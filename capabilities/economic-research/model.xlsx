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aitlist" sheetId="2" state="visible" r:id="rId2"/>
    <sheet name="Ladder" sheetId="3" state="visible" r:id="rId3"/>
    <sheet name="BedSchedule" sheetId="4" state="visible" r:id="rId4"/>
    <sheet name="Operating" sheetId="5" state="visible" r:id="rId5"/>
    <sheet name="RateCompare" sheetId="6" state="visible" r:id="rId6"/>
    <sheet name="Budget" sheetId="7" state="visible" r:id="rId7"/>
    <sheet name="Consortium" sheetId="8" state="visible" r:id="rId8"/>
    <sheet name="Scenarios" sheetId="9" state="visible" r:id="rId9"/>
    <sheet name="WorkedExample" sheetId="10" state="visible" r:id="rId10"/>
    <sheet name="Checks" sheetId="11" state="visible" r:id="rId11"/>
    <sheet name="Summary" sheetId="12" state="visible" r:id="rId12"/>
    <sheet name="FigureData" sheetId="13" state="visible" r:id="rId13"/>
  </sheets>
  <definedNames>
    <definedName name="WAIT_DAYS_2023">'Inputs'!$B$6</definedName>
    <definedName name="WAIT_PATIENTS_2023">'Inputs'!$B$7</definedName>
    <definedName name="SNAP_TOTAL_2023">'Inputs'!$B$8</definedName>
    <definedName name="SNAP_NOBED_2023">'Inputs'!$B$9</definedName>
    <definedName name="SNAP_FIN_2023">'Inputs'!$B$10</definedName>
    <definedName name="SNAP_BEHAV_2023">'Inputs'!$B$11</definedName>
    <definedName name="SNAP_SPECIAL_2023">'Inputs'!$B$12</definedName>
    <definedName name="SNAP_FAMILY_2023">'Inputs'!$B$13</definedName>
    <definedName name="SNAP_OTHER_2023">'Inputs'!$B$14</definedName>
    <definedName name="SNAP_NF_LEVEL_2023">'Inputs'!$B$15</definedName>
    <definedName name="WAIT_DAYS_2024">'Inputs'!$B$16</definedName>
    <definedName name="WAIT_PATIENTS_2024">'Inputs'!$B$17</definedName>
    <definedName name="SNAP_TOTAL_2024">'Inputs'!$B$18</definedName>
    <definedName name="SNAP_NOBED_2024">'Inputs'!$B$19</definedName>
    <definedName name="SNAP_FIN_2024">'Inputs'!$B$20</definedName>
    <definedName name="SNAP_BEHAV_2024">'Inputs'!$B$21</definedName>
    <definedName name="SNAP_SPECIAL_2024">'Inputs'!$B$22</definedName>
    <definedName name="SNAP_FAMILY_2024">'Inputs'!$B$23</definedName>
    <definedName name="SNAP_OTHER_2024">'Inputs'!$B$24</definedName>
    <definedName name="SNAP_NF_LEVEL_2024">'Inputs'!$B$25</definedName>
    <definedName name="DAYS_AVOIDED_2023">'Inputs'!$B$26</definedName>
    <definedName name="POOL_SHARE_2023">'Inputs'!$B$27</definedName>
    <definedName name="DAYS_AVOIDED_2024">'Inputs'!$B$28</definedName>
    <definedName name="POOL_SHARE_2024">'Inputs'!$B$29</definedName>
    <definedName name="RUN_YEAR">'Inputs'!$B$30</definedName>
    <definedName name="OCC">'Inputs'!$B$33</definedName>
    <definedName name="STAY_DAYS">'Inputs'!$B$34</definedName>
    <definedName name="OCC_DAYS">'Inputs'!$B$35</definedName>
    <definedName name="B_MAX">'Inputs'!$B$36</definedName>
    <definedName name="PAST_POOL_PCT">'Inputs'!$B$37</definedName>
    <definedName name="HOSP_AVG_COST">'Inputs'!$B$40</definedName>
    <definedName name="C_AVOID">'Inputs'!$B$41</definedName>
    <definedName name="ACUTE_MARGIN">'Inputs'!$B$42</definedName>
    <definedName name="NF_COST_2023">'Inputs'!$B$45</definedName>
    <definedName name="NF_COST_2011">'Inputs'!$B$46</definedName>
    <definedName name="NF_CAP_COST_2023">'Inputs'!$B$47</definedName>
    <definedName name="SALARY_SHARE">'Inputs'!$B$48</definedName>
    <definedName name="WAGE_INCREASE_PCT">'Inputs'!$B$49</definedName>
    <definedName name="SPREAD_FACTOR">'Inputs'!$B$50</definedName>
    <definedName name="WAGE_PREMIUM">'Inputs'!$B$51</definedName>
    <definedName name="C_FULL">'Inputs'!$B$52</definedName>
    <definedName name="C_OP">'Inputs'!$B$53</definedName>
    <definedName name="G_HI">'Inputs'!$B$54</definedName>
    <definedName name="COST_DATE">'Inputs'!$B$55</definedName>
    <definedName name="R_NF_2024">'Inputs'!$B$56</definedName>
    <definedName name="R_NF_2025">'Inputs'!$B$57</definedName>
    <definedName name="R_NF_2026">'Inputs'!$B$58</definedName>
    <definedName name="R_NF_HIST_2016_01">'Inputs'!$B$59</definedName>
    <definedName name="R_NF_HIST_2020_07">'Inputs'!$B$60</definedName>
    <definedName name="R_NF_HIST_2021_07">'Inputs'!$B$61</definedName>
    <definedName name="R_NF_JUL2023">'Inputs'!$B$62</definedName>
    <definedName name="R_WAIT_2024">'Inputs'!$B$63</definedName>
    <definedName name="R_WAIT_2026">'Inputs'!$B$64</definedName>
    <definedName name="R_WAIT_HIST_2016_01">'Inputs'!$B$65</definedName>
    <definedName name="R_WAIT_HIST_2023_07">'Inputs'!$B$66</definedName>
    <definedName name="G_IDX_2024">'Inputs'!$B$67</definedName>
    <definedName name="G_IDX_2025">'Inputs'!$B$68</definedName>
    <definedName name="G_IDX_2026">'Inputs'!$B$69</definedName>
    <definedName name="G_IDX_2027">'Inputs'!$B$70</definedName>
    <definedName name="G_IDX_POST">'Inputs'!$B$71</definedName>
    <definedName name="R_CAP_2024">'Inputs'!$B$72</definedName>
    <definedName name="R_CAP_2025">'Inputs'!$B$73</definedName>
    <definedName name="R_CAP_2026">'Inputs'!$B$74</definedName>
    <definedName name="GET_RATE">'Inputs'!$B$75</definedName>
    <definedName name="MCD_NF_DAYS">'Inputs'!$B$76</definedName>
    <definedName name="K_RUNG1">'Inputs'!$B$79</definedName>
    <definedName name="K_RUNG2">'Inputs'!$B$80</definedName>
    <definedName name="N_LIFE_RUNG1">'Inputs'!$B$81</definedName>
    <definedName name="N_LIFE_RUNG2">'Inputs'!$B$82</definedName>
    <definedName name="DISC_RATE">'Inputs'!$B$83</definedName>
    <definedName name="RUNG_BEDS_1">'Inputs'!$B$84</definedName>
    <definedName name="RUNG_BEDS_2">'Inputs'!$B$85</definedName>
    <definedName name="MCD_SHARE_FREED">'Inputs'!$B$88</definedName>
    <definedName name="MEDICARE_RUN">'Inputs'!$B$89</definedName>
    <definedName name="MEDICARE_FULL_DAYS">'Inputs'!$B$90</definedName>
    <definedName name="MCD_SHARE_BED">'Inputs'!$B$91</definedName>
    <definedName name="FMAP_2024">'Inputs'!$B$92</definedName>
    <definedName name="FMAP_2025">'Inputs'!$B$93</definedName>
    <definedName name="FMAP_2026">'Inputs'!$B$94</definedName>
    <definedName name="FMAP_BUDGET">'Inputs'!$B$95</definedName>
    <definedName name="DELTA_R">'Inputs'!$B$98</definedName>
    <definedName name="SUPPLY_RESPONSE_ARC">'Inputs'!$B$99</definedName>
    <definedName name="SUPPLY_RESPONSE_SIMPLE">'Inputs'!$B$100</definedName>
    <definedName name="SUPPLY_RESPONSE">'Inputs'!$B$101</definedName>
    <definedName name="REBASE_YEARS">'Inputs'!$B$102</definedName>
    <definedName name="RULE_START">'Inputs'!$B$103</definedName>
    <definedName name="INFL">'Inputs'!$B$104</definedName>
    <definedName name="T19_WAITING_2024">'Inputs'!$B$107</definedName>
    <definedName name="T19_CAREHOME_2024">'Inputs'!$B$108</definedName>
    <definedName name="T19_DAYS_2024">'Inputs'!$B$109</definedName>
    <definedName name="MEDIAN_MCD_LOS">'Inputs'!$B$110</definedName>
    <definedName name="CPI_2011">'Inputs'!$B$113</definedName>
    <definedName name="CPI_2012">'Inputs'!$B$114</definedName>
    <definedName name="CPI_2013">'Inputs'!$B$115</definedName>
    <definedName name="CPI_2014">'Inputs'!$B$116</definedName>
    <definedName name="CPI_2015">'Inputs'!$B$117</definedName>
    <definedName name="CPI_2016">'Inputs'!$B$118</definedName>
    <definedName name="CPI_2017">'Inputs'!$B$119</definedName>
    <definedName name="CPI_2018">'Inputs'!$B$120</definedName>
    <definedName name="CPI_2019">'Inputs'!$B$121</definedName>
    <definedName name="CPI_2020">'Inputs'!$B$122</definedName>
    <definedName name="CPI_2021">'Inputs'!$B$123</definedName>
    <definedName name="CPI_2022">'Inputs'!$B$124</definedName>
    <definedName name="CPI_2023">'Inputs'!$B$125</definedName>
    <definedName name="CPI_2024">'Inputs'!$B$126</definedName>
    <definedName name="CPI_2025">'Inputs'!$B$127</definedName>
    <definedName name="DEFLATOR_2024">'Inputs'!$B$128</definedName>
    <definedName name="DEFLATOR_2025">'Inputs'!$B$129</definedName>
    <definedName name="R_NF_2023">'Inputs'!$B$130</definedName>
    <definedName name="R_WAIT_2023">'Inputs'!$B$131</definedName>
    <definedName name="R_CAP_2023">'Inputs'!$B$132</definedName>
    <definedName name="HYP_BEDS">'Inputs'!$B$135</definedName>
    <definedName name="BAND_LO">'Inputs'!$B$136</definedName>
    <definedName name="BAND_HI">'Inputs'!$B$137</definedName>
    <definedName name="HYP_BREAKEVEN">'Inputs'!$B$138</definedName>
    <definedName name="RANGE_LO">'Inputs'!$B$139</definedName>
    <definedName name="RANGE_HI">'Inputs'!$B$140</definedName>
    <definedName name="HYP_STAY_FAIL">'Inputs'!$B$141</definedName>
    <definedName name="RUNVAL_CAVOID_LO">'Inputs'!$B$144</definedName>
    <definedName name="RUNVAL_CAVOID_HI">'Inputs'!$B$145</definedName>
    <definedName name="RUNVAL_STRESS_CAVOID">'Inputs'!$B$146</definedName>
    <definedName name="RUNVAL_WAGE">'Inputs'!$B$147</definedName>
    <definedName name="RUNVAL_DISC_A">'Inputs'!$B$148</definedName>
    <definedName name="RUNVAL_DISC_B">'Inputs'!$B$149</definedName>
    <definedName name="RUNVAL_GIDX_POST">'Inputs'!$B$150</definedName>
    <definedName name="RUNVAL_STAY_A">'Inputs'!$B$151</definedName>
    <definedName name="RUNVAL_STAY_B">'Inputs'!$B$152</definedName>
    <definedName name="RUNVAL_YEAR">'Inputs'!$B$153</definedName>
    <definedName name="RUNVAL_PPP_A">'Inputs'!$B$154</definedName>
    <definedName name="RUNVAL_PPP_B">'Inputs'!$B$155</definedName>
    <definedName name="H_NAME">'Inputs'!$A$159:$A$174</definedName>
    <definedName name="H_COUNTY">'Inputs'!$B$159:$B$174</definedName>
    <definedName name="H_STATE_RUN">'Inputs'!$C$159:$C$174</definedName>
    <definedName name="H_PAT_2023">'Inputs'!$D$159:$D$174</definedName>
    <definedName name="H_DAYS_2023">'Inputs'!$E$159:$E$174</definedName>
    <definedName name="H_DEC31_2023">'Inputs'!$F$159:$F$174</definedName>
    <definedName name="H_PAT_2024">'Inputs'!$G$159:$G$174</definedName>
    <definedName name="H_DAYS_2024">'Inputs'!$H$159:$H$174</definedName>
    <definedName name="H_DEC31_2024">'Inputs'!$I$159:$I$174</definedName>
    <definedName name="WAIT_DAYS_Y">'Waitlist'!$D$4</definedName>
    <definedName name="WAIT_PATIENTS_Y">'Waitlist'!$D$5</definedName>
    <definedName name="DAYS_AVOIDED_Y">'Waitlist'!$D$14</definedName>
    <definedName name="POOL_SHARE_Y">'Waitlist'!$D$15</definedName>
    <definedName name="SNAP_TOTAL_Y">'Waitlist'!$D$6</definedName>
    <definedName name="SNAP_NF_LEVEL_Y">'Waitlist'!$D$13</definedName>
    <definedName name="REASONS_SUM_2023">'Waitlist'!$B$16</definedName>
    <definedName name="REASONS_SUM_2024">'Waitlist'!$C$16</definedName>
    <definedName name="ADMITS">'Waitlist'!$B$19</definedName>
    <definedName name="FREED">'Waitlist'!$B$20</definedName>
    <definedName name="POOL_DAYS">'Waitlist'!$B$21</definedName>
    <definedName name="POOL_BEDS">'Waitlist'!$B$22</definedName>
    <definedName name="POOL_BEDS_ALT">'Waitlist'!$B$23</definedName>
    <definedName name="POOL_BEDS_2023">'Waitlist'!$B$24</definedName>
    <definedName name="POOL_BEDS_2024">'Waitlist'!$B$25</definedName>
    <definedName name="FREED_2024">'Waitlist'!$B$26</definedName>
    <definedName name="NF_LEVEL_SHARE">'Waitlist'!$B$27</definedName>
    <definedName name="NF_LEVEL_SHARE_2023">'Waitlist'!$B$28</definedName>
    <definedName name="NF_LEVEL_SHARE_2024">'Waitlist'!$B$29</definedName>
    <definedName name="WAIT_DAYS_H">'Waitlist'!$C$33:$C$48</definedName>
    <definedName name="PLAN_SHARE">'Waitlist'!$D$33:$D$48</definedName>
    <definedName name="PLAN_SHARE_SUM">'Waitlist'!$D$49</definedName>
    <definedName name="HOSP_SUM_GAP">'Waitlist'!$B$50:$D$51</definedName>
    <definedName name="STATE_RUN_DAY_SHARE">'Waitlist'!$B$52</definedName>
    <definedName name="ANNUITY_RUNG1">'Ladder'!$B$7</definedName>
    <definedName name="ANNUITY_RUNG2">'Ladder'!$C$7</definedName>
    <definedName name="K_ANN_RUNG1">'Ladder'!$B$8</definedName>
    <definedName name="K_ANN_RUNG2">'Ladder'!$C$8</definedName>
    <definedName name="COST_YR_RUNG1">'Ladder'!$B$9</definedName>
    <definedName name="COST_YR_RUNG2">'Ladder'!$C$9</definedName>
    <definedName name="BREAKEVEN_RUNG1">'Ladder'!$B$10</definedName>
    <definedName name="BREAKEVEN_RUNG2">'Ladder'!$C$10</definedName>
    <definedName name="GRANT_RUNG1">'Ladder'!$B$11</definedName>
    <definedName name="GRANT_RUNG2">'Ladder'!$C$11</definedName>
    <definedName name="BE_VS_GUESS_RUNG1">'Ladder'!$B$12</definedName>
    <definedName name="BE_VS_GUESS_RUNG2">'Ladder'!$C$12</definedName>
    <definedName name="MAX_PREMIUM_RUNG1">'Ladder'!$B$13</definedName>
    <definedName name="MAX_PREMIUM_RUNG2">'Ladder'!$C$13</definedName>
    <definedName name="SAVE_YR">'Ladder'!$B$14</definedName>
    <definedName name="FIRST_RUNG">'Ladder'!$B$15</definedName>
    <definedName name="HORIZON">'Ladder'!$B$16</definedName>
    <definedName name="BREAKEVEN_FIRST">'Ladder'!$B$17</definedName>
    <definedName name="COST_YR_FIRST">'Ladder'!$B$18</definedName>
    <definedName name="GRANT_FIRST">'Ladder'!$B$19</definedName>
    <definedName name="MAX_PREMIUM_FIRST">'Ladder'!$B$20</definedName>
    <definedName name="BS_B">'BedSchedule'!$A$5:$A$404</definedName>
    <definedName name="BS_RUNG">'BedSchedule'!$B$5:$B$404</definedName>
    <definedName name="BS_FREED_B">'BedSchedule'!$D$5:$D$404</definedName>
    <definedName name="BS_MS">'BedSchedule'!$E$5:$E$404</definedName>
    <definedName name="BS_MC">'BedSchedule'!$H$5:$H$404</definedName>
    <definedName name="BS_NET">'BedSchedule'!$J$4:$J$404</definedName>
    <definedName name="BS_GRANT">'BedSchedule'!$M$5:$M$404</definedName>
    <definedName name="BS_MCD_NET_B">'BedSchedule'!$N$5:$N$404</definedName>
    <definedName name="BS_COUNTED">'BedSchedule'!$O$5:$O$404</definedName>
    <definedName name="BEDS">'BedSchedule'!$R$4</definedName>
    <definedName name="BEDS_FIRST_FAIL_NUM">'BedSchedule'!$R$5</definedName>
    <definedName name="BEDS_FIRST_FAIL">'BedSchedule'!$R$6</definedName>
    <definedName name="MAX_NET">'BedSchedule'!$R$7</definedName>
    <definedName name="STOP_REASON">'BedSchedule'!$R$8</definedName>
    <definedName name="TOTAL_GRANT">'BedSchedule'!$R$9</definedName>
    <definedName name="TOTAL_FREED">'BedSchedule'!$R$10</definedName>
    <definedName name="TOTAL_MCD_NET">'BedSchedule'!$R$11</definedName>
    <definedName name="CAP_SHARE">'Operating'!$B$7</definedName>
    <definedName name="OP_FAIL_YEAR_IDX">'Operating'!$B$9</definedName>
    <definedName name="OP_FAIL_YEAR_HIX">'Operating'!$B$10</definedName>
    <definedName name="OP_FAIL_YEAR_REB">'Operating'!$B$11</definedName>
    <definedName name="SHORTFALL_2034">'Operating'!$B$12</definedName>
    <definedName name="REBASE_MISMATCH">'Operating'!$B$13</definedName>
    <definedName name="OP_T">'Operating'!$A$16:$A$58</definedName>
    <definedName name="OP_RATE_IDX">'Operating'!$E$16:$E$58</definedName>
    <definedName name="OP_RATE_HIX">'Operating'!$F$16:$F$58</definedName>
    <definedName name="OP_RATE_REB">'Operating'!$G$16:$G$58</definedName>
    <definedName name="OP_RATE_AT_COST">'Operating'!$O$16:$O$58</definedName>
    <definedName name="OP_C_OP_NOM">'Operating'!$D$16:$D$58</definedName>
    <definedName name="OP_SHORTFALL">'Operating'!$P$16:$P$58</definedName>
    <definedName name="OP_KEPT_HIX">'Operating'!$R$16:$R$58</definedName>
    <definedName name="OP_KEPT_REB">'Operating'!$S$16:$S$58</definedName>
    <definedName name="OP_DF">'Operating'!$V$16:$V$58</definedName>
    <definedName name="OP_DEFL">'Operating'!$Q$16:$Q$58</definedName>
    <definedName name="OP_MARGIN_IDX">'Operating'!$L$16:$L$58</definedName>
    <definedName name="OP_MARGIN_HIX">'Operating'!$M$16:$M$58</definedName>
    <definedName name="OP_MARGIN_REB">'Operating'!$N$16:$N$58</definedName>
    <definedName name="STATEWIDE_COST">'RateCompare'!$B$4</definedName>
    <definedName name="PCT_DR">'RateCompare'!$B$5</definedName>
    <definedName name="INC_FREED">'RateCompare'!$B$6</definedName>
    <definedName name="UNIT_INC">'RateCompare'!$B$7</definedName>
    <definedName name="RULE_COST_PV_HIX">'RateCompare'!$B$8</definedName>
    <definedName name="RULE_KEPT_PV_HIX">'RateCompare'!$B$9</definedName>
    <definedName name="UNIT_RULE_HIX">'RateCompare'!$B$10</definedName>
    <definedName name="RULE_COST_PV_REB">'RateCompare'!$B$11</definedName>
    <definedName name="RULE_KEPT_PV_REB">'RateCompare'!$B$12</definedName>
    <definedName name="UNIT_RULE_REB">'RateCompare'!$B$13</definedName>
    <definedName name="PART_COST">'RateCompare'!$B$14</definedName>
    <definedName name="UNIT_PART">'RateCompare'!$B$15</definedName>
    <definedName name="PER_BED_EQ_INC">'RateCompare'!$B$16</definedName>
    <definedName name="PER_BED_EQ_RULE_HIX">'RateCompare'!$B$17</definedName>
    <definedName name="PER_BED_EQ_RULE_REB">'RateCompare'!$B$18</definedName>
    <definedName name="PER_BED_EQ_PART">'RateCompare'!$B$19</definedName>
    <definedName name="MCD_NF_PAY">'Budget'!$B$4</definedName>
    <definedName name="MCD_WAIT_SAVE">'Budget'!$B$5</definedName>
    <definedName name="MCD_NET">'Budget'!$B$6</definedName>
    <definedName name="STATE_NET">'Budget'!$B$7</definedName>
    <definedName name="FED_NET">'Budget'!$B$8</definedName>
    <definedName name="HOSP_NET_DAY_BASE">'Budget'!$B$9</definedName>
    <definedName name="HOSP_NET_YR">'Budget'!$B$10</definedName>
    <definedName name="CONSORTIUM_GRANT_YR">'Budget'!$B$11</definedName>
    <definedName name="CO_C_AVOID_H">'Consortium'!$C$4:$C$19</definedName>
    <definedName name="CO_PAY_H">'Consortium'!$F$4:$F$19</definedName>
    <definedName name="CO_JOIN">'Consortium'!$H$4:$H$19</definedName>
    <definedName name="CO_SOLO1">'Consortium'!$I$4:$I$19</definedName>
    <definedName name="CO_SOLO2">'Consortium'!$J$4:$J$19</definedName>
    <definedName name="JOIN_MIN">'Consortium'!$B$21</definedName>
    <definedName name="PAY_H_SUM">'Consortium'!$B$22</definedName>
    <definedName name="STATE_RUN_PAY">'Consortium'!$B$23</definedName>
    <definedName name="JOIN_ALL">'Consortium'!$B$24</definedName>
    <definedName name="SOLO_ANY_FIRST">'Consortium'!$B$25</definedName>
    <definedName name="JOIN_STRESS">'Consortium'!$B$26</definedName>
    <definedName name="WE_PASS_COUNT">'WorkedExample'!$B$79</definedName>
    <definedName name="WE_COUNT">'WorkedExample'!$C$79</definedName>
    <definedName name="CHECKS_PASS">'Checks'!$B$58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000"/>
    <numFmt numFmtId="166" formatCode="#,##0.000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3" fontId="0" fillId="3" borderId="0" pivotButton="0" quotePrefix="0" xfId="0"/>
    <xf numFmtId="164" fontId="0" fillId="0" borderId="0" pivotButton="0" quotePrefix="0" xfId="0"/>
    <xf numFmtId="1" fontId="0" fillId="3" borderId="0" pivotButton="0" quotePrefix="0" xfId="0"/>
    <xf numFmtId="4" fontId="0" fillId="3" borderId="0" pivotButton="0" quotePrefix="0" xfId="0"/>
    <xf numFmtId="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10" fontId="0" fillId="3" borderId="0" pivotButton="0" quotePrefix="0" xfId="0"/>
    <xf numFmtId="165" fontId="0" fillId="3" borderId="0" pivotButton="0" quotePrefix="0" xfId="0"/>
    <xf numFmtId="3" fontId="0" fillId="0" borderId="0" pivotButton="0" quotePrefix="0" xfId="0"/>
    <xf numFmtId="0" fontId="0" fillId="3" borderId="0" pivotButton="0" quotePrefix="0" xfId="0"/>
    <xf numFmtId="10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90" customWidth="1" min="4" max="4"/>
  </cols>
  <sheetData>
    <row r="1">
      <c r="A1" s="1" t="inlineStr">
        <is>
          <t>Inputs: the named contract (spec, "Inputs")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</t>
        </is>
      </c>
    </row>
    <row r="5">
      <c r="A5" s="3" t="inlineStr">
        <is>
          <t>Waitlist (SHPDA Table 18)</t>
        </is>
      </c>
    </row>
    <row r="6">
      <c r="A6" t="inlineStr">
        <is>
          <t>WAIT_DAYS_2023</t>
        </is>
      </c>
      <c r="B6" s="4" t="n">
        <v>83097</v>
      </c>
      <c r="C6" t="inlineStr">
        <is>
          <t>waitlist days in the year</t>
        </is>
      </c>
      <c r="D6" t="inlineStr">
        <is>
          <t>Sourced: SHPDA Table 18, 2023 (draft; verify)</t>
        </is>
      </c>
    </row>
    <row r="7">
      <c r="A7" t="inlineStr">
        <is>
          <t>WAIT_PATIENTS_2023</t>
        </is>
      </c>
      <c r="B7" s="4" t="n">
        <v>3610</v>
      </c>
      <c r="C7" t="inlineStr">
        <is>
          <t>waitlisted patients in the year</t>
        </is>
      </c>
      <c r="D7" t="inlineStr">
        <is>
          <t>Sourced: SHPDA Table 18, 2023 (draft; verify)</t>
        </is>
      </c>
    </row>
    <row r="8">
      <c r="A8" t="inlineStr">
        <is>
          <t>SNAP_TOTAL_2023</t>
        </is>
      </c>
      <c r="B8" s="4" t="n">
        <v>191</v>
      </c>
      <c r="C8" t="inlineStr">
        <is>
          <t>patients waitlisted on Dec 31</t>
        </is>
      </c>
      <c r="D8" t="inlineStr">
        <is>
          <t>Sourced: SHPDA Table 18, 2023 (draft; verify)</t>
        </is>
      </c>
    </row>
    <row r="9">
      <c r="A9" t="inlineStr">
        <is>
          <t>SNAP_NOBED_2023</t>
        </is>
      </c>
      <c r="B9" s="4" t="n">
        <v>42</v>
      </c>
      <c r="C9" t="inlineStr">
        <is>
          <t>Dec 31: no bed available</t>
        </is>
      </c>
      <c r="D9" t="inlineStr">
        <is>
          <t>Sourced: SHPDA Table 18, 2023 (draft; verify)</t>
        </is>
      </c>
    </row>
    <row r="10">
      <c r="A10" t="inlineStr">
        <is>
          <t>SNAP_FIN_2023</t>
        </is>
      </c>
      <c r="B10" s="4" t="n">
        <v>45</v>
      </c>
      <c r="C10" t="inlineStr">
        <is>
          <t>Dec 31: financial, Medicaid or insurance</t>
        </is>
      </c>
      <c r="D10" t="inlineStr">
        <is>
          <t>Sourced: SHPDA Table 18, 2023 (draft; verify)</t>
        </is>
      </c>
    </row>
    <row r="11">
      <c r="A11" t="inlineStr">
        <is>
          <t>SNAP_BEHAV_2023</t>
        </is>
      </c>
      <c r="B11" s="4" t="n">
        <v>48</v>
      </c>
      <c r="C11" t="inlineStr">
        <is>
          <t>Dec 31: psychiatric, dementia or behavior</t>
        </is>
      </c>
      <c r="D11" t="inlineStr">
        <is>
          <t>Sourced: SHPDA Table 18, 2023 (draft; verify)</t>
        </is>
      </c>
    </row>
    <row r="12">
      <c r="A12" t="inlineStr">
        <is>
          <t>SNAP_SPECIAL_2023</t>
        </is>
      </c>
      <c r="B12" s="4" t="n">
        <v>26</v>
      </c>
      <c r="C12" t="inlineStr">
        <is>
          <t>Dec 31: special care</t>
        </is>
      </c>
      <c r="D12" t="inlineStr">
        <is>
          <t>Sourced: SHPDA Table 18, 2023 (draft; verify)</t>
        </is>
      </c>
    </row>
    <row r="13">
      <c r="A13" t="inlineStr">
        <is>
          <t>SNAP_FAMILY_2023</t>
        </is>
      </c>
      <c r="B13" s="4" t="n">
        <v>28</v>
      </c>
      <c r="C13" t="inlineStr">
        <is>
          <t>Dec 31: family or guardianship</t>
        </is>
      </c>
      <c r="D13" t="inlineStr">
        <is>
          <t>Sourced: SHPDA Table 18, 2023 (draft; verify)</t>
        </is>
      </c>
    </row>
    <row r="14">
      <c r="A14" t="inlineStr">
        <is>
          <t>SNAP_OTHER_2023</t>
        </is>
      </c>
      <c r="B14" s="4" t="n">
        <v>2</v>
      </c>
      <c r="C14" t="inlineStr">
        <is>
          <t>Dec 31: pending PASARR plus other</t>
        </is>
      </c>
      <c r="D14" t="inlineStr">
        <is>
          <t>Sourced: SHPDA Table 18, 2023 (draft; verify)</t>
        </is>
      </c>
    </row>
    <row r="15">
      <c r="A15" t="inlineStr">
        <is>
          <t>SNAP_NF_LEVEL_2023</t>
        </is>
      </c>
      <c r="B15" s="4" t="n">
        <v>157</v>
      </c>
      <c r="C15" t="inlineStr">
        <is>
          <t>Dec 31: needing SNF/ICF-level care</t>
        </is>
      </c>
      <c r="D15" t="inlineStr">
        <is>
          <t>Sourced: SHPDA Table 18, 2023 (draft; verify)</t>
        </is>
      </c>
    </row>
    <row r="16">
      <c r="A16" t="inlineStr">
        <is>
          <t>WAIT_DAYS_2024</t>
        </is>
      </c>
      <c r="B16" s="4" t="n">
        <v>60876</v>
      </c>
      <c r="C16" t="inlineStr">
        <is>
          <t>waitlist days in the year</t>
        </is>
      </c>
      <c r="D16" t="inlineStr">
        <is>
          <t>Sourced: SHPDA Table 18, 2024 (draft; verify)</t>
        </is>
      </c>
    </row>
    <row r="17">
      <c r="A17" t="inlineStr">
        <is>
          <t>WAIT_PATIENTS_2024</t>
        </is>
      </c>
      <c r="B17" s="4" t="n">
        <v>3123</v>
      </c>
      <c r="C17" t="inlineStr">
        <is>
          <t>waitlisted patients in the year</t>
        </is>
      </c>
      <c r="D17" t="inlineStr">
        <is>
          <t>Sourced: SHPDA Table 18, 2024 (draft; verify)</t>
        </is>
      </c>
    </row>
    <row r="18">
      <c r="A18" t="inlineStr">
        <is>
          <t>SNAP_TOTAL_2024</t>
        </is>
      </c>
      <c r="B18" s="4" t="n">
        <v>173</v>
      </c>
      <c r="C18" t="inlineStr">
        <is>
          <t>patients waitlisted on Dec 31</t>
        </is>
      </c>
      <c r="D18" t="inlineStr">
        <is>
          <t>Sourced: SHPDA Table 18, 2024 (draft; verify)</t>
        </is>
      </c>
    </row>
    <row r="19">
      <c r="A19" t="inlineStr">
        <is>
          <t>SNAP_NOBED_2024</t>
        </is>
      </c>
      <c r="B19" s="4" t="n">
        <v>31</v>
      </c>
      <c r="C19" t="inlineStr">
        <is>
          <t>Dec 31: no bed available</t>
        </is>
      </c>
      <c r="D19" t="inlineStr">
        <is>
          <t>Sourced: SHPDA Table 18, 2024 (draft; verify)</t>
        </is>
      </c>
    </row>
    <row r="20">
      <c r="A20" t="inlineStr">
        <is>
          <t>SNAP_FIN_2024</t>
        </is>
      </c>
      <c r="B20" s="4" t="n">
        <v>60</v>
      </c>
      <c r="C20" t="inlineStr">
        <is>
          <t>Dec 31: financial, Medicaid or insurance</t>
        </is>
      </c>
      <c r="D20" t="inlineStr">
        <is>
          <t>Sourced: SHPDA Table 18, 2024 (draft; verify)</t>
        </is>
      </c>
    </row>
    <row r="21">
      <c r="A21" t="inlineStr">
        <is>
          <t>SNAP_BEHAV_2024</t>
        </is>
      </c>
      <c r="B21" s="4" t="n">
        <v>29</v>
      </c>
      <c r="C21" t="inlineStr">
        <is>
          <t>Dec 31: psychiatric, dementia or behavior</t>
        </is>
      </c>
      <c r="D21" t="inlineStr">
        <is>
          <t>Sourced: SHPDA Table 18, 2024 (draft; verify)</t>
        </is>
      </c>
    </row>
    <row r="22">
      <c r="A22" t="inlineStr">
        <is>
          <t>SNAP_SPECIAL_2024</t>
        </is>
      </c>
      <c r="B22" s="4" t="n">
        <v>18</v>
      </c>
      <c r="C22" t="inlineStr">
        <is>
          <t>Dec 31: special care</t>
        </is>
      </c>
      <c r="D22" t="inlineStr">
        <is>
          <t>Sourced: SHPDA Table 18, 2024 (draft; verify)</t>
        </is>
      </c>
    </row>
    <row r="23">
      <c r="A23" t="inlineStr">
        <is>
          <t>SNAP_FAMILY_2024</t>
        </is>
      </c>
      <c r="B23" s="4" t="n">
        <v>31</v>
      </c>
      <c r="C23" t="inlineStr">
        <is>
          <t>Dec 31: family or guardianship</t>
        </is>
      </c>
      <c r="D23" t="inlineStr">
        <is>
          <t>Sourced: SHPDA Table 18, 2024 (draft; verify)</t>
        </is>
      </c>
    </row>
    <row r="24">
      <c r="A24" t="inlineStr">
        <is>
          <t>SNAP_OTHER_2024</t>
        </is>
      </c>
      <c r="B24" s="4" t="n">
        <v>4</v>
      </c>
      <c r="C24" t="inlineStr">
        <is>
          <t>Dec 31: pending PASARR plus other</t>
        </is>
      </c>
      <c r="D24" t="inlineStr">
        <is>
          <t>Sourced: SHPDA Table 18, 2024 (draft; verify)</t>
        </is>
      </c>
    </row>
    <row r="25">
      <c r="A25" t="inlineStr">
        <is>
          <t>SNAP_NF_LEVEL_2024</t>
        </is>
      </c>
      <c r="B25" s="4" t="n">
        <v>120</v>
      </c>
      <c r="C25" t="inlineStr">
        <is>
          <t>Dec 31: needing SNF/ICF-level care</t>
        </is>
      </c>
      <c r="D25" t="inlineStr">
        <is>
          <t>Sourced: SHPDA Table 18, 2024 (draft; verify)</t>
        </is>
      </c>
    </row>
    <row r="26">
      <c r="A26" t="inlineStr">
        <is>
          <t>DAYS_AVOIDED_2023</t>
        </is>
      </c>
      <c r="B26" s="5">
        <f>WAIT_DAYS_2023/WAIT_PATIENTS_2023</f>
        <v>23.018559556786702</v>
      </c>
      <c r="C26" t="inlineStr">
        <is>
          <t>waitlist days avoided per admission</t>
        </is>
      </c>
      <c r="D26" t="inlineStr">
        <is>
          <t>Derived</t>
        </is>
      </c>
    </row>
    <row r="27">
      <c r="A27" t="inlineStr">
        <is>
          <t>POOL_SHARE_2023</t>
        </is>
      </c>
      <c r="B27" s="5">
        <f>(SNAP_NOBED_2023+SNAP_FIN_2023)/SNAP_TOTAL_2023</f>
        <v>0.45549738219895286</v>
      </c>
      <c r="C27" t="inlineStr">
        <is>
          <t>fraction of waitlist days a bed can clear</t>
        </is>
      </c>
      <c r="D27" t="inlineStr">
        <is>
          <t>Derived; assumes the Dec 31 mix holds all year (decision 19)</t>
        </is>
      </c>
    </row>
    <row r="28">
      <c r="A28" t="inlineStr">
        <is>
          <t>DAYS_AVOIDED_2024</t>
        </is>
      </c>
      <c r="B28" s="5">
        <f>WAIT_DAYS_2024/WAIT_PATIENTS_2024</f>
        <v>19.492795389048993</v>
      </c>
      <c r="C28" t="inlineStr">
        <is>
          <t>waitlist days avoided per admission</t>
        </is>
      </c>
      <c r="D28" t="inlineStr">
        <is>
          <t>Derived</t>
        </is>
      </c>
    </row>
    <row r="29">
      <c r="A29" t="inlineStr">
        <is>
          <t>POOL_SHARE_2024</t>
        </is>
      </c>
      <c r="B29" s="5">
        <f>(SNAP_NOBED_2024+SNAP_FIN_2024)/SNAP_TOTAL_2024</f>
        <v>0.5260115606936416</v>
      </c>
      <c r="C29" t="inlineStr">
        <is>
          <t>fraction of waitlist days a bed can clear</t>
        </is>
      </c>
      <c r="D29" t="inlineStr">
        <is>
          <t>Derived; assumes the Dec 31 mix holds all year (decision 19)</t>
        </is>
      </c>
    </row>
    <row r="30">
      <c r="A30" t="inlineStr">
        <is>
          <t>RUN_YEAR</t>
        </is>
      </c>
      <c r="B30" s="6" t="n">
        <v>2023</v>
      </c>
      <c r="C30" t="inlineStr">
        <is>
          <t>waitlist year of the base run</t>
        </is>
      </c>
      <c r="D30" t="inlineStr">
        <is>
          <t>Decision 18: 2023 base, 2024 as a run</t>
        </is>
      </c>
    </row>
    <row r="32">
      <c r="A32" s="3" t="inlineStr">
        <is>
          <t>Transitional bed</t>
        </is>
      </c>
    </row>
    <row r="33">
      <c r="A33" t="inlineStr">
        <is>
          <t>OCC</t>
        </is>
      </c>
      <c r="B33" s="7" t="n">
        <v>0.9</v>
      </c>
      <c r="C33" t="inlineStr">
        <is>
          <t>fraction of bed-days occupied</t>
        </is>
      </c>
      <c r="D33" t="inlineStr">
        <is>
          <t>Assumed (brief)</t>
        </is>
      </c>
    </row>
    <row r="34">
      <c r="A34" t="inlineStr">
        <is>
          <t>STAY_DAYS</t>
        </is>
      </c>
      <c r="B34" s="4" t="n">
        <v>30</v>
      </c>
      <c r="C34" t="inlineStr">
        <is>
          <t>days per stay</t>
        </is>
      </c>
      <c r="D34" t="inlineStr">
        <is>
          <t>Assumed (brief); runs at 60 and 90 (decision 20)</t>
        </is>
      </c>
    </row>
    <row r="35">
      <c r="A35" t="inlineStr">
        <is>
          <t>OCC_DAYS</t>
        </is>
      </c>
      <c r="B35" s="8">
        <f>OCC*365</f>
        <v>328.5</v>
      </c>
      <c r="C35" t="inlineStr">
        <is>
          <t>occupied days per bed-year</t>
        </is>
      </c>
      <c r="D35" t="inlineStr">
        <is>
          <t>Derived</t>
        </is>
      </c>
    </row>
    <row r="36">
      <c r="A36" t="inlineStr">
        <is>
          <t>B_MAX</t>
        </is>
      </c>
      <c r="B36" s="4" t="n">
        <v>400</v>
      </c>
      <c r="C36" t="inlineStr">
        <is>
          <t>beds in the bed schedule</t>
        </is>
      </c>
      <c r="D36" t="inlineStr">
        <is>
          <t>Assumed</t>
        </is>
      </c>
    </row>
    <row r="37">
      <c r="A37" t="inlineStr">
        <is>
          <t>PAST_POOL_PCT</t>
        </is>
      </c>
      <c r="B37" s="7" t="n">
        <v>0</v>
      </c>
      <c r="C37" t="inlineStr">
        <is>
          <t>freed days past the pool, share of a pool bed's</t>
        </is>
      </c>
      <c r="D37" t="inlineStr">
        <is>
          <t>Assumed (decision 37); runs at 0.25 and 0.5</t>
        </is>
      </c>
    </row>
    <row r="39">
      <c r="A39" s="3" t="inlineStr">
        <is>
          <t>Hospital side</t>
        </is>
      </c>
    </row>
    <row r="40">
      <c r="A40" t="inlineStr">
        <is>
          <t>HOSP_AVG_COST</t>
        </is>
      </c>
      <c r="B40" s="4" t="n">
        <v>3664</v>
      </c>
      <c r="C40" t="inlineStr">
        <is>
          <t>USD per adjusted inpatient day, 2023</t>
        </is>
      </c>
      <c r="D40" t="inlineStr">
        <is>
          <t>Sourced: KFF/AHA (draft; verify); upper bound only</t>
        </is>
      </c>
    </row>
    <row r="41">
      <c r="A41" t="inlineStr">
        <is>
          <t>C_AVOID</t>
        </is>
      </c>
      <c r="B41" s="4" t="n">
        <v>1010</v>
      </c>
      <c r="C41" t="inlineStr">
        <is>
          <t>USD per freed day, 2023 $</t>
        </is>
      </c>
      <c r="D41" t="inlineStr">
        <is>
          <t>Assumed, range set in advance (decisions 24, 38, 39)</t>
        </is>
      </c>
    </row>
    <row r="42">
      <c r="A42" t="inlineStr">
        <is>
          <t>ACUTE_MARGIN</t>
        </is>
      </c>
      <c r="B42" s="4" t="n">
        <v>0</v>
      </c>
      <c r="C42" t="inlineStr">
        <is>
          <t>USD per freed day, 2023 $</t>
        </is>
      </c>
      <c r="D42" t="inlineStr">
        <is>
          <t>Assumed (decision 56)</t>
        </is>
      </c>
    </row>
    <row r="44">
      <c r="A44" s="3" t="inlineStr">
        <is>
          <t>Nursing-home cost and Medicaid rates</t>
        </is>
      </c>
    </row>
    <row r="45">
      <c r="A45" t="inlineStr">
        <is>
          <t>NF_COST_2023</t>
        </is>
      </c>
      <c r="B45" s="7" t="n">
        <v>462</v>
      </c>
      <c r="C45" t="inlineStr">
        <is>
          <t>USD per patient day, FY2023, incl. capital</t>
        </is>
      </c>
      <c r="D45" t="inlineStr">
        <is>
          <t>Sourced: CMS cost reports, median of 18 Medicaid-heavy homes (draft; verify)</t>
        </is>
      </c>
    </row>
    <row r="46">
      <c r="A46" t="inlineStr">
        <is>
          <t>NF_COST_2011</t>
        </is>
      </c>
      <c r="B46" s="7" t="n">
        <v>288</v>
      </c>
      <c r="C46" t="inlineStr">
        <is>
          <t>USD per patient day, FY2011</t>
        </is>
      </c>
      <c r="D46" t="inlineStr">
        <is>
          <t>Sourced: same series, FY2011 (the spec writes G_HI as 462/288; the local series reads 287.76)</t>
        </is>
      </c>
    </row>
    <row r="47">
      <c r="A47" t="inlineStr">
        <is>
          <t>NF_CAP_COST_2023</t>
        </is>
      </c>
      <c r="B47" s="7" t="n">
        <v>18.75</v>
      </c>
      <c r="C47" t="inlineStr">
        <is>
          <t>USD per patient day, 2023 $</t>
        </is>
      </c>
      <c r="D47" t="inlineStr">
        <is>
          <t>Derived proxy: SPA HI-23-0014 p. 38a, 22.50 / 1.2 (draft; verify)</t>
        </is>
      </c>
    </row>
    <row r="48">
      <c r="A48" t="inlineStr">
        <is>
          <t>SALARY_SHARE</t>
        </is>
      </c>
      <c r="B48" s="7" t="n">
        <v>0.43</v>
      </c>
      <c r="C48" t="inlineStr">
        <is>
          <t>fraction of Worksheet A expense</t>
        </is>
      </c>
      <c r="D48" t="inlineStr">
        <is>
          <t>Sourced: FY2023 cost reports, median (draft; verify)</t>
        </is>
      </c>
    </row>
    <row r="49">
      <c r="A49" t="inlineStr">
        <is>
          <t>WAGE_INCREASE_PCT</t>
        </is>
      </c>
      <c r="B49" s="9" t="n">
        <v>0</v>
      </c>
      <c r="C49" t="inlineStr">
        <is>
          <t>fraction</t>
        </is>
      </c>
      <c r="D49" t="inlineStr">
        <is>
          <t>Decision 48: 0 in the base; 0.065 in the staffing run</t>
        </is>
      </c>
    </row>
    <row r="50">
      <c r="A50" t="inlineStr">
        <is>
          <t>SPREAD_FACTOR</t>
        </is>
      </c>
      <c r="B50" s="7" t="n">
        <v>0</v>
      </c>
      <c r="C50" t="inlineStr">
        <is>
          <t>existing staff's raise per dollar of new beds' raise</t>
        </is>
      </c>
      <c r="D50" t="inlineStr">
        <is>
          <t>Assumed (decision 48)</t>
        </is>
      </c>
    </row>
    <row r="51">
      <c r="A51" t="inlineStr">
        <is>
          <t>WAGE_PREMIUM</t>
        </is>
      </c>
      <c r="B51" s="8">
        <f>SALARY_SHARE*NF_COST_2023*WAGE_INCREASE_PCT*(1+SPREAD_FACTOR)</f>
        <v>0.0</v>
      </c>
      <c r="C51" t="inlineStr">
        <is>
          <t>USD per occupied day, 2023 $</t>
        </is>
      </c>
      <c r="D51" t="inlineStr">
        <is>
          <t>Derived (decision 48)</t>
        </is>
      </c>
    </row>
    <row r="52">
      <c r="A52" t="inlineStr">
        <is>
          <t>C_FULL</t>
        </is>
      </c>
      <c r="B52" s="8">
        <f>NF_COST_2023+WAGE_PREMIUM</f>
        <v>462.0</v>
      </c>
      <c r="C52" t="inlineStr">
        <is>
          <t>USD per occupied day, 2023 $, incl. capital</t>
        </is>
      </c>
      <c r="D52" t="inlineStr">
        <is>
          <t>Derived (decision 34)</t>
        </is>
      </c>
    </row>
    <row r="53">
      <c r="A53" t="inlineStr">
        <is>
          <t>C_OP</t>
        </is>
      </c>
      <c r="B53" s="8">
        <f>NF_COST_2023-NF_CAP_COST_2023+WAGE_PREMIUM</f>
        <v>443.25</v>
      </c>
      <c r="C53" t="inlineStr">
        <is>
          <t>USD per occupied day, 2023 $, excl. capital</t>
        </is>
      </c>
      <c r="D53" t="inlineStr">
        <is>
          <t>Derived</t>
        </is>
      </c>
    </row>
    <row r="54">
      <c r="A54" t="inlineStr">
        <is>
          <t>G_HI</t>
        </is>
      </c>
      <c r="B54" s="10">
        <f>(NF_COST_2023/NF_COST_2011)^(1/12)-1</f>
        <v>0.04016952108377825</v>
      </c>
      <c r="C54" t="inlineStr">
        <is>
          <t>per year</t>
        </is>
      </c>
      <c r="D54" t="inlineStr">
        <is>
          <t>Derived: FY2011 to FY2023 median cost growth</t>
        </is>
      </c>
    </row>
    <row r="55">
      <c r="A55" t="inlineStr">
        <is>
          <t>COST_DATE</t>
        </is>
      </c>
      <c r="B55" s="7" t="n">
        <v>2023.5</v>
      </c>
      <c r="C55" t="inlineStr">
        <is>
          <t>year</t>
        </is>
      </c>
      <c r="D55" t="inlineStr">
        <is>
          <t>Convention: the FY2023 cost is dated mid-2023</t>
        </is>
      </c>
    </row>
    <row r="56">
      <c r="A56" t="inlineStr">
        <is>
          <t>R_NF_2024</t>
        </is>
      </c>
      <c r="B56" s="7" t="n">
        <v>481.83</v>
      </c>
      <c r="C56" t="inlineStr">
        <is>
          <t>USD per day, nominal, Jan rate</t>
        </is>
      </c>
      <c r="D56" t="inlineStr">
        <is>
          <t>Sourced: QI-2342 (draft; verify; read by OCR)</t>
        </is>
      </c>
    </row>
    <row r="57">
      <c r="A57" t="inlineStr">
        <is>
          <t>R_NF_2025</t>
        </is>
      </c>
      <c r="B57" s="7" t="n">
        <v>509.69</v>
      </c>
      <c r="C57" t="inlineStr">
        <is>
          <t>USD per day, nominal, Jan rate</t>
        </is>
      </c>
      <c r="D57" t="inlineStr">
        <is>
          <t>Sourced: QI-2427 (draft; verify; read by OCR)</t>
        </is>
      </c>
    </row>
    <row r="58">
      <c r="A58" t="inlineStr">
        <is>
          <t>R_NF_2026</t>
        </is>
      </c>
      <c r="B58" s="7" t="n">
        <v>495.25</v>
      </c>
      <c r="C58" t="inlineStr">
        <is>
          <t>USD per day, nominal, Jan rate</t>
        </is>
      </c>
      <c r="D58" t="inlineStr">
        <is>
          <t>Sourced: QI-2532 (draft; verify; read by OCR)</t>
        </is>
      </c>
    </row>
    <row r="59">
      <c r="A59" t="inlineStr">
        <is>
          <t>R_NF_HIST_2016_01</t>
        </is>
      </c>
      <c r="B59" s="7" t="n">
        <v>246.97</v>
      </c>
      <c r="C59" t="inlineStr">
        <is>
          <t>USD per day, nominal</t>
        </is>
      </c>
      <c r="D59" t="inlineStr">
        <is>
          <t>Sourced: QI-1521 (draft; verify); Figure 1 and the supply response</t>
        </is>
      </c>
    </row>
    <row r="60">
      <c r="A60" t="inlineStr">
        <is>
          <t>R_NF_HIST_2020_07</t>
        </is>
      </c>
      <c r="B60" s="7" t="n">
        <v>282.98</v>
      </c>
      <c r="C60" t="inlineStr">
        <is>
          <t>USD per day, nominal</t>
        </is>
      </c>
      <c r="D60" t="inlineStr">
        <is>
          <t>Sourced: QI-2022 (draft; verify); Figure 1 and the supply response</t>
        </is>
      </c>
    </row>
    <row r="61">
      <c r="A61" t="inlineStr">
        <is>
          <t>R_NF_HIST_2021_07</t>
        </is>
      </c>
      <c r="B61" s="7" t="n">
        <v>334.75</v>
      </c>
      <c r="C61" t="inlineStr">
        <is>
          <t>USD per day, nominal</t>
        </is>
      </c>
      <c r="D61" t="inlineStr">
        <is>
          <t>Sourced: QI-2113B (draft; verify); Figure 1 and the supply response</t>
        </is>
      </c>
    </row>
    <row r="62">
      <c r="A62" t="inlineStr">
        <is>
          <t>R_NF_JUL2023</t>
        </is>
      </c>
      <c r="B62" s="7" t="n">
        <v>371.99</v>
      </c>
      <c r="C62" t="inlineStr">
        <is>
          <t>USD per day, nominal</t>
        </is>
      </c>
      <c r="D62" t="inlineStr">
        <is>
          <t>Sourced: QI-2326 (draft; verify); Figure 1 and the supply response</t>
        </is>
      </c>
    </row>
    <row r="63">
      <c r="A63" t="inlineStr">
        <is>
          <t>R_WAIT_2024</t>
        </is>
      </c>
      <c r="B63" s="7" t="n">
        <v>464.97</v>
      </c>
      <c r="C63" t="inlineStr">
        <is>
          <t>USD per waitlisted day, nominal</t>
        </is>
      </c>
      <c r="D63" t="inlineStr">
        <is>
          <t>Sourced: QI-2342 (draft; verify)</t>
        </is>
      </c>
    </row>
    <row r="64">
      <c r="A64" t="inlineStr">
        <is>
          <t>R_WAIT_2026</t>
        </is>
      </c>
      <c r="B64" s="7" t="n">
        <v>486.76</v>
      </c>
      <c r="C64" t="inlineStr">
        <is>
          <t>USD per waitlisted day, nominal</t>
        </is>
      </c>
      <c r="D64" t="inlineStr">
        <is>
          <t>Sourced: QI-2532 (draft; verify)</t>
        </is>
      </c>
    </row>
    <row r="65">
      <c r="A65" t="inlineStr">
        <is>
          <t>R_WAIT_HIST_2016_01</t>
        </is>
      </c>
      <c r="B65" s="7" t="n">
        <v>234.09</v>
      </c>
      <c r="C65" t="inlineStr">
        <is>
          <t>USD per waitlisted day, nominal</t>
        </is>
      </c>
      <c r="D65" t="inlineStr">
        <is>
          <t>Sourced: QI-1521 (draft; verify); Figure 1</t>
        </is>
      </c>
    </row>
    <row r="66">
      <c r="A66" t="inlineStr">
        <is>
          <t>R_WAIT_HIST_2023_07</t>
        </is>
      </c>
      <c r="B66" s="7" t="n">
        <v>302.89</v>
      </c>
      <c r="C66" t="inlineStr">
        <is>
          <t>USD per waitlisted day, nominal</t>
        </is>
      </c>
      <c r="D66" t="inlineStr">
        <is>
          <t>Sourced: QI-2326 (draft; verify); Figure 1</t>
        </is>
      </c>
    </row>
    <row r="67">
      <c r="A67" t="inlineStr">
        <is>
          <t>G_IDX_2024</t>
        </is>
      </c>
      <c r="B67" s="11" t="n">
        <v>0.03</v>
      </c>
      <c r="C67" t="inlineStr">
        <is>
          <t>per year, FY basket; rate year t takes FY t</t>
        </is>
      </c>
      <c r="D67" t="inlineStr">
        <is>
          <t>Sourced proxy: CMS SNF market basket, gross (draft; verify; decisions 65 to 67)</t>
        </is>
      </c>
    </row>
    <row r="68">
      <c r="A68" t="inlineStr">
        <is>
          <t>G_IDX_2025</t>
        </is>
      </c>
      <c r="B68" s="11" t="n">
        <v>0.03</v>
      </c>
      <c r="C68" t="inlineStr">
        <is>
          <t>per year, FY basket; rate year t takes FY t</t>
        </is>
      </c>
      <c r="D68" t="inlineStr">
        <is>
          <t>Sourced proxy: CMS SNF market basket, gross (draft; verify; decisions 65 to 67)</t>
        </is>
      </c>
    </row>
    <row r="69">
      <c r="A69" t="inlineStr">
        <is>
          <t>G_IDX_2026</t>
        </is>
      </c>
      <c r="B69" s="11" t="n">
        <v>0.033</v>
      </c>
      <c r="C69" t="inlineStr">
        <is>
          <t>per year, FY basket; rate year t takes FY t</t>
        </is>
      </c>
      <c r="D69" t="inlineStr">
        <is>
          <t>Sourced proxy: CMS SNF market basket, gross (draft; verify; decisions 65 to 67)</t>
        </is>
      </c>
    </row>
    <row r="70">
      <c r="A70" t="inlineStr">
        <is>
          <t>G_IDX_2027</t>
        </is>
      </c>
      <c r="B70" s="11" t="n">
        <v>0.033</v>
      </c>
      <c r="C70" t="inlineStr">
        <is>
          <t>per year, FY basket; rate year t takes FY t</t>
        </is>
      </c>
      <c r="D70" t="inlineStr">
        <is>
          <t>Sourced proxy: CMS SNF market basket, gross (draft; verify; decisions 65 to 67)</t>
        </is>
      </c>
    </row>
    <row r="71">
      <c r="A71" t="inlineStr">
        <is>
          <t>G_IDX_POST</t>
        </is>
      </c>
      <c r="B71" s="11" t="n">
        <v>0.033</v>
      </c>
      <c r="C71" t="inlineStr">
        <is>
          <t>per year, after FY2027</t>
        </is>
      </c>
      <c r="D71" t="inlineStr">
        <is>
          <t>Decision 68; run at 0.030</t>
        </is>
      </c>
    </row>
    <row r="72">
      <c r="A72" t="inlineStr">
        <is>
          <t>R_CAP_2024</t>
        </is>
      </c>
      <c r="B72" s="7" t="n">
        <v>22.5</v>
      </c>
      <c r="C72" t="inlineStr">
        <is>
          <t>USD per day, nominal, before GET</t>
        </is>
      </c>
      <c r="D72" t="inlineStr">
        <is>
          <t>Sourced: SPA HI-23-0014 p. 38a, 120% of median (draft; verify)</t>
        </is>
      </c>
    </row>
    <row r="73">
      <c r="A73" t="inlineStr">
        <is>
          <t>R_CAP_2025</t>
        </is>
      </c>
      <c r="B73" s="8">
        <f>R_CAP_2024*(1+G_IDX_2025)</f>
        <v>23.175</v>
      </c>
      <c r="C73" t="inlineStr">
        <is>
          <t>USD per day, nominal</t>
        </is>
      </c>
      <c r="D73" t="inlineStr">
        <is>
          <t>Derived (decision 69)</t>
        </is>
      </c>
    </row>
    <row r="74">
      <c r="A74" t="inlineStr">
        <is>
          <t>R_CAP_2026</t>
        </is>
      </c>
      <c r="B74" s="8">
        <f>R_CAP_2025*(1+G_IDX_2026)</f>
        <v>23.939774999999997</v>
      </c>
      <c r="C74" t="inlineStr">
        <is>
          <t>USD per day, nominal</t>
        </is>
      </c>
      <c r="D74" t="inlineStr">
        <is>
          <t>Derived (decision 69)</t>
        </is>
      </c>
    </row>
    <row r="75">
      <c r="A75" t="inlineStr">
        <is>
          <t>GET_RATE</t>
        </is>
      </c>
      <c r="B75" s="12" t="n">
        <v>0.04712</v>
      </c>
      <c r="C75" t="inlineStr">
        <is>
          <t>fraction added on top</t>
        </is>
      </c>
      <c r="D75" t="inlineStr">
        <is>
          <t>Sourced: Hawaii Dept. of Taxation, max pass-on rate (draft; verify)</t>
        </is>
      </c>
    </row>
    <row r="76">
      <c r="A76" t="inlineStr">
        <is>
          <t>MCD_NF_DAYS</t>
        </is>
      </c>
      <c r="B76" s="4" t="n">
        <v>526866</v>
      </c>
      <c r="C76" t="inlineStr">
        <is>
          <t>Medicaid NF days per year, FY2023</t>
        </is>
      </c>
      <c r="D76" t="inlineStr">
        <is>
          <t>Sourced: FY2023 cost reports (draft; verify)</t>
        </is>
      </c>
    </row>
    <row r="78">
      <c r="A78" s="3" t="inlineStr">
        <is>
          <t>Capital (by rung)</t>
        </is>
      </c>
    </row>
    <row r="79">
      <c r="A79" t="inlineStr">
        <is>
          <t>K_RUNG1</t>
        </is>
      </c>
      <c r="B79" s="4" t="n">
        <v>10255</v>
      </c>
      <c r="C79" t="inlineStr">
        <is>
          <t>USD per bed, 2023 $, converted space</t>
        </is>
      </c>
      <c r="D79" t="inlineStr">
        <is>
          <t>Sourced and derived: CON median, 4 applications (draft; verify; decisions 44, 74, 79 to 82)</t>
        </is>
      </c>
    </row>
    <row r="80">
      <c r="A80" t="inlineStr">
        <is>
          <t>K_RUNG2</t>
        </is>
      </c>
      <c r="B80" s="4" t="n">
        <v>244869</v>
      </c>
      <c r="C80" t="inlineStr">
        <is>
          <t>USD per bed, 2023 $, new building</t>
        </is>
      </c>
      <c r="D80" t="inlineStr">
        <is>
          <t>Sourced and derived: CON median, 8 applications, land included (draft; verify)</t>
        </is>
      </c>
    </row>
    <row r="81">
      <c r="A81" t="inlineStr">
        <is>
          <t>N_LIFE_RUNG1</t>
        </is>
      </c>
      <c r="B81" s="4" t="n">
        <v>20</v>
      </c>
      <c r="C81" t="inlineStr">
        <is>
          <t>years</t>
        </is>
      </c>
      <c r="D81" t="inlineStr">
        <is>
          <t>Assumed (decision 45)</t>
        </is>
      </c>
    </row>
    <row r="82">
      <c r="A82" t="inlineStr">
        <is>
          <t>N_LIFE_RUNG2</t>
        </is>
      </c>
      <c r="B82" s="4" t="n">
        <v>40</v>
      </c>
      <c r="C82" t="inlineStr">
        <is>
          <t>years</t>
        </is>
      </c>
      <c r="D82" t="inlineStr">
        <is>
          <t>Assumed (decision 45)</t>
        </is>
      </c>
    </row>
    <row r="83">
      <c r="A83" t="inlineStr">
        <is>
          <t>DISC_RATE</t>
        </is>
      </c>
      <c r="B83" s="11" t="n">
        <v>0.02</v>
      </c>
      <c r="C83" t="inlineStr">
        <is>
          <t>per year, real</t>
        </is>
      </c>
      <c r="D83" t="inlineStr">
        <is>
          <t>Derived (decisions 46, 76); runs at 0.03 and 0.07</t>
        </is>
      </c>
    </row>
    <row r="84">
      <c r="A84" t="inlineStr">
        <is>
          <t>RUNG_BEDS_1</t>
        </is>
      </c>
      <c r="B84" s="13">
        <f>B_MAX</f>
        <v>400</v>
      </c>
      <c r="C84" t="inlineStr">
        <is>
          <t>beds available in rung 1</t>
        </is>
      </c>
      <c r="D84" t="inlineStr">
        <is>
          <t>Unlimited in the base (all beds in the schedule); 0 in the new-building run (decisions 62, 77)</t>
        </is>
      </c>
    </row>
    <row r="85">
      <c r="A85" t="inlineStr">
        <is>
          <t>RUNG_BEDS_2</t>
        </is>
      </c>
      <c r="B85" s="13">
        <f>B_MAX</f>
        <v>400</v>
      </c>
      <c r="C85" t="inlineStr">
        <is>
          <t>beds available in rung 2</t>
        </is>
      </c>
      <c r="D85" t="inlineStr">
        <is>
          <t>Unlimited (decision 62)</t>
        </is>
      </c>
    </row>
    <row r="87">
      <c r="A87" s="3" t="inlineStr">
        <is>
          <t>Budget view</t>
        </is>
      </c>
    </row>
    <row r="88">
      <c r="A88" t="inlineStr">
        <is>
          <t>MCD_SHARE_FREED</t>
        </is>
      </c>
      <c r="B88" s="7" t="n">
        <v>1</v>
      </c>
      <c r="C88" t="inlineStr">
        <is>
          <t>fraction</t>
        </is>
      </c>
      <c r="D88" t="inlineStr">
        <is>
          <t>Assumed (decision 41)</t>
        </is>
      </c>
    </row>
    <row r="89">
      <c r="A89" t="inlineStr">
        <is>
          <t>MEDICARE_RUN</t>
        </is>
      </c>
      <c r="B89" s="4" t="n">
        <v>0</v>
      </c>
      <c r="C89" t="inlineStr">
        <is>
          <t>flag: 1 moves days 1 to 20 of each stay to Medicare</t>
        </is>
      </c>
      <c r="D89" t="inlineStr">
        <is>
          <t>Decision 41: 0 in the base; 1 in the Medicare run</t>
        </is>
      </c>
    </row>
    <row r="90">
      <c r="A90" t="inlineStr">
        <is>
          <t>MEDICARE_FULL_DAYS</t>
        </is>
      </c>
      <c r="B90" s="4" t="n">
        <v>20</v>
      </c>
      <c r="C90" t="inlineStr">
        <is>
          <t>days</t>
        </is>
      </c>
      <c r="D90" t="inlineStr">
        <is>
          <t>Sourced: Medicare.gov (draft; verify)</t>
        </is>
      </c>
    </row>
    <row r="91">
      <c r="A91" t="inlineStr">
        <is>
          <t>MCD_SHARE_BED</t>
        </is>
      </c>
      <c r="B91" s="5">
        <f>IF(MEDICARE_RUN=1,MAX(0,STAY_DAYS-MEDICARE_FULL_DAYS)/STAY_DAYS,1)</f>
        <v>1</v>
      </c>
      <c r="C91" t="inlineStr">
        <is>
          <t>fraction of bed days Medicaid pays</t>
        </is>
      </c>
      <c r="D91" t="inlineStr">
        <is>
          <t>Assumed (decision 41)</t>
        </is>
      </c>
    </row>
    <row r="92">
      <c r="A92" t="inlineStr">
        <is>
          <t>FMAP_2024</t>
        </is>
      </c>
      <c r="B92" s="9" t="n">
        <v>0.5856</v>
      </c>
      <c r="C92" t="inlineStr">
        <is>
          <t>fraction, federal FY</t>
        </is>
      </c>
      <c r="D92" t="inlineStr">
        <is>
          <t>Sourced: MACPAC Exhibit 6 (draft; verify)</t>
        </is>
      </c>
    </row>
    <row r="93">
      <c r="A93" t="inlineStr">
        <is>
          <t>FMAP_2025</t>
        </is>
      </c>
      <c r="B93" s="9" t="n">
        <v>0.5908</v>
      </c>
      <c r="C93" t="inlineStr">
        <is>
          <t>fraction, federal FY</t>
        </is>
      </c>
      <c r="D93" t="inlineStr">
        <is>
          <t>Sourced: MACPAC Exhibit 6 (draft; verify)</t>
        </is>
      </c>
    </row>
    <row r="94">
      <c r="A94" t="inlineStr">
        <is>
          <t>FMAP_2026</t>
        </is>
      </c>
      <c r="B94" s="9" t="n">
        <v>0.5968</v>
      </c>
      <c r="C94" t="inlineStr">
        <is>
          <t>fraction, federal FY</t>
        </is>
      </c>
      <c r="D94" t="inlineStr">
        <is>
          <t>Sourced: MACPAC Exhibit 6 (draft; verify)</t>
        </is>
      </c>
    </row>
    <row r="95">
      <c r="A95" t="inlineStr">
        <is>
          <t>FMAP_BUDGET</t>
        </is>
      </c>
      <c r="B95" s="5">
        <f>FMAP_2026</f>
        <v>0.5968</v>
      </c>
      <c r="C95" t="inlineStr">
        <is>
          <t>fraction</t>
        </is>
      </c>
      <c r="D95" t="inlineStr">
        <is>
          <t>The Jan 2026 rates the budget view uses fall in FY2026</t>
        </is>
      </c>
    </row>
    <row r="97">
      <c r="A97" s="3" t="inlineStr">
        <is>
          <t>Rate comparison</t>
        </is>
      </c>
    </row>
    <row r="98">
      <c r="A98" t="inlineStr">
        <is>
          <t>DELTA_R</t>
        </is>
      </c>
      <c r="B98" s="4" t="n">
        <v>10</v>
      </c>
      <c r="C98" t="inlineStr">
        <is>
          <t>USD per day</t>
        </is>
      </c>
      <c r="D98" t="inlineStr">
        <is>
          <t>Assumed unit (brief)</t>
        </is>
      </c>
    </row>
    <row r="99">
      <c r="A99" t="inlineStr">
        <is>
          <t>SUPPLY_RESPONSE_ARC</t>
        </is>
      </c>
      <c r="B99" s="5">
        <f>((WAIT_DAYS_2024-WAIT_DAYS_2023)/((WAIT_DAYS_2024+WAIT_DAYS_2023)/2))/((R_NF_2024-R_NF_JUL2023)/((R_NF_2024+R_NF_JUL2023)/2))</f>
        <v>-1.199743330880367</v>
      </c>
      <c r="C99" t="inlineStr">
        <is>
          <t>elasticity</t>
        </is>
      </c>
      <c r="D99" t="inlineStr">
        <is>
          <t>Derived (decision 57)</t>
        </is>
      </c>
    </row>
    <row r="100">
      <c r="A100" t="inlineStr">
        <is>
          <t>SUPPLY_RESPONSE_SIMPLE</t>
        </is>
      </c>
      <c r="B100" s="5">
        <f>((WAIT_DAYS_2024-WAIT_DAYS_2023)/WAIT_DAYS_2023)/((R_NF_2024-R_NF_JUL2023)/R_NF_JUL2023)</f>
        <v>-0.9056262354648127</v>
      </c>
      <c r="C100" t="inlineStr">
        <is>
          <t>elasticity</t>
        </is>
      </c>
      <c r="D100" t="inlineStr">
        <is>
          <t>Derived (decision 57); the run</t>
        </is>
      </c>
    </row>
    <row r="101">
      <c r="A101" t="inlineStr">
        <is>
          <t>SUPPLY_RESPONSE</t>
        </is>
      </c>
      <c r="B101" s="5">
        <f>SUPPLY_RESPONSE_ARC</f>
        <v>-1.199743330880367</v>
      </c>
      <c r="C101" t="inlineStr">
        <is>
          <t>elasticity</t>
        </is>
      </c>
      <c r="D101" t="inlineStr">
        <is>
          <t>Base: arc (decision 57)</t>
        </is>
      </c>
    </row>
    <row r="102">
      <c r="A102" t="inlineStr">
        <is>
          <t>REBASE_YEARS</t>
        </is>
      </c>
      <c r="B102" s="4" t="n">
        <v>3</v>
      </c>
      <c r="C102" t="inlineStr">
        <is>
          <t>years between rebases</t>
        </is>
      </c>
      <c r="D102" t="inlineStr">
        <is>
          <t>Assumed (decision 50)</t>
        </is>
      </c>
    </row>
    <row r="103">
      <c r="A103" t="inlineStr">
        <is>
          <t>RULE_START</t>
        </is>
      </c>
      <c r="B103" s="6" t="n">
        <v>2027</v>
      </c>
      <c r="C103" t="inlineStr">
        <is>
          <t>first rate year under the rule</t>
        </is>
      </c>
      <c r="D103" t="inlineStr">
        <is>
          <t>Assumed</t>
        </is>
      </c>
    </row>
    <row r="104">
      <c r="A104" t="inlineStr">
        <is>
          <t>INFL</t>
        </is>
      </c>
      <c r="B104" s="11" t="n">
        <v>0.0228</v>
      </c>
      <c r="C104" t="inlineStr">
        <is>
          <t>per year</t>
        </is>
      </c>
      <c r="D104" t="inlineStr">
        <is>
          <t>Sourced: FRED T10YIE, Sep 25, 2026 (draft; verify)</t>
        </is>
      </c>
    </row>
    <row r="106">
      <c r="A106" s="3" t="inlineStr">
        <is>
          <t>Onward placement</t>
        </is>
      </c>
    </row>
    <row r="107">
      <c r="A107" t="inlineStr">
        <is>
          <t>T19_WAITING_2024</t>
        </is>
      </c>
      <c r="B107" s="4" t="n">
        <v>39</v>
      </c>
      <c r="C107" t="inlineStr">
        <is>
          <t>patients in LTC beds ready to move down, Dec 31, 2024</t>
        </is>
      </c>
      <c r="D107" t="inlineStr">
        <is>
          <t>Sourced: Table 19 (draft; verify)</t>
        </is>
      </c>
    </row>
    <row r="108">
      <c r="A108" t="inlineStr">
        <is>
          <t>T19_CAREHOME_2024</t>
        </is>
      </c>
      <c r="B108" s="4" t="n">
        <v>34</v>
      </c>
      <c r="C108" t="inlineStr">
        <is>
          <t>of those, waiting for a care home</t>
        </is>
      </c>
      <c r="D108" t="inlineStr">
        <is>
          <t>Sourced: Table 19 (draft; verify)</t>
        </is>
      </c>
    </row>
    <row r="109">
      <c r="A109" t="inlineStr">
        <is>
          <t>T19_DAYS_2024</t>
        </is>
      </c>
      <c r="B109" s="4" t="n">
        <v>5578</v>
      </c>
      <c r="C109" t="inlineStr">
        <is>
          <t>days (understated)</t>
        </is>
      </c>
      <c r="D109" t="inlineStr">
        <is>
          <t>Sourced: Table 19 (draft; verify)</t>
        </is>
      </c>
    </row>
    <row r="110">
      <c r="A110" t="inlineStr">
        <is>
          <t>MEDIAN_MCD_LOS</t>
        </is>
      </c>
      <c r="B110" s="4" t="n">
        <v>543</v>
      </c>
      <c r="C110" t="inlineStr">
        <is>
          <t>days, median Medicaid stay</t>
        </is>
      </c>
      <c r="D110" t="inlineStr">
        <is>
          <t>Sourced: cost reports (noisy)</t>
        </is>
      </c>
    </row>
    <row r="112">
      <c r="A112" s="3" t="inlineStr">
        <is>
          <t>Price year</t>
        </is>
      </c>
    </row>
    <row r="113">
      <c r="A113" t="inlineStr">
        <is>
          <t>CPI_2011</t>
        </is>
      </c>
      <c r="B113" s="7" t="n">
        <v>243.622</v>
      </c>
      <c r="C113" t="inlineStr">
        <is>
          <t>CPI-U Urban Hawaii, annual average</t>
        </is>
      </c>
      <c r="D113" t="inlineStr">
        <is>
          <t>Sourced: FRED CUUSA426SA0 (checked 2026-09-27)</t>
        </is>
      </c>
    </row>
    <row r="114">
      <c r="A114" t="inlineStr">
        <is>
          <t>CPI_2012</t>
        </is>
      </c>
      <c r="B114" s="7" t="n">
        <v>249.474</v>
      </c>
      <c r="C114" t="inlineStr">
        <is>
          <t>CPI-U Urban Hawaii, annual average</t>
        </is>
      </c>
      <c r="D114" t="inlineStr">
        <is>
          <t>Sourced: FRED CUUSA426SA0 (checked 2026-09-27)</t>
        </is>
      </c>
    </row>
    <row r="115">
      <c r="A115" t="inlineStr">
        <is>
          <t>CPI_2013</t>
        </is>
      </c>
      <c r="B115" s="7" t="n">
        <v>253.924</v>
      </c>
      <c r="C115" t="inlineStr">
        <is>
          <t>CPI-U Urban Hawaii, annual average</t>
        </is>
      </c>
      <c r="D115" t="inlineStr">
        <is>
          <t>Sourced: FRED CUUSA426SA0 (checked 2026-09-27)</t>
        </is>
      </c>
    </row>
    <row r="116">
      <c r="A116" t="inlineStr">
        <is>
          <t>CPI_2014</t>
        </is>
      </c>
      <c r="B116" s="7" t="n">
        <v>257.589</v>
      </c>
      <c r="C116" t="inlineStr">
        <is>
          <t>CPI-U Urban Hawaii, annual average</t>
        </is>
      </c>
      <c r="D116" t="inlineStr">
        <is>
          <t>Sourced: FRED CUUSA426SA0 (checked 2026-09-27)</t>
        </is>
      </c>
    </row>
    <row r="117">
      <c r="A117" t="inlineStr">
        <is>
          <t>CPI_2015</t>
        </is>
      </c>
      <c r="B117" s="7" t="n">
        <v>260.165</v>
      </c>
      <c r="C117" t="inlineStr">
        <is>
          <t>CPI-U Urban Hawaii, annual average</t>
        </is>
      </c>
      <c r="D117" t="inlineStr">
        <is>
          <t>Sourced: FRED CUUSA426SA0 (checked 2026-09-27)</t>
        </is>
      </c>
    </row>
    <row r="118">
      <c r="A118" t="inlineStr">
        <is>
          <t>CPI_2016</t>
        </is>
      </c>
      <c r="B118" s="7" t="n">
        <v>265.283</v>
      </c>
      <c r="C118" t="inlineStr">
        <is>
          <t>CPI-U Urban Hawaii, annual average</t>
        </is>
      </c>
      <c r="D118" t="inlineStr">
        <is>
          <t>Sourced: FRED CUUSA426SA0 (checked 2026-09-27)</t>
        </is>
      </c>
    </row>
    <row r="119">
      <c r="A119" t="inlineStr">
        <is>
          <t>CPI_2017</t>
        </is>
      </c>
      <c r="B119" s="7" t="n">
        <v>272.014</v>
      </c>
      <c r="C119" t="inlineStr">
        <is>
          <t>CPI-U Urban Hawaii, annual average</t>
        </is>
      </c>
      <c r="D119" t="inlineStr">
        <is>
          <t>Sourced: FRED CUUSA426SA0 (checked 2026-09-27)</t>
        </is>
      </c>
    </row>
    <row r="120">
      <c r="A120" t="inlineStr">
        <is>
          <t>CPI_2018</t>
        </is>
      </c>
      <c r="B120" s="7" t="n">
        <v>277.078</v>
      </c>
      <c r="C120" t="inlineStr">
        <is>
          <t>CPI-U Urban Hawaii, annual average</t>
        </is>
      </c>
      <c r="D120" t="inlineStr">
        <is>
          <t>Sourced: FRED CUUSA426SA0 (checked 2026-09-27)</t>
        </is>
      </c>
    </row>
    <row r="121">
      <c r="A121" t="inlineStr">
        <is>
          <t>CPI_2019</t>
        </is>
      </c>
      <c r="B121" s="7" t="n">
        <v>281.585</v>
      </c>
      <c r="C121" t="inlineStr">
        <is>
          <t>CPI-U Urban Hawaii, annual average</t>
        </is>
      </c>
      <c r="D121" t="inlineStr">
        <is>
          <t>Sourced: FRED CUUSA426SA0 (checked 2026-09-27)</t>
        </is>
      </c>
    </row>
    <row r="122">
      <c r="A122" t="inlineStr">
        <is>
          <t>CPI_2020</t>
        </is>
      </c>
      <c r="B122" s="7" t="n">
        <v>286.008</v>
      </c>
      <c r="C122" t="inlineStr">
        <is>
          <t>CPI-U Urban Hawaii, annual average</t>
        </is>
      </c>
      <c r="D122" t="inlineStr">
        <is>
          <t>Sourced: FRED CUUSA426SA0 (checked 2026-09-27)</t>
        </is>
      </c>
    </row>
    <row r="123">
      <c r="A123" t="inlineStr">
        <is>
          <t>CPI_2021</t>
        </is>
      </c>
      <c r="B123" s="7" t="n">
        <v>296.818</v>
      </c>
      <c r="C123" t="inlineStr">
        <is>
          <t>CPI-U Urban Hawaii, annual average</t>
        </is>
      </c>
      <c r="D123" t="inlineStr">
        <is>
          <t>Sourced: FRED CUUSA426SA0 (checked 2026-09-27)</t>
        </is>
      </c>
    </row>
    <row r="124">
      <c r="A124" t="inlineStr">
        <is>
          <t>CPI_2022</t>
        </is>
      </c>
      <c r="B124" s="7" t="n">
        <v>316.076</v>
      </c>
      <c r="C124" t="inlineStr">
        <is>
          <t>CPI-U Urban Hawaii, annual average</t>
        </is>
      </c>
      <c r="D124" t="inlineStr">
        <is>
          <t>Sourced: FRED CUUSA426SA0 (checked 2026-09-27)</t>
        </is>
      </c>
    </row>
    <row r="125">
      <c r="A125" t="inlineStr">
        <is>
          <t>CPI_2023</t>
        </is>
      </c>
      <c r="B125" s="7" t="n">
        <v>325.954</v>
      </c>
      <c r="C125" t="inlineStr">
        <is>
          <t>CPI-U Urban Hawaii, annual average</t>
        </is>
      </c>
      <c r="D125" t="inlineStr">
        <is>
          <t>Sourced: FRED CUUSA426SA0 (checked 2026-09-27)</t>
        </is>
      </c>
    </row>
    <row r="126">
      <c r="A126" t="inlineStr">
        <is>
          <t>CPI_2024</t>
        </is>
      </c>
      <c r="B126" s="7" t="n">
        <v>340.197</v>
      </c>
      <c r="C126" t="inlineStr">
        <is>
          <t>CPI-U Urban Hawaii, annual average</t>
        </is>
      </c>
      <c r="D126" t="inlineStr">
        <is>
          <t>Sourced: FRED CUUSA426SA0 (checked 2026-09-27)</t>
        </is>
      </c>
    </row>
    <row r="127">
      <c r="A127" t="inlineStr">
        <is>
          <t>CPI_2025</t>
        </is>
      </c>
      <c r="B127" s="7" t="n">
        <v>348.922</v>
      </c>
      <c r="C127" t="inlineStr">
        <is>
          <t>CPI-U Urban Hawaii, annual average</t>
        </is>
      </c>
      <c r="D127" t="inlineStr">
        <is>
          <t>Sourced: FRED CUUSA426SA0 (checked 2026-09-27)</t>
        </is>
      </c>
    </row>
    <row r="128">
      <c r="A128" t="inlineStr">
        <is>
          <t>DEFLATOR_2024</t>
        </is>
      </c>
      <c r="B128" s="10">
        <f>CPI_2023/CPI_2024</f>
        <v>0.9581330817144185</v>
      </c>
      <c r="C128" t="inlineStr">
        <is>
          <t>multiplier to 2023 $</t>
        </is>
      </c>
      <c r="D128" t="inlineStr">
        <is>
          <t>Derived</t>
        </is>
      </c>
    </row>
    <row r="129">
      <c r="A129" t="inlineStr">
        <is>
          <t>DEFLATOR_2025</t>
        </is>
      </c>
      <c r="B129" s="10">
        <f>CPI_2023/CPI_2025</f>
        <v>0.9341744000091711</v>
      </c>
      <c r="C129" t="inlineStr">
        <is>
          <t>multiplier to 2023 $</t>
        </is>
      </c>
      <c r="D129" t="inlineStr">
        <is>
          <t>Derived</t>
        </is>
      </c>
    </row>
    <row r="130">
      <c r="A130" t="inlineStr">
        <is>
          <t>R_NF_2023</t>
        </is>
      </c>
      <c r="B130" s="8">
        <f>R_NF_2026*DEFLATOR_2025</f>
        <v>462.649871604542</v>
      </c>
      <c r="C130" t="inlineStr">
        <is>
          <t>USD per day, 2023 $</t>
        </is>
      </c>
      <c r="D130" t="inlineStr">
        <is>
          <t>Derived: Jan 2026 rate, deflated with 2025 CPI</t>
        </is>
      </c>
    </row>
    <row r="131">
      <c r="A131" t="inlineStr">
        <is>
          <t>R_WAIT_2023</t>
        </is>
      </c>
      <c r="B131" s="8">
        <f>R_WAIT_2026*DEFLATOR_2025</f>
        <v>454.7187309484641</v>
      </c>
      <c r="C131" t="inlineStr">
        <is>
          <t>USD per waitlisted day, 2023 $</t>
        </is>
      </c>
      <c r="D131" t="inlineStr">
        <is>
          <t>Derived</t>
        </is>
      </c>
    </row>
    <row r="132">
      <c r="A132" t="inlineStr">
        <is>
          <t>R_CAP_2023</t>
        </is>
      </c>
      <c r="B132" s="8">
        <f>R_CAP_2024</f>
        <v>22.5</v>
      </c>
      <c r="C132" t="inlineStr">
        <is>
          <t>USD per day, 2023 $</t>
        </is>
      </c>
      <c r="D132" t="inlineStr">
        <is>
          <t>The 2023 rate-base price, no deflator (decision 71)</t>
        </is>
      </c>
    </row>
    <row r="134">
      <c r="A134" s="3" t="inlineStr">
        <is>
          <t>Hypothesis values (read only by Checks)</t>
        </is>
      </c>
    </row>
    <row r="135">
      <c r="A135" t="inlineStr">
        <is>
          <t>HYP_BEDS</t>
        </is>
      </c>
      <c r="B135" s="4" t="n">
        <v>150</v>
      </c>
      <c r="C135" t="inlineStr">
        <is>
          <t>beds</t>
        </is>
      </c>
      <c r="D135" t="inlineStr">
        <is>
          <t>Brief</t>
        </is>
      </c>
    </row>
    <row r="136">
      <c r="A136" t="inlineStr">
        <is>
          <t>BAND_LO</t>
        </is>
      </c>
      <c r="B136" s="4" t="n">
        <v>125</v>
      </c>
      <c r="C136" t="inlineStr">
        <is>
          <t>beds</t>
        </is>
      </c>
      <c r="D136" t="inlineStr">
        <is>
          <t>Brief</t>
        </is>
      </c>
    </row>
    <row r="137">
      <c r="A137" t="inlineStr">
        <is>
          <t>BAND_HI</t>
        </is>
      </c>
      <c r="B137" s="4" t="n">
        <v>175</v>
      </c>
      <c r="C137" t="inlineStr">
        <is>
          <t>beds</t>
        </is>
      </c>
      <c r="D137" t="inlineStr">
        <is>
          <t>Brief</t>
        </is>
      </c>
    </row>
    <row r="138">
      <c r="A138" t="inlineStr">
        <is>
          <t>HYP_BREAKEVEN</t>
        </is>
      </c>
      <c r="B138" s="4" t="n">
        <v>900</v>
      </c>
      <c r="C138" t="inlineStr">
        <is>
          <t>USD per freed day</t>
        </is>
      </c>
      <c r="D138" t="inlineStr">
        <is>
          <t>Brief</t>
        </is>
      </c>
    </row>
    <row r="139">
      <c r="A139" t="inlineStr">
        <is>
          <t>RANGE_LO</t>
        </is>
      </c>
      <c r="B139" s="4" t="n">
        <v>550</v>
      </c>
      <c r="C139" t="inlineStr">
        <is>
          <t>USD per freed day</t>
        </is>
      </c>
      <c r="D139" t="inlineStr">
        <is>
          <t>Brief</t>
        </is>
      </c>
    </row>
    <row r="140">
      <c r="A140" t="inlineStr">
        <is>
          <t>RANGE_HI</t>
        </is>
      </c>
      <c r="B140" s="4" t="n">
        <v>1470</v>
      </c>
      <c r="C140" t="inlineStr">
        <is>
          <t>USD per freed day</t>
        </is>
      </c>
      <c r="D140" t="inlineStr">
        <is>
          <t>Brief</t>
        </is>
      </c>
    </row>
    <row r="141">
      <c r="A141" t="inlineStr">
        <is>
          <t>HYP_STAY_FAIL</t>
        </is>
      </c>
      <c r="B141" s="4" t="n">
        <v>50</v>
      </c>
      <c r="C141" t="inlineStr">
        <is>
          <t>days</t>
        </is>
      </c>
      <c r="D141" t="inlineStr">
        <is>
          <t>Brief</t>
        </is>
      </c>
    </row>
    <row r="143">
      <c r="A143" s="3" t="inlineStr">
        <is>
          <t>Scenario run values (spec, "Scenario inputs"; one input changed per run)</t>
        </is>
      </c>
    </row>
    <row r="144">
      <c r="A144" t="inlineStr">
        <is>
          <t>RUNVAL_CAVOID_LO</t>
        </is>
      </c>
      <c r="B144" s="14" t="n">
        <v>550</v>
      </c>
      <c r="C144" t="inlineStr">
        <is>
          <t>C_AVOID, low run</t>
        </is>
      </c>
      <c r="D144" t="inlineStr">
        <is>
          <t>Spec, Scenario inputs</t>
        </is>
      </c>
    </row>
    <row r="145">
      <c r="A145" t="inlineStr">
        <is>
          <t>RUNVAL_CAVOID_HI</t>
        </is>
      </c>
      <c r="B145" s="14" t="n">
        <v>1470</v>
      </c>
      <c r="C145" t="inlineStr">
        <is>
          <t>C_AVOID, high run</t>
        </is>
      </c>
      <c r="D145" t="inlineStr">
        <is>
          <t>Spec, Scenario inputs</t>
        </is>
      </c>
    </row>
    <row r="146">
      <c r="A146" t="inlineStr">
        <is>
          <t>RUNVAL_STRESS_CAVOID</t>
        </is>
      </c>
      <c r="B146" s="14" t="n">
        <v>550</v>
      </c>
      <c r="C146" t="inlineStr">
        <is>
          <t>C_AVOID_H of one hospital, stress run</t>
        </is>
      </c>
      <c r="D146" t="inlineStr">
        <is>
          <t>Spec, Scenario inputs</t>
        </is>
      </c>
    </row>
    <row r="147">
      <c r="A147" t="inlineStr">
        <is>
          <t>RUNVAL_WAGE</t>
        </is>
      </c>
      <c r="B147" s="14" t="n">
        <v>0.065</v>
      </c>
      <c r="C147" t="inlineStr">
        <is>
          <t>WAGE_INCREASE_PCT, staffing run</t>
        </is>
      </c>
      <c r="D147" t="inlineStr">
        <is>
          <t>Spec, Scenario inputs</t>
        </is>
      </c>
    </row>
    <row r="148">
      <c r="A148" t="inlineStr">
        <is>
          <t>RUNVAL_DISC_A</t>
        </is>
      </c>
      <c r="B148" s="14" t="n">
        <v>0.03</v>
      </c>
      <c r="C148" t="inlineStr">
        <is>
          <t>DISC_RATE run</t>
        </is>
      </c>
      <c r="D148" t="inlineStr">
        <is>
          <t>Spec, Scenario inputs</t>
        </is>
      </c>
    </row>
    <row r="149">
      <c r="A149" t="inlineStr">
        <is>
          <t>RUNVAL_DISC_B</t>
        </is>
      </c>
      <c r="B149" s="14" t="n">
        <v>0.07000000000000001</v>
      </c>
      <c r="C149" t="inlineStr">
        <is>
          <t>DISC_RATE run</t>
        </is>
      </c>
      <c r="D149" t="inlineStr">
        <is>
          <t>Spec, Scenario inputs</t>
        </is>
      </c>
    </row>
    <row r="150">
      <c r="A150" t="inlineStr">
        <is>
          <t>RUNVAL_GIDX_POST</t>
        </is>
      </c>
      <c r="B150" s="14" t="n">
        <v>0.03</v>
      </c>
      <c r="C150" t="inlineStr">
        <is>
          <t>G_IDX after FY2027, run</t>
        </is>
      </c>
      <c r="D150" t="inlineStr">
        <is>
          <t>Spec, Scenario inputs</t>
        </is>
      </c>
    </row>
    <row r="151">
      <c r="A151" t="inlineStr">
        <is>
          <t>RUNVAL_STAY_A</t>
        </is>
      </c>
      <c r="B151" s="14" t="n">
        <v>60</v>
      </c>
      <c r="C151" t="inlineStr">
        <is>
          <t>STAY_DAYS run</t>
        </is>
      </c>
      <c r="D151" t="inlineStr">
        <is>
          <t>Spec, Scenario inputs</t>
        </is>
      </c>
    </row>
    <row r="152">
      <c r="A152" t="inlineStr">
        <is>
          <t>RUNVAL_STAY_B</t>
        </is>
      </c>
      <c r="B152" s="14" t="n">
        <v>90</v>
      </c>
      <c r="C152" t="inlineStr">
        <is>
          <t>STAY_DAYS run</t>
        </is>
      </c>
      <c r="D152" t="inlineStr">
        <is>
          <t>Spec, Scenario inputs</t>
        </is>
      </c>
    </row>
    <row r="153">
      <c r="A153" t="inlineStr">
        <is>
          <t>RUNVAL_YEAR</t>
        </is>
      </c>
      <c r="B153" s="14" t="n">
        <v>2024</v>
      </c>
      <c r="C153" t="inlineStr">
        <is>
          <t>waitlist year run</t>
        </is>
      </c>
      <c r="D153" t="inlineStr">
        <is>
          <t>Spec, Scenario inputs</t>
        </is>
      </c>
    </row>
    <row r="154">
      <c r="A154" t="inlineStr">
        <is>
          <t>RUNVAL_PPP_A</t>
        </is>
      </c>
      <c r="B154" s="14" t="n">
        <v>0.25</v>
      </c>
      <c r="C154" t="inlineStr">
        <is>
          <t>PAST_POOL_PCT run</t>
        </is>
      </c>
      <c r="D154" t="inlineStr">
        <is>
          <t>Spec, Scenario inputs</t>
        </is>
      </c>
    </row>
    <row r="155">
      <c r="A155" t="inlineStr">
        <is>
          <t>RUNVAL_PPP_B</t>
        </is>
      </c>
      <c r="B155" s="14" t="n">
        <v>0.5</v>
      </c>
      <c r="C155" t="inlineStr">
        <is>
          <t>PAST_POOL_PCT run</t>
        </is>
      </c>
      <c r="D155" t="inlineStr">
        <is>
          <t>Spec, Scenario inputs</t>
        </is>
      </c>
    </row>
    <row r="157">
      <c r="A157" s="3" t="inlineStr">
        <is>
          <t>Hospital rows (SHPDA Table 18; one row per hospital)</t>
        </is>
      </c>
    </row>
    <row r="158">
      <c r="A158" s="2" t="inlineStr">
        <is>
          <t>H_NAME</t>
        </is>
      </c>
      <c r="B158" s="2" t="inlineStr">
        <is>
          <t>H_COUNTY</t>
        </is>
      </c>
      <c r="C158" s="2" t="inlineStr">
        <is>
          <t>H_STATE_RUN</t>
        </is>
      </c>
      <c r="D158" s="2" t="inlineStr">
        <is>
          <t>H_PAT_2023</t>
        </is>
      </c>
      <c r="E158" s="2" t="inlineStr">
        <is>
          <t>H_DAYS_2023</t>
        </is>
      </c>
      <c r="F158" s="2" t="inlineStr">
        <is>
          <t>H_DEC31_2023</t>
        </is>
      </c>
      <c r="G158" s="2" t="inlineStr">
        <is>
          <t>H_PAT_2024</t>
        </is>
      </c>
      <c r="H158" s="2" t="inlineStr">
        <is>
          <t>H_DAYS_2024</t>
        </is>
      </c>
      <c r="I158" s="2" t="inlineStr">
        <is>
          <t>H_DEC31_2024</t>
        </is>
      </c>
    </row>
    <row r="159">
      <c r="A159" s="14" t="inlineStr">
        <is>
          <t>Hilo Benioff Medical Center</t>
        </is>
      </c>
      <c r="B159" s="14" t="inlineStr">
        <is>
          <t>Hawaii</t>
        </is>
      </c>
      <c r="C159" s="14" t="n">
        <v>1</v>
      </c>
      <c r="D159" s="14" t="n">
        <v>563</v>
      </c>
      <c r="E159" s="14" t="n">
        <v>12712</v>
      </c>
      <c r="F159" s="14" t="n">
        <v>32</v>
      </c>
      <c r="G159" s="14" t="n">
        <v>490</v>
      </c>
      <c r="H159" s="14" t="n">
        <v>12235</v>
      </c>
      <c r="I159" s="14" t="n">
        <v>40</v>
      </c>
    </row>
    <row r="160">
      <c r="A160" s="14" t="inlineStr">
        <is>
          <t>Kona Community Hospital</t>
        </is>
      </c>
      <c r="B160" s="14" t="inlineStr">
        <is>
          <t>Hawaii</t>
        </is>
      </c>
      <c r="C160" s="14" t="n">
        <v>1</v>
      </c>
      <c r="D160" s="14" t="n">
        <v>300</v>
      </c>
      <c r="E160" s="14" t="n">
        <v>10017</v>
      </c>
      <c r="F160" s="14" t="n">
        <v>22</v>
      </c>
      <c r="G160" s="14" t="n">
        <v>235</v>
      </c>
      <c r="H160" s="14" t="n">
        <v>7597</v>
      </c>
      <c r="I160" s="14" t="n">
        <v>25</v>
      </c>
    </row>
    <row r="161">
      <c r="A161" s="14" t="inlineStr">
        <is>
          <t>North Hawaii Community Hospital</t>
        </is>
      </c>
      <c r="B161" s="14" t="inlineStr">
        <is>
          <t>Hawaii</t>
        </is>
      </c>
      <c r="C161" s="14" t="n">
        <v>0</v>
      </c>
      <c r="D161" s="14" t="n">
        <v>6</v>
      </c>
      <c r="E161" s="14" t="n">
        <v>483</v>
      </c>
      <c r="F161" s="14" t="n">
        <v>1</v>
      </c>
      <c r="G161" s="14" t="n">
        <v>2</v>
      </c>
      <c r="H161" s="14" t="n">
        <v>342</v>
      </c>
      <c r="I161" s="14" t="n">
        <v>0</v>
      </c>
    </row>
    <row r="162">
      <c r="A162" s="14" t="inlineStr">
        <is>
          <t>Adventist Health Castle</t>
        </is>
      </c>
      <c r="B162" s="14" t="inlineStr">
        <is>
          <t>Honolulu</t>
        </is>
      </c>
      <c r="C162" s="14" t="n">
        <v>0</v>
      </c>
      <c r="D162" s="14" t="n">
        <v>156</v>
      </c>
      <c r="E162" s="14" t="n">
        <v>739</v>
      </c>
      <c r="F162" s="14" t="n">
        <v>1</v>
      </c>
      <c r="G162" s="14" t="n">
        <v>100</v>
      </c>
      <c r="H162" s="14" t="n">
        <v>624</v>
      </c>
      <c r="I162" s="14" t="n">
        <v>3</v>
      </c>
    </row>
    <row r="163">
      <c r="A163" s="14" t="inlineStr">
        <is>
          <t>Kahuku Medical Center</t>
        </is>
      </c>
      <c r="B163" s="14" t="inlineStr">
        <is>
          <t>Honolulu</t>
        </is>
      </c>
      <c r="C163" s="14" t="n">
        <v>0</v>
      </c>
      <c r="D163" s="14" t="n">
        <v>15</v>
      </c>
      <c r="E163" s="14" t="n">
        <v>718</v>
      </c>
      <c r="F163" s="14" t="n">
        <v>3</v>
      </c>
      <c r="G163" s="14" t="n">
        <v>33</v>
      </c>
      <c r="H163" s="14" t="n">
        <v>1129</v>
      </c>
      <c r="I163" s="14" t="n">
        <v>2</v>
      </c>
    </row>
    <row r="164">
      <c r="A164" s="14" t="inlineStr">
        <is>
          <t>Kaiser Foundation Hospital</t>
        </is>
      </c>
      <c r="B164" s="14" t="inlineStr">
        <is>
          <t>Honolulu</t>
        </is>
      </c>
      <c r="C164" s="14" t="n">
        <v>0</v>
      </c>
      <c r="D164" s="14" t="n">
        <v>342</v>
      </c>
      <c r="E164" s="14" t="n">
        <v>3341</v>
      </c>
      <c r="F164" s="14" t="n">
        <v>6</v>
      </c>
      <c r="G164" s="14" t="n">
        <v>354</v>
      </c>
      <c r="H164" s="14" t="n">
        <v>3370</v>
      </c>
      <c r="I164" s="14" t="n">
        <v>14</v>
      </c>
    </row>
    <row r="165">
      <c r="A165" s="14" t="inlineStr">
        <is>
          <t>Kapiolani Medical Center for Women and Children</t>
        </is>
      </c>
      <c r="B165" s="14" t="inlineStr">
        <is>
          <t>Honolulu</t>
        </is>
      </c>
      <c r="C165" s="14" t="n">
        <v>0</v>
      </c>
      <c r="D165" s="14" t="n">
        <v>15</v>
      </c>
      <c r="E165" s="14" t="n">
        <v>1028</v>
      </c>
      <c r="F165" s="14" t="n">
        <v>3</v>
      </c>
      <c r="G165" s="14" t="n">
        <v>16</v>
      </c>
      <c r="H165" s="14" t="n">
        <v>690</v>
      </c>
      <c r="I165" s="14" t="n">
        <v>4</v>
      </c>
    </row>
    <row r="166">
      <c r="A166" s="14" t="inlineStr">
        <is>
          <t>Kuakini Medical Center</t>
        </is>
      </c>
      <c r="B166" s="14" t="inlineStr">
        <is>
          <t>Honolulu</t>
        </is>
      </c>
      <c r="C166" s="14" t="n">
        <v>0</v>
      </c>
      <c r="D166" s="14" t="n">
        <v>645</v>
      </c>
      <c r="E166" s="14" t="n">
        <v>4447</v>
      </c>
      <c r="F166" s="14" t="n">
        <v>13</v>
      </c>
      <c r="G166" s="14" t="n">
        <v>602</v>
      </c>
      <c r="H166" s="14" t="n">
        <v>4382</v>
      </c>
      <c r="I166" s="14" t="n">
        <v>12</v>
      </c>
    </row>
    <row r="167">
      <c r="A167" s="14" t="inlineStr">
        <is>
          <t>Pali Momi Medical Center</t>
        </is>
      </c>
      <c r="B167" s="14" t="inlineStr">
        <is>
          <t>Honolulu</t>
        </is>
      </c>
      <c r="C167" s="14" t="n">
        <v>0</v>
      </c>
      <c r="D167" s="14" t="n">
        <v>237</v>
      </c>
      <c r="E167" s="14" t="n">
        <v>3391</v>
      </c>
      <c r="F167" s="14" t="n">
        <v>7</v>
      </c>
      <c r="G167" s="14" t="n">
        <v>249</v>
      </c>
      <c r="H167" s="14" t="n">
        <v>2036</v>
      </c>
      <c r="I167" s="14" t="n">
        <v>8</v>
      </c>
    </row>
    <row r="168">
      <c r="A168" s="14" t="inlineStr">
        <is>
          <t>Straub Benioff Medical Center</t>
        </is>
      </c>
      <c r="B168" s="14" t="inlineStr">
        <is>
          <t>Honolulu</t>
        </is>
      </c>
      <c r="C168" s="14" t="n">
        <v>0</v>
      </c>
      <c r="D168" s="14" t="n">
        <v>249</v>
      </c>
      <c r="E168" s="14" t="n">
        <v>3545</v>
      </c>
      <c r="F168" s="14" t="n">
        <v>4</v>
      </c>
      <c r="G168" s="14" t="n">
        <v>199</v>
      </c>
      <c r="H168" s="14" t="n">
        <v>2305</v>
      </c>
      <c r="I168" s="14" t="n">
        <v>6</v>
      </c>
    </row>
    <row r="169">
      <c r="A169" s="14" t="inlineStr">
        <is>
          <t>The Queen's Medical Center, Punchbowl</t>
        </is>
      </c>
      <c r="B169" s="14" t="inlineStr">
        <is>
          <t>Honolulu</t>
        </is>
      </c>
      <c r="C169" s="14" t="n">
        <v>0</v>
      </c>
      <c r="D169" s="14" t="n">
        <v>519</v>
      </c>
      <c r="E169" s="14" t="n">
        <v>20280</v>
      </c>
      <c r="F169" s="14" t="n">
        <v>45</v>
      </c>
      <c r="G169" s="14" t="n">
        <v>383</v>
      </c>
      <c r="H169" s="14" t="n">
        <v>12099</v>
      </c>
      <c r="I169" s="14" t="n">
        <v>25</v>
      </c>
    </row>
    <row r="170">
      <c r="A170" s="14" t="inlineStr">
        <is>
          <t>The Queen's Medical Center, West Oahu</t>
        </is>
      </c>
      <c r="B170" s="14" t="inlineStr">
        <is>
          <t>Honolulu</t>
        </is>
      </c>
      <c r="C170" s="14" t="n">
        <v>0</v>
      </c>
      <c r="D170" s="14" t="n">
        <v>77</v>
      </c>
      <c r="E170" s="14" t="n">
        <v>2838</v>
      </c>
      <c r="F170" s="14" t="n">
        <v>7</v>
      </c>
      <c r="G170" s="14" t="n">
        <v>43</v>
      </c>
      <c r="H170" s="14" t="n">
        <v>745</v>
      </c>
      <c r="I170" s="14" t="n">
        <v>1</v>
      </c>
    </row>
    <row r="171">
      <c r="A171" s="14" t="inlineStr">
        <is>
          <t>Kauai Veterans Memorial Hospital</t>
        </is>
      </c>
      <c r="B171" s="14" t="inlineStr">
        <is>
          <t>Kauai</t>
        </is>
      </c>
      <c r="C171" s="14" t="n">
        <v>1</v>
      </c>
      <c r="D171" s="14" t="n">
        <v>20</v>
      </c>
      <c r="E171" s="14" t="n">
        <v>590</v>
      </c>
      <c r="F171" s="14" t="n">
        <v>1</v>
      </c>
      <c r="G171" s="14" t="n">
        <v>4</v>
      </c>
      <c r="H171" s="14" t="n">
        <v>256</v>
      </c>
      <c r="I171" s="14" t="n">
        <v>1</v>
      </c>
    </row>
    <row r="172">
      <c r="A172" s="14" t="inlineStr">
        <is>
          <t>Wilcox Medical Center</t>
        </is>
      </c>
      <c r="B172" s="14" t="inlineStr">
        <is>
          <t>Kauai</t>
        </is>
      </c>
      <c r="C172" s="14" t="n">
        <v>0</v>
      </c>
      <c r="D172" s="14" t="n">
        <v>66</v>
      </c>
      <c r="E172" s="14" t="n">
        <v>1130</v>
      </c>
      <c r="F172" s="14" t="n">
        <v>3</v>
      </c>
      <c r="G172" s="14" t="n">
        <v>60</v>
      </c>
      <c r="H172" s="14" t="n">
        <v>1671</v>
      </c>
      <c r="I172" s="14" t="n">
        <v>3</v>
      </c>
    </row>
    <row r="173">
      <c r="A173" s="14" t="inlineStr">
        <is>
          <t>Maui Memorial Medical Center</t>
        </is>
      </c>
      <c r="B173" s="14" t="inlineStr">
        <is>
          <t>Maui</t>
        </is>
      </c>
      <c r="C173" s="14" t="n">
        <v>0</v>
      </c>
      <c r="D173" s="14" t="n">
        <v>399</v>
      </c>
      <c r="E173" s="14" t="n">
        <v>17812</v>
      </c>
      <c r="F173" s="14" t="n">
        <v>42</v>
      </c>
      <c r="G173" s="14" t="n">
        <v>349</v>
      </c>
      <c r="H173" s="14" t="n">
        <v>11267</v>
      </c>
      <c r="I173" s="14" t="n">
        <v>28</v>
      </c>
    </row>
    <row r="174">
      <c r="A174" s="14" t="inlineStr">
        <is>
          <t>Molokai General Hospital</t>
        </is>
      </c>
      <c r="B174" s="14" t="inlineStr">
        <is>
          <t>Maui</t>
        </is>
      </c>
      <c r="C174" s="14" t="n">
        <v>0</v>
      </c>
      <c r="D174" s="14" t="n">
        <v>1</v>
      </c>
      <c r="E174" s="14" t="n">
        <v>26</v>
      </c>
      <c r="F174" s="14" t="n">
        <v>1</v>
      </c>
      <c r="G174" s="14" t="n">
        <v>4</v>
      </c>
      <c r="H174" s="14" t="n">
        <v>128</v>
      </c>
      <c r="I174" s="14" t="n">
        <v>1</v>
      </c>
    </row>
    <row r="175">
      <c r="A175" t="inlineStr">
        <is>
          <t>Sourced: SHPDA Table 18, 2023 and 2024 (draft; verify); state-run = HHSC (Kauai Veterans to verify); Queen's Punchbowl 2023 rebuilt from the county total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selection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Waitlist: Table 18 by year, the pool, and hospital rows</t>
        </is>
      </c>
    </row>
    <row r="3">
      <c r="A3" s="2" t="inlineStr">
        <is>
          <t>Item</t>
        </is>
      </c>
      <c r="B3" s="2" t="inlineStr">
        <is>
          <t>2023</t>
        </is>
      </c>
      <c r="C3" s="2" t="inlineStr">
        <is>
          <t>2024</t>
        </is>
      </c>
      <c r="D3" s="2" t="inlineStr">
        <is>
          <t>Base run (RUN_YEAR)</t>
        </is>
      </c>
    </row>
    <row r="4">
      <c r="A4" t="inlineStr">
        <is>
          <t>Waitlist days</t>
        </is>
      </c>
      <c r="B4" s="5">
        <f>WAIT_DAYS_2023</f>
        <v>83097</v>
      </c>
      <c r="C4" s="5">
        <f>WAIT_DAYS_2024</f>
        <v>60876</v>
      </c>
      <c r="D4" s="5">
        <f>IF(RUN_YEAR=2023,B4,C4)</f>
        <v>83097</v>
      </c>
    </row>
    <row r="5">
      <c r="A5" t="inlineStr">
        <is>
          <t>Waitlisted patients</t>
        </is>
      </c>
      <c r="B5" s="5">
        <f>WAIT_PATIENTS_2023</f>
        <v>3610</v>
      </c>
      <c r="C5" s="5">
        <f>WAIT_PATIENTS_2024</f>
        <v>3123</v>
      </c>
      <c r="D5" s="5">
        <f>IF(RUN_YEAR=2023,B5,C5)</f>
        <v>3610</v>
      </c>
    </row>
    <row r="6">
      <c r="A6" t="inlineStr">
        <is>
          <t>Dec 31 total</t>
        </is>
      </c>
      <c r="B6" s="5">
        <f>SNAP_TOTAL_2023</f>
        <v>191</v>
      </c>
      <c r="C6" s="5">
        <f>SNAP_TOTAL_2024</f>
        <v>173</v>
      </c>
      <c r="D6" s="5">
        <f>IF(RUN_YEAR=2023,B6,C6)</f>
        <v>191</v>
      </c>
    </row>
    <row r="7">
      <c r="A7" t="inlineStr">
        <is>
          <t>Dec 31: no bed</t>
        </is>
      </c>
      <c r="B7" s="5">
        <f>SNAP_NOBED_2023</f>
        <v>42</v>
      </c>
      <c r="C7" s="5">
        <f>SNAP_NOBED_2024</f>
        <v>31</v>
      </c>
      <c r="D7" s="5">
        <f>IF(RUN_YEAR=2023,B7,C7)</f>
        <v>42</v>
      </c>
    </row>
    <row r="8">
      <c r="A8" t="inlineStr">
        <is>
          <t>Dec 31: financial/Medicaid</t>
        </is>
      </c>
      <c r="B8" s="5">
        <f>SNAP_FIN_2023</f>
        <v>45</v>
      </c>
      <c r="C8" s="5">
        <f>SNAP_FIN_2024</f>
        <v>60</v>
      </c>
      <c r="D8" s="5">
        <f>IF(RUN_YEAR=2023,B8,C8)</f>
        <v>45</v>
      </c>
    </row>
    <row r="9">
      <c r="A9" t="inlineStr">
        <is>
          <t>Dec 31: behavior</t>
        </is>
      </c>
      <c r="B9" s="5">
        <f>SNAP_BEHAV_2023</f>
        <v>48</v>
      </c>
      <c r="C9" s="5">
        <f>SNAP_BEHAV_2024</f>
        <v>29</v>
      </c>
      <c r="D9" s="5">
        <f>IF(RUN_YEAR=2023,B9,C9)</f>
        <v>48</v>
      </c>
    </row>
    <row r="10">
      <c r="A10" t="inlineStr">
        <is>
          <t>Dec 31: special care</t>
        </is>
      </c>
      <c r="B10" s="5">
        <f>SNAP_SPECIAL_2023</f>
        <v>26</v>
      </c>
      <c r="C10" s="5">
        <f>SNAP_SPECIAL_2024</f>
        <v>18</v>
      </c>
      <c r="D10" s="5">
        <f>IF(RUN_YEAR=2023,B10,C10)</f>
        <v>26</v>
      </c>
    </row>
    <row r="11">
      <c r="A11" t="inlineStr">
        <is>
          <t>Dec 31: family/guardianship</t>
        </is>
      </c>
      <c r="B11" s="5">
        <f>SNAP_FAMILY_2023</f>
        <v>28</v>
      </c>
      <c r="C11" s="5">
        <f>SNAP_FAMILY_2024</f>
        <v>31</v>
      </c>
      <c r="D11" s="5">
        <f>IF(RUN_YEAR=2023,B11,C11)</f>
        <v>28</v>
      </c>
    </row>
    <row r="12">
      <c r="A12" t="inlineStr">
        <is>
          <t>Dec 31: other</t>
        </is>
      </c>
      <c r="B12" s="5">
        <f>SNAP_OTHER_2023</f>
        <v>2</v>
      </c>
      <c r="C12" s="5">
        <f>SNAP_OTHER_2024</f>
        <v>4</v>
      </c>
      <c r="D12" s="5">
        <f>IF(RUN_YEAR=2023,B12,C12)</f>
        <v>2</v>
      </c>
    </row>
    <row r="13">
      <c r="A13" t="inlineStr">
        <is>
          <t>Dec 31: NF level</t>
        </is>
      </c>
      <c r="B13" s="5">
        <f>SNAP_NF_LEVEL_2023</f>
        <v>157</v>
      </c>
      <c r="C13" s="5">
        <f>SNAP_NF_LEVEL_2024</f>
        <v>120</v>
      </c>
      <c r="D13" s="5">
        <f>IF(RUN_YEAR=2023,B13,C13)</f>
        <v>157</v>
      </c>
    </row>
    <row r="14">
      <c r="A14" t="inlineStr">
        <is>
          <t>Days avoided per admission</t>
        </is>
      </c>
      <c r="B14" s="5">
        <f>DAYS_AVOIDED_2023</f>
        <v>23.018559556786702</v>
      </c>
      <c r="C14" s="5">
        <f>DAYS_AVOIDED_2024</f>
        <v>19.492795389048993</v>
      </c>
      <c r="D14" s="5">
        <f>IF(RUN_YEAR=2023,B14,C14)</f>
        <v>23.018559556786702</v>
      </c>
    </row>
    <row r="15">
      <c r="A15" t="inlineStr">
        <is>
          <t>Pool share</t>
        </is>
      </c>
      <c r="B15" s="5">
        <f>POOL_SHARE_2023</f>
        <v>0.45549738219895286</v>
      </c>
      <c r="C15" s="5">
        <f>POOL_SHARE_2024</f>
        <v>0.5260115606936416</v>
      </c>
      <c r="D15" s="5">
        <f>IF(RUN_YEAR=2023,B15,C15)</f>
        <v>0.45549738219895286</v>
      </c>
    </row>
    <row r="16">
      <c r="A16" t="inlineStr">
        <is>
          <t>Dec 31 reasons sum</t>
        </is>
      </c>
      <c r="B16" s="13">
        <f>SNAP_NOBED_2023+SNAP_FIN_2023+SNAP_BEHAV_2023+SNAP_SPECIAL_2023+SNAP_FAMILY_2023+SNAP_OTHER_2023</f>
        <v>191.0</v>
      </c>
      <c r="C16" s="13">
        <f>SNAP_NOBED_2024+SNAP_FIN_2024+SNAP_BEHAV_2024+SNAP_SPECIAL_2024+SNAP_FAMILY_2024+SNAP_OTHER_2024</f>
        <v>173.0</v>
      </c>
    </row>
    <row r="18">
      <c r="A18" s="3" t="inlineStr">
        <is>
          <t>The pool (base run)</t>
        </is>
      </c>
    </row>
    <row r="19">
      <c r="A19" t="inlineStr">
        <is>
          <t>Admissions per bed-year</t>
        </is>
      </c>
      <c r="B19" s="5">
        <f>OCC_DAYS/STAY_DAYS</f>
        <v>10.95</v>
      </c>
      <c r="C19" t="inlineStr">
        <is>
          <t>ADMITS</t>
        </is>
      </c>
    </row>
    <row r="20">
      <c r="A20" t="inlineStr">
        <is>
          <t>Freed days per bed-year, in the pool</t>
        </is>
      </c>
      <c r="B20" s="5">
        <f>ADMITS*DAYS_AVOIDED_Y</f>
        <v>252.05322714681438</v>
      </c>
      <c r="C20" t="inlineStr">
        <is>
          <t>FREED</t>
        </is>
      </c>
    </row>
    <row r="21">
      <c r="A21" t="inlineStr">
        <is>
          <t>Pool days</t>
        </is>
      </c>
      <c r="B21" s="5">
        <f>POOL_SHARE_Y*WAIT_DAYS_Y</f>
        <v>37850.46596858639</v>
      </c>
      <c r="C21" t="inlineStr">
        <is>
          <t>POOL_DAYS</t>
        </is>
      </c>
    </row>
    <row r="22">
      <c r="A22" t="inlineStr">
        <is>
          <t>Pool beds</t>
        </is>
      </c>
      <c r="B22" s="5">
        <f>POOL_DAYS/FREED</f>
        <v>150.1685433550886</v>
      </c>
      <c r="C22" t="inlineStr">
        <is>
          <t>POOL_BEDS</t>
        </is>
      </c>
    </row>
    <row r="23">
      <c r="A23" t="inlineStr">
        <is>
          <t>Pool beds, identity form</t>
        </is>
      </c>
      <c r="B23" s="5">
        <f>POOL_SHARE_Y*WAIT_PATIENTS_Y*STAY_DAYS/OCC_DAYS</f>
        <v>150.1685433550886</v>
      </c>
      <c r="C23" t="inlineStr">
        <is>
          <t>POOL_BEDS_ALT</t>
        </is>
      </c>
    </row>
    <row r="24">
      <c r="A24" t="inlineStr">
        <is>
          <t>Pool beds 2023</t>
        </is>
      </c>
      <c r="B24" s="5">
        <f>POOL_SHARE_2023*WAIT_DAYS_2023/(OCC_DAYS/STAY_DAYS*DAYS_AVOIDED_2023)</f>
        <v>150.1685433550886</v>
      </c>
      <c r="C24" t="inlineStr">
        <is>
          <t>POOL_BEDS_2023</t>
        </is>
      </c>
    </row>
    <row r="25">
      <c r="A25" t="inlineStr">
        <is>
          <t>Pool beds 2024</t>
        </is>
      </c>
      <c r="B25" s="5">
        <f>POOL_SHARE_2024*WAIT_DAYS_2024/(OCC_DAYS/STAY_DAYS*DAYS_AVOIDED_2024)</f>
        <v>150.02137936495367</v>
      </c>
      <c r="C25" t="inlineStr">
        <is>
          <t>POOL_BEDS_2024</t>
        </is>
      </c>
    </row>
    <row r="26">
      <c r="A26" t="inlineStr">
        <is>
          <t>Freed days 2024</t>
        </is>
      </c>
      <c r="B26" s="5">
        <f>OCC_DAYS/STAY_DAYS*DAYS_AVOIDED_2024</f>
        <v>213.44610951008647</v>
      </c>
      <c r="C26" t="inlineStr">
        <is>
          <t>FREED_2024</t>
        </is>
      </c>
    </row>
    <row r="27">
      <c r="A27" t="inlineStr">
        <is>
          <t>NF-level share of the Dec 31 waitlist</t>
        </is>
      </c>
      <c r="B27" s="5">
        <f>SNAP_NF_LEVEL_Y/SNAP_TOTAL_Y</f>
        <v>0.8219895287958116</v>
      </c>
      <c r="C27" t="inlineStr">
        <is>
          <t>NF_LEVEL_SHARE</t>
        </is>
      </c>
    </row>
    <row r="28">
      <c r="A28" t="inlineStr">
        <is>
          <t>NF-level share 2023</t>
        </is>
      </c>
      <c r="B28" s="5">
        <f>SNAP_NF_LEVEL_2023/SNAP_TOTAL_2023</f>
        <v>0.8219895287958116</v>
      </c>
      <c r="C28" t="inlineStr">
        <is>
          <t>NF_LEVEL_SHARE_2023</t>
        </is>
      </c>
    </row>
    <row r="29">
      <c r="A29" t="inlineStr">
        <is>
          <t>NF-level share 2024</t>
        </is>
      </c>
      <c r="B29" s="5">
        <f>SNAP_NF_LEVEL_2024/SNAP_TOTAL_2024</f>
        <v>0.6936416184971098</v>
      </c>
      <c r="C29" t="inlineStr">
        <is>
          <t>NF_LEVEL_SHARE_2024</t>
        </is>
      </c>
    </row>
    <row r="31">
      <c r="A31" s="3" t="inlineStr">
        <is>
          <t>Hospital rows</t>
        </is>
      </c>
    </row>
    <row r="32">
      <c r="A32" s="2" t="inlineStr">
        <is>
          <t>Hospital</t>
        </is>
      </c>
      <c r="B32" s="2" t="inlineStr">
        <is>
          <t>State-run</t>
        </is>
      </c>
      <c r="C32" s="2" t="inlineStr">
        <is>
          <t>Waitlist days, base year</t>
        </is>
      </c>
      <c r="D32" s="2" t="inlineStr">
        <is>
          <t>Planning share</t>
        </is>
      </c>
    </row>
    <row r="33">
      <c r="A33" t="str">
        <f>INDEX(H_NAME,1)</f>
        <v>Hilo Benioff Medical Center</v>
      </c>
      <c r="B33">
        <f>INDEX(H_STATE_RUN,1)</f>
        <v>1</v>
      </c>
      <c r="C33" s="13">
        <f>IF(RUN_YEAR=2023,INDEX(H_DAYS_2023,1),INDEX(H_DAYS_2024,1))</f>
        <v>12712</v>
      </c>
      <c r="D33" s="10">
        <f>C33/SUM($C$33:$C$48)</f>
        <v>0.152977845168899</v>
      </c>
    </row>
    <row r="34">
      <c r="A34" t="str">
        <f>INDEX(H_NAME,2)</f>
        <v>Kona Community Hospital</v>
      </c>
      <c r="B34">
        <f>INDEX(H_STATE_RUN,2)</f>
        <v>1</v>
      </c>
      <c r="C34" s="13">
        <f>IF(RUN_YEAR=2023,INDEX(H_DAYS_2023,2),INDEX(H_DAYS_2024,2))</f>
        <v>10017</v>
      </c>
      <c r="D34" s="10">
        <f>C34/SUM($C$33:$C$48)</f>
        <v>0.12054586808188021</v>
      </c>
    </row>
    <row r="35">
      <c r="A35" t="str">
        <f>INDEX(H_NAME,3)</f>
        <v>North Hawaii Community Hospital</v>
      </c>
      <c r="B35">
        <f>INDEX(H_STATE_RUN,3)</f>
        <v>0</v>
      </c>
      <c r="C35" s="13">
        <f>IF(RUN_YEAR=2023,INDEX(H_DAYS_2023,3),INDEX(H_DAYS_2024,3))</f>
        <v>483</v>
      </c>
      <c r="D35" s="10">
        <f>C35/SUM($C$33:$C$48)</f>
        <v>0.005812484205205964</v>
      </c>
    </row>
    <row r="36">
      <c r="A36" t="str">
        <f>INDEX(H_NAME,4)</f>
        <v>Adventist Health Castle</v>
      </c>
      <c r="B36">
        <f>INDEX(H_STATE_RUN,4)</f>
        <v>0</v>
      </c>
      <c r="C36" s="13">
        <f>IF(RUN_YEAR=2023,INDEX(H_DAYS_2023,4),INDEX(H_DAYS_2024,4))</f>
        <v>739</v>
      </c>
      <c r="D36" s="10">
        <f>C36/SUM($C$33:$C$48)</f>
        <v>0.008893221175253017</v>
      </c>
    </row>
    <row r="37">
      <c r="A37" t="str">
        <f>INDEX(H_NAME,5)</f>
        <v>Kahuku Medical Center</v>
      </c>
      <c r="B37">
        <f>INDEX(H_STATE_RUN,5)</f>
        <v>0</v>
      </c>
      <c r="C37" s="13">
        <f>IF(RUN_YEAR=2023,INDEX(H_DAYS_2023,5),INDEX(H_DAYS_2024,5))</f>
        <v>718</v>
      </c>
      <c r="D37" s="10">
        <f>C37/SUM($C$33:$C$48)</f>
        <v>0.008640504470678845</v>
      </c>
    </row>
    <row r="38">
      <c r="A38" t="str">
        <f>INDEX(H_NAME,6)</f>
        <v>Kaiser Foundation Hospital</v>
      </c>
      <c r="B38">
        <f>INDEX(H_STATE_RUN,6)</f>
        <v>0</v>
      </c>
      <c r="C38" s="13">
        <f>IF(RUN_YEAR=2023,INDEX(H_DAYS_2023,6),INDEX(H_DAYS_2024,6))</f>
        <v>3341</v>
      </c>
      <c r="D38" s="10">
        <f>C38/SUM($C$33:$C$48)</f>
        <v>0.0402060242848719</v>
      </c>
    </row>
    <row r="39">
      <c r="A39" t="str">
        <f>INDEX(H_NAME,7)</f>
        <v>Kapiolani Medical Center for Women and Children</v>
      </c>
      <c r="B39">
        <f>INDEX(H_STATE_RUN,7)</f>
        <v>0</v>
      </c>
      <c r="C39" s="13">
        <f>IF(RUN_YEAR=2023,INDEX(H_DAYS_2023,7),INDEX(H_DAYS_2024,7))</f>
        <v>1028</v>
      </c>
      <c r="D39" s="10">
        <f>C39/SUM($C$33:$C$48)</f>
        <v>0.012371084395345198</v>
      </c>
    </row>
    <row r="40">
      <c r="A40" t="str">
        <f>INDEX(H_NAME,8)</f>
        <v>Kuakini Medical Center</v>
      </c>
      <c r="B40">
        <f>INDEX(H_STATE_RUN,8)</f>
        <v>0</v>
      </c>
      <c r="C40" s="13">
        <f>IF(RUN_YEAR=2023,INDEX(H_DAYS_2023,8),INDEX(H_DAYS_2024,8))</f>
        <v>4447</v>
      </c>
      <c r="D40" s="10">
        <f>C40/SUM($C$33:$C$48)</f>
        <v>0.05351577072577831</v>
      </c>
    </row>
    <row r="41">
      <c r="A41" t="str">
        <f>INDEX(H_NAME,9)</f>
        <v>Pali Momi Medical Center</v>
      </c>
      <c r="B41">
        <f>INDEX(H_STATE_RUN,9)</f>
        <v>0</v>
      </c>
      <c r="C41" s="13">
        <f>IF(RUN_YEAR=2023,INDEX(H_DAYS_2023,9),INDEX(H_DAYS_2024,9))</f>
        <v>3391</v>
      </c>
      <c r="D41" s="10">
        <f>C41/SUM($C$33:$C$48)</f>
        <v>0.04080773072433421</v>
      </c>
    </row>
    <row r="42">
      <c r="A42" t="str">
        <f>INDEX(H_NAME,10)</f>
        <v>Straub Benioff Medical Center</v>
      </c>
      <c r="B42">
        <f>INDEX(H_STATE_RUN,10)</f>
        <v>0</v>
      </c>
      <c r="C42" s="13">
        <f>IF(RUN_YEAR=2023,INDEX(H_DAYS_2023,10),INDEX(H_DAYS_2024,10))</f>
        <v>3545</v>
      </c>
      <c r="D42" s="10">
        <f>C42/SUM($C$33:$C$48)</f>
        <v>0.042660986557878144</v>
      </c>
    </row>
    <row r="43">
      <c r="A43" t="str">
        <f>INDEX(H_NAME,11)</f>
        <v>The Queen's Medical Center, Punchbowl</v>
      </c>
      <c r="B43">
        <f>INDEX(H_STATE_RUN,11)</f>
        <v>0</v>
      </c>
      <c r="C43" s="13">
        <f>IF(RUN_YEAR=2023,INDEX(H_DAYS_2023,11),INDEX(H_DAYS_2024,11))</f>
        <v>20280</v>
      </c>
      <c r="D43" s="10">
        <f>C43/SUM($C$33:$C$48)</f>
        <v>0.244052131845915</v>
      </c>
    </row>
    <row r="44">
      <c r="A44" t="str">
        <f>INDEX(H_NAME,12)</f>
        <v>The Queen's Medical Center, West Oahu</v>
      </c>
      <c r="B44">
        <f>INDEX(H_STATE_RUN,12)</f>
        <v>0</v>
      </c>
      <c r="C44" s="13">
        <f>IF(RUN_YEAR=2023,INDEX(H_DAYS_2023,12),INDEX(H_DAYS_2024,12))</f>
        <v>2838</v>
      </c>
      <c r="D44" s="10">
        <f>C44/SUM($C$33:$C$48)</f>
        <v>0.03415285750388101</v>
      </c>
    </row>
    <row r="45">
      <c r="A45" t="str">
        <f>INDEX(H_NAME,13)</f>
        <v>Kauai Veterans Memorial Hospital</v>
      </c>
      <c r="B45">
        <f>INDEX(H_STATE_RUN,13)</f>
        <v>1</v>
      </c>
      <c r="C45" s="13">
        <f>IF(RUN_YEAR=2023,INDEX(H_DAYS_2023,13),INDEX(H_DAYS_2024,13))</f>
        <v>590</v>
      </c>
      <c r="D45" s="10">
        <f>C45/SUM($C$33:$C$48)</f>
        <v>0.007100135985655318</v>
      </c>
    </row>
    <row r="46">
      <c r="A46" t="str">
        <f>INDEX(H_NAME,14)</f>
        <v>Wilcox Medical Center</v>
      </c>
      <c r="B46">
        <f>INDEX(H_STATE_RUN,14)</f>
        <v>0</v>
      </c>
      <c r="C46" s="13">
        <f>IF(RUN_YEAR=2023,INDEX(H_DAYS_2023,14),INDEX(H_DAYS_2024,14))</f>
        <v>1130</v>
      </c>
      <c r="D46" s="10">
        <f>C46/SUM($C$33:$C$48)</f>
        <v>0.013598565531848322</v>
      </c>
    </row>
    <row r="47">
      <c r="A47" t="str">
        <f>INDEX(H_NAME,15)</f>
        <v>Maui Memorial Medical Center</v>
      </c>
      <c r="B47">
        <f>INDEX(H_STATE_RUN,15)</f>
        <v>0</v>
      </c>
      <c r="C47" s="13">
        <f>IF(RUN_YEAR=2023,INDEX(H_DAYS_2023,15),INDEX(H_DAYS_2024,15))</f>
        <v>17812</v>
      </c>
      <c r="D47" s="10">
        <f>C47/SUM($C$33:$C$48)</f>
        <v>0.21435190199405513</v>
      </c>
    </row>
    <row r="48">
      <c r="A48" t="str">
        <f>INDEX(H_NAME,16)</f>
        <v>Molokai General Hospital</v>
      </c>
      <c r="B48">
        <f>INDEX(H_STATE_RUN,16)</f>
        <v>0</v>
      </c>
      <c r="C48" s="13">
        <f>IF(RUN_YEAR=2023,INDEX(H_DAYS_2023,16),INDEX(H_DAYS_2024,16))</f>
        <v>26</v>
      </c>
      <c r="D48" s="10">
        <f>C48/SUM($C$33:$C$48)</f>
        <v>0.00031288734852040386</v>
      </c>
    </row>
    <row r="49">
      <c r="A49" t="inlineStr">
        <is>
          <t>Sum</t>
        </is>
      </c>
      <c r="C49" s="13">
        <f>SUM(C33:C48)</f>
        <v>83097.0</v>
      </c>
      <c r="D49" s="10">
        <f>SUM(D33:D48)</f>
        <v>1.0</v>
      </c>
    </row>
    <row r="50">
      <c r="A50" t="inlineStr">
        <is>
          <t>Hospital rows sum to Table 18 totals (days, patients, Dec 31), 2023 then 2024</t>
        </is>
      </c>
      <c r="B50">
        <f>SUM(H_DAYS_2023)-WAIT_DAYS_2023</f>
        <v>0.0</v>
      </c>
      <c r="C50">
        <f>SUM(H_PAT_2023)-WAIT_PATIENTS_2023</f>
        <v>0.0</v>
      </c>
      <c r="D50">
        <f>SUM(H_DEC31_2023)-SNAP_TOTAL_2023</f>
        <v>0.0</v>
      </c>
    </row>
    <row r="51">
      <c r="B51">
        <f>SUM(H_DAYS_2024)-WAIT_DAYS_2024</f>
        <v>0.0</v>
      </c>
      <c r="C51">
        <f>SUM(H_PAT_2024)-WAIT_PATIENTS_2024</f>
        <v>0.0</v>
      </c>
      <c r="D51">
        <f>SUM(H_DEC31_2024)-SNAP_TOTAL_2024</f>
        <v>0.0</v>
      </c>
    </row>
    <row r="52">
      <c r="A52" t="inlineStr">
        <is>
          <t>State-run share of waitlist days, base year</t>
        </is>
      </c>
      <c r="B52" s="15">
        <f>SUMPRODUCT(H_STATE_RUN,WAIT_DAYS_H)/SUM(WAIT_DAYS_H)</f>
        <v>0.2806238492364345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</cols>
  <sheetData>
    <row r="1">
      <c r="A1" s="1" t="inlineStr">
        <is>
          <t>Ladder: one row per rung (resource view; decisions 34, 44, 45, 61, 62, 77)</t>
        </is>
      </c>
    </row>
    <row r="3">
      <c r="A3" s="2" t="inlineStr">
        <is>
          <t>Item</t>
        </is>
      </c>
      <c r="B3" s="2" t="inlineStr">
        <is>
          <t>Rung 1: converted space</t>
        </is>
      </c>
      <c r="C3" s="2" t="inlineStr">
        <is>
          <t>Rung 2: new building</t>
        </is>
      </c>
    </row>
    <row r="4">
      <c r="A4" t="inlineStr">
        <is>
          <t>Beds available</t>
        </is>
      </c>
      <c r="B4" s="13">
        <f>RUNG_BEDS_1</f>
        <v>400</v>
      </c>
      <c r="C4" s="13">
        <f>RUNG_BEDS_2</f>
        <v>400</v>
      </c>
    </row>
    <row r="5">
      <c r="A5" t="inlineStr">
        <is>
          <t>K, USD per bed, 2023 $</t>
        </is>
      </c>
      <c r="B5" s="13">
        <f>K_RUNG1</f>
        <v>10255</v>
      </c>
      <c r="C5" s="13">
        <f>K_RUNG2</f>
        <v>244869</v>
      </c>
    </row>
    <row r="6">
      <c r="A6" t="inlineStr">
        <is>
          <t>Life of the space, years</t>
        </is>
      </c>
      <c r="B6" s="13">
        <f>N_LIFE_RUNG1</f>
        <v>20</v>
      </c>
      <c r="C6" s="13">
        <f>N_LIFE_RUNG2</f>
        <v>40</v>
      </c>
    </row>
    <row r="7">
      <c r="A7" t="inlineStr">
        <is>
          <t>Annuity factor</t>
        </is>
      </c>
      <c r="B7" s="10">
        <f>DISC_RATE/(1-(1+DISC_RATE)^-N_LIFE_RUNG1)</f>
        <v>0.061156718125290346</v>
      </c>
      <c r="C7" s="10">
        <f>DISC_RATE/(1-(1+DISC_RATE)^-N_LIFE_RUNG2)</f>
        <v>0.03655574779734747</v>
      </c>
    </row>
    <row r="8">
      <c r="A8" t="inlineStr">
        <is>
          <t>K_ANN, USD per bed-year</t>
        </is>
      </c>
      <c r="B8" s="8">
        <f>K_RUNG1*ANNUITY_RUNG1</f>
        <v>627.1621443748525</v>
      </c>
      <c r="C8" s="8">
        <f>K_RUNG2*ANNUITY_RUNG2</f>
        <v>8951.369407388678</v>
      </c>
    </row>
    <row r="9">
      <c r="A9" t="inlineStr">
        <is>
          <t>COST_YR, USD per bed-year</t>
        </is>
      </c>
      <c r="B9" s="8">
        <f>K_ANN_RUNG1+OCC_DAYS*C_FULL</f>
        <v>152394.16214437486</v>
      </c>
      <c r="C9" s="8">
        <f>K_ANN_RUNG2+OCC_DAYS*C_FULL</f>
        <v>160718.36940738867</v>
      </c>
    </row>
    <row r="10">
      <c r="A10" t="inlineStr">
        <is>
          <t>BREAKEVEN, USD per freed day</t>
        </is>
      </c>
      <c r="B10" s="8">
        <f>COST_YR_RUNG1/FREED</f>
        <v>604.6110334290989</v>
      </c>
      <c r="C10" s="8">
        <f>COST_YR_RUNG2/FREED</f>
        <v>637.6366263058177</v>
      </c>
    </row>
    <row r="11">
      <c r="A11" t="inlineStr">
        <is>
          <t>GRANT, USD per bed-year</t>
        </is>
      </c>
      <c r="B11" s="8">
        <f>MAX(0,K_ANN_RUNG1-R_CAP_2023*OCC_DAYS)</f>
        <v>0</v>
      </c>
      <c r="C11" s="8">
        <f>MAX(0,K_ANN_RUNG2-R_CAP_2023*OCC_DAYS)</f>
        <v>1560.1194073886782</v>
      </c>
    </row>
    <row r="12">
      <c r="A12" t="inlineStr">
        <is>
          <t>Distance from the $900 guess</t>
        </is>
      </c>
      <c r="B12" s="8">
        <f>BREAKEVEN_RUNG1-HYP_BREAKEVEN</f>
        <v>-295.38896657090106</v>
      </c>
      <c r="C12" s="8">
        <f>BREAKEVEN_RUNG2-HYP_BREAKEVEN</f>
        <v>-262.3633736941823</v>
      </c>
    </row>
    <row r="13">
      <c r="A13" t="inlineStr">
        <is>
          <t>MAX_PREMIUM, USD per occupied day (WAGE_PREMIUM = 0)</t>
        </is>
      </c>
      <c r="B13" s="8">
        <f>(FREED*(C_AVOID+ACUTE_MARGIN)-(K_ANN_RUNG1+OCC_DAYS*NF_COST_2023))/OCC_DAYS</f>
        <v>311.04900235588326</v>
      </c>
      <c r="C13" s="8">
        <f>(FREED*(C_AVOID+ACUTE_MARGIN)-(K_ANN_RUNG2+OCC_DAYS*NF_COST_2023))/OCC_DAYS</f>
        <v>285.7089498048519</v>
      </c>
    </row>
    <row r="14">
      <c r="A14" t="inlineStr">
        <is>
          <t>SAVE_YR, USD per bed-year (in the pool)</t>
        </is>
      </c>
      <c r="B14" s="8">
        <f>FREED*(C_AVOID+ACUTE_MARGIN)</f>
        <v>254573.7594182825</v>
      </c>
    </row>
    <row r="15">
      <c r="A15" t="inlineStr">
        <is>
          <t>First rung used (cheapest COST_YR with beds)</t>
        </is>
      </c>
      <c r="B15">
        <f>IF(AND(RUNG_BEDS_1&gt;0,COST_YR_RUNG1&lt;=COST_YR_RUNG2),1,2)</f>
        <v>1</v>
      </c>
    </row>
    <row r="16">
      <c r="A16" t="inlineStr">
        <is>
          <t>HORIZON, years (life of the run's capital)</t>
        </is>
      </c>
      <c r="B16">
        <f>IF(FIRST_RUNG=1,N_LIFE_RUNG1,N_LIFE_RUNG2)</f>
        <v>20</v>
      </c>
    </row>
    <row r="17">
      <c r="A17" t="inlineStr">
        <is>
          <t>BREAKEVEN, first rung used</t>
        </is>
      </c>
      <c r="B17" s="8">
        <f>IF(FIRST_RUNG=1,BREAKEVEN_RUNG1,BREAKEVEN_RUNG2)</f>
        <v>604.6110334290989</v>
      </c>
    </row>
    <row r="18">
      <c r="A18" t="inlineStr">
        <is>
          <t>COST_YR, first rung used</t>
        </is>
      </c>
      <c r="B18" s="8">
        <f>IF(FIRST_RUNG=1,COST_YR_RUNG1,COST_YR_RUNG2)</f>
        <v>152394.16214437486</v>
      </c>
    </row>
    <row r="19">
      <c r="A19" t="inlineStr">
        <is>
          <t>GRANT, first rung used</t>
        </is>
      </c>
      <c r="B19" s="8">
        <f>IF(FIRST_RUNG=1,GRANT_RUNG1,GRANT_RUNG2)</f>
        <v>0</v>
      </c>
    </row>
    <row r="20">
      <c r="A20" t="inlineStr">
        <is>
          <t>MAX_PREMIUM, first rung used</t>
        </is>
      </c>
      <c r="B20" s="8">
        <f>IF(FIRST_RUNG=1,MAX_PREMIUM_RUNG1,MAX_PREMIUM_RUNG2)</f>
        <v>311.04900235588326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04"/>
  <sheetViews>
    <sheetView workbookViewId="0">
      <selection activeCell="A1" sqref="A1"/>
    </sheetView>
  </sheetViews>
  <sheetFormatPr baseColWidth="8" defaultRowHeight="15"/>
  <cols>
    <col width="22" customWidth="1" min="17" max="17"/>
  </cols>
  <sheetData>
    <row r="1">
      <c r="A1" s="1" t="inlineStr">
        <is>
          <t>Bed schedule: one row per bed (marginal rule; decisions 37, 62)</t>
        </is>
      </c>
    </row>
    <row r="3">
      <c r="A3" s="2" t="inlineStr">
        <is>
          <t>b</t>
        </is>
      </c>
      <c r="B3" s="2" t="inlineStr">
        <is>
          <t>Rung</t>
        </is>
      </c>
      <c r="C3" s="2" t="inlineStr">
        <is>
          <t>IN_POOL</t>
        </is>
      </c>
      <c r="D3" s="2" t="inlineStr">
        <is>
          <t>FREED_B</t>
        </is>
      </c>
      <c r="E3" s="2" t="inlineStr">
        <is>
          <t>MS at C_AVOID</t>
        </is>
      </c>
      <c r="F3" s="2" t="inlineStr">
        <is>
          <t>MS at RANGE_LO</t>
        </is>
      </c>
      <c r="G3" s="2" t="inlineStr">
        <is>
          <t>MS at RANGE_HI</t>
        </is>
      </c>
      <c r="H3" s="2" t="inlineStr">
        <is>
          <t>MC</t>
        </is>
      </c>
      <c r="I3" s="2" t="inlineStr">
        <is>
          <t>MS - MC</t>
        </is>
      </c>
      <c r="J3" s="2" t="inlineStr">
        <is>
          <t>NET (cumulative)</t>
        </is>
      </c>
      <c r="K3" s="2" t="inlineStr">
        <is>
          <t>b if NET is at its max</t>
        </is>
      </c>
      <c r="L3" s="2" t="inlineStr">
        <is>
          <t>b if MS &lt; MC</t>
        </is>
      </c>
      <c r="M3" s="2" t="inlineStr">
        <is>
          <t>GRANT of bed</t>
        </is>
      </c>
      <c r="N3" s="2" t="inlineStr">
        <is>
          <t>MCD_NET_B</t>
        </is>
      </c>
      <c r="O3" s="2" t="inlineStr">
        <is>
          <t>Counted (b &lt;= BEDS)</t>
        </is>
      </c>
      <c r="Q3" s="3" t="inlineStr">
        <is>
          <t>Results</t>
        </is>
      </c>
    </row>
    <row r="4">
      <c r="A4" t="n">
        <v>0</v>
      </c>
      <c r="J4" t="n">
        <v>0</v>
      </c>
      <c r="K4">
        <f>IF(J4=MAX($J$4:$J$404),A4,0)</f>
        <v>0</v>
      </c>
      <c r="Q4" t="inlineStr">
        <is>
          <t>BEDS</t>
        </is>
      </c>
      <c r="R4">
        <f>MAX($K$4:$K$404)</f>
        <v>150</v>
      </c>
    </row>
    <row r="5">
      <c r="A5" t="n">
        <v>1</v>
      </c>
      <c r="B5">
        <f>IF(COST_YR_RUNG1&lt;=COST_YR_RUNG2,IF(A5&lt;=RUNG_BEDS_1,1,2),IF(A5&lt;=RUNG_BEDS_2,2,1))</f>
        <v>1</v>
      </c>
      <c r="C5" s="5">
        <f>MIN(1,MAX(0,POOL_BEDS-(A5-1)))</f>
        <v>1</v>
      </c>
      <c r="D5" s="5">
        <f>FREED*(C5+(1-C5)*PAST_POOL_PCT)</f>
        <v>252.05322714681438</v>
      </c>
      <c r="E5" s="13">
        <f>D5*(C_AVOID+ACUTE_MARGIN)</f>
        <v>254573.7594182825</v>
      </c>
      <c r="F5" s="13">
        <f>D5*(RANGE_LO+ACUTE_MARGIN)</f>
        <v>138629.2749307479</v>
      </c>
      <c r="G5" s="13">
        <f>D5*(RANGE_HI+ACUTE_MARGIN)</f>
        <v>370518.24390581716</v>
      </c>
      <c r="H5" s="13">
        <f>IF(B5=1,COST_YR_RUNG1,COST_YR_RUNG2)</f>
        <v>152394.16214437486</v>
      </c>
      <c r="I5" s="13">
        <f>E5-H5</f>
        <v>102179.59727390765</v>
      </c>
      <c r="J5" s="13">
        <f>J4+I5</f>
        <v>102179.59727390765</v>
      </c>
      <c r="K5">
        <f>IF(J5=MAX($J$4:$J$404),A5,0)</f>
        <v>0</v>
      </c>
      <c r="L5">
        <f>IF(E5&lt;H5,A5,B_MAX+1)</f>
        <v>401.0</v>
      </c>
      <c r="M5" s="13">
        <f>IF(B5=1,GRANT_RUNG1,GRANT_RUNG2)</f>
        <v>0</v>
      </c>
      <c r="N5" s="13">
        <f>OCC_DAYS*MCD_SHARE_BED*R_NF_2023-D5*MCD_SHARE_FREED*R_WAIT_2023</f>
        <v>37367.159242427646</v>
      </c>
      <c r="O5">
        <f>IF(A5&lt;=BEDS,1,0)</f>
        <v>1</v>
      </c>
      <c r="Q5" t="inlineStr">
        <is>
          <t>BEDS_FIRST_FAIL_NUM</t>
        </is>
      </c>
      <c r="R5">
        <f>MIN($L$5:$L$404)</f>
        <v>151</v>
      </c>
    </row>
    <row r="6">
      <c r="A6" t="n">
        <v>2</v>
      </c>
      <c r="B6">
        <f>IF(COST_YR_RUNG1&lt;=COST_YR_RUNG2,IF(A6&lt;=RUNG_BEDS_1,1,2),IF(A6&lt;=RUNG_BEDS_2,2,1))</f>
        <v>1</v>
      </c>
      <c r="C6" s="5">
        <f>MIN(1,MAX(0,POOL_BEDS-(A6-1)))</f>
        <v>1</v>
      </c>
      <c r="D6" s="5">
        <f>FREED*(C6+(1-C6)*PAST_POOL_PCT)</f>
        <v>252.05322714681438</v>
      </c>
      <c r="E6" s="13">
        <f>D6*(C_AVOID+ACUTE_MARGIN)</f>
        <v>254573.7594182825</v>
      </c>
      <c r="F6" s="13">
        <f>D6*(RANGE_LO+ACUTE_MARGIN)</f>
        <v>138629.2749307479</v>
      </c>
      <c r="G6" s="13">
        <f>D6*(RANGE_HI+ACUTE_MARGIN)</f>
        <v>370518.24390581716</v>
      </c>
      <c r="H6" s="13">
        <f>IF(B6=1,COST_YR_RUNG1,COST_YR_RUNG2)</f>
        <v>152394.16214437486</v>
      </c>
      <c r="I6" s="13">
        <f>E6-H6</f>
        <v>102179.59727390765</v>
      </c>
      <c r="J6" s="13">
        <f>J5+I6</f>
        <v>204359.1945478153</v>
      </c>
      <c r="K6">
        <f>IF(J6=MAX($J$4:$J$404),A6,0)</f>
        <v>0</v>
      </c>
      <c r="L6">
        <f>IF(E6&lt;H6,A6,B_MAX+1)</f>
        <v>401.0</v>
      </c>
      <c r="M6" s="13">
        <f>IF(B6=1,GRANT_RUNG1,GRANT_RUNG2)</f>
        <v>0</v>
      </c>
      <c r="N6" s="13">
        <f>OCC_DAYS*MCD_SHARE_BED*R_NF_2023-D6*MCD_SHARE_FREED*R_WAIT_2023</f>
        <v>37367.159242427646</v>
      </c>
      <c r="O6">
        <f>IF(A6&lt;=BEDS,1,0)</f>
        <v>1</v>
      </c>
      <c r="Q6" t="inlineStr">
        <is>
          <t>BEDS_FIRST_FAIL</t>
        </is>
      </c>
      <c r="R6">
        <f>IF(BEDS_FIRST_FAIL_NUM&gt;B_MAX,"none",BEDS_FIRST_FAIL_NUM)</f>
        <v>151</v>
      </c>
    </row>
    <row r="7">
      <c r="A7" t="n">
        <v>3</v>
      </c>
      <c r="B7">
        <f>IF(COST_YR_RUNG1&lt;=COST_YR_RUNG2,IF(A7&lt;=RUNG_BEDS_1,1,2),IF(A7&lt;=RUNG_BEDS_2,2,1))</f>
        <v>1</v>
      </c>
      <c r="C7" s="5">
        <f>MIN(1,MAX(0,POOL_BEDS-(A7-1)))</f>
        <v>1</v>
      </c>
      <c r="D7" s="5">
        <f>FREED*(C7+(1-C7)*PAST_POOL_PCT)</f>
        <v>252.05322714681438</v>
      </c>
      <c r="E7" s="13">
        <f>D7*(C_AVOID+ACUTE_MARGIN)</f>
        <v>254573.7594182825</v>
      </c>
      <c r="F7" s="13">
        <f>D7*(RANGE_LO+ACUTE_MARGIN)</f>
        <v>138629.2749307479</v>
      </c>
      <c r="G7" s="13">
        <f>D7*(RANGE_HI+ACUTE_MARGIN)</f>
        <v>370518.24390581716</v>
      </c>
      <c r="H7" s="13">
        <f>IF(B7=1,COST_YR_RUNG1,COST_YR_RUNG2)</f>
        <v>152394.16214437486</v>
      </c>
      <c r="I7" s="13">
        <f>E7-H7</f>
        <v>102179.59727390765</v>
      </c>
      <c r="J7" s="13">
        <f>J6+I7</f>
        <v>306538.791821723</v>
      </c>
      <c r="K7">
        <f>IF(J7=MAX($J$4:$J$404),A7,0)</f>
        <v>0</v>
      </c>
      <c r="L7">
        <f>IF(E7&lt;H7,A7,B_MAX+1)</f>
        <v>401.0</v>
      </c>
      <c r="M7" s="13">
        <f>IF(B7=1,GRANT_RUNG1,GRANT_RUNG2)</f>
        <v>0</v>
      </c>
      <c r="N7" s="13">
        <f>OCC_DAYS*MCD_SHARE_BED*R_NF_2023-D7*MCD_SHARE_FREED*R_WAIT_2023</f>
        <v>37367.159242427646</v>
      </c>
      <c r="O7">
        <f>IF(A7&lt;=BEDS,1,0)</f>
        <v>1</v>
      </c>
      <c r="Q7" t="inlineStr">
        <is>
          <t>MAX_NET</t>
        </is>
      </c>
      <c r="R7" s="8">
        <f>MAX($J$4:$J$404)</f>
        <v>15326939.591086207</v>
      </c>
    </row>
    <row r="8">
      <c r="A8" t="n">
        <v>4</v>
      </c>
      <c r="B8">
        <f>IF(COST_YR_RUNG1&lt;=COST_YR_RUNG2,IF(A8&lt;=RUNG_BEDS_1,1,2),IF(A8&lt;=RUNG_BEDS_2,2,1))</f>
        <v>1</v>
      </c>
      <c r="C8" s="5">
        <f>MIN(1,MAX(0,POOL_BEDS-(A8-1)))</f>
        <v>1</v>
      </c>
      <c r="D8" s="5">
        <f>FREED*(C8+(1-C8)*PAST_POOL_PCT)</f>
        <v>252.05322714681438</v>
      </c>
      <c r="E8" s="13">
        <f>D8*(C_AVOID+ACUTE_MARGIN)</f>
        <v>254573.7594182825</v>
      </c>
      <c r="F8" s="13">
        <f>D8*(RANGE_LO+ACUTE_MARGIN)</f>
        <v>138629.2749307479</v>
      </c>
      <c r="G8" s="13">
        <f>D8*(RANGE_HI+ACUTE_MARGIN)</f>
        <v>370518.24390581716</v>
      </c>
      <c r="H8" s="13">
        <f>IF(B8=1,COST_YR_RUNG1,COST_YR_RUNG2)</f>
        <v>152394.16214437486</v>
      </c>
      <c r="I8" s="13">
        <f>E8-H8</f>
        <v>102179.59727390765</v>
      </c>
      <c r="J8" s="13">
        <f>J7+I8</f>
        <v>408718.3890956306</v>
      </c>
      <c r="K8">
        <f>IF(J8=MAX($J$4:$J$404),A8,0)</f>
        <v>0</v>
      </c>
      <c r="L8">
        <f>IF(E8&lt;H8,A8,B_MAX+1)</f>
        <v>401.0</v>
      </c>
      <c r="M8" s="13">
        <f>IF(B8=1,GRANT_RUNG1,GRANT_RUNG2)</f>
        <v>0</v>
      </c>
      <c r="N8" s="13">
        <f>OCC_DAYS*MCD_SHARE_BED*R_NF_2023-D8*MCD_SHARE_FREED*R_WAIT_2023</f>
        <v>37367.159242427646</v>
      </c>
      <c r="O8">
        <f>IF(A8&lt;=BEDS,1,0)</f>
        <v>1</v>
      </c>
      <c r="Q8" t="inlineStr">
        <is>
          <t>STOP_REASON</t>
        </is>
      </c>
      <c r="R8" t="str">
        <f>IF(BEDS=0,"no bed pays",IF(BEDS&gt;=B_MAX,"B_MAX reached",IF(AND(INDEX(BS_FREED_B,BEDS+1)&lt;INDEX(BS_FREED_B,BEDS),INDEX(BS_RUNG,BEDS+1)&lt;&gt;INDEX(BS_RUNG,BEDS)),"pool and rung",IF(INDEX(BS_RUNG,BEDS+1)&lt;&gt;INDEX(BS_RUNG,BEDS),"rung",IF(INDEX(BS_FREED_B,BEDS+1)&lt;INDEX(BS_FREED_B,BEDS),"pool","cost")))))</f>
        <v>pool</v>
      </c>
    </row>
    <row r="9">
      <c r="A9" t="n">
        <v>5</v>
      </c>
      <c r="B9">
        <f>IF(COST_YR_RUNG1&lt;=COST_YR_RUNG2,IF(A9&lt;=RUNG_BEDS_1,1,2),IF(A9&lt;=RUNG_BEDS_2,2,1))</f>
        <v>1</v>
      </c>
      <c r="C9" s="5">
        <f>MIN(1,MAX(0,POOL_BEDS-(A9-1)))</f>
        <v>1</v>
      </c>
      <c r="D9" s="5">
        <f>FREED*(C9+(1-C9)*PAST_POOL_PCT)</f>
        <v>252.05322714681438</v>
      </c>
      <c r="E9" s="13">
        <f>D9*(C_AVOID+ACUTE_MARGIN)</f>
        <v>254573.7594182825</v>
      </c>
      <c r="F9" s="13">
        <f>D9*(RANGE_LO+ACUTE_MARGIN)</f>
        <v>138629.2749307479</v>
      </c>
      <c r="G9" s="13">
        <f>D9*(RANGE_HI+ACUTE_MARGIN)</f>
        <v>370518.24390581716</v>
      </c>
      <c r="H9" s="13">
        <f>IF(B9=1,COST_YR_RUNG1,COST_YR_RUNG2)</f>
        <v>152394.16214437486</v>
      </c>
      <c r="I9" s="13">
        <f>E9-H9</f>
        <v>102179.59727390765</v>
      </c>
      <c r="J9" s="13">
        <f>J8+I9</f>
        <v>510897.98636953824</v>
      </c>
      <c r="K9">
        <f>IF(J9=MAX($J$4:$J$404),A9,0)</f>
        <v>0</v>
      </c>
      <c r="L9">
        <f>IF(E9&lt;H9,A9,B_MAX+1)</f>
        <v>401.0</v>
      </c>
      <c r="M9" s="13">
        <f>IF(B9=1,GRANT_RUNG1,GRANT_RUNG2)</f>
        <v>0</v>
      </c>
      <c r="N9" s="13">
        <f>OCC_DAYS*MCD_SHARE_BED*R_NF_2023-D9*MCD_SHARE_FREED*R_WAIT_2023</f>
        <v>37367.159242427646</v>
      </c>
      <c r="O9">
        <f>IF(A9&lt;=BEDS,1,0)</f>
        <v>1</v>
      </c>
      <c r="Q9" t="inlineStr">
        <is>
          <t>TOTAL_GRANT</t>
        </is>
      </c>
      <c r="R9" s="8">
        <f>SUMPRODUCT(BS_COUNTED,BS_GRANT)</f>
        <v>0.0</v>
      </c>
    </row>
    <row r="10">
      <c r="A10" t="n">
        <v>6</v>
      </c>
      <c r="B10">
        <f>IF(COST_YR_RUNG1&lt;=COST_YR_RUNG2,IF(A10&lt;=RUNG_BEDS_1,1,2),IF(A10&lt;=RUNG_BEDS_2,2,1))</f>
        <v>1</v>
      </c>
      <c r="C10" s="5">
        <f>MIN(1,MAX(0,POOL_BEDS-(A10-1)))</f>
        <v>1</v>
      </c>
      <c r="D10" s="5">
        <f>FREED*(C10+(1-C10)*PAST_POOL_PCT)</f>
        <v>252.05322714681438</v>
      </c>
      <c r="E10" s="13">
        <f>D10*(C_AVOID+ACUTE_MARGIN)</f>
        <v>254573.7594182825</v>
      </c>
      <c r="F10" s="13">
        <f>D10*(RANGE_LO+ACUTE_MARGIN)</f>
        <v>138629.2749307479</v>
      </c>
      <c r="G10" s="13">
        <f>D10*(RANGE_HI+ACUTE_MARGIN)</f>
        <v>370518.24390581716</v>
      </c>
      <c r="H10" s="13">
        <f>IF(B10=1,COST_YR_RUNG1,COST_YR_RUNG2)</f>
        <v>152394.16214437486</v>
      </c>
      <c r="I10" s="13">
        <f>E10-H10</f>
        <v>102179.59727390765</v>
      </c>
      <c r="J10" s="13">
        <f>J9+I10</f>
        <v>613077.5836434459</v>
      </c>
      <c r="K10">
        <f>IF(J10=MAX($J$4:$J$404),A10,0)</f>
        <v>0</v>
      </c>
      <c r="L10">
        <f>IF(E10&lt;H10,A10,B_MAX+1)</f>
        <v>401.0</v>
      </c>
      <c r="M10" s="13">
        <f>IF(B10=1,GRANT_RUNG1,GRANT_RUNG2)</f>
        <v>0</v>
      </c>
      <c r="N10" s="13">
        <f>OCC_DAYS*MCD_SHARE_BED*R_NF_2023-D10*MCD_SHARE_FREED*R_WAIT_2023</f>
        <v>37367.159242427646</v>
      </c>
      <c r="O10">
        <f>IF(A10&lt;=BEDS,1,0)</f>
        <v>1</v>
      </c>
      <c r="Q10" t="inlineStr">
        <is>
          <t>TOTAL_FREED</t>
        </is>
      </c>
      <c r="R10" s="8">
        <f>SUMPRODUCT(BS_COUNTED,BS_FREED_B)</f>
        <v>37807.98407202217</v>
      </c>
    </row>
    <row r="11">
      <c r="A11" t="n">
        <v>7</v>
      </c>
      <c r="B11">
        <f>IF(COST_YR_RUNG1&lt;=COST_YR_RUNG2,IF(A11&lt;=RUNG_BEDS_1,1,2),IF(A11&lt;=RUNG_BEDS_2,2,1))</f>
        <v>1</v>
      </c>
      <c r="C11" s="5">
        <f>MIN(1,MAX(0,POOL_BEDS-(A11-1)))</f>
        <v>1</v>
      </c>
      <c r="D11" s="5">
        <f>FREED*(C11+(1-C11)*PAST_POOL_PCT)</f>
        <v>252.05322714681438</v>
      </c>
      <c r="E11" s="13">
        <f>D11*(C_AVOID+ACUTE_MARGIN)</f>
        <v>254573.7594182825</v>
      </c>
      <c r="F11" s="13">
        <f>D11*(RANGE_LO+ACUTE_MARGIN)</f>
        <v>138629.2749307479</v>
      </c>
      <c r="G11" s="13">
        <f>D11*(RANGE_HI+ACUTE_MARGIN)</f>
        <v>370518.24390581716</v>
      </c>
      <c r="H11" s="13">
        <f>IF(B11=1,COST_YR_RUNG1,COST_YR_RUNG2)</f>
        <v>152394.16214437486</v>
      </c>
      <c r="I11" s="13">
        <f>E11-H11</f>
        <v>102179.59727390765</v>
      </c>
      <c r="J11" s="13">
        <f>J10+I11</f>
        <v>715257.1809173535</v>
      </c>
      <c r="K11">
        <f>IF(J11=MAX($J$4:$J$404),A11,0)</f>
        <v>0</v>
      </c>
      <c r="L11">
        <f>IF(E11&lt;H11,A11,B_MAX+1)</f>
        <v>401.0</v>
      </c>
      <c r="M11" s="13">
        <f>IF(B11=1,GRANT_RUNG1,GRANT_RUNG2)</f>
        <v>0</v>
      </c>
      <c r="N11" s="13">
        <f>OCC_DAYS*MCD_SHARE_BED*R_NF_2023-D11*MCD_SHARE_FREED*R_WAIT_2023</f>
        <v>37367.159242427646</v>
      </c>
      <c r="O11">
        <f>IF(A11&lt;=BEDS,1,0)</f>
        <v>1</v>
      </c>
      <c r="Q11" t="inlineStr">
        <is>
          <t>TOTAL_MCD_NET</t>
        </is>
      </c>
      <c r="R11" s="8">
        <f>SUMPRODUCT(BS_COUNTED,BS_MCD_NET_B)</f>
        <v>5605073.886364148</v>
      </c>
    </row>
    <row r="12">
      <c r="A12" t="n">
        <v>8</v>
      </c>
      <c r="B12">
        <f>IF(COST_YR_RUNG1&lt;=COST_YR_RUNG2,IF(A12&lt;=RUNG_BEDS_1,1,2),IF(A12&lt;=RUNG_BEDS_2,2,1))</f>
        <v>1</v>
      </c>
      <c r="C12" s="5">
        <f>MIN(1,MAX(0,POOL_BEDS-(A12-1)))</f>
        <v>1</v>
      </c>
      <c r="D12" s="5">
        <f>FREED*(C12+(1-C12)*PAST_POOL_PCT)</f>
        <v>252.05322714681438</v>
      </c>
      <c r="E12" s="13">
        <f>D12*(C_AVOID+ACUTE_MARGIN)</f>
        <v>254573.7594182825</v>
      </c>
      <c r="F12" s="13">
        <f>D12*(RANGE_LO+ACUTE_MARGIN)</f>
        <v>138629.2749307479</v>
      </c>
      <c r="G12" s="13">
        <f>D12*(RANGE_HI+ACUTE_MARGIN)</f>
        <v>370518.24390581716</v>
      </c>
      <c r="H12" s="13">
        <f>IF(B12=1,COST_YR_RUNG1,COST_YR_RUNG2)</f>
        <v>152394.16214437486</v>
      </c>
      <c r="I12" s="13">
        <f>E12-H12</f>
        <v>102179.59727390765</v>
      </c>
      <c r="J12" s="13">
        <f>J11+I12</f>
        <v>817436.7781912611</v>
      </c>
      <c r="K12">
        <f>IF(J12=MAX($J$4:$J$404),A12,0)</f>
        <v>0</v>
      </c>
      <c r="L12">
        <f>IF(E12&lt;H12,A12,B_MAX+1)</f>
        <v>401.0</v>
      </c>
      <c r="M12" s="13">
        <f>IF(B12=1,GRANT_RUNG1,GRANT_RUNG2)</f>
        <v>0</v>
      </c>
      <c r="N12" s="13">
        <f>OCC_DAYS*MCD_SHARE_BED*R_NF_2023-D12*MCD_SHARE_FREED*R_WAIT_2023</f>
        <v>37367.159242427646</v>
      </c>
      <c r="O12">
        <f>IF(A12&lt;=BEDS,1,0)</f>
        <v>1</v>
      </c>
    </row>
    <row r="13">
      <c r="A13" t="n">
        <v>9</v>
      </c>
      <c r="B13">
        <f>IF(COST_YR_RUNG1&lt;=COST_YR_RUNG2,IF(A13&lt;=RUNG_BEDS_1,1,2),IF(A13&lt;=RUNG_BEDS_2,2,1))</f>
        <v>1</v>
      </c>
      <c r="C13" s="5">
        <f>MIN(1,MAX(0,POOL_BEDS-(A13-1)))</f>
        <v>1</v>
      </c>
      <c r="D13" s="5">
        <f>FREED*(C13+(1-C13)*PAST_POOL_PCT)</f>
        <v>252.05322714681438</v>
      </c>
      <c r="E13" s="13">
        <f>D13*(C_AVOID+ACUTE_MARGIN)</f>
        <v>254573.7594182825</v>
      </c>
      <c r="F13" s="13">
        <f>D13*(RANGE_LO+ACUTE_MARGIN)</f>
        <v>138629.2749307479</v>
      </c>
      <c r="G13" s="13">
        <f>D13*(RANGE_HI+ACUTE_MARGIN)</f>
        <v>370518.24390581716</v>
      </c>
      <c r="H13" s="13">
        <f>IF(B13=1,COST_YR_RUNG1,COST_YR_RUNG2)</f>
        <v>152394.16214437486</v>
      </c>
      <c r="I13" s="13">
        <f>E13-H13</f>
        <v>102179.59727390765</v>
      </c>
      <c r="J13" s="13">
        <f>J12+I13</f>
        <v>919616.3754651687</v>
      </c>
      <c r="K13">
        <f>IF(J13=MAX($J$4:$J$404),A13,0)</f>
        <v>0</v>
      </c>
      <c r="L13">
        <f>IF(E13&lt;H13,A13,B_MAX+1)</f>
        <v>401.0</v>
      </c>
      <c r="M13" s="13">
        <f>IF(B13=1,GRANT_RUNG1,GRANT_RUNG2)</f>
        <v>0</v>
      </c>
      <c r="N13" s="13">
        <f>OCC_DAYS*MCD_SHARE_BED*R_NF_2023-D13*MCD_SHARE_FREED*R_WAIT_2023</f>
        <v>37367.159242427646</v>
      </c>
      <c r="O13">
        <f>IF(A13&lt;=BEDS,1,0)</f>
        <v>1</v>
      </c>
    </row>
    <row r="14">
      <c r="A14" t="n">
        <v>10</v>
      </c>
      <c r="B14">
        <f>IF(COST_YR_RUNG1&lt;=COST_YR_RUNG2,IF(A14&lt;=RUNG_BEDS_1,1,2),IF(A14&lt;=RUNG_BEDS_2,2,1))</f>
        <v>1</v>
      </c>
      <c r="C14" s="5">
        <f>MIN(1,MAX(0,POOL_BEDS-(A14-1)))</f>
        <v>1</v>
      </c>
      <c r="D14" s="5">
        <f>FREED*(C14+(1-C14)*PAST_POOL_PCT)</f>
        <v>252.05322714681438</v>
      </c>
      <c r="E14" s="13">
        <f>D14*(C_AVOID+ACUTE_MARGIN)</f>
        <v>254573.7594182825</v>
      </c>
      <c r="F14" s="13">
        <f>D14*(RANGE_LO+ACUTE_MARGIN)</f>
        <v>138629.2749307479</v>
      </c>
      <c r="G14" s="13">
        <f>D14*(RANGE_HI+ACUTE_MARGIN)</f>
        <v>370518.24390581716</v>
      </c>
      <c r="H14" s="13">
        <f>IF(B14=1,COST_YR_RUNG1,COST_YR_RUNG2)</f>
        <v>152394.16214437486</v>
      </c>
      <c r="I14" s="13">
        <f>E14-H14</f>
        <v>102179.59727390765</v>
      </c>
      <c r="J14" s="13">
        <f>J13+I14</f>
        <v>1021795.9727390764</v>
      </c>
      <c r="K14">
        <f>IF(J14=MAX($J$4:$J$404),A14,0)</f>
        <v>0</v>
      </c>
      <c r="L14">
        <f>IF(E14&lt;H14,A14,B_MAX+1)</f>
        <v>401.0</v>
      </c>
      <c r="M14" s="13">
        <f>IF(B14=1,GRANT_RUNG1,GRANT_RUNG2)</f>
        <v>0</v>
      </c>
      <c r="N14" s="13">
        <f>OCC_DAYS*MCD_SHARE_BED*R_NF_2023-D14*MCD_SHARE_FREED*R_WAIT_2023</f>
        <v>37367.159242427646</v>
      </c>
      <c r="O14">
        <f>IF(A14&lt;=BEDS,1,0)</f>
        <v>1</v>
      </c>
    </row>
    <row r="15">
      <c r="A15" t="n">
        <v>11</v>
      </c>
      <c r="B15">
        <f>IF(COST_YR_RUNG1&lt;=COST_YR_RUNG2,IF(A15&lt;=RUNG_BEDS_1,1,2),IF(A15&lt;=RUNG_BEDS_2,2,1))</f>
        <v>1</v>
      </c>
      <c r="C15" s="5">
        <f>MIN(1,MAX(0,POOL_BEDS-(A15-1)))</f>
        <v>1</v>
      </c>
      <c r="D15" s="5">
        <f>FREED*(C15+(1-C15)*PAST_POOL_PCT)</f>
        <v>252.05322714681438</v>
      </c>
      <c r="E15" s="13">
        <f>D15*(C_AVOID+ACUTE_MARGIN)</f>
        <v>254573.7594182825</v>
      </c>
      <c r="F15" s="13">
        <f>D15*(RANGE_LO+ACUTE_MARGIN)</f>
        <v>138629.2749307479</v>
      </c>
      <c r="G15" s="13">
        <f>D15*(RANGE_HI+ACUTE_MARGIN)</f>
        <v>370518.24390581716</v>
      </c>
      <c r="H15" s="13">
        <f>IF(B15=1,COST_YR_RUNG1,COST_YR_RUNG2)</f>
        <v>152394.16214437486</v>
      </c>
      <c r="I15" s="13">
        <f>E15-H15</f>
        <v>102179.59727390765</v>
      </c>
      <c r="J15" s="13">
        <f>J14+I15</f>
        <v>1123975.570012984</v>
      </c>
      <c r="K15">
        <f>IF(J15=MAX($J$4:$J$404),A15,0)</f>
        <v>0</v>
      </c>
      <c r="L15">
        <f>IF(E15&lt;H15,A15,B_MAX+1)</f>
        <v>401.0</v>
      </c>
      <c r="M15" s="13">
        <f>IF(B15=1,GRANT_RUNG1,GRANT_RUNG2)</f>
        <v>0</v>
      </c>
      <c r="N15" s="13">
        <f>OCC_DAYS*MCD_SHARE_BED*R_NF_2023-D15*MCD_SHARE_FREED*R_WAIT_2023</f>
        <v>37367.159242427646</v>
      </c>
      <c r="O15">
        <f>IF(A15&lt;=BEDS,1,0)</f>
        <v>1</v>
      </c>
    </row>
    <row r="16">
      <c r="A16" t="n">
        <v>12</v>
      </c>
      <c r="B16">
        <f>IF(COST_YR_RUNG1&lt;=COST_YR_RUNG2,IF(A16&lt;=RUNG_BEDS_1,1,2),IF(A16&lt;=RUNG_BEDS_2,2,1))</f>
        <v>1</v>
      </c>
      <c r="C16" s="5">
        <f>MIN(1,MAX(0,POOL_BEDS-(A16-1)))</f>
        <v>1</v>
      </c>
      <c r="D16" s="5">
        <f>FREED*(C16+(1-C16)*PAST_POOL_PCT)</f>
        <v>252.05322714681438</v>
      </c>
      <c r="E16" s="13">
        <f>D16*(C_AVOID+ACUTE_MARGIN)</f>
        <v>254573.7594182825</v>
      </c>
      <c r="F16" s="13">
        <f>D16*(RANGE_LO+ACUTE_MARGIN)</f>
        <v>138629.2749307479</v>
      </c>
      <c r="G16" s="13">
        <f>D16*(RANGE_HI+ACUTE_MARGIN)</f>
        <v>370518.24390581716</v>
      </c>
      <c r="H16" s="13">
        <f>IF(B16=1,COST_YR_RUNG1,COST_YR_RUNG2)</f>
        <v>152394.16214437486</v>
      </c>
      <c r="I16" s="13">
        <f>E16-H16</f>
        <v>102179.59727390765</v>
      </c>
      <c r="J16" s="13">
        <f>J15+I16</f>
        <v>1226155.1672868917</v>
      </c>
      <c r="K16">
        <f>IF(J16=MAX($J$4:$J$404),A16,0)</f>
        <v>0</v>
      </c>
      <c r="L16">
        <f>IF(E16&lt;H16,A16,B_MAX+1)</f>
        <v>401.0</v>
      </c>
      <c r="M16" s="13">
        <f>IF(B16=1,GRANT_RUNG1,GRANT_RUNG2)</f>
        <v>0</v>
      </c>
      <c r="N16" s="13">
        <f>OCC_DAYS*MCD_SHARE_BED*R_NF_2023-D16*MCD_SHARE_FREED*R_WAIT_2023</f>
        <v>37367.159242427646</v>
      </c>
      <c r="O16">
        <f>IF(A16&lt;=BEDS,1,0)</f>
        <v>1</v>
      </c>
    </row>
    <row r="17">
      <c r="A17" t="n">
        <v>13</v>
      </c>
      <c r="B17">
        <f>IF(COST_YR_RUNG1&lt;=COST_YR_RUNG2,IF(A17&lt;=RUNG_BEDS_1,1,2),IF(A17&lt;=RUNG_BEDS_2,2,1))</f>
        <v>1</v>
      </c>
      <c r="C17" s="5">
        <f>MIN(1,MAX(0,POOL_BEDS-(A17-1)))</f>
        <v>1</v>
      </c>
      <c r="D17" s="5">
        <f>FREED*(C17+(1-C17)*PAST_POOL_PCT)</f>
        <v>252.05322714681438</v>
      </c>
      <c r="E17" s="13">
        <f>D17*(C_AVOID+ACUTE_MARGIN)</f>
        <v>254573.7594182825</v>
      </c>
      <c r="F17" s="13">
        <f>D17*(RANGE_LO+ACUTE_MARGIN)</f>
        <v>138629.2749307479</v>
      </c>
      <c r="G17" s="13">
        <f>D17*(RANGE_HI+ACUTE_MARGIN)</f>
        <v>370518.24390581716</v>
      </c>
      <c r="H17" s="13">
        <f>IF(B17=1,COST_YR_RUNG1,COST_YR_RUNG2)</f>
        <v>152394.16214437486</v>
      </c>
      <c r="I17" s="13">
        <f>E17-H17</f>
        <v>102179.59727390765</v>
      </c>
      <c r="J17" s="13">
        <f>J16+I17</f>
        <v>1328334.7645607993</v>
      </c>
      <c r="K17">
        <f>IF(J17=MAX($J$4:$J$404),A17,0)</f>
        <v>0</v>
      </c>
      <c r="L17">
        <f>IF(E17&lt;H17,A17,B_MAX+1)</f>
        <v>401.0</v>
      </c>
      <c r="M17" s="13">
        <f>IF(B17=1,GRANT_RUNG1,GRANT_RUNG2)</f>
        <v>0</v>
      </c>
      <c r="N17" s="13">
        <f>OCC_DAYS*MCD_SHARE_BED*R_NF_2023-D17*MCD_SHARE_FREED*R_WAIT_2023</f>
        <v>37367.159242427646</v>
      </c>
      <c r="O17">
        <f>IF(A17&lt;=BEDS,1,0)</f>
        <v>1</v>
      </c>
    </row>
    <row r="18">
      <c r="A18" t="n">
        <v>14</v>
      </c>
      <c r="B18">
        <f>IF(COST_YR_RUNG1&lt;=COST_YR_RUNG2,IF(A18&lt;=RUNG_BEDS_1,1,2),IF(A18&lt;=RUNG_BEDS_2,2,1))</f>
        <v>1</v>
      </c>
      <c r="C18" s="5">
        <f>MIN(1,MAX(0,POOL_BEDS-(A18-1)))</f>
        <v>1</v>
      </c>
      <c r="D18" s="5">
        <f>FREED*(C18+(1-C18)*PAST_POOL_PCT)</f>
        <v>252.05322714681438</v>
      </c>
      <c r="E18" s="13">
        <f>D18*(C_AVOID+ACUTE_MARGIN)</f>
        <v>254573.7594182825</v>
      </c>
      <c r="F18" s="13">
        <f>D18*(RANGE_LO+ACUTE_MARGIN)</f>
        <v>138629.2749307479</v>
      </c>
      <c r="G18" s="13">
        <f>D18*(RANGE_HI+ACUTE_MARGIN)</f>
        <v>370518.24390581716</v>
      </c>
      <c r="H18" s="13">
        <f>IF(B18=1,COST_YR_RUNG1,COST_YR_RUNG2)</f>
        <v>152394.16214437486</v>
      </c>
      <c r="I18" s="13">
        <f>E18-H18</f>
        <v>102179.59727390765</v>
      </c>
      <c r="J18" s="13">
        <f>J17+I18</f>
        <v>1430514.361834707</v>
      </c>
      <c r="K18">
        <f>IF(J18=MAX($J$4:$J$404),A18,0)</f>
        <v>0</v>
      </c>
      <c r="L18">
        <f>IF(E18&lt;H18,A18,B_MAX+1)</f>
        <v>401.0</v>
      </c>
      <c r="M18" s="13">
        <f>IF(B18=1,GRANT_RUNG1,GRANT_RUNG2)</f>
        <v>0</v>
      </c>
      <c r="N18" s="13">
        <f>OCC_DAYS*MCD_SHARE_BED*R_NF_2023-D18*MCD_SHARE_FREED*R_WAIT_2023</f>
        <v>37367.159242427646</v>
      </c>
      <c r="O18">
        <f>IF(A18&lt;=BEDS,1,0)</f>
        <v>1</v>
      </c>
    </row>
    <row r="19">
      <c r="A19" t="n">
        <v>15</v>
      </c>
      <c r="B19">
        <f>IF(COST_YR_RUNG1&lt;=COST_YR_RUNG2,IF(A19&lt;=RUNG_BEDS_1,1,2),IF(A19&lt;=RUNG_BEDS_2,2,1))</f>
        <v>1</v>
      </c>
      <c r="C19" s="5">
        <f>MIN(1,MAX(0,POOL_BEDS-(A19-1)))</f>
        <v>1</v>
      </c>
      <c r="D19" s="5">
        <f>FREED*(C19+(1-C19)*PAST_POOL_PCT)</f>
        <v>252.05322714681438</v>
      </c>
      <c r="E19" s="13">
        <f>D19*(C_AVOID+ACUTE_MARGIN)</f>
        <v>254573.7594182825</v>
      </c>
      <c r="F19" s="13">
        <f>D19*(RANGE_LO+ACUTE_MARGIN)</f>
        <v>138629.2749307479</v>
      </c>
      <c r="G19" s="13">
        <f>D19*(RANGE_HI+ACUTE_MARGIN)</f>
        <v>370518.24390581716</v>
      </c>
      <c r="H19" s="13">
        <f>IF(B19=1,COST_YR_RUNG1,COST_YR_RUNG2)</f>
        <v>152394.16214437486</v>
      </c>
      <c r="I19" s="13">
        <f>E19-H19</f>
        <v>102179.59727390765</v>
      </c>
      <c r="J19" s="13">
        <f>J18+I19</f>
        <v>1532693.9591086146</v>
      </c>
      <c r="K19">
        <f>IF(J19=MAX($J$4:$J$404),A19,0)</f>
        <v>0</v>
      </c>
      <c r="L19">
        <f>IF(E19&lt;H19,A19,B_MAX+1)</f>
        <v>401.0</v>
      </c>
      <c r="M19" s="13">
        <f>IF(B19=1,GRANT_RUNG1,GRANT_RUNG2)</f>
        <v>0</v>
      </c>
      <c r="N19" s="13">
        <f>OCC_DAYS*MCD_SHARE_BED*R_NF_2023-D19*MCD_SHARE_FREED*R_WAIT_2023</f>
        <v>37367.159242427646</v>
      </c>
      <c r="O19">
        <f>IF(A19&lt;=BEDS,1,0)</f>
        <v>1</v>
      </c>
    </row>
    <row r="20">
      <c r="A20" t="n">
        <v>16</v>
      </c>
      <c r="B20">
        <f>IF(COST_YR_RUNG1&lt;=COST_YR_RUNG2,IF(A20&lt;=RUNG_BEDS_1,1,2),IF(A20&lt;=RUNG_BEDS_2,2,1))</f>
        <v>1</v>
      </c>
      <c r="C20" s="5">
        <f>MIN(1,MAX(0,POOL_BEDS-(A20-1)))</f>
        <v>1</v>
      </c>
      <c r="D20" s="5">
        <f>FREED*(C20+(1-C20)*PAST_POOL_PCT)</f>
        <v>252.05322714681438</v>
      </c>
      <c r="E20" s="13">
        <f>D20*(C_AVOID+ACUTE_MARGIN)</f>
        <v>254573.7594182825</v>
      </c>
      <c r="F20" s="13">
        <f>D20*(RANGE_LO+ACUTE_MARGIN)</f>
        <v>138629.2749307479</v>
      </c>
      <c r="G20" s="13">
        <f>D20*(RANGE_HI+ACUTE_MARGIN)</f>
        <v>370518.24390581716</v>
      </c>
      <c r="H20" s="13">
        <f>IF(B20=1,COST_YR_RUNG1,COST_YR_RUNG2)</f>
        <v>152394.16214437486</v>
      </c>
      <c r="I20" s="13">
        <f>E20-H20</f>
        <v>102179.59727390765</v>
      </c>
      <c r="J20" s="13">
        <f>J19+I20</f>
        <v>1634873.5563825222</v>
      </c>
      <c r="K20">
        <f>IF(J20=MAX($J$4:$J$404),A20,0)</f>
        <v>0</v>
      </c>
      <c r="L20">
        <f>IF(E20&lt;H20,A20,B_MAX+1)</f>
        <v>401.0</v>
      </c>
      <c r="M20" s="13">
        <f>IF(B20=1,GRANT_RUNG1,GRANT_RUNG2)</f>
        <v>0</v>
      </c>
      <c r="N20" s="13">
        <f>OCC_DAYS*MCD_SHARE_BED*R_NF_2023-D20*MCD_SHARE_FREED*R_WAIT_2023</f>
        <v>37367.159242427646</v>
      </c>
      <c r="O20">
        <f>IF(A20&lt;=BEDS,1,0)</f>
        <v>1</v>
      </c>
    </row>
    <row r="21">
      <c r="A21" t="n">
        <v>17</v>
      </c>
      <c r="B21">
        <f>IF(COST_YR_RUNG1&lt;=COST_YR_RUNG2,IF(A21&lt;=RUNG_BEDS_1,1,2),IF(A21&lt;=RUNG_BEDS_2,2,1))</f>
        <v>1</v>
      </c>
      <c r="C21" s="5">
        <f>MIN(1,MAX(0,POOL_BEDS-(A21-1)))</f>
        <v>1</v>
      </c>
      <c r="D21" s="5">
        <f>FREED*(C21+(1-C21)*PAST_POOL_PCT)</f>
        <v>252.05322714681438</v>
      </c>
      <c r="E21" s="13">
        <f>D21*(C_AVOID+ACUTE_MARGIN)</f>
        <v>254573.7594182825</v>
      </c>
      <c r="F21" s="13">
        <f>D21*(RANGE_LO+ACUTE_MARGIN)</f>
        <v>138629.2749307479</v>
      </c>
      <c r="G21" s="13">
        <f>D21*(RANGE_HI+ACUTE_MARGIN)</f>
        <v>370518.24390581716</v>
      </c>
      <c r="H21" s="13">
        <f>IF(B21=1,COST_YR_RUNG1,COST_YR_RUNG2)</f>
        <v>152394.16214437486</v>
      </c>
      <c r="I21" s="13">
        <f>E21-H21</f>
        <v>102179.59727390765</v>
      </c>
      <c r="J21" s="13">
        <f>J20+I21</f>
        <v>1737053.1536564298</v>
      </c>
      <c r="K21">
        <f>IF(J21=MAX($J$4:$J$404),A21,0)</f>
        <v>0</v>
      </c>
      <c r="L21">
        <f>IF(E21&lt;H21,A21,B_MAX+1)</f>
        <v>401.0</v>
      </c>
      <c r="M21" s="13">
        <f>IF(B21=1,GRANT_RUNG1,GRANT_RUNG2)</f>
        <v>0</v>
      </c>
      <c r="N21" s="13">
        <f>OCC_DAYS*MCD_SHARE_BED*R_NF_2023-D21*MCD_SHARE_FREED*R_WAIT_2023</f>
        <v>37367.159242427646</v>
      </c>
      <c r="O21">
        <f>IF(A21&lt;=BEDS,1,0)</f>
        <v>1</v>
      </c>
    </row>
    <row r="22">
      <c r="A22" t="n">
        <v>18</v>
      </c>
      <c r="B22">
        <f>IF(COST_YR_RUNG1&lt;=COST_YR_RUNG2,IF(A22&lt;=RUNG_BEDS_1,1,2),IF(A22&lt;=RUNG_BEDS_2,2,1))</f>
        <v>1</v>
      </c>
      <c r="C22" s="5">
        <f>MIN(1,MAX(0,POOL_BEDS-(A22-1)))</f>
        <v>1</v>
      </c>
      <c r="D22" s="5">
        <f>FREED*(C22+(1-C22)*PAST_POOL_PCT)</f>
        <v>252.05322714681438</v>
      </c>
      <c r="E22" s="13">
        <f>D22*(C_AVOID+ACUTE_MARGIN)</f>
        <v>254573.7594182825</v>
      </c>
      <c r="F22" s="13">
        <f>D22*(RANGE_LO+ACUTE_MARGIN)</f>
        <v>138629.2749307479</v>
      </c>
      <c r="G22" s="13">
        <f>D22*(RANGE_HI+ACUTE_MARGIN)</f>
        <v>370518.24390581716</v>
      </c>
      <c r="H22" s="13">
        <f>IF(B22=1,COST_YR_RUNG1,COST_YR_RUNG2)</f>
        <v>152394.16214437486</v>
      </c>
      <c r="I22" s="13">
        <f>E22-H22</f>
        <v>102179.59727390765</v>
      </c>
      <c r="J22" s="13">
        <f>J21+I22</f>
        <v>1839232.7509303375</v>
      </c>
      <c r="K22">
        <f>IF(J22=MAX($J$4:$J$404),A22,0)</f>
        <v>0</v>
      </c>
      <c r="L22">
        <f>IF(E22&lt;H22,A22,B_MAX+1)</f>
        <v>401.0</v>
      </c>
      <c r="M22" s="13">
        <f>IF(B22=1,GRANT_RUNG1,GRANT_RUNG2)</f>
        <v>0</v>
      </c>
      <c r="N22" s="13">
        <f>OCC_DAYS*MCD_SHARE_BED*R_NF_2023-D22*MCD_SHARE_FREED*R_WAIT_2023</f>
        <v>37367.159242427646</v>
      </c>
      <c r="O22">
        <f>IF(A22&lt;=BEDS,1,0)</f>
        <v>1</v>
      </c>
    </row>
    <row r="23">
      <c r="A23" t="n">
        <v>19</v>
      </c>
      <c r="B23">
        <f>IF(COST_YR_RUNG1&lt;=COST_YR_RUNG2,IF(A23&lt;=RUNG_BEDS_1,1,2),IF(A23&lt;=RUNG_BEDS_2,2,1))</f>
        <v>1</v>
      </c>
      <c r="C23" s="5">
        <f>MIN(1,MAX(0,POOL_BEDS-(A23-1)))</f>
        <v>1</v>
      </c>
      <c r="D23" s="5">
        <f>FREED*(C23+(1-C23)*PAST_POOL_PCT)</f>
        <v>252.05322714681438</v>
      </c>
      <c r="E23" s="13">
        <f>D23*(C_AVOID+ACUTE_MARGIN)</f>
        <v>254573.7594182825</v>
      </c>
      <c r="F23" s="13">
        <f>D23*(RANGE_LO+ACUTE_MARGIN)</f>
        <v>138629.2749307479</v>
      </c>
      <c r="G23" s="13">
        <f>D23*(RANGE_HI+ACUTE_MARGIN)</f>
        <v>370518.24390581716</v>
      </c>
      <c r="H23" s="13">
        <f>IF(B23=1,COST_YR_RUNG1,COST_YR_RUNG2)</f>
        <v>152394.16214437486</v>
      </c>
      <c r="I23" s="13">
        <f>E23-H23</f>
        <v>102179.59727390765</v>
      </c>
      <c r="J23" s="13">
        <f>J22+I23</f>
        <v>1941412.348204245</v>
      </c>
      <c r="K23">
        <f>IF(J23=MAX($J$4:$J$404),A23,0)</f>
        <v>0</v>
      </c>
      <c r="L23">
        <f>IF(E23&lt;H23,A23,B_MAX+1)</f>
        <v>401.0</v>
      </c>
      <c r="M23" s="13">
        <f>IF(B23=1,GRANT_RUNG1,GRANT_RUNG2)</f>
        <v>0</v>
      </c>
      <c r="N23" s="13">
        <f>OCC_DAYS*MCD_SHARE_BED*R_NF_2023-D23*MCD_SHARE_FREED*R_WAIT_2023</f>
        <v>37367.159242427646</v>
      </c>
      <c r="O23">
        <f>IF(A23&lt;=BEDS,1,0)</f>
        <v>1</v>
      </c>
    </row>
    <row r="24">
      <c r="A24" t="n">
        <v>20</v>
      </c>
      <c r="B24">
        <f>IF(COST_YR_RUNG1&lt;=COST_YR_RUNG2,IF(A24&lt;=RUNG_BEDS_1,1,2),IF(A24&lt;=RUNG_BEDS_2,2,1))</f>
        <v>1</v>
      </c>
      <c r="C24" s="5">
        <f>MIN(1,MAX(0,POOL_BEDS-(A24-1)))</f>
        <v>1</v>
      </c>
      <c r="D24" s="5">
        <f>FREED*(C24+(1-C24)*PAST_POOL_PCT)</f>
        <v>252.05322714681438</v>
      </c>
      <c r="E24" s="13">
        <f>D24*(C_AVOID+ACUTE_MARGIN)</f>
        <v>254573.7594182825</v>
      </c>
      <c r="F24" s="13">
        <f>D24*(RANGE_LO+ACUTE_MARGIN)</f>
        <v>138629.2749307479</v>
      </c>
      <c r="G24" s="13">
        <f>D24*(RANGE_HI+ACUTE_MARGIN)</f>
        <v>370518.24390581716</v>
      </c>
      <c r="H24" s="13">
        <f>IF(B24=1,COST_YR_RUNG1,COST_YR_RUNG2)</f>
        <v>152394.16214437486</v>
      </c>
      <c r="I24" s="13">
        <f>E24-H24</f>
        <v>102179.59727390765</v>
      </c>
      <c r="J24" s="13">
        <f>J23+I24</f>
        <v>2043591.9454781527</v>
      </c>
      <c r="K24">
        <f>IF(J24=MAX($J$4:$J$404),A24,0)</f>
        <v>0</v>
      </c>
      <c r="L24">
        <f>IF(E24&lt;H24,A24,B_MAX+1)</f>
        <v>401.0</v>
      </c>
      <c r="M24" s="13">
        <f>IF(B24=1,GRANT_RUNG1,GRANT_RUNG2)</f>
        <v>0</v>
      </c>
      <c r="N24" s="13">
        <f>OCC_DAYS*MCD_SHARE_BED*R_NF_2023-D24*MCD_SHARE_FREED*R_WAIT_2023</f>
        <v>37367.159242427646</v>
      </c>
      <c r="O24">
        <f>IF(A24&lt;=BEDS,1,0)</f>
        <v>1</v>
      </c>
    </row>
    <row r="25">
      <c r="A25" t="n">
        <v>21</v>
      </c>
      <c r="B25">
        <f>IF(COST_YR_RUNG1&lt;=COST_YR_RUNG2,IF(A25&lt;=RUNG_BEDS_1,1,2),IF(A25&lt;=RUNG_BEDS_2,2,1))</f>
        <v>1</v>
      </c>
      <c r="C25" s="5">
        <f>MIN(1,MAX(0,POOL_BEDS-(A25-1)))</f>
        <v>1</v>
      </c>
      <c r="D25" s="5">
        <f>FREED*(C25+(1-C25)*PAST_POOL_PCT)</f>
        <v>252.05322714681438</v>
      </c>
      <c r="E25" s="13">
        <f>D25*(C_AVOID+ACUTE_MARGIN)</f>
        <v>254573.7594182825</v>
      </c>
      <c r="F25" s="13">
        <f>D25*(RANGE_LO+ACUTE_MARGIN)</f>
        <v>138629.2749307479</v>
      </c>
      <c r="G25" s="13">
        <f>D25*(RANGE_HI+ACUTE_MARGIN)</f>
        <v>370518.24390581716</v>
      </c>
      <c r="H25" s="13">
        <f>IF(B25=1,COST_YR_RUNG1,COST_YR_RUNG2)</f>
        <v>152394.16214437486</v>
      </c>
      <c r="I25" s="13">
        <f>E25-H25</f>
        <v>102179.59727390765</v>
      </c>
      <c r="J25" s="13">
        <f>J24+I25</f>
        <v>2145771.5427520606</v>
      </c>
      <c r="K25">
        <f>IF(J25=MAX($J$4:$J$404),A25,0)</f>
        <v>0</v>
      </c>
      <c r="L25">
        <f>IF(E25&lt;H25,A25,B_MAX+1)</f>
        <v>401.0</v>
      </c>
      <c r="M25" s="13">
        <f>IF(B25=1,GRANT_RUNG1,GRANT_RUNG2)</f>
        <v>0</v>
      </c>
      <c r="N25" s="13">
        <f>OCC_DAYS*MCD_SHARE_BED*R_NF_2023-D25*MCD_SHARE_FREED*R_WAIT_2023</f>
        <v>37367.159242427646</v>
      </c>
      <c r="O25">
        <f>IF(A25&lt;=BEDS,1,0)</f>
        <v>1</v>
      </c>
    </row>
    <row r="26">
      <c r="A26" t="n">
        <v>22</v>
      </c>
      <c r="B26">
        <f>IF(COST_YR_RUNG1&lt;=COST_YR_RUNG2,IF(A26&lt;=RUNG_BEDS_1,1,2),IF(A26&lt;=RUNG_BEDS_2,2,1))</f>
        <v>1</v>
      </c>
      <c r="C26" s="5">
        <f>MIN(1,MAX(0,POOL_BEDS-(A26-1)))</f>
        <v>1</v>
      </c>
      <c r="D26" s="5">
        <f>FREED*(C26+(1-C26)*PAST_POOL_PCT)</f>
        <v>252.05322714681438</v>
      </c>
      <c r="E26" s="13">
        <f>D26*(C_AVOID+ACUTE_MARGIN)</f>
        <v>254573.7594182825</v>
      </c>
      <c r="F26" s="13">
        <f>D26*(RANGE_LO+ACUTE_MARGIN)</f>
        <v>138629.2749307479</v>
      </c>
      <c r="G26" s="13">
        <f>D26*(RANGE_HI+ACUTE_MARGIN)</f>
        <v>370518.24390581716</v>
      </c>
      <c r="H26" s="13">
        <f>IF(B26=1,COST_YR_RUNG1,COST_YR_RUNG2)</f>
        <v>152394.16214437486</v>
      </c>
      <c r="I26" s="13">
        <f>E26-H26</f>
        <v>102179.59727390765</v>
      </c>
      <c r="J26" s="13">
        <f>J25+I26</f>
        <v>2247951.140025968</v>
      </c>
      <c r="K26">
        <f>IF(J26=MAX($J$4:$J$404),A26,0)</f>
        <v>0</v>
      </c>
      <c r="L26">
        <f>IF(E26&lt;H26,A26,B_MAX+1)</f>
        <v>401.0</v>
      </c>
      <c r="M26" s="13">
        <f>IF(B26=1,GRANT_RUNG1,GRANT_RUNG2)</f>
        <v>0</v>
      </c>
      <c r="N26" s="13">
        <f>OCC_DAYS*MCD_SHARE_BED*R_NF_2023-D26*MCD_SHARE_FREED*R_WAIT_2023</f>
        <v>37367.159242427646</v>
      </c>
      <c r="O26">
        <f>IF(A26&lt;=BEDS,1,0)</f>
        <v>1</v>
      </c>
    </row>
    <row r="27">
      <c r="A27" t="n">
        <v>23</v>
      </c>
      <c r="B27">
        <f>IF(COST_YR_RUNG1&lt;=COST_YR_RUNG2,IF(A27&lt;=RUNG_BEDS_1,1,2),IF(A27&lt;=RUNG_BEDS_2,2,1))</f>
        <v>1</v>
      </c>
      <c r="C27" s="5">
        <f>MIN(1,MAX(0,POOL_BEDS-(A27-1)))</f>
        <v>1</v>
      </c>
      <c r="D27" s="5">
        <f>FREED*(C27+(1-C27)*PAST_POOL_PCT)</f>
        <v>252.05322714681438</v>
      </c>
      <c r="E27" s="13">
        <f>D27*(C_AVOID+ACUTE_MARGIN)</f>
        <v>254573.7594182825</v>
      </c>
      <c r="F27" s="13">
        <f>D27*(RANGE_LO+ACUTE_MARGIN)</f>
        <v>138629.2749307479</v>
      </c>
      <c r="G27" s="13">
        <f>D27*(RANGE_HI+ACUTE_MARGIN)</f>
        <v>370518.24390581716</v>
      </c>
      <c r="H27" s="13">
        <f>IF(B27=1,COST_YR_RUNG1,COST_YR_RUNG2)</f>
        <v>152394.16214437486</v>
      </c>
      <c r="I27" s="13">
        <f>E27-H27</f>
        <v>102179.59727390765</v>
      </c>
      <c r="J27" s="13">
        <f>J26+I27</f>
        <v>2350130.737299876</v>
      </c>
      <c r="K27">
        <f>IF(J27=MAX($J$4:$J$404),A27,0)</f>
        <v>0</v>
      </c>
      <c r="L27">
        <f>IF(E27&lt;H27,A27,B_MAX+1)</f>
        <v>401.0</v>
      </c>
      <c r="M27" s="13">
        <f>IF(B27=1,GRANT_RUNG1,GRANT_RUNG2)</f>
        <v>0</v>
      </c>
      <c r="N27" s="13">
        <f>OCC_DAYS*MCD_SHARE_BED*R_NF_2023-D27*MCD_SHARE_FREED*R_WAIT_2023</f>
        <v>37367.159242427646</v>
      </c>
      <c r="O27">
        <f>IF(A27&lt;=BEDS,1,0)</f>
        <v>1</v>
      </c>
    </row>
    <row r="28">
      <c r="A28" t="n">
        <v>24</v>
      </c>
      <c r="B28">
        <f>IF(COST_YR_RUNG1&lt;=COST_YR_RUNG2,IF(A28&lt;=RUNG_BEDS_1,1,2),IF(A28&lt;=RUNG_BEDS_2,2,1))</f>
        <v>1</v>
      </c>
      <c r="C28" s="5">
        <f>MIN(1,MAX(0,POOL_BEDS-(A28-1)))</f>
        <v>1</v>
      </c>
      <c r="D28" s="5">
        <f>FREED*(C28+(1-C28)*PAST_POOL_PCT)</f>
        <v>252.05322714681438</v>
      </c>
      <c r="E28" s="13">
        <f>D28*(C_AVOID+ACUTE_MARGIN)</f>
        <v>254573.7594182825</v>
      </c>
      <c r="F28" s="13">
        <f>D28*(RANGE_LO+ACUTE_MARGIN)</f>
        <v>138629.2749307479</v>
      </c>
      <c r="G28" s="13">
        <f>D28*(RANGE_HI+ACUTE_MARGIN)</f>
        <v>370518.24390581716</v>
      </c>
      <c r="H28" s="13">
        <f>IF(B28=1,COST_YR_RUNG1,COST_YR_RUNG2)</f>
        <v>152394.16214437486</v>
      </c>
      <c r="I28" s="13">
        <f>E28-H28</f>
        <v>102179.59727390765</v>
      </c>
      <c r="J28" s="13">
        <f>J27+I28</f>
        <v>2452310.3345737834</v>
      </c>
      <c r="K28">
        <f>IF(J28=MAX($J$4:$J$404),A28,0)</f>
        <v>0</v>
      </c>
      <c r="L28">
        <f>IF(E28&lt;H28,A28,B_MAX+1)</f>
        <v>401.0</v>
      </c>
      <c r="M28" s="13">
        <f>IF(B28=1,GRANT_RUNG1,GRANT_RUNG2)</f>
        <v>0</v>
      </c>
      <c r="N28" s="13">
        <f>OCC_DAYS*MCD_SHARE_BED*R_NF_2023-D28*MCD_SHARE_FREED*R_WAIT_2023</f>
        <v>37367.159242427646</v>
      </c>
      <c r="O28">
        <f>IF(A28&lt;=BEDS,1,0)</f>
        <v>1</v>
      </c>
    </row>
    <row r="29">
      <c r="A29" t="n">
        <v>25</v>
      </c>
      <c r="B29">
        <f>IF(COST_YR_RUNG1&lt;=COST_YR_RUNG2,IF(A29&lt;=RUNG_BEDS_1,1,2),IF(A29&lt;=RUNG_BEDS_2,2,1))</f>
        <v>1</v>
      </c>
      <c r="C29" s="5">
        <f>MIN(1,MAX(0,POOL_BEDS-(A29-1)))</f>
        <v>1</v>
      </c>
      <c r="D29" s="5">
        <f>FREED*(C29+(1-C29)*PAST_POOL_PCT)</f>
        <v>252.05322714681438</v>
      </c>
      <c r="E29" s="13">
        <f>D29*(C_AVOID+ACUTE_MARGIN)</f>
        <v>254573.7594182825</v>
      </c>
      <c r="F29" s="13">
        <f>D29*(RANGE_LO+ACUTE_MARGIN)</f>
        <v>138629.2749307479</v>
      </c>
      <c r="G29" s="13">
        <f>D29*(RANGE_HI+ACUTE_MARGIN)</f>
        <v>370518.24390581716</v>
      </c>
      <c r="H29" s="13">
        <f>IF(B29=1,COST_YR_RUNG1,COST_YR_RUNG2)</f>
        <v>152394.16214437486</v>
      </c>
      <c r="I29" s="13">
        <f>E29-H29</f>
        <v>102179.59727390765</v>
      </c>
      <c r="J29" s="13">
        <f>J28+I29</f>
        <v>2554489.931847691</v>
      </c>
      <c r="K29">
        <f>IF(J29=MAX($J$4:$J$404),A29,0)</f>
        <v>0</v>
      </c>
      <c r="L29">
        <f>IF(E29&lt;H29,A29,B_MAX+1)</f>
        <v>401.0</v>
      </c>
      <c r="M29" s="13">
        <f>IF(B29=1,GRANT_RUNG1,GRANT_RUNG2)</f>
        <v>0</v>
      </c>
      <c r="N29" s="13">
        <f>OCC_DAYS*MCD_SHARE_BED*R_NF_2023-D29*MCD_SHARE_FREED*R_WAIT_2023</f>
        <v>37367.159242427646</v>
      </c>
      <c r="O29">
        <f>IF(A29&lt;=BEDS,1,0)</f>
        <v>1</v>
      </c>
    </row>
    <row r="30">
      <c r="A30" t="n">
        <v>26</v>
      </c>
      <c r="B30">
        <f>IF(COST_YR_RUNG1&lt;=COST_YR_RUNG2,IF(A30&lt;=RUNG_BEDS_1,1,2),IF(A30&lt;=RUNG_BEDS_2,2,1))</f>
        <v>1</v>
      </c>
      <c r="C30" s="5">
        <f>MIN(1,MAX(0,POOL_BEDS-(A30-1)))</f>
        <v>1</v>
      </c>
      <c r="D30" s="5">
        <f>FREED*(C30+(1-C30)*PAST_POOL_PCT)</f>
        <v>252.05322714681438</v>
      </c>
      <c r="E30" s="13">
        <f>D30*(C_AVOID+ACUTE_MARGIN)</f>
        <v>254573.7594182825</v>
      </c>
      <c r="F30" s="13">
        <f>D30*(RANGE_LO+ACUTE_MARGIN)</f>
        <v>138629.2749307479</v>
      </c>
      <c r="G30" s="13">
        <f>D30*(RANGE_HI+ACUTE_MARGIN)</f>
        <v>370518.24390581716</v>
      </c>
      <c r="H30" s="13">
        <f>IF(B30=1,COST_YR_RUNG1,COST_YR_RUNG2)</f>
        <v>152394.16214437486</v>
      </c>
      <c r="I30" s="13">
        <f>E30-H30</f>
        <v>102179.59727390765</v>
      </c>
      <c r="J30" s="13">
        <f>J29+I30</f>
        <v>2656669.5291215987</v>
      </c>
      <c r="K30">
        <f>IF(J30=MAX($J$4:$J$404),A30,0)</f>
        <v>0</v>
      </c>
      <c r="L30">
        <f>IF(E30&lt;H30,A30,B_MAX+1)</f>
        <v>401.0</v>
      </c>
      <c r="M30" s="13">
        <f>IF(B30=1,GRANT_RUNG1,GRANT_RUNG2)</f>
        <v>0</v>
      </c>
      <c r="N30" s="13">
        <f>OCC_DAYS*MCD_SHARE_BED*R_NF_2023-D30*MCD_SHARE_FREED*R_WAIT_2023</f>
        <v>37367.159242427646</v>
      </c>
      <c r="O30">
        <f>IF(A30&lt;=BEDS,1,0)</f>
        <v>1</v>
      </c>
    </row>
    <row r="31">
      <c r="A31" t="n">
        <v>27</v>
      </c>
      <c r="B31">
        <f>IF(COST_YR_RUNG1&lt;=COST_YR_RUNG2,IF(A31&lt;=RUNG_BEDS_1,1,2),IF(A31&lt;=RUNG_BEDS_2,2,1))</f>
        <v>1</v>
      </c>
      <c r="C31" s="5">
        <f>MIN(1,MAX(0,POOL_BEDS-(A31-1)))</f>
        <v>1</v>
      </c>
      <c r="D31" s="5">
        <f>FREED*(C31+(1-C31)*PAST_POOL_PCT)</f>
        <v>252.05322714681438</v>
      </c>
      <c r="E31" s="13">
        <f>D31*(C_AVOID+ACUTE_MARGIN)</f>
        <v>254573.7594182825</v>
      </c>
      <c r="F31" s="13">
        <f>D31*(RANGE_LO+ACUTE_MARGIN)</f>
        <v>138629.2749307479</v>
      </c>
      <c r="G31" s="13">
        <f>D31*(RANGE_HI+ACUTE_MARGIN)</f>
        <v>370518.24390581716</v>
      </c>
      <c r="H31" s="13">
        <f>IF(B31=1,COST_YR_RUNG1,COST_YR_RUNG2)</f>
        <v>152394.16214437486</v>
      </c>
      <c r="I31" s="13">
        <f>E31-H31</f>
        <v>102179.59727390765</v>
      </c>
      <c r="J31" s="13">
        <f>J30+I31</f>
        <v>2758849.1263955063</v>
      </c>
      <c r="K31">
        <f>IF(J31=MAX($J$4:$J$404),A31,0)</f>
        <v>0</v>
      </c>
      <c r="L31">
        <f>IF(E31&lt;H31,A31,B_MAX+1)</f>
        <v>401.0</v>
      </c>
      <c r="M31" s="13">
        <f>IF(B31=1,GRANT_RUNG1,GRANT_RUNG2)</f>
        <v>0</v>
      </c>
      <c r="N31" s="13">
        <f>OCC_DAYS*MCD_SHARE_BED*R_NF_2023-D31*MCD_SHARE_FREED*R_WAIT_2023</f>
        <v>37367.159242427646</v>
      </c>
      <c r="O31">
        <f>IF(A31&lt;=BEDS,1,0)</f>
        <v>1</v>
      </c>
    </row>
    <row r="32">
      <c r="A32" t="n">
        <v>28</v>
      </c>
      <c r="B32">
        <f>IF(COST_YR_RUNG1&lt;=COST_YR_RUNG2,IF(A32&lt;=RUNG_BEDS_1,1,2),IF(A32&lt;=RUNG_BEDS_2,2,1))</f>
        <v>1</v>
      </c>
      <c r="C32" s="5">
        <f>MIN(1,MAX(0,POOL_BEDS-(A32-1)))</f>
        <v>1</v>
      </c>
      <c r="D32" s="5">
        <f>FREED*(C32+(1-C32)*PAST_POOL_PCT)</f>
        <v>252.05322714681438</v>
      </c>
      <c r="E32" s="13">
        <f>D32*(C_AVOID+ACUTE_MARGIN)</f>
        <v>254573.7594182825</v>
      </c>
      <c r="F32" s="13">
        <f>D32*(RANGE_LO+ACUTE_MARGIN)</f>
        <v>138629.2749307479</v>
      </c>
      <c r="G32" s="13">
        <f>D32*(RANGE_HI+ACUTE_MARGIN)</f>
        <v>370518.24390581716</v>
      </c>
      <c r="H32" s="13">
        <f>IF(B32=1,COST_YR_RUNG1,COST_YR_RUNG2)</f>
        <v>152394.16214437486</v>
      </c>
      <c r="I32" s="13">
        <f>E32-H32</f>
        <v>102179.59727390765</v>
      </c>
      <c r="J32" s="13">
        <f>J31+I32</f>
        <v>2861028.723669414</v>
      </c>
      <c r="K32">
        <f>IF(J32=MAX($J$4:$J$404),A32,0)</f>
        <v>0</v>
      </c>
      <c r="L32">
        <f>IF(E32&lt;H32,A32,B_MAX+1)</f>
        <v>401.0</v>
      </c>
      <c r="M32" s="13">
        <f>IF(B32=1,GRANT_RUNG1,GRANT_RUNG2)</f>
        <v>0</v>
      </c>
      <c r="N32" s="13">
        <f>OCC_DAYS*MCD_SHARE_BED*R_NF_2023-D32*MCD_SHARE_FREED*R_WAIT_2023</f>
        <v>37367.159242427646</v>
      </c>
      <c r="O32">
        <f>IF(A32&lt;=BEDS,1,0)</f>
        <v>1</v>
      </c>
    </row>
    <row r="33">
      <c r="A33" t="n">
        <v>29</v>
      </c>
      <c r="B33">
        <f>IF(COST_YR_RUNG1&lt;=COST_YR_RUNG2,IF(A33&lt;=RUNG_BEDS_1,1,2),IF(A33&lt;=RUNG_BEDS_2,2,1))</f>
        <v>1</v>
      </c>
      <c r="C33" s="5">
        <f>MIN(1,MAX(0,POOL_BEDS-(A33-1)))</f>
        <v>1</v>
      </c>
      <c r="D33" s="5">
        <f>FREED*(C33+(1-C33)*PAST_POOL_PCT)</f>
        <v>252.05322714681438</v>
      </c>
      <c r="E33" s="13">
        <f>D33*(C_AVOID+ACUTE_MARGIN)</f>
        <v>254573.7594182825</v>
      </c>
      <c r="F33" s="13">
        <f>D33*(RANGE_LO+ACUTE_MARGIN)</f>
        <v>138629.2749307479</v>
      </c>
      <c r="G33" s="13">
        <f>D33*(RANGE_HI+ACUTE_MARGIN)</f>
        <v>370518.24390581716</v>
      </c>
      <c r="H33" s="13">
        <f>IF(B33=1,COST_YR_RUNG1,COST_YR_RUNG2)</f>
        <v>152394.16214437486</v>
      </c>
      <c r="I33" s="13">
        <f>E33-H33</f>
        <v>102179.59727390765</v>
      </c>
      <c r="J33" s="13">
        <f>J32+I33</f>
        <v>2963208.3209433216</v>
      </c>
      <c r="K33">
        <f>IF(J33=MAX($J$4:$J$404),A33,0)</f>
        <v>0</v>
      </c>
      <c r="L33">
        <f>IF(E33&lt;H33,A33,B_MAX+1)</f>
        <v>401.0</v>
      </c>
      <c r="M33" s="13">
        <f>IF(B33=1,GRANT_RUNG1,GRANT_RUNG2)</f>
        <v>0</v>
      </c>
      <c r="N33" s="13">
        <f>OCC_DAYS*MCD_SHARE_BED*R_NF_2023-D33*MCD_SHARE_FREED*R_WAIT_2023</f>
        <v>37367.159242427646</v>
      </c>
      <c r="O33">
        <f>IF(A33&lt;=BEDS,1,0)</f>
        <v>1</v>
      </c>
    </row>
    <row r="34">
      <c r="A34" t="n">
        <v>30</v>
      </c>
      <c r="B34">
        <f>IF(COST_YR_RUNG1&lt;=COST_YR_RUNG2,IF(A34&lt;=RUNG_BEDS_1,1,2),IF(A34&lt;=RUNG_BEDS_2,2,1))</f>
        <v>1</v>
      </c>
      <c r="C34" s="5">
        <f>MIN(1,MAX(0,POOL_BEDS-(A34-1)))</f>
        <v>1</v>
      </c>
      <c r="D34" s="5">
        <f>FREED*(C34+(1-C34)*PAST_POOL_PCT)</f>
        <v>252.05322714681438</v>
      </c>
      <c r="E34" s="13">
        <f>D34*(C_AVOID+ACUTE_MARGIN)</f>
        <v>254573.7594182825</v>
      </c>
      <c r="F34" s="13">
        <f>D34*(RANGE_LO+ACUTE_MARGIN)</f>
        <v>138629.2749307479</v>
      </c>
      <c r="G34" s="13">
        <f>D34*(RANGE_HI+ACUTE_MARGIN)</f>
        <v>370518.24390581716</v>
      </c>
      <c r="H34" s="13">
        <f>IF(B34=1,COST_YR_RUNG1,COST_YR_RUNG2)</f>
        <v>152394.16214437486</v>
      </c>
      <c r="I34" s="13">
        <f>E34-H34</f>
        <v>102179.59727390765</v>
      </c>
      <c r="J34" s="13">
        <f>J33+I34</f>
        <v>3065387.918217229</v>
      </c>
      <c r="K34">
        <f>IF(J34=MAX($J$4:$J$404),A34,0)</f>
        <v>0</v>
      </c>
      <c r="L34">
        <f>IF(E34&lt;H34,A34,B_MAX+1)</f>
        <v>401.0</v>
      </c>
      <c r="M34" s="13">
        <f>IF(B34=1,GRANT_RUNG1,GRANT_RUNG2)</f>
        <v>0</v>
      </c>
      <c r="N34" s="13">
        <f>OCC_DAYS*MCD_SHARE_BED*R_NF_2023-D34*MCD_SHARE_FREED*R_WAIT_2023</f>
        <v>37367.159242427646</v>
      </c>
      <c r="O34">
        <f>IF(A34&lt;=BEDS,1,0)</f>
        <v>1</v>
      </c>
    </row>
    <row r="35">
      <c r="A35" t="n">
        <v>31</v>
      </c>
      <c r="B35">
        <f>IF(COST_YR_RUNG1&lt;=COST_YR_RUNG2,IF(A35&lt;=RUNG_BEDS_1,1,2),IF(A35&lt;=RUNG_BEDS_2,2,1))</f>
        <v>1</v>
      </c>
      <c r="C35" s="5">
        <f>MIN(1,MAX(0,POOL_BEDS-(A35-1)))</f>
        <v>1</v>
      </c>
      <c r="D35" s="5">
        <f>FREED*(C35+(1-C35)*PAST_POOL_PCT)</f>
        <v>252.05322714681438</v>
      </c>
      <c r="E35" s="13">
        <f>D35*(C_AVOID+ACUTE_MARGIN)</f>
        <v>254573.7594182825</v>
      </c>
      <c r="F35" s="13">
        <f>D35*(RANGE_LO+ACUTE_MARGIN)</f>
        <v>138629.2749307479</v>
      </c>
      <c r="G35" s="13">
        <f>D35*(RANGE_HI+ACUTE_MARGIN)</f>
        <v>370518.24390581716</v>
      </c>
      <c r="H35" s="13">
        <f>IF(B35=1,COST_YR_RUNG1,COST_YR_RUNG2)</f>
        <v>152394.16214437486</v>
      </c>
      <c r="I35" s="13">
        <f>E35-H35</f>
        <v>102179.59727390765</v>
      </c>
      <c r="J35" s="13">
        <f>J34+I35</f>
        <v>3167567.515491137</v>
      </c>
      <c r="K35">
        <f>IF(J35=MAX($J$4:$J$404),A35,0)</f>
        <v>0</v>
      </c>
      <c r="L35">
        <f>IF(E35&lt;H35,A35,B_MAX+1)</f>
        <v>401.0</v>
      </c>
      <c r="M35" s="13">
        <f>IF(B35=1,GRANT_RUNG1,GRANT_RUNG2)</f>
        <v>0</v>
      </c>
      <c r="N35" s="13">
        <f>OCC_DAYS*MCD_SHARE_BED*R_NF_2023-D35*MCD_SHARE_FREED*R_WAIT_2023</f>
        <v>37367.159242427646</v>
      </c>
      <c r="O35">
        <f>IF(A35&lt;=BEDS,1,0)</f>
        <v>1</v>
      </c>
    </row>
    <row r="36">
      <c r="A36" t="n">
        <v>32</v>
      </c>
      <c r="B36">
        <f>IF(COST_YR_RUNG1&lt;=COST_YR_RUNG2,IF(A36&lt;=RUNG_BEDS_1,1,2),IF(A36&lt;=RUNG_BEDS_2,2,1))</f>
        <v>1</v>
      </c>
      <c r="C36" s="5">
        <f>MIN(1,MAX(0,POOL_BEDS-(A36-1)))</f>
        <v>1</v>
      </c>
      <c r="D36" s="5">
        <f>FREED*(C36+(1-C36)*PAST_POOL_PCT)</f>
        <v>252.05322714681438</v>
      </c>
      <c r="E36" s="13">
        <f>D36*(C_AVOID+ACUTE_MARGIN)</f>
        <v>254573.7594182825</v>
      </c>
      <c r="F36" s="13">
        <f>D36*(RANGE_LO+ACUTE_MARGIN)</f>
        <v>138629.2749307479</v>
      </c>
      <c r="G36" s="13">
        <f>D36*(RANGE_HI+ACUTE_MARGIN)</f>
        <v>370518.24390581716</v>
      </c>
      <c r="H36" s="13">
        <f>IF(B36=1,COST_YR_RUNG1,COST_YR_RUNG2)</f>
        <v>152394.16214437486</v>
      </c>
      <c r="I36" s="13">
        <f>E36-H36</f>
        <v>102179.59727390765</v>
      </c>
      <c r="J36" s="13">
        <f>J35+I36</f>
        <v>3269747.1127650444</v>
      </c>
      <c r="K36">
        <f>IF(J36=MAX($J$4:$J$404),A36,0)</f>
        <v>0</v>
      </c>
      <c r="L36">
        <f>IF(E36&lt;H36,A36,B_MAX+1)</f>
        <v>401.0</v>
      </c>
      <c r="M36" s="13">
        <f>IF(B36=1,GRANT_RUNG1,GRANT_RUNG2)</f>
        <v>0</v>
      </c>
      <c r="N36" s="13">
        <f>OCC_DAYS*MCD_SHARE_BED*R_NF_2023-D36*MCD_SHARE_FREED*R_WAIT_2023</f>
        <v>37367.159242427646</v>
      </c>
      <c r="O36">
        <f>IF(A36&lt;=BEDS,1,0)</f>
        <v>1</v>
      </c>
    </row>
    <row r="37">
      <c r="A37" t="n">
        <v>33</v>
      </c>
      <c r="B37">
        <f>IF(COST_YR_RUNG1&lt;=COST_YR_RUNG2,IF(A37&lt;=RUNG_BEDS_1,1,2),IF(A37&lt;=RUNG_BEDS_2,2,1))</f>
        <v>1</v>
      </c>
      <c r="C37" s="5">
        <f>MIN(1,MAX(0,POOL_BEDS-(A37-1)))</f>
        <v>1</v>
      </c>
      <c r="D37" s="5">
        <f>FREED*(C37+(1-C37)*PAST_POOL_PCT)</f>
        <v>252.05322714681438</v>
      </c>
      <c r="E37" s="13">
        <f>D37*(C_AVOID+ACUTE_MARGIN)</f>
        <v>254573.7594182825</v>
      </c>
      <c r="F37" s="13">
        <f>D37*(RANGE_LO+ACUTE_MARGIN)</f>
        <v>138629.2749307479</v>
      </c>
      <c r="G37" s="13">
        <f>D37*(RANGE_HI+ACUTE_MARGIN)</f>
        <v>370518.24390581716</v>
      </c>
      <c r="H37" s="13">
        <f>IF(B37=1,COST_YR_RUNG1,COST_YR_RUNG2)</f>
        <v>152394.16214437486</v>
      </c>
      <c r="I37" s="13">
        <f>E37-H37</f>
        <v>102179.59727390765</v>
      </c>
      <c r="J37" s="13">
        <f>J36+I37</f>
        <v>3371926.710038952</v>
      </c>
      <c r="K37">
        <f>IF(J37=MAX($J$4:$J$404),A37,0)</f>
        <v>0</v>
      </c>
      <c r="L37">
        <f>IF(E37&lt;H37,A37,B_MAX+1)</f>
        <v>401.0</v>
      </c>
      <c r="M37" s="13">
        <f>IF(B37=1,GRANT_RUNG1,GRANT_RUNG2)</f>
        <v>0</v>
      </c>
      <c r="N37" s="13">
        <f>OCC_DAYS*MCD_SHARE_BED*R_NF_2023-D37*MCD_SHARE_FREED*R_WAIT_2023</f>
        <v>37367.159242427646</v>
      </c>
      <c r="O37">
        <f>IF(A37&lt;=BEDS,1,0)</f>
        <v>1</v>
      </c>
    </row>
    <row r="38">
      <c r="A38" t="n">
        <v>34</v>
      </c>
      <c r="B38">
        <f>IF(COST_YR_RUNG1&lt;=COST_YR_RUNG2,IF(A38&lt;=RUNG_BEDS_1,1,2),IF(A38&lt;=RUNG_BEDS_2,2,1))</f>
        <v>1</v>
      </c>
      <c r="C38" s="5">
        <f>MIN(1,MAX(0,POOL_BEDS-(A38-1)))</f>
        <v>1</v>
      </c>
      <c r="D38" s="5">
        <f>FREED*(C38+(1-C38)*PAST_POOL_PCT)</f>
        <v>252.05322714681438</v>
      </c>
      <c r="E38" s="13">
        <f>D38*(C_AVOID+ACUTE_MARGIN)</f>
        <v>254573.7594182825</v>
      </c>
      <c r="F38" s="13">
        <f>D38*(RANGE_LO+ACUTE_MARGIN)</f>
        <v>138629.2749307479</v>
      </c>
      <c r="G38" s="13">
        <f>D38*(RANGE_HI+ACUTE_MARGIN)</f>
        <v>370518.24390581716</v>
      </c>
      <c r="H38" s="13">
        <f>IF(B38=1,COST_YR_RUNG1,COST_YR_RUNG2)</f>
        <v>152394.16214437486</v>
      </c>
      <c r="I38" s="13">
        <f>E38-H38</f>
        <v>102179.59727390765</v>
      </c>
      <c r="J38" s="13">
        <f>J37+I38</f>
        <v>3474106.3073128597</v>
      </c>
      <c r="K38">
        <f>IF(J38=MAX($J$4:$J$404),A38,0)</f>
        <v>0</v>
      </c>
      <c r="L38">
        <f>IF(E38&lt;H38,A38,B_MAX+1)</f>
        <v>401.0</v>
      </c>
      <c r="M38" s="13">
        <f>IF(B38=1,GRANT_RUNG1,GRANT_RUNG2)</f>
        <v>0</v>
      </c>
      <c r="N38" s="13">
        <f>OCC_DAYS*MCD_SHARE_BED*R_NF_2023-D38*MCD_SHARE_FREED*R_WAIT_2023</f>
        <v>37367.159242427646</v>
      </c>
      <c r="O38">
        <f>IF(A38&lt;=BEDS,1,0)</f>
        <v>1</v>
      </c>
    </row>
    <row r="39">
      <c r="A39" t="n">
        <v>35</v>
      </c>
      <c r="B39">
        <f>IF(COST_YR_RUNG1&lt;=COST_YR_RUNG2,IF(A39&lt;=RUNG_BEDS_1,1,2),IF(A39&lt;=RUNG_BEDS_2,2,1))</f>
        <v>1</v>
      </c>
      <c r="C39" s="5">
        <f>MIN(1,MAX(0,POOL_BEDS-(A39-1)))</f>
        <v>1</v>
      </c>
      <c r="D39" s="5">
        <f>FREED*(C39+(1-C39)*PAST_POOL_PCT)</f>
        <v>252.05322714681438</v>
      </c>
      <c r="E39" s="13">
        <f>D39*(C_AVOID+ACUTE_MARGIN)</f>
        <v>254573.7594182825</v>
      </c>
      <c r="F39" s="13">
        <f>D39*(RANGE_LO+ACUTE_MARGIN)</f>
        <v>138629.2749307479</v>
      </c>
      <c r="G39" s="13">
        <f>D39*(RANGE_HI+ACUTE_MARGIN)</f>
        <v>370518.24390581716</v>
      </c>
      <c r="H39" s="13">
        <f>IF(B39=1,COST_YR_RUNG1,COST_YR_RUNG2)</f>
        <v>152394.16214437486</v>
      </c>
      <c r="I39" s="13">
        <f>E39-H39</f>
        <v>102179.59727390765</v>
      </c>
      <c r="J39" s="13">
        <f>J38+I39</f>
        <v>3576285.9045867673</v>
      </c>
      <c r="K39">
        <f>IF(J39=MAX($J$4:$J$404),A39,0)</f>
        <v>0</v>
      </c>
      <c r="L39">
        <f>IF(E39&lt;H39,A39,B_MAX+1)</f>
        <v>401.0</v>
      </c>
      <c r="M39" s="13">
        <f>IF(B39=1,GRANT_RUNG1,GRANT_RUNG2)</f>
        <v>0</v>
      </c>
      <c r="N39" s="13">
        <f>OCC_DAYS*MCD_SHARE_BED*R_NF_2023-D39*MCD_SHARE_FREED*R_WAIT_2023</f>
        <v>37367.159242427646</v>
      </c>
      <c r="O39">
        <f>IF(A39&lt;=BEDS,1,0)</f>
        <v>1</v>
      </c>
    </row>
    <row r="40">
      <c r="A40" t="n">
        <v>36</v>
      </c>
      <c r="B40">
        <f>IF(COST_YR_RUNG1&lt;=COST_YR_RUNG2,IF(A40&lt;=RUNG_BEDS_1,1,2),IF(A40&lt;=RUNG_BEDS_2,2,1))</f>
        <v>1</v>
      </c>
      <c r="C40" s="5">
        <f>MIN(1,MAX(0,POOL_BEDS-(A40-1)))</f>
        <v>1</v>
      </c>
      <c r="D40" s="5">
        <f>FREED*(C40+(1-C40)*PAST_POOL_PCT)</f>
        <v>252.05322714681438</v>
      </c>
      <c r="E40" s="13">
        <f>D40*(C_AVOID+ACUTE_MARGIN)</f>
        <v>254573.7594182825</v>
      </c>
      <c r="F40" s="13">
        <f>D40*(RANGE_LO+ACUTE_MARGIN)</f>
        <v>138629.2749307479</v>
      </c>
      <c r="G40" s="13">
        <f>D40*(RANGE_HI+ACUTE_MARGIN)</f>
        <v>370518.24390581716</v>
      </c>
      <c r="H40" s="13">
        <f>IF(B40=1,COST_YR_RUNG1,COST_YR_RUNG2)</f>
        <v>152394.16214437486</v>
      </c>
      <c r="I40" s="13">
        <f>E40-H40</f>
        <v>102179.59727390765</v>
      </c>
      <c r="J40" s="13">
        <f>J39+I40</f>
        <v>3678465.501860675</v>
      </c>
      <c r="K40">
        <f>IF(J40=MAX($J$4:$J$404),A40,0)</f>
        <v>0</v>
      </c>
      <c r="L40">
        <f>IF(E40&lt;H40,A40,B_MAX+1)</f>
        <v>401.0</v>
      </c>
      <c r="M40" s="13">
        <f>IF(B40=1,GRANT_RUNG1,GRANT_RUNG2)</f>
        <v>0</v>
      </c>
      <c r="N40" s="13">
        <f>OCC_DAYS*MCD_SHARE_BED*R_NF_2023-D40*MCD_SHARE_FREED*R_WAIT_2023</f>
        <v>37367.159242427646</v>
      </c>
      <c r="O40">
        <f>IF(A40&lt;=BEDS,1,0)</f>
        <v>1</v>
      </c>
    </row>
    <row r="41">
      <c r="A41" t="n">
        <v>37</v>
      </c>
      <c r="B41">
        <f>IF(COST_YR_RUNG1&lt;=COST_YR_RUNG2,IF(A41&lt;=RUNG_BEDS_1,1,2),IF(A41&lt;=RUNG_BEDS_2,2,1))</f>
        <v>1</v>
      </c>
      <c r="C41" s="5">
        <f>MIN(1,MAX(0,POOL_BEDS-(A41-1)))</f>
        <v>1</v>
      </c>
      <c r="D41" s="5">
        <f>FREED*(C41+(1-C41)*PAST_POOL_PCT)</f>
        <v>252.05322714681438</v>
      </c>
      <c r="E41" s="13">
        <f>D41*(C_AVOID+ACUTE_MARGIN)</f>
        <v>254573.7594182825</v>
      </c>
      <c r="F41" s="13">
        <f>D41*(RANGE_LO+ACUTE_MARGIN)</f>
        <v>138629.2749307479</v>
      </c>
      <c r="G41" s="13">
        <f>D41*(RANGE_HI+ACUTE_MARGIN)</f>
        <v>370518.24390581716</v>
      </c>
      <c r="H41" s="13">
        <f>IF(B41=1,COST_YR_RUNG1,COST_YR_RUNG2)</f>
        <v>152394.16214437486</v>
      </c>
      <c r="I41" s="13">
        <f>E41-H41</f>
        <v>102179.59727390765</v>
      </c>
      <c r="J41" s="13">
        <f>J40+I41</f>
        <v>3780645.0991345826</v>
      </c>
      <c r="K41">
        <f>IF(J41=MAX($J$4:$J$404),A41,0)</f>
        <v>0</v>
      </c>
      <c r="L41">
        <f>IF(E41&lt;H41,A41,B_MAX+1)</f>
        <v>401.0</v>
      </c>
      <c r="M41" s="13">
        <f>IF(B41=1,GRANT_RUNG1,GRANT_RUNG2)</f>
        <v>0</v>
      </c>
      <c r="N41" s="13">
        <f>OCC_DAYS*MCD_SHARE_BED*R_NF_2023-D41*MCD_SHARE_FREED*R_WAIT_2023</f>
        <v>37367.159242427646</v>
      </c>
      <c r="O41">
        <f>IF(A41&lt;=BEDS,1,0)</f>
        <v>1</v>
      </c>
    </row>
    <row r="42">
      <c r="A42" t="n">
        <v>38</v>
      </c>
      <c r="B42">
        <f>IF(COST_YR_RUNG1&lt;=COST_YR_RUNG2,IF(A42&lt;=RUNG_BEDS_1,1,2),IF(A42&lt;=RUNG_BEDS_2,2,1))</f>
        <v>1</v>
      </c>
      <c r="C42" s="5">
        <f>MIN(1,MAX(0,POOL_BEDS-(A42-1)))</f>
        <v>1</v>
      </c>
      <c r="D42" s="5">
        <f>FREED*(C42+(1-C42)*PAST_POOL_PCT)</f>
        <v>252.05322714681438</v>
      </c>
      <c r="E42" s="13">
        <f>D42*(C_AVOID+ACUTE_MARGIN)</f>
        <v>254573.7594182825</v>
      </c>
      <c r="F42" s="13">
        <f>D42*(RANGE_LO+ACUTE_MARGIN)</f>
        <v>138629.2749307479</v>
      </c>
      <c r="G42" s="13">
        <f>D42*(RANGE_HI+ACUTE_MARGIN)</f>
        <v>370518.24390581716</v>
      </c>
      <c r="H42" s="13">
        <f>IF(B42=1,COST_YR_RUNG1,COST_YR_RUNG2)</f>
        <v>152394.16214437486</v>
      </c>
      <c r="I42" s="13">
        <f>E42-H42</f>
        <v>102179.59727390765</v>
      </c>
      <c r="J42" s="13">
        <f>J41+I42</f>
        <v>3882824.69640849</v>
      </c>
      <c r="K42">
        <f>IF(J42=MAX($J$4:$J$404),A42,0)</f>
        <v>0</v>
      </c>
      <c r="L42">
        <f>IF(E42&lt;H42,A42,B_MAX+1)</f>
        <v>401.0</v>
      </c>
      <c r="M42" s="13">
        <f>IF(B42=1,GRANT_RUNG1,GRANT_RUNG2)</f>
        <v>0</v>
      </c>
      <c r="N42" s="13">
        <f>OCC_DAYS*MCD_SHARE_BED*R_NF_2023-D42*MCD_SHARE_FREED*R_WAIT_2023</f>
        <v>37367.159242427646</v>
      </c>
      <c r="O42">
        <f>IF(A42&lt;=BEDS,1,0)</f>
        <v>1</v>
      </c>
    </row>
    <row r="43">
      <c r="A43" t="n">
        <v>39</v>
      </c>
      <c r="B43">
        <f>IF(COST_YR_RUNG1&lt;=COST_YR_RUNG2,IF(A43&lt;=RUNG_BEDS_1,1,2),IF(A43&lt;=RUNG_BEDS_2,2,1))</f>
        <v>1</v>
      </c>
      <c r="C43" s="5">
        <f>MIN(1,MAX(0,POOL_BEDS-(A43-1)))</f>
        <v>1</v>
      </c>
      <c r="D43" s="5">
        <f>FREED*(C43+(1-C43)*PAST_POOL_PCT)</f>
        <v>252.05322714681438</v>
      </c>
      <c r="E43" s="13">
        <f>D43*(C_AVOID+ACUTE_MARGIN)</f>
        <v>254573.7594182825</v>
      </c>
      <c r="F43" s="13">
        <f>D43*(RANGE_LO+ACUTE_MARGIN)</f>
        <v>138629.2749307479</v>
      </c>
      <c r="G43" s="13">
        <f>D43*(RANGE_HI+ACUTE_MARGIN)</f>
        <v>370518.24390581716</v>
      </c>
      <c r="H43" s="13">
        <f>IF(B43=1,COST_YR_RUNG1,COST_YR_RUNG2)</f>
        <v>152394.16214437486</v>
      </c>
      <c r="I43" s="13">
        <f>E43-H43</f>
        <v>102179.59727390765</v>
      </c>
      <c r="J43" s="13">
        <f>J42+I43</f>
        <v>3985004.293682398</v>
      </c>
      <c r="K43">
        <f>IF(J43=MAX($J$4:$J$404),A43,0)</f>
        <v>0</v>
      </c>
      <c r="L43">
        <f>IF(E43&lt;H43,A43,B_MAX+1)</f>
        <v>401.0</v>
      </c>
      <c r="M43" s="13">
        <f>IF(B43=1,GRANT_RUNG1,GRANT_RUNG2)</f>
        <v>0</v>
      </c>
      <c r="N43" s="13">
        <f>OCC_DAYS*MCD_SHARE_BED*R_NF_2023-D43*MCD_SHARE_FREED*R_WAIT_2023</f>
        <v>37367.159242427646</v>
      </c>
      <c r="O43">
        <f>IF(A43&lt;=BEDS,1,0)</f>
        <v>1</v>
      </c>
    </row>
    <row r="44">
      <c r="A44" t="n">
        <v>40</v>
      </c>
      <c r="B44">
        <f>IF(COST_YR_RUNG1&lt;=COST_YR_RUNG2,IF(A44&lt;=RUNG_BEDS_1,1,2),IF(A44&lt;=RUNG_BEDS_2,2,1))</f>
        <v>1</v>
      </c>
      <c r="C44" s="5">
        <f>MIN(1,MAX(0,POOL_BEDS-(A44-1)))</f>
        <v>1</v>
      </c>
      <c r="D44" s="5">
        <f>FREED*(C44+(1-C44)*PAST_POOL_PCT)</f>
        <v>252.05322714681438</v>
      </c>
      <c r="E44" s="13">
        <f>D44*(C_AVOID+ACUTE_MARGIN)</f>
        <v>254573.7594182825</v>
      </c>
      <c r="F44" s="13">
        <f>D44*(RANGE_LO+ACUTE_MARGIN)</f>
        <v>138629.2749307479</v>
      </c>
      <c r="G44" s="13">
        <f>D44*(RANGE_HI+ACUTE_MARGIN)</f>
        <v>370518.24390581716</v>
      </c>
      <c r="H44" s="13">
        <f>IF(B44=1,COST_YR_RUNG1,COST_YR_RUNG2)</f>
        <v>152394.16214437486</v>
      </c>
      <c r="I44" s="13">
        <f>E44-H44</f>
        <v>102179.59727390765</v>
      </c>
      <c r="J44" s="13">
        <f>J43+I44</f>
        <v>4087183.8909563054</v>
      </c>
      <c r="K44">
        <f>IF(J44=MAX($J$4:$J$404),A44,0)</f>
        <v>0</v>
      </c>
      <c r="L44">
        <f>IF(E44&lt;H44,A44,B_MAX+1)</f>
        <v>401.0</v>
      </c>
      <c r="M44" s="13">
        <f>IF(B44=1,GRANT_RUNG1,GRANT_RUNG2)</f>
        <v>0</v>
      </c>
      <c r="N44" s="13">
        <f>OCC_DAYS*MCD_SHARE_BED*R_NF_2023-D44*MCD_SHARE_FREED*R_WAIT_2023</f>
        <v>37367.159242427646</v>
      </c>
      <c r="O44">
        <f>IF(A44&lt;=BEDS,1,0)</f>
        <v>1</v>
      </c>
    </row>
    <row r="45">
      <c r="A45" t="n">
        <v>41</v>
      </c>
      <c r="B45">
        <f>IF(COST_YR_RUNG1&lt;=COST_YR_RUNG2,IF(A45&lt;=RUNG_BEDS_1,1,2),IF(A45&lt;=RUNG_BEDS_2,2,1))</f>
        <v>1</v>
      </c>
      <c r="C45" s="5">
        <f>MIN(1,MAX(0,POOL_BEDS-(A45-1)))</f>
        <v>1</v>
      </c>
      <c r="D45" s="5">
        <f>FREED*(C45+(1-C45)*PAST_POOL_PCT)</f>
        <v>252.05322714681438</v>
      </c>
      <c r="E45" s="13">
        <f>D45*(C_AVOID+ACUTE_MARGIN)</f>
        <v>254573.7594182825</v>
      </c>
      <c r="F45" s="13">
        <f>D45*(RANGE_LO+ACUTE_MARGIN)</f>
        <v>138629.2749307479</v>
      </c>
      <c r="G45" s="13">
        <f>D45*(RANGE_HI+ACUTE_MARGIN)</f>
        <v>370518.24390581716</v>
      </c>
      <c r="H45" s="13">
        <f>IF(B45=1,COST_YR_RUNG1,COST_YR_RUNG2)</f>
        <v>152394.16214437486</v>
      </c>
      <c r="I45" s="13">
        <f>E45-H45</f>
        <v>102179.59727390765</v>
      </c>
      <c r="J45" s="13">
        <f>J44+I45</f>
        <v>4189363.488230213</v>
      </c>
      <c r="K45">
        <f>IF(J45=MAX($J$4:$J$404),A45,0)</f>
        <v>0</v>
      </c>
      <c r="L45">
        <f>IF(E45&lt;H45,A45,B_MAX+1)</f>
        <v>401.0</v>
      </c>
      <c r="M45" s="13">
        <f>IF(B45=1,GRANT_RUNG1,GRANT_RUNG2)</f>
        <v>0</v>
      </c>
      <c r="N45" s="13">
        <f>OCC_DAYS*MCD_SHARE_BED*R_NF_2023-D45*MCD_SHARE_FREED*R_WAIT_2023</f>
        <v>37367.159242427646</v>
      </c>
      <c r="O45">
        <f>IF(A45&lt;=BEDS,1,0)</f>
        <v>1</v>
      </c>
    </row>
    <row r="46">
      <c r="A46" t="n">
        <v>42</v>
      </c>
      <c r="B46">
        <f>IF(COST_YR_RUNG1&lt;=COST_YR_RUNG2,IF(A46&lt;=RUNG_BEDS_1,1,2),IF(A46&lt;=RUNG_BEDS_2,2,1))</f>
        <v>1</v>
      </c>
      <c r="C46" s="5">
        <f>MIN(1,MAX(0,POOL_BEDS-(A46-1)))</f>
        <v>1</v>
      </c>
      <c r="D46" s="5">
        <f>FREED*(C46+(1-C46)*PAST_POOL_PCT)</f>
        <v>252.05322714681438</v>
      </c>
      <c r="E46" s="13">
        <f>D46*(C_AVOID+ACUTE_MARGIN)</f>
        <v>254573.7594182825</v>
      </c>
      <c r="F46" s="13">
        <f>D46*(RANGE_LO+ACUTE_MARGIN)</f>
        <v>138629.2749307479</v>
      </c>
      <c r="G46" s="13">
        <f>D46*(RANGE_HI+ACUTE_MARGIN)</f>
        <v>370518.24390581716</v>
      </c>
      <c r="H46" s="13">
        <f>IF(B46=1,COST_YR_RUNG1,COST_YR_RUNG2)</f>
        <v>152394.16214437486</v>
      </c>
      <c r="I46" s="13">
        <f>E46-H46</f>
        <v>102179.59727390765</v>
      </c>
      <c r="J46" s="13">
        <f>J45+I46</f>
        <v>4291543.085504121</v>
      </c>
      <c r="K46">
        <f>IF(J46=MAX($J$4:$J$404),A46,0)</f>
        <v>0</v>
      </c>
      <c r="L46">
        <f>IF(E46&lt;H46,A46,B_MAX+1)</f>
        <v>401.0</v>
      </c>
      <c r="M46" s="13">
        <f>IF(B46=1,GRANT_RUNG1,GRANT_RUNG2)</f>
        <v>0</v>
      </c>
      <c r="N46" s="13">
        <f>OCC_DAYS*MCD_SHARE_BED*R_NF_2023-D46*MCD_SHARE_FREED*R_WAIT_2023</f>
        <v>37367.159242427646</v>
      </c>
      <c r="O46">
        <f>IF(A46&lt;=BEDS,1,0)</f>
        <v>1</v>
      </c>
    </row>
    <row r="47">
      <c r="A47" t="n">
        <v>43</v>
      </c>
      <c r="B47">
        <f>IF(COST_YR_RUNG1&lt;=COST_YR_RUNG2,IF(A47&lt;=RUNG_BEDS_1,1,2),IF(A47&lt;=RUNG_BEDS_2,2,1))</f>
        <v>1</v>
      </c>
      <c r="C47" s="5">
        <f>MIN(1,MAX(0,POOL_BEDS-(A47-1)))</f>
        <v>1</v>
      </c>
      <c r="D47" s="5">
        <f>FREED*(C47+(1-C47)*PAST_POOL_PCT)</f>
        <v>252.05322714681438</v>
      </c>
      <c r="E47" s="13">
        <f>D47*(C_AVOID+ACUTE_MARGIN)</f>
        <v>254573.7594182825</v>
      </c>
      <c r="F47" s="13">
        <f>D47*(RANGE_LO+ACUTE_MARGIN)</f>
        <v>138629.2749307479</v>
      </c>
      <c r="G47" s="13">
        <f>D47*(RANGE_HI+ACUTE_MARGIN)</f>
        <v>370518.24390581716</v>
      </c>
      <c r="H47" s="13">
        <f>IF(B47=1,COST_YR_RUNG1,COST_YR_RUNG2)</f>
        <v>152394.16214437486</v>
      </c>
      <c r="I47" s="13">
        <f>E47-H47</f>
        <v>102179.59727390765</v>
      </c>
      <c r="J47" s="13">
        <f>J46+I47</f>
        <v>4393722.682778029</v>
      </c>
      <c r="K47">
        <f>IF(J47=MAX($J$4:$J$404),A47,0)</f>
        <v>0</v>
      </c>
      <c r="L47">
        <f>IF(E47&lt;H47,A47,B_MAX+1)</f>
        <v>401.0</v>
      </c>
      <c r="M47" s="13">
        <f>IF(B47=1,GRANT_RUNG1,GRANT_RUNG2)</f>
        <v>0</v>
      </c>
      <c r="N47" s="13">
        <f>OCC_DAYS*MCD_SHARE_BED*R_NF_2023-D47*MCD_SHARE_FREED*R_WAIT_2023</f>
        <v>37367.159242427646</v>
      </c>
      <c r="O47">
        <f>IF(A47&lt;=BEDS,1,0)</f>
        <v>1</v>
      </c>
    </row>
    <row r="48">
      <c r="A48" t="n">
        <v>44</v>
      </c>
      <c r="B48">
        <f>IF(COST_YR_RUNG1&lt;=COST_YR_RUNG2,IF(A48&lt;=RUNG_BEDS_1,1,2),IF(A48&lt;=RUNG_BEDS_2,2,1))</f>
        <v>1</v>
      </c>
      <c r="C48" s="5">
        <f>MIN(1,MAX(0,POOL_BEDS-(A48-1)))</f>
        <v>1</v>
      </c>
      <c r="D48" s="5">
        <f>FREED*(C48+(1-C48)*PAST_POOL_PCT)</f>
        <v>252.05322714681438</v>
      </c>
      <c r="E48" s="13">
        <f>D48*(C_AVOID+ACUTE_MARGIN)</f>
        <v>254573.7594182825</v>
      </c>
      <c r="F48" s="13">
        <f>D48*(RANGE_LO+ACUTE_MARGIN)</f>
        <v>138629.2749307479</v>
      </c>
      <c r="G48" s="13">
        <f>D48*(RANGE_HI+ACUTE_MARGIN)</f>
        <v>370518.24390581716</v>
      </c>
      <c r="H48" s="13">
        <f>IF(B48=1,COST_YR_RUNG1,COST_YR_RUNG2)</f>
        <v>152394.16214437486</v>
      </c>
      <c r="I48" s="13">
        <f>E48-H48</f>
        <v>102179.59727390765</v>
      </c>
      <c r="J48" s="13">
        <f>J47+I48</f>
        <v>4495902.280051936</v>
      </c>
      <c r="K48">
        <f>IF(J48=MAX($J$4:$J$404),A48,0)</f>
        <v>0</v>
      </c>
      <c r="L48">
        <f>IF(E48&lt;H48,A48,B_MAX+1)</f>
        <v>401.0</v>
      </c>
      <c r="M48" s="13">
        <f>IF(B48=1,GRANT_RUNG1,GRANT_RUNG2)</f>
        <v>0</v>
      </c>
      <c r="N48" s="13">
        <f>OCC_DAYS*MCD_SHARE_BED*R_NF_2023-D48*MCD_SHARE_FREED*R_WAIT_2023</f>
        <v>37367.159242427646</v>
      </c>
      <c r="O48">
        <f>IF(A48&lt;=BEDS,1,0)</f>
        <v>1</v>
      </c>
    </row>
    <row r="49">
      <c r="A49" t="n">
        <v>45</v>
      </c>
      <c r="B49">
        <f>IF(COST_YR_RUNG1&lt;=COST_YR_RUNG2,IF(A49&lt;=RUNG_BEDS_1,1,2),IF(A49&lt;=RUNG_BEDS_2,2,1))</f>
        <v>1</v>
      </c>
      <c r="C49" s="5">
        <f>MIN(1,MAX(0,POOL_BEDS-(A49-1)))</f>
        <v>1</v>
      </c>
      <c r="D49" s="5">
        <f>FREED*(C49+(1-C49)*PAST_POOL_PCT)</f>
        <v>252.05322714681438</v>
      </c>
      <c r="E49" s="13">
        <f>D49*(C_AVOID+ACUTE_MARGIN)</f>
        <v>254573.7594182825</v>
      </c>
      <c r="F49" s="13">
        <f>D49*(RANGE_LO+ACUTE_MARGIN)</f>
        <v>138629.2749307479</v>
      </c>
      <c r="G49" s="13">
        <f>D49*(RANGE_HI+ACUTE_MARGIN)</f>
        <v>370518.24390581716</v>
      </c>
      <c r="H49" s="13">
        <f>IF(B49=1,COST_YR_RUNG1,COST_YR_RUNG2)</f>
        <v>152394.16214437486</v>
      </c>
      <c r="I49" s="13">
        <f>E49-H49</f>
        <v>102179.59727390765</v>
      </c>
      <c r="J49" s="13">
        <f>J48+I49</f>
        <v>4598081.877325844</v>
      </c>
      <c r="K49">
        <f>IF(J49=MAX($J$4:$J$404),A49,0)</f>
        <v>0</v>
      </c>
      <c r="L49">
        <f>IF(E49&lt;H49,A49,B_MAX+1)</f>
        <v>401.0</v>
      </c>
      <c r="M49" s="13">
        <f>IF(B49=1,GRANT_RUNG1,GRANT_RUNG2)</f>
        <v>0</v>
      </c>
      <c r="N49" s="13">
        <f>OCC_DAYS*MCD_SHARE_BED*R_NF_2023-D49*MCD_SHARE_FREED*R_WAIT_2023</f>
        <v>37367.159242427646</v>
      </c>
      <c r="O49">
        <f>IF(A49&lt;=BEDS,1,0)</f>
        <v>1</v>
      </c>
    </row>
    <row r="50">
      <c r="A50" t="n">
        <v>46</v>
      </c>
      <c r="B50">
        <f>IF(COST_YR_RUNG1&lt;=COST_YR_RUNG2,IF(A50&lt;=RUNG_BEDS_1,1,2),IF(A50&lt;=RUNG_BEDS_2,2,1))</f>
        <v>1</v>
      </c>
      <c r="C50" s="5">
        <f>MIN(1,MAX(0,POOL_BEDS-(A50-1)))</f>
        <v>1</v>
      </c>
      <c r="D50" s="5">
        <f>FREED*(C50+(1-C50)*PAST_POOL_PCT)</f>
        <v>252.05322714681438</v>
      </c>
      <c r="E50" s="13">
        <f>D50*(C_AVOID+ACUTE_MARGIN)</f>
        <v>254573.7594182825</v>
      </c>
      <c r="F50" s="13">
        <f>D50*(RANGE_LO+ACUTE_MARGIN)</f>
        <v>138629.2749307479</v>
      </c>
      <c r="G50" s="13">
        <f>D50*(RANGE_HI+ACUTE_MARGIN)</f>
        <v>370518.24390581716</v>
      </c>
      <c r="H50" s="13">
        <f>IF(B50=1,COST_YR_RUNG1,COST_YR_RUNG2)</f>
        <v>152394.16214437486</v>
      </c>
      <c r="I50" s="13">
        <f>E50-H50</f>
        <v>102179.59727390765</v>
      </c>
      <c r="J50" s="13">
        <f>J49+I50</f>
        <v>4700261.474599752</v>
      </c>
      <c r="K50">
        <f>IF(J50=MAX($J$4:$J$404),A50,0)</f>
        <v>0</v>
      </c>
      <c r="L50">
        <f>IF(E50&lt;H50,A50,B_MAX+1)</f>
        <v>401.0</v>
      </c>
      <c r="M50" s="13">
        <f>IF(B50=1,GRANT_RUNG1,GRANT_RUNG2)</f>
        <v>0</v>
      </c>
      <c r="N50" s="13">
        <f>OCC_DAYS*MCD_SHARE_BED*R_NF_2023-D50*MCD_SHARE_FREED*R_WAIT_2023</f>
        <v>37367.159242427646</v>
      </c>
      <c r="O50">
        <f>IF(A50&lt;=BEDS,1,0)</f>
        <v>1</v>
      </c>
    </row>
    <row r="51">
      <c r="A51" t="n">
        <v>47</v>
      </c>
      <c r="B51">
        <f>IF(COST_YR_RUNG1&lt;=COST_YR_RUNG2,IF(A51&lt;=RUNG_BEDS_1,1,2),IF(A51&lt;=RUNG_BEDS_2,2,1))</f>
        <v>1</v>
      </c>
      <c r="C51" s="5">
        <f>MIN(1,MAX(0,POOL_BEDS-(A51-1)))</f>
        <v>1</v>
      </c>
      <c r="D51" s="5">
        <f>FREED*(C51+(1-C51)*PAST_POOL_PCT)</f>
        <v>252.05322714681438</v>
      </c>
      <c r="E51" s="13">
        <f>D51*(C_AVOID+ACUTE_MARGIN)</f>
        <v>254573.7594182825</v>
      </c>
      <c r="F51" s="13">
        <f>D51*(RANGE_LO+ACUTE_MARGIN)</f>
        <v>138629.2749307479</v>
      </c>
      <c r="G51" s="13">
        <f>D51*(RANGE_HI+ACUTE_MARGIN)</f>
        <v>370518.24390581716</v>
      </c>
      <c r="H51" s="13">
        <f>IF(B51=1,COST_YR_RUNG1,COST_YR_RUNG2)</f>
        <v>152394.16214437486</v>
      </c>
      <c r="I51" s="13">
        <f>E51-H51</f>
        <v>102179.59727390765</v>
      </c>
      <c r="J51" s="13">
        <f>J50+I51</f>
        <v>4802441.071873659</v>
      </c>
      <c r="K51">
        <f>IF(J51=MAX($J$4:$J$404),A51,0)</f>
        <v>0</v>
      </c>
      <c r="L51">
        <f>IF(E51&lt;H51,A51,B_MAX+1)</f>
        <v>401.0</v>
      </c>
      <c r="M51" s="13">
        <f>IF(B51=1,GRANT_RUNG1,GRANT_RUNG2)</f>
        <v>0</v>
      </c>
      <c r="N51" s="13">
        <f>OCC_DAYS*MCD_SHARE_BED*R_NF_2023-D51*MCD_SHARE_FREED*R_WAIT_2023</f>
        <v>37367.159242427646</v>
      </c>
      <c r="O51">
        <f>IF(A51&lt;=BEDS,1,0)</f>
        <v>1</v>
      </c>
    </row>
    <row r="52">
      <c r="A52" t="n">
        <v>48</v>
      </c>
      <c r="B52">
        <f>IF(COST_YR_RUNG1&lt;=COST_YR_RUNG2,IF(A52&lt;=RUNG_BEDS_1,1,2),IF(A52&lt;=RUNG_BEDS_2,2,1))</f>
        <v>1</v>
      </c>
      <c r="C52" s="5">
        <f>MIN(1,MAX(0,POOL_BEDS-(A52-1)))</f>
        <v>1</v>
      </c>
      <c r="D52" s="5">
        <f>FREED*(C52+(1-C52)*PAST_POOL_PCT)</f>
        <v>252.05322714681438</v>
      </c>
      <c r="E52" s="13">
        <f>D52*(C_AVOID+ACUTE_MARGIN)</f>
        <v>254573.7594182825</v>
      </c>
      <c r="F52" s="13">
        <f>D52*(RANGE_LO+ACUTE_MARGIN)</f>
        <v>138629.2749307479</v>
      </c>
      <c r="G52" s="13">
        <f>D52*(RANGE_HI+ACUTE_MARGIN)</f>
        <v>370518.24390581716</v>
      </c>
      <c r="H52" s="13">
        <f>IF(B52=1,COST_YR_RUNG1,COST_YR_RUNG2)</f>
        <v>152394.16214437486</v>
      </c>
      <c r="I52" s="13">
        <f>E52-H52</f>
        <v>102179.59727390765</v>
      </c>
      <c r="J52" s="13">
        <f>J51+I52</f>
        <v>4904620.669147567</v>
      </c>
      <c r="K52">
        <f>IF(J52=MAX($J$4:$J$404),A52,0)</f>
        <v>0</v>
      </c>
      <c r="L52">
        <f>IF(E52&lt;H52,A52,B_MAX+1)</f>
        <v>401.0</v>
      </c>
      <c r="M52" s="13">
        <f>IF(B52=1,GRANT_RUNG1,GRANT_RUNG2)</f>
        <v>0</v>
      </c>
      <c r="N52" s="13">
        <f>OCC_DAYS*MCD_SHARE_BED*R_NF_2023-D52*MCD_SHARE_FREED*R_WAIT_2023</f>
        <v>37367.159242427646</v>
      </c>
      <c r="O52">
        <f>IF(A52&lt;=BEDS,1,0)</f>
        <v>1</v>
      </c>
    </row>
    <row r="53">
      <c r="A53" t="n">
        <v>49</v>
      </c>
      <c r="B53">
        <f>IF(COST_YR_RUNG1&lt;=COST_YR_RUNG2,IF(A53&lt;=RUNG_BEDS_1,1,2),IF(A53&lt;=RUNG_BEDS_2,2,1))</f>
        <v>1</v>
      </c>
      <c r="C53" s="5">
        <f>MIN(1,MAX(0,POOL_BEDS-(A53-1)))</f>
        <v>1</v>
      </c>
      <c r="D53" s="5">
        <f>FREED*(C53+(1-C53)*PAST_POOL_PCT)</f>
        <v>252.05322714681438</v>
      </c>
      <c r="E53" s="13">
        <f>D53*(C_AVOID+ACUTE_MARGIN)</f>
        <v>254573.7594182825</v>
      </c>
      <c r="F53" s="13">
        <f>D53*(RANGE_LO+ACUTE_MARGIN)</f>
        <v>138629.2749307479</v>
      </c>
      <c r="G53" s="13">
        <f>D53*(RANGE_HI+ACUTE_MARGIN)</f>
        <v>370518.24390581716</v>
      </c>
      <c r="H53" s="13">
        <f>IF(B53=1,COST_YR_RUNG1,COST_YR_RUNG2)</f>
        <v>152394.16214437486</v>
      </c>
      <c r="I53" s="13">
        <f>E53-H53</f>
        <v>102179.59727390765</v>
      </c>
      <c r="J53" s="13">
        <f>J52+I53</f>
        <v>5006800.2664214745</v>
      </c>
      <c r="K53">
        <f>IF(J53=MAX($J$4:$J$404),A53,0)</f>
        <v>0</v>
      </c>
      <c r="L53">
        <f>IF(E53&lt;H53,A53,B_MAX+1)</f>
        <v>401.0</v>
      </c>
      <c r="M53" s="13">
        <f>IF(B53=1,GRANT_RUNG1,GRANT_RUNG2)</f>
        <v>0</v>
      </c>
      <c r="N53" s="13">
        <f>OCC_DAYS*MCD_SHARE_BED*R_NF_2023-D53*MCD_SHARE_FREED*R_WAIT_2023</f>
        <v>37367.159242427646</v>
      </c>
      <c r="O53">
        <f>IF(A53&lt;=BEDS,1,0)</f>
        <v>1</v>
      </c>
    </row>
    <row r="54">
      <c r="A54" t="n">
        <v>50</v>
      </c>
      <c r="B54">
        <f>IF(COST_YR_RUNG1&lt;=COST_YR_RUNG2,IF(A54&lt;=RUNG_BEDS_1,1,2),IF(A54&lt;=RUNG_BEDS_2,2,1))</f>
        <v>1</v>
      </c>
      <c r="C54" s="5">
        <f>MIN(1,MAX(0,POOL_BEDS-(A54-1)))</f>
        <v>1</v>
      </c>
      <c r="D54" s="5">
        <f>FREED*(C54+(1-C54)*PAST_POOL_PCT)</f>
        <v>252.05322714681438</v>
      </c>
      <c r="E54" s="13">
        <f>D54*(C_AVOID+ACUTE_MARGIN)</f>
        <v>254573.7594182825</v>
      </c>
      <c r="F54" s="13">
        <f>D54*(RANGE_LO+ACUTE_MARGIN)</f>
        <v>138629.2749307479</v>
      </c>
      <c r="G54" s="13">
        <f>D54*(RANGE_HI+ACUTE_MARGIN)</f>
        <v>370518.24390581716</v>
      </c>
      <c r="H54" s="13">
        <f>IF(B54=1,COST_YR_RUNG1,COST_YR_RUNG2)</f>
        <v>152394.16214437486</v>
      </c>
      <c r="I54" s="13">
        <f>E54-H54</f>
        <v>102179.59727390765</v>
      </c>
      <c r="J54" s="13">
        <f>J53+I54</f>
        <v>5108979.863695382</v>
      </c>
      <c r="K54">
        <f>IF(J54=MAX($J$4:$J$404),A54,0)</f>
        <v>0</v>
      </c>
      <c r="L54">
        <f>IF(E54&lt;H54,A54,B_MAX+1)</f>
        <v>401.0</v>
      </c>
      <c r="M54" s="13">
        <f>IF(B54=1,GRANT_RUNG1,GRANT_RUNG2)</f>
        <v>0</v>
      </c>
      <c r="N54" s="13">
        <f>OCC_DAYS*MCD_SHARE_BED*R_NF_2023-D54*MCD_SHARE_FREED*R_WAIT_2023</f>
        <v>37367.159242427646</v>
      </c>
      <c r="O54">
        <f>IF(A54&lt;=BEDS,1,0)</f>
        <v>1</v>
      </c>
    </row>
    <row r="55">
      <c r="A55" t="n">
        <v>51</v>
      </c>
      <c r="B55">
        <f>IF(COST_YR_RUNG1&lt;=COST_YR_RUNG2,IF(A55&lt;=RUNG_BEDS_1,1,2),IF(A55&lt;=RUNG_BEDS_2,2,1))</f>
        <v>1</v>
      </c>
      <c r="C55" s="5">
        <f>MIN(1,MAX(0,POOL_BEDS-(A55-1)))</f>
        <v>1</v>
      </c>
      <c r="D55" s="5">
        <f>FREED*(C55+(1-C55)*PAST_POOL_PCT)</f>
        <v>252.05322714681438</v>
      </c>
      <c r="E55" s="13">
        <f>D55*(C_AVOID+ACUTE_MARGIN)</f>
        <v>254573.7594182825</v>
      </c>
      <c r="F55" s="13">
        <f>D55*(RANGE_LO+ACUTE_MARGIN)</f>
        <v>138629.2749307479</v>
      </c>
      <c r="G55" s="13">
        <f>D55*(RANGE_HI+ACUTE_MARGIN)</f>
        <v>370518.24390581716</v>
      </c>
      <c r="H55" s="13">
        <f>IF(B55=1,COST_YR_RUNG1,COST_YR_RUNG2)</f>
        <v>152394.16214437486</v>
      </c>
      <c r="I55" s="13">
        <f>E55-H55</f>
        <v>102179.59727390765</v>
      </c>
      <c r="J55" s="13">
        <f>J54+I55</f>
        <v>5211159.46096929</v>
      </c>
      <c r="K55">
        <f>IF(J55=MAX($J$4:$J$404),A55,0)</f>
        <v>0</v>
      </c>
      <c r="L55">
        <f>IF(E55&lt;H55,A55,B_MAX+1)</f>
        <v>401.0</v>
      </c>
      <c r="M55" s="13">
        <f>IF(B55=1,GRANT_RUNG1,GRANT_RUNG2)</f>
        <v>0</v>
      </c>
      <c r="N55" s="13">
        <f>OCC_DAYS*MCD_SHARE_BED*R_NF_2023-D55*MCD_SHARE_FREED*R_WAIT_2023</f>
        <v>37367.159242427646</v>
      </c>
      <c r="O55">
        <f>IF(A55&lt;=BEDS,1,0)</f>
        <v>1</v>
      </c>
    </row>
    <row r="56">
      <c r="A56" t="n">
        <v>52</v>
      </c>
      <c r="B56">
        <f>IF(COST_YR_RUNG1&lt;=COST_YR_RUNG2,IF(A56&lt;=RUNG_BEDS_1,1,2),IF(A56&lt;=RUNG_BEDS_2,2,1))</f>
        <v>1</v>
      </c>
      <c r="C56" s="5">
        <f>MIN(1,MAX(0,POOL_BEDS-(A56-1)))</f>
        <v>1</v>
      </c>
      <c r="D56" s="5">
        <f>FREED*(C56+(1-C56)*PAST_POOL_PCT)</f>
        <v>252.05322714681438</v>
      </c>
      <c r="E56" s="13">
        <f>D56*(C_AVOID+ACUTE_MARGIN)</f>
        <v>254573.7594182825</v>
      </c>
      <c r="F56" s="13">
        <f>D56*(RANGE_LO+ACUTE_MARGIN)</f>
        <v>138629.2749307479</v>
      </c>
      <c r="G56" s="13">
        <f>D56*(RANGE_HI+ACUTE_MARGIN)</f>
        <v>370518.24390581716</v>
      </c>
      <c r="H56" s="13">
        <f>IF(B56=1,COST_YR_RUNG1,COST_YR_RUNG2)</f>
        <v>152394.16214437486</v>
      </c>
      <c r="I56" s="13">
        <f>E56-H56</f>
        <v>102179.59727390765</v>
      </c>
      <c r="J56" s="13">
        <f>J55+I56</f>
        <v>5313339.058243197</v>
      </c>
      <c r="K56">
        <f>IF(J56=MAX($J$4:$J$404),A56,0)</f>
        <v>0</v>
      </c>
      <c r="L56">
        <f>IF(E56&lt;H56,A56,B_MAX+1)</f>
        <v>401.0</v>
      </c>
      <c r="M56" s="13">
        <f>IF(B56=1,GRANT_RUNG1,GRANT_RUNG2)</f>
        <v>0</v>
      </c>
      <c r="N56" s="13">
        <f>OCC_DAYS*MCD_SHARE_BED*R_NF_2023-D56*MCD_SHARE_FREED*R_WAIT_2023</f>
        <v>37367.159242427646</v>
      </c>
      <c r="O56">
        <f>IF(A56&lt;=BEDS,1,0)</f>
        <v>1</v>
      </c>
    </row>
    <row r="57">
      <c r="A57" t="n">
        <v>53</v>
      </c>
      <c r="B57">
        <f>IF(COST_YR_RUNG1&lt;=COST_YR_RUNG2,IF(A57&lt;=RUNG_BEDS_1,1,2),IF(A57&lt;=RUNG_BEDS_2,2,1))</f>
        <v>1</v>
      </c>
      <c r="C57" s="5">
        <f>MIN(1,MAX(0,POOL_BEDS-(A57-1)))</f>
        <v>1</v>
      </c>
      <c r="D57" s="5">
        <f>FREED*(C57+(1-C57)*PAST_POOL_PCT)</f>
        <v>252.05322714681438</v>
      </c>
      <c r="E57" s="13">
        <f>D57*(C_AVOID+ACUTE_MARGIN)</f>
        <v>254573.7594182825</v>
      </c>
      <c r="F57" s="13">
        <f>D57*(RANGE_LO+ACUTE_MARGIN)</f>
        <v>138629.2749307479</v>
      </c>
      <c r="G57" s="13">
        <f>D57*(RANGE_HI+ACUTE_MARGIN)</f>
        <v>370518.24390581716</v>
      </c>
      <c r="H57" s="13">
        <f>IF(B57=1,COST_YR_RUNG1,COST_YR_RUNG2)</f>
        <v>152394.16214437486</v>
      </c>
      <c r="I57" s="13">
        <f>E57-H57</f>
        <v>102179.59727390765</v>
      </c>
      <c r="J57" s="13">
        <f>J56+I57</f>
        <v>5415518.655517105</v>
      </c>
      <c r="K57">
        <f>IF(J57=MAX($J$4:$J$404),A57,0)</f>
        <v>0</v>
      </c>
      <c r="L57">
        <f>IF(E57&lt;H57,A57,B_MAX+1)</f>
        <v>401.0</v>
      </c>
      <c r="M57" s="13">
        <f>IF(B57=1,GRANT_RUNG1,GRANT_RUNG2)</f>
        <v>0</v>
      </c>
      <c r="N57" s="13">
        <f>OCC_DAYS*MCD_SHARE_BED*R_NF_2023-D57*MCD_SHARE_FREED*R_WAIT_2023</f>
        <v>37367.159242427646</v>
      </c>
      <c r="O57">
        <f>IF(A57&lt;=BEDS,1,0)</f>
        <v>1</v>
      </c>
    </row>
    <row r="58">
      <c r="A58" t="n">
        <v>54</v>
      </c>
      <c r="B58">
        <f>IF(COST_YR_RUNG1&lt;=COST_YR_RUNG2,IF(A58&lt;=RUNG_BEDS_1,1,2),IF(A58&lt;=RUNG_BEDS_2,2,1))</f>
        <v>1</v>
      </c>
      <c r="C58" s="5">
        <f>MIN(1,MAX(0,POOL_BEDS-(A58-1)))</f>
        <v>1</v>
      </c>
      <c r="D58" s="5">
        <f>FREED*(C58+(1-C58)*PAST_POOL_PCT)</f>
        <v>252.05322714681438</v>
      </c>
      <c r="E58" s="13">
        <f>D58*(C_AVOID+ACUTE_MARGIN)</f>
        <v>254573.7594182825</v>
      </c>
      <c r="F58" s="13">
        <f>D58*(RANGE_LO+ACUTE_MARGIN)</f>
        <v>138629.2749307479</v>
      </c>
      <c r="G58" s="13">
        <f>D58*(RANGE_HI+ACUTE_MARGIN)</f>
        <v>370518.24390581716</v>
      </c>
      <c r="H58" s="13">
        <f>IF(B58=1,COST_YR_RUNG1,COST_YR_RUNG2)</f>
        <v>152394.16214437486</v>
      </c>
      <c r="I58" s="13">
        <f>E58-H58</f>
        <v>102179.59727390765</v>
      </c>
      <c r="J58" s="13">
        <f>J57+I58</f>
        <v>5517698.252791013</v>
      </c>
      <c r="K58">
        <f>IF(J58=MAX($J$4:$J$404),A58,0)</f>
        <v>0</v>
      </c>
      <c r="L58">
        <f>IF(E58&lt;H58,A58,B_MAX+1)</f>
        <v>401.0</v>
      </c>
      <c r="M58" s="13">
        <f>IF(B58=1,GRANT_RUNG1,GRANT_RUNG2)</f>
        <v>0</v>
      </c>
      <c r="N58" s="13">
        <f>OCC_DAYS*MCD_SHARE_BED*R_NF_2023-D58*MCD_SHARE_FREED*R_WAIT_2023</f>
        <v>37367.159242427646</v>
      </c>
      <c r="O58">
        <f>IF(A58&lt;=BEDS,1,0)</f>
        <v>1</v>
      </c>
    </row>
    <row r="59">
      <c r="A59" t="n">
        <v>55</v>
      </c>
      <c r="B59">
        <f>IF(COST_YR_RUNG1&lt;=COST_YR_RUNG2,IF(A59&lt;=RUNG_BEDS_1,1,2),IF(A59&lt;=RUNG_BEDS_2,2,1))</f>
        <v>1</v>
      </c>
      <c r="C59" s="5">
        <f>MIN(1,MAX(0,POOL_BEDS-(A59-1)))</f>
        <v>1</v>
      </c>
      <c r="D59" s="5">
        <f>FREED*(C59+(1-C59)*PAST_POOL_PCT)</f>
        <v>252.05322714681438</v>
      </c>
      <c r="E59" s="13">
        <f>D59*(C_AVOID+ACUTE_MARGIN)</f>
        <v>254573.7594182825</v>
      </c>
      <c r="F59" s="13">
        <f>D59*(RANGE_LO+ACUTE_MARGIN)</f>
        <v>138629.2749307479</v>
      </c>
      <c r="G59" s="13">
        <f>D59*(RANGE_HI+ACUTE_MARGIN)</f>
        <v>370518.24390581716</v>
      </c>
      <c r="H59" s="13">
        <f>IF(B59=1,COST_YR_RUNG1,COST_YR_RUNG2)</f>
        <v>152394.16214437486</v>
      </c>
      <c r="I59" s="13">
        <f>E59-H59</f>
        <v>102179.59727390765</v>
      </c>
      <c r="J59" s="13">
        <f>J58+I59</f>
        <v>5619877.85006492</v>
      </c>
      <c r="K59">
        <f>IF(J59=MAX($J$4:$J$404),A59,0)</f>
        <v>0</v>
      </c>
      <c r="L59">
        <f>IF(E59&lt;H59,A59,B_MAX+1)</f>
        <v>401.0</v>
      </c>
      <c r="M59" s="13">
        <f>IF(B59=1,GRANT_RUNG1,GRANT_RUNG2)</f>
        <v>0</v>
      </c>
      <c r="N59" s="13">
        <f>OCC_DAYS*MCD_SHARE_BED*R_NF_2023-D59*MCD_SHARE_FREED*R_WAIT_2023</f>
        <v>37367.159242427646</v>
      </c>
      <c r="O59">
        <f>IF(A59&lt;=BEDS,1,0)</f>
        <v>1</v>
      </c>
    </row>
    <row r="60">
      <c r="A60" t="n">
        <v>56</v>
      </c>
      <c r="B60">
        <f>IF(COST_YR_RUNG1&lt;=COST_YR_RUNG2,IF(A60&lt;=RUNG_BEDS_1,1,2),IF(A60&lt;=RUNG_BEDS_2,2,1))</f>
        <v>1</v>
      </c>
      <c r="C60" s="5">
        <f>MIN(1,MAX(0,POOL_BEDS-(A60-1)))</f>
        <v>1</v>
      </c>
      <c r="D60" s="5">
        <f>FREED*(C60+(1-C60)*PAST_POOL_PCT)</f>
        <v>252.05322714681438</v>
      </c>
      <c r="E60" s="13">
        <f>D60*(C_AVOID+ACUTE_MARGIN)</f>
        <v>254573.7594182825</v>
      </c>
      <c r="F60" s="13">
        <f>D60*(RANGE_LO+ACUTE_MARGIN)</f>
        <v>138629.2749307479</v>
      </c>
      <c r="G60" s="13">
        <f>D60*(RANGE_HI+ACUTE_MARGIN)</f>
        <v>370518.24390581716</v>
      </c>
      <c r="H60" s="13">
        <f>IF(B60=1,COST_YR_RUNG1,COST_YR_RUNG2)</f>
        <v>152394.16214437486</v>
      </c>
      <c r="I60" s="13">
        <f>E60-H60</f>
        <v>102179.59727390765</v>
      </c>
      <c r="J60" s="13">
        <f>J59+I60</f>
        <v>5722057.447338828</v>
      </c>
      <c r="K60">
        <f>IF(J60=MAX($J$4:$J$404),A60,0)</f>
        <v>0</v>
      </c>
      <c r="L60">
        <f>IF(E60&lt;H60,A60,B_MAX+1)</f>
        <v>401.0</v>
      </c>
      <c r="M60" s="13">
        <f>IF(B60=1,GRANT_RUNG1,GRANT_RUNG2)</f>
        <v>0</v>
      </c>
      <c r="N60" s="13">
        <f>OCC_DAYS*MCD_SHARE_BED*R_NF_2023-D60*MCD_SHARE_FREED*R_WAIT_2023</f>
        <v>37367.159242427646</v>
      </c>
      <c r="O60">
        <f>IF(A60&lt;=BEDS,1,0)</f>
        <v>1</v>
      </c>
    </row>
    <row r="61">
      <c r="A61" t="n">
        <v>57</v>
      </c>
      <c r="B61">
        <f>IF(COST_YR_RUNG1&lt;=COST_YR_RUNG2,IF(A61&lt;=RUNG_BEDS_1,1,2),IF(A61&lt;=RUNG_BEDS_2,2,1))</f>
        <v>1</v>
      </c>
      <c r="C61" s="5">
        <f>MIN(1,MAX(0,POOL_BEDS-(A61-1)))</f>
        <v>1</v>
      </c>
      <c r="D61" s="5">
        <f>FREED*(C61+(1-C61)*PAST_POOL_PCT)</f>
        <v>252.05322714681438</v>
      </c>
      <c r="E61" s="13">
        <f>D61*(C_AVOID+ACUTE_MARGIN)</f>
        <v>254573.7594182825</v>
      </c>
      <c r="F61" s="13">
        <f>D61*(RANGE_LO+ACUTE_MARGIN)</f>
        <v>138629.2749307479</v>
      </c>
      <c r="G61" s="13">
        <f>D61*(RANGE_HI+ACUTE_MARGIN)</f>
        <v>370518.24390581716</v>
      </c>
      <c r="H61" s="13">
        <f>IF(B61=1,COST_YR_RUNG1,COST_YR_RUNG2)</f>
        <v>152394.16214437486</v>
      </c>
      <c r="I61" s="13">
        <f>E61-H61</f>
        <v>102179.59727390765</v>
      </c>
      <c r="J61" s="13">
        <f>J60+I61</f>
        <v>5824237.0446127355</v>
      </c>
      <c r="K61">
        <f>IF(J61=MAX($J$4:$J$404),A61,0)</f>
        <v>0</v>
      </c>
      <c r="L61">
        <f>IF(E61&lt;H61,A61,B_MAX+1)</f>
        <v>401.0</v>
      </c>
      <c r="M61" s="13">
        <f>IF(B61=1,GRANT_RUNG1,GRANT_RUNG2)</f>
        <v>0</v>
      </c>
      <c r="N61" s="13">
        <f>OCC_DAYS*MCD_SHARE_BED*R_NF_2023-D61*MCD_SHARE_FREED*R_WAIT_2023</f>
        <v>37367.159242427646</v>
      </c>
      <c r="O61">
        <f>IF(A61&lt;=BEDS,1,0)</f>
        <v>1</v>
      </c>
    </row>
    <row r="62">
      <c r="A62" t="n">
        <v>58</v>
      </c>
      <c r="B62">
        <f>IF(COST_YR_RUNG1&lt;=COST_YR_RUNG2,IF(A62&lt;=RUNG_BEDS_1,1,2),IF(A62&lt;=RUNG_BEDS_2,2,1))</f>
        <v>1</v>
      </c>
      <c r="C62" s="5">
        <f>MIN(1,MAX(0,POOL_BEDS-(A62-1)))</f>
        <v>1</v>
      </c>
      <c r="D62" s="5">
        <f>FREED*(C62+(1-C62)*PAST_POOL_PCT)</f>
        <v>252.05322714681438</v>
      </c>
      <c r="E62" s="13">
        <f>D62*(C_AVOID+ACUTE_MARGIN)</f>
        <v>254573.7594182825</v>
      </c>
      <c r="F62" s="13">
        <f>D62*(RANGE_LO+ACUTE_MARGIN)</f>
        <v>138629.2749307479</v>
      </c>
      <c r="G62" s="13">
        <f>D62*(RANGE_HI+ACUTE_MARGIN)</f>
        <v>370518.24390581716</v>
      </c>
      <c r="H62" s="13">
        <f>IF(B62=1,COST_YR_RUNG1,COST_YR_RUNG2)</f>
        <v>152394.16214437486</v>
      </c>
      <c r="I62" s="13">
        <f>E62-H62</f>
        <v>102179.59727390765</v>
      </c>
      <c r="J62" s="13">
        <f>J61+I62</f>
        <v>5926416.641886643</v>
      </c>
      <c r="K62">
        <f>IF(J62=MAX($J$4:$J$404),A62,0)</f>
        <v>0</v>
      </c>
      <c r="L62">
        <f>IF(E62&lt;H62,A62,B_MAX+1)</f>
        <v>401.0</v>
      </c>
      <c r="M62" s="13">
        <f>IF(B62=1,GRANT_RUNG1,GRANT_RUNG2)</f>
        <v>0</v>
      </c>
      <c r="N62" s="13">
        <f>OCC_DAYS*MCD_SHARE_BED*R_NF_2023-D62*MCD_SHARE_FREED*R_WAIT_2023</f>
        <v>37367.159242427646</v>
      </c>
      <c r="O62">
        <f>IF(A62&lt;=BEDS,1,0)</f>
        <v>1</v>
      </c>
    </row>
    <row r="63">
      <c r="A63" t="n">
        <v>59</v>
      </c>
      <c r="B63">
        <f>IF(COST_YR_RUNG1&lt;=COST_YR_RUNG2,IF(A63&lt;=RUNG_BEDS_1,1,2),IF(A63&lt;=RUNG_BEDS_2,2,1))</f>
        <v>1</v>
      </c>
      <c r="C63" s="5">
        <f>MIN(1,MAX(0,POOL_BEDS-(A63-1)))</f>
        <v>1</v>
      </c>
      <c r="D63" s="5">
        <f>FREED*(C63+(1-C63)*PAST_POOL_PCT)</f>
        <v>252.05322714681438</v>
      </c>
      <c r="E63" s="13">
        <f>D63*(C_AVOID+ACUTE_MARGIN)</f>
        <v>254573.7594182825</v>
      </c>
      <c r="F63" s="13">
        <f>D63*(RANGE_LO+ACUTE_MARGIN)</f>
        <v>138629.2749307479</v>
      </c>
      <c r="G63" s="13">
        <f>D63*(RANGE_HI+ACUTE_MARGIN)</f>
        <v>370518.24390581716</v>
      </c>
      <c r="H63" s="13">
        <f>IF(B63=1,COST_YR_RUNG1,COST_YR_RUNG2)</f>
        <v>152394.16214437486</v>
      </c>
      <c r="I63" s="13">
        <f>E63-H63</f>
        <v>102179.59727390765</v>
      </c>
      <c r="J63" s="13">
        <f>J62+I63</f>
        <v>6028596.239160551</v>
      </c>
      <c r="K63">
        <f>IF(J63=MAX($J$4:$J$404),A63,0)</f>
        <v>0</v>
      </c>
      <c r="L63">
        <f>IF(E63&lt;H63,A63,B_MAX+1)</f>
        <v>401.0</v>
      </c>
      <c r="M63" s="13">
        <f>IF(B63=1,GRANT_RUNG1,GRANT_RUNG2)</f>
        <v>0</v>
      </c>
      <c r="N63" s="13">
        <f>OCC_DAYS*MCD_SHARE_BED*R_NF_2023-D63*MCD_SHARE_FREED*R_WAIT_2023</f>
        <v>37367.159242427646</v>
      </c>
      <c r="O63">
        <f>IF(A63&lt;=BEDS,1,0)</f>
        <v>1</v>
      </c>
    </row>
    <row r="64">
      <c r="A64" t="n">
        <v>60</v>
      </c>
      <c r="B64">
        <f>IF(COST_YR_RUNG1&lt;=COST_YR_RUNG2,IF(A64&lt;=RUNG_BEDS_1,1,2),IF(A64&lt;=RUNG_BEDS_2,2,1))</f>
        <v>1</v>
      </c>
      <c r="C64" s="5">
        <f>MIN(1,MAX(0,POOL_BEDS-(A64-1)))</f>
        <v>1</v>
      </c>
      <c r="D64" s="5">
        <f>FREED*(C64+(1-C64)*PAST_POOL_PCT)</f>
        <v>252.05322714681438</v>
      </c>
      <c r="E64" s="13">
        <f>D64*(C_AVOID+ACUTE_MARGIN)</f>
        <v>254573.7594182825</v>
      </c>
      <c r="F64" s="13">
        <f>D64*(RANGE_LO+ACUTE_MARGIN)</f>
        <v>138629.2749307479</v>
      </c>
      <c r="G64" s="13">
        <f>D64*(RANGE_HI+ACUTE_MARGIN)</f>
        <v>370518.24390581716</v>
      </c>
      <c r="H64" s="13">
        <f>IF(B64=1,COST_YR_RUNG1,COST_YR_RUNG2)</f>
        <v>152394.16214437486</v>
      </c>
      <c r="I64" s="13">
        <f>E64-H64</f>
        <v>102179.59727390765</v>
      </c>
      <c r="J64" s="13">
        <f>J63+I64</f>
        <v>6130775.836434458</v>
      </c>
      <c r="K64">
        <f>IF(J64=MAX($J$4:$J$404),A64,0)</f>
        <v>0</v>
      </c>
      <c r="L64">
        <f>IF(E64&lt;H64,A64,B_MAX+1)</f>
        <v>401.0</v>
      </c>
      <c r="M64" s="13">
        <f>IF(B64=1,GRANT_RUNG1,GRANT_RUNG2)</f>
        <v>0</v>
      </c>
      <c r="N64" s="13">
        <f>OCC_DAYS*MCD_SHARE_BED*R_NF_2023-D64*MCD_SHARE_FREED*R_WAIT_2023</f>
        <v>37367.159242427646</v>
      </c>
      <c r="O64">
        <f>IF(A64&lt;=BEDS,1,0)</f>
        <v>1</v>
      </c>
    </row>
    <row r="65">
      <c r="A65" t="n">
        <v>61</v>
      </c>
      <c r="B65">
        <f>IF(COST_YR_RUNG1&lt;=COST_YR_RUNG2,IF(A65&lt;=RUNG_BEDS_1,1,2),IF(A65&lt;=RUNG_BEDS_2,2,1))</f>
        <v>1</v>
      </c>
      <c r="C65" s="5">
        <f>MIN(1,MAX(0,POOL_BEDS-(A65-1)))</f>
        <v>1</v>
      </c>
      <c r="D65" s="5">
        <f>FREED*(C65+(1-C65)*PAST_POOL_PCT)</f>
        <v>252.05322714681438</v>
      </c>
      <c r="E65" s="13">
        <f>D65*(C_AVOID+ACUTE_MARGIN)</f>
        <v>254573.7594182825</v>
      </c>
      <c r="F65" s="13">
        <f>D65*(RANGE_LO+ACUTE_MARGIN)</f>
        <v>138629.2749307479</v>
      </c>
      <c r="G65" s="13">
        <f>D65*(RANGE_HI+ACUTE_MARGIN)</f>
        <v>370518.24390581716</v>
      </c>
      <c r="H65" s="13">
        <f>IF(B65=1,COST_YR_RUNG1,COST_YR_RUNG2)</f>
        <v>152394.16214437486</v>
      </c>
      <c r="I65" s="13">
        <f>E65-H65</f>
        <v>102179.59727390765</v>
      </c>
      <c r="J65" s="13">
        <f>J64+I65</f>
        <v>6232955.433708366</v>
      </c>
      <c r="K65">
        <f>IF(J65=MAX($J$4:$J$404),A65,0)</f>
        <v>0</v>
      </c>
      <c r="L65">
        <f>IF(E65&lt;H65,A65,B_MAX+1)</f>
        <v>401.0</v>
      </c>
      <c r="M65" s="13">
        <f>IF(B65=1,GRANT_RUNG1,GRANT_RUNG2)</f>
        <v>0</v>
      </c>
      <c r="N65" s="13">
        <f>OCC_DAYS*MCD_SHARE_BED*R_NF_2023-D65*MCD_SHARE_FREED*R_WAIT_2023</f>
        <v>37367.159242427646</v>
      </c>
      <c r="O65">
        <f>IF(A65&lt;=BEDS,1,0)</f>
        <v>1</v>
      </c>
    </row>
    <row r="66">
      <c r="A66" t="n">
        <v>62</v>
      </c>
      <c r="B66">
        <f>IF(COST_YR_RUNG1&lt;=COST_YR_RUNG2,IF(A66&lt;=RUNG_BEDS_1,1,2),IF(A66&lt;=RUNG_BEDS_2,2,1))</f>
        <v>1</v>
      </c>
      <c r="C66" s="5">
        <f>MIN(1,MAX(0,POOL_BEDS-(A66-1)))</f>
        <v>1</v>
      </c>
      <c r="D66" s="5">
        <f>FREED*(C66+(1-C66)*PAST_POOL_PCT)</f>
        <v>252.05322714681438</v>
      </c>
      <c r="E66" s="13">
        <f>D66*(C_AVOID+ACUTE_MARGIN)</f>
        <v>254573.7594182825</v>
      </c>
      <c r="F66" s="13">
        <f>D66*(RANGE_LO+ACUTE_MARGIN)</f>
        <v>138629.2749307479</v>
      </c>
      <c r="G66" s="13">
        <f>D66*(RANGE_HI+ACUTE_MARGIN)</f>
        <v>370518.24390581716</v>
      </c>
      <c r="H66" s="13">
        <f>IF(B66=1,COST_YR_RUNG1,COST_YR_RUNG2)</f>
        <v>152394.16214437486</v>
      </c>
      <c r="I66" s="13">
        <f>E66-H66</f>
        <v>102179.59727390765</v>
      </c>
      <c r="J66" s="13">
        <f>J65+I66</f>
        <v>6335135.030982274</v>
      </c>
      <c r="K66">
        <f>IF(J66=MAX($J$4:$J$404),A66,0)</f>
        <v>0</v>
      </c>
      <c r="L66">
        <f>IF(E66&lt;H66,A66,B_MAX+1)</f>
        <v>401.0</v>
      </c>
      <c r="M66" s="13">
        <f>IF(B66=1,GRANT_RUNG1,GRANT_RUNG2)</f>
        <v>0</v>
      </c>
      <c r="N66" s="13">
        <f>OCC_DAYS*MCD_SHARE_BED*R_NF_2023-D66*MCD_SHARE_FREED*R_WAIT_2023</f>
        <v>37367.159242427646</v>
      </c>
      <c r="O66">
        <f>IF(A66&lt;=BEDS,1,0)</f>
        <v>1</v>
      </c>
    </row>
    <row r="67">
      <c r="A67" t="n">
        <v>63</v>
      </c>
      <c r="B67">
        <f>IF(COST_YR_RUNG1&lt;=COST_YR_RUNG2,IF(A67&lt;=RUNG_BEDS_1,1,2),IF(A67&lt;=RUNG_BEDS_2,2,1))</f>
        <v>1</v>
      </c>
      <c r="C67" s="5">
        <f>MIN(1,MAX(0,POOL_BEDS-(A67-1)))</f>
        <v>1</v>
      </c>
      <c r="D67" s="5">
        <f>FREED*(C67+(1-C67)*PAST_POOL_PCT)</f>
        <v>252.05322714681438</v>
      </c>
      <c r="E67" s="13">
        <f>D67*(C_AVOID+ACUTE_MARGIN)</f>
        <v>254573.7594182825</v>
      </c>
      <c r="F67" s="13">
        <f>D67*(RANGE_LO+ACUTE_MARGIN)</f>
        <v>138629.2749307479</v>
      </c>
      <c r="G67" s="13">
        <f>D67*(RANGE_HI+ACUTE_MARGIN)</f>
        <v>370518.24390581716</v>
      </c>
      <c r="H67" s="13">
        <f>IF(B67=1,COST_YR_RUNG1,COST_YR_RUNG2)</f>
        <v>152394.16214437486</v>
      </c>
      <c r="I67" s="13">
        <f>E67-H67</f>
        <v>102179.59727390765</v>
      </c>
      <c r="J67" s="13">
        <f>J66+I67</f>
        <v>6437314.628256181</v>
      </c>
      <c r="K67">
        <f>IF(J67=MAX($J$4:$J$404),A67,0)</f>
        <v>0</v>
      </c>
      <c r="L67">
        <f>IF(E67&lt;H67,A67,B_MAX+1)</f>
        <v>401.0</v>
      </c>
      <c r="M67" s="13">
        <f>IF(B67=1,GRANT_RUNG1,GRANT_RUNG2)</f>
        <v>0</v>
      </c>
      <c r="N67" s="13">
        <f>OCC_DAYS*MCD_SHARE_BED*R_NF_2023-D67*MCD_SHARE_FREED*R_WAIT_2023</f>
        <v>37367.159242427646</v>
      </c>
      <c r="O67">
        <f>IF(A67&lt;=BEDS,1,0)</f>
        <v>1</v>
      </c>
    </row>
    <row r="68">
      <c r="A68" t="n">
        <v>64</v>
      </c>
      <c r="B68">
        <f>IF(COST_YR_RUNG1&lt;=COST_YR_RUNG2,IF(A68&lt;=RUNG_BEDS_1,1,2),IF(A68&lt;=RUNG_BEDS_2,2,1))</f>
        <v>1</v>
      </c>
      <c r="C68" s="5">
        <f>MIN(1,MAX(0,POOL_BEDS-(A68-1)))</f>
        <v>1</v>
      </c>
      <c r="D68" s="5">
        <f>FREED*(C68+(1-C68)*PAST_POOL_PCT)</f>
        <v>252.05322714681438</v>
      </c>
      <c r="E68" s="13">
        <f>D68*(C_AVOID+ACUTE_MARGIN)</f>
        <v>254573.7594182825</v>
      </c>
      <c r="F68" s="13">
        <f>D68*(RANGE_LO+ACUTE_MARGIN)</f>
        <v>138629.2749307479</v>
      </c>
      <c r="G68" s="13">
        <f>D68*(RANGE_HI+ACUTE_MARGIN)</f>
        <v>370518.24390581716</v>
      </c>
      <c r="H68" s="13">
        <f>IF(B68=1,COST_YR_RUNG1,COST_YR_RUNG2)</f>
        <v>152394.16214437486</v>
      </c>
      <c r="I68" s="13">
        <f>E68-H68</f>
        <v>102179.59727390765</v>
      </c>
      <c r="J68" s="13">
        <f>J67+I68</f>
        <v>6539494.225530089</v>
      </c>
      <c r="K68">
        <f>IF(J68=MAX($J$4:$J$404),A68,0)</f>
        <v>0</v>
      </c>
      <c r="L68">
        <f>IF(E68&lt;H68,A68,B_MAX+1)</f>
        <v>401.0</v>
      </c>
      <c r="M68" s="13">
        <f>IF(B68=1,GRANT_RUNG1,GRANT_RUNG2)</f>
        <v>0</v>
      </c>
      <c r="N68" s="13">
        <f>OCC_DAYS*MCD_SHARE_BED*R_NF_2023-D68*MCD_SHARE_FREED*R_WAIT_2023</f>
        <v>37367.159242427646</v>
      </c>
      <c r="O68">
        <f>IF(A68&lt;=BEDS,1,0)</f>
        <v>1</v>
      </c>
    </row>
    <row r="69">
      <c r="A69" t="n">
        <v>65</v>
      </c>
      <c r="B69">
        <f>IF(COST_YR_RUNG1&lt;=COST_YR_RUNG2,IF(A69&lt;=RUNG_BEDS_1,1,2),IF(A69&lt;=RUNG_BEDS_2,2,1))</f>
        <v>1</v>
      </c>
      <c r="C69" s="5">
        <f>MIN(1,MAX(0,POOL_BEDS-(A69-1)))</f>
        <v>1</v>
      </c>
      <c r="D69" s="5">
        <f>FREED*(C69+(1-C69)*PAST_POOL_PCT)</f>
        <v>252.05322714681438</v>
      </c>
      <c r="E69" s="13">
        <f>D69*(C_AVOID+ACUTE_MARGIN)</f>
        <v>254573.7594182825</v>
      </c>
      <c r="F69" s="13">
        <f>D69*(RANGE_LO+ACUTE_MARGIN)</f>
        <v>138629.2749307479</v>
      </c>
      <c r="G69" s="13">
        <f>D69*(RANGE_HI+ACUTE_MARGIN)</f>
        <v>370518.24390581716</v>
      </c>
      <c r="H69" s="13">
        <f>IF(B69=1,COST_YR_RUNG1,COST_YR_RUNG2)</f>
        <v>152394.16214437486</v>
      </c>
      <c r="I69" s="13">
        <f>E69-H69</f>
        <v>102179.59727390765</v>
      </c>
      <c r="J69" s="13">
        <f>J68+I69</f>
        <v>6641673.8228039965</v>
      </c>
      <c r="K69">
        <f>IF(J69=MAX($J$4:$J$404),A69,0)</f>
        <v>0</v>
      </c>
      <c r="L69">
        <f>IF(E69&lt;H69,A69,B_MAX+1)</f>
        <v>401.0</v>
      </c>
      <c r="M69" s="13">
        <f>IF(B69=1,GRANT_RUNG1,GRANT_RUNG2)</f>
        <v>0</v>
      </c>
      <c r="N69" s="13">
        <f>OCC_DAYS*MCD_SHARE_BED*R_NF_2023-D69*MCD_SHARE_FREED*R_WAIT_2023</f>
        <v>37367.159242427646</v>
      </c>
      <c r="O69">
        <f>IF(A69&lt;=BEDS,1,0)</f>
        <v>1</v>
      </c>
    </row>
    <row r="70">
      <c r="A70" t="n">
        <v>66</v>
      </c>
      <c r="B70">
        <f>IF(COST_YR_RUNG1&lt;=COST_YR_RUNG2,IF(A70&lt;=RUNG_BEDS_1,1,2),IF(A70&lt;=RUNG_BEDS_2,2,1))</f>
        <v>1</v>
      </c>
      <c r="C70" s="5">
        <f>MIN(1,MAX(0,POOL_BEDS-(A70-1)))</f>
        <v>1</v>
      </c>
      <c r="D70" s="5">
        <f>FREED*(C70+(1-C70)*PAST_POOL_PCT)</f>
        <v>252.05322714681438</v>
      </c>
      <c r="E70" s="13">
        <f>D70*(C_AVOID+ACUTE_MARGIN)</f>
        <v>254573.7594182825</v>
      </c>
      <c r="F70" s="13">
        <f>D70*(RANGE_LO+ACUTE_MARGIN)</f>
        <v>138629.2749307479</v>
      </c>
      <c r="G70" s="13">
        <f>D70*(RANGE_HI+ACUTE_MARGIN)</f>
        <v>370518.24390581716</v>
      </c>
      <c r="H70" s="13">
        <f>IF(B70=1,COST_YR_RUNG1,COST_YR_RUNG2)</f>
        <v>152394.16214437486</v>
      </c>
      <c r="I70" s="13">
        <f>E70-H70</f>
        <v>102179.59727390765</v>
      </c>
      <c r="J70" s="13">
        <f>J69+I70</f>
        <v>6743853.420077904</v>
      </c>
      <c r="K70">
        <f>IF(J70=MAX($J$4:$J$404),A70,0)</f>
        <v>0</v>
      </c>
      <c r="L70">
        <f>IF(E70&lt;H70,A70,B_MAX+1)</f>
        <v>401.0</v>
      </c>
      <c r="M70" s="13">
        <f>IF(B70=1,GRANT_RUNG1,GRANT_RUNG2)</f>
        <v>0</v>
      </c>
      <c r="N70" s="13">
        <f>OCC_DAYS*MCD_SHARE_BED*R_NF_2023-D70*MCD_SHARE_FREED*R_WAIT_2023</f>
        <v>37367.159242427646</v>
      </c>
      <c r="O70">
        <f>IF(A70&lt;=BEDS,1,0)</f>
        <v>1</v>
      </c>
    </row>
    <row r="71">
      <c r="A71" t="n">
        <v>67</v>
      </c>
      <c r="B71">
        <f>IF(COST_YR_RUNG1&lt;=COST_YR_RUNG2,IF(A71&lt;=RUNG_BEDS_1,1,2),IF(A71&lt;=RUNG_BEDS_2,2,1))</f>
        <v>1</v>
      </c>
      <c r="C71" s="5">
        <f>MIN(1,MAX(0,POOL_BEDS-(A71-1)))</f>
        <v>1</v>
      </c>
      <c r="D71" s="5">
        <f>FREED*(C71+(1-C71)*PAST_POOL_PCT)</f>
        <v>252.05322714681438</v>
      </c>
      <c r="E71" s="13">
        <f>D71*(C_AVOID+ACUTE_MARGIN)</f>
        <v>254573.7594182825</v>
      </c>
      <c r="F71" s="13">
        <f>D71*(RANGE_LO+ACUTE_MARGIN)</f>
        <v>138629.2749307479</v>
      </c>
      <c r="G71" s="13">
        <f>D71*(RANGE_HI+ACUTE_MARGIN)</f>
        <v>370518.24390581716</v>
      </c>
      <c r="H71" s="13">
        <f>IF(B71=1,COST_YR_RUNG1,COST_YR_RUNG2)</f>
        <v>152394.16214437486</v>
      </c>
      <c r="I71" s="13">
        <f>E71-H71</f>
        <v>102179.59727390765</v>
      </c>
      <c r="J71" s="13">
        <f>J70+I71</f>
        <v>6846033.017351812</v>
      </c>
      <c r="K71">
        <f>IF(J71=MAX($J$4:$J$404),A71,0)</f>
        <v>0</v>
      </c>
      <c r="L71">
        <f>IF(E71&lt;H71,A71,B_MAX+1)</f>
        <v>401.0</v>
      </c>
      <c r="M71" s="13">
        <f>IF(B71=1,GRANT_RUNG1,GRANT_RUNG2)</f>
        <v>0</v>
      </c>
      <c r="N71" s="13">
        <f>OCC_DAYS*MCD_SHARE_BED*R_NF_2023-D71*MCD_SHARE_FREED*R_WAIT_2023</f>
        <v>37367.159242427646</v>
      </c>
      <c r="O71">
        <f>IF(A71&lt;=BEDS,1,0)</f>
        <v>1</v>
      </c>
    </row>
    <row r="72">
      <c r="A72" t="n">
        <v>68</v>
      </c>
      <c r="B72">
        <f>IF(COST_YR_RUNG1&lt;=COST_YR_RUNG2,IF(A72&lt;=RUNG_BEDS_1,1,2),IF(A72&lt;=RUNG_BEDS_2,2,1))</f>
        <v>1</v>
      </c>
      <c r="C72" s="5">
        <f>MIN(1,MAX(0,POOL_BEDS-(A72-1)))</f>
        <v>1</v>
      </c>
      <c r="D72" s="5">
        <f>FREED*(C72+(1-C72)*PAST_POOL_PCT)</f>
        <v>252.05322714681438</v>
      </c>
      <c r="E72" s="13">
        <f>D72*(C_AVOID+ACUTE_MARGIN)</f>
        <v>254573.7594182825</v>
      </c>
      <c r="F72" s="13">
        <f>D72*(RANGE_LO+ACUTE_MARGIN)</f>
        <v>138629.2749307479</v>
      </c>
      <c r="G72" s="13">
        <f>D72*(RANGE_HI+ACUTE_MARGIN)</f>
        <v>370518.24390581716</v>
      </c>
      <c r="H72" s="13">
        <f>IF(B72=1,COST_YR_RUNG1,COST_YR_RUNG2)</f>
        <v>152394.16214437486</v>
      </c>
      <c r="I72" s="13">
        <f>E72-H72</f>
        <v>102179.59727390765</v>
      </c>
      <c r="J72" s="13">
        <f>J71+I72</f>
        <v>6948212.614625719</v>
      </c>
      <c r="K72">
        <f>IF(J72=MAX($J$4:$J$404),A72,0)</f>
        <v>0</v>
      </c>
      <c r="L72">
        <f>IF(E72&lt;H72,A72,B_MAX+1)</f>
        <v>401.0</v>
      </c>
      <c r="M72" s="13">
        <f>IF(B72=1,GRANT_RUNG1,GRANT_RUNG2)</f>
        <v>0</v>
      </c>
      <c r="N72" s="13">
        <f>OCC_DAYS*MCD_SHARE_BED*R_NF_2023-D72*MCD_SHARE_FREED*R_WAIT_2023</f>
        <v>37367.159242427646</v>
      </c>
      <c r="O72">
        <f>IF(A72&lt;=BEDS,1,0)</f>
        <v>1</v>
      </c>
    </row>
    <row r="73">
      <c r="A73" t="n">
        <v>69</v>
      </c>
      <c r="B73">
        <f>IF(COST_YR_RUNG1&lt;=COST_YR_RUNG2,IF(A73&lt;=RUNG_BEDS_1,1,2),IF(A73&lt;=RUNG_BEDS_2,2,1))</f>
        <v>1</v>
      </c>
      <c r="C73" s="5">
        <f>MIN(1,MAX(0,POOL_BEDS-(A73-1)))</f>
        <v>1</v>
      </c>
      <c r="D73" s="5">
        <f>FREED*(C73+(1-C73)*PAST_POOL_PCT)</f>
        <v>252.05322714681438</v>
      </c>
      <c r="E73" s="13">
        <f>D73*(C_AVOID+ACUTE_MARGIN)</f>
        <v>254573.7594182825</v>
      </c>
      <c r="F73" s="13">
        <f>D73*(RANGE_LO+ACUTE_MARGIN)</f>
        <v>138629.2749307479</v>
      </c>
      <c r="G73" s="13">
        <f>D73*(RANGE_HI+ACUTE_MARGIN)</f>
        <v>370518.24390581716</v>
      </c>
      <c r="H73" s="13">
        <f>IF(B73=1,COST_YR_RUNG1,COST_YR_RUNG2)</f>
        <v>152394.16214437486</v>
      </c>
      <c r="I73" s="13">
        <f>E73-H73</f>
        <v>102179.59727390765</v>
      </c>
      <c r="J73" s="13">
        <f>J72+I73</f>
        <v>7050392.211899627</v>
      </c>
      <c r="K73">
        <f>IF(J73=MAX($J$4:$J$404),A73,0)</f>
        <v>0</v>
      </c>
      <c r="L73">
        <f>IF(E73&lt;H73,A73,B_MAX+1)</f>
        <v>401.0</v>
      </c>
      <c r="M73" s="13">
        <f>IF(B73=1,GRANT_RUNG1,GRANT_RUNG2)</f>
        <v>0</v>
      </c>
      <c r="N73" s="13">
        <f>OCC_DAYS*MCD_SHARE_BED*R_NF_2023-D73*MCD_SHARE_FREED*R_WAIT_2023</f>
        <v>37367.159242427646</v>
      </c>
      <c r="O73">
        <f>IF(A73&lt;=BEDS,1,0)</f>
        <v>1</v>
      </c>
    </row>
    <row r="74">
      <c r="A74" t="n">
        <v>70</v>
      </c>
      <c r="B74">
        <f>IF(COST_YR_RUNG1&lt;=COST_YR_RUNG2,IF(A74&lt;=RUNG_BEDS_1,1,2),IF(A74&lt;=RUNG_BEDS_2,2,1))</f>
        <v>1</v>
      </c>
      <c r="C74" s="5">
        <f>MIN(1,MAX(0,POOL_BEDS-(A74-1)))</f>
        <v>1</v>
      </c>
      <c r="D74" s="5">
        <f>FREED*(C74+(1-C74)*PAST_POOL_PCT)</f>
        <v>252.05322714681438</v>
      </c>
      <c r="E74" s="13">
        <f>D74*(C_AVOID+ACUTE_MARGIN)</f>
        <v>254573.7594182825</v>
      </c>
      <c r="F74" s="13">
        <f>D74*(RANGE_LO+ACUTE_MARGIN)</f>
        <v>138629.2749307479</v>
      </c>
      <c r="G74" s="13">
        <f>D74*(RANGE_HI+ACUTE_MARGIN)</f>
        <v>370518.24390581716</v>
      </c>
      <c r="H74" s="13">
        <f>IF(B74=1,COST_YR_RUNG1,COST_YR_RUNG2)</f>
        <v>152394.16214437486</v>
      </c>
      <c r="I74" s="13">
        <f>E74-H74</f>
        <v>102179.59727390765</v>
      </c>
      <c r="J74" s="13">
        <f>J73+I74</f>
        <v>7152571.809173535</v>
      </c>
      <c r="K74">
        <f>IF(J74=MAX($J$4:$J$404),A74,0)</f>
        <v>0</v>
      </c>
      <c r="L74">
        <f>IF(E74&lt;H74,A74,B_MAX+1)</f>
        <v>401.0</v>
      </c>
      <c r="M74" s="13">
        <f>IF(B74=1,GRANT_RUNG1,GRANT_RUNG2)</f>
        <v>0</v>
      </c>
      <c r="N74" s="13">
        <f>OCC_DAYS*MCD_SHARE_BED*R_NF_2023-D74*MCD_SHARE_FREED*R_WAIT_2023</f>
        <v>37367.159242427646</v>
      </c>
      <c r="O74">
        <f>IF(A74&lt;=BEDS,1,0)</f>
        <v>1</v>
      </c>
    </row>
    <row r="75">
      <c r="A75" t="n">
        <v>71</v>
      </c>
      <c r="B75">
        <f>IF(COST_YR_RUNG1&lt;=COST_YR_RUNG2,IF(A75&lt;=RUNG_BEDS_1,1,2),IF(A75&lt;=RUNG_BEDS_2,2,1))</f>
        <v>1</v>
      </c>
      <c r="C75" s="5">
        <f>MIN(1,MAX(0,POOL_BEDS-(A75-1)))</f>
        <v>1</v>
      </c>
      <c r="D75" s="5">
        <f>FREED*(C75+(1-C75)*PAST_POOL_PCT)</f>
        <v>252.05322714681438</v>
      </c>
      <c r="E75" s="13">
        <f>D75*(C_AVOID+ACUTE_MARGIN)</f>
        <v>254573.7594182825</v>
      </c>
      <c r="F75" s="13">
        <f>D75*(RANGE_LO+ACUTE_MARGIN)</f>
        <v>138629.2749307479</v>
      </c>
      <c r="G75" s="13">
        <f>D75*(RANGE_HI+ACUTE_MARGIN)</f>
        <v>370518.24390581716</v>
      </c>
      <c r="H75" s="13">
        <f>IF(B75=1,COST_YR_RUNG1,COST_YR_RUNG2)</f>
        <v>152394.16214437486</v>
      </c>
      <c r="I75" s="13">
        <f>E75-H75</f>
        <v>102179.59727390765</v>
      </c>
      <c r="J75" s="13">
        <f>J74+I75</f>
        <v>7254751.406447442</v>
      </c>
      <c r="K75">
        <f>IF(J75=MAX($J$4:$J$404),A75,0)</f>
        <v>0</v>
      </c>
      <c r="L75">
        <f>IF(E75&lt;H75,A75,B_MAX+1)</f>
        <v>401.0</v>
      </c>
      <c r="M75" s="13">
        <f>IF(B75=1,GRANT_RUNG1,GRANT_RUNG2)</f>
        <v>0</v>
      </c>
      <c r="N75" s="13">
        <f>OCC_DAYS*MCD_SHARE_BED*R_NF_2023-D75*MCD_SHARE_FREED*R_WAIT_2023</f>
        <v>37367.159242427646</v>
      </c>
      <c r="O75">
        <f>IF(A75&lt;=BEDS,1,0)</f>
        <v>1</v>
      </c>
    </row>
    <row r="76">
      <c r="A76" t="n">
        <v>72</v>
      </c>
      <c r="B76">
        <f>IF(COST_YR_RUNG1&lt;=COST_YR_RUNG2,IF(A76&lt;=RUNG_BEDS_1,1,2),IF(A76&lt;=RUNG_BEDS_2,2,1))</f>
        <v>1</v>
      </c>
      <c r="C76" s="5">
        <f>MIN(1,MAX(0,POOL_BEDS-(A76-1)))</f>
        <v>1</v>
      </c>
      <c r="D76" s="5">
        <f>FREED*(C76+(1-C76)*PAST_POOL_PCT)</f>
        <v>252.05322714681438</v>
      </c>
      <c r="E76" s="13">
        <f>D76*(C_AVOID+ACUTE_MARGIN)</f>
        <v>254573.7594182825</v>
      </c>
      <c r="F76" s="13">
        <f>D76*(RANGE_LO+ACUTE_MARGIN)</f>
        <v>138629.2749307479</v>
      </c>
      <c r="G76" s="13">
        <f>D76*(RANGE_HI+ACUTE_MARGIN)</f>
        <v>370518.24390581716</v>
      </c>
      <c r="H76" s="13">
        <f>IF(B76=1,COST_YR_RUNG1,COST_YR_RUNG2)</f>
        <v>152394.16214437486</v>
      </c>
      <c r="I76" s="13">
        <f>E76-H76</f>
        <v>102179.59727390765</v>
      </c>
      <c r="J76" s="13">
        <f>J75+I76</f>
        <v>7356931.00372135</v>
      </c>
      <c r="K76">
        <f>IF(J76=MAX($J$4:$J$404),A76,0)</f>
        <v>0</v>
      </c>
      <c r="L76">
        <f>IF(E76&lt;H76,A76,B_MAX+1)</f>
        <v>401.0</v>
      </c>
      <c r="M76" s="13">
        <f>IF(B76=1,GRANT_RUNG1,GRANT_RUNG2)</f>
        <v>0</v>
      </c>
      <c r="N76" s="13">
        <f>OCC_DAYS*MCD_SHARE_BED*R_NF_2023-D76*MCD_SHARE_FREED*R_WAIT_2023</f>
        <v>37367.159242427646</v>
      </c>
      <c r="O76">
        <f>IF(A76&lt;=BEDS,1,0)</f>
        <v>1</v>
      </c>
    </row>
    <row r="77">
      <c r="A77" t="n">
        <v>73</v>
      </c>
      <c r="B77">
        <f>IF(COST_YR_RUNG1&lt;=COST_YR_RUNG2,IF(A77&lt;=RUNG_BEDS_1,1,2),IF(A77&lt;=RUNG_BEDS_2,2,1))</f>
        <v>1</v>
      </c>
      <c r="C77" s="5">
        <f>MIN(1,MAX(0,POOL_BEDS-(A77-1)))</f>
        <v>1</v>
      </c>
      <c r="D77" s="5">
        <f>FREED*(C77+(1-C77)*PAST_POOL_PCT)</f>
        <v>252.05322714681438</v>
      </c>
      <c r="E77" s="13">
        <f>D77*(C_AVOID+ACUTE_MARGIN)</f>
        <v>254573.7594182825</v>
      </c>
      <c r="F77" s="13">
        <f>D77*(RANGE_LO+ACUTE_MARGIN)</f>
        <v>138629.2749307479</v>
      </c>
      <c r="G77" s="13">
        <f>D77*(RANGE_HI+ACUTE_MARGIN)</f>
        <v>370518.24390581716</v>
      </c>
      <c r="H77" s="13">
        <f>IF(B77=1,COST_YR_RUNG1,COST_YR_RUNG2)</f>
        <v>152394.16214437486</v>
      </c>
      <c r="I77" s="13">
        <f>E77-H77</f>
        <v>102179.59727390765</v>
      </c>
      <c r="J77" s="13">
        <f>J76+I77</f>
        <v>7459110.6009952575</v>
      </c>
      <c r="K77">
        <f>IF(J77=MAX($J$4:$J$404),A77,0)</f>
        <v>0</v>
      </c>
      <c r="L77">
        <f>IF(E77&lt;H77,A77,B_MAX+1)</f>
        <v>401.0</v>
      </c>
      <c r="M77" s="13">
        <f>IF(B77=1,GRANT_RUNG1,GRANT_RUNG2)</f>
        <v>0</v>
      </c>
      <c r="N77" s="13">
        <f>OCC_DAYS*MCD_SHARE_BED*R_NF_2023-D77*MCD_SHARE_FREED*R_WAIT_2023</f>
        <v>37367.159242427646</v>
      </c>
      <c r="O77">
        <f>IF(A77&lt;=BEDS,1,0)</f>
        <v>1</v>
      </c>
    </row>
    <row r="78">
      <c r="A78" t="n">
        <v>74</v>
      </c>
      <c r="B78">
        <f>IF(COST_YR_RUNG1&lt;=COST_YR_RUNG2,IF(A78&lt;=RUNG_BEDS_1,1,2),IF(A78&lt;=RUNG_BEDS_2,2,1))</f>
        <v>1</v>
      </c>
      <c r="C78" s="5">
        <f>MIN(1,MAX(0,POOL_BEDS-(A78-1)))</f>
        <v>1</v>
      </c>
      <c r="D78" s="5">
        <f>FREED*(C78+(1-C78)*PAST_POOL_PCT)</f>
        <v>252.05322714681438</v>
      </c>
      <c r="E78" s="13">
        <f>D78*(C_AVOID+ACUTE_MARGIN)</f>
        <v>254573.7594182825</v>
      </c>
      <c r="F78" s="13">
        <f>D78*(RANGE_LO+ACUTE_MARGIN)</f>
        <v>138629.2749307479</v>
      </c>
      <c r="G78" s="13">
        <f>D78*(RANGE_HI+ACUTE_MARGIN)</f>
        <v>370518.24390581716</v>
      </c>
      <c r="H78" s="13">
        <f>IF(B78=1,COST_YR_RUNG1,COST_YR_RUNG2)</f>
        <v>152394.16214437486</v>
      </c>
      <c r="I78" s="13">
        <f>E78-H78</f>
        <v>102179.59727390765</v>
      </c>
      <c r="J78" s="13">
        <f>J77+I78</f>
        <v>7561290.198269165</v>
      </c>
      <c r="K78">
        <f>IF(J78=MAX($J$4:$J$404),A78,0)</f>
        <v>0</v>
      </c>
      <c r="L78">
        <f>IF(E78&lt;H78,A78,B_MAX+1)</f>
        <v>401.0</v>
      </c>
      <c r="M78" s="13">
        <f>IF(B78=1,GRANT_RUNG1,GRANT_RUNG2)</f>
        <v>0</v>
      </c>
      <c r="N78" s="13">
        <f>OCC_DAYS*MCD_SHARE_BED*R_NF_2023-D78*MCD_SHARE_FREED*R_WAIT_2023</f>
        <v>37367.159242427646</v>
      </c>
      <c r="O78">
        <f>IF(A78&lt;=BEDS,1,0)</f>
        <v>1</v>
      </c>
    </row>
    <row r="79">
      <c r="A79" t="n">
        <v>75</v>
      </c>
      <c r="B79">
        <f>IF(COST_YR_RUNG1&lt;=COST_YR_RUNG2,IF(A79&lt;=RUNG_BEDS_1,1,2),IF(A79&lt;=RUNG_BEDS_2,2,1))</f>
        <v>1</v>
      </c>
      <c r="C79" s="5">
        <f>MIN(1,MAX(0,POOL_BEDS-(A79-1)))</f>
        <v>1</v>
      </c>
      <c r="D79" s="5">
        <f>FREED*(C79+(1-C79)*PAST_POOL_PCT)</f>
        <v>252.05322714681438</v>
      </c>
      <c r="E79" s="13">
        <f>D79*(C_AVOID+ACUTE_MARGIN)</f>
        <v>254573.7594182825</v>
      </c>
      <c r="F79" s="13">
        <f>D79*(RANGE_LO+ACUTE_MARGIN)</f>
        <v>138629.2749307479</v>
      </c>
      <c r="G79" s="13">
        <f>D79*(RANGE_HI+ACUTE_MARGIN)</f>
        <v>370518.24390581716</v>
      </c>
      <c r="H79" s="13">
        <f>IF(B79=1,COST_YR_RUNG1,COST_YR_RUNG2)</f>
        <v>152394.16214437486</v>
      </c>
      <c r="I79" s="13">
        <f>E79-H79</f>
        <v>102179.59727390765</v>
      </c>
      <c r="J79" s="13">
        <f>J78+I79</f>
        <v>7663469.795543073</v>
      </c>
      <c r="K79">
        <f>IF(J79=MAX($J$4:$J$404),A79,0)</f>
        <v>0</v>
      </c>
      <c r="L79">
        <f>IF(E79&lt;H79,A79,B_MAX+1)</f>
        <v>401.0</v>
      </c>
      <c r="M79" s="13">
        <f>IF(B79=1,GRANT_RUNG1,GRANT_RUNG2)</f>
        <v>0</v>
      </c>
      <c r="N79" s="13">
        <f>OCC_DAYS*MCD_SHARE_BED*R_NF_2023-D79*MCD_SHARE_FREED*R_WAIT_2023</f>
        <v>37367.159242427646</v>
      </c>
      <c r="O79">
        <f>IF(A79&lt;=BEDS,1,0)</f>
        <v>1</v>
      </c>
    </row>
    <row r="80">
      <c r="A80" t="n">
        <v>76</v>
      </c>
      <c r="B80">
        <f>IF(COST_YR_RUNG1&lt;=COST_YR_RUNG2,IF(A80&lt;=RUNG_BEDS_1,1,2),IF(A80&lt;=RUNG_BEDS_2,2,1))</f>
        <v>1</v>
      </c>
      <c r="C80" s="5">
        <f>MIN(1,MAX(0,POOL_BEDS-(A80-1)))</f>
        <v>1</v>
      </c>
      <c r="D80" s="5">
        <f>FREED*(C80+(1-C80)*PAST_POOL_PCT)</f>
        <v>252.05322714681438</v>
      </c>
      <c r="E80" s="13">
        <f>D80*(C_AVOID+ACUTE_MARGIN)</f>
        <v>254573.7594182825</v>
      </c>
      <c r="F80" s="13">
        <f>D80*(RANGE_LO+ACUTE_MARGIN)</f>
        <v>138629.2749307479</v>
      </c>
      <c r="G80" s="13">
        <f>D80*(RANGE_HI+ACUTE_MARGIN)</f>
        <v>370518.24390581716</v>
      </c>
      <c r="H80" s="13">
        <f>IF(B80=1,COST_YR_RUNG1,COST_YR_RUNG2)</f>
        <v>152394.16214437486</v>
      </c>
      <c r="I80" s="13">
        <f>E80-H80</f>
        <v>102179.59727390765</v>
      </c>
      <c r="J80" s="13">
        <f>J79+I80</f>
        <v>7765649.39281698</v>
      </c>
      <c r="K80">
        <f>IF(J80=MAX($J$4:$J$404),A80,0)</f>
        <v>0</v>
      </c>
      <c r="L80">
        <f>IF(E80&lt;H80,A80,B_MAX+1)</f>
        <v>401.0</v>
      </c>
      <c r="M80" s="13">
        <f>IF(B80=1,GRANT_RUNG1,GRANT_RUNG2)</f>
        <v>0</v>
      </c>
      <c r="N80" s="13">
        <f>OCC_DAYS*MCD_SHARE_BED*R_NF_2023-D80*MCD_SHARE_FREED*R_WAIT_2023</f>
        <v>37367.159242427646</v>
      </c>
      <c r="O80">
        <f>IF(A80&lt;=BEDS,1,0)</f>
        <v>1</v>
      </c>
    </row>
    <row r="81">
      <c r="A81" t="n">
        <v>77</v>
      </c>
      <c r="B81">
        <f>IF(COST_YR_RUNG1&lt;=COST_YR_RUNG2,IF(A81&lt;=RUNG_BEDS_1,1,2),IF(A81&lt;=RUNG_BEDS_2,2,1))</f>
        <v>1</v>
      </c>
      <c r="C81" s="5">
        <f>MIN(1,MAX(0,POOL_BEDS-(A81-1)))</f>
        <v>1</v>
      </c>
      <c r="D81" s="5">
        <f>FREED*(C81+(1-C81)*PAST_POOL_PCT)</f>
        <v>252.05322714681438</v>
      </c>
      <c r="E81" s="13">
        <f>D81*(C_AVOID+ACUTE_MARGIN)</f>
        <v>254573.7594182825</v>
      </c>
      <c r="F81" s="13">
        <f>D81*(RANGE_LO+ACUTE_MARGIN)</f>
        <v>138629.2749307479</v>
      </c>
      <c r="G81" s="13">
        <f>D81*(RANGE_HI+ACUTE_MARGIN)</f>
        <v>370518.24390581716</v>
      </c>
      <c r="H81" s="13">
        <f>IF(B81=1,COST_YR_RUNG1,COST_YR_RUNG2)</f>
        <v>152394.16214437486</v>
      </c>
      <c r="I81" s="13">
        <f>E81-H81</f>
        <v>102179.59727390765</v>
      </c>
      <c r="J81" s="13">
        <f>J80+I81</f>
        <v>7867828.990090888</v>
      </c>
      <c r="K81">
        <f>IF(J81=MAX($J$4:$J$404),A81,0)</f>
        <v>0</v>
      </c>
      <c r="L81">
        <f>IF(E81&lt;H81,A81,B_MAX+1)</f>
        <v>401.0</v>
      </c>
      <c r="M81" s="13">
        <f>IF(B81=1,GRANT_RUNG1,GRANT_RUNG2)</f>
        <v>0</v>
      </c>
      <c r="N81" s="13">
        <f>OCC_DAYS*MCD_SHARE_BED*R_NF_2023-D81*MCD_SHARE_FREED*R_WAIT_2023</f>
        <v>37367.159242427646</v>
      </c>
      <c r="O81">
        <f>IF(A81&lt;=BEDS,1,0)</f>
        <v>1</v>
      </c>
    </row>
    <row r="82">
      <c r="A82" t="n">
        <v>78</v>
      </c>
      <c r="B82">
        <f>IF(COST_YR_RUNG1&lt;=COST_YR_RUNG2,IF(A82&lt;=RUNG_BEDS_1,1,2),IF(A82&lt;=RUNG_BEDS_2,2,1))</f>
        <v>1</v>
      </c>
      <c r="C82" s="5">
        <f>MIN(1,MAX(0,POOL_BEDS-(A82-1)))</f>
        <v>1</v>
      </c>
      <c r="D82" s="5">
        <f>FREED*(C82+(1-C82)*PAST_POOL_PCT)</f>
        <v>252.05322714681438</v>
      </c>
      <c r="E82" s="13">
        <f>D82*(C_AVOID+ACUTE_MARGIN)</f>
        <v>254573.7594182825</v>
      </c>
      <c r="F82" s="13">
        <f>D82*(RANGE_LO+ACUTE_MARGIN)</f>
        <v>138629.2749307479</v>
      </c>
      <c r="G82" s="13">
        <f>D82*(RANGE_HI+ACUTE_MARGIN)</f>
        <v>370518.24390581716</v>
      </c>
      <c r="H82" s="13">
        <f>IF(B82=1,COST_YR_RUNG1,COST_YR_RUNG2)</f>
        <v>152394.16214437486</v>
      </c>
      <c r="I82" s="13">
        <f>E82-H82</f>
        <v>102179.59727390765</v>
      </c>
      <c r="J82" s="13">
        <f>J81+I82</f>
        <v>7970008.587364796</v>
      </c>
      <c r="K82">
        <f>IF(J82=MAX($J$4:$J$404),A82,0)</f>
        <v>0</v>
      </c>
      <c r="L82">
        <f>IF(E82&lt;H82,A82,B_MAX+1)</f>
        <v>401.0</v>
      </c>
      <c r="M82" s="13">
        <f>IF(B82=1,GRANT_RUNG1,GRANT_RUNG2)</f>
        <v>0</v>
      </c>
      <c r="N82" s="13">
        <f>OCC_DAYS*MCD_SHARE_BED*R_NF_2023-D82*MCD_SHARE_FREED*R_WAIT_2023</f>
        <v>37367.159242427646</v>
      </c>
      <c r="O82">
        <f>IF(A82&lt;=BEDS,1,0)</f>
        <v>1</v>
      </c>
    </row>
    <row r="83">
      <c r="A83" t="n">
        <v>79</v>
      </c>
      <c r="B83">
        <f>IF(COST_YR_RUNG1&lt;=COST_YR_RUNG2,IF(A83&lt;=RUNG_BEDS_1,1,2),IF(A83&lt;=RUNG_BEDS_2,2,1))</f>
        <v>1</v>
      </c>
      <c r="C83" s="5">
        <f>MIN(1,MAX(0,POOL_BEDS-(A83-1)))</f>
        <v>1</v>
      </c>
      <c r="D83" s="5">
        <f>FREED*(C83+(1-C83)*PAST_POOL_PCT)</f>
        <v>252.05322714681438</v>
      </c>
      <c r="E83" s="13">
        <f>D83*(C_AVOID+ACUTE_MARGIN)</f>
        <v>254573.7594182825</v>
      </c>
      <c r="F83" s="13">
        <f>D83*(RANGE_LO+ACUTE_MARGIN)</f>
        <v>138629.2749307479</v>
      </c>
      <c r="G83" s="13">
        <f>D83*(RANGE_HI+ACUTE_MARGIN)</f>
        <v>370518.24390581716</v>
      </c>
      <c r="H83" s="13">
        <f>IF(B83=1,COST_YR_RUNG1,COST_YR_RUNG2)</f>
        <v>152394.16214437486</v>
      </c>
      <c r="I83" s="13">
        <f>E83-H83</f>
        <v>102179.59727390765</v>
      </c>
      <c r="J83" s="13">
        <f>J82+I83</f>
        <v>8072188.184638703</v>
      </c>
      <c r="K83">
        <f>IF(J83=MAX($J$4:$J$404),A83,0)</f>
        <v>0</v>
      </c>
      <c r="L83">
        <f>IF(E83&lt;H83,A83,B_MAX+1)</f>
        <v>401.0</v>
      </c>
      <c r="M83" s="13">
        <f>IF(B83=1,GRANT_RUNG1,GRANT_RUNG2)</f>
        <v>0</v>
      </c>
      <c r="N83" s="13">
        <f>OCC_DAYS*MCD_SHARE_BED*R_NF_2023-D83*MCD_SHARE_FREED*R_WAIT_2023</f>
        <v>37367.159242427646</v>
      </c>
      <c r="O83">
        <f>IF(A83&lt;=BEDS,1,0)</f>
        <v>1</v>
      </c>
    </row>
    <row r="84">
      <c r="A84" t="n">
        <v>80</v>
      </c>
      <c r="B84">
        <f>IF(COST_YR_RUNG1&lt;=COST_YR_RUNG2,IF(A84&lt;=RUNG_BEDS_1,1,2),IF(A84&lt;=RUNG_BEDS_2,2,1))</f>
        <v>1</v>
      </c>
      <c r="C84" s="5">
        <f>MIN(1,MAX(0,POOL_BEDS-(A84-1)))</f>
        <v>1</v>
      </c>
      <c r="D84" s="5">
        <f>FREED*(C84+(1-C84)*PAST_POOL_PCT)</f>
        <v>252.05322714681438</v>
      </c>
      <c r="E84" s="13">
        <f>D84*(C_AVOID+ACUTE_MARGIN)</f>
        <v>254573.7594182825</v>
      </c>
      <c r="F84" s="13">
        <f>D84*(RANGE_LO+ACUTE_MARGIN)</f>
        <v>138629.2749307479</v>
      </c>
      <c r="G84" s="13">
        <f>D84*(RANGE_HI+ACUTE_MARGIN)</f>
        <v>370518.24390581716</v>
      </c>
      <c r="H84" s="13">
        <f>IF(B84=1,COST_YR_RUNG1,COST_YR_RUNG2)</f>
        <v>152394.16214437486</v>
      </c>
      <c r="I84" s="13">
        <f>E84-H84</f>
        <v>102179.59727390765</v>
      </c>
      <c r="J84" s="13">
        <f>J83+I84</f>
        <v>8174367.781912611</v>
      </c>
      <c r="K84">
        <f>IF(J84=MAX($J$4:$J$404),A84,0)</f>
        <v>0</v>
      </c>
      <c r="L84">
        <f>IF(E84&lt;H84,A84,B_MAX+1)</f>
        <v>401.0</v>
      </c>
      <c r="M84" s="13">
        <f>IF(B84=1,GRANT_RUNG1,GRANT_RUNG2)</f>
        <v>0</v>
      </c>
      <c r="N84" s="13">
        <f>OCC_DAYS*MCD_SHARE_BED*R_NF_2023-D84*MCD_SHARE_FREED*R_WAIT_2023</f>
        <v>37367.159242427646</v>
      </c>
      <c r="O84">
        <f>IF(A84&lt;=BEDS,1,0)</f>
        <v>1</v>
      </c>
    </row>
    <row r="85">
      <c r="A85" t="n">
        <v>81</v>
      </c>
      <c r="B85">
        <f>IF(COST_YR_RUNG1&lt;=COST_YR_RUNG2,IF(A85&lt;=RUNG_BEDS_1,1,2),IF(A85&lt;=RUNG_BEDS_2,2,1))</f>
        <v>1</v>
      </c>
      <c r="C85" s="5">
        <f>MIN(1,MAX(0,POOL_BEDS-(A85-1)))</f>
        <v>1</v>
      </c>
      <c r="D85" s="5">
        <f>FREED*(C85+(1-C85)*PAST_POOL_PCT)</f>
        <v>252.05322714681438</v>
      </c>
      <c r="E85" s="13">
        <f>D85*(C_AVOID+ACUTE_MARGIN)</f>
        <v>254573.7594182825</v>
      </c>
      <c r="F85" s="13">
        <f>D85*(RANGE_LO+ACUTE_MARGIN)</f>
        <v>138629.2749307479</v>
      </c>
      <c r="G85" s="13">
        <f>D85*(RANGE_HI+ACUTE_MARGIN)</f>
        <v>370518.24390581716</v>
      </c>
      <c r="H85" s="13">
        <f>IF(B85=1,COST_YR_RUNG1,COST_YR_RUNG2)</f>
        <v>152394.16214437486</v>
      </c>
      <c r="I85" s="13">
        <f>E85-H85</f>
        <v>102179.59727390765</v>
      </c>
      <c r="J85" s="13">
        <f>J84+I85</f>
        <v>8276547.3791865185</v>
      </c>
      <c r="K85">
        <f>IF(J85=MAX($J$4:$J$404),A85,0)</f>
        <v>0</v>
      </c>
      <c r="L85">
        <f>IF(E85&lt;H85,A85,B_MAX+1)</f>
        <v>401.0</v>
      </c>
      <c r="M85" s="13">
        <f>IF(B85=1,GRANT_RUNG1,GRANT_RUNG2)</f>
        <v>0</v>
      </c>
      <c r="N85" s="13">
        <f>OCC_DAYS*MCD_SHARE_BED*R_NF_2023-D85*MCD_SHARE_FREED*R_WAIT_2023</f>
        <v>37367.159242427646</v>
      </c>
      <c r="O85">
        <f>IF(A85&lt;=BEDS,1,0)</f>
        <v>1</v>
      </c>
    </row>
    <row r="86">
      <c r="A86" t="n">
        <v>82</v>
      </c>
      <c r="B86">
        <f>IF(COST_YR_RUNG1&lt;=COST_YR_RUNG2,IF(A86&lt;=RUNG_BEDS_1,1,2),IF(A86&lt;=RUNG_BEDS_2,2,1))</f>
        <v>1</v>
      </c>
      <c r="C86" s="5">
        <f>MIN(1,MAX(0,POOL_BEDS-(A86-1)))</f>
        <v>1</v>
      </c>
      <c r="D86" s="5">
        <f>FREED*(C86+(1-C86)*PAST_POOL_PCT)</f>
        <v>252.05322714681438</v>
      </c>
      <c r="E86" s="13">
        <f>D86*(C_AVOID+ACUTE_MARGIN)</f>
        <v>254573.7594182825</v>
      </c>
      <c r="F86" s="13">
        <f>D86*(RANGE_LO+ACUTE_MARGIN)</f>
        <v>138629.2749307479</v>
      </c>
      <c r="G86" s="13">
        <f>D86*(RANGE_HI+ACUTE_MARGIN)</f>
        <v>370518.24390581716</v>
      </c>
      <c r="H86" s="13">
        <f>IF(B86=1,COST_YR_RUNG1,COST_YR_RUNG2)</f>
        <v>152394.16214437486</v>
      </c>
      <c r="I86" s="13">
        <f>E86-H86</f>
        <v>102179.59727390765</v>
      </c>
      <c r="J86" s="13">
        <f>J85+I86</f>
        <v>8378726.976460426</v>
      </c>
      <c r="K86">
        <f>IF(J86=MAX($J$4:$J$404),A86,0)</f>
        <v>0</v>
      </c>
      <c r="L86">
        <f>IF(E86&lt;H86,A86,B_MAX+1)</f>
        <v>401.0</v>
      </c>
      <c r="M86" s="13">
        <f>IF(B86=1,GRANT_RUNG1,GRANT_RUNG2)</f>
        <v>0</v>
      </c>
      <c r="N86" s="13">
        <f>OCC_DAYS*MCD_SHARE_BED*R_NF_2023-D86*MCD_SHARE_FREED*R_WAIT_2023</f>
        <v>37367.159242427646</v>
      </c>
      <c r="O86">
        <f>IF(A86&lt;=BEDS,1,0)</f>
        <v>1</v>
      </c>
    </row>
    <row r="87">
      <c r="A87" t="n">
        <v>83</v>
      </c>
      <c r="B87">
        <f>IF(COST_YR_RUNG1&lt;=COST_YR_RUNG2,IF(A87&lt;=RUNG_BEDS_1,1,2),IF(A87&lt;=RUNG_BEDS_2,2,1))</f>
        <v>1</v>
      </c>
      <c r="C87" s="5">
        <f>MIN(1,MAX(0,POOL_BEDS-(A87-1)))</f>
        <v>1</v>
      </c>
      <c r="D87" s="5">
        <f>FREED*(C87+(1-C87)*PAST_POOL_PCT)</f>
        <v>252.05322714681438</v>
      </c>
      <c r="E87" s="13">
        <f>D87*(C_AVOID+ACUTE_MARGIN)</f>
        <v>254573.7594182825</v>
      </c>
      <c r="F87" s="13">
        <f>D87*(RANGE_LO+ACUTE_MARGIN)</f>
        <v>138629.2749307479</v>
      </c>
      <c r="G87" s="13">
        <f>D87*(RANGE_HI+ACUTE_MARGIN)</f>
        <v>370518.24390581716</v>
      </c>
      <c r="H87" s="13">
        <f>IF(B87=1,COST_YR_RUNG1,COST_YR_RUNG2)</f>
        <v>152394.16214437486</v>
      </c>
      <c r="I87" s="13">
        <f>E87-H87</f>
        <v>102179.59727390765</v>
      </c>
      <c r="J87" s="13">
        <f>J86+I87</f>
        <v>8480906.573734334</v>
      </c>
      <c r="K87">
        <f>IF(J87=MAX($J$4:$J$404),A87,0)</f>
        <v>0</v>
      </c>
      <c r="L87">
        <f>IF(E87&lt;H87,A87,B_MAX+1)</f>
        <v>401.0</v>
      </c>
      <c r="M87" s="13">
        <f>IF(B87=1,GRANT_RUNG1,GRANT_RUNG2)</f>
        <v>0</v>
      </c>
      <c r="N87" s="13">
        <f>OCC_DAYS*MCD_SHARE_BED*R_NF_2023-D87*MCD_SHARE_FREED*R_WAIT_2023</f>
        <v>37367.159242427646</v>
      </c>
      <c r="O87">
        <f>IF(A87&lt;=BEDS,1,0)</f>
        <v>1</v>
      </c>
    </row>
    <row r="88">
      <c r="A88" t="n">
        <v>84</v>
      </c>
      <c r="B88">
        <f>IF(COST_YR_RUNG1&lt;=COST_YR_RUNG2,IF(A88&lt;=RUNG_BEDS_1,1,2),IF(A88&lt;=RUNG_BEDS_2,2,1))</f>
        <v>1</v>
      </c>
      <c r="C88" s="5">
        <f>MIN(1,MAX(0,POOL_BEDS-(A88-1)))</f>
        <v>1</v>
      </c>
      <c r="D88" s="5">
        <f>FREED*(C88+(1-C88)*PAST_POOL_PCT)</f>
        <v>252.05322714681438</v>
      </c>
      <c r="E88" s="13">
        <f>D88*(C_AVOID+ACUTE_MARGIN)</f>
        <v>254573.7594182825</v>
      </c>
      <c r="F88" s="13">
        <f>D88*(RANGE_LO+ACUTE_MARGIN)</f>
        <v>138629.2749307479</v>
      </c>
      <c r="G88" s="13">
        <f>D88*(RANGE_HI+ACUTE_MARGIN)</f>
        <v>370518.24390581716</v>
      </c>
      <c r="H88" s="13">
        <f>IF(B88=1,COST_YR_RUNG1,COST_YR_RUNG2)</f>
        <v>152394.16214437486</v>
      </c>
      <c r="I88" s="13">
        <f>E88-H88</f>
        <v>102179.59727390765</v>
      </c>
      <c r="J88" s="13">
        <f>J87+I88</f>
        <v>8583086.171008242</v>
      </c>
      <c r="K88">
        <f>IF(J88=MAX($J$4:$J$404),A88,0)</f>
        <v>0</v>
      </c>
      <c r="L88">
        <f>IF(E88&lt;H88,A88,B_MAX+1)</f>
        <v>401.0</v>
      </c>
      <c r="M88" s="13">
        <f>IF(B88=1,GRANT_RUNG1,GRANT_RUNG2)</f>
        <v>0</v>
      </c>
      <c r="N88" s="13">
        <f>OCC_DAYS*MCD_SHARE_BED*R_NF_2023-D88*MCD_SHARE_FREED*R_WAIT_2023</f>
        <v>37367.159242427646</v>
      </c>
      <c r="O88">
        <f>IF(A88&lt;=BEDS,1,0)</f>
        <v>1</v>
      </c>
    </row>
    <row r="89">
      <c r="A89" t="n">
        <v>85</v>
      </c>
      <c r="B89">
        <f>IF(COST_YR_RUNG1&lt;=COST_YR_RUNG2,IF(A89&lt;=RUNG_BEDS_1,1,2),IF(A89&lt;=RUNG_BEDS_2,2,1))</f>
        <v>1</v>
      </c>
      <c r="C89" s="5">
        <f>MIN(1,MAX(0,POOL_BEDS-(A89-1)))</f>
        <v>1</v>
      </c>
      <c r="D89" s="5">
        <f>FREED*(C89+(1-C89)*PAST_POOL_PCT)</f>
        <v>252.05322714681438</v>
      </c>
      <c r="E89" s="13">
        <f>D89*(C_AVOID+ACUTE_MARGIN)</f>
        <v>254573.7594182825</v>
      </c>
      <c r="F89" s="13">
        <f>D89*(RANGE_LO+ACUTE_MARGIN)</f>
        <v>138629.2749307479</v>
      </c>
      <c r="G89" s="13">
        <f>D89*(RANGE_HI+ACUTE_MARGIN)</f>
        <v>370518.24390581716</v>
      </c>
      <c r="H89" s="13">
        <f>IF(B89=1,COST_YR_RUNG1,COST_YR_RUNG2)</f>
        <v>152394.16214437486</v>
      </c>
      <c r="I89" s="13">
        <f>E89-H89</f>
        <v>102179.59727390765</v>
      </c>
      <c r="J89" s="13">
        <f>J88+I89</f>
        <v>8685265.76828215</v>
      </c>
      <c r="K89">
        <f>IF(J89=MAX($J$4:$J$404),A89,0)</f>
        <v>0</v>
      </c>
      <c r="L89">
        <f>IF(E89&lt;H89,A89,B_MAX+1)</f>
        <v>401.0</v>
      </c>
      <c r="M89" s="13">
        <f>IF(B89=1,GRANT_RUNG1,GRANT_RUNG2)</f>
        <v>0</v>
      </c>
      <c r="N89" s="13">
        <f>OCC_DAYS*MCD_SHARE_BED*R_NF_2023-D89*MCD_SHARE_FREED*R_WAIT_2023</f>
        <v>37367.159242427646</v>
      </c>
      <c r="O89">
        <f>IF(A89&lt;=BEDS,1,0)</f>
        <v>1</v>
      </c>
    </row>
    <row r="90">
      <c r="A90" t="n">
        <v>86</v>
      </c>
      <c r="B90">
        <f>IF(COST_YR_RUNG1&lt;=COST_YR_RUNG2,IF(A90&lt;=RUNG_BEDS_1,1,2),IF(A90&lt;=RUNG_BEDS_2,2,1))</f>
        <v>1</v>
      </c>
      <c r="C90" s="5">
        <f>MIN(1,MAX(0,POOL_BEDS-(A90-1)))</f>
        <v>1</v>
      </c>
      <c r="D90" s="5">
        <f>FREED*(C90+(1-C90)*PAST_POOL_PCT)</f>
        <v>252.05322714681438</v>
      </c>
      <c r="E90" s="13">
        <f>D90*(C_AVOID+ACUTE_MARGIN)</f>
        <v>254573.7594182825</v>
      </c>
      <c r="F90" s="13">
        <f>D90*(RANGE_LO+ACUTE_MARGIN)</f>
        <v>138629.2749307479</v>
      </c>
      <c r="G90" s="13">
        <f>D90*(RANGE_HI+ACUTE_MARGIN)</f>
        <v>370518.24390581716</v>
      </c>
      <c r="H90" s="13">
        <f>IF(B90=1,COST_YR_RUNG1,COST_YR_RUNG2)</f>
        <v>152394.16214437486</v>
      </c>
      <c r="I90" s="13">
        <f>E90-H90</f>
        <v>102179.59727390765</v>
      </c>
      <c r="J90" s="13">
        <f>J89+I90</f>
        <v>8787445.36555606</v>
      </c>
      <c r="K90">
        <f>IF(J90=MAX($J$4:$J$404),A90,0)</f>
        <v>0</v>
      </c>
      <c r="L90">
        <f>IF(E90&lt;H90,A90,B_MAX+1)</f>
        <v>401.0</v>
      </c>
      <c r="M90" s="13">
        <f>IF(B90=1,GRANT_RUNG1,GRANT_RUNG2)</f>
        <v>0</v>
      </c>
      <c r="N90" s="13">
        <f>OCC_DAYS*MCD_SHARE_BED*R_NF_2023-D90*MCD_SHARE_FREED*R_WAIT_2023</f>
        <v>37367.159242427646</v>
      </c>
      <c r="O90">
        <f>IF(A90&lt;=BEDS,1,0)</f>
        <v>1</v>
      </c>
    </row>
    <row r="91">
      <c r="A91" t="n">
        <v>87</v>
      </c>
      <c r="B91">
        <f>IF(COST_YR_RUNG1&lt;=COST_YR_RUNG2,IF(A91&lt;=RUNG_BEDS_1,1,2),IF(A91&lt;=RUNG_BEDS_2,2,1))</f>
        <v>1</v>
      </c>
      <c r="C91" s="5">
        <f>MIN(1,MAX(0,POOL_BEDS-(A91-1)))</f>
        <v>1</v>
      </c>
      <c r="D91" s="5">
        <f>FREED*(C91+(1-C91)*PAST_POOL_PCT)</f>
        <v>252.05322714681438</v>
      </c>
      <c r="E91" s="13">
        <f>D91*(C_AVOID+ACUTE_MARGIN)</f>
        <v>254573.7594182825</v>
      </c>
      <c r="F91" s="13">
        <f>D91*(RANGE_LO+ACUTE_MARGIN)</f>
        <v>138629.2749307479</v>
      </c>
      <c r="G91" s="13">
        <f>D91*(RANGE_HI+ACUTE_MARGIN)</f>
        <v>370518.24390581716</v>
      </c>
      <c r="H91" s="13">
        <f>IF(B91=1,COST_YR_RUNG1,COST_YR_RUNG2)</f>
        <v>152394.16214437486</v>
      </c>
      <c r="I91" s="13">
        <f>E91-H91</f>
        <v>102179.59727390765</v>
      </c>
      <c r="J91" s="13">
        <f>J90+I91</f>
        <v>8889624.962829968</v>
      </c>
      <c r="K91">
        <f>IF(J91=MAX($J$4:$J$404),A91,0)</f>
        <v>0</v>
      </c>
      <c r="L91">
        <f>IF(E91&lt;H91,A91,B_MAX+1)</f>
        <v>401.0</v>
      </c>
      <c r="M91" s="13">
        <f>IF(B91=1,GRANT_RUNG1,GRANT_RUNG2)</f>
        <v>0</v>
      </c>
      <c r="N91" s="13">
        <f>OCC_DAYS*MCD_SHARE_BED*R_NF_2023-D91*MCD_SHARE_FREED*R_WAIT_2023</f>
        <v>37367.159242427646</v>
      </c>
      <c r="O91">
        <f>IF(A91&lt;=BEDS,1,0)</f>
        <v>1</v>
      </c>
    </row>
    <row r="92">
      <c r="A92" t="n">
        <v>88</v>
      </c>
      <c r="B92">
        <f>IF(COST_YR_RUNG1&lt;=COST_YR_RUNG2,IF(A92&lt;=RUNG_BEDS_1,1,2),IF(A92&lt;=RUNG_BEDS_2,2,1))</f>
        <v>1</v>
      </c>
      <c r="C92" s="5">
        <f>MIN(1,MAX(0,POOL_BEDS-(A92-1)))</f>
        <v>1</v>
      </c>
      <c r="D92" s="5">
        <f>FREED*(C92+(1-C92)*PAST_POOL_PCT)</f>
        <v>252.05322714681438</v>
      </c>
      <c r="E92" s="13">
        <f>D92*(C_AVOID+ACUTE_MARGIN)</f>
        <v>254573.7594182825</v>
      </c>
      <c r="F92" s="13">
        <f>D92*(RANGE_LO+ACUTE_MARGIN)</f>
        <v>138629.2749307479</v>
      </c>
      <c r="G92" s="13">
        <f>D92*(RANGE_HI+ACUTE_MARGIN)</f>
        <v>370518.24390581716</v>
      </c>
      <c r="H92" s="13">
        <f>IF(B92=1,COST_YR_RUNG1,COST_YR_RUNG2)</f>
        <v>152394.16214437486</v>
      </c>
      <c r="I92" s="13">
        <f>E92-H92</f>
        <v>102179.59727390765</v>
      </c>
      <c r="J92" s="13">
        <f>J91+I92</f>
        <v>8991804.560103877</v>
      </c>
      <c r="K92">
        <f>IF(J92=MAX($J$4:$J$404),A92,0)</f>
        <v>0</v>
      </c>
      <c r="L92">
        <f>IF(E92&lt;H92,A92,B_MAX+1)</f>
        <v>401.0</v>
      </c>
      <c r="M92" s="13">
        <f>IF(B92=1,GRANT_RUNG1,GRANT_RUNG2)</f>
        <v>0</v>
      </c>
      <c r="N92" s="13">
        <f>OCC_DAYS*MCD_SHARE_BED*R_NF_2023-D92*MCD_SHARE_FREED*R_WAIT_2023</f>
        <v>37367.159242427646</v>
      </c>
      <c r="O92">
        <f>IF(A92&lt;=BEDS,1,0)</f>
        <v>1</v>
      </c>
    </row>
    <row r="93">
      <c r="A93" t="n">
        <v>89</v>
      </c>
      <c r="B93">
        <f>IF(COST_YR_RUNG1&lt;=COST_YR_RUNG2,IF(A93&lt;=RUNG_BEDS_1,1,2),IF(A93&lt;=RUNG_BEDS_2,2,1))</f>
        <v>1</v>
      </c>
      <c r="C93" s="5">
        <f>MIN(1,MAX(0,POOL_BEDS-(A93-1)))</f>
        <v>1</v>
      </c>
      <c r="D93" s="5">
        <f>FREED*(C93+(1-C93)*PAST_POOL_PCT)</f>
        <v>252.05322714681438</v>
      </c>
      <c r="E93" s="13">
        <f>D93*(C_AVOID+ACUTE_MARGIN)</f>
        <v>254573.7594182825</v>
      </c>
      <c r="F93" s="13">
        <f>D93*(RANGE_LO+ACUTE_MARGIN)</f>
        <v>138629.2749307479</v>
      </c>
      <c r="G93" s="13">
        <f>D93*(RANGE_HI+ACUTE_MARGIN)</f>
        <v>370518.24390581716</v>
      </c>
      <c r="H93" s="13">
        <f>IF(B93=1,COST_YR_RUNG1,COST_YR_RUNG2)</f>
        <v>152394.16214437486</v>
      </c>
      <c r="I93" s="13">
        <f>E93-H93</f>
        <v>102179.59727390765</v>
      </c>
      <c r="J93" s="13">
        <f>J92+I93</f>
        <v>9093984.157377785</v>
      </c>
      <c r="K93">
        <f>IF(J93=MAX($J$4:$J$404),A93,0)</f>
        <v>0</v>
      </c>
      <c r="L93">
        <f>IF(E93&lt;H93,A93,B_MAX+1)</f>
        <v>401.0</v>
      </c>
      <c r="M93" s="13">
        <f>IF(B93=1,GRANT_RUNG1,GRANT_RUNG2)</f>
        <v>0</v>
      </c>
      <c r="N93" s="13">
        <f>OCC_DAYS*MCD_SHARE_BED*R_NF_2023-D93*MCD_SHARE_FREED*R_WAIT_2023</f>
        <v>37367.159242427646</v>
      </c>
      <c r="O93">
        <f>IF(A93&lt;=BEDS,1,0)</f>
        <v>1</v>
      </c>
    </row>
    <row r="94">
      <c r="A94" t="n">
        <v>90</v>
      </c>
      <c r="B94">
        <f>IF(COST_YR_RUNG1&lt;=COST_YR_RUNG2,IF(A94&lt;=RUNG_BEDS_1,1,2),IF(A94&lt;=RUNG_BEDS_2,2,1))</f>
        <v>1</v>
      </c>
      <c r="C94" s="5">
        <f>MIN(1,MAX(0,POOL_BEDS-(A94-1)))</f>
        <v>1</v>
      </c>
      <c r="D94" s="5">
        <f>FREED*(C94+(1-C94)*PAST_POOL_PCT)</f>
        <v>252.05322714681438</v>
      </c>
      <c r="E94" s="13">
        <f>D94*(C_AVOID+ACUTE_MARGIN)</f>
        <v>254573.7594182825</v>
      </c>
      <c r="F94" s="13">
        <f>D94*(RANGE_LO+ACUTE_MARGIN)</f>
        <v>138629.2749307479</v>
      </c>
      <c r="G94" s="13">
        <f>D94*(RANGE_HI+ACUTE_MARGIN)</f>
        <v>370518.24390581716</v>
      </c>
      <c r="H94" s="13">
        <f>IF(B94=1,COST_YR_RUNG1,COST_YR_RUNG2)</f>
        <v>152394.16214437486</v>
      </c>
      <c r="I94" s="13">
        <f>E94-H94</f>
        <v>102179.59727390765</v>
      </c>
      <c r="J94" s="13">
        <f>J93+I94</f>
        <v>9196163.754651694</v>
      </c>
      <c r="K94">
        <f>IF(J94=MAX($J$4:$J$404),A94,0)</f>
        <v>0</v>
      </c>
      <c r="L94">
        <f>IF(E94&lt;H94,A94,B_MAX+1)</f>
        <v>401.0</v>
      </c>
      <c r="M94" s="13">
        <f>IF(B94=1,GRANT_RUNG1,GRANT_RUNG2)</f>
        <v>0</v>
      </c>
      <c r="N94" s="13">
        <f>OCC_DAYS*MCD_SHARE_BED*R_NF_2023-D94*MCD_SHARE_FREED*R_WAIT_2023</f>
        <v>37367.159242427646</v>
      </c>
      <c r="O94">
        <f>IF(A94&lt;=BEDS,1,0)</f>
        <v>1</v>
      </c>
    </row>
    <row r="95">
      <c r="A95" t="n">
        <v>91</v>
      </c>
      <c r="B95">
        <f>IF(COST_YR_RUNG1&lt;=COST_YR_RUNG2,IF(A95&lt;=RUNG_BEDS_1,1,2),IF(A95&lt;=RUNG_BEDS_2,2,1))</f>
        <v>1</v>
      </c>
      <c r="C95" s="5">
        <f>MIN(1,MAX(0,POOL_BEDS-(A95-1)))</f>
        <v>1</v>
      </c>
      <c r="D95" s="5">
        <f>FREED*(C95+(1-C95)*PAST_POOL_PCT)</f>
        <v>252.05322714681438</v>
      </c>
      <c r="E95" s="13">
        <f>D95*(C_AVOID+ACUTE_MARGIN)</f>
        <v>254573.7594182825</v>
      </c>
      <c r="F95" s="13">
        <f>D95*(RANGE_LO+ACUTE_MARGIN)</f>
        <v>138629.2749307479</v>
      </c>
      <c r="G95" s="13">
        <f>D95*(RANGE_HI+ACUTE_MARGIN)</f>
        <v>370518.24390581716</v>
      </c>
      <c r="H95" s="13">
        <f>IF(B95=1,COST_YR_RUNG1,COST_YR_RUNG2)</f>
        <v>152394.16214437486</v>
      </c>
      <c r="I95" s="13">
        <f>E95-H95</f>
        <v>102179.59727390765</v>
      </c>
      <c r="J95" s="13">
        <f>J94+I95</f>
        <v>9298343.351925602</v>
      </c>
      <c r="K95">
        <f>IF(J95=MAX($J$4:$J$404),A95,0)</f>
        <v>0</v>
      </c>
      <c r="L95">
        <f>IF(E95&lt;H95,A95,B_MAX+1)</f>
        <v>401.0</v>
      </c>
      <c r="M95" s="13">
        <f>IF(B95=1,GRANT_RUNG1,GRANT_RUNG2)</f>
        <v>0</v>
      </c>
      <c r="N95" s="13">
        <f>OCC_DAYS*MCD_SHARE_BED*R_NF_2023-D95*MCD_SHARE_FREED*R_WAIT_2023</f>
        <v>37367.159242427646</v>
      </c>
      <c r="O95">
        <f>IF(A95&lt;=BEDS,1,0)</f>
        <v>1</v>
      </c>
    </row>
    <row r="96">
      <c r="A96" t="n">
        <v>92</v>
      </c>
      <c r="B96">
        <f>IF(COST_YR_RUNG1&lt;=COST_YR_RUNG2,IF(A96&lt;=RUNG_BEDS_1,1,2),IF(A96&lt;=RUNG_BEDS_2,2,1))</f>
        <v>1</v>
      </c>
      <c r="C96" s="5">
        <f>MIN(1,MAX(0,POOL_BEDS-(A96-1)))</f>
        <v>1</v>
      </c>
      <c r="D96" s="5">
        <f>FREED*(C96+(1-C96)*PAST_POOL_PCT)</f>
        <v>252.05322714681438</v>
      </c>
      <c r="E96" s="13">
        <f>D96*(C_AVOID+ACUTE_MARGIN)</f>
        <v>254573.7594182825</v>
      </c>
      <c r="F96" s="13">
        <f>D96*(RANGE_LO+ACUTE_MARGIN)</f>
        <v>138629.2749307479</v>
      </c>
      <c r="G96" s="13">
        <f>D96*(RANGE_HI+ACUTE_MARGIN)</f>
        <v>370518.24390581716</v>
      </c>
      <c r="H96" s="13">
        <f>IF(B96=1,COST_YR_RUNG1,COST_YR_RUNG2)</f>
        <v>152394.16214437486</v>
      </c>
      <c r="I96" s="13">
        <f>E96-H96</f>
        <v>102179.59727390765</v>
      </c>
      <c r="J96" s="13">
        <f>J95+I96</f>
        <v>9400522.94919951</v>
      </c>
      <c r="K96">
        <f>IF(J96=MAX($J$4:$J$404),A96,0)</f>
        <v>0</v>
      </c>
      <c r="L96">
        <f>IF(E96&lt;H96,A96,B_MAX+1)</f>
        <v>401.0</v>
      </c>
      <c r="M96" s="13">
        <f>IF(B96=1,GRANT_RUNG1,GRANT_RUNG2)</f>
        <v>0</v>
      </c>
      <c r="N96" s="13">
        <f>OCC_DAYS*MCD_SHARE_BED*R_NF_2023-D96*MCD_SHARE_FREED*R_WAIT_2023</f>
        <v>37367.159242427646</v>
      </c>
      <c r="O96">
        <f>IF(A96&lt;=BEDS,1,0)</f>
        <v>1</v>
      </c>
    </row>
    <row r="97">
      <c r="A97" t="n">
        <v>93</v>
      </c>
      <c r="B97">
        <f>IF(COST_YR_RUNG1&lt;=COST_YR_RUNG2,IF(A97&lt;=RUNG_BEDS_1,1,2),IF(A97&lt;=RUNG_BEDS_2,2,1))</f>
        <v>1</v>
      </c>
      <c r="C97" s="5">
        <f>MIN(1,MAX(0,POOL_BEDS-(A97-1)))</f>
        <v>1</v>
      </c>
      <c r="D97" s="5">
        <f>FREED*(C97+(1-C97)*PAST_POOL_PCT)</f>
        <v>252.05322714681438</v>
      </c>
      <c r="E97" s="13">
        <f>D97*(C_AVOID+ACUTE_MARGIN)</f>
        <v>254573.7594182825</v>
      </c>
      <c r="F97" s="13">
        <f>D97*(RANGE_LO+ACUTE_MARGIN)</f>
        <v>138629.2749307479</v>
      </c>
      <c r="G97" s="13">
        <f>D97*(RANGE_HI+ACUTE_MARGIN)</f>
        <v>370518.24390581716</v>
      </c>
      <c r="H97" s="13">
        <f>IF(B97=1,COST_YR_RUNG1,COST_YR_RUNG2)</f>
        <v>152394.16214437486</v>
      </c>
      <c r="I97" s="13">
        <f>E97-H97</f>
        <v>102179.59727390765</v>
      </c>
      <c r="J97" s="13">
        <f>J96+I97</f>
        <v>9502702.54647342</v>
      </c>
      <c r="K97">
        <f>IF(J97=MAX($J$4:$J$404),A97,0)</f>
        <v>0</v>
      </c>
      <c r="L97">
        <f>IF(E97&lt;H97,A97,B_MAX+1)</f>
        <v>401.0</v>
      </c>
      <c r="M97" s="13">
        <f>IF(B97=1,GRANT_RUNG1,GRANT_RUNG2)</f>
        <v>0</v>
      </c>
      <c r="N97" s="13">
        <f>OCC_DAYS*MCD_SHARE_BED*R_NF_2023-D97*MCD_SHARE_FREED*R_WAIT_2023</f>
        <v>37367.159242427646</v>
      </c>
      <c r="O97">
        <f>IF(A97&lt;=BEDS,1,0)</f>
        <v>1</v>
      </c>
    </row>
    <row r="98">
      <c r="A98" t="n">
        <v>94</v>
      </c>
      <c r="B98">
        <f>IF(COST_YR_RUNG1&lt;=COST_YR_RUNG2,IF(A98&lt;=RUNG_BEDS_1,1,2),IF(A98&lt;=RUNG_BEDS_2,2,1))</f>
        <v>1</v>
      </c>
      <c r="C98" s="5">
        <f>MIN(1,MAX(0,POOL_BEDS-(A98-1)))</f>
        <v>1</v>
      </c>
      <c r="D98" s="5">
        <f>FREED*(C98+(1-C98)*PAST_POOL_PCT)</f>
        <v>252.05322714681438</v>
      </c>
      <c r="E98" s="13">
        <f>D98*(C_AVOID+ACUTE_MARGIN)</f>
        <v>254573.7594182825</v>
      </c>
      <c r="F98" s="13">
        <f>D98*(RANGE_LO+ACUTE_MARGIN)</f>
        <v>138629.2749307479</v>
      </c>
      <c r="G98" s="13">
        <f>D98*(RANGE_HI+ACUTE_MARGIN)</f>
        <v>370518.24390581716</v>
      </c>
      <c r="H98" s="13">
        <f>IF(B98=1,COST_YR_RUNG1,COST_YR_RUNG2)</f>
        <v>152394.16214437486</v>
      </c>
      <c r="I98" s="13">
        <f>E98-H98</f>
        <v>102179.59727390765</v>
      </c>
      <c r="J98" s="13">
        <f>J97+I98</f>
        <v>9604882.143747328</v>
      </c>
      <c r="K98">
        <f>IF(J98=MAX($J$4:$J$404),A98,0)</f>
        <v>0</v>
      </c>
      <c r="L98">
        <f>IF(E98&lt;H98,A98,B_MAX+1)</f>
        <v>401.0</v>
      </c>
      <c r="M98" s="13">
        <f>IF(B98=1,GRANT_RUNG1,GRANT_RUNG2)</f>
        <v>0</v>
      </c>
      <c r="N98" s="13">
        <f>OCC_DAYS*MCD_SHARE_BED*R_NF_2023-D98*MCD_SHARE_FREED*R_WAIT_2023</f>
        <v>37367.159242427646</v>
      </c>
      <c r="O98">
        <f>IF(A98&lt;=BEDS,1,0)</f>
        <v>1</v>
      </c>
    </row>
    <row r="99">
      <c r="A99" t="n">
        <v>95</v>
      </c>
      <c r="B99">
        <f>IF(COST_YR_RUNG1&lt;=COST_YR_RUNG2,IF(A99&lt;=RUNG_BEDS_1,1,2),IF(A99&lt;=RUNG_BEDS_2,2,1))</f>
        <v>1</v>
      </c>
      <c r="C99" s="5">
        <f>MIN(1,MAX(0,POOL_BEDS-(A99-1)))</f>
        <v>1</v>
      </c>
      <c r="D99" s="5">
        <f>FREED*(C99+(1-C99)*PAST_POOL_PCT)</f>
        <v>252.05322714681438</v>
      </c>
      <c r="E99" s="13">
        <f>D99*(C_AVOID+ACUTE_MARGIN)</f>
        <v>254573.7594182825</v>
      </c>
      <c r="F99" s="13">
        <f>D99*(RANGE_LO+ACUTE_MARGIN)</f>
        <v>138629.2749307479</v>
      </c>
      <c r="G99" s="13">
        <f>D99*(RANGE_HI+ACUTE_MARGIN)</f>
        <v>370518.24390581716</v>
      </c>
      <c r="H99" s="13">
        <f>IF(B99=1,COST_YR_RUNG1,COST_YR_RUNG2)</f>
        <v>152394.16214437486</v>
      </c>
      <c r="I99" s="13">
        <f>E99-H99</f>
        <v>102179.59727390765</v>
      </c>
      <c r="J99" s="13">
        <f>J98+I99</f>
        <v>9707061.741021236</v>
      </c>
      <c r="K99">
        <f>IF(J99=MAX($J$4:$J$404),A99,0)</f>
        <v>0</v>
      </c>
      <c r="L99">
        <f>IF(E99&lt;H99,A99,B_MAX+1)</f>
        <v>401.0</v>
      </c>
      <c r="M99" s="13">
        <f>IF(B99=1,GRANT_RUNG1,GRANT_RUNG2)</f>
        <v>0</v>
      </c>
      <c r="N99" s="13">
        <f>OCC_DAYS*MCD_SHARE_BED*R_NF_2023-D99*MCD_SHARE_FREED*R_WAIT_2023</f>
        <v>37367.159242427646</v>
      </c>
      <c r="O99">
        <f>IF(A99&lt;=BEDS,1,0)</f>
        <v>1</v>
      </c>
    </row>
    <row r="100">
      <c r="A100" t="n">
        <v>96</v>
      </c>
      <c r="B100">
        <f>IF(COST_YR_RUNG1&lt;=COST_YR_RUNG2,IF(A100&lt;=RUNG_BEDS_1,1,2),IF(A100&lt;=RUNG_BEDS_2,2,1))</f>
        <v>1</v>
      </c>
      <c r="C100" s="5">
        <f>MIN(1,MAX(0,POOL_BEDS-(A100-1)))</f>
        <v>1</v>
      </c>
      <c r="D100" s="5">
        <f>FREED*(C100+(1-C100)*PAST_POOL_PCT)</f>
        <v>252.05322714681438</v>
      </c>
      <c r="E100" s="13">
        <f>D100*(C_AVOID+ACUTE_MARGIN)</f>
        <v>254573.7594182825</v>
      </c>
      <c r="F100" s="13">
        <f>D100*(RANGE_LO+ACUTE_MARGIN)</f>
        <v>138629.2749307479</v>
      </c>
      <c r="G100" s="13">
        <f>D100*(RANGE_HI+ACUTE_MARGIN)</f>
        <v>370518.24390581716</v>
      </c>
      <c r="H100" s="13">
        <f>IF(B100=1,COST_YR_RUNG1,COST_YR_RUNG2)</f>
        <v>152394.16214437486</v>
      </c>
      <c r="I100" s="13">
        <f>E100-H100</f>
        <v>102179.59727390765</v>
      </c>
      <c r="J100" s="13">
        <f>J99+I100</f>
        <v>9809241.338295145</v>
      </c>
      <c r="K100">
        <f>IF(J100=MAX($J$4:$J$404),A100,0)</f>
        <v>0</v>
      </c>
      <c r="L100">
        <f>IF(E100&lt;H100,A100,B_MAX+1)</f>
        <v>401.0</v>
      </c>
      <c r="M100" s="13">
        <f>IF(B100=1,GRANT_RUNG1,GRANT_RUNG2)</f>
        <v>0</v>
      </c>
      <c r="N100" s="13">
        <f>OCC_DAYS*MCD_SHARE_BED*R_NF_2023-D100*MCD_SHARE_FREED*R_WAIT_2023</f>
        <v>37367.159242427646</v>
      </c>
      <c r="O100">
        <f>IF(A100&lt;=BEDS,1,0)</f>
        <v>1</v>
      </c>
    </row>
    <row r="101">
      <c r="A101" t="n">
        <v>97</v>
      </c>
      <c r="B101">
        <f>IF(COST_YR_RUNG1&lt;=COST_YR_RUNG2,IF(A101&lt;=RUNG_BEDS_1,1,2),IF(A101&lt;=RUNG_BEDS_2,2,1))</f>
        <v>1</v>
      </c>
      <c r="C101" s="5">
        <f>MIN(1,MAX(0,POOL_BEDS-(A101-1)))</f>
        <v>1</v>
      </c>
      <c r="D101" s="5">
        <f>FREED*(C101+(1-C101)*PAST_POOL_PCT)</f>
        <v>252.05322714681438</v>
      </c>
      <c r="E101" s="13">
        <f>D101*(C_AVOID+ACUTE_MARGIN)</f>
        <v>254573.7594182825</v>
      </c>
      <c r="F101" s="13">
        <f>D101*(RANGE_LO+ACUTE_MARGIN)</f>
        <v>138629.2749307479</v>
      </c>
      <c r="G101" s="13">
        <f>D101*(RANGE_HI+ACUTE_MARGIN)</f>
        <v>370518.24390581716</v>
      </c>
      <c r="H101" s="13">
        <f>IF(B101=1,COST_YR_RUNG1,COST_YR_RUNG2)</f>
        <v>152394.16214437486</v>
      </c>
      <c r="I101" s="13">
        <f>E101-H101</f>
        <v>102179.59727390765</v>
      </c>
      <c r="J101" s="13">
        <f>J100+I101</f>
        <v>9911420.935569054</v>
      </c>
      <c r="K101">
        <f>IF(J101=MAX($J$4:$J$404),A101,0)</f>
        <v>0</v>
      </c>
      <c r="L101">
        <f>IF(E101&lt;H101,A101,B_MAX+1)</f>
        <v>401.0</v>
      </c>
      <c r="M101" s="13">
        <f>IF(B101=1,GRANT_RUNG1,GRANT_RUNG2)</f>
        <v>0</v>
      </c>
      <c r="N101" s="13">
        <f>OCC_DAYS*MCD_SHARE_BED*R_NF_2023-D101*MCD_SHARE_FREED*R_WAIT_2023</f>
        <v>37367.159242427646</v>
      </c>
      <c r="O101">
        <f>IF(A101&lt;=BEDS,1,0)</f>
        <v>1</v>
      </c>
    </row>
    <row r="102">
      <c r="A102" t="n">
        <v>98</v>
      </c>
      <c r="B102">
        <f>IF(COST_YR_RUNG1&lt;=COST_YR_RUNG2,IF(A102&lt;=RUNG_BEDS_1,1,2),IF(A102&lt;=RUNG_BEDS_2,2,1))</f>
        <v>1</v>
      </c>
      <c r="C102" s="5">
        <f>MIN(1,MAX(0,POOL_BEDS-(A102-1)))</f>
        <v>1</v>
      </c>
      <c r="D102" s="5">
        <f>FREED*(C102+(1-C102)*PAST_POOL_PCT)</f>
        <v>252.05322714681438</v>
      </c>
      <c r="E102" s="13">
        <f>D102*(C_AVOID+ACUTE_MARGIN)</f>
        <v>254573.7594182825</v>
      </c>
      <c r="F102" s="13">
        <f>D102*(RANGE_LO+ACUTE_MARGIN)</f>
        <v>138629.2749307479</v>
      </c>
      <c r="G102" s="13">
        <f>D102*(RANGE_HI+ACUTE_MARGIN)</f>
        <v>370518.24390581716</v>
      </c>
      <c r="H102" s="13">
        <f>IF(B102=1,COST_YR_RUNG1,COST_YR_RUNG2)</f>
        <v>152394.16214437486</v>
      </c>
      <c r="I102" s="13">
        <f>E102-H102</f>
        <v>102179.59727390765</v>
      </c>
      <c r="J102" s="13">
        <f>J101+I102</f>
        <v>10013600.532842962</v>
      </c>
      <c r="K102">
        <f>IF(J102=MAX($J$4:$J$404),A102,0)</f>
        <v>0</v>
      </c>
      <c r="L102">
        <f>IF(E102&lt;H102,A102,B_MAX+1)</f>
        <v>401.0</v>
      </c>
      <c r="M102" s="13">
        <f>IF(B102=1,GRANT_RUNG1,GRANT_RUNG2)</f>
        <v>0</v>
      </c>
      <c r="N102" s="13">
        <f>OCC_DAYS*MCD_SHARE_BED*R_NF_2023-D102*MCD_SHARE_FREED*R_WAIT_2023</f>
        <v>37367.159242427646</v>
      </c>
      <c r="O102">
        <f>IF(A102&lt;=BEDS,1,0)</f>
        <v>1</v>
      </c>
    </row>
    <row r="103">
      <c r="A103" t="n">
        <v>99</v>
      </c>
      <c r="B103">
        <f>IF(COST_YR_RUNG1&lt;=COST_YR_RUNG2,IF(A103&lt;=RUNG_BEDS_1,1,2),IF(A103&lt;=RUNG_BEDS_2,2,1))</f>
        <v>1</v>
      </c>
      <c r="C103" s="5">
        <f>MIN(1,MAX(0,POOL_BEDS-(A103-1)))</f>
        <v>1</v>
      </c>
      <c r="D103" s="5">
        <f>FREED*(C103+(1-C103)*PAST_POOL_PCT)</f>
        <v>252.05322714681438</v>
      </c>
      <c r="E103" s="13">
        <f>D103*(C_AVOID+ACUTE_MARGIN)</f>
        <v>254573.7594182825</v>
      </c>
      <c r="F103" s="13">
        <f>D103*(RANGE_LO+ACUTE_MARGIN)</f>
        <v>138629.2749307479</v>
      </c>
      <c r="G103" s="13">
        <f>D103*(RANGE_HI+ACUTE_MARGIN)</f>
        <v>370518.24390581716</v>
      </c>
      <c r="H103" s="13">
        <f>IF(B103=1,COST_YR_RUNG1,COST_YR_RUNG2)</f>
        <v>152394.16214437486</v>
      </c>
      <c r="I103" s="13">
        <f>E103-H103</f>
        <v>102179.59727390765</v>
      </c>
      <c r="J103" s="13">
        <f>J102+I103</f>
        <v>10115780.13011687</v>
      </c>
      <c r="K103">
        <f>IF(J103=MAX($J$4:$J$404),A103,0)</f>
        <v>0</v>
      </c>
      <c r="L103">
        <f>IF(E103&lt;H103,A103,B_MAX+1)</f>
        <v>401.0</v>
      </c>
      <c r="M103" s="13">
        <f>IF(B103=1,GRANT_RUNG1,GRANT_RUNG2)</f>
        <v>0</v>
      </c>
      <c r="N103" s="13">
        <f>OCC_DAYS*MCD_SHARE_BED*R_NF_2023-D103*MCD_SHARE_FREED*R_WAIT_2023</f>
        <v>37367.159242427646</v>
      </c>
      <c r="O103">
        <f>IF(A103&lt;=BEDS,1,0)</f>
        <v>1</v>
      </c>
    </row>
    <row r="104">
      <c r="A104" t="n">
        <v>100</v>
      </c>
      <c r="B104">
        <f>IF(COST_YR_RUNG1&lt;=COST_YR_RUNG2,IF(A104&lt;=RUNG_BEDS_1,1,2),IF(A104&lt;=RUNG_BEDS_2,2,1))</f>
        <v>1</v>
      </c>
      <c r="C104" s="5">
        <f>MIN(1,MAX(0,POOL_BEDS-(A104-1)))</f>
        <v>1</v>
      </c>
      <c r="D104" s="5">
        <f>FREED*(C104+(1-C104)*PAST_POOL_PCT)</f>
        <v>252.05322714681438</v>
      </c>
      <c r="E104" s="13">
        <f>D104*(C_AVOID+ACUTE_MARGIN)</f>
        <v>254573.7594182825</v>
      </c>
      <c r="F104" s="13">
        <f>D104*(RANGE_LO+ACUTE_MARGIN)</f>
        <v>138629.2749307479</v>
      </c>
      <c r="G104" s="13">
        <f>D104*(RANGE_HI+ACUTE_MARGIN)</f>
        <v>370518.24390581716</v>
      </c>
      <c r="H104" s="13">
        <f>IF(B104=1,COST_YR_RUNG1,COST_YR_RUNG2)</f>
        <v>152394.16214437486</v>
      </c>
      <c r="I104" s="13">
        <f>E104-H104</f>
        <v>102179.59727390765</v>
      </c>
      <c r="J104" s="13">
        <f>J103+I104</f>
        <v>10217959.72739078</v>
      </c>
      <c r="K104">
        <f>IF(J104=MAX($J$4:$J$404),A104,0)</f>
        <v>0</v>
      </c>
      <c r="L104">
        <f>IF(E104&lt;H104,A104,B_MAX+1)</f>
        <v>401.0</v>
      </c>
      <c r="M104" s="13">
        <f>IF(B104=1,GRANT_RUNG1,GRANT_RUNG2)</f>
        <v>0</v>
      </c>
      <c r="N104" s="13">
        <f>OCC_DAYS*MCD_SHARE_BED*R_NF_2023-D104*MCD_SHARE_FREED*R_WAIT_2023</f>
        <v>37367.159242427646</v>
      </c>
      <c r="O104">
        <f>IF(A104&lt;=BEDS,1,0)</f>
        <v>1</v>
      </c>
    </row>
    <row r="105">
      <c r="A105" t="n">
        <v>101</v>
      </c>
      <c r="B105">
        <f>IF(COST_YR_RUNG1&lt;=COST_YR_RUNG2,IF(A105&lt;=RUNG_BEDS_1,1,2),IF(A105&lt;=RUNG_BEDS_2,2,1))</f>
        <v>1</v>
      </c>
      <c r="C105" s="5">
        <f>MIN(1,MAX(0,POOL_BEDS-(A105-1)))</f>
        <v>1</v>
      </c>
      <c r="D105" s="5">
        <f>FREED*(C105+(1-C105)*PAST_POOL_PCT)</f>
        <v>252.05322714681438</v>
      </c>
      <c r="E105" s="13">
        <f>D105*(C_AVOID+ACUTE_MARGIN)</f>
        <v>254573.7594182825</v>
      </c>
      <c r="F105" s="13">
        <f>D105*(RANGE_LO+ACUTE_MARGIN)</f>
        <v>138629.2749307479</v>
      </c>
      <c r="G105" s="13">
        <f>D105*(RANGE_HI+ACUTE_MARGIN)</f>
        <v>370518.24390581716</v>
      </c>
      <c r="H105" s="13">
        <f>IF(B105=1,COST_YR_RUNG1,COST_YR_RUNG2)</f>
        <v>152394.16214437486</v>
      </c>
      <c r="I105" s="13">
        <f>E105-H105</f>
        <v>102179.59727390765</v>
      </c>
      <c r="J105" s="13">
        <f>J104+I105</f>
        <v>10320139.324664688</v>
      </c>
      <c r="K105">
        <f>IF(J105=MAX($J$4:$J$404),A105,0)</f>
        <v>0</v>
      </c>
      <c r="L105">
        <f>IF(E105&lt;H105,A105,B_MAX+1)</f>
        <v>401.0</v>
      </c>
      <c r="M105" s="13">
        <f>IF(B105=1,GRANT_RUNG1,GRANT_RUNG2)</f>
        <v>0</v>
      </c>
      <c r="N105" s="13">
        <f>OCC_DAYS*MCD_SHARE_BED*R_NF_2023-D105*MCD_SHARE_FREED*R_WAIT_2023</f>
        <v>37367.159242427646</v>
      </c>
      <c r="O105">
        <f>IF(A105&lt;=BEDS,1,0)</f>
        <v>1</v>
      </c>
    </row>
    <row r="106">
      <c r="A106" t="n">
        <v>102</v>
      </c>
      <c r="B106">
        <f>IF(COST_YR_RUNG1&lt;=COST_YR_RUNG2,IF(A106&lt;=RUNG_BEDS_1,1,2),IF(A106&lt;=RUNG_BEDS_2,2,1))</f>
        <v>1</v>
      </c>
      <c r="C106" s="5">
        <f>MIN(1,MAX(0,POOL_BEDS-(A106-1)))</f>
        <v>1</v>
      </c>
      <c r="D106" s="5">
        <f>FREED*(C106+(1-C106)*PAST_POOL_PCT)</f>
        <v>252.05322714681438</v>
      </c>
      <c r="E106" s="13">
        <f>D106*(C_AVOID+ACUTE_MARGIN)</f>
        <v>254573.7594182825</v>
      </c>
      <c r="F106" s="13">
        <f>D106*(RANGE_LO+ACUTE_MARGIN)</f>
        <v>138629.2749307479</v>
      </c>
      <c r="G106" s="13">
        <f>D106*(RANGE_HI+ACUTE_MARGIN)</f>
        <v>370518.24390581716</v>
      </c>
      <c r="H106" s="13">
        <f>IF(B106=1,COST_YR_RUNG1,COST_YR_RUNG2)</f>
        <v>152394.16214437486</v>
      </c>
      <c r="I106" s="13">
        <f>E106-H106</f>
        <v>102179.59727390765</v>
      </c>
      <c r="J106" s="13">
        <f>J105+I106</f>
        <v>10422318.921938596</v>
      </c>
      <c r="K106">
        <f>IF(J106=MAX($J$4:$J$404),A106,0)</f>
        <v>0</v>
      </c>
      <c r="L106">
        <f>IF(E106&lt;H106,A106,B_MAX+1)</f>
        <v>401.0</v>
      </c>
      <c r="M106" s="13">
        <f>IF(B106=1,GRANT_RUNG1,GRANT_RUNG2)</f>
        <v>0</v>
      </c>
      <c r="N106" s="13">
        <f>OCC_DAYS*MCD_SHARE_BED*R_NF_2023-D106*MCD_SHARE_FREED*R_WAIT_2023</f>
        <v>37367.159242427646</v>
      </c>
      <c r="O106">
        <f>IF(A106&lt;=BEDS,1,0)</f>
        <v>1</v>
      </c>
    </row>
    <row r="107">
      <c r="A107" t="n">
        <v>103</v>
      </c>
      <c r="B107">
        <f>IF(COST_YR_RUNG1&lt;=COST_YR_RUNG2,IF(A107&lt;=RUNG_BEDS_1,1,2),IF(A107&lt;=RUNG_BEDS_2,2,1))</f>
        <v>1</v>
      </c>
      <c r="C107" s="5">
        <f>MIN(1,MAX(0,POOL_BEDS-(A107-1)))</f>
        <v>1</v>
      </c>
      <c r="D107" s="5">
        <f>FREED*(C107+(1-C107)*PAST_POOL_PCT)</f>
        <v>252.05322714681438</v>
      </c>
      <c r="E107" s="13">
        <f>D107*(C_AVOID+ACUTE_MARGIN)</f>
        <v>254573.7594182825</v>
      </c>
      <c r="F107" s="13">
        <f>D107*(RANGE_LO+ACUTE_MARGIN)</f>
        <v>138629.2749307479</v>
      </c>
      <c r="G107" s="13">
        <f>D107*(RANGE_HI+ACUTE_MARGIN)</f>
        <v>370518.24390581716</v>
      </c>
      <c r="H107" s="13">
        <f>IF(B107=1,COST_YR_RUNG1,COST_YR_RUNG2)</f>
        <v>152394.16214437486</v>
      </c>
      <c r="I107" s="13">
        <f>E107-H107</f>
        <v>102179.59727390765</v>
      </c>
      <c r="J107" s="13">
        <f>J106+I107</f>
        <v>10524498.519212505</v>
      </c>
      <c r="K107">
        <f>IF(J107=MAX($J$4:$J$404),A107,0)</f>
        <v>0</v>
      </c>
      <c r="L107">
        <f>IF(E107&lt;H107,A107,B_MAX+1)</f>
        <v>401.0</v>
      </c>
      <c r="M107" s="13">
        <f>IF(B107=1,GRANT_RUNG1,GRANT_RUNG2)</f>
        <v>0</v>
      </c>
      <c r="N107" s="13">
        <f>OCC_DAYS*MCD_SHARE_BED*R_NF_2023-D107*MCD_SHARE_FREED*R_WAIT_2023</f>
        <v>37367.159242427646</v>
      </c>
      <c r="O107">
        <f>IF(A107&lt;=BEDS,1,0)</f>
        <v>1</v>
      </c>
    </row>
    <row r="108">
      <c r="A108" t="n">
        <v>104</v>
      </c>
      <c r="B108">
        <f>IF(COST_YR_RUNG1&lt;=COST_YR_RUNG2,IF(A108&lt;=RUNG_BEDS_1,1,2),IF(A108&lt;=RUNG_BEDS_2,2,1))</f>
        <v>1</v>
      </c>
      <c r="C108" s="5">
        <f>MIN(1,MAX(0,POOL_BEDS-(A108-1)))</f>
        <v>1</v>
      </c>
      <c r="D108" s="5">
        <f>FREED*(C108+(1-C108)*PAST_POOL_PCT)</f>
        <v>252.05322714681438</v>
      </c>
      <c r="E108" s="13">
        <f>D108*(C_AVOID+ACUTE_MARGIN)</f>
        <v>254573.7594182825</v>
      </c>
      <c r="F108" s="13">
        <f>D108*(RANGE_LO+ACUTE_MARGIN)</f>
        <v>138629.2749307479</v>
      </c>
      <c r="G108" s="13">
        <f>D108*(RANGE_HI+ACUTE_MARGIN)</f>
        <v>370518.24390581716</v>
      </c>
      <c r="H108" s="13">
        <f>IF(B108=1,COST_YR_RUNG1,COST_YR_RUNG2)</f>
        <v>152394.16214437486</v>
      </c>
      <c r="I108" s="13">
        <f>E108-H108</f>
        <v>102179.59727390765</v>
      </c>
      <c r="J108" s="13">
        <f>J107+I108</f>
        <v>10626678.116486413</v>
      </c>
      <c r="K108">
        <f>IF(J108=MAX($J$4:$J$404),A108,0)</f>
        <v>0</v>
      </c>
      <c r="L108">
        <f>IF(E108&lt;H108,A108,B_MAX+1)</f>
        <v>401.0</v>
      </c>
      <c r="M108" s="13">
        <f>IF(B108=1,GRANT_RUNG1,GRANT_RUNG2)</f>
        <v>0</v>
      </c>
      <c r="N108" s="13">
        <f>OCC_DAYS*MCD_SHARE_BED*R_NF_2023-D108*MCD_SHARE_FREED*R_WAIT_2023</f>
        <v>37367.159242427646</v>
      </c>
      <c r="O108">
        <f>IF(A108&lt;=BEDS,1,0)</f>
        <v>1</v>
      </c>
    </row>
    <row r="109">
      <c r="A109" t="n">
        <v>105</v>
      </c>
      <c r="B109">
        <f>IF(COST_YR_RUNG1&lt;=COST_YR_RUNG2,IF(A109&lt;=RUNG_BEDS_1,1,2),IF(A109&lt;=RUNG_BEDS_2,2,1))</f>
        <v>1</v>
      </c>
      <c r="C109" s="5">
        <f>MIN(1,MAX(0,POOL_BEDS-(A109-1)))</f>
        <v>1</v>
      </c>
      <c r="D109" s="5">
        <f>FREED*(C109+(1-C109)*PAST_POOL_PCT)</f>
        <v>252.05322714681438</v>
      </c>
      <c r="E109" s="13">
        <f>D109*(C_AVOID+ACUTE_MARGIN)</f>
        <v>254573.7594182825</v>
      </c>
      <c r="F109" s="13">
        <f>D109*(RANGE_LO+ACUTE_MARGIN)</f>
        <v>138629.2749307479</v>
      </c>
      <c r="G109" s="13">
        <f>D109*(RANGE_HI+ACUTE_MARGIN)</f>
        <v>370518.24390581716</v>
      </c>
      <c r="H109" s="13">
        <f>IF(B109=1,COST_YR_RUNG1,COST_YR_RUNG2)</f>
        <v>152394.16214437486</v>
      </c>
      <c r="I109" s="13">
        <f>E109-H109</f>
        <v>102179.59727390765</v>
      </c>
      <c r="J109" s="13">
        <f>J108+I109</f>
        <v>10728857.713760322</v>
      </c>
      <c r="K109">
        <f>IF(J109=MAX($J$4:$J$404),A109,0)</f>
        <v>0</v>
      </c>
      <c r="L109">
        <f>IF(E109&lt;H109,A109,B_MAX+1)</f>
        <v>401.0</v>
      </c>
      <c r="M109" s="13">
        <f>IF(B109=1,GRANT_RUNG1,GRANT_RUNG2)</f>
        <v>0</v>
      </c>
      <c r="N109" s="13">
        <f>OCC_DAYS*MCD_SHARE_BED*R_NF_2023-D109*MCD_SHARE_FREED*R_WAIT_2023</f>
        <v>37367.159242427646</v>
      </c>
      <c r="O109">
        <f>IF(A109&lt;=BEDS,1,0)</f>
        <v>1</v>
      </c>
    </row>
    <row r="110">
      <c r="A110" t="n">
        <v>106</v>
      </c>
      <c r="B110">
        <f>IF(COST_YR_RUNG1&lt;=COST_YR_RUNG2,IF(A110&lt;=RUNG_BEDS_1,1,2),IF(A110&lt;=RUNG_BEDS_2,2,1))</f>
        <v>1</v>
      </c>
      <c r="C110" s="5">
        <f>MIN(1,MAX(0,POOL_BEDS-(A110-1)))</f>
        <v>1</v>
      </c>
      <c r="D110" s="5">
        <f>FREED*(C110+(1-C110)*PAST_POOL_PCT)</f>
        <v>252.05322714681438</v>
      </c>
      <c r="E110" s="13">
        <f>D110*(C_AVOID+ACUTE_MARGIN)</f>
        <v>254573.7594182825</v>
      </c>
      <c r="F110" s="13">
        <f>D110*(RANGE_LO+ACUTE_MARGIN)</f>
        <v>138629.2749307479</v>
      </c>
      <c r="G110" s="13">
        <f>D110*(RANGE_HI+ACUTE_MARGIN)</f>
        <v>370518.24390581716</v>
      </c>
      <c r="H110" s="13">
        <f>IF(B110=1,COST_YR_RUNG1,COST_YR_RUNG2)</f>
        <v>152394.16214437486</v>
      </c>
      <c r="I110" s="13">
        <f>E110-H110</f>
        <v>102179.59727390765</v>
      </c>
      <c r="J110" s="13">
        <f>J109+I110</f>
        <v>10831037.31103423</v>
      </c>
      <c r="K110">
        <f>IF(J110=MAX($J$4:$J$404),A110,0)</f>
        <v>0</v>
      </c>
      <c r="L110">
        <f>IF(E110&lt;H110,A110,B_MAX+1)</f>
        <v>401.0</v>
      </c>
      <c r="M110" s="13">
        <f>IF(B110=1,GRANT_RUNG1,GRANT_RUNG2)</f>
        <v>0</v>
      </c>
      <c r="N110" s="13">
        <f>OCC_DAYS*MCD_SHARE_BED*R_NF_2023-D110*MCD_SHARE_FREED*R_WAIT_2023</f>
        <v>37367.159242427646</v>
      </c>
      <c r="O110">
        <f>IF(A110&lt;=BEDS,1,0)</f>
        <v>1</v>
      </c>
    </row>
    <row r="111">
      <c r="A111" t="n">
        <v>107</v>
      </c>
      <c r="B111">
        <f>IF(COST_YR_RUNG1&lt;=COST_YR_RUNG2,IF(A111&lt;=RUNG_BEDS_1,1,2),IF(A111&lt;=RUNG_BEDS_2,2,1))</f>
        <v>1</v>
      </c>
      <c r="C111" s="5">
        <f>MIN(1,MAX(0,POOL_BEDS-(A111-1)))</f>
        <v>1</v>
      </c>
      <c r="D111" s="5">
        <f>FREED*(C111+(1-C111)*PAST_POOL_PCT)</f>
        <v>252.05322714681438</v>
      </c>
      <c r="E111" s="13">
        <f>D111*(C_AVOID+ACUTE_MARGIN)</f>
        <v>254573.7594182825</v>
      </c>
      <c r="F111" s="13">
        <f>D111*(RANGE_LO+ACUTE_MARGIN)</f>
        <v>138629.2749307479</v>
      </c>
      <c r="G111" s="13">
        <f>D111*(RANGE_HI+ACUTE_MARGIN)</f>
        <v>370518.24390581716</v>
      </c>
      <c r="H111" s="13">
        <f>IF(B111=1,COST_YR_RUNG1,COST_YR_RUNG2)</f>
        <v>152394.16214437486</v>
      </c>
      <c r="I111" s="13">
        <f>E111-H111</f>
        <v>102179.59727390765</v>
      </c>
      <c r="J111" s="13">
        <f>J110+I111</f>
        <v>10933216.90830814</v>
      </c>
      <c r="K111">
        <f>IF(J111=MAX($J$4:$J$404),A111,0)</f>
        <v>0</v>
      </c>
      <c r="L111">
        <f>IF(E111&lt;H111,A111,B_MAX+1)</f>
        <v>401.0</v>
      </c>
      <c r="M111" s="13">
        <f>IF(B111=1,GRANT_RUNG1,GRANT_RUNG2)</f>
        <v>0</v>
      </c>
      <c r="N111" s="13">
        <f>OCC_DAYS*MCD_SHARE_BED*R_NF_2023-D111*MCD_SHARE_FREED*R_WAIT_2023</f>
        <v>37367.159242427646</v>
      </c>
      <c r="O111">
        <f>IF(A111&lt;=BEDS,1,0)</f>
        <v>1</v>
      </c>
    </row>
    <row r="112">
      <c r="A112" t="n">
        <v>108</v>
      </c>
      <c r="B112">
        <f>IF(COST_YR_RUNG1&lt;=COST_YR_RUNG2,IF(A112&lt;=RUNG_BEDS_1,1,2),IF(A112&lt;=RUNG_BEDS_2,2,1))</f>
        <v>1</v>
      </c>
      <c r="C112" s="5">
        <f>MIN(1,MAX(0,POOL_BEDS-(A112-1)))</f>
        <v>1</v>
      </c>
      <c r="D112" s="5">
        <f>FREED*(C112+(1-C112)*PAST_POOL_PCT)</f>
        <v>252.05322714681438</v>
      </c>
      <c r="E112" s="13">
        <f>D112*(C_AVOID+ACUTE_MARGIN)</f>
        <v>254573.7594182825</v>
      </c>
      <c r="F112" s="13">
        <f>D112*(RANGE_LO+ACUTE_MARGIN)</f>
        <v>138629.2749307479</v>
      </c>
      <c r="G112" s="13">
        <f>D112*(RANGE_HI+ACUTE_MARGIN)</f>
        <v>370518.24390581716</v>
      </c>
      <c r="H112" s="13">
        <f>IF(B112=1,COST_YR_RUNG1,COST_YR_RUNG2)</f>
        <v>152394.16214437486</v>
      </c>
      <c r="I112" s="13">
        <f>E112-H112</f>
        <v>102179.59727390765</v>
      </c>
      <c r="J112" s="13">
        <f>J111+I112</f>
        <v>11035396.505582048</v>
      </c>
      <c r="K112">
        <f>IF(J112=MAX($J$4:$J$404),A112,0)</f>
        <v>0</v>
      </c>
      <c r="L112">
        <f>IF(E112&lt;H112,A112,B_MAX+1)</f>
        <v>401.0</v>
      </c>
      <c r="M112" s="13">
        <f>IF(B112=1,GRANT_RUNG1,GRANT_RUNG2)</f>
        <v>0</v>
      </c>
      <c r="N112" s="13">
        <f>OCC_DAYS*MCD_SHARE_BED*R_NF_2023-D112*MCD_SHARE_FREED*R_WAIT_2023</f>
        <v>37367.159242427646</v>
      </c>
      <c r="O112">
        <f>IF(A112&lt;=BEDS,1,0)</f>
        <v>1</v>
      </c>
    </row>
    <row r="113">
      <c r="A113" t="n">
        <v>109</v>
      </c>
      <c r="B113">
        <f>IF(COST_YR_RUNG1&lt;=COST_YR_RUNG2,IF(A113&lt;=RUNG_BEDS_1,1,2),IF(A113&lt;=RUNG_BEDS_2,2,1))</f>
        <v>1</v>
      </c>
      <c r="C113" s="5">
        <f>MIN(1,MAX(0,POOL_BEDS-(A113-1)))</f>
        <v>1</v>
      </c>
      <c r="D113" s="5">
        <f>FREED*(C113+(1-C113)*PAST_POOL_PCT)</f>
        <v>252.05322714681438</v>
      </c>
      <c r="E113" s="13">
        <f>D113*(C_AVOID+ACUTE_MARGIN)</f>
        <v>254573.7594182825</v>
      </c>
      <c r="F113" s="13">
        <f>D113*(RANGE_LO+ACUTE_MARGIN)</f>
        <v>138629.2749307479</v>
      </c>
      <c r="G113" s="13">
        <f>D113*(RANGE_HI+ACUTE_MARGIN)</f>
        <v>370518.24390581716</v>
      </c>
      <c r="H113" s="13">
        <f>IF(B113=1,COST_YR_RUNG1,COST_YR_RUNG2)</f>
        <v>152394.16214437486</v>
      </c>
      <c r="I113" s="13">
        <f>E113-H113</f>
        <v>102179.59727390765</v>
      </c>
      <c r="J113" s="13">
        <f>J112+I113</f>
        <v>11137576.102855956</v>
      </c>
      <c r="K113">
        <f>IF(J113=MAX($J$4:$J$404),A113,0)</f>
        <v>0</v>
      </c>
      <c r="L113">
        <f>IF(E113&lt;H113,A113,B_MAX+1)</f>
        <v>401.0</v>
      </c>
      <c r="M113" s="13">
        <f>IF(B113=1,GRANT_RUNG1,GRANT_RUNG2)</f>
        <v>0</v>
      </c>
      <c r="N113" s="13">
        <f>OCC_DAYS*MCD_SHARE_BED*R_NF_2023-D113*MCD_SHARE_FREED*R_WAIT_2023</f>
        <v>37367.159242427646</v>
      </c>
      <c r="O113">
        <f>IF(A113&lt;=BEDS,1,0)</f>
        <v>1</v>
      </c>
    </row>
    <row r="114">
      <c r="A114" t="n">
        <v>110</v>
      </c>
      <c r="B114">
        <f>IF(COST_YR_RUNG1&lt;=COST_YR_RUNG2,IF(A114&lt;=RUNG_BEDS_1,1,2),IF(A114&lt;=RUNG_BEDS_2,2,1))</f>
        <v>1</v>
      </c>
      <c r="C114" s="5">
        <f>MIN(1,MAX(0,POOL_BEDS-(A114-1)))</f>
        <v>1</v>
      </c>
      <c r="D114" s="5">
        <f>FREED*(C114+(1-C114)*PAST_POOL_PCT)</f>
        <v>252.05322714681438</v>
      </c>
      <c r="E114" s="13">
        <f>D114*(C_AVOID+ACUTE_MARGIN)</f>
        <v>254573.7594182825</v>
      </c>
      <c r="F114" s="13">
        <f>D114*(RANGE_LO+ACUTE_MARGIN)</f>
        <v>138629.2749307479</v>
      </c>
      <c r="G114" s="13">
        <f>D114*(RANGE_HI+ACUTE_MARGIN)</f>
        <v>370518.24390581716</v>
      </c>
      <c r="H114" s="13">
        <f>IF(B114=1,COST_YR_RUNG1,COST_YR_RUNG2)</f>
        <v>152394.16214437486</v>
      </c>
      <c r="I114" s="13">
        <f>E114-H114</f>
        <v>102179.59727390765</v>
      </c>
      <c r="J114" s="13">
        <f>J113+I114</f>
        <v>11239755.700129865</v>
      </c>
      <c r="K114">
        <f>IF(J114=MAX($J$4:$J$404),A114,0)</f>
        <v>0</v>
      </c>
      <c r="L114">
        <f>IF(E114&lt;H114,A114,B_MAX+1)</f>
        <v>401.0</v>
      </c>
      <c r="M114" s="13">
        <f>IF(B114=1,GRANT_RUNG1,GRANT_RUNG2)</f>
        <v>0</v>
      </c>
      <c r="N114" s="13">
        <f>OCC_DAYS*MCD_SHARE_BED*R_NF_2023-D114*MCD_SHARE_FREED*R_WAIT_2023</f>
        <v>37367.159242427646</v>
      </c>
      <c r="O114">
        <f>IF(A114&lt;=BEDS,1,0)</f>
        <v>1</v>
      </c>
    </row>
    <row r="115">
      <c r="A115" t="n">
        <v>111</v>
      </c>
      <c r="B115">
        <f>IF(COST_YR_RUNG1&lt;=COST_YR_RUNG2,IF(A115&lt;=RUNG_BEDS_1,1,2),IF(A115&lt;=RUNG_BEDS_2,2,1))</f>
        <v>1</v>
      </c>
      <c r="C115" s="5">
        <f>MIN(1,MAX(0,POOL_BEDS-(A115-1)))</f>
        <v>1</v>
      </c>
      <c r="D115" s="5">
        <f>FREED*(C115+(1-C115)*PAST_POOL_PCT)</f>
        <v>252.05322714681438</v>
      </c>
      <c r="E115" s="13">
        <f>D115*(C_AVOID+ACUTE_MARGIN)</f>
        <v>254573.7594182825</v>
      </c>
      <c r="F115" s="13">
        <f>D115*(RANGE_LO+ACUTE_MARGIN)</f>
        <v>138629.2749307479</v>
      </c>
      <c r="G115" s="13">
        <f>D115*(RANGE_HI+ACUTE_MARGIN)</f>
        <v>370518.24390581716</v>
      </c>
      <c r="H115" s="13">
        <f>IF(B115=1,COST_YR_RUNG1,COST_YR_RUNG2)</f>
        <v>152394.16214437486</v>
      </c>
      <c r="I115" s="13">
        <f>E115-H115</f>
        <v>102179.59727390765</v>
      </c>
      <c r="J115" s="13">
        <f>J114+I115</f>
        <v>11341935.297403773</v>
      </c>
      <c r="K115">
        <f>IF(J115=MAX($J$4:$J$404),A115,0)</f>
        <v>0</v>
      </c>
      <c r="L115">
        <f>IF(E115&lt;H115,A115,B_MAX+1)</f>
        <v>401.0</v>
      </c>
      <c r="M115" s="13">
        <f>IF(B115=1,GRANT_RUNG1,GRANT_RUNG2)</f>
        <v>0</v>
      </c>
      <c r="N115" s="13">
        <f>OCC_DAYS*MCD_SHARE_BED*R_NF_2023-D115*MCD_SHARE_FREED*R_WAIT_2023</f>
        <v>37367.159242427646</v>
      </c>
      <c r="O115">
        <f>IF(A115&lt;=BEDS,1,0)</f>
        <v>1</v>
      </c>
    </row>
    <row r="116">
      <c r="A116" t="n">
        <v>112</v>
      </c>
      <c r="B116">
        <f>IF(COST_YR_RUNG1&lt;=COST_YR_RUNG2,IF(A116&lt;=RUNG_BEDS_1,1,2),IF(A116&lt;=RUNG_BEDS_2,2,1))</f>
        <v>1</v>
      </c>
      <c r="C116" s="5">
        <f>MIN(1,MAX(0,POOL_BEDS-(A116-1)))</f>
        <v>1</v>
      </c>
      <c r="D116" s="5">
        <f>FREED*(C116+(1-C116)*PAST_POOL_PCT)</f>
        <v>252.05322714681438</v>
      </c>
      <c r="E116" s="13">
        <f>D116*(C_AVOID+ACUTE_MARGIN)</f>
        <v>254573.7594182825</v>
      </c>
      <c r="F116" s="13">
        <f>D116*(RANGE_LO+ACUTE_MARGIN)</f>
        <v>138629.2749307479</v>
      </c>
      <c r="G116" s="13">
        <f>D116*(RANGE_HI+ACUTE_MARGIN)</f>
        <v>370518.24390581716</v>
      </c>
      <c r="H116" s="13">
        <f>IF(B116=1,COST_YR_RUNG1,COST_YR_RUNG2)</f>
        <v>152394.16214437486</v>
      </c>
      <c r="I116" s="13">
        <f>E116-H116</f>
        <v>102179.59727390765</v>
      </c>
      <c r="J116" s="13">
        <f>J115+I116</f>
        <v>11444114.894677682</v>
      </c>
      <c r="K116">
        <f>IF(J116=MAX($J$4:$J$404),A116,0)</f>
        <v>0</v>
      </c>
      <c r="L116">
        <f>IF(E116&lt;H116,A116,B_MAX+1)</f>
        <v>401.0</v>
      </c>
      <c r="M116" s="13">
        <f>IF(B116=1,GRANT_RUNG1,GRANT_RUNG2)</f>
        <v>0</v>
      </c>
      <c r="N116" s="13">
        <f>OCC_DAYS*MCD_SHARE_BED*R_NF_2023-D116*MCD_SHARE_FREED*R_WAIT_2023</f>
        <v>37367.159242427646</v>
      </c>
      <c r="O116">
        <f>IF(A116&lt;=BEDS,1,0)</f>
        <v>1</v>
      </c>
    </row>
    <row r="117">
      <c r="A117" t="n">
        <v>113</v>
      </c>
      <c r="B117">
        <f>IF(COST_YR_RUNG1&lt;=COST_YR_RUNG2,IF(A117&lt;=RUNG_BEDS_1,1,2),IF(A117&lt;=RUNG_BEDS_2,2,1))</f>
        <v>1</v>
      </c>
      <c r="C117" s="5">
        <f>MIN(1,MAX(0,POOL_BEDS-(A117-1)))</f>
        <v>1</v>
      </c>
      <c r="D117" s="5">
        <f>FREED*(C117+(1-C117)*PAST_POOL_PCT)</f>
        <v>252.05322714681438</v>
      </c>
      <c r="E117" s="13">
        <f>D117*(C_AVOID+ACUTE_MARGIN)</f>
        <v>254573.7594182825</v>
      </c>
      <c r="F117" s="13">
        <f>D117*(RANGE_LO+ACUTE_MARGIN)</f>
        <v>138629.2749307479</v>
      </c>
      <c r="G117" s="13">
        <f>D117*(RANGE_HI+ACUTE_MARGIN)</f>
        <v>370518.24390581716</v>
      </c>
      <c r="H117" s="13">
        <f>IF(B117=1,COST_YR_RUNG1,COST_YR_RUNG2)</f>
        <v>152394.16214437486</v>
      </c>
      <c r="I117" s="13">
        <f>E117-H117</f>
        <v>102179.59727390765</v>
      </c>
      <c r="J117" s="13">
        <f>J116+I117</f>
        <v>11546294.49195159</v>
      </c>
      <c r="K117">
        <f>IF(J117=MAX($J$4:$J$404),A117,0)</f>
        <v>0</v>
      </c>
      <c r="L117">
        <f>IF(E117&lt;H117,A117,B_MAX+1)</f>
        <v>401.0</v>
      </c>
      <c r="M117" s="13">
        <f>IF(B117=1,GRANT_RUNG1,GRANT_RUNG2)</f>
        <v>0</v>
      </c>
      <c r="N117" s="13">
        <f>OCC_DAYS*MCD_SHARE_BED*R_NF_2023-D117*MCD_SHARE_FREED*R_WAIT_2023</f>
        <v>37367.159242427646</v>
      </c>
      <c r="O117">
        <f>IF(A117&lt;=BEDS,1,0)</f>
        <v>1</v>
      </c>
    </row>
    <row r="118">
      <c r="A118" t="n">
        <v>114</v>
      </c>
      <c r="B118">
        <f>IF(COST_YR_RUNG1&lt;=COST_YR_RUNG2,IF(A118&lt;=RUNG_BEDS_1,1,2),IF(A118&lt;=RUNG_BEDS_2,2,1))</f>
        <v>1</v>
      </c>
      <c r="C118" s="5">
        <f>MIN(1,MAX(0,POOL_BEDS-(A118-1)))</f>
        <v>1</v>
      </c>
      <c r="D118" s="5">
        <f>FREED*(C118+(1-C118)*PAST_POOL_PCT)</f>
        <v>252.05322714681438</v>
      </c>
      <c r="E118" s="13">
        <f>D118*(C_AVOID+ACUTE_MARGIN)</f>
        <v>254573.7594182825</v>
      </c>
      <c r="F118" s="13">
        <f>D118*(RANGE_LO+ACUTE_MARGIN)</f>
        <v>138629.2749307479</v>
      </c>
      <c r="G118" s="13">
        <f>D118*(RANGE_HI+ACUTE_MARGIN)</f>
        <v>370518.24390581716</v>
      </c>
      <c r="H118" s="13">
        <f>IF(B118=1,COST_YR_RUNG1,COST_YR_RUNG2)</f>
        <v>152394.16214437486</v>
      </c>
      <c r="I118" s="13">
        <f>E118-H118</f>
        <v>102179.59727390765</v>
      </c>
      <c r="J118" s="13">
        <f>J117+I118</f>
        <v>11648474.089225499</v>
      </c>
      <c r="K118">
        <f>IF(J118=MAX($J$4:$J$404),A118,0)</f>
        <v>0</v>
      </c>
      <c r="L118">
        <f>IF(E118&lt;H118,A118,B_MAX+1)</f>
        <v>401.0</v>
      </c>
      <c r="M118" s="13">
        <f>IF(B118=1,GRANT_RUNG1,GRANT_RUNG2)</f>
        <v>0</v>
      </c>
      <c r="N118" s="13">
        <f>OCC_DAYS*MCD_SHARE_BED*R_NF_2023-D118*MCD_SHARE_FREED*R_WAIT_2023</f>
        <v>37367.159242427646</v>
      </c>
      <c r="O118">
        <f>IF(A118&lt;=BEDS,1,0)</f>
        <v>1</v>
      </c>
    </row>
    <row r="119">
      <c r="A119" t="n">
        <v>115</v>
      </c>
      <c r="B119">
        <f>IF(COST_YR_RUNG1&lt;=COST_YR_RUNG2,IF(A119&lt;=RUNG_BEDS_1,1,2),IF(A119&lt;=RUNG_BEDS_2,2,1))</f>
        <v>1</v>
      </c>
      <c r="C119" s="5">
        <f>MIN(1,MAX(0,POOL_BEDS-(A119-1)))</f>
        <v>1</v>
      </c>
      <c r="D119" s="5">
        <f>FREED*(C119+(1-C119)*PAST_POOL_PCT)</f>
        <v>252.05322714681438</v>
      </c>
      <c r="E119" s="13">
        <f>D119*(C_AVOID+ACUTE_MARGIN)</f>
        <v>254573.7594182825</v>
      </c>
      <c r="F119" s="13">
        <f>D119*(RANGE_LO+ACUTE_MARGIN)</f>
        <v>138629.2749307479</v>
      </c>
      <c r="G119" s="13">
        <f>D119*(RANGE_HI+ACUTE_MARGIN)</f>
        <v>370518.24390581716</v>
      </c>
      <c r="H119" s="13">
        <f>IF(B119=1,COST_YR_RUNG1,COST_YR_RUNG2)</f>
        <v>152394.16214437486</v>
      </c>
      <c r="I119" s="13">
        <f>E119-H119</f>
        <v>102179.59727390765</v>
      </c>
      <c r="J119" s="13">
        <f>J118+I119</f>
        <v>11750653.686499408</v>
      </c>
      <c r="K119">
        <f>IF(J119=MAX($J$4:$J$404),A119,0)</f>
        <v>0</v>
      </c>
      <c r="L119">
        <f>IF(E119&lt;H119,A119,B_MAX+1)</f>
        <v>401.0</v>
      </c>
      <c r="M119" s="13">
        <f>IF(B119=1,GRANT_RUNG1,GRANT_RUNG2)</f>
        <v>0</v>
      </c>
      <c r="N119" s="13">
        <f>OCC_DAYS*MCD_SHARE_BED*R_NF_2023-D119*MCD_SHARE_FREED*R_WAIT_2023</f>
        <v>37367.159242427646</v>
      </c>
      <c r="O119">
        <f>IF(A119&lt;=BEDS,1,0)</f>
        <v>1</v>
      </c>
    </row>
    <row r="120">
      <c r="A120" t="n">
        <v>116</v>
      </c>
      <c r="B120">
        <f>IF(COST_YR_RUNG1&lt;=COST_YR_RUNG2,IF(A120&lt;=RUNG_BEDS_1,1,2),IF(A120&lt;=RUNG_BEDS_2,2,1))</f>
        <v>1</v>
      </c>
      <c r="C120" s="5">
        <f>MIN(1,MAX(0,POOL_BEDS-(A120-1)))</f>
        <v>1</v>
      </c>
      <c r="D120" s="5">
        <f>FREED*(C120+(1-C120)*PAST_POOL_PCT)</f>
        <v>252.05322714681438</v>
      </c>
      <c r="E120" s="13">
        <f>D120*(C_AVOID+ACUTE_MARGIN)</f>
        <v>254573.7594182825</v>
      </c>
      <c r="F120" s="13">
        <f>D120*(RANGE_LO+ACUTE_MARGIN)</f>
        <v>138629.2749307479</v>
      </c>
      <c r="G120" s="13">
        <f>D120*(RANGE_HI+ACUTE_MARGIN)</f>
        <v>370518.24390581716</v>
      </c>
      <c r="H120" s="13">
        <f>IF(B120=1,COST_YR_RUNG1,COST_YR_RUNG2)</f>
        <v>152394.16214437486</v>
      </c>
      <c r="I120" s="13">
        <f>E120-H120</f>
        <v>102179.59727390765</v>
      </c>
      <c r="J120" s="13">
        <f>J119+I120</f>
        <v>11852833.283773316</v>
      </c>
      <c r="K120">
        <f>IF(J120=MAX($J$4:$J$404),A120,0)</f>
        <v>0</v>
      </c>
      <c r="L120">
        <f>IF(E120&lt;H120,A120,B_MAX+1)</f>
        <v>401.0</v>
      </c>
      <c r="M120" s="13">
        <f>IF(B120=1,GRANT_RUNG1,GRANT_RUNG2)</f>
        <v>0</v>
      </c>
      <c r="N120" s="13">
        <f>OCC_DAYS*MCD_SHARE_BED*R_NF_2023-D120*MCD_SHARE_FREED*R_WAIT_2023</f>
        <v>37367.159242427646</v>
      </c>
      <c r="O120">
        <f>IF(A120&lt;=BEDS,1,0)</f>
        <v>1</v>
      </c>
    </row>
    <row r="121">
      <c r="A121" t="n">
        <v>117</v>
      </c>
      <c r="B121">
        <f>IF(COST_YR_RUNG1&lt;=COST_YR_RUNG2,IF(A121&lt;=RUNG_BEDS_1,1,2),IF(A121&lt;=RUNG_BEDS_2,2,1))</f>
        <v>1</v>
      </c>
      <c r="C121" s="5">
        <f>MIN(1,MAX(0,POOL_BEDS-(A121-1)))</f>
        <v>1</v>
      </c>
      <c r="D121" s="5">
        <f>FREED*(C121+(1-C121)*PAST_POOL_PCT)</f>
        <v>252.05322714681438</v>
      </c>
      <c r="E121" s="13">
        <f>D121*(C_AVOID+ACUTE_MARGIN)</f>
        <v>254573.7594182825</v>
      </c>
      <c r="F121" s="13">
        <f>D121*(RANGE_LO+ACUTE_MARGIN)</f>
        <v>138629.2749307479</v>
      </c>
      <c r="G121" s="13">
        <f>D121*(RANGE_HI+ACUTE_MARGIN)</f>
        <v>370518.24390581716</v>
      </c>
      <c r="H121" s="13">
        <f>IF(B121=1,COST_YR_RUNG1,COST_YR_RUNG2)</f>
        <v>152394.16214437486</v>
      </c>
      <c r="I121" s="13">
        <f>E121-H121</f>
        <v>102179.59727390765</v>
      </c>
      <c r="J121" s="13">
        <f>J120+I121</f>
        <v>11955012.881047225</v>
      </c>
      <c r="K121">
        <f>IF(J121=MAX($J$4:$J$404),A121,0)</f>
        <v>0</v>
      </c>
      <c r="L121">
        <f>IF(E121&lt;H121,A121,B_MAX+1)</f>
        <v>401.0</v>
      </c>
      <c r="M121" s="13">
        <f>IF(B121=1,GRANT_RUNG1,GRANT_RUNG2)</f>
        <v>0</v>
      </c>
      <c r="N121" s="13">
        <f>OCC_DAYS*MCD_SHARE_BED*R_NF_2023-D121*MCD_SHARE_FREED*R_WAIT_2023</f>
        <v>37367.159242427646</v>
      </c>
      <c r="O121">
        <f>IF(A121&lt;=BEDS,1,0)</f>
        <v>1</v>
      </c>
    </row>
    <row r="122">
      <c r="A122" t="n">
        <v>118</v>
      </c>
      <c r="B122">
        <f>IF(COST_YR_RUNG1&lt;=COST_YR_RUNG2,IF(A122&lt;=RUNG_BEDS_1,1,2),IF(A122&lt;=RUNG_BEDS_2,2,1))</f>
        <v>1</v>
      </c>
      <c r="C122" s="5">
        <f>MIN(1,MAX(0,POOL_BEDS-(A122-1)))</f>
        <v>1</v>
      </c>
      <c r="D122" s="5">
        <f>FREED*(C122+(1-C122)*PAST_POOL_PCT)</f>
        <v>252.05322714681438</v>
      </c>
      <c r="E122" s="13">
        <f>D122*(C_AVOID+ACUTE_MARGIN)</f>
        <v>254573.7594182825</v>
      </c>
      <c r="F122" s="13">
        <f>D122*(RANGE_LO+ACUTE_MARGIN)</f>
        <v>138629.2749307479</v>
      </c>
      <c r="G122" s="13">
        <f>D122*(RANGE_HI+ACUTE_MARGIN)</f>
        <v>370518.24390581716</v>
      </c>
      <c r="H122" s="13">
        <f>IF(B122=1,COST_YR_RUNG1,COST_YR_RUNG2)</f>
        <v>152394.16214437486</v>
      </c>
      <c r="I122" s="13">
        <f>E122-H122</f>
        <v>102179.59727390765</v>
      </c>
      <c r="J122" s="13">
        <f>J121+I122</f>
        <v>12057192.478321133</v>
      </c>
      <c r="K122">
        <f>IF(J122=MAX($J$4:$J$404),A122,0)</f>
        <v>0</v>
      </c>
      <c r="L122">
        <f>IF(E122&lt;H122,A122,B_MAX+1)</f>
        <v>401.0</v>
      </c>
      <c r="M122" s="13">
        <f>IF(B122=1,GRANT_RUNG1,GRANT_RUNG2)</f>
        <v>0</v>
      </c>
      <c r="N122" s="13">
        <f>OCC_DAYS*MCD_SHARE_BED*R_NF_2023-D122*MCD_SHARE_FREED*R_WAIT_2023</f>
        <v>37367.159242427646</v>
      </c>
      <c r="O122">
        <f>IF(A122&lt;=BEDS,1,0)</f>
        <v>1</v>
      </c>
    </row>
    <row r="123">
      <c r="A123" t="n">
        <v>119</v>
      </c>
      <c r="B123">
        <f>IF(COST_YR_RUNG1&lt;=COST_YR_RUNG2,IF(A123&lt;=RUNG_BEDS_1,1,2),IF(A123&lt;=RUNG_BEDS_2,2,1))</f>
        <v>1</v>
      </c>
      <c r="C123" s="5">
        <f>MIN(1,MAX(0,POOL_BEDS-(A123-1)))</f>
        <v>1</v>
      </c>
      <c r="D123" s="5">
        <f>FREED*(C123+(1-C123)*PAST_POOL_PCT)</f>
        <v>252.05322714681438</v>
      </c>
      <c r="E123" s="13">
        <f>D123*(C_AVOID+ACUTE_MARGIN)</f>
        <v>254573.7594182825</v>
      </c>
      <c r="F123" s="13">
        <f>D123*(RANGE_LO+ACUTE_MARGIN)</f>
        <v>138629.2749307479</v>
      </c>
      <c r="G123" s="13">
        <f>D123*(RANGE_HI+ACUTE_MARGIN)</f>
        <v>370518.24390581716</v>
      </c>
      <c r="H123" s="13">
        <f>IF(B123=1,COST_YR_RUNG1,COST_YR_RUNG2)</f>
        <v>152394.16214437486</v>
      </c>
      <c r="I123" s="13">
        <f>E123-H123</f>
        <v>102179.59727390765</v>
      </c>
      <c r="J123" s="13">
        <f>J122+I123</f>
        <v>12159372.075595042</v>
      </c>
      <c r="K123">
        <f>IF(J123=MAX($J$4:$J$404),A123,0)</f>
        <v>0</v>
      </c>
      <c r="L123">
        <f>IF(E123&lt;H123,A123,B_MAX+1)</f>
        <v>401.0</v>
      </c>
      <c r="M123" s="13">
        <f>IF(B123=1,GRANT_RUNG1,GRANT_RUNG2)</f>
        <v>0</v>
      </c>
      <c r="N123" s="13">
        <f>OCC_DAYS*MCD_SHARE_BED*R_NF_2023-D123*MCD_SHARE_FREED*R_WAIT_2023</f>
        <v>37367.159242427646</v>
      </c>
      <c r="O123">
        <f>IF(A123&lt;=BEDS,1,0)</f>
        <v>1</v>
      </c>
    </row>
    <row r="124">
      <c r="A124" t="n">
        <v>120</v>
      </c>
      <c r="B124">
        <f>IF(COST_YR_RUNG1&lt;=COST_YR_RUNG2,IF(A124&lt;=RUNG_BEDS_1,1,2),IF(A124&lt;=RUNG_BEDS_2,2,1))</f>
        <v>1</v>
      </c>
      <c r="C124" s="5">
        <f>MIN(1,MAX(0,POOL_BEDS-(A124-1)))</f>
        <v>1</v>
      </c>
      <c r="D124" s="5">
        <f>FREED*(C124+(1-C124)*PAST_POOL_PCT)</f>
        <v>252.05322714681438</v>
      </c>
      <c r="E124" s="13">
        <f>D124*(C_AVOID+ACUTE_MARGIN)</f>
        <v>254573.7594182825</v>
      </c>
      <c r="F124" s="13">
        <f>D124*(RANGE_LO+ACUTE_MARGIN)</f>
        <v>138629.2749307479</v>
      </c>
      <c r="G124" s="13">
        <f>D124*(RANGE_HI+ACUTE_MARGIN)</f>
        <v>370518.24390581716</v>
      </c>
      <c r="H124" s="13">
        <f>IF(B124=1,COST_YR_RUNG1,COST_YR_RUNG2)</f>
        <v>152394.16214437486</v>
      </c>
      <c r="I124" s="13">
        <f>E124-H124</f>
        <v>102179.59727390765</v>
      </c>
      <c r="J124" s="13">
        <f>J123+I124</f>
        <v>12261551.67286895</v>
      </c>
      <c r="K124">
        <f>IF(J124=MAX($J$4:$J$404),A124,0)</f>
        <v>0</v>
      </c>
      <c r="L124">
        <f>IF(E124&lt;H124,A124,B_MAX+1)</f>
        <v>401.0</v>
      </c>
      <c r="M124" s="13">
        <f>IF(B124=1,GRANT_RUNG1,GRANT_RUNG2)</f>
        <v>0</v>
      </c>
      <c r="N124" s="13">
        <f>OCC_DAYS*MCD_SHARE_BED*R_NF_2023-D124*MCD_SHARE_FREED*R_WAIT_2023</f>
        <v>37367.159242427646</v>
      </c>
      <c r="O124">
        <f>IF(A124&lt;=BEDS,1,0)</f>
        <v>1</v>
      </c>
    </row>
    <row r="125">
      <c r="A125" t="n">
        <v>121</v>
      </c>
      <c r="B125">
        <f>IF(COST_YR_RUNG1&lt;=COST_YR_RUNG2,IF(A125&lt;=RUNG_BEDS_1,1,2),IF(A125&lt;=RUNG_BEDS_2,2,1))</f>
        <v>1</v>
      </c>
      <c r="C125" s="5">
        <f>MIN(1,MAX(0,POOL_BEDS-(A125-1)))</f>
        <v>1</v>
      </c>
      <c r="D125" s="5">
        <f>FREED*(C125+(1-C125)*PAST_POOL_PCT)</f>
        <v>252.05322714681438</v>
      </c>
      <c r="E125" s="13">
        <f>D125*(C_AVOID+ACUTE_MARGIN)</f>
        <v>254573.7594182825</v>
      </c>
      <c r="F125" s="13">
        <f>D125*(RANGE_LO+ACUTE_MARGIN)</f>
        <v>138629.2749307479</v>
      </c>
      <c r="G125" s="13">
        <f>D125*(RANGE_HI+ACUTE_MARGIN)</f>
        <v>370518.24390581716</v>
      </c>
      <c r="H125" s="13">
        <f>IF(B125=1,COST_YR_RUNG1,COST_YR_RUNG2)</f>
        <v>152394.16214437486</v>
      </c>
      <c r="I125" s="13">
        <f>E125-H125</f>
        <v>102179.59727390765</v>
      </c>
      <c r="J125" s="13">
        <f>J124+I125</f>
        <v>12363731.270142859</v>
      </c>
      <c r="K125">
        <f>IF(J125=MAX($J$4:$J$404),A125,0)</f>
        <v>0</v>
      </c>
      <c r="L125">
        <f>IF(E125&lt;H125,A125,B_MAX+1)</f>
        <v>401.0</v>
      </c>
      <c r="M125" s="13">
        <f>IF(B125=1,GRANT_RUNG1,GRANT_RUNG2)</f>
        <v>0</v>
      </c>
      <c r="N125" s="13">
        <f>OCC_DAYS*MCD_SHARE_BED*R_NF_2023-D125*MCD_SHARE_FREED*R_WAIT_2023</f>
        <v>37367.159242427646</v>
      </c>
      <c r="O125">
        <f>IF(A125&lt;=BEDS,1,0)</f>
        <v>1</v>
      </c>
    </row>
    <row r="126">
      <c r="A126" t="n">
        <v>122</v>
      </c>
      <c r="B126">
        <f>IF(COST_YR_RUNG1&lt;=COST_YR_RUNG2,IF(A126&lt;=RUNG_BEDS_1,1,2),IF(A126&lt;=RUNG_BEDS_2,2,1))</f>
        <v>1</v>
      </c>
      <c r="C126" s="5">
        <f>MIN(1,MAX(0,POOL_BEDS-(A126-1)))</f>
        <v>1</v>
      </c>
      <c r="D126" s="5">
        <f>FREED*(C126+(1-C126)*PAST_POOL_PCT)</f>
        <v>252.05322714681438</v>
      </c>
      <c r="E126" s="13">
        <f>D126*(C_AVOID+ACUTE_MARGIN)</f>
        <v>254573.7594182825</v>
      </c>
      <c r="F126" s="13">
        <f>D126*(RANGE_LO+ACUTE_MARGIN)</f>
        <v>138629.2749307479</v>
      </c>
      <c r="G126" s="13">
        <f>D126*(RANGE_HI+ACUTE_MARGIN)</f>
        <v>370518.24390581716</v>
      </c>
      <c r="H126" s="13">
        <f>IF(B126=1,COST_YR_RUNG1,COST_YR_RUNG2)</f>
        <v>152394.16214437486</v>
      </c>
      <c r="I126" s="13">
        <f>E126-H126</f>
        <v>102179.59727390765</v>
      </c>
      <c r="J126" s="13">
        <f>J125+I126</f>
        <v>12465910.867416767</v>
      </c>
      <c r="K126">
        <f>IF(J126=MAX($J$4:$J$404),A126,0)</f>
        <v>0</v>
      </c>
      <c r="L126">
        <f>IF(E126&lt;H126,A126,B_MAX+1)</f>
        <v>401.0</v>
      </c>
      <c r="M126" s="13">
        <f>IF(B126=1,GRANT_RUNG1,GRANT_RUNG2)</f>
        <v>0</v>
      </c>
      <c r="N126" s="13">
        <f>OCC_DAYS*MCD_SHARE_BED*R_NF_2023-D126*MCD_SHARE_FREED*R_WAIT_2023</f>
        <v>37367.159242427646</v>
      </c>
      <c r="O126">
        <f>IF(A126&lt;=BEDS,1,0)</f>
        <v>1</v>
      </c>
    </row>
    <row r="127">
      <c r="A127" t="n">
        <v>123</v>
      </c>
      <c r="B127">
        <f>IF(COST_YR_RUNG1&lt;=COST_YR_RUNG2,IF(A127&lt;=RUNG_BEDS_1,1,2),IF(A127&lt;=RUNG_BEDS_2,2,1))</f>
        <v>1</v>
      </c>
      <c r="C127" s="5">
        <f>MIN(1,MAX(0,POOL_BEDS-(A127-1)))</f>
        <v>1</v>
      </c>
      <c r="D127" s="5">
        <f>FREED*(C127+(1-C127)*PAST_POOL_PCT)</f>
        <v>252.05322714681438</v>
      </c>
      <c r="E127" s="13">
        <f>D127*(C_AVOID+ACUTE_MARGIN)</f>
        <v>254573.7594182825</v>
      </c>
      <c r="F127" s="13">
        <f>D127*(RANGE_LO+ACUTE_MARGIN)</f>
        <v>138629.2749307479</v>
      </c>
      <c r="G127" s="13">
        <f>D127*(RANGE_HI+ACUTE_MARGIN)</f>
        <v>370518.24390581716</v>
      </c>
      <c r="H127" s="13">
        <f>IF(B127=1,COST_YR_RUNG1,COST_YR_RUNG2)</f>
        <v>152394.16214437486</v>
      </c>
      <c r="I127" s="13">
        <f>E127-H127</f>
        <v>102179.59727390765</v>
      </c>
      <c r="J127" s="13">
        <f>J126+I127</f>
        <v>12568090.464690676</v>
      </c>
      <c r="K127">
        <f>IF(J127=MAX($J$4:$J$404),A127,0)</f>
        <v>0</v>
      </c>
      <c r="L127">
        <f>IF(E127&lt;H127,A127,B_MAX+1)</f>
        <v>401.0</v>
      </c>
      <c r="M127" s="13">
        <f>IF(B127=1,GRANT_RUNG1,GRANT_RUNG2)</f>
        <v>0</v>
      </c>
      <c r="N127" s="13">
        <f>OCC_DAYS*MCD_SHARE_BED*R_NF_2023-D127*MCD_SHARE_FREED*R_WAIT_2023</f>
        <v>37367.159242427646</v>
      </c>
      <c r="O127">
        <f>IF(A127&lt;=BEDS,1,0)</f>
        <v>1</v>
      </c>
    </row>
    <row r="128">
      <c r="A128" t="n">
        <v>124</v>
      </c>
      <c r="B128">
        <f>IF(COST_YR_RUNG1&lt;=COST_YR_RUNG2,IF(A128&lt;=RUNG_BEDS_1,1,2),IF(A128&lt;=RUNG_BEDS_2,2,1))</f>
        <v>1</v>
      </c>
      <c r="C128" s="5">
        <f>MIN(1,MAX(0,POOL_BEDS-(A128-1)))</f>
        <v>1</v>
      </c>
      <c r="D128" s="5">
        <f>FREED*(C128+(1-C128)*PAST_POOL_PCT)</f>
        <v>252.05322714681438</v>
      </c>
      <c r="E128" s="13">
        <f>D128*(C_AVOID+ACUTE_MARGIN)</f>
        <v>254573.7594182825</v>
      </c>
      <c r="F128" s="13">
        <f>D128*(RANGE_LO+ACUTE_MARGIN)</f>
        <v>138629.2749307479</v>
      </c>
      <c r="G128" s="13">
        <f>D128*(RANGE_HI+ACUTE_MARGIN)</f>
        <v>370518.24390581716</v>
      </c>
      <c r="H128" s="13">
        <f>IF(B128=1,COST_YR_RUNG1,COST_YR_RUNG2)</f>
        <v>152394.16214437486</v>
      </c>
      <c r="I128" s="13">
        <f>E128-H128</f>
        <v>102179.59727390765</v>
      </c>
      <c r="J128" s="13">
        <f>J127+I128</f>
        <v>12670270.061964585</v>
      </c>
      <c r="K128">
        <f>IF(J128=MAX($J$4:$J$404),A128,0)</f>
        <v>0</v>
      </c>
      <c r="L128">
        <f>IF(E128&lt;H128,A128,B_MAX+1)</f>
        <v>401.0</v>
      </c>
      <c r="M128" s="13">
        <f>IF(B128=1,GRANT_RUNG1,GRANT_RUNG2)</f>
        <v>0</v>
      </c>
      <c r="N128" s="13">
        <f>OCC_DAYS*MCD_SHARE_BED*R_NF_2023-D128*MCD_SHARE_FREED*R_WAIT_2023</f>
        <v>37367.159242427646</v>
      </c>
      <c r="O128">
        <f>IF(A128&lt;=BEDS,1,0)</f>
        <v>1</v>
      </c>
    </row>
    <row r="129">
      <c r="A129" t="n">
        <v>125</v>
      </c>
      <c r="B129">
        <f>IF(COST_YR_RUNG1&lt;=COST_YR_RUNG2,IF(A129&lt;=RUNG_BEDS_1,1,2),IF(A129&lt;=RUNG_BEDS_2,2,1))</f>
        <v>1</v>
      </c>
      <c r="C129" s="5">
        <f>MIN(1,MAX(0,POOL_BEDS-(A129-1)))</f>
        <v>1</v>
      </c>
      <c r="D129" s="5">
        <f>FREED*(C129+(1-C129)*PAST_POOL_PCT)</f>
        <v>252.05322714681438</v>
      </c>
      <c r="E129" s="13">
        <f>D129*(C_AVOID+ACUTE_MARGIN)</f>
        <v>254573.7594182825</v>
      </c>
      <c r="F129" s="13">
        <f>D129*(RANGE_LO+ACUTE_MARGIN)</f>
        <v>138629.2749307479</v>
      </c>
      <c r="G129" s="13">
        <f>D129*(RANGE_HI+ACUTE_MARGIN)</f>
        <v>370518.24390581716</v>
      </c>
      <c r="H129" s="13">
        <f>IF(B129=1,COST_YR_RUNG1,COST_YR_RUNG2)</f>
        <v>152394.16214437486</v>
      </c>
      <c r="I129" s="13">
        <f>E129-H129</f>
        <v>102179.59727390765</v>
      </c>
      <c r="J129" s="13">
        <f>J128+I129</f>
        <v>12772449.659238493</v>
      </c>
      <c r="K129">
        <f>IF(J129=MAX($J$4:$J$404),A129,0)</f>
        <v>0</v>
      </c>
      <c r="L129">
        <f>IF(E129&lt;H129,A129,B_MAX+1)</f>
        <v>401.0</v>
      </c>
      <c r="M129" s="13">
        <f>IF(B129=1,GRANT_RUNG1,GRANT_RUNG2)</f>
        <v>0</v>
      </c>
      <c r="N129" s="13">
        <f>OCC_DAYS*MCD_SHARE_BED*R_NF_2023-D129*MCD_SHARE_FREED*R_WAIT_2023</f>
        <v>37367.159242427646</v>
      </c>
      <c r="O129">
        <f>IF(A129&lt;=BEDS,1,0)</f>
        <v>1</v>
      </c>
    </row>
    <row r="130">
      <c r="A130" t="n">
        <v>126</v>
      </c>
      <c r="B130">
        <f>IF(COST_YR_RUNG1&lt;=COST_YR_RUNG2,IF(A130&lt;=RUNG_BEDS_1,1,2),IF(A130&lt;=RUNG_BEDS_2,2,1))</f>
        <v>1</v>
      </c>
      <c r="C130" s="5">
        <f>MIN(1,MAX(0,POOL_BEDS-(A130-1)))</f>
        <v>1</v>
      </c>
      <c r="D130" s="5">
        <f>FREED*(C130+(1-C130)*PAST_POOL_PCT)</f>
        <v>252.05322714681438</v>
      </c>
      <c r="E130" s="13">
        <f>D130*(C_AVOID+ACUTE_MARGIN)</f>
        <v>254573.7594182825</v>
      </c>
      <c r="F130" s="13">
        <f>D130*(RANGE_LO+ACUTE_MARGIN)</f>
        <v>138629.2749307479</v>
      </c>
      <c r="G130" s="13">
        <f>D130*(RANGE_HI+ACUTE_MARGIN)</f>
        <v>370518.24390581716</v>
      </c>
      <c r="H130" s="13">
        <f>IF(B130=1,COST_YR_RUNG1,COST_YR_RUNG2)</f>
        <v>152394.16214437486</v>
      </c>
      <c r="I130" s="13">
        <f>E130-H130</f>
        <v>102179.59727390765</v>
      </c>
      <c r="J130" s="13">
        <f>J129+I130</f>
        <v>12874629.256512402</v>
      </c>
      <c r="K130">
        <f>IF(J130=MAX($J$4:$J$404),A130,0)</f>
        <v>0</v>
      </c>
      <c r="L130">
        <f>IF(E130&lt;H130,A130,B_MAX+1)</f>
        <v>401.0</v>
      </c>
      <c r="M130" s="13">
        <f>IF(B130=1,GRANT_RUNG1,GRANT_RUNG2)</f>
        <v>0</v>
      </c>
      <c r="N130" s="13">
        <f>OCC_DAYS*MCD_SHARE_BED*R_NF_2023-D130*MCD_SHARE_FREED*R_WAIT_2023</f>
        <v>37367.159242427646</v>
      </c>
      <c r="O130">
        <f>IF(A130&lt;=BEDS,1,0)</f>
        <v>1</v>
      </c>
    </row>
    <row r="131">
      <c r="A131" t="n">
        <v>127</v>
      </c>
      <c r="B131">
        <f>IF(COST_YR_RUNG1&lt;=COST_YR_RUNG2,IF(A131&lt;=RUNG_BEDS_1,1,2),IF(A131&lt;=RUNG_BEDS_2,2,1))</f>
        <v>1</v>
      </c>
      <c r="C131" s="5">
        <f>MIN(1,MAX(0,POOL_BEDS-(A131-1)))</f>
        <v>1</v>
      </c>
      <c r="D131" s="5">
        <f>FREED*(C131+(1-C131)*PAST_POOL_PCT)</f>
        <v>252.05322714681438</v>
      </c>
      <c r="E131" s="13">
        <f>D131*(C_AVOID+ACUTE_MARGIN)</f>
        <v>254573.7594182825</v>
      </c>
      <c r="F131" s="13">
        <f>D131*(RANGE_LO+ACUTE_MARGIN)</f>
        <v>138629.2749307479</v>
      </c>
      <c r="G131" s="13">
        <f>D131*(RANGE_HI+ACUTE_MARGIN)</f>
        <v>370518.24390581716</v>
      </c>
      <c r="H131" s="13">
        <f>IF(B131=1,COST_YR_RUNG1,COST_YR_RUNG2)</f>
        <v>152394.16214437486</v>
      </c>
      <c r="I131" s="13">
        <f>E131-H131</f>
        <v>102179.59727390765</v>
      </c>
      <c r="J131" s="13">
        <f>J130+I131</f>
        <v>12976808.85378631</v>
      </c>
      <c r="K131">
        <f>IF(J131=MAX($J$4:$J$404),A131,0)</f>
        <v>0</v>
      </c>
      <c r="L131">
        <f>IF(E131&lt;H131,A131,B_MAX+1)</f>
        <v>401.0</v>
      </c>
      <c r="M131" s="13">
        <f>IF(B131=1,GRANT_RUNG1,GRANT_RUNG2)</f>
        <v>0</v>
      </c>
      <c r="N131" s="13">
        <f>OCC_DAYS*MCD_SHARE_BED*R_NF_2023-D131*MCD_SHARE_FREED*R_WAIT_2023</f>
        <v>37367.159242427646</v>
      </c>
      <c r="O131">
        <f>IF(A131&lt;=BEDS,1,0)</f>
        <v>1</v>
      </c>
    </row>
    <row r="132">
      <c r="A132" t="n">
        <v>128</v>
      </c>
      <c r="B132">
        <f>IF(COST_YR_RUNG1&lt;=COST_YR_RUNG2,IF(A132&lt;=RUNG_BEDS_1,1,2),IF(A132&lt;=RUNG_BEDS_2,2,1))</f>
        <v>1</v>
      </c>
      <c r="C132" s="5">
        <f>MIN(1,MAX(0,POOL_BEDS-(A132-1)))</f>
        <v>1</v>
      </c>
      <c r="D132" s="5">
        <f>FREED*(C132+(1-C132)*PAST_POOL_PCT)</f>
        <v>252.05322714681438</v>
      </c>
      <c r="E132" s="13">
        <f>D132*(C_AVOID+ACUTE_MARGIN)</f>
        <v>254573.7594182825</v>
      </c>
      <c r="F132" s="13">
        <f>D132*(RANGE_LO+ACUTE_MARGIN)</f>
        <v>138629.2749307479</v>
      </c>
      <c r="G132" s="13">
        <f>D132*(RANGE_HI+ACUTE_MARGIN)</f>
        <v>370518.24390581716</v>
      </c>
      <c r="H132" s="13">
        <f>IF(B132=1,COST_YR_RUNG1,COST_YR_RUNG2)</f>
        <v>152394.16214437486</v>
      </c>
      <c r="I132" s="13">
        <f>E132-H132</f>
        <v>102179.59727390765</v>
      </c>
      <c r="J132" s="13">
        <f>J131+I132</f>
        <v>13078988.451060219</v>
      </c>
      <c r="K132">
        <f>IF(J132=MAX($J$4:$J$404),A132,0)</f>
        <v>0</v>
      </c>
      <c r="L132">
        <f>IF(E132&lt;H132,A132,B_MAX+1)</f>
        <v>401.0</v>
      </c>
      <c r="M132" s="13">
        <f>IF(B132=1,GRANT_RUNG1,GRANT_RUNG2)</f>
        <v>0</v>
      </c>
      <c r="N132" s="13">
        <f>OCC_DAYS*MCD_SHARE_BED*R_NF_2023-D132*MCD_SHARE_FREED*R_WAIT_2023</f>
        <v>37367.159242427646</v>
      </c>
      <c r="O132">
        <f>IF(A132&lt;=BEDS,1,0)</f>
        <v>1</v>
      </c>
    </row>
    <row r="133">
      <c r="A133" t="n">
        <v>129</v>
      </c>
      <c r="B133">
        <f>IF(COST_YR_RUNG1&lt;=COST_YR_RUNG2,IF(A133&lt;=RUNG_BEDS_1,1,2),IF(A133&lt;=RUNG_BEDS_2,2,1))</f>
        <v>1</v>
      </c>
      <c r="C133" s="5">
        <f>MIN(1,MAX(0,POOL_BEDS-(A133-1)))</f>
        <v>1</v>
      </c>
      <c r="D133" s="5">
        <f>FREED*(C133+(1-C133)*PAST_POOL_PCT)</f>
        <v>252.05322714681438</v>
      </c>
      <c r="E133" s="13">
        <f>D133*(C_AVOID+ACUTE_MARGIN)</f>
        <v>254573.7594182825</v>
      </c>
      <c r="F133" s="13">
        <f>D133*(RANGE_LO+ACUTE_MARGIN)</f>
        <v>138629.2749307479</v>
      </c>
      <c r="G133" s="13">
        <f>D133*(RANGE_HI+ACUTE_MARGIN)</f>
        <v>370518.24390581716</v>
      </c>
      <c r="H133" s="13">
        <f>IF(B133=1,COST_YR_RUNG1,COST_YR_RUNG2)</f>
        <v>152394.16214437486</v>
      </c>
      <c r="I133" s="13">
        <f>E133-H133</f>
        <v>102179.59727390765</v>
      </c>
      <c r="J133" s="13">
        <f>J132+I133</f>
        <v>13181168.048334127</v>
      </c>
      <c r="K133">
        <f>IF(J133=MAX($J$4:$J$404),A133,0)</f>
        <v>0</v>
      </c>
      <c r="L133">
        <f>IF(E133&lt;H133,A133,B_MAX+1)</f>
        <v>401.0</v>
      </c>
      <c r="M133" s="13">
        <f>IF(B133=1,GRANT_RUNG1,GRANT_RUNG2)</f>
        <v>0</v>
      </c>
      <c r="N133" s="13">
        <f>OCC_DAYS*MCD_SHARE_BED*R_NF_2023-D133*MCD_SHARE_FREED*R_WAIT_2023</f>
        <v>37367.159242427646</v>
      </c>
      <c r="O133">
        <f>IF(A133&lt;=BEDS,1,0)</f>
        <v>1</v>
      </c>
    </row>
    <row r="134">
      <c r="A134" t="n">
        <v>130</v>
      </c>
      <c r="B134">
        <f>IF(COST_YR_RUNG1&lt;=COST_YR_RUNG2,IF(A134&lt;=RUNG_BEDS_1,1,2),IF(A134&lt;=RUNG_BEDS_2,2,1))</f>
        <v>1</v>
      </c>
      <c r="C134" s="5">
        <f>MIN(1,MAX(0,POOL_BEDS-(A134-1)))</f>
        <v>1</v>
      </c>
      <c r="D134" s="5">
        <f>FREED*(C134+(1-C134)*PAST_POOL_PCT)</f>
        <v>252.05322714681438</v>
      </c>
      <c r="E134" s="13">
        <f>D134*(C_AVOID+ACUTE_MARGIN)</f>
        <v>254573.7594182825</v>
      </c>
      <c r="F134" s="13">
        <f>D134*(RANGE_LO+ACUTE_MARGIN)</f>
        <v>138629.2749307479</v>
      </c>
      <c r="G134" s="13">
        <f>D134*(RANGE_HI+ACUTE_MARGIN)</f>
        <v>370518.24390581716</v>
      </c>
      <c r="H134" s="13">
        <f>IF(B134=1,COST_YR_RUNG1,COST_YR_RUNG2)</f>
        <v>152394.16214437486</v>
      </c>
      <c r="I134" s="13">
        <f>E134-H134</f>
        <v>102179.59727390765</v>
      </c>
      <c r="J134" s="13">
        <f>J133+I134</f>
        <v>13283347.645608036</v>
      </c>
      <c r="K134">
        <f>IF(J134=MAX($J$4:$J$404),A134,0)</f>
        <v>0</v>
      </c>
      <c r="L134">
        <f>IF(E134&lt;H134,A134,B_MAX+1)</f>
        <v>401.0</v>
      </c>
      <c r="M134" s="13">
        <f>IF(B134=1,GRANT_RUNG1,GRANT_RUNG2)</f>
        <v>0</v>
      </c>
      <c r="N134" s="13">
        <f>OCC_DAYS*MCD_SHARE_BED*R_NF_2023-D134*MCD_SHARE_FREED*R_WAIT_2023</f>
        <v>37367.159242427646</v>
      </c>
      <c r="O134">
        <f>IF(A134&lt;=BEDS,1,0)</f>
        <v>1</v>
      </c>
    </row>
    <row r="135">
      <c r="A135" t="n">
        <v>131</v>
      </c>
      <c r="B135">
        <f>IF(COST_YR_RUNG1&lt;=COST_YR_RUNG2,IF(A135&lt;=RUNG_BEDS_1,1,2),IF(A135&lt;=RUNG_BEDS_2,2,1))</f>
        <v>1</v>
      </c>
      <c r="C135" s="5">
        <f>MIN(1,MAX(0,POOL_BEDS-(A135-1)))</f>
        <v>1</v>
      </c>
      <c r="D135" s="5">
        <f>FREED*(C135+(1-C135)*PAST_POOL_PCT)</f>
        <v>252.05322714681438</v>
      </c>
      <c r="E135" s="13">
        <f>D135*(C_AVOID+ACUTE_MARGIN)</f>
        <v>254573.7594182825</v>
      </c>
      <c r="F135" s="13">
        <f>D135*(RANGE_LO+ACUTE_MARGIN)</f>
        <v>138629.2749307479</v>
      </c>
      <c r="G135" s="13">
        <f>D135*(RANGE_HI+ACUTE_MARGIN)</f>
        <v>370518.24390581716</v>
      </c>
      <c r="H135" s="13">
        <f>IF(B135=1,COST_YR_RUNG1,COST_YR_RUNG2)</f>
        <v>152394.16214437486</v>
      </c>
      <c r="I135" s="13">
        <f>E135-H135</f>
        <v>102179.59727390765</v>
      </c>
      <c r="J135" s="13">
        <f>J134+I135</f>
        <v>13385527.242881944</v>
      </c>
      <c r="K135">
        <f>IF(J135=MAX($J$4:$J$404),A135,0)</f>
        <v>0</v>
      </c>
      <c r="L135">
        <f>IF(E135&lt;H135,A135,B_MAX+1)</f>
        <v>401.0</v>
      </c>
      <c r="M135" s="13">
        <f>IF(B135=1,GRANT_RUNG1,GRANT_RUNG2)</f>
        <v>0</v>
      </c>
      <c r="N135" s="13">
        <f>OCC_DAYS*MCD_SHARE_BED*R_NF_2023-D135*MCD_SHARE_FREED*R_WAIT_2023</f>
        <v>37367.159242427646</v>
      </c>
      <c r="O135">
        <f>IF(A135&lt;=BEDS,1,0)</f>
        <v>1</v>
      </c>
    </row>
    <row r="136">
      <c r="A136" t="n">
        <v>132</v>
      </c>
      <c r="B136">
        <f>IF(COST_YR_RUNG1&lt;=COST_YR_RUNG2,IF(A136&lt;=RUNG_BEDS_1,1,2),IF(A136&lt;=RUNG_BEDS_2,2,1))</f>
        <v>1</v>
      </c>
      <c r="C136" s="5">
        <f>MIN(1,MAX(0,POOL_BEDS-(A136-1)))</f>
        <v>1</v>
      </c>
      <c r="D136" s="5">
        <f>FREED*(C136+(1-C136)*PAST_POOL_PCT)</f>
        <v>252.05322714681438</v>
      </c>
      <c r="E136" s="13">
        <f>D136*(C_AVOID+ACUTE_MARGIN)</f>
        <v>254573.7594182825</v>
      </c>
      <c r="F136" s="13">
        <f>D136*(RANGE_LO+ACUTE_MARGIN)</f>
        <v>138629.2749307479</v>
      </c>
      <c r="G136" s="13">
        <f>D136*(RANGE_HI+ACUTE_MARGIN)</f>
        <v>370518.24390581716</v>
      </c>
      <c r="H136" s="13">
        <f>IF(B136=1,COST_YR_RUNG1,COST_YR_RUNG2)</f>
        <v>152394.16214437486</v>
      </c>
      <c r="I136" s="13">
        <f>E136-H136</f>
        <v>102179.59727390765</v>
      </c>
      <c r="J136" s="13">
        <f>J135+I136</f>
        <v>13487706.840155853</v>
      </c>
      <c r="K136">
        <f>IF(J136=MAX($J$4:$J$404),A136,0)</f>
        <v>0</v>
      </c>
      <c r="L136">
        <f>IF(E136&lt;H136,A136,B_MAX+1)</f>
        <v>401.0</v>
      </c>
      <c r="M136" s="13">
        <f>IF(B136=1,GRANT_RUNG1,GRANT_RUNG2)</f>
        <v>0</v>
      </c>
      <c r="N136" s="13">
        <f>OCC_DAYS*MCD_SHARE_BED*R_NF_2023-D136*MCD_SHARE_FREED*R_WAIT_2023</f>
        <v>37367.159242427646</v>
      </c>
      <c r="O136">
        <f>IF(A136&lt;=BEDS,1,0)</f>
        <v>1</v>
      </c>
    </row>
    <row r="137">
      <c r="A137" t="n">
        <v>133</v>
      </c>
      <c r="B137">
        <f>IF(COST_YR_RUNG1&lt;=COST_YR_RUNG2,IF(A137&lt;=RUNG_BEDS_1,1,2),IF(A137&lt;=RUNG_BEDS_2,2,1))</f>
        <v>1</v>
      </c>
      <c r="C137" s="5">
        <f>MIN(1,MAX(0,POOL_BEDS-(A137-1)))</f>
        <v>1</v>
      </c>
      <c r="D137" s="5">
        <f>FREED*(C137+(1-C137)*PAST_POOL_PCT)</f>
        <v>252.05322714681438</v>
      </c>
      <c r="E137" s="13">
        <f>D137*(C_AVOID+ACUTE_MARGIN)</f>
        <v>254573.7594182825</v>
      </c>
      <c r="F137" s="13">
        <f>D137*(RANGE_LO+ACUTE_MARGIN)</f>
        <v>138629.2749307479</v>
      </c>
      <c r="G137" s="13">
        <f>D137*(RANGE_HI+ACUTE_MARGIN)</f>
        <v>370518.24390581716</v>
      </c>
      <c r="H137" s="13">
        <f>IF(B137=1,COST_YR_RUNG1,COST_YR_RUNG2)</f>
        <v>152394.16214437486</v>
      </c>
      <c r="I137" s="13">
        <f>E137-H137</f>
        <v>102179.59727390765</v>
      </c>
      <c r="J137" s="13">
        <f>J136+I137</f>
        <v>13589886.437429762</v>
      </c>
      <c r="K137">
        <f>IF(J137=MAX($J$4:$J$404),A137,0)</f>
        <v>0</v>
      </c>
      <c r="L137">
        <f>IF(E137&lt;H137,A137,B_MAX+1)</f>
        <v>401.0</v>
      </c>
      <c r="M137" s="13">
        <f>IF(B137=1,GRANT_RUNG1,GRANT_RUNG2)</f>
        <v>0</v>
      </c>
      <c r="N137" s="13">
        <f>OCC_DAYS*MCD_SHARE_BED*R_NF_2023-D137*MCD_SHARE_FREED*R_WAIT_2023</f>
        <v>37367.159242427646</v>
      </c>
      <c r="O137">
        <f>IF(A137&lt;=BEDS,1,0)</f>
        <v>1</v>
      </c>
    </row>
    <row r="138">
      <c r="A138" t="n">
        <v>134</v>
      </c>
      <c r="B138">
        <f>IF(COST_YR_RUNG1&lt;=COST_YR_RUNG2,IF(A138&lt;=RUNG_BEDS_1,1,2),IF(A138&lt;=RUNG_BEDS_2,2,1))</f>
        <v>1</v>
      </c>
      <c r="C138" s="5">
        <f>MIN(1,MAX(0,POOL_BEDS-(A138-1)))</f>
        <v>1</v>
      </c>
      <c r="D138" s="5">
        <f>FREED*(C138+(1-C138)*PAST_POOL_PCT)</f>
        <v>252.05322714681438</v>
      </c>
      <c r="E138" s="13">
        <f>D138*(C_AVOID+ACUTE_MARGIN)</f>
        <v>254573.7594182825</v>
      </c>
      <c r="F138" s="13">
        <f>D138*(RANGE_LO+ACUTE_MARGIN)</f>
        <v>138629.2749307479</v>
      </c>
      <c r="G138" s="13">
        <f>D138*(RANGE_HI+ACUTE_MARGIN)</f>
        <v>370518.24390581716</v>
      </c>
      <c r="H138" s="13">
        <f>IF(B138=1,COST_YR_RUNG1,COST_YR_RUNG2)</f>
        <v>152394.16214437486</v>
      </c>
      <c r="I138" s="13">
        <f>E138-H138</f>
        <v>102179.59727390765</v>
      </c>
      <c r="J138" s="13">
        <f>J137+I138</f>
        <v>13692066.03470367</v>
      </c>
      <c r="K138">
        <f>IF(J138=MAX($J$4:$J$404),A138,0)</f>
        <v>0</v>
      </c>
      <c r="L138">
        <f>IF(E138&lt;H138,A138,B_MAX+1)</f>
        <v>401.0</v>
      </c>
      <c r="M138" s="13">
        <f>IF(B138=1,GRANT_RUNG1,GRANT_RUNG2)</f>
        <v>0</v>
      </c>
      <c r="N138" s="13">
        <f>OCC_DAYS*MCD_SHARE_BED*R_NF_2023-D138*MCD_SHARE_FREED*R_WAIT_2023</f>
        <v>37367.159242427646</v>
      </c>
      <c r="O138">
        <f>IF(A138&lt;=BEDS,1,0)</f>
        <v>1</v>
      </c>
    </row>
    <row r="139">
      <c r="A139" t="n">
        <v>135</v>
      </c>
      <c r="B139">
        <f>IF(COST_YR_RUNG1&lt;=COST_YR_RUNG2,IF(A139&lt;=RUNG_BEDS_1,1,2),IF(A139&lt;=RUNG_BEDS_2,2,1))</f>
        <v>1</v>
      </c>
      <c r="C139" s="5">
        <f>MIN(1,MAX(0,POOL_BEDS-(A139-1)))</f>
        <v>1</v>
      </c>
      <c r="D139" s="5">
        <f>FREED*(C139+(1-C139)*PAST_POOL_PCT)</f>
        <v>252.05322714681438</v>
      </c>
      <c r="E139" s="13">
        <f>D139*(C_AVOID+ACUTE_MARGIN)</f>
        <v>254573.7594182825</v>
      </c>
      <c r="F139" s="13">
        <f>D139*(RANGE_LO+ACUTE_MARGIN)</f>
        <v>138629.2749307479</v>
      </c>
      <c r="G139" s="13">
        <f>D139*(RANGE_HI+ACUTE_MARGIN)</f>
        <v>370518.24390581716</v>
      </c>
      <c r="H139" s="13">
        <f>IF(B139=1,COST_YR_RUNG1,COST_YR_RUNG2)</f>
        <v>152394.16214437486</v>
      </c>
      <c r="I139" s="13">
        <f>E139-H139</f>
        <v>102179.59727390765</v>
      </c>
      <c r="J139" s="13">
        <f>J138+I139</f>
        <v>13794245.631977579</v>
      </c>
      <c r="K139">
        <f>IF(J139=MAX($J$4:$J$404),A139,0)</f>
        <v>0</v>
      </c>
      <c r="L139">
        <f>IF(E139&lt;H139,A139,B_MAX+1)</f>
        <v>401.0</v>
      </c>
      <c r="M139" s="13">
        <f>IF(B139=1,GRANT_RUNG1,GRANT_RUNG2)</f>
        <v>0</v>
      </c>
      <c r="N139" s="13">
        <f>OCC_DAYS*MCD_SHARE_BED*R_NF_2023-D139*MCD_SHARE_FREED*R_WAIT_2023</f>
        <v>37367.159242427646</v>
      </c>
      <c r="O139">
        <f>IF(A139&lt;=BEDS,1,0)</f>
        <v>1</v>
      </c>
    </row>
    <row r="140">
      <c r="A140" t="n">
        <v>136</v>
      </c>
      <c r="B140">
        <f>IF(COST_YR_RUNG1&lt;=COST_YR_RUNG2,IF(A140&lt;=RUNG_BEDS_1,1,2),IF(A140&lt;=RUNG_BEDS_2,2,1))</f>
        <v>1</v>
      </c>
      <c r="C140" s="5">
        <f>MIN(1,MAX(0,POOL_BEDS-(A140-1)))</f>
        <v>1</v>
      </c>
      <c r="D140" s="5">
        <f>FREED*(C140+(1-C140)*PAST_POOL_PCT)</f>
        <v>252.05322714681438</v>
      </c>
      <c r="E140" s="13">
        <f>D140*(C_AVOID+ACUTE_MARGIN)</f>
        <v>254573.7594182825</v>
      </c>
      <c r="F140" s="13">
        <f>D140*(RANGE_LO+ACUTE_MARGIN)</f>
        <v>138629.2749307479</v>
      </c>
      <c r="G140" s="13">
        <f>D140*(RANGE_HI+ACUTE_MARGIN)</f>
        <v>370518.24390581716</v>
      </c>
      <c r="H140" s="13">
        <f>IF(B140=1,COST_YR_RUNG1,COST_YR_RUNG2)</f>
        <v>152394.16214437486</v>
      </c>
      <c r="I140" s="13">
        <f>E140-H140</f>
        <v>102179.59727390765</v>
      </c>
      <c r="J140" s="13">
        <f>J139+I140</f>
        <v>13896425.229251487</v>
      </c>
      <c r="K140">
        <f>IF(J140=MAX($J$4:$J$404),A140,0)</f>
        <v>0</v>
      </c>
      <c r="L140">
        <f>IF(E140&lt;H140,A140,B_MAX+1)</f>
        <v>401.0</v>
      </c>
      <c r="M140" s="13">
        <f>IF(B140=1,GRANT_RUNG1,GRANT_RUNG2)</f>
        <v>0</v>
      </c>
      <c r="N140" s="13">
        <f>OCC_DAYS*MCD_SHARE_BED*R_NF_2023-D140*MCD_SHARE_FREED*R_WAIT_2023</f>
        <v>37367.159242427646</v>
      </c>
      <c r="O140">
        <f>IF(A140&lt;=BEDS,1,0)</f>
        <v>1</v>
      </c>
    </row>
    <row r="141">
      <c r="A141" t="n">
        <v>137</v>
      </c>
      <c r="B141">
        <f>IF(COST_YR_RUNG1&lt;=COST_YR_RUNG2,IF(A141&lt;=RUNG_BEDS_1,1,2),IF(A141&lt;=RUNG_BEDS_2,2,1))</f>
        <v>1</v>
      </c>
      <c r="C141" s="5">
        <f>MIN(1,MAX(0,POOL_BEDS-(A141-1)))</f>
        <v>1</v>
      </c>
      <c r="D141" s="5">
        <f>FREED*(C141+(1-C141)*PAST_POOL_PCT)</f>
        <v>252.05322714681438</v>
      </c>
      <c r="E141" s="13">
        <f>D141*(C_AVOID+ACUTE_MARGIN)</f>
        <v>254573.7594182825</v>
      </c>
      <c r="F141" s="13">
        <f>D141*(RANGE_LO+ACUTE_MARGIN)</f>
        <v>138629.2749307479</v>
      </c>
      <c r="G141" s="13">
        <f>D141*(RANGE_HI+ACUTE_MARGIN)</f>
        <v>370518.24390581716</v>
      </c>
      <c r="H141" s="13">
        <f>IF(B141=1,COST_YR_RUNG1,COST_YR_RUNG2)</f>
        <v>152394.16214437486</v>
      </c>
      <c r="I141" s="13">
        <f>E141-H141</f>
        <v>102179.59727390765</v>
      </c>
      <c r="J141" s="13">
        <f>J140+I141</f>
        <v>13998604.826525396</v>
      </c>
      <c r="K141">
        <f>IF(J141=MAX($J$4:$J$404),A141,0)</f>
        <v>0</v>
      </c>
      <c r="L141">
        <f>IF(E141&lt;H141,A141,B_MAX+1)</f>
        <v>401.0</v>
      </c>
      <c r="M141" s="13">
        <f>IF(B141=1,GRANT_RUNG1,GRANT_RUNG2)</f>
        <v>0</v>
      </c>
      <c r="N141" s="13">
        <f>OCC_DAYS*MCD_SHARE_BED*R_NF_2023-D141*MCD_SHARE_FREED*R_WAIT_2023</f>
        <v>37367.159242427646</v>
      </c>
      <c r="O141">
        <f>IF(A141&lt;=BEDS,1,0)</f>
        <v>1</v>
      </c>
    </row>
    <row r="142">
      <c r="A142" t="n">
        <v>138</v>
      </c>
      <c r="B142">
        <f>IF(COST_YR_RUNG1&lt;=COST_YR_RUNG2,IF(A142&lt;=RUNG_BEDS_1,1,2),IF(A142&lt;=RUNG_BEDS_2,2,1))</f>
        <v>1</v>
      </c>
      <c r="C142" s="5">
        <f>MIN(1,MAX(0,POOL_BEDS-(A142-1)))</f>
        <v>1</v>
      </c>
      <c r="D142" s="5">
        <f>FREED*(C142+(1-C142)*PAST_POOL_PCT)</f>
        <v>252.05322714681438</v>
      </c>
      <c r="E142" s="13">
        <f>D142*(C_AVOID+ACUTE_MARGIN)</f>
        <v>254573.7594182825</v>
      </c>
      <c r="F142" s="13">
        <f>D142*(RANGE_LO+ACUTE_MARGIN)</f>
        <v>138629.2749307479</v>
      </c>
      <c r="G142" s="13">
        <f>D142*(RANGE_HI+ACUTE_MARGIN)</f>
        <v>370518.24390581716</v>
      </c>
      <c r="H142" s="13">
        <f>IF(B142=1,COST_YR_RUNG1,COST_YR_RUNG2)</f>
        <v>152394.16214437486</v>
      </c>
      <c r="I142" s="13">
        <f>E142-H142</f>
        <v>102179.59727390765</v>
      </c>
      <c r="J142" s="13">
        <f>J141+I142</f>
        <v>14100784.423799304</v>
      </c>
      <c r="K142">
        <f>IF(J142=MAX($J$4:$J$404),A142,0)</f>
        <v>0</v>
      </c>
      <c r="L142">
        <f>IF(E142&lt;H142,A142,B_MAX+1)</f>
        <v>401.0</v>
      </c>
      <c r="M142" s="13">
        <f>IF(B142=1,GRANT_RUNG1,GRANT_RUNG2)</f>
        <v>0</v>
      </c>
      <c r="N142" s="13">
        <f>OCC_DAYS*MCD_SHARE_BED*R_NF_2023-D142*MCD_SHARE_FREED*R_WAIT_2023</f>
        <v>37367.159242427646</v>
      </c>
      <c r="O142">
        <f>IF(A142&lt;=BEDS,1,0)</f>
        <v>1</v>
      </c>
    </row>
    <row r="143">
      <c r="A143" t="n">
        <v>139</v>
      </c>
      <c r="B143">
        <f>IF(COST_YR_RUNG1&lt;=COST_YR_RUNG2,IF(A143&lt;=RUNG_BEDS_1,1,2),IF(A143&lt;=RUNG_BEDS_2,2,1))</f>
        <v>1</v>
      </c>
      <c r="C143" s="5">
        <f>MIN(1,MAX(0,POOL_BEDS-(A143-1)))</f>
        <v>1</v>
      </c>
      <c r="D143" s="5">
        <f>FREED*(C143+(1-C143)*PAST_POOL_PCT)</f>
        <v>252.05322714681438</v>
      </c>
      <c r="E143" s="13">
        <f>D143*(C_AVOID+ACUTE_MARGIN)</f>
        <v>254573.7594182825</v>
      </c>
      <c r="F143" s="13">
        <f>D143*(RANGE_LO+ACUTE_MARGIN)</f>
        <v>138629.2749307479</v>
      </c>
      <c r="G143" s="13">
        <f>D143*(RANGE_HI+ACUTE_MARGIN)</f>
        <v>370518.24390581716</v>
      </c>
      <c r="H143" s="13">
        <f>IF(B143=1,COST_YR_RUNG1,COST_YR_RUNG2)</f>
        <v>152394.16214437486</v>
      </c>
      <c r="I143" s="13">
        <f>E143-H143</f>
        <v>102179.59727390765</v>
      </c>
      <c r="J143" s="13">
        <f>J142+I143</f>
        <v>14202964.021073213</v>
      </c>
      <c r="K143">
        <f>IF(J143=MAX($J$4:$J$404),A143,0)</f>
        <v>0</v>
      </c>
      <c r="L143">
        <f>IF(E143&lt;H143,A143,B_MAX+1)</f>
        <v>401.0</v>
      </c>
      <c r="M143" s="13">
        <f>IF(B143=1,GRANT_RUNG1,GRANT_RUNG2)</f>
        <v>0</v>
      </c>
      <c r="N143" s="13">
        <f>OCC_DAYS*MCD_SHARE_BED*R_NF_2023-D143*MCD_SHARE_FREED*R_WAIT_2023</f>
        <v>37367.159242427646</v>
      </c>
      <c r="O143">
        <f>IF(A143&lt;=BEDS,1,0)</f>
        <v>1</v>
      </c>
    </row>
    <row r="144">
      <c r="A144" t="n">
        <v>140</v>
      </c>
      <c r="B144">
        <f>IF(COST_YR_RUNG1&lt;=COST_YR_RUNG2,IF(A144&lt;=RUNG_BEDS_1,1,2),IF(A144&lt;=RUNG_BEDS_2,2,1))</f>
        <v>1</v>
      </c>
      <c r="C144" s="5">
        <f>MIN(1,MAX(0,POOL_BEDS-(A144-1)))</f>
        <v>1</v>
      </c>
      <c r="D144" s="5">
        <f>FREED*(C144+(1-C144)*PAST_POOL_PCT)</f>
        <v>252.05322714681438</v>
      </c>
      <c r="E144" s="13">
        <f>D144*(C_AVOID+ACUTE_MARGIN)</f>
        <v>254573.7594182825</v>
      </c>
      <c r="F144" s="13">
        <f>D144*(RANGE_LO+ACUTE_MARGIN)</f>
        <v>138629.2749307479</v>
      </c>
      <c r="G144" s="13">
        <f>D144*(RANGE_HI+ACUTE_MARGIN)</f>
        <v>370518.24390581716</v>
      </c>
      <c r="H144" s="13">
        <f>IF(B144=1,COST_YR_RUNG1,COST_YR_RUNG2)</f>
        <v>152394.16214437486</v>
      </c>
      <c r="I144" s="13">
        <f>E144-H144</f>
        <v>102179.59727390765</v>
      </c>
      <c r="J144" s="13">
        <f>J143+I144</f>
        <v>14305143.618347121</v>
      </c>
      <c r="K144">
        <f>IF(J144=MAX($J$4:$J$404),A144,0)</f>
        <v>0</v>
      </c>
      <c r="L144">
        <f>IF(E144&lt;H144,A144,B_MAX+1)</f>
        <v>401.0</v>
      </c>
      <c r="M144" s="13">
        <f>IF(B144=1,GRANT_RUNG1,GRANT_RUNG2)</f>
        <v>0</v>
      </c>
      <c r="N144" s="13">
        <f>OCC_DAYS*MCD_SHARE_BED*R_NF_2023-D144*MCD_SHARE_FREED*R_WAIT_2023</f>
        <v>37367.159242427646</v>
      </c>
      <c r="O144">
        <f>IF(A144&lt;=BEDS,1,0)</f>
        <v>1</v>
      </c>
    </row>
    <row r="145">
      <c r="A145" t="n">
        <v>141</v>
      </c>
      <c r="B145">
        <f>IF(COST_YR_RUNG1&lt;=COST_YR_RUNG2,IF(A145&lt;=RUNG_BEDS_1,1,2),IF(A145&lt;=RUNG_BEDS_2,2,1))</f>
        <v>1</v>
      </c>
      <c r="C145" s="5">
        <f>MIN(1,MAX(0,POOL_BEDS-(A145-1)))</f>
        <v>1</v>
      </c>
      <c r="D145" s="5">
        <f>FREED*(C145+(1-C145)*PAST_POOL_PCT)</f>
        <v>252.05322714681438</v>
      </c>
      <c r="E145" s="13">
        <f>D145*(C_AVOID+ACUTE_MARGIN)</f>
        <v>254573.7594182825</v>
      </c>
      <c r="F145" s="13">
        <f>D145*(RANGE_LO+ACUTE_MARGIN)</f>
        <v>138629.2749307479</v>
      </c>
      <c r="G145" s="13">
        <f>D145*(RANGE_HI+ACUTE_MARGIN)</f>
        <v>370518.24390581716</v>
      </c>
      <c r="H145" s="13">
        <f>IF(B145=1,COST_YR_RUNG1,COST_YR_RUNG2)</f>
        <v>152394.16214437486</v>
      </c>
      <c r="I145" s="13">
        <f>E145-H145</f>
        <v>102179.59727390765</v>
      </c>
      <c r="J145" s="13">
        <f>J144+I145</f>
        <v>14407323.21562103</v>
      </c>
      <c r="K145">
        <f>IF(J145=MAX($J$4:$J$404),A145,0)</f>
        <v>0</v>
      </c>
      <c r="L145">
        <f>IF(E145&lt;H145,A145,B_MAX+1)</f>
        <v>401.0</v>
      </c>
      <c r="M145" s="13">
        <f>IF(B145=1,GRANT_RUNG1,GRANT_RUNG2)</f>
        <v>0</v>
      </c>
      <c r="N145" s="13">
        <f>OCC_DAYS*MCD_SHARE_BED*R_NF_2023-D145*MCD_SHARE_FREED*R_WAIT_2023</f>
        <v>37367.159242427646</v>
      </c>
      <c r="O145">
        <f>IF(A145&lt;=BEDS,1,0)</f>
        <v>1</v>
      </c>
    </row>
    <row r="146">
      <c r="A146" t="n">
        <v>142</v>
      </c>
      <c r="B146">
        <f>IF(COST_YR_RUNG1&lt;=COST_YR_RUNG2,IF(A146&lt;=RUNG_BEDS_1,1,2),IF(A146&lt;=RUNG_BEDS_2,2,1))</f>
        <v>1</v>
      </c>
      <c r="C146" s="5">
        <f>MIN(1,MAX(0,POOL_BEDS-(A146-1)))</f>
        <v>1</v>
      </c>
      <c r="D146" s="5">
        <f>FREED*(C146+(1-C146)*PAST_POOL_PCT)</f>
        <v>252.05322714681438</v>
      </c>
      <c r="E146" s="13">
        <f>D146*(C_AVOID+ACUTE_MARGIN)</f>
        <v>254573.7594182825</v>
      </c>
      <c r="F146" s="13">
        <f>D146*(RANGE_LO+ACUTE_MARGIN)</f>
        <v>138629.2749307479</v>
      </c>
      <c r="G146" s="13">
        <f>D146*(RANGE_HI+ACUTE_MARGIN)</f>
        <v>370518.24390581716</v>
      </c>
      <c r="H146" s="13">
        <f>IF(B146=1,COST_YR_RUNG1,COST_YR_RUNG2)</f>
        <v>152394.16214437486</v>
      </c>
      <c r="I146" s="13">
        <f>E146-H146</f>
        <v>102179.59727390765</v>
      </c>
      <c r="J146" s="13">
        <f>J145+I146</f>
        <v>14509502.812894939</v>
      </c>
      <c r="K146">
        <f>IF(J146=MAX($J$4:$J$404),A146,0)</f>
        <v>0</v>
      </c>
      <c r="L146">
        <f>IF(E146&lt;H146,A146,B_MAX+1)</f>
        <v>401.0</v>
      </c>
      <c r="M146" s="13">
        <f>IF(B146=1,GRANT_RUNG1,GRANT_RUNG2)</f>
        <v>0</v>
      </c>
      <c r="N146" s="13">
        <f>OCC_DAYS*MCD_SHARE_BED*R_NF_2023-D146*MCD_SHARE_FREED*R_WAIT_2023</f>
        <v>37367.159242427646</v>
      </c>
      <c r="O146">
        <f>IF(A146&lt;=BEDS,1,0)</f>
        <v>1</v>
      </c>
    </row>
    <row r="147">
      <c r="A147" t="n">
        <v>143</v>
      </c>
      <c r="B147">
        <f>IF(COST_YR_RUNG1&lt;=COST_YR_RUNG2,IF(A147&lt;=RUNG_BEDS_1,1,2),IF(A147&lt;=RUNG_BEDS_2,2,1))</f>
        <v>1</v>
      </c>
      <c r="C147" s="5">
        <f>MIN(1,MAX(0,POOL_BEDS-(A147-1)))</f>
        <v>1</v>
      </c>
      <c r="D147" s="5">
        <f>FREED*(C147+(1-C147)*PAST_POOL_PCT)</f>
        <v>252.05322714681438</v>
      </c>
      <c r="E147" s="13">
        <f>D147*(C_AVOID+ACUTE_MARGIN)</f>
        <v>254573.7594182825</v>
      </c>
      <c r="F147" s="13">
        <f>D147*(RANGE_LO+ACUTE_MARGIN)</f>
        <v>138629.2749307479</v>
      </c>
      <c r="G147" s="13">
        <f>D147*(RANGE_HI+ACUTE_MARGIN)</f>
        <v>370518.24390581716</v>
      </c>
      <c r="H147" s="13">
        <f>IF(B147=1,COST_YR_RUNG1,COST_YR_RUNG2)</f>
        <v>152394.16214437486</v>
      </c>
      <c r="I147" s="13">
        <f>E147-H147</f>
        <v>102179.59727390765</v>
      </c>
      <c r="J147" s="13">
        <f>J146+I147</f>
        <v>14611682.410168847</v>
      </c>
      <c r="K147">
        <f>IF(J147=MAX($J$4:$J$404),A147,0)</f>
        <v>0</v>
      </c>
      <c r="L147">
        <f>IF(E147&lt;H147,A147,B_MAX+1)</f>
        <v>401.0</v>
      </c>
      <c r="M147" s="13">
        <f>IF(B147=1,GRANT_RUNG1,GRANT_RUNG2)</f>
        <v>0</v>
      </c>
      <c r="N147" s="13">
        <f>OCC_DAYS*MCD_SHARE_BED*R_NF_2023-D147*MCD_SHARE_FREED*R_WAIT_2023</f>
        <v>37367.159242427646</v>
      </c>
      <c r="O147">
        <f>IF(A147&lt;=BEDS,1,0)</f>
        <v>1</v>
      </c>
    </row>
    <row r="148">
      <c r="A148" t="n">
        <v>144</v>
      </c>
      <c r="B148">
        <f>IF(COST_YR_RUNG1&lt;=COST_YR_RUNG2,IF(A148&lt;=RUNG_BEDS_1,1,2),IF(A148&lt;=RUNG_BEDS_2,2,1))</f>
        <v>1</v>
      </c>
      <c r="C148" s="5">
        <f>MIN(1,MAX(0,POOL_BEDS-(A148-1)))</f>
        <v>1</v>
      </c>
      <c r="D148" s="5">
        <f>FREED*(C148+(1-C148)*PAST_POOL_PCT)</f>
        <v>252.05322714681438</v>
      </c>
      <c r="E148" s="13">
        <f>D148*(C_AVOID+ACUTE_MARGIN)</f>
        <v>254573.7594182825</v>
      </c>
      <c r="F148" s="13">
        <f>D148*(RANGE_LO+ACUTE_MARGIN)</f>
        <v>138629.2749307479</v>
      </c>
      <c r="G148" s="13">
        <f>D148*(RANGE_HI+ACUTE_MARGIN)</f>
        <v>370518.24390581716</v>
      </c>
      <c r="H148" s="13">
        <f>IF(B148=1,COST_YR_RUNG1,COST_YR_RUNG2)</f>
        <v>152394.16214437486</v>
      </c>
      <c r="I148" s="13">
        <f>E148-H148</f>
        <v>102179.59727390765</v>
      </c>
      <c r="J148" s="13">
        <f>J147+I148</f>
        <v>14713862.007442756</v>
      </c>
      <c r="K148">
        <f>IF(J148=MAX($J$4:$J$404),A148,0)</f>
        <v>0</v>
      </c>
      <c r="L148">
        <f>IF(E148&lt;H148,A148,B_MAX+1)</f>
        <v>401.0</v>
      </c>
      <c r="M148" s="13">
        <f>IF(B148=1,GRANT_RUNG1,GRANT_RUNG2)</f>
        <v>0</v>
      </c>
      <c r="N148" s="13">
        <f>OCC_DAYS*MCD_SHARE_BED*R_NF_2023-D148*MCD_SHARE_FREED*R_WAIT_2023</f>
        <v>37367.159242427646</v>
      </c>
      <c r="O148">
        <f>IF(A148&lt;=BEDS,1,0)</f>
        <v>1</v>
      </c>
    </row>
    <row r="149">
      <c r="A149" t="n">
        <v>145</v>
      </c>
      <c r="B149">
        <f>IF(COST_YR_RUNG1&lt;=COST_YR_RUNG2,IF(A149&lt;=RUNG_BEDS_1,1,2),IF(A149&lt;=RUNG_BEDS_2,2,1))</f>
        <v>1</v>
      </c>
      <c r="C149" s="5">
        <f>MIN(1,MAX(0,POOL_BEDS-(A149-1)))</f>
        <v>1</v>
      </c>
      <c r="D149" s="5">
        <f>FREED*(C149+(1-C149)*PAST_POOL_PCT)</f>
        <v>252.05322714681438</v>
      </c>
      <c r="E149" s="13">
        <f>D149*(C_AVOID+ACUTE_MARGIN)</f>
        <v>254573.7594182825</v>
      </c>
      <c r="F149" s="13">
        <f>D149*(RANGE_LO+ACUTE_MARGIN)</f>
        <v>138629.2749307479</v>
      </c>
      <c r="G149" s="13">
        <f>D149*(RANGE_HI+ACUTE_MARGIN)</f>
        <v>370518.24390581716</v>
      </c>
      <c r="H149" s="13">
        <f>IF(B149=1,COST_YR_RUNG1,COST_YR_RUNG2)</f>
        <v>152394.16214437486</v>
      </c>
      <c r="I149" s="13">
        <f>E149-H149</f>
        <v>102179.59727390765</v>
      </c>
      <c r="J149" s="13">
        <f>J148+I149</f>
        <v>14816041.604716664</v>
      </c>
      <c r="K149">
        <f>IF(J149=MAX($J$4:$J$404),A149,0)</f>
        <v>0</v>
      </c>
      <c r="L149">
        <f>IF(E149&lt;H149,A149,B_MAX+1)</f>
        <v>401.0</v>
      </c>
      <c r="M149" s="13">
        <f>IF(B149=1,GRANT_RUNG1,GRANT_RUNG2)</f>
        <v>0</v>
      </c>
      <c r="N149" s="13">
        <f>OCC_DAYS*MCD_SHARE_BED*R_NF_2023-D149*MCD_SHARE_FREED*R_WAIT_2023</f>
        <v>37367.159242427646</v>
      </c>
      <c r="O149">
        <f>IF(A149&lt;=BEDS,1,0)</f>
        <v>1</v>
      </c>
    </row>
    <row r="150">
      <c r="A150" t="n">
        <v>146</v>
      </c>
      <c r="B150">
        <f>IF(COST_YR_RUNG1&lt;=COST_YR_RUNG2,IF(A150&lt;=RUNG_BEDS_1,1,2),IF(A150&lt;=RUNG_BEDS_2,2,1))</f>
        <v>1</v>
      </c>
      <c r="C150" s="5">
        <f>MIN(1,MAX(0,POOL_BEDS-(A150-1)))</f>
        <v>1</v>
      </c>
      <c r="D150" s="5">
        <f>FREED*(C150+(1-C150)*PAST_POOL_PCT)</f>
        <v>252.05322714681438</v>
      </c>
      <c r="E150" s="13">
        <f>D150*(C_AVOID+ACUTE_MARGIN)</f>
        <v>254573.7594182825</v>
      </c>
      <c r="F150" s="13">
        <f>D150*(RANGE_LO+ACUTE_MARGIN)</f>
        <v>138629.2749307479</v>
      </c>
      <c r="G150" s="13">
        <f>D150*(RANGE_HI+ACUTE_MARGIN)</f>
        <v>370518.24390581716</v>
      </c>
      <c r="H150" s="13">
        <f>IF(B150=1,COST_YR_RUNG1,COST_YR_RUNG2)</f>
        <v>152394.16214437486</v>
      </c>
      <c r="I150" s="13">
        <f>E150-H150</f>
        <v>102179.59727390765</v>
      </c>
      <c r="J150" s="13">
        <f>J149+I150</f>
        <v>14918221.201990573</v>
      </c>
      <c r="K150">
        <f>IF(J150=MAX($J$4:$J$404),A150,0)</f>
        <v>0</v>
      </c>
      <c r="L150">
        <f>IF(E150&lt;H150,A150,B_MAX+1)</f>
        <v>401.0</v>
      </c>
      <c r="M150" s="13">
        <f>IF(B150=1,GRANT_RUNG1,GRANT_RUNG2)</f>
        <v>0</v>
      </c>
      <c r="N150" s="13">
        <f>OCC_DAYS*MCD_SHARE_BED*R_NF_2023-D150*MCD_SHARE_FREED*R_WAIT_2023</f>
        <v>37367.159242427646</v>
      </c>
      <c r="O150">
        <f>IF(A150&lt;=BEDS,1,0)</f>
        <v>1</v>
      </c>
    </row>
    <row r="151">
      <c r="A151" t="n">
        <v>147</v>
      </c>
      <c r="B151">
        <f>IF(COST_YR_RUNG1&lt;=COST_YR_RUNG2,IF(A151&lt;=RUNG_BEDS_1,1,2),IF(A151&lt;=RUNG_BEDS_2,2,1))</f>
        <v>1</v>
      </c>
      <c r="C151" s="5">
        <f>MIN(1,MAX(0,POOL_BEDS-(A151-1)))</f>
        <v>1</v>
      </c>
      <c r="D151" s="5">
        <f>FREED*(C151+(1-C151)*PAST_POOL_PCT)</f>
        <v>252.05322714681438</v>
      </c>
      <c r="E151" s="13">
        <f>D151*(C_AVOID+ACUTE_MARGIN)</f>
        <v>254573.7594182825</v>
      </c>
      <c r="F151" s="13">
        <f>D151*(RANGE_LO+ACUTE_MARGIN)</f>
        <v>138629.2749307479</v>
      </c>
      <c r="G151" s="13">
        <f>D151*(RANGE_HI+ACUTE_MARGIN)</f>
        <v>370518.24390581716</v>
      </c>
      <c r="H151" s="13">
        <f>IF(B151=1,COST_YR_RUNG1,COST_YR_RUNG2)</f>
        <v>152394.16214437486</v>
      </c>
      <c r="I151" s="13">
        <f>E151-H151</f>
        <v>102179.59727390765</v>
      </c>
      <c r="J151" s="13">
        <f>J150+I151</f>
        <v>15020400.799264481</v>
      </c>
      <c r="K151">
        <f>IF(J151=MAX($J$4:$J$404),A151,0)</f>
        <v>0</v>
      </c>
      <c r="L151">
        <f>IF(E151&lt;H151,A151,B_MAX+1)</f>
        <v>401.0</v>
      </c>
      <c r="M151" s="13">
        <f>IF(B151=1,GRANT_RUNG1,GRANT_RUNG2)</f>
        <v>0</v>
      </c>
      <c r="N151" s="13">
        <f>OCC_DAYS*MCD_SHARE_BED*R_NF_2023-D151*MCD_SHARE_FREED*R_WAIT_2023</f>
        <v>37367.159242427646</v>
      </c>
      <c r="O151">
        <f>IF(A151&lt;=BEDS,1,0)</f>
        <v>1</v>
      </c>
    </row>
    <row r="152">
      <c r="A152" t="n">
        <v>148</v>
      </c>
      <c r="B152">
        <f>IF(COST_YR_RUNG1&lt;=COST_YR_RUNG2,IF(A152&lt;=RUNG_BEDS_1,1,2),IF(A152&lt;=RUNG_BEDS_2,2,1))</f>
        <v>1</v>
      </c>
      <c r="C152" s="5">
        <f>MIN(1,MAX(0,POOL_BEDS-(A152-1)))</f>
        <v>1</v>
      </c>
      <c r="D152" s="5">
        <f>FREED*(C152+(1-C152)*PAST_POOL_PCT)</f>
        <v>252.05322714681438</v>
      </c>
      <c r="E152" s="13">
        <f>D152*(C_AVOID+ACUTE_MARGIN)</f>
        <v>254573.7594182825</v>
      </c>
      <c r="F152" s="13">
        <f>D152*(RANGE_LO+ACUTE_MARGIN)</f>
        <v>138629.2749307479</v>
      </c>
      <c r="G152" s="13">
        <f>D152*(RANGE_HI+ACUTE_MARGIN)</f>
        <v>370518.24390581716</v>
      </c>
      <c r="H152" s="13">
        <f>IF(B152=1,COST_YR_RUNG1,COST_YR_RUNG2)</f>
        <v>152394.16214437486</v>
      </c>
      <c r="I152" s="13">
        <f>E152-H152</f>
        <v>102179.59727390765</v>
      </c>
      <c r="J152" s="13">
        <f>J151+I152</f>
        <v>15122580.39653839</v>
      </c>
      <c r="K152">
        <f>IF(J152=MAX($J$4:$J$404),A152,0)</f>
        <v>0</v>
      </c>
      <c r="L152">
        <f>IF(E152&lt;H152,A152,B_MAX+1)</f>
        <v>401.0</v>
      </c>
      <c r="M152" s="13">
        <f>IF(B152=1,GRANT_RUNG1,GRANT_RUNG2)</f>
        <v>0</v>
      </c>
      <c r="N152" s="13">
        <f>OCC_DAYS*MCD_SHARE_BED*R_NF_2023-D152*MCD_SHARE_FREED*R_WAIT_2023</f>
        <v>37367.159242427646</v>
      </c>
      <c r="O152">
        <f>IF(A152&lt;=BEDS,1,0)</f>
        <v>1</v>
      </c>
    </row>
    <row r="153">
      <c r="A153" t="n">
        <v>149</v>
      </c>
      <c r="B153">
        <f>IF(COST_YR_RUNG1&lt;=COST_YR_RUNG2,IF(A153&lt;=RUNG_BEDS_1,1,2),IF(A153&lt;=RUNG_BEDS_2,2,1))</f>
        <v>1</v>
      </c>
      <c r="C153" s="5">
        <f>MIN(1,MAX(0,POOL_BEDS-(A153-1)))</f>
        <v>1</v>
      </c>
      <c r="D153" s="5">
        <f>FREED*(C153+(1-C153)*PAST_POOL_PCT)</f>
        <v>252.05322714681438</v>
      </c>
      <c r="E153" s="13">
        <f>D153*(C_AVOID+ACUTE_MARGIN)</f>
        <v>254573.7594182825</v>
      </c>
      <c r="F153" s="13">
        <f>D153*(RANGE_LO+ACUTE_MARGIN)</f>
        <v>138629.2749307479</v>
      </c>
      <c r="G153" s="13">
        <f>D153*(RANGE_HI+ACUTE_MARGIN)</f>
        <v>370518.24390581716</v>
      </c>
      <c r="H153" s="13">
        <f>IF(B153=1,COST_YR_RUNG1,COST_YR_RUNG2)</f>
        <v>152394.16214437486</v>
      </c>
      <c r="I153" s="13">
        <f>E153-H153</f>
        <v>102179.59727390765</v>
      </c>
      <c r="J153" s="13">
        <f>J152+I153</f>
        <v>15224759.993812298</v>
      </c>
      <c r="K153">
        <f>IF(J153=MAX($J$4:$J$404),A153,0)</f>
        <v>0</v>
      </c>
      <c r="L153">
        <f>IF(E153&lt;H153,A153,B_MAX+1)</f>
        <v>401.0</v>
      </c>
      <c r="M153" s="13">
        <f>IF(B153=1,GRANT_RUNG1,GRANT_RUNG2)</f>
        <v>0</v>
      </c>
      <c r="N153" s="13">
        <f>OCC_DAYS*MCD_SHARE_BED*R_NF_2023-D153*MCD_SHARE_FREED*R_WAIT_2023</f>
        <v>37367.159242427646</v>
      </c>
      <c r="O153">
        <f>IF(A153&lt;=BEDS,1,0)</f>
        <v>1</v>
      </c>
    </row>
    <row r="154">
      <c r="A154" t="n">
        <v>150</v>
      </c>
      <c r="B154">
        <f>IF(COST_YR_RUNG1&lt;=COST_YR_RUNG2,IF(A154&lt;=RUNG_BEDS_1,1,2),IF(A154&lt;=RUNG_BEDS_2,2,1))</f>
        <v>1</v>
      </c>
      <c r="C154" s="5">
        <f>MIN(1,MAX(0,POOL_BEDS-(A154-1)))</f>
        <v>1</v>
      </c>
      <c r="D154" s="5">
        <f>FREED*(C154+(1-C154)*PAST_POOL_PCT)</f>
        <v>252.05322714681438</v>
      </c>
      <c r="E154" s="13">
        <f>D154*(C_AVOID+ACUTE_MARGIN)</f>
        <v>254573.7594182825</v>
      </c>
      <c r="F154" s="13">
        <f>D154*(RANGE_LO+ACUTE_MARGIN)</f>
        <v>138629.2749307479</v>
      </c>
      <c r="G154" s="13">
        <f>D154*(RANGE_HI+ACUTE_MARGIN)</f>
        <v>370518.24390581716</v>
      </c>
      <c r="H154" s="13">
        <f>IF(B154=1,COST_YR_RUNG1,COST_YR_RUNG2)</f>
        <v>152394.16214437486</v>
      </c>
      <c r="I154" s="13">
        <f>E154-H154</f>
        <v>102179.59727390765</v>
      </c>
      <c r="J154" s="13">
        <f>J153+I154</f>
        <v>15326939.591086207</v>
      </c>
      <c r="K154">
        <f>IF(J154=MAX($J$4:$J$404),A154,0)</f>
        <v>150</v>
      </c>
      <c r="L154">
        <f>IF(E154&lt;H154,A154,B_MAX+1)</f>
        <v>401.0</v>
      </c>
      <c r="M154" s="13">
        <f>IF(B154=1,GRANT_RUNG1,GRANT_RUNG2)</f>
        <v>0</v>
      </c>
      <c r="N154" s="13">
        <f>OCC_DAYS*MCD_SHARE_BED*R_NF_2023-D154*MCD_SHARE_FREED*R_WAIT_2023</f>
        <v>37367.159242427646</v>
      </c>
      <c r="O154">
        <f>IF(A154&lt;=BEDS,1,0)</f>
        <v>1</v>
      </c>
    </row>
    <row r="155">
      <c r="A155" t="n">
        <v>151</v>
      </c>
      <c r="B155">
        <f>IF(COST_YR_RUNG1&lt;=COST_YR_RUNG2,IF(A155&lt;=RUNG_BEDS_1,1,2),IF(A155&lt;=RUNG_BEDS_2,2,1))</f>
        <v>1</v>
      </c>
      <c r="C155" s="5">
        <f>MIN(1,MAX(0,POOL_BEDS-(A155-1)))</f>
        <v>0.16854335508858753</v>
      </c>
      <c r="D155" s="5">
        <f>FREED*(C155+(1-C155)*PAST_POOL_PCT)</f>
        <v>42.48189656422995</v>
      </c>
      <c r="E155" s="13">
        <f>D155*(C_AVOID+ACUTE_MARGIN)</f>
        <v>42906.71552987225</v>
      </c>
      <c r="F155" s="13">
        <f>D155*(RANGE_LO+ACUTE_MARGIN)</f>
        <v>23365.04311032647</v>
      </c>
      <c r="G155" s="13">
        <f>D155*(RANGE_HI+ACUTE_MARGIN)</f>
        <v>62448.38794941802</v>
      </c>
      <c r="H155" s="13">
        <f>IF(B155=1,COST_YR_RUNG1,COST_YR_RUNG2)</f>
        <v>152394.16214437486</v>
      </c>
      <c r="I155" s="13">
        <f>E155-H155</f>
        <v>-109487.44661450261</v>
      </c>
      <c r="J155" s="13">
        <f>J154+I155</f>
        <v>15217452.144471705</v>
      </c>
      <c r="K155">
        <f>IF(J155=MAX($J$4:$J$404),A155,0)</f>
        <v>0</v>
      </c>
      <c r="L155">
        <f>IF(E155&lt;H155,A155,B_MAX+1)</f>
        <v>151</v>
      </c>
      <c r="M155" s="13">
        <f>IF(B155=1,GRANT_RUNG1,GRANT_RUNG2)</f>
        <v>0</v>
      </c>
      <c r="N155" s="13">
        <f>OCC_DAYS*MCD_SHARE_BED*R_NF_2023-D155*MCD_SHARE_FREED*R_WAIT_2023</f>
        <v>132663.1687281215</v>
      </c>
      <c r="O155">
        <f>IF(A155&lt;=BEDS,1,0)</f>
        <v>0</v>
      </c>
    </row>
    <row r="156">
      <c r="A156" t="n">
        <v>152</v>
      </c>
      <c r="B156">
        <f>IF(COST_YR_RUNG1&lt;=COST_YR_RUNG2,IF(A156&lt;=RUNG_BEDS_1,1,2),IF(A156&lt;=RUNG_BEDS_2,2,1))</f>
        <v>1</v>
      </c>
      <c r="C156" s="5">
        <f>MIN(1,MAX(0,POOL_BEDS-(A156-1)))</f>
        <v>0</v>
      </c>
      <c r="D156" s="5">
        <f>FREED*(C156+(1-C156)*PAST_POOL_PCT)</f>
        <v>0.0</v>
      </c>
      <c r="E156" s="13">
        <f>D156*(C_AVOID+ACUTE_MARGIN)</f>
        <v>0.0</v>
      </c>
      <c r="F156" s="13">
        <f>D156*(RANGE_LO+ACUTE_MARGIN)</f>
        <v>0.0</v>
      </c>
      <c r="G156" s="13">
        <f>D156*(RANGE_HI+ACUTE_MARGIN)</f>
        <v>0.0</v>
      </c>
      <c r="H156" s="13">
        <f>IF(B156=1,COST_YR_RUNG1,COST_YR_RUNG2)</f>
        <v>152394.16214437486</v>
      </c>
      <c r="I156" s="13">
        <f>E156-H156</f>
        <v>-152394.16214437486</v>
      </c>
      <c r="J156" s="13">
        <f>J155+I156</f>
        <v>15065057.98232733</v>
      </c>
      <c r="K156">
        <f>IF(J156=MAX($J$4:$J$404),A156,0)</f>
        <v>0</v>
      </c>
      <c r="L156">
        <f>IF(E156&lt;H156,A156,B_MAX+1)</f>
        <v>152</v>
      </c>
      <c r="M156" s="13">
        <f>IF(B156=1,GRANT_RUNG1,GRANT_RUNG2)</f>
        <v>0</v>
      </c>
      <c r="N156" s="13">
        <f>OCC_DAYS*MCD_SHARE_BED*R_NF_2023-D156*MCD_SHARE_FREED*R_WAIT_2023</f>
        <v>151980.48282209205</v>
      </c>
      <c r="O156">
        <f>IF(A156&lt;=BEDS,1,0)</f>
        <v>0</v>
      </c>
    </row>
    <row r="157">
      <c r="A157" t="n">
        <v>153</v>
      </c>
      <c r="B157">
        <f>IF(COST_YR_RUNG1&lt;=COST_YR_RUNG2,IF(A157&lt;=RUNG_BEDS_1,1,2),IF(A157&lt;=RUNG_BEDS_2,2,1))</f>
        <v>1</v>
      </c>
      <c r="C157" s="5">
        <f>MIN(1,MAX(0,POOL_BEDS-(A157-1)))</f>
        <v>0</v>
      </c>
      <c r="D157" s="5">
        <f>FREED*(C157+(1-C157)*PAST_POOL_PCT)</f>
        <v>0.0</v>
      </c>
      <c r="E157" s="13">
        <f>D157*(C_AVOID+ACUTE_MARGIN)</f>
        <v>0.0</v>
      </c>
      <c r="F157" s="13">
        <f>D157*(RANGE_LO+ACUTE_MARGIN)</f>
        <v>0.0</v>
      </c>
      <c r="G157" s="13">
        <f>D157*(RANGE_HI+ACUTE_MARGIN)</f>
        <v>0.0</v>
      </c>
      <c r="H157" s="13">
        <f>IF(B157=1,COST_YR_RUNG1,COST_YR_RUNG2)</f>
        <v>152394.16214437486</v>
      </c>
      <c r="I157" s="13">
        <f>E157-H157</f>
        <v>-152394.16214437486</v>
      </c>
      <c r="J157" s="13">
        <f>J156+I157</f>
        <v>14912663.820182957</v>
      </c>
      <c r="K157">
        <f>IF(J157=MAX($J$4:$J$404),A157,0)</f>
        <v>0</v>
      </c>
      <c r="L157">
        <f>IF(E157&lt;H157,A157,B_MAX+1)</f>
        <v>153</v>
      </c>
      <c r="M157" s="13">
        <f>IF(B157=1,GRANT_RUNG1,GRANT_RUNG2)</f>
        <v>0</v>
      </c>
      <c r="N157" s="13">
        <f>OCC_DAYS*MCD_SHARE_BED*R_NF_2023-D157*MCD_SHARE_FREED*R_WAIT_2023</f>
        <v>151980.48282209205</v>
      </c>
      <c r="O157">
        <f>IF(A157&lt;=BEDS,1,0)</f>
        <v>0</v>
      </c>
    </row>
    <row r="158">
      <c r="A158" t="n">
        <v>154</v>
      </c>
      <c r="B158">
        <f>IF(COST_YR_RUNG1&lt;=COST_YR_RUNG2,IF(A158&lt;=RUNG_BEDS_1,1,2),IF(A158&lt;=RUNG_BEDS_2,2,1))</f>
        <v>1</v>
      </c>
      <c r="C158" s="5">
        <f>MIN(1,MAX(0,POOL_BEDS-(A158-1)))</f>
        <v>0</v>
      </c>
      <c r="D158" s="5">
        <f>FREED*(C158+(1-C158)*PAST_POOL_PCT)</f>
        <v>0.0</v>
      </c>
      <c r="E158" s="13">
        <f>D158*(C_AVOID+ACUTE_MARGIN)</f>
        <v>0.0</v>
      </c>
      <c r="F158" s="13">
        <f>D158*(RANGE_LO+ACUTE_MARGIN)</f>
        <v>0.0</v>
      </c>
      <c r="G158" s="13">
        <f>D158*(RANGE_HI+ACUTE_MARGIN)</f>
        <v>0.0</v>
      </c>
      <c r="H158" s="13">
        <f>IF(B158=1,COST_YR_RUNG1,COST_YR_RUNG2)</f>
        <v>152394.16214437486</v>
      </c>
      <c r="I158" s="13">
        <f>E158-H158</f>
        <v>-152394.16214437486</v>
      </c>
      <c r="J158" s="13">
        <f>J157+I158</f>
        <v>14760269.658038583</v>
      </c>
      <c r="K158">
        <f>IF(J158=MAX($J$4:$J$404),A158,0)</f>
        <v>0</v>
      </c>
      <c r="L158">
        <f>IF(E158&lt;H158,A158,B_MAX+1)</f>
        <v>154</v>
      </c>
      <c r="M158" s="13">
        <f>IF(B158=1,GRANT_RUNG1,GRANT_RUNG2)</f>
        <v>0</v>
      </c>
      <c r="N158" s="13">
        <f>OCC_DAYS*MCD_SHARE_BED*R_NF_2023-D158*MCD_SHARE_FREED*R_WAIT_2023</f>
        <v>151980.48282209205</v>
      </c>
      <c r="O158">
        <f>IF(A158&lt;=BEDS,1,0)</f>
        <v>0</v>
      </c>
    </row>
    <row r="159">
      <c r="A159" t="n">
        <v>155</v>
      </c>
      <c r="B159">
        <f>IF(COST_YR_RUNG1&lt;=COST_YR_RUNG2,IF(A159&lt;=RUNG_BEDS_1,1,2),IF(A159&lt;=RUNG_BEDS_2,2,1))</f>
        <v>1</v>
      </c>
      <c r="C159" s="5">
        <f>MIN(1,MAX(0,POOL_BEDS-(A159-1)))</f>
        <v>0</v>
      </c>
      <c r="D159" s="5">
        <f>FREED*(C159+(1-C159)*PAST_POOL_PCT)</f>
        <v>0.0</v>
      </c>
      <c r="E159" s="13">
        <f>D159*(C_AVOID+ACUTE_MARGIN)</f>
        <v>0.0</v>
      </c>
      <c r="F159" s="13">
        <f>D159*(RANGE_LO+ACUTE_MARGIN)</f>
        <v>0.0</v>
      </c>
      <c r="G159" s="13">
        <f>D159*(RANGE_HI+ACUTE_MARGIN)</f>
        <v>0.0</v>
      </c>
      <c r="H159" s="13">
        <f>IF(B159=1,COST_YR_RUNG1,COST_YR_RUNG2)</f>
        <v>152394.16214437486</v>
      </c>
      <c r="I159" s="13">
        <f>E159-H159</f>
        <v>-152394.16214437486</v>
      </c>
      <c r="J159" s="13">
        <f>J158+I159</f>
        <v>14607875.495894209</v>
      </c>
      <c r="K159">
        <f>IF(J159=MAX($J$4:$J$404),A159,0)</f>
        <v>0</v>
      </c>
      <c r="L159">
        <f>IF(E159&lt;H159,A159,B_MAX+1)</f>
        <v>155</v>
      </c>
      <c r="M159" s="13">
        <f>IF(B159=1,GRANT_RUNG1,GRANT_RUNG2)</f>
        <v>0</v>
      </c>
      <c r="N159" s="13">
        <f>OCC_DAYS*MCD_SHARE_BED*R_NF_2023-D159*MCD_SHARE_FREED*R_WAIT_2023</f>
        <v>151980.48282209205</v>
      </c>
      <c r="O159">
        <f>IF(A159&lt;=BEDS,1,0)</f>
        <v>0</v>
      </c>
    </row>
    <row r="160">
      <c r="A160" t="n">
        <v>156</v>
      </c>
      <c r="B160">
        <f>IF(COST_YR_RUNG1&lt;=COST_YR_RUNG2,IF(A160&lt;=RUNG_BEDS_1,1,2),IF(A160&lt;=RUNG_BEDS_2,2,1))</f>
        <v>1</v>
      </c>
      <c r="C160" s="5">
        <f>MIN(1,MAX(0,POOL_BEDS-(A160-1)))</f>
        <v>0</v>
      </c>
      <c r="D160" s="5">
        <f>FREED*(C160+(1-C160)*PAST_POOL_PCT)</f>
        <v>0.0</v>
      </c>
      <c r="E160" s="13">
        <f>D160*(C_AVOID+ACUTE_MARGIN)</f>
        <v>0.0</v>
      </c>
      <c r="F160" s="13">
        <f>D160*(RANGE_LO+ACUTE_MARGIN)</f>
        <v>0.0</v>
      </c>
      <c r="G160" s="13">
        <f>D160*(RANGE_HI+ACUTE_MARGIN)</f>
        <v>0.0</v>
      </c>
      <c r="H160" s="13">
        <f>IF(B160=1,COST_YR_RUNG1,COST_YR_RUNG2)</f>
        <v>152394.16214437486</v>
      </c>
      <c r="I160" s="13">
        <f>E160-H160</f>
        <v>-152394.16214437486</v>
      </c>
      <c r="J160" s="13">
        <f>J159+I160</f>
        <v>14455481.333749834</v>
      </c>
      <c r="K160">
        <f>IF(J160=MAX($J$4:$J$404),A160,0)</f>
        <v>0</v>
      </c>
      <c r="L160">
        <f>IF(E160&lt;H160,A160,B_MAX+1)</f>
        <v>156</v>
      </c>
      <c r="M160" s="13">
        <f>IF(B160=1,GRANT_RUNG1,GRANT_RUNG2)</f>
        <v>0</v>
      </c>
      <c r="N160" s="13">
        <f>OCC_DAYS*MCD_SHARE_BED*R_NF_2023-D160*MCD_SHARE_FREED*R_WAIT_2023</f>
        <v>151980.48282209205</v>
      </c>
      <c r="O160">
        <f>IF(A160&lt;=BEDS,1,0)</f>
        <v>0</v>
      </c>
    </row>
    <row r="161">
      <c r="A161" t="n">
        <v>157</v>
      </c>
      <c r="B161">
        <f>IF(COST_YR_RUNG1&lt;=COST_YR_RUNG2,IF(A161&lt;=RUNG_BEDS_1,1,2),IF(A161&lt;=RUNG_BEDS_2,2,1))</f>
        <v>1</v>
      </c>
      <c r="C161" s="5">
        <f>MIN(1,MAX(0,POOL_BEDS-(A161-1)))</f>
        <v>0</v>
      </c>
      <c r="D161" s="5">
        <f>FREED*(C161+(1-C161)*PAST_POOL_PCT)</f>
        <v>0.0</v>
      </c>
      <c r="E161" s="13">
        <f>D161*(C_AVOID+ACUTE_MARGIN)</f>
        <v>0.0</v>
      </c>
      <c r="F161" s="13">
        <f>D161*(RANGE_LO+ACUTE_MARGIN)</f>
        <v>0.0</v>
      </c>
      <c r="G161" s="13">
        <f>D161*(RANGE_HI+ACUTE_MARGIN)</f>
        <v>0.0</v>
      </c>
      <c r="H161" s="13">
        <f>IF(B161=1,COST_YR_RUNG1,COST_YR_RUNG2)</f>
        <v>152394.16214437486</v>
      </c>
      <c r="I161" s="13">
        <f>E161-H161</f>
        <v>-152394.16214437486</v>
      </c>
      <c r="J161" s="13">
        <f>J160+I161</f>
        <v>14303087.17160546</v>
      </c>
      <c r="K161">
        <f>IF(J161=MAX($J$4:$J$404),A161,0)</f>
        <v>0</v>
      </c>
      <c r="L161">
        <f>IF(E161&lt;H161,A161,B_MAX+1)</f>
        <v>157</v>
      </c>
      <c r="M161" s="13">
        <f>IF(B161=1,GRANT_RUNG1,GRANT_RUNG2)</f>
        <v>0</v>
      </c>
      <c r="N161" s="13">
        <f>OCC_DAYS*MCD_SHARE_BED*R_NF_2023-D161*MCD_SHARE_FREED*R_WAIT_2023</f>
        <v>151980.48282209205</v>
      </c>
      <c r="O161">
        <f>IF(A161&lt;=BEDS,1,0)</f>
        <v>0</v>
      </c>
    </row>
    <row r="162">
      <c r="A162" t="n">
        <v>158</v>
      </c>
      <c r="B162">
        <f>IF(COST_YR_RUNG1&lt;=COST_YR_RUNG2,IF(A162&lt;=RUNG_BEDS_1,1,2),IF(A162&lt;=RUNG_BEDS_2,2,1))</f>
        <v>1</v>
      </c>
      <c r="C162" s="5">
        <f>MIN(1,MAX(0,POOL_BEDS-(A162-1)))</f>
        <v>0</v>
      </c>
      <c r="D162" s="5">
        <f>FREED*(C162+(1-C162)*PAST_POOL_PCT)</f>
        <v>0.0</v>
      </c>
      <c r="E162" s="13">
        <f>D162*(C_AVOID+ACUTE_MARGIN)</f>
        <v>0.0</v>
      </c>
      <c r="F162" s="13">
        <f>D162*(RANGE_LO+ACUTE_MARGIN)</f>
        <v>0.0</v>
      </c>
      <c r="G162" s="13">
        <f>D162*(RANGE_HI+ACUTE_MARGIN)</f>
        <v>0.0</v>
      </c>
      <c r="H162" s="13">
        <f>IF(B162=1,COST_YR_RUNG1,COST_YR_RUNG2)</f>
        <v>152394.16214437486</v>
      </c>
      <c r="I162" s="13">
        <f>E162-H162</f>
        <v>-152394.16214437486</v>
      </c>
      <c r="J162" s="13">
        <f>J161+I162</f>
        <v>14150693.009461086</v>
      </c>
      <c r="K162">
        <f>IF(J162=MAX($J$4:$J$404),A162,0)</f>
        <v>0</v>
      </c>
      <c r="L162">
        <f>IF(E162&lt;H162,A162,B_MAX+1)</f>
        <v>158</v>
      </c>
      <c r="M162" s="13">
        <f>IF(B162=1,GRANT_RUNG1,GRANT_RUNG2)</f>
        <v>0</v>
      </c>
      <c r="N162" s="13">
        <f>OCC_DAYS*MCD_SHARE_BED*R_NF_2023-D162*MCD_SHARE_FREED*R_WAIT_2023</f>
        <v>151980.48282209205</v>
      </c>
      <c r="O162">
        <f>IF(A162&lt;=BEDS,1,0)</f>
        <v>0</v>
      </c>
    </row>
    <row r="163">
      <c r="A163" t="n">
        <v>159</v>
      </c>
      <c r="B163">
        <f>IF(COST_YR_RUNG1&lt;=COST_YR_RUNG2,IF(A163&lt;=RUNG_BEDS_1,1,2),IF(A163&lt;=RUNG_BEDS_2,2,1))</f>
        <v>1</v>
      </c>
      <c r="C163" s="5">
        <f>MIN(1,MAX(0,POOL_BEDS-(A163-1)))</f>
        <v>0</v>
      </c>
      <c r="D163" s="5">
        <f>FREED*(C163+(1-C163)*PAST_POOL_PCT)</f>
        <v>0.0</v>
      </c>
      <c r="E163" s="13">
        <f>D163*(C_AVOID+ACUTE_MARGIN)</f>
        <v>0.0</v>
      </c>
      <c r="F163" s="13">
        <f>D163*(RANGE_LO+ACUTE_MARGIN)</f>
        <v>0.0</v>
      </c>
      <c r="G163" s="13">
        <f>D163*(RANGE_HI+ACUTE_MARGIN)</f>
        <v>0.0</v>
      </c>
      <c r="H163" s="13">
        <f>IF(B163=1,COST_YR_RUNG1,COST_YR_RUNG2)</f>
        <v>152394.16214437486</v>
      </c>
      <c r="I163" s="13">
        <f>E163-H163</f>
        <v>-152394.16214437486</v>
      </c>
      <c r="J163" s="13">
        <f>J162+I163</f>
        <v>13998298.847316712</v>
      </c>
      <c r="K163">
        <f>IF(J163=MAX($J$4:$J$404),A163,0)</f>
        <v>0</v>
      </c>
      <c r="L163">
        <f>IF(E163&lt;H163,A163,B_MAX+1)</f>
        <v>159</v>
      </c>
      <c r="M163" s="13">
        <f>IF(B163=1,GRANT_RUNG1,GRANT_RUNG2)</f>
        <v>0</v>
      </c>
      <c r="N163" s="13">
        <f>OCC_DAYS*MCD_SHARE_BED*R_NF_2023-D163*MCD_SHARE_FREED*R_WAIT_2023</f>
        <v>151980.48282209205</v>
      </c>
      <c r="O163">
        <f>IF(A163&lt;=BEDS,1,0)</f>
        <v>0</v>
      </c>
    </row>
    <row r="164">
      <c r="A164" t="n">
        <v>160</v>
      </c>
      <c r="B164">
        <f>IF(COST_YR_RUNG1&lt;=COST_YR_RUNG2,IF(A164&lt;=RUNG_BEDS_1,1,2),IF(A164&lt;=RUNG_BEDS_2,2,1))</f>
        <v>1</v>
      </c>
      <c r="C164" s="5">
        <f>MIN(1,MAX(0,POOL_BEDS-(A164-1)))</f>
        <v>0</v>
      </c>
      <c r="D164" s="5">
        <f>FREED*(C164+(1-C164)*PAST_POOL_PCT)</f>
        <v>0.0</v>
      </c>
      <c r="E164" s="13">
        <f>D164*(C_AVOID+ACUTE_MARGIN)</f>
        <v>0.0</v>
      </c>
      <c r="F164" s="13">
        <f>D164*(RANGE_LO+ACUTE_MARGIN)</f>
        <v>0.0</v>
      </c>
      <c r="G164" s="13">
        <f>D164*(RANGE_HI+ACUTE_MARGIN)</f>
        <v>0.0</v>
      </c>
      <c r="H164" s="13">
        <f>IF(B164=1,COST_YR_RUNG1,COST_YR_RUNG2)</f>
        <v>152394.16214437486</v>
      </c>
      <c r="I164" s="13">
        <f>E164-H164</f>
        <v>-152394.16214437486</v>
      </c>
      <c r="J164" s="13">
        <f>J163+I164</f>
        <v>13845904.685172338</v>
      </c>
      <c r="K164">
        <f>IF(J164=MAX($J$4:$J$404),A164,0)</f>
        <v>0</v>
      </c>
      <c r="L164">
        <f>IF(E164&lt;H164,A164,B_MAX+1)</f>
        <v>160</v>
      </c>
      <c r="M164" s="13">
        <f>IF(B164=1,GRANT_RUNG1,GRANT_RUNG2)</f>
        <v>0</v>
      </c>
      <c r="N164" s="13">
        <f>OCC_DAYS*MCD_SHARE_BED*R_NF_2023-D164*MCD_SHARE_FREED*R_WAIT_2023</f>
        <v>151980.48282209205</v>
      </c>
      <c r="O164">
        <f>IF(A164&lt;=BEDS,1,0)</f>
        <v>0</v>
      </c>
    </row>
    <row r="165">
      <c r="A165" t="n">
        <v>161</v>
      </c>
      <c r="B165">
        <f>IF(COST_YR_RUNG1&lt;=COST_YR_RUNG2,IF(A165&lt;=RUNG_BEDS_1,1,2),IF(A165&lt;=RUNG_BEDS_2,2,1))</f>
        <v>1</v>
      </c>
      <c r="C165" s="5">
        <f>MIN(1,MAX(0,POOL_BEDS-(A165-1)))</f>
        <v>0</v>
      </c>
      <c r="D165" s="5">
        <f>FREED*(C165+(1-C165)*PAST_POOL_PCT)</f>
        <v>0.0</v>
      </c>
      <c r="E165" s="13">
        <f>D165*(C_AVOID+ACUTE_MARGIN)</f>
        <v>0.0</v>
      </c>
      <c r="F165" s="13">
        <f>D165*(RANGE_LO+ACUTE_MARGIN)</f>
        <v>0.0</v>
      </c>
      <c r="G165" s="13">
        <f>D165*(RANGE_HI+ACUTE_MARGIN)</f>
        <v>0.0</v>
      </c>
      <c r="H165" s="13">
        <f>IF(B165=1,COST_YR_RUNG1,COST_YR_RUNG2)</f>
        <v>152394.16214437486</v>
      </c>
      <c r="I165" s="13">
        <f>E165-H165</f>
        <v>-152394.16214437486</v>
      </c>
      <c r="J165" s="13">
        <f>J164+I165</f>
        <v>13693510.523027964</v>
      </c>
      <c r="K165">
        <f>IF(J165=MAX($J$4:$J$404),A165,0)</f>
        <v>0</v>
      </c>
      <c r="L165">
        <f>IF(E165&lt;H165,A165,B_MAX+1)</f>
        <v>161</v>
      </c>
      <c r="M165" s="13">
        <f>IF(B165=1,GRANT_RUNG1,GRANT_RUNG2)</f>
        <v>0</v>
      </c>
      <c r="N165" s="13">
        <f>OCC_DAYS*MCD_SHARE_BED*R_NF_2023-D165*MCD_SHARE_FREED*R_WAIT_2023</f>
        <v>151980.48282209205</v>
      </c>
      <c r="O165">
        <f>IF(A165&lt;=BEDS,1,0)</f>
        <v>0</v>
      </c>
    </row>
    <row r="166">
      <c r="A166" t="n">
        <v>162</v>
      </c>
      <c r="B166">
        <f>IF(COST_YR_RUNG1&lt;=COST_YR_RUNG2,IF(A166&lt;=RUNG_BEDS_1,1,2),IF(A166&lt;=RUNG_BEDS_2,2,1))</f>
        <v>1</v>
      </c>
      <c r="C166" s="5">
        <f>MIN(1,MAX(0,POOL_BEDS-(A166-1)))</f>
        <v>0</v>
      </c>
      <c r="D166" s="5">
        <f>FREED*(C166+(1-C166)*PAST_POOL_PCT)</f>
        <v>0.0</v>
      </c>
      <c r="E166" s="13">
        <f>D166*(C_AVOID+ACUTE_MARGIN)</f>
        <v>0.0</v>
      </c>
      <c r="F166" s="13">
        <f>D166*(RANGE_LO+ACUTE_MARGIN)</f>
        <v>0.0</v>
      </c>
      <c r="G166" s="13">
        <f>D166*(RANGE_HI+ACUTE_MARGIN)</f>
        <v>0.0</v>
      </c>
      <c r="H166" s="13">
        <f>IF(B166=1,COST_YR_RUNG1,COST_YR_RUNG2)</f>
        <v>152394.16214437486</v>
      </c>
      <c r="I166" s="13">
        <f>E166-H166</f>
        <v>-152394.16214437486</v>
      </c>
      <c r="J166" s="13">
        <f>J165+I166</f>
        <v>13541116.36088359</v>
      </c>
      <c r="K166">
        <f>IF(J166=MAX($J$4:$J$404),A166,0)</f>
        <v>0</v>
      </c>
      <c r="L166">
        <f>IF(E166&lt;H166,A166,B_MAX+1)</f>
        <v>162</v>
      </c>
      <c r="M166" s="13">
        <f>IF(B166=1,GRANT_RUNG1,GRANT_RUNG2)</f>
        <v>0</v>
      </c>
      <c r="N166" s="13">
        <f>OCC_DAYS*MCD_SHARE_BED*R_NF_2023-D166*MCD_SHARE_FREED*R_WAIT_2023</f>
        <v>151980.48282209205</v>
      </c>
      <c r="O166">
        <f>IF(A166&lt;=BEDS,1,0)</f>
        <v>0</v>
      </c>
    </row>
    <row r="167">
      <c r="A167" t="n">
        <v>163</v>
      </c>
      <c r="B167">
        <f>IF(COST_YR_RUNG1&lt;=COST_YR_RUNG2,IF(A167&lt;=RUNG_BEDS_1,1,2),IF(A167&lt;=RUNG_BEDS_2,2,1))</f>
        <v>1</v>
      </c>
      <c r="C167" s="5">
        <f>MIN(1,MAX(0,POOL_BEDS-(A167-1)))</f>
        <v>0</v>
      </c>
      <c r="D167" s="5">
        <f>FREED*(C167+(1-C167)*PAST_POOL_PCT)</f>
        <v>0.0</v>
      </c>
      <c r="E167" s="13">
        <f>D167*(C_AVOID+ACUTE_MARGIN)</f>
        <v>0.0</v>
      </c>
      <c r="F167" s="13">
        <f>D167*(RANGE_LO+ACUTE_MARGIN)</f>
        <v>0.0</v>
      </c>
      <c r="G167" s="13">
        <f>D167*(RANGE_HI+ACUTE_MARGIN)</f>
        <v>0.0</v>
      </c>
      <c r="H167" s="13">
        <f>IF(B167=1,COST_YR_RUNG1,COST_YR_RUNG2)</f>
        <v>152394.16214437486</v>
      </c>
      <c r="I167" s="13">
        <f>E167-H167</f>
        <v>-152394.16214437486</v>
      </c>
      <c r="J167" s="13">
        <f>J166+I167</f>
        <v>13388722.198739216</v>
      </c>
      <c r="K167">
        <f>IF(J167=MAX($J$4:$J$404),A167,0)</f>
        <v>0</v>
      </c>
      <c r="L167">
        <f>IF(E167&lt;H167,A167,B_MAX+1)</f>
        <v>163</v>
      </c>
      <c r="M167" s="13">
        <f>IF(B167=1,GRANT_RUNG1,GRANT_RUNG2)</f>
        <v>0</v>
      </c>
      <c r="N167" s="13">
        <f>OCC_DAYS*MCD_SHARE_BED*R_NF_2023-D167*MCD_SHARE_FREED*R_WAIT_2023</f>
        <v>151980.48282209205</v>
      </c>
      <c r="O167">
        <f>IF(A167&lt;=BEDS,1,0)</f>
        <v>0</v>
      </c>
    </row>
    <row r="168">
      <c r="A168" t="n">
        <v>164</v>
      </c>
      <c r="B168">
        <f>IF(COST_YR_RUNG1&lt;=COST_YR_RUNG2,IF(A168&lt;=RUNG_BEDS_1,1,2),IF(A168&lt;=RUNG_BEDS_2,2,1))</f>
        <v>1</v>
      </c>
      <c r="C168" s="5">
        <f>MIN(1,MAX(0,POOL_BEDS-(A168-1)))</f>
        <v>0</v>
      </c>
      <c r="D168" s="5">
        <f>FREED*(C168+(1-C168)*PAST_POOL_PCT)</f>
        <v>0.0</v>
      </c>
      <c r="E168" s="13">
        <f>D168*(C_AVOID+ACUTE_MARGIN)</f>
        <v>0.0</v>
      </c>
      <c r="F168" s="13">
        <f>D168*(RANGE_LO+ACUTE_MARGIN)</f>
        <v>0.0</v>
      </c>
      <c r="G168" s="13">
        <f>D168*(RANGE_HI+ACUTE_MARGIN)</f>
        <v>0.0</v>
      </c>
      <c r="H168" s="13">
        <f>IF(B168=1,COST_YR_RUNG1,COST_YR_RUNG2)</f>
        <v>152394.16214437486</v>
      </c>
      <c r="I168" s="13">
        <f>E168-H168</f>
        <v>-152394.16214437486</v>
      </c>
      <c r="J168" s="13">
        <f>J167+I168</f>
        <v>13236328.036594842</v>
      </c>
      <c r="K168">
        <f>IF(J168=MAX($J$4:$J$404),A168,0)</f>
        <v>0</v>
      </c>
      <c r="L168">
        <f>IF(E168&lt;H168,A168,B_MAX+1)</f>
        <v>164</v>
      </c>
      <c r="M168" s="13">
        <f>IF(B168=1,GRANT_RUNG1,GRANT_RUNG2)</f>
        <v>0</v>
      </c>
      <c r="N168" s="13">
        <f>OCC_DAYS*MCD_SHARE_BED*R_NF_2023-D168*MCD_SHARE_FREED*R_WAIT_2023</f>
        <v>151980.48282209205</v>
      </c>
      <c r="O168">
        <f>IF(A168&lt;=BEDS,1,0)</f>
        <v>0</v>
      </c>
    </row>
    <row r="169">
      <c r="A169" t="n">
        <v>165</v>
      </c>
      <c r="B169">
        <f>IF(COST_YR_RUNG1&lt;=COST_YR_RUNG2,IF(A169&lt;=RUNG_BEDS_1,1,2),IF(A169&lt;=RUNG_BEDS_2,2,1))</f>
        <v>1</v>
      </c>
      <c r="C169" s="5">
        <f>MIN(1,MAX(0,POOL_BEDS-(A169-1)))</f>
        <v>0</v>
      </c>
      <c r="D169" s="5">
        <f>FREED*(C169+(1-C169)*PAST_POOL_PCT)</f>
        <v>0.0</v>
      </c>
      <c r="E169" s="13">
        <f>D169*(C_AVOID+ACUTE_MARGIN)</f>
        <v>0.0</v>
      </c>
      <c r="F169" s="13">
        <f>D169*(RANGE_LO+ACUTE_MARGIN)</f>
        <v>0.0</v>
      </c>
      <c r="G169" s="13">
        <f>D169*(RANGE_HI+ACUTE_MARGIN)</f>
        <v>0.0</v>
      </c>
      <c r="H169" s="13">
        <f>IF(B169=1,COST_YR_RUNG1,COST_YR_RUNG2)</f>
        <v>152394.16214437486</v>
      </c>
      <c r="I169" s="13">
        <f>E169-H169</f>
        <v>-152394.16214437486</v>
      </c>
      <c r="J169" s="13">
        <f>J168+I169</f>
        <v>13083933.874450468</v>
      </c>
      <c r="K169">
        <f>IF(J169=MAX($J$4:$J$404),A169,0)</f>
        <v>0</v>
      </c>
      <c r="L169">
        <f>IF(E169&lt;H169,A169,B_MAX+1)</f>
        <v>165</v>
      </c>
      <c r="M169" s="13">
        <f>IF(B169=1,GRANT_RUNG1,GRANT_RUNG2)</f>
        <v>0</v>
      </c>
      <c r="N169" s="13">
        <f>OCC_DAYS*MCD_SHARE_BED*R_NF_2023-D169*MCD_SHARE_FREED*R_WAIT_2023</f>
        <v>151980.48282209205</v>
      </c>
      <c r="O169">
        <f>IF(A169&lt;=BEDS,1,0)</f>
        <v>0</v>
      </c>
    </row>
    <row r="170">
      <c r="A170" t="n">
        <v>166</v>
      </c>
      <c r="B170">
        <f>IF(COST_YR_RUNG1&lt;=COST_YR_RUNG2,IF(A170&lt;=RUNG_BEDS_1,1,2),IF(A170&lt;=RUNG_BEDS_2,2,1))</f>
        <v>1</v>
      </c>
      <c r="C170" s="5">
        <f>MIN(1,MAX(0,POOL_BEDS-(A170-1)))</f>
        <v>0</v>
      </c>
      <c r="D170" s="5">
        <f>FREED*(C170+(1-C170)*PAST_POOL_PCT)</f>
        <v>0.0</v>
      </c>
      <c r="E170" s="13">
        <f>D170*(C_AVOID+ACUTE_MARGIN)</f>
        <v>0.0</v>
      </c>
      <c r="F170" s="13">
        <f>D170*(RANGE_LO+ACUTE_MARGIN)</f>
        <v>0.0</v>
      </c>
      <c r="G170" s="13">
        <f>D170*(RANGE_HI+ACUTE_MARGIN)</f>
        <v>0.0</v>
      </c>
      <c r="H170" s="13">
        <f>IF(B170=1,COST_YR_RUNG1,COST_YR_RUNG2)</f>
        <v>152394.16214437486</v>
      </c>
      <c r="I170" s="13">
        <f>E170-H170</f>
        <v>-152394.16214437486</v>
      </c>
      <c r="J170" s="13">
        <f>J169+I170</f>
        <v>12931539.712306093</v>
      </c>
      <c r="K170">
        <f>IF(J170=MAX($J$4:$J$404),A170,0)</f>
        <v>0</v>
      </c>
      <c r="L170">
        <f>IF(E170&lt;H170,A170,B_MAX+1)</f>
        <v>166</v>
      </c>
      <c r="M170" s="13">
        <f>IF(B170=1,GRANT_RUNG1,GRANT_RUNG2)</f>
        <v>0</v>
      </c>
      <c r="N170" s="13">
        <f>OCC_DAYS*MCD_SHARE_BED*R_NF_2023-D170*MCD_SHARE_FREED*R_WAIT_2023</f>
        <v>151980.48282209205</v>
      </c>
      <c r="O170">
        <f>IF(A170&lt;=BEDS,1,0)</f>
        <v>0</v>
      </c>
    </row>
    <row r="171">
      <c r="A171" t="n">
        <v>167</v>
      </c>
      <c r="B171">
        <f>IF(COST_YR_RUNG1&lt;=COST_YR_RUNG2,IF(A171&lt;=RUNG_BEDS_1,1,2),IF(A171&lt;=RUNG_BEDS_2,2,1))</f>
        <v>1</v>
      </c>
      <c r="C171" s="5">
        <f>MIN(1,MAX(0,POOL_BEDS-(A171-1)))</f>
        <v>0</v>
      </c>
      <c r="D171" s="5">
        <f>FREED*(C171+(1-C171)*PAST_POOL_PCT)</f>
        <v>0.0</v>
      </c>
      <c r="E171" s="13">
        <f>D171*(C_AVOID+ACUTE_MARGIN)</f>
        <v>0.0</v>
      </c>
      <c r="F171" s="13">
        <f>D171*(RANGE_LO+ACUTE_MARGIN)</f>
        <v>0.0</v>
      </c>
      <c r="G171" s="13">
        <f>D171*(RANGE_HI+ACUTE_MARGIN)</f>
        <v>0.0</v>
      </c>
      <c r="H171" s="13">
        <f>IF(B171=1,COST_YR_RUNG1,COST_YR_RUNG2)</f>
        <v>152394.16214437486</v>
      </c>
      <c r="I171" s="13">
        <f>E171-H171</f>
        <v>-152394.16214437486</v>
      </c>
      <c r="J171" s="13">
        <f>J170+I171</f>
        <v>12779145.55016172</v>
      </c>
      <c r="K171">
        <f>IF(J171=MAX($J$4:$J$404),A171,0)</f>
        <v>0</v>
      </c>
      <c r="L171">
        <f>IF(E171&lt;H171,A171,B_MAX+1)</f>
        <v>167</v>
      </c>
      <c r="M171" s="13">
        <f>IF(B171=1,GRANT_RUNG1,GRANT_RUNG2)</f>
        <v>0</v>
      </c>
      <c r="N171" s="13">
        <f>OCC_DAYS*MCD_SHARE_BED*R_NF_2023-D171*MCD_SHARE_FREED*R_WAIT_2023</f>
        <v>151980.48282209205</v>
      </c>
      <c r="O171">
        <f>IF(A171&lt;=BEDS,1,0)</f>
        <v>0</v>
      </c>
    </row>
    <row r="172">
      <c r="A172" t="n">
        <v>168</v>
      </c>
      <c r="B172">
        <f>IF(COST_YR_RUNG1&lt;=COST_YR_RUNG2,IF(A172&lt;=RUNG_BEDS_1,1,2),IF(A172&lt;=RUNG_BEDS_2,2,1))</f>
        <v>1</v>
      </c>
      <c r="C172" s="5">
        <f>MIN(1,MAX(0,POOL_BEDS-(A172-1)))</f>
        <v>0</v>
      </c>
      <c r="D172" s="5">
        <f>FREED*(C172+(1-C172)*PAST_POOL_PCT)</f>
        <v>0.0</v>
      </c>
      <c r="E172" s="13">
        <f>D172*(C_AVOID+ACUTE_MARGIN)</f>
        <v>0.0</v>
      </c>
      <c r="F172" s="13">
        <f>D172*(RANGE_LO+ACUTE_MARGIN)</f>
        <v>0.0</v>
      </c>
      <c r="G172" s="13">
        <f>D172*(RANGE_HI+ACUTE_MARGIN)</f>
        <v>0.0</v>
      </c>
      <c r="H172" s="13">
        <f>IF(B172=1,COST_YR_RUNG1,COST_YR_RUNG2)</f>
        <v>152394.16214437486</v>
      </c>
      <c r="I172" s="13">
        <f>E172-H172</f>
        <v>-152394.16214437486</v>
      </c>
      <c r="J172" s="13">
        <f>J171+I172</f>
        <v>12626751.388017345</v>
      </c>
      <c r="K172">
        <f>IF(J172=MAX($J$4:$J$404),A172,0)</f>
        <v>0</v>
      </c>
      <c r="L172">
        <f>IF(E172&lt;H172,A172,B_MAX+1)</f>
        <v>168</v>
      </c>
      <c r="M172" s="13">
        <f>IF(B172=1,GRANT_RUNG1,GRANT_RUNG2)</f>
        <v>0</v>
      </c>
      <c r="N172" s="13">
        <f>OCC_DAYS*MCD_SHARE_BED*R_NF_2023-D172*MCD_SHARE_FREED*R_WAIT_2023</f>
        <v>151980.48282209205</v>
      </c>
      <c r="O172">
        <f>IF(A172&lt;=BEDS,1,0)</f>
        <v>0</v>
      </c>
    </row>
    <row r="173">
      <c r="A173" t="n">
        <v>169</v>
      </c>
      <c r="B173">
        <f>IF(COST_YR_RUNG1&lt;=COST_YR_RUNG2,IF(A173&lt;=RUNG_BEDS_1,1,2),IF(A173&lt;=RUNG_BEDS_2,2,1))</f>
        <v>1</v>
      </c>
      <c r="C173" s="5">
        <f>MIN(1,MAX(0,POOL_BEDS-(A173-1)))</f>
        <v>0</v>
      </c>
      <c r="D173" s="5">
        <f>FREED*(C173+(1-C173)*PAST_POOL_PCT)</f>
        <v>0.0</v>
      </c>
      <c r="E173" s="13">
        <f>D173*(C_AVOID+ACUTE_MARGIN)</f>
        <v>0.0</v>
      </c>
      <c r="F173" s="13">
        <f>D173*(RANGE_LO+ACUTE_MARGIN)</f>
        <v>0.0</v>
      </c>
      <c r="G173" s="13">
        <f>D173*(RANGE_HI+ACUTE_MARGIN)</f>
        <v>0.0</v>
      </c>
      <c r="H173" s="13">
        <f>IF(B173=1,COST_YR_RUNG1,COST_YR_RUNG2)</f>
        <v>152394.16214437486</v>
      </c>
      <c r="I173" s="13">
        <f>E173-H173</f>
        <v>-152394.16214437486</v>
      </c>
      <c r="J173" s="13">
        <f>J172+I173</f>
        <v>12474357.225872971</v>
      </c>
      <c r="K173">
        <f>IF(J173=MAX($J$4:$J$404),A173,0)</f>
        <v>0</v>
      </c>
      <c r="L173">
        <f>IF(E173&lt;H173,A173,B_MAX+1)</f>
        <v>169</v>
      </c>
      <c r="M173" s="13">
        <f>IF(B173=1,GRANT_RUNG1,GRANT_RUNG2)</f>
        <v>0</v>
      </c>
      <c r="N173" s="13">
        <f>OCC_DAYS*MCD_SHARE_BED*R_NF_2023-D173*MCD_SHARE_FREED*R_WAIT_2023</f>
        <v>151980.48282209205</v>
      </c>
      <c r="O173">
        <f>IF(A173&lt;=BEDS,1,0)</f>
        <v>0</v>
      </c>
    </row>
    <row r="174">
      <c r="A174" t="n">
        <v>170</v>
      </c>
      <c r="B174">
        <f>IF(COST_YR_RUNG1&lt;=COST_YR_RUNG2,IF(A174&lt;=RUNG_BEDS_1,1,2),IF(A174&lt;=RUNG_BEDS_2,2,1))</f>
        <v>1</v>
      </c>
      <c r="C174" s="5">
        <f>MIN(1,MAX(0,POOL_BEDS-(A174-1)))</f>
        <v>0</v>
      </c>
      <c r="D174" s="5">
        <f>FREED*(C174+(1-C174)*PAST_POOL_PCT)</f>
        <v>0.0</v>
      </c>
      <c r="E174" s="13">
        <f>D174*(C_AVOID+ACUTE_MARGIN)</f>
        <v>0.0</v>
      </c>
      <c r="F174" s="13">
        <f>D174*(RANGE_LO+ACUTE_MARGIN)</f>
        <v>0.0</v>
      </c>
      <c r="G174" s="13">
        <f>D174*(RANGE_HI+ACUTE_MARGIN)</f>
        <v>0.0</v>
      </c>
      <c r="H174" s="13">
        <f>IF(B174=1,COST_YR_RUNG1,COST_YR_RUNG2)</f>
        <v>152394.16214437486</v>
      </c>
      <c r="I174" s="13">
        <f>E174-H174</f>
        <v>-152394.16214437486</v>
      </c>
      <c r="J174" s="13">
        <f>J173+I174</f>
        <v>12321963.063728597</v>
      </c>
      <c r="K174">
        <f>IF(J174=MAX($J$4:$J$404),A174,0)</f>
        <v>0</v>
      </c>
      <c r="L174">
        <f>IF(E174&lt;H174,A174,B_MAX+1)</f>
        <v>170</v>
      </c>
      <c r="M174" s="13">
        <f>IF(B174=1,GRANT_RUNG1,GRANT_RUNG2)</f>
        <v>0</v>
      </c>
      <c r="N174" s="13">
        <f>OCC_DAYS*MCD_SHARE_BED*R_NF_2023-D174*MCD_SHARE_FREED*R_WAIT_2023</f>
        <v>151980.48282209205</v>
      </c>
      <c r="O174">
        <f>IF(A174&lt;=BEDS,1,0)</f>
        <v>0</v>
      </c>
    </row>
    <row r="175">
      <c r="A175" t="n">
        <v>171</v>
      </c>
      <c r="B175">
        <f>IF(COST_YR_RUNG1&lt;=COST_YR_RUNG2,IF(A175&lt;=RUNG_BEDS_1,1,2),IF(A175&lt;=RUNG_BEDS_2,2,1))</f>
        <v>1</v>
      </c>
      <c r="C175" s="5">
        <f>MIN(1,MAX(0,POOL_BEDS-(A175-1)))</f>
        <v>0</v>
      </c>
      <c r="D175" s="5">
        <f>FREED*(C175+(1-C175)*PAST_POOL_PCT)</f>
        <v>0.0</v>
      </c>
      <c r="E175" s="13">
        <f>D175*(C_AVOID+ACUTE_MARGIN)</f>
        <v>0.0</v>
      </c>
      <c r="F175" s="13">
        <f>D175*(RANGE_LO+ACUTE_MARGIN)</f>
        <v>0.0</v>
      </c>
      <c r="G175" s="13">
        <f>D175*(RANGE_HI+ACUTE_MARGIN)</f>
        <v>0.0</v>
      </c>
      <c r="H175" s="13">
        <f>IF(B175=1,COST_YR_RUNG1,COST_YR_RUNG2)</f>
        <v>152394.16214437486</v>
      </c>
      <c r="I175" s="13">
        <f>E175-H175</f>
        <v>-152394.16214437486</v>
      </c>
      <c r="J175" s="13">
        <f>J174+I175</f>
        <v>12169568.901584223</v>
      </c>
      <c r="K175">
        <f>IF(J175=MAX($J$4:$J$404),A175,0)</f>
        <v>0</v>
      </c>
      <c r="L175">
        <f>IF(E175&lt;H175,A175,B_MAX+1)</f>
        <v>171</v>
      </c>
      <c r="M175" s="13">
        <f>IF(B175=1,GRANT_RUNG1,GRANT_RUNG2)</f>
        <v>0</v>
      </c>
      <c r="N175" s="13">
        <f>OCC_DAYS*MCD_SHARE_BED*R_NF_2023-D175*MCD_SHARE_FREED*R_WAIT_2023</f>
        <v>151980.48282209205</v>
      </c>
      <c r="O175">
        <f>IF(A175&lt;=BEDS,1,0)</f>
        <v>0</v>
      </c>
    </row>
    <row r="176">
      <c r="A176" t="n">
        <v>172</v>
      </c>
      <c r="B176">
        <f>IF(COST_YR_RUNG1&lt;=COST_YR_RUNG2,IF(A176&lt;=RUNG_BEDS_1,1,2),IF(A176&lt;=RUNG_BEDS_2,2,1))</f>
        <v>1</v>
      </c>
      <c r="C176" s="5">
        <f>MIN(1,MAX(0,POOL_BEDS-(A176-1)))</f>
        <v>0</v>
      </c>
      <c r="D176" s="5">
        <f>FREED*(C176+(1-C176)*PAST_POOL_PCT)</f>
        <v>0.0</v>
      </c>
      <c r="E176" s="13">
        <f>D176*(C_AVOID+ACUTE_MARGIN)</f>
        <v>0.0</v>
      </c>
      <c r="F176" s="13">
        <f>D176*(RANGE_LO+ACUTE_MARGIN)</f>
        <v>0.0</v>
      </c>
      <c r="G176" s="13">
        <f>D176*(RANGE_HI+ACUTE_MARGIN)</f>
        <v>0.0</v>
      </c>
      <c r="H176" s="13">
        <f>IF(B176=1,COST_YR_RUNG1,COST_YR_RUNG2)</f>
        <v>152394.16214437486</v>
      </c>
      <c r="I176" s="13">
        <f>E176-H176</f>
        <v>-152394.16214437486</v>
      </c>
      <c r="J176" s="13">
        <f>J175+I176</f>
        <v>12017174.739439849</v>
      </c>
      <c r="K176">
        <f>IF(J176=MAX($J$4:$J$404),A176,0)</f>
        <v>0</v>
      </c>
      <c r="L176">
        <f>IF(E176&lt;H176,A176,B_MAX+1)</f>
        <v>172</v>
      </c>
      <c r="M176" s="13">
        <f>IF(B176=1,GRANT_RUNG1,GRANT_RUNG2)</f>
        <v>0</v>
      </c>
      <c r="N176" s="13">
        <f>OCC_DAYS*MCD_SHARE_BED*R_NF_2023-D176*MCD_SHARE_FREED*R_WAIT_2023</f>
        <v>151980.48282209205</v>
      </c>
      <c r="O176">
        <f>IF(A176&lt;=BEDS,1,0)</f>
        <v>0</v>
      </c>
    </row>
    <row r="177">
      <c r="A177" t="n">
        <v>173</v>
      </c>
      <c r="B177">
        <f>IF(COST_YR_RUNG1&lt;=COST_YR_RUNG2,IF(A177&lt;=RUNG_BEDS_1,1,2),IF(A177&lt;=RUNG_BEDS_2,2,1))</f>
        <v>1</v>
      </c>
      <c r="C177" s="5">
        <f>MIN(1,MAX(0,POOL_BEDS-(A177-1)))</f>
        <v>0</v>
      </c>
      <c r="D177" s="5">
        <f>FREED*(C177+(1-C177)*PAST_POOL_PCT)</f>
        <v>0.0</v>
      </c>
      <c r="E177" s="13">
        <f>D177*(C_AVOID+ACUTE_MARGIN)</f>
        <v>0.0</v>
      </c>
      <c r="F177" s="13">
        <f>D177*(RANGE_LO+ACUTE_MARGIN)</f>
        <v>0.0</v>
      </c>
      <c r="G177" s="13">
        <f>D177*(RANGE_HI+ACUTE_MARGIN)</f>
        <v>0.0</v>
      </c>
      <c r="H177" s="13">
        <f>IF(B177=1,COST_YR_RUNG1,COST_YR_RUNG2)</f>
        <v>152394.16214437486</v>
      </c>
      <c r="I177" s="13">
        <f>E177-H177</f>
        <v>-152394.16214437486</v>
      </c>
      <c r="J177" s="13">
        <f>J176+I177</f>
        <v>11864780.577295475</v>
      </c>
      <c r="K177">
        <f>IF(J177=MAX($J$4:$J$404),A177,0)</f>
        <v>0</v>
      </c>
      <c r="L177">
        <f>IF(E177&lt;H177,A177,B_MAX+1)</f>
        <v>173</v>
      </c>
      <c r="M177" s="13">
        <f>IF(B177=1,GRANT_RUNG1,GRANT_RUNG2)</f>
        <v>0</v>
      </c>
      <c r="N177" s="13">
        <f>OCC_DAYS*MCD_SHARE_BED*R_NF_2023-D177*MCD_SHARE_FREED*R_WAIT_2023</f>
        <v>151980.48282209205</v>
      </c>
      <c r="O177">
        <f>IF(A177&lt;=BEDS,1,0)</f>
        <v>0</v>
      </c>
    </row>
    <row r="178">
      <c r="A178" t="n">
        <v>174</v>
      </c>
      <c r="B178">
        <f>IF(COST_YR_RUNG1&lt;=COST_YR_RUNG2,IF(A178&lt;=RUNG_BEDS_1,1,2),IF(A178&lt;=RUNG_BEDS_2,2,1))</f>
        <v>1</v>
      </c>
      <c r="C178" s="5">
        <f>MIN(1,MAX(0,POOL_BEDS-(A178-1)))</f>
        <v>0</v>
      </c>
      <c r="D178" s="5">
        <f>FREED*(C178+(1-C178)*PAST_POOL_PCT)</f>
        <v>0.0</v>
      </c>
      <c r="E178" s="13">
        <f>D178*(C_AVOID+ACUTE_MARGIN)</f>
        <v>0.0</v>
      </c>
      <c r="F178" s="13">
        <f>D178*(RANGE_LO+ACUTE_MARGIN)</f>
        <v>0.0</v>
      </c>
      <c r="G178" s="13">
        <f>D178*(RANGE_HI+ACUTE_MARGIN)</f>
        <v>0.0</v>
      </c>
      <c r="H178" s="13">
        <f>IF(B178=1,COST_YR_RUNG1,COST_YR_RUNG2)</f>
        <v>152394.16214437486</v>
      </c>
      <c r="I178" s="13">
        <f>E178-H178</f>
        <v>-152394.16214437486</v>
      </c>
      <c r="J178" s="13">
        <f>J177+I178</f>
        <v>11712386.4151511</v>
      </c>
      <c r="K178">
        <f>IF(J178=MAX($J$4:$J$404),A178,0)</f>
        <v>0</v>
      </c>
      <c r="L178">
        <f>IF(E178&lt;H178,A178,B_MAX+1)</f>
        <v>174</v>
      </c>
      <c r="M178" s="13">
        <f>IF(B178=1,GRANT_RUNG1,GRANT_RUNG2)</f>
        <v>0</v>
      </c>
      <c r="N178" s="13">
        <f>OCC_DAYS*MCD_SHARE_BED*R_NF_2023-D178*MCD_SHARE_FREED*R_WAIT_2023</f>
        <v>151980.48282209205</v>
      </c>
      <c r="O178">
        <f>IF(A178&lt;=BEDS,1,0)</f>
        <v>0</v>
      </c>
    </row>
    <row r="179">
      <c r="A179" t="n">
        <v>175</v>
      </c>
      <c r="B179">
        <f>IF(COST_YR_RUNG1&lt;=COST_YR_RUNG2,IF(A179&lt;=RUNG_BEDS_1,1,2),IF(A179&lt;=RUNG_BEDS_2,2,1))</f>
        <v>1</v>
      </c>
      <c r="C179" s="5">
        <f>MIN(1,MAX(0,POOL_BEDS-(A179-1)))</f>
        <v>0</v>
      </c>
      <c r="D179" s="5">
        <f>FREED*(C179+(1-C179)*PAST_POOL_PCT)</f>
        <v>0.0</v>
      </c>
      <c r="E179" s="13">
        <f>D179*(C_AVOID+ACUTE_MARGIN)</f>
        <v>0.0</v>
      </c>
      <c r="F179" s="13">
        <f>D179*(RANGE_LO+ACUTE_MARGIN)</f>
        <v>0.0</v>
      </c>
      <c r="G179" s="13">
        <f>D179*(RANGE_HI+ACUTE_MARGIN)</f>
        <v>0.0</v>
      </c>
      <c r="H179" s="13">
        <f>IF(B179=1,COST_YR_RUNG1,COST_YR_RUNG2)</f>
        <v>152394.16214437486</v>
      </c>
      <c r="I179" s="13">
        <f>E179-H179</f>
        <v>-152394.16214437486</v>
      </c>
      <c r="J179" s="13">
        <f>J178+I179</f>
        <v>11559992.253006727</v>
      </c>
      <c r="K179">
        <f>IF(J179=MAX($J$4:$J$404),A179,0)</f>
        <v>0</v>
      </c>
      <c r="L179">
        <f>IF(E179&lt;H179,A179,B_MAX+1)</f>
        <v>175</v>
      </c>
      <c r="M179" s="13">
        <f>IF(B179=1,GRANT_RUNG1,GRANT_RUNG2)</f>
        <v>0</v>
      </c>
      <c r="N179" s="13">
        <f>OCC_DAYS*MCD_SHARE_BED*R_NF_2023-D179*MCD_SHARE_FREED*R_WAIT_2023</f>
        <v>151980.48282209205</v>
      </c>
      <c r="O179">
        <f>IF(A179&lt;=BEDS,1,0)</f>
        <v>0</v>
      </c>
    </row>
    <row r="180">
      <c r="A180" t="n">
        <v>176</v>
      </c>
      <c r="B180">
        <f>IF(COST_YR_RUNG1&lt;=COST_YR_RUNG2,IF(A180&lt;=RUNG_BEDS_1,1,2),IF(A180&lt;=RUNG_BEDS_2,2,1))</f>
        <v>1</v>
      </c>
      <c r="C180" s="5">
        <f>MIN(1,MAX(0,POOL_BEDS-(A180-1)))</f>
        <v>0</v>
      </c>
      <c r="D180" s="5">
        <f>FREED*(C180+(1-C180)*PAST_POOL_PCT)</f>
        <v>0.0</v>
      </c>
      <c r="E180" s="13">
        <f>D180*(C_AVOID+ACUTE_MARGIN)</f>
        <v>0.0</v>
      </c>
      <c r="F180" s="13">
        <f>D180*(RANGE_LO+ACUTE_MARGIN)</f>
        <v>0.0</v>
      </c>
      <c r="G180" s="13">
        <f>D180*(RANGE_HI+ACUTE_MARGIN)</f>
        <v>0.0</v>
      </c>
      <c r="H180" s="13">
        <f>IF(B180=1,COST_YR_RUNG1,COST_YR_RUNG2)</f>
        <v>152394.16214437486</v>
      </c>
      <c r="I180" s="13">
        <f>E180-H180</f>
        <v>-152394.16214437486</v>
      </c>
      <c r="J180" s="13">
        <f>J179+I180</f>
        <v>11407598.090862352</v>
      </c>
      <c r="K180">
        <f>IF(J180=MAX($J$4:$J$404),A180,0)</f>
        <v>0</v>
      </c>
      <c r="L180">
        <f>IF(E180&lt;H180,A180,B_MAX+1)</f>
        <v>176</v>
      </c>
      <c r="M180" s="13">
        <f>IF(B180=1,GRANT_RUNG1,GRANT_RUNG2)</f>
        <v>0</v>
      </c>
      <c r="N180" s="13">
        <f>OCC_DAYS*MCD_SHARE_BED*R_NF_2023-D180*MCD_SHARE_FREED*R_WAIT_2023</f>
        <v>151980.48282209205</v>
      </c>
      <c r="O180">
        <f>IF(A180&lt;=BEDS,1,0)</f>
        <v>0</v>
      </c>
    </row>
    <row r="181">
      <c r="A181" t="n">
        <v>177</v>
      </c>
      <c r="B181">
        <f>IF(COST_YR_RUNG1&lt;=COST_YR_RUNG2,IF(A181&lt;=RUNG_BEDS_1,1,2),IF(A181&lt;=RUNG_BEDS_2,2,1))</f>
        <v>1</v>
      </c>
      <c r="C181" s="5">
        <f>MIN(1,MAX(0,POOL_BEDS-(A181-1)))</f>
        <v>0</v>
      </c>
      <c r="D181" s="5">
        <f>FREED*(C181+(1-C181)*PAST_POOL_PCT)</f>
        <v>0.0</v>
      </c>
      <c r="E181" s="13">
        <f>D181*(C_AVOID+ACUTE_MARGIN)</f>
        <v>0.0</v>
      </c>
      <c r="F181" s="13">
        <f>D181*(RANGE_LO+ACUTE_MARGIN)</f>
        <v>0.0</v>
      </c>
      <c r="G181" s="13">
        <f>D181*(RANGE_HI+ACUTE_MARGIN)</f>
        <v>0.0</v>
      </c>
      <c r="H181" s="13">
        <f>IF(B181=1,COST_YR_RUNG1,COST_YR_RUNG2)</f>
        <v>152394.16214437486</v>
      </c>
      <c r="I181" s="13">
        <f>E181-H181</f>
        <v>-152394.16214437486</v>
      </c>
      <c r="J181" s="13">
        <f>J180+I181</f>
        <v>11255203.928717978</v>
      </c>
      <c r="K181">
        <f>IF(J181=MAX($J$4:$J$404),A181,0)</f>
        <v>0</v>
      </c>
      <c r="L181">
        <f>IF(E181&lt;H181,A181,B_MAX+1)</f>
        <v>177</v>
      </c>
      <c r="M181" s="13">
        <f>IF(B181=1,GRANT_RUNG1,GRANT_RUNG2)</f>
        <v>0</v>
      </c>
      <c r="N181" s="13">
        <f>OCC_DAYS*MCD_SHARE_BED*R_NF_2023-D181*MCD_SHARE_FREED*R_WAIT_2023</f>
        <v>151980.48282209205</v>
      </c>
      <c r="O181">
        <f>IF(A181&lt;=BEDS,1,0)</f>
        <v>0</v>
      </c>
    </row>
    <row r="182">
      <c r="A182" t="n">
        <v>178</v>
      </c>
      <c r="B182">
        <f>IF(COST_YR_RUNG1&lt;=COST_YR_RUNG2,IF(A182&lt;=RUNG_BEDS_1,1,2),IF(A182&lt;=RUNG_BEDS_2,2,1))</f>
        <v>1</v>
      </c>
      <c r="C182" s="5">
        <f>MIN(1,MAX(0,POOL_BEDS-(A182-1)))</f>
        <v>0</v>
      </c>
      <c r="D182" s="5">
        <f>FREED*(C182+(1-C182)*PAST_POOL_PCT)</f>
        <v>0.0</v>
      </c>
      <c r="E182" s="13">
        <f>D182*(C_AVOID+ACUTE_MARGIN)</f>
        <v>0.0</v>
      </c>
      <c r="F182" s="13">
        <f>D182*(RANGE_LO+ACUTE_MARGIN)</f>
        <v>0.0</v>
      </c>
      <c r="G182" s="13">
        <f>D182*(RANGE_HI+ACUTE_MARGIN)</f>
        <v>0.0</v>
      </c>
      <c r="H182" s="13">
        <f>IF(B182=1,COST_YR_RUNG1,COST_YR_RUNG2)</f>
        <v>152394.16214437486</v>
      </c>
      <c r="I182" s="13">
        <f>E182-H182</f>
        <v>-152394.16214437486</v>
      </c>
      <c r="J182" s="13">
        <f>J181+I182</f>
        <v>11102809.766573604</v>
      </c>
      <c r="K182">
        <f>IF(J182=MAX($J$4:$J$404),A182,0)</f>
        <v>0</v>
      </c>
      <c r="L182">
        <f>IF(E182&lt;H182,A182,B_MAX+1)</f>
        <v>178</v>
      </c>
      <c r="M182" s="13">
        <f>IF(B182=1,GRANT_RUNG1,GRANT_RUNG2)</f>
        <v>0</v>
      </c>
      <c r="N182" s="13">
        <f>OCC_DAYS*MCD_SHARE_BED*R_NF_2023-D182*MCD_SHARE_FREED*R_WAIT_2023</f>
        <v>151980.48282209205</v>
      </c>
      <c r="O182">
        <f>IF(A182&lt;=BEDS,1,0)</f>
        <v>0</v>
      </c>
    </row>
    <row r="183">
      <c r="A183" t="n">
        <v>179</v>
      </c>
      <c r="B183">
        <f>IF(COST_YR_RUNG1&lt;=COST_YR_RUNG2,IF(A183&lt;=RUNG_BEDS_1,1,2),IF(A183&lt;=RUNG_BEDS_2,2,1))</f>
        <v>1</v>
      </c>
      <c r="C183" s="5">
        <f>MIN(1,MAX(0,POOL_BEDS-(A183-1)))</f>
        <v>0</v>
      </c>
      <c r="D183" s="5">
        <f>FREED*(C183+(1-C183)*PAST_POOL_PCT)</f>
        <v>0.0</v>
      </c>
      <c r="E183" s="13">
        <f>D183*(C_AVOID+ACUTE_MARGIN)</f>
        <v>0.0</v>
      </c>
      <c r="F183" s="13">
        <f>D183*(RANGE_LO+ACUTE_MARGIN)</f>
        <v>0.0</v>
      </c>
      <c r="G183" s="13">
        <f>D183*(RANGE_HI+ACUTE_MARGIN)</f>
        <v>0.0</v>
      </c>
      <c r="H183" s="13">
        <f>IF(B183=1,COST_YR_RUNG1,COST_YR_RUNG2)</f>
        <v>152394.16214437486</v>
      </c>
      <c r="I183" s="13">
        <f>E183-H183</f>
        <v>-152394.16214437486</v>
      </c>
      <c r="J183" s="13">
        <f>J182+I183</f>
        <v>10950415.60442923</v>
      </c>
      <c r="K183">
        <f>IF(J183=MAX($J$4:$J$404),A183,0)</f>
        <v>0</v>
      </c>
      <c r="L183">
        <f>IF(E183&lt;H183,A183,B_MAX+1)</f>
        <v>179</v>
      </c>
      <c r="M183" s="13">
        <f>IF(B183=1,GRANT_RUNG1,GRANT_RUNG2)</f>
        <v>0</v>
      </c>
      <c r="N183" s="13">
        <f>OCC_DAYS*MCD_SHARE_BED*R_NF_2023-D183*MCD_SHARE_FREED*R_WAIT_2023</f>
        <v>151980.48282209205</v>
      </c>
      <c r="O183">
        <f>IF(A183&lt;=BEDS,1,0)</f>
        <v>0</v>
      </c>
    </row>
    <row r="184">
      <c r="A184" t="n">
        <v>180</v>
      </c>
      <c r="B184">
        <f>IF(COST_YR_RUNG1&lt;=COST_YR_RUNG2,IF(A184&lt;=RUNG_BEDS_1,1,2),IF(A184&lt;=RUNG_BEDS_2,2,1))</f>
        <v>1</v>
      </c>
      <c r="C184" s="5">
        <f>MIN(1,MAX(0,POOL_BEDS-(A184-1)))</f>
        <v>0</v>
      </c>
      <c r="D184" s="5">
        <f>FREED*(C184+(1-C184)*PAST_POOL_PCT)</f>
        <v>0.0</v>
      </c>
      <c r="E184" s="13">
        <f>D184*(C_AVOID+ACUTE_MARGIN)</f>
        <v>0.0</v>
      </c>
      <c r="F184" s="13">
        <f>D184*(RANGE_LO+ACUTE_MARGIN)</f>
        <v>0.0</v>
      </c>
      <c r="G184" s="13">
        <f>D184*(RANGE_HI+ACUTE_MARGIN)</f>
        <v>0.0</v>
      </c>
      <c r="H184" s="13">
        <f>IF(B184=1,COST_YR_RUNG1,COST_YR_RUNG2)</f>
        <v>152394.16214437486</v>
      </c>
      <c r="I184" s="13">
        <f>E184-H184</f>
        <v>-152394.16214437486</v>
      </c>
      <c r="J184" s="13">
        <f>J183+I184</f>
        <v>10798021.442284856</v>
      </c>
      <c r="K184">
        <f>IF(J184=MAX($J$4:$J$404),A184,0)</f>
        <v>0</v>
      </c>
      <c r="L184">
        <f>IF(E184&lt;H184,A184,B_MAX+1)</f>
        <v>180</v>
      </c>
      <c r="M184" s="13">
        <f>IF(B184=1,GRANT_RUNG1,GRANT_RUNG2)</f>
        <v>0</v>
      </c>
      <c r="N184" s="13">
        <f>OCC_DAYS*MCD_SHARE_BED*R_NF_2023-D184*MCD_SHARE_FREED*R_WAIT_2023</f>
        <v>151980.48282209205</v>
      </c>
      <c r="O184">
        <f>IF(A184&lt;=BEDS,1,0)</f>
        <v>0</v>
      </c>
    </row>
    <row r="185">
      <c r="A185" t="n">
        <v>181</v>
      </c>
      <c r="B185">
        <f>IF(COST_YR_RUNG1&lt;=COST_YR_RUNG2,IF(A185&lt;=RUNG_BEDS_1,1,2),IF(A185&lt;=RUNG_BEDS_2,2,1))</f>
        <v>1</v>
      </c>
      <c r="C185" s="5">
        <f>MIN(1,MAX(0,POOL_BEDS-(A185-1)))</f>
        <v>0</v>
      </c>
      <c r="D185" s="5">
        <f>FREED*(C185+(1-C185)*PAST_POOL_PCT)</f>
        <v>0.0</v>
      </c>
      <c r="E185" s="13">
        <f>D185*(C_AVOID+ACUTE_MARGIN)</f>
        <v>0.0</v>
      </c>
      <c r="F185" s="13">
        <f>D185*(RANGE_LO+ACUTE_MARGIN)</f>
        <v>0.0</v>
      </c>
      <c r="G185" s="13">
        <f>D185*(RANGE_HI+ACUTE_MARGIN)</f>
        <v>0.0</v>
      </c>
      <c r="H185" s="13">
        <f>IF(B185=1,COST_YR_RUNG1,COST_YR_RUNG2)</f>
        <v>152394.16214437486</v>
      </c>
      <c r="I185" s="13">
        <f>E185-H185</f>
        <v>-152394.16214437486</v>
      </c>
      <c r="J185" s="13">
        <f>J184+I185</f>
        <v>10645627.280140482</v>
      </c>
      <c r="K185">
        <f>IF(J185=MAX($J$4:$J$404),A185,0)</f>
        <v>0</v>
      </c>
      <c r="L185">
        <f>IF(E185&lt;H185,A185,B_MAX+1)</f>
        <v>181</v>
      </c>
      <c r="M185" s="13">
        <f>IF(B185=1,GRANT_RUNG1,GRANT_RUNG2)</f>
        <v>0</v>
      </c>
      <c r="N185" s="13">
        <f>OCC_DAYS*MCD_SHARE_BED*R_NF_2023-D185*MCD_SHARE_FREED*R_WAIT_2023</f>
        <v>151980.48282209205</v>
      </c>
      <c r="O185">
        <f>IF(A185&lt;=BEDS,1,0)</f>
        <v>0</v>
      </c>
    </row>
    <row r="186">
      <c r="A186" t="n">
        <v>182</v>
      </c>
      <c r="B186">
        <f>IF(COST_YR_RUNG1&lt;=COST_YR_RUNG2,IF(A186&lt;=RUNG_BEDS_1,1,2),IF(A186&lt;=RUNG_BEDS_2,2,1))</f>
        <v>1</v>
      </c>
      <c r="C186" s="5">
        <f>MIN(1,MAX(0,POOL_BEDS-(A186-1)))</f>
        <v>0</v>
      </c>
      <c r="D186" s="5">
        <f>FREED*(C186+(1-C186)*PAST_POOL_PCT)</f>
        <v>0.0</v>
      </c>
      <c r="E186" s="13">
        <f>D186*(C_AVOID+ACUTE_MARGIN)</f>
        <v>0.0</v>
      </c>
      <c r="F186" s="13">
        <f>D186*(RANGE_LO+ACUTE_MARGIN)</f>
        <v>0.0</v>
      </c>
      <c r="G186" s="13">
        <f>D186*(RANGE_HI+ACUTE_MARGIN)</f>
        <v>0.0</v>
      </c>
      <c r="H186" s="13">
        <f>IF(B186=1,COST_YR_RUNG1,COST_YR_RUNG2)</f>
        <v>152394.16214437486</v>
      </c>
      <c r="I186" s="13">
        <f>E186-H186</f>
        <v>-152394.16214437486</v>
      </c>
      <c r="J186" s="13">
        <f>J185+I186</f>
        <v>10493233.117996108</v>
      </c>
      <c r="K186">
        <f>IF(J186=MAX($J$4:$J$404),A186,0)</f>
        <v>0</v>
      </c>
      <c r="L186">
        <f>IF(E186&lt;H186,A186,B_MAX+1)</f>
        <v>182</v>
      </c>
      <c r="M186" s="13">
        <f>IF(B186=1,GRANT_RUNG1,GRANT_RUNG2)</f>
        <v>0</v>
      </c>
      <c r="N186" s="13">
        <f>OCC_DAYS*MCD_SHARE_BED*R_NF_2023-D186*MCD_SHARE_FREED*R_WAIT_2023</f>
        <v>151980.48282209205</v>
      </c>
      <c r="O186">
        <f>IF(A186&lt;=BEDS,1,0)</f>
        <v>0</v>
      </c>
    </row>
    <row r="187">
      <c r="A187" t="n">
        <v>183</v>
      </c>
      <c r="B187">
        <f>IF(COST_YR_RUNG1&lt;=COST_YR_RUNG2,IF(A187&lt;=RUNG_BEDS_1,1,2),IF(A187&lt;=RUNG_BEDS_2,2,1))</f>
        <v>1</v>
      </c>
      <c r="C187" s="5">
        <f>MIN(1,MAX(0,POOL_BEDS-(A187-1)))</f>
        <v>0</v>
      </c>
      <c r="D187" s="5">
        <f>FREED*(C187+(1-C187)*PAST_POOL_PCT)</f>
        <v>0.0</v>
      </c>
      <c r="E187" s="13">
        <f>D187*(C_AVOID+ACUTE_MARGIN)</f>
        <v>0.0</v>
      </c>
      <c r="F187" s="13">
        <f>D187*(RANGE_LO+ACUTE_MARGIN)</f>
        <v>0.0</v>
      </c>
      <c r="G187" s="13">
        <f>D187*(RANGE_HI+ACUTE_MARGIN)</f>
        <v>0.0</v>
      </c>
      <c r="H187" s="13">
        <f>IF(B187=1,COST_YR_RUNG1,COST_YR_RUNG2)</f>
        <v>152394.16214437486</v>
      </c>
      <c r="I187" s="13">
        <f>E187-H187</f>
        <v>-152394.16214437486</v>
      </c>
      <c r="J187" s="13">
        <f>J186+I187</f>
        <v>10340838.955851734</v>
      </c>
      <c r="K187">
        <f>IF(J187=MAX($J$4:$J$404),A187,0)</f>
        <v>0</v>
      </c>
      <c r="L187">
        <f>IF(E187&lt;H187,A187,B_MAX+1)</f>
        <v>183</v>
      </c>
      <c r="M187" s="13">
        <f>IF(B187=1,GRANT_RUNG1,GRANT_RUNG2)</f>
        <v>0</v>
      </c>
      <c r="N187" s="13">
        <f>OCC_DAYS*MCD_SHARE_BED*R_NF_2023-D187*MCD_SHARE_FREED*R_WAIT_2023</f>
        <v>151980.48282209205</v>
      </c>
      <c r="O187">
        <f>IF(A187&lt;=BEDS,1,0)</f>
        <v>0</v>
      </c>
    </row>
    <row r="188">
      <c r="A188" t="n">
        <v>184</v>
      </c>
      <c r="B188">
        <f>IF(COST_YR_RUNG1&lt;=COST_YR_RUNG2,IF(A188&lt;=RUNG_BEDS_1,1,2),IF(A188&lt;=RUNG_BEDS_2,2,1))</f>
        <v>1</v>
      </c>
      <c r="C188" s="5">
        <f>MIN(1,MAX(0,POOL_BEDS-(A188-1)))</f>
        <v>0</v>
      </c>
      <c r="D188" s="5">
        <f>FREED*(C188+(1-C188)*PAST_POOL_PCT)</f>
        <v>0.0</v>
      </c>
      <c r="E188" s="13">
        <f>D188*(C_AVOID+ACUTE_MARGIN)</f>
        <v>0.0</v>
      </c>
      <c r="F188" s="13">
        <f>D188*(RANGE_LO+ACUTE_MARGIN)</f>
        <v>0.0</v>
      </c>
      <c r="G188" s="13">
        <f>D188*(RANGE_HI+ACUTE_MARGIN)</f>
        <v>0.0</v>
      </c>
      <c r="H188" s="13">
        <f>IF(B188=1,COST_YR_RUNG1,COST_YR_RUNG2)</f>
        <v>152394.16214437486</v>
      </c>
      <c r="I188" s="13">
        <f>E188-H188</f>
        <v>-152394.16214437486</v>
      </c>
      <c r="J188" s="13">
        <f>J187+I188</f>
        <v>10188444.79370736</v>
      </c>
      <c r="K188">
        <f>IF(J188=MAX($J$4:$J$404),A188,0)</f>
        <v>0</v>
      </c>
      <c r="L188">
        <f>IF(E188&lt;H188,A188,B_MAX+1)</f>
        <v>184</v>
      </c>
      <c r="M188" s="13">
        <f>IF(B188=1,GRANT_RUNG1,GRANT_RUNG2)</f>
        <v>0</v>
      </c>
      <c r="N188" s="13">
        <f>OCC_DAYS*MCD_SHARE_BED*R_NF_2023-D188*MCD_SHARE_FREED*R_WAIT_2023</f>
        <v>151980.48282209205</v>
      </c>
      <c r="O188">
        <f>IF(A188&lt;=BEDS,1,0)</f>
        <v>0</v>
      </c>
    </row>
    <row r="189">
      <c r="A189" t="n">
        <v>185</v>
      </c>
      <c r="B189">
        <f>IF(COST_YR_RUNG1&lt;=COST_YR_RUNG2,IF(A189&lt;=RUNG_BEDS_1,1,2),IF(A189&lt;=RUNG_BEDS_2,2,1))</f>
        <v>1</v>
      </c>
      <c r="C189" s="5">
        <f>MIN(1,MAX(0,POOL_BEDS-(A189-1)))</f>
        <v>0</v>
      </c>
      <c r="D189" s="5">
        <f>FREED*(C189+(1-C189)*PAST_POOL_PCT)</f>
        <v>0.0</v>
      </c>
      <c r="E189" s="13">
        <f>D189*(C_AVOID+ACUTE_MARGIN)</f>
        <v>0.0</v>
      </c>
      <c r="F189" s="13">
        <f>D189*(RANGE_LO+ACUTE_MARGIN)</f>
        <v>0.0</v>
      </c>
      <c r="G189" s="13">
        <f>D189*(RANGE_HI+ACUTE_MARGIN)</f>
        <v>0.0</v>
      </c>
      <c r="H189" s="13">
        <f>IF(B189=1,COST_YR_RUNG1,COST_YR_RUNG2)</f>
        <v>152394.16214437486</v>
      </c>
      <c r="I189" s="13">
        <f>E189-H189</f>
        <v>-152394.16214437486</v>
      </c>
      <c r="J189" s="13">
        <f>J188+I189</f>
        <v>10036050.631562985</v>
      </c>
      <c r="K189">
        <f>IF(J189=MAX($J$4:$J$404),A189,0)</f>
        <v>0</v>
      </c>
      <c r="L189">
        <f>IF(E189&lt;H189,A189,B_MAX+1)</f>
        <v>185</v>
      </c>
      <c r="M189" s="13">
        <f>IF(B189=1,GRANT_RUNG1,GRANT_RUNG2)</f>
        <v>0</v>
      </c>
      <c r="N189" s="13">
        <f>OCC_DAYS*MCD_SHARE_BED*R_NF_2023-D189*MCD_SHARE_FREED*R_WAIT_2023</f>
        <v>151980.48282209205</v>
      </c>
      <c r="O189">
        <f>IF(A189&lt;=BEDS,1,0)</f>
        <v>0</v>
      </c>
    </row>
    <row r="190">
      <c r="A190" t="n">
        <v>186</v>
      </c>
      <c r="B190">
        <f>IF(COST_YR_RUNG1&lt;=COST_YR_RUNG2,IF(A190&lt;=RUNG_BEDS_1,1,2),IF(A190&lt;=RUNG_BEDS_2,2,1))</f>
        <v>1</v>
      </c>
      <c r="C190" s="5">
        <f>MIN(1,MAX(0,POOL_BEDS-(A190-1)))</f>
        <v>0</v>
      </c>
      <c r="D190" s="5">
        <f>FREED*(C190+(1-C190)*PAST_POOL_PCT)</f>
        <v>0.0</v>
      </c>
      <c r="E190" s="13">
        <f>D190*(C_AVOID+ACUTE_MARGIN)</f>
        <v>0.0</v>
      </c>
      <c r="F190" s="13">
        <f>D190*(RANGE_LO+ACUTE_MARGIN)</f>
        <v>0.0</v>
      </c>
      <c r="G190" s="13">
        <f>D190*(RANGE_HI+ACUTE_MARGIN)</f>
        <v>0.0</v>
      </c>
      <c r="H190" s="13">
        <f>IF(B190=1,COST_YR_RUNG1,COST_YR_RUNG2)</f>
        <v>152394.16214437486</v>
      </c>
      <c r="I190" s="13">
        <f>E190-H190</f>
        <v>-152394.16214437486</v>
      </c>
      <c r="J190" s="13">
        <f>J189+I190</f>
        <v>9883656.469418611</v>
      </c>
      <c r="K190">
        <f>IF(J190=MAX($J$4:$J$404),A190,0)</f>
        <v>0</v>
      </c>
      <c r="L190">
        <f>IF(E190&lt;H190,A190,B_MAX+1)</f>
        <v>186</v>
      </c>
      <c r="M190" s="13">
        <f>IF(B190=1,GRANT_RUNG1,GRANT_RUNG2)</f>
        <v>0</v>
      </c>
      <c r="N190" s="13">
        <f>OCC_DAYS*MCD_SHARE_BED*R_NF_2023-D190*MCD_SHARE_FREED*R_WAIT_2023</f>
        <v>151980.48282209205</v>
      </c>
      <c r="O190">
        <f>IF(A190&lt;=BEDS,1,0)</f>
        <v>0</v>
      </c>
    </row>
    <row r="191">
      <c r="A191" t="n">
        <v>187</v>
      </c>
      <c r="B191">
        <f>IF(COST_YR_RUNG1&lt;=COST_YR_RUNG2,IF(A191&lt;=RUNG_BEDS_1,1,2),IF(A191&lt;=RUNG_BEDS_2,2,1))</f>
        <v>1</v>
      </c>
      <c r="C191" s="5">
        <f>MIN(1,MAX(0,POOL_BEDS-(A191-1)))</f>
        <v>0</v>
      </c>
      <c r="D191" s="5">
        <f>FREED*(C191+(1-C191)*PAST_POOL_PCT)</f>
        <v>0.0</v>
      </c>
      <c r="E191" s="13">
        <f>D191*(C_AVOID+ACUTE_MARGIN)</f>
        <v>0.0</v>
      </c>
      <c r="F191" s="13">
        <f>D191*(RANGE_LO+ACUTE_MARGIN)</f>
        <v>0.0</v>
      </c>
      <c r="G191" s="13">
        <f>D191*(RANGE_HI+ACUTE_MARGIN)</f>
        <v>0.0</v>
      </c>
      <c r="H191" s="13">
        <f>IF(B191=1,COST_YR_RUNG1,COST_YR_RUNG2)</f>
        <v>152394.16214437486</v>
      </c>
      <c r="I191" s="13">
        <f>E191-H191</f>
        <v>-152394.16214437486</v>
      </c>
      <c r="J191" s="13">
        <f>J190+I191</f>
        <v>9731262.307274237</v>
      </c>
      <c r="K191">
        <f>IF(J191=MAX($J$4:$J$404),A191,0)</f>
        <v>0</v>
      </c>
      <c r="L191">
        <f>IF(E191&lt;H191,A191,B_MAX+1)</f>
        <v>187</v>
      </c>
      <c r="M191" s="13">
        <f>IF(B191=1,GRANT_RUNG1,GRANT_RUNG2)</f>
        <v>0</v>
      </c>
      <c r="N191" s="13">
        <f>OCC_DAYS*MCD_SHARE_BED*R_NF_2023-D191*MCD_SHARE_FREED*R_WAIT_2023</f>
        <v>151980.48282209205</v>
      </c>
      <c r="O191">
        <f>IF(A191&lt;=BEDS,1,0)</f>
        <v>0</v>
      </c>
    </row>
    <row r="192">
      <c r="A192" t="n">
        <v>188</v>
      </c>
      <c r="B192">
        <f>IF(COST_YR_RUNG1&lt;=COST_YR_RUNG2,IF(A192&lt;=RUNG_BEDS_1,1,2),IF(A192&lt;=RUNG_BEDS_2,2,1))</f>
        <v>1</v>
      </c>
      <c r="C192" s="5">
        <f>MIN(1,MAX(0,POOL_BEDS-(A192-1)))</f>
        <v>0</v>
      </c>
      <c r="D192" s="5">
        <f>FREED*(C192+(1-C192)*PAST_POOL_PCT)</f>
        <v>0.0</v>
      </c>
      <c r="E192" s="13">
        <f>D192*(C_AVOID+ACUTE_MARGIN)</f>
        <v>0.0</v>
      </c>
      <c r="F192" s="13">
        <f>D192*(RANGE_LO+ACUTE_MARGIN)</f>
        <v>0.0</v>
      </c>
      <c r="G192" s="13">
        <f>D192*(RANGE_HI+ACUTE_MARGIN)</f>
        <v>0.0</v>
      </c>
      <c r="H192" s="13">
        <f>IF(B192=1,COST_YR_RUNG1,COST_YR_RUNG2)</f>
        <v>152394.16214437486</v>
      </c>
      <c r="I192" s="13">
        <f>E192-H192</f>
        <v>-152394.16214437486</v>
      </c>
      <c r="J192" s="13">
        <f>J191+I192</f>
        <v>9578868.145129863</v>
      </c>
      <c r="K192">
        <f>IF(J192=MAX($J$4:$J$404),A192,0)</f>
        <v>0</v>
      </c>
      <c r="L192">
        <f>IF(E192&lt;H192,A192,B_MAX+1)</f>
        <v>188</v>
      </c>
      <c r="M192" s="13">
        <f>IF(B192=1,GRANT_RUNG1,GRANT_RUNG2)</f>
        <v>0</v>
      </c>
      <c r="N192" s="13">
        <f>OCC_DAYS*MCD_SHARE_BED*R_NF_2023-D192*MCD_SHARE_FREED*R_WAIT_2023</f>
        <v>151980.48282209205</v>
      </c>
      <c r="O192">
        <f>IF(A192&lt;=BEDS,1,0)</f>
        <v>0</v>
      </c>
    </row>
    <row r="193">
      <c r="A193" t="n">
        <v>189</v>
      </c>
      <c r="B193">
        <f>IF(COST_YR_RUNG1&lt;=COST_YR_RUNG2,IF(A193&lt;=RUNG_BEDS_1,1,2),IF(A193&lt;=RUNG_BEDS_2,2,1))</f>
        <v>1</v>
      </c>
      <c r="C193" s="5">
        <f>MIN(1,MAX(0,POOL_BEDS-(A193-1)))</f>
        <v>0</v>
      </c>
      <c r="D193" s="5">
        <f>FREED*(C193+(1-C193)*PAST_POOL_PCT)</f>
        <v>0.0</v>
      </c>
      <c r="E193" s="13">
        <f>D193*(C_AVOID+ACUTE_MARGIN)</f>
        <v>0.0</v>
      </c>
      <c r="F193" s="13">
        <f>D193*(RANGE_LO+ACUTE_MARGIN)</f>
        <v>0.0</v>
      </c>
      <c r="G193" s="13">
        <f>D193*(RANGE_HI+ACUTE_MARGIN)</f>
        <v>0.0</v>
      </c>
      <c r="H193" s="13">
        <f>IF(B193=1,COST_YR_RUNG1,COST_YR_RUNG2)</f>
        <v>152394.16214437486</v>
      </c>
      <c r="I193" s="13">
        <f>E193-H193</f>
        <v>-152394.16214437486</v>
      </c>
      <c r="J193" s="13">
        <f>J192+I193</f>
        <v>9426473.98298549</v>
      </c>
      <c r="K193">
        <f>IF(J193=MAX($J$4:$J$404),A193,0)</f>
        <v>0</v>
      </c>
      <c r="L193">
        <f>IF(E193&lt;H193,A193,B_MAX+1)</f>
        <v>189</v>
      </c>
      <c r="M193" s="13">
        <f>IF(B193=1,GRANT_RUNG1,GRANT_RUNG2)</f>
        <v>0</v>
      </c>
      <c r="N193" s="13">
        <f>OCC_DAYS*MCD_SHARE_BED*R_NF_2023-D193*MCD_SHARE_FREED*R_WAIT_2023</f>
        <v>151980.48282209205</v>
      </c>
      <c r="O193">
        <f>IF(A193&lt;=BEDS,1,0)</f>
        <v>0</v>
      </c>
    </row>
    <row r="194">
      <c r="A194" t="n">
        <v>190</v>
      </c>
      <c r="B194">
        <f>IF(COST_YR_RUNG1&lt;=COST_YR_RUNG2,IF(A194&lt;=RUNG_BEDS_1,1,2),IF(A194&lt;=RUNG_BEDS_2,2,1))</f>
        <v>1</v>
      </c>
      <c r="C194" s="5">
        <f>MIN(1,MAX(0,POOL_BEDS-(A194-1)))</f>
        <v>0</v>
      </c>
      <c r="D194" s="5">
        <f>FREED*(C194+(1-C194)*PAST_POOL_PCT)</f>
        <v>0.0</v>
      </c>
      <c r="E194" s="13">
        <f>D194*(C_AVOID+ACUTE_MARGIN)</f>
        <v>0.0</v>
      </c>
      <c r="F194" s="13">
        <f>D194*(RANGE_LO+ACUTE_MARGIN)</f>
        <v>0.0</v>
      </c>
      <c r="G194" s="13">
        <f>D194*(RANGE_HI+ACUTE_MARGIN)</f>
        <v>0.0</v>
      </c>
      <c r="H194" s="13">
        <f>IF(B194=1,COST_YR_RUNG1,COST_YR_RUNG2)</f>
        <v>152394.16214437486</v>
      </c>
      <c r="I194" s="13">
        <f>E194-H194</f>
        <v>-152394.16214437486</v>
      </c>
      <c r="J194" s="13">
        <f>J193+I194</f>
        <v>9274079.820841115</v>
      </c>
      <c r="K194">
        <f>IF(J194=MAX($J$4:$J$404),A194,0)</f>
        <v>0</v>
      </c>
      <c r="L194">
        <f>IF(E194&lt;H194,A194,B_MAX+1)</f>
        <v>190</v>
      </c>
      <c r="M194" s="13">
        <f>IF(B194=1,GRANT_RUNG1,GRANT_RUNG2)</f>
        <v>0</v>
      </c>
      <c r="N194" s="13">
        <f>OCC_DAYS*MCD_SHARE_BED*R_NF_2023-D194*MCD_SHARE_FREED*R_WAIT_2023</f>
        <v>151980.48282209205</v>
      </c>
      <c r="O194">
        <f>IF(A194&lt;=BEDS,1,0)</f>
        <v>0</v>
      </c>
    </row>
    <row r="195">
      <c r="A195" t="n">
        <v>191</v>
      </c>
      <c r="B195">
        <f>IF(COST_YR_RUNG1&lt;=COST_YR_RUNG2,IF(A195&lt;=RUNG_BEDS_1,1,2),IF(A195&lt;=RUNG_BEDS_2,2,1))</f>
        <v>1</v>
      </c>
      <c r="C195" s="5">
        <f>MIN(1,MAX(0,POOL_BEDS-(A195-1)))</f>
        <v>0</v>
      </c>
      <c r="D195" s="5">
        <f>FREED*(C195+(1-C195)*PAST_POOL_PCT)</f>
        <v>0.0</v>
      </c>
      <c r="E195" s="13">
        <f>D195*(C_AVOID+ACUTE_MARGIN)</f>
        <v>0.0</v>
      </c>
      <c r="F195" s="13">
        <f>D195*(RANGE_LO+ACUTE_MARGIN)</f>
        <v>0.0</v>
      </c>
      <c r="G195" s="13">
        <f>D195*(RANGE_HI+ACUTE_MARGIN)</f>
        <v>0.0</v>
      </c>
      <c r="H195" s="13">
        <f>IF(B195=1,COST_YR_RUNG1,COST_YR_RUNG2)</f>
        <v>152394.16214437486</v>
      </c>
      <c r="I195" s="13">
        <f>E195-H195</f>
        <v>-152394.16214437486</v>
      </c>
      <c r="J195" s="13">
        <f>J194+I195</f>
        <v>9121685.65869674</v>
      </c>
      <c r="K195">
        <f>IF(J195=MAX($J$4:$J$404),A195,0)</f>
        <v>0</v>
      </c>
      <c r="L195">
        <f>IF(E195&lt;H195,A195,B_MAX+1)</f>
        <v>191</v>
      </c>
      <c r="M195" s="13">
        <f>IF(B195=1,GRANT_RUNG1,GRANT_RUNG2)</f>
        <v>0</v>
      </c>
      <c r="N195" s="13">
        <f>OCC_DAYS*MCD_SHARE_BED*R_NF_2023-D195*MCD_SHARE_FREED*R_WAIT_2023</f>
        <v>151980.48282209205</v>
      </c>
      <c r="O195">
        <f>IF(A195&lt;=BEDS,1,0)</f>
        <v>0</v>
      </c>
    </row>
    <row r="196">
      <c r="A196" t="n">
        <v>192</v>
      </c>
      <c r="B196">
        <f>IF(COST_YR_RUNG1&lt;=COST_YR_RUNG2,IF(A196&lt;=RUNG_BEDS_1,1,2),IF(A196&lt;=RUNG_BEDS_2,2,1))</f>
        <v>1</v>
      </c>
      <c r="C196" s="5">
        <f>MIN(1,MAX(0,POOL_BEDS-(A196-1)))</f>
        <v>0</v>
      </c>
      <c r="D196" s="5">
        <f>FREED*(C196+(1-C196)*PAST_POOL_PCT)</f>
        <v>0.0</v>
      </c>
      <c r="E196" s="13">
        <f>D196*(C_AVOID+ACUTE_MARGIN)</f>
        <v>0.0</v>
      </c>
      <c r="F196" s="13">
        <f>D196*(RANGE_LO+ACUTE_MARGIN)</f>
        <v>0.0</v>
      </c>
      <c r="G196" s="13">
        <f>D196*(RANGE_HI+ACUTE_MARGIN)</f>
        <v>0.0</v>
      </c>
      <c r="H196" s="13">
        <f>IF(B196=1,COST_YR_RUNG1,COST_YR_RUNG2)</f>
        <v>152394.16214437486</v>
      </c>
      <c r="I196" s="13">
        <f>E196-H196</f>
        <v>-152394.16214437486</v>
      </c>
      <c r="J196" s="13">
        <f>J195+I196</f>
        <v>8969291.496552367</v>
      </c>
      <c r="K196">
        <f>IF(J196=MAX($J$4:$J$404),A196,0)</f>
        <v>0</v>
      </c>
      <c r="L196">
        <f>IF(E196&lt;H196,A196,B_MAX+1)</f>
        <v>192</v>
      </c>
      <c r="M196" s="13">
        <f>IF(B196=1,GRANT_RUNG1,GRANT_RUNG2)</f>
        <v>0</v>
      </c>
      <c r="N196" s="13">
        <f>OCC_DAYS*MCD_SHARE_BED*R_NF_2023-D196*MCD_SHARE_FREED*R_WAIT_2023</f>
        <v>151980.48282209205</v>
      </c>
      <c r="O196">
        <f>IF(A196&lt;=BEDS,1,0)</f>
        <v>0</v>
      </c>
    </row>
    <row r="197">
      <c r="A197" t="n">
        <v>193</v>
      </c>
      <c r="B197">
        <f>IF(COST_YR_RUNG1&lt;=COST_YR_RUNG2,IF(A197&lt;=RUNG_BEDS_1,1,2),IF(A197&lt;=RUNG_BEDS_2,2,1))</f>
        <v>1</v>
      </c>
      <c r="C197" s="5">
        <f>MIN(1,MAX(0,POOL_BEDS-(A197-1)))</f>
        <v>0</v>
      </c>
      <c r="D197" s="5">
        <f>FREED*(C197+(1-C197)*PAST_POOL_PCT)</f>
        <v>0.0</v>
      </c>
      <c r="E197" s="13">
        <f>D197*(C_AVOID+ACUTE_MARGIN)</f>
        <v>0.0</v>
      </c>
      <c r="F197" s="13">
        <f>D197*(RANGE_LO+ACUTE_MARGIN)</f>
        <v>0.0</v>
      </c>
      <c r="G197" s="13">
        <f>D197*(RANGE_HI+ACUTE_MARGIN)</f>
        <v>0.0</v>
      </c>
      <c r="H197" s="13">
        <f>IF(B197=1,COST_YR_RUNG1,COST_YR_RUNG2)</f>
        <v>152394.16214437486</v>
      </c>
      <c r="I197" s="13">
        <f>E197-H197</f>
        <v>-152394.16214437486</v>
      </c>
      <c r="J197" s="13">
        <f>J196+I197</f>
        <v>8816897.334407993</v>
      </c>
      <c r="K197">
        <f>IF(J197=MAX($J$4:$J$404),A197,0)</f>
        <v>0</v>
      </c>
      <c r="L197">
        <f>IF(E197&lt;H197,A197,B_MAX+1)</f>
        <v>193</v>
      </c>
      <c r="M197" s="13">
        <f>IF(B197=1,GRANT_RUNG1,GRANT_RUNG2)</f>
        <v>0</v>
      </c>
      <c r="N197" s="13">
        <f>OCC_DAYS*MCD_SHARE_BED*R_NF_2023-D197*MCD_SHARE_FREED*R_WAIT_2023</f>
        <v>151980.48282209205</v>
      </c>
      <c r="O197">
        <f>IF(A197&lt;=BEDS,1,0)</f>
        <v>0</v>
      </c>
    </row>
    <row r="198">
      <c r="A198" t="n">
        <v>194</v>
      </c>
      <c r="B198">
        <f>IF(COST_YR_RUNG1&lt;=COST_YR_RUNG2,IF(A198&lt;=RUNG_BEDS_1,1,2),IF(A198&lt;=RUNG_BEDS_2,2,1))</f>
        <v>1</v>
      </c>
      <c r="C198" s="5">
        <f>MIN(1,MAX(0,POOL_BEDS-(A198-1)))</f>
        <v>0</v>
      </c>
      <c r="D198" s="5">
        <f>FREED*(C198+(1-C198)*PAST_POOL_PCT)</f>
        <v>0.0</v>
      </c>
      <c r="E198" s="13">
        <f>D198*(C_AVOID+ACUTE_MARGIN)</f>
        <v>0.0</v>
      </c>
      <c r="F198" s="13">
        <f>D198*(RANGE_LO+ACUTE_MARGIN)</f>
        <v>0.0</v>
      </c>
      <c r="G198" s="13">
        <f>D198*(RANGE_HI+ACUTE_MARGIN)</f>
        <v>0.0</v>
      </c>
      <c r="H198" s="13">
        <f>IF(B198=1,COST_YR_RUNG1,COST_YR_RUNG2)</f>
        <v>152394.16214437486</v>
      </c>
      <c r="I198" s="13">
        <f>E198-H198</f>
        <v>-152394.16214437486</v>
      </c>
      <c r="J198" s="13">
        <f>J197+I198</f>
        <v>8664503.172263619</v>
      </c>
      <c r="K198">
        <f>IF(J198=MAX($J$4:$J$404),A198,0)</f>
        <v>0</v>
      </c>
      <c r="L198">
        <f>IF(E198&lt;H198,A198,B_MAX+1)</f>
        <v>194</v>
      </c>
      <c r="M198" s="13">
        <f>IF(B198=1,GRANT_RUNG1,GRANT_RUNG2)</f>
        <v>0</v>
      </c>
      <c r="N198" s="13">
        <f>OCC_DAYS*MCD_SHARE_BED*R_NF_2023-D198*MCD_SHARE_FREED*R_WAIT_2023</f>
        <v>151980.48282209205</v>
      </c>
      <c r="O198">
        <f>IF(A198&lt;=BEDS,1,0)</f>
        <v>0</v>
      </c>
    </row>
    <row r="199">
      <c r="A199" t="n">
        <v>195</v>
      </c>
      <c r="B199">
        <f>IF(COST_YR_RUNG1&lt;=COST_YR_RUNG2,IF(A199&lt;=RUNG_BEDS_1,1,2),IF(A199&lt;=RUNG_BEDS_2,2,1))</f>
        <v>1</v>
      </c>
      <c r="C199" s="5">
        <f>MIN(1,MAX(0,POOL_BEDS-(A199-1)))</f>
        <v>0</v>
      </c>
      <c r="D199" s="5">
        <f>FREED*(C199+(1-C199)*PAST_POOL_PCT)</f>
        <v>0.0</v>
      </c>
      <c r="E199" s="13">
        <f>D199*(C_AVOID+ACUTE_MARGIN)</f>
        <v>0.0</v>
      </c>
      <c r="F199" s="13">
        <f>D199*(RANGE_LO+ACUTE_MARGIN)</f>
        <v>0.0</v>
      </c>
      <c r="G199" s="13">
        <f>D199*(RANGE_HI+ACUTE_MARGIN)</f>
        <v>0.0</v>
      </c>
      <c r="H199" s="13">
        <f>IF(B199=1,COST_YR_RUNG1,COST_YR_RUNG2)</f>
        <v>152394.16214437486</v>
      </c>
      <c r="I199" s="13">
        <f>E199-H199</f>
        <v>-152394.16214437486</v>
      </c>
      <c r="J199" s="13">
        <f>J198+I199</f>
        <v>8512109.010119244</v>
      </c>
      <c r="K199">
        <f>IF(J199=MAX($J$4:$J$404),A199,0)</f>
        <v>0</v>
      </c>
      <c r="L199">
        <f>IF(E199&lt;H199,A199,B_MAX+1)</f>
        <v>195</v>
      </c>
      <c r="M199" s="13">
        <f>IF(B199=1,GRANT_RUNG1,GRANT_RUNG2)</f>
        <v>0</v>
      </c>
      <c r="N199" s="13">
        <f>OCC_DAYS*MCD_SHARE_BED*R_NF_2023-D199*MCD_SHARE_FREED*R_WAIT_2023</f>
        <v>151980.48282209205</v>
      </c>
      <c r="O199">
        <f>IF(A199&lt;=BEDS,1,0)</f>
        <v>0</v>
      </c>
    </row>
    <row r="200">
      <c r="A200" t="n">
        <v>196</v>
      </c>
      <c r="B200">
        <f>IF(COST_YR_RUNG1&lt;=COST_YR_RUNG2,IF(A200&lt;=RUNG_BEDS_1,1,2),IF(A200&lt;=RUNG_BEDS_2,2,1))</f>
        <v>1</v>
      </c>
      <c r="C200" s="5">
        <f>MIN(1,MAX(0,POOL_BEDS-(A200-1)))</f>
        <v>0</v>
      </c>
      <c r="D200" s="5">
        <f>FREED*(C200+(1-C200)*PAST_POOL_PCT)</f>
        <v>0.0</v>
      </c>
      <c r="E200" s="13">
        <f>D200*(C_AVOID+ACUTE_MARGIN)</f>
        <v>0.0</v>
      </c>
      <c r="F200" s="13">
        <f>D200*(RANGE_LO+ACUTE_MARGIN)</f>
        <v>0.0</v>
      </c>
      <c r="G200" s="13">
        <f>D200*(RANGE_HI+ACUTE_MARGIN)</f>
        <v>0.0</v>
      </c>
      <c r="H200" s="13">
        <f>IF(B200=1,COST_YR_RUNG1,COST_YR_RUNG2)</f>
        <v>152394.16214437486</v>
      </c>
      <c r="I200" s="13">
        <f>E200-H200</f>
        <v>-152394.16214437486</v>
      </c>
      <c r="J200" s="13">
        <f>J199+I200</f>
        <v>8359714.847974869</v>
      </c>
      <c r="K200">
        <f>IF(J200=MAX($J$4:$J$404),A200,0)</f>
        <v>0</v>
      </c>
      <c r="L200">
        <f>IF(E200&lt;H200,A200,B_MAX+1)</f>
        <v>196</v>
      </c>
      <c r="M200" s="13">
        <f>IF(B200=1,GRANT_RUNG1,GRANT_RUNG2)</f>
        <v>0</v>
      </c>
      <c r="N200" s="13">
        <f>OCC_DAYS*MCD_SHARE_BED*R_NF_2023-D200*MCD_SHARE_FREED*R_WAIT_2023</f>
        <v>151980.48282209205</v>
      </c>
      <c r="O200">
        <f>IF(A200&lt;=BEDS,1,0)</f>
        <v>0</v>
      </c>
    </row>
    <row r="201">
      <c r="A201" t="n">
        <v>197</v>
      </c>
      <c r="B201">
        <f>IF(COST_YR_RUNG1&lt;=COST_YR_RUNG2,IF(A201&lt;=RUNG_BEDS_1,1,2),IF(A201&lt;=RUNG_BEDS_2,2,1))</f>
        <v>1</v>
      </c>
      <c r="C201" s="5">
        <f>MIN(1,MAX(0,POOL_BEDS-(A201-1)))</f>
        <v>0</v>
      </c>
      <c r="D201" s="5">
        <f>FREED*(C201+(1-C201)*PAST_POOL_PCT)</f>
        <v>0.0</v>
      </c>
      <c r="E201" s="13">
        <f>D201*(C_AVOID+ACUTE_MARGIN)</f>
        <v>0.0</v>
      </c>
      <c r="F201" s="13">
        <f>D201*(RANGE_LO+ACUTE_MARGIN)</f>
        <v>0.0</v>
      </c>
      <c r="G201" s="13">
        <f>D201*(RANGE_HI+ACUTE_MARGIN)</f>
        <v>0.0</v>
      </c>
      <c r="H201" s="13">
        <f>IF(B201=1,COST_YR_RUNG1,COST_YR_RUNG2)</f>
        <v>152394.16214437486</v>
      </c>
      <c r="I201" s="13">
        <f>E201-H201</f>
        <v>-152394.16214437486</v>
      </c>
      <c r="J201" s="13">
        <f>J200+I201</f>
        <v>8207320.685830494</v>
      </c>
      <c r="K201">
        <f>IF(J201=MAX($J$4:$J$404),A201,0)</f>
        <v>0</v>
      </c>
      <c r="L201">
        <f>IF(E201&lt;H201,A201,B_MAX+1)</f>
        <v>197</v>
      </c>
      <c r="M201" s="13">
        <f>IF(B201=1,GRANT_RUNG1,GRANT_RUNG2)</f>
        <v>0</v>
      </c>
      <c r="N201" s="13">
        <f>OCC_DAYS*MCD_SHARE_BED*R_NF_2023-D201*MCD_SHARE_FREED*R_WAIT_2023</f>
        <v>151980.48282209205</v>
      </c>
      <c r="O201">
        <f>IF(A201&lt;=BEDS,1,0)</f>
        <v>0</v>
      </c>
    </row>
    <row r="202">
      <c r="A202" t="n">
        <v>198</v>
      </c>
      <c r="B202">
        <f>IF(COST_YR_RUNG1&lt;=COST_YR_RUNG2,IF(A202&lt;=RUNG_BEDS_1,1,2),IF(A202&lt;=RUNG_BEDS_2,2,1))</f>
        <v>1</v>
      </c>
      <c r="C202" s="5">
        <f>MIN(1,MAX(0,POOL_BEDS-(A202-1)))</f>
        <v>0</v>
      </c>
      <c r="D202" s="5">
        <f>FREED*(C202+(1-C202)*PAST_POOL_PCT)</f>
        <v>0.0</v>
      </c>
      <c r="E202" s="13">
        <f>D202*(C_AVOID+ACUTE_MARGIN)</f>
        <v>0.0</v>
      </c>
      <c r="F202" s="13">
        <f>D202*(RANGE_LO+ACUTE_MARGIN)</f>
        <v>0.0</v>
      </c>
      <c r="G202" s="13">
        <f>D202*(RANGE_HI+ACUTE_MARGIN)</f>
        <v>0.0</v>
      </c>
      <c r="H202" s="13">
        <f>IF(B202=1,COST_YR_RUNG1,COST_YR_RUNG2)</f>
        <v>152394.16214437486</v>
      </c>
      <c r="I202" s="13">
        <f>E202-H202</f>
        <v>-152394.16214437486</v>
      </c>
      <c r="J202" s="13">
        <f>J201+I202</f>
        <v>8054926.523686119</v>
      </c>
      <c r="K202">
        <f>IF(J202=MAX($J$4:$J$404),A202,0)</f>
        <v>0</v>
      </c>
      <c r="L202">
        <f>IF(E202&lt;H202,A202,B_MAX+1)</f>
        <v>198</v>
      </c>
      <c r="M202" s="13">
        <f>IF(B202=1,GRANT_RUNG1,GRANT_RUNG2)</f>
        <v>0</v>
      </c>
      <c r="N202" s="13">
        <f>OCC_DAYS*MCD_SHARE_BED*R_NF_2023-D202*MCD_SHARE_FREED*R_WAIT_2023</f>
        <v>151980.48282209205</v>
      </c>
      <c r="O202">
        <f>IF(A202&lt;=BEDS,1,0)</f>
        <v>0</v>
      </c>
    </row>
    <row r="203">
      <c r="A203" t="n">
        <v>199</v>
      </c>
      <c r="B203">
        <f>IF(COST_YR_RUNG1&lt;=COST_YR_RUNG2,IF(A203&lt;=RUNG_BEDS_1,1,2),IF(A203&lt;=RUNG_BEDS_2,2,1))</f>
        <v>1</v>
      </c>
      <c r="C203" s="5">
        <f>MIN(1,MAX(0,POOL_BEDS-(A203-1)))</f>
        <v>0</v>
      </c>
      <c r="D203" s="5">
        <f>FREED*(C203+(1-C203)*PAST_POOL_PCT)</f>
        <v>0.0</v>
      </c>
      <c r="E203" s="13">
        <f>D203*(C_AVOID+ACUTE_MARGIN)</f>
        <v>0.0</v>
      </c>
      <c r="F203" s="13">
        <f>D203*(RANGE_LO+ACUTE_MARGIN)</f>
        <v>0.0</v>
      </c>
      <c r="G203" s="13">
        <f>D203*(RANGE_HI+ACUTE_MARGIN)</f>
        <v>0.0</v>
      </c>
      <c r="H203" s="13">
        <f>IF(B203=1,COST_YR_RUNG1,COST_YR_RUNG2)</f>
        <v>152394.16214437486</v>
      </c>
      <c r="I203" s="13">
        <f>E203-H203</f>
        <v>-152394.16214437486</v>
      </c>
      <c r="J203" s="13">
        <f>J202+I203</f>
        <v>7902532.361541744</v>
      </c>
      <c r="K203">
        <f>IF(J203=MAX($J$4:$J$404),A203,0)</f>
        <v>0</v>
      </c>
      <c r="L203">
        <f>IF(E203&lt;H203,A203,B_MAX+1)</f>
        <v>199</v>
      </c>
      <c r="M203" s="13">
        <f>IF(B203=1,GRANT_RUNG1,GRANT_RUNG2)</f>
        <v>0</v>
      </c>
      <c r="N203" s="13">
        <f>OCC_DAYS*MCD_SHARE_BED*R_NF_2023-D203*MCD_SHARE_FREED*R_WAIT_2023</f>
        <v>151980.48282209205</v>
      </c>
      <c r="O203">
        <f>IF(A203&lt;=BEDS,1,0)</f>
        <v>0</v>
      </c>
    </row>
    <row r="204">
      <c r="A204" t="n">
        <v>200</v>
      </c>
      <c r="B204">
        <f>IF(COST_YR_RUNG1&lt;=COST_YR_RUNG2,IF(A204&lt;=RUNG_BEDS_1,1,2),IF(A204&lt;=RUNG_BEDS_2,2,1))</f>
        <v>1</v>
      </c>
      <c r="C204" s="5">
        <f>MIN(1,MAX(0,POOL_BEDS-(A204-1)))</f>
        <v>0</v>
      </c>
      <c r="D204" s="5">
        <f>FREED*(C204+(1-C204)*PAST_POOL_PCT)</f>
        <v>0.0</v>
      </c>
      <c r="E204" s="13">
        <f>D204*(C_AVOID+ACUTE_MARGIN)</f>
        <v>0.0</v>
      </c>
      <c r="F204" s="13">
        <f>D204*(RANGE_LO+ACUTE_MARGIN)</f>
        <v>0.0</v>
      </c>
      <c r="G204" s="13">
        <f>D204*(RANGE_HI+ACUTE_MARGIN)</f>
        <v>0.0</v>
      </c>
      <c r="H204" s="13">
        <f>IF(B204=1,COST_YR_RUNG1,COST_YR_RUNG2)</f>
        <v>152394.16214437486</v>
      </c>
      <c r="I204" s="13">
        <f>E204-H204</f>
        <v>-152394.16214437486</v>
      </c>
      <c r="J204" s="13">
        <f>J203+I204</f>
        <v>7750138.199397369</v>
      </c>
      <c r="K204">
        <f>IF(J204=MAX($J$4:$J$404),A204,0)</f>
        <v>0</v>
      </c>
      <c r="L204">
        <f>IF(E204&lt;H204,A204,B_MAX+1)</f>
        <v>200</v>
      </c>
      <c r="M204" s="13">
        <f>IF(B204=1,GRANT_RUNG1,GRANT_RUNG2)</f>
        <v>0</v>
      </c>
      <c r="N204" s="13">
        <f>OCC_DAYS*MCD_SHARE_BED*R_NF_2023-D204*MCD_SHARE_FREED*R_WAIT_2023</f>
        <v>151980.48282209205</v>
      </c>
      <c r="O204">
        <f>IF(A204&lt;=BEDS,1,0)</f>
        <v>0</v>
      </c>
    </row>
    <row r="205">
      <c r="A205" t="n">
        <v>201</v>
      </c>
      <c r="B205">
        <f>IF(COST_YR_RUNG1&lt;=COST_YR_RUNG2,IF(A205&lt;=RUNG_BEDS_1,1,2),IF(A205&lt;=RUNG_BEDS_2,2,1))</f>
        <v>1</v>
      </c>
      <c r="C205" s="5">
        <f>MIN(1,MAX(0,POOL_BEDS-(A205-1)))</f>
        <v>0</v>
      </c>
      <c r="D205" s="5">
        <f>FREED*(C205+(1-C205)*PAST_POOL_PCT)</f>
        <v>0.0</v>
      </c>
      <c r="E205" s="13">
        <f>D205*(C_AVOID+ACUTE_MARGIN)</f>
        <v>0.0</v>
      </c>
      <c r="F205" s="13">
        <f>D205*(RANGE_LO+ACUTE_MARGIN)</f>
        <v>0.0</v>
      </c>
      <c r="G205" s="13">
        <f>D205*(RANGE_HI+ACUTE_MARGIN)</f>
        <v>0.0</v>
      </c>
      <c r="H205" s="13">
        <f>IF(B205=1,COST_YR_RUNG1,COST_YR_RUNG2)</f>
        <v>152394.16214437486</v>
      </c>
      <c r="I205" s="13">
        <f>E205-H205</f>
        <v>-152394.16214437486</v>
      </c>
      <c r="J205" s="13">
        <f>J204+I205</f>
        <v>7597744.037252994</v>
      </c>
      <c r="K205">
        <f>IF(J205=MAX($J$4:$J$404),A205,0)</f>
        <v>0</v>
      </c>
      <c r="L205">
        <f>IF(E205&lt;H205,A205,B_MAX+1)</f>
        <v>201</v>
      </c>
      <c r="M205" s="13">
        <f>IF(B205=1,GRANT_RUNG1,GRANT_RUNG2)</f>
        <v>0</v>
      </c>
      <c r="N205" s="13">
        <f>OCC_DAYS*MCD_SHARE_BED*R_NF_2023-D205*MCD_SHARE_FREED*R_WAIT_2023</f>
        <v>151980.48282209205</v>
      </c>
      <c r="O205">
        <f>IF(A205&lt;=BEDS,1,0)</f>
        <v>0</v>
      </c>
    </row>
    <row r="206">
      <c r="A206" t="n">
        <v>202</v>
      </c>
      <c r="B206">
        <f>IF(COST_YR_RUNG1&lt;=COST_YR_RUNG2,IF(A206&lt;=RUNG_BEDS_1,1,2),IF(A206&lt;=RUNG_BEDS_2,2,1))</f>
        <v>1</v>
      </c>
      <c r="C206" s="5">
        <f>MIN(1,MAX(0,POOL_BEDS-(A206-1)))</f>
        <v>0</v>
      </c>
      <c r="D206" s="5">
        <f>FREED*(C206+(1-C206)*PAST_POOL_PCT)</f>
        <v>0.0</v>
      </c>
      <c r="E206" s="13">
        <f>D206*(C_AVOID+ACUTE_MARGIN)</f>
        <v>0.0</v>
      </c>
      <c r="F206" s="13">
        <f>D206*(RANGE_LO+ACUTE_MARGIN)</f>
        <v>0.0</v>
      </c>
      <c r="G206" s="13">
        <f>D206*(RANGE_HI+ACUTE_MARGIN)</f>
        <v>0.0</v>
      </c>
      <c r="H206" s="13">
        <f>IF(B206=1,COST_YR_RUNG1,COST_YR_RUNG2)</f>
        <v>152394.16214437486</v>
      </c>
      <c r="I206" s="13">
        <f>E206-H206</f>
        <v>-152394.16214437486</v>
      </c>
      <c r="J206" s="13">
        <f>J205+I206</f>
        <v>7445349.875108619</v>
      </c>
      <c r="K206">
        <f>IF(J206=MAX($J$4:$J$404),A206,0)</f>
        <v>0</v>
      </c>
      <c r="L206">
        <f>IF(E206&lt;H206,A206,B_MAX+1)</f>
        <v>202</v>
      </c>
      <c r="M206" s="13">
        <f>IF(B206=1,GRANT_RUNG1,GRANT_RUNG2)</f>
        <v>0</v>
      </c>
      <c r="N206" s="13">
        <f>OCC_DAYS*MCD_SHARE_BED*R_NF_2023-D206*MCD_SHARE_FREED*R_WAIT_2023</f>
        <v>151980.48282209205</v>
      </c>
      <c r="O206">
        <f>IF(A206&lt;=BEDS,1,0)</f>
        <v>0</v>
      </c>
    </row>
    <row r="207">
      <c r="A207" t="n">
        <v>203</v>
      </c>
      <c r="B207">
        <f>IF(COST_YR_RUNG1&lt;=COST_YR_RUNG2,IF(A207&lt;=RUNG_BEDS_1,1,2),IF(A207&lt;=RUNG_BEDS_2,2,1))</f>
        <v>1</v>
      </c>
      <c r="C207" s="5">
        <f>MIN(1,MAX(0,POOL_BEDS-(A207-1)))</f>
        <v>0</v>
      </c>
      <c r="D207" s="5">
        <f>FREED*(C207+(1-C207)*PAST_POOL_PCT)</f>
        <v>0.0</v>
      </c>
      <c r="E207" s="13">
        <f>D207*(C_AVOID+ACUTE_MARGIN)</f>
        <v>0.0</v>
      </c>
      <c r="F207" s="13">
        <f>D207*(RANGE_LO+ACUTE_MARGIN)</f>
        <v>0.0</v>
      </c>
      <c r="G207" s="13">
        <f>D207*(RANGE_HI+ACUTE_MARGIN)</f>
        <v>0.0</v>
      </c>
      <c r="H207" s="13">
        <f>IF(B207=1,COST_YR_RUNG1,COST_YR_RUNG2)</f>
        <v>152394.16214437486</v>
      </c>
      <c r="I207" s="13">
        <f>E207-H207</f>
        <v>-152394.16214437486</v>
      </c>
      <c r="J207" s="13">
        <f>J206+I207</f>
        <v>7292955.712964244</v>
      </c>
      <c r="K207">
        <f>IF(J207=MAX($J$4:$J$404),A207,0)</f>
        <v>0</v>
      </c>
      <c r="L207">
        <f>IF(E207&lt;H207,A207,B_MAX+1)</f>
        <v>203</v>
      </c>
      <c r="M207" s="13">
        <f>IF(B207=1,GRANT_RUNG1,GRANT_RUNG2)</f>
        <v>0</v>
      </c>
      <c r="N207" s="13">
        <f>OCC_DAYS*MCD_SHARE_BED*R_NF_2023-D207*MCD_SHARE_FREED*R_WAIT_2023</f>
        <v>151980.48282209205</v>
      </c>
      <c r="O207">
        <f>IF(A207&lt;=BEDS,1,0)</f>
        <v>0</v>
      </c>
    </row>
    <row r="208">
      <c r="A208" t="n">
        <v>204</v>
      </c>
      <c r="B208">
        <f>IF(COST_YR_RUNG1&lt;=COST_YR_RUNG2,IF(A208&lt;=RUNG_BEDS_1,1,2),IF(A208&lt;=RUNG_BEDS_2,2,1))</f>
        <v>1</v>
      </c>
      <c r="C208" s="5">
        <f>MIN(1,MAX(0,POOL_BEDS-(A208-1)))</f>
        <v>0</v>
      </c>
      <c r="D208" s="5">
        <f>FREED*(C208+(1-C208)*PAST_POOL_PCT)</f>
        <v>0.0</v>
      </c>
      <c r="E208" s="13">
        <f>D208*(C_AVOID+ACUTE_MARGIN)</f>
        <v>0.0</v>
      </c>
      <c r="F208" s="13">
        <f>D208*(RANGE_LO+ACUTE_MARGIN)</f>
        <v>0.0</v>
      </c>
      <c r="G208" s="13">
        <f>D208*(RANGE_HI+ACUTE_MARGIN)</f>
        <v>0.0</v>
      </c>
      <c r="H208" s="13">
        <f>IF(B208=1,COST_YR_RUNG1,COST_YR_RUNG2)</f>
        <v>152394.16214437486</v>
      </c>
      <c r="I208" s="13">
        <f>E208-H208</f>
        <v>-152394.16214437486</v>
      </c>
      <c r="J208" s="13">
        <f>J207+I208</f>
        <v>7140561.550819869</v>
      </c>
      <c r="K208">
        <f>IF(J208=MAX($J$4:$J$404),A208,0)</f>
        <v>0</v>
      </c>
      <c r="L208">
        <f>IF(E208&lt;H208,A208,B_MAX+1)</f>
        <v>204</v>
      </c>
      <c r="M208" s="13">
        <f>IF(B208=1,GRANT_RUNG1,GRANT_RUNG2)</f>
        <v>0</v>
      </c>
      <c r="N208" s="13">
        <f>OCC_DAYS*MCD_SHARE_BED*R_NF_2023-D208*MCD_SHARE_FREED*R_WAIT_2023</f>
        <v>151980.48282209205</v>
      </c>
      <c r="O208">
        <f>IF(A208&lt;=BEDS,1,0)</f>
        <v>0</v>
      </c>
    </row>
    <row r="209">
      <c r="A209" t="n">
        <v>205</v>
      </c>
      <c r="B209">
        <f>IF(COST_YR_RUNG1&lt;=COST_YR_RUNG2,IF(A209&lt;=RUNG_BEDS_1,1,2),IF(A209&lt;=RUNG_BEDS_2,2,1))</f>
        <v>1</v>
      </c>
      <c r="C209" s="5">
        <f>MIN(1,MAX(0,POOL_BEDS-(A209-1)))</f>
        <v>0</v>
      </c>
      <c r="D209" s="5">
        <f>FREED*(C209+(1-C209)*PAST_POOL_PCT)</f>
        <v>0.0</v>
      </c>
      <c r="E209" s="13">
        <f>D209*(C_AVOID+ACUTE_MARGIN)</f>
        <v>0.0</v>
      </c>
      <c r="F209" s="13">
        <f>D209*(RANGE_LO+ACUTE_MARGIN)</f>
        <v>0.0</v>
      </c>
      <c r="G209" s="13">
        <f>D209*(RANGE_HI+ACUTE_MARGIN)</f>
        <v>0.0</v>
      </c>
      <c r="H209" s="13">
        <f>IF(B209=1,COST_YR_RUNG1,COST_YR_RUNG2)</f>
        <v>152394.16214437486</v>
      </c>
      <c r="I209" s="13">
        <f>E209-H209</f>
        <v>-152394.16214437486</v>
      </c>
      <c r="J209" s="13">
        <f>J208+I209</f>
        <v>6988167.388675494</v>
      </c>
      <c r="K209">
        <f>IF(J209=MAX($J$4:$J$404),A209,0)</f>
        <v>0</v>
      </c>
      <c r="L209">
        <f>IF(E209&lt;H209,A209,B_MAX+1)</f>
        <v>205</v>
      </c>
      <c r="M209" s="13">
        <f>IF(B209=1,GRANT_RUNG1,GRANT_RUNG2)</f>
        <v>0</v>
      </c>
      <c r="N209" s="13">
        <f>OCC_DAYS*MCD_SHARE_BED*R_NF_2023-D209*MCD_SHARE_FREED*R_WAIT_2023</f>
        <v>151980.48282209205</v>
      </c>
      <c r="O209">
        <f>IF(A209&lt;=BEDS,1,0)</f>
        <v>0</v>
      </c>
    </row>
    <row r="210">
      <c r="A210" t="n">
        <v>206</v>
      </c>
      <c r="B210">
        <f>IF(COST_YR_RUNG1&lt;=COST_YR_RUNG2,IF(A210&lt;=RUNG_BEDS_1,1,2),IF(A210&lt;=RUNG_BEDS_2,2,1))</f>
        <v>1</v>
      </c>
      <c r="C210" s="5">
        <f>MIN(1,MAX(0,POOL_BEDS-(A210-1)))</f>
        <v>0</v>
      </c>
      <c r="D210" s="5">
        <f>FREED*(C210+(1-C210)*PAST_POOL_PCT)</f>
        <v>0.0</v>
      </c>
      <c r="E210" s="13">
        <f>D210*(C_AVOID+ACUTE_MARGIN)</f>
        <v>0.0</v>
      </c>
      <c r="F210" s="13">
        <f>D210*(RANGE_LO+ACUTE_MARGIN)</f>
        <v>0.0</v>
      </c>
      <c r="G210" s="13">
        <f>D210*(RANGE_HI+ACUTE_MARGIN)</f>
        <v>0.0</v>
      </c>
      <c r="H210" s="13">
        <f>IF(B210=1,COST_YR_RUNG1,COST_YR_RUNG2)</f>
        <v>152394.16214437486</v>
      </c>
      <c r="I210" s="13">
        <f>E210-H210</f>
        <v>-152394.16214437486</v>
      </c>
      <c r="J210" s="13">
        <f>J209+I210</f>
        <v>6835773.226531119</v>
      </c>
      <c r="K210">
        <f>IF(J210=MAX($J$4:$J$404),A210,0)</f>
        <v>0</v>
      </c>
      <c r="L210">
        <f>IF(E210&lt;H210,A210,B_MAX+1)</f>
        <v>206</v>
      </c>
      <c r="M210" s="13">
        <f>IF(B210=1,GRANT_RUNG1,GRANT_RUNG2)</f>
        <v>0</v>
      </c>
      <c r="N210" s="13">
        <f>OCC_DAYS*MCD_SHARE_BED*R_NF_2023-D210*MCD_SHARE_FREED*R_WAIT_2023</f>
        <v>151980.48282209205</v>
      </c>
      <c r="O210">
        <f>IF(A210&lt;=BEDS,1,0)</f>
        <v>0</v>
      </c>
    </row>
    <row r="211">
      <c r="A211" t="n">
        <v>207</v>
      </c>
      <c r="B211">
        <f>IF(COST_YR_RUNG1&lt;=COST_YR_RUNG2,IF(A211&lt;=RUNG_BEDS_1,1,2),IF(A211&lt;=RUNG_BEDS_2,2,1))</f>
        <v>1</v>
      </c>
      <c r="C211" s="5">
        <f>MIN(1,MAX(0,POOL_BEDS-(A211-1)))</f>
        <v>0</v>
      </c>
      <c r="D211" s="5">
        <f>FREED*(C211+(1-C211)*PAST_POOL_PCT)</f>
        <v>0.0</v>
      </c>
      <c r="E211" s="13">
        <f>D211*(C_AVOID+ACUTE_MARGIN)</f>
        <v>0.0</v>
      </c>
      <c r="F211" s="13">
        <f>D211*(RANGE_LO+ACUTE_MARGIN)</f>
        <v>0.0</v>
      </c>
      <c r="G211" s="13">
        <f>D211*(RANGE_HI+ACUTE_MARGIN)</f>
        <v>0.0</v>
      </c>
      <c r="H211" s="13">
        <f>IF(B211=1,COST_YR_RUNG1,COST_YR_RUNG2)</f>
        <v>152394.16214437486</v>
      </c>
      <c r="I211" s="13">
        <f>E211-H211</f>
        <v>-152394.16214437486</v>
      </c>
      <c r="J211" s="13">
        <f>J210+I211</f>
        <v>6683379.064386744</v>
      </c>
      <c r="K211">
        <f>IF(J211=MAX($J$4:$J$404),A211,0)</f>
        <v>0</v>
      </c>
      <c r="L211">
        <f>IF(E211&lt;H211,A211,B_MAX+1)</f>
        <v>207</v>
      </c>
      <c r="M211" s="13">
        <f>IF(B211=1,GRANT_RUNG1,GRANT_RUNG2)</f>
        <v>0</v>
      </c>
      <c r="N211" s="13">
        <f>OCC_DAYS*MCD_SHARE_BED*R_NF_2023-D211*MCD_SHARE_FREED*R_WAIT_2023</f>
        <v>151980.48282209205</v>
      </c>
      <c r="O211">
        <f>IF(A211&lt;=BEDS,1,0)</f>
        <v>0</v>
      </c>
    </row>
    <row r="212">
      <c r="A212" t="n">
        <v>208</v>
      </c>
      <c r="B212">
        <f>IF(COST_YR_RUNG1&lt;=COST_YR_RUNG2,IF(A212&lt;=RUNG_BEDS_1,1,2),IF(A212&lt;=RUNG_BEDS_2,2,1))</f>
        <v>1</v>
      </c>
      <c r="C212" s="5">
        <f>MIN(1,MAX(0,POOL_BEDS-(A212-1)))</f>
        <v>0</v>
      </c>
      <c r="D212" s="5">
        <f>FREED*(C212+(1-C212)*PAST_POOL_PCT)</f>
        <v>0.0</v>
      </c>
      <c r="E212" s="13">
        <f>D212*(C_AVOID+ACUTE_MARGIN)</f>
        <v>0.0</v>
      </c>
      <c r="F212" s="13">
        <f>D212*(RANGE_LO+ACUTE_MARGIN)</f>
        <v>0.0</v>
      </c>
      <c r="G212" s="13">
        <f>D212*(RANGE_HI+ACUTE_MARGIN)</f>
        <v>0.0</v>
      </c>
      <c r="H212" s="13">
        <f>IF(B212=1,COST_YR_RUNG1,COST_YR_RUNG2)</f>
        <v>152394.16214437486</v>
      </c>
      <c r="I212" s="13">
        <f>E212-H212</f>
        <v>-152394.16214437486</v>
      </c>
      <c r="J212" s="13">
        <f>J211+I212</f>
        <v>6530984.902242369</v>
      </c>
      <c r="K212">
        <f>IF(J212=MAX($J$4:$J$404),A212,0)</f>
        <v>0</v>
      </c>
      <c r="L212">
        <f>IF(E212&lt;H212,A212,B_MAX+1)</f>
        <v>208</v>
      </c>
      <c r="M212" s="13">
        <f>IF(B212=1,GRANT_RUNG1,GRANT_RUNG2)</f>
        <v>0</v>
      </c>
      <c r="N212" s="13">
        <f>OCC_DAYS*MCD_SHARE_BED*R_NF_2023-D212*MCD_SHARE_FREED*R_WAIT_2023</f>
        <v>151980.48282209205</v>
      </c>
      <c r="O212">
        <f>IF(A212&lt;=BEDS,1,0)</f>
        <v>0</v>
      </c>
    </row>
    <row r="213">
      <c r="A213" t="n">
        <v>209</v>
      </c>
      <c r="B213">
        <f>IF(COST_YR_RUNG1&lt;=COST_YR_RUNG2,IF(A213&lt;=RUNG_BEDS_1,1,2),IF(A213&lt;=RUNG_BEDS_2,2,1))</f>
        <v>1</v>
      </c>
      <c r="C213" s="5">
        <f>MIN(1,MAX(0,POOL_BEDS-(A213-1)))</f>
        <v>0</v>
      </c>
      <c r="D213" s="5">
        <f>FREED*(C213+(1-C213)*PAST_POOL_PCT)</f>
        <v>0.0</v>
      </c>
      <c r="E213" s="13">
        <f>D213*(C_AVOID+ACUTE_MARGIN)</f>
        <v>0.0</v>
      </c>
      <c r="F213" s="13">
        <f>D213*(RANGE_LO+ACUTE_MARGIN)</f>
        <v>0.0</v>
      </c>
      <c r="G213" s="13">
        <f>D213*(RANGE_HI+ACUTE_MARGIN)</f>
        <v>0.0</v>
      </c>
      <c r="H213" s="13">
        <f>IF(B213=1,COST_YR_RUNG1,COST_YR_RUNG2)</f>
        <v>152394.16214437486</v>
      </c>
      <c r="I213" s="13">
        <f>E213-H213</f>
        <v>-152394.16214437486</v>
      </c>
      <c r="J213" s="13">
        <f>J212+I213</f>
        <v>6378590.740097994</v>
      </c>
      <c r="K213">
        <f>IF(J213=MAX($J$4:$J$404),A213,0)</f>
        <v>0</v>
      </c>
      <c r="L213">
        <f>IF(E213&lt;H213,A213,B_MAX+1)</f>
        <v>209</v>
      </c>
      <c r="M213" s="13">
        <f>IF(B213=1,GRANT_RUNG1,GRANT_RUNG2)</f>
        <v>0</v>
      </c>
      <c r="N213" s="13">
        <f>OCC_DAYS*MCD_SHARE_BED*R_NF_2023-D213*MCD_SHARE_FREED*R_WAIT_2023</f>
        <v>151980.48282209205</v>
      </c>
      <c r="O213">
        <f>IF(A213&lt;=BEDS,1,0)</f>
        <v>0</v>
      </c>
    </row>
    <row r="214">
      <c r="A214" t="n">
        <v>210</v>
      </c>
      <c r="B214">
        <f>IF(COST_YR_RUNG1&lt;=COST_YR_RUNG2,IF(A214&lt;=RUNG_BEDS_1,1,2),IF(A214&lt;=RUNG_BEDS_2,2,1))</f>
        <v>1</v>
      </c>
      <c r="C214" s="5">
        <f>MIN(1,MAX(0,POOL_BEDS-(A214-1)))</f>
        <v>0</v>
      </c>
      <c r="D214" s="5">
        <f>FREED*(C214+(1-C214)*PAST_POOL_PCT)</f>
        <v>0.0</v>
      </c>
      <c r="E214" s="13">
        <f>D214*(C_AVOID+ACUTE_MARGIN)</f>
        <v>0.0</v>
      </c>
      <c r="F214" s="13">
        <f>D214*(RANGE_LO+ACUTE_MARGIN)</f>
        <v>0.0</v>
      </c>
      <c r="G214" s="13">
        <f>D214*(RANGE_HI+ACUTE_MARGIN)</f>
        <v>0.0</v>
      </c>
      <c r="H214" s="13">
        <f>IF(B214=1,COST_YR_RUNG1,COST_YR_RUNG2)</f>
        <v>152394.16214437486</v>
      </c>
      <c r="I214" s="13">
        <f>E214-H214</f>
        <v>-152394.16214437486</v>
      </c>
      <c r="J214" s="13">
        <f>J213+I214</f>
        <v>6226196.577953619</v>
      </c>
      <c r="K214">
        <f>IF(J214=MAX($J$4:$J$404),A214,0)</f>
        <v>0</v>
      </c>
      <c r="L214">
        <f>IF(E214&lt;H214,A214,B_MAX+1)</f>
        <v>210</v>
      </c>
      <c r="M214" s="13">
        <f>IF(B214=1,GRANT_RUNG1,GRANT_RUNG2)</f>
        <v>0</v>
      </c>
      <c r="N214" s="13">
        <f>OCC_DAYS*MCD_SHARE_BED*R_NF_2023-D214*MCD_SHARE_FREED*R_WAIT_2023</f>
        <v>151980.48282209205</v>
      </c>
      <c r="O214">
        <f>IF(A214&lt;=BEDS,1,0)</f>
        <v>0</v>
      </c>
    </row>
    <row r="215">
      <c r="A215" t="n">
        <v>211</v>
      </c>
      <c r="B215">
        <f>IF(COST_YR_RUNG1&lt;=COST_YR_RUNG2,IF(A215&lt;=RUNG_BEDS_1,1,2),IF(A215&lt;=RUNG_BEDS_2,2,1))</f>
        <v>1</v>
      </c>
      <c r="C215" s="5">
        <f>MIN(1,MAX(0,POOL_BEDS-(A215-1)))</f>
        <v>0</v>
      </c>
      <c r="D215" s="5">
        <f>FREED*(C215+(1-C215)*PAST_POOL_PCT)</f>
        <v>0.0</v>
      </c>
      <c r="E215" s="13">
        <f>D215*(C_AVOID+ACUTE_MARGIN)</f>
        <v>0.0</v>
      </c>
      <c r="F215" s="13">
        <f>D215*(RANGE_LO+ACUTE_MARGIN)</f>
        <v>0.0</v>
      </c>
      <c r="G215" s="13">
        <f>D215*(RANGE_HI+ACUTE_MARGIN)</f>
        <v>0.0</v>
      </c>
      <c r="H215" s="13">
        <f>IF(B215=1,COST_YR_RUNG1,COST_YR_RUNG2)</f>
        <v>152394.16214437486</v>
      </c>
      <c r="I215" s="13">
        <f>E215-H215</f>
        <v>-152394.16214437486</v>
      </c>
      <c r="J215" s="13">
        <f>J214+I215</f>
        <v>6073802.415809244</v>
      </c>
      <c r="K215">
        <f>IF(J215=MAX($J$4:$J$404),A215,0)</f>
        <v>0</v>
      </c>
      <c r="L215">
        <f>IF(E215&lt;H215,A215,B_MAX+1)</f>
        <v>211</v>
      </c>
      <c r="M215" s="13">
        <f>IF(B215=1,GRANT_RUNG1,GRANT_RUNG2)</f>
        <v>0</v>
      </c>
      <c r="N215" s="13">
        <f>OCC_DAYS*MCD_SHARE_BED*R_NF_2023-D215*MCD_SHARE_FREED*R_WAIT_2023</f>
        <v>151980.48282209205</v>
      </c>
      <c r="O215">
        <f>IF(A215&lt;=BEDS,1,0)</f>
        <v>0</v>
      </c>
    </row>
    <row r="216">
      <c r="A216" t="n">
        <v>212</v>
      </c>
      <c r="B216">
        <f>IF(COST_YR_RUNG1&lt;=COST_YR_RUNG2,IF(A216&lt;=RUNG_BEDS_1,1,2),IF(A216&lt;=RUNG_BEDS_2,2,1))</f>
        <v>1</v>
      </c>
      <c r="C216" s="5">
        <f>MIN(1,MAX(0,POOL_BEDS-(A216-1)))</f>
        <v>0</v>
      </c>
      <c r="D216" s="5">
        <f>FREED*(C216+(1-C216)*PAST_POOL_PCT)</f>
        <v>0.0</v>
      </c>
      <c r="E216" s="13">
        <f>D216*(C_AVOID+ACUTE_MARGIN)</f>
        <v>0.0</v>
      </c>
      <c r="F216" s="13">
        <f>D216*(RANGE_LO+ACUTE_MARGIN)</f>
        <v>0.0</v>
      </c>
      <c r="G216" s="13">
        <f>D216*(RANGE_HI+ACUTE_MARGIN)</f>
        <v>0.0</v>
      </c>
      <c r="H216" s="13">
        <f>IF(B216=1,COST_YR_RUNG1,COST_YR_RUNG2)</f>
        <v>152394.16214437486</v>
      </c>
      <c r="I216" s="13">
        <f>E216-H216</f>
        <v>-152394.16214437486</v>
      </c>
      <c r="J216" s="13">
        <f>J215+I216</f>
        <v>5921408.253664869</v>
      </c>
      <c r="K216">
        <f>IF(J216=MAX($J$4:$J$404),A216,0)</f>
        <v>0</v>
      </c>
      <c r="L216">
        <f>IF(E216&lt;H216,A216,B_MAX+1)</f>
        <v>212</v>
      </c>
      <c r="M216" s="13">
        <f>IF(B216=1,GRANT_RUNG1,GRANT_RUNG2)</f>
        <v>0</v>
      </c>
      <c r="N216" s="13">
        <f>OCC_DAYS*MCD_SHARE_BED*R_NF_2023-D216*MCD_SHARE_FREED*R_WAIT_2023</f>
        <v>151980.48282209205</v>
      </c>
      <c r="O216">
        <f>IF(A216&lt;=BEDS,1,0)</f>
        <v>0</v>
      </c>
    </row>
    <row r="217">
      <c r="A217" t="n">
        <v>213</v>
      </c>
      <c r="B217">
        <f>IF(COST_YR_RUNG1&lt;=COST_YR_RUNG2,IF(A217&lt;=RUNG_BEDS_1,1,2),IF(A217&lt;=RUNG_BEDS_2,2,1))</f>
        <v>1</v>
      </c>
      <c r="C217" s="5">
        <f>MIN(1,MAX(0,POOL_BEDS-(A217-1)))</f>
        <v>0</v>
      </c>
      <c r="D217" s="5">
        <f>FREED*(C217+(1-C217)*PAST_POOL_PCT)</f>
        <v>0.0</v>
      </c>
      <c r="E217" s="13">
        <f>D217*(C_AVOID+ACUTE_MARGIN)</f>
        <v>0.0</v>
      </c>
      <c r="F217" s="13">
        <f>D217*(RANGE_LO+ACUTE_MARGIN)</f>
        <v>0.0</v>
      </c>
      <c r="G217" s="13">
        <f>D217*(RANGE_HI+ACUTE_MARGIN)</f>
        <v>0.0</v>
      </c>
      <c r="H217" s="13">
        <f>IF(B217=1,COST_YR_RUNG1,COST_YR_RUNG2)</f>
        <v>152394.16214437486</v>
      </c>
      <c r="I217" s="13">
        <f>E217-H217</f>
        <v>-152394.16214437486</v>
      </c>
      <c r="J217" s="13">
        <f>J216+I217</f>
        <v>5769014.091520494</v>
      </c>
      <c r="K217">
        <f>IF(J217=MAX($J$4:$J$404),A217,0)</f>
        <v>0</v>
      </c>
      <c r="L217">
        <f>IF(E217&lt;H217,A217,B_MAX+1)</f>
        <v>213</v>
      </c>
      <c r="M217" s="13">
        <f>IF(B217=1,GRANT_RUNG1,GRANT_RUNG2)</f>
        <v>0</v>
      </c>
      <c r="N217" s="13">
        <f>OCC_DAYS*MCD_SHARE_BED*R_NF_2023-D217*MCD_SHARE_FREED*R_WAIT_2023</f>
        <v>151980.48282209205</v>
      </c>
      <c r="O217">
        <f>IF(A217&lt;=BEDS,1,0)</f>
        <v>0</v>
      </c>
    </row>
    <row r="218">
      <c r="A218" t="n">
        <v>214</v>
      </c>
      <c r="B218">
        <f>IF(COST_YR_RUNG1&lt;=COST_YR_RUNG2,IF(A218&lt;=RUNG_BEDS_1,1,2),IF(A218&lt;=RUNG_BEDS_2,2,1))</f>
        <v>1</v>
      </c>
      <c r="C218" s="5">
        <f>MIN(1,MAX(0,POOL_BEDS-(A218-1)))</f>
        <v>0</v>
      </c>
      <c r="D218" s="5">
        <f>FREED*(C218+(1-C218)*PAST_POOL_PCT)</f>
        <v>0.0</v>
      </c>
      <c r="E218" s="13">
        <f>D218*(C_AVOID+ACUTE_MARGIN)</f>
        <v>0.0</v>
      </c>
      <c r="F218" s="13">
        <f>D218*(RANGE_LO+ACUTE_MARGIN)</f>
        <v>0.0</v>
      </c>
      <c r="G218" s="13">
        <f>D218*(RANGE_HI+ACUTE_MARGIN)</f>
        <v>0.0</v>
      </c>
      <c r="H218" s="13">
        <f>IF(B218=1,COST_YR_RUNG1,COST_YR_RUNG2)</f>
        <v>152394.16214437486</v>
      </c>
      <c r="I218" s="13">
        <f>E218-H218</f>
        <v>-152394.16214437486</v>
      </c>
      <c r="J218" s="13">
        <f>J217+I218</f>
        <v>5616619.929376119</v>
      </c>
      <c r="K218">
        <f>IF(J218=MAX($J$4:$J$404),A218,0)</f>
        <v>0</v>
      </c>
      <c r="L218">
        <f>IF(E218&lt;H218,A218,B_MAX+1)</f>
        <v>214</v>
      </c>
      <c r="M218" s="13">
        <f>IF(B218=1,GRANT_RUNG1,GRANT_RUNG2)</f>
        <v>0</v>
      </c>
      <c r="N218" s="13">
        <f>OCC_DAYS*MCD_SHARE_BED*R_NF_2023-D218*MCD_SHARE_FREED*R_WAIT_2023</f>
        <v>151980.48282209205</v>
      </c>
      <c r="O218">
        <f>IF(A218&lt;=BEDS,1,0)</f>
        <v>0</v>
      </c>
    </row>
    <row r="219">
      <c r="A219" t="n">
        <v>215</v>
      </c>
      <c r="B219">
        <f>IF(COST_YR_RUNG1&lt;=COST_YR_RUNG2,IF(A219&lt;=RUNG_BEDS_1,1,2),IF(A219&lt;=RUNG_BEDS_2,2,1))</f>
        <v>1</v>
      </c>
      <c r="C219" s="5">
        <f>MIN(1,MAX(0,POOL_BEDS-(A219-1)))</f>
        <v>0</v>
      </c>
      <c r="D219" s="5">
        <f>FREED*(C219+(1-C219)*PAST_POOL_PCT)</f>
        <v>0.0</v>
      </c>
      <c r="E219" s="13">
        <f>D219*(C_AVOID+ACUTE_MARGIN)</f>
        <v>0.0</v>
      </c>
      <c r="F219" s="13">
        <f>D219*(RANGE_LO+ACUTE_MARGIN)</f>
        <v>0.0</v>
      </c>
      <c r="G219" s="13">
        <f>D219*(RANGE_HI+ACUTE_MARGIN)</f>
        <v>0.0</v>
      </c>
      <c r="H219" s="13">
        <f>IF(B219=1,COST_YR_RUNG1,COST_YR_RUNG2)</f>
        <v>152394.16214437486</v>
      </c>
      <c r="I219" s="13">
        <f>E219-H219</f>
        <v>-152394.16214437486</v>
      </c>
      <c r="J219" s="13">
        <f>J218+I219</f>
        <v>5464225.767231744</v>
      </c>
      <c r="K219">
        <f>IF(J219=MAX($J$4:$J$404),A219,0)</f>
        <v>0</v>
      </c>
      <c r="L219">
        <f>IF(E219&lt;H219,A219,B_MAX+1)</f>
        <v>215</v>
      </c>
      <c r="M219" s="13">
        <f>IF(B219=1,GRANT_RUNG1,GRANT_RUNG2)</f>
        <v>0</v>
      </c>
      <c r="N219" s="13">
        <f>OCC_DAYS*MCD_SHARE_BED*R_NF_2023-D219*MCD_SHARE_FREED*R_WAIT_2023</f>
        <v>151980.48282209205</v>
      </c>
      <c r="O219">
        <f>IF(A219&lt;=BEDS,1,0)</f>
        <v>0</v>
      </c>
    </row>
    <row r="220">
      <c r="A220" t="n">
        <v>216</v>
      </c>
      <c r="B220">
        <f>IF(COST_YR_RUNG1&lt;=COST_YR_RUNG2,IF(A220&lt;=RUNG_BEDS_1,1,2),IF(A220&lt;=RUNG_BEDS_2,2,1))</f>
        <v>1</v>
      </c>
      <c r="C220" s="5">
        <f>MIN(1,MAX(0,POOL_BEDS-(A220-1)))</f>
        <v>0</v>
      </c>
      <c r="D220" s="5">
        <f>FREED*(C220+(1-C220)*PAST_POOL_PCT)</f>
        <v>0.0</v>
      </c>
      <c r="E220" s="13">
        <f>D220*(C_AVOID+ACUTE_MARGIN)</f>
        <v>0.0</v>
      </c>
      <c r="F220" s="13">
        <f>D220*(RANGE_LO+ACUTE_MARGIN)</f>
        <v>0.0</v>
      </c>
      <c r="G220" s="13">
        <f>D220*(RANGE_HI+ACUTE_MARGIN)</f>
        <v>0.0</v>
      </c>
      <c r="H220" s="13">
        <f>IF(B220=1,COST_YR_RUNG1,COST_YR_RUNG2)</f>
        <v>152394.16214437486</v>
      </c>
      <c r="I220" s="13">
        <f>E220-H220</f>
        <v>-152394.16214437486</v>
      </c>
      <c r="J220" s="13">
        <f>J219+I220</f>
        <v>5311831.605087369</v>
      </c>
      <c r="K220">
        <f>IF(J220=MAX($J$4:$J$404),A220,0)</f>
        <v>0</v>
      </c>
      <c r="L220">
        <f>IF(E220&lt;H220,A220,B_MAX+1)</f>
        <v>216</v>
      </c>
      <c r="M220" s="13">
        <f>IF(B220=1,GRANT_RUNG1,GRANT_RUNG2)</f>
        <v>0</v>
      </c>
      <c r="N220" s="13">
        <f>OCC_DAYS*MCD_SHARE_BED*R_NF_2023-D220*MCD_SHARE_FREED*R_WAIT_2023</f>
        <v>151980.48282209205</v>
      </c>
      <c r="O220">
        <f>IF(A220&lt;=BEDS,1,0)</f>
        <v>0</v>
      </c>
    </row>
    <row r="221">
      <c r="A221" t="n">
        <v>217</v>
      </c>
      <c r="B221">
        <f>IF(COST_YR_RUNG1&lt;=COST_YR_RUNG2,IF(A221&lt;=RUNG_BEDS_1,1,2),IF(A221&lt;=RUNG_BEDS_2,2,1))</f>
        <v>1</v>
      </c>
      <c r="C221" s="5">
        <f>MIN(1,MAX(0,POOL_BEDS-(A221-1)))</f>
        <v>0</v>
      </c>
      <c r="D221" s="5">
        <f>FREED*(C221+(1-C221)*PAST_POOL_PCT)</f>
        <v>0.0</v>
      </c>
      <c r="E221" s="13">
        <f>D221*(C_AVOID+ACUTE_MARGIN)</f>
        <v>0.0</v>
      </c>
      <c r="F221" s="13">
        <f>D221*(RANGE_LO+ACUTE_MARGIN)</f>
        <v>0.0</v>
      </c>
      <c r="G221" s="13">
        <f>D221*(RANGE_HI+ACUTE_MARGIN)</f>
        <v>0.0</v>
      </c>
      <c r="H221" s="13">
        <f>IF(B221=1,COST_YR_RUNG1,COST_YR_RUNG2)</f>
        <v>152394.16214437486</v>
      </c>
      <c r="I221" s="13">
        <f>E221-H221</f>
        <v>-152394.16214437486</v>
      </c>
      <c r="J221" s="13">
        <f>J220+I221</f>
        <v>5159437.442942994</v>
      </c>
      <c r="K221">
        <f>IF(J221=MAX($J$4:$J$404),A221,0)</f>
        <v>0</v>
      </c>
      <c r="L221">
        <f>IF(E221&lt;H221,A221,B_MAX+1)</f>
        <v>217</v>
      </c>
      <c r="M221" s="13">
        <f>IF(B221=1,GRANT_RUNG1,GRANT_RUNG2)</f>
        <v>0</v>
      </c>
      <c r="N221" s="13">
        <f>OCC_DAYS*MCD_SHARE_BED*R_NF_2023-D221*MCD_SHARE_FREED*R_WAIT_2023</f>
        <v>151980.48282209205</v>
      </c>
      <c r="O221">
        <f>IF(A221&lt;=BEDS,1,0)</f>
        <v>0</v>
      </c>
    </row>
    <row r="222">
      <c r="A222" t="n">
        <v>218</v>
      </c>
      <c r="B222">
        <f>IF(COST_YR_RUNG1&lt;=COST_YR_RUNG2,IF(A222&lt;=RUNG_BEDS_1,1,2),IF(A222&lt;=RUNG_BEDS_2,2,1))</f>
        <v>1</v>
      </c>
      <c r="C222" s="5">
        <f>MIN(1,MAX(0,POOL_BEDS-(A222-1)))</f>
        <v>0</v>
      </c>
      <c r="D222" s="5">
        <f>FREED*(C222+(1-C222)*PAST_POOL_PCT)</f>
        <v>0.0</v>
      </c>
      <c r="E222" s="13">
        <f>D222*(C_AVOID+ACUTE_MARGIN)</f>
        <v>0.0</v>
      </c>
      <c r="F222" s="13">
        <f>D222*(RANGE_LO+ACUTE_MARGIN)</f>
        <v>0.0</v>
      </c>
      <c r="G222" s="13">
        <f>D222*(RANGE_HI+ACUTE_MARGIN)</f>
        <v>0.0</v>
      </c>
      <c r="H222" s="13">
        <f>IF(B222=1,COST_YR_RUNG1,COST_YR_RUNG2)</f>
        <v>152394.16214437486</v>
      </c>
      <c r="I222" s="13">
        <f>E222-H222</f>
        <v>-152394.16214437486</v>
      </c>
      <c r="J222" s="13">
        <f>J221+I222</f>
        <v>5007043.280798619</v>
      </c>
      <c r="K222">
        <f>IF(J222=MAX($J$4:$J$404),A222,0)</f>
        <v>0</v>
      </c>
      <c r="L222">
        <f>IF(E222&lt;H222,A222,B_MAX+1)</f>
        <v>218</v>
      </c>
      <c r="M222" s="13">
        <f>IF(B222=1,GRANT_RUNG1,GRANT_RUNG2)</f>
        <v>0</v>
      </c>
      <c r="N222" s="13">
        <f>OCC_DAYS*MCD_SHARE_BED*R_NF_2023-D222*MCD_SHARE_FREED*R_WAIT_2023</f>
        <v>151980.48282209205</v>
      </c>
      <c r="O222">
        <f>IF(A222&lt;=BEDS,1,0)</f>
        <v>0</v>
      </c>
    </row>
    <row r="223">
      <c r="A223" t="n">
        <v>219</v>
      </c>
      <c r="B223">
        <f>IF(COST_YR_RUNG1&lt;=COST_YR_RUNG2,IF(A223&lt;=RUNG_BEDS_1,1,2),IF(A223&lt;=RUNG_BEDS_2,2,1))</f>
        <v>1</v>
      </c>
      <c r="C223" s="5">
        <f>MIN(1,MAX(0,POOL_BEDS-(A223-1)))</f>
        <v>0</v>
      </c>
      <c r="D223" s="5">
        <f>FREED*(C223+(1-C223)*PAST_POOL_PCT)</f>
        <v>0.0</v>
      </c>
      <c r="E223" s="13">
        <f>D223*(C_AVOID+ACUTE_MARGIN)</f>
        <v>0.0</v>
      </c>
      <c r="F223" s="13">
        <f>D223*(RANGE_LO+ACUTE_MARGIN)</f>
        <v>0.0</v>
      </c>
      <c r="G223" s="13">
        <f>D223*(RANGE_HI+ACUTE_MARGIN)</f>
        <v>0.0</v>
      </c>
      <c r="H223" s="13">
        <f>IF(B223=1,COST_YR_RUNG1,COST_YR_RUNG2)</f>
        <v>152394.16214437486</v>
      </c>
      <c r="I223" s="13">
        <f>E223-H223</f>
        <v>-152394.16214437486</v>
      </c>
      <c r="J223" s="13">
        <f>J222+I223</f>
        <v>4854649.118654244</v>
      </c>
      <c r="K223">
        <f>IF(J223=MAX($J$4:$J$404),A223,0)</f>
        <v>0</v>
      </c>
      <c r="L223">
        <f>IF(E223&lt;H223,A223,B_MAX+1)</f>
        <v>219</v>
      </c>
      <c r="M223" s="13">
        <f>IF(B223=1,GRANT_RUNG1,GRANT_RUNG2)</f>
        <v>0</v>
      </c>
      <c r="N223" s="13">
        <f>OCC_DAYS*MCD_SHARE_BED*R_NF_2023-D223*MCD_SHARE_FREED*R_WAIT_2023</f>
        <v>151980.48282209205</v>
      </c>
      <c r="O223">
        <f>IF(A223&lt;=BEDS,1,0)</f>
        <v>0</v>
      </c>
    </row>
    <row r="224">
      <c r="A224" t="n">
        <v>220</v>
      </c>
      <c r="B224">
        <f>IF(COST_YR_RUNG1&lt;=COST_YR_RUNG2,IF(A224&lt;=RUNG_BEDS_1,1,2),IF(A224&lt;=RUNG_BEDS_2,2,1))</f>
        <v>1</v>
      </c>
      <c r="C224" s="5">
        <f>MIN(1,MAX(0,POOL_BEDS-(A224-1)))</f>
        <v>0</v>
      </c>
      <c r="D224" s="5">
        <f>FREED*(C224+(1-C224)*PAST_POOL_PCT)</f>
        <v>0.0</v>
      </c>
      <c r="E224" s="13">
        <f>D224*(C_AVOID+ACUTE_MARGIN)</f>
        <v>0.0</v>
      </c>
      <c r="F224" s="13">
        <f>D224*(RANGE_LO+ACUTE_MARGIN)</f>
        <v>0.0</v>
      </c>
      <c r="G224" s="13">
        <f>D224*(RANGE_HI+ACUTE_MARGIN)</f>
        <v>0.0</v>
      </c>
      <c r="H224" s="13">
        <f>IF(B224=1,COST_YR_RUNG1,COST_YR_RUNG2)</f>
        <v>152394.16214437486</v>
      </c>
      <c r="I224" s="13">
        <f>E224-H224</f>
        <v>-152394.16214437486</v>
      </c>
      <c r="J224" s="13">
        <f>J223+I224</f>
        <v>4702254.956509869</v>
      </c>
      <c r="K224">
        <f>IF(J224=MAX($J$4:$J$404),A224,0)</f>
        <v>0</v>
      </c>
      <c r="L224">
        <f>IF(E224&lt;H224,A224,B_MAX+1)</f>
        <v>220</v>
      </c>
      <c r="M224" s="13">
        <f>IF(B224=1,GRANT_RUNG1,GRANT_RUNG2)</f>
        <v>0</v>
      </c>
      <c r="N224" s="13">
        <f>OCC_DAYS*MCD_SHARE_BED*R_NF_2023-D224*MCD_SHARE_FREED*R_WAIT_2023</f>
        <v>151980.48282209205</v>
      </c>
      <c r="O224">
        <f>IF(A224&lt;=BEDS,1,0)</f>
        <v>0</v>
      </c>
    </row>
    <row r="225">
      <c r="A225" t="n">
        <v>221</v>
      </c>
      <c r="B225">
        <f>IF(COST_YR_RUNG1&lt;=COST_YR_RUNG2,IF(A225&lt;=RUNG_BEDS_1,1,2),IF(A225&lt;=RUNG_BEDS_2,2,1))</f>
        <v>1</v>
      </c>
      <c r="C225" s="5">
        <f>MIN(1,MAX(0,POOL_BEDS-(A225-1)))</f>
        <v>0</v>
      </c>
      <c r="D225" s="5">
        <f>FREED*(C225+(1-C225)*PAST_POOL_PCT)</f>
        <v>0.0</v>
      </c>
      <c r="E225" s="13">
        <f>D225*(C_AVOID+ACUTE_MARGIN)</f>
        <v>0.0</v>
      </c>
      <c r="F225" s="13">
        <f>D225*(RANGE_LO+ACUTE_MARGIN)</f>
        <v>0.0</v>
      </c>
      <c r="G225" s="13">
        <f>D225*(RANGE_HI+ACUTE_MARGIN)</f>
        <v>0.0</v>
      </c>
      <c r="H225" s="13">
        <f>IF(B225=1,COST_YR_RUNG1,COST_YR_RUNG2)</f>
        <v>152394.16214437486</v>
      </c>
      <c r="I225" s="13">
        <f>E225-H225</f>
        <v>-152394.16214437486</v>
      </c>
      <c r="J225" s="13">
        <f>J224+I225</f>
        <v>4549860.794365494</v>
      </c>
      <c r="K225">
        <f>IF(J225=MAX($J$4:$J$404),A225,0)</f>
        <v>0</v>
      </c>
      <c r="L225">
        <f>IF(E225&lt;H225,A225,B_MAX+1)</f>
        <v>221</v>
      </c>
      <c r="M225" s="13">
        <f>IF(B225=1,GRANT_RUNG1,GRANT_RUNG2)</f>
        <v>0</v>
      </c>
      <c r="N225" s="13">
        <f>OCC_DAYS*MCD_SHARE_BED*R_NF_2023-D225*MCD_SHARE_FREED*R_WAIT_2023</f>
        <v>151980.48282209205</v>
      </c>
      <c r="O225">
        <f>IF(A225&lt;=BEDS,1,0)</f>
        <v>0</v>
      </c>
    </row>
    <row r="226">
      <c r="A226" t="n">
        <v>222</v>
      </c>
      <c r="B226">
        <f>IF(COST_YR_RUNG1&lt;=COST_YR_RUNG2,IF(A226&lt;=RUNG_BEDS_1,1,2),IF(A226&lt;=RUNG_BEDS_2,2,1))</f>
        <v>1</v>
      </c>
      <c r="C226" s="5">
        <f>MIN(1,MAX(0,POOL_BEDS-(A226-1)))</f>
        <v>0</v>
      </c>
      <c r="D226" s="5">
        <f>FREED*(C226+(1-C226)*PAST_POOL_PCT)</f>
        <v>0.0</v>
      </c>
      <c r="E226" s="13">
        <f>D226*(C_AVOID+ACUTE_MARGIN)</f>
        <v>0.0</v>
      </c>
      <c r="F226" s="13">
        <f>D226*(RANGE_LO+ACUTE_MARGIN)</f>
        <v>0.0</v>
      </c>
      <c r="G226" s="13">
        <f>D226*(RANGE_HI+ACUTE_MARGIN)</f>
        <v>0.0</v>
      </c>
      <c r="H226" s="13">
        <f>IF(B226=1,COST_YR_RUNG1,COST_YR_RUNG2)</f>
        <v>152394.16214437486</v>
      </c>
      <c r="I226" s="13">
        <f>E226-H226</f>
        <v>-152394.16214437486</v>
      </c>
      <c r="J226" s="13">
        <f>J225+I226</f>
        <v>4397466.632221119</v>
      </c>
      <c r="K226">
        <f>IF(J226=MAX($J$4:$J$404),A226,0)</f>
        <v>0</v>
      </c>
      <c r="L226">
        <f>IF(E226&lt;H226,A226,B_MAX+1)</f>
        <v>222</v>
      </c>
      <c r="M226" s="13">
        <f>IF(B226=1,GRANT_RUNG1,GRANT_RUNG2)</f>
        <v>0</v>
      </c>
      <c r="N226" s="13">
        <f>OCC_DAYS*MCD_SHARE_BED*R_NF_2023-D226*MCD_SHARE_FREED*R_WAIT_2023</f>
        <v>151980.48282209205</v>
      </c>
      <c r="O226">
        <f>IF(A226&lt;=BEDS,1,0)</f>
        <v>0</v>
      </c>
    </row>
    <row r="227">
      <c r="A227" t="n">
        <v>223</v>
      </c>
      <c r="B227">
        <f>IF(COST_YR_RUNG1&lt;=COST_YR_RUNG2,IF(A227&lt;=RUNG_BEDS_1,1,2),IF(A227&lt;=RUNG_BEDS_2,2,1))</f>
        <v>1</v>
      </c>
      <c r="C227" s="5">
        <f>MIN(1,MAX(0,POOL_BEDS-(A227-1)))</f>
        <v>0</v>
      </c>
      <c r="D227" s="5">
        <f>FREED*(C227+(1-C227)*PAST_POOL_PCT)</f>
        <v>0.0</v>
      </c>
      <c r="E227" s="13">
        <f>D227*(C_AVOID+ACUTE_MARGIN)</f>
        <v>0.0</v>
      </c>
      <c r="F227" s="13">
        <f>D227*(RANGE_LO+ACUTE_MARGIN)</f>
        <v>0.0</v>
      </c>
      <c r="G227" s="13">
        <f>D227*(RANGE_HI+ACUTE_MARGIN)</f>
        <v>0.0</v>
      </c>
      <c r="H227" s="13">
        <f>IF(B227=1,COST_YR_RUNG1,COST_YR_RUNG2)</f>
        <v>152394.16214437486</v>
      </c>
      <c r="I227" s="13">
        <f>E227-H227</f>
        <v>-152394.16214437486</v>
      </c>
      <c r="J227" s="13">
        <f>J226+I227</f>
        <v>4245072.4700767435</v>
      </c>
      <c r="K227">
        <f>IF(J227=MAX($J$4:$J$404),A227,0)</f>
        <v>0</v>
      </c>
      <c r="L227">
        <f>IF(E227&lt;H227,A227,B_MAX+1)</f>
        <v>223</v>
      </c>
      <c r="M227" s="13">
        <f>IF(B227=1,GRANT_RUNG1,GRANT_RUNG2)</f>
        <v>0</v>
      </c>
      <c r="N227" s="13">
        <f>OCC_DAYS*MCD_SHARE_BED*R_NF_2023-D227*MCD_SHARE_FREED*R_WAIT_2023</f>
        <v>151980.48282209205</v>
      </c>
      <c r="O227">
        <f>IF(A227&lt;=BEDS,1,0)</f>
        <v>0</v>
      </c>
    </row>
    <row r="228">
      <c r="A228" t="n">
        <v>224</v>
      </c>
      <c r="B228">
        <f>IF(COST_YR_RUNG1&lt;=COST_YR_RUNG2,IF(A228&lt;=RUNG_BEDS_1,1,2),IF(A228&lt;=RUNG_BEDS_2,2,1))</f>
        <v>1</v>
      </c>
      <c r="C228" s="5">
        <f>MIN(1,MAX(0,POOL_BEDS-(A228-1)))</f>
        <v>0</v>
      </c>
      <c r="D228" s="5">
        <f>FREED*(C228+(1-C228)*PAST_POOL_PCT)</f>
        <v>0.0</v>
      </c>
      <c r="E228" s="13">
        <f>D228*(C_AVOID+ACUTE_MARGIN)</f>
        <v>0.0</v>
      </c>
      <c r="F228" s="13">
        <f>D228*(RANGE_LO+ACUTE_MARGIN)</f>
        <v>0.0</v>
      </c>
      <c r="G228" s="13">
        <f>D228*(RANGE_HI+ACUTE_MARGIN)</f>
        <v>0.0</v>
      </c>
      <c r="H228" s="13">
        <f>IF(B228=1,COST_YR_RUNG1,COST_YR_RUNG2)</f>
        <v>152394.16214437486</v>
      </c>
      <c r="I228" s="13">
        <f>E228-H228</f>
        <v>-152394.16214437486</v>
      </c>
      <c r="J228" s="13">
        <f>J227+I228</f>
        <v>4092678.3079323685</v>
      </c>
      <c r="K228">
        <f>IF(J228=MAX($J$4:$J$404),A228,0)</f>
        <v>0</v>
      </c>
      <c r="L228">
        <f>IF(E228&lt;H228,A228,B_MAX+1)</f>
        <v>224</v>
      </c>
      <c r="M228" s="13">
        <f>IF(B228=1,GRANT_RUNG1,GRANT_RUNG2)</f>
        <v>0</v>
      </c>
      <c r="N228" s="13">
        <f>OCC_DAYS*MCD_SHARE_BED*R_NF_2023-D228*MCD_SHARE_FREED*R_WAIT_2023</f>
        <v>151980.48282209205</v>
      </c>
      <c r="O228">
        <f>IF(A228&lt;=BEDS,1,0)</f>
        <v>0</v>
      </c>
    </row>
    <row r="229">
      <c r="A229" t="n">
        <v>225</v>
      </c>
      <c r="B229">
        <f>IF(COST_YR_RUNG1&lt;=COST_YR_RUNG2,IF(A229&lt;=RUNG_BEDS_1,1,2),IF(A229&lt;=RUNG_BEDS_2,2,1))</f>
        <v>1</v>
      </c>
      <c r="C229" s="5">
        <f>MIN(1,MAX(0,POOL_BEDS-(A229-1)))</f>
        <v>0</v>
      </c>
      <c r="D229" s="5">
        <f>FREED*(C229+(1-C229)*PAST_POOL_PCT)</f>
        <v>0.0</v>
      </c>
      <c r="E229" s="13">
        <f>D229*(C_AVOID+ACUTE_MARGIN)</f>
        <v>0.0</v>
      </c>
      <c r="F229" s="13">
        <f>D229*(RANGE_LO+ACUTE_MARGIN)</f>
        <v>0.0</v>
      </c>
      <c r="G229" s="13">
        <f>D229*(RANGE_HI+ACUTE_MARGIN)</f>
        <v>0.0</v>
      </c>
      <c r="H229" s="13">
        <f>IF(B229=1,COST_YR_RUNG1,COST_YR_RUNG2)</f>
        <v>152394.16214437486</v>
      </c>
      <c r="I229" s="13">
        <f>E229-H229</f>
        <v>-152394.16214437486</v>
      </c>
      <c r="J229" s="13">
        <f>J228+I229</f>
        <v>3940284.1457879934</v>
      </c>
      <c r="K229">
        <f>IF(J229=MAX($J$4:$J$404),A229,0)</f>
        <v>0</v>
      </c>
      <c r="L229">
        <f>IF(E229&lt;H229,A229,B_MAX+1)</f>
        <v>225</v>
      </c>
      <c r="M229" s="13">
        <f>IF(B229=1,GRANT_RUNG1,GRANT_RUNG2)</f>
        <v>0</v>
      </c>
      <c r="N229" s="13">
        <f>OCC_DAYS*MCD_SHARE_BED*R_NF_2023-D229*MCD_SHARE_FREED*R_WAIT_2023</f>
        <v>151980.48282209205</v>
      </c>
      <c r="O229">
        <f>IF(A229&lt;=BEDS,1,0)</f>
        <v>0</v>
      </c>
    </row>
    <row r="230">
      <c r="A230" t="n">
        <v>226</v>
      </c>
      <c r="B230">
        <f>IF(COST_YR_RUNG1&lt;=COST_YR_RUNG2,IF(A230&lt;=RUNG_BEDS_1,1,2),IF(A230&lt;=RUNG_BEDS_2,2,1))</f>
        <v>1</v>
      </c>
      <c r="C230" s="5">
        <f>MIN(1,MAX(0,POOL_BEDS-(A230-1)))</f>
        <v>0</v>
      </c>
      <c r="D230" s="5">
        <f>FREED*(C230+(1-C230)*PAST_POOL_PCT)</f>
        <v>0.0</v>
      </c>
      <c r="E230" s="13">
        <f>D230*(C_AVOID+ACUTE_MARGIN)</f>
        <v>0.0</v>
      </c>
      <c r="F230" s="13">
        <f>D230*(RANGE_LO+ACUTE_MARGIN)</f>
        <v>0.0</v>
      </c>
      <c r="G230" s="13">
        <f>D230*(RANGE_HI+ACUTE_MARGIN)</f>
        <v>0.0</v>
      </c>
      <c r="H230" s="13">
        <f>IF(B230=1,COST_YR_RUNG1,COST_YR_RUNG2)</f>
        <v>152394.16214437486</v>
      </c>
      <c r="I230" s="13">
        <f>E230-H230</f>
        <v>-152394.16214437486</v>
      </c>
      <c r="J230" s="13">
        <f>J229+I230</f>
        <v>3787889.9836436184</v>
      </c>
      <c r="K230">
        <f>IF(J230=MAX($J$4:$J$404),A230,0)</f>
        <v>0</v>
      </c>
      <c r="L230">
        <f>IF(E230&lt;H230,A230,B_MAX+1)</f>
        <v>226</v>
      </c>
      <c r="M230" s="13">
        <f>IF(B230=1,GRANT_RUNG1,GRANT_RUNG2)</f>
        <v>0</v>
      </c>
      <c r="N230" s="13">
        <f>OCC_DAYS*MCD_SHARE_BED*R_NF_2023-D230*MCD_SHARE_FREED*R_WAIT_2023</f>
        <v>151980.48282209205</v>
      </c>
      <c r="O230">
        <f>IF(A230&lt;=BEDS,1,0)</f>
        <v>0</v>
      </c>
    </row>
    <row r="231">
      <c r="A231" t="n">
        <v>227</v>
      </c>
      <c r="B231">
        <f>IF(COST_YR_RUNG1&lt;=COST_YR_RUNG2,IF(A231&lt;=RUNG_BEDS_1,1,2),IF(A231&lt;=RUNG_BEDS_2,2,1))</f>
        <v>1</v>
      </c>
      <c r="C231" s="5">
        <f>MIN(1,MAX(0,POOL_BEDS-(A231-1)))</f>
        <v>0</v>
      </c>
      <c r="D231" s="5">
        <f>FREED*(C231+(1-C231)*PAST_POOL_PCT)</f>
        <v>0.0</v>
      </c>
      <c r="E231" s="13">
        <f>D231*(C_AVOID+ACUTE_MARGIN)</f>
        <v>0.0</v>
      </c>
      <c r="F231" s="13">
        <f>D231*(RANGE_LO+ACUTE_MARGIN)</f>
        <v>0.0</v>
      </c>
      <c r="G231" s="13">
        <f>D231*(RANGE_HI+ACUTE_MARGIN)</f>
        <v>0.0</v>
      </c>
      <c r="H231" s="13">
        <f>IF(B231=1,COST_YR_RUNG1,COST_YR_RUNG2)</f>
        <v>152394.16214437486</v>
      </c>
      <c r="I231" s="13">
        <f>E231-H231</f>
        <v>-152394.16214437486</v>
      </c>
      <c r="J231" s="13">
        <f>J230+I231</f>
        <v>3635495.8214992434</v>
      </c>
      <c r="K231">
        <f>IF(J231=MAX($J$4:$J$404),A231,0)</f>
        <v>0</v>
      </c>
      <c r="L231">
        <f>IF(E231&lt;H231,A231,B_MAX+1)</f>
        <v>227</v>
      </c>
      <c r="M231" s="13">
        <f>IF(B231=1,GRANT_RUNG1,GRANT_RUNG2)</f>
        <v>0</v>
      </c>
      <c r="N231" s="13">
        <f>OCC_DAYS*MCD_SHARE_BED*R_NF_2023-D231*MCD_SHARE_FREED*R_WAIT_2023</f>
        <v>151980.48282209205</v>
      </c>
      <c r="O231">
        <f>IF(A231&lt;=BEDS,1,0)</f>
        <v>0</v>
      </c>
    </row>
    <row r="232">
      <c r="A232" t="n">
        <v>228</v>
      </c>
      <c r="B232">
        <f>IF(COST_YR_RUNG1&lt;=COST_YR_RUNG2,IF(A232&lt;=RUNG_BEDS_1,1,2),IF(A232&lt;=RUNG_BEDS_2,2,1))</f>
        <v>1</v>
      </c>
      <c r="C232" s="5">
        <f>MIN(1,MAX(0,POOL_BEDS-(A232-1)))</f>
        <v>0</v>
      </c>
      <c r="D232" s="5">
        <f>FREED*(C232+(1-C232)*PAST_POOL_PCT)</f>
        <v>0.0</v>
      </c>
      <c r="E232" s="13">
        <f>D232*(C_AVOID+ACUTE_MARGIN)</f>
        <v>0.0</v>
      </c>
      <c r="F232" s="13">
        <f>D232*(RANGE_LO+ACUTE_MARGIN)</f>
        <v>0.0</v>
      </c>
      <c r="G232" s="13">
        <f>D232*(RANGE_HI+ACUTE_MARGIN)</f>
        <v>0.0</v>
      </c>
      <c r="H232" s="13">
        <f>IF(B232=1,COST_YR_RUNG1,COST_YR_RUNG2)</f>
        <v>152394.16214437486</v>
      </c>
      <c r="I232" s="13">
        <f>E232-H232</f>
        <v>-152394.16214437486</v>
      </c>
      <c r="J232" s="13">
        <f>J231+I232</f>
        <v>3483101.6593548683</v>
      </c>
      <c r="K232">
        <f>IF(J232=MAX($J$4:$J$404),A232,0)</f>
        <v>0</v>
      </c>
      <c r="L232">
        <f>IF(E232&lt;H232,A232,B_MAX+1)</f>
        <v>228</v>
      </c>
      <c r="M232" s="13">
        <f>IF(B232=1,GRANT_RUNG1,GRANT_RUNG2)</f>
        <v>0</v>
      </c>
      <c r="N232" s="13">
        <f>OCC_DAYS*MCD_SHARE_BED*R_NF_2023-D232*MCD_SHARE_FREED*R_WAIT_2023</f>
        <v>151980.48282209205</v>
      </c>
      <c r="O232">
        <f>IF(A232&lt;=BEDS,1,0)</f>
        <v>0</v>
      </c>
    </row>
    <row r="233">
      <c r="A233" t="n">
        <v>229</v>
      </c>
      <c r="B233">
        <f>IF(COST_YR_RUNG1&lt;=COST_YR_RUNG2,IF(A233&lt;=RUNG_BEDS_1,1,2),IF(A233&lt;=RUNG_BEDS_2,2,1))</f>
        <v>1</v>
      </c>
      <c r="C233" s="5">
        <f>MIN(1,MAX(0,POOL_BEDS-(A233-1)))</f>
        <v>0</v>
      </c>
      <c r="D233" s="5">
        <f>FREED*(C233+(1-C233)*PAST_POOL_PCT)</f>
        <v>0.0</v>
      </c>
      <c r="E233" s="13">
        <f>D233*(C_AVOID+ACUTE_MARGIN)</f>
        <v>0.0</v>
      </c>
      <c r="F233" s="13">
        <f>D233*(RANGE_LO+ACUTE_MARGIN)</f>
        <v>0.0</v>
      </c>
      <c r="G233" s="13">
        <f>D233*(RANGE_HI+ACUTE_MARGIN)</f>
        <v>0.0</v>
      </c>
      <c r="H233" s="13">
        <f>IF(B233=1,COST_YR_RUNG1,COST_YR_RUNG2)</f>
        <v>152394.16214437486</v>
      </c>
      <c r="I233" s="13">
        <f>E233-H233</f>
        <v>-152394.16214437486</v>
      </c>
      <c r="J233" s="13">
        <f>J232+I233</f>
        <v>3330707.4972104933</v>
      </c>
      <c r="K233">
        <f>IF(J233=MAX($J$4:$J$404),A233,0)</f>
        <v>0</v>
      </c>
      <c r="L233">
        <f>IF(E233&lt;H233,A233,B_MAX+1)</f>
        <v>229</v>
      </c>
      <c r="M233" s="13">
        <f>IF(B233=1,GRANT_RUNG1,GRANT_RUNG2)</f>
        <v>0</v>
      </c>
      <c r="N233" s="13">
        <f>OCC_DAYS*MCD_SHARE_BED*R_NF_2023-D233*MCD_SHARE_FREED*R_WAIT_2023</f>
        <v>151980.48282209205</v>
      </c>
      <c r="O233">
        <f>IF(A233&lt;=BEDS,1,0)</f>
        <v>0</v>
      </c>
    </row>
    <row r="234">
      <c r="A234" t="n">
        <v>230</v>
      </c>
      <c r="B234">
        <f>IF(COST_YR_RUNG1&lt;=COST_YR_RUNG2,IF(A234&lt;=RUNG_BEDS_1,1,2),IF(A234&lt;=RUNG_BEDS_2,2,1))</f>
        <v>1</v>
      </c>
      <c r="C234" s="5">
        <f>MIN(1,MAX(0,POOL_BEDS-(A234-1)))</f>
        <v>0</v>
      </c>
      <c r="D234" s="5">
        <f>FREED*(C234+(1-C234)*PAST_POOL_PCT)</f>
        <v>0.0</v>
      </c>
      <c r="E234" s="13">
        <f>D234*(C_AVOID+ACUTE_MARGIN)</f>
        <v>0.0</v>
      </c>
      <c r="F234" s="13">
        <f>D234*(RANGE_LO+ACUTE_MARGIN)</f>
        <v>0.0</v>
      </c>
      <c r="G234" s="13">
        <f>D234*(RANGE_HI+ACUTE_MARGIN)</f>
        <v>0.0</v>
      </c>
      <c r="H234" s="13">
        <f>IF(B234=1,COST_YR_RUNG1,COST_YR_RUNG2)</f>
        <v>152394.16214437486</v>
      </c>
      <c r="I234" s="13">
        <f>E234-H234</f>
        <v>-152394.16214437486</v>
      </c>
      <c r="J234" s="13">
        <f>J233+I234</f>
        <v>3178313.3350661183</v>
      </c>
      <c r="K234">
        <f>IF(J234=MAX($J$4:$J$404),A234,0)</f>
        <v>0</v>
      </c>
      <c r="L234">
        <f>IF(E234&lt;H234,A234,B_MAX+1)</f>
        <v>230</v>
      </c>
      <c r="M234" s="13">
        <f>IF(B234=1,GRANT_RUNG1,GRANT_RUNG2)</f>
        <v>0</v>
      </c>
      <c r="N234" s="13">
        <f>OCC_DAYS*MCD_SHARE_BED*R_NF_2023-D234*MCD_SHARE_FREED*R_WAIT_2023</f>
        <v>151980.48282209205</v>
      </c>
      <c r="O234">
        <f>IF(A234&lt;=BEDS,1,0)</f>
        <v>0</v>
      </c>
    </row>
    <row r="235">
      <c r="A235" t="n">
        <v>231</v>
      </c>
      <c r="B235">
        <f>IF(COST_YR_RUNG1&lt;=COST_YR_RUNG2,IF(A235&lt;=RUNG_BEDS_1,1,2),IF(A235&lt;=RUNG_BEDS_2,2,1))</f>
        <v>1</v>
      </c>
      <c r="C235" s="5">
        <f>MIN(1,MAX(0,POOL_BEDS-(A235-1)))</f>
        <v>0</v>
      </c>
      <c r="D235" s="5">
        <f>FREED*(C235+(1-C235)*PAST_POOL_PCT)</f>
        <v>0.0</v>
      </c>
      <c r="E235" s="13">
        <f>D235*(C_AVOID+ACUTE_MARGIN)</f>
        <v>0.0</v>
      </c>
      <c r="F235" s="13">
        <f>D235*(RANGE_LO+ACUTE_MARGIN)</f>
        <v>0.0</v>
      </c>
      <c r="G235" s="13">
        <f>D235*(RANGE_HI+ACUTE_MARGIN)</f>
        <v>0.0</v>
      </c>
      <c r="H235" s="13">
        <f>IF(B235=1,COST_YR_RUNG1,COST_YR_RUNG2)</f>
        <v>152394.16214437486</v>
      </c>
      <c r="I235" s="13">
        <f>E235-H235</f>
        <v>-152394.16214437486</v>
      </c>
      <c r="J235" s="13">
        <f>J234+I235</f>
        <v>3025919.1729217432</v>
      </c>
      <c r="K235">
        <f>IF(J235=MAX($J$4:$J$404),A235,0)</f>
        <v>0</v>
      </c>
      <c r="L235">
        <f>IF(E235&lt;H235,A235,B_MAX+1)</f>
        <v>231</v>
      </c>
      <c r="M235" s="13">
        <f>IF(B235=1,GRANT_RUNG1,GRANT_RUNG2)</f>
        <v>0</v>
      </c>
      <c r="N235" s="13">
        <f>OCC_DAYS*MCD_SHARE_BED*R_NF_2023-D235*MCD_SHARE_FREED*R_WAIT_2023</f>
        <v>151980.48282209205</v>
      </c>
      <c r="O235">
        <f>IF(A235&lt;=BEDS,1,0)</f>
        <v>0</v>
      </c>
    </row>
    <row r="236">
      <c r="A236" t="n">
        <v>232</v>
      </c>
      <c r="B236">
        <f>IF(COST_YR_RUNG1&lt;=COST_YR_RUNG2,IF(A236&lt;=RUNG_BEDS_1,1,2),IF(A236&lt;=RUNG_BEDS_2,2,1))</f>
        <v>1</v>
      </c>
      <c r="C236" s="5">
        <f>MIN(1,MAX(0,POOL_BEDS-(A236-1)))</f>
        <v>0</v>
      </c>
      <c r="D236" s="5">
        <f>FREED*(C236+(1-C236)*PAST_POOL_PCT)</f>
        <v>0.0</v>
      </c>
      <c r="E236" s="13">
        <f>D236*(C_AVOID+ACUTE_MARGIN)</f>
        <v>0.0</v>
      </c>
      <c r="F236" s="13">
        <f>D236*(RANGE_LO+ACUTE_MARGIN)</f>
        <v>0.0</v>
      </c>
      <c r="G236" s="13">
        <f>D236*(RANGE_HI+ACUTE_MARGIN)</f>
        <v>0.0</v>
      </c>
      <c r="H236" s="13">
        <f>IF(B236=1,COST_YR_RUNG1,COST_YR_RUNG2)</f>
        <v>152394.16214437486</v>
      </c>
      <c r="I236" s="13">
        <f>E236-H236</f>
        <v>-152394.16214437486</v>
      </c>
      <c r="J236" s="13">
        <f>J235+I236</f>
        <v>2873525.010777368</v>
      </c>
      <c r="K236">
        <f>IF(J236=MAX($J$4:$J$404),A236,0)</f>
        <v>0</v>
      </c>
      <c r="L236">
        <f>IF(E236&lt;H236,A236,B_MAX+1)</f>
        <v>232</v>
      </c>
      <c r="M236" s="13">
        <f>IF(B236=1,GRANT_RUNG1,GRANT_RUNG2)</f>
        <v>0</v>
      </c>
      <c r="N236" s="13">
        <f>OCC_DAYS*MCD_SHARE_BED*R_NF_2023-D236*MCD_SHARE_FREED*R_WAIT_2023</f>
        <v>151980.48282209205</v>
      </c>
      <c r="O236">
        <f>IF(A236&lt;=BEDS,1,0)</f>
        <v>0</v>
      </c>
    </row>
    <row r="237">
      <c r="A237" t="n">
        <v>233</v>
      </c>
      <c r="B237">
        <f>IF(COST_YR_RUNG1&lt;=COST_YR_RUNG2,IF(A237&lt;=RUNG_BEDS_1,1,2),IF(A237&lt;=RUNG_BEDS_2,2,1))</f>
        <v>1</v>
      </c>
      <c r="C237" s="5">
        <f>MIN(1,MAX(0,POOL_BEDS-(A237-1)))</f>
        <v>0</v>
      </c>
      <c r="D237" s="5">
        <f>FREED*(C237+(1-C237)*PAST_POOL_PCT)</f>
        <v>0.0</v>
      </c>
      <c r="E237" s="13">
        <f>D237*(C_AVOID+ACUTE_MARGIN)</f>
        <v>0.0</v>
      </c>
      <c r="F237" s="13">
        <f>D237*(RANGE_LO+ACUTE_MARGIN)</f>
        <v>0.0</v>
      </c>
      <c r="G237" s="13">
        <f>D237*(RANGE_HI+ACUTE_MARGIN)</f>
        <v>0.0</v>
      </c>
      <c r="H237" s="13">
        <f>IF(B237=1,COST_YR_RUNG1,COST_YR_RUNG2)</f>
        <v>152394.16214437486</v>
      </c>
      <c r="I237" s="13">
        <f>E237-H237</f>
        <v>-152394.16214437486</v>
      </c>
      <c r="J237" s="13">
        <f>J236+I237</f>
        <v>2721130.848632993</v>
      </c>
      <c r="K237">
        <f>IF(J237=MAX($J$4:$J$404),A237,0)</f>
        <v>0</v>
      </c>
      <c r="L237">
        <f>IF(E237&lt;H237,A237,B_MAX+1)</f>
        <v>233</v>
      </c>
      <c r="M237" s="13">
        <f>IF(B237=1,GRANT_RUNG1,GRANT_RUNG2)</f>
        <v>0</v>
      </c>
      <c r="N237" s="13">
        <f>OCC_DAYS*MCD_SHARE_BED*R_NF_2023-D237*MCD_SHARE_FREED*R_WAIT_2023</f>
        <v>151980.48282209205</v>
      </c>
      <c r="O237">
        <f>IF(A237&lt;=BEDS,1,0)</f>
        <v>0</v>
      </c>
    </row>
    <row r="238">
      <c r="A238" t="n">
        <v>234</v>
      </c>
      <c r="B238">
        <f>IF(COST_YR_RUNG1&lt;=COST_YR_RUNG2,IF(A238&lt;=RUNG_BEDS_1,1,2),IF(A238&lt;=RUNG_BEDS_2,2,1))</f>
        <v>1</v>
      </c>
      <c r="C238" s="5">
        <f>MIN(1,MAX(0,POOL_BEDS-(A238-1)))</f>
        <v>0</v>
      </c>
      <c r="D238" s="5">
        <f>FREED*(C238+(1-C238)*PAST_POOL_PCT)</f>
        <v>0.0</v>
      </c>
      <c r="E238" s="13">
        <f>D238*(C_AVOID+ACUTE_MARGIN)</f>
        <v>0.0</v>
      </c>
      <c r="F238" s="13">
        <f>D238*(RANGE_LO+ACUTE_MARGIN)</f>
        <v>0.0</v>
      </c>
      <c r="G238" s="13">
        <f>D238*(RANGE_HI+ACUTE_MARGIN)</f>
        <v>0.0</v>
      </c>
      <c r="H238" s="13">
        <f>IF(B238=1,COST_YR_RUNG1,COST_YR_RUNG2)</f>
        <v>152394.16214437486</v>
      </c>
      <c r="I238" s="13">
        <f>E238-H238</f>
        <v>-152394.16214437486</v>
      </c>
      <c r="J238" s="13">
        <f>J237+I238</f>
        <v>2568736.686488618</v>
      </c>
      <c r="K238">
        <f>IF(J238=MAX($J$4:$J$404),A238,0)</f>
        <v>0</v>
      </c>
      <c r="L238">
        <f>IF(E238&lt;H238,A238,B_MAX+1)</f>
        <v>234</v>
      </c>
      <c r="M238" s="13">
        <f>IF(B238=1,GRANT_RUNG1,GRANT_RUNG2)</f>
        <v>0</v>
      </c>
      <c r="N238" s="13">
        <f>OCC_DAYS*MCD_SHARE_BED*R_NF_2023-D238*MCD_SHARE_FREED*R_WAIT_2023</f>
        <v>151980.48282209205</v>
      </c>
      <c r="O238">
        <f>IF(A238&lt;=BEDS,1,0)</f>
        <v>0</v>
      </c>
    </row>
    <row r="239">
      <c r="A239" t="n">
        <v>235</v>
      </c>
      <c r="B239">
        <f>IF(COST_YR_RUNG1&lt;=COST_YR_RUNG2,IF(A239&lt;=RUNG_BEDS_1,1,2),IF(A239&lt;=RUNG_BEDS_2,2,1))</f>
        <v>1</v>
      </c>
      <c r="C239" s="5">
        <f>MIN(1,MAX(0,POOL_BEDS-(A239-1)))</f>
        <v>0</v>
      </c>
      <c r="D239" s="5">
        <f>FREED*(C239+(1-C239)*PAST_POOL_PCT)</f>
        <v>0.0</v>
      </c>
      <c r="E239" s="13">
        <f>D239*(C_AVOID+ACUTE_MARGIN)</f>
        <v>0.0</v>
      </c>
      <c r="F239" s="13">
        <f>D239*(RANGE_LO+ACUTE_MARGIN)</f>
        <v>0.0</v>
      </c>
      <c r="G239" s="13">
        <f>D239*(RANGE_HI+ACUTE_MARGIN)</f>
        <v>0.0</v>
      </c>
      <c r="H239" s="13">
        <f>IF(B239=1,COST_YR_RUNG1,COST_YR_RUNG2)</f>
        <v>152394.16214437486</v>
      </c>
      <c r="I239" s="13">
        <f>E239-H239</f>
        <v>-152394.16214437486</v>
      </c>
      <c r="J239" s="13">
        <f>J238+I239</f>
        <v>2416342.524344243</v>
      </c>
      <c r="K239">
        <f>IF(J239=MAX($J$4:$J$404),A239,0)</f>
        <v>0</v>
      </c>
      <c r="L239">
        <f>IF(E239&lt;H239,A239,B_MAX+1)</f>
        <v>235</v>
      </c>
      <c r="M239" s="13">
        <f>IF(B239=1,GRANT_RUNG1,GRANT_RUNG2)</f>
        <v>0</v>
      </c>
      <c r="N239" s="13">
        <f>OCC_DAYS*MCD_SHARE_BED*R_NF_2023-D239*MCD_SHARE_FREED*R_WAIT_2023</f>
        <v>151980.48282209205</v>
      </c>
      <c r="O239">
        <f>IF(A239&lt;=BEDS,1,0)</f>
        <v>0</v>
      </c>
    </row>
    <row r="240">
      <c r="A240" t="n">
        <v>236</v>
      </c>
      <c r="B240">
        <f>IF(COST_YR_RUNG1&lt;=COST_YR_RUNG2,IF(A240&lt;=RUNG_BEDS_1,1,2),IF(A240&lt;=RUNG_BEDS_2,2,1))</f>
        <v>1</v>
      </c>
      <c r="C240" s="5">
        <f>MIN(1,MAX(0,POOL_BEDS-(A240-1)))</f>
        <v>0</v>
      </c>
      <c r="D240" s="5">
        <f>FREED*(C240+(1-C240)*PAST_POOL_PCT)</f>
        <v>0.0</v>
      </c>
      <c r="E240" s="13">
        <f>D240*(C_AVOID+ACUTE_MARGIN)</f>
        <v>0.0</v>
      </c>
      <c r="F240" s="13">
        <f>D240*(RANGE_LO+ACUTE_MARGIN)</f>
        <v>0.0</v>
      </c>
      <c r="G240" s="13">
        <f>D240*(RANGE_HI+ACUTE_MARGIN)</f>
        <v>0.0</v>
      </c>
      <c r="H240" s="13">
        <f>IF(B240=1,COST_YR_RUNG1,COST_YR_RUNG2)</f>
        <v>152394.16214437486</v>
      </c>
      <c r="I240" s="13">
        <f>E240-H240</f>
        <v>-152394.16214437486</v>
      </c>
      <c r="J240" s="13">
        <f>J239+I240</f>
        <v>2263948.362199868</v>
      </c>
      <c r="K240">
        <f>IF(J240=MAX($J$4:$J$404),A240,0)</f>
        <v>0</v>
      </c>
      <c r="L240">
        <f>IF(E240&lt;H240,A240,B_MAX+1)</f>
        <v>236</v>
      </c>
      <c r="M240" s="13">
        <f>IF(B240=1,GRANT_RUNG1,GRANT_RUNG2)</f>
        <v>0</v>
      </c>
      <c r="N240" s="13">
        <f>OCC_DAYS*MCD_SHARE_BED*R_NF_2023-D240*MCD_SHARE_FREED*R_WAIT_2023</f>
        <v>151980.48282209205</v>
      </c>
      <c r="O240">
        <f>IF(A240&lt;=BEDS,1,0)</f>
        <v>0</v>
      </c>
    </row>
    <row r="241">
      <c r="A241" t="n">
        <v>237</v>
      </c>
      <c r="B241">
        <f>IF(COST_YR_RUNG1&lt;=COST_YR_RUNG2,IF(A241&lt;=RUNG_BEDS_1,1,2),IF(A241&lt;=RUNG_BEDS_2,2,1))</f>
        <v>1</v>
      </c>
      <c r="C241" s="5">
        <f>MIN(1,MAX(0,POOL_BEDS-(A241-1)))</f>
        <v>0</v>
      </c>
      <c r="D241" s="5">
        <f>FREED*(C241+(1-C241)*PAST_POOL_PCT)</f>
        <v>0.0</v>
      </c>
      <c r="E241" s="13">
        <f>D241*(C_AVOID+ACUTE_MARGIN)</f>
        <v>0.0</v>
      </c>
      <c r="F241" s="13">
        <f>D241*(RANGE_LO+ACUTE_MARGIN)</f>
        <v>0.0</v>
      </c>
      <c r="G241" s="13">
        <f>D241*(RANGE_HI+ACUTE_MARGIN)</f>
        <v>0.0</v>
      </c>
      <c r="H241" s="13">
        <f>IF(B241=1,COST_YR_RUNG1,COST_YR_RUNG2)</f>
        <v>152394.16214437486</v>
      </c>
      <c r="I241" s="13">
        <f>E241-H241</f>
        <v>-152394.16214437486</v>
      </c>
      <c r="J241" s="13">
        <f>J240+I241</f>
        <v>2111554.200055493</v>
      </c>
      <c r="K241">
        <f>IF(J241=MAX($J$4:$J$404),A241,0)</f>
        <v>0</v>
      </c>
      <c r="L241">
        <f>IF(E241&lt;H241,A241,B_MAX+1)</f>
        <v>237</v>
      </c>
      <c r="M241" s="13">
        <f>IF(B241=1,GRANT_RUNG1,GRANT_RUNG2)</f>
        <v>0</v>
      </c>
      <c r="N241" s="13">
        <f>OCC_DAYS*MCD_SHARE_BED*R_NF_2023-D241*MCD_SHARE_FREED*R_WAIT_2023</f>
        <v>151980.48282209205</v>
      </c>
      <c r="O241">
        <f>IF(A241&lt;=BEDS,1,0)</f>
        <v>0</v>
      </c>
    </row>
    <row r="242">
      <c r="A242" t="n">
        <v>238</v>
      </c>
      <c r="B242">
        <f>IF(COST_YR_RUNG1&lt;=COST_YR_RUNG2,IF(A242&lt;=RUNG_BEDS_1,1,2),IF(A242&lt;=RUNG_BEDS_2,2,1))</f>
        <v>1</v>
      </c>
      <c r="C242" s="5">
        <f>MIN(1,MAX(0,POOL_BEDS-(A242-1)))</f>
        <v>0</v>
      </c>
      <c r="D242" s="5">
        <f>FREED*(C242+(1-C242)*PAST_POOL_PCT)</f>
        <v>0.0</v>
      </c>
      <c r="E242" s="13">
        <f>D242*(C_AVOID+ACUTE_MARGIN)</f>
        <v>0.0</v>
      </c>
      <c r="F242" s="13">
        <f>D242*(RANGE_LO+ACUTE_MARGIN)</f>
        <v>0.0</v>
      </c>
      <c r="G242" s="13">
        <f>D242*(RANGE_HI+ACUTE_MARGIN)</f>
        <v>0.0</v>
      </c>
      <c r="H242" s="13">
        <f>IF(B242=1,COST_YR_RUNG1,COST_YR_RUNG2)</f>
        <v>152394.16214437486</v>
      </c>
      <c r="I242" s="13">
        <f>E242-H242</f>
        <v>-152394.16214437486</v>
      </c>
      <c r="J242" s="13">
        <f>J241+I242</f>
        <v>1959160.0379111182</v>
      </c>
      <c r="K242">
        <f>IF(J242=MAX($J$4:$J$404),A242,0)</f>
        <v>0</v>
      </c>
      <c r="L242">
        <f>IF(E242&lt;H242,A242,B_MAX+1)</f>
        <v>238</v>
      </c>
      <c r="M242" s="13">
        <f>IF(B242=1,GRANT_RUNG1,GRANT_RUNG2)</f>
        <v>0</v>
      </c>
      <c r="N242" s="13">
        <f>OCC_DAYS*MCD_SHARE_BED*R_NF_2023-D242*MCD_SHARE_FREED*R_WAIT_2023</f>
        <v>151980.48282209205</v>
      </c>
      <c r="O242">
        <f>IF(A242&lt;=BEDS,1,0)</f>
        <v>0</v>
      </c>
    </row>
    <row r="243">
      <c r="A243" t="n">
        <v>239</v>
      </c>
      <c r="B243">
        <f>IF(COST_YR_RUNG1&lt;=COST_YR_RUNG2,IF(A243&lt;=RUNG_BEDS_1,1,2),IF(A243&lt;=RUNG_BEDS_2,2,1))</f>
        <v>1</v>
      </c>
      <c r="C243" s="5">
        <f>MIN(1,MAX(0,POOL_BEDS-(A243-1)))</f>
        <v>0</v>
      </c>
      <c r="D243" s="5">
        <f>FREED*(C243+(1-C243)*PAST_POOL_PCT)</f>
        <v>0.0</v>
      </c>
      <c r="E243" s="13">
        <f>D243*(C_AVOID+ACUTE_MARGIN)</f>
        <v>0.0</v>
      </c>
      <c r="F243" s="13">
        <f>D243*(RANGE_LO+ACUTE_MARGIN)</f>
        <v>0.0</v>
      </c>
      <c r="G243" s="13">
        <f>D243*(RANGE_HI+ACUTE_MARGIN)</f>
        <v>0.0</v>
      </c>
      <c r="H243" s="13">
        <f>IF(B243=1,COST_YR_RUNG1,COST_YR_RUNG2)</f>
        <v>152394.16214437486</v>
      </c>
      <c r="I243" s="13">
        <f>E243-H243</f>
        <v>-152394.16214437486</v>
      </c>
      <c r="J243" s="13">
        <f>J242+I243</f>
        <v>1806765.8757667434</v>
      </c>
      <c r="K243">
        <f>IF(J243=MAX($J$4:$J$404),A243,0)</f>
        <v>0</v>
      </c>
      <c r="L243">
        <f>IF(E243&lt;H243,A243,B_MAX+1)</f>
        <v>239</v>
      </c>
      <c r="M243" s="13">
        <f>IF(B243=1,GRANT_RUNG1,GRANT_RUNG2)</f>
        <v>0</v>
      </c>
      <c r="N243" s="13">
        <f>OCC_DAYS*MCD_SHARE_BED*R_NF_2023-D243*MCD_SHARE_FREED*R_WAIT_2023</f>
        <v>151980.48282209205</v>
      </c>
      <c r="O243">
        <f>IF(A243&lt;=BEDS,1,0)</f>
        <v>0</v>
      </c>
    </row>
    <row r="244">
      <c r="A244" t="n">
        <v>240</v>
      </c>
      <c r="B244">
        <f>IF(COST_YR_RUNG1&lt;=COST_YR_RUNG2,IF(A244&lt;=RUNG_BEDS_1,1,2),IF(A244&lt;=RUNG_BEDS_2,2,1))</f>
        <v>1</v>
      </c>
      <c r="C244" s="5">
        <f>MIN(1,MAX(0,POOL_BEDS-(A244-1)))</f>
        <v>0</v>
      </c>
      <c r="D244" s="5">
        <f>FREED*(C244+(1-C244)*PAST_POOL_PCT)</f>
        <v>0.0</v>
      </c>
      <c r="E244" s="13">
        <f>D244*(C_AVOID+ACUTE_MARGIN)</f>
        <v>0.0</v>
      </c>
      <c r="F244" s="13">
        <f>D244*(RANGE_LO+ACUTE_MARGIN)</f>
        <v>0.0</v>
      </c>
      <c r="G244" s="13">
        <f>D244*(RANGE_HI+ACUTE_MARGIN)</f>
        <v>0.0</v>
      </c>
      <c r="H244" s="13">
        <f>IF(B244=1,COST_YR_RUNG1,COST_YR_RUNG2)</f>
        <v>152394.16214437486</v>
      </c>
      <c r="I244" s="13">
        <f>E244-H244</f>
        <v>-152394.16214437486</v>
      </c>
      <c r="J244" s="13">
        <f>J243+I244</f>
        <v>1654371.7136223686</v>
      </c>
      <c r="K244">
        <f>IF(J244=MAX($J$4:$J$404),A244,0)</f>
        <v>0</v>
      </c>
      <c r="L244">
        <f>IF(E244&lt;H244,A244,B_MAX+1)</f>
        <v>240</v>
      </c>
      <c r="M244" s="13">
        <f>IF(B244=1,GRANT_RUNG1,GRANT_RUNG2)</f>
        <v>0</v>
      </c>
      <c r="N244" s="13">
        <f>OCC_DAYS*MCD_SHARE_BED*R_NF_2023-D244*MCD_SHARE_FREED*R_WAIT_2023</f>
        <v>151980.48282209205</v>
      </c>
      <c r="O244">
        <f>IF(A244&lt;=BEDS,1,0)</f>
        <v>0</v>
      </c>
    </row>
    <row r="245">
      <c r="A245" t="n">
        <v>241</v>
      </c>
      <c r="B245">
        <f>IF(COST_YR_RUNG1&lt;=COST_YR_RUNG2,IF(A245&lt;=RUNG_BEDS_1,1,2),IF(A245&lt;=RUNG_BEDS_2,2,1))</f>
        <v>1</v>
      </c>
      <c r="C245" s="5">
        <f>MIN(1,MAX(0,POOL_BEDS-(A245-1)))</f>
        <v>0</v>
      </c>
      <c r="D245" s="5">
        <f>FREED*(C245+(1-C245)*PAST_POOL_PCT)</f>
        <v>0.0</v>
      </c>
      <c r="E245" s="13">
        <f>D245*(C_AVOID+ACUTE_MARGIN)</f>
        <v>0.0</v>
      </c>
      <c r="F245" s="13">
        <f>D245*(RANGE_LO+ACUTE_MARGIN)</f>
        <v>0.0</v>
      </c>
      <c r="G245" s="13">
        <f>D245*(RANGE_HI+ACUTE_MARGIN)</f>
        <v>0.0</v>
      </c>
      <c r="H245" s="13">
        <f>IF(B245=1,COST_YR_RUNG1,COST_YR_RUNG2)</f>
        <v>152394.16214437486</v>
      </c>
      <c r="I245" s="13">
        <f>E245-H245</f>
        <v>-152394.16214437486</v>
      </c>
      <c r="J245" s="13">
        <f>J244+I245</f>
        <v>1501977.5514779938</v>
      </c>
      <c r="K245">
        <f>IF(J245=MAX($J$4:$J$404),A245,0)</f>
        <v>0</v>
      </c>
      <c r="L245">
        <f>IF(E245&lt;H245,A245,B_MAX+1)</f>
        <v>241</v>
      </c>
      <c r="M245" s="13">
        <f>IF(B245=1,GRANT_RUNG1,GRANT_RUNG2)</f>
        <v>0</v>
      </c>
      <c r="N245" s="13">
        <f>OCC_DAYS*MCD_SHARE_BED*R_NF_2023-D245*MCD_SHARE_FREED*R_WAIT_2023</f>
        <v>151980.48282209205</v>
      </c>
      <c r="O245">
        <f>IF(A245&lt;=BEDS,1,0)</f>
        <v>0</v>
      </c>
    </row>
    <row r="246">
      <c r="A246" t="n">
        <v>242</v>
      </c>
      <c r="B246">
        <f>IF(COST_YR_RUNG1&lt;=COST_YR_RUNG2,IF(A246&lt;=RUNG_BEDS_1,1,2),IF(A246&lt;=RUNG_BEDS_2,2,1))</f>
        <v>1</v>
      </c>
      <c r="C246" s="5">
        <f>MIN(1,MAX(0,POOL_BEDS-(A246-1)))</f>
        <v>0</v>
      </c>
      <c r="D246" s="5">
        <f>FREED*(C246+(1-C246)*PAST_POOL_PCT)</f>
        <v>0.0</v>
      </c>
      <c r="E246" s="13">
        <f>D246*(C_AVOID+ACUTE_MARGIN)</f>
        <v>0.0</v>
      </c>
      <c r="F246" s="13">
        <f>D246*(RANGE_LO+ACUTE_MARGIN)</f>
        <v>0.0</v>
      </c>
      <c r="G246" s="13">
        <f>D246*(RANGE_HI+ACUTE_MARGIN)</f>
        <v>0.0</v>
      </c>
      <c r="H246" s="13">
        <f>IF(B246=1,COST_YR_RUNG1,COST_YR_RUNG2)</f>
        <v>152394.16214437486</v>
      </c>
      <c r="I246" s="13">
        <f>E246-H246</f>
        <v>-152394.16214437486</v>
      </c>
      <c r="J246" s="13">
        <f>J245+I246</f>
        <v>1349583.389333619</v>
      </c>
      <c r="K246">
        <f>IF(J246=MAX($J$4:$J$404),A246,0)</f>
        <v>0</v>
      </c>
      <c r="L246">
        <f>IF(E246&lt;H246,A246,B_MAX+1)</f>
        <v>242</v>
      </c>
      <c r="M246" s="13">
        <f>IF(B246=1,GRANT_RUNG1,GRANT_RUNG2)</f>
        <v>0</v>
      </c>
      <c r="N246" s="13">
        <f>OCC_DAYS*MCD_SHARE_BED*R_NF_2023-D246*MCD_SHARE_FREED*R_WAIT_2023</f>
        <v>151980.48282209205</v>
      </c>
      <c r="O246">
        <f>IF(A246&lt;=BEDS,1,0)</f>
        <v>0</v>
      </c>
    </row>
    <row r="247">
      <c r="A247" t="n">
        <v>243</v>
      </c>
      <c r="B247">
        <f>IF(COST_YR_RUNG1&lt;=COST_YR_RUNG2,IF(A247&lt;=RUNG_BEDS_1,1,2),IF(A247&lt;=RUNG_BEDS_2,2,1))</f>
        <v>1</v>
      </c>
      <c r="C247" s="5">
        <f>MIN(1,MAX(0,POOL_BEDS-(A247-1)))</f>
        <v>0</v>
      </c>
      <c r="D247" s="5">
        <f>FREED*(C247+(1-C247)*PAST_POOL_PCT)</f>
        <v>0.0</v>
      </c>
      <c r="E247" s="13">
        <f>D247*(C_AVOID+ACUTE_MARGIN)</f>
        <v>0.0</v>
      </c>
      <c r="F247" s="13">
        <f>D247*(RANGE_LO+ACUTE_MARGIN)</f>
        <v>0.0</v>
      </c>
      <c r="G247" s="13">
        <f>D247*(RANGE_HI+ACUTE_MARGIN)</f>
        <v>0.0</v>
      </c>
      <c r="H247" s="13">
        <f>IF(B247=1,COST_YR_RUNG1,COST_YR_RUNG2)</f>
        <v>152394.16214437486</v>
      </c>
      <c r="I247" s="13">
        <f>E247-H247</f>
        <v>-152394.16214437486</v>
      </c>
      <c r="J247" s="13">
        <f>J246+I247</f>
        <v>1197189.2271892442</v>
      </c>
      <c r="K247">
        <f>IF(J247=MAX($J$4:$J$404),A247,0)</f>
        <v>0</v>
      </c>
      <c r="L247">
        <f>IF(E247&lt;H247,A247,B_MAX+1)</f>
        <v>243</v>
      </c>
      <c r="M247" s="13">
        <f>IF(B247=1,GRANT_RUNG1,GRANT_RUNG2)</f>
        <v>0</v>
      </c>
      <c r="N247" s="13">
        <f>OCC_DAYS*MCD_SHARE_BED*R_NF_2023-D247*MCD_SHARE_FREED*R_WAIT_2023</f>
        <v>151980.48282209205</v>
      </c>
      <c r="O247">
        <f>IF(A247&lt;=BEDS,1,0)</f>
        <v>0</v>
      </c>
    </row>
    <row r="248">
      <c r="A248" t="n">
        <v>244</v>
      </c>
      <c r="B248">
        <f>IF(COST_YR_RUNG1&lt;=COST_YR_RUNG2,IF(A248&lt;=RUNG_BEDS_1,1,2),IF(A248&lt;=RUNG_BEDS_2,2,1))</f>
        <v>1</v>
      </c>
      <c r="C248" s="5">
        <f>MIN(1,MAX(0,POOL_BEDS-(A248-1)))</f>
        <v>0</v>
      </c>
      <c r="D248" s="5">
        <f>FREED*(C248+(1-C248)*PAST_POOL_PCT)</f>
        <v>0.0</v>
      </c>
      <c r="E248" s="13">
        <f>D248*(C_AVOID+ACUTE_MARGIN)</f>
        <v>0.0</v>
      </c>
      <c r="F248" s="13">
        <f>D248*(RANGE_LO+ACUTE_MARGIN)</f>
        <v>0.0</v>
      </c>
      <c r="G248" s="13">
        <f>D248*(RANGE_HI+ACUTE_MARGIN)</f>
        <v>0.0</v>
      </c>
      <c r="H248" s="13">
        <f>IF(B248=1,COST_YR_RUNG1,COST_YR_RUNG2)</f>
        <v>152394.16214437486</v>
      </c>
      <c r="I248" s="13">
        <f>E248-H248</f>
        <v>-152394.16214437486</v>
      </c>
      <c r="J248" s="13">
        <f>J247+I248</f>
        <v>1044795.0650448694</v>
      </c>
      <c r="K248">
        <f>IF(J248=MAX($J$4:$J$404),A248,0)</f>
        <v>0</v>
      </c>
      <c r="L248">
        <f>IF(E248&lt;H248,A248,B_MAX+1)</f>
        <v>244</v>
      </c>
      <c r="M248" s="13">
        <f>IF(B248=1,GRANT_RUNG1,GRANT_RUNG2)</f>
        <v>0</v>
      </c>
      <c r="N248" s="13">
        <f>OCC_DAYS*MCD_SHARE_BED*R_NF_2023-D248*MCD_SHARE_FREED*R_WAIT_2023</f>
        <v>151980.48282209205</v>
      </c>
      <c r="O248">
        <f>IF(A248&lt;=BEDS,1,0)</f>
        <v>0</v>
      </c>
    </row>
    <row r="249">
      <c r="A249" t="n">
        <v>245</v>
      </c>
      <c r="B249">
        <f>IF(COST_YR_RUNG1&lt;=COST_YR_RUNG2,IF(A249&lt;=RUNG_BEDS_1,1,2),IF(A249&lt;=RUNG_BEDS_2,2,1))</f>
        <v>1</v>
      </c>
      <c r="C249" s="5">
        <f>MIN(1,MAX(0,POOL_BEDS-(A249-1)))</f>
        <v>0</v>
      </c>
      <c r="D249" s="5">
        <f>FREED*(C249+(1-C249)*PAST_POOL_PCT)</f>
        <v>0.0</v>
      </c>
      <c r="E249" s="13">
        <f>D249*(C_AVOID+ACUTE_MARGIN)</f>
        <v>0.0</v>
      </c>
      <c r="F249" s="13">
        <f>D249*(RANGE_LO+ACUTE_MARGIN)</f>
        <v>0.0</v>
      </c>
      <c r="G249" s="13">
        <f>D249*(RANGE_HI+ACUTE_MARGIN)</f>
        <v>0.0</v>
      </c>
      <c r="H249" s="13">
        <f>IF(B249=1,COST_YR_RUNG1,COST_YR_RUNG2)</f>
        <v>152394.16214437486</v>
      </c>
      <c r="I249" s="13">
        <f>E249-H249</f>
        <v>-152394.16214437486</v>
      </c>
      <c r="J249" s="13">
        <f>J248+I249</f>
        <v>892400.9029004946</v>
      </c>
      <c r="K249">
        <f>IF(J249=MAX($J$4:$J$404),A249,0)</f>
        <v>0</v>
      </c>
      <c r="L249">
        <f>IF(E249&lt;H249,A249,B_MAX+1)</f>
        <v>245</v>
      </c>
      <c r="M249" s="13">
        <f>IF(B249=1,GRANT_RUNG1,GRANT_RUNG2)</f>
        <v>0</v>
      </c>
      <c r="N249" s="13">
        <f>OCC_DAYS*MCD_SHARE_BED*R_NF_2023-D249*MCD_SHARE_FREED*R_WAIT_2023</f>
        <v>151980.48282209205</v>
      </c>
      <c r="O249">
        <f>IF(A249&lt;=BEDS,1,0)</f>
        <v>0</v>
      </c>
    </row>
    <row r="250">
      <c r="A250" t="n">
        <v>246</v>
      </c>
      <c r="B250">
        <f>IF(COST_YR_RUNG1&lt;=COST_YR_RUNG2,IF(A250&lt;=RUNG_BEDS_1,1,2),IF(A250&lt;=RUNG_BEDS_2,2,1))</f>
        <v>1</v>
      </c>
      <c r="C250" s="5">
        <f>MIN(1,MAX(0,POOL_BEDS-(A250-1)))</f>
        <v>0</v>
      </c>
      <c r="D250" s="5">
        <f>FREED*(C250+(1-C250)*PAST_POOL_PCT)</f>
        <v>0.0</v>
      </c>
      <c r="E250" s="13">
        <f>D250*(C_AVOID+ACUTE_MARGIN)</f>
        <v>0.0</v>
      </c>
      <c r="F250" s="13">
        <f>D250*(RANGE_LO+ACUTE_MARGIN)</f>
        <v>0.0</v>
      </c>
      <c r="G250" s="13">
        <f>D250*(RANGE_HI+ACUTE_MARGIN)</f>
        <v>0.0</v>
      </c>
      <c r="H250" s="13">
        <f>IF(B250=1,COST_YR_RUNG1,COST_YR_RUNG2)</f>
        <v>152394.16214437486</v>
      </c>
      <c r="I250" s="13">
        <f>E250-H250</f>
        <v>-152394.16214437486</v>
      </c>
      <c r="J250" s="13">
        <f>J249+I250</f>
        <v>740006.7407561198</v>
      </c>
      <c r="K250">
        <f>IF(J250=MAX($J$4:$J$404),A250,0)</f>
        <v>0</v>
      </c>
      <c r="L250">
        <f>IF(E250&lt;H250,A250,B_MAX+1)</f>
        <v>246</v>
      </c>
      <c r="M250" s="13">
        <f>IF(B250=1,GRANT_RUNG1,GRANT_RUNG2)</f>
        <v>0</v>
      </c>
      <c r="N250" s="13">
        <f>OCC_DAYS*MCD_SHARE_BED*R_NF_2023-D250*MCD_SHARE_FREED*R_WAIT_2023</f>
        <v>151980.48282209205</v>
      </c>
      <c r="O250">
        <f>IF(A250&lt;=BEDS,1,0)</f>
        <v>0</v>
      </c>
    </row>
    <row r="251">
      <c r="A251" t="n">
        <v>247</v>
      </c>
      <c r="B251">
        <f>IF(COST_YR_RUNG1&lt;=COST_YR_RUNG2,IF(A251&lt;=RUNG_BEDS_1,1,2),IF(A251&lt;=RUNG_BEDS_2,2,1))</f>
        <v>1</v>
      </c>
      <c r="C251" s="5">
        <f>MIN(1,MAX(0,POOL_BEDS-(A251-1)))</f>
        <v>0</v>
      </c>
      <c r="D251" s="5">
        <f>FREED*(C251+(1-C251)*PAST_POOL_PCT)</f>
        <v>0.0</v>
      </c>
      <c r="E251" s="13">
        <f>D251*(C_AVOID+ACUTE_MARGIN)</f>
        <v>0.0</v>
      </c>
      <c r="F251" s="13">
        <f>D251*(RANGE_LO+ACUTE_MARGIN)</f>
        <v>0.0</v>
      </c>
      <c r="G251" s="13">
        <f>D251*(RANGE_HI+ACUTE_MARGIN)</f>
        <v>0.0</v>
      </c>
      <c r="H251" s="13">
        <f>IF(B251=1,COST_YR_RUNG1,COST_YR_RUNG2)</f>
        <v>152394.16214437486</v>
      </c>
      <c r="I251" s="13">
        <f>E251-H251</f>
        <v>-152394.16214437486</v>
      </c>
      <c r="J251" s="13">
        <f>J250+I251</f>
        <v>587612.578611745</v>
      </c>
      <c r="K251">
        <f>IF(J251=MAX($J$4:$J$404),A251,0)</f>
        <v>0</v>
      </c>
      <c r="L251">
        <f>IF(E251&lt;H251,A251,B_MAX+1)</f>
        <v>247</v>
      </c>
      <c r="M251" s="13">
        <f>IF(B251=1,GRANT_RUNG1,GRANT_RUNG2)</f>
        <v>0</v>
      </c>
      <c r="N251" s="13">
        <f>OCC_DAYS*MCD_SHARE_BED*R_NF_2023-D251*MCD_SHARE_FREED*R_WAIT_2023</f>
        <v>151980.48282209205</v>
      </c>
      <c r="O251">
        <f>IF(A251&lt;=BEDS,1,0)</f>
        <v>0</v>
      </c>
    </row>
    <row r="252">
      <c r="A252" t="n">
        <v>248</v>
      </c>
      <c r="B252">
        <f>IF(COST_YR_RUNG1&lt;=COST_YR_RUNG2,IF(A252&lt;=RUNG_BEDS_1,1,2),IF(A252&lt;=RUNG_BEDS_2,2,1))</f>
        <v>1</v>
      </c>
      <c r="C252" s="5">
        <f>MIN(1,MAX(0,POOL_BEDS-(A252-1)))</f>
        <v>0</v>
      </c>
      <c r="D252" s="5">
        <f>FREED*(C252+(1-C252)*PAST_POOL_PCT)</f>
        <v>0.0</v>
      </c>
      <c r="E252" s="13">
        <f>D252*(C_AVOID+ACUTE_MARGIN)</f>
        <v>0.0</v>
      </c>
      <c r="F252" s="13">
        <f>D252*(RANGE_LO+ACUTE_MARGIN)</f>
        <v>0.0</v>
      </c>
      <c r="G252" s="13">
        <f>D252*(RANGE_HI+ACUTE_MARGIN)</f>
        <v>0.0</v>
      </c>
      <c r="H252" s="13">
        <f>IF(B252=1,COST_YR_RUNG1,COST_YR_RUNG2)</f>
        <v>152394.16214437486</v>
      </c>
      <c r="I252" s="13">
        <f>E252-H252</f>
        <v>-152394.16214437486</v>
      </c>
      <c r="J252" s="13">
        <f>J251+I252</f>
        <v>435218.4164673702</v>
      </c>
      <c r="K252">
        <f>IF(J252=MAX($J$4:$J$404),A252,0)</f>
        <v>0</v>
      </c>
      <c r="L252">
        <f>IF(E252&lt;H252,A252,B_MAX+1)</f>
        <v>248</v>
      </c>
      <c r="M252" s="13">
        <f>IF(B252=1,GRANT_RUNG1,GRANT_RUNG2)</f>
        <v>0</v>
      </c>
      <c r="N252" s="13">
        <f>OCC_DAYS*MCD_SHARE_BED*R_NF_2023-D252*MCD_SHARE_FREED*R_WAIT_2023</f>
        <v>151980.48282209205</v>
      </c>
      <c r="O252">
        <f>IF(A252&lt;=BEDS,1,0)</f>
        <v>0</v>
      </c>
    </row>
    <row r="253">
      <c r="A253" t="n">
        <v>249</v>
      </c>
      <c r="B253">
        <f>IF(COST_YR_RUNG1&lt;=COST_YR_RUNG2,IF(A253&lt;=RUNG_BEDS_1,1,2),IF(A253&lt;=RUNG_BEDS_2,2,1))</f>
        <v>1</v>
      </c>
      <c r="C253" s="5">
        <f>MIN(1,MAX(0,POOL_BEDS-(A253-1)))</f>
        <v>0</v>
      </c>
      <c r="D253" s="5">
        <f>FREED*(C253+(1-C253)*PAST_POOL_PCT)</f>
        <v>0.0</v>
      </c>
      <c r="E253" s="13">
        <f>D253*(C_AVOID+ACUTE_MARGIN)</f>
        <v>0.0</v>
      </c>
      <c r="F253" s="13">
        <f>D253*(RANGE_LO+ACUTE_MARGIN)</f>
        <v>0.0</v>
      </c>
      <c r="G253" s="13">
        <f>D253*(RANGE_HI+ACUTE_MARGIN)</f>
        <v>0.0</v>
      </c>
      <c r="H253" s="13">
        <f>IF(B253=1,COST_YR_RUNG1,COST_YR_RUNG2)</f>
        <v>152394.16214437486</v>
      </c>
      <c r="I253" s="13">
        <f>E253-H253</f>
        <v>-152394.16214437486</v>
      </c>
      <c r="J253" s="13">
        <f>J252+I253</f>
        <v>282824.2543229953</v>
      </c>
      <c r="K253">
        <f>IF(J253=MAX($J$4:$J$404),A253,0)</f>
        <v>0</v>
      </c>
      <c r="L253">
        <f>IF(E253&lt;H253,A253,B_MAX+1)</f>
        <v>249</v>
      </c>
      <c r="M253" s="13">
        <f>IF(B253=1,GRANT_RUNG1,GRANT_RUNG2)</f>
        <v>0</v>
      </c>
      <c r="N253" s="13">
        <f>OCC_DAYS*MCD_SHARE_BED*R_NF_2023-D253*MCD_SHARE_FREED*R_WAIT_2023</f>
        <v>151980.48282209205</v>
      </c>
      <c r="O253">
        <f>IF(A253&lt;=BEDS,1,0)</f>
        <v>0</v>
      </c>
    </row>
    <row r="254">
      <c r="A254" t="n">
        <v>250</v>
      </c>
      <c r="B254">
        <f>IF(COST_YR_RUNG1&lt;=COST_YR_RUNG2,IF(A254&lt;=RUNG_BEDS_1,1,2),IF(A254&lt;=RUNG_BEDS_2,2,1))</f>
        <v>1</v>
      </c>
      <c r="C254" s="5">
        <f>MIN(1,MAX(0,POOL_BEDS-(A254-1)))</f>
        <v>0</v>
      </c>
      <c r="D254" s="5">
        <f>FREED*(C254+(1-C254)*PAST_POOL_PCT)</f>
        <v>0.0</v>
      </c>
      <c r="E254" s="13">
        <f>D254*(C_AVOID+ACUTE_MARGIN)</f>
        <v>0.0</v>
      </c>
      <c r="F254" s="13">
        <f>D254*(RANGE_LO+ACUTE_MARGIN)</f>
        <v>0.0</v>
      </c>
      <c r="G254" s="13">
        <f>D254*(RANGE_HI+ACUTE_MARGIN)</f>
        <v>0.0</v>
      </c>
      <c r="H254" s="13">
        <f>IF(B254=1,COST_YR_RUNG1,COST_YR_RUNG2)</f>
        <v>152394.16214437486</v>
      </c>
      <c r="I254" s="13">
        <f>E254-H254</f>
        <v>-152394.16214437486</v>
      </c>
      <c r="J254" s="13">
        <f>J253+I254</f>
        <v>130430.09217862046</v>
      </c>
      <c r="K254">
        <f>IF(J254=MAX($J$4:$J$404),A254,0)</f>
        <v>0</v>
      </c>
      <c r="L254">
        <f>IF(E254&lt;H254,A254,B_MAX+1)</f>
        <v>250</v>
      </c>
      <c r="M254" s="13">
        <f>IF(B254=1,GRANT_RUNG1,GRANT_RUNG2)</f>
        <v>0</v>
      </c>
      <c r="N254" s="13">
        <f>OCC_DAYS*MCD_SHARE_BED*R_NF_2023-D254*MCD_SHARE_FREED*R_WAIT_2023</f>
        <v>151980.48282209205</v>
      </c>
      <c r="O254">
        <f>IF(A254&lt;=BEDS,1,0)</f>
        <v>0</v>
      </c>
    </row>
    <row r="255">
      <c r="A255" t="n">
        <v>251</v>
      </c>
      <c r="B255">
        <f>IF(COST_YR_RUNG1&lt;=COST_YR_RUNG2,IF(A255&lt;=RUNG_BEDS_1,1,2),IF(A255&lt;=RUNG_BEDS_2,2,1))</f>
        <v>1</v>
      </c>
      <c r="C255" s="5">
        <f>MIN(1,MAX(0,POOL_BEDS-(A255-1)))</f>
        <v>0</v>
      </c>
      <c r="D255" s="5">
        <f>FREED*(C255+(1-C255)*PAST_POOL_PCT)</f>
        <v>0.0</v>
      </c>
      <c r="E255" s="13">
        <f>D255*(C_AVOID+ACUTE_MARGIN)</f>
        <v>0.0</v>
      </c>
      <c r="F255" s="13">
        <f>D255*(RANGE_LO+ACUTE_MARGIN)</f>
        <v>0.0</v>
      </c>
      <c r="G255" s="13">
        <f>D255*(RANGE_HI+ACUTE_MARGIN)</f>
        <v>0.0</v>
      </c>
      <c r="H255" s="13">
        <f>IF(B255=1,COST_YR_RUNG1,COST_YR_RUNG2)</f>
        <v>152394.16214437486</v>
      </c>
      <c r="I255" s="13">
        <f>E255-H255</f>
        <v>-152394.16214437486</v>
      </c>
      <c r="J255" s="13">
        <f>J254+I255</f>
        <v>-21964.069965754403</v>
      </c>
      <c r="K255">
        <f>IF(J255=MAX($J$4:$J$404),A255,0)</f>
        <v>0</v>
      </c>
      <c r="L255">
        <f>IF(E255&lt;H255,A255,B_MAX+1)</f>
        <v>251</v>
      </c>
      <c r="M255" s="13">
        <f>IF(B255=1,GRANT_RUNG1,GRANT_RUNG2)</f>
        <v>0</v>
      </c>
      <c r="N255" s="13">
        <f>OCC_DAYS*MCD_SHARE_BED*R_NF_2023-D255*MCD_SHARE_FREED*R_WAIT_2023</f>
        <v>151980.48282209205</v>
      </c>
      <c r="O255">
        <f>IF(A255&lt;=BEDS,1,0)</f>
        <v>0</v>
      </c>
    </row>
    <row r="256">
      <c r="A256" t="n">
        <v>252</v>
      </c>
      <c r="B256">
        <f>IF(COST_YR_RUNG1&lt;=COST_YR_RUNG2,IF(A256&lt;=RUNG_BEDS_1,1,2),IF(A256&lt;=RUNG_BEDS_2,2,1))</f>
        <v>1</v>
      </c>
      <c r="C256" s="5">
        <f>MIN(1,MAX(0,POOL_BEDS-(A256-1)))</f>
        <v>0</v>
      </c>
      <c r="D256" s="5">
        <f>FREED*(C256+(1-C256)*PAST_POOL_PCT)</f>
        <v>0.0</v>
      </c>
      <c r="E256" s="13">
        <f>D256*(C_AVOID+ACUTE_MARGIN)</f>
        <v>0.0</v>
      </c>
      <c r="F256" s="13">
        <f>D256*(RANGE_LO+ACUTE_MARGIN)</f>
        <v>0.0</v>
      </c>
      <c r="G256" s="13">
        <f>D256*(RANGE_HI+ACUTE_MARGIN)</f>
        <v>0.0</v>
      </c>
      <c r="H256" s="13">
        <f>IF(B256=1,COST_YR_RUNG1,COST_YR_RUNG2)</f>
        <v>152394.16214437486</v>
      </c>
      <c r="I256" s="13">
        <f>E256-H256</f>
        <v>-152394.16214437486</v>
      </c>
      <c r="J256" s="13">
        <f>J255+I256</f>
        <v>-174358.23211012926</v>
      </c>
      <c r="K256">
        <f>IF(J256=MAX($J$4:$J$404),A256,0)</f>
        <v>0</v>
      </c>
      <c r="L256">
        <f>IF(E256&lt;H256,A256,B_MAX+1)</f>
        <v>252</v>
      </c>
      <c r="M256" s="13">
        <f>IF(B256=1,GRANT_RUNG1,GRANT_RUNG2)</f>
        <v>0</v>
      </c>
      <c r="N256" s="13">
        <f>OCC_DAYS*MCD_SHARE_BED*R_NF_2023-D256*MCD_SHARE_FREED*R_WAIT_2023</f>
        <v>151980.48282209205</v>
      </c>
      <c r="O256">
        <f>IF(A256&lt;=BEDS,1,0)</f>
        <v>0</v>
      </c>
    </row>
    <row r="257">
      <c r="A257" t="n">
        <v>253</v>
      </c>
      <c r="B257">
        <f>IF(COST_YR_RUNG1&lt;=COST_YR_RUNG2,IF(A257&lt;=RUNG_BEDS_1,1,2),IF(A257&lt;=RUNG_BEDS_2,2,1))</f>
        <v>1</v>
      </c>
      <c r="C257" s="5">
        <f>MIN(1,MAX(0,POOL_BEDS-(A257-1)))</f>
        <v>0</v>
      </c>
      <c r="D257" s="5">
        <f>FREED*(C257+(1-C257)*PAST_POOL_PCT)</f>
        <v>0.0</v>
      </c>
      <c r="E257" s="13">
        <f>D257*(C_AVOID+ACUTE_MARGIN)</f>
        <v>0.0</v>
      </c>
      <c r="F257" s="13">
        <f>D257*(RANGE_LO+ACUTE_MARGIN)</f>
        <v>0.0</v>
      </c>
      <c r="G257" s="13">
        <f>D257*(RANGE_HI+ACUTE_MARGIN)</f>
        <v>0.0</v>
      </c>
      <c r="H257" s="13">
        <f>IF(B257=1,COST_YR_RUNG1,COST_YR_RUNG2)</f>
        <v>152394.16214437486</v>
      </c>
      <c r="I257" s="13">
        <f>E257-H257</f>
        <v>-152394.16214437486</v>
      </c>
      <c r="J257" s="13">
        <f>J256+I257</f>
        <v>-326752.3942545041</v>
      </c>
      <c r="K257">
        <f>IF(J257=MAX($J$4:$J$404),A257,0)</f>
        <v>0</v>
      </c>
      <c r="L257">
        <f>IF(E257&lt;H257,A257,B_MAX+1)</f>
        <v>253</v>
      </c>
      <c r="M257" s="13">
        <f>IF(B257=1,GRANT_RUNG1,GRANT_RUNG2)</f>
        <v>0</v>
      </c>
      <c r="N257" s="13">
        <f>OCC_DAYS*MCD_SHARE_BED*R_NF_2023-D257*MCD_SHARE_FREED*R_WAIT_2023</f>
        <v>151980.48282209205</v>
      </c>
      <c r="O257">
        <f>IF(A257&lt;=BEDS,1,0)</f>
        <v>0</v>
      </c>
    </row>
    <row r="258">
      <c r="A258" t="n">
        <v>254</v>
      </c>
      <c r="B258">
        <f>IF(COST_YR_RUNG1&lt;=COST_YR_RUNG2,IF(A258&lt;=RUNG_BEDS_1,1,2),IF(A258&lt;=RUNG_BEDS_2,2,1))</f>
        <v>1</v>
      </c>
      <c r="C258" s="5">
        <f>MIN(1,MAX(0,POOL_BEDS-(A258-1)))</f>
        <v>0</v>
      </c>
      <c r="D258" s="5">
        <f>FREED*(C258+(1-C258)*PAST_POOL_PCT)</f>
        <v>0.0</v>
      </c>
      <c r="E258" s="13">
        <f>D258*(C_AVOID+ACUTE_MARGIN)</f>
        <v>0.0</v>
      </c>
      <c r="F258" s="13">
        <f>D258*(RANGE_LO+ACUTE_MARGIN)</f>
        <v>0.0</v>
      </c>
      <c r="G258" s="13">
        <f>D258*(RANGE_HI+ACUTE_MARGIN)</f>
        <v>0.0</v>
      </c>
      <c r="H258" s="13">
        <f>IF(B258=1,COST_YR_RUNG1,COST_YR_RUNG2)</f>
        <v>152394.16214437486</v>
      </c>
      <c r="I258" s="13">
        <f>E258-H258</f>
        <v>-152394.16214437486</v>
      </c>
      <c r="J258" s="13">
        <f>J257+I258</f>
        <v>-479146.556398879</v>
      </c>
      <c r="K258">
        <f>IF(J258=MAX($J$4:$J$404),A258,0)</f>
        <v>0</v>
      </c>
      <c r="L258">
        <f>IF(E258&lt;H258,A258,B_MAX+1)</f>
        <v>254</v>
      </c>
      <c r="M258" s="13">
        <f>IF(B258=1,GRANT_RUNG1,GRANT_RUNG2)</f>
        <v>0</v>
      </c>
      <c r="N258" s="13">
        <f>OCC_DAYS*MCD_SHARE_BED*R_NF_2023-D258*MCD_SHARE_FREED*R_WAIT_2023</f>
        <v>151980.48282209205</v>
      </c>
      <c r="O258">
        <f>IF(A258&lt;=BEDS,1,0)</f>
        <v>0</v>
      </c>
    </row>
    <row r="259">
      <c r="A259" t="n">
        <v>255</v>
      </c>
      <c r="B259">
        <f>IF(COST_YR_RUNG1&lt;=COST_YR_RUNG2,IF(A259&lt;=RUNG_BEDS_1,1,2),IF(A259&lt;=RUNG_BEDS_2,2,1))</f>
        <v>1</v>
      </c>
      <c r="C259" s="5">
        <f>MIN(1,MAX(0,POOL_BEDS-(A259-1)))</f>
        <v>0</v>
      </c>
      <c r="D259" s="5">
        <f>FREED*(C259+(1-C259)*PAST_POOL_PCT)</f>
        <v>0.0</v>
      </c>
      <c r="E259" s="13">
        <f>D259*(C_AVOID+ACUTE_MARGIN)</f>
        <v>0.0</v>
      </c>
      <c r="F259" s="13">
        <f>D259*(RANGE_LO+ACUTE_MARGIN)</f>
        <v>0.0</v>
      </c>
      <c r="G259" s="13">
        <f>D259*(RANGE_HI+ACUTE_MARGIN)</f>
        <v>0.0</v>
      </c>
      <c r="H259" s="13">
        <f>IF(B259=1,COST_YR_RUNG1,COST_YR_RUNG2)</f>
        <v>152394.16214437486</v>
      </c>
      <c r="I259" s="13">
        <f>E259-H259</f>
        <v>-152394.16214437486</v>
      </c>
      <c r="J259" s="13">
        <f>J258+I259</f>
        <v>-631540.7185432538</v>
      </c>
      <c r="K259">
        <f>IF(J259=MAX($J$4:$J$404),A259,0)</f>
        <v>0</v>
      </c>
      <c r="L259">
        <f>IF(E259&lt;H259,A259,B_MAX+1)</f>
        <v>255</v>
      </c>
      <c r="M259" s="13">
        <f>IF(B259=1,GRANT_RUNG1,GRANT_RUNG2)</f>
        <v>0</v>
      </c>
      <c r="N259" s="13">
        <f>OCC_DAYS*MCD_SHARE_BED*R_NF_2023-D259*MCD_SHARE_FREED*R_WAIT_2023</f>
        <v>151980.48282209205</v>
      </c>
      <c r="O259">
        <f>IF(A259&lt;=BEDS,1,0)</f>
        <v>0</v>
      </c>
    </row>
    <row r="260">
      <c r="A260" t="n">
        <v>256</v>
      </c>
      <c r="B260">
        <f>IF(COST_YR_RUNG1&lt;=COST_YR_RUNG2,IF(A260&lt;=RUNG_BEDS_1,1,2),IF(A260&lt;=RUNG_BEDS_2,2,1))</f>
        <v>1</v>
      </c>
      <c r="C260" s="5">
        <f>MIN(1,MAX(0,POOL_BEDS-(A260-1)))</f>
        <v>0</v>
      </c>
      <c r="D260" s="5">
        <f>FREED*(C260+(1-C260)*PAST_POOL_PCT)</f>
        <v>0.0</v>
      </c>
      <c r="E260" s="13">
        <f>D260*(C_AVOID+ACUTE_MARGIN)</f>
        <v>0.0</v>
      </c>
      <c r="F260" s="13">
        <f>D260*(RANGE_LO+ACUTE_MARGIN)</f>
        <v>0.0</v>
      </c>
      <c r="G260" s="13">
        <f>D260*(RANGE_HI+ACUTE_MARGIN)</f>
        <v>0.0</v>
      </c>
      <c r="H260" s="13">
        <f>IF(B260=1,COST_YR_RUNG1,COST_YR_RUNG2)</f>
        <v>152394.16214437486</v>
      </c>
      <c r="I260" s="13">
        <f>E260-H260</f>
        <v>-152394.16214437486</v>
      </c>
      <c r="J260" s="13">
        <f>J259+I260</f>
        <v>-783934.8806876286</v>
      </c>
      <c r="K260">
        <f>IF(J260=MAX($J$4:$J$404),A260,0)</f>
        <v>0</v>
      </c>
      <c r="L260">
        <f>IF(E260&lt;H260,A260,B_MAX+1)</f>
        <v>256</v>
      </c>
      <c r="M260" s="13">
        <f>IF(B260=1,GRANT_RUNG1,GRANT_RUNG2)</f>
        <v>0</v>
      </c>
      <c r="N260" s="13">
        <f>OCC_DAYS*MCD_SHARE_BED*R_NF_2023-D260*MCD_SHARE_FREED*R_WAIT_2023</f>
        <v>151980.48282209205</v>
      </c>
      <c r="O260">
        <f>IF(A260&lt;=BEDS,1,0)</f>
        <v>0</v>
      </c>
    </row>
    <row r="261">
      <c r="A261" t="n">
        <v>257</v>
      </c>
      <c r="B261">
        <f>IF(COST_YR_RUNG1&lt;=COST_YR_RUNG2,IF(A261&lt;=RUNG_BEDS_1,1,2),IF(A261&lt;=RUNG_BEDS_2,2,1))</f>
        <v>1</v>
      </c>
      <c r="C261" s="5">
        <f>MIN(1,MAX(0,POOL_BEDS-(A261-1)))</f>
        <v>0</v>
      </c>
      <c r="D261" s="5">
        <f>FREED*(C261+(1-C261)*PAST_POOL_PCT)</f>
        <v>0.0</v>
      </c>
      <c r="E261" s="13">
        <f>D261*(C_AVOID+ACUTE_MARGIN)</f>
        <v>0.0</v>
      </c>
      <c r="F261" s="13">
        <f>D261*(RANGE_LO+ACUTE_MARGIN)</f>
        <v>0.0</v>
      </c>
      <c r="G261" s="13">
        <f>D261*(RANGE_HI+ACUTE_MARGIN)</f>
        <v>0.0</v>
      </c>
      <c r="H261" s="13">
        <f>IF(B261=1,COST_YR_RUNG1,COST_YR_RUNG2)</f>
        <v>152394.16214437486</v>
      </c>
      <c r="I261" s="13">
        <f>E261-H261</f>
        <v>-152394.16214437486</v>
      </c>
      <c r="J261" s="13">
        <f>J260+I261</f>
        <v>-936329.0428320034</v>
      </c>
      <c r="K261">
        <f>IF(J261=MAX($J$4:$J$404),A261,0)</f>
        <v>0</v>
      </c>
      <c r="L261">
        <f>IF(E261&lt;H261,A261,B_MAX+1)</f>
        <v>257</v>
      </c>
      <c r="M261" s="13">
        <f>IF(B261=1,GRANT_RUNG1,GRANT_RUNG2)</f>
        <v>0</v>
      </c>
      <c r="N261" s="13">
        <f>OCC_DAYS*MCD_SHARE_BED*R_NF_2023-D261*MCD_SHARE_FREED*R_WAIT_2023</f>
        <v>151980.48282209205</v>
      </c>
      <c r="O261">
        <f>IF(A261&lt;=BEDS,1,0)</f>
        <v>0</v>
      </c>
    </row>
    <row r="262">
      <c r="A262" t="n">
        <v>258</v>
      </c>
      <c r="B262">
        <f>IF(COST_YR_RUNG1&lt;=COST_YR_RUNG2,IF(A262&lt;=RUNG_BEDS_1,1,2),IF(A262&lt;=RUNG_BEDS_2,2,1))</f>
        <v>1</v>
      </c>
      <c r="C262" s="5">
        <f>MIN(1,MAX(0,POOL_BEDS-(A262-1)))</f>
        <v>0</v>
      </c>
      <c r="D262" s="5">
        <f>FREED*(C262+(1-C262)*PAST_POOL_PCT)</f>
        <v>0.0</v>
      </c>
      <c r="E262" s="13">
        <f>D262*(C_AVOID+ACUTE_MARGIN)</f>
        <v>0.0</v>
      </c>
      <c r="F262" s="13">
        <f>D262*(RANGE_LO+ACUTE_MARGIN)</f>
        <v>0.0</v>
      </c>
      <c r="G262" s="13">
        <f>D262*(RANGE_HI+ACUTE_MARGIN)</f>
        <v>0.0</v>
      </c>
      <c r="H262" s="13">
        <f>IF(B262=1,COST_YR_RUNG1,COST_YR_RUNG2)</f>
        <v>152394.16214437486</v>
      </c>
      <c r="I262" s="13">
        <f>E262-H262</f>
        <v>-152394.16214437486</v>
      </c>
      <c r="J262" s="13">
        <f>J261+I262</f>
        <v>-1088723.2049763782</v>
      </c>
      <c r="K262">
        <f>IF(J262=MAX($J$4:$J$404),A262,0)</f>
        <v>0</v>
      </c>
      <c r="L262">
        <f>IF(E262&lt;H262,A262,B_MAX+1)</f>
        <v>258</v>
      </c>
      <c r="M262" s="13">
        <f>IF(B262=1,GRANT_RUNG1,GRANT_RUNG2)</f>
        <v>0</v>
      </c>
      <c r="N262" s="13">
        <f>OCC_DAYS*MCD_SHARE_BED*R_NF_2023-D262*MCD_SHARE_FREED*R_WAIT_2023</f>
        <v>151980.48282209205</v>
      </c>
      <c r="O262">
        <f>IF(A262&lt;=BEDS,1,0)</f>
        <v>0</v>
      </c>
    </row>
    <row r="263">
      <c r="A263" t="n">
        <v>259</v>
      </c>
      <c r="B263">
        <f>IF(COST_YR_RUNG1&lt;=COST_YR_RUNG2,IF(A263&lt;=RUNG_BEDS_1,1,2),IF(A263&lt;=RUNG_BEDS_2,2,1))</f>
        <v>1</v>
      </c>
      <c r="C263" s="5">
        <f>MIN(1,MAX(0,POOL_BEDS-(A263-1)))</f>
        <v>0</v>
      </c>
      <c r="D263" s="5">
        <f>FREED*(C263+(1-C263)*PAST_POOL_PCT)</f>
        <v>0.0</v>
      </c>
      <c r="E263" s="13">
        <f>D263*(C_AVOID+ACUTE_MARGIN)</f>
        <v>0.0</v>
      </c>
      <c r="F263" s="13">
        <f>D263*(RANGE_LO+ACUTE_MARGIN)</f>
        <v>0.0</v>
      </c>
      <c r="G263" s="13">
        <f>D263*(RANGE_HI+ACUTE_MARGIN)</f>
        <v>0.0</v>
      </c>
      <c r="H263" s="13">
        <f>IF(B263=1,COST_YR_RUNG1,COST_YR_RUNG2)</f>
        <v>152394.16214437486</v>
      </c>
      <c r="I263" s="13">
        <f>E263-H263</f>
        <v>-152394.16214437486</v>
      </c>
      <c r="J263" s="13">
        <f>J262+I263</f>
        <v>-1241117.367120753</v>
      </c>
      <c r="K263">
        <f>IF(J263=MAX($J$4:$J$404),A263,0)</f>
        <v>0</v>
      </c>
      <c r="L263">
        <f>IF(E263&lt;H263,A263,B_MAX+1)</f>
        <v>259</v>
      </c>
      <c r="M263" s="13">
        <f>IF(B263=1,GRANT_RUNG1,GRANT_RUNG2)</f>
        <v>0</v>
      </c>
      <c r="N263" s="13">
        <f>OCC_DAYS*MCD_SHARE_BED*R_NF_2023-D263*MCD_SHARE_FREED*R_WAIT_2023</f>
        <v>151980.48282209205</v>
      </c>
      <c r="O263">
        <f>IF(A263&lt;=BEDS,1,0)</f>
        <v>0</v>
      </c>
    </row>
    <row r="264">
      <c r="A264" t="n">
        <v>260</v>
      </c>
      <c r="B264">
        <f>IF(COST_YR_RUNG1&lt;=COST_YR_RUNG2,IF(A264&lt;=RUNG_BEDS_1,1,2),IF(A264&lt;=RUNG_BEDS_2,2,1))</f>
        <v>1</v>
      </c>
      <c r="C264" s="5">
        <f>MIN(1,MAX(0,POOL_BEDS-(A264-1)))</f>
        <v>0</v>
      </c>
      <c r="D264" s="5">
        <f>FREED*(C264+(1-C264)*PAST_POOL_PCT)</f>
        <v>0.0</v>
      </c>
      <c r="E264" s="13">
        <f>D264*(C_AVOID+ACUTE_MARGIN)</f>
        <v>0.0</v>
      </c>
      <c r="F264" s="13">
        <f>D264*(RANGE_LO+ACUTE_MARGIN)</f>
        <v>0.0</v>
      </c>
      <c r="G264" s="13">
        <f>D264*(RANGE_HI+ACUTE_MARGIN)</f>
        <v>0.0</v>
      </c>
      <c r="H264" s="13">
        <f>IF(B264=1,COST_YR_RUNG1,COST_YR_RUNG2)</f>
        <v>152394.16214437486</v>
      </c>
      <c r="I264" s="13">
        <f>E264-H264</f>
        <v>-152394.16214437486</v>
      </c>
      <c r="J264" s="13">
        <f>J263+I264</f>
        <v>-1393511.5292651278</v>
      </c>
      <c r="K264">
        <f>IF(J264=MAX($J$4:$J$404),A264,0)</f>
        <v>0</v>
      </c>
      <c r="L264">
        <f>IF(E264&lt;H264,A264,B_MAX+1)</f>
        <v>260</v>
      </c>
      <c r="M264" s="13">
        <f>IF(B264=1,GRANT_RUNG1,GRANT_RUNG2)</f>
        <v>0</v>
      </c>
      <c r="N264" s="13">
        <f>OCC_DAYS*MCD_SHARE_BED*R_NF_2023-D264*MCD_SHARE_FREED*R_WAIT_2023</f>
        <v>151980.48282209205</v>
      </c>
      <c r="O264">
        <f>IF(A264&lt;=BEDS,1,0)</f>
        <v>0</v>
      </c>
    </row>
    <row r="265">
      <c r="A265" t="n">
        <v>261</v>
      </c>
      <c r="B265">
        <f>IF(COST_YR_RUNG1&lt;=COST_YR_RUNG2,IF(A265&lt;=RUNG_BEDS_1,1,2),IF(A265&lt;=RUNG_BEDS_2,2,1))</f>
        <v>1</v>
      </c>
      <c r="C265" s="5">
        <f>MIN(1,MAX(0,POOL_BEDS-(A265-1)))</f>
        <v>0</v>
      </c>
      <c r="D265" s="5">
        <f>FREED*(C265+(1-C265)*PAST_POOL_PCT)</f>
        <v>0.0</v>
      </c>
      <c r="E265" s="13">
        <f>D265*(C_AVOID+ACUTE_MARGIN)</f>
        <v>0.0</v>
      </c>
      <c r="F265" s="13">
        <f>D265*(RANGE_LO+ACUTE_MARGIN)</f>
        <v>0.0</v>
      </c>
      <c r="G265" s="13">
        <f>D265*(RANGE_HI+ACUTE_MARGIN)</f>
        <v>0.0</v>
      </c>
      <c r="H265" s="13">
        <f>IF(B265=1,COST_YR_RUNG1,COST_YR_RUNG2)</f>
        <v>152394.16214437486</v>
      </c>
      <c r="I265" s="13">
        <f>E265-H265</f>
        <v>-152394.16214437486</v>
      </c>
      <c r="J265" s="13">
        <f>J264+I265</f>
        <v>-1545905.6914095026</v>
      </c>
      <c r="K265">
        <f>IF(J265=MAX($J$4:$J$404),A265,0)</f>
        <v>0</v>
      </c>
      <c r="L265">
        <f>IF(E265&lt;H265,A265,B_MAX+1)</f>
        <v>261</v>
      </c>
      <c r="M265" s="13">
        <f>IF(B265=1,GRANT_RUNG1,GRANT_RUNG2)</f>
        <v>0</v>
      </c>
      <c r="N265" s="13">
        <f>OCC_DAYS*MCD_SHARE_BED*R_NF_2023-D265*MCD_SHARE_FREED*R_WAIT_2023</f>
        <v>151980.48282209205</v>
      </c>
      <c r="O265">
        <f>IF(A265&lt;=BEDS,1,0)</f>
        <v>0</v>
      </c>
    </row>
    <row r="266">
      <c r="A266" t="n">
        <v>262</v>
      </c>
      <c r="B266">
        <f>IF(COST_YR_RUNG1&lt;=COST_YR_RUNG2,IF(A266&lt;=RUNG_BEDS_1,1,2),IF(A266&lt;=RUNG_BEDS_2,2,1))</f>
        <v>1</v>
      </c>
      <c r="C266" s="5">
        <f>MIN(1,MAX(0,POOL_BEDS-(A266-1)))</f>
        <v>0</v>
      </c>
      <c r="D266" s="5">
        <f>FREED*(C266+(1-C266)*PAST_POOL_PCT)</f>
        <v>0.0</v>
      </c>
      <c r="E266" s="13">
        <f>D266*(C_AVOID+ACUTE_MARGIN)</f>
        <v>0.0</v>
      </c>
      <c r="F266" s="13">
        <f>D266*(RANGE_LO+ACUTE_MARGIN)</f>
        <v>0.0</v>
      </c>
      <c r="G266" s="13">
        <f>D266*(RANGE_HI+ACUTE_MARGIN)</f>
        <v>0.0</v>
      </c>
      <c r="H266" s="13">
        <f>IF(B266=1,COST_YR_RUNG1,COST_YR_RUNG2)</f>
        <v>152394.16214437486</v>
      </c>
      <c r="I266" s="13">
        <f>E266-H266</f>
        <v>-152394.16214437486</v>
      </c>
      <c r="J266" s="13">
        <f>J265+I266</f>
        <v>-1698299.8535538774</v>
      </c>
      <c r="K266">
        <f>IF(J266=MAX($J$4:$J$404),A266,0)</f>
        <v>0</v>
      </c>
      <c r="L266">
        <f>IF(E266&lt;H266,A266,B_MAX+1)</f>
        <v>262</v>
      </c>
      <c r="M266" s="13">
        <f>IF(B266=1,GRANT_RUNG1,GRANT_RUNG2)</f>
        <v>0</v>
      </c>
      <c r="N266" s="13">
        <f>OCC_DAYS*MCD_SHARE_BED*R_NF_2023-D266*MCD_SHARE_FREED*R_WAIT_2023</f>
        <v>151980.48282209205</v>
      </c>
      <c r="O266">
        <f>IF(A266&lt;=BEDS,1,0)</f>
        <v>0</v>
      </c>
    </row>
    <row r="267">
      <c r="A267" t="n">
        <v>263</v>
      </c>
      <c r="B267">
        <f>IF(COST_YR_RUNG1&lt;=COST_YR_RUNG2,IF(A267&lt;=RUNG_BEDS_1,1,2),IF(A267&lt;=RUNG_BEDS_2,2,1))</f>
        <v>1</v>
      </c>
      <c r="C267" s="5">
        <f>MIN(1,MAX(0,POOL_BEDS-(A267-1)))</f>
        <v>0</v>
      </c>
      <c r="D267" s="5">
        <f>FREED*(C267+(1-C267)*PAST_POOL_PCT)</f>
        <v>0.0</v>
      </c>
      <c r="E267" s="13">
        <f>D267*(C_AVOID+ACUTE_MARGIN)</f>
        <v>0.0</v>
      </c>
      <c r="F267" s="13">
        <f>D267*(RANGE_LO+ACUTE_MARGIN)</f>
        <v>0.0</v>
      </c>
      <c r="G267" s="13">
        <f>D267*(RANGE_HI+ACUTE_MARGIN)</f>
        <v>0.0</v>
      </c>
      <c r="H267" s="13">
        <f>IF(B267=1,COST_YR_RUNG1,COST_YR_RUNG2)</f>
        <v>152394.16214437486</v>
      </c>
      <c r="I267" s="13">
        <f>E267-H267</f>
        <v>-152394.16214437486</v>
      </c>
      <c r="J267" s="13">
        <f>J266+I267</f>
        <v>-1850694.0156982522</v>
      </c>
      <c r="K267">
        <f>IF(J267=MAX($J$4:$J$404),A267,0)</f>
        <v>0</v>
      </c>
      <c r="L267">
        <f>IF(E267&lt;H267,A267,B_MAX+1)</f>
        <v>263</v>
      </c>
      <c r="M267" s="13">
        <f>IF(B267=1,GRANT_RUNG1,GRANT_RUNG2)</f>
        <v>0</v>
      </c>
      <c r="N267" s="13">
        <f>OCC_DAYS*MCD_SHARE_BED*R_NF_2023-D267*MCD_SHARE_FREED*R_WAIT_2023</f>
        <v>151980.48282209205</v>
      </c>
      <c r="O267">
        <f>IF(A267&lt;=BEDS,1,0)</f>
        <v>0</v>
      </c>
    </row>
    <row r="268">
      <c r="A268" t="n">
        <v>264</v>
      </c>
      <c r="B268">
        <f>IF(COST_YR_RUNG1&lt;=COST_YR_RUNG2,IF(A268&lt;=RUNG_BEDS_1,1,2),IF(A268&lt;=RUNG_BEDS_2,2,1))</f>
        <v>1</v>
      </c>
      <c r="C268" s="5">
        <f>MIN(1,MAX(0,POOL_BEDS-(A268-1)))</f>
        <v>0</v>
      </c>
      <c r="D268" s="5">
        <f>FREED*(C268+(1-C268)*PAST_POOL_PCT)</f>
        <v>0.0</v>
      </c>
      <c r="E268" s="13">
        <f>D268*(C_AVOID+ACUTE_MARGIN)</f>
        <v>0.0</v>
      </c>
      <c r="F268" s="13">
        <f>D268*(RANGE_LO+ACUTE_MARGIN)</f>
        <v>0.0</v>
      </c>
      <c r="G268" s="13">
        <f>D268*(RANGE_HI+ACUTE_MARGIN)</f>
        <v>0.0</v>
      </c>
      <c r="H268" s="13">
        <f>IF(B268=1,COST_YR_RUNG1,COST_YR_RUNG2)</f>
        <v>152394.16214437486</v>
      </c>
      <c r="I268" s="13">
        <f>E268-H268</f>
        <v>-152394.16214437486</v>
      </c>
      <c r="J268" s="13">
        <f>J267+I268</f>
        <v>-2003088.177842627</v>
      </c>
      <c r="K268">
        <f>IF(J268=MAX($J$4:$J$404),A268,0)</f>
        <v>0</v>
      </c>
      <c r="L268">
        <f>IF(E268&lt;H268,A268,B_MAX+1)</f>
        <v>264</v>
      </c>
      <c r="M268" s="13">
        <f>IF(B268=1,GRANT_RUNG1,GRANT_RUNG2)</f>
        <v>0</v>
      </c>
      <c r="N268" s="13">
        <f>OCC_DAYS*MCD_SHARE_BED*R_NF_2023-D268*MCD_SHARE_FREED*R_WAIT_2023</f>
        <v>151980.48282209205</v>
      </c>
      <c r="O268">
        <f>IF(A268&lt;=BEDS,1,0)</f>
        <v>0</v>
      </c>
    </row>
    <row r="269">
      <c r="A269" t="n">
        <v>265</v>
      </c>
      <c r="B269">
        <f>IF(COST_YR_RUNG1&lt;=COST_YR_RUNG2,IF(A269&lt;=RUNG_BEDS_1,1,2),IF(A269&lt;=RUNG_BEDS_2,2,1))</f>
        <v>1</v>
      </c>
      <c r="C269" s="5">
        <f>MIN(1,MAX(0,POOL_BEDS-(A269-1)))</f>
        <v>0</v>
      </c>
      <c r="D269" s="5">
        <f>FREED*(C269+(1-C269)*PAST_POOL_PCT)</f>
        <v>0.0</v>
      </c>
      <c r="E269" s="13">
        <f>D269*(C_AVOID+ACUTE_MARGIN)</f>
        <v>0.0</v>
      </c>
      <c r="F269" s="13">
        <f>D269*(RANGE_LO+ACUTE_MARGIN)</f>
        <v>0.0</v>
      </c>
      <c r="G269" s="13">
        <f>D269*(RANGE_HI+ACUTE_MARGIN)</f>
        <v>0.0</v>
      </c>
      <c r="H269" s="13">
        <f>IF(B269=1,COST_YR_RUNG1,COST_YR_RUNG2)</f>
        <v>152394.16214437486</v>
      </c>
      <c r="I269" s="13">
        <f>E269-H269</f>
        <v>-152394.16214437486</v>
      </c>
      <c r="J269" s="13">
        <f>J268+I269</f>
        <v>-2155482.339987002</v>
      </c>
      <c r="K269">
        <f>IF(J269=MAX($J$4:$J$404),A269,0)</f>
        <v>0</v>
      </c>
      <c r="L269">
        <f>IF(E269&lt;H269,A269,B_MAX+1)</f>
        <v>265</v>
      </c>
      <c r="M269" s="13">
        <f>IF(B269=1,GRANT_RUNG1,GRANT_RUNG2)</f>
        <v>0</v>
      </c>
      <c r="N269" s="13">
        <f>OCC_DAYS*MCD_SHARE_BED*R_NF_2023-D269*MCD_SHARE_FREED*R_WAIT_2023</f>
        <v>151980.48282209205</v>
      </c>
      <c r="O269">
        <f>IF(A269&lt;=BEDS,1,0)</f>
        <v>0</v>
      </c>
    </row>
    <row r="270">
      <c r="A270" t="n">
        <v>266</v>
      </c>
      <c r="B270">
        <f>IF(COST_YR_RUNG1&lt;=COST_YR_RUNG2,IF(A270&lt;=RUNG_BEDS_1,1,2),IF(A270&lt;=RUNG_BEDS_2,2,1))</f>
        <v>1</v>
      </c>
      <c r="C270" s="5">
        <f>MIN(1,MAX(0,POOL_BEDS-(A270-1)))</f>
        <v>0</v>
      </c>
      <c r="D270" s="5">
        <f>FREED*(C270+(1-C270)*PAST_POOL_PCT)</f>
        <v>0.0</v>
      </c>
      <c r="E270" s="13">
        <f>D270*(C_AVOID+ACUTE_MARGIN)</f>
        <v>0.0</v>
      </c>
      <c r="F270" s="13">
        <f>D270*(RANGE_LO+ACUTE_MARGIN)</f>
        <v>0.0</v>
      </c>
      <c r="G270" s="13">
        <f>D270*(RANGE_HI+ACUTE_MARGIN)</f>
        <v>0.0</v>
      </c>
      <c r="H270" s="13">
        <f>IF(B270=1,COST_YR_RUNG1,COST_YR_RUNG2)</f>
        <v>152394.16214437486</v>
      </c>
      <c r="I270" s="13">
        <f>E270-H270</f>
        <v>-152394.16214437486</v>
      </c>
      <c r="J270" s="13">
        <f>J269+I270</f>
        <v>-2307876.502131377</v>
      </c>
      <c r="K270">
        <f>IF(J270=MAX($J$4:$J$404),A270,0)</f>
        <v>0</v>
      </c>
      <c r="L270">
        <f>IF(E270&lt;H270,A270,B_MAX+1)</f>
        <v>266</v>
      </c>
      <c r="M270" s="13">
        <f>IF(B270=1,GRANT_RUNG1,GRANT_RUNG2)</f>
        <v>0</v>
      </c>
      <c r="N270" s="13">
        <f>OCC_DAYS*MCD_SHARE_BED*R_NF_2023-D270*MCD_SHARE_FREED*R_WAIT_2023</f>
        <v>151980.48282209205</v>
      </c>
      <c r="O270">
        <f>IF(A270&lt;=BEDS,1,0)</f>
        <v>0</v>
      </c>
    </row>
    <row r="271">
      <c r="A271" t="n">
        <v>267</v>
      </c>
      <c r="B271">
        <f>IF(COST_YR_RUNG1&lt;=COST_YR_RUNG2,IF(A271&lt;=RUNG_BEDS_1,1,2),IF(A271&lt;=RUNG_BEDS_2,2,1))</f>
        <v>1</v>
      </c>
      <c r="C271" s="5">
        <f>MIN(1,MAX(0,POOL_BEDS-(A271-1)))</f>
        <v>0</v>
      </c>
      <c r="D271" s="5">
        <f>FREED*(C271+(1-C271)*PAST_POOL_PCT)</f>
        <v>0.0</v>
      </c>
      <c r="E271" s="13">
        <f>D271*(C_AVOID+ACUTE_MARGIN)</f>
        <v>0.0</v>
      </c>
      <c r="F271" s="13">
        <f>D271*(RANGE_LO+ACUTE_MARGIN)</f>
        <v>0.0</v>
      </c>
      <c r="G271" s="13">
        <f>D271*(RANGE_HI+ACUTE_MARGIN)</f>
        <v>0.0</v>
      </c>
      <c r="H271" s="13">
        <f>IF(B271=1,COST_YR_RUNG1,COST_YR_RUNG2)</f>
        <v>152394.16214437486</v>
      </c>
      <c r="I271" s="13">
        <f>E271-H271</f>
        <v>-152394.16214437486</v>
      </c>
      <c r="J271" s="13">
        <f>J270+I271</f>
        <v>-2460270.664275752</v>
      </c>
      <c r="K271">
        <f>IF(J271=MAX($J$4:$J$404),A271,0)</f>
        <v>0</v>
      </c>
      <c r="L271">
        <f>IF(E271&lt;H271,A271,B_MAX+1)</f>
        <v>267</v>
      </c>
      <c r="M271" s="13">
        <f>IF(B271=1,GRANT_RUNG1,GRANT_RUNG2)</f>
        <v>0</v>
      </c>
      <c r="N271" s="13">
        <f>OCC_DAYS*MCD_SHARE_BED*R_NF_2023-D271*MCD_SHARE_FREED*R_WAIT_2023</f>
        <v>151980.48282209205</v>
      </c>
      <c r="O271">
        <f>IF(A271&lt;=BEDS,1,0)</f>
        <v>0</v>
      </c>
    </row>
    <row r="272">
      <c r="A272" t="n">
        <v>268</v>
      </c>
      <c r="B272">
        <f>IF(COST_YR_RUNG1&lt;=COST_YR_RUNG2,IF(A272&lt;=RUNG_BEDS_1,1,2),IF(A272&lt;=RUNG_BEDS_2,2,1))</f>
        <v>1</v>
      </c>
      <c r="C272" s="5">
        <f>MIN(1,MAX(0,POOL_BEDS-(A272-1)))</f>
        <v>0</v>
      </c>
      <c r="D272" s="5">
        <f>FREED*(C272+(1-C272)*PAST_POOL_PCT)</f>
        <v>0.0</v>
      </c>
      <c r="E272" s="13">
        <f>D272*(C_AVOID+ACUTE_MARGIN)</f>
        <v>0.0</v>
      </c>
      <c r="F272" s="13">
        <f>D272*(RANGE_LO+ACUTE_MARGIN)</f>
        <v>0.0</v>
      </c>
      <c r="G272" s="13">
        <f>D272*(RANGE_HI+ACUTE_MARGIN)</f>
        <v>0.0</v>
      </c>
      <c r="H272" s="13">
        <f>IF(B272=1,COST_YR_RUNG1,COST_YR_RUNG2)</f>
        <v>152394.16214437486</v>
      </c>
      <c r="I272" s="13">
        <f>E272-H272</f>
        <v>-152394.16214437486</v>
      </c>
      <c r="J272" s="13">
        <f>J271+I272</f>
        <v>-2612664.826420127</v>
      </c>
      <c r="K272">
        <f>IF(J272=MAX($J$4:$J$404),A272,0)</f>
        <v>0</v>
      </c>
      <c r="L272">
        <f>IF(E272&lt;H272,A272,B_MAX+1)</f>
        <v>268</v>
      </c>
      <c r="M272" s="13">
        <f>IF(B272=1,GRANT_RUNG1,GRANT_RUNG2)</f>
        <v>0</v>
      </c>
      <c r="N272" s="13">
        <f>OCC_DAYS*MCD_SHARE_BED*R_NF_2023-D272*MCD_SHARE_FREED*R_WAIT_2023</f>
        <v>151980.48282209205</v>
      </c>
      <c r="O272">
        <f>IF(A272&lt;=BEDS,1,0)</f>
        <v>0</v>
      </c>
    </row>
    <row r="273">
      <c r="A273" t="n">
        <v>269</v>
      </c>
      <c r="B273">
        <f>IF(COST_YR_RUNG1&lt;=COST_YR_RUNG2,IF(A273&lt;=RUNG_BEDS_1,1,2),IF(A273&lt;=RUNG_BEDS_2,2,1))</f>
        <v>1</v>
      </c>
      <c r="C273" s="5">
        <f>MIN(1,MAX(0,POOL_BEDS-(A273-1)))</f>
        <v>0</v>
      </c>
      <c r="D273" s="5">
        <f>FREED*(C273+(1-C273)*PAST_POOL_PCT)</f>
        <v>0.0</v>
      </c>
      <c r="E273" s="13">
        <f>D273*(C_AVOID+ACUTE_MARGIN)</f>
        <v>0.0</v>
      </c>
      <c r="F273" s="13">
        <f>D273*(RANGE_LO+ACUTE_MARGIN)</f>
        <v>0.0</v>
      </c>
      <c r="G273" s="13">
        <f>D273*(RANGE_HI+ACUTE_MARGIN)</f>
        <v>0.0</v>
      </c>
      <c r="H273" s="13">
        <f>IF(B273=1,COST_YR_RUNG1,COST_YR_RUNG2)</f>
        <v>152394.16214437486</v>
      </c>
      <c r="I273" s="13">
        <f>E273-H273</f>
        <v>-152394.16214437486</v>
      </c>
      <c r="J273" s="13">
        <f>J272+I273</f>
        <v>-2765058.988564502</v>
      </c>
      <c r="K273">
        <f>IF(J273=MAX($J$4:$J$404),A273,0)</f>
        <v>0</v>
      </c>
      <c r="L273">
        <f>IF(E273&lt;H273,A273,B_MAX+1)</f>
        <v>269</v>
      </c>
      <c r="M273" s="13">
        <f>IF(B273=1,GRANT_RUNG1,GRANT_RUNG2)</f>
        <v>0</v>
      </c>
      <c r="N273" s="13">
        <f>OCC_DAYS*MCD_SHARE_BED*R_NF_2023-D273*MCD_SHARE_FREED*R_WAIT_2023</f>
        <v>151980.48282209205</v>
      </c>
      <c r="O273">
        <f>IF(A273&lt;=BEDS,1,0)</f>
        <v>0</v>
      </c>
    </row>
    <row r="274">
      <c r="A274" t="n">
        <v>270</v>
      </c>
      <c r="B274">
        <f>IF(COST_YR_RUNG1&lt;=COST_YR_RUNG2,IF(A274&lt;=RUNG_BEDS_1,1,2),IF(A274&lt;=RUNG_BEDS_2,2,1))</f>
        <v>1</v>
      </c>
      <c r="C274" s="5">
        <f>MIN(1,MAX(0,POOL_BEDS-(A274-1)))</f>
        <v>0</v>
      </c>
      <c r="D274" s="5">
        <f>FREED*(C274+(1-C274)*PAST_POOL_PCT)</f>
        <v>0.0</v>
      </c>
      <c r="E274" s="13">
        <f>D274*(C_AVOID+ACUTE_MARGIN)</f>
        <v>0.0</v>
      </c>
      <c r="F274" s="13">
        <f>D274*(RANGE_LO+ACUTE_MARGIN)</f>
        <v>0.0</v>
      </c>
      <c r="G274" s="13">
        <f>D274*(RANGE_HI+ACUTE_MARGIN)</f>
        <v>0.0</v>
      </c>
      <c r="H274" s="13">
        <f>IF(B274=1,COST_YR_RUNG1,COST_YR_RUNG2)</f>
        <v>152394.16214437486</v>
      </c>
      <c r="I274" s="13">
        <f>E274-H274</f>
        <v>-152394.16214437486</v>
      </c>
      <c r="J274" s="13">
        <f>J273+I274</f>
        <v>-2917453.150708877</v>
      </c>
      <c r="K274">
        <f>IF(J274=MAX($J$4:$J$404),A274,0)</f>
        <v>0</v>
      </c>
      <c r="L274">
        <f>IF(E274&lt;H274,A274,B_MAX+1)</f>
        <v>270</v>
      </c>
      <c r="M274" s="13">
        <f>IF(B274=1,GRANT_RUNG1,GRANT_RUNG2)</f>
        <v>0</v>
      </c>
      <c r="N274" s="13">
        <f>OCC_DAYS*MCD_SHARE_BED*R_NF_2023-D274*MCD_SHARE_FREED*R_WAIT_2023</f>
        <v>151980.48282209205</v>
      </c>
      <c r="O274">
        <f>IF(A274&lt;=BEDS,1,0)</f>
        <v>0</v>
      </c>
    </row>
    <row r="275">
      <c r="A275" t="n">
        <v>271</v>
      </c>
      <c r="B275">
        <f>IF(COST_YR_RUNG1&lt;=COST_YR_RUNG2,IF(A275&lt;=RUNG_BEDS_1,1,2),IF(A275&lt;=RUNG_BEDS_2,2,1))</f>
        <v>1</v>
      </c>
      <c r="C275" s="5">
        <f>MIN(1,MAX(0,POOL_BEDS-(A275-1)))</f>
        <v>0</v>
      </c>
      <c r="D275" s="5">
        <f>FREED*(C275+(1-C275)*PAST_POOL_PCT)</f>
        <v>0.0</v>
      </c>
      <c r="E275" s="13">
        <f>D275*(C_AVOID+ACUTE_MARGIN)</f>
        <v>0.0</v>
      </c>
      <c r="F275" s="13">
        <f>D275*(RANGE_LO+ACUTE_MARGIN)</f>
        <v>0.0</v>
      </c>
      <c r="G275" s="13">
        <f>D275*(RANGE_HI+ACUTE_MARGIN)</f>
        <v>0.0</v>
      </c>
      <c r="H275" s="13">
        <f>IF(B275=1,COST_YR_RUNG1,COST_YR_RUNG2)</f>
        <v>152394.16214437486</v>
      </c>
      <c r="I275" s="13">
        <f>E275-H275</f>
        <v>-152394.16214437486</v>
      </c>
      <c r="J275" s="13">
        <f>J274+I275</f>
        <v>-3069847.312853252</v>
      </c>
      <c r="K275">
        <f>IF(J275=MAX($J$4:$J$404),A275,0)</f>
        <v>0</v>
      </c>
      <c r="L275">
        <f>IF(E275&lt;H275,A275,B_MAX+1)</f>
        <v>271</v>
      </c>
      <c r="M275" s="13">
        <f>IF(B275=1,GRANT_RUNG1,GRANT_RUNG2)</f>
        <v>0</v>
      </c>
      <c r="N275" s="13">
        <f>OCC_DAYS*MCD_SHARE_BED*R_NF_2023-D275*MCD_SHARE_FREED*R_WAIT_2023</f>
        <v>151980.48282209205</v>
      </c>
      <c r="O275">
        <f>IF(A275&lt;=BEDS,1,0)</f>
        <v>0</v>
      </c>
    </row>
    <row r="276">
      <c r="A276" t="n">
        <v>272</v>
      </c>
      <c r="B276">
        <f>IF(COST_YR_RUNG1&lt;=COST_YR_RUNG2,IF(A276&lt;=RUNG_BEDS_1,1,2),IF(A276&lt;=RUNG_BEDS_2,2,1))</f>
        <v>1</v>
      </c>
      <c r="C276" s="5">
        <f>MIN(1,MAX(0,POOL_BEDS-(A276-1)))</f>
        <v>0</v>
      </c>
      <c r="D276" s="5">
        <f>FREED*(C276+(1-C276)*PAST_POOL_PCT)</f>
        <v>0.0</v>
      </c>
      <c r="E276" s="13">
        <f>D276*(C_AVOID+ACUTE_MARGIN)</f>
        <v>0.0</v>
      </c>
      <c r="F276" s="13">
        <f>D276*(RANGE_LO+ACUTE_MARGIN)</f>
        <v>0.0</v>
      </c>
      <c r="G276" s="13">
        <f>D276*(RANGE_HI+ACUTE_MARGIN)</f>
        <v>0.0</v>
      </c>
      <c r="H276" s="13">
        <f>IF(B276=1,COST_YR_RUNG1,COST_YR_RUNG2)</f>
        <v>152394.16214437486</v>
      </c>
      <c r="I276" s="13">
        <f>E276-H276</f>
        <v>-152394.16214437486</v>
      </c>
      <c r="J276" s="13">
        <f>J275+I276</f>
        <v>-3222241.474997627</v>
      </c>
      <c r="K276">
        <f>IF(J276=MAX($J$4:$J$404),A276,0)</f>
        <v>0</v>
      </c>
      <c r="L276">
        <f>IF(E276&lt;H276,A276,B_MAX+1)</f>
        <v>272</v>
      </c>
      <c r="M276" s="13">
        <f>IF(B276=1,GRANT_RUNG1,GRANT_RUNG2)</f>
        <v>0</v>
      </c>
      <c r="N276" s="13">
        <f>OCC_DAYS*MCD_SHARE_BED*R_NF_2023-D276*MCD_SHARE_FREED*R_WAIT_2023</f>
        <v>151980.48282209205</v>
      </c>
      <c r="O276">
        <f>IF(A276&lt;=BEDS,1,0)</f>
        <v>0</v>
      </c>
    </row>
    <row r="277">
      <c r="A277" t="n">
        <v>273</v>
      </c>
      <c r="B277">
        <f>IF(COST_YR_RUNG1&lt;=COST_YR_RUNG2,IF(A277&lt;=RUNG_BEDS_1,1,2),IF(A277&lt;=RUNG_BEDS_2,2,1))</f>
        <v>1</v>
      </c>
      <c r="C277" s="5">
        <f>MIN(1,MAX(0,POOL_BEDS-(A277-1)))</f>
        <v>0</v>
      </c>
      <c r="D277" s="5">
        <f>FREED*(C277+(1-C277)*PAST_POOL_PCT)</f>
        <v>0.0</v>
      </c>
      <c r="E277" s="13">
        <f>D277*(C_AVOID+ACUTE_MARGIN)</f>
        <v>0.0</v>
      </c>
      <c r="F277" s="13">
        <f>D277*(RANGE_LO+ACUTE_MARGIN)</f>
        <v>0.0</v>
      </c>
      <c r="G277" s="13">
        <f>D277*(RANGE_HI+ACUTE_MARGIN)</f>
        <v>0.0</v>
      </c>
      <c r="H277" s="13">
        <f>IF(B277=1,COST_YR_RUNG1,COST_YR_RUNG2)</f>
        <v>152394.16214437486</v>
      </c>
      <c r="I277" s="13">
        <f>E277-H277</f>
        <v>-152394.16214437486</v>
      </c>
      <c r="J277" s="13">
        <f>J276+I277</f>
        <v>-3374635.637142002</v>
      </c>
      <c r="K277">
        <f>IF(J277=MAX($J$4:$J$404),A277,0)</f>
        <v>0</v>
      </c>
      <c r="L277">
        <f>IF(E277&lt;H277,A277,B_MAX+1)</f>
        <v>273</v>
      </c>
      <c r="M277" s="13">
        <f>IF(B277=1,GRANT_RUNG1,GRANT_RUNG2)</f>
        <v>0</v>
      </c>
      <c r="N277" s="13">
        <f>OCC_DAYS*MCD_SHARE_BED*R_NF_2023-D277*MCD_SHARE_FREED*R_WAIT_2023</f>
        <v>151980.48282209205</v>
      </c>
      <c r="O277">
        <f>IF(A277&lt;=BEDS,1,0)</f>
        <v>0</v>
      </c>
    </row>
    <row r="278">
      <c r="A278" t="n">
        <v>274</v>
      </c>
      <c r="B278">
        <f>IF(COST_YR_RUNG1&lt;=COST_YR_RUNG2,IF(A278&lt;=RUNG_BEDS_1,1,2),IF(A278&lt;=RUNG_BEDS_2,2,1))</f>
        <v>1</v>
      </c>
      <c r="C278" s="5">
        <f>MIN(1,MAX(0,POOL_BEDS-(A278-1)))</f>
        <v>0</v>
      </c>
      <c r="D278" s="5">
        <f>FREED*(C278+(1-C278)*PAST_POOL_PCT)</f>
        <v>0.0</v>
      </c>
      <c r="E278" s="13">
        <f>D278*(C_AVOID+ACUTE_MARGIN)</f>
        <v>0.0</v>
      </c>
      <c r="F278" s="13">
        <f>D278*(RANGE_LO+ACUTE_MARGIN)</f>
        <v>0.0</v>
      </c>
      <c r="G278" s="13">
        <f>D278*(RANGE_HI+ACUTE_MARGIN)</f>
        <v>0.0</v>
      </c>
      <c r="H278" s="13">
        <f>IF(B278=1,COST_YR_RUNG1,COST_YR_RUNG2)</f>
        <v>152394.16214437486</v>
      </c>
      <c r="I278" s="13">
        <f>E278-H278</f>
        <v>-152394.16214437486</v>
      </c>
      <c r="J278" s="13">
        <f>J277+I278</f>
        <v>-3527029.799286377</v>
      </c>
      <c r="K278">
        <f>IF(J278=MAX($J$4:$J$404),A278,0)</f>
        <v>0</v>
      </c>
      <c r="L278">
        <f>IF(E278&lt;H278,A278,B_MAX+1)</f>
        <v>274</v>
      </c>
      <c r="M278" s="13">
        <f>IF(B278=1,GRANT_RUNG1,GRANT_RUNG2)</f>
        <v>0</v>
      </c>
      <c r="N278" s="13">
        <f>OCC_DAYS*MCD_SHARE_BED*R_NF_2023-D278*MCD_SHARE_FREED*R_WAIT_2023</f>
        <v>151980.48282209205</v>
      </c>
      <c r="O278">
        <f>IF(A278&lt;=BEDS,1,0)</f>
        <v>0</v>
      </c>
    </row>
    <row r="279">
      <c r="A279" t="n">
        <v>275</v>
      </c>
      <c r="B279">
        <f>IF(COST_YR_RUNG1&lt;=COST_YR_RUNG2,IF(A279&lt;=RUNG_BEDS_1,1,2),IF(A279&lt;=RUNG_BEDS_2,2,1))</f>
        <v>1</v>
      </c>
      <c r="C279" s="5">
        <f>MIN(1,MAX(0,POOL_BEDS-(A279-1)))</f>
        <v>0</v>
      </c>
      <c r="D279" s="5">
        <f>FREED*(C279+(1-C279)*PAST_POOL_PCT)</f>
        <v>0.0</v>
      </c>
      <c r="E279" s="13">
        <f>D279*(C_AVOID+ACUTE_MARGIN)</f>
        <v>0.0</v>
      </c>
      <c r="F279" s="13">
        <f>D279*(RANGE_LO+ACUTE_MARGIN)</f>
        <v>0.0</v>
      </c>
      <c r="G279" s="13">
        <f>D279*(RANGE_HI+ACUTE_MARGIN)</f>
        <v>0.0</v>
      </c>
      <c r="H279" s="13">
        <f>IF(B279=1,COST_YR_RUNG1,COST_YR_RUNG2)</f>
        <v>152394.16214437486</v>
      </c>
      <c r="I279" s="13">
        <f>E279-H279</f>
        <v>-152394.16214437486</v>
      </c>
      <c r="J279" s="13">
        <f>J278+I279</f>
        <v>-3679423.961430752</v>
      </c>
      <c r="K279">
        <f>IF(J279=MAX($J$4:$J$404),A279,0)</f>
        <v>0</v>
      </c>
      <c r="L279">
        <f>IF(E279&lt;H279,A279,B_MAX+1)</f>
        <v>275</v>
      </c>
      <c r="M279" s="13">
        <f>IF(B279=1,GRANT_RUNG1,GRANT_RUNG2)</f>
        <v>0</v>
      </c>
      <c r="N279" s="13">
        <f>OCC_DAYS*MCD_SHARE_BED*R_NF_2023-D279*MCD_SHARE_FREED*R_WAIT_2023</f>
        <v>151980.48282209205</v>
      </c>
      <c r="O279">
        <f>IF(A279&lt;=BEDS,1,0)</f>
        <v>0</v>
      </c>
    </row>
    <row r="280">
      <c r="A280" t="n">
        <v>276</v>
      </c>
      <c r="B280">
        <f>IF(COST_YR_RUNG1&lt;=COST_YR_RUNG2,IF(A280&lt;=RUNG_BEDS_1,1,2),IF(A280&lt;=RUNG_BEDS_2,2,1))</f>
        <v>1</v>
      </c>
      <c r="C280" s="5">
        <f>MIN(1,MAX(0,POOL_BEDS-(A280-1)))</f>
        <v>0</v>
      </c>
      <c r="D280" s="5">
        <f>FREED*(C280+(1-C280)*PAST_POOL_PCT)</f>
        <v>0.0</v>
      </c>
      <c r="E280" s="13">
        <f>D280*(C_AVOID+ACUTE_MARGIN)</f>
        <v>0.0</v>
      </c>
      <c r="F280" s="13">
        <f>D280*(RANGE_LO+ACUTE_MARGIN)</f>
        <v>0.0</v>
      </c>
      <c r="G280" s="13">
        <f>D280*(RANGE_HI+ACUTE_MARGIN)</f>
        <v>0.0</v>
      </c>
      <c r="H280" s="13">
        <f>IF(B280=1,COST_YR_RUNG1,COST_YR_RUNG2)</f>
        <v>152394.16214437486</v>
      </c>
      <c r="I280" s="13">
        <f>E280-H280</f>
        <v>-152394.16214437486</v>
      </c>
      <c r="J280" s="13">
        <f>J279+I280</f>
        <v>-3831818.123575127</v>
      </c>
      <c r="K280">
        <f>IF(J280=MAX($J$4:$J$404),A280,0)</f>
        <v>0</v>
      </c>
      <c r="L280">
        <f>IF(E280&lt;H280,A280,B_MAX+1)</f>
        <v>276</v>
      </c>
      <c r="M280" s="13">
        <f>IF(B280=1,GRANT_RUNG1,GRANT_RUNG2)</f>
        <v>0</v>
      </c>
      <c r="N280" s="13">
        <f>OCC_DAYS*MCD_SHARE_BED*R_NF_2023-D280*MCD_SHARE_FREED*R_WAIT_2023</f>
        <v>151980.48282209205</v>
      </c>
      <c r="O280">
        <f>IF(A280&lt;=BEDS,1,0)</f>
        <v>0</v>
      </c>
    </row>
    <row r="281">
      <c r="A281" t="n">
        <v>277</v>
      </c>
      <c r="B281">
        <f>IF(COST_YR_RUNG1&lt;=COST_YR_RUNG2,IF(A281&lt;=RUNG_BEDS_1,1,2),IF(A281&lt;=RUNG_BEDS_2,2,1))</f>
        <v>1</v>
      </c>
      <c r="C281" s="5">
        <f>MIN(1,MAX(0,POOL_BEDS-(A281-1)))</f>
        <v>0</v>
      </c>
      <c r="D281" s="5">
        <f>FREED*(C281+(1-C281)*PAST_POOL_PCT)</f>
        <v>0.0</v>
      </c>
      <c r="E281" s="13">
        <f>D281*(C_AVOID+ACUTE_MARGIN)</f>
        <v>0.0</v>
      </c>
      <c r="F281" s="13">
        <f>D281*(RANGE_LO+ACUTE_MARGIN)</f>
        <v>0.0</v>
      </c>
      <c r="G281" s="13">
        <f>D281*(RANGE_HI+ACUTE_MARGIN)</f>
        <v>0.0</v>
      </c>
      <c r="H281" s="13">
        <f>IF(B281=1,COST_YR_RUNG1,COST_YR_RUNG2)</f>
        <v>152394.16214437486</v>
      </c>
      <c r="I281" s="13">
        <f>E281-H281</f>
        <v>-152394.16214437486</v>
      </c>
      <c r="J281" s="13">
        <f>J280+I281</f>
        <v>-3984212.2857195023</v>
      </c>
      <c r="K281">
        <f>IF(J281=MAX($J$4:$J$404),A281,0)</f>
        <v>0</v>
      </c>
      <c r="L281">
        <f>IF(E281&lt;H281,A281,B_MAX+1)</f>
        <v>277</v>
      </c>
      <c r="M281" s="13">
        <f>IF(B281=1,GRANT_RUNG1,GRANT_RUNG2)</f>
        <v>0</v>
      </c>
      <c r="N281" s="13">
        <f>OCC_DAYS*MCD_SHARE_BED*R_NF_2023-D281*MCD_SHARE_FREED*R_WAIT_2023</f>
        <v>151980.48282209205</v>
      </c>
      <c r="O281">
        <f>IF(A281&lt;=BEDS,1,0)</f>
        <v>0</v>
      </c>
    </row>
    <row r="282">
      <c r="A282" t="n">
        <v>278</v>
      </c>
      <c r="B282">
        <f>IF(COST_YR_RUNG1&lt;=COST_YR_RUNG2,IF(A282&lt;=RUNG_BEDS_1,1,2),IF(A282&lt;=RUNG_BEDS_2,2,1))</f>
        <v>1</v>
      </c>
      <c r="C282" s="5">
        <f>MIN(1,MAX(0,POOL_BEDS-(A282-1)))</f>
        <v>0</v>
      </c>
      <c r="D282" s="5">
        <f>FREED*(C282+(1-C282)*PAST_POOL_PCT)</f>
        <v>0.0</v>
      </c>
      <c r="E282" s="13">
        <f>D282*(C_AVOID+ACUTE_MARGIN)</f>
        <v>0.0</v>
      </c>
      <c r="F282" s="13">
        <f>D282*(RANGE_LO+ACUTE_MARGIN)</f>
        <v>0.0</v>
      </c>
      <c r="G282" s="13">
        <f>D282*(RANGE_HI+ACUTE_MARGIN)</f>
        <v>0.0</v>
      </c>
      <c r="H282" s="13">
        <f>IF(B282=1,COST_YR_RUNG1,COST_YR_RUNG2)</f>
        <v>152394.16214437486</v>
      </c>
      <c r="I282" s="13">
        <f>E282-H282</f>
        <v>-152394.16214437486</v>
      </c>
      <c r="J282" s="13">
        <f>J281+I282</f>
        <v>-4136606.4478638773</v>
      </c>
      <c r="K282">
        <f>IF(J282=MAX($J$4:$J$404),A282,0)</f>
        <v>0</v>
      </c>
      <c r="L282">
        <f>IF(E282&lt;H282,A282,B_MAX+1)</f>
        <v>278</v>
      </c>
      <c r="M282" s="13">
        <f>IF(B282=1,GRANT_RUNG1,GRANT_RUNG2)</f>
        <v>0</v>
      </c>
      <c r="N282" s="13">
        <f>OCC_DAYS*MCD_SHARE_BED*R_NF_2023-D282*MCD_SHARE_FREED*R_WAIT_2023</f>
        <v>151980.48282209205</v>
      </c>
      <c r="O282">
        <f>IF(A282&lt;=BEDS,1,0)</f>
        <v>0</v>
      </c>
    </row>
    <row r="283">
      <c r="A283" t="n">
        <v>279</v>
      </c>
      <c r="B283">
        <f>IF(COST_YR_RUNG1&lt;=COST_YR_RUNG2,IF(A283&lt;=RUNG_BEDS_1,1,2),IF(A283&lt;=RUNG_BEDS_2,2,1))</f>
        <v>1</v>
      </c>
      <c r="C283" s="5">
        <f>MIN(1,MAX(0,POOL_BEDS-(A283-1)))</f>
        <v>0</v>
      </c>
      <c r="D283" s="5">
        <f>FREED*(C283+(1-C283)*PAST_POOL_PCT)</f>
        <v>0.0</v>
      </c>
      <c r="E283" s="13">
        <f>D283*(C_AVOID+ACUTE_MARGIN)</f>
        <v>0.0</v>
      </c>
      <c r="F283" s="13">
        <f>D283*(RANGE_LO+ACUTE_MARGIN)</f>
        <v>0.0</v>
      </c>
      <c r="G283" s="13">
        <f>D283*(RANGE_HI+ACUTE_MARGIN)</f>
        <v>0.0</v>
      </c>
      <c r="H283" s="13">
        <f>IF(B283=1,COST_YR_RUNG1,COST_YR_RUNG2)</f>
        <v>152394.16214437486</v>
      </c>
      <c r="I283" s="13">
        <f>E283-H283</f>
        <v>-152394.16214437486</v>
      </c>
      <c r="J283" s="13">
        <f>J282+I283</f>
        <v>-4289000.610008252</v>
      </c>
      <c r="K283">
        <f>IF(J283=MAX($J$4:$J$404),A283,0)</f>
        <v>0</v>
      </c>
      <c r="L283">
        <f>IF(E283&lt;H283,A283,B_MAX+1)</f>
        <v>279</v>
      </c>
      <c r="M283" s="13">
        <f>IF(B283=1,GRANT_RUNG1,GRANT_RUNG2)</f>
        <v>0</v>
      </c>
      <c r="N283" s="13">
        <f>OCC_DAYS*MCD_SHARE_BED*R_NF_2023-D283*MCD_SHARE_FREED*R_WAIT_2023</f>
        <v>151980.48282209205</v>
      </c>
      <c r="O283">
        <f>IF(A283&lt;=BEDS,1,0)</f>
        <v>0</v>
      </c>
    </row>
    <row r="284">
      <c r="A284" t="n">
        <v>280</v>
      </c>
      <c r="B284">
        <f>IF(COST_YR_RUNG1&lt;=COST_YR_RUNG2,IF(A284&lt;=RUNG_BEDS_1,1,2),IF(A284&lt;=RUNG_BEDS_2,2,1))</f>
        <v>1</v>
      </c>
      <c r="C284" s="5">
        <f>MIN(1,MAX(0,POOL_BEDS-(A284-1)))</f>
        <v>0</v>
      </c>
      <c r="D284" s="5">
        <f>FREED*(C284+(1-C284)*PAST_POOL_PCT)</f>
        <v>0.0</v>
      </c>
      <c r="E284" s="13">
        <f>D284*(C_AVOID+ACUTE_MARGIN)</f>
        <v>0.0</v>
      </c>
      <c r="F284" s="13">
        <f>D284*(RANGE_LO+ACUTE_MARGIN)</f>
        <v>0.0</v>
      </c>
      <c r="G284" s="13">
        <f>D284*(RANGE_HI+ACUTE_MARGIN)</f>
        <v>0.0</v>
      </c>
      <c r="H284" s="13">
        <f>IF(B284=1,COST_YR_RUNG1,COST_YR_RUNG2)</f>
        <v>152394.16214437486</v>
      </c>
      <c r="I284" s="13">
        <f>E284-H284</f>
        <v>-152394.16214437486</v>
      </c>
      <c r="J284" s="13">
        <f>J283+I284</f>
        <v>-4441394.772152627</v>
      </c>
      <c r="K284">
        <f>IF(J284=MAX($J$4:$J$404),A284,0)</f>
        <v>0</v>
      </c>
      <c r="L284">
        <f>IF(E284&lt;H284,A284,B_MAX+1)</f>
        <v>280</v>
      </c>
      <c r="M284" s="13">
        <f>IF(B284=1,GRANT_RUNG1,GRANT_RUNG2)</f>
        <v>0</v>
      </c>
      <c r="N284" s="13">
        <f>OCC_DAYS*MCD_SHARE_BED*R_NF_2023-D284*MCD_SHARE_FREED*R_WAIT_2023</f>
        <v>151980.48282209205</v>
      </c>
      <c r="O284">
        <f>IF(A284&lt;=BEDS,1,0)</f>
        <v>0</v>
      </c>
    </row>
    <row r="285">
      <c r="A285" t="n">
        <v>281</v>
      </c>
      <c r="B285">
        <f>IF(COST_YR_RUNG1&lt;=COST_YR_RUNG2,IF(A285&lt;=RUNG_BEDS_1,1,2),IF(A285&lt;=RUNG_BEDS_2,2,1))</f>
        <v>1</v>
      </c>
      <c r="C285" s="5">
        <f>MIN(1,MAX(0,POOL_BEDS-(A285-1)))</f>
        <v>0</v>
      </c>
      <c r="D285" s="5">
        <f>FREED*(C285+(1-C285)*PAST_POOL_PCT)</f>
        <v>0.0</v>
      </c>
      <c r="E285" s="13">
        <f>D285*(C_AVOID+ACUTE_MARGIN)</f>
        <v>0.0</v>
      </c>
      <c r="F285" s="13">
        <f>D285*(RANGE_LO+ACUTE_MARGIN)</f>
        <v>0.0</v>
      </c>
      <c r="G285" s="13">
        <f>D285*(RANGE_HI+ACUTE_MARGIN)</f>
        <v>0.0</v>
      </c>
      <c r="H285" s="13">
        <f>IF(B285=1,COST_YR_RUNG1,COST_YR_RUNG2)</f>
        <v>152394.16214437486</v>
      </c>
      <c r="I285" s="13">
        <f>E285-H285</f>
        <v>-152394.16214437486</v>
      </c>
      <c r="J285" s="13">
        <f>J284+I285</f>
        <v>-4593788.934297002</v>
      </c>
      <c r="K285">
        <f>IF(J285=MAX($J$4:$J$404),A285,0)</f>
        <v>0</v>
      </c>
      <c r="L285">
        <f>IF(E285&lt;H285,A285,B_MAX+1)</f>
        <v>281</v>
      </c>
      <c r="M285" s="13">
        <f>IF(B285=1,GRANT_RUNG1,GRANT_RUNG2)</f>
        <v>0</v>
      </c>
      <c r="N285" s="13">
        <f>OCC_DAYS*MCD_SHARE_BED*R_NF_2023-D285*MCD_SHARE_FREED*R_WAIT_2023</f>
        <v>151980.48282209205</v>
      </c>
      <c r="O285">
        <f>IF(A285&lt;=BEDS,1,0)</f>
        <v>0</v>
      </c>
    </row>
    <row r="286">
      <c r="A286" t="n">
        <v>282</v>
      </c>
      <c r="B286">
        <f>IF(COST_YR_RUNG1&lt;=COST_YR_RUNG2,IF(A286&lt;=RUNG_BEDS_1,1,2),IF(A286&lt;=RUNG_BEDS_2,2,1))</f>
        <v>1</v>
      </c>
      <c r="C286" s="5">
        <f>MIN(1,MAX(0,POOL_BEDS-(A286-1)))</f>
        <v>0</v>
      </c>
      <c r="D286" s="5">
        <f>FREED*(C286+(1-C286)*PAST_POOL_PCT)</f>
        <v>0.0</v>
      </c>
      <c r="E286" s="13">
        <f>D286*(C_AVOID+ACUTE_MARGIN)</f>
        <v>0.0</v>
      </c>
      <c r="F286" s="13">
        <f>D286*(RANGE_LO+ACUTE_MARGIN)</f>
        <v>0.0</v>
      </c>
      <c r="G286" s="13">
        <f>D286*(RANGE_HI+ACUTE_MARGIN)</f>
        <v>0.0</v>
      </c>
      <c r="H286" s="13">
        <f>IF(B286=1,COST_YR_RUNG1,COST_YR_RUNG2)</f>
        <v>152394.16214437486</v>
      </c>
      <c r="I286" s="13">
        <f>E286-H286</f>
        <v>-152394.16214437486</v>
      </c>
      <c r="J286" s="13">
        <f>J285+I286</f>
        <v>-4746183.096441377</v>
      </c>
      <c r="K286">
        <f>IF(J286=MAX($J$4:$J$404),A286,0)</f>
        <v>0</v>
      </c>
      <c r="L286">
        <f>IF(E286&lt;H286,A286,B_MAX+1)</f>
        <v>282</v>
      </c>
      <c r="M286" s="13">
        <f>IF(B286=1,GRANT_RUNG1,GRANT_RUNG2)</f>
        <v>0</v>
      </c>
      <c r="N286" s="13">
        <f>OCC_DAYS*MCD_SHARE_BED*R_NF_2023-D286*MCD_SHARE_FREED*R_WAIT_2023</f>
        <v>151980.48282209205</v>
      </c>
      <c r="O286">
        <f>IF(A286&lt;=BEDS,1,0)</f>
        <v>0</v>
      </c>
    </row>
    <row r="287">
      <c r="A287" t="n">
        <v>283</v>
      </c>
      <c r="B287">
        <f>IF(COST_YR_RUNG1&lt;=COST_YR_RUNG2,IF(A287&lt;=RUNG_BEDS_1,1,2),IF(A287&lt;=RUNG_BEDS_2,2,1))</f>
        <v>1</v>
      </c>
      <c r="C287" s="5">
        <f>MIN(1,MAX(0,POOL_BEDS-(A287-1)))</f>
        <v>0</v>
      </c>
      <c r="D287" s="5">
        <f>FREED*(C287+(1-C287)*PAST_POOL_PCT)</f>
        <v>0.0</v>
      </c>
      <c r="E287" s="13">
        <f>D287*(C_AVOID+ACUTE_MARGIN)</f>
        <v>0.0</v>
      </c>
      <c r="F287" s="13">
        <f>D287*(RANGE_LO+ACUTE_MARGIN)</f>
        <v>0.0</v>
      </c>
      <c r="G287" s="13">
        <f>D287*(RANGE_HI+ACUTE_MARGIN)</f>
        <v>0.0</v>
      </c>
      <c r="H287" s="13">
        <f>IF(B287=1,COST_YR_RUNG1,COST_YR_RUNG2)</f>
        <v>152394.16214437486</v>
      </c>
      <c r="I287" s="13">
        <f>E287-H287</f>
        <v>-152394.16214437486</v>
      </c>
      <c r="J287" s="13">
        <f>J286+I287</f>
        <v>-4898577.258585752</v>
      </c>
      <c r="K287">
        <f>IF(J287=MAX($J$4:$J$404),A287,0)</f>
        <v>0</v>
      </c>
      <c r="L287">
        <f>IF(E287&lt;H287,A287,B_MAX+1)</f>
        <v>283</v>
      </c>
      <c r="M287" s="13">
        <f>IF(B287=1,GRANT_RUNG1,GRANT_RUNG2)</f>
        <v>0</v>
      </c>
      <c r="N287" s="13">
        <f>OCC_DAYS*MCD_SHARE_BED*R_NF_2023-D287*MCD_SHARE_FREED*R_WAIT_2023</f>
        <v>151980.48282209205</v>
      </c>
      <c r="O287">
        <f>IF(A287&lt;=BEDS,1,0)</f>
        <v>0</v>
      </c>
    </row>
    <row r="288">
      <c r="A288" t="n">
        <v>284</v>
      </c>
      <c r="B288">
        <f>IF(COST_YR_RUNG1&lt;=COST_YR_RUNG2,IF(A288&lt;=RUNG_BEDS_1,1,2),IF(A288&lt;=RUNG_BEDS_2,2,1))</f>
        <v>1</v>
      </c>
      <c r="C288" s="5">
        <f>MIN(1,MAX(0,POOL_BEDS-(A288-1)))</f>
        <v>0</v>
      </c>
      <c r="D288" s="5">
        <f>FREED*(C288+(1-C288)*PAST_POOL_PCT)</f>
        <v>0.0</v>
      </c>
      <c r="E288" s="13">
        <f>D288*(C_AVOID+ACUTE_MARGIN)</f>
        <v>0.0</v>
      </c>
      <c r="F288" s="13">
        <f>D288*(RANGE_LO+ACUTE_MARGIN)</f>
        <v>0.0</v>
      </c>
      <c r="G288" s="13">
        <f>D288*(RANGE_HI+ACUTE_MARGIN)</f>
        <v>0.0</v>
      </c>
      <c r="H288" s="13">
        <f>IF(B288=1,COST_YR_RUNG1,COST_YR_RUNG2)</f>
        <v>152394.16214437486</v>
      </c>
      <c r="I288" s="13">
        <f>E288-H288</f>
        <v>-152394.16214437486</v>
      </c>
      <c r="J288" s="13">
        <f>J287+I288</f>
        <v>-5050971.420730127</v>
      </c>
      <c r="K288">
        <f>IF(J288=MAX($J$4:$J$404),A288,0)</f>
        <v>0</v>
      </c>
      <c r="L288">
        <f>IF(E288&lt;H288,A288,B_MAX+1)</f>
        <v>284</v>
      </c>
      <c r="M288" s="13">
        <f>IF(B288=1,GRANT_RUNG1,GRANT_RUNG2)</f>
        <v>0</v>
      </c>
      <c r="N288" s="13">
        <f>OCC_DAYS*MCD_SHARE_BED*R_NF_2023-D288*MCD_SHARE_FREED*R_WAIT_2023</f>
        <v>151980.48282209205</v>
      </c>
      <c r="O288">
        <f>IF(A288&lt;=BEDS,1,0)</f>
        <v>0</v>
      </c>
    </row>
    <row r="289">
      <c r="A289" t="n">
        <v>285</v>
      </c>
      <c r="B289">
        <f>IF(COST_YR_RUNG1&lt;=COST_YR_RUNG2,IF(A289&lt;=RUNG_BEDS_1,1,2),IF(A289&lt;=RUNG_BEDS_2,2,1))</f>
        <v>1</v>
      </c>
      <c r="C289" s="5">
        <f>MIN(1,MAX(0,POOL_BEDS-(A289-1)))</f>
        <v>0</v>
      </c>
      <c r="D289" s="5">
        <f>FREED*(C289+(1-C289)*PAST_POOL_PCT)</f>
        <v>0.0</v>
      </c>
      <c r="E289" s="13">
        <f>D289*(C_AVOID+ACUTE_MARGIN)</f>
        <v>0.0</v>
      </c>
      <c r="F289" s="13">
        <f>D289*(RANGE_LO+ACUTE_MARGIN)</f>
        <v>0.0</v>
      </c>
      <c r="G289" s="13">
        <f>D289*(RANGE_HI+ACUTE_MARGIN)</f>
        <v>0.0</v>
      </c>
      <c r="H289" s="13">
        <f>IF(B289=1,COST_YR_RUNG1,COST_YR_RUNG2)</f>
        <v>152394.16214437486</v>
      </c>
      <c r="I289" s="13">
        <f>E289-H289</f>
        <v>-152394.16214437486</v>
      </c>
      <c r="J289" s="13">
        <f>J288+I289</f>
        <v>-5203365.582874502</v>
      </c>
      <c r="K289">
        <f>IF(J289=MAX($J$4:$J$404),A289,0)</f>
        <v>0</v>
      </c>
      <c r="L289">
        <f>IF(E289&lt;H289,A289,B_MAX+1)</f>
        <v>285</v>
      </c>
      <c r="M289" s="13">
        <f>IF(B289=1,GRANT_RUNG1,GRANT_RUNG2)</f>
        <v>0</v>
      </c>
      <c r="N289" s="13">
        <f>OCC_DAYS*MCD_SHARE_BED*R_NF_2023-D289*MCD_SHARE_FREED*R_WAIT_2023</f>
        <v>151980.48282209205</v>
      </c>
      <c r="O289">
        <f>IF(A289&lt;=BEDS,1,0)</f>
        <v>0</v>
      </c>
    </row>
    <row r="290">
      <c r="A290" t="n">
        <v>286</v>
      </c>
      <c r="B290">
        <f>IF(COST_YR_RUNG1&lt;=COST_YR_RUNG2,IF(A290&lt;=RUNG_BEDS_1,1,2),IF(A290&lt;=RUNG_BEDS_2,2,1))</f>
        <v>1</v>
      </c>
      <c r="C290" s="5">
        <f>MIN(1,MAX(0,POOL_BEDS-(A290-1)))</f>
        <v>0</v>
      </c>
      <c r="D290" s="5">
        <f>FREED*(C290+(1-C290)*PAST_POOL_PCT)</f>
        <v>0.0</v>
      </c>
      <c r="E290" s="13">
        <f>D290*(C_AVOID+ACUTE_MARGIN)</f>
        <v>0.0</v>
      </c>
      <c r="F290" s="13">
        <f>D290*(RANGE_LO+ACUTE_MARGIN)</f>
        <v>0.0</v>
      </c>
      <c r="G290" s="13">
        <f>D290*(RANGE_HI+ACUTE_MARGIN)</f>
        <v>0.0</v>
      </c>
      <c r="H290" s="13">
        <f>IF(B290=1,COST_YR_RUNG1,COST_YR_RUNG2)</f>
        <v>152394.16214437486</v>
      </c>
      <c r="I290" s="13">
        <f>E290-H290</f>
        <v>-152394.16214437486</v>
      </c>
      <c r="J290" s="13">
        <f>J289+I290</f>
        <v>-5355759.745018877</v>
      </c>
      <c r="K290">
        <f>IF(J290=MAX($J$4:$J$404),A290,0)</f>
        <v>0</v>
      </c>
      <c r="L290">
        <f>IF(E290&lt;H290,A290,B_MAX+1)</f>
        <v>286</v>
      </c>
      <c r="M290" s="13">
        <f>IF(B290=1,GRANT_RUNG1,GRANT_RUNG2)</f>
        <v>0</v>
      </c>
      <c r="N290" s="13">
        <f>OCC_DAYS*MCD_SHARE_BED*R_NF_2023-D290*MCD_SHARE_FREED*R_WAIT_2023</f>
        <v>151980.48282209205</v>
      </c>
      <c r="O290">
        <f>IF(A290&lt;=BEDS,1,0)</f>
        <v>0</v>
      </c>
    </row>
    <row r="291">
      <c r="A291" t="n">
        <v>287</v>
      </c>
      <c r="B291">
        <f>IF(COST_YR_RUNG1&lt;=COST_YR_RUNG2,IF(A291&lt;=RUNG_BEDS_1,1,2),IF(A291&lt;=RUNG_BEDS_2,2,1))</f>
        <v>1</v>
      </c>
      <c r="C291" s="5">
        <f>MIN(1,MAX(0,POOL_BEDS-(A291-1)))</f>
        <v>0</v>
      </c>
      <c r="D291" s="5">
        <f>FREED*(C291+(1-C291)*PAST_POOL_PCT)</f>
        <v>0.0</v>
      </c>
      <c r="E291" s="13">
        <f>D291*(C_AVOID+ACUTE_MARGIN)</f>
        <v>0.0</v>
      </c>
      <c r="F291" s="13">
        <f>D291*(RANGE_LO+ACUTE_MARGIN)</f>
        <v>0.0</v>
      </c>
      <c r="G291" s="13">
        <f>D291*(RANGE_HI+ACUTE_MARGIN)</f>
        <v>0.0</v>
      </c>
      <c r="H291" s="13">
        <f>IF(B291=1,COST_YR_RUNG1,COST_YR_RUNG2)</f>
        <v>152394.16214437486</v>
      </c>
      <c r="I291" s="13">
        <f>E291-H291</f>
        <v>-152394.16214437486</v>
      </c>
      <c r="J291" s="13">
        <f>J290+I291</f>
        <v>-5508153.907163252</v>
      </c>
      <c r="K291">
        <f>IF(J291=MAX($J$4:$J$404),A291,0)</f>
        <v>0</v>
      </c>
      <c r="L291">
        <f>IF(E291&lt;H291,A291,B_MAX+1)</f>
        <v>287</v>
      </c>
      <c r="M291" s="13">
        <f>IF(B291=1,GRANT_RUNG1,GRANT_RUNG2)</f>
        <v>0</v>
      </c>
      <c r="N291" s="13">
        <f>OCC_DAYS*MCD_SHARE_BED*R_NF_2023-D291*MCD_SHARE_FREED*R_WAIT_2023</f>
        <v>151980.48282209205</v>
      </c>
      <c r="O291">
        <f>IF(A291&lt;=BEDS,1,0)</f>
        <v>0</v>
      </c>
    </row>
    <row r="292">
      <c r="A292" t="n">
        <v>288</v>
      </c>
      <c r="B292">
        <f>IF(COST_YR_RUNG1&lt;=COST_YR_RUNG2,IF(A292&lt;=RUNG_BEDS_1,1,2),IF(A292&lt;=RUNG_BEDS_2,2,1))</f>
        <v>1</v>
      </c>
      <c r="C292" s="5">
        <f>MIN(1,MAX(0,POOL_BEDS-(A292-1)))</f>
        <v>0</v>
      </c>
      <c r="D292" s="5">
        <f>FREED*(C292+(1-C292)*PAST_POOL_PCT)</f>
        <v>0.0</v>
      </c>
      <c r="E292" s="13">
        <f>D292*(C_AVOID+ACUTE_MARGIN)</f>
        <v>0.0</v>
      </c>
      <c r="F292" s="13">
        <f>D292*(RANGE_LO+ACUTE_MARGIN)</f>
        <v>0.0</v>
      </c>
      <c r="G292" s="13">
        <f>D292*(RANGE_HI+ACUTE_MARGIN)</f>
        <v>0.0</v>
      </c>
      <c r="H292" s="13">
        <f>IF(B292=1,COST_YR_RUNG1,COST_YR_RUNG2)</f>
        <v>152394.16214437486</v>
      </c>
      <c r="I292" s="13">
        <f>E292-H292</f>
        <v>-152394.16214437486</v>
      </c>
      <c r="J292" s="13">
        <f>J291+I292</f>
        <v>-5660548.069307627</v>
      </c>
      <c r="K292">
        <f>IF(J292=MAX($J$4:$J$404),A292,0)</f>
        <v>0</v>
      </c>
      <c r="L292">
        <f>IF(E292&lt;H292,A292,B_MAX+1)</f>
        <v>288</v>
      </c>
      <c r="M292" s="13">
        <f>IF(B292=1,GRANT_RUNG1,GRANT_RUNG2)</f>
        <v>0</v>
      </c>
      <c r="N292" s="13">
        <f>OCC_DAYS*MCD_SHARE_BED*R_NF_2023-D292*MCD_SHARE_FREED*R_WAIT_2023</f>
        <v>151980.48282209205</v>
      </c>
      <c r="O292">
        <f>IF(A292&lt;=BEDS,1,0)</f>
        <v>0</v>
      </c>
    </row>
    <row r="293">
      <c r="A293" t="n">
        <v>289</v>
      </c>
      <c r="B293">
        <f>IF(COST_YR_RUNG1&lt;=COST_YR_RUNG2,IF(A293&lt;=RUNG_BEDS_1,1,2),IF(A293&lt;=RUNG_BEDS_2,2,1))</f>
        <v>1</v>
      </c>
      <c r="C293" s="5">
        <f>MIN(1,MAX(0,POOL_BEDS-(A293-1)))</f>
        <v>0</v>
      </c>
      <c r="D293" s="5">
        <f>FREED*(C293+(1-C293)*PAST_POOL_PCT)</f>
        <v>0.0</v>
      </c>
      <c r="E293" s="13">
        <f>D293*(C_AVOID+ACUTE_MARGIN)</f>
        <v>0.0</v>
      </c>
      <c r="F293" s="13">
        <f>D293*(RANGE_LO+ACUTE_MARGIN)</f>
        <v>0.0</v>
      </c>
      <c r="G293" s="13">
        <f>D293*(RANGE_HI+ACUTE_MARGIN)</f>
        <v>0.0</v>
      </c>
      <c r="H293" s="13">
        <f>IF(B293=1,COST_YR_RUNG1,COST_YR_RUNG2)</f>
        <v>152394.16214437486</v>
      </c>
      <c r="I293" s="13">
        <f>E293-H293</f>
        <v>-152394.16214437486</v>
      </c>
      <c r="J293" s="13">
        <f>J292+I293</f>
        <v>-5812942.231452002</v>
      </c>
      <c r="K293">
        <f>IF(J293=MAX($J$4:$J$404),A293,0)</f>
        <v>0</v>
      </c>
      <c r="L293">
        <f>IF(E293&lt;H293,A293,B_MAX+1)</f>
        <v>289</v>
      </c>
      <c r="M293" s="13">
        <f>IF(B293=1,GRANT_RUNG1,GRANT_RUNG2)</f>
        <v>0</v>
      </c>
      <c r="N293" s="13">
        <f>OCC_DAYS*MCD_SHARE_BED*R_NF_2023-D293*MCD_SHARE_FREED*R_WAIT_2023</f>
        <v>151980.48282209205</v>
      </c>
      <c r="O293">
        <f>IF(A293&lt;=BEDS,1,0)</f>
        <v>0</v>
      </c>
    </row>
    <row r="294">
      <c r="A294" t="n">
        <v>290</v>
      </c>
      <c r="B294">
        <f>IF(COST_YR_RUNG1&lt;=COST_YR_RUNG2,IF(A294&lt;=RUNG_BEDS_1,1,2),IF(A294&lt;=RUNG_BEDS_2,2,1))</f>
        <v>1</v>
      </c>
      <c r="C294" s="5">
        <f>MIN(1,MAX(0,POOL_BEDS-(A294-1)))</f>
        <v>0</v>
      </c>
      <c r="D294" s="5">
        <f>FREED*(C294+(1-C294)*PAST_POOL_PCT)</f>
        <v>0.0</v>
      </c>
      <c r="E294" s="13">
        <f>D294*(C_AVOID+ACUTE_MARGIN)</f>
        <v>0.0</v>
      </c>
      <c r="F294" s="13">
        <f>D294*(RANGE_LO+ACUTE_MARGIN)</f>
        <v>0.0</v>
      </c>
      <c r="G294" s="13">
        <f>D294*(RANGE_HI+ACUTE_MARGIN)</f>
        <v>0.0</v>
      </c>
      <c r="H294" s="13">
        <f>IF(B294=1,COST_YR_RUNG1,COST_YR_RUNG2)</f>
        <v>152394.16214437486</v>
      </c>
      <c r="I294" s="13">
        <f>E294-H294</f>
        <v>-152394.16214437486</v>
      </c>
      <c r="J294" s="13">
        <f>J293+I294</f>
        <v>-5965336.393596377</v>
      </c>
      <c r="K294">
        <f>IF(J294=MAX($J$4:$J$404),A294,0)</f>
        <v>0</v>
      </c>
      <c r="L294">
        <f>IF(E294&lt;H294,A294,B_MAX+1)</f>
        <v>290</v>
      </c>
      <c r="M294" s="13">
        <f>IF(B294=1,GRANT_RUNG1,GRANT_RUNG2)</f>
        <v>0</v>
      </c>
      <c r="N294" s="13">
        <f>OCC_DAYS*MCD_SHARE_BED*R_NF_2023-D294*MCD_SHARE_FREED*R_WAIT_2023</f>
        <v>151980.48282209205</v>
      </c>
      <c r="O294">
        <f>IF(A294&lt;=BEDS,1,0)</f>
        <v>0</v>
      </c>
    </row>
    <row r="295">
      <c r="A295" t="n">
        <v>291</v>
      </c>
      <c r="B295">
        <f>IF(COST_YR_RUNG1&lt;=COST_YR_RUNG2,IF(A295&lt;=RUNG_BEDS_1,1,2),IF(A295&lt;=RUNG_BEDS_2,2,1))</f>
        <v>1</v>
      </c>
      <c r="C295" s="5">
        <f>MIN(1,MAX(0,POOL_BEDS-(A295-1)))</f>
        <v>0</v>
      </c>
      <c r="D295" s="5">
        <f>FREED*(C295+(1-C295)*PAST_POOL_PCT)</f>
        <v>0.0</v>
      </c>
      <c r="E295" s="13">
        <f>D295*(C_AVOID+ACUTE_MARGIN)</f>
        <v>0.0</v>
      </c>
      <c r="F295" s="13">
        <f>D295*(RANGE_LO+ACUTE_MARGIN)</f>
        <v>0.0</v>
      </c>
      <c r="G295" s="13">
        <f>D295*(RANGE_HI+ACUTE_MARGIN)</f>
        <v>0.0</v>
      </c>
      <c r="H295" s="13">
        <f>IF(B295=1,COST_YR_RUNG1,COST_YR_RUNG2)</f>
        <v>152394.16214437486</v>
      </c>
      <c r="I295" s="13">
        <f>E295-H295</f>
        <v>-152394.16214437486</v>
      </c>
      <c r="J295" s="13">
        <f>J294+I295</f>
        <v>-6117730.555740752</v>
      </c>
      <c r="K295">
        <f>IF(J295=MAX($J$4:$J$404),A295,0)</f>
        <v>0</v>
      </c>
      <c r="L295">
        <f>IF(E295&lt;H295,A295,B_MAX+1)</f>
        <v>291</v>
      </c>
      <c r="M295" s="13">
        <f>IF(B295=1,GRANT_RUNG1,GRANT_RUNG2)</f>
        <v>0</v>
      </c>
      <c r="N295" s="13">
        <f>OCC_DAYS*MCD_SHARE_BED*R_NF_2023-D295*MCD_SHARE_FREED*R_WAIT_2023</f>
        <v>151980.48282209205</v>
      </c>
      <c r="O295">
        <f>IF(A295&lt;=BEDS,1,0)</f>
        <v>0</v>
      </c>
    </row>
    <row r="296">
      <c r="A296" t="n">
        <v>292</v>
      </c>
      <c r="B296">
        <f>IF(COST_YR_RUNG1&lt;=COST_YR_RUNG2,IF(A296&lt;=RUNG_BEDS_1,1,2),IF(A296&lt;=RUNG_BEDS_2,2,1))</f>
        <v>1</v>
      </c>
      <c r="C296" s="5">
        <f>MIN(1,MAX(0,POOL_BEDS-(A296-1)))</f>
        <v>0</v>
      </c>
      <c r="D296" s="5">
        <f>FREED*(C296+(1-C296)*PAST_POOL_PCT)</f>
        <v>0.0</v>
      </c>
      <c r="E296" s="13">
        <f>D296*(C_AVOID+ACUTE_MARGIN)</f>
        <v>0.0</v>
      </c>
      <c r="F296" s="13">
        <f>D296*(RANGE_LO+ACUTE_MARGIN)</f>
        <v>0.0</v>
      </c>
      <c r="G296" s="13">
        <f>D296*(RANGE_HI+ACUTE_MARGIN)</f>
        <v>0.0</v>
      </c>
      <c r="H296" s="13">
        <f>IF(B296=1,COST_YR_RUNG1,COST_YR_RUNG2)</f>
        <v>152394.16214437486</v>
      </c>
      <c r="I296" s="13">
        <f>E296-H296</f>
        <v>-152394.16214437486</v>
      </c>
      <c r="J296" s="13">
        <f>J295+I296</f>
        <v>-6270124.717885127</v>
      </c>
      <c r="K296">
        <f>IF(J296=MAX($J$4:$J$404),A296,0)</f>
        <v>0</v>
      </c>
      <c r="L296">
        <f>IF(E296&lt;H296,A296,B_MAX+1)</f>
        <v>292</v>
      </c>
      <c r="M296" s="13">
        <f>IF(B296=1,GRANT_RUNG1,GRANT_RUNG2)</f>
        <v>0</v>
      </c>
      <c r="N296" s="13">
        <f>OCC_DAYS*MCD_SHARE_BED*R_NF_2023-D296*MCD_SHARE_FREED*R_WAIT_2023</f>
        <v>151980.48282209205</v>
      </c>
      <c r="O296">
        <f>IF(A296&lt;=BEDS,1,0)</f>
        <v>0</v>
      </c>
    </row>
    <row r="297">
      <c r="A297" t="n">
        <v>293</v>
      </c>
      <c r="B297">
        <f>IF(COST_YR_RUNG1&lt;=COST_YR_RUNG2,IF(A297&lt;=RUNG_BEDS_1,1,2),IF(A297&lt;=RUNG_BEDS_2,2,1))</f>
        <v>1</v>
      </c>
      <c r="C297" s="5">
        <f>MIN(1,MAX(0,POOL_BEDS-(A297-1)))</f>
        <v>0</v>
      </c>
      <c r="D297" s="5">
        <f>FREED*(C297+(1-C297)*PAST_POOL_PCT)</f>
        <v>0.0</v>
      </c>
      <c r="E297" s="13">
        <f>D297*(C_AVOID+ACUTE_MARGIN)</f>
        <v>0.0</v>
      </c>
      <c r="F297" s="13">
        <f>D297*(RANGE_LO+ACUTE_MARGIN)</f>
        <v>0.0</v>
      </c>
      <c r="G297" s="13">
        <f>D297*(RANGE_HI+ACUTE_MARGIN)</f>
        <v>0.0</v>
      </c>
      <c r="H297" s="13">
        <f>IF(B297=1,COST_YR_RUNG1,COST_YR_RUNG2)</f>
        <v>152394.16214437486</v>
      </c>
      <c r="I297" s="13">
        <f>E297-H297</f>
        <v>-152394.16214437486</v>
      </c>
      <c r="J297" s="13">
        <f>J296+I297</f>
        <v>-6422518.880029502</v>
      </c>
      <c r="K297">
        <f>IF(J297=MAX($J$4:$J$404),A297,0)</f>
        <v>0</v>
      </c>
      <c r="L297">
        <f>IF(E297&lt;H297,A297,B_MAX+1)</f>
        <v>293</v>
      </c>
      <c r="M297" s="13">
        <f>IF(B297=1,GRANT_RUNG1,GRANT_RUNG2)</f>
        <v>0</v>
      </c>
      <c r="N297" s="13">
        <f>OCC_DAYS*MCD_SHARE_BED*R_NF_2023-D297*MCD_SHARE_FREED*R_WAIT_2023</f>
        <v>151980.48282209205</v>
      </c>
      <c r="O297">
        <f>IF(A297&lt;=BEDS,1,0)</f>
        <v>0</v>
      </c>
    </row>
    <row r="298">
      <c r="A298" t="n">
        <v>294</v>
      </c>
      <c r="B298">
        <f>IF(COST_YR_RUNG1&lt;=COST_YR_RUNG2,IF(A298&lt;=RUNG_BEDS_1,1,2),IF(A298&lt;=RUNG_BEDS_2,2,1))</f>
        <v>1</v>
      </c>
      <c r="C298" s="5">
        <f>MIN(1,MAX(0,POOL_BEDS-(A298-1)))</f>
        <v>0</v>
      </c>
      <c r="D298" s="5">
        <f>FREED*(C298+(1-C298)*PAST_POOL_PCT)</f>
        <v>0.0</v>
      </c>
      <c r="E298" s="13">
        <f>D298*(C_AVOID+ACUTE_MARGIN)</f>
        <v>0.0</v>
      </c>
      <c r="F298" s="13">
        <f>D298*(RANGE_LO+ACUTE_MARGIN)</f>
        <v>0.0</v>
      </c>
      <c r="G298" s="13">
        <f>D298*(RANGE_HI+ACUTE_MARGIN)</f>
        <v>0.0</v>
      </c>
      <c r="H298" s="13">
        <f>IF(B298=1,COST_YR_RUNG1,COST_YR_RUNG2)</f>
        <v>152394.16214437486</v>
      </c>
      <c r="I298" s="13">
        <f>E298-H298</f>
        <v>-152394.16214437486</v>
      </c>
      <c r="J298" s="13">
        <f>J297+I298</f>
        <v>-6574913.042173877</v>
      </c>
      <c r="K298">
        <f>IF(J298=MAX($J$4:$J$404),A298,0)</f>
        <v>0</v>
      </c>
      <c r="L298">
        <f>IF(E298&lt;H298,A298,B_MAX+1)</f>
        <v>294</v>
      </c>
      <c r="M298" s="13">
        <f>IF(B298=1,GRANT_RUNG1,GRANT_RUNG2)</f>
        <v>0</v>
      </c>
      <c r="N298" s="13">
        <f>OCC_DAYS*MCD_SHARE_BED*R_NF_2023-D298*MCD_SHARE_FREED*R_WAIT_2023</f>
        <v>151980.48282209205</v>
      </c>
      <c r="O298">
        <f>IF(A298&lt;=BEDS,1,0)</f>
        <v>0</v>
      </c>
    </row>
    <row r="299">
      <c r="A299" t="n">
        <v>295</v>
      </c>
      <c r="B299">
        <f>IF(COST_YR_RUNG1&lt;=COST_YR_RUNG2,IF(A299&lt;=RUNG_BEDS_1,1,2),IF(A299&lt;=RUNG_BEDS_2,2,1))</f>
        <v>1</v>
      </c>
      <c r="C299" s="5">
        <f>MIN(1,MAX(0,POOL_BEDS-(A299-1)))</f>
        <v>0</v>
      </c>
      <c r="D299" s="5">
        <f>FREED*(C299+(1-C299)*PAST_POOL_PCT)</f>
        <v>0.0</v>
      </c>
      <c r="E299" s="13">
        <f>D299*(C_AVOID+ACUTE_MARGIN)</f>
        <v>0.0</v>
      </c>
      <c r="F299" s="13">
        <f>D299*(RANGE_LO+ACUTE_MARGIN)</f>
        <v>0.0</v>
      </c>
      <c r="G299" s="13">
        <f>D299*(RANGE_HI+ACUTE_MARGIN)</f>
        <v>0.0</v>
      </c>
      <c r="H299" s="13">
        <f>IF(B299=1,COST_YR_RUNG1,COST_YR_RUNG2)</f>
        <v>152394.16214437486</v>
      </c>
      <c r="I299" s="13">
        <f>E299-H299</f>
        <v>-152394.16214437486</v>
      </c>
      <c r="J299" s="13">
        <f>J298+I299</f>
        <v>-6727307.204318252</v>
      </c>
      <c r="K299">
        <f>IF(J299=MAX($J$4:$J$404),A299,0)</f>
        <v>0</v>
      </c>
      <c r="L299">
        <f>IF(E299&lt;H299,A299,B_MAX+1)</f>
        <v>295</v>
      </c>
      <c r="M299" s="13">
        <f>IF(B299=1,GRANT_RUNG1,GRANT_RUNG2)</f>
        <v>0</v>
      </c>
      <c r="N299" s="13">
        <f>OCC_DAYS*MCD_SHARE_BED*R_NF_2023-D299*MCD_SHARE_FREED*R_WAIT_2023</f>
        <v>151980.48282209205</v>
      </c>
      <c r="O299">
        <f>IF(A299&lt;=BEDS,1,0)</f>
        <v>0</v>
      </c>
    </row>
    <row r="300">
      <c r="A300" t="n">
        <v>296</v>
      </c>
      <c r="B300">
        <f>IF(COST_YR_RUNG1&lt;=COST_YR_RUNG2,IF(A300&lt;=RUNG_BEDS_1,1,2),IF(A300&lt;=RUNG_BEDS_2,2,1))</f>
        <v>1</v>
      </c>
      <c r="C300" s="5">
        <f>MIN(1,MAX(0,POOL_BEDS-(A300-1)))</f>
        <v>0</v>
      </c>
      <c r="D300" s="5">
        <f>FREED*(C300+(1-C300)*PAST_POOL_PCT)</f>
        <v>0.0</v>
      </c>
      <c r="E300" s="13">
        <f>D300*(C_AVOID+ACUTE_MARGIN)</f>
        <v>0.0</v>
      </c>
      <c r="F300" s="13">
        <f>D300*(RANGE_LO+ACUTE_MARGIN)</f>
        <v>0.0</v>
      </c>
      <c r="G300" s="13">
        <f>D300*(RANGE_HI+ACUTE_MARGIN)</f>
        <v>0.0</v>
      </c>
      <c r="H300" s="13">
        <f>IF(B300=1,COST_YR_RUNG1,COST_YR_RUNG2)</f>
        <v>152394.16214437486</v>
      </c>
      <c r="I300" s="13">
        <f>E300-H300</f>
        <v>-152394.16214437486</v>
      </c>
      <c r="J300" s="13">
        <f>J299+I300</f>
        <v>-6879701.366462627</v>
      </c>
      <c r="K300">
        <f>IF(J300=MAX($J$4:$J$404),A300,0)</f>
        <v>0</v>
      </c>
      <c r="L300">
        <f>IF(E300&lt;H300,A300,B_MAX+1)</f>
        <v>296</v>
      </c>
      <c r="M300" s="13">
        <f>IF(B300=1,GRANT_RUNG1,GRANT_RUNG2)</f>
        <v>0</v>
      </c>
      <c r="N300" s="13">
        <f>OCC_DAYS*MCD_SHARE_BED*R_NF_2023-D300*MCD_SHARE_FREED*R_WAIT_2023</f>
        <v>151980.48282209205</v>
      </c>
      <c r="O300">
        <f>IF(A300&lt;=BEDS,1,0)</f>
        <v>0</v>
      </c>
    </row>
    <row r="301">
      <c r="A301" t="n">
        <v>297</v>
      </c>
      <c r="B301">
        <f>IF(COST_YR_RUNG1&lt;=COST_YR_RUNG2,IF(A301&lt;=RUNG_BEDS_1,1,2),IF(A301&lt;=RUNG_BEDS_2,2,1))</f>
        <v>1</v>
      </c>
      <c r="C301" s="5">
        <f>MIN(1,MAX(0,POOL_BEDS-(A301-1)))</f>
        <v>0</v>
      </c>
      <c r="D301" s="5">
        <f>FREED*(C301+(1-C301)*PAST_POOL_PCT)</f>
        <v>0.0</v>
      </c>
      <c r="E301" s="13">
        <f>D301*(C_AVOID+ACUTE_MARGIN)</f>
        <v>0.0</v>
      </c>
      <c r="F301" s="13">
        <f>D301*(RANGE_LO+ACUTE_MARGIN)</f>
        <v>0.0</v>
      </c>
      <c r="G301" s="13">
        <f>D301*(RANGE_HI+ACUTE_MARGIN)</f>
        <v>0.0</v>
      </c>
      <c r="H301" s="13">
        <f>IF(B301=1,COST_YR_RUNG1,COST_YR_RUNG2)</f>
        <v>152394.16214437486</v>
      </c>
      <c r="I301" s="13">
        <f>E301-H301</f>
        <v>-152394.16214437486</v>
      </c>
      <c r="J301" s="13">
        <f>J300+I301</f>
        <v>-7032095.528607002</v>
      </c>
      <c r="K301">
        <f>IF(J301=MAX($J$4:$J$404),A301,0)</f>
        <v>0</v>
      </c>
      <c r="L301">
        <f>IF(E301&lt;H301,A301,B_MAX+1)</f>
        <v>297</v>
      </c>
      <c r="M301" s="13">
        <f>IF(B301=1,GRANT_RUNG1,GRANT_RUNG2)</f>
        <v>0</v>
      </c>
      <c r="N301" s="13">
        <f>OCC_DAYS*MCD_SHARE_BED*R_NF_2023-D301*MCD_SHARE_FREED*R_WAIT_2023</f>
        <v>151980.48282209205</v>
      </c>
      <c r="O301">
        <f>IF(A301&lt;=BEDS,1,0)</f>
        <v>0</v>
      </c>
    </row>
    <row r="302">
      <c r="A302" t="n">
        <v>298</v>
      </c>
      <c r="B302">
        <f>IF(COST_YR_RUNG1&lt;=COST_YR_RUNG2,IF(A302&lt;=RUNG_BEDS_1,1,2),IF(A302&lt;=RUNG_BEDS_2,2,1))</f>
        <v>1</v>
      </c>
      <c r="C302" s="5">
        <f>MIN(1,MAX(0,POOL_BEDS-(A302-1)))</f>
        <v>0</v>
      </c>
      <c r="D302" s="5">
        <f>FREED*(C302+(1-C302)*PAST_POOL_PCT)</f>
        <v>0.0</v>
      </c>
      <c r="E302" s="13">
        <f>D302*(C_AVOID+ACUTE_MARGIN)</f>
        <v>0.0</v>
      </c>
      <c r="F302" s="13">
        <f>D302*(RANGE_LO+ACUTE_MARGIN)</f>
        <v>0.0</v>
      </c>
      <c r="G302" s="13">
        <f>D302*(RANGE_HI+ACUTE_MARGIN)</f>
        <v>0.0</v>
      </c>
      <c r="H302" s="13">
        <f>IF(B302=1,COST_YR_RUNG1,COST_YR_RUNG2)</f>
        <v>152394.16214437486</v>
      </c>
      <c r="I302" s="13">
        <f>E302-H302</f>
        <v>-152394.16214437486</v>
      </c>
      <c r="J302" s="13">
        <f>J301+I302</f>
        <v>-7184489.6907513775</v>
      </c>
      <c r="K302">
        <f>IF(J302=MAX($J$4:$J$404),A302,0)</f>
        <v>0</v>
      </c>
      <c r="L302">
        <f>IF(E302&lt;H302,A302,B_MAX+1)</f>
        <v>298</v>
      </c>
      <c r="M302" s="13">
        <f>IF(B302=1,GRANT_RUNG1,GRANT_RUNG2)</f>
        <v>0</v>
      </c>
      <c r="N302" s="13">
        <f>OCC_DAYS*MCD_SHARE_BED*R_NF_2023-D302*MCD_SHARE_FREED*R_WAIT_2023</f>
        <v>151980.48282209205</v>
      </c>
      <c r="O302">
        <f>IF(A302&lt;=BEDS,1,0)</f>
        <v>0</v>
      </c>
    </row>
    <row r="303">
      <c r="A303" t="n">
        <v>299</v>
      </c>
      <c r="B303">
        <f>IF(COST_YR_RUNG1&lt;=COST_YR_RUNG2,IF(A303&lt;=RUNG_BEDS_1,1,2),IF(A303&lt;=RUNG_BEDS_2,2,1))</f>
        <v>1</v>
      </c>
      <c r="C303" s="5">
        <f>MIN(1,MAX(0,POOL_BEDS-(A303-1)))</f>
        <v>0</v>
      </c>
      <c r="D303" s="5">
        <f>FREED*(C303+(1-C303)*PAST_POOL_PCT)</f>
        <v>0.0</v>
      </c>
      <c r="E303" s="13">
        <f>D303*(C_AVOID+ACUTE_MARGIN)</f>
        <v>0.0</v>
      </c>
      <c r="F303" s="13">
        <f>D303*(RANGE_LO+ACUTE_MARGIN)</f>
        <v>0.0</v>
      </c>
      <c r="G303" s="13">
        <f>D303*(RANGE_HI+ACUTE_MARGIN)</f>
        <v>0.0</v>
      </c>
      <c r="H303" s="13">
        <f>IF(B303=1,COST_YR_RUNG1,COST_YR_RUNG2)</f>
        <v>152394.16214437486</v>
      </c>
      <c r="I303" s="13">
        <f>E303-H303</f>
        <v>-152394.16214437486</v>
      </c>
      <c r="J303" s="13">
        <f>J302+I303</f>
        <v>-7336883.8528957525</v>
      </c>
      <c r="K303">
        <f>IF(J303=MAX($J$4:$J$404),A303,0)</f>
        <v>0</v>
      </c>
      <c r="L303">
        <f>IF(E303&lt;H303,A303,B_MAX+1)</f>
        <v>299</v>
      </c>
      <c r="M303" s="13">
        <f>IF(B303=1,GRANT_RUNG1,GRANT_RUNG2)</f>
        <v>0</v>
      </c>
      <c r="N303" s="13">
        <f>OCC_DAYS*MCD_SHARE_BED*R_NF_2023-D303*MCD_SHARE_FREED*R_WAIT_2023</f>
        <v>151980.48282209205</v>
      </c>
      <c r="O303">
        <f>IF(A303&lt;=BEDS,1,0)</f>
        <v>0</v>
      </c>
    </row>
    <row r="304">
      <c r="A304" t="n">
        <v>300</v>
      </c>
      <c r="B304">
        <f>IF(COST_YR_RUNG1&lt;=COST_YR_RUNG2,IF(A304&lt;=RUNG_BEDS_1,1,2),IF(A304&lt;=RUNG_BEDS_2,2,1))</f>
        <v>1</v>
      </c>
      <c r="C304" s="5">
        <f>MIN(1,MAX(0,POOL_BEDS-(A304-1)))</f>
        <v>0</v>
      </c>
      <c r="D304" s="5">
        <f>FREED*(C304+(1-C304)*PAST_POOL_PCT)</f>
        <v>0.0</v>
      </c>
      <c r="E304" s="13">
        <f>D304*(C_AVOID+ACUTE_MARGIN)</f>
        <v>0.0</v>
      </c>
      <c r="F304" s="13">
        <f>D304*(RANGE_LO+ACUTE_MARGIN)</f>
        <v>0.0</v>
      </c>
      <c r="G304" s="13">
        <f>D304*(RANGE_HI+ACUTE_MARGIN)</f>
        <v>0.0</v>
      </c>
      <c r="H304" s="13">
        <f>IF(B304=1,COST_YR_RUNG1,COST_YR_RUNG2)</f>
        <v>152394.16214437486</v>
      </c>
      <c r="I304" s="13">
        <f>E304-H304</f>
        <v>-152394.16214437486</v>
      </c>
      <c r="J304" s="13">
        <f>J303+I304</f>
        <v>-7489278.015040128</v>
      </c>
      <c r="K304">
        <f>IF(J304=MAX($J$4:$J$404),A304,0)</f>
        <v>0</v>
      </c>
      <c r="L304">
        <f>IF(E304&lt;H304,A304,B_MAX+1)</f>
        <v>300</v>
      </c>
      <c r="M304" s="13">
        <f>IF(B304=1,GRANT_RUNG1,GRANT_RUNG2)</f>
        <v>0</v>
      </c>
      <c r="N304" s="13">
        <f>OCC_DAYS*MCD_SHARE_BED*R_NF_2023-D304*MCD_SHARE_FREED*R_WAIT_2023</f>
        <v>151980.48282209205</v>
      </c>
      <c r="O304">
        <f>IF(A304&lt;=BEDS,1,0)</f>
        <v>0</v>
      </c>
    </row>
    <row r="305">
      <c r="A305" t="n">
        <v>301</v>
      </c>
      <c r="B305">
        <f>IF(COST_YR_RUNG1&lt;=COST_YR_RUNG2,IF(A305&lt;=RUNG_BEDS_1,1,2),IF(A305&lt;=RUNG_BEDS_2,2,1))</f>
        <v>1</v>
      </c>
      <c r="C305" s="5">
        <f>MIN(1,MAX(0,POOL_BEDS-(A305-1)))</f>
        <v>0</v>
      </c>
      <c r="D305" s="5">
        <f>FREED*(C305+(1-C305)*PAST_POOL_PCT)</f>
        <v>0.0</v>
      </c>
      <c r="E305" s="13">
        <f>D305*(C_AVOID+ACUTE_MARGIN)</f>
        <v>0.0</v>
      </c>
      <c r="F305" s="13">
        <f>D305*(RANGE_LO+ACUTE_MARGIN)</f>
        <v>0.0</v>
      </c>
      <c r="G305" s="13">
        <f>D305*(RANGE_HI+ACUTE_MARGIN)</f>
        <v>0.0</v>
      </c>
      <c r="H305" s="13">
        <f>IF(B305=1,COST_YR_RUNG1,COST_YR_RUNG2)</f>
        <v>152394.16214437486</v>
      </c>
      <c r="I305" s="13">
        <f>E305-H305</f>
        <v>-152394.16214437486</v>
      </c>
      <c r="J305" s="13">
        <f>J304+I305</f>
        <v>-7641672.177184503</v>
      </c>
      <c r="K305">
        <f>IF(J305=MAX($J$4:$J$404),A305,0)</f>
        <v>0</v>
      </c>
      <c r="L305">
        <f>IF(E305&lt;H305,A305,B_MAX+1)</f>
        <v>301</v>
      </c>
      <c r="M305" s="13">
        <f>IF(B305=1,GRANT_RUNG1,GRANT_RUNG2)</f>
        <v>0</v>
      </c>
      <c r="N305" s="13">
        <f>OCC_DAYS*MCD_SHARE_BED*R_NF_2023-D305*MCD_SHARE_FREED*R_WAIT_2023</f>
        <v>151980.48282209205</v>
      </c>
      <c r="O305">
        <f>IF(A305&lt;=BEDS,1,0)</f>
        <v>0</v>
      </c>
    </row>
    <row r="306">
      <c r="A306" t="n">
        <v>302</v>
      </c>
      <c r="B306">
        <f>IF(COST_YR_RUNG1&lt;=COST_YR_RUNG2,IF(A306&lt;=RUNG_BEDS_1,1,2),IF(A306&lt;=RUNG_BEDS_2,2,1))</f>
        <v>1</v>
      </c>
      <c r="C306" s="5">
        <f>MIN(1,MAX(0,POOL_BEDS-(A306-1)))</f>
        <v>0</v>
      </c>
      <c r="D306" s="5">
        <f>FREED*(C306+(1-C306)*PAST_POOL_PCT)</f>
        <v>0.0</v>
      </c>
      <c r="E306" s="13">
        <f>D306*(C_AVOID+ACUTE_MARGIN)</f>
        <v>0.0</v>
      </c>
      <c r="F306" s="13">
        <f>D306*(RANGE_LO+ACUTE_MARGIN)</f>
        <v>0.0</v>
      </c>
      <c r="G306" s="13">
        <f>D306*(RANGE_HI+ACUTE_MARGIN)</f>
        <v>0.0</v>
      </c>
      <c r="H306" s="13">
        <f>IF(B306=1,COST_YR_RUNG1,COST_YR_RUNG2)</f>
        <v>152394.16214437486</v>
      </c>
      <c r="I306" s="13">
        <f>E306-H306</f>
        <v>-152394.16214437486</v>
      </c>
      <c r="J306" s="13">
        <f>J305+I306</f>
        <v>-7794066.339328878</v>
      </c>
      <c r="K306">
        <f>IF(J306=MAX($J$4:$J$404),A306,0)</f>
        <v>0</v>
      </c>
      <c r="L306">
        <f>IF(E306&lt;H306,A306,B_MAX+1)</f>
        <v>302</v>
      </c>
      <c r="M306" s="13">
        <f>IF(B306=1,GRANT_RUNG1,GRANT_RUNG2)</f>
        <v>0</v>
      </c>
      <c r="N306" s="13">
        <f>OCC_DAYS*MCD_SHARE_BED*R_NF_2023-D306*MCD_SHARE_FREED*R_WAIT_2023</f>
        <v>151980.48282209205</v>
      </c>
      <c r="O306">
        <f>IF(A306&lt;=BEDS,1,0)</f>
        <v>0</v>
      </c>
    </row>
    <row r="307">
      <c r="A307" t="n">
        <v>303</v>
      </c>
      <c r="B307">
        <f>IF(COST_YR_RUNG1&lt;=COST_YR_RUNG2,IF(A307&lt;=RUNG_BEDS_1,1,2),IF(A307&lt;=RUNG_BEDS_2,2,1))</f>
        <v>1</v>
      </c>
      <c r="C307" s="5">
        <f>MIN(1,MAX(0,POOL_BEDS-(A307-1)))</f>
        <v>0</v>
      </c>
      <c r="D307" s="5">
        <f>FREED*(C307+(1-C307)*PAST_POOL_PCT)</f>
        <v>0.0</v>
      </c>
      <c r="E307" s="13">
        <f>D307*(C_AVOID+ACUTE_MARGIN)</f>
        <v>0.0</v>
      </c>
      <c r="F307" s="13">
        <f>D307*(RANGE_LO+ACUTE_MARGIN)</f>
        <v>0.0</v>
      </c>
      <c r="G307" s="13">
        <f>D307*(RANGE_HI+ACUTE_MARGIN)</f>
        <v>0.0</v>
      </c>
      <c r="H307" s="13">
        <f>IF(B307=1,COST_YR_RUNG1,COST_YR_RUNG2)</f>
        <v>152394.16214437486</v>
      </c>
      <c r="I307" s="13">
        <f>E307-H307</f>
        <v>-152394.16214437486</v>
      </c>
      <c r="J307" s="13">
        <f>J306+I307</f>
        <v>-7946460.501473253</v>
      </c>
      <c r="K307">
        <f>IF(J307=MAX($J$4:$J$404),A307,0)</f>
        <v>0</v>
      </c>
      <c r="L307">
        <f>IF(E307&lt;H307,A307,B_MAX+1)</f>
        <v>303</v>
      </c>
      <c r="M307" s="13">
        <f>IF(B307=1,GRANT_RUNG1,GRANT_RUNG2)</f>
        <v>0</v>
      </c>
      <c r="N307" s="13">
        <f>OCC_DAYS*MCD_SHARE_BED*R_NF_2023-D307*MCD_SHARE_FREED*R_WAIT_2023</f>
        <v>151980.48282209205</v>
      </c>
      <c r="O307">
        <f>IF(A307&lt;=BEDS,1,0)</f>
        <v>0</v>
      </c>
    </row>
    <row r="308">
      <c r="A308" t="n">
        <v>304</v>
      </c>
      <c r="B308">
        <f>IF(COST_YR_RUNG1&lt;=COST_YR_RUNG2,IF(A308&lt;=RUNG_BEDS_1,1,2),IF(A308&lt;=RUNG_BEDS_2,2,1))</f>
        <v>1</v>
      </c>
      <c r="C308" s="5">
        <f>MIN(1,MAX(0,POOL_BEDS-(A308-1)))</f>
        <v>0</v>
      </c>
      <c r="D308" s="5">
        <f>FREED*(C308+(1-C308)*PAST_POOL_PCT)</f>
        <v>0.0</v>
      </c>
      <c r="E308" s="13">
        <f>D308*(C_AVOID+ACUTE_MARGIN)</f>
        <v>0.0</v>
      </c>
      <c r="F308" s="13">
        <f>D308*(RANGE_LO+ACUTE_MARGIN)</f>
        <v>0.0</v>
      </c>
      <c r="G308" s="13">
        <f>D308*(RANGE_HI+ACUTE_MARGIN)</f>
        <v>0.0</v>
      </c>
      <c r="H308" s="13">
        <f>IF(B308=1,COST_YR_RUNG1,COST_YR_RUNG2)</f>
        <v>152394.16214437486</v>
      </c>
      <c r="I308" s="13">
        <f>E308-H308</f>
        <v>-152394.16214437486</v>
      </c>
      <c r="J308" s="13">
        <f>J307+I308</f>
        <v>-8098854.663617628</v>
      </c>
      <c r="K308">
        <f>IF(J308=MAX($J$4:$J$404),A308,0)</f>
        <v>0</v>
      </c>
      <c r="L308">
        <f>IF(E308&lt;H308,A308,B_MAX+1)</f>
        <v>304</v>
      </c>
      <c r="M308" s="13">
        <f>IF(B308=1,GRANT_RUNG1,GRANT_RUNG2)</f>
        <v>0</v>
      </c>
      <c r="N308" s="13">
        <f>OCC_DAYS*MCD_SHARE_BED*R_NF_2023-D308*MCD_SHARE_FREED*R_WAIT_2023</f>
        <v>151980.48282209205</v>
      </c>
      <c r="O308">
        <f>IF(A308&lt;=BEDS,1,0)</f>
        <v>0</v>
      </c>
    </row>
    <row r="309">
      <c r="A309" t="n">
        <v>305</v>
      </c>
      <c r="B309">
        <f>IF(COST_YR_RUNG1&lt;=COST_YR_RUNG2,IF(A309&lt;=RUNG_BEDS_1,1,2),IF(A309&lt;=RUNG_BEDS_2,2,1))</f>
        <v>1</v>
      </c>
      <c r="C309" s="5">
        <f>MIN(1,MAX(0,POOL_BEDS-(A309-1)))</f>
        <v>0</v>
      </c>
      <c r="D309" s="5">
        <f>FREED*(C309+(1-C309)*PAST_POOL_PCT)</f>
        <v>0.0</v>
      </c>
      <c r="E309" s="13">
        <f>D309*(C_AVOID+ACUTE_MARGIN)</f>
        <v>0.0</v>
      </c>
      <c r="F309" s="13">
        <f>D309*(RANGE_LO+ACUTE_MARGIN)</f>
        <v>0.0</v>
      </c>
      <c r="G309" s="13">
        <f>D309*(RANGE_HI+ACUTE_MARGIN)</f>
        <v>0.0</v>
      </c>
      <c r="H309" s="13">
        <f>IF(B309=1,COST_YR_RUNG1,COST_YR_RUNG2)</f>
        <v>152394.16214437486</v>
      </c>
      <c r="I309" s="13">
        <f>E309-H309</f>
        <v>-152394.16214437486</v>
      </c>
      <c r="J309" s="13">
        <f>J308+I309</f>
        <v>-8251248.825762003</v>
      </c>
      <c r="K309">
        <f>IF(J309=MAX($J$4:$J$404),A309,0)</f>
        <v>0</v>
      </c>
      <c r="L309">
        <f>IF(E309&lt;H309,A309,B_MAX+1)</f>
        <v>305</v>
      </c>
      <c r="M309" s="13">
        <f>IF(B309=1,GRANT_RUNG1,GRANT_RUNG2)</f>
        <v>0</v>
      </c>
      <c r="N309" s="13">
        <f>OCC_DAYS*MCD_SHARE_BED*R_NF_2023-D309*MCD_SHARE_FREED*R_WAIT_2023</f>
        <v>151980.48282209205</v>
      </c>
      <c r="O309">
        <f>IF(A309&lt;=BEDS,1,0)</f>
        <v>0</v>
      </c>
    </row>
    <row r="310">
      <c r="A310" t="n">
        <v>306</v>
      </c>
      <c r="B310">
        <f>IF(COST_YR_RUNG1&lt;=COST_YR_RUNG2,IF(A310&lt;=RUNG_BEDS_1,1,2),IF(A310&lt;=RUNG_BEDS_2,2,1))</f>
        <v>1</v>
      </c>
      <c r="C310" s="5">
        <f>MIN(1,MAX(0,POOL_BEDS-(A310-1)))</f>
        <v>0</v>
      </c>
      <c r="D310" s="5">
        <f>FREED*(C310+(1-C310)*PAST_POOL_PCT)</f>
        <v>0.0</v>
      </c>
      <c r="E310" s="13">
        <f>D310*(C_AVOID+ACUTE_MARGIN)</f>
        <v>0.0</v>
      </c>
      <c r="F310" s="13">
        <f>D310*(RANGE_LO+ACUTE_MARGIN)</f>
        <v>0.0</v>
      </c>
      <c r="G310" s="13">
        <f>D310*(RANGE_HI+ACUTE_MARGIN)</f>
        <v>0.0</v>
      </c>
      <c r="H310" s="13">
        <f>IF(B310=1,COST_YR_RUNG1,COST_YR_RUNG2)</f>
        <v>152394.16214437486</v>
      </c>
      <c r="I310" s="13">
        <f>E310-H310</f>
        <v>-152394.16214437486</v>
      </c>
      <c r="J310" s="13">
        <f>J309+I310</f>
        <v>-8403642.987906378</v>
      </c>
      <c r="K310">
        <f>IF(J310=MAX($J$4:$J$404),A310,0)</f>
        <v>0</v>
      </c>
      <c r="L310">
        <f>IF(E310&lt;H310,A310,B_MAX+1)</f>
        <v>306</v>
      </c>
      <c r="M310" s="13">
        <f>IF(B310=1,GRANT_RUNG1,GRANT_RUNG2)</f>
        <v>0</v>
      </c>
      <c r="N310" s="13">
        <f>OCC_DAYS*MCD_SHARE_BED*R_NF_2023-D310*MCD_SHARE_FREED*R_WAIT_2023</f>
        <v>151980.48282209205</v>
      </c>
      <c r="O310">
        <f>IF(A310&lt;=BEDS,1,0)</f>
        <v>0</v>
      </c>
    </row>
    <row r="311">
      <c r="A311" t="n">
        <v>307</v>
      </c>
      <c r="B311">
        <f>IF(COST_YR_RUNG1&lt;=COST_YR_RUNG2,IF(A311&lt;=RUNG_BEDS_1,1,2),IF(A311&lt;=RUNG_BEDS_2,2,1))</f>
        <v>1</v>
      </c>
      <c r="C311" s="5">
        <f>MIN(1,MAX(0,POOL_BEDS-(A311-1)))</f>
        <v>0</v>
      </c>
      <c r="D311" s="5">
        <f>FREED*(C311+(1-C311)*PAST_POOL_PCT)</f>
        <v>0.0</v>
      </c>
      <c r="E311" s="13">
        <f>D311*(C_AVOID+ACUTE_MARGIN)</f>
        <v>0.0</v>
      </c>
      <c r="F311" s="13">
        <f>D311*(RANGE_LO+ACUTE_MARGIN)</f>
        <v>0.0</v>
      </c>
      <c r="G311" s="13">
        <f>D311*(RANGE_HI+ACUTE_MARGIN)</f>
        <v>0.0</v>
      </c>
      <c r="H311" s="13">
        <f>IF(B311=1,COST_YR_RUNG1,COST_YR_RUNG2)</f>
        <v>152394.16214437486</v>
      </c>
      <c r="I311" s="13">
        <f>E311-H311</f>
        <v>-152394.16214437486</v>
      </c>
      <c r="J311" s="13">
        <f>J310+I311</f>
        <v>-8556037.150050752</v>
      </c>
      <c r="K311">
        <f>IF(J311=MAX($J$4:$J$404),A311,0)</f>
        <v>0</v>
      </c>
      <c r="L311">
        <f>IF(E311&lt;H311,A311,B_MAX+1)</f>
        <v>307</v>
      </c>
      <c r="M311" s="13">
        <f>IF(B311=1,GRANT_RUNG1,GRANT_RUNG2)</f>
        <v>0</v>
      </c>
      <c r="N311" s="13">
        <f>OCC_DAYS*MCD_SHARE_BED*R_NF_2023-D311*MCD_SHARE_FREED*R_WAIT_2023</f>
        <v>151980.48282209205</v>
      </c>
      <c r="O311">
        <f>IF(A311&lt;=BEDS,1,0)</f>
        <v>0</v>
      </c>
    </row>
    <row r="312">
      <c r="A312" t="n">
        <v>308</v>
      </c>
      <c r="B312">
        <f>IF(COST_YR_RUNG1&lt;=COST_YR_RUNG2,IF(A312&lt;=RUNG_BEDS_1,1,2),IF(A312&lt;=RUNG_BEDS_2,2,1))</f>
        <v>1</v>
      </c>
      <c r="C312" s="5">
        <f>MIN(1,MAX(0,POOL_BEDS-(A312-1)))</f>
        <v>0</v>
      </c>
      <c r="D312" s="5">
        <f>FREED*(C312+(1-C312)*PAST_POOL_PCT)</f>
        <v>0.0</v>
      </c>
      <c r="E312" s="13">
        <f>D312*(C_AVOID+ACUTE_MARGIN)</f>
        <v>0.0</v>
      </c>
      <c r="F312" s="13">
        <f>D312*(RANGE_LO+ACUTE_MARGIN)</f>
        <v>0.0</v>
      </c>
      <c r="G312" s="13">
        <f>D312*(RANGE_HI+ACUTE_MARGIN)</f>
        <v>0.0</v>
      </c>
      <c r="H312" s="13">
        <f>IF(B312=1,COST_YR_RUNG1,COST_YR_RUNG2)</f>
        <v>152394.16214437486</v>
      </c>
      <c r="I312" s="13">
        <f>E312-H312</f>
        <v>-152394.16214437486</v>
      </c>
      <c r="J312" s="13">
        <f>J311+I312</f>
        <v>-8708431.312195126</v>
      </c>
      <c r="K312">
        <f>IF(J312=MAX($J$4:$J$404),A312,0)</f>
        <v>0</v>
      </c>
      <c r="L312">
        <f>IF(E312&lt;H312,A312,B_MAX+1)</f>
        <v>308</v>
      </c>
      <c r="M312" s="13">
        <f>IF(B312=1,GRANT_RUNG1,GRANT_RUNG2)</f>
        <v>0</v>
      </c>
      <c r="N312" s="13">
        <f>OCC_DAYS*MCD_SHARE_BED*R_NF_2023-D312*MCD_SHARE_FREED*R_WAIT_2023</f>
        <v>151980.48282209205</v>
      </c>
      <c r="O312">
        <f>IF(A312&lt;=BEDS,1,0)</f>
        <v>0</v>
      </c>
    </row>
    <row r="313">
      <c r="A313" t="n">
        <v>309</v>
      </c>
      <c r="B313">
        <f>IF(COST_YR_RUNG1&lt;=COST_YR_RUNG2,IF(A313&lt;=RUNG_BEDS_1,1,2),IF(A313&lt;=RUNG_BEDS_2,2,1))</f>
        <v>1</v>
      </c>
      <c r="C313" s="5">
        <f>MIN(1,MAX(0,POOL_BEDS-(A313-1)))</f>
        <v>0</v>
      </c>
      <c r="D313" s="5">
        <f>FREED*(C313+(1-C313)*PAST_POOL_PCT)</f>
        <v>0.0</v>
      </c>
      <c r="E313" s="13">
        <f>D313*(C_AVOID+ACUTE_MARGIN)</f>
        <v>0.0</v>
      </c>
      <c r="F313" s="13">
        <f>D313*(RANGE_LO+ACUTE_MARGIN)</f>
        <v>0.0</v>
      </c>
      <c r="G313" s="13">
        <f>D313*(RANGE_HI+ACUTE_MARGIN)</f>
        <v>0.0</v>
      </c>
      <c r="H313" s="13">
        <f>IF(B313=1,COST_YR_RUNG1,COST_YR_RUNG2)</f>
        <v>152394.16214437486</v>
      </c>
      <c r="I313" s="13">
        <f>E313-H313</f>
        <v>-152394.16214437486</v>
      </c>
      <c r="J313" s="13">
        <f>J312+I313</f>
        <v>-8860825.4743395</v>
      </c>
      <c r="K313">
        <f>IF(J313=MAX($J$4:$J$404),A313,0)</f>
        <v>0</v>
      </c>
      <c r="L313">
        <f>IF(E313&lt;H313,A313,B_MAX+1)</f>
        <v>309</v>
      </c>
      <c r="M313" s="13">
        <f>IF(B313=1,GRANT_RUNG1,GRANT_RUNG2)</f>
        <v>0</v>
      </c>
      <c r="N313" s="13">
        <f>OCC_DAYS*MCD_SHARE_BED*R_NF_2023-D313*MCD_SHARE_FREED*R_WAIT_2023</f>
        <v>151980.48282209205</v>
      </c>
      <c r="O313">
        <f>IF(A313&lt;=BEDS,1,0)</f>
        <v>0</v>
      </c>
    </row>
    <row r="314">
      <c r="A314" t="n">
        <v>310</v>
      </c>
      <c r="B314">
        <f>IF(COST_YR_RUNG1&lt;=COST_YR_RUNG2,IF(A314&lt;=RUNG_BEDS_1,1,2),IF(A314&lt;=RUNG_BEDS_2,2,1))</f>
        <v>1</v>
      </c>
      <c r="C314" s="5">
        <f>MIN(1,MAX(0,POOL_BEDS-(A314-1)))</f>
        <v>0</v>
      </c>
      <c r="D314" s="5">
        <f>FREED*(C314+(1-C314)*PAST_POOL_PCT)</f>
        <v>0.0</v>
      </c>
      <c r="E314" s="13">
        <f>D314*(C_AVOID+ACUTE_MARGIN)</f>
        <v>0.0</v>
      </c>
      <c r="F314" s="13">
        <f>D314*(RANGE_LO+ACUTE_MARGIN)</f>
        <v>0.0</v>
      </c>
      <c r="G314" s="13">
        <f>D314*(RANGE_HI+ACUTE_MARGIN)</f>
        <v>0.0</v>
      </c>
      <c r="H314" s="13">
        <f>IF(B314=1,COST_YR_RUNG1,COST_YR_RUNG2)</f>
        <v>152394.16214437486</v>
      </c>
      <c r="I314" s="13">
        <f>E314-H314</f>
        <v>-152394.16214437486</v>
      </c>
      <c r="J314" s="13">
        <f>J313+I314</f>
        <v>-9013219.636483874</v>
      </c>
      <c r="K314">
        <f>IF(J314=MAX($J$4:$J$404),A314,0)</f>
        <v>0</v>
      </c>
      <c r="L314">
        <f>IF(E314&lt;H314,A314,B_MAX+1)</f>
        <v>310</v>
      </c>
      <c r="M314" s="13">
        <f>IF(B314=1,GRANT_RUNG1,GRANT_RUNG2)</f>
        <v>0</v>
      </c>
      <c r="N314" s="13">
        <f>OCC_DAYS*MCD_SHARE_BED*R_NF_2023-D314*MCD_SHARE_FREED*R_WAIT_2023</f>
        <v>151980.48282209205</v>
      </c>
      <c r="O314">
        <f>IF(A314&lt;=BEDS,1,0)</f>
        <v>0</v>
      </c>
    </row>
    <row r="315">
      <c r="A315" t="n">
        <v>311</v>
      </c>
      <c r="B315">
        <f>IF(COST_YR_RUNG1&lt;=COST_YR_RUNG2,IF(A315&lt;=RUNG_BEDS_1,1,2),IF(A315&lt;=RUNG_BEDS_2,2,1))</f>
        <v>1</v>
      </c>
      <c r="C315" s="5">
        <f>MIN(1,MAX(0,POOL_BEDS-(A315-1)))</f>
        <v>0</v>
      </c>
      <c r="D315" s="5">
        <f>FREED*(C315+(1-C315)*PAST_POOL_PCT)</f>
        <v>0.0</v>
      </c>
      <c r="E315" s="13">
        <f>D315*(C_AVOID+ACUTE_MARGIN)</f>
        <v>0.0</v>
      </c>
      <c r="F315" s="13">
        <f>D315*(RANGE_LO+ACUTE_MARGIN)</f>
        <v>0.0</v>
      </c>
      <c r="G315" s="13">
        <f>D315*(RANGE_HI+ACUTE_MARGIN)</f>
        <v>0.0</v>
      </c>
      <c r="H315" s="13">
        <f>IF(B315=1,COST_YR_RUNG1,COST_YR_RUNG2)</f>
        <v>152394.16214437486</v>
      </c>
      <c r="I315" s="13">
        <f>E315-H315</f>
        <v>-152394.16214437486</v>
      </c>
      <c r="J315" s="13">
        <f>J314+I315</f>
        <v>-9165613.798628248</v>
      </c>
      <c r="K315">
        <f>IF(J315=MAX($J$4:$J$404),A315,0)</f>
        <v>0</v>
      </c>
      <c r="L315">
        <f>IF(E315&lt;H315,A315,B_MAX+1)</f>
        <v>311</v>
      </c>
      <c r="M315" s="13">
        <f>IF(B315=1,GRANT_RUNG1,GRANT_RUNG2)</f>
        <v>0</v>
      </c>
      <c r="N315" s="13">
        <f>OCC_DAYS*MCD_SHARE_BED*R_NF_2023-D315*MCD_SHARE_FREED*R_WAIT_2023</f>
        <v>151980.48282209205</v>
      </c>
      <c r="O315">
        <f>IF(A315&lt;=BEDS,1,0)</f>
        <v>0</v>
      </c>
    </row>
    <row r="316">
      <c r="A316" t="n">
        <v>312</v>
      </c>
      <c r="B316">
        <f>IF(COST_YR_RUNG1&lt;=COST_YR_RUNG2,IF(A316&lt;=RUNG_BEDS_1,1,2),IF(A316&lt;=RUNG_BEDS_2,2,1))</f>
        <v>1</v>
      </c>
      <c r="C316" s="5">
        <f>MIN(1,MAX(0,POOL_BEDS-(A316-1)))</f>
        <v>0</v>
      </c>
      <c r="D316" s="5">
        <f>FREED*(C316+(1-C316)*PAST_POOL_PCT)</f>
        <v>0.0</v>
      </c>
      <c r="E316" s="13">
        <f>D316*(C_AVOID+ACUTE_MARGIN)</f>
        <v>0.0</v>
      </c>
      <c r="F316" s="13">
        <f>D316*(RANGE_LO+ACUTE_MARGIN)</f>
        <v>0.0</v>
      </c>
      <c r="G316" s="13">
        <f>D316*(RANGE_HI+ACUTE_MARGIN)</f>
        <v>0.0</v>
      </c>
      <c r="H316" s="13">
        <f>IF(B316=1,COST_YR_RUNG1,COST_YR_RUNG2)</f>
        <v>152394.16214437486</v>
      </c>
      <c r="I316" s="13">
        <f>E316-H316</f>
        <v>-152394.16214437486</v>
      </c>
      <c r="J316" s="13">
        <f>J315+I316</f>
        <v>-9318007.960772622</v>
      </c>
      <c r="K316">
        <f>IF(J316=MAX($J$4:$J$404),A316,0)</f>
        <v>0</v>
      </c>
      <c r="L316">
        <f>IF(E316&lt;H316,A316,B_MAX+1)</f>
        <v>312</v>
      </c>
      <c r="M316" s="13">
        <f>IF(B316=1,GRANT_RUNG1,GRANT_RUNG2)</f>
        <v>0</v>
      </c>
      <c r="N316" s="13">
        <f>OCC_DAYS*MCD_SHARE_BED*R_NF_2023-D316*MCD_SHARE_FREED*R_WAIT_2023</f>
        <v>151980.48282209205</v>
      </c>
      <c r="O316">
        <f>IF(A316&lt;=BEDS,1,0)</f>
        <v>0</v>
      </c>
    </row>
    <row r="317">
      <c r="A317" t="n">
        <v>313</v>
      </c>
      <c r="B317">
        <f>IF(COST_YR_RUNG1&lt;=COST_YR_RUNG2,IF(A317&lt;=RUNG_BEDS_1,1,2),IF(A317&lt;=RUNG_BEDS_2,2,1))</f>
        <v>1</v>
      </c>
      <c r="C317" s="5">
        <f>MIN(1,MAX(0,POOL_BEDS-(A317-1)))</f>
        <v>0</v>
      </c>
      <c r="D317" s="5">
        <f>FREED*(C317+(1-C317)*PAST_POOL_PCT)</f>
        <v>0.0</v>
      </c>
      <c r="E317" s="13">
        <f>D317*(C_AVOID+ACUTE_MARGIN)</f>
        <v>0.0</v>
      </c>
      <c r="F317" s="13">
        <f>D317*(RANGE_LO+ACUTE_MARGIN)</f>
        <v>0.0</v>
      </c>
      <c r="G317" s="13">
        <f>D317*(RANGE_HI+ACUTE_MARGIN)</f>
        <v>0.0</v>
      </c>
      <c r="H317" s="13">
        <f>IF(B317=1,COST_YR_RUNG1,COST_YR_RUNG2)</f>
        <v>152394.16214437486</v>
      </c>
      <c r="I317" s="13">
        <f>E317-H317</f>
        <v>-152394.16214437486</v>
      </c>
      <c r="J317" s="13">
        <f>J316+I317</f>
        <v>-9470402.122916996</v>
      </c>
      <c r="K317">
        <f>IF(J317=MAX($J$4:$J$404),A317,0)</f>
        <v>0</v>
      </c>
      <c r="L317">
        <f>IF(E317&lt;H317,A317,B_MAX+1)</f>
        <v>313</v>
      </c>
      <c r="M317" s="13">
        <f>IF(B317=1,GRANT_RUNG1,GRANT_RUNG2)</f>
        <v>0</v>
      </c>
      <c r="N317" s="13">
        <f>OCC_DAYS*MCD_SHARE_BED*R_NF_2023-D317*MCD_SHARE_FREED*R_WAIT_2023</f>
        <v>151980.48282209205</v>
      </c>
      <c r="O317">
        <f>IF(A317&lt;=BEDS,1,0)</f>
        <v>0</v>
      </c>
    </row>
    <row r="318">
      <c r="A318" t="n">
        <v>314</v>
      </c>
      <c r="B318">
        <f>IF(COST_YR_RUNG1&lt;=COST_YR_RUNG2,IF(A318&lt;=RUNG_BEDS_1,1,2),IF(A318&lt;=RUNG_BEDS_2,2,1))</f>
        <v>1</v>
      </c>
      <c r="C318" s="5">
        <f>MIN(1,MAX(0,POOL_BEDS-(A318-1)))</f>
        <v>0</v>
      </c>
      <c r="D318" s="5">
        <f>FREED*(C318+(1-C318)*PAST_POOL_PCT)</f>
        <v>0.0</v>
      </c>
      <c r="E318" s="13">
        <f>D318*(C_AVOID+ACUTE_MARGIN)</f>
        <v>0.0</v>
      </c>
      <c r="F318" s="13">
        <f>D318*(RANGE_LO+ACUTE_MARGIN)</f>
        <v>0.0</v>
      </c>
      <c r="G318" s="13">
        <f>D318*(RANGE_HI+ACUTE_MARGIN)</f>
        <v>0.0</v>
      </c>
      <c r="H318" s="13">
        <f>IF(B318=1,COST_YR_RUNG1,COST_YR_RUNG2)</f>
        <v>152394.16214437486</v>
      </c>
      <c r="I318" s="13">
        <f>E318-H318</f>
        <v>-152394.16214437486</v>
      </c>
      <c r="J318" s="13">
        <f>J317+I318</f>
        <v>-9622796.28506137</v>
      </c>
      <c r="K318">
        <f>IF(J318=MAX($J$4:$J$404),A318,0)</f>
        <v>0</v>
      </c>
      <c r="L318">
        <f>IF(E318&lt;H318,A318,B_MAX+1)</f>
        <v>314</v>
      </c>
      <c r="M318" s="13">
        <f>IF(B318=1,GRANT_RUNG1,GRANT_RUNG2)</f>
        <v>0</v>
      </c>
      <c r="N318" s="13">
        <f>OCC_DAYS*MCD_SHARE_BED*R_NF_2023-D318*MCD_SHARE_FREED*R_WAIT_2023</f>
        <v>151980.48282209205</v>
      </c>
      <c r="O318">
        <f>IF(A318&lt;=BEDS,1,0)</f>
        <v>0</v>
      </c>
    </row>
    <row r="319">
      <c r="A319" t="n">
        <v>315</v>
      </c>
      <c r="B319">
        <f>IF(COST_YR_RUNG1&lt;=COST_YR_RUNG2,IF(A319&lt;=RUNG_BEDS_1,1,2),IF(A319&lt;=RUNG_BEDS_2,2,1))</f>
        <v>1</v>
      </c>
      <c r="C319" s="5">
        <f>MIN(1,MAX(0,POOL_BEDS-(A319-1)))</f>
        <v>0</v>
      </c>
      <c r="D319" s="5">
        <f>FREED*(C319+(1-C319)*PAST_POOL_PCT)</f>
        <v>0.0</v>
      </c>
      <c r="E319" s="13">
        <f>D319*(C_AVOID+ACUTE_MARGIN)</f>
        <v>0.0</v>
      </c>
      <c r="F319" s="13">
        <f>D319*(RANGE_LO+ACUTE_MARGIN)</f>
        <v>0.0</v>
      </c>
      <c r="G319" s="13">
        <f>D319*(RANGE_HI+ACUTE_MARGIN)</f>
        <v>0.0</v>
      </c>
      <c r="H319" s="13">
        <f>IF(B319=1,COST_YR_RUNG1,COST_YR_RUNG2)</f>
        <v>152394.16214437486</v>
      </c>
      <c r="I319" s="13">
        <f>E319-H319</f>
        <v>-152394.16214437486</v>
      </c>
      <c r="J319" s="13">
        <f>J318+I319</f>
        <v>-9775190.447205745</v>
      </c>
      <c r="K319">
        <f>IF(J319=MAX($J$4:$J$404),A319,0)</f>
        <v>0</v>
      </c>
      <c r="L319">
        <f>IF(E319&lt;H319,A319,B_MAX+1)</f>
        <v>315</v>
      </c>
      <c r="M319" s="13">
        <f>IF(B319=1,GRANT_RUNG1,GRANT_RUNG2)</f>
        <v>0</v>
      </c>
      <c r="N319" s="13">
        <f>OCC_DAYS*MCD_SHARE_BED*R_NF_2023-D319*MCD_SHARE_FREED*R_WAIT_2023</f>
        <v>151980.48282209205</v>
      </c>
      <c r="O319">
        <f>IF(A319&lt;=BEDS,1,0)</f>
        <v>0</v>
      </c>
    </row>
    <row r="320">
      <c r="A320" t="n">
        <v>316</v>
      </c>
      <c r="B320">
        <f>IF(COST_YR_RUNG1&lt;=COST_YR_RUNG2,IF(A320&lt;=RUNG_BEDS_1,1,2),IF(A320&lt;=RUNG_BEDS_2,2,1))</f>
        <v>1</v>
      </c>
      <c r="C320" s="5">
        <f>MIN(1,MAX(0,POOL_BEDS-(A320-1)))</f>
        <v>0</v>
      </c>
      <c r="D320" s="5">
        <f>FREED*(C320+(1-C320)*PAST_POOL_PCT)</f>
        <v>0.0</v>
      </c>
      <c r="E320" s="13">
        <f>D320*(C_AVOID+ACUTE_MARGIN)</f>
        <v>0.0</v>
      </c>
      <c r="F320" s="13">
        <f>D320*(RANGE_LO+ACUTE_MARGIN)</f>
        <v>0.0</v>
      </c>
      <c r="G320" s="13">
        <f>D320*(RANGE_HI+ACUTE_MARGIN)</f>
        <v>0.0</v>
      </c>
      <c r="H320" s="13">
        <f>IF(B320=1,COST_YR_RUNG1,COST_YR_RUNG2)</f>
        <v>152394.16214437486</v>
      </c>
      <c r="I320" s="13">
        <f>E320-H320</f>
        <v>-152394.16214437486</v>
      </c>
      <c r="J320" s="13">
        <f>J319+I320</f>
        <v>-9927584.609350119</v>
      </c>
      <c r="K320">
        <f>IF(J320=MAX($J$4:$J$404),A320,0)</f>
        <v>0</v>
      </c>
      <c r="L320">
        <f>IF(E320&lt;H320,A320,B_MAX+1)</f>
        <v>316</v>
      </c>
      <c r="M320" s="13">
        <f>IF(B320=1,GRANT_RUNG1,GRANT_RUNG2)</f>
        <v>0</v>
      </c>
      <c r="N320" s="13">
        <f>OCC_DAYS*MCD_SHARE_BED*R_NF_2023-D320*MCD_SHARE_FREED*R_WAIT_2023</f>
        <v>151980.48282209205</v>
      </c>
      <c r="O320">
        <f>IF(A320&lt;=BEDS,1,0)</f>
        <v>0</v>
      </c>
    </row>
    <row r="321">
      <c r="A321" t="n">
        <v>317</v>
      </c>
      <c r="B321">
        <f>IF(COST_YR_RUNG1&lt;=COST_YR_RUNG2,IF(A321&lt;=RUNG_BEDS_1,1,2),IF(A321&lt;=RUNG_BEDS_2,2,1))</f>
        <v>1</v>
      </c>
      <c r="C321" s="5">
        <f>MIN(1,MAX(0,POOL_BEDS-(A321-1)))</f>
        <v>0</v>
      </c>
      <c r="D321" s="5">
        <f>FREED*(C321+(1-C321)*PAST_POOL_PCT)</f>
        <v>0.0</v>
      </c>
      <c r="E321" s="13">
        <f>D321*(C_AVOID+ACUTE_MARGIN)</f>
        <v>0.0</v>
      </c>
      <c r="F321" s="13">
        <f>D321*(RANGE_LO+ACUTE_MARGIN)</f>
        <v>0.0</v>
      </c>
      <c r="G321" s="13">
        <f>D321*(RANGE_HI+ACUTE_MARGIN)</f>
        <v>0.0</v>
      </c>
      <c r="H321" s="13">
        <f>IF(B321=1,COST_YR_RUNG1,COST_YR_RUNG2)</f>
        <v>152394.16214437486</v>
      </c>
      <c r="I321" s="13">
        <f>E321-H321</f>
        <v>-152394.16214437486</v>
      </c>
      <c r="J321" s="13">
        <f>J320+I321</f>
        <v>-10079978.771494493</v>
      </c>
      <c r="K321">
        <f>IF(J321=MAX($J$4:$J$404),A321,0)</f>
        <v>0</v>
      </c>
      <c r="L321">
        <f>IF(E321&lt;H321,A321,B_MAX+1)</f>
        <v>317</v>
      </c>
      <c r="M321" s="13">
        <f>IF(B321=1,GRANT_RUNG1,GRANT_RUNG2)</f>
        <v>0</v>
      </c>
      <c r="N321" s="13">
        <f>OCC_DAYS*MCD_SHARE_BED*R_NF_2023-D321*MCD_SHARE_FREED*R_WAIT_2023</f>
        <v>151980.48282209205</v>
      </c>
      <c r="O321">
        <f>IF(A321&lt;=BEDS,1,0)</f>
        <v>0</v>
      </c>
    </row>
    <row r="322">
      <c r="A322" t="n">
        <v>318</v>
      </c>
      <c r="B322">
        <f>IF(COST_YR_RUNG1&lt;=COST_YR_RUNG2,IF(A322&lt;=RUNG_BEDS_1,1,2),IF(A322&lt;=RUNG_BEDS_2,2,1))</f>
        <v>1</v>
      </c>
      <c r="C322" s="5">
        <f>MIN(1,MAX(0,POOL_BEDS-(A322-1)))</f>
        <v>0</v>
      </c>
      <c r="D322" s="5">
        <f>FREED*(C322+(1-C322)*PAST_POOL_PCT)</f>
        <v>0.0</v>
      </c>
      <c r="E322" s="13">
        <f>D322*(C_AVOID+ACUTE_MARGIN)</f>
        <v>0.0</v>
      </c>
      <c r="F322" s="13">
        <f>D322*(RANGE_LO+ACUTE_MARGIN)</f>
        <v>0.0</v>
      </c>
      <c r="G322" s="13">
        <f>D322*(RANGE_HI+ACUTE_MARGIN)</f>
        <v>0.0</v>
      </c>
      <c r="H322" s="13">
        <f>IF(B322=1,COST_YR_RUNG1,COST_YR_RUNG2)</f>
        <v>152394.16214437486</v>
      </c>
      <c r="I322" s="13">
        <f>E322-H322</f>
        <v>-152394.16214437486</v>
      </c>
      <c r="J322" s="13">
        <f>J321+I322</f>
        <v>-10232372.933638867</v>
      </c>
      <c r="K322">
        <f>IF(J322=MAX($J$4:$J$404),A322,0)</f>
        <v>0</v>
      </c>
      <c r="L322">
        <f>IF(E322&lt;H322,A322,B_MAX+1)</f>
        <v>318</v>
      </c>
      <c r="M322" s="13">
        <f>IF(B322=1,GRANT_RUNG1,GRANT_RUNG2)</f>
        <v>0</v>
      </c>
      <c r="N322" s="13">
        <f>OCC_DAYS*MCD_SHARE_BED*R_NF_2023-D322*MCD_SHARE_FREED*R_WAIT_2023</f>
        <v>151980.48282209205</v>
      </c>
      <c r="O322">
        <f>IF(A322&lt;=BEDS,1,0)</f>
        <v>0</v>
      </c>
    </row>
    <row r="323">
      <c r="A323" t="n">
        <v>319</v>
      </c>
      <c r="B323">
        <f>IF(COST_YR_RUNG1&lt;=COST_YR_RUNG2,IF(A323&lt;=RUNG_BEDS_1,1,2),IF(A323&lt;=RUNG_BEDS_2,2,1))</f>
        <v>1</v>
      </c>
      <c r="C323" s="5">
        <f>MIN(1,MAX(0,POOL_BEDS-(A323-1)))</f>
        <v>0</v>
      </c>
      <c r="D323" s="5">
        <f>FREED*(C323+(1-C323)*PAST_POOL_PCT)</f>
        <v>0.0</v>
      </c>
      <c r="E323" s="13">
        <f>D323*(C_AVOID+ACUTE_MARGIN)</f>
        <v>0.0</v>
      </c>
      <c r="F323" s="13">
        <f>D323*(RANGE_LO+ACUTE_MARGIN)</f>
        <v>0.0</v>
      </c>
      <c r="G323" s="13">
        <f>D323*(RANGE_HI+ACUTE_MARGIN)</f>
        <v>0.0</v>
      </c>
      <c r="H323" s="13">
        <f>IF(B323=1,COST_YR_RUNG1,COST_YR_RUNG2)</f>
        <v>152394.16214437486</v>
      </c>
      <c r="I323" s="13">
        <f>E323-H323</f>
        <v>-152394.16214437486</v>
      </c>
      <c r="J323" s="13">
        <f>J322+I323</f>
        <v>-10384767.095783241</v>
      </c>
      <c r="K323">
        <f>IF(J323=MAX($J$4:$J$404),A323,0)</f>
        <v>0</v>
      </c>
      <c r="L323">
        <f>IF(E323&lt;H323,A323,B_MAX+1)</f>
        <v>319</v>
      </c>
      <c r="M323" s="13">
        <f>IF(B323=1,GRANT_RUNG1,GRANT_RUNG2)</f>
        <v>0</v>
      </c>
      <c r="N323" s="13">
        <f>OCC_DAYS*MCD_SHARE_BED*R_NF_2023-D323*MCD_SHARE_FREED*R_WAIT_2023</f>
        <v>151980.48282209205</v>
      </c>
      <c r="O323">
        <f>IF(A323&lt;=BEDS,1,0)</f>
        <v>0</v>
      </c>
    </row>
    <row r="324">
      <c r="A324" t="n">
        <v>320</v>
      </c>
      <c r="B324">
        <f>IF(COST_YR_RUNG1&lt;=COST_YR_RUNG2,IF(A324&lt;=RUNG_BEDS_1,1,2),IF(A324&lt;=RUNG_BEDS_2,2,1))</f>
        <v>1</v>
      </c>
      <c r="C324" s="5">
        <f>MIN(1,MAX(0,POOL_BEDS-(A324-1)))</f>
        <v>0</v>
      </c>
      <c r="D324" s="5">
        <f>FREED*(C324+(1-C324)*PAST_POOL_PCT)</f>
        <v>0.0</v>
      </c>
      <c r="E324" s="13">
        <f>D324*(C_AVOID+ACUTE_MARGIN)</f>
        <v>0.0</v>
      </c>
      <c r="F324" s="13">
        <f>D324*(RANGE_LO+ACUTE_MARGIN)</f>
        <v>0.0</v>
      </c>
      <c r="G324" s="13">
        <f>D324*(RANGE_HI+ACUTE_MARGIN)</f>
        <v>0.0</v>
      </c>
      <c r="H324" s="13">
        <f>IF(B324=1,COST_YR_RUNG1,COST_YR_RUNG2)</f>
        <v>152394.16214437486</v>
      </c>
      <c r="I324" s="13">
        <f>E324-H324</f>
        <v>-152394.16214437486</v>
      </c>
      <c r="J324" s="13">
        <f>J323+I324</f>
        <v>-10537161.257927615</v>
      </c>
      <c r="K324">
        <f>IF(J324=MAX($J$4:$J$404),A324,0)</f>
        <v>0</v>
      </c>
      <c r="L324">
        <f>IF(E324&lt;H324,A324,B_MAX+1)</f>
        <v>320</v>
      </c>
      <c r="M324" s="13">
        <f>IF(B324=1,GRANT_RUNG1,GRANT_RUNG2)</f>
        <v>0</v>
      </c>
      <c r="N324" s="13">
        <f>OCC_DAYS*MCD_SHARE_BED*R_NF_2023-D324*MCD_SHARE_FREED*R_WAIT_2023</f>
        <v>151980.48282209205</v>
      </c>
      <c r="O324">
        <f>IF(A324&lt;=BEDS,1,0)</f>
        <v>0</v>
      </c>
    </row>
    <row r="325">
      <c r="A325" t="n">
        <v>321</v>
      </c>
      <c r="B325">
        <f>IF(COST_YR_RUNG1&lt;=COST_YR_RUNG2,IF(A325&lt;=RUNG_BEDS_1,1,2),IF(A325&lt;=RUNG_BEDS_2,2,1))</f>
        <v>1</v>
      </c>
      <c r="C325" s="5">
        <f>MIN(1,MAX(0,POOL_BEDS-(A325-1)))</f>
        <v>0</v>
      </c>
      <c r="D325" s="5">
        <f>FREED*(C325+(1-C325)*PAST_POOL_PCT)</f>
        <v>0.0</v>
      </c>
      <c r="E325" s="13">
        <f>D325*(C_AVOID+ACUTE_MARGIN)</f>
        <v>0.0</v>
      </c>
      <c r="F325" s="13">
        <f>D325*(RANGE_LO+ACUTE_MARGIN)</f>
        <v>0.0</v>
      </c>
      <c r="G325" s="13">
        <f>D325*(RANGE_HI+ACUTE_MARGIN)</f>
        <v>0.0</v>
      </c>
      <c r="H325" s="13">
        <f>IF(B325=1,COST_YR_RUNG1,COST_YR_RUNG2)</f>
        <v>152394.16214437486</v>
      </c>
      <c r="I325" s="13">
        <f>E325-H325</f>
        <v>-152394.16214437486</v>
      </c>
      <c r="J325" s="13">
        <f>J324+I325</f>
        <v>-10689555.42007199</v>
      </c>
      <c r="K325">
        <f>IF(J325=MAX($J$4:$J$404),A325,0)</f>
        <v>0</v>
      </c>
      <c r="L325">
        <f>IF(E325&lt;H325,A325,B_MAX+1)</f>
        <v>321</v>
      </c>
      <c r="M325" s="13">
        <f>IF(B325=1,GRANT_RUNG1,GRANT_RUNG2)</f>
        <v>0</v>
      </c>
      <c r="N325" s="13">
        <f>OCC_DAYS*MCD_SHARE_BED*R_NF_2023-D325*MCD_SHARE_FREED*R_WAIT_2023</f>
        <v>151980.48282209205</v>
      </c>
      <c r="O325">
        <f>IF(A325&lt;=BEDS,1,0)</f>
        <v>0</v>
      </c>
    </row>
    <row r="326">
      <c r="A326" t="n">
        <v>322</v>
      </c>
      <c r="B326">
        <f>IF(COST_YR_RUNG1&lt;=COST_YR_RUNG2,IF(A326&lt;=RUNG_BEDS_1,1,2),IF(A326&lt;=RUNG_BEDS_2,2,1))</f>
        <v>1</v>
      </c>
      <c r="C326" s="5">
        <f>MIN(1,MAX(0,POOL_BEDS-(A326-1)))</f>
        <v>0</v>
      </c>
      <c r="D326" s="5">
        <f>FREED*(C326+(1-C326)*PAST_POOL_PCT)</f>
        <v>0.0</v>
      </c>
      <c r="E326" s="13">
        <f>D326*(C_AVOID+ACUTE_MARGIN)</f>
        <v>0.0</v>
      </c>
      <c r="F326" s="13">
        <f>D326*(RANGE_LO+ACUTE_MARGIN)</f>
        <v>0.0</v>
      </c>
      <c r="G326" s="13">
        <f>D326*(RANGE_HI+ACUTE_MARGIN)</f>
        <v>0.0</v>
      </c>
      <c r="H326" s="13">
        <f>IF(B326=1,COST_YR_RUNG1,COST_YR_RUNG2)</f>
        <v>152394.16214437486</v>
      </c>
      <c r="I326" s="13">
        <f>E326-H326</f>
        <v>-152394.16214437486</v>
      </c>
      <c r="J326" s="13">
        <f>J325+I326</f>
        <v>-10841949.582216363</v>
      </c>
      <c r="K326">
        <f>IF(J326=MAX($J$4:$J$404),A326,0)</f>
        <v>0</v>
      </c>
      <c r="L326">
        <f>IF(E326&lt;H326,A326,B_MAX+1)</f>
        <v>322</v>
      </c>
      <c r="M326" s="13">
        <f>IF(B326=1,GRANT_RUNG1,GRANT_RUNG2)</f>
        <v>0</v>
      </c>
      <c r="N326" s="13">
        <f>OCC_DAYS*MCD_SHARE_BED*R_NF_2023-D326*MCD_SHARE_FREED*R_WAIT_2023</f>
        <v>151980.48282209205</v>
      </c>
      <c r="O326">
        <f>IF(A326&lt;=BEDS,1,0)</f>
        <v>0</v>
      </c>
    </row>
    <row r="327">
      <c r="A327" t="n">
        <v>323</v>
      </c>
      <c r="B327">
        <f>IF(COST_YR_RUNG1&lt;=COST_YR_RUNG2,IF(A327&lt;=RUNG_BEDS_1,1,2),IF(A327&lt;=RUNG_BEDS_2,2,1))</f>
        <v>1</v>
      </c>
      <c r="C327" s="5">
        <f>MIN(1,MAX(0,POOL_BEDS-(A327-1)))</f>
        <v>0</v>
      </c>
      <c r="D327" s="5">
        <f>FREED*(C327+(1-C327)*PAST_POOL_PCT)</f>
        <v>0.0</v>
      </c>
      <c r="E327" s="13">
        <f>D327*(C_AVOID+ACUTE_MARGIN)</f>
        <v>0.0</v>
      </c>
      <c r="F327" s="13">
        <f>D327*(RANGE_LO+ACUTE_MARGIN)</f>
        <v>0.0</v>
      </c>
      <c r="G327" s="13">
        <f>D327*(RANGE_HI+ACUTE_MARGIN)</f>
        <v>0.0</v>
      </c>
      <c r="H327" s="13">
        <f>IF(B327=1,COST_YR_RUNG1,COST_YR_RUNG2)</f>
        <v>152394.16214437486</v>
      </c>
      <c r="I327" s="13">
        <f>E327-H327</f>
        <v>-152394.16214437486</v>
      </c>
      <c r="J327" s="13">
        <f>J326+I327</f>
        <v>-10994343.744360738</v>
      </c>
      <c r="K327">
        <f>IF(J327=MAX($J$4:$J$404),A327,0)</f>
        <v>0</v>
      </c>
      <c r="L327">
        <f>IF(E327&lt;H327,A327,B_MAX+1)</f>
        <v>323</v>
      </c>
      <c r="M327" s="13">
        <f>IF(B327=1,GRANT_RUNG1,GRANT_RUNG2)</f>
        <v>0</v>
      </c>
      <c r="N327" s="13">
        <f>OCC_DAYS*MCD_SHARE_BED*R_NF_2023-D327*MCD_SHARE_FREED*R_WAIT_2023</f>
        <v>151980.48282209205</v>
      </c>
      <c r="O327">
        <f>IF(A327&lt;=BEDS,1,0)</f>
        <v>0</v>
      </c>
    </row>
    <row r="328">
      <c r="A328" t="n">
        <v>324</v>
      </c>
      <c r="B328">
        <f>IF(COST_YR_RUNG1&lt;=COST_YR_RUNG2,IF(A328&lt;=RUNG_BEDS_1,1,2),IF(A328&lt;=RUNG_BEDS_2,2,1))</f>
        <v>1</v>
      </c>
      <c r="C328" s="5">
        <f>MIN(1,MAX(0,POOL_BEDS-(A328-1)))</f>
        <v>0</v>
      </c>
      <c r="D328" s="5">
        <f>FREED*(C328+(1-C328)*PAST_POOL_PCT)</f>
        <v>0.0</v>
      </c>
      <c r="E328" s="13">
        <f>D328*(C_AVOID+ACUTE_MARGIN)</f>
        <v>0.0</v>
      </c>
      <c r="F328" s="13">
        <f>D328*(RANGE_LO+ACUTE_MARGIN)</f>
        <v>0.0</v>
      </c>
      <c r="G328" s="13">
        <f>D328*(RANGE_HI+ACUTE_MARGIN)</f>
        <v>0.0</v>
      </c>
      <c r="H328" s="13">
        <f>IF(B328=1,COST_YR_RUNG1,COST_YR_RUNG2)</f>
        <v>152394.16214437486</v>
      </c>
      <c r="I328" s="13">
        <f>E328-H328</f>
        <v>-152394.16214437486</v>
      </c>
      <c r="J328" s="13">
        <f>J327+I328</f>
        <v>-11146737.906505112</v>
      </c>
      <c r="K328">
        <f>IF(J328=MAX($J$4:$J$404),A328,0)</f>
        <v>0</v>
      </c>
      <c r="L328">
        <f>IF(E328&lt;H328,A328,B_MAX+1)</f>
        <v>324</v>
      </c>
      <c r="M328" s="13">
        <f>IF(B328=1,GRANT_RUNG1,GRANT_RUNG2)</f>
        <v>0</v>
      </c>
      <c r="N328" s="13">
        <f>OCC_DAYS*MCD_SHARE_BED*R_NF_2023-D328*MCD_SHARE_FREED*R_WAIT_2023</f>
        <v>151980.48282209205</v>
      </c>
      <c r="O328">
        <f>IF(A328&lt;=BEDS,1,0)</f>
        <v>0</v>
      </c>
    </row>
    <row r="329">
      <c r="A329" t="n">
        <v>325</v>
      </c>
      <c r="B329">
        <f>IF(COST_YR_RUNG1&lt;=COST_YR_RUNG2,IF(A329&lt;=RUNG_BEDS_1,1,2),IF(A329&lt;=RUNG_BEDS_2,2,1))</f>
        <v>1</v>
      </c>
      <c r="C329" s="5">
        <f>MIN(1,MAX(0,POOL_BEDS-(A329-1)))</f>
        <v>0</v>
      </c>
      <c r="D329" s="5">
        <f>FREED*(C329+(1-C329)*PAST_POOL_PCT)</f>
        <v>0.0</v>
      </c>
      <c r="E329" s="13">
        <f>D329*(C_AVOID+ACUTE_MARGIN)</f>
        <v>0.0</v>
      </c>
      <c r="F329" s="13">
        <f>D329*(RANGE_LO+ACUTE_MARGIN)</f>
        <v>0.0</v>
      </c>
      <c r="G329" s="13">
        <f>D329*(RANGE_HI+ACUTE_MARGIN)</f>
        <v>0.0</v>
      </c>
      <c r="H329" s="13">
        <f>IF(B329=1,COST_YR_RUNG1,COST_YR_RUNG2)</f>
        <v>152394.16214437486</v>
      </c>
      <c r="I329" s="13">
        <f>E329-H329</f>
        <v>-152394.16214437486</v>
      </c>
      <c r="J329" s="13">
        <f>J328+I329</f>
        <v>-11299132.068649486</v>
      </c>
      <c r="K329">
        <f>IF(J329=MAX($J$4:$J$404),A329,0)</f>
        <v>0</v>
      </c>
      <c r="L329">
        <f>IF(E329&lt;H329,A329,B_MAX+1)</f>
        <v>325</v>
      </c>
      <c r="M329" s="13">
        <f>IF(B329=1,GRANT_RUNG1,GRANT_RUNG2)</f>
        <v>0</v>
      </c>
      <c r="N329" s="13">
        <f>OCC_DAYS*MCD_SHARE_BED*R_NF_2023-D329*MCD_SHARE_FREED*R_WAIT_2023</f>
        <v>151980.48282209205</v>
      </c>
      <c r="O329">
        <f>IF(A329&lt;=BEDS,1,0)</f>
        <v>0</v>
      </c>
    </row>
    <row r="330">
      <c r="A330" t="n">
        <v>326</v>
      </c>
      <c r="B330">
        <f>IF(COST_YR_RUNG1&lt;=COST_YR_RUNG2,IF(A330&lt;=RUNG_BEDS_1,1,2),IF(A330&lt;=RUNG_BEDS_2,2,1))</f>
        <v>1</v>
      </c>
      <c r="C330" s="5">
        <f>MIN(1,MAX(0,POOL_BEDS-(A330-1)))</f>
        <v>0</v>
      </c>
      <c r="D330" s="5">
        <f>FREED*(C330+(1-C330)*PAST_POOL_PCT)</f>
        <v>0.0</v>
      </c>
      <c r="E330" s="13">
        <f>D330*(C_AVOID+ACUTE_MARGIN)</f>
        <v>0.0</v>
      </c>
      <c r="F330" s="13">
        <f>D330*(RANGE_LO+ACUTE_MARGIN)</f>
        <v>0.0</v>
      </c>
      <c r="G330" s="13">
        <f>D330*(RANGE_HI+ACUTE_MARGIN)</f>
        <v>0.0</v>
      </c>
      <c r="H330" s="13">
        <f>IF(B330=1,COST_YR_RUNG1,COST_YR_RUNG2)</f>
        <v>152394.16214437486</v>
      </c>
      <c r="I330" s="13">
        <f>E330-H330</f>
        <v>-152394.16214437486</v>
      </c>
      <c r="J330" s="13">
        <f>J329+I330</f>
        <v>-11451526.23079386</v>
      </c>
      <c r="K330">
        <f>IF(J330=MAX($J$4:$J$404),A330,0)</f>
        <v>0</v>
      </c>
      <c r="L330">
        <f>IF(E330&lt;H330,A330,B_MAX+1)</f>
        <v>326</v>
      </c>
      <c r="M330" s="13">
        <f>IF(B330=1,GRANT_RUNG1,GRANT_RUNG2)</f>
        <v>0</v>
      </c>
      <c r="N330" s="13">
        <f>OCC_DAYS*MCD_SHARE_BED*R_NF_2023-D330*MCD_SHARE_FREED*R_WAIT_2023</f>
        <v>151980.48282209205</v>
      </c>
      <c r="O330">
        <f>IF(A330&lt;=BEDS,1,0)</f>
        <v>0</v>
      </c>
    </row>
    <row r="331">
      <c r="A331" t="n">
        <v>327</v>
      </c>
      <c r="B331">
        <f>IF(COST_YR_RUNG1&lt;=COST_YR_RUNG2,IF(A331&lt;=RUNG_BEDS_1,1,2),IF(A331&lt;=RUNG_BEDS_2,2,1))</f>
        <v>1</v>
      </c>
      <c r="C331" s="5">
        <f>MIN(1,MAX(0,POOL_BEDS-(A331-1)))</f>
        <v>0</v>
      </c>
      <c r="D331" s="5">
        <f>FREED*(C331+(1-C331)*PAST_POOL_PCT)</f>
        <v>0.0</v>
      </c>
      <c r="E331" s="13">
        <f>D331*(C_AVOID+ACUTE_MARGIN)</f>
        <v>0.0</v>
      </c>
      <c r="F331" s="13">
        <f>D331*(RANGE_LO+ACUTE_MARGIN)</f>
        <v>0.0</v>
      </c>
      <c r="G331" s="13">
        <f>D331*(RANGE_HI+ACUTE_MARGIN)</f>
        <v>0.0</v>
      </c>
      <c r="H331" s="13">
        <f>IF(B331=1,COST_YR_RUNG1,COST_YR_RUNG2)</f>
        <v>152394.16214437486</v>
      </c>
      <c r="I331" s="13">
        <f>E331-H331</f>
        <v>-152394.16214437486</v>
      </c>
      <c r="J331" s="13">
        <f>J330+I331</f>
        <v>-11603920.392938234</v>
      </c>
      <c r="K331">
        <f>IF(J331=MAX($J$4:$J$404),A331,0)</f>
        <v>0</v>
      </c>
      <c r="L331">
        <f>IF(E331&lt;H331,A331,B_MAX+1)</f>
        <v>327</v>
      </c>
      <c r="M331" s="13">
        <f>IF(B331=1,GRANT_RUNG1,GRANT_RUNG2)</f>
        <v>0</v>
      </c>
      <c r="N331" s="13">
        <f>OCC_DAYS*MCD_SHARE_BED*R_NF_2023-D331*MCD_SHARE_FREED*R_WAIT_2023</f>
        <v>151980.48282209205</v>
      </c>
      <c r="O331">
        <f>IF(A331&lt;=BEDS,1,0)</f>
        <v>0</v>
      </c>
    </row>
    <row r="332">
      <c r="A332" t="n">
        <v>328</v>
      </c>
      <c r="B332">
        <f>IF(COST_YR_RUNG1&lt;=COST_YR_RUNG2,IF(A332&lt;=RUNG_BEDS_1,1,2),IF(A332&lt;=RUNG_BEDS_2,2,1))</f>
        <v>1</v>
      </c>
      <c r="C332" s="5">
        <f>MIN(1,MAX(0,POOL_BEDS-(A332-1)))</f>
        <v>0</v>
      </c>
      <c r="D332" s="5">
        <f>FREED*(C332+(1-C332)*PAST_POOL_PCT)</f>
        <v>0.0</v>
      </c>
      <c r="E332" s="13">
        <f>D332*(C_AVOID+ACUTE_MARGIN)</f>
        <v>0.0</v>
      </c>
      <c r="F332" s="13">
        <f>D332*(RANGE_LO+ACUTE_MARGIN)</f>
        <v>0.0</v>
      </c>
      <c r="G332" s="13">
        <f>D332*(RANGE_HI+ACUTE_MARGIN)</f>
        <v>0.0</v>
      </c>
      <c r="H332" s="13">
        <f>IF(B332=1,COST_YR_RUNG1,COST_YR_RUNG2)</f>
        <v>152394.16214437486</v>
      </c>
      <c r="I332" s="13">
        <f>E332-H332</f>
        <v>-152394.16214437486</v>
      </c>
      <c r="J332" s="13">
        <f>J331+I332</f>
        <v>-11756314.555082608</v>
      </c>
      <c r="K332">
        <f>IF(J332=MAX($J$4:$J$404),A332,0)</f>
        <v>0</v>
      </c>
      <c r="L332">
        <f>IF(E332&lt;H332,A332,B_MAX+1)</f>
        <v>328</v>
      </c>
      <c r="M332" s="13">
        <f>IF(B332=1,GRANT_RUNG1,GRANT_RUNG2)</f>
        <v>0</v>
      </c>
      <c r="N332" s="13">
        <f>OCC_DAYS*MCD_SHARE_BED*R_NF_2023-D332*MCD_SHARE_FREED*R_WAIT_2023</f>
        <v>151980.48282209205</v>
      </c>
      <c r="O332">
        <f>IF(A332&lt;=BEDS,1,0)</f>
        <v>0</v>
      </c>
    </row>
    <row r="333">
      <c r="A333" t="n">
        <v>329</v>
      </c>
      <c r="B333">
        <f>IF(COST_YR_RUNG1&lt;=COST_YR_RUNG2,IF(A333&lt;=RUNG_BEDS_1,1,2),IF(A333&lt;=RUNG_BEDS_2,2,1))</f>
        <v>1</v>
      </c>
      <c r="C333" s="5">
        <f>MIN(1,MAX(0,POOL_BEDS-(A333-1)))</f>
        <v>0</v>
      </c>
      <c r="D333" s="5">
        <f>FREED*(C333+(1-C333)*PAST_POOL_PCT)</f>
        <v>0.0</v>
      </c>
      <c r="E333" s="13">
        <f>D333*(C_AVOID+ACUTE_MARGIN)</f>
        <v>0.0</v>
      </c>
      <c r="F333" s="13">
        <f>D333*(RANGE_LO+ACUTE_MARGIN)</f>
        <v>0.0</v>
      </c>
      <c r="G333" s="13">
        <f>D333*(RANGE_HI+ACUTE_MARGIN)</f>
        <v>0.0</v>
      </c>
      <c r="H333" s="13">
        <f>IF(B333=1,COST_YR_RUNG1,COST_YR_RUNG2)</f>
        <v>152394.16214437486</v>
      </c>
      <c r="I333" s="13">
        <f>E333-H333</f>
        <v>-152394.16214437486</v>
      </c>
      <c r="J333" s="13">
        <f>J332+I333</f>
        <v>-11908708.717226982</v>
      </c>
      <c r="K333">
        <f>IF(J333=MAX($J$4:$J$404),A333,0)</f>
        <v>0</v>
      </c>
      <c r="L333">
        <f>IF(E333&lt;H333,A333,B_MAX+1)</f>
        <v>329</v>
      </c>
      <c r="M333" s="13">
        <f>IF(B333=1,GRANT_RUNG1,GRANT_RUNG2)</f>
        <v>0</v>
      </c>
      <c r="N333" s="13">
        <f>OCC_DAYS*MCD_SHARE_BED*R_NF_2023-D333*MCD_SHARE_FREED*R_WAIT_2023</f>
        <v>151980.48282209205</v>
      </c>
      <c r="O333">
        <f>IF(A333&lt;=BEDS,1,0)</f>
        <v>0</v>
      </c>
    </row>
    <row r="334">
      <c r="A334" t="n">
        <v>330</v>
      </c>
      <c r="B334">
        <f>IF(COST_YR_RUNG1&lt;=COST_YR_RUNG2,IF(A334&lt;=RUNG_BEDS_1,1,2),IF(A334&lt;=RUNG_BEDS_2,2,1))</f>
        <v>1</v>
      </c>
      <c r="C334" s="5">
        <f>MIN(1,MAX(0,POOL_BEDS-(A334-1)))</f>
        <v>0</v>
      </c>
      <c r="D334" s="5">
        <f>FREED*(C334+(1-C334)*PAST_POOL_PCT)</f>
        <v>0.0</v>
      </c>
      <c r="E334" s="13">
        <f>D334*(C_AVOID+ACUTE_MARGIN)</f>
        <v>0.0</v>
      </c>
      <c r="F334" s="13">
        <f>D334*(RANGE_LO+ACUTE_MARGIN)</f>
        <v>0.0</v>
      </c>
      <c r="G334" s="13">
        <f>D334*(RANGE_HI+ACUTE_MARGIN)</f>
        <v>0.0</v>
      </c>
      <c r="H334" s="13">
        <f>IF(B334=1,COST_YR_RUNG1,COST_YR_RUNG2)</f>
        <v>152394.16214437486</v>
      </c>
      <c r="I334" s="13">
        <f>E334-H334</f>
        <v>-152394.16214437486</v>
      </c>
      <c r="J334" s="13">
        <f>J333+I334</f>
        <v>-12061102.879371356</v>
      </c>
      <c r="K334">
        <f>IF(J334=MAX($J$4:$J$404),A334,0)</f>
        <v>0</v>
      </c>
      <c r="L334">
        <f>IF(E334&lt;H334,A334,B_MAX+1)</f>
        <v>330</v>
      </c>
      <c r="M334" s="13">
        <f>IF(B334=1,GRANT_RUNG1,GRANT_RUNG2)</f>
        <v>0</v>
      </c>
      <c r="N334" s="13">
        <f>OCC_DAYS*MCD_SHARE_BED*R_NF_2023-D334*MCD_SHARE_FREED*R_WAIT_2023</f>
        <v>151980.48282209205</v>
      </c>
      <c r="O334">
        <f>IF(A334&lt;=BEDS,1,0)</f>
        <v>0</v>
      </c>
    </row>
    <row r="335">
      <c r="A335" t="n">
        <v>331</v>
      </c>
      <c r="B335">
        <f>IF(COST_YR_RUNG1&lt;=COST_YR_RUNG2,IF(A335&lt;=RUNG_BEDS_1,1,2),IF(A335&lt;=RUNG_BEDS_2,2,1))</f>
        <v>1</v>
      </c>
      <c r="C335" s="5">
        <f>MIN(1,MAX(0,POOL_BEDS-(A335-1)))</f>
        <v>0</v>
      </c>
      <c r="D335" s="5">
        <f>FREED*(C335+(1-C335)*PAST_POOL_PCT)</f>
        <v>0.0</v>
      </c>
      <c r="E335" s="13">
        <f>D335*(C_AVOID+ACUTE_MARGIN)</f>
        <v>0.0</v>
      </c>
      <c r="F335" s="13">
        <f>D335*(RANGE_LO+ACUTE_MARGIN)</f>
        <v>0.0</v>
      </c>
      <c r="G335" s="13">
        <f>D335*(RANGE_HI+ACUTE_MARGIN)</f>
        <v>0.0</v>
      </c>
      <c r="H335" s="13">
        <f>IF(B335=1,COST_YR_RUNG1,COST_YR_RUNG2)</f>
        <v>152394.16214437486</v>
      </c>
      <c r="I335" s="13">
        <f>E335-H335</f>
        <v>-152394.16214437486</v>
      </c>
      <c r="J335" s="13">
        <f>J334+I335</f>
        <v>-12213497.04151573</v>
      </c>
      <c r="K335">
        <f>IF(J335=MAX($J$4:$J$404),A335,0)</f>
        <v>0</v>
      </c>
      <c r="L335">
        <f>IF(E335&lt;H335,A335,B_MAX+1)</f>
        <v>331</v>
      </c>
      <c r="M335" s="13">
        <f>IF(B335=1,GRANT_RUNG1,GRANT_RUNG2)</f>
        <v>0</v>
      </c>
      <c r="N335" s="13">
        <f>OCC_DAYS*MCD_SHARE_BED*R_NF_2023-D335*MCD_SHARE_FREED*R_WAIT_2023</f>
        <v>151980.48282209205</v>
      </c>
      <c r="O335">
        <f>IF(A335&lt;=BEDS,1,0)</f>
        <v>0</v>
      </c>
    </row>
    <row r="336">
      <c r="A336" t="n">
        <v>332</v>
      </c>
      <c r="B336">
        <f>IF(COST_YR_RUNG1&lt;=COST_YR_RUNG2,IF(A336&lt;=RUNG_BEDS_1,1,2),IF(A336&lt;=RUNG_BEDS_2,2,1))</f>
        <v>1</v>
      </c>
      <c r="C336" s="5">
        <f>MIN(1,MAX(0,POOL_BEDS-(A336-1)))</f>
        <v>0</v>
      </c>
      <c r="D336" s="5">
        <f>FREED*(C336+(1-C336)*PAST_POOL_PCT)</f>
        <v>0.0</v>
      </c>
      <c r="E336" s="13">
        <f>D336*(C_AVOID+ACUTE_MARGIN)</f>
        <v>0.0</v>
      </c>
      <c r="F336" s="13">
        <f>D336*(RANGE_LO+ACUTE_MARGIN)</f>
        <v>0.0</v>
      </c>
      <c r="G336" s="13">
        <f>D336*(RANGE_HI+ACUTE_MARGIN)</f>
        <v>0.0</v>
      </c>
      <c r="H336" s="13">
        <f>IF(B336=1,COST_YR_RUNG1,COST_YR_RUNG2)</f>
        <v>152394.16214437486</v>
      </c>
      <c r="I336" s="13">
        <f>E336-H336</f>
        <v>-152394.16214437486</v>
      </c>
      <c r="J336" s="13">
        <f>J335+I336</f>
        <v>-12365891.203660104</v>
      </c>
      <c r="K336">
        <f>IF(J336=MAX($J$4:$J$404),A336,0)</f>
        <v>0</v>
      </c>
      <c r="L336">
        <f>IF(E336&lt;H336,A336,B_MAX+1)</f>
        <v>332</v>
      </c>
      <c r="M336" s="13">
        <f>IF(B336=1,GRANT_RUNG1,GRANT_RUNG2)</f>
        <v>0</v>
      </c>
      <c r="N336" s="13">
        <f>OCC_DAYS*MCD_SHARE_BED*R_NF_2023-D336*MCD_SHARE_FREED*R_WAIT_2023</f>
        <v>151980.48282209205</v>
      </c>
      <c r="O336">
        <f>IF(A336&lt;=BEDS,1,0)</f>
        <v>0</v>
      </c>
    </row>
    <row r="337">
      <c r="A337" t="n">
        <v>333</v>
      </c>
      <c r="B337">
        <f>IF(COST_YR_RUNG1&lt;=COST_YR_RUNG2,IF(A337&lt;=RUNG_BEDS_1,1,2),IF(A337&lt;=RUNG_BEDS_2,2,1))</f>
        <v>1</v>
      </c>
      <c r="C337" s="5">
        <f>MIN(1,MAX(0,POOL_BEDS-(A337-1)))</f>
        <v>0</v>
      </c>
      <c r="D337" s="5">
        <f>FREED*(C337+(1-C337)*PAST_POOL_PCT)</f>
        <v>0.0</v>
      </c>
      <c r="E337" s="13">
        <f>D337*(C_AVOID+ACUTE_MARGIN)</f>
        <v>0.0</v>
      </c>
      <c r="F337" s="13">
        <f>D337*(RANGE_LO+ACUTE_MARGIN)</f>
        <v>0.0</v>
      </c>
      <c r="G337" s="13">
        <f>D337*(RANGE_HI+ACUTE_MARGIN)</f>
        <v>0.0</v>
      </c>
      <c r="H337" s="13">
        <f>IF(B337=1,COST_YR_RUNG1,COST_YR_RUNG2)</f>
        <v>152394.16214437486</v>
      </c>
      <c r="I337" s="13">
        <f>E337-H337</f>
        <v>-152394.16214437486</v>
      </c>
      <c r="J337" s="13">
        <f>J336+I337</f>
        <v>-12518285.365804479</v>
      </c>
      <c r="K337">
        <f>IF(J337=MAX($J$4:$J$404),A337,0)</f>
        <v>0</v>
      </c>
      <c r="L337">
        <f>IF(E337&lt;H337,A337,B_MAX+1)</f>
        <v>333</v>
      </c>
      <c r="M337" s="13">
        <f>IF(B337=1,GRANT_RUNG1,GRANT_RUNG2)</f>
        <v>0</v>
      </c>
      <c r="N337" s="13">
        <f>OCC_DAYS*MCD_SHARE_BED*R_NF_2023-D337*MCD_SHARE_FREED*R_WAIT_2023</f>
        <v>151980.48282209205</v>
      </c>
      <c r="O337">
        <f>IF(A337&lt;=BEDS,1,0)</f>
        <v>0</v>
      </c>
    </row>
    <row r="338">
      <c r="A338" t="n">
        <v>334</v>
      </c>
      <c r="B338">
        <f>IF(COST_YR_RUNG1&lt;=COST_YR_RUNG2,IF(A338&lt;=RUNG_BEDS_1,1,2),IF(A338&lt;=RUNG_BEDS_2,2,1))</f>
        <v>1</v>
      </c>
      <c r="C338" s="5">
        <f>MIN(1,MAX(0,POOL_BEDS-(A338-1)))</f>
        <v>0</v>
      </c>
      <c r="D338" s="5">
        <f>FREED*(C338+(1-C338)*PAST_POOL_PCT)</f>
        <v>0.0</v>
      </c>
      <c r="E338" s="13">
        <f>D338*(C_AVOID+ACUTE_MARGIN)</f>
        <v>0.0</v>
      </c>
      <c r="F338" s="13">
        <f>D338*(RANGE_LO+ACUTE_MARGIN)</f>
        <v>0.0</v>
      </c>
      <c r="G338" s="13">
        <f>D338*(RANGE_HI+ACUTE_MARGIN)</f>
        <v>0.0</v>
      </c>
      <c r="H338" s="13">
        <f>IF(B338=1,COST_YR_RUNG1,COST_YR_RUNG2)</f>
        <v>152394.16214437486</v>
      </c>
      <c r="I338" s="13">
        <f>E338-H338</f>
        <v>-152394.16214437486</v>
      </c>
      <c r="J338" s="13">
        <f>J337+I338</f>
        <v>-12670679.527948853</v>
      </c>
      <c r="K338">
        <f>IF(J338=MAX($J$4:$J$404),A338,0)</f>
        <v>0</v>
      </c>
      <c r="L338">
        <f>IF(E338&lt;H338,A338,B_MAX+1)</f>
        <v>334</v>
      </c>
      <c r="M338" s="13">
        <f>IF(B338=1,GRANT_RUNG1,GRANT_RUNG2)</f>
        <v>0</v>
      </c>
      <c r="N338" s="13">
        <f>OCC_DAYS*MCD_SHARE_BED*R_NF_2023-D338*MCD_SHARE_FREED*R_WAIT_2023</f>
        <v>151980.48282209205</v>
      </c>
      <c r="O338">
        <f>IF(A338&lt;=BEDS,1,0)</f>
        <v>0</v>
      </c>
    </row>
    <row r="339">
      <c r="A339" t="n">
        <v>335</v>
      </c>
      <c r="B339">
        <f>IF(COST_YR_RUNG1&lt;=COST_YR_RUNG2,IF(A339&lt;=RUNG_BEDS_1,1,2),IF(A339&lt;=RUNG_BEDS_2,2,1))</f>
        <v>1</v>
      </c>
      <c r="C339" s="5">
        <f>MIN(1,MAX(0,POOL_BEDS-(A339-1)))</f>
        <v>0</v>
      </c>
      <c r="D339" s="5">
        <f>FREED*(C339+(1-C339)*PAST_POOL_PCT)</f>
        <v>0.0</v>
      </c>
      <c r="E339" s="13">
        <f>D339*(C_AVOID+ACUTE_MARGIN)</f>
        <v>0.0</v>
      </c>
      <c r="F339" s="13">
        <f>D339*(RANGE_LO+ACUTE_MARGIN)</f>
        <v>0.0</v>
      </c>
      <c r="G339" s="13">
        <f>D339*(RANGE_HI+ACUTE_MARGIN)</f>
        <v>0.0</v>
      </c>
      <c r="H339" s="13">
        <f>IF(B339=1,COST_YR_RUNG1,COST_YR_RUNG2)</f>
        <v>152394.16214437486</v>
      </c>
      <c r="I339" s="13">
        <f>E339-H339</f>
        <v>-152394.16214437486</v>
      </c>
      <c r="J339" s="13">
        <f>J338+I339</f>
        <v>-12823073.690093227</v>
      </c>
      <c r="K339">
        <f>IF(J339=MAX($J$4:$J$404),A339,0)</f>
        <v>0</v>
      </c>
      <c r="L339">
        <f>IF(E339&lt;H339,A339,B_MAX+1)</f>
        <v>335</v>
      </c>
      <c r="M339" s="13">
        <f>IF(B339=1,GRANT_RUNG1,GRANT_RUNG2)</f>
        <v>0</v>
      </c>
      <c r="N339" s="13">
        <f>OCC_DAYS*MCD_SHARE_BED*R_NF_2023-D339*MCD_SHARE_FREED*R_WAIT_2023</f>
        <v>151980.48282209205</v>
      </c>
      <c r="O339">
        <f>IF(A339&lt;=BEDS,1,0)</f>
        <v>0</v>
      </c>
    </row>
    <row r="340">
      <c r="A340" t="n">
        <v>336</v>
      </c>
      <c r="B340">
        <f>IF(COST_YR_RUNG1&lt;=COST_YR_RUNG2,IF(A340&lt;=RUNG_BEDS_1,1,2),IF(A340&lt;=RUNG_BEDS_2,2,1))</f>
        <v>1</v>
      </c>
      <c r="C340" s="5">
        <f>MIN(1,MAX(0,POOL_BEDS-(A340-1)))</f>
        <v>0</v>
      </c>
      <c r="D340" s="5">
        <f>FREED*(C340+(1-C340)*PAST_POOL_PCT)</f>
        <v>0.0</v>
      </c>
      <c r="E340" s="13">
        <f>D340*(C_AVOID+ACUTE_MARGIN)</f>
        <v>0.0</v>
      </c>
      <c r="F340" s="13">
        <f>D340*(RANGE_LO+ACUTE_MARGIN)</f>
        <v>0.0</v>
      </c>
      <c r="G340" s="13">
        <f>D340*(RANGE_HI+ACUTE_MARGIN)</f>
        <v>0.0</v>
      </c>
      <c r="H340" s="13">
        <f>IF(B340=1,COST_YR_RUNG1,COST_YR_RUNG2)</f>
        <v>152394.16214437486</v>
      </c>
      <c r="I340" s="13">
        <f>E340-H340</f>
        <v>-152394.16214437486</v>
      </c>
      <c r="J340" s="13">
        <f>J339+I340</f>
        <v>-12975467.8522376</v>
      </c>
      <c r="K340">
        <f>IF(J340=MAX($J$4:$J$404),A340,0)</f>
        <v>0</v>
      </c>
      <c r="L340">
        <f>IF(E340&lt;H340,A340,B_MAX+1)</f>
        <v>336</v>
      </c>
      <c r="M340" s="13">
        <f>IF(B340=1,GRANT_RUNG1,GRANT_RUNG2)</f>
        <v>0</v>
      </c>
      <c r="N340" s="13">
        <f>OCC_DAYS*MCD_SHARE_BED*R_NF_2023-D340*MCD_SHARE_FREED*R_WAIT_2023</f>
        <v>151980.48282209205</v>
      </c>
      <c r="O340">
        <f>IF(A340&lt;=BEDS,1,0)</f>
        <v>0</v>
      </c>
    </row>
    <row r="341">
      <c r="A341" t="n">
        <v>337</v>
      </c>
      <c r="B341">
        <f>IF(COST_YR_RUNG1&lt;=COST_YR_RUNG2,IF(A341&lt;=RUNG_BEDS_1,1,2),IF(A341&lt;=RUNG_BEDS_2,2,1))</f>
        <v>1</v>
      </c>
      <c r="C341" s="5">
        <f>MIN(1,MAX(0,POOL_BEDS-(A341-1)))</f>
        <v>0</v>
      </c>
      <c r="D341" s="5">
        <f>FREED*(C341+(1-C341)*PAST_POOL_PCT)</f>
        <v>0.0</v>
      </c>
      <c r="E341" s="13">
        <f>D341*(C_AVOID+ACUTE_MARGIN)</f>
        <v>0.0</v>
      </c>
      <c r="F341" s="13">
        <f>D341*(RANGE_LO+ACUTE_MARGIN)</f>
        <v>0.0</v>
      </c>
      <c r="G341" s="13">
        <f>D341*(RANGE_HI+ACUTE_MARGIN)</f>
        <v>0.0</v>
      </c>
      <c r="H341" s="13">
        <f>IF(B341=1,COST_YR_RUNG1,COST_YR_RUNG2)</f>
        <v>152394.16214437486</v>
      </c>
      <c r="I341" s="13">
        <f>E341-H341</f>
        <v>-152394.16214437486</v>
      </c>
      <c r="J341" s="13">
        <f>J340+I341</f>
        <v>-13127862.014381975</v>
      </c>
      <c r="K341">
        <f>IF(J341=MAX($J$4:$J$404),A341,0)</f>
        <v>0</v>
      </c>
      <c r="L341">
        <f>IF(E341&lt;H341,A341,B_MAX+1)</f>
        <v>337</v>
      </c>
      <c r="M341" s="13">
        <f>IF(B341=1,GRANT_RUNG1,GRANT_RUNG2)</f>
        <v>0</v>
      </c>
      <c r="N341" s="13">
        <f>OCC_DAYS*MCD_SHARE_BED*R_NF_2023-D341*MCD_SHARE_FREED*R_WAIT_2023</f>
        <v>151980.48282209205</v>
      </c>
      <c r="O341">
        <f>IF(A341&lt;=BEDS,1,0)</f>
        <v>0</v>
      </c>
    </row>
    <row r="342">
      <c r="A342" t="n">
        <v>338</v>
      </c>
      <c r="B342">
        <f>IF(COST_YR_RUNG1&lt;=COST_YR_RUNG2,IF(A342&lt;=RUNG_BEDS_1,1,2),IF(A342&lt;=RUNG_BEDS_2,2,1))</f>
        <v>1</v>
      </c>
      <c r="C342" s="5">
        <f>MIN(1,MAX(0,POOL_BEDS-(A342-1)))</f>
        <v>0</v>
      </c>
      <c r="D342" s="5">
        <f>FREED*(C342+(1-C342)*PAST_POOL_PCT)</f>
        <v>0.0</v>
      </c>
      <c r="E342" s="13">
        <f>D342*(C_AVOID+ACUTE_MARGIN)</f>
        <v>0.0</v>
      </c>
      <c r="F342" s="13">
        <f>D342*(RANGE_LO+ACUTE_MARGIN)</f>
        <v>0.0</v>
      </c>
      <c r="G342" s="13">
        <f>D342*(RANGE_HI+ACUTE_MARGIN)</f>
        <v>0.0</v>
      </c>
      <c r="H342" s="13">
        <f>IF(B342=1,COST_YR_RUNG1,COST_YR_RUNG2)</f>
        <v>152394.16214437486</v>
      </c>
      <c r="I342" s="13">
        <f>E342-H342</f>
        <v>-152394.16214437486</v>
      </c>
      <c r="J342" s="13">
        <f>J341+I342</f>
        <v>-13280256.176526349</v>
      </c>
      <c r="K342">
        <f>IF(J342=MAX($J$4:$J$404),A342,0)</f>
        <v>0</v>
      </c>
      <c r="L342">
        <f>IF(E342&lt;H342,A342,B_MAX+1)</f>
        <v>338</v>
      </c>
      <c r="M342" s="13">
        <f>IF(B342=1,GRANT_RUNG1,GRANT_RUNG2)</f>
        <v>0</v>
      </c>
      <c r="N342" s="13">
        <f>OCC_DAYS*MCD_SHARE_BED*R_NF_2023-D342*MCD_SHARE_FREED*R_WAIT_2023</f>
        <v>151980.48282209205</v>
      </c>
      <c r="O342">
        <f>IF(A342&lt;=BEDS,1,0)</f>
        <v>0</v>
      </c>
    </row>
    <row r="343">
      <c r="A343" t="n">
        <v>339</v>
      </c>
      <c r="B343">
        <f>IF(COST_YR_RUNG1&lt;=COST_YR_RUNG2,IF(A343&lt;=RUNG_BEDS_1,1,2),IF(A343&lt;=RUNG_BEDS_2,2,1))</f>
        <v>1</v>
      </c>
      <c r="C343" s="5">
        <f>MIN(1,MAX(0,POOL_BEDS-(A343-1)))</f>
        <v>0</v>
      </c>
      <c r="D343" s="5">
        <f>FREED*(C343+(1-C343)*PAST_POOL_PCT)</f>
        <v>0.0</v>
      </c>
      <c r="E343" s="13">
        <f>D343*(C_AVOID+ACUTE_MARGIN)</f>
        <v>0.0</v>
      </c>
      <c r="F343" s="13">
        <f>D343*(RANGE_LO+ACUTE_MARGIN)</f>
        <v>0.0</v>
      </c>
      <c r="G343" s="13">
        <f>D343*(RANGE_HI+ACUTE_MARGIN)</f>
        <v>0.0</v>
      </c>
      <c r="H343" s="13">
        <f>IF(B343=1,COST_YR_RUNG1,COST_YR_RUNG2)</f>
        <v>152394.16214437486</v>
      </c>
      <c r="I343" s="13">
        <f>E343-H343</f>
        <v>-152394.16214437486</v>
      </c>
      <c r="J343" s="13">
        <f>J342+I343</f>
        <v>-13432650.338670723</v>
      </c>
      <c r="K343">
        <f>IF(J343=MAX($J$4:$J$404),A343,0)</f>
        <v>0</v>
      </c>
      <c r="L343">
        <f>IF(E343&lt;H343,A343,B_MAX+1)</f>
        <v>339</v>
      </c>
      <c r="M343" s="13">
        <f>IF(B343=1,GRANT_RUNG1,GRANT_RUNG2)</f>
        <v>0</v>
      </c>
      <c r="N343" s="13">
        <f>OCC_DAYS*MCD_SHARE_BED*R_NF_2023-D343*MCD_SHARE_FREED*R_WAIT_2023</f>
        <v>151980.48282209205</v>
      </c>
      <c r="O343">
        <f>IF(A343&lt;=BEDS,1,0)</f>
        <v>0</v>
      </c>
    </row>
    <row r="344">
      <c r="A344" t="n">
        <v>340</v>
      </c>
      <c r="B344">
        <f>IF(COST_YR_RUNG1&lt;=COST_YR_RUNG2,IF(A344&lt;=RUNG_BEDS_1,1,2),IF(A344&lt;=RUNG_BEDS_2,2,1))</f>
        <v>1</v>
      </c>
      <c r="C344" s="5">
        <f>MIN(1,MAX(0,POOL_BEDS-(A344-1)))</f>
        <v>0</v>
      </c>
      <c r="D344" s="5">
        <f>FREED*(C344+(1-C344)*PAST_POOL_PCT)</f>
        <v>0.0</v>
      </c>
      <c r="E344" s="13">
        <f>D344*(C_AVOID+ACUTE_MARGIN)</f>
        <v>0.0</v>
      </c>
      <c r="F344" s="13">
        <f>D344*(RANGE_LO+ACUTE_MARGIN)</f>
        <v>0.0</v>
      </c>
      <c r="G344" s="13">
        <f>D344*(RANGE_HI+ACUTE_MARGIN)</f>
        <v>0.0</v>
      </c>
      <c r="H344" s="13">
        <f>IF(B344=1,COST_YR_RUNG1,COST_YR_RUNG2)</f>
        <v>152394.16214437486</v>
      </c>
      <c r="I344" s="13">
        <f>E344-H344</f>
        <v>-152394.16214437486</v>
      </c>
      <c r="J344" s="13">
        <f>J343+I344</f>
        <v>-13585044.500815097</v>
      </c>
      <c r="K344">
        <f>IF(J344=MAX($J$4:$J$404),A344,0)</f>
        <v>0</v>
      </c>
      <c r="L344">
        <f>IF(E344&lt;H344,A344,B_MAX+1)</f>
        <v>340</v>
      </c>
      <c r="M344" s="13">
        <f>IF(B344=1,GRANT_RUNG1,GRANT_RUNG2)</f>
        <v>0</v>
      </c>
      <c r="N344" s="13">
        <f>OCC_DAYS*MCD_SHARE_BED*R_NF_2023-D344*MCD_SHARE_FREED*R_WAIT_2023</f>
        <v>151980.48282209205</v>
      </c>
      <c r="O344">
        <f>IF(A344&lt;=BEDS,1,0)</f>
        <v>0</v>
      </c>
    </row>
    <row r="345">
      <c r="A345" t="n">
        <v>341</v>
      </c>
      <c r="B345">
        <f>IF(COST_YR_RUNG1&lt;=COST_YR_RUNG2,IF(A345&lt;=RUNG_BEDS_1,1,2),IF(A345&lt;=RUNG_BEDS_2,2,1))</f>
        <v>1</v>
      </c>
      <c r="C345" s="5">
        <f>MIN(1,MAX(0,POOL_BEDS-(A345-1)))</f>
        <v>0</v>
      </c>
      <c r="D345" s="5">
        <f>FREED*(C345+(1-C345)*PAST_POOL_PCT)</f>
        <v>0.0</v>
      </c>
      <c r="E345" s="13">
        <f>D345*(C_AVOID+ACUTE_MARGIN)</f>
        <v>0.0</v>
      </c>
      <c r="F345" s="13">
        <f>D345*(RANGE_LO+ACUTE_MARGIN)</f>
        <v>0.0</v>
      </c>
      <c r="G345" s="13">
        <f>D345*(RANGE_HI+ACUTE_MARGIN)</f>
        <v>0.0</v>
      </c>
      <c r="H345" s="13">
        <f>IF(B345=1,COST_YR_RUNG1,COST_YR_RUNG2)</f>
        <v>152394.16214437486</v>
      </c>
      <c r="I345" s="13">
        <f>E345-H345</f>
        <v>-152394.16214437486</v>
      </c>
      <c r="J345" s="13">
        <f>J344+I345</f>
        <v>-13737438.662959471</v>
      </c>
      <c r="K345">
        <f>IF(J345=MAX($J$4:$J$404),A345,0)</f>
        <v>0</v>
      </c>
      <c r="L345">
        <f>IF(E345&lt;H345,A345,B_MAX+1)</f>
        <v>341</v>
      </c>
      <c r="M345" s="13">
        <f>IF(B345=1,GRANT_RUNG1,GRANT_RUNG2)</f>
        <v>0</v>
      </c>
      <c r="N345" s="13">
        <f>OCC_DAYS*MCD_SHARE_BED*R_NF_2023-D345*MCD_SHARE_FREED*R_WAIT_2023</f>
        <v>151980.48282209205</v>
      </c>
      <c r="O345">
        <f>IF(A345&lt;=BEDS,1,0)</f>
        <v>0</v>
      </c>
    </row>
    <row r="346">
      <c r="A346" t="n">
        <v>342</v>
      </c>
      <c r="B346">
        <f>IF(COST_YR_RUNG1&lt;=COST_YR_RUNG2,IF(A346&lt;=RUNG_BEDS_1,1,2),IF(A346&lt;=RUNG_BEDS_2,2,1))</f>
        <v>1</v>
      </c>
      <c r="C346" s="5">
        <f>MIN(1,MAX(0,POOL_BEDS-(A346-1)))</f>
        <v>0</v>
      </c>
      <c r="D346" s="5">
        <f>FREED*(C346+(1-C346)*PAST_POOL_PCT)</f>
        <v>0.0</v>
      </c>
      <c r="E346" s="13">
        <f>D346*(C_AVOID+ACUTE_MARGIN)</f>
        <v>0.0</v>
      </c>
      <c r="F346" s="13">
        <f>D346*(RANGE_LO+ACUTE_MARGIN)</f>
        <v>0.0</v>
      </c>
      <c r="G346" s="13">
        <f>D346*(RANGE_HI+ACUTE_MARGIN)</f>
        <v>0.0</v>
      </c>
      <c r="H346" s="13">
        <f>IF(B346=1,COST_YR_RUNG1,COST_YR_RUNG2)</f>
        <v>152394.16214437486</v>
      </c>
      <c r="I346" s="13">
        <f>E346-H346</f>
        <v>-152394.16214437486</v>
      </c>
      <c r="J346" s="13">
        <f>J345+I346</f>
        <v>-13889832.825103845</v>
      </c>
      <c r="K346">
        <f>IF(J346=MAX($J$4:$J$404),A346,0)</f>
        <v>0</v>
      </c>
      <c r="L346">
        <f>IF(E346&lt;H346,A346,B_MAX+1)</f>
        <v>342</v>
      </c>
      <c r="M346" s="13">
        <f>IF(B346=1,GRANT_RUNG1,GRANT_RUNG2)</f>
        <v>0</v>
      </c>
      <c r="N346" s="13">
        <f>OCC_DAYS*MCD_SHARE_BED*R_NF_2023-D346*MCD_SHARE_FREED*R_WAIT_2023</f>
        <v>151980.48282209205</v>
      </c>
      <c r="O346">
        <f>IF(A346&lt;=BEDS,1,0)</f>
        <v>0</v>
      </c>
    </row>
    <row r="347">
      <c r="A347" t="n">
        <v>343</v>
      </c>
      <c r="B347">
        <f>IF(COST_YR_RUNG1&lt;=COST_YR_RUNG2,IF(A347&lt;=RUNG_BEDS_1,1,2),IF(A347&lt;=RUNG_BEDS_2,2,1))</f>
        <v>1</v>
      </c>
      <c r="C347" s="5">
        <f>MIN(1,MAX(0,POOL_BEDS-(A347-1)))</f>
        <v>0</v>
      </c>
      <c r="D347" s="5">
        <f>FREED*(C347+(1-C347)*PAST_POOL_PCT)</f>
        <v>0.0</v>
      </c>
      <c r="E347" s="13">
        <f>D347*(C_AVOID+ACUTE_MARGIN)</f>
        <v>0.0</v>
      </c>
      <c r="F347" s="13">
        <f>D347*(RANGE_LO+ACUTE_MARGIN)</f>
        <v>0.0</v>
      </c>
      <c r="G347" s="13">
        <f>D347*(RANGE_HI+ACUTE_MARGIN)</f>
        <v>0.0</v>
      </c>
      <c r="H347" s="13">
        <f>IF(B347=1,COST_YR_RUNG1,COST_YR_RUNG2)</f>
        <v>152394.16214437486</v>
      </c>
      <c r="I347" s="13">
        <f>E347-H347</f>
        <v>-152394.16214437486</v>
      </c>
      <c r="J347" s="13">
        <f>J346+I347</f>
        <v>-14042226.98724822</v>
      </c>
      <c r="K347">
        <f>IF(J347=MAX($J$4:$J$404),A347,0)</f>
        <v>0</v>
      </c>
      <c r="L347">
        <f>IF(E347&lt;H347,A347,B_MAX+1)</f>
        <v>343</v>
      </c>
      <c r="M347" s="13">
        <f>IF(B347=1,GRANT_RUNG1,GRANT_RUNG2)</f>
        <v>0</v>
      </c>
      <c r="N347" s="13">
        <f>OCC_DAYS*MCD_SHARE_BED*R_NF_2023-D347*MCD_SHARE_FREED*R_WAIT_2023</f>
        <v>151980.48282209205</v>
      </c>
      <c r="O347">
        <f>IF(A347&lt;=BEDS,1,0)</f>
        <v>0</v>
      </c>
    </row>
    <row r="348">
      <c r="A348" t="n">
        <v>344</v>
      </c>
      <c r="B348">
        <f>IF(COST_YR_RUNG1&lt;=COST_YR_RUNG2,IF(A348&lt;=RUNG_BEDS_1,1,2),IF(A348&lt;=RUNG_BEDS_2,2,1))</f>
        <v>1</v>
      </c>
      <c r="C348" s="5">
        <f>MIN(1,MAX(0,POOL_BEDS-(A348-1)))</f>
        <v>0</v>
      </c>
      <c r="D348" s="5">
        <f>FREED*(C348+(1-C348)*PAST_POOL_PCT)</f>
        <v>0.0</v>
      </c>
      <c r="E348" s="13">
        <f>D348*(C_AVOID+ACUTE_MARGIN)</f>
        <v>0.0</v>
      </c>
      <c r="F348" s="13">
        <f>D348*(RANGE_LO+ACUTE_MARGIN)</f>
        <v>0.0</v>
      </c>
      <c r="G348" s="13">
        <f>D348*(RANGE_HI+ACUTE_MARGIN)</f>
        <v>0.0</v>
      </c>
      <c r="H348" s="13">
        <f>IF(B348=1,COST_YR_RUNG1,COST_YR_RUNG2)</f>
        <v>152394.16214437486</v>
      </c>
      <c r="I348" s="13">
        <f>E348-H348</f>
        <v>-152394.16214437486</v>
      </c>
      <c r="J348" s="13">
        <f>J347+I348</f>
        <v>-14194621.149392594</v>
      </c>
      <c r="K348">
        <f>IF(J348=MAX($J$4:$J$404),A348,0)</f>
        <v>0</v>
      </c>
      <c r="L348">
        <f>IF(E348&lt;H348,A348,B_MAX+1)</f>
        <v>344</v>
      </c>
      <c r="M348" s="13">
        <f>IF(B348=1,GRANT_RUNG1,GRANT_RUNG2)</f>
        <v>0</v>
      </c>
      <c r="N348" s="13">
        <f>OCC_DAYS*MCD_SHARE_BED*R_NF_2023-D348*MCD_SHARE_FREED*R_WAIT_2023</f>
        <v>151980.48282209205</v>
      </c>
      <c r="O348">
        <f>IF(A348&lt;=BEDS,1,0)</f>
        <v>0</v>
      </c>
    </row>
    <row r="349">
      <c r="A349" t="n">
        <v>345</v>
      </c>
      <c r="B349">
        <f>IF(COST_YR_RUNG1&lt;=COST_YR_RUNG2,IF(A349&lt;=RUNG_BEDS_1,1,2),IF(A349&lt;=RUNG_BEDS_2,2,1))</f>
        <v>1</v>
      </c>
      <c r="C349" s="5">
        <f>MIN(1,MAX(0,POOL_BEDS-(A349-1)))</f>
        <v>0</v>
      </c>
      <c r="D349" s="5">
        <f>FREED*(C349+(1-C349)*PAST_POOL_PCT)</f>
        <v>0.0</v>
      </c>
      <c r="E349" s="13">
        <f>D349*(C_AVOID+ACUTE_MARGIN)</f>
        <v>0.0</v>
      </c>
      <c r="F349" s="13">
        <f>D349*(RANGE_LO+ACUTE_MARGIN)</f>
        <v>0.0</v>
      </c>
      <c r="G349" s="13">
        <f>D349*(RANGE_HI+ACUTE_MARGIN)</f>
        <v>0.0</v>
      </c>
      <c r="H349" s="13">
        <f>IF(B349=1,COST_YR_RUNG1,COST_YR_RUNG2)</f>
        <v>152394.16214437486</v>
      </c>
      <c r="I349" s="13">
        <f>E349-H349</f>
        <v>-152394.16214437486</v>
      </c>
      <c r="J349" s="13">
        <f>J348+I349</f>
        <v>-14347015.311536968</v>
      </c>
      <c r="K349">
        <f>IF(J349=MAX($J$4:$J$404),A349,0)</f>
        <v>0</v>
      </c>
      <c r="L349">
        <f>IF(E349&lt;H349,A349,B_MAX+1)</f>
        <v>345</v>
      </c>
      <c r="M349" s="13">
        <f>IF(B349=1,GRANT_RUNG1,GRANT_RUNG2)</f>
        <v>0</v>
      </c>
      <c r="N349" s="13">
        <f>OCC_DAYS*MCD_SHARE_BED*R_NF_2023-D349*MCD_SHARE_FREED*R_WAIT_2023</f>
        <v>151980.48282209205</v>
      </c>
      <c r="O349">
        <f>IF(A349&lt;=BEDS,1,0)</f>
        <v>0</v>
      </c>
    </row>
    <row r="350">
      <c r="A350" t="n">
        <v>346</v>
      </c>
      <c r="B350">
        <f>IF(COST_YR_RUNG1&lt;=COST_YR_RUNG2,IF(A350&lt;=RUNG_BEDS_1,1,2),IF(A350&lt;=RUNG_BEDS_2,2,1))</f>
        <v>1</v>
      </c>
      <c r="C350" s="5">
        <f>MIN(1,MAX(0,POOL_BEDS-(A350-1)))</f>
        <v>0</v>
      </c>
      <c r="D350" s="5">
        <f>FREED*(C350+(1-C350)*PAST_POOL_PCT)</f>
        <v>0.0</v>
      </c>
      <c r="E350" s="13">
        <f>D350*(C_AVOID+ACUTE_MARGIN)</f>
        <v>0.0</v>
      </c>
      <c r="F350" s="13">
        <f>D350*(RANGE_LO+ACUTE_MARGIN)</f>
        <v>0.0</v>
      </c>
      <c r="G350" s="13">
        <f>D350*(RANGE_HI+ACUTE_MARGIN)</f>
        <v>0.0</v>
      </c>
      <c r="H350" s="13">
        <f>IF(B350=1,COST_YR_RUNG1,COST_YR_RUNG2)</f>
        <v>152394.16214437486</v>
      </c>
      <c r="I350" s="13">
        <f>E350-H350</f>
        <v>-152394.16214437486</v>
      </c>
      <c r="J350" s="13">
        <f>J349+I350</f>
        <v>-14499409.473681342</v>
      </c>
      <c r="K350">
        <f>IF(J350=MAX($J$4:$J$404),A350,0)</f>
        <v>0</v>
      </c>
      <c r="L350">
        <f>IF(E350&lt;H350,A350,B_MAX+1)</f>
        <v>346</v>
      </c>
      <c r="M350" s="13">
        <f>IF(B350=1,GRANT_RUNG1,GRANT_RUNG2)</f>
        <v>0</v>
      </c>
      <c r="N350" s="13">
        <f>OCC_DAYS*MCD_SHARE_BED*R_NF_2023-D350*MCD_SHARE_FREED*R_WAIT_2023</f>
        <v>151980.48282209205</v>
      </c>
      <c r="O350">
        <f>IF(A350&lt;=BEDS,1,0)</f>
        <v>0</v>
      </c>
    </row>
    <row r="351">
      <c r="A351" t="n">
        <v>347</v>
      </c>
      <c r="B351">
        <f>IF(COST_YR_RUNG1&lt;=COST_YR_RUNG2,IF(A351&lt;=RUNG_BEDS_1,1,2),IF(A351&lt;=RUNG_BEDS_2,2,1))</f>
        <v>1</v>
      </c>
      <c r="C351" s="5">
        <f>MIN(1,MAX(0,POOL_BEDS-(A351-1)))</f>
        <v>0</v>
      </c>
      <c r="D351" s="5">
        <f>FREED*(C351+(1-C351)*PAST_POOL_PCT)</f>
        <v>0.0</v>
      </c>
      <c r="E351" s="13">
        <f>D351*(C_AVOID+ACUTE_MARGIN)</f>
        <v>0.0</v>
      </c>
      <c r="F351" s="13">
        <f>D351*(RANGE_LO+ACUTE_MARGIN)</f>
        <v>0.0</v>
      </c>
      <c r="G351" s="13">
        <f>D351*(RANGE_HI+ACUTE_MARGIN)</f>
        <v>0.0</v>
      </c>
      <c r="H351" s="13">
        <f>IF(B351=1,COST_YR_RUNG1,COST_YR_RUNG2)</f>
        <v>152394.16214437486</v>
      </c>
      <c r="I351" s="13">
        <f>E351-H351</f>
        <v>-152394.16214437486</v>
      </c>
      <c r="J351" s="13">
        <f>J350+I351</f>
        <v>-14651803.635825716</v>
      </c>
      <c r="K351">
        <f>IF(J351=MAX($J$4:$J$404),A351,0)</f>
        <v>0</v>
      </c>
      <c r="L351">
        <f>IF(E351&lt;H351,A351,B_MAX+1)</f>
        <v>347</v>
      </c>
      <c r="M351" s="13">
        <f>IF(B351=1,GRANT_RUNG1,GRANT_RUNG2)</f>
        <v>0</v>
      </c>
      <c r="N351" s="13">
        <f>OCC_DAYS*MCD_SHARE_BED*R_NF_2023-D351*MCD_SHARE_FREED*R_WAIT_2023</f>
        <v>151980.48282209205</v>
      </c>
      <c r="O351">
        <f>IF(A351&lt;=BEDS,1,0)</f>
        <v>0</v>
      </c>
    </row>
    <row r="352">
      <c r="A352" t="n">
        <v>348</v>
      </c>
      <c r="B352">
        <f>IF(COST_YR_RUNG1&lt;=COST_YR_RUNG2,IF(A352&lt;=RUNG_BEDS_1,1,2),IF(A352&lt;=RUNG_BEDS_2,2,1))</f>
        <v>1</v>
      </c>
      <c r="C352" s="5">
        <f>MIN(1,MAX(0,POOL_BEDS-(A352-1)))</f>
        <v>0</v>
      </c>
      <c r="D352" s="5">
        <f>FREED*(C352+(1-C352)*PAST_POOL_PCT)</f>
        <v>0.0</v>
      </c>
      <c r="E352" s="13">
        <f>D352*(C_AVOID+ACUTE_MARGIN)</f>
        <v>0.0</v>
      </c>
      <c r="F352" s="13">
        <f>D352*(RANGE_LO+ACUTE_MARGIN)</f>
        <v>0.0</v>
      </c>
      <c r="G352" s="13">
        <f>D352*(RANGE_HI+ACUTE_MARGIN)</f>
        <v>0.0</v>
      </c>
      <c r="H352" s="13">
        <f>IF(B352=1,COST_YR_RUNG1,COST_YR_RUNG2)</f>
        <v>152394.16214437486</v>
      </c>
      <c r="I352" s="13">
        <f>E352-H352</f>
        <v>-152394.16214437486</v>
      </c>
      <c r="J352" s="13">
        <f>J351+I352</f>
        <v>-14804197.79797009</v>
      </c>
      <c r="K352">
        <f>IF(J352=MAX($J$4:$J$404),A352,0)</f>
        <v>0</v>
      </c>
      <c r="L352">
        <f>IF(E352&lt;H352,A352,B_MAX+1)</f>
        <v>348</v>
      </c>
      <c r="M352" s="13">
        <f>IF(B352=1,GRANT_RUNG1,GRANT_RUNG2)</f>
        <v>0</v>
      </c>
      <c r="N352" s="13">
        <f>OCC_DAYS*MCD_SHARE_BED*R_NF_2023-D352*MCD_SHARE_FREED*R_WAIT_2023</f>
        <v>151980.48282209205</v>
      </c>
      <c r="O352">
        <f>IF(A352&lt;=BEDS,1,0)</f>
        <v>0</v>
      </c>
    </row>
    <row r="353">
      <c r="A353" t="n">
        <v>349</v>
      </c>
      <c r="B353">
        <f>IF(COST_YR_RUNG1&lt;=COST_YR_RUNG2,IF(A353&lt;=RUNG_BEDS_1,1,2),IF(A353&lt;=RUNG_BEDS_2,2,1))</f>
        <v>1</v>
      </c>
      <c r="C353" s="5">
        <f>MIN(1,MAX(0,POOL_BEDS-(A353-1)))</f>
        <v>0</v>
      </c>
      <c r="D353" s="5">
        <f>FREED*(C353+(1-C353)*PAST_POOL_PCT)</f>
        <v>0.0</v>
      </c>
      <c r="E353" s="13">
        <f>D353*(C_AVOID+ACUTE_MARGIN)</f>
        <v>0.0</v>
      </c>
      <c r="F353" s="13">
        <f>D353*(RANGE_LO+ACUTE_MARGIN)</f>
        <v>0.0</v>
      </c>
      <c r="G353" s="13">
        <f>D353*(RANGE_HI+ACUTE_MARGIN)</f>
        <v>0.0</v>
      </c>
      <c r="H353" s="13">
        <f>IF(B353=1,COST_YR_RUNG1,COST_YR_RUNG2)</f>
        <v>152394.16214437486</v>
      </c>
      <c r="I353" s="13">
        <f>E353-H353</f>
        <v>-152394.16214437486</v>
      </c>
      <c r="J353" s="13">
        <f>J352+I353</f>
        <v>-14956591.960114464</v>
      </c>
      <c r="K353">
        <f>IF(J353=MAX($J$4:$J$404),A353,0)</f>
        <v>0</v>
      </c>
      <c r="L353">
        <f>IF(E353&lt;H353,A353,B_MAX+1)</f>
        <v>349</v>
      </c>
      <c r="M353" s="13">
        <f>IF(B353=1,GRANT_RUNG1,GRANT_RUNG2)</f>
        <v>0</v>
      </c>
      <c r="N353" s="13">
        <f>OCC_DAYS*MCD_SHARE_BED*R_NF_2023-D353*MCD_SHARE_FREED*R_WAIT_2023</f>
        <v>151980.48282209205</v>
      </c>
      <c r="O353">
        <f>IF(A353&lt;=BEDS,1,0)</f>
        <v>0</v>
      </c>
    </row>
    <row r="354">
      <c r="A354" t="n">
        <v>350</v>
      </c>
      <c r="B354">
        <f>IF(COST_YR_RUNG1&lt;=COST_YR_RUNG2,IF(A354&lt;=RUNG_BEDS_1,1,2),IF(A354&lt;=RUNG_BEDS_2,2,1))</f>
        <v>1</v>
      </c>
      <c r="C354" s="5">
        <f>MIN(1,MAX(0,POOL_BEDS-(A354-1)))</f>
        <v>0</v>
      </c>
      <c r="D354" s="5">
        <f>FREED*(C354+(1-C354)*PAST_POOL_PCT)</f>
        <v>0.0</v>
      </c>
      <c r="E354" s="13">
        <f>D354*(C_AVOID+ACUTE_MARGIN)</f>
        <v>0.0</v>
      </c>
      <c r="F354" s="13">
        <f>D354*(RANGE_LO+ACUTE_MARGIN)</f>
        <v>0.0</v>
      </c>
      <c r="G354" s="13">
        <f>D354*(RANGE_HI+ACUTE_MARGIN)</f>
        <v>0.0</v>
      </c>
      <c r="H354" s="13">
        <f>IF(B354=1,COST_YR_RUNG1,COST_YR_RUNG2)</f>
        <v>152394.16214437486</v>
      </c>
      <c r="I354" s="13">
        <f>E354-H354</f>
        <v>-152394.16214437486</v>
      </c>
      <c r="J354" s="13">
        <f>J353+I354</f>
        <v>-15108986.122258838</v>
      </c>
      <c r="K354">
        <f>IF(J354=MAX($J$4:$J$404),A354,0)</f>
        <v>0</v>
      </c>
      <c r="L354">
        <f>IF(E354&lt;H354,A354,B_MAX+1)</f>
        <v>350</v>
      </c>
      <c r="M354" s="13">
        <f>IF(B354=1,GRANT_RUNG1,GRANT_RUNG2)</f>
        <v>0</v>
      </c>
      <c r="N354" s="13">
        <f>OCC_DAYS*MCD_SHARE_BED*R_NF_2023-D354*MCD_SHARE_FREED*R_WAIT_2023</f>
        <v>151980.48282209205</v>
      </c>
      <c r="O354">
        <f>IF(A354&lt;=BEDS,1,0)</f>
        <v>0</v>
      </c>
    </row>
    <row r="355">
      <c r="A355" t="n">
        <v>351</v>
      </c>
      <c r="B355">
        <f>IF(COST_YR_RUNG1&lt;=COST_YR_RUNG2,IF(A355&lt;=RUNG_BEDS_1,1,2),IF(A355&lt;=RUNG_BEDS_2,2,1))</f>
        <v>1</v>
      </c>
      <c r="C355" s="5">
        <f>MIN(1,MAX(0,POOL_BEDS-(A355-1)))</f>
        <v>0</v>
      </c>
      <c r="D355" s="5">
        <f>FREED*(C355+(1-C355)*PAST_POOL_PCT)</f>
        <v>0.0</v>
      </c>
      <c r="E355" s="13">
        <f>D355*(C_AVOID+ACUTE_MARGIN)</f>
        <v>0.0</v>
      </c>
      <c r="F355" s="13">
        <f>D355*(RANGE_LO+ACUTE_MARGIN)</f>
        <v>0.0</v>
      </c>
      <c r="G355" s="13">
        <f>D355*(RANGE_HI+ACUTE_MARGIN)</f>
        <v>0.0</v>
      </c>
      <c r="H355" s="13">
        <f>IF(B355=1,COST_YR_RUNG1,COST_YR_RUNG2)</f>
        <v>152394.16214437486</v>
      </c>
      <c r="I355" s="13">
        <f>E355-H355</f>
        <v>-152394.16214437486</v>
      </c>
      <c r="J355" s="13">
        <f>J354+I355</f>
        <v>-15261380.284403212</v>
      </c>
      <c r="K355">
        <f>IF(J355=MAX($J$4:$J$404),A355,0)</f>
        <v>0</v>
      </c>
      <c r="L355">
        <f>IF(E355&lt;H355,A355,B_MAX+1)</f>
        <v>351</v>
      </c>
      <c r="M355" s="13">
        <f>IF(B355=1,GRANT_RUNG1,GRANT_RUNG2)</f>
        <v>0</v>
      </c>
      <c r="N355" s="13">
        <f>OCC_DAYS*MCD_SHARE_BED*R_NF_2023-D355*MCD_SHARE_FREED*R_WAIT_2023</f>
        <v>151980.48282209205</v>
      </c>
      <c r="O355">
        <f>IF(A355&lt;=BEDS,1,0)</f>
        <v>0</v>
      </c>
    </row>
    <row r="356">
      <c r="A356" t="n">
        <v>352</v>
      </c>
      <c r="B356">
        <f>IF(COST_YR_RUNG1&lt;=COST_YR_RUNG2,IF(A356&lt;=RUNG_BEDS_1,1,2),IF(A356&lt;=RUNG_BEDS_2,2,1))</f>
        <v>1</v>
      </c>
      <c r="C356" s="5">
        <f>MIN(1,MAX(0,POOL_BEDS-(A356-1)))</f>
        <v>0</v>
      </c>
      <c r="D356" s="5">
        <f>FREED*(C356+(1-C356)*PAST_POOL_PCT)</f>
        <v>0.0</v>
      </c>
      <c r="E356" s="13">
        <f>D356*(C_AVOID+ACUTE_MARGIN)</f>
        <v>0.0</v>
      </c>
      <c r="F356" s="13">
        <f>D356*(RANGE_LO+ACUTE_MARGIN)</f>
        <v>0.0</v>
      </c>
      <c r="G356" s="13">
        <f>D356*(RANGE_HI+ACUTE_MARGIN)</f>
        <v>0.0</v>
      </c>
      <c r="H356" s="13">
        <f>IF(B356=1,COST_YR_RUNG1,COST_YR_RUNG2)</f>
        <v>152394.16214437486</v>
      </c>
      <c r="I356" s="13">
        <f>E356-H356</f>
        <v>-152394.16214437486</v>
      </c>
      <c r="J356" s="13">
        <f>J355+I356</f>
        <v>-15413774.446547586</v>
      </c>
      <c r="K356">
        <f>IF(J356=MAX($J$4:$J$404),A356,0)</f>
        <v>0</v>
      </c>
      <c r="L356">
        <f>IF(E356&lt;H356,A356,B_MAX+1)</f>
        <v>352</v>
      </c>
      <c r="M356" s="13">
        <f>IF(B356=1,GRANT_RUNG1,GRANT_RUNG2)</f>
        <v>0</v>
      </c>
      <c r="N356" s="13">
        <f>OCC_DAYS*MCD_SHARE_BED*R_NF_2023-D356*MCD_SHARE_FREED*R_WAIT_2023</f>
        <v>151980.48282209205</v>
      </c>
      <c r="O356">
        <f>IF(A356&lt;=BEDS,1,0)</f>
        <v>0</v>
      </c>
    </row>
    <row r="357">
      <c r="A357" t="n">
        <v>353</v>
      </c>
      <c r="B357">
        <f>IF(COST_YR_RUNG1&lt;=COST_YR_RUNG2,IF(A357&lt;=RUNG_BEDS_1,1,2),IF(A357&lt;=RUNG_BEDS_2,2,1))</f>
        <v>1</v>
      </c>
      <c r="C357" s="5">
        <f>MIN(1,MAX(0,POOL_BEDS-(A357-1)))</f>
        <v>0</v>
      </c>
      <c r="D357" s="5">
        <f>FREED*(C357+(1-C357)*PAST_POOL_PCT)</f>
        <v>0.0</v>
      </c>
      <c r="E357" s="13">
        <f>D357*(C_AVOID+ACUTE_MARGIN)</f>
        <v>0.0</v>
      </c>
      <c r="F357" s="13">
        <f>D357*(RANGE_LO+ACUTE_MARGIN)</f>
        <v>0.0</v>
      </c>
      <c r="G357" s="13">
        <f>D357*(RANGE_HI+ACUTE_MARGIN)</f>
        <v>0.0</v>
      </c>
      <c r="H357" s="13">
        <f>IF(B357=1,COST_YR_RUNG1,COST_YR_RUNG2)</f>
        <v>152394.16214437486</v>
      </c>
      <c r="I357" s="13">
        <f>E357-H357</f>
        <v>-152394.16214437486</v>
      </c>
      <c r="J357" s="13">
        <f>J356+I357</f>
        <v>-15566168.60869196</v>
      </c>
      <c r="K357">
        <f>IF(J357=MAX($J$4:$J$404),A357,0)</f>
        <v>0</v>
      </c>
      <c r="L357">
        <f>IF(E357&lt;H357,A357,B_MAX+1)</f>
        <v>353</v>
      </c>
      <c r="M357" s="13">
        <f>IF(B357=1,GRANT_RUNG1,GRANT_RUNG2)</f>
        <v>0</v>
      </c>
      <c r="N357" s="13">
        <f>OCC_DAYS*MCD_SHARE_BED*R_NF_2023-D357*MCD_SHARE_FREED*R_WAIT_2023</f>
        <v>151980.48282209205</v>
      </c>
      <c r="O357">
        <f>IF(A357&lt;=BEDS,1,0)</f>
        <v>0</v>
      </c>
    </row>
    <row r="358">
      <c r="A358" t="n">
        <v>354</v>
      </c>
      <c r="B358">
        <f>IF(COST_YR_RUNG1&lt;=COST_YR_RUNG2,IF(A358&lt;=RUNG_BEDS_1,1,2),IF(A358&lt;=RUNG_BEDS_2,2,1))</f>
        <v>1</v>
      </c>
      <c r="C358" s="5">
        <f>MIN(1,MAX(0,POOL_BEDS-(A358-1)))</f>
        <v>0</v>
      </c>
      <c r="D358" s="5">
        <f>FREED*(C358+(1-C358)*PAST_POOL_PCT)</f>
        <v>0.0</v>
      </c>
      <c r="E358" s="13">
        <f>D358*(C_AVOID+ACUTE_MARGIN)</f>
        <v>0.0</v>
      </c>
      <c r="F358" s="13">
        <f>D358*(RANGE_LO+ACUTE_MARGIN)</f>
        <v>0.0</v>
      </c>
      <c r="G358" s="13">
        <f>D358*(RANGE_HI+ACUTE_MARGIN)</f>
        <v>0.0</v>
      </c>
      <c r="H358" s="13">
        <f>IF(B358=1,COST_YR_RUNG1,COST_YR_RUNG2)</f>
        <v>152394.16214437486</v>
      </c>
      <c r="I358" s="13">
        <f>E358-H358</f>
        <v>-152394.16214437486</v>
      </c>
      <c r="J358" s="13">
        <f>J357+I358</f>
        <v>-15718562.770836335</v>
      </c>
      <c r="K358">
        <f>IF(J358=MAX($J$4:$J$404),A358,0)</f>
        <v>0</v>
      </c>
      <c r="L358">
        <f>IF(E358&lt;H358,A358,B_MAX+1)</f>
        <v>354</v>
      </c>
      <c r="M358" s="13">
        <f>IF(B358=1,GRANT_RUNG1,GRANT_RUNG2)</f>
        <v>0</v>
      </c>
      <c r="N358" s="13">
        <f>OCC_DAYS*MCD_SHARE_BED*R_NF_2023-D358*MCD_SHARE_FREED*R_WAIT_2023</f>
        <v>151980.48282209205</v>
      </c>
      <c r="O358">
        <f>IF(A358&lt;=BEDS,1,0)</f>
        <v>0</v>
      </c>
    </row>
    <row r="359">
      <c r="A359" t="n">
        <v>355</v>
      </c>
      <c r="B359">
        <f>IF(COST_YR_RUNG1&lt;=COST_YR_RUNG2,IF(A359&lt;=RUNG_BEDS_1,1,2),IF(A359&lt;=RUNG_BEDS_2,2,1))</f>
        <v>1</v>
      </c>
      <c r="C359" s="5">
        <f>MIN(1,MAX(0,POOL_BEDS-(A359-1)))</f>
        <v>0</v>
      </c>
      <c r="D359" s="5">
        <f>FREED*(C359+(1-C359)*PAST_POOL_PCT)</f>
        <v>0.0</v>
      </c>
      <c r="E359" s="13">
        <f>D359*(C_AVOID+ACUTE_MARGIN)</f>
        <v>0.0</v>
      </c>
      <c r="F359" s="13">
        <f>D359*(RANGE_LO+ACUTE_MARGIN)</f>
        <v>0.0</v>
      </c>
      <c r="G359" s="13">
        <f>D359*(RANGE_HI+ACUTE_MARGIN)</f>
        <v>0.0</v>
      </c>
      <c r="H359" s="13">
        <f>IF(B359=1,COST_YR_RUNG1,COST_YR_RUNG2)</f>
        <v>152394.16214437486</v>
      </c>
      <c r="I359" s="13">
        <f>E359-H359</f>
        <v>-152394.16214437486</v>
      </c>
      <c r="J359" s="13">
        <f>J358+I359</f>
        <v>-15870956.932980709</v>
      </c>
      <c r="K359">
        <f>IF(J359=MAX($J$4:$J$404),A359,0)</f>
        <v>0</v>
      </c>
      <c r="L359">
        <f>IF(E359&lt;H359,A359,B_MAX+1)</f>
        <v>355</v>
      </c>
      <c r="M359" s="13">
        <f>IF(B359=1,GRANT_RUNG1,GRANT_RUNG2)</f>
        <v>0</v>
      </c>
      <c r="N359" s="13">
        <f>OCC_DAYS*MCD_SHARE_BED*R_NF_2023-D359*MCD_SHARE_FREED*R_WAIT_2023</f>
        <v>151980.48282209205</v>
      </c>
      <c r="O359">
        <f>IF(A359&lt;=BEDS,1,0)</f>
        <v>0</v>
      </c>
    </row>
    <row r="360">
      <c r="A360" t="n">
        <v>356</v>
      </c>
      <c r="B360">
        <f>IF(COST_YR_RUNG1&lt;=COST_YR_RUNG2,IF(A360&lt;=RUNG_BEDS_1,1,2),IF(A360&lt;=RUNG_BEDS_2,2,1))</f>
        <v>1</v>
      </c>
      <c r="C360" s="5">
        <f>MIN(1,MAX(0,POOL_BEDS-(A360-1)))</f>
        <v>0</v>
      </c>
      <c r="D360" s="5">
        <f>FREED*(C360+(1-C360)*PAST_POOL_PCT)</f>
        <v>0.0</v>
      </c>
      <c r="E360" s="13">
        <f>D360*(C_AVOID+ACUTE_MARGIN)</f>
        <v>0.0</v>
      </c>
      <c r="F360" s="13">
        <f>D360*(RANGE_LO+ACUTE_MARGIN)</f>
        <v>0.0</v>
      </c>
      <c r="G360" s="13">
        <f>D360*(RANGE_HI+ACUTE_MARGIN)</f>
        <v>0.0</v>
      </c>
      <c r="H360" s="13">
        <f>IF(B360=1,COST_YR_RUNG1,COST_YR_RUNG2)</f>
        <v>152394.16214437486</v>
      </c>
      <c r="I360" s="13">
        <f>E360-H360</f>
        <v>-152394.16214437486</v>
      </c>
      <c r="J360" s="13">
        <f>J359+I360</f>
        <v>-16023351.095125083</v>
      </c>
      <c r="K360">
        <f>IF(J360=MAX($J$4:$J$404),A360,0)</f>
        <v>0</v>
      </c>
      <c r="L360">
        <f>IF(E360&lt;H360,A360,B_MAX+1)</f>
        <v>356</v>
      </c>
      <c r="M360" s="13">
        <f>IF(B360=1,GRANT_RUNG1,GRANT_RUNG2)</f>
        <v>0</v>
      </c>
      <c r="N360" s="13">
        <f>OCC_DAYS*MCD_SHARE_BED*R_NF_2023-D360*MCD_SHARE_FREED*R_WAIT_2023</f>
        <v>151980.48282209205</v>
      </c>
      <c r="O360">
        <f>IF(A360&lt;=BEDS,1,0)</f>
        <v>0</v>
      </c>
    </row>
    <row r="361">
      <c r="A361" t="n">
        <v>357</v>
      </c>
      <c r="B361">
        <f>IF(COST_YR_RUNG1&lt;=COST_YR_RUNG2,IF(A361&lt;=RUNG_BEDS_1,1,2),IF(A361&lt;=RUNG_BEDS_2,2,1))</f>
        <v>1</v>
      </c>
      <c r="C361" s="5">
        <f>MIN(1,MAX(0,POOL_BEDS-(A361-1)))</f>
        <v>0</v>
      </c>
      <c r="D361" s="5">
        <f>FREED*(C361+(1-C361)*PAST_POOL_PCT)</f>
        <v>0.0</v>
      </c>
      <c r="E361" s="13">
        <f>D361*(C_AVOID+ACUTE_MARGIN)</f>
        <v>0.0</v>
      </c>
      <c r="F361" s="13">
        <f>D361*(RANGE_LO+ACUTE_MARGIN)</f>
        <v>0.0</v>
      </c>
      <c r="G361" s="13">
        <f>D361*(RANGE_HI+ACUTE_MARGIN)</f>
        <v>0.0</v>
      </c>
      <c r="H361" s="13">
        <f>IF(B361=1,COST_YR_RUNG1,COST_YR_RUNG2)</f>
        <v>152394.16214437486</v>
      </c>
      <c r="I361" s="13">
        <f>E361-H361</f>
        <v>-152394.16214437486</v>
      </c>
      <c r="J361" s="13">
        <f>J360+I361</f>
        <v>-16175745.257269457</v>
      </c>
      <c r="K361">
        <f>IF(J361=MAX($J$4:$J$404),A361,0)</f>
        <v>0</v>
      </c>
      <c r="L361">
        <f>IF(E361&lt;H361,A361,B_MAX+1)</f>
        <v>357</v>
      </c>
      <c r="M361" s="13">
        <f>IF(B361=1,GRANT_RUNG1,GRANT_RUNG2)</f>
        <v>0</v>
      </c>
      <c r="N361" s="13">
        <f>OCC_DAYS*MCD_SHARE_BED*R_NF_2023-D361*MCD_SHARE_FREED*R_WAIT_2023</f>
        <v>151980.48282209205</v>
      </c>
      <c r="O361">
        <f>IF(A361&lt;=BEDS,1,0)</f>
        <v>0</v>
      </c>
    </row>
    <row r="362">
      <c r="A362" t="n">
        <v>358</v>
      </c>
      <c r="B362">
        <f>IF(COST_YR_RUNG1&lt;=COST_YR_RUNG2,IF(A362&lt;=RUNG_BEDS_1,1,2),IF(A362&lt;=RUNG_BEDS_2,2,1))</f>
        <v>1</v>
      </c>
      <c r="C362" s="5">
        <f>MIN(1,MAX(0,POOL_BEDS-(A362-1)))</f>
        <v>0</v>
      </c>
      <c r="D362" s="5">
        <f>FREED*(C362+(1-C362)*PAST_POOL_PCT)</f>
        <v>0.0</v>
      </c>
      <c r="E362" s="13">
        <f>D362*(C_AVOID+ACUTE_MARGIN)</f>
        <v>0.0</v>
      </c>
      <c r="F362" s="13">
        <f>D362*(RANGE_LO+ACUTE_MARGIN)</f>
        <v>0.0</v>
      </c>
      <c r="G362" s="13">
        <f>D362*(RANGE_HI+ACUTE_MARGIN)</f>
        <v>0.0</v>
      </c>
      <c r="H362" s="13">
        <f>IF(B362=1,COST_YR_RUNG1,COST_YR_RUNG2)</f>
        <v>152394.16214437486</v>
      </c>
      <c r="I362" s="13">
        <f>E362-H362</f>
        <v>-152394.16214437486</v>
      </c>
      <c r="J362" s="13">
        <f>J361+I362</f>
        <v>-16328139.419413831</v>
      </c>
      <c r="K362">
        <f>IF(J362=MAX($J$4:$J$404),A362,0)</f>
        <v>0</v>
      </c>
      <c r="L362">
        <f>IF(E362&lt;H362,A362,B_MAX+1)</f>
        <v>358</v>
      </c>
      <c r="M362" s="13">
        <f>IF(B362=1,GRANT_RUNG1,GRANT_RUNG2)</f>
        <v>0</v>
      </c>
      <c r="N362" s="13">
        <f>OCC_DAYS*MCD_SHARE_BED*R_NF_2023-D362*MCD_SHARE_FREED*R_WAIT_2023</f>
        <v>151980.48282209205</v>
      </c>
      <c r="O362">
        <f>IF(A362&lt;=BEDS,1,0)</f>
        <v>0</v>
      </c>
    </row>
    <row r="363">
      <c r="A363" t="n">
        <v>359</v>
      </c>
      <c r="B363">
        <f>IF(COST_YR_RUNG1&lt;=COST_YR_RUNG2,IF(A363&lt;=RUNG_BEDS_1,1,2),IF(A363&lt;=RUNG_BEDS_2,2,1))</f>
        <v>1</v>
      </c>
      <c r="C363" s="5">
        <f>MIN(1,MAX(0,POOL_BEDS-(A363-1)))</f>
        <v>0</v>
      </c>
      <c r="D363" s="5">
        <f>FREED*(C363+(1-C363)*PAST_POOL_PCT)</f>
        <v>0.0</v>
      </c>
      <c r="E363" s="13">
        <f>D363*(C_AVOID+ACUTE_MARGIN)</f>
        <v>0.0</v>
      </c>
      <c r="F363" s="13">
        <f>D363*(RANGE_LO+ACUTE_MARGIN)</f>
        <v>0.0</v>
      </c>
      <c r="G363" s="13">
        <f>D363*(RANGE_HI+ACUTE_MARGIN)</f>
        <v>0.0</v>
      </c>
      <c r="H363" s="13">
        <f>IF(B363=1,COST_YR_RUNG1,COST_YR_RUNG2)</f>
        <v>152394.16214437486</v>
      </c>
      <c r="I363" s="13">
        <f>E363-H363</f>
        <v>-152394.16214437486</v>
      </c>
      <c r="J363" s="13">
        <f>J362+I363</f>
        <v>-16480533.581558205</v>
      </c>
      <c r="K363">
        <f>IF(J363=MAX($J$4:$J$404),A363,0)</f>
        <v>0</v>
      </c>
      <c r="L363">
        <f>IF(E363&lt;H363,A363,B_MAX+1)</f>
        <v>359</v>
      </c>
      <c r="M363" s="13">
        <f>IF(B363=1,GRANT_RUNG1,GRANT_RUNG2)</f>
        <v>0</v>
      </c>
      <c r="N363" s="13">
        <f>OCC_DAYS*MCD_SHARE_BED*R_NF_2023-D363*MCD_SHARE_FREED*R_WAIT_2023</f>
        <v>151980.48282209205</v>
      </c>
      <c r="O363">
        <f>IF(A363&lt;=BEDS,1,0)</f>
        <v>0</v>
      </c>
    </row>
    <row r="364">
      <c r="A364" t="n">
        <v>360</v>
      </c>
      <c r="B364">
        <f>IF(COST_YR_RUNG1&lt;=COST_YR_RUNG2,IF(A364&lt;=RUNG_BEDS_1,1,2),IF(A364&lt;=RUNG_BEDS_2,2,1))</f>
        <v>1</v>
      </c>
      <c r="C364" s="5">
        <f>MIN(1,MAX(0,POOL_BEDS-(A364-1)))</f>
        <v>0</v>
      </c>
      <c r="D364" s="5">
        <f>FREED*(C364+(1-C364)*PAST_POOL_PCT)</f>
        <v>0.0</v>
      </c>
      <c r="E364" s="13">
        <f>D364*(C_AVOID+ACUTE_MARGIN)</f>
        <v>0.0</v>
      </c>
      <c r="F364" s="13">
        <f>D364*(RANGE_LO+ACUTE_MARGIN)</f>
        <v>0.0</v>
      </c>
      <c r="G364" s="13">
        <f>D364*(RANGE_HI+ACUTE_MARGIN)</f>
        <v>0.0</v>
      </c>
      <c r="H364" s="13">
        <f>IF(B364=1,COST_YR_RUNG1,COST_YR_RUNG2)</f>
        <v>152394.16214437486</v>
      </c>
      <c r="I364" s="13">
        <f>E364-H364</f>
        <v>-152394.16214437486</v>
      </c>
      <c r="J364" s="13">
        <f>J363+I364</f>
        <v>-16632927.74370258</v>
      </c>
      <c r="K364">
        <f>IF(J364=MAX($J$4:$J$404),A364,0)</f>
        <v>0</v>
      </c>
      <c r="L364">
        <f>IF(E364&lt;H364,A364,B_MAX+1)</f>
        <v>360</v>
      </c>
      <c r="M364" s="13">
        <f>IF(B364=1,GRANT_RUNG1,GRANT_RUNG2)</f>
        <v>0</v>
      </c>
      <c r="N364" s="13">
        <f>OCC_DAYS*MCD_SHARE_BED*R_NF_2023-D364*MCD_SHARE_FREED*R_WAIT_2023</f>
        <v>151980.48282209205</v>
      </c>
      <c r="O364">
        <f>IF(A364&lt;=BEDS,1,0)</f>
        <v>0</v>
      </c>
    </row>
    <row r="365">
      <c r="A365" t="n">
        <v>361</v>
      </c>
      <c r="B365">
        <f>IF(COST_YR_RUNG1&lt;=COST_YR_RUNG2,IF(A365&lt;=RUNG_BEDS_1,1,2),IF(A365&lt;=RUNG_BEDS_2,2,1))</f>
        <v>1</v>
      </c>
      <c r="C365" s="5">
        <f>MIN(1,MAX(0,POOL_BEDS-(A365-1)))</f>
        <v>0</v>
      </c>
      <c r="D365" s="5">
        <f>FREED*(C365+(1-C365)*PAST_POOL_PCT)</f>
        <v>0.0</v>
      </c>
      <c r="E365" s="13">
        <f>D365*(C_AVOID+ACUTE_MARGIN)</f>
        <v>0.0</v>
      </c>
      <c r="F365" s="13">
        <f>D365*(RANGE_LO+ACUTE_MARGIN)</f>
        <v>0.0</v>
      </c>
      <c r="G365" s="13">
        <f>D365*(RANGE_HI+ACUTE_MARGIN)</f>
        <v>0.0</v>
      </c>
      <c r="H365" s="13">
        <f>IF(B365=1,COST_YR_RUNG1,COST_YR_RUNG2)</f>
        <v>152394.16214437486</v>
      </c>
      <c r="I365" s="13">
        <f>E365-H365</f>
        <v>-152394.16214437486</v>
      </c>
      <c r="J365" s="13">
        <f>J364+I365</f>
        <v>-16785321.905846953</v>
      </c>
      <c r="K365">
        <f>IF(J365=MAX($J$4:$J$404),A365,0)</f>
        <v>0</v>
      </c>
      <c r="L365">
        <f>IF(E365&lt;H365,A365,B_MAX+1)</f>
        <v>361</v>
      </c>
      <c r="M365" s="13">
        <f>IF(B365=1,GRANT_RUNG1,GRANT_RUNG2)</f>
        <v>0</v>
      </c>
      <c r="N365" s="13">
        <f>OCC_DAYS*MCD_SHARE_BED*R_NF_2023-D365*MCD_SHARE_FREED*R_WAIT_2023</f>
        <v>151980.48282209205</v>
      </c>
      <c r="O365">
        <f>IF(A365&lt;=BEDS,1,0)</f>
        <v>0</v>
      </c>
    </row>
    <row r="366">
      <c r="A366" t="n">
        <v>362</v>
      </c>
      <c r="B366">
        <f>IF(COST_YR_RUNG1&lt;=COST_YR_RUNG2,IF(A366&lt;=RUNG_BEDS_1,1,2),IF(A366&lt;=RUNG_BEDS_2,2,1))</f>
        <v>1</v>
      </c>
      <c r="C366" s="5">
        <f>MIN(1,MAX(0,POOL_BEDS-(A366-1)))</f>
        <v>0</v>
      </c>
      <c r="D366" s="5">
        <f>FREED*(C366+(1-C366)*PAST_POOL_PCT)</f>
        <v>0.0</v>
      </c>
      <c r="E366" s="13">
        <f>D366*(C_AVOID+ACUTE_MARGIN)</f>
        <v>0.0</v>
      </c>
      <c r="F366" s="13">
        <f>D366*(RANGE_LO+ACUTE_MARGIN)</f>
        <v>0.0</v>
      </c>
      <c r="G366" s="13">
        <f>D366*(RANGE_HI+ACUTE_MARGIN)</f>
        <v>0.0</v>
      </c>
      <c r="H366" s="13">
        <f>IF(B366=1,COST_YR_RUNG1,COST_YR_RUNG2)</f>
        <v>152394.16214437486</v>
      </c>
      <c r="I366" s="13">
        <f>E366-H366</f>
        <v>-152394.16214437486</v>
      </c>
      <c r="J366" s="13">
        <f>J365+I366</f>
        <v>-16937716.067991327</v>
      </c>
      <c r="K366">
        <f>IF(J366=MAX($J$4:$J$404),A366,0)</f>
        <v>0</v>
      </c>
      <c r="L366">
        <f>IF(E366&lt;H366,A366,B_MAX+1)</f>
        <v>362</v>
      </c>
      <c r="M366" s="13">
        <f>IF(B366=1,GRANT_RUNG1,GRANT_RUNG2)</f>
        <v>0</v>
      </c>
      <c r="N366" s="13">
        <f>OCC_DAYS*MCD_SHARE_BED*R_NF_2023-D366*MCD_SHARE_FREED*R_WAIT_2023</f>
        <v>151980.48282209205</v>
      </c>
      <c r="O366">
        <f>IF(A366&lt;=BEDS,1,0)</f>
        <v>0</v>
      </c>
    </row>
    <row r="367">
      <c r="A367" t="n">
        <v>363</v>
      </c>
      <c r="B367">
        <f>IF(COST_YR_RUNG1&lt;=COST_YR_RUNG2,IF(A367&lt;=RUNG_BEDS_1,1,2),IF(A367&lt;=RUNG_BEDS_2,2,1))</f>
        <v>1</v>
      </c>
      <c r="C367" s="5">
        <f>MIN(1,MAX(0,POOL_BEDS-(A367-1)))</f>
        <v>0</v>
      </c>
      <c r="D367" s="5">
        <f>FREED*(C367+(1-C367)*PAST_POOL_PCT)</f>
        <v>0.0</v>
      </c>
      <c r="E367" s="13">
        <f>D367*(C_AVOID+ACUTE_MARGIN)</f>
        <v>0.0</v>
      </c>
      <c r="F367" s="13">
        <f>D367*(RANGE_LO+ACUTE_MARGIN)</f>
        <v>0.0</v>
      </c>
      <c r="G367" s="13">
        <f>D367*(RANGE_HI+ACUTE_MARGIN)</f>
        <v>0.0</v>
      </c>
      <c r="H367" s="13">
        <f>IF(B367=1,COST_YR_RUNG1,COST_YR_RUNG2)</f>
        <v>152394.16214437486</v>
      </c>
      <c r="I367" s="13">
        <f>E367-H367</f>
        <v>-152394.16214437486</v>
      </c>
      <c r="J367" s="13">
        <f>J366+I367</f>
        <v>-17090110.2301357</v>
      </c>
      <c r="K367">
        <f>IF(J367=MAX($J$4:$J$404),A367,0)</f>
        <v>0</v>
      </c>
      <c r="L367">
        <f>IF(E367&lt;H367,A367,B_MAX+1)</f>
        <v>363</v>
      </c>
      <c r="M367" s="13">
        <f>IF(B367=1,GRANT_RUNG1,GRANT_RUNG2)</f>
        <v>0</v>
      </c>
      <c r="N367" s="13">
        <f>OCC_DAYS*MCD_SHARE_BED*R_NF_2023-D367*MCD_SHARE_FREED*R_WAIT_2023</f>
        <v>151980.48282209205</v>
      </c>
      <c r="O367">
        <f>IF(A367&lt;=BEDS,1,0)</f>
        <v>0</v>
      </c>
    </row>
    <row r="368">
      <c r="A368" t="n">
        <v>364</v>
      </c>
      <c r="B368">
        <f>IF(COST_YR_RUNG1&lt;=COST_YR_RUNG2,IF(A368&lt;=RUNG_BEDS_1,1,2),IF(A368&lt;=RUNG_BEDS_2,2,1))</f>
        <v>1</v>
      </c>
      <c r="C368" s="5">
        <f>MIN(1,MAX(0,POOL_BEDS-(A368-1)))</f>
        <v>0</v>
      </c>
      <c r="D368" s="5">
        <f>FREED*(C368+(1-C368)*PAST_POOL_PCT)</f>
        <v>0.0</v>
      </c>
      <c r="E368" s="13">
        <f>D368*(C_AVOID+ACUTE_MARGIN)</f>
        <v>0.0</v>
      </c>
      <c r="F368" s="13">
        <f>D368*(RANGE_LO+ACUTE_MARGIN)</f>
        <v>0.0</v>
      </c>
      <c r="G368" s="13">
        <f>D368*(RANGE_HI+ACUTE_MARGIN)</f>
        <v>0.0</v>
      </c>
      <c r="H368" s="13">
        <f>IF(B368=1,COST_YR_RUNG1,COST_YR_RUNG2)</f>
        <v>152394.16214437486</v>
      </c>
      <c r="I368" s="13">
        <f>E368-H368</f>
        <v>-152394.16214437486</v>
      </c>
      <c r="J368" s="13">
        <f>J367+I368</f>
        <v>-17242504.392280076</v>
      </c>
      <c r="K368">
        <f>IF(J368=MAX($J$4:$J$404),A368,0)</f>
        <v>0</v>
      </c>
      <c r="L368">
        <f>IF(E368&lt;H368,A368,B_MAX+1)</f>
        <v>364</v>
      </c>
      <c r="M368" s="13">
        <f>IF(B368=1,GRANT_RUNG1,GRANT_RUNG2)</f>
        <v>0</v>
      </c>
      <c r="N368" s="13">
        <f>OCC_DAYS*MCD_SHARE_BED*R_NF_2023-D368*MCD_SHARE_FREED*R_WAIT_2023</f>
        <v>151980.48282209205</v>
      </c>
      <c r="O368">
        <f>IF(A368&lt;=BEDS,1,0)</f>
        <v>0</v>
      </c>
    </row>
    <row r="369">
      <c r="A369" t="n">
        <v>365</v>
      </c>
      <c r="B369">
        <f>IF(COST_YR_RUNG1&lt;=COST_YR_RUNG2,IF(A369&lt;=RUNG_BEDS_1,1,2),IF(A369&lt;=RUNG_BEDS_2,2,1))</f>
        <v>1</v>
      </c>
      <c r="C369" s="5">
        <f>MIN(1,MAX(0,POOL_BEDS-(A369-1)))</f>
        <v>0</v>
      </c>
      <c r="D369" s="5">
        <f>FREED*(C369+(1-C369)*PAST_POOL_PCT)</f>
        <v>0.0</v>
      </c>
      <c r="E369" s="13">
        <f>D369*(C_AVOID+ACUTE_MARGIN)</f>
        <v>0.0</v>
      </c>
      <c r="F369" s="13">
        <f>D369*(RANGE_LO+ACUTE_MARGIN)</f>
        <v>0.0</v>
      </c>
      <c r="G369" s="13">
        <f>D369*(RANGE_HI+ACUTE_MARGIN)</f>
        <v>0.0</v>
      </c>
      <c r="H369" s="13">
        <f>IF(B369=1,COST_YR_RUNG1,COST_YR_RUNG2)</f>
        <v>152394.16214437486</v>
      </c>
      <c r="I369" s="13">
        <f>E369-H369</f>
        <v>-152394.16214437486</v>
      </c>
      <c r="J369" s="13">
        <f>J368+I369</f>
        <v>-17394898.55442445</v>
      </c>
      <c r="K369">
        <f>IF(J369=MAX($J$4:$J$404),A369,0)</f>
        <v>0</v>
      </c>
      <c r="L369">
        <f>IF(E369&lt;H369,A369,B_MAX+1)</f>
        <v>365</v>
      </c>
      <c r="M369" s="13">
        <f>IF(B369=1,GRANT_RUNG1,GRANT_RUNG2)</f>
        <v>0</v>
      </c>
      <c r="N369" s="13">
        <f>OCC_DAYS*MCD_SHARE_BED*R_NF_2023-D369*MCD_SHARE_FREED*R_WAIT_2023</f>
        <v>151980.48282209205</v>
      </c>
      <c r="O369">
        <f>IF(A369&lt;=BEDS,1,0)</f>
        <v>0</v>
      </c>
    </row>
    <row r="370">
      <c r="A370" t="n">
        <v>366</v>
      </c>
      <c r="B370">
        <f>IF(COST_YR_RUNG1&lt;=COST_YR_RUNG2,IF(A370&lt;=RUNG_BEDS_1,1,2),IF(A370&lt;=RUNG_BEDS_2,2,1))</f>
        <v>1</v>
      </c>
      <c r="C370" s="5">
        <f>MIN(1,MAX(0,POOL_BEDS-(A370-1)))</f>
        <v>0</v>
      </c>
      <c r="D370" s="5">
        <f>FREED*(C370+(1-C370)*PAST_POOL_PCT)</f>
        <v>0.0</v>
      </c>
      <c r="E370" s="13">
        <f>D370*(C_AVOID+ACUTE_MARGIN)</f>
        <v>0.0</v>
      </c>
      <c r="F370" s="13">
        <f>D370*(RANGE_LO+ACUTE_MARGIN)</f>
        <v>0.0</v>
      </c>
      <c r="G370" s="13">
        <f>D370*(RANGE_HI+ACUTE_MARGIN)</f>
        <v>0.0</v>
      </c>
      <c r="H370" s="13">
        <f>IF(B370=1,COST_YR_RUNG1,COST_YR_RUNG2)</f>
        <v>152394.16214437486</v>
      </c>
      <c r="I370" s="13">
        <f>E370-H370</f>
        <v>-152394.16214437486</v>
      </c>
      <c r="J370" s="13">
        <f>J369+I370</f>
        <v>-17547292.716568824</v>
      </c>
      <c r="K370">
        <f>IF(J370=MAX($J$4:$J$404),A370,0)</f>
        <v>0</v>
      </c>
      <c r="L370">
        <f>IF(E370&lt;H370,A370,B_MAX+1)</f>
        <v>366</v>
      </c>
      <c r="M370" s="13">
        <f>IF(B370=1,GRANT_RUNG1,GRANT_RUNG2)</f>
        <v>0</v>
      </c>
      <c r="N370" s="13">
        <f>OCC_DAYS*MCD_SHARE_BED*R_NF_2023-D370*MCD_SHARE_FREED*R_WAIT_2023</f>
        <v>151980.48282209205</v>
      </c>
      <c r="O370">
        <f>IF(A370&lt;=BEDS,1,0)</f>
        <v>0</v>
      </c>
    </row>
    <row r="371">
      <c r="A371" t="n">
        <v>367</v>
      </c>
      <c r="B371">
        <f>IF(COST_YR_RUNG1&lt;=COST_YR_RUNG2,IF(A371&lt;=RUNG_BEDS_1,1,2),IF(A371&lt;=RUNG_BEDS_2,2,1))</f>
        <v>1</v>
      </c>
      <c r="C371" s="5">
        <f>MIN(1,MAX(0,POOL_BEDS-(A371-1)))</f>
        <v>0</v>
      </c>
      <c r="D371" s="5">
        <f>FREED*(C371+(1-C371)*PAST_POOL_PCT)</f>
        <v>0.0</v>
      </c>
      <c r="E371" s="13">
        <f>D371*(C_AVOID+ACUTE_MARGIN)</f>
        <v>0.0</v>
      </c>
      <c r="F371" s="13">
        <f>D371*(RANGE_LO+ACUTE_MARGIN)</f>
        <v>0.0</v>
      </c>
      <c r="G371" s="13">
        <f>D371*(RANGE_HI+ACUTE_MARGIN)</f>
        <v>0.0</v>
      </c>
      <c r="H371" s="13">
        <f>IF(B371=1,COST_YR_RUNG1,COST_YR_RUNG2)</f>
        <v>152394.16214437486</v>
      </c>
      <c r="I371" s="13">
        <f>E371-H371</f>
        <v>-152394.16214437486</v>
      </c>
      <c r="J371" s="13">
        <f>J370+I371</f>
        <v>-17699686.878713198</v>
      </c>
      <c r="K371">
        <f>IF(J371=MAX($J$4:$J$404),A371,0)</f>
        <v>0</v>
      </c>
      <c r="L371">
        <f>IF(E371&lt;H371,A371,B_MAX+1)</f>
        <v>367</v>
      </c>
      <c r="M371" s="13">
        <f>IF(B371=1,GRANT_RUNG1,GRANT_RUNG2)</f>
        <v>0</v>
      </c>
      <c r="N371" s="13">
        <f>OCC_DAYS*MCD_SHARE_BED*R_NF_2023-D371*MCD_SHARE_FREED*R_WAIT_2023</f>
        <v>151980.48282209205</v>
      </c>
      <c r="O371">
        <f>IF(A371&lt;=BEDS,1,0)</f>
        <v>0</v>
      </c>
    </row>
    <row r="372">
      <c r="A372" t="n">
        <v>368</v>
      </c>
      <c r="B372">
        <f>IF(COST_YR_RUNG1&lt;=COST_YR_RUNG2,IF(A372&lt;=RUNG_BEDS_1,1,2),IF(A372&lt;=RUNG_BEDS_2,2,1))</f>
        <v>1</v>
      </c>
      <c r="C372" s="5">
        <f>MIN(1,MAX(0,POOL_BEDS-(A372-1)))</f>
        <v>0</v>
      </c>
      <c r="D372" s="5">
        <f>FREED*(C372+(1-C372)*PAST_POOL_PCT)</f>
        <v>0.0</v>
      </c>
      <c r="E372" s="13">
        <f>D372*(C_AVOID+ACUTE_MARGIN)</f>
        <v>0.0</v>
      </c>
      <c r="F372" s="13">
        <f>D372*(RANGE_LO+ACUTE_MARGIN)</f>
        <v>0.0</v>
      </c>
      <c r="G372" s="13">
        <f>D372*(RANGE_HI+ACUTE_MARGIN)</f>
        <v>0.0</v>
      </c>
      <c r="H372" s="13">
        <f>IF(B372=1,COST_YR_RUNG1,COST_YR_RUNG2)</f>
        <v>152394.16214437486</v>
      </c>
      <c r="I372" s="13">
        <f>E372-H372</f>
        <v>-152394.16214437486</v>
      </c>
      <c r="J372" s="13">
        <f>J371+I372</f>
        <v>-17852081.040857572</v>
      </c>
      <c r="K372">
        <f>IF(J372=MAX($J$4:$J$404),A372,0)</f>
        <v>0</v>
      </c>
      <c r="L372">
        <f>IF(E372&lt;H372,A372,B_MAX+1)</f>
        <v>368</v>
      </c>
      <c r="M372" s="13">
        <f>IF(B372=1,GRANT_RUNG1,GRANT_RUNG2)</f>
        <v>0</v>
      </c>
      <c r="N372" s="13">
        <f>OCC_DAYS*MCD_SHARE_BED*R_NF_2023-D372*MCD_SHARE_FREED*R_WAIT_2023</f>
        <v>151980.48282209205</v>
      </c>
      <c r="O372">
        <f>IF(A372&lt;=BEDS,1,0)</f>
        <v>0</v>
      </c>
    </row>
    <row r="373">
      <c r="A373" t="n">
        <v>369</v>
      </c>
      <c r="B373">
        <f>IF(COST_YR_RUNG1&lt;=COST_YR_RUNG2,IF(A373&lt;=RUNG_BEDS_1,1,2),IF(A373&lt;=RUNG_BEDS_2,2,1))</f>
        <v>1</v>
      </c>
      <c r="C373" s="5">
        <f>MIN(1,MAX(0,POOL_BEDS-(A373-1)))</f>
        <v>0</v>
      </c>
      <c r="D373" s="5">
        <f>FREED*(C373+(1-C373)*PAST_POOL_PCT)</f>
        <v>0.0</v>
      </c>
      <c r="E373" s="13">
        <f>D373*(C_AVOID+ACUTE_MARGIN)</f>
        <v>0.0</v>
      </c>
      <c r="F373" s="13">
        <f>D373*(RANGE_LO+ACUTE_MARGIN)</f>
        <v>0.0</v>
      </c>
      <c r="G373" s="13">
        <f>D373*(RANGE_HI+ACUTE_MARGIN)</f>
        <v>0.0</v>
      </c>
      <c r="H373" s="13">
        <f>IF(B373=1,COST_YR_RUNG1,COST_YR_RUNG2)</f>
        <v>152394.16214437486</v>
      </c>
      <c r="I373" s="13">
        <f>E373-H373</f>
        <v>-152394.16214437486</v>
      </c>
      <c r="J373" s="13">
        <f>J372+I373</f>
        <v>-18004475.203001946</v>
      </c>
      <c r="K373">
        <f>IF(J373=MAX($J$4:$J$404),A373,0)</f>
        <v>0</v>
      </c>
      <c r="L373">
        <f>IF(E373&lt;H373,A373,B_MAX+1)</f>
        <v>369</v>
      </c>
      <c r="M373" s="13">
        <f>IF(B373=1,GRANT_RUNG1,GRANT_RUNG2)</f>
        <v>0</v>
      </c>
      <c r="N373" s="13">
        <f>OCC_DAYS*MCD_SHARE_BED*R_NF_2023-D373*MCD_SHARE_FREED*R_WAIT_2023</f>
        <v>151980.48282209205</v>
      </c>
      <c r="O373">
        <f>IF(A373&lt;=BEDS,1,0)</f>
        <v>0</v>
      </c>
    </row>
    <row r="374">
      <c r="A374" t="n">
        <v>370</v>
      </c>
      <c r="B374">
        <f>IF(COST_YR_RUNG1&lt;=COST_YR_RUNG2,IF(A374&lt;=RUNG_BEDS_1,1,2),IF(A374&lt;=RUNG_BEDS_2,2,1))</f>
        <v>1</v>
      </c>
      <c r="C374" s="5">
        <f>MIN(1,MAX(0,POOL_BEDS-(A374-1)))</f>
        <v>0</v>
      </c>
      <c r="D374" s="5">
        <f>FREED*(C374+(1-C374)*PAST_POOL_PCT)</f>
        <v>0.0</v>
      </c>
      <c r="E374" s="13">
        <f>D374*(C_AVOID+ACUTE_MARGIN)</f>
        <v>0.0</v>
      </c>
      <c r="F374" s="13">
        <f>D374*(RANGE_LO+ACUTE_MARGIN)</f>
        <v>0.0</v>
      </c>
      <c r="G374" s="13">
        <f>D374*(RANGE_HI+ACUTE_MARGIN)</f>
        <v>0.0</v>
      </c>
      <c r="H374" s="13">
        <f>IF(B374=1,COST_YR_RUNG1,COST_YR_RUNG2)</f>
        <v>152394.16214437486</v>
      </c>
      <c r="I374" s="13">
        <f>E374-H374</f>
        <v>-152394.16214437486</v>
      </c>
      <c r="J374" s="13">
        <f>J373+I374</f>
        <v>-18156869.36514632</v>
      </c>
      <c r="K374">
        <f>IF(J374=MAX($J$4:$J$404),A374,0)</f>
        <v>0</v>
      </c>
      <c r="L374">
        <f>IF(E374&lt;H374,A374,B_MAX+1)</f>
        <v>370</v>
      </c>
      <c r="M374" s="13">
        <f>IF(B374=1,GRANT_RUNG1,GRANT_RUNG2)</f>
        <v>0</v>
      </c>
      <c r="N374" s="13">
        <f>OCC_DAYS*MCD_SHARE_BED*R_NF_2023-D374*MCD_SHARE_FREED*R_WAIT_2023</f>
        <v>151980.48282209205</v>
      </c>
      <c r="O374">
        <f>IF(A374&lt;=BEDS,1,0)</f>
        <v>0</v>
      </c>
    </row>
    <row r="375">
      <c r="A375" t="n">
        <v>371</v>
      </c>
      <c r="B375">
        <f>IF(COST_YR_RUNG1&lt;=COST_YR_RUNG2,IF(A375&lt;=RUNG_BEDS_1,1,2),IF(A375&lt;=RUNG_BEDS_2,2,1))</f>
        <v>1</v>
      </c>
      <c r="C375" s="5">
        <f>MIN(1,MAX(0,POOL_BEDS-(A375-1)))</f>
        <v>0</v>
      </c>
      <c r="D375" s="5">
        <f>FREED*(C375+(1-C375)*PAST_POOL_PCT)</f>
        <v>0.0</v>
      </c>
      <c r="E375" s="13">
        <f>D375*(C_AVOID+ACUTE_MARGIN)</f>
        <v>0.0</v>
      </c>
      <c r="F375" s="13">
        <f>D375*(RANGE_LO+ACUTE_MARGIN)</f>
        <v>0.0</v>
      </c>
      <c r="G375" s="13">
        <f>D375*(RANGE_HI+ACUTE_MARGIN)</f>
        <v>0.0</v>
      </c>
      <c r="H375" s="13">
        <f>IF(B375=1,COST_YR_RUNG1,COST_YR_RUNG2)</f>
        <v>152394.16214437486</v>
      </c>
      <c r="I375" s="13">
        <f>E375-H375</f>
        <v>-152394.16214437486</v>
      </c>
      <c r="J375" s="13">
        <f>J374+I375</f>
        <v>-18309263.527290694</v>
      </c>
      <c r="K375">
        <f>IF(J375=MAX($J$4:$J$404),A375,0)</f>
        <v>0</v>
      </c>
      <c r="L375">
        <f>IF(E375&lt;H375,A375,B_MAX+1)</f>
        <v>371</v>
      </c>
      <c r="M375" s="13">
        <f>IF(B375=1,GRANT_RUNG1,GRANT_RUNG2)</f>
        <v>0</v>
      </c>
      <c r="N375" s="13">
        <f>OCC_DAYS*MCD_SHARE_BED*R_NF_2023-D375*MCD_SHARE_FREED*R_WAIT_2023</f>
        <v>151980.48282209205</v>
      </c>
      <c r="O375">
        <f>IF(A375&lt;=BEDS,1,0)</f>
        <v>0</v>
      </c>
    </row>
    <row r="376">
      <c r="A376" t="n">
        <v>372</v>
      </c>
      <c r="B376">
        <f>IF(COST_YR_RUNG1&lt;=COST_YR_RUNG2,IF(A376&lt;=RUNG_BEDS_1,1,2),IF(A376&lt;=RUNG_BEDS_2,2,1))</f>
        <v>1</v>
      </c>
      <c r="C376" s="5">
        <f>MIN(1,MAX(0,POOL_BEDS-(A376-1)))</f>
        <v>0</v>
      </c>
      <c r="D376" s="5">
        <f>FREED*(C376+(1-C376)*PAST_POOL_PCT)</f>
        <v>0.0</v>
      </c>
      <c r="E376" s="13">
        <f>D376*(C_AVOID+ACUTE_MARGIN)</f>
        <v>0.0</v>
      </c>
      <c r="F376" s="13">
        <f>D376*(RANGE_LO+ACUTE_MARGIN)</f>
        <v>0.0</v>
      </c>
      <c r="G376" s="13">
        <f>D376*(RANGE_HI+ACUTE_MARGIN)</f>
        <v>0.0</v>
      </c>
      <c r="H376" s="13">
        <f>IF(B376=1,COST_YR_RUNG1,COST_YR_RUNG2)</f>
        <v>152394.16214437486</v>
      </c>
      <c r="I376" s="13">
        <f>E376-H376</f>
        <v>-152394.16214437486</v>
      </c>
      <c r="J376" s="13">
        <f>J375+I376</f>
        <v>-18461657.68943507</v>
      </c>
      <c r="K376">
        <f>IF(J376=MAX($J$4:$J$404),A376,0)</f>
        <v>0</v>
      </c>
      <c r="L376">
        <f>IF(E376&lt;H376,A376,B_MAX+1)</f>
        <v>372</v>
      </c>
      <c r="M376" s="13">
        <f>IF(B376=1,GRANT_RUNG1,GRANT_RUNG2)</f>
        <v>0</v>
      </c>
      <c r="N376" s="13">
        <f>OCC_DAYS*MCD_SHARE_BED*R_NF_2023-D376*MCD_SHARE_FREED*R_WAIT_2023</f>
        <v>151980.48282209205</v>
      </c>
      <c r="O376">
        <f>IF(A376&lt;=BEDS,1,0)</f>
        <v>0</v>
      </c>
    </row>
    <row r="377">
      <c r="A377" t="n">
        <v>373</v>
      </c>
      <c r="B377">
        <f>IF(COST_YR_RUNG1&lt;=COST_YR_RUNG2,IF(A377&lt;=RUNG_BEDS_1,1,2),IF(A377&lt;=RUNG_BEDS_2,2,1))</f>
        <v>1</v>
      </c>
      <c r="C377" s="5">
        <f>MIN(1,MAX(0,POOL_BEDS-(A377-1)))</f>
        <v>0</v>
      </c>
      <c r="D377" s="5">
        <f>FREED*(C377+(1-C377)*PAST_POOL_PCT)</f>
        <v>0.0</v>
      </c>
      <c r="E377" s="13">
        <f>D377*(C_AVOID+ACUTE_MARGIN)</f>
        <v>0.0</v>
      </c>
      <c r="F377" s="13">
        <f>D377*(RANGE_LO+ACUTE_MARGIN)</f>
        <v>0.0</v>
      </c>
      <c r="G377" s="13">
        <f>D377*(RANGE_HI+ACUTE_MARGIN)</f>
        <v>0.0</v>
      </c>
      <c r="H377" s="13">
        <f>IF(B377=1,COST_YR_RUNG1,COST_YR_RUNG2)</f>
        <v>152394.16214437486</v>
      </c>
      <c r="I377" s="13">
        <f>E377-H377</f>
        <v>-152394.16214437486</v>
      </c>
      <c r="J377" s="13">
        <f>J376+I377</f>
        <v>-18614051.851579443</v>
      </c>
      <c r="K377">
        <f>IF(J377=MAX($J$4:$J$404),A377,0)</f>
        <v>0</v>
      </c>
      <c r="L377">
        <f>IF(E377&lt;H377,A377,B_MAX+1)</f>
        <v>373</v>
      </c>
      <c r="M377" s="13">
        <f>IF(B377=1,GRANT_RUNG1,GRANT_RUNG2)</f>
        <v>0</v>
      </c>
      <c r="N377" s="13">
        <f>OCC_DAYS*MCD_SHARE_BED*R_NF_2023-D377*MCD_SHARE_FREED*R_WAIT_2023</f>
        <v>151980.48282209205</v>
      </c>
      <c r="O377">
        <f>IF(A377&lt;=BEDS,1,0)</f>
        <v>0</v>
      </c>
    </row>
    <row r="378">
      <c r="A378" t="n">
        <v>374</v>
      </c>
      <c r="B378">
        <f>IF(COST_YR_RUNG1&lt;=COST_YR_RUNG2,IF(A378&lt;=RUNG_BEDS_1,1,2),IF(A378&lt;=RUNG_BEDS_2,2,1))</f>
        <v>1</v>
      </c>
      <c r="C378" s="5">
        <f>MIN(1,MAX(0,POOL_BEDS-(A378-1)))</f>
        <v>0</v>
      </c>
      <c r="D378" s="5">
        <f>FREED*(C378+(1-C378)*PAST_POOL_PCT)</f>
        <v>0.0</v>
      </c>
      <c r="E378" s="13">
        <f>D378*(C_AVOID+ACUTE_MARGIN)</f>
        <v>0.0</v>
      </c>
      <c r="F378" s="13">
        <f>D378*(RANGE_LO+ACUTE_MARGIN)</f>
        <v>0.0</v>
      </c>
      <c r="G378" s="13">
        <f>D378*(RANGE_HI+ACUTE_MARGIN)</f>
        <v>0.0</v>
      </c>
      <c r="H378" s="13">
        <f>IF(B378=1,COST_YR_RUNG1,COST_YR_RUNG2)</f>
        <v>152394.16214437486</v>
      </c>
      <c r="I378" s="13">
        <f>E378-H378</f>
        <v>-152394.16214437486</v>
      </c>
      <c r="J378" s="13">
        <f>J377+I378</f>
        <v>-18766446.013723817</v>
      </c>
      <c r="K378">
        <f>IF(J378=MAX($J$4:$J$404),A378,0)</f>
        <v>0</v>
      </c>
      <c r="L378">
        <f>IF(E378&lt;H378,A378,B_MAX+1)</f>
        <v>374</v>
      </c>
      <c r="M378" s="13">
        <f>IF(B378=1,GRANT_RUNG1,GRANT_RUNG2)</f>
        <v>0</v>
      </c>
      <c r="N378" s="13">
        <f>OCC_DAYS*MCD_SHARE_BED*R_NF_2023-D378*MCD_SHARE_FREED*R_WAIT_2023</f>
        <v>151980.48282209205</v>
      </c>
      <c r="O378">
        <f>IF(A378&lt;=BEDS,1,0)</f>
        <v>0</v>
      </c>
    </row>
    <row r="379">
      <c r="A379" t="n">
        <v>375</v>
      </c>
      <c r="B379">
        <f>IF(COST_YR_RUNG1&lt;=COST_YR_RUNG2,IF(A379&lt;=RUNG_BEDS_1,1,2),IF(A379&lt;=RUNG_BEDS_2,2,1))</f>
        <v>1</v>
      </c>
      <c r="C379" s="5">
        <f>MIN(1,MAX(0,POOL_BEDS-(A379-1)))</f>
        <v>0</v>
      </c>
      <c r="D379" s="5">
        <f>FREED*(C379+(1-C379)*PAST_POOL_PCT)</f>
        <v>0.0</v>
      </c>
      <c r="E379" s="13">
        <f>D379*(C_AVOID+ACUTE_MARGIN)</f>
        <v>0.0</v>
      </c>
      <c r="F379" s="13">
        <f>D379*(RANGE_LO+ACUTE_MARGIN)</f>
        <v>0.0</v>
      </c>
      <c r="G379" s="13">
        <f>D379*(RANGE_HI+ACUTE_MARGIN)</f>
        <v>0.0</v>
      </c>
      <c r="H379" s="13">
        <f>IF(B379=1,COST_YR_RUNG1,COST_YR_RUNG2)</f>
        <v>152394.16214437486</v>
      </c>
      <c r="I379" s="13">
        <f>E379-H379</f>
        <v>-152394.16214437486</v>
      </c>
      <c r="J379" s="13">
        <f>J378+I379</f>
        <v>-18918840.17586819</v>
      </c>
      <c r="K379">
        <f>IF(J379=MAX($J$4:$J$404),A379,0)</f>
        <v>0</v>
      </c>
      <c r="L379">
        <f>IF(E379&lt;H379,A379,B_MAX+1)</f>
        <v>375</v>
      </c>
      <c r="M379" s="13">
        <f>IF(B379=1,GRANT_RUNG1,GRANT_RUNG2)</f>
        <v>0</v>
      </c>
      <c r="N379" s="13">
        <f>OCC_DAYS*MCD_SHARE_BED*R_NF_2023-D379*MCD_SHARE_FREED*R_WAIT_2023</f>
        <v>151980.48282209205</v>
      </c>
      <c r="O379">
        <f>IF(A379&lt;=BEDS,1,0)</f>
        <v>0</v>
      </c>
    </row>
    <row r="380">
      <c r="A380" t="n">
        <v>376</v>
      </c>
      <c r="B380">
        <f>IF(COST_YR_RUNG1&lt;=COST_YR_RUNG2,IF(A380&lt;=RUNG_BEDS_1,1,2),IF(A380&lt;=RUNG_BEDS_2,2,1))</f>
        <v>1</v>
      </c>
      <c r="C380" s="5">
        <f>MIN(1,MAX(0,POOL_BEDS-(A380-1)))</f>
        <v>0</v>
      </c>
      <c r="D380" s="5">
        <f>FREED*(C380+(1-C380)*PAST_POOL_PCT)</f>
        <v>0.0</v>
      </c>
      <c r="E380" s="13">
        <f>D380*(C_AVOID+ACUTE_MARGIN)</f>
        <v>0.0</v>
      </c>
      <c r="F380" s="13">
        <f>D380*(RANGE_LO+ACUTE_MARGIN)</f>
        <v>0.0</v>
      </c>
      <c r="G380" s="13">
        <f>D380*(RANGE_HI+ACUTE_MARGIN)</f>
        <v>0.0</v>
      </c>
      <c r="H380" s="13">
        <f>IF(B380=1,COST_YR_RUNG1,COST_YR_RUNG2)</f>
        <v>152394.16214437486</v>
      </c>
      <c r="I380" s="13">
        <f>E380-H380</f>
        <v>-152394.16214437486</v>
      </c>
      <c r="J380" s="13">
        <f>J379+I380</f>
        <v>-19071234.338012565</v>
      </c>
      <c r="K380">
        <f>IF(J380=MAX($J$4:$J$404),A380,0)</f>
        <v>0</v>
      </c>
      <c r="L380">
        <f>IF(E380&lt;H380,A380,B_MAX+1)</f>
        <v>376</v>
      </c>
      <c r="M380" s="13">
        <f>IF(B380=1,GRANT_RUNG1,GRANT_RUNG2)</f>
        <v>0</v>
      </c>
      <c r="N380" s="13">
        <f>OCC_DAYS*MCD_SHARE_BED*R_NF_2023-D380*MCD_SHARE_FREED*R_WAIT_2023</f>
        <v>151980.48282209205</v>
      </c>
      <c r="O380">
        <f>IF(A380&lt;=BEDS,1,0)</f>
        <v>0</v>
      </c>
    </row>
    <row r="381">
      <c r="A381" t="n">
        <v>377</v>
      </c>
      <c r="B381">
        <f>IF(COST_YR_RUNG1&lt;=COST_YR_RUNG2,IF(A381&lt;=RUNG_BEDS_1,1,2),IF(A381&lt;=RUNG_BEDS_2,2,1))</f>
        <v>1</v>
      </c>
      <c r="C381" s="5">
        <f>MIN(1,MAX(0,POOL_BEDS-(A381-1)))</f>
        <v>0</v>
      </c>
      <c r="D381" s="5">
        <f>FREED*(C381+(1-C381)*PAST_POOL_PCT)</f>
        <v>0.0</v>
      </c>
      <c r="E381" s="13">
        <f>D381*(C_AVOID+ACUTE_MARGIN)</f>
        <v>0.0</v>
      </c>
      <c r="F381" s="13">
        <f>D381*(RANGE_LO+ACUTE_MARGIN)</f>
        <v>0.0</v>
      </c>
      <c r="G381" s="13">
        <f>D381*(RANGE_HI+ACUTE_MARGIN)</f>
        <v>0.0</v>
      </c>
      <c r="H381" s="13">
        <f>IF(B381=1,COST_YR_RUNG1,COST_YR_RUNG2)</f>
        <v>152394.16214437486</v>
      </c>
      <c r="I381" s="13">
        <f>E381-H381</f>
        <v>-152394.16214437486</v>
      </c>
      <c r="J381" s="13">
        <f>J380+I381</f>
        <v>-19223628.50015694</v>
      </c>
      <c r="K381">
        <f>IF(J381=MAX($J$4:$J$404),A381,0)</f>
        <v>0</v>
      </c>
      <c r="L381">
        <f>IF(E381&lt;H381,A381,B_MAX+1)</f>
        <v>377</v>
      </c>
      <c r="M381" s="13">
        <f>IF(B381=1,GRANT_RUNG1,GRANT_RUNG2)</f>
        <v>0</v>
      </c>
      <c r="N381" s="13">
        <f>OCC_DAYS*MCD_SHARE_BED*R_NF_2023-D381*MCD_SHARE_FREED*R_WAIT_2023</f>
        <v>151980.48282209205</v>
      </c>
      <c r="O381">
        <f>IF(A381&lt;=BEDS,1,0)</f>
        <v>0</v>
      </c>
    </row>
    <row r="382">
      <c r="A382" t="n">
        <v>378</v>
      </c>
      <c r="B382">
        <f>IF(COST_YR_RUNG1&lt;=COST_YR_RUNG2,IF(A382&lt;=RUNG_BEDS_1,1,2),IF(A382&lt;=RUNG_BEDS_2,2,1))</f>
        <v>1</v>
      </c>
      <c r="C382" s="5">
        <f>MIN(1,MAX(0,POOL_BEDS-(A382-1)))</f>
        <v>0</v>
      </c>
      <c r="D382" s="5">
        <f>FREED*(C382+(1-C382)*PAST_POOL_PCT)</f>
        <v>0.0</v>
      </c>
      <c r="E382" s="13">
        <f>D382*(C_AVOID+ACUTE_MARGIN)</f>
        <v>0.0</v>
      </c>
      <c r="F382" s="13">
        <f>D382*(RANGE_LO+ACUTE_MARGIN)</f>
        <v>0.0</v>
      </c>
      <c r="G382" s="13">
        <f>D382*(RANGE_HI+ACUTE_MARGIN)</f>
        <v>0.0</v>
      </c>
      <c r="H382" s="13">
        <f>IF(B382=1,COST_YR_RUNG1,COST_YR_RUNG2)</f>
        <v>152394.16214437486</v>
      </c>
      <c r="I382" s="13">
        <f>E382-H382</f>
        <v>-152394.16214437486</v>
      </c>
      <c r="J382" s="13">
        <f>J381+I382</f>
        <v>-19376022.662301313</v>
      </c>
      <c r="K382">
        <f>IF(J382=MAX($J$4:$J$404),A382,0)</f>
        <v>0</v>
      </c>
      <c r="L382">
        <f>IF(E382&lt;H382,A382,B_MAX+1)</f>
        <v>378</v>
      </c>
      <c r="M382" s="13">
        <f>IF(B382=1,GRANT_RUNG1,GRANT_RUNG2)</f>
        <v>0</v>
      </c>
      <c r="N382" s="13">
        <f>OCC_DAYS*MCD_SHARE_BED*R_NF_2023-D382*MCD_SHARE_FREED*R_WAIT_2023</f>
        <v>151980.48282209205</v>
      </c>
      <c r="O382">
        <f>IF(A382&lt;=BEDS,1,0)</f>
        <v>0</v>
      </c>
    </row>
    <row r="383">
      <c r="A383" t="n">
        <v>379</v>
      </c>
      <c r="B383">
        <f>IF(COST_YR_RUNG1&lt;=COST_YR_RUNG2,IF(A383&lt;=RUNG_BEDS_1,1,2),IF(A383&lt;=RUNG_BEDS_2,2,1))</f>
        <v>1</v>
      </c>
      <c r="C383" s="5">
        <f>MIN(1,MAX(0,POOL_BEDS-(A383-1)))</f>
        <v>0</v>
      </c>
      <c r="D383" s="5">
        <f>FREED*(C383+(1-C383)*PAST_POOL_PCT)</f>
        <v>0.0</v>
      </c>
      <c r="E383" s="13">
        <f>D383*(C_AVOID+ACUTE_MARGIN)</f>
        <v>0.0</v>
      </c>
      <c r="F383" s="13">
        <f>D383*(RANGE_LO+ACUTE_MARGIN)</f>
        <v>0.0</v>
      </c>
      <c r="G383" s="13">
        <f>D383*(RANGE_HI+ACUTE_MARGIN)</f>
        <v>0.0</v>
      </c>
      <c r="H383" s="13">
        <f>IF(B383=1,COST_YR_RUNG1,COST_YR_RUNG2)</f>
        <v>152394.16214437486</v>
      </c>
      <c r="I383" s="13">
        <f>E383-H383</f>
        <v>-152394.16214437486</v>
      </c>
      <c r="J383" s="13">
        <f>J382+I383</f>
        <v>-19528416.824445687</v>
      </c>
      <c r="K383">
        <f>IF(J383=MAX($J$4:$J$404),A383,0)</f>
        <v>0</v>
      </c>
      <c r="L383">
        <f>IF(E383&lt;H383,A383,B_MAX+1)</f>
        <v>379</v>
      </c>
      <c r="M383" s="13">
        <f>IF(B383=1,GRANT_RUNG1,GRANT_RUNG2)</f>
        <v>0</v>
      </c>
      <c r="N383" s="13">
        <f>OCC_DAYS*MCD_SHARE_BED*R_NF_2023-D383*MCD_SHARE_FREED*R_WAIT_2023</f>
        <v>151980.48282209205</v>
      </c>
      <c r="O383">
        <f>IF(A383&lt;=BEDS,1,0)</f>
        <v>0</v>
      </c>
    </row>
    <row r="384">
      <c r="A384" t="n">
        <v>380</v>
      </c>
      <c r="B384">
        <f>IF(COST_YR_RUNG1&lt;=COST_YR_RUNG2,IF(A384&lt;=RUNG_BEDS_1,1,2),IF(A384&lt;=RUNG_BEDS_2,2,1))</f>
        <v>1</v>
      </c>
      <c r="C384" s="5">
        <f>MIN(1,MAX(0,POOL_BEDS-(A384-1)))</f>
        <v>0</v>
      </c>
      <c r="D384" s="5">
        <f>FREED*(C384+(1-C384)*PAST_POOL_PCT)</f>
        <v>0.0</v>
      </c>
      <c r="E384" s="13">
        <f>D384*(C_AVOID+ACUTE_MARGIN)</f>
        <v>0.0</v>
      </c>
      <c r="F384" s="13">
        <f>D384*(RANGE_LO+ACUTE_MARGIN)</f>
        <v>0.0</v>
      </c>
      <c r="G384" s="13">
        <f>D384*(RANGE_HI+ACUTE_MARGIN)</f>
        <v>0.0</v>
      </c>
      <c r="H384" s="13">
        <f>IF(B384=1,COST_YR_RUNG1,COST_YR_RUNG2)</f>
        <v>152394.16214437486</v>
      </c>
      <c r="I384" s="13">
        <f>E384-H384</f>
        <v>-152394.16214437486</v>
      </c>
      <c r="J384" s="13">
        <f>J383+I384</f>
        <v>-19680810.98659006</v>
      </c>
      <c r="K384">
        <f>IF(J384=MAX($J$4:$J$404),A384,0)</f>
        <v>0</v>
      </c>
      <c r="L384">
        <f>IF(E384&lt;H384,A384,B_MAX+1)</f>
        <v>380</v>
      </c>
      <c r="M384" s="13">
        <f>IF(B384=1,GRANT_RUNG1,GRANT_RUNG2)</f>
        <v>0</v>
      </c>
      <c r="N384" s="13">
        <f>OCC_DAYS*MCD_SHARE_BED*R_NF_2023-D384*MCD_SHARE_FREED*R_WAIT_2023</f>
        <v>151980.48282209205</v>
      </c>
      <c r="O384">
        <f>IF(A384&lt;=BEDS,1,0)</f>
        <v>0</v>
      </c>
    </row>
    <row r="385">
      <c r="A385" t="n">
        <v>381</v>
      </c>
      <c r="B385">
        <f>IF(COST_YR_RUNG1&lt;=COST_YR_RUNG2,IF(A385&lt;=RUNG_BEDS_1,1,2),IF(A385&lt;=RUNG_BEDS_2,2,1))</f>
        <v>1</v>
      </c>
      <c r="C385" s="5">
        <f>MIN(1,MAX(0,POOL_BEDS-(A385-1)))</f>
        <v>0</v>
      </c>
      <c r="D385" s="5">
        <f>FREED*(C385+(1-C385)*PAST_POOL_PCT)</f>
        <v>0.0</v>
      </c>
      <c r="E385" s="13">
        <f>D385*(C_AVOID+ACUTE_MARGIN)</f>
        <v>0.0</v>
      </c>
      <c r="F385" s="13">
        <f>D385*(RANGE_LO+ACUTE_MARGIN)</f>
        <v>0.0</v>
      </c>
      <c r="G385" s="13">
        <f>D385*(RANGE_HI+ACUTE_MARGIN)</f>
        <v>0.0</v>
      </c>
      <c r="H385" s="13">
        <f>IF(B385=1,COST_YR_RUNG1,COST_YR_RUNG2)</f>
        <v>152394.16214437486</v>
      </c>
      <c r="I385" s="13">
        <f>E385-H385</f>
        <v>-152394.16214437486</v>
      </c>
      <c r="J385" s="13">
        <f>J384+I385</f>
        <v>-19833205.148734435</v>
      </c>
      <c r="K385">
        <f>IF(J385=MAX($J$4:$J$404),A385,0)</f>
        <v>0</v>
      </c>
      <c r="L385">
        <f>IF(E385&lt;H385,A385,B_MAX+1)</f>
        <v>381</v>
      </c>
      <c r="M385" s="13">
        <f>IF(B385=1,GRANT_RUNG1,GRANT_RUNG2)</f>
        <v>0</v>
      </c>
      <c r="N385" s="13">
        <f>OCC_DAYS*MCD_SHARE_BED*R_NF_2023-D385*MCD_SHARE_FREED*R_WAIT_2023</f>
        <v>151980.48282209205</v>
      </c>
      <c r="O385">
        <f>IF(A385&lt;=BEDS,1,0)</f>
        <v>0</v>
      </c>
    </row>
    <row r="386">
      <c r="A386" t="n">
        <v>382</v>
      </c>
      <c r="B386">
        <f>IF(COST_YR_RUNG1&lt;=COST_YR_RUNG2,IF(A386&lt;=RUNG_BEDS_1,1,2),IF(A386&lt;=RUNG_BEDS_2,2,1))</f>
        <v>1</v>
      </c>
      <c r="C386" s="5">
        <f>MIN(1,MAX(0,POOL_BEDS-(A386-1)))</f>
        <v>0</v>
      </c>
      <c r="D386" s="5">
        <f>FREED*(C386+(1-C386)*PAST_POOL_PCT)</f>
        <v>0.0</v>
      </c>
      <c r="E386" s="13">
        <f>D386*(C_AVOID+ACUTE_MARGIN)</f>
        <v>0.0</v>
      </c>
      <c r="F386" s="13">
        <f>D386*(RANGE_LO+ACUTE_MARGIN)</f>
        <v>0.0</v>
      </c>
      <c r="G386" s="13">
        <f>D386*(RANGE_HI+ACUTE_MARGIN)</f>
        <v>0.0</v>
      </c>
      <c r="H386" s="13">
        <f>IF(B386=1,COST_YR_RUNG1,COST_YR_RUNG2)</f>
        <v>152394.16214437486</v>
      </c>
      <c r="I386" s="13">
        <f>E386-H386</f>
        <v>-152394.16214437486</v>
      </c>
      <c r="J386" s="13">
        <f>J385+I386</f>
        <v>-19985599.31087881</v>
      </c>
      <c r="K386">
        <f>IF(J386=MAX($J$4:$J$404),A386,0)</f>
        <v>0</v>
      </c>
      <c r="L386">
        <f>IF(E386&lt;H386,A386,B_MAX+1)</f>
        <v>382</v>
      </c>
      <c r="M386" s="13">
        <f>IF(B386=1,GRANT_RUNG1,GRANT_RUNG2)</f>
        <v>0</v>
      </c>
      <c r="N386" s="13">
        <f>OCC_DAYS*MCD_SHARE_BED*R_NF_2023-D386*MCD_SHARE_FREED*R_WAIT_2023</f>
        <v>151980.48282209205</v>
      </c>
      <c r="O386">
        <f>IF(A386&lt;=BEDS,1,0)</f>
        <v>0</v>
      </c>
    </row>
    <row r="387">
      <c r="A387" t="n">
        <v>383</v>
      </c>
      <c r="B387">
        <f>IF(COST_YR_RUNG1&lt;=COST_YR_RUNG2,IF(A387&lt;=RUNG_BEDS_1,1,2),IF(A387&lt;=RUNG_BEDS_2,2,1))</f>
        <v>1</v>
      </c>
      <c r="C387" s="5">
        <f>MIN(1,MAX(0,POOL_BEDS-(A387-1)))</f>
        <v>0</v>
      </c>
      <c r="D387" s="5">
        <f>FREED*(C387+(1-C387)*PAST_POOL_PCT)</f>
        <v>0.0</v>
      </c>
      <c r="E387" s="13">
        <f>D387*(C_AVOID+ACUTE_MARGIN)</f>
        <v>0.0</v>
      </c>
      <c r="F387" s="13">
        <f>D387*(RANGE_LO+ACUTE_MARGIN)</f>
        <v>0.0</v>
      </c>
      <c r="G387" s="13">
        <f>D387*(RANGE_HI+ACUTE_MARGIN)</f>
        <v>0.0</v>
      </c>
      <c r="H387" s="13">
        <f>IF(B387=1,COST_YR_RUNG1,COST_YR_RUNG2)</f>
        <v>152394.16214437486</v>
      </c>
      <c r="I387" s="13">
        <f>E387-H387</f>
        <v>-152394.16214437486</v>
      </c>
      <c r="J387" s="13">
        <f>J386+I387</f>
        <v>-20137993.473023184</v>
      </c>
      <c r="K387">
        <f>IF(J387=MAX($J$4:$J$404),A387,0)</f>
        <v>0</v>
      </c>
      <c r="L387">
        <f>IF(E387&lt;H387,A387,B_MAX+1)</f>
        <v>383</v>
      </c>
      <c r="M387" s="13">
        <f>IF(B387=1,GRANT_RUNG1,GRANT_RUNG2)</f>
        <v>0</v>
      </c>
      <c r="N387" s="13">
        <f>OCC_DAYS*MCD_SHARE_BED*R_NF_2023-D387*MCD_SHARE_FREED*R_WAIT_2023</f>
        <v>151980.48282209205</v>
      </c>
      <c r="O387">
        <f>IF(A387&lt;=BEDS,1,0)</f>
        <v>0</v>
      </c>
    </row>
    <row r="388">
      <c r="A388" t="n">
        <v>384</v>
      </c>
      <c r="B388">
        <f>IF(COST_YR_RUNG1&lt;=COST_YR_RUNG2,IF(A388&lt;=RUNG_BEDS_1,1,2),IF(A388&lt;=RUNG_BEDS_2,2,1))</f>
        <v>1</v>
      </c>
      <c r="C388" s="5">
        <f>MIN(1,MAX(0,POOL_BEDS-(A388-1)))</f>
        <v>0</v>
      </c>
      <c r="D388" s="5">
        <f>FREED*(C388+(1-C388)*PAST_POOL_PCT)</f>
        <v>0.0</v>
      </c>
      <c r="E388" s="13">
        <f>D388*(C_AVOID+ACUTE_MARGIN)</f>
        <v>0.0</v>
      </c>
      <c r="F388" s="13">
        <f>D388*(RANGE_LO+ACUTE_MARGIN)</f>
        <v>0.0</v>
      </c>
      <c r="G388" s="13">
        <f>D388*(RANGE_HI+ACUTE_MARGIN)</f>
        <v>0.0</v>
      </c>
      <c r="H388" s="13">
        <f>IF(B388=1,COST_YR_RUNG1,COST_YR_RUNG2)</f>
        <v>152394.16214437486</v>
      </c>
      <c r="I388" s="13">
        <f>E388-H388</f>
        <v>-152394.16214437486</v>
      </c>
      <c r="J388" s="13">
        <f>J387+I388</f>
        <v>-20290387.635167558</v>
      </c>
      <c r="K388">
        <f>IF(J388=MAX($J$4:$J$404),A388,0)</f>
        <v>0</v>
      </c>
      <c r="L388">
        <f>IF(E388&lt;H388,A388,B_MAX+1)</f>
        <v>384</v>
      </c>
      <c r="M388" s="13">
        <f>IF(B388=1,GRANT_RUNG1,GRANT_RUNG2)</f>
        <v>0</v>
      </c>
      <c r="N388" s="13">
        <f>OCC_DAYS*MCD_SHARE_BED*R_NF_2023-D388*MCD_SHARE_FREED*R_WAIT_2023</f>
        <v>151980.48282209205</v>
      </c>
      <c r="O388">
        <f>IF(A388&lt;=BEDS,1,0)</f>
        <v>0</v>
      </c>
    </row>
    <row r="389">
      <c r="A389" t="n">
        <v>385</v>
      </c>
      <c r="B389">
        <f>IF(COST_YR_RUNG1&lt;=COST_YR_RUNG2,IF(A389&lt;=RUNG_BEDS_1,1,2),IF(A389&lt;=RUNG_BEDS_2,2,1))</f>
        <v>1</v>
      </c>
      <c r="C389" s="5">
        <f>MIN(1,MAX(0,POOL_BEDS-(A389-1)))</f>
        <v>0</v>
      </c>
      <c r="D389" s="5">
        <f>FREED*(C389+(1-C389)*PAST_POOL_PCT)</f>
        <v>0.0</v>
      </c>
      <c r="E389" s="13">
        <f>D389*(C_AVOID+ACUTE_MARGIN)</f>
        <v>0.0</v>
      </c>
      <c r="F389" s="13">
        <f>D389*(RANGE_LO+ACUTE_MARGIN)</f>
        <v>0.0</v>
      </c>
      <c r="G389" s="13">
        <f>D389*(RANGE_HI+ACUTE_MARGIN)</f>
        <v>0.0</v>
      </c>
      <c r="H389" s="13">
        <f>IF(B389=1,COST_YR_RUNG1,COST_YR_RUNG2)</f>
        <v>152394.16214437486</v>
      </c>
      <c r="I389" s="13">
        <f>E389-H389</f>
        <v>-152394.16214437486</v>
      </c>
      <c r="J389" s="13">
        <f>J388+I389</f>
        <v>-20442781.79731193</v>
      </c>
      <c r="K389">
        <f>IF(J389=MAX($J$4:$J$404),A389,0)</f>
        <v>0</v>
      </c>
      <c r="L389">
        <f>IF(E389&lt;H389,A389,B_MAX+1)</f>
        <v>385</v>
      </c>
      <c r="M389" s="13">
        <f>IF(B389=1,GRANT_RUNG1,GRANT_RUNG2)</f>
        <v>0</v>
      </c>
      <c r="N389" s="13">
        <f>OCC_DAYS*MCD_SHARE_BED*R_NF_2023-D389*MCD_SHARE_FREED*R_WAIT_2023</f>
        <v>151980.48282209205</v>
      </c>
      <c r="O389">
        <f>IF(A389&lt;=BEDS,1,0)</f>
        <v>0</v>
      </c>
    </row>
    <row r="390">
      <c r="A390" t="n">
        <v>386</v>
      </c>
      <c r="B390">
        <f>IF(COST_YR_RUNG1&lt;=COST_YR_RUNG2,IF(A390&lt;=RUNG_BEDS_1,1,2),IF(A390&lt;=RUNG_BEDS_2,2,1))</f>
        <v>1</v>
      </c>
      <c r="C390" s="5">
        <f>MIN(1,MAX(0,POOL_BEDS-(A390-1)))</f>
        <v>0</v>
      </c>
      <c r="D390" s="5">
        <f>FREED*(C390+(1-C390)*PAST_POOL_PCT)</f>
        <v>0.0</v>
      </c>
      <c r="E390" s="13">
        <f>D390*(C_AVOID+ACUTE_MARGIN)</f>
        <v>0.0</v>
      </c>
      <c r="F390" s="13">
        <f>D390*(RANGE_LO+ACUTE_MARGIN)</f>
        <v>0.0</v>
      </c>
      <c r="G390" s="13">
        <f>D390*(RANGE_HI+ACUTE_MARGIN)</f>
        <v>0.0</v>
      </c>
      <c r="H390" s="13">
        <f>IF(B390=1,COST_YR_RUNG1,COST_YR_RUNG2)</f>
        <v>152394.16214437486</v>
      </c>
      <c r="I390" s="13">
        <f>E390-H390</f>
        <v>-152394.16214437486</v>
      </c>
      <c r="J390" s="13">
        <f>J389+I390</f>
        <v>-20595175.959456306</v>
      </c>
      <c r="K390">
        <f>IF(J390=MAX($J$4:$J$404),A390,0)</f>
        <v>0</v>
      </c>
      <c r="L390">
        <f>IF(E390&lt;H390,A390,B_MAX+1)</f>
        <v>386</v>
      </c>
      <c r="M390" s="13">
        <f>IF(B390=1,GRANT_RUNG1,GRANT_RUNG2)</f>
        <v>0</v>
      </c>
      <c r="N390" s="13">
        <f>OCC_DAYS*MCD_SHARE_BED*R_NF_2023-D390*MCD_SHARE_FREED*R_WAIT_2023</f>
        <v>151980.48282209205</v>
      </c>
      <c r="O390">
        <f>IF(A390&lt;=BEDS,1,0)</f>
        <v>0</v>
      </c>
    </row>
    <row r="391">
      <c r="A391" t="n">
        <v>387</v>
      </c>
      <c r="B391">
        <f>IF(COST_YR_RUNG1&lt;=COST_YR_RUNG2,IF(A391&lt;=RUNG_BEDS_1,1,2),IF(A391&lt;=RUNG_BEDS_2,2,1))</f>
        <v>1</v>
      </c>
      <c r="C391" s="5">
        <f>MIN(1,MAX(0,POOL_BEDS-(A391-1)))</f>
        <v>0</v>
      </c>
      <c r="D391" s="5">
        <f>FREED*(C391+(1-C391)*PAST_POOL_PCT)</f>
        <v>0.0</v>
      </c>
      <c r="E391" s="13">
        <f>D391*(C_AVOID+ACUTE_MARGIN)</f>
        <v>0.0</v>
      </c>
      <c r="F391" s="13">
        <f>D391*(RANGE_LO+ACUTE_MARGIN)</f>
        <v>0.0</v>
      </c>
      <c r="G391" s="13">
        <f>D391*(RANGE_HI+ACUTE_MARGIN)</f>
        <v>0.0</v>
      </c>
      <c r="H391" s="13">
        <f>IF(B391=1,COST_YR_RUNG1,COST_YR_RUNG2)</f>
        <v>152394.16214437486</v>
      </c>
      <c r="I391" s="13">
        <f>E391-H391</f>
        <v>-152394.16214437486</v>
      </c>
      <c r="J391" s="13">
        <f>J390+I391</f>
        <v>-20747570.12160068</v>
      </c>
      <c r="K391">
        <f>IF(J391=MAX($J$4:$J$404),A391,0)</f>
        <v>0</v>
      </c>
      <c r="L391">
        <f>IF(E391&lt;H391,A391,B_MAX+1)</f>
        <v>387</v>
      </c>
      <c r="M391" s="13">
        <f>IF(B391=1,GRANT_RUNG1,GRANT_RUNG2)</f>
        <v>0</v>
      </c>
      <c r="N391" s="13">
        <f>OCC_DAYS*MCD_SHARE_BED*R_NF_2023-D391*MCD_SHARE_FREED*R_WAIT_2023</f>
        <v>151980.48282209205</v>
      </c>
      <c r="O391">
        <f>IF(A391&lt;=BEDS,1,0)</f>
        <v>0</v>
      </c>
    </row>
    <row r="392">
      <c r="A392" t="n">
        <v>388</v>
      </c>
      <c r="B392">
        <f>IF(COST_YR_RUNG1&lt;=COST_YR_RUNG2,IF(A392&lt;=RUNG_BEDS_1,1,2),IF(A392&lt;=RUNG_BEDS_2,2,1))</f>
        <v>1</v>
      </c>
      <c r="C392" s="5">
        <f>MIN(1,MAX(0,POOL_BEDS-(A392-1)))</f>
        <v>0</v>
      </c>
      <c r="D392" s="5">
        <f>FREED*(C392+(1-C392)*PAST_POOL_PCT)</f>
        <v>0.0</v>
      </c>
      <c r="E392" s="13">
        <f>D392*(C_AVOID+ACUTE_MARGIN)</f>
        <v>0.0</v>
      </c>
      <c r="F392" s="13">
        <f>D392*(RANGE_LO+ACUTE_MARGIN)</f>
        <v>0.0</v>
      </c>
      <c r="G392" s="13">
        <f>D392*(RANGE_HI+ACUTE_MARGIN)</f>
        <v>0.0</v>
      </c>
      <c r="H392" s="13">
        <f>IF(B392=1,COST_YR_RUNG1,COST_YR_RUNG2)</f>
        <v>152394.16214437486</v>
      </c>
      <c r="I392" s="13">
        <f>E392-H392</f>
        <v>-152394.16214437486</v>
      </c>
      <c r="J392" s="13">
        <f>J391+I392</f>
        <v>-20899964.283745054</v>
      </c>
      <c r="K392">
        <f>IF(J392=MAX($J$4:$J$404),A392,0)</f>
        <v>0</v>
      </c>
      <c r="L392">
        <f>IF(E392&lt;H392,A392,B_MAX+1)</f>
        <v>388</v>
      </c>
      <c r="M392" s="13">
        <f>IF(B392=1,GRANT_RUNG1,GRANT_RUNG2)</f>
        <v>0</v>
      </c>
      <c r="N392" s="13">
        <f>OCC_DAYS*MCD_SHARE_BED*R_NF_2023-D392*MCD_SHARE_FREED*R_WAIT_2023</f>
        <v>151980.48282209205</v>
      </c>
      <c r="O392">
        <f>IF(A392&lt;=BEDS,1,0)</f>
        <v>0</v>
      </c>
    </row>
    <row r="393">
      <c r="A393" t="n">
        <v>389</v>
      </c>
      <c r="B393">
        <f>IF(COST_YR_RUNG1&lt;=COST_YR_RUNG2,IF(A393&lt;=RUNG_BEDS_1,1,2),IF(A393&lt;=RUNG_BEDS_2,2,1))</f>
        <v>1</v>
      </c>
      <c r="C393" s="5">
        <f>MIN(1,MAX(0,POOL_BEDS-(A393-1)))</f>
        <v>0</v>
      </c>
      <c r="D393" s="5">
        <f>FREED*(C393+(1-C393)*PAST_POOL_PCT)</f>
        <v>0.0</v>
      </c>
      <c r="E393" s="13">
        <f>D393*(C_AVOID+ACUTE_MARGIN)</f>
        <v>0.0</v>
      </c>
      <c r="F393" s="13">
        <f>D393*(RANGE_LO+ACUTE_MARGIN)</f>
        <v>0.0</v>
      </c>
      <c r="G393" s="13">
        <f>D393*(RANGE_HI+ACUTE_MARGIN)</f>
        <v>0.0</v>
      </c>
      <c r="H393" s="13">
        <f>IF(B393=1,COST_YR_RUNG1,COST_YR_RUNG2)</f>
        <v>152394.16214437486</v>
      </c>
      <c r="I393" s="13">
        <f>E393-H393</f>
        <v>-152394.16214437486</v>
      </c>
      <c r="J393" s="13">
        <f>J392+I393</f>
        <v>-21052358.44588943</v>
      </c>
      <c r="K393">
        <f>IF(J393=MAX($J$4:$J$404),A393,0)</f>
        <v>0</v>
      </c>
      <c r="L393">
        <f>IF(E393&lt;H393,A393,B_MAX+1)</f>
        <v>389</v>
      </c>
      <c r="M393" s="13">
        <f>IF(B393=1,GRANT_RUNG1,GRANT_RUNG2)</f>
        <v>0</v>
      </c>
      <c r="N393" s="13">
        <f>OCC_DAYS*MCD_SHARE_BED*R_NF_2023-D393*MCD_SHARE_FREED*R_WAIT_2023</f>
        <v>151980.48282209205</v>
      </c>
      <c r="O393">
        <f>IF(A393&lt;=BEDS,1,0)</f>
        <v>0</v>
      </c>
    </row>
    <row r="394">
      <c r="A394" t="n">
        <v>390</v>
      </c>
      <c r="B394">
        <f>IF(COST_YR_RUNG1&lt;=COST_YR_RUNG2,IF(A394&lt;=RUNG_BEDS_1,1,2),IF(A394&lt;=RUNG_BEDS_2,2,1))</f>
        <v>1</v>
      </c>
      <c r="C394" s="5">
        <f>MIN(1,MAX(0,POOL_BEDS-(A394-1)))</f>
        <v>0</v>
      </c>
      <c r="D394" s="5">
        <f>FREED*(C394+(1-C394)*PAST_POOL_PCT)</f>
        <v>0.0</v>
      </c>
      <c r="E394" s="13">
        <f>D394*(C_AVOID+ACUTE_MARGIN)</f>
        <v>0.0</v>
      </c>
      <c r="F394" s="13">
        <f>D394*(RANGE_LO+ACUTE_MARGIN)</f>
        <v>0.0</v>
      </c>
      <c r="G394" s="13">
        <f>D394*(RANGE_HI+ACUTE_MARGIN)</f>
        <v>0.0</v>
      </c>
      <c r="H394" s="13">
        <f>IF(B394=1,COST_YR_RUNG1,COST_YR_RUNG2)</f>
        <v>152394.16214437486</v>
      </c>
      <c r="I394" s="13">
        <f>E394-H394</f>
        <v>-152394.16214437486</v>
      </c>
      <c r="J394" s="13">
        <f>J393+I394</f>
        <v>-21204752.608033802</v>
      </c>
      <c r="K394">
        <f>IF(J394=MAX($J$4:$J$404),A394,0)</f>
        <v>0</v>
      </c>
      <c r="L394">
        <f>IF(E394&lt;H394,A394,B_MAX+1)</f>
        <v>390</v>
      </c>
      <c r="M394" s="13">
        <f>IF(B394=1,GRANT_RUNG1,GRANT_RUNG2)</f>
        <v>0</v>
      </c>
      <c r="N394" s="13">
        <f>OCC_DAYS*MCD_SHARE_BED*R_NF_2023-D394*MCD_SHARE_FREED*R_WAIT_2023</f>
        <v>151980.48282209205</v>
      </c>
      <c r="O394">
        <f>IF(A394&lt;=BEDS,1,0)</f>
        <v>0</v>
      </c>
    </row>
    <row r="395">
      <c r="A395" t="n">
        <v>391</v>
      </c>
      <c r="B395">
        <f>IF(COST_YR_RUNG1&lt;=COST_YR_RUNG2,IF(A395&lt;=RUNG_BEDS_1,1,2),IF(A395&lt;=RUNG_BEDS_2,2,1))</f>
        <v>1</v>
      </c>
      <c r="C395" s="5">
        <f>MIN(1,MAX(0,POOL_BEDS-(A395-1)))</f>
        <v>0</v>
      </c>
      <c r="D395" s="5">
        <f>FREED*(C395+(1-C395)*PAST_POOL_PCT)</f>
        <v>0.0</v>
      </c>
      <c r="E395" s="13">
        <f>D395*(C_AVOID+ACUTE_MARGIN)</f>
        <v>0.0</v>
      </c>
      <c r="F395" s="13">
        <f>D395*(RANGE_LO+ACUTE_MARGIN)</f>
        <v>0.0</v>
      </c>
      <c r="G395" s="13">
        <f>D395*(RANGE_HI+ACUTE_MARGIN)</f>
        <v>0.0</v>
      </c>
      <c r="H395" s="13">
        <f>IF(B395=1,COST_YR_RUNG1,COST_YR_RUNG2)</f>
        <v>152394.16214437486</v>
      </c>
      <c r="I395" s="13">
        <f>E395-H395</f>
        <v>-152394.16214437486</v>
      </c>
      <c r="J395" s="13">
        <f>J394+I395</f>
        <v>-21357146.770178176</v>
      </c>
      <c r="K395">
        <f>IF(J395=MAX($J$4:$J$404),A395,0)</f>
        <v>0</v>
      </c>
      <c r="L395">
        <f>IF(E395&lt;H395,A395,B_MAX+1)</f>
        <v>391</v>
      </c>
      <c r="M395" s="13">
        <f>IF(B395=1,GRANT_RUNG1,GRANT_RUNG2)</f>
        <v>0</v>
      </c>
      <c r="N395" s="13">
        <f>OCC_DAYS*MCD_SHARE_BED*R_NF_2023-D395*MCD_SHARE_FREED*R_WAIT_2023</f>
        <v>151980.48282209205</v>
      </c>
      <c r="O395">
        <f>IF(A395&lt;=BEDS,1,0)</f>
        <v>0</v>
      </c>
    </row>
    <row r="396">
      <c r="A396" t="n">
        <v>392</v>
      </c>
      <c r="B396">
        <f>IF(COST_YR_RUNG1&lt;=COST_YR_RUNG2,IF(A396&lt;=RUNG_BEDS_1,1,2),IF(A396&lt;=RUNG_BEDS_2,2,1))</f>
        <v>1</v>
      </c>
      <c r="C396" s="5">
        <f>MIN(1,MAX(0,POOL_BEDS-(A396-1)))</f>
        <v>0</v>
      </c>
      <c r="D396" s="5">
        <f>FREED*(C396+(1-C396)*PAST_POOL_PCT)</f>
        <v>0.0</v>
      </c>
      <c r="E396" s="13">
        <f>D396*(C_AVOID+ACUTE_MARGIN)</f>
        <v>0.0</v>
      </c>
      <c r="F396" s="13">
        <f>D396*(RANGE_LO+ACUTE_MARGIN)</f>
        <v>0.0</v>
      </c>
      <c r="G396" s="13">
        <f>D396*(RANGE_HI+ACUTE_MARGIN)</f>
        <v>0.0</v>
      </c>
      <c r="H396" s="13">
        <f>IF(B396=1,COST_YR_RUNG1,COST_YR_RUNG2)</f>
        <v>152394.16214437486</v>
      </c>
      <c r="I396" s="13">
        <f>E396-H396</f>
        <v>-152394.16214437486</v>
      </c>
      <c r="J396" s="13">
        <f>J395+I396</f>
        <v>-21509540.93232255</v>
      </c>
      <c r="K396">
        <f>IF(J396=MAX($J$4:$J$404),A396,0)</f>
        <v>0</v>
      </c>
      <c r="L396">
        <f>IF(E396&lt;H396,A396,B_MAX+1)</f>
        <v>392</v>
      </c>
      <c r="M396" s="13">
        <f>IF(B396=1,GRANT_RUNG1,GRANT_RUNG2)</f>
        <v>0</v>
      </c>
      <c r="N396" s="13">
        <f>OCC_DAYS*MCD_SHARE_BED*R_NF_2023-D396*MCD_SHARE_FREED*R_WAIT_2023</f>
        <v>151980.48282209205</v>
      </c>
      <c r="O396">
        <f>IF(A396&lt;=BEDS,1,0)</f>
        <v>0</v>
      </c>
    </row>
    <row r="397">
      <c r="A397" t="n">
        <v>393</v>
      </c>
      <c r="B397">
        <f>IF(COST_YR_RUNG1&lt;=COST_YR_RUNG2,IF(A397&lt;=RUNG_BEDS_1,1,2),IF(A397&lt;=RUNG_BEDS_2,2,1))</f>
        <v>1</v>
      </c>
      <c r="C397" s="5">
        <f>MIN(1,MAX(0,POOL_BEDS-(A397-1)))</f>
        <v>0</v>
      </c>
      <c r="D397" s="5">
        <f>FREED*(C397+(1-C397)*PAST_POOL_PCT)</f>
        <v>0.0</v>
      </c>
      <c r="E397" s="13">
        <f>D397*(C_AVOID+ACUTE_MARGIN)</f>
        <v>0.0</v>
      </c>
      <c r="F397" s="13">
        <f>D397*(RANGE_LO+ACUTE_MARGIN)</f>
        <v>0.0</v>
      </c>
      <c r="G397" s="13">
        <f>D397*(RANGE_HI+ACUTE_MARGIN)</f>
        <v>0.0</v>
      </c>
      <c r="H397" s="13">
        <f>IF(B397=1,COST_YR_RUNG1,COST_YR_RUNG2)</f>
        <v>152394.16214437486</v>
      </c>
      <c r="I397" s="13">
        <f>E397-H397</f>
        <v>-152394.16214437486</v>
      </c>
      <c r="J397" s="13">
        <f>J396+I397</f>
        <v>-21661935.094466925</v>
      </c>
      <c r="K397">
        <f>IF(J397=MAX($J$4:$J$404),A397,0)</f>
        <v>0</v>
      </c>
      <c r="L397">
        <f>IF(E397&lt;H397,A397,B_MAX+1)</f>
        <v>393</v>
      </c>
      <c r="M397" s="13">
        <f>IF(B397=1,GRANT_RUNG1,GRANT_RUNG2)</f>
        <v>0</v>
      </c>
      <c r="N397" s="13">
        <f>OCC_DAYS*MCD_SHARE_BED*R_NF_2023-D397*MCD_SHARE_FREED*R_WAIT_2023</f>
        <v>151980.48282209205</v>
      </c>
      <c r="O397">
        <f>IF(A397&lt;=BEDS,1,0)</f>
        <v>0</v>
      </c>
    </row>
    <row r="398">
      <c r="A398" t="n">
        <v>394</v>
      </c>
      <c r="B398">
        <f>IF(COST_YR_RUNG1&lt;=COST_YR_RUNG2,IF(A398&lt;=RUNG_BEDS_1,1,2),IF(A398&lt;=RUNG_BEDS_2,2,1))</f>
        <v>1</v>
      </c>
      <c r="C398" s="5">
        <f>MIN(1,MAX(0,POOL_BEDS-(A398-1)))</f>
        <v>0</v>
      </c>
      <c r="D398" s="5">
        <f>FREED*(C398+(1-C398)*PAST_POOL_PCT)</f>
        <v>0.0</v>
      </c>
      <c r="E398" s="13">
        <f>D398*(C_AVOID+ACUTE_MARGIN)</f>
        <v>0.0</v>
      </c>
      <c r="F398" s="13">
        <f>D398*(RANGE_LO+ACUTE_MARGIN)</f>
        <v>0.0</v>
      </c>
      <c r="G398" s="13">
        <f>D398*(RANGE_HI+ACUTE_MARGIN)</f>
        <v>0.0</v>
      </c>
      <c r="H398" s="13">
        <f>IF(B398=1,COST_YR_RUNG1,COST_YR_RUNG2)</f>
        <v>152394.16214437486</v>
      </c>
      <c r="I398" s="13">
        <f>E398-H398</f>
        <v>-152394.16214437486</v>
      </c>
      <c r="J398" s="13">
        <f>J397+I398</f>
        <v>-21814329.2566113</v>
      </c>
      <c r="K398">
        <f>IF(J398=MAX($J$4:$J$404),A398,0)</f>
        <v>0</v>
      </c>
      <c r="L398">
        <f>IF(E398&lt;H398,A398,B_MAX+1)</f>
        <v>394</v>
      </c>
      <c r="M398" s="13">
        <f>IF(B398=1,GRANT_RUNG1,GRANT_RUNG2)</f>
        <v>0</v>
      </c>
      <c r="N398" s="13">
        <f>OCC_DAYS*MCD_SHARE_BED*R_NF_2023-D398*MCD_SHARE_FREED*R_WAIT_2023</f>
        <v>151980.48282209205</v>
      </c>
      <c r="O398">
        <f>IF(A398&lt;=BEDS,1,0)</f>
        <v>0</v>
      </c>
    </row>
    <row r="399">
      <c r="A399" t="n">
        <v>395</v>
      </c>
      <c r="B399">
        <f>IF(COST_YR_RUNG1&lt;=COST_YR_RUNG2,IF(A399&lt;=RUNG_BEDS_1,1,2),IF(A399&lt;=RUNG_BEDS_2,2,1))</f>
        <v>1</v>
      </c>
      <c r="C399" s="5">
        <f>MIN(1,MAX(0,POOL_BEDS-(A399-1)))</f>
        <v>0</v>
      </c>
      <c r="D399" s="5">
        <f>FREED*(C399+(1-C399)*PAST_POOL_PCT)</f>
        <v>0.0</v>
      </c>
      <c r="E399" s="13">
        <f>D399*(C_AVOID+ACUTE_MARGIN)</f>
        <v>0.0</v>
      </c>
      <c r="F399" s="13">
        <f>D399*(RANGE_LO+ACUTE_MARGIN)</f>
        <v>0.0</v>
      </c>
      <c r="G399" s="13">
        <f>D399*(RANGE_HI+ACUTE_MARGIN)</f>
        <v>0.0</v>
      </c>
      <c r="H399" s="13">
        <f>IF(B399=1,COST_YR_RUNG1,COST_YR_RUNG2)</f>
        <v>152394.16214437486</v>
      </c>
      <c r="I399" s="13">
        <f>E399-H399</f>
        <v>-152394.16214437486</v>
      </c>
      <c r="J399" s="13">
        <f>J398+I399</f>
        <v>-21966723.418755673</v>
      </c>
      <c r="K399">
        <f>IF(J399=MAX($J$4:$J$404),A399,0)</f>
        <v>0</v>
      </c>
      <c r="L399">
        <f>IF(E399&lt;H399,A399,B_MAX+1)</f>
        <v>395</v>
      </c>
      <c r="M399" s="13">
        <f>IF(B399=1,GRANT_RUNG1,GRANT_RUNG2)</f>
        <v>0</v>
      </c>
      <c r="N399" s="13">
        <f>OCC_DAYS*MCD_SHARE_BED*R_NF_2023-D399*MCD_SHARE_FREED*R_WAIT_2023</f>
        <v>151980.48282209205</v>
      </c>
      <c r="O399">
        <f>IF(A399&lt;=BEDS,1,0)</f>
        <v>0</v>
      </c>
    </row>
    <row r="400">
      <c r="A400" t="n">
        <v>396</v>
      </c>
      <c r="B400">
        <f>IF(COST_YR_RUNG1&lt;=COST_YR_RUNG2,IF(A400&lt;=RUNG_BEDS_1,1,2),IF(A400&lt;=RUNG_BEDS_2,2,1))</f>
        <v>1</v>
      </c>
      <c r="C400" s="5">
        <f>MIN(1,MAX(0,POOL_BEDS-(A400-1)))</f>
        <v>0</v>
      </c>
      <c r="D400" s="5">
        <f>FREED*(C400+(1-C400)*PAST_POOL_PCT)</f>
        <v>0.0</v>
      </c>
      <c r="E400" s="13">
        <f>D400*(C_AVOID+ACUTE_MARGIN)</f>
        <v>0.0</v>
      </c>
      <c r="F400" s="13">
        <f>D400*(RANGE_LO+ACUTE_MARGIN)</f>
        <v>0.0</v>
      </c>
      <c r="G400" s="13">
        <f>D400*(RANGE_HI+ACUTE_MARGIN)</f>
        <v>0.0</v>
      </c>
      <c r="H400" s="13">
        <f>IF(B400=1,COST_YR_RUNG1,COST_YR_RUNG2)</f>
        <v>152394.16214437486</v>
      </c>
      <c r="I400" s="13">
        <f>E400-H400</f>
        <v>-152394.16214437486</v>
      </c>
      <c r="J400" s="13">
        <f>J399+I400</f>
        <v>-22119117.580900047</v>
      </c>
      <c r="K400">
        <f>IF(J400=MAX($J$4:$J$404),A400,0)</f>
        <v>0</v>
      </c>
      <c r="L400">
        <f>IF(E400&lt;H400,A400,B_MAX+1)</f>
        <v>396</v>
      </c>
      <c r="M400" s="13">
        <f>IF(B400=1,GRANT_RUNG1,GRANT_RUNG2)</f>
        <v>0</v>
      </c>
      <c r="N400" s="13">
        <f>OCC_DAYS*MCD_SHARE_BED*R_NF_2023-D400*MCD_SHARE_FREED*R_WAIT_2023</f>
        <v>151980.48282209205</v>
      </c>
      <c r="O400">
        <f>IF(A400&lt;=BEDS,1,0)</f>
        <v>0</v>
      </c>
    </row>
    <row r="401">
      <c r="A401" t="n">
        <v>397</v>
      </c>
      <c r="B401">
        <f>IF(COST_YR_RUNG1&lt;=COST_YR_RUNG2,IF(A401&lt;=RUNG_BEDS_1,1,2),IF(A401&lt;=RUNG_BEDS_2,2,1))</f>
        <v>1</v>
      </c>
      <c r="C401" s="5">
        <f>MIN(1,MAX(0,POOL_BEDS-(A401-1)))</f>
        <v>0</v>
      </c>
      <c r="D401" s="5">
        <f>FREED*(C401+(1-C401)*PAST_POOL_PCT)</f>
        <v>0.0</v>
      </c>
      <c r="E401" s="13">
        <f>D401*(C_AVOID+ACUTE_MARGIN)</f>
        <v>0.0</v>
      </c>
      <c r="F401" s="13">
        <f>D401*(RANGE_LO+ACUTE_MARGIN)</f>
        <v>0.0</v>
      </c>
      <c r="G401" s="13">
        <f>D401*(RANGE_HI+ACUTE_MARGIN)</f>
        <v>0.0</v>
      </c>
      <c r="H401" s="13">
        <f>IF(B401=1,COST_YR_RUNG1,COST_YR_RUNG2)</f>
        <v>152394.16214437486</v>
      </c>
      <c r="I401" s="13">
        <f>E401-H401</f>
        <v>-152394.16214437486</v>
      </c>
      <c r="J401" s="13">
        <f>J400+I401</f>
        <v>-22271511.74304442</v>
      </c>
      <c r="K401">
        <f>IF(J401=MAX($J$4:$J$404),A401,0)</f>
        <v>0</v>
      </c>
      <c r="L401">
        <f>IF(E401&lt;H401,A401,B_MAX+1)</f>
        <v>397</v>
      </c>
      <c r="M401" s="13">
        <f>IF(B401=1,GRANT_RUNG1,GRANT_RUNG2)</f>
        <v>0</v>
      </c>
      <c r="N401" s="13">
        <f>OCC_DAYS*MCD_SHARE_BED*R_NF_2023-D401*MCD_SHARE_FREED*R_WAIT_2023</f>
        <v>151980.48282209205</v>
      </c>
      <c r="O401">
        <f>IF(A401&lt;=BEDS,1,0)</f>
        <v>0</v>
      </c>
    </row>
    <row r="402">
      <c r="A402" t="n">
        <v>398</v>
      </c>
      <c r="B402">
        <f>IF(COST_YR_RUNG1&lt;=COST_YR_RUNG2,IF(A402&lt;=RUNG_BEDS_1,1,2),IF(A402&lt;=RUNG_BEDS_2,2,1))</f>
        <v>1</v>
      </c>
      <c r="C402" s="5">
        <f>MIN(1,MAX(0,POOL_BEDS-(A402-1)))</f>
        <v>0</v>
      </c>
      <c r="D402" s="5">
        <f>FREED*(C402+(1-C402)*PAST_POOL_PCT)</f>
        <v>0.0</v>
      </c>
      <c r="E402" s="13">
        <f>D402*(C_AVOID+ACUTE_MARGIN)</f>
        <v>0.0</v>
      </c>
      <c r="F402" s="13">
        <f>D402*(RANGE_LO+ACUTE_MARGIN)</f>
        <v>0.0</v>
      </c>
      <c r="G402" s="13">
        <f>D402*(RANGE_HI+ACUTE_MARGIN)</f>
        <v>0.0</v>
      </c>
      <c r="H402" s="13">
        <f>IF(B402=1,COST_YR_RUNG1,COST_YR_RUNG2)</f>
        <v>152394.16214437486</v>
      </c>
      <c r="I402" s="13">
        <f>E402-H402</f>
        <v>-152394.16214437486</v>
      </c>
      <c r="J402" s="13">
        <f>J401+I402</f>
        <v>-22423905.905188795</v>
      </c>
      <c r="K402">
        <f>IF(J402=MAX($J$4:$J$404),A402,0)</f>
        <v>0</v>
      </c>
      <c r="L402">
        <f>IF(E402&lt;H402,A402,B_MAX+1)</f>
        <v>398</v>
      </c>
      <c r="M402" s="13">
        <f>IF(B402=1,GRANT_RUNG1,GRANT_RUNG2)</f>
        <v>0</v>
      </c>
      <c r="N402" s="13">
        <f>OCC_DAYS*MCD_SHARE_BED*R_NF_2023-D402*MCD_SHARE_FREED*R_WAIT_2023</f>
        <v>151980.48282209205</v>
      </c>
      <c r="O402">
        <f>IF(A402&lt;=BEDS,1,0)</f>
        <v>0</v>
      </c>
    </row>
    <row r="403">
      <c r="A403" t="n">
        <v>399</v>
      </c>
      <c r="B403">
        <f>IF(COST_YR_RUNG1&lt;=COST_YR_RUNG2,IF(A403&lt;=RUNG_BEDS_1,1,2),IF(A403&lt;=RUNG_BEDS_2,2,1))</f>
        <v>1</v>
      </c>
      <c r="C403" s="5">
        <f>MIN(1,MAX(0,POOL_BEDS-(A403-1)))</f>
        <v>0</v>
      </c>
      <c r="D403" s="5">
        <f>FREED*(C403+(1-C403)*PAST_POOL_PCT)</f>
        <v>0.0</v>
      </c>
      <c r="E403" s="13">
        <f>D403*(C_AVOID+ACUTE_MARGIN)</f>
        <v>0.0</v>
      </c>
      <c r="F403" s="13">
        <f>D403*(RANGE_LO+ACUTE_MARGIN)</f>
        <v>0.0</v>
      </c>
      <c r="G403" s="13">
        <f>D403*(RANGE_HI+ACUTE_MARGIN)</f>
        <v>0.0</v>
      </c>
      <c r="H403" s="13">
        <f>IF(B403=1,COST_YR_RUNG1,COST_YR_RUNG2)</f>
        <v>152394.16214437486</v>
      </c>
      <c r="I403" s="13">
        <f>E403-H403</f>
        <v>-152394.16214437486</v>
      </c>
      <c r="J403" s="13">
        <f>J402+I403</f>
        <v>-22576300.06733317</v>
      </c>
      <c r="K403">
        <f>IF(J403=MAX($J$4:$J$404),A403,0)</f>
        <v>0</v>
      </c>
      <c r="L403">
        <f>IF(E403&lt;H403,A403,B_MAX+1)</f>
        <v>399</v>
      </c>
      <c r="M403" s="13">
        <f>IF(B403=1,GRANT_RUNG1,GRANT_RUNG2)</f>
        <v>0</v>
      </c>
      <c r="N403" s="13">
        <f>OCC_DAYS*MCD_SHARE_BED*R_NF_2023-D403*MCD_SHARE_FREED*R_WAIT_2023</f>
        <v>151980.48282209205</v>
      </c>
      <c r="O403">
        <f>IF(A403&lt;=BEDS,1,0)</f>
        <v>0</v>
      </c>
    </row>
    <row r="404">
      <c r="A404" t="n">
        <v>400</v>
      </c>
      <c r="B404">
        <f>IF(COST_YR_RUNG1&lt;=COST_YR_RUNG2,IF(A404&lt;=RUNG_BEDS_1,1,2),IF(A404&lt;=RUNG_BEDS_2,2,1))</f>
        <v>1</v>
      </c>
      <c r="C404" s="5">
        <f>MIN(1,MAX(0,POOL_BEDS-(A404-1)))</f>
        <v>0</v>
      </c>
      <c r="D404" s="5">
        <f>FREED*(C404+(1-C404)*PAST_POOL_PCT)</f>
        <v>0.0</v>
      </c>
      <c r="E404" s="13">
        <f>D404*(C_AVOID+ACUTE_MARGIN)</f>
        <v>0.0</v>
      </c>
      <c r="F404" s="13">
        <f>D404*(RANGE_LO+ACUTE_MARGIN)</f>
        <v>0.0</v>
      </c>
      <c r="G404" s="13">
        <f>D404*(RANGE_HI+ACUTE_MARGIN)</f>
        <v>0.0</v>
      </c>
      <c r="H404" s="13">
        <f>IF(B404=1,COST_YR_RUNG1,COST_YR_RUNG2)</f>
        <v>152394.16214437486</v>
      </c>
      <c r="I404" s="13">
        <f>E404-H404</f>
        <v>-152394.16214437486</v>
      </c>
      <c r="J404" s="13">
        <f>J403+I404</f>
        <v>-22728694.229477543</v>
      </c>
      <c r="K404">
        <f>IF(J404=MAX($J$4:$J$404),A404,0)</f>
        <v>0</v>
      </c>
      <c r="L404">
        <f>IF(E404&lt;H404,A404,B_MAX+1)</f>
        <v>400</v>
      </c>
      <c r="M404" s="13">
        <f>IF(B404=1,GRANT_RUNG1,GRANT_RUNG2)</f>
        <v>0</v>
      </c>
      <c r="N404" s="13">
        <f>OCC_DAYS*MCD_SHARE_BED*R_NF_2023-D404*MCD_SHARE_FREED*R_WAIT_2023</f>
        <v>151980.48282209205</v>
      </c>
      <c r="O404">
        <f>IF(A404&lt;=BEDS,1,0)</f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8"/>
  <sheetViews>
    <sheetView workbookViewId="0">
      <selection activeCell="A1" sqref="A1"/>
    </sheetView>
  </sheetViews>
  <sheetFormatPr baseColWidth="8" defaultRowHeight="15"/>
  <cols>
    <col width="52" customWidth="1" min="1" max="1"/>
  </cols>
  <sheetData>
    <row r="1">
      <c r="A1" s="1" t="inlineStr">
        <is>
          <t>Operating test, drift and the rate rule, one row per rate year (nominal dollars; decisions 50, 66 to 70)</t>
        </is>
      </c>
    </row>
    <row r="3">
      <c r="A3" t="inlineStr">
        <is>
          <t>C_OP build-up: total cost</t>
        </is>
      </c>
      <c r="B3" s="8">
        <f>NF_COST_2023</f>
        <v>462</v>
      </c>
    </row>
    <row r="4">
      <c r="A4" t="inlineStr">
        <is>
          <t>less capital</t>
        </is>
      </c>
      <c r="B4" s="8">
        <f>NF_CAP_COST_2023</f>
        <v>18.75</v>
      </c>
    </row>
    <row r="5">
      <c r="A5" t="inlineStr">
        <is>
          <t>plus wage premium</t>
        </is>
      </c>
      <c r="B5" s="8">
        <f>WAGE_PREMIUM</f>
        <v>0.0</v>
      </c>
    </row>
    <row r="6">
      <c r="A6" t="inlineStr">
        <is>
          <t>C_OP (2023 $)</t>
        </is>
      </c>
      <c r="B6" s="8">
        <f>C_OP</f>
        <v>443.25</v>
      </c>
    </row>
    <row r="7">
      <c r="A7" t="inlineStr">
        <is>
          <t>CAP_SHARE (capital component share of the rate, with GET)</t>
        </is>
      </c>
      <c r="B7" s="10">
        <f>R_CAP_2024*(1+GET_RATE)/R_NF_2024</f>
        <v>0.04889732893344126</v>
      </c>
    </row>
    <row r="9">
      <c r="A9" t="inlineStr">
        <is>
          <t>OP_FAIL_YEAR IDX</t>
        </is>
      </c>
      <c r="B9">
        <f>IF(MIN(W16:W58)=9999,"none",MIN(W16:W58))</f>
        <v>2027</v>
      </c>
    </row>
    <row r="10">
      <c r="A10" t="inlineStr">
        <is>
          <t>OP_FAIL_YEAR HIX</t>
        </is>
      </c>
      <c r="B10">
        <f>IF(MIN(X16:X58)=9999,"none",MIN(X16:X58))</f>
        <v>2027</v>
      </c>
    </row>
    <row r="11">
      <c r="A11" t="inlineStr">
        <is>
          <t>OP_FAIL_YEAR REB</t>
        </is>
      </c>
      <c r="B11">
        <f>IF(MIN(Y16:Y58)=9999,"none",MIN(Y16:Y58))</f>
        <v>2029</v>
      </c>
    </row>
    <row r="12">
      <c r="A12" t="inlineStr">
        <is>
          <t>SHORTFALL in 2034 (ten years after the reset)</t>
        </is>
      </c>
      <c r="B12" s="15">
        <f>INDEX(P16:P58,MATCH(2034,A16:A58,0))</f>
        <v>0.10114015456880243</v>
      </c>
    </row>
    <row r="13">
      <c r="A13" t="inlineStr">
        <is>
          <t>Rebase years where RATE_REB differs from RATE_AT_COST (count)</t>
        </is>
      </c>
      <c r="B13">
        <f>SUMPRODUCT(H16:H58,--(ABS(G16:G58-O16:O58)&gt;0.000001))</f>
        <v>0.0</v>
      </c>
    </row>
    <row r="15">
      <c r="A15" s="2" t="inlineStr">
        <is>
          <t>t</t>
        </is>
      </c>
      <c r="B15" s="2" t="inlineStr">
        <is>
          <t>In horizon</t>
        </is>
      </c>
      <c r="C15" s="2" t="inlineStr">
        <is>
          <t>G_IDX(t)</t>
        </is>
      </c>
      <c r="D15" s="2" t="inlineStr">
        <is>
          <t>C_OP_NOM</t>
        </is>
      </c>
      <c r="E15" s="2" t="inlineStr">
        <is>
          <t>RATE_IDX</t>
        </is>
      </c>
      <c r="F15" s="2" t="inlineStr">
        <is>
          <t>RATE_HIX</t>
        </is>
      </c>
      <c r="G15" s="2" t="inlineStr">
        <is>
          <t>RATE_REB</t>
        </is>
      </c>
      <c r="H15" s="2" t="inlineStr">
        <is>
          <t>Rebase year</t>
        </is>
      </c>
      <c r="I15" s="2" t="inlineStr">
        <is>
          <t>R_CAP_IDX</t>
        </is>
      </c>
      <c r="J15" s="2" t="inlineStr">
        <is>
          <t>R_CAP_HIX</t>
        </is>
      </c>
      <c r="K15" s="2" t="inlineStr">
        <is>
          <t>R_CAP_REB</t>
        </is>
      </c>
      <c r="L15" s="2" t="inlineStr">
        <is>
          <t>OP_MARGIN IDX</t>
        </is>
      </c>
      <c r="M15" s="2" t="inlineStr">
        <is>
          <t>OP_MARGIN HIX</t>
        </is>
      </c>
      <c r="N15" s="2" t="inlineStr">
        <is>
          <t>OP_MARGIN REB</t>
        </is>
      </c>
      <c r="O15" s="2" t="inlineStr">
        <is>
          <t>RATE_AT_COST</t>
        </is>
      </c>
      <c r="P15" s="2" t="inlineStr">
        <is>
          <t>SHORTFALL</t>
        </is>
      </c>
      <c r="Q15" s="2" t="inlineStr">
        <is>
          <t>Deflator (CPI of t-1)</t>
        </is>
      </c>
      <c r="R15" s="2" t="inlineStr">
        <is>
          <t>RULE_KEPT HIX</t>
        </is>
      </c>
      <c r="S15" s="2" t="inlineStr">
        <is>
          <t>RULE_KEPT REB</t>
        </is>
      </c>
      <c r="T15" s="2" t="inlineStr">
        <is>
          <t>RULE_COST HIX</t>
        </is>
      </c>
      <c r="U15" s="2" t="inlineStr">
        <is>
          <t>RULE_COST REB</t>
        </is>
      </c>
      <c r="V15" s="2" t="inlineStr">
        <is>
          <t>Discount factor</t>
        </is>
      </c>
      <c r="W15" s="2" t="inlineStr">
        <is>
          <t>Fail IDX</t>
        </is>
      </c>
      <c r="X15" s="2" t="inlineStr">
        <is>
          <t>Fail HIX</t>
        </is>
      </c>
      <c r="Y15" s="2" t="inlineStr">
        <is>
          <t>Fail REB</t>
        </is>
      </c>
    </row>
    <row r="16">
      <c r="A16" t="n">
        <v>2024</v>
      </c>
      <c r="B16">
        <f>IF(A16&lt;=RULE_START+HORIZON-1,1,0)</f>
        <v>1</v>
      </c>
      <c r="C16" s="15">
        <f>IF(A16=2024,G_IDX_2024,IF(A16=2025,G_IDX_2025,IF(A16=2026,G_IDX_2026,IF(A16=2027,G_IDX_2027,G_IDX_POST))))</f>
        <v>0.03</v>
      </c>
      <c r="D16" s="8">
        <f>C_OP*(1+G_HI)^(A16-COST_DATE)</f>
        <v>452.06491890289993</v>
      </c>
      <c r="E16" s="8">
        <f>R_NF_2024</f>
        <v>481.83</v>
      </c>
      <c r="F16" s="8">
        <f>E16</f>
        <v>481.83</v>
      </c>
      <c r="G16" s="8">
        <f>E16</f>
        <v>481.83</v>
      </c>
      <c r="H16">
        <f>IF(AND(A16&gt;=RULE_START,MOD(A16-RULE_START,REBASE_YEARS)=0),1,0)</f>
        <v>0</v>
      </c>
      <c r="I16" s="8">
        <f>R_CAP_2024*(1+GET_RATE)</f>
        <v>23.560200000000002</v>
      </c>
      <c r="J16" s="8">
        <f>R_CAP_2024*(1+GET_RATE)</f>
        <v>23.560200000000002</v>
      </c>
      <c r="K16" s="8">
        <f>R_CAP_2024*(1+GET_RATE)</f>
        <v>23.560200000000002</v>
      </c>
      <c r="L16" s="8">
        <f>E16-I16-D16</f>
        <v>6.204881097100042</v>
      </c>
      <c r="M16" s="8">
        <f>F16-J16-D16</f>
        <v>6.204881097100042</v>
      </c>
      <c r="N16" s="8">
        <f>G16-K16-D16</f>
        <v>6.204881097100042</v>
      </c>
      <c r="O16" s="8">
        <f>R_NF_2024*(1+G_HI)^(A16-2024)</f>
        <v>481.83</v>
      </c>
      <c r="P16" s="10">
        <f>1-E16/O16</f>
        <v>0.0</v>
      </c>
      <c r="Q16" s="10">
        <f>CPI_2023/(IF(A16-1=2023,CPI_2023,IF(A16-1=2024,CPI_2024,IF(A16-1=2025,CPI_2025,CPI_2025*(1+INFL)^(A16-1-2025)))))</f>
        <v>1.0</v>
      </c>
      <c r="R16" s="8">
        <f>WAIT_DAYS_Y*ABS(SUPPLY_RESPONSE)*(F16-E16)/E16</f>
        <v>0.0</v>
      </c>
      <c r="S16" s="8">
        <f>WAIT_DAYS_Y*ABS(SUPPLY_RESPONSE)*(G16-E16)/E16</f>
        <v>0.0</v>
      </c>
      <c r="T16" s="13">
        <f>(F16-E16)*MCD_NF_DAYS*Q16-R16*MCD_SHARE_FREED*R_WAIT_2023</f>
        <v>0.0</v>
      </c>
      <c r="U16" s="13">
        <f>(G16-E16)*MCD_NF_DAYS*Q16-S16*MCD_SHARE_FREED*R_WAIT_2023</f>
        <v>0.0</v>
      </c>
      <c r="V16" s="10">
        <f>IF(AND(A16&gt;=RULE_START,B16=1),1/(1+DISC_RATE)^(A16-RULE_START+1),0)</f>
        <v>0</v>
      </c>
      <c r="W16">
        <f>IF(AND(A16&gt;=RULE_START,B16=1,L16&lt;0),A16,9999)</f>
        <v>9999</v>
      </c>
      <c r="X16">
        <f>IF(AND(A16&gt;=RULE_START,B16=1,M16&lt;0),A16,9999)</f>
        <v>9999</v>
      </c>
      <c r="Y16">
        <f>IF(AND(A16&gt;=RULE_START,B16=1,N16&lt;0),A16,9999)</f>
        <v>9999</v>
      </c>
    </row>
    <row r="17">
      <c r="A17" t="n">
        <v>2025</v>
      </c>
      <c r="B17">
        <f>IF(A17&lt;=RULE_START+HORIZON-1,1,0)</f>
        <v>1</v>
      </c>
      <c r="C17" s="15">
        <f>IF(A17=2024,G_IDX_2024,IF(A17=2025,G_IDX_2025,IF(A17=2026,G_IDX_2026,IF(A17=2027,G_IDX_2027,G_IDX_POST))))</f>
        <v>0.03</v>
      </c>
      <c r="D17" s="8">
        <f>C_OP*(1+G_HI)^(A17-COST_DATE)</f>
        <v>470.2241501940065</v>
      </c>
      <c r="E17" s="8">
        <f>R_NF_2025</f>
        <v>509.69</v>
      </c>
      <c r="F17" s="8">
        <f>E17</f>
        <v>509.69</v>
      </c>
      <c r="G17" s="8">
        <f>E17</f>
        <v>509.69</v>
      </c>
      <c r="H17">
        <f>IF(AND(A17&gt;=RULE_START,MOD(A17-RULE_START,REBASE_YEARS)=0),1,0)</f>
        <v>0</v>
      </c>
      <c r="I17" s="8">
        <f>R_CAP_2025*(1+GET_RATE)</f>
        <v>24.267006000000002</v>
      </c>
      <c r="J17" s="8">
        <f>R_CAP_2025*(1+GET_RATE)</f>
        <v>24.267006000000002</v>
      </c>
      <c r="K17" s="8">
        <f>R_CAP_2025*(1+GET_RATE)</f>
        <v>24.267006000000002</v>
      </c>
      <c r="L17" s="8">
        <f>E17-I17-D17</f>
        <v>15.198843805993533</v>
      </c>
      <c r="M17" s="8">
        <f>F17-J17-D17</f>
        <v>15.198843805993533</v>
      </c>
      <c r="N17" s="8">
        <f>G17-K17-D17</f>
        <v>15.198843805993533</v>
      </c>
      <c r="O17" s="8">
        <f>R_NF_2024*(1+G_HI)^(A17-2024)</f>
        <v>501.18488034379686</v>
      </c>
      <c r="P17" s="10">
        <f>1-E17/O17</f>
        <v>-0.01697002441567852</v>
      </c>
      <c r="Q17" s="10">
        <f>CPI_2023/(IF(A17-1=2023,CPI_2023,IF(A17-1=2024,CPI_2024,IF(A17-1=2025,CPI_2025,CPI_2025*(1+INFL)^(A17-1-2025)))))</f>
        <v>0.9581330817144185</v>
      </c>
      <c r="R17" s="8">
        <f>WAIT_DAYS_Y*ABS(SUPPLY_RESPONSE)*(F17-E17)/E17</f>
        <v>0.0</v>
      </c>
      <c r="S17" s="8">
        <f>WAIT_DAYS_Y*ABS(SUPPLY_RESPONSE)*(G17-E17)/E17</f>
        <v>0.0</v>
      </c>
      <c r="T17" s="13">
        <f>(F17-E17)*MCD_NF_DAYS*Q17-R17*MCD_SHARE_FREED*R_WAIT_2023</f>
        <v>0.0</v>
      </c>
      <c r="U17" s="13">
        <f>(G17-E17)*MCD_NF_DAYS*Q17-S17*MCD_SHARE_FREED*R_WAIT_2023</f>
        <v>0.0</v>
      </c>
      <c r="V17" s="10">
        <f>IF(AND(A17&gt;=RULE_START,B17=1),1/(1+DISC_RATE)^(A17-RULE_START+1),0)</f>
        <v>0</v>
      </c>
      <c r="W17">
        <f>IF(AND(A17&gt;=RULE_START,B17=1,L17&lt;0),A17,9999)</f>
        <v>9999</v>
      </c>
      <c r="X17">
        <f>IF(AND(A17&gt;=RULE_START,B17=1,M17&lt;0),A17,9999)</f>
        <v>9999</v>
      </c>
      <c r="Y17">
        <f>IF(AND(A17&gt;=RULE_START,B17=1,N17&lt;0),A17,9999)</f>
        <v>9999</v>
      </c>
    </row>
    <row r="18">
      <c r="A18" t="n">
        <v>2026</v>
      </c>
      <c r="B18">
        <f>IF(A18&lt;=RULE_START+HORIZON-1,1,0)</f>
        <v>1</v>
      </c>
      <c r="C18" s="15">
        <f>IF(A18=2024,G_IDX_2024,IF(A18=2025,G_IDX_2025,IF(A18=2026,G_IDX_2026,IF(A18=2027,G_IDX_2027,G_IDX_POST))))</f>
        <v>0.033</v>
      </c>
      <c r="D18" s="8">
        <f>C_OP*(1+G_HI)^(A18-COST_DATE)</f>
        <v>489.1128291093264</v>
      </c>
      <c r="E18" s="8">
        <f>R_NF_2026</f>
        <v>495.25</v>
      </c>
      <c r="F18" s="8">
        <f>E18</f>
        <v>495.25</v>
      </c>
      <c r="G18" s="8">
        <f>E18</f>
        <v>495.25</v>
      </c>
      <c r="H18">
        <f>IF(AND(A18&gt;=RULE_START,MOD(A18-RULE_START,REBASE_YEARS)=0),1,0)</f>
        <v>0</v>
      </c>
      <c r="I18" s="8">
        <f>R_CAP_2026*(1+GET_RATE)</f>
        <v>25.067817198</v>
      </c>
      <c r="J18" s="8">
        <f>R_CAP_2026*(1+GET_RATE)</f>
        <v>25.067817198</v>
      </c>
      <c r="K18" s="8">
        <f>R_CAP_2026*(1+GET_RATE)</f>
        <v>25.067817198</v>
      </c>
      <c r="L18" s="8">
        <f>E18-I18-D18</f>
        <v>-18.930646307326413</v>
      </c>
      <c r="M18" s="8">
        <f>F18-J18-D18</f>
        <v>-18.930646307326413</v>
      </c>
      <c r="N18" s="8">
        <f>G18-K18-D18</f>
        <v>-18.930646307326413</v>
      </c>
      <c r="O18" s="8">
        <f>R_NF_2024*(1+G_HI)^(A18-2024)</f>
        <v>521.317236961638</v>
      </c>
      <c r="P18" s="10">
        <f>1-E18/O18</f>
        <v>0.0500026377672913</v>
      </c>
      <c r="Q18" s="10">
        <f>CPI_2023/(IF(A18-1=2023,CPI_2023,IF(A18-1=2024,CPI_2024,IF(A18-1=2025,CPI_2025,CPI_2025*(1+INFL)^(A18-1-2025)))))</f>
        <v>0.9341744000091711</v>
      </c>
      <c r="R18" s="8">
        <f>WAIT_DAYS_Y*ABS(SUPPLY_RESPONSE)*(F18-E18)/E18</f>
        <v>0.0</v>
      </c>
      <c r="S18" s="8">
        <f>WAIT_DAYS_Y*ABS(SUPPLY_RESPONSE)*(G18-E18)/E18</f>
        <v>0.0</v>
      </c>
      <c r="T18" s="13">
        <f>(F18-E18)*MCD_NF_DAYS*Q18-R18*MCD_SHARE_FREED*R_WAIT_2023</f>
        <v>0.0</v>
      </c>
      <c r="U18" s="13">
        <f>(G18-E18)*MCD_NF_DAYS*Q18-S18*MCD_SHARE_FREED*R_WAIT_2023</f>
        <v>0.0</v>
      </c>
      <c r="V18" s="10">
        <f>IF(AND(A18&gt;=RULE_START,B18=1),1/(1+DISC_RATE)^(A18-RULE_START+1),0)</f>
        <v>0</v>
      </c>
      <c r="W18">
        <f>IF(AND(A18&gt;=RULE_START,B18=1,L18&lt;0),A18,9999)</f>
        <v>9999</v>
      </c>
      <c r="X18">
        <f>IF(AND(A18&gt;=RULE_START,B18=1,M18&lt;0),A18,9999)</f>
        <v>9999</v>
      </c>
      <c r="Y18">
        <f>IF(AND(A18&gt;=RULE_START,B18=1,N18&lt;0),A18,9999)</f>
        <v>9999</v>
      </c>
    </row>
    <row r="19">
      <c r="A19" t="n">
        <v>2027</v>
      </c>
      <c r="B19">
        <f>IF(A19&lt;=RULE_START+HORIZON-1,1,0)</f>
        <v>1</v>
      </c>
      <c r="C19" s="15">
        <f>IF(A19=2024,G_IDX_2024,IF(A19=2025,G_IDX_2025,IF(A19=2026,G_IDX_2026,IF(A19=2027,G_IDX_2027,G_IDX_POST))))</f>
        <v>0.033</v>
      </c>
      <c r="D19" s="8">
        <f>C_OP*(1+G_HI)^(A19-COST_DATE)</f>
        <v>508.7602572105798</v>
      </c>
      <c r="E19" s="8">
        <f>E18*(1+C19)</f>
        <v>511.59324999999995</v>
      </c>
      <c r="F19" s="8">
        <f>IF(A19&lt;RULE_START,E19,F18*(1+G_HI))</f>
        <v>515.1439553167412</v>
      </c>
      <c r="G19" s="8">
        <f>IF(A19&lt;RULE_START,E19,IF(H19=1,R_NF_2024*(1+G_HI)^(A19-2024),G18*(1+C19)))</f>
        <v>542.2583007031054</v>
      </c>
      <c r="H19">
        <f>IF(AND(A19&gt;=RULE_START,MOD(A19-RULE_START,REBASE_YEARS)=0),1,0)</f>
        <v>1</v>
      </c>
      <c r="I19" s="8">
        <f>E19*CAP_SHARE</f>
        <v>25.015543425378244</v>
      </c>
      <c r="J19" s="8">
        <f>F19*CAP_SHARE</f>
        <v>25.18916343119666</v>
      </c>
      <c r="K19" s="8">
        <f>G19*CAP_SHARE</f>
        <v>26.514982496368646</v>
      </c>
      <c r="L19" s="8">
        <f>E19-I19-D19</f>
        <v>-22.182550635958137</v>
      </c>
      <c r="M19" s="8">
        <f>F19-J19-D19</f>
        <v>-18.8054653250353</v>
      </c>
      <c r="N19" s="8">
        <f>G19-K19-D19</f>
        <v>6.983060996157008</v>
      </c>
      <c r="O19" s="8">
        <f>R_NF_2024*(1+G_HI)^(A19-2024)</f>
        <v>542.2583007031054</v>
      </c>
      <c r="P19" s="10">
        <f>1-E19/O19</f>
        <v>0.056550634012138556</v>
      </c>
      <c r="Q19" s="10">
        <f>CPI_2023/(IF(A19-1=2023,CPI_2023,IF(A19-1=2024,CPI_2024,IF(A19-1=2025,CPI_2025,CPI_2025*(1+INFL)^(A19-1-2025)))))</f>
        <v>0.9133500195631318</v>
      </c>
      <c r="R19" s="8">
        <f>WAIT_DAYS_Y*ABS(SUPPLY_RESPONSE)*(F19-E19)/E19</f>
        <v>691.9321563818208</v>
      </c>
      <c r="S19" s="8">
        <f>WAIT_DAYS_Y*ABS(SUPPLY_RESPONSE)*(G19-E19)/E19</f>
        <v>5975.752073402463</v>
      </c>
      <c r="T19" s="13">
        <f>(F19-E19)*MCD_NF_DAYS*Q19-R19*MCD_SHARE_FREED*R_WAIT_2023</f>
        <v>1394011.2990783718</v>
      </c>
      <c r="U19" s="13">
        <f>(G19-E19)*MCD_NF_DAYS*Q19-S19*MCD_SHARE_FREED*R_WAIT_2023</f>
        <v>12039136.834417112</v>
      </c>
      <c r="V19" s="10">
        <f>IF(AND(A19&gt;=RULE_START,B19=1),1/(1+DISC_RATE)^(A19-RULE_START+1),0)</f>
        <v>0.9803921568627451</v>
      </c>
      <c r="W19">
        <f>IF(AND(A19&gt;=RULE_START,B19=1,L19&lt;0),A19,9999)</f>
        <v>2027</v>
      </c>
      <c r="X19">
        <f>IF(AND(A19&gt;=RULE_START,B19=1,M19&lt;0),A19,9999)</f>
        <v>2027</v>
      </c>
      <c r="Y19">
        <f>IF(AND(A19&gt;=RULE_START,B19=1,N19&lt;0),A19,9999)</f>
        <v>9999</v>
      </c>
    </row>
    <row r="20">
      <c r="A20" t="n">
        <v>2028</v>
      </c>
      <c r="B20">
        <f>IF(A20&lt;=RULE_START+HORIZON-1,1,0)</f>
        <v>1</v>
      </c>
      <c r="C20" s="15">
        <f>IF(A20=2024,G_IDX_2024,IF(A20=2025,G_IDX_2025,IF(A20=2026,G_IDX_2026,IF(A20=2027,G_IDX_2027,G_IDX_POST))))</f>
        <v>0.033</v>
      </c>
      <c r="D20" s="8">
        <f>C_OP*(1+G_HI)^(A20-COST_DATE)</f>
        <v>529.1969130891888</v>
      </c>
      <c r="E20" s="8">
        <f>E19*(1+C20)</f>
        <v>528.47582725</v>
      </c>
      <c r="F20" s="8">
        <f>IF(A20&lt;RULE_START,E20,F19*(1+G_HI))</f>
        <v>535.837041291018</v>
      </c>
      <c r="G20" s="8">
        <f>IF(A20&lt;RULE_START,E20,IF(H20=1,R_NF_2024*(1+G_HI)^(A20-2024),G19*(1+C20)))</f>
        <v>560.1528246263078</v>
      </c>
      <c r="H20">
        <f>IF(AND(A20&gt;=RULE_START,MOD(A20-RULE_START,REBASE_YEARS)=0),1,0)</f>
        <v>0</v>
      </c>
      <c r="I20" s="8">
        <f>E20*CAP_SHARE</f>
        <v>25.841056358415727</v>
      </c>
      <c r="J20" s="8">
        <f>F20*CAP_SHARE</f>
        <v>26.201000062728852</v>
      </c>
      <c r="K20" s="8">
        <f>G20*CAP_SHARE</f>
        <v>27.38997691874881</v>
      </c>
      <c r="L20" s="8">
        <f>E20-I20-D20</f>
        <v>-26.562142197604544</v>
      </c>
      <c r="M20" s="8">
        <f>F20-J20-D20</f>
        <v>-19.56087186089968</v>
      </c>
      <c r="N20" s="8">
        <f>G20-K20-D20</f>
        <v>3.5659346183701928</v>
      </c>
      <c r="O20" s="8">
        <f>R_NF_2024*(1+G_HI)^(A20-2024)</f>
        <v>564.0405569460526</v>
      </c>
      <c r="P20" s="10">
        <f>1-E20/O20</f>
        <v>0.06305349723185627</v>
      </c>
      <c r="Q20" s="10">
        <f>CPI_2023/(IF(A20-1=2023,CPI_2023,IF(A20-1=2024,CPI_2024,IF(A20-1=2025,CPI_2025,CPI_2025*(1+INFL)^(A20-1-2025)))))</f>
        <v>0.8929898509612162</v>
      </c>
      <c r="R20" s="8">
        <f>WAIT_DAYS_Y*ABS(SUPPLY_RESPONSE)*(F20-E20)/E20</f>
        <v>1388.6666575687823</v>
      </c>
      <c r="S20" s="8">
        <f>WAIT_DAYS_Y*ABS(SUPPLY_RESPONSE)*(G20-E20)/E20</f>
        <v>5975.752073402453</v>
      </c>
      <c r="T20" s="13">
        <f>(F20-E20)*MCD_NF_DAYS*Q20-R20*MCD_SHARE_FREED*R_WAIT_2023</f>
        <v>2831895.341460801</v>
      </c>
      <c r="U20" s="13">
        <f>(G20-E20)*MCD_NF_DAYS*Q20-S20*MCD_SHARE_FREED*R_WAIT_2023</f>
        <v>12186297.097404692</v>
      </c>
      <c r="V20" s="10">
        <f>IF(AND(A20&gt;=RULE_START,B20=1),1/(1+DISC_RATE)^(A20-RULE_START+1),0)</f>
        <v>0.9611687812379854</v>
      </c>
      <c r="W20">
        <f>IF(AND(A20&gt;=RULE_START,B20=1,L20&lt;0),A20,9999)</f>
        <v>2028</v>
      </c>
      <c r="X20">
        <f>IF(AND(A20&gt;=RULE_START,B20=1,M20&lt;0),A20,9999)</f>
        <v>2028</v>
      </c>
      <c r="Y20">
        <f>IF(AND(A20&gt;=RULE_START,B20=1,N20&lt;0),A20,9999)</f>
        <v>9999</v>
      </c>
    </row>
    <row r="21">
      <c r="A21" t="n">
        <v>2029</v>
      </c>
      <c r="B21">
        <f>IF(A21&lt;=RULE_START+HORIZON-1,1,0)</f>
        <v>1</v>
      </c>
      <c r="C21" s="15">
        <f>IF(A21=2024,G_IDX_2024,IF(A21=2025,G_IDX_2025,IF(A21=2026,G_IDX_2026,IF(A21=2027,G_IDX_2027,G_IDX_POST))))</f>
        <v>0.033</v>
      </c>
      <c r="D21" s="8">
        <f>C_OP*(1+G_HI)^(A21-COST_DATE)</f>
        <v>550.4544996469953</v>
      </c>
      <c r="E21" s="8">
        <f>E20*(1+C21)</f>
        <v>545.9155295492499</v>
      </c>
      <c r="F21" s="8">
        <f>IF(A21&lt;RULE_START,E21,F20*(1+G_HI))</f>
        <v>557.3613586186268</v>
      </c>
      <c r="G21" s="8">
        <f>IF(A21&lt;RULE_START,E21,IF(H21=1,R_NF_2024*(1+G_HI)^(A21-2024),G20*(1+C21)))</f>
        <v>578.6378678389759</v>
      </c>
      <c r="H21">
        <f>IF(AND(A21&gt;=RULE_START,MOD(A21-RULE_START,REBASE_YEARS)=0),1,0)</f>
        <v>0</v>
      </c>
      <c r="I21" s="8">
        <f>E21*CAP_SHARE</f>
        <v>26.693811218243443</v>
      </c>
      <c r="J21" s="8">
        <f>F21*CAP_SHARE</f>
        <v>27.25348168716471</v>
      </c>
      <c r="K21" s="8">
        <f>G21*CAP_SHARE</f>
        <v>28.293846157067517</v>
      </c>
      <c r="L21" s="8">
        <f>E21-I21-D21</f>
        <v>-31.23278131598886</v>
      </c>
      <c r="M21" s="8">
        <f>F21-J21-D21</f>
        <v>-20.346622715533158</v>
      </c>
      <c r="N21" s="8">
        <f>G21-K21-D21</f>
        <v>-0.1104779650868295</v>
      </c>
      <c r="O21" s="8">
        <f>R_NF_2024*(1+G_HI)^(A21-2024)</f>
        <v>586.697795990403</v>
      </c>
      <c r="P21" s="10">
        <f>1-E21/O21</f>
        <v>0.0695115385124444</v>
      </c>
      <c r="Q21" s="10">
        <f>CPI_2023/(IF(A21-1=2023,CPI_2023,IF(A21-1=2024,CPI_2024,IF(A21-1=2025,CPI_2025,CPI_2025*(1+INFL)^(A21-1-2025)))))</f>
        <v>0.8730835461099101</v>
      </c>
      <c r="R21" s="8">
        <f>WAIT_DAYS_Y*ABS(SUPPLY_RESPONSE)*(F21-E21)/E21</f>
        <v>2090.2368341633555</v>
      </c>
      <c r="S21" s="8">
        <f>WAIT_DAYS_Y*ABS(SUPPLY_RESPONSE)*(G21-E21)/E21</f>
        <v>5975.752073402454</v>
      </c>
      <c r="T21" s="13">
        <f>(F21-E21)*MCD_NF_DAYS*Q21-R21*MCD_SHARE_FREED*R_WAIT_2023</f>
        <v>4314589.047168571</v>
      </c>
      <c r="U21" s="13">
        <f>(G21-E21)*MCD_NF_DAYS*Q21-S21*MCD_SHARE_FREED*R_WAIT_2023</f>
        <v>12334924.934387663</v>
      </c>
      <c r="V21" s="10">
        <f>IF(AND(A21&gt;=RULE_START,B21=1),1/(1+DISC_RATE)^(A21-RULE_START+1),0)</f>
        <v>0.9423223345470444</v>
      </c>
      <c r="W21">
        <f>IF(AND(A21&gt;=RULE_START,B21=1,L21&lt;0),A21,9999)</f>
        <v>2029</v>
      </c>
      <c r="X21">
        <f>IF(AND(A21&gt;=RULE_START,B21=1,M21&lt;0),A21,9999)</f>
        <v>2029</v>
      </c>
      <c r="Y21">
        <f>IF(AND(A21&gt;=RULE_START,B21=1,N21&lt;0),A21,9999)</f>
        <v>2029</v>
      </c>
    </row>
    <row r="22">
      <c r="A22" t="n">
        <v>2030</v>
      </c>
      <c r="B22">
        <f>IF(A22&lt;=RULE_START+HORIZON-1,1,0)</f>
        <v>1</v>
      </c>
      <c r="C22" s="15">
        <f>IF(A22=2024,G_IDX_2024,IF(A22=2025,G_IDX_2025,IF(A22=2026,G_IDX_2026,IF(A22=2027,G_IDX_2027,G_IDX_POST))))</f>
        <v>0.033</v>
      </c>
      <c r="D22" s="8">
        <f>C_OP*(1+G_HI)^(A22-COST_DATE)</f>
        <v>572.5659932762259</v>
      </c>
      <c r="E22" s="8">
        <f>E21*(1+C22)</f>
        <v>563.930742024375</v>
      </c>
      <c r="F22" s="8">
        <f>IF(A22&lt;RULE_START,E22,F21*(1+G_HI))</f>
        <v>579.750297464941</v>
      </c>
      <c r="G22" s="8">
        <f>IF(A22&lt;RULE_START,E22,IF(H22=1,R_NF_2024*(1+G_HI)^(A22-2024),G21*(1+C22)))</f>
        <v>610.2651654762458</v>
      </c>
      <c r="H22">
        <f>IF(AND(A22&gt;=RULE_START,MOD(A22-RULE_START,REBASE_YEARS)=0),1,0)</f>
        <v>1</v>
      </c>
      <c r="I22" s="8">
        <f>E22*CAP_SHARE</f>
        <v>27.57470698844547</v>
      </c>
      <c r="J22" s="8">
        <f>F22*CAP_SHARE</f>
        <v>28.348240994403636</v>
      </c>
      <c r="K22" s="8">
        <f>G22*CAP_SHARE</f>
        <v>29.84033653291295</v>
      </c>
      <c r="L22" s="8">
        <f>E22-I22-D22</f>
        <v>-36.20995824029626</v>
      </c>
      <c r="M22" s="8">
        <f>F22-J22-D22</f>
        <v>-21.163936805688536</v>
      </c>
      <c r="N22" s="8">
        <f>G22-K22-D22</f>
        <v>7.858835667106973</v>
      </c>
      <c r="O22" s="8">
        <f>R_NF_2024*(1+G_HI)^(A22-2024)</f>
        <v>610.2651654762458</v>
      </c>
      <c r="P22" s="10">
        <f>1-E22/O22</f>
        <v>0.07592506679569655</v>
      </c>
      <c r="Q22" s="10">
        <f>CPI_2023/(IF(A22-1=2023,CPI_2023,IF(A22-1=2024,CPI_2024,IF(A22-1=2025,CPI_2025,CPI_2025*(1+INFL)^(A22-1-2025)))))</f>
        <v>0.8536209875927944</v>
      </c>
      <c r="R22" s="8">
        <f>WAIT_DAYS_Y*ABS(SUPPLY_RESPONSE)*(F22-E22)/E22</f>
        <v>2796.676248098538</v>
      </c>
      <c r="S22" s="8">
        <f>WAIT_DAYS_Y*ABS(SUPPLY_RESPONSE)*(G22-E22)/E22</f>
        <v>8191.278321570249</v>
      </c>
      <c r="T22" s="13">
        <f>(F22-E22)*MCD_NF_DAYS*Q22-R22*MCD_SHARE_FREED*R_WAIT_2023</f>
        <v>5843047.094148496</v>
      </c>
      <c r="U22" s="13">
        <f>(G22-E22)*MCD_NF_DAYS*Q22-S22*MCD_SHARE_FREED*R_WAIT_2023</f>
        <v>17113895.47744543</v>
      </c>
      <c r="V22" s="10">
        <f>IF(AND(A22&gt;=RULE_START,B22=1),1/(1+DISC_RATE)^(A22-RULE_START+1),0)</f>
        <v>0.9238454260265142</v>
      </c>
      <c r="W22">
        <f>IF(AND(A22&gt;=RULE_START,B22=1,L22&lt;0),A22,9999)</f>
        <v>2030</v>
      </c>
      <c r="X22">
        <f>IF(AND(A22&gt;=RULE_START,B22=1,M22&lt;0),A22,9999)</f>
        <v>2030</v>
      </c>
      <c r="Y22">
        <f>IF(AND(A22&gt;=RULE_START,B22=1,N22&lt;0),A22,9999)</f>
        <v>9999</v>
      </c>
    </row>
    <row r="23">
      <c r="A23" t="n">
        <v>2031</v>
      </c>
      <c r="B23">
        <f>IF(A23&lt;=RULE_START+HORIZON-1,1,0)</f>
        <v>1</v>
      </c>
      <c r="C23" s="15">
        <f>IF(A23=2024,G_IDX_2024,IF(A23=2025,G_IDX_2025,IF(A23=2026,G_IDX_2026,IF(A23=2027,G_IDX_2027,G_IDX_POST))))</f>
        <v>0.033</v>
      </c>
      <c r="D23" s="8">
        <f>C_OP*(1+G_HI)^(A23-COST_DATE)</f>
        <v>595.5656950149896</v>
      </c>
      <c r="E23" s="8">
        <f>E22*(1+C23)</f>
        <v>582.5404565111794</v>
      </c>
      <c r="F23" s="8">
        <f>IF(A23&lt;RULE_START,E23,F22*(1+G_HI))</f>
        <v>603.0385892622857</v>
      </c>
      <c r="G23" s="8">
        <f>IF(A23&lt;RULE_START,E23,IF(H23=1,R_NF_2024*(1+G_HI)^(A23-2024),G22*(1+C23)))</f>
        <v>630.4039159369619</v>
      </c>
      <c r="H23">
        <f>IF(AND(A23&gt;=RULE_START,MOD(A23-RULE_START,REBASE_YEARS)=0),1,0)</f>
        <v>0</v>
      </c>
      <c r="I23" s="8">
        <f>E23*CAP_SHARE</f>
        <v>28.48467231906417</v>
      </c>
      <c r="J23" s="8">
        <f>F23*CAP_SHARE</f>
        <v>29.48697625871636</v>
      </c>
      <c r="K23" s="8">
        <f>G23*CAP_SHARE</f>
        <v>30.82506763849908</v>
      </c>
      <c r="L23" s="8">
        <f>E23-I23-D23</f>
        <v>-41.50991082287442</v>
      </c>
      <c r="M23" s="8">
        <f>F23-J23-D23</f>
        <v>-22.014082011420328</v>
      </c>
      <c r="N23" s="8">
        <f>G23-K23-D23</f>
        <v>4.01315328347323</v>
      </c>
      <c r="O23" s="8">
        <f>R_NF_2024*(1+G_HI)^(A23-2024)</f>
        <v>634.7792249075392</v>
      </c>
      <c r="P23" s="10">
        <f>1-E23/O23</f>
        <v>0.08229438889397933</v>
      </c>
      <c r="Q23" s="10">
        <f>CPI_2023/(IF(A23-1=2023,CPI_2023,IF(A23-1=2024,CPI_2024,IF(A23-1=2025,CPI_2025,CPI_2025*(1+INFL)^(A23-1-2025)))))</f>
        <v>0.8345922835283481</v>
      </c>
      <c r="R23" s="8">
        <f>WAIT_DAYS_Y*ABS(SUPPLY_RESPONSE)*(F23-E23)/E23</f>
        <v>3508.018694243408</v>
      </c>
      <c r="S23" s="8">
        <f>WAIT_DAYS_Y*ABS(SUPPLY_RESPONSE)*(G23-E23)/E23</f>
        <v>8191.278321570249</v>
      </c>
      <c r="T23" s="13">
        <f>(F23-E23)*MCD_NF_DAYS*Q23-R23*MCD_SHARE_FREED*R_WAIT_2023</f>
        <v>7418242.237800208</v>
      </c>
      <c r="U23" s="13">
        <f>(G23-E23)*MCD_NF_DAYS*Q23-S23*MCD_SHARE_FREED*R_WAIT_2023</f>
        <v>17321711.234425183</v>
      </c>
      <c r="V23" s="10">
        <f>IF(AND(A23&gt;=RULE_START,B23=1),1/(1+DISC_RATE)^(A23-RULE_START+1),0)</f>
        <v>0.9057308098299159</v>
      </c>
      <c r="W23">
        <f>IF(AND(A23&gt;=RULE_START,B23=1,L23&lt;0),A23,9999)</f>
        <v>2031</v>
      </c>
      <c r="X23">
        <f>IF(AND(A23&gt;=RULE_START,B23=1,M23&lt;0),A23,9999)</f>
        <v>2031</v>
      </c>
      <c r="Y23">
        <f>IF(AND(A23&gt;=RULE_START,B23=1,N23&lt;0),A23,9999)</f>
        <v>9999</v>
      </c>
    </row>
    <row r="24">
      <c r="A24" t="n">
        <v>2032</v>
      </c>
      <c r="B24">
        <f>IF(A24&lt;=RULE_START+HORIZON-1,1,0)</f>
        <v>1</v>
      </c>
      <c r="C24" s="15">
        <f>IF(A24=2024,G_IDX_2024,IF(A24=2025,G_IDX_2025,IF(A24=2026,G_IDX_2026,IF(A24=2027,G_IDX_2027,G_IDX_POST))))</f>
        <v>0.033</v>
      </c>
      <c r="D24" s="8">
        <f>C_OP*(1+G_HI)^(A24-COST_DATE)</f>
        <v>619.4892837576692</v>
      </c>
      <c r="E24" s="8">
        <f>E23*(1+C24)</f>
        <v>601.7642915760483</v>
      </c>
      <c r="F24" s="8">
        <f>IF(A24&lt;RULE_START,E24,F23*(1+G_HI))</f>
        <v>627.262360587989</v>
      </c>
      <c r="G24" s="8">
        <f>IF(A24&lt;RULE_START,E24,IF(H24=1,R_NF_2024*(1+G_HI)^(A24-2024),G23*(1+C24)))</f>
        <v>651.2072451628816</v>
      </c>
      <c r="H24">
        <f>IF(AND(A24&gt;=RULE_START,MOD(A24-RULE_START,REBASE_YEARS)=0),1,0)</f>
        <v>0</v>
      </c>
      <c r="I24" s="8">
        <f>E24*CAP_SHARE</f>
        <v>29.42466650559329</v>
      </c>
      <c r="J24" s="8">
        <f>F24*CAP_SHARE</f>
        <v>30.671453973237735</v>
      </c>
      <c r="K24" s="8">
        <f>G24*CAP_SHARE</f>
        <v>31.842294870569546</v>
      </c>
      <c r="L24" s="8">
        <f>E24-I24-D24</f>
        <v>-47.14965868721424</v>
      </c>
      <c r="M24" s="8">
        <f>F24-J24-D24</f>
        <v>-22.89837714291798</v>
      </c>
      <c r="N24" s="8">
        <f>G24-K24-D24</f>
        <v>-0.12433346535715373</v>
      </c>
      <c r="O24" s="8">
        <f>R_NF_2024*(1+G_HI)^(A24-2024)</f>
        <v>660.2780023660071</v>
      </c>
      <c r="P24" s="10">
        <f>1-E24/O24</f>
        <v>0.088619809504911</v>
      </c>
      <c r="Q24" s="10">
        <f>CPI_2023/(IF(A24-1=2023,CPI_2023,IF(A24-1=2024,CPI_2024,IF(A24-1=2025,CPI_2025,CPI_2025*(1+INFL)^(A24-1-2025)))))</f>
        <v>0.8159877625423819</v>
      </c>
      <c r="R24" s="8">
        <f>WAIT_DAYS_Y*ABS(SUPPLY_RESPONSE)*(F24-E24)/E24</f>
        <v>4224.298202019862</v>
      </c>
      <c r="S24" s="8">
        <f>WAIT_DAYS_Y*ABS(SUPPLY_RESPONSE)*(G24-E24)/E24</f>
        <v>8191.27832157024</v>
      </c>
      <c r="T24" s="13">
        <f>(F24-E24)*MCD_NF_DAYS*Q24-R24*MCD_SHARE_FREED*R_WAIT_2023</f>
        <v>9041165.6361057</v>
      </c>
      <c r="U24" s="13">
        <f>(G24-E24)*MCD_NF_DAYS*Q24-S24*MCD_SHARE_FREED*R_WAIT_2023</f>
        <v>17531599.459845666</v>
      </c>
      <c r="V24" s="10">
        <f>IF(AND(A24&gt;=RULE_START,B24=1),1/(1+DISC_RATE)^(A24-RULE_START+1),0)</f>
        <v>0.887971382186192</v>
      </c>
      <c r="W24">
        <f>IF(AND(A24&gt;=RULE_START,B24=1,L24&lt;0),A24,9999)</f>
        <v>2032</v>
      </c>
      <c r="X24">
        <f>IF(AND(A24&gt;=RULE_START,B24=1,M24&lt;0),A24,9999)</f>
        <v>2032</v>
      </c>
      <c r="Y24">
        <f>IF(AND(A24&gt;=RULE_START,B24=1,N24&lt;0),A24,9999)</f>
        <v>2032</v>
      </c>
    </row>
    <row r="25">
      <c r="A25" t="n">
        <v>2033</v>
      </c>
      <c r="B25">
        <f>IF(A25&lt;=RULE_START+HORIZON-1,1,0)</f>
        <v>1</v>
      </c>
      <c r="C25" s="15">
        <f>IF(A25=2024,G_IDX_2024,IF(A25=2025,G_IDX_2025,IF(A25=2026,G_IDX_2026,IF(A25=2027,G_IDX_2027,G_IDX_POST))))</f>
        <v>0.033</v>
      </c>
      <c r="D25" s="8">
        <f>C_OP*(1+G_HI)^(A25-COST_DATE)</f>
        <v>644.3738716027477</v>
      </c>
      <c r="E25" s="8">
        <f>E24*(1+C25)</f>
        <v>621.6225131980578</v>
      </c>
      <c r="F25" s="8">
        <f>IF(A25&lt;RULE_START,E25,F24*(1+G_HI))</f>
        <v>652.4591892066887</v>
      </c>
      <c r="G25" s="8">
        <f>IF(A25&lt;RULE_START,E25,IF(H25=1,R_NF_2024*(1+G_HI)^(A25-2024),G24*(1+C25)))</f>
        <v>686.8010535032033</v>
      </c>
      <c r="H25">
        <f>IF(AND(A25&gt;=RULE_START,MOD(A25-RULE_START,REBASE_YEARS)=0),1,0)</f>
        <v>1</v>
      </c>
      <c r="I25" s="8">
        <f>E25*CAP_SHARE</f>
        <v>30.395680500277866</v>
      </c>
      <c r="J25" s="8">
        <f>F25*CAP_SHARE</f>
        <v>31.903511590285845</v>
      </c>
      <c r="K25" s="8">
        <f>G25*CAP_SHARE</f>
        <v>33.58273702498012</v>
      </c>
      <c r="L25" s="8">
        <f>E25-I25-D25</f>
        <v>-53.14703890496776</v>
      </c>
      <c r="M25" s="8">
        <f>F25-J25-D25</f>
        <v>-23.818193986344795</v>
      </c>
      <c r="N25" s="8">
        <f>G25-K25-D25</f>
        <v>8.84444487547546</v>
      </c>
      <c r="O25" s="8">
        <f>R_NF_2024*(1+G_HI)^(A25-2024)</f>
        <v>686.8010535032033</v>
      </c>
      <c r="P25" s="10">
        <f>1-E25/O25</f>
        <v>0.0949016312259362</v>
      </c>
      <c r="Q25" s="10">
        <f>CPI_2023/(IF(A25-1=2023,CPI_2023,IF(A25-1=2024,CPI_2024,IF(A25-1=2025,CPI_2025,CPI_2025*(1+INFL)^(A25-1-2025)))))</f>
        <v>0.7977979688525441</v>
      </c>
      <c r="R25" s="8">
        <f>WAIT_DAYS_Y*ABS(SUPPLY_RESPONSE)*(F25-E25)/E25</f>
        <v>4945.549037030487</v>
      </c>
      <c r="S25" s="8">
        <f>WAIT_DAYS_Y*ABS(SUPPLY_RESPONSE)*(G25-E25)/E25</f>
        <v>10453.255958941363</v>
      </c>
      <c r="T25" s="13">
        <f>(F25-E25)*MCD_NF_DAYS*Q25-R25*MCD_SHARE_FREED*R_WAIT_2023</f>
        <v>10712827.180457786</v>
      </c>
      <c r="U25" s="13">
        <f>(G25-E25)*MCD_NF_DAYS*Q25-S25*MCD_SHARE_FREED*R_WAIT_2023</f>
        <v>22643375.63387484</v>
      </c>
      <c r="V25" s="10">
        <f>IF(AND(A25&gt;=RULE_START,B25=1),1/(1+DISC_RATE)^(A25-RULE_START+1),0)</f>
        <v>0.8705601786139138</v>
      </c>
      <c r="W25">
        <f>IF(AND(A25&gt;=RULE_START,B25=1,L25&lt;0),A25,9999)</f>
        <v>2033</v>
      </c>
      <c r="X25">
        <f>IF(AND(A25&gt;=RULE_START,B25=1,M25&lt;0),A25,9999)</f>
        <v>2033</v>
      </c>
      <c r="Y25">
        <f>IF(AND(A25&gt;=RULE_START,B25=1,N25&lt;0),A25,9999)</f>
        <v>9999</v>
      </c>
    </row>
    <row r="26">
      <c r="A26" t="n">
        <v>2034</v>
      </c>
      <c r="B26">
        <f>IF(A26&lt;=RULE_START+HORIZON-1,1,0)</f>
        <v>1</v>
      </c>
      <c r="C26" s="15">
        <f>IF(A26=2024,G_IDX_2024,IF(A26=2025,G_IDX_2025,IF(A26=2026,G_IDX_2026,IF(A26=2027,G_IDX_2027,G_IDX_POST))))</f>
        <v>0.033</v>
      </c>
      <c r="D26" s="8">
        <f>C_OP*(1+G_HI)^(A26-COST_DATE)</f>
        <v>670.25806142393</v>
      </c>
      <c r="E26" s="8">
        <f>E25*(1+C26)</f>
        <v>642.1360561335937</v>
      </c>
      <c r="F26" s="8">
        <f>IF(A26&lt;RULE_START,E26,F25*(1+G_HI))</f>
        <v>678.6681623638317</v>
      </c>
      <c r="G26" s="8">
        <f>IF(A26&lt;RULE_START,E26,IF(H26=1,R_NF_2024*(1+G_HI)^(A26-2024),G25*(1+C26)))</f>
        <v>709.4654882688089</v>
      </c>
      <c r="H26">
        <f>IF(AND(A26&gt;=RULE_START,MOD(A26-RULE_START,REBASE_YEARS)=0),1,0)</f>
        <v>0</v>
      </c>
      <c r="I26" s="8">
        <f>E26*CAP_SHARE</f>
        <v>31.39873795678703</v>
      </c>
      <c r="J26" s="8">
        <f>F26*CAP_SHARE</f>
        <v>33.1850603717584</v>
      </c>
      <c r="K26" s="8">
        <f>G26*CAP_SHARE</f>
        <v>34.69096734680446</v>
      </c>
      <c r="L26" s="8">
        <f>E26-I26-D26</f>
        <v>-59.52074324712339</v>
      </c>
      <c r="M26" s="8">
        <f>F26-J26-D26</f>
        <v>-24.7749594318567</v>
      </c>
      <c r="N26" s="8">
        <f>G26-K26-D26</f>
        <v>4.516459498074482</v>
      </c>
      <c r="O26" s="8">
        <f>R_NF_2024*(1+G_HI)^(A26-2024)</f>
        <v>714.3895229022614</v>
      </c>
      <c r="P26" s="10">
        <f>1-E26/O26</f>
        <v>0.10114015456880243</v>
      </c>
      <c r="Q26" s="10">
        <f>CPI_2023/(IF(A26-1=2023,CPI_2023,IF(A26-1=2024,CPI_2024,IF(A26-1=2025,CPI_2025,CPI_2025*(1+INFL)^(A26-1-2025)))))</f>
        <v>0.7800136574624014</v>
      </c>
      <c r="R26" s="8">
        <f>WAIT_DAYS_Y*ABS(SUPPLY_RESPONSE)*(F26-E26)/E26</f>
        <v>5671.805702697739</v>
      </c>
      <c r="S26" s="8">
        <f>WAIT_DAYS_Y*ABS(SUPPLY_RESPONSE)*(G26-E26)/E26</f>
        <v>10453.255958941361</v>
      </c>
      <c r="T26" s="13">
        <f>(F26-E26)*MCD_NF_DAYS*Q26-R26*MCD_SHARE_FREED*R_WAIT_2023</f>
        <v>12434255.832286127</v>
      </c>
      <c r="U26" s="13">
        <f>(G26-E26)*MCD_NF_DAYS*Q26-S26*MCD_SHARE_FREED*R_WAIT_2023</f>
        <v>22916592.296527952</v>
      </c>
      <c r="V26" s="10">
        <f>IF(AND(A26&gt;=RULE_START,B26=1),1/(1+DISC_RATE)^(A26-RULE_START+1),0)</f>
        <v>0.8534903711901114</v>
      </c>
      <c r="W26">
        <f>IF(AND(A26&gt;=RULE_START,B26=1,L26&lt;0),A26,9999)</f>
        <v>2034</v>
      </c>
      <c r="X26">
        <f>IF(AND(A26&gt;=RULE_START,B26=1,M26&lt;0),A26,9999)</f>
        <v>2034</v>
      </c>
      <c r="Y26">
        <f>IF(AND(A26&gt;=RULE_START,B26=1,N26&lt;0),A26,9999)</f>
        <v>9999</v>
      </c>
    </row>
    <row r="27">
      <c r="A27" t="n">
        <v>2035</v>
      </c>
      <c r="B27">
        <f>IF(A27&lt;=RULE_START+HORIZON-1,1,0)</f>
        <v>1</v>
      </c>
      <c r="C27" s="15">
        <f>IF(A27=2024,G_IDX_2024,IF(A27=2025,G_IDX_2025,IF(A27=2026,G_IDX_2026,IF(A27=2027,G_IDX_2027,G_IDX_POST))))</f>
        <v>0.033</v>
      </c>
      <c r="D27" s="8">
        <f>C_OP*(1+G_HI)^(A27-COST_DATE)</f>
        <v>697.182006753871</v>
      </c>
      <c r="E27" s="8">
        <f>E26*(1+C27)</f>
        <v>663.3265459860022</v>
      </c>
      <c r="F27" s="8">
        <f>IF(A27&lt;RULE_START,E27,F26*(1+G_HI))</f>
        <v>705.9299374207947</v>
      </c>
      <c r="G27" s="8">
        <f>IF(A27&lt;RULE_START,E27,IF(H27=1,R_NF_2024*(1+G_HI)^(A27-2024),G26*(1+C27)))</f>
        <v>732.8778493816795</v>
      </c>
      <c r="H27">
        <f>IF(AND(A27&gt;=RULE_START,MOD(A27-RULE_START,REBASE_YEARS)=0),1,0)</f>
        <v>0</v>
      </c>
      <c r="I27" s="8">
        <f>E27*CAP_SHARE</f>
        <v>32.434896309361</v>
      </c>
      <c r="J27" s="8">
        <f>F27*CAP_SHARE</f>
        <v>34.5180883540282</v>
      </c>
      <c r="K27" s="8">
        <f>G27*CAP_SHARE</f>
        <v>35.835769269249006</v>
      </c>
      <c r="L27" s="8">
        <f>E27-I27-D27</f>
        <v>-66.29035707722971</v>
      </c>
      <c r="M27" s="8">
        <f>F27-J27-D27</f>
        <v>-25.77015768710453</v>
      </c>
      <c r="N27" s="8">
        <f>G27-K27-D27</f>
        <v>-0.139926641440411</v>
      </c>
      <c r="O27" s="8">
        <f>R_NF_2024*(1+G_HI)^(A27-2024)</f>
        <v>743.086207904514</v>
      </c>
      <c r="P27" s="10">
        <f>1-E27/O27</f>
        <v>0.1073356779739355</v>
      </c>
      <c r="Q27" s="10">
        <f>CPI_2023/(IF(A27-1=2023,CPI_2023,IF(A27-1=2024,CPI_2024,IF(A27-1=2025,CPI_2025,CPI_2025*(1+INFL)^(A27-1-2025)))))</f>
        <v>0.7626257894626529</v>
      </c>
      <c r="R27" s="8">
        <f>WAIT_DAYS_Y*ABS(SUPPLY_RESPONSE)*(F27-E27)/E27</f>
        <v>6403.102941914586</v>
      </c>
      <c r="S27" s="8">
        <f>WAIT_DAYS_Y*ABS(SUPPLY_RESPONSE)*(G27-E27)/E27</f>
        <v>10453.25595894136</v>
      </c>
      <c r="T27" s="13">
        <f>(F27-E27)*MCD_NF_DAYS*Q27-R27*MCD_SHARE_FREED*R_WAIT_2023</f>
        <v>14206499.965581264</v>
      </c>
      <c r="U27" s="13">
        <f>(G27-E27)*MCD_NF_DAYS*Q27-S27*MCD_SHARE_FREED*R_WAIT_2023</f>
        <v>23192533.646274388</v>
      </c>
      <c r="V27" s="10">
        <f>IF(AND(A27&gt;=RULE_START,B27=1),1/(1+DISC_RATE)^(A27-RULE_START+1),0)</f>
        <v>0.8367552658726582</v>
      </c>
      <c r="W27">
        <f>IF(AND(A27&gt;=RULE_START,B27=1,L27&lt;0),A27,9999)</f>
        <v>2035</v>
      </c>
      <c r="X27">
        <f>IF(AND(A27&gt;=RULE_START,B27=1,M27&lt;0),A27,9999)</f>
        <v>2035</v>
      </c>
      <c r="Y27">
        <f>IF(AND(A27&gt;=RULE_START,B27=1,N27&lt;0),A27,9999)</f>
        <v>2035</v>
      </c>
    </row>
    <row r="28">
      <c r="A28" t="n">
        <v>2036</v>
      </c>
      <c r="B28">
        <f>IF(A28&lt;=RULE_START+HORIZON-1,1,0)</f>
        <v>1</v>
      </c>
      <c r="C28" s="15">
        <f>IF(A28=2024,G_IDX_2024,IF(A28=2025,G_IDX_2025,IF(A28=2026,G_IDX_2026,IF(A28=2027,G_IDX_2027,G_IDX_POST))))</f>
        <v>0.033</v>
      </c>
      <c r="D28" s="8">
        <f>C_OP*(1+G_HI)^(A28-COST_DATE)</f>
        <v>725.1874740734014</v>
      </c>
      <c r="E28" s="8">
        <f>E27*(1+C28)</f>
        <v>685.2163220035402</v>
      </c>
      <c r="F28" s="8">
        <f>IF(A28&lt;RULE_START,E28,F27*(1+G_HI))</f>
        <v>734.2868049256896</v>
      </c>
      <c r="G28" s="8">
        <f>IF(A28&lt;RULE_START,E28,IF(H28=1,R_NF_2024*(1+G_HI)^(A28-2024),G27*(1+C28)))</f>
        <v>772.9356249999993</v>
      </c>
      <c r="H28">
        <f>IF(AND(A28&gt;=RULE_START,MOD(A28-RULE_START,REBASE_YEARS)=0),1,0)</f>
        <v>1</v>
      </c>
      <c r="I28" s="8">
        <f>E28*CAP_SHARE</f>
        <v>33.50524788756991</v>
      </c>
      <c r="J28" s="8">
        <f>F28*CAP_SHARE</f>
        <v>35.90466343193706</v>
      </c>
      <c r="K28" s="8">
        <f>G28*CAP_SHARE</f>
        <v>37.79448749999997</v>
      </c>
      <c r="L28" s="8">
        <f>E28-I28-D28</f>
        <v>-73.47639995743111</v>
      </c>
      <c r="M28" s="8">
        <f>F28-J28-D28</f>
        <v>-26.805332579648848</v>
      </c>
      <c r="N28" s="8">
        <f>G28-K28-D28</f>
        <v>9.953663426597927</v>
      </c>
      <c r="O28" s="8">
        <f>R_NF_2024*(1+G_HI)^(A28-2024)</f>
        <v>772.9356249999993</v>
      </c>
      <c r="P28" s="10">
        <f>1-E28/O28</f>
        <v>0.11348849782471748</v>
      </c>
      <c r="Q28" s="10">
        <f>CPI_2023/(IF(A28-1=2023,CPI_2023,IF(A28-1=2024,CPI_2024,IF(A28-1=2025,CPI_2025,CPI_2025*(1+INFL)^(A28-1-2025)))))</f>
        <v>0.7456255274370873</v>
      </c>
      <c r="R28" s="8">
        <f>WAIT_DAYS_Y*ABS(SUPPLY_RESPONSE)*(F28-E28)/E28</f>
        <v>7139.475738706537</v>
      </c>
      <c r="S28" s="8">
        <f>WAIT_DAYS_Y*ABS(SUPPLY_RESPONSE)*(G28-E28)/E28</f>
        <v>12762.658899303035</v>
      </c>
      <c r="T28" s="13">
        <f>(F28-E28)*MCD_NF_DAYS*Q28-R28*MCD_SHARE_FREED*R_WAIT_2023</f>
        <v>16030627.715418275</v>
      </c>
      <c r="U28" s="13">
        <f>(G28-E28)*MCD_NF_DAYS*Q28-S28*MCD_SHARE_FREED*R_WAIT_2023</f>
        <v>28656646.644850586</v>
      </c>
      <c r="V28" s="10">
        <f>IF(AND(A28&gt;=RULE_START,B28=1),1/(1+DISC_RATE)^(A28-RULE_START+1),0)</f>
        <v>0.8203482998751551</v>
      </c>
      <c r="W28">
        <f>IF(AND(A28&gt;=RULE_START,B28=1,L28&lt;0),A28,9999)</f>
        <v>2036</v>
      </c>
      <c r="X28">
        <f>IF(AND(A28&gt;=RULE_START,B28=1,M28&lt;0),A28,9999)</f>
        <v>2036</v>
      </c>
      <c r="Y28">
        <f>IF(AND(A28&gt;=RULE_START,B28=1,N28&lt;0),A28,9999)</f>
        <v>9999</v>
      </c>
    </row>
    <row r="29">
      <c r="A29" t="n">
        <v>2037</v>
      </c>
      <c r="B29">
        <f>IF(A29&lt;=RULE_START+HORIZON-1,1,0)</f>
        <v>1</v>
      </c>
      <c r="C29" s="15">
        <f>IF(A29=2024,G_IDX_2024,IF(A29=2025,G_IDX_2025,IF(A29=2026,G_IDX_2026,IF(A29=2027,G_IDX_2027,G_IDX_POST))))</f>
        <v>0.033</v>
      </c>
      <c r="D29" s="8">
        <f>C_OP*(1+G_HI)^(A29-COST_DATE)</f>
        <v>754.3179076028848</v>
      </c>
      <c r="E29" s="8">
        <f>E28*(1+C29)</f>
        <v>707.828460629657</v>
      </c>
      <c r="F29" s="8">
        <f>IF(A29&lt;RULE_START,E29,F28*(1+G_HI))</f>
        <v>763.7827542176923</v>
      </c>
      <c r="G29" s="8">
        <f>IF(A29&lt;RULE_START,E29,IF(H29=1,R_NF_2024*(1+G_HI)^(A29-2024),G28*(1+C29)))</f>
        <v>798.4425006249992</v>
      </c>
      <c r="H29">
        <f>IF(AND(A29&gt;=RULE_START,MOD(A29-RULE_START,REBASE_YEARS)=0),1,0)</f>
        <v>0</v>
      </c>
      <c r="I29" s="8">
        <f>E29*CAP_SHARE</f>
        <v>34.610921067859714</v>
      </c>
      <c r="J29" s="8">
        <f>F29*CAP_SHARE</f>
        <v>37.34693656667222</v>
      </c>
      <c r="K29" s="8">
        <f>G29*CAP_SHARE</f>
        <v>39.04170558749996</v>
      </c>
      <c r="L29" s="8">
        <f>E29-I29-D29</f>
        <v>-81.10036804108756</v>
      </c>
      <c r="M29" s="8">
        <f>F29-J29-D29</f>
        <v>-27.882089951864714</v>
      </c>
      <c r="N29" s="8">
        <f>G29-K29-D29</f>
        <v>5.082887434614349</v>
      </c>
      <c r="O29" s="8">
        <f>R_NF_2024*(1+G_HI)^(A29-2024)</f>
        <v>803.9840788848401</v>
      </c>
      <c r="P29" s="10">
        <f>1-E29/O29</f>
        <v>0.11959890846166377</v>
      </c>
      <c r="Q29" s="10">
        <f>CPI_2023/(IF(A29-1=2023,CPI_2023,IF(A29-1=2024,CPI_2024,IF(A29-1=2025,CPI_2025,CPI_2025*(1+INFL)^(A29-1-2025)))))</f>
        <v>0.7290042309709498</v>
      </c>
      <c r="R29" s="8">
        <f>WAIT_DAYS_Y*ABS(SUPPLY_RESPONSE)*(F29-E29)/E29</f>
        <v>7880.9593199051815</v>
      </c>
      <c r="S29" s="8">
        <f>WAIT_DAYS_Y*ABS(SUPPLY_RESPONSE)*(G29-E29)/E29</f>
        <v>12762.658899303027</v>
      </c>
      <c r="T29" s="13">
        <f>(F29-E29)*MCD_NF_DAYS*Q29-R29*MCD_SHARE_FREED*R_WAIT_2023</f>
        <v>17907727.332583763</v>
      </c>
      <c r="U29" s="13">
        <f>(G29-E29)*MCD_NF_DAYS*Q29-S29*MCD_SHARE_FREED*R_WAIT_2023</f>
        <v>29000303.938917175</v>
      </c>
      <c r="V29" s="10">
        <f>IF(AND(A29&gt;=RULE_START,B29=1),1/(1+DISC_RATE)^(A29-RULE_START+1),0)</f>
        <v>0.8042630390932893</v>
      </c>
      <c r="W29">
        <f>IF(AND(A29&gt;=RULE_START,B29=1,L29&lt;0),A29,9999)</f>
        <v>2037</v>
      </c>
      <c r="X29">
        <f>IF(AND(A29&gt;=RULE_START,B29=1,M29&lt;0),A29,9999)</f>
        <v>2037</v>
      </c>
      <c r="Y29">
        <f>IF(AND(A29&gt;=RULE_START,B29=1,N29&lt;0),A29,9999)</f>
        <v>9999</v>
      </c>
    </row>
    <row r="30">
      <c r="A30" t="n">
        <v>2038</v>
      </c>
      <c r="B30">
        <f>IF(A30&lt;=RULE_START+HORIZON-1,1,0)</f>
        <v>1</v>
      </c>
      <c r="C30" s="15">
        <f>IF(A30=2024,G_IDX_2024,IF(A30=2025,G_IDX_2025,IF(A30=2026,G_IDX_2026,IF(A30=2027,G_IDX_2027,G_IDX_POST))))</f>
        <v>0.033</v>
      </c>
      <c r="D30" s="8">
        <f>C_OP*(1+G_HI)^(A30-COST_DATE)</f>
        <v>784.6184966962103</v>
      </c>
      <c r="E30" s="8">
        <f>E29*(1+C30)</f>
        <v>731.1867998304356</v>
      </c>
      <c r="F30" s="8">
        <f>IF(A30&lt;RULE_START,E30,F29*(1+G_HI))</f>
        <v>794.4635416666661</v>
      </c>
      <c r="G30" s="8">
        <f>IF(A30&lt;RULE_START,E30,IF(H30=1,R_NF_2024*(1+G_HI)^(A30-2024),G29*(1+C30)))</f>
        <v>824.7911031456241</v>
      </c>
      <c r="H30">
        <f>IF(AND(A30&gt;=RULE_START,MOD(A30-RULE_START,REBASE_YEARS)=0),1,0)</f>
        <v>0</v>
      </c>
      <c r="I30" s="8">
        <f>E30*CAP_SHARE</f>
        <v>35.75308146309908</v>
      </c>
      <c r="J30" s="8">
        <f>F30*CAP_SHARE</f>
        <v>38.847145122501686</v>
      </c>
      <c r="K30" s="8">
        <f>G30*CAP_SHARE</f>
        <v>40.33008187188746</v>
      </c>
      <c r="L30" s="8">
        <f>E30-I30-D30</f>
        <v>-89.18477832887379</v>
      </c>
      <c r="M30" s="8">
        <f>F30-J30-D30</f>
        <v>-29.002100152045955</v>
      </c>
      <c r="N30" s="8">
        <f>G30-K30-D30</f>
        <v>-0.15747542247368074</v>
      </c>
      <c r="O30" s="8">
        <f>R_NF_2024*(1+G_HI)^(A30-2024)</f>
        <v>836.2797342926267</v>
      </c>
      <c r="P30" s="10">
        <f>1-E30/O30</f>
        <v>0.12566720219650518</v>
      </c>
      <c r="Q30" s="10">
        <f>CPI_2023/(IF(A30-1=2023,CPI_2023,IF(A30-1=2024,CPI_2024,IF(A30-1=2025,CPI_2025,CPI_2025*(1+INFL)^(A30-1-2025)))))</f>
        <v>0.7127534522594348</v>
      </c>
      <c r="R30" s="8">
        <f>WAIT_DAYS_Y*ABS(SUPPLY_RESPONSE)*(F30-E30)/E30</f>
        <v>8627.589156833426</v>
      </c>
      <c r="S30" s="8">
        <f>WAIT_DAYS_Y*ABS(SUPPLY_RESPONSE)*(G30-E30)/E30</f>
        <v>12762.658899303036</v>
      </c>
      <c r="T30" s="13">
        <f>(F30-E30)*MCD_NF_DAYS*Q30-R30*MCD_SHARE_FREED*R_WAIT_2023</f>
        <v>19838907.544412013</v>
      </c>
      <c r="U30" s="13">
        <f>(G30-E30)*MCD_NF_DAYS*Q30-S30*MCD_SHARE_FREED*R_WAIT_2023</f>
        <v>29347388.398020435</v>
      </c>
      <c r="V30" s="10">
        <f>IF(AND(A30&gt;=RULE_START,B30=1),1/(1+DISC_RATE)^(A30-RULE_START+1),0)</f>
        <v>0.7884931755816562</v>
      </c>
      <c r="W30">
        <f>IF(AND(A30&gt;=RULE_START,B30=1,L30&lt;0),A30,9999)</f>
        <v>2038</v>
      </c>
      <c r="X30">
        <f>IF(AND(A30&gt;=RULE_START,B30=1,M30&lt;0),A30,9999)</f>
        <v>2038</v>
      </c>
      <c r="Y30">
        <f>IF(AND(A30&gt;=RULE_START,B30=1,N30&lt;0),A30,9999)</f>
        <v>2038</v>
      </c>
    </row>
    <row r="31">
      <c r="A31" t="n">
        <v>2039</v>
      </c>
      <c r="B31">
        <f>IF(A31&lt;=RULE_START+HORIZON-1,1,0)</f>
        <v>1</v>
      </c>
      <c r="C31" s="15">
        <f>IF(A31=2024,G_IDX_2024,IF(A31=2025,G_IDX_2025,IF(A31=2026,G_IDX_2026,IF(A31=2027,G_IDX_2027,G_IDX_POST))))</f>
        <v>0.033</v>
      </c>
      <c r="D31" s="8">
        <f>C_OP*(1+G_HI)^(A31-COST_DATE)</f>
        <v>816.1362459419712</v>
      </c>
      <c r="E31" s="8">
        <f>E30*(1+C31)</f>
        <v>755.31596422484</v>
      </c>
      <c r="F31" s="8">
        <f>IF(A31&lt;RULE_START,E31,F30*(1+G_HI))</f>
        <v>826.3767616539384</v>
      </c>
      <c r="G31" s="8">
        <f>IF(A31&lt;RULE_START,E31,IF(H31=1,R_NF_2024*(1+G_HI)^(A31-2024),G30*(1+C31)))</f>
        <v>869.8726907112308</v>
      </c>
      <c r="H31">
        <f>IF(AND(A31&gt;=RULE_START,MOD(A31-RULE_START,REBASE_YEARS)=0),1,0)</f>
        <v>1</v>
      </c>
      <c r="I31" s="8">
        <f>E31*CAP_SHARE</f>
        <v>36.93293315138135</v>
      </c>
      <c r="J31" s="8">
        <f>F31*CAP_SHARE</f>
        <v>40.40761633754461</v>
      </c>
      <c r="K31" s="8">
        <f>G31*CAP_SHARE</f>
        <v>42.534451087924666</v>
      </c>
      <c r="L31" s="8">
        <f>E31-I31-D31</f>
        <v>-97.7532148685126</v>
      </c>
      <c r="M31" s="8">
        <f>F31-J31-D31</f>
        <v>-30.167100625577405</v>
      </c>
      <c r="N31" s="8">
        <f>G31-K31-D31</f>
        <v>11.201993681334898</v>
      </c>
      <c r="O31" s="8">
        <f>R_NF_2024*(1+G_HI)^(A31-2024)</f>
        <v>869.8726907112308</v>
      </c>
      <c r="P31" s="10">
        <f>1-E31/O31</f>
        <v>0.13169366932617033</v>
      </c>
      <c r="Q31" s="10">
        <f>CPI_2023/(IF(A31-1=2023,CPI_2023,IF(A31-1=2024,CPI_2024,IF(A31-1=2025,CPI_2025,CPI_2025*(1+INFL)^(A31-1-2025)))))</f>
        <v>0.6968649318140737</v>
      </c>
      <c r="R31" s="8">
        <f>WAIT_DAYS_Y*ABS(SUPPLY_RESPONSE)*(F31-E31)/E31</f>
        <v>9379.40096700236</v>
      </c>
      <c r="S31" s="8">
        <f>WAIT_DAYS_Y*ABS(SUPPLY_RESPONSE)*(G31-E31)/E31</f>
        <v>15120.481475811543</v>
      </c>
      <c r="T31" s="13">
        <f>(F31-E31)*MCD_NF_DAYS*Q31-R31*MCD_SHARE_FREED*R_WAIT_2023</f>
        <v>21825297.92193713</v>
      </c>
      <c r="U31" s="13">
        <f>(G31-E31)*MCD_NF_DAYS*Q31-S31*MCD_SHARE_FREED*R_WAIT_2023</f>
        <v>35184444.51769596</v>
      </c>
      <c r="V31" s="10">
        <f>IF(AND(A31&gt;=RULE_START,B31=1),1/(1+DISC_RATE)^(A31-RULE_START+1),0)</f>
        <v>0.773032525080055</v>
      </c>
      <c r="W31">
        <f>IF(AND(A31&gt;=RULE_START,B31=1,L31&lt;0),A31,9999)</f>
        <v>2039</v>
      </c>
      <c r="X31">
        <f>IF(AND(A31&gt;=RULE_START,B31=1,M31&lt;0),A31,9999)</f>
        <v>2039</v>
      </c>
      <c r="Y31">
        <f>IF(AND(A31&gt;=RULE_START,B31=1,N31&lt;0),A31,9999)</f>
        <v>9999</v>
      </c>
    </row>
    <row r="32">
      <c r="A32" t="n">
        <v>2040</v>
      </c>
      <c r="B32">
        <f>IF(A32&lt;=RULE_START+HORIZON-1,1,0)</f>
        <v>1</v>
      </c>
      <c r="C32" s="15">
        <f>IF(A32=2024,G_IDX_2024,IF(A32=2025,G_IDX_2025,IF(A32=2026,G_IDX_2026,IF(A32=2027,G_IDX_2027,G_IDX_POST))))</f>
        <v>0.033</v>
      </c>
      <c r="D32" s="8">
        <f>C_OP*(1+G_HI)^(A32-COST_DATE)</f>
        <v>848.9200480805729</v>
      </c>
      <c r="E32" s="8">
        <f>E31*(1+C32)</f>
        <v>780.2413910442596</v>
      </c>
      <c r="F32" s="8">
        <f>IF(A32&lt;RULE_START,E32,F31*(1+G_HI))</f>
        <v>859.5719204043406</v>
      </c>
      <c r="G32" s="8">
        <f>IF(A32&lt;RULE_START,E32,IF(H32=1,R_NF_2024*(1+G_HI)^(A32-2024),G31*(1+C32)))</f>
        <v>898.5784895047013</v>
      </c>
      <c r="H32">
        <f>IF(AND(A32&gt;=RULE_START,MOD(A32-RULE_START,REBASE_YEARS)=0),1,0)</f>
        <v>0</v>
      </c>
      <c r="I32" s="8">
        <f>E32*CAP_SHARE</f>
        <v>38.151719945376925</v>
      </c>
      <c r="J32" s="8">
        <f>F32*CAP_SHARE</f>
        <v>42.03077093396083</v>
      </c>
      <c r="K32" s="8">
        <f>G32*CAP_SHARE</f>
        <v>43.93808797382618</v>
      </c>
      <c r="L32" s="8">
        <f>E32-I32-D32</f>
        <v>-106.83037698169028</v>
      </c>
      <c r="M32" s="8">
        <f>F32-J32-D32</f>
        <v>-31.37889861019312</v>
      </c>
      <c r="N32" s="8">
        <f>G32-K32-D32</f>
        <v>5.720353450302241</v>
      </c>
      <c r="O32" s="8">
        <f>R_NF_2024*(1+G_HI)^(A32-2024)</f>
        <v>904.8150601009586</v>
      </c>
      <c r="P32" s="10">
        <f>1-E32/O32</f>
        <v>0.1376785981466745</v>
      </c>
      <c r="Q32" s="10">
        <f>CPI_2023/(IF(A32-1=2023,CPI_2023,IF(A32-1=2024,CPI_2024,IF(A32-1=2025,CPI_2025,CPI_2025*(1+INFL)^(A32-1-2025)))))</f>
        <v>0.6813305942648357</v>
      </c>
      <c r="R32" s="8">
        <f>WAIT_DAYS_Y*ABS(SUPPLY_RESPONSE)*(F32-E32)/E32</f>
        <v>10136.430715819934</v>
      </c>
      <c r="S32" s="8">
        <f>WAIT_DAYS_Y*ABS(SUPPLY_RESPONSE)*(G32-E32)/E32</f>
        <v>15120.481475811544</v>
      </c>
      <c r="T32" s="13">
        <f>(F32-E32)*MCD_NF_DAYS*Q32-R32*MCD_SHARE_FREED*R_WAIT_2023</f>
        <v>23868049.2534706</v>
      </c>
      <c r="U32" s="13">
        <f>(G32-E32)*MCD_NF_DAYS*Q32-S32*MCD_SHARE_FREED*R_WAIT_2023</f>
        <v>35603893.19660702</v>
      </c>
      <c r="V32" s="10">
        <f>IF(AND(A32&gt;=RULE_START,B32=1),1/(1+DISC_RATE)^(A32-RULE_START+1),0)</f>
        <v>0.7578750245882894</v>
      </c>
      <c r="W32">
        <f>IF(AND(A32&gt;=RULE_START,B32=1,L32&lt;0),A32,9999)</f>
        <v>2040</v>
      </c>
      <c r="X32">
        <f>IF(AND(A32&gt;=RULE_START,B32=1,M32&lt;0),A32,9999)</f>
        <v>2040</v>
      </c>
      <c r="Y32">
        <f>IF(AND(A32&gt;=RULE_START,B32=1,N32&lt;0),A32,9999)</f>
        <v>9999</v>
      </c>
    </row>
    <row r="33">
      <c r="A33" t="n">
        <v>2041</v>
      </c>
      <c r="B33">
        <f>IF(A33&lt;=RULE_START+HORIZON-1,1,0)</f>
        <v>1</v>
      </c>
      <c r="C33" s="15">
        <f>IF(A33=2024,G_IDX_2024,IF(A33=2025,G_IDX_2025,IF(A33=2026,G_IDX_2026,IF(A33=2027,G_IDX_2027,G_IDX_POST))))</f>
        <v>0.033</v>
      </c>
      <c r="D33" s="8">
        <f>C_OP*(1+G_HI)^(A33-COST_DATE)</f>
        <v>883.0207598503874</v>
      </c>
      <c r="E33" s="8">
        <f>E32*(1+C33)</f>
        <v>805.9893569487201</v>
      </c>
      <c r="F33" s="8">
        <f>IF(A33&lt;RULE_START,E33,F32*(1+G_HI))</f>
        <v>894.1005127840466</v>
      </c>
      <c r="G33" s="8">
        <f>IF(A33&lt;RULE_START,E33,IF(H33=1,R_NF_2024*(1+G_HI)^(A33-2024),G32*(1+C33)))</f>
        <v>928.2315796583564</v>
      </c>
      <c r="H33">
        <f>IF(AND(A33&gt;=RULE_START,MOD(A33-RULE_START,REBASE_YEARS)=0),1,0)</f>
        <v>0</v>
      </c>
      <c r="I33" s="8">
        <f>E33*CAP_SHARE</f>
        <v>39.41072670357437</v>
      </c>
      <c r="J33" s="8">
        <f>F33*CAP_SHARE</f>
        <v>43.71912687316003</v>
      </c>
      <c r="K33" s="8">
        <f>G33*CAP_SHARE</f>
        <v>45.38804487696243</v>
      </c>
      <c r="L33" s="8">
        <f>E33-I33-D33</f>
        <v>-116.44212960524169</v>
      </c>
      <c r="M33" s="8">
        <f>F33-J33-D33</f>
        <v>-32.63937393950084</v>
      </c>
      <c r="N33" s="8">
        <f>G33-K33-D33</f>
        <v>-0.17722506899349355</v>
      </c>
      <c r="O33" s="8">
        <f>R_NF_2024*(1+G_HI)^(A33-2024)</f>
        <v>941.161047734604</v>
      </c>
      <c r="P33" s="10">
        <f>1-E33/O33</f>
        <v>0.1436222749669095</v>
      </c>
      <c r="Q33" s="10">
        <f>CPI_2023/(IF(A33-1=2023,CPI_2023,IF(A33-1=2024,CPI_2024,IF(A33-1=2025,CPI_2025,CPI_2025*(1+INFL)^(A33-1-2025)))))</f>
        <v>0.6661425442558033</v>
      </c>
      <c r="R33" s="8">
        <f>WAIT_DAYS_Y*ABS(SUPPLY_RESPONSE)*(F33-E33)/E33</f>
        <v>10898.714618311456</v>
      </c>
      <c r="S33" s="8">
        <f>WAIT_DAYS_Y*ABS(SUPPLY_RESPONSE)*(G33-E33)/E33</f>
        <v>15120.481475811535</v>
      </c>
      <c r="T33" s="13">
        <f>(F33-E33)*MCD_NF_DAYS*Q33-R33*MCD_SHARE_FREED*R_WAIT_2023</f>
        <v>25968333.92471503</v>
      </c>
      <c r="U33" s="13">
        <f>(G33-E33)*MCD_NF_DAYS*Q33-S33*MCD_SHARE_FREED*R_WAIT_2023</f>
        <v>36027524.87955098</v>
      </c>
      <c r="V33" s="10">
        <f>IF(AND(A33&gt;=RULE_START,B33=1),1/(1+DISC_RATE)^(A33-RULE_START+1),0)</f>
        <v>0.7430147299885189</v>
      </c>
      <c r="W33">
        <f>IF(AND(A33&gt;=RULE_START,B33=1,L33&lt;0),A33,9999)</f>
        <v>2041</v>
      </c>
      <c r="X33">
        <f>IF(AND(A33&gt;=RULE_START,B33=1,M33&lt;0),A33,9999)</f>
        <v>2041</v>
      </c>
      <c r="Y33">
        <f>IF(AND(A33&gt;=RULE_START,B33=1,N33&lt;0),A33,9999)</f>
        <v>2041</v>
      </c>
    </row>
    <row r="34">
      <c r="A34" t="n">
        <v>2042</v>
      </c>
      <c r="B34">
        <f>IF(A34&lt;=RULE_START+HORIZON-1,1,0)</f>
        <v>1</v>
      </c>
      <c r="C34" s="15">
        <f>IF(A34=2024,G_IDX_2024,IF(A34=2025,G_IDX_2025,IF(A34=2026,G_IDX_2026,IF(A34=2027,G_IDX_2027,G_IDX_POST))))</f>
        <v>0.033</v>
      </c>
      <c r="D34" s="8">
        <f>C_OP*(1+G_HI)^(A34-COST_DATE)</f>
        <v>918.4912808806114</v>
      </c>
      <c r="E34" s="8">
        <f>E33*(1+C34)</f>
        <v>832.5870057280279</v>
      </c>
      <c r="F34" s="8">
        <f>IF(A34&lt;RULE_START,E34,F33*(1+G_HI))</f>
        <v>930.0161021833424</v>
      </c>
      <c r="G34" s="8">
        <f>IF(A34&lt;RULE_START,E34,IF(H34=1,R_NF_2024*(1+G_HI)^(A34-2024),G33*(1+C34)))</f>
        <v>978.9670362848101</v>
      </c>
      <c r="H34">
        <f>IF(AND(A34&gt;=RULE_START,MOD(A34-RULE_START,REBASE_YEARS)=0),1,0)</f>
        <v>1</v>
      </c>
      <c r="I34" s="8">
        <f>E34*CAP_SHARE</f>
        <v>40.71128068479232</v>
      </c>
      <c r="J34" s="8">
        <f>F34*CAP_SHARE</f>
        <v>45.47530326185581</v>
      </c>
      <c r="K34" s="8">
        <f>G34*CAP_SHARE</f>
        <v>47.868873188214486</v>
      </c>
      <c r="L34" s="8">
        <f>E34-I34-D34</f>
        <v>-126.61555583737584</v>
      </c>
      <c r="M34" s="8">
        <f>F34-J34-D34</f>
        <v>-33.950481959124886</v>
      </c>
      <c r="N34" s="8">
        <f>G34-K34-D34</f>
        <v>12.606882215984228</v>
      </c>
      <c r="O34" s="8">
        <f>R_NF_2024*(1+G_HI)^(A34-2024)</f>
        <v>978.9670362848101</v>
      </c>
      <c r="P34" s="10">
        <f>1-E34/O34</f>
        <v>0.14952498412234183</v>
      </c>
      <c r="Q34" s="10">
        <f>CPI_2023/(IF(A34-1=2023,CPI_2023,IF(A34-1=2024,CPI_2024,IF(A34-1=2025,CPI_2025,CPI_2025*(1+INFL)^(A34-1-2025)))))</f>
        <v>0.651293062432346</v>
      </c>
      <c r="R34" s="8">
        <f>WAIT_DAYS_Y*ABS(SUPPLY_RESPONSE)*(F34-E34)/E34</f>
        <v>11666.289140852099</v>
      </c>
      <c r="S34" s="8">
        <f>WAIT_DAYS_Y*ABS(SUPPLY_RESPONSE)*(G34-E34)/E34</f>
        <v>17527.738869111065</v>
      </c>
      <c r="T34" s="13">
        <f>(F34-E34)*MCD_NF_DAYS*Q34-R34*MCD_SHARE_FREED*R_WAIT_2023</f>
        <v>28127346.305527285</v>
      </c>
      <c r="U34" s="13">
        <f>(G34-E34)*MCD_NF_DAYS*Q34-S34*MCD_SHARE_FREED*R_WAIT_2023</f>
        <v>42259263.00745955</v>
      </c>
      <c r="V34" s="10">
        <f>IF(AND(A34&gt;=RULE_START,B34=1),1/(1+DISC_RATE)^(A34-RULE_START+1),0)</f>
        <v>0.7284458137142342</v>
      </c>
      <c r="W34">
        <f>IF(AND(A34&gt;=RULE_START,B34=1,L34&lt;0),A34,9999)</f>
        <v>2042</v>
      </c>
      <c r="X34">
        <f>IF(AND(A34&gt;=RULE_START,B34=1,M34&lt;0),A34,9999)</f>
        <v>2042</v>
      </c>
      <c r="Y34">
        <f>IF(AND(A34&gt;=RULE_START,B34=1,N34&lt;0),A34,9999)</f>
        <v>9999</v>
      </c>
    </row>
    <row r="35">
      <c r="A35" t="n">
        <v>2043</v>
      </c>
      <c r="B35">
        <f>IF(A35&lt;=RULE_START+HORIZON-1,1,0)</f>
        <v>1</v>
      </c>
      <c r="C35" s="15">
        <f>IF(A35=2024,G_IDX_2024,IF(A35=2025,G_IDX_2025,IF(A35=2026,G_IDX_2026,IF(A35=2027,G_IDX_2027,G_IDX_POST))))</f>
        <v>0.033</v>
      </c>
      <c r="D35" s="8">
        <f>C_OP*(1+G_HI)^(A35-COST_DATE)</f>
        <v>955.3866357532116</v>
      </c>
      <c r="E35" s="8">
        <f>E34*(1+C35)</f>
        <v>860.0623769170527</v>
      </c>
      <c r="F35" s="8">
        <f>IF(A35&lt;RULE_START,E35,F34*(1+G_HI))</f>
        <v>967.3744036082494</v>
      </c>
      <c r="G35" s="8">
        <f>IF(A35&lt;RULE_START,E35,IF(H35=1,R_NF_2024*(1+G_HI)^(A35-2024),G34*(1+C35)))</f>
        <v>1011.2729484822088</v>
      </c>
      <c r="H35">
        <f>IF(AND(A35&gt;=RULE_START,MOD(A35-RULE_START,REBASE_YEARS)=0),1,0)</f>
        <v>0</v>
      </c>
      <c r="I35" s="8">
        <f>E35*CAP_SHARE</f>
        <v>42.05475294739046</v>
      </c>
      <c r="J35" s="8">
        <f>F35*CAP_SHARE</f>
        <v>47.302024415024135</v>
      </c>
      <c r="K35" s="8">
        <f>G35*CAP_SHARE</f>
        <v>49.44854600342556</v>
      </c>
      <c r="L35" s="8">
        <f>E35-I35-D35</f>
        <v>-137.37901178354946</v>
      </c>
      <c r="M35" s="8">
        <f>F35-J35-D35</f>
        <v>-35.31425655998635</v>
      </c>
      <c r="N35" s="8">
        <f>G35-K35-D35</f>
        <v>6.437766725571578</v>
      </c>
      <c r="O35" s="8">
        <f>R_NF_2024*(1+G_HI)^(A35-2024)</f>
        <v>1018.2916732891767</v>
      </c>
      <c r="P35" s="10">
        <f>1-E35/O35</f>
        <v>0.1553870079886136</v>
      </c>
      <c r="Q35" s="10">
        <f>CPI_2023/(IF(A35-1=2023,CPI_2023,IF(A35-1=2024,CPI_2024,IF(A35-1=2025,CPI_2025,CPI_2025*(1+INFL)^(A35-1-2025)))))</f>
        <v>0.6367746015177415</v>
      </c>
      <c r="R35" s="8">
        <f>WAIT_DAYS_Y*ABS(SUPPLY_RESPONSE)*(F35-E35)/E35</f>
        <v>12439.191002911357</v>
      </c>
      <c r="S35" s="8">
        <f>WAIT_DAYS_Y*ABS(SUPPLY_RESPONSE)*(G35-E35)/E35</f>
        <v>17527.738869111072</v>
      </c>
      <c r="T35" s="13">
        <f>(F35-E35)*MCD_NF_DAYS*Q35-R35*MCD_SHARE_FREED*R_WAIT_2023</f>
        <v>30346303.143445395</v>
      </c>
      <c r="U35" s="13">
        <f>(G35-E35)*MCD_NF_DAYS*Q35-S35*MCD_SHARE_FREED*R_WAIT_2023</f>
        <v>42760182.47623221</v>
      </c>
      <c r="V35" s="10">
        <f>IF(AND(A35&gt;=RULE_START,B35=1),1/(1+DISC_RATE)^(A35-RULE_START+1),0)</f>
        <v>0.7141625624649355</v>
      </c>
      <c r="W35">
        <f>IF(AND(A35&gt;=RULE_START,B35=1,L35&lt;0),A35,9999)</f>
        <v>2043</v>
      </c>
      <c r="X35">
        <f>IF(AND(A35&gt;=RULE_START,B35=1,M35&lt;0),A35,9999)</f>
        <v>2043</v>
      </c>
      <c r="Y35">
        <f>IF(AND(A35&gt;=RULE_START,B35=1,N35&lt;0),A35,9999)</f>
        <v>9999</v>
      </c>
    </row>
    <row r="36">
      <c r="A36" t="n">
        <v>2044</v>
      </c>
      <c r="B36">
        <f>IF(A36&lt;=RULE_START+HORIZON-1,1,0)</f>
        <v>1</v>
      </c>
      <c r="C36" s="15">
        <f>IF(A36=2024,G_IDX_2024,IF(A36=2025,G_IDX_2025,IF(A36=2026,G_IDX_2026,IF(A36=2027,G_IDX_2027,G_IDX_POST))))</f>
        <v>0.033</v>
      </c>
      <c r="D36" s="8">
        <f>C_OP*(1+G_HI)^(A36-COST_DATE)</f>
        <v>993.7640593612603</v>
      </c>
      <c r="E36" s="8">
        <f>E35*(1+C36)</f>
        <v>888.4444353553154</v>
      </c>
      <c r="F36" s="8">
        <f>IF(A36&lt;RULE_START,E36,F35*(1+G_HI))</f>
        <v>1006.2333701098984</v>
      </c>
      <c r="G36" s="8">
        <f>IF(A36&lt;RULE_START,E36,IF(H36=1,R_NF_2024*(1+G_HI)^(A36-2024),G35*(1+C36)))</f>
        <v>1044.6449557821215</v>
      </c>
      <c r="H36">
        <f>IF(AND(A36&gt;=RULE_START,MOD(A36-RULE_START,REBASE_YEARS)=0),1,0)</f>
        <v>0</v>
      </c>
      <c r="I36" s="8">
        <f>E36*CAP_SHARE</f>
        <v>43.44255979465434</v>
      </c>
      <c r="J36" s="8">
        <f>F36*CAP_SHARE</f>
        <v>49.20212408206884</v>
      </c>
      <c r="K36" s="8">
        <f>G36*CAP_SHARE</f>
        <v>51.0803480215386</v>
      </c>
      <c r="L36" s="8">
        <f>E36-I36-D36</f>
        <v>-148.76218380059925</v>
      </c>
      <c r="M36" s="8">
        <f>F36-J36-D36</f>
        <v>-36.73281333343073</v>
      </c>
      <c r="N36" s="8">
        <f>G36-K36-D36</f>
        <v>-0.19945160067732104</v>
      </c>
      <c r="O36" s="8">
        <f>R_NF_2024*(1+G_HI)^(A36-2024)</f>
        <v>1059.195962128802</v>
      </c>
      <c r="P36" s="10">
        <f>1-E36/O36</f>
        <v>0.16120862699505134</v>
      </c>
      <c r="Q36" s="10">
        <f>CPI_2023/(IF(A36-1=2023,CPI_2023,IF(A36-1=2024,CPI_2024,IF(A36-1=2025,CPI_2025,CPI_2025*(1+INFL)^(A36-1-2025)))))</f>
        <v>0.62257978247726</v>
      </c>
      <c r="R36" s="8">
        <f>WAIT_DAYS_Y*ABS(SUPPLY_RESPONSE)*(F36-E36)/E36</f>
        <v>13217.457178809645</v>
      </c>
      <c r="S36" s="8">
        <f>WAIT_DAYS_Y*ABS(SUPPLY_RESPONSE)*(G36-E36)/E36</f>
        <v>17527.738869111065</v>
      </c>
      <c r="T36" s="13">
        <f>(F36-E36)*MCD_NF_DAYS*Q36-R36*MCD_SHARE_FREED*R_WAIT_2023</f>
        <v>32626443.964096505</v>
      </c>
      <c r="U36" s="13">
        <f>(G36-E36)*MCD_NF_DAYS*Q36-S36*MCD_SHARE_FREED*R_WAIT_2023</f>
        <v>43266097.426605806</v>
      </c>
      <c r="V36" s="10">
        <f>IF(AND(A36&gt;=RULE_START,B36=1),1/(1+DISC_RATE)^(A36-RULE_START+1),0)</f>
        <v>0.700159374965623</v>
      </c>
      <c r="W36">
        <f>IF(AND(A36&gt;=RULE_START,B36=1,L36&lt;0),A36,9999)</f>
        <v>2044</v>
      </c>
      <c r="X36">
        <f>IF(AND(A36&gt;=RULE_START,B36=1,M36&lt;0),A36,9999)</f>
        <v>2044</v>
      </c>
      <c r="Y36">
        <f>IF(AND(A36&gt;=RULE_START,B36=1,N36&lt;0),A36,9999)</f>
        <v>2044</v>
      </c>
    </row>
    <row r="37">
      <c r="A37" t="n">
        <v>2045</v>
      </c>
      <c r="B37">
        <f>IF(A37&lt;=RULE_START+HORIZON-1,1,0)</f>
        <v>1</v>
      </c>
      <c r="C37" s="15">
        <f>IF(A37=2024,G_IDX_2024,IF(A37=2025,G_IDX_2025,IF(A37=2026,G_IDX_2026,IF(A37=2027,G_IDX_2027,G_IDX_POST))))</f>
        <v>0.033</v>
      </c>
      <c r="D37" s="8">
        <f>C_OP*(1+G_HI)^(A37-COST_DATE)</f>
        <v>1033.6830856960735</v>
      </c>
      <c r="E37" s="8">
        <f>E36*(1+C37)</f>
        <v>917.7631017220407</v>
      </c>
      <c r="F37" s="8">
        <f>IF(A37&lt;RULE_START,E37,F36*(1+G_HI))</f>
        <v>1046.6532826857292</v>
      </c>
      <c r="G37" s="8">
        <f>IF(A37&lt;RULE_START,E37,IF(H37=1,R_NF_2024*(1+G_HI)^(A37-2024),G36*(1+C37)))</f>
        <v>1101.743356661388</v>
      </c>
      <c r="H37">
        <f>IF(AND(A37&gt;=RULE_START,MOD(A37-RULE_START,REBASE_YEARS)=0),1,0)</f>
        <v>1</v>
      </c>
      <c r="I37" s="8">
        <f>E37*CAP_SHARE</f>
        <v>44.87616426787793</v>
      </c>
      <c r="J37" s="8">
        <f>F37*CAP_SHARE</f>
        <v>51.17854984275018</v>
      </c>
      <c r="K37" s="8">
        <f>G37*CAP_SHARE</f>
        <v>53.872307310905576</v>
      </c>
      <c r="L37" s="8">
        <f>E37-I37-D37</f>
        <v>-160.7961482419107</v>
      </c>
      <c r="M37" s="8">
        <f>F37-J37-D37</f>
        <v>-38.208352853094425</v>
      </c>
      <c r="N37" s="8">
        <f>G37-K37-D37</f>
        <v>14.187963654408804</v>
      </c>
      <c r="O37" s="8">
        <f>R_NF_2024*(1+G_HI)^(A37-2024)</f>
        <v>1101.743356661388</v>
      </c>
      <c r="P37" s="10">
        <f>1-E37/O37</f>
        <v>0.16699011963808197</v>
      </c>
      <c r="Q37" s="10">
        <f>CPI_2023/(IF(A37-1=2023,CPI_2023,IF(A37-1=2024,CPI_2024,IF(A37-1=2025,CPI_2025,CPI_2025*(1+INFL)^(A37-1-2025)))))</f>
        <v>0.6087013907677552</v>
      </c>
      <c r="R37" s="8">
        <f>WAIT_DAYS_Y*ABS(SUPPLY_RESPONSE)*(F37-E37)/E37</f>
        <v>14001.124899487122</v>
      </c>
      <c r="S37" s="8">
        <f>WAIT_DAYS_Y*ABS(SUPPLY_RESPONSE)*(G37-E37)/E37</f>
        <v>19985.467544428266</v>
      </c>
      <c r="T37" s="13">
        <f>(F37-E37)*MCD_NF_DAYS*Q37-R37*MCD_SHARE_FREED*R_WAIT_2023</f>
        <v>34969031.47860434</v>
      </c>
      <c r="U37" s="13">
        <f>(G37-E37)*MCD_NF_DAYS*Q37-S37*MCD_SHARE_FREED*R_WAIT_2023</f>
        <v>49915449.55800929</v>
      </c>
      <c r="V37" s="10">
        <f>IF(AND(A37&gt;=RULE_START,B37=1),1/(1+DISC_RATE)^(A37-RULE_START+1),0)</f>
        <v>0.6864307597702186</v>
      </c>
      <c r="W37">
        <f>IF(AND(A37&gt;=RULE_START,B37=1,L37&lt;0),A37,9999)</f>
        <v>2045</v>
      </c>
      <c r="X37">
        <f>IF(AND(A37&gt;=RULE_START,B37=1,M37&lt;0),A37,9999)</f>
        <v>2045</v>
      </c>
      <c r="Y37">
        <f>IF(AND(A37&gt;=RULE_START,B37=1,N37&lt;0),A37,9999)</f>
        <v>9999</v>
      </c>
    </row>
    <row r="38">
      <c r="A38" t="n">
        <v>2046</v>
      </c>
      <c r="B38">
        <f>IF(A38&lt;=RULE_START+HORIZON-1,1,0)</f>
        <v>1</v>
      </c>
      <c r="C38" s="15">
        <f>IF(A38=2024,G_IDX_2024,IF(A38=2025,G_IDX_2025,IF(A38=2026,G_IDX_2026,IF(A38=2027,G_IDX_2027,G_IDX_POST))))</f>
        <v>0.033</v>
      </c>
      <c r="D38" s="8">
        <f>C_OP*(1+G_HI)^(A38-COST_DATE)</f>
        <v>1075.2056402008868</v>
      </c>
      <c r="E38" s="8">
        <f>E37*(1+C38)</f>
        <v>948.0492840788679</v>
      </c>
      <c r="F38" s="8">
        <f>IF(A38&lt;RULE_START,E38,F37*(1+G_HI))</f>
        <v>1088.6968437919793</v>
      </c>
      <c r="G38" s="8">
        <f>IF(A38&lt;RULE_START,E38,IF(H38=1,R_NF_2024*(1+G_HI)^(A38-2024),G37*(1+C38)))</f>
        <v>1138.1008874312136</v>
      </c>
      <c r="H38">
        <f>IF(AND(A38&gt;=RULE_START,MOD(A38-RULE_START,REBASE_YEARS)=0),1,0)</f>
        <v>0</v>
      </c>
      <c r="I38" s="8">
        <f>E38*CAP_SHARE</f>
        <v>46.3570776887179</v>
      </c>
      <c r="J38" s="8">
        <f>F38*CAP_SHARE</f>
        <v>53.23436767969573</v>
      </c>
      <c r="K38" s="8">
        <f>G38*CAP_SHARE</f>
        <v>55.65009345216545</v>
      </c>
      <c r="L38" s="8">
        <f>E38-I38-D38</f>
        <v>-173.51343381073684</v>
      </c>
      <c r="M38" s="8">
        <f>F38-J38-D38</f>
        <v>-39.74316408860318</v>
      </c>
      <c r="N38" s="8">
        <f>G38-K38-D38</f>
        <v>7.245153778161239</v>
      </c>
      <c r="O38" s="8">
        <f>R_NF_2024*(1+G_HI)^(A38-2024)</f>
        <v>1145.9998596557102</v>
      </c>
      <c r="P38" s="10">
        <f>1-E38/O38</f>
        <v>0.1727317624945539</v>
      </c>
      <c r="Q38" s="10">
        <f>CPI_2023/(IF(A38-1=2023,CPI_2023,IF(A38-1=2024,CPI_2024,IF(A38-1=2025,CPI_2025,CPI_2025*(1+INFL)^(A38-1-2025)))))</f>
        <v>0.5951323726708596</v>
      </c>
      <c r="R38" s="8">
        <f>WAIT_DAYS_Y*ABS(SUPPLY_RESPONSE)*(F38-E38)/E38</f>
        <v>14790.231654284706</v>
      </c>
      <c r="S38" s="8">
        <f>WAIT_DAYS_Y*ABS(SUPPLY_RESPONSE)*(G38-E38)/E38</f>
        <v>19985.467544428266</v>
      </c>
      <c r="T38" s="13">
        <f>(F38-E38)*MCD_NF_DAYS*Q38-R38*MCD_SHARE_FREED*R_WAIT_2023</f>
        <v>37375351.99811706</v>
      </c>
      <c r="U38" s="13">
        <f>(G38-E38)*MCD_NF_DAYS*Q38-S38*MCD_SHARE_FREED*R_WAIT_2023</f>
        <v>50503866.45590885</v>
      </c>
      <c r="V38" s="10">
        <f>IF(AND(A38&gt;=RULE_START,B38=1),1/(1+DISC_RATE)^(A38-RULE_START+1),0)</f>
        <v>0.6729713331080575</v>
      </c>
      <c r="W38">
        <f>IF(AND(A38&gt;=RULE_START,B38=1,L38&lt;0),A38,9999)</f>
        <v>2046</v>
      </c>
      <c r="X38">
        <f>IF(AND(A38&gt;=RULE_START,B38=1,M38&lt;0),A38,9999)</f>
        <v>2046</v>
      </c>
      <c r="Y38">
        <f>IF(AND(A38&gt;=RULE_START,B38=1,N38&lt;0),A38,9999)</f>
        <v>9999</v>
      </c>
    </row>
    <row r="39">
      <c r="A39" t="n">
        <v>2047</v>
      </c>
      <c r="B39">
        <f>IF(A39&lt;=RULE_START+HORIZON-1,1,0)</f>
        <v>0</v>
      </c>
      <c r="C39" s="15">
        <f>IF(A39=2024,G_IDX_2024,IF(A39=2025,G_IDX_2025,IF(A39=2026,G_IDX_2026,IF(A39=2027,G_IDX_2027,G_IDX_POST))))</f>
        <v>0.033</v>
      </c>
      <c r="D39" s="8">
        <f>C_OP*(1+G_HI)^(A39-COST_DATE)</f>
        <v>1118.3961358343336</v>
      </c>
      <c r="E39" s="8">
        <f>E38*(1+C39)</f>
        <v>979.3349104534705</v>
      </c>
      <c r="F39" s="8">
        <f>IF(A39&lt;RULE_START,E39,F38*(1+G_HI))</f>
        <v>1132.429274612524</v>
      </c>
      <c r="G39" s="8">
        <f>IF(A39&lt;RULE_START,E39,IF(H39=1,R_NF_2024*(1+G_HI)^(A39-2024),G38*(1+C39)))</f>
        <v>1175.6582167164436</v>
      </c>
      <c r="H39">
        <f>IF(AND(A39&gt;=RULE_START,MOD(A39-RULE_START,REBASE_YEARS)=0),1,0)</f>
        <v>0</v>
      </c>
      <c r="I39" s="8">
        <f>E39*CAP_SHARE</f>
        <v>47.886861252445584</v>
      </c>
      <c r="J39" s="8">
        <f>F39*CAP_SHARE</f>
        <v>55.37276673458687</v>
      </c>
      <c r="K39" s="8">
        <f>G39*CAP_SHARE</f>
        <v>57.48654653608691</v>
      </c>
      <c r="L39" s="8">
        <f>E39-I39-D39</f>
        <v>-186.94808663330866</v>
      </c>
      <c r="M39" s="8">
        <f>F39-J39-D39</f>
        <v>-41.33962795639627</v>
      </c>
      <c r="N39" s="8">
        <f>G39-K39-D39</f>
        <v>-0.2244656539769494</v>
      </c>
      <c r="O39" s="8">
        <f>R_NF_2024*(1+G_HI)^(A39-2024)</f>
        <v>1192.034125180157</v>
      </c>
      <c r="P39" s="10">
        <f>1-E39/O39</f>
        <v>0.1784338302349695</v>
      </c>
      <c r="Q39" s="10">
        <f>CPI_2023/(IF(A39-1=2023,CPI_2023,IF(A39-1=2024,CPI_2024,IF(A39-1=2025,CPI_2025,CPI_2025*(1+INFL)^(A39-1-2025)))))</f>
        <v>0.5818658317079192</v>
      </c>
      <c r="R39" s="8">
        <f>WAIT_DAYS_Y*ABS(SUPPLY_RESPONSE)*(F39-E39)/E39</f>
        <v>15584.815192737544</v>
      </c>
      <c r="S39" s="8">
        <f>WAIT_DAYS_Y*ABS(SUPPLY_RESPONSE)*(G39-E39)/E39</f>
        <v>19985.467544428273</v>
      </c>
      <c r="T39" s="13">
        <f>(F39-E39)*MCD_NF_DAYS*Q39-R39*MCD_SHARE_FREED*R_WAIT_2023</f>
        <v>39846715.85557872</v>
      </c>
      <c r="U39" s="13">
        <f>(G39-E39)*MCD_NF_DAYS*Q39-S39*MCD_SHARE_FREED*R_WAIT_2023</f>
        <v>51098151.41438586</v>
      </c>
      <c r="V39" s="10">
        <f>IF(AND(A39&gt;=RULE_START,B39=1),1/(1+DISC_RATE)^(A39-RULE_START+1),0)</f>
        <v>0</v>
      </c>
      <c r="W39">
        <f>IF(AND(A39&gt;=RULE_START,B39=1,L39&lt;0),A39,9999)</f>
        <v>9999</v>
      </c>
      <c r="X39">
        <f>IF(AND(A39&gt;=RULE_START,B39=1,M39&lt;0),A39,9999)</f>
        <v>9999</v>
      </c>
      <c r="Y39">
        <f>IF(AND(A39&gt;=RULE_START,B39=1,N39&lt;0),A39,9999)</f>
        <v>9999</v>
      </c>
    </row>
    <row r="40">
      <c r="A40" t="n">
        <v>2048</v>
      </c>
      <c r="B40">
        <f>IF(A40&lt;=RULE_START+HORIZON-1,1,0)</f>
        <v>0</v>
      </c>
      <c r="C40" s="15">
        <f>IF(A40=2024,G_IDX_2024,IF(A40=2025,G_IDX_2025,IF(A40=2026,G_IDX_2026,IF(A40=2027,G_IDX_2027,G_IDX_POST))))</f>
        <v>0.033</v>
      </c>
      <c r="D40" s="8">
        <f>C_OP*(1+G_HI)^(A40-COST_DATE)</f>
        <v>1163.3215729927472</v>
      </c>
      <c r="E40" s="8">
        <f>E39*(1+C40)</f>
        <v>1011.6529624984349</v>
      </c>
      <c r="F40" s="8">
        <f>IF(A40&lt;RULE_START,E40,F39*(1+G_HI))</f>
        <v>1177.9184162349595</v>
      </c>
      <c r="G40" s="8">
        <f>IF(A40&lt;RULE_START,E40,IF(H40=1,R_NF_2024*(1+G_HI)^(A40-2024),G39*(1+C40)))</f>
        <v>1239.9175651041644</v>
      </c>
      <c r="H40">
        <f>IF(AND(A40&gt;=RULE_START,MOD(A40-RULE_START,REBASE_YEARS)=0),1,0)</f>
        <v>1</v>
      </c>
      <c r="I40" s="8">
        <f>E40*CAP_SHARE</f>
        <v>49.46712767377629</v>
      </c>
      <c r="J40" s="8">
        <f>F40*CAP_SHARE</f>
        <v>57.59706425539899</v>
      </c>
      <c r="K40" s="8">
        <f>G40*CAP_SHARE</f>
        <v>60.628657031249894</v>
      </c>
      <c r="L40" s="8">
        <f>E40-I40-D40</f>
        <v>-201.13573816808855</v>
      </c>
      <c r="M40" s="8">
        <f>F40-J40-D40</f>
        <v>-43.00022101318655</v>
      </c>
      <c r="N40" s="8">
        <f>G40-K40-D40</f>
        <v>15.967335080167231</v>
      </c>
      <c r="O40" s="8">
        <f>R_NF_2024*(1+G_HI)^(A40-2024)</f>
        <v>1239.9175651041644</v>
      </c>
      <c r="P40" s="10">
        <f>1-E40/O40</f>
        <v>0.18409659563662462</v>
      </c>
      <c r="Q40" s="10">
        <f>CPI_2023/(IF(A40-1=2023,CPI_2023,IF(A40-1=2024,CPI_2024,IF(A40-1=2025,CPI_2025,CPI_2025*(1+INFL)^(A40-1-2025)))))</f>
        <v>0.5688950251348447</v>
      </c>
      <c r="R40" s="8">
        <f>WAIT_DAYS_Y*ABS(SUPPLY_RESPONSE)*(F40-E40)/E40</f>
        <v>16384.913526380842</v>
      </c>
      <c r="S40" s="8">
        <f>WAIT_DAYS_Y*ABS(SUPPLY_RESPONSE)*(G40-E40)/E40</f>
        <v>22494.725697831203</v>
      </c>
      <c r="T40" s="13">
        <f>(F40-E40)*MCD_NF_DAYS*Q40-R40*MCD_SHARE_FREED*R_WAIT_2023</f>
        <v>42384457.83486879</v>
      </c>
      <c r="U40" s="13">
        <f>(G40-E40)*MCD_NF_DAYS*Q40-S40*MCD_SHARE_FREED*R_WAIT_2023</f>
        <v>58189306.358656265</v>
      </c>
      <c r="V40" s="10">
        <f>IF(AND(A40&gt;=RULE_START,B40=1),1/(1+DISC_RATE)^(A40-RULE_START+1),0)</f>
        <v>0</v>
      </c>
      <c r="W40">
        <f>IF(AND(A40&gt;=RULE_START,B40=1,L40&lt;0),A40,9999)</f>
        <v>9999</v>
      </c>
      <c r="X40">
        <f>IF(AND(A40&gt;=RULE_START,B40=1,M40&lt;0),A40,9999)</f>
        <v>9999</v>
      </c>
      <c r="Y40">
        <f>IF(AND(A40&gt;=RULE_START,B40=1,N40&lt;0),A40,9999)</f>
        <v>9999</v>
      </c>
    </row>
    <row r="41">
      <c r="A41" t="n">
        <v>2049</v>
      </c>
      <c r="B41">
        <f>IF(A41&lt;=RULE_START+HORIZON-1,1,0)</f>
        <v>0</v>
      </c>
      <c r="C41" s="15">
        <f>IF(A41=2024,G_IDX_2024,IF(A41=2025,G_IDX_2025,IF(A41=2026,G_IDX_2026,IF(A41=2027,G_IDX_2027,G_IDX_POST))))</f>
        <v>0.033</v>
      </c>
      <c r="D41" s="8">
        <f>C_OP*(1+G_HI)^(A41-COST_DATE)</f>
        <v>1210.0516434462932</v>
      </c>
      <c r="E41" s="8">
        <f>E40*(1+C41)</f>
        <v>1045.0375102608832</v>
      </c>
      <c r="F41" s="8">
        <f>IF(A41&lt;RULE_START,E41,F40*(1+G_HI))</f>
        <v>1225.2348348908804</v>
      </c>
      <c r="G41" s="8">
        <f>IF(A41&lt;RULE_START,E41,IF(H41=1,R_NF_2024*(1+G_HI)^(A41-2024),G40*(1+C41)))</f>
        <v>1280.8348447526016</v>
      </c>
      <c r="H41">
        <f>IF(AND(A41&gt;=RULE_START,MOD(A41-RULE_START,REBASE_YEARS)=0),1,0)</f>
        <v>0</v>
      </c>
      <c r="I41" s="8">
        <f>E41*CAP_SHARE</f>
        <v>51.0995428870109</v>
      </c>
      <c r="J41" s="8">
        <f>F41*CAP_SHARE</f>
        <v>59.91071074236997</v>
      </c>
      <c r="K41" s="8">
        <f>G41*CAP_SHARE</f>
        <v>62.62940271328113</v>
      </c>
      <c r="L41" s="8">
        <f>E41-I41-D41</f>
        <v>-216.11367607242084</v>
      </c>
      <c r="M41" s="8">
        <f>F41-J41-D41</f>
        <v>-44.72751929778269</v>
      </c>
      <c r="N41" s="8">
        <f>G41-K41-D41</f>
        <v>8.153798593027432</v>
      </c>
      <c r="O41" s="8">
        <f>R_NF_2024*(1+G_HI)^(A41-2024)</f>
        <v>1289.7244598777631</v>
      </c>
      <c r="P41" s="10">
        <f>1-E41/O41</f>
        <v>0.1897203295966572</v>
      </c>
      <c r="Q41" s="10">
        <f>CPI_2023/(IF(A41-1=2023,CPI_2023,IF(A41-1=2024,CPI_2024,IF(A41-1=2025,CPI_2025,CPI_2025*(1+INFL)^(A41-1-2025)))))</f>
        <v>0.5562133605151004</v>
      </c>
      <c r="R41" s="8">
        <f>WAIT_DAYS_Y*ABS(SUPPLY_RESPONSE)*(F41-E41)/E41</f>
        <v>17190.56493056834</v>
      </c>
      <c r="S41" s="8">
        <f>WAIT_DAYS_Y*ABS(SUPPLY_RESPONSE)*(G41-E41)/E41</f>
        <v>22494.72569783119</v>
      </c>
      <c r="T41" s="13">
        <f>(F41-E41)*MCD_NF_DAYS*Q41-R41*MCD_SHARE_FREED*R_WAIT_2023</f>
        <v>44989937.60743755</v>
      </c>
      <c r="U41" s="13">
        <f>(G41-E41)*MCD_NF_DAYS*Q41-S41*MCD_SHARE_FREED*R_WAIT_2023</f>
        <v>58871614.15168154</v>
      </c>
      <c r="V41" s="10">
        <f>IF(AND(A41&gt;=RULE_START,B41=1),1/(1+DISC_RATE)^(A41-RULE_START+1),0)</f>
        <v>0</v>
      </c>
      <c r="W41">
        <f>IF(AND(A41&gt;=RULE_START,B41=1,L41&lt;0),A41,9999)</f>
        <v>9999</v>
      </c>
      <c r="X41">
        <f>IF(AND(A41&gt;=RULE_START,B41=1,M41&lt;0),A41,9999)</f>
        <v>9999</v>
      </c>
      <c r="Y41">
        <f>IF(AND(A41&gt;=RULE_START,B41=1,N41&lt;0),A41,9999)</f>
        <v>9999</v>
      </c>
    </row>
    <row r="42">
      <c r="A42" t="n">
        <v>2050</v>
      </c>
      <c r="B42">
        <f>IF(A42&lt;=RULE_START+HORIZON-1,1,0)</f>
        <v>0</v>
      </c>
      <c r="C42" s="15">
        <f>IF(A42=2024,G_IDX_2024,IF(A42=2025,G_IDX_2025,IF(A42=2026,G_IDX_2026,IF(A42=2027,G_IDX_2027,G_IDX_POST))))</f>
        <v>0.033</v>
      </c>
      <c r="D42" s="8">
        <f>C_OP*(1+G_HI)^(A42-COST_DATE)</f>
        <v>1258.6588384501697</v>
      </c>
      <c r="E42" s="8">
        <f>E41*(1+C42)</f>
        <v>1079.5237480994922</v>
      </c>
      <c r="F42" s="8">
        <f>IF(A42&lt;RULE_START,E42,F41*(1+G_HI))</f>
        <v>1274.4519314236093</v>
      </c>
      <c r="G42" s="8">
        <f>IF(A42&lt;RULE_START,E42,IF(H42=1,R_NF_2024*(1+G_HI)^(A42-2024),G41*(1+C42)))</f>
        <v>1323.1023946294374</v>
      </c>
      <c r="H42">
        <f>IF(AND(A42&gt;=RULE_START,MOD(A42-RULE_START,REBASE_YEARS)=0),1,0)</f>
        <v>0</v>
      </c>
      <c r="I42" s="8">
        <f>E42*CAP_SHARE</f>
        <v>52.785827802282256</v>
      </c>
      <c r="J42" s="8">
        <f>F42*CAP_SHARE</f>
        <v>62.317295300679746</v>
      </c>
      <c r="K42" s="8">
        <f>G42*CAP_SHARE</f>
        <v>64.6961730028194</v>
      </c>
      <c r="L42" s="8">
        <f>E42-I42-D42</f>
        <v>-231.92091815295976</v>
      </c>
      <c r="M42" s="8">
        <f>F42-J42-D42</f>
        <v>-46.52420232724012</v>
      </c>
      <c r="N42" s="8">
        <f>G42-K42-D42</f>
        <v>-0.2526168235517616</v>
      </c>
      <c r="O42" s="8">
        <f>R_NF_2024*(1+G_HI)^(A42-2024)</f>
        <v>1341.5320737610875</v>
      </c>
      <c r="P42" s="10">
        <f>1-E42/O42</f>
        <v>0.19530530114500733</v>
      </c>
      <c r="Q42" s="10">
        <f>CPI_2023/(IF(A42-1=2023,CPI_2023,IF(A42-1=2024,CPI_2024,IF(A42-1=2025,CPI_2025,CPI_2025*(1+INFL)^(A42-1-2025)))))</f>
        <v>0.5438143923690854</v>
      </c>
      <c r="R42" s="8">
        <f>WAIT_DAYS_Y*ABS(SUPPLY_RESPONSE)*(F42-E42)/E42</f>
        <v>18001.80794630329</v>
      </c>
      <c r="S42" s="8">
        <f>WAIT_DAYS_Y*ABS(SUPPLY_RESPONSE)*(G42-E42)/E42</f>
        <v>22494.725697831203</v>
      </c>
      <c r="T42" s="13">
        <f>(F42-E42)*MCD_NF_DAYS*Q42-R42*MCD_SHARE_FREED*R_WAIT_2023</f>
        <v>47664540.17656619</v>
      </c>
      <c r="U42" s="13">
        <f>(G42-E42)*MCD_NF_DAYS*Q42-S42*MCD_SHARE_FREED*R_WAIT_2023</f>
        <v>59560726.343894266</v>
      </c>
      <c r="V42" s="10">
        <f>IF(AND(A42&gt;=RULE_START,B42=1),1/(1+DISC_RATE)^(A42-RULE_START+1),0)</f>
        <v>0</v>
      </c>
      <c r="W42">
        <f>IF(AND(A42&gt;=RULE_START,B42=1,L42&lt;0),A42,9999)</f>
        <v>9999</v>
      </c>
      <c r="X42">
        <f>IF(AND(A42&gt;=RULE_START,B42=1,M42&lt;0),A42,9999)</f>
        <v>9999</v>
      </c>
      <c r="Y42">
        <f>IF(AND(A42&gt;=RULE_START,B42=1,N42&lt;0),A42,9999)</f>
        <v>9999</v>
      </c>
    </row>
    <row r="43">
      <c r="A43" t="n">
        <v>2051</v>
      </c>
      <c r="B43">
        <f>IF(A43&lt;=RULE_START+HORIZON-1,1,0)</f>
        <v>0</v>
      </c>
      <c r="C43" s="15">
        <f>IF(A43=2024,G_IDX_2024,IF(A43=2025,G_IDX_2025,IF(A43=2026,G_IDX_2026,IF(A43=2027,G_IDX_2027,G_IDX_POST))))</f>
        <v>0.033</v>
      </c>
      <c r="D43" s="8">
        <f>C_OP*(1+G_HI)^(A43-COST_DATE)</f>
        <v>1309.2185611985776</v>
      </c>
      <c r="E43" s="8">
        <f>E42*(1+C43)</f>
        <v>1115.1480317867754</v>
      </c>
      <c r="F43" s="8">
        <f>IF(A43&lt;RULE_START,E43,F42*(1+G_HI))</f>
        <v>1325.6460551531918</v>
      </c>
      <c r="G43" s="8">
        <f>IF(A43&lt;RULE_START,E43,IF(H43=1,R_NF_2024*(1+G_HI)^(A43-2024),G42*(1+C43)))</f>
        <v>1395.4207746825982</v>
      </c>
      <c r="H43">
        <f>IF(AND(A43&gt;=RULE_START,MOD(A43-RULE_START,REBASE_YEARS)=0),1,0)</f>
        <v>1</v>
      </c>
      <c r="I43" s="8">
        <f>E43*CAP_SHARE</f>
        <v>54.527760119757566</v>
      </c>
      <c r="J43" s="8">
        <f>F43*CAP_SHARE</f>
        <v>64.82055120814444</v>
      </c>
      <c r="K43" s="8">
        <f>G43*CAP_SHARE</f>
        <v>68.23234862021242</v>
      </c>
      <c r="L43" s="8">
        <f>E43-I43-D43</f>
        <v>-248.59828953155989</v>
      </c>
      <c r="M43" s="8">
        <f>F43-J43-D43</f>
        <v>-48.39305725353029</v>
      </c>
      <c r="N43" s="8">
        <f>G43-K43-D43</f>
        <v>17.969864863808198</v>
      </c>
      <c r="O43" s="8">
        <f>R_NF_2024*(1+G_HI)^(A43-2024)</f>
        <v>1395.4207746825982</v>
      </c>
      <c r="P43" s="10">
        <f>1-E43/O43</f>
        <v>0.200851777457286</v>
      </c>
      <c r="Q43" s="10">
        <f>CPI_2023/(IF(A43-1=2023,CPI_2023,IF(A43-1=2024,CPI_2024,IF(A43-1=2025,CPI_2025,CPI_2025*(1+INFL)^(A43-1-2025)))))</f>
        <v>0.5316918188982063</v>
      </c>
      <c r="R43" s="8">
        <f>WAIT_DAYS_Y*ABS(SUPPLY_RESPONSE)*(F43-E43)/E43</f>
        <v>18818.681382082144</v>
      </c>
      <c r="S43" s="8">
        <f>WAIT_DAYS_Y*ABS(SUPPLY_RESPONSE)*(G43-E43)/E43</f>
        <v>25056.593711844835</v>
      </c>
      <c r="T43" s="13">
        <f>(F43-E43)*MCD_NF_DAYS*Q43-R43*MCD_SHARE_FREED*R_WAIT_2023</f>
        <v>50409676.329383135</v>
      </c>
      <c r="U43" s="13">
        <f>(G43-E43)*MCD_NF_DAYS*Q43-S43*MCD_SHARE_FREED*R_WAIT_2023</f>
        <v>67119196.78567846</v>
      </c>
      <c r="V43" s="10">
        <f>IF(AND(A43&gt;=RULE_START,B43=1),1/(1+DISC_RATE)^(A43-RULE_START+1),0)</f>
        <v>0</v>
      </c>
      <c r="W43">
        <f>IF(AND(A43&gt;=RULE_START,B43=1,L43&lt;0),A43,9999)</f>
        <v>9999</v>
      </c>
      <c r="X43">
        <f>IF(AND(A43&gt;=RULE_START,B43=1,M43&lt;0),A43,9999)</f>
        <v>9999</v>
      </c>
      <c r="Y43">
        <f>IF(AND(A43&gt;=RULE_START,B43=1,N43&lt;0),A43,9999)</f>
        <v>9999</v>
      </c>
    </row>
    <row r="44">
      <c r="A44" t="n">
        <v>2052</v>
      </c>
      <c r="B44">
        <f>IF(A44&lt;=RULE_START+HORIZON-1,1,0)</f>
        <v>0</v>
      </c>
      <c r="C44" s="15">
        <f>IF(A44=2024,G_IDX_2024,IF(A44=2025,G_IDX_2025,IF(A44=2026,G_IDX_2026,IF(A44=2027,G_IDX_2027,G_IDX_POST))))</f>
        <v>0.033</v>
      </c>
      <c r="D44" s="8">
        <f>C_OP*(1+G_HI)^(A44-COST_DATE)</f>
        <v>1361.8092437959176</v>
      </c>
      <c r="E44" s="8">
        <f>E43*(1+C44)</f>
        <v>1151.9479168357389</v>
      </c>
      <c r="F44" s="8">
        <f>IF(A44&lt;RULE_START,E44,F43*(1+G_HI))</f>
        <v>1378.8966223152954</v>
      </c>
      <c r="G44" s="8">
        <f>IF(A44&lt;RULE_START,E44,IF(H44=1,R_NF_2024*(1+G_HI)^(A44-2024),G43*(1+C44)))</f>
        <v>1441.4696602471238</v>
      </c>
      <c r="H44">
        <f>IF(AND(A44&gt;=RULE_START,MOD(A44-RULE_START,REBASE_YEARS)=0),1,0)</f>
        <v>0</v>
      </c>
      <c r="I44" s="8">
        <f>E44*CAP_SHARE</f>
        <v>56.327176203709556</v>
      </c>
      <c r="J44" s="8">
        <f>F44*CAP_SHARE</f>
        <v>67.42436170656212</v>
      </c>
      <c r="K44" s="8">
        <f>G44*CAP_SHARE</f>
        <v>70.48401612467943</v>
      </c>
      <c r="L44" s="8">
        <f>E44-I44-D44</f>
        <v>-266.1885031638883</v>
      </c>
      <c r="M44" s="8">
        <f>F44-J44-D44</f>
        <v>-50.33698318718439</v>
      </c>
      <c r="N44" s="8">
        <f>G44-K44-D44</f>
        <v>9.176400326526846</v>
      </c>
      <c r="O44" s="8">
        <f>R_NF_2024*(1+G_HI)^(A44-2024)</f>
        <v>1451.474158911953</v>
      </c>
      <c r="P44" s="10">
        <f>1-E44/O44</f>
        <v>0.20636002386755792</v>
      </c>
      <c r="Q44" s="10">
        <f>CPI_2023/(IF(A44-1=2023,CPI_2023,IF(A44-1=2024,CPI_2024,IF(A44-1=2025,CPI_2025,CPI_2025*(1+INFL)^(A44-1-2025)))))</f>
        <v>0.5198394787819772</v>
      </c>
      <c r="R44" s="8">
        <f>WAIT_DAYS_Y*ABS(SUPPLY_RESPONSE)*(F44-E44)/E44</f>
        <v>19641.22431575123</v>
      </c>
      <c r="S44" s="8">
        <f>WAIT_DAYS_Y*ABS(SUPPLY_RESPONSE)*(G44-E44)/E44</f>
        <v>25056.593711844835</v>
      </c>
      <c r="T44" s="13">
        <f>(F44-E44)*MCD_NF_DAYS*Q44-R44*MCD_SHARE_FREED*R_WAIT_2023</f>
        <v>53226783.09677122</v>
      </c>
      <c r="U44" s="13">
        <f>(G44-E44)*MCD_NF_DAYS*Q44-S44*MCD_SHARE_FREED*R_WAIT_2023</f>
        <v>67902176.42261454</v>
      </c>
      <c r="V44" s="10">
        <f>IF(AND(A44&gt;=RULE_START,B44=1),1/(1+DISC_RATE)^(A44-RULE_START+1),0)</f>
        <v>0</v>
      </c>
      <c r="W44">
        <f>IF(AND(A44&gt;=RULE_START,B44=1,L44&lt;0),A44,9999)</f>
        <v>9999</v>
      </c>
      <c r="X44">
        <f>IF(AND(A44&gt;=RULE_START,B44=1,M44&lt;0),A44,9999)</f>
        <v>9999</v>
      </c>
      <c r="Y44">
        <f>IF(AND(A44&gt;=RULE_START,B44=1,N44&lt;0),A44,9999)</f>
        <v>9999</v>
      </c>
    </row>
    <row r="45">
      <c r="A45" t="n">
        <v>2053</v>
      </c>
      <c r="B45">
        <f>IF(A45&lt;=RULE_START+HORIZON-1,1,0)</f>
        <v>0</v>
      </c>
      <c r="C45" s="15">
        <f>IF(A45=2024,G_IDX_2024,IF(A45=2025,G_IDX_2025,IF(A45=2026,G_IDX_2026,IF(A45=2027,G_IDX_2027,G_IDX_POST))))</f>
        <v>0.033</v>
      </c>
      <c r="D45" s="8">
        <f>C_OP*(1+G_HI)^(A45-COST_DATE)</f>
        <v>1416.512468926662</v>
      </c>
      <c r="E45" s="8">
        <f>E44*(1+C45)</f>
        <v>1189.9621980913182</v>
      </c>
      <c r="F45" s="8">
        <f>IF(A45&lt;RULE_START,E45,F44*(1+G_HI))</f>
        <v>1434.2862392577404</v>
      </c>
      <c r="G45" s="8">
        <f>IF(A45&lt;RULE_START,E45,IF(H45=1,R_NF_2024*(1+G_HI)^(A45-2024),G44*(1+C45)))</f>
        <v>1489.0381590352788</v>
      </c>
      <c r="H45">
        <f>IF(AND(A45&gt;=RULE_START,MOD(A45-RULE_START,REBASE_YEARS)=0),1,0)</f>
        <v>0</v>
      </c>
      <c r="I45" s="8">
        <f>E45*CAP_SHARE</f>
        <v>58.18597301843197</v>
      </c>
      <c r="J45" s="8">
        <f>F45*CAP_SHARE</f>
        <v>70.13276602569415</v>
      </c>
      <c r="K45" s="8">
        <f>G45*CAP_SHARE</f>
        <v>72.80998865679385</v>
      </c>
      <c r="L45" s="8">
        <f>E45-I45-D45</f>
        <v>-284.7362438537757</v>
      </c>
      <c r="M45" s="8">
        <f>F45-J45-D45</f>
        <v>-52.358995694615714</v>
      </c>
      <c r="N45" s="8">
        <f>G45-K45-D45</f>
        <v>-0.28429854817704836</v>
      </c>
      <c r="O45" s="8">
        <f>R_NF_2024*(1+G_HI)^(A45-2024)</f>
        <v>1509.7791807409262</v>
      </c>
      <c r="P45" s="10">
        <f>1-E45/O45</f>
        <v>0.2118303038810334</v>
      </c>
      <c r="Q45" s="10">
        <f>CPI_2023/(IF(A45-1=2023,CPI_2023,IF(A45-1=2024,CPI_2024,IF(A45-1=2025,CPI_2025,CPI_2025*(1+INFL)^(A45-1-2025)))))</f>
        <v>0.5082513480465166</v>
      </c>
      <c r="R45" s="8">
        <f>WAIT_DAYS_Y*ABS(SUPPLY_RESPONSE)*(F45-E45)/E45</f>
        <v>20469.476096376024</v>
      </c>
      <c r="S45" s="8">
        <f>WAIT_DAYS_Y*ABS(SUPPLY_RESPONSE)*(G45-E45)/E45</f>
        <v>25056.59371184483</v>
      </c>
      <c r="T45" s="13">
        <f>(F45-E45)*MCD_NF_DAYS*Q45-R45*MCD_SHARE_FREED*R_WAIT_2023</f>
        <v>56117324.221300565</v>
      </c>
      <c r="U45" s="13">
        <f>(G45-E45)*MCD_NF_DAYS*Q45-S45*MCD_SHARE_FREED*R_WAIT_2023</f>
        <v>68692964.42120174</v>
      </c>
      <c r="V45" s="10">
        <f>IF(AND(A45&gt;=RULE_START,B45=1),1/(1+DISC_RATE)^(A45-RULE_START+1),0)</f>
        <v>0</v>
      </c>
      <c r="W45">
        <f>IF(AND(A45&gt;=RULE_START,B45=1,L45&lt;0),A45,9999)</f>
        <v>9999</v>
      </c>
      <c r="X45">
        <f>IF(AND(A45&gt;=RULE_START,B45=1,M45&lt;0),A45,9999)</f>
        <v>9999</v>
      </c>
      <c r="Y45">
        <f>IF(AND(A45&gt;=RULE_START,B45=1,N45&lt;0),A45,9999)</f>
        <v>9999</v>
      </c>
    </row>
    <row r="46">
      <c r="A46" t="n">
        <v>2054</v>
      </c>
      <c r="B46">
        <f>IF(A46&lt;=RULE_START+HORIZON-1,1,0)</f>
        <v>0</v>
      </c>
      <c r="C46" s="15">
        <f>IF(A46=2024,G_IDX_2024,IF(A46=2025,G_IDX_2025,IF(A46=2026,G_IDX_2026,IF(A46=2027,G_IDX_2027,G_IDX_POST))))</f>
        <v>0.033</v>
      </c>
      <c r="D46" s="8">
        <f>C_OP*(1+G_HI)^(A46-COST_DATE)</f>
        <v>1473.4130964126462</v>
      </c>
      <c r="E46" s="8">
        <f>E45*(1+C46)</f>
        <v>1229.2309506283316</v>
      </c>
      <c r="F46" s="8">
        <f>IF(A46&lt;RULE_START,E46,F45*(1+G_HI))</f>
        <v>1491.9008305857772</v>
      </c>
      <c r="G46" s="8">
        <f>IF(A46&lt;RULE_START,E46,IF(H46=1,R_NF_2024*(1+G_HI)^(A46-2024),G45*(1+C46)))</f>
        <v>1570.4262873735481</v>
      </c>
      <c r="H46">
        <f>IF(AND(A46&gt;=RULE_START,MOD(A46-RULE_START,REBASE_YEARS)=0),1,0)</f>
        <v>1</v>
      </c>
      <c r="I46" s="8">
        <f>E46*CAP_SHARE</f>
        <v>60.10611012804022</v>
      </c>
      <c r="J46" s="8">
        <f>F46*CAP_SHARE</f>
        <v>72.94996564922697</v>
      </c>
      <c r="K46" s="8">
        <f>G46*CAP_SHARE</f>
        <v>76.78965073942733</v>
      </c>
      <c r="L46" s="8">
        <f>E46-I46-D46</f>
        <v>-304.28825591235477</v>
      </c>
      <c r="M46" s="8">
        <f>F46-J46-D46</f>
        <v>-54.462231476095894</v>
      </c>
      <c r="N46" s="8">
        <f>G46-K46-D46</f>
        <v>20.22354022147465</v>
      </c>
      <c r="O46" s="8">
        <f>R_NF_2024*(1+G_HI)^(A46-2024)</f>
        <v>1570.4262873735481</v>
      </c>
      <c r="P46" s="10">
        <f>1-E46/O46</f>
        <v>0.2172628791866742</v>
      </c>
      <c r="Q46" s="10">
        <f>CPI_2023/(IF(A46-1=2023,CPI_2023,IF(A46-1=2024,CPI_2024,IF(A46-1=2025,CPI_2025,CPI_2025*(1+INFL)^(A46-1-2025)))))</f>
        <v>0.49692153700285174</v>
      </c>
      <c r="R46" s="8">
        <f>WAIT_DAYS_Y*ABS(SUPPLY_RESPONSE)*(F46-E46)/E46</f>
        <v>21303.476346123636</v>
      </c>
      <c r="S46" s="8">
        <f>WAIT_DAYS_Y*ABS(SUPPLY_RESPONSE)*(G46-E46)/E46</f>
        <v>27672.174620618785</v>
      </c>
      <c r="T46" s="13">
        <f>(F46-E46)*MCD_NF_DAYS*Q46-R46*MCD_SHARE_FREED*R_WAIT_2023</f>
        <v>59082790.63332672</v>
      </c>
      <c r="U46" s="13">
        <f>(G46-E46)*MCD_NF_DAYS*Q46-S46*MCD_SHARE_FREED*R_WAIT_2023</f>
        <v>76745657.51220088</v>
      </c>
      <c r="V46" s="10">
        <f>IF(AND(A46&gt;=RULE_START,B46=1),1/(1+DISC_RATE)^(A46-RULE_START+1),0)</f>
        <v>0</v>
      </c>
      <c r="W46">
        <f>IF(AND(A46&gt;=RULE_START,B46=1,L46&lt;0),A46,9999)</f>
        <v>9999</v>
      </c>
      <c r="X46">
        <f>IF(AND(A46&gt;=RULE_START,B46=1,M46&lt;0),A46,9999)</f>
        <v>9999</v>
      </c>
      <c r="Y46">
        <f>IF(AND(A46&gt;=RULE_START,B46=1,N46&lt;0),A46,9999)</f>
        <v>9999</v>
      </c>
    </row>
    <row r="47">
      <c r="A47" t="n">
        <v>2055</v>
      </c>
      <c r="B47">
        <f>IF(A47&lt;=RULE_START+HORIZON-1,1,0)</f>
        <v>0</v>
      </c>
      <c r="C47" s="15">
        <f>IF(A47=2024,G_IDX_2024,IF(A47=2025,G_IDX_2025,IF(A47=2026,G_IDX_2026,IF(A47=2027,G_IDX_2027,G_IDX_POST))))</f>
        <v>0.033</v>
      </c>
      <c r="D47" s="8">
        <f>C_OP*(1+G_HI)^(A47-COST_DATE)</f>
        <v>1532.599394854109</v>
      </c>
      <c r="E47" s="8">
        <f>E46*(1+C47)</f>
        <v>1269.7955719990664</v>
      </c>
      <c r="F47" s="8">
        <f>IF(A47&lt;RULE_START,E47,F46*(1+G_HI))</f>
        <v>1551.8297724548988</v>
      </c>
      <c r="G47" s="8">
        <f>IF(A47&lt;RULE_START,E47,IF(H47=1,R_NF_2024*(1+G_HI)^(A47-2024),G46*(1+C47)))</f>
        <v>1622.250354856875</v>
      </c>
      <c r="H47">
        <f>IF(AND(A47&gt;=RULE_START,MOD(A47-RULE_START,REBASE_YEARS)=0),1,0)</f>
        <v>0</v>
      </c>
      <c r="I47" s="8">
        <f>E47*CAP_SHARE</f>
        <v>62.08961176226554</v>
      </c>
      <c r="J47" s="8">
        <f>F47*CAP_SHARE</f>
        <v>75.8803308324345</v>
      </c>
      <c r="K47" s="8">
        <f>G47*CAP_SHARE</f>
        <v>79.32370921382842</v>
      </c>
      <c r="L47" s="8">
        <f>E47-I47-D47</f>
        <v>-324.89343461730823</v>
      </c>
      <c r="M47" s="8">
        <f>F47-J47-D47</f>
        <v>-56.64995323164476</v>
      </c>
      <c r="N47" s="8">
        <f>G47-K47-D47</f>
        <v>10.32725078893759</v>
      </c>
      <c r="O47" s="8">
        <f>R_NF_2024*(1+G_HI)^(A47-2024)</f>
        <v>1633.5095592347195</v>
      </c>
      <c r="P47" s="10">
        <f>1-E47/O47</f>
        <v>0.22265800966971316</v>
      </c>
      <c r="Q47" s="10">
        <f>CPI_2023/(IF(A47-1=2023,CPI_2023,IF(A47-1=2024,CPI_2024,IF(A47-1=2025,CPI_2025,CPI_2025*(1+INFL)^(A47-1-2025)))))</f>
        <v>0.48584428725347256</v>
      </c>
      <c r="R47" s="8">
        <f>WAIT_DAYS_Y*ABS(SUPPLY_RESPONSE)*(F47-E47)/E47</f>
        <v>22143.26496215822</v>
      </c>
      <c r="S47" s="8">
        <f>WAIT_DAYS_Y*ABS(SUPPLY_RESPONSE)*(G47-E47)/E47</f>
        <v>27672.17462061878</v>
      </c>
      <c r="T47" s="13">
        <f>(F47-E47)*MCD_NF_DAYS*Q47-R47*MCD_SHARE_FREED*R_WAIT_2023</f>
        <v>62124700.935393974</v>
      </c>
      <c r="U47" s="13">
        <f>(G47-E47)*MCD_NF_DAYS*Q47-S47*MCD_SHARE_FREED*R_WAIT_2023</f>
        <v>77636499.20081092</v>
      </c>
      <c r="V47" s="10">
        <f>IF(AND(A47&gt;=RULE_START,B47=1),1/(1+DISC_RATE)^(A47-RULE_START+1),0)</f>
        <v>0</v>
      </c>
      <c r="W47">
        <f>IF(AND(A47&gt;=RULE_START,B47=1,L47&lt;0),A47,9999)</f>
        <v>9999</v>
      </c>
      <c r="X47">
        <f>IF(AND(A47&gt;=RULE_START,B47=1,M47&lt;0),A47,9999)</f>
        <v>9999</v>
      </c>
      <c r="Y47">
        <f>IF(AND(A47&gt;=RULE_START,B47=1,N47&lt;0),A47,9999)</f>
        <v>9999</v>
      </c>
    </row>
    <row r="48">
      <c r="A48" t="n">
        <v>2056</v>
      </c>
      <c r="B48">
        <f>IF(A48&lt;=RULE_START+HORIZON-1,1,0)</f>
        <v>0</v>
      </c>
      <c r="C48" s="15">
        <f>IF(A48=2024,G_IDX_2024,IF(A48=2025,G_IDX_2025,IF(A48=2026,G_IDX_2026,IF(A48=2027,G_IDX_2027,G_IDX_POST))))</f>
        <v>0.033</v>
      </c>
      <c r="D48" s="8">
        <f>C_OP*(1+G_HI)^(A48-COST_DATE)</f>
        <v>1594.163178558687</v>
      </c>
      <c r="E48" s="8">
        <f>E47*(1+C48)</f>
        <v>1311.6988258750355</v>
      </c>
      <c r="F48" s="8">
        <f>IF(A48&lt;RULE_START,E48,F47*(1+G_HI))</f>
        <v>1614.1660312179606</v>
      </c>
      <c r="G48" s="8">
        <f>IF(A48&lt;RULE_START,E48,IF(H48=1,R_NF_2024*(1+G_HI)^(A48-2024),G47*(1+C48)))</f>
        <v>1675.7846165671517</v>
      </c>
      <c r="H48">
        <f>IF(AND(A48&gt;=RULE_START,MOD(A48-RULE_START,REBASE_YEARS)=0),1,0)</f>
        <v>0</v>
      </c>
      <c r="I48" s="8">
        <f>E48*CAP_SHARE</f>
        <v>64.1385689504203</v>
      </c>
      <c r="J48" s="8">
        <f>F48*CAP_SHARE</f>
        <v>78.92840738165204</v>
      </c>
      <c r="K48" s="8">
        <f>G48*CAP_SHARE</f>
        <v>81.94139161788475</v>
      </c>
      <c r="L48" s="8">
        <f>E48-I48-D48</f>
        <v>-346.60292163407166</v>
      </c>
      <c r="M48" s="8">
        <f>F48-J48-D48</f>
        <v>-58.925554722378365</v>
      </c>
      <c r="N48" s="8">
        <f>G48-K48-D48</f>
        <v>-0.3199536094200539</v>
      </c>
      <c r="O48" s="8">
        <f>R_NF_2024*(1+G_HI)^(A48-2024)</f>
        <v>1699.1268559149519</v>
      </c>
      <c r="P48" s="10">
        <f>1-E48/O48</f>
        <v>0.22801595342408543</v>
      </c>
      <c r="Q48" s="10">
        <f>CPI_2023/(IF(A48-1=2023,CPI_2023,IF(A48-1=2024,CPI_2024,IF(A48-1=2025,CPI_2025,CPI_2025*(1+INFL)^(A48-1-2025)))))</f>
        <v>0.4750139687656165</v>
      </c>
      <c r="R48" s="8">
        <f>WAIT_DAYS_Y*ABS(SUPPLY_RESPONSE)*(F48-E48)/E48</f>
        <v>22988.882118549598</v>
      </c>
      <c r="S48" s="8">
        <f>WAIT_DAYS_Y*ABS(SUPPLY_RESPONSE)*(G48-E48)/E48</f>
        <v>27672.17462061878</v>
      </c>
      <c r="T48" s="13">
        <f>(F48-E48)*MCD_NF_DAYS*Q48-R48*MCD_SHARE_FREED*R_WAIT_2023</f>
        <v>65244601.89508792</v>
      </c>
      <c r="U48" s="13">
        <f>(G48-E48)*MCD_NF_DAYS*Q48-S48*MCD_SHARE_FREED*R_WAIT_2023</f>
        <v>78536224.91877554</v>
      </c>
      <c r="V48" s="10">
        <f>IF(AND(A48&gt;=RULE_START,B48=1),1/(1+DISC_RATE)^(A48-RULE_START+1),0)</f>
        <v>0</v>
      </c>
      <c r="W48">
        <f>IF(AND(A48&gt;=RULE_START,B48=1,L48&lt;0),A48,9999)</f>
        <v>9999</v>
      </c>
      <c r="X48">
        <f>IF(AND(A48&gt;=RULE_START,B48=1,M48&lt;0),A48,9999)</f>
        <v>9999</v>
      </c>
      <c r="Y48">
        <f>IF(AND(A48&gt;=RULE_START,B48=1,N48&lt;0),A48,9999)</f>
        <v>9999</v>
      </c>
    </row>
    <row r="49">
      <c r="A49" t="n">
        <v>2057</v>
      </c>
      <c r="B49">
        <f>IF(A49&lt;=RULE_START+HORIZON-1,1,0)</f>
        <v>0</v>
      </c>
      <c r="C49" s="15">
        <f>IF(A49=2024,G_IDX_2024,IF(A49=2025,G_IDX_2025,IF(A49=2026,G_IDX_2026,IF(A49=2027,G_IDX_2027,G_IDX_POST))))</f>
        <v>0.033</v>
      </c>
      <c r="D49" s="8">
        <f>C_OP*(1+G_HI)^(A49-COST_DATE)</f>
        <v>1658.199949970783</v>
      </c>
      <c r="E49" s="8">
        <f>E48*(1+C49)</f>
        <v>1354.9848871289116</v>
      </c>
      <c r="F49" s="8">
        <f>IF(A49&lt;RULE_START,E49,F48*(1+G_HI))</f>
        <v>1679.006307641689</v>
      </c>
      <c r="G49" s="8">
        <f>IF(A49&lt;RULE_START,E49,IF(H49=1,R_NF_2024*(1+G_HI)^(A49-2024),G48*(1+C49)))</f>
        <v>1767.3799679776414</v>
      </c>
      <c r="H49">
        <f>IF(AND(A49&gt;=RULE_START,MOD(A49-RULE_START,REBASE_YEARS)=0),1,0)</f>
        <v>1</v>
      </c>
      <c r="I49" s="8">
        <f>E49*CAP_SHARE</f>
        <v>66.25514172578417</v>
      </c>
      <c r="J49" s="8">
        <f>F49*CAP_SHARE</f>
        <v>82.09892370607834</v>
      </c>
      <c r="K49" s="8">
        <f>G49*CAP_SHARE</f>
        <v>86.42015964457761</v>
      </c>
      <c r="L49" s="8">
        <f>E49-I49-D49</f>
        <v>-369.4702045676556</v>
      </c>
      <c r="M49" s="8">
        <f>F49-J49-D49</f>
        <v>-61.292566035172285</v>
      </c>
      <c r="N49" s="8">
        <f>G49-K49-D49</f>
        <v>22.759858362280738</v>
      </c>
      <c r="O49" s="8">
        <f>R_NF_2024*(1+G_HI)^(A49-2024)</f>
        <v>1767.3799679776414</v>
      </c>
      <c r="P49" s="10">
        <f>1-E49/O49</f>
        <v>0.233336966764776</v>
      </c>
      <c r="Q49" s="10">
        <f>CPI_2023/(IF(A49-1=2023,CPI_2023,IF(A49-1=2024,CPI_2024,IF(A49-1=2025,CPI_2025,CPI_2025*(1+INFL)^(A49-1-2025)))))</f>
        <v>0.46442507700979335</v>
      </c>
      <c r="R49" s="8">
        <f>WAIT_DAYS_Y*ABS(SUPPLY_RESPONSE)*(F49-E49)/E49</f>
        <v>23840.368268195136</v>
      </c>
      <c r="S49" s="8">
        <f>WAIT_DAYS_Y*ABS(SUPPLY_RESPONSE)*(G49-E49)/E49</f>
        <v>30342.594584848204</v>
      </c>
      <c r="T49" s="13">
        <f>(F49-E49)*MCD_NF_DAYS*Q49-R49*MCD_SHARE_FREED*R_WAIT_2023</f>
        <v>68444068.94648223</v>
      </c>
      <c r="U49" s="13">
        <f>(G49-E49)*MCD_NF_DAYS*Q49-S49*MCD_SHARE_FREED*R_WAIT_2023</f>
        <v>87111516.58471143</v>
      </c>
      <c r="V49" s="10">
        <f>IF(AND(A49&gt;=RULE_START,B49=1),1/(1+DISC_RATE)^(A49-RULE_START+1),0)</f>
        <v>0</v>
      </c>
      <c r="W49">
        <f>IF(AND(A49&gt;=RULE_START,B49=1,L49&lt;0),A49,9999)</f>
        <v>9999</v>
      </c>
      <c r="X49">
        <f>IF(AND(A49&gt;=RULE_START,B49=1,M49&lt;0),A49,9999)</f>
        <v>9999</v>
      </c>
      <c r="Y49">
        <f>IF(AND(A49&gt;=RULE_START,B49=1,N49&lt;0),A49,9999)</f>
        <v>9999</v>
      </c>
    </row>
    <row r="50">
      <c r="A50" t="n">
        <v>2058</v>
      </c>
      <c r="B50">
        <f>IF(A50&lt;=RULE_START+HORIZON-1,1,0)</f>
        <v>0</v>
      </c>
      <c r="C50" s="15">
        <f>IF(A50=2024,G_IDX_2024,IF(A50=2025,G_IDX_2025,IF(A50=2026,G_IDX_2026,IF(A50=2027,G_IDX_2027,G_IDX_POST))))</f>
        <v>0.033</v>
      </c>
      <c r="D50" s="8">
        <f>C_OP*(1+G_HI)^(A50-COST_DATE)</f>
        <v>1724.8090478222546</v>
      </c>
      <c r="E50" s="8">
        <f>E49*(1+C50)</f>
        <v>1399.6993884041656</v>
      </c>
      <c r="F50" s="8">
        <f>IF(A50&lt;RULE_START,E50,F49*(1+G_HI))</f>
        <v>1746.4511869162986</v>
      </c>
      <c r="G50" s="8">
        <f>IF(A50&lt;RULE_START,E50,IF(H50=1,R_NF_2024*(1+G_HI)^(A50-2024),G49*(1+C50)))</f>
        <v>1825.7035069209035</v>
      </c>
      <c r="H50">
        <f>IF(AND(A50&gt;=RULE_START,MOD(A50-RULE_START,REBASE_YEARS)=0),1,0)</f>
        <v>0</v>
      </c>
      <c r="I50" s="8">
        <f>E50*CAP_SHARE</f>
        <v>68.44156140273503</v>
      </c>
      <c r="J50" s="8">
        <f>F50*CAP_SHARE</f>
        <v>85.39679815284515</v>
      </c>
      <c r="K50" s="8">
        <f>G50*CAP_SHARE</f>
        <v>89.27202491284866</v>
      </c>
      <c r="L50" s="8">
        <f>E50-I50-D50</f>
        <v>-393.551220820824</v>
      </c>
      <c r="M50" s="8">
        <f>F50-J50-D50</f>
        <v>-63.75465905880105</v>
      </c>
      <c r="N50" s="8">
        <f>G50-K50-D50</f>
        <v>11.62243418580033</v>
      </c>
      <c r="O50" s="8">
        <f>R_NF_2024*(1+G_HI)^(A50-2024)</f>
        <v>1838.3747748643666</v>
      </c>
      <c r="P50" s="10">
        <f>1-E50/O50</f>
        <v>0.23862130424008132</v>
      </c>
      <c r="Q50" s="10">
        <f>CPI_2023/(IF(A50-1=2023,CPI_2023,IF(A50-1=2024,CPI_2024,IF(A50-1=2025,CPI_2025,CPI_2025*(1+INFL)^(A50-1-2025)))))</f>
        <v>0.4540722301620974</v>
      </c>
      <c r="R50" s="8">
        <f>WAIT_DAYS_Y*ABS(SUPPLY_RESPONSE)*(F50-E50)/E50</f>
        <v>24697.764144754947</v>
      </c>
      <c r="S50" s="8">
        <f>WAIT_DAYS_Y*ABS(SUPPLY_RESPONSE)*(G50-E50)/E50</f>
        <v>30342.59458484821</v>
      </c>
      <c r="T50" s="13">
        <f>(F50-E50)*MCD_NF_DAYS*Q50-R50*MCD_SHARE_FREED*R_WAIT_2023</f>
        <v>71724706.70032805</v>
      </c>
      <c r="U50" s="13">
        <f>(G50-E50)*MCD_NF_DAYS*Q50-S50*MCD_SHARE_FREED*R_WAIT_2023</f>
        <v>88117842.74761498</v>
      </c>
      <c r="V50" s="10">
        <f>IF(AND(A50&gt;=RULE_START,B50=1),1/(1+DISC_RATE)^(A50-RULE_START+1),0)</f>
        <v>0</v>
      </c>
      <c r="W50">
        <f>IF(AND(A50&gt;=RULE_START,B50=1,L50&lt;0),A50,9999)</f>
        <v>9999</v>
      </c>
      <c r="X50">
        <f>IF(AND(A50&gt;=RULE_START,B50=1,M50&lt;0),A50,9999)</f>
        <v>9999</v>
      </c>
      <c r="Y50">
        <f>IF(AND(A50&gt;=RULE_START,B50=1,N50&lt;0),A50,9999)</f>
        <v>9999</v>
      </c>
    </row>
    <row r="51">
      <c r="A51" t="n">
        <v>2059</v>
      </c>
      <c r="B51">
        <f>IF(A51&lt;=RULE_START+HORIZON-1,1,0)</f>
        <v>0</v>
      </c>
      <c r="C51" s="15">
        <f>IF(A51=2024,G_IDX_2024,IF(A51=2025,G_IDX_2025,IF(A51=2026,G_IDX_2026,IF(A51=2027,G_IDX_2027,G_IDX_POST))))</f>
        <v>0.033</v>
      </c>
      <c r="D51" s="8">
        <f>C_OP*(1+G_HI)^(A51-COST_DATE)</f>
        <v>1794.0938012342422</v>
      </c>
      <c r="E51" s="8">
        <f>E50*(1+C51)</f>
        <v>1445.889468221503</v>
      </c>
      <c r="F51" s="8">
        <f>IF(A51&lt;RULE_START,E51,F50*(1+G_HI))</f>
        <v>1816.6052946909224</v>
      </c>
      <c r="G51" s="8">
        <f>IF(A51&lt;RULE_START,E51,IF(H51=1,R_NF_2024*(1+G_HI)^(A51-2024),G50*(1+C51)))</f>
        <v>1885.951722649293</v>
      </c>
      <c r="H51">
        <f>IF(AND(A51&gt;=RULE_START,MOD(A51-RULE_START,REBASE_YEARS)=0),1,0)</f>
        <v>0</v>
      </c>
      <c r="I51" s="8">
        <f>E51*CAP_SHARE</f>
        <v>70.70013292902529</v>
      </c>
      <c r="J51" s="8">
        <f>F51*CAP_SHARE</f>
        <v>88.82714663673302</v>
      </c>
      <c r="K51" s="8">
        <f>G51*CAP_SHARE</f>
        <v>92.21800173497266</v>
      </c>
      <c r="L51" s="8">
        <f>E51-I51-D51</f>
        <v>-418.90446594176456</v>
      </c>
      <c r="M51" s="8">
        <f>F51-J51-D51</f>
        <v>-66.31565318005278</v>
      </c>
      <c r="N51" s="8">
        <f>G51-K51-D51</f>
        <v>-0.3600803199217353</v>
      </c>
      <c r="O51" s="8">
        <f>R_NF_2024*(1+G_HI)^(A51-2024)</f>
        <v>1912.2214091431667</v>
      </c>
      <c r="P51" s="10">
        <f>1-E51/O51</f>
        <v>0.2438692186437862</v>
      </c>
      <c r="Q51" s="10">
        <f>CPI_2023/(IF(A51-1=2023,CPI_2023,IF(A51-1=2024,CPI_2024,IF(A51-1=2025,CPI_2025,CPI_2025*(1+INFL)^(A51-1-2025)))))</f>
        <v>0.44395016636888696</v>
      </c>
      <c r="R51" s="8">
        <f>WAIT_DAYS_Y*ABS(SUPPLY_RESPONSE)*(F51-E51)/E51</f>
        <v>25561.110764600464</v>
      </c>
      <c r="S51" s="8">
        <f>WAIT_DAYS_Y*ABS(SUPPLY_RESPONSE)*(G51-E51)/E51</f>
        <v>30342.5945848482</v>
      </c>
      <c r="T51" s="13">
        <f>(F51-E51)*MCD_NF_DAYS*Q51-R51*MCD_SHARE_FREED*R_WAIT_2023</f>
        <v>75088149.46313705</v>
      </c>
      <c r="U51" s="13">
        <f>(G51-E51)*MCD_NF_DAYS*Q51-S51*MCD_SHARE_FREED*R_WAIT_2023</f>
        <v>89134204.62313259</v>
      </c>
      <c r="V51" s="10">
        <f>IF(AND(A51&gt;=RULE_START,B51=1),1/(1+DISC_RATE)^(A51-RULE_START+1),0)</f>
        <v>0</v>
      </c>
      <c r="W51">
        <f>IF(AND(A51&gt;=RULE_START,B51=1,L51&lt;0),A51,9999)</f>
        <v>9999</v>
      </c>
      <c r="X51">
        <f>IF(AND(A51&gt;=RULE_START,B51=1,M51&lt;0),A51,9999)</f>
        <v>9999</v>
      </c>
      <c r="Y51">
        <f>IF(AND(A51&gt;=RULE_START,B51=1,N51&lt;0),A51,9999)</f>
        <v>9999</v>
      </c>
    </row>
    <row r="52">
      <c r="A52" t="n">
        <v>2060</v>
      </c>
      <c r="B52">
        <f>IF(A52&lt;=RULE_START+HORIZON-1,1,0)</f>
        <v>0</v>
      </c>
      <c r="C52" s="15">
        <f>IF(A52=2024,G_IDX_2024,IF(A52=2025,G_IDX_2025,IF(A52=2026,G_IDX_2026,IF(A52=2027,G_IDX_2027,G_IDX_POST))))</f>
        <v>0.033</v>
      </c>
      <c r="D52" s="8">
        <f>C_OP*(1+G_HI)^(A52-COST_DATE)</f>
        <v>1866.1616900091967</v>
      </c>
      <c r="E52" s="8">
        <f>E51*(1+C52)</f>
        <v>1493.6038206728124</v>
      </c>
      <c r="F52" s="8">
        <f>IF(A52&lt;RULE_START,E52,F51*(1+G_HI))</f>
        <v>1889.5774593769127</v>
      </c>
      <c r="G52" s="8">
        <f>IF(A52&lt;RULE_START,E52,IF(H52=1,R_NF_2024*(1+G_HI)^(A52-2024),G51*(1+C52)))</f>
        <v>1989.0344273545952</v>
      </c>
      <c r="H52">
        <f>IF(AND(A52&gt;=RULE_START,MOD(A52-RULE_START,REBASE_YEARS)=0),1,0)</f>
        <v>1</v>
      </c>
      <c r="I52" s="8">
        <f>E52*CAP_SHARE</f>
        <v>73.03323731568312</v>
      </c>
      <c r="J52" s="8">
        <f>F52*CAP_SHARE</f>
        <v>92.39529057636913</v>
      </c>
      <c r="K52" s="8">
        <f>G52*CAP_SHARE</f>
        <v>97.25847065429662</v>
      </c>
      <c r="L52" s="8">
        <f>E52-I52-D52</f>
        <v>-445.59110665206754</v>
      </c>
      <c r="M52" s="8">
        <f>F52-J52-D52</f>
        <v>-68.9795212086533</v>
      </c>
      <c r="N52" s="8">
        <f>G52-K52-D52</f>
        <v>25.614266691101875</v>
      </c>
      <c r="O52" s="8">
        <f>R_NF_2024*(1+G_HI)^(A52-2024)</f>
        <v>1989.0344273545952</v>
      </c>
      <c r="P52" s="10">
        <f>1-E52/O52</f>
        <v>0.2490809610272572</v>
      </c>
      <c r="Q52" s="10">
        <f>CPI_2023/(IF(A52-1=2023,CPI_2023,IF(A52-1=2024,CPI_2024,IF(A52-1=2025,CPI_2025,CPI_2025*(1+INFL)^(A52-1-2025)))))</f>
        <v>0.4340537410724354</v>
      </c>
      <c r="R52" s="8">
        <f>WAIT_DAYS_Y*ABS(SUPPLY_RESPONSE)*(F52-E52)/E52</f>
        <v>26430.44942877667</v>
      </c>
      <c r="S52" s="8">
        <f>WAIT_DAYS_Y*ABS(SUPPLY_RESPONSE)*(G52-E52)/E52</f>
        <v>33069.00337665183</v>
      </c>
      <c r="T52" s="13">
        <f>(F52-E52)*MCD_NF_DAYS*Q52-R52*MCD_SHARE_FREED*R_WAIT_2023</f>
        <v>78536061.76531066</v>
      </c>
      <c r="U52" s="13">
        <f>(G52-E52)*MCD_NF_DAYS*Q52-S52*MCD_SHARE_FREED*R_WAIT_2023</f>
        <v>98262017.78008139</v>
      </c>
      <c r="V52" s="10">
        <f>IF(AND(A52&gt;=RULE_START,B52=1),1/(1+DISC_RATE)^(A52-RULE_START+1),0)</f>
        <v>0</v>
      </c>
      <c r="W52">
        <f>IF(AND(A52&gt;=RULE_START,B52=1,L52&lt;0),A52,9999)</f>
        <v>9999</v>
      </c>
      <c r="X52">
        <f>IF(AND(A52&gt;=RULE_START,B52=1,M52&lt;0),A52,9999)</f>
        <v>9999</v>
      </c>
      <c r="Y52">
        <f>IF(AND(A52&gt;=RULE_START,B52=1,N52&lt;0),A52,9999)</f>
        <v>9999</v>
      </c>
    </row>
    <row r="53">
      <c r="A53" t="n">
        <v>2061</v>
      </c>
      <c r="B53">
        <f>IF(A53&lt;=RULE_START+HORIZON-1,1,0)</f>
        <v>0</v>
      </c>
      <c r="C53" s="15">
        <f>IF(A53=2024,G_IDX_2024,IF(A53=2025,G_IDX_2025,IF(A53=2026,G_IDX_2026,IF(A53=2027,G_IDX_2027,G_IDX_POST))))</f>
        <v>0.033</v>
      </c>
      <c r="D53" s="8">
        <f>C_OP*(1+G_HI)^(A53-COST_DATE)</f>
        <v>1941.1245113617606</v>
      </c>
      <c r="E53" s="8">
        <f>E52*(1+C53)</f>
        <v>1542.892746755015</v>
      </c>
      <c r="F53" s="8">
        <f>IF(A53&lt;RULE_START,E53,F52*(1+G_HI))</f>
        <v>1965.4808809707856</v>
      </c>
      <c r="G53" s="8">
        <f>IF(A53&lt;RULE_START,E53,IF(H53=1,R_NF_2024*(1+G_HI)^(A53-2024),G52*(1+C53)))</f>
        <v>2054.6725634572967</v>
      </c>
      <c r="H53">
        <f>IF(AND(A53&gt;=RULE_START,MOD(A53-RULE_START,REBASE_YEARS)=0),1,0)</f>
        <v>0</v>
      </c>
      <c r="I53" s="8">
        <f>E53*CAP_SHARE</f>
        <v>75.44333414710066</v>
      </c>
      <c r="J53" s="8">
        <f>F53*CAP_SHARE</f>
        <v>96.1067651492184</v>
      </c>
      <c r="K53" s="8">
        <f>G53*CAP_SHARE</f>
        <v>100.4680001858884</v>
      </c>
      <c r="L53" s="8">
        <f>E53-I53-D53</f>
        <v>-473.6750987538462</v>
      </c>
      <c r="M53" s="8">
        <f>F53-J53-D53</f>
        <v>-71.7503955401935</v>
      </c>
      <c r="N53" s="8">
        <f>G53-K53-D53</f>
        <v>13.080051909647864</v>
      </c>
      <c r="O53" s="8">
        <f>R_NF_2024*(1+G_HI)^(A53-2024)</f>
        <v>2068.9329877205764</v>
      </c>
      <c r="P53" s="10">
        <f>1-E53/O53</f>
        <v>0.25425678071145275</v>
      </c>
      <c r="Q53" s="10">
        <f>CPI_2023/(IF(A53-1=2023,CPI_2023,IF(A53-1=2024,CPI_2024,IF(A53-1=2025,CPI_2025,CPI_2025*(1+INFL)^(A53-1-2025)))))</f>
        <v>0.424377924396202</v>
      </c>
      <c r="R53" s="8">
        <f>WAIT_DAYS_Y*ABS(SUPPLY_RESPONSE)*(F53-E53)/E53</f>
        <v>27305.8217249778</v>
      </c>
      <c r="S53" s="8">
        <f>WAIT_DAYS_Y*ABS(SUPPLY_RESPONSE)*(G53-E53)/E53</f>
        <v>33069.003376651846</v>
      </c>
      <c r="T53" s="13">
        <f>(F53-E53)*MCD_NF_DAYS*Q53-R53*MCD_SHARE_FREED*R_WAIT_2023</f>
        <v>82070138.89847243</v>
      </c>
      <c r="U53" s="13">
        <f>(G53-E53)*MCD_NF_DAYS*Q53-S53*MCD_SHARE_FREED*R_WAIT_2023</f>
        <v>99391907.25299722</v>
      </c>
      <c r="V53" s="10">
        <f>IF(AND(A53&gt;=RULE_START,B53=1),1/(1+DISC_RATE)^(A53-RULE_START+1),0)</f>
        <v>0</v>
      </c>
      <c r="W53">
        <f>IF(AND(A53&gt;=RULE_START,B53=1,L53&lt;0),A53,9999)</f>
        <v>9999</v>
      </c>
      <c r="X53">
        <f>IF(AND(A53&gt;=RULE_START,B53=1,M53&lt;0),A53,9999)</f>
        <v>9999</v>
      </c>
      <c r="Y53">
        <f>IF(AND(A53&gt;=RULE_START,B53=1,N53&lt;0),A53,9999)</f>
        <v>9999</v>
      </c>
    </row>
    <row r="54">
      <c r="A54" t="n">
        <v>2062</v>
      </c>
      <c r="B54">
        <f>IF(A54&lt;=RULE_START+HORIZON-1,1,0)</f>
        <v>0</v>
      </c>
      <c r="C54" s="15">
        <f>IF(A54=2024,G_IDX_2024,IF(A54=2025,G_IDX_2025,IF(A54=2026,G_IDX_2026,IF(A54=2027,G_IDX_2027,G_IDX_POST))))</f>
        <v>0.033</v>
      </c>
      <c r="D54" s="8">
        <f>C_OP*(1+G_HI)^(A54-COST_DATE)</f>
        <v>2019.0985533471453</v>
      </c>
      <c r="E54" s="8">
        <f>E53*(1+C54)</f>
        <v>1593.8082073979303</v>
      </c>
      <c r="F54" s="8">
        <f>IF(A54&lt;RULE_START,E54,F53*(1+G_HI))</f>
        <v>2044.4333066587046</v>
      </c>
      <c r="G54" s="8">
        <f>IF(A54&lt;RULE_START,E54,IF(H54=1,R_NF_2024*(1+G_HI)^(A54-2024),G53*(1+C54)))</f>
        <v>2122.476758051387</v>
      </c>
      <c r="H54">
        <f>IF(AND(A54&gt;=RULE_START,MOD(A54-RULE_START,REBASE_YEARS)=0),1,0)</f>
        <v>0</v>
      </c>
      <c r="I54" s="8">
        <f>E54*CAP_SHARE</f>
        <v>77.93296417395497</v>
      </c>
      <c r="J54" s="8">
        <f>F54*CAP_SHARE</f>
        <v>99.96732787817366</v>
      </c>
      <c r="K54" s="8">
        <f>G54*CAP_SHARE</f>
        <v>103.7834441920227</v>
      </c>
      <c r="L54" s="8">
        <f>E54-I54-D54</f>
        <v>-503.22331012317</v>
      </c>
      <c r="M54" s="8">
        <f>F54-J54-D54</f>
        <v>-74.63257456661427</v>
      </c>
      <c r="N54" s="8">
        <f>G54-K54-D54</f>
        <v>-0.4052394877808183</v>
      </c>
      <c r="O54" s="8">
        <f>R_NF_2024*(1+G_HI)^(A54-2024)</f>
        <v>2152.0410349917424</v>
      </c>
      <c r="P54" s="10">
        <f>1-E54/O54</f>
        <v>0.2593969252988496</v>
      </c>
      <c r="Q54" s="10">
        <f>CPI_2023/(IF(A54-1=2023,CPI_2023,IF(A54-1=2024,CPI_2024,IF(A54-1=2025,CPI_2025,CPI_2025*(1+INFL)^(A54-1-2025)))))</f>
        <v>0.41491779858838684</v>
      </c>
      <c r="R54" s="8">
        <f>WAIT_DAYS_Y*ABS(SUPPLY_RESPONSE)*(F54-E54)/E54</f>
        <v>28187.269529536887</v>
      </c>
      <c r="S54" s="8">
        <f>WAIT_DAYS_Y*ABS(SUPPLY_RESPONSE)*(G54-E54)/E54</f>
        <v>33069.00337665183</v>
      </c>
      <c r="T54" s="13">
        <f>(F54-E54)*MCD_NF_DAYS*Q54-R54*MCD_SHARE_FREED*R_WAIT_2023</f>
        <v>85692107.462161</v>
      </c>
      <c r="U54" s="13">
        <f>(G54-E54)*MCD_NF_DAYS*Q54-S54*MCD_SHARE_FREED*R_WAIT_2023</f>
        <v>100533064.68897882</v>
      </c>
      <c r="V54" s="10">
        <f>IF(AND(A54&gt;=RULE_START,B54=1),1/(1+DISC_RATE)^(A54-RULE_START+1),0)</f>
        <v>0</v>
      </c>
      <c r="W54">
        <f>IF(AND(A54&gt;=RULE_START,B54=1,L54&lt;0),A54,9999)</f>
        <v>9999</v>
      </c>
      <c r="X54">
        <f>IF(AND(A54&gt;=RULE_START,B54=1,M54&lt;0),A54,9999)</f>
        <v>9999</v>
      </c>
      <c r="Y54">
        <f>IF(AND(A54&gt;=RULE_START,B54=1,N54&lt;0),A54,9999)</f>
        <v>9999</v>
      </c>
    </row>
    <row r="55">
      <c r="A55" t="n">
        <v>2063</v>
      </c>
      <c r="B55">
        <f>IF(A55&lt;=RULE_START+HORIZON-1,1,0)</f>
        <v>0</v>
      </c>
      <c r="C55" s="15">
        <f>IF(A55=2024,G_IDX_2024,IF(A55=2025,G_IDX_2025,IF(A55=2026,G_IDX_2026,IF(A55=2027,G_IDX_2027,G_IDX_POST))))</f>
        <v>0.033</v>
      </c>
      <c r="D55" s="8">
        <f>C_OP*(1+G_HI)^(A55-COST_DATE)</f>
        <v>2100.2047752560497</v>
      </c>
      <c r="E55" s="8">
        <f>E54*(1+C55)</f>
        <v>1646.4038782420619</v>
      </c>
      <c r="F55" s="8">
        <f>IF(A55&lt;RULE_START,E55,F54*(1+G_HI))</f>
        <v>2126.55721347491</v>
      </c>
      <c r="G55" s="8">
        <f>IF(A55&lt;RULE_START,E55,IF(H55=1,R_NF_2024*(1+G_HI)^(A55-2024),G54*(1+C55)))</f>
        <v>2238.4874927199994</v>
      </c>
      <c r="H55">
        <f>IF(AND(A55&gt;=RULE_START,MOD(A55-RULE_START,REBASE_YEARS)=0),1,0)</f>
        <v>1</v>
      </c>
      <c r="I55" s="8">
        <f>E55*CAP_SHARE</f>
        <v>80.50475199169547</v>
      </c>
      <c r="J55" s="8">
        <f>F55*CAP_SHARE</f>
        <v>103.98296756306493</v>
      </c>
      <c r="K55" s="8">
        <f>G55*CAP_SHARE</f>
        <v>109.456059244924</v>
      </c>
      <c r="L55" s="8">
        <f>E55-I55-D55</f>
        <v>-534.3056490056833</v>
      </c>
      <c r="M55" s="8">
        <f>F55-J55-D55</f>
        <v>-77.63052934420466</v>
      </c>
      <c r="N55" s="8">
        <f>G55-K55-D55</f>
        <v>28.82665821902583</v>
      </c>
      <c r="O55" s="8">
        <f>R_NF_2024*(1+G_HI)^(A55-2024)</f>
        <v>2238.4874927199994</v>
      </c>
      <c r="P55" s="10">
        <f>1-E55/O55</f>
        <v>0.2645016406852885</v>
      </c>
      <c r="Q55" s="10">
        <f>CPI_2023/(IF(A55-1=2023,CPI_2023,IF(A55-1=2024,CPI_2024,IF(A55-1=2025,CPI_2025,CPI_2025*(1+INFL)^(A55-1-2025)))))</f>
        <v>0.40566855552247444</v>
      </c>
      <c r="R55" s="8">
        <f>WAIT_DAYS_Y*ABS(SUPPLY_RESPONSE)*(F55-E55)/E55</f>
        <v>29074.835009429025</v>
      </c>
      <c r="S55" s="8">
        <f>WAIT_DAYS_Y*ABS(SUPPLY_RESPONSE)*(G55-E55)/E55</f>
        <v>35852.57487461627</v>
      </c>
      <c r="T55" s="13">
        <f>(F55-E55)*MCD_NF_DAYS*Q55-R55*MCD_SHARE_FREED*R_WAIT_2023</f>
        <v>89403725.920046</v>
      </c>
      <c r="U55" s="13">
        <f>(G55-E55)*MCD_NF_DAYS*Q55-S55*MCD_SHARE_FREED*R_WAIT_2023</f>
        <v>110244951.57336639</v>
      </c>
      <c r="V55" s="10">
        <f>IF(AND(A55&gt;=RULE_START,B55=1),1/(1+DISC_RATE)^(A55-RULE_START+1),0)</f>
        <v>0</v>
      </c>
      <c r="W55">
        <f>IF(AND(A55&gt;=RULE_START,B55=1,L55&lt;0),A55,9999)</f>
        <v>9999</v>
      </c>
      <c r="X55">
        <f>IF(AND(A55&gt;=RULE_START,B55=1,M55&lt;0),A55,9999)</f>
        <v>9999</v>
      </c>
      <c r="Y55">
        <f>IF(AND(A55&gt;=RULE_START,B55=1,N55&lt;0),A55,9999)</f>
        <v>9999</v>
      </c>
    </row>
    <row r="56">
      <c r="A56" t="n">
        <v>2064</v>
      </c>
      <c r="B56">
        <f>IF(A56&lt;=RULE_START+HORIZON-1,1,0)</f>
        <v>0</v>
      </c>
      <c r="C56" s="15">
        <f>IF(A56=2024,G_IDX_2024,IF(A56=2025,G_IDX_2025,IF(A56=2026,G_IDX_2026,IF(A56=2027,G_IDX_2027,G_IDX_POST))))</f>
        <v>0.033</v>
      </c>
      <c r="D56" s="8">
        <f>C_OP*(1+G_HI)^(A56-COST_DATE)</f>
        <v>2184.5689952559496</v>
      </c>
      <c r="E56" s="8">
        <f>E55*(1+C56)</f>
        <v>1700.7352062240498</v>
      </c>
      <c r="F56" s="8">
        <f>IF(A56&lt;RULE_START,E56,F55*(1+G_HI))</f>
        <v>2211.979998297451</v>
      </c>
      <c r="G56" s="8">
        <f>IF(A56&lt;RULE_START,E56,IF(H56=1,R_NF_2024*(1+G_HI)^(A56-2024),G55*(1+C56)))</f>
        <v>2312.357579979759</v>
      </c>
      <c r="H56">
        <f>IF(AND(A56&gt;=RULE_START,MOD(A56-RULE_START,REBASE_YEARS)=0),1,0)</f>
        <v>0</v>
      </c>
      <c r="I56" s="8">
        <f>E56*CAP_SHARE</f>
        <v>83.16140880742141</v>
      </c>
      <c r="J56" s="8">
        <f>F56*CAP_SHARE</f>
        <v>108.15991357094329</v>
      </c>
      <c r="K56" s="8">
        <f>G56*CAP_SHARE</f>
        <v>113.06810920000649</v>
      </c>
      <c r="L56" s="8">
        <f>E56-I56-D56</f>
        <v>-566.9951978393212</v>
      </c>
      <c r="M56" s="8">
        <f>F56-J56-D56</f>
        <v>-80.74891052944213</v>
      </c>
      <c r="N56" s="8">
        <f>G56-K56-D56</f>
        <v>14.720475523803088</v>
      </c>
      <c r="O56" s="8">
        <f>R_NF_2024*(1+G_HI)^(A56-2024)</f>
        <v>2328.406463254589</v>
      </c>
      <c r="P56" s="10">
        <f>1-E56/O56</f>
        <v>0.26957117107173634</v>
      </c>
      <c r="Q56" s="10">
        <f>CPI_2023/(IF(A56-1=2023,CPI_2023,IF(A56-1=2024,CPI_2024,IF(A56-1=2025,CPI_2025,CPI_2025*(1+INFL)^(A56-1-2025)))))</f>
        <v>0.3966254942534948</v>
      </c>
      <c r="R56" s="8">
        <f>WAIT_DAYS_Y*ABS(SUPPLY_RESPONSE)*(F56-E56)/E56</f>
        <v>29968.560624288544</v>
      </c>
      <c r="S56" s="8">
        <f>WAIT_DAYS_Y*ABS(SUPPLY_RESPONSE)*(G56-E56)/E56</f>
        <v>35852.574874616264</v>
      </c>
      <c r="T56" s="13">
        <f>(F56-E56)*MCD_NF_DAYS*Q56-R56*MCD_SHARE_FREED*R_WAIT_2023</f>
        <v>93206785.16582996</v>
      </c>
      <c r="U56" s="13">
        <f>(G56-E56)*MCD_NF_DAYS*Q56-S56*MCD_SHARE_FREED*R_WAIT_2023</f>
        <v>111506965.1116927</v>
      </c>
      <c r="V56" s="10">
        <f>IF(AND(A56&gt;=RULE_START,B56=1),1/(1+DISC_RATE)^(A56-RULE_START+1),0)</f>
        <v>0</v>
      </c>
      <c r="W56">
        <f>IF(AND(A56&gt;=RULE_START,B56=1,L56&lt;0),A56,9999)</f>
        <v>9999</v>
      </c>
      <c r="X56">
        <f>IF(AND(A56&gt;=RULE_START,B56=1,M56&lt;0),A56,9999)</f>
        <v>9999</v>
      </c>
      <c r="Y56">
        <f>IF(AND(A56&gt;=RULE_START,B56=1,N56&lt;0),A56,9999)</f>
        <v>9999</v>
      </c>
    </row>
    <row r="57">
      <c r="A57" t="n">
        <v>2065</v>
      </c>
      <c r="B57">
        <f>IF(A57&lt;=RULE_START+HORIZON-1,1,0)</f>
        <v>0</v>
      </c>
      <c r="C57" s="15">
        <f>IF(A57=2024,G_IDX_2024,IF(A57=2025,G_IDX_2025,IF(A57=2026,G_IDX_2026,IF(A57=2027,G_IDX_2027,G_IDX_POST))))</f>
        <v>0.033</v>
      </c>
      <c r="D57" s="8">
        <f>C_OP*(1+G_HI)^(A57-COST_DATE)</f>
        <v>2272.3220855698514</v>
      </c>
      <c r="E57" s="8">
        <f>E56*(1+C57)</f>
        <v>1756.8594680294432</v>
      </c>
      <c r="F57" s="8">
        <f>IF(A57&lt;RULE_START,E57,F56*(1+G_HI))</f>
        <v>2300.8341754759563</v>
      </c>
      <c r="G57" s="8">
        <f>IF(A57&lt;RULE_START,E57,IF(H57=1,R_NF_2024*(1+G_HI)^(A57-2024),G56*(1+C57)))</f>
        <v>2388.665380119091</v>
      </c>
      <c r="H57">
        <f>IF(AND(A57&gt;=RULE_START,MOD(A57-RULE_START,REBASE_YEARS)=0),1,0)</f>
        <v>0</v>
      </c>
      <c r="I57" s="8">
        <f>E57*CAP_SHARE</f>
        <v>85.9057352980663</v>
      </c>
      <c r="J57" s="8">
        <f>F57*CAP_SHARE</f>
        <v>112.50464549955093</v>
      </c>
      <c r="K57" s="8">
        <f>G57*CAP_SHARE</f>
        <v>116.79935680360668</v>
      </c>
      <c r="L57" s="8">
        <f>E57-I57-D57</f>
        <v>-601.3683528384745</v>
      </c>
      <c r="M57" s="8">
        <f>F57-J57-D57</f>
        <v>-83.99255559344601</v>
      </c>
      <c r="N57" s="8">
        <f>G57-K57-D57</f>
        <v>-0.45606225436722525</v>
      </c>
      <c r="O57" s="8">
        <f>R_NF_2024*(1+G_HI)^(A57-2024)</f>
        <v>2421.9374357719</v>
      </c>
      <c r="P57" s="10">
        <f>1-E57/O57</f>
        <v>0.27460575897596984</v>
      </c>
      <c r="Q57" s="10">
        <f>CPI_2023/(IF(A57-1=2023,CPI_2023,IF(A57-1=2024,CPI_2024,IF(A57-1=2025,CPI_2025,CPI_2025*(1+INFL)^(A57-1-2025)))))</f>
        <v>0.3877840186287591</v>
      </c>
      <c r="R57" s="8">
        <f>WAIT_DAYS_Y*ABS(SUPPLY_RESPONSE)*(F57-E57)/E57</f>
        <v>30868.48912844029</v>
      </c>
      <c r="S57" s="8">
        <f>WAIT_DAYS_Y*ABS(SUPPLY_RESPONSE)*(G57-E57)/E57</f>
        <v>35852.57487461628</v>
      </c>
      <c r="T57" s="13">
        <f>(F57-E57)*MCD_NF_DAYS*Q57-R57*MCD_SHARE_FREED*R_WAIT_2023</f>
        <v>97103109.0990042</v>
      </c>
      <c r="U57" s="13">
        <f>(G57-E57)*MCD_NF_DAYS*Q57-S57*MCD_SHARE_FREED*R_WAIT_2023</f>
        <v>112781564.23673294</v>
      </c>
      <c r="V57" s="10">
        <f>IF(AND(A57&gt;=RULE_START,B57=1),1/(1+DISC_RATE)^(A57-RULE_START+1),0)</f>
        <v>0</v>
      </c>
      <c r="W57">
        <f>IF(AND(A57&gt;=RULE_START,B57=1,L57&lt;0),A57,9999)</f>
        <v>9999</v>
      </c>
      <c r="X57">
        <f>IF(AND(A57&gt;=RULE_START,B57=1,M57&lt;0),A57,9999)</f>
        <v>9999</v>
      </c>
      <c r="Y57">
        <f>IF(AND(A57&gt;=RULE_START,B57=1,N57&lt;0),A57,9999)</f>
        <v>9999</v>
      </c>
    </row>
    <row r="58">
      <c r="A58" t="n">
        <v>2066</v>
      </c>
      <c r="B58">
        <f>IF(A58&lt;=RULE_START+HORIZON-1,1,0)</f>
        <v>0</v>
      </c>
      <c r="C58" s="15">
        <f>IF(A58=2024,G_IDX_2024,IF(A58=2025,G_IDX_2025,IF(A58=2026,G_IDX_2026,IF(A58=2027,G_IDX_2027,G_IDX_POST))))</f>
        <v>0.033</v>
      </c>
      <c r="D58" s="8">
        <f>C_OP*(1+G_HI)^(A58-COST_DATE)</f>
        <v>2363.600175495285</v>
      </c>
      <c r="E58" s="8">
        <f>E57*(1+C58)</f>
        <v>1814.8358304744147</v>
      </c>
      <c r="F58" s="8">
        <f>IF(A58&lt;RULE_START,E58,F57*(1+G_HI))</f>
        <v>2393.257582398015</v>
      </c>
      <c r="G58" s="8">
        <f>IF(A58&lt;RULE_START,E58,IF(H58=1,R_NF_2024*(1+G_HI)^(A58-2024),G57*(1+C58)))</f>
        <v>2519.2255026617313</v>
      </c>
      <c r="H58">
        <f>IF(AND(A58&gt;=RULE_START,MOD(A58-RULE_START,REBASE_YEARS)=0),1,0)</f>
        <v>1</v>
      </c>
      <c r="I58" s="8">
        <f>E58*CAP_SHARE</f>
        <v>88.7406245629025</v>
      </c>
      <c r="J58" s="8">
        <f>F58*CAP_SHARE</f>
        <v>117.02390322896814</v>
      </c>
      <c r="K58" s="8">
        <f>G58*CAP_SHARE</f>
        <v>123.18339806116457</v>
      </c>
      <c r="L58" s="8">
        <f>E58-I58-D58</f>
        <v>-637.5049695837727</v>
      </c>
      <c r="M58" s="8">
        <f>F58-J58-D58</f>
        <v>-87.36649632623812</v>
      </c>
      <c r="N58" s="8">
        <f>G58-K58-D58</f>
        <v>32.441929105281815</v>
      </c>
      <c r="O58" s="8">
        <f>R_NF_2024*(1+G_HI)^(A58-2024)</f>
        <v>2519.2255026617313</v>
      </c>
      <c r="P58" s="10">
        <f>1-E58/O58</f>
        <v>0.27960564524417586</v>
      </c>
      <c r="Q58" s="10">
        <f>CPI_2023/(IF(A58-1=2023,CPI_2023,IF(A58-1=2024,CPI_2024,IF(A58-1=2025,CPI_2025,CPI_2025*(1+INFL)^(A58-1-2025)))))</f>
        <v>0.3791396349518568</v>
      </c>
      <c r="R58" s="8">
        <f>WAIT_DAYS_Y*ABS(SUPPLY_RESPONSE)*(F58-E58)/E58</f>
        <v>31774.66357294478</v>
      </c>
      <c r="S58" s="8">
        <f>WAIT_DAYS_Y*ABS(SUPPLY_RESPONSE)*(G58-E58)/E58</f>
        <v>38694.507569219306</v>
      </c>
      <c r="T58" s="13">
        <f>(F58-E58)*MCD_NF_DAYS*Q58-R58*MCD_SHARE_FREED*R_WAIT_2023</f>
        <v>101094555.21062714</v>
      </c>
      <c r="U58" s="13">
        <f>(G58-E58)*MCD_NF_DAYS*Q58-S58*MCD_SHARE_FREED*R_WAIT_2023</f>
        <v>123110793.06391965</v>
      </c>
      <c r="V58" s="10">
        <f>IF(AND(A58&gt;=RULE_START,B58=1),1/(1+DISC_RATE)^(A58-RULE_START+1),0)</f>
        <v>0</v>
      </c>
      <c r="W58">
        <f>IF(AND(A58&gt;=RULE_START,B58=1,L58&lt;0),A58,9999)</f>
        <v>9999</v>
      </c>
      <c r="X58">
        <f>IF(AND(A58&gt;=RULE_START,B58=1,M58&lt;0),A58,9999)</f>
        <v>9999</v>
      </c>
      <c r="Y58">
        <f>IF(AND(A58&gt;=RULE_START,B58=1,N58&lt;0),A58,9999)</f>
        <v>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36" customWidth="1" min="3" max="3"/>
  </cols>
  <sheetData>
    <row r="1">
      <c r="A1" s="1" t="inlineStr">
        <is>
          <t>Rate comparison: one-time increase, the rule, the partnership (2023 $, net of waitlisted payments; decisions 51, 54, 75, 86)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STATEWIDE_COST</t>
        </is>
      </c>
      <c r="B4" s="13">
        <f>DELTA_R*MCD_NF_DAYS</f>
        <v>5268660.0</v>
      </c>
      <c r="C4" t="inlineStr">
        <is>
          <t>USD per year, before the match</t>
        </is>
      </c>
    </row>
    <row r="5">
      <c r="A5" t="inlineStr">
        <is>
          <t>PCT_DR</t>
        </is>
      </c>
      <c r="B5" s="10">
        <f>DELTA_R/R_NF_2023</f>
        <v>0.021614617475886114</v>
      </c>
      <c r="C5" t="inlineStr">
        <is>
          <t>share of the rate</t>
        </is>
      </c>
    </row>
    <row r="6">
      <c r="A6" t="inlineStr">
        <is>
          <t>INC_FREED</t>
        </is>
      </c>
      <c r="B6" s="8">
        <f>WAIT_DAYS_Y*ABS(SUPPLY_RESPONSE)*PCT_DR</f>
        <v>2154.8708361337654</v>
      </c>
      <c r="C6" t="inlineStr">
        <is>
          <t>waitlist days a year</t>
        </is>
      </c>
    </row>
    <row r="7">
      <c r="A7" t="inlineStr">
        <is>
          <t>UNIT_INC</t>
        </is>
      </c>
      <c r="B7" s="8">
        <f>(STATEWIDE_COST-INC_FREED*MCD_SHARE_FREED*R_WAIT_2023)/INC_FREED</f>
        <v>1990.281642926819</v>
      </c>
      <c r="C7" t="inlineStr">
        <is>
          <t>USD per waitlist day freed, net</t>
        </is>
      </c>
    </row>
    <row r="8">
      <c r="A8" t="inlineStr">
        <is>
          <t>RULE_COST_PV_HIX</t>
        </is>
      </c>
      <c r="B8" s="13">
        <f>SUMPRODUCT(Operating!T16:T58,Operating!V16:V58)</f>
        <v>271738776.0226568</v>
      </c>
      <c r="C8" t="inlineStr">
        <is>
          <t>USD, PV</t>
        </is>
      </c>
    </row>
    <row r="9">
      <c r="A9" t="inlineStr">
        <is>
          <t>RULE_KEPT_PV_HIX</t>
        </is>
      </c>
      <c r="B9" s="8">
        <f>SUMPRODUCT(Operating!R16:R58,Operating!V16:V58)</f>
        <v>116227.96427025774</v>
      </c>
      <c r="C9" t="inlineStr">
        <is>
          <t>days, PV</t>
        </is>
      </c>
    </row>
    <row r="10">
      <c r="A10" t="inlineStr">
        <is>
          <t>UNIT_RULE_HIX</t>
        </is>
      </c>
      <c r="B10" s="8">
        <f>RULE_COST_PV_HIX/RULE_KEPT_PV_HIX</f>
        <v>2337.981033469702</v>
      </c>
      <c r="C10" t="inlineStr">
        <is>
          <t>USD per waitlist day kept away</t>
        </is>
      </c>
    </row>
    <row r="11">
      <c r="A11" t="inlineStr">
        <is>
          <t>RULE_COST_PV_REB</t>
        </is>
      </c>
      <c r="B11" s="13">
        <f>SUMPRODUCT(Operating!U16:U58,Operating!V16:V58)</f>
        <v>451673731.0323267</v>
      </c>
      <c r="C11" t="inlineStr">
        <is>
          <t>USD, PV</t>
        </is>
      </c>
    </row>
    <row r="12">
      <c r="A12" t="inlineStr">
        <is>
          <t>RULE_KEPT_PV_REB</t>
        </is>
      </c>
      <c r="B12" s="8">
        <f>SUMPRODUCT(Operating!S16:S58,Operating!V16:V58)</f>
        <v>196168.90851071983</v>
      </c>
      <c r="C12" t="inlineStr">
        <is>
          <t>days, PV</t>
        </is>
      </c>
    </row>
    <row r="13">
      <c r="A13" t="inlineStr">
        <is>
          <t>UNIT_RULE_REB</t>
        </is>
      </c>
      <c r="B13" s="8">
        <f>RULE_COST_PV_REB/RULE_KEPT_PV_REB</f>
        <v>2302.47359003705</v>
      </c>
      <c r="C13" t="inlineStr">
        <is>
          <t>USD per waitlist day kept away</t>
        </is>
      </c>
    </row>
    <row r="14">
      <c r="A14" t="inlineStr">
        <is>
          <t>PART_COST</t>
        </is>
      </c>
      <c r="B14" s="13">
        <f>TOTAL_MCD_NET+TOTAL_GRANT</f>
        <v>5605073.886364148</v>
      </c>
      <c r="C14" t="inlineStr">
        <is>
          <t>USD per year</t>
        </is>
      </c>
    </row>
    <row r="15">
      <c r="A15" t="inlineStr">
        <is>
          <t>UNIT_PART</t>
        </is>
      </c>
      <c r="B15" s="8">
        <f>IF(TOTAL_FREED&gt;0,PART_COST/TOTAL_FREED,"n/a (no beds)")</f>
        <v>148.25106452877213</v>
      </c>
      <c r="C15" t="inlineStr">
        <is>
          <t>USD per waitlist day freed</t>
        </is>
      </c>
    </row>
    <row r="16">
      <c r="A16" t="inlineStr">
        <is>
          <t>PER_BED_EQ_INC</t>
        </is>
      </c>
      <c r="B16" s="13">
        <f>UNIT_INC*FREED</f>
        <v>501656.9110307684</v>
      </c>
      <c r="C16" t="inlineStr">
        <is>
          <t>USD per bed-equivalent</t>
        </is>
      </c>
    </row>
    <row r="17">
      <c r="A17" t="inlineStr">
        <is>
          <t>PER_BED_EQ_RULE_HIX</t>
        </is>
      </c>
      <c r="B17" s="13">
        <f>UNIT_RULE_HIX*FREED</f>
        <v>589295.6644940827</v>
      </c>
      <c r="C17" t="inlineStr">
        <is>
          <t>USD per bed-equivalent</t>
        </is>
      </c>
    </row>
    <row r="18">
      <c r="A18" t="inlineStr">
        <is>
          <t>PER_BED_EQ_RULE_REB</t>
        </is>
      </c>
      <c r="B18" s="13">
        <f>UNIT_RULE_REB*FREED</f>
        <v>580345.8987891498</v>
      </c>
      <c r="C18" t="inlineStr">
        <is>
          <t>USD per bed-equivalent</t>
        </is>
      </c>
    </row>
    <row r="19">
      <c r="A19" t="inlineStr">
        <is>
          <t>PER_BED_EQ_PART</t>
        </is>
      </c>
      <c r="B19" s="13">
        <f>IF(TOTAL_FREED&gt;0,UNIT_PART*FREED,"n/a (no beds)")</f>
        <v>37367.15924242764</v>
      </c>
      <c r="C19" t="inlineStr">
        <is>
          <t>USD per bed-equivalent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4" customWidth="1" min="1" max="1"/>
    <col width="44" customWidth="1" min="3" max="3"/>
  </cols>
  <sheetData>
    <row r="1">
      <c r="A1" s="1" t="inlineStr">
        <is>
          <t>Budget view: each party's cash per bed-year inside the pool (2023 $; decisions 21, 41)</t>
        </is>
      </c>
    </row>
    <row r="3">
      <c r="A3" s="2" t="inlineStr">
        <is>
          <t>Name</t>
        </is>
      </c>
      <c r="B3" s="2" t="inlineStr">
        <is>
          <t>Value</t>
        </is>
      </c>
      <c r="C3" s="2" t="inlineStr">
        <is>
          <t>Unit</t>
        </is>
      </c>
    </row>
    <row r="4">
      <c r="A4" t="inlineStr">
        <is>
          <t>MCD_NF_PAY</t>
        </is>
      </c>
      <c r="B4" s="8">
        <f>OCC_DAYS*MCD_SHARE_BED*R_NF_2023</f>
        <v>151980.48282209205</v>
      </c>
      <c r="C4" t="inlineStr">
        <is>
          <t>Medicaid pays the NF rate</t>
        </is>
      </c>
    </row>
    <row r="5">
      <c r="A5" t="inlineStr">
        <is>
          <t>MCD_WAIT_SAVE</t>
        </is>
      </c>
      <c r="B5" s="8">
        <f>FREED*MCD_SHARE_FREED*R_WAIT_2023</f>
        <v>114613.3235796644</v>
      </c>
      <c r="C5" t="inlineStr">
        <is>
          <t>Medicaid stops paying the waitlisted rate</t>
        </is>
      </c>
    </row>
    <row r="6">
      <c r="A6" t="inlineStr">
        <is>
          <t>MCD_NET</t>
        </is>
      </c>
      <c r="B6" s="8">
        <f>MCD_NF_PAY-MCD_WAIT_SAVE</f>
        <v>37367.159242427646</v>
      </c>
      <c r="C6" t="inlineStr">
        <is>
          <t>all Medicaid, before the match</t>
        </is>
      </c>
    </row>
    <row r="7">
      <c r="A7" t="inlineStr">
        <is>
          <t>STATE_NET</t>
        </is>
      </c>
      <c r="B7" s="8">
        <f>(1-FMAP_BUDGET)*MCD_NET</f>
        <v>15066.438606546826</v>
      </c>
      <c r="C7" t="inlineStr">
        <is>
          <t>the state</t>
        </is>
      </c>
    </row>
    <row r="8">
      <c r="A8" t="inlineStr">
        <is>
          <t>FED_NET</t>
        </is>
      </c>
      <c r="B8" s="8">
        <f>FMAP_BUDGET*MCD_NET</f>
        <v>22300.720635880818</v>
      </c>
      <c r="C8" t="inlineStr">
        <is>
          <t>the federal government</t>
        </is>
      </c>
    </row>
    <row r="9">
      <c r="A9" t="inlineStr">
        <is>
          <t>HOSP_NET_DAY_BASE</t>
        </is>
      </c>
      <c r="B9" s="8">
        <f>C_AVOID-MCD_SHARE_FREED*R_WAIT_2023</f>
        <v>555.2812690515359</v>
      </c>
      <c r="C9" t="inlineStr">
        <is>
          <t>a hospital, per freed day, at C_AVOID</t>
        </is>
      </c>
    </row>
    <row r="10">
      <c r="A10" t="inlineStr">
        <is>
          <t>HOSP_NET_YR</t>
        </is>
      </c>
      <c r="B10" s="8">
        <f>FREED*HOSP_NET_DAY_BASE</f>
        <v>139960.43583861814</v>
      </c>
      <c r="C10" t="inlineStr">
        <is>
          <t>hospitals together, per bed-year</t>
        </is>
      </c>
    </row>
    <row r="11">
      <c r="A11" t="inlineStr">
        <is>
          <t>CONSORTIUM_GRANT_YR</t>
        </is>
      </c>
      <c r="B11" s="8">
        <f>GRANT_FIRST</f>
        <v>0</v>
      </c>
      <c r="C11" t="inlineStr">
        <is>
          <t>the consortium, per bed-year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1" t="inlineStr">
        <is>
          <t>Consortium: one row per hospital (decisions 28, 40, 53)</t>
        </is>
      </c>
    </row>
    <row r="3">
      <c r="A3" s="2" t="inlineStr">
        <is>
          <t>Hospital</t>
        </is>
      </c>
      <c r="B3" s="2" t="inlineStr">
        <is>
          <t>State-run</t>
        </is>
      </c>
      <c r="C3" s="2" t="inlineStr">
        <is>
          <t>C_AVOID_H</t>
        </is>
      </c>
      <c r="D3" s="2" t="inlineStr">
        <is>
          <t>PLAN_SHARE</t>
        </is>
      </c>
      <c r="E3" s="2" t="inlineStr">
        <is>
          <t>HOSP_NET_DAY</t>
        </is>
      </c>
      <c r="F3" s="2" t="inlineStr">
        <is>
          <t>PAY_H</t>
        </is>
      </c>
      <c r="G3" s="2" t="inlineStr">
        <is>
          <t>SAVE_H</t>
        </is>
      </c>
      <c r="H3" s="2" t="inlineStr">
        <is>
          <t>JOIN</t>
        </is>
      </c>
      <c r="I3" s="2" t="inlineStr">
        <is>
          <t>SOLO rung 1</t>
        </is>
      </c>
      <c r="J3" s="2" t="inlineStr">
        <is>
          <t>SOLO rung 2</t>
        </is>
      </c>
    </row>
    <row r="4">
      <c r="A4" t="str">
        <f>INDEX(H_NAME,1)</f>
        <v>Hilo Benioff Medical Center</v>
      </c>
      <c r="B4">
        <f>INDEX(H_STATE_RUN,1)</f>
        <v>1</v>
      </c>
      <c r="C4" s="13">
        <f>C_AVOID</f>
        <v>1010</v>
      </c>
      <c r="D4" s="10">
        <f>INDEX(PLAN_SHARE,1)</f>
        <v>0.152977845168899</v>
      </c>
      <c r="E4" s="8">
        <f>C4-MCD_SHARE_FREED*R_WAIT_2023</f>
        <v>555.2812690515359</v>
      </c>
      <c r="F4" s="13">
        <f>D4*TOTAL_GRANT</f>
        <v>0.0</v>
      </c>
      <c r="G4" s="13">
        <f>D4*TOTAL_FREED*E4</f>
        <v>3211626.882523763</v>
      </c>
      <c r="H4" t="str">
        <f>IF(TOTAL_FREED&gt;0,IF(C4&gt;=JOIN_MIN,"yes","no"),"n/a (no beds)")</f>
        <v>yes</v>
      </c>
      <c r="I4" t="str">
        <f>IF(GRANT_RUNG1&gt;0,IF(D4*FREED*E4&gt;=GRANT_RUNG1,"yes","no"),"n/a")</f>
        <v>n/a</v>
      </c>
      <c r="J4" t="str">
        <f>IF(GRANT_RUNG2&gt;0,IF(D4*FREED*E4&gt;=GRANT_RUNG2,"yes","no"),"n/a")</f>
        <v>yes</v>
      </c>
    </row>
    <row r="5">
      <c r="A5" t="str">
        <f>INDEX(H_NAME,2)</f>
        <v>Kona Community Hospital</v>
      </c>
      <c r="B5">
        <f>INDEX(H_STATE_RUN,2)</f>
        <v>1</v>
      </c>
      <c r="C5" s="13">
        <f>C_AVOID</f>
        <v>1010</v>
      </c>
      <c r="D5" s="10">
        <f>INDEX(PLAN_SHARE,2)</f>
        <v>0.12054586808188021</v>
      </c>
      <c r="E5" s="8">
        <f>C5-MCD_SHARE_FREED*R_WAIT_2023</f>
        <v>555.2812690515359</v>
      </c>
      <c r="F5" s="13">
        <f>D5*TOTAL_GRANT</f>
        <v>0.0</v>
      </c>
      <c r="G5" s="13">
        <f>D5*TOTAL_FREED*E5</f>
        <v>2530747.835292679</v>
      </c>
      <c r="H5" t="str">
        <f>IF(TOTAL_FREED&gt;0,IF(C5&gt;=JOIN_MIN,"yes","no"),"n/a (no beds)")</f>
        <v>yes</v>
      </c>
      <c r="I5" t="str">
        <f>IF(GRANT_RUNG1&gt;0,IF(D5*FREED*E5&gt;=GRANT_RUNG1,"yes","no"),"n/a")</f>
        <v>n/a</v>
      </c>
      <c r="J5" t="str">
        <f>IF(GRANT_RUNG2&gt;0,IF(D5*FREED*E5&gt;=GRANT_RUNG2,"yes","no"),"n/a")</f>
        <v>yes</v>
      </c>
    </row>
    <row r="6">
      <c r="A6" t="str">
        <f>INDEX(H_NAME,3)</f>
        <v>North Hawaii Community Hospital</v>
      </c>
      <c r="B6">
        <f>INDEX(H_STATE_RUN,3)</f>
        <v>0</v>
      </c>
      <c r="C6" s="13">
        <f>C_AVOID</f>
        <v>1010</v>
      </c>
      <c r="D6" s="10">
        <f>INDEX(PLAN_SHARE,3)</f>
        <v>0.005812484205205964</v>
      </c>
      <c r="E6" s="8">
        <f>C6-MCD_SHARE_FREED*R_WAIT_2023</f>
        <v>555.2812690515359</v>
      </c>
      <c r="F6" s="13">
        <f>D6*TOTAL_GRANT</f>
        <v>0.0</v>
      </c>
      <c r="G6" s="13">
        <f>D6*TOTAL_FREED*E6</f>
        <v>122027.67339985663</v>
      </c>
      <c r="H6" t="str">
        <f>IF(TOTAL_FREED&gt;0,IF(C6&gt;=JOIN_MIN,"yes","no"),"n/a (no beds)")</f>
        <v>yes</v>
      </c>
      <c r="I6" t="str">
        <f>IF(GRANT_RUNG1&gt;0,IF(D6*FREED*E6&gt;=GRANT_RUNG1,"yes","no"),"n/a")</f>
        <v>n/a</v>
      </c>
      <c r="J6" t="str">
        <f>IF(GRANT_RUNG2&gt;0,IF(D6*FREED*E6&gt;=GRANT_RUNG2,"yes","no"),"n/a")</f>
        <v>no</v>
      </c>
    </row>
    <row r="7">
      <c r="A7" t="str">
        <f>INDEX(H_NAME,4)</f>
        <v>Adventist Health Castle</v>
      </c>
      <c r="B7">
        <f>INDEX(H_STATE_RUN,4)</f>
        <v>0</v>
      </c>
      <c r="C7" s="13">
        <f>C_AVOID</f>
        <v>1010</v>
      </c>
      <c r="D7" s="10">
        <f>INDEX(PLAN_SHARE,4)</f>
        <v>0.008893221175253017</v>
      </c>
      <c r="E7" s="8">
        <f>C7-MCD_SHARE_FREED*R_WAIT_2023</f>
        <v>555.2812690515359</v>
      </c>
      <c r="F7" s="13">
        <f>D7*TOTAL_GRANT</f>
        <v>0.0</v>
      </c>
      <c r="G7" s="13">
        <f>D7*TOTAL_FREED*E7</f>
        <v>186704.86675464603</v>
      </c>
      <c r="H7" t="str">
        <f>IF(TOTAL_FREED&gt;0,IF(C7&gt;=JOIN_MIN,"yes","no"),"n/a (no beds)")</f>
        <v>yes</v>
      </c>
      <c r="I7" t="str">
        <f>IF(GRANT_RUNG1&gt;0,IF(D7*FREED*E7&gt;=GRANT_RUNG1,"yes","no"),"n/a")</f>
        <v>n/a</v>
      </c>
      <c r="J7" t="str">
        <f>IF(GRANT_RUNG2&gt;0,IF(D7*FREED*E7&gt;=GRANT_RUNG2,"yes","no"),"n/a")</f>
        <v>no</v>
      </c>
    </row>
    <row r="8">
      <c r="A8" t="str">
        <f>INDEX(H_NAME,5)</f>
        <v>Kahuku Medical Center</v>
      </c>
      <c r="B8">
        <f>INDEX(H_STATE_RUN,5)</f>
        <v>0</v>
      </c>
      <c r="C8" s="13">
        <f>C_AVOID</f>
        <v>1010</v>
      </c>
      <c r="D8" s="10">
        <f>INDEX(PLAN_SHARE,5)</f>
        <v>0.008640504470678845</v>
      </c>
      <c r="E8" s="8">
        <f>C8-MCD_SHARE_FREED*R_WAIT_2023</f>
        <v>555.2812690515359</v>
      </c>
      <c r="F8" s="13">
        <f>D8*TOTAL_GRANT</f>
        <v>0.0</v>
      </c>
      <c r="G8" s="13">
        <f>D8*TOTAL_FREED*E8</f>
        <v>181399.315737261</v>
      </c>
      <c r="H8" t="str">
        <f>IF(TOTAL_FREED&gt;0,IF(C8&gt;=JOIN_MIN,"yes","no"),"n/a (no beds)")</f>
        <v>yes</v>
      </c>
      <c r="I8" t="str">
        <f>IF(GRANT_RUNG1&gt;0,IF(D8*FREED*E8&gt;=GRANT_RUNG1,"yes","no"),"n/a")</f>
        <v>n/a</v>
      </c>
      <c r="J8" t="str">
        <f>IF(GRANT_RUNG2&gt;0,IF(D8*FREED*E8&gt;=GRANT_RUNG2,"yes","no"),"n/a")</f>
        <v>no</v>
      </c>
    </row>
    <row r="9">
      <c r="A9" t="str">
        <f>INDEX(H_NAME,6)</f>
        <v>Kaiser Foundation Hospital</v>
      </c>
      <c r="B9">
        <f>INDEX(H_STATE_RUN,6)</f>
        <v>0</v>
      </c>
      <c r="C9" s="13">
        <f>C_AVOID</f>
        <v>1010</v>
      </c>
      <c r="D9" s="10">
        <f>INDEX(PLAN_SHARE,6)</f>
        <v>0.0402060242848719</v>
      </c>
      <c r="E9" s="8">
        <f>C9-MCD_SHARE_FREED*R_WAIT_2023</f>
        <v>555.2812690515359</v>
      </c>
      <c r="F9" s="13">
        <f>D9*TOTAL_GRANT</f>
        <v>0.0</v>
      </c>
      <c r="G9" s="13">
        <f>D9*TOTAL_FREED*E9</f>
        <v>844087.9023373106</v>
      </c>
      <c r="H9" t="str">
        <f>IF(TOTAL_FREED&gt;0,IF(C9&gt;=JOIN_MIN,"yes","no"),"n/a (no beds)")</f>
        <v>yes</v>
      </c>
      <c r="I9" t="str">
        <f>IF(GRANT_RUNG1&gt;0,IF(D9*FREED*E9&gt;=GRANT_RUNG1,"yes","no"),"n/a")</f>
        <v>n/a</v>
      </c>
      <c r="J9" t="str">
        <f>IF(GRANT_RUNG2&gt;0,IF(D9*FREED*E9&gt;=GRANT_RUNG2,"yes","no"),"n/a")</f>
        <v>yes</v>
      </c>
    </row>
    <row r="10">
      <c r="A10" t="str">
        <f>INDEX(H_NAME,7)</f>
        <v>Kapiolani Medical Center for Women and Children</v>
      </c>
      <c r="B10">
        <f>INDEX(H_STATE_RUN,7)</f>
        <v>0</v>
      </c>
      <c r="C10" s="13">
        <f>C_AVOID</f>
        <v>1010</v>
      </c>
      <c r="D10" s="10">
        <f>INDEX(PLAN_SHARE,7)</f>
        <v>0.012371084395345198</v>
      </c>
      <c r="E10" s="8">
        <f>C10-MCD_SHARE_FREED*R_WAIT_2023</f>
        <v>555.2812690515359</v>
      </c>
      <c r="F10" s="13">
        <f>D10*TOTAL_GRANT</f>
        <v>0.0</v>
      </c>
      <c r="G10" s="13">
        <f>D10*TOTAL_FREED*E10</f>
        <v>259719.35456532633</v>
      </c>
      <c r="H10" t="str">
        <f>IF(TOTAL_FREED&gt;0,IF(C10&gt;=JOIN_MIN,"yes","no"),"n/a (no beds)")</f>
        <v>yes</v>
      </c>
      <c r="I10" t="str">
        <f>IF(GRANT_RUNG1&gt;0,IF(D10*FREED*E10&gt;=GRANT_RUNG1,"yes","no"),"n/a")</f>
        <v>n/a</v>
      </c>
      <c r="J10" t="str">
        <f>IF(GRANT_RUNG2&gt;0,IF(D10*FREED*E10&gt;=GRANT_RUNG2,"yes","no"),"n/a")</f>
        <v>yes</v>
      </c>
    </row>
    <row r="11">
      <c r="A11" t="str">
        <f>INDEX(H_NAME,8)</f>
        <v>Kuakini Medical Center</v>
      </c>
      <c r="B11">
        <f>INDEX(H_STATE_RUN,8)</f>
        <v>0</v>
      </c>
      <c r="C11" s="13">
        <f>C_AVOID</f>
        <v>1010</v>
      </c>
      <c r="D11" s="10">
        <f>INDEX(PLAN_SHARE,8)</f>
        <v>0.05351577072577831</v>
      </c>
      <c r="E11" s="8">
        <f>C11-MCD_SHARE_FREED*R_WAIT_2023</f>
        <v>555.2812690515359</v>
      </c>
      <c r="F11" s="13">
        <f>D11*TOTAL_GRANT</f>
        <v>0.0</v>
      </c>
      <c r="G11" s="13">
        <f>D11*TOTAL_FREED*E11</f>
        <v>1123513.5892529243</v>
      </c>
      <c r="H11" t="str">
        <f>IF(TOTAL_FREED&gt;0,IF(C11&gt;=JOIN_MIN,"yes","no"),"n/a (no beds)")</f>
        <v>yes</v>
      </c>
      <c r="I11" t="str">
        <f>IF(GRANT_RUNG1&gt;0,IF(D11*FREED*E11&gt;=GRANT_RUNG1,"yes","no"),"n/a")</f>
        <v>n/a</v>
      </c>
      <c r="J11" t="str">
        <f>IF(GRANT_RUNG2&gt;0,IF(D11*FREED*E11&gt;=GRANT_RUNG2,"yes","no"),"n/a")</f>
        <v>yes</v>
      </c>
    </row>
    <row r="12">
      <c r="A12" t="str">
        <f>INDEX(H_NAME,9)</f>
        <v>Pali Momi Medical Center</v>
      </c>
      <c r="B12">
        <f>INDEX(H_STATE_RUN,9)</f>
        <v>0</v>
      </c>
      <c r="C12" s="13">
        <f>C_AVOID</f>
        <v>1010</v>
      </c>
      <c r="D12" s="10">
        <f>INDEX(PLAN_SHARE,9)</f>
        <v>0.04080773072433421</v>
      </c>
      <c r="E12" s="8">
        <f>C12-MCD_SHARE_FREED*R_WAIT_2023</f>
        <v>555.2812690515359</v>
      </c>
      <c r="F12" s="13">
        <f>D12*TOTAL_GRANT</f>
        <v>0.0</v>
      </c>
      <c r="G12" s="13">
        <f>D12*TOTAL_FREED*E12</f>
        <v>856720.166664418</v>
      </c>
      <c r="H12" t="str">
        <f>IF(TOTAL_FREED&gt;0,IF(C12&gt;=JOIN_MIN,"yes","no"),"n/a (no beds)")</f>
        <v>yes</v>
      </c>
      <c r="I12" t="str">
        <f>IF(GRANT_RUNG1&gt;0,IF(D12*FREED*E12&gt;=GRANT_RUNG1,"yes","no"),"n/a")</f>
        <v>n/a</v>
      </c>
      <c r="J12" t="str">
        <f>IF(GRANT_RUNG2&gt;0,IF(D12*FREED*E12&gt;=GRANT_RUNG2,"yes","no"),"n/a")</f>
        <v>yes</v>
      </c>
    </row>
    <row r="13">
      <c r="A13" t="str">
        <f>INDEX(H_NAME,10)</f>
        <v>Straub Benioff Medical Center</v>
      </c>
      <c r="B13">
        <f>INDEX(H_STATE_RUN,10)</f>
        <v>0</v>
      </c>
      <c r="C13" s="13">
        <f>C_AVOID</f>
        <v>1010</v>
      </c>
      <c r="D13" s="10">
        <f>INDEX(PLAN_SHARE,10)</f>
        <v>0.042660986557878144</v>
      </c>
      <c r="E13" s="8">
        <f>C13-MCD_SHARE_FREED*R_WAIT_2023</f>
        <v>555.2812690515359</v>
      </c>
      <c r="F13" s="13">
        <f>D13*TOTAL_GRANT</f>
        <v>0.0</v>
      </c>
      <c r="G13" s="13">
        <f>D13*TOTAL_FREED*E13</f>
        <v>895627.5407919085</v>
      </c>
      <c r="H13" t="str">
        <f>IF(TOTAL_FREED&gt;0,IF(C13&gt;=JOIN_MIN,"yes","no"),"n/a (no beds)")</f>
        <v>yes</v>
      </c>
      <c r="I13" t="str">
        <f>IF(GRANT_RUNG1&gt;0,IF(D13*FREED*E13&gt;=GRANT_RUNG1,"yes","no"),"n/a")</f>
        <v>n/a</v>
      </c>
      <c r="J13" t="str">
        <f>IF(GRANT_RUNG2&gt;0,IF(D13*FREED*E13&gt;=GRANT_RUNG2,"yes","no"),"n/a")</f>
        <v>yes</v>
      </c>
    </row>
    <row r="14">
      <c r="A14" t="str">
        <f>INDEX(H_NAME,11)</f>
        <v>The Queen's Medical Center, Punchbowl</v>
      </c>
      <c r="B14">
        <f>INDEX(H_STATE_RUN,11)</f>
        <v>0</v>
      </c>
      <c r="C14" s="13">
        <f>C_AVOID</f>
        <v>1010</v>
      </c>
      <c r="D14" s="10">
        <f>INDEX(PLAN_SHARE,11)</f>
        <v>0.244052131845915</v>
      </c>
      <c r="E14" s="8">
        <f>C14-MCD_SHARE_FREED*R_WAIT_2023</f>
        <v>555.2812690515359</v>
      </c>
      <c r="F14" s="13">
        <f>D14*TOTAL_GRANT</f>
        <v>0.0</v>
      </c>
      <c r="G14" s="13">
        <f>D14*TOTAL_FREED*E14</f>
        <v>5123646.411074726</v>
      </c>
      <c r="H14" t="str">
        <f>IF(TOTAL_FREED&gt;0,IF(C14&gt;=JOIN_MIN,"yes","no"),"n/a (no beds)")</f>
        <v>yes</v>
      </c>
      <c r="I14" t="str">
        <f>IF(GRANT_RUNG1&gt;0,IF(D14*FREED*E14&gt;=GRANT_RUNG1,"yes","no"),"n/a")</f>
        <v>n/a</v>
      </c>
      <c r="J14" t="str">
        <f>IF(GRANT_RUNG2&gt;0,IF(D14*FREED*E14&gt;=GRANT_RUNG2,"yes","no"),"n/a")</f>
        <v>yes</v>
      </c>
    </row>
    <row r="15">
      <c r="A15" t="str">
        <f>INDEX(H_NAME,12)</f>
        <v>The Queen's Medical Center, West Oahu</v>
      </c>
      <c r="B15">
        <f>INDEX(H_STATE_RUN,12)</f>
        <v>0</v>
      </c>
      <c r="C15" s="13">
        <f>C_AVOID</f>
        <v>1010</v>
      </c>
      <c r="D15" s="10">
        <f>INDEX(PLAN_SHARE,12)</f>
        <v>0.03415285750388101</v>
      </c>
      <c r="E15" s="8">
        <f>C15-MCD_SHARE_FREED*R_WAIT_2023</f>
        <v>555.2812690515359</v>
      </c>
      <c r="F15" s="13">
        <f>D15*TOTAL_GRANT</f>
        <v>0.0</v>
      </c>
      <c r="G15" s="13">
        <f>D15*TOTAL_FREED*E15</f>
        <v>717007.3232066111</v>
      </c>
      <c r="H15" t="str">
        <f>IF(TOTAL_FREED&gt;0,IF(C15&gt;=JOIN_MIN,"yes","no"),"n/a (no beds)")</f>
        <v>yes</v>
      </c>
      <c r="I15" t="str">
        <f>IF(GRANT_RUNG1&gt;0,IF(D15*FREED*E15&gt;=GRANT_RUNG1,"yes","no"),"n/a")</f>
        <v>n/a</v>
      </c>
      <c r="J15" t="str">
        <f>IF(GRANT_RUNG2&gt;0,IF(D15*FREED*E15&gt;=GRANT_RUNG2,"yes","no"),"n/a")</f>
        <v>yes</v>
      </c>
    </row>
    <row r="16">
      <c r="A16" t="str">
        <f>INDEX(H_NAME,13)</f>
        <v>Kauai Veterans Memorial Hospital</v>
      </c>
      <c r="B16">
        <f>INDEX(H_STATE_RUN,13)</f>
        <v>1</v>
      </c>
      <c r="C16" s="13">
        <f>C_AVOID</f>
        <v>1010</v>
      </c>
      <c r="D16" s="10">
        <f>INDEX(PLAN_SHARE,13)</f>
        <v>0.007100135985655318</v>
      </c>
      <c r="E16" s="8">
        <f>C16-MCD_SHARE_FREED*R_WAIT_2023</f>
        <v>555.2812690515359</v>
      </c>
      <c r="F16" s="13">
        <f>D16*TOTAL_GRANT</f>
        <v>0.0</v>
      </c>
      <c r="G16" s="13">
        <f>D16*TOTAL_FREED*E16</f>
        <v>149060.71905986627</v>
      </c>
      <c r="H16" t="str">
        <f>IF(TOTAL_FREED&gt;0,IF(C16&gt;=JOIN_MIN,"yes","no"),"n/a (no beds)")</f>
        <v>yes</v>
      </c>
      <c r="I16" t="str">
        <f>IF(GRANT_RUNG1&gt;0,IF(D16*FREED*E16&gt;=GRANT_RUNG1,"yes","no"),"n/a")</f>
        <v>n/a</v>
      </c>
      <c r="J16" t="str">
        <f>IF(GRANT_RUNG2&gt;0,IF(D16*FREED*E16&gt;=GRANT_RUNG2,"yes","no"),"n/a")</f>
        <v>no</v>
      </c>
    </row>
    <row r="17">
      <c r="A17" t="str">
        <f>INDEX(H_NAME,14)</f>
        <v>Wilcox Medical Center</v>
      </c>
      <c r="B17">
        <f>INDEX(H_STATE_RUN,14)</f>
        <v>0</v>
      </c>
      <c r="C17" s="13">
        <f>C_AVOID</f>
        <v>1010</v>
      </c>
      <c r="D17" s="10">
        <f>INDEX(PLAN_SHARE,14)</f>
        <v>0.013598565531848322</v>
      </c>
      <c r="E17" s="8">
        <f>C17-MCD_SHARE_FREED*R_WAIT_2023</f>
        <v>555.2812690515359</v>
      </c>
      <c r="F17" s="13">
        <f>D17*TOTAL_GRANT</f>
        <v>0.0</v>
      </c>
      <c r="G17" s="13">
        <f>D17*TOTAL_FREED*E17</f>
        <v>285489.17379262525</v>
      </c>
      <c r="H17" t="str">
        <f>IF(TOTAL_FREED&gt;0,IF(C17&gt;=JOIN_MIN,"yes","no"),"n/a (no beds)")</f>
        <v>yes</v>
      </c>
      <c r="I17" t="str">
        <f>IF(GRANT_RUNG1&gt;0,IF(D17*FREED*E17&gt;=GRANT_RUNG1,"yes","no"),"n/a")</f>
        <v>n/a</v>
      </c>
      <c r="J17" t="str">
        <f>IF(GRANT_RUNG2&gt;0,IF(D17*FREED*E17&gt;=GRANT_RUNG2,"yes","no"),"n/a")</f>
        <v>yes</v>
      </c>
    </row>
    <row r="18">
      <c r="A18" t="str">
        <f>INDEX(H_NAME,15)</f>
        <v>Maui Memorial Medical Center</v>
      </c>
      <c r="B18">
        <f>INDEX(H_STATE_RUN,15)</f>
        <v>0</v>
      </c>
      <c r="C18" s="13">
        <f>C_AVOID</f>
        <v>1010</v>
      </c>
      <c r="D18" s="10">
        <f>INDEX(PLAN_SHARE,15)</f>
        <v>0.21435190199405513</v>
      </c>
      <c r="E18" s="8">
        <f>C18-MCD_SHARE_FREED*R_WAIT_2023</f>
        <v>555.2812690515359</v>
      </c>
      <c r="F18" s="13">
        <f>D18*TOTAL_GRANT</f>
        <v>0.0</v>
      </c>
      <c r="G18" s="13">
        <f>D18*TOTAL_FREED*E18</f>
        <v>4500117.843888708</v>
      </c>
      <c r="H18" t="str">
        <f>IF(TOTAL_FREED&gt;0,IF(C18&gt;=JOIN_MIN,"yes","no"),"n/a (no beds)")</f>
        <v>yes</v>
      </c>
      <c r="I18" t="str">
        <f>IF(GRANT_RUNG1&gt;0,IF(D18*FREED*E18&gt;=GRANT_RUNG1,"yes","no"),"n/a")</f>
        <v>n/a</v>
      </c>
      <c r="J18" t="str">
        <f>IF(GRANT_RUNG2&gt;0,IF(D18*FREED*E18&gt;=GRANT_RUNG2,"yes","no"),"n/a")</f>
        <v>yes</v>
      </c>
    </row>
    <row r="19">
      <c r="A19" t="str">
        <f>INDEX(H_NAME,16)</f>
        <v>Molokai General Hospital</v>
      </c>
      <c r="B19">
        <f>INDEX(H_STATE_RUN,16)</f>
        <v>0</v>
      </c>
      <c r="C19" s="13">
        <f>C_AVOID</f>
        <v>1010</v>
      </c>
      <c r="D19" s="10">
        <f>INDEX(PLAN_SHARE,16)</f>
        <v>0.00031288734852040386</v>
      </c>
      <c r="E19" s="8">
        <f>C19-MCD_SHARE_FREED*R_WAIT_2023</f>
        <v>555.2812690515359</v>
      </c>
      <c r="F19" s="13">
        <f>D19*TOTAL_GRANT</f>
        <v>0.0</v>
      </c>
      <c r="G19" s="13">
        <f>D19*TOTAL_FREED*E19</f>
        <v>6568.777450095802</v>
      </c>
      <c r="H19" t="str">
        <f>IF(TOTAL_FREED&gt;0,IF(C19&gt;=JOIN_MIN,"yes","no"),"n/a (no beds)")</f>
        <v>yes</v>
      </c>
      <c r="I19" t="str">
        <f>IF(GRANT_RUNG1&gt;0,IF(D19*FREED*E19&gt;=GRANT_RUNG1,"yes","no"),"n/a")</f>
        <v>n/a</v>
      </c>
      <c r="J19" t="str">
        <f>IF(GRANT_RUNG2&gt;0,IF(D19*FREED*E19&gt;=GRANT_RUNG2,"yes","no"),"n/a")</f>
        <v>no</v>
      </c>
    </row>
    <row r="21">
      <c r="A21" t="inlineStr">
        <is>
          <t>JOIN_MIN</t>
        </is>
      </c>
      <c r="B21" s="8">
        <f>IF(TOTAL_FREED&gt;0,TOTAL_GRANT/TOTAL_FREED+MCD_SHARE_FREED*R_WAIT_2023,"n/a (no beds)")</f>
        <v>454.7187309484641</v>
      </c>
    </row>
    <row r="22">
      <c r="A22" t="inlineStr">
        <is>
          <t>PAY_H_SUM</t>
        </is>
      </c>
      <c r="B22" s="13">
        <f>SUM(CO_PAY_H)</f>
        <v>0.0</v>
      </c>
    </row>
    <row r="23">
      <c r="A23" t="inlineStr">
        <is>
          <t>STATE_RUN_PAY</t>
        </is>
      </c>
      <c r="B23" s="13">
        <f>SUMPRODUCT(B4:B19,F4:F19)</f>
        <v>0.0</v>
      </c>
    </row>
    <row r="24">
      <c r="A24" t="inlineStr">
        <is>
          <t>JOIN_ALL</t>
        </is>
      </c>
      <c r="B24" t="str">
        <f>IF(TOTAL_FREED&gt;0,IF(COUNTIF(CO_JOIN,"no")=0,"yes","no"),"n/a (no beds)")</f>
        <v>yes</v>
      </c>
    </row>
    <row r="25">
      <c r="A25" t="inlineStr">
        <is>
          <t>SOLO_ANY_FIRST</t>
        </is>
      </c>
      <c r="B25" t="str">
        <f>IF(FIRST_RUNG=1,IF(COUNTIF(CO_SOLO1,"n/a")&gt;0,"n/a",IF(COUNTIF(CO_SOLO1,"yes")&gt;0,"yes","no")),IF(COUNTIF(CO_SOLO2,"n/a")&gt;0,"n/a",IF(COUNTIF(CO_SOLO2,"yes")&gt;0,"yes","no")))</f>
        <v>n/a</v>
      </c>
    </row>
    <row r="26">
      <c r="A26" t="inlineStr">
        <is>
          <t>JOIN_STRESS</t>
        </is>
      </c>
      <c r="B26" t="str">
        <f>IF(TOTAL_FREED&gt;0,IF(RUNVAL_STRESS_CAVOID&gt;=JOIN_MIN,"yes","no"),"n/a (no beds)")</f>
        <v>yes</v>
      </c>
    </row>
    <row r="27">
      <c r="A27" t="inlineStr">
        <is>
          <t>JOIN_STRESS: the stress run sets one hospital at RUNVAL_STRESS_CAVOID; JOIN_MIN is the same for every hospital, so which one does not matter (decision 40).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Z53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Scenarios: one column block per run; each block recomputes every output from its own copy of the inputs that differ</t>
        </is>
      </c>
    </row>
    <row r="3">
      <c r="A3" s="3" t="inlineStr">
        <is>
          <t>Run</t>
        </is>
      </c>
      <c r="B3" s="2" t="inlineStr">
        <is>
          <t>BASE</t>
        </is>
      </c>
      <c r="AB3" s="2" t="inlineStr">
        <is>
          <t>CAVOID_LO</t>
        </is>
      </c>
      <c r="BB3" s="2" t="inlineStr">
        <is>
          <t>CAVOID_HI</t>
        </is>
      </c>
      <c r="CB3" s="2" t="inlineStr">
        <is>
          <t>NEWBUILD</t>
        </is>
      </c>
      <c r="DB3" s="2" t="inlineStr">
        <is>
          <t>STRESS</t>
        </is>
      </c>
      <c r="EB3" s="2" t="inlineStr">
        <is>
          <t>MEDICARE</t>
        </is>
      </c>
      <c r="FB3" s="2" t="inlineStr">
        <is>
          <t>STAFFING</t>
        </is>
      </c>
      <c r="GB3" s="2" t="inlineStr">
        <is>
          <t>SR_SIMPLE</t>
        </is>
      </c>
      <c r="HB3" s="2" t="inlineStr">
        <is>
          <t>DISC_3</t>
        </is>
      </c>
      <c r="IB3" s="2" t="inlineStr">
        <is>
          <t>DISC_7</t>
        </is>
      </c>
      <c r="JB3" s="2" t="inlineStr">
        <is>
          <t>GIDX_30</t>
        </is>
      </c>
      <c r="KB3" s="2" t="inlineStr">
        <is>
          <t>STAY_60</t>
        </is>
      </c>
      <c r="LB3" s="2" t="inlineStr">
        <is>
          <t>STAY_90</t>
        </is>
      </c>
      <c r="MB3" s="2" t="inlineStr">
        <is>
          <t>Y2024</t>
        </is>
      </c>
      <c r="NB3" s="2" t="inlineStr">
        <is>
          <t>PPP_25</t>
        </is>
      </c>
      <c r="OB3" s="2" t="inlineStr">
        <is>
          <t>PPP_50</t>
        </is>
      </c>
    </row>
    <row r="4">
      <c r="A4" s="3" t="inlineStr">
        <is>
          <t>What changes</t>
        </is>
      </c>
      <c r="B4" t="inlineStr">
        <is>
          <t>Base run</t>
        </is>
      </c>
      <c r="AB4" t="inlineStr">
        <is>
          <t>C_AVOID = 550</t>
        </is>
      </c>
      <c r="BB4" t="inlineStr">
        <is>
          <t>C_AVOID = 1,470</t>
        </is>
      </c>
      <c r="CB4" t="inlineStr">
        <is>
          <t>Every bed in a new building (rung 2)</t>
        </is>
      </c>
      <c r="DB4" t="inlineStr">
        <is>
          <t>One hospital at C_AVOID_H = 550</t>
        </is>
      </c>
      <c r="EB4" t="inlineStr">
        <is>
          <t>Medicare Part A pays days 1 to 20</t>
        </is>
      </c>
      <c r="FB4" t="inlineStr">
        <is>
          <t>Wage premium: 6.5% raise, new beds only</t>
        </is>
      </c>
      <c r="GB4" t="inlineStr">
        <is>
          <t>Supply response: simple estimate</t>
        </is>
      </c>
      <c r="HB4" t="inlineStr">
        <is>
          <t>DISC_RATE = 0.03</t>
        </is>
      </c>
      <c r="IB4" t="inlineStr">
        <is>
          <t>DISC_RATE = 0.07</t>
        </is>
      </c>
      <c r="JB4" t="inlineStr">
        <is>
          <t>G_IDX after FY2027 = 0.030</t>
        </is>
      </c>
      <c r="KB4" t="inlineStr">
        <is>
          <t>STAY_DAYS = 60</t>
        </is>
      </c>
      <c r="LB4" t="inlineStr">
        <is>
          <t>STAY_DAYS = 90</t>
        </is>
      </c>
      <c r="MB4" t="inlineStr">
        <is>
          <t>Waitlist year 2024</t>
        </is>
      </c>
      <c r="NB4" t="inlineStr">
        <is>
          <t>PAST_POOL_PCT = 0.25</t>
        </is>
      </c>
      <c r="OB4" t="inlineStr">
        <is>
          <t>PAST_POOL_PCT = 0.5</t>
        </is>
      </c>
    </row>
    <row r="5">
      <c r="A5" s="3" t="inlineStr">
        <is>
          <t>Inputs for the run</t>
        </is>
      </c>
    </row>
    <row r="6">
      <c r="A6" t="inlineStr">
        <is>
          <t>C_AVOID</t>
        </is>
      </c>
      <c r="B6">
        <f>C_AVOID</f>
        <v>1010</v>
      </c>
      <c r="AB6">
        <f>RUNVAL_CAVOID_LO</f>
        <v>550</v>
      </c>
      <c r="BB6">
        <f>RUNVAL_CAVOID_HI</f>
        <v>1470</v>
      </c>
      <c r="CB6">
        <f>C_AVOID</f>
        <v>1010</v>
      </c>
      <c r="DB6">
        <f>C_AVOID</f>
        <v>1010</v>
      </c>
      <c r="EB6">
        <f>C_AVOID</f>
        <v>1010</v>
      </c>
      <c r="FB6">
        <f>C_AVOID</f>
        <v>1010</v>
      </c>
      <c r="GB6">
        <f>C_AVOID</f>
        <v>1010</v>
      </c>
      <c r="HB6">
        <f>C_AVOID</f>
        <v>1010</v>
      </c>
      <c r="IB6">
        <f>C_AVOID</f>
        <v>1010</v>
      </c>
      <c r="JB6">
        <f>C_AVOID</f>
        <v>1010</v>
      </c>
      <c r="KB6">
        <f>C_AVOID</f>
        <v>1010</v>
      </c>
      <c r="LB6">
        <f>C_AVOID</f>
        <v>1010</v>
      </c>
      <c r="MB6">
        <f>C_AVOID</f>
        <v>1010</v>
      </c>
      <c r="NB6">
        <f>C_AVOID</f>
        <v>1010</v>
      </c>
      <c r="OB6">
        <f>C_AVOID</f>
        <v>1010</v>
      </c>
    </row>
    <row r="7">
      <c r="A7" t="inlineStr">
        <is>
          <t>RUNG_BEDS_1</t>
        </is>
      </c>
      <c r="B7">
        <f>RUNG_BEDS_1</f>
        <v>400</v>
      </c>
      <c r="AB7">
        <f>RUNG_BEDS_1</f>
        <v>400</v>
      </c>
      <c r="BB7">
        <f>RUNG_BEDS_1</f>
        <v>400</v>
      </c>
      <c r="CB7">
        <f>0</f>
        <v>0</v>
      </c>
      <c r="DB7">
        <f>RUNG_BEDS_1</f>
        <v>400</v>
      </c>
      <c r="EB7">
        <f>RUNG_BEDS_1</f>
        <v>400</v>
      </c>
      <c r="FB7">
        <f>RUNG_BEDS_1</f>
        <v>400</v>
      </c>
      <c r="GB7">
        <f>RUNG_BEDS_1</f>
        <v>400</v>
      </c>
      <c r="HB7">
        <f>RUNG_BEDS_1</f>
        <v>400</v>
      </c>
      <c r="IB7">
        <f>RUNG_BEDS_1</f>
        <v>400</v>
      </c>
      <c r="JB7">
        <f>RUNG_BEDS_1</f>
        <v>400</v>
      </c>
      <c r="KB7">
        <f>RUNG_BEDS_1</f>
        <v>400</v>
      </c>
      <c r="LB7">
        <f>RUNG_BEDS_1</f>
        <v>400</v>
      </c>
      <c r="MB7">
        <f>RUNG_BEDS_1</f>
        <v>400</v>
      </c>
      <c r="NB7">
        <f>RUNG_BEDS_1</f>
        <v>400</v>
      </c>
      <c r="OB7">
        <f>RUNG_BEDS_1</f>
        <v>400</v>
      </c>
    </row>
    <row r="8">
      <c r="A8" t="inlineStr">
        <is>
          <t>C_AVOID_H_MIN</t>
        </is>
      </c>
      <c r="B8">
        <f>C_AVOID</f>
        <v>1010</v>
      </c>
      <c r="AB8">
        <f>C_AVOID</f>
        <v>1010</v>
      </c>
      <c r="BB8">
        <f>C_AVOID</f>
        <v>1010</v>
      </c>
      <c r="CB8">
        <f>C_AVOID</f>
        <v>1010</v>
      </c>
      <c r="DB8">
        <f>RUNVAL_STRESS_CAVOID</f>
        <v>550</v>
      </c>
      <c r="EB8">
        <f>C_AVOID</f>
        <v>1010</v>
      </c>
      <c r="FB8">
        <f>C_AVOID</f>
        <v>1010</v>
      </c>
      <c r="GB8">
        <f>C_AVOID</f>
        <v>1010</v>
      </c>
      <c r="HB8">
        <f>C_AVOID</f>
        <v>1010</v>
      </c>
      <c r="IB8">
        <f>C_AVOID</f>
        <v>1010</v>
      </c>
      <c r="JB8">
        <f>C_AVOID</f>
        <v>1010</v>
      </c>
      <c r="KB8">
        <f>C_AVOID</f>
        <v>1010</v>
      </c>
      <c r="LB8">
        <f>C_AVOID</f>
        <v>1010</v>
      </c>
      <c r="MB8">
        <f>C_AVOID</f>
        <v>1010</v>
      </c>
      <c r="NB8">
        <f>C_AVOID</f>
        <v>1010</v>
      </c>
      <c r="OB8">
        <f>C_AVOID</f>
        <v>1010</v>
      </c>
    </row>
    <row r="9">
      <c r="A9" t="inlineStr">
        <is>
          <t>MEDICARE_RUN</t>
        </is>
      </c>
      <c r="B9">
        <f>MEDICARE_RUN</f>
        <v>0</v>
      </c>
      <c r="AB9">
        <f>MEDICARE_RUN</f>
        <v>0</v>
      </c>
      <c r="BB9">
        <f>MEDICARE_RUN</f>
        <v>0</v>
      </c>
      <c r="CB9">
        <f>MEDICARE_RUN</f>
        <v>0</v>
      </c>
      <c r="DB9">
        <f>MEDICARE_RUN</f>
        <v>0</v>
      </c>
      <c r="EB9">
        <f>1</f>
        <v>1</v>
      </c>
      <c r="FB9">
        <f>MEDICARE_RUN</f>
        <v>0</v>
      </c>
      <c r="GB9">
        <f>MEDICARE_RUN</f>
        <v>0</v>
      </c>
      <c r="HB9">
        <f>MEDICARE_RUN</f>
        <v>0</v>
      </c>
      <c r="IB9">
        <f>MEDICARE_RUN</f>
        <v>0</v>
      </c>
      <c r="JB9">
        <f>MEDICARE_RUN</f>
        <v>0</v>
      </c>
      <c r="KB9">
        <f>MEDICARE_RUN</f>
        <v>0</v>
      </c>
      <c r="LB9">
        <f>MEDICARE_RUN</f>
        <v>0</v>
      </c>
      <c r="MB9">
        <f>MEDICARE_RUN</f>
        <v>0</v>
      </c>
      <c r="NB9">
        <f>MEDICARE_RUN</f>
        <v>0</v>
      </c>
      <c r="OB9">
        <f>MEDICARE_RUN</f>
        <v>0</v>
      </c>
    </row>
    <row r="10">
      <c r="A10" t="inlineStr">
        <is>
          <t>WAGE_INCREASE_PCT</t>
        </is>
      </c>
      <c r="B10" s="5">
        <f>WAGE_INCREASE_PCT</f>
        <v>0</v>
      </c>
      <c r="AB10" s="5">
        <f>WAGE_INCREASE_PCT</f>
        <v>0</v>
      </c>
      <c r="BB10" s="5">
        <f>WAGE_INCREASE_PCT</f>
        <v>0</v>
      </c>
      <c r="CB10" s="5">
        <f>WAGE_INCREASE_PCT</f>
        <v>0</v>
      </c>
      <c r="DB10" s="5">
        <f>WAGE_INCREASE_PCT</f>
        <v>0</v>
      </c>
      <c r="EB10" s="5">
        <f>WAGE_INCREASE_PCT</f>
        <v>0</v>
      </c>
      <c r="FB10" s="5">
        <f>RUNVAL_WAGE</f>
        <v>0.065</v>
      </c>
      <c r="GB10" s="5">
        <f>WAGE_INCREASE_PCT</f>
        <v>0</v>
      </c>
      <c r="HB10" s="5">
        <f>WAGE_INCREASE_PCT</f>
        <v>0</v>
      </c>
      <c r="IB10" s="5">
        <f>WAGE_INCREASE_PCT</f>
        <v>0</v>
      </c>
      <c r="JB10" s="5">
        <f>WAGE_INCREASE_PCT</f>
        <v>0</v>
      </c>
      <c r="KB10" s="5">
        <f>WAGE_INCREASE_PCT</f>
        <v>0</v>
      </c>
      <c r="LB10" s="5">
        <f>WAGE_INCREASE_PCT</f>
        <v>0</v>
      </c>
      <c r="MB10" s="5">
        <f>WAGE_INCREASE_PCT</f>
        <v>0</v>
      </c>
      <c r="NB10" s="5">
        <f>WAGE_INCREASE_PCT</f>
        <v>0</v>
      </c>
      <c r="OB10" s="5">
        <f>WAGE_INCREASE_PCT</f>
        <v>0</v>
      </c>
    </row>
    <row r="11">
      <c r="A11" t="inlineStr">
        <is>
          <t>SUPPLY_RESPONSE</t>
        </is>
      </c>
      <c r="B11" s="5">
        <f>SUPPLY_RESPONSE</f>
        <v>-1.199743330880367</v>
      </c>
      <c r="AB11" s="5">
        <f>SUPPLY_RESPONSE</f>
        <v>-1.199743330880367</v>
      </c>
      <c r="BB11" s="5">
        <f>SUPPLY_RESPONSE</f>
        <v>-1.199743330880367</v>
      </c>
      <c r="CB11" s="5">
        <f>SUPPLY_RESPONSE</f>
        <v>-1.199743330880367</v>
      </c>
      <c r="DB11" s="5">
        <f>SUPPLY_RESPONSE</f>
        <v>-1.199743330880367</v>
      </c>
      <c r="EB11" s="5">
        <f>SUPPLY_RESPONSE</f>
        <v>-1.199743330880367</v>
      </c>
      <c r="FB11" s="5">
        <f>SUPPLY_RESPONSE</f>
        <v>-1.199743330880367</v>
      </c>
      <c r="GB11" s="5">
        <f>SUPPLY_RESPONSE_SIMPLE</f>
        <v>-0.9056262354648127</v>
      </c>
      <c r="HB11" s="5">
        <f>SUPPLY_RESPONSE</f>
        <v>-1.199743330880367</v>
      </c>
      <c r="IB11" s="5">
        <f>SUPPLY_RESPONSE</f>
        <v>-1.199743330880367</v>
      </c>
      <c r="JB11" s="5">
        <f>SUPPLY_RESPONSE</f>
        <v>-1.199743330880367</v>
      </c>
      <c r="KB11" s="5">
        <f>SUPPLY_RESPONSE</f>
        <v>-1.199743330880367</v>
      </c>
      <c r="LB11" s="5">
        <f>SUPPLY_RESPONSE</f>
        <v>-1.199743330880367</v>
      </c>
      <c r="MB11" s="5">
        <f>SUPPLY_RESPONSE</f>
        <v>-1.199743330880367</v>
      </c>
      <c r="NB11" s="5">
        <f>SUPPLY_RESPONSE</f>
        <v>-1.199743330880367</v>
      </c>
      <c r="OB11" s="5">
        <f>SUPPLY_RESPONSE</f>
        <v>-1.199743330880367</v>
      </c>
    </row>
    <row r="12">
      <c r="A12" t="inlineStr">
        <is>
          <t>DISC_RATE</t>
        </is>
      </c>
      <c r="B12" s="5">
        <f>DISC_RATE</f>
        <v>0.02</v>
      </c>
      <c r="AB12" s="5">
        <f>DISC_RATE</f>
        <v>0.02</v>
      </c>
      <c r="BB12" s="5">
        <f>DISC_RATE</f>
        <v>0.02</v>
      </c>
      <c r="CB12" s="5">
        <f>DISC_RATE</f>
        <v>0.02</v>
      </c>
      <c r="DB12" s="5">
        <f>DISC_RATE</f>
        <v>0.02</v>
      </c>
      <c r="EB12" s="5">
        <f>DISC_RATE</f>
        <v>0.02</v>
      </c>
      <c r="FB12" s="5">
        <f>DISC_RATE</f>
        <v>0.02</v>
      </c>
      <c r="GB12" s="5">
        <f>DISC_RATE</f>
        <v>0.02</v>
      </c>
      <c r="HB12" s="5">
        <f>RUNVAL_DISC_A</f>
        <v>0.03</v>
      </c>
      <c r="IB12" s="5">
        <f>RUNVAL_DISC_B</f>
        <v>0.07</v>
      </c>
      <c r="JB12" s="5">
        <f>DISC_RATE</f>
        <v>0.02</v>
      </c>
      <c r="KB12" s="5">
        <f>DISC_RATE</f>
        <v>0.02</v>
      </c>
      <c r="LB12" s="5">
        <f>DISC_RATE</f>
        <v>0.02</v>
      </c>
      <c r="MB12" s="5">
        <f>DISC_RATE</f>
        <v>0.02</v>
      </c>
      <c r="NB12" s="5">
        <f>DISC_RATE</f>
        <v>0.02</v>
      </c>
      <c r="OB12" s="5">
        <f>DISC_RATE</f>
        <v>0.02</v>
      </c>
    </row>
    <row r="13">
      <c r="A13" t="inlineStr">
        <is>
          <t>G_IDX_POST</t>
        </is>
      </c>
      <c r="B13" s="5">
        <f>G_IDX_POST</f>
        <v>0.033</v>
      </c>
      <c r="AB13" s="5">
        <f>G_IDX_POST</f>
        <v>0.033</v>
      </c>
      <c r="BB13" s="5">
        <f>G_IDX_POST</f>
        <v>0.033</v>
      </c>
      <c r="CB13" s="5">
        <f>G_IDX_POST</f>
        <v>0.033</v>
      </c>
      <c r="DB13" s="5">
        <f>G_IDX_POST</f>
        <v>0.033</v>
      </c>
      <c r="EB13" s="5">
        <f>G_IDX_POST</f>
        <v>0.033</v>
      </c>
      <c r="FB13" s="5">
        <f>G_IDX_POST</f>
        <v>0.033</v>
      </c>
      <c r="GB13" s="5">
        <f>G_IDX_POST</f>
        <v>0.033</v>
      </c>
      <c r="HB13" s="5">
        <f>G_IDX_POST</f>
        <v>0.033</v>
      </c>
      <c r="IB13" s="5">
        <f>G_IDX_POST</f>
        <v>0.033</v>
      </c>
      <c r="JB13" s="5">
        <f>RUNVAL_GIDX_POST</f>
        <v>0.03</v>
      </c>
      <c r="KB13" s="5">
        <f>G_IDX_POST</f>
        <v>0.033</v>
      </c>
      <c r="LB13" s="5">
        <f>G_IDX_POST</f>
        <v>0.033</v>
      </c>
      <c r="MB13" s="5">
        <f>G_IDX_POST</f>
        <v>0.033</v>
      </c>
      <c r="NB13" s="5">
        <f>G_IDX_POST</f>
        <v>0.033</v>
      </c>
      <c r="OB13" s="5">
        <f>G_IDX_POST</f>
        <v>0.033</v>
      </c>
    </row>
    <row r="14">
      <c r="A14" t="inlineStr">
        <is>
          <t>STAY_DAYS</t>
        </is>
      </c>
      <c r="B14">
        <f>STAY_DAYS</f>
        <v>30</v>
      </c>
      <c r="AB14">
        <f>STAY_DAYS</f>
        <v>30</v>
      </c>
      <c r="BB14">
        <f>STAY_DAYS</f>
        <v>30</v>
      </c>
      <c r="CB14">
        <f>STAY_DAYS</f>
        <v>30</v>
      </c>
      <c r="DB14">
        <f>STAY_DAYS</f>
        <v>30</v>
      </c>
      <c r="EB14">
        <f>STAY_DAYS</f>
        <v>30</v>
      </c>
      <c r="FB14">
        <f>STAY_DAYS</f>
        <v>30</v>
      </c>
      <c r="GB14">
        <f>STAY_DAYS</f>
        <v>30</v>
      </c>
      <c r="HB14">
        <f>STAY_DAYS</f>
        <v>30</v>
      </c>
      <c r="IB14">
        <f>STAY_DAYS</f>
        <v>30</v>
      </c>
      <c r="JB14">
        <f>STAY_DAYS</f>
        <v>30</v>
      </c>
      <c r="KB14">
        <f>RUNVAL_STAY_A</f>
        <v>60</v>
      </c>
      <c r="LB14">
        <f>RUNVAL_STAY_B</f>
        <v>90</v>
      </c>
      <c r="MB14">
        <f>STAY_DAYS</f>
        <v>30</v>
      </c>
      <c r="NB14">
        <f>STAY_DAYS</f>
        <v>30</v>
      </c>
      <c r="OB14">
        <f>STAY_DAYS</f>
        <v>30</v>
      </c>
    </row>
    <row r="15">
      <c r="A15" t="inlineStr">
        <is>
          <t>RUN_YEAR</t>
        </is>
      </c>
      <c r="B15">
        <f>RUN_YEAR</f>
        <v>2023</v>
      </c>
      <c r="AB15">
        <f>RUN_YEAR</f>
        <v>2023</v>
      </c>
      <c r="BB15">
        <f>RUN_YEAR</f>
        <v>2023</v>
      </c>
      <c r="CB15">
        <f>RUN_YEAR</f>
        <v>2023</v>
      </c>
      <c r="DB15">
        <f>RUN_YEAR</f>
        <v>2023</v>
      </c>
      <c r="EB15">
        <f>RUN_YEAR</f>
        <v>2023</v>
      </c>
      <c r="FB15">
        <f>RUN_YEAR</f>
        <v>2023</v>
      </c>
      <c r="GB15">
        <f>RUN_YEAR</f>
        <v>2023</v>
      </c>
      <c r="HB15">
        <f>RUN_YEAR</f>
        <v>2023</v>
      </c>
      <c r="IB15">
        <f>RUN_YEAR</f>
        <v>2023</v>
      </c>
      <c r="JB15">
        <f>RUN_YEAR</f>
        <v>2023</v>
      </c>
      <c r="KB15">
        <f>RUN_YEAR</f>
        <v>2023</v>
      </c>
      <c r="LB15">
        <f>RUN_YEAR</f>
        <v>2023</v>
      </c>
      <c r="MB15">
        <f>RUNVAL_YEAR</f>
        <v>2024</v>
      </c>
      <c r="NB15">
        <f>RUN_YEAR</f>
        <v>2023</v>
      </c>
      <c r="OB15">
        <f>RUN_YEAR</f>
        <v>2023</v>
      </c>
    </row>
    <row r="16">
      <c r="A16" t="inlineStr">
        <is>
          <t>PAST_POOL_PCT</t>
        </is>
      </c>
      <c r="B16" s="5">
        <f>PAST_POOL_PCT</f>
        <v>0</v>
      </c>
      <c r="AB16" s="5">
        <f>PAST_POOL_PCT</f>
        <v>0</v>
      </c>
      <c r="BB16" s="5">
        <f>PAST_POOL_PCT</f>
        <v>0</v>
      </c>
      <c r="CB16" s="5">
        <f>PAST_POOL_PCT</f>
        <v>0</v>
      </c>
      <c r="DB16" s="5">
        <f>PAST_POOL_PCT</f>
        <v>0</v>
      </c>
      <c r="EB16" s="5">
        <f>PAST_POOL_PCT</f>
        <v>0</v>
      </c>
      <c r="FB16" s="5">
        <f>PAST_POOL_PCT</f>
        <v>0</v>
      </c>
      <c r="GB16" s="5">
        <f>PAST_POOL_PCT</f>
        <v>0</v>
      </c>
      <c r="HB16" s="5">
        <f>PAST_POOL_PCT</f>
        <v>0</v>
      </c>
      <c r="IB16" s="5">
        <f>PAST_POOL_PCT</f>
        <v>0</v>
      </c>
      <c r="JB16" s="5">
        <f>PAST_POOL_PCT</f>
        <v>0</v>
      </c>
      <c r="KB16" s="5">
        <f>PAST_POOL_PCT</f>
        <v>0</v>
      </c>
      <c r="LB16" s="5">
        <f>PAST_POOL_PCT</f>
        <v>0</v>
      </c>
      <c r="MB16" s="5">
        <f>PAST_POOL_PCT</f>
        <v>0</v>
      </c>
      <c r="NB16" s="5">
        <f>RUNVAL_PPP_A</f>
        <v>0.25</v>
      </c>
      <c r="OB16" s="5">
        <f>RUNVAL_PPP_B</f>
        <v>0.5</v>
      </c>
    </row>
    <row r="17">
      <c r="A17" s="3" t="inlineStr">
        <is>
          <t>Derived</t>
        </is>
      </c>
    </row>
    <row r="18">
      <c r="A18" t="inlineStr">
        <is>
          <t>WAGE_PREMIUM</t>
        </is>
      </c>
      <c r="B18" s="8">
        <f>SALARY_SHARE*NF_COST_2023*$B$10*(1+SPREAD_FACTOR)</f>
        <v>0.0</v>
      </c>
      <c r="AB18" s="8">
        <f>SALARY_SHARE*NF_COST_2023*$AB$10*(1+SPREAD_FACTOR)</f>
        <v>0.0</v>
      </c>
      <c r="BB18" s="8">
        <f>SALARY_SHARE*NF_COST_2023*$BB$10*(1+SPREAD_FACTOR)</f>
        <v>0.0</v>
      </c>
      <c r="CB18" s="8">
        <f>SALARY_SHARE*NF_COST_2023*$CB$10*(1+SPREAD_FACTOR)</f>
        <v>0.0</v>
      </c>
      <c r="DB18" s="8">
        <f>SALARY_SHARE*NF_COST_2023*$DB$10*(1+SPREAD_FACTOR)</f>
        <v>0.0</v>
      </c>
      <c r="EB18" s="8">
        <f>SALARY_SHARE*NF_COST_2023*$EB$10*(1+SPREAD_FACTOR)</f>
        <v>0.0</v>
      </c>
      <c r="FB18" s="8">
        <f>SALARY_SHARE*NF_COST_2023*$FB$10*(1+SPREAD_FACTOR)</f>
        <v>12.9129</v>
      </c>
      <c r="GB18" s="8">
        <f>SALARY_SHARE*NF_COST_2023*$GB$10*(1+SPREAD_FACTOR)</f>
        <v>0.0</v>
      </c>
      <c r="HB18" s="8">
        <f>SALARY_SHARE*NF_COST_2023*$HB$10*(1+SPREAD_FACTOR)</f>
        <v>0.0</v>
      </c>
      <c r="IB18" s="8">
        <f>SALARY_SHARE*NF_COST_2023*$IB$10*(1+SPREAD_FACTOR)</f>
        <v>0.0</v>
      </c>
      <c r="JB18" s="8">
        <f>SALARY_SHARE*NF_COST_2023*$JB$10*(1+SPREAD_FACTOR)</f>
        <v>0.0</v>
      </c>
      <c r="KB18" s="8">
        <f>SALARY_SHARE*NF_COST_2023*$KB$10*(1+SPREAD_FACTOR)</f>
        <v>0.0</v>
      </c>
      <c r="LB18" s="8">
        <f>SALARY_SHARE*NF_COST_2023*$LB$10*(1+SPREAD_FACTOR)</f>
        <v>0.0</v>
      </c>
      <c r="MB18" s="8">
        <f>SALARY_SHARE*NF_COST_2023*$MB$10*(1+SPREAD_FACTOR)</f>
        <v>0.0</v>
      </c>
      <c r="NB18" s="8">
        <f>SALARY_SHARE*NF_COST_2023*$NB$10*(1+SPREAD_FACTOR)</f>
        <v>0.0</v>
      </c>
      <c r="OB18" s="8">
        <f>SALARY_SHARE*NF_COST_2023*$OB$10*(1+SPREAD_FACTOR)</f>
        <v>0.0</v>
      </c>
    </row>
    <row r="19">
      <c r="A19" t="inlineStr">
        <is>
          <t>C_FULL</t>
        </is>
      </c>
      <c r="B19" s="8">
        <f>NF_COST_2023+$B$18</f>
        <v>462.0</v>
      </c>
      <c r="AB19" s="8">
        <f>NF_COST_2023+$AB$18</f>
        <v>462.0</v>
      </c>
      <c r="BB19" s="8">
        <f>NF_COST_2023+$BB$18</f>
        <v>462.0</v>
      </c>
      <c r="CB19" s="8">
        <f>NF_COST_2023+$CB$18</f>
        <v>462.0</v>
      </c>
      <c r="DB19" s="8">
        <f>NF_COST_2023+$DB$18</f>
        <v>462.0</v>
      </c>
      <c r="EB19" s="8">
        <f>NF_COST_2023+$EB$18</f>
        <v>462.0</v>
      </c>
      <c r="FB19" s="8">
        <f>NF_COST_2023+$FB$18</f>
        <v>474.9129</v>
      </c>
      <c r="GB19" s="8">
        <f>NF_COST_2023+$GB$18</f>
        <v>462.0</v>
      </c>
      <c r="HB19" s="8">
        <f>NF_COST_2023+$HB$18</f>
        <v>462.0</v>
      </c>
      <c r="IB19" s="8">
        <f>NF_COST_2023+$IB$18</f>
        <v>462.0</v>
      </c>
      <c r="JB19" s="8">
        <f>NF_COST_2023+$JB$18</f>
        <v>462.0</v>
      </c>
      <c r="KB19" s="8">
        <f>NF_COST_2023+$KB$18</f>
        <v>462.0</v>
      </c>
      <c r="LB19" s="8">
        <f>NF_COST_2023+$LB$18</f>
        <v>462.0</v>
      </c>
      <c r="MB19" s="8">
        <f>NF_COST_2023+$MB$18</f>
        <v>462.0</v>
      </c>
      <c r="NB19" s="8">
        <f>NF_COST_2023+$NB$18</f>
        <v>462.0</v>
      </c>
      <c r="OB19" s="8">
        <f>NF_COST_2023+$OB$18</f>
        <v>462.0</v>
      </c>
    </row>
    <row r="20">
      <c r="A20" t="inlineStr">
        <is>
          <t>C_OP</t>
        </is>
      </c>
      <c r="B20" s="8">
        <f>NF_COST_2023-NF_CAP_COST_2023+$B$18</f>
        <v>443.25</v>
      </c>
      <c r="AB20" s="8">
        <f>NF_COST_2023-NF_CAP_COST_2023+$AB$18</f>
        <v>443.25</v>
      </c>
      <c r="BB20" s="8">
        <f>NF_COST_2023-NF_CAP_COST_2023+$BB$18</f>
        <v>443.25</v>
      </c>
      <c r="CB20" s="8">
        <f>NF_COST_2023-NF_CAP_COST_2023+$CB$18</f>
        <v>443.25</v>
      </c>
      <c r="DB20" s="8">
        <f>NF_COST_2023-NF_CAP_COST_2023+$DB$18</f>
        <v>443.25</v>
      </c>
      <c r="EB20" s="8">
        <f>NF_COST_2023-NF_CAP_COST_2023+$EB$18</f>
        <v>443.25</v>
      </c>
      <c r="FB20" s="8">
        <f>NF_COST_2023-NF_CAP_COST_2023+$FB$18</f>
        <v>456.1629</v>
      </c>
      <c r="GB20" s="8">
        <f>NF_COST_2023-NF_CAP_COST_2023+$GB$18</f>
        <v>443.25</v>
      </c>
      <c r="HB20" s="8">
        <f>NF_COST_2023-NF_CAP_COST_2023+$HB$18</f>
        <v>443.25</v>
      </c>
      <c r="IB20" s="8">
        <f>NF_COST_2023-NF_CAP_COST_2023+$IB$18</f>
        <v>443.25</v>
      </c>
      <c r="JB20" s="8">
        <f>NF_COST_2023-NF_CAP_COST_2023+$JB$18</f>
        <v>443.25</v>
      </c>
      <c r="KB20" s="8">
        <f>NF_COST_2023-NF_CAP_COST_2023+$KB$18</f>
        <v>443.25</v>
      </c>
      <c r="LB20" s="8">
        <f>NF_COST_2023-NF_CAP_COST_2023+$LB$18</f>
        <v>443.25</v>
      </c>
      <c r="MB20" s="8">
        <f>NF_COST_2023-NF_CAP_COST_2023+$MB$18</f>
        <v>443.25</v>
      </c>
      <c r="NB20" s="8">
        <f>NF_COST_2023-NF_CAP_COST_2023+$NB$18</f>
        <v>443.25</v>
      </c>
      <c r="OB20" s="8">
        <f>NF_COST_2023-NF_CAP_COST_2023+$OB$18</f>
        <v>443.25</v>
      </c>
    </row>
    <row r="21">
      <c r="A21" t="inlineStr">
        <is>
          <t>WAIT_DAYS</t>
        </is>
      </c>
      <c r="B21" s="13">
        <f>IF($B$15=2023,WAIT_DAYS_2023,WAIT_DAYS_2024)</f>
        <v>83097</v>
      </c>
      <c r="AB21" s="13">
        <f>IF($AB$15=2023,WAIT_DAYS_2023,WAIT_DAYS_2024)</f>
        <v>83097</v>
      </c>
      <c r="BB21" s="13">
        <f>IF($BB$15=2023,WAIT_DAYS_2023,WAIT_DAYS_2024)</f>
        <v>83097</v>
      </c>
      <c r="CB21" s="13">
        <f>IF($CB$15=2023,WAIT_DAYS_2023,WAIT_DAYS_2024)</f>
        <v>83097</v>
      </c>
      <c r="DB21" s="13">
        <f>IF($DB$15=2023,WAIT_DAYS_2023,WAIT_DAYS_2024)</f>
        <v>83097</v>
      </c>
      <c r="EB21" s="13">
        <f>IF($EB$15=2023,WAIT_DAYS_2023,WAIT_DAYS_2024)</f>
        <v>83097</v>
      </c>
      <c r="FB21" s="13">
        <f>IF($FB$15=2023,WAIT_DAYS_2023,WAIT_DAYS_2024)</f>
        <v>83097</v>
      </c>
      <c r="GB21" s="13">
        <f>IF($GB$15=2023,WAIT_DAYS_2023,WAIT_DAYS_2024)</f>
        <v>83097</v>
      </c>
      <c r="HB21" s="13">
        <f>IF($HB$15=2023,WAIT_DAYS_2023,WAIT_DAYS_2024)</f>
        <v>83097</v>
      </c>
      <c r="IB21" s="13">
        <f>IF($IB$15=2023,WAIT_DAYS_2023,WAIT_DAYS_2024)</f>
        <v>83097</v>
      </c>
      <c r="JB21" s="13">
        <f>IF($JB$15=2023,WAIT_DAYS_2023,WAIT_DAYS_2024)</f>
        <v>83097</v>
      </c>
      <c r="KB21" s="13">
        <f>IF($KB$15=2023,WAIT_DAYS_2023,WAIT_DAYS_2024)</f>
        <v>83097</v>
      </c>
      <c r="LB21" s="13">
        <f>IF($LB$15=2023,WAIT_DAYS_2023,WAIT_DAYS_2024)</f>
        <v>83097</v>
      </c>
      <c r="MB21" s="13">
        <f>IF($MB$15=2023,WAIT_DAYS_2023,WAIT_DAYS_2024)</f>
        <v>60876</v>
      </c>
      <c r="NB21" s="13">
        <f>IF($NB$15=2023,WAIT_DAYS_2023,WAIT_DAYS_2024)</f>
        <v>83097</v>
      </c>
      <c r="OB21" s="13">
        <f>IF($OB$15=2023,WAIT_DAYS_2023,WAIT_DAYS_2024)</f>
        <v>83097</v>
      </c>
    </row>
    <row r="22">
      <c r="A22" t="inlineStr">
        <is>
          <t>WAIT_PATIENTS</t>
        </is>
      </c>
      <c r="B22" s="13">
        <f>IF($B$15=2023,WAIT_PATIENTS_2023,WAIT_PATIENTS_2024)</f>
        <v>3610</v>
      </c>
      <c r="AB22" s="13">
        <f>IF($AB$15=2023,WAIT_PATIENTS_2023,WAIT_PATIENTS_2024)</f>
        <v>3610</v>
      </c>
      <c r="BB22" s="13">
        <f>IF($BB$15=2023,WAIT_PATIENTS_2023,WAIT_PATIENTS_2024)</f>
        <v>3610</v>
      </c>
      <c r="CB22" s="13">
        <f>IF($CB$15=2023,WAIT_PATIENTS_2023,WAIT_PATIENTS_2024)</f>
        <v>3610</v>
      </c>
      <c r="DB22" s="13">
        <f>IF($DB$15=2023,WAIT_PATIENTS_2023,WAIT_PATIENTS_2024)</f>
        <v>3610</v>
      </c>
      <c r="EB22" s="13">
        <f>IF($EB$15=2023,WAIT_PATIENTS_2023,WAIT_PATIENTS_2024)</f>
        <v>3610</v>
      </c>
      <c r="FB22" s="13">
        <f>IF($FB$15=2023,WAIT_PATIENTS_2023,WAIT_PATIENTS_2024)</f>
        <v>3610</v>
      </c>
      <c r="GB22" s="13">
        <f>IF($GB$15=2023,WAIT_PATIENTS_2023,WAIT_PATIENTS_2024)</f>
        <v>3610</v>
      </c>
      <c r="HB22" s="13">
        <f>IF($HB$15=2023,WAIT_PATIENTS_2023,WAIT_PATIENTS_2024)</f>
        <v>3610</v>
      </c>
      <c r="IB22" s="13">
        <f>IF($IB$15=2023,WAIT_PATIENTS_2023,WAIT_PATIENTS_2024)</f>
        <v>3610</v>
      </c>
      <c r="JB22" s="13">
        <f>IF($JB$15=2023,WAIT_PATIENTS_2023,WAIT_PATIENTS_2024)</f>
        <v>3610</v>
      </c>
      <c r="KB22" s="13">
        <f>IF($KB$15=2023,WAIT_PATIENTS_2023,WAIT_PATIENTS_2024)</f>
        <v>3610</v>
      </c>
      <c r="LB22" s="13">
        <f>IF($LB$15=2023,WAIT_PATIENTS_2023,WAIT_PATIENTS_2024)</f>
        <v>3610</v>
      </c>
      <c r="MB22" s="13">
        <f>IF($MB$15=2023,WAIT_PATIENTS_2023,WAIT_PATIENTS_2024)</f>
        <v>3123</v>
      </c>
      <c r="NB22" s="13">
        <f>IF($NB$15=2023,WAIT_PATIENTS_2023,WAIT_PATIENTS_2024)</f>
        <v>3610</v>
      </c>
      <c r="OB22" s="13">
        <f>IF($OB$15=2023,WAIT_PATIENTS_2023,WAIT_PATIENTS_2024)</f>
        <v>3610</v>
      </c>
    </row>
    <row r="23">
      <c r="A23" t="inlineStr">
        <is>
          <t>DAYS_AVOIDED</t>
        </is>
      </c>
      <c r="B23" s="5">
        <f>$B$21/$B$22</f>
        <v>23.018559556786702</v>
      </c>
      <c r="AB23" s="5">
        <f>$AB$21/$AB$22</f>
        <v>23.018559556786702</v>
      </c>
      <c r="BB23" s="5">
        <f>$BB$21/$BB$22</f>
        <v>23.018559556786702</v>
      </c>
      <c r="CB23" s="5">
        <f>$CB$21/$CB$22</f>
        <v>23.018559556786702</v>
      </c>
      <c r="DB23" s="5">
        <f>$DB$21/$DB$22</f>
        <v>23.018559556786702</v>
      </c>
      <c r="EB23" s="5">
        <f>$EB$21/$EB$22</f>
        <v>23.018559556786702</v>
      </c>
      <c r="FB23" s="5">
        <f>$FB$21/$FB$22</f>
        <v>23.018559556786702</v>
      </c>
      <c r="GB23" s="5">
        <f>$GB$21/$GB$22</f>
        <v>23.018559556786702</v>
      </c>
      <c r="HB23" s="5">
        <f>$HB$21/$HB$22</f>
        <v>23.018559556786702</v>
      </c>
      <c r="IB23" s="5">
        <f>$IB$21/$IB$22</f>
        <v>23.018559556786702</v>
      </c>
      <c r="JB23" s="5">
        <f>$JB$21/$JB$22</f>
        <v>23.018559556786702</v>
      </c>
      <c r="KB23" s="5">
        <f>$KB$21/$KB$22</f>
        <v>23.018559556786702</v>
      </c>
      <c r="LB23" s="5">
        <f>$LB$21/$LB$22</f>
        <v>23.018559556786702</v>
      </c>
      <c r="MB23" s="5">
        <f>$MB$21/$MB$22</f>
        <v>19.492795389048993</v>
      </c>
      <c r="NB23" s="5">
        <f>$NB$21/$NB$22</f>
        <v>23.018559556786702</v>
      </c>
      <c r="OB23" s="5">
        <f>$OB$21/$OB$22</f>
        <v>23.018559556786702</v>
      </c>
    </row>
    <row r="24">
      <c r="A24" t="inlineStr">
        <is>
          <t>POOL_SHARE</t>
        </is>
      </c>
      <c r="B24" s="5">
        <f>IF($B$15=2023,POOL_SHARE_2023,POOL_SHARE_2024)</f>
        <v>0.45549738219895286</v>
      </c>
      <c r="AB24" s="5">
        <f>IF($AB$15=2023,POOL_SHARE_2023,POOL_SHARE_2024)</f>
        <v>0.45549738219895286</v>
      </c>
      <c r="BB24" s="5">
        <f>IF($BB$15=2023,POOL_SHARE_2023,POOL_SHARE_2024)</f>
        <v>0.45549738219895286</v>
      </c>
      <c r="CB24" s="5">
        <f>IF($CB$15=2023,POOL_SHARE_2023,POOL_SHARE_2024)</f>
        <v>0.45549738219895286</v>
      </c>
      <c r="DB24" s="5">
        <f>IF($DB$15=2023,POOL_SHARE_2023,POOL_SHARE_2024)</f>
        <v>0.45549738219895286</v>
      </c>
      <c r="EB24" s="5">
        <f>IF($EB$15=2023,POOL_SHARE_2023,POOL_SHARE_2024)</f>
        <v>0.45549738219895286</v>
      </c>
      <c r="FB24" s="5">
        <f>IF($FB$15=2023,POOL_SHARE_2023,POOL_SHARE_2024)</f>
        <v>0.45549738219895286</v>
      </c>
      <c r="GB24" s="5">
        <f>IF($GB$15=2023,POOL_SHARE_2023,POOL_SHARE_2024)</f>
        <v>0.45549738219895286</v>
      </c>
      <c r="HB24" s="5">
        <f>IF($HB$15=2023,POOL_SHARE_2023,POOL_SHARE_2024)</f>
        <v>0.45549738219895286</v>
      </c>
      <c r="IB24" s="5">
        <f>IF($IB$15=2023,POOL_SHARE_2023,POOL_SHARE_2024)</f>
        <v>0.45549738219895286</v>
      </c>
      <c r="JB24" s="5">
        <f>IF($JB$15=2023,POOL_SHARE_2023,POOL_SHARE_2024)</f>
        <v>0.45549738219895286</v>
      </c>
      <c r="KB24" s="5">
        <f>IF($KB$15=2023,POOL_SHARE_2023,POOL_SHARE_2024)</f>
        <v>0.45549738219895286</v>
      </c>
      <c r="LB24" s="5">
        <f>IF($LB$15=2023,POOL_SHARE_2023,POOL_SHARE_2024)</f>
        <v>0.45549738219895286</v>
      </c>
      <c r="MB24" s="5">
        <f>IF($MB$15=2023,POOL_SHARE_2023,POOL_SHARE_2024)</f>
        <v>0.5260115606936416</v>
      </c>
      <c r="NB24" s="5">
        <f>IF($NB$15=2023,POOL_SHARE_2023,POOL_SHARE_2024)</f>
        <v>0.45549738219895286</v>
      </c>
      <c r="OB24" s="5">
        <f>IF($OB$15=2023,POOL_SHARE_2023,POOL_SHARE_2024)</f>
        <v>0.45549738219895286</v>
      </c>
    </row>
    <row r="25">
      <c r="A25" t="inlineStr">
        <is>
          <t>FREED</t>
        </is>
      </c>
      <c r="B25" s="5">
        <f>OCC_DAYS/$B$14*$B$23</f>
        <v>252.05322714681438</v>
      </c>
      <c r="AB25" s="5">
        <f>OCC_DAYS/$AB$14*$AB$23</f>
        <v>252.05322714681438</v>
      </c>
      <c r="BB25" s="5">
        <f>OCC_DAYS/$BB$14*$BB$23</f>
        <v>252.05322714681438</v>
      </c>
      <c r="CB25" s="5">
        <f>OCC_DAYS/$CB$14*$CB$23</f>
        <v>252.05322714681438</v>
      </c>
      <c r="DB25" s="5">
        <f>OCC_DAYS/$DB$14*$DB$23</f>
        <v>252.05322714681438</v>
      </c>
      <c r="EB25" s="5">
        <f>OCC_DAYS/$EB$14*$EB$23</f>
        <v>252.05322714681438</v>
      </c>
      <c r="FB25" s="5">
        <f>OCC_DAYS/$FB$14*$FB$23</f>
        <v>252.05322714681438</v>
      </c>
      <c r="GB25" s="5">
        <f>OCC_DAYS/$GB$14*$GB$23</f>
        <v>252.05322714681438</v>
      </c>
      <c r="HB25" s="5">
        <f>OCC_DAYS/$HB$14*$HB$23</f>
        <v>252.05322714681438</v>
      </c>
      <c r="IB25" s="5">
        <f>OCC_DAYS/$IB$14*$IB$23</f>
        <v>252.05322714681438</v>
      </c>
      <c r="JB25" s="5">
        <f>OCC_DAYS/$JB$14*$JB$23</f>
        <v>252.05322714681438</v>
      </c>
      <c r="KB25" s="5">
        <f>OCC_DAYS/$KB$14*$KB$23</f>
        <v>126.02661357340719</v>
      </c>
      <c r="LB25" s="5">
        <f>OCC_DAYS/$LB$14*$LB$23</f>
        <v>84.01774238227146</v>
      </c>
      <c r="MB25" s="5">
        <f>OCC_DAYS/$MB$14*$MB$23</f>
        <v>213.44610951008647</v>
      </c>
      <c r="NB25" s="5">
        <f>OCC_DAYS/$NB$14*$NB$23</f>
        <v>252.05322714681438</v>
      </c>
      <c r="OB25" s="5">
        <f>OCC_DAYS/$OB$14*$OB$23</f>
        <v>252.05322714681438</v>
      </c>
    </row>
    <row r="26">
      <c r="A26" t="inlineStr">
        <is>
          <t>POOL_BEDS</t>
        </is>
      </c>
      <c r="B26" s="5">
        <f>$B$24*$B$21/$B$25</f>
        <v>150.1685433550886</v>
      </c>
      <c r="AB26" s="5">
        <f>$AB$24*$AB$21/$AB$25</f>
        <v>150.1685433550886</v>
      </c>
      <c r="BB26" s="5">
        <f>$BB$24*$BB$21/$BB$25</f>
        <v>150.1685433550886</v>
      </c>
      <c r="CB26" s="5">
        <f>$CB$24*$CB$21/$CB$25</f>
        <v>150.1685433550886</v>
      </c>
      <c r="DB26" s="5">
        <f>$DB$24*$DB$21/$DB$25</f>
        <v>150.1685433550886</v>
      </c>
      <c r="EB26" s="5">
        <f>$EB$24*$EB$21/$EB$25</f>
        <v>150.1685433550886</v>
      </c>
      <c r="FB26" s="5">
        <f>$FB$24*$FB$21/$FB$25</f>
        <v>150.1685433550886</v>
      </c>
      <c r="GB26" s="5">
        <f>$GB$24*$GB$21/$GB$25</f>
        <v>150.1685433550886</v>
      </c>
      <c r="HB26" s="5">
        <f>$HB$24*$HB$21/$HB$25</f>
        <v>150.1685433550886</v>
      </c>
      <c r="IB26" s="5">
        <f>$IB$24*$IB$21/$IB$25</f>
        <v>150.1685433550886</v>
      </c>
      <c r="JB26" s="5">
        <f>$JB$24*$JB$21/$JB$25</f>
        <v>150.1685433550886</v>
      </c>
      <c r="KB26" s="5">
        <f>$KB$24*$KB$21/$KB$25</f>
        <v>300.3370867101772</v>
      </c>
      <c r="LB26" s="5">
        <f>$LB$24*$LB$21/$LB$25</f>
        <v>450.50563006526573</v>
      </c>
      <c r="MB26" s="5">
        <f>$MB$24*$MB$21/$MB$25</f>
        <v>150.02137936495367</v>
      </c>
      <c r="NB26" s="5">
        <f>$NB$24*$NB$21/$NB$25</f>
        <v>150.1685433550886</v>
      </c>
      <c r="OB26" s="5">
        <f>$OB$24*$OB$21/$OB$25</f>
        <v>150.1685433550886</v>
      </c>
    </row>
    <row r="27">
      <c r="A27" t="inlineStr">
        <is>
          <t>ANNUITY_RUNG1</t>
        </is>
      </c>
      <c r="B27" s="10">
        <f>$B$12/(1-(1+$B$12)^-N_LIFE_RUNG1)</f>
        <v>0.061156718125290346</v>
      </c>
      <c r="AB27" s="10">
        <f>$AB$12/(1-(1+$AB$12)^-N_LIFE_RUNG1)</f>
        <v>0.061156718125290346</v>
      </c>
      <c r="BB27" s="10">
        <f>$BB$12/(1-(1+$BB$12)^-N_LIFE_RUNG1)</f>
        <v>0.061156718125290346</v>
      </c>
      <c r="CB27" s="10">
        <f>$CB$12/(1-(1+$CB$12)^-N_LIFE_RUNG1)</f>
        <v>0.061156718125290346</v>
      </c>
      <c r="DB27" s="10">
        <f>$DB$12/(1-(1+$DB$12)^-N_LIFE_RUNG1)</f>
        <v>0.061156718125290346</v>
      </c>
      <c r="EB27" s="10">
        <f>$EB$12/(1-(1+$EB$12)^-N_LIFE_RUNG1)</f>
        <v>0.061156718125290346</v>
      </c>
      <c r="FB27" s="10">
        <f>$FB$12/(1-(1+$FB$12)^-N_LIFE_RUNG1)</f>
        <v>0.061156718125290346</v>
      </c>
      <c r="GB27" s="10">
        <f>$GB$12/(1-(1+$GB$12)^-N_LIFE_RUNG1)</f>
        <v>0.061156718125290346</v>
      </c>
      <c r="HB27" s="10">
        <f>$HB$12/(1-(1+$HB$12)^-N_LIFE_RUNG1)</f>
        <v>0.06721570759685909</v>
      </c>
      <c r="IB27" s="10">
        <f>$IB$12/(1-(1+$IB$12)^-N_LIFE_RUNG1)</f>
        <v>0.09439292574325567</v>
      </c>
      <c r="JB27" s="10">
        <f>$JB$12/(1-(1+$JB$12)^-N_LIFE_RUNG1)</f>
        <v>0.061156718125290346</v>
      </c>
      <c r="KB27" s="10">
        <f>$KB$12/(1-(1+$KB$12)^-N_LIFE_RUNG1)</f>
        <v>0.061156718125290346</v>
      </c>
      <c r="LB27" s="10">
        <f>$LB$12/(1-(1+$LB$12)^-N_LIFE_RUNG1)</f>
        <v>0.061156718125290346</v>
      </c>
      <c r="MB27" s="10">
        <f>$MB$12/(1-(1+$MB$12)^-N_LIFE_RUNG1)</f>
        <v>0.061156718125290346</v>
      </c>
      <c r="NB27" s="10">
        <f>$NB$12/(1-(1+$NB$12)^-N_LIFE_RUNG1)</f>
        <v>0.061156718125290346</v>
      </c>
      <c r="OB27" s="10">
        <f>$OB$12/(1-(1+$OB$12)^-N_LIFE_RUNG1)</f>
        <v>0.061156718125290346</v>
      </c>
    </row>
    <row r="28">
      <c r="A28" t="inlineStr">
        <is>
          <t>ANNUITY_RUNG2</t>
        </is>
      </c>
      <c r="B28" s="10">
        <f>$B$12/(1-(1+$B$12)^-N_LIFE_RUNG2)</f>
        <v>0.03655574779734747</v>
      </c>
      <c r="AB28" s="10">
        <f>$AB$12/(1-(1+$AB$12)^-N_LIFE_RUNG2)</f>
        <v>0.03655574779734747</v>
      </c>
      <c r="BB28" s="10">
        <f>$BB$12/(1-(1+$BB$12)^-N_LIFE_RUNG2)</f>
        <v>0.03655574779734747</v>
      </c>
      <c r="CB28" s="10">
        <f>$CB$12/(1-(1+$CB$12)^-N_LIFE_RUNG2)</f>
        <v>0.03655574779734747</v>
      </c>
      <c r="DB28" s="10">
        <f>$DB$12/(1-(1+$DB$12)^-N_LIFE_RUNG2)</f>
        <v>0.03655574779734747</v>
      </c>
      <c r="EB28" s="10">
        <f>$EB$12/(1-(1+$EB$12)^-N_LIFE_RUNG2)</f>
        <v>0.03655574779734747</v>
      </c>
      <c r="FB28" s="10">
        <f>$FB$12/(1-(1+$FB$12)^-N_LIFE_RUNG2)</f>
        <v>0.03655574779734747</v>
      </c>
      <c r="GB28" s="10">
        <f>$GB$12/(1-(1+$GB$12)^-N_LIFE_RUNG2)</f>
        <v>0.03655574779734747</v>
      </c>
      <c r="HB28" s="10">
        <f>$HB$12/(1-(1+$HB$12)^-N_LIFE_RUNG2)</f>
        <v>0.04326237789046286</v>
      </c>
      <c r="IB28" s="10">
        <f>$IB$12/(1-(1+$IB$12)^-N_LIFE_RUNG2)</f>
        <v>0.07500913887361031</v>
      </c>
      <c r="JB28" s="10">
        <f>$JB$12/(1-(1+$JB$12)^-N_LIFE_RUNG2)</f>
        <v>0.03655574779734747</v>
      </c>
      <c r="KB28" s="10">
        <f>$KB$12/(1-(1+$KB$12)^-N_LIFE_RUNG2)</f>
        <v>0.03655574779734747</v>
      </c>
      <c r="LB28" s="10">
        <f>$LB$12/(1-(1+$LB$12)^-N_LIFE_RUNG2)</f>
        <v>0.03655574779734747</v>
      </c>
      <c r="MB28" s="10">
        <f>$MB$12/(1-(1+$MB$12)^-N_LIFE_RUNG2)</f>
        <v>0.03655574779734747</v>
      </c>
      <c r="NB28" s="10">
        <f>$NB$12/(1-(1+$NB$12)^-N_LIFE_RUNG2)</f>
        <v>0.03655574779734747</v>
      </c>
      <c r="OB28" s="10">
        <f>$OB$12/(1-(1+$OB$12)^-N_LIFE_RUNG2)</f>
        <v>0.03655574779734747</v>
      </c>
    </row>
    <row r="29">
      <c r="A29" t="inlineStr">
        <is>
          <t>K_ANN_RUNG1</t>
        </is>
      </c>
      <c r="B29" s="8">
        <f>K_RUNG1*$B$27</f>
        <v>627.1621443748525</v>
      </c>
      <c r="AB29" s="8">
        <f>K_RUNG1*$AB$27</f>
        <v>627.1621443748525</v>
      </c>
      <c r="BB29" s="8">
        <f>K_RUNG1*$BB$27</f>
        <v>627.1621443748525</v>
      </c>
      <c r="CB29" s="8">
        <f>K_RUNG1*$CB$27</f>
        <v>627.1621443748525</v>
      </c>
      <c r="DB29" s="8">
        <f>K_RUNG1*$DB$27</f>
        <v>627.1621443748525</v>
      </c>
      <c r="EB29" s="8">
        <f>K_RUNG1*$EB$27</f>
        <v>627.1621443748525</v>
      </c>
      <c r="FB29" s="8">
        <f>K_RUNG1*$FB$27</f>
        <v>627.1621443748525</v>
      </c>
      <c r="GB29" s="8">
        <f>K_RUNG1*$GB$27</f>
        <v>627.1621443748525</v>
      </c>
      <c r="HB29" s="8">
        <f>K_RUNG1*$HB$27</f>
        <v>689.29708140579</v>
      </c>
      <c r="IB29" s="8">
        <f>K_RUNG1*$IB$27</f>
        <v>967.9994534970868</v>
      </c>
      <c r="JB29" s="8">
        <f>K_RUNG1*$JB$27</f>
        <v>627.1621443748525</v>
      </c>
      <c r="KB29" s="8">
        <f>K_RUNG1*$KB$27</f>
        <v>627.1621443748525</v>
      </c>
      <c r="LB29" s="8">
        <f>K_RUNG1*$LB$27</f>
        <v>627.1621443748525</v>
      </c>
      <c r="MB29" s="8">
        <f>K_RUNG1*$MB$27</f>
        <v>627.1621443748525</v>
      </c>
      <c r="NB29" s="8">
        <f>K_RUNG1*$NB$27</f>
        <v>627.1621443748525</v>
      </c>
      <c r="OB29" s="8">
        <f>K_RUNG1*$OB$27</f>
        <v>627.1621443748525</v>
      </c>
    </row>
    <row r="30">
      <c r="A30" t="inlineStr">
        <is>
          <t>K_ANN_RUNG2</t>
        </is>
      </c>
      <c r="B30" s="8">
        <f>K_RUNG2*$B$28</f>
        <v>8951.369407388678</v>
      </c>
      <c r="AB30" s="8">
        <f>K_RUNG2*$AB$28</f>
        <v>8951.369407388678</v>
      </c>
      <c r="BB30" s="8">
        <f>K_RUNG2*$BB$28</f>
        <v>8951.369407388678</v>
      </c>
      <c r="CB30" s="8">
        <f>K_RUNG2*$CB$28</f>
        <v>8951.369407388678</v>
      </c>
      <c r="DB30" s="8">
        <f>K_RUNG2*$DB$28</f>
        <v>8951.369407388678</v>
      </c>
      <c r="EB30" s="8">
        <f>K_RUNG2*$EB$28</f>
        <v>8951.369407388678</v>
      </c>
      <c r="FB30" s="8">
        <f>K_RUNG2*$FB$28</f>
        <v>8951.369407388678</v>
      </c>
      <c r="GB30" s="8">
        <f>K_RUNG2*$GB$28</f>
        <v>8951.369407388678</v>
      </c>
      <c r="HB30" s="8">
        <f>K_RUNG2*$HB$28</f>
        <v>10593.61521165975</v>
      </c>
      <c r="IB30" s="8">
        <f>K_RUNG2*$IB$28</f>
        <v>18367.412826842083</v>
      </c>
      <c r="JB30" s="8">
        <f>K_RUNG2*$JB$28</f>
        <v>8951.369407388678</v>
      </c>
      <c r="KB30" s="8">
        <f>K_RUNG2*$KB$28</f>
        <v>8951.369407388678</v>
      </c>
      <c r="LB30" s="8">
        <f>K_RUNG2*$LB$28</f>
        <v>8951.369407388678</v>
      </c>
      <c r="MB30" s="8">
        <f>K_RUNG2*$MB$28</f>
        <v>8951.369407388678</v>
      </c>
      <c r="NB30" s="8">
        <f>K_RUNG2*$NB$28</f>
        <v>8951.369407388678</v>
      </c>
      <c r="OB30" s="8">
        <f>K_RUNG2*$OB$28</f>
        <v>8951.369407388678</v>
      </c>
    </row>
    <row r="31">
      <c r="A31" t="inlineStr">
        <is>
          <t>COST_YR_RUNG1</t>
        </is>
      </c>
      <c r="B31" s="8">
        <f>$B$29+OCC_DAYS*$B$19</f>
        <v>152394.16214437486</v>
      </c>
      <c r="AB31" s="8">
        <f>$AB$29+OCC_DAYS*$AB$19</f>
        <v>152394.16214437486</v>
      </c>
      <c r="BB31" s="8">
        <f>$BB$29+OCC_DAYS*$BB$19</f>
        <v>152394.16214437486</v>
      </c>
      <c r="CB31" s="8">
        <f>$CB$29+OCC_DAYS*$CB$19</f>
        <v>152394.16214437486</v>
      </c>
      <c r="DB31" s="8">
        <f>$DB$29+OCC_DAYS*$DB$19</f>
        <v>152394.16214437486</v>
      </c>
      <c r="EB31" s="8">
        <f>$EB$29+OCC_DAYS*$EB$19</f>
        <v>152394.16214437486</v>
      </c>
      <c r="FB31" s="8">
        <f>$FB$29+OCC_DAYS*$FB$19</f>
        <v>156636.04979437485</v>
      </c>
      <c r="GB31" s="8">
        <f>$GB$29+OCC_DAYS*$GB$19</f>
        <v>152394.16214437486</v>
      </c>
      <c r="HB31" s="8">
        <f>$HB$29+OCC_DAYS*$HB$19</f>
        <v>152456.2970814058</v>
      </c>
      <c r="IB31" s="8">
        <f>$IB$29+OCC_DAYS*$IB$19</f>
        <v>152734.9994534971</v>
      </c>
      <c r="JB31" s="8">
        <f>$JB$29+OCC_DAYS*$JB$19</f>
        <v>152394.16214437486</v>
      </c>
      <c r="KB31" s="8">
        <f>$KB$29+OCC_DAYS*$KB$19</f>
        <v>152394.16214437486</v>
      </c>
      <c r="LB31" s="8">
        <f>$LB$29+OCC_DAYS*$LB$19</f>
        <v>152394.16214437486</v>
      </c>
      <c r="MB31" s="8">
        <f>$MB$29+OCC_DAYS*$MB$19</f>
        <v>152394.16214437486</v>
      </c>
      <c r="NB31" s="8">
        <f>$NB$29+OCC_DAYS*$NB$19</f>
        <v>152394.16214437486</v>
      </c>
      <c r="OB31" s="8">
        <f>$OB$29+OCC_DAYS*$OB$19</f>
        <v>152394.16214437486</v>
      </c>
    </row>
    <row r="32">
      <c r="A32" t="inlineStr">
        <is>
          <t>COST_YR_RUNG2</t>
        </is>
      </c>
      <c r="B32" s="8">
        <f>$B$30+OCC_DAYS*$B$19</f>
        <v>160718.36940738867</v>
      </c>
      <c r="AB32" s="8">
        <f>$AB$30+OCC_DAYS*$AB$19</f>
        <v>160718.36940738867</v>
      </c>
      <c r="BB32" s="8">
        <f>$BB$30+OCC_DAYS*$BB$19</f>
        <v>160718.36940738867</v>
      </c>
      <c r="CB32" s="8">
        <f>$CB$30+OCC_DAYS*$CB$19</f>
        <v>160718.36940738867</v>
      </c>
      <c r="DB32" s="8">
        <f>$DB$30+OCC_DAYS*$DB$19</f>
        <v>160718.36940738867</v>
      </c>
      <c r="EB32" s="8">
        <f>$EB$30+OCC_DAYS*$EB$19</f>
        <v>160718.36940738867</v>
      </c>
      <c r="FB32" s="8">
        <f>$FB$30+OCC_DAYS*$FB$19</f>
        <v>164960.25705738866</v>
      </c>
      <c r="GB32" s="8">
        <f>$GB$30+OCC_DAYS*$GB$19</f>
        <v>160718.36940738867</v>
      </c>
      <c r="HB32" s="8">
        <f>$HB$30+OCC_DAYS*$HB$19</f>
        <v>162360.61521165975</v>
      </c>
      <c r="IB32" s="8">
        <f>$IB$30+OCC_DAYS*$IB$19</f>
        <v>170134.41282684208</v>
      </c>
      <c r="JB32" s="8">
        <f>$JB$30+OCC_DAYS*$JB$19</f>
        <v>160718.36940738867</v>
      </c>
      <c r="KB32" s="8">
        <f>$KB$30+OCC_DAYS*$KB$19</f>
        <v>160718.36940738867</v>
      </c>
      <c r="LB32" s="8">
        <f>$LB$30+OCC_DAYS*$LB$19</f>
        <v>160718.36940738867</v>
      </c>
      <c r="MB32" s="8">
        <f>$MB$30+OCC_DAYS*$MB$19</f>
        <v>160718.36940738867</v>
      </c>
      <c r="NB32" s="8">
        <f>$NB$30+OCC_DAYS*$NB$19</f>
        <v>160718.36940738867</v>
      </c>
      <c r="OB32" s="8">
        <f>$OB$30+OCC_DAYS*$OB$19</f>
        <v>160718.36940738867</v>
      </c>
    </row>
    <row r="33">
      <c r="A33" t="inlineStr">
        <is>
          <t>BREAKEVEN_RUNG1</t>
        </is>
      </c>
      <c r="B33" s="8">
        <f>$B$31/$B$25</f>
        <v>604.6110334290989</v>
      </c>
      <c r="AB33" s="8">
        <f>$AB$31/$AB$25</f>
        <v>604.6110334290989</v>
      </c>
      <c r="BB33" s="8">
        <f>$BB$31/$BB$25</f>
        <v>604.6110334290989</v>
      </c>
      <c r="CB33" s="8">
        <f>$CB$31/$CB$25</f>
        <v>604.6110334290989</v>
      </c>
      <c r="DB33" s="8">
        <f>$DB$31/$DB$25</f>
        <v>604.6110334290989</v>
      </c>
      <c r="EB33" s="8">
        <f>$EB$31/$EB$25</f>
        <v>604.6110334290989</v>
      </c>
      <c r="FB33" s="8">
        <f>$FB$31/$FB$25</f>
        <v>621.4403662569988</v>
      </c>
      <c r="GB33" s="8">
        <f>$GB$31/$GB$25</f>
        <v>604.6110334290989</v>
      </c>
      <c r="HB33" s="8">
        <f>$HB$31/$HB$25</f>
        <v>604.8575485708977</v>
      </c>
      <c r="IB33" s="8">
        <f>$IB$31/$IB$25</f>
        <v>605.9632768142777</v>
      </c>
      <c r="JB33" s="8">
        <f>$JB$31/$JB$25</f>
        <v>604.6110334290989</v>
      </c>
      <c r="KB33" s="8">
        <f>$KB$31/$KB$25</f>
        <v>1209.2220668581979</v>
      </c>
      <c r="LB33" s="8">
        <f>$LB$31/$LB$25</f>
        <v>1813.8331002872967</v>
      </c>
      <c r="MB33" s="8">
        <f>$MB$31/$MB$25</f>
        <v>713.9702030370032</v>
      </c>
      <c r="NB33" s="8">
        <f>$NB$31/$NB$25</f>
        <v>604.6110334290989</v>
      </c>
      <c r="OB33" s="8">
        <f>$OB$31/$OB$25</f>
        <v>604.6110334290989</v>
      </c>
    </row>
    <row r="34">
      <c r="A34" t="inlineStr">
        <is>
          <t>BREAKEVEN_RUNG2</t>
        </is>
      </c>
      <c r="B34" s="8">
        <f>$B$32/$B$25</f>
        <v>637.6366263058177</v>
      </c>
      <c r="AB34" s="8">
        <f>$AB$32/$AB$25</f>
        <v>637.6366263058177</v>
      </c>
      <c r="BB34" s="8">
        <f>$BB$32/$BB$25</f>
        <v>637.6366263058177</v>
      </c>
      <c r="CB34" s="8">
        <f>$CB$32/$CB$25</f>
        <v>637.6366263058177</v>
      </c>
      <c r="DB34" s="8">
        <f>$DB$32/$DB$25</f>
        <v>637.6366263058177</v>
      </c>
      <c r="EB34" s="8">
        <f>$EB$32/$EB$25</f>
        <v>637.6366263058177</v>
      </c>
      <c r="FB34" s="8">
        <f>$FB$32/$FB$25</f>
        <v>654.4659591337177</v>
      </c>
      <c r="GB34" s="8">
        <f>$GB$32/$GB$25</f>
        <v>637.6366263058177</v>
      </c>
      <c r="HB34" s="8">
        <f>$HB$32/$HB$25</f>
        <v>644.1520985449988</v>
      </c>
      <c r="IB34" s="8">
        <f>$IB$32/$IB$25</f>
        <v>674.9939873919697</v>
      </c>
      <c r="JB34" s="8">
        <f>$JB$32/$JB$25</f>
        <v>637.6366263058177</v>
      </c>
      <c r="KB34" s="8">
        <f>$KB$32/$KB$25</f>
        <v>1275.2732526116354</v>
      </c>
      <c r="LB34" s="8">
        <f>$LB$32/$LB$25</f>
        <v>1912.9098789174532</v>
      </c>
      <c r="MB34" s="8">
        <f>$MB$32/$MB$25</f>
        <v>752.9693081606338</v>
      </c>
      <c r="NB34" s="8">
        <f>$NB$32/$NB$25</f>
        <v>637.6366263058177</v>
      </c>
      <c r="OB34" s="8">
        <f>$OB$32/$OB$25</f>
        <v>637.6366263058177</v>
      </c>
    </row>
    <row r="35">
      <c r="A35" t="inlineStr">
        <is>
          <t>GRANT_RUNG1</t>
        </is>
      </c>
      <c r="B35" s="8">
        <f>MAX(0,$B$29-R_CAP_2023*OCC_DAYS)</f>
        <v>0</v>
      </c>
      <c r="AB35" s="8">
        <f>MAX(0,$AB$29-R_CAP_2023*OCC_DAYS)</f>
        <v>0</v>
      </c>
      <c r="BB35" s="8">
        <f>MAX(0,$BB$29-R_CAP_2023*OCC_DAYS)</f>
        <v>0</v>
      </c>
      <c r="CB35" s="8">
        <f>MAX(0,$CB$29-R_CAP_2023*OCC_DAYS)</f>
        <v>0</v>
      </c>
      <c r="DB35" s="8">
        <f>MAX(0,$DB$29-R_CAP_2023*OCC_DAYS)</f>
        <v>0</v>
      </c>
      <c r="EB35" s="8">
        <f>MAX(0,$EB$29-R_CAP_2023*OCC_DAYS)</f>
        <v>0</v>
      </c>
      <c r="FB35" s="8">
        <f>MAX(0,$FB$29-R_CAP_2023*OCC_DAYS)</f>
        <v>0</v>
      </c>
      <c r="GB35" s="8">
        <f>MAX(0,$GB$29-R_CAP_2023*OCC_DAYS)</f>
        <v>0</v>
      </c>
      <c r="HB35" s="8">
        <f>MAX(0,$HB$29-R_CAP_2023*OCC_DAYS)</f>
        <v>0</v>
      </c>
      <c r="IB35" s="8">
        <f>MAX(0,$IB$29-R_CAP_2023*OCC_DAYS)</f>
        <v>0</v>
      </c>
      <c r="JB35" s="8">
        <f>MAX(0,$JB$29-R_CAP_2023*OCC_DAYS)</f>
        <v>0</v>
      </c>
      <c r="KB35" s="8">
        <f>MAX(0,$KB$29-R_CAP_2023*OCC_DAYS)</f>
        <v>0</v>
      </c>
      <c r="LB35" s="8">
        <f>MAX(0,$LB$29-R_CAP_2023*OCC_DAYS)</f>
        <v>0</v>
      </c>
      <c r="MB35" s="8">
        <f>MAX(0,$MB$29-R_CAP_2023*OCC_DAYS)</f>
        <v>0</v>
      </c>
      <c r="NB35" s="8">
        <f>MAX(0,$NB$29-R_CAP_2023*OCC_DAYS)</f>
        <v>0</v>
      </c>
      <c r="OB35" s="8">
        <f>MAX(0,$OB$29-R_CAP_2023*OCC_DAYS)</f>
        <v>0</v>
      </c>
    </row>
    <row r="36">
      <c r="A36" t="inlineStr">
        <is>
          <t>GRANT_RUNG2</t>
        </is>
      </c>
      <c r="B36" s="8">
        <f>MAX(0,$B$30-R_CAP_2023*OCC_DAYS)</f>
        <v>1560.1194073886782</v>
      </c>
      <c r="AB36" s="8">
        <f>MAX(0,$AB$30-R_CAP_2023*OCC_DAYS)</f>
        <v>1560.1194073886782</v>
      </c>
      <c r="BB36" s="8">
        <f>MAX(0,$BB$30-R_CAP_2023*OCC_DAYS)</f>
        <v>1560.1194073886782</v>
      </c>
      <c r="CB36" s="8">
        <f>MAX(0,$CB$30-R_CAP_2023*OCC_DAYS)</f>
        <v>1560.1194073886782</v>
      </c>
      <c r="DB36" s="8">
        <f>MAX(0,$DB$30-R_CAP_2023*OCC_DAYS)</f>
        <v>1560.1194073886782</v>
      </c>
      <c r="EB36" s="8">
        <f>MAX(0,$EB$30-R_CAP_2023*OCC_DAYS)</f>
        <v>1560.1194073886782</v>
      </c>
      <c r="FB36" s="8">
        <f>MAX(0,$FB$30-R_CAP_2023*OCC_DAYS)</f>
        <v>1560.1194073886782</v>
      </c>
      <c r="GB36" s="8">
        <f>MAX(0,$GB$30-R_CAP_2023*OCC_DAYS)</f>
        <v>1560.1194073886782</v>
      </c>
      <c r="HB36" s="8">
        <f>MAX(0,$HB$30-R_CAP_2023*OCC_DAYS)</f>
        <v>3202.3652116597495</v>
      </c>
      <c r="IB36" s="8">
        <f>MAX(0,$IB$30-R_CAP_2023*OCC_DAYS)</f>
        <v>10976.162826842083</v>
      </c>
      <c r="JB36" s="8">
        <f>MAX(0,$JB$30-R_CAP_2023*OCC_DAYS)</f>
        <v>1560.1194073886782</v>
      </c>
      <c r="KB36" s="8">
        <f>MAX(0,$KB$30-R_CAP_2023*OCC_DAYS)</f>
        <v>1560.1194073886782</v>
      </c>
      <c r="LB36" s="8">
        <f>MAX(0,$LB$30-R_CAP_2023*OCC_DAYS)</f>
        <v>1560.1194073886782</v>
      </c>
      <c r="MB36" s="8">
        <f>MAX(0,$MB$30-R_CAP_2023*OCC_DAYS)</f>
        <v>1560.1194073886782</v>
      </c>
      <c r="NB36" s="8">
        <f>MAX(0,$NB$30-R_CAP_2023*OCC_DAYS)</f>
        <v>1560.1194073886782</v>
      </c>
      <c r="OB36" s="8">
        <f>MAX(0,$OB$30-R_CAP_2023*OCC_DAYS)</f>
        <v>1560.1194073886782</v>
      </c>
    </row>
    <row r="37">
      <c r="A37" t="inlineStr">
        <is>
          <t>FIRST_RUNG</t>
        </is>
      </c>
      <c r="B37">
        <f>IF(AND($B$7&gt;0,$B$31&lt;=$B$32),1,2)</f>
        <v>1</v>
      </c>
      <c r="AB37">
        <f>IF(AND($AB$7&gt;0,$AB$31&lt;=$AB$32),1,2)</f>
        <v>1</v>
      </c>
      <c r="BB37">
        <f>IF(AND($BB$7&gt;0,$BB$31&lt;=$BB$32),1,2)</f>
        <v>1</v>
      </c>
      <c r="CB37">
        <f>IF(AND($CB$7&gt;0,$CB$31&lt;=$CB$32),1,2)</f>
        <v>2</v>
      </c>
      <c r="DB37">
        <f>IF(AND($DB$7&gt;0,$DB$31&lt;=$DB$32),1,2)</f>
        <v>1</v>
      </c>
      <c r="EB37">
        <f>IF(AND($EB$7&gt;0,$EB$31&lt;=$EB$32),1,2)</f>
        <v>1</v>
      </c>
      <c r="FB37">
        <f>IF(AND($FB$7&gt;0,$FB$31&lt;=$FB$32),1,2)</f>
        <v>1</v>
      </c>
      <c r="GB37">
        <f>IF(AND($GB$7&gt;0,$GB$31&lt;=$GB$32),1,2)</f>
        <v>1</v>
      </c>
      <c r="HB37">
        <f>IF(AND($HB$7&gt;0,$HB$31&lt;=$HB$32),1,2)</f>
        <v>1</v>
      </c>
      <c r="IB37">
        <f>IF(AND($IB$7&gt;0,$IB$31&lt;=$IB$32),1,2)</f>
        <v>1</v>
      </c>
      <c r="JB37">
        <f>IF(AND($JB$7&gt;0,$JB$31&lt;=$JB$32),1,2)</f>
        <v>1</v>
      </c>
      <c r="KB37">
        <f>IF(AND($KB$7&gt;0,$KB$31&lt;=$KB$32),1,2)</f>
        <v>1</v>
      </c>
      <c r="LB37">
        <f>IF(AND($LB$7&gt;0,$LB$31&lt;=$LB$32),1,2)</f>
        <v>1</v>
      </c>
      <c r="MB37">
        <f>IF(AND($MB$7&gt;0,$MB$31&lt;=$MB$32),1,2)</f>
        <v>1</v>
      </c>
      <c r="NB37">
        <f>IF(AND($NB$7&gt;0,$NB$31&lt;=$NB$32),1,2)</f>
        <v>1</v>
      </c>
      <c r="OB37">
        <f>IF(AND($OB$7&gt;0,$OB$31&lt;=$OB$32),1,2)</f>
        <v>1</v>
      </c>
    </row>
    <row r="38">
      <c r="A38" t="inlineStr">
        <is>
          <t>HORIZON</t>
        </is>
      </c>
      <c r="B38">
        <f>IF($B$37=1,N_LIFE_RUNG1,N_LIFE_RUNG2)</f>
        <v>20</v>
      </c>
      <c r="AB38">
        <f>IF($AB$37=1,N_LIFE_RUNG1,N_LIFE_RUNG2)</f>
        <v>20</v>
      </c>
      <c r="BB38">
        <f>IF($BB$37=1,N_LIFE_RUNG1,N_LIFE_RUNG2)</f>
        <v>20</v>
      </c>
      <c r="CB38">
        <f>IF($CB$37=1,N_LIFE_RUNG1,N_LIFE_RUNG2)</f>
        <v>40</v>
      </c>
      <c r="DB38">
        <f>IF($DB$37=1,N_LIFE_RUNG1,N_LIFE_RUNG2)</f>
        <v>20</v>
      </c>
      <c r="EB38">
        <f>IF($EB$37=1,N_LIFE_RUNG1,N_LIFE_RUNG2)</f>
        <v>20</v>
      </c>
      <c r="FB38">
        <f>IF($FB$37=1,N_LIFE_RUNG1,N_LIFE_RUNG2)</f>
        <v>20</v>
      </c>
      <c r="GB38">
        <f>IF($GB$37=1,N_LIFE_RUNG1,N_LIFE_RUNG2)</f>
        <v>20</v>
      </c>
      <c r="HB38">
        <f>IF($HB$37=1,N_LIFE_RUNG1,N_LIFE_RUNG2)</f>
        <v>20</v>
      </c>
      <c r="IB38">
        <f>IF($IB$37=1,N_LIFE_RUNG1,N_LIFE_RUNG2)</f>
        <v>20</v>
      </c>
      <c r="JB38">
        <f>IF($JB$37=1,N_LIFE_RUNG1,N_LIFE_RUNG2)</f>
        <v>20</v>
      </c>
      <c r="KB38">
        <f>IF($KB$37=1,N_LIFE_RUNG1,N_LIFE_RUNG2)</f>
        <v>20</v>
      </c>
      <c r="LB38">
        <f>IF($LB$37=1,N_LIFE_RUNG1,N_LIFE_RUNG2)</f>
        <v>20</v>
      </c>
      <c r="MB38">
        <f>IF($MB$37=1,N_LIFE_RUNG1,N_LIFE_RUNG2)</f>
        <v>20</v>
      </c>
      <c r="NB38">
        <f>IF($NB$37=1,N_LIFE_RUNG1,N_LIFE_RUNG2)</f>
        <v>20</v>
      </c>
      <c r="OB38">
        <f>IF($OB$37=1,N_LIFE_RUNG1,N_LIFE_RUNG2)</f>
        <v>20</v>
      </c>
    </row>
    <row r="39">
      <c r="A39" t="inlineStr">
        <is>
          <t>BREAKEVEN_FIRST</t>
        </is>
      </c>
      <c r="B39" s="8">
        <f>IF($B$37=1,$B$33,$B$34)</f>
        <v>604.6110334290989</v>
      </c>
      <c r="AB39" s="8">
        <f>IF($AB$37=1,$AB$33,$AB$34)</f>
        <v>604.6110334290989</v>
      </c>
      <c r="BB39" s="8">
        <f>IF($BB$37=1,$BB$33,$BB$34)</f>
        <v>604.6110334290989</v>
      </c>
      <c r="CB39" s="8">
        <f>IF($CB$37=1,$CB$33,$CB$34)</f>
        <v>637.6366263058177</v>
      </c>
      <c r="DB39" s="8">
        <f>IF($DB$37=1,$DB$33,$DB$34)</f>
        <v>604.6110334290989</v>
      </c>
      <c r="EB39" s="8">
        <f>IF($EB$37=1,$EB$33,$EB$34)</f>
        <v>604.6110334290989</v>
      </c>
      <c r="FB39" s="8">
        <f>IF($FB$37=1,$FB$33,$FB$34)</f>
        <v>621.4403662569988</v>
      </c>
      <c r="GB39" s="8">
        <f>IF($GB$37=1,$GB$33,$GB$34)</f>
        <v>604.6110334290989</v>
      </c>
      <c r="HB39" s="8">
        <f>IF($HB$37=1,$HB$33,$HB$34)</f>
        <v>604.8575485708977</v>
      </c>
      <c r="IB39" s="8">
        <f>IF($IB$37=1,$IB$33,$IB$34)</f>
        <v>605.9632768142777</v>
      </c>
      <c r="JB39" s="8">
        <f>IF($JB$37=1,$JB$33,$JB$34)</f>
        <v>604.6110334290989</v>
      </c>
      <c r="KB39" s="8">
        <f>IF($KB$37=1,$KB$33,$KB$34)</f>
        <v>1209.2220668581979</v>
      </c>
      <c r="LB39" s="8">
        <f>IF($LB$37=1,$LB$33,$LB$34)</f>
        <v>1813.8331002872967</v>
      </c>
      <c r="MB39" s="8">
        <f>IF($MB$37=1,$MB$33,$MB$34)</f>
        <v>713.9702030370032</v>
      </c>
      <c r="NB39" s="8">
        <f>IF($NB$37=1,$NB$33,$NB$34)</f>
        <v>604.6110334290989</v>
      </c>
      <c r="OB39" s="8">
        <f>IF($OB$37=1,$OB$33,$OB$34)</f>
        <v>604.6110334290989</v>
      </c>
    </row>
    <row r="40">
      <c r="A40" t="inlineStr">
        <is>
          <t>GRANT_FIRST</t>
        </is>
      </c>
      <c r="B40" s="8">
        <f>IF($B$37=1,$B$35,$B$36)</f>
        <v>0</v>
      </c>
      <c r="AB40" s="8">
        <f>IF($AB$37=1,$AB$35,$AB$36)</f>
        <v>0</v>
      </c>
      <c r="BB40" s="8">
        <f>IF($BB$37=1,$BB$35,$BB$36)</f>
        <v>0</v>
      </c>
      <c r="CB40" s="8">
        <f>IF($CB$37=1,$CB$35,$CB$36)</f>
        <v>1560.1194073886782</v>
      </c>
      <c r="DB40" s="8">
        <f>IF($DB$37=1,$DB$35,$DB$36)</f>
        <v>0</v>
      </c>
      <c r="EB40" s="8">
        <f>IF($EB$37=1,$EB$35,$EB$36)</f>
        <v>0</v>
      </c>
      <c r="FB40" s="8">
        <f>IF($FB$37=1,$FB$35,$FB$36)</f>
        <v>0</v>
      </c>
      <c r="GB40" s="8">
        <f>IF($GB$37=1,$GB$35,$GB$36)</f>
        <v>0</v>
      </c>
      <c r="HB40" s="8">
        <f>IF($HB$37=1,$HB$35,$HB$36)</f>
        <v>0</v>
      </c>
      <c r="IB40" s="8">
        <f>IF($IB$37=1,$IB$35,$IB$36)</f>
        <v>0</v>
      </c>
      <c r="JB40" s="8">
        <f>IF($JB$37=1,$JB$35,$JB$36)</f>
        <v>0</v>
      </c>
      <c r="KB40" s="8">
        <f>IF($KB$37=1,$KB$35,$KB$36)</f>
        <v>0</v>
      </c>
      <c r="LB40" s="8">
        <f>IF($LB$37=1,$LB$35,$LB$36)</f>
        <v>0</v>
      </c>
      <c r="MB40" s="8">
        <f>IF($MB$37=1,$MB$35,$MB$36)</f>
        <v>0</v>
      </c>
      <c r="NB40" s="8">
        <f>IF($NB$37=1,$NB$35,$NB$36)</f>
        <v>0</v>
      </c>
      <c r="OB40" s="8">
        <f>IF($OB$37=1,$OB$35,$OB$36)</f>
        <v>0</v>
      </c>
    </row>
    <row r="41">
      <c r="A41" t="inlineStr">
        <is>
          <t>MCD_SHARE_BED</t>
        </is>
      </c>
      <c r="B41" s="5">
        <f>IF($B$9=1,MAX(0,$B$14-MEDICARE_FULL_DAYS)/$B$14,1)</f>
        <v>1</v>
      </c>
      <c r="AB41" s="5">
        <f>IF($AB$9=1,MAX(0,$AB$14-MEDICARE_FULL_DAYS)/$AB$14,1)</f>
        <v>1</v>
      </c>
      <c r="BB41" s="5">
        <f>IF($BB$9=1,MAX(0,$BB$14-MEDICARE_FULL_DAYS)/$BB$14,1)</f>
        <v>1</v>
      </c>
      <c r="CB41" s="5">
        <f>IF($CB$9=1,MAX(0,$CB$14-MEDICARE_FULL_DAYS)/$CB$14,1)</f>
        <v>1</v>
      </c>
      <c r="DB41" s="5">
        <f>IF($DB$9=1,MAX(0,$DB$14-MEDICARE_FULL_DAYS)/$DB$14,1)</f>
        <v>1</v>
      </c>
      <c r="EB41" s="5">
        <f>IF($EB$9=1,MAX(0,$EB$14-MEDICARE_FULL_DAYS)/$EB$14,1)</f>
        <v>0.3333333333333333</v>
      </c>
      <c r="FB41" s="5">
        <f>IF($FB$9=1,MAX(0,$FB$14-MEDICARE_FULL_DAYS)/$FB$14,1)</f>
        <v>1</v>
      </c>
      <c r="GB41" s="5">
        <f>IF($GB$9=1,MAX(0,$GB$14-MEDICARE_FULL_DAYS)/$GB$14,1)</f>
        <v>1</v>
      </c>
      <c r="HB41" s="5">
        <f>IF($HB$9=1,MAX(0,$HB$14-MEDICARE_FULL_DAYS)/$HB$14,1)</f>
        <v>1</v>
      </c>
      <c r="IB41" s="5">
        <f>IF($IB$9=1,MAX(0,$IB$14-MEDICARE_FULL_DAYS)/$IB$14,1)</f>
        <v>1</v>
      </c>
      <c r="JB41" s="5">
        <f>IF($JB$9=1,MAX(0,$JB$14-MEDICARE_FULL_DAYS)/$JB$14,1)</f>
        <v>1</v>
      </c>
      <c r="KB41" s="5">
        <f>IF($KB$9=1,MAX(0,$KB$14-MEDICARE_FULL_DAYS)/$KB$14,1)</f>
        <v>1</v>
      </c>
      <c r="LB41" s="5">
        <f>IF($LB$9=1,MAX(0,$LB$14-MEDICARE_FULL_DAYS)/$LB$14,1)</f>
        <v>1</v>
      </c>
      <c r="MB41" s="5">
        <f>IF($MB$9=1,MAX(0,$MB$14-MEDICARE_FULL_DAYS)/$MB$14,1)</f>
        <v>1</v>
      </c>
      <c r="NB41" s="5">
        <f>IF($NB$9=1,MAX(0,$NB$14-MEDICARE_FULL_DAYS)/$NB$14,1)</f>
        <v>1</v>
      </c>
      <c r="OB41" s="5">
        <f>IF($OB$9=1,MAX(0,$OB$14-MEDICARE_FULL_DAYS)/$OB$14,1)</f>
        <v>1</v>
      </c>
    </row>
    <row r="42">
      <c r="A42" t="inlineStr">
        <is>
          <t>SAVE_YR</t>
        </is>
      </c>
      <c r="B42" s="8">
        <f>$B$25*($B$6+ACUTE_MARGIN)</f>
        <v>254573.7594182825</v>
      </c>
      <c r="AB42" s="8">
        <f>$AB$25*($AB$6+ACUTE_MARGIN)</f>
        <v>138629.2749307479</v>
      </c>
      <c r="BB42" s="8">
        <f>$BB$25*($BB$6+ACUTE_MARGIN)</f>
        <v>370518.24390581716</v>
      </c>
      <c r="CB42" s="8">
        <f>$CB$25*($CB$6+ACUTE_MARGIN)</f>
        <v>254573.7594182825</v>
      </c>
      <c r="DB42" s="8">
        <f>$DB$25*($DB$6+ACUTE_MARGIN)</f>
        <v>254573.7594182825</v>
      </c>
      <c r="EB42" s="8">
        <f>$EB$25*($EB$6+ACUTE_MARGIN)</f>
        <v>254573.7594182825</v>
      </c>
      <c r="FB42" s="8">
        <f>$FB$25*($FB$6+ACUTE_MARGIN)</f>
        <v>254573.7594182825</v>
      </c>
      <c r="GB42" s="8">
        <f>$GB$25*($GB$6+ACUTE_MARGIN)</f>
        <v>254573.7594182825</v>
      </c>
      <c r="HB42" s="8">
        <f>$HB$25*($HB$6+ACUTE_MARGIN)</f>
        <v>254573.7594182825</v>
      </c>
      <c r="IB42" s="8">
        <f>$IB$25*($IB$6+ACUTE_MARGIN)</f>
        <v>254573.7594182825</v>
      </c>
      <c r="JB42" s="8">
        <f>$JB$25*($JB$6+ACUTE_MARGIN)</f>
        <v>254573.7594182825</v>
      </c>
      <c r="KB42" s="8">
        <f>$KB$25*($KB$6+ACUTE_MARGIN)</f>
        <v>127286.87970914126</v>
      </c>
      <c r="LB42" s="8">
        <f>$LB$25*($LB$6+ACUTE_MARGIN)</f>
        <v>84857.91980609419</v>
      </c>
      <c r="MB42" s="8">
        <f>$MB$25*($MB$6+ACUTE_MARGIN)</f>
        <v>215580.57060518733</v>
      </c>
      <c r="NB42" s="8">
        <f>$NB$25*($NB$6+ACUTE_MARGIN)</f>
        <v>254573.7594182825</v>
      </c>
      <c r="OB42" s="8">
        <f>$OB$25*($OB$6+ACUTE_MARGIN)</f>
        <v>254573.7594182825</v>
      </c>
    </row>
    <row r="43">
      <c r="A43" t="inlineStr">
        <is>
          <t>MAX_PREMIUM_FIRST</t>
        </is>
      </c>
      <c r="B43" s="8">
        <f>($B$42-(IF($B$37=1,$B$29,$B$30)+OCC_DAYS*NF_COST_2023))/OCC_DAYS</f>
        <v>311.04900235588326</v>
      </c>
      <c r="AB43" s="8">
        <f>($AB$42-(IF($AB$37=1,$AB$29,$AB$30)+OCC_DAYS*NF_COST_2023))/OCC_DAYS</f>
        <v>-41.90224418151283</v>
      </c>
      <c r="BB43" s="8">
        <f>($BB$42-(IF($BB$37=1,$BB$29,$BB$30)+OCC_DAYS*NF_COST_2023))/OCC_DAYS</f>
        <v>664.0002488932795</v>
      </c>
      <c r="CB43" s="8">
        <f>($CB$42-(IF($CB$37=1,$CB$29,$CB$30)+OCC_DAYS*NF_COST_2023))/OCC_DAYS</f>
        <v>285.7089498048519</v>
      </c>
      <c r="DB43" s="8">
        <f>($DB$42-(IF($DB$37=1,$DB$29,$DB$30)+OCC_DAYS*NF_COST_2023))/OCC_DAYS</f>
        <v>311.04900235588326</v>
      </c>
      <c r="EB43" s="8">
        <f>($EB$42-(IF($EB$37=1,$EB$29,$EB$30)+OCC_DAYS*NF_COST_2023))/OCC_DAYS</f>
        <v>311.04900235588326</v>
      </c>
      <c r="FB43" s="8">
        <f>($FB$42-(IF($FB$37=1,$FB$29,$FB$30)+OCC_DAYS*NF_COST_2023))/OCC_DAYS</f>
        <v>311.04900235588326</v>
      </c>
      <c r="GB43" s="8">
        <f>($GB$42-(IF($GB$37=1,$GB$29,$GB$30)+OCC_DAYS*NF_COST_2023))/OCC_DAYS</f>
        <v>311.04900235588326</v>
      </c>
      <c r="HB43" s="8">
        <f>($HB$42-(IF($HB$37=1,$HB$29,$HB$30)+OCC_DAYS*NF_COST_2023))/OCC_DAYS</f>
        <v>310.8598549067784</v>
      </c>
      <c r="IB43" s="8">
        <f>($IB$42-(IF($IB$37=1,$IB$29,$IB$30)+OCC_DAYS*NF_COST_2023))/OCC_DAYS</f>
        <v>310.0114458593164</v>
      </c>
      <c r="JB43" s="8">
        <f>($JB$42-(IF($JB$37=1,$JB$29,$JB$30)+OCC_DAYS*NF_COST_2023))/OCC_DAYS</f>
        <v>311.04900235588326</v>
      </c>
      <c r="KB43" s="8">
        <f>($KB$42-(IF($KB$37=1,$KB$29,$KB$30)+OCC_DAYS*NF_COST_2023))/OCC_DAYS</f>
        <v>-76.43008351669286</v>
      </c>
      <c r="LB43" s="8">
        <f>($LB$42-(IF($LB$37=1,$LB$29,$LB$30)+OCC_DAYS*NF_COST_2023))/OCC_DAYS</f>
        <v>-205.5897788075515</v>
      </c>
      <c r="MB43" s="8">
        <f>($MB$42-(IF($MB$37=1,$MB$29,$MB$30)+OCC_DAYS*NF_COST_2023))/OCC_DAYS</f>
        <v>192.3482753753804</v>
      </c>
      <c r="NB43" s="8">
        <f>($NB$42-(IF($NB$37=1,$NB$29,$NB$30)+OCC_DAYS*NF_COST_2023))/OCC_DAYS</f>
        <v>311.04900235588326</v>
      </c>
      <c r="OB43" s="8">
        <f>($OB$42-(IF($OB$37=1,$OB$29,$OB$30)+OCC_DAYS*NF_COST_2023))/OCC_DAYS</f>
        <v>311.04900235588326</v>
      </c>
    </row>
    <row r="44">
      <c r="A44" s="3" t="inlineStr">
        <is>
          <t>Results</t>
        </is>
      </c>
    </row>
    <row r="45">
      <c r="A45" t="inlineStr">
        <is>
          <t>BEDS</t>
        </is>
      </c>
      <c r="B45">
        <f>MAX($I$83:$I$483)</f>
        <v>150</v>
      </c>
      <c r="AB45">
        <f>MAX($AI$83:$AI$483)</f>
        <v>0</v>
      </c>
      <c r="BB45">
        <f>MAX($BI$83:$BI$483)</f>
        <v>150</v>
      </c>
      <c r="CB45">
        <f>MAX($CI$83:$CI$483)</f>
        <v>150</v>
      </c>
      <c r="DB45">
        <f>MAX($DI$83:$DI$483)</f>
        <v>150</v>
      </c>
      <c r="EB45">
        <f>MAX($EI$83:$EI$483)</f>
        <v>150</v>
      </c>
      <c r="FB45">
        <f>MAX($FI$83:$FI$483)</f>
        <v>150</v>
      </c>
      <c r="GB45">
        <f>MAX($GI$83:$GI$483)</f>
        <v>150</v>
      </c>
      <c r="HB45">
        <f>MAX($HI$83:$HI$483)</f>
        <v>150</v>
      </c>
      <c r="IB45">
        <f>MAX($II$83:$II$483)</f>
        <v>150</v>
      </c>
      <c r="JB45">
        <f>MAX($JI$83:$JI$483)</f>
        <v>150</v>
      </c>
      <c r="KB45">
        <f>MAX($KI$83:$KI$483)</f>
        <v>0</v>
      </c>
      <c r="LB45">
        <f>MAX($LI$83:$LI$483)</f>
        <v>0</v>
      </c>
      <c r="MB45">
        <f>MAX($MI$83:$MI$483)</f>
        <v>150</v>
      </c>
      <c r="NB45">
        <f>MAX($NI$83:$NI$483)</f>
        <v>150</v>
      </c>
      <c r="OB45">
        <f>MAX($OI$83:$OI$483)</f>
        <v>150</v>
      </c>
    </row>
    <row r="46">
      <c r="A46" t="inlineStr">
        <is>
          <t>BEDS_FIRST_FAIL</t>
        </is>
      </c>
      <c r="B46">
        <f>IF(MIN($J$84:$J$483)&gt;B_MAX,"none",MIN($J$84:$J$483))</f>
        <v>151</v>
      </c>
      <c r="AB46">
        <f>IF(MIN($AJ$84:$AJ$483)&gt;B_MAX,"none",MIN($AJ$84:$AJ$483))</f>
        <v>1</v>
      </c>
      <c r="BB46">
        <f>IF(MIN($BJ$84:$BJ$483)&gt;B_MAX,"none",MIN($BJ$84:$BJ$483))</f>
        <v>151</v>
      </c>
      <c r="CB46">
        <f>IF(MIN($CJ$84:$CJ$483)&gt;B_MAX,"none",MIN($CJ$84:$CJ$483))</f>
        <v>151</v>
      </c>
      <c r="DB46">
        <f>IF(MIN($DJ$84:$DJ$483)&gt;B_MAX,"none",MIN($DJ$84:$DJ$483))</f>
        <v>151</v>
      </c>
      <c r="EB46">
        <f>IF(MIN($EJ$84:$EJ$483)&gt;B_MAX,"none",MIN($EJ$84:$EJ$483))</f>
        <v>151</v>
      </c>
      <c r="FB46">
        <f>IF(MIN($FJ$84:$FJ$483)&gt;B_MAX,"none",MIN($FJ$84:$FJ$483))</f>
        <v>151</v>
      </c>
      <c r="GB46">
        <f>IF(MIN($GJ$84:$GJ$483)&gt;B_MAX,"none",MIN($GJ$84:$GJ$483))</f>
        <v>151</v>
      </c>
      <c r="HB46">
        <f>IF(MIN($HJ$84:$HJ$483)&gt;B_MAX,"none",MIN($HJ$84:$HJ$483))</f>
        <v>151</v>
      </c>
      <c r="IB46">
        <f>IF(MIN($IJ$84:$IJ$483)&gt;B_MAX,"none",MIN($IJ$84:$IJ$483))</f>
        <v>151</v>
      </c>
      <c r="JB46">
        <f>IF(MIN($JJ$84:$JJ$483)&gt;B_MAX,"none",MIN($JJ$84:$JJ$483))</f>
        <v>151</v>
      </c>
      <c r="KB46">
        <f>IF(MIN($KJ$84:$KJ$483)&gt;B_MAX,"none",MIN($KJ$84:$KJ$483))</f>
        <v>1</v>
      </c>
      <c r="LB46">
        <f>IF(MIN($LJ$84:$LJ$483)&gt;B_MAX,"none",MIN($LJ$84:$LJ$483))</f>
        <v>1</v>
      </c>
      <c r="MB46">
        <f>IF(MIN($MJ$84:$MJ$483)&gt;B_MAX,"none",MIN($MJ$84:$MJ$483))</f>
        <v>151</v>
      </c>
      <c r="NB46">
        <f>IF(MIN($NJ$84:$NJ$483)&gt;B_MAX,"none",MIN($NJ$84:$NJ$483))</f>
        <v>151</v>
      </c>
      <c r="OB46">
        <f>IF(MIN($OJ$84:$OJ$483)&gt;B_MAX,"none",MIN($OJ$84:$OJ$483))</f>
        <v>151</v>
      </c>
    </row>
    <row r="47">
      <c r="A47" t="inlineStr">
        <is>
          <t>STOP_REASON</t>
        </is>
      </c>
      <c r="B47" t="str">
        <f>IF($B$45=0,"no bed pays",IF($B$45&gt;=B_MAX,"B_MAX reached",IF(AND(INDEX($D$84:$D$483,$B$45+1)&lt;INDEX($D$84:$D$483,$B$45),INDEX($B$84:$B$483,$B$45+1)&lt;&gt;INDEX($B$84:$B$483,$B$45)),"pool and rung",IF(INDEX($B$84:$B$483,$B$45+1)&lt;&gt;INDEX($B$84:$B$483,$B$45),"rung",IF(INDEX($D$84:$D$483,$B$45+1)&lt;INDEX($D$84:$D$483,$B$45),"pool","cost")))))</f>
        <v>pool</v>
      </c>
      <c r="AB47" t="str">
        <f>IF($AB$45=0,"no bed pays",IF($AB$45&gt;=B_MAX,"B_MAX reached",IF(AND(INDEX($AD$84:$AD$483,$AB$45+1)&lt;INDEX($AD$84:$AD$483,$AB$45),INDEX($AB$84:$AB$483,$AB$45+1)&lt;&gt;INDEX($AB$84:$AB$483,$AB$45)),"pool and rung",IF(INDEX($AB$84:$AB$483,$AB$45+1)&lt;&gt;INDEX($AB$84:$AB$483,$AB$45),"rung",IF(INDEX($AD$84:$AD$483,$AB$45+1)&lt;INDEX($AD$84:$AD$483,$AB$45),"pool","cost")))))</f>
        <v>no bed pays</v>
      </c>
      <c r="BB47" t="str">
        <f>IF($BB$45=0,"no bed pays",IF($BB$45&gt;=B_MAX,"B_MAX reached",IF(AND(INDEX($BD$84:$BD$483,$BB$45+1)&lt;INDEX($BD$84:$BD$483,$BB$45),INDEX($BB$84:$BB$483,$BB$45+1)&lt;&gt;INDEX($BB$84:$BB$483,$BB$45)),"pool and rung",IF(INDEX($BB$84:$BB$483,$BB$45+1)&lt;&gt;INDEX($BB$84:$BB$483,$BB$45),"rung",IF(INDEX($BD$84:$BD$483,$BB$45+1)&lt;INDEX($BD$84:$BD$483,$BB$45),"pool","cost")))))</f>
        <v>pool</v>
      </c>
      <c r="CB47" t="str">
        <f>IF($CB$45=0,"no bed pays",IF($CB$45&gt;=B_MAX,"B_MAX reached",IF(AND(INDEX($CD$84:$CD$483,$CB$45+1)&lt;INDEX($CD$84:$CD$483,$CB$45),INDEX($CB$84:$CB$483,$CB$45+1)&lt;&gt;INDEX($CB$84:$CB$483,$CB$45)),"pool and rung",IF(INDEX($CB$84:$CB$483,$CB$45+1)&lt;&gt;INDEX($CB$84:$CB$483,$CB$45),"rung",IF(INDEX($CD$84:$CD$483,$CB$45+1)&lt;INDEX($CD$84:$CD$483,$CB$45),"pool","cost")))))</f>
        <v>pool</v>
      </c>
      <c r="DB47" t="str">
        <f>IF($DB$45=0,"no bed pays",IF($DB$45&gt;=B_MAX,"B_MAX reached",IF(AND(INDEX($DD$84:$DD$483,$DB$45+1)&lt;INDEX($DD$84:$DD$483,$DB$45),INDEX($DB$84:$DB$483,$DB$45+1)&lt;&gt;INDEX($DB$84:$DB$483,$DB$45)),"pool and rung",IF(INDEX($DB$84:$DB$483,$DB$45+1)&lt;&gt;INDEX($DB$84:$DB$483,$DB$45),"rung",IF(INDEX($DD$84:$DD$483,$DB$45+1)&lt;INDEX($DD$84:$DD$483,$DB$45),"pool","cost")))))</f>
        <v>pool</v>
      </c>
      <c r="EB47" t="str">
        <f>IF($EB$45=0,"no bed pays",IF($EB$45&gt;=B_MAX,"B_MAX reached",IF(AND(INDEX($ED$84:$ED$483,$EB$45+1)&lt;INDEX($ED$84:$ED$483,$EB$45),INDEX($EB$84:$EB$483,$EB$45+1)&lt;&gt;INDEX($EB$84:$EB$483,$EB$45)),"pool and rung",IF(INDEX($EB$84:$EB$483,$EB$45+1)&lt;&gt;INDEX($EB$84:$EB$483,$EB$45),"rung",IF(INDEX($ED$84:$ED$483,$EB$45+1)&lt;INDEX($ED$84:$ED$483,$EB$45),"pool","cost")))))</f>
        <v>pool</v>
      </c>
      <c r="FB47" t="str">
        <f>IF($FB$45=0,"no bed pays",IF($FB$45&gt;=B_MAX,"B_MAX reached",IF(AND(INDEX($FD$84:$FD$483,$FB$45+1)&lt;INDEX($FD$84:$FD$483,$FB$45),INDEX($FB$84:$FB$483,$FB$45+1)&lt;&gt;INDEX($FB$84:$FB$483,$FB$45)),"pool and rung",IF(INDEX($FB$84:$FB$483,$FB$45+1)&lt;&gt;INDEX($FB$84:$FB$483,$FB$45),"rung",IF(INDEX($FD$84:$FD$483,$FB$45+1)&lt;INDEX($FD$84:$FD$483,$FB$45),"pool","cost")))))</f>
        <v>pool</v>
      </c>
      <c r="GB47" t="str">
        <f>IF($GB$45=0,"no bed pays",IF($GB$45&gt;=B_MAX,"B_MAX reached",IF(AND(INDEX($GD$84:$GD$483,$GB$45+1)&lt;INDEX($GD$84:$GD$483,$GB$45),INDEX($GB$84:$GB$483,$GB$45+1)&lt;&gt;INDEX($GB$84:$GB$483,$GB$45)),"pool and rung",IF(INDEX($GB$84:$GB$483,$GB$45+1)&lt;&gt;INDEX($GB$84:$GB$483,$GB$45),"rung",IF(INDEX($GD$84:$GD$483,$GB$45+1)&lt;INDEX($GD$84:$GD$483,$GB$45),"pool","cost")))))</f>
        <v>pool</v>
      </c>
      <c r="HB47" t="str">
        <f>IF($HB$45=0,"no bed pays",IF($HB$45&gt;=B_MAX,"B_MAX reached",IF(AND(INDEX($HD$84:$HD$483,$HB$45+1)&lt;INDEX($HD$84:$HD$483,$HB$45),INDEX($HB$84:$HB$483,$HB$45+1)&lt;&gt;INDEX($HB$84:$HB$483,$HB$45)),"pool and rung",IF(INDEX($HB$84:$HB$483,$HB$45+1)&lt;&gt;INDEX($HB$84:$HB$483,$HB$45),"rung",IF(INDEX($HD$84:$HD$483,$HB$45+1)&lt;INDEX($HD$84:$HD$483,$HB$45),"pool","cost")))))</f>
        <v>pool</v>
      </c>
      <c r="IB47" t="str">
        <f>IF($IB$45=0,"no bed pays",IF($IB$45&gt;=B_MAX,"B_MAX reached",IF(AND(INDEX($ID$84:$ID$483,$IB$45+1)&lt;INDEX($ID$84:$ID$483,$IB$45),INDEX($IB$84:$IB$483,$IB$45+1)&lt;&gt;INDEX($IB$84:$IB$483,$IB$45)),"pool and rung",IF(INDEX($IB$84:$IB$483,$IB$45+1)&lt;&gt;INDEX($IB$84:$IB$483,$IB$45),"rung",IF(INDEX($ID$84:$ID$483,$IB$45+1)&lt;INDEX($ID$84:$ID$483,$IB$45),"pool","cost")))))</f>
        <v>pool</v>
      </c>
      <c r="JB47" t="str">
        <f>IF($JB$45=0,"no bed pays",IF($JB$45&gt;=B_MAX,"B_MAX reached",IF(AND(INDEX($JD$84:$JD$483,$JB$45+1)&lt;INDEX($JD$84:$JD$483,$JB$45),INDEX($JB$84:$JB$483,$JB$45+1)&lt;&gt;INDEX($JB$84:$JB$483,$JB$45)),"pool and rung",IF(INDEX($JB$84:$JB$483,$JB$45+1)&lt;&gt;INDEX($JB$84:$JB$483,$JB$45),"rung",IF(INDEX($JD$84:$JD$483,$JB$45+1)&lt;INDEX($JD$84:$JD$483,$JB$45),"pool","cost")))))</f>
        <v>pool</v>
      </c>
      <c r="KB47" t="str">
        <f>IF($KB$45=0,"no bed pays",IF($KB$45&gt;=B_MAX,"B_MAX reached",IF(AND(INDEX($KD$84:$KD$483,$KB$45+1)&lt;INDEX($KD$84:$KD$483,$KB$45),INDEX($KB$84:$KB$483,$KB$45+1)&lt;&gt;INDEX($KB$84:$KB$483,$KB$45)),"pool and rung",IF(INDEX($KB$84:$KB$483,$KB$45+1)&lt;&gt;INDEX($KB$84:$KB$483,$KB$45),"rung",IF(INDEX($KD$84:$KD$483,$KB$45+1)&lt;INDEX($KD$84:$KD$483,$KB$45),"pool","cost")))))</f>
        <v>no bed pays</v>
      </c>
      <c r="LB47" t="str">
        <f>IF($LB$45=0,"no bed pays",IF($LB$45&gt;=B_MAX,"B_MAX reached",IF(AND(INDEX($LD$84:$LD$483,$LB$45+1)&lt;INDEX($LD$84:$LD$483,$LB$45),INDEX($LB$84:$LB$483,$LB$45+1)&lt;&gt;INDEX($LB$84:$LB$483,$LB$45)),"pool and rung",IF(INDEX($LB$84:$LB$483,$LB$45+1)&lt;&gt;INDEX($LB$84:$LB$483,$LB$45),"rung",IF(INDEX($LD$84:$LD$483,$LB$45+1)&lt;INDEX($LD$84:$LD$483,$LB$45),"pool","cost")))))</f>
        <v>no bed pays</v>
      </c>
      <c r="MB47" t="str">
        <f>IF($MB$45=0,"no bed pays",IF($MB$45&gt;=B_MAX,"B_MAX reached",IF(AND(INDEX($MD$84:$MD$483,$MB$45+1)&lt;INDEX($MD$84:$MD$483,$MB$45),INDEX($MB$84:$MB$483,$MB$45+1)&lt;&gt;INDEX($MB$84:$MB$483,$MB$45)),"pool and rung",IF(INDEX($MB$84:$MB$483,$MB$45+1)&lt;&gt;INDEX($MB$84:$MB$483,$MB$45),"rung",IF(INDEX($MD$84:$MD$483,$MB$45+1)&lt;INDEX($MD$84:$MD$483,$MB$45),"pool","cost")))))</f>
        <v>pool</v>
      </c>
      <c r="NB47" t="str">
        <f>IF($NB$45=0,"no bed pays",IF($NB$45&gt;=B_MAX,"B_MAX reached",IF(AND(INDEX($ND$84:$ND$483,$NB$45+1)&lt;INDEX($ND$84:$ND$483,$NB$45),INDEX($NB$84:$NB$483,$NB$45+1)&lt;&gt;INDEX($NB$84:$NB$483,$NB$45)),"pool and rung",IF(INDEX($NB$84:$NB$483,$NB$45+1)&lt;&gt;INDEX($NB$84:$NB$483,$NB$45),"rung",IF(INDEX($ND$84:$ND$483,$NB$45+1)&lt;INDEX($ND$84:$ND$483,$NB$45),"pool","cost")))))</f>
        <v>pool</v>
      </c>
      <c r="OB47" t="str">
        <f>IF($OB$45=0,"no bed pays",IF($OB$45&gt;=B_MAX,"B_MAX reached",IF(AND(INDEX($OD$84:$OD$483,$OB$45+1)&lt;INDEX($OD$84:$OD$483,$OB$45),INDEX($OB$84:$OB$483,$OB$45+1)&lt;&gt;INDEX($OB$84:$OB$483,$OB$45)),"pool and rung",IF(INDEX($OB$84:$OB$483,$OB$45+1)&lt;&gt;INDEX($OB$84:$OB$483,$OB$45),"rung",IF(INDEX($OD$84:$OD$483,$OB$45+1)&lt;INDEX($OD$84:$OD$483,$OB$45),"pool","cost")))))</f>
        <v>pool</v>
      </c>
    </row>
    <row r="48">
      <c r="A48" t="inlineStr">
        <is>
          <t>TOTAL_FREED</t>
        </is>
      </c>
      <c r="B48" s="8">
        <f>SUMPRODUCT($M$84:$M$483,$D$84:$D$483)</f>
        <v>37807.98407202217</v>
      </c>
      <c r="AB48" s="8">
        <f>SUMPRODUCT($AM$84:$AM$483,$AD$84:$AD$483)</f>
        <v>0.0</v>
      </c>
      <c r="BB48" s="8">
        <f>SUMPRODUCT($BM$84:$BM$483,$BD$84:$BD$483)</f>
        <v>37807.98407202217</v>
      </c>
      <c r="CB48" s="8">
        <f>SUMPRODUCT($CM$84:$CM$483,$CD$84:$CD$483)</f>
        <v>37807.98407202217</v>
      </c>
      <c r="DB48" s="8">
        <f>SUMPRODUCT($DM$84:$DM$483,$DD$84:$DD$483)</f>
        <v>37807.98407202217</v>
      </c>
      <c r="EB48" s="8">
        <f>SUMPRODUCT($EM$84:$EM$483,$ED$84:$ED$483)</f>
        <v>37807.98407202217</v>
      </c>
      <c r="FB48" s="8">
        <f>SUMPRODUCT($FM$84:$FM$483,$FD$84:$FD$483)</f>
        <v>37807.98407202217</v>
      </c>
      <c r="GB48" s="8">
        <f>SUMPRODUCT($GM$84:$GM$483,$GD$84:$GD$483)</f>
        <v>37807.98407202217</v>
      </c>
      <c r="HB48" s="8">
        <f>SUMPRODUCT($HM$84:$HM$483,$HD$84:$HD$483)</f>
        <v>37807.98407202217</v>
      </c>
      <c r="IB48" s="8">
        <f>SUMPRODUCT($IM$84:$IM$483,$ID$84:$ID$483)</f>
        <v>37807.98407202217</v>
      </c>
      <c r="JB48" s="8">
        <f>SUMPRODUCT($JM$84:$JM$483,$JD$84:$JD$483)</f>
        <v>37807.98407202217</v>
      </c>
      <c r="KB48" s="8">
        <f>SUMPRODUCT($KM$84:$KM$483,$KD$84:$KD$483)</f>
        <v>0.0</v>
      </c>
      <c r="LB48" s="8">
        <f>SUMPRODUCT($LM$84:$LM$483,$LD$84:$LD$483)</f>
        <v>0.0</v>
      </c>
      <c r="MB48" s="8">
        <f>SUMPRODUCT($MM$84:$MM$483,$MD$84:$MD$483)</f>
        <v>32016.916426512973</v>
      </c>
      <c r="NB48" s="8">
        <f>SUMPRODUCT($NM$84:$NM$483,$ND$84:$ND$483)</f>
        <v>37807.98407202217</v>
      </c>
      <c r="OB48" s="8">
        <f>SUMPRODUCT($OM$84:$OM$483,$OD$84:$OD$483)</f>
        <v>37807.98407202217</v>
      </c>
    </row>
    <row r="49">
      <c r="A49" t="inlineStr">
        <is>
          <t>TOTAL_GRANT</t>
        </is>
      </c>
      <c r="B49" s="8">
        <f>SUMPRODUCT($M$84:$M$483,$K$84:$K$483)</f>
        <v>0.0</v>
      </c>
      <c r="AB49" s="8">
        <f>SUMPRODUCT($AM$84:$AM$483,$AK$84:$AK$483)</f>
        <v>0.0</v>
      </c>
      <c r="BB49" s="8">
        <f>SUMPRODUCT($BM$84:$BM$483,$BK$84:$BK$483)</f>
        <v>0.0</v>
      </c>
      <c r="CB49" s="8">
        <f>SUMPRODUCT($CM$84:$CM$483,$CK$84:$CK$483)</f>
        <v>234017.91110830172</v>
      </c>
      <c r="DB49" s="8">
        <f>SUMPRODUCT($DM$84:$DM$483,$DK$84:$DK$483)</f>
        <v>0.0</v>
      </c>
      <c r="EB49" s="8">
        <f>SUMPRODUCT($EM$84:$EM$483,$EK$84:$EK$483)</f>
        <v>0.0</v>
      </c>
      <c r="FB49" s="8">
        <f>SUMPRODUCT($FM$84:$FM$483,$FK$84:$FK$483)</f>
        <v>0.0</v>
      </c>
      <c r="GB49" s="8">
        <f>SUMPRODUCT($GM$84:$GM$483,$GK$84:$GK$483)</f>
        <v>0.0</v>
      </c>
      <c r="HB49" s="8">
        <f>SUMPRODUCT($HM$84:$HM$483,$HK$84:$HK$483)</f>
        <v>0.0</v>
      </c>
      <c r="IB49" s="8">
        <f>SUMPRODUCT($IM$84:$IM$483,$IK$84:$IK$483)</f>
        <v>0.0</v>
      </c>
      <c r="JB49" s="8">
        <f>SUMPRODUCT($JM$84:$JM$483,$JK$84:$JK$483)</f>
        <v>0.0</v>
      </c>
      <c r="KB49" s="8">
        <f>SUMPRODUCT($KM$84:$KM$483,$KK$84:$KK$483)</f>
        <v>0.0</v>
      </c>
      <c r="LB49" s="8">
        <f>SUMPRODUCT($LM$84:$LM$483,$LK$84:$LK$483)</f>
        <v>0.0</v>
      </c>
      <c r="MB49" s="8">
        <f>SUMPRODUCT($MM$84:$MM$483,$MK$84:$MK$483)</f>
        <v>0.0</v>
      </c>
      <c r="NB49" s="8">
        <f>SUMPRODUCT($NM$84:$NM$483,$NK$84:$NK$483)</f>
        <v>0.0</v>
      </c>
      <c r="OB49" s="8">
        <f>SUMPRODUCT($OM$84:$OM$483,$OK$84:$OK$483)</f>
        <v>0.0</v>
      </c>
    </row>
    <row r="50">
      <c r="A50" t="inlineStr">
        <is>
          <t>TOTAL_MCD_NET</t>
        </is>
      </c>
      <c r="B50" s="8">
        <f>SUMPRODUCT($M$84:$M$483,$L$84:$L$483)</f>
        <v>5605073.886364148</v>
      </c>
      <c r="AB50" s="8">
        <f>SUMPRODUCT($AM$84:$AM$483,$AL$84:$AL$483)</f>
        <v>0.0</v>
      </c>
      <c r="BB50" s="8">
        <f>SUMPRODUCT($BM$84:$BM$483,$BL$84:$BL$483)</f>
        <v>5605073.886364148</v>
      </c>
      <c r="CB50" s="8">
        <f>SUMPRODUCT($CM$84:$CM$483,$CL$84:$CL$483)</f>
        <v>5605073.886364148</v>
      </c>
      <c r="DB50" s="8">
        <f>SUMPRODUCT($DM$84:$DM$483,$DL$84:$DL$483)</f>
        <v>5605073.886364148</v>
      </c>
      <c r="EB50" s="8">
        <f>SUMPRODUCT($EM$84:$EM$483,$EL$84:$EL$483)</f>
        <v>-9592974.395845057</v>
      </c>
      <c r="FB50" s="8">
        <f>SUMPRODUCT($FM$84:$FM$483,$FL$84:$FL$483)</f>
        <v>5605073.886364148</v>
      </c>
      <c r="GB50" s="8">
        <f>SUMPRODUCT($GM$84:$GM$483,$GL$84:$GL$483)</f>
        <v>5605073.886364148</v>
      </c>
      <c r="HB50" s="8">
        <f>SUMPRODUCT($HM$84:$HM$483,$HL$84:$HL$483)</f>
        <v>5605073.886364148</v>
      </c>
      <c r="IB50" s="8">
        <f>SUMPRODUCT($IM$84:$IM$483,$IL$84:$IL$483)</f>
        <v>5605073.886364148</v>
      </c>
      <c r="JB50" s="8">
        <f>SUMPRODUCT($JM$84:$JM$483,$JL$84:$JL$483)</f>
        <v>5605073.886364148</v>
      </c>
      <c r="KB50" s="8">
        <f>SUMPRODUCT($KM$84:$KM$483,$KL$84:$KL$483)</f>
        <v>0.0</v>
      </c>
      <c r="LB50" s="8">
        <f>SUMPRODUCT($LM$84:$LM$483,$LL$84:$LL$483)</f>
        <v>0.0</v>
      </c>
      <c r="MB50" s="8">
        <f>SUMPRODUCT($MM$84:$MM$483,$ML$84:$ML$483)</f>
        <v>8238380.816966794</v>
      </c>
      <c r="NB50" s="8">
        <f>SUMPRODUCT($NM$84:$NM$483,$NL$84:$NL$483)</f>
        <v>5605073.886364148</v>
      </c>
      <c r="OB50" s="8">
        <f>SUMPRODUCT($OM$84:$OM$483,$OL$84:$OL$483)</f>
        <v>5605073.886364148</v>
      </c>
    </row>
    <row r="51">
      <c r="A51" t="inlineStr">
        <is>
          <t>MCD_NF_PAY</t>
        </is>
      </c>
      <c r="B51" s="8">
        <f>OCC_DAYS*$B$41*R_NF_2023</f>
        <v>151980.48282209205</v>
      </c>
      <c r="AB51" s="8">
        <f>OCC_DAYS*$AB$41*R_NF_2023</f>
        <v>151980.48282209205</v>
      </c>
      <c r="BB51" s="8">
        <f>OCC_DAYS*$BB$41*R_NF_2023</f>
        <v>151980.48282209205</v>
      </c>
      <c r="CB51" s="8">
        <f>OCC_DAYS*$CB$41*R_NF_2023</f>
        <v>151980.48282209205</v>
      </c>
      <c r="DB51" s="8">
        <f>OCC_DAYS*$DB$41*R_NF_2023</f>
        <v>151980.48282209205</v>
      </c>
      <c r="EB51" s="8">
        <f>OCC_DAYS*$EB$41*R_NF_2023</f>
        <v>50660.16094069735</v>
      </c>
      <c r="FB51" s="8">
        <f>OCC_DAYS*$FB$41*R_NF_2023</f>
        <v>151980.48282209205</v>
      </c>
      <c r="GB51" s="8">
        <f>OCC_DAYS*$GB$41*R_NF_2023</f>
        <v>151980.48282209205</v>
      </c>
      <c r="HB51" s="8">
        <f>OCC_DAYS*$HB$41*R_NF_2023</f>
        <v>151980.48282209205</v>
      </c>
      <c r="IB51" s="8">
        <f>OCC_DAYS*$IB$41*R_NF_2023</f>
        <v>151980.48282209205</v>
      </c>
      <c r="JB51" s="8">
        <f>OCC_DAYS*$JB$41*R_NF_2023</f>
        <v>151980.48282209205</v>
      </c>
      <c r="KB51" s="8">
        <f>OCC_DAYS*$KB$41*R_NF_2023</f>
        <v>151980.48282209205</v>
      </c>
      <c r="LB51" s="8">
        <f>OCC_DAYS*$LB$41*R_NF_2023</f>
        <v>151980.48282209205</v>
      </c>
      <c r="MB51" s="8">
        <f>OCC_DAYS*$MB$41*R_NF_2023</f>
        <v>151980.48282209205</v>
      </c>
      <c r="NB51" s="8">
        <f>OCC_DAYS*$NB$41*R_NF_2023</f>
        <v>151980.48282209205</v>
      </c>
      <c r="OB51" s="8">
        <f>OCC_DAYS*$OB$41*R_NF_2023</f>
        <v>151980.48282209205</v>
      </c>
    </row>
    <row r="52">
      <c r="A52" t="inlineStr">
        <is>
          <t>MCD_WAIT_SAVE</t>
        </is>
      </c>
      <c r="B52" s="8">
        <f>$B$25*MCD_SHARE_FREED*R_WAIT_2023</f>
        <v>114613.3235796644</v>
      </c>
      <c r="AB52" s="8">
        <f>$AB$25*MCD_SHARE_FREED*R_WAIT_2023</f>
        <v>114613.3235796644</v>
      </c>
      <c r="BB52" s="8">
        <f>$BB$25*MCD_SHARE_FREED*R_WAIT_2023</f>
        <v>114613.3235796644</v>
      </c>
      <c r="CB52" s="8">
        <f>$CB$25*MCD_SHARE_FREED*R_WAIT_2023</f>
        <v>114613.3235796644</v>
      </c>
      <c r="DB52" s="8">
        <f>$DB$25*MCD_SHARE_FREED*R_WAIT_2023</f>
        <v>114613.3235796644</v>
      </c>
      <c r="EB52" s="8">
        <f>$EB$25*MCD_SHARE_FREED*R_WAIT_2023</f>
        <v>114613.3235796644</v>
      </c>
      <c r="FB52" s="8">
        <f>$FB$25*MCD_SHARE_FREED*R_WAIT_2023</f>
        <v>114613.3235796644</v>
      </c>
      <c r="GB52" s="8">
        <f>$GB$25*MCD_SHARE_FREED*R_WAIT_2023</f>
        <v>114613.3235796644</v>
      </c>
      <c r="HB52" s="8">
        <f>$HB$25*MCD_SHARE_FREED*R_WAIT_2023</f>
        <v>114613.3235796644</v>
      </c>
      <c r="IB52" s="8">
        <f>$IB$25*MCD_SHARE_FREED*R_WAIT_2023</f>
        <v>114613.3235796644</v>
      </c>
      <c r="JB52" s="8">
        <f>$JB$25*MCD_SHARE_FREED*R_WAIT_2023</f>
        <v>114613.3235796644</v>
      </c>
      <c r="KB52" s="8">
        <f>$KB$25*MCD_SHARE_FREED*R_WAIT_2023</f>
        <v>57306.6617898322</v>
      </c>
      <c r="LB52" s="8">
        <f>$LB$25*MCD_SHARE_FREED*R_WAIT_2023</f>
        <v>38204.441193221464</v>
      </c>
      <c r="MB52" s="8">
        <f>$MB$25*MCD_SHARE_FREED*R_WAIT_2023</f>
        <v>97057.94404231342</v>
      </c>
      <c r="NB52" s="8">
        <f>$NB$25*MCD_SHARE_FREED*R_WAIT_2023</f>
        <v>114613.3235796644</v>
      </c>
      <c r="OB52" s="8">
        <f>$OB$25*MCD_SHARE_FREED*R_WAIT_2023</f>
        <v>114613.3235796644</v>
      </c>
    </row>
    <row r="53">
      <c r="A53" t="inlineStr">
        <is>
          <t>MCD_NET</t>
        </is>
      </c>
      <c r="B53" s="8">
        <f>$B$51-$B$52</f>
        <v>37367.159242427646</v>
      </c>
      <c r="AB53" s="8">
        <f>$AB$51-$AB$52</f>
        <v>37367.159242427646</v>
      </c>
      <c r="BB53" s="8">
        <f>$BB$51-$BB$52</f>
        <v>37367.159242427646</v>
      </c>
      <c r="CB53" s="8">
        <f>$CB$51-$CB$52</f>
        <v>37367.159242427646</v>
      </c>
      <c r="DB53" s="8">
        <f>$DB$51-$DB$52</f>
        <v>37367.159242427646</v>
      </c>
      <c r="EB53" s="8">
        <f>$EB$51-$EB$52</f>
        <v>-63953.16263896705</v>
      </c>
      <c r="FB53" s="8">
        <f>$FB$51-$FB$52</f>
        <v>37367.159242427646</v>
      </c>
      <c r="GB53" s="8">
        <f>$GB$51-$GB$52</f>
        <v>37367.159242427646</v>
      </c>
      <c r="HB53" s="8">
        <f>$HB$51-$HB$52</f>
        <v>37367.159242427646</v>
      </c>
      <c r="IB53" s="8">
        <f>$IB$51-$IB$52</f>
        <v>37367.159242427646</v>
      </c>
      <c r="JB53" s="8">
        <f>$JB$51-$JB$52</f>
        <v>37367.159242427646</v>
      </c>
      <c r="KB53" s="8">
        <f>$KB$51-$KB$52</f>
        <v>94673.82103225985</v>
      </c>
      <c r="LB53" s="8">
        <f>$LB$51-$LB$52</f>
        <v>113776.04162887059</v>
      </c>
      <c r="MB53" s="8">
        <f>$MB$51-$MB$52</f>
        <v>54922.538779778624</v>
      </c>
      <c r="NB53" s="8">
        <f>$NB$51-$NB$52</f>
        <v>37367.159242427646</v>
      </c>
      <c r="OB53" s="8">
        <f>$OB$51-$OB$52</f>
        <v>37367.159242427646</v>
      </c>
    </row>
    <row r="54">
      <c r="A54" t="inlineStr">
        <is>
          <t>STATE_NET</t>
        </is>
      </c>
      <c r="B54" s="8">
        <f>(1-FMAP_BUDGET)*$B$53</f>
        <v>15066.438606546826</v>
      </c>
      <c r="AB54" s="8">
        <f>(1-FMAP_BUDGET)*$AB$53</f>
        <v>15066.438606546826</v>
      </c>
      <c r="BB54" s="8">
        <f>(1-FMAP_BUDGET)*$BB$53</f>
        <v>15066.438606546826</v>
      </c>
      <c r="CB54" s="8">
        <f>(1-FMAP_BUDGET)*$CB$53</f>
        <v>15066.438606546826</v>
      </c>
      <c r="DB54" s="8">
        <f>(1-FMAP_BUDGET)*$DB$53</f>
        <v>15066.438606546826</v>
      </c>
      <c r="EB54" s="8">
        <f>(1-FMAP_BUDGET)*$EB$53</f>
        <v>-25785.915176031514</v>
      </c>
      <c r="FB54" s="8">
        <f>(1-FMAP_BUDGET)*$FB$53</f>
        <v>15066.438606546826</v>
      </c>
      <c r="GB54" s="8">
        <f>(1-FMAP_BUDGET)*$GB$53</f>
        <v>15066.438606546826</v>
      </c>
      <c r="HB54" s="8">
        <f>(1-FMAP_BUDGET)*$HB$53</f>
        <v>15066.438606546826</v>
      </c>
      <c r="IB54" s="8">
        <f>(1-FMAP_BUDGET)*$IB$53</f>
        <v>15066.438606546826</v>
      </c>
      <c r="JB54" s="8">
        <f>(1-FMAP_BUDGET)*$JB$53</f>
        <v>15066.438606546826</v>
      </c>
      <c r="KB54" s="8">
        <f>(1-FMAP_BUDGET)*$KB$53</f>
        <v>38172.48464020717</v>
      </c>
      <c r="LB54" s="8">
        <f>(1-FMAP_BUDGET)*$LB$53</f>
        <v>45874.49998476062</v>
      </c>
      <c r="MB54" s="8">
        <f>(1-FMAP_BUDGET)*$MB$53</f>
        <v>22144.76763600674</v>
      </c>
      <c r="NB54" s="8">
        <f>(1-FMAP_BUDGET)*$NB$53</f>
        <v>15066.438606546826</v>
      </c>
      <c r="OB54" s="8">
        <f>(1-FMAP_BUDGET)*$OB$53</f>
        <v>15066.438606546826</v>
      </c>
    </row>
    <row r="55">
      <c r="A55" t="inlineStr">
        <is>
          <t>FED_NET</t>
        </is>
      </c>
      <c r="B55" s="8">
        <f>FMAP_BUDGET*$B$53</f>
        <v>22300.720635880818</v>
      </c>
      <c r="AB55" s="8">
        <f>FMAP_BUDGET*$AB$53</f>
        <v>22300.720635880818</v>
      </c>
      <c r="BB55" s="8">
        <f>FMAP_BUDGET*$BB$53</f>
        <v>22300.720635880818</v>
      </c>
      <c r="CB55" s="8">
        <f>FMAP_BUDGET*$CB$53</f>
        <v>22300.720635880818</v>
      </c>
      <c r="DB55" s="8">
        <f>FMAP_BUDGET*$DB$53</f>
        <v>22300.720635880818</v>
      </c>
      <c r="EB55" s="8">
        <f>FMAP_BUDGET*$EB$53</f>
        <v>-38167.247462935535</v>
      </c>
      <c r="FB55" s="8">
        <f>FMAP_BUDGET*$FB$53</f>
        <v>22300.720635880818</v>
      </c>
      <c r="GB55" s="8">
        <f>FMAP_BUDGET*$GB$53</f>
        <v>22300.720635880818</v>
      </c>
      <c r="HB55" s="8">
        <f>FMAP_BUDGET*$HB$53</f>
        <v>22300.720635880818</v>
      </c>
      <c r="IB55" s="8">
        <f>FMAP_BUDGET*$IB$53</f>
        <v>22300.720635880818</v>
      </c>
      <c r="JB55" s="8">
        <f>FMAP_BUDGET*$JB$53</f>
        <v>22300.720635880818</v>
      </c>
      <c r="KB55" s="8">
        <f>FMAP_BUDGET*$KB$53</f>
        <v>56501.336392052675</v>
      </c>
      <c r="LB55" s="8">
        <f>FMAP_BUDGET*$LB$53</f>
        <v>67901.54164410997</v>
      </c>
      <c r="MB55" s="8">
        <f>FMAP_BUDGET*$MB$53</f>
        <v>32777.77114377188</v>
      </c>
      <c r="NB55" s="8">
        <f>FMAP_BUDGET*$NB$53</f>
        <v>22300.720635880818</v>
      </c>
      <c r="OB55" s="8">
        <f>FMAP_BUDGET*$OB$53</f>
        <v>22300.720635880818</v>
      </c>
    </row>
    <row r="56">
      <c r="A56" t="inlineStr">
        <is>
          <t>MAX_PLAN_SHARE</t>
        </is>
      </c>
      <c r="B56">
        <f>IF($B$15=2023,MAX(H_DAYS_2023)/SUM(H_DAYS_2023),MAX(H_DAYS_2024)/SUM(H_DAYS_2024))</f>
        <v>0.244052131845915</v>
      </c>
      <c r="AB56">
        <f>IF($AB$15=2023,MAX(H_DAYS_2023)/SUM(H_DAYS_2023),MAX(H_DAYS_2024)/SUM(H_DAYS_2024))</f>
        <v>0.244052131845915</v>
      </c>
      <c r="BB56">
        <f>IF($BB$15=2023,MAX(H_DAYS_2023)/SUM(H_DAYS_2023),MAX(H_DAYS_2024)/SUM(H_DAYS_2024))</f>
        <v>0.244052131845915</v>
      </c>
      <c r="CB56">
        <f>IF($CB$15=2023,MAX(H_DAYS_2023)/SUM(H_DAYS_2023),MAX(H_DAYS_2024)/SUM(H_DAYS_2024))</f>
        <v>0.244052131845915</v>
      </c>
      <c r="DB56">
        <f>IF($DB$15=2023,MAX(H_DAYS_2023)/SUM(H_DAYS_2023),MAX(H_DAYS_2024)/SUM(H_DAYS_2024))</f>
        <v>0.244052131845915</v>
      </c>
      <c r="EB56">
        <f>IF($EB$15=2023,MAX(H_DAYS_2023)/SUM(H_DAYS_2023),MAX(H_DAYS_2024)/SUM(H_DAYS_2024))</f>
        <v>0.244052131845915</v>
      </c>
      <c r="FB56">
        <f>IF($FB$15=2023,MAX(H_DAYS_2023)/SUM(H_DAYS_2023),MAX(H_DAYS_2024)/SUM(H_DAYS_2024))</f>
        <v>0.244052131845915</v>
      </c>
      <c r="GB56">
        <f>IF($GB$15=2023,MAX(H_DAYS_2023)/SUM(H_DAYS_2023),MAX(H_DAYS_2024)/SUM(H_DAYS_2024))</f>
        <v>0.244052131845915</v>
      </c>
      <c r="HB56">
        <f>IF($HB$15=2023,MAX(H_DAYS_2023)/SUM(H_DAYS_2023),MAX(H_DAYS_2024)/SUM(H_DAYS_2024))</f>
        <v>0.244052131845915</v>
      </c>
      <c r="IB56">
        <f>IF($IB$15=2023,MAX(H_DAYS_2023)/SUM(H_DAYS_2023),MAX(H_DAYS_2024)/SUM(H_DAYS_2024))</f>
        <v>0.244052131845915</v>
      </c>
      <c r="JB56">
        <f>IF($JB$15=2023,MAX(H_DAYS_2023)/SUM(H_DAYS_2023),MAX(H_DAYS_2024)/SUM(H_DAYS_2024))</f>
        <v>0.244052131845915</v>
      </c>
      <c r="KB56">
        <f>IF($KB$15=2023,MAX(H_DAYS_2023)/SUM(H_DAYS_2023),MAX(H_DAYS_2024)/SUM(H_DAYS_2024))</f>
        <v>0.244052131845915</v>
      </c>
      <c r="LB56">
        <f>IF($LB$15=2023,MAX(H_DAYS_2023)/SUM(H_DAYS_2023),MAX(H_DAYS_2024)/SUM(H_DAYS_2024))</f>
        <v>0.244052131845915</v>
      </c>
      <c r="MB56">
        <f>IF($MB$15=2023,MAX(H_DAYS_2023)/SUM(H_DAYS_2023),MAX(H_DAYS_2024)/SUM(H_DAYS_2024))</f>
        <v>0.20098232472567185</v>
      </c>
      <c r="NB56">
        <f>IF($NB$15=2023,MAX(H_DAYS_2023)/SUM(H_DAYS_2023),MAX(H_DAYS_2024)/SUM(H_DAYS_2024))</f>
        <v>0.244052131845915</v>
      </c>
      <c r="OB56">
        <f>IF($OB$15=2023,MAX(H_DAYS_2023)/SUM(H_DAYS_2023),MAX(H_DAYS_2024)/SUM(H_DAYS_2024))</f>
        <v>0.244052131845915</v>
      </c>
    </row>
    <row r="57">
      <c r="A57" t="inlineStr">
        <is>
          <t>JOIN_MIN</t>
        </is>
      </c>
      <c r="B57" s="8">
        <f>IF($B$48&gt;0,$B$49/$B$48+MCD_SHARE_FREED*R_WAIT_2023,"n/a (no beds)")</f>
        <v>454.7187309484641</v>
      </c>
      <c r="AB57" s="8" t="str">
        <f>IF($AB$48&gt;0,$AB$49/$AB$48+MCD_SHARE_FREED*R_WAIT_2023,"n/a (no beds)")</f>
        <v>n/a (no beds)</v>
      </c>
      <c r="BB57" s="8">
        <f>IF($BB$48&gt;0,$BB$49/$BB$48+MCD_SHARE_FREED*R_WAIT_2023,"n/a (no beds)")</f>
        <v>454.7187309484641</v>
      </c>
      <c r="CB57" s="8">
        <f>IF($CB$48&gt;0,$CB$49/$CB$48+MCD_SHARE_FREED*R_WAIT_2023,"n/a (no beds)")</f>
        <v>460.9083736086628</v>
      </c>
      <c r="DB57" s="8">
        <f>IF($DB$48&gt;0,$DB$49/$DB$48+MCD_SHARE_FREED*R_WAIT_2023,"n/a (no beds)")</f>
        <v>454.7187309484641</v>
      </c>
      <c r="EB57" s="8">
        <f>IF($EB$48&gt;0,$EB$49/$EB$48+MCD_SHARE_FREED*R_WAIT_2023,"n/a (no beds)")</f>
        <v>454.7187309484641</v>
      </c>
      <c r="FB57" s="8">
        <f>IF($FB$48&gt;0,$FB$49/$FB$48+MCD_SHARE_FREED*R_WAIT_2023,"n/a (no beds)")</f>
        <v>454.7187309484641</v>
      </c>
      <c r="GB57" s="8">
        <f>IF($GB$48&gt;0,$GB$49/$GB$48+MCD_SHARE_FREED*R_WAIT_2023,"n/a (no beds)")</f>
        <v>454.7187309484641</v>
      </c>
      <c r="HB57" s="8">
        <f>IF($HB$48&gt;0,$HB$49/$HB$48+MCD_SHARE_FREED*R_WAIT_2023,"n/a (no beds)")</f>
        <v>454.7187309484641</v>
      </c>
      <c r="IB57" s="8">
        <f>IF($IB$48&gt;0,$IB$49/$IB$48+MCD_SHARE_FREED*R_WAIT_2023,"n/a (no beds)")</f>
        <v>454.7187309484641</v>
      </c>
      <c r="JB57" s="8">
        <f>IF($JB$48&gt;0,$JB$49/$JB$48+MCD_SHARE_FREED*R_WAIT_2023,"n/a (no beds)")</f>
        <v>454.7187309484641</v>
      </c>
      <c r="KB57" s="8" t="str">
        <f>IF($KB$48&gt;0,$KB$49/$KB$48+MCD_SHARE_FREED*R_WAIT_2023,"n/a (no beds)")</f>
        <v>n/a (no beds)</v>
      </c>
      <c r="LB57" s="8" t="str">
        <f>IF($LB$48&gt;0,$LB$49/$LB$48+MCD_SHARE_FREED*R_WAIT_2023,"n/a (no beds)")</f>
        <v>n/a (no beds)</v>
      </c>
      <c r="MB57" s="8">
        <f>IF($MB$48&gt;0,$MB$49/$MB$48+MCD_SHARE_FREED*R_WAIT_2023,"n/a (no beds)")</f>
        <v>454.7187309484641</v>
      </c>
      <c r="NB57" s="8">
        <f>IF($NB$48&gt;0,$NB$49/$NB$48+MCD_SHARE_FREED*R_WAIT_2023,"n/a (no beds)")</f>
        <v>454.7187309484641</v>
      </c>
      <c r="OB57" s="8">
        <f>IF($OB$48&gt;0,$OB$49/$OB$48+MCD_SHARE_FREED*R_WAIT_2023,"n/a (no beds)")</f>
        <v>454.7187309484641</v>
      </c>
    </row>
    <row r="58">
      <c r="A58" t="inlineStr">
        <is>
          <t>JOIN_ALL</t>
        </is>
      </c>
      <c r="B58" t="str">
        <f>IF($B$48&gt;0,IF(MIN($B$6,$B$8)&gt;=$B$57,"yes","no"),"n/a (no beds)")</f>
        <v>yes</v>
      </c>
      <c r="AB58" t="str">
        <f>IF($AB$48&gt;0,IF(MIN($AB$6,$AB$8)&gt;=$AB$57,"yes","no"),"n/a (no beds)")</f>
        <v>n/a (no beds)</v>
      </c>
      <c r="BB58" t="str">
        <f>IF($BB$48&gt;0,IF(MIN($BB$6,$BB$8)&gt;=$BB$57,"yes","no"),"n/a (no beds)")</f>
        <v>yes</v>
      </c>
      <c r="CB58" t="str">
        <f>IF($CB$48&gt;0,IF(MIN($CB$6,$CB$8)&gt;=$CB$57,"yes","no"),"n/a (no beds)")</f>
        <v>yes</v>
      </c>
      <c r="DB58" t="str">
        <f>IF($DB$48&gt;0,IF(MIN($DB$6,$DB$8)&gt;=$DB$57,"yes","no"),"n/a (no beds)")</f>
        <v>yes</v>
      </c>
      <c r="EB58" t="str">
        <f>IF($EB$48&gt;0,IF(MIN($EB$6,$EB$8)&gt;=$EB$57,"yes","no"),"n/a (no beds)")</f>
        <v>yes</v>
      </c>
      <c r="FB58" t="str">
        <f>IF($FB$48&gt;0,IF(MIN($FB$6,$FB$8)&gt;=$FB$57,"yes","no"),"n/a (no beds)")</f>
        <v>yes</v>
      </c>
      <c r="GB58" t="str">
        <f>IF($GB$48&gt;0,IF(MIN($GB$6,$GB$8)&gt;=$GB$57,"yes","no"),"n/a (no beds)")</f>
        <v>yes</v>
      </c>
      <c r="HB58" t="str">
        <f>IF($HB$48&gt;0,IF(MIN($HB$6,$HB$8)&gt;=$HB$57,"yes","no"),"n/a (no beds)")</f>
        <v>yes</v>
      </c>
      <c r="IB58" t="str">
        <f>IF($IB$48&gt;0,IF(MIN($IB$6,$IB$8)&gt;=$IB$57,"yes","no"),"n/a (no beds)")</f>
        <v>yes</v>
      </c>
      <c r="JB58" t="str">
        <f>IF($JB$48&gt;0,IF(MIN($JB$6,$JB$8)&gt;=$JB$57,"yes","no"),"n/a (no beds)")</f>
        <v>yes</v>
      </c>
      <c r="KB58" t="str">
        <f>IF($KB$48&gt;0,IF(MIN($KB$6,$KB$8)&gt;=$KB$57,"yes","no"),"n/a (no beds)")</f>
        <v>n/a (no beds)</v>
      </c>
      <c r="LB58" t="str">
        <f>IF($LB$48&gt;0,IF(MIN($LB$6,$LB$8)&gt;=$LB$57,"yes","no"),"n/a (no beds)")</f>
        <v>n/a (no beds)</v>
      </c>
      <c r="MB58" t="str">
        <f>IF($MB$48&gt;0,IF(MIN($MB$6,$MB$8)&gt;=$MB$57,"yes","no"),"n/a (no beds)")</f>
        <v>yes</v>
      </c>
      <c r="NB58" t="str">
        <f>IF($NB$48&gt;0,IF(MIN($NB$6,$NB$8)&gt;=$NB$57,"yes","no"),"n/a (no beds)")</f>
        <v>yes</v>
      </c>
      <c r="OB58" t="str">
        <f>IF($OB$48&gt;0,IF(MIN($OB$6,$OB$8)&gt;=$OB$57,"yes","no"),"n/a (no beds)")</f>
        <v>yes</v>
      </c>
    </row>
    <row r="59">
      <c r="A59" t="inlineStr">
        <is>
          <t>SOLO_ANY</t>
        </is>
      </c>
      <c r="B59" t="str">
        <f>IF($B$40&gt;0,IF($B$56*$B$25*($B$6-MCD_SHARE_FREED*R_WAIT_2023)&gt;=$B$40,"yes","no"),"n/a")</f>
        <v>n/a</v>
      </c>
      <c r="AB59" t="str">
        <f>IF($AB$40&gt;0,IF($AB$56*$AB$25*($AB$6-MCD_SHARE_FREED*R_WAIT_2023)&gt;=$AB$40,"yes","no"),"n/a")</f>
        <v>n/a</v>
      </c>
      <c r="BB59" t="str">
        <f>IF($BB$40&gt;0,IF($BB$56*$BB$25*($BB$6-MCD_SHARE_FREED*R_WAIT_2023)&gt;=$BB$40,"yes","no"),"n/a")</f>
        <v>n/a</v>
      </c>
      <c r="CB59" t="str">
        <f>IF($CB$40&gt;0,IF($CB$56*$CB$25*($CB$6-MCD_SHARE_FREED*R_WAIT_2023)&gt;=$CB$40,"yes","no"),"n/a")</f>
        <v>yes</v>
      </c>
      <c r="DB59" t="str">
        <f>IF($DB$40&gt;0,IF($DB$56*$DB$25*($DB$6-MCD_SHARE_FREED*R_WAIT_2023)&gt;=$DB$40,"yes","no"),"n/a")</f>
        <v>n/a</v>
      </c>
      <c r="EB59" t="str">
        <f>IF($EB$40&gt;0,IF($EB$56*$EB$25*($EB$6-MCD_SHARE_FREED*R_WAIT_2023)&gt;=$EB$40,"yes","no"),"n/a")</f>
        <v>n/a</v>
      </c>
      <c r="FB59" t="str">
        <f>IF($FB$40&gt;0,IF($FB$56*$FB$25*($FB$6-MCD_SHARE_FREED*R_WAIT_2023)&gt;=$FB$40,"yes","no"),"n/a")</f>
        <v>n/a</v>
      </c>
      <c r="GB59" t="str">
        <f>IF($GB$40&gt;0,IF($GB$56*$GB$25*($GB$6-MCD_SHARE_FREED*R_WAIT_2023)&gt;=$GB$40,"yes","no"),"n/a")</f>
        <v>n/a</v>
      </c>
      <c r="HB59" t="str">
        <f>IF($HB$40&gt;0,IF($HB$56*$HB$25*($HB$6-MCD_SHARE_FREED*R_WAIT_2023)&gt;=$HB$40,"yes","no"),"n/a")</f>
        <v>n/a</v>
      </c>
      <c r="IB59" t="str">
        <f>IF($IB$40&gt;0,IF($IB$56*$IB$25*($IB$6-MCD_SHARE_FREED*R_WAIT_2023)&gt;=$IB$40,"yes","no"),"n/a")</f>
        <v>n/a</v>
      </c>
      <c r="JB59" t="str">
        <f>IF($JB$40&gt;0,IF($JB$56*$JB$25*($JB$6-MCD_SHARE_FREED*R_WAIT_2023)&gt;=$JB$40,"yes","no"),"n/a")</f>
        <v>n/a</v>
      </c>
      <c r="KB59" t="str">
        <f>IF($KB$40&gt;0,IF($KB$56*$KB$25*($KB$6-MCD_SHARE_FREED*R_WAIT_2023)&gt;=$KB$40,"yes","no"),"n/a")</f>
        <v>n/a</v>
      </c>
      <c r="LB59" t="str">
        <f>IF($LB$40&gt;0,IF($LB$56*$LB$25*($LB$6-MCD_SHARE_FREED*R_WAIT_2023)&gt;=$LB$40,"yes","no"),"n/a")</f>
        <v>n/a</v>
      </c>
      <c r="MB59" t="str">
        <f>IF($MB$40&gt;0,IF($MB$56*$MB$25*($MB$6-MCD_SHARE_FREED*R_WAIT_2023)&gt;=$MB$40,"yes","no"),"n/a")</f>
        <v>n/a</v>
      </c>
      <c r="NB59" t="str">
        <f>IF($NB$40&gt;0,IF($NB$56*$NB$25*($NB$6-MCD_SHARE_FREED*R_WAIT_2023)&gt;=$NB$40,"yes","no"),"n/a")</f>
        <v>n/a</v>
      </c>
      <c r="OB59" t="str">
        <f>IF($OB$40&gt;0,IF($OB$56*$OB$25*($OB$6-MCD_SHARE_FREED*R_WAIT_2023)&gt;=$OB$40,"yes","no"),"n/a")</f>
        <v>n/a</v>
      </c>
    </row>
    <row r="60">
      <c r="A60" t="inlineStr">
        <is>
          <t>INC_FREED</t>
        </is>
      </c>
      <c r="B60">
        <f>$B$21*ABS($B$11)*DELTA_R/R_NF_2023</f>
        <v>2154.8708361337654</v>
      </c>
      <c r="AB60">
        <f>$AB$21*ABS($AB$11)*DELTA_R/R_NF_2023</f>
        <v>2154.8708361337654</v>
      </c>
      <c r="BB60">
        <f>$BB$21*ABS($BB$11)*DELTA_R/R_NF_2023</f>
        <v>2154.8708361337654</v>
      </c>
      <c r="CB60">
        <f>$CB$21*ABS($CB$11)*DELTA_R/R_NF_2023</f>
        <v>2154.8708361337654</v>
      </c>
      <c r="DB60">
        <f>$DB$21*ABS($DB$11)*DELTA_R/R_NF_2023</f>
        <v>2154.8708361337654</v>
      </c>
      <c r="EB60">
        <f>$EB$21*ABS($EB$11)*DELTA_R/R_NF_2023</f>
        <v>2154.8708361337654</v>
      </c>
      <c r="FB60">
        <f>$FB$21*ABS($FB$11)*DELTA_R/R_NF_2023</f>
        <v>2154.8708361337654</v>
      </c>
      <c r="GB60">
        <f>$GB$21*ABS($GB$11)*DELTA_R/R_NF_2023</f>
        <v>1626.6042185945942</v>
      </c>
      <c r="HB60">
        <f>$HB$21*ABS($HB$11)*DELTA_R/R_NF_2023</f>
        <v>2154.8708361337654</v>
      </c>
      <c r="IB60">
        <f>$IB$21*ABS($IB$11)*DELTA_R/R_NF_2023</f>
        <v>2154.8708361337654</v>
      </c>
      <c r="JB60">
        <f>$JB$21*ABS($JB$11)*DELTA_R/R_NF_2023</f>
        <v>2154.8708361337654</v>
      </c>
      <c r="KB60">
        <f>$KB$21*ABS($KB$11)*DELTA_R/R_NF_2023</f>
        <v>2154.8708361337654</v>
      </c>
      <c r="LB60">
        <f>$LB$21*ABS($LB$11)*DELTA_R/R_NF_2023</f>
        <v>2154.8708361337654</v>
      </c>
      <c r="MB60">
        <f>$MB$21*ABS($MB$11)*DELTA_R/R_NF_2023</f>
        <v>1578.6360159870887</v>
      </c>
      <c r="NB60">
        <f>$NB$21*ABS($NB$11)*DELTA_R/R_NF_2023</f>
        <v>2154.8708361337654</v>
      </c>
      <c r="OB60">
        <f>$OB$21*ABS($OB$11)*DELTA_R/R_NF_2023</f>
        <v>2154.8708361337654</v>
      </c>
    </row>
    <row r="61">
      <c r="A61" t="inlineStr">
        <is>
          <t>UNIT_INC</t>
        </is>
      </c>
      <c r="B61" s="8">
        <f>(DELTA_R*MCD_NF_DAYS-$B$60*MCD_SHARE_FREED*R_WAIT_2023)/$B$60</f>
        <v>1990.281642926819</v>
      </c>
      <c r="AB61" s="8">
        <f>(DELTA_R*MCD_NF_DAYS-$AB$60*MCD_SHARE_FREED*R_WAIT_2023)/$AB$60</f>
        <v>1990.281642926819</v>
      </c>
      <c r="BB61" s="8">
        <f>(DELTA_R*MCD_NF_DAYS-$BB$60*MCD_SHARE_FREED*R_WAIT_2023)/$BB$60</f>
        <v>1990.281642926819</v>
      </c>
      <c r="CB61" s="8">
        <f>(DELTA_R*MCD_NF_DAYS-$CB$60*MCD_SHARE_FREED*R_WAIT_2023)/$CB$60</f>
        <v>1990.281642926819</v>
      </c>
      <c r="DB61" s="8">
        <f>(DELTA_R*MCD_NF_DAYS-$DB$60*MCD_SHARE_FREED*R_WAIT_2023)/$DB$60</f>
        <v>1990.281642926819</v>
      </c>
      <c r="EB61" s="8">
        <f>(DELTA_R*MCD_NF_DAYS-$EB$60*MCD_SHARE_FREED*R_WAIT_2023)/$EB$60</f>
        <v>1990.281642926819</v>
      </c>
      <c r="FB61" s="8">
        <f>(DELTA_R*MCD_NF_DAYS-$FB$60*MCD_SHARE_FREED*R_WAIT_2023)/$FB$60</f>
        <v>1990.281642926819</v>
      </c>
      <c r="GB61" s="8">
        <f>(DELTA_R*MCD_NF_DAYS-$GB$60*MCD_SHARE_FREED*R_WAIT_2023)/$GB$60</f>
        <v>2784.3359449038994</v>
      </c>
      <c r="HB61" s="8">
        <f>(DELTA_R*MCD_NF_DAYS-$HB$60*MCD_SHARE_FREED*R_WAIT_2023)/$HB$60</f>
        <v>1990.281642926819</v>
      </c>
      <c r="IB61" s="8">
        <f>(DELTA_R*MCD_NF_DAYS-$IB$60*MCD_SHARE_FREED*R_WAIT_2023)/$IB$60</f>
        <v>1990.281642926819</v>
      </c>
      <c r="JB61" s="8">
        <f>(DELTA_R*MCD_NF_DAYS-$JB$60*MCD_SHARE_FREED*R_WAIT_2023)/$JB$60</f>
        <v>1990.281642926819</v>
      </c>
      <c r="KB61" s="8">
        <f>(DELTA_R*MCD_NF_DAYS-$KB$60*MCD_SHARE_FREED*R_WAIT_2023)/$KB$60</f>
        <v>1990.281642926819</v>
      </c>
      <c r="LB61" s="8">
        <f>(DELTA_R*MCD_NF_DAYS-$LB$60*MCD_SHARE_FREED*R_WAIT_2023)/$LB$60</f>
        <v>1990.281642926819</v>
      </c>
      <c r="MB61" s="8">
        <f>(DELTA_R*MCD_NF_DAYS-$MB$60*MCD_SHARE_FREED*R_WAIT_2023)/$MB$60</f>
        <v>2882.7573855492424</v>
      </c>
      <c r="NB61" s="8">
        <f>(DELTA_R*MCD_NF_DAYS-$NB$60*MCD_SHARE_FREED*R_WAIT_2023)/$NB$60</f>
        <v>1990.281642926819</v>
      </c>
      <c r="OB61" s="8">
        <f>(DELTA_R*MCD_NF_DAYS-$OB$60*MCD_SHARE_FREED*R_WAIT_2023)/$OB$60</f>
        <v>1990.281642926819</v>
      </c>
    </row>
    <row r="62">
      <c r="A62" t="inlineStr">
        <is>
          <t>RULE_COST_PV_HIX</t>
        </is>
      </c>
      <c r="B62" s="8">
        <f>SUMPRODUCT(U488:U530,W488:W530)</f>
        <v>271738776.0226568</v>
      </c>
      <c r="AB62" s="8">
        <f>SUMPRODUCT(AU488:AU530,AW488:AW530)</f>
        <v>271738776.0226568</v>
      </c>
      <c r="BB62" s="8">
        <f>SUMPRODUCT(BU488:BU530,BW488:BW530)</f>
        <v>271738776.0226568</v>
      </c>
      <c r="CB62" s="8">
        <f>SUMPRODUCT(CU488:CU530,CW488:CW530)</f>
        <v>998754684.9917722</v>
      </c>
      <c r="DB62" s="8">
        <f>SUMPRODUCT(DU488:DU530,DW488:DW530)</f>
        <v>271738776.0226568</v>
      </c>
      <c r="EB62" s="8">
        <f>SUMPRODUCT(EU488:EU530,EW488:EW530)</f>
        <v>271738776.0226568</v>
      </c>
      <c r="FB62" s="8">
        <f>SUMPRODUCT(FU488:FU530,FW488:FW530)</f>
        <v>271738776.0226568</v>
      </c>
      <c r="GB62" s="8">
        <f>SUMPRODUCT(GU488:GU530,GW488:GW530)</f>
        <v>284695207.4052116</v>
      </c>
      <c r="HB62" s="8">
        <f>SUMPRODUCT(HU488:HU530,HW488:HW530)</f>
        <v>238326161.36774457</v>
      </c>
      <c r="IB62" s="8">
        <f>SUMPRODUCT(IU488:IU530,IW488:IW530)</f>
        <v>146011464.39615858</v>
      </c>
      <c r="JB62" s="8">
        <f>SUMPRODUCT(JU488:JU530,JW488:JW530)</f>
        <v>365658625.80060476</v>
      </c>
      <c r="KB62" s="8">
        <f>SUMPRODUCT(KU488:KU530,KW488:KW530)</f>
        <v>271738776.0226568</v>
      </c>
      <c r="LB62" s="8">
        <f>SUMPRODUCT(LU488:LU530,LW488:LW530)</f>
        <v>271738776.0226568</v>
      </c>
      <c r="MB62" s="8">
        <f>SUMPRODUCT(MU488:MU530,MW488:MW530)</f>
        <v>285871690.4631867</v>
      </c>
      <c r="NB62" s="8">
        <f>SUMPRODUCT(NU488:NU530,NW488:NW530)</f>
        <v>271738776.0226568</v>
      </c>
      <c r="OB62" s="8">
        <f>SUMPRODUCT(OU488:OU530,OW488:OW530)</f>
        <v>271738776.0226568</v>
      </c>
    </row>
    <row r="63">
      <c r="A63" t="inlineStr">
        <is>
          <t>RULE_KEPT_PV_HIX</t>
        </is>
      </c>
      <c r="B63" s="8">
        <f>SUMPRODUCT(S488:S530,W488:W530)</f>
        <v>116227.96427025774</v>
      </c>
      <c r="AB63" s="8">
        <f>SUMPRODUCT(AS488:AS530,AW488:AW530)</f>
        <v>116227.96427025774</v>
      </c>
      <c r="BB63" s="8">
        <f>SUMPRODUCT(BS488:BS530,BW488:BW530)</f>
        <v>116227.96427025774</v>
      </c>
      <c r="CB63" s="8">
        <f>SUMPRODUCT(CS488:CS530,CW488:CW530)</f>
        <v>368802.4606450901</v>
      </c>
      <c r="DB63" s="8">
        <f>SUMPRODUCT(DS488:DS530,DW488:DW530)</f>
        <v>116227.96427025774</v>
      </c>
      <c r="EB63" s="8">
        <f>SUMPRODUCT(ES488:ES530,EW488:EW530)</f>
        <v>116227.96427025774</v>
      </c>
      <c r="FB63" s="8">
        <f>SUMPRODUCT(FS488:FS530,FW488:FW530)</f>
        <v>116227.96427025774</v>
      </c>
      <c r="GB63" s="8">
        <f>SUMPRODUCT(GS488:GS530,GW488:GW530)</f>
        <v>87734.6771001207</v>
      </c>
      <c r="HB63" s="8">
        <f>SUMPRODUCT(HS488:HS530,HW488:HW530)</f>
        <v>102222.49341302807</v>
      </c>
      <c r="IB63" s="8">
        <f>SUMPRODUCT(IS488:IS530,IW488:IW530)</f>
        <v>63350.6122225497</v>
      </c>
      <c r="JB63" s="8">
        <f>SUMPRODUCT(JS488:JS530,JW488:JW530)</f>
        <v>163170.93434918864</v>
      </c>
      <c r="KB63" s="8">
        <f>SUMPRODUCT(KS488:KS530,KW488:KW530)</f>
        <v>116227.96427025774</v>
      </c>
      <c r="LB63" s="8">
        <f>SUMPRODUCT(LS488:LS530,LW488:LW530)</f>
        <v>116227.96427025774</v>
      </c>
      <c r="MB63" s="8">
        <f>SUMPRODUCT(MS488:MS530,MW488:MW530)</f>
        <v>85147.40066327558</v>
      </c>
      <c r="NB63" s="8">
        <f>SUMPRODUCT(NS488:NS530,NW488:NW530)</f>
        <v>116227.96427025774</v>
      </c>
      <c r="OB63" s="8">
        <f>SUMPRODUCT(OS488:OS530,OW488:OW530)</f>
        <v>116227.96427025774</v>
      </c>
    </row>
    <row r="64">
      <c r="A64" t="inlineStr">
        <is>
          <t>UNIT_RULE_HIX</t>
        </is>
      </c>
      <c r="B64" s="8">
        <f>$B$62/$B$63</f>
        <v>2337.981033469702</v>
      </c>
      <c r="AB64" s="8">
        <f>$AB$62/$AB$63</f>
        <v>2337.981033469702</v>
      </c>
      <c r="BB64" s="8">
        <f>$BB$62/$BB$63</f>
        <v>2337.981033469702</v>
      </c>
      <c r="CB64" s="8">
        <f>$CB$62/$CB$63</f>
        <v>2708.102010070113</v>
      </c>
      <c r="DB64" s="8">
        <f>$DB$62/$DB$63</f>
        <v>2337.981033469702</v>
      </c>
      <c r="EB64" s="8">
        <f>$EB$62/$EB$63</f>
        <v>2337.981033469702</v>
      </c>
      <c r="FB64" s="8">
        <f>$FB$62/$FB$63</f>
        <v>2337.981033469702</v>
      </c>
      <c r="GB64" s="8">
        <f>$GB$62/$GB$63</f>
        <v>3244.9564620876686</v>
      </c>
      <c r="HB64" s="8">
        <f>$HB$62/$HB$63</f>
        <v>2331.445393381202</v>
      </c>
      <c r="IB64" s="8">
        <f>$IB$62/$IB$63</f>
        <v>2304.8153644233557</v>
      </c>
      <c r="JB64" s="8">
        <f>$JB$62/$JB$63</f>
        <v>2240.954415435833</v>
      </c>
      <c r="KB64" s="8">
        <f>$KB$62/$KB$63</f>
        <v>2337.981033469702</v>
      </c>
      <c r="LB64" s="8">
        <f>$LB$62/$LB$63</f>
        <v>2337.981033469702</v>
      </c>
      <c r="MB64" s="8">
        <f>$MB$62/$MB$63</f>
        <v>3357.374250256876</v>
      </c>
      <c r="NB64" s="8">
        <f>$NB$62/$NB$63</f>
        <v>2337.981033469702</v>
      </c>
      <c r="OB64" s="8">
        <f>$OB$62/$OB$63</f>
        <v>2337.981033469702</v>
      </c>
    </row>
    <row r="65">
      <c r="A65" t="inlineStr">
        <is>
          <t>RULE_COST_PV_REB</t>
        </is>
      </c>
      <c r="B65" s="8">
        <f>SUMPRODUCT(V488:V530,W488:W530)</f>
        <v>451673731.0323267</v>
      </c>
      <c r="AB65" s="8">
        <f>SUMPRODUCT(AV488:AV530,AW488:AW530)</f>
        <v>451673731.0323267</v>
      </c>
      <c r="BB65" s="8">
        <f>SUMPRODUCT(BV488:BV530,BW488:BW530)</f>
        <v>451673731.0323267</v>
      </c>
      <c r="CB65" s="8">
        <f>SUMPRODUCT(CV488:CV530,CW488:CW530)</f>
        <v>1353035725.161162</v>
      </c>
      <c r="DB65" s="8">
        <f>SUMPRODUCT(DV488:DV530,DW488:DW530)</f>
        <v>451673731.0323267</v>
      </c>
      <c r="EB65" s="8">
        <f>SUMPRODUCT(EV488:EV530,EW488:EW530)</f>
        <v>451673731.0323267</v>
      </c>
      <c r="FB65" s="8">
        <f>SUMPRODUCT(FV488:FV530,FW488:FW530)</f>
        <v>451673731.0323267</v>
      </c>
      <c r="GB65" s="8">
        <f>SUMPRODUCT(GV488:GV530,GW488:GW530)</f>
        <v>473541523.5078095</v>
      </c>
      <c r="HB65" s="8">
        <f>SUMPRODUCT(HV488:HV530,HW488:HW530)</f>
        <v>401097676.75141793</v>
      </c>
      <c r="IB65" s="8">
        <f>SUMPRODUCT(IV488:IV530,IW488:IW530)</f>
        <v>259454474.46366227</v>
      </c>
      <c r="JB65" s="8">
        <f>SUMPRODUCT(JV488:JV530,JW488:JW530)</f>
        <v>533402517.65821314</v>
      </c>
      <c r="KB65" s="8">
        <f>SUMPRODUCT(KV488:KV530,KW488:KW530)</f>
        <v>451673731.0323267</v>
      </c>
      <c r="LB65" s="8">
        <f>SUMPRODUCT(LV488:LV530,LW488:LW530)</f>
        <v>451673731.0323267</v>
      </c>
      <c r="MB65" s="8">
        <f>SUMPRODUCT(MV488:MV530,MW488:MW530)</f>
        <v>475527185.0378324</v>
      </c>
      <c r="NB65" s="8">
        <f>SUMPRODUCT(NV488:NV530,NW488:NW530)</f>
        <v>451673731.0323267</v>
      </c>
      <c r="OB65" s="8">
        <f>SUMPRODUCT(OV488:OV530,OW488:OW530)</f>
        <v>451673731.0323267</v>
      </c>
    </row>
    <row r="66">
      <c r="A66" t="inlineStr">
        <is>
          <t>RULE_KEPT_PV_REB</t>
        </is>
      </c>
      <c r="B66" s="8">
        <f>SUMPRODUCT(T488:T530,W488:W530)</f>
        <v>196168.90851071983</v>
      </c>
      <c r="AB66" s="8">
        <f>SUMPRODUCT(AT488:AT530,AW488:AW530)</f>
        <v>196168.90851071983</v>
      </c>
      <c r="BB66" s="8">
        <f>SUMPRODUCT(BT488:BT530,BW488:BW530)</f>
        <v>196168.90851071983</v>
      </c>
      <c r="CB66" s="8">
        <f>SUMPRODUCT(CT488:CT530,CW488:CW530)</f>
        <v>509967.66894859454</v>
      </c>
      <c r="DB66" s="8">
        <f>SUMPRODUCT(DT488:DT530,DW488:DW530)</f>
        <v>196168.90851071983</v>
      </c>
      <c r="EB66" s="8">
        <f>SUMPRODUCT(ET488:ET530,EW488:EW530)</f>
        <v>196168.90851071983</v>
      </c>
      <c r="FB66" s="8">
        <f>SUMPRODUCT(FT488:FT530,FW488:FW530)</f>
        <v>196168.90851071983</v>
      </c>
      <c r="GB66" s="8">
        <f>SUMPRODUCT(GT488:GT530,GW488:GW530)</f>
        <v>148078.0976706421</v>
      </c>
      <c r="HB66" s="8">
        <f>SUMPRODUCT(HT488:HT530,HW488:HW530)</f>
        <v>174821.73819967866</v>
      </c>
      <c r="IB66" s="8">
        <f>SUMPRODUCT(IT488:IT530,IW488:IW530)</f>
        <v>114708.93941859159</v>
      </c>
      <c r="JB66" s="8">
        <f>SUMPRODUCT(JT488:JT530,JW488:JW530)</f>
        <v>240118.0621372873</v>
      </c>
      <c r="KB66" s="8">
        <f>SUMPRODUCT(KT488:KT530,KW488:KW530)</f>
        <v>196168.90851071983</v>
      </c>
      <c r="LB66" s="8">
        <f>SUMPRODUCT(LT488:LT530,LW488:LW530)</f>
        <v>196168.90851071983</v>
      </c>
      <c r="MB66" s="8">
        <f>SUMPRODUCT(MT488:MT530,MW488:MW530)</f>
        <v>143711.306960523</v>
      </c>
      <c r="NB66" s="8">
        <f>SUMPRODUCT(NT488:NT530,NW488:NW530)</f>
        <v>196168.90851071983</v>
      </c>
      <c r="OB66" s="8">
        <f>SUMPRODUCT(OT488:OT530,OW488:OW530)</f>
        <v>196168.90851071983</v>
      </c>
    </row>
    <row r="67">
      <c r="A67" t="inlineStr">
        <is>
          <t>UNIT_RULE_REB</t>
        </is>
      </c>
      <c r="B67" s="8">
        <f>$B$65/$B$66</f>
        <v>2302.47359003705</v>
      </c>
      <c r="AB67" s="8">
        <f>$AB$65/$AB$66</f>
        <v>2302.47359003705</v>
      </c>
      <c r="BB67" s="8">
        <f>$BB$65/$BB$66</f>
        <v>2302.47359003705</v>
      </c>
      <c r="CB67" s="8">
        <f>$CB$65/$CB$66</f>
        <v>2653.1794220420466</v>
      </c>
      <c r="DB67" s="8">
        <f>$DB$65/$DB$66</f>
        <v>2302.47359003705</v>
      </c>
      <c r="EB67" s="8">
        <f>$EB$65/$EB$66</f>
        <v>2302.47359003705</v>
      </c>
      <c r="FB67" s="8">
        <f>$FB$65/$FB$66</f>
        <v>2302.47359003705</v>
      </c>
      <c r="GB67" s="8">
        <f>$GB$65/$GB$66</f>
        <v>3197.917389248671</v>
      </c>
      <c r="HB67" s="8">
        <f>$HB$65/$HB$66</f>
        <v>2294.3238116834787</v>
      </c>
      <c r="IB67" s="8">
        <f>$IB$65/$IB$66</f>
        <v>2261.850521665715</v>
      </c>
      <c r="JB67" s="8">
        <f>$JB$65/$JB$66</f>
        <v>2221.417718060879</v>
      </c>
      <c r="KB67" s="8">
        <f>$KB$65/$KB$66</f>
        <v>2302.47359003705</v>
      </c>
      <c r="LB67" s="8">
        <f>$LB$65/$LB$66</f>
        <v>2302.47359003705</v>
      </c>
      <c r="MB67" s="8">
        <f>$MB$65/$MB$66</f>
        <v>3308.90585504492</v>
      </c>
      <c r="NB67" s="8">
        <f>$NB$65/$NB$66</f>
        <v>2302.47359003705</v>
      </c>
      <c r="OB67" s="8">
        <f>$OB$65/$OB$66</f>
        <v>2302.47359003705</v>
      </c>
    </row>
    <row r="68">
      <c r="A68" t="inlineStr">
        <is>
          <t>PART_COST</t>
        </is>
      </c>
      <c r="B68" s="8">
        <f>$B$50+$B$49</f>
        <v>5605073.886364148</v>
      </c>
      <c r="AB68" s="8">
        <f>$AB$50+$AB$49</f>
        <v>0.0</v>
      </c>
      <c r="BB68" s="8">
        <f>$BB$50+$BB$49</f>
        <v>5605073.886364148</v>
      </c>
      <c r="CB68" s="8">
        <f>$CB$50+$CB$49</f>
        <v>5839091.79747245</v>
      </c>
      <c r="DB68" s="8">
        <f>$DB$50+$DB$49</f>
        <v>5605073.886364148</v>
      </c>
      <c r="EB68" s="8">
        <f>$EB$50+$EB$49</f>
        <v>-9592974.395845057</v>
      </c>
      <c r="FB68" s="8">
        <f>$FB$50+$FB$49</f>
        <v>5605073.886364148</v>
      </c>
      <c r="GB68" s="8">
        <f>$GB$50+$GB$49</f>
        <v>5605073.886364148</v>
      </c>
      <c r="HB68" s="8">
        <f>$HB$50+$HB$49</f>
        <v>5605073.886364148</v>
      </c>
      <c r="IB68" s="8">
        <f>$IB$50+$IB$49</f>
        <v>5605073.886364148</v>
      </c>
      <c r="JB68" s="8">
        <f>$JB$50+$JB$49</f>
        <v>5605073.886364148</v>
      </c>
      <c r="KB68" s="8">
        <f>$KB$50+$KB$49</f>
        <v>0.0</v>
      </c>
      <c r="LB68" s="8">
        <f>$LB$50+$LB$49</f>
        <v>0.0</v>
      </c>
      <c r="MB68" s="8">
        <f>$MB$50+$MB$49</f>
        <v>8238380.816966794</v>
      </c>
      <c r="NB68" s="8">
        <f>$NB$50+$NB$49</f>
        <v>5605073.886364148</v>
      </c>
      <c r="OB68" s="8">
        <f>$OB$50+$OB$49</f>
        <v>5605073.886364148</v>
      </c>
    </row>
    <row r="69">
      <c r="A69" t="inlineStr">
        <is>
          <t>UNIT_PART</t>
        </is>
      </c>
      <c r="B69" s="8">
        <f>IF($B$48&gt;0,$B$68/$B$48,"n/a (no beds)")</f>
        <v>148.25106452877213</v>
      </c>
      <c r="AB69" s="8" t="str">
        <f>IF($AB$48&gt;0,$AB$68/$AB$48,"n/a (no beds)")</f>
        <v>n/a (no beds)</v>
      </c>
      <c r="BB69" s="8">
        <f>IF($BB$48&gt;0,$BB$68/$BB$48,"n/a (no beds)")</f>
        <v>148.25106452877213</v>
      </c>
      <c r="CB69" s="8">
        <f>IF($CB$48&gt;0,$CB$68/$CB$48,"n/a (no beds)")</f>
        <v>154.44070718897086</v>
      </c>
      <c r="DB69" s="8">
        <f>IF($DB$48&gt;0,$DB$68/$DB$48,"n/a (no beds)")</f>
        <v>148.25106452877213</v>
      </c>
      <c r="EB69" s="8">
        <f>IF($EB$48&gt;0,$EB$68/$EB$48,"n/a (no beds)")</f>
        <v>-253.7287991227186</v>
      </c>
      <c r="FB69" s="8">
        <f>IF($FB$48&gt;0,$FB$68/$FB$48,"n/a (no beds)")</f>
        <v>148.25106452877213</v>
      </c>
      <c r="GB69" s="8">
        <f>IF($GB$48&gt;0,$GB$68/$GB$48,"n/a (no beds)")</f>
        <v>148.25106452877213</v>
      </c>
      <c r="HB69" s="8">
        <f>IF($HB$48&gt;0,$HB$68/$HB$48,"n/a (no beds)")</f>
        <v>148.25106452877213</v>
      </c>
      <c r="IB69" s="8">
        <f>IF($IB$48&gt;0,$IB$68/$IB$48,"n/a (no beds)")</f>
        <v>148.25106452877213</v>
      </c>
      <c r="JB69" s="8">
        <f>IF($JB$48&gt;0,$JB$68/$JB$48,"n/a (no beds)")</f>
        <v>148.25106452877213</v>
      </c>
      <c r="KB69" s="8" t="str">
        <f>IF($KB$48&gt;0,$KB$68/$KB$48,"n/a (no beds)")</f>
        <v>n/a (no beds)</v>
      </c>
      <c r="LB69" s="8" t="str">
        <f>IF($LB$48&gt;0,$LB$68/$LB$48,"n/a (no beds)")</f>
        <v>n/a (no beds)</v>
      </c>
      <c r="MB69" s="8">
        <f>IF($MB$48&gt;0,$MB$68/$MB$48,"n/a (no beds)")</f>
        <v>257.3133748178401</v>
      </c>
      <c r="NB69" s="8">
        <f>IF($NB$48&gt;0,$NB$68/$NB$48,"n/a (no beds)")</f>
        <v>148.25106452877213</v>
      </c>
      <c r="OB69" s="8">
        <f>IF($OB$48&gt;0,$OB$68/$OB$48,"n/a (no beds)")</f>
        <v>148.25106452877213</v>
      </c>
    </row>
    <row r="70">
      <c r="A70" t="inlineStr">
        <is>
          <t>PER_BED_EQ_INC</t>
        </is>
      </c>
      <c r="B70" s="8">
        <f>$B$61*$B$25</f>
        <v>501656.9110307684</v>
      </c>
      <c r="AB70" s="8">
        <f>$AB$61*$AB$25</f>
        <v>501656.9110307684</v>
      </c>
      <c r="BB70" s="8">
        <f>$BB$61*$BB$25</f>
        <v>501656.9110307684</v>
      </c>
      <c r="CB70" s="8">
        <f>$CB$61*$CB$25</f>
        <v>501656.9110307684</v>
      </c>
      <c r="DB70" s="8">
        <f>$DB$61*$DB$25</f>
        <v>501656.9110307684</v>
      </c>
      <c r="EB70" s="8">
        <f>$EB$61*$EB$25</f>
        <v>501656.9110307684</v>
      </c>
      <c r="FB70" s="8">
        <f>$FB$61*$FB$25</f>
        <v>501656.9110307684</v>
      </c>
      <c r="GB70" s="8">
        <f>$GB$61*$GB$25</f>
        <v>701800.8603739026</v>
      </c>
      <c r="HB70" s="8">
        <f>$HB$61*$HB$25</f>
        <v>501656.9110307684</v>
      </c>
      <c r="IB70" s="8">
        <f>$IB$61*$IB$25</f>
        <v>501656.9110307684</v>
      </c>
      <c r="JB70" s="8">
        <f>$JB$61*$JB$25</f>
        <v>501656.9110307684</v>
      </c>
      <c r="KB70" s="8">
        <f>$KB$61*$KB$25</f>
        <v>250828.4555153842</v>
      </c>
      <c r="LB70" s="8">
        <f>$LB$61*$LB$25</f>
        <v>167218.97034358946</v>
      </c>
      <c r="MB70" s="8">
        <f>$MB$61*$MB$25</f>
        <v>615313.3486069542</v>
      </c>
      <c r="NB70" s="8">
        <f>$NB$61*$NB$25</f>
        <v>501656.9110307684</v>
      </c>
      <c r="OB70" s="8">
        <f>$OB$61*$OB$25</f>
        <v>501656.9110307684</v>
      </c>
    </row>
    <row r="71">
      <c r="A71" t="inlineStr">
        <is>
          <t>PER_BED_EQ_RULE_HIX</t>
        </is>
      </c>
      <c r="B71" s="8">
        <f>$B$64*$B$25</f>
        <v>589295.6644940827</v>
      </c>
      <c r="AB71" s="8">
        <f>$AB$64*$AB$25</f>
        <v>589295.6644940827</v>
      </c>
      <c r="BB71" s="8">
        <f>$BB$64*$BB$25</f>
        <v>589295.6644940827</v>
      </c>
      <c r="CB71" s="8">
        <f>$CB$64*$CB$25</f>
        <v>682585.8510809467</v>
      </c>
      <c r="DB71" s="8">
        <f>$DB$64*$DB$25</f>
        <v>589295.6644940827</v>
      </c>
      <c r="EB71" s="8">
        <f>$EB$64*$EB$25</f>
        <v>589295.6644940827</v>
      </c>
      <c r="FB71" s="8">
        <f>$FB$64*$FB$25</f>
        <v>589295.6644940827</v>
      </c>
      <c r="GB71" s="8">
        <f>$GB$64*$GB$25</f>
        <v>817901.7482201062</v>
      </c>
      <c r="HB71" s="8">
        <f>$HB$64*$HB$25</f>
        <v>587648.3353183061</v>
      </c>
      <c r="IB71" s="8">
        <f>$IB$64*$IB$25</f>
        <v>580936.1505804679</v>
      </c>
      <c r="JB71" s="8">
        <f>$JB$64*$JB$25</f>
        <v>564839.7922995047</v>
      </c>
      <c r="KB71" s="8">
        <f>$KB$64*$KB$25</f>
        <v>294647.83224704134</v>
      </c>
      <c r="LB71" s="8">
        <f>$LB$64*$LB$25</f>
        <v>196431.88816469425</v>
      </c>
      <c r="MB71" s="8">
        <f>$MB$64*$MB$25</f>
        <v>716618.4718866737</v>
      </c>
      <c r="NB71" s="8">
        <f>$NB$64*$NB$25</f>
        <v>589295.6644940827</v>
      </c>
      <c r="OB71" s="8">
        <f>$OB$64*$OB$25</f>
        <v>589295.6644940827</v>
      </c>
    </row>
    <row r="72">
      <c r="A72" t="inlineStr">
        <is>
          <t>PER_BED_EQ_RULE_REB</t>
        </is>
      </c>
      <c r="B72" s="8">
        <f>$B$67*$B$25</f>
        <v>580345.8987891498</v>
      </c>
      <c r="AB72" s="8">
        <f>$AB$67*$AB$25</f>
        <v>580345.8987891498</v>
      </c>
      <c r="BB72" s="8">
        <f>$BB$67*$BB$25</f>
        <v>580345.8987891498</v>
      </c>
      <c r="CB72" s="8">
        <f>$CB$67*$CB$25</f>
        <v>668742.4355252177</v>
      </c>
      <c r="DB72" s="8">
        <f>$DB$67*$DB$25</f>
        <v>580345.8987891498</v>
      </c>
      <c r="EB72" s="8">
        <f>$EB$67*$EB$25</f>
        <v>580345.8987891498</v>
      </c>
      <c r="FB72" s="8">
        <f>$FB$67*$FB$25</f>
        <v>580345.8987891498</v>
      </c>
      <c r="GB72" s="8">
        <f>$GB$67*$GB$25</f>
        <v>806045.3981090429</v>
      </c>
      <c r="HB72" s="8">
        <f>$HB$67*$HB$25</f>
        <v>578291.7208546008</v>
      </c>
      <c r="IB72" s="8">
        <f>$IB$67*$IB$25</f>
        <v>570106.723309549</v>
      </c>
      <c r="JB72" s="8">
        <f>$JB$67*$JB$25</f>
        <v>559915.5046783568</v>
      </c>
      <c r="KB72" s="8">
        <f>$KB$67*$KB$25</f>
        <v>290172.9493945749</v>
      </c>
      <c r="LB72" s="8">
        <f>$LB$67*$LB$25</f>
        <v>193448.6329297166</v>
      </c>
      <c r="MB72" s="8">
        <f>$MB$67*$MB$25</f>
        <v>706273.0814944843</v>
      </c>
      <c r="NB72" s="8">
        <f>$NB$67*$NB$25</f>
        <v>580345.8987891498</v>
      </c>
      <c r="OB72" s="8">
        <f>$OB$67*$OB$25</f>
        <v>580345.8987891498</v>
      </c>
    </row>
    <row r="73">
      <c r="A73" t="inlineStr">
        <is>
          <t>PER_BED_EQ_PART</t>
        </is>
      </c>
      <c r="B73" s="8">
        <f>IF($B$48&gt;0,$B$69*$B$25,"n/a (no beds)")</f>
        <v>37367.15924242764</v>
      </c>
      <c r="AB73" s="8" t="str">
        <f>IF($AB$48&gt;0,$AB$69*$AB$25,"n/a (no beds)")</f>
        <v>n/a (no beds)</v>
      </c>
      <c r="BB73" s="8">
        <f>IF($BB$48&gt;0,$BB$69*$BB$25,"n/a (no beds)")</f>
        <v>37367.15924242764</v>
      </c>
      <c r="CB73" s="8">
        <f>IF($CB$48&gt;0,$CB$69*$CB$25,"n/a (no beds)")</f>
        <v>38927.27864981632</v>
      </c>
      <c r="DB73" s="8">
        <f>IF($DB$48&gt;0,$DB$69*$DB$25,"n/a (no beds)")</f>
        <v>37367.15924242764</v>
      </c>
      <c r="EB73" s="8">
        <f>IF($EB$48&gt;0,$EB$69*$EB$25,"n/a (no beds)")</f>
        <v>-63953.162638967035</v>
      </c>
      <c r="FB73" s="8">
        <f>IF($FB$48&gt;0,$FB$69*$FB$25,"n/a (no beds)")</f>
        <v>37367.15924242764</v>
      </c>
      <c r="GB73" s="8">
        <f>IF($GB$48&gt;0,$GB$69*$GB$25,"n/a (no beds)")</f>
        <v>37367.15924242764</v>
      </c>
      <c r="HB73" s="8">
        <f>IF($HB$48&gt;0,$HB$69*$HB$25,"n/a (no beds)")</f>
        <v>37367.15924242764</v>
      </c>
      <c r="IB73" s="8">
        <f>IF($IB$48&gt;0,$IB$69*$IB$25,"n/a (no beds)")</f>
        <v>37367.15924242764</v>
      </c>
      <c r="JB73" s="8">
        <f>IF($JB$48&gt;0,$JB$69*$JB$25,"n/a (no beds)")</f>
        <v>37367.15924242764</v>
      </c>
      <c r="KB73" s="8" t="str">
        <f>IF($KB$48&gt;0,$KB$69*$KB$25,"n/a (no beds)")</f>
        <v>n/a (no beds)</v>
      </c>
      <c r="LB73" s="8" t="str">
        <f>IF($LB$48&gt;0,$LB$69*$LB$25,"n/a (no beds)")</f>
        <v>n/a (no beds)</v>
      </c>
      <c r="MB73" s="8">
        <f>IF($MB$48&gt;0,$MB$69*$MB$25,"n/a (no beds)")</f>
        <v>54922.538779778624</v>
      </c>
      <c r="NB73" s="8">
        <f>IF($NB$48&gt;0,$NB$69*$NB$25,"n/a (no beds)")</f>
        <v>37367.15924242764</v>
      </c>
      <c r="OB73" s="8">
        <f>IF($OB$48&gt;0,$OB$69*$OB$25,"n/a (no beds)")</f>
        <v>37367.15924242764</v>
      </c>
    </row>
    <row r="74">
      <c r="A74" t="inlineStr">
        <is>
          <t>OP_FAIL_YEAR_IDX</t>
        </is>
      </c>
      <c r="B74">
        <f>IF(MIN(X488:X530)=9999,"none",MIN(X488:X530))</f>
        <v>2027</v>
      </c>
      <c r="AB74">
        <f>IF(MIN(AX488:AX530)=9999,"none",MIN(AX488:AX530))</f>
        <v>2027</v>
      </c>
      <c r="BB74">
        <f>IF(MIN(BX488:BX530)=9999,"none",MIN(BX488:BX530))</f>
        <v>2027</v>
      </c>
      <c r="CB74">
        <f>IF(MIN(CX488:CX530)=9999,"none",MIN(CX488:CX530))</f>
        <v>2027</v>
      </c>
      <c r="DB74">
        <f>IF(MIN(DX488:DX530)=9999,"none",MIN(DX488:DX530))</f>
        <v>2027</v>
      </c>
      <c r="EB74">
        <f>IF(MIN(EX488:EX530)=9999,"none",MIN(EX488:EX530))</f>
        <v>2027</v>
      </c>
      <c r="FB74">
        <f>IF(MIN(FX488:FX530)=9999,"none",MIN(FX488:FX530))</f>
        <v>2027</v>
      </c>
      <c r="GB74">
        <f>IF(MIN(GX488:GX530)=9999,"none",MIN(GX488:GX530))</f>
        <v>2027</v>
      </c>
      <c r="HB74">
        <f>IF(MIN(HX488:HX530)=9999,"none",MIN(HX488:HX530))</f>
        <v>2027</v>
      </c>
      <c r="IB74">
        <f>IF(MIN(IX488:IX530)=9999,"none",MIN(IX488:IX530))</f>
        <v>2027</v>
      </c>
      <c r="JB74">
        <f>IF(MIN(JX488:JX530)=9999,"none",MIN(JX488:JX530))</f>
        <v>2027</v>
      </c>
      <c r="KB74">
        <f>IF(MIN(KX488:KX530)=9999,"none",MIN(KX488:KX530))</f>
        <v>2027</v>
      </c>
      <c r="LB74">
        <f>IF(MIN(LX488:LX530)=9999,"none",MIN(LX488:LX530))</f>
        <v>2027</v>
      </c>
      <c r="MB74">
        <f>IF(MIN(MX488:MX530)=9999,"none",MIN(MX488:MX530))</f>
        <v>2027</v>
      </c>
      <c r="NB74">
        <f>IF(MIN(NX488:NX530)=9999,"none",MIN(NX488:NX530))</f>
        <v>2027</v>
      </c>
      <c r="OB74">
        <f>IF(MIN(OX488:OX530)=9999,"none",MIN(OX488:OX530))</f>
        <v>2027</v>
      </c>
    </row>
    <row r="75">
      <c r="A75" t="inlineStr">
        <is>
          <t>OP_FAIL_YEAR_HIX</t>
        </is>
      </c>
      <c r="B75">
        <f>IF(MIN(Y488:Y530)=9999,"none",MIN(Y488:Y530))</f>
        <v>2027</v>
      </c>
      <c r="AB75">
        <f>IF(MIN(AY488:AY530)=9999,"none",MIN(AY488:AY530))</f>
        <v>2027</v>
      </c>
      <c r="BB75">
        <f>IF(MIN(BY488:BY530)=9999,"none",MIN(BY488:BY530))</f>
        <v>2027</v>
      </c>
      <c r="CB75">
        <f>IF(MIN(CY488:CY530)=9999,"none",MIN(CY488:CY530))</f>
        <v>2027</v>
      </c>
      <c r="DB75">
        <f>IF(MIN(DY488:DY530)=9999,"none",MIN(DY488:DY530))</f>
        <v>2027</v>
      </c>
      <c r="EB75">
        <f>IF(MIN(EY488:EY530)=9999,"none",MIN(EY488:EY530))</f>
        <v>2027</v>
      </c>
      <c r="FB75">
        <f>IF(MIN(FY488:FY530)=9999,"none",MIN(FY488:FY530))</f>
        <v>2027</v>
      </c>
      <c r="GB75">
        <f>IF(MIN(GY488:GY530)=9999,"none",MIN(GY488:GY530))</f>
        <v>2027</v>
      </c>
      <c r="HB75">
        <f>IF(MIN(HY488:HY530)=9999,"none",MIN(HY488:HY530))</f>
        <v>2027</v>
      </c>
      <c r="IB75">
        <f>IF(MIN(IY488:IY530)=9999,"none",MIN(IY488:IY530))</f>
        <v>2027</v>
      </c>
      <c r="JB75">
        <f>IF(MIN(JY488:JY530)=9999,"none",MIN(JY488:JY530))</f>
        <v>2027</v>
      </c>
      <c r="KB75">
        <f>IF(MIN(KY488:KY530)=9999,"none",MIN(KY488:KY530))</f>
        <v>2027</v>
      </c>
      <c r="LB75">
        <f>IF(MIN(LY488:LY530)=9999,"none",MIN(LY488:LY530))</f>
        <v>2027</v>
      </c>
      <c r="MB75">
        <f>IF(MIN(MY488:MY530)=9999,"none",MIN(MY488:MY530))</f>
        <v>2027</v>
      </c>
      <c r="NB75">
        <f>IF(MIN(NY488:NY530)=9999,"none",MIN(NY488:NY530))</f>
        <v>2027</v>
      </c>
      <c r="OB75">
        <f>IF(MIN(OY488:OY530)=9999,"none",MIN(OY488:OY530))</f>
        <v>2027</v>
      </c>
    </row>
    <row r="76">
      <c r="A76" t="inlineStr">
        <is>
          <t>OP_FAIL_YEAR_REB</t>
        </is>
      </c>
      <c r="B76">
        <f>IF(MIN(Z488:Z530)=9999,"none",MIN(Z488:Z530))</f>
        <v>2029</v>
      </c>
      <c r="AB76">
        <f>IF(MIN(AZ488:AZ530)=9999,"none",MIN(AZ488:AZ530))</f>
        <v>2029</v>
      </c>
      <c r="BB76">
        <f>IF(MIN(BZ488:BZ530)=9999,"none",MIN(BZ488:BZ530))</f>
        <v>2029</v>
      </c>
      <c r="CB76">
        <f>IF(MIN(CZ488:CZ530)=9999,"none",MIN(CZ488:CZ530))</f>
        <v>2029</v>
      </c>
      <c r="DB76">
        <f>IF(MIN(DZ488:DZ530)=9999,"none",MIN(DZ488:DZ530))</f>
        <v>2029</v>
      </c>
      <c r="EB76">
        <f>IF(MIN(EZ488:EZ530)=9999,"none",MIN(EZ488:EZ530))</f>
        <v>2029</v>
      </c>
      <c r="FB76">
        <f>IF(MIN(FZ488:FZ530)=9999,"none",MIN(FZ488:FZ530))</f>
        <v>2027</v>
      </c>
      <c r="GB76">
        <f>IF(MIN(GZ488:GZ530)=9999,"none",MIN(GZ488:GZ530))</f>
        <v>2029</v>
      </c>
      <c r="HB76">
        <f>IF(MIN(HZ488:HZ530)=9999,"none",MIN(HZ488:HZ530))</f>
        <v>2029</v>
      </c>
      <c r="IB76">
        <f>IF(MIN(IZ488:IZ530)=9999,"none",MIN(IZ488:IZ530))</f>
        <v>2029</v>
      </c>
      <c r="JB76">
        <f>IF(MIN(JZ488:JZ530)=9999,"none",MIN(JZ488:JZ530))</f>
        <v>2029</v>
      </c>
      <c r="KB76">
        <f>IF(MIN(KZ488:KZ530)=9999,"none",MIN(KZ488:KZ530))</f>
        <v>2029</v>
      </c>
      <c r="LB76">
        <f>IF(MIN(LZ488:LZ530)=9999,"none",MIN(LZ488:LZ530))</f>
        <v>2029</v>
      </c>
      <c r="MB76">
        <f>IF(MIN(MZ488:MZ530)=9999,"none",MIN(MZ488:MZ530))</f>
        <v>2029</v>
      </c>
      <c r="NB76">
        <f>IF(MIN(NZ488:NZ530)=9999,"none",MIN(NZ488:NZ530))</f>
        <v>2029</v>
      </c>
      <c r="OB76">
        <f>IF(MIN(OZ488:OZ530)=9999,"none",MIN(OZ488:OZ530))</f>
        <v>2029</v>
      </c>
    </row>
    <row r="77">
      <c r="A77" t="inlineStr">
        <is>
          <t>SHORTFALL_2034</t>
        </is>
      </c>
      <c r="B77" s="15">
        <f>INDEX(Q488:Q530,MATCH(2034,B488:B530,0))</f>
        <v>0.10114015456880243</v>
      </c>
      <c r="AB77" s="15">
        <f>INDEX(AQ488:AQ530,MATCH(2034,AB488:AB530,0))</f>
        <v>0.10114015456880243</v>
      </c>
      <c r="BB77" s="15">
        <f>INDEX(BQ488:BQ530,MATCH(2034,BB488:BB530,0))</f>
        <v>0.10114015456880243</v>
      </c>
      <c r="CB77" s="15">
        <f>INDEX(CQ488:CQ530,MATCH(2034,CB488:CB530,0))</f>
        <v>0.10114015456880243</v>
      </c>
      <c r="DB77" s="15">
        <f>INDEX(DQ488:DQ530,MATCH(2034,DB488:DB530,0))</f>
        <v>0.10114015456880243</v>
      </c>
      <c r="EB77" s="15">
        <f>INDEX(EQ488:EQ530,MATCH(2034,EB488:EB530,0))</f>
        <v>0.10114015456880243</v>
      </c>
      <c r="FB77" s="15">
        <f>INDEX(FQ488:FQ530,MATCH(2034,FB488:FB530,0))</f>
        <v>0.10114015456880243</v>
      </c>
      <c r="GB77" s="15">
        <f>INDEX(GQ488:GQ530,MATCH(2034,GB488:GB530,0))</f>
        <v>0.10114015456880243</v>
      </c>
      <c r="HB77" s="15">
        <f>INDEX(HQ488:HQ530,MATCH(2034,HB488:HB530,0))</f>
        <v>0.10114015456880243</v>
      </c>
      <c r="IB77" s="15">
        <f>INDEX(IQ488:IQ530,MATCH(2034,IB488:IB530,0))</f>
        <v>0.10114015456880243</v>
      </c>
      <c r="JB77" s="15">
        <f>INDEX(JQ488:JQ530,MATCH(2034,JB488:JB530,0))</f>
        <v>0.1192547654581787</v>
      </c>
      <c r="KB77" s="15">
        <f>INDEX(KQ488:KQ530,MATCH(2034,KB488:KB530,0))</f>
        <v>0.10114015456880243</v>
      </c>
      <c r="LB77" s="15">
        <f>INDEX(LQ488:LQ530,MATCH(2034,LB488:LB530,0))</f>
        <v>0.10114015456880243</v>
      </c>
      <c r="MB77" s="15">
        <f>INDEX(MQ488:MQ530,MATCH(2034,MB488:MB530,0))</f>
        <v>0.10114015456880243</v>
      </c>
      <c r="NB77" s="15">
        <f>INDEX(NQ488:NQ530,MATCH(2034,NB488:NB530,0))</f>
        <v>0.10114015456880243</v>
      </c>
      <c r="OB77" s="15">
        <f>INDEX(OQ488:OQ530,MATCH(2034,OB488:OB530,0))</f>
        <v>0.10114015456880243</v>
      </c>
    </row>
    <row r="78">
      <c r="A78" t="inlineStr">
        <is>
          <t>BAND_PASS</t>
        </is>
      </c>
      <c r="B78" t="str">
        <f>IF(AND($B$45&gt;=BAND_LO,$B$45&lt;=BAND_HI),"PASS","FAIL")</f>
        <v>PASS</v>
      </c>
      <c r="AB78" t="str">
        <f>IF(AND($AB$45&gt;=BAND_LO,$AB$45&lt;=BAND_HI),"PASS","FAIL")</f>
        <v>FAIL</v>
      </c>
      <c r="BB78" t="str">
        <f>IF(AND($BB$45&gt;=BAND_LO,$BB$45&lt;=BAND_HI),"PASS","FAIL")</f>
        <v>PASS</v>
      </c>
      <c r="CB78" t="str">
        <f>IF(AND($CB$45&gt;=BAND_LO,$CB$45&lt;=BAND_HI),"PASS","FAIL")</f>
        <v>PASS</v>
      </c>
      <c r="DB78" t="str">
        <f>IF(AND($DB$45&gt;=BAND_LO,$DB$45&lt;=BAND_HI),"PASS","FAIL")</f>
        <v>PASS</v>
      </c>
      <c r="EB78" t="str">
        <f>IF(AND($EB$45&gt;=BAND_LO,$EB$45&lt;=BAND_HI),"PASS","FAIL")</f>
        <v>PASS</v>
      </c>
      <c r="FB78" t="str">
        <f>IF(AND($FB$45&gt;=BAND_LO,$FB$45&lt;=BAND_HI),"PASS","FAIL")</f>
        <v>PASS</v>
      </c>
      <c r="GB78" t="str">
        <f>IF(AND($GB$45&gt;=BAND_LO,$GB$45&lt;=BAND_HI),"PASS","FAIL")</f>
        <v>PASS</v>
      </c>
      <c r="HB78" t="str">
        <f>IF(AND($HB$45&gt;=BAND_LO,$HB$45&lt;=BAND_HI),"PASS","FAIL")</f>
        <v>PASS</v>
      </c>
      <c r="IB78" t="str">
        <f>IF(AND($IB$45&gt;=BAND_LO,$IB$45&lt;=BAND_HI),"PASS","FAIL")</f>
        <v>PASS</v>
      </c>
      <c r="JB78" t="str">
        <f>IF(AND($JB$45&gt;=BAND_LO,$JB$45&lt;=BAND_HI),"PASS","FAIL")</f>
        <v>PASS</v>
      </c>
      <c r="KB78" t="str">
        <f>IF(AND($KB$45&gt;=BAND_LO,$KB$45&lt;=BAND_HI),"PASS","FAIL")</f>
        <v>FAIL</v>
      </c>
      <c r="LB78" t="str">
        <f>IF(AND($LB$45&gt;=BAND_LO,$LB$45&lt;=BAND_HI),"PASS","FAIL")</f>
        <v>FAIL</v>
      </c>
      <c r="MB78" t="str">
        <f>IF(AND($MB$45&gt;=BAND_LO,$MB$45&lt;=BAND_HI),"PASS","FAIL")</f>
        <v>PASS</v>
      </c>
      <c r="NB78" t="str">
        <f>IF(AND($NB$45&gt;=BAND_LO,$NB$45&lt;=BAND_HI),"PASS","FAIL")</f>
        <v>PASS</v>
      </c>
      <c r="OB78" t="str">
        <f>IF(AND($OB$45&gt;=BAND_LO,$OB$45&lt;=BAND_HI),"PASS","FAIL")</f>
        <v>PASS</v>
      </c>
    </row>
    <row r="79">
      <c r="A79" t="inlineStr">
        <is>
          <t>FIRST_BEDS_IN_RANGE</t>
        </is>
      </c>
      <c r="B79" t="str">
        <f>IF(AND($B$39&gt;=RANGE_LO,$B$39&lt;=RANGE_HI),"PASS","FAIL")</f>
        <v>PASS</v>
      </c>
      <c r="AB79" t="str">
        <f>IF(AND($AB$39&gt;=RANGE_LO,$AB$39&lt;=RANGE_HI),"PASS","FAIL")</f>
        <v>PASS</v>
      </c>
      <c r="BB79" t="str">
        <f>IF(AND($BB$39&gt;=RANGE_LO,$BB$39&lt;=RANGE_HI),"PASS","FAIL")</f>
        <v>PASS</v>
      </c>
      <c r="CB79" t="str">
        <f>IF(AND($CB$39&gt;=RANGE_LO,$CB$39&lt;=RANGE_HI),"PASS","FAIL")</f>
        <v>PASS</v>
      </c>
      <c r="DB79" t="str">
        <f>IF(AND($DB$39&gt;=RANGE_LO,$DB$39&lt;=RANGE_HI),"PASS","FAIL")</f>
        <v>PASS</v>
      </c>
      <c r="EB79" t="str">
        <f>IF(AND($EB$39&gt;=RANGE_LO,$EB$39&lt;=RANGE_HI),"PASS","FAIL")</f>
        <v>PASS</v>
      </c>
      <c r="FB79" t="str">
        <f>IF(AND($FB$39&gt;=RANGE_LO,$FB$39&lt;=RANGE_HI),"PASS","FAIL")</f>
        <v>PASS</v>
      </c>
      <c r="GB79" t="str">
        <f>IF(AND($GB$39&gt;=RANGE_LO,$GB$39&lt;=RANGE_HI),"PASS","FAIL")</f>
        <v>PASS</v>
      </c>
      <c r="HB79" t="str">
        <f>IF(AND($HB$39&gt;=RANGE_LO,$HB$39&lt;=RANGE_HI),"PASS","FAIL")</f>
        <v>PASS</v>
      </c>
      <c r="IB79" t="str">
        <f>IF(AND($IB$39&gt;=RANGE_LO,$IB$39&lt;=RANGE_HI),"PASS","FAIL")</f>
        <v>PASS</v>
      </c>
      <c r="JB79" t="str">
        <f>IF(AND($JB$39&gt;=RANGE_LO,$JB$39&lt;=RANGE_HI),"PASS","FAIL")</f>
        <v>PASS</v>
      </c>
      <c r="KB79" t="str">
        <f>IF(AND($KB$39&gt;=RANGE_LO,$KB$39&lt;=RANGE_HI),"PASS","FAIL")</f>
        <v>PASS</v>
      </c>
      <c r="LB79" t="str">
        <f>IF(AND($LB$39&gt;=RANGE_LO,$LB$39&lt;=RANGE_HI),"PASS","FAIL")</f>
        <v>FAIL</v>
      </c>
      <c r="MB79" t="str">
        <f>IF(AND($MB$39&gt;=RANGE_LO,$MB$39&lt;=RANGE_HI),"PASS","FAIL")</f>
        <v>PASS</v>
      </c>
      <c r="NB79" t="str">
        <f>IF(AND($NB$39&gt;=RANGE_LO,$NB$39&lt;=RANGE_HI),"PASS","FAIL")</f>
        <v>PASS</v>
      </c>
      <c r="OB79" t="str">
        <f>IF(AND($OB$39&gt;=RANGE_LO,$OB$39&lt;=RANGE_HI),"PASS","FAIL")</f>
        <v>PASS</v>
      </c>
    </row>
    <row r="81">
      <c r="A81" s="3" t="inlineStr">
        <is>
          <t>Bed schedule for each run (b = 0 .. B_MAX)</t>
        </is>
      </c>
    </row>
    <row r="82">
      <c r="A82" s="3" t="inlineStr">
        <is>
          <t>b</t>
        </is>
      </c>
      <c r="B82" s="3" t="inlineStr">
        <is>
          <t>Rung</t>
        </is>
      </c>
      <c r="C82" s="3" t="inlineStr">
        <is>
          <t>IN_POOL</t>
        </is>
      </c>
      <c r="D82" s="3" t="inlineStr">
        <is>
          <t>FREED_B</t>
        </is>
      </c>
      <c r="E82" s="3" t="inlineStr">
        <is>
          <t>MS</t>
        </is>
      </c>
      <c r="F82" s="3" t="inlineStr">
        <is>
          <t>MC</t>
        </is>
      </c>
      <c r="G82" s="3" t="inlineStr">
        <is>
          <t>MS - MC</t>
        </is>
      </c>
      <c r="H82" s="3" t="inlineStr">
        <is>
          <t>NET</t>
        </is>
      </c>
      <c r="I82" s="3" t="inlineStr">
        <is>
          <t>b if NET at max</t>
        </is>
      </c>
      <c r="J82" s="3" t="inlineStr">
        <is>
          <t>b if MS &lt; MC</t>
        </is>
      </c>
      <c r="K82" s="3" t="inlineStr">
        <is>
          <t>GRANT of bed</t>
        </is>
      </c>
      <c r="L82" s="3" t="inlineStr">
        <is>
          <t>MCD_NET_B</t>
        </is>
      </c>
      <c r="M82" s="3" t="inlineStr">
        <is>
          <t>Counted</t>
        </is>
      </c>
      <c r="AB82" s="3" t="inlineStr">
        <is>
          <t>Rung</t>
        </is>
      </c>
      <c r="AC82" s="3" t="inlineStr">
        <is>
          <t>IN_POOL</t>
        </is>
      </c>
      <c r="AD82" s="3" t="inlineStr">
        <is>
          <t>FREED_B</t>
        </is>
      </c>
      <c r="AE82" s="3" t="inlineStr">
        <is>
          <t>MS</t>
        </is>
      </c>
      <c r="AF82" s="3" t="inlineStr">
        <is>
          <t>MC</t>
        </is>
      </c>
      <c r="AG82" s="3" t="inlineStr">
        <is>
          <t>MS - MC</t>
        </is>
      </c>
      <c r="AH82" s="3" t="inlineStr">
        <is>
          <t>NET</t>
        </is>
      </c>
      <c r="AI82" s="3" t="inlineStr">
        <is>
          <t>b if NET at max</t>
        </is>
      </c>
      <c r="AJ82" s="3" t="inlineStr">
        <is>
          <t>b if MS &lt; MC</t>
        </is>
      </c>
      <c r="AK82" s="3" t="inlineStr">
        <is>
          <t>GRANT of bed</t>
        </is>
      </c>
      <c r="AL82" s="3" t="inlineStr">
        <is>
          <t>MCD_NET_B</t>
        </is>
      </c>
      <c r="AM82" s="3" t="inlineStr">
        <is>
          <t>Counted</t>
        </is>
      </c>
      <c r="BB82" s="3" t="inlineStr">
        <is>
          <t>Rung</t>
        </is>
      </c>
      <c r="BC82" s="3" t="inlineStr">
        <is>
          <t>IN_POOL</t>
        </is>
      </c>
      <c r="BD82" s="3" t="inlineStr">
        <is>
          <t>FREED_B</t>
        </is>
      </c>
      <c r="BE82" s="3" t="inlineStr">
        <is>
          <t>MS</t>
        </is>
      </c>
      <c r="BF82" s="3" t="inlineStr">
        <is>
          <t>MC</t>
        </is>
      </c>
      <c r="BG82" s="3" t="inlineStr">
        <is>
          <t>MS - MC</t>
        </is>
      </c>
      <c r="BH82" s="3" t="inlineStr">
        <is>
          <t>NET</t>
        </is>
      </c>
      <c r="BI82" s="3" t="inlineStr">
        <is>
          <t>b if NET at max</t>
        </is>
      </c>
      <c r="BJ82" s="3" t="inlineStr">
        <is>
          <t>b if MS &lt; MC</t>
        </is>
      </c>
      <c r="BK82" s="3" t="inlineStr">
        <is>
          <t>GRANT of bed</t>
        </is>
      </c>
      <c r="BL82" s="3" t="inlineStr">
        <is>
          <t>MCD_NET_B</t>
        </is>
      </c>
      <c r="BM82" s="3" t="inlineStr">
        <is>
          <t>Counted</t>
        </is>
      </c>
      <c r="CB82" s="3" t="inlineStr">
        <is>
          <t>Rung</t>
        </is>
      </c>
      <c r="CC82" s="3" t="inlineStr">
        <is>
          <t>IN_POOL</t>
        </is>
      </c>
      <c r="CD82" s="3" t="inlineStr">
        <is>
          <t>FREED_B</t>
        </is>
      </c>
      <c r="CE82" s="3" t="inlineStr">
        <is>
          <t>MS</t>
        </is>
      </c>
      <c r="CF82" s="3" t="inlineStr">
        <is>
          <t>MC</t>
        </is>
      </c>
      <c r="CG82" s="3" t="inlineStr">
        <is>
          <t>MS - MC</t>
        </is>
      </c>
      <c r="CH82" s="3" t="inlineStr">
        <is>
          <t>NET</t>
        </is>
      </c>
      <c r="CI82" s="3" t="inlineStr">
        <is>
          <t>b if NET at max</t>
        </is>
      </c>
      <c r="CJ82" s="3" t="inlineStr">
        <is>
          <t>b if MS &lt; MC</t>
        </is>
      </c>
      <c r="CK82" s="3" t="inlineStr">
        <is>
          <t>GRANT of bed</t>
        </is>
      </c>
      <c r="CL82" s="3" t="inlineStr">
        <is>
          <t>MCD_NET_B</t>
        </is>
      </c>
      <c r="CM82" s="3" t="inlineStr">
        <is>
          <t>Counted</t>
        </is>
      </c>
      <c r="DB82" s="3" t="inlineStr">
        <is>
          <t>Rung</t>
        </is>
      </c>
      <c r="DC82" s="3" t="inlineStr">
        <is>
          <t>IN_POOL</t>
        </is>
      </c>
      <c r="DD82" s="3" t="inlineStr">
        <is>
          <t>FREED_B</t>
        </is>
      </c>
      <c r="DE82" s="3" t="inlineStr">
        <is>
          <t>MS</t>
        </is>
      </c>
      <c r="DF82" s="3" t="inlineStr">
        <is>
          <t>MC</t>
        </is>
      </c>
      <c r="DG82" s="3" t="inlineStr">
        <is>
          <t>MS - MC</t>
        </is>
      </c>
      <c r="DH82" s="3" t="inlineStr">
        <is>
          <t>NET</t>
        </is>
      </c>
      <c r="DI82" s="3" t="inlineStr">
        <is>
          <t>b if NET at max</t>
        </is>
      </c>
      <c r="DJ82" s="3" t="inlineStr">
        <is>
          <t>b if MS &lt; MC</t>
        </is>
      </c>
      <c r="DK82" s="3" t="inlineStr">
        <is>
          <t>GRANT of bed</t>
        </is>
      </c>
      <c r="DL82" s="3" t="inlineStr">
        <is>
          <t>MCD_NET_B</t>
        </is>
      </c>
      <c r="DM82" s="3" t="inlineStr">
        <is>
          <t>Counted</t>
        </is>
      </c>
      <c r="EB82" s="3" t="inlineStr">
        <is>
          <t>Rung</t>
        </is>
      </c>
      <c r="EC82" s="3" t="inlineStr">
        <is>
          <t>IN_POOL</t>
        </is>
      </c>
      <c r="ED82" s="3" t="inlineStr">
        <is>
          <t>FREED_B</t>
        </is>
      </c>
      <c r="EE82" s="3" t="inlineStr">
        <is>
          <t>MS</t>
        </is>
      </c>
      <c r="EF82" s="3" t="inlineStr">
        <is>
          <t>MC</t>
        </is>
      </c>
      <c r="EG82" s="3" t="inlineStr">
        <is>
          <t>MS - MC</t>
        </is>
      </c>
      <c r="EH82" s="3" t="inlineStr">
        <is>
          <t>NET</t>
        </is>
      </c>
      <c r="EI82" s="3" t="inlineStr">
        <is>
          <t>b if NET at max</t>
        </is>
      </c>
      <c r="EJ82" s="3" t="inlineStr">
        <is>
          <t>b if MS &lt; MC</t>
        </is>
      </c>
      <c r="EK82" s="3" t="inlineStr">
        <is>
          <t>GRANT of bed</t>
        </is>
      </c>
      <c r="EL82" s="3" t="inlineStr">
        <is>
          <t>MCD_NET_B</t>
        </is>
      </c>
      <c r="EM82" s="3" t="inlineStr">
        <is>
          <t>Counted</t>
        </is>
      </c>
      <c r="FB82" s="3" t="inlineStr">
        <is>
          <t>Rung</t>
        </is>
      </c>
      <c r="FC82" s="3" t="inlineStr">
        <is>
          <t>IN_POOL</t>
        </is>
      </c>
      <c r="FD82" s="3" t="inlineStr">
        <is>
          <t>FREED_B</t>
        </is>
      </c>
      <c r="FE82" s="3" t="inlineStr">
        <is>
          <t>MS</t>
        </is>
      </c>
      <c r="FF82" s="3" t="inlineStr">
        <is>
          <t>MC</t>
        </is>
      </c>
      <c r="FG82" s="3" t="inlineStr">
        <is>
          <t>MS - MC</t>
        </is>
      </c>
      <c r="FH82" s="3" t="inlineStr">
        <is>
          <t>NET</t>
        </is>
      </c>
      <c r="FI82" s="3" t="inlineStr">
        <is>
          <t>b if NET at max</t>
        </is>
      </c>
      <c r="FJ82" s="3" t="inlineStr">
        <is>
          <t>b if MS &lt; MC</t>
        </is>
      </c>
      <c r="FK82" s="3" t="inlineStr">
        <is>
          <t>GRANT of bed</t>
        </is>
      </c>
      <c r="FL82" s="3" t="inlineStr">
        <is>
          <t>MCD_NET_B</t>
        </is>
      </c>
      <c r="FM82" s="3" t="inlineStr">
        <is>
          <t>Counted</t>
        </is>
      </c>
      <c r="GB82" s="3" t="inlineStr">
        <is>
          <t>Rung</t>
        </is>
      </c>
      <c r="GC82" s="3" t="inlineStr">
        <is>
          <t>IN_POOL</t>
        </is>
      </c>
      <c r="GD82" s="3" t="inlineStr">
        <is>
          <t>FREED_B</t>
        </is>
      </c>
      <c r="GE82" s="3" t="inlineStr">
        <is>
          <t>MS</t>
        </is>
      </c>
      <c r="GF82" s="3" t="inlineStr">
        <is>
          <t>MC</t>
        </is>
      </c>
      <c r="GG82" s="3" t="inlineStr">
        <is>
          <t>MS - MC</t>
        </is>
      </c>
      <c r="GH82" s="3" t="inlineStr">
        <is>
          <t>NET</t>
        </is>
      </c>
      <c r="GI82" s="3" t="inlineStr">
        <is>
          <t>b if NET at max</t>
        </is>
      </c>
      <c r="GJ82" s="3" t="inlineStr">
        <is>
          <t>b if MS &lt; MC</t>
        </is>
      </c>
      <c r="GK82" s="3" t="inlineStr">
        <is>
          <t>GRANT of bed</t>
        </is>
      </c>
      <c r="GL82" s="3" t="inlineStr">
        <is>
          <t>MCD_NET_B</t>
        </is>
      </c>
      <c r="GM82" s="3" t="inlineStr">
        <is>
          <t>Counted</t>
        </is>
      </c>
      <c r="HB82" s="3" t="inlineStr">
        <is>
          <t>Rung</t>
        </is>
      </c>
      <c r="HC82" s="3" t="inlineStr">
        <is>
          <t>IN_POOL</t>
        </is>
      </c>
      <c r="HD82" s="3" t="inlineStr">
        <is>
          <t>FREED_B</t>
        </is>
      </c>
      <c r="HE82" s="3" t="inlineStr">
        <is>
          <t>MS</t>
        </is>
      </c>
      <c r="HF82" s="3" t="inlineStr">
        <is>
          <t>MC</t>
        </is>
      </c>
      <c r="HG82" s="3" t="inlineStr">
        <is>
          <t>MS - MC</t>
        </is>
      </c>
      <c r="HH82" s="3" t="inlineStr">
        <is>
          <t>NET</t>
        </is>
      </c>
      <c r="HI82" s="3" t="inlineStr">
        <is>
          <t>b if NET at max</t>
        </is>
      </c>
      <c r="HJ82" s="3" t="inlineStr">
        <is>
          <t>b if MS &lt; MC</t>
        </is>
      </c>
      <c r="HK82" s="3" t="inlineStr">
        <is>
          <t>GRANT of bed</t>
        </is>
      </c>
      <c r="HL82" s="3" t="inlineStr">
        <is>
          <t>MCD_NET_B</t>
        </is>
      </c>
      <c r="HM82" s="3" t="inlineStr">
        <is>
          <t>Counted</t>
        </is>
      </c>
      <c r="IB82" s="3" t="inlineStr">
        <is>
          <t>Rung</t>
        </is>
      </c>
      <c r="IC82" s="3" t="inlineStr">
        <is>
          <t>IN_POOL</t>
        </is>
      </c>
      <c r="ID82" s="3" t="inlineStr">
        <is>
          <t>FREED_B</t>
        </is>
      </c>
      <c r="IE82" s="3" t="inlineStr">
        <is>
          <t>MS</t>
        </is>
      </c>
      <c r="IF82" s="3" t="inlineStr">
        <is>
          <t>MC</t>
        </is>
      </c>
      <c r="IG82" s="3" t="inlineStr">
        <is>
          <t>MS - MC</t>
        </is>
      </c>
      <c r="IH82" s="3" t="inlineStr">
        <is>
          <t>NET</t>
        </is>
      </c>
      <c r="II82" s="3" t="inlineStr">
        <is>
          <t>b if NET at max</t>
        </is>
      </c>
      <c r="IJ82" s="3" t="inlineStr">
        <is>
          <t>b if MS &lt; MC</t>
        </is>
      </c>
      <c r="IK82" s="3" t="inlineStr">
        <is>
          <t>GRANT of bed</t>
        </is>
      </c>
      <c r="IL82" s="3" t="inlineStr">
        <is>
          <t>MCD_NET_B</t>
        </is>
      </c>
      <c r="IM82" s="3" t="inlineStr">
        <is>
          <t>Counted</t>
        </is>
      </c>
      <c r="JB82" s="3" t="inlineStr">
        <is>
          <t>Rung</t>
        </is>
      </c>
      <c r="JC82" s="3" t="inlineStr">
        <is>
          <t>IN_POOL</t>
        </is>
      </c>
      <c r="JD82" s="3" t="inlineStr">
        <is>
          <t>FREED_B</t>
        </is>
      </c>
      <c r="JE82" s="3" t="inlineStr">
        <is>
          <t>MS</t>
        </is>
      </c>
      <c r="JF82" s="3" t="inlineStr">
        <is>
          <t>MC</t>
        </is>
      </c>
      <c r="JG82" s="3" t="inlineStr">
        <is>
          <t>MS - MC</t>
        </is>
      </c>
      <c r="JH82" s="3" t="inlineStr">
        <is>
          <t>NET</t>
        </is>
      </c>
      <c r="JI82" s="3" t="inlineStr">
        <is>
          <t>b if NET at max</t>
        </is>
      </c>
      <c r="JJ82" s="3" t="inlineStr">
        <is>
          <t>b if MS &lt; MC</t>
        </is>
      </c>
      <c r="JK82" s="3" t="inlineStr">
        <is>
          <t>GRANT of bed</t>
        </is>
      </c>
      <c r="JL82" s="3" t="inlineStr">
        <is>
          <t>MCD_NET_B</t>
        </is>
      </c>
      <c r="JM82" s="3" t="inlineStr">
        <is>
          <t>Counted</t>
        </is>
      </c>
      <c r="KB82" s="3" t="inlineStr">
        <is>
          <t>Rung</t>
        </is>
      </c>
      <c r="KC82" s="3" t="inlineStr">
        <is>
          <t>IN_POOL</t>
        </is>
      </c>
      <c r="KD82" s="3" t="inlineStr">
        <is>
          <t>FREED_B</t>
        </is>
      </c>
      <c r="KE82" s="3" t="inlineStr">
        <is>
          <t>MS</t>
        </is>
      </c>
      <c r="KF82" s="3" t="inlineStr">
        <is>
          <t>MC</t>
        </is>
      </c>
      <c r="KG82" s="3" t="inlineStr">
        <is>
          <t>MS - MC</t>
        </is>
      </c>
      <c r="KH82" s="3" t="inlineStr">
        <is>
          <t>NET</t>
        </is>
      </c>
      <c r="KI82" s="3" t="inlineStr">
        <is>
          <t>b if NET at max</t>
        </is>
      </c>
      <c r="KJ82" s="3" t="inlineStr">
        <is>
          <t>b if MS &lt; MC</t>
        </is>
      </c>
      <c r="KK82" s="3" t="inlineStr">
        <is>
          <t>GRANT of bed</t>
        </is>
      </c>
      <c r="KL82" s="3" t="inlineStr">
        <is>
          <t>MCD_NET_B</t>
        </is>
      </c>
      <c r="KM82" s="3" t="inlineStr">
        <is>
          <t>Counted</t>
        </is>
      </c>
      <c r="LB82" s="3" t="inlineStr">
        <is>
          <t>Rung</t>
        </is>
      </c>
      <c r="LC82" s="3" t="inlineStr">
        <is>
          <t>IN_POOL</t>
        </is>
      </c>
      <c r="LD82" s="3" t="inlineStr">
        <is>
          <t>FREED_B</t>
        </is>
      </c>
      <c r="LE82" s="3" t="inlineStr">
        <is>
          <t>MS</t>
        </is>
      </c>
      <c r="LF82" s="3" t="inlineStr">
        <is>
          <t>MC</t>
        </is>
      </c>
      <c r="LG82" s="3" t="inlineStr">
        <is>
          <t>MS - MC</t>
        </is>
      </c>
      <c r="LH82" s="3" t="inlineStr">
        <is>
          <t>NET</t>
        </is>
      </c>
      <c r="LI82" s="3" t="inlineStr">
        <is>
          <t>b if NET at max</t>
        </is>
      </c>
      <c r="LJ82" s="3" t="inlineStr">
        <is>
          <t>b if MS &lt; MC</t>
        </is>
      </c>
      <c r="LK82" s="3" t="inlineStr">
        <is>
          <t>GRANT of bed</t>
        </is>
      </c>
      <c r="LL82" s="3" t="inlineStr">
        <is>
          <t>MCD_NET_B</t>
        </is>
      </c>
      <c r="LM82" s="3" t="inlineStr">
        <is>
          <t>Counted</t>
        </is>
      </c>
      <c r="MB82" s="3" t="inlineStr">
        <is>
          <t>Rung</t>
        </is>
      </c>
      <c r="MC82" s="3" t="inlineStr">
        <is>
          <t>IN_POOL</t>
        </is>
      </c>
      <c r="MD82" s="3" t="inlineStr">
        <is>
          <t>FREED_B</t>
        </is>
      </c>
      <c r="ME82" s="3" t="inlineStr">
        <is>
          <t>MS</t>
        </is>
      </c>
      <c r="MF82" s="3" t="inlineStr">
        <is>
          <t>MC</t>
        </is>
      </c>
      <c r="MG82" s="3" t="inlineStr">
        <is>
          <t>MS - MC</t>
        </is>
      </c>
      <c r="MH82" s="3" t="inlineStr">
        <is>
          <t>NET</t>
        </is>
      </c>
      <c r="MI82" s="3" t="inlineStr">
        <is>
          <t>b if NET at max</t>
        </is>
      </c>
      <c r="MJ82" s="3" t="inlineStr">
        <is>
          <t>b if MS &lt; MC</t>
        </is>
      </c>
      <c r="MK82" s="3" t="inlineStr">
        <is>
          <t>GRANT of bed</t>
        </is>
      </c>
      <c r="ML82" s="3" t="inlineStr">
        <is>
          <t>MCD_NET_B</t>
        </is>
      </c>
      <c r="MM82" s="3" t="inlineStr">
        <is>
          <t>Counted</t>
        </is>
      </c>
      <c r="NB82" s="3" t="inlineStr">
        <is>
          <t>Rung</t>
        </is>
      </c>
      <c r="NC82" s="3" t="inlineStr">
        <is>
          <t>IN_POOL</t>
        </is>
      </c>
      <c r="ND82" s="3" t="inlineStr">
        <is>
          <t>FREED_B</t>
        </is>
      </c>
      <c r="NE82" s="3" t="inlineStr">
        <is>
          <t>MS</t>
        </is>
      </c>
      <c r="NF82" s="3" t="inlineStr">
        <is>
          <t>MC</t>
        </is>
      </c>
      <c r="NG82" s="3" t="inlineStr">
        <is>
          <t>MS - MC</t>
        </is>
      </c>
      <c r="NH82" s="3" t="inlineStr">
        <is>
          <t>NET</t>
        </is>
      </c>
      <c r="NI82" s="3" t="inlineStr">
        <is>
          <t>b if NET at max</t>
        </is>
      </c>
      <c r="NJ82" s="3" t="inlineStr">
        <is>
          <t>b if MS &lt; MC</t>
        </is>
      </c>
      <c r="NK82" s="3" t="inlineStr">
        <is>
          <t>GRANT of bed</t>
        </is>
      </c>
      <c r="NL82" s="3" t="inlineStr">
        <is>
          <t>MCD_NET_B</t>
        </is>
      </c>
      <c r="NM82" s="3" t="inlineStr">
        <is>
          <t>Counted</t>
        </is>
      </c>
      <c r="OB82" s="3" t="inlineStr">
        <is>
          <t>Rung</t>
        </is>
      </c>
      <c r="OC82" s="3" t="inlineStr">
        <is>
          <t>IN_POOL</t>
        </is>
      </c>
      <c r="OD82" s="3" t="inlineStr">
        <is>
          <t>FREED_B</t>
        </is>
      </c>
      <c r="OE82" s="3" t="inlineStr">
        <is>
          <t>MS</t>
        </is>
      </c>
      <c r="OF82" s="3" t="inlineStr">
        <is>
          <t>MC</t>
        </is>
      </c>
      <c r="OG82" s="3" t="inlineStr">
        <is>
          <t>MS - MC</t>
        </is>
      </c>
      <c r="OH82" s="3" t="inlineStr">
        <is>
          <t>NET</t>
        </is>
      </c>
      <c r="OI82" s="3" t="inlineStr">
        <is>
          <t>b if NET at max</t>
        </is>
      </c>
      <c r="OJ82" s="3" t="inlineStr">
        <is>
          <t>b if MS &lt; MC</t>
        </is>
      </c>
      <c r="OK82" s="3" t="inlineStr">
        <is>
          <t>GRANT of bed</t>
        </is>
      </c>
      <c r="OL82" s="3" t="inlineStr">
        <is>
          <t>MCD_NET_B</t>
        </is>
      </c>
      <c r="OM82" s="3" t="inlineStr">
        <is>
          <t>Counted</t>
        </is>
      </c>
    </row>
    <row r="83">
      <c r="A83" t="n">
        <v>0</v>
      </c>
      <c r="H83" t="n">
        <v>0</v>
      </c>
      <c r="I83">
        <f>IF(H83=MAX($H$83:$H$483),$A83,0)</f>
        <v>0</v>
      </c>
      <c r="AH83" t="n">
        <v>0</v>
      </c>
      <c r="AI83">
        <f>IF(AH83=MAX($AH$83:$AH$483),$A83,0)</f>
        <v>0</v>
      </c>
      <c r="BH83" t="n">
        <v>0</v>
      </c>
      <c r="BI83">
        <f>IF(BH83=MAX($BH$83:$BH$483),$A83,0)</f>
        <v>0</v>
      </c>
      <c r="CH83" t="n">
        <v>0</v>
      </c>
      <c r="CI83">
        <f>IF(CH83=MAX($CH$83:$CH$483),$A83,0)</f>
        <v>0</v>
      </c>
      <c r="DH83" t="n">
        <v>0</v>
      </c>
      <c r="DI83">
        <f>IF(DH83=MAX($DH$83:$DH$483),$A83,0)</f>
        <v>0</v>
      </c>
      <c r="EH83" t="n">
        <v>0</v>
      </c>
      <c r="EI83">
        <f>IF(EH83=MAX($EH$83:$EH$483),$A83,0)</f>
        <v>0</v>
      </c>
      <c r="FH83" t="n">
        <v>0</v>
      </c>
      <c r="FI83">
        <f>IF(FH83=MAX($FH$83:$FH$483),$A83,0)</f>
        <v>0</v>
      </c>
      <c r="GH83" t="n">
        <v>0</v>
      </c>
      <c r="GI83">
        <f>IF(GH83=MAX($GH$83:$GH$483),$A83,0)</f>
        <v>0</v>
      </c>
      <c r="HH83" t="n">
        <v>0</v>
      </c>
      <c r="HI83">
        <f>IF(HH83=MAX($HH$83:$HH$483),$A83,0)</f>
        <v>0</v>
      </c>
      <c r="IH83" t="n">
        <v>0</v>
      </c>
      <c r="II83">
        <f>IF(IH83=MAX($IH$83:$IH$483),$A83,0)</f>
        <v>0</v>
      </c>
      <c r="JH83" t="n">
        <v>0</v>
      </c>
      <c r="JI83">
        <f>IF(JH83=MAX($JH$83:$JH$483),$A83,0)</f>
        <v>0</v>
      </c>
      <c r="KH83" t="n">
        <v>0</v>
      </c>
      <c r="KI83">
        <f>IF(KH83=MAX($KH$83:$KH$483),$A83,0)</f>
        <v>0</v>
      </c>
      <c r="LH83" t="n">
        <v>0</v>
      </c>
      <c r="LI83">
        <f>IF(LH83=MAX($LH$83:$LH$483),$A83,0)</f>
        <v>0</v>
      </c>
      <c r="MH83" t="n">
        <v>0</v>
      </c>
      <c r="MI83">
        <f>IF(MH83=MAX($MH$83:$MH$483),$A83,0)</f>
        <v>0</v>
      </c>
      <c r="NH83" t="n">
        <v>0</v>
      </c>
      <c r="NI83">
        <f>IF(NH83=MAX($NH$83:$NH$483),$A83,0)</f>
        <v>0</v>
      </c>
      <c r="OH83" t="n">
        <v>0</v>
      </c>
      <c r="OI83">
        <f>IF(OH83=MAX($OH$83:$OH$483),$A83,0)</f>
        <v>0</v>
      </c>
    </row>
    <row r="84">
      <c r="A84" t="n">
        <v>1</v>
      </c>
      <c r="B84">
        <f>IF($B$31&lt;=$B$32,IF($A84&lt;=$B$7,1,2),IF($A84&lt;=RUNG_BEDS_2,2,1))</f>
        <v>1</v>
      </c>
      <c r="C84" s="5">
        <f>MIN(1,MAX(0,$B$26-($A84-1)))</f>
        <v>1</v>
      </c>
      <c r="D84" s="5">
        <f>$B$25*(C84+(1-C84)*$B$16)</f>
        <v>252.05322714681438</v>
      </c>
      <c r="E84" s="13">
        <f>D84*($B$6+ACUTE_MARGIN)</f>
        <v>254573.7594182825</v>
      </c>
      <c r="F84" s="13">
        <f>IF(B84=1,$B$31,$B$32)</f>
        <v>152394.16214437486</v>
      </c>
      <c r="G84" s="13">
        <f>E84-F84</f>
        <v>102179.59727390765</v>
      </c>
      <c r="H84" s="13">
        <f>H83+G84</f>
        <v>102179.59727390765</v>
      </c>
      <c r="I84">
        <f>IF(H84=MAX($H$83:$H$483),$A84,0)</f>
        <v>0</v>
      </c>
      <c r="J84">
        <f>IF(E84&lt;F84,$A84,B_MAX+1)</f>
        <v>401.0</v>
      </c>
      <c r="K84" s="13">
        <f>IF(B84=1,$B$35,$B$36)</f>
        <v>0</v>
      </c>
      <c r="L84" s="13">
        <f>OCC_DAYS*$B$41*R_NF_2023-D84*MCD_SHARE_FREED*R_WAIT_2023</f>
        <v>37367.159242427646</v>
      </c>
      <c r="M84">
        <f>IF($A84&lt;=$B$45,1,0)</f>
        <v>1</v>
      </c>
      <c r="AB84">
        <f>IF($AB$31&lt;=$AB$32,IF($A84&lt;=$AB$7,1,2),IF($A84&lt;=RUNG_BEDS_2,2,1))</f>
        <v>1</v>
      </c>
      <c r="AC84" s="5">
        <f>MIN(1,MAX(0,$AB$26-($A84-1)))</f>
        <v>1</v>
      </c>
      <c r="AD84" s="5">
        <f>$AB$25*(AC84+(1-AC84)*$AB$16)</f>
        <v>252.05322714681438</v>
      </c>
      <c r="AE84" s="13">
        <f>AD84*($AB$6+ACUTE_MARGIN)</f>
        <v>138629.2749307479</v>
      </c>
      <c r="AF84" s="13">
        <f>IF(AB84=1,$AB$31,$AB$32)</f>
        <v>152394.16214437486</v>
      </c>
      <c r="AG84" s="13">
        <f>AE84-AF84</f>
        <v>-13764.887213626964</v>
      </c>
      <c r="AH84" s="13">
        <f>AH83+AG84</f>
        <v>-13764.887213626964</v>
      </c>
      <c r="AI84">
        <f>IF(AH84=MAX($AH$83:$AH$483),$A84,0)</f>
        <v>0</v>
      </c>
      <c r="AJ84">
        <f>IF(AE84&lt;AF84,$A84,B_MAX+1)</f>
        <v>1</v>
      </c>
      <c r="AK84" s="13">
        <f>IF(AB84=1,$AB$35,$AB$36)</f>
        <v>0</v>
      </c>
      <c r="AL84" s="13">
        <f>OCC_DAYS*$AB$41*R_NF_2023-AD84*MCD_SHARE_FREED*R_WAIT_2023</f>
        <v>37367.159242427646</v>
      </c>
      <c r="AM84">
        <f>IF($A84&lt;=$AB$45,1,0)</f>
        <v>0</v>
      </c>
      <c r="BB84">
        <f>IF($BB$31&lt;=$BB$32,IF($A84&lt;=$BB$7,1,2),IF($A84&lt;=RUNG_BEDS_2,2,1))</f>
        <v>1</v>
      </c>
      <c r="BC84" s="5">
        <f>MIN(1,MAX(0,$BB$26-($A84-1)))</f>
        <v>1</v>
      </c>
      <c r="BD84" s="5">
        <f>$BB$25*(BC84+(1-BC84)*$BB$16)</f>
        <v>252.05322714681438</v>
      </c>
      <c r="BE84" s="13">
        <f>BD84*($BB$6+ACUTE_MARGIN)</f>
        <v>370518.24390581716</v>
      </c>
      <c r="BF84" s="13">
        <f>IF(BB84=1,$BB$31,$BB$32)</f>
        <v>152394.16214437486</v>
      </c>
      <c r="BG84" s="13">
        <f>BE84-BF84</f>
        <v>218124.0817614423</v>
      </c>
      <c r="BH84" s="13">
        <f>BH83+BG84</f>
        <v>218124.0817614423</v>
      </c>
      <c r="BI84">
        <f>IF(BH84=MAX($BH$83:$BH$483),$A84,0)</f>
        <v>0</v>
      </c>
      <c r="BJ84">
        <f>IF(BE84&lt;BF84,$A84,B_MAX+1)</f>
        <v>401.0</v>
      </c>
      <c r="BK84" s="13">
        <f>IF(BB84=1,$BB$35,$BB$36)</f>
        <v>0</v>
      </c>
      <c r="BL84" s="13">
        <f>OCC_DAYS*$BB$41*R_NF_2023-BD84*MCD_SHARE_FREED*R_WAIT_2023</f>
        <v>37367.159242427646</v>
      </c>
      <c r="BM84">
        <f>IF($A84&lt;=$BB$45,1,0)</f>
        <v>1</v>
      </c>
      <c r="CB84">
        <f>IF($CB$31&lt;=$CB$32,IF($A84&lt;=$CB$7,1,2),IF($A84&lt;=RUNG_BEDS_2,2,1))</f>
        <v>2</v>
      </c>
      <c r="CC84" s="5">
        <f>MIN(1,MAX(0,$CB$26-($A84-1)))</f>
        <v>1</v>
      </c>
      <c r="CD84" s="5">
        <f>$CB$25*(CC84+(1-CC84)*$CB$16)</f>
        <v>252.05322714681438</v>
      </c>
      <c r="CE84" s="13">
        <f>CD84*($CB$6+ACUTE_MARGIN)</f>
        <v>254573.7594182825</v>
      </c>
      <c r="CF84" s="13">
        <f>IF(CB84=1,$CB$31,$CB$32)</f>
        <v>160718.36940738867</v>
      </c>
      <c r="CG84" s="13">
        <f>CE84-CF84</f>
        <v>93855.39001089384</v>
      </c>
      <c r="CH84" s="13">
        <f>CH83+CG84</f>
        <v>93855.39001089384</v>
      </c>
      <c r="CI84">
        <f>IF(CH84=MAX($CH$83:$CH$483),$A84,0)</f>
        <v>0</v>
      </c>
      <c r="CJ84">
        <f>IF(CE84&lt;CF84,$A84,B_MAX+1)</f>
        <v>401.0</v>
      </c>
      <c r="CK84" s="13">
        <f>IF(CB84=1,$CB$35,$CB$36)</f>
        <v>1560.1194073886782</v>
      </c>
      <c r="CL84" s="13">
        <f>OCC_DAYS*$CB$41*R_NF_2023-CD84*MCD_SHARE_FREED*R_WAIT_2023</f>
        <v>37367.159242427646</v>
      </c>
      <c r="CM84">
        <f>IF($A84&lt;=$CB$45,1,0)</f>
        <v>1</v>
      </c>
      <c r="DB84">
        <f>IF($DB$31&lt;=$DB$32,IF($A84&lt;=$DB$7,1,2),IF($A84&lt;=RUNG_BEDS_2,2,1))</f>
        <v>1</v>
      </c>
      <c r="DC84" s="5">
        <f>MIN(1,MAX(0,$DB$26-($A84-1)))</f>
        <v>1</v>
      </c>
      <c r="DD84" s="5">
        <f>$DB$25*(DC84+(1-DC84)*$DB$16)</f>
        <v>252.05322714681438</v>
      </c>
      <c r="DE84" s="13">
        <f>DD84*($DB$6+ACUTE_MARGIN)</f>
        <v>254573.7594182825</v>
      </c>
      <c r="DF84" s="13">
        <f>IF(DB84=1,$DB$31,$DB$32)</f>
        <v>152394.16214437486</v>
      </c>
      <c r="DG84" s="13">
        <f>DE84-DF84</f>
        <v>102179.59727390765</v>
      </c>
      <c r="DH84" s="13">
        <f>DH83+DG84</f>
        <v>102179.59727390765</v>
      </c>
      <c r="DI84">
        <f>IF(DH84=MAX($DH$83:$DH$483),$A84,0)</f>
        <v>0</v>
      </c>
      <c r="DJ84">
        <f>IF(DE84&lt;DF84,$A84,B_MAX+1)</f>
        <v>401.0</v>
      </c>
      <c r="DK84" s="13">
        <f>IF(DB84=1,$DB$35,$DB$36)</f>
        <v>0</v>
      </c>
      <c r="DL84" s="13">
        <f>OCC_DAYS*$DB$41*R_NF_2023-DD84*MCD_SHARE_FREED*R_WAIT_2023</f>
        <v>37367.159242427646</v>
      </c>
      <c r="DM84">
        <f>IF($A84&lt;=$DB$45,1,0)</f>
        <v>1</v>
      </c>
      <c r="EB84">
        <f>IF($EB$31&lt;=$EB$32,IF($A84&lt;=$EB$7,1,2),IF($A84&lt;=RUNG_BEDS_2,2,1))</f>
        <v>1</v>
      </c>
      <c r="EC84" s="5">
        <f>MIN(1,MAX(0,$EB$26-($A84-1)))</f>
        <v>1</v>
      </c>
      <c r="ED84" s="5">
        <f>$EB$25*(EC84+(1-EC84)*$EB$16)</f>
        <v>252.05322714681438</v>
      </c>
      <c r="EE84" s="13">
        <f>ED84*($EB$6+ACUTE_MARGIN)</f>
        <v>254573.7594182825</v>
      </c>
      <c r="EF84" s="13">
        <f>IF(EB84=1,$EB$31,$EB$32)</f>
        <v>152394.16214437486</v>
      </c>
      <c r="EG84" s="13">
        <f>EE84-EF84</f>
        <v>102179.59727390765</v>
      </c>
      <c r="EH84" s="13">
        <f>EH83+EG84</f>
        <v>102179.59727390765</v>
      </c>
      <c r="EI84">
        <f>IF(EH84=MAX($EH$83:$EH$483),$A84,0)</f>
        <v>0</v>
      </c>
      <c r="EJ84">
        <f>IF(EE84&lt;EF84,$A84,B_MAX+1)</f>
        <v>401.0</v>
      </c>
      <c r="EK84" s="13">
        <f>IF(EB84=1,$EB$35,$EB$36)</f>
        <v>0</v>
      </c>
      <c r="EL84" s="13">
        <f>OCC_DAYS*$EB$41*R_NF_2023-ED84*MCD_SHARE_FREED*R_WAIT_2023</f>
        <v>-63953.16263896705</v>
      </c>
      <c r="EM84">
        <f>IF($A84&lt;=$EB$45,1,0)</f>
        <v>1</v>
      </c>
      <c r="FB84">
        <f>IF($FB$31&lt;=$FB$32,IF($A84&lt;=$FB$7,1,2),IF($A84&lt;=RUNG_BEDS_2,2,1))</f>
        <v>1</v>
      </c>
      <c r="FC84" s="5">
        <f>MIN(1,MAX(0,$FB$26-($A84-1)))</f>
        <v>1</v>
      </c>
      <c r="FD84" s="5">
        <f>$FB$25*(FC84+(1-FC84)*$FB$16)</f>
        <v>252.05322714681438</v>
      </c>
      <c r="FE84" s="13">
        <f>FD84*($FB$6+ACUTE_MARGIN)</f>
        <v>254573.7594182825</v>
      </c>
      <c r="FF84" s="13">
        <f>IF(FB84=1,$FB$31,$FB$32)</f>
        <v>156636.04979437485</v>
      </c>
      <c r="FG84" s="13">
        <f>FE84-FF84</f>
        <v>97937.70962390766</v>
      </c>
      <c r="FH84" s="13">
        <f>FH83+FG84</f>
        <v>97937.70962390766</v>
      </c>
      <c r="FI84">
        <f>IF(FH84=MAX($FH$83:$FH$483),$A84,0)</f>
        <v>0</v>
      </c>
      <c r="FJ84">
        <f>IF(FE84&lt;FF84,$A84,B_MAX+1)</f>
        <v>401.0</v>
      </c>
      <c r="FK84" s="13">
        <f>IF(FB84=1,$FB$35,$FB$36)</f>
        <v>0</v>
      </c>
      <c r="FL84" s="13">
        <f>OCC_DAYS*$FB$41*R_NF_2023-FD84*MCD_SHARE_FREED*R_WAIT_2023</f>
        <v>37367.159242427646</v>
      </c>
      <c r="FM84">
        <f>IF($A84&lt;=$FB$45,1,0)</f>
        <v>1</v>
      </c>
      <c r="GB84">
        <f>IF($GB$31&lt;=$GB$32,IF($A84&lt;=$GB$7,1,2),IF($A84&lt;=RUNG_BEDS_2,2,1))</f>
        <v>1</v>
      </c>
      <c r="GC84" s="5">
        <f>MIN(1,MAX(0,$GB$26-($A84-1)))</f>
        <v>1</v>
      </c>
      <c r="GD84" s="5">
        <f>$GB$25*(GC84+(1-GC84)*$GB$16)</f>
        <v>252.05322714681438</v>
      </c>
      <c r="GE84" s="13">
        <f>GD84*($GB$6+ACUTE_MARGIN)</f>
        <v>254573.7594182825</v>
      </c>
      <c r="GF84" s="13">
        <f>IF(GB84=1,$GB$31,$GB$32)</f>
        <v>152394.16214437486</v>
      </c>
      <c r="GG84" s="13">
        <f>GE84-GF84</f>
        <v>102179.59727390765</v>
      </c>
      <c r="GH84" s="13">
        <f>GH83+GG84</f>
        <v>102179.59727390765</v>
      </c>
      <c r="GI84">
        <f>IF(GH84=MAX($GH$83:$GH$483),$A84,0)</f>
        <v>0</v>
      </c>
      <c r="GJ84">
        <f>IF(GE84&lt;GF84,$A84,B_MAX+1)</f>
        <v>401.0</v>
      </c>
      <c r="GK84" s="13">
        <f>IF(GB84=1,$GB$35,$GB$36)</f>
        <v>0</v>
      </c>
      <c r="GL84" s="13">
        <f>OCC_DAYS*$GB$41*R_NF_2023-GD84*MCD_SHARE_FREED*R_WAIT_2023</f>
        <v>37367.159242427646</v>
      </c>
      <c r="GM84">
        <f>IF($A84&lt;=$GB$45,1,0)</f>
        <v>1</v>
      </c>
      <c r="HB84">
        <f>IF($HB$31&lt;=$HB$32,IF($A84&lt;=$HB$7,1,2),IF($A84&lt;=RUNG_BEDS_2,2,1))</f>
        <v>1</v>
      </c>
      <c r="HC84" s="5">
        <f>MIN(1,MAX(0,$HB$26-($A84-1)))</f>
        <v>1</v>
      </c>
      <c r="HD84" s="5">
        <f>$HB$25*(HC84+(1-HC84)*$HB$16)</f>
        <v>252.05322714681438</v>
      </c>
      <c r="HE84" s="13">
        <f>HD84*($HB$6+ACUTE_MARGIN)</f>
        <v>254573.7594182825</v>
      </c>
      <c r="HF84" s="13">
        <f>IF(HB84=1,$HB$31,$HB$32)</f>
        <v>152456.2970814058</v>
      </c>
      <c r="HG84" s="13">
        <f>HE84-HF84</f>
        <v>102117.46233687672</v>
      </c>
      <c r="HH84" s="13">
        <f>HH83+HG84</f>
        <v>102117.46233687672</v>
      </c>
      <c r="HI84">
        <f>IF(HH84=MAX($HH$83:$HH$483),$A84,0)</f>
        <v>0</v>
      </c>
      <c r="HJ84">
        <f>IF(HE84&lt;HF84,$A84,B_MAX+1)</f>
        <v>401.0</v>
      </c>
      <c r="HK84" s="13">
        <f>IF(HB84=1,$HB$35,$HB$36)</f>
        <v>0</v>
      </c>
      <c r="HL84" s="13">
        <f>OCC_DAYS*$HB$41*R_NF_2023-HD84*MCD_SHARE_FREED*R_WAIT_2023</f>
        <v>37367.159242427646</v>
      </c>
      <c r="HM84">
        <f>IF($A84&lt;=$HB$45,1,0)</f>
        <v>1</v>
      </c>
      <c r="IB84">
        <f>IF($IB$31&lt;=$IB$32,IF($A84&lt;=$IB$7,1,2),IF($A84&lt;=RUNG_BEDS_2,2,1))</f>
        <v>1</v>
      </c>
      <c r="IC84" s="5">
        <f>MIN(1,MAX(0,$IB$26-($A84-1)))</f>
        <v>1</v>
      </c>
      <c r="ID84" s="5">
        <f>$IB$25*(IC84+(1-IC84)*$IB$16)</f>
        <v>252.05322714681438</v>
      </c>
      <c r="IE84" s="13">
        <f>ID84*($IB$6+ACUTE_MARGIN)</f>
        <v>254573.7594182825</v>
      </c>
      <c r="IF84" s="13">
        <f>IF(IB84=1,$IB$31,$IB$32)</f>
        <v>152734.9994534971</v>
      </c>
      <c r="IG84" s="13">
        <f>IE84-IF84</f>
        <v>101838.75996478542</v>
      </c>
      <c r="IH84" s="13">
        <f>IH83+IG84</f>
        <v>101838.75996478542</v>
      </c>
      <c r="II84">
        <f>IF(IH84=MAX($IH$83:$IH$483),$A84,0)</f>
        <v>0</v>
      </c>
      <c r="IJ84">
        <f>IF(IE84&lt;IF84,$A84,B_MAX+1)</f>
        <v>401.0</v>
      </c>
      <c r="IK84" s="13">
        <f>IF(IB84=1,$IB$35,$IB$36)</f>
        <v>0</v>
      </c>
      <c r="IL84" s="13">
        <f>OCC_DAYS*$IB$41*R_NF_2023-ID84*MCD_SHARE_FREED*R_WAIT_2023</f>
        <v>37367.159242427646</v>
      </c>
      <c r="IM84">
        <f>IF($A84&lt;=$IB$45,1,0)</f>
        <v>1</v>
      </c>
      <c r="JB84">
        <f>IF($JB$31&lt;=$JB$32,IF($A84&lt;=$JB$7,1,2),IF($A84&lt;=RUNG_BEDS_2,2,1))</f>
        <v>1</v>
      </c>
      <c r="JC84" s="5">
        <f>MIN(1,MAX(0,$JB$26-($A84-1)))</f>
        <v>1</v>
      </c>
      <c r="JD84" s="5">
        <f>$JB$25*(JC84+(1-JC84)*$JB$16)</f>
        <v>252.05322714681438</v>
      </c>
      <c r="JE84" s="13">
        <f>JD84*($JB$6+ACUTE_MARGIN)</f>
        <v>254573.7594182825</v>
      </c>
      <c r="JF84" s="13">
        <f>IF(JB84=1,$JB$31,$JB$32)</f>
        <v>152394.16214437486</v>
      </c>
      <c r="JG84" s="13">
        <f>JE84-JF84</f>
        <v>102179.59727390765</v>
      </c>
      <c r="JH84" s="13">
        <f>JH83+JG84</f>
        <v>102179.59727390765</v>
      </c>
      <c r="JI84">
        <f>IF(JH84=MAX($JH$83:$JH$483),$A84,0)</f>
        <v>0</v>
      </c>
      <c r="JJ84">
        <f>IF(JE84&lt;JF84,$A84,B_MAX+1)</f>
        <v>401.0</v>
      </c>
      <c r="JK84" s="13">
        <f>IF(JB84=1,$JB$35,$JB$36)</f>
        <v>0</v>
      </c>
      <c r="JL84" s="13">
        <f>OCC_DAYS*$JB$41*R_NF_2023-JD84*MCD_SHARE_FREED*R_WAIT_2023</f>
        <v>37367.159242427646</v>
      </c>
      <c r="JM84">
        <f>IF($A84&lt;=$JB$45,1,0)</f>
        <v>1</v>
      </c>
      <c r="KB84">
        <f>IF($KB$31&lt;=$KB$32,IF($A84&lt;=$KB$7,1,2),IF($A84&lt;=RUNG_BEDS_2,2,1))</f>
        <v>1</v>
      </c>
      <c r="KC84" s="5">
        <f>MIN(1,MAX(0,$KB$26-($A84-1)))</f>
        <v>1</v>
      </c>
      <c r="KD84" s="5">
        <f>$KB$25*(KC84+(1-KC84)*$KB$16)</f>
        <v>126.02661357340719</v>
      </c>
      <c r="KE84" s="13">
        <f>KD84*($KB$6+ACUTE_MARGIN)</f>
        <v>127286.87970914126</v>
      </c>
      <c r="KF84" s="13">
        <f>IF(KB84=1,$KB$31,$KB$32)</f>
        <v>152394.16214437486</v>
      </c>
      <c r="KG84" s="13">
        <f>KE84-KF84</f>
        <v>-25107.282435233603</v>
      </c>
      <c r="KH84" s="13">
        <f>KH83+KG84</f>
        <v>-25107.282435233603</v>
      </c>
      <c r="KI84">
        <f>IF(KH84=MAX($KH$83:$KH$483),$A84,0)</f>
        <v>0</v>
      </c>
      <c r="KJ84">
        <f>IF(KE84&lt;KF84,$A84,B_MAX+1)</f>
        <v>1</v>
      </c>
      <c r="KK84" s="13">
        <f>IF(KB84=1,$KB$35,$KB$36)</f>
        <v>0</v>
      </c>
      <c r="KL84" s="13">
        <f>OCC_DAYS*$KB$41*R_NF_2023-KD84*MCD_SHARE_FREED*R_WAIT_2023</f>
        <v>94673.82103225985</v>
      </c>
      <c r="KM84">
        <f>IF($A84&lt;=$KB$45,1,0)</f>
        <v>0</v>
      </c>
      <c r="LB84">
        <f>IF($LB$31&lt;=$LB$32,IF($A84&lt;=$LB$7,1,2),IF($A84&lt;=RUNG_BEDS_2,2,1))</f>
        <v>1</v>
      </c>
      <c r="LC84" s="5">
        <f>MIN(1,MAX(0,$LB$26-($A84-1)))</f>
        <v>1</v>
      </c>
      <c r="LD84" s="5">
        <f>$LB$25*(LC84+(1-LC84)*$LB$16)</f>
        <v>84.01774238227146</v>
      </c>
      <c r="LE84" s="13">
        <f>LD84*($LB$6+ACUTE_MARGIN)</f>
        <v>84857.91980609419</v>
      </c>
      <c r="LF84" s="13">
        <f>IF(LB84=1,$LB$31,$LB$32)</f>
        <v>152394.16214437486</v>
      </c>
      <c r="LG84" s="13">
        <f>LE84-LF84</f>
        <v>-67536.24233828067</v>
      </c>
      <c r="LH84" s="13">
        <f>LH83+LG84</f>
        <v>-67536.24233828067</v>
      </c>
      <c r="LI84">
        <f>IF(LH84=MAX($LH$83:$LH$483),$A84,0)</f>
        <v>0</v>
      </c>
      <c r="LJ84">
        <f>IF(LE84&lt;LF84,$A84,B_MAX+1)</f>
        <v>1</v>
      </c>
      <c r="LK84" s="13">
        <f>IF(LB84=1,$LB$35,$LB$36)</f>
        <v>0</v>
      </c>
      <c r="LL84" s="13">
        <f>OCC_DAYS*$LB$41*R_NF_2023-LD84*MCD_SHARE_FREED*R_WAIT_2023</f>
        <v>113776.04162887059</v>
      </c>
      <c r="LM84">
        <f>IF($A84&lt;=$LB$45,1,0)</f>
        <v>0</v>
      </c>
      <c r="MB84">
        <f>IF($MB$31&lt;=$MB$32,IF($A84&lt;=$MB$7,1,2),IF($A84&lt;=RUNG_BEDS_2,2,1))</f>
        <v>1</v>
      </c>
      <c r="MC84" s="5">
        <f>MIN(1,MAX(0,$MB$26-($A84-1)))</f>
        <v>1</v>
      </c>
      <c r="MD84" s="5">
        <f>$MB$25*(MC84+(1-MC84)*$MB$16)</f>
        <v>213.44610951008647</v>
      </c>
      <c r="ME84" s="13">
        <f>MD84*($MB$6+ACUTE_MARGIN)</f>
        <v>215580.57060518733</v>
      </c>
      <c r="MF84" s="13">
        <f>IF(MB84=1,$MB$31,$MB$32)</f>
        <v>152394.16214437486</v>
      </c>
      <c r="MG84" s="13">
        <f>ME84-MF84</f>
        <v>63186.40846081247</v>
      </c>
      <c r="MH84" s="13">
        <f>MH83+MG84</f>
        <v>63186.40846081247</v>
      </c>
      <c r="MI84">
        <f>IF(MH84=MAX($MH$83:$MH$483),$A84,0)</f>
        <v>0</v>
      </c>
      <c r="MJ84">
        <f>IF(ME84&lt;MF84,$A84,B_MAX+1)</f>
        <v>401.0</v>
      </c>
      <c r="MK84" s="13">
        <f>IF(MB84=1,$MB$35,$MB$36)</f>
        <v>0</v>
      </c>
      <c r="ML84" s="13">
        <f>OCC_DAYS*$MB$41*R_NF_2023-MD84*MCD_SHARE_FREED*R_WAIT_2023</f>
        <v>54922.538779778624</v>
      </c>
      <c r="MM84">
        <f>IF($A84&lt;=$MB$45,1,0)</f>
        <v>1</v>
      </c>
      <c r="NB84">
        <f>IF($NB$31&lt;=$NB$32,IF($A84&lt;=$NB$7,1,2),IF($A84&lt;=RUNG_BEDS_2,2,1))</f>
        <v>1</v>
      </c>
      <c r="NC84" s="5">
        <f>MIN(1,MAX(0,$NB$26-($A84-1)))</f>
        <v>1</v>
      </c>
      <c r="ND84" s="5">
        <f>$NB$25*(NC84+(1-NC84)*$NB$16)</f>
        <v>252.05322714681438</v>
      </c>
      <c r="NE84" s="13">
        <f>ND84*($NB$6+ACUTE_MARGIN)</f>
        <v>254573.7594182825</v>
      </c>
      <c r="NF84" s="13">
        <f>IF(NB84=1,$NB$31,$NB$32)</f>
        <v>152394.16214437486</v>
      </c>
      <c r="NG84" s="13">
        <f>NE84-NF84</f>
        <v>102179.59727390765</v>
      </c>
      <c r="NH84" s="13">
        <f>NH83+NG84</f>
        <v>102179.59727390765</v>
      </c>
      <c r="NI84">
        <f>IF(NH84=MAX($NH$83:$NH$483),$A84,0)</f>
        <v>0</v>
      </c>
      <c r="NJ84">
        <f>IF(NE84&lt;NF84,$A84,B_MAX+1)</f>
        <v>401.0</v>
      </c>
      <c r="NK84" s="13">
        <f>IF(NB84=1,$NB$35,$NB$36)</f>
        <v>0</v>
      </c>
      <c r="NL84" s="13">
        <f>OCC_DAYS*$NB$41*R_NF_2023-ND84*MCD_SHARE_FREED*R_WAIT_2023</f>
        <v>37367.159242427646</v>
      </c>
      <c r="NM84">
        <f>IF($A84&lt;=$NB$45,1,0)</f>
        <v>1</v>
      </c>
      <c r="OB84">
        <f>IF($OB$31&lt;=$OB$32,IF($A84&lt;=$OB$7,1,2),IF($A84&lt;=RUNG_BEDS_2,2,1))</f>
        <v>1</v>
      </c>
      <c r="OC84" s="5">
        <f>MIN(1,MAX(0,$OB$26-($A84-1)))</f>
        <v>1</v>
      </c>
      <c r="OD84" s="5">
        <f>$OB$25*(OC84+(1-OC84)*$OB$16)</f>
        <v>252.05322714681438</v>
      </c>
      <c r="OE84" s="13">
        <f>OD84*($OB$6+ACUTE_MARGIN)</f>
        <v>254573.7594182825</v>
      </c>
      <c r="OF84" s="13">
        <f>IF(OB84=1,$OB$31,$OB$32)</f>
        <v>152394.16214437486</v>
      </c>
      <c r="OG84" s="13">
        <f>OE84-OF84</f>
        <v>102179.59727390765</v>
      </c>
      <c r="OH84" s="13">
        <f>OH83+OG84</f>
        <v>102179.59727390765</v>
      </c>
      <c r="OI84">
        <f>IF(OH84=MAX($OH$83:$OH$483),$A84,0)</f>
        <v>0</v>
      </c>
      <c r="OJ84">
        <f>IF(OE84&lt;OF84,$A84,B_MAX+1)</f>
        <v>401.0</v>
      </c>
      <c r="OK84" s="13">
        <f>IF(OB84=1,$OB$35,$OB$36)</f>
        <v>0</v>
      </c>
      <c r="OL84" s="13">
        <f>OCC_DAYS*$OB$41*R_NF_2023-OD84*MCD_SHARE_FREED*R_WAIT_2023</f>
        <v>37367.159242427646</v>
      </c>
      <c r="OM84">
        <f>IF($A84&lt;=$OB$45,1,0)</f>
        <v>1</v>
      </c>
    </row>
    <row r="85">
      <c r="A85" t="n">
        <v>2</v>
      </c>
      <c r="B85">
        <f>IF($B$31&lt;=$B$32,IF($A85&lt;=$B$7,1,2),IF($A85&lt;=RUNG_BEDS_2,2,1))</f>
        <v>1</v>
      </c>
      <c r="C85" s="5">
        <f>MIN(1,MAX(0,$B$26-($A85-1)))</f>
        <v>1</v>
      </c>
      <c r="D85" s="5">
        <f>$B$25*(C85+(1-C85)*$B$16)</f>
        <v>252.05322714681438</v>
      </c>
      <c r="E85" s="13">
        <f>D85*($B$6+ACUTE_MARGIN)</f>
        <v>254573.7594182825</v>
      </c>
      <c r="F85" s="13">
        <f>IF(B85=1,$B$31,$B$32)</f>
        <v>152394.16214437486</v>
      </c>
      <c r="G85" s="13">
        <f>E85-F85</f>
        <v>102179.59727390765</v>
      </c>
      <c r="H85" s="13">
        <f>H84+G85</f>
        <v>204359.1945478153</v>
      </c>
      <c r="I85">
        <f>IF(H85=MAX($H$83:$H$483),$A85,0)</f>
        <v>0</v>
      </c>
      <c r="J85">
        <f>IF(E85&lt;F85,$A85,B_MAX+1)</f>
        <v>401.0</v>
      </c>
      <c r="K85" s="13">
        <f>IF(B85=1,$B$35,$B$36)</f>
        <v>0</v>
      </c>
      <c r="L85" s="13">
        <f>OCC_DAYS*$B$41*R_NF_2023-D85*MCD_SHARE_FREED*R_WAIT_2023</f>
        <v>37367.159242427646</v>
      </c>
      <c r="M85">
        <f>IF($A85&lt;=$B$45,1,0)</f>
        <v>1</v>
      </c>
      <c r="AB85">
        <f>IF($AB$31&lt;=$AB$32,IF($A85&lt;=$AB$7,1,2),IF($A85&lt;=RUNG_BEDS_2,2,1))</f>
        <v>1</v>
      </c>
      <c r="AC85" s="5">
        <f>MIN(1,MAX(0,$AB$26-($A85-1)))</f>
        <v>1</v>
      </c>
      <c r="AD85" s="5">
        <f>$AB$25*(AC85+(1-AC85)*$AB$16)</f>
        <v>252.05322714681438</v>
      </c>
      <c r="AE85" s="13">
        <f>AD85*($AB$6+ACUTE_MARGIN)</f>
        <v>138629.2749307479</v>
      </c>
      <c r="AF85" s="13">
        <f>IF(AB85=1,$AB$31,$AB$32)</f>
        <v>152394.16214437486</v>
      </c>
      <c r="AG85" s="13">
        <f>AE85-AF85</f>
        <v>-13764.887213626964</v>
      </c>
      <c r="AH85" s="13">
        <f>AH84+AG85</f>
        <v>-27529.774427253928</v>
      </c>
      <c r="AI85">
        <f>IF(AH85=MAX($AH$83:$AH$483),$A85,0)</f>
        <v>0</v>
      </c>
      <c r="AJ85">
        <f>IF(AE85&lt;AF85,$A85,B_MAX+1)</f>
        <v>2</v>
      </c>
      <c r="AK85" s="13">
        <f>IF(AB85=1,$AB$35,$AB$36)</f>
        <v>0</v>
      </c>
      <c r="AL85" s="13">
        <f>OCC_DAYS*$AB$41*R_NF_2023-AD85*MCD_SHARE_FREED*R_WAIT_2023</f>
        <v>37367.159242427646</v>
      </c>
      <c r="AM85">
        <f>IF($A85&lt;=$AB$45,1,0)</f>
        <v>0</v>
      </c>
      <c r="BB85">
        <f>IF($BB$31&lt;=$BB$32,IF($A85&lt;=$BB$7,1,2),IF($A85&lt;=RUNG_BEDS_2,2,1))</f>
        <v>1</v>
      </c>
      <c r="BC85" s="5">
        <f>MIN(1,MAX(0,$BB$26-($A85-1)))</f>
        <v>1</v>
      </c>
      <c r="BD85" s="5">
        <f>$BB$25*(BC85+(1-BC85)*$BB$16)</f>
        <v>252.05322714681438</v>
      </c>
      <c r="BE85" s="13">
        <f>BD85*($BB$6+ACUTE_MARGIN)</f>
        <v>370518.24390581716</v>
      </c>
      <c r="BF85" s="13">
        <f>IF(BB85=1,$BB$31,$BB$32)</f>
        <v>152394.16214437486</v>
      </c>
      <c r="BG85" s="13">
        <f>BE85-BF85</f>
        <v>218124.0817614423</v>
      </c>
      <c r="BH85" s="13">
        <f>BH84+BG85</f>
        <v>436248.1635228846</v>
      </c>
      <c r="BI85">
        <f>IF(BH85=MAX($BH$83:$BH$483),$A85,0)</f>
        <v>0</v>
      </c>
      <c r="BJ85">
        <f>IF(BE85&lt;BF85,$A85,B_MAX+1)</f>
        <v>401.0</v>
      </c>
      <c r="BK85" s="13">
        <f>IF(BB85=1,$BB$35,$BB$36)</f>
        <v>0</v>
      </c>
      <c r="BL85" s="13">
        <f>OCC_DAYS*$BB$41*R_NF_2023-BD85*MCD_SHARE_FREED*R_WAIT_2023</f>
        <v>37367.159242427646</v>
      </c>
      <c r="BM85">
        <f>IF($A85&lt;=$BB$45,1,0)</f>
        <v>1</v>
      </c>
      <c r="CB85">
        <f>IF($CB$31&lt;=$CB$32,IF($A85&lt;=$CB$7,1,2),IF($A85&lt;=RUNG_BEDS_2,2,1))</f>
        <v>2</v>
      </c>
      <c r="CC85" s="5">
        <f>MIN(1,MAX(0,$CB$26-($A85-1)))</f>
        <v>1</v>
      </c>
      <c r="CD85" s="5">
        <f>$CB$25*(CC85+(1-CC85)*$CB$16)</f>
        <v>252.05322714681438</v>
      </c>
      <c r="CE85" s="13">
        <f>CD85*($CB$6+ACUTE_MARGIN)</f>
        <v>254573.7594182825</v>
      </c>
      <c r="CF85" s="13">
        <f>IF(CB85=1,$CB$31,$CB$32)</f>
        <v>160718.36940738867</v>
      </c>
      <c r="CG85" s="13">
        <f>CE85-CF85</f>
        <v>93855.39001089384</v>
      </c>
      <c r="CH85" s="13">
        <f>CH84+CG85</f>
        <v>187710.78002178768</v>
      </c>
      <c r="CI85">
        <f>IF(CH85=MAX($CH$83:$CH$483),$A85,0)</f>
        <v>0</v>
      </c>
      <c r="CJ85">
        <f>IF(CE85&lt;CF85,$A85,B_MAX+1)</f>
        <v>401.0</v>
      </c>
      <c r="CK85" s="13">
        <f>IF(CB85=1,$CB$35,$CB$36)</f>
        <v>1560.1194073886782</v>
      </c>
      <c r="CL85" s="13">
        <f>OCC_DAYS*$CB$41*R_NF_2023-CD85*MCD_SHARE_FREED*R_WAIT_2023</f>
        <v>37367.159242427646</v>
      </c>
      <c r="CM85">
        <f>IF($A85&lt;=$CB$45,1,0)</f>
        <v>1</v>
      </c>
      <c r="DB85">
        <f>IF($DB$31&lt;=$DB$32,IF($A85&lt;=$DB$7,1,2),IF($A85&lt;=RUNG_BEDS_2,2,1))</f>
        <v>1</v>
      </c>
      <c r="DC85" s="5">
        <f>MIN(1,MAX(0,$DB$26-($A85-1)))</f>
        <v>1</v>
      </c>
      <c r="DD85" s="5">
        <f>$DB$25*(DC85+(1-DC85)*$DB$16)</f>
        <v>252.05322714681438</v>
      </c>
      <c r="DE85" s="13">
        <f>DD85*($DB$6+ACUTE_MARGIN)</f>
        <v>254573.7594182825</v>
      </c>
      <c r="DF85" s="13">
        <f>IF(DB85=1,$DB$31,$DB$32)</f>
        <v>152394.16214437486</v>
      </c>
      <c r="DG85" s="13">
        <f>DE85-DF85</f>
        <v>102179.59727390765</v>
      </c>
      <c r="DH85" s="13">
        <f>DH84+DG85</f>
        <v>204359.1945478153</v>
      </c>
      <c r="DI85">
        <f>IF(DH85=MAX($DH$83:$DH$483),$A85,0)</f>
        <v>0</v>
      </c>
      <c r="DJ85">
        <f>IF(DE85&lt;DF85,$A85,B_MAX+1)</f>
        <v>401.0</v>
      </c>
      <c r="DK85" s="13">
        <f>IF(DB85=1,$DB$35,$DB$36)</f>
        <v>0</v>
      </c>
      <c r="DL85" s="13">
        <f>OCC_DAYS*$DB$41*R_NF_2023-DD85*MCD_SHARE_FREED*R_WAIT_2023</f>
        <v>37367.159242427646</v>
      </c>
      <c r="DM85">
        <f>IF($A85&lt;=$DB$45,1,0)</f>
        <v>1</v>
      </c>
      <c r="EB85">
        <f>IF($EB$31&lt;=$EB$32,IF($A85&lt;=$EB$7,1,2),IF($A85&lt;=RUNG_BEDS_2,2,1))</f>
        <v>1</v>
      </c>
      <c r="EC85" s="5">
        <f>MIN(1,MAX(0,$EB$26-($A85-1)))</f>
        <v>1</v>
      </c>
      <c r="ED85" s="5">
        <f>$EB$25*(EC85+(1-EC85)*$EB$16)</f>
        <v>252.05322714681438</v>
      </c>
      <c r="EE85" s="13">
        <f>ED85*($EB$6+ACUTE_MARGIN)</f>
        <v>254573.7594182825</v>
      </c>
      <c r="EF85" s="13">
        <f>IF(EB85=1,$EB$31,$EB$32)</f>
        <v>152394.16214437486</v>
      </c>
      <c r="EG85" s="13">
        <f>EE85-EF85</f>
        <v>102179.59727390765</v>
      </c>
      <c r="EH85" s="13">
        <f>EH84+EG85</f>
        <v>204359.1945478153</v>
      </c>
      <c r="EI85">
        <f>IF(EH85=MAX($EH$83:$EH$483),$A85,0)</f>
        <v>0</v>
      </c>
      <c r="EJ85">
        <f>IF(EE85&lt;EF85,$A85,B_MAX+1)</f>
        <v>401.0</v>
      </c>
      <c r="EK85" s="13">
        <f>IF(EB85=1,$EB$35,$EB$36)</f>
        <v>0</v>
      </c>
      <c r="EL85" s="13">
        <f>OCC_DAYS*$EB$41*R_NF_2023-ED85*MCD_SHARE_FREED*R_WAIT_2023</f>
        <v>-63953.16263896705</v>
      </c>
      <c r="EM85">
        <f>IF($A85&lt;=$EB$45,1,0)</f>
        <v>1</v>
      </c>
      <c r="FB85">
        <f>IF($FB$31&lt;=$FB$32,IF($A85&lt;=$FB$7,1,2),IF($A85&lt;=RUNG_BEDS_2,2,1))</f>
        <v>1</v>
      </c>
      <c r="FC85" s="5">
        <f>MIN(1,MAX(0,$FB$26-($A85-1)))</f>
        <v>1</v>
      </c>
      <c r="FD85" s="5">
        <f>$FB$25*(FC85+(1-FC85)*$FB$16)</f>
        <v>252.05322714681438</v>
      </c>
      <c r="FE85" s="13">
        <f>FD85*($FB$6+ACUTE_MARGIN)</f>
        <v>254573.7594182825</v>
      </c>
      <c r="FF85" s="13">
        <f>IF(FB85=1,$FB$31,$FB$32)</f>
        <v>156636.04979437485</v>
      </c>
      <c r="FG85" s="13">
        <f>FE85-FF85</f>
        <v>97937.70962390766</v>
      </c>
      <c r="FH85" s="13">
        <f>FH84+FG85</f>
        <v>195875.41924781533</v>
      </c>
      <c r="FI85">
        <f>IF(FH85=MAX($FH$83:$FH$483),$A85,0)</f>
        <v>0</v>
      </c>
      <c r="FJ85">
        <f>IF(FE85&lt;FF85,$A85,B_MAX+1)</f>
        <v>401.0</v>
      </c>
      <c r="FK85" s="13">
        <f>IF(FB85=1,$FB$35,$FB$36)</f>
        <v>0</v>
      </c>
      <c r="FL85" s="13">
        <f>OCC_DAYS*$FB$41*R_NF_2023-FD85*MCD_SHARE_FREED*R_WAIT_2023</f>
        <v>37367.159242427646</v>
      </c>
      <c r="FM85">
        <f>IF($A85&lt;=$FB$45,1,0)</f>
        <v>1</v>
      </c>
      <c r="GB85">
        <f>IF($GB$31&lt;=$GB$32,IF($A85&lt;=$GB$7,1,2),IF($A85&lt;=RUNG_BEDS_2,2,1))</f>
        <v>1</v>
      </c>
      <c r="GC85" s="5">
        <f>MIN(1,MAX(0,$GB$26-($A85-1)))</f>
        <v>1</v>
      </c>
      <c r="GD85" s="5">
        <f>$GB$25*(GC85+(1-GC85)*$GB$16)</f>
        <v>252.05322714681438</v>
      </c>
      <c r="GE85" s="13">
        <f>GD85*($GB$6+ACUTE_MARGIN)</f>
        <v>254573.7594182825</v>
      </c>
      <c r="GF85" s="13">
        <f>IF(GB85=1,$GB$31,$GB$32)</f>
        <v>152394.16214437486</v>
      </c>
      <c r="GG85" s="13">
        <f>GE85-GF85</f>
        <v>102179.59727390765</v>
      </c>
      <c r="GH85" s="13">
        <f>GH84+GG85</f>
        <v>204359.1945478153</v>
      </c>
      <c r="GI85">
        <f>IF(GH85=MAX($GH$83:$GH$483),$A85,0)</f>
        <v>0</v>
      </c>
      <c r="GJ85">
        <f>IF(GE85&lt;GF85,$A85,B_MAX+1)</f>
        <v>401.0</v>
      </c>
      <c r="GK85" s="13">
        <f>IF(GB85=1,$GB$35,$GB$36)</f>
        <v>0</v>
      </c>
      <c r="GL85" s="13">
        <f>OCC_DAYS*$GB$41*R_NF_2023-GD85*MCD_SHARE_FREED*R_WAIT_2023</f>
        <v>37367.159242427646</v>
      </c>
      <c r="GM85">
        <f>IF($A85&lt;=$GB$45,1,0)</f>
        <v>1</v>
      </c>
      <c r="HB85">
        <f>IF($HB$31&lt;=$HB$32,IF($A85&lt;=$HB$7,1,2),IF($A85&lt;=RUNG_BEDS_2,2,1))</f>
        <v>1</v>
      </c>
      <c r="HC85" s="5">
        <f>MIN(1,MAX(0,$HB$26-($A85-1)))</f>
        <v>1</v>
      </c>
      <c r="HD85" s="5">
        <f>$HB$25*(HC85+(1-HC85)*$HB$16)</f>
        <v>252.05322714681438</v>
      </c>
      <c r="HE85" s="13">
        <f>HD85*($HB$6+ACUTE_MARGIN)</f>
        <v>254573.7594182825</v>
      </c>
      <c r="HF85" s="13">
        <f>IF(HB85=1,$HB$31,$HB$32)</f>
        <v>152456.2970814058</v>
      </c>
      <c r="HG85" s="13">
        <f>HE85-HF85</f>
        <v>102117.46233687672</v>
      </c>
      <c r="HH85" s="13">
        <f>HH84+HG85</f>
        <v>204234.92467375344</v>
      </c>
      <c r="HI85">
        <f>IF(HH85=MAX($HH$83:$HH$483),$A85,0)</f>
        <v>0</v>
      </c>
      <c r="HJ85">
        <f>IF(HE85&lt;HF85,$A85,B_MAX+1)</f>
        <v>401.0</v>
      </c>
      <c r="HK85" s="13">
        <f>IF(HB85=1,$HB$35,$HB$36)</f>
        <v>0</v>
      </c>
      <c r="HL85" s="13">
        <f>OCC_DAYS*$HB$41*R_NF_2023-HD85*MCD_SHARE_FREED*R_WAIT_2023</f>
        <v>37367.159242427646</v>
      </c>
      <c r="HM85">
        <f>IF($A85&lt;=$HB$45,1,0)</f>
        <v>1</v>
      </c>
      <c r="IB85">
        <f>IF($IB$31&lt;=$IB$32,IF($A85&lt;=$IB$7,1,2),IF($A85&lt;=RUNG_BEDS_2,2,1))</f>
        <v>1</v>
      </c>
      <c r="IC85" s="5">
        <f>MIN(1,MAX(0,$IB$26-($A85-1)))</f>
        <v>1</v>
      </c>
      <c r="ID85" s="5">
        <f>$IB$25*(IC85+(1-IC85)*$IB$16)</f>
        <v>252.05322714681438</v>
      </c>
      <c r="IE85" s="13">
        <f>ID85*($IB$6+ACUTE_MARGIN)</f>
        <v>254573.7594182825</v>
      </c>
      <c r="IF85" s="13">
        <f>IF(IB85=1,$IB$31,$IB$32)</f>
        <v>152734.9994534971</v>
      </c>
      <c r="IG85" s="13">
        <f>IE85-IF85</f>
        <v>101838.75996478542</v>
      </c>
      <c r="IH85" s="13">
        <f>IH84+IG85</f>
        <v>203677.51992957084</v>
      </c>
      <c r="II85">
        <f>IF(IH85=MAX($IH$83:$IH$483),$A85,0)</f>
        <v>0</v>
      </c>
      <c r="IJ85">
        <f>IF(IE85&lt;IF85,$A85,B_MAX+1)</f>
        <v>401.0</v>
      </c>
      <c r="IK85" s="13">
        <f>IF(IB85=1,$IB$35,$IB$36)</f>
        <v>0</v>
      </c>
      <c r="IL85" s="13">
        <f>OCC_DAYS*$IB$41*R_NF_2023-ID85*MCD_SHARE_FREED*R_WAIT_2023</f>
        <v>37367.159242427646</v>
      </c>
      <c r="IM85">
        <f>IF($A85&lt;=$IB$45,1,0)</f>
        <v>1</v>
      </c>
      <c r="JB85">
        <f>IF($JB$31&lt;=$JB$32,IF($A85&lt;=$JB$7,1,2),IF($A85&lt;=RUNG_BEDS_2,2,1))</f>
        <v>1</v>
      </c>
      <c r="JC85" s="5">
        <f>MIN(1,MAX(0,$JB$26-($A85-1)))</f>
        <v>1</v>
      </c>
      <c r="JD85" s="5">
        <f>$JB$25*(JC85+(1-JC85)*$JB$16)</f>
        <v>252.05322714681438</v>
      </c>
      <c r="JE85" s="13">
        <f>JD85*($JB$6+ACUTE_MARGIN)</f>
        <v>254573.7594182825</v>
      </c>
      <c r="JF85" s="13">
        <f>IF(JB85=1,$JB$31,$JB$32)</f>
        <v>152394.16214437486</v>
      </c>
      <c r="JG85" s="13">
        <f>JE85-JF85</f>
        <v>102179.59727390765</v>
      </c>
      <c r="JH85" s="13">
        <f>JH84+JG85</f>
        <v>204359.1945478153</v>
      </c>
      <c r="JI85">
        <f>IF(JH85=MAX($JH$83:$JH$483),$A85,0)</f>
        <v>0</v>
      </c>
      <c r="JJ85">
        <f>IF(JE85&lt;JF85,$A85,B_MAX+1)</f>
        <v>401.0</v>
      </c>
      <c r="JK85" s="13">
        <f>IF(JB85=1,$JB$35,$JB$36)</f>
        <v>0</v>
      </c>
      <c r="JL85" s="13">
        <f>OCC_DAYS*$JB$41*R_NF_2023-JD85*MCD_SHARE_FREED*R_WAIT_2023</f>
        <v>37367.159242427646</v>
      </c>
      <c r="JM85">
        <f>IF($A85&lt;=$JB$45,1,0)</f>
        <v>1</v>
      </c>
      <c r="KB85">
        <f>IF($KB$31&lt;=$KB$32,IF($A85&lt;=$KB$7,1,2),IF($A85&lt;=RUNG_BEDS_2,2,1))</f>
        <v>1</v>
      </c>
      <c r="KC85" s="5">
        <f>MIN(1,MAX(0,$KB$26-($A85-1)))</f>
        <v>1</v>
      </c>
      <c r="KD85" s="5">
        <f>$KB$25*(KC85+(1-KC85)*$KB$16)</f>
        <v>126.02661357340719</v>
      </c>
      <c r="KE85" s="13">
        <f>KD85*($KB$6+ACUTE_MARGIN)</f>
        <v>127286.87970914126</v>
      </c>
      <c r="KF85" s="13">
        <f>IF(KB85=1,$KB$31,$KB$32)</f>
        <v>152394.16214437486</v>
      </c>
      <c r="KG85" s="13">
        <f>KE85-KF85</f>
        <v>-25107.282435233603</v>
      </c>
      <c r="KH85" s="13">
        <f>KH84+KG85</f>
        <v>-50214.564870467206</v>
      </c>
      <c r="KI85">
        <f>IF(KH85=MAX($KH$83:$KH$483),$A85,0)</f>
        <v>0</v>
      </c>
      <c r="KJ85">
        <f>IF(KE85&lt;KF85,$A85,B_MAX+1)</f>
        <v>2</v>
      </c>
      <c r="KK85" s="13">
        <f>IF(KB85=1,$KB$35,$KB$36)</f>
        <v>0</v>
      </c>
      <c r="KL85" s="13">
        <f>OCC_DAYS*$KB$41*R_NF_2023-KD85*MCD_SHARE_FREED*R_WAIT_2023</f>
        <v>94673.82103225985</v>
      </c>
      <c r="KM85">
        <f>IF($A85&lt;=$KB$45,1,0)</f>
        <v>0</v>
      </c>
      <c r="LB85">
        <f>IF($LB$31&lt;=$LB$32,IF($A85&lt;=$LB$7,1,2),IF($A85&lt;=RUNG_BEDS_2,2,1))</f>
        <v>1</v>
      </c>
      <c r="LC85" s="5">
        <f>MIN(1,MAX(0,$LB$26-($A85-1)))</f>
        <v>1</v>
      </c>
      <c r="LD85" s="5">
        <f>$LB$25*(LC85+(1-LC85)*$LB$16)</f>
        <v>84.01774238227146</v>
      </c>
      <c r="LE85" s="13">
        <f>LD85*($LB$6+ACUTE_MARGIN)</f>
        <v>84857.91980609419</v>
      </c>
      <c r="LF85" s="13">
        <f>IF(LB85=1,$LB$31,$LB$32)</f>
        <v>152394.16214437486</v>
      </c>
      <c r="LG85" s="13">
        <f>LE85-LF85</f>
        <v>-67536.24233828067</v>
      </c>
      <c r="LH85" s="13">
        <f>LH84+LG85</f>
        <v>-135072.48467656135</v>
      </c>
      <c r="LI85">
        <f>IF(LH85=MAX($LH$83:$LH$483),$A85,0)</f>
        <v>0</v>
      </c>
      <c r="LJ85">
        <f>IF(LE85&lt;LF85,$A85,B_MAX+1)</f>
        <v>2</v>
      </c>
      <c r="LK85" s="13">
        <f>IF(LB85=1,$LB$35,$LB$36)</f>
        <v>0</v>
      </c>
      <c r="LL85" s="13">
        <f>OCC_DAYS*$LB$41*R_NF_2023-LD85*MCD_SHARE_FREED*R_WAIT_2023</f>
        <v>113776.04162887059</v>
      </c>
      <c r="LM85">
        <f>IF($A85&lt;=$LB$45,1,0)</f>
        <v>0</v>
      </c>
      <c r="MB85">
        <f>IF($MB$31&lt;=$MB$32,IF($A85&lt;=$MB$7,1,2),IF($A85&lt;=RUNG_BEDS_2,2,1))</f>
        <v>1</v>
      </c>
      <c r="MC85" s="5">
        <f>MIN(1,MAX(0,$MB$26-($A85-1)))</f>
        <v>1</v>
      </c>
      <c r="MD85" s="5">
        <f>$MB$25*(MC85+(1-MC85)*$MB$16)</f>
        <v>213.44610951008647</v>
      </c>
      <c r="ME85" s="13">
        <f>MD85*($MB$6+ACUTE_MARGIN)</f>
        <v>215580.57060518733</v>
      </c>
      <c r="MF85" s="13">
        <f>IF(MB85=1,$MB$31,$MB$32)</f>
        <v>152394.16214437486</v>
      </c>
      <c r="MG85" s="13">
        <f>ME85-MF85</f>
        <v>63186.40846081247</v>
      </c>
      <c r="MH85" s="13">
        <f>MH84+MG85</f>
        <v>126372.81692162494</v>
      </c>
      <c r="MI85">
        <f>IF(MH85=MAX($MH$83:$MH$483),$A85,0)</f>
        <v>0</v>
      </c>
      <c r="MJ85">
        <f>IF(ME85&lt;MF85,$A85,B_MAX+1)</f>
        <v>401.0</v>
      </c>
      <c r="MK85" s="13">
        <f>IF(MB85=1,$MB$35,$MB$36)</f>
        <v>0</v>
      </c>
      <c r="ML85" s="13">
        <f>OCC_DAYS*$MB$41*R_NF_2023-MD85*MCD_SHARE_FREED*R_WAIT_2023</f>
        <v>54922.538779778624</v>
      </c>
      <c r="MM85">
        <f>IF($A85&lt;=$MB$45,1,0)</f>
        <v>1</v>
      </c>
      <c r="NB85">
        <f>IF($NB$31&lt;=$NB$32,IF($A85&lt;=$NB$7,1,2),IF($A85&lt;=RUNG_BEDS_2,2,1))</f>
        <v>1</v>
      </c>
      <c r="NC85" s="5">
        <f>MIN(1,MAX(0,$NB$26-($A85-1)))</f>
        <v>1</v>
      </c>
      <c r="ND85" s="5">
        <f>$NB$25*(NC85+(1-NC85)*$NB$16)</f>
        <v>252.05322714681438</v>
      </c>
      <c r="NE85" s="13">
        <f>ND85*($NB$6+ACUTE_MARGIN)</f>
        <v>254573.7594182825</v>
      </c>
      <c r="NF85" s="13">
        <f>IF(NB85=1,$NB$31,$NB$32)</f>
        <v>152394.16214437486</v>
      </c>
      <c r="NG85" s="13">
        <f>NE85-NF85</f>
        <v>102179.59727390765</v>
      </c>
      <c r="NH85" s="13">
        <f>NH84+NG85</f>
        <v>204359.1945478153</v>
      </c>
      <c r="NI85">
        <f>IF(NH85=MAX($NH$83:$NH$483),$A85,0)</f>
        <v>0</v>
      </c>
      <c r="NJ85">
        <f>IF(NE85&lt;NF85,$A85,B_MAX+1)</f>
        <v>401.0</v>
      </c>
      <c r="NK85" s="13">
        <f>IF(NB85=1,$NB$35,$NB$36)</f>
        <v>0</v>
      </c>
      <c r="NL85" s="13">
        <f>OCC_DAYS*$NB$41*R_NF_2023-ND85*MCD_SHARE_FREED*R_WAIT_2023</f>
        <v>37367.159242427646</v>
      </c>
      <c r="NM85">
        <f>IF($A85&lt;=$NB$45,1,0)</f>
        <v>1</v>
      </c>
      <c r="OB85">
        <f>IF($OB$31&lt;=$OB$32,IF($A85&lt;=$OB$7,1,2),IF($A85&lt;=RUNG_BEDS_2,2,1))</f>
        <v>1</v>
      </c>
      <c r="OC85" s="5">
        <f>MIN(1,MAX(0,$OB$26-($A85-1)))</f>
        <v>1</v>
      </c>
      <c r="OD85" s="5">
        <f>$OB$25*(OC85+(1-OC85)*$OB$16)</f>
        <v>252.05322714681438</v>
      </c>
      <c r="OE85" s="13">
        <f>OD85*($OB$6+ACUTE_MARGIN)</f>
        <v>254573.7594182825</v>
      </c>
      <c r="OF85" s="13">
        <f>IF(OB85=1,$OB$31,$OB$32)</f>
        <v>152394.16214437486</v>
      </c>
      <c r="OG85" s="13">
        <f>OE85-OF85</f>
        <v>102179.59727390765</v>
      </c>
      <c r="OH85" s="13">
        <f>OH84+OG85</f>
        <v>204359.1945478153</v>
      </c>
      <c r="OI85">
        <f>IF(OH85=MAX($OH$83:$OH$483),$A85,0)</f>
        <v>0</v>
      </c>
      <c r="OJ85">
        <f>IF(OE85&lt;OF85,$A85,B_MAX+1)</f>
        <v>401.0</v>
      </c>
      <c r="OK85" s="13">
        <f>IF(OB85=1,$OB$35,$OB$36)</f>
        <v>0</v>
      </c>
      <c r="OL85" s="13">
        <f>OCC_DAYS*$OB$41*R_NF_2023-OD85*MCD_SHARE_FREED*R_WAIT_2023</f>
        <v>37367.159242427646</v>
      </c>
      <c r="OM85">
        <f>IF($A85&lt;=$OB$45,1,0)</f>
        <v>1</v>
      </c>
    </row>
    <row r="86">
      <c r="A86" t="n">
        <v>3</v>
      </c>
      <c r="B86">
        <f>IF($B$31&lt;=$B$32,IF($A86&lt;=$B$7,1,2),IF($A86&lt;=RUNG_BEDS_2,2,1))</f>
        <v>1</v>
      </c>
      <c r="C86" s="5">
        <f>MIN(1,MAX(0,$B$26-($A86-1)))</f>
        <v>1</v>
      </c>
      <c r="D86" s="5">
        <f>$B$25*(C86+(1-C86)*$B$16)</f>
        <v>252.05322714681438</v>
      </c>
      <c r="E86" s="13">
        <f>D86*($B$6+ACUTE_MARGIN)</f>
        <v>254573.7594182825</v>
      </c>
      <c r="F86" s="13">
        <f>IF(B86=1,$B$31,$B$32)</f>
        <v>152394.16214437486</v>
      </c>
      <c r="G86" s="13">
        <f>E86-F86</f>
        <v>102179.59727390765</v>
      </c>
      <c r="H86" s="13">
        <f>H85+G86</f>
        <v>306538.791821723</v>
      </c>
      <c r="I86">
        <f>IF(H86=MAX($H$83:$H$483),$A86,0)</f>
        <v>0</v>
      </c>
      <c r="J86">
        <f>IF(E86&lt;F86,$A86,B_MAX+1)</f>
        <v>401.0</v>
      </c>
      <c r="K86" s="13">
        <f>IF(B86=1,$B$35,$B$36)</f>
        <v>0</v>
      </c>
      <c r="L86" s="13">
        <f>OCC_DAYS*$B$41*R_NF_2023-D86*MCD_SHARE_FREED*R_WAIT_2023</f>
        <v>37367.159242427646</v>
      </c>
      <c r="M86">
        <f>IF($A86&lt;=$B$45,1,0)</f>
        <v>1</v>
      </c>
      <c r="AB86">
        <f>IF($AB$31&lt;=$AB$32,IF($A86&lt;=$AB$7,1,2),IF($A86&lt;=RUNG_BEDS_2,2,1))</f>
        <v>1</v>
      </c>
      <c r="AC86" s="5">
        <f>MIN(1,MAX(0,$AB$26-($A86-1)))</f>
        <v>1</v>
      </c>
      <c r="AD86" s="5">
        <f>$AB$25*(AC86+(1-AC86)*$AB$16)</f>
        <v>252.05322714681438</v>
      </c>
      <c r="AE86" s="13">
        <f>AD86*($AB$6+ACUTE_MARGIN)</f>
        <v>138629.2749307479</v>
      </c>
      <c r="AF86" s="13">
        <f>IF(AB86=1,$AB$31,$AB$32)</f>
        <v>152394.16214437486</v>
      </c>
      <c r="AG86" s="13">
        <f>AE86-AF86</f>
        <v>-13764.887213626964</v>
      </c>
      <c r="AH86" s="13">
        <f>AH85+AG86</f>
        <v>-41294.66164088089</v>
      </c>
      <c r="AI86">
        <f>IF(AH86=MAX($AH$83:$AH$483),$A86,0)</f>
        <v>0</v>
      </c>
      <c r="AJ86">
        <f>IF(AE86&lt;AF86,$A86,B_MAX+1)</f>
        <v>3</v>
      </c>
      <c r="AK86" s="13">
        <f>IF(AB86=1,$AB$35,$AB$36)</f>
        <v>0</v>
      </c>
      <c r="AL86" s="13">
        <f>OCC_DAYS*$AB$41*R_NF_2023-AD86*MCD_SHARE_FREED*R_WAIT_2023</f>
        <v>37367.159242427646</v>
      </c>
      <c r="AM86">
        <f>IF($A86&lt;=$AB$45,1,0)</f>
        <v>0</v>
      </c>
      <c r="BB86">
        <f>IF($BB$31&lt;=$BB$32,IF($A86&lt;=$BB$7,1,2),IF($A86&lt;=RUNG_BEDS_2,2,1))</f>
        <v>1</v>
      </c>
      <c r="BC86" s="5">
        <f>MIN(1,MAX(0,$BB$26-($A86-1)))</f>
        <v>1</v>
      </c>
      <c r="BD86" s="5">
        <f>$BB$25*(BC86+(1-BC86)*$BB$16)</f>
        <v>252.05322714681438</v>
      </c>
      <c r="BE86" s="13">
        <f>BD86*($BB$6+ACUTE_MARGIN)</f>
        <v>370518.24390581716</v>
      </c>
      <c r="BF86" s="13">
        <f>IF(BB86=1,$BB$31,$BB$32)</f>
        <v>152394.16214437486</v>
      </c>
      <c r="BG86" s="13">
        <f>BE86-BF86</f>
        <v>218124.0817614423</v>
      </c>
      <c r="BH86" s="13">
        <f>BH85+BG86</f>
        <v>654372.2452843268</v>
      </c>
      <c r="BI86">
        <f>IF(BH86=MAX($BH$83:$BH$483),$A86,0)</f>
        <v>0</v>
      </c>
      <c r="BJ86">
        <f>IF(BE86&lt;BF86,$A86,B_MAX+1)</f>
        <v>401.0</v>
      </c>
      <c r="BK86" s="13">
        <f>IF(BB86=1,$BB$35,$BB$36)</f>
        <v>0</v>
      </c>
      <c r="BL86" s="13">
        <f>OCC_DAYS*$BB$41*R_NF_2023-BD86*MCD_SHARE_FREED*R_WAIT_2023</f>
        <v>37367.159242427646</v>
      </c>
      <c r="BM86">
        <f>IF($A86&lt;=$BB$45,1,0)</f>
        <v>1</v>
      </c>
      <c r="CB86">
        <f>IF($CB$31&lt;=$CB$32,IF($A86&lt;=$CB$7,1,2),IF($A86&lt;=RUNG_BEDS_2,2,1))</f>
        <v>2</v>
      </c>
      <c r="CC86" s="5">
        <f>MIN(1,MAX(0,$CB$26-($A86-1)))</f>
        <v>1</v>
      </c>
      <c r="CD86" s="5">
        <f>$CB$25*(CC86+(1-CC86)*$CB$16)</f>
        <v>252.05322714681438</v>
      </c>
      <c r="CE86" s="13">
        <f>CD86*($CB$6+ACUTE_MARGIN)</f>
        <v>254573.7594182825</v>
      </c>
      <c r="CF86" s="13">
        <f>IF(CB86=1,$CB$31,$CB$32)</f>
        <v>160718.36940738867</v>
      </c>
      <c r="CG86" s="13">
        <f>CE86-CF86</f>
        <v>93855.39001089384</v>
      </c>
      <c r="CH86" s="13">
        <f>CH85+CG86</f>
        <v>281566.17003268155</v>
      </c>
      <c r="CI86">
        <f>IF(CH86=MAX($CH$83:$CH$483),$A86,0)</f>
        <v>0</v>
      </c>
      <c r="CJ86">
        <f>IF(CE86&lt;CF86,$A86,B_MAX+1)</f>
        <v>401.0</v>
      </c>
      <c r="CK86" s="13">
        <f>IF(CB86=1,$CB$35,$CB$36)</f>
        <v>1560.1194073886782</v>
      </c>
      <c r="CL86" s="13">
        <f>OCC_DAYS*$CB$41*R_NF_2023-CD86*MCD_SHARE_FREED*R_WAIT_2023</f>
        <v>37367.159242427646</v>
      </c>
      <c r="CM86">
        <f>IF($A86&lt;=$CB$45,1,0)</f>
        <v>1</v>
      </c>
      <c r="DB86">
        <f>IF($DB$31&lt;=$DB$32,IF($A86&lt;=$DB$7,1,2),IF($A86&lt;=RUNG_BEDS_2,2,1))</f>
        <v>1</v>
      </c>
      <c r="DC86" s="5">
        <f>MIN(1,MAX(0,$DB$26-($A86-1)))</f>
        <v>1</v>
      </c>
      <c r="DD86" s="5">
        <f>$DB$25*(DC86+(1-DC86)*$DB$16)</f>
        <v>252.05322714681438</v>
      </c>
      <c r="DE86" s="13">
        <f>DD86*($DB$6+ACUTE_MARGIN)</f>
        <v>254573.7594182825</v>
      </c>
      <c r="DF86" s="13">
        <f>IF(DB86=1,$DB$31,$DB$32)</f>
        <v>152394.16214437486</v>
      </c>
      <c r="DG86" s="13">
        <f>DE86-DF86</f>
        <v>102179.59727390765</v>
      </c>
      <c r="DH86" s="13">
        <f>DH85+DG86</f>
        <v>306538.791821723</v>
      </c>
      <c r="DI86">
        <f>IF(DH86=MAX($DH$83:$DH$483),$A86,0)</f>
        <v>0</v>
      </c>
      <c r="DJ86">
        <f>IF(DE86&lt;DF86,$A86,B_MAX+1)</f>
        <v>401.0</v>
      </c>
      <c r="DK86" s="13">
        <f>IF(DB86=1,$DB$35,$DB$36)</f>
        <v>0</v>
      </c>
      <c r="DL86" s="13">
        <f>OCC_DAYS*$DB$41*R_NF_2023-DD86*MCD_SHARE_FREED*R_WAIT_2023</f>
        <v>37367.159242427646</v>
      </c>
      <c r="DM86">
        <f>IF($A86&lt;=$DB$45,1,0)</f>
        <v>1</v>
      </c>
      <c r="EB86">
        <f>IF($EB$31&lt;=$EB$32,IF($A86&lt;=$EB$7,1,2),IF($A86&lt;=RUNG_BEDS_2,2,1))</f>
        <v>1</v>
      </c>
      <c r="EC86" s="5">
        <f>MIN(1,MAX(0,$EB$26-($A86-1)))</f>
        <v>1</v>
      </c>
      <c r="ED86" s="5">
        <f>$EB$25*(EC86+(1-EC86)*$EB$16)</f>
        <v>252.05322714681438</v>
      </c>
      <c r="EE86" s="13">
        <f>ED86*($EB$6+ACUTE_MARGIN)</f>
        <v>254573.7594182825</v>
      </c>
      <c r="EF86" s="13">
        <f>IF(EB86=1,$EB$31,$EB$32)</f>
        <v>152394.16214437486</v>
      </c>
      <c r="EG86" s="13">
        <f>EE86-EF86</f>
        <v>102179.59727390765</v>
      </c>
      <c r="EH86" s="13">
        <f>EH85+EG86</f>
        <v>306538.791821723</v>
      </c>
      <c r="EI86">
        <f>IF(EH86=MAX($EH$83:$EH$483),$A86,0)</f>
        <v>0</v>
      </c>
      <c r="EJ86">
        <f>IF(EE86&lt;EF86,$A86,B_MAX+1)</f>
        <v>401.0</v>
      </c>
      <c r="EK86" s="13">
        <f>IF(EB86=1,$EB$35,$EB$36)</f>
        <v>0</v>
      </c>
      <c r="EL86" s="13">
        <f>OCC_DAYS*$EB$41*R_NF_2023-ED86*MCD_SHARE_FREED*R_WAIT_2023</f>
        <v>-63953.16263896705</v>
      </c>
      <c r="EM86">
        <f>IF($A86&lt;=$EB$45,1,0)</f>
        <v>1</v>
      </c>
      <c r="FB86">
        <f>IF($FB$31&lt;=$FB$32,IF($A86&lt;=$FB$7,1,2),IF($A86&lt;=RUNG_BEDS_2,2,1))</f>
        <v>1</v>
      </c>
      <c r="FC86" s="5">
        <f>MIN(1,MAX(0,$FB$26-($A86-1)))</f>
        <v>1</v>
      </c>
      <c r="FD86" s="5">
        <f>$FB$25*(FC86+(1-FC86)*$FB$16)</f>
        <v>252.05322714681438</v>
      </c>
      <c r="FE86" s="13">
        <f>FD86*($FB$6+ACUTE_MARGIN)</f>
        <v>254573.7594182825</v>
      </c>
      <c r="FF86" s="13">
        <f>IF(FB86=1,$FB$31,$FB$32)</f>
        <v>156636.04979437485</v>
      </c>
      <c r="FG86" s="13">
        <f>FE86-FF86</f>
        <v>97937.70962390766</v>
      </c>
      <c r="FH86" s="13">
        <f>FH85+FG86</f>
        <v>293813.12887172296</v>
      </c>
      <c r="FI86">
        <f>IF(FH86=MAX($FH$83:$FH$483),$A86,0)</f>
        <v>0</v>
      </c>
      <c r="FJ86">
        <f>IF(FE86&lt;FF86,$A86,B_MAX+1)</f>
        <v>401.0</v>
      </c>
      <c r="FK86" s="13">
        <f>IF(FB86=1,$FB$35,$FB$36)</f>
        <v>0</v>
      </c>
      <c r="FL86" s="13">
        <f>OCC_DAYS*$FB$41*R_NF_2023-FD86*MCD_SHARE_FREED*R_WAIT_2023</f>
        <v>37367.159242427646</v>
      </c>
      <c r="FM86">
        <f>IF($A86&lt;=$FB$45,1,0)</f>
        <v>1</v>
      </c>
      <c r="GB86">
        <f>IF($GB$31&lt;=$GB$32,IF($A86&lt;=$GB$7,1,2),IF($A86&lt;=RUNG_BEDS_2,2,1))</f>
        <v>1</v>
      </c>
      <c r="GC86" s="5">
        <f>MIN(1,MAX(0,$GB$26-($A86-1)))</f>
        <v>1</v>
      </c>
      <c r="GD86" s="5">
        <f>$GB$25*(GC86+(1-GC86)*$GB$16)</f>
        <v>252.05322714681438</v>
      </c>
      <c r="GE86" s="13">
        <f>GD86*($GB$6+ACUTE_MARGIN)</f>
        <v>254573.7594182825</v>
      </c>
      <c r="GF86" s="13">
        <f>IF(GB86=1,$GB$31,$GB$32)</f>
        <v>152394.16214437486</v>
      </c>
      <c r="GG86" s="13">
        <f>GE86-GF86</f>
        <v>102179.59727390765</v>
      </c>
      <c r="GH86" s="13">
        <f>GH85+GG86</f>
        <v>306538.791821723</v>
      </c>
      <c r="GI86">
        <f>IF(GH86=MAX($GH$83:$GH$483),$A86,0)</f>
        <v>0</v>
      </c>
      <c r="GJ86">
        <f>IF(GE86&lt;GF86,$A86,B_MAX+1)</f>
        <v>401.0</v>
      </c>
      <c r="GK86" s="13">
        <f>IF(GB86=1,$GB$35,$GB$36)</f>
        <v>0</v>
      </c>
      <c r="GL86" s="13">
        <f>OCC_DAYS*$GB$41*R_NF_2023-GD86*MCD_SHARE_FREED*R_WAIT_2023</f>
        <v>37367.159242427646</v>
      </c>
      <c r="GM86">
        <f>IF($A86&lt;=$GB$45,1,0)</f>
        <v>1</v>
      </c>
      <c r="HB86">
        <f>IF($HB$31&lt;=$HB$32,IF($A86&lt;=$HB$7,1,2),IF($A86&lt;=RUNG_BEDS_2,2,1))</f>
        <v>1</v>
      </c>
      <c r="HC86" s="5">
        <f>MIN(1,MAX(0,$HB$26-($A86-1)))</f>
        <v>1</v>
      </c>
      <c r="HD86" s="5">
        <f>$HB$25*(HC86+(1-HC86)*$HB$16)</f>
        <v>252.05322714681438</v>
      </c>
      <c r="HE86" s="13">
        <f>HD86*($HB$6+ACUTE_MARGIN)</f>
        <v>254573.7594182825</v>
      </c>
      <c r="HF86" s="13">
        <f>IF(HB86=1,$HB$31,$HB$32)</f>
        <v>152456.2970814058</v>
      </c>
      <c r="HG86" s="13">
        <f>HE86-HF86</f>
        <v>102117.46233687672</v>
      </c>
      <c r="HH86" s="13">
        <f>HH85+HG86</f>
        <v>306352.38701063016</v>
      </c>
      <c r="HI86">
        <f>IF(HH86=MAX($HH$83:$HH$483),$A86,0)</f>
        <v>0</v>
      </c>
      <c r="HJ86">
        <f>IF(HE86&lt;HF86,$A86,B_MAX+1)</f>
        <v>401.0</v>
      </c>
      <c r="HK86" s="13">
        <f>IF(HB86=1,$HB$35,$HB$36)</f>
        <v>0</v>
      </c>
      <c r="HL86" s="13">
        <f>OCC_DAYS*$HB$41*R_NF_2023-HD86*MCD_SHARE_FREED*R_WAIT_2023</f>
        <v>37367.159242427646</v>
      </c>
      <c r="HM86">
        <f>IF($A86&lt;=$HB$45,1,0)</f>
        <v>1</v>
      </c>
      <c r="IB86">
        <f>IF($IB$31&lt;=$IB$32,IF($A86&lt;=$IB$7,1,2),IF($A86&lt;=RUNG_BEDS_2,2,1))</f>
        <v>1</v>
      </c>
      <c r="IC86" s="5">
        <f>MIN(1,MAX(0,$IB$26-($A86-1)))</f>
        <v>1</v>
      </c>
      <c r="ID86" s="5">
        <f>$IB$25*(IC86+(1-IC86)*$IB$16)</f>
        <v>252.05322714681438</v>
      </c>
      <c r="IE86" s="13">
        <f>ID86*($IB$6+ACUTE_MARGIN)</f>
        <v>254573.7594182825</v>
      </c>
      <c r="IF86" s="13">
        <f>IF(IB86=1,$IB$31,$IB$32)</f>
        <v>152734.9994534971</v>
      </c>
      <c r="IG86" s="13">
        <f>IE86-IF86</f>
        <v>101838.75996478542</v>
      </c>
      <c r="IH86" s="13">
        <f>IH85+IG86</f>
        <v>305516.27989435627</v>
      </c>
      <c r="II86">
        <f>IF(IH86=MAX($IH$83:$IH$483),$A86,0)</f>
        <v>0</v>
      </c>
      <c r="IJ86">
        <f>IF(IE86&lt;IF86,$A86,B_MAX+1)</f>
        <v>401.0</v>
      </c>
      <c r="IK86" s="13">
        <f>IF(IB86=1,$IB$35,$IB$36)</f>
        <v>0</v>
      </c>
      <c r="IL86" s="13">
        <f>OCC_DAYS*$IB$41*R_NF_2023-ID86*MCD_SHARE_FREED*R_WAIT_2023</f>
        <v>37367.159242427646</v>
      </c>
      <c r="IM86">
        <f>IF($A86&lt;=$IB$45,1,0)</f>
        <v>1</v>
      </c>
      <c r="JB86">
        <f>IF($JB$31&lt;=$JB$32,IF($A86&lt;=$JB$7,1,2),IF($A86&lt;=RUNG_BEDS_2,2,1))</f>
        <v>1</v>
      </c>
      <c r="JC86" s="5">
        <f>MIN(1,MAX(0,$JB$26-($A86-1)))</f>
        <v>1</v>
      </c>
      <c r="JD86" s="5">
        <f>$JB$25*(JC86+(1-JC86)*$JB$16)</f>
        <v>252.05322714681438</v>
      </c>
      <c r="JE86" s="13">
        <f>JD86*($JB$6+ACUTE_MARGIN)</f>
        <v>254573.7594182825</v>
      </c>
      <c r="JF86" s="13">
        <f>IF(JB86=1,$JB$31,$JB$32)</f>
        <v>152394.16214437486</v>
      </c>
      <c r="JG86" s="13">
        <f>JE86-JF86</f>
        <v>102179.59727390765</v>
      </c>
      <c r="JH86" s="13">
        <f>JH85+JG86</f>
        <v>306538.791821723</v>
      </c>
      <c r="JI86">
        <f>IF(JH86=MAX($JH$83:$JH$483),$A86,0)</f>
        <v>0</v>
      </c>
      <c r="JJ86">
        <f>IF(JE86&lt;JF86,$A86,B_MAX+1)</f>
        <v>401.0</v>
      </c>
      <c r="JK86" s="13">
        <f>IF(JB86=1,$JB$35,$JB$36)</f>
        <v>0</v>
      </c>
      <c r="JL86" s="13">
        <f>OCC_DAYS*$JB$41*R_NF_2023-JD86*MCD_SHARE_FREED*R_WAIT_2023</f>
        <v>37367.159242427646</v>
      </c>
      <c r="JM86">
        <f>IF($A86&lt;=$JB$45,1,0)</f>
        <v>1</v>
      </c>
      <c r="KB86">
        <f>IF($KB$31&lt;=$KB$32,IF($A86&lt;=$KB$7,1,2),IF($A86&lt;=RUNG_BEDS_2,2,1))</f>
        <v>1</v>
      </c>
      <c r="KC86" s="5">
        <f>MIN(1,MAX(0,$KB$26-($A86-1)))</f>
        <v>1</v>
      </c>
      <c r="KD86" s="5">
        <f>$KB$25*(KC86+(1-KC86)*$KB$16)</f>
        <v>126.02661357340719</v>
      </c>
      <c r="KE86" s="13">
        <f>KD86*($KB$6+ACUTE_MARGIN)</f>
        <v>127286.87970914126</v>
      </c>
      <c r="KF86" s="13">
        <f>IF(KB86=1,$KB$31,$KB$32)</f>
        <v>152394.16214437486</v>
      </c>
      <c r="KG86" s="13">
        <f>KE86-KF86</f>
        <v>-25107.282435233603</v>
      </c>
      <c r="KH86" s="13">
        <f>KH85+KG86</f>
        <v>-75321.84730570081</v>
      </c>
      <c r="KI86">
        <f>IF(KH86=MAX($KH$83:$KH$483),$A86,0)</f>
        <v>0</v>
      </c>
      <c r="KJ86">
        <f>IF(KE86&lt;KF86,$A86,B_MAX+1)</f>
        <v>3</v>
      </c>
      <c r="KK86" s="13">
        <f>IF(KB86=1,$KB$35,$KB$36)</f>
        <v>0</v>
      </c>
      <c r="KL86" s="13">
        <f>OCC_DAYS*$KB$41*R_NF_2023-KD86*MCD_SHARE_FREED*R_WAIT_2023</f>
        <v>94673.82103225985</v>
      </c>
      <c r="KM86">
        <f>IF($A86&lt;=$KB$45,1,0)</f>
        <v>0</v>
      </c>
      <c r="LB86">
        <f>IF($LB$31&lt;=$LB$32,IF($A86&lt;=$LB$7,1,2),IF($A86&lt;=RUNG_BEDS_2,2,1))</f>
        <v>1</v>
      </c>
      <c r="LC86" s="5">
        <f>MIN(1,MAX(0,$LB$26-($A86-1)))</f>
        <v>1</v>
      </c>
      <c r="LD86" s="5">
        <f>$LB$25*(LC86+(1-LC86)*$LB$16)</f>
        <v>84.01774238227146</v>
      </c>
      <c r="LE86" s="13">
        <f>LD86*($LB$6+ACUTE_MARGIN)</f>
        <v>84857.91980609419</v>
      </c>
      <c r="LF86" s="13">
        <f>IF(LB86=1,$LB$31,$LB$32)</f>
        <v>152394.16214437486</v>
      </c>
      <c r="LG86" s="13">
        <f>LE86-LF86</f>
        <v>-67536.24233828067</v>
      </c>
      <c r="LH86" s="13">
        <f>LH85+LG86</f>
        <v>-202608.72701484204</v>
      </c>
      <c r="LI86">
        <f>IF(LH86=MAX($LH$83:$LH$483),$A86,0)</f>
        <v>0</v>
      </c>
      <c r="LJ86">
        <f>IF(LE86&lt;LF86,$A86,B_MAX+1)</f>
        <v>3</v>
      </c>
      <c r="LK86" s="13">
        <f>IF(LB86=1,$LB$35,$LB$36)</f>
        <v>0</v>
      </c>
      <c r="LL86" s="13">
        <f>OCC_DAYS*$LB$41*R_NF_2023-LD86*MCD_SHARE_FREED*R_WAIT_2023</f>
        <v>113776.04162887059</v>
      </c>
      <c r="LM86">
        <f>IF($A86&lt;=$LB$45,1,0)</f>
        <v>0</v>
      </c>
      <c r="MB86">
        <f>IF($MB$31&lt;=$MB$32,IF($A86&lt;=$MB$7,1,2),IF($A86&lt;=RUNG_BEDS_2,2,1))</f>
        <v>1</v>
      </c>
      <c r="MC86" s="5">
        <f>MIN(1,MAX(0,$MB$26-($A86-1)))</f>
        <v>1</v>
      </c>
      <c r="MD86" s="5">
        <f>$MB$25*(MC86+(1-MC86)*$MB$16)</f>
        <v>213.44610951008647</v>
      </c>
      <c r="ME86" s="13">
        <f>MD86*($MB$6+ACUTE_MARGIN)</f>
        <v>215580.57060518733</v>
      </c>
      <c r="MF86" s="13">
        <f>IF(MB86=1,$MB$31,$MB$32)</f>
        <v>152394.16214437486</v>
      </c>
      <c r="MG86" s="13">
        <f>ME86-MF86</f>
        <v>63186.40846081247</v>
      </c>
      <c r="MH86" s="13">
        <f>MH85+MG86</f>
        <v>189559.2253824374</v>
      </c>
      <c r="MI86">
        <f>IF(MH86=MAX($MH$83:$MH$483),$A86,0)</f>
        <v>0</v>
      </c>
      <c r="MJ86">
        <f>IF(ME86&lt;MF86,$A86,B_MAX+1)</f>
        <v>401.0</v>
      </c>
      <c r="MK86" s="13">
        <f>IF(MB86=1,$MB$35,$MB$36)</f>
        <v>0</v>
      </c>
      <c r="ML86" s="13">
        <f>OCC_DAYS*$MB$41*R_NF_2023-MD86*MCD_SHARE_FREED*R_WAIT_2023</f>
        <v>54922.538779778624</v>
      </c>
      <c r="MM86">
        <f>IF($A86&lt;=$MB$45,1,0)</f>
        <v>1</v>
      </c>
      <c r="NB86">
        <f>IF($NB$31&lt;=$NB$32,IF($A86&lt;=$NB$7,1,2),IF($A86&lt;=RUNG_BEDS_2,2,1))</f>
        <v>1</v>
      </c>
      <c r="NC86" s="5">
        <f>MIN(1,MAX(0,$NB$26-($A86-1)))</f>
        <v>1</v>
      </c>
      <c r="ND86" s="5">
        <f>$NB$25*(NC86+(1-NC86)*$NB$16)</f>
        <v>252.05322714681438</v>
      </c>
      <c r="NE86" s="13">
        <f>ND86*($NB$6+ACUTE_MARGIN)</f>
        <v>254573.7594182825</v>
      </c>
      <c r="NF86" s="13">
        <f>IF(NB86=1,$NB$31,$NB$32)</f>
        <v>152394.16214437486</v>
      </c>
      <c r="NG86" s="13">
        <f>NE86-NF86</f>
        <v>102179.59727390765</v>
      </c>
      <c r="NH86" s="13">
        <f>NH85+NG86</f>
        <v>306538.791821723</v>
      </c>
      <c r="NI86">
        <f>IF(NH86=MAX($NH$83:$NH$483),$A86,0)</f>
        <v>0</v>
      </c>
      <c r="NJ86">
        <f>IF(NE86&lt;NF86,$A86,B_MAX+1)</f>
        <v>401.0</v>
      </c>
      <c r="NK86" s="13">
        <f>IF(NB86=1,$NB$35,$NB$36)</f>
        <v>0</v>
      </c>
      <c r="NL86" s="13">
        <f>OCC_DAYS*$NB$41*R_NF_2023-ND86*MCD_SHARE_FREED*R_WAIT_2023</f>
        <v>37367.159242427646</v>
      </c>
      <c r="NM86">
        <f>IF($A86&lt;=$NB$45,1,0)</f>
        <v>1</v>
      </c>
      <c r="OB86">
        <f>IF($OB$31&lt;=$OB$32,IF($A86&lt;=$OB$7,1,2),IF($A86&lt;=RUNG_BEDS_2,2,1))</f>
        <v>1</v>
      </c>
      <c r="OC86" s="5">
        <f>MIN(1,MAX(0,$OB$26-($A86-1)))</f>
        <v>1</v>
      </c>
      <c r="OD86" s="5">
        <f>$OB$25*(OC86+(1-OC86)*$OB$16)</f>
        <v>252.05322714681438</v>
      </c>
      <c r="OE86" s="13">
        <f>OD86*($OB$6+ACUTE_MARGIN)</f>
        <v>254573.7594182825</v>
      </c>
      <c r="OF86" s="13">
        <f>IF(OB86=1,$OB$31,$OB$32)</f>
        <v>152394.16214437486</v>
      </c>
      <c r="OG86" s="13">
        <f>OE86-OF86</f>
        <v>102179.59727390765</v>
      </c>
      <c r="OH86" s="13">
        <f>OH85+OG86</f>
        <v>306538.791821723</v>
      </c>
      <c r="OI86">
        <f>IF(OH86=MAX($OH$83:$OH$483),$A86,0)</f>
        <v>0</v>
      </c>
      <c r="OJ86">
        <f>IF(OE86&lt;OF86,$A86,B_MAX+1)</f>
        <v>401.0</v>
      </c>
      <c r="OK86" s="13">
        <f>IF(OB86=1,$OB$35,$OB$36)</f>
        <v>0</v>
      </c>
      <c r="OL86" s="13">
        <f>OCC_DAYS*$OB$41*R_NF_2023-OD86*MCD_SHARE_FREED*R_WAIT_2023</f>
        <v>37367.159242427646</v>
      </c>
      <c r="OM86">
        <f>IF($A86&lt;=$OB$45,1,0)</f>
        <v>1</v>
      </c>
    </row>
    <row r="87">
      <c r="A87" t="n">
        <v>4</v>
      </c>
      <c r="B87">
        <f>IF($B$31&lt;=$B$32,IF($A87&lt;=$B$7,1,2),IF($A87&lt;=RUNG_BEDS_2,2,1))</f>
        <v>1</v>
      </c>
      <c r="C87" s="5">
        <f>MIN(1,MAX(0,$B$26-($A87-1)))</f>
        <v>1</v>
      </c>
      <c r="D87" s="5">
        <f>$B$25*(C87+(1-C87)*$B$16)</f>
        <v>252.05322714681438</v>
      </c>
      <c r="E87" s="13">
        <f>D87*($B$6+ACUTE_MARGIN)</f>
        <v>254573.7594182825</v>
      </c>
      <c r="F87" s="13">
        <f>IF(B87=1,$B$31,$B$32)</f>
        <v>152394.16214437486</v>
      </c>
      <c r="G87" s="13">
        <f>E87-F87</f>
        <v>102179.59727390765</v>
      </c>
      <c r="H87" s="13">
        <f>H86+G87</f>
        <v>408718.3890956306</v>
      </c>
      <c r="I87">
        <f>IF(H87=MAX($H$83:$H$483),$A87,0)</f>
        <v>0</v>
      </c>
      <c r="J87">
        <f>IF(E87&lt;F87,$A87,B_MAX+1)</f>
        <v>401.0</v>
      </c>
      <c r="K87" s="13">
        <f>IF(B87=1,$B$35,$B$36)</f>
        <v>0</v>
      </c>
      <c r="L87" s="13">
        <f>OCC_DAYS*$B$41*R_NF_2023-D87*MCD_SHARE_FREED*R_WAIT_2023</f>
        <v>37367.159242427646</v>
      </c>
      <c r="M87">
        <f>IF($A87&lt;=$B$45,1,0)</f>
        <v>1</v>
      </c>
      <c r="AB87">
        <f>IF($AB$31&lt;=$AB$32,IF($A87&lt;=$AB$7,1,2),IF($A87&lt;=RUNG_BEDS_2,2,1))</f>
        <v>1</v>
      </c>
      <c r="AC87" s="5">
        <f>MIN(1,MAX(0,$AB$26-($A87-1)))</f>
        <v>1</v>
      </c>
      <c r="AD87" s="5">
        <f>$AB$25*(AC87+(1-AC87)*$AB$16)</f>
        <v>252.05322714681438</v>
      </c>
      <c r="AE87" s="13">
        <f>AD87*($AB$6+ACUTE_MARGIN)</f>
        <v>138629.2749307479</v>
      </c>
      <c r="AF87" s="13">
        <f>IF(AB87=1,$AB$31,$AB$32)</f>
        <v>152394.16214437486</v>
      </c>
      <c r="AG87" s="13">
        <f>AE87-AF87</f>
        <v>-13764.887213626964</v>
      </c>
      <c r="AH87" s="13">
        <f>AH86+AG87</f>
        <v>-55059.548854507855</v>
      </c>
      <c r="AI87">
        <f>IF(AH87=MAX($AH$83:$AH$483),$A87,0)</f>
        <v>0</v>
      </c>
      <c r="AJ87">
        <f>IF(AE87&lt;AF87,$A87,B_MAX+1)</f>
        <v>4</v>
      </c>
      <c r="AK87" s="13">
        <f>IF(AB87=1,$AB$35,$AB$36)</f>
        <v>0</v>
      </c>
      <c r="AL87" s="13">
        <f>OCC_DAYS*$AB$41*R_NF_2023-AD87*MCD_SHARE_FREED*R_WAIT_2023</f>
        <v>37367.159242427646</v>
      </c>
      <c r="AM87">
        <f>IF($A87&lt;=$AB$45,1,0)</f>
        <v>0</v>
      </c>
      <c r="BB87">
        <f>IF($BB$31&lt;=$BB$32,IF($A87&lt;=$BB$7,1,2),IF($A87&lt;=RUNG_BEDS_2,2,1))</f>
        <v>1</v>
      </c>
      <c r="BC87" s="5">
        <f>MIN(1,MAX(0,$BB$26-($A87-1)))</f>
        <v>1</v>
      </c>
      <c r="BD87" s="5">
        <f>$BB$25*(BC87+(1-BC87)*$BB$16)</f>
        <v>252.05322714681438</v>
      </c>
      <c r="BE87" s="13">
        <f>BD87*($BB$6+ACUTE_MARGIN)</f>
        <v>370518.24390581716</v>
      </c>
      <c r="BF87" s="13">
        <f>IF(BB87=1,$BB$31,$BB$32)</f>
        <v>152394.16214437486</v>
      </c>
      <c r="BG87" s="13">
        <f>BE87-BF87</f>
        <v>218124.0817614423</v>
      </c>
      <c r="BH87" s="13">
        <f>BH86+BG87</f>
        <v>872496.3270457692</v>
      </c>
      <c r="BI87">
        <f>IF(BH87=MAX($BH$83:$BH$483),$A87,0)</f>
        <v>0</v>
      </c>
      <c r="BJ87">
        <f>IF(BE87&lt;BF87,$A87,B_MAX+1)</f>
        <v>401.0</v>
      </c>
      <c r="BK87" s="13">
        <f>IF(BB87=1,$BB$35,$BB$36)</f>
        <v>0</v>
      </c>
      <c r="BL87" s="13">
        <f>OCC_DAYS*$BB$41*R_NF_2023-BD87*MCD_SHARE_FREED*R_WAIT_2023</f>
        <v>37367.159242427646</v>
      </c>
      <c r="BM87">
        <f>IF($A87&lt;=$BB$45,1,0)</f>
        <v>1</v>
      </c>
      <c r="CB87">
        <f>IF($CB$31&lt;=$CB$32,IF($A87&lt;=$CB$7,1,2),IF($A87&lt;=RUNG_BEDS_2,2,1))</f>
        <v>2</v>
      </c>
      <c r="CC87" s="5">
        <f>MIN(1,MAX(0,$CB$26-($A87-1)))</f>
        <v>1</v>
      </c>
      <c r="CD87" s="5">
        <f>$CB$25*(CC87+(1-CC87)*$CB$16)</f>
        <v>252.05322714681438</v>
      </c>
      <c r="CE87" s="13">
        <f>CD87*($CB$6+ACUTE_MARGIN)</f>
        <v>254573.7594182825</v>
      </c>
      <c r="CF87" s="13">
        <f>IF(CB87=1,$CB$31,$CB$32)</f>
        <v>160718.36940738867</v>
      </c>
      <c r="CG87" s="13">
        <f>CE87-CF87</f>
        <v>93855.39001089384</v>
      </c>
      <c r="CH87" s="13">
        <f>CH86+CG87</f>
        <v>375421.56004357536</v>
      </c>
      <c r="CI87">
        <f>IF(CH87=MAX($CH$83:$CH$483),$A87,0)</f>
        <v>0</v>
      </c>
      <c r="CJ87">
        <f>IF(CE87&lt;CF87,$A87,B_MAX+1)</f>
        <v>401.0</v>
      </c>
      <c r="CK87" s="13">
        <f>IF(CB87=1,$CB$35,$CB$36)</f>
        <v>1560.1194073886782</v>
      </c>
      <c r="CL87" s="13">
        <f>OCC_DAYS*$CB$41*R_NF_2023-CD87*MCD_SHARE_FREED*R_WAIT_2023</f>
        <v>37367.159242427646</v>
      </c>
      <c r="CM87">
        <f>IF($A87&lt;=$CB$45,1,0)</f>
        <v>1</v>
      </c>
      <c r="DB87">
        <f>IF($DB$31&lt;=$DB$32,IF($A87&lt;=$DB$7,1,2),IF($A87&lt;=RUNG_BEDS_2,2,1))</f>
        <v>1</v>
      </c>
      <c r="DC87" s="5">
        <f>MIN(1,MAX(0,$DB$26-($A87-1)))</f>
        <v>1</v>
      </c>
      <c r="DD87" s="5">
        <f>$DB$25*(DC87+(1-DC87)*$DB$16)</f>
        <v>252.05322714681438</v>
      </c>
      <c r="DE87" s="13">
        <f>DD87*($DB$6+ACUTE_MARGIN)</f>
        <v>254573.7594182825</v>
      </c>
      <c r="DF87" s="13">
        <f>IF(DB87=1,$DB$31,$DB$32)</f>
        <v>152394.16214437486</v>
      </c>
      <c r="DG87" s="13">
        <f>DE87-DF87</f>
        <v>102179.59727390765</v>
      </c>
      <c r="DH87" s="13">
        <f>DH86+DG87</f>
        <v>408718.3890956306</v>
      </c>
      <c r="DI87">
        <f>IF(DH87=MAX($DH$83:$DH$483),$A87,0)</f>
        <v>0</v>
      </c>
      <c r="DJ87">
        <f>IF(DE87&lt;DF87,$A87,B_MAX+1)</f>
        <v>401.0</v>
      </c>
      <c r="DK87" s="13">
        <f>IF(DB87=1,$DB$35,$DB$36)</f>
        <v>0</v>
      </c>
      <c r="DL87" s="13">
        <f>OCC_DAYS*$DB$41*R_NF_2023-DD87*MCD_SHARE_FREED*R_WAIT_2023</f>
        <v>37367.159242427646</v>
      </c>
      <c r="DM87">
        <f>IF($A87&lt;=$DB$45,1,0)</f>
        <v>1</v>
      </c>
      <c r="EB87">
        <f>IF($EB$31&lt;=$EB$32,IF($A87&lt;=$EB$7,1,2),IF($A87&lt;=RUNG_BEDS_2,2,1))</f>
        <v>1</v>
      </c>
      <c r="EC87" s="5">
        <f>MIN(1,MAX(0,$EB$26-($A87-1)))</f>
        <v>1</v>
      </c>
      <c r="ED87" s="5">
        <f>$EB$25*(EC87+(1-EC87)*$EB$16)</f>
        <v>252.05322714681438</v>
      </c>
      <c r="EE87" s="13">
        <f>ED87*($EB$6+ACUTE_MARGIN)</f>
        <v>254573.7594182825</v>
      </c>
      <c r="EF87" s="13">
        <f>IF(EB87=1,$EB$31,$EB$32)</f>
        <v>152394.16214437486</v>
      </c>
      <c r="EG87" s="13">
        <f>EE87-EF87</f>
        <v>102179.59727390765</v>
      </c>
      <c r="EH87" s="13">
        <f>EH86+EG87</f>
        <v>408718.3890956306</v>
      </c>
      <c r="EI87">
        <f>IF(EH87=MAX($EH$83:$EH$483),$A87,0)</f>
        <v>0</v>
      </c>
      <c r="EJ87">
        <f>IF(EE87&lt;EF87,$A87,B_MAX+1)</f>
        <v>401.0</v>
      </c>
      <c r="EK87" s="13">
        <f>IF(EB87=1,$EB$35,$EB$36)</f>
        <v>0</v>
      </c>
      <c r="EL87" s="13">
        <f>OCC_DAYS*$EB$41*R_NF_2023-ED87*MCD_SHARE_FREED*R_WAIT_2023</f>
        <v>-63953.16263896705</v>
      </c>
      <c r="EM87">
        <f>IF($A87&lt;=$EB$45,1,0)</f>
        <v>1</v>
      </c>
      <c r="FB87">
        <f>IF($FB$31&lt;=$FB$32,IF($A87&lt;=$FB$7,1,2),IF($A87&lt;=RUNG_BEDS_2,2,1))</f>
        <v>1</v>
      </c>
      <c r="FC87" s="5">
        <f>MIN(1,MAX(0,$FB$26-($A87-1)))</f>
        <v>1</v>
      </c>
      <c r="FD87" s="5">
        <f>$FB$25*(FC87+(1-FC87)*$FB$16)</f>
        <v>252.05322714681438</v>
      </c>
      <c r="FE87" s="13">
        <f>FD87*($FB$6+ACUTE_MARGIN)</f>
        <v>254573.7594182825</v>
      </c>
      <c r="FF87" s="13">
        <f>IF(FB87=1,$FB$31,$FB$32)</f>
        <v>156636.04979437485</v>
      </c>
      <c r="FG87" s="13">
        <f>FE87-FF87</f>
        <v>97937.70962390766</v>
      </c>
      <c r="FH87" s="13">
        <f>FH86+FG87</f>
        <v>391750.83849563065</v>
      </c>
      <c r="FI87">
        <f>IF(FH87=MAX($FH$83:$FH$483),$A87,0)</f>
        <v>0</v>
      </c>
      <c r="FJ87">
        <f>IF(FE87&lt;FF87,$A87,B_MAX+1)</f>
        <v>401.0</v>
      </c>
      <c r="FK87" s="13">
        <f>IF(FB87=1,$FB$35,$FB$36)</f>
        <v>0</v>
      </c>
      <c r="FL87" s="13">
        <f>OCC_DAYS*$FB$41*R_NF_2023-FD87*MCD_SHARE_FREED*R_WAIT_2023</f>
        <v>37367.159242427646</v>
      </c>
      <c r="FM87">
        <f>IF($A87&lt;=$FB$45,1,0)</f>
        <v>1</v>
      </c>
      <c r="GB87">
        <f>IF($GB$31&lt;=$GB$32,IF($A87&lt;=$GB$7,1,2),IF($A87&lt;=RUNG_BEDS_2,2,1))</f>
        <v>1</v>
      </c>
      <c r="GC87" s="5">
        <f>MIN(1,MAX(0,$GB$26-($A87-1)))</f>
        <v>1</v>
      </c>
      <c r="GD87" s="5">
        <f>$GB$25*(GC87+(1-GC87)*$GB$16)</f>
        <v>252.05322714681438</v>
      </c>
      <c r="GE87" s="13">
        <f>GD87*($GB$6+ACUTE_MARGIN)</f>
        <v>254573.7594182825</v>
      </c>
      <c r="GF87" s="13">
        <f>IF(GB87=1,$GB$31,$GB$32)</f>
        <v>152394.16214437486</v>
      </c>
      <c r="GG87" s="13">
        <f>GE87-GF87</f>
        <v>102179.59727390765</v>
      </c>
      <c r="GH87" s="13">
        <f>GH86+GG87</f>
        <v>408718.3890956306</v>
      </c>
      <c r="GI87">
        <f>IF(GH87=MAX($GH$83:$GH$483),$A87,0)</f>
        <v>0</v>
      </c>
      <c r="GJ87">
        <f>IF(GE87&lt;GF87,$A87,B_MAX+1)</f>
        <v>401.0</v>
      </c>
      <c r="GK87" s="13">
        <f>IF(GB87=1,$GB$35,$GB$36)</f>
        <v>0</v>
      </c>
      <c r="GL87" s="13">
        <f>OCC_DAYS*$GB$41*R_NF_2023-GD87*MCD_SHARE_FREED*R_WAIT_2023</f>
        <v>37367.159242427646</v>
      </c>
      <c r="GM87">
        <f>IF($A87&lt;=$GB$45,1,0)</f>
        <v>1</v>
      </c>
      <c r="HB87">
        <f>IF($HB$31&lt;=$HB$32,IF($A87&lt;=$HB$7,1,2),IF($A87&lt;=RUNG_BEDS_2,2,1))</f>
        <v>1</v>
      </c>
      <c r="HC87" s="5">
        <f>MIN(1,MAX(0,$HB$26-($A87-1)))</f>
        <v>1</v>
      </c>
      <c r="HD87" s="5">
        <f>$HB$25*(HC87+(1-HC87)*$HB$16)</f>
        <v>252.05322714681438</v>
      </c>
      <c r="HE87" s="13">
        <f>HD87*($HB$6+ACUTE_MARGIN)</f>
        <v>254573.7594182825</v>
      </c>
      <c r="HF87" s="13">
        <f>IF(HB87=1,$HB$31,$HB$32)</f>
        <v>152456.2970814058</v>
      </c>
      <c r="HG87" s="13">
        <f>HE87-HF87</f>
        <v>102117.46233687672</v>
      </c>
      <c r="HH87" s="13">
        <f>HH86+HG87</f>
        <v>408469.8493475069</v>
      </c>
      <c r="HI87">
        <f>IF(HH87=MAX($HH$83:$HH$483),$A87,0)</f>
        <v>0</v>
      </c>
      <c r="HJ87">
        <f>IF(HE87&lt;HF87,$A87,B_MAX+1)</f>
        <v>401.0</v>
      </c>
      <c r="HK87" s="13">
        <f>IF(HB87=1,$HB$35,$HB$36)</f>
        <v>0</v>
      </c>
      <c r="HL87" s="13">
        <f>OCC_DAYS*$HB$41*R_NF_2023-HD87*MCD_SHARE_FREED*R_WAIT_2023</f>
        <v>37367.159242427646</v>
      </c>
      <c r="HM87">
        <f>IF($A87&lt;=$HB$45,1,0)</f>
        <v>1</v>
      </c>
      <c r="IB87">
        <f>IF($IB$31&lt;=$IB$32,IF($A87&lt;=$IB$7,1,2),IF($A87&lt;=RUNG_BEDS_2,2,1))</f>
        <v>1</v>
      </c>
      <c r="IC87" s="5">
        <f>MIN(1,MAX(0,$IB$26-($A87-1)))</f>
        <v>1</v>
      </c>
      <c r="ID87" s="5">
        <f>$IB$25*(IC87+(1-IC87)*$IB$16)</f>
        <v>252.05322714681438</v>
      </c>
      <c r="IE87" s="13">
        <f>ID87*($IB$6+ACUTE_MARGIN)</f>
        <v>254573.7594182825</v>
      </c>
      <c r="IF87" s="13">
        <f>IF(IB87=1,$IB$31,$IB$32)</f>
        <v>152734.9994534971</v>
      </c>
      <c r="IG87" s="13">
        <f>IE87-IF87</f>
        <v>101838.75996478542</v>
      </c>
      <c r="IH87" s="13">
        <f>IH86+IG87</f>
        <v>407355.0398591417</v>
      </c>
      <c r="II87">
        <f>IF(IH87=MAX($IH$83:$IH$483),$A87,0)</f>
        <v>0</v>
      </c>
      <c r="IJ87">
        <f>IF(IE87&lt;IF87,$A87,B_MAX+1)</f>
        <v>401.0</v>
      </c>
      <c r="IK87" s="13">
        <f>IF(IB87=1,$IB$35,$IB$36)</f>
        <v>0</v>
      </c>
      <c r="IL87" s="13">
        <f>OCC_DAYS*$IB$41*R_NF_2023-ID87*MCD_SHARE_FREED*R_WAIT_2023</f>
        <v>37367.159242427646</v>
      </c>
      <c r="IM87">
        <f>IF($A87&lt;=$IB$45,1,0)</f>
        <v>1</v>
      </c>
      <c r="JB87">
        <f>IF($JB$31&lt;=$JB$32,IF($A87&lt;=$JB$7,1,2),IF($A87&lt;=RUNG_BEDS_2,2,1))</f>
        <v>1</v>
      </c>
      <c r="JC87" s="5">
        <f>MIN(1,MAX(0,$JB$26-($A87-1)))</f>
        <v>1</v>
      </c>
      <c r="JD87" s="5">
        <f>$JB$25*(JC87+(1-JC87)*$JB$16)</f>
        <v>252.05322714681438</v>
      </c>
      <c r="JE87" s="13">
        <f>JD87*($JB$6+ACUTE_MARGIN)</f>
        <v>254573.7594182825</v>
      </c>
      <c r="JF87" s="13">
        <f>IF(JB87=1,$JB$31,$JB$32)</f>
        <v>152394.16214437486</v>
      </c>
      <c r="JG87" s="13">
        <f>JE87-JF87</f>
        <v>102179.59727390765</v>
      </c>
      <c r="JH87" s="13">
        <f>JH86+JG87</f>
        <v>408718.3890956306</v>
      </c>
      <c r="JI87">
        <f>IF(JH87=MAX($JH$83:$JH$483),$A87,0)</f>
        <v>0</v>
      </c>
      <c r="JJ87">
        <f>IF(JE87&lt;JF87,$A87,B_MAX+1)</f>
        <v>401.0</v>
      </c>
      <c r="JK87" s="13">
        <f>IF(JB87=1,$JB$35,$JB$36)</f>
        <v>0</v>
      </c>
      <c r="JL87" s="13">
        <f>OCC_DAYS*$JB$41*R_NF_2023-JD87*MCD_SHARE_FREED*R_WAIT_2023</f>
        <v>37367.159242427646</v>
      </c>
      <c r="JM87">
        <f>IF($A87&lt;=$JB$45,1,0)</f>
        <v>1</v>
      </c>
      <c r="KB87">
        <f>IF($KB$31&lt;=$KB$32,IF($A87&lt;=$KB$7,1,2),IF($A87&lt;=RUNG_BEDS_2,2,1))</f>
        <v>1</v>
      </c>
      <c r="KC87" s="5">
        <f>MIN(1,MAX(0,$KB$26-($A87-1)))</f>
        <v>1</v>
      </c>
      <c r="KD87" s="5">
        <f>$KB$25*(KC87+(1-KC87)*$KB$16)</f>
        <v>126.02661357340719</v>
      </c>
      <c r="KE87" s="13">
        <f>KD87*($KB$6+ACUTE_MARGIN)</f>
        <v>127286.87970914126</v>
      </c>
      <c r="KF87" s="13">
        <f>IF(KB87=1,$KB$31,$KB$32)</f>
        <v>152394.16214437486</v>
      </c>
      <c r="KG87" s="13">
        <f>KE87-KF87</f>
        <v>-25107.282435233603</v>
      </c>
      <c r="KH87" s="13">
        <f>KH86+KG87</f>
        <v>-100429.12974093441</v>
      </c>
      <c r="KI87">
        <f>IF(KH87=MAX($KH$83:$KH$483),$A87,0)</f>
        <v>0</v>
      </c>
      <c r="KJ87">
        <f>IF(KE87&lt;KF87,$A87,B_MAX+1)</f>
        <v>4</v>
      </c>
      <c r="KK87" s="13">
        <f>IF(KB87=1,$KB$35,$KB$36)</f>
        <v>0</v>
      </c>
      <c r="KL87" s="13">
        <f>OCC_DAYS*$KB$41*R_NF_2023-KD87*MCD_SHARE_FREED*R_WAIT_2023</f>
        <v>94673.82103225985</v>
      </c>
      <c r="KM87">
        <f>IF($A87&lt;=$KB$45,1,0)</f>
        <v>0</v>
      </c>
      <c r="LB87">
        <f>IF($LB$31&lt;=$LB$32,IF($A87&lt;=$LB$7,1,2),IF($A87&lt;=RUNG_BEDS_2,2,1))</f>
        <v>1</v>
      </c>
      <c r="LC87" s="5">
        <f>MIN(1,MAX(0,$LB$26-($A87-1)))</f>
        <v>1</v>
      </c>
      <c r="LD87" s="5">
        <f>$LB$25*(LC87+(1-LC87)*$LB$16)</f>
        <v>84.01774238227146</v>
      </c>
      <c r="LE87" s="13">
        <f>LD87*($LB$6+ACUTE_MARGIN)</f>
        <v>84857.91980609419</v>
      </c>
      <c r="LF87" s="13">
        <f>IF(LB87=1,$LB$31,$LB$32)</f>
        <v>152394.16214437486</v>
      </c>
      <c r="LG87" s="13">
        <f>LE87-LF87</f>
        <v>-67536.24233828067</v>
      </c>
      <c r="LH87" s="13">
        <f>LH86+LG87</f>
        <v>-270144.9693531227</v>
      </c>
      <c r="LI87">
        <f>IF(LH87=MAX($LH$83:$LH$483),$A87,0)</f>
        <v>0</v>
      </c>
      <c r="LJ87">
        <f>IF(LE87&lt;LF87,$A87,B_MAX+1)</f>
        <v>4</v>
      </c>
      <c r="LK87" s="13">
        <f>IF(LB87=1,$LB$35,$LB$36)</f>
        <v>0</v>
      </c>
      <c r="LL87" s="13">
        <f>OCC_DAYS*$LB$41*R_NF_2023-LD87*MCD_SHARE_FREED*R_WAIT_2023</f>
        <v>113776.04162887059</v>
      </c>
      <c r="LM87">
        <f>IF($A87&lt;=$LB$45,1,0)</f>
        <v>0</v>
      </c>
      <c r="MB87">
        <f>IF($MB$31&lt;=$MB$32,IF($A87&lt;=$MB$7,1,2),IF($A87&lt;=RUNG_BEDS_2,2,1))</f>
        <v>1</v>
      </c>
      <c r="MC87" s="5">
        <f>MIN(1,MAX(0,$MB$26-($A87-1)))</f>
        <v>1</v>
      </c>
      <c r="MD87" s="5">
        <f>$MB$25*(MC87+(1-MC87)*$MB$16)</f>
        <v>213.44610951008647</v>
      </c>
      <c r="ME87" s="13">
        <f>MD87*($MB$6+ACUTE_MARGIN)</f>
        <v>215580.57060518733</v>
      </c>
      <c r="MF87" s="13">
        <f>IF(MB87=1,$MB$31,$MB$32)</f>
        <v>152394.16214437486</v>
      </c>
      <c r="MG87" s="13">
        <f>ME87-MF87</f>
        <v>63186.40846081247</v>
      </c>
      <c r="MH87" s="13">
        <f>MH86+MG87</f>
        <v>252745.63384324987</v>
      </c>
      <c r="MI87">
        <f>IF(MH87=MAX($MH$83:$MH$483),$A87,0)</f>
        <v>0</v>
      </c>
      <c r="MJ87">
        <f>IF(ME87&lt;MF87,$A87,B_MAX+1)</f>
        <v>401.0</v>
      </c>
      <c r="MK87" s="13">
        <f>IF(MB87=1,$MB$35,$MB$36)</f>
        <v>0</v>
      </c>
      <c r="ML87" s="13">
        <f>OCC_DAYS*$MB$41*R_NF_2023-MD87*MCD_SHARE_FREED*R_WAIT_2023</f>
        <v>54922.538779778624</v>
      </c>
      <c r="MM87">
        <f>IF($A87&lt;=$MB$45,1,0)</f>
        <v>1</v>
      </c>
      <c r="NB87">
        <f>IF($NB$31&lt;=$NB$32,IF($A87&lt;=$NB$7,1,2),IF($A87&lt;=RUNG_BEDS_2,2,1))</f>
        <v>1</v>
      </c>
      <c r="NC87" s="5">
        <f>MIN(1,MAX(0,$NB$26-($A87-1)))</f>
        <v>1</v>
      </c>
      <c r="ND87" s="5">
        <f>$NB$25*(NC87+(1-NC87)*$NB$16)</f>
        <v>252.05322714681438</v>
      </c>
      <c r="NE87" s="13">
        <f>ND87*($NB$6+ACUTE_MARGIN)</f>
        <v>254573.7594182825</v>
      </c>
      <c r="NF87" s="13">
        <f>IF(NB87=1,$NB$31,$NB$32)</f>
        <v>152394.16214437486</v>
      </c>
      <c r="NG87" s="13">
        <f>NE87-NF87</f>
        <v>102179.59727390765</v>
      </c>
      <c r="NH87" s="13">
        <f>NH86+NG87</f>
        <v>408718.3890956306</v>
      </c>
      <c r="NI87">
        <f>IF(NH87=MAX($NH$83:$NH$483),$A87,0)</f>
        <v>0</v>
      </c>
      <c r="NJ87">
        <f>IF(NE87&lt;NF87,$A87,B_MAX+1)</f>
        <v>401.0</v>
      </c>
      <c r="NK87" s="13">
        <f>IF(NB87=1,$NB$35,$NB$36)</f>
        <v>0</v>
      </c>
      <c r="NL87" s="13">
        <f>OCC_DAYS*$NB$41*R_NF_2023-ND87*MCD_SHARE_FREED*R_WAIT_2023</f>
        <v>37367.159242427646</v>
      </c>
      <c r="NM87">
        <f>IF($A87&lt;=$NB$45,1,0)</f>
        <v>1</v>
      </c>
      <c r="OB87">
        <f>IF($OB$31&lt;=$OB$32,IF($A87&lt;=$OB$7,1,2),IF($A87&lt;=RUNG_BEDS_2,2,1))</f>
        <v>1</v>
      </c>
      <c r="OC87" s="5">
        <f>MIN(1,MAX(0,$OB$26-($A87-1)))</f>
        <v>1</v>
      </c>
      <c r="OD87" s="5">
        <f>$OB$25*(OC87+(1-OC87)*$OB$16)</f>
        <v>252.05322714681438</v>
      </c>
      <c r="OE87" s="13">
        <f>OD87*($OB$6+ACUTE_MARGIN)</f>
        <v>254573.7594182825</v>
      </c>
      <c r="OF87" s="13">
        <f>IF(OB87=1,$OB$31,$OB$32)</f>
        <v>152394.16214437486</v>
      </c>
      <c r="OG87" s="13">
        <f>OE87-OF87</f>
        <v>102179.59727390765</v>
      </c>
      <c r="OH87" s="13">
        <f>OH86+OG87</f>
        <v>408718.3890956306</v>
      </c>
      <c r="OI87">
        <f>IF(OH87=MAX($OH$83:$OH$483),$A87,0)</f>
        <v>0</v>
      </c>
      <c r="OJ87">
        <f>IF(OE87&lt;OF87,$A87,B_MAX+1)</f>
        <v>401.0</v>
      </c>
      <c r="OK87" s="13">
        <f>IF(OB87=1,$OB$35,$OB$36)</f>
        <v>0</v>
      </c>
      <c r="OL87" s="13">
        <f>OCC_DAYS*$OB$41*R_NF_2023-OD87*MCD_SHARE_FREED*R_WAIT_2023</f>
        <v>37367.159242427646</v>
      </c>
      <c r="OM87">
        <f>IF($A87&lt;=$OB$45,1,0)</f>
        <v>1</v>
      </c>
    </row>
    <row r="88">
      <c r="A88" t="n">
        <v>5</v>
      </c>
      <c r="B88">
        <f>IF($B$31&lt;=$B$32,IF($A88&lt;=$B$7,1,2),IF($A88&lt;=RUNG_BEDS_2,2,1))</f>
        <v>1</v>
      </c>
      <c r="C88" s="5">
        <f>MIN(1,MAX(0,$B$26-($A88-1)))</f>
        <v>1</v>
      </c>
      <c r="D88" s="5">
        <f>$B$25*(C88+(1-C88)*$B$16)</f>
        <v>252.05322714681438</v>
      </c>
      <c r="E88" s="13">
        <f>D88*($B$6+ACUTE_MARGIN)</f>
        <v>254573.7594182825</v>
      </c>
      <c r="F88" s="13">
        <f>IF(B88=1,$B$31,$B$32)</f>
        <v>152394.16214437486</v>
      </c>
      <c r="G88" s="13">
        <f>E88-F88</f>
        <v>102179.59727390765</v>
      </c>
      <c r="H88" s="13">
        <f>H87+G88</f>
        <v>510897.98636953824</v>
      </c>
      <c r="I88">
        <f>IF(H88=MAX($H$83:$H$483),$A88,0)</f>
        <v>0</v>
      </c>
      <c r="J88">
        <f>IF(E88&lt;F88,$A88,B_MAX+1)</f>
        <v>401.0</v>
      </c>
      <c r="K88" s="13">
        <f>IF(B88=1,$B$35,$B$36)</f>
        <v>0</v>
      </c>
      <c r="L88" s="13">
        <f>OCC_DAYS*$B$41*R_NF_2023-D88*MCD_SHARE_FREED*R_WAIT_2023</f>
        <v>37367.159242427646</v>
      </c>
      <c r="M88">
        <f>IF($A88&lt;=$B$45,1,0)</f>
        <v>1</v>
      </c>
      <c r="AB88">
        <f>IF($AB$31&lt;=$AB$32,IF($A88&lt;=$AB$7,1,2),IF($A88&lt;=RUNG_BEDS_2,2,1))</f>
        <v>1</v>
      </c>
      <c r="AC88" s="5">
        <f>MIN(1,MAX(0,$AB$26-($A88-1)))</f>
        <v>1</v>
      </c>
      <c r="AD88" s="5">
        <f>$AB$25*(AC88+(1-AC88)*$AB$16)</f>
        <v>252.05322714681438</v>
      </c>
      <c r="AE88" s="13">
        <f>AD88*($AB$6+ACUTE_MARGIN)</f>
        <v>138629.2749307479</v>
      </c>
      <c r="AF88" s="13">
        <f>IF(AB88=1,$AB$31,$AB$32)</f>
        <v>152394.16214437486</v>
      </c>
      <c r="AG88" s="13">
        <f>AE88-AF88</f>
        <v>-13764.887213626964</v>
      </c>
      <c r="AH88" s="13">
        <f>AH87+AG88</f>
        <v>-68824.43606813482</v>
      </c>
      <c r="AI88">
        <f>IF(AH88=MAX($AH$83:$AH$483),$A88,0)</f>
        <v>0</v>
      </c>
      <c r="AJ88">
        <f>IF(AE88&lt;AF88,$A88,B_MAX+1)</f>
        <v>5</v>
      </c>
      <c r="AK88" s="13">
        <f>IF(AB88=1,$AB$35,$AB$36)</f>
        <v>0</v>
      </c>
      <c r="AL88" s="13">
        <f>OCC_DAYS*$AB$41*R_NF_2023-AD88*MCD_SHARE_FREED*R_WAIT_2023</f>
        <v>37367.159242427646</v>
      </c>
      <c r="AM88">
        <f>IF($A88&lt;=$AB$45,1,0)</f>
        <v>0</v>
      </c>
      <c r="BB88">
        <f>IF($BB$31&lt;=$BB$32,IF($A88&lt;=$BB$7,1,2),IF($A88&lt;=RUNG_BEDS_2,2,1))</f>
        <v>1</v>
      </c>
      <c r="BC88" s="5">
        <f>MIN(1,MAX(0,$BB$26-($A88-1)))</f>
        <v>1</v>
      </c>
      <c r="BD88" s="5">
        <f>$BB$25*(BC88+(1-BC88)*$BB$16)</f>
        <v>252.05322714681438</v>
      </c>
      <c r="BE88" s="13">
        <f>BD88*($BB$6+ACUTE_MARGIN)</f>
        <v>370518.24390581716</v>
      </c>
      <c r="BF88" s="13">
        <f>IF(BB88=1,$BB$31,$BB$32)</f>
        <v>152394.16214437486</v>
      </c>
      <c r="BG88" s="13">
        <f>BE88-BF88</f>
        <v>218124.0817614423</v>
      </c>
      <c r="BH88" s="13">
        <f>BH87+BG88</f>
        <v>1090620.4088072116</v>
      </c>
      <c r="BI88">
        <f>IF(BH88=MAX($BH$83:$BH$483),$A88,0)</f>
        <v>0</v>
      </c>
      <c r="BJ88">
        <f>IF(BE88&lt;BF88,$A88,B_MAX+1)</f>
        <v>401.0</v>
      </c>
      <c r="BK88" s="13">
        <f>IF(BB88=1,$BB$35,$BB$36)</f>
        <v>0</v>
      </c>
      <c r="BL88" s="13">
        <f>OCC_DAYS*$BB$41*R_NF_2023-BD88*MCD_SHARE_FREED*R_WAIT_2023</f>
        <v>37367.159242427646</v>
      </c>
      <c r="BM88">
        <f>IF($A88&lt;=$BB$45,1,0)</f>
        <v>1</v>
      </c>
      <c r="CB88">
        <f>IF($CB$31&lt;=$CB$32,IF($A88&lt;=$CB$7,1,2),IF($A88&lt;=RUNG_BEDS_2,2,1))</f>
        <v>2</v>
      </c>
      <c r="CC88" s="5">
        <f>MIN(1,MAX(0,$CB$26-($A88-1)))</f>
        <v>1</v>
      </c>
      <c r="CD88" s="5">
        <f>$CB$25*(CC88+(1-CC88)*$CB$16)</f>
        <v>252.05322714681438</v>
      </c>
      <c r="CE88" s="13">
        <f>CD88*($CB$6+ACUTE_MARGIN)</f>
        <v>254573.7594182825</v>
      </c>
      <c r="CF88" s="13">
        <f>IF(CB88=1,$CB$31,$CB$32)</f>
        <v>160718.36940738867</v>
      </c>
      <c r="CG88" s="13">
        <f>CE88-CF88</f>
        <v>93855.39001089384</v>
      </c>
      <c r="CH88" s="13">
        <f>CH87+CG88</f>
        <v>469276.95005446917</v>
      </c>
      <c r="CI88">
        <f>IF(CH88=MAX($CH$83:$CH$483),$A88,0)</f>
        <v>0</v>
      </c>
      <c r="CJ88">
        <f>IF(CE88&lt;CF88,$A88,B_MAX+1)</f>
        <v>401.0</v>
      </c>
      <c r="CK88" s="13">
        <f>IF(CB88=1,$CB$35,$CB$36)</f>
        <v>1560.1194073886782</v>
      </c>
      <c r="CL88" s="13">
        <f>OCC_DAYS*$CB$41*R_NF_2023-CD88*MCD_SHARE_FREED*R_WAIT_2023</f>
        <v>37367.159242427646</v>
      </c>
      <c r="CM88">
        <f>IF($A88&lt;=$CB$45,1,0)</f>
        <v>1</v>
      </c>
      <c r="DB88">
        <f>IF($DB$31&lt;=$DB$32,IF($A88&lt;=$DB$7,1,2),IF($A88&lt;=RUNG_BEDS_2,2,1))</f>
        <v>1</v>
      </c>
      <c r="DC88" s="5">
        <f>MIN(1,MAX(0,$DB$26-($A88-1)))</f>
        <v>1</v>
      </c>
      <c r="DD88" s="5">
        <f>$DB$25*(DC88+(1-DC88)*$DB$16)</f>
        <v>252.05322714681438</v>
      </c>
      <c r="DE88" s="13">
        <f>DD88*($DB$6+ACUTE_MARGIN)</f>
        <v>254573.7594182825</v>
      </c>
      <c r="DF88" s="13">
        <f>IF(DB88=1,$DB$31,$DB$32)</f>
        <v>152394.16214437486</v>
      </c>
      <c r="DG88" s="13">
        <f>DE88-DF88</f>
        <v>102179.59727390765</v>
      </c>
      <c r="DH88" s="13">
        <f>DH87+DG88</f>
        <v>510897.98636953824</v>
      </c>
      <c r="DI88">
        <f>IF(DH88=MAX($DH$83:$DH$483),$A88,0)</f>
        <v>0</v>
      </c>
      <c r="DJ88">
        <f>IF(DE88&lt;DF88,$A88,B_MAX+1)</f>
        <v>401.0</v>
      </c>
      <c r="DK88" s="13">
        <f>IF(DB88=1,$DB$35,$DB$36)</f>
        <v>0</v>
      </c>
      <c r="DL88" s="13">
        <f>OCC_DAYS*$DB$41*R_NF_2023-DD88*MCD_SHARE_FREED*R_WAIT_2023</f>
        <v>37367.159242427646</v>
      </c>
      <c r="DM88">
        <f>IF($A88&lt;=$DB$45,1,0)</f>
        <v>1</v>
      </c>
      <c r="EB88">
        <f>IF($EB$31&lt;=$EB$32,IF($A88&lt;=$EB$7,1,2),IF($A88&lt;=RUNG_BEDS_2,2,1))</f>
        <v>1</v>
      </c>
      <c r="EC88" s="5">
        <f>MIN(1,MAX(0,$EB$26-($A88-1)))</f>
        <v>1</v>
      </c>
      <c r="ED88" s="5">
        <f>$EB$25*(EC88+(1-EC88)*$EB$16)</f>
        <v>252.05322714681438</v>
      </c>
      <c r="EE88" s="13">
        <f>ED88*($EB$6+ACUTE_MARGIN)</f>
        <v>254573.7594182825</v>
      </c>
      <c r="EF88" s="13">
        <f>IF(EB88=1,$EB$31,$EB$32)</f>
        <v>152394.16214437486</v>
      </c>
      <c r="EG88" s="13">
        <f>EE88-EF88</f>
        <v>102179.59727390765</v>
      </c>
      <c r="EH88" s="13">
        <f>EH87+EG88</f>
        <v>510897.98636953824</v>
      </c>
      <c r="EI88">
        <f>IF(EH88=MAX($EH$83:$EH$483),$A88,0)</f>
        <v>0</v>
      </c>
      <c r="EJ88">
        <f>IF(EE88&lt;EF88,$A88,B_MAX+1)</f>
        <v>401.0</v>
      </c>
      <c r="EK88" s="13">
        <f>IF(EB88=1,$EB$35,$EB$36)</f>
        <v>0</v>
      </c>
      <c r="EL88" s="13">
        <f>OCC_DAYS*$EB$41*R_NF_2023-ED88*MCD_SHARE_FREED*R_WAIT_2023</f>
        <v>-63953.16263896705</v>
      </c>
      <c r="EM88">
        <f>IF($A88&lt;=$EB$45,1,0)</f>
        <v>1</v>
      </c>
      <c r="FB88">
        <f>IF($FB$31&lt;=$FB$32,IF($A88&lt;=$FB$7,1,2),IF($A88&lt;=RUNG_BEDS_2,2,1))</f>
        <v>1</v>
      </c>
      <c r="FC88" s="5">
        <f>MIN(1,MAX(0,$FB$26-($A88-1)))</f>
        <v>1</v>
      </c>
      <c r="FD88" s="5">
        <f>$FB$25*(FC88+(1-FC88)*$FB$16)</f>
        <v>252.05322714681438</v>
      </c>
      <c r="FE88" s="13">
        <f>FD88*($FB$6+ACUTE_MARGIN)</f>
        <v>254573.7594182825</v>
      </c>
      <c r="FF88" s="13">
        <f>IF(FB88=1,$FB$31,$FB$32)</f>
        <v>156636.04979437485</v>
      </c>
      <c r="FG88" s="13">
        <f>FE88-FF88</f>
        <v>97937.70962390766</v>
      </c>
      <c r="FH88" s="13">
        <f>FH87+FG88</f>
        <v>489688.54811953835</v>
      </c>
      <c r="FI88">
        <f>IF(FH88=MAX($FH$83:$FH$483),$A88,0)</f>
        <v>0</v>
      </c>
      <c r="FJ88">
        <f>IF(FE88&lt;FF88,$A88,B_MAX+1)</f>
        <v>401.0</v>
      </c>
      <c r="FK88" s="13">
        <f>IF(FB88=1,$FB$35,$FB$36)</f>
        <v>0</v>
      </c>
      <c r="FL88" s="13">
        <f>OCC_DAYS*$FB$41*R_NF_2023-FD88*MCD_SHARE_FREED*R_WAIT_2023</f>
        <v>37367.159242427646</v>
      </c>
      <c r="FM88">
        <f>IF($A88&lt;=$FB$45,1,0)</f>
        <v>1</v>
      </c>
      <c r="GB88">
        <f>IF($GB$31&lt;=$GB$32,IF($A88&lt;=$GB$7,1,2),IF($A88&lt;=RUNG_BEDS_2,2,1))</f>
        <v>1</v>
      </c>
      <c r="GC88" s="5">
        <f>MIN(1,MAX(0,$GB$26-($A88-1)))</f>
        <v>1</v>
      </c>
      <c r="GD88" s="5">
        <f>$GB$25*(GC88+(1-GC88)*$GB$16)</f>
        <v>252.05322714681438</v>
      </c>
      <c r="GE88" s="13">
        <f>GD88*($GB$6+ACUTE_MARGIN)</f>
        <v>254573.7594182825</v>
      </c>
      <c r="GF88" s="13">
        <f>IF(GB88=1,$GB$31,$GB$32)</f>
        <v>152394.16214437486</v>
      </c>
      <c r="GG88" s="13">
        <f>GE88-GF88</f>
        <v>102179.59727390765</v>
      </c>
      <c r="GH88" s="13">
        <f>GH87+GG88</f>
        <v>510897.98636953824</v>
      </c>
      <c r="GI88">
        <f>IF(GH88=MAX($GH$83:$GH$483),$A88,0)</f>
        <v>0</v>
      </c>
      <c r="GJ88">
        <f>IF(GE88&lt;GF88,$A88,B_MAX+1)</f>
        <v>401.0</v>
      </c>
      <c r="GK88" s="13">
        <f>IF(GB88=1,$GB$35,$GB$36)</f>
        <v>0</v>
      </c>
      <c r="GL88" s="13">
        <f>OCC_DAYS*$GB$41*R_NF_2023-GD88*MCD_SHARE_FREED*R_WAIT_2023</f>
        <v>37367.159242427646</v>
      </c>
      <c r="GM88">
        <f>IF($A88&lt;=$GB$45,1,0)</f>
        <v>1</v>
      </c>
      <c r="HB88">
        <f>IF($HB$31&lt;=$HB$32,IF($A88&lt;=$HB$7,1,2),IF($A88&lt;=RUNG_BEDS_2,2,1))</f>
        <v>1</v>
      </c>
      <c r="HC88" s="5">
        <f>MIN(1,MAX(0,$HB$26-($A88-1)))</f>
        <v>1</v>
      </c>
      <c r="HD88" s="5">
        <f>$HB$25*(HC88+(1-HC88)*$HB$16)</f>
        <v>252.05322714681438</v>
      </c>
      <c r="HE88" s="13">
        <f>HD88*($HB$6+ACUTE_MARGIN)</f>
        <v>254573.7594182825</v>
      </c>
      <c r="HF88" s="13">
        <f>IF(HB88=1,$HB$31,$HB$32)</f>
        <v>152456.2970814058</v>
      </c>
      <c r="HG88" s="13">
        <f>HE88-HF88</f>
        <v>102117.46233687672</v>
      </c>
      <c r="HH88" s="13">
        <f>HH87+HG88</f>
        <v>510587.3116843836</v>
      </c>
      <c r="HI88">
        <f>IF(HH88=MAX($HH$83:$HH$483),$A88,0)</f>
        <v>0</v>
      </c>
      <c r="HJ88">
        <f>IF(HE88&lt;HF88,$A88,B_MAX+1)</f>
        <v>401.0</v>
      </c>
      <c r="HK88" s="13">
        <f>IF(HB88=1,$HB$35,$HB$36)</f>
        <v>0</v>
      </c>
      <c r="HL88" s="13">
        <f>OCC_DAYS*$HB$41*R_NF_2023-HD88*MCD_SHARE_FREED*R_WAIT_2023</f>
        <v>37367.159242427646</v>
      </c>
      <c r="HM88">
        <f>IF($A88&lt;=$HB$45,1,0)</f>
        <v>1</v>
      </c>
      <c r="IB88">
        <f>IF($IB$31&lt;=$IB$32,IF($A88&lt;=$IB$7,1,2),IF($A88&lt;=RUNG_BEDS_2,2,1))</f>
        <v>1</v>
      </c>
      <c r="IC88" s="5">
        <f>MIN(1,MAX(0,$IB$26-($A88-1)))</f>
        <v>1</v>
      </c>
      <c r="ID88" s="5">
        <f>$IB$25*(IC88+(1-IC88)*$IB$16)</f>
        <v>252.05322714681438</v>
      </c>
      <c r="IE88" s="13">
        <f>ID88*($IB$6+ACUTE_MARGIN)</f>
        <v>254573.7594182825</v>
      </c>
      <c r="IF88" s="13">
        <f>IF(IB88=1,$IB$31,$IB$32)</f>
        <v>152734.9994534971</v>
      </c>
      <c r="IG88" s="13">
        <f>IE88-IF88</f>
        <v>101838.75996478542</v>
      </c>
      <c r="IH88" s="13">
        <f>IH87+IG88</f>
        <v>509193.7998239271</v>
      </c>
      <c r="II88">
        <f>IF(IH88=MAX($IH$83:$IH$483),$A88,0)</f>
        <v>0</v>
      </c>
      <c r="IJ88">
        <f>IF(IE88&lt;IF88,$A88,B_MAX+1)</f>
        <v>401.0</v>
      </c>
      <c r="IK88" s="13">
        <f>IF(IB88=1,$IB$35,$IB$36)</f>
        <v>0</v>
      </c>
      <c r="IL88" s="13">
        <f>OCC_DAYS*$IB$41*R_NF_2023-ID88*MCD_SHARE_FREED*R_WAIT_2023</f>
        <v>37367.159242427646</v>
      </c>
      <c r="IM88">
        <f>IF($A88&lt;=$IB$45,1,0)</f>
        <v>1</v>
      </c>
      <c r="JB88">
        <f>IF($JB$31&lt;=$JB$32,IF($A88&lt;=$JB$7,1,2),IF($A88&lt;=RUNG_BEDS_2,2,1))</f>
        <v>1</v>
      </c>
      <c r="JC88" s="5">
        <f>MIN(1,MAX(0,$JB$26-($A88-1)))</f>
        <v>1</v>
      </c>
      <c r="JD88" s="5">
        <f>$JB$25*(JC88+(1-JC88)*$JB$16)</f>
        <v>252.05322714681438</v>
      </c>
      <c r="JE88" s="13">
        <f>JD88*($JB$6+ACUTE_MARGIN)</f>
        <v>254573.7594182825</v>
      </c>
      <c r="JF88" s="13">
        <f>IF(JB88=1,$JB$31,$JB$32)</f>
        <v>152394.16214437486</v>
      </c>
      <c r="JG88" s="13">
        <f>JE88-JF88</f>
        <v>102179.59727390765</v>
      </c>
      <c r="JH88" s="13">
        <f>JH87+JG88</f>
        <v>510897.98636953824</v>
      </c>
      <c r="JI88">
        <f>IF(JH88=MAX($JH$83:$JH$483),$A88,0)</f>
        <v>0</v>
      </c>
      <c r="JJ88">
        <f>IF(JE88&lt;JF88,$A88,B_MAX+1)</f>
        <v>401.0</v>
      </c>
      <c r="JK88" s="13">
        <f>IF(JB88=1,$JB$35,$JB$36)</f>
        <v>0</v>
      </c>
      <c r="JL88" s="13">
        <f>OCC_DAYS*$JB$41*R_NF_2023-JD88*MCD_SHARE_FREED*R_WAIT_2023</f>
        <v>37367.159242427646</v>
      </c>
      <c r="JM88">
        <f>IF($A88&lt;=$JB$45,1,0)</f>
        <v>1</v>
      </c>
      <c r="KB88">
        <f>IF($KB$31&lt;=$KB$32,IF($A88&lt;=$KB$7,1,2),IF($A88&lt;=RUNG_BEDS_2,2,1))</f>
        <v>1</v>
      </c>
      <c r="KC88" s="5">
        <f>MIN(1,MAX(0,$KB$26-($A88-1)))</f>
        <v>1</v>
      </c>
      <c r="KD88" s="5">
        <f>$KB$25*(KC88+(1-KC88)*$KB$16)</f>
        <v>126.02661357340719</v>
      </c>
      <c r="KE88" s="13">
        <f>KD88*($KB$6+ACUTE_MARGIN)</f>
        <v>127286.87970914126</v>
      </c>
      <c r="KF88" s="13">
        <f>IF(KB88=1,$KB$31,$KB$32)</f>
        <v>152394.16214437486</v>
      </c>
      <c r="KG88" s="13">
        <f>KE88-KF88</f>
        <v>-25107.282435233603</v>
      </c>
      <c r="KH88" s="13">
        <f>KH87+KG88</f>
        <v>-125536.41217616801</v>
      </c>
      <c r="KI88">
        <f>IF(KH88=MAX($KH$83:$KH$483),$A88,0)</f>
        <v>0</v>
      </c>
      <c r="KJ88">
        <f>IF(KE88&lt;KF88,$A88,B_MAX+1)</f>
        <v>5</v>
      </c>
      <c r="KK88" s="13">
        <f>IF(KB88=1,$KB$35,$KB$36)</f>
        <v>0</v>
      </c>
      <c r="KL88" s="13">
        <f>OCC_DAYS*$KB$41*R_NF_2023-KD88*MCD_SHARE_FREED*R_WAIT_2023</f>
        <v>94673.82103225985</v>
      </c>
      <c r="KM88">
        <f>IF($A88&lt;=$KB$45,1,0)</f>
        <v>0</v>
      </c>
      <c r="LB88">
        <f>IF($LB$31&lt;=$LB$32,IF($A88&lt;=$LB$7,1,2),IF($A88&lt;=RUNG_BEDS_2,2,1))</f>
        <v>1</v>
      </c>
      <c r="LC88" s="5">
        <f>MIN(1,MAX(0,$LB$26-($A88-1)))</f>
        <v>1</v>
      </c>
      <c r="LD88" s="5">
        <f>$LB$25*(LC88+(1-LC88)*$LB$16)</f>
        <v>84.01774238227146</v>
      </c>
      <c r="LE88" s="13">
        <f>LD88*($LB$6+ACUTE_MARGIN)</f>
        <v>84857.91980609419</v>
      </c>
      <c r="LF88" s="13">
        <f>IF(LB88=1,$LB$31,$LB$32)</f>
        <v>152394.16214437486</v>
      </c>
      <c r="LG88" s="13">
        <f>LE88-LF88</f>
        <v>-67536.24233828067</v>
      </c>
      <c r="LH88" s="13">
        <f>LH87+LG88</f>
        <v>-337681.21169140335</v>
      </c>
      <c r="LI88">
        <f>IF(LH88=MAX($LH$83:$LH$483),$A88,0)</f>
        <v>0</v>
      </c>
      <c r="LJ88">
        <f>IF(LE88&lt;LF88,$A88,B_MAX+1)</f>
        <v>5</v>
      </c>
      <c r="LK88" s="13">
        <f>IF(LB88=1,$LB$35,$LB$36)</f>
        <v>0</v>
      </c>
      <c r="LL88" s="13">
        <f>OCC_DAYS*$LB$41*R_NF_2023-LD88*MCD_SHARE_FREED*R_WAIT_2023</f>
        <v>113776.04162887059</v>
      </c>
      <c r="LM88">
        <f>IF($A88&lt;=$LB$45,1,0)</f>
        <v>0</v>
      </c>
      <c r="MB88">
        <f>IF($MB$31&lt;=$MB$32,IF($A88&lt;=$MB$7,1,2),IF($A88&lt;=RUNG_BEDS_2,2,1))</f>
        <v>1</v>
      </c>
      <c r="MC88" s="5">
        <f>MIN(1,MAX(0,$MB$26-($A88-1)))</f>
        <v>1</v>
      </c>
      <c r="MD88" s="5">
        <f>$MB$25*(MC88+(1-MC88)*$MB$16)</f>
        <v>213.44610951008647</v>
      </c>
      <c r="ME88" s="13">
        <f>MD88*($MB$6+ACUTE_MARGIN)</f>
        <v>215580.57060518733</v>
      </c>
      <c r="MF88" s="13">
        <f>IF(MB88=1,$MB$31,$MB$32)</f>
        <v>152394.16214437486</v>
      </c>
      <c r="MG88" s="13">
        <f>ME88-MF88</f>
        <v>63186.40846081247</v>
      </c>
      <c r="MH88" s="13">
        <f>MH87+MG88</f>
        <v>315932.04230406234</v>
      </c>
      <c r="MI88">
        <f>IF(MH88=MAX($MH$83:$MH$483),$A88,0)</f>
        <v>0</v>
      </c>
      <c r="MJ88">
        <f>IF(ME88&lt;MF88,$A88,B_MAX+1)</f>
        <v>401.0</v>
      </c>
      <c r="MK88" s="13">
        <f>IF(MB88=1,$MB$35,$MB$36)</f>
        <v>0</v>
      </c>
      <c r="ML88" s="13">
        <f>OCC_DAYS*$MB$41*R_NF_2023-MD88*MCD_SHARE_FREED*R_WAIT_2023</f>
        <v>54922.538779778624</v>
      </c>
      <c r="MM88">
        <f>IF($A88&lt;=$MB$45,1,0)</f>
        <v>1</v>
      </c>
      <c r="NB88">
        <f>IF($NB$31&lt;=$NB$32,IF($A88&lt;=$NB$7,1,2),IF($A88&lt;=RUNG_BEDS_2,2,1))</f>
        <v>1</v>
      </c>
      <c r="NC88" s="5">
        <f>MIN(1,MAX(0,$NB$26-($A88-1)))</f>
        <v>1</v>
      </c>
      <c r="ND88" s="5">
        <f>$NB$25*(NC88+(1-NC88)*$NB$16)</f>
        <v>252.05322714681438</v>
      </c>
      <c r="NE88" s="13">
        <f>ND88*($NB$6+ACUTE_MARGIN)</f>
        <v>254573.7594182825</v>
      </c>
      <c r="NF88" s="13">
        <f>IF(NB88=1,$NB$31,$NB$32)</f>
        <v>152394.16214437486</v>
      </c>
      <c r="NG88" s="13">
        <f>NE88-NF88</f>
        <v>102179.59727390765</v>
      </c>
      <c r="NH88" s="13">
        <f>NH87+NG88</f>
        <v>510897.98636953824</v>
      </c>
      <c r="NI88">
        <f>IF(NH88=MAX($NH$83:$NH$483),$A88,0)</f>
        <v>0</v>
      </c>
      <c r="NJ88">
        <f>IF(NE88&lt;NF88,$A88,B_MAX+1)</f>
        <v>401.0</v>
      </c>
      <c r="NK88" s="13">
        <f>IF(NB88=1,$NB$35,$NB$36)</f>
        <v>0</v>
      </c>
      <c r="NL88" s="13">
        <f>OCC_DAYS*$NB$41*R_NF_2023-ND88*MCD_SHARE_FREED*R_WAIT_2023</f>
        <v>37367.159242427646</v>
      </c>
      <c r="NM88">
        <f>IF($A88&lt;=$NB$45,1,0)</f>
        <v>1</v>
      </c>
      <c r="OB88">
        <f>IF($OB$31&lt;=$OB$32,IF($A88&lt;=$OB$7,1,2),IF($A88&lt;=RUNG_BEDS_2,2,1))</f>
        <v>1</v>
      </c>
      <c r="OC88" s="5">
        <f>MIN(1,MAX(0,$OB$26-($A88-1)))</f>
        <v>1</v>
      </c>
      <c r="OD88" s="5">
        <f>$OB$25*(OC88+(1-OC88)*$OB$16)</f>
        <v>252.05322714681438</v>
      </c>
      <c r="OE88" s="13">
        <f>OD88*($OB$6+ACUTE_MARGIN)</f>
        <v>254573.7594182825</v>
      </c>
      <c r="OF88" s="13">
        <f>IF(OB88=1,$OB$31,$OB$32)</f>
        <v>152394.16214437486</v>
      </c>
      <c r="OG88" s="13">
        <f>OE88-OF88</f>
        <v>102179.59727390765</v>
      </c>
      <c r="OH88" s="13">
        <f>OH87+OG88</f>
        <v>510897.98636953824</v>
      </c>
      <c r="OI88">
        <f>IF(OH88=MAX($OH$83:$OH$483),$A88,0)</f>
        <v>0</v>
      </c>
      <c r="OJ88">
        <f>IF(OE88&lt;OF88,$A88,B_MAX+1)</f>
        <v>401.0</v>
      </c>
      <c r="OK88" s="13">
        <f>IF(OB88=1,$OB$35,$OB$36)</f>
        <v>0</v>
      </c>
      <c r="OL88" s="13">
        <f>OCC_DAYS*$OB$41*R_NF_2023-OD88*MCD_SHARE_FREED*R_WAIT_2023</f>
        <v>37367.159242427646</v>
      </c>
      <c r="OM88">
        <f>IF($A88&lt;=$OB$45,1,0)</f>
        <v>1</v>
      </c>
    </row>
    <row r="89">
      <c r="A89" t="n">
        <v>6</v>
      </c>
      <c r="B89">
        <f>IF($B$31&lt;=$B$32,IF($A89&lt;=$B$7,1,2),IF($A89&lt;=RUNG_BEDS_2,2,1))</f>
        <v>1</v>
      </c>
      <c r="C89" s="5">
        <f>MIN(1,MAX(0,$B$26-($A89-1)))</f>
        <v>1</v>
      </c>
      <c r="D89" s="5">
        <f>$B$25*(C89+(1-C89)*$B$16)</f>
        <v>252.05322714681438</v>
      </c>
      <c r="E89" s="13">
        <f>D89*($B$6+ACUTE_MARGIN)</f>
        <v>254573.7594182825</v>
      </c>
      <c r="F89" s="13">
        <f>IF(B89=1,$B$31,$B$32)</f>
        <v>152394.16214437486</v>
      </c>
      <c r="G89" s="13">
        <f>E89-F89</f>
        <v>102179.59727390765</v>
      </c>
      <c r="H89" s="13">
        <f>H88+G89</f>
        <v>613077.5836434459</v>
      </c>
      <c r="I89">
        <f>IF(H89=MAX($H$83:$H$483),$A89,0)</f>
        <v>0</v>
      </c>
      <c r="J89">
        <f>IF(E89&lt;F89,$A89,B_MAX+1)</f>
        <v>401.0</v>
      </c>
      <c r="K89" s="13">
        <f>IF(B89=1,$B$35,$B$36)</f>
        <v>0</v>
      </c>
      <c r="L89" s="13">
        <f>OCC_DAYS*$B$41*R_NF_2023-D89*MCD_SHARE_FREED*R_WAIT_2023</f>
        <v>37367.159242427646</v>
      </c>
      <c r="M89">
        <f>IF($A89&lt;=$B$45,1,0)</f>
        <v>1</v>
      </c>
      <c r="AB89">
        <f>IF($AB$31&lt;=$AB$32,IF($A89&lt;=$AB$7,1,2),IF($A89&lt;=RUNG_BEDS_2,2,1))</f>
        <v>1</v>
      </c>
      <c r="AC89" s="5">
        <f>MIN(1,MAX(0,$AB$26-($A89-1)))</f>
        <v>1</v>
      </c>
      <c r="AD89" s="5">
        <f>$AB$25*(AC89+(1-AC89)*$AB$16)</f>
        <v>252.05322714681438</v>
      </c>
      <c r="AE89" s="13">
        <f>AD89*($AB$6+ACUTE_MARGIN)</f>
        <v>138629.2749307479</v>
      </c>
      <c r="AF89" s="13">
        <f>IF(AB89=1,$AB$31,$AB$32)</f>
        <v>152394.16214437486</v>
      </c>
      <c r="AG89" s="13">
        <f>AE89-AF89</f>
        <v>-13764.887213626964</v>
      </c>
      <c r="AH89" s="13">
        <f>AH88+AG89</f>
        <v>-82589.32328176178</v>
      </c>
      <c r="AI89">
        <f>IF(AH89=MAX($AH$83:$AH$483),$A89,0)</f>
        <v>0</v>
      </c>
      <c r="AJ89">
        <f>IF(AE89&lt;AF89,$A89,B_MAX+1)</f>
        <v>6</v>
      </c>
      <c r="AK89" s="13">
        <f>IF(AB89=1,$AB$35,$AB$36)</f>
        <v>0</v>
      </c>
      <c r="AL89" s="13">
        <f>OCC_DAYS*$AB$41*R_NF_2023-AD89*MCD_SHARE_FREED*R_WAIT_2023</f>
        <v>37367.159242427646</v>
      </c>
      <c r="AM89">
        <f>IF($A89&lt;=$AB$45,1,0)</f>
        <v>0</v>
      </c>
      <c r="BB89">
        <f>IF($BB$31&lt;=$BB$32,IF($A89&lt;=$BB$7,1,2),IF($A89&lt;=RUNG_BEDS_2,2,1))</f>
        <v>1</v>
      </c>
      <c r="BC89" s="5">
        <f>MIN(1,MAX(0,$BB$26-($A89-1)))</f>
        <v>1</v>
      </c>
      <c r="BD89" s="5">
        <f>$BB$25*(BC89+(1-BC89)*$BB$16)</f>
        <v>252.05322714681438</v>
      </c>
      <c r="BE89" s="13">
        <f>BD89*($BB$6+ACUTE_MARGIN)</f>
        <v>370518.24390581716</v>
      </c>
      <c r="BF89" s="13">
        <f>IF(BB89=1,$BB$31,$BB$32)</f>
        <v>152394.16214437486</v>
      </c>
      <c r="BG89" s="13">
        <f>BE89-BF89</f>
        <v>218124.0817614423</v>
      </c>
      <c r="BH89" s="13">
        <f>BH88+BG89</f>
        <v>1308744.490568654</v>
      </c>
      <c r="BI89">
        <f>IF(BH89=MAX($BH$83:$BH$483),$A89,0)</f>
        <v>0</v>
      </c>
      <c r="BJ89">
        <f>IF(BE89&lt;BF89,$A89,B_MAX+1)</f>
        <v>401.0</v>
      </c>
      <c r="BK89" s="13">
        <f>IF(BB89=1,$BB$35,$BB$36)</f>
        <v>0</v>
      </c>
      <c r="BL89" s="13">
        <f>OCC_DAYS*$BB$41*R_NF_2023-BD89*MCD_SHARE_FREED*R_WAIT_2023</f>
        <v>37367.159242427646</v>
      </c>
      <c r="BM89">
        <f>IF($A89&lt;=$BB$45,1,0)</f>
        <v>1</v>
      </c>
      <c r="CB89">
        <f>IF($CB$31&lt;=$CB$32,IF($A89&lt;=$CB$7,1,2),IF($A89&lt;=RUNG_BEDS_2,2,1))</f>
        <v>2</v>
      </c>
      <c r="CC89" s="5">
        <f>MIN(1,MAX(0,$CB$26-($A89-1)))</f>
        <v>1</v>
      </c>
      <c r="CD89" s="5">
        <f>$CB$25*(CC89+(1-CC89)*$CB$16)</f>
        <v>252.05322714681438</v>
      </c>
      <c r="CE89" s="13">
        <f>CD89*($CB$6+ACUTE_MARGIN)</f>
        <v>254573.7594182825</v>
      </c>
      <c r="CF89" s="13">
        <f>IF(CB89=1,$CB$31,$CB$32)</f>
        <v>160718.36940738867</v>
      </c>
      <c r="CG89" s="13">
        <f>CE89-CF89</f>
        <v>93855.39001089384</v>
      </c>
      <c r="CH89" s="13">
        <f>CH88+CG89</f>
        <v>563132.340065363</v>
      </c>
      <c r="CI89">
        <f>IF(CH89=MAX($CH$83:$CH$483),$A89,0)</f>
        <v>0</v>
      </c>
      <c r="CJ89">
        <f>IF(CE89&lt;CF89,$A89,B_MAX+1)</f>
        <v>401.0</v>
      </c>
      <c r="CK89" s="13">
        <f>IF(CB89=1,$CB$35,$CB$36)</f>
        <v>1560.1194073886782</v>
      </c>
      <c r="CL89" s="13">
        <f>OCC_DAYS*$CB$41*R_NF_2023-CD89*MCD_SHARE_FREED*R_WAIT_2023</f>
        <v>37367.159242427646</v>
      </c>
      <c r="CM89">
        <f>IF($A89&lt;=$CB$45,1,0)</f>
        <v>1</v>
      </c>
      <c r="DB89">
        <f>IF($DB$31&lt;=$DB$32,IF($A89&lt;=$DB$7,1,2),IF($A89&lt;=RUNG_BEDS_2,2,1))</f>
        <v>1</v>
      </c>
      <c r="DC89" s="5">
        <f>MIN(1,MAX(0,$DB$26-($A89-1)))</f>
        <v>1</v>
      </c>
      <c r="DD89" s="5">
        <f>$DB$25*(DC89+(1-DC89)*$DB$16)</f>
        <v>252.05322714681438</v>
      </c>
      <c r="DE89" s="13">
        <f>DD89*($DB$6+ACUTE_MARGIN)</f>
        <v>254573.7594182825</v>
      </c>
      <c r="DF89" s="13">
        <f>IF(DB89=1,$DB$31,$DB$32)</f>
        <v>152394.16214437486</v>
      </c>
      <c r="DG89" s="13">
        <f>DE89-DF89</f>
        <v>102179.59727390765</v>
      </c>
      <c r="DH89" s="13">
        <f>DH88+DG89</f>
        <v>613077.5836434459</v>
      </c>
      <c r="DI89">
        <f>IF(DH89=MAX($DH$83:$DH$483),$A89,0)</f>
        <v>0</v>
      </c>
      <c r="DJ89">
        <f>IF(DE89&lt;DF89,$A89,B_MAX+1)</f>
        <v>401.0</v>
      </c>
      <c r="DK89" s="13">
        <f>IF(DB89=1,$DB$35,$DB$36)</f>
        <v>0</v>
      </c>
      <c r="DL89" s="13">
        <f>OCC_DAYS*$DB$41*R_NF_2023-DD89*MCD_SHARE_FREED*R_WAIT_2023</f>
        <v>37367.159242427646</v>
      </c>
      <c r="DM89">
        <f>IF($A89&lt;=$DB$45,1,0)</f>
        <v>1</v>
      </c>
      <c r="EB89">
        <f>IF($EB$31&lt;=$EB$32,IF($A89&lt;=$EB$7,1,2),IF($A89&lt;=RUNG_BEDS_2,2,1))</f>
        <v>1</v>
      </c>
      <c r="EC89" s="5">
        <f>MIN(1,MAX(0,$EB$26-($A89-1)))</f>
        <v>1</v>
      </c>
      <c r="ED89" s="5">
        <f>$EB$25*(EC89+(1-EC89)*$EB$16)</f>
        <v>252.05322714681438</v>
      </c>
      <c r="EE89" s="13">
        <f>ED89*($EB$6+ACUTE_MARGIN)</f>
        <v>254573.7594182825</v>
      </c>
      <c r="EF89" s="13">
        <f>IF(EB89=1,$EB$31,$EB$32)</f>
        <v>152394.16214437486</v>
      </c>
      <c r="EG89" s="13">
        <f>EE89-EF89</f>
        <v>102179.59727390765</v>
      </c>
      <c r="EH89" s="13">
        <f>EH88+EG89</f>
        <v>613077.5836434459</v>
      </c>
      <c r="EI89">
        <f>IF(EH89=MAX($EH$83:$EH$483),$A89,0)</f>
        <v>0</v>
      </c>
      <c r="EJ89">
        <f>IF(EE89&lt;EF89,$A89,B_MAX+1)</f>
        <v>401.0</v>
      </c>
      <c r="EK89" s="13">
        <f>IF(EB89=1,$EB$35,$EB$36)</f>
        <v>0</v>
      </c>
      <c r="EL89" s="13">
        <f>OCC_DAYS*$EB$41*R_NF_2023-ED89*MCD_SHARE_FREED*R_WAIT_2023</f>
        <v>-63953.16263896705</v>
      </c>
      <c r="EM89">
        <f>IF($A89&lt;=$EB$45,1,0)</f>
        <v>1</v>
      </c>
      <c r="FB89">
        <f>IF($FB$31&lt;=$FB$32,IF($A89&lt;=$FB$7,1,2),IF($A89&lt;=RUNG_BEDS_2,2,1))</f>
        <v>1</v>
      </c>
      <c r="FC89" s="5">
        <f>MIN(1,MAX(0,$FB$26-($A89-1)))</f>
        <v>1</v>
      </c>
      <c r="FD89" s="5">
        <f>$FB$25*(FC89+(1-FC89)*$FB$16)</f>
        <v>252.05322714681438</v>
      </c>
      <c r="FE89" s="13">
        <f>FD89*($FB$6+ACUTE_MARGIN)</f>
        <v>254573.7594182825</v>
      </c>
      <c r="FF89" s="13">
        <f>IF(FB89=1,$FB$31,$FB$32)</f>
        <v>156636.04979437485</v>
      </c>
      <c r="FG89" s="13">
        <f>FE89-FF89</f>
        <v>97937.70962390766</v>
      </c>
      <c r="FH89" s="13">
        <f>FH88+FG89</f>
        <v>587626.257743446</v>
      </c>
      <c r="FI89">
        <f>IF(FH89=MAX($FH$83:$FH$483),$A89,0)</f>
        <v>0</v>
      </c>
      <c r="FJ89">
        <f>IF(FE89&lt;FF89,$A89,B_MAX+1)</f>
        <v>401.0</v>
      </c>
      <c r="FK89" s="13">
        <f>IF(FB89=1,$FB$35,$FB$36)</f>
        <v>0</v>
      </c>
      <c r="FL89" s="13">
        <f>OCC_DAYS*$FB$41*R_NF_2023-FD89*MCD_SHARE_FREED*R_WAIT_2023</f>
        <v>37367.159242427646</v>
      </c>
      <c r="FM89">
        <f>IF($A89&lt;=$FB$45,1,0)</f>
        <v>1</v>
      </c>
      <c r="GB89">
        <f>IF($GB$31&lt;=$GB$32,IF($A89&lt;=$GB$7,1,2),IF($A89&lt;=RUNG_BEDS_2,2,1))</f>
        <v>1</v>
      </c>
      <c r="GC89" s="5">
        <f>MIN(1,MAX(0,$GB$26-($A89-1)))</f>
        <v>1</v>
      </c>
      <c r="GD89" s="5">
        <f>$GB$25*(GC89+(1-GC89)*$GB$16)</f>
        <v>252.05322714681438</v>
      </c>
      <c r="GE89" s="13">
        <f>GD89*($GB$6+ACUTE_MARGIN)</f>
        <v>254573.7594182825</v>
      </c>
      <c r="GF89" s="13">
        <f>IF(GB89=1,$GB$31,$GB$32)</f>
        <v>152394.16214437486</v>
      </c>
      <c r="GG89" s="13">
        <f>GE89-GF89</f>
        <v>102179.59727390765</v>
      </c>
      <c r="GH89" s="13">
        <f>GH88+GG89</f>
        <v>613077.5836434459</v>
      </c>
      <c r="GI89">
        <f>IF(GH89=MAX($GH$83:$GH$483),$A89,0)</f>
        <v>0</v>
      </c>
      <c r="GJ89">
        <f>IF(GE89&lt;GF89,$A89,B_MAX+1)</f>
        <v>401.0</v>
      </c>
      <c r="GK89" s="13">
        <f>IF(GB89=1,$GB$35,$GB$36)</f>
        <v>0</v>
      </c>
      <c r="GL89" s="13">
        <f>OCC_DAYS*$GB$41*R_NF_2023-GD89*MCD_SHARE_FREED*R_WAIT_2023</f>
        <v>37367.159242427646</v>
      </c>
      <c r="GM89">
        <f>IF($A89&lt;=$GB$45,1,0)</f>
        <v>1</v>
      </c>
      <c r="HB89">
        <f>IF($HB$31&lt;=$HB$32,IF($A89&lt;=$HB$7,1,2),IF($A89&lt;=RUNG_BEDS_2,2,1))</f>
        <v>1</v>
      </c>
      <c r="HC89" s="5">
        <f>MIN(1,MAX(0,$HB$26-($A89-1)))</f>
        <v>1</v>
      </c>
      <c r="HD89" s="5">
        <f>$HB$25*(HC89+(1-HC89)*$HB$16)</f>
        <v>252.05322714681438</v>
      </c>
      <c r="HE89" s="13">
        <f>HD89*($HB$6+ACUTE_MARGIN)</f>
        <v>254573.7594182825</v>
      </c>
      <c r="HF89" s="13">
        <f>IF(HB89=1,$HB$31,$HB$32)</f>
        <v>152456.2970814058</v>
      </c>
      <c r="HG89" s="13">
        <f>HE89-HF89</f>
        <v>102117.46233687672</v>
      </c>
      <c r="HH89" s="13">
        <f>HH88+HG89</f>
        <v>612704.7740212603</v>
      </c>
      <c r="HI89">
        <f>IF(HH89=MAX($HH$83:$HH$483),$A89,0)</f>
        <v>0</v>
      </c>
      <c r="HJ89">
        <f>IF(HE89&lt;HF89,$A89,B_MAX+1)</f>
        <v>401.0</v>
      </c>
      <c r="HK89" s="13">
        <f>IF(HB89=1,$HB$35,$HB$36)</f>
        <v>0</v>
      </c>
      <c r="HL89" s="13">
        <f>OCC_DAYS*$HB$41*R_NF_2023-HD89*MCD_SHARE_FREED*R_WAIT_2023</f>
        <v>37367.159242427646</v>
      </c>
      <c r="HM89">
        <f>IF($A89&lt;=$HB$45,1,0)</f>
        <v>1</v>
      </c>
      <c r="IB89">
        <f>IF($IB$31&lt;=$IB$32,IF($A89&lt;=$IB$7,1,2),IF($A89&lt;=RUNG_BEDS_2,2,1))</f>
        <v>1</v>
      </c>
      <c r="IC89" s="5">
        <f>MIN(1,MAX(0,$IB$26-($A89-1)))</f>
        <v>1</v>
      </c>
      <c r="ID89" s="5">
        <f>$IB$25*(IC89+(1-IC89)*$IB$16)</f>
        <v>252.05322714681438</v>
      </c>
      <c r="IE89" s="13">
        <f>ID89*($IB$6+ACUTE_MARGIN)</f>
        <v>254573.7594182825</v>
      </c>
      <c r="IF89" s="13">
        <f>IF(IB89=1,$IB$31,$IB$32)</f>
        <v>152734.9994534971</v>
      </c>
      <c r="IG89" s="13">
        <f>IE89-IF89</f>
        <v>101838.75996478542</v>
      </c>
      <c r="IH89" s="13">
        <f>IH88+IG89</f>
        <v>611032.5597887125</v>
      </c>
      <c r="II89">
        <f>IF(IH89=MAX($IH$83:$IH$483),$A89,0)</f>
        <v>0</v>
      </c>
      <c r="IJ89">
        <f>IF(IE89&lt;IF89,$A89,B_MAX+1)</f>
        <v>401.0</v>
      </c>
      <c r="IK89" s="13">
        <f>IF(IB89=1,$IB$35,$IB$36)</f>
        <v>0</v>
      </c>
      <c r="IL89" s="13">
        <f>OCC_DAYS*$IB$41*R_NF_2023-ID89*MCD_SHARE_FREED*R_WAIT_2023</f>
        <v>37367.159242427646</v>
      </c>
      <c r="IM89">
        <f>IF($A89&lt;=$IB$45,1,0)</f>
        <v>1</v>
      </c>
      <c r="JB89">
        <f>IF($JB$31&lt;=$JB$32,IF($A89&lt;=$JB$7,1,2),IF($A89&lt;=RUNG_BEDS_2,2,1))</f>
        <v>1</v>
      </c>
      <c r="JC89" s="5">
        <f>MIN(1,MAX(0,$JB$26-($A89-1)))</f>
        <v>1</v>
      </c>
      <c r="JD89" s="5">
        <f>$JB$25*(JC89+(1-JC89)*$JB$16)</f>
        <v>252.05322714681438</v>
      </c>
      <c r="JE89" s="13">
        <f>JD89*($JB$6+ACUTE_MARGIN)</f>
        <v>254573.7594182825</v>
      </c>
      <c r="JF89" s="13">
        <f>IF(JB89=1,$JB$31,$JB$32)</f>
        <v>152394.16214437486</v>
      </c>
      <c r="JG89" s="13">
        <f>JE89-JF89</f>
        <v>102179.59727390765</v>
      </c>
      <c r="JH89" s="13">
        <f>JH88+JG89</f>
        <v>613077.5836434459</v>
      </c>
      <c r="JI89">
        <f>IF(JH89=MAX($JH$83:$JH$483),$A89,0)</f>
        <v>0</v>
      </c>
      <c r="JJ89">
        <f>IF(JE89&lt;JF89,$A89,B_MAX+1)</f>
        <v>401.0</v>
      </c>
      <c r="JK89" s="13">
        <f>IF(JB89=1,$JB$35,$JB$36)</f>
        <v>0</v>
      </c>
      <c r="JL89" s="13">
        <f>OCC_DAYS*$JB$41*R_NF_2023-JD89*MCD_SHARE_FREED*R_WAIT_2023</f>
        <v>37367.159242427646</v>
      </c>
      <c r="JM89">
        <f>IF($A89&lt;=$JB$45,1,0)</f>
        <v>1</v>
      </c>
      <c r="KB89">
        <f>IF($KB$31&lt;=$KB$32,IF($A89&lt;=$KB$7,1,2),IF($A89&lt;=RUNG_BEDS_2,2,1))</f>
        <v>1</v>
      </c>
      <c r="KC89" s="5">
        <f>MIN(1,MAX(0,$KB$26-($A89-1)))</f>
        <v>1</v>
      </c>
      <c r="KD89" s="5">
        <f>$KB$25*(KC89+(1-KC89)*$KB$16)</f>
        <v>126.02661357340719</v>
      </c>
      <c r="KE89" s="13">
        <f>KD89*($KB$6+ACUTE_MARGIN)</f>
        <v>127286.87970914126</v>
      </c>
      <c r="KF89" s="13">
        <f>IF(KB89=1,$KB$31,$KB$32)</f>
        <v>152394.16214437486</v>
      </c>
      <c r="KG89" s="13">
        <f>KE89-KF89</f>
        <v>-25107.282435233603</v>
      </c>
      <c r="KH89" s="13">
        <f>KH88+KG89</f>
        <v>-150643.69461140162</v>
      </c>
      <c r="KI89">
        <f>IF(KH89=MAX($KH$83:$KH$483),$A89,0)</f>
        <v>0</v>
      </c>
      <c r="KJ89">
        <f>IF(KE89&lt;KF89,$A89,B_MAX+1)</f>
        <v>6</v>
      </c>
      <c r="KK89" s="13">
        <f>IF(KB89=1,$KB$35,$KB$36)</f>
        <v>0</v>
      </c>
      <c r="KL89" s="13">
        <f>OCC_DAYS*$KB$41*R_NF_2023-KD89*MCD_SHARE_FREED*R_WAIT_2023</f>
        <v>94673.82103225985</v>
      </c>
      <c r="KM89">
        <f>IF($A89&lt;=$KB$45,1,0)</f>
        <v>0</v>
      </c>
      <c r="LB89">
        <f>IF($LB$31&lt;=$LB$32,IF($A89&lt;=$LB$7,1,2),IF($A89&lt;=RUNG_BEDS_2,2,1))</f>
        <v>1</v>
      </c>
      <c r="LC89" s="5">
        <f>MIN(1,MAX(0,$LB$26-($A89-1)))</f>
        <v>1</v>
      </c>
      <c r="LD89" s="5">
        <f>$LB$25*(LC89+(1-LC89)*$LB$16)</f>
        <v>84.01774238227146</v>
      </c>
      <c r="LE89" s="13">
        <f>LD89*($LB$6+ACUTE_MARGIN)</f>
        <v>84857.91980609419</v>
      </c>
      <c r="LF89" s="13">
        <f>IF(LB89=1,$LB$31,$LB$32)</f>
        <v>152394.16214437486</v>
      </c>
      <c r="LG89" s="13">
        <f>LE89-LF89</f>
        <v>-67536.24233828067</v>
      </c>
      <c r="LH89" s="13">
        <f>LH88+LG89</f>
        <v>-405217.454029684</v>
      </c>
      <c r="LI89">
        <f>IF(LH89=MAX($LH$83:$LH$483),$A89,0)</f>
        <v>0</v>
      </c>
      <c r="LJ89">
        <f>IF(LE89&lt;LF89,$A89,B_MAX+1)</f>
        <v>6</v>
      </c>
      <c r="LK89" s="13">
        <f>IF(LB89=1,$LB$35,$LB$36)</f>
        <v>0</v>
      </c>
      <c r="LL89" s="13">
        <f>OCC_DAYS*$LB$41*R_NF_2023-LD89*MCD_SHARE_FREED*R_WAIT_2023</f>
        <v>113776.04162887059</v>
      </c>
      <c r="LM89">
        <f>IF($A89&lt;=$LB$45,1,0)</f>
        <v>0</v>
      </c>
      <c r="MB89">
        <f>IF($MB$31&lt;=$MB$32,IF($A89&lt;=$MB$7,1,2),IF($A89&lt;=RUNG_BEDS_2,2,1))</f>
        <v>1</v>
      </c>
      <c r="MC89" s="5">
        <f>MIN(1,MAX(0,$MB$26-($A89-1)))</f>
        <v>1</v>
      </c>
      <c r="MD89" s="5">
        <f>$MB$25*(MC89+(1-MC89)*$MB$16)</f>
        <v>213.44610951008647</v>
      </c>
      <c r="ME89" s="13">
        <f>MD89*($MB$6+ACUTE_MARGIN)</f>
        <v>215580.57060518733</v>
      </c>
      <c r="MF89" s="13">
        <f>IF(MB89=1,$MB$31,$MB$32)</f>
        <v>152394.16214437486</v>
      </c>
      <c r="MG89" s="13">
        <f>ME89-MF89</f>
        <v>63186.40846081247</v>
      </c>
      <c r="MH89" s="13">
        <f>MH88+MG89</f>
        <v>379118.4507648748</v>
      </c>
      <c r="MI89">
        <f>IF(MH89=MAX($MH$83:$MH$483),$A89,0)</f>
        <v>0</v>
      </c>
      <c r="MJ89">
        <f>IF(ME89&lt;MF89,$A89,B_MAX+1)</f>
        <v>401.0</v>
      </c>
      <c r="MK89" s="13">
        <f>IF(MB89=1,$MB$35,$MB$36)</f>
        <v>0</v>
      </c>
      <c r="ML89" s="13">
        <f>OCC_DAYS*$MB$41*R_NF_2023-MD89*MCD_SHARE_FREED*R_WAIT_2023</f>
        <v>54922.538779778624</v>
      </c>
      <c r="MM89">
        <f>IF($A89&lt;=$MB$45,1,0)</f>
        <v>1</v>
      </c>
      <c r="NB89">
        <f>IF($NB$31&lt;=$NB$32,IF($A89&lt;=$NB$7,1,2),IF($A89&lt;=RUNG_BEDS_2,2,1))</f>
        <v>1</v>
      </c>
      <c r="NC89" s="5">
        <f>MIN(1,MAX(0,$NB$26-($A89-1)))</f>
        <v>1</v>
      </c>
      <c r="ND89" s="5">
        <f>$NB$25*(NC89+(1-NC89)*$NB$16)</f>
        <v>252.05322714681438</v>
      </c>
      <c r="NE89" s="13">
        <f>ND89*($NB$6+ACUTE_MARGIN)</f>
        <v>254573.7594182825</v>
      </c>
      <c r="NF89" s="13">
        <f>IF(NB89=1,$NB$31,$NB$32)</f>
        <v>152394.16214437486</v>
      </c>
      <c r="NG89" s="13">
        <f>NE89-NF89</f>
        <v>102179.59727390765</v>
      </c>
      <c r="NH89" s="13">
        <f>NH88+NG89</f>
        <v>613077.5836434459</v>
      </c>
      <c r="NI89">
        <f>IF(NH89=MAX($NH$83:$NH$483),$A89,0)</f>
        <v>0</v>
      </c>
      <c r="NJ89">
        <f>IF(NE89&lt;NF89,$A89,B_MAX+1)</f>
        <v>401.0</v>
      </c>
      <c r="NK89" s="13">
        <f>IF(NB89=1,$NB$35,$NB$36)</f>
        <v>0</v>
      </c>
      <c r="NL89" s="13">
        <f>OCC_DAYS*$NB$41*R_NF_2023-ND89*MCD_SHARE_FREED*R_WAIT_2023</f>
        <v>37367.159242427646</v>
      </c>
      <c r="NM89">
        <f>IF($A89&lt;=$NB$45,1,0)</f>
        <v>1</v>
      </c>
      <c r="OB89">
        <f>IF($OB$31&lt;=$OB$32,IF($A89&lt;=$OB$7,1,2),IF($A89&lt;=RUNG_BEDS_2,2,1))</f>
        <v>1</v>
      </c>
      <c r="OC89" s="5">
        <f>MIN(1,MAX(0,$OB$26-($A89-1)))</f>
        <v>1</v>
      </c>
      <c r="OD89" s="5">
        <f>$OB$25*(OC89+(1-OC89)*$OB$16)</f>
        <v>252.05322714681438</v>
      </c>
      <c r="OE89" s="13">
        <f>OD89*($OB$6+ACUTE_MARGIN)</f>
        <v>254573.7594182825</v>
      </c>
      <c r="OF89" s="13">
        <f>IF(OB89=1,$OB$31,$OB$32)</f>
        <v>152394.16214437486</v>
      </c>
      <c r="OG89" s="13">
        <f>OE89-OF89</f>
        <v>102179.59727390765</v>
      </c>
      <c r="OH89" s="13">
        <f>OH88+OG89</f>
        <v>613077.5836434459</v>
      </c>
      <c r="OI89">
        <f>IF(OH89=MAX($OH$83:$OH$483),$A89,0)</f>
        <v>0</v>
      </c>
      <c r="OJ89">
        <f>IF(OE89&lt;OF89,$A89,B_MAX+1)</f>
        <v>401.0</v>
      </c>
      <c r="OK89" s="13">
        <f>IF(OB89=1,$OB$35,$OB$36)</f>
        <v>0</v>
      </c>
      <c r="OL89" s="13">
        <f>OCC_DAYS*$OB$41*R_NF_2023-OD89*MCD_SHARE_FREED*R_WAIT_2023</f>
        <v>37367.159242427646</v>
      </c>
      <c r="OM89">
        <f>IF($A89&lt;=$OB$45,1,0)</f>
        <v>1</v>
      </c>
    </row>
    <row r="90">
      <c r="A90" t="n">
        <v>7</v>
      </c>
      <c r="B90">
        <f>IF($B$31&lt;=$B$32,IF($A90&lt;=$B$7,1,2),IF($A90&lt;=RUNG_BEDS_2,2,1))</f>
        <v>1</v>
      </c>
      <c r="C90" s="5">
        <f>MIN(1,MAX(0,$B$26-($A90-1)))</f>
        <v>1</v>
      </c>
      <c r="D90" s="5">
        <f>$B$25*(C90+(1-C90)*$B$16)</f>
        <v>252.05322714681438</v>
      </c>
      <c r="E90" s="13">
        <f>D90*($B$6+ACUTE_MARGIN)</f>
        <v>254573.7594182825</v>
      </c>
      <c r="F90" s="13">
        <f>IF(B90=1,$B$31,$B$32)</f>
        <v>152394.16214437486</v>
      </c>
      <c r="G90" s="13">
        <f>E90-F90</f>
        <v>102179.59727390765</v>
      </c>
      <c r="H90" s="13">
        <f>H89+G90</f>
        <v>715257.1809173535</v>
      </c>
      <c r="I90">
        <f>IF(H90=MAX($H$83:$H$483),$A90,0)</f>
        <v>0</v>
      </c>
      <c r="J90">
        <f>IF(E90&lt;F90,$A90,B_MAX+1)</f>
        <v>401.0</v>
      </c>
      <c r="K90" s="13">
        <f>IF(B90=1,$B$35,$B$36)</f>
        <v>0</v>
      </c>
      <c r="L90" s="13">
        <f>OCC_DAYS*$B$41*R_NF_2023-D90*MCD_SHARE_FREED*R_WAIT_2023</f>
        <v>37367.159242427646</v>
      </c>
      <c r="M90">
        <f>IF($A90&lt;=$B$45,1,0)</f>
        <v>1</v>
      </c>
      <c r="AB90">
        <f>IF($AB$31&lt;=$AB$32,IF($A90&lt;=$AB$7,1,2),IF($A90&lt;=RUNG_BEDS_2,2,1))</f>
        <v>1</v>
      </c>
      <c r="AC90" s="5">
        <f>MIN(1,MAX(0,$AB$26-($A90-1)))</f>
        <v>1</v>
      </c>
      <c r="AD90" s="5">
        <f>$AB$25*(AC90+(1-AC90)*$AB$16)</f>
        <v>252.05322714681438</v>
      </c>
      <c r="AE90" s="13">
        <f>AD90*($AB$6+ACUTE_MARGIN)</f>
        <v>138629.2749307479</v>
      </c>
      <c r="AF90" s="13">
        <f>IF(AB90=1,$AB$31,$AB$32)</f>
        <v>152394.16214437486</v>
      </c>
      <c r="AG90" s="13">
        <f>AE90-AF90</f>
        <v>-13764.887213626964</v>
      </c>
      <c r="AH90" s="13">
        <f>AH89+AG90</f>
        <v>-96354.21049538875</v>
      </c>
      <c r="AI90">
        <f>IF(AH90=MAX($AH$83:$AH$483),$A90,0)</f>
        <v>0</v>
      </c>
      <c r="AJ90">
        <f>IF(AE90&lt;AF90,$A90,B_MAX+1)</f>
        <v>7</v>
      </c>
      <c r="AK90" s="13">
        <f>IF(AB90=1,$AB$35,$AB$36)</f>
        <v>0</v>
      </c>
      <c r="AL90" s="13">
        <f>OCC_DAYS*$AB$41*R_NF_2023-AD90*MCD_SHARE_FREED*R_WAIT_2023</f>
        <v>37367.159242427646</v>
      </c>
      <c r="AM90">
        <f>IF($A90&lt;=$AB$45,1,0)</f>
        <v>0</v>
      </c>
      <c r="BB90">
        <f>IF($BB$31&lt;=$BB$32,IF($A90&lt;=$BB$7,1,2),IF($A90&lt;=RUNG_BEDS_2,2,1))</f>
        <v>1</v>
      </c>
      <c r="BC90" s="5">
        <f>MIN(1,MAX(0,$BB$26-($A90-1)))</f>
        <v>1</v>
      </c>
      <c r="BD90" s="5">
        <f>$BB$25*(BC90+(1-BC90)*$BB$16)</f>
        <v>252.05322714681438</v>
      </c>
      <c r="BE90" s="13">
        <f>BD90*($BB$6+ACUTE_MARGIN)</f>
        <v>370518.24390581716</v>
      </c>
      <c r="BF90" s="13">
        <f>IF(BB90=1,$BB$31,$BB$32)</f>
        <v>152394.16214437486</v>
      </c>
      <c r="BG90" s="13">
        <f>BE90-BF90</f>
        <v>218124.0817614423</v>
      </c>
      <c r="BH90" s="13">
        <f>BH89+BG90</f>
        <v>1526868.5723300963</v>
      </c>
      <c r="BI90">
        <f>IF(BH90=MAX($BH$83:$BH$483),$A90,0)</f>
        <v>0</v>
      </c>
      <c r="BJ90">
        <f>IF(BE90&lt;BF90,$A90,B_MAX+1)</f>
        <v>401.0</v>
      </c>
      <c r="BK90" s="13">
        <f>IF(BB90=1,$BB$35,$BB$36)</f>
        <v>0</v>
      </c>
      <c r="BL90" s="13">
        <f>OCC_DAYS*$BB$41*R_NF_2023-BD90*MCD_SHARE_FREED*R_WAIT_2023</f>
        <v>37367.159242427646</v>
      </c>
      <c r="BM90">
        <f>IF($A90&lt;=$BB$45,1,0)</f>
        <v>1</v>
      </c>
      <c r="CB90">
        <f>IF($CB$31&lt;=$CB$32,IF($A90&lt;=$CB$7,1,2),IF($A90&lt;=RUNG_BEDS_2,2,1))</f>
        <v>2</v>
      </c>
      <c r="CC90" s="5">
        <f>MIN(1,MAX(0,$CB$26-($A90-1)))</f>
        <v>1</v>
      </c>
      <c r="CD90" s="5">
        <f>$CB$25*(CC90+(1-CC90)*$CB$16)</f>
        <v>252.05322714681438</v>
      </c>
      <c r="CE90" s="13">
        <f>CD90*($CB$6+ACUTE_MARGIN)</f>
        <v>254573.7594182825</v>
      </c>
      <c r="CF90" s="13">
        <f>IF(CB90=1,$CB$31,$CB$32)</f>
        <v>160718.36940738867</v>
      </c>
      <c r="CG90" s="13">
        <f>CE90-CF90</f>
        <v>93855.39001089384</v>
      </c>
      <c r="CH90" s="13">
        <f>CH89+CG90</f>
        <v>656987.7300762568</v>
      </c>
      <c r="CI90">
        <f>IF(CH90=MAX($CH$83:$CH$483),$A90,0)</f>
        <v>0</v>
      </c>
      <c r="CJ90">
        <f>IF(CE90&lt;CF90,$A90,B_MAX+1)</f>
        <v>401.0</v>
      </c>
      <c r="CK90" s="13">
        <f>IF(CB90=1,$CB$35,$CB$36)</f>
        <v>1560.1194073886782</v>
      </c>
      <c r="CL90" s="13">
        <f>OCC_DAYS*$CB$41*R_NF_2023-CD90*MCD_SHARE_FREED*R_WAIT_2023</f>
        <v>37367.159242427646</v>
      </c>
      <c r="CM90">
        <f>IF($A90&lt;=$CB$45,1,0)</f>
        <v>1</v>
      </c>
      <c r="DB90">
        <f>IF($DB$31&lt;=$DB$32,IF($A90&lt;=$DB$7,1,2),IF($A90&lt;=RUNG_BEDS_2,2,1))</f>
        <v>1</v>
      </c>
      <c r="DC90" s="5">
        <f>MIN(1,MAX(0,$DB$26-($A90-1)))</f>
        <v>1</v>
      </c>
      <c r="DD90" s="5">
        <f>$DB$25*(DC90+(1-DC90)*$DB$16)</f>
        <v>252.05322714681438</v>
      </c>
      <c r="DE90" s="13">
        <f>DD90*($DB$6+ACUTE_MARGIN)</f>
        <v>254573.7594182825</v>
      </c>
      <c r="DF90" s="13">
        <f>IF(DB90=1,$DB$31,$DB$32)</f>
        <v>152394.16214437486</v>
      </c>
      <c r="DG90" s="13">
        <f>DE90-DF90</f>
        <v>102179.59727390765</v>
      </c>
      <c r="DH90" s="13">
        <f>DH89+DG90</f>
        <v>715257.1809173535</v>
      </c>
      <c r="DI90">
        <f>IF(DH90=MAX($DH$83:$DH$483),$A90,0)</f>
        <v>0</v>
      </c>
      <c r="DJ90">
        <f>IF(DE90&lt;DF90,$A90,B_MAX+1)</f>
        <v>401.0</v>
      </c>
      <c r="DK90" s="13">
        <f>IF(DB90=1,$DB$35,$DB$36)</f>
        <v>0</v>
      </c>
      <c r="DL90" s="13">
        <f>OCC_DAYS*$DB$41*R_NF_2023-DD90*MCD_SHARE_FREED*R_WAIT_2023</f>
        <v>37367.159242427646</v>
      </c>
      <c r="DM90">
        <f>IF($A90&lt;=$DB$45,1,0)</f>
        <v>1</v>
      </c>
      <c r="EB90">
        <f>IF($EB$31&lt;=$EB$32,IF($A90&lt;=$EB$7,1,2),IF($A90&lt;=RUNG_BEDS_2,2,1))</f>
        <v>1</v>
      </c>
      <c r="EC90" s="5">
        <f>MIN(1,MAX(0,$EB$26-($A90-1)))</f>
        <v>1</v>
      </c>
      <c r="ED90" s="5">
        <f>$EB$25*(EC90+(1-EC90)*$EB$16)</f>
        <v>252.05322714681438</v>
      </c>
      <c r="EE90" s="13">
        <f>ED90*($EB$6+ACUTE_MARGIN)</f>
        <v>254573.7594182825</v>
      </c>
      <c r="EF90" s="13">
        <f>IF(EB90=1,$EB$31,$EB$32)</f>
        <v>152394.16214437486</v>
      </c>
      <c r="EG90" s="13">
        <f>EE90-EF90</f>
        <v>102179.59727390765</v>
      </c>
      <c r="EH90" s="13">
        <f>EH89+EG90</f>
        <v>715257.1809173535</v>
      </c>
      <c r="EI90">
        <f>IF(EH90=MAX($EH$83:$EH$483),$A90,0)</f>
        <v>0</v>
      </c>
      <c r="EJ90">
        <f>IF(EE90&lt;EF90,$A90,B_MAX+1)</f>
        <v>401.0</v>
      </c>
      <c r="EK90" s="13">
        <f>IF(EB90=1,$EB$35,$EB$36)</f>
        <v>0</v>
      </c>
      <c r="EL90" s="13">
        <f>OCC_DAYS*$EB$41*R_NF_2023-ED90*MCD_SHARE_FREED*R_WAIT_2023</f>
        <v>-63953.16263896705</v>
      </c>
      <c r="EM90">
        <f>IF($A90&lt;=$EB$45,1,0)</f>
        <v>1</v>
      </c>
      <c r="FB90">
        <f>IF($FB$31&lt;=$FB$32,IF($A90&lt;=$FB$7,1,2),IF($A90&lt;=RUNG_BEDS_2,2,1))</f>
        <v>1</v>
      </c>
      <c r="FC90" s="5">
        <f>MIN(1,MAX(0,$FB$26-($A90-1)))</f>
        <v>1</v>
      </c>
      <c r="FD90" s="5">
        <f>$FB$25*(FC90+(1-FC90)*$FB$16)</f>
        <v>252.05322714681438</v>
      </c>
      <c r="FE90" s="13">
        <f>FD90*($FB$6+ACUTE_MARGIN)</f>
        <v>254573.7594182825</v>
      </c>
      <c r="FF90" s="13">
        <f>IF(FB90=1,$FB$31,$FB$32)</f>
        <v>156636.04979437485</v>
      </c>
      <c r="FG90" s="13">
        <f>FE90-FF90</f>
        <v>97937.70962390766</v>
      </c>
      <c r="FH90" s="13">
        <f>FH89+FG90</f>
        <v>685563.9673673537</v>
      </c>
      <c r="FI90">
        <f>IF(FH90=MAX($FH$83:$FH$483),$A90,0)</f>
        <v>0</v>
      </c>
      <c r="FJ90">
        <f>IF(FE90&lt;FF90,$A90,B_MAX+1)</f>
        <v>401.0</v>
      </c>
      <c r="FK90" s="13">
        <f>IF(FB90=1,$FB$35,$FB$36)</f>
        <v>0</v>
      </c>
      <c r="FL90" s="13">
        <f>OCC_DAYS*$FB$41*R_NF_2023-FD90*MCD_SHARE_FREED*R_WAIT_2023</f>
        <v>37367.159242427646</v>
      </c>
      <c r="FM90">
        <f>IF($A90&lt;=$FB$45,1,0)</f>
        <v>1</v>
      </c>
      <c r="GB90">
        <f>IF($GB$31&lt;=$GB$32,IF($A90&lt;=$GB$7,1,2),IF($A90&lt;=RUNG_BEDS_2,2,1))</f>
        <v>1</v>
      </c>
      <c r="GC90" s="5">
        <f>MIN(1,MAX(0,$GB$26-($A90-1)))</f>
        <v>1</v>
      </c>
      <c r="GD90" s="5">
        <f>$GB$25*(GC90+(1-GC90)*$GB$16)</f>
        <v>252.05322714681438</v>
      </c>
      <c r="GE90" s="13">
        <f>GD90*($GB$6+ACUTE_MARGIN)</f>
        <v>254573.7594182825</v>
      </c>
      <c r="GF90" s="13">
        <f>IF(GB90=1,$GB$31,$GB$32)</f>
        <v>152394.16214437486</v>
      </c>
      <c r="GG90" s="13">
        <f>GE90-GF90</f>
        <v>102179.59727390765</v>
      </c>
      <c r="GH90" s="13">
        <f>GH89+GG90</f>
        <v>715257.1809173535</v>
      </c>
      <c r="GI90">
        <f>IF(GH90=MAX($GH$83:$GH$483),$A90,0)</f>
        <v>0</v>
      </c>
      <c r="GJ90">
        <f>IF(GE90&lt;GF90,$A90,B_MAX+1)</f>
        <v>401.0</v>
      </c>
      <c r="GK90" s="13">
        <f>IF(GB90=1,$GB$35,$GB$36)</f>
        <v>0</v>
      </c>
      <c r="GL90" s="13">
        <f>OCC_DAYS*$GB$41*R_NF_2023-GD90*MCD_SHARE_FREED*R_WAIT_2023</f>
        <v>37367.159242427646</v>
      </c>
      <c r="GM90">
        <f>IF($A90&lt;=$GB$45,1,0)</f>
        <v>1</v>
      </c>
      <c r="HB90">
        <f>IF($HB$31&lt;=$HB$32,IF($A90&lt;=$HB$7,1,2),IF($A90&lt;=RUNG_BEDS_2,2,1))</f>
        <v>1</v>
      </c>
      <c r="HC90" s="5">
        <f>MIN(1,MAX(0,$HB$26-($A90-1)))</f>
        <v>1</v>
      </c>
      <c r="HD90" s="5">
        <f>$HB$25*(HC90+(1-HC90)*$HB$16)</f>
        <v>252.05322714681438</v>
      </c>
      <c r="HE90" s="13">
        <f>HD90*($HB$6+ACUTE_MARGIN)</f>
        <v>254573.7594182825</v>
      </c>
      <c r="HF90" s="13">
        <f>IF(HB90=1,$HB$31,$HB$32)</f>
        <v>152456.2970814058</v>
      </c>
      <c r="HG90" s="13">
        <f>HE90-HF90</f>
        <v>102117.46233687672</v>
      </c>
      <c r="HH90" s="13">
        <f>HH89+HG90</f>
        <v>714822.2363581371</v>
      </c>
      <c r="HI90">
        <f>IF(HH90=MAX($HH$83:$HH$483),$A90,0)</f>
        <v>0</v>
      </c>
      <c r="HJ90">
        <f>IF(HE90&lt;HF90,$A90,B_MAX+1)</f>
        <v>401.0</v>
      </c>
      <c r="HK90" s="13">
        <f>IF(HB90=1,$HB$35,$HB$36)</f>
        <v>0</v>
      </c>
      <c r="HL90" s="13">
        <f>OCC_DAYS*$HB$41*R_NF_2023-HD90*MCD_SHARE_FREED*R_WAIT_2023</f>
        <v>37367.159242427646</v>
      </c>
      <c r="HM90">
        <f>IF($A90&lt;=$HB$45,1,0)</f>
        <v>1</v>
      </c>
      <c r="IB90">
        <f>IF($IB$31&lt;=$IB$32,IF($A90&lt;=$IB$7,1,2),IF($A90&lt;=RUNG_BEDS_2,2,1))</f>
        <v>1</v>
      </c>
      <c r="IC90" s="5">
        <f>MIN(1,MAX(0,$IB$26-($A90-1)))</f>
        <v>1</v>
      </c>
      <c r="ID90" s="5">
        <f>$IB$25*(IC90+(1-IC90)*$IB$16)</f>
        <v>252.05322714681438</v>
      </c>
      <c r="IE90" s="13">
        <f>ID90*($IB$6+ACUTE_MARGIN)</f>
        <v>254573.7594182825</v>
      </c>
      <c r="IF90" s="13">
        <f>IF(IB90=1,$IB$31,$IB$32)</f>
        <v>152734.9994534971</v>
      </c>
      <c r="IG90" s="13">
        <f>IE90-IF90</f>
        <v>101838.75996478542</v>
      </c>
      <c r="IH90" s="13">
        <f>IH89+IG90</f>
        <v>712871.319753498</v>
      </c>
      <c r="II90">
        <f>IF(IH90=MAX($IH$83:$IH$483),$A90,0)</f>
        <v>0</v>
      </c>
      <c r="IJ90">
        <f>IF(IE90&lt;IF90,$A90,B_MAX+1)</f>
        <v>401.0</v>
      </c>
      <c r="IK90" s="13">
        <f>IF(IB90=1,$IB$35,$IB$36)</f>
        <v>0</v>
      </c>
      <c r="IL90" s="13">
        <f>OCC_DAYS*$IB$41*R_NF_2023-ID90*MCD_SHARE_FREED*R_WAIT_2023</f>
        <v>37367.159242427646</v>
      </c>
      <c r="IM90">
        <f>IF($A90&lt;=$IB$45,1,0)</f>
        <v>1</v>
      </c>
      <c r="JB90">
        <f>IF($JB$31&lt;=$JB$32,IF($A90&lt;=$JB$7,1,2),IF($A90&lt;=RUNG_BEDS_2,2,1))</f>
        <v>1</v>
      </c>
      <c r="JC90" s="5">
        <f>MIN(1,MAX(0,$JB$26-($A90-1)))</f>
        <v>1</v>
      </c>
      <c r="JD90" s="5">
        <f>$JB$25*(JC90+(1-JC90)*$JB$16)</f>
        <v>252.05322714681438</v>
      </c>
      <c r="JE90" s="13">
        <f>JD90*($JB$6+ACUTE_MARGIN)</f>
        <v>254573.7594182825</v>
      </c>
      <c r="JF90" s="13">
        <f>IF(JB90=1,$JB$31,$JB$32)</f>
        <v>152394.16214437486</v>
      </c>
      <c r="JG90" s="13">
        <f>JE90-JF90</f>
        <v>102179.59727390765</v>
      </c>
      <c r="JH90" s="13">
        <f>JH89+JG90</f>
        <v>715257.1809173535</v>
      </c>
      <c r="JI90">
        <f>IF(JH90=MAX($JH$83:$JH$483),$A90,0)</f>
        <v>0</v>
      </c>
      <c r="JJ90">
        <f>IF(JE90&lt;JF90,$A90,B_MAX+1)</f>
        <v>401.0</v>
      </c>
      <c r="JK90" s="13">
        <f>IF(JB90=1,$JB$35,$JB$36)</f>
        <v>0</v>
      </c>
      <c r="JL90" s="13">
        <f>OCC_DAYS*$JB$41*R_NF_2023-JD90*MCD_SHARE_FREED*R_WAIT_2023</f>
        <v>37367.159242427646</v>
      </c>
      <c r="JM90">
        <f>IF($A90&lt;=$JB$45,1,0)</f>
        <v>1</v>
      </c>
      <c r="KB90">
        <f>IF($KB$31&lt;=$KB$32,IF($A90&lt;=$KB$7,1,2),IF($A90&lt;=RUNG_BEDS_2,2,1))</f>
        <v>1</v>
      </c>
      <c r="KC90" s="5">
        <f>MIN(1,MAX(0,$KB$26-($A90-1)))</f>
        <v>1</v>
      </c>
      <c r="KD90" s="5">
        <f>$KB$25*(KC90+(1-KC90)*$KB$16)</f>
        <v>126.02661357340719</v>
      </c>
      <c r="KE90" s="13">
        <f>KD90*($KB$6+ACUTE_MARGIN)</f>
        <v>127286.87970914126</v>
      </c>
      <c r="KF90" s="13">
        <f>IF(KB90=1,$KB$31,$KB$32)</f>
        <v>152394.16214437486</v>
      </c>
      <c r="KG90" s="13">
        <f>KE90-KF90</f>
        <v>-25107.282435233603</v>
      </c>
      <c r="KH90" s="13">
        <f>KH89+KG90</f>
        <v>-175750.97704663523</v>
      </c>
      <c r="KI90">
        <f>IF(KH90=MAX($KH$83:$KH$483),$A90,0)</f>
        <v>0</v>
      </c>
      <c r="KJ90">
        <f>IF(KE90&lt;KF90,$A90,B_MAX+1)</f>
        <v>7</v>
      </c>
      <c r="KK90" s="13">
        <f>IF(KB90=1,$KB$35,$KB$36)</f>
        <v>0</v>
      </c>
      <c r="KL90" s="13">
        <f>OCC_DAYS*$KB$41*R_NF_2023-KD90*MCD_SHARE_FREED*R_WAIT_2023</f>
        <v>94673.82103225985</v>
      </c>
      <c r="KM90">
        <f>IF($A90&lt;=$KB$45,1,0)</f>
        <v>0</v>
      </c>
      <c r="LB90">
        <f>IF($LB$31&lt;=$LB$32,IF($A90&lt;=$LB$7,1,2),IF($A90&lt;=RUNG_BEDS_2,2,1))</f>
        <v>1</v>
      </c>
      <c r="LC90" s="5">
        <f>MIN(1,MAX(0,$LB$26-($A90-1)))</f>
        <v>1</v>
      </c>
      <c r="LD90" s="5">
        <f>$LB$25*(LC90+(1-LC90)*$LB$16)</f>
        <v>84.01774238227146</v>
      </c>
      <c r="LE90" s="13">
        <f>LD90*($LB$6+ACUTE_MARGIN)</f>
        <v>84857.91980609419</v>
      </c>
      <c r="LF90" s="13">
        <f>IF(LB90=1,$LB$31,$LB$32)</f>
        <v>152394.16214437486</v>
      </c>
      <c r="LG90" s="13">
        <f>LE90-LF90</f>
        <v>-67536.24233828067</v>
      </c>
      <c r="LH90" s="13">
        <f>LH89+LG90</f>
        <v>-472753.6963679647</v>
      </c>
      <c r="LI90">
        <f>IF(LH90=MAX($LH$83:$LH$483),$A90,0)</f>
        <v>0</v>
      </c>
      <c r="LJ90">
        <f>IF(LE90&lt;LF90,$A90,B_MAX+1)</f>
        <v>7</v>
      </c>
      <c r="LK90" s="13">
        <f>IF(LB90=1,$LB$35,$LB$36)</f>
        <v>0</v>
      </c>
      <c r="LL90" s="13">
        <f>OCC_DAYS*$LB$41*R_NF_2023-LD90*MCD_SHARE_FREED*R_WAIT_2023</f>
        <v>113776.04162887059</v>
      </c>
      <c r="LM90">
        <f>IF($A90&lt;=$LB$45,1,0)</f>
        <v>0</v>
      </c>
      <c r="MB90">
        <f>IF($MB$31&lt;=$MB$32,IF($A90&lt;=$MB$7,1,2),IF($A90&lt;=RUNG_BEDS_2,2,1))</f>
        <v>1</v>
      </c>
      <c r="MC90" s="5">
        <f>MIN(1,MAX(0,$MB$26-($A90-1)))</f>
        <v>1</v>
      </c>
      <c r="MD90" s="5">
        <f>$MB$25*(MC90+(1-MC90)*$MB$16)</f>
        <v>213.44610951008647</v>
      </c>
      <c r="ME90" s="13">
        <f>MD90*($MB$6+ACUTE_MARGIN)</f>
        <v>215580.57060518733</v>
      </c>
      <c r="MF90" s="13">
        <f>IF(MB90=1,$MB$31,$MB$32)</f>
        <v>152394.16214437486</v>
      </c>
      <c r="MG90" s="13">
        <f>ME90-MF90</f>
        <v>63186.40846081247</v>
      </c>
      <c r="MH90" s="13">
        <f>MH89+MG90</f>
        <v>442304.8592256873</v>
      </c>
      <c r="MI90">
        <f>IF(MH90=MAX($MH$83:$MH$483),$A90,0)</f>
        <v>0</v>
      </c>
      <c r="MJ90">
        <f>IF(ME90&lt;MF90,$A90,B_MAX+1)</f>
        <v>401.0</v>
      </c>
      <c r="MK90" s="13">
        <f>IF(MB90=1,$MB$35,$MB$36)</f>
        <v>0</v>
      </c>
      <c r="ML90" s="13">
        <f>OCC_DAYS*$MB$41*R_NF_2023-MD90*MCD_SHARE_FREED*R_WAIT_2023</f>
        <v>54922.538779778624</v>
      </c>
      <c r="MM90">
        <f>IF($A90&lt;=$MB$45,1,0)</f>
        <v>1</v>
      </c>
      <c r="NB90">
        <f>IF($NB$31&lt;=$NB$32,IF($A90&lt;=$NB$7,1,2),IF($A90&lt;=RUNG_BEDS_2,2,1))</f>
        <v>1</v>
      </c>
      <c r="NC90" s="5">
        <f>MIN(1,MAX(0,$NB$26-($A90-1)))</f>
        <v>1</v>
      </c>
      <c r="ND90" s="5">
        <f>$NB$25*(NC90+(1-NC90)*$NB$16)</f>
        <v>252.05322714681438</v>
      </c>
      <c r="NE90" s="13">
        <f>ND90*($NB$6+ACUTE_MARGIN)</f>
        <v>254573.7594182825</v>
      </c>
      <c r="NF90" s="13">
        <f>IF(NB90=1,$NB$31,$NB$32)</f>
        <v>152394.16214437486</v>
      </c>
      <c r="NG90" s="13">
        <f>NE90-NF90</f>
        <v>102179.59727390765</v>
      </c>
      <c r="NH90" s="13">
        <f>NH89+NG90</f>
        <v>715257.1809173535</v>
      </c>
      <c r="NI90">
        <f>IF(NH90=MAX($NH$83:$NH$483),$A90,0)</f>
        <v>0</v>
      </c>
      <c r="NJ90">
        <f>IF(NE90&lt;NF90,$A90,B_MAX+1)</f>
        <v>401.0</v>
      </c>
      <c r="NK90" s="13">
        <f>IF(NB90=1,$NB$35,$NB$36)</f>
        <v>0</v>
      </c>
      <c r="NL90" s="13">
        <f>OCC_DAYS*$NB$41*R_NF_2023-ND90*MCD_SHARE_FREED*R_WAIT_2023</f>
        <v>37367.159242427646</v>
      </c>
      <c r="NM90">
        <f>IF($A90&lt;=$NB$45,1,0)</f>
        <v>1</v>
      </c>
      <c r="OB90">
        <f>IF($OB$31&lt;=$OB$32,IF($A90&lt;=$OB$7,1,2),IF($A90&lt;=RUNG_BEDS_2,2,1))</f>
        <v>1</v>
      </c>
      <c r="OC90" s="5">
        <f>MIN(1,MAX(0,$OB$26-($A90-1)))</f>
        <v>1</v>
      </c>
      <c r="OD90" s="5">
        <f>$OB$25*(OC90+(1-OC90)*$OB$16)</f>
        <v>252.05322714681438</v>
      </c>
      <c r="OE90" s="13">
        <f>OD90*($OB$6+ACUTE_MARGIN)</f>
        <v>254573.7594182825</v>
      </c>
      <c r="OF90" s="13">
        <f>IF(OB90=1,$OB$31,$OB$32)</f>
        <v>152394.16214437486</v>
      </c>
      <c r="OG90" s="13">
        <f>OE90-OF90</f>
        <v>102179.59727390765</v>
      </c>
      <c r="OH90" s="13">
        <f>OH89+OG90</f>
        <v>715257.1809173535</v>
      </c>
      <c r="OI90">
        <f>IF(OH90=MAX($OH$83:$OH$483),$A90,0)</f>
        <v>0</v>
      </c>
      <c r="OJ90">
        <f>IF(OE90&lt;OF90,$A90,B_MAX+1)</f>
        <v>401.0</v>
      </c>
      <c r="OK90" s="13">
        <f>IF(OB90=1,$OB$35,$OB$36)</f>
        <v>0</v>
      </c>
      <c r="OL90" s="13">
        <f>OCC_DAYS*$OB$41*R_NF_2023-OD90*MCD_SHARE_FREED*R_WAIT_2023</f>
        <v>37367.159242427646</v>
      </c>
      <c r="OM90">
        <f>IF($A90&lt;=$OB$45,1,0)</f>
        <v>1</v>
      </c>
    </row>
    <row r="91">
      <c r="A91" t="n">
        <v>8</v>
      </c>
      <c r="B91">
        <f>IF($B$31&lt;=$B$32,IF($A91&lt;=$B$7,1,2),IF($A91&lt;=RUNG_BEDS_2,2,1))</f>
        <v>1</v>
      </c>
      <c r="C91" s="5">
        <f>MIN(1,MAX(0,$B$26-($A91-1)))</f>
        <v>1</v>
      </c>
      <c r="D91" s="5">
        <f>$B$25*(C91+(1-C91)*$B$16)</f>
        <v>252.05322714681438</v>
      </c>
      <c r="E91" s="13">
        <f>D91*($B$6+ACUTE_MARGIN)</f>
        <v>254573.7594182825</v>
      </c>
      <c r="F91" s="13">
        <f>IF(B91=1,$B$31,$B$32)</f>
        <v>152394.16214437486</v>
      </c>
      <c r="G91" s="13">
        <f>E91-F91</f>
        <v>102179.59727390765</v>
      </c>
      <c r="H91" s="13">
        <f>H90+G91</f>
        <v>817436.7781912611</v>
      </c>
      <c r="I91">
        <f>IF(H91=MAX($H$83:$H$483),$A91,0)</f>
        <v>0</v>
      </c>
      <c r="J91">
        <f>IF(E91&lt;F91,$A91,B_MAX+1)</f>
        <v>401.0</v>
      </c>
      <c r="K91" s="13">
        <f>IF(B91=1,$B$35,$B$36)</f>
        <v>0</v>
      </c>
      <c r="L91" s="13">
        <f>OCC_DAYS*$B$41*R_NF_2023-D91*MCD_SHARE_FREED*R_WAIT_2023</f>
        <v>37367.159242427646</v>
      </c>
      <c r="M91">
        <f>IF($A91&lt;=$B$45,1,0)</f>
        <v>1</v>
      </c>
      <c r="AB91">
        <f>IF($AB$31&lt;=$AB$32,IF($A91&lt;=$AB$7,1,2),IF($A91&lt;=RUNG_BEDS_2,2,1))</f>
        <v>1</v>
      </c>
      <c r="AC91" s="5">
        <f>MIN(1,MAX(0,$AB$26-($A91-1)))</f>
        <v>1</v>
      </c>
      <c r="AD91" s="5">
        <f>$AB$25*(AC91+(1-AC91)*$AB$16)</f>
        <v>252.05322714681438</v>
      </c>
      <c r="AE91" s="13">
        <f>AD91*($AB$6+ACUTE_MARGIN)</f>
        <v>138629.2749307479</v>
      </c>
      <c r="AF91" s="13">
        <f>IF(AB91=1,$AB$31,$AB$32)</f>
        <v>152394.16214437486</v>
      </c>
      <c r="AG91" s="13">
        <f>AE91-AF91</f>
        <v>-13764.887213626964</v>
      </c>
      <c r="AH91" s="13">
        <f>AH90+AG91</f>
        <v>-110119.09770901571</v>
      </c>
      <c r="AI91">
        <f>IF(AH91=MAX($AH$83:$AH$483),$A91,0)</f>
        <v>0</v>
      </c>
      <c r="AJ91">
        <f>IF(AE91&lt;AF91,$A91,B_MAX+1)</f>
        <v>8</v>
      </c>
      <c r="AK91" s="13">
        <f>IF(AB91=1,$AB$35,$AB$36)</f>
        <v>0</v>
      </c>
      <c r="AL91" s="13">
        <f>OCC_DAYS*$AB$41*R_NF_2023-AD91*MCD_SHARE_FREED*R_WAIT_2023</f>
        <v>37367.159242427646</v>
      </c>
      <c r="AM91">
        <f>IF($A91&lt;=$AB$45,1,0)</f>
        <v>0</v>
      </c>
      <c r="BB91">
        <f>IF($BB$31&lt;=$BB$32,IF($A91&lt;=$BB$7,1,2),IF($A91&lt;=RUNG_BEDS_2,2,1))</f>
        <v>1</v>
      </c>
      <c r="BC91" s="5">
        <f>MIN(1,MAX(0,$BB$26-($A91-1)))</f>
        <v>1</v>
      </c>
      <c r="BD91" s="5">
        <f>$BB$25*(BC91+(1-BC91)*$BB$16)</f>
        <v>252.05322714681438</v>
      </c>
      <c r="BE91" s="13">
        <f>BD91*($BB$6+ACUTE_MARGIN)</f>
        <v>370518.24390581716</v>
      </c>
      <c r="BF91" s="13">
        <f>IF(BB91=1,$BB$31,$BB$32)</f>
        <v>152394.16214437486</v>
      </c>
      <c r="BG91" s="13">
        <f>BE91-BF91</f>
        <v>218124.0817614423</v>
      </c>
      <c r="BH91" s="13">
        <f>BH90+BG91</f>
        <v>1744992.6540915386</v>
      </c>
      <c r="BI91">
        <f>IF(BH91=MAX($BH$83:$BH$483),$A91,0)</f>
        <v>0</v>
      </c>
      <c r="BJ91">
        <f>IF(BE91&lt;BF91,$A91,B_MAX+1)</f>
        <v>401.0</v>
      </c>
      <c r="BK91" s="13">
        <f>IF(BB91=1,$BB$35,$BB$36)</f>
        <v>0</v>
      </c>
      <c r="BL91" s="13">
        <f>OCC_DAYS*$BB$41*R_NF_2023-BD91*MCD_SHARE_FREED*R_WAIT_2023</f>
        <v>37367.159242427646</v>
      </c>
      <c r="BM91">
        <f>IF($A91&lt;=$BB$45,1,0)</f>
        <v>1</v>
      </c>
      <c r="CB91">
        <f>IF($CB$31&lt;=$CB$32,IF($A91&lt;=$CB$7,1,2),IF($A91&lt;=RUNG_BEDS_2,2,1))</f>
        <v>2</v>
      </c>
      <c r="CC91" s="5">
        <f>MIN(1,MAX(0,$CB$26-($A91-1)))</f>
        <v>1</v>
      </c>
      <c r="CD91" s="5">
        <f>$CB$25*(CC91+(1-CC91)*$CB$16)</f>
        <v>252.05322714681438</v>
      </c>
      <c r="CE91" s="13">
        <f>CD91*($CB$6+ACUTE_MARGIN)</f>
        <v>254573.7594182825</v>
      </c>
      <c r="CF91" s="13">
        <f>IF(CB91=1,$CB$31,$CB$32)</f>
        <v>160718.36940738867</v>
      </c>
      <c r="CG91" s="13">
        <f>CE91-CF91</f>
        <v>93855.39001089384</v>
      </c>
      <c r="CH91" s="13">
        <f>CH90+CG91</f>
        <v>750843.1200871506</v>
      </c>
      <c r="CI91">
        <f>IF(CH91=MAX($CH$83:$CH$483),$A91,0)</f>
        <v>0</v>
      </c>
      <c r="CJ91">
        <f>IF(CE91&lt;CF91,$A91,B_MAX+1)</f>
        <v>401.0</v>
      </c>
      <c r="CK91" s="13">
        <f>IF(CB91=1,$CB$35,$CB$36)</f>
        <v>1560.1194073886782</v>
      </c>
      <c r="CL91" s="13">
        <f>OCC_DAYS*$CB$41*R_NF_2023-CD91*MCD_SHARE_FREED*R_WAIT_2023</f>
        <v>37367.159242427646</v>
      </c>
      <c r="CM91">
        <f>IF($A91&lt;=$CB$45,1,0)</f>
        <v>1</v>
      </c>
      <c r="DB91">
        <f>IF($DB$31&lt;=$DB$32,IF($A91&lt;=$DB$7,1,2),IF($A91&lt;=RUNG_BEDS_2,2,1))</f>
        <v>1</v>
      </c>
      <c r="DC91" s="5">
        <f>MIN(1,MAX(0,$DB$26-($A91-1)))</f>
        <v>1</v>
      </c>
      <c r="DD91" s="5">
        <f>$DB$25*(DC91+(1-DC91)*$DB$16)</f>
        <v>252.05322714681438</v>
      </c>
      <c r="DE91" s="13">
        <f>DD91*($DB$6+ACUTE_MARGIN)</f>
        <v>254573.7594182825</v>
      </c>
      <c r="DF91" s="13">
        <f>IF(DB91=1,$DB$31,$DB$32)</f>
        <v>152394.16214437486</v>
      </c>
      <c r="DG91" s="13">
        <f>DE91-DF91</f>
        <v>102179.59727390765</v>
      </c>
      <c r="DH91" s="13">
        <f>DH90+DG91</f>
        <v>817436.7781912611</v>
      </c>
      <c r="DI91">
        <f>IF(DH91=MAX($DH$83:$DH$483),$A91,0)</f>
        <v>0</v>
      </c>
      <c r="DJ91">
        <f>IF(DE91&lt;DF91,$A91,B_MAX+1)</f>
        <v>401.0</v>
      </c>
      <c r="DK91" s="13">
        <f>IF(DB91=1,$DB$35,$DB$36)</f>
        <v>0</v>
      </c>
      <c r="DL91" s="13">
        <f>OCC_DAYS*$DB$41*R_NF_2023-DD91*MCD_SHARE_FREED*R_WAIT_2023</f>
        <v>37367.159242427646</v>
      </c>
      <c r="DM91">
        <f>IF($A91&lt;=$DB$45,1,0)</f>
        <v>1</v>
      </c>
      <c r="EB91">
        <f>IF($EB$31&lt;=$EB$32,IF($A91&lt;=$EB$7,1,2),IF($A91&lt;=RUNG_BEDS_2,2,1))</f>
        <v>1</v>
      </c>
      <c r="EC91" s="5">
        <f>MIN(1,MAX(0,$EB$26-($A91-1)))</f>
        <v>1</v>
      </c>
      <c r="ED91" s="5">
        <f>$EB$25*(EC91+(1-EC91)*$EB$16)</f>
        <v>252.05322714681438</v>
      </c>
      <c r="EE91" s="13">
        <f>ED91*($EB$6+ACUTE_MARGIN)</f>
        <v>254573.7594182825</v>
      </c>
      <c r="EF91" s="13">
        <f>IF(EB91=1,$EB$31,$EB$32)</f>
        <v>152394.16214437486</v>
      </c>
      <c r="EG91" s="13">
        <f>EE91-EF91</f>
        <v>102179.59727390765</v>
      </c>
      <c r="EH91" s="13">
        <f>EH90+EG91</f>
        <v>817436.7781912611</v>
      </c>
      <c r="EI91">
        <f>IF(EH91=MAX($EH$83:$EH$483),$A91,0)</f>
        <v>0</v>
      </c>
      <c r="EJ91">
        <f>IF(EE91&lt;EF91,$A91,B_MAX+1)</f>
        <v>401.0</v>
      </c>
      <c r="EK91" s="13">
        <f>IF(EB91=1,$EB$35,$EB$36)</f>
        <v>0</v>
      </c>
      <c r="EL91" s="13">
        <f>OCC_DAYS*$EB$41*R_NF_2023-ED91*MCD_SHARE_FREED*R_WAIT_2023</f>
        <v>-63953.16263896705</v>
      </c>
      <c r="EM91">
        <f>IF($A91&lt;=$EB$45,1,0)</f>
        <v>1</v>
      </c>
      <c r="FB91">
        <f>IF($FB$31&lt;=$FB$32,IF($A91&lt;=$FB$7,1,2),IF($A91&lt;=RUNG_BEDS_2,2,1))</f>
        <v>1</v>
      </c>
      <c r="FC91" s="5">
        <f>MIN(1,MAX(0,$FB$26-($A91-1)))</f>
        <v>1</v>
      </c>
      <c r="FD91" s="5">
        <f>$FB$25*(FC91+(1-FC91)*$FB$16)</f>
        <v>252.05322714681438</v>
      </c>
      <c r="FE91" s="13">
        <f>FD91*($FB$6+ACUTE_MARGIN)</f>
        <v>254573.7594182825</v>
      </c>
      <c r="FF91" s="13">
        <f>IF(FB91=1,$FB$31,$FB$32)</f>
        <v>156636.04979437485</v>
      </c>
      <c r="FG91" s="13">
        <f>FE91-FF91</f>
        <v>97937.70962390766</v>
      </c>
      <c r="FH91" s="13">
        <f>FH90+FG91</f>
        <v>783501.6769912614</v>
      </c>
      <c r="FI91">
        <f>IF(FH91=MAX($FH$83:$FH$483),$A91,0)</f>
        <v>0</v>
      </c>
      <c r="FJ91">
        <f>IF(FE91&lt;FF91,$A91,B_MAX+1)</f>
        <v>401.0</v>
      </c>
      <c r="FK91" s="13">
        <f>IF(FB91=1,$FB$35,$FB$36)</f>
        <v>0</v>
      </c>
      <c r="FL91" s="13">
        <f>OCC_DAYS*$FB$41*R_NF_2023-FD91*MCD_SHARE_FREED*R_WAIT_2023</f>
        <v>37367.159242427646</v>
      </c>
      <c r="FM91">
        <f>IF($A91&lt;=$FB$45,1,0)</f>
        <v>1</v>
      </c>
      <c r="GB91">
        <f>IF($GB$31&lt;=$GB$32,IF($A91&lt;=$GB$7,1,2),IF($A91&lt;=RUNG_BEDS_2,2,1))</f>
        <v>1</v>
      </c>
      <c r="GC91" s="5">
        <f>MIN(1,MAX(0,$GB$26-($A91-1)))</f>
        <v>1</v>
      </c>
      <c r="GD91" s="5">
        <f>$GB$25*(GC91+(1-GC91)*$GB$16)</f>
        <v>252.05322714681438</v>
      </c>
      <c r="GE91" s="13">
        <f>GD91*($GB$6+ACUTE_MARGIN)</f>
        <v>254573.7594182825</v>
      </c>
      <c r="GF91" s="13">
        <f>IF(GB91=1,$GB$31,$GB$32)</f>
        <v>152394.16214437486</v>
      </c>
      <c r="GG91" s="13">
        <f>GE91-GF91</f>
        <v>102179.59727390765</v>
      </c>
      <c r="GH91" s="13">
        <f>GH90+GG91</f>
        <v>817436.7781912611</v>
      </c>
      <c r="GI91">
        <f>IF(GH91=MAX($GH$83:$GH$483),$A91,0)</f>
        <v>0</v>
      </c>
      <c r="GJ91">
        <f>IF(GE91&lt;GF91,$A91,B_MAX+1)</f>
        <v>401.0</v>
      </c>
      <c r="GK91" s="13">
        <f>IF(GB91=1,$GB$35,$GB$36)</f>
        <v>0</v>
      </c>
      <c r="GL91" s="13">
        <f>OCC_DAYS*$GB$41*R_NF_2023-GD91*MCD_SHARE_FREED*R_WAIT_2023</f>
        <v>37367.159242427646</v>
      </c>
      <c r="GM91">
        <f>IF($A91&lt;=$GB$45,1,0)</f>
        <v>1</v>
      </c>
      <c r="HB91">
        <f>IF($HB$31&lt;=$HB$32,IF($A91&lt;=$HB$7,1,2),IF($A91&lt;=RUNG_BEDS_2,2,1))</f>
        <v>1</v>
      </c>
      <c r="HC91" s="5">
        <f>MIN(1,MAX(0,$HB$26-($A91-1)))</f>
        <v>1</v>
      </c>
      <c r="HD91" s="5">
        <f>$HB$25*(HC91+(1-HC91)*$HB$16)</f>
        <v>252.05322714681438</v>
      </c>
      <c r="HE91" s="13">
        <f>HD91*($HB$6+ACUTE_MARGIN)</f>
        <v>254573.7594182825</v>
      </c>
      <c r="HF91" s="13">
        <f>IF(HB91=1,$HB$31,$HB$32)</f>
        <v>152456.2970814058</v>
      </c>
      <c r="HG91" s="13">
        <f>HE91-HF91</f>
        <v>102117.46233687672</v>
      </c>
      <c r="HH91" s="13">
        <f>HH90+HG91</f>
        <v>816939.6986950138</v>
      </c>
      <c r="HI91">
        <f>IF(HH91=MAX($HH$83:$HH$483),$A91,0)</f>
        <v>0</v>
      </c>
      <c r="HJ91">
        <f>IF(HE91&lt;HF91,$A91,B_MAX+1)</f>
        <v>401.0</v>
      </c>
      <c r="HK91" s="13">
        <f>IF(HB91=1,$HB$35,$HB$36)</f>
        <v>0</v>
      </c>
      <c r="HL91" s="13">
        <f>OCC_DAYS*$HB$41*R_NF_2023-HD91*MCD_SHARE_FREED*R_WAIT_2023</f>
        <v>37367.159242427646</v>
      </c>
      <c r="HM91">
        <f>IF($A91&lt;=$HB$45,1,0)</f>
        <v>1</v>
      </c>
      <c r="IB91">
        <f>IF($IB$31&lt;=$IB$32,IF($A91&lt;=$IB$7,1,2),IF($A91&lt;=RUNG_BEDS_2,2,1))</f>
        <v>1</v>
      </c>
      <c r="IC91" s="5">
        <f>MIN(1,MAX(0,$IB$26-($A91-1)))</f>
        <v>1</v>
      </c>
      <c r="ID91" s="5">
        <f>$IB$25*(IC91+(1-IC91)*$IB$16)</f>
        <v>252.05322714681438</v>
      </c>
      <c r="IE91" s="13">
        <f>ID91*($IB$6+ACUTE_MARGIN)</f>
        <v>254573.7594182825</v>
      </c>
      <c r="IF91" s="13">
        <f>IF(IB91=1,$IB$31,$IB$32)</f>
        <v>152734.9994534971</v>
      </c>
      <c r="IG91" s="13">
        <f>IE91-IF91</f>
        <v>101838.75996478542</v>
      </c>
      <c r="IH91" s="13">
        <f>IH90+IG91</f>
        <v>814710.0797182834</v>
      </c>
      <c r="II91">
        <f>IF(IH91=MAX($IH$83:$IH$483),$A91,0)</f>
        <v>0</v>
      </c>
      <c r="IJ91">
        <f>IF(IE91&lt;IF91,$A91,B_MAX+1)</f>
        <v>401.0</v>
      </c>
      <c r="IK91" s="13">
        <f>IF(IB91=1,$IB$35,$IB$36)</f>
        <v>0</v>
      </c>
      <c r="IL91" s="13">
        <f>OCC_DAYS*$IB$41*R_NF_2023-ID91*MCD_SHARE_FREED*R_WAIT_2023</f>
        <v>37367.159242427646</v>
      </c>
      <c r="IM91">
        <f>IF($A91&lt;=$IB$45,1,0)</f>
        <v>1</v>
      </c>
      <c r="JB91">
        <f>IF($JB$31&lt;=$JB$32,IF($A91&lt;=$JB$7,1,2),IF($A91&lt;=RUNG_BEDS_2,2,1))</f>
        <v>1</v>
      </c>
      <c r="JC91" s="5">
        <f>MIN(1,MAX(0,$JB$26-($A91-1)))</f>
        <v>1</v>
      </c>
      <c r="JD91" s="5">
        <f>$JB$25*(JC91+(1-JC91)*$JB$16)</f>
        <v>252.05322714681438</v>
      </c>
      <c r="JE91" s="13">
        <f>JD91*($JB$6+ACUTE_MARGIN)</f>
        <v>254573.7594182825</v>
      </c>
      <c r="JF91" s="13">
        <f>IF(JB91=1,$JB$31,$JB$32)</f>
        <v>152394.16214437486</v>
      </c>
      <c r="JG91" s="13">
        <f>JE91-JF91</f>
        <v>102179.59727390765</v>
      </c>
      <c r="JH91" s="13">
        <f>JH90+JG91</f>
        <v>817436.7781912611</v>
      </c>
      <c r="JI91">
        <f>IF(JH91=MAX($JH$83:$JH$483),$A91,0)</f>
        <v>0</v>
      </c>
      <c r="JJ91">
        <f>IF(JE91&lt;JF91,$A91,B_MAX+1)</f>
        <v>401.0</v>
      </c>
      <c r="JK91" s="13">
        <f>IF(JB91=1,$JB$35,$JB$36)</f>
        <v>0</v>
      </c>
      <c r="JL91" s="13">
        <f>OCC_DAYS*$JB$41*R_NF_2023-JD91*MCD_SHARE_FREED*R_WAIT_2023</f>
        <v>37367.159242427646</v>
      </c>
      <c r="JM91">
        <f>IF($A91&lt;=$JB$45,1,0)</f>
        <v>1</v>
      </c>
      <c r="KB91">
        <f>IF($KB$31&lt;=$KB$32,IF($A91&lt;=$KB$7,1,2),IF($A91&lt;=RUNG_BEDS_2,2,1))</f>
        <v>1</v>
      </c>
      <c r="KC91" s="5">
        <f>MIN(1,MAX(0,$KB$26-($A91-1)))</f>
        <v>1</v>
      </c>
      <c r="KD91" s="5">
        <f>$KB$25*(KC91+(1-KC91)*$KB$16)</f>
        <v>126.02661357340719</v>
      </c>
      <c r="KE91" s="13">
        <f>KD91*($KB$6+ACUTE_MARGIN)</f>
        <v>127286.87970914126</v>
      </c>
      <c r="KF91" s="13">
        <f>IF(KB91=1,$KB$31,$KB$32)</f>
        <v>152394.16214437486</v>
      </c>
      <c r="KG91" s="13">
        <f>KE91-KF91</f>
        <v>-25107.282435233603</v>
      </c>
      <c r="KH91" s="13">
        <f>KH90+KG91</f>
        <v>-200858.25948186882</v>
      </c>
      <c r="KI91">
        <f>IF(KH91=MAX($KH$83:$KH$483),$A91,0)</f>
        <v>0</v>
      </c>
      <c r="KJ91">
        <f>IF(KE91&lt;KF91,$A91,B_MAX+1)</f>
        <v>8</v>
      </c>
      <c r="KK91" s="13">
        <f>IF(KB91=1,$KB$35,$KB$36)</f>
        <v>0</v>
      </c>
      <c r="KL91" s="13">
        <f>OCC_DAYS*$KB$41*R_NF_2023-KD91*MCD_SHARE_FREED*R_WAIT_2023</f>
        <v>94673.82103225985</v>
      </c>
      <c r="KM91">
        <f>IF($A91&lt;=$KB$45,1,0)</f>
        <v>0</v>
      </c>
      <c r="LB91">
        <f>IF($LB$31&lt;=$LB$32,IF($A91&lt;=$LB$7,1,2),IF($A91&lt;=RUNG_BEDS_2,2,1))</f>
        <v>1</v>
      </c>
      <c r="LC91" s="5">
        <f>MIN(1,MAX(0,$LB$26-($A91-1)))</f>
        <v>1</v>
      </c>
      <c r="LD91" s="5">
        <f>$LB$25*(LC91+(1-LC91)*$LB$16)</f>
        <v>84.01774238227146</v>
      </c>
      <c r="LE91" s="13">
        <f>LD91*($LB$6+ACUTE_MARGIN)</f>
        <v>84857.91980609419</v>
      </c>
      <c r="LF91" s="13">
        <f>IF(LB91=1,$LB$31,$LB$32)</f>
        <v>152394.16214437486</v>
      </c>
      <c r="LG91" s="13">
        <f>LE91-LF91</f>
        <v>-67536.24233828067</v>
      </c>
      <c r="LH91" s="13">
        <f>LH90+LG91</f>
        <v>-540289.9387062454</v>
      </c>
      <c r="LI91">
        <f>IF(LH91=MAX($LH$83:$LH$483),$A91,0)</f>
        <v>0</v>
      </c>
      <c r="LJ91">
        <f>IF(LE91&lt;LF91,$A91,B_MAX+1)</f>
        <v>8</v>
      </c>
      <c r="LK91" s="13">
        <f>IF(LB91=1,$LB$35,$LB$36)</f>
        <v>0</v>
      </c>
      <c r="LL91" s="13">
        <f>OCC_DAYS*$LB$41*R_NF_2023-LD91*MCD_SHARE_FREED*R_WAIT_2023</f>
        <v>113776.04162887059</v>
      </c>
      <c r="LM91">
        <f>IF($A91&lt;=$LB$45,1,0)</f>
        <v>0</v>
      </c>
      <c r="MB91">
        <f>IF($MB$31&lt;=$MB$32,IF($A91&lt;=$MB$7,1,2),IF($A91&lt;=RUNG_BEDS_2,2,1))</f>
        <v>1</v>
      </c>
      <c r="MC91" s="5">
        <f>MIN(1,MAX(0,$MB$26-($A91-1)))</f>
        <v>1</v>
      </c>
      <c r="MD91" s="5">
        <f>$MB$25*(MC91+(1-MC91)*$MB$16)</f>
        <v>213.44610951008647</v>
      </c>
      <c r="ME91" s="13">
        <f>MD91*($MB$6+ACUTE_MARGIN)</f>
        <v>215580.57060518733</v>
      </c>
      <c r="MF91" s="13">
        <f>IF(MB91=1,$MB$31,$MB$32)</f>
        <v>152394.16214437486</v>
      </c>
      <c r="MG91" s="13">
        <f>ME91-MF91</f>
        <v>63186.40846081247</v>
      </c>
      <c r="MH91" s="13">
        <f>MH90+MG91</f>
        <v>505491.26768649975</v>
      </c>
      <c r="MI91">
        <f>IF(MH91=MAX($MH$83:$MH$483),$A91,0)</f>
        <v>0</v>
      </c>
      <c r="MJ91">
        <f>IF(ME91&lt;MF91,$A91,B_MAX+1)</f>
        <v>401.0</v>
      </c>
      <c r="MK91" s="13">
        <f>IF(MB91=1,$MB$35,$MB$36)</f>
        <v>0</v>
      </c>
      <c r="ML91" s="13">
        <f>OCC_DAYS*$MB$41*R_NF_2023-MD91*MCD_SHARE_FREED*R_WAIT_2023</f>
        <v>54922.538779778624</v>
      </c>
      <c r="MM91">
        <f>IF($A91&lt;=$MB$45,1,0)</f>
        <v>1</v>
      </c>
      <c r="NB91">
        <f>IF($NB$31&lt;=$NB$32,IF($A91&lt;=$NB$7,1,2),IF($A91&lt;=RUNG_BEDS_2,2,1))</f>
        <v>1</v>
      </c>
      <c r="NC91" s="5">
        <f>MIN(1,MAX(0,$NB$26-($A91-1)))</f>
        <v>1</v>
      </c>
      <c r="ND91" s="5">
        <f>$NB$25*(NC91+(1-NC91)*$NB$16)</f>
        <v>252.05322714681438</v>
      </c>
      <c r="NE91" s="13">
        <f>ND91*($NB$6+ACUTE_MARGIN)</f>
        <v>254573.7594182825</v>
      </c>
      <c r="NF91" s="13">
        <f>IF(NB91=1,$NB$31,$NB$32)</f>
        <v>152394.16214437486</v>
      </c>
      <c r="NG91" s="13">
        <f>NE91-NF91</f>
        <v>102179.59727390765</v>
      </c>
      <c r="NH91" s="13">
        <f>NH90+NG91</f>
        <v>817436.7781912611</v>
      </c>
      <c r="NI91">
        <f>IF(NH91=MAX($NH$83:$NH$483),$A91,0)</f>
        <v>0</v>
      </c>
      <c r="NJ91">
        <f>IF(NE91&lt;NF91,$A91,B_MAX+1)</f>
        <v>401.0</v>
      </c>
      <c r="NK91" s="13">
        <f>IF(NB91=1,$NB$35,$NB$36)</f>
        <v>0</v>
      </c>
      <c r="NL91" s="13">
        <f>OCC_DAYS*$NB$41*R_NF_2023-ND91*MCD_SHARE_FREED*R_WAIT_2023</f>
        <v>37367.159242427646</v>
      </c>
      <c r="NM91">
        <f>IF($A91&lt;=$NB$45,1,0)</f>
        <v>1</v>
      </c>
      <c r="OB91">
        <f>IF($OB$31&lt;=$OB$32,IF($A91&lt;=$OB$7,1,2),IF($A91&lt;=RUNG_BEDS_2,2,1))</f>
        <v>1</v>
      </c>
      <c r="OC91" s="5">
        <f>MIN(1,MAX(0,$OB$26-($A91-1)))</f>
        <v>1</v>
      </c>
      <c r="OD91" s="5">
        <f>$OB$25*(OC91+(1-OC91)*$OB$16)</f>
        <v>252.05322714681438</v>
      </c>
      <c r="OE91" s="13">
        <f>OD91*($OB$6+ACUTE_MARGIN)</f>
        <v>254573.7594182825</v>
      </c>
      <c r="OF91" s="13">
        <f>IF(OB91=1,$OB$31,$OB$32)</f>
        <v>152394.16214437486</v>
      </c>
      <c r="OG91" s="13">
        <f>OE91-OF91</f>
        <v>102179.59727390765</v>
      </c>
      <c r="OH91" s="13">
        <f>OH90+OG91</f>
        <v>817436.7781912611</v>
      </c>
      <c r="OI91">
        <f>IF(OH91=MAX($OH$83:$OH$483),$A91,0)</f>
        <v>0</v>
      </c>
      <c r="OJ91">
        <f>IF(OE91&lt;OF91,$A91,B_MAX+1)</f>
        <v>401.0</v>
      </c>
      <c r="OK91" s="13">
        <f>IF(OB91=1,$OB$35,$OB$36)</f>
        <v>0</v>
      </c>
      <c r="OL91" s="13">
        <f>OCC_DAYS*$OB$41*R_NF_2023-OD91*MCD_SHARE_FREED*R_WAIT_2023</f>
        <v>37367.159242427646</v>
      </c>
      <c r="OM91">
        <f>IF($A91&lt;=$OB$45,1,0)</f>
        <v>1</v>
      </c>
    </row>
    <row r="92">
      <c r="A92" t="n">
        <v>9</v>
      </c>
      <c r="B92">
        <f>IF($B$31&lt;=$B$32,IF($A92&lt;=$B$7,1,2),IF($A92&lt;=RUNG_BEDS_2,2,1))</f>
        <v>1</v>
      </c>
      <c r="C92" s="5">
        <f>MIN(1,MAX(0,$B$26-($A92-1)))</f>
        <v>1</v>
      </c>
      <c r="D92" s="5">
        <f>$B$25*(C92+(1-C92)*$B$16)</f>
        <v>252.05322714681438</v>
      </c>
      <c r="E92" s="13">
        <f>D92*($B$6+ACUTE_MARGIN)</f>
        <v>254573.7594182825</v>
      </c>
      <c r="F92" s="13">
        <f>IF(B92=1,$B$31,$B$32)</f>
        <v>152394.16214437486</v>
      </c>
      <c r="G92" s="13">
        <f>E92-F92</f>
        <v>102179.59727390765</v>
      </c>
      <c r="H92" s="13">
        <f>H91+G92</f>
        <v>919616.3754651687</v>
      </c>
      <c r="I92">
        <f>IF(H92=MAX($H$83:$H$483),$A92,0)</f>
        <v>0</v>
      </c>
      <c r="J92">
        <f>IF(E92&lt;F92,$A92,B_MAX+1)</f>
        <v>401.0</v>
      </c>
      <c r="K92" s="13">
        <f>IF(B92=1,$B$35,$B$36)</f>
        <v>0</v>
      </c>
      <c r="L92" s="13">
        <f>OCC_DAYS*$B$41*R_NF_2023-D92*MCD_SHARE_FREED*R_WAIT_2023</f>
        <v>37367.159242427646</v>
      </c>
      <c r="M92">
        <f>IF($A92&lt;=$B$45,1,0)</f>
        <v>1</v>
      </c>
      <c r="AB92">
        <f>IF($AB$31&lt;=$AB$32,IF($A92&lt;=$AB$7,1,2),IF($A92&lt;=RUNG_BEDS_2,2,1))</f>
        <v>1</v>
      </c>
      <c r="AC92" s="5">
        <f>MIN(1,MAX(0,$AB$26-($A92-1)))</f>
        <v>1</v>
      </c>
      <c r="AD92" s="5">
        <f>$AB$25*(AC92+(1-AC92)*$AB$16)</f>
        <v>252.05322714681438</v>
      </c>
      <c r="AE92" s="13">
        <f>AD92*($AB$6+ACUTE_MARGIN)</f>
        <v>138629.2749307479</v>
      </c>
      <c r="AF92" s="13">
        <f>IF(AB92=1,$AB$31,$AB$32)</f>
        <v>152394.16214437486</v>
      </c>
      <c r="AG92" s="13">
        <f>AE92-AF92</f>
        <v>-13764.887213626964</v>
      </c>
      <c r="AH92" s="13">
        <f>AH91+AG92</f>
        <v>-123883.98492264267</v>
      </c>
      <c r="AI92">
        <f>IF(AH92=MAX($AH$83:$AH$483),$A92,0)</f>
        <v>0</v>
      </c>
      <c r="AJ92">
        <f>IF(AE92&lt;AF92,$A92,B_MAX+1)</f>
        <v>9</v>
      </c>
      <c r="AK92" s="13">
        <f>IF(AB92=1,$AB$35,$AB$36)</f>
        <v>0</v>
      </c>
      <c r="AL92" s="13">
        <f>OCC_DAYS*$AB$41*R_NF_2023-AD92*MCD_SHARE_FREED*R_WAIT_2023</f>
        <v>37367.159242427646</v>
      </c>
      <c r="AM92">
        <f>IF($A92&lt;=$AB$45,1,0)</f>
        <v>0</v>
      </c>
      <c r="BB92">
        <f>IF($BB$31&lt;=$BB$32,IF($A92&lt;=$BB$7,1,2),IF($A92&lt;=RUNG_BEDS_2,2,1))</f>
        <v>1</v>
      </c>
      <c r="BC92" s="5">
        <f>MIN(1,MAX(0,$BB$26-($A92-1)))</f>
        <v>1</v>
      </c>
      <c r="BD92" s="5">
        <f>$BB$25*(BC92+(1-BC92)*$BB$16)</f>
        <v>252.05322714681438</v>
      </c>
      <c r="BE92" s="13">
        <f>BD92*($BB$6+ACUTE_MARGIN)</f>
        <v>370518.24390581716</v>
      </c>
      <c r="BF92" s="13">
        <f>IF(BB92=1,$BB$31,$BB$32)</f>
        <v>152394.16214437486</v>
      </c>
      <c r="BG92" s="13">
        <f>BE92-BF92</f>
        <v>218124.0817614423</v>
      </c>
      <c r="BH92" s="13">
        <f>BH91+BG92</f>
        <v>1963116.735852981</v>
      </c>
      <c r="BI92">
        <f>IF(BH92=MAX($BH$83:$BH$483),$A92,0)</f>
        <v>0</v>
      </c>
      <c r="BJ92">
        <f>IF(BE92&lt;BF92,$A92,B_MAX+1)</f>
        <v>401.0</v>
      </c>
      <c r="BK92" s="13">
        <f>IF(BB92=1,$BB$35,$BB$36)</f>
        <v>0</v>
      </c>
      <c r="BL92" s="13">
        <f>OCC_DAYS*$BB$41*R_NF_2023-BD92*MCD_SHARE_FREED*R_WAIT_2023</f>
        <v>37367.159242427646</v>
      </c>
      <c r="BM92">
        <f>IF($A92&lt;=$BB$45,1,0)</f>
        <v>1</v>
      </c>
      <c r="CB92">
        <f>IF($CB$31&lt;=$CB$32,IF($A92&lt;=$CB$7,1,2),IF($A92&lt;=RUNG_BEDS_2,2,1))</f>
        <v>2</v>
      </c>
      <c r="CC92" s="5">
        <f>MIN(1,MAX(0,$CB$26-($A92-1)))</f>
        <v>1</v>
      </c>
      <c r="CD92" s="5">
        <f>$CB$25*(CC92+(1-CC92)*$CB$16)</f>
        <v>252.05322714681438</v>
      </c>
      <c r="CE92" s="13">
        <f>CD92*($CB$6+ACUTE_MARGIN)</f>
        <v>254573.7594182825</v>
      </c>
      <c r="CF92" s="13">
        <f>IF(CB92=1,$CB$31,$CB$32)</f>
        <v>160718.36940738867</v>
      </c>
      <c r="CG92" s="13">
        <f>CE92-CF92</f>
        <v>93855.39001089384</v>
      </c>
      <c r="CH92" s="13">
        <f>CH91+CG92</f>
        <v>844698.5100980444</v>
      </c>
      <c r="CI92">
        <f>IF(CH92=MAX($CH$83:$CH$483),$A92,0)</f>
        <v>0</v>
      </c>
      <c r="CJ92">
        <f>IF(CE92&lt;CF92,$A92,B_MAX+1)</f>
        <v>401.0</v>
      </c>
      <c r="CK92" s="13">
        <f>IF(CB92=1,$CB$35,$CB$36)</f>
        <v>1560.1194073886782</v>
      </c>
      <c r="CL92" s="13">
        <f>OCC_DAYS*$CB$41*R_NF_2023-CD92*MCD_SHARE_FREED*R_WAIT_2023</f>
        <v>37367.159242427646</v>
      </c>
      <c r="CM92">
        <f>IF($A92&lt;=$CB$45,1,0)</f>
        <v>1</v>
      </c>
      <c r="DB92">
        <f>IF($DB$31&lt;=$DB$32,IF($A92&lt;=$DB$7,1,2),IF($A92&lt;=RUNG_BEDS_2,2,1))</f>
        <v>1</v>
      </c>
      <c r="DC92" s="5">
        <f>MIN(1,MAX(0,$DB$26-($A92-1)))</f>
        <v>1</v>
      </c>
      <c r="DD92" s="5">
        <f>$DB$25*(DC92+(1-DC92)*$DB$16)</f>
        <v>252.05322714681438</v>
      </c>
      <c r="DE92" s="13">
        <f>DD92*($DB$6+ACUTE_MARGIN)</f>
        <v>254573.7594182825</v>
      </c>
      <c r="DF92" s="13">
        <f>IF(DB92=1,$DB$31,$DB$32)</f>
        <v>152394.16214437486</v>
      </c>
      <c r="DG92" s="13">
        <f>DE92-DF92</f>
        <v>102179.59727390765</v>
      </c>
      <c r="DH92" s="13">
        <f>DH91+DG92</f>
        <v>919616.3754651687</v>
      </c>
      <c r="DI92">
        <f>IF(DH92=MAX($DH$83:$DH$483),$A92,0)</f>
        <v>0</v>
      </c>
      <c r="DJ92">
        <f>IF(DE92&lt;DF92,$A92,B_MAX+1)</f>
        <v>401.0</v>
      </c>
      <c r="DK92" s="13">
        <f>IF(DB92=1,$DB$35,$DB$36)</f>
        <v>0</v>
      </c>
      <c r="DL92" s="13">
        <f>OCC_DAYS*$DB$41*R_NF_2023-DD92*MCD_SHARE_FREED*R_WAIT_2023</f>
        <v>37367.159242427646</v>
      </c>
      <c r="DM92">
        <f>IF($A92&lt;=$DB$45,1,0)</f>
        <v>1</v>
      </c>
      <c r="EB92">
        <f>IF($EB$31&lt;=$EB$32,IF($A92&lt;=$EB$7,1,2),IF($A92&lt;=RUNG_BEDS_2,2,1))</f>
        <v>1</v>
      </c>
      <c r="EC92" s="5">
        <f>MIN(1,MAX(0,$EB$26-($A92-1)))</f>
        <v>1</v>
      </c>
      <c r="ED92" s="5">
        <f>$EB$25*(EC92+(1-EC92)*$EB$16)</f>
        <v>252.05322714681438</v>
      </c>
      <c r="EE92" s="13">
        <f>ED92*($EB$6+ACUTE_MARGIN)</f>
        <v>254573.7594182825</v>
      </c>
      <c r="EF92" s="13">
        <f>IF(EB92=1,$EB$31,$EB$32)</f>
        <v>152394.16214437486</v>
      </c>
      <c r="EG92" s="13">
        <f>EE92-EF92</f>
        <v>102179.59727390765</v>
      </c>
      <c r="EH92" s="13">
        <f>EH91+EG92</f>
        <v>919616.3754651687</v>
      </c>
      <c r="EI92">
        <f>IF(EH92=MAX($EH$83:$EH$483),$A92,0)</f>
        <v>0</v>
      </c>
      <c r="EJ92">
        <f>IF(EE92&lt;EF92,$A92,B_MAX+1)</f>
        <v>401.0</v>
      </c>
      <c r="EK92" s="13">
        <f>IF(EB92=1,$EB$35,$EB$36)</f>
        <v>0</v>
      </c>
      <c r="EL92" s="13">
        <f>OCC_DAYS*$EB$41*R_NF_2023-ED92*MCD_SHARE_FREED*R_WAIT_2023</f>
        <v>-63953.16263896705</v>
      </c>
      <c r="EM92">
        <f>IF($A92&lt;=$EB$45,1,0)</f>
        <v>1</v>
      </c>
      <c r="FB92">
        <f>IF($FB$31&lt;=$FB$32,IF($A92&lt;=$FB$7,1,2),IF($A92&lt;=RUNG_BEDS_2,2,1))</f>
        <v>1</v>
      </c>
      <c r="FC92" s="5">
        <f>MIN(1,MAX(0,$FB$26-($A92-1)))</f>
        <v>1</v>
      </c>
      <c r="FD92" s="5">
        <f>$FB$25*(FC92+(1-FC92)*$FB$16)</f>
        <v>252.05322714681438</v>
      </c>
      <c r="FE92" s="13">
        <f>FD92*($FB$6+ACUTE_MARGIN)</f>
        <v>254573.7594182825</v>
      </c>
      <c r="FF92" s="13">
        <f>IF(FB92=1,$FB$31,$FB$32)</f>
        <v>156636.04979437485</v>
      </c>
      <c r="FG92" s="13">
        <f>FE92-FF92</f>
        <v>97937.70962390766</v>
      </c>
      <c r="FH92" s="13">
        <f>FH91+FG92</f>
        <v>881439.3866151691</v>
      </c>
      <c r="FI92">
        <f>IF(FH92=MAX($FH$83:$FH$483),$A92,0)</f>
        <v>0</v>
      </c>
      <c r="FJ92">
        <f>IF(FE92&lt;FF92,$A92,B_MAX+1)</f>
        <v>401.0</v>
      </c>
      <c r="FK92" s="13">
        <f>IF(FB92=1,$FB$35,$FB$36)</f>
        <v>0</v>
      </c>
      <c r="FL92" s="13">
        <f>OCC_DAYS*$FB$41*R_NF_2023-FD92*MCD_SHARE_FREED*R_WAIT_2023</f>
        <v>37367.159242427646</v>
      </c>
      <c r="FM92">
        <f>IF($A92&lt;=$FB$45,1,0)</f>
        <v>1</v>
      </c>
      <c r="GB92">
        <f>IF($GB$31&lt;=$GB$32,IF($A92&lt;=$GB$7,1,2),IF($A92&lt;=RUNG_BEDS_2,2,1))</f>
        <v>1</v>
      </c>
      <c r="GC92" s="5">
        <f>MIN(1,MAX(0,$GB$26-($A92-1)))</f>
        <v>1</v>
      </c>
      <c r="GD92" s="5">
        <f>$GB$25*(GC92+(1-GC92)*$GB$16)</f>
        <v>252.05322714681438</v>
      </c>
      <c r="GE92" s="13">
        <f>GD92*($GB$6+ACUTE_MARGIN)</f>
        <v>254573.7594182825</v>
      </c>
      <c r="GF92" s="13">
        <f>IF(GB92=1,$GB$31,$GB$32)</f>
        <v>152394.16214437486</v>
      </c>
      <c r="GG92" s="13">
        <f>GE92-GF92</f>
        <v>102179.59727390765</v>
      </c>
      <c r="GH92" s="13">
        <f>GH91+GG92</f>
        <v>919616.3754651687</v>
      </c>
      <c r="GI92">
        <f>IF(GH92=MAX($GH$83:$GH$483),$A92,0)</f>
        <v>0</v>
      </c>
      <c r="GJ92">
        <f>IF(GE92&lt;GF92,$A92,B_MAX+1)</f>
        <v>401.0</v>
      </c>
      <c r="GK92" s="13">
        <f>IF(GB92=1,$GB$35,$GB$36)</f>
        <v>0</v>
      </c>
      <c r="GL92" s="13">
        <f>OCC_DAYS*$GB$41*R_NF_2023-GD92*MCD_SHARE_FREED*R_WAIT_2023</f>
        <v>37367.159242427646</v>
      </c>
      <c r="GM92">
        <f>IF($A92&lt;=$GB$45,1,0)</f>
        <v>1</v>
      </c>
      <c r="HB92">
        <f>IF($HB$31&lt;=$HB$32,IF($A92&lt;=$HB$7,1,2),IF($A92&lt;=RUNG_BEDS_2,2,1))</f>
        <v>1</v>
      </c>
      <c r="HC92" s="5">
        <f>MIN(1,MAX(0,$HB$26-($A92-1)))</f>
        <v>1</v>
      </c>
      <c r="HD92" s="5">
        <f>$HB$25*(HC92+(1-HC92)*$HB$16)</f>
        <v>252.05322714681438</v>
      </c>
      <c r="HE92" s="13">
        <f>HD92*($HB$6+ACUTE_MARGIN)</f>
        <v>254573.7594182825</v>
      </c>
      <c r="HF92" s="13">
        <f>IF(HB92=1,$HB$31,$HB$32)</f>
        <v>152456.2970814058</v>
      </c>
      <c r="HG92" s="13">
        <f>HE92-HF92</f>
        <v>102117.46233687672</v>
      </c>
      <c r="HH92" s="13">
        <f>HH91+HG92</f>
        <v>919057.1610318904</v>
      </c>
      <c r="HI92">
        <f>IF(HH92=MAX($HH$83:$HH$483),$A92,0)</f>
        <v>0</v>
      </c>
      <c r="HJ92">
        <f>IF(HE92&lt;HF92,$A92,B_MAX+1)</f>
        <v>401.0</v>
      </c>
      <c r="HK92" s="13">
        <f>IF(HB92=1,$HB$35,$HB$36)</f>
        <v>0</v>
      </c>
      <c r="HL92" s="13">
        <f>OCC_DAYS*$HB$41*R_NF_2023-HD92*MCD_SHARE_FREED*R_WAIT_2023</f>
        <v>37367.159242427646</v>
      </c>
      <c r="HM92">
        <f>IF($A92&lt;=$HB$45,1,0)</f>
        <v>1</v>
      </c>
      <c r="IB92">
        <f>IF($IB$31&lt;=$IB$32,IF($A92&lt;=$IB$7,1,2),IF($A92&lt;=RUNG_BEDS_2,2,1))</f>
        <v>1</v>
      </c>
      <c r="IC92" s="5">
        <f>MIN(1,MAX(0,$IB$26-($A92-1)))</f>
        <v>1</v>
      </c>
      <c r="ID92" s="5">
        <f>$IB$25*(IC92+(1-IC92)*$IB$16)</f>
        <v>252.05322714681438</v>
      </c>
      <c r="IE92" s="13">
        <f>ID92*($IB$6+ACUTE_MARGIN)</f>
        <v>254573.7594182825</v>
      </c>
      <c r="IF92" s="13">
        <f>IF(IB92=1,$IB$31,$IB$32)</f>
        <v>152734.9994534971</v>
      </c>
      <c r="IG92" s="13">
        <f>IE92-IF92</f>
        <v>101838.75996478542</v>
      </c>
      <c r="IH92" s="13">
        <f>IH91+IG92</f>
        <v>916548.8396830688</v>
      </c>
      <c r="II92">
        <f>IF(IH92=MAX($IH$83:$IH$483),$A92,0)</f>
        <v>0</v>
      </c>
      <c r="IJ92">
        <f>IF(IE92&lt;IF92,$A92,B_MAX+1)</f>
        <v>401.0</v>
      </c>
      <c r="IK92" s="13">
        <f>IF(IB92=1,$IB$35,$IB$36)</f>
        <v>0</v>
      </c>
      <c r="IL92" s="13">
        <f>OCC_DAYS*$IB$41*R_NF_2023-ID92*MCD_SHARE_FREED*R_WAIT_2023</f>
        <v>37367.159242427646</v>
      </c>
      <c r="IM92">
        <f>IF($A92&lt;=$IB$45,1,0)</f>
        <v>1</v>
      </c>
      <c r="JB92">
        <f>IF($JB$31&lt;=$JB$32,IF($A92&lt;=$JB$7,1,2),IF($A92&lt;=RUNG_BEDS_2,2,1))</f>
        <v>1</v>
      </c>
      <c r="JC92" s="5">
        <f>MIN(1,MAX(0,$JB$26-($A92-1)))</f>
        <v>1</v>
      </c>
      <c r="JD92" s="5">
        <f>$JB$25*(JC92+(1-JC92)*$JB$16)</f>
        <v>252.05322714681438</v>
      </c>
      <c r="JE92" s="13">
        <f>JD92*($JB$6+ACUTE_MARGIN)</f>
        <v>254573.7594182825</v>
      </c>
      <c r="JF92" s="13">
        <f>IF(JB92=1,$JB$31,$JB$32)</f>
        <v>152394.16214437486</v>
      </c>
      <c r="JG92" s="13">
        <f>JE92-JF92</f>
        <v>102179.59727390765</v>
      </c>
      <c r="JH92" s="13">
        <f>JH91+JG92</f>
        <v>919616.3754651687</v>
      </c>
      <c r="JI92">
        <f>IF(JH92=MAX($JH$83:$JH$483),$A92,0)</f>
        <v>0</v>
      </c>
      <c r="JJ92">
        <f>IF(JE92&lt;JF92,$A92,B_MAX+1)</f>
        <v>401.0</v>
      </c>
      <c r="JK92" s="13">
        <f>IF(JB92=1,$JB$35,$JB$36)</f>
        <v>0</v>
      </c>
      <c r="JL92" s="13">
        <f>OCC_DAYS*$JB$41*R_NF_2023-JD92*MCD_SHARE_FREED*R_WAIT_2023</f>
        <v>37367.159242427646</v>
      </c>
      <c r="JM92">
        <f>IF($A92&lt;=$JB$45,1,0)</f>
        <v>1</v>
      </c>
      <c r="KB92">
        <f>IF($KB$31&lt;=$KB$32,IF($A92&lt;=$KB$7,1,2),IF($A92&lt;=RUNG_BEDS_2,2,1))</f>
        <v>1</v>
      </c>
      <c r="KC92" s="5">
        <f>MIN(1,MAX(0,$KB$26-($A92-1)))</f>
        <v>1</v>
      </c>
      <c r="KD92" s="5">
        <f>$KB$25*(KC92+(1-KC92)*$KB$16)</f>
        <v>126.02661357340719</v>
      </c>
      <c r="KE92" s="13">
        <f>KD92*($KB$6+ACUTE_MARGIN)</f>
        <v>127286.87970914126</v>
      </c>
      <c r="KF92" s="13">
        <f>IF(KB92=1,$KB$31,$KB$32)</f>
        <v>152394.16214437486</v>
      </c>
      <c r="KG92" s="13">
        <f>KE92-KF92</f>
        <v>-25107.282435233603</v>
      </c>
      <c r="KH92" s="13">
        <f>KH91+KG92</f>
        <v>-225965.5419171024</v>
      </c>
      <c r="KI92">
        <f>IF(KH92=MAX($KH$83:$KH$483),$A92,0)</f>
        <v>0</v>
      </c>
      <c r="KJ92">
        <f>IF(KE92&lt;KF92,$A92,B_MAX+1)</f>
        <v>9</v>
      </c>
      <c r="KK92" s="13">
        <f>IF(KB92=1,$KB$35,$KB$36)</f>
        <v>0</v>
      </c>
      <c r="KL92" s="13">
        <f>OCC_DAYS*$KB$41*R_NF_2023-KD92*MCD_SHARE_FREED*R_WAIT_2023</f>
        <v>94673.82103225985</v>
      </c>
      <c r="KM92">
        <f>IF($A92&lt;=$KB$45,1,0)</f>
        <v>0</v>
      </c>
      <c r="LB92">
        <f>IF($LB$31&lt;=$LB$32,IF($A92&lt;=$LB$7,1,2),IF($A92&lt;=RUNG_BEDS_2,2,1))</f>
        <v>1</v>
      </c>
      <c r="LC92" s="5">
        <f>MIN(1,MAX(0,$LB$26-($A92-1)))</f>
        <v>1</v>
      </c>
      <c r="LD92" s="5">
        <f>$LB$25*(LC92+(1-LC92)*$LB$16)</f>
        <v>84.01774238227146</v>
      </c>
      <c r="LE92" s="13">
        <f>LD92*($LB$6+ACUTE_MARGIN)</f>
        <v>84857.91980609419</v>
      </c>
      <c r="LF92" s="13">
        <f>IF(LB92=1,$LB$31,$LB$32)</f>
        <v>152394.16214437486</v>
      </c>
      <c r="LG92" s="13">
        <f>LE92-LF92</f>
        <v>-67536.24233828067</v>
      </c>
      <c r="LH92" s="13">
        <f>LH91+LG92</f>
        <v>-607826.181044526</v>
      </c>
      <c r="LI92">
        <f>IF(LH92=MAX($LH$83:$LH$483),$A92,0)</f>
        <v>0</v>
      </c>
      <c r="LJ92">
        <f>IF(LE92&lt;LF92,$A92,B_MAX+1)</f>
        <v>9</v>
      </c>
      <c r="LK92" s="13">
        <f>IF(LB92=1,$LB$35,$LB$36)</f>
        <v>0</v>
      </c>
      <c r="LL92" s="13">
        <f>OCC_DAYS*$LB$41*R_NF_2023-LD92*MCD_SHARE_FREED*R_WAIT_2023</f>
        <v>113776.04162887059</v>
      </c>
      <c r="LM92">
        <f>IF($A92&lt;=$LB$45,1,0)</f>
        <v>0</v>
      </c>
      <c r="MB92">
        <f>IF($MB$31&lt;=$MB$32,IF($A92&lt;=$MB$7,1,2),IF($A92&lt;=RUNG_BEDS_2,2,1))</f>
        <v>1</v>
      </c>
      <c r="MC92" s="5">
        <f>MIN(1,MAX(0,$MB$26-($A92-1)))</f>
        <v>1</v>
      </c>
      <c r="MD92" s="5">
        <f>$MB$25*(MC92+(1-MC92)*$MB$16)</f>
        <v>213.44610951008647</v>
      </c>
      <c r="ME92" s="13">
        <f>MD92*($MB$6+ACUTE_MARGIN)</f>
        <v>215580.57060518733</v>
      </c>
      <c r="MF92" s="13">
        <f>IF(MB92=1,$MB$31,$MB$32)</f>
        <v>152394.16214437486</v>
      </c>
      <c r="MG92" s="13">
        <f>ME92-MF92</f>
        <v>63186.40846081247</v>
      </c>
      <c r="MH92" s="13">
        <f>MH91+MG92</f>
        <v>568677.6761473122</v>
      </c>
      <c r="MI92">
        <f>IF(MH92=MAX($MH$83:$MH$483),$A92,0)</f>
        <v>0</v>
      </c>
      <c r="MJ92">
        <f>IF(ME92&lt;MF92,$A92,B_MAX+1)</f>
        <v>401.0</v>
      </c>
      <c r="MK92" s="13">
        <f>IF(MB92=1,$MB$35,$MB$36)</f>
        <v>0</v>
      </c>
      <c r="ML92" s="13">
        <f>OCC_DAYS*$MB$41*R_NF_2023-MD92*MCD_SHARE_FREED*R_WAIT_2023</f>
        <v>54922.538779778624</v>
      </c>
      <c r="MM92">
        <f>IF($A92&lt;=$MB$45,1,0)</f>
        <v>1</v>
      </c>
      <c r="NB92">
        <f>IF($NB$31&lt;=$NB$32,IF($A92&lt;=$NB$7,1,2),IF($A92&lt;=RUNG_BEDS_2,2,1))</f>
        <v>1</v>
      </c>
      <c r="NC92" s="5">
        <f>MIN(1,MAX(0,$NB$26-($A92-1)))</f>
        <v>1</v>
      </c>
      <c r="ND92" s="5">
        <f>$NB$25*(NC92+(1-NC92)*$NB$16)</f>
        <v>252.05322714681438</v>
      </c>
      <c r="NE92" s="13">
        <f>ND92*($NB$6+ACUTE_MARGIN)</f>
        <v>254573.7594182825</v>
      </c>
      <c r="NF92" s="13">
        <f>IF(NB92=1,$NB$31,$NB$32)</f>
        <v>152394.16214437486</v>
      </c>
      <c r="NG92" s="13">
        <f>NE92-NF92</f>
        <v>102179.59727390765</v>
      </c>
      <c r="NH92" s="13">
        <f>NH91+NG92</f>
        <v>919616.3754651687</v>
      </c>
      <c r="NI92">
        <f>IF(NH92=MAX($NH$83:$NH$483),$A92,0)</f>
        <v>0</v>
      </c>
      <c r="NJ92">
        <f>IF(NE92&lt;NF92,$A92,B_MAX+1)</f>
        <v>401.0</v>
      </c>
      <c r="NK92" s="13">
        <f>IF(NB92=1,$NB$35,$NB$36)</f>
        <v>0</v>
      </c>
      <c r="NL92" s="13">
        <f>OCC_DAYS*$NB$41*R_NF_2023-ND92*MCD_SHARE_FREED*R_WAIT_2023</f>
        <v>37367.159242427646</v>
      </c>
      <c r="NM92">
        <f>IF($A92&lt;=$NB$45,1,0)</f>
        <v>1</v>
      </c>
      <c r="OB92">
        <f>IF($OB$31&lt;=$OB$32,IF($A92&lt;=$OB$7,1,2),IF($A92&lt;=RUNG_BEDS_2,2,1))</f>
        <v>1</v>
      </c>
      <c r="OC92" s="5">
        <f>MIN(1,MAX(0,$OB$26-($A92-1)))</f>
        <v>1</v>
      </c>
      <c r="OD92" s="5">
        <f>$OB$25*(OC92+(1-OC92)*$OB$16)</f>
        <v>252.05322714681438</v>
      </c>
      <c r="OE92" s="13">
        <f>OD92*($OB$6+ACUTE_MARGIN)</f>
        <v>254573.7594182825</v>
      </c>
      <c r="OF92" s="13">
        <f>IF(OB92=1,$OB$31,$OB$32)</f>
        <v>152394.16214437486</v>
      </c>
      <c r="OG92" s="13">
        <f>OE92-OF92</f>
        <v>102179.59727390765</v>
      </c>
      <c r="OH92" s="13">
        <f>OH91+OG92</f>
        <v>919616.3754651687</v>
      </c>
      <c r="OI92">
        <f>IF(OH92=MAX($OH$83:$OH$483),$A92,0)</f>
        <v>0</v>
      </c>
      <c r="OJ92">
        <f>IF(OE92&lt;OF92,$A92,B_MAX+1)</f>
        <v>401.0</v>
      </c>
      <c r="OK92" s="13">
        <f>IF(OB92=1,$OB$35,$OB$36)</f>
        <v>0</v>
      </c>
      <c r="OL92" s="13">
        <f>OCC_DAYS*$OB$41*R_NF_2023-OD92*MCD_SHARE_FREED*R_WAIT_2023</f>
        <v>37367.159242427646</v>
      </c>
      <c r="OM92">
        <f>IF($A92&lt;=$OB$45,1,0)</f>
        <v>1</v>
      </c>
    </row>
    <row r="93">
      <c r="A93" t="n">
        <v>10</v>
      </c>
      <c r="B93">
        <f>IF($B$31&lt;=$B$32,IF($A93&lt;=$B$7,1,2),IF($A93&lt;=RUNG_BEDS_2,2,1))</f>
        <v>1</v>
      </c>
      <c r="C93" s="5">
        <f>MIN(1,MAX(0,$B$26-($A93-1)))</f>
        <v>1</v>
      </c>
      <c r="D93" s="5">
        <f>$B$25*(C93+(1-C93)*$B$16)</f>
        <v>252.05322714681438</v>
      </c>
      <c r="E93" s="13">
        <f>D93*($B$6+ACUTE_MARGIN)</f>
        <v>254573.7594182825</v>
      </c>
      <c r="F93" s="13">
        <f>IF(B93=1,$B$31,$B$32)</f>
        <v>152394.16214437486</v>
      </c>
      <c r="G93" s="13">
        <f>E93-F93</f>
        <v>102179.59727390765</v>
      </c>
      <c r="H93" s="13">
        <f>H92+G93</f>
        <v>1021795.9727390764</v>
      </c>
      <c r="I93">
        <f>IF(H93=MAX($H$83:$H$483),$A93,0)</f>
        <v>0</v>
      </c>
      <c r="J93">
        <f>IF(E93&lt;F93,$A93,B_MAX+1)</f>
        <v>401.0</v>
      </c>
      <c r="K93" s="13">
        <f>IF(B93=1,$B$35,$B$36)</f>
        <v>0</v>
      </c>
      <c r="L93" s="13">
        <f>OCC_DAYS*$B$41*R_NF_2023-D93*MCD_SHARE_FREED*R_WAIT_2023</f>
        <v>37367.159242427646</v>
      </c>
      <c r="M93">
        <f>IF($A93&lt;=$B$45,1,0)</f>
        <v>1</v>
      </c>
      <c r="AB93">
        <f>IF($AB$31&lt;=$AB$32,IF($A93&lt;=$AB$7,1,2),IF($A93&lt;=RUNG_BEDS_2,2,1))</f>
        <v>1</v>
      </c>
      <c r="AC93" s="5">
        <f>MIN(1,MAX(0,$AB$26-($A93-1)))</f>
        <v>1</v>
      </c>
      <c r="AD93" s="5">
        <f>$AB$25*(AC93+(1-AC93)*$AB$16)</f>
        <v>252.05322714681438</v>
      </c>
      <c r="AE93" s="13">
        <f>AD93*($AB$6+ACUTE_MARGIN)</f>
        <v>138629.2749307479</v>
      </c>
      <c r="AF93" s="13">
        <f>IF(AB93=1,$AB$31,$AB$32)</f>
        <v>152394.16214437486</v>
      </c>
      <c r="AG93" s="13">
        <f>AE93-AF93</f>
        <v>-13764.887213626964</v>
      </c>
      <c r="AH93" s="13">
        <f>AH92+AG93</f>
        <v>-137648.87213626964</v>
      </c>
      <c r="AI93">
        <f>IF(AH93=MAX($AH$83:$AH$483),$A93,0)</f>
        <v>0</v>
      </c>
      <c r="AJ93">
        <f>IF(AE93&lt;AF93,$A93,B_MAX+1)</f>
        <v>10</v>
      </c>
      <c r="AK93" s="13">
        <f>IF(AB93=1,$AB$35,$AB$36)</f>
        <v>0</v>
      </c>
      <c r="AL93" s="13">
        <f>OCC_DAYS*$AB$41*R_NF_2023-AD93*MCD_SHARE_FREED*R_WAIT_2023</f>
        <v>37367.159242427646</v>
      </c>
      <c r="AM93">
        <f>IF($A93&lt;=$AB$45,1,0)</f>
        <v>0</v>
      </c>
      <c r="BB93">
        <f>IF($BB$31&lt;=$BB$32,IF($A93&lt;=$BB$7,1,2),IF($A93&lt;=RUNG_BEDS_2,2,1))</f>
        <v>1</v>
      </c>
      <c r="BC93" s="5">
        <f>MIN(1,MAX(0,$BB$26-($A93-1)))</f>
        <v>1</v>
      </c>
      <c r="BD93" s="5">
        <f>$BB$25*(BC93+(1-BC93)*$BB$16)</f>
        <v>252.05322714681438</v>
      </c>
      <c r="BE93" s="13">
        <f>BD93*($BB$6+ACUTE_MARGIN)</f>
        <v>370518.24390581716</v>
      </c>
      <c r="BF93" s="13">
        <f>IF(BB93=1,$BB$31,$BB$32)</f>
        <v>152394.16214437486</v>
      </c>
      <c r="BG93" s="13">
        <f>BE93-BF93</f>
        <v>218124.0817614423</v>
      </c>
      <c r="BH93" s="13">
        <f>BH92+BG93</f>
        <v>2181240.817614423</v>
      </c>
      <c r="BI93">
        <f>IF(BH93=MAX($BH$83:$BH$483),$A93,0)</f>
        <v>0</v>
      </c>
      <c r="BJ93">
        <f>IF(BE93&lt;BF93,$A93,B_MAX+1)</f>
        <v>401.0</v>
      </c>
      <c r="BK93" s="13">
        <f>IF(BB93=1,$BB$35,$BB$36)</f>
        <v>0</v>
      </c>
      <c r="BL93" s="13">
        <f>OCC_DAYS*$BB$41*R_NF_2023-BD93*MCD_SHARE_FREED*R_WAIT_2023</f>
        <v>37367.159242427646</v>
      </c>
      <c r="BM93">
        <f>IF($A93&lt;=$BB$45,1,0)</f>
        <v>1</v>
      </c>
      <c r="CB93">
        <f>IF($CB$31&lt;=$CB$32,IF($A93&lt;=$CB$7,1,2),IF($A93&lt;=RUNG_BEDS_2,2,1))</f>
        <v>2</v>
      </c>
      <c r="CC93" s="5">
        <f>MIN(1,MAX(0,$CB$26-($A93-1)))</f>
        <v>1</v>
      </c>
      <c r="CD93" s="5">
        <f>$CB$25*(CC93+(1-CC93)*$CB$16)</f>
        <v>252.05322714681438</v>
      </c>
      <c r="CE93" s="13">
        <f>CD93*($CB$6+ACUTE_MARGIN)</f>
        <v>254573.7594182825</v>
      </c>
      <c r="CF93" s="13">
        <f>IF(CB93=1,$CB$31,$CB$32)</f>
        <v>160718.36940738867</v>
      </c>
      <c r="CG93" s="13">
        <f>CE93-CF93</f>
        <v>93855.39001089384</v>
      </c>
      <c r="CH93" s="13">
        <f>CH92+CG93</f>
        <v>938553.9001089382</v>
      </c>
      <c r="CI93">
        <f>IF(CH93=MAX($CH$83:$CH$483),$A93,0)</f>
        <v>0</v>
      </c>
      <c r="CJ93">
        <f>IF(CE93&lt;CF93,$A93,B_MAX+1)</f>
        <v>401.0</v>
      </c>
      <c r="CK93" s="13">
        <f>IF(CB93=1,$CB$35,$CB$36)</f>
        <v>1560.1194073886782</v>
      </c>
      <c r="CL93" s="13">
        <f>OCC_DAYS*$CB$41*R_NF_2023-CD93*MCD_SHARE_FREED*R_WAIT_2023</f>
        <v>37367.159242427646</v>
      </c>
      <c r="CM93">
        <f>IF($A93&lt;=$CB$45,1,0)</f>
        <v>1</v>
      </c>
      <c r="DB93">
        <f>IF($DB$31&lt;=$DB$32,IF($A93&lt;=$DB$7,1,2),IF($A93&lt;=RUNG_BEDS_2,2,1))</f>
        <v>1</v>
      </c>
      <c r="DC93" s="5">
        <f>MIN(1,MAX(0,$DB$26-($A93-1)))</f>
        <v>1</v>
      </c>
      <c r="DD93" s="5">
        <f>$DB$25*(DC93+(1-DC93)*$DB$16)</f>
        <v>252.05322714681438</v>
      </c>
      <c r="DE93" s="13">
        <f>DD93*($DB$6+ACUTE_MARGIN)</f>
        <v>254573.7594182825</v>
      </c>
      <c r="DF93" s="13">
        <f>IF(DB93=1,$DB$31,$DB$32)</f>
        <v>152394.16214437486</v>
      </c>
      <c r="DG93" s="13">
        <f>DE93-DF93</f>
        <v>102179.59727390765</v>
      </c>
      <c r="DH93" s="13">
        <f>DH92+DG93</f>
        <v>1021795.9727390764</v>
      </c>
      <c r="DI93">
        <f>IF(DH93=MAX($DH$83:$DH$483),$A93,0)</f>
        <v>0</v>
      </c>
      <c r="DJ93">
        <f>IF(DE93&lt;DF93,$A93,B_MAX+1)</f>
        <v>401.0</v>
      </c>
      <c r="DK93" s="13">
        <f>IF(DB93=1,$DB$35,$DB$36)</f>
        <v>0</v>
      </c>
      <c r="DL93" s="13">
        <f>OCC_DAYS*$DB$41*R_NF_2023-DD93*MCD_SHARE_FREED*R_WAIT_2023</f>
        <v>37367.159242427646</v>
      </c>
      <c r="DM93">
        <f>IF($A93&lt;=$DB$45,1,0)</f>
        <v>1</v>
      </c>
      <c r="EB93">
        <f>IF($EB$31&lt;=$EB$32,IF($A93&lt;=$EB$7,1,2),IF($A93&lt;=RUNG_BEDS_2,2,1))</f>
        <v>1</v>
      </c>
      <c r="EC93" s="5">
        <f>MIN(1,MAX(0,$EB$26-($A93-1)))</f>
        <v>1</v>
      </c>
      <c r="ED93" s="5">
        <f>$EB$25*(EC93+(1-EC93)*$EB$16)</f>
        <v>252.05322714681438</v>
      </c>
      <c r="EE93" s="13">
        <f>ED93*($EB$6+ACUTE_MARGIN)</f>
        <v>254573.7594182825</v>
      </c>
      <c r="EF93" s="13">
        <f>IF(EB93=1,$EB$31,$EB$32)</f>
        <v>152394.16214437486</v>
      </c>
      <c r="EG93" s="13">
        <f>EE93-EF93</f>
        <v>102179.59727390765</v>
      </c>
      <c r="EH93" s="13">
        <f>EH92+EG93</f>
        <v>1021795.9727390764</v>
      </c>
      <c r="EI93">
        <f>IF(EH93=MAX($EH$83:$EH$483),$A93,0)</f>
        <v>0</v>
      </c>
      <c r="EJ93">
        <f>IF(EE93&lt;EF93,$A93,B_MAX+1)</f>
        <v>401.0</v>
      </c>
      <c r="EK93" s="13">
        <f>IF(EB93=1,$EB$35,$EB$36)</f>
        <v>0</v>
      </c>
      <c r="EL93" s="13">
        <f>OCC_DAYS*$EB$41*R_NF_2023-ED93*MCD_SHARE_FREED*R_WAIT_2023</f>
        <v>-63953.16263896705</v>
      </c>
      <c r="EM93">
        <f>IF($A93&lt;=$EB$45,1,0)</f>
        <v>1</v>
      </c>
      <c r="FB93">
        <f>IF($FB$31&lt;=$FB$32,IF($A93&lt;=$FB$7,1,2),IF($A93&lt;=RUNG_BEDS_2,2,1))</f>
        <v>1</v>
      </c>
      <c r="FC93" s="5">
        <f>MIN(1,MAX(0,$FB$26-($A93-1)))</f>
        <v>1</v>
      </c>
      <c r="FD93" s="5">
        <f>$FB$25*(FC93+(1-FC93)*$FB$16)</f>
        <v>252.05322714681438</v>
      </c>
      <c r="FE93" s="13">
        <f>FD93*($FB$6+ACUTE_MARGIN)</f>
        <v>254573.7594182825</v>
      </c>
      <c r="FF93" s="13">
        <f>IF(FB93=1,$FB$31,$FB$32)</f>
        <v>156636.04979437485</v>
      </c>
      <c r="FG93" s="13">
        <f>FE93-FF93</f>
        <v>97937.70962390766</v>
      </c>
      <c r="FH93" s="13">
        <f>FH92+FG93</f>
        <v>979377.0962390768</v>
      </c>
      <c r="FI93">
        <f>IF(FH93=MAX($FH$83:$FH$483),$A93,0)</f>
        <v>0</v>
      </c>
      <c r="FJ93">
        <f>IF(FE93&lt;FF93,$A93,B_MAX+1)</f>
        <v>401.0</v>
      </c>
      <c r="FK93" s="13">
        <f>IF(FB93=1,$FB$35,$FB$36)</f>
        <v>0</v>
      </c>
      <c r="FL93" s="13">
        <f>OCC_DAYS*$FB$41*R_NF_2023-FD93*MCD_SHARE_FREED*R_WAIT_2023</f>
        <v>37367.159242427646</v>
      </c>
      <c r="FM93">
        <f>IF($A93&lt;=$FB$45,1,0)</f>
        <v>1</v>
      </c>
      <c r="GB93">
        <f>IF($GB$31&lt;=$GB$32,IF($A93&lt;=$GB$7,1,2),IF($A93&lt;=RUNG_BEDS_2,2,1))</f>
        <v>1</v>
      </c>
      <c r="GC93" s="5">
        <f>MIN(1,MAX(0,$GB$26-($A93-1)))</f>
        <v>1</v>
      </c>
      <c r="GD93" s="5">
        <f>$GB$25*(GC93+(1-GC93)*$GB$16)</f>
        <v>252.05322714681438</v>
      </c>
      <c r="GE93" s="13">
        <f>GD93*($GB$6+ACUTE_MARGIN)</f>
        <v>254573.7594182825</v>
      </c>
      <c r="GF93" s="13">
        <f>IF(GB93=1,$GB$31,$GB$32)</f>
        <v>152394.16214437486</v>
      </c>
      <c r="GG93" s="13">
        <f>GE93-GF93</f>
        <v>102179.59727390765</v>
      </c>
      <c r="GH93" s="13">
        <f>GH92+GG93</f>
        <v>1021795.9727390764</v>
      </c>
      <c r="GI93">
        <f>IF(GH93=MAX($GH$83:$GH$483),$A93,0)</f>
        <v>0</v>
      </c>
      <c r="GJ93">
        <f>IF(GE93&lt;GF93,$A93,B_MAX+1)</f>
        <v>401.0</v>
      </c>
      <c r="GK93" s="13">
        <f>IF(GB93=1,$GB$35,$GB$36)</f>
        <v>0</v>
      </c>
      <c r="GL93" s="13">
        <f>OCC_DAYS*$GB$41*R_NF_2023-GD93*MCD_SHARE_FREED*R_WAIT_2023</f>
        <v>37367.159242427646</v>
      </c>
      <c r="GM93">
        <f>IF($A93&lt;=$GB$45,1,0)</f>
        <v>1</v>
      </c>
      <c r="HB93">
        <f>IF($HB$31&lt;=$HB$32,IF($A93&lt;=$HB$7,1,2),IF($A93&lt;=RUNG_BEDS_2,2,1))</f>
        <v>1</v>
      </c>
      <c r="HC93" s="5">
        <f>MIN(1,MAX(0,$HB$26-($A93-1)))</f>
        <v>1</v>
      </c>
      <c r="HD93" s="5">
        <f>$HB$25*(HC93+(1-HC93)*$HB$16)</f>
        <v>252.05322714681438</v>
      </c>
      <c r="HE93" s="13">
        <f>HD93*($HB$6+ACUTE_MARGIN)</f>
        <v>254573.7594182825</v>
      </c>
      <c r="HF93" s="13">
        <f>IF(HB93=1,$HB$31,$HB$32)</f>
        <v>152456.2970814058</v>
      </c>
      <c r="HG93" s="13">
        <f>HE93-HF93</f>
        <v>102117.46233687672</v>
      </c>
      <c r="HH93" s="13">
        <f>HH92+HG93</f>
        <v>1021174.6233687671</v>
      </c>
      <c r="HI93">
        <f>IF(HH93=MAX($HH$83:$HH$483),$A93,0)</f>
        <v>0</v>
      </c>
      <c r="HJ93">
        <f>IF(HE93&lt;HF93,$A93,B_MAX+1)</f>
        <v>401.0</v>
      </c>
      <c r="HK93" s="13">
        <f>IF(HB93=1,$HB$35,$HB$36)</f>
        <v>0</v>
      </c>
      <c r="HL93" s="13">
        <f>OCC_DAYS*$HB$41*R_NF_2023-HD93*MCD_SHARE_FREED*R_WAIT_2023</f>
        <v>37367.159242427646</v>
      </c>
      <c r="HM93">
        <f>IF($A93&lt;=$HB$45,1,0)</f>
        <v>1</v>
      </c>
      <c r="IB93">
        <f>IF($IB$31&lt;=$IB$32,IF($A93&lt;=$IB$7,1,2),IF($A93&lt;=RUNG_BEDS_2,2,1))</f>
        <v>1</v>
      </c>
      <c r="IC93" s="5">
        <f>MIN(1,MAX(0,$IB$26-($A93-1)))</f>
        <v>1</v>
      </c>
      <c r="ID93" s="5">
        <f>$IB$25*(IC93+(1-IC93)*$IB$16)</f>
        <v>252.05322714681438</v>
      </c>
      <c r="IE93" s="13">
        <f>ID93*($IB$6+ACUTE_MARGIN)</f>
        <v>254573.7594182825</v>
      </c>
      <c r="IF93" s="13">
        <f>IF(IB93=1,$IB$31,$IB$32)</f>
        <v>152734.9994534971</v>
      </c>
      <c r="IG93" s="13">
        <f>IE93-IF93</f>
        <v>101838.75996478542</v>
      </c>
      <c r="IH93" s="13">
        <f>IH92+IG93</f>
        <v>1018387.5996478542</v>
      </c>
      <c r="II93">
        <f>IF(IH93=MAX($IH$83:$IH$483),$A93,0)</f>
        <v>0</v>
      </c>
      <c r="IJ93">
        <f>IF(IE93&lt;IF93,$A93,B_MAX+1)</f>
        <v>401.0</v>
      </c>
      <c r="IK93" s="13">
        <f>IF(IB93=1,$IB$35,$IB$36)</f>
        <v>0</v>
      </c>
      <c r="IL93" s="13">
        <f>OCC_DAYS*$IB$41*R_NF_2023-ID93*MCD_SHARE_FREED*R_WAIT_2023</f>
        <v>37367.159242427646</v>
      </c>
      <c r="IM93">
        <f>IF($A93&lt;=$IB$45,1,0)</f>
        <v>1</v>
      </c>
      <c r="JB93">
        <f>IF($JB$31&lt;=$JB$32,IF($A93&lt;=$JB$7,1,2),IF($A93&lt;=RUNG_BEDS_2,2,1))</f>
        <v>1</v>
      </c>
      <c r="JC93" s="5">
        <f>MIN(1,MAX(0,$JB$26-($A93-1)))</f>
        <v>1</v>
      </c>
      <c r="JD93" s="5">
        <f>$JB$25*(JC93+(1-JC93)*$JB$16)</f>
        <v>252.05322714681438</v>
      </c>
      <c r="JE93" s="13">
        <f>JD93*($JB$6+ACUTE_MARGIN)</f>
        <v>254573.7594182825</v>
      </c>
      <c r="JF93" s="13">
        <f>IF(JB93=1,$JB$31,$JB$32)</f>
        <v>152394.16214437486</v>
      </c>
      <c r="JG93" s="13">
        <f>JE93-JF93</f>
        <v>102179.59727390765</v>
      </c>
      <c r="JH93" s="13">
        <f>JH92+JG93</f>
        <v>1021795.9727390764</v>
      </c>
      <c r="JI93">
        <f>IF(JH93=MAX($JH$83:$JH$483),$A93,0)</f>
        <v>0</v>
      </c>
      <c r="JJ93">
        <f>IF(JE93&lt;JF93,$A93,B_MAX+1)</f>
        <v>401.0</v>
      </c>
      <c r="JK93" s="13">
        <f>IF(JB93=1,$JB$35,$JB$36)</f>
        <v>0</v>
      </c>
      <c r="JL93" s="13">
        <f>OCC_DAYS*$JB$41*R_NF_2023-JD93*MCD_SHARE_FREED*R_WAIT_2023</f>
        <v>37367.159242427646</v>
      </c>
      <c r="JM93">
        <f>IF($A93&lt;=$JB$45,1,0)</f>
        <v>1</v>
      </c>
      <c r="KB93">
        <f>IF($KB$31&lt;=$KB$32,IF($A93&lt;=$KB$7,1,2),IF($A93&lt;=RUNG_BEDS_2,2,1))</f>
        <v>1</v>
      </c>
      <c r="KC93" s="5">
        <f>MIN(1,MAX(0,$KB$26-($A93-1)))</f>
        <v>1</v>
      </c>
      <c r="KD93" s="5">
        <f>$KB$25*(KC93+(1-KC93)*$KB$16)</f>
        <v>126.02661357340719</v>
      </c>
      <c r="KE93" s="13">
        <f>KD93*($KB$6+ACUTE_MARGIN)</f>
        <v>127286.87970914126</v>
      </c>
      <c r="KF93" s="13">
        <f>IF(KB93=1,$KB$31,$KB$32)</f>
        <v>152394.16214437486</v>
      </c>
      <c r="KG93" s="13">
        <f>KE93-KF93</f>
        <v>-25107.282435233603</v>
      </c>
      <c r="KH93" s="13">
        <f>KH92+KG93</f>
        <v>-251072.824352336</v>
      </c>
      <c r="KI93">
        <f>IF(KH93=MAX($KH$83:$KH$483),$A93,0)</f>
        <v>0</v>
      </c>
      <c r="KJ93">
        <f>IF(KE93&lt;KF93,$A93,B_MAX+1)</f>
        <v>10</v>
      </c>
      <c r="KK93" s="13">
        <f>IF(KB93=1,$KB$35,$KB$36)</f>
        <v>0</v>
      </c>
      <c r="KL93" s="13">
        <f>OCC_DAYS*$KB$41*R_NF_2023-KD93*MCD_SHARE_FREED*R_WAIT_2023</f>
        <v>94673.82103225985</v>
      </c>
      <c r="KM93">
        <f>IF($A93&lt;=$KB$45,1,0)</f>
        <v>0</v>
      </c>
      <c r="LB93">
        <f>IF($LB$31&lt;=$LB$32,IF($A93&lt;=$LB$7,1,2),IF($A93&lt;=RUNG_BEDS_2,2,1))</f>
        <v>1</v>
      </c>
      <c r="LC93" s="5">
        <f>MIN(1,MAX(0,$LB$26-($A93-1)))</f>
        <v>1</v>
      </c>
      <c r="LD93" s="5">
        <f>$LB$25*(LC93+(1-LC93)*$LB$16)</f>
        <v>84.01774238227146</v>
      </c>
      <c r="LE93" s="13">
        <f>LD93*($LB$6+ACUTE_MARGIN)</f>
        <v>84857.91980609419</v>
      </c>
      <c r="LF93" s="13">
        <f>IF(LB93=1,$LB$31,$LB$32)</f>
        <v>152394.16214437486</v>
      </c>
      <c r="LG93" s="13">
        <f>LE93-LF93</f>
        <v>-67536.24233828067</v>
      </c>
      <c r="LH93" s="13">
        <f>LH92+LG93</f>
        <v>-675362.4233828067</v>
      </c>
      <c r="LI93">
        <f>IF(LH93=MAX($LH$83:$LH$483),$A93,0)</f>
        <v>0</v>
      </c>
      <c r="LJ93">
        <f>IF(LE93&lt;LF93,$A93,B_MAX+1)</f>
        <v>10</v>
      </c>
      <c r="LK93" s="13">
        <f>IF(LB93=1,$LB$35,$LB$36)</f>
        <v>0</v>
      </c>
      <c r="LL93" s="13">
        <f>OCC_DAYS*$LB$41*R_NF_2023-LD93*MCD_SHARE_FREED*R_WAIT_2023</f>
        <v>113776.04162887059</v>
      </c>
      <c r="LM93">
        <f>IF($A93&lt;=$LB$45,1,0)</f>
        <v>0</v>
      </c>
      <c r="MB93">
        <f>IF($MB$31&lt;=$MB$32,IF($A93&lt;=$MB$7,1,2),IF($A93&lt;=RUNG_BEDS_2,2,1))</f>
        <v>1</v>
      </c>
      <c r="MC93" s="5">
        <f>MIN(1,MAX(0,$MB$26-($A93-1)))</f>
        <v>1</v>
      </c>
      <c r="MD93" s="5">
        <f>$MB$25*(MC93+(1-MC93)*$MB$16)</f>
        <v>213.44610951008647</v>
      </c>
      <c r="ME93" s="13">
        <f>MD93*($MB$6+ACUTE_MARGIN)</f>
        <v>215580.57060518733</v>
      </c>
      <c r="MF93" s="13">
        <f>IF(MB93=1,$MB$31,$MB$32)</f>
        <v>152394.16214437486</v>
      </c>
      <c r="MG93" s="13">
        <f>ME93-MF93</f>
        <v>63186.40846081247</v>
      </c>
      <c r="MH93" s="13">
        <f>MH92+MG93</f>
        <v>631864.0846081246</v>
      </c>
      <c r="MI93">
        <f>IF(MH93=MAX($MH$83:$MH$483),$A93,0)</f>
        <v>0</v>
      </c>
      <c r="MJ93">
        <f>IF(ME93&lt;MF93,$A93,B_MAX+1)</f>
        <v>401.0</v>
      </c>
      <c r="MK93" s="13">
        <f>IF(MB93=1,$MB$35,$MB$36)</f>
        <v>0</v>
      </c>
      <c r="ML93" s="13">
        <f>OCC_DAYS*$MB$41*R_NF_2023-MD93*MCD_SHARE_FREED*R_WAIT_2023</f>
        <v>54922.538779778624</v>
      </c>
      <c r="MM93">
        <f>IF($A93&lt;=$MB$45,1,0)</f>
        <v>1</v>
      </c>
      <c r="NB93">
        <f>IF($NB$31&lt;=$NB$32,IF($A93&lt;=$NB$7,1,2),IF($A93&lt;=RUNG_BEDS_2,2,1))</f>
        <v>1</v>
      </c>
      <c r="NC93" s="5">
        <f>MIN(1,MAX(0,$NB$26-($A93-1)))</f>
        <v>1</v>
      </c>
      <c r="ND93" s="5">
        <f>$NB$25*(NC93+(1-NC93)*$NB$16)</f>
        <v>252.05322714681438</v>
      </c>
      <c r="NE93" s="13">
        <f>ND93*($NB$6+ACUTE_MARGIN)</f>
        <v>254573.7594182825</v>
      </c>
      <c r="NF93" s="13">
        <f>IF(NB93=1,$NB$31,$NB$32)</f>
        <v>152394.16214437486</v>
      </c>
      <c r="NG93" s="13">
        <f>NE93-NF93</f>
        <v>102179.59727390765</v>
      </c>
      <c r="NH93" s="13">
        <f>NH92+NG93</f>
        <v>1021795.9727390764</v>
      </c>
      <c r="NI93">
        <f>IF(NH93=MAX($NH$83:$NH$483),$A93,0)</f>
        <v>0</v>
      </c>
      <c r="NJ93">
        <f>IF(NE93&lt;NF93,$A93,B_MAX+1)</f>
        <v>401.0</v>
      </c>
      <c r="NK93" s="13">
        <f>IF(NB93=1,$NB$35,$NB$36)</f>
        <v>0</v>
      </c>
      <c r="NL93" s="13">
        <f>OCC_DAYS*$NB$41*R_NF_2023-ND93*MCD_SHARE_FREED*R_WAIT_2023</f>
        <v>37367.159242427646</v>
      </c>
      <c r="NM93">
        <f>IF($A93&lt;=$NB$45,1,0)</f>
        <v>1</v>
      </c>
      <c r="OB93">
        <f>IF($OB$31&lt;=$OB$32,IF($A93&lt;=$OB$7,1,2),IF($A93&lt;=RUNG_BEDS_2,2,1))</f>
        <v>1</v>
      </c>
      <c r="OC93" s="5">
        <f>MIN(1,MAX(0,$OB$26-($A93-1)))</f>
        <v>1</v>
      </c>
      <c r="OD93" s="5">
        <f>$OB$25*(OC93+(1-OC93)*$OB$16)</f>
        <v>252.05322714681438</v>
      </c>
      <c r="OE93" s="13">
        <f>OD93*($OB$6+ACUTE_MARGIN)</f>
        <v>254573.7594182825</v>
      </c>
      <c r="OF93" s="13">
        <f>IF(OB93=1,$OB$31,$OB$32)</f>
        <v>152394.16214437486</v>
      </c>
      <c r="OG93" s="13">
        <f>OE93-OF93</f>
        <v>102179.59727390765</v>
      </c>
      <c r="OH93" s="13">
        <f>OH92+OG93</f>
        <v>1021795.9727390764</v>
      </c>
      <c r="OI93">
        <f>IF(OH93=MAX($OH$83:$OH$483),$A93,0)</f>
        <v>0</v>
      </c>
      <c r="OJ93">
        <f>IF(OE93&lt;OF93,$A93,B_MAX+1)</f>
        <v>401.0</v>
      </c>
      <c r="OK93" s="13">
        <f>IF(OB93=1,$OB$35,$OB$36)</f>
        <v>0</v>
      </c>
      <c r="OL93" s="13">
        <f>OCC_DAYS*$OB$41*R_NF_2023-OD93*MCD_SHARE_FREED*R_WAIT_2023</f>
        <v>37367.159242427646</v>
      </c>
      <c r="OM93">
        <f>IF($A93&lt;=$OB$45,1,0)</f>
        <v>1</v>
      </c>
    </row>
    <row r="94">
      <c r="A94" t="n">
        <v>11</v>
      </c>
      <c r="B94">
        <f>IF($B$31&lt;=$B$32,IF($A94&lt;=$B$7,1,2),IF($A94&lt;=RUNG_BEDS_2,2,1))</f>
        <v>1</v>
      </c>
      <c r="C94" s="5">
        <f>MIN(1,MAX(0,$B$26-($A94-1)))</f>
        <v>1</v>
      </c>
      <c r="D94" s="5">
        <f>$B$25*(C94+(1-C94)*$B$16)</f>
        <v>252.05322714681438</v>
      </c>
      <c r="E94" s="13">
        <f>D94*($B$6+ACUTE_MARGIN)</f>
        <v>254573.7594182825</v>
      </c>
      <c r="F94" s="13">
        <f>IF(B94=1,$B$31,$B$32)</f>
        <v>152394.16214437486</v>
      </c>
      <c r="G94" s="13">
        <f>E94-F94</f>
        <v>102179.59727390765</v>
      </c>
      <c r="H94" s="13">
        <f>H93+G94</f>
        <v>1123975.570012984</v>
      </c>
      <c r="I94">
        <f>IF(H94=MAX($H$83:$H$483),$A94,0)</f>
        <v>0</v>
      </c>
      <c r="J94">
        <f>IF(E94&lt;F94,$A94,B_MAX+1)</f>
        <v>401.0</v>
      </c>
      <c r="K94" s="13">
        <f>IF(B94=1,$B$35,$B$36)</f>
        <v>0</v>
      </c>
      <c r="L94" s="13">
        <f>OCC_DAYS*$B$41*R_NF_2023-D94*MCD_SHARE_FREED*R_WAIT_2023</f>
        <v>37367.159242427646</v>
      </c>
      <c r="M94">
        <f>IF($A94&lt;=$B$45,1,0)</f>
        <v>1</v>
      </c>
      <c r="AB94">
        <f>IF($AB$31&lt;=$AB$32,IF($A94&lt;=$AB$7,1,2),IF($A94&lt;=RUNG_BEDS_2,2,1))</f>
        <v>1</v>
      </c>
      <c r="AC94" s="5">
        <f>MIN(1,MAX(0,$AB$26-($A94-1)))</f>
        <v>1</v>
      </c>
      <c r="AD94" s="5">
        <f>$AB$25*(AC94+(1-AC94)*$AB$16)</f>
        <v>252.05322714681438</v>
      </c>
      <c r="AE94" s="13">
        <f>AD94*($AB$6+ACUTE_MARGIN)</f>
        <v>138629.2749307479</v>
      </c>
      <c r="AF94" s="13">
        <f>IF(AB94=1,$AB$31,$AB$32)</f>
        <v>152394.16214437486</v>
      </c>
      <c r="AG94" s="13">
        <f>AE94-AF94</f>
        <v>-13764.887213626964</v>
      </c>
      <c r="AH94" s="13">
        <f>AH93+AG94</f>
        <v>-151413.7593498966</v>
      </c>
      <c r="AI94">
        <f>IF(AH94=MAX($AH$83:$AH$483),$A94,0)</f>
        <v>0</v>
      </c>
      <c r="AJ94">
        <f>IF(AE94&lt;AF94,$A94,B_MAX+1)</f>
        <v>11</v>
      </c>
      <c r="AK94" s="13">
        <f>IF(AB94=1,$AB$35,$AB$36)</f>
        <v>0</v>
      </c>
      <c r="AL94" s="13">
        <f>OCC_DAYS*$AB$41*R_NF_2023-AD94*MCD_SHARE_FREED*R_WAIT_2023</f>
        <v>37367.159242427646</v>
      </c>
      <c r="AM94">
        <f>IF($A94&lt;=$AB$45,1,0)</f>
        <v>0</v>
      </c>
      <c r="BB94">
        <f>IF($BB$31&lt;=$BB$32,IF($A94&lt;=$BB$7,1,2),IF($A94&lt;=RUNG_BEDS_2,2,1))</f>
        <v>1</v>
      </c>
      <c r="BC94" s="5">
        <f>MIN(1,MAX(0,$BB$26-($A94-1)))</f>
        <v>1</v>
      </c>
      <c r="BD94" s="5">
        <f>$BB$25*(BC94+(1-BC94)*$BB$16)</f>
        <v>252.05322714681438</v>
      </c>
      <c r="BE94" s="13">
        <f>BD94*($BB$6+ACUTE_MARGIN)</f>
        <v>370518.24390581716</v>
      </c>
      <c r="BF94" s="13">
        <f>IF(BB94=1,$BB$31,$BB$32)</f>
        <v>152394.16214437486</v>
      </c>
      <c r="BG94" s="13">
        <f>BE94-BF94</f>
        <v>218124.0817614423</v>
      </c>
      <c r="BH94" s="13">
        <f>BH93+BG94</f>
        <v>2399364.8993758652</v>
      </c>
      <c r="BI94">
        <f>IF(BH94=MAX($BH$83:$BH$483),$A94,0)</f>
        <v>0</v>
      </c>
      <c r="BJ94">
        <f>IF(BE94&lt;BF94,$A94,B_MAX+1)</f>
        <v>401.0</v>
      </c>
      <c r="BK94" s="13">
        <f>IF(BB94=1,$BB$35,$BB$36)</f>
        <v>0</v>
      </c>
      <c r="BL94" s="13">
        <f>OCC_DAYS*$BB$41*R_NF_2023-BD94*MCD_SHARE_FREED*R_WAIT_2023</f>
        <v>37367.159242427646</v>
      </c>
      <c r="BM94">
        <f>IF($A94&lt;=$BB$45,1,0)</f>
        <v>1</v>
      </c>
      <c r="CB94">
        <f>IF($CB$31&lt;=$CB$32,IF($A94&lt;=$CB$7,1,2),IF($A94&lt;=RUNG_BEDS_2,2,1))</f>
        <v>2</v>
      </c>
      <c r="CC94" s="5">
        <f>MIN(1,MAX(0,$CB$26-($A94-1)))</f>
        <v>1</v>
      </c>
      <c r="CD94" s="5">
        <f>$CB$25*(CC94+(1-CC94)*$CB$16)</f>
        <v>252.05322714681438</v>
      </c>
      <c r="CE94" s="13">
        <f>CD94*($CB$6+ACUTE_MARGIN)</f>
        <v>254573.7594182825</v>
      </c>
      <c r="CF94" s="13">
        <f>IF(CB94=1,$CB$31,$CB$32)</f>
        <v>160718.36940738867</v>
      </c>
      <c r="CG94" s="13">
        <f>CE94-CF94</f>
        <v>93855.39001089384</v>
      </c>
      <c r="CH94" s="13">
        <f>CH93+CG94</f>
        <v>1032409.290119832</v>
      </c>
      <c r="CI94">
        <f>IF(CH94=MAX($CH$83:$CH$483),$A94,0)</f>
        <v>0</v>
      </c>
      <c r="CJ94">
        <f>IF(CE94&lt;CF94,$A94,B_MAX+1)</f>
        <v>401.0</v>
      </c>
      <c r="CK94" s="13">
        <f>IF(CB94=1,$CB$35,$CB$36)</f>
        <v>1560.1194073886782</v>
      </c>
      <c r="CL94" s="13">
        <f>OCC_DAYS*$CB$41*R_NF_2023-CD94*MCD_SHARE_FREED*R_WAIT_2023</f>
        <v>37367.159242427646</v>
      </c>
      <c r="CM94">
        <f>IF($A94&lt;=$CB$45,1,0)</f>
        <v>1</v>
      </c>
      <c r="DB94">
        <f>IF($DB$31&lt;=$DB$32,IF($A94&lt;=$DB$7,1,2),IF($A94&lt;=RUNG_BEDS_2,2,1))</f>
        <v>1</v>
      </c>
      <c r="DC94" s="5">
        <f>MIN(1,MAX(0,$DB$26-($A94-1)))</f>
        <v>1</v>
      </c>
      <c r="DD94" s="5">
        <f>$DB$25*(DC94+(1-DC94)*$DB$16)</f>
        <v>252.05322714681438</v>
      </c>
      <c r="DE94" s="13">
        <f>DD94*($DB$6+ACUTE_MARGIN)</f>
        <v>254573.7594182825</v>
      </c>
      <c r="DF94" s="13">
        <f>IF(DB94=1,$DB$31,$DB$32)</f>
        <v>152394.16214437486</v>
      </c>
      <c r="DG94" s="13">
        <f>DE94-DF94</f>
        <v>102179.59727390765</v>
      </c>
      <c r="DH94" s="13">
        <f>DH93+DG94</f>
        <v>1123975.570012984</v>
      </c>
      <c r="DI94">
        <f>IF(DH94=MAX($DH$83:$DH$483),$A94,0)</f>
        <v>0</v>
      </c>
      <c r="DJ94">
        <f>IF(DE94&lt;DF94,$A94,B_MAX+1)</f>
        <v>401.0</v>
      </c>
      <c r="DK94" s="13">
        <f>IF(DB94=1,$DB$35,$DB$36)</f>
        <v>0</v>
      </c>
      <c r="DL94" s="13">
        <f>OCC_DAYS*$DB$41*R_NF_2023-DD94*MCD_SHARE_FREED*R_WAIT_2023</f>
        <v>37367.159242427646</v>
      </c>
      <c r="DM94">
        <f>IF($A94&lt;=$DB$45,1,0)</f>
        <v>1</v>
      </c>
      <c r="EB94">
        <f>IF($EB$31&lt;=$EB$32,IF($A94&lt;=$EB$7,1,2),IF($A94&lt;=RUNG_BEDS_2,2,1))</f>
        <v>1</v>
      </c>
      <c r="EC94" s="5">
        <f>MIN(1,MAX(0,$EB$26-($A94-1)))</f>
        <v>1</v>
      </c>
      <c r="ED94" s="5">
        <f>$EB$25*(EC94+(1-EC94)*$EB$16)</f>
        <v>252.05322714681438</v>
      </c>
      <c r="EE94" s="13">
        <f>ED94*($EB$6+ACUTE_MARGIN)</f>
        <v>254573.7594182825</v>
      </c>
      <c r="EF94" s="13">
        <f>IF(EB94=1,$EB$31,$EB$32)</f>
        <v>152394.16214437486</v>
      </c>
      <c r="EG94" s="13">
        <f>EE94-EF94</f>
        <v>102179.59727390765</v>
      </c>
      <c r="EH94" s="13">
        <f>EH93+EG94</f>
        <v>1123975.570012984</v>
      </c>
      <c r="EI94">
        <f>IF(EH94=MAX($EH$83:$EH$483),$A94,0)</f>
        <v>0</v>
      </c>
      <c r="EJ94">
        <f>IF(EE94&lt;EF94,$A94,B_MAX+1)</f>
        <v>401.0</v>
      </c>
      <c r="EK94" s="13">
        <f>IF(EB94=1,$EB$35,$EB$36)</f>
        <v>0</v>
      </c>
      <c r="EL94" s="13">
        <f>OCC_DAYS*$EB$41*R_NF_2023-ED94*MCD_SHARE_FREED*R_WAIT_2023</f>
        <v>-63953.16263896705</v>
      </c>
      <c r="EM94">
        <f>IF($A94&lt;=$EB$45,1,0)</f>
        <v>1</v>
      </c>
      <c r="FB94">
        <f>IF($FB$31&lt;=$FB$32,IF($A94&lt;=$FB$7,1,2),IF($A94&lt;=RUNG_BEDS_2,2,1))</f>
        <v>1</v>
      </c>
      <c r="FC94" s="5">
        <f>MIN(1,MAX(0,$FB$26-($A94-1)))</f>
        <v>1</v>
      </c>
      <c r="FD94" s="5">
        <f>$FB$25*(FC94+(1-FC94)*$FB$16)</f>
        <v>252.05322714681438</v>
      </c>
      <c r="FE94" s="13">
        <f>FD94*($FB$6+ACUTE_MARGIN)</f>
        <v>254573.7594182825</v>
      </c>
      <c r="FF94" s="13">
        <f>IF(FB94=1,$FB$31,$FB$32)</f>
        <v>156636.04979437485</v>
      </c>
      <c r="FG94" s="13">
        <f>FE94-FF94</f>
        <v>97937.70962390766</v>
      </c>
      <c r="FH94" s="13">
        <f>FH93+FG94</f>
        <v>1077314.8058629844</v>
      </c>
      <c r="FI94">
        <f>IF(FH94=MAX($FH$83:$FH$483),$A94,0)</f>
        <v>0</v>
      </c>
      <c r="FJ94">
        <f>IF(FE94&lt;FF94,$A94,B_MAX+1)</f>
        <v>401.0</v>
      </c>
      <c r="FK94" s="13">
        <f>IF(FB94=1,$FB$35,$FB$36)</f>
        <v>0</v>
      </c>
      <c r="FL94" s="13">
        <f>OCC_DAYS*$FB$41*R_NF_2023-FD94*MCD_SHARE_FREED*R_WAIT_2023</f>
        <v>37367.159242427646</v>
      </c>
      <c r="FM94">
        <f>IF($A94&lt;=$FB$45,1,0)</f>
        <v>1</v>
      </c>
      <c r="GB94">
        <f>IF($GB$31&lt;=$GB$32,IF($A94&lt;=$GB$7,1,2),IF($A94&lt;=RUNG_BEDS_2,2,1))</f>
        <v>1</v>
      </c>
      <c r="GC94" s="5">
        <f>MIN(1,MAX(0,$GB$26-($A94-1)))</f>
        <v>1</v>
      </c>
      <c r="GD94" s="5">
        <f>$GB$25*(GC94+(1-GC94)*$GB$16)</f>
        <v>252.05322714681438</v>
      </c>
      <c r="GE94" s="13">
        <f>GD94*($GB$6+ACUTE_MARGIN)</f>
        <v>254573.7594182825</v>
      </c>
      <c r="GF94" s="13">
        <f>IF(GB94=1,$GB$31,$GB$32)</f>
        <v>152394.16214437486</v>
      </c>
      <c r="GG94" s="13">
        <f>GE94-GF94</f>
        <v>102179.59727390765</v>
      </c>
      <c r="GH94" s="13">
        <f>GH93+GG94</f>
        <v>1123975.570012984</v>
      </c>
      <c r="GI94">
        <f>IF(GH94=MAX($GH$83:$GH$483),$A94,0)</f>
        <v>0</v>
      </c>
      <c r="GJ94">
        <f>IF(GE94&lt;GF94,$A94,B_MAX+1)</f>
        <v>401.0</v>
      </c>
      <c r="GK94" s="13">
        <f>IF(GB94=1,$GB$35,$GB$36)</f>
        <v>0</v>
      </c>
      <c r="GL94" s="13">
        <f>OCC_DAYS*$GB$41*R_NF_2023-GD94*MCD_SHARE_FREED*R_WAIT_2023</f>
        <v>37367.159242427646</v>
      </c>
      <c r="GM94">
        <f>IF($A94&lt;=$GB$45,1,0)</f>
        <v>1</v>
      </c>
      <c r="HB94">
        <f>IF($HB$31&lt;=$HB$32,IF($A94&lt;=$HB$7,1,2),IF($A94&lt;=RUNG_BEDS_2,2,1))</f>
        <v>1</v>
      </c>
      <c r="HC94" s="5">
        <f>MIN(1,MAX(0,$HB$26-($A94-1)))</f>
        <v>1</v>
      </c>
      <c r="HD94" s="5">
        <f>$HB$25*(HC94+(1-HC94)*$HB$16)</f>
        <v>252.05322714681438</v>
      </c>
      <c r="HE94" s="13">
        <f>HD94*($HB$6+ACUTE_MARGIN)</f>
        <v>254573.7594182825</v>
      </c>
      <c r="HF94" s="13">
        <f>IF(HB94=1,$HB$31,$HB$32)</f>
        <v>152456.2970814058</v>
      </c>
      <c r="HG94" s="13">
        <f>HE94-HF94</f>
        <v>102117.46233687672</v>
      </c>
      <c r="HH94" s="13">
        <f>HH93+HG94</f>
        <v>1123292.0857056438</v>
      </c>
      <c r="HI94">
        <f>IF(HH94=MAX($HH$83:$HH$483),$A94,0)</f>
        <v>0</v>
      </c>
      <c r="HJ94">
        <f>IF(HE94&lt;HF94,$A94,B_MAX+1)</f>
        <v>401.0</v>
      </c>
      <c r="HK94" s="13">
        <f>IF(HB94=1,$HB$35,$HB$36)</f>
        <v>0</v>
      </c>
      <c r="HL94" s="13">
        <f>OCC_DAYS*$HB$41*R_NF_2023-HD94*MCD_SHARE_FREED*R_WAIT_2023</f>
        <v>37367.159242427646</v>
      </c>
      <c r="HM94">
        <f>IF($A94&lt;=$HB$45,1,0)</f>
        <v>1</v>
      </c>
      <c r="IB94">
        <f>IF($IB$31&lt;=$IB$32,IF($A94&lt;=$IB$7,1,2),IF($A94&lt;=RUNG_BEDS_2,2,1))</f>
        <v>1</v>
      </c>
      <c r="IC94" s="5">
        <f>MIN(1,MAX(0,$IB$26-($A94-1)))</f>
        <v>1</v>
      </c>
      <c r="ID94" s="5">
        <f>$IB$25*(IC94+(1-IC94)*$IB$16)</f>
        <v>252.05322714681438</v>
      </c>
      <c r="IE94" s="13">
        <f>ID94*($IB$6+ACUTE_MARGIN)</f>
        <v>254573.7594182825</v>
      </c>
      <c r="IF94" s="13">
        <f>IF(IB94=1,$IB$31,$IB$32)</f>
        <v>152734.9994534971</v>
      </c>
      <c r="IG94" s="13">
        <f>IE94-IF94</f>
        <v>101838.75996478542</v>
      </c>
      <c r="IH94" s="13">
        <f>IH93+IG94</f>
        <v>1120226.3596126395</v>
      </c>
      <c r="II94">
        <f>IF(IH94=MAX($IH$83:$IH$483),$A94,0)</f>
        <v>0</v>
      </c>
      <c r="IJ94">
        <f>IF(IE94&lt;IF94,$A94,B_MAX+1)</f>
        <v>401.0</v>
      </c>
      <c r="IK94" s="13">
        <f>IF(IB94=1,$IB$35,$IB$36)</f>
        <v>0</v>
      </c>
      <c r="IL94" s="13">
        <f>OCC_DAYS*$IB$41*R_NF_2023-ID94*MCD_SHARE_FREED*R_WAIT_2023</f>
        <v>37367.159242427646</v>
      </c>
      <c r="IM94">
        <f>IF($A94&lt;=$IB$45,1,0)</f>
        <v>1</v>
      </c>
      <c r="JB94">
        <f>IF($JB$31&lt;=$JB$32,IF($A94&lt;=$JB$7,1,2),IF($A94&lt;=RUNG_BEDS_2,2,1))</f>
        <v>1</v>
      </c>
      <c r="JC94" s="5">
        <f>MIN(1,MAX(0,$JB$26-($A94-1)))</f>
        <v>1</v>
      </c>
      <c r="JD94" s="5">
        <f>$JB$25*(JC94+(1-JC94)*$JB$16)</f>
        <v>252.05322714681438</v>
      </c>
      <c r="JE94" s="13">
        <f>JD94*($JB$6+ACUTE_MARGIN)</f>
        <v>254573.7594182825</v>
      </c>
      <c r="JF94" s="13">
        <f>IF(JB94=1,$JB$31,$JB$32)</f>
        <v>152394.16214437486</v>
      </c>
      <c r="JG94" s="13">
        <f>JE94-JF94</f>
        <v>102179.59727390765</v>
      </c>
      <c r="JH94" s="13">
        <f>JH93+JG94</f>
        <v>1123975.570012984</v>
      </c>
      <c r="JI94">
        <f>IF(JH94=MAX($JH$83:$JH$483),$A94,0)</f>
        <v>0</v>
      </c>
      <c r="JJ94">
        <f>IF(JE94&lt;JF94,$A94,B_MAX+1)</f>
        <v>401.0</v>
      </c>
      <c r="JK94" s="13">
        <f>IF(JB94=1,$JB$35,$JB$36)</f>
        <v>0</v>
      </c>
      <c r="JL94" s="13">
        <f>OCC_DAYS*$JB$41*R_NF_2023-JD94*MCD_SHARE_FREED*R_WAIT_2023</f>
        <v>37367.159242427646</v>
      </c>
      <c r="JM94">
        <f>IF($A94&lt;=$JB$45,1,0)</f>
        <v>1</v>
      </c>
      <c r="KB94">
        <f>IF($KB$31&lt;=$KB$32,IF($A94&lt;=$KB$7,1,2),IF($A94&lt;=RUNG_BEDS_2,2,1))</f>
        <v>1</v>
      </c>
      <c r="KC94" s="5">
        <f>MIN(1,MAX(0,$KB$26-($A94-1)))</f>
        <v>1</v>
      </c>
      <c r="KD94" s="5">
        <f>$KB$25*(KC94+(1-KC94)*$KB$16)</f>
        <v>126.02661357340719</v>
      </c>
      <c r="KE94" s="13">
        <f>KD94*($KB$6+ACUTE_MARGIN)</f>
        <v>127286.87970914126</v>
      </c>
      <c r="KF94" s="13">
        <f>IF(KB94=1,$KB$31,$KB$32)</f>
        <v>152394.16214437486</v>
      </c>
      <c r="KG94" s="13">
        <f>KE94-KF94</f>
        <v>-25107.282435233603</v>
      </c>
      <c r="KH94" s="13">
        <f>KH93+KG94</f>
        <v>-276180.1067875696</v>
      </c>
      <c r="KI94">
        <f>IF(KH94=MAX($KH$83:$KH$483),$A94,0)</f>
        <v>0</v>
      </c>
      <c r="KJ94">
        <f>IF(KE94&lt;KF94,$A94,B_MAX+1)</f>
        <v>11</v>
      </c>
      <c r="KK94" s="13">
        <f>IF(KB94=1,$KB$35,$KB$36)</f>
        <v>0</v>
      </c>
      <c r="KL94" s="13">
        <f>OCC_DAYS*$KB$41*R_NF_2023-KD94*MCD_SHARE_FREED*R_WAIT_2023</f>
        <v>94673.82103225985</v>
      </c>
      <c r="KM94">
        <f>IF($A94&lt;=$KB$45,1,0)</f>
        <v>0</v>
      </c>
      <c r="LB94">
        <f>IF($LB$31&lt;=$LB$32,IF($A94&lt;=$LB$7,1,2),IF($A94&lt;=RUNG_BEDS_2,2,1))</f>
        <v>1</v>
      </c>
      <c r="LC94" s="5">
        <f>MIN(1,MAX(0,$LB$26-($A94-1)))</f>
        <v>1</v>
      </c>
      <c r="LD94" s="5">
        <f>$LB$25*(LC94+(1-LC94)*$LB$16)</f>
        <v>84.01774238227146</v>
      </c>
      <c r="LE94" s="13">
        <f>LD94*($LB$6+ACUTE_MARGIN)</f>
        <v>84857.91980609419</v>
      </c>
      <c r="LF94" s="13">
        <f>IF(LB94=1,$LB$31,$LB$32)</f>
        <v>152394.16214437486</v>
      </c>
      <c r="LG94" s="13">
        <f>LE94-LF94</f>
        <v>-67536.24233828067</v>
      </c>
      <c r="LH94" s="13">
        <f>LH93+LG94</f>
        <v>-742898.6657210874</v>
      </c>
      <c r="LI94">
        <f>IF(LH94=MAX($LH$83:$LH$483),$A94,0)</f>
        <v>0</v>
      </c>
      <c r="LJ94">
        <f>IF(LE94&lt;LF94,$A94,B_MAX+1)</f>
        <v>11</v>
      </c>
      <c r="LK94" s="13">
        <f>IF(LB94=1,$LB$35,$LB$36)</f>
        <v>0</v>
      </c>
      <c r="LL94" s="13">
        <f>OCC_DAYS*$LB$41*R_NF_2023-LD94*MCD_SHARE_FREED*R_WAIT_2023</f>
        <v>113776.04162887059</v>
      </c>
      <c r="LM94">
        <f>IF($A94&lt;=$LB$45,1,0)</f>
        <v>0</v>
      </c>
      <c r="MB94">
        <f>IF($MB$31&lt;=$MB$32,IF($A94&lt;=$MB$7,1,2),IF($A94&lt;=RUNG_BEDS_2,2,1))</f>
        <v>1</v>
      </c>
      <c r="MC94" s="5">
        <f>MIN(1,MAX(0,$MB$26-($A94-1)))</f>
        <v>1</v>
      </c>
      <c r="MD94" s="5">
        <f>$MB$25*(MC94+(1-MC94)*$MB$16)</f>
        <v>213.44610951008647</v>
      </c>
      <c r="ME94" s="13">
        <f>MD94*($MB$6+ACUTE_MARGIN)</f>
        <v>215580.57060518733</v>
      </c>
      <c r="MF94" s="13">
        <f>IF(MB94=1,$MB$31,$MB$32)</f>
        <v>152394.16214437486</v>
      </c>
      <c r="MG94" s="13">
        <f>ME94-MF94</f>
        <v>63186.40846081247</v>
      </c>
      <c r="MH94" s="13">
        <f>MH93+MG94</f>
        <v>695050.493068937</v>
      </c>
      <c r="MI94">
        <f>IF(MH94=MAX($MH$83:$MH$483),$A94,0)</f>
        <v>0</v>
      </c>
      <c r="MJ94">
        <f>IF(ME94&lt;MF94,$A94,B_MAX+1)</f>
        <v>401.0</v>
      </c>
      <c r="MK94" s="13">
        <f>IF(MB94=1,$MB$35,$MB$36)</f>
        <v>0</v>
      </c>
      <c r="ML94" s="13">
        <f>OCC_DAYS*$MB$41*R_NF_2023-MD94*MCD_SHARE_FREED*R_WAIT_2023</f>
        <v>54922.538779778624</v>
      </c>
      <c r="MM94">
        <f>IF($A94&lt;=$MB$45,1,0)</f>
        <v>1</v>
      </c>
      <c r="NB94">
        <f>IF($NB$31&lt;=$NB$32,IF($A94&lt;=$NB$7,1,2),IF($A94&lt;=RUNG_BEDS_2,2,1))</f>
        <v>1</v>
      </c>
      <c r="NC94" s="5">
        <f>MIN(1,MAX(0,$NB$26-($A94-1)))</f>
        <v>1</v>
      </c>
      <c r="ND94" s="5">
        <f>$NB$25*(NC94+(1-NC94)*$NB$16)</f>
        <v>252.05322714681438</v>
      </c>
      <c r="NE94" s="13">
        <f>ND94*($NB$6+ACUTE_MARGIN)</f>
        <v>254573.7594182825</v>
      </c>
      <c r="NF94" s="13">
        <f>IF(NB94=1,$NB$31,$NB$32)</f>
        <v>152394.16214437486</v>
      </c>
      <c r="NG94" s="13">
        <f>NE94-NF94</f>
        <v>102179.59727390765</v>
      </c>
      <c r="NH94" s="13">
        <f>NH93+NG94</f>
        <v>1123975.570012984</v>
      </c>
      <c r="NI94">
        <f>IF(NH94=MAX($NH$83:$NH$483),$A94,0)</f>
        <v>0</v>
      </c>
      <c r="NJ94">
        <f>IF(NE94&lt;NF94,$A94,B_MAX+1)</f>
        <v>401.0</v>
      </c>
      <c r="NK94" s="13">
        <f>IF(NB94=1,$NB$35,$NB$36)</f>
        <v>0</v>
      </c>
      <c r="NL94" s="13">
        <f>OCC_DAYS*$NB$41*R_NF_2023-ND94*MCD_SHARE_FREED*R_WAIT_2023</f>
        <v>37367.159242427646</v>
      </c>
      <c r="NM94">
        <f>IF($A94&lt;=$NB$45,1,0)</f>
        <v>1</v>
      </c>
      <c r="OB94">
        <f>IF($OB$31&lt;=$OB$32,IF($A94&lt;=$OB$7,1,2),IF($A94&lt;=RUNG_BEDS_2,2,1))</f>
        <v>1</v>
      </c>
      <c r="OC94" s="5">
        <f>MIN(1,MAX(0,$OB$26-($A94-1)))</f>
        <v>1</v>
      </c>
      <c r="OD94" s="5">
        <f>$OB$25*(OC94+(1-OC94)*$OB$16)</f>
        <v>252.05322714681438</v>
      </c>
      <c r="OE94" s="13">
        <f>OD94*($OB$6+ACUTE_MARGIN)</f>
        <v>254573.7594182825</v>
      </c>
      <c r="OF94" s="13">
        <f>IF(OB94=1,$OB$31,$OB$32)</f>
        <v>152394.16214437486</v>
      </c>
      <c r="OG94" s="13">
        <f>OE94-OF94</f>
        <v>102179.59727390765</v>
      </c>
      <c r="OH94" s="13">
        <f>OH93+OG94</f>
        <v>1123975.570012984</v>
      </c>
      <c r="OI94">
        <f>IF(OH94=MAX($OH$83:$OH$483),$A94,0)</f>
        <v>0</v>
      </c>
      <c r="OJ94">
        <f>IF(OE94&lt;OF94,$A94,B_MAX+1)</f>
        <v>401.0</v>
      </c>
      <c r="OK94" s="13">
        <f>IF(OB94=1,$OB$35,$OB$36)</f>
        <v>0</v>
      </c>
      <c r="OL94" s="13">
        <f>OCC_DAYS*$OB$41*R_NF_2023-OD94*MCD_SHARE_FREED*R_WAIT_2023</f>
        <v>37367.159242427646</v>
      </c>
      <c r="OM94">
        <f>IF($A94&lt;=$OB$45,1,0)</f>
        <v>1</v>
      </c>
    </row>
    <row r="95">
      <c r="A95" t="n">
        <v>12</v>
      </c>
      <c r="B95">
        <f>IF($B$31&lt;=$B$32,IF($A95&lt;=$B$7,1,2),IF($A95&lt;=RUNG_BEDS_2,2,1))</f>
        <v>1</v>
      </c>
      <c r="C95" s="5">
        <f>MIN(1,MAX(0,$B$26-($A95-1)))</f>
        <v>1</v>
      </c>
      <c r="D95" s="5">
        <f>$B$25*(C95+(1-C95)*$B$16)</f>
        <v>252.05322714681438</v>
      </c>
      <c r="E95" s="13">
        <f>D95*($B$6+ACUTE_MARGIN)</f>
        <v>254573.7594182825</v>
      </c>
      <c r="F95" s="13">
        <f>IF(B95=1,$B$31,$B$32)</f>
        <v>152394.16214437486</v>
      </c>
      <c r="G95" s="13">
        <f>E95-F95</f>
        <v>102179.59727390765</v>
      </c>
      <c r="H95" s="13">
        <f>H94+G95</f>
        <v>1226155.1672868917</v>
      </c>
      <c r="I95">
        <f>IF(H95=MAX($H$83:$H$483),$A95,0)</f>
        <v>0</v>
      </c>
      <c r="J95">
        <f>IF(E95&lt;F95,$A95,B_MAX+1)</f>
        <v>401.0</v>
      </c>
      <c r="K95" s="13">
        <f>IF(B95=1,$B$35,$B$36)</f>
        <v>0</v>
      </c>
      <c r="L95" s="13">
        <f>OCC_DAYS*$B$41*R_NF_2023-D95*MCD_SHARE_FREED*R_WAIT_2023</f>
        <v>37367.159242427646</v>
      </c>
      <c r="M95">
        <f>IF($A95&lt;=$B$45,1,0)</f>
        <v>1</v>
      </c>
      <c r="AB95">
        <f>IF($AB$31&lt;=$AB$32,IF($A95&lt;=$AB$7,1,2),IF($A95&lt;=RUNG_BEDS_2,2,1))</f>
        <v>1</v>
      </c>
      <c r="AC95" s="5">
        <f>MIN(1,MAX(0,$AB$26-($A95-1)))</f>
        <v>1</v>
      </c>
      <c r="AD95" s="5">
        <f>$AB$25*(AC95+(1-AC95)*$AB$16)</f>
        <v>252.05322714681438</v>
      </c>
      <c r="AE95" s="13">
        <f>AD95*($AB$6+ACUTE_MARGIN)</f>
        <v>138629.2749307479</v>
      </c>
      <c r="AF95" s="13">
        <f>IF(AB95=1,$AB$31,$AB$32)</f>
        <v>152394.16214437486</v>
      </c>
      <c r="AG95" s="13">
        <f>AE95-AF95</f>
        <v>-13764.887213626964</v>
      </c>
      <c r="AH95" s="13">
        <f>AH94+AG95</f>
        <v>-165178.64656352357</v>
      </c>
      <c r="AI95">
        <f>IF(AH95=MAX($AH$83:$AH$483),$A95,0)</f>
        <v>0</v>
      </c>
      <c r="AJ95">
        <f>IF(AE95&lt;AF95,$A95,B_MAX+1)</f>
        <v>12</v>
      </c>
      <c r="AK95" s="13">
        <f>IF(AB95=1,$AB$35,$AB$36)</f>
        <v>0</v>
      </c>
      <c r="AL95" s="13">
        <f>OCC_DAYS*$AB$41*R_NF_2023-AD95*MCD_SHARE_FREED*R_WAIT_2023</f>
        <v>37367.159242427646</v>
      </c>
      <c r="AM95">
        <f>IF($A95&lt;=$AB$45,1,0)</f>
        <v>0</v>
      </c>
      <c r="BB95">
        <f>IF($BB$31&lt;=$BB$32,IF($A95&lt;=$BB$7,1,2),IF($A95&lt;=RUNG_BEDS_2,2,1))</f>
        <v>1</v>
      </c>
      <c r="BC95" s="5">
        <f>MIN(1,MAX(0,$BB$26-($A95-1)))</f>
        <v>1</v>
      </c>
      <c r="BD95" s="5">
        <f>$BB$25*(BC95+(1-BC95)*$BB$16)</f>
        <v>252.05322714681438</v>
      </c>
      <c r="BE95" s="13">
        <f>BD95*($BB$6+ACUTE_MARGIN)</f>
        <v>370518.24390581716</v>
      </c>
      <c r="BF95" s="13">
        <f>IF(BB95=1,$BB$31,$BB$32)</f>
        <v>152394.16214437486</v>
      </c>
      <c r="BG95" s="13">
        <f>BE95-BF95</f>
        <v>218124.0817614423</v>
      </c>
      <c r="BH95" s="13">
        <f>BH94+BG95</f>
        <v>2617488.9811373074</v>
      </c>
      <c r="BI95">
        <f>IF(BH95=MAX($BH$83:$BH$483),$A95,0)</f>
        <v>0</v>
      </c>
      <c r="BJ95">
        <f>IF(BE95&lt;BF95,$A95,B_MAX+1)</f>
        <v>401.0</v>
      </c>
      <c r="BK95" s="13">
        <f>IF(BB95=1,$BB$35,$BB$36)</f>
        <v>0</v>
      </c>
      <c r="BL95" s="13">
        <f>OCC_DAYS*$BB$41*R_NF_2023-BD95*MCD_SHARE_FREED*R_WAIT_2023</f>
        <v>37367.159242427646</v>
      </c>
      <c r="BM95">
        <f>IF($A95&lt;=$BB$45,1,0)</f>
        <v>1</v>
      </c>
      <c r="CB95">
        <f>IF($CB$31&lt;=$CB$32,IF($A95&lt;=$CB$7,1,2),IF($A95&lt;=RUNG_BEDS_2,2,1))</f>
        <v>2</v>
      </c>
      <c r="CC95" s="5">
        <f>MIN(1,MAX(0,$CB$26-($A95-1)))</f>
        <v>1</v>
      </c>
      <c r="CD95" s="5">
        <f>$CB$25*(CC95+(1-CC95)*$CB$16)</f>
        <v>252.05322714681438</v>
      </c>
      <c r="CE95" s="13">
        <f>CD95*($CB$6+ACUTE_MARGIN)</f>
        <v>254573.7594182825</v>
      </c>
      <c r="CF95" s="13">
        <f>IF(CB95=1,$CB$31,$CB$32)</f>
        <v>160718.36940738867</v>
      </c>
      <c r="CG95" s="13">
        <f>CE95-CF95</f>
        <v>93855.39001089384</v>
      </c>
      <c r="CH95" s="13">
        <f>CH94+CG95</f>
        <v>1126264.680130726</v>
      </c>
      <c r="CI95">
        <f>IF(CH95=MAX($CH$83:$CH$483),$A95,0)</f>
        <v>0</v>
      </c>
      <c r="CJ95">
        <f>IF(CE95&lt;CF95,$A95,B_MAX+1)</f>
        <v>401.0</v>
      </c>
      <c r="CK95" s="13">
        <f>IF(CB95=1,$CB$35,$CB$36)</f>
        <v>1560.1194073886782</v>
      </c>
      <c r="CL95" s="13">
        <f>OCC_DAYS*$CB$41*R_NF_2023-CD95*MCD_SHARE_FREED*R_WAIT_2023</f>
        <v>37367.159242427646</v>
      </c>
      <c r="CM95">
        <f>IF($A95&lt;=$CB$45,1,0)</f>
        <v>1</v>
      </c>
      <c r="DB95">
        <f>IF($DB$31&lt;=$DB$32,IF($A95&lt;=$DB$7,1,2),IF($A95&lt;=RUNG_BEDS_2,2,1))</f>
        <v>1</v>
      </c>
      <c r="DC95" s="5">
        <f>MIN(1,MAX(0,$DB$26-($A95-1)))</f>
        <v>1</v>
      </c>
      <c r="DD95" s="5">
        <f>$DB$25*(DC95+(1-DC95)*$DB$16)</f>
        <v>252.05322714681438</v>
      </c>
      <c r="DE95" s="13">
        <f>DD95*($DB$6+ACUTE_MARGIN)</f>
        <v>254573.7594182825</v>
      </c>
      <c r="DF95" s="13">
        <f>IF(DB95=1,$DB$31,$DB$32)</f>
        <v>152394.16214437486</v>
      </c>
      <c r="DG95" s="13">
        <f>DE95-DF95</f>
        <v>102179.59727390765</v>
      </c>
      <c r="DH95" s="13">
        <f>DH94+DG95</f>
        <v>1226155.1672868917</v>
      </c>
      <c r="DI95">
        <f>IF(DH95=MAX($DH$83:$DH$483),$A95,0)</f>
        <v>0</v>
      </c>
      <c r="DJ95">
        <f>IF(DE95&lt;DF95,$A95,B_MAX+1)</f>
        <v>401.0</v>
      </c>
      <c r="DK95" s="13">
        <f>IF(DB95=1,$DB$35,$DB$36)</f>
        <v>0</v>
      </c>
      <c r="DL95" s="13">
        <f>OCC_DAYS*$DB$41*R_NF_2023-DD95*MCD_SHARE_FREED*R_WAIT_2023</f>
        <v>37367.159242427646</v>
      </c>
      <c r="DM95">
        <f>IF($A95&lt;=$DB$45,1,0)</f>
        <v>1</v>
      </c>
      <c r="EB95">
        <f>IF($EB$31&lt;=$EB$32,IF($A95&lt;=$EB$7,1,2),IF($A95&lt;=RUNG_BEDS_2,2,1))</f>
        <v>1</v>
      </c>
      <c r="EC95" s="5">
        <f>MIN(1,MAX(0,$EB$26-($A95-1)))</f>
        <v>1</v>
      </c>
      <c r="ED95" s="5">
        <f>$EB$25*(EC95+(1-EC95)*$EB$16)</f>
        <v>252.05322714681438</v>
      </c>
      <c r="EE95" s="13">
        <f>ED95*($EB$6+ACUTE_MARGIN)</f>
        <v>254573.7594182825</v>
      </c>
      <c r="EF95" s="13">
        <f>IF(EB95=1,$EB$31,$EB$32)</f>
        <v>152394.16214437486</v>
      </c>
      <c r="EG95" s="13">
        <f>EE95-EF95</f>
        <v>102179.59727390765</v>
      </c>
      <c r="EH95" s="13">
        <f>EH94+EG95</f>
        <v>1226155.1672868917</v>
      </c>
      <c r="EI95">
        <f>IF(EH95=MAX($EH$83:$EH$483),$A95,0)</f>
        <v>0</v>
      </c>
      <c r="EJ95">
        <f>IF(EE95&lt;EF95,$A95,B_MAX+1)</f>
        <v>401.0</v>
      </c>
      <c r="EK95" s="13">
        <f>IF(EB95=1,$EB$35,$EB$36)</f>
        <v>0</v>
      </c>
      <c r="EL95" s="13">
        <f>OCC_DAYS*$EB$41*R_NF_2023-ED95*MCD_SHARE_FREED*R_WAIT_2023</f>
        <v>-63953.16263896705</v>
      </c>
      <c r="EM95">
        <f>IF($A95&lt;=$EB$45,1,0)</f>
        <v>1</v>
      </c>
      <c r="FB95">
        <f>IF($FB$31&lt;=$FB$32,IF($A95&lt;=$FB$7,1,2),IF($A95&lt;=RUNG_BEDS_2,2,1))</f>
        <v>1</v>
      </c>
      <c r="FC95" s="5">
        <f>MIN(1,MAX(0,$FB$26-($A95-1)))</f>
        <v>1</v>
      </c>
      <c r="FD95" s="5">
        <f>$FB$25*(FC95+(1-FC95)*$FB$16)</f>
        <v>252.05322714681438</v>
      </c>
      <c r="FE95" s="13">
        <f>FD95*($FB$6+ACUTE_MARGIN)</f>
        <v>254573.7594182825</v>
      </c>
      <c r="FF95" s="13">
        <f>IF(FB95=1,$FB$31,$FB$32)</f>
        <v>156636.04979437485</v>
      </c>
      <c r="FG95" s="13">
        <f>FE95-FF95</f>
        <v>97937.70962390766</v>
      </c>
      <c r="FH95" s="13">
        <f>FH94+FG95</f>
        <v>1175252.515486892</v>
      </c>
      <c r="FI95">
        <f>IF(FH95=MAX($FH$83:$FH$483),$A95,0)</f>
        <v>0</v>
      </c>
      <c r="FJ95">
        <f>IF(FE95&lt;FF95,$A95,B_MAX+1)</f>
        <v>401.0</v>
      </c>
      <c r="FK95" s="13">
        <f>IF(FB95=1,$FB$35,$FB$36)</f>
        <v>0</v>
      </c>
      <c r="FL95" s="13">
        <f>OCC_DAYS*$FB$41*R_NF_2023-FD95*MCD_SHARE_FREED*R_WAIT_2023</f>
        <v>37367.159242427646</v>
      </c>
      <c r="FM95">
        <f>IF($A95&lt;=$FB$45,1,0)</f>
        <v>1</v>
      </c>
      <c r="GB95">
        <f>IF($GB$31&lt;=$GB$32,IF($A95&lt;=$GB$7,1,2),IF($A95&lt;=RUNG_BEDS_2,2,1))</f>
        <v>1</v>
      </c>
      <c r="GC95" s="5">
        <f>MIN(1,MAX(0,$GB$26-($A95-1)))</f>
        <v>1</v>
      </c>
      <c r="GD95" s="5">
        <f>$GB$25*(GC95+(1-GC95)*$GB$16)</f>
        <v>252.05322714681438</v>
      </c>
      <c r="GE95" s="13">
        <f>GD95*($GB$6+ACUTE_MARGIN)</f>
        <v>254573.7594182825</v>
      </c>
      <c r="GF95" s="13">
        <f>IF(GB95=1,$GB$31,$GB$32)</f>
        <v>152394.16214437486</v>
      </c>
      <c r="GG95" s="13">
        <f>GE95-GF95</f>
        <v>102179.59727390765</v>
      </c>
      <c r="GH95" s="13">
        <f>GH94+GG95</f>
        <v>1226155.1672868917</v>
      </c>
      <c r="GI95">
        <f>IF(GH95=MAX($GH$83:$GH$483),$A95,0)</f>
        <v>0</v>
      </c>
      <c r="GJ95">
        <f>IF(GE95&lt;GF95,$A95,B_MAX+1)</f>
        <v>401.0</v>
      </c>
      <c r="GK95" s="13">
        <f>IF(GB95=1,$GB$35,$GB$36)</f>
        <v>0</v>
      </c>
      <c r="GL95" s="13">
        <f>OCC_DAYS*$GB$41*R_NF_2023-GD95*MCD_SHARE_FREED*R_WAIT_2023</f>
        <v>37367.159242427646</v>
      </c>
      <c r="GM95">
        <f>IF($A95&lt;=$GB$45,1,0)</f>
        <v>1</v>
      </c>
      <c r="HB95">
        <f>IF($HB$31&lt;=$HB$32,IF($A95&lt;=$HB$7,1,2),IF($A95&lt;=RUNG_BEDS_2,2,1))</f>
        <v>1</v>
      </c>
      <c r="HC95" s="5">
        <f>MIN(1,MAX(0,$HB$26-($A95-1)))</f>
        <v>1</v>
      </c>
      <c r="HD95" s="5">
        <f>$HB$25*(HC95+(1-HC95)*$HB$16)</f>
        <v>252.05322714681438</v>
      </c>
      <c r="HE95" s="13">
        <f>HD95*($HB$6+ACUTE_MARGIN)</f>
        <v>254573.7594182825</v>
      </c>
      <c r="HF95" s="13">
        <f>IF(HB95=1,$HB$31,$HB$32)</f>
        <v>152456.2970814058</v>
      </c>
      <c r="HG95" s="13">
        <f>HE95-HF95</f>
        <v>102117.46233687672</v>
      </c>
      <c r="HH95" s="13">
        <f>HH94+HG95</f>
        <v>1225409.5480425204</v>
      </c>
      <c r="HI95">
        <f>IF(HH95=MAX($HH$83:$HH$483),$A95,0)</f>
        <v>0</v>
      </c>
      <c r="HJ95">
        <f>IF(HE95&lt;HF95,$A95,B_MAX+1)</f>
        <v>401.0</v>
      </c>
      <c r="HK95" s="13">
        <f>IF(HB95=1,$HB$35,$HB$36)</f>
        <v>0</v>
      </c>
      <c r="HL95" s="13">
        <f>OCC_DAYS*$HB$41*R_NF_2023-HD95*MCD_SHARE_FREED*R_WAIT_2023</f>
        <v>37367.159242427646</v>
      </c>
      <c r="HM95">
        <f>IF($A95&lt;=$HB$45,1,0)</f>
        <v>1</v>
      </c>
      <c r="IB95">
        <f>IF($IB$31&lt;=$IB$32,IF($A95&lt;=$IB$7,1,2),IF($A95&lt;=RUNG_BEDS_2,2,1))</f>
        <v>1</v>
      </c>
      <c r="IC95" s="5">
        <f>MIN(1,MAX(0,$IB$26-($A95-1)))</f>
        <v>1</v>
      </c>
      <c r="ID95" s="5">
        <f>$IB$25*(IC95+(1-IC95)*$IB$16)</f>
        <v>252.05322714681438</v>
      </c>
      <c r="IE95" s="13">
        <f>ID95*($IB$6+ACUTE_MARGIN)</f>
        <v>254573.7594182825</v>
      </c>
      <c r="IF95" s="13">
        <f>IF(IB95=1,$IB$31,$IB$32)</f>
        <v>152734.9994534971</v>
      </c>
      <c r="IG95" s="13">
        <f>IE95-IF95</f>
        <v>101838.75996478542</v>
      </c>
      <c r="IH95" s="13">
        <f>IH94+IG95</f>
        <v>1222065.119577425</v>
      </c>
      <c r="II95">
        <f>IF(IH95=MAX($IH$83:$IH$483),$A95,0)</f>
        <v>0</v>
      </c>
      <c r="IJ95">
        <f>IF(IE95&lt;IF95,$A95,B_MAX+1)</f>
        <v>401.0</v>
      </c>
      <c r="IK95" s="13">
        <f>IF(IB95=1,$IB$35,$IB$36)</f>
        <v>0</v>
      </c>
      <c r="IL95" s="13">
        <f>OCC_DAYS*$IB$41*R_NF_2023-ID95*MCD_SHARE_FREED*R_WAIT_2023</f>
        <v>37367.159242427646</v>
      </c>
      <c r="IM95">
        <f>IF($A95&lt;=$IB$45,1,0)</f>
        <v>1</v>
      </c>
      <c r="JB95">
        <f>IF($JB$31&lt;=$JB$32,IF($A95&lt;=$JB$7,1,2),IF($A95&lt;=RUNG_BEDS_2,2,1))</f>
        <v>1</v>
      </c>
      <c r="JC95" s="5">
        <f>MIN(1,MAX(0,$JB$26-($A95-1)))</f>
        <v>1</v>
      </c>
      <c r="JD95" s="5">
        <f>$JB$25*(JC95+(1-JC95)*$JB$16)</f>
        <v>252.05322714681438</v>
      </c>
      <c r="JE95" s="13">
        <f>JD95*($JB$6+ACUTE_MARGIN)</f>
        <v>254573.7594182825</v>
      </c>
      <c r="JF95" s="13">
        <f>IF(JB95=1,$JB$31,$JB$32)</f>
        <v>152394.16214437486</v>
      </c>
      <c r="JG95" s="13">
        <f>JE95-JF95</f>
        <v>102179.59727390765</v>
      </c>
      <c r="JH95" s="13">
        <f>JH94+JG95</f>
        <v>1226155.1672868917</v>
      </c>
      <c r="JI95">
        <f>IF(JH95=MAX($JH$83:$JH$483),$A95,0)</f>
        <v>0</v>
      </c>
      <c r="JJ95">
        <f>IF(JE95&lt;JF95,$A95,B_MAX+1)</f>
        <v>401.0</v>
      </c>
      <c r="JK95" s="13">
        <f>IF(JB95=1,$JB$35,$JB$36)</f>
        <v>0</v>
      </c>
      <c r="JL95" s="13">
        <f>OCC_DAYS*$JB$41*R_NF_2023-JD95*MCD_SHARE_FREED*R_WAIT_2023</f>
        <v>37367.159242427646</v>
      </c>
      <c r="JM95">
        <f>IF($A95&lt;=$JB$45,1,0)</f>
        <v>1</v>
      </c>
      <c r="KB95">
        <f>IF($KB$31&lt;=$KB$32,IF($A95&lt;=$KB$7,1,2),IF($A95&lt;=RUNG_BEDS_2,2,1))</f>
        <v>1</v>
      </c>
      <c r="KC95" s="5">
        <f>MIN(1,MAX(0,$KB$26-($A95-1)))</f>
        <v>1</v>
      </c>
      <c r="KD95" s="5">
        <f>$KB$25*(KC95+(1-KC95)*$KB$16)</f>
        <v>126.02661357340719</v>
      </c>
      <c r="KE95" s="13">
        <f>KD95*($KB$6+ACUTE_MARGIN)</f>
        <v>127286.87970914126</v>
      </c>
      <c r="KF95" s="13">
        <f>IF(KB95=1,$KB$31,$KB$32)</f>
        <v>152394.16214437486</v>
      </c>
      <c r="KG95" s="13">
        <f>KE95-KF95</f>
        <v>-25107.282435233603</v>
      </c>
      <c r="KH95" s="13">
        <f>KH94+KG95</f>
        <v>-301287.3892228032</v>
      </c>
      <c r="KI95">
        <f>IF(KH95=MAX($KH$83:$KH$483),$A95,0)</f>
        <v>0</v>
      </c>
      <c r="KJ95">
        <f>IF(KE95&lt;KF95,$A95,B_MAX+1)</f>
        <v>12</v>
      </c>
      <c r="KK95" s="13">
        <f>IF(KB95=1,$KB$35,$KB$36)</f>
        <v>0</v>
      </c>
      <c r="KL95" s="13">
        <f>OCC_DAYS*$KB$41*R_NF_2023-KD95*MCD_SHARE_FREED*R_WAIT_2023</f>
        <v>94673.82103225985</v>
      </c>
      <c r="KM95">
        <f>IF($A95&lt;=$KB$45,1,0)</f>
        <v>0</v>
      </c>
      <c r="LB95">
        <f>IF($LB$31&lt;=$LB$32,IF($A95&lt;=$LB$7,1,2),IF($A95&lt;=RUNG_BEDS_2,2,1))</f>
        <v>1</v>
      </c>
      <c r="LC95" s="5">
        <f>MIN(1,MAX(0,$LB$26-($A95-1)))</f>
        <v>1</v>
      </c>
      <c r="LD95" s="5">
        <f>$LB$25*(LC95+(1-LC95)*$LB$16)</f>
        <v>84.01774238227146</v>
      </c>
      <c r="LE95" s="13">
        <f>LD95*($LB$6+ACUTE_MARGIN)</f>
        <v>84857.91980609419</v>
      </c>
      <c r="LF95" s="13">
        <f>IF(LB95=1,$LB$31,$LB$32)</f>
        <v>152394.16214437486</v>
      </c>
      <c r="LG95" s="13">
        <f>LE95-LF95</f>
        <v>-67536.24233828067</v>
      </c>
      <c r="LH95" s="13">
        <f>LH94+LG95</f>
        <v>-810434.908059368</v>
      </c>
      <c r="LI95">
        <f>IF(LH95=MAX($LH$83:$LH$483),$A95,0)</f>
        <v>0</v>
      </c>
      <c r="LJ95">
        <f>IF(LE95&lt;LF95,$A95,B_MAX+1)</f>
        <v>12</v>
      </c>
      <c r="LK95" s="13">
        <f>IF(LB95=1,$LB$35,$LB$36)</f>
        <v>0</v>
      </c>
      <c r="LL95" s="13">
        <f>OCC_DAYS*$LB$41*R_NF_2023-LD95*MCD_SHARE_FREED*R_WAIT_2023</f>
        <v>113776.04162887059</v>
      </c>
      <c r="LM95">
        <f>IF($A95&lt;=$LB$45,1,0)</f>
        <v>0</v>
      </c>
      <c r="MB95">
        <f>IF($MB$31&lt;=$MB$32,IF($A95&lt;=$MB$7,1,2),IF($A95&lt;=RUNG_BEDS_2,2,1))</f>
        <v>1</v>
      </c>
      <c r="MC95" s="5">
        <f>MIN(1,MAX(0,$MB$26-($A95-1)))</f>
        <v>1</v>
      </c>
      <c r="MD95" s="5">
        <f>$MB$25*(MC95+(1-MC95)*$MB$16)</f>
        <v>213.44610951008647</v>
      </c>
      <c r="ME95" s="13">
        <f>MD95*($MB$6+ACUTE_MARGIN)</f>
        <v>215580.57060518733</v>
      </c>
      <c r="MF95" s="13">
        <f>IF(MB95=1,$MB$31,$MB$32)</f>
        <v>152394.16214437486</v>
      </c>
      <c r="MG95" s="13">
        <f>ME95-MF95</f>
        <v>63186.40846081247</v>
      </c>
      <c r="MH95" s="13">
        <f>MH94+MG95</f>
        <v>758236.9015297494</v>
      </c>
      <c r="MI95">
        <f>IF(MH95=MAX($MH$83:$MH$483),$A95,0)</f>
        <v>0</v>
      </c>
      <c r="MJ95">
        <f>IF(ME95&lt;MF95,$A95,B_MAX+1)</f>
        <v>401.0</v>
      </c>
      <c r="MK95" s="13">
        <f>IF(MB95=1,$MB$35,$MB$36)</f>
        <v>0</v>
      </c>
      <c r="ML95" s="13">
        <f>OCC_DAYS*$MB$41*R_NF_2023-MD95*MCD_SHARE_FREED*R_WAIT_2023</f>
        <v>54922.538779778624</v>
      </c>
      <c r="MM95">
        <f>IF($A95&lt;=$MB$45,1,0)</f>
        <v>1</v>
      </c>
      <c r="NB95">
        <f>IF($NB$31&lt;=$NB$32,IF($A95&lt;=$NB$7,1,2),IF($A95&lt;=RUNG_BEDS_2,2,1))</f>
        <v>1</v>
      </c>
      <c r="NC95" s="5">
        <f>MIN(1,MAX(0,$NB$26-($A95-1)))</f>
        <v>1</v>
      </c>
      <c r="ND95" s="5">
        <f>$NB$25*(NC95+(1-NC95)*$NB$16)</f>
        <v>252.05322714681438</v>
      </c>
      <c r="NE95" s="13">
        <f>ND95*($NB$6+ACUTE_MARGIN)</f>
        <v>254573.7594182825</v>
      </c>
      <c r="NF95" s="13">
        <f>IF(NB95=1,$NB$31,$NB$32)</f>
        <v>152394.16214437486</v>
      </c>
      <c r="NG95" s="13">
        <f>NE95-NF95</f>
        <v>102179.59727390765</v>
      </c>
      <c r="NH95" s="13">
        <f>NH94+NG95</f>
        <v>1226155.1672868917</v>
      </c>
      <c r="NI95">
        <f>IF(NH95=MAX($NH$83:$NH$483),$A95,0)</f>
        <v>0</v>
      </c>
      <c r="NJ95">
        <f>IF(NE95&lt;NF95,$A95,B_MAX+1)</f>
        <v>401.0</v>
      </c>
      <c r="NK95" s="13">
        <f>IF(NB95=1,$NB$35,$NB$36)</f>
        <v>0</v>
      </c>
      <c r="NL95" s="13">
        <f>OCC_DAYS*$NB$41*R_NF_2023-ND95*MCD_SHARE_FREED*R_WAIT_2023</f>
        <v>37367.159242427646</v>
      </c>
      <c r="NM95">
        <f>IF($A95&lt;=$NB$45,1,0)</f>
        <v>1</v>
      </c>
      <c r="OB95">
        <f>IF($OB$31&lt;=$OB$32,IF($A95&lt;=$OB$7,1,2),IF($A95&lt;=RUNG_BEDS_2,2,1))</f>
        <v>1</v>
      </c>
      <c r="OC95" s="5">
        <f>MIN(1,MAX(0,$OB$26-($A95-1)))</f>
        <v>1</v>
      </c>
      <c r="OD95" s="5">
        <f>$OB$25*(OC95+(1-OC95)*$OB$16)</f>
        <v>252.05322714681438</v>
      </c>
      <c r="OE95" s="13">
        <f>OD95*($OB$6+ACUTE_MARGIN)</f>
        <v>254573.7594182825</v>
      </c>
      <c r="OF95" s="13">
        <f>IF(OB95=1,$OB$31,$OB$32)</f>
        <v>152394.16214437486</v>
      </c>
      <c r="OG95" s="13">
        <f>OE95-OF95</f>
        <v>102179.59727390765</v>
      </c>
      <c r="OH95" s="13">
        <f>OH94+OG95</f>
        <v>1226155.1672868917</v>
      </c>
      <c r="OI95">
        <f>IF(OH95=MAX($OH$83:$OH$483),$A95,0)</f>
        <v>0</v>
      </c>
      <c r="OJ95">
        <f>IF(OE95&lt;OF95,$A95,B_MAX+1)</f>
        <v>401.0</v>
      </c>
      <c r="OK95" s="13">
        <f>IF(OB95=1,$OB$35,$OB$36)</f>
        <v>0</v>
      </c>
      <c r="OL95" s="13">
        <f>OCC_DAYS*$OB$41*R_NF_2023-OD95*MCD_SHARE_FREED*R_WAIT_2023</f>
        <v>37367.159242427646</v>
      </c>
      <c r="OM95">
        <f>IF($A95&lt;=$OB$45,1,0)</f>
        <v>1</v>
      </c>
    </row>
    <row r="96">
      <c r="A96" t="n">
        <v>13</v>
      </c>
      <c r="B96">
        <f>IF($B$31&lt;=$B$32,IF($A96&lt;=$B$7,1,2),IF($A96&lt;=RUNG_BEDS_2,2,1))</f>
        <v>1</v>
      </c>
      <c r="C96" s="5">
        <f>MIN(1,MAX(0,$B$26-($A96-1)))</f>
        <v>1</v>
      </c>
      <c r="D96" s="5">
        <f>$B$25*(C96+(1-C96)*$B$16)</f>
        <v>252.05322714681438</v>
      </c>
      <c r="E96" s="13">
        <f>D96*($B$6+ACUTE_MARGIN)</f>
        <v>254573.7594182825</v>
      </c>
      <c r="F96" s="13">
        <f>IF(B96=1,$B$31,$B$32)</f>
        <v>152394.16214437486</v>
      </c>
      <c r="G96" s="13">
        <f>E96-F96</f>
        <v>102179.59727390765</v>
      </c>
      <c r="H96" s="13">
        <f>H95+G96</f>
        <v>1328334.7645607993</v>
      </c>
      <c r="I96">
        <f>IF(H96=MAX($H$83:$H$483),$A96,0)</f>
        <v>0</v>
      </c>
      <c r="J96">
        <f>IF(E96&lt;F96,$A96,B_MAX+1)</f>
        <v>401.0</v>
      </c>
      <c r="K96" s="13">
        <f>IF(B96=1,$B$35,$B$36)</f>
        <v>0</v>
      </c>
      <c r="L96" s="13">
        <f>OCC_DAYS*$B$41*R_NF_2023-D96*MCD_SHARE_FREED*R_WAIT_2023</f>
        <v>37367.159242427646</v>
      </c>
      <c r="M96">
        <f>IF($A96&lt;=$B$45,1,0)</f>
        <v>1</v>
      </c>
      <c r="AB96">
        <f>IF($AB$31&lt;=$AB$32,IF($A96&lt;=$AB$7,1,2),IF($A96&lt;=RUNG_BEDS_2,2,1))</f>
        <v>1</v>
      </c>
      <c r="AC96" s="5">
        <f>MIN(1,MAX(0,$AB$26-($A96-1)))</f>
        <v>1</v>
      </c>
      <c r="AD96" s="5">
        <f>$AB$25*(AC96+(1-AC96)*$AB$16)</f>
        <v>252.05322714681438</v>
      </c>
      <c r="AE96" s="13">
        <f>AD96*($AB$6+ACUTE_MARGIN)</f>
        <v>138629.2749307479</v>
      </c>
      <c r="AF96" s="13">
        <f>IF(AB96=1,$AB$31,$AB$32)</f>
        <v>152394.16214437486</v>
      </c>
      <c r="AG96" s="13">
        <f>AE96-AF96</f>
        <v>-13764.887213626964</v>
      </c>
      <c r="AH96" s="13">
        <f>AH95+AG96</f>
        <v>-178943.53377715053</v>
      </c>
      <c r="AI96">
        <f>IF(AH96=MAX($AH$83:$AH$483),$A96,0)</f>
        <v>0</v>
      </c>
      <c r="AJ96">
        <f>IF(AE96&lt;AF96,$A96,B_MAX+1)</f>
        <v>13</v>
      </c>
      <c r="AK96" s="13">
        <f>IF(AB96=1,$AB$35,$AB$36)</f>
        <v>0</v>
      </c>
      <c r="AL96" s="13">
        <f>OCC_DAYS*$AB$41*R_NF_2023-AD96*MCD_SHARE_FREED*R_WAIT_2023</f>
        <v>37367.159242427646</v>
      </c>
      <c r="AM96">
        <f>IF($A96&lt;=$AB$45,1,0)</f>
        <v>0</v>
      </c>
      <c r="BB96">
        <f>IF($BB$31&lt;=$BB$32,IF($A96&lt;=$BB$7,1,2),IF($A96&lt;=RUNG_BEDS_2,2,1))</f>
        <v>1</v>
      </c>
      <c r="BC96" s="5">
        <f>MIN(1,MAX(0,$BB$26-($A96-1)))</f>
        <v>1</v>
      </c>
      <c r="BD96" s="5">
        <f>$BB$25*(BC96+(1-BC96)*$BB$16)</f>
        <v>252.05322714681438</v>
      </c>
      <c r="BE96" s="13">
        <f>BD96*($BB$6+ACUTE_MARGIN)</f>
        <v>370518.24390581716</v>
      </c>
      <c r="BF96" s="13">
        <f>IF(BB96=1,$BB$31,$BB$32)</f>
        <v>152394.16214437486</v>
      </c>
      <c r="BG96" s="13">
        <f>BE96-BF96</f>
        <v>218124.0817614423</v>
      </c>
      <c r="BH96" s="13">
        <f>BH95+BG96</f>
        <v>2835613.0628987495</v>
      </c>
      <c r="BI96">
        <f>IF(BH96=MAX($BH$83:$BH$483),$A96,0)</f>
        <v>0</v>
      </c>
      <c r="BJ96">
        <f>IF(BE96&lt;BF96,$A96,B_MAX+1)</f>
        <v>401.0</v>
      </c>
      <c r="BK96" s="13">
        <f>IF(BB96=1,$BB$35,$BB$36)</f>
        <v>0</v>
      </c>
      <c r="BL96" s="13">
        <f>OCC_DAYS*$BB$41*R_NF_2023-BD96*MCD_SHARE_FREED*R_WAIT_2023</f>
        <v>37367.159242427646</v>
      </c>
      <c r="BM96">
        <f>IF($A96&lt;=$BB$45,1,0)</f>
        <v>1</v>
      </c>
      <c r="CB96">
        <f>IF($CB$31&lt;=$CB$32,IF($A96&lt;=$CB$7,1,2),IF($A96&lt;=RUNG_BEDS_2,2,1))</f>
        <v>2</v>
      </c>
      <c r="CC96" s="5">
        <f>MIN(1,MAX(0,$CB$26-($A96-1)))</f>
        <v>1</v>
      </c>
      <c r="CD96" s="5">
        <f>$CB$25*(CC96+(1-CC96)*$CB$16)</f>
        <v>252.05322714681438</v>
      </c>
      <c r="CE96" s="13">
        <f>CD96*($CB$6+ACUTE_MARGIN)</f>
        <v>254573.7594182825</v>
      </c>
      <c r="CF96" s="13">
        <f>IF(CB96=1,$CB$31,$CB$32)</f>
        <v>160718.36940738867</v>
      </c>
      <c r="CG96" s="13">
        <f>CE96-CF96</f>
        <v>93855.39001089384</v>
      </c>
      <c r="CH96" s="13">
        <f>CH95+CG96</f>
        <v>1220120.0701416198</v>
      </c>
      <c r="CI96">
        <f>IF(CH96=MAX($CH$83:$CH$483),$A96,0)</f>
        <v>0</v>
      </c>
      <c r="CJ96">
        <f>IF(CE96&lt;CF96,$A96,B_MAX+1)</f>
        <v>401.0</v>
      </c>
      <c r="CK96" s="13">
        <f>IF(CB96=1,$CB$35,$CB$36)</f>
        <v>1560.1194073886782</v>
      </c>
      <c r="CL96" s="13">
        <f>OCC_DAYS*$CB$41*R_NF_2023-CD96*MCD_SHARE_FREED*R_WAIT_2023</f>
        <v>37367.159242427646</v>
      </c>
      <c r="CM96">
        <f>IF($A96&lt;=$CB$45,1,0)</f>
        <v>1</v>
      </c>
      <c r="DB96">
        <f>IF($DB$31&lt;=$DB$32,IF($A96&lt;=$DB$7,1,2),IF($A96&lt;=RUNG_BEDS_2,2,1))</f>
        <v>1</v>
      </c>
      <c r="DC96" s="5">
        <f>MIN(1,MAX(0,$DB$26-($A96-1)))</f>
        <v>1</v>
      </c>
      <c r="DD96" s="5">
        <f>$DB$25*(DC96+(1-DC96)*$DB$16)</f>
        <v>252.05322714681438</v>
      </c>
      <c r="DE96" s="13">
        <f>DD96*($DB$6+ACUTE_MARGIN)</f>
        <v>254573.7594182825</v>
      </c>
      <c r="DF96" s="13">
        <f>IF(DB96=1,$DB$31,$DB$32)</f>
        <v>152394.16214437486</v>
      </c>
      <c r="DG96" s="13">
        <f>DE96-DF96</f>
        <v>102179.59727390765</v>
      </c>
      <c r="DH96" s="13">
        <f>DH95+DG96</f>
        <v>1328334.7645607993</v>
      </c>
      <c r="DI96">
        <f>IF(DH96=MAX($DH$83:$DH$483),$A96,0)</f>
        <v>0</v>
      </c>
      <c r="DJ96">
        <f>IF(DE96&lt;DF96,$A96,B_MAX+1)</f>
        <v>401.0</v>
      </c>
      <c r="DK96" s="13">
        <f>IF(DB96=1,$DB$35,$DB$36)</f>
        <v>0</v>
      </c>
      <c r="DL96" s="13">
        <f>OCC_DAYS*$DB$41*R_NF_2023-DD96*MCD_SHARE_FREED*R_WAIT_2023</f>
        <v>37367.159242427646</v>
      </c>
      <c r="DM96">
        <f>IF($A96&lt;=$DB$45,1,0)</f>
        <v>1</v>
      </c>
      <c r="EB96">
        <f>IF($EB$31&lt;=$EB$32,IF($A96&lt;=$EB$7,1,2),IF($A96&lt;=RUNG_BEDS_2,2,1))</f>
        <v>1</v>
      </c>
      <c r="EC96" s="5">
        <f>MIN(1,MAX(0,$EB$26-($A96-1)))</f>
        <v>1</v>
      </c>
      <c r="ED96" s="5">
        <f>$EB$25*(EC96+(1-EC96)*$EB$16)</f>
        <v>252.05322714681438</v>
      </c>
      <c r="EE96" s="13">
        <f>ED96*($EB$6+ACUTE_MARGIN)</f>
        <v>254573.7594182825</v>
      </c>
      <c r="EF96" s="13">
        <f>IF(EB96=1,$EB$31,$EB$32)</f>
        <v>152394.16214437486</v>
      </c>
      <c r="EG96" s="13">
        <f>EE96-EF96</f>
        <v>102179.59727390765</v>
      </c>
      <c r="EH96" s="13">
        <f>EH95+EG96</f>
        <v>1328334.7645607993</v>
      </c>
      <c r="EI96">
        <f>IF(EH96=MAX($EH$83:$EH$483),$A96,0)</f>
        <v>0</v>
      </c>
      <c r="EJ96">
        <f>IF(EE96&lt;EF96,$A96,B_MAX+1)</f>
        <v>401.0</v>
      </c>
      <c r="EK96" s="13">
        <f>IF(EB96=1,$EB$35,$EB$36)</f>
        <v>0</v>
      </c>
      <c r="EL96" s="13">
        <f>OCC_DAYS*$EB$41*R_NF_2023-ED96*MCD_SHARE_FREED*R_WAIT_2023</f>
        <v>-63953.16263896705</v>
      </c>
      <c r="EM96">
        <f>IF($A96&lt;=$EB$45,1,0)</f>
        <v>1</v>
      </c>
      <c r="FB96">
        <f>IF($FB$31&lt;=$FB$32,IF($A96&lt;=$FB$7,1,2),IF($A96&lt;=RUNG_BEDS_2,2,1))</f>
        <v>1</v>
      </c>
      <c r="FC96" s="5">
        <f>MIN(1,MAX(0,$FB$26-($A96-1)))</f>
        <v>1</v>
      </c>
      <c r="FD96" s="5">
        <f>$FB$25*(FC96+(1-FC96)*$FB$16)</f>
        <v>252.05322714681438</v>
      </c>
      <c r="FE96" s="13">
        <f>FD96*($FB$6+ACUTE_MARGIN)</f>
        <v>254573.7594182825</v>
      </c>
      <c r="FF96" s="13">
        <f>IF(FB96=1,$FB$31,$FB$32)</f>
        <v>156636.04979437485</v>
      </c>
      <c r="FG96" s="13">
        <f>FE96-FF96</f>
        <v>97937.70962390766</v>
      </c>
      <c r="FH96" s="13">
        <f>FH95+FG96</f>
        <v>1273190.2251107998</v>
      </c>
      <c r="FI96">
        <f>IF(FH96=MAX($FH$83:$FH$483),$A96,0)</f>
        <v>0</v>
      </c>
      <c r="FJ96">
        <f>IF(FE96&lt;FF96,$A96,B_MAX+1)</f>
        <v>401.0</v>
      </c>
      <c r="FK96" s="13">
        <f>IF(FB96=1,$FB$35,$FB$36)</f>
        <v>0</v>
      </c>
      <c r="FL96" s="13">
        <f>OCC_DAYS*$FB$41*R_NF_2023-FD96*MCD_SHARE_FREED*R_WAIT_2023</f>
        <v>37367.159242427646</v>
      </c>
      <c r="FM96">
        <f>IF($A96&lt;=$FB$45,1,0)</f>
        <v>1</v>
      </c>
      <c r="GB96">
        <f>IF($GB$31&lt;=$GB$32,IF($A96&lt;=$GB$7,1,2),IF($A96&lt;=RUNG_BEDS_2,2,1))</f>
        <v>1</v>
      </c>
      <c r="GC96" s="5">
        <f>MIN(1,MAX(0,$GB$26-($A96-1)))</f>
        <v>1</v>
      </c>
      <c r="GD96" s="5">
        <f>$GB$25*(GC96+(1-GC96)*$GB$16)</f>
        <v>252.05322714681438</v>
      </c>
      <c r="GE96" s="13">
        <f>GD96*($GB$6+ACUTE_MARGIN)</f>
        <v>254573.7594182825</v>
      </c>
      <c r="GF96" s="13">
        <f>IF(GB96=1,$GB$31,$GB$32)</f>
        <v>152394.16214437486</v>
      </c>
      <c r="GG96" s="13">
        <f>GE96-GF96</f>
        <v>102179.59727390765</v>
      </c>
      <c r="GH96" s="13">
        <f>GH95+GG96</f>
        <v>1328334.7645607993</v>
      </c>
      <c r="GI96">
        <f>IF(GH96=MAX($GH$83:$GH$483),$A96,0)</f>
        <v>0</v>
      </c>
      <c r="GJ96">
        <f>IF(GE96&lt;GF96,$A96,B_MAX+1)</f>
        <v>401.0</v>
      </c>
      <c r="GK96" s="13">
        <f>IF(GB96=1,$GB$35,$GB$36)</f>
        <v>0</v>
      </c>
      <c r="GL96" s="13">
        <f>OCC_DAYS*$GB$41*R_NF_2023-GD96*MCD_SHARE_FREED*R_WAIT_2023</f>
        <v>37367.159242427646</v>
      </c>
      <c r="GM96">
        <f>IF($A96&lt;=$GB$45,1,0)</f>
        <v>1</v>
      </c>
      <c r="HB96">
        <f>IF($HB$31&lt;=$HB$32,IF($A96&lt;=$HB$7,1,2),IF($A96&lt;=RUNG_BEDS_2,2,1))</f>
        <v>1</v>
      </c>
      <c r="HC96" s="5">
        <f>MIN(1,MAX(0,$HB$26-($A96-1)))</f>
        <v>1</v>
      </c>
      <c r="HD96" s="5">
        <f>$HB$25*(HC96+(1-HC96)*$HB$16)</f>
        <v>252.05322714681438</v>
      </c>
      <c r="HE96" s="13">
        <f>HD96*($HB$6+ACUTE_MARGIN)</f>
        <v>254573.7594182825</v>
      </c>
      <c r="HF96" s="13">
        <f>IF(HB96=1,$HB$31,$HB$32)</f>
        <v>152456.2970814058</v>
      </c>
      <c r="HG96" s="13">
        <f>HE96-HF96</f>
        <v>102117.46233687672</v>
      </c>
      <c r="HH96" s="13">
        <f>HH95+HG96</f>
        <v>1327527.010379397</v>
      </c>
      <c r="HI96">
        <f>IF(HH96=MAX($HH$83:$HH$483),$A96,0)</f>
        <v>0</v>
      </c>
      <c r="HJ96">
        <f>IF(HE96&lt;HF96,$A96,B_MAX+1)</f>
        <v>401.0</v>
      </c>
      <c r="HK96" s="13">
        <f>IF(HB96=1,$HB$35,$HB$36)</f>
        <v>0</v>
      </c>
      <c r="HL96" s="13">
        <f>OCC_DAYS*$HB$41*R_NF_2023-HD96*MCD_SHARE_FREED*R_WAIT_2023</f>
        <v>37367.159242427646</v>
      </c>
      <c r="HM96">
        <f>IF($A96&lt;=$HB$45,1,0)</f>
        <v>1</v>
      </c>
      <c r="IB96">
        <f>IF($IB$31&lt;=$IB$32,IF($A96&lt;=$IB$7,1,2),IF($A96&lt;=RUNG_BEDS_2,2,1))</f>
        <v>1</v>
      </c>
      <c r="IC96" s="5">
        <f>MIN(1,MAX(0,$IB$26-($A96-1)))</f>
        <v>1</v>
      </c>
      <c r="ID96" s="5">
        <f>$IB$25*(IC96+(1-IC96)*$IB$16)</f>
        <v>252.05322714681438</v>
      </c>
      <c r="IE96" s="13">
        <f>ID96*($IB$6+ACUTE_MARGIN)</f>
        <v>254573.7594182825</v>
      </c>
      <c r="IF96" s="13">
        <f>IF(IB96=1,$IB$31,$IB$32)</f>
        <v>152734.9994534971</v>
      </c>
      <c r="IG96" s="13">
        <f>IE96-IF96</f>
        <v>101838.75996478542</v>
      </c>
      <c r="IH96" s="13">
        <f>IH95+IG96</f>
        <v>1323903.8795422106</v>
      </c>
      <c r="II96">
        <f>IF(IH96=MAX($IH$83:$IH$483),$A96,0)</f>
        <v>0</v>
      </c>
      <c r="IJ96">
        <f>IF(IE96&lt;IF96,$A96,B_MAX+1)</f>
        <v>401.0</v>
      </c>
      <c r="IK96" s="13">
        <f>IF(IB96=1,$IB$35,$IB$36)</f>
        <v>0</v>
      </c>
      <c r="IL96" s="13">
        <f>OCC_DAYS*$IB$41*R_NF_2023-ID96*MCD_SHARE_FREED*R_WAIT_2023</f>
        <v>37367.159242427646</v>
      </c>
      <c r="IM96">
        <f>IF($A96&lt;=$IB$45,1,0)</f>
        <v>1</v>
      </c>
      <c r="JB96">
        <f>IF($JB$31&lt;=$JB$32,IF($A96&lt;=$JB$7,1,2),IF($A96&lt;=RUNG_BEDS_2,2,1))</f>
        <v>1</v>
      </c>
      <c r="JC96" s="5">
        <f>MIN(1,MAX(0,$JB$26-($A96-1)))</f>
        <v>1</v>
      </c>
      <c r="JD96" s="5">
        <f>$JB$25*(JC96+(1-JC96)*$JB$16)</f>
        <v>252.05322714681438</v>
      </c>
      <c r="JE96" s="13">
        <f>JD96*($JB$6+ACUTE_MARGIN)</f>
        <v>254573.7594182825</v>
      </c>
      <c r="JF96" s="13">
        <f>IF(JB96=1,$JB$31,$JB$32)</f>
        <v>152394.16214437486</v>
      </c>
      <c r="JG96" s="13">
        <f>JE96-JF96</f>
        <v>102179.59727390765</v>
      </c>
      <c r="JH96" s="13">
        <f>JH95+JG96</f>
        <v>1328334.7645607993</v>
      </c>
      <c r="JI96">
        <f>IF(JH96=MAX($JH$83:$JH$483),$A96,0)</f>
        <v>0</v>
      </c>
      <c r="JJ96">
        <f>IF(JE96&lt;JF96,$A96,B_MAX+1)</f>
        <v>401.0</v>
      </c>
      <c r="JK96" s="13">
        <f>IF(JB96=1,$JB$35,$JB$36)</f>
        <v>0</v>
      </c>
      <c r="JL96" s="13">
        <f>OCC_DAYS*$JB$41*R_NF_2023-JD96*MCD_SHARE_FREED*R_WAIT_2023</f>
        <v>37367.159242427646</v>
      </c>
      <c r="JM96">
        <f>IF($A96&lt;=$JB$45,1,0)</f>
        <v>1</v>
      </c>
      <c r="KB96">
        <f>IF($KB$31&lt;=$KB$32,IF($A96&lt;=$KB$7,1,2),IF($A96&lt;=RUNG_BEDS_2,2,1))</f>
        <v>1</v>
      </c>
      <c r="KC96" s="5">
        <f>MIN(1,MAX(0,$KB$26-($A96-1)))</f>
        <v>1</v>
      </c>
      <c r="KD96" s="5">
        <f>$KB$25*(KC96+(1-KC96)*$KB$16)</f>
        <v>126.02661357340719</v>
      </c>
      <c r="KE96" s="13">
        <f>KD96*($KB$6+ACUTE_MARGIN)</f>
        <v>127286.87970914126</v>
      </c>
      <c r="KF96" s="13">
        <f>IF(KB96=1,$KB$31,$KB$32)</f>
        <v>152394.16214437486</v>
      </c>
      <c r="KG96" s="13">
        <f>KE96-KF96</f>
        <v>-25107.282435233603</v>
      </c>
      <c r="KH96" s="13">
        <f>KH95+KG96</f>
        <v>-326394.67165803676</v>
      </c>
      <c r="KI96">
        <f>IF(KH96=MAX($KH$83:$KH$483),$A96,0)</f>
        <v>0</v>
      </c>
      <c r="KJ96">
        <f>IF(KE96&lt;KF96,$A96,B_MAX+1)</f>
        <v>13</v>
      </c>
      <c r="KK96" s="13">
        <f>IF(KB96=1,$KB$35,$KB$36)</f>
        <v>0</v>
      </c>
      <c r="KL96" s="13">
        <f>OCC_DAYS*$KB$41*R_NF_2023-KD96*MCD_SHARE_FREED*R_WAIT_2023</f>
        <v>94673.82103225985</v>
      </c>
      <c r="KM96">
        <f>IF($A96&lt;=$KB$45,1,0)</f>
        <v>0</v>
      </c>
      <c r="LB96">
        <f>IF($LB$31&lt;=$LB$32,IF($A96&lt;=$LB$7,1,2),IF($A96&lt;=RUNG_BEDS_2,2,1))</f>
        <v>1</v>
      </c>
      <c r="LC96" s="5">
        <f>MIN(1,MAX(0,$LB$26-($A96-1)))</f>
        <v>1</v>
      </c>
      <c r="LD96" s="5">
        <f>$LB$25*(LC96+(1-LC96)*$LB$16)</f>
        <v>84.01774238227146</v>
      </c>
      <c r="LE96" s="13">
        <f>LD96*($LB$6+ACUTE_MARGIN)</f>
        <v>84857.91980609419</v>
      </c>
      <c r="LF96" s="13">
        <f>IF(LB96=1,$LB$31,$LB$32)</f>
        <v>152394.16214437486</v>
      </c>
      <c r="LG96" s="13">
        <f>LE96-LF96</f>
        <v>-67536.24233828067</v>
      </c>
      <c r="LH96" s="13">
        <f>LH95+LG96</f>
        <v>-877971.1503976487</v>
      </c>
      <c r="LI96">
        <f>IF(LH96=MAX($LH$83:$LH$483),$A96,0)</f>
        <v>0</v>
      </c>
      <c r="LJ96">
        <f>IF(LE96&lt;LF96,$A96,B_MAX+1)</f>
        <v>13</v>
      </c>
      <c r="LK96" s="13">
        <f>IF(LB96=1,$LB$35,$LB$36)</f>
        <v>0</v>
      </c>
      <c r="LL96" s="13">
        <f>OCC_DAYS*$LB$41*R_NF_2023-LD96*MCD_SHARE_FREED*R_WAIT_2023</f>
        <v>113776.04162887059</v>
      </c>
      <c r="LM96">
        <f>IF($A96&lt;=$LB$45,1,0)</f>
        <v>0</v>
      </c>
      <c r="MB96">
        <f>IF($MB$31&lt;=$MB$32,IF($A96&lt;=$MB$7,1,2),IF($A96&lt;=RUNG_BEDS_2,2,1))</f>
        <v>1</v>
      </c>
      <c r="MC96" s="5">
        <f>MIN(1,MAX(0,$MB$26-($A96-1)))</f>
        <v>1</v>
      </c>
      <c r="MD96" s="5">
        <f>$MB$25*(MC96+(1-MC96)*$MB$16)</f>
        <v>213.44610951008647</v>
      </c>
      <c r="ME96" s="13">
        <f>MD96*($MB$6+ACUTE_MARGIN)</f>
        <v>215580.57060518733</v>
      </c>
      <c r="MF96" s="13">
        <f>IF(MB96=1,$MB$31,$MB$32)</f>
        <v>152394.16214437486</v>
      </c>
      <c r="MG96" s="13">
        <f>ME96-MF96</f>
        <v>63186.40846081247</v>
      </c>
      <c r="MH96" s="13">
        <f>MH95+MG96</f>
        <v>821423.3099905618</v>
      </c>
      <c r="MI96">
        <f>IF(MH96=MAX($MH$83:$MH$483),$A96,0)</f>
        <v>0</v>
      </c>
      <c r="MJ96">
        <f>IF(ME96&lt;MF96,$A96,B_MAX+1)</f>
        <v>401.0</v>
      </c>
      <c r="MK96" s="13">
        <f>IF(MB96=1,$MB$35,$MB$36)</f>
        <v>0</v>
      </c>
      <c r="ML96" s="13">
        <f>OCC_DAYS*$MB$41*R_NF_2023-MD96*MCD_SHARE_FREED*R_WAIT_2023</f>
        <v>54922.538779778624</v>
      </c>
      <c r="MM96">
        <f>IF($A96&lt;=$MB$45,1,0)</f>
        <v>1</v>
      </c>
      <c r="NB96">
        <f>IF($NB$31&lt;=$NB$32,IF($A96&lt;=$NB$7,1,2),IF($A96&lt;=RUNG_BEDS_2,2,1))</f>
        <v>1</v>
      </c>
      <c r="NC96" s="5">
        <f>MIN(1,MAX(0,$NB$26-($A96-1)))</f>
        <v>1</v>
      </c>
      <c r="ND96" s="5">
        <f>$NB$25*(NC96+(1-NC96)*$NB$16)</f>
        <v>252.05322714681438</v>
      </c>
      <c r="NE96" s="13">
        <f>ND96*($NB$6+ACUTE_MARGIN)</f>
        <v>254573.7594182825</v>
      </c>
      <c r="NF96" s="13">
        <f>IF(NB96=1,$NB$31,$NB$32)</f>
        <v>152394.16214437486</v>
      </c>
      <c r="NG96" s="13">
        <f>NE96-NF96</f>
        <v>102179.59727390765</v>
      </c>
      <c r="NH96" s="13">
        <f>NH95+NG96</f>
        <v>1328334.7645607993</v>
      </c>
      <c r="NI96">
        <f>IF(NH96=MAX($NH$83:$NH$483),$A96,0)</f>
        <v>0</v>
      </c>
      <c r="NJ96">
        <f>IF(NE96&lt;NF96,$A96,B_MAX+1)</f>
        <v>401.0</v>
      </c>
      <c r="NK96" s="13">
        <f>IF(NB96=1,$NB$35,$NB$36)</f>
        <v>0</v>
      </c>
      <c r="NL96" s="13">
        <f>OCC_DAYS*$NB$41*R_NF_2023-ND96*MCD_SHARE_FREED*R_WAIT_2023</f>
        <v>37367.159242427646</v>
      </c>
      <c r="NM96">
        <f>IF($A96&lt;=$NB$45,1,0)</f>
        <v>1</v>
      </c>
      <c r="OB96">
        <f>IF($OB$31&lt;=$OB$32,IF($A96&lt;=$OB$7,1,2),IF($A96&lt;=RUNG_BEDS_2,2,1))</f>
        <v>1</v>
      </c>
      <c r="OC96" s="5">
        <f>MIN(1,MAX(0,$OB$26-($A96-1)))</f>
        <v>1</v>
      </c>
      <c r="OD96" s="5">
        <f>$OB$25*(OC96+(1-OC96)*$OB$16)</f>
        <v>252.05322714681438</v>
      </c>
      <c r="OE96" s="13">
        <f>OD96*($OB$6+ACUTE_MARGIN)</f>
        <v>254573.7594182825</v>
      </c>
      <c r="OF96" s="13">
        <f>IF(OB96=1,$OB$31,$OB$32)</f>
        <v>152394.16214437486</v>
      </c>
      <c r="OG96" s="13">
        <f>OE96-OF96</f>
        <v>102179.59727390765</v>
      </c>
      <c r="OH96" s="13">
        <f>OH95+OG96</f>
        <v>1328334.7645607993</v>
      </c>
      <c r="OI96">
        <f>IF(OH96=MAX($OH$83:$OH$483),$A96,0)</f>
        <v>0</v>
      </c>
      <c r="OJ96">
        <f>IF(OE96&lt;OF96,$A96,B_MAX+1)</f>
        <v>401.0</v>
      </c>
      <c r="OK96" s="13">
        <f>IF(OB96=1,$OB$35,$OB$36)</f>
        <v>0</v>
      </c>
      <c r="OL96" s="13">
        <f>OCC_DAYS*$OB$41*R_NF_2023-OD96*MCD_SHARE_FREED*R_WAIT_2023</f>
        <v>37367.159242427646</v>
      </c>
      <c r="OM96">
        <f>IF($A96&lt;=$OB$45,1,0)</f>
        <v>1</v>
      </c>
    </row>
    <row r="97">
      <c r="A97" t="n">
        <v>14</v>
      </c>
      <c r="B97">
        <f>IF($B$31&lt;=$B$32,IF($A97&lt;=$B$7,1,2),IF($A97&lt;=RUNG_BEDS_2,2,1))</f>
        <v>1</v>
      </c>
      <c r="C97" s="5">
        <f>MIN(1,MAX(0,$B$26-($A97-1)))</f>
        <v>1</v>
      </c>
      <c r="D97" s="5">
        <f>$B$25*(C97+(1-C97)*$B$16)</f>
        <v>252.05322714681438</v>
      </c>
      <c r="E97" s="13">
        <f>D97*($B$6+ACUTE_MARGIN)</f>
        <v>254573.7594182825</v>
      </c>
      <c r="F97" s="13">
        <f>IF(B97=1,$B$31,$B$32)</f>
        <v>152394.16214437486</v>
      </c>
      <c r="G97" s="13">
        <f>E97-F97</f>
        <v>102179.59727390765</v>
      </c>
      <c r="H97" s="13">
        <f>H96+G97</f>
        <v>1430514.361834707</v>
      </c>
      <c r="I97">
        <f>IF(H97=MAX($H$83:$H$483),$A97,0)</f>
        <v>0</v>
      </c>
      <c r="J97">
        <f>IF(E97&lt;F97,$A97,B_MAX+1)</f>
        <v>401.0</v>
      </c>
      <c r="K97" s="13">
        <f>IF(B97=1,$B$35,$B$36)</f>
        <v>0</v>
      </c>
      <c r="L97" s="13">
        <f>OCC_DAYS*$B$41*R_NF_2023-D97*MCD_SHARE_FREED*R_WAIT_2023</f>
        <v>37367.159242427646</v>
      </c>
      <c r="M97">
        <f>IF($A97&lt;=$B$45,1,0)</f>
        <v>1</v>
      </c>
      <c r="AB97">
        <f>IF($AB$31&lt;=$AB$32,IF($A97&lt;=$AB$7,1,2),IF($A97&lt;=RUNG_BEDS_2,2,1))</f>
        <v>1</v>
      </c>
      <c r="AC97" s="5">
        <f>MIN(1,MAX(0,$AB$26-($A97-1)))</f>
        <v>1</v>
      </c>
      <c r="AD97" s="5">
        <f>$AB$25*(AC97+(1-AC97)*$AB$16)</f>
        <v>252.05322714681438</v>
      </c>
      <c r="AE97" s="13">
        <f>AD97*($AB$6+ACUTE_MARGIN)</f>
        <v>138629.2749307479</v>
      </c>
      <c r="AF97" s="13">
        <f>IF(AB97=1,$AB$31,$AB$32)</f>
        <v>152394.16214437486</v>
      </c>
      <c r="AG97" s="13">
        <f>AE97-AF97</f>
        <v>-13764.887213626964</v>
      </c>
      <c r="AH97" s="13">
        <f>AH96+AG97</f>
        <v>-192708.4209907775</v>
      </c>
      <c r="AI97">
        <f>IF(AH97=MAX($AH$83:$AH$483),$A97,0)</f>
        <v>0</v>
      </c>
      <c r="AJ97">
        <f>IF(AE97&lt;AF97,$A97,B_MAX+1)</f>
        <v>14</v>
      </c>
      <c r="AK97" s="13">
        <f>IF(AB97=1,$AB$35,$AB$36)</f>
        <v>0</v>
      </c>
      <c r="AL97" s="13">
        <f>OCC_DAYS*$AB$41*R_NF_2023-AD97*MCD_SHARE_FREED*R_WAIT_2023</f>
        <v>37367.159242427646</v>
      </c>
      <c r="AM97">
        <f>IF($A97&lt;=$AB$45,1,0)</f>
        <v>0</v>
      </c>
      <c r="BB97">
        <f>IF($BB$31&lt;=$BB$32,IF($A97&lt;=$BB$7,1,2),IF($A97&lt;=RUNG_BEDS_2,2,1))</f>
        <v>1</v>
      </c>
      <c r="BC97" s="5">
        <f>MIN(1,MAX(0,$BB$26-($A97-1)))</f>
        <v>1</v>
      </c>
      <c r="BD97" s="5">
        <f>$BB$25*(BC97+(1-BC97)*$BB$16)</f>
        <v>252.05322714681438</v>
      </c>
      <c r="BE97" s="13">
        <f>BD97*($BB$6+ACUTE_MARGIN)</f>
        <v>370518.24390581716</v>
      </c>
      <c r="BF97" s="13">
        <f>IF(BB97=1,$BB$31,$BB$32)</f>
        <v>152394.16214437486</v>
      </c>
      <c r="BG97" s="13">
        <f>BE97-BF97</f>
        <v>218124.0817614423</v>
      </c>
      <c r="BH97" s="13">
        <f>BH96+BG97</f>
        <v>3053737.1446601916</v>
      </c>
      <c r="BI97">
        <f>IF(BH97=MAX($BH$83:$BH$483),$A97,0)</f>
        <v>0</v>
      </c>
      <c r="BJ97">
        <f>IF(BE97&lt;BF97,$A97,B_MAX+1)</f>
        <v>401.0</v>
      </c>
      <c r="BK97" s="13">
        <f>IF(BB97=1,$BB$35,$BB$36)</f>
        <v>0</v>
      </c>
      <c r="BL97" s="13">
        <f>OCC_DAYS*$BB$41*R_NF_2023-BD97*MCD_SHARE_FREED*R_WAIT_2023</f>
        <v>37367.159242427646</v>
      </c>
      <c r="BM97">
        <f>IF($A97&lt;=$BB$45,1,0)</f>
        <v>1</v>
      </c>
      <c r="CB97">
        <f>IF($CB$31&lt;=$CB$32,IF($A97&lt;=$CB$7,1,2),IF($A97&lt;=RUNG_BEDS_2,2,1))</f>
        <v>2</v>
      </c>
      <c r="CC97" s="5">
        <f>MIN(1,MAX(0,$CB$26-($A97-1)))</f>
        <v>1</v>
      </c>
      <c r="CD97" s="5">
        <f>$CB$25*(CC97+(1-CC97)*$CB$16)</f>
        <v>252.05322714681438</v>
      </c>
      <c r="CE97" s="13">
        <f>CD97*($CB$6+ACUTE_MARGIN)</f>
        <v>254573.7594182825</v>
      </c>
      <c r="CF97" s="13">
        <f>IF(CB97=1,$CB$31,$CB$32)</f>
        <v>160718.36940738867</v>
      </c>
      <c r="CG97" s="13">
        <f>CE97-CF97</f>
        <v>93855.39001089384</v>
      </c>
      <c r="CH97" s="13">
        <f>CH96+CG97</f>
        <v>1313975.4601525136</v>
      </c>
      <c r="CI97">
        <f>IF(CH97=MAX($CH$83:$CH$483),$A97,0)</f>
        <v>0</v>
      </c>
      <c r="CJ97">
        <f>IF(CE97&lt;CF97,$A97,B_MAX+1)</f>
        <v>401.0</v>
      </c>
      <c r="CK97" s="13">
        <f>IF(CB97=1,$CB$35,$CB$36)</f>
        <v>1560.1194073886782</v>
      </c>
      <c r="CL97" s="13">
        <f>OCC_DAYS*$CB$41*R_NF_2023-CD97*MCD_SHARE_FREED*R_WAIT_2023</f>
        <v>37367.159242427646</v>
      </c>
      <c r="CM97">
        <f>IF($A97&lt;=$CB$45,1,0)</f>
        <v>1</v>
      </c>
      <c r="DB97">
        <f>IF($DB$31&lt;=$DB$32,IF($A97&lt;=$DB$7,1,2),IF($A97&lt;=RUNG_BEDS_2,2,1))</f>
        <v>1</v>
      </c>
      <c r="DC97" s="5">
        <f>MIN(1,MAX(0,$DB$26-($A97-1)))</f>
        <v>1</v>
      </c>
      <c r="DD97" s="5">
        <f>$DB$25*(DC97+(1-DC97)*$DB$16)</f>
        <v>252.05322714681438</v>
      </c>
      <c r="DE97" s="13">
        <f>DD97*($DB$6+ACUTE_MARGIN)</f>
        <v>254573.7594182825</v>
      </c>
      <c r="DF97" s="13">
        <f>IF(DB97=1,$DB$31,$DB$32)</f>
        <v>152394.16214437486</v>
      </c>
      <c r="DG97" s="13">
        <f>DE97-DF97</f>
        <v>102179.59727390765</v>
      </c>
      <c r="DH97" s="13">
        <f>DH96+DG97</f>
        <v>1430514.361834707</v>
      </c>
      <c r="DI97">
        <f>IF(DH97=MAX($DH$83:$DH$483),$A97,0)</f>
        <v>0</v>
      </c>
      <c r="DJ97">
        <f>IF(DE97&lt;DF97,$A97,B_MAX+1)</f>
        <v>401.0</v>
      </c>
      <c r="DK97" s="13">
        <f>IF(DB97=1,$DB$35,$DB$36)</f>
        <v>0</v>
      </c>
      <c r="DL97" s="13">
        <f>OCC_DAYS*$DB$41*R_NF_2023-DD97*MCD_SHARE_FREED*R_WAIT_2023</f>
        <v>37367.159242427646</v>
      </c>
      <c r="DM97">
        <f>IF($A97&lt;=$DB$45,1,0)</f>
        <v>1</v>
      </c>
      <c r="EB97">
        <f>IF($EB$31&lt;=$EB$32,IF($A97&lt;=$EB$7,1,2),IF($A97&lt;=RUNG_BEDS_2,2,1))</f>
        <v>1</v>
      </c>
      <c r="EC97" s="5">
        <f>MIN(1,MAX(0,$EB$26-($A97-1)))</f>
        <v>1</v>
      </c>
      <c r="ED97" s="5">
        <f>$EB$25*(EC97+(1-EC97)*$EB$16)</f>
        <v>252.05322714681438</v>
      </c>
      <c r="EE97" s="13">
        <f>ED97*($EB$6+ACUTE_MARGIN)</f>
        <v>254573.7594182825</v>
      </c>
      <c r="EF97" s="13">
        <f>IF(EB97=1,$EB$31,$EB$32)</f>
        <v>152394.16214437486</v>
      </c>
      <c r="EG97" s="13">
        <f>EE97-EF97</f>
        <v>102179.59727390765</v>
      </c>
      <c r="EH97" s="13">
        <f>EH96+EG97</f>
        <v>1430514.361834707</v>
      </c>
      <c r="EI97">
        <f>IF(EH97=MAX($EH$83:$EH$483),$A97,0)</f>
        <v>0</v>
      </c>
      <c r="EJ97">
        <f>IF(EE97&lt;EF97,$A97,B_MAX+1)</f>
        <v>401.0</v>
      </c>
      <c r="EK97" s="13">
        <f>IF(EB97=1,$EB$35,$EB$36)</f>
        <v>0</v>
      </c>
      <c r="EL97" s="13">
        <f>OCC_DAYS*$EB$41*R_NF_2023-ED97*MCD_SHARE_FREED*R_WAIT_2023</f>
        <v>-63953.16263896705</v>
      </c>
      <c r="EM97">
        <f>IF($A97&lt;=$EB$45,1,0)</f>
        <v>1</v>
      </c>
      <c r="FB97">
        <f>IF($FB$31&lt;=$FB$32,IF($A97&lt;=$FB$7,1,2),IF($A97&lt;=RUNG_BEDS_2,2,1))</f>
        <v>1</v>
      </c>
      <c r="FC97" s="5">
        <f>MIN(1,MAX(0,$FB$26-($A97-1)))</f>
        <v>1</v>
      </c>
      <c r="FD97" s="5">
        <f>$FB$25*(FC97+(1-FC97)*$FB$16)</f>
        <v>252.05322714681438</v>
      </c>
      <c r="FE97" s="13">
        <f>FD97*($FB$6+ACUTE_MARGIN)</f>
        <v>254573.7594182825</v>
      </c>
      <c r="FF97" s="13">
        <f>IF(FB97=1,$FB$31,$FB$32)</f>
        <v>156636.04979437485</v>
      </c>
      <c r="FG97" s="13">
        <f>FE97-FF97</f>
        <v>97937.70962390766</v>
      </c>
      <c r="FH97" s="13">
        <f>FH96+FG97</f>
        <v>1371127.9347347075</v>
      </c>
      <c r="FI97">
        <f>IF(FH97=MAX($FH$83:$FH$483),$A97,0)</f>
        <v>0</v>
      </c>
      <c r="FJ97">
        <f>IF(FE97&lt;FF97,$A97,B_MAX+1)</f>
        <v>401.0</v>
      </c>
      <c r="FK97" s="13">
        <f>IF(FB97=1,$FB$35,$FB$36)</f>
        <v>0</v>
      </c>
      <c r="FL97" s="13">
        <f>OCC_DAYS*$FB$41*R_NF_2023-FD97*MCD_SHARE_FREED*R_WAIT_2023</f>
        <v>37367.159242427646</v>
      </c>
      <c r="FM97">
        <f>IF($A97&lt;=$FB$45,1,0)</f>
        <v>1</v>
      </c>
      <c r="GB97">
        <f>IF($GB$31&lt;=$GB$32,IF($A97&lt;=$GB$7,1,2),IF($A97&lt;=RUNG_BEDS_2,2,1))</f>
        <v>1</v>
      </c>
      <c r="GC97" s="5">
        <f>MIN(1,MAX(0,$GB$26-($A97-1)))</f>
        <v>1</v>
      </c>
      <c r="GD97" s="5">
        <f>$GB$25*(GC97+(1-GC97)*$GB$16)</f>
        <v>252.05322714681438</v>
      </c>
      <c r="GE97" s="13">
        <f>GD97*($GB$6+ACUTE_MARGIN)</f>
        <v>254573.7594182825</v>
      </c>
      <c r="GF97" s="13">
        <f>IF(GB97=1,$GB$31,$GB$32)</f>
        <v>152394.16214437486</v>
      </c>
      <c r="GG97" s="13">
        <f>GE97-GF97</f>
        <v>102179.59727390765</v>
      </c>
      <c r="GH97" s="13">
        <f>GH96+GG97</f>
        <v>1430514.361834707</v>
      </c>
      <c r="GI97">
        <f>IF(GH97=MAX($GH$83:$GH$483),$A97,0)</f>
        <v>0</v>
      </c>
      <c r="GJ97">
        <f>IF(GE97&lt;GF97,$A97,B_MAX+1)</f>
        <v>401.0</v>
      </c>
      <c r="GK97" s="13">
        <f>IF(GB97=1,$GB$35,$GB$36)</f>
        <v>0</v>
      </c>
      <c r="GL97" s="13">
        <f>OCC_DAYS*$GB$41*R_NF_2023-GD97*MCD_SHARE_FREED*R_WAIT_2023</f>
        <v>37367.159242427646</v>
      </c>
      <c r="GM97">
        <f>IF($A97&lt;=$GB$45,1,0)</f>
        <v>1</v>
      </c>
      <c r="HB97">
        <f>IF($HB$31&lt;=$HB$32,IF($A97&lt;=$HB$7,1,2),IF($A97&lt;=RUNG_BEDS_2,2,1))</f>
        <v>1</v>
      </c>
      <c r="HC97" s="5">
        <f>MIN(1,MAX(0,$HB$26-($A97-1)))</f>
        <v>1</v>
      </c>
      <c r="HD97" s="5">
        <f>$HB$25*(HC97+(1-HC97)*$HB$16)</f>
        <v>252.05322714681438</v>
      </c>
      <c r="HE97" s="13">
        <f>HD97*($HB$6+ACUTE_MARGIN)</f>
        <v>254573.7594182825</v>
      </c>
      <c r="HF97" s="13">
        <f>IF(HB97=1,$HB$31,$HB$32)</f>
        <v>152456.2970814058</v>
      </c>
      <c r="HG97" s="13">
        <f>HE97-HF97</f>
        <v>102117.46233687672</v>
      </c>
      <c r="HH97" s="13">
        <f>HH96+HG97</f>
        <v>1429644.4727162737</v>
      </c>
      <c r="HI97">
        <f>IF(HH97=MAX($HH$83:$HH$483),$A97,0)</f>
        <v>0</v>
      </c>
      <c r="HJ97">
        <f>IF(HE97&lt;HF97,$A97,B_MAX+1)</f>
        <v>401.0</v>
      </c>
      <c r="HK97" s="13">
        <f>IF(HB97=1,$HB$35,$HB$36)</f>
        <v>0</v>
      </c>
      <c r="HL97" s="13">
        <f>OCC_DAYS*$HB$41*R_NF_2023-HD97*MCD_SHARE_FREED*R_WAIT_2023</f>
        <v>37367.159242427646</v>
      </c>
      <c r="HM97">
        <f>IF($A97&lt;=$HB$45,1,0)</f>
        <v>1</v>
      </c>
      <c r="IB97">
        <f>IF($IB$31&lt;=$IB$32,IF($A97&lt;=$IB$7,1,2),IF($A97&lt;=RUNG_BEDS_2,2,1))</f>
        <v>1</v>
      </c>
      <c r="IC97" s="5">
        <f>MIN(1,MAX(0,$IB$26-($A97-1)))</f>
        <v>1</v>
      </c>
      <c r="ID97" s="5">
        <f>$IB$25*(IC97+(1-IC97)*$IB$16)</f>
        <v>252.05322714681438</v>
      </c>
      <c r="IE97" s="13">
        <f>ID97*($IB$6+ACUTE_MARGIN)</f>
        <v>254573.7594182825</v>
      </c>
      <c r="IF97" s="13">
        <f>IF(IB97=1,$IB$31,$IB$32)</f>
        <v>152734.9994534971</v>
      </c>
      <c r="IG97" s="13">
        <f>IE97-IF97</f>
        <v>101838.75996478542</v>
      </c>
      <c r="IH97" s="13">
        <f>IH96+IG97</f>
        <v>1425742.6395069961</v>
      </c>
      <c r="II97">
        <f>IF(IH97=MAX($IH$83:$IH$483),$A97,0)</f>
        <v>0</v>
      </c>
      <c r="IJ97">
        <f>IF(IE97&lt;IF97,$A97,B_MAX+1)</f>
        <v>401.0</v>
      </c>
      <c r="IK97" s="13">
        <f>IF(IB97=1,$IB$35,$IB$36)</f>
        <v>0</v>
      </c>
      <c r="IL97" s="13">
        <f>OCC_DAYS*$IB$41*R_NF_2023-ID97*MCD_SHARE_FREED*R_WAIT_2023</f>
        <v>37367.159242427646</v>
      </c>
      <c r="IM97">
        <f>IF($A97&lt;=$IB$45,1,0)</f>
        <v>1</v>
      </c>
      <c r="JB97">
        <f>IF($JB$31&lt;=$JB$32,IF($A97&lt;=$JB$7,1,2),IF($A97&lt;=RUNG_BEDS_2,2,1))</f>
        <v>1</v>
      </c>
      <c r="JC97" s="5">
        <f>MIN(1,MAX(0,$JB$26-($A97-1)))</f>
        <v>1</v>
      </c>
      <c r="JD97" s="5">
        <f>$JB$25*(JC97+(1-JC97)*$JB$16)</f>
        <v>252.05322714681438</v>
      </c>
      <c r="JE97" s="13">
        <f>JD97*($JB$6+ACUTE_MARGIN)</f>
        <v>254573.7594182825</v>
      </c>
      <c r="JF97" s="13">
        <f>IF(JB97=1,$JB$31,$JB$32)</f>
        <v>152394.16214437486</v>
      </c>
      <c r="JG97" s="13">
        <f>JE97-JF97</f>
        <v>102179.59727390765</v>
      </c>
      <c r="JH97" s="13">
        <f>JH96+JG97</f>
        <v>1430514.361834707</v>
      </c>
      <c r="JI97">
        <f>IF(JH97=MAX($JH$83:$JH$483),$A97,0)</f>
        <v>0</v>
      </c>
      <c r="JJ97">
        <f>IF(JE97&lt;JF97,$A97,B_MAX+1)</f>
        <v>401.0</v>
      </c>
      <c r="JK97" s="13">
        <f>IF(JB97=1,$JB$35,$JB$36)</f>
        <v>0</v>
      </c>
      <c r="JL97" s="13">
        <f>OCC_DAYS*$JB$41*R_NF_2023-JD97*MCD_SHARE_FREED*R_WAIT_2023</f>
        <v>37367.159242427646</v>
      </c>
      <c r="JM97">
        <f>IF($A97&lt;=$JB$45,1,0)</f>
        <v>1</v>
      </c>
      <c r="KB97">
        <f>IF($KB$31&lt;=$KB$32,IF($A97&lt;=$KB$7,1,2),IF($A97&lt;=RUNG_BEDS_2,2,1))</f>
        <v>1</v>
      </c>
      <c r="KC97" s="5">
        <f>MIN(1,MAX(0,$KB$26-($A97-1)))</f>
        <v>1</v>
      </c>
      <c r="KD97" s="5">
        <f>$KB$25*(KC97+(1-KC97)*$KB$16)</f>
        <v>126.02661357340719</v>
      </c>
      <c r="KE97" s="13">
        <f>KD97*($KB$6+ACUTE_MARGIN)</f>
        <v>127286.87970914126</v>
      </c>
      <c r="KF97" s="13">
        <f>IF(KB97=1,$KB$31,$KB$32)</f>
        <v>152394.16214437486</v>
      </c>
      <c r="KG97" s="13">
        <f>KE97-KF97</f>
        <v>-25107.282435233603</v>
      </c>
      <c r="KH97" s="13">
        <f>KH96+KG97</f>
        <v>-351501.95409327035</v>
      </c>
      <c r="KI97">
        <f>IF(KH97=MAX($KH$83:$KH$483),$A97,0)</f>
        <v>0</v>
      </c>
      <c r="KJ97">
        <f>IF(KE97&lt;KF97,$A97,B_MAX+1)</f>
        <v>14</v>
      </c>
      <c r="KK97" s="13">
        <f>IF(KB97=1,$KB$35,$KB$36)</f>
        <v>0</v>
      </c>
      <c r="KL97" s="13">
        <f>OCC_DAYS*$KB$41*R_NF_2023-KD97*MCD_SHARE_FREED*R_WAIT_2023</f>
        <v>94673.82103225985</v>
      </c>
      <c r="KM97">
        <f>IF($A97&lt;=$KB$45,1,0)</f>
        <v>0</v>
      </c>
      <c r="LB97">
        <f>IF($LB$31&lt;=$LB$32,IF($A97&lt;=$LB$7,1,2),IF($A97&lt;=RUNG_BEDS_2,2,1))</f>
        <v>1</v>
      </c>
      <c r="LC97" s="5">
        <f>MIN(1,MAX(0,$LB$26-($A97-1)))</f>
        <v>1</v>
      </c>
      <c r="LD97" s="5">
        <f>$LB$25*(LC97+(1-LC97)*$LB$16)</f>
        <v>84.01774238227146</v>
      </c>
      <c r="LE97" s="13">
        <f>LD97*($LB$6+ACUTE_MARGIN)</f>
        <v>84857.91980609419</v>
      </c>
      <c r="LF97" s="13">
        <f>IF(LB97=1,$LB$31,$LB$32)</f>
        <v>152394.16214437486</v>
      </c>
      <c r="LG97" s="13">
        <f>LE97-LF97</f>
        <v>-67536.24233828067</v>
      </c>
      <c r="LH97" s="13">
        <f>LH96+LG97</f>
        <v>-945507.3927359293</v>
      </c>
      <c r="LI97">
        <f>IF(LH97=MAX($LH$83:$LH$483),$A97,0)</f>
        <v>0</v>
      </c>
      <c r="LJ97">
        <f>IF(LE97&lt;LF97,$A97,B_MAX+1)</f>
        <v>14</v>
      </c>
      <c r="LK97" s="13">
        <f>IF(LB97=1,$LB$35,$LB$36)</f>
        <v>0</v>
      </c>
      <c r="LL97" s="13">
        <f>OCC_DAYS*$LB$41*R_NF_2023-LD97*MCD_SHARE_FREED*R_WAIT_2023</f>
        <v>113776.04162887059</v>
      </c>
      <c r="LM97">
        <f>IF($A97&lt;=$LB$45,1,0)</f>
        <v>0</v>
      </c>
      <c r="MB97">
        <f>IF($MB$31&lt;=$MB$32,IF($A97&lt;=$MB$7,1,2),IF($A97&lt;=RUNG_BEDS_2,2,1))</f>
        <v>1</v>
      </c>
      <c r="MC97" s="5">
        <f>MIN(1,MAX(0,$MB$26-($A97-1)))</f>
        <v>1</v>
      </c>
      <c r="MD97" s="5">
        <f>$MB$25*(MC97+(1-MC97)*$MB$16)</f>
        <v>213.44610951008647</v>
      </c>
      <c r="ME97" s="13">
        <f>MD97*($MB$6+ACUTE_MARGIN)</f>
        <v>215580.57060518733</v>
      </c>
      <c r="MF97" s="13">
        <f>IF(MB97=1,$MB$31,$MB$32)</f>
        <v>152394.16214437486</v>
      </c>
      <c r="MG97" s="13">
        <f>ME97-MF97</f>
        <v>63186.40846081247</v>
      </c>
      <c r="MH97" s="13">
        <f>MH96+MG97</f>
        <v>884609.7184513742</v>
      </c>
      <c r="MI97">
        <f>IF(MH97=MAX($MH$83:$MH$483),$A97,0)</f>
        <v>0</v>
      </c>
      <c r="MJ97">
        <f>IF(ME97&lt;MF97,$A97,B_MAX+1)</f>
        <v>401.0</v>
      </c>
      <c r="MK97" s="13">
        <f>IF(MB97=1,$MB$35,$MB$36)</f>
        <v>0</v>
      </c>
      <c r="ML97" s="13">
        <f>OCC_DAYS*$MB$41*R_NF_2023-MD97*MCD_SHARE_FREED*R_WAIT_2023</f>
        <v>54922.538779778624</v>
      </c>
      <c r="MM97">
        <f>IF($A97&lt;=$MB$45,1,0)</f>
        <v>1</v>
      </c>
      <c r="NB97">
        <f>IF($NB$31&lt;=$NB$32,IF($A97&lt;=$NB$7,1,2),IF($A97&lt;=RUNG_BEDS_2,2,1))</f>
        <v>1</v>
      </c>
      <c r="NC97" s="5">
        <f>MIN(1,MAX(0,$NB$26-($A97-1)))</f>
        <v>1</v>
      </c>
      <c r="ND97" s="5">
        <f>$NB$25*(NC97+(1-NC97)*$NB$16)</f>
        <v>252.05322714681438</v>
      </c>
      <c r="NE97" s="13">
        <f>ND97*($NB$6+ACUTE_MARGIN)</f>
        <v>254573.7594182825</v>
      </c>
      <c r="NF97" s="13">
        <f>IF(NB97=1,$NB$31,$NB$32)</f>
        <v>152394.16214437486</v>
      </c>
      <c r="NG97" s="13">
        <f>NE97-NF97</f>
        <v>102179.59727390765</v>
      </c>
      <c r="NH97" s="13">
        <f>NH96+NG97</f>
        <v>1430514.361834707</v>
      </c>
      <c r="NI97">
        <f>IF(NH97=MAX($NH$83:$NH$483),$A97,0)</f>
        <v>0</v>
      </c>
      <c r="NJ97">
        <f>IF(NE97&lt;NF97,$A97,B_MAX+1)</f>
        <v>401.0</v>
      </c>
      <c r="NK97" s="13">
        <f>IF(NB97=1,$NB$35,$NB$36)</f>
        <v>0</v>
      </c>
      <c r="NL97" s="13">
        <f>OCC_DAYS*$NB$41*R_NF_2023-ND97*MCD_SHARE_FREED*R_WAIT_2023</f>
        <v>37367.159242427646</v>
      </c>
      <c r="NM97">
        <f>IF($A97&lt;=$NB$45,1,0)</f>
        <v>1</v>
      </c>
      <c r="OB97">
        <f>IF($OB$31&lt;=$OB$32,IF($A97&lt;=$OB$7,1,2),IF($A97&lt;=RUNG_BEDS_2,2,1))</f>
        <v>1</v>
      </c>
      <c r="OC97" s="5">
        <f>MIN(1,MAX(0,$OB$26-($A97-1)))</f>
        <v>1</v>
      </c>
      <c r="OD97" s="5">
        <f>$OB$25*(OC97+(1-OC97)*$OB$16)</f>
        <v>252.05322714681438</v>
      </c>
      <c r="OE97" s="13">
        <f>OD97*($OB$6+ACUTE_MARGIN)</f>
        <v>254573.7594182825</v>
      </c>
      <c r="OF97" s="13">
        <f>IF(OB97=1,$OB$31,$OB$32)</f>
        <v>152394.16214437486</v>
      </c>
      <c r="OG97" s="13">
        <f>OE97-OF97</f>
        <v>102179.59727390765</v>
      </c>
      <c r="OH97" s="13">
        <f>OH96+OG97</f>
        <v>1430514.361834707</v>
      </c>
      <c r="OI97">
        <f>IF(OH97=MAX($OH$83:$OH$483),$A97,0)</f>
        <v>0</v>
      </c>
      <c r="OJ97">
        <f>IF(OE97&lt;OF97,$A97,B_MAX+1)</f>
        <v>401.0</v>
      </c>
      <c r="OK97" s="13">
        <f>IF(OB97=1,$OB$35,$OB$36)</f>
        <v>0</v>
      </c>
      <c r="OL97" s="13">
        <f>OCC_DAYS*$OB$41*R_NF_2023-OD97*MCD_SHARE_FREED*R_WAIT_2023</f>
        <v>37367.159242427646</v>
      </c>
      <c r="OM97">
        <f>IF($A97&lt;=$OB$45,1,0)</f>
        <v>1</v>
      </c>
    </row>
    <row r="98">
      <c r="A98" t="n">
        <v>15</v>
      </c>
      <c r="B98">
        <f>IF($B$31&lt;=$B$32,IF($A98&lt;=$B$7,1,2),IF($A98&lt;=RUNG_BEDS_2,2,1))</f>
        <v>1</v>
      </c>
      <c r="C98" s="5">
        <f>MIN(1,MAX(0,$B$26-($A98-1)))</f>
        <v>1</v>
      </c>
      <c r="D98" s="5">
        <f>$B$25*(C98+(1-C98)*$B$16)</f>
        <v>252.05322714681438</v>
      </c>
      <c r="E98" s="13">
        <f>D98*($B$6+ACUTE_MARGIN)</f>
        <v>254573.7594182825</v>
      </c>
      <c r="F98" s="13">
        <f>IF(B98=1,$B$31,$B$32)</f>
        <v>152394.16214437486</v>
      </c>
      <c r="G98" s="13">
        <f>E98-F98</f>
        <v>102179.59727390765</v>
      </c>
      <c r="H98" s="13">
        <f>H97+G98</f>
        <v>1532693.9591086146</v>
      </c>
      <c r="I98">
        <f>IF(H98=MAX($H$83:$H$483),$A98,0)</f>
        <v>0</v>
      </c>
      <c r="J98">
        <f>IF(E98&lt;F98,$A98,B_MAX+1)</f>
        <v>401.0</v>
      </c>
      <c r="K98" s="13">
        <f>IF(B98=1,$B$35,$B$36)</f>
        <v>0</v>
      </c>
      <c r="L98" s="13">
        <f>OCC_DAYS*$B$41*R_NF_2023-D98*MCD_SHARE_FREED*R_WAIT_2023</f>
        <v>37367.159242427646</v>
      </c>
      <c r="M98">
        <f>IF($A98&lt;=$B$45,1,0)</f>
        <v>1</v>
      </c>
      <c r="AB98">
        <f>IF($AB$31&lt;=$AB$32,IF($A98&lt;=$AB$7,1,2),IF($A98&lt;=RUNG_BEDS_2,2,1))</f>
        <v>1</v>
      </c>
      <c r="AC98" s="5">
        <f>MIN(1,MAX(0,$AB$26-($A98-1)))</f>
        <v>1</v>
      </c>
      <c r="AD98" s="5">
        <f>$AB$25*(AC98+(1-AC98)*$AB$16)</f>
        <v>252.05322714681438</v>
      </c>
      <c r="AE98" s="13">
        <f>AD98*($AB$6+ACUTE_MARGIN)</f>
        <v>138629.2749307479</v>
      </c>
      <c r="AF98" s="13">
        <f>IF(AB98=1,$AB$31,$AB$32)</f>
        <v>152394.16214437486</v>
      </c>
      <c r="AG98" s="13">
        <f>AE98-AF98</f>
        <v>-13764.887213626964</v>
      </c>
      <c r="AH98" s="13">
        <f>AH97+AG98</f>
        <v>-206473.30820440446</v>
      </c>
      <c r="AI98">
        <f>IF(AH98=MAX($AH$83:$AH$483),$A98,0)</f>
        <v>0</v>
      </c>
      <c r="AJ98">
        <f>IF(AE98&lt;AF98,$A98,B_MAX+1)</f>
        <v>15</v>
      </c>
      <c r="AK98" s="13">
        <f>IF(AB98=1,$AB$35,$AB$36)</f>
        <v>0</v>
      </c>
      <c r="AL98" s="13">
        <f>OCC_DAYS*$AB$41*R_NF_2023-AD98*MCD_SHARE_FREED*R_WAIT_2023</f>
        <v>37367.159242427646</v>
      </c>
      <c r="AM98">
        <f>IF($A98&lt;=$AB$45,1,0)</f>
        <v>0</v>
      </c>
      <c r="BB98">
        <f>IF($BB$31&lt;=$BB$32,IF($A98&lt;=$BB$7,1,2),IF($A98&lt;=RUNG_BEDS_2,2,1))</f>
        <v>1</v>
      </c>
      <c r="BC98" s="5">
        <f>MIN(1,MAX(0,$BB$26-($A98-1)))</f>
        <v>1</v>
      </c>
      <c r="BD98" s="5">
        <f>$BB$25*(BC98+(1-BC98)*$BB$16)</f>
        <v>252.05322714681438</v>
      </c>
      <c r="BE98" s="13">
        <f>BD98*($BB$6+ACUTE_MARGIN)</f>
        <v>370518.24390581716</v>
      </c>
      <c r="BF98" s="13">
        <f>IF(BB98=1,$BB$31,$BB$32)</f>
        <v>152394.16214437486</v>
      </c>
      <c r="BG98" s="13">
        <f>BE98-BF98</f>
        <v>218124.0817614423</v>
      </c>
      <c r="BH98" s="13">
        <f>BH97+BG98</f>
        <v>3271861.2264216337</v>
      </c>
      <c r="BI98">
        <f>IF(BH98=MAX($BH$83:$BH$483),$A98,0)</f>
        <v>0</v>
      </c>
      <c r="BJ98">
        <f>IF(BE98&lt;BF98,$A98,B_MAX+1)</f>
        <v>401.0</v>
      </c>
      <c r="BK98" s="13">
        <f>IF(BB98=1,$BB$35,$BB$36)</f>
        <v>0</v>
      </c>
      <c r="BL98" s="13">
        <f>OCC_DAYS*$BB$41*R_NF_2023-BD98*MCD_SHARE_FREED*R_WAIT_2023</f>
        <v>37367.159242427646</v>
      </c>
      <c r="BM98">
        <f>IF($A98&lt;=$BB$45,1,0)</f>
        <v>1</v>
      </c>
      <c r="CB98">
        <f>IF($CB$31&lt;=$CB$32,IF($A98&lt;=$CB$7,1,2),IF($A98&lt;=RUNG_BEDS_2,2,1))</f>
        <v>2</v>
      </c>
      <c r="CC98" s="5">
        <f>MIN(1,MAX(0,$CB$26-($A98-1)))</f>
        <v>1</v>
      </c>
      <c r="CD98" s="5">
        <f>$CB$25*(CC98+(1-CC98)*$CB$16)</f>
        <v>252.05322714681438</v>
      </c>
      <c r="CE98" s="13">
        <f>CD98*($CB$6+ACUTE_MARGIN)</f>
        <v>254573.7594182825</v>
      </c>
      <c r="CF98" s="13">
        <f>IF(CB98=1,$CB$31,$CB$32)</f>
        <v>160718.36940738867</v>
      </c>
      <c r="CG98" s="13">
        <f>CE98-CF98</f>
        <v>93855.39001089384</v>
      </c>
      <c r="CH98" s="13">
        <f>CH97+CG98</f>
        <v>1407830.8501634074</v>
      </c>
      <c r="CI98">
        <f>IF(CH98=MAX($CH$83:$CH$483),$A98,0)</f>
        <v>0</v>
      </c>
      <c r="CJ98">
        <f>IF(CE98&lt;CF98,$A98,B_MAX+1)</f>
        <v>401.0</v>
      </c>
      <c r="CK98" s="13">
        <f>IF(CB98=1,$CB$35,$CB$36)</f>
        <v>1560.1194073886782</v>
      </c>
      <c r="CL98" s="13">
        <f>OCC_DAYS*$CB$41*R_NF_2023-CD98*MCD_SHARE_FREED*R_WAIT_2023</f>
        <v>37367.159242427646</v>
      </c>
      <c r="CM98">
        <f>IF($A98&lt;=$CB$45,1,0)</f>
        <v>1</v>
      </c>
      <c r="DB98">
        <f>IF($DB$31&lt;=$DB$32,IF($A98&lt;=$DB$7,1,2),IF($A98&lt;=RUNG_BEDS_2,2,1))</f>
        <v>1</v>
      </c>
      <c r="DC98" s="5">
        <f>MIN(1,MAX(0,$DB$26-($A98-1)))</f>
        <v>1</v>
      </c>
      <c r="DD98" s="5">
        <f>$DB$25*(DC98+(1-DC98)*$DB$16)</f>
        <v>252.05322714681438</v>
      </c>
      <c r="DE98" s="13">
        <f>DD98*($DB$6+ACUTE_MARGIN)</f>
        <v>254573.7594182825</v>
      </c>
      <c r="DF98" s="13">
        <f>IF(DB98=1,$DB$31,$DB$32)</f>
        <v>152394.16214437486</v>
      </c>
      <c r="DG98" s="13">
        <f>DE98-DF98</f>
        <v>102179.59727390765</v>
      </c>
      <c r="DH98" s="13">
        <f>DH97+DG98</f>
        <v>1532693.9591086146</v>
      </c>
      <c r="DI98">
        <f>IF(DH98=MAX($DH$83:$DH$483),$A98,0)</f>
        <v>0</v>
      </c>
      <c r="DJ98">
        <f>IF(DE98&lt;DF98,$A98,B_MAX+1)</f>
        <v>401.0</v>
      </c>
      <c r="DK98" s="13">
        <f>IF(DB98=1,$DB$35,$DB$36)</f>
        <v>0</v>
      </c>
      <c r="DL98" s="13">
        <f>OCC_DAYS*$DB$41*R_NF_2023-DD98*MCD_SHARE_FREED*R_WAIT_2023</f>
        <v>37367.159242427646</v>
      </c>
      <c r="DM98">
        <f>IF($A98&lt;=$DB$45,1,0)</f>
        <v>1</v>
      </c>
      <c r="EB98">
        <f>IF($EB$31&lt;=$EB$32,IF($A98&lt;=$EB$7,1,2),IF($A98&lt;=RUNG_BEDS_2,2,1))</f>
        <v>1</v>
      </c>
      <c r="EC98" s="5">
        <f>MIN(1,MAX(0,$EB$26-($A98-1)))</f>
        <v>1</v>
      </c>
      <c r="ED98" s="5">
        <f>$EB$25*(EC98+(1-EC98)*$EB$16)</f>
        <v>252.05322714681438</v>
      </c>
      <c r="EE98" s="13">
        <f>ED98*($EB$6+ACUTE_MARGIN)</f>
        <v>254573.7594182825</v>
      </c>
      <c r="EF98" s="13">
        <f>IF(EB98=1,$EB$31,$EB$32)</f>
        <v>152394.16214437486</v>
      </c>
      <c r="EG98" s="13">
        <f>EE98-EF98</f>
        <v>102179.59727390765</v>
      </c>
      <c r="EH98" s="13">
        <f>EH97+EG98</f>
        <v>1532693.9591086146</v>
      </c>
      <c r="EI98">
        <f>IF(EH98=MAX($EH$83:$EH$483),$A98,0)</f>
        <v>0</v>
      </c>
      <c r="EJ98">
        <f>IF(EE98&lt;EF98,$A98,B_MAX+1)</f>
        <v>401.0</v>
      </c>
      <c r="EK98" s="13">
        <f>IF(EB98=1,$EB$35,$EB$36)</f>
        <v>0</v>
      </c>
      <c r="EL98" s="13">
        <f>OCC_DAYS*$EB$41*R_NF_2023-ED98*MCD_SHARE_FREED*R_WAIT_2023</f>
        <v>-63953.16263896705</v>
      </c>
      <c r="EM98">
        <f>IF($A98&lt;=$EB$45,1,0)</f>
        <v>1</v>
      </c>
      <c r="FB98">
        <f>IF($FB$31&lt;=$FB$32,IF($A98&lt;=$FB$7,1,2),IF($A98&lt;=RUNG_BEDS_2,2,1))</f>
        <v>1</v>
      </c>
      <c r="FC98" s="5">
        <f>MIN(1,MAX(0,$FB$26-($A98-1)))</f>
        <v>1</v>
      </c>
      <c r="FD98" s="5">
        <f>$FB$25*(FC98+(1-FC98)*$FB$16)</f>
        <v>252.05322714681438</v>
      </c>
      <c r="FE98" s="13">
        <f>FD98*($FB$6+ACUTE_MARGIN)</f>
        <v>254573.7594182825</v>
      </c>
      <c r="FF98" s="13">
        <f>IF(FB98=1,$FB$31,$FB$32)</f>
        <v>156636.04979437485</v>
      </c>
      <c r="FG98" s="13">
        <f>FE98-FF98</f>
        <v>97937.70962390766</v>
      </c>
      <c r="FH98" s="13">
        <f>FH97+FG98</f>
        <v>1469065.6443586152</v>
      </c>
      <c r="FI98">
        <f>IF(FH98=MAX($FH$83:$FH$483),$A98,0)</f>
        <v>0</v>
      </c>
      <c r="FJ98">
        <f>IF(FE98&lt;FF98,$A98,B_MAX+1)</f>
        <v>401.0</v>
      </c>
      <c r="FK98" s="13">
        <f>IF(FB98=1,$FB$35,$FB$36)</f>
        <v>0</v>
      </c>
      <c r="FL98" s="13">
        <f>OCC_DAYS*$FB$41*R_NF_2023-FD98*MCD_SHARE_FREED*R_WAIT_2023</f>
        <v>37367.159242427646</v>
      </c>
      <c r="FM98">
        <f>IF($A98&lt;=$FB$45,1,0)</f>
        <v>1</v>
      </c>
      <c r="GB98">
        <f>IF($GB$31&lt;=$GB$32,IF($A98&lt;=$GB$7,1,2),IF($A98&lt;=RUNG_BEDS_2,2,1))</f>
        <v>1</v>
      </c>
      <c r="GC98" s="5">
        <f>MIN(1,MAX(0,$GB$26-($A98-1)))</f>
        <v>1</v>
      </c>
      <c r="GD98" s="5">
        <f>$GB$25*(GC98+(1-GC98)*$GB$16)</f>
        <v>252.05322714681438</v>
      </c>
      <c r="GE98" s="13">
        <f>GD98*($GB$6+ACUTE_MARGIN)</f>
        <v>254573.7594182825</v>
      </c>
      <c r="GF98" s="13">
        <f>IF(GB98=1,$GB$31,$GB$32)</f>
        <v>152394.16214437486</v>
      </c>
      <c r="GG98" s="13">
        <f>GE98-GF98</f>
        <v>102179.59727390765</v>
      </c>
      <c r="GH98" s="13">
        <f>GH97+GG98</f>
        <v>1532693.9591086146</v>
      </c>
      <c r="GI98">
        <f>IF(GH98=MAX($GH$83:$GH$483),$A98,0)</f>
        <v>0</v>
      </c>
      <c r="GJ98">
        <f>IF(GE98&lt;GF98,$A98,B_MAX+1)</f>
        <v>401.0</v>
      </c>
      <c r="GK98" s="13">
        <f>IF(GB98=1,$GB$35,$GB$36)</f>
        <v>0</v>
      </c>
      <c r="GL98" s="13">
        <f>OCC_DAYS*$GB$41*R_NF_2023-GD98*MCD_SHARE_FREED*R_WAIT_2023</f>
        <v>37367.159242427646</v>
      </c>
      <c r="GM98">
        <f>IF($A98&lt;=$GB$45,1,0)</f>
        <v>1</v>
      </c>
      <c r="HB98">
        <f>IF($HB$31&lt;=$HB$32,IF($A98&lt;=$HB$7,1,2),IF($A98&lt;=RUNG_BEDS_2,2,1))</f>
        <v>1</v>
      </c>
      <c r="HC98" s="5">
        <f>MIN(1,MAX(0,$HB$26-($A98-1)))</f>
        <v>1</v>
      </c>
      <c r="HD98" s="5">
        <f>$HB$25*(HC98+(1-HC98)*$HB$16)</f>
        <v>252.05322714681438</v>
      </c>
      <c r="HE98" s="13">
        <f>HD98*($HB$6+ACUTE_MARGIN)</f>
        <v>254573.7594182825</v>
      </c>
      <c r="HF98" s="13">
        <f>IF(HB98=1,$HB$31,$HB$32)</f>
        <v>152456.2970814058</v>
      </c>
      <c r="HG98" s="13">
        <f>HE98-HF98</f>
        <v>102117.46233687672</v>
      </c>
      <c r="HH98" s="13">
        <f>HH97+HG98</f>
        <v>1531761.9350531504</v>
      </c>
      <c r="HI98">
        <f>IF(HH98=MAX($HH$83:$HH$483),$A98,0)</f>
        <v>0</v>
      </c>
      <c r="HJ98">
        <f>IF(HE98&lt;HF98,$A98,B_MAX+1)</f>
        <v>401.0</v>
      </c>
      <c r="HK98" s="13">
        <f>IF(HB98=1,$HB$35,$HB$36)</f>
        <v>0</v>
      </c>
      <c r="HL98" s="13">
        <f>OCC_DAYS*$HB$41*R_NF_2023-HD98*MCD_SHARE_FREED*R_WAIT_2023</f>
        <v>37367.159242427646</v>
      </c>
      <c r="HM98">
        <f>IF($A98&lt;=$HB$45,1,0)</f>
        <v>1</v>
      </c>
      <c r="IB98">
        <f>IF($IB$31&lt;=$IB$32,IF($A98&lt;=$IB$7,1,2),IF($A98&lt;=RUNG_BEDS_2,2,1))</f>
        <v>1</v>
      </c>
      <c r="IC98" s="5">
        <f>MIN(1,MAX(0,$IB$26-($A98-1)))</f>
        <v>1</v>
      </c>
      <c r="ID98" s="5">
        <f>$IB$25*(IC98+(1-IC98)*$IB$16)</f>
        <v>252.05322714681438</v>
      </c>
      <c r="IE98" s="13">
        <f>ID98*($IB$6+ACUTE_MARGIN)</f>
        <v>254573.7594182825</v>
      </c>
      <c r="IF98" s="13">
        <f>IF(IB98=1,$IB$31,$IB$32)</f>
        <v>152734.9994534971</v>
      </c>
      <c r="IG98" s="13">
        <f>IE98-IF98</f>
        <v>101838.75996478542</v>
      </c>
      <c r="IH98" s="13">
        <f>IH97+IG98</f>
        <v>1527581.3994717817</v>
      </c>
      <c r="II98">
        <f>IF(IH98=MAX($IH$83:$IH$483),$A98,0)</f>
        <v>0</v>
      </c>
      <c r="IJ98">
        <f>IF(IE98&lt;IF98,$A98,B_MAX+1)</f>
        <v>401.0</v>
      </c>
      <c r="IK98" s="13">
        <f>IF(IB98=1,$IB$35,$IB$36)</f>
        <v>0</v>
      </c>
      <c r="IL98" s="13">
        <f>OCC_DAYS*$IB$41*R_NF_2023-ID98*MCD_SHARE_FREED*R_WAIT_2023</f>
        <v>37367.159242427646</v>
      </c>
      <c r="IM98">
        <f>IF($A98&lt;=$IB$45,1,0)</f>
        <v>1</v>
      </c>
      <c r="JB98">
        <f>IF($JB$31&lt;=$JB$32,IF($A98&lt;=$JB$7,1,2),IF($A98&lt;=RUNG_BEDS_2,2,1))</f>
        <v>1</v>
      </c>
      <c r="JC98" s="5">
        <f>MIN(1,MAX(0,$JB$26-($A98-1)))</f>
        <v>1</v>
      </c>
      <c r="JD98" s="5">
        <f>$JB$25*(JC98+(1-JC98)*$JB$16)</f>
        <v>252.05322714681438</v>
      </c>
      <c r="JE98" s="13">
        <f>JD98*($JB$6+ACUTE_MARGIN)</f>
        <v>254573.7594182825</v>
      </c>
      <c r="JF98" s="13">
        <f>IF(JB98=1,$JB$31,$JB$32)</f>
        <v>152394.16214437486</v>
      </c>
      <c r="JG98" s="13">
        <f>JE98-JF98</f>
        <v>102179.59727390765</v>
      </c>
      <c r="JH98" s="13">
        <f>JH97+JG98</f>
        <v>1532693.9591086146</v>
      </c>
      <c r="JI98">
        <f>IF(JH98=MAX($JH$83:$JH$483),$A98,0)</f>
        <v>0</v>
      </c>
      <c r="JJ98">
        <f>IF(JE98&lt;JF98,$A98,B_MAX+1)</f>
        <v>401.0</v>
      </c>
      <c r="JK98" s="13">
        <f>IF(JB98=1,$JB$35,$JB$36)</f>
        <v>0</v>
      </c>
      <c r="JL98" s="13">
        <f>OCC_DAYS*$JB$41*R_NF_2023-JD98*MCD_SHARE_FREED*R_WAIT_2023</f>
        <v>37367.159242427646</v>
      </c>
      <c r="JM98">
        <f>IF($A98&lt;=$JB$45,1,0)</f>
        <v>1</v>
      </c>
      <c r="KB98">
        <f>IF($KB$31&lt;=$KB$32,IF($A98&lt;=$KB$7,1,2),IF($A98&lt;=RUNG_BEDS_2,2,1))</f>
        <v>1</v>
      </c>
      <c r="KC98" s="5">
        <f>MIN(1,MAX(0,$KB$26-($A98-1)))</f>
        <v>1</v>
      </c>
      <c r="KD98" s="5">
        <f>$KB$25*(KC98+(1-KC98)*$KB$16)</f>
        <v>126.02661357340719</v>
      </c>
      <c r="KE98" s="13">
        <f>KD98*($KB$6+ACUTE_MARGIN)</f>
        <v>127286.87970914126</v>
      </c>
      <c r="KF98" s="13">
        <f>IF(KB98=1,$KB$31,$KB$32)</f>
        <v>152394.16214437486</v>
      </c>
      <c r="KG98" s="13">
        <f>KE98-KF98</f>
        <v>-25107.282435233603</v>
      </c>
      <c r="KH98" s="13">
        <f>KH97+KG98</f>
        <v>-376609.23652850394</v>
      </c>
      <c r="KI98">
        <f>IF(KH98=MAX($KH$83:$KH$483),$A98,0)</f>
        <v>0</v>
      </c>
      <c r="KJ98">
        <f>IF(KE98&lt;KF98,$A98,B_MAX+1)</f>
        <v>15</v>
      </c>
      <c r="KK98" s="13">
        <f>IF(KB98=1,$KB$35,$KB$36)</f>
        <v>0</v>
      </c>
      <c r="KL98" s="13">
        <f>OCC_DAYS*$KB$41*R_NF_2023-KD98*MCD_SHARE_FREED*R_WAIT_2023</f>
        <v>94673.82103225985</v>
      </c>
      <c r="KM98">
        <f>IF($A98&lt;=$KB$45,1,0)</f>
        <v>0</v>
      </c>
      <c r="LB98">
        <f>IF($LB$31&lt;=$LB$32,IF($A98&lt;=$LB$7,1,2),IF($A98&lt;=RUNG_BEDS_2,2,1))</f>
        <v>1</v>
      </c>
      <c r="LC98" s="5">
        <f>MIN(1,MAX(0,$LB$26-($A98-1)))</f>
        <v>1</v>
      </c>
      <c r="LD98" s="5">
        <f>$LB$25*(LC98+(1-LC98)*$LB$16)</f>
        <v>84.01774238227146</v>
      </c>
      <c r="LE98" s="13">
        <f>LD98*($LB$6+ACUTE_MARGIN)</f>
        <v>84857.91980609419</v>
      </c>
      <c r="LF98" s="13">
        <f>IF(LB98=1,$LB$31,$LB$32)</f>
        <v>152394.16214437486</v>
      </c>
      <c r="LG98" s="13">
        <f>LE98-LF98</f>
        <v>-67536.24233828067</v>
      </c>
      <c r="LH98" s="13">
        <f>LH97+LG98</f>
        <v>-1013043.63507421</v>
      </c>
      <c r="LI98">
        <f>IF(LH98=MAX($LH$83:$LH$483),$A98,0)</f>
        <v>0</v>
      </c>
      <c r="LJ98">
        <f>IF(LE98&lt;LF98,$A98,B_MAX+1)</f>
        <v>15</v>
      </c>
      <c r="LK98" s="13">
        <f>IF(LB98=1,$LB$35,$LB$36)</f>
        <v>0</v>
      </c>
      <c r="LL98" s="13">
        <f>OCC_DAYS*$LB$41*R_NF_2023-LD98*MCD_SHARE_FREED*R_WAIT_2023</f>
        <v>113776.04162887059</v>
      </c>
      <c r="LM98">
        <f>IF($A98&lt;=$LB$45,1,0)</f>
        <v>0</v>
      </c>
      <c r="MB98">
        <f>IF($MB$31&lt;=$MB$32,IF($A98&lt;=$MB$7,1,2),IF($A98&lt;=RUNG_BEDS_2,2,1))</f>
        <v>1</v>
      </c>
      <c r="MC98" s="5">
        <f>MIN(1,MAX(0,$MB$26-($A98-1)))</f>
        <v>1</v>
      </c>
      <c r="MD98" s="5">
        <f>$MB$25*(MC98+(1-MC98)*$MB$16)</f>
        <v>213.44610951008647</v>
      </c>
      <c r="ME98" s="13">
        <f>MD98*($MB$6+ACUTE_MARGIN)</f>
        <v>215580.57060518733</v>
      </c>
      <c r="MF98" s="13">
        <f>IF(MB98=1,$MB$31,$MB$32)</f>
        <v>152394.16214437486</v>
      </c>
      <c r="MG98" s="13">
        <f>ME98-MF98</f>
        <v>63186.40846081247</v>
      </c>
      <c r="MH98" s="13">
        <f>MH97+MG98</f>
        <v>947796.1269121866</v>
      </c>
      <c r="MI98">
        <f>IF(MH98=MAX($MH$83:$MH$483),$A98,0)</f>
        <v>0</v>
      </c>
      <c r="MJ98">
        <f>IF(ME98&lt;MF98,$A98,B_MAX+1)</f>
        <v>401.0</v>
      </c>
      <c r="MK98" s="13">
        <f>IF(MB98=1,$MB$35,$MB$36)</f>
        <v>0</v>
      </c>
      <c r="ML98" s="13">
        <f>OCC_DAYS*$MB$41*R_NF_2023-MD98*MCD_SHARE_FREED*R_WAIT_2023</f>
        <v>54922.538779778624</v>
      </c>
      <c r="MM98">
        <f>IF($A98&lt;=$MB$45,1,0)</f>
        <v>1</v>
      </c>
      <c r="NB98">
        <f>IF($NB$31&lt;=$NB$32,IF($A98&lt;=$NB$7,1,2),IF($A98&lt;=RUNG_BEDS_2,2,1))</f>
        <v>1</v>
      </c>
      <c r="NC98" s="5">
        <f>MIN(1,MAX(0,$NB$26-($A98-1)))</f>
        <v>1</v>
      </c>
      <c r="ND98" s="5">
        <f>$NB$25*(NC98+(1-NC98)*$NB$16)</f>
        <v>252.05322714681438</v>
      </c>
      <c r="NE98" s="13">
        <f>ND98*($NB$6+ACUTE_MARGIN)</f>
        <v>254573.7594182825</v>
      </c>
      <c r="NF98" s="13">
        <f>IF(NB98=1,$NB$31,$NB$32)</f>
        <v>152394.16214437486</v>
      </c>
      <c r="NG98" s="13">
        <f>NE98-NF98</f>
        <v>102179.59727390765</v>
      </c>
      <c r="NH98" s="13">
        <f>NH97+NG98</f>
        <v>1532693.9591086146</v>
      </c>
      <c r="NI98">
        <f>IF(NH98=MAX($NH$83:$NH$483),$A98,0)</f>
        <v>0</v>
      </c>
      <c r="NJ98">
        <f>IF(NE98&lt;NF98,$A98,B_MAX+1)</f>
        <v>401.0</v>
      </c>
      <c r="NK98" s="13">
        <f>IF(NB98=1,$NB$35,$NB$36)</f>
        <v>0</v>
      </c>
      <c r="NL98" s="13">
        <f>OCC_DAYS*$NB$41*R_NF_2023-ND98*MCD_SHARE_FREED*R_WAIT_2023</f>
        <v>37367.159242427646</v>
      </c>
      <c r="NM98">
        <f>IF($A98&lt;=$NB$45,1,0)</f>
        <v>1</v>
      </c>
      <c r="OB98">
        <f>IF($OB$31&lt;=$OB$32,IF($A98&lt;=$OB$7,1,2),IF($A98&lt;=RUNG_BEDS_2,2,1))</f>
        <v>1</v>
      </c>
      <c r="OC98" s="5">
        <f>MIN(1,MAX(0,$OB$26-($A98-1)))</f>
        <v>1</v>
      </c>
      <c r="OD98" s="5">
        <f>$OB$25*(OC98+(1-OC98)*$OB$16)</f>
        <v>252.05322714681438</v>
      </c>
      <c r="OE98" s="13">
        <f>OD98*($OB$6+ACUTE_MARGIN)</f>
        <v>254573.7594182825</v>
      </c>
      <c r="OF98" s="13">
        <f>IF(OB98=1,$OB$31,$OB$32)</f>
        <v>152394.16214437486</v>
      </c>
      <c r="OG98" s="13">
        <f>OE98-OF98</f>
        <v>102179.59727390765</v>
      </c>
      <c r="OH98" s="13">
        <f>OH97+OG98</f>
        <v>1532693.9591086146</v>
      </c>
      <c r="OI98">
        <f>IF(OH98=MAX($OH$83:$OH$483),$A98,0)</f>
        <v>0</v>
      </c>
      <c r="OJ98">
        <f>IF(OE98&lt;OF98,$A98,B_MAX+1)</f>
        <v>401.0</v>
      </c>
      <c r="OK98" s="13">
        <f>IF(OB98=1,$OB$35,$OB$36)</f>
        <v>0</v>
      </c>
      <c r="OL98" s="13">
        <f>OCC_DAYS*$OB$41*R_NF_2023-OD98*MCD_SHARE_FREED*R_WAIT_2023</f>
        <v>37367.159242427646</v>
      </c>
      <c r="OM98">
        <f>IF($A98&lt;=$OB$45,1,0)</f>
        <v>1</v>
      </c>
    </row>
    <row r="99">
      <c r="A99" t="n">
        <v>16</v>
      </c>
      <c r="B99">
        <f>IF($B$31&lt;=$B$32,IF($A99&lt;=$B$7,1,2),IF($A99&lt;=RUNG_BEDS_2,2,1))</f>
        <v>1</v>
      </c>
      <c r="C99" s="5">
        <f>MIN(1,MAX(0,$B$26-($A99-1)))</f>
        <v>1</v>
      </c>
      <c r="D99" s="5">
        <f>$B$25*(C99+(1-C99)*$B$16)</f>
        <v>252.05322714681438</v>
      </c>
      <c r="E99" s="13">
        <f>D99*($B$6+ACUTE_MARGIN)</f>
        <v>254573.7594182825</v>
      </c>
      <c r="F99" s="13">
        <f>IF(B99=1,$B$31,$B$32)</f>
        <v>152394.16214437486</v>
      </c>
      <c r="G99" s="13">
        <f>E99-F99</f>
        <v>102179.59727390765</v>
      </c>
      <c r="H99" s="13">
        <f>H98+G99</f>
        <v>1634873.5563825222</v>
      </c>
      <c r="I99">
        <f>IF(H99=MAX($H$83:$H$483),$A99,0)</f>
        <v>0</v>
      </c>
      <c r="J99">
        <f>IF(E99&lt;F99,$A99,B_MAX+1)</f>
        <v>401.0</v>
      </c>
      <c r="K99" s="13">
        <f>IF(B99=1,$B$35,$B$36)</f>
        <v>0</v>
      </c>
      <c r="L99" s="13">
        <f>OCC_DAYS*$B$41*R_NF_2023-D99*MCD_SHARE_FREED*R_WAIT_2023</f>
        <v>37367.159242427646</v>
      </c>
      <c r="M99">
        <f>IF($A99&lt;=$B$45,1,0)</f>
        <v>1</v>
      </c>
      <c r="AB99">
        <f>IF($AB$31&lt;=$AB$32,IF($A99&lt;=$AB$7,1,2),IF($A99&lt;=RUNG_BEDS_2,2,1))</f>
        <v>1</v>
      </c>
      <c r="AC99" s="5">
        <f>MIN(1,MAX(0,$AB$26-($A99-1)))</f>
        <v>1</v>
      </c>
      <c r="AD99" s="5">
        <f>$AB$25*(AC99+(1-AC99)*$AB$16)</f>
        <v>252.05322714681438</v>
      </c>
      <c r="AE99" s="13">
        <f>AD99*($AB$6+ACUTE_MARGIN)</f>
        <v>138629.2749307479</v>
      </c>
      <c r="AF99" s="13">
        <f>IF(AB99=1,$AB$31,$AB$32)</f>
        <v>152394.16214437486</v>
      </c>
      <c r="AG99" s="13">
        <f>AE99-AF99</f>
        <v>-13764.887213626964</v>
      </c>
      <c r="AH99" s="13">
        <f>AH98+AG99</f>
        <v>-220238.19541803142</v>
      </c>
      <c r="AI99">
        <f>IF(AH99=MAX($AH$83:$AH$483),$A99,0)</f>
        <v>0</v>
      </c>
      <c r="AJ99">
        <f>IF(AE99&lt;AF99,$A99,B_MAX+1)</f>
        <v>16</v>
      </c>
      <c r="AK99" s="13">
        <f>IF(AB99=1,$AB$35,$AB$36)</f>
        <v>0</v>
      </c>
      <c r="AL99" s="13">
        <f>OCC_DAYS*$AB$41*R_NF_2023-AD99*MCD_SHARE_FREED*R_WAIT_2023</f>
        <v>37367.159242427646</v>
      </c>
      <c r="AM99">
        <f>IF($A99&lt;=$AB$45,1,0)</f>
        <v>0</v>
      </c>
      <c r="BB99">
        <f>IF($BB$31&lt;=$BB$32,IF($A99&lt;=$BB$7,1,2),IF($A99&lt;=RUNG_BEDS_2,2,1))</f>
        <v>1</v>
      </c>
      <c r="BC99" s="5">
        <f>MIN(1,MAX(0,$BB$26-($A99-1)))</f>
        <v>1</v>
      </c>
      <c r="BD99" s="5">
        <f>$BB$25*(BC99+(1-BC99)*$BB$16)</f>
        <v>252.05322714681438</v>
      </c>
      <c r="BE99" s="13">
        <f>BD99*($BB$6+ACUTE_MARGIN)</f>
        <v>370518.24390581716</v>
      </c>
      <c r="BF99" s="13">
        <f>IF(BB99=1,$BB$31,$BB$32)</f>
        <v>152394.16214437486</v>
      </c>
      <c r="BG99" s="13">
        <f>BE99-BF99</f>
        <v>218124.0817614423</v>
      </c>
      <c r="BH99" s="13">
        <f>BH98+BG99</f>
        <v>3489985.308183076</v>
      </c>
      <c r="BI99">
        <f>IF(BH99=MAX($BH$83:$BH$483),$A99,0)</f>
        <v>0</v>
      </c>
      <c r="BJ99">
        <f>IF(BE99&lt;BF99,$A99,B_MAX+1)</f>
        <v>401.0</v>
      </c>
      <c r="BK99" s="13">
        <f>IF(BB99=1,$BB$35,$BB$36)</f>
        <v>0</v>
      </c>
      <c r="BL99" s="13">
        <f>OCC_DAYS*$BB$41*R_NF_2023-BD99*MCD_SHARE_FREED*R_WAIT_2023</f>
        <v>37367.159242427646</v>
      </c>
      <c r="BM99">
        <f>IF($A99&lt;=$BB$45,1,0)</f>
        <v>1</v>
      </c>
      <c r="CB99">
        <f>IF($CB$31&lt;=$CB$32,IF($A99&lt;=$CB$7,1,2),IF($A99&lt;=RUNG_BEDS_2,2,1))</f>
        <v>2</v>
      </c>
      <c r="CC99" s="5">
        <f>MIN(1,MAX(0,$CB$26-($A99-1)))</f>
        <v>1</v>
      </c>
      <c r="CD99" s="5">
        <f>$CB$25*(CC99+(1-CC99)*$CB$16)</f>
        <v>252.05322714681438</v>
      </c>
      <c r="CE99" s="13">
        <f>CD99*($CB$6+ACUTE_MARGIN)</f>
        <v>254573.7594182825</v>
      </c>
      <c r="CF99" s="13">
        <f>IF(CB99=1,$CB$31,$CB$32)</f>
        <v>160718.36940738867</v>
      </c>
      <c r="CG99" s="13">
        <f>CE99-CF99</f>
        <v>93855.39001089384</v>
      </c>
      <c r="CH99" s="13">
        <f>CH98+CG99</f>
        <v>1501686.2401743012</v>
      </c>
      <c r="CI99">
        <f>IF(CH99=MAX($CH$83:$CH$483),$A99,0)</f>
        <v>0</v>
      </c>
      <c r="CJ99">
        <f>IF(CE99&lt;CF99,$A99,B_MAX+1)</f>
        <v>401.0</v>
      </c>
      <c r="CK99" s="13">
        <f>IF(CB99=1,$CB$35,$CB$36)</f>
        <v>1560.1194073886782</v>
      </c>
      <c r="CL99" s="13">
        <f>OCC_DAYS*$CB$41*R_NF_2023-CD99*MCD_SHARE_FREED*R_WAIT_2023</f>
        <v>37367.159242427646</v>
      </c>
      <c r="CM99">
        <f>IF($A99&lt;=$CB$45,1,0)</f>
        <v>1</v>
      </c>
      <c r="DB99">
        <f>IF($DB$31&lt;=$DB$32,IF($A99&lt;=$DB$7,1,2),IF($A99&lt;=RUNG_BEDS_2,2,1))</f>
        <v>1</v>
      </c>
      <c r="DC99" s="5">
        <f>MIN(1,MAX(0,$DB$26-($A99-1)))</f>
        <v>1</v>
      </c>
      <c r="DD99" s="5">
        <f>$DB$25*(DC99+(1-DC99)*$DB$16)</f>
        <v>252.05322714681438</v>
      </c>
      <c r="DE99" s="13">
        <f>DD99*($DB$6+ACUTE_MARGIN)</f>
        <v>254573.7594182825</v>
      </c>
      <c r="DF99" s="13">
        <f>IF(DB99=1,$DB$31,$DB$32)</f>
        <v>152394.16214437486</v>
      </c>
      <c r="DG99" s="13">
        <f>DE99-DF99</f>
        <v>102179.59727390765</v>
      </c>
      <c r="DH99" s="13">
        <f>DH98+DG99</f>
        <v>1634873.5563825222</v>
      </c>
      <c r="DI99">
        <f>IF(DH99=MAX($DH$83:$DH$483),$A99,0)</f>
        <v>0</v>
      </c>
      <c r="DJ99">
        <f>IF(DE99&lt;DF99,$A99,B_MAX+1)</f>
        <v>401.0</v>
      </c>
      <c r="DK99" s="13">
        <f>IF(DB99=1,$DB$35,$DB$36)</f>
        <v>0</v>
      </c>
      <c r="DL99" s="13">
        <f>OCC_DAYS*$DB$41*R_NF_2023-DD99*MCD_SHARE_FREED*R_WAIT_2023</f>
        <v>37367.159242427646</v>
      </c>
      <c r="DM99">
        <f>IF($A99&lt;=$DB$45,1,0)</f>
        <v>1</v>
      </c>
      <c r="EB99">
        <f>IF($EB$31&lt;=$EB$32,IF($A99&lt;=$EB$7,1,2),IF($A99&lt;=RUNG_BEDS_2,2,1))</f>
        <v>1</v>
      </c>
      <c r="EC99" s="5">
        <f>MIN(1,MAX(0,$EB$26-($A99-1)))</f>
        <v>1</v>
      </c>
      <c r="ED99" s="5">
        <f>$EB$25*(EC99+(1-EC99)*$EB$16)</f>
        <v>252.05322714681438</v>
      </c>
      <c r="EE99" s="13">
        <f>ED99*($EB$6+ACUTE_MARGIN)</f>
        <v>254573.7594182825</v>
      </c>
      <c r="EF99" s="13">
        <f>IF(EB99=1,$EB$31,$EB$32)</f>
        <v>152394.16214437486</v>
      </c>
      <c r="EG99" s="13">
        <f>EE99-EF99</f>
        <v>102179.59727390765</v>
      </c>
      <c r="EH99" s="13">
        <f>EH98+EG99</f>
        <v>1634873.5563825222</v>
      </c>
      <c r="EI99">
        <f>IF(EH99=MAX($EH$83:$EH$483),$A99,0)</f>
        <v>0</v>
      </c>
      <c r="EJ99">
        <f>IF(EE99&lt;EF99,$A99,B_MAX+1)</f>
        <v>401.0</v>
      </c>
      <c r="EK99" s="13">
        <f>IF(EB99=1,$EB$35,$EB$36)</f>
        <v>0</v>
      </c>
      <c r="EL99" s="13">
        <f>OCC_DAYS*$EB$41*R_NF_2023-ED99*MCD_SHARE_FREED*R_WAIT_2023</f>
        <v>-63953.16263896705</v>
      </c>
      <c r="EM99">
        <f>IF($A99&lt;=$EB$45,1,0)</f>
        <v>1</v>
      </c>
      <c r="FB99">
        <f>IF($FB$31&lt;=$FB$32,IF($A99&lt;=$FB$7,1,2),IF($A99&lt;=RUNG_BEDS_2,2,1))</f>
        <v>1</v>
      </c>
      <c r="FC99" s="5">
        <f>MIN(1,MAX(0,$FB$26-($A99-1)))</f>
        <v>1</v>
      </c>
      <c r="FD99" s="5">
        <f>$FB$25*(FC99+(1-FC99)*$FB$16)</f>
        <v>252.05322714681438</v>
      </c>
      <c r="FE99" s="13">
        <f>FD99*($FB$6+ACUTE_MARGIN)</f>
        <v>254573.7594182825</v>
      </c>
      <c r="FF99" s="13">
        <f>IF(FB99=1,$FB$31,$FB$32)</f>
        <v>156636.04979437485</v>
      </c>
      <c r="FG99" s="13">
        <f>FE99-FF99</f>
        <v>97937.70962390766</v>
      </c>
      <c r="FH99" s="13">
        <f>FH98+FG99</f>
        <v>1567003.3539825229</v>
      </c>
      <c r="FI99">
        <f>IF(FH99=MAX($FH$83:$FH$483),$A99,0)</f>
        <v>0</v>
      </c>
      <c r="FJ99">
        <f>IF(FE99&lt;FF99,$A99,B_MAX+1)</f>
        <v>401.0</v>
      </c>
      <c r="FK99" s="13">
        <f>IF(FB99=1,$FB$35,$FB$36)</f>
        <v>0</v>
      </c>
      <c r="FL99" s="13">
        <f>OCC_DAYS*$FB$41*R_NF_2023-FD99*MCD_SHARE_FREED*R_WAIT_2023</f>
        <v>37367.159242427646</v>
      </c>
      <c r="FM99">
        <f>IF($A99&lt;=$FB$45,1,0)</f>
        <v>1</v>
      </c>
      <c r="GB99">
        <f>IF($GB$31&lt;=$GB$32,IF($A99&lt;=$GB$7,1,2),IF($A99&lt;=RUNG_BEDS_2,2,1))</f>
        <v>1</v>
      </c>
      <c r="GC99" s="5">
        <f>MIN(1,MAX(0,$GB$26-($A99-1)))</f>
        <v>1</v>
      </c>
      <c r="GD99" s="5">
        <f>$GB$25*(GC99+(1-GC99)*$GB$16)</f>
        <v>252.05322714681438</v>
      </c>
      <c r="GE99" s="13">
        <f>GD99*($GB$6+ACUTE_MARGIN)</f>
        <v>254573.7594182825</v>
      </c>
      <c r="GF99" s="13">
        <f>IF(GB99=1,$GB$31,$GB$32)</f>
        <v>152394.16214437486</v>
      </c>
      <c r="GG99" s="13">
        <f>GE99-GF99</f>
        <v>102179.59727390765</v>
      </c>
      <c r="GH99" s="13">
        <f>GH98+GG99</f>
        <v>1634873.5563825222</v>
      </c>
      <c r="GI99">
        <f>IF(GH99=MAX($GH$83:$GH$483),$A99,0)</f>
        <v>0</v>
      </c>
      <c r="GJ99">
        <f>IF(GE99&lt;GF99,$A99,B_MAX+1)</f>
        <v>401.0</v>
      </c>
      <c r="GK99" s="13">
        <f>IF(GB99=1,$GB$35,$GB$36)</f>
        <v>0</v>
      </c>
      <c r="GL99" s="13">
        <f>OCC_DAYS*$GB$41*R_NF_2023-GD99*MCD_SHARE_FREED*R_WAIT_2023</f>
        <v>37367.159242427646</v>
      </c>
      <c r="GM99">
        <f>IF($A99&lt;=$GB$45,1,0)</f>
        <v>1</v>
      </c>
      <c r="HB99">
        <f>IF($HB$31&lt;=$HB$32,IF($A99&lt;=$HB$7,1,2),IF($A99&lt;=RUNG_BEDS_2,2,1))</f>
        <v>1</v>
      </c>
      <c r="HC99" s="5">
        <f>MIN(1,MAX(0,$HB$26-($A99-1)))</f>
        <v>1</v>
      </c>
      <c r="HD99" s="5">
        <f>$HB$25*(HC99+(1-HC99)*$HB$16)</f>
        <v>252.05322714681438</v>
      </c>
      <c r="HE99" s="13">
        <f>HD99*($HB$6+ACUTE_MARGIN)</f>
        <v>254573.7594182825</v>
      </c>
      <c r="HF99" s="13">
        <f>IF(HB99=1,$HB$31,$HB$32)</f>
        <v>152456.2970814058</v>
      </c>
      <c r="HG99" s="13">
        <f>HE99-HF99</f>
        <v>102117.46233687672</v>
      </c>
      <c r="HH99" s="13">
        <f>HH98+HG99</f>
        <v>1633879.397390027</v>
      </c>
      <c r="HI99">
        <f>IF(HH99=MAX($HH$83:$HH$483),$A99,0)</f>
        <v>0</v>
      </c>
      <c r="HJ99">
        <f>IF(HE99&lt;HF99,$A99,B_MAX+1)</f>
        <v>401.0</v>
      </c>
      <c r="HK99" s="13">
        <f>IF(HB99=1,$HB$35,$HB$36)</f>
        <v>0</v>
      </c>
      <c r="HL99" s="13">
        <f>OCC_DAYS*$HB$41*R_NF_2023-HD99*MCD_SHARE_FREED*R_WAIT_2023</f>
        <v>37367.159242427646</v>
      </c>
      <c r="HM99">
        <f>IF($A99&lt;=$HB$45,1,0)</f>
        <v>1</v>
      </c>
      <c r="IB99">
        <f>IF($IB$31&lt;=$IB$32,IF($A99&lt;=$IB$7,1,2),IF($A99&lt;=RUNG_BEDS_2,2,1))</f>
        <v>1</v>
      </c>
      <c r="IC99" s="5">
        <f>MIN(1,MAX(0,$IB$26-($A99-1)))</f>
        <v>1</v>
      </c>
      <c r="ID99" s="5">
        <f>$IB$25*(IC99+(1-IC99)*$IB$16)</f>
        <v>252.05322714681438</v>
      </c>
      <c r="IE99" s="13">
        <f>ID99*($IB$6+ACUTE_MARGIN)</f>
        <v>254573.7594182825</v>
      </c>
      <c r="IF99" s="13">
        <f>IF(IB99=1,$IB$31,$IB$32)</f>
        <v>152734.9994534971</v>
      </c>
      <c r="IG99" s="13">
        <f>IE99-IF99</f>
        <v>101838.75996478542</v>
      </c>
      <c r="IH99" s="13">
        <f>IH98+IG99</f>
        <v>1629420.1594365672</v>
      </c>
      <c r="II99">
        <f>IF(IH99=MAX($IH$83:$IH$483),$A99,0)</f>
        <v>0</v>
      </c>
      <c r="IJ99">
        <f>IF(IE99&lt;IF99,$A99,B_MAX+1)</f>
        <v>401.0</v>
      </c>
      <c r="IK99" s="13">
        <f>IF(IB99=1,$IB$35,$IB$36)</f>
        <v>0</v>
      </c>
      <c r="IL99" s="13">
        <f>OCC_DAYS*$IB$41*R_NF_2023-ID99*MCD_SHARE_FREED*R_WAIT_2023</f>
        <v>37367.159242427646</v>
      </c>
      <c r="IM99">
        <f>IF($A99&lt;=$IB$45,1,0)</f>
        <v>1</v>
      </c>
      <c r="JB99">
        <f>IF($JB$31&lt;=$JB$32,IF($A99&lt;=$JB$7,1,2),IF($A99&lt;=RUNG_BEDS_2,2,1))</f>
        <v>1</v>
      </c>
      <c r="JC99" s="5">
        <f>MIN(1,MAX(0,$JB$26-($A99-1)))</f>
        <v>1</v>
      </c>
      <c r="JD99" s="5">
        <f>$JB$25*(JC99+(1-JC99)*$JB$16)</f>
        <v>252.05322714681438</v>
      </c>
      <c r="JE99" s="13">
        <f>JD99*($JB$6+ACUTE_MARGIN)</f>
        <v>254573.7594182825</v>
      </c>
      <c r="JF99" s="13">
        <f>IF(JB99=1,$JB$31,$JB$32)</f>
        <v>152394.16214437486</v>
      </c>
      <c r="JG99" s="13">
        <f>JE99-JF99</f>
        <v>102179.59727390765</v>
      </c>
      <c r="JH99" s="13">
        <f>JH98+JG99</f>
        <v>1634873.5563825222</v>
      </c>
      <c r="JI99">
        <f>IF(JH99=MAX($JH$83:$JH$483),$A99,0)</f>
        <v>0</v>
      </c>
      <c r="JJ99">
        <f>IF(JE99&lt;JF99,$A99,B_MAX+1)</f>
        <v>401.0</v>
      </c>
      <c r="JK99" s="13">
        <f>IF(JB99=1,$JB$35,$JB$36)</f>
        <v>0</v>
      </c>
      <c r="JL99" s="13">
        <f>OCC_DAYS*$JB$41*R_NF_2023-JD99*MCD_SHARE_FREED*R_WAIT_2023</f>
        <v>37367.159242427646</v>
      </c>
      <c r="JM99">
        <f>IF($A99&lt;=$JB$45,1,0)</f>
        <v>1</v>
      </c>
      <c r="KB99">
        <f>IF($KB$31&lt;=$KB$32,IF($A99&lt;=$KB$7,1,2),IF($A99&lt;=RUNG_BEDS_2,2,1))</f>
        <v>1</v>
      </c>
      <c r="KC99" s="5">
        <f>MIN(1,MAX(0,$KB$26-($A99-1)))</f>
        <v>1</v>
      </c>
      <c r="KD99" s="5">
        <f>$KB$25*(KC99+(1-KC99)*$KB$16)</f>
        <v>126.02661357340719</v>
      </c>
      <c r="KE99" s="13">
        <f>KD99*($KB$6+ACUTE_MARGIN)</f>
        <v>127286.87970914126</v>
      </c>
      <c r="KF99" s="13">
        <f>IF(KB99=1,$KB$31,$KB$32)</f>
        <v>152394.16214437486</v>
      </c>
      <c r="KG99" s="13">
        <f>KE99-KF99</f>
        <v>-25107.282435233603</v>
      </c>
      <c r="KH99" s="13">
        <f>KH98+KG99</f>
        <v>-401716.51896373753</v>
      </c>
      <c r="KI99">
        <f>IF(KH99=MAX($KH$83:$KH$483),$A99,0)</f>
        <v>0</v>
      </c>
      <c r="KJ99">
        <f>IF(KE99&lt;KF99,$A99,B_MAX+1)</f>
        <v>16</v>
      </c>
      <c r="KK99" s="13">
        <f>IF(KB99=1,$KB$35,$KB$36)</f>
        <v>0</v>
      </c>
      <c r="KL99" s="13">
        <f>OCC_DAYS*$KB$41*R_NF_2023-KD99*MCD_SHARE_FREED*R_WAIT_2023</f>
        <v>94673.82103225985</v>
      </c>
      <c r="KM99">
        <f>IF($A99&lt;=$KB$45,1,0)</f>
        <v>0</v>
      </c>
      <c r="LB99">
        <f>IF($LB$31&lt;=$LB$32,IF($A99&lt;=$LB$7,1,2),IF($A99&lt;=RUNG_BEDS_2,2,1))</f>
        <v>1</v>
      </c>
      <c r="LC99" s="5">
        <f>MIN(1,MAX(0,$LB$26-($A99-1)))</f>
        <v>1</v>
      </c>
      <c r="LD99" s="5">
        <f>$LB$25*(LC99+(1-LC99)*$LB$16)</f>
        <v>84.01774238227146</v>
      </c>
      <c r="LE99" s="13">
        <f>LD99*($LB$6+ACUTE_MARGIN)</f>
        <v>84857.91980609419</v>
      </c>
      <c r="LF99" s="13">
        <f>IF(LB99=1,$LB$31,$LB$32)</f>
        <v>152394.16214437486</v>
      </c>
      <c r="LG99" s="13">
        <f>LE99-LF99</f>
        <v>-67536.24233828067</v>
      </c>
      <c r="LH99" s="13">
        <f>LH98+LG99</f>
        <v>-1080579.8774124908</v>
      </c>
      <c r="LI99">
        <f>IF(LH99=MAX($LH$83:$LH$483),$A99,0)</f>
        <v>0</v>
      </c>
      <c r="LJ99">
        <f>IF(LE99&lt;LF99,$A99,B_MAX+1)</f>
        <v>16</v>
      </c>
      <c r="LK99" s="13">
        <f>IF(LB99=1,$LB$35,$LB$36)</f>
        <v>0</v>
      </c>
      <c r="LL99" s="13">
        <f>OCC_DAYS*$LB$41*R_NF_2023-LD99*MCD_SHARE_FREED*R_WAIT_2023</f>
        <v>113776.04162887059</v>
      </c>
      <c r="LM99">
        <f>IF($A99&lt;=$LB$45,1,0)</f>
        <v>0</v>
      </c>
      <c r="MB99">
        <f>IF($MB$31&lt;=$MB$32,IF($A99&lt;=$MB$7,1,2),IF($A99&lt;=RUNG_BEDS_2,2,1))</f>
        <v>1</v>
      </c>
      <c r="MC99" s="5">
        <f>MIN(1,MAX(0,$MB$26-($A99-1)))</f>
        <v>1</v>
      </c>
      <c r="MD99" s="5">
        <f>$MB$25*(MC99+(1-MC99)*$MB$16)</f>
        <v>213.44610951008647</v>
      </c>
      <c r="ME99" s="13">
        <f>MD99*($MB$6+ACUTE_MARGIN)</f>
        <v>215580.57060518733</v>
      </c>
      <c r="MF99" s="13">
        <f>IF(MB99=1,$MB$31,$MB$32)</f>
        <v>152394.16214437486</v>
      </c>
      <c r="MG99" s="13">
        <f>ME99-MF99</f>
        <v>63186.40846081247</v>
      </c>
      <c r="MH99" s="13">
        <f>MH98+MG99</f>
        <v>1010982.535372999</v>
      </c>
      <c r="MI99">
        <f>IF(MH99=MAX($MH$83:$MH$483),$A99,0)</f>
        <v>0</v>
      </c>
      <c r="MJ99">
        <f>IF(ME99&lt;MF99,$A99,B_MAX+1)</f>
        <v>401.0</v>
      </c>
      <c r="MK99" s="13">
        <f>IF(MB99=1,$MB$35,$MB$36)</f>
        <v>0</v>
      </c>
      <c r="ML99" s="13">
        <f>OCC_DAYS*$MB$41*R_NF_2023-MD99*MCD_SHARE_FREED*R_WAIT_2023</f>
        <v>54922.538779778624</v>
      </c>
      <c r="MM99">
        <f>IF($A99&lt;=$MB$45,1,0)</f>
        <v>1</v>
      </c>
      <c r="NB99">
        <f>IF($NB$31&lt;=$NB$32,IF($A99&lt;=$NB$7,1,2),IF($A99&lt;=RUNG_BEDS_2,2,1))</f>
        <v>1</v>
      </c>
      <c r="NC99" s="5">
        <f>MIN(1,MAX(0,$NB$26-($A99-1)))</f>
        <v>1</v>
      </c>
      <c r="ND99" s="5">
        <f>$NB$25*(NC99+(1-NC99)*$NB$16)</f>
        <v>252.05322714681438</v>
      </c>
      <c r="NE99" s="13">
        <f>ND99*($NB$6+ACUTE_MARGIN)</f>
        <v>254573.7594182825</v>
      </c>
      <c r="NF99" s="13">
        <f>IF(NB99=1,$NB$31,$NB$32)</f>
        <v>152394.16214437486</v>
      </c>
      <c r="NG99" s="13">
        <f>NE99-NF99</f>
        <v>102179.59727390765</v>
      </c>
      <c r="NH99" s="13">
        <f>NH98+NG99</f>
        <v>1634873.5563825222</v>
      </c>
      <c r="NI99">
        <f>IF(NH99=MAX($NH$83:$NH$483),$A99,0)</f>
        <v>0</v>
      </c>
      <c r="NJ99">
        <f>IF(NE99&lt;NF99,$A99,B_MAX+1)</f>
        <v>401.0</v>
      </c>
      <c r="NK99" s="13">
        <f>IF(NB99=1,$NB$35,$NB$36)</f>
        <v>0</v>
      </c>
      <c r="NL99" s="13">
        <f>OCC_DAYS*$NB$41*R_NF_2023-ND99*MCD_SHARE_FREED*R_WAIT_2023</f>
        <v>37367.159242427646</v>
      </c>
      <c r="NM99">
        <f>IF($A99&lt;=$NB$45,1,0)</f>
        <v>1</v>
      </c>
      <c r="OB99">
        <f>IF($OB$31&lt;=$OB$32,IF($A99&lt;=$OB$7,1,2),IF($A99&lt;=RUNG_BEDS_2,2,1))</f>
        <v>1</v>
      </c>
      <c r="OC99" s="5">
        <f>MIN(1,MAX(0,$OB$26-($A99-1)))</f>
        <v>1</v>
      </c>
      <c r="OD99" s="5">
        <f>$OB$25*(OC99+(1-OC99)*$OB$16)</f>
        <v>252.05322714681438</v>
      </c>
      <c r="OE99" s="13">
        <f>OD99*($OB$6+ACUTE_MARGIN)</f>
        <v>254573.7594182825</v>
      </c>
      <c r="OF99" s="13">
        <f>IF(OB99=1,$OB$31,$OB$32)</f>
        <v>152394.16214437486</v>
      </c>
      <c r="OG99" s="13">
        <f>OE99-OF99</f>
        <v>102179.59727390765</v>
      </c>
      <c r="OH99" s="13">
        <f>OH98+OG99</f>
        <v>1634873.5563825222</v>
      </c>
      <c r="OI99">
        <f>IF(OH99=MAX($OH$83:$OH$483),$A99,0)</f>
        <v>0</v>
      </c>
      <c r="OJ99">
        <f>IF(OE99&lt;OF99,$A99,B_MAX+1)</f>
        <v>401.0</v>
      </c>
      <c r="OK99" s="13">
        <f>IF(OB99=1,$OB$35,$OB$36)</f>
        <v>0</v>
      </c>
      <c r="OL99" s="13">
        <f>OCC_DAYS*$OB$41*R_NF_2023-OD99*MCD_SHARE_FREED*R_WAIT_2023</f>
        <v>37367.159242427646</v>
      </c>
      <c r="OM99">
        <f>IF($A99&lt;=$OB$45,1,0)</f>
        <v>1</v>
      </c>
    </row>
    <row r="100">
      <c r="A100" t="n">
        <v>17</v>
      </c>
      <c r="B100">
        <f>IF($B$31&lt;=$B$32,IF($A100&lt;=$B$7,1,2),IF($A100&lt;=RUNG_BEDS_2,2,1))</f>
        <v>1</v>
      </c>
      <c r="C100" s="5">
        <f>MIN(1,MAX(0,$B$26-($A100-1)))</f>
        <v>1</v>
      </c>
      <c r="D100" s="5">
        <f>$B$25*(C100+(1-C100)*$B$16)</f>
        <v>252.05322714681438</v>
      </c>
      <c r="E100" s="13">
        <f>D100*($B$6+ACUTE_MARGIN)</f>
        <v>254573.7594182825</v>
      </c>
      <c r="F100" s="13">
        <f>IF(B100=1,$B$31,$B$32)</f>
        <v>152394.16214437486</v>
      </c>
      <c r="G100" s="13">
        <f>E100-F100</f>
        <v>102179.59727390765</v>
      </c>
      <c r="H100" s="13">
        <f>H99+G100</f>
        <v>1737053.1536564298</v>
      </c>
      <c r="I100">
        <f>IF(H100=MAX($H$83:$H$483),$A100,0)</f>
        <v>0</v>
      </c>
      <c r="J100">
        <f>IF(E100&lt;F100,$A100,B_MAX+1)</f>
        <v>401.0</v>
      </c>
      <c r="K100" s="13">
        <f>IF(B100=1,$B$35,$B$36)</f>
        <v>0</v>
      </c>
      <c r="L100" s="13">
        <f>OCC_DAYS*$B$41*R_NF_2023-D100*MCD_SHARE_FREED*R_WAIT_2023</f>
        <v>37367.159242427646</v>
      </c>
      <c r="M100">
        <f>IF($A100&lt;=$B$45,1,0)</f>
        <v>1</v>
      </c>
      <c r="AB100">
        <f>IF($AB$31&lt;=$AB$32,IF($A100&lt;=$AB$7,1,2),IF($A100&lt;=RUNG_BEDS_2,2,1))</f>
        <v>1</v>
      </c>
      <c r="AC100" s="5">
        <f>MIN(1,MAX(0,$AB$26-($A100-1)))</f>
        <v>1</v>
      </c>
      <c r="AD100" s="5">
        <f>$AB$25*(AC100+(1-AC100)*$AB$16)</f>
        <v>252.05322714681438</v>
      </c>
      <c r="AE100" s="13">
        <f>AD100*($AB$6+ACUTE_MARGIN)</f>
        <v>138629.2749307479</v>
      </c>
      <c r="AF100" s="13">
        <f>IF(AB100=1,$AB$31,$AB$32)</f>
        <v>152394.16214437486</v>
      </c>
      <c r="AG100" s="13">
        <f>AE100-AF100</f>
        <v>-13764.887213626964</v>
      </c>
      <c r="AH100" s="13">
        <f>AH99+AG100</f>
        <v>-234003.08263165838</v>
      </c>
      <c r="AI100">
        <f>IF(AH100=MAX($AH$83:$AH$483),$A100,0)</f>
        <v>0</v>
      </c>
      <c r="AJ100">
        <f>IF(AE100&lt;AF100,$A100,B_MAX+1)</f>
        <v>17</v>
      </c>
      <c r="AK100" s="13">
        <f>IF(AB100=1,$AB$35,$AB$36)</f>
        <v>0</v>
      </c>
      <c r="AL100" s="13">
        <f>OCC_DAYS*$AB$41*R_NF_2023-AD100*MCD_SHARE_FREED*R_WAIT_2023</f>
        <v>37367.159242427646</v>
      </c>
      <c r="AM100">
        <f>IF($A100&lt;=$AB$45,1,0)</f>
        <v>0</v>
      </c>
      <c r="BB100">
        <f>IF($BB$31&lt;=$BB$32,IF($A100&lt;=$BB$7,1,2),IF($A100&lt;=RUNG_BEDS_2,2,1))</f>
        <v>1</v>
      </c>
      <c r="BC100" s="5">
        <f>MIN(1,MAX(0,$BB$26-($A100-1)))</f>
        <v>1</v>
      </c>
      <c r="BD100" s="5">
        <f>$BB$25*(BC100+(1-BC100)*$BB$16)</f>
        <v>252.05322714681438</v>
      </c>
      <c r="BE100" s="13">
        <f>BD100*($BB$6+ACUTE_MARGIN)</f>
        <v>370518.24390581716</v>
      </c>
      <c r="BF100" s="13">
        <f>IF(BB100=1,$BB$31,$BB$32)</f>
        <v>152394.16214437486</v>
      </c>
      <c r="BG100" s="13">
        <f>BE100-BF100</f>
        <v>218124.0817614423</v>
      </c>
      <c r="BH100" s="13">
        <f>BH99+BG100</f>
        <v>3708109.389944518</v>
      </c>
      <c r="BI100">
        <f>IF(BH100=MAX($BH$83:$BH$483),$A100,0)</f>
        <v>0</v>
      </c>
      <c r="BJ100">
        <f>IF(BE100&lt;BF100,$A100,B_MAX+1)</f>
        <v>401.0</v>
      </c>
      <c r="BK100" s="13">
        <f>IF(BB100=1,$BB$35,$BB$36)</f>
        <v>0</v>
      </c>
      <c r="BL100" s="13">
        <f>OCC_DAYS*$BB$41*R_NF_2023-BD100*MCD_SHARE_FREED*R_WAIT_2023</f>
        <v>37367.159242427646</v>
      </c>
      <c r="BM100">
        <f>IF($A100&lt;=$BB$45,1,0)</f>
        <v>1</v>
      </c>
      <c r="CB100">
        <f>IF($CB$31&lt;=$CB$32,IF($A100&lt;=$CB$7,1,2),IF($A100&lt;=RUNG_BEDS_2,2,1))</f>
        <v>2</v>
      </c>
      <c r="CC100" s="5">
        <f>MIN(1,MAX(0,$CB$26-($A100-1)))</f>
        <v>1</v>
      </c>
      <c r="CD100" s="5">
        <f>$CB$25*(CC100+(1-CC100)*$CB$16)</f>
        <v>252.05322714681438</v>
      </c>
      <c r="CE100" s="13">
        <f>CD100*($CB$6+ACUTE_MARGIN)</f>
        <v>254573.7594182825</v>
      </c>
      <c r="CF100" s="13">
        <f>IF(CB100=1,$CB$31,$CB$32)</f>
        <v>160718.36940738867</v>
      </c>
      <c r="CG100" s="13">
        <f>CE100-CF100</f>
        <v>93855.39001089384</v>
      </c>
      <c r="CH100" s="13">
        <f>CH99+CG100</f>
        <v>1595541.630185195</v>
      </c>
      <c r="CI100">
        <f>IF(CH100=MAX($CH$83:$CH$483),$A100,0)</f>
        <v>0</v>
      </c>
      <c r="CJ100">
        <f>IF(CE100&lt;CF100,$A100,B_MAX+1)</f>
        <v>401.0</v>
      </c>
      <c r="CK100" s="13">
        <f>IF(CB100=1,$CB$35,$CB$36)</f>
        <v>1560.1194073886782</v>
      </c>
      <c r="CL100" s="13">
        <f>OCC_DAYS*$CB$41*R_NF_2023-CD100*MCD_SHARE_FREED*R_WAIT_2023</f>
        <v>37367.159242427646</v>
      </c>
      <c r="CM100">
        <f>IF($A100&lt;=$CB$45,1,0)</f>
        <v>1</v>
      </c>
      <c r="DB100">
        <f>IF($DB$31&lt;=$DB$32,IF($A100&lt;=$DB$7,1,2),IF($A100&lt;=RUNG_BEDS_2,2,1))</f>
        <v>1</v>
      </c>
      <c r="DC100" s="5">
        <f>MIN(1,MAX(0,$DB$26-($A100-1)))</f>
        <v>1</v>
      </c>
      <c r="DD100" s="5">
        <f>$DB$25*(DC100+(1-DC100)*$DB$16)</f>
        <v>252.05322714681438</v>
      </c>
      <c r="DE100" s="13">
        <f>DD100*($DB$6+ACUTE_MARGIN)</f>
        <v>254573.7594182825</v>
      </c>
      <c r="DF100" s="13">
        <f>IF(DB100=1,$DB$31,$DB$32)</f>
        <v>152394.16214437486</v>
      </c>
      <c r="DG100" s="13">
        <f>DE100-DF100</f>
        <v>102179.59727390765</v>
      </c>
      <c r="DH100" s="13">
        <f>DH99+DG100</f>
        <v>1737053.1536564298</v>
      </c>
      <c r="DI100">
        <f>IF(DH100=MAX($DH$83:$DH$483),$A100,0)</f>
        <v>0</v>
      </c>
      <c r="DJ100">
        <f>IF(DE100&lt;DF100,$A100,B_MAX+1)</f>
        <v>401.0</v>
      </c>
      <c r="DK100" s="13">
        <f>IF(DB100=1,$DB$35,$DB$36)</f>
        <v>0</v>
      </c>
      <c r="DL100" s="13">
        <f>OCC_DAYS*$DB$41*R_NF_2023-DD100*MCD_SHARE_FREED*R_WAIT_2023</f>
        <v>37367.159242427646</v>
      </c>
      <c r="DM100">
        <f>IF($A100&lt;=$DB$45,1,0)</f>
        <v>1</v>
      </c>
      <c r="EB100">
        <f>IF($EB$31&lt;=$EB$32,IF($A100&lt;=$EB$7,1,2),IF($A100&lt;=RUNG_BEDS_2,2,1))</f>
        <v>1</v>
      </c>
      <c r="EC100" s="5">
        <f>MIN(1,MAX(0,$EB$26-($A100-1)))</f>
        <v>1</v>
      </c>
      <c r="ED100" s="5">
        <f>$EB$25*(EC100+(1-EC100)*$EB$16)</f>
        <v>252.05322714681438</v>
      </c>
      <c r="EE100" s="13">
        <f>ED100*($EB$6+ACUTE_MARGIN)</f>
        <v>254573.7594182825</v>
      </c>
      <c r="EF100" s="13">
        <f>IF(EB100=1,$EB$31,$EB$32)</f>
        <v>152394.16214437486</v>
      </c>
      <c r="EG100" s="13">
        <f>EE100-EF100</f>
        <v>102179.59727390765</v>
      </c>
      <c r="EH100" s="13">
        <f>EH99+EG100</f>
        <v>1737053.1536564298</v>
      </c>
      <c r="EI100">
        <f>IF(EH100=MAX($EH$83:$EH$483),$A100,0)</f>
        <v>0</v>
      </c>
      <c r="EJ100">
        <f>IF(EE100&lt;EF100,$A100,B_MAX+1)</f>
        <v>401.0</v>
      </c>
      <c r="EK100" s="13">
        <f>IF(EB100=1,$EB$35,$EB$36)</f>
        <v>0</v>
      </c>
      <c r="EL100" s="13">
        <f>OCC_DAYS*$EB$41*R_NF_2023-ED100*MCD_SHARE_FREED*R_WAIT_2023</f>
        <v>-63953.16263896705</v>
      </c>
      <c r="EM100">
        <f>IF($A100&lt;=$EB$45,1,0)</f>
        <v>1</v>
      </c>
      <c r="FB100">
        <f>IF($FB$31&lt;=$FB$32,IF($A100&lt;=$FB$7,1,2),IF($A100&lt;=RUNG_BEDS_2,2,1))</f>
        <v>1</v>
      </c>
      <c r="FC100" s="5">
        <f>MIN(1,MAX(0,$FB$26-($A100-1)))</f>
        <v>1</v>
      </c>
      <c r="FD100" s="5">
        <f>$FB$25*(FC100+(1-FC100)*$FB$16)</f>
        <v>252.05322714681438</v>
      </c>
      <c r="FE100" s="13">
        <f>FD100*($FB$6+ACUTE_MARGIN)</f>
        <v>254573.7594182825</v>
      </c>
      <c r="FF100" s="13">
        <f>IF(FB100=1,$FB$31,$FB$32)</f>
        <v>156636.04979437485</v>
      </c>
      <c r="FG100" s="13">
        <f>FE100-FF100</f>
        <v>97937.70962390766</v>
      </c>
      <c r="FH100" s="13">
        <f>FH99+FG100</f>
        <v>1664941.0636064305</v>
      </c>
      <c r="FI100">
        <f>IF(FH100=MAX($FH$83:$FH$483),$A100,0)</f>
        <v>0</v>
      </c>
      <c r="FJ100">
        <f>IF(FE100&lt;FF100,$A100,B_MAX+1)</f>
        <v>401.0</v>
      </c>
      <c r="FK100" s="13">
        <f>IF(FB100=1,$FB$35,$FB$36)</f>
        <v>0</v>
      </c>
      <c r="FL100" s="13">
        <f>OCC_DAYS*$FB$41*R_NF_2023-FD100*MCD_SHARE_FREED*R_WAIT_2023</f>
        <v>37367.159242427646</v>
      </c>
      <c r="FM100">
        <f>IF($A100&lt;=$FB$45,1,0)</f>
        <v>1</v>
      </c>
      <c r="GB100">
        <f>IF($GB$31&lt;=$GB$32,IF($A100&lt;=$GB$7,1,2),IF($A100&lt;=RUNG_BEDS_2,2,1))</f>
        <v>1</v>
      </c>
      <c r="GC100" s="5">
        <f>MIN(1,MAX(0,$GB$26-($A100-1)))</f>
        <v>1</v>
      </c>
      <c r="GD100" s="5">
        <f>$GB$25*(GC100+(1-GC100)*$GB$16)</f>
        <v>252.05322714681438</v>
      </c>
      <c r="GE100" s="13">
        <f>GD100*($GB$6+ACUTE_MARGIN)</f>
        <v>254573.7594182825</v>
      </c>
      <c r="GF100" s="13">
        <f>IF(GB100=1,$GB$31,$GB$32)</f>
        <v>152394.16214437486</v>
      </c>
      <c r="GG100" s="13">
        <f>GE100-GF100</f>
        <v>102179.59727390765</v>
      </c>
      <c r="GH100" s="13">
        <f>GH99+GG100</f>
        <v>1737053.1536564298</v>
      </c>
      <c r="GI100">
        <f>IF(GH100=MAX($GH$83:$GH$483),$A100,0)</f>
        <v>0</v>
      </c>
      <c r="GJ100">
        <f>IF(GE100&lt;GF100,$A100,B_MAX+1)</f>
        <v>401.0</v>
      </c>
      <c r="GK100" s="13">
        <f>IF(GB100=1,$GB$35,$GB$36)</f>
        <v>0</v>
      </c>
      <c r="GL100" s="13">
        <f>OCC_DAYS*$GB$41*R_NF_2023-GD100*MCD_SHARE_FREED*R_WAIT_2023</f>
        <v>37367.159242427646</v>
      </c>
      <c r="GM100">
        <f>IF($A100&lt;=$GB$45,1,0)</f>
        <v>1</v>
      </c>
      <c r="HB100">
        <f>IF($HB$31&lt;=$HB$32,IF($A100&lt;=$HB$7,1,2),IF($A100&lt;=RUNG_BEDS_2,2,1))</f>
        <v>1</v>
      </c>
      <c r="HC100" s="5">
        <f>MIN(1,MAX(0,$HB$26-($A100-1)))</f>
        <v>1</v>
      </c>
      <c r="HD100" s="5">
        <f>$HB$25*(HC100+(1-HC100)*$HB$16)</f>
        <v>252.05322714681438</v>
      </c>
      <c r="HE100" s="13">
        <f>HD100*($HB$6+ACUTE_MARGIN)</f>
        <v>254573.7594182825</v>
      </c>
      <c r="HF100" s="13">
        <f>IF(HB100=1,$HB$31,$HB$32)</f>
        <v>152456.2970814058</v>
      </c>
      <c r="HG100" s="13">
        <f>HE100-HF100</f>
        <v>102117.46233687672</v>
      </c>
      <c r="HH100" s="13">
        <f>HH99+HG100</f>
        <v>1735996.8597269037</v>
      </c>
      <c r="HI100">
        <f>IF(HH100=MAX($HH$83:$HH$483),$A100,0)</f>
        <v>0</v>
      </c>
      <c r="HJ100">
        <f>IF(HE100&lt;HF100,$A100,B_MAX+1)</f>
        <v>401.0</v>
      </c>
      <c r="HK100" s="13">
        <f>IF(HB100=1,$HB$35,$HB$36)</f>
        <v>0</v>
      </c>
      <c r="HL100" s="13">
        <f>OCC_DAYS*$HB$41*R_NF_2023-HD100*MCD_SHARE_FREED*R_WAIT_2023</f>
        <v>37367.159242427646</v>
      </c>
      <c r="HM100">
        <f>IF($A100&lt;=$HB$45,1,0)</f>
        <v>1</v>
      </c>
      <c r="IB100">
        <f>IF($IB$31&lt;=$IB$32,IF($A100&lt;=$IB$7,1,2),IF($A100&lt;=RUNG_BEDS_2,2,1))</f>
        <v>1</v>
      </c>
      <c r="IC100" s="5">
        <f>MIN(1,MAX(0,$IB$26-($A100-1)))</f>
        <v>1</v>
      </c>
      <c r="ID100" s="5">
        <f>$IB$25*(IC100+(1-IC100)*$IB$16)</f>
        <v>252.05322714681438</v>
      </c>
      <c r="IE100" s="13">
        <f>ID100*($IB$6+ACUTE_MARGIN)</f>
        <v>254573.7594182825</v>
      </c>
      <c r="IF100" s="13">
        <f>IF(IB100=1,$IB$31,$IB$32)</f>
        <v>152734.9994534971</v>
      </c>
      <c r="IG100" s="13">
        <f>IE100-IF100</f>
        <v>101838.75996478542</v>
      </c>
      <c r="IH100" s="13">
        <f>IH99+IG100</f>
        <v>1731258.9194013528</v>
      </c>
      <c r="II100">
        <f>IF(IH100=MAX($IH$83:$IH$483),$A100,0)</f>
        <v>0</v>
      </c>
      <c r="IJ100">
        <f>IF(IE100&lt;IF100,$A100,B_MAX+1)</f>
        <v>401.0</v>
      </c>
      <c r="IK100" s="13">
        <f>IF(IB100=1,$IB$35,$IB$36)</f>
        <v>0</v>
      </c>
      <c r="IL100" s="13">
        <f>OCC_DAYS*$IB$41*R_NF_2023-ID100*MCD_SHARE_FREED*R_WAIT_2023</f>
        <v>37367.159242427646</v>
      </c>
      <c r="IM100">
        <f>IF($A100&lt;=$IB$45,1,0)</f>
        <v>1</v>
      </c>
      <c r="JB100">
        <f>IF($JB$31&lt;=$JB$32,IF($A100&lt;=$JB$7,1,2),IF($A100&lt;=RUNG_BEDS_2,2,1))</f>
        <v>1</v>
      </c>
      <c r="JC100" s="5">
        <f>MIN(1,MAX(0,$JB$26-($A100-1)))</f>
        <v>1</v>
      </c>
      <c r="JD100" s="5">
        <f>$JB$25*(JC100+(1-JC100)*$JB$16)</f>
        <v>252.05322714681438</v>
      </c>
      <c r="JE100" s="13">
        <f>JD100*($JB$6+ACUTE_MARGIN)</f>
        <v>254573.7594182825</v>
      </c>
      <c r="JF100" s="13">
        <f>IF(JB100=1,$JB$31,$JB$32)</f>
        <v>152394.16214437486</v>
      </c>
      <c r="JG100" s="13">
        <f>JE100-JF100</f>
        <v>102179.59727390765</v>
      </c>
      <c r="JH100" s="13">
        <f>JH99+JG100</f>
        <v>1737053.1536564298</v>
      </c>
      <c r="JI100">
        <f>IF(JH100=MAX($JH$83:$JH$483),$A100,0)</f>
        <v>0</v>
      </c>
      <c r="JJ100">
        <f>IF(JE100&lt;JF100,$A100,B_MAX+1)</f>
        <v>401.0</v>
      </c>
      <c r="JK100" s="13">
        <f>IF(JB100=1,$JB$35,$JB$36)</f>
        <v>0</v>
      </c>
      <c r="JL100" s="13">
        <f>OCC_DAYS*$JB$41*R_NF_2023-JD100*MCD_SHARE_FREED*R_WAIT_2023</f>
        <v>37367.159242427646</v>
      </c>
      <c r="JM100">
        <f>IF($A100&lt;=$JB$45,1,0)</f>
        <v>1</v>
      </c>
      <c r="KB100">
        <f>IF($KB$31&lt;=$KB$32,IF($A100&lt;=$KB$7,1,2),IF($A100&lt;=RUNG_BEDS_2,2,1))</f>
        <v>1</v>
      </c>
      <c r="KC100" s="5">
        <f>MIN(1,MAX(0,$KB$26-($A100-1)))</f>
        <v>1</v>
      </c>
      <c r="KD100" s="5">
        <f>$KB$25*(KC100+(1-KC100)*$KB$16)</f>
        <v>126.02661357340719</v>
      </c>
      <c r="KE100" s="13">
        <f>KD100*($KB$6+ACUTE_MARGIN)</f>
        <v>127286.87970914126</v>
      </c>
      <c r="KF100" s="13">
        <f>IF(KB100=1,$KB$31,$KB$32)</f>
        <v>152394.16214437486</v>
      </c>
      <c r="KG100" s="13">
        <f>KE100-KF100</f>
        <v>-25107.282435233603</v>
      </c>
      <c r="KH100" s="13">
        <f>KH99+KG100</f>
        <v>-426823.8013989711</v>
      </c>
      <c r="KI100">
        <f>IF(KH100=MAX($KH$83:$KH$483),$A100,0)</f>
        <v>0</v>
      </c>
      <c r="KJ100">
        <f>IF(KE100&lt;KF100,$A100,B_MAX+1)</f>
        <v>17</v>
      </c>
      <c r="KK100" s="13">
        <f>IF(KB100=1,$KB$35,$KB$36)</f>
        <v>0</v>
      </c>
      <c r="KL100" s="13">
        <f>OCC_DAYS*$KB$41*R_NF_2023-KD100*MCD_SHARE_FREED*R_WAIT_2023</f>
        <v>94673.82103225985</v>
      </c>
      <c r="KM100">
        <f>IF($A100&lt;=$KB$45,1,0)</f>
        <v>0</v>
      </c>
      <c r="LB100">
        <f>IF($LB$31&lt;=$LB$32,IF($A100&lt;=$LB$7,1,2),IF($A100&lt;=RUNG_BEDS_2,2,1))</f>
        <v>1</v>
      </c>
      <c r="LC100" s="5">
        <f>MIN(1,MAX(0,$LB$26-($A100-1)))</f>
        <v>1</v>
      </c>
      <c r="LD100" s="5">
        <f>$LB$25*(LC100+(1-LC100)*$LB$16)</f>
        <v>84.01774238227146</v>
      </c>
      <c r="LE100" s="13">
        <f>LD100*($LB$6+ACUTE_MARGIN)</f>
        <v>84857.91980609419</v>
      </c>
      <c r="LF100" s="13">
        <f>IF(LB100=1,$LB$31,$LB$32)</f>
        <v>152394.16214437486</v>
      </c>
      <c r="LG100" s="13">
        <f>LE100-LF100</f>
        <v>-67536.24233828067</v>
      </c>
      <c r="LH100" s="13">
        <f>LH99+LG100</f>
        <v>-1148116.1197507714</v>
      </c>
      <c r="LI100">
        <f>IF(LH100=MAX($LH$83:$LH$483),$A100,0)</f>
        <v>0</v>
      </c>
      <c r="LJ100">
        <f>IF(LE100&lt;LF100,$A100,B_MAX+1)</f>
        <v>17</v>
      </c>
      <c r="LK100" s="13">
        <f>IF(LB100=1,$LB$35,$LB$36)</f>
        <v>0</v>
      </c>
      <c r="LL100" s="13">
        <f>OCC_DAYS*$LB$41*R_NF_2023-LD100*MCD_SHARE_FREED*R_WAIT_2023</f>
        <v>113776.04162887059</v>
      </c>
      <c r="LM100">
        <f>IF($A100&lt;=$LB$45,1,0)</f>
        <v>0</v>
      </c>
      <c r="MB100">
        <f>IF($MB$31&lt;=$MB$32,IF($A100&lt;=$MB$7,1,2),IF($A100&lt;=RUNG_BEDS_2,2,1))</f>
        <v>1</v>
      </c>
      <c r="MC100" s="5">
        <f>MIN(1,MAX(0,$MB$26-($A100-1)))</f>
        <v>1</v>
      </c>
      <c r="MD100" s="5">
        <f>$MB$25*(MC100+(1-MC100)*$MB$16)</f>
        <v>213.44610951008647</v>
      </c>
      <c r="ME100" s="13">
        <f>MD100*($MB$6+ACUTE_MARGIN)</f>
        <v>215580.57060518733</v>
      </c>
      <c r="MF100" s="13">
        <f>IF(MB100=1,$MB$31,$MB$32)</f>
        <v>152394.16214437486</v>
      </c>
      <c r="MG100" s="13">
        <f>ME100-MF100</f>
        <v>63186.40846081247</v>
      </c>
      <c r="MH100" s="13">
        <f>MH99+MG100</f>
        <v>1074168.9438338114</v>
      </c>
      <c r="MI100">
        <f>IF(MH100=MAX($MH$83:$MH$483),$A100,0)</f>
        <v>0</v>
      </c>
      <c r="MJ100">
        <f>IF(ME100&lt;MF100,$A100,B_MAX+1)</f>
        <v>401.0</v>
      </c>
      <c r="MK100" s="13">
        <f>IF(MB100=1,$MB$35,$MB$36)</f>
        <v>0</v>
      </c>
      <c r="ML100" s="13">
        <f>OCC_DAYS*$MB$41*R_NF_2023-MD100*MCD_SHARE_FREED*R_WAIT_2023</f>
        <v>54922.538779778624</v>
      </c>
      <c r="MM100">
        <f>IF($A100&lt;=$MB$45,1,0)</f>
        <v>1</v>
      </c>
      <c r="NB100">
        <f>IF($NB$31&lt;=$NB$32,IF($A100&lt;=$NB$7,1,2),IF($A100&lt;=RUNG_BEDS_2,2,1))</f>
        <v>1</v>
      </c>
      <c r="NC100" s="5">
        <f>MIN(1,MAX(0,$NB$26-($A100-1)))</f>
        <v>1</v>
      </c>
      <c r="ND100" s="5">
        <f>$NB$25*(NC100+(1-NC100)*$NB$16)</f>
        <v>252.05322714681438</v>
      </c>
      <c r="NE100" s="13">
        <f>ND100*($NB$6+ACUTE_MARGIN)</f>
        <v>254573.7594182825</v>
      </c>
      <c r="NF100" s="13">
        <f>IF(NB100=1,$NB$31,$NB$32)</f>
        <v>152394.16214437486</v>
      </c>
      <c r="NG100" s="13">
        <f>NE100-NF100</f>
        <v>102179.59727390765</v>
      </c>
      <c r="NH100" s="13">
        <f>NH99+NG100</f>
        <v>1737053.1536564298</v>
      </c>
      <c r="NI100">
        <f>IF(NH100=MAX($NH$83:$NH$483),$A100,0)</f>
        <v>0</v>
      </c>
      <c r="NJ100">
        <f>IF(NE100&lt;NF100,$A100,B_MAX+1)</f>
        <v>401.0</v>
      </c>
      <c r="NK100" s="13">
        <f>IF(NB100=1,$NB$35,$NB$36)</f>
        <v>0</v>
      </c>
      <c r="NL100" s="13">
        <f>OCC_DAYS*$NB$41*R_NF_2023-ND100*MCD_SHARE_FREED*R_WAIT_2023</f>
        <v>37367.159242427646</v>
      </c>
      <c r="NM100">
        <f>IF($A100&lt;=$NB$45,1,0)</f>
        <v>1</v>
      </c>
      <c r="OB100">
        <f>IF($OB$31&lt;=$OB$32,IF($A100&lt;=$OB$7,1,2),IF($A100&lt;=RUNG_BEDS_2,2,1))</f>
        <v>1</v>
      </c>
      <c r="OC100" s="5">
        <f>MIN(1,MAX(0,$OB$26-($A100-1)))</f>
        <v>1</v>
      </c>
      <c r="OD100" s="5">
        <f>$OB$25*(OC100+(1-OC100)*$OB$16)</f>
        <v>252.05322714681438</v>
      </c>
      <c r="OE100" s="13">
        <f>OD100*($OB$6+ACUTE_MARGIN)</f>
        <v>254573.7594182825</v>
      </c>
      <c r="OF100" s="13">
        <f>IF(OB100=1,$OB$31,$OB$32)</f>
        <v>152394.16214437486</v>
      </c>
      <c r="OG100" s="13">
        <f>OE100-OF100</f>
        <v>102179.59727390765</v>
      </c>
      <c r="OH100" s="13">
        <f>OH99+OG100</f>
        <v>1737053.1536564298</v>
      </c>
      <c r="OI100">
        <f>IF(OH100=MAX($OH$83:$OH$483),$A100,0)</f>
        <v>0</v>
      </c>
      <c r="OJ100">
        <f>IF(OE100&lt;OF100,$A100,B_MAX+1)</f>
        <v>401.0</v>
      </c>
      <c r="OK100" s="13">
        <f>IF(OB100=1,$OB$35,$OB$36)</f>
        <v>0</v>
      </c>
      <c r="OL100" s="13">
        <f>OCC_DAYS*$OB$41*R_NF_2023-OD100*MCD_SHARE_FREED*R_WAIT_2023</f>
        <v>37367.159242427646</v>
      </c>
      <c r="OM100">
        <f>IF($A100&lt;=$OB$45,1,0)</f>
        <v>1</v>
      </c>
    </row>
    <row r="101">
      <c r="A101" t="n">
        <v>18</v>
      </c>
      <c r="B101">
        <f>IF($B$31&lt;=$B$32,IF($A101&lt;=$B$7,1,2),IF($A101&lt;=RUNG_BEDS_2,2,1))</f>
        <v>1</v>
      </c>
      <c r="C101" s="5">
        <f>MIN(1,MAX(0,$B$26-($A101-1)))</f>
        <v>1</v>
      </c>
      <c r="D101" s="5">
        <f>$B$25*(C101+(1-C101)*$B$16)</f>
        <v>252.05322714681438</v>
      </c>
      <c r="E101" s="13">
        <f>D101*($B$6+ACUTE_MARGIN)</f>
        <v>254573.7594182825</v>
      </c>
      <c r="F101" s="13">
        <f>IF(B101=1,$B$31,$B$32)</f>
        <v>152394.16214437486</v>
      </c>
      <c r="G101" s="13">
        <f>E101-F101</f>
        <v>102179.59727390765</v>
      </c>
      <c r="H101" s="13">
        <f>H100+G101</f>
        <v>1839232.7509303375</v>
      </c>
      <c r="I101">
        <f>IF(H101=MAX($H$83:$H$483),$A101,0)</f>
        <v>0</v>
      </c>
      <c r="J101">
        <f>IF(E101&lt;F101,$A101,B_MAX+1)</f>
        <v>401.0</v>
      </c>
      <c r="K101" s="13">
        <f>IF(B101=1,$B$35,$B$36)</f>
        <v>0</v>
      </c>
      <c r="L101" s="13">
        <f>OCC_DAYS*$B$41*R_NF_2023-D101*MCD_SHARE_FREED*R_WAIT_2023</f>
        <v>37367.159242427646</v>
      </c>
      <c r="M101">
        <f>IF($A101&lt;=$B$45,1,0)</f>
        <v>1</v>
      </c>
      <c r="AB101">
        <f>IF($AB$31&lt;=$AB$32,IF($A101&lt;=$AB$7,1,2),IF($A101&lt;=RUNG_BEDS_2,2,1))</f>
        <v>1</v>
      </c>
      <c r="AC101" s="5">
        <f>MIN(1,MAX(0,$AB$26-($A101-1)))</f>
        <v>1</v>
      </c>
      <c r="AD101" s="5">
        <f>$AB$25*(AC101+(1-AC101)*$AB$16)</f>
        <v>252.05322714681438</v>
      </c>
      <c r="AE101" s="13">
        <f>AD101*($AB$6+ACUTE_MARGIN)</f>
        <v>138629.2749307479</v>
      </c>
      <c r="AF101" s="13">
        <f>IF(AB101=1,$AB$31,$AB$32)</f>
        <v>152394.16214437486</v>
      </c>
      <c r="AG101" s="13">
        <f>AE101-AF101</f>
        <v>-13764.887213626964</v>
      </c>
      <c r="AH101" s="13">
        <f>AH100+AG101</f>
        <v>-247767.96984528535</v>
      </c>
      <c r="AI101">
        <f>IF(AH101=MAX($AH$83:$AH$483),$A101,0)</f>
        <v>0</v>
      </c>
      <c r="AJ101">
        <f>IF(AE101&lt;AF101,$A101,B_MAX+1)</f>
        <v>18</v>
      </c>
      <c r="AK101" s="13">
        <f>IF(AB101=1,$AB$35,$AB$36)</f>
        <v>0</v>
      </c>
      <c r="AL101" s="13">
        <f>OCC_DAYS*$AB$41*R_NF_2023-AD101*MCD_SHARE_FREED*R_WAIT_2023</f>
        <v>37367.159242427646</v>
      </c>
      <c r="AM101">
        <f>IF($A101&lt;=$AB$45,1,0)</f>
        <v>0</v>
      </c>
      <c r="BB101">
        <f>IF($BB$31&lt;=$BB$32,IF($A101&lt;=$BB$7,1,2),IF($A101&lt;=RUNG_BEDS_2,2,1))</f>
        <v>1</v>
      </c>
      <c r="BC101" s="5">
        <f>MIN(1,MAX(0,$BB$26-($A101-1)))</f>
        <v>1</v>
      </c>
      <c r="BD101" s="5">
        <f>$BB$25*(BC101+(1-BC101)*$BB$16)</f>
        <v>252.05322714681438</v>
      </c>
      <c r="BE101" s="13">
        <f>BD101*($BB$6+ACUTE_MARGIN)</f>
        <v>370518.24390581716</v>
      </c>
      <c r="BF101" s="13">
        <f>IF(BB101=1,$BB$31,$BB$32)</f>
        <v>152394.16214437486</v>
      </c>
      <c r="BG101" s="13">
        <f>BE101-BF101</f>
        <v>218124.0817614423</v>
      </c>
      <c r="BH101" s="13">
        <f>BH100+BG101</f>
        <v>3926233.47170596</v>
      </c>
      <c r="BI101">
        <f>IF(BH101=MAX($BH$83:$BH$483),$A101,0)</f>
        <v>0</v>
      </c>
      <c r="BJ101">
        <f>IF(BE101&lt;BF101,$A101,B_MAX+1)</f>
        <v>401.0</v>
      </c>
      <c r="BK101" s="13">
        <f>IF(BB101=1,$BB$35,$BB$36)</f>
        <v>0</v>
      </c>
      <c r="BL101" s="13">
        <f>OCC_DAYS*$BB$41*R_NF_2023-BD101*MCD_SHARE_FREED*R_WAIT_2023</f>
        <v>37367.159242427646</v>
      </c>
      <c r="BM101">
        <f>IF($A101&lt;=$BB$45,1,0)</f>
        <v>1</v>
      </c>
      <c r="CB101">
        <f>IF($CB$31&lt;=$CB$32,IF($A101&lt;=$CB$7,1,2),IF($A101&lt;=RUNG_BEDS_2,2,1))</f>
        <v>2</v>
      </c>
      <c r="CC101" s="5">
        <f>MIN(1,MAX(0,$CB$26-($A101-1)))</f>
        <v>1</v>
      </c>
      <c r="CD101" s="5">
        <f>$CB$25*(CC101+(1-CC101)*$CB$16)</f>
        <v>252.05322714681438</v>
      </c>
      <c r="CE101" s="13">
        <f>CD101*($CB$6+ACUTE_MARGIN)</f>
        <v>254573.7594182825</v>
      </c>
      <c r="CF101" s="13">
        <f>IF(CB101=1,$CB$31,$CB$32)</f>
        <v>160718.36940738867</v>
      </c>
      <c r="CG101" s="13">
        <f>CE101-CF101</f>
        <v>93855.39001089384</v>
      </c>
      <c r="CH101" s="13">
        <f>CH100+CG101</f>
        <v>1689397.0201960888</v>
      </c>
      <c r="CI101">
        <f>IF(CH101=MAX($CH$83:$CH$483),$A101,0)</f>
        <v>0</v>
      </c>
      <c r="CJ101">
        <f>IF(CE101&lt;CF101,$A101,B_MAX+1)</f>
        <v>401.0</v>
      </c>
      <c r="CK101" s="13">
        <f>IF(CB101=1,$CB$35,$CB$36)</f>
        <v>1560.1194073886782</v>
      </c>
      <c r="CL101" s="13">
        <f>OCC_DAYS*$CB$41*R_NF_2023-CD101*MCD_SHARE_FREED*R_WAIT_2023</f>
        <v>37367.159242427646</v>
      </c>
      <c r="CM101">
        <f>IF($A101&lt;=$CB$45,1,0)</f>
        <v>1</v>
      </c>
      <c r="DB101">
        <f>IF($DB$31&lt;=$DB$32,IF($A101&lt;=$DB$7,1,2),IF($A101&lt;=RUNG_BEDS_2,2,1))</f>
        <v>1</v>
      </c>
      <c r="DC101" s="5">
        <f>MIN(1,MAX(0,$DB$26-($A101-1)))</f>
        <v>1</v>
      </c>
      <c r="DD101" s="5">
        <f>$DB$25*(DC101+(1-DC101)*$DB$16)</f>
        <v>252.05322714681438</v>
      </c>
      <c r="DE101" s="13">
        <f>DD101*($DB$6+ACUTE_MARGIN)</f>
        <v>254573.7594182825</v>
      </c>
      <c r="DF101" s="13">
        <f>IF(DB101=1,$DB$31,$DB$32)</f>
        <v>152394.16214437486</v>
      </c>
      <c r="DG101" s="13">
        <f>DE101-DF101</f>
        <v>102179.59727390765</v>
      </c>
      <c r="DH101" s="13">
        <f>DH100+DG101</f>
        <v>1839232.7509303375</v>
      </c>
      <c r="DI101">
        <f>IF(DH101=MAX($DH$83:$DH$483),$A101,0)</f>
        <v>0</v>
      </c>
      <c r="DJ101">
        <f>IF(DE101&lt;DF101,$A101,B_MAX+1)</f>
        <v>401.0</v>
      </c>
      <c r="DK101" s="13">
        <f>IF(DB101=1,$DB$35,$DB$36)</f>
        <v>0</v>
      </c>
      <c r="DL101" s="13">
        <f>OCC_DAYS*$DB$41*R_NF_2023-DD101*MCD_SHARE_FREED*R_WAIT_2023</f>
        <v>37367.159242427646</v>
      </c>
      <c r="DM101">
        <f>IF($A101&lt;=$DB$45,1,0)</f>
        <v>1</v>
      </c>
      <c r="EB101">
        <f>IF($EB$31&lt;=$EB$32,IF($A101&lt;=$EB$7,1,2),IF($A101&lt;=RUNG_BEDS_2,2,1))</f>
        <v>1</v>
      </c>
      <c r="EC101" s="5">
        <f>MIN(1,MAX(0,$EB$26-($A101-1)))</f>
        <v>1</v>
      </c>
      <c r="ED101" s="5">
        <f>$EB$25*(EC101+(1-EC101)*$EB$16)</f>
        <v>252.05322714681438</v>
      </c>
      <c r="EE101" s="13">
        <f>ED101*($EB$6+ACUTE_MARGIN)</f>
        <v>254573.7594182825</v>
      </c>
      <c r="EF101" s="13">
        <f>IF(EB101=1,$EB$31,$EB$32)</f>
        <v>152394.16214437486</v>
      </c>
      <c r="EG101" s="13">
        <f>EE101-EF101</f>
        <v>102179.59727390765</v>
      </c>
      <c r="EH101" s="13">
        <f>EH100+EG101</f>
        <v>1839232.7509303375</v>
      </c>
      <c r="EI101">
        <f>IF(EH101=MAX($EH$83:$EH$483),$A101,0)</f>
        <v>0</v>
      </c>
      <c r="EJ101">
        <f>IF(EE101&lt;EF101,$A101,B_MAX+1)</f>
        <v>401.0</v>
      </c>
      <c r="EK101" s="13">
        <f>IF(EB101=1,$EB$35,$EB$36)</f>
        <v>0</v>
      </c>
      <c r="EL101" s="13">
        <f>OCC_DAYS*$EB$41*R_NF_2023-ED101*MCD_SHARE_FREED*R_WAIT_2023</f>
        <v>-63953.16263896705</v>
      </c>
      <c r="EM101">
        <f>IF($A101&lt;=$EB$45,1,0)</f>
        <v>1</v>
      </c>
      <c r="FB101">
        <f>IF($FB$31&lt;=$FB$32,IF($A101&lt;=$FB$7,1,2),IF($A101&lt;=RUNG_BEDS_2,2,1))</f>
        <v>1</v>
      </c>
      <c r="FC101" s="5">
        <f>MIN(1,MAX(0,$FB$26-($A101-1)))</f>
        <v>1</v>
      </c>
      <c r="FD101" s="5">
        <f>$FB$25*(FC101+(1-FC101)*$FB$16)</f>
        <v>252.05322714681438</v>
      </c>
      <c r="FE101" s="13">
        <f>FD101*($FB$6+ACUTE_MARGIN)</f>
        <v>254573.7594182825</v>
      </c>
      <c r="FF101" s="13">
        <f>IF(FB101=1,$FB$31,$FB$32)</f>
        <v>156636.04979437485</v>
      </c>
      <c r="FG101" s="13">
        <f>FE101-FF101</f>
        <v>97937.70962390766</v>
      </c>
      <c r="FH101" s="13">
        <f>FH100+FG101</f>
        <v>1762878.7732303382</v>
      </c>
      <c r="FI101">
        <f>IF(FH101=MAX($FH$83:$FH$483),$A101,0)</f>
        <v>0</v>
      </c>
      <c r="FJ101">
        <f>IF(FE101&lt;FF101,$A101,B_MAX+1)</f>
        <v>401.0</v>
      </c>
      <c r="FK101" s="13">
        <f>IF(FB101=1,$FB$35,$FB$36)</f>
        <v>0</v>
      </c>
      <c r="FL101" s="13">
        <f>OCC_DAYS*$FB$41*R_NF_2023-FD101*MCD_SHARE_FREED*R_WAIT_2023</f>
        <v>37367.159242427646</v>
      </c>
      <c r="FM101">
        <f>IF($A101&lt;=$FB$45,1,0)</f>
        <v>1</v>
      </c>
      <c r="GB101">
        <f>IF($GB$31&lt;=$GB$32,IF($A101&lt;=$GB$7,1,2),IF($A101&lt;=RUNG_BEDS_2,2,1))</f>
        <v>1</v>
      </c>
      <c r="GC101" s="5">
        <f>MIN(1,MAX(0,$GB$26-($A101-1)))</f>
        <v>1</v>
      </c>
      <c r="GD101" s="5">
        <f>$GB$25*(GC101+(1-GC101)*$GB$16)</f>
        <v>252.05322714681438</v>
      </c>
      <c r="GE101" s="13">
        <f>GD101*($GB$6+ACUTE_MARGIN)</f>
        <v>254573.7594182825</v>
      </c>
      <c r="GF101" s="13">
        <f>IF(GB101=1,$GB$31,$GB$32)</f>
        <v>152394.16214437486</v>
      </c>
      <c r="GG101" s="13">
        <f>GE101-GF101</f>
        <v>102179.59727390765</v>
      </c>
      <c r="GH101" s="13">
        <f>GH100+GG101</f>
        <v>1839232.7509303375</v>
      </c>
      <c r="GI101">
        <f>IF(GH101=MAX($GH$83:$GH$483),$A101,0)</f>
        <v>0</v>
      </c>
      <c r="GJ101">
        <f>IF(GE101&lt;GF101,$A101,B_MAX+1)</f>
        <v>401.0</v>
      </c>
      <c r="GK101" s="13">
        <f>IF(GB101=1,$GB$35,$GB$36)</f>
        <v>0</v>
      </c>
      <c r="GL101" s="13">
        <f>OCC_DAYS*$GB$41*R_NF_2023-GD101*MCD_SHARE_FREED*R_WAIT_2023</f>
        <v>37367.159242427646</v>
      </c>
      <c r="GM101">
        <f>IF($A101&lt;=$GB$45,1,0)</f>
        <v>1</v>
      </c>
      <c r="HB101">
        <f>IF($HB$31&lt;=$HB$32,IF($A101&lt;=$HB$7,1,2),IF($A101&lt;=RUNG_BEDS_2,2,1))</f>
        <v>1</v>
      </c>
      <c r="HC101" s="5">
        <f>MIN(1,MAX(0,$HB$26-($A101-1)))</f>
        <v>1</v>
      </c>
      <c r="HD101" s="5">
        <f>$HB$25*(HC101+(1-HC101)*$HB$16)</f>
        <v>252.05322714681438</v>
      </c>
      <c r="HE101" s="13">
        <f>HD101*($HB$6+ACUTE_MARGIN)</f>
        <v>254573.7594182825</v>
      </c>
      <c r="HF101" s="13">
        <f>IF(HB101=1,$HB$31,$HB$32)</f>
        <v>152456.2970814058</v>
      </c>
      <c r="HG101" s="13">
        <f>HE101-HF101</f>
        <v>102117.46233687672</v>
      </c>
      <c r="HH101" s="13">
        <f>HH100+HG101</f>
        <v>1838114.3220637804</v>
      </c>
      <c r="HI101">
        <f>IF(HH101=MAX($HH$83:$HH$483),$A101,0)</f>
        <v>0</v>
      </c>
      <c r="HJ101">
        <f>IF(HE101&lt;HF101,$A101,B_MAX+1)</f>
        <v>401.0</v>
      </c>
      <c r="HK101" s="13">
        <f>IF(HB101=1,$HB$35,$HB$36)</f>
        <v>0</v>
      </c>
      <c r="HL101" s="13">
        <f>OCC_DAYS*$HB$41*R_NF_2023-HD101*MCD_SHARE_FREED*R_WAIT_2023</f>
        <v>37367.159242427646</v>
      </c>
      <c r="HM101">
        <f>IF($A101&lt;=$HB$45,1,0)</f>
        <v>1</v>
      </c>
      <c r="IB101">
        <f>IF($IB$31&lt;=$IB$32,IF($A101&lt;=$IB$7,1,2),IF($A101&lt;=RUNG_BEDS_2,2,1))</f>
        <v>1</v>
      </c>
      <c r="IC101" s="5">
        <f>MIN(1,MAX(0,$IB$26-($A101-1)))</f>
        <v>1</v>
      </c>
      <c r="ID101" s="5">
        <f>$IB$25*(IC101+(1-IC101)*$IB$16)</f>
        <v>252.05322714681438</v>
      </c>
      <c r="IE101" s="13">
        <f>ID101*($IB$6+ACUTE_MARGIN)</f>
        <v>254573.7594182825</v>
      </c>
      <c r="IF101" s="13">
        <f>IF(IB101=1,$IB$31,$IB$32)</f>
        <v>152734.9994534971</v>
      </c>
      <c r="IG101" s="13">
        <f>IE101-IF101</f>
        <v>101838.75996478542</v>
      </c>
      <c r="IH101" s="13">
        <f>IH100+IG101</f>
        <v>1833097.6793661383</v>
      </c>
      <c r="II101">
        <f>IF(IH101=MAX($IH$83:$IH$483),$A101,0)</f>
        <v>0</v>
      </c>
      <c r="IJ101">
        <f>IF(IE101&lt;IF101,$A101,B_MAX+1)</f>
        <v>401.0</v>
      </c>
      <c r="IK101" s="13">
        <f>IF(IB101=1,$IB$35,$IB$36)</f>
        <v>0</v>
      </c>
      <c r="IL101" s="13">
        <f>OCC_DAYS*$IB$41*R_NF_2023-ID101*MCD_SHARE_FREED*R_WAIT_2023</f>
        <v>37367.159242427646</v>
      </c>
      <c r="IM101">
        <f>IF($A101&lt;=$IB$45,1,0)</f>
        <v>1</v>
      </c>
      <c r="JB101">
        <f>IF($JB$31&lt;=$JB$32,IF($A101&lt;=$JB$7,1,2),IF($A101&lt;=RUNG_BEDS_2,2,1))</f>
        <v>1</v>
      </c>
      <c r="JC101" s="5">
        <f>MIN(1,MAX(0,$JB$26-($A101-1)))</f>
        <v>1</v>
      </c>
      <c r="JD101" s="5">
        <f>$JB$25*(JC101+(1-JC101)*$JB$16)</f>
        <v>252.05322714681438</v>
      </c>
      <c r="JE101" s="13">
        <f>JD101*($JB$6+ACUTE_MARGIN)</f>
        <v>254573.7594182825</v>
      </c>
      <c r="JF101" s="13">
        <f>IF(JB101=1,$JB$31,$JB$32)</f>
        <v>152394.16214437486</v>
      </c>
      <c r="JG101" s="13">
        <f>JE101-JF101</f>
        <v>102179.59727390765</v>
      </c>
      <c r="JH101" s="13">
        <f>JH100+JG101</f>
        <v>1839232.7509303375</v>
      </c>
      <c r="JI101">
        <f>IF(JH101=MAX($JH$83:$JH$483),$A101,0)</f>
        <v>0</v>
      </c>
      <c r="JJ101">
        <f>IF(JE101&lt;JF101,$A101,B_MAX+1)</f>
        <v>401.0</v>
      </c>
      <c r="JK101" s="13">
        <f>IF(JB101=1,$JB$35,$JB$36)</f>
        <v>0</v>
      </c>
      <c r="JL101" s="13">
        <f>OCC_DAYS*$JB$41*R_NF_2023-JD101*MCD_SHARE_FREED*R_WAIT_2023</f>
        <v>37367.159242427646</v>
      </c>
      <c r="JM101">
        <f>IF($A101&lt;=$JB$45,1,0)</f>
        <v>1</v>
      </c>
      <c r="KB101">
        <f>IF($KB$31&lt;=$KB$32,IF($A101&lt;=$KB$7,1,2),IF($A101&lt;=RUNG_BEDS_2,2,1))</f>
        <v>1</v>
      </c>
      <c r="KC101" s="5">
        <f>MIN(1,MAX(0,$KB$26-($A101-1)))</f>
        <v>1</v>
      </c>
      <c r="KD101" s="5">
        <f>$KB$25*(KC101+(1-KC101)*$KB$16)</f>
        <v>126.02661357340719</v>
      </c>
      <c r="KE101" s="13">
        <f>KD101*($KB$6+ACUTE_MARGIN)</f>
        <v>127286.87970914126</v>
      </c>
      <c r="KF101" s="13">
        <f>IF(KB101=1,$KB$31,$KB$32)</f>
        <v>152394.16214437486</v>
      </c>
      <c r="KG101" s="13">
        <f>KE101-KF101</f>
        <v>-25107.282435233603</v>
      </c>
      <c r="KH101" s="13">
        <f>KH100+KG101</f>
        <v>-451931.0838342047</v>
      </c>
      <c r="KI101">
        <f>IF(KH101=MAX($KH$83:$KH$483),$A101,0)</f>
        <v>0</v>
      </c>
      <c r="KJ101">
        <f>IF(KE101&lt;KF101,$A101,B_MAX+1)</f>
        <v>18</v>
      </c>
      <c r="KK101" s="13">
        <f>IF(KB101=1,$KB$35,$KB$36)</f>
        <v>0</v>
      </c>
      <c r="KL101" s="13">
        <f>OCC_DAYS*$KB$41*R_NF_2023-KD101*MCD_SHARE_FREED*R_WAIT_2023</f>
        <v>94673.82103225985</v>
      </c>
      <c r="KM101">
        <f>IF($A101&lt;=$KB$45,1,0)</f>
        <v>0</v>
      </c>
      <c r="LB101">
        <f>IF($LB$31&lt;=$LB$32,IF($A101&lt;=$LB$7,1,2),IF($A101&lt;=RUNG_BEDS_2,2,1))</f>
        <v>1</v>
      </c>
      <c r="LC101" s="5">
        <f>MIN(1,MAX(0,$LB$26-($A101-1)))</f>
        <v>1</v>
      </c>
      <c r="LD101" s="5">
        <f>$LB$25*(LC101+(1-LC101)*$LB$16)</f>
        <v>84.01774238227146</v>
      </c>
      <c r="LE101" s="13">
        <f>LD101*($LB$6+ACUTE_MARGIN)</f>
        <v>84857.91980609419</v>
      </c>
      <c r="LF101" s="13">
        <f>IF(LB101=1,$LB$31,$LB$32)</f>
        <v>152394.16214437486</v>
      </c>
      <c r="LG101" s="13">
        <f>LE101-LF101</f>
        <v>-67536.24233828067</v>
      </c>
      <c r="LH101" s="13">
        <f>LH100+LG101</f>
        <v>-1215652.362089052</v>
      </c>
      <c r="LI101">
        <f>IF(LH101=MAX($LH$83:$LH$483),$A101,0)</f>
        <v>0</v>
      </c>
      <c r="LJ101">
        <f>IF(LE101&lt;LF101,$A101,B_MAX+1)</f>
        <v>18</v>
      </c>
      <c r="LK101" s="13">
        <f>IF(LB101=1,$LB$35,$LB$36)</f>
        <v>0</v>
      </c>
      <c r="LL101" s="13">
        <f>OCC_DAYS*$LB$41*R_NF_2023-LD101*MCD_SHARE_FREED*R_WAIT_2023</f>
        <v>113776.04162887059</v>
      </c>
      <c r="LM101">
        <f>IF($A101&lt;=$LB$45,1,0)</f>
        <v>0</v>
      </c>
      <c r="MB101">
        <f>IF($MB$31&lt;=$MB$32,IF($A101&lt;=$MB$7,1,2),IF($A101&lt;=RUNG_BEDS_2,2,1))</f>
        <v>1</v>
      </c>
      <c r="MC101" s="5">
        <f>MIN(1,MAX(0,$MB$26-($A101-1)))</f>
        <v>1</v>
      </c>
      <c r="MD101" s="5">
        <f>$MB$25*(MC101+(1-MC101)*$MB$16)</f>
        <v>213.44610951008647</v>
      </c>
      <c r="ME101" s="13">
        <f>MD101*($MB$6+ACUTE_MARGIN)</f>
        <v>215580.57060518733</v>
      </c>
      <c r="MF101" s="13">
        <f>IF(MB101=1,$MB$31,$MB$32)</f>
        <v>152394.16214437486</v>
      </c>
      <c r="MG101" s="13">
        <f>ME101-MF101</f>
        <v>63186.40846081247</v>
      </c>
      <c r="MH101" s="13">
        <f>MH100+MG101</f>
        <v>1137355.3522946239</v>
      </c>
      <c r="MI101">
        <f>IF(MH101=MAX($MH$83:$MH$483),$A101,0)</f>
        <v>0</v>
      </c>
      <c r="MJ101">
        <f>IF(ME101&lt;MF101,$A101,B_MAX+1)</f>
        <v>401.0</v>
      </c>
      <c r="MK101" s="13">
        <f>IF(MB101=1,$MB$35,$MB$36)</f>
        <v>0</v>
      </c>
      <c r="ML101" s="13">
        <f>OCC_DAYS*$MB$41*R_NF_2023-MD101*MCD_SHARE_FREED*R_WAIT_2023</f>
        <v>54922.538779778624</v>
      </c>
      <c r="MM101">
        <f>IF($A101&lt;=$MB$45,1,0)</f>
        <v>1</v>
      </c>
      <c r="NB101">
        <f>IF($NB$31&lt;=$NB$32,IF($A101&lt;=$NB$7,1,2),IF($A101&lt;=RUNG_BEDS_2,2,1))</f>
        <v>1</v>
      </c>
      <c r="NC101" s="5">
        <f>MIN(1,MAX(0,$NB$26-($A101-1)))</f>
        <v>1</v>
      </c>
      <c r="ND101" s="5">
        <f>$NB$25*(NC101+(1-NC101)*$NB$16)</f>
        <v>252.05322714681438</v>
      </c>
      <c r="NE101" s="13">
        <f>ND101*($NB$6+ACUTE_MARGIN)</f>
        <v>254573.7594182825</v>
      </c>
      <c r="NF101" s="13">
        <f>IF(NB101=1,$NB$31,$NB$32)</f>
        <v>152394.16214437486</v>
      </c>
      <c r="NG101" s="13">
        <f>NE101-NF101</f>
        <v>102179.59727390765</v>
      </c>
      <c r="NH101" s="13">
        <f>NH100+NG101</f>
        <v>1839232.7509303375</v>
      </c>
      <c r="NI101">
        <f>IF(NH101=MAX($NH$83:$NH$483),$A101,0)</f>
        <v>0</v>
      </c>
      <c r="NJ101">
        <f>IF(NE101&lt;NF101,$A101,B_MAX+1)</f>
        <v>401.0</v>
      </c>
      <c r="NK101" s="13">
        <f>IF(NB101=1,$NB$35,$NB$36)</f>
        <v>0</v>
      </c>
      <c r="NL101" s="13">
        <f>OCC_DAYS*$NB$41*R_NF_2023-ND101*MCD_SHARE_FREED*R_WAIT_2023</f>
        <v>37367.159242427646</v>
      </c>
      <c r="NM101">
        <f>IF($A101&lt;=$NB$45,1,0)</f>
        <v>1</v>
      </c>
      <c r="OB101">
        <f>IF($OB$31&lt;=$OB$32,IF($A101&lt;=$OB$7,1,2),IF($A101&lt;=RUNG_BEDS_2,2,1))</f>
        <v>1</v>
      </c>
      <c r="OC101" s="5">
        <f>MIN(1,MAX(0,$OB$26-($A101-1)))</f>
        <v>1</v>
      </c>
      <c r="OD101" s="5">
        <f>$OB$25*(OC101+(1-OC101)*$OB$16)</f>
        <v>252.05322714681438</v>
      </c>
      <c r="OE101" s="13">
        <f>OD101*($OB$6+ACUTE_MARGIN)</f>
        <v>254573.7594182825</v>
      </c>
      <c r="OF101" s="13">
        <f>IF(OB101=1,$OB$31,$OB$32)</f>
        <v>152394.16214437486</v>
      </c>
      <c r="OG101" s="13">
        <f>OE101-OF101</f>
        <v>102179.59727390765</v>
      </c>
      <c r="OH101" s="13">
        <f>OH100+OG101</f>
        <v>1839232.7509303375</v>
      </c>
      <c r="OI101">
        <f>IF(OH101=MAX($OH$83:$OH$483),$A101,0)</f>
        <v>0</v>
      </c>
      <c r="OJ101">
        <f>IF(OE101&lt;OF101,$A101,B_MAX+1)</f>
        <v>401.0</v>
      </c>
      <c r="OK101" s="13">
        <f>IF(OB101=1,$OB$35,$OB$36)</f>
        <v>0</v>
      </c>
      <c r="OL101" s="13">
        <f>OCC_DAYS*$OB$41*R_NF_2023-OD101*MCD_SHARE_FREED*R_WAIT_2023</f>
        <v>37367.159242427646</v>
      </c>
      <c r="OM101">
        <f>IF($A101&lt;=$OB$45,1,0)</f>
        <v>1</v>
      </c>
    </row>
    <row r="102">
      <c r="A102" t="n">
        <v>19</v>
      </c>
      <c r="B102">
        <f>IF($B$31&lt;=$B$32,IF($A102&lt;=$B$7,1,2),IF($A102&lt;=RUNG_BEDS_2,2,1))</f>
        <v>1</v>
      </c>
      <c r="C102" s="5">
        <f>MIN(1,MAX(0,$B$26-($A102-1)))</f>
        <v>1</v>
      </c>
      <c r="D102" s="5">
        <f>$B$25*(C102+(1-C102)*$B$16)</f>
        <v>252.05322714681438</v>
      </c>
      <c r="E102" s="13">
        <f>D102*($B$6+ACUTE_MARGIN)</f>
        <v>254573.7594182825</v>
      </c>
      <c r="F102" s="13">
        <f>IF(B102=1,$B$31,$B$32)</f>
        <v>152394.16214437486</v>
      </c>
      <c r="G102" s="13">
        <f>E102-F102</f>
        <v>102179.59727390765</v>
      </c>
      <c r="H102" s="13">
        <f>H101+G102</f>
        <v>1941412.348204245</v>
      </c>
      <c r="I102">
        <f>IF(H102=MAX($H$83:$H$483),$A102,0)</f>
        <v>0</v>
      </c>
      <c r="J102">
        <f>IF(E102&lt;F102,$A102,B_MAX+1)</f>
        <v>401.0</v>
      </c>
      <c r="K102" s="13">
        <f>IF(B102=1,$B$35,$B$36)</f>
        <v>0</v>
      </c>
      <c r="L102" s="13">
        <f>OCC_DAYS*$B$41*R_NF_2023-D102*MCD_SHARE_FREED*R_WAIT_2023</f>
        <v>37367.159242427646</v>
      </c>
      <c r="M102">
        <f>IF($A102&lt;=$B$45,1,0)</f>
        <v>1</v>
      </c>
      <c r="AB102">
        <f>IF($AB$31&lt;=$AB$32,IF($A102&lt;=$AB$7,1,2),IF($A102&lt;=RUNG_BEDS_2,2,1))</f>
        <v>1</v>
      </c>
      <c r="AC102" s="5">
        <f>MIN(1,MAX(0,$AB$26-($A102-1)))</f>
        <v>1</v>
      </c>
      <c r="AD102" s="5">
        <f>$AB$25*(AC102+(1-AC102)*$AB$16)</f>
        <v>252.05322714681438</v>
      </c>
      <c r="AE102" s="13">
        <f>AD102*($AB$6+ACUTE_MARGIN)</f>
        <v>138629.2749307479</v>
      </c>
      <c r="AF102" s="13">
        <f>IF(AB102=1,$AB$31,$AB$32)</f>
        <v>152394.16214437486</v>
      </c>
      <c r="AG102" s="13">
        <f>AE102-AF102</f>
        <v>-13764.887213626964</v>
      </c>
      <c r="AH102" s="13">
        <f>AH101+AG102</f>
        <v>-261532.8570589123</v>
      </c>
      <c r="AI102">
        <f>IF(AH102=MAX($AH$83:$AH$483),$A102,0)</f>
        <v>0</v>
      </c>
      <c r="AJ102">
        <f>IF(AE102&lt;AF102,$A102,B_MAX+1)</f>
        <v>19</v>
      </c>
      <c r="AK102" s="13">
        <f>IF(AB102=1,$AB$35,$AB$36)</f>
        <v>0</v>
      </c>
      <c r="AL102" s="13">
        <f>OCC_DAYS*$AB$41*R_NF_2023-AD102*MCD_SHARE_FREED*R_WAIT_2023</f>
        <v>37367.159242427646</v>
      </c>
      <c r="AM102">
        <f>IF($A102&lt;=$AB$45,1,0)</f>
        <v>0</v>
      </c>
      <c r="BB102">
        <f>IF($BB$31&lt;=$BB$32,IF($A102&lt;=$BB$7,1,2),IF($A102&lt;=RUNG_BEDS_2,2,1))</f>
        <v>1</v>
      </c>
      <c r="BC102" s="5">
        <f>MIN(1,MAX(0,$BB$26-($A102-1)))</f>
        <v>1</v>
      </c>
      <c r="BD102" s="5">
        <f>$BB$25*(BC102+(1-BC102)*$BB$16)</f>
        <v>252.05322714681438</v>
      </c>
      <c r="BE102" s="13">
        <f>BD102*($BB$6+ACUTE_MARGIN)</f>
        <v>370518.24390581716</v>
      </c>
      <c r="BF102" s="13">
        <f>IF(BB102=1,$BB$31,$BB$32)</f>
        <v>152394.16214437486</v>
      </c>
      <c r="BG102" s="13">
        <f>BE102-BF102</f>
        <v>218124.0817614423</v>
      </c>
      <c r="BH102" s="13">
        <f>BH101+BG102</f>
        <v>4144357.5534674022</v>
      </c>
      <c r="BI102">
        <f>IF(BH102=MAX($BH$83:$BH$483),$A102,0)</f>
        <v>0</v>
      </c>
      <c r="BJ102">
        <f>IF(BE102&lt;BF102,$A102,B_MAX+1)</f>
        <v>401.0</v>
      </c>
      <c r="BK102" s="13">
        <f>IF(BB102=1,$BB$35,$BB$36)</f>
        <v>0</v>
      </c>
      <c r="BL102" s="13">
        <f>OCC_DAYS*$BB$41*R_NF_2023-BD102*MCD_SHARE_FREED*R_WAIT_2023</f>
        <v>37367.159242427646</v>
      </c>
      <c r="BM102">
        <f>IF($A102&lt;=$BB$45,1,0)</f>
        <v>1</v>
      </c>
      <c r="CB102">
        <f>IF($CB$31&lt;=$CB$32,IF($A102&lt;=$CB$7,1,2),IF($A102&lt;=RUNG_BEDS_2,2,1))</f>
        <v>2</v>
      </c>
      <c r="CC102" s="5">
        <f>MIN(1,MAX(0,$CB$26-($A102-1)))</f>
        <v>1</v>
      </c>
      <c r="CD102" s="5">
        <f>$CB$25*(CC102+(1-CC102)*$CB$16)</f>
        <v>252.05322714681438</v>
      </c>
      <c r="CE102" s="13">
        <f>CD102*($CB$6+ACUTE_MARGIN)</f>
        <v>254573.7594182825</v>
      </c>
      <c r="CF102" s="13">
        <f>IF(CB102=1,$CB$31,$CB$32)</f>
        <v>160718.36940738867</v>
      </c>
      <c r="CG102" s="13">
        <f>CE102-CF102</f>
        <v>93855.39001089384</v>
      </c>
      <c r="CH102" s="13">
        <f>CH101+CG102</f>
        <v>1783252.4102069826</v>
      </c>
      <c r="CI102">
        <f>IF(CH102=MAX($CH$83:$CH$483),$A102,0)</f>
        <v>0</v>
      </c>
      <c r="CJ102">
        <f>IF(CE102&lt;CF102,$A102,B_MAX+1)</f>
        <v>401.0</v>
      </c>
      <c r="CK102" s="13">
        <f>IF(CB102=1,$CB$35,$CB$36)</f>
        <v>1560.1194073886782</v>
      </c>
      <c r="CL102" s="13">
        <f>OCC_DAYS*$CB$41*R_NF_2023-CD102*MCD_SHARE_FREED*R_WAIT_2023</f>
        <v>37367.159242427646</v>
      </c>
      <c r="CM102">
        <f>IF($A102&lt;=$CB$45,1,0)</f>
        <v>1</v>
      </c>
      <c r="DB102">
        <f>IF($DB$31&lt;=$DB$32,IF($A102&lt;=$DB$7,1,2),IF($A102&lt;=RUNG_BEDS_2,2,1))</f>
        <v>1</v>
      </c>
      <c r="DC102" s="5">
        <f>MIN(1,MAX(0,$DB$26-($A102-1)))</f>
        <v>1</v>
      </c>
      <c r="DD102" s="5">
        <f>$DB$25*(DC102+(1-DC102)*$DB$16)</f>
        <v>252.05322714681438</v>
      </c>
      <c r="DE102" s="13">
        <f>DD102*($DB$6+ACUTE_MARGIN)</f>
        <v>254573.7594182825</v>
      </c>
      <c r="DF102" s="13">
        <f>IF(DB102=1,$DB$31,$DB$32)</f>
        <v>152394.16214437486</v>
      </c>
      <c r="DG102" s="13">
        <f>DE102-DF102</f>
        <v>102179.59727390765</v>
      </c>
      <c r="DH102" s="13">
        <f>DH101+DG102</f>
        <v>1941412.348204245</v>
      </c>
      <c r="DI102">
        <f>IF(DH102=MAX($DH$83:$DH$483),$A102,0)</f>
        <v>0</v>
      </c>
      <c r="DJ102">
        <f>IF(DE102&lt;DF102,$A102,B_MAX+1)</f>
        <v>401.0</v>
      </c>
      <c r="DK102" s="13">
        <f>IF(DB102=1,$DB$35,$DB$36)</f>
        <v>0</v>
      </c>
      <c r="DL102" s="13">
        <f>OCC_DAYS*$DB$41*R_NF_2023-DD102*MCD_SHARE_FREED*R_WAIT_2023</f>
        <v>37367.159242427646</v>
      </c>
      <c r="DM102">
        <f>IF($A102&lt;=$DB$45,1,0)</f>
        <v>1</v>
      </c>
      <c r="EB102">
        <f>IF($EB$31&lt;=$EB$32,IF($A102&lt;=$EB$7,1,2),IF($A102&lt;=RUNG_BEDS_2,2,1))</f>
        <v>1</v>
      </c>
      <c r="EC102" s="5">
        <f>MIN(1,MAX(0,$EB$26-($A102-1)))</f>
        <v>1</v>
      </c>
      <c r="ED102" s="5">
        <f>$EB$25*(EC102+(1-EC102)*$EB$16)</f>
        <v>252.05322714681438</v>
      </c>
      <c r="EE102" s="13">
        <f>ED102*($EB$6+ACUTE_MARGIN)</f>
        <v>254573.7594182825</v>
      </c>
      <c r="EF102" s="13">
        <f>IF(EB102=1,$EB$31,$EB$32)</f>
        <v>152394.16214437486</v>
      </c>
      <c r="EG102" s="13">
        <f>EE102-EF102</f>
        <v>102179.59727390765</v>
      </c>
      <c r="EH102" s="13">
        <f>EH101+EG102</f>
        <v>1941412.348204245</v>
      </c>
      <c r="EI102">
        <f>IF(EH102=MAX($EH$83:$EH$483),$A102,0)</f>
        <v>0</v>
      </c>
      <c r="EJ102">
        <f>IF(EE102&lt;EF102,$A102,B_MAX+1)</f>
        <v>401.0</v>
      </c>
      <c r="EK102" s="13">
        <f>IF(EB102=1,$EB$35,$EB$36)</f>
        <v>0</v>
      </c>
      <c r="EL102" s="13">
        <f>OCC_DAYS*$EB$41*R_NF_2023-ED102*MCD_SHARE_FREED*R_WAIT_2023</f>
        <v>-63953.16263896705</v>
      </c>
      <c r="EM102">
        <f>IF($A102&lt;=$EB$45,1,0)</f>
        <v>1</v>
      </c>
      <c r="FB102">
        <f>IF($FB$31&lt;=$FB$32,IF($A102&lt;=$FB$7,1,2),IF($A102&lt;=RUNG_BEDS_2,2,1))</f>
        <v>1</v>
      </c>
      <c r="FC102" s="5">
        <f>MIN(1,MAX(0,$FB$26-($A102-1)))</f>
        <v>1</v>
      </c>
      <c r="FD102" s="5">
        <f>$FB$25*(FC102+(1-FC102)*$FB$16)</f>
        <v>252.05322714681438</v>
      </c>
      <c r="FE102" s="13">
        <f>FD102*($FB$6+ACUTE_MARGIN)</f>
        <v>254573.7594182825</v>
      </c>
      <c r="FF102" s="13">
        <f>IF(FB102=1,$FB$31,$FB$32)</f>
        <v>156636.04979437485</v>
      </c>
      <c r="FG102" s="13">
        <f>FE102-FF102</f>
        <v>97937.70962390766</v>
      </c>
      <c r="FH102" s="13">
        <f>FH101+FG102</f>
        <v>1860816.482854246</v>
      </c>
      <c r="FI102">
        <f>IF(FH102=MAX($FH$83:$FH$483),$A102,0)</f>
        <v>0</v>
      </c>
      <c r="FJ102">
        <f>IF(FE102&lt;FF102,$A102,B_MAX+1)</f>
        <v>401.0</v>
      </c>
      <c r="FK102" s="13">
        <f>IF(FB102=1,$FB$35,$FB$36)</f>
        <v>0</v>
      </c>
      <c r="FL102" s="13">
        <f>OCC_DAYS*$FB$41*R_NF_2023-FD102*MCD_SHARE_FREED*R_WAIT_2023</f>
        <v>37367.159242427646</v>
      </c>
      <c r="FM102">
        <f>IF($A102&lt;=$FB$45,1,0)</f>
        <v>1</v>
      </c>
      <c r="GB102">
        <f>IF($GB$31&lt;=$GB$32,IF($A102&lt;=$GB$7,1,2),IF($A102&lt;=RUNG_BEDS_2,2,1))</f>
        <v>1</v>
      </c>
      <c r="GC102" s="5">
        <f>MIN(1,MAX(0,$GB$26-($A102-1)))</f>
        <v>1</v>
      </c>
      <c r="GD102" s="5">
        <f>$GB$25*(GC102+(1-GC102)*$GB$16)</f>
        <v>252.05322714681438</v>
      </c>
      <c r="GE102" s="13">
        <f>GD102*($GB$6+ACUTE_MARGIN)</f>
        <v>254573.7594182825</v>
      </c>
      <c r="GF102" s="13">
        <f>IF(GB102=1,$GB$31,$GB$32)</f>
        <v>152394.16214437486</v>
      </c>
      <c r="GG102" s="13">
        <f>GE102-GF102</f>
        <v>102179.59727390765</v>
      </c>
      <c r="GH102" s="13">
        <f>GH101+GG102</f>
        <v>1941412.348204245</v>
      </c>
      <c r="GI102">
        <f>IF(GH102=MAX($GH$83:$GH$483),$A102,0)</f>
        <v>0</v>
      </c>
      <c r="GJ102">
        <f>IF(GE102&lt;GF102,$A102,B_MAX+1)</f>
        <v>401.0</v>
      </c>
      <c r="GK102" s="13">
        <f>IF(GB102=1,$GB$35,$GB$36)</f>
        <v>0</v>
      </c>
      <c r="GL102" s="13">
        <f>OCC_DAYS*$GB$41*R_NF_2023-GD102*MCD_SHARE_FREED*R_WAIT_2023</f>
        <v>37367.159242427646</v>
      </c>
      <c r="GM102">
        <f>IF($A102&lt;=$GB$45,1,0)</f>
        <v>1</v>
      </c>
      <c r="HB102">
        <f>IF($HB$31&lt;=$HB$32,IF($A102&lt;=$HB$7,1,2),IF($A102&lt;=RUNG_BEDS_2,2,1))</f>
        <v>1</v>
      </c>
      <c r="HC102" s="5">
        <f>MIN(1,MAX(0,$HB$26-($A102-1)))</f>
        <v>1</v>
      </c>
      <c r="HD102" s="5">
        <f>$HB$25*(HC102+(1-HC102)*$HB$16)</f>
        <v>252.05322714681438</v>
      </c>
      <c r="HE102" s="13">
        <f>HD102*($HB$6+ACUTE_MARGIN)</f>
        <v>254573.7594182825</v>
      </c>
      <c r="HF102" s="13">
        <f>IF(HB102=1,$HB$31,$HB$32)</f>
        <v>152456.2970814058</v>
      </c>
      <c r="HG102" s="13">
        <f>HE102-HF102</f>
        <v>102117.46233687672</v>
      </c>
      <c r="HH102" s="13">
        <f>HH101+HG102</f>
        <v>1940231.784400657</v>
      </c>
      <c r="HI102">
        <f>IF(HH102=MAX($HH$83:$HH$483),$A102,0)</f>
        <v>0</v>
      </c>
      <c r="HJ102">
        <f>IF(HE102&lt;HF102,$A102,B_MAX+1)</f>
        <v>401.0</v>
      </c>
      <c r="HK102" s="13">
        <f>IF(HB102=1,$HB$35,$HB$36)</f>
        <v>0</v>
      </c>
      <c r="HL102" s="13">
        <f>OCC_DAYS*$HB$41*R_NF_2023-HD102*MCD_SHARE_FREED*R_WAIT_2023</f>
        <v>37367.159242427646</v>
      </c>
      <c r="HM102">
        <f>IF($A102&lt;=$HB$45,1,0)</f>
        <v>1</v>
      </c>
      <c r="IB102">
        <f>IF($IB$31&lt;=$IB$32,IF($A102&lt;=$IB$7,1,2),IF($A102&lt;=RUNG_BEDS_2,2,1))</f>
        <v>1</v>
      </c>
      <c r="IC102" s="5">
        <f>MIN(1,MAX(0,$IB$26-($A102-1)))</f>
        <v>1</v>
      </c>
      <c r="ID102" s="5">
        <f>$IB$25*(IC102+(1-IC102)*$IB$16)</f>
        <v>252.05322714681438</v>
      </c>
      <c r="IE102" s="13">
        <f>ID102*($IB$6+ACUTE_MARGIN)</f>
        <v>254573.7594182825</v>
      </c>
      <c r="IF102" s="13">
        <f>IF(IB102=1,$IB$31,$IB$32)</f>
        <v>152734.9994534971</v>
      </c>
      <c r="IG102" s="13">
        <f>IE102-IF102</f>
        <v>101838.75996478542</v>
      </c>
      <c r="IH102" s="13">
        <f>IH101+IG102</f>
        <v>1934936.4393309238</v>
      </c>
      <c r="II102">
        <f>IF(IH102=MAX($IH$83:$IH$483),$A102,0)</f>
        <v>0</v>
      </c>
      <c r="IJ102">
        <f>IF(IE102&lt;IF102,$A102,B_MAX+1)</f>
        <v>401.0</v>
      </c>
      <c r="IK102" s="13">
        <f>IF(IB102=1,$IB$35,$IB$36)</f>
        <v>0</v>
      </c>
      <c r="IL102" s="13">
        <f>OCC_DAYS*$IB$41*R_NF_2023-ID102*MCD_SHARE_FREED*R_WAIT_2023</f>
        <v>37367.159242427646</v>
      </c>
      <c r="IM102">
        <f>IF($A102&lt;=$IB$45,1,0)</f>
        <v>1</v>
      </c>
      <c r="JB102">
        <f>IF($JB$31&lt;=$JB$32,IF($A102&lt;=$JB$7,1,2),IF($A102&lt;=RUNG_BEDS_2,2,1))</f>
        <v>1</v>
      </c>
      <c r="JC102" s="5">
        <f>MIN(1,MAX(0,$JB$26-($A102-1)))</f>
        <v>1</v>
      </c>
      <c r="JD102" s="5">
        <f>$JB$25*(JC102+(1-JC102)*$JB$16)</f>
        <v>252.05322714681438</v>
      </c>
      <c r="JE102" s="13">
        <f>JD102*($JB$6+ACUTE_MARGIN)</f>
        <v>254573.7594182825</v>
      </c>
      <c r="JF102" s="13">
        <f>IF(JB102=1,$JB$31,$JB$32)</f>
        <v>152394.16214437486</v>
      </c>
      <c r="JG102" s="13">
        <f>JE102-JF102</f>
        <v>102179.59727390765</v>
      </c>
      <c r="JH102" s="13">
        <f>JH101+JG102</f>
        <v>1941412.348204245</v>
      </c>
      <c r="JI102">
        <f>IF(JH102=MAX($JH$83:$JH$483),$A102,0)</f>
        <v>0</v>
      </c>
      <c r="JJ102">
        <f>IF(JE102&lt;JF102,$A102,B_MAX+1)</f>
        <v>401.0</v>
      </c>
      <c r="JK102" s="13">
        <f>IF(JB102=1,$JB$35,$JB$36)</f>
        <v>0</v>
      </c>
      <c r="JL102" s="13">
        <f>OCC_DAYS*$JB$41*R_NF_2023-JD102*MCD_SHARE_FREED*R_WAIT_2023</f>
        <v>37367.159242427646</v>
      </c>
      <c r="JM102">
        <f>IF($A102&lt;=$JB$45,1,0)</f>
        <v>1</v>
      </c>
      <c r="KB102">
        <f>IF($KB$31&lt;=$KB$32,IF($A102&lt;=$KB$7,1,2),IF($A102&lt;=RUNG_BEDS_2,2,1))</f>
        <v>1</v>
      </c>
      <c r="KC102" s="5">
        <f>MIN(1,MAX(0,$KB$26-($A102-1)))</f>
        <v>1</v>
      </c>
      <c r="KD102" s="5">
        <f>$KB$25*(KC102+(1-KC102)*$KB$16)</f>
        <v>126.02661357340719</v>
      </c>
      <c r="KE102" s="13">
        <f>KD102*($KB$6+ACUTE_MARGIN)</f>
        <v>127286.87970914126</v>
      </c>
      <c r="KF102" s="13">
        <f>IF(KB102=1,$KB$31,$KB$32)</f>
        <v>152394.16214437486</v>
      </c>
      <c r="KG102" s="13">
        <f>KE102-KF102</f>
        <v>-25107.282435233603</v>
      </c>
      <c r="KH102" s="13">
        <f>KH101+KG102</f>
        <v>-477038.3662694383</v>
      </c>
      <c r="KI102">
        <f>IF(KH102=MAX($KH$83:$KH$483),$A102,0)</f>
        <v>0</v>
      </c>
      <c r="KJ102">
        <f>IF(KE102&lt;KF102,$A102,B_MAX+1)</f>
        <v>19</v>
      </c>
      <c r="KK102" s="13">
        <f>IF(KB102=1,$KB$35,$KB$36)</f>
        <v>0</v>
      </c>
      <c r="KL102" s="13">
        <f>OCC_DAYS*$KB$41*R_NF_2023-KD102*MCD_SHARE_FREED*R_WAIT_2023</f>
        <v>94673.82103225985</v>
      </c>
      <c r="KM102">
        <f>IF($A102&lt;=$KB$45,1,0)</f>
        <v>0</v>
      </c>
      <c r="LB102">
        <f>IF($LB$31&lt;=$LB$32,IF($A102&lt;=$LB$7,1,2),IF($A102&lt;=RUNG_BEDS_2,2,1))</f>
        <v>1</v>
      </c>
      <c r="LC102" s="5">
        <f>MIN(1,MAX(0,$LB$26-($A102-1)))</f>
        <v>1</v>
      </c>
      <c r="LD102" s="5">
        <f>$LB$25*(LC102+(1-LC102)*$LB$16)</f>
        <v>84.01774238227146</v>
      </c>
      <c r="LE102" s="13">
        <f>LD102*($LB$6+ACUTE_MARGIN)</f>
        <v>84857.91980609419</v>
      </c>
      <c r="LF102" s="13">
        <f>IF(LB102=1,$LB$31,$LB$32)</f>
        <v>152394.16214437486</v>
      </c>
      <c r="LG102" s="13">
        <f>LE102-LF102</f>
        <v>-67536.24233828067</v>
      </c>
      <c r="LH102" s="13">
        <f>LH101+LG102</f>
        <v>-1283188.6044273328</v>
      </c>
      <c r="LI102">
        <f>IF(LH102=MAX($LH$83:$LH$483),$A102,0)</f>
        <v>0</v>
      </c>
      <c r="LJ102">
        <f>IF(LE102&lt;LF102,$A102,B_MAX+1)</f>
        <v>19</v>
      </c>
      <c r="LK102" s="13">
        <f>IF(LB102=1,$LB$35,$LB$36)</f>
        <v>0</v>
      </c>
      <c r="LL102" s="13">
        <f>OCC_DAYS*$LB$41*R_NF_2023-LD102*MCD_SHARE_FREED*R_WAIT_2023</f>
        <v>113776.04162887059</v>
      </c>
      <c r="LM102">
        <f>IF($A102&lt;=$LB$45,1,0)</f>
        <v>0</v>
      </c>
      <c r="MB102">
        <f>IF($MB$31&lt;=$MB$32,IF($A102&lt;=$MB$7,1,2),IF($A102&lt;=RUNG_BEDS_2,2,1))</f>
        <v>1</v>
      </c>
      <c r="MC102" s="5">
        <f>MIN(1,MAX(0,$MB$26-($A102-1)))</f>
        <v>1</v>
      </c>
      <c r="MD102" s="5">
        <f>$MB$25*(MC102+(1-MC102)*$MB$16)</f>
        <v>213.44610951008647</v>
      </c>
      <c r="ME102" s="13">
        <f>MD102*($MB$6+ACUTE_MARGIN)</f>
        <v>215580.57060518733</v>
      </c>
      <c r="MF102" s="13">
        <f>IF(MB102=1,$MB$31,$MB$32)</f>
        <v>152394.16214437486</v>
      </c>
      <c r="MG102" s="13">
        <f>ME102-MF102</f>
        <v>63186.40846081247</v>
      </c>
      <c r="MH102" s="13">
        <f>MH101+MG102</f>
        <v>1200541.7607554363</v>
      </c>
      <c r="MI102">
        <f>IF(MH102=MAX($MH$83:$MH$483),$A102,0)</f>
        <v>0</v>
      </c>
      <c r="MJ102">
        <f>IF(ME102&lt;MF102,$A102,B_MAX+1)</f>
        <v>401.0</v>
      </c>
      <c r="MK102" s="13">
        <f>IF(MB102=1,$MB$35,$MB$36)</f>
        <v>0</v>
      </c>
      <c r="ML102" s="13">
        <f>OCC_DAYS*$MB$41*R_NF_2023-MD102*MCD_SHARE_FREED*R_WAIT_2023</f>
        <v>54922.538779778624</v>
      </c>
      <c r="MM102">
        <f>IF($A102&lt;=$MB$45,1,0)</f>
        <v>1</v>
      </c>
      <c r="NB102">
        <f>IF($NB$31&lt;=$NB$32,IF($A102&lt;=$NB$7,1,2),IF($A102&lt;=RUNG_BEDS_2,2,1))</f>
        <v>1</v>
      </c>
      <c r="NC102" s="5">
        <f>MIN(1,MAX(0,$NB$26-($A102-1)))</f>
        <v>1</v>
      </c>
      <c r="ND102" s="5">
        <f>$NB$25*(NC102+(1-NC102)*$NB$16)</f>
        <v>252.05322714681438</v>
      </c>
      <c r="NE102" s="13">
        <f>ND102*($NB$6+ACUTE_MARGIN)</f>
        <v>254573.7594182825</v>
      </c>
      <c r="NF102" s="13">
        <f>IF(NB102=1,$NB$31,$NB$32)</f>
        <v>152394.16214437486</v>
      </c>
      <c r="NG102" s="13">
        <f>NE102-NF102</f>
        <v>102179.59727390765</v>
      </c>
      <c r="NH102" s="13">
        <f>NH101+NG102</f>
        <v>1941412.348204245</v>
      </c>
      <c r="NI102">
        <f>IF(NH102=MAX($NH$83:$NH$483),$A102,0)</f>
        <v>0</v>
      </c>
      <c r="NJ102">
        <f>IF(NE102&lt;NF102,$A102,B_MAX+1)</f>
        <v>401.0</v>
      </c>
      <c r="NK102" s="13">
        <f>IF(NB102=1,$NB$35,$NB$36)</f>
        <v>0</v>
      </c>
      <c r="NL102" s="13">
        <f>OCC_DAYS*$NB$41*R_NF_2023-ND102*MCD_SHARE_FREED*R_WAIT_2023</f>
        <v>37367.159242427646</v>
      </c>
      <c r="NM102">
        <f>IF($A102&lt;=$NB$45,1,0)</f>
        <v>1</v>
      </c>
      <c r="OB102">
        <f>IF($OB$31&lt;=$OB$32,IF($A102&lt;=$OB$7,1,2),IF($A102&lt;=RUNG_BEDS_2,2,1))</f>
        <v>1</v>
      </c>
      <c r="OC102" s="5">
        <f>MIN(1,MAX(0,$OB$26-($A102-1)))</f>
        <v>1</v>
      </c>
      <c r="OD102" s="5">
        <f>$OB$25*(OC102+(1-OC102)*$OB$16)</f>
        <v>252.05322714681438</v>
      </c>
      <c r="OE102" s="13">
        <f>OD102*($OB$6+ACUTE_MARGIN)</f>
        <v>254573.7594182825</v>
      </c>
      <c r="OF102" s="13">
        <f>IF(OB102=1,$OB$31,$OB$32)</f>
        <v>152394.16214437486</v>
      </c>
      <c r="OG102" s="13">
        <f>OE102-OF102</f>
        <v>102179.59727390765</v>
      </c>
      <c r="OH102" s="13">
        <f>OH101+OG102</f>
        <v>1941412.348204245</v>
      </c>
      <c r="OI102">
        <f>IF(OH102=MAX($OH$83:$OH$483),$A102,0)</f>
        <v>0</v>
      </c>
      <c r="OJ102">
        <f>IF(OE102&lt;OF102,$A102,B_MAX+1)</f>
        <v>401.0</v>
      </c>
      <c r="OK102" s="13">
        <f>IF(OB102=1,$OB$35,$OB$36)</f>
        <v>0</v>
      </c>
      <c r="OL102" s="13">
        <f>OCC_DAYS*$OB$41*R_NF_2023-OD102*MCD_SHARE_FREED*R_WAIT_2023</f>
        <v>37367.159242427646</v>
      </c>
      <c r="OM102">
        <f>IF($A102&lt;=$OB$45,1,0)</f>
        <v>1</v>
      </c>
    </row>
    <row r="103">
      <c r="A103" t="n">
        <v>20</v>
      </c>
      <c r="B103">
        <f>IF($B$31&lt;=$B$32,IF($A103&lt;=$B$7,1,2),IF($A103&lt;=RUNG_BEDS_2,2,1))</f>
        <v>1</v>
      </c>
      <c r="C103" s="5">
        <f>MIN(1,MAX(0,$B$26-($A103-1)))</f>
        <v>1</v>
      </c>
      <c r="D103" s="5">
        <f>$B$25*(C103+(1-C103)*$B$16)</f>
        <v>252.05322714681438</v>
      </c>
      <c r="E103" s="13">
        <f>D103*($B$6+ACUTE_MARGIN)</f>
        <v>254573.7594182825</v>
      </c>
      <c r="F103" s="13">
        <f>IF(B103=1,$B$31,$B$32)</f>
        <v>152394.16214437486</v>
      </c>
      <c r="G103" s="13">
        <f>E103-F103</f>
        <v>102179.59727390765</v>
      </c>
      <c r="H103" s="13">
        <f>H102+G103</f>
        <v>2043591.9454781527</v>
      </c>
      <c r="I103">
        <f>IF(H103=MAX($H$83:$H$483),$A103,0)</f>
        <v>0</v>
      </c>
      <c r="J103">
        <f>IF(E103&lt;F103,$A103,B_MAX+1)</f>
        <v>401.0</v>
      </c>
      <c r="K103" s="13">
        <f>IF(B103=1,$B$35,$B$36)</f>
        <v>0</v>
      </c>
      <c r="L103" s="13">
        <f>OCC_DAYS*$B$41*R_NF_2023-D103*MCD_SHARE_FREED*R_WAIT_2023</f>
        <v>37367.159242427646</v>
      </c>
      <c r="M103">
        <f>IF($A103&lt;=$B$45,1,0)</f>
        <v>1</v>
      </c>
      <c r="AB103">
        <f>IF($AB$31&lt;=$AB$32,IF($A103&lt;=$AB$7,1,2),IF($A103&lt;=RUNG_BEDS_2,2,1))</f>
        <v>1</v>
      </c>
      <c r="AC103" s="5">
        <f>MIN(1,MAX(0,$AB$26-($A103-1)))</f>
        <v>1</v>
      </c>
      <c r="AD103" s="5">
        <f>$AB$25*(AC103+(1-AC103)*$AB$16)</f>
        <v>252.05322714681438</v>
      </c>
      <c r="AE103" s="13">
        <f>AD103*($AB$6+ACUTE_MARGIN)</f>
        <v>138629.2749307479</v>
      </c>
      <c r="AF103" s="13">
        <f>IF(AB103=1,$AB$31,$AB$32)</f>
        <v>152394.16214437486</v>
      </c>
      <c r="AG103" s="13">
        <f>AE103-AF103</f>
        <v>-13764.887213626964</v>
      </c>
      <c r="AH103" s="13">
        <f>AH102+AG103</f>
        <v>-275297.7442725393</v>
      </c>
      <c r="AI103">
        <f>IF(AH103=MAX($AH$83:$AH$483),$A103,0)</f>
        <v>0</v>
      </c>
      <c r="AJ103">
        <f>IF(AE103&lt;AF103,$A103,B_MAX+1)</f>
        <v>20</v>
      </c>
      <c r="AK103" s="13">
        <f>IF(AB103=1,$AB$35,$AB$36)</f>
        <v>0</v>
      </c>
      <c r="AL103" s="13">
        <f>OCC_DAYS*$AB$41*R_NF_2023-AD103*MCD_SHARE_FREED*R_WAIT_2023</f>
        <v>37367.159242427646</v>
      </c>
      <c r="AM103">
        <f>IF($A103&lt;=$AB$45,1,0)</f>
        <v>0</v>
      </c>
      <c r="BB103">
        <f>IF($BB$31&lt;=$BB$32,IF($A103&lt;=$BB$7,1,2),IF($A103&lt;=RUNG_BEDS_2,2,1))</f>
        <v>1</v>
      </c>
      <c r="BC103" s="5">
        <f>MIN(1,MAX(0,$BB$26-($A103-1)))</f>
        <v>1</v>
      </c>
      <c r="BD103" s="5">
        <f>$BB$25*(BC103+(1-BC103)*$BB$16)</f>
        <v>252.05322714681438</v>
      </c>
      <c r="BE103" s="13">
        <f>BD103*($BB$6+ACUTE_MARGIN)</f>
        <v>370518.24390581716</v>
      </c>
      <c r="BF103" s="13">
        <f>IF(BB103=1,$BB$31,$BB$32)</f>
        <v>152394.16214437486</v>
      </c>
      <c r="BG103" s="13">
        <f>BE103-BF103</f>
        <v>218124.0817614423</v>
      </c>
      <c r="BH103" s="13">
        <f>BH102+BG103</f>
        <v>4362481.635228844</v>
      </c>
      <c r="BI103">
        <f>IF(BH103=MAX($BH$83:$BH$483),$A103,0)</f>
        <v>0</v>
      </c>
      <c r="BJ103">
        <f>IF(BE103&lt;BF103,$A103,B_MAX+1)</f>
        <v>401.0</v>
      </c>
      <c r="BK103" s="13">
        <f>IF(BB103=1,$BB$35,$BB$36)</f>
        <v>0</v>
      </c>
      <c r="BL103" s="13">
        <f>OCC_DAYS*$BB$41*R_NF_2023-BD103*MCD_SHARE_FREED*R_WAIT_2023</f>
        <v>37367.159242427646</v>
      </c>
      <c r="BM103">
        <f>IF($A103&lt;=$BB$45,1,0)</f>
        <v>1</v>
      </c>
      <c r="CB103">
        <f>IF($CB$31&lt;=$CB$32,IF($A103&lt;=$CB$7,1,2),IF($A103&lt;=RUNG_BEDS_2,2,1))</f>
        <v>2</v>
      </c>
      <c r="CC103" s="5">
        <f>MIN(1,MAX(0,$CB$26-($A103-1)))</f>
        <v>1</v>
      </c>
      <c r="CD103" s="5">
        <f>$CB$25*(CC103+(1-CC103)*$CB$16)</f>
        <v>252.05322714681438</v>
      </c>
      <c r="CE103" s="13">
        <f>CD103*($CB$6+ACUTE_MARGIN)</f>
        <v>254573.7594182825</v>
      </c>
      <c r="CF103" s="13">
        <f>IF(CB103=1,$CB$31,$CB$32)</f>
        <v>160718.36940738867</v>
      </c>
      <c r="CG103" s="13">
        <f>CE103-CF103</f>
        <v>93855.39001089384</v>
      </c>
      <c r="CH103" s="13">
        <f>CH102+CG103</f>
        <v>1877107.8002178764</v>
      </c>
      <c r="CI103">
        <f>IF(CH103=MAX($CH$83:$CH$483),$A103,0)</f>
        <v>0</v>
      </c>
      <c r="CJ103">
        <f>IF(CE103&lt;CF103,$A103,B_MAX+1)</f>
        <v>401.0</v>
      </c>
      <c r="CK103" s="13">
        <f>IF(CB103=1,$CB$35,$CB$36)</f>
        <v>1560.1194073886782</v>
      </c>
      <c r="CL103" s="13">
        <f>OCC_DAYS*$CB$41*R_NF_2023-CD103*MCD_SHARE_FREED*R_WAIT_2023</f>
        <v>37367.159242427646</v>
      </c>
      <c r="CM103">
        <f>IF($A103&lt;=$CB$45,1,0)</f>
        <v>1</v>
      </c>
      <c r="DB103">
        <f>IF($DB$31&lt;=$DB$32,IF($A103&lt;=$DB$7,1,2),IF($A103&lt;=RUNG_BEDS_2,2,1))</f>
        <v>1</v>
      </c>
      <c r="DC103" s="5">
        <f>MIN(1,MAX(0,$DB$26-($A103-1)))</f>
        <v>1</v>
      </c>
      <c r="DD103" s="5">
        <f>$DB$25*(DC103+(1-DC103)*$DB$16)</f>
        <v>252.05322714681438</v>
      </c>
      <c r="DE103" s="13">
        <f>DD103*($DB$6+ACUTE_MARGIN)</f>
        <v>254573.7594182825</v>
      </c>
      <c r="DF103" s="13">
        <f>IF(DB103=1,$DB$31,$DB$32)</f>
        <v>152394.16214437486</v>
      </c>
      <c r="DG103" s="13">
        <f>DE103-DF103</f>
        <v>102179.59727390765</v>
      </c>
      <c r="DH103" s="13">
        <f>DH102+DG103</f>
        <v>2043591.9454781527</v>
      </c>
      <c r="DI103">
        <f>IF(DH103=MAX($DH$83:$DH$483),$A103,0)</f>
        <v>0</v>
      </c>
      <c r="DJ103">
        <f>IF(DE103&lt;DF103,$A103,B_MAX+1)</f>
        <v>401.0</v>
      </c>
      <c r="DK103" s="13">
        <f>IF(DB103=1,$DB$35,$DB$36)</f>
        <v>0</v>
      </c>
      <c r="DL103" s="13">
        <f>OCC_DAYS*$DB$41*R_NF_2023-DD103*MCD_SHARE_FREED*R_WAIT_2023</f>
        <v>37367.159242427646</v>
      </c>
      <c r="DM103">
        <f>IF($A103&lt;=$DB$45,1,0)</f>
        <v>1</v>
      </c>
      <c r="EB103">
        <f>IF($EB$31&lt;=$EB$32,IF($A103&lt;=$EB$7,1,2),IF($A103&lt;=RUNG_BEDS_2,2,1))</f>
        <v>1</v>
      </c>
      <c r="EC103" s="5">
        <f>MIN(1,MAX(0,$EB$26-($A103-1)))</f>
        <v>1</v>
      </c>
      <c r="ED103" s="5">
        <f>$EB$25*(EC103+(1-EC103)*$EB$16)</f>
        <v>252.05322714681438</v>
      </c>
      <c r="EE103" s="13">
        <f>ED103*($EB$6+ACUTE_MARGIN)</f>
        <v>254573.7594182825</v>
      </c>
      <c r="EF103" s="13">
        <f>IF(EB103=1,$EB$31,$EB$32)</f>
        <v>152394.16214437486</v>
      </c>
      <c r="EG103" s="13">
        <f>EE103-EF103</f>
        <v>102179.59727390765</v>
      </c>
      <c r="EH103" s="13">
        <f>EH102+EG103</f>
        <v>2043591.9454781527</v>
      </c>
      <c r="EI103">
        <f>IF(EH103=MAX($EH$83:$EH$483),$A103,0)</f>
        <v>0</v>
      </c>
      <c r="EJ103">
        <f>IF(EE103&lt;EF103,$A103,B_MAX+1)</f>
        <v>401.0</v>
      </c>
      <c r="EK103" s="13">
        <f>IF(EB103=1,$EB$35,$EB$36)</f>
        <v>0</v>
      </c>
      <c r="EL103" s="13">
        <f>OCC_DAYS*$EB$41*R_NF_2023-ED103*MCD_SHARE_FREED*R_WAIT_2023</f>
        <v>-63953.16263896705</v>
      </c>
      <c r="EM103">
        <f>IF($A103&lt;=$EB$45,1,0)</f>
        <v>1</v>
      </c>
      <c r="FB103">
        <f>IF($FB$31&lt;=$FB$32,IF($A103&lt;=$FB$7,1,2),IF($A103&lt;=RUNG_BEDS_2,2,1))</f>
        <v>1</v>
      </c>
      <c r="FC103" s="5">
        <f>MIN(1,MAX(0,$FB$26-($A103-1)))</f>
        <v>1</v>
      </c>
      <c r="FD103" s="5">
        <f>$FB$25*(FC103+(1-FC103)*$FB$16)</f>
        <v>252.05322714681438</v>
      </c>
      <c r="FE103" s="13">
        <f>FD103*($FB$6+ACUTE_MARGIN)</f>
        <v>254573.7594182825</v>
      </c>
      <c r="FF103" s="13">
        <f>IF(FB103=1,$FB$31,$FB$32)</f>
        <v>156636.04979437485</v>
      </c>
      <c r="FG103" s="13">
        <f>FE103-FF103</f>
        <v>97937.70962390766</v>
      </c>
      <c r="FH103" s="13">
        <f>FH102+FG103</f>
        <v>1958754.1924781536</v>
      </c>
      <c r="FI103">
        <f>IF(FH103=MAX($FH$83:$FH$483),$A103,0)</f>
        <v>0</v>
      </c>
      <c r="FJ103">
        <f>IF(FE103&lt;FF103,$A103,B_MAX+1)</f>
        <v>401.0</v>
      </c>
      <c r="FK103" s="13">
        <f>IF(FB103=1,$FB$35,$FB$36)</f>
        <v>0</v>
      </c>
      <c r="FL103" s="13">
        <f>OCC_DAYS*$FB$41*R_NF_2023-FD103*MCD_SHARE_FREED*R_WAIT_2023</f>
        <v>37367.159242427646</v>
      </c>
      <c r="FM103">
        <f>IF($A103&lt;=$FB$45,1,0)</f>
        <v>1</v>
      </c>
      <c r="GB103">
        <f>IF($GB$31&lt;=$GB$32,IF($A103&lt;=$GB$7,1,2),IF($A103&lt;=RUNG_BEDS_2,2,1))</f>
        <v>1</v>
      </c>
      <c r="GC103" s="5">
        <f>MIN(1,MAX(0,$GB$26-($A103-1)))</f>
        <v>1</v>
      </c>
      <c r="GD103" s="5">
        <f>$GB$25*(GC103+(1-GC103)*$GB$16)</f>
        <v>252.05322714681438</v>
      </c>
      <c r="GE103" s="13">
        <f>GD103*($GB$6+ACUTE_MARGIN)</f>
        <v>254573.7594182825</v>
      </c>
      <c r="GF103" s="13">
        <f>IF(GB103=1,$GB$31,$GB$32)</f>
        <v>152394.16214437486</v>
      </c>
      <c r="GG103" s="13">
        <f>GE103-GF103</f>
        <v>102179.59727390765</v>
      </c>
      <c r="GH103" s="13">
        <f>GH102+GG103</f>
        <v>2043591.9454781527</v>
      </c>
      <c r="GI103">
        <f>IF(GH103=MAX($GH$83:$GH$483),$A103,0)</f>
        <v>0</v>
      </c>
      <c r="GJ103">
        <f>IF(GE103&lt;GF103,$A103,B_MAX+1)</f>
        <v>401.0</v>
      </c>
      <c r="GK103" s="13">
        <f>IF(GB103=1,$GB$35,$GB$36)</f>
        <v>0</v>
      </c>
      <c r="GL103" s="13">
        <f>OCC_DAYS*$GB$41*R_NF_2023-GD103*MCD_SHARE_FREED*R_WAIT_2023</f>
        <v>37367.159242427646</v>
      </c>
      <c r="GM103">
        <f>IF($A103&lt;=$GB$45,1,0)</f>
        <v>1</v>
      </c>
      <c r="HB103">
        <f>IF($HB$31&lt;=$HB$32,IF($A103&lt;=$HB$7,1,2),IF($A103&lt;=RUNG_BEDS_2,2,1))</f>
        <v>1</v>
      </c>
      <c r="HC103" s="5">
        <f>MIN(1,MAX(0,$HB$26-($A103-1)))</f>
        <v>1</v>
      </c>
      <c r="HD103" s="5">
        <f>$HB$25*(HC103+(1-HC103)*$HB$16)</f>
        <v>252.05322714681438</v>
      </c>
      <c r="HE103" s="13">
        <f>HD103*($HB$6+ACUTE_MARGIN)</f>
        <v>254573.7594182825</v>
      </c>
      <c r="HF103" s="13">
        <f>IF(HB103=1,$HB$31,$HB$32)</f>
        <v>152456.2970814058</v>
      </c>
      <c r="HG103" s="13">
        <f>HE103-HF103</f>
        <v>102117.46233687672</v>
      </c>
      <c r="HH103" s="13">
        <f>HH102+HG103</f>
        <v>2042349.2467375337</v>
      </c>
      <c r="HI103">
        <f>IF(HH103=MAX($HH$83:$HH$483),$A103,0)</f>
        <v>0</v>
      </c>
      <c r="HJ103">
        <f>IF(HE103&lt;HF103,$A103,B_MAX+1)</f>
        <v>401.0</v>
      </c>
      <c r="HK103" s="13">
        <f>IF(HB103=1,$HB$35,$HB$36)</f>
        <v>0</v>
      </c>
      <c r="HL103" s="13">
        <f>OCC_DAYS*$HB$41*R_NF_2023-HD103*MCD_SHARE_FREED*R_WAIT_2023</f>
        <v>37367.159242427646</v>
      </c>
      <c r="HM103">
        <f>IF($A103&lt;=$HB$45,1,0)</f>
        <v>1</v>
      </c>
      <c r="IB103">
        <f>IF($IB$31&lt;=$IB$32,IF($A103&lt;=$IB$7,1,2),IF($A103&lt;=RUNG_BEDS_2,2,1))</f>
        <v>1</v>
      </c>
      <c r="IC103" s="5">
        <f>MIN(1,MAX(0,$IB$26-($A103-1)))</f>
        <v>1</v>
      </c>
      <c r="ID103" s="5">
        <f>$IB$25*(IC103+(1-IC103)*$IB$16)</f>
        <v>252.05322714681438</v>
      </c>
      <c r="IE103" s="13">
        <f>ID103*($IB$6+ACUTE_MARGIN)</f>
        <v>254573.7594182825</v>
      </c>
      <c r="IF103" s="13">
        <f>IF(IB103=1,$IB$31,$IB$32)</f>
        <v>152734.9994534971</v>
      </c>
      <c r="IG103" s="13">
        <f>IE103-IF103</f>
        <v>101838.75996478542</v>
      </c>
      <c r="IH103" s="13">
        <f>IH102+IG103</f>
        <v>2036775.1992957094</v>
      </c>
      <c r="II103">
        <f>IF(IH103=MAX($IH$83:$IH$483),$A103,0)</f>
        <v>0</v>
      </c>
      <c r="IJ103">
        <f>IF(IE103&lt;IF103,$A103,B_MAX+1)</f>
        <v>401.0</v>
      </c>
      <c r="IK103" s="13">
        <f>IF(IB103=1,$IB$35,$IB$36)</f>
        <v>0</v>
      </c>
      <c r="IL103" s="13">
        <f>OCC_DAYS*$IB$41*R_NF_2023-ID103*MCD_SHARE_FREED*R_WAIT_2023</f>
        <v>37367.159242427646</v>
      </c>
      <c r="IM103">
        <f>IF($A103&lt;=$IB$45,1,0)</f>
        <v>1</v>
      </c>
      <c r="JB103">
        <f>IF($JB$31&lt;=$JB$32,IF($A103&lt;=$JB$7,1,2),IF($A103&lt;=RUNG_BEDS_2,2,1))</f>
        <v>1</v>
      </c>
      <c r="JC103" s="5">
        <f>MIN(1,MAX(0,$JB$26-($A103-1)))</f>
        <v>1</v>
      </c>
      <c r="JD103" s="5">
        <f>$JB$25*(JC103+(1-JC103)*$JB$16)</f>
        <v>252.05322714681438</v>
      </c>
      <c r="JE103" s="13">
        <f>JD103*($JB$6+ACUTE_MARGIN)</f>
        <v>254573.7594182825</v>
      </c>
      <c r="JF103" s="13">
        <f>IF(JB103=1,$JB$31,$JB$32)</f>
        <v>152394.16214437486</v>
      </c>
      <c r="JG103" s="13">
        <f>JE103-JF103</f>
        <v>102179.59727390765</v>
      </c>
      <c r="JH103" s="13">
        <f>JH102+JG103</f>
        <v>2043591.9454781527</v>
      </c>
      <c r="JI103">
        <f>IF(JH103=MAX($JH$83:$JH$483),$A103,0)</f>
        <v>0</v>
      </c>
      <c r="JJ103">
        <f>IF(JE103&lt;JF103,$A103,B_MAX+1)</f>
        <v>401.0</v>
      </c>
      <c r="JK103" s="13">
        <f>IF(JB103=1,$JB$35,$JB$36)</f>
        <v>0</v>
      </c>
      <c r="JL103" s="13">
        <f>OCC_DAYS*$JB$41*R_NF_2023-JD103*MCD_SHARE_FREED*R_WAIT_2023</f>
        <v>37367.159242427646</v>
      </c>
      <c r="JM103">
        <f>IF($A103&lt;=$JB$45,1,0)</f>
        <v>1</v>
      </c>
      <c r="KB103">
        <f>IF($KB$31&lt;=$KB$32,IF($A103&lt;=$KB$7,1,2),IF($A103&lt;=RUNG_BEDS_2,2,1))</f>
        <v>1</v>
      </c>
      <c r="KC103" s="5">
        <f>MIN(1,MAX(0,$KB$26-($A103-1)))</f>
        <v>1</v>
      </c>
      <c r="KD103" s="5">
        <f>$KB$25*(KC103+(1-KC103)*$KB$16)</f>
        <v>126.02661357340719</v>
      </c>
      <c r="KE103" s="13">
        <f>KD103*($KB$6+ACUTE_MARGIN)</f>
        <v>127286.87970914126</v>
      </c>
      <c r="KF103" s="13">
        <f>IF(KB103=1,$KB$31,$KB$32)</f>
        <v>152394.16214437486</v>
      </c>
      <c r="KG103" s="13">
        <f>KE103-KF103</f>
        <v>-25107.282435233603</v>
      </c>
      <c r="KH103" s="13">
        <f>KH102+KG103</f>
        <v>-502145.6487046719</v>
      </c>
      <c r="KI103">
        <f>IF(KH103=MAX($KH$83:$KH$483),$A103,0)</f>
        <v>0</v>
      </c>
      <c r="KJ103">
        <f>IF(KE103&lt;KF103,$A103,B_MAX+1)</f>
        <v>20</v>
      </c>
      <c r="KK103" s="13">
        <f>IF(KB103=1,$KB$35,$KB$36)</f>
        <v>0</v>
      </c>
      <c r="KL103" s="13">
        <f>OCC_DAYS*$KB$41*R_NF_2023-KD103*MCD_SHARE_FREED*R_WAIT_2023</f>
        <v>94673.82103225985</v>
      </c>
      <c r="KM103">
        <f>IF($A103&lt;=$KB$45,1,0)</f>
        <v>0</v>
      </c>
      <c r="LB103">
        <f>IF($LB$31&lt;=$LB$32,IF($A103&lt;=$LB$7,1,2),IF($A103&lt;=RUNG_BEDS_2,2,1))</f>
        <v>1</v>
      </c>
      <c r="LC103" s="5">
        <f>MIN(1,MAX(0,$LB$26-($A103-1)))</f>
        <v>1</v>
      </c>
      <c r="LD103" s="5">
        <f>$LB$25*(LC103+(1-LC103)*$LB$16)</f>
        <v>84.01774238227146</v>
      </c>
      <c r="LE103" s="13">
        <f>LD103*($LB$6+ACUTE_MARGIN)</f>
        <v>84857.91980609419</v>
      </c>
      <c r="LF103" s="13">
        <f>IF(LB103=1,$LB$31,$LB$32)</f>
        <v>152394.16214437486</v>
      </c>
      <c r="LG103" s="13">
        <f>LE103-LF103</f>
        <v>-67536.24233828067</v>
      </c>
      <c r="LH103" s="13">
        <f>LH102+LG103</f>
        <v>-1350724.8467656134</v>
      </c>
      <c r="LI103">
        <f>IF(LH103=MAX($LH$83:$LH$483),$A103,0)</f>
        <v>0</v>
      </c>
      <c r="LJ103">
        <f>IF(LE103&lt;LF103,$A103,B_MAX+1)</f>
        <v>20</v>
      </c>
      <c r="LK103" s="13">
        <f>IF(LB103=1,$LB$35,$LB$36)</f>
        <v>0</v>
      </c>
      <c r="LL103" s="13">
        <f>OCC_DAYS*$LB$41*R_NF_2023-LD103*MCD_SHARE_FREED*R_WAIT_2023</f>
        <v>113776.04162887059</v>
      </c>
      <c r="LM103">
        <f>IF($A103&lt;=$LB$45,1,0)</f>
        <v>0</v>
      </c>
      <c r="MB103">
        <f>IF($MB$31&lt;=$MB$32,IF($A103&lt;=$MB$7,1,2),IF($A103&lt;=RUNG_BEDS_2,2,1))</f>
        <v>1</v>
      </c>
      <c r="MC103" s="5">
        <f>MIN(1,MAX(0,$MB$26-($A103-1)))</f>
        <v>1</v>
      </c>
      <c r="MD103" s="5">
        <f>$MB$25*(MC103+(1-MC103)*$MB$16)</f>
        <v>213.44610951008647</v>
      </c>
      <c r="ME103" s="13">
        <f>MD103*($MB$6+ACUTE_MARGIN)</f>
        <v>215580.57060518733</v>
      </c>
      <c r="MF103" s="13">
        <f>IF(MB103=1,$MB$31,$MB$32)</f>
        <v>152394.16214437486</v>
      </c>
      <c r="MG103" s="13">
        <f>ME103-MF103</f>
        <v>63186.40846081247</v>
      </c>
      <c r="MH103" s="13">
        <f>MH102+MG103</f>
        <v>1263728.1692162487</v>
      </c>
      <c r="MI103">
        <f>IF(MH103=MAX($MH$83:$MH$483),$A103,0)</f>
        <v>0</v>
      </c>
      <c r="MJ103">
        <f>IF(ME103&lt;MF103,$A103,B_MAX+1)</f>
        <v>401.0</v>
      </c>
      <c r="MK103" s="13">
        <f>IF(MB103=1,$MB$35,$MB$36)</f>
        <v>0</v>
      </c>
      <c r="ML103" s="13">
        <f>OCC_DAYS*$MB$41*R_NF_2023-MD103*MCD_SHARE_FREED*R_WAIT_2023</f>
        <v>54922.538779778624</v>
      </c>
      <c r="MM103">
        <f>IF($A103&lt;=$MB$45,1,0)</f>
        <v>1</v>
      </c>
      <c r="NB103">
        <f>IF($NB$31&lt;=$NB$32,IF($A103&lt;=$NB$7,1,2),IF($A103&lt;=RUNG_BEDS_2,2,1))</f>
        <v>1</v>
      </c>
      <c r="NC103" s="5">
        <f>MIN(1,MAX(0,$NB$26-($A103-1)))</f>
        <v>1</v>
      </c>
      <c r="ND103" s="5">
        <f>$NB$25*(NC103+(1-NC103)*$NB$16)</f>
        <v>252.05322714681438</v>
      </c>
      <c r="NE103" s="13">
        <f>ND103*($NB$6+ACUTE_MARGIN)</f>
        <v>254573.7594182825</v>
      </c>
      <c r="NF103" s="13">
        <f>IF(NB103=1,$NB$31,$NB$32)</f>
        <v>152394.16214437486</v>
      </c>
      <c r="NG103" s="13">
        <f>NE103-NF103</f>
        <v>102179.59727390765</v>
      </c>
      <c r="NH103" s="13">
        <f>NH102+NG103</f>
        <v>2043591.9454781527</v>
      </c>
      <c r="NI103">
        <f>IF(NH103=MAX($NH$83:$NH$483),$A103,0)</f>
        <v>0</v>
      </c>
      <c r="NJ103">
        <f>IF(NE103&lt;NF103,$A103,B_MAX+1)</f>
        <v>401.0</v>
      </c>
      <c r="NK103" s="13">
        <f>IF(NB103=1,$NB$35,$NB$36)</f>
        <v>0</v>
      </c>
      <c r="NL103" s="13">
        <f>OCC_DAYS*$NB$41*R_NF_2023-ND103*MCD_SHARE_FREED*R_WAIT_2023</f>
        <v>37367.159242427646</v>
      </c>
      <c r="NM103">
        <f>IF($A103&lt;=$NB$45,1,0)</f>
        <v>1</v>
      </c>
      <c r="OB103">
        <f>IF($OB$31&lt;=$OB$32,IF($A103&lt;=$OB$7,1,2),IF($A103&lt;=RUNG_BEDS_2,2,1))</f>
        <v>1</v>
      </c>
      <c r="OC103" s="5">
        <f>MIN(1,MAX(0,$OB$26-($A103-1)))</f>
        <v>1</v>
      </c>
      <c r="OD103" s="5">
        <f>$OB$25*(OC103+(1-OC103)*$OB$16)</f>
        <v>252.05322714681438</v>
      </c>
      <c r="OE103" s="13">
        <f>OD103*($OB$6+ACUTE_MARGIN)</f>
        <v>254573.7594182825</v>
      </c>
      <c r="OF103" s="13">
        <f>IF(OB103=1,$OB$31,$OB$32)</f>
        <v>152394.16214437486</v>
      </c>
      <c r="OG103" s="13">
        <f>OE103-OF103</f>
        <v>102179.59727390765</v>
      </c>
      <c r="OH103" s="13">
        <f>OH102+OG103</f>
        <v>2043591.9454781527</v>
      </c>
      <c r="OI103">
        <f>IF(OH103=MAX($OH$83:$OH$483),$A103,0)</f>
        <v>0</v>
      </c>
      <c r="OJ103">
        <f>IF(OE103&lt;OF103,$A103,B_MAX+1)</f>
        <v>401.0</v>
      </c>
      <c r="OK103" s="13">
        <f>IF(OB103=1,$OB$35,$OB$36)</f>
        <v>0</v>
      </c>
      <c r="OL103" s="13">
        <f>OCC_DAYS*$OB$41*R_NF_2023-OD103*MCD_SHARE_FREED*R_WAIT_2023</f>
        <v>37367.159242427646</v>
      </c>
      <c r="OM103">
        <f>IF($A103&lt;=$OB$45,1,0)</f>
        <v>1</v>
      </c>
    </row>
    <row r="104">
      <c r="A104" t="n">
        <v>21</v>
      </c>
      <c r="B104">
        <f>IF($B$31&lt;=$B$32,IF($A104&lt;=$B$7,1,2),IF($A104&lt;=RUNG_BEDS_2,2,1))</f>
        <v>1</v>
      </c>
      <c r="C104" s="5">
        <f>MIN(1,MAX(0,$B$26-($A104-1)))</f>
        <v>1</v>
      </c>
      <c r="D104" s="5">
        <f>$B$25*(C104+(1-C104)*$B$16)</f>
        <v>252.05322714681438</v>
      </c>
      <c r="E104" s="13">
        <f>D104*($B$6+ACUTE_MARGIN)</f>
        <v>254573.7594182825</v>
      </c>
      <c r="F104" s="13">
        <f>IF(B104=1,$B$31,$B$32)</f>
        <v>152394.16214437486</v>
      </c>
      <c r="G104" s="13">
        <f>E104-F104</f>
        <v>102179.59727390765</v>
      </c>
      <c r="H104" s="13">
        <f>H103+G104</f>
        <v>2145771.5427520606</v>
      </c>
      <c r="I104">
        <f>IF(H104=MAX($H$83:$H$483),$A104,0)</f>
        <v>0</v>
      </c>
      <c r="J104">
        <f>IF(E104&lt;F104,$A104,B_MAX+1)</f>
        <v>401.0</v>
      </c>
      <c r="K104" s="13">
        <f>IF(B104=1,$B$35,$B$36)</f>
        <v>0</v>
      </c>
      <c r="L104" s="13">
        <f>OCC_DAYS*$B$41*R_NF_2023-D104*MCD_SHARE_FREED*R_WAIT_2023</f>
        <v>37367.159242427646</v>
      </c>
      <c r="M104">
        <f>IF($A104&lt;=$B$45,1,0)</f>
        <v>1</v>
      </c>
      <c r="AB104">
        <f>IF($AB$31&lt;=$AB$32,IF($A104&lt;=$AB$7,1,2),IF($A104&lt;=RUNG_BEDS_2,2,1))</f>
        <v>1</v>
      </c>
      <c r="AC104" s="5">
        <f>MIN(1,MAX(0,$AB$26-($A104-1)))</f>
        <v>1</v>
      </c>
      <c r="AD104" s="5">
        <f>$AB$25*(AC104+(1-AC104)*$AB$16)</f>
        <v>252.05322714681438</v>
      </c>
      <c r="AE104" s="13">
        <f>AD104*($AB$6+ACUTE_MARGIN)</f>
        <v>138629.2749307479</v>
      </c>
      <c r="AF104" s="13">
        <f>IF(AB104=1,$AB$31,$AB$32)</f>
        <v>152394.16214437486</v>
      </c>
      <c r="AG104" s="13">
        <f>AE104-AF104</f>
        <v>-13764.887213626964</v>
      </c>
      <c r="AH104" s="13">
        <f>AH103+AG104</f>
        <v>-289062.63148616627</v>
      </c>
      <c r="AI104">
        <f>IF(AH104=MAX($AH$83:$AH$483),$A104,0)</f>
        <v>0</v>
      </c>
      <c r="AJ104">
        <f>IF(AE104&lt;AF104,$A104,B_MAX+1)</f>
        <v>21</v>
      </c>
      <c r="AK104" s="13">
        <f>IF(AB104=1,$AB$35,$AB$36)</f>
        <v>0</v>
      </c>
      <c r="AL104" s="13">
        <f>OCC_DAYS*$AB$41*R_NF_2023-AD104*MCD_SHARE_FREED*R_WAIT_2023</f>
        <v>37367.159242427646</v>
      </c>
      <c r="AM104">
        <f>IF($A104&lt;=$AB$45,1,0)</f>
        <v>0</v>
      </c>
      <c r="BB104">
        <f>IF($BB$31&lt;=$BB$32,IF($A104&lt;=$BB$7,1,2),IF($A104&lt;=RUNG_BEDS_2,2,1))</f>
        <v>1</v>
      </c>
      <c r="BC104" s="5">
        <f>MIN(1,MAX(0,$BB$26-($A104-1)))</f>
        <v>1</v>
      </c>
      <c r="BD104" s="5">
        <f>$BB$25*(BC104+(1-BC104)*$BB$16)</f>
        <v>252.05322714681438</v>
      </c>
      <c r="BE104" s="13">
        <f>BD104*($BB$6+ACUTE_MARGIN)</f>
        <v>370518.24390581716</v>
      </c>
      <c r="BF104" s="13">
        <f>IF(BB104=1,$BB$31,$BB$32)</f>
        <v>152394.16214437486</v>
      </c>
      <c r="BG104" s="13">
        <f>BE104-BF104</f>
        <v>218124.0817614423</v>
      </c>
      <c r="BH104" s="13">
        <f>BH103+BG104</f>
        <v>4580605.7169902865</v>
      </c>
      <c r="BI104">
        <f>IF(BH104=MAX($BH$83:$BH$483),$A104,0)</f>
        <v>0</v>
      </c>
      <c r="BJ104">
        <f>IF(BE104&lt;BF104,$A104,B_MAX+1)</f>
        <v>401.0</v>
      </c>
      <c r="BK104" s="13">
        <f>IF(BB104=1,$BB$35,$BB$36)</f>
        <v>0</v>
      </c>
      <c r="BL104" s="13">
        <f>OCC_DAYS*$BB$41*R_NF_2023-BD104*MCD_SHARE_FREED*R_WAIT_2023</f>
        <v>37367.159242427646</v>
      </c>
      <c r="BM104">
        <f>IF($A104&lt;=$BB$45,1,0)</f>
        <v>1</v>
      </c>
      <c r="CB104">
        <f>IF($CB$31&lt;=$CB$32,IF($A104&lt;=$CB$7,1,2),IF($A104&lt;=RUNG_BEDS_2,2,1))</f>
        <v>2</v>
      </c>
      <c r="CC104" s="5">
        <f>MIN(1,MAX(0,$CB$26-($A104-1)))</f>
        <v>1</v>
      </c>
      <c r="CD104" s="5">
        <f>$CB$25*(CC104+(1-CC104)*$CB$16)</f>
        <v>252.05322714681438</v>
      </c>
      <c r="CE104" s="13">
        <f>CD104*($CB$6+ACUTE_MARGIN)</f>
        <v>254573.7594182825</v>
      </c>
      <c r="CF104" s="13">
        <f>IF(CB104=1,$CB$31,$CB$32)</f>
        <v>160718.36940738867</v>
      </c>
      <c r="CG104" s="13">
        <f>CE104-CF104</f>
        <v>93855.39001089384</v>
      </c>
      <c r="CH104" s="13">
        <f>CH103+CG104</f>
        <v>1970963.1902287703</v>
      </c>
      <c r="CI104">
        <f>IF(CH104=MAX($CH$83:$CH$483),$A104,0)</f>
        <v>0</v>
      </c>
      <c r="CJ104">
        <f>IF(CE104&lt;CF104,$A104,B_MAX+1)</f>
        <v>401.0</v>
      </c>
      <c r="CK104" s="13">
        <f>IF(CB104=1,$CB$35,$CB$36)</f>
        <v>1560.1194073886782</v>
      </c>
      <c r="CL104" s="13">
        <f>OCC_DAYS*$CB$41*R_NF_2023-CD104*MCD_SHARE_FREED*R_WAIT_2023</f>
        <v>37367.159242427646</v>
      </c>
      <c r="CM104">
        <f>IF($A104&lt;=$CB$45,1,0)</f>
        <v>1</v>
      </c>
      <c r="DB104">
        <f>IF($DB$31&lt;=$DB$32,IF($A104&lt;=$DB$7,1,2),IF($A104&lt;=RUNG_BEDS_2,2,1))</f>
        <v>1</v>
      </c>
      <c r="DC104" s="5">
        <f>MIN(1,MAX(0,$DB$26-($A104-1)))</f>
        <v>1</v>
      </c>
      <c r="DD104" s="5">
        <f>$DB$25*(DC104+(1-DC104)*$DB$16)</f>
        <v>252.05322714681438</v>
      </c>
      <c r="DE104" s="13">
        <f>DD104*($DB$6+ACUTE_MARGIN)</f>
        <v>254573.7594182825</v>
      </c>
      <c r="DF104" s="13">
        <f>IF(DB104=1,$DB$31,$DB$32)</f>
        <v>152394.16214437486</v>
      </c>
      <c r="DG104" s="13">
        <f>DE104-DF104</f>
        <v>102179.59727390765</v>
      </c>
      <c r="DH104" s="13">
        <f>DH103+DG104</f>
        <v>2145771.5427520606</v>
      </c>
      <c r="DI104">
        <f>IF(DH104=MAX($DH$83:$DH$483),$A104,0)</f>
        <v>0</v>
      </c>
      <c r="DJ104">
        <f>IF(DE104&lt;DF104,$A104,B_MAX+1)</f>
        <v>401.0</v>
      </c>
      <c r="DK104" s="13">
        <f>IF(DB104=1,$DB$35,$DB$36)</f>
        <v>0</v>
      </c>
      <c r="DL104" s="13">
        <f>OCC_DAYS*$DB$41*R_NF_2023-DD104*MCD_SHARE_FREED*R_WAIT_2023</f>
        <v>37367.159242427646</v>
      </c>
      <c r="DM104">
        <f>IF($A104&lt;=$DB$45,1,0)</f>
        <v>1</v>
      </c>
      <c r="EB104">
        <f>IF($EB$31&lt;=$EB$32,IF($A104&lt;=$EB$7,1,2),IF($A104&lt;=RUNG_BEDS_2,2,1))</f>
        <v>1</v>
      </c>
      <c r="EC104" s="5">
        <f>MIN(1,MAX(0,$EB$26-($A104-1)))</f>
        <v>1</v>
      </c>
      <c r="ED104" s="5">
        <f>$EB$25*(EC104+(1-EC104)*$EB$16)</f>
        <v>252.05322714681438</v>
      </c>
      <c r="EE104" s="13">
        <f>ED104*($EB$6+ACUTE_MARGIN)</f>
        <v>254573.7594182825</v>
      </c>
      <c r="EF104" s="13">
        <f>IF(EB104=1,$EB$31,$EB$32)</f>
        <v>152394.16214437486</v>
      </c>
      <c r="EG104" s="13">
        <f>EE104-EF104</f>
        <v>102179.59727390765</v>
      </c>
      <c r="EH104" s="13">
        <f>EH103+EG104</f>
        <v>2145771.5427520606</v>
      </c>
      <c r="EI104">
        <f>IF(EH104=MAX($EH$83:$EH$483),$A104,0)</f>
        <v>0</v>
      </c>
      <c r="EJ104">
        <f>IF(EE104&lt;EF104,$A104,B_MAX+1)</f>
        <v>401.0</v>
      </c>
      <c r="EK104" s="13">
        <f>IF(EB104=1,$EB$35,$EB$36)</f>
        <v>0</v>
      </c>
      <c r="EL104" s="13">
        <f>OCC_DAYS*$EB$41*R_NF_2023-ED104*MCD_SHARE_FREED*R_WAIT_2023</f>
        <v>-63953.16263896705</v>
      </c>
      <c r="EM104">
        <f>IF($A104&lt;=$EB$45,1,0)</f>
        <v>1</v>
      </c>
      <c r="FB104">
        <f>IF($FB$31&lt;=$FB$32,IF($A104&lt;=$FB$7,1,2),IF($A104&lt;=RUNG_BEDS_2,2,1))</f>
        <v>1</v>
      </c>
      <c r="FC104" s="5">
        <f>MIN(1,MAX(0,$FB$26-($A104-1)))</f>
        <v>1</v>
      </c>
      <c r="FD104" s="5">
        <f>$FB$25*(FC104+(1-FC104)*$FB$16)</f>
        <v>252.05322714681438</v>
      </c>
      <c r="FE104" s="13">
        <f>FD104*($FB$6+ACUTE_MARGIN)</f>
        <v>254573.7594182825</v>
      </c>
      <c r="FF104" s="13">
        <f>IF(FB104=1,$FB$31,$FB$32)</f>
        <v>156636.04979437485</v>
      </c>
      <c r="FG104" s="13">
        <f>FE104-FF104</f>
        <v>97937.70962390766</v>
      </c>
      <c r="FH104" s="13">
        <f>FH103+FG104</f>
        <v>2056691.9021020613</v>
      </c>
      <c r="FI104">
        <f>IF(FH104=MAX($FH$83:$FH$483),$A104,0)</f>
        <v>0</v>
      </c>
      <c r="FJ104">
        <f>IF(FE104&lt;FF104,$A104,B_MAX+1)</f>
        <v>401.0</v>
      </c>
      <c r="FK104" s="13">
        <f>IF(FB104=1,$FB$35,$FB$36)</f>
        <v>0</v>
      </c>
      <c r="FL104" s="13">
        <f>OCC_DAYS*$FB$41*R_NF_2023-FD104*MCD_SHARE_FREED*R_WAIT_2023</f>
        <v>37367.159242427646</v>
      </c>
      <c r="FM104">
        <f>IF($A104&lt;=$FB$45,1,0)</f>
        <v>1</v>
      </c>
      <c r="GB104">
        <f>IF($GB$31&lt;=$GB$32,IF($A104&lt;=$GB$7,1,2),IF($A104&lt;=RUNG_BEDS_2,2,1))</f>
        <v>1</v>
      </c>
      <c r="GC104" s="5">
        <f>MIN(1,MAX(0,$GB$26-($A104-1)))</f>
        <v>1</v>
      </c>
      <c r="GD104" s="5">
        <f>$GB$25*(GC104+(1-GC104)*$GB$16)</f>
        <v>252.05322714681438</v>
      </c>
      <c r="GE104" s="13">
        <f>GD104*($GB$6+ACUTE_MARGIN)</f>
        <v>254573.7594182825</v>
      </c>
      <c r="GF104" s="13">
        <f>IF(GB104=1,$GB$31,$GB$32)</f>
        <v>152394.16214437486</v>
      </c>
      <c r="GG104" s="13">
        <f>GE104-GF104</f>
        <v>102179.59727390765</v>
      </c>
      <c r="GH104" s="13">
        <f>GH103+GG104</f>
        <v>2145771.5427520606</v>
      </c>
      <c r="GI104">
        <f>IF(GH104=MAX($GH$83:$GH$483),$A104,0)</f>
        <v>0</v>
      </c>
      <c r="GJ104">
        <f>IF(GE104&lt;GF104,$A104,B_MAX+1)</f>
        <v>401.0</v>
      </c>
      <c r="GK104" s="13">
        <f>IF(GB104=1,$GB$35,$GB$36)</f>
        <v>0</v>
      </c>
      <c r="GL104" s="13">
        <f>OCC_DAYS*$GB$41*R_NF_2023-GD104*MCD_SHARE_FREED*R_WAIT_2023</f>
        <v>37367.159242427646</v>
      </c>
      <c r="GM104">
        <f>IF($A104&lt;=$GB$45,1,0)</f>
        <v>1</v>
      </c>
      <c r="HB104">
        <f>IF($HB$31&lt;=$HB$32,IF($A104&lt;=$HB$7,1,2),IF($A104&lt;=RUNG_BEDS_2,2,1))</f>
        <v>1</v>
      </c>
      <c r="HC104" s="5">
        <f>MIN(1,MAX(0,$HB$26-($A104-1)))</f>
        <v>1</v>
      </c>
      <c r="HD104" s="5">
        <f>$HB$25*(HC104+(1-HC104)*$HB$16)</f>
        <v>252.05322714681438</v>
      </c>
      <c r="HE104" s="13">
        <f>HD104*($HB$6+ACUTE_MARGIN)</f>
        <v>254573.7594182825</v>
      </c>
      <c r="HF104" s="13">
        <f>IF(HB104=1,$HB$31,$HB$32)</f>
        <v>152456.2970814058</v>
      </c>
      <c r="HG104" s="13">
        <f>HE104-HF104</f>
        <v>102117.46233687672</v>
      </c>
      <c r="HH104" s="13">
        <f>HH103+HG104</f>
        <v>2144466.7090744106</v>
      </c>
      <c r="HI104">
        <f>IF(HH104=MAX($HH$83:$HH$483),$A104,0)</f>
        <v>0</v>
      </c>
      <c r="HJ104">
        <f>IF(HE104&lt;HF104,$A104,B_MAX+1)</f>
        <v>401.0</v>
      </c>
      <c r="HK104" s="13">
        <f>IF(HB104=1,$HB$35,$HB$36)</f>
        <v>0</v>
      </c>
      <c r="HL104" s="13">
        <f>OCC_DAYS*$HB$41*R_NF_2023-HD104*MCD_SHARE_FREED*R_WAIT_2023</f>
        <v>37367.159242427646</v>
      </c>
      <c r="HM104">
        <f>IF($A104&lt;=$HB$45,1,0)</f>
        <v>1</v>
      </c>
      <c r="IB104">
        <f>IF($IB$31&lt;=$IB$32,IF($A104&lt;=$IB$7,1,2),IF($A104&lt;=RUNG_BEDS_2,2,1))</f>
        <v>1</v>
      </c>
      <c r="IC104" s="5">
        <f>MIN(1,MAX(0,$IB$26-($A104-1)))</f>
        <v>1</v>
      </c>
      <c r="ID104" s="5">
        <f>$IB$25*(IC104+(1-IC104)*$IB$16)</f>
        <v>252.05322714681438</v>
      </c>
      <c r="IE104" s="13">
        <f>ID104*($IB$6+ACUTE_MARGIN)</f>
        <v>254573.7594182825</v>
      </c>
      <c r="IF104" s="13">
        <f>IF(IB104=1,$IB$31,$IB$32)</f>
        <v>152734.9994534971</v>
      </c>
      <c r="IG104" s="13">
        <f>IE104-IF104</f>
        <v>101838.75996478542</v>
      </c>
      <c r="IH104" s="13">
        <f>IH103+IG104</f>
        <v>2138613.959260495</v>
      </c>
      <c r="II104">
        <f>IF(IH104=MAX($IH$83:$IH$483),$A104,0)</f>
        <v>0</v>
      </c>
      <c r="IJ104">
        <f>IF(IE104&lt;IF104,$A104,B_MAX+1)</f>
        <v>401.0</v>
      </c>
      <c r="IK104" s="13">
        <f>IF(IB104=1,$IB$35,$IB$36)</f>
        <v>0</v>
      </c>
      <c r="IL104" s="13">
        <f>OCC_DAYS*$IB$41*R_NF_2023-ID104*MCD_SHARE_FREED*R_WAIT_2023</f>
        <v>37367.159242427646</v>
      </c>
      <c r="IM104">
        <f>IF($A104&lt;=$IB$45,1,0)</f>
        <v>1</v>
      </c>
      <c r="JB104">
        <f>IF($JB$31&lt;=$JB$32,IF($A104&lt;=$JB$7,1,2),IF($A104&lt;=RUNG_BEDS_2,2,1))</f>
        <v>1</v>
      </c>
      <c r="JC104" s="5">
        <f>MIN(1,MAX(0,$JB$26-($A104-1)))</f>
        <v>1</v>
      </c>
      <c r="JD104" s="5">
        <f>$JB$25*(JC104+(1-JC104)*$JB$16)</f>
        <v>252.05322714681438</v>
      </c>
      <c r="JE104" s="13">
        <f>JD104*($JB$6+ACUTE_MARGIN)</f>
        <v>254573.7594182825</v>
      </c>
      <c r="JF104" s="13">
        <f>IF(JB104=1,$JB$31,$JB$32)</f>
        <v>152394.16214437486</v>
      </c>
      <c r="JG104" s="13">
        <f>JE104-JF104</f>
        <v>102179.59727390765</v>
      </c>
      <c r="JH104" s="13">
        <f>JH103+JG104</f>
        <v>2145771.5427520606</v>
      </c>
      <c r="JI104">
        <f>IF(JH104=MAX($JH$83:$JH$483),$A104,0)</f>
        <v>0</v>
      </c>
      <c r="JJ104">
        <f>IF(JE104&lt;JF104,$A104,B_MAX+1)</f>
        <v>401.0</v>
      </c>
      <c r="JK104" s="13">
        <f>IF(JB104=1,$JB$35,$JB$36)</f>
        <v>0</v>
      </c>
      <c r="JL104" s="13">
        <f>OCC_DAYS*$JB$41*R_NF_2023-JD104*MCD_SHARE_FREED*R_WAIT_2023</f>
        <v>37367.159242427646</v>
      </c>
      <c r="JM104">
        <f>IF($A104&lt;=$JB$45,1,0)</f>
        <v>1</v>
      </c>
      <c r="KB104">
        <f>IF($KB$31&lt;=$KB$32,IF($A104&lt;=$KB$7,1,2),IF($A104&lt;=RUNG_BEDS_2,2,1))</f>
        <v>1</v>
      </c>
      <c r="KC104" s="5">
        <f>MIN(1,MAX(0,$KB$26-($A104-1)))</f>
        <v>1</v>
      </c>
      <c r="KD104" s="5">
        <f>$KB$25*(KC104+(1-KC104)*$KB$16)</f>
        <v>126.02661357340719</v>
      </c>
      <c r="KE104" s="13">
        <f>KD104*($KB$6+ACUTE_MARGIN)</f>
        <v>127286.87970914126</v>
      </c>
      <c r="KF104" s="13">
        <f>IF(KB104=1,$KB$31,$KB$32)</f>
        <v>152394.16214437486</v>
      </c>
      <c r="KG104" s="13">
        <f>KE104-KF104</f>
        <v>-25107.282435233603</v>
      </c>
      <c r="KH104" s="13">
        <f>KH103+KG104</f>
        <v>-527252.9311399055</v>
      </c>
      <c r="KI104">
        <f>IF(KH104=MAX($KH$83:$KH$483),$A104,0)</f>
        <v>0</v>
      </c>
      <c r="KJ104">
        <f>IF(KE104&lt;KF104,$A104,B_MAX+1)</f>
        <v>21</v>
      </c>
      <c r="KK104" s="13">
        <f>IF(KB104=1,$KB$35,$KB$36)</f>
        <v>0</v>
      </c>
      <c r="KL104" s="13">
        <f>OCC_DAYS*$KB$41*R_NF_2023-KD104*MCD_SHARE_FREED*R_WAIT_2023</f>
        <v>94673.82103225985</v>
      </c>
      <c r="KM104">
        <f>IF($A104&lt;=$KB$45,1,0)</f>
        <v>0</v>
      </c>
      <c r="LB104">
        <f>IF($LB$31&lt;=$LB$32,IF($A104&lt;=$LB$7,1,2),IF($A104&lt;=RUNG_BEDS_2,2,1))</f>
        <v>1</v>
      </c>
      <c r="LC104" s="5">
        <f>MIN(1,MAX(0,$LB$26-($A104-1)))</f>
        <v>1</v>
      </c>
      <c r="LD104" s="5">
        <f>$LB$25*(LC104+(1-LC104)*$LB$16)</f>
        <v>84.01774238227146</v>
      </c>
      <c r="LE104" s="13">
        <f>LD104*($LB$6+ACUTE_MARGIN)</f>
        <v>84857.91980609419</v>
      </c>
      <c r="LF104" s="13">
        <f>IF(LB104=1,$LB$31,$LB$32)</f>
        <v>152394.16214437486</v>
      </c>
      <c r="LG104" s="13">
        <f>LE104-LF104</f>
        <v>-67536.24233828067</v>
      </c>
      <c r="LH104" s="13">
        <f>LH103+LG104</f>
        <v>-1418261.089103894</v>
      </c>
      <c r="LI104">
        <f>IF(LH104=MAX($LH$83:$LH$483),$A104,0)</f>
        <v>0</v>
      </c>
      <c r="LJ104">
        <f>IF(LE104&lt;LF104,$A104,B_MAX+1)</f>
        <v>21</v>
      </c>
      <c r="LK104" s="13">
        <f>IF(LB104=1,$LB$35,$LB$36)</f>
        <v>0</v>
      </c>
      <c r="LL104" s="13">
        <f>OCC_DAYS*$LB$41*R_NF_2023-LD104*MCD_SHARE_FREED*R_WAIT_2023</f>
        <v>113776.04162887059</v>
      </c>
      <c r="LM104">
        <f>IF($A104&lt;=$LB$45,1,0)</f>
        <v>0</v>
      </c>
      <c r="MB104">
        <f>IF($MB$31&lt;=$MB$32,IF($A104&lt;=$MB$7,1,2),IF($A104&lt;=RUNG_BEDS_2,2,1))</f>
        <v>1</v>
      </c>
      <c r="MC104" s="5">
        <f>MIN(1,MAX(0,$MB$26-($A104-1)))</f>
        <v>1</v>
      </c>
      <c r="MD104" s="5">
        <f>$MB$25*(MC104+(1-MC104)*$MB$16)</f>
        <v>213.44610951008647</v>
      </c>
      <c r="ME104" s="13">
        <f>MD104*($MB$6+ACUTE_MARGIN)</f>
        <v>215580.57060518733</v>
      </c>
      <c r="MF104" s="13">
        <f>IF(MB104=1,$MB$31,$MB$32)</f>
        <v>152394.16214437486</v>
      </c>
      <c r="MG104" s="13">
        <f>ME104-MF104</f>
        <v>63186.40846081247</v>
      </c>
      <c r="MH104" s="13">
        <f>MH103+MG104</f>
        <v>1326914.577677061</v>
      </c>
      <c r="MI104">
        <f>IF(MH104=MAX($MH$83:$MH$483),$A104,0)</f>
        <v>0</v>
      </c>
      <c r="MJ104">
        <f>IF(ME104&lt;MF104,$A104,B_MAX+1)</f>
        <v>401.0</v>
      </c>
      <c r="MK104" s="13">
        <f>IF(MB104=1,$MB$35,$MB$36)</f>
        <v>0</v>
      </c>
      <c r="ML104" s="13">
        <f>OCC_DAYS*$MB$41*R_NF_2023-MD104*MCD_SHARE_FREED*R_WAIT_2023</f>
        <v>54922.538779778624</v>
      </c>
      <c r="MM104">
        <f>IF($A104&lt;=$MB$45,1,0)</f>
        <v>1</v>
      </c>
      <c r="NB104">
        <f>IF($NB$31&lt;=$NB$32,IF($A104&lt;=$NB$7,1,2),IF($A104&lt;=RUNG_BEDS_2,2,1))</f>
        <v>1</v>
      </c>
      <c r="NC104" s="5">
        <f>MIN(1,MAX(0,$NB$26-($A104-1)))</f>
        <v>1</v>
      </c>
      <c r="ND104" s="5">
        <f>$NB$25*(NC104+(1-NC104)*$NB$16)</f>
        <v>252.05322714681438</v>
      </c>
      <c r="NE104" s="13">
        <f>ND104*($NB$6+ACUTE_MARGIN)</f>
        <v>254573.7594182825</v>
      </c>
      <c r="NF104" s="13">
        <f>IF(NB104=1,$NB$31,$NB$32)</f>
        <v>152394.16214437486</v>
      </c>
      <c r="NG104" s="13">
        <f>NE104-NF104</f>
        <v>102179.59727390765</v>
      </c>
      <c r="NH104" s="13">
        <f>NH103+NG104</f>
        <v>2145771.5427520606</v>
      </c>
      <c r="NI104">
        <f>IF(NH104=MAX($NH$83:$NH$483),$A104,0)</f>
        <v>0</v>
      </c>
      <c r="NJ104">
        <f>IF(NE104&lt;NF104,$A104,B_MAX+1)</f>
        <v>401.0</v>
      </c>
      <c r="NK104" s="13">
        <f>IF(NB104=1,$NB$35,$NB$36)</f>
        <v>0</v>
      </c>
      <c r="NL104" s="13">
        <f>OCC_DAYS*$NB$41*R_NF_2023-ND104*MCD_SHARE_FREED*R_WAIT_2023</f>
        <v>37367.159242427646</v>
      </c>
      <c r="NM104">
        <f>IF($A104&lt;=$NB$45,1,0)</f>
        <v>1</v>
      </c>
      <c r="OB104">
        <f>IF($OB$31&lt;=$OB$32,IF($A104&lt;=$OB$7,1,2),IF($A104&lt;=RUNG_BEDS_2,2,1))</f>
        <v>1</v>
      </c>
      <c r="OC104" s="5">
        <f>MIN(1,MAX(0,$OB$26-($A104-1)))</f>
        <v>1</v>
      </c>
      <c r="OD104" s="5">
        <f>$OB$25*(OC104+(1-OC104)*$OB$16)</f>
        <v>252.05322714681438</v>
      </c>
      <c r="OE104" s="13">
        <f>OD104*($OB$6+ACUTE_MARGIN)</f>
        <v>254573.7594182825</v>
      </c>
      <c r="OF104" s="13">
        <f>IF(OB104=1,$OB$31,$OB$32)</f>
        <v>152394.16214437486</v>
      </c>
      <c r="OG104" s="13">
        <f>OE104-OF104</f>
        <v>102179.59727390765</v>
      </c>
      <c r="OH104" s="13">
        <f>OH103+OG104</f>
        <v>2145771.5427520606</v>
      </c>
      <c r="OI104">
        <f>IF(OH104=MAX($OH$83:$OH$483),$A104,0)</f>
        <v>0</v>
      </c>
      <c r="OJ104">
        <f>IF(OE104&lt;OF104,$A104,B_MAX+1)</f>
        <v>401.0</v>
      </c>
      <c r="OK104" s="13">
        <f>IF(OB104=1,$OB$35,$OB$36)</f>
        <v>0</v>
      </c>
      <c r="OL104" s="13">
        <f>OCC_DAYS*$OB$41*R_NF_2023-OD104*MCD_SHARE_FREED*R_WAIT_2023</f>
        <v>37367.159242427646</v>
      </c>
      <c r="OM104">
        <f>IF($A104&lt;=$OB$45,1,0)</f>
        <v>1</v>
      </c>
    </row>
    <row r="105">
      <c r="A105" t="n">
        <v>22</v>
      </c>
      <c r="B105">
        <f>IF($B$31&lt;=$B$32,IF($A105&lt;=$B$7,1,2),IF($A105&lt;=RUNG_BEDS_2,2,1))</f>
        <v>1</v>
      </c>
      <c r="C105" s="5">
        <f>MIN(1,MAX(0,$B$26-($A105-1)))</f>
        <v>1</v>
      </c>
      <c r="D105" s="5">
        <f>$B$25*(C105+(1-C105)*$B$16)</f>
        <v>252.05322714681438</v>
      </c>
      <c r="E105" s="13">
        <f>D105*($B$6+ACUTE_MARGIN)</f>
        <v>254573.7594182825</v>
      </c>
      <c r="F105" s="13">
        <f>IF(B105=1,$B$31,$B$32)</f>
        <v>152394.16214437486</v>
      </c>
      <c r="G105" s="13">
        <f>E105-F105</f>
        <v>102179.59727390765</v>
      </c>
      <c r="H105" s="13">
        <f>H104+G105</f>
        <v>2247951.140025968</v>
      </c>
      <c r="I105">
        <f>IF(H105=MAX($H$83:$H$483),$A105,0)</f>
        <v>0</v>
      </c>
      <c r="J105">
        <f>IF(E105&lt;F105,$A105,B_MAX+1)</f>
        <v>401.0</v>
      </c>
      <c r="K105" s="13">
        <f>IF(B105=1,$B$35,$B$36)</f>
        <v>0</v>
      </c>
      <c r="L105" s="13">
        <f>OCC_DAYS*$B$41*R_NF_2023-D105*MCD_SHARE_FREED*R_WAIT_2023</f>
        <v>37367.159242427646</v>
      </c>
      <c r="M105">
        <f>IF($A105&lt;=$B$45,1,0)</f>
        <v>1</v>
      </c>
      <c r="AB105">
        <f>IF($AB$31&lt;=$AB$32,IF($A105&lt;=$AB$7,1,2),IF($A105&lt;=RUNG_BEDS_2,2,1))</f>
        <v>1</v>
      </c>
      <c r="AC105" s="5">
        <f>MIN(1,MAX(0,$AB$26-($A105-1)))</f>
        <v>1</v>
      </c>
      <c r="AD105" s="5">
        <f>$AB$25*(AC105+(1-AC105)*$AB$16)</f>
        <v>252.05322714681438</v>
      </c>
      <c r="AE105" s="13">
        <f>AD105*($AB$6+ACUTE_MARGIN)</f>
        <v>138629.2749307479</v>
      </c>
      <c r="AF105" s="13">
        <f>IF(AB105=1,$AB$31,$AB$32)</f>
        <v>152394.16214437486</v>
      </c>
      <c r="AG105" s="13">
        <f>AE105-AF105</f>
        <v>-13764.887213626964</v>
      </c>
      <c r="AH105" s="13">
        <f>AH104+AG105</f>
        <v>-302827.51869979326</v>
      </c>
      <c r="AI105">
        <f>IF(AH105=MAX($AH$83:$AH$483),$A105,0)</f>
        <v>0</v>
      </c>
      <c r="AJ105">
        <f>IF(AE105&lt;AF105,$A105,B_MAX+1)</f>
        <v>22</v>
      </c>
      <c r="AK105" s="13">
        <f>IF(AB105=1,$AB$35,$AB$36)</f>
        <v>0</v>
      </c>
      <c r="AL105" s="13">
        <f>OCC_DAYS*$AB$41*R_NF_2023-AD105*MCD_SHARE_FREED*R_WAIT_2023</f>
        <v>37367.159242427646</v>
      </c>
      <c r="AM105">
        <f>IF($A105&lt;=$AB$45,1,0)</f>
        <v>0</v>
      </c>
      <c r="BB105">
        <f>IF($BB$31&lt;=$BB$32,IF($A105&lt;=$BB$7,1,2),IF($A105&lt;=RUNG_BEDS_2,2,1))</f>
        <v>1</v>
      </c>
      <c r="BC105" s="5">
        <f>MIN(1,MAX(0,$BB$26-($A105-1)))</f>
        <v>1</v>
      </c>
      <c r="BD105" s="5">
        <f>$BB$25*(BC105+(1-BC105)*$BB$16)</f>
        <v>252.05322714681438</v>
      </c>
      <c r="BE105" s="13">
        <f>BD105*($BB$6+ACUTE_MARGIN)</f>
        <v>370518.24390581716</v>
      </c>
      <c r="BF105" s="13">
        <f>IF(BB105=1,$BB$31,$BB$32)</f>
        <v>152394.16214437486</v>
      </c>
      <c r="BG105" s="13">
        <f>BE105-BF105</f>
        <v>218124.0817614423</v>
      </c>
      <c r="BH105" s="13">
        <f>BH104+BG105</f>
        <v>4798729.798751729</v>
      </c>
      <c r="BI105">
        <f>IF(BH105=MAX($BH$83:$BH$483),$A105,0)</f>
        <v>0</v>
      </c>
      <c r="BJ105">
        <f>IF(BE105&lt;BF105,$A105,B_MAX+1)</f>
        <v>401.0</v>
      </c>
      <c r="BK105" s="13">
        <f>IF(BB105=1,$BB$35,$BB$36)</f>
        <v>0</v>
      </c>
      <c r="BL105" s="13">
        <f>OCC_DAYS*$BB$41*R_NF_2023-BD105*MCD_SHARE_FREED*R_WAIT_2023</f>
        <v>37367.159242427646</v>
      </c>
      <c r="BM105">
        <f>IF($A105&lt;=$BB$45,1,0)</f>
        <v>1</v>
      </c>
      <c r="CB105">
        <f>IF($CB$31&lt;=$CB$32,IF($A105&lt;=$CB$7,1,2),IF($A105&lt;=RUNG_BEDS_2,2,1))</f>
        <v>2</v>
      </c>
      <c r="CC105" s="5">
        <f>MIN(1,MAX(0,$CB$26-($A105-1)))</f>
        <v>1</v>
      </c>
      <c r="CD105" s="5">
        <f>$CB$25*(CC105+(1-CC105)*$CB$16)</f>
        <v>252.05322714681438</v>
      </c>
      <c r="CE105" s="13">
        <f>CD105*($CB$6+ACUTE_MARGIN)</f>
        <v>254573.7594182825</v>
      </c>
      <c r="CF105" s="13">
        <f>IF(CB105=1,$CB$31,$CB$32)</f>
        <v>160718.36940738867</v>
      </c>
      <c r="CG105" s="13">
        <f>CE105-CF105</f>
        <v>93855.39001089384</v>
      </c>
      <c r="CH105" s="13">
        <f>CH104+CG105</f>
        <v>2064818.580239664</v>
      </c>
      <c r="CI105">
        <f>IF(CH105=MAX($CH$83:$CH$483),$A105,0)</f>
        <v>0</v>
      </c>
      <c r="CJ105">
        <f>IF(CE105&lt;CF105,$A105,B_MAX+1)</f>
        <v>401.0</v>
      </c>
      <c r="CK105" s="13">
        <f>IF(CB105=1,$CB$35,$CB$36)</f>
        <v>1560.1194073886782</v>
      </c>
      <c r="CL105" s="13">
        <f>OCC_DAYS*$CB$41*R_NF_2023-CD105*MCD_SHARE_FREED*R_WAIT_2023</f>
        <v>37367.159242427646</v>
      </c>
      <c r="CM105">
        <f>IF($A105&lt;=$CB$45,1,0)</f>
        <v>1</v>
      </c>
      <c r="DB105">
        <f>IF($DB$31&lt;=$DB$32,IF($A105&lt;=$DB$7,1,2),IF($A105&lt;=RUNG_BEDS_2,2,1))</f>
        <v>1</v>
      </c>
      <c r="DC105" s="5">
        <f>MIN(1,MAX(0,$DB$26-($A105-1)))</f>
        <v>1</v>
      </c>
      <c r="DD105" s="5">
        <f>$DB$25*(DC105+(1-DC105)*$DB$16)</f>
        <v>252.05322714681438</v>
      </c>
      <c r="DE105" s="13">
        <f>DD105*($DB$6+ACUTE_MARGIN)</f>
        <v>254573.7594182825</v>
      </c>
      <c r="DF105" s="13">
        <f>IF(DB105=1,$DB$31,$DB$32)</f>
        <v>152394.16214437486</v>
      </c>
      <c r="DG105" s="13">
        <f>DE105-DF105</f>
        <v>102179.59727390765</v>
      </c>
      <c r="DH105" s="13">
        <f>DH104+DG105</f>
        <v>2247951.140025968</v>
      </c>
      <c r="DI105">
        <f>IF(DH105=MAX($DH$83:$DH$483),$A105,0)</f>
        <v>0</v>
      </c>
      <c r="DJ105">
        <f>IF(DE105&lt;DF105,$A105,B_MAX+1)</f>
        <v>401.0</v>
      </c>
      <c r="DK105" s="13">
        <f>IF(DB105=1,$DB$35,$DB$36)</f>
        <v>0</v>
      </c>
      <c r="DL105" s="13">
        <f>OCC_DAYS*$DB$41*R_NF_2023-DD105*MCD_SHARE_FREED*R_WAIT_2023</f>
        <v>37367.159242427646</v>
      </c>
      <c r="DM105">
        <f>IF($A105&lt;=$DB$45,1,0)</f>
        <v>1</v>
      </c>
      <c r="EB105">
        <f>IF($EB$31&lt;=$EB$32,IF($A105&lt;=$EB$7,1,2),IF($A105&lt;=RUNG_BEDS_2,2,1))</f>
        <v>1</v>
      </c>
      <c r="EC105" s="5">
        <f>MIN(1,MAX(0,$EB$26-($A105-1)))</f>
        <v>1</v>
      </c>
      <c r="ED105" s="5">
        <f>$EB$25*(EC105+(1-EC105)*$EB$16)</f>
        <v>252.05322714681438</v>
      </c>
      <c r="EE105" s="13">
        <f>ED105*($EB$6+ACUTE_MARGIN)</f>
        <v>254573.7594182825</v>
      </c>
      <c r="EF105" s="13">
        <f>IF(EB105=1,$EB$31,$EB$32)</f>
        <v>152394.16214437486</v>
      </c>
      <c r="EG105" s="13">
        <f>EE105-EF105</f>
        <v>102179.59727390765</v>
      </c>
      <c r="EH105" s="13">
        <f>EH104+EG105</f>
        <v>2247951.140025968</v>
      </c>
      <c r="EI105">
        <f>IF(EH105=MAX($EH$83:$EH$483),$A105,0)</f>
        <v>0</v>
      </c>
      <c r="EJ105">
        <f>IF(EE105&lt;EF105,$A105,B_MAX+1)</f>
        <v>401.0</v>
      </c>
      <c r="EK105" s="13">
        <f>IF(EB105=1,$EB$35,$EB$36)</f>
        <v>0</v>
      </c>
      <c r="EL105" s="13">
        <f>OCC_DAYS*$EB$41*R_NF_2023-ED105*MCD_SHARE_FREED*R_WAIT_2023</f>
        <v>-63953.16263896705</v>
      </c>
      <c r="EM105">
        <f>IF($A105&lt;=$EB$45,1,0)</f>
        <v>1</v>
      </c>
      <c r="FB105">
        <f>IF($FB$31&lt;=$FB$32,IF($A105&lt;=$FB$7,1,2),IF($A105&lt;=RUNG_BEDS_2,2,1))</f>
        <v>1</v>
      </c>
      <c r="FC105" s="5">
        <f>MIN(1,MAX(0,$FB$26-($A105-1)))</f>
        <v>1</v>
      </c>
      <c r="FD105" s="5">
        <f>$FB$25*(FC105+(1-FC105)*$FB$16)</f>
        <v>252.05322714681438</v>
      </c>
      <c r="FE105" s="13">
        <f>FD105*($FB$6+ACUTE_MARGIN)</f>
        <v>254573.7594182825</v>
      </c>
      <c r="FF105" s="13">
        <f>IF(FB105=1,$FB$31,$FB$32)</f>
        <v>156636.04979437485</v>
      </c>
      <c r="FG105" s="13">
        <f>FE105-FF105</f>
        <v>97937.70962390766</v>
      </c>
      <c r="FH105" s="13">
        <f>FH104+FG105</f>
        <v>2154629.611725969</v>
      </c>
      <c r="FI105">
        <f>IF(FH105=MAX($FH$83:$FH$483),$A105,0)</f>
        <v>0</v>
      </c>
      <c r="FJ105">
        <f>IF(FE105&lt;FF105,$A105,B_MAX+1)</f>
        <v>401.0</v>
      </c>
      <c r="FK105" s="13">
        <f>IF(FB105=1,$FB$35,$FB$36)</f>
        <v>0</v>
      </c>
      <c r="FL105" s="13">
        <f>OCC_DAYS*$FB$41*R_NF_2023-FD105*MCD_SHARE_FREED*R_WAIT_2023</f>
        <v>37367.159242427646</v>
      </c>
      <c r="FM105">
        <f>IF($A105&lt;=$FB$45,1,0)</f>
        <v>1</v>
      </c>
      <c r="GB105">
        <f>IF($GB$31&lt;=$GB$32,IF($A105&lt;=$GB$7,1,2),IF($A105&lt;=RUNG_BEDS_2,2,1))</f>
        <v>1</v>
      </c>
      <c r="GC105" s="5">
        <f>MIN(1,MAX(0,$GB$26-($A105-1)))</f>
        <v>1</v>
      </c>
      <c r="GD105" s="5">
        <f>$GB$25*(GC105+(1-GC105)*$GB$16)</f>
        <v>252.05322714681438</v>
      </c>
      <c r="GE105" s="13">
        <f>GD105*($GB$6+ACUTE_MARGIN)</f>
        <v>254573.7594182825</v>
      </c>
      <c r="GF105" s="13">
        <f>IF(GB105=1,$GB$31,$GB$32)</f>
        <v>152394.16214437486</v>
      </c>
      <c r="GG105" s="13">
        <f>GE105-GF105</f>
        <v>102179.59727390765</v>
      </c>
      <c r="GH105" s="13">
        <f>GH104+GG105</f>
        <v>2247951.140025968</v>
      </c>
      <c r="GI105">
        <f>IF(GH105=MAX($GH$83:$GH$483),$A105,0)</f>
        <v>0</v>
      </c>
      <c r="GJ105">
        <f>IF(GE105&lt;GF105,$A105,B_MAX+1)</f>
        <v>401.0</v>
      </c>
      <c r="GK105" s="13">
        <f>IF(GB105=1,$GB$35,$GB$36)</f>
        <v>0</v>
      </c>
      <c r="GL105" s="13">
        <f>OCC_DAYS*$GB$41*R_NF_2023-GD105*MCD_SHARE_FREED*R_WAIT_2023</f>
        <v>37367.159242427646</v>
      </c>
      <c r="GM105">
        <f>IF($A105&lt;=$GB$45,1,0)</f>
        <v>1</v>
      </c>
      <c r="HB105">
        <f>IF($HB$31&lt;=$HB$32,IF($A105&lt;=$HB$7,1,2),IF($A105&lt;=RUNG_BEDS_2,2,1))</f>
        <v>1</v>
      </c>
      <c r="HC105" s="5">
        <f>MIN(1,MAX(0,$HB$26-($A105-1)))</f>
        <v>1</v>
      </c>
      <c r="HD105" s="5">
        <f>$HB$25*(HC105+(1-HC105)*$HB$16)</f>
        <v>252.05322714681438</v>
      </c>
      <c r="HE105" s="13">
        <f>HD105*($HB$6+ACUTE_MARGIN)</f>
        <v>254573.7594182825</v>
      </c>
      <c r="HF105" s="13">
        <f>IF(HB105=1,$HB$31,$HB$32)</f>
        <v>152456.2970814058</v>
      </c>
      <c r="HG105" s="13">
        <f>HE105-HF105</f>
        <v>102117.46233687672</v>
      </c>
      <c r="HH105" s="13">
        <f>HH104+HG105</f>
        <v>2246584.1714112875</v>
      </c>
      <c r="HI105">
        <f>IF(HH105=MAX($HH$83:$HH$483),$A105,0)</f>
        <v>0</v>
      </c>
      <c r="HJ105">
        <f>IF(HE105&lt;HF105,$A105,B_MAX+1)</f>
        <v>401.0</v>
      </c>
      <c r="HK105" s="13">
        <f>IF(HB105=1,$HB$35,$HB$36)</f>
        <v>0</v>
      </c>
      <c r="HL105" s="13">
        <f>OCC_DAYS*$HB$41*R_NF_2023-HD105*MCD_SHARE_FREED*R_WAIT_2023</f>
        <v>37367.159242427646</v>
      </c>
      <c r="HM105">
        <f>IF($A105&lt;=$HB$45,1,0)</f>
        <v>1</v>
      </c>
      <c r="IB105">
        <f>IF($IB$31&lt;=$IB$32,IF($A105&lt;=$IB$7,1,2),IF($A105&lt;=RUNG_BEDS_2,2,1))</f>
        <v>1</v>
      </c>
      <c r="IC105" s="5">
        <f>MIN(1,MAX(0,$IB$26-($A105-1)))</f>
        <v>1</v>
      </c>
      <c r="ID105" s="5">
        <f>$IB$25*(IC105+(1-IC105)*$IB$16)</f>
        <v>252.05322714681438</v>
      </c>
      <c r="IE105" s="13">
        <f>ID105*($IB$6+ACUTE_MARGIN)</f>
        <v>254573.7594182825</v>
      </c>
      <c r="IF105" s="13">
        <f>IF(IB105=1,$IB$31,$IB$32)</f>
        <v>152734.9994534971</v>
      </c>
      <c r="IG105" s="13">
        <f>IE105-IF105</f>
        <v>101838.75996478542</v>
      </c>
      <c r="IH105" s="13">
        <f>IH104+IG105</f>
        <v>2240452.7192252805</v>
      </c>
      <c r="II105">
        <f>IF(IH105=MAX($IH$83:$IH$483),$A105,0)</f>
        <v>0</v>
      </c>
      <c r="IJ105">
        <f>IF(IE105&lt;IF105,$A105,B_MAX+1)</f>
        <v>401.0</v>
      </c>
      <c r="IK105" s="13">
        <f>IF(IB105=1,$IB$35,$IB$36)</f>
        <v>0</v>
      </c>
      <c r="IL105" s="13">
        <f>OCC_DAYS*$IB$41*R_NF_2023-ID105*MCD_SHARE_FREED*R_WAIT_2023</f>
        <v>37367.159242427646</v>
      </c>
      <c r="IM105">
        <f>IF($A105&lt;=$IB$45,1,0)</f>
        <v>1</v>
      </c>
      <c r="JB105">
        <f>IF($JB$31&lt;=$JB$32,IF($A105&lt;=$JB$7,1,2),IF($A105&lt;=RUNG_BEDS_2,2,1))</f>
        <v>1</v>
      </c>
      <c r="JC105" s="5">
        <f>MIN(1,MAX(0,$JB$26-($A105-1)))</f>
        <v>1</v>
      </c>
      <c r="JD105" s="5">
        <f>$JB$25*(JC105+(1-JC105)*$JB$16)</f>
        <v>252.05322714681438</v>
      </c>
      <c r="JE105" s="13">
        <f>JD105*($JB$6+ACUTE_MARGIN)</f>
        <v>254573.7594182825</v>
      </c>
      <c r="JF105" s="13">
        <f>IF(JB105=1,$JB$31,$JB$32)</f>
        <v>152394.16214437486</v>
      </c>
      <c r="JG105" s="13">
        <f>JE105-JF105</f>
        <v>102179.59727390765</v>
      </c>
      <c r="JH105" s="13">
        <f>JH104+JG105</f>
        <v>2247951.140025968</v>
      </c>
      <c r="JI105">
        <f>IF(JH105=MAX($JH$83:$JH$483),$A105,0)</f>
        <v>0</v>
      </c>
      <c r="JJ105">
        <f>IF(JE105&lt;JF105,$A105,B_MAX+1)</f>
        <v>401.0</v>
      </c>
      <c r="JK105" s="13">
        <f>IF(JB105=1,$JB$35,$JB$36)</f>
        <v>0</v>
      </c>
      <c r="JL105" s="13">
        <f>OCC_DAYS*$JB$41*R_NF_2023-JD105*MCD_SHARE_FREED*R_WAIT_2023</f>
        <v>37367.159242427646</v>
      </c>
      <c r="JM105">
        <f>IF($A105&lt;=$JB$45,1,0)</f>
        <v>1</v>
      </c>
      <c r="KB105">
        <f>IF($KB$31&lt;=$KB$32,IF($A105&lt;=$KB$7,1,2),IF($A105&lt;=RUNG_BEDS_2,2,1))</f>
        <v>1</v>
      </c>
      <c r="KC105" s="5">
        <f>MIN(1,MAX(0,$KB$26-($A105-1)))</f>
        <v>1</v>
      </c>
      <c r="KD105" s="5">
        <f>$KB$25*(KC105+(1-KC105)*$KB$16)</f>
        <v>126.02661357340719</v>
      </c>
      <c r="KE105" s="13">
        <f>KD105*($KB$6+ACUTE_MARGIN)</f>
        <v>127286.87970914126</v>
      </c>
      <c r="KF105" s="13">
        <f>IF(KB105=1,$KB$31,$KB$32)</f>
        <v>152394.16214437486</v>
      </c>
      <c r="KG105" s="13">
        <f>KE105-KF105</f>
        <v>-25107.282435233603</v>
      </c>
      <c r="KH105" s="13">
        <f>KH104+KG105</f>
        <v>-552360.2135751391</v>
      </c>
      <c r="KI105">
        <f>IF(KH105=MAX($KH$83:$KH$483),$A105,0)</f>
        <v>0</v>
      </c>
      <c r="KJ105">
        <f>IF(KE105&lt;KF105,$A105,B_MAX+1)</f>
        <v>22</v>
      </c>
      <c r="KK105" s="13">
        <f>IF(KB105=1,$KB$35,$KB$36)</f>
        <v>0</v>
      </c>
      <c r="KL105" s="13">
        <f>OCC_DAYS*$KB$41*R_NF_2023-KD105*MCD_SHARE_FREED*R_WAIT_2023</f>
        <v>94673.82103225985</v>
      </c>
      <c r="KM105">
        <f>IF($A105&lt;=$KB$45,1,0)</f>
        <v>0</v>
      </c>
      <c r="LB105">
        <f>IF($LB$31&lt;=$LB$32,IF($A105&lt;=$LB$7,1,2),IF($A105&lt;=RUNG_BEDS_2,2,1))</f>
        <v>1</v>
      </c>
      <c r="LC105" s="5">
        <f>MIN(1,MAX(0,$LB$26-($A105-1)))</f>
        <v>1</v>
      </c>
      <c r="LD105" s="5">
        <f>$LB$25*(LC105+(1-LC105)*$LB$16)</f>
        <v>84.01774238227146</v>
      </c>
      <c r="LE105" s="13">
        <f>LD105*($LB$6+ACUTE_MARGIN)</f>
        <v>84857.91980609419</v>
      </c>
      <c r="LF105" s="13">
        <f>IF(LB105=1,$LB$31,$LB$32)</f>
        <v>152394.16214437486</v>
      </c>
      <c r="LG105" s="13">
        <f>LE105-LF105</f>
        <v>-67536.24233828067</v>
      </c>
      <c r="LH105" s="13">
        <f>LH104+LG105</f>
        <v>-1485797.3314421747</v>
      </c>
      <c r="LI105">
        <f>IF(LH105=MAX($LH$83:$LH$483),$A105,0)</f>
        <v>0</v>
      </c>
      <c r="LJ105">
        <f>IF(LE105&lt;LF105,$A105,B_MAX+1)</f>
        <v>22</v>
      </c>
      <c r="LK105" s="13">
        <f>IF(LB105=1,$LB$35,$LB$36)</f>
        <v>0</v>
      </c>
      <c r="LL105" s="13">
        <f>OCC_DAYS*$LB$41*R_NF_2023-LD105*MCD_SHARE_FREED*R_WAIT_2023</f>
        <v>113776.04162887059</v>
      </c>
      <c r="LM105">
        <f>IF($A105&lt;=$LB$45,1,0)</f>
        <v>0</v>
      </c>
      <c r="MB105">
        <f>IF($MB$31&lt;=$MB$32,IF($A105&lt;=$MB$7,1,2),IF($A105&lt;=RUNG_BEDS_2,2,1))</f>
        <v>1</v>
      </c>
      <c r="MC105" s="5">
        <f>MIN(1,MAX(0,$MB$26-($A105-1)))</f>
        <v>1</v>
      </c>
      <c r="MD105" s="5">
        <f>$MB$25*(MC105+(1-MC105)*$MB$16)</f>
        <v>213.44610951008647</v>
      </c>
      <c r="ME105" s="13">
        <f>MD105*($MB$6+ACUTE_MARGIN)</f>
        <v>215580.57060518733</v>
      </c>
      <c r="MF105" s="13">
        <f>IF(MB105=1,$MB$31,$MB$32)</f>
        <v>152394.16214437486</v>
      </c>
      <c r="MG105" s="13">
        <f>ME105-MF105</f>
        <v>63186.40846081247</v>
      </c>
      <c r="MH105" s="13">
        <f>MH104+MG105</f>
        <v>1390100.9861378735</v>
      </c>
      <c r="MI105">
        <f>IF(MH105=MAX($MH$83:$MH$483),$A105,0)</f>
        <v>0</v>
      </c>
      <c r="MJ105">
        <f>IF(ME105&lt;MF105,$A105,B_MAX+1)</f>
        <v>401.0</v>
      </c>
      <c r="MK105" s="13">
        <f>IF(MB105=1,$MB$35,$MB$36)</f>
        <v>0</v>
      </c>
      <c r="ML105" s="13">
        <f>OCC_DAYS*$MB$41*R_NF_2023-MD105*MCD_SHARE_FREED*R_WAIT_2023</f>
        <v>54922.538779778624</v>
      </c>
      <c r="MM105">
        <f>IF($A105&lt;=$MB$45,1,0)</f>
        <v>1</v>
      </c>
      <c r="NB105">
        <f>IF($NB$31&lt;=$NB$32,IF($A105&lt;=$NB$7,1,2),IF($A105&lt;=RUNG_BEDS_2,2,1))</f>
        <v>1</v>
      </c>
      <c r="NC105" s="5">
        <f>MIN(1,MAX(0,$NB$26-($A105-1)))</f>
        <v>1</v>
      </c>
      <c r="ND105" s="5">
        <f>$NB$25*(NC105+(1-NC105)*$NB$16)</f>
        <v>252.05322714681438</v>
      </c>
      <c r="NE105" s="13">
        <f>ND105*($NB$6+ACUTE_MARGIN)</f>
        <v>254573.7594182825</v>
      </c>
      <c r="NF105" s="13">
        <f>IF(NB105=1,$NB$31,$NB$32)</f>
        <v>152394.16214437486</v>
      </c>
      <c r="NG105" s="13">
        <f>NE105-NF105</f>
        <v>102179.59727390765</v>
      </c>
      <c r="NH105" s="13">
        <f>NH104+NG105</f>
        <v>2247951.140025968</v>
      </c>
      <c r="NI105">
        <f>IF(NH105=MAX($NH$83:$NH$483),$A105,0)</f>
        <v>0</v>
      </c>
      <c r="NJ105">
        <f>IF(NE105&lt;NF105,$A105,B_MAX+1)</f>
        <v>401.0</v>
      </c>
      <c r="NK105" s="13">
        <f>IF(NB105=1,$NB$35,$NB$36)</f>
        <v>0</v>
      </c>
      <c r="NL105" s="13">
        <f>OCC_DAYS*$NB$41*R_NF_2023-ND105*MCD_SHARE_FREED*R_WAIT_2023</f>
        <v>37367.159242427646</v>
      </c>
      <c r="NM105">
        <f>IF($A105&lt;=$NB$45,1,0)</f>
        <v>1</v>
      </c>
      <c r="OB105">
        <f>IF($OB$31&lt;=$OB$32,IF($A105&lt;=$OB$7,1,2),IF($A105&lt;=RUNG_BEDS_2,2,1))</f>
        <v>1</v>
      </c>
      <c r="OC105" s="5">
        <f>MIN(1,MAX(0,$OB$26-($A105-1)))</f>
        <v>1</v>
      </c>
      <c r="OD105" s="5">
        <f>$OB$25*(OC105+(1-OC105)*$OB$16)</f>
        <v>252.05322714681438</v>
      </c>
      <c r="OE105" s="13">
        <f>OD105*($OB$6+ACUTE_MARGIN)</f>
        <v>254573.7594182825</v>
      </c>
      <c r="OF105" s="13">
        <f>IF(OB105=1,$OB$31,$OB$32)</f>
        <v>152394.16214437486</v>
      </c>
      <c r="OG105" s="13">
        <f>OE105-OF105</f>
        <v>102179.59727390765</v>
      </c>
      <c r="OH105" s="13">
        <f>OH104+OG105</f>
        <v>2247951.140025968</v>
      </c>
      <c r="OI105">
        <f>IF(OH105=MAX($OH$83:$OH$483),$A105,0)</f>
        <v>0</v>
      </c>
      <c r="OJ105">
        <f>IF(OE105&lt;OF105,$A105,B_MAX+1)</f>
        <v>401.0</v>
      </c>
      <c r="OK105" s="13">
        <f>IF(OB105=1,$OB$35,$OB$36)</f>
        <v>0</v>
      </c>
      <c r="OL105" s="13">
        <f>OCC_DAYS*$OB$41*R_NF_2023-OD105*MCD_SHARE_FREED*R_WAIT_2023</f>
        <v>37367.159242427646</v>
      </c>
      <c r="OM105">
        <f>IF($A105&lt;=$OB$45,1,0)</f>
        <v>1</v>
      </c>
    </row>
    <row r="106">
      <c r="A106" t="n">
        <v>23</v>
      </c>
      <c r="B106">
        <f>IF($B$31&lt;=$B$32,IF($A106&lt;=$B$7,1,2),IF($A106&lt;=RUNG_BEDS_2,2,1))</f>
        <v>1</v>
      </c>
      <c r="C106" s="5">
        <f>MIN(1,MAX(0,$B$26-($A106-1)))</f>
        <v>1</v>
      </c>
      <c r="D106" s="5">
        <f>$B$25*(C106+(1-C106)*$B$16)</f>
        <v>252.05322714681438</v>
      </c>
      <c r="E106" s="13">
        <f>D106*($B$6+ACUTE_MARGIN)</f>
        <v>254573.7594182825</v>
      </c>
      <c r="F106" s="13">
        <f>IF(B106=1,$B$31,$B$32)</f>
        <v>152394.16214437486</v>
      </c>
      <c r="G106" s="13">
        <f>E106-F106</f>
        <v>102179.59727390765</v>
      </c>
      <c r="H106" s="13">
        <f>H105+G106</f>
        <v>2350130.737299876</v>
      </c>
      <c r="I106">
        <f>IF(H106=MAX($H$83:$H$483),$A106,0)</f>
        <v>0</v>
      </c>
      <c r="J106">
        <f>IF(E106&lt;F106,$A106,B_MAX+1)</f>
        <v>401.0</v>
      </c>
      <c r="K106" s="13">
        <f>IF(B106=1,$B$35,$B$36)</f>
        <v>0</v>
      </c>
      <c r="L106" s="13">
        <f>OCC_DAYS*$B$41*R_NF_2023-D106*MCD_SHARE_FREED*R_WAIT_2023</f>
        <v>37367.159242427646</v>
      </c>
      <c r="M106">
        <f>IF($A106&lt;=$B$45,1,0)</f>
        <v>1</v>
      </c>
      <c r="AB106">
        <f>IF($AB$31&lt;=$AB$32,IF($A106&lt;=$AB$7,1,2),IF($A106&lt;=RUNG_BEDS_2,2,1))</f>
        <v>1</v>
      </c>
      <c r="AC106" s="5">
        <f>MIN(1,MAX(0,$AB$26-($A106-1)))</f>
        <v>1</v>
      </c>
      <c r="AD106" s="5">
        <f>$AB$25*(AC106+(1-AC106)*$AB$16)</f>
        <v>252.05322714681438</v>
      </c>
      <c r="AE106" s="13">
        <f>AD106*($AB$6+ACUTE_MARGIN)</f>
        <v>138629.2749307479</v>
      </c>
      <c r="AF106" s="13">
        <f>IF(AB106=1,$AB$31,$AB$32)</f>
        <v>152394.16214437486</v>
      </c>
      <c r="AG106" s="13">
        <f>AE106-AF106</f>
        <v>-13764.887213626964</v>
      </c>
      <c r="AH106" s="13">
        <f>AH105+AG106</f>
        <v>-316592.40591342025</v>
      </c>
      <c r="AI106">
        <f>IF(AH106=MAX($AH$83:$AH$483),$A106,0)</f>
        <v>0</v>
      </c>
      <c r="AJ106">
        <f>IF(AE106&lt;AF106,$A106,B_MAX+1)</f>
        <v>23</v>
      </c>
      <c r="AK106" s="13">
        <f>IF(AB106=1,$AB$35,$AB$36)</f>
        <v>0</v>
      </c>
      <c r="AL106" s="13">
        <f>OCC_DAYS*$AB$41*R_NF_2023-AD106*MCD_SHARE_FREED*R_WAIT_2023</f>
        <v>37367.159242427646</v>
      </c>
      <c r="AM106">
        <f>IF($A106&lt;=$AB$45,1,0)</f>
        <v>0</v>
      </c>
      <c r="BB106">
        <f>IF($BB$31&lt;=$BB$32,IF($A106&lt;=$BB$7,1,2),IF($A106&lt;=RUNG_BEDS_2,2,1))</f>
        <v>1</v>
      </c>
      <c r="BC106" s="5">
        <f>MIN(1,MAX(0,$BB$26-($A106-1)))</f>
        <v>1</v>
      </c>
      <c r="BD106" s="5">
        <f>$BB$25*(BC106+(1-BC106)*$BB$16)</f>
        <v>252.05322714681438</v>
      </c>
      <c r="BE106" s="13">
        <f>BD106*($BB$6+ACUTE_MARGIN)</f>
        <v>370518.24390581716</v>
      </c>
      <c r="BF106" s="13">
        <f>IF(BB106=1,$BB$31,$BB$32)</f>
        <v>152394.16214437486</v>
      </c>
      <c r="BG106" s="13">
        <f>BE106-BF106</f>
        <v>218124.0817614423</v>
      </c>
      <c r="BH106" s="13">
        <f>BH105+BG106</f>
        <v>5016853.880513171</v>
      </c>
      <c r="BI106">
        <f>IF(BH106=MAX($BH$83:$BH$483),$A106,0)</f>
        <v>0</v>
      </c>
      <c r="BJ106">
        <f>IF(BE106&lt;BF106,$A106,B_MAX+1)</f>
        <v>401.0</v>
      </c>
      <c r="BK106" s="13">
        <f>IF(BB106=1,$BB$35,$BB$36)</f>
        <v>0</v>
      </c>
      <c r="BL106" s="13">
        <f>OCC_DAYS*$BB$41*R_NF_2023-BD106*MCD_SHARE_FREED*R_WAIT_2023</f>
        <v>37367.159242427646</v>
      </c>
      <c r="BM106">
        <f>IF($A106&lt;=$BB$45,1,0)</f>
        <v>1</v>
      </c>
      <c r="CB106">
        <f>IF($CB$31&lt;=$CB$32,IF($A106&lt;=$CB$7,1,2),IF($A106&lt;=RUNG_BEDS_2,2,1))</f>
        <v>2</v>
      </c>
      <c r="CC106" s="5">
        <f>MIN(1,MAX(0,$CB$26-($A106-1)))</f>
        <v>1</v>
      </c>
      <c r="CD106" s="5">
        <f>$CB$25*(CC106+(1-CC106)*$CB$16)</f>
        <v>252.05322714681438</v>
      </c>
      <c r="CE106" s="13">
        <f>CD106*($CB$6+ACUTE_MARGIN)</f>
        <v>254573.7594182825</v>
      </c>
      <c r="CF106" s="13">
        <f>IF(CB106=1,$CB$31,$CB$32)</f>
        <v>160718.36940738867</v>
      </c>
      <c r="CG106" s="13">
        <f>CE106-CF106</f>
        <v>93855.39001089384</v>
      </c>
      <c r="CH106" s="13">
        <f>CH105+CG106</f>
        <v>2158673.970250558</v>
      </c>
      <c r="CI106">
        <f>IF(CH106=MAX($CH$83:$CH$483),$A106,0)</f>
        <v>0</v>
      </c>
      <c r="CJ106">
        <f>IF(CE106&lt;CF106,$A106,B_MAX+1)</f>
        <v>401.0</v>
      </c>
      <c r="CK106" s="13">
        <f>IF(CB106=1,$CB$35,$CB$36)</f>
        <v>1560.1194073886782</v>
      </c>
      <c r="CL106" s="13">
        <f>OCC_DAYS*$CB$41*R_NF_2023-CD106*MCD_SHARE_FREED*R_WAIT_2023</f>
        <v>37367.159242427646</v>
      </c>
      <c r="CM106">
        <f>IF($A106&lt;=$CB$45,1,0)</f>
        <v>1</v>
      </c>
      <c r="DB106">
        <f>IF($DB$31&lt;=$DB$32,IF($A106&lt;=$DB$7,1,2),IF($A106&lt;=RUNG_BEDS_2,2,1))</f>
        <v>1</v>
      </c>
      <c r="DC106" s="5">
        <f>MIN(1,MAX(0,$DB$26-($A106-1)))</f>
        <v>1</v>
      </c>
      <c r="DD106" s="5">
        <f>$DB$25*(DC106+(1-DC106)*$DB$16)</f>
        <v>252.05322714681438</v>
      </c>
      <c r="DE106" s="13">
        <f>DD106*($DB$6+ACUTE_MARGIN)</f>
        <v>254573.7594182825</v>
      </c>
      <c r="DF106" s="13">
        <f>IF(DB106=1,$DB$31,$DB$32)</f>
        <v>152394.16214437486</v>
      </c>
      <c r="DG106" s="13">
        <f>DE106-DF106</f>
        <v>102179.59727390765</v>
      </c>
      <c r="DH106" s="13">
        <f>DH105+DG106</f>
        <v>2350130.737299876</v>
      </c>
      <c r="DI106">
        <f>IF(DH106=MAX($DH$83:$DH$483),$A106,0)</f>
        <v>0</v>
      </c>
      <c r="DJ106">
        <f>IF(DE106&lt;DF106,$A106,B_MAX+1)</f>
        <v>401.0</v>
      </c>
      <c r="DK106" s="13">
        <f>IF(DB106=1,$DB$35,$DB$36)</f>
        <v>0</v>
      </c>
      <c r="DL106" s="13">
        <f>OCC_DAYS*$DB$41*R_NF_2023-DD106*MCD_SHARE_FREED*R_WAIT_2023</f>
        <v>37367.159242427646</v>
      </c>
      <c r="DM106">
        <f>IF($A106&lt;=$DB$45,1,0)</f>
        <v>1</v>
      </c>
      <c r="EB106">
        <f>IF($EB$31&lt;=$EB$32,IF($A106&lt;=$EB$7,1,2),IF($A106&lt;=RUNG_BEDS_2,2,1))</f>
        <v>1</v>
      </c>
      <c r="EC106" s="5">
        <f>MIN(1,MAX(0,$EB$26-($A106-1)))</f>
        <v>1</v>
      </c>
      <c r="ED106" s="5">
        <f>$EB$25*(EC106+(1-EC106)*$EB$16)</f>
        <v>252.05322714681438</v>
      </c>
      <c r="EE106" s="13">
        <f>ED106*($EB$6+ACUTE_MARGIN)</f>
        <v>254573.7594182825</v>
      </c>
      <c r="EF106" s="13">
        <f>IF(EB106=1,$EB$31,$EB$32)</f>
        <v>152394.16214437486</v>
      </c>
      <c r="EG106" s="13">
        <f>EE106-EF106</f>
        <v>102179.59727390765</v>
      </c>
      <c r="EH106" s="13">
        <f>EH105+EG106</f>
        <v>2350130.737299876</v>
      </c>
      <c r="EI106">
        <f>IF(EH106=MAX($EH$83:$EH$483),$A106,0)</f>
        <v>0</v>
      </c>
      <c r="EJ106">
        <f>IF(EE106&lt;EF106,$A106,B_MAX+1)</f>
        <v>401.0</v>
      </c>
      <c r="EK106" s="13">
        <f>IF(EB106=1,$EB$35,$EB$36)</f>
        <v>0</v>
      </c>
      <c r="EL106" s="13">
        <f>OCC_DAYS*$EB$41*R_NF_2023-ED106*MCD_SHARE_FREED*R_WAIT_2023</f>
        <v>-63953.16263896705</v>
      </c>
      <c r="EM106">
        <f>IF($A106&lt;=$EB$45,1,0)</f>
        <v>1</v>
      </c>
      <c r="FB106">
        <f>IF($FB$31&lt;=$FB$32,IF($A106&lt;=$FB$7,1,2),IF($A106&lt;=RUNG_BEDS_2,2,1))</f>
        <v>1</v>
      </c>
      <c r="FC106" s="5">
        <f>MIN(1,MAX(0,$FB$26-($A106-1)))</f>
        <v>1</v>
      </c>
      <c r="FD106" s="5">
        <f>$FB$25*(FC106+(1-FC106)*$FB$16)</f>
        <v>252.05322714681438</v>
      </c>
      <c r="FE106" s="13">
        <f>FD106*($FB$6+ACUTE_MARGIN)</f>
        <v>254573.7594182825</v>
      </c>
      <c r="FF106" s="13">
        <f>IF(FB106=1,$FB$31,$FB$32)</f>
        <v>156636.04979437485</v>
      </c>
      <c r="FG106" s="13">
        <f>FE106-FF106</f>
        <v>97937.70962390766</v>
      </c>
      <c r="FH106" s="13">
        <f>FH105+FG106</f>
        <v>2252567.3213498765</v>
      </c>
      <c r="FI106">
        <f>IF(FH106=MAX($FH$83:$FH$483),$A106,0)</f>
        <v>0</v>
      </c>
      <c r="FJ106">
        <f>IF(FE106&lt;FF106,$A106,B_MAX+1)</f>
        <v>401.0</v>
      </c>
      <c r="FK106" s="13">
        <f>IF(FB106=1,$FB$35,$FB$36)</f>
        <v>0</v>
      </c>
      <c r="FL106" s="13">
        <f>OCC_DAYS*$FB$41*R_NF_2023-FD106*MCD_SHARE_FREED*R_WAIT_2023</f>
        <v>37367.159242427646</v>
      </c>
      <c r="FM106">
        <f>IF($A106&lt;=$FB$45,1,0)</f>
        <v>1</v>
      </c>
      <c r="GB106">
        <f>IF($GB$31&lt;=$GB$32,IF($A106&lt;=$GB$7,1,2),IF($A106&lt;=RUNG_BEDS_2,2,1))</f>
        <v>1</v>
      </c>
      <c r="GC106" s="5">
        <f>MIN(1,MAX(0,$GB$26-($A106-1)))</f>
        <v>1</v>
      </c>
      <c r="GD106" s="5">
        <f>$GB$25*(GC106+(1-GC106)*$GB$16)</f>
        <v>252.05322714681438</v>
      </c>
      <c r="GE106" s="13">
        <f>GD106*($GB$6+ACUTE_MARGIN)</f>
        <v>254573.7594182825</v>
      </c>
      <c r="GF106" s="13">
        <f>IF(GB106=1,$GB$31,$GB$32)</f>
        <v>152394.16214437486</v>
      </c>
      <c r="GG106" s="13">
        <f>GE106-GF106</f>
        <v>102179.59727390765</v>
      </c>
      <c r="GH106" s="13">
        <f>GH105+GG106</f>
        <v>2350130.737299876</v>
      </c>
      <c r="GI106">
        <f>IF(GH106=MAX($GH$83:$GH$483),$A106,0)</f>
        <v>0</v>
      </c>
      <c r="GJ106">
        <f>IF(GE106&lt;GF106,$A106,B_MAX+1)</f>
        <v>401.0</v>
      </c>
      <c r="GK106" s="13">
        <f>IF(GB106=1,$GB$35,$GB$36)</f>
        <v>0</v>
      </c>
      <c r="GL106" s="13">
        <f>OCC_DAYS*$GB$41*R_NF_2023-GD106*MCD_SHARE_FREED*R_WAIT_2023</f>
        <v>37367.159242427646</v>
      </c>
      <c r="GM106">
        <f>IF($A106&lt;=$GB$45,1,0)</f>
        <v>1</v>
      </c>
      <c r="HB106">
        <f>IF($HB$31&lt;=$HB$32,IF($A106&lt;=$HB$7,1,2),IF($A106&lt;=RUNG_BEDS_2,2,1))</f>
        <v>1</v>
      </c>
      <c r="HC106" s="5">
        <f>MIN(1,MAX(0,$HB$26-($A106-1)))</f>
        <v>1</v>
      </c>
      <c r="HD106" s="5">
        <f>$HB$25*(HC106+(1-HC106)*$HB$16)</f>
        <v>252.05322714681438</v>
      </c>
      <c r="HE106" s="13">
        <f>HD106*($HB$6+ACUTE_MARGIN)</f>
        <v>254573.7594182825</v>
      </c>
      <c r="HF106" s="13">
        <f>IF(HB106=1,$HB$31,$HB$32)</f>
        <v>152456.2970814058</v>
      </c>
      <c r="HG106" s="13">
        <f>HE106-HF106</f>
        <v>102117.46233687672</v>
      </c>
      <c r="HH106" s="13">
        <f>HH105+HG106</f>
        <v>2348701.6337481644</v>
      </c>
      <c r="HI106">
        <f>IF(HH106=MAX($HH$83:$HH$483),$A106,0)</f>
        <v>0</v>
      </c>
      <c r="HJ106">
        <f>IF(HE106&lt;HF106,$A106,B_MAX+1)</f>
        <v>401.0</v>
      </c>
      <c r="HK106" s="13">
        <f>IF(HB106=1,$HB$35,$HB$36)</f>
        <v>0</v>
      </c>
      <c r="HL106" s="13">
        <f>OCC_DAYS*$HB$41*R_NF_2023-HD106*MCD_SHARE_FREED*R_WAIT_2023</f>
        <v>37367.159242427646</v>
      </c>
      <c r="HM106">
        <f>IF($A106&lt;=$HB$45,1,0)</f>
        <v>1</v>
      </c>
      <c r="IB106">
        <f>IF($IB$31&lt;=$IB$32,IF($A106&lt;=$IB$7,1,2),IF($A106&lt;=RUNG_BEDS_2,2,1))</f>
        <v>1</v>
      </c>
      <c r="IC106" s="5">
        <f>MIN(1,MAX(0,$IB$26-($A106-1)))</f>
        <v>1</v>
      </c>
      <c r="ID106" s="5">
        <f>$IB$25*(IC106+(1-IC106)*$IB$16)</f>
        <v>252.05322714681438</v>
      </c>
      <c r="IE106" s="13">
        <f>ID106*($IB$6+ACUTE_MARGIN)</f>
        <v>254573.7594182825</v>
      </c>
      <c r="IF106" s="13">
        <f>IF(IB106=1,$IB$31,$IB$32)</f>
        <v>152734.9994534971</v>
      </c>
      <c r="IG106" s="13">
        <f>IE106-IF106</f>
        <v>101838.75996478542</v>
      </c>
      <c r="IH106" s="13">
        <f>IH105+IG106</f>
        <v>2342291.479190066</v>
      </c>
      <c r="II106">
        <f>IF(IH106=MAX($IH$83:$IH$483),$A106,0)</f>
        <v>0</v>
      </c>
      <c r="IJ106">
        <f>IF(IE106&lt;IF106,$A106,B_MAX+1)</f>
        <v>401.0</v>
      </c>
      <c r="IK106" s="13">
        <f>IF(IB106=1,$IB$35,$IB$36)</f>
        <v>0</v>
      </c>
      <c r="IL106" s="13">
        <f>OCC_DAYS*$IB$41*R_NF_2023-ID106*MCD_SHARE_FREED*R_WAIT_2023</f>
        <v>37367.159242427646</v>
      </c>
      <c r="IM106">
        <f>IF($A106&lt;=$IB$45,1,0)</f>
        <v>1</v>
      </c>
      <c r="JB106">
        <f>IF($JB$31&lt;=$JB$32,IF($A106&lt;=$JB$7,1,2),IF($A106&lt;=RUNG_BEDS_2,2,1))</f>
        <v>1</v>
      </c>
      <c r="JC106" s="5">
        <f>MIN(1,MAX(0,$JB$26-($A106-1)))</f>
        <v>1</v>
      </c>
      <c r="JD106" s="5">
        <f>$JB$25*(JC106+(1-JC106)*$JB$16)</f>
        <v>252.05322714681438</v>
      </c>
      <c r="JE106" s="13">
        <f>JD106*($JB$6+ACUTE_MARGIN)</f>
        <v>254573.7594182825</v>
      </c>
      <c r="JF106" s="13">
        <f>IF(JB106=1,$JB$31,$JB$32)</f>
        <v>152394.16214437486</v>
      </c>
      <c r="JG106" s="13">
        <f>JE106-JF106</f>
        <v>102179.59727390765</v>
      </c>
      <c r="JH106" s="13">
        <f>JH105+JG106</f>
        <v>2350130.737299876</v>
      </c>
      <c r="JI106">
        <f>IF(JH106=MAX($JH$83:$JH$483),$A106,0)</f>
        <v>0</v>
      </c>
      <c r="JJ106">
        <f>IF(JE106&lt;JF106,$A106,B_MAX+1)</f>
        <v>401.0</v>
      </c>
      <c r="JK106" s="13">
        <f>IF(JB106=1,$JB$35,$JB$36)</f>
        <v>0</v>
      </c>
      <c r="JL106" s="13">
        <f>OCC_DAYS*$JB$41*R_NF_2023-JD106*MCD_SHARE_FREED*R_WAIT_2023</f>
        <v>37367.159242427646</v>
      </c>
      <c r="JM106">
        <f>IF($A106&lt;=$JB$45,1,0)</f>
        <v>1</v>
      </c>
      <c r="KB106">
        <f>IF($KB$31&lt;=$KB$32,IF($A106&lt;=$KB$7,1,2),IF($A106&lt;=RUNG_BEDS_2,2,1))</f>
        <v>1</v>
      </c>
      <c r="KC106" s="5">
        <f>MIN(1,MAX(0,$KB$26-($A106-1)))</f>
        <v>1</v>
      </c>
      <c r="KD106" s="5">
        <f>$KB$25*(KC106+(1-KC106)*$KB$16)</f>
        <v>126.02661357340719</v>
      </c>
      <c r="KE106" s="13">
        <f>KD106*($KB$6+ACUTE_MARGIN)</f>
        <v>127286.87970914126</v>
      </c>
      <c r="KF106" s="13">
        <f>IF(KB106=1,$KB$31,$KB$32)</f>
        <v>152394.16214437486</v>
      </c>
      <c r="KG106" s="13">
        <f>KE106-KF106</f>
        <v>-25107.282435233603</v>
      </c>
      <c r="KH106" s="13">
        <f>KH105+KG106</f>
        <v>-577467.4960103726</v>
      </c>
      <c r="KI106">
        <f>IF(KH106=MAX($KH$83:$KH$483),$A106,0)</f>
        <v>0</v>
      </c>
      <c r="KJ106">
        <f>IF(KE106&lt;KF106,$A106,B_MAX+1)</f>
        <v>23</v>
      </c>
      <c r="KK106" s="13">
        <f>IF(KB106=1,$KB$35,$KB$36)</f>
        <v>0</v>
      </c>
      <c r="KL106" s="13">
        <f>OCC_DAYS*$KB$41*R_NF_2023-KD106*MCD_SHARE_FREED*R_WAIT_2023</f>
        <v>94673.82103225985</v>
      </c>
      <c r="KM106">
        <f>IF($A106&lt;=$KB$45,1,0)</f>
        <v>0</v>
      </c>
      <c r="LB106">
        <f>IF($LB$31&lt;=$LB$32,IF($A106&lt;=$LB$7,1,2),IF($A106&lt;=RUNG_BEDS_2,2,1))</f>
        <v>1</v>
      </c>
      <c r="LC106" s="5">
        <f>MIN(1,MAX(0,$LB$26-($A106-1)))</f>
        <v>1</v>
      </c>
      <c r="LD106" s="5">
        <f>$LB$25*(LC106+(1-LC106)*$LB$16)</f>
        <v>84.01774238227146</v>
      </c>
      <c r="LE106" s="13">
        <f>LD106*($LB$6+ACUTE_MARGIN)</f>
        <v>84857.91980609419</v>
      </c>
      <c r="LF106" s="13">
        <f>IF(LB106=1,$LB$31,$LB$32)</f>
        <v>152394.16214437486</v>
      </c>
      <c r="LG106" s="13">
        <f>LE106-LF106</f>
        <v>-67536.24233828067</v>
      </c>
      <c r="LH106" s="13">
        <f>LH105+LG106</f>
        <v>-1553333.5737804554</v>
      </c>
      <c r="LI106">
        <f>IF(LH106=MAX($LH$83:$LH$483),$A106,0)</f>
        <v>0</v>
      </c>
      <c r="LJ106">
        <f>IF(LE106&lt;LF106,$A106,B_MAX+1)</f>
        <v>23</v>
      </c>
      <c r="LK106" s="13">
        <f>IF(LB106=1,$LB$35,$LB$36)</f>
        <v>0</v>
      </c>
      <c r="LL106" s="13">
        <f>OCC_DAYS*$LB$41*R_NF_2023-LD106*MCD_SHARE_FREED*R_WAIT_2023</f>
        <v>113776.04162887059</v>
      </c>
      <c r="LM106">
        <f>IF($A106&lt;=$LB$45,1,0)</f>
        <v>0</v>
      </c>
      <c r="MB106">
        <f>IF($MB$31&lt;=$MB$32,IF($A106&lt;=$MB$7,1,2),IF($A106&lt;=RUNG_BEDS_2,2,1))</f>
        <v>1</v>
      </c>
      <c r="MC106" s="5">
        <f>MIN(1,MAX(0,$MB$26-($A106-1)))</f>
        <v>1</v>
      </c>
      <c r="MD106" s="5">
        <f>$MB$25*(MC106+(1-MC106)*$MB$16)</f>
        <v>213.44610951008647</v>
      </c>
      <c r="ME106" s="13">
        <f>MD106*($MB$6+ACUTE_MARGIN)</f>
        <v>215580.57060518733</v>
      </c>
      <c r="MF106" s="13">
        <f>IF(MB106=1,$MB$31,$MB$32)</f>
        <v>152394.16214437486</v>
      </c>
      <c r="MG106" s="13">
        <f>ME106-MF106</f>
        <v>63186.40846081247</v>
      </c>
      <c r="MH106" s="13">
        <f>MH105+MG106</f>
        <v>1453287.394598686</v>
      </c>
      <c r="MI106">
        <f>IF(MH106=MAX($MH$83:$MH$483),$A106,0)</f>
        <v>0</v>
      </c>
      <c r="MJ106">
        <f>IF(ME106&lt;MF106,$A106,B_MAX+1)</f>
        <v>401.0</v>
      </c>
      <c r="MK106" s="13">
        <f>IF(MB106=1,$MB$35,$MB$36)</f>
        <v>0</v>
      </c>
      <c r="ML106" s="13">
        <f>OCC_DAYS*$MB$41*R_NF_2023-MD106*MCD_SHARE_FREED*R_WAIT_2023</f>
        <v>54922.538779778624</v>
      </c>
      <c r="MM106">
        <f>IF($A106&lt;=$MB$45,1,0)</f>
        <v>1</v>
      </c>
      <c r="NB106">
        <f>IF($NB$31&lt;=$NB$32,IF($A106&lt;=$NB$7,1,2),IF($A106&lt;=RUNG_BEDS_2,2,1))</f>
        <v>1</v>
      </c>
      <c r="NC106" s="5">
        <f>MIN(1,MAX(0,$NB$26-($A106-1)))</f>
        <v>1</v>
      </c>
      <c r="ND106" s="5">
        <f>$NB$25*(NC106+(1-NC106)*$NB$16)</f>
        <v>252.05322714681438</v>
      </c>
      <c r="NE106" s="13">
        <f>ND106*($NB$6+ACUTE_MARGIN)</f>
        <v>254573.7594182825</v>
      </c>
      <c r="NF106" s="13">
        <f>IF(NB106=1,$NB$31,$NB$32)</f>
        <v>152394.16214437486</v>
      </c>
      <c r="NG106" s="13">
        <f>NE106-NF106</f>
        <v>102179.59727390765</v>
      </c>
      <c r="NH106" s="13">
        <f>NH105+NG106</f>
        <v>2350130.737299876</v>
      </c>
      <c r="NI106">
        <f>IF(NH106=MAX($NH$83:$NH$483),$A106,0)</f>
        <v>0</v>
      </c>
      <c r="NJ106">
        <f>IF(NE106&lt;NF106,$A106,B_MAX+1)</f>
        <v>401.0</v>
      </c>
      <c r="NK106" s="13">
        <f>IF(NB106=1,$NB$35,$NB$36)</f>
        <v>0</v>
      </c>
      <c r="NL106" s="13">
        <f>OCC_DAYS*$NB$41*R_NF_2023-ND106*MCD_SHARE_FREED*R_WAIT_2023</f>
        <v>37367.159242427646</v>
      </c>
      <c r="NM106">
        <f>IF($A106&lt;=$NB$45,1,0)</f>
        <v>1</v>
      </c>
      <c r="OB106">
        <f>IF($OB$31&lt;=$OB$32,IF($A106&lt;=$OB$7,1,2),IF($A106&lt;=RUNG_BEDS_2,2,1))</f>
        <v>1</v>
      </c>
      <c r="OC106" s="5">
        <f>MIN(1,MAX(0,$OB$26-($A106-1)))</f>
        <v>1</v>
      </c>
      <c r="OD106" s="5">
        <f>$OB$25*(OC106+(1-OC106)*$OB$16)</f>
        <v>252.05322714681438</v>
      </c>
      <c r="OE106" s="13">
        <f>OD106*($OB$6+ACUTE_MARGIN)</f>
        <v>254573.7594182825</v>
      </c>
      <c r="OF106" s="13">
        <f>IF(OB106=1,$OB$31,$OB$32)</f>
        <v>152394.16214437486</v>
      </c>
      <c r="OG106" s="13">
        <f>OE106-OF106</f>
        <v>102179.59727390765</v>
      </c>
      <c r="OH106" s="13">
        <f>OH105+OG106</f>
        <v>2350130.737299876</v>
      </c>
      <c r="OI106">
        <f>IF(OH106=MAX($OH$83:$OH$483),$A106,0)</f>
        <v>0</v>
      </c>
      <c r="OJ106">
        <f>IF(OE106&lt;OF106,$A106,B_MAX+1)</f>
        <v>401.0</v>
      </c>
      <c r="OK106" s="13">
        <f>IF(OB106=1,$OB$35,$OB$36)</f>
        <v>0</v>
      </c>
      <c r="OL106" s="13">
        <f>OCC_DAYS*$OB$41*R_NF_2023-OD106*MCD_SHARE_FREED*R_WAIT_2023</f>
        <v>37367.159242427646</v>
      </c>
      <c r="OM106">
        <f>IF($A106&lt;=$OB$45,1,0)</f>
        <v>1</v>
      </c>
    </row>
    <row r="107">
      <c r="A107" t="n">
        <v>24</v>
      </c>
      <c r="B107">
        <f>IF($B$31&lt;=$B$32,IF($A107&lt;=$B$7,1,2),IF($A107&lt;=RUNG_BEDS_2,2,1))</f>
        <v>1</v>
      </c>
      <c r="C107" s="5">
        <f>MIN(1,MAX(0,$B$26-($A107-1)))</f>
        <v>1</v>
      </c>
      <c r="D107" s="5">
        <f>$B$25*(C107+(1-C107)*$B$16)</f>
        <v>252.05322714681438</v>
      </c>
      <c r="E107" s="13">
        <f>D107*($B$6+ACUTE_MARGIN)</f>
        <v>254573.7594182825</v>
      </c>
      <c r="F107" s="13">
        <f>IF(B107=1,$B$31,$B$32)</f>
        <v>152394.16214437486</v>
      </c>
      <c r="G107" s="13">
        <f>E107-F107</f>
        <v>102179.59727390765</v>
      </c>
      <c r="H107" s="13">
        <f>H106+G107</f>
        <v>2452310.3345737834</v>
      </c>
      <c r="I107">
        <f>IF(H107=MAX($H$83:$H$483),$A107,0)</f>
        <v>0</v>
      </c>
      <c r="J107">
        <f>IF(E107&lt;F107,$A107,B_MAX+1)</f>
        <v>401.0</v>
      </c>
      <c r="K107" s="13">
        <f>IF(B107=1,$B$35,$B$36)</f>
        <v>0</v>
      </c>
      <c r="L107" s="13">
        <f>OCC_DAYS*$B$41*R_NF_2023-D107*MCD_SHARE_FREED*R_WAIT_2023</f>
        <v>37367.159242427646</v>
      </c>
      <c r="M107">
        <f>IF($A107&lt;=$B$45,1,0)</f>
        <v>1</v>
      </c>
      <c r="AB107">
        <f>IF($AB$31&lt;=$AB$32,IF($A107&lt;=$AB$7,1,2),IF($A107&lt;=RUNG_BEDS_2,2,1))</f>
        <v>1</v>
      </c>
      <c r="AC107" s="5">
        <f>MIN(1,MAX(0,$AB$26-($A107-1)))</f>
        <v>1</v>
      </c>
      <c r="AD107" s="5">
        <f>$AB$25*(AC107+(1-AC107)*$AB$16)</f>
        <v>252.05322714681438</v>
      </c>
      <c r="AE107" s="13">
        <f>AD107*($AB$6+ACUTE_MARGIN)</f>
        <v>138629.2749307479</v>
      </c>
      <c r="AF107" s="13">
        <f>IF(AB107=1,$AB$31,$AB$32)</f>
        <v>152394.16214437486</v>
      </c>
      <c r="AG107" s="13">
        <f>AE107-AF107</f>
        <v>-13764.887213626964</v>
      </c>
      <c r="AH107" s="13">
        <f>AH106+AG107</f>
        <v>-330357.29312704725</v>
      </c>
      <c r="AI107">
        <f>IF(AH107=MAX($AH$83:$AH$483),$A107,0)</f>
        <v>0</v>
      </c>
      <c r="AJ107">
        <f>IF(AE107&lt;AF107,$A107,B_MAX+1)</f>
        <v>24</v>
      </c>
      <c r="AK107" s="13">
        <f>IF(AB107=1,$AB$35,$AB$36)</f>
        <v>0</v>
      </c>
      <c r="AL107" s="13">
        <f>OCC_DAYS*$AB$41*R_NF_2023-AD107*MCD_SHARE_FREED*R_WAIT_2023</f>
        <v>37367.159242427646</v>
      </c>
      <c r="AM107">
        <f>IF($A107&lt;=$AB$45,1,0)</f>
        <v>0</v>
      </c>
      <c r="BB107">
        <f>IF($BB$31&lt;=$BB$32,IF($A107&lt;=$BB$7,1,2),IF($A107&lt;=RUNG_BEDS_2,2,1))</f>
        <v>1</v>
      </c>
      <c r="BC107" s="5">
        <f>MIN(1,MAX(0,$BB$26-($A107-1)))</f>
        <v>1</v>
      </c>
      <c r="BD107" s="5">
        <f>$BB$25*(BC107+(1-BC107)*$BB$16)</f>
        <v>252.05322714681438</v>
      </c>
      <c r="BE107" s="13">
        <f>BD107*($BB$6+ACUTE_MARGIN)</f>
        <v>370518.24390581716</v>
      </c>
      <c r="BF107" s="13">
        <f>IF(BB107=1,$BB$31,$BB$32)</f>
        <v>152394.16214437486</v>
      </c>
      <c r="BG107" s="13">
        <f>BE107-BF107</f>
        <v>218124.0817614423</v>
      </c>
      <c r="BH107" s="13">
        <f>BH106+BG107</f>
        <v>5234977.962274613</v>
      </c>
      <c r="BI107">
        <f>IF(BH107=MAX($BH$83:$BH$483),$A107,0)</f>
        <v>0</v>
      </c>
      <c r="BJ107">
        <f>IF(BE107&lt;BF107,$A107,B_MAX+1)</f>
        <v>401.0</v>
      </c>
      <c r="BK107" s="13">
        <f>IF(BB107=1,$BB$35,$BB$36)</f>
        <v>0</v>
      </c>
      <c r="BL107" s="13">
        <f>OCC_DAYS*$BB$41*R_NF_2023-BD107*MCD_SHARE_FREED*R_WAIT_2023</f>
        <v>37367.159242427646</v>
      </c>
      <c r="BM107">
        <f>IF($A107&lt;=$BB$45,1,0)</f>
        <v>1</v>
      </c>
      <c r="CB107">
        <f>IF($CB$31&lt;=$CB$32,IF($A107&lt;=$CB$7,1,2),IF($A107&lt;=RUNG_BEDS_2,2,1))</f>
        <v>2</v>
      </c>
      <c r="CC107" s="5">
        <f>MIN(1,MAX(0,$CB$26-($A107-1)))</f>
        <v>1</v>
      </c>
      <c r="CD107" s="5">
        <f>$CB$25*(CC107+(1-CC107)*$CB$16)</f>
        <v>252.05322714681438</v>
      </c>
      <c r="CE107" s="13">
        <f>CD107*($CB$6+ACUTE_MARGIN)</f>
        <v>254573.7594182825</v>
      </c>
      <c r="CF107" s="13">
        <f>IF(CB107=1,$CB$31,$CB$32)</f>
        <v>160718.36940738867</v>
      </c>
      <c r="CG107" s="13">
        <f>CE107-CF107</f>
        <v>93855.39001089384</v>
      </c>
      <c r="CH107" s="13">
        <f>CH106+CG107</f>
        <v>2252529.360261452</v>
      </c>
      <c r="CI107">
        <f>IF(CH107=MAX($CH$83:$CH$483),$A107,0)</f>
        <v>0</v>
      </c>
      <c r="CJ107">
        <f>IF(CE107&lt;CF107,$A107,B_MAX+1)</f>
        <v>401.0</v>
      </c>
      <c r="CK107" s="13">
        <f>IF(CB107=1,$CB$35,$CB$36)</f>
        <v>1560.1194073886782</v>
      </c>
      <c r="CL107" s="13">
        <f>OCC_DAYS*$CB$41*R_NF_2023-CD107*MCD_SHARE_FREED*R_WAIT_2023</f>
        <v>37367.159242427646</v>
      </c>
      <c r="CM107">
        <f>IF($A107&lt;=$CB$45,1,0)</f>
        <v>1</v>
      </c>
      <c r="DB107">
        <f>IF($DB$31&lt;=$DB$32,IF($A107&lt;=$DB$7,1,2),IF($A107&lt;=RUNG_BEDS_2,2,1))</f>
        <v>1</v>
      </c>
      <c r="DC107" s="5">
        <f>MIN(1,MAX(0,$DB$26-($A107-1)))</f>
        <v>1</v>
      </c>
      <c r="DD107" s="5">
        <f>$DB$25*(DC107+(1-DC107)*$DB$16)</f>
        <v>252.05322714681438</v>
      </c>
      <c r="DE107" s="13">
        <f>DD107*($DB$6+ACUTE_MARGIN)</f>
        <v>254573.7594182825</v>
      </c>
      <c r="DF107" s="13">
        <f>IF(DB107=1,$DB$31,$DB$32)</f>
        <v>152394.16214437486</v>
      </c>
      <c r="DG107" s="13">
        <f>DE107-DF107</f>
        <v>102179.59727390765</v>
      </c>
      <c r="DH107" s="13">
        <f>DH106+DG107</f>
        <v>2452310.3345737834</v>
      </c>
      <c r="DI107">
        <f>IF(DH107=MAX($DH$83:$DH$483),$A107,0)</f>
        <v>0</v>
      </c>
      <c r="DJ107">
        <f>IF(DE107&lt;DF107,$A107,B_MAX+1)</f>
        <v>401.0</v>
      </c>
      <c r="DK107" s="13">
        <f>IF(DB107=1,$DB$35,$DB$36)</f>
        <v>0</v>
      </c>
      <c r="DL107" s="13">
        <f>OCC_DAYS*$DB$41*R_NF_2023-DD107*MCD_SHARE_FREED*R_WAIT_2023</f>
        <v>37367.159242427646</v>
      </c>
      <c r="DM107">
        <f>IF($A107&lt;=$DB$45,1,0)</f>
        <v>1</v>
      </c>
      <c r="EB107">
        <f>IF($EB$31&lt;=$EB$32,IF($A107&lt;=$EB$7,1,2),IF($A107&lt;=RUNG_BEDS_2,2,1))</f>
        <v>1</v>
      </c>
      <c r="EC107" s="5">
        <f>MIN(1,MAX(0,$EB$26-($A107-1)))</f>
        <v>1</v>
      </c>
      <c r="ED107" s="5">
        <f>$EB$25*(EC107+(1-EC107)*$EB$16)</f>
        <v>252.05322714681438</v>
      </c>
      <c r="EE107" s="13">
        <f>ED107*($EB$6+ACUTE_MARGIN)</f>
        <v>254573.7594182825</v>
      </c>
      <c r="EF107" s="13">
        <f>IF(EB107=1,$EB$31,$EB$32)</f>
        <v>152394.16214437486</v>
      </c>
      <c r="EG107" s="13">
        <f>EE107-EF107</f>
        <v>102179.59727390765</v>
      </c>
      <c r="EH107" s="13">
        <f>EH106+EG107</f>
        <v>2452310.3345737834</v>
      </c>
      <c r="EI107">
        <f>IF(EH107=MAX($EH$83:$EH$483),$A107,0)</f>
        <v>0</v>
      </c>
      <c r="EJ107">
        <f>IF(EE107&lt;EF107,$A107,B_MAX+1)</f>
        <v>401.0</v>
      </c>
      <c r="EK107" s="13">
        <f>IF(EB107=1,$EB$35,$EB$36)</f>
        <v>0</v>
      </c>
      <c r="EL107" s="13">
        <f>OCC_DAYS*$EB$41*R_NF_2023-ED107*MCD_SHARE_FREED*R_WAIT_2023</f>
        <v>-63953.16263896705</v>
      </c>
      <c r="EM107">
        <f>IF($A107&lt;=$EB$45,1,0)</f>
        <v>1</v>
      </c>
      <c r="FB107">
        <f>IF($FB$31&lt;=$FB$32,IF($A107&lt;=$FB$7,1,2),IF($A107&lt;=RUNG_BEDS_2,2,1))</f>
        <v>1</v>
      </c>
      <c r="FC107" s="5">
        <f>MIN(1,MAX(0,$FB$26-($A107-1)))</f>
        <v>1</v>
      </c>
      <c r="FD107" s="5">
        <f>$FB$25*(FC107+(1-FC107)*$FB$16)</f>
        <v>252.05322714681438</v>
      </c>
      <c r="FE107" s="13">
        <f>FD107*($FB$6+ACUTE_MARGIN)</f>
        <v>254573.7594182825</v>
      </c>
      <c r="FF107" s="13">
        <f>IF(FB107=1,$FB$31,$FB$32)</f>
        <v>156636.04979437485</v>
      </c>
      <c r="FG107" s="13">
        <f>FE107-FF107</f>
        <v>97937.70962390766</v>
      </c>
      <c r="FH107" s="13">
        <f>FH106+FG107</f>
        <v>2350505.030973784</v>
      </c>
      <c r="FI107">
        <f>IF(FH107=MAX($FH$83:$FH$483),$A107,0)</f>
        <v>0</v>
      </c>
      <c r="FJ107">
        <f>IF(FE107&lt;FF107,$A107,B_MAX+1)</f>
        <v>401.0</v>
      </c>
      <c r="FK107" s="13">
        <f>IF(FB107=1,$FB$35,$FB$36)</f>
        <v>0</v>
      </c>
      <c r="FL107" s="13">
        <f>OCC_DAYS*$FB$41*R_NF_2023-FD107*MCD_SHARE_FREED*R_WAIT_2023</f>
        <v>37367.159242427646</v>
      </c>
      <c r="FM107">
        <f>IF($A107&lt;=$FB$45,1,0)</f>
        <v>1</v>
      </c>
      <c r="GB107">
        <f>IF($GB$31&lt;=$GB$32,IF($A107&lt;=$GB$7,1,2),IF($A107&lt;=RUNG_BEDS_2,2,1))</f>
        <v>1</v>
      </c>
      <c r="GC107" s="5">
        <f>MIN(1,MAX(0,$GB$26-($A107-1)))</f>
        <v>1</v>
      </c>
      <c r="GD107" s="5">
        <f>$GB$25*(GC107+(1-GC107)*$GB$16)</f>
        <v>252.05322714681438</v>
      </c>
      <c r="GE107" s="13">
        <f>GD107*($GB$6+ACUTE_MARGIN)</f>
        <v>254573.7594182825</v>
      </c>
      <c r="GF107" s="13">
        <f>IF(GB107=1,$GB$31,$GB$32)</f>
        <v>152394.16214437486</v>
      </c>
      <c r="GG107" s="13">
        <f>GE107-GF107</f>
        <v>102179.59727390765</v>
      </c>
      <c r="GH107" s="13">
        <f>GH106+GG107</f>
        <v>2452310.3345737834</v>
      </c>
      <c r="GI107">
        <f>IF(GH107=MAX($GH$83:$GH$483),$A107,0)</f>
        <v>0</v>
      </c>
      <c r="GJ107">
        <f>IF(GE107&lt;GF107,$A107,B_MAX+1)</f>
        <v>401.0</v>
      </c>
      <c r="GK107" s="13">
        <f>IF(GB107=1,$GB$35,$GB$36)</f>
        <v>0</v>
      </c>
      <c r="GL107" s="13">
        <f>OCC_DAYS*$GB$41*R_NF_2023-GD107*MCD_SHARE_FREED*R_WAIT_2023</f>
        <v>37367.159242427646</v>
      </c>
      <c r="GM107">
        <f>IF($A107&lt;=$GB$45,1,0)</f>
        <v>1</v>
      </c>
      <c r="HB107">
        <f>IF($HB$31&lt;=$HB$32,IF($A107&lt;=$HB$7,1,2),IF($A107&lt;=RUNG_BEDS_2,2,1))</f>
        <v>1</v>
      </c>
      <c r="HC107" s="5">
        <f>MIN(1,MAX(0,$HB$26-($A107-1)))</f>
        <v>1</v>
      </c>
      <c r="HD107" s="5">
        <f>$HB$25*(HC107+(1-HC107)*$HB$16)</f>
        <v>252.05322714681438</v>
      </c>
      <c r="HE107" s="13">
        <f>HD107*($HB$6+ACUTE_MARGIN)</f>
        <v>254573.7594182825</v>
      </c>
      <c r="HF107" s="13">
        <f>IF(HB107=1,$HB$31,$HB$32)</f>
        <v>152456.2970814058</v>
      </c>
      <c r="HG107" s="13">
        <f>HE107-HF107</f>
        <v>102117.46233687672</v>
      </c>
      <c r="HH107" s="13">
        <f>HH106+HG107</f>
        <v>2450819.0960850413</v>
      </c>
      <c r="HI107">
        <f>IF(HH107=MAX($HH$83:$HH$483),$A107,0)</f>
        <v>0</v>
      </c>
      <c r="HJ107">
        <f>IF(HE107&lt;HF107,$A107,B_MAX+1)</f>
        <v>401.0</v>
      </c>
      <c r="HK107" s="13">
        <f>IF(HB107=1,$HB$35,$HB$36)</f>
        <v>0</v>
      </c>
      <c r="HL107" s="13">
        <f>OCC_DAYS*$HB$41*R_NF_2023-HD107*MCD_SHARE_FREED*R_WAIT_2023</f>
        <v>37367.159242427646</v>
      </c>
      <c r="HM107">
        <f>IF($A107&lt;=$HB$45,1,0)</f>
        <v>1</v>
      </c>
      <c r="IB107">
        <f>IF($IB$31&lt;=$IB$32,IF($A107&lt;=$IB$7,1,2),IF($A107&lt;=RUNG_BEDS_2,2,1))</f>
        <v>1</v>
      </c>
      <c r="IC107" s="5">
        <f>MIN(1,MAX(0,$IB$26-($A107-1)))</f>
        <v>1</v>
      </c>
      <c r="ID107" s="5">
        <f>$IB$25*(IC107+(1-IC107)*$IB$16)</f>
        <v>252.05322714681438</v>
      </c>
      <c r="IE107" s="13">
        <f>ID107*($IB$6+ACUTE_MARGIN)</f>
        <v>254573.7594182825</v>
      </c>
      <c r="IF107" s="13">
        <f>IF(IB107=1,$IB$31,$IB$32)</f>
        <v>152734.9994534971</v>
      </c>
      <c r="IG107" s="13">
        <f>IE107-IF107</f>
        <v>101838.75996478542</v>
      </c>
      <c r="IH107" s="13">
        <f>IH106+IG107</f>
        <v>2444130.2391548515</v>
      </c>
      <c r="II107">
        <f>IF(IH107=MAX($IH$83:$IH$483),$A107,0)</f>
        <v>0</v>
      </c>
      <c r="IJ107">
        <f>IF(IE107&lt;IF107,$A107,B_MAX+1)</f>
        <v>401.0</v>
      </c>
      <c r="IK107" s="13">
        <f>IF(IB107=1,$IB$35,$IB$36)</f>
        <v>0</v>
      </c>
      <c r="IL107" s="13">
        <f>OCC_DAYS*$IB$41*R_NF_2023-ID107*MCD_SHARE_FREED*R_WAIT_2023</f>
        <v>37367.159242427646</v>
      </c>
      <c r="IM107">
        <f>IF($A107&lt;=$IB$45,1,0)</f>
        <v>1</v>
      </c>
      <c r="JB107">
        <f>IF($JB$31&lt;=$JB$32,IF($A107&lt;=$JB$7,1,2),IF($A107&lt;=RUNG_BEDS_2,2,1))</f>
        <v>1</v>
      </c>
      <c r="JC107" s="5">
        <f>MIN(1,MAX(0,$JB$26-($A107-1)))</f>
        <v>1</v>
      </c>
      <c r="JD107" s="5">
        <f>$JB$25*(JC107+(1-JC107)*$JB$16)</f>
        <v>252.05322714681438</v>
      </c>
      <c r="JE107" s="13">
        <f>JD107*($JB$6+ACUTE_MARGIN)</f>
        <v>254573.7594182825</v>
      </c>
      <c r="JF107" s="13">
        <f>IF(JB107=1,$JB$31,$JB$32)</f>
        <v>152394.16214437486</v>
      </c>
      <c r="JG107" s="13">
        <f>JE107-JF107</f>
        <v>102179.59727390765</v>
      </c>
      <c r="JH107" s="13">
        <f>JH106+JG107</f>
        <v>2452310.3345737834</v>
      </c>
      <c r="JI107">
        <f>IF(JH107=MAX($JH$83:$JH$483),$A107,0)</f>
        <v>0</v>
      </c>
      <c r="JJ107">
        <f>IF(JE107&lt;JF107,$A107,B_MAX+1)</f>
        <v>401.0</v>
      </c>
      <c r="JK107" s="13">
        <f>IF(JB107=1,$JB$35,$JB$36)</f>
        <v>0</v>
      </c>
      <c r="JL107" s="13">
        <f>OCC_DAYS*$JB$41*R_NF_2023-JD107*MCD_SHARE_FREED*R_WAIT_2023</f>
        <v>37367.159242427646</v>
      </c>
      <c r="JM107">
        <f>IF($A107&lt;=$JB$45,1,0)</f>
        <v>1</v>
      </c>
      <c r="KB107">
        <f>IF($KB$31&lt;=$KB$32,IF($A107&lt;=$KB$7,1,2),IF($A107&lt;=RUNG_BEDS_2,2,1))</f>
        <v>1</v>
      </c>
      <c r="KC107" s="5">
        <f>MIN(1,MAX(0,$KB$26-($A107-1)))</f>
        <v>1</v>
      </c>
      <c r="KD107" s="5">
        <f>$KB$25*(KC107+(1-KC107)*$KB$16)</f>
        <v>126.02661357340719</v>
      </c>
      <c r="KE107" s="13">
        <f>KD107*($KB$6+ACUTE_MARGIN)</f>
        <v>127286.87970914126</v>
      </c>
      <c r="KF107" s="13">
        <f>IF(KB107=1,$KB$31,$KB$32)</f>
        <v>152394.16214437486</v>
      </c>
      <c r="KG107" s="13">
        <f>KE107-KF107</f>
        <v>-25107.282435233603</v>
      </c>
      <c r="KH107" s="13">
        <f>KH106+KG107</f>
        <v>-602574.7784456062</v>
      </c>
      <c r="KI107">
        <f>IF(KH107=MAX($KH$83:$KH$483),$A107,0)</f>
        <v>0</v>
      </c>
      <c r="KJ107">
        <f>IF(KE107&lt;KF107,$A107,B_MAX+1)</f>
        <v>24</v>
      </c>
      <c r="KK107" s="13">
        <f>IF(KB107=1,$KB$35,$KB$36)</f>
        <v>0</v>
      </c>
      <c r="KL107" s="13">
        <f>OCC_DAYS*$KB$41*R_NF_2023-KD107*MCD_SHARE_FREED*R_WAIT_2023</f>
        <v>94673.82103225985</v>
      </c>
      <c r="KM107">
        <f>IF($A107&lt;=$KB$45,1,0)</f>
        <v>0</v>
      </c>
      <c r="LB107">
        <f>IF($LB$31&lt;=$LB$32,IF($A107&lt;=$LB$7,1,2),IF($A107&lt;=RUNG_BEDS_2,2,1))</f>
        <v>1</v>
      </c>
      <c r="LC107" s="5">
        <f>MIN(1,MAX(0,$LB$26-($A107-1)))</f>
        <v>1</v>
      </c>
      <c r="LD107" s="5">
        <f>$LB$25*(LC107+(1-LC107)*$LB$16)</f>
        <v>84.01774238227146</v>
      </c>
      <c r="LE107" s="13">
        <f>LD107*($LB$6+ACUTE_MARGIN)</f>
        <v>84857.91980609419</v>
      </c>
      <c r="LF107" s="13">
        <f>IF(LB107=1,$LB$31,$LB$32)</f>
        <v>152394.16214437486</v>
      </c>
      <c r="LG107" s="13">
        <f>LE107-LF107</f>
        <v>-67536.24233828067</v>
      </c>
      <c r="LH107" s="13">
        <f>LH106+LG107</f>
        <v>-1620869.816118736</v>
      </c>
      <c r="LI107">
        <f>IF(LH107=MAX($LH$83:$LH$483),$A107,0)</f>
        <v>0</v>
      </c>
      <c r="LJ107">
        <f>IF(LE107&lt;LF107,$A107,B_MAX+1)</f>
        <v>24</v>
      </c>
      <c r="LK107" s="13">
        <f>IF(LB107=1,$LB$35,$LB$36)</f>
        <v>0</v>
      </c>
      <c r="LL107" s="13">
        <f>OCC_DAYS*$LB$41*R_NF_2023-LD107*MCD_SHARE_FREED*R_WAIT_2023</f>
        <v>113776.04162887059</v>
      </c>
      <c r="LM107">
        <f>IF($A107&lt;=$LB$45,1,0)</f>
        <v>0</v>
      </c>
      <c r="MB107">
        <f>IF($MB$31&lt;=$MB$32,IF($A107&lt;=$MB$7,1,2),IF($A107&lt;=RUNG_BEDS_2,2,1))</f>
        <v>1</v>
      </c>
      <c r="MC107" s="5">
        <f>MIN(1,MAX(0,$MB$26-($A107-1)))</f>
        <v>1</v>
      </c>
      <c r="MD107" s="5">
        <f>$MB$25*(MC107+(1-MC107)*$MB$16)</f>
        <v>213.44610951008647</v>
      </c>
      <c r="ME107" s="13">
        <f>MD107*($MB$6+ACUTE_MARGIN)</f>
        <v>215580.57060518733</v>
      </c>
      <c r="MF107" s="13">
        <f>IF(MB107=1,$MB$31,$MB$32)</f>
        <v>152394.16214437486</v>
      </c>
      <c r="MG107" s="13">
        <f>ME107-MF107</f>
        <v>63186.40846081247</v>
      </c>
      <c r="MH107" s="13">
        <f>MH106+MG107</f>
        <v>1516473.8030594983</v>
      </c>
      <c r="MI107">
        <f>IF(MH107=MAX($MH$83:$MH$483),$A107,0)</f>
        <v>0</v>
      </c>
      <c r="MJ107">
        <f>IF(ME107&lt;MF107,$A107,B_MAX+1)</f>
        <v>401.0</v>
      </c>
      <c r="MK107" s="13">
        <f>IF(MB107=1,$MB$35,$MB$36)</f>
        <v>0</v>
      </c>
      <c r="ML107" s="13">
        <f>OCC_DAYS*$MB$41*R_NF_2023-MD107*MCD_SHARE_FREED*R_WAIT_2023</f>
        <v>54922.538779778624</v>
      </c>
      <c r="MM107">
        <f>IF($A107&lt;=$MB$45,1,0)</f>
        <v>1</v>
      </c>
      <c r="NB107">
        <f>IF($NB$31&lt;=$NB$32,IF($A107&lt;=$NB$7,1,2),IF($A107&lt;=RUNG_BEDS_2,2,1))</f>
        <v>1</v>
      </c>
      <c r="NC107" s="5">
        <f>MIN(1,MAX(0,$NB$26-($A107-1)))</f>
        <v>1</v>
      </c>
      <c r="ND107" s="5">
        <f>$NB$25*(NC107+(1-NC107)*$NB$16)</f>
        <v>252.05322714681438</v>
      </c>
      <c r="NE107" s="13">
        <f>ND107*($NB$6+ACUTE_MARGIN)</f>
        <v>254573.7594182825</v>
      </c>
      <c r="NF107" s="13">
        <f>IF(NB107=1,$NB$31,$NB$32)</f>
        <v>152394.16214437486</v>
      </c>
      <c r="NG107" s="13">
        <f>NE107-NF107</f>
        <v>102179.59727390765</v>
      </c>
      <c r="NH107" s="13">
        <f>NH106+NG107</f>
        <v>2452310.3345737834</v>
      </c>
      <c r="NI107">
        <f>IF(NH107=MAX($NH$83:$NH$483),$A107,0)</f>
        <v>0</v>
      </c>
      <c r="NJ107">
        <f>IF(NE107&lt;NF107,$A107,B_MAX+1)</f>
        <v>401.0</v>
      </c>
      <c r="NK107" s="13">
        <f>IF(NB107=1,$NB$35,$NB$36)</f>
        <v>0</v>
      </c>
      <c r="NL107" s="13">
        <f>OCC_DAYS*$NB$41*R_NF_2023-ND107*MCD_SHARE_FREED*R_WAIT_2023</f>
        <v>37367.159242427646</v>
      </c>
      <c r="NM107">
        <f>IF($A107&lt;=$NB$45,1,0)</f>
        <v>1</v>
      </c>
      <c r="OB107">
        <f>IF($OB$31&lt;=$OB$32,IF($A107&lt;=$OB$7,1,2),IF($A107&lt;=RUNG_BEDS_2,2,1))</f>
        <v>1</v>
      </c>
      <c r="OC107" s="5">
        <f>MIN(1,MAX(0,$OB$26-($A107-1)))</f>
        <v>1</v>
      </c>
      <c r="OD107" s="5">
        <f>$OB$25*(OC107+(1-OC107)*$OB$16)</f>
        <v>252.05322714681438</v>
      </c>
      <c r="OE107" s="13">
        <f>OD107*($OB$6+ACUTE_MARGIN)</f>
        <v>254573.7594182825</v>
      </c>
      <c r="OF107" s="13">
        <f>IF(OB107=1,$OB$31,$OB$32)</f>
        <v>152394.16214437486</v>
      </c>
      <c r="OG107" s="13">
        <f>OE107-OF107</f>
        <v>102179.59727390765</v>
      </c>
      <c r="OH107" s="13">
        <f>OH106+OG107</f>
        <v>2452310.3345737834</v>
      </c>
      <c r="OI107">
        <f>IF(OH107=MAX($OH$83:$OH$483),$A107,0)</f>
        <v>0</v>
      </c>
      <c r="OJ107">
        <f>IF(OE107&lt;OF107,$A107,B_MAX+1)</f>
        <v>401.0</v>
      </c>
      <c r="OK107" s="13">
        <f>IF(OB107=1,$OB$35,$OB$36)</f>
        <v>0</v>
      </c>
      <c r="OL107" s="13">
        <f>OCC_DAYS*$OB$41*R_NF_2023-OD107*MCD_SHARE_FREED*R_WAIT_2023</f>
        <v>37367.159242427646</v>
      </c>
      <c r="OM107">
        <f>IF($A107&lt;=$OB$45,1,0)</f>
        <v>1</v>
      </c>
    </row>
    <row r="108">
      <c r="A108" t="n">
        <v>25</v>
      </c>
      <c r="B108">
        <f>IF($B$31&lt;=$B$32,IF($A108&lt;=$B$7,1,2),IF($A108&lt;=RUNG_BEDS_2,2,1))</f>
        <v>1</v>
      </c>
      <c r="C108" s="5">
        <f>MIN(1,MAX(0,$B$26-($A108-1)))</f>
        <v>1</v>
      </c>
      <c r="D108" s="5">
        <f>$B$25*(C108+(1-C108)*$B$16)</f>
        <v>252.05322714681438</v>
      </c>
      <c r="E108" s="13">
        <f>D108*($B$6+ACUTE_MARGIN)</f>
        <v>254573.7594182825</v>
      </c>
      <c r="F108" s="13">
        <f>IF(B108=1,$B$31,$B$32)</f>
        <v>152394.16214437486</v>
      </c>
      <c r="G108" s="13">
        <f>E108-F108</f>
        <v>102179.59727390765</v>
      </c>
      <c r="H108" s="13">
        <f>H107+G108</f>
        <v>2554489.931847691</v>
      </c>
      <c r="I108">
        <f>IF(H108=MAX($H$83:$H$483),$A108,0)</f>
        <v>0</v>
      </c>
      <c r="J108">
        <f>IF(E108&lt;F108,$A108,B_MAX+1)</f>
        <v>401.0</v>
      </c>
      <c r="K108" s="13">
        <f>IF(B108=1,$B$35,$B$36)</f>
        <v>0</v>
      </c>
      <c r="L108" s="13">
        <f>OCC_DAYS*$B$41*R_NF_2023-D108*MCD_SHARE_FREED*R_WAIT_2023</f>
        <v>37367.159242427646</v>
      </c>
      <c r="M108">
        <f>IF($A108&lt;=$B$45,1,0)</f>
        <v>1</v>
      </c>
      <c r="AB108">
        <f>IF($AB$31&lt;=$AB$32,IF($A108&lt;=$AB$7,1,2),IF($A108&lt;=RUNG_BEDS_2,2,1))</f>
        <v>1</v>
      </c>
      <c r="AC108" s="5">
        <f>MIN(1,MAX(0,$AB$26-($A108-1)))</f>
        <v>1</v>
      </c>
      <c r="AD108" s="5">
        <f>$AB$25*(AC108+(1-AC108)*$AB$16)</f>
        <v>252.05322714681438</v>
      </c>
      <c r="AE108" s="13">
        <f>AD108*($AB$6+ACUTE_MARGIN)</f>
        <v>138629.2749307479</v>
      </c>
      <c r="AF108" s="13">
        <f>IF(AB108=1,$AB$31,$AB$32)</f>
        <v>152394.16214437486</v>
      </c>
      <c r="AG108" s="13">
        <f>AE108-AF108</f>
        <v>-13764.887213626964</v>
      </c>
      <c r="AH108" s="13">
        <f>AH107+AG108</f>
        <v>-344122.18034067424</v>
      </c>
      <c r="AI108">
        <f>IF(AH108=MAX($AH$83:$AH$483),$A108,0)</f>
        <v>0</v>
      </c>
      <c r="AJ108">
        <f>IF(AE108&lt;AF108,$A108,B_MAX+1)</f>
        <v>25</v>
      </c>
      <c r="AK108" s="13">
        <f>IF(AB108=1,$AB$35,$AB$36)</f>
        <v>0</v>
      </c>
      <c r="AL108" s="13">
        <f>OCC_DAYS*$AB$41*R_NF_2023-AD108*MCD_SHARE_FREED*R_WAIT_2023</f>
        <v>37367.159242427646</v>
      </c>
      <c r="AM108">
        <f>IF($A108&lt;=$AB$45,1,0)</f>
        <v>0</v>
      </c>
      <c r="BB108">
        <f>IF($BB$31&lt;=$BB$32,IF($A108&lt;=$BB$7,1,2),IF($A108&lt;=RUNG_BEDS_2,2,1))</f>
        <v>1</v>
      </c>
      <c r="BC108" s="5">
        <f>MIN(1,MAX(0,$BB$26-($A108-1)))</f>
        <v>1</v>
      </c>
      <c r="BD108" s="5">
        <f>$BB$25*(BC108+(1-BC108)*$BB$16)</f>
        <v>252.05322714681438</v>
      </c>
      <c r="BE108" s="13">
        <f>BD108*($BB$6+ACUTE_MARGIN)</f>
        <v>370518.24390581716</v>
      </c>
      <c r="BF108" s="13">
        <f>IF(BB108=1,$BB$31,$BB$32)</f>
        <v>152394.16214437486</v>
      </c>
      <c r="BG108" s="13">
        <f>BE108-BF108</f>
        <v>218124.0817614423</v>
      </c>
      <c r="BH108" s="13">
        <f>BH107+BG108</f>
        <v>5453102.044036055</v>
      </c>
      <c r="BI108">
        <f>IF(BH108=MAX($BH$83:$BH$483),$A108,0)</f>
        <v>0</v>
      </c>
      <c r="BJ108">
        <f>IF(BE108&lt;BF108,$A108,B_MAX+1)</f>
        <v>401.0</v>
      </c>
      <c r="BK108" s="13">
        <f>IF(BB108=1,$BB$35,$BB$36)</f>
        <v>0</v>
      </c>
      <c r="BL108" s="13">
        <f>OCC_DAYS*$BB$41*R_NF_2023-BD108*MCD_SHARE_FREED*R_WAIT_2023</f>
        <v>37367.159242427646</v>
      </c>
      <c r="BM108">
        <f>IF($A108&lt;=$BB$45,1,0)</f>
        <v>1</v>
      </c>
      <c r="CB108">
        <f>IF($CB$31&lt;=$CB$32,IF($A108&lt;=$CB$7,1,2),IF($A108&lt;=RUNG_BEDS_2,2,1))</f>
        <v>2</v>
      </c>
      <c r="CC108" s="5">
        <f>MIN(1,MAX(0,$CB$26-($A108-1)))</f>
        <v>1</v>
      </c>
      <c r="CD108" s="5">
        <f>$CB$25*(CC108+(1-CC108)*$CB$16)</f>
        <v>252.05322714681438</v>
      </c>
      <c r="CE108" s="13">
        <f>CD108*($CB$6+ACUTE_MARGIN)</f>
        <v>254573.7594182825</v>
      </c>
      <c r="CF108" s="13">
        <f>IF(CB108=1,$CB$31,$CB$32)</f>
        <v>160718.36940738867</v>
      </c>
      <c r="CG108" s="13">
        <f>CE108-CF108</f>
        <v>93855.39001089384</v>
      </c>
      <c r="CH108" s="13">
        <f>CH107+CG108</f>
        <v>2346384.7502723457</v>
      </c>
      <c r="CI108">
        <f>IF(CH108=MAX($CH$83:$CH$483),$A108,0)</f>
        <v>0</v>
      </c>
      <c r="CJ108">
        <f>IF(CE108&lt;CF108,$A108,B_MAX+1)</f>
        <v>401.0</v>
      </c>
      <c r="CK108" s="13">
        <f>IF(CB108=1,$CB$35,$CB$36)</f>
        <v>1560.1194073886782</v>
      </c>
      <c r="CL108" s="13">
        <f>OCC_DAYS*$CB$41*R_NF_2023-CD108*MCD_SHARE_FREED*R_WAIT_2023</f>
        <v>37367.159242427646</v>
      </c>
      <c r="CM108">
        <f>IF($A108&lt;=$CB$45,1,0)</f>
        <v>1</v>
      </c>
      <c r="DB108">
        <f>IF($DB$31&lt;=$DB$32,IF($A108&lt;=$DB$7,1,2),IF($A108&lt;=RUNG_BEDS_2,2,1))</f>
        <v>1</v>
      </c>
      <c r="DC108" s="5">
        <f>MIN(1,MAX(0,$DB$26-($A108-1)))</f>
        <v>1</v>
      </c>
      <c r="DD108" s="5">
        <f>$DB$25*(DC108+(1-DC108)*$DB$16)</f>
        <v>252.05322714681438</v>
      </c>
      <c r="DE108" s="13">
        <f>DD108*($DB$6+ACUTE_MARGIN)</f>
        <v>254573.7594182825</v>
      </c>
      <c r="DF108" s="13">
        <f>IF(DB108=1,$DB$31,$DB$32)</f>
        <v>152394.16214437486</v>
      </c>
      <c r="DG108" s="13">
        <f>DE108-DF108</f>
        <v>102179.59727390765</v>
      </c>
      <c r="DH108" s="13">
        <f>DH107+DG108</f>
        <v>2554489.931847691</v>
      </c>
      <c r="DI108">
        <f>IF(DH108=MAX($DH$83:$DH$483),$A108,0)</f>
        <v>0</v>
      </c>
      <c r="DJ108">
        <f>IF(DE108&lt;DF108,$A108,B_MAX+1)</f>
        <v>401.0</v>
      </c>
      <c r="DK108" s="13">
        <f>IF(DB108=1,$DB$35,$DB$36)</f>
        <v>0</v>
      </c>
      <c r="DL108" s="13">
        <f>OCC_DAYS*$DB$41*R_NF_2023-DD108*MCD_SHARE_FREED*R_WAIT_2023</f>
        <v>37367.159242427646</v>
      </c>
      <c r="DM108">
        <f>IF($A108&lt;=$DB$45,1,0)</f>
        <v>1</v>
      </c>
      <c r="EB108">
        <f>IF($EB$31&lt;=$EB$32,IF($A108&lt;=$EB$7,1,2),IF($A108&lt;=RUNG_BEDS_2,2,1))</f>
        <v>1</v>
      </c>
      <c r="EC108" s="5">
        <f>MIN(1,MAX(0,$EB$26-($A108-1)))</f>
        <v>1</v>
      </c>
      <c r="ED108" s="5">
        <f>$EB$25*(EC108+(1-EC108)*$EB$16)</f>
        <v>252.05322714681438</v>
      </c>
      <c r="EE108" s="13">
        <f>ED108*($EB$6+ACUTE_MARGIN)</f>
        <v>254573.7594182825</v>
      </c>
      <c r="EF108" s="13">
        <f>IF(EB108=1,$EB$31,$EB$32)</f>
        <v>152394.16214437486</v>
      </c>
      <c r="EG108" s="13">
        <f>EE108-EF108</f>
        <v>102179.59727390765</v>
      </c>
      <c r="EH108" s="13">
        <f>EH107+EG108</f>
        <v>2554489.931847691</v>
      </c>
      <c r="EI108">
        <f>IF(EH108=MAX($EH$83:$EH$483),$A108,0)</f>
        <v>0</v>
      </c>
      <c r="EJ108">
        <f>IF(EE108&lt;EF108,$A108,B_MAX+1)</f>
        <v>401.0</v>
      </c>
      <c r="EK108" s="13">
        <f>IF(EB108=1,$EB$35,$EB$36)</f>
        <v>0</v>
      </c>
      <c r="EL108" s="13">
        <f>OCC_DAYS*$EB$41*R_NF_2023-ED108*MCD_SHARE_FREED*R_WAIT_2023</f>
        <v>-63953.16263896705</v>
      </c>
      <c r="EM108">
        <f>IF($A108&lt;=$EB$45,1,0)</f>
        <v>1</v>
      </c>
      <c r="FB108">
        <f>IF($FB$31&lt;=$FB$32,IF($A108&lt;=$FB$7,1,2),IF($A108&lt;=RUNG_BEDS_2,2,1))</f>
        <v>1</v>
      </c>
      <c r="FC108" s="5">
        <f>MIN(1,MAX(0,$FB$26-($A108-1)))</f>
        <v>1</v>
      </c>
      <c r="FD108" s="5">
        <f>$FB$25*(FC108+(1-FC108)*$FB$16)</f>
        <v>252.05322714681438</v>
      </c>
      <c r="FE108" s="13">
        <f>FD108*($FB$6+ACUTE_MARGIN)</f>
        <v>254573.7594182825</v>
      </c>
      <c r="FF108" s="13">
        <f>IF(FB108=1,$FB$31,$FB$32)</f>
        <v>156636.04979437485</v>
      </c>
      <c r="FG108" s="13">
        <f>FE108-FF108</f>
        <v>97937.70962390766</v>
      </c>
      <c r="FH108" s="13">
        <f>FH107+FG108</f>
        <v>2448442.740597692</v>
      </c>
      <c r="FI108">
        <f>IF(FH108=MAX($FH$83:$FH$483),$A108,0)</f>
        <v>0</v>
      </c>
      <c r="FJ108">
        <f>IF(FE108&lt;FF108,$A108,B_MAX+1)</f>
        <v>401.0</v>
      </c>
      <c r="FK108" s="13">
        <f>IF(FB108=1,$FB$35,$FB$36)</f>
        <v>0</v>
      </c>
      <c r="FL108" s="13">
        <f>OCC_DAYS*$FB$41*R_NF_2023-FD108*MCD_SHARE_FREED*R_WAIT_2023</f>
        <v>37367.159242427646</v>
      </c>
      <c r="FM108">
        <f>IF($A108&lt;=$FB$45,1,0)</f>
        <v>1</v>
      </c>
      <c r="GB108">
        <f>IF($GB$31&lt;=$GB$32,IF($A108&lt;=$GB$7,1,2),IF($A108&lt;=RUNG_BEDS_2,2,1))</f>
        <v>1</v>
      </c>
      <c r="GC108" s="5">
        <f>MIN(1,MAX(0,$GB$26-($A108-1)))</f>
        <v>1</v>
      </c>
      <c r="GD108" s="5">
        <f>$GB$25*(GC108+(1-GC108)*$GB$16)</f>
        <v>252.05322714681438</v>
      </c>
      <c r="GE108" s="13">
        <f>GD108*($GB$6+ACUTE_MARGIN)</f>
        <v>254573.7594182825</v>
      </c>
      <c r="GF108" s="13">
        <f>IF(GB108=1,$GB$31,$GB$32)</f>
        <v>152394.16214437486</v>
      </c>
      <c r="GG108" s="13">
        <f>GE108-GF108</f>
        <v>102179.59727390765</v>
      </c>
      <c r="GH108" s="13">
        <f>GH107+GG108</f>
        <v>2554489.931847691</v>
      </c>
      <c r="GI108">
        <f>IF(GH108=MAX($GH$83:$GH$483),$A108,0)</f>
        <v>0</v>
      </c>
      <c r="GJ108">
        <f>IF(GE108&lt;GF108,$A108,B_MAX+1)</f>
        <v>401.0</v>
      </c>
      <c r="GK108" s="13">
        <f>IF(GB108=1,$GB$35,$GB$36)</f>
        <v>0</v>
      </c>
      <c r="GL108" s="13">
        <f>OCC_DAYS*$GB$41*R_NF_2023-GD108*MCD_SHARE_FREED*R_WAIT_2023</f>
        <v>37367.159242427646</v>
      </c>
      <c r="GM108">
        <f>IF($A108&lt;=$GB$45,1,0)</f>
        <v>1</v>
      </c>
      <c r="HB108">
        <f>IF($HB$31&lt;=$HB$32,IF($A108&lt;=$HB$7,1,2),IF($A108&lt;=RUNG_BEDS_2,2,1))</f>
        <v>1</v>
      </c>
      <c r="HC108" s="5">
        <f>MIN(1,MAX(0,$HB$26-($A108-1)))</f>
        <v>1</v>
      </c>
      <c r="HD108" s="5">
        <f>$HB$25*(HC108+(1-HC108)*$HB$16)</f>
        <v>252.05322714681438</v>
      </c>
      <c r="HE108" s="13">
        <f>HD108*($HB$6+ACUTE_MARGIN)</f>
        <v>254573.7594182825</v>
      </c>
      <c r="HF108" s="13">
        <f>IF(HB108=1,$HB$31,$HB$32)</f>
        <v>152456.2970814058</v>
      </c>
      <c r="HG108" s="13">
        <f>HE108-HF108</f>
        <v>102117.46233687672</v>
      </c>
      <c r="HH108" s="13">
        <f>HH107+HG108</f>
        <v>2552936.558421918</v>
      </c>
      <c r="HI108">
        <f>IF(HH108=MAX($HH$83:$HH$483),$A108,0)</f>
        <v>0</v>
      </c>
      <c r="HJ108">
        <f>IF(HE108&lt;HF108,$A108,B_MAX+1)</f>
        <v>401.0</v>
      </c>
      <c r="HK108" s="13">
        <f>IF(HB108=1,$HB$35,$HB$36)</f>
        <v>0</v>
      </c>
      <c r="HL108" s="13">
        <f>OCC_DAYS*$HB$41*R_NF_2023-HD108*MCD_SHARE_FREED*R_WAIT_2023</f>
        <v>37367.159242427646</v>
      </c>
      <c r="HM108">
        <f>IF($A108&lt;=$HB$45,1,0)</f>
        <v>1</v>
      </c>
      <c r="IB108">
        <f>IF($IB$31&lt;=$IB$32,IF($A108&lt;=$IB$7,1,2),IF($A108&lt;=RUNG_BEDS_2,2,1))</f>
        <v>1</v>
      </c>
      <c r="IC108" s="5">
        <f>MIN(1,MAX(0,$IB$26-($A108-1)))</f>
        <v>1</v>
      </c>
      <c r="ID108" s="5">
        <f>$IB$25*(IC108+(1-IC108)*$IB$16)</f>
        <v>252.05322714681438</v>
      </c>
      <c r="IE108" s="13">
        <f>ID108*($IB$6+ACUTE_MARGIN)</f>
        <v>254573.7594182825</v>
      </c>
      <c r="IF108" s="13">
        <f>IF(IB108=1,$IB$31,$IB$32)</f>
        <v>152734.9994534971</v>
      </c>
      <c r="IG108" s="13">
        <f>IE108-IF108</f>
        <v>101838.75996478542</v>
      </c>
      <c r="IH108" s="13">
        <f>IH107+IG108</f>
        <v>2545968.999119637</v>
      </c>
      <c r="II108">
        <f>IF(IH108=MAX($IH$83:$IH$483),$A108,0)</f>
        <v>0</v>
      </c>
      <c r="IJ108">
        <f>IF(IE108&lt;IF108,$A108,B_MAX+1)</f>
        <v>401.0</v>
      </c>
      <c r="IK108" s="13">
        <f>IF(IB108=1,$IB$35,$IB$36)</f>
        <v>0</v>
      </c>
      <c r="IL108" s="13">
        <f>OCC_DAYS*$IB$41*R_NF_2023-ID108*MCD_SHARE_FREED*R_WAIT_2023</f>
        <v>37367.159242427646</v>
      </c>
      <c r="IM108">
        <f>IF($A108&lt;=$IB$45,1,0)</f>
        <v>1</v>
      </c>
      <c r="JB108">
        <f>IF($JB$31&lt;=$JB$32,IF($A108&lt;=$JB$7,1,2),IF($A108&lt;=RUNG_BEDS_2,2,1))</f>
        <v>1</v>
      </c>
      <c r="JC108" s="5">
        <f>MIN(1,MAX(0,$JB$26-($A108-1)))</f>
        <v>1</v>
      </c>
      <c r="JD108" s="5">
        <f>$JB$25*(JC108+(1-JC108)*$JB$16)</f>
        <v>252.05322714681438</v>
      </c>
      <c r="JE108" s="13">
        <f>JD108*($JB$6+ACUTE_MARGIN)</f>
        <v>254573.7594182825</v>
      </c>
      <c r="JF108" s="13">
        <f>IF(JB108=1,$JB$31,$JB$32)</f>
        <v>152394.16214437486</v>
      </c>
      <c r="JG108" s="13">
        <f>JE108-JF108</f>
        <v>102179.59727390765</v>
      </c>
      <c r="JH108" s="13">
        <f>JH107+JG108</f>
        <v>2554489.931847691</v>
      </c>
      <c r="JI108">
        <f>IF(JH108=MAX($JH$83:$JH$483),$A108,0)</f>
        <v>0</v>
      </c>
      <c r="JJ108">
        <f>IF(JE108&lt;JF108,$A108,B_MAX+1)</f>
        <v>401.0</v>
      </c>
      <c r="JK108" s="13">
        <f>IF(JB108=1,$JB$35,$JB$36)</f>
        <v>0</v>
      </c>
      <c r="JL108" s="13">
        <f>OCC_DAYS*$JB$41*R_NF_2023-JD108*MCD_SHARE_FREED*R_WAIT_2023</f>
        <v>37367.159242427646</v>
      </c>
      <c r="JM108">
        <f>IF($A108&lt;=$JB$45,1,0)</f>
        <v>1</v>
      </c>
      <c r="KB108">
        <f>IF($KB$31&lt;=$KB$32,IF($A108&lt;=$KB$7,1,2),IF($A108&lt;=RUNG_BEDS_2,2,1))</f>
        <v>1</v>
      </c>
      <c r="KC108" s="5">
        <f>MIN(1,MAX(0,$KB$26-($A108-1)))</f>
        <v>1</v>
      </c>
      <c r="KD108" s="5">
        <f>$KB$25*(KC108+(1-KC108)*$KB$16)</f>
        <v>126.02661357340719</v>
      </c>
      <c r="KE108" s="13">
        <f>KD108*($KB$6+ACUTE_MARGIN)</f>
        <v>127286.87970914126</v>
      </c>
      <c r="KF108" s="13">
        <f>IF(KB108=1,$KB$31,$KB$32)</f>
        <v>152394.16214437486</v>
      </c>
      <c r="KG108" s="13">
        <f>KE108-KF108</f>
        <v>-25107.282435233603</v>
      </c>
      <c r="KH108" s="13">
        <f>KH107+KG108</f>
        <v>-627682.0608808398</v>
      </c>
      <c r="KI108">
        <f>IF(KH108=MAX($KH$83:$KH$483),$A108,0)</f>
        <v>0</v>
      </c>
      <c r="KJ108">
        <f>IF(KE108&lt;KF108,$A108,B_MAX+1)</f>
        <v>25</v>
      </c>
      <c r="KK108" s="13">
        <f>IF(KB108=1,$KB$35,$KB$36)</f>
        <v>0</v>
      </c>
      <c r="KL108" s="13">
        <f>OCC_DAYS*$KB$41*R_NF_2023-KD108*MCD_SHARE_FREED*R_WAIT_2023</f>
        <v>94673.82103225985</v>
      </c>
      <c r="KM108">
        <f>IF($A108&lt;=$KB$45,1,0)</f>
        <v>0</v>
      </c>
      <c r="LB108">
        <f>IF($LB$31&lt;=$LB$32,IF($A108&lt;=$LB$7,1,2),IF($A108&lt;=RUNG_BEDS_2,2,1))</f>
        <v>1</v>
      </c>
      <c r="LC108" s="5">
        <f>MIN(1,MAX(0,$LB$26-($A108-1)))</f>
        <v>1</v>
      </c>
      <c r="LD108" s="5">
        <f>$LB$25*(LC108+(1-LC108)*$LB$16)</f>
        <v>84.01774238227146</v>
      </c>
      <c r="LE108" s="13">
        <f>LD108*($LB$6+ACUTE_MARGIN)</f>
        <v>84857.91980609419</v>
      </c>
      <c r="LF108" s="13">
        <f>IF(LB108=1,$LB$31,$LB$32)</f>
        <v>152394.16214437486</v>
      </c>
      <c r="LG108" s="13">
        <f>LE108-LF108</f>
        <v>-67536.24233828067</v>
      </c>
      <c r="LH108" s="13">
        <f>LH107+LG108</f>
        <v>-1688406.0584570167</v>
      </c>
      <c r="LI108">
        <f>IF(LH108=MAX($LH$83:$LH$483),$A108,0)</f>
        <v>0</v>
      </c>
      <c r="LJ108">
        <f>IF(LE108&lt;LF108,$A108,B_MAX+1)</f>
        <v>25</v>
      </c>
      <c r="LK108" s="13">
        <f>IF(LB108=1,$LB$35,$LB$36)</f>
        <v>0</v>
      </c>
      <c r="LL108" s="13">
        <f>OCC_DAYS*$LB$41*R_NF_2023-LD108*MCD_SHARE_FREED*R_WAIT_2023</f>
        <v>113776.04162887059</v>
      </c>
      <c r="LM108">
        <f>IF($A108&lt;=$LB$45,1,0)</f>
        <v>0</v>
      </c>
      <c r="MB108">
        <f>IF($MB$31&lt;=$MB$32,IF($A108&lt;=$MB$7,1,2),IF($A108&lt;=RUNG_BEDS_2,2,1))</f>
        <v>1</v>
      </c>
      <c r="MC108" s="5">
        <f>MIN(1,MAX(0,$MB$26-($A108-1)))</f>
        <v>1</v>
      </c>
      <c r="MD108" s="5">
        <f>$MB$25*(MC108+(1-MC108)*$MB$16)</f>
        <v>213.44610951008647</v>
      </c>
      <c r="ME108" s="13">
        <f>MD108*($MB$6+ACUTE_MARGIN)</f>
        <v>215580.57060518733</v>
      </c>
      <c r="MF108" s="13">
        <f>IF(MB108=1,$MB$31,$MB$32)</f>
        <v>152394.16214437486</v>
      </c>
      <c r="MG108" s="13">
        <f>ME108-MF108</f>
        <v>63186.40846081247</v>
      </c>
      <c r="MH108" s="13">
        <f>MH107+MG108</f>
        <v>1579660.2115203107</v>
      </c>
      <c r="MI108">
        <f>IF(MH108=MAX($MH$83:$MH$483),$A108,0)</f>
        <v>0</v>
      </c>
      <c r="MJ108">
        <f>IF(ME108&lt;MF108,$A108,B_MAX+1)</f>
        <v>401.0</v>
      </c>
      <c r="MK108" s="13">
        <f>IF(MB108=1,$MB$35,$MB$36)</f>
        <v>0</v>
      </c>
      <c r="ML108" s="13">
        <f>OCC_DAYS*$MB$41*R_NF_2023-MD108*MCD_SHARE_FREED*R_WAIT_2023</f>
        <v>54922.538779778624</v>
      </c>
      <c r="MM108">
        <f>IF($A108&lt;=$MB$45,1,0)</f>
        <v>1</v>
      </c>
      <c r="NB108">
        <f>IF($NB$31&lt;=$NB$32,IF($A108&lt;=$NB$7,1,2),IF($A108&lt;=RUNG_BEDS_2,2,1))</f>
        <v>1</v>
      </c>
      <c r="NC108" s="5">
        <f>MIN(1,MAX(0,$NB$26-($A108-1)))</f>
        <v>1</v>
      </c>
      <c r="ND108" s="5">
        <f>$NB$25*(NC108+(1-NC108)*$NB$16)</f>
        <v>252.05322714681438</v>
      </c>
      <c r="NE108" s="13">
        <f>ND108*($NB$6+ACUTE_MARGIN)</f>
        <v>254573.7594182825</v>
      </c>
      <c r="NF108" s="13">
        <f>IF(NB108=1,$NB$31,$NB$32)</f>
        <v>152394.16214437486</v>
      </c>
      <c r="NG108" s="13">
        <f>NE108-NF108</f>
        <v>102179.59727390765</v>
      </c>
      <c r="NH108" s="13">
        <f>NH107+NG108</f>
        <v>2554489.931847691</v>
      </c>
      <c r="NI108">
        <f>IF(NH108=MAX($NH$83:$NH$483),$A108,0)</f>
        <v>0</v>
      </c>
      <c r="NJ108">
        <f>IF(NE108&lt;NF108,$A108,B_MAX+1)</f>
        <v>401.0</v>
      </c>
      <c r="NK108" s="13">
        <f>IF(NB108=1,$NB$35,$NB$36)</f>
        <v>0</v>
      </c>
      <c r="NL108" s="13">
        <f>OCC_DAYS*$NB$41*R_NF_2023-ND108*MCD_SHARE_FREED*R_WAIT_2023</f>
        <v>37367.159242427646</v>
      </c>
      <c r="NM108">
        <f>IF($A108&lt;=$NB$45,1,0)</f>
        <v>1</v>
      </c>
      <c r="OB108">
        <f>IF($OB$31&lt;=$OB$32,IF($A108&lt;=$OB$7,1,2),IF($A108&lt;=RUNG_BEDS_2,2,1))</f>
        <v>1</v>
      </c>
      <c r="OC108" s="5">
        <f>MIN(1,MAX(0,$OB$26-($A108-1)))</f>
        <v>1</v>
      </c>
      <c r="OD108" s="5">
        <f>$OB$25*(OC108+(1-OC108)*$OB$16)</f>
        <v>252.05322714681438</v>
      </c>
      <c r="OE108" s="13">
        <f>OD108*($OB$6+ACUTE_MARGIN)</f>
        <v>254573.7594182825</v>
      </c>
      <c r="OF108" s="13">
        <f>IF(OB108=1,$OB$31,$OB$32)</f>
        <v>152394.16214437486</v>
      </c>
      <c r="OG108" s="13">
        <f>OE108-OF108</f>
        <v>102179.59727390765</v>
      </c>
      <c r="OH108" s="13">
        <f>OH107+OG108</f>
        <v>2554489.931847691</v>
      </c>
      <c r="OI108">
        <f>IF(OH108=MAX($OH$83:$OH$483),$A108,0)</f>
        <v>0</v>
      </c>
      <c r="OJ108">
        <f>IF(OE108&lt;OF108,$A108,B_MAX+1)</f>
        <v>401.0</v>
      </c>
      <c r="OK108" s="13">
        <f>IF(OB108=1,$OB$35,$OB$36)</f>
        <v>0</v>
      </c>
      <c r="OL108" s="13">
        <f>OCC_DAYS*$OB$41*R_NF_2023-OD108*MCD_SHARE_FREED*R_WAIT_2023</f>
        <v>37367.159242427646</v>
      </c>
      <c r="OM108">
        <f>IF($A108&lt;=$OB$45,1,0)</f>
        <v>1</v>
      </c>
    </row>
    <row r="109">
      <c r="A109" t="n">
        <v>26</v>
      </c>
      <c r="B109">
        <f>IF($B$31&lt;=$B$32,IF($A109&lt;=$B$7,1,2),IF($A109&lt;=RUNG_BEDS_2,2,1))</f>
        <v>1</v>
      </c>
      <c r="C109" s="5">
        <f>MIN(1,MAX(0,$B$26-($A109-1)))</f>
        <v>1</v>
      </c>
      <c r="D109" s="5">
        <f>$B$25*(C109+(1-C109)*$B$16)</f>
        <v>252.05322714681438</v>
      </c>
      <c r="E109" s="13">
        <f>D109*($B$6+ACUTE_MARGIN)</f>
        <v>254573.7594182825</v>
      </c>
      <c r="F109" s="13">
        <f>IF(B109=1,$B$31,$B$32)</f>
        <v>152394.16214437486</v>
      </c>
      <c r="G109" s="13">
        <f>E109-F109</f>
        <v>102179.59727390765</v>
      </c>
      <c r="H109" s="13">
        <f>H108+G109</f>
        <v>2656669.5291215987</v>
      </c>
      <c r="I109">
        <f>IF(H109=MAX($H$83:$H$483),$A109,0)</f>
        <v>0</v>
      </c>
      <c r="J109">
        <f>IF(E109&lt;F109,$A109,B_MAX+1)</f>
        <v>401.0</v>
      </c>
      <c r="K109" s="13">
        <f>IF(B109=1,$B$35,$B$36)</f>
        <v>0</v>
      </c>
      <c r="L109" s="13">
        <f>OCC_DAYS*$B$41*R_NF_2023-D109*MCD_SHARE_FREED*R_WAIT_2023</f>
        <v>37367.159242427646</v>
      </c>
      <c r="M109">
        <f>IF($A109&lt;=$B$45,1,0)</f>
        <v>1</v>
      </c>
      <c r="AB109">
        <f>IF($AB$31&lt;=$AB$32,IF($A109&lt;=$AB$7,1,2),IF($A109&lt;=RUNG_BEDS_2,2,1))</f>
        <v>1</v>
      </c>
      <c r="AC109" s="5">
        <f>MIN(1,MAX(0,$AB$26-($A109-1)))</f>
        <v>1</v>
      </c>
      <c r="AD109" s="5">
        <f>$AB$25*(AC109+(1-AC109)*$AB$16)</f>
        <v>252.05322714681438</v>
      </c>
      <c r="AE109" s="13">
        <f>AD109*($AB$6+ACUTE_MARGIN)</f>
        <v>138629.2749307479</v>
      </c>
      <c r="AF109" s="13">
        <f>IF(AB109=1,$AB$31,$AB$32)</f>
        <v>152394.16214437486</v>
      </c>
      <c r="AG109" s="13">
        <f>AE109-AF109</f>
        <v>-13764.887213626964</v>
      </c>
      <c r="AH109" s="13">
        <f>AH108+AG109</f>
        <v>-357887.06755430123</v>
      </c>
      <c r="AI109">
        <f>IF(AH109=MAX($AH$83:$AH$483),$A109,0)</f>
        <v>0</v>
      </c>
      <c r="AJ109">
        <f>IF(AE109&lt;AF109,$A109,B_MAX+1)</f>
        <v>26</v>
      </c>
      <c r="AK109" s="13">
        <f>IF(AB109=1,$AB$35,$AB$36)</f>
        <v>0</v>
      </c>
      <c r="AL109" s="13">
        <f>OCC_DAYS*$AB$41*R_NF_2023-AD109*MCD_SHARE_FREED*R_WAIT_2023</f>
        <v>37367.159242427646</v>
      </c>
      <c r="AM109">
        <f>IF($A109&lt;=$AB$45,1,0)</f>
        <v>0</v>
      </c>
      <c r="BB109">
        <f>IF($BB$31&lt;=$BB$32,IF($A109&lt;=$BB$7,1,2),IF($A109&lt;=RUNG_BEDS_2,2,1))</f>
        <v>1</v>
      </c>
      <c r="BC109" s="5">
        <f>MIN(1,MAX(0,$BB$26-($A109-1)))</f>
        <v>1</v>
      </c>
      <c r="BD109" s="5">
        <f>$BB$25*(BC109+(1-BC109)*$BB$16)</f>
        <v>252.05322714681438</v>
      </c>
      <c r="BE109" s="13">
        <f>BD109*($BB$6+ACUTE_MARGIN)</f>
        <v>370518.24390581716</v>
      </c>
      <c r="BF109" s="13">
        <f>IF(BB109=1,$BB$31,$BB$32)</f>
        <v>152394.16214437486</v>
      </c>
      <c r="BG109" s="13">
        <f>BE109-BF109</f>
        <v>218124.0817614423</v>
      </c>
      <c r="BH109" s="13">
        <f>BH108+BG109</f>
        <v>5671226.125797497</v>
      </c>
      <c r="BI109">
        <f>IF(BH109=MAX($BH$83:$BH$483),$A109,0)</f>
        <v>0</v>
      </c>
      <c r="BJ109">
        <f>IF(BE109&lt;BF109,$A109,B_MAX+1)</f>
        <v>401.0</v>
      </c>
      <c r="BK109" s="13">
        <f>IF(BB109=1,$BB$35,$BB$36)</f>
        <v>0</v>
      </c>
      <c r="BL109" s="13">
        <f>OCC_DAYS*$BB$41*R_NF_2023-BD109*MCD_SHARE_FREED*R_WAIT_2023</f>
        <v>37367.159242427646</v>
      </c>
      <c r="BM109">
        <f>IF($A109&lt;=$BB$45,1,0)</f>
        <v>1</v>
      </c>
      <c r="CB109">
        <f>IF($CB$31&lt;=$CB$32,IF($A109&lt;=$CB$7,1,2),IF($A109&lt;=RUNG_BEDS_2,2,1))</f>
        <v>2</v>
      </c>
      <c r="CC109" s="5">
        <f>MIN(1,MAX(0,$CB$26-($A109-1)))</f>
        <v>1</v>
      </c>
      <c r="CD109" s="5">
        <f>$CB$25*(CC109+(1-CC109)*$CB$16)</f>
        <v>252.05322714681438</v>
      </c>
      <c r="CE109" s="13">
        <f>CD109*($CB$6+ACUTE_MARGIN)</f>
        <v>254573.7594182825</v>
      </c>
      <c r="CF109" s="13">
        <f>IF(CB109=1,$CB$31,$CB$32)</f>
        <v>160718.36940738867</v>
      </c>
      <c r="CG109" s="13">
        <f>CE109-CF109</f>
        <v>93855.39001089384</v>
      </c>
      <c r="CH109" s="13">
        <f>CH108+CG109</f>
        <v>2440240.1402832395</v>
      </c>
      <c r="CI109">
        <f>IF(CH109=MAX($CH$83:$CH$483),$A109,0)</f>
        <v>0</v>
      </c>
      <c r="CJ109">
        <f>IF(CE109&lt;CF109,$A109,B_MAX+1)</f>
        <v>401.0</v>
      </c>
      <c r="CK109" s="13">
        <f>IF(CB109=1,$CB$35,$CB$36)</f>
        <v>1560.1194073886782</v>
      </c>
      <c r="CL109" s="13">
        <f>OCC_DAYS*$CB$41*R_NF_2023-CD109*MCD_SHARE_FREED*R_WAIT_2023</f>
        <v>37367.159242427646</v>
      </c>
      <c r="CM109">
        <f>IF($A109&lt;=$CB$45,1,0)</f>
        <v>1</v>
      </c>
      <c r="DB109">
        <f>IF($DB$31&lt;=$DB$32,IF($A109&lt;=$DB$7,1,2),IF($A109&lt;=RUNG_BEDS_2,2,1))</f>
        <v>1</v>
      </c>
      <c r="DC109" s="5">
        <f>MIN(1,MAX(0,$DB$26-($A109-1)))</f>
        <v>1</v>
      </c>
      <c r="DD109" s="5">
        <f>$DB$25*(DC109+(1-DC109)*$DB$16)</f>
        <v>252.05322714681438</v>
      </c>
      <c r="DE109" s="13">
        <f>DD109*($DB$6+ACUTE_MARGIN)</f>
        <v>254573.7594182825</v>
      </c>
      <c r="DF109" s="13">
        <f>IF(DB109=1,$DB$31,$DB$32)</f>
        <v>152394.16214437486</v>
      </c>
      <c r="DG109" s="13">
        <f>DE109-DF109</f>
        <v>102179.59727390765</v>
      </c>
      <c r="DH109" s="13">
        <f>DH108+DG109</f>
        <v>2656669.5291215987</v>
      </c>
      <c r="DI109">
        <f>IF(DH109=MAX($DH$83:$DH$483),$A109,0)</f>
        <v>0</v>
      </c>
      <c r="DJ109">
        <f>IF(DE109&lt;DF109,$A109,B_MAX+1)</f>
        <v>401.0</v>
      </c>
      <c r="DK109" s="13">
        <f>IF(DB109=1,$DB$35,$DB$36)</f>
        <v>0</v>
      </c>
      <c r="DL109" s="13">
        <f>OCC_DAYS*$DB$41*R_NF_2023-DD109*MCD_SHARE_FREED*R_WAIT_2023</f>
        <v>37367.159242427646</v>
      </c>
      <c r="DM109">
        <f>IF($A109&lt;=$DB$45,1,0)</f>
        <v>1</v>
      </c>
      <c r="EB109">
        <f>IF($EB$31&lt;=$EB$32,IF($A109&lt;=$EB$7,1,2),IF($A109&lt;=RUNG_BEDS_2,2,1))</f>
        <v>1</v>
      </c>
      <c r="EC109" s="5">
        <f>MIN(1,MAX(0,$EB$26-($A109-1)))</f>
        <v>1</v>
      </c>
      <c r="ED109" s="5">
        <f>$EB$25*(EC109+(1-EC109)*$EB$16)</f>
        <v>252.05322714681438</v>
      </c>
      <c r="EE109" s="13">
        <f>ED109*($EB$6+ACUTE_MARGIN)</f>
        <v>254573.7594182825</v>
      </c>
      <c r="EF109" s="13">
        <f>IF(EB109=1,$EB$31,$EB$32)</f>
        <v>152394.16214437486</v>
      </c>
      <c r="EG109" s="13">
        <f>EE109-EF109</f>
        <v>102179.59727390765</v>
      </c>
      <c r="EH109" s="13">
        <f>EH108+EG109</f>
        <v>2656669.5291215987</v>
      </c>
      <c r="EI109">
        <f>IF(EH109=MAX($EH$83:$EH$483),$A109,0)</f>
        <v>0</v>
      </c>
      <c r="EJ109">
        <f>IF(EE109&lt;EF109,$A109,B_MAX+1)</f>
        <v>401.0</v>
      </c>
      <c r="EK109" s="13">
        <f>IF(EB109=1,$EB$35,$EB$36)</f>
        <v>0</v>
      </c>
      <c r="EL109" s="13">
        <f>OCC_DAYS*$EB$41*R_NF_2023-ED109*MCD_SHARE_FREED*R_WAIT_2023</f>
        <v>-63953.16263896705</v>
      </c>
      <c r="EM109">
        <f>IF($A109&lt;=$EB$45,1,0)</f>
        <v>1</v>
      </c>
      <c r="FB109">
        <f>IF($FB$31&lt;=$FB$32,IF($A109&lt;=$FB$7,1,2),IF($A109&lt;=RUNG_BEDS_2,2,1))</f>
        <v>1</v>
      </c>
      <c r="FC109" s="5">
        <f>MIN(1,MAX(0,$FB$26-($A109-1)))</f>
        <v>1</v>
      </c>
      <c r="FD109" s="5">
        <f>$FB$25*(FC109+(1-FC109)*$FB$16)</f>
        <v>252.05322714681438</v>
      </c>
      <c r="FE109" s="13">
        <f>FD109*($FB$6+ACUTE_MARGIN)</f>
        <v>254573.7594182825</v>
      </c>
      <c r="FF109" s="13">
        <f>IF(FB109=1,$FB$31,$FB$32)</f>
        <v>156636.04979437485</v>
      </c>
      <c r="FG109" s="13">
        <f>FE109-FF109</f>
        <v>97937.70962390766</v>
      </c>
      <c r="FH109" s="13">
        <f>FH108+FG109</f>
        <v>2546380.4502215995</v>
      </c>
      <c r="FI109">
        <f>IF(FH109=MAX($FH$83:$FH$483),$A109,0)</f>
        <v>0</v>
      </c>
      <c r="FJ109">
        <f>IF(FE109&lt;FF109,$A109,B_MAX+1)</f>
        <v>401.0</v>
      </c>
      <c r="FK109" s="13">
        <f>IF(FB109=1,$FB$35,$FB$36)</f>
        <v>0</v>
      </c>
      <c r="FL109" s="13">
        <f>OCC_DAYS*$FB$41*R_NF_2023-FD109*MCD_SHARE_FREED*R_WAIT_2023</f>
        <v>37367.159242427646</v>
      </c>
      <c r="FM109">
        <f>IF($A109&lt;=$FB$45,1,0)</f>
        <v>1</v>
      </c>
      <c r="GB109">
        <f>IF($GB$31&lt;=$GB$32,IF($A109&lt;=$GB$7,1,2),IF($A109&lt;=RUNG_BEDS_2,2,1))</f>
        <v>1</v>
      </c>
      <c r="GC109" s="5">
        <f>MIN(1,MAX(0,$GB$26-($A109-1)))</f>
        <v>1</v>
      </c>
      <c r="GD109" s="5">
        <f>$GB$25*(GC109+(1-GC109)*$GB$16)</f>
        <v>252.05322714681438</v>
      </c>
      <c r="GE109" s="13">
        <f>GD109*($GB$6+ACUTE_MARGIN)</f>
        <v>254573.7594182825</v>
      </c>
      <c r="GF109" s="13">
        <f>IF(GB109=1,$GB$31,$GB$32)</f>
        <v>152394.16214437486</v>
      </c>
      <c r="GG109" s="13">
        <f>GE109-GF109</f>
        <v>102179.59727390765</v>
      </c>
      <c r="GH109" s="13">
        <f>GH108+GG109</f>
        <v>2656669.5291215987</v>
      </c>
      <c r="GI109">
        <f>IF(GH109=MAX($GH$83:$GH$483),$A109,0)</f>
        <v>0</v>
      </c>
      <c r="GJ109">
        <f>IF(GE109&lt;GF109,$A109,B_MAX+1)</f>
        <v>401.0</v>
      </c>
      <c r="GK109" s="13">
        <f>IF(GB109=1,$GB$35,$GB$36)</f>
        <v>0</v>
      </c>
      <c r="GL109" s="13">
        <f>OCC_DAYS*$GB$41*R_NF_2023-GD109*MCD_SHARE_FREED*R_WAIT_2023</f>
        <v>37367.159242427646</v>
      </c>
      <c r="GM109">
        <f>IF($A109&lt;=$GB$45,1,0)</f>
        <v>1</v>
      </c>
      <c r="HB109">
        <f>IF($HB$31&lt;=$HB$32,IF($A109&lt;=$HB$7,1,2),IF($A109&lt;=RUNG_BEDS_2,2,1))</f>
        <v>1</v>
      </c>
      <c r="HC109" s="5">
        <f>MIN(1,MAX(0,$HB$26-($A109-1)))</f>
        <v>1</v>
      </c>
      <c r="HD109" s="5">
        <f>$HB$25*(HC109+(1-HC109)*$HB$16)</f>
        <v>252.05322714681438</v>
      </c>
      <c r="HE109" s="13">
        <f>HD109*($HB$6+ACUTE_MARGIN)</f>
        <v>254573.7594182825</v>
      </c>
      <c r="HF109" s="13">
        <f>IF(HB109=1,$HB$31,$HB$32)</f>
        <v>152456.2970814058</v>
      </c>
      <c r="HG109" s="13">
        <f>HE109-HF109</f>
        <v>102117.46233687672</v>
      </c>
      <c r="HH109" s="13">
        <f>HH108+HG109</f>
        <v>2655054.020758795</v>
      </c>
      <c r="HI109">
        <f>IF(HH109=MAX($HH$83:$HH$483),$A109,0)</f>
        <v>0</v>
      </c>
      <c r="HJ109">
        <f>IF(HE109&lt;HF109,$A109,B_MAX+1)</f>
        <v>401.0</v>
      </c>
      <c r="HK109" s="13">
        <f>IF(HB109=1,$HB$35,$HB$36)</f>
        <v>0</v>
      </c>
      <c r="HL109" s="13">
        <f>OCC_DAYS*$HB$41*R_NF_2023-HD109*MCD_SHARE_FREED*R_WAIT_2023</f>
        <v>37367.159242427646</v>
      </c>
      <c r="HM109">
        <f>IF($A109&lt;=$HB$45,1,0)</f>
        <v>1</v>
      </c>
      <c r="IB109">
        <f>IF($IB$31&lt;=$IB$32,IF($A109&lt;=$IB$7,1,2),IF($A109&lt;=RUNG_BEDS_2,2,1))</f>
        <v>1</v>
      </c>
      <c r="IC109" s="5">
        <f>MIN(1,MAX(0,$IB$26-($A109-1)))</f>
        <v>1</v>
      </c>
      <c r="ID109" s="5">
        <f>$IB$25*(IC109+(1-IC109)*$IB$16)</f>
        <v>252.05322714681438</v>
      </c>
      <c r="IE109" s="13">
        <f>ID109*($IB$6+ACUTE_MARGIN)</f>
        <v>254573.7594182825</v>
      </c>
      <c r="IF109" s="13">
        <f>IF(IB109=1,$IB$31,$IB$32)</f>
        <v>152734.9994534971</v>
      </c>
      <c r="IG109" s="13">
        <f>IE109-IF109</f>
        <v>101838.75996478542</v>
      </c>
      <c r="IH109" s="13">
        <f>IH108+IG109</f>
        <v>2647807.7590844226</v>
      </c>
      <c r="II109">
        <f>IF(IH109=MAX($IH$83:$IH$483),$A109,0)</f>
        <v>0</v>
      </c>
      <c r="IJ109">
        <f>IF(IE109&lt;IF109,$A109,B_MAX+1)</f>
        <v>401.0</v>
      </c>
      <c r="IK109" s="13">
        <f>IF(IB109=1,$IB$35,$IB$36)</f>
        <v>0</v>
      </c>
      <c r="IL109" s="13">
        <f>OCC_DAYS*$IB$41*R_NF_2023-ID109*MCD_SHARE_FREED*R_WAIT_2023</f>
        <v>37367.159242427646</v>
      </c>
      <c r="IM109">
        <f>IF($A109&lt;=$IB$45,1,0)</f>
        <v>1</v>
      </c>
      <c r="JB109">
        <f>IF($JB$31&lt;=$JB$32,IF($A109&lt;=$JB$7,1,2),IF($A109&lt;=RUNG_BEDS_2,2,1))</f>
        <v>1</v>
      </c>
      <c r="JC109" s="5">
        <f>MIN(1,MAX(0,$JB$26-($A109-1)))</f>
        <v>1</v>
      </c>
      <c r="JD109" s="5">
        <f>$JB$25*(JC109+(1-JC109)*$JB$16)</f>
        <v>252.05322714681438</v>
      </c>
      <c r="JE109" s="13">
        <f>JD109*($JB$6+ACUTE_MARGIN)</f>
        <v>254573.7594182825</v>
      </c>
      <c r="JF109" s="13">
        <f>IF(JB109=1,$JB$31,$JB$32)</f>
        <v>152394.16214437486</v>
      </c>
      <c r="JG109" s="13">
        <f>JE109-JF109</f>
        <v>102179.59727390765</v>
      </c>
      <c r="JH109" s="13">
        <f>JH108+JG109</f>
        <v>2656669.5291215987</v>
      </c>
      <c r="JI109">
        <f>IF(JH109=MAX($JH$83:$JH$483),$A109,0)</f>
        <v>0</v>
      </c>
      <c r="JJ109">
        <f>IF(JE109&lt;JF109,$A109,B_MAX+1)</f>
        <v>401.0</v>
      </c>
      <c r="JK109" s="13">
        <f>IF(JB109=1,$JB$35,$JB$36)</f>
        <v>0</v>
      </c>
      <c r="JL109" s="13">
        <f>OCC_DAYS*$JB$41*R_NF_2023-JD109*MCD_SHARE_FREED*R_WAIT_2023</f>
        <v>37367.159242427646</v>
      </c>
      <c r="JM109">
        <f>IF($A109&lt;=$JB$45,1,0)</f>
        <v>1</v>
      </c>
      <c r="KB109">
        <f>IF($KB$31&lt;=$KB$32,IF($A109&lt;=$KB$7,1,2),IF($A109&lt;=RUNG_BEDS_2,2,1))</f>
        <v>1</v>
      </c>
      <c r="KC109" s="5">
        <f>MIN(1,MAX(0,$KB$26-($A109-1)))</f>
        <v>1</v>
      </c>
      <c r="KD109" s="5">
        <f>$KB$25*(KC109+(1-KC109)*$KB$16)</f>
        <v>126.02661357340719</v>
      </c>
      <c r="KE109" s="13">
        <f>KD109*($KB$6+ACUTE_MARGIN)</f>
        <v>127286.87970914126</v>
      </c>
      <c r="KF109" s="13">
        <f>IF(KB109=1,$KB$31,$KB$32)</f>
        <v>152394.16214437486</v>
      </c>
      <c r="KG109" s="13">
        <f>KE109-KF109</f>
        <v>-25107.282435233603</v>
      </c>
      <c r="KH109" s="13">
        <f>KH108+KG109</f>
        <v>-652789.3433160734</v>
      </c>
      <c r="KI109">
        <f>IF(KH109=MAX($KH$83:$KH$483),$A109,0)</f>
        <v>0</v>
      </c>
      <c r="KJ109">
        <f>IF(KE109&lt;KF109,$A109,B_MAX+1)</f>
        <v>26</v>
      </c>
      <c r="KK109" s="13">
        <f>IF(KB109=1,$KB$35,$KB$36)</f>
        <v>0</v>
      </c>
      <c r="KL109" s="13">
        <f>OCC_DAYS*$KB$41*R_NF_2023-KD109*MCD_SHARE_FREED*R_WAIT_2023</f>
        <v>94673.82103225985</v>
      </c>
      <c r="KM109">
        <f>IF($A109&lt;=$KB$45,1,0)</f>
        <v>0</v>
      </c>
      <c r="LB109">
        <f>IF($LB$31&lt;=$LB$32,IF($A109&lt;=$LB$7,1,2),IF($A109&lt;=RUNG_BEDS_2,2,1))</f>
        <v>1</v>
      </c>
      <c r="LC109" s="5">
        <f>MIN(1,MAX(0,$LB$26-($A109-1)))</f>
        <v>1</v>
      </c>
      <c r="LD109" s="5">
        <f>$LB$25*(LC109+(1-LC109)*$LB$16)</f>
        <v>84.01774238227146</v>
      </c>
      <c r="LE109" s="13">
        <f>LD109*($LB$6+ACUTE_MARGIN)</f>
        <v>84857.91980609419</v>
      </c>
      <c r="LF109" s="13">
        <f>IF(LB109=1,$LB$31,$LB$32)</f>
        <v>152394.16214437486</v>
      </c>
      <c r="LG109" s="13">
        <f>LE109-LF109</f>
        <v>-67536.24233828067</v>
      </c>
      <c r="LH109" s="13">
        <f>LH108+LG109</f>
        <v>-1755942.3007952974</v>
      </c>
      <c r="LI109">
        <f>IF(LH109=MAX($LH$83:$LH$483),$A109,0)</f>
        <v>0</v>
      </c>
      <c r="LJ109">
        <f>IF(LE109&lt;LF109,$A109,B_MAX+1)</f>
        <v>26</v>
      </c>
      <c r="LK109" s="13">
        <f>IF(LB109=1,$LB$35,$LB$36)</f>
        <v>0</v>
      </c>
      <c r="LL109" s="13">
        <f>OCC_DAYS*$LB$41*R_NF_2023-LD109*MCD_SHARE_FREED*R_WAIT_2023</f>
        <v>113776.04162887059</v>
      </c>
      <c r="LM109">
        <f>IF($A109&lt;=$LB$45,1,0)</f>
        <v>0</v>
      </c>
      <c r="MB109">
        <f>IF($MB$31&lt;=$MB$32,IF($A109&lt;=$MB$7,1,2),IF($A109&lt;=RUNG_BEDS_2,2,1))</f>
        <v>1</v>
      </c>
      <c r="MC109" s="5">
        <f>MIN(1,MAX(0,$MB$26-($A109-1)))</f>
        <v>1</v>
      </c>
      <c r="MD109" s="5">
        <f>$MB$25*(MC109+(1-MC109)*$MB$16)</f>
        <v>213.44610951008647</v>
      </c>
      <c r="ME109" s="13">
        <f>MD109*($MB$6+ACUTE_MARGIN)</f>
        <v>215580.57060518733</v>
      </c>
      <c r="MF109" s="13">
        <f>IF(MB109=1,$MB$31,$MB$32)</f>
        <v>152394.16214437486</v>
      </c>
      <c r="MG109" s="13">
        <f>ME109-MF109</f>
        <v>63186.40846081247</v>
      </c>
      <c r="MH109" s="13">
        <f>MH108+MG109</f>
        <v>1642846.6199811231</v>
      </c>
      <c r="MI109">
        <f>IF(MH109=MAX($MH$83:$MH$483),$A109,0)</f>
        <v>0</v>
      </c>
      <c r="MJ109">
        <f>IF(ME109&lt;MF109,$A109,B_MAX+1)</f>
        <v>401.0</v>
      </c>
      <c r="MK109" s="13">
        <f>IF(MB109=1,$MB$35,$MB$36)</f>
        <v>0</v>
      </c>
      <c r="ML109" s="13">
        <f>OCC_DAYS*$MB$41*R_NF_2023-MD109*MCD_SHARE_FREED*R_WAIT_2023</f>
        <v>54922.538779778624</v>
      </c>
      <c r="MM109">
        <f>IF($A109&lt;=$MB$45,1,0)</f>
        <v>1</v>
      </c>
      <c r="NB109">
        <f>IF($NB$31&lt;=$NB$32,IF($A109&lt;=$NB$7,1,2),IF($A109&lt;=RUNG_BEDS_2,2,1))</f>
        <v>1</v>
      </c>
      <c r="NC109" s="5">
        <f>MIN(1,MAX(0,$NB$26-($A109-1)))</f>
        <v>1</v>
      </c>
      <c r="ND109" s="5">
        <f>$NB$25*(NC109+(1-NC109)*$NB$16)</f>
        <v>252.05322714681438</v>
      </c>
      <c r="NE109" s="13">
        <f>ND109*($NB$6+ACUTE_MARGIN)</f>
        <v>254573.7594182825</v>
      </c>
      <c r="NF109" s="13">
        <f>IF(NB109=1,$NB$31,$NB$32)</f>
        <v>152394.16214437486</v>
      </c>
      <c r="NG109" s="13">
        <f>NE109-NF109</f>
        <v>102179.59727390765</v>
      </c>
      <c r="NH109" s="13">
        <f>NH108+NG109</f>
        <v>2656669.5291215987</v>
      </c>
      <c r="NI109">
        <f>IF(NH109=MAX($NH$83:$NH$483),$A109,0)</f>
        <v>0</v>
      </c>
      <c r="NJ109">
        <f>IF(NE109&lt;NF109,$A109,B_MAX+1)</f>
        <v>401.0</v>
      </c>
      <c r="NK109" s="13">
        <f>IF(NB109=1,$NB$35,$NB$36)</f>
        <v>0</v>
      </c>
      <c r="NL109" s="13">
        <f>OCC_DAYS*$NB$41*R_NF_2023-ND109*MCD_SHARE_FREED*R_WAIT_2023</f>
        <v>37367.159242427646</v>
      </c>
      <c r="NM109">
        <f>IF($A109&lt;=$NB$45,1,0)</f>
        <v>1</v>
      </c>
      <c r="OB109">
        <f>IF($OB$31&lt;=$OB$32,IF($A109&lt;=$OB$7,1,2),IF($A109&lt;=RUNG_BEDS_2,2,1))</f>
        <v>1</v>
      </c>
      <c r="OC109" s="5">
        <f>MIN(1,MAX(0,$OB$26-($A109-1)))</f>
        <v>1</v>
      </c>
      <c r="OD109" s="5">
        <f>$OB$25*(OC109+(1-OC109)*$OB$16)</f>
        <v>252.05322714681438</v>
      </c>
      <c r="OE109" s="13">
        <f>OD109*($OB$6+ACUTE_MARGIN)</f>
        <v>254573.7594182825</v>
      </c>
      <c r="OF109" s="13">
        <f>IF(OB109=1,$OB$31,$OB$32)</f>
        <v>152394.16214437486</v>
      </c>
      <c r="OG109" s="13">
        <f>OE109-OF109</f>
        <v>102179.59727390765</v>
      </c>
      <c r="OH109" s="13">
        <f>OH108+OG109</f>
        <v>2656669.5291215987</v>
      </c>
      <c r="OI109">
        <f>IF(OH109=MAX($OH$83:$OH$483),$A109,0)</f>
        <v>0</v>
      </c>
      <c r="OJ109">
        <f>IF(OE109&lt;OF109,$A109,B_MAX+1)</f>
        <v>401.0</v>
      </c>
      <c r="OK109" s="13">
        <f>IF(OB109=1,$OB$35,$OB$36)</f>
        <v>0</v>
      </c>
      <c r="OL109" s="13">
        <f>OCC_DAYS*$OB$41*R_NF_2023-OD109*MCD_SHARE_FREED*R_WAIT_2023</f>
        <v>37367.159242427646</v>
      </c>
      <c r="OM109">
        <f>IF($A109&lt;=$OB$45,1,0)</f>
        <v>1</v>
      </c>
    </row>
    <row r="110">
      <c r="A110" t="n">
        <v>27</v>
      </c>
      <c r="B110">
        <f>IF($B$31&lt;=$B$32,IF($A110&lt;=$B$7,1,2),IF($A110&lt;=RUNG_BEDS_2,2,1))</f>
        <v>1</v>
      </c>
      <c r="C110" s="5">
        <f>MIN(1,MAX(0,$B$26-($A110-1)))</f>
        <v>1</v>
      </c>
      <c r="D110" s="5">
        <f>$B$25*(C110+(1-C110)*$B$16)</f>
        <v>252.05322714681438</v>
      </c>
      <c r="E110" s="13">
        <f>D110*($B$6+ACUTE_MARGIN)</f>
        <v>254573.7594182825</v>
      </c>
      <c r="F110" s="13">
        <f>IF(B110=1,$B$31,$B$32)</f>
        <v>152394.16214437486</v>
      </c>
      <c r="G110" s="13">
        <f>E110-F110</f>
        <v>102179.59727390765</v>
      </c>
      <c r="H110" s="13">
        <f>H109+G110</f>
        <v>2758849.1263955063</v>
      </c>
      <c r="I110">
        <f>IF(H110=MAX($H$83:$H$483),$A110,0)</f>
        <v>0</v>
      </c>
      <c r="J110">
        <f>IF(E110&lt;F110,$A110,B_MAX+1)</f>
        <v>401.0</v>
      </c>
      <c r="K110" s="13">
        <f>IF(B110=1,$B$35,$B$36)</f>
        <v>0</v>
      </c>
      <c r="L110" s="13">
        <f>OCC_DAYS*$B$41*R_NF_2023-D110*MCD_SHARE_FREED*R_WAIT_2023</f>
        <v>37367.159242427646</v>
      </c>
      <c r="M110">
        <f>IF($A110&lt;=$B$45,1,0)</f>
        <v>1</v>
      </c>
      <c r="AB110">
        <f>IF($AB$31&lt;=$AB$32,IF($A110&lt;=$AB$7,1,2),IF($A110&lt;=RUNG_BEDS_2,2,1))</f>
        <v>1</v>
      </c>
      <c r="AC110" s="5">
        <f>MIN(1,MAX(0,$AB$26-($A110-1)))</f>
        <v>1</v>
      </c>
      <c r="AD110" s="5">
        <f>$AB$25*(AC110+(1-AC110)*$AB$16)</f>
        <v>252.05322714681438</v>
      </c>
      <c r="AE110" s="13">
        <f>AD110*($AB$6+ACUTE_MARGIN)</f>
        <v>138629.2749307479</v>
      </c>
      <c r="AF110" s="13">
        <f>IF(AB110=1,$AB$31,$AB$32)</f>
        <v>152394.16214437486</v>
      </c>
      <c r="AG110" s="13">
        <f>AE110-AF110</f>
        <v>-13764.887213626964</v>
      </c>
      <c r="AH110" s="13">
        <f>AH109+AG110</f>
        <v>-371651.9547679282</v>
      </c>
      <c r="AI110">
        <f>IF(AH110=MAX($AH$83:$AH$483),$A110,0)</f>
        <v>0</v>
      </c>
      <c r="AJ110">
        <f>IF(AE110&lt;AF110,$A110,B_MAX+1)</f>
        <v>27</v>
      </c>
      <c r="AK110" s="13">
        <f>IF(AB110=1,$AB$35,$AB$36)</f>
        <v>0</v>
      </c>
      <c r="AL110" s="13">
        <f>OCC_DAYS*$AB$41*R_NF_2023-AD110*MCD_SHARE_FREED*R_WAIT_2023</f>
        <v>37367.159242427646</v>
      </c>
      <c r="AM110">
        <f>IF($A110&lt;=$AB$45,1,0)</f>
        <v>0</v>
      </c>
      <c r="BB110">
        <f>IF($BB$31&lt;=$BB$32,IF($A110&lt;=$BB$7,1,2),IF($A110&lt;=RUNG_BEDS_2,2,1))</f>
        <v>1</v>
      </c>
      <c r="BC110" s="5">
        <f>MIN(1,MAX(0,$BB$26-($A110-1)))</f>
        <v>1</v>
      </c>
      <c r="BD110" s="5">
        <f>$BB$25*(BC110+(1-BC110)*$BB$16)</f>
        <v>252.05322714681438</v>
      </c>
      <c r="BE110" s="13">
        <f>BD110*($BB$6+ACUTE_MARGIN)</f>
        <v>370518.24390581716</v>
      </c>
      <c r="BF110" s="13">
        <f>IF(BB110=1,$BB$31,$BB$32)</f>
        <v>152394.16214437486</v>
      </c>
      <c r="BG110" s="13">
        <f>BE110-BF110</f>
        <v>218124.0817614423</v>
      </c>
      <c r="BH110" s="13">
        <f>BH109+BG110</f>
        <v>5889350.207558939</v>
      </c>
      <c r="BI110">
        <f>IF(BH110=MAX($BH$83:$BH$483),$A110,0)</f>
        <v>0</v>
      </c>
      <c r="BJ110">
        <f>IF(BE110&lt;BF110,$A110,B_MAX+1)</f>
        <v>401.0</v>
      </c>
      <c r="BK110" s="13">
        <f>IF(BB110=1,$BB$35,$BB$36)</f>
        <v>0</v>
      </c>
      <c r="BL110" s="13">
        <f>OCC_DAYS*$BB$41*R_NF_2023-BD110*MCD_SHARE_FREED*R_WAIT_2023</f>
        <v>37367.159242427646</v>
      </c>
      <c r="BM110">
        <f>IF($A110&lt;=$BB$45,1,0)</f>
        <v>1</v>
      </c>
      <c r="CB110">
        <f>IF($CB$31&lt;=$CB$32,IF($A110&lt;=$CB$7,1,2),IF($A110&lt;=RUNG_BEDS_2,2,1))</f>
        <v>2</v>
      </c>
      <c r="CC110" s="5">
        <f>MIN(1,MAX(0,$CB$26-($A110-1)))</f>
        <v>1</v>
      </c>
      <c r="CD110" s="5">
        <f>$CB$25*(CC110+(1-CC110)*$CB$16)</f>
        <v>252.05322714681438</v>
      </c>
      <c r="CE110" s="13">
        <f>CD110*($CB$6+ACUTE_MARGIN)</f>
        <v>254573.7594182825</v>
      </c>
      <c r="CF110" s="13">
        <f>IF(CB110=1,$CB$31,$CB$32)</f>
        <v>160718.36940738867</v>
      </c>
      <c r="CG110" s="13">
        <f>CE110-CF110</f>
        <v>93855.39001089384</v>
      </c>
      <c r="CH110" s="13">
        <f>CH109+CG110</f>
        <v>2534095.5302941334</v>
      </c>
      <c r="CI110">
        <f>IF(CH110=MAX($CH$83:$CH$483),$A110,0)</f>
        <v>0</v>
      </c>
      <c r="CJ110">
        <f>IF(CE110&lt;CF110,$A110,B_MAX+1)</f>
        <v>401.0</v>
      </c>
      <c r="CK110" s="13">
        <f>IF(CB110=1,$CB$35,$CB$36)</f>
        <v>1560.1194073886782</v>
      </c>
      <c r="CL110" s="13">
        <f>OCC_DAYS*$CB$41*R_NF_2023-CD110*MCD_SHARE_FREED*R_WAIT_2023</f>
        <v>37367.159242427646</v>
      </c>
      <c r="CM110">
        <f>IF($A110&lt;=$CB$45,1,0)</f>
        <v>1</v>
      </c>
      <c r="DB110">
        <f>IF($DB$31&lt;=$DB$32,IF($A110&lt;=$DB$7,1,2),IF($A110&lt;=RUNG_BEDS_2,2,1))</f>
        <v>1</v>
      </c>
      <c r="DC110" s="5">
        <f>MIN(1,MAX(0,$DB$26-($A110-1)))</f>
        <v>1</v>
      </c>
      <c r="DD110" s="5">
        <f>$DB$25*(DC110+(1-DC110)*$DB$16)</f>
        <v>252.05322714681438</v>
      </c>
      <c r="DE110" s="13">
        <f>DD110*($DB$6+ACUTE_MARGIN)</f>
        <v>254573.7594182825</v>
      </c>
      <c r="DF110" s="13">
        <f>IF(DB110=1,$DB$31,$DB$32)</f>
        <v>152394.16214437486</v>
      </c>
      <c r="DG110" s="13">
        <f>DE110-DF110</f>
        <v>102179.59727390765</v>
      </c>
      <c r="DH110" s="13">
        <f>DH109+DG110</f>
        <v>2758849.1263955063</v>
      </c>
      <c r="DI110">
        <f>IF(DH110=MAX($DH$83:$DH$483),$A110,0)</f>
        <v>0</v>
      </c>
      <c r="DJ110">
        <f>IF(DE110&lt;DF110,$A110,B_MAX+1)</f>
        <v>401.0</v>
      </c>
      <c r="DK110" s="13">
        <f>IF(DB110=1,$DB$35,$DB$36)</f>
        <v>0</v>
      </c>
      <c r="DL110" s="13">
        <f>OCC_DAYS*$DB$41*R_NF_2023-DD110*MCD_SHARE_FREED*R_WAIT_2023</f>
        <v>37367.159242427646</v>
      </c>
      <c r="DM110">
        <f>IF($A110&lt;=$DB$45,1,0)</f>
        <v>1</v>
      </c>
      <c r="EB110">
        <f>IF($EB$31&lt;=$EB$32,IF($A110&lt;=$EB$7,1,2),IF($A110&lt;=RUNG_BEDS_2,2,1))</f>
        <v>1</v>
      </c>
      <c r="EC110" s="5">
        <f>MIN(1,MAX(0,$EB$26-($A110-1)))</f>
        <v>1</v>
      </c>
      <c r="ED110" s="5">
        <f>$EB$25*(EC110+(1-EC110)*$EB$16)</f>
        <v>252.05322714681438</v>
      </c>
      <c r="EE110" s="13">
        <f>ED110*($EB$6+ACUTE_MARGIN)</f>
        <v>254573.7594182825</v>
      </c>
      <c r="EF110" s="13">
        <f>IF(EB110=1,$EB$31,$EB$32)</f>
        <v>152394.16214437486</v>
      </c>
      <c r="EG110" s="13">
        <f>EE110-EF110</f>
        <v>102179.59727390765</v>
      </c>
      <c r="EH110" s="13">
        <f>EH109+EG110</f>
        <v>2758849.1263955063</v>
      </c>
      <c r="EI110">
        <f>IF(EH110=MAX($EH$83:$EH$483),$A110,0)</f>
        <v>0</v>
      </c>
      <c r="EJ110">
        <f>IF(EE110&lt;EF110,$A110,B_MAX+1)</f>
        <v>401.0</v>
      </c>
      <c r="EK110" s="13">
        <f>IF(EB110=1,$EB$35,$EB$36)</f>
        <v>0</v>
      </c>
      <c r="EL110" s="13">
        <f>OCC_DAYS*$EB$41*R_NF_2023-ED110*MCD_SHARE_FREED*R_WAIT_2023</f>
        <v>-63953.16263896705</v>
      </c>
      <c r="EM110">
        <f>IF($A110&lt;=$EB$45,1,0)</f>
        <v>1</v>
      </c>
      <c r="FB110">
        <f>IF($FB$31&lt;=$FB$32,IF($A110&lt;=$FB$7,1,2),IF($A110&lt;=RUNG_BEDS_2,2,1))</f>
        <v>1</v>
      </c>
      <c r="FC110" s="5">
        <f>MIN(1,MAX(0,$FB$26-($A110-1)))</f>
        <v>1</v>
      </c>
      <c r="FD110" s="5">
        <f>$FB$25*(FC110+(1-FC110)*$FB$16)</f>
        <v>252.05322714681438</v>
      </c>
      <c r="FE110" s="13">
        <f>FD110*($FB$6+ACUTE_MARGIN)</f>
        <v>254573.7594182825</v>
      </c>
      <c r="FF110" s="13">
        <f>IF(FB110=1,$FB$31,$FB$32)</f>
        <v>156636.04979437485</v>
      </c>
      <c r="FG110" s="13">
        <f>FE110-FF110</f>
        <v>97937.70962390766</v>
      </c>
      <c r="FH110" s="13">
        <f>FH109+FG110</f>
        <v>2644318.1598455072</v>
      </c>
      <c r="FI110">
        <f>IF(FH110=MAX($FH$83:$FH$483),$A110,0)</f>
        <v>0</v>
      </c>
      <c r="FJ110">
        <f>IF(FE110&lt;FF110,$A110,B_MAX+1)</f>
        <v>401.0</v>
      </c>
      <c r="FK110" s="13">
        <f>IF(FB110=1,$FB$35,$FB$36)</f>
        <v>0</v>
      </c>
      <c r="FL110" s="13">
        <f>OCC_DAYS*$FB$41*R_NF_2023-FD110*MCD_SHARE_FREED*R_WAIT_2023</f>
        <v>37367.159242427646</v>
      </c>
      <c r="FM110">
        <f>IF($A110&lt;=$FB$45,1,0)</f>
        <v>1</v>
      </c>
      <c r="GB110">
        <f>IF($GB$31&lt;=$GB$32,IF($A110&lt;=$GB$7,1,2),IF($A110&lt;=RUNG_BEDS_2,2,1))</f>
        <v>1</v>
      </c>
      <c r="GC110" s="5">
        <f>MIN(1,MAX(0,$GB$26-($A110-1)))</f>
        <v>1</v>
      </c>
      <c r="GD110" s="5">
        <f>$GB$25*(GC110+(1-GC110)*$GB$16)</f>
        <v>252.05322714681438</v>
      </c>
      <c r="GE110" s="13">
        <f>GD110*($GB$6+ACUTE_MARGIN)</f>
        <v>254573.7594182825</v>
      </c>
      <c r="GF110" s="13">
        <f>IF(GB110=1,$GB$31,$GB$32)</f>
        <v>152394.16214437486</v>
      </c>
      <c r="GG110" s="13">
        <f>GE110-GF110</f>
        <v>102179.59727390765</v>
      </c>
      <c r="GH110" s="13">
        <f>GH109+GG110</f>
        <v>2758849.1263955063</v>
      </c>
      <c r="GI110">
        <f>IF(GH110=MAX($GH$83:$GH$483),$A110,0)</f>
        <v>0</v>
      </c>
      <c r="GJ110">
        <f>IF(GE110&lt;GF110,$A110,B_MAX+1)</f>
        <v>401.0</v>
      </c>
      <c r="GK110" s="13">
        <f>IF(GB110=1,$GB$35,$GB$36)</f>
        <v>0</v>
      </c>
      <c r="GL110" s="13">
        <f>OCC_DAYS*$GB$41*R_NF_2023-GD110*MCD_SHARE_FREED*R_WAIT_2023</f>
        <v>37367.159242427646</v>
      </c>
      <c r="GM110">
        <f>IF($A110&lt;=$GB$45,1,0)</f>
        <v>1</v>
      </c>
      <c r="HB110">
        <f>IF($HB$31&lt;=$HB$32,IF($A110&lt;=$HB$7,1,2),IF($A110&lt;=RUNG_BEDS_2,2,1))</f>
        <v>1</v>
      </c>
      <c r="HC110" s="5">
        <f>MIN(1,MAX(0,$HB$26-($A110-1)))</f>
        <v>1</v>
      </c>
      <c r="HD110" s="5">
        <f>$HB$25*(HC110+(1-HC110)*$HB$16)</f>
        <v>252.05322714681438</v>
      </c>
      <c r="HE110" s="13">
        <f>HD110*($HB$6+ACUTE_MARGIN)</f>
        <v>254573.7594182825</v>
      </c>
      <c r="HF110" s="13">
        <f>IF(HB110=1,$HB$31,$HB$32)</f>
        <v>152456.2970814058</v>
      </c>
      <c r="HG110" s="13">
        <f>HE110-HF110</f>
        <v>102117.46233687672</v>
      </c>
      <c r="HH110" s="13">
        <f>HH109+HG110</f>
        <v>2757171.483095672</v>
      </c>
      <c r="HI110">
        <f>IF(HH110=MAX($HH$83:$HH$483),$A110,0)</f>
        <v>0</v>
      </c>
      <c r="HJ110">
        <f>IF(HE110&lt;HF110,$A110,B_MAX+1)</f>
        <v>401.0</v>
      </c>
      <c r="HK110" s="13">
        <f>IF(HB110=1,$HB$35,$HB$36)</f>
        <v>0</v>
      </c>
      <c r="HL110" s="13">
        <f>OCC_DAYS*$HB$41*R_NF_2023-HD110*MCD_SHARE_FREED*R_WAIT_2023</f>
        <v>37367.159242427646</v>
      </c>
      <c r="HM110">
        <f>IF($A110&lt;=$HB$45,1,0)</f>
        <v>1</v>
      </c>
      <c r="IB110">
        <f>IF($IB$31&lt;=$IB$32,IF($A110&lt;=$IB$7,1,2),IF($A110&lt;=RUNG_BEDS_2,2,1))</f>
        <v>1</v>
      </c>
      <c r="IC110" s="5">
        <f>MIN(1,MAX(0,$IB$26-($A110-1)))</f>
        <v>1</v>
      </c>
      <c r="ID110" s="5">
        <f>$IB$25*(IC110+(1-IC110)*$IB$16)</f>
        <v>252.05322714681438</v>
      </c>
      <c r="IE110" s="13">
        <f>ID110*($IB$6+ACUTE_MARGIN)</f>
        <v>254573.7594182825</v>
      </c>
      <c r="IF110" s="13">
        <f>IF(IB110=1,$IB$31,$IB$32)</f>
        <v>152734.9994534971</v>
      </c>
      <c r="IG110" s="13">
        <f>IE110-IF110</f>
        <v>101838.75996478542</v>
      </c>
      <c r="IH110" s="13">
        <f>IH109+IG110</f>
        <v>2749646.519049208</v>
      </c>
      <c r="II110">
        <f>IF(IH110=MAX($IH$83:$IH$483),$A110,0)</f>
        <v>0</v>
      </c>
      <c r="IJ110">
        <f>IF(IE110&lt;IF110,$A110,B_MAX+1)</f>
        <v>401.0</v>
      </c>
      <c r="IK110" s="13">
        <f>IF(IB110=1,$IB$35,$IB$36)</f>
        <v>0</v>
      </c>
      <c r="IL110" s="13">
        <f>OCC_DAYS*$IB$41*R_NF_2023-ID110*MCD_SHARE_FREED*R_WAIT_2023</f>
        <v>37367.159242427646</v>
      </c>
      <c r="IM110">
        <f>IF($A110&lt;=$IB$45,1,0)</f>
        <v>1</v>
      </c>
      <c r="JB110">
        <f>IF($JB$31&lt;=$JB$32,IF($A110&lt;=$JB$7,1,2),IF($A110&lt;=RUNG_BEDS_2,2,1))</f>
        <v>1</v>
      </c>
      <c r="JC110" s="5">
        <f>MIN(1,MAX(0,$JB$26-($A110-1)))</f>
        <v>1</v>
      </c>
      <c r="JD110" s="5">
        <f>$JB$25*(JC110+(1-JC110)*$JB$16)</f>
        <v>252.05322714681438</v>
      </c>
      <c r="JE110" s="13">
        <f>JD110*($JB$6+ACUTE_MARGIN)</f>
        <v>254573.7594182825</v>
      </c>
      <c r="JF110" s="13">
        <f>IF(JB110=1,$JB$31,$JB$32)</f>
        <v>152394.16214437486</v>
      </c>
      <c r="JG110" s="13">
        <f>JE110-JF110</f>
        <v>102179.59727390765</v>
      </c>
      <c r="JH110" s="13">
        <f>JH109+JG110</f>
        <v>2758849.1263955063</v>
      </c>
      <c r="JI110">
        <f>IF(JH110=MAX($JH$83:$JH$483),$A110,0)</f>
        <v>0</v>
      </c>
      <c r="JJ110">
        <f>IF(JE110&lt;JF110,$A110,B_MAX+1)</f>
        <v>401.0</v>
      </c>
      <c r="JK110" s="13">
        <f>IF(JB110=1,$JB$35,$JB$36)</f>
        <v>0</v>
      </c>
      <c r="JL110" s="13">
        <f>OCC_DAYS*$JB$41*R_NF_2023-JD110*MCD_SHARE_FREED*R_WAIT_2023</f>
        <v>37367.159242427646</v>
      </c>
      <c r="JM110">
        <f>IF($A110&lt;=$JB$45,1,0)</f>
        <v>1</v>
      </c>
      <c r="KB110">
        <f>IF($KB$31&lt;=$KB$32,IF($A110&lt;=$KB$7,1,2),IF($A110&lt;=RUNG_BEDS_2,2,1))</f>
        <v>1</v>
      </c>
      <c r="KC110" s="5">
        <f>MIN(1,MAX(0,$KB$26-($A110-1)))</f>
        <v>1</v>
      </c>
      <c r="KD110" s="5">
        <f>$KB$25*(KC110+(1-KC110)*$KB$16)</f>
        <v>126.02661357340719</v>
      </c>
      <c r="KE110" s="13">
        <f>KD110*($KB$6+ACUTE_MARGIN)</f>
        <v>127286.87970914126</v>
      </c>
      <c r="KF110" s="13">
        <f>IF(KB110=1,$KB$31,$KB$32)</f>
        <v>152394.16214437486</v>
      </c>
      <c r="KG110" s="13">
        <f>KE110-KF110</f>
        <v>-25107.282435233603</v>
      </c>
      <c r="KH110" s="13">
        <f>KH109+KG110</f>
        <v>-677896.625751307</v>
      </c>
      <c r="KI110">
        <f>IF(KH110=MAX($KH$83:$KH$483),$A110,0)</f>
        <v>0</v>
      </c>
      <c r="KJ110">
        <f>IF(KE110&lt;KF110,$A110,B_MAX+1)</f>
        <v>27</v>
      </c>
      <c r="KK110" s="13">
        <f>IF(KB110=1,$KB$35,$KB$36)</f>
        <v>0</v>
      </c>
      <c r="KL110" s="13">
        <f>OCC_DAYS*$KB$41*R_NF_2023-KD110*MCD_SHARE_FREED*R_WAIT_2023</f>
        <v>94673.82103225985</v>
      </c>
      <c r="KM110">
        <f>IF($A110&lt;=$KB$45,1,0)</f>
        <v>0</v>
      </c>
      <c r="LB110">
        <f>IF($LB$31&lt;=$LB$32,IF($A110&lt;=$LB$7,1,2),IF($A110&lt;=RUNG_BEDS_2,2,1))</f>
        <v>1</v>
      </c>
      <c r="LC110" s="5">
        <f>MIN(1,MAX(0,$LB$26-($A110-1)))</f>
        <v>1</v>
      </c>
      <c r="LD110" s="5">
        <f>$LB$25*(LC110+(1-LC110)*$LB$16)</f>
        <v>84.01774238227146</v>
      </c>
      <c r="LE110" s="13">
        <f>LD110*($LB$6+ACUTE_MARGIN)</f>
        <v>84857.91980609419</v>
      </c>
      <c r="LF110" s="13">
        <f>IF(LB110=1,$LB$31,$LB$32)</f>
        <v>152394.16214437486</v>
      </c>
      <c r="LG110" s="13">
        <f>LE110-LF110</f>
        <v>-67536.24233828067</v>
      </c>
      <c r="LH110" s="13">
        <f>LH109+LG110</f>
        <v>-1823478.543133578</v>
      </c>
      <c r="LI110">
        <f>IF(LH110=MAX($LH$83:$LH$483),$A110,0)</f>
        <v>0</v>
      </c>
      <c r="LJ110">
        <f>IF(LE110&lt;LF110,$A110,B_MAX+1)</f>
        <v>27</v>
      </c>
      <c r="LK110" s="13">
        <f>IF(LB110=1,$LB$35,$LB$36)</f>
        <v>0</v>
      </c>
      <c r="LL110" s="13">
        <f>OCC_DAYS*$LB$41*R_NF_2023-LD110*MCD_SHARE_FREED*R_WAIT_2023</f>
        <v>113776.04162887059</v>
      </c>
      <c r="LM110">
        <f>IF($A110&lt;=$LB$45,1,0)</f>
        <v>0</v>
      </c>
      <c r="MB110">
        <f>IF($MB$31&lt;=$MB$32,IF($A110&lt;=$MB$7,1,2),IF($A110&lt;=RUNG_BEDS_2,2,1))</f>
        <v>1</v>
      </c>
      <c r="MC110" s="5">
        <f>MIN(1,MAX(0,$MB$26-($A110-1)))</f>
        <v>1</v>
      </c>
      <c r="MD110" s="5">
        <f>$MB$25*(MC110+(1-MC110)*$MB$16)</f>
        <v>213.44610951008647</v>
      </c>
      <c r="ME110" s="13">
        <f>MD110*($MB$6+ACUTE_MARGIN)</f>
        <v>215580.57060518733</v>
      </c>
      <c r="MF110" s="13">
        <f>IF(MB110=1,$MB$31,$MB$32)</f>
        <v>152394.16214437486</v>
      </c>
      <c r="MG110" s="13">
        <f>ME110-MF110</f>
        <v>63186.40846081247</v>
      </c>
      <c r="MH110" s="13">
        <f>MH109+MG110</f>
        <v>1706033.0284419355</v>
      </c>
      <c r="MI110">
        <f>IF(MH110=MAX($MH$83:$MH$483),$A110,0)</f>
        <v>0</v>
      </c>
      <c r="MJ110">
        <f>IF(ME110&lt;MF110,$A110,B_MAX+1)</f>
        <v>401.0</v>
      </c>
      <c r="MK110" s="13">
        <f>IF(MB110=1,$MB$35,$MB$36)</f>
        <v>0</v>
      </c>
      <c r="ML110" s="13">
        <f>OCC_DAYS*$MB$41*R_NF_2023-MD110*MCD_SHARE_FREED*R_WAIT_2023</f>
        <v>54922.538779778624</v>
      </c>
      <c r="MM110">
        <f>IF($A110&lt;=$MB$45,1,0)</f>
        <v>1</v>
      </c>
      <c r="NB110">
        <f>IF($NB$31&lt;=$NB$32,IF($A110&lt;=$NB$7,1,2),IF($A110&lt;=RUNG_BEDS_2,2,1))</f>
        <v>1</v>
      </c>
      <c r="NC110" s="5">
        <f>MIN(1,MAX(0,$NB$26-($A110-1)))</f>
        <v>1</v>
      </c>
      <c r="ND110" s="5">
        <f>$NB$25*(NC110+(1-NC110)*$NB$16)</f>
        <v>252.05322714681438</v>
      </c>
      <c r="NE110" s="13">
        <f>ND110*($NB$6+ACUTE_MARGIN)</f>
        <v>254573.7594182825</v>
      </c>
      <c r="NF110" s="13">
        <f>IF(NB110=1,$NB$31,$NB$32)</f>
        <v>152394.16214437486</v>
      </c>
      <c r="NG110" s="13">
        <f>NE110-NF110</f>
        <v>102179.59727390765</v>
      </c>
      <c r="NH110" s="13">
        <f>NH109+NG110</f>
        <v>2758849.1263955063</v>
      </c>
      <c r="NI110">
        <f>IF(NH110=MAX($NH$83:$NH$483),$A110,0)</f>
        <v>0</v>
      </c>
      <c r="NJ110">
        <f>IF(NE110&lt;NF110,$A110,B_MAX+1)</f>
        <v>401.0</v>
      </c>
      <c r="NK110" s="13">
        <f>IF(NB110=1,$NB$35,$NB$36)</f>
        <v>0</v>
      </c>
      <c r="NL110" s="13">
        <f>OCC_DAYS*$NB$41*R_NF_2023-ND110*MCD_SHARE_FREED*R_WAIT_2023</f>
        <v>37367.159242427646</v>
      </c>
      <c r="NM110">
        <f>IF($A110&lt;=$NB$45,1,0)</f>
        <v>1</v>
      </c>
      <c r="OB110">
        <f>IF($OB$31&lt;=$OB$32,IF($A110&lt;=$OB$7,1,2),IF($A110&lt;=RUNG_BEDS_2,2,1))</f>
        <v>1</v>
      </c>
      <c r="OC110" s="5">
        <f>MIN(1,MAX(0,$OB$26-($A110-1)))</f>
        <v>1</v>
      </c>
      <c r="OD110" s="5">
        <f>$OB$25*(OC110+(1-OC110)*$OB$16)</f>
        <v>252.05322714681438</v>
      </c>
      <c r="OE110" s="13">
        <f>OD110*($OB$6+ACUTE_MARGIN)</f>
        <v>254573.7594182825</v>
      </c>
      <c r="OF110" s="13">
        <f>IF(OB110=1,$OB$31,$OB$32)</f>
        <v>152394.16214437486</v>
      </c>
      <c r="OG110" s="13">
        <f>OE110-OF110</f>
        <v>102179.59727390765</v>
      </c>
      <c r="OH110" s="13">
        <f>OH109+OG110</f>
        <v>2758849.1263955063</v>
      </c>
      <c r="OI110">
        <f>IF(OH110=MAX($OH$83:$OH$483),$A110,0)</f>
        <v>0</v>
      </c>
      <c r="OJ110">
        <f>IF(OE110&lt;OF110,$A110,B_MAX+1)</f>
        <v>401.0</v>
      </c>
      <c r="OK110" s="13">
        <f>IF(OB110=1,$OB$35,$OB$36)</f>
        <v>0</v>
      </c>
      <c r="OL110" s="13">
        <f>OCC_DAYS*$OB$41*R_NF_2023-OD110*MCD_SHARE_FREED*R_WAIT_2023</f>
        <v>37367.159242427646</v>
      </c>
      <c r="OM110">
        <f>IF($A110&lt;=$OB$45,1,0)</f>
        <v>1</v>
      </c>
    </row>
    <row r="111">
      <c r="A111" t="n">
        <v>28</v>
      </c>
      <c r="B111">
        <f>IF($B$31&lt;=$B$32,IF($A111&lt;=$B$7,1,2),IF($A111&lt;=RUNG_BEDS_2,2,1))</f>
        <v>1</v>
      </c>
      <c r="C111" s="5">
        <f>MIN(1,MAX(0,$B$26-($A111-1)))</f>
        <v>1</v>
      </c>
      <c r="D111" s="5">
        <f>$B$25*(C111+(1-C111)*$B$16)</f>
        <v>252.05322714681438</v>
      </c>
      <c r="E111" s="13">
        <f>D111*($B$6+ACUTE_MARGIN)</f>
        <v>254573.7594182825</v>
      </c>
      <c r="F111" s="13">
        <f>IF(B111=1,$B$31,$B$32)</f>
        <v>152394.16214437486</v>
      </c>
      <c r="G111" s="13">
        <f>E111-F111</f>
        <v>102179.59727390765</v>
      </c>
      <c r="H111" s="13">
        <f>H110+G111</f>
        <v>2861028.723669414</v>
      </c>
      <c r="I111">
        <f>IF(H111=MAX($H$83:$H$483),$A111,0)</f>
        <v>0</v>
      </c>
      <c r="J111">
        <f>IF(E111&lt;F111,$A111,B_MAX+1)</f>
        <v>401.0</v>
      </c>
      <c r="K111" s="13">
        <f>IF(B111=1,$B$35,$B$36)</f>
        <v>0</v>
      </c>
      <c r="L111" s="13">
        <f>OCC_DAYS*$B$41*R_NF_2023-D111*MCD_SHARE_FREED*R_WAIT_2023</f>
        <v>37367.159242427646</v>
      </c>
      <c r="M111">
        <f>IF($A111&lt;=$B$45,1,0)</f>
        <v>1</v>
      </c>
      <c r="AB111">
        <f>IF($AB$31&lt;=$AB$32,IF($A111&lt;=$AB$7,1,2),IF($A111&lt;=RUNG_BEDS_2,2,1))</f>
        <v>1</v>
      </c>
      <c r="AC111" s="5">
        <f>MIN(1,MAX(0,$AB$26-($A111-1)))</f>
        <v>1</v>
      </c>
      <c r="AD111" s="5">
        <f>$AB$25*(AC111+(1-AC111)*$AB$16)</f>
        <v>252.05322714681438</v>
      </c>
      <c r="AE111" s="13">
        <f>AD111*($AB$6+ACUTE_MARGIN)</f>
        <v>138629.2749307479</v>
      </c>
      <c r="AF111" s="13">
        <f>IF(AB111=1,$AB$31,$AB$32)</f>
        <v>152394.16214437486</v>
      </c>
      <c r="AG111" s="13">
        <f>AE111-AF111</f>
        <v>-13764.887213626964</v>
      </c>
      <c r="AH111" s="13">
        <f>AH110+AG111</f>
        <v>-385416.8419815552</v>
      </c>
      <c r="AI111">
        <f>IF(AH111=MAX($AH$83:$AH$483),$A111,0)</f>
        <v>0</v>
      </c>
      <c r="AJ111">
        <f>IF(AE111&lt;AF111,$A111,B_MAX+1)</f>
        <v>28</v>
      </c>
      <c r="AK111" s="13">
        <f>IF(AB111=1,$AB$35,$AB$36)</f>
        <v>0</v>
      </c>
      <c r="AL111" s="13">
        <f>OCC_DAYS*$AB$41*R_NF_2023-AD111*MCD_SHARE_FREED*R_WAIT_2023</f>
        <v>37367.159242427646</v>
      </c>
      <c r="AM111">
        <f>IF($A111&lt;=$AB$45,1,0)</f>
        <v>0</v>
      </c>
      <c r="BB111">
        <f>IF($BB$31&lt;=$BB$32,IF($A111&lt;=$BB$7,1,2),IF($A111&lt;=RUNG_BEDS_2,2,1))</f>
        <v>1</v>
      </c>
      <c r="BC111" s="5">
        <f>MIN(1,MAX(0,$BB$26-($A111-1)))</f>
        <v>1</v>
      </c>
      <c r="BD111" s="5">
        <f>$BB$25*(BC111+(1-BC111)*$BB$16)</f>
        <v>252.05322714681438</v>
      </c>
      <c r="BE111" s="13">
        <f>BD111*($BB$6+ACUTE_MARGIN)</f>
        <v>370518.24390581716</v>
      </c>
      <c r="BF111" s="13">
        <f>IF(BB111=1,$BB$31,$BB$32)</f>
        <v>152394.16214437486</v>
      </c>
      <c r="BG111" s="13">
        <f>BE111-BF111</f>
        <v>218124.0817614423</v>
      </c>
      <c r="BH111" s="13">
        <f>BH110+BG111</f>
        <v>6107474.289320381</v>
      </c>
      <c r="BI111">
        <f>IF(BH111=MAX($BH$83:$BH$483),$A111,0)</f>
        <v>0</v>
      </c>
      <c r="BJ111">
        <f>IF(BE111&lt;BF111,$A111,B_MAX+1)</f>
        <v>401.0</v>
      </c>
      <c r="BK111" s="13">
        <f>IF(BB111=1,$BB$35,$BB$36)</f>
        <v>0</v>
      </c>
      <c r="BL111" s="13">
        <f>OCC_DAYS*$BB$41*R_NF_2023-BD111*MCD_SHARE_FREED*R_WAIT_2023</f>
        <v>37367.159242427646</v>
      </c>
      <c r="BM111">
        <f>IF($A111&lt;=$BB$45,1,0)</f>
        <v>1</v>
      </c>
      <c r="CB111">
        <f>IF($CB$31&lt;=$CB$32,IF($A111&lt;=$CB$7,1,2),IF($A111&lt;=RUNG_BEDS_2,2,1))</f>
        <v>2</v>
      </c>
      <c r="CC111" s="5">
        <f>MIN(1,MAX(0,$CB$26-($A111-1)))</f>
        <v>1</v>
      </c>
      <c r="CD111" s="5">
        <f>$CB$25*(CC111+(1-CC111)*$CB$16)</f>
        <v>252.05322714681438</v>
      </c>
      <c r="CE111" s="13">
        <f>CD111*($CB$6+ACUTE_MARGIN)</f>
        <v>254573.7594182825</v>
      </c>
      <c r="CF111" s="13">
        <f>IF(CB111=1,$CB$31,$CB$32)</f>
        <v>160718.36940738867</v>
      </c>
      <c r="CG111" s="13">
        <f>CE111-CF111</f>
        <v>93855.39001089384</v>
      </c>
      <c r="CH111" s="13">
        <f>CH110+CG111</f>
        <v>2627950.920305027</v>
      </c>
      <c r="CI111">
        <f>IF(CH111=MAX($CH$83:$CH$483),$A111,0)</f>
        <v>0</v>
      </c>
      <c r="CJ111">
        <f>IF(CE111&lt;CF111,$A111,B_MAX+1)</f>
        <v>401.0</v>
      </c>
      <c r="CK111" s="13">
        <f>IF(CB111=1,$CB$35,$CB$36)</f>
        <v>1560.1194073886782</v>
      </c>
      <c r="CL111" s="13">
        <f>OCC_DAYS*$CB$41*R_NF_2023-CD111*MCD_SHARE_FREED*R_WAIT_2023</f>
        <v>37367.159242427646</v>
      </c>
      <c r="CM111">
        <f>IF($A111&lt;=$CB$45,1,0)</f>
        <v>1</v>
      </c>
      <c r="DB111">
        <f>IF($DB$31&lt;=$DB$32,IF($A111&lt;=$DB$7,1,2),IF($A111&lt;=RUNG_BEDS_2,2,1))</f>
        <v>1</v>
      </c>
      <c r="DC111" s="5">
        <f>MIN(1,MAX(0,$DB$26-($A111-1)))</f>
        <v>1</v>
      </c>
      <c r="DD111" s="5">
        <f>$DB$25*(DC111+(1-DC111)*$DB$16)</f>
        <v>252.05322714681438</v>
      </c>
      <c r="DE111" s="13">
        <f>DD111*($DB$6+ACUTE_MARGIN)</f>
        <v>254573.7594182825</v>
      </c>
      <c r="DF111" s="13">
        <f>IF(DB111=1,$DB$31,$DB$32)</f>
        <v>152394.16214437486</v>
      </c>
      <c r="DG111" s="13">
        <f>DE111-DF111</f>
        <v>102179.59727390765</v>
      </c>
      <c r="DH111" s="13">
        <f>DH110+DG111</f>
        <v>2861028.723669414</v>
      </c>
      <c r="DI111">
        <f>IF(DH111=MAX($DH$83:$DH$483),$A111,0)</f>
        <v>0</v>
      </c>
      <c r="DJ111">
        <f>IF(DE111&lt;DF111,$A111,B_MAX+1)</f>
        <v>401.0</v>
      </c>
      <c r="DK111" s="13">
        <f>IF(DB111=1,$DB$35,$DB$36)</f>
        <v>0</v>
      </c>
      <c r="DL111" s="13">
        <f>OCC_DAYS*$DB$41*R_NF_2023-DD111*MCD_SHARE_FREED*R_WAIT_2023</f>
        <v>37367.159242427646</v>
      </c>
      <c r="DM111">
        <f>IF($A111&lt;=$DB$45,1,0)</f>
        <v>1</v>
      </c>
      <c r="EB111">
        <f>IF($EB$31&lt;=$EB$32,IF($A111&lt;=$EB$7,1,2),IF($A111&lt;=RUNG_BEDS_2,2,1))</f>
        <v>1</v>
      </c>
      <c r="EC111" s="5">
        <f>MIN(1,MAX(0,$EB$26-($A111-1)))</f>
        <v>1</v>
      </c>
      <c r="ED111" s="5">
        <f>$EB$25*(EC111+(1-EC111)*$EB$16)</f>
        <v>252.05322714681438</v>
      </c>
      <c r="EE111" s="13">
        <f>ED111*($EB$6+ACUTE_MARGIN)</f>
        <v>254573.7594182825</v>
      </c>
      <c r="EF111" s="13">
        <f>IF(EB111=1,$EB$31,$EB$32)</f>
        <v>152394.16214437486</v>
      </c>
      <c r="EG111" s="13">
        <f>EE111-EF111</f>
        <v>102179.59727390765</v>
      </c>
      <c r="EH111" s="13">
        <f>EH110+EG111</f>
        <v>2861028.723669414</v>
      </c>
      <c r="EI111">
        <f>IF(EH111=MAX($EH$83:$EH$483),$A111,0)</f>
        <v>0</v>
      </c>
      <c r="EJ111">
        <f>IF(EE111&lt;EF111,$A111,B_MAX+1)</f>
        <v>401.0</v>
      </c>
      <c r="EK111" s="13">
        <f>IF(EB111=1,$EB$35,$EB$36)</f>
        <v>0</v>
      </c>
      <c r="EL111" s="13">
        <f>OCC_DAYS*$EB$41*R_NF_2023-ED111*MCD_SHARE_FREED*R_WAIT_2023</f>
        <v>-63953.16263896705</v>
      </c>
      <c r="EM111">
        <f>IF($A111&lt;=$EB$45,1,0)</f>
        <v>1</v>
      </c>
      <c r="FB111">
        <f>IF($FB$31&lt;=$FB$32,IF($A111&lt;=$FB$7,1,2),IF($A111&lt;=RUNG_BEDS_2,2,1))</f>
        <v>1</v>
      </c>
      <c r="FC111" s="5">
        <f>MIN(1,MAX(0,$FB$26-($A111-1)))</f>
        <v>1</v>
      </c>
      <c r="FD111" s="5">
        <f>$FB$25*(FC111+(1-FC111)*$FB$16)</f>
        <v>252.05322714681438</v>
      </c>
      <c r="FE111" s="13">
        <f>FD111*($FB$6+ACUTE_MARGIN)</f>
        <v>254573.7594182825</v>
      </c>
      <c r="FF111" s="13">
        <f>IF(FB111=1,$FB$31,$FB$32)</f>
        <v>156636.04979437485</v>
      </c>
      <c r="FG111" s="13">
        <f>FE111-FF111</f>
        <v>97937.70962390766</v>
      </c>
      <c r="FH111" s="13">
        <f>FH110+FG111</f>
        <v>2742255.869469415</v>
      </c>
      <c r="FI111">
        <f>IF(FH111=MAX($FH$83:$FH$483),$A111,0)</f>
        <v>0</v>
      </c>
      <c r="FJ111">
        <f>IF(FE111&lt;FF111,$A111,B_MAX+1)</f>
        <v>401.0</v>
      </c>
      <c r="FK111" s="13">
        <f>IF(FB111=1,$FB$35,$FB$36)</f>
        <v>0</v>
      </c>
      <c r="FL111" s="13">
        <f>OCC_DAYS*$FB$41*R_NF_2023-FD111*MCD_SHARE_FREED*R_WAIT_2023</f>
        <v>37367.159242427646</v>
      </c>
      <c r="FM111">
        <f>IF($A111&lt;=$FB$45,1,0)</f>
        <v>1</v>
      </c>
      <c r="GB111">
        <f>IF($GB$31&lt;=$GB$32,IF($A111&lt;=$GB$7,1,2),IF($A111&lt;=RUNG_BEDS_2,2,1))</f>
        <v>1</v>
      </c>
      <c r="GC111" s="5">
        <f>MIN(1,MAX(0,$GB$26-($A111-1)))</f>
        <v>1</v>
      </c>
      <c r="GD111" s="5">
        <f>$GB$25*(GC111+(1-GC111)*$GB$16)</f>
        <v>252.05322714681438</v>
      </c>
      <c r="GE111" s="13">
        <f>GD111*($GB$6+ACUTE_MARGIN)</f>
        <v>254573.7594182825</v>
      </c>
      <c r="GF111" s="13">
        <f>IF(GB111=1,$GB$31,$GB$32)</f>
        <v>152394.16214437486</v>
      </c>
      <c r="GG111" s="13">
        <f>GE111-GF111</f>
        <v>102179.59727390765</v>
      </c>
      <c r="GH111" s="13">
        <f>GH110+GG111</f>
        <v>2861028.723669414</v>
      </c>
      <c r="GI111">
        <f>IF(GH111=MAX($GH$83:$GH$483),$A111,0)</f>
        <v>0</v>
      </c>
      <c r="GJ111">
        <f>IF(GE111&lt;GF111,$A111,B_MAX+1)</f>
        <v>401.0</v>
      </c>
      <c r="GK111" s="13">
        <f>IF(GB111=1,$GB$35,$GB$36)</f>
        <v>0</v>
      </c>
      <c r="GL111" s="13">
        <f>OCC_DAYS*$GB$41*R_NF_2023-GD111*MCD_SHARE_FREED*R_WAIT_2023</f>
        <v>37367.159242427646</v>
      </c>
      <c r="GM111">
        <f>IF($A111&lt;=$GB$45,1,0)</f>
        <v>1</v>
      </c>
      <c r="HB111">
        <f>IF($HB$31&lt;=$HB$32,IF($A111&lt;=$HB$7,1,2),IF($A111&lt;=RUNG_BEDS_2,2,1))</f>
        <v>1</v>
      </c>
      <c r="HC111" s="5">
        <f>MIN(1,MAX(0,$HB$26-($A111-1)))</f>
        <v>1</v>
      </c>
      <c r="HD111" s="5">
        <f>$HB$25*(HC111+(1-HC111)*$HB$16)</f>
        <v>252.05322714681438</v>
      </c>
      <c r="HE111" s="13">
        <f>HD111*($HB$6+ACUTE_MARGIN)</f>
        <v>254573.7594182825</v>
      </c>
      <c r="HF111" s="13">
        <f>IF(HB111=1,$HB$31,$HB$32)</f>
        <v>152456.2970814058</v>
      </c>
      <c r="HG111" s="13">
        <f>HE111-HF111</f>
        <v>102117.46233687672</v>
      </c>
      <c r="HH111" s="13">
        <f>HH110+HG111</f>
        <v>2859288.945432549</v>
      </c>
      <c r="HI111">
        <f>IF(HH111=MAX($HH$83:$HH$483),$A111,0)</f>
        <v>0</v>
      </c>
      <c r="HJ111">
        <f>IF(HE111&lt;HF111,$A111,B_MAX+1)</f>
        <v>401.0</v>
      </c>
      <c r="HK111" s="13">
        <f>IF(HB111=1,$HB$35,$HB$36)</f>
        <v>0</v>
      </c>
      <c r="HL111" s="13">
        <f>OCC_DAYS*$HB$41*R_NF_2023-HD111*MCD_SHARE_FREED*R_WAIT_2023</f>
        <v>37367.159242427646</v>
      </c>
      <c r="HM111">
        <f>IF($A111&lt;=$HB$45,1,0)</f>
        <v>1</v>
      </c>
      <c r="IB111">
        <f>IF($IB$31&lt;=$IB$32,IF($A111&lt;=$IB$7,1,2),IF($A111&lt;=RUNG_BEDS_2,2,1))</f>
        <v>1</v>
      </c>
      <c r="IC111" s="5">
        <f>MIN(1,MAX(0,$IB$26-($A111-1)))</f>
        <v>1</v>
      </c>
      <c r="ID111" s="5">
        <f>$IB$25*(IC111+(1-IC111)*$IB$16)</f>
        <v>252.05322714681438</v>
      </c>
      <c r="IE111" s="13">
        <f>ID111*($IB$6+ACUTE_MARGIN)</f>
        <v>254573.7594182825</v>
      </c>
      <c r="IF111" s="13">
        <f>IF(IB111=1,$IB$31,$IB$32)</f>
        <v>152734.9994534971</v>
      </c>
      <c r="IG111" s="13">
        <f>IE111-IF111</f>
        <v>101838.75996478542</v>
      </c>
      <c r="IH111" s="13">
        <f>IH110+IG111</f>
        <v>2851485.2790139937</v>
      </c>
      <c r="II111">
        <f>IF(IH111=MAX($IH$83:$IH$483),$A111,0)</f>
        <v>0</v>
      </c>
      <c r="IJ111">
        <f>IF(IE111&lt;IF111,$A111,B_MAX+1)</f>
        <v>401.0</v>
      </c>
      <c r="IK111" s="13">
        <f>IF(IB111=1,$IB$35,$IB$36)</f>
        <v>0</v>
      </c>
      <c r="IL111" s="13">
        <f>OCC_DAYS*$IB$41*R_NF_2023-ID111*MCD_SHARE_FREED*R_WAIT_2023</f>
        <v>37367.159242427646</v>
      </c>
      <c r="IM111">
        <f>IF($A111&lt;=$IB$45,1,0)</f>
        <v>1</v>
      </c>
      <c r="JB111">
        <f>IF($JB$31&lt;=$JB$32,IF($A111&lt;=$JB$7,1,2),IF($A111&lt;=RUNG_BEDS_2,2,1))</f>
        <v>1</v>
      </c>
      <c r="JC111" s="5">
        <f>MIN(1,MAX(0,$JB$26-($A111-1)))</f>
        <v>1</v>
      </c>
      <c r="JD111" s="5">
        <f>$JB$25*(JC111+(1-JC111)*$JB$16)</f>
        <v>252.05322714681438</v>
      </c>
      <c r="JE111" s="13">
        <f>JD111*($JB$6+ACUTE_MARGIN)</f>
        <v>254573.7594182825</v>
      </c>
      <c r="JF111" s="13">
        <f>IF(JB111=1,$JB$31,$JB$32)</f>
        <v>152394.16214437486</v>
      </c>
      <c r="JG111" s="13">
        <f>JE111-JF111</f>
        <v>102179.59727390765</v>
      </c>
      <c r="JH111" s="13">
        <f>JH110+JG111</f>
        <v>2861028.723669414</v>
      </c>
      <c r="JI111">
        <f>IF(JH111=MAX($JH$83:$JH$483),$A111,0)</f>
        <v>0</v>
      </c>
      <c r="JJ111">
        <f>IF(JE111&lt;JF111,$A111,B_MAX+1)</f>
        <v>401.0</v>
      </c>
      <c r="JK111" s="13">
        <f>IF(JB111=1,$JB$35,$JB$36)</f>
        <v>0</v>
      </c>
      <c r="JL111" s="13">
        <f>OCC_DAYS*$JB$41*R_NF_2023-JD111*MCD_SHARE_FREED*R_WAIT_2023</f>
        <v>37367.159242427646</v>
      </c>
      <c r="JM111">
        <f>IF($A111&lt;=$JB$45,1,0)</f>
        <v>1</v>
      </c>
      <c r="KB111">
        <f>IF($KB$31&lt;=$KB$32,IF($A111&lt;=$KB$7,1,2),IF($A111&lt;=RUNG_BEDS_2,2,1))</f>
        <v>1</v>
      </c>
      <c r="KC111" s="5">
        <f>MIN(1,MAX(0,$KB$26-($A111-1)))</f>
        <v>1</v>
      </c>
      <c r="KD111" s="5">
        <f>$KB$25*(KC111+(1-KC111)*$KB$16)</f>
        <v>126.02661357340719</v>
      </c>
      <c r="KE111" s="13">
        <f>KD111*($KB$6+ACUTE_MARGIN)</f>
        <v>127286.87970914126</v>
      </c>
      <c r="KF111" s="13">
        <f>IF(KB111=1,$KB$31,$KB$32)</f>
        <v>152394.16214437486</v>
      </c>
      <c r="KG111" s="13">
        <f>KE111-KF111</f>
        <v>-25107.282435233603</v>
      </c>
      <c r="KH111" s="13">
        <f>KH110+KG111</f>
        <v>-703003.9081865406</v>
      </c>
      <c r="KI111">
        <f>IF(KH111=MAX($KH$83:$KH$483),$A111,0)</f>
        <v>0</v>
      </c>
      <c r="KJ111">
        <f>IF(KE111&lt;KF111,$A111,B_MAX+1)</f>
        <v>28</v>
      </c>
      <c r="KK111" s="13">
        <f>IF(KB111=1,$KB$35,$KB$36)</f>
        <v>0</v>
      </c>
      <c r="KL111" s="13">
        <f>OCC_DAYS*$KB$41*R_NF_2023-KD111*MCD_SHARE_FREED*R_WAIT_2023</f>
        <v>94673.82103225985</v>
      </c>
      <c r="KM111">
        <f>IF($A111&lt;=$KB$45,1,0)</f>
        <v>0</v>
      </c>
      <c r="LB111">
        <f>IF($LB$31&lt;=$LB$32,IF($A111&lt;=$LB$7,1,2),IF($A111&lt;=RUNG_BEDS_2,2,1))</f>
        <v>1</v>
      </c>
      <c r="LC111" s="5">
        <f>MIN(1,MAX(0,$LB$26-($A111-1)))</f>
        <v>1</v>
      </c>
      <c r="LD111" s="5">
        <f>$LB$25*(LC111+(1-LC111)*$LB$16)</f>
        <v>84.01774238227146</v>
      </c>
      <c r="LE111" s="13">
        <f>LD111*($LB$6+ACUTE_MARGIN)</f>
        <v>84857.91980609419</v>
      </c>
      <c r="LF111" s="13">
        <f>IF(LB111=1,$LB$31,$LB$32)</f>
        <v>152394.16214437486</v>
      </c>
      <c r="LG111" s="13">
        <f>LE111-LF111</f>
        <v>-67536.24233828067</v>
      </c>
      <c r="LH111" s="13">
        <f>LH110+LG111</f>
        <v>-1891014.7854718587</v>
      </c>
      <c r="LI111">
        <f>IF(LH111=MAX($LH$83:$LH$483),$A111,0)</f>
        <v>0</v>
      </c>
      <c r="LJ111">
        <f>IF(LE111&lt;LF111,$A111,B_MAX+1)</f>
        <v>28</v>
      </c>
      <c r="LK111" s="13">
        <f>IF(LB111=1,$LB$35,$LB$36)</f>
        <v>0</v>
      </c>
      <c r="LL111" s="13">
        <f>OCC_DAYS*$LB$41*R_NF_2023-LD111*MCD_SHARE_FREED*R_WAIT_2023</f>
        <v>113776.04162887059</v>
      </c>
      <c r="LM111">
        <f>IF($A111&lt;=$LB$45,1,0)</f>
        <v>0</v>
      </c>
      <c r="MB111">
        <f>IF($MB$31&lt;=$MB$32,IF($A111&lt;=$MB$7,1,2),IF($A111&lt;=RUNG_BEDS_2,2,1))</f>
        <v>1</v>
      </c>
      <c r="MC111" s="5">
        <f>MIN(1,MAX(0,$MB$26-($A111-1)))</f>
        <v>1</v>
      </c>
      <c r="MD111" s="5">
        <f>$MB$25*(MC111+(1-MC111)*$MB$16)</f>
        <v>213.44610951008647</v>
      </c>
      <c r="ME111" s="13">
        <f>MD111*($MB$6+ACUTE_MARGIN)</f>
        <v>215580.57060518733</v>
      </c>
      <c r="MF111" s="13">
        <f>IF(MB111=1,$MB$31,$MB$32)</f>
        <v>152394.16214437486</v>
      </c>
      <c r="MG111" s="13">
        <f>ME111-MF111</f>
        <v>63186.40846081247</v>
      </c>
      <c r="MH111" s="13">
        <f>MH110+MG111</f>
        <v>1769219.436902748</v>
      </c>
      <c r="MI111">
        <f>IF(MH111=MAX($MH$83:$MH$483),$A111,0)</f>
        <v>0</v>
      </c>
      <c r="MJ111">
        <f>IF(ME111&lt;MF111,$A111,B_MAX+1)</f>
        <v>401.0</v>
      </c>
      <c r="MK111" s="13">
        <f>IF(MB111=1,$MB$35,$MB$36)</f>
        <v>0</v>
      </c>
      <c r="ML111" s="13">
        <f>OCC_DAYS*$MB$41*R_NF_2023-MD111*MCD_SHARE_FREED*R_WAIT_2023</f>
        <v>54922.538779778624</v>
      </c>
      <c r="MM111">
        <f>IF($A111&lt;=$MB$45,1,0)</f>
        <v>1</v>
      </c>
      <c r="NB111">
        <f>IF($NB$31&lt;=$NB$32,IF($A111&lt;=$NB$7,1,2),IF($A111&lt;=RUNG_BEDS_2,2,1))</f>
        <v>1</v>
      </c>
      <c r="NC111" s="5">
        <f>MIN(1,MAX(0,$NB$26-($A111-1)))</f>
        <v>1</v>
      </c>
      <c r="ND111" s="5">
        <f>$NB$25*(NC111+(1-NC111)*$NB$16)</f>
        <v>252.05322714681438</v>
      </c>
      <c r="NE111" s="13">
        <f>ND111*($NB$6+ACUTE_MARGIN)</f>
        <v>254573.7594182825</v>
      </c>
      <c r="NF111" s="13">
        <f>IF(NB111=1,$NB$31,$NB$32)</f>
        <v>152394.16214437486</v>
      </c>
      <c r="NG111" s="13">
        <f>NE111-NF111</f>
        <v>102179.59727390765</v>
      </c>
      <c r="NH111" s="13">
        <f>NH110+NG111</f>
        <v>2861028.723669414</v>
      </c>
      <c r="NI111">
        <f>IF(NH111=MAX($NH$83:$NH$483),$A111,0)</f>
        <v>0</v>
      </c>
      <c r="NJ111">
        <f>IF(NE111&lt;NF111,$A111,B_MAX+1)</f>
        <v>401.0</v>
      </c>
      <c r="NK111" s="13">
        <f>IF(NB111=1,$NB$35,$NB$36)</f>
        <v>0</v>
      </c>
      <c r="NL111" s="13">
        <f>OCC_DAYS*$NB$41*R_NF_2023-ND111*MCD_SHARE_FREED*R_WAIT_2023</f>
        <v>37367.159242427646</v>
      </c>
      <c r="NM111">
        <f>IF($A111&lt;=$NB$45,1,0)</f>
        <v>1</v>
      </c>
      <c r="OB111">
        <f>IF($OB$31&lt;=$OB$32,IF($A111&lt;=$OB$7,1,2),IF($A111&lt;=RUNG_BEDS_2,2,1))</f>
        <v>1</v>
      </c>
      <c r="OC111" s="5">
        <f>MIN(1,MAX(0,$OB$26-($A111-1)))</f>
        <v>1</v>
      </c>
      <c r="OD111" s="5">
        <f>$OB$25*(OC111+(1-OC111)*$OB$16)</f>
        <v>252.05322714681438</v>
      </c>
      <c r="OE111" s="13">
        <f>OD111*($OB$6+ACUTE_MARGIN)</f>
        <v>254573.7594182825</v>
      </c>
      <c r="OF111" s="13">
        <f>IF(OB111=1,$OB$31,$OB$32)</f>
        <v>152394.16214437486</v>
      </c>
      <c r="OG111" s="13">
        <f>OE111-OF111</f>
        <v>102179.59727390765</v>
      </c>
      <c r="OH111" s="13">
        <f>OH110+OG111</f>
        <v>2861028.723669414</v>
      </c>
      <c r="OI111">
        <f>IF(OH111=MAX($OH$83:$OH$483),$A111,0)</f>
        <v>0</v>
      </c>
      <c r="OJ111">
        <f>IF(OE111&lt;OF111,$A111,B_MAX+1)</f>
        <v>401.0</v>
      </c>
      <c r="OK111" s="13">
        <f>IF(OB111=1,$OB$35,$OB$36)</f>
        <v>0</v>
      </c>
      <c r="OL111" s="13">
        <f>OCC_DAYS*$OB$41*R_NF_2023-OD111*MCD_SHARE_FREED*R_WAIT_2023</f>
        <v>37367.159242427646</v>
      </c>
      <c r="OM111">
        <f>IF($A111&lt;=$OB$45,1,0)</f>
        <v>1</v>
      </c>
    </row>
    <row r="112">
      <c r="A112" t="n">
        <v>29</v>
      </c>
      <c r="B112">
        <f>IF($B$31&lt;=$B$32,IF($A112&lt;=$B$7,1,2),IF($A112&lt;=RUNG_BEDS_2,2,1))</f>
        <v>1</v>
      </c>
      <c r="C112" s="5">
        <f>MIN(1,MAX(0,$B$26-($A112-1)))</f>
        <v>1</v>
      </c>
      <c r="D112" s="5">
        <f>$B$25*(C112+(1-C112)*$B$16)</f>
        <v>252.05322714681438</v>
      </c>
      <c r="E112" s="13">
        <f>D112*($B$6+ACUTE_MARGIN)</f>
        <v>254573.7594182825</v>
      </c>
      <c r="F112" s="13">
        <f>IF(B112=1,$B$31,$B$32)</f>
        <v>152394.16214437486</v>
      </c>
      <c r="G112" s="13">
        <f>E112-F112</f>
        <v>102179.59727390765</v>
      </c>
      <c r="H112" s="13">
        <f>H111+G112</f>
        <v>2963208.3209433216</v>
      </c>
      <c r="I112">
        <f>IF(H112=MAX($H$83:$H$483),$A112,0)</f>
        <v>0</v>
      </c>
      <c r="J112">
        <f>IF(E112&lt;F112,$A112,B_MAX+1)</f>
        <v>401.0</v>
      </c>
      <c r="K112" s="13">
        <f>IF(B112=1,$B$35,$B$36)</f>
        <v>0</v>
      </c>
      <c r="L112" s="13">
        <f>OCC_DAYS*$B$41*R_NF_2023-D112*MCD_SHARE_FREED*R_WAIT_2023</f>
        <v>37367.159242427646</v>
      </c>
      <c r="M112">
        <f>IF($A112&lt;=$B$45,1,0)</f>
        <v>1</v>
      </c>
      <c r="AB112">
        <f>IF($AB$31&lt;=$AB$32,IF($A112&lt;=$AB$7,1,2),IF($A112&lt;=RUNG_BEDS_2,2,1))</f>
        <v>1</v>
      </c>
      <c r="AC112" s="5">
        <f>MIN(1,MAX(0,$AB$26-($A112-1)))</f>
        <v>1</v>
      </c>
      <c r="AD112" s="5">
        <f>$AB$25*(AC112+(1-AC112)*$AB$16)</f>
        <v>252.05322714681438</v>
      </c>
      <c r="AE112" s="13">
        <f>AD112*($AB$6+ACUTE_MARGIN)</f>
        <v>138629.2749307479</v>
      </c>
      <c r="AF112" s="13">
        <f>IF(AB112=1,$AB$31,$AB$32)</f>
        <v>152394.16214437486</v>
      </c>
      <c r="AG112" s="13">
        <f>AE112-AF112</f>
        <v>-13764.887213626964</v>
      </c>
      <c r="AH112" s="13">
        <f>AH111+AG112</f>
        <v>-399181.7291951822</v>
      </c>
      <c r="AI112">
        <f>IF(AH112=MAX($AH$83:$AH$483),$A112,0)</f>
        <v>0</v>
      </c>
      <c r="AJ112">
        <f>IF(AE112&lt;AF112,$A112,B_MAX+1)</f>
        <v>29</v>
      </c>
      <c r="AK112" s="13">
        <f>IF(AB112=1,$AB$35,$AB$36)</f>
        <v>0</v>
      </c>
      <c r="AL112" s="13">
        <f>OCC_DAYS*$AB$41*R_NF_2023-AD112*MCD_SHARE_FREED*R_WAIT_2023</f>
        <v>37367.159242427646</v>
      </c>
      <c r="AM112">
        <f>IF($A112&lt;=$AB$45,1,0)</f>
        <v>0</v>
      </c>
      <c r="BB112">
        <f>IF($BB$31&lt;=$BB$32,IF($A112&lt;=$BB$7,1,2),IF($A112&lt;=RUNG_BEDS_2,2,1))</f>
        <v>1</v>
      </c>
      <c r="BC112" s="5">
        <f>MIN(1,MAX(0,$BB$26-($A112-1)))</f>
        <v>1</v>
      </c>
      <c r="BD112" s="5">
        <f>$BB$25*(BC112+(1-BC112)*$BB$16)</f>
        <v>252.05322714681438</v>
      </c>
      <c r="BE112" s="13">
        <f>BD112*($BB$6+ACUTE_MARGIN)</f>
        <v>370518.24390581716</v>
      </c>
      <c r="BF112" s="13">
        <f>IF(BB112=1,$BB$31,$BB$32)</f>
        <v>152394.16214437486</v>
      </c>
      <c r="BG112" s="13">
        <f>BE112-BF112</f>
        <v>218124.0817614423</v>
      </c>
      <c r="BH112" s="13">
        <f>BH111+BG112</f>
        <v>6325598.3710818235</v>
      </c>
      <c r="BI112">
        <f>IF(BH112=MAX($BH$83:$BH$483),$A112,0)</f>
        <v>0</v>
      </c>
      <c r="BJ112">
        <f>IF(BE112&lt;BF112,$A112,B_MAX+1)</f>
        <v>401.0</v>
      </c>
      <c r="BK112" s="13">
        <f>IF(BB112=1,$BB$35,$BB$36)</f>
        <v>0</v>
      </c>
      <c r="BL112" s="13">
        <f>OCC_DAYS*$BB$41*R_NF_2023-BD112*MCD_SHARE_FREED*R_WAIT_2023</f>
        <v>37367.159242427646</v>
      </c>
      <c r="BM112">
        <f>IF($A112&lt;=$BB$45,1,0)</f>
        <v>1</v>
      </c>
      <c r="CB112">
        <f>IF($CB$31&lt;=$CB$32,IF($A112&lt;=$CB$7,1,2),IF($A112&lt;=RUNG_BEDS_2,2,1))</f>
        <v>2</v>
      </c>
      <c r="CC112" s="5">
        <f>MIN(1,MAX(0,$CB$26-($A112-1)))</f>
        <v>1</v>
      </c>
      <c r="CD112" s="5">
        <f>$CB$25*(CC112+(1-CC112)*$CB$16)</f>
        <v>252.05322714681438</v>
      </c>
      <c r="CE112" s="13">
        <f>CD112*($CB$6+ACUTE_MARGIN)</f>
        <v>254573.7594182825</v>
      </c>
      <c r="CF112" s="13">
        <f>IF(CB112=1,$CB$31,$CB$32)</f>
        <v>160718.36940738867</v>
      </c>
      <c r="CG112" s="13">
        <f>CE112-CF112</f>
        <v>93855.39001089384</v>
      </c>
      <c r="CH112" s="13">
        <f>CH111+CG112</f>
        <v>2721806.310315921</v>
      </c>
      <c r="CI112">
        <f>IF(CH112=MAX($CH$83:$CH$483),$A112,0)</f>
        <v>0</v>
      </c>
      <c r="CJ112">
        <f>IF(CE112&lt;CF112,$A112,B_MAX+1)</f>
        <v>401.0</v>
      </c>
      <c r="CK112" s="13">
        <f>IF(CB112=1,$CB$35,$CB$36)</f>
        <v>1560.1194073886782</v>
      </c>
      <c r="CL112" s="13">
        <f>OCC_DAYS*$CB$41*R_NF_2023-CD112*MCD_SHARE_FREED*R_WAIT_2023</f>
        <v>37367.159242427646</v>
      </c>
      <c r="CM112">
        <f>IF($A112&lt;=$CB$45,1,0)</f>
        <v>1</v>
      </c>
      <c r="DB112">
        <f>IF($DB$31&lt;=$DB$32,IF($A112&lt;=$DB$7,1,2),IF($A112&lt;=RUNG_BEDS_2,2,1))</f>
        <v>1</v>
      </c>
      <c r="DC112" s="5">
        <f>MIN(1,MAX(0,$DB$26-($A112-1)))</f>
        <v>1</v>
      </c>
      <c r="DD112" s="5">
        <f>$DB$25*(DC112+(1-DC112)*$DB$16)</f>
        <v>252.05322714681438</v>
      </c>
      <c r="DE112" s="13">
        <f>DD112*($DB$6+ACUTE_MARGIN)</f>
        <v>254573.7594182825</v>
      </c>
      <c r="DF112" s="13">
        <f>IF(DB112=1,$DB$31,$DB$32)</f>
        <v>152394.16214437486</v>
      </c>
      <c r="DG112" s="13">
        <f>DE112-DF112</f>
        <v>102179.59727390765</v>
      </c>
      <c r="DH112" s="13">
        <f>DH111+DG112</f>
        <v>2963208.3209433216</v>
      </c>
      <c r="DI112">
        <f>IF(DH112=MAX($DH$83:$DH$483),$A112,0)</f>
        <v>0</v>
      </c>
      <c r="DJ112">
        <f>IF(DE112&lt;DF112,$A112,B_MAX+1)</f>
        <v>401.0</v>
      </c>
      <c r="DK112" s="13">
        <f>IF(DB112=1,$DB$35,$DB$36)</f>
        <v>0</v>
      </c>
      <c r="DL112" s="13">
        <f>OCC_DAYS*$DB$41*R_NF_2023-DD112*MCD_SHARE_FREED*R_WAIT_2023</f>
        <v>37367.159242427646</v>
      </c>
      <c r="DM112">
        <f>IF($A112&lt;=$DB$45,1,0)</f>
        <v>1</v>
      </c>
      <c r="EB112">
        <f>IF($EB$31&lt;=$EB$32,IF($A112&lt;=$EB$7,1,2),IF($A112&lt;=RUNG_BEDS_2,2,1))</f>
        <v>1</v>
      </c>
      <c r="EC112" s="5">
        <f>MIN(1,MAX(0,$EB$26-($A112-1)))</f>
        <v>1</v>
      </c>
      <c r="ED112" s="5">
        <f>$EB$25*(EC112+(1-EC112)*$EB$16)</f>
        <v>252.05322714681438</v>
      </c>
      <c r="EE112" s="13">
        <f>ED112*($EB$6+ACUTE_MARGIN)</f>
        <v>254573.7594182825</v>
      </c>
      <c r="EF112" s="13">
        <f>IF(EB112=1,$EB$31,$EB$32)</f>
        <v>152394.16214437486</v>
      </c>
      <c r="EG112" s="13">
        <f>EE112-EF112</f>
        <v>102179.59727390765</v>
      </c>
      <c r="EH112" s="13">
        <f>EH111+EG112</f>
        <v>2963208.3209433216</v>
      </c>
      <c r="EI112">
        <f>IF(EH112=MAX($EH$83:$EH$483),$A112,0)</f>
        <v>0</v>
      </c>
      <c r="EJ112">
        <f>IF(EE112&lt;EF112,$A112,B_MAX+1)</f>
        <v>401.0</v>
      </c>
      <c r="EK112" s="13">
        <f>IF(EB112=1,$EB$35,$EB$36)</f>
        <v>0</v>
      </c>
      <c r="EL112" s="13">
        <f>OCC_DAYS*$EB$41*R_NF_2023-ED112*MCD_SHARE_FREED*R_WAIT_2023</f>
        <v>-63953.16263896705</v>
      </c>
      <c r="EM112">
        <f>IF($A112&lt;=$EB$45,1,0)</f>
        <v>1</v>
      </c>
      <c r="FB112">
        <f>IF($FB$31&lt;=$FB$32,IF($A112&lt;=$FB$7,1,2),IF($A112&lt;=RUNG_BEDS_2,2,1))</f>
        <v>1</v>
      </c>
      <c r="FC112" s="5">
        <f>MIN(1,MAX(0,$FB$26-($A112-1)))</f>
        <v>1</v>
      </c>
      <c r="FD112" s="5">
        <f>$FB$25*(FC112+(1-FC112)*$FB$16)</f>
        <v>252.05322714681438</v>
      </c>
      <c r="FE112" s="13">
        <f>FD112*($FB$6+ACUTE_MARGIN)</f>
        <v>254573.7594182825</v>
      </c>
      <c r="FF112" s="13">
        <f>IF(FB112=1,$FB$31,$FB$32)</f>
        <v>156636.04979437485</v>
      </c>
      <c r="FG112" s="13">
        <f>FE112-FF112</f>
        <v>97937.70962390766</v>
      </c>
      <c r="FH112" s="13">
        <f>FH111+FG112</f>
        <v>2840193.5790933226</v>
      </c>
      <c r="FI112">
        <f>IF(FH112=MAX($FH$83:$FH$483),$A112,0)</f>
        <v>0</v>
      </c>
      <c r="FJ112">
        <f>IF(FE112&lt;FF112,$A112,B_MAX+1)</f>
        <v>401.0</v>
      </c>
      <c r="FK112" s="13">
        <f>IF(FB112=1,$FB$35,$FB$36)</f>
        <v>0</v>
      </c>
      <c r="FL112" s="13">
        <f>OCC_DAYS*$FB$41*R_NF_2023-FD112*MCD_SHARE_FREED*R_WAIT_2023</f>
        <v>37367.159242427646</v>
      </c>
      <c r="FM112">
        <f>IF($A112&lt;=$FB$45,1,0)</f>
        <v>1</v>
      </c>
      <c r="GB112">
        <f>IF($GB$31&lt;=$GB$32,IF($A112&lt;=$GB$7,1,2),IF($A112&lt;=RUNG_BEDS_2,2,1))</f>
        <v>1</v>
      </c>
      <c r="GC112" s="5">
        <f>MIN(1,MAX(0,$GB$26-($A112-1)))</f>
        <v>1</v>
      </c>
      <c r="GD112" s="5">
        <f>$GB$25*(GC112+(1-GC112)*$GB$16)</f>
        <v>252.05322714681438</v>
      </c>
      <c r="GE112" s="13">
        <f>GD112*($GB$6+ACUTE_MARGIN)</f>
        <v>254573.7594182825</v>
      </c>
      <c r="GF112" s="13">
        <f>IF(GB112=1,$GB$31,$GB$32)</f>
        <v>152394.16214437486</v>
      </c>
      <c r="GG112" s="13">
        <f>GE112-GF112</f>
        <v>102179.59727390765</v>
      </c>
      <c r="GH112" s="13">
        <f>GH111+GG112</f>
        <v>2963208.3209433216</v>
      </c>
      <c r="GI112">
        <f>IF(GH112=MAX($GH$83:$GH$483),$A112,0)</f>
        <v>0</v>
      </c>
      <c r="GJ112">
        <f>IF(GE112&lt;GF112,$A112,B_MAX+1)</f>
        <v>401.0</v>
      </c>
      <c r="GK112" s="13">
        <f>IF(GB112=1,$GB$35,$GB$36)</f>
        <v>0</v>
      </c>
      <c r="GL112" s="13">
        <f>OCC_DAYS*$GB$41*R_NF_2023-GD112*MCD_SHARE_FREED*R_WAIT_2023</f>
        <v>37367.159242427646</v>
      </c>
      <c r="GM112">
        <f>IF($A112&lt;=$GB$45,1,0)</f>
        <v>1</v>
      </c>
      <c r="HB112">
        <f>IF($HB$31&lt;=$HB$32,IF($A112&lt;=$HB$7,1,2),IF($A112&lt;=RUNG_BEDS_2,2,1))</f>
        <v>1</v>
      </c>
      <c r="HC112" s="5">
        <f>MIN(1,MAX(0,$HB$26-($A112-1)))</f>
        <v>1</v>
      </c>
      <c r="HD112" s="5">
        <f>$HB$25*(HC112+(1-HC112)*$HB$16)</f>
        <v>252.05322714681438</v>
      </c>
      <c r="HE112" s="13">
        <f>HD112*($HB$6+ACUTE_MARGIN)</f>
        <v>254573.7594182825</v>
      </c>
      <c r="HF112" s="13">
        <f>IF(HB112=1,$HB$31,$HB$32)</f>
        <v>152456.2970814058</v>
      </c>
      <c r="HG112" s="13">
        <f>HE112-HF112</f>
        <v>102117.46233687672</v>
      </c>
      <c r="HH112" s="13">
        <f>HH111+HG112</f>
        <v>2961406.407769426</v>
      </c>
      <c r="HI112">
        <f>IF(HH112=MAX($HH$83:$HH$483),$A112,0)</f>
        <v>0</v>
      </c>
      <c r="HJ112">
        <f>IF(HE112&lt;HF112,$A112,B_MAX+1)</f>
        <v>401.0</v>
      </c>
      <c r="HK112" s="13">
        <f>IF(HB112=1,$HB$35,$HB$36)</f>
        <v>0</v>
      </c>
      <c r="HL112" s="13">
        <f>OCC_DAYS*$HB$41*R_NF_2023-HD112*MCD_SHARE_FREED*R_WAIT_2023</f>
        <v>37367.159242427646</v>
      </c>
      <c r="HM112">
        <f>IF($A112&lt;=$HB$45,1,0)</f>
        <v>1</v>
      </c>
      <c r="IB112">
        <f>IF($IB$31&lt;=$IB$32,IF($A112&lt;=$IB$7,1,2),IF($A112&lt;=RUNG_BEDS_2,2,1))</f>
        <v>1</v>
      </c>
      <c r="IC112" s="5">
        <f>MIN(1,MAX(0,$IB$26-($A112-1)))</f>
        <v>1</v>
      </c>
      <c r="ID112" s="5">
        <f>$IB$25*(IC112+(1-IC112)*$IB$16)</f>
        <v>252.05322714681438</v>
      </c>
      <c r="IE112" s="13">
        <f>ID112*($IB$6+ACUTE_MARGIN)</f>
        <v>254573.7594182825</v>
      </c>
      <c r="IF112" s="13">
        <f>IF(IB112=1,$IB$31,$IB$32)</f>
        <v>152734.9994534971</v>
      </c>
      <c r="IG112" s="13">
        <f>IE112-IF112</f>
        <v>101838.75996478542</v>
      </c>
      <c r="IH112" s="13">
        <f>IH111+IG112</f>
        <v>2953324.038978779</v>
      </c>
      <c r="II112">
        <f>IF(IH112=MAX($IH$83:$IH$483),$A112,0)</f>
        <v>0</v>
      </c>
      <c r="IJ112">
        <f>IF(IE112&lt;IF112,$A112,B_MAX+1)</f>
        <v>401.0</v>
      </c>
      <c r="IK112" s="13">
        <f>IF(IB112=1,$IB$35,$IB$36)</f>
        <v>0</v>
      </c>
      <c r="IL112" s="13">
        <f>OCC_DAYS*$IB$41*R_NF_2023-ID112*MCD_SHARE_FREED*R_WAIT_2023</f>
        <v>37367.159242427646</v>
      </c>
      <c r="IM112">
        <f>IF($A112&lt;=$IB$45,1,0)</f>
        <v>1</v>
      </c>
      <c r="JB112">
        <f>IF($JB$31&lt;=$JB$32,IF($A112&lt;=$JB$7,1,2),IF($A112&lt;=RUNG_BEDS_2,2,1))</f>
        <v>1</v>
      </c>
      <c r="JC112" s="5">
        <f>MIN(1,MAX(0,$JB$26-($A112-1)))</f>
        <v>1</v>
      </c>
      <c r="JD112" s="5">
        <f>$JB$25*(JC112+(1-JC112)*$JB$16)</f>
        <v>252.05322714681438</v>
      </c>
      <c r="JE112" s="13">
        <f>JD112*($JB$6+ACUTE_MARGIN)</f>
        <v>254573.7594182825</v>
      </c>
      <c r="JF112" s="13">
        <f>IF(JB112=1,$JB$31,$JB$32)</f>
        <v>152394.16214437486</v>
      </c>
      <c r="JG112" s="13">
        <f>JE112-JF112</f>
        <v>102179.59727390765</v>
      </c>
      <c r="JH112" s="13">
        <f>JH111+JG112</f>
        <v>2963208.3209433216</v>
      </c>
      <c r="JI112">
        <f>IF(JH112=MAX($JH$83:$JH$483),$A112,0)</f>
        <v>0</v>
      </c>
      <c r="JJ112">
        <f>IF(JE112&lt;JF112,$A112,B_MAX+1)</f>
        <v>401.0</v>
      </c>
      <c r="JK112" s="13">
        <f>IF(JB112=1,$JB$35,$JB$36)</f>
        <v>0</v>
      </c>
      <c r="JL112" s="13">
        <f>OCC_DAYS*$JB$41*R_NF_2023-JD112*MCD_SHARE_FREED*R_WAIT_2023</f>
        <v>37367.159242427646</v>
      </c>
      <c r="JM112">
        <f>IF($A112&lt;=$JB$45,1,0)</f>
        <v>1</v>
      </c>
      <c r="KB112">
        <f>IF($KB$31&lt;=$KB$32,IF($A112&lt;=$KB$7,1,2),IF($A112&lt;=RUNG_BEDS_2,2,1))</f>
        <v>1</v>
      </c>
      <c r="KC112" s="5">
        <f>MIN(1,MAX(0,$KB$26-($A112-1)))</f>
        <v>1</v>
      </c>
      <c r="KD112" s="5">
        <f>$KB$25*(KC112+(1-KC112)*$KB$16)</f>
        <v>126.02661357340719</v>
      </c>
      <c r="KE112" s="13">
        <f>KD112*($KB$6+ACUTE_MARGIN)</f>
        <v>127286.87970914126</v>
      </c>
      <c r="KF112" s="13">
        <f>IF(KB112=1,$KB$31,$KB$32)</f>
        <v>152394.16214437486</v>
      </c>
      <c r="KG112" s="13">
        <f>KE112-KF112</f>
        <v>-25107.282435233603</v>
      </c>
      <c r="KH112" s="13">
        <f>KH111+KG112</f>
        <v>-728111.1906217742</v>
      </c>
      <c r="KI112">
        <f>IF(KH112=MAX($KH$83:$KH$483),$A112,0)</f>
        <v>0</v>
      </c>
      <c r="KJ112">
        <f>IF(KE112&lt;KF112,$A112,B_MAX+1)</f>
        <v>29</v>
      </c>
      <c r="KK112" s="13">
        <f>IF(KB112=1,$KB$35,$KB$36)</f>
        <v>0</v>
      </c>
      <c r="KL112" s="13">
        <f>OCC_DAYS*$KB$41*R_NF_2023-KD112*MCD_SHARE_FREED*R_WAIT_2023</f>
        <v>94673.82103225985</v>
      </c>
      <c r="KM112">
        <f>IF($A112&lt;=$KB$45,1,0)</f>
        <v>0</v>
      </c>
      <c r="LB112">
        <f>IF($LB$31&lt;=$LB$32,IF($A112&lt;=$LB$7,1,2),IF($A112&lt;=RUNG_BEDS_2,2,1))</f>
        <v>1</v>
      </c>
      <c r="LC112" s="5">
        <f>MIN(1,MAX(0,$LB$26-($A112-1)))</f>
        <v>1</v>
      </c>
      <c r="LD112" s="5">
        <f>$LB$25*(LC112+(1-LC112)*$LB$16)</f>
        <v>84.01774238227146</v>
      </c>
      <c r="LE112" s="13">
        <f>LD112*($LB$6+ACUTE_MARGIN)</f>
        <v>84857.91980609419</v>
      </c>
      <c r="LF112" s="13">
        <f>IF(LB112=1,$LB$31,$LB$32)</f>
        <v>152394.16214437486</v>
      </c>
      <c r="LG112" s="13">
        <f>LE112-LF112</f>
        <v>-67536.24233828067</v>
      </c>
      <c r="LH112" s="13">
        <f>LH111+LG112</f>
        <v>-1958551.0278101393</v>
      </c>
      <c r="LI112">
        <f>IF(LH112=MAX($LH$83:$LH$483),$A112,0)</f>
        <v>0</v>
      </c>
      <c r="LJ112">
        <f>IF(LE112&lt;LF112,$A112,B_MAX+1)</f>
        <v>29</v>
      </c>
      <c r="LK112" s="13">
        <f>IF(LB112=1,$LB$35,$LB$36)</f>
        <v>0</v>
      </c>
      <c r="LL112" s="13">
        <f>OCC_DAYS*$LB$41*R_NF_2023-LD112*MCD_SHARE_FREED*R_WAIT_2023</f>
        <v>113776.04162887059</v>
      </c>
      <c r="LM112">
        <f>IF($A112&lt;=$LB$45,1,0)</f>
        <v>0</v>
      </c>
      <c r="MB112">
        <f>IF($MB$31&lt;=$MB$32,IF($A112&lt;=$MB$7,1,2),IF($A112&lt;=RUNG_BEDS_2,2,1))</f>
        <v>1</v>
      </c>
      <c r="MC112" s="5">
        <f>MIN(1,MAX(0,$MB$26-($A112-1)))</f>
        <v>1</v>
      </c>
      <c r="MD112" s="5">
        <f>$MB$25*(MC112+(1-MC112)*$MB$16)</f>
        <v>213.44610951008647</v>
      </c>
      <c r="ME112" s="13">
        <f>MD112*($MB$6+ACUTE_MARGIN)</f>
        <v>215580.57060518733</v>
      </c>
      <c r="MF112" s="13">
        <f>IF(MB112=1,$MB$31,$MB$32)</f>
        <v>152394.16214437486</v>
      </c>
      <c r="MG112" s="13">
        <f>ME112-MF112</f>
        <v>63186.40846081247</v>
      </c>
      <c r="MH112" s="13">
        <f>MH111+MG112</f>
        <v>1832405.8453635604</v>
      </c>
      <c r="MI112">
        <f>IF(MH112=MAX($MH$83:$MH$483),$A112,0)</f>
        <v>0</v>
      </c>
      <c r="MJ112">
        <f>IF(ME112&lt;MF112,$A112,B_MAX+1)</f>
        <v>401.0</v>
      </c>
      <c r="MK112" s="13">
        <f>IF(MB112=1,$MB$35,$MB$36)</f>
        <v>0</v>
      </c>
      <c r="ML112" s="13">
        <f>OCC_DAYS*$MB$41*R_NF_2023-MD112*MCD_SHARE_FREED*R_WAIT_2023</f>
        <v>54922.538779778624</v>
      </c>
      <c r="MM112">
        <f>IF($A112&lt;=$MB$45,1,0)</f>
        <v>1</v>
      </c>
      <c r="NB112">
        <f>IF($NB$31&lt;=$NB$32,IF($A112&lt;=$NB$7,1,2),IF($A112&lt;=RUNG_BEDS_2,2,1))</f>
        <v>1</v>
      </c>
      <c r="NC112" s="5">
        <f>MIN(1,MAX(0,$NB$26-($A112-1)))</f>
        <v>1</v>
      </c>
      <c r="ND112" s="5">
        <f>$NB$25*(NC112+(1-NC112)*$NB$16)</f>
        <v>252.05322714681438</v>
      </c>
      <c r="NE112" s="13">
        <f>ND112*($NB$6+ACUTE_MARGIN)</f>
        <v>254573.7594182825</v>
      </c>
      <c r="NF112" s="13">
        <f>IF(NB112=1,$NB$31,$NB$32)</f>
        <v>152394.16214437486</v>
      </c>
      <c r="NG112" s="13">
        <f>NE112-NF112</f>
        <v>102179.59727390765</v>
      </c>
      <c r="NH112" s="13">
        <f>NH111+NG112</f>
        <v>2963208.3209433216</v>
      </c>
      <c r="NI112">
        <f>IF(NH112=MAX($NH$83:$NH$483),$A112,0)</f>
        <v>0</v>
      </c>
      <c r="NJ112">
        <f>IF(NE112&lt;NF112,$A112,B_MAX+1)</f>
        <v>401.0</v>
      </c>
      <c r="NK112" s="13">
        <f>IF(NB112=1,$NB$35,$NB$36)</f>
        <v>0</v>
      </c>
      <c r="NL112" s="13">
        <f>OCC_DAYS*$NB$41*R_NF_2023-ND112*MCD_SHARE_FREED*R_WAIT_2023</f>
        <v>37367.159242427646</v>
      </c>
      <c r="NM112">
        <f>IF($A112&lt;=$NB$45,1,0)</f>
        <v>1</v>
      </c>
      <c r="OB112">
        <f>IF($OB$31&lt;=$OB$32,IF($A112&lt;=$OB$7,1,2),IF($A112&lt;=RUNG_BEDS_2,2,1))</f>
        <v>1</v>
      </c>
      <c r="OC112" s="5">
        <f>MIN(1,MAX(0,$OB$26-($A112-1)))</f>
        <v>1</v>
      </c>
      <c r="OD112" s="5">
        <f>$OB$25*(OC112+(1-OC112)*$OB$16)</f>
        <v>252.05322714681438</v>
      </c>
      <c r="OE112" s="13">
        <f>OD112*($OB$6+ACUTE_MARGIN)</f>
        <v>254573.7594182825</v>
      </c>
      <c r="OF112" s="13">
        <f>IF(OB112=1,$OB$31,$OB$32)</f>
        <v>152394.16214437486</v>
      </c>
      <c r="OG112" s="13">
        <f>OE112-OF112</f>
        <v>102179.59727390765</v>
      </c>
      <c r="OH112" s="13">
        <f>OH111+OG112</f>
        <v>2963208.3209433216</v>
      </c>
      <c r="OI112">
        <f>IF(OH112=MAX($OH$83:$OH$483),$A112,0)</f>
        <v>0</v>
      </c>
      <c r="OJ112">
        <f>IF(OE112&lt;OF112,$A112,B_MAX+1)</f>
        <v>401.0</v>
      </c>
      <c r="OK112" s="13">
        <f>IF(OB112=1,$OB$35,$OB$36)</f>
        <v>0</v>
      </c>
      <c r="OL112" s="13">
        <f>OCC_DAYS*$OB$41*R_NF_2023-OD112*MCD_SHARE_FREED*R_WAIT_2023</f>
        <v>37367.159242427646</v>
      </c>
      <c r="OM112">
        <f>IF($A112&lt;=$OB$45,1,0)</f>
        <v>1</v>
      </c>
    </row>
    <row r="113">
      <c r="A113" t="n">
        <v>30</v>
      </c>
      <c r="B113">
        <f>IF($B$31&lt;=$B$32,IF($A113&lt;=$B$7,1,2),IF($A113&lt;=RUNG_BEDS_2,2,1))</f>
        <v>1</v>
      </c>
      <c r="C113" s="5">
        <f>MIN(1,MAX(0,$B$26-($A113-1)))</f>
        <v>1</v>
      </c>
      <c r="D113" s="5">
        <f>$B$25*(C113+(1-C113)*$B$16)</f>
        <v>252.05322714681438</v>
      </c>
      <c r="E113" s="13">
        <f>D113*($B$6+ACUTE_MARGIN)</f>
        <v>254573.7594182825</v>
      </c>
      <c r="F113" s="13">
        <f>IF(B113=1,$B$31,$B$32)</f>
        <v>152394.16214437486</v>
      </c>
      <c r="G113" s="13">
        <f>E113-F113</f>
        <v>102179.59727390765</v>
      </c>
      <c r="H113" s="13">
        <f>H112+G113</f>
        <v>3065387.918217229</v>
      </c>
      <c r="I113">
        <f>IF(H113=MAX($H$83:$H$483),$A113,0)</f>
        <v>0</v>
      </c>
      <c r="J113">
        <f>IF(E113&lt;F113,$A113,B_MAX+1)</f>
        <v>401.0</v>
      </c>
      <c r="K113" s="13">
        <f>IF(B113=1,$B$35,$B$36)</f>
        <v>0</v>
      </c>
      <c r="L113" s="13">
        <f>OCC_DAYS*$B$41*R_NF_2023-D113*MCD_SHARE_FREED*R_WAIT_2023</f>
        <v>37367.159242427646</v>
      </c>
      <c r="M113">
        <f>IF($A113&lt;=$B$45,1,0)</f>
        <v>1</v>
      </c>
      <c r="AB113">
        <f>IF($AB$31&lt;=$AB$32,IF($A113&lt;=$AB$7,1,2),IF($A113&lt;=RUNG_BEDS_2,2,1))</f>
        <v>1</v>
      </c>
      <c r="AC113" s="5">
        <f>MIN(1,MAX(0,$AB$26-($A113-1)))</f>
        <v>1</v>
      </c>
      <c r="AD113" s="5">
        <f>$AB$25*(AC113+(1-AC113)*$AB$16)</f>
        <v>252.05322714681438</v>
      </c>
      <c r="AE113" s="13">
        <f>AD113*($AB$6+ACUTE_MARGIN)</f>
        <v>138629.2749307479</v>
      </c>
      <c r="AF113" s="13">
        <f>IF(AB113=1,$AB$31,$AB$32)</f>
        <v>152394.16214437486</v>
      </c>
      <c r="AG113" s="13">
        <f>AE113-AF113</f>
        <v>-13764.887213626964</v>
      </c>
      <c r="AH113" s="13">
        <f>AH112+AG113</f>
        <v>-412946.6164088092</v>
      </c>
      <c r="AI113">
        <f>IF(AH113=MAX($AH$83:$AH$483),$A113,0)</f>
        <v>0</v>
      </c>
      <c r="AJ113">
        <f>IF(AE113&lt;AF113,$A113,B_MAX+1)</f>
        <v>30</v>
      </c>
      <c r="AK113" s="13">
        <f>IF(AB113=1,$AB$35,$AB$36)</f>
        <v>0</v>
      </c>
      <c r="AL113" s="13">
        <f>OCC_DAYS*$AB$41*R_NF_2023-AD113*MCD_SHARE_FREED*R_WAIT_2023</f>
        <v>37367.159242427646</v>
      </c>
      <c r="AM113">
        <f>IF($A113&lt;=$AB$45,1,0)</f>
        <v>0</v>
      </c>
      <c r="BB113">
        <f>IF($BB$31&lt;=$BB$32,IF($A113&lt;=$BB$7,1,2),IF($A113&lt;=RUNG_BEDS_2,2,1))</f>
        <v>1</v>
      </c>
      <c r="BC113" s="5">
        <f>MIN(1,MAX(0,$BB$26-($A113-1)))</f>
        <v>1</v>
      </c>
      <c r="BD113" s="5">
        <f>$BB$25*(BC113+(1-BC113)*$BB$16)</f>
        <v>252.05322714681438</v>
      </c>
      <c r="BE113" s="13">
        <f>BD113*($BB$6+ACUTE_MARGIN)</f>
        <v>370518.24390581716</v>
      </c>
      <c r="BF113" s="13">
        <f>IF(BB113=1,$BB$31,$BB$32)</f>
        <v>152394.16214437486</v>
      </c>
      <c r="BG113" s="13">
        <f>BE113-BF113</f>
        <v>218124.0817614423</v>
      </c>
      <c r="BH113" s="13">
        <f>BH112+BG113</f>
        <v>6543722.452843266</v>
      </c>
      <c r="BI113">
        <f>IF(BH113=MAX($BH$83:$BH$483),$A113,0)</f>
        <v>0</v>
      </c>
      <c r="BJ113">
        <f>IF(BE113&lt;BF113,$A113,B_MAX+1)</f>
        <v>401.0</v>
      </c>
      <c r="BK113" s="13">
        <f>IF(BB113=1,$BB$35,$BB$36)</f>
        <v>0</v>
      </c>
      <c r="BL113" s="13">
        <f>OCC_DAYS*$BB$41*R_NF_2023-BD113*MCD_SHARE_FREED*R_WAIT_2023</f>
        <v>37367.159242427646</v>
      </c>
      <c r="BM113">
        <f>IF($A113&lt;=$BB$45,1,0)</f>
        <v>1</v>
      </c>
      <c r="CB113">
        <f>IF($CB$31&lt;=$CB$32,IF($A113&lt;=$CB$7,1,2),IF($A113&lt;=RUNG_BEDS_2,2,1))</f>
        <v>2</v>
      </c>
      <c r="CC113" s="5">
        <f>MIN(1,MAX(0,$CB$26-($A113-1)))</f>
        <v>1</v>
      </c>
      <c r="CD113" s="5">
        <f>$CB$25*(CC113+(1-CC113)*$CB$16)</f>
        <v>252.05322714681438</v>
      </c>
      <c r="CE113" s="13">
        <f>CD113*($CB$6+ACUTE_MARGIN)</f>
        <v>254573.7594182825</v>
      </c>
      <c r="CF113" s="13">
        <f>IF(CB113=1,$CB$31,$CB$32)</f>
        <v>160718.36940738867</v>
      </c>
      <c r="CG113" s="13">
        <f>CE113-CF113</f>
        <v>93855.39001089384</v>
      </c>
      <c r="CH113" s="13">
        <f>CH112+CG113</f>
        <v>2815661.700326815</v>
      </c>
      <c r="CI113">
        <f>IF(CH113=MAX($CH$83:$CH$483),$A113,0)</f>
        <v>0</v>
      </c>
      <c r="CJ113">
        <f>IF(CE113&lt;CF113,$A113,B_MAX+1)</f>
        <v>401.0</v>
      </c>
      <c r="CK113" s="13">
        <f>IF(CB113=1,$CB$35,$CB$36)</f>
        <v>1560.1194073886782</v>
      </c>
      <c r="CL113" s="13">
        <f>OCC_DAYS*$CB$41*R_NF_2023-CD113*MCD_SHARE_FREED*R_WAIT_2023</f>
        <v>37367.159242427646</v>
      </c>
      <c r="CM113">
        <f>IF($A113&lt;=$CB$45,1,0)</f>
        <v>1</v>
      </c>
      <c r="DB113">
        <f>IF($DB$31&lt;=$DB$32,IF($A113&lt;=$DB$7,1,2),IF($A113&lt;=RUNG_BEDS_2,2,1))</f>
        <v>1</v>
      </c>
      <c r="DC113" s="5">
        <f>MIN(1,MAX(0,$DB$26-($A113-1)))</f>
        <v>1</v>
      </c>
      <c r="DD113" s="5">
        <f>$DB$25*(DC113+(1-DC113)*$DB$16)</f>
        <v>252.05322714681438</v>
      </c>
      <c r="DE113" s="13">
        <f>DD113*($DB$6+ACUTE_MARGIN)</f>
        <v>254573.7594182825</v>
      </c>
      <c r="DF113" s="13">
        <f>IF(DB113=1,$DB$31,$DB$32)</f>
        <v>152394.16214437486</v>
      </c>
      <c r="DG113" s="13">
        <f>DE113-DF113</f>
        <v>102179.59727390765</v>
      </c>
      <c r="DH113" s="13">
        <f>DH112+DG113</f>
        <v>3065387.918217229</v>
      </c>
      <c r="DI113">
        <f>IF(DH113=MAX($DH$83:$DH$483),$A113,0)</f>
        <v>0</v>
      </c>
      <c r="DJ113">
        <f>IF(DE113&lt;DF113,$A113,B_MAX+1)</f>
        <v>401.0</v>
      </c>
      <c r="DK113" s="13">
        <f>IF(DB113=1,$DB$35,$DB$36)</f>
        <v>0</v>
      </c>
      <c r="DL113" s="13">
        <f>OCC_DAYS*$DB$41*R_NF_2023-DD113*MCD_SHARE_FREED*R_WAIT_2023</f>
        <v>37367.159242427646</v>
      </c>
      <c r="DM113">
        <f>IF($A113&lt;=$DB$45,1,0)</f>
        <v>1</v>
      </c>
      <c r="EB113">
        <f>IF($EB$31&lt;=$EB$32,IF($A113&lt;=$EB$7,1,2),IF($A113&lt;=RUNG_BEDS_2,2,1))</f>
        <v>1</v>
      </c>
      <c r="EC113" s="5">
        <f>MIN(1,MAX(0,$EB$26-($A113-1)))</f>
        <v>1</v>
      </c>
      <c r="ED113" s="5">
        <f>$EB$25*(EC113+(1-EC113)*$EB$16)</f>
        <v>252.05322714681438</v>
      </c>
      <c r="EE113" s="13">
        <f>ED113*($EB$6+ACUTE_MARGIN)</f>
        <v>254573.7594182825</v>
      </c>
      <c r="EF113" s="13">
        <f>IF(EB113=1,$EB$31,$EB$32)</f>
        <v>152394.16214437486</v>
      </c>
      <c r="EG113" s="13">
        <f>EE113-EF113</f>
        <v>102179.59727390765</v>
      </c>
      <c r="EH113" s="13">
        <f>EH112+EG113</f>
        <v>3065387.918217229</v>
      </c>
      <c r="EI113">
        <f>IF(EH113=MAX($EH$83:$EH$483),$A113,0)</f>
        <v>0</v>
      </c>
      <c r="EJ113">
        <f>IF(EE113&lt;EF113,$A113,B_MAX+1)</f>
        <v>401.0</v>
      </c>
      <c r="EK113" s="13">
        <f>IF(EB113=1,$EB$35,$EB$36)</f>
        <v>0</v>
      </c>
      <c r="EL113" s="13">
        <f>OCC_DAYS*$EB$41*R_NF_2023-ED113*MCD_SHARE_FREED*R_WAIT_2023</f>
        <v>-63953.16263896705</v>
      </c>
      <c r="EM113">
        <f>IF($A113&lt;=$EB$45,1,0)</f>
        <v>1</v>
      </c>
      <c r="FB113">
        <f>IF($FB$31&lt;=$FB$32,IF($A113&lt;=$FB$7,1,2),IF($A113&lt;=RUNG_BEDS_2,2,1))</f>
        <v>1</v>
      </c>
      <c r="FC113" s="5">
        <f>MIN(1,MAX(0,$FB$26-($A113-1)))</f>
        <v>1</v>
      </c>
      <c r="FD113" s="5">
        <f>$FB$25*(FC113+(1-FC113)*$FB$16)</f>
        <v>252.05322714681438</v>
      </c>
      <c r="FE113" s="13">
        <f>FD113*($FB$6+ACUTE_MARGIN)</f>
        <v>254573.7594182825</v>
      </c>
      <c r="FF113" s="13">
        <f>IF(FB113=1,$FB$31,$FB$32)</f>
        <v>156636.04979437485</v>
      </c>
      <c r="FG113" s="13">
        <f>FE113-FF113</f>
        <v>97937.70962390766</v>
      </c>
      <c r="FH113" s="13">
        <f>FH112+FG113</f>
        <v>2938131.2887172303</v>
      </c>
      <c r="FI113">
        <f>IF(FH113=MAX($FH$83:$FH$483),$A113,0)</f>
        <v>0</v>
      </c>
      <c r="FJ113">
        <f>IF(FE113&lt;FF113,$A113,B_MAX+1)</f>
        <v>401.0</v>
      </c>
      <c r="FK113" s="13">
        <f>IF(FB113=1,$FB$35,$FB$36)</f>
        <v>0</v>
      </c>
      <c r="FL113" s="13">
        <f>OCC_DAYS*$FB$41*R_NF_2023-FD113*MCD_SHARE_FREED*R_WAIT_2023</f>
        <v>37367.159242427646</v>
      </c>
      <c r="FM113">
        <f>IF($A113&lt;=$FB$45,1,0)</f>
        <v>1</v>
      </c>
      <c r="GB113">
        <f>IF($GB$31&lt;=$GB$32,IF($A113&lt;=$GB$7,1,2),IF($A113&lt;=RUNG_BEDS_2,2,1))</f>
        <v>1</v>
      </c>
      <c r="GC113" s="5">
        <f>MIN(1,MAX(0,$GB$26-($A113-1)))</f>
        <v>1</v>
      </c>
      <c r="GD113" s="5">
        <f>$GB$25*(GC113+(1-GC113)*$GB$16)</f>
        <v>252.05322714681438</v>
      </c>
      <c r="GE113" s="13">
        <f>GD113*($GB$6+ACUTE_MARGIN)</f>
        <v>254573.7594182825</v>
      </c>
      <c r="GF113" s="13">
        <f>IF(GB113=1,$GB$31,$GB$32)</f>
        <v>152394.16214437486</v>
      </c>
      <c r="GG113" s="13">
        <f>GE113-GF113</f>
        <v>102179.59727390765</v>
      </c>
      <c r="GH113" s="13">
        <f>GH112+GG113</f>
        <v>3065387.918217229</v>
      </c>
      <c r="GI113">
        <f>IF(GH113=MAX($GH$83:$GH$483),$A113,0)</f>
        <v>0</v>
      </c>
      <c r="GJ113">
        <f>IF(GE113&lt;GF113,$A113,B_MAX+1)</f>
        <v>401.0</v>
      </c>
      <c r="GK113" s="13">
        <f>IF(GB113=1,$GB$35,$GB$36)</f>
        <v>0</v>
      </c>
      <c r="GL113" s="13">
        <f>OCC_DAYS*$GB$41*R_NF_2023-GD113*MCD_SHARE_FREED*R_WAIT_2023</f>
        <v>37367.159242427646</v>
      </c>
      <c r="GM113">
        <f>IF($A113&lt;=$GB$45,1,0)</f>
        <v>1</v>
      </c>
      <c r="HB113">
        <f>IF($HB$31&lt;=$HB$32,IF($A113&lt;=$HB$7,1,2),IF($A113&lt;=RUNG_BEDS_2,2,1))</f>
        <v>1</v>
      </c>
      <c r="HC113" s="5">
        <f>MIN(1,MAX(0,$HB$26-($A113-1)))</f>
        <v>1</v>
      </c>
      <c r="HD113" s="5">
        <f>$HB$25*(HC113+(1-HC113)*$HB$16)</f>
        <v>252.05322714681438</v>
      </c>
      <c r="HE113" s="13">
        <f>HD113*($HB$6+ACUTE_MARGIN)</f>
        <v>254573.7594182825</v>
      </c>
      <c r="HF113" s="13">
        <f>IF(HB113=1,$HB$31,$HB$32)</f>
        <v>152456.2970814058</v>
      </c>
      <c r="HG113" s="13">
        <f>HE113-HF113</f>
        <v>102117.46233687672</v>
      </c>
      <c r="HH113" s="13">
        <f>HH112+HG113</f>
        <v>3063523.8701063027</v>
      </c>
      <c r="HI113">
        <f>IF(HH113=MAX($HH$83:$HH$483),$A113,0)</f>
        <v>0</v>
      </c>
      <c r="HJ113">
        <f>IF(HE113&lt;HF113,$A113,B_MAX+1)</f>
        <v>401.0</v>
      </c>
      <c r="HK113" s="13">
        <f>IF(HB113=1,$HB$35,$HB$36)</f>
        <v>0</v>
      </c>
      <c r="HL113" s="13">
        <f>OCC_DAYS*$HB$41*R_NF_2023-HD113*MCD_SHARE_FREED*R_WAIT_2023</f>
        <v>37367.159242427646</v>
      </c>
      <c r="HM113">
        <f>IF($A113&lt;=$HB$45,1,0)</f>
        <v>1</v>
      </c>
      <c r="IB113">
        <f>IF($IB$31&lt;=$IB$32,IF($A113&lt;=$IB$7,1,2),IF($A113&lt;=RUNG_BEDS_2,2,1))</f>
        <v>1</v>
      </c>
      <c r="IC113" s="5">
        <f>MIN(1,MAX(0,$IB$26-($A113-1)))</f>
        <v>1</v>
      </c>
      <c r="ID113" s="5">
        <f>$IB$25*(IC113+(1-IC113)*$IB$16)</f>
        <v>252.05322714681438</v>
      </c>
      <c r="IE113" s="13">
        <f>ID113*($IB$6+ACUTE_MARGIN)</f>
        <v>254573.7594182825</v>
      </c>
      <c r="IF113" s="13">
        <f>IF(IB113=1,$IB$31,$IB$32)</f>
        <v>152734.9994534971</v>
      </c>
      <c r="IG113" s="13">
        <f>IE113-IF113</f>
        <v>101838.75996478542</v>
      </c>
      <c r="IH113" s="13">
        <f>IH112+IG113</f>
        <v>3055162.7989435648</v>
      </c>
      <c r="II113">
        <f>IF(IH113=MAX($IH$83:$IH$483),$A113,0)</f>
        <v>0</v>
      </c>
      <c r="IJ113">
        <f>IF(IE113&lt;IF113,$A113,B_MAX+1)</f>
        <v>401.0</v>
      </c>
      <c r="IK113" s="13">
        <f>IF(IB113=1,$IB$35,$IB$36)</f>
        <v>0</v>
      </c>
      <c r="IL113" s="13">
        <f>OCC_DAYS*$IB$41*R_NF_2023-ID113*MCD_SHARE_FREED*R_WAIT_2023</f>
        <v>37367.159242427646</v>
      </c>
      <c r="IM113">
        <f>IF($A113&lt;=$IB$45,1,0)</f>
        <v>1</v>
      </c>
      <c r="JB113">
        <f>IF($JB$31&lt;=$JB$32,IF($A113&lt;=$JB$7,1,2),IF($A113&lt;=RUNG_BEDS_2,2,1))</f>
        <v>1</v>
      </c>
      <c r="JC113" s="5">
        <f>MIN(1,MAX(0,$JB$26-($A113-1)))</f>
        <v>1</v>
      </c>
      <c r="JD113" s="5">
        <f>$JB$25*(JC113+(1-JC113)*$JB$16)</f>
        <v>252.05322714681438</v>
      </c>
      <c r="JE113" s="13">
        <f>JD113*($JB$6+ACUTE_MARGIN)</f>
        <v>254573.7594182825</v>
      </c>
      <c r="JF113" s="13">
        <f>IF(JB113=1,$JB$31,$JB$32)</f>
        <v>152394.16214437486</v>
      </c>
      <c r="JG113" s="13">
        <f>JE113-JF113</f>
        <v>102179.59727390765</v>
      </c>
      <c r="JH113" s="13">
        <f>JH112+JG113</f>
        <v>3065387.918217229</v>
      </c>
      <c r="JI113">
        <f>IF(JH113=MAX($JH$83:$JH$483),$A113,0)</f>
        <v>0</v>
      </c>
      <c r="JJ113">
        <f>IF(JE113&lt;JF113,$A113,B_MAX+1)</f>
        <v>401.0</v>
      </c>
      <c r="JK113" s="13">
        <f>IF(JB113=1,$JB$35,$JB$36)</f>
        <v>0</v>
      </c>
      <c r="JL113" s="13">
        <f>OCC_DAYS*$JB$41*R_NF_2023-JD113*MCD_SHARE_FREED*R_WAIT_2023</f>
        <v>37367.159242427646</v>
      </c>
      <c r="JM113">
        <f>IF($A113&lt;=$JB$45,1,0)</f>
        <v>1</v>
      </c>
      <c r="KB113">
        <f>IF($KB$31&lt;=$KB$32,IF($A113&lt;=$KB$7,1,2),IF($A113&lt;=RUNG_BEDS_2,2,1))</f>
        <v>1</v>
      </c>
      <c r="KC113" s="5">
        <f>MIN(1,MAX(0,$KB$26-($A113-1)))</f>
        <v>1</v>
      </c>
      <c r="KD113" s="5">
        <f>$KB$25*(KC113+(1-KC113)*$KB$16)</f>
        <v>126.02661357340719</v>
      </c>
      <c r="KE113" s="13">
        <f>KD113*($KB$6+ACUTE_MARGIN)</f>
        <v>127286.87970914126</v>
      </c>
      <c r="KF113" s="13">
        <f>IF(KB113=1,$KB$31,$KB$32)</f>
        <v>152394.16214437486</v>
      </c>
      <c r="KG113" s="13">
        <f>KE113-KF113</f>
        <v>-25107.282435233603</v>
      </c>
      <c r="KH113" s="13">
        <f>KH112+KG113</f>
        <v>-753218.4730570078</v>
      </c>
      <c r="KI113">
        <f>IF(KH113=MAX($KH$83:$KH$483),$A113,0)</f>
        <v>0</v>
      </c>
      <c r="KJ113">
        <f>IF(KE113&lt;KF113,$A113,B_MAX+1)</f>
        <v>30</v>
      </c>
      <c r="KK113" s="13">
        <f>IF(KB113=1,$KB$35,$KB$36)</f>
        <v>0</v>
      </c>
      <c r="KL113" s="13">
        <f>OCC_DAYS*$KB$41*R_NF_2023-KD113*MCD_SHARE_FREED*R_WAIT_2023</f>
        <v>94673.82103225985</v>
      </c>
      <c r="KM113">
        <f>IF($A113&lt;=$KB$45,1,0)</f>
        <v>0</v>
      </c>
      <c r="LB113">
        <f>IF($LB$31&lt;=$LB$32,IF($A113&lt;=$LB$7,1,2),IF($A113&lt;=RUNG_BEDS_2,2,1))</f>
        <v>1</v>
      </c>
      <c r="LC113" s="5">
        <f>MIN(1,MAX(0,$LB$26-($A113-1)))</f>
        <v>1</v>
      </c>
      <c r="LD113" s="5">
        <f>$LB$25*(LC113+(1-LC113)*$LB$16)</f>
        <v>84.01774238227146</v>
      </c>
      <c r="LE113" s="13">
        <f>LD113*($LB$6+ACUTE_MARGIN)</f>
        <v>84857.91980609419</v>
      </c>
      <c r="LF113" s="13">
        <f>IF(LB113=1,$LB$31,$LB$32)</f>
        <v>152394.16214437486</v>
      </c>
      <c r="LG113" s="13">
        <f>LE113-LF113</f>
        <v>-67536.24233828067</v>
      </c>
      <c r="LH113" s="13">
        <f>LH112+LG113</f>
        <v>-2026087.27014842</v>
      </c>
      <c r="LI113">
        <f>IF(LH113=MAX($LH$83:$LH$483),$A113,0)</f>
        <v>0</v>
      </c>
      <c r="LJ113">
        <f>IF(LE113&lt;LF113,$A113,B_MAX+1)</f>
        <v>30</v>
      </c>
      <c r="LK113" s="13">
        <f>IF(LB113=1,$LB$35,$LB$36)</f>
        <v>0</v>
      </c>
      <c r="LL113" s="13">
        <f>OCC_DAYS*$LB$41*R_NF_2023-LD113*MCD_SHARE_FREED*R_WAIT_2023</f>
        <v>113776.04162887059</v>
      </c>
      <c r="LM113">
        <f>IF($A113&lt;=$LB$45,1,0)</f>
        <v>0</v>
      </c>
      <c r="MB113">
        <f>IF($MB$31&lt;=$MB$32,IF($A113&lt;=$MB$7,1,2),IF($A113&lt;=RUNG_BEDS_2,2,1))</f>
        <v>1</v>
      </c>
      <c r="MC113" s="5">
        <f>MIN(1,MAX(0,$MB$26-($A113-1)))</f>
        <v>1</v>
      </c>
      <c r="MD113" s="5">
        <f>$MB$25*(MC113+(1-MC113)*$MB$16)</f>
        <v>213.44610951008647</v>
      </c>
      <c r="ME113" s="13">
        <f>MD113*($MB$6+ACUTE_MARGIN)</f>
        <v>215580.57060518733</v>
      </c>
      <c r="MF113" s="13">
        <f>IF(MB113=1,$MB$31,$MB$32)</f>
        <v>152394.16214437486</v>
      </c>
      <c r="MG113" s="13">
        <f>ME113-MF113</f>
        <v>63186.40846081247</v>
      </c>
      <c r="MH113" s="13">
        <f>MH112+MG113</f>
        <v>1895592.2538243728</v>
      </c>
      <c r="MI113">
        <f>IF(MH113=MAX($MH$83:$MH$483),$A113,0)</f>
        <v>0</v>
      </c>
      <c r="MJ113">
        <f>IF(ME113&lt;MF113,$A113,B_MAX+1)</f>
        <v>401.0</v>
      </c>
      <c r="MK113" s="13">
        <f>IF(MB113=1,$MB$35,$MB$36)</f>
        <v>0</v>
      </c>
      <c r="ML113" s="13">
        <f>OCC_DAYS*$MB$41*R_NF_2023-MD113*MCD_SHARE_FREED*R_WAIT_2023</f>
        <v>54922.538779778624</v>
      </c>
      <c r="MM113">
        <f>IF($A113&lt;=$MB$45,1,0)</f>
        <v>1</v>
      </c>
      <c r="NB113">
        <f>IF($NB$31&lt;=$NB$32,IF($A113&lt;=$NB$7,1,2),IF($A113&lt;=RUNG_BEDS_2,2,1))</f>
        <v>1</v>
      </c>
      <c r="NC113" s="5">
        <f>MIN(1,MAX(0,$NB$26-($A113-1)))</f>
        <v>1</v>
      </c>
      <c r="ND113" s="5">
        <f>$NB$25*(NC113+(1-NC113)*$NB$16)</f>
        <v>252.05322714681438</v>
      </c>
      <c r="NE113" s="13">
        <f>ND113*($NB$6+ACUTE_MARGIN)</f>
        <v>254573.7594182825</v>
      </c>
      <c r="NF113" s="13">
        <f>IF(NB113=1,$NB$31,$NB$32)</f>
        <v>152394.16214437486</v>
      </c>
      <c r="NG113" s="13">
        <f>NE113-NF113</f>
        <v>102179.59727390765</v>
      </c>
      <c r="NH113" s="13">
        <f>NH112+NG113</f>
        <v>3065387.918217229</v>
      </c>
      <c r="NI113">
        <f>IF(NH113=MAX($NH$83:$NH$483),$A113,0)</f>
        <v>0</v>
      </c>
      <c r="NJ113">
        <f>IF(NE113&lt;NF113,$A113,B_MAX+1)</f>
        <v>401.0</v>
      </c>
      <c r="NK113" s="13">
        <f>IF(NB113=1,$NB$35,$NB$36)</f>
        <v>0</v>
      </c>
      <c r="NL113" s="13">
        <f>OCC_DAYS*$NB$41*R_NF_2023-ND113*MCD_SHARE_FREED*R_WAIT_2023</f>
        <v>37367.159242427646</v>
      </c>
      <c r="NM113">
        <f>IF($A113&lt;=$NB$45,1,0)</f>
        <v>1</v>
      </c>
      <c r="OB113">
        <f>IF($OB$31&lt;=$OB$32,IF($A113&lt;=$OB$7,1,2),IF($A113&lt;=RUNG_BEDS_2,2,1))</f>
        <v>1</v>
      </c>
      <c r="OC113" s="5">
        <f>MIN(1,MAX(0,$OB$26-($A113-1)))</f>
        <v>1</v>
      </c>
      <c r="OD113" s="5">
        <f>$OB$25*(OC113+(1-OC113)*$OB$16)</f>
        <v>252.05322714681438</v>
      </c>
      <c r="OE113" s="13">
        <f>OD113*($OB$6+ACUTE_MARGIN)</f>
        <v>254573.7594182825</v>
      </c>
      <c r="OF113" s="13">
        <f>IF(OB113=1,$OB$31,$OB$32)</f>
        <v>152394.16214437486</v>
      </c>
      <c r="OG113" s="13">
        <f>OE113-OF113</f>
        <v>102179.59727390765</v>
      </c>
      <c r="OH113" s="13">
        <f>OH112+OG113</f>
        <v>3065387.918217229</v>
      </c>
      <c r="OI113">
        <f>IF(OH113=MAX($OH$83:$OH$483),$A113,0)</f>
        <v>0</v>
      </c>
      <c r="OJ113">
        <f>IF(OE113&lt;OF113,$A113,B_MAX+1)</f>
        <v>401.0</v>
      </c>
      <c r="OK113" s="13">
        <f>IF(OB113=1,$OB$35,$OB$36)</f>
        <v>0</v>
      </c>
      <c r="OL113" s="13">
        <f>OCC_DAYS*$OB$41*R_NF_2023-OD113*MCD_SHARE_FREED*R_WAIT_2023</f>
        <v>37367.159242427646</v>
      </c>
      <c r="OM113">
        <f>IF($A113&lt;=$OB$45,1,0)</f>
        <v>1</v>
      </c>
    </row>
    <row r="114">
      <c r="A114" t="n">
        <v>31</v>
      </c>
      <c r="B114">
        <f>IF($B$31&lt;=$B$32,IF($A114&lt;=$B$7,1,2),IF($A114&lt;=RUNG_BEDS_2,2,1))</f>
        <v>1</v>
      </c>
      <c r="C114" s="5">
        <f>MIN(1,MAX(0,$B$26-($A114-1)))</f>
        <v>1</v>
      </c>
      <c r="D114" s="5">
        <f>$B$25*(C114+(1-C114)*$B$16)</f>
        <v>252.05322714681438</v>
      </c>
      <c r="E114" s="13">
        <f>D114*($B$6+ACUTE_MARGIN)</f>
        <v>254573.7594182825</v>
      </c>
      <c r="F114" s="13">
        <f>IF(B114=1,$B$31,$B$32)</f>
        <v>152394.16214437486</v>
      </c>
      <c r="G114" s="13">
        <f>E114-F114</f>
        <v>102179.59727390765</v>
      </c>
      <c r="H114" s="13">
        <f>H113+G114</f>
        <v>3167567.515491137</v>
      </c>
      <c r="I114">
        <f>IF(H114=MAX($H$83:$H$483),$A114,0)</f>
        <v>0</v>
      </c>
      <c r="J114">
        <f>IF(E114&lt;F114,$A114,B_MAX+1)</f>
        <v>401.0</v>
      </c>
      <c r="K114" s="13">
        <f>IF(B114=1,$B$35,$B$36)</f>
        <v>0</v>
      </c>
      <c r="L114" s="13">
        <f>OCC_DAYS*$B$41*R_NF_2023-D114*MCD_SHARE_FREED*R_WAIT_2023</f>
        <v>37367.159242427646</v>
      </c>
      <c r="M114">
        <f>IF($A114&lt;=$B$45,1,0)</f>
        <v>1</v>
      </c>
      <c r="AB114">
        <f>IF($AB$31&lt;=$AB$32,IF($A114&lt;=$AB$7,1,2),IF($A114&lt;=RUNG_BEDS_2,2,1))</f>
        <v>1</v>
      </c>
      <c r="AC114" s="5">
        <f>MIN(1,MAX(0,$AB$26-($A114-1)))</f>
        <v>1</v>
      </c>
      <c r="AD114" s="5">
        <f>$AB$25*(AC114+(1-AC114)*$AB$16)</f>
        <v>252.05322714681438</v>
      </c>
      <c r="AE114" s="13">
        <f>AD114*($AB$6+ACUTE_MARGIN)</f>
        <v>138629.2749307479</v>
      </c>
      <c r="AF114" s="13">
        <f>IF(AB114=1,$AB$31,$AB$32)</f>
        <v>152394.16214437486</v>
      </c>
      <c r="AG114" s="13">
        <f>AE114-AF114</f>
        <v>-13764.887213626964</v>
      </c>
      <c r="AH114" s="13">
        <f>AH113+AG114</f>
        <v>-426711.5036224362</v>
      </c>
      <c r="AI114">
        <f>IF(AH114=MAX($AH$83:$AH$483),$A114,0)</f>
        <v>0</v>
      </c>
      <c r="AJ114">
        <f>IF(AE114&lt;AF114,$A114,B_MAX+1)</f>
        <v>31</v>
      </c>
      <c r="AK114" s="13">
        <f>IF(AB114=1,$AB$35,$AB$36)</f>
        <v>0</v>
      </c>
      <c r="AL114" s="13">
        <f>OCC_DAYS*$AB$41*R_NF_2023-AD114*MCD_SHARE_FREED*R_WAIT_2023</f>
        <v>37367.159242427646</v>
      </c>
      <c r="AM114">
        <f>IF($A114&lt;=$AB$45,1,0)</f>
        <v>0</v>
      </c>
      <c r="BB114">
        <f>IF($BB$31&lt;=$BB$32,IF($A114&lt;=$BB$7,1,2),IF($A114&lt;=RUNG_BEDS_2,2,1))</f>
        <v>1</v>
      </c>
      <c r="BC114" s="5">
        <f>MIN(1,MAX(0,$BB$26-($A114-1)))</f>
        <v>1</v>
      </c>
      <c r="BD114" s="5">
        <f>$BB$25*(BC114+(1-BC114)*$BB$16)</f>
        <v>252.05322714681438</v>
      </c>
      <c r="BE114" s="13">
        <f>BD114*($BB$6+ACUTE_MARGIN)</f>
        <v>370518.24390581716</v>
      </c>
      <c r="BF114" s="13">
        <f>IF(BB114=1,$BB$31,$BB$32)</f>
        <v>152394.16214437486</v>
      </c>
      <c r="BG114" s="13">
        <f>BE114-BF114</f>
        <v>218124.0817614423</v>
      </c>
      <c r="BH114" s="13">
        <f>BH113+BG114</f>
        <v>6761846.534604708</v>
      </c>
      <c r="BI114">
        <f>IF(BH114=MAX($BH$83:$BH$483),$A114,0)</f>
        <v>0</v>
      </c>
      <c r="BJ114">
        <f>IF(BE114&lt;BF114,$A114,B_MAX+1)</f>
        <v>401.0</v>
      </c>
      <c r="BK114" s="13">
        <f>IF(BB114=1,$BB$35,$BB$36)</f>
        <v>0</v>
      </c>
      <c r="BL114" s="13">
        <f>OCC_DAYS*$BB$41*R_NF_2023-BD114*MCD_SHARE_FREED*R_WAIT_2023</f>
        <v>37367.159242427646</v>
      </c>
      <c r="BM114">
        <f>IF($A114&lt;=$BB$45,1,0)</f>
        <v>1</v>
      </c>
      <c r="CB114">
        <f>IF($CB$31&lt;=$CB$32,IF($A114&lt;=$CB$7,1,2),IF($A114&lt;=RUNG_BEDS_2,2,1))</f>
        <v>2</v>
      </c>
      <c r="CC114" s="5">
        <f>MIN(1,MAX(0,$CB$26-($A114-1)))</f>
        <v>1</v>
      </c>
      <c r="CD114" s="5">
        <f>$CB$25*(CC114+(1-CC114)*$CB$16)</f>
        <v>252.05322714681438</v>
      </c>
      <c r="CE114" s="13">
        <f>CD114*($CB$6+ACUTE_MARGIN)</f>
        <v>254573.7594182825</v>
      </c>
      <c r="CF114" s="13">
        <f>IF(CB114=1,$CB$31,$CB$32)</f>
        <v>160718.36940738867</v>
      </c>
      <c r="CG114" s="13">
        <f>CE114-CF114</f>
        <v>93855.39001089384</v>
      </c>
      <c r="CH114" s="13">
        <f>CH113+CG114</f>
        <v>2909517.0903377086</v>
      </c>
      <c r="CI114">
        <f>IF(CH114=MAX($CH$83:$CH$483),$A114,0)</f>
        <v>0</v>
      </c>
      <c r="CJ114">
        <f>IF(CE114&lt;CF114,$A114,B_MAX+1)</f>
        <v>401.0</v>
      </c>
      <c r="CK114" s="13">
        <f>IF(CB114=1,$CB$35,$CB$36)</f>
        <v>1560.1194073886782</v>
      </c>
      <c r="CL114" s="13">
        <f>OCC_DAYS*$CB$41*R_NF_2023-CD114*MCD_SHARE_FREED*R_WAIT_2023</f>
        <v>37367.159242427646</v>
      </c>
      <c r="CM114">
        <f>IF($A114&lt;=$CB$45,1,0)</f>
        <v>1</v>
      </c>
      <c r="DB114">
        <f>IF($DB$31&lt;=$DB$32,IF($A114&lt;=$DB$7,1,2),IF($A114&lt;=RUNG_BEDS_2,2,1))</f>
        <v>1</v>
      </c>
      <c r="DC114" s="5">
        <f>MIN(1,MAX(0,$DB$26-($A114-1)))</f>
        <v>1</v>
      </c>
      <c r="DD114" s="5">
        <f>$DB$25*(DC114+(1-DC114)*$DB$16)</f>
        <v>252.05322714681438</v>
      </c>
      <c r="DE114" s="13">
        <f>DD114*($DB$6+ACUTE_MARGIN)</f>
        <v>254573.7594182825</v>
      </c>
      <c r="DF114" s="13">
        <f>IF(DB114=1,$DB$31,$DB$32)</f>
        <v>152394.16214437486</v>
      </c>
      <c r="DG114" s="13">
        <f>DE114-DF114</f>
        <v>102179.59727390765</v>
      </c>
      <c r="DH114" s="13">
        <f>DH113+DG114</f>
        <v>3167567.515491137</v>
      </c>
      <c r="DI114">
        <f>IF(DH114=MAX($DH$83:$DH$483),$A114,0)</f>
        <v>0</v>
      </c>
      <c r="DJ114">
        <f>IF(DE114&lt;DF114,$A114,B_MAX+1)</f>
        <v>401.0</v>
      </c>
      <c r="DK114" s="13">
        <f>IF(DB114=1,$DB$35,$DB$36)</f>
        <v>0</v>
      </c>
      <c r="DL114" s="13">
        <f>OCC_DAYS*$DB$41*R_NF_2023-DD114*MCD_SHARE_FREED*R_WAIT_2023</f>
        <v>37367.159242427646</v>
      </c>
      <c r="DM114">
        <f>IF($A114&lt;=$DB$45,1,0)</f>
        <v>1</v>
      </c>
      <c r="EB114">
        <f>IF($EB$31&lt;=$EB$32,IF($A114&lt;=$EB$7,1,2),IF($A114&lt;=RUNG_BEDS_2,2,1))</f>
        <v>1</v>
      </c>
      <c r="EC114" s="5">
        <f>MIN(1,MAX(0,$EB$26-($A114-1)))</f>
        <v>1</v>
      </c>
      <c r="ED114" s="5">
        <f>$EB$25*(EC114+(1-EC114)*$EB$16)</f>
        <v>252.05322714681438</v>
      </c>
      <c r="EE114" s="13">
        <f>ED114*($EB$6+ACUTE_MARGIN)</f>
        <v>254573.7594182825</v>
      </c>
      <c r="EF114" s="13">
        <f>IF(EB114=1,$EB$31,$EB$32)</f>
        <v>152394.16214437486</v>
      </c>
      <c r="EG114" s="13">
        <f>EE114-EF114</f>
        <v>102179.59727390765</v>
      </c>
      <c r="EH114" s="13">
        <f>EH113+EG114</f>
        <v>3167567.515491137</v>
      </c>
      <c r="EI114">
        <f>IF(EH114=MAX($EH$83:$EH$483),$A114,0)</f>
        <v>0</v>
      </c>
      <c r="EJ114">
        <f>IF(EE114&lt;EF114,$A114,B_MAX+1)</f>
        <v>401.0</v>
      </c>
      <c r="EK114" s="13">
        <f>IF(EB114=1,$EB$35,$EB$36)</f>
        <v>0</v>
      </c>
      <c r="EL114" s="13">
        <f>OCC_DAYS*$EB$41*R_NF_2023-ED114*MCD_SHARE_FREED*R_WAIT_2023</f>
        <v>-63953.16263896705</v>
      </c>
      <c r="EM114">
        <f>IF($A114&lt;=$EB$45,1,0)</f>
        <v>1</v>
      </c>
      <c r="FB114">
        <f>IF($FB$31&lt;=$FB$32,IF($A114&lt;=$FB$7,1,2),IF($A114&lt;=RUNG_BEDS_2,2,1))</f>
        <v>1</v>
      </c>
      <c r="FC114" s="5">
        <f>MIN(1,MAX(0,$FB$26-($A114-1)))</f>
        <v>1</v>
      </c>
      <c r="FD114" s="5">
        <f>$FB$25*(FC114+(1-FC114)*$FB$16)</f>
        <v>252.05322714681438</v>
      </c>
      <c r="FE114" s="13">
        <f>FD114*($FB$6+ACUTE_MARGIN)</f>
        <v>254573.7594182825</v>
      </c>
      <c r="FF114" s="13">
        <f>IF(FB114=1,$FB$31,$FB$32)</f>
        <v>156636.04979437485</v>
      </c>
      <c r="FG114" s="13">
        <f>FE114-FF114</f>
        <v>97937.70962390766</v>
      </c>
      <c r="FH114" s="13">
        <f>FH113+FG114</f>
        <v>3036068.998341138</v>
      </c>
      <c r="FI114">
        <f>IF(FH114=MAX($FH$83:$FH$483),$A114,0)</f>
        <v>0</v>
      </c>
      <c r="FJ114">
        <f>IF(FE114&lt;FF114,$A114,B_MAX+1)</f>
        <v>401.0</v>
      </c>
      <c r="FK114" s="13">
        <f>IF(FB114=1,$FB$35,$FB$36)</f>
        <v>0</v>
      </c>
      <c r="FL114" s="13">
        <f>OCC_DAYS*$FB$41*R_NF_2023-FD114*MCD_SHARE_FREED*R_WAIT_2023</f>
        <v>37367.159242427646</v>
      </c>
      <c r="FM114">
        <f>IF($A114&lt;=$FB$45,1,0)</f>
        <v>1</v>
      </c>
      <c r="GB114">
        <f>IF($GB$31&lt;=$GB$32,IF($A114&lt;=$GB$7,1,2),IF($A114&lt;=RUNG_BEDS_2,2,1))</f>
        <v>1</v>
      </c>
      <c r="GC114" s="5">
        <f>MIN(1,MAX(0,$GB$26-($A114-1)))</f>
        <v>1</v>
      </c>
      <c r="GD114" s="5">
        <f>$GB$25*(GC114+(1-GC114)*$GB$16)</f>
        <v>252.05322714681438</v>
      </c>
      <c r="GE114" s="13">
        <f>GD114*($GB$6+ACUTE_MARGIN)</f>
        <v>254573.7594182825</v>
      </c>
      <c r="GF114" s="13">
        <f>IF(GB114=1,$GB$31,$GB$32)</f>
        <v>152394.16214437486</v>
      </c>
      <c r="GG114" s="13">
        <f>GE114-GF114</f>
        <v>102179.59727390765</v>
      </c>
      <c r="GH114" s="13">
        <f>GH113+GG114</f>
        <v>3167567.515491137</v>
      </c>
      <c r="GI114">
        <f>IF(GH114=MAX($GH$83:$GH$483),$A114,0)</f>
        <v>0</v>
      </c>
      <c r="GJ114">
        <f>IF(GE114&lt;GF114,$A114,B_MAX+1)</f>
        <v>401.0</v>
      </c>
      <c r="GK114" s="13">
        <f>IF(GB114=1,$GB$35,$GB$36)</f>
        <v>0</v>
      </c>
      <c r="GL114" s="13">
        <f>OCC_DAYS*$GB$41*R_NF_2023-GD114*MCD_SHARE_FREED*R_WAIT_2023</f>
        <v>37367.159242427646</v>
      </c>
      <c r="GM114">
        <f>IF($A114&lt;=$GB$45,1,0)</f>
        <v>1</v>
      </c>
      <c r="HB114">
        <f>IF($HB$31&lt;=$HB$32,IF($A114&lt;=$HB$7,1,2),IF($A114&lt;=RUNG_BEDS_2,2,1))</f>
        <v>1</v>
      </c>
      <c r="HC114" s="5">
        <f>MIN(1,MAX(0,$HB$26-($A114-1)))</f>
        <v>1</v>
      </c>
      <c r="HD114" s="5">
        <f>$HB$25*(HC114+(1-HC114)*$HB$16)</f>
        <v>252.05322714681438</v>
      </c>
      <c r="HE114" s="13">
        <f>HD114*($HB$6+ACUTE_MARGIN)</f>
        <v>254573.7594182825</v>
      </c>
      <c r="HF114" s="13">
        <f>IF(HB114=1,$HB$31,$HB$32)</f>
        <v>152456.2970814058</v>
      </c>
      <c r="HG114" s="13">
        <f>HE114-HF114</f>
        <v>102117.46233687672</v>
      </c>
      <c r="HH114" s="13">
        <f>HH113+HG114</f>
        <v>3165641.3324431796</v>
      </c>
      <c r="HI114">
        <f>IF(HH114=MAX($HH$83:$HH$483),$A114,0)</f>
        <v>0</v>
      </c>
      <c r="HJ114">
        <f>IF(HE114&lt;HF114,$A114,B_MAX+1)</f>
        <v>401.0</v>
      </c>
      <c r="HK114" s="13">
        <f>IF(HB114=1,$HB$35,$HB$36)</f>
        <v>0</v>
      </c>
      <c r="HL114" s="13">
        <f>OCC_DAYS*$HB$41*R_NF_2023-HD114*MCD_SHARE_FREED*R_WAIT_2023</f>
        <v>37367.159242427646</v>
      </c>
      <c r="HM114">
        <f>IF($A114&lt;=$HB$45,1,0)</f>
        <v>1</v>
      </c>
      <c r="IB114">
        <f>IF($IB$31&lt;=$IB$32,IF($A114&lt;=$IB$7,1,2),IF($A114&lt;=RUNG_BEDS_2,2,1))</f>
        <v>1</v>
      </c>
      <c r="IC114" s="5">
        <f>MIN(1,MAX(0,$IB$26-($A114-1)))</f>
        <v>1</v>
      </c>
      <c r="ID114" s="5">
        <f>$IB$25*(IC114+(1-IC114)*$IB$16)</f>
        <v>252.05322714681438</v>
      </c>
      <c r="IE114" s="13">
        <f>ID114*($IB$6+ACUTE_MARGIN)</f>
        <v>254573.7594182825</v>
      </c>
      <c r="IF114" s="13">
        <f>IF(IB114=1,$IB$31,$IB$32)</f>
        <v>152734.9994534971</v>
      </c>
      <c r="IG114" s="13">
        <f>IE114-IF114</f>
        <v>101838.75996478542</v>
      </c>
      <c r="IH114" s="13">
        <f>IH113+IG114</f>
        <v>3157001.5589083503</v>
      </c>
      <c r="II114">
        <f>IF(IH114=MAX($IH$83:$IH$483),$A114,0)</f>
        <v>0</v>
      </c>
      <c r="IJ114">
        <f>IF(IE114&lt;IF114,$A114,B_MAX+1)</f>
        <v>401.0</v>
      </c>
      <c r="IK114" s="13">
        <f>IF(IB114=1,$IB$35,$IB$36)</f>
        <v>0</v>
      </c>
      <c r="IL114" s="13">
        <f>OCC_DAYS*$IB$41*R_NF_2023-ID114*MCD_SHARE_FREED*R_WAIT_2023</f>
        <v>37367.159242427646</v>
      </c>
      <c r="IM114">
        <f>IF($A114&lt;=$IB$45,1,0)</f>
        <v>1</v>
      </c>
      <c r="JB114">
        <f>IF($JB$31&lt;=$JB$32,IF($A114&lt;=$JB$7,1,2),IF($A114&lt;=RUNG_BEDS_2,2,1))</f>
        <v>1</v>
      </c>
      <c r="JC114" s="5">
        <f>MIN(1,MAX(0,$JB$26-($A114-1)))</f>
        <v>1</v>
      </c>
      <c r="JD114" s="5">
        <f>$JB$25*(JC114+(1-JC114)*$JB$16)</f>
        <v>252.05322714681438</v>
      </c>
      <c r="JE114" s="13">
        <f>JD114*($JB$6+ACUTE_MARGIN)</f>
        <v>254573.7594182825</v>
      </c>
      <c r="JF114" s="13">
        <f>IF(JB114=1,$JB$31,$JB$32)</f>
        <v>152394.16214437486</v>
      </c>
      <c r="JG114" s="13">
        <f>JE114-JF114</f>
        <v>102179.59727390765</v>
      </c>
      <c r="JH114" s="13">
        <f>JH113+JG114</f>
        <v>3167567.515491137</v>
      </c>
      <c r="JI114">
        <f>IF(JH114=MAX($JH$83:$JH$483),$A114,0)</f>
        <v>0</v>
      </c>
      <c r="JJ114">
        <f>IF(JE114&lt;JF114,$A114,B_MAX+1)</f>
        <v>401.0</v>
      </c>
      <c r="JK114" s="13">
        <f>IF(JB114=1,$JB$35,$JB$36)</f>
        <v>0</v>
      </c>
      <c r="JL114" s="13">
        <f>OCC_DAYS*$JB$41*R_NF_2023-JD114*MCD_SHARE_FREED*R_WAIT_2023</f>
        <v>37367.159242427646</v>
      </c>
      <c r="JM114">
        <f>IF($A114&lt;=$JB$45,1,0)</f>
        <v>1</v>
      </c>
      <c r="KB114">
        <f>IF($KB$31&lt;=$KB$32,IF($A114&lt;=$KB$7,1,2),IF($A114&lt;=RUNG_BEDS_2,2,1))</f>
        <v>1</v>
      </c>
      <c r="KC114" s="5">
        <f>MIN(1,MAX(0,$KB$26-($A114-1)))</f>
        <v>1</v>
      </c>
      <c r="KD114" s="5">
        <f>$KB$25*(KC114+(1-KC114)*$KB$16)</f>
        <v>126.02661357340719</v>
      </c>
      <c r="KE114" s="13">
        <f>KD114*($KB$6+ACUTE_MARGIN)</f>
        <v>127286.87970914126</v>
      </c>
      <c r="KF114" s="13">
        <f>IF(KB114=1,$KB$31,$KB$32)</f>
        <v>152394.16214437486</v>
      </c>
      <c r="KG114" s="13">
        <f>KE114-KF114</f>
        <v>-25107.282435233603</v>
      </c>
      <c r="KH114" s="13">
        <f>KH113+KG114</f>
        <v>-778325.7554922414</v>
      </c>
      <c r="KI114">
        <f>IF(KH114=MAX($KH$83:$KH$483),$A114,0)</f>
        <v>0</v>
      </c>
      <c r="KJ114">
        <f>IF(KE114&lt;KF114,$A114,B_MAX+1)</f>
        <v>31</v>
      </c>
      <c r="KK114" s="13">
        <f>IF(KB114=1,$KB$35,$KB$36)</f>
        <v>0</v>
      </c>
      <c r="KL114" s="13">
        <f>OCC_DAYS*$KB$41*R_NF_2023-KD114*MCD_SHARE_FREED*R_WAIT_2023</f>
        <v>94673.82103225985</v>
      </c>
      <c r="KM114">
        <f>IF($A114&lt;=$KB$45,1,0)</f>
        <v>0</v>
      </c>
      <c r="LB114">
        <f>IF($LB$31&lt;=$LB$32,IF($A114&lt;=$LB$7,1,2),IF($A114&lt;=RUNG_BEDS_2,2,1))</f>
        <v>1</v>
      </c>
      <c r="LC114" s="5">
        <f>MIN(1,MAX(0,$LB$26-($A114-1)))</f>
        <v>1</v>
      </c>
      <c r="LD114" s="5">
        <f>$LB$25*(LC114+(1-LC114)*$LB$16)</f>
        <v>84.01774238227146</v>
      </c>
      <c r="LE114" s="13">
        <f>LD114*($LB$6+ACUTE_MARGIN)</f>
        <v>84857.91980609419</v>
      </c>
      <c r="LF114" s="13">
        <f>IF(LB114=1,$LB$31,$LB$32)</f>
        <v>152394.16214437486</v>
      </c>
      <c r="LG114" s="13">
        <f>LE114-LF114</f>
        <v>-67536.24233828067</v>
      </c>
      <c r="LH114" s="13">
        <f>LH113+LG114</f>
        <v>-2093623.5124867007</v>
      </c>
      <c r="LI114">
        <f>IF(LH114=MAX($LH$83:$LH$483),$A114,0)</f>
        <v>0</v>
      </c>
      <c r="LJ114">
        <f>IF(LE114&lt;LF114,$A114,B_MAX+1)</f>
        <v>31</v>
      </c>
      <c r="LK114" s="13">
        <f>IF(LB114=1,$LB$35,$LB$36)</f>
        <v>0</v>
      </c>
      <c r="LL114" s="13">
        <f>OCC_DAYS*$LB$41*R_NF_2023-LD114*MCD_SHARE_FREED*R_WAIT_2023</f>
        <v>113776.04162887059</v>
      </c>
      <c r="LM114">
        <f>IF($A114&lt;=$LB$45,1,0)</f>
        <v>0</v>
      </c>
      <c r="MB114">
        <f>IF($MB$31&lt;=$MB$32,IF($A114&lt;=$MB$7,1,2),IF($A114&lt;=RUNG_BEDS_2,2,1))</f>
        <v>1</v>
      </c>
      <c r="MC114" s="5">
        <f>MIN(1,MAX(0,$MB$26-($A114-1)))</f>
        <v>1</v>
      </c>
      <c r="MD114" s="5">
        <f>$MB$25*(MC114+(1-MC114)*$MB$16)</f>
        <v>213.44610951008647</v>
      </c>
      <c r="ME114" s="13">
        <f>MD114*($MB$6+ACUTE_MARGIN)</f>
        <v>215580.57060518733</v>
      </c>
      <c r="MF114" s="13">
        <f>IF(MB114=1,$MB$31,$MB$32)</f>
        <v>152394.16214437486</v>
      </c>
      <c r="MG114" s="13">
        <f>ME114-MF114</f>
        <v>63186.40846081247</v>
      </c>
      <c r="MH114" s="13">
        <f>MH113+MG114</f>
        <v>1958778.6622851852</v>
      </c>
      <c r="MI114">
        <f>IF(MH114=MAX($MH$83:$MH$483),$A114,0)</f>
        <v>0</v>
      </c>
      <c r="MJ114">
        <f>IF(ME114&lt;MF114,$A114,B_MAX+1)</f>
        <v>401.0</v>
      </c>
      <c r="MK114" s="13">
        <f>IF(MB114=1,$MB$35,$MB$36)</f>
        <v>0</v>
      </c>
      <c r="ML114" s="13">
        <f>OCC_DAYS*$MB$41*R_NF_2023-MD114*MCD_SHARE_FREED*R_WAIT_2023</f>
        <v>54922.538779778624</v>
      </c>
      <c r="MM114">
        <f>IF($A114&lt;=$MB$45,1,0)</f>
        <v>1</v>
      </c>
      <c r="NB114">
        <f>IF($NB$31&lt;=$NB$32,IF($A114&lt;=$NB$7,1,2),IF($A114&lt;=RUNG_BEDS_2,2,1))</f>
        <v>1</v>
      </c>
      <c r="NC114" s="5">
        <f>MIN(1,MAX(0,$NB$26-($A114-1)))</f>
        <v>1</v>
      </c>
      <c r="ND114" s="5">
        <f>$NB$25*(NC114+(1-NC114)*$NB$16)</f>
        <v>252.05322714681438</v>
      </c>
      <c r="NE114" s="13">
        <f>ND114*($NB$6+ACUTE_MARGIN)</f>
        <v>254573.7594182825</v>
      </c>
      <c r="NF114" s="13">
        <f>IF(NB114=1,$NB$31,$NB$32)</f>
        <v>152394.16214437486</v>
      </c>
      <c r="NG114" s="13">
        <f>NE114-NF114</f>
        <v>102179.59727390765</v>
      </c>
      <c r="NH114" s="13">
        <f>NH113+NG114</f>
        <v>3167567.515491137</v>
      </c>
      <c r="NI114">
        <f>IF(NH114=MAX($NH$83:$NH$483),$A114,0)</f>
        <v>0</v>
      </c>
      <c r="NJ114">
        <f>IF(NE114&lt;NF114,$A114,B_MAX+1)</f>
        <v>401.0</v>
      </c>
      <c r="NK114" s="13">
        <f>IF(NB114=1,$NB$35,$NB$36)</f>
        <v>0</v>
      </c>
      <c r="NL114" s="13">
        <f>OCC_DAYS*$NB$41*R_NF_2023-ND114*MCD_SHARE_FREED*R_WAIT_2023</f>
        <v>37367.159242427646</v>
      </c>
      <c r="NM114">
        <f>IF($A114&lt;=$NB$45,1,0)</f>
        <v>1</v>
      </c>
      <c r="OB114">
        <f>IF($OB$31&lt;=$OB$32,IF($A114&lt;=$OB$7,1,2),IF($A114&lt;=RUNG_BEDS_2,2,1))</f>
        <v>1</v>
      </c>
      <c r="OC114" s="5">
        <f>MIN(1,MAX(0,$OB$26-($A114-1)))</f>
        <v>1</v>
      </c>
      <c r="OD114" s="5">
        <f>$OB$25*(OC114+(1-OC114)*$OB$16)</f>
        <v>252.05322714681438</v>
      </c>
      <c r="OE114" s="13">
        <f>OD114*($OB$6+ACUTE_MARGIN)</f>
        <v>254573.7594182825</v>
      </c>
      <c r="OF114" s="13">
        <f>IF(OB114=1,$OB$31,$OB$32)</f>
        <v>152394.16214437486</v>
      </c>
      <c r="OG114" s="13">
        <f>OE114-OF114</f>
        <v>102179.59727390765</v>
      </c>
      <c r="OH114" s="13">
        <f>OH113+OG114</f>
        <v>3167567.515491137</v>
      </c>
      <c r="OI114">
        <f>IF(OH114=MAX($OH$83:$OH$483),$A114,0)</f>
        <v>0</v>
      </c>
      <c r="OJ114">
        <f>IF(OE114&lt;OF114,$A114,B_MAX+1)</f>
        <v>401.0</v>
      </c>
      <c r="OK114" s="13">
        <f>IF(OB114=1,$OB$35,$OB$36)</f>
        <v>0</v>
      </c>
      <c r="OL114" s="13">
        <f>OCC_DAYS*$OB$41*R_NF_2023-OD114*MCD_SHARE_FREED*R_WAIT_2023</f>
        <v>37367.159242427646</v>
      </c>
      <c r="OM114">
        <f>IF($A114&lt;=$OB$45,1,0)</f>
        <v>1</v>
      </c>
    </row>
    <row r="115">
      <c r="A115" t="n">
        <v>32</v>
      </c>
      <c r="B115">
        <f>IF($B$31&lt;=$B$32,IF($A115&lt;=$B$7,1,2),IF($A115&lt;=RUNG_BEDS_2,2,1))</f>
        <v>1</v>
      </c>
      <c r="C115" s="5">
        <f>MIN(1,MAX(0,$B$26-($A115-1)))</f>
        <v>1</v>
      </c>
      <c r="D115" s="5">
        <f>$B$25*(C115+(1-C115)*$B$16)</f>
        <v>252.05322714681438</v>
      </c>
      <c r="E115" s="13">
        <f>D115*($B$6+ACUTE_MARGIN)</f>
        <v>254573.7594182825</v>
      </c>
      <c r="F115" s="13">
        <f>IF(B115=1,$B$31,$B$32)</f>
        <v>152394.16214437486</v>
      </c>
      <c r="G115" s="13">
        <f>E115-F115</f>
        <v>102179.59727390765</v>
      </c>
      <c r="H115" s="13">
        <f>H114+G115</f>
        <v>3269747.1127650444</v>
      </c>
      <c r="I115">
        <f>IF(H115=MAX($H$83:$H$483),$A115,0)</f>
        <v>0</v>
      </c>
      <c r="J115">
        <f>IF(E115&lt;F115,$A115,B_MAX+1)</f>
        <v>401.0</v>
      </c>
      <c r="K115" s="13">
        <f>IF(B115=1,$B$35,$B$36)</f>
        <v>0</v>
      </c>
      <c r="L115" s="13">
        <f>OCC_DAYS*$B$41*R_NF_2023-D115*MCD_SHARE_FREED*R_WAIT_2023</f>
        <v>37367.159242427646</v>
      </c>
      <c r="M115">
        <f>IF($A115&lt;=$B$45,1,0)</f>
        <v>1</v>
      </c>
      <c r="AB115">
        <f>IF($AB$31&lt;=$AB$32,IF($A115&lt;=$AB$7,1,2),IF($A115&lt;=RUNG_BEDS_2,2,1))</f>
        <v>1</v>
      </c>
      <c r="AC115" s="5">
        <f>MIN(1,MAX(0,$AB$26-($A115-1)))</f>
        <v>1</v>
      </c>
      <c r="AD115" s="5">
        <f>$AB$25*(AC115+(1-AC115)*$AB$16)</f>
        <v>252.05322714681438</v>
      </c>
      <c r="AE115" s="13">
        <f>AD115*($AB$6+ACUTE_MARGIN)</f>
        <v>138629.2749307479</v>
      </c>
      <c r="AF115" s="13">
        <f>IF(AB115=1,$AB$31,$AB$32)</f>
        <v>152394.16214437486</v>
      </c>
      <c r="AG115" s="13">
        <f>AE115-AF115</f>
        <v>-13764.887213626964</v>
      </c>
      <c r="AH115" s="13">
        <f>AH114+AG115</f>
        <v>-440476.3908360632</v>
      </c>
      <c r="AI115">
        <f>IF(AH115=MAX($AH$83:$AH$483),$A115,0)</f>
        <v>0</v>
      </c>
      <c r="AJ115">
        <f>IF(AE115&lt;AF115,$A115,B_MAX+1)</f>
        <v>32</v>
      </c>
      <c r="AK115" s="13">
        <f>IF(AB115=1,$AB$35,$AB$36)</f>
        <v>0</v>
      </c>
      <c r="AL115" s="13">
        <f>OCC_DAYS*$AB$41*R_NF_2023-AD115*MCD_SHARE_FREED*R_WAIT_2023</f>
        <v>37367.159242427646</v>
      </c>
      <c r="AM115">
        <f>IF($A115&lt;=$AB$45,1,0)</f>
        <v>0</v>
      </c>
      <c r="BB115">
        <f>IF($BB$31&lt;=$BB$32,IF($A115&lt;=$BB$7,1,2),IF($A115&lt;=RUNG_BEDS_2,2,1))</f>
        <v>1</v>
      </c>
      <c r="BC115" s="5">
        <f>MIN(1,MAX(0,$BB$26-($A115-1)))</f>
        <v>1</v>
      </c>
      <c r="BD115" s="5">
        <f>$BB$25*(BC115+(1-BC115)*$BB$16)</f>
        <v>252.05322714681438</v>
      </c>
      <c r="BE115" s="13">
        <f>BD115*($BB$6+ACUTE_MARGIN)</f>
        <v>370518.24390581716</v>
      </c>
      <c r="BF115" s="13">
        <f>IF(BB115=1,$BB$31,$BB$32)</f>
        <v>152394.16214437486</v>
      </c>
      <c r="BG115" s="13">
        <f>BE115-BF115</f>
        <v>218124.0817614423</v>
      </c>
      <c r="BH115" s="13">
        <f>BH114+BG115</f>
        <v>6979970.61636615</v>
      </c>
      <c r="BI115">
        <f>IF(BH115=MAX($BH$83:$BH$483),$A115,0)</f>
        <v>0</v>
      </c>
      <c r="BJ115">
        <f>IF(BE115&lt;BF115,$A115,B_MAX+1)</f>
        <v>401.0</v>
      </c>
      <c r="BK115" s="13">
        <f>IF(BB115=1,$BB$35,$BB$36)</f>
        <v>0</v>
      </c>
      <c r="BL115" s="13">
        <f>OCC_DAYS*$BB$41*R_NF_2023-BD115*MCD_SHARE_FREED*R_WAIT_2023</f>
        <v>37367.159242427646</v>
      </c>
      <c r="BM115">
        <f>IF($A115&lt;=$BB$45,1,0)</f>
        <v>1</v>
      </c>
      <c r="CB115">
        <f>IF($CB$31&lt;=$CB$32,IF($A115&lt;=$CB$7,1,2),IF($A115&lt;=RUNG_BEDS_2,2,1))</f>
        <v>2</v>
      </c>
      <c r="CC115" s="5">
        <f>MIN(1,MAX(0,$CB$26-($A115-1)))</f>
        <v>1</v>
      </c>
      <c r="CD115" s="5">
        <f>$CB$25*(CC115+(1-CC115)*$CB$16)</f>
        <v>252.05322714681438</v>
      </c>
      <c r="CE115" s="13">
        <f>CD115*($CB$6+ACUTE_MARGIN)</f>
        <v>254573.7594182825</v>
      </c>
      <c r="CF115" s="13">
        <f>IF(CB115=1,$CB$31,$CB$32)</f>
        <v>160718.36940738867</v>
      </c>
      <c r="CG115" s="13">
        <f>CE115-CF115</f>
        <v>93855.39001089384</v>
      </c>
      <c r="CH115" s="13">
        <f>CH114+CG115</f>
        <v>3003372.4803486024</v>
      </c>
      <c r="CI115">
        <f>IF(CH115=MAX($CH$83:$CH$483),$A115,0)</f>
        <v>0</v>
      </c>
      <c r="CJ115">
        <f>IF(CE115&lt;CF115,$A115,B_MAX+1)</f>
        <v>401.0</v>
      </c>
      <c r="CK115" s="13">
        <f>IF(CB115=1,$CB$35,$CB$36)</f>
        <v>1560.1194073886782</v>
      </c>
      <c r="CL115" s="13">
        <f>OCC_DAYS*$CB$41*R_NF_2023-CD115*MCD_SHARE_FREED*R_WAIT_2023</f>
        <v>37367.159242427646</v>
      </c>
      <c r="CM115">
        <f>IF($A115&lt;=$CB$45,1,0)</f>
        <v>1</v>
      </c>
      <c r="DB115">
        <f>IF($DB$31&lt;=$DB$32,IF($A115&lt;=$DB$7,1,2),IF($A115&lt;=RUNG_BEDS_2,2,1))</f>
        <v>1</v>
      </c>
      <c r="DC115" s="5">
        <f>MIN(1,MAX(0,$DB$26-($A115-1)))</f>
        <v>1</v>
      </c>
      <c r="DD115" s="5">
        <f>$DB$25*(DC115+(1-DC115)*$DB$16)</f>
        <v>252.05322714681438</v>
      </c>
      <c r="DE115" s="13">
        <f>DD115*($DB$6+ACUTE_MARGIN)</f>
        <v>254573.7594182825</v>
      </c>
      <c r="DF115" s="13">
        <f>IF(DB115=1,$DB$31,$DB$32)</f>
        <v>152394.16214437486</v>
      </c>
      <c r="DG115" s="13">
        <f>DE115-DF115</f>
        <v>102179.59727390765</v>
      </c>
      <c r="DH115" s="13">
        <f>DH114+DG115</f>
        <v>3269747.1127650444</v>
      </c>
      <c r="DI115">
        <f>IF(DH115=MAX($DH$83:$DH$483),$A115,0)</f>
        <v>0</v>
      </c>
      <c r="DJ115">
        <f>IF(DE115&lt;DF115,$A115,B_MAX+1)</f>
        <v>401.0</v>
      </c>
      <c r="DK115" s="13">
        <f>IF(DB115=1,$DB$35,$DB$36)</f>
        <v>0</v>
      </c>
      <c r="DL115" s="13">
        <f>OCC_DAYS*$DB$41*R_NF_2023-DD115*MCD_SHARE_FREED*R_WAIT_2023</f>
        <v>37367.159242427646</v>
      </c>
      <c r="DM115">
        <f>IF($A115&lt;=$DB$45,1,0)</f>
        <v>1</v>
      </c>
      <c r="EB115">
        <f>IF($EB$31&lt;=$EB$32,IF($A115&lt;=$EB$7,1,2),IF($A115&lt;=RUNG_BEDS_2,2,1))</f>
        <v>1</v>
      </c>
      <c r="EC115" s="5">
        <f>MIN(1,MAX(0,$EB$26-($A115-1)))</f>
        <v>1</v>
      </c>
      <c r="ED115" s="5">
        <f>$EB$25*(EC115+(1-EC115)*$EB$16)</f>
        <v>252.05322714681438</v>
      </c>
      <c r="EE115" s="13">
        <f>ED115*($EB$6+ACUTE_MARGIN)</f>
        <v>254573.7594182825</v>
      </c>
      <c r="EF115" s="13">
        <f>IF(EB115=1,$EB$31,$EB$32)</f>
        <v>152394.16214437486</v>
      </c>
      <c r="EG115" s="13">
        <f>EE115-EF115</f>
        <v>102179.59727390765</v>
      </c>
      <c r="EH115" s="13">
        <f>EH114+EG115</f>
        <v>3269747.1127650444</v>
      </c>
      <c r="EI115">
        <f>IF(EH115=MAX($EH$83:$EH$483),$A115,0)</f>
        <v>0</v>
      </c>
      <c r="EJ115">
        <f>IF(EE115&lt;EF115,$A115,B_MAX+1)</f>
        <v>401.0</v>
      </c>
      <c r="EK115" s="13">
        <f>IF(EB115=1,$EB$35,$EB$36)</f>
        <v>0</v>
      </c>
      <c r="EL115" s="13">
        <f>OCC_DAYS*$EB$41*R_NF_2023-ED115*MCD_SHARE_FREED*R_WAIT_2023</f>
        <v>-63953.16263896705</v>
      </c>
      <c r="EM115">
        <f>IF($A115&lt;=$EB$45,1,0)</f>
        <v>1</v>
      </c>
      <c r="FB115">
        <f>IF($FB$31&lt;=$FB$32,IF($A115&lt;=$FB$7,1,2),IF($A115&lt;=RUNG_BEDS_2,2,1))</f>
        <v>1</v>
      </c>
      <c r="FC115" s="5">
        <f>MIN(1,MAX(0,$FB$26-($A115-1)))</f>
        <v>1</v>
      </c>
      <c r="FD115" s="5">
        <f>$FB$25*(FC115+(1-FC115)*$FB$16)</f>
        <v>252.05322714681438</v>
      </c>
      <c r="FE115" s="13">
        <f>FD115*($FB$6+ACUTE_MARGIN)</f>
        <v>254573.7594182825</v>
      </c>
      <c r="FF115" s="13">
        <f>IF(FB115=1,$FB$31,$FB$32)</f>
        <v>156636.04979437485</v>
      </c>
      <c r="FG115" s="13">
        <f>FE115-FF115</f>
        <v>97937.70962390766</v>
      </c>
      <c r="FH115" s="13">
        <f>FH114+FG115</f>
        <v>3134006.7079650457</v>
      </c>
      <c r="FI115">
        <f>IF(FH115=MAX($FH$83:$FH$483),$A115,0)</f>
        <v>0</v>
      </c>
      <c r="FJ115">
        <f>IF(FE115&lt;FF115,$A115,B_MAX+1)</f>
        <v>401.0</v>
      </c>
      <c r="FK115" s="13">
        <f>IF(FB115=1,$FB$35,$FB$36)</f>
        <v>0</v>
      </c>
      <c r="FL115" s="13">
        <f>OCC_DAYS*$FB$41*R_NF_2023-FD115*MCD_SHARE_FREED*R_WAIT_2023</f>
        <v>37367.159242427646</v>
      </c>
      <c r="FM115">
        <f>IF($A115&lt;=$FB$45,1,0)</f>
        <v>1</v>
      </c>
      <c r="GB115">
        <f>IF($GB$31&lt;=$GB$32,IF($A115&lt;=$GB$7,1,2),IF($A115&lt;=RUNG_BEDS_2,2,1))</f>
        <v>1</v>
      </c>
      <c r="GC115" s="5">
        <f>MIN(1,MAX(0,$GB$26-($A115-1)))</f>
        <v>1</v>
      </c>
      <c r="GD115" s="5">
        <f>$GB$25*(GC115+(1-GC115)*$GB$16)</f>
        <v>252.05322714681438</v>
      </c>
      <c r="GE115" s="13">
        <f>GD115*($GB$6+ACUTE_MARGIN)</f>
        <v>254573.7594182825</v>
      </c>
      <c r="GF115" s="13">
        <f>IF(GB115=1,$GB$31,$GB$32)</f>
        <v>152394.16214437486</v>
      </c>
      <c r="GG115" s="13">
        <f>GE115-GF115</f>
        <v>102179.59727390765</v>
      </c>
      <c r="GH115" s="13">
        <f>GH114+GG115</f>
        <v>3269747.1127650444</v>
      </c>
      <c r="GI115">
        <f>IF(GH115=MAX($GH$83:$GH$483),$A115,0)</f>
        <v>0</v>
      </c>
      <c r="GJ115">
        <f>IF(GE115&lt;GF115,$A115,B_MAX+1)</f>
        <v>401.0</v>
      </c>
      <c r="GK115" s="13">
        <f>IF(GB115=1,$GB$35,$GB$36)</f>
        <v>0</v>
      </c>
      <c r="GL115" s="13">
        <f>OCC_DAYS*$GB$41*R_NF_2023-GD115*MCD_SHARE_FREED*R_WAIT_2023</f>
        <v>37367.159242427646</v>
      </c>
      <c r="GM115">
        <f>IF($A115&lt;=$GB$45,1,0)</f>
        <v>1</v>
      </c>
      <c r="HB115">
        <f>IF($HB$31&lt;=$HB$32,IF($A115&lt;=$HB$7,1,2),IF($A115&lt;=RUNG_BEDS_2,2,1))</f>
        <v>1</v>
      </c>
      <c r="HC115" s="5">
        <f>MIN(1,MAX(0,$HB$26-($A115-1)))</f>
        <v>1</v>
      </c>
      <c r="HD115" s="5">
        <f>$HB$25*(HC115+(1-HC115)*$HB$16)</f>
        <v>252.05322714681438</v>
      </c>
      <c r="HE115" s="13">
        <f>HD115*($HB$6+ACUTE_MARGIN)</f>
        <v>254573.7594182825</v>
      </c>
      <c r="HF115" s="13">
        <f>IF(HB115=1,$HB$31,$HB$32)</f>
        <v>152456.2970814058</v>
      </c>
      <c r="HG115" s="13">
        <f>HE115-HF115</f>
        <v>102117.46233687672</v>
      </c>
      <c r="HH115" s="13">
        <f>HH114+HG115</f>
        <v>3267758.7947800565</v>
      </c>
      <c r="HI115">
        <f>IF(HH115=MAX($HH$83:$HH$483),$A115,0)</f>
        <v>0</v>
      </c>
      <c r="HJ115">
        <f>IF(HE115&lt;HF115,$A115,B_MAX+1)</f>
        <v>401.0</v>
      </c>
      <c r="HK115" s="13">
        <f>IF(HB115=1,$HB$35,$HB$36)</f>
        <v>0</v>
      </c>
      <c r="HL115" s="13">
        <f>OCC_DAYS*$HB$41*R_NF_2023-HD115*MCD_SHARE_FREED*R_WAIT_2023</f>
        <v>37367.159242427646</v>
      </c>
      <c r="HM115">
        <f>IF($A115&lt;=$HB$45,1,0)</f>
        <v>1</v>
      </c>
      <c r="IB115">
        <f>IF($IB$31&lt;=$IB$32,IF($A115&lt;=$IB$7,1,2),IF($A115&lt;=RUNG_BEDS_2,2,1))</f>
        <v>1</v>
      </c>
      <c r="IC115" s="5">
        <f>MIN(1,MAX(0,$IB$26-($A115-1)))</f>
        <v>1</v>
      </c>
      <c r="ID115" s="5">
        <f>$IB$25*(IC115+(1-IC115)*$IB$16)</f>
        <v>252.05322714681438</v>
      </c>
      <c r="IE115" s="13">
        <f>ID115*($IB$6+ACUTE_MARGIN)</f>
        <v>254573.7594182825</v>
      </c>
      <c r="IF115" s="13">
        <f>IF(IB115=1,$IB$31,$IB$32)</f>
        <v>152734.9994534971</v>
      </c>
      <c r="IG115" s="13">
        <f>IE115-IF115</f>
        <v>101838.75996478542</v>
      </c>
      <c r="IH115" s="13">
        <f>IH114+IG115</f>
        <v>3258840.318873136</v>
      </c>
      <c r="II115">
        <f>IF(IH115=MAX($IH$83:$IH$483),$A115,0)</f>
        <v>0</v>
      </c>
      <c r="IJ115">
        <f>IF(IE115&lt;IF115,$A115,B_MAX+1)</f>
        <v>401.0</v>
      </c>
      <c r="IK115" s="13">
        <f>IF(IB115=1,$IB$35,$IB$36)</f>
        <v>0</v>
      </c>
      <c r="IL115" s="13">
        <f>OCC_DAYS*$IB$41*R_NF_2023-ID115*MCD_SHARE_FREED*R_WAIT_2023</f>
        <v>37367.159242427646</v>
      </c>
      <c r="IM115">
        <f>IF($A115&lt;=$IB$45,1,0)</f>
        <v>1</v>
      </c>
      <c r="JB115">
        <f>IF($JB$31&lt;=$JB$32,IF($A115&lt;=$JB$7,1,2),IF($A115&lt;=RUNG_BEDS_2,2,1))</f>
        <v>1</v>
      </c>
      <c r="JC115" s="5">
        <f>MIN(1,MAX(0,$JB$26-($A115-1)))</f>
        <v>1</v>
      </c>
      <c r="JD115" s="5">
        <f>$JB$25*(JC115+(1-JC115)*$JB$16)</f>
        <v>252.05322714681438</v>
      </c>
      <c r="JE115" s="13">
        <f>JD115*($JB$6+ACUTE_MARGIN)</f>
        <v>254573.7594182825</v>
      </c>
      <c r="JF115" s="13">
        <f>IF(JB115=1,$JB$31,$JB$32)</f>
        <v>152394.16214437486</v>
      </c>
      <c r="JG115" s="13">
        <f>JE115-JF115</f>
        <v>102179.59727390765</v>
      </c>
      <c r="JH115" s="13">
        <f>JH114+JG115</f>
        <v>3269747.1127650444</v>
      </c>
      <c r="JI115">
        <f>IF(JH115=MAX($JH$83:$JH$483),$A115,0)</f>
        <v>0</v>
      </c>
      <c r="JJ115">
        <f>IF(JE115&lt;JF115,$A115,B_MAX+1)</f>
        <v>401.0</v>
      </c>
      <c r="JK115" s="13">
        <f>IF(JB115=1,$JB$35,$JB$36)</f>
        <v>0</v>
      </c>
      <c r="JL115" s="13">
        <f>OCC_DAYS*$JB$41*R_NF_2023-JD115*MCD_SHARE_FREED*R_WAIT_2023</f>
        <v>37367.159242427646</v>
      </c>
      <c r="JM115">
        <f>IF($A115&lt;=$JB$45,1,0)</f>
        <v>1</v>
      </c>
      <c r="KB115">
        <f>IF($KB$31&lt;=$KB$32,IF($A115&lt;=$KB$7,1,2),IF($A115&lt;=RUNG_BEDS_2,2,1))</f>
        <v>1</v>
      </c>
      <c r="KC115" s="5">
        <f>MIN(1,MAX(0,$KB$26-($A115-1)))</f>
        <v>1</v>
      </c>
      <c r="KD115" s="5">
        <f>$KB$25*(KC115+(1-KC115)*$KB$16)</f>
        <v>126.02661357340719</v>
      </c>
      <c r="KE115" s="13">
        <f>KD115*($KB$6+ACUTE_MARGIN)</f>
        <v>127286.87970914126</v>
      </c>
      <c r="KF115" s="13">
        <f>IF(KB115=1,$KB$31,$KB$32)</f>
        <v>152394.16214437486</v>
      </c>
      <c r="KG115" s="13">
        <f>KE115-KF115</f>
        <v>-25107.282435233603</v>
      </c>
      <c r="KH115" s="13">
        <f>KH114+KG115</f>
        <v>-803433.037927475</v>
      </c>
      <c r="KI115">
        <f>IF(KH115=MAX($KH$83:$KH$483),$A115,0)</f>
        <v>0</v>
      </c>
      <c r="KJ115">
        <f>IF(KE115&lt;KF115,$A115,B_MAX+1)</f>
        <v>32</v>
      </c>
      <c r="KK115" s="13">
        <f>IF(KB115=1,$KB$35,$KB$36)</f>
        <v>0</v>
      </c>
      <c r="KL115" s="13">
        <f>OCC_DAYS*$KB$41*R_NF_2023-KD115*MCD_SHARE_FREED*R_WAIT_2023</f>
        <v>94673.82103225985</v>
      </c>
      <c r="KM115">
        <f>IF($A115&lt;=$KB$45,1,0)</f>
        <v>0</v>
      </c>
      <c r="LB115">
        <f>IF($LB$31&lt;=$LB$32,IF($A115&lt;=$LB$7,1,2),IF($A115&lt;=RUNG_BEDS_2,2,1))</f>
        <v>1</v>
      </c>
      <c r="LC115" s="5">
        <f>MIN(1,MAX(0,$LB$26-($A115-1)))</f>
        <v>1</v>
      </c>
      <c r="LD115" s="5">
        <f>$LB$25*(LC115+(1-LC115)*$LB$16)</f>
        <v>84.01774238227146</v>
      </c>
      <c r="LE115" s="13">
        <f>LD115*($LB$6+ACUTE_MARGIN)</f>
        <v>84857.91980609419</v>
      </c>
      <c r="LF115" s="13">
        <f>IF(LB115=1,$LB$31,$LB$32)</f>
        <v>152394.16214437486</v>
      </c>
      <c r="LG115" s="13">
        <f>LE115-LF115</f>
        <v>-67536.24233828067</v>
      </c>
      <c r="LH115" s="13">
        <f>LH114+LG115</f>
        <v>-2161159.7548249816</v>
      </c>
      <c r="LI115">
        <f>IF(LH115=MAX($LH$83:$LH$483),$A115,0)</f>
        <v>0</v>
      </c>
      <c r="LJ115">
        <f>IF(LE115&lt;LF115,$A115,B_MAX+1)</f>
        <v>32</v>
      </c>
      <c r="LK115" s="13">
        <f>IF(LB115=1,$LB$35,$LB$36)</f>
        <v>0</v>
      </c>
      <c r="LL115" s="13">
        <f>OCC_DAYS*$LB$41*R_NF_2023-LD115*MCD_SHARE_FREED*R_WAIT_2023</f>
        <v>113776.04162887059</v>
      </c>
      <c r="LM115">
        <f>IF($A115&lt;=$LB$45,1,0)</f>
        <v>0</v>
      </c>
      <c r="MB115">
        <f>IF($MB$31&lt;=$MB$32,IF($A115&lt;=$MB$7,1,2),IF($A115&lt;=RUNG_BEDS_2,2,1))</f>
        <v>1</v>
      </c>
      <c r="MC115" s="5">
        <f>MIN(1,MAX(0,$MB$26-($A115-1)))</f>
        <v>1</v>
      </c>
      <c r="MD115" s="5">
        <f>$MB$25*(MC115+(1-MC115)*$MB$16)</f>
        <v>213.44610951008647</v>
      </c>
      <c r="ME115" s="13">
        <f>MD115*($MB$6+ACUTE_MARGIN)</f>
        <v>215580.57060518733</v>
      </c>
      <c r="MF115" s="13">
        <f>IF(MB115=1,$MB$31,$MB$32)</f>
        <v>152394.16214437486</v>
      </c>
      <c r="MG115" s="13">
        <f>ME115-MF115</f>
        <v>63186.40846081247</v>
      </c>
      <c r="MH115" s="13">
        <f>MH114+MG115</f>
        <v>2021965.0707459976</v>
      </c>
      <c r="MI115">
        <f>IF(MH115=MAX($MH$83:$MH$483),$A115,0)</f>
        <v>0</v>
      </c>
      <c r="MJ115">
        <f>IF(ME115&lt;MF115,$A115,B_MAX+1)</f>
        <v>401.0</v>
      </c>
      <c r="MK115" s="13">
        <f>IF(MB115=1,$MB$35,$MB$36)</f>
        <v>0</v>
      </c>
      <c r="ML115" s="13">
        <f>OCC_DAYS*$MB$41*R_NF_2023-MD115*MCD_SHARE_FREED*R_WAIT_2023</f>
        <v>54922.538779778624</v>
      </c>
      <c r="MM115">
        <f>IF($A115&lt;=$MB$45,1,0)</f>
        <v>1</v>
      </c>
      <c r="NB115">
        <f>IF($NB$31&lt;=$NB$32,IF($A115&lt;=$NB$7,1,2),IF($A115&lt;=RUNG_BEDS_2,2,1))</f>
        <v>1</v>
      </c>
      <c r="NC115" s="5">
        <f>MIN(1,MAX(0,$NB$26-($A115-1)))</f>
        <v>1</v>
      </c>
      <c r="ND115" s="5">
        <f>$NB$25*(NC115+(1-NC115)*$NB$16)</f>
        <v>252.05322714681438</v>
      </c>
      <c r="NE115" s="13">
        <f>ND115*($NB$6+ACUTE_MARGIN)</f>
        <v>254573.7594182825</v>
      </c>
      <c r="NF115" s="13">
        <f>IF(NB115=1,$NB$31,$NB$32)</f>
        <v>152394.16214437486</v>
      </c>
      <c r="NG115" s="13">
        <f>NE115-NF115</f>
        <v>102179.59727390765</v>
      </c>
      <c r="NH115" s="13">
        <f>NH114+NG115</f>
        <v>3269747.1127650444</v>
      </c>
      <c r="NI115">
        <f>IF(NH115=MAX($NH$83:$NH$483),$A115,0)</f>
        <v>0</v>
      </c>
      <c r="NJ115">
        <f>IF(NE115&lt;NF115,$A115,B_MAX+1)</f>
        <v>401.0</v>
      </c>
      <c r="NK115" s="13">
        <f>IF(NB115=1,$NB$35,$NB$36)</f>
        <v>0</v>
      </c>
      <c r="NL115" s="13">
        <f>OCC_DAYS*$NB$41*R_NF_2023-ND115*MCD_SHARE_FREED*R_WAIT_2023</f>
        <v>37367.159242427646</v>
      </c>
      <c r="NM115">
        <f>IF($A115&lt;=$NB$45,1,0)</f>
        <v>1</v>
      </c>
      <c r="OB115">
        <f>IF($OB$31&lt;=$OB$32,IF($A115&lt;=$OB$7,1,2),IF($A115&lt;=RUNG_BEDS_2,2,1))</f>
        <v>1</v>
      </c>
      <c r="OC115" s="5">
        <f>MIN(1,MAX(0,$OB$26-($A115-1)))</f>
        <v>1</v>
      </c>
      <c r="OD115" s="5">
        <f>$OB$25*(OC115+(1-OC115)*$OB$16)</f>
        <v>252.05322714681438</v>
      </c>
      <c r="OE115" s="13">
        <f>OD115*($OB$6+ACUTE_MARGIN)</f>
        <v>254573.7594182825</v>
      </c>
      <c r="OF115" s="13">
        <f>IF(OB115=1,$OB$31,$OB$32)</f>
        <v>152394.16214437486</v>
      </c>
      <c r="OG115" s="13">
        <f>OE115-OF115</f>
        <v>102179.59727390765</v>
      </c>
      <c r="OH115" s="13">
        <f>OH114+OG115</f>
        <v>3269747.1127650444</v>
      </c>
      <c r="OI115">
        <f>IF(OH115=MAX($OH$83:$OH$483),$A115,0)</f>
        <v>0</v>
      </c>
      <c r="OJ115">
        <f>IF(OE115&lt;OF115,$A115,B_MAX+1)</f>
        <v>401.0</v>
      </c>
      <c r="OK115" s="13">
        <f>IF(OB115=1,$OB$35,$OB$36)</f>
        <v>0</v>
      </c>
      <c r="OL115" s="13">
        <f>OCC_DAYS*$OB$41*R_NF_2023-OD115*MCD_SHARE_FREED*R_WAIT_2023</f>
        <v>37367.159242427646</v>
      </c>
      <c r="OM115">
        <f>IF($A115&lt;=$OB$45,1,0)</f>
        <v>1</v>
      </c>
    </row>
    <row r="116">
      <c r="A116" t="n">
        <v>33</v>
      </c>
      <c r="B116">
        <f>IF($B$31&lt;=$B$32,IF($A116&lt;=$B$7,1,2),IF($A116&lt;=RUNG_BEDS_2,2,1))</f>
        <v>1</v>
      </c>
      <c r="C116" s="5">
        <f>MIN(1,MAX(0,$B$26-($A116-1)))</f>
        <v>1</v>
      </c>
      <c r="D116" s="5">
        <f>$B$25*(C116+(1-C116)*$B$16)</f>
        <v>252.05322714681438</v>
      </c>
      <c r="E116" s="13">
        <f>D116*($B$6+ACUTE_MARGIN)</f>
        <v>254573.7594182825</v>
      </c>
      <c r="F116" s="13">
        <f>IF(B116=1,$B$31,$B$32)</f>
        <v>152394.16214437486</v>
      </c>
      <c r="G116" s="13">
        <f>E116-F116</f>
        <v>102179.59727390765</v>
      </c>
      <c r="H116" s="13">
        <f>H115+G116</f>
        <v>3371926.710038952</v>
      </c>
      <c r="I116">
        <f>IF(H116=MAX($H$83:$H$483),$A116,0)</f>
        <v>0</v>
      </c>
      <c r="J116">
        <f>IF(E116&lt;F116,$A116,B_MAX+1)</f>
        <v>401.0</v>
      </c>
      <c r="K116" s="13">
        <f>IF(B116=1,$B$35,$B$36)</f>
        <v>0</v>
      </c>
      <c r="L116" s="13">
        <f>OCC_DAYS*$B$41*R_NF_2023-D116*MCD_SHARE_FREED*R_WAIT_2023</f>
        <v>37367.159242427646</v>
      </c>
      <c r="M116">
        <f>IF($A116&lt;=$B$45,1,0)</f>
        <v>1</v>
      </c>
      <c r="AB116">
        <f>IF($AB$31&lt;=$AB$32,IF($A116&lt;=$AB$7,1,2),IF($A116&lt;=RUNG_BEDS_2,2,1))</f>
        <v>1</v>
      </c>
      <c r="AC116" s="5">
        <f>MIN(1,MAX(0,$AB$26-($A116-1)))</f>
        <v>1</v>
      </c>
      <c r="AD116" s="5">
        <f>$AB$25*(AC116+(1-AC116)*$AB$16)</f>
        <v>252.05322714681438</v>
      </c>
      <c r="AE116" s="13">
        <f>AD116*($AB$6+ACUTE_MARGIN)</f>
        <v>138629.2749307479</v>
      </c>
      <c r="AF116" s="13">
        <f>IF(AB116=1,$AB$31,$AB$32)</f>
        <v>152394.16214437486</v>
      </c>
      <c r="AG116" s="13">
        <f>AE116-AF116</f>
        <v>-13764.887213626964</v>
      </c>
      <c r="AH116" s="13">
        <f>AH115+AG116</f>
        <v>-454241.2780496902</v>
      </c>
      <c r="AI116">
        <f>IF(AH116=MAX($AH$83:$AH$483),$A116,0)</f>
        <v>0</v>
      </c>
      <c r="AJ116">
        <f>IF(AE116&lt;AF116,$A116,B_MAX+1)</f>
        <v>33</v>
      </c>
      <c r="AK116" s="13">
        <f>IF(AB116=1,$AB$35,$AB$36)</f>
        <v>0</v>
      </c>
      <c r="AL116" s="13">
        <f>OCC_DAYS*$AB$41*R_NF_2023-AD116*MCD_SHARE_FREED*R_WAIT_2023</f>
        <v>37367.159242427646</v>
      </c>
      <c r="AM116">
        <f>IF($A116&lt;=$AB$45,1,0)</f>
        <v>0</v>
      </c>
      <c r="BB116">
        <f>IF($BB$31&lt;=$BB$32,IF($A116&lt;=$BB$7,1,2),IF($A116&lt;=RUNG_BEDS_2,2,1))</f>
        <v>1</v>
      </c>
      <c r="BC116" s="5">
        <f>MIN(1,MAX(0,$BB$26-($A116-1)))</f>
        <v>1</v>
      </c>
      <c r="BD116" s="5">
        <f>$BB$25*(BC116+(1-BC116)*$BB$16)</f>
        <v>252.05322714681438</v>
      </c>
      <c r="BE116" s="13">
        <f>BD116*($BB$6+ACUTE_MARGIN)</f>
        <v>370518.24390581716</v>
      </c>
      <c r="BF116" s="13">
        <f>IF(BB116=1,$BB$31,$BB$32)</f>
        <v>152394.16214437486</v>
      </c>
      <c r="BG116" s="13">
        <f>BE116-BF116</f>
        <v>218124.0817614423</v>
      </c>
      <c r="BH116" s="13">
        <f>BH115+BG116</f>
        <v>7198094.698127592</v>
      </c>
      <c r="BI116">
        <f>IF(BH116=MAX($BH$83:$BH$483),$A116,0)</f>
        <v>0</v>
      </c>
      <c r="BJ116">
        <f>IF(BE116&lt;BF116,$A116,B_MAX+1)</f>
        <v>401.0</v>
      </c>
      <c r="BK116" s="13">
        <f>IF(BB116=1,$BB$35,$BB$36)</f>
        <v>0</v>
      </c>
      <c r="BL116" s="13">
        <f>OCC_DAYS*$BB$41*R_NF_2023-BD116*MCD_SHARE_FREED*R_WAIT_2023</f>
        <v>37367.159242427646</v>
      </c>
      <c r="BM116">
        <f>IF($A116&lt;=$BB$45,1,0)</f>
        <v>1</v>
      </c>
      <c r="CB116">
        <f>IF($CB$31&lt;=$CB$32,IF($A116&lt;=$CB$7,1,2),IF($A116&lt;=RUNG_BEDS_2,2,1))</f>
        <v>2</v>
      </c>
      <c r="CC116" s="5">
        <f>MIN(1,MAX(0,$CB$26-($A116-1)))</f>
        <v>1</v>
      </c>
      <c r="CD116" s="5">
        <f>$CB$25*(CC116+(1-CC116)*$CB$16)</f>
        <v>252.05322714681438</v>
      </c>
      <c r="CE116" s="13">
        <f>CD116*($CB$6+ACUTE_MARGIN)</f>
        <v>254573.7594182825</v>
      </c>
      <c r="CF116" s="13">
        <f>IF(CB116=1,$CB$31,$CB$32)</f>
        <v>160718.36940738867</v>
      </c>
      <c r="CG116" s="13">
        <f>CE116-CF116</f>
        <v>93855.39001089384</v>
      </c>
      <c r="CH116" s="13">
        <f>CH115+CG116</f>
        <v>3097227.870359496</v>
      </c>
      <c r="CI116">
        <f>IF(CH116=MAX($CH$83:$CH$483),$A116,0)</f>
        <v>0</v>
      </c>
      <c r="CJ116">
        <f>IF(CE116&lt;CF116,$A116,B_MAX+1)</f>
        <v>401.0</v>
      </c>
      <c r="CK116" s="13">
        <f>IF(CB116=1,$CB$35,$CB$36)</f>
        <v>1560.1194073886782</v>
      </c>
      <c r="CL116" s="13">
        <f>OCC_DAYS*$CB$41*R_NF_2023-CD116*MCD_SHARE_FREED*R_WAIT_2023</f>
        <v>37367.159242427646</v>
      </c>
      <c r="CM116">
        <f>IF($A116&lt;=$CB$45,1,0)</f>
        <v>1</v>
      </c>
      <c r="DB116">
        <f>IF($DB$31&lt;=$DB$32,IF($A116&lt;=$DB$7,1,2),IF($A116&lt;=RUNG_BEDS_2,2,1))</f>
        <v>1</v>
      </c>
      <c r="DC116" s="5">
        <f>MIN(1,MAX(0,$DB$26-($A116-1)))</f>
        <v>1</v>
      </c>
      <c r="DD116" s="5">
        <f>$DB$25*(DC116+(1-DC116)*$DB$16)</f>
        <v>252.05322714681438</v>
      </c>
      <c r="DE116" s="13">
        <f>DD116*($DB$6+ACUTE_MARGIN)</f>
        <v>254573.7594182825</v>
      </c>
      <c r="DF116" s="13">
        <f>IF(DB116=1,$DB$31,$DB$32)</f>
        <v>152394.16214437486</v>
      </c>
      <c r="DG116" s="13">
        <f>DE116-DF116</f>
        <v>102179.59727390765</v>
      </c>
      <c r="DH116" s="13">
        <f>DH115+DG116</f>
        <v>3371926.710038952</v>
      </c>
      <c r="DI116">
        <f>IF(DH116=MAX($DH$83:$DH$483),$A116,0)</f>
        <v>0</v>
      </c>
      <c r="DJ116">
        <f>IF(DE116&lt;DF116,$A116,B_MAX+1)</f>
        <v>401.0</v>
      </c>
      <c r="DK116" s="13">
        <f>IF(DB116=1,$DB$35,$DB$36)</f>
        <v>0</v>
      </c>
      <c r="DL116" s="13">
        <f>OCC_DAYS*$DB$41*R_NF_2023-DD116*MCD_SHARE_FREED*R_WAIT_2023</f>
        <v>37367.159242427646</v>
      </c>
      <c r="DM116">
        <f>IF($A116&lt;=$DB$45,1,0)</f>
        <v>1</v>
      </c>
      <c r="EB116">
        <f>IF($EB$31&lt;=$EB$32,IF($A116&lt;=$EB$7,1,2),IF($A116&lt;=RUNG_BEDS_2,2,1))</f>
        <v>1</v>
      </c>
      <c r="EC116" s="5">
        <f>MIN(1,MAX(0,$EB$26-($A116-1)))</f>
        <v>1</v>
      </c>
      <c r="ED116" s="5">
        <f>$EB$25*(EC116+(1-EC116)*$EB$16)</f>
        <v>252.05322714681438</v>
      </c>
      <c r="EE116" s="13">
        <f>ED116*($EB$6+ACUTE_MARGIN)</f>
        <v>254573.7594182825</v>
      </c>
      <c r="EF116" s="13">
        <f>IF(EB116=1,$EB$31,$EB$32)</f>
        <v>152394.16214437486</v>
      </c>
      <c r="EG116" s="13">
        <f>EE116-EF116</f>
        <v>102179.59727390765</v>
      </c>
      <c r="EH116" s="13">
        <f>EH115+EG116</f>
        <v>3371926.710038952</v>
      </c>
      <c r="EI116">
        <f>IF(EH116=MAX($EH$83:$EH$483),$A116,0)</f>
        <v>0</v>
      </c>
      <c r="EJ116">
        <f>IF(EE116&lt;EF116,$A116,B_MAX+1)</f>
        <v>401.0</v>
      </c>
      <c r="EK116" s="13">
        <f>IF(EB116=1,$EB$35,$EB$36)</f>
        <v>0</v>
      </c>
      <c r="EL116" s="13">
        <f>OCC_DAYS*$EB$41*R_NF_2023-ED116*MCD_SHARE_FREED*R_WAIT_2023</f>
        <v>-63953.16263896705</v>
      </c>
      <c r="EM116">
        <f>IF($A116&lt;=$EB$45,1,0)</f>
        <v>1</v>
      </c>
      <c r="FB116">
        <f>IF($FB$31&lt;=$FB$32,IF($A116&lt;=$FB$7,1,2),IF($A116&lt;=RUNG_BEDS_2,2,1))</f>
        <v>1</v>
      </c>
      <c r="FC116" s="5">
        <f>MIN(1,MAX(0,$FB$26-($A116-1)))</f>
        <v>1</v>
      </c>
      <c r="FD116" s="5">
        <f>$FB$25*(FC116+(1-FC116)*$FB$16)</f>
        <v>252.05322714681438</v>
      </c>
      <c r="FE116" s="13">
        <f>FD116*($FB$6+ACUTE_MARGIN)</f>
        <v>254573.7594182825</v>
      </c>
      <c r="FF116" s="13">
        <f>IF(FB116=1,$FB$31,$FB$32)</f>
        <v>156636.04979437485</v>
      </c>
      <c r="FG116" s="13">
        <f>FE116-FF116</f>
        <v>97937.70962390766</v>
      </c>
      <c r="FH116" s="13">
        <f>FH115+FG116</f>
        <v>3231944.4175889534</v>
      </c>
      <c r="FI116">
        <f>IF(FH116=MAX($FH$83:$FH$483),$A116,0)</f>
        <v>0</v>
      </c>
      <c r="FJ116">
        <f>IF(FE116&lt;FF116,$A116,B_MAX+1)</f>
        <v>401.0</v>
      </c>
      <c r="FK116" s="13">
        <f>IF(FB116=1,$FB$35,$FB$36)</f>
        <v>0</v>
      </c>
      <c r="FL116" s="13">
        <f>OCC_DAYS*$FB$41*R_NF_2023-FD116*MCD_SHARE_FREED*R_WAIT_2023</f>
        <v>37367.159242427646</v>
      </c>
      <c r="FM116">
        <f>IF($A116&lt;=$FB$45,1,0)</f>
        <v>1</v>
      </c>
      <c r="GB116">
        <f>IF($GB$31&lt;=$GB$32,IF($A116&lt;=$GB$7,1,2),IF($A116&lt;=RUNG_BEDS_2,2,1))</f>
        <v>1</v>
      </c>
      <c r="GC116" s="5">
        <f>MIN(1,MAX(0,$GB$26-($A116-1)))</f>
        <v>1</v>
      </c>
      <c r="GD116" s="5">
        <f>$GB$25*(GC116+(1-GC116)*$GB$16)</f>
        <v>252.05322714681438</v>
      </c>
      <c r="GE116" s="13">
        <f>GD116*($GB$6+ACUTE_MARGIN)</f>
        <v>254573.7594182825</v>
      </c>
      <c r="GF116" s="13">
        <f>IF(GB116=1,$GB$31,$GB$32)</f>
        <v>152394.16214437486</v>
      </c>
      <c r="GG116" s="13">
        <f>GE116-GF116</f>
        <v>102179.59727390765</v>
      </c>
      <c r="GH116" s="13">
        <f>GH115+GG116</f>
        <v>3371926.710038952</v>
      </c>
      <c r="GI116">
        <f>IF(GH116=MAX($GH$83:$GH$483),$A116,0)</f>
        <v>0</v>
      </c>
      <c r="GJ116">
        <f>IF(GE116&lt;GF116,$A116,B_MAX+1)</f>
        <v>401.0</v>
      </c>
      <c r="GK116" s="13">
        <f>IF(GB116=1,$GB$35,$GB$36)</f>
        <v>0</v>
      </c>
      <c r="GL116" s="13">
        <f>OCC_DAYS*$GB$41*R_NF_2023-GD116*MCD_SHARE_FREED*R_WAIT_2023</f>
        <v>37367.159242427646</v>
      </c>
      <c r="GM116">
        <f>IF($A116&lt;=$GB$45,1,0)</f>
        <v>1</v>
      </c>
      <c r="HB116">
        <f>IF($HB$31&lt;=$HB$32,IF($A116&lt;=$HB$7,1,2),IF($A116&lt;=RUNG_BEDS_2,2,1))</f>
        <v>1</v>
      </c>
      <c r="HC116" s="5">
        <f>MIN(1,MAX(0,$HB$26-($A116-1)))</f>
        <v>1</v>
      </c>
      <c r="HD116" s="5">
        <f>$HB$25*(HC116+(1-HC116)*$HB$16)</f>
        <v>252.05322714681438</v>
      </c>
      <c r="HE116" s="13">
        <f>HD116*($HB$6+ACUTE_MARGIN)</f>
        <v>254573.7594182825</v>
      </c>
      <c r="HF116" s="13">
        <f>IF(HB116=1,$HB$31,$HB$32)</f>
        <v>152456.2970814058</v>
      </c>
      <c r="HG116" s="13">
        <f>HE116-HF116</f>
        <v>102117.46233687672</v>
      </c>
      <c r="HH116" s="13">
        <f>HH115+HG116</f>
        <v>3369876.2571169334</v>
      </c>
      <c r="HI116">
        <f>IF(HH116=MAX($HH$83:$HH$483),$A116,0)</f>
        <v>0</v>
      </c>
      <c r="HJ116">
        <f>IF(HE116&lt;HF116,$A116,B_MAX+1)</f>
        <v>401.0</v>
      </c>
      <c r="HK116" s="13">
        <f>IF(HB116=1,$HB$35,$HB$36)</f>
        <v>0</v>
      </c>
      <c r="HL116" s="13">
        <f>OCC_DAYS*$HB$41*R_NF_2023-HD116*MCD_SHARE_FREED*R_WAIT_2023</f>
        <v>37367.159242427646</v>
      </c>
      <c r="HM116">
        <f>IF($A116&lt;=$HB$45,1,0)</f>
        <v>1</v>
      </c>
      <c r="IB116">
        <f>IF($IB$31&lt;=$IB$32,IF($A116&lt;=$IB$7,1,2),IF($A116&lt;=RUNG_BEDS_2,2,1))</f>
        <v>1</v>
      </c>
      <c r="IC116" s="5">
        <f>MIN(1,MAX(0,$IB$26-($A116-1)))</f>
        <v>1</v>
      </c>
      <c r="ID116" s="5">
        <f>$IB$25*(IC116+(1-IC116)*$IB$16)</f>
        <v>252.05322714681438</v>
      </c>
      <c r="IE116" s="13">
        <f>ID116*($IB$6+ACUTE_MARGIN)</f>
        <v>254573.7594182825</v>
      </c>
      <c r="IF116" s="13">
        <f>IF(IB116=1,$IB$31,$IB$32)</f>
        <v>152734.9994534971</v>
      </c>
      <c r="IG116" s="13">
        <f>IE116-IF116</f>
        <v>101838.75996478542</v>
      </c>
      <c r="IH116" s="13">
        <f>IH115+IG116</f>
        <v>3360679.0788379214</v>
      </c>
      <c r="II116">
        <f>IF(IH116=MAX($IH$83:$IH$483),$A116,0)</f>
        <v>0</v>
      </c>
      <c r="IJ116">
        <f>IF(IE116&lt;IF116,$A116,B_MAX+1)</f>
        <v>401.0</v>
      </c>
      <c r="IK116" s="13">
        <f>IF(IB116=1,$IB$35,$IB$36)</f>
        <v>0</v>
      </c>
      <c r="IL116" s="13">
        <f>OCC_DAYS*$IB$41*R_NF_2023-ID116*MCD_SHARE_FREED*R_WAIT_2023</f>
        <v>37367.159242427646</v>
      </c>
      <c r="IM116">
        <f>IF($A116&lt;=$IB$45,1,0)</f>
        <v>1</v>
      </c>
      <c r="JB116">
        <f>IF($JB$31&lt;=$JB$32,IF($A116&lt;=$JB$7,1,2),IF($A116&lt;=RUNG_BEDS_2,2,1))</f>
        <v>1</v>
      </c>
      <c r="JC116" s="5">
        <f>MIN(1,MAX(0,$JB$26-($A116-1)))</f>
        <v>1</v>
      </c>
      <c r="JD116" s="5">
        <f>$JB$25*(JC116+(1-JC116)*$JB$16)</f>
        <v>252.05322714681438</v>
      </c>
      <c r="JE116" s="13">
        <f>JD116*($JB$6+ACUTE_MARGIN)</f>
        <v>254573.7594182825</v>
      </c>
      <c r="JF116" s="13">
        <f>IF(JB116=1,$JB$31,$JB$32)</f>
        <v>152394.16214437486</v>
      </c>
      <c r="JG116" s="13">
        <f>JE116-JF116</f>
        <v>102179.59727390765</v>
      </c>
      <c r="JH116" s="13">
        <f>JH115+JG116</f>
        <v>3371926.710038952</v>
      </c>
      <c r="JI116">
        <f>IF(JH116=MAX($JH$83:$JH$483),$A116,0)</f>
        <v>0</v>
      </c>
      <c r="JJ116">
        <f>IF(JE116&lt;JF116,$A116,B_MAX+1)</f>
        <v>401.0</v>
      </c>
      <c r="JK116" s="13">
        <f>IF(JB116=1,$JB$35,$JB$36)</f>
        <v>0</v>
      </c>
      <c r="JL116" s="13">
        <f>OCC_DAYS*$JB$41*R_NF_2023-JD116*MCD_SHARE_FREED*R_WAIT_2023</f>
        <v>37367.159242427646</v>
      </c>
      <c r="JM116">
        <f>IF($A116&lt;=$JB$45,1,0)</f>
        <v>1</v>
      </c>
      <c r="KB116">
        <f>IF($KB$31&lt;=$KB$32,IF($A116&lt;=$KB$7,1,2),IF($A116&lt;=RUNG_BEDS_2,2,1))</f>
        <v>1</v>
      </c>
      <c r="KC116" s="5">
        <f>MIN(1,MAX(0,$KB$26-($A116-1)))</f>
        <v>1</v>
      </c>
      <c r="KD116" s="5">
        <f>$KB$25*(KC116+(1-KC116)*$KB$16)</f>
        <v>126.02661357340719</v>
      </c>
      <c r="KE116" s="13">
        <f>KD116*($KB$6+ACUTE_MARGIN)</f>
        <v>127286.87970914126</v>
      </c>
      <c r="KF116" s="13">
        <f>IF(KB116=1,$KB$31,$KB$32)</f>
        <v>152394.16214437486</v>
      </c>
      <c r="KG116" s="13">
        <f>KE116-KF116</f>
        <v>-25107.282435233603</v>
      </c>
      <c r="KH116" s="13">
        <f>KH115+KG116</f>
        <v>-828540.3203627085</v>
      </c>
      <c r="KI116">
        <f>IF(KH116=MAX($KH$83:$KH$483),$A116,0)</f>
        <v>0</v>
      </c>
      <c r="KJ116">
        <f>IF(KE116&lt;KF116,$A116,B_MAX+1)</f>
        <v>33</v>
      </c>
      <c r="KK116" s="13">
        <f>IF(KB116=1,$KB$35,$KB$36)</f>
        <v>0</v>
      </c>
      <c r="KL116" s="13">
        <f>OCC_DAYS*$KB$41*R_NF_2023-KD116*MCD_SHARE_FREED*R_WAIT_2023</f>
        <v>94673.82103225985</v>
      </c>
      <c r="KM116">
        <f>IF($A116&lt;=$KB$45,1,0)</f>
        <v>0</v>
      </c>
      <c r="LB116">
        <f>IF($LB$31&lt;=$LB$32,IF($A116&lt;=$LB$7,1,2),IF($A116&lt;=RUNG_BEDS_2,2,1))</f>
        <v>1</v>
      </c>
      <c r="LC116" s="5">
        <f>MIN(1,MAX(0,$LB$26-($A116-1)))</f>
        <v>1</v>
      </c>
      <c r="LD116" s="5">
        <f>$LB$25*(LC116+(1-LC116)*$LB$16)</f>
        <v>84.01774238227146</v>
      </c>
      <c r="LE116" s="13">
        <f>LD116*($LB$6+ACUTE_MARGIN)</f>
        <v>84857.91980609419</v>
      </c>
      <c r="LF116" s="13">
        <f>IF(LB116=1,$LB$31,$LB$32)</f>
        <v>152394.16214437486</v>
      </c>
      <c r="LG116" s="13">
        <f>LE116-LF116</f>
        <v>-67536.24233828067</v>
      </c>
      <c r="LH116" s="13">
        <f>LH115+LG116</f>
        <v>-2228695.997163262</v>
      </c>
      <c r="LI116">
        <f>IF(LH116=MAX($LH$83:$LH$483),$A116,0)</f>
        <v>0</v>
      </c>
      <c r="LJ116">
        <f>IF(LE116&lt;LF116,$A116,B_MAX+1)</f>
        <v>33</v>
      </c>
      <c r="LK116" s="13">
        <f>IF(LB116=1,$LB$35,$LB$36)</f>
        <v>0</v>
      </c>
      <c r="LL116" s="13">
        <f>OCC_DAYS*$LB$41*R_NF_2023-LD116*MCD_SHARE_FREED*R_WAIT_2023</f>
        <v>113776.04162887059</v>
      </c>
      <c r="LM116">
        <f>IF($A116&lt;=$LB$45,1,0)</f>
        <v>0</v>
      </c>
      <c r="MB116">
        <f>IF($MB$31&lt;=$MB$32,IF($A116&lt;=$MB$7,1,2),IF($A116&lt;=RUNG_BEDS_2,2,1))</f>
        <v>1</v>
      </c>
      <c r="MC116" s="5">
        <f>MIN(1,MAX(0,$MB$26-($A116-1)))</f>
        <v>1</v>
      </c>
      <c r="MD116" s="5">
        <f>$MB$25*(MC116+(1-MC116)*$MB$16)</f>
        <v>213.44610951008647</v>
      </c>
      <c r="ME116" s="13">
        <f>MD116*($MB$6+ACUTE_MARGIN)</f>
        <v>215580.57060518733</v>
      </c>
      <c r="MF116" s="13">
        <f>IF(MB116=1,$MB$31,$MB$32)</f>
        <v>152394.16214437486</v>
      </c>
      <c r="MG116" s="13">
        <f>ME116-MF116</f>
        <v>63186.40846081247</v>
      </c>
      <c r="MH116" s="13">
        <f>MH115+MG116</f>
        <v>2085151.47920681</v>
      </c>
      <c r="MI116">
        <f>IF(MH116=MAX($MH$83:$MH$483),$A116,0)</f>
        <v>0</v>
      </c>
      <c r="MJ116">
        <f>IF(ME116&lt;MF116,$A116,B_MAX+1)</f>
        <v>401.0</v>
      </c>
      <c r="MK116" s="13">
        <f>IF(MB116=1,$MB$35,$MB$36)</f>
        <v>0</v>
      </c>
      <c r="ML116" s="13">
        <f>OCC_DAYS*$MB$41*R_NF_2023-MD116*MCD_SHARE_FREED*R_WAIT_2023</f>
        <v>54922.538779778624</v>
      </c>
      <c r="MM116">
        <f>IF($A116&lt;=$MB$45,1,0)</f>
        <v>1</v>
      </c>
      <c r="NB116">
        <f>IF($NB$31&lt;=$NB$32,IF($A116&lt;=$NB$7,1,2),IF($A116&lt;=RUNG_BEDS_2,2,1))</f>
        <v>1</v>
      </c>
      <c r="NC116" s="5">
        <f>MIN(1,MAX(0,$NB$26-($A116-1)))</f>
        <v>1</v>
      </c>
      <c r="ND116" s="5">
        <f>$NB$25*(NC116+(1-NC116)*$NB$16)</f>
        <v>252.05322714681438</v>
      </c>
      <c r="NE116" s="13">
        <f>ND116*($NB$6+ACUTE_MARGIN)</f>
        <v>254573.7594182825</v>
      </c>
      <c r="NF116" s="13">
        <f>IF(NB116=1,$NB$31,$NB$32)</f>
        <v>152394.16214437486</v>
      </c>
      <c r="NG116" s="13">
        <f>NE116-NF116</f>
        <v>102179.59727390765</v>
      </c>
      <c r="NH116" s="13">
        <f>NH115+NG116</f>
        <v>3371926.710038952</v>
      </c>
      <c r="NI116">
        <f>IF(NH116=MAX($NH$83:$NH$483),$A116,0)</f>
        <v>0</v>
      </c>
      <c r="NJ116">
        <f>IF(NE116&lt;NF116,$A116,B_MAX+1)</f>
        <v>401.0</v>
      </c>
      <c r="NK116" s="13">
        <f>IF(NB116=1,$NB$35,$NB$36)</f>
        <v>0</v>
      </c>
      <c r="NL116" s="13">
        <f>OCC_DAYS*$NB$41*R_NF_2023-ND116*MCD_SHARE_FREED*R_WAIT_2023</f>
        <v>37367.159242427646</v>
      </c>
      <c r="NM116">
        <f>IF($A116&lt;=$NB$45,1,0)</f>
        <v>1</v>
      </c>
      <c r="OB116">
        <f>IF($OB$31&lt;=$OB$32,IF($A116&lt;=$OB$7,1,2),IF($A116&lt;=RUNG_BEDS_2,2,1))</f>
        <v>1</v>
      </c>
      <c r="OC116" s="5">
        <f>MIN(1,MAX(0,$OB$26-($A116-1)))</f>
        <v>1</v>
      </c>
      <c r="OD116" s="5">
        <f>$OB$25*(OC116+(1-OC116)*$OB$16)</f>
        <v>252.05322714681438</v>
      </c>
      <c r="OE116" s="13">
        <f>OD116*($OB$6+ACUTE_MARGIN)</f>
        <v>254573.7594182825</v>
      </c>
      <c r="OF116" s="13">
        <f>IF(OB116=1,$OB$31,$OB$32)</f>
        <v>152394.16214437486</v>
      </c>
      <c r="OG116" s="13">
        <f>OE116-OF116</f>
        <v>102179.59727390765</v>
      </c>
      <c r="OH116" s="13">
        <f>OH115+OG116</f>
        <v>3371926.710038952</v>
      </c>
      <c r="OI116">
        <f>IF(OH116=MAX($OH$83:$OH$483),$A116,0)</f>
        <v>0</v>
      </c>
      <c r="OJ116">
        <f>IF(OE116&lt;OF116,$A116,B_MAX+1)</f>
        <v>401.0</v>
      </c>
      <c r="OK116" s="13">
        <f>IF(OB116=1,$OB$35,$OB$36)</f>
        <v>0</v>
      </c>
      <c r="OL116" s="13">
        <f>OCC_DAYS*$OB$41*R_NF_2023-OD116*MCD_SHARE_FREED*R_WAIT_2023</f>
        <v>37367.159242427646</v>
      </c>
      <c r="OM116">
        <f>IF($A116&lt;=$OB$45,1,0)</f>
        <v>1</v>
      </c>
    </row>
    <row r="117">
      <c r="A117" t="n">
        <v>34</v>
      </c>
      <c r="B117">
        <f>IF($B$31&lt;=$B$32,IF($A117&lt;=$B$7,1,2),IF($A117&lt;=RUNG_BEDS_2,2,1))</f>
        <v>1</v>
      </c>
      <c r="C117" s="5">
        <f>MIN(1,MAX(0,$B$26-($A117-1)))</f>
        <v>1</v>
      </c>
      <c r="D117" s="5">
        <f>$B$25*(C117+(1-C117)*$B$16)</f>
        <v>252.05322714681438</v>
      </c>
      <c r="E117" s="13">
        <f>D117*($B$6+ACUTE_MARGIN)</f>
        <v>254573.7594182825</v>
      </c>
      <c r="F117" s="13">
        <f>IF(B117=1,$B$31,$B$32)</f>
        <v>152394.16214437486</v>
      </c>
      <c r="G117" s="13">
        <f>E117-F117</f>
        <v>102179.59727390765</v>
      </c>
      <c r="H117" s="13">
        <f>H116+G117</f>
        <v>3474106.3073128597</v>
      </c>
      <c r="I117">
        <f>IF(H117=MAX($H$83:$H$483),$A117,0)</f>
        <v>0</v>
      </c>
      <c r="J117">
        <f>IF(E117&lt;F117,$A117,B_MAX+1)</f>
        <v>401.0</v>
      </c>
      <c r="K117" s="13">
        <f>IF(B117=1,$B$35,$B$36)</f>
        <v>0</v>
      </c>
      <c r="L117" s="13">
        <f>OCC_DAYS*$B$41*R_NF_2023-D117*MCD_SHARE_FREED*R_WAIT_2023</f>
        <v>37367.159242427646</v>
      </c>
      <c r="M117">
        <f>IF($A117&lt;=$B$45,1,0)</f>
        <v>1</v>
      </c>
      <c r="AB117">
        <f>IF($AB$31&lt;=$AB$32,IF($A117&lt;=$AB$7,1,2),IF($A117&lt;=RUNG_BEDS_2,2,1))</f>
        <v>1</v>
      </c>
      <c r="AC117" s="5">
        <f>MIN(1,MAX(0,$AB$26-($A117-1)))</f>
        <v>1</v>
      </c>
      <c r="AD117" s="5">
        <f>$AB$25*(AC117+(1-AC117)*$AB$16)</f>
        <v>252.05322714681438</v>
      </c>
      <c r="AE117" s="13">
        <f>AD117*($AB$6+ACUTE_MARGIN)</f>
        <v>138629.2749307479</v>
      </c>
      <c r="AF117" s="13">
        <f>IF(AB117=1,$AB$31,$AB$32)</f>
        <v>152394.16214437486</v>
      </c>
      <c r="AG117" s="13">
        <f>AE117-AF117</f>
        <v>-13764.887213626964</v>
      </c>
      <c r="AH117" s="13">
        <f>AH116+AG117</f>
        <v>-468006.1652633172</v>
      </c>
      <c r="AI117">
        <f>IF(AH117=MAX($AH$83:$AH$483),$A117,0)</f>
        <v>0</v>
      </c>
      <c r="AJ117">
        <f>IF(AE117&lt;AF117,$A117,B_MAX+1)</f>
        <v>34</v>
      </c>
      <c r="AK117" s="13">
        <f>IF(AB117=1,$AB$35,$AB$36)</f>
        <v>0</v>
      </c>
      <c r="AL117" s="13">
        <f>OCC_DAYS*$AB$41*R_NF_2023-AD117*MCD_SHARE_FREED*R_WAIT_2023</f>
        <v>37367.159242427646</v>
      </c>
      <c r="AM117">
        <f>IF($A117&lt;=$AB$45,1,0)</f>
        <v>0</v>
      </c>
      <c r="BB117">
        <f>IF($BB$31&lt;=$BB$32,IF($A117&lt;=$BB$7,1,2),IF($A117&lt;=RUNG_BEDS_2,2,1))</f>
        <v>1</v>
      </c>
      <c r="BC117" s="5">
        <f>MIN(1,MAX(0,$BB$26-($A117-1)))</f>
        <v>1</v>
      </c>
      <c r="BD117" s="5">
        <f>$BB$25*(BC117+(1-BC117)*$BB$16)</f>
        <v>252.05322714681438</v>
      </c>
      <c r="BE117" s="13">
        <f>BD117*($BB$6+ACUTE_MARGIN)</f>
        <v>370518.24390581716</v>
      </c>
      <c r="BF117" s="13">
        <f>IF(BB117=1,$BB$31,$BB$32)</f>
        <v>152394.16214437486</v>
      </c>
      <c r="BG117" s="13">
        <f>BE117-BF117</f>
        <v>218124.0817614423</v>
      </c>
      <c r="BH117" s="13">
        <f>BH116+BG117</f>
        <v>7416218.779889034</v>
      </c>
      <c r="BI117">
        <f>IF(BH117=MAX($BH$83:$BH$483),$A117,0)</f>
        <v>0</v>
      </c>
      <c r="BJ117">
        <f>IF(BE117&lt;BF117,$A117,B_MAX+1)</f>
        <v>401.0</v>
      </c>
      <c r="BK117" s="13">
        <f>IF(BB117=1,$BB$35,$BB$36)</f>
        <v>0</v>
      </c>
      <c r="BL117" s="13">
        <f>OCC_DAYS*$BB$41*R_NF_2023-BD117*MCD_SHARE_FREED*R_WAIT_2023</f>
        <v>37367.159242427646</v>
      </c>
      <c r="BM117">
        <f>IF($A117&lt;=$BB$45,1,0)</f>
        <v>1</v>
      </c>
      <c r="CB117">
        <f>IF($CB$31&lt;=$CB$32,IF($A117&lt;=$CB$7,1,2),IF($A117&lt;=RUNG_BEDS_2,2,1))</f>
        <v>2</v>
      </c>
      <c r="CC117" s="5">
        <f>MIN(1,MAX(0,$CB$26-($A117-1)))</f>
        <v>1</v>
      </c>
      <c r="CD117" s="5">
        <f>$CB$25*(CC117+(1-CC117)*$CB$16)</f>
        <v>252.05322714681438</v>
      </c>
      <c r="CE117" s="13">
        <f>CD117*($CB$6+ACUTE_MARGIN)</f>
        <v>254573.7594182825</v>
      </c>
      <c r="CF117" s="13">
        <f>IF(CB117=1,$CB$31,$CB$32)</f>
        <v>160718.36940738867</v>
      </c>
      <c r="CG117" s="13">
        <f>CE117-CF117</f>
        <v>93855.39001089384</v>
      </c>
      <c r="CH117" s="13">
        <f>CH116+CG117</f>
        <v>3191083.26037039</v>
      </c>
      <c r="CI117">
        <f>IF(CH117=MAX($CH$83:$CH$483),$A117,0)</f>
        <v>0</v>
      </c>
      <c r="CJ117">
        <f>IF(CE117&lt;CF117,$A117,B_MAX+1)</f>
        <v>401.0</v>
      </c>
      <c r="CK117" s="13">
        <f>IF(CB117=1,$CB$35,$CB$36)</f>
        <v>1560.1194073886782</v>
      </c>
      <c r="CL117" s="13">
        <f>OCC_DAYS*$CB$41*R_NF_2023-CD117*MCD_SHARE_FREED*R_WAIT_2023</f>
        <v>37367.159242427646</v>
      </c>
      <c r="CM117">
        <f>IF($A117&lt;=$CB$45,1,0)</f>
        <v>1</v>
      </c>
      <c r="DB117">
        <f>IF($DB$31&lt;=$DB$32,IF($A117&lt;=$DB$7,1,2),IF($A117&lt;=RUNG_BEDS_2,2,1))</f>
        <v>1</v>
      </c>
      <c r="DC117" s="5">
        <f>MIN(1,MAX(0,$DB$26-($A117-1)))</f>
        <v>1</v>
      </c>
      <c r="DD117" s="5">
        <f>$DB$25*(DC117+(1-DC117)*$DB$16)</f>
        <v>252.05322714681438</v>
      </c>
      <c r="DE117" s="13">
        <f>DD117*($DB$6+ACUTE_MARGIN)</f>
        <v>254573.7594182825</v>
      </c>
      <c r="DF117" s="13">
        <f>IF(DB117=1,$DB$31,$DB$32)</f>
        <v>152394.16214437486</v>
      </c>
      <c r="DG117" s="13">
        <f>DE117-DF117</f>
        <v>102179.59727390765</v>
      </c>
      <c r="DH117" s="13">
        <f>DH116+DG117</f>
        <v>3474106.3073128597</v>
      </c>
      <c r="DI117">
        <f>IF(DH117=MAX($DH$83:$DH$483),$A117,0)</f>
        <v>0</v>
      </c>
      <c r="DJ117">
        <f>IF(DE117&lt;DF117,$A117,B_MAX+1)</f>
        <v>401.0</v>
      </c>
      <c r="DK117" s="13">
        <f>IF(DB117=1,$DB$35,$DB$36)</f>
        <v>0</v>
      </c>
      <c r="DL117" s="13">
        <f>OCC_DAYS*$DB$41*R_NF_2023-DD117*MCD_SHARE_FREED*R_WAIT_2023</f>
        <v>37367.159242427646</v>
      </c>
      <c r="DM117">
        <f>IF($A117&lt;=$DB$45,1,0)</f>
        <v>1</v>
      </c>
      <c r="EB117">
        <f>IF($EB$31&lt;=$EB$32,IF($A117&lt;=$EB$7,1,2),IF($A117&lt;=RUNG_BEDS_2,2,1))</f>
        <v>1</v>
      </c>
      <c r="EC117" s="5">
        <f>MIN(1,MAX(0,$EB$26-($A117-1)))</f>
        <v>1</v>
      </c>
      <c r="ED117" s="5">
        <f>$EB$25*(EC117+(1-EC117)*$EB$16)</f>
        <v>252.05322714681438</v>
      </c>
      <c r="EE117" s="13">
        <f>ED117*($EB$6+ACUTE_MARGIN)</f>
        <v>254573.7594182825</v>
      </c>
      <c r="EF117" s="13">
        <f>IF(EB117=1,$EB$31,$EB$32)</f>
        <v>152394.16214437486</v>
      </c>
      <c r="EG117" s="13">
        <f>EE117-EF117</f>
        <v>102179.59727390765</v>
      </c>
      <c r="EH117" s="13">
        <f>EH116+EG117</f>
        <v>3474106.3073128597</v>
      </c>
      <c r="EI117">
        <f>IF(EH117=MAX($EH$83:$EH$483),$A117,0)</f>
        <v>0</v>
      </c>
      <c r="EJ117">
        <f>IF(EE117&lt;EF117,$A117,B_MAX+1)</f>
        <v>401.0</v>
      </c>
      <c r="EK117" s="13">
        <f>IF(EB117=1,$EB$35,$EB$36)</f>
        <v>0</v>
      </c>
      <c r="EL117" s="13">
        <f>OCC_DAYS*$EB$41*R_NF_2023-ED117*MCD_SHARE_FREED*R_WAIT_2023</f>
        <v>-63953.16263896705</v>
      </c>
      <c r="EM117">
        <f>IF($A117&lt;=$EB$45,1,0)</f>
        <v>1</v>
      </c>
      <c r="FB117">
        <f>IF($FB$31&lt;=$FB$32,IF($A117&lt;=$FB$7,1,2),IF($A117&lt;=RUNG_BEDS_2,2,1))</f>
        <v>1</v>
      </c>
      <c r="FC117" s="5">
        <f>MIN(1,MAX(0,$FB$26-($A117-1)))</f>
        <v>1</v>
      </c>
      <c r="FD117" s="5">
        <f>$FB$25*(FC117+(1-FC117)*$FB$16)</f>
        <v>252.05322714681438</v>
      </c>
      <c r="FE117" s="13">
        <f>FD117*($FB$6+ACUTE_MARGIN)</f>
        <v>254573.7594182825</v>
      </c>
      <c r="FF117" s="13">
        <f>IF(FB117=1,$FB$31,$FB$32)</f>
        <v>156636.04979437485</v>
      </c>
      <c r="FG117" s="13">
        <f>FE117-FF117</f>
        <v>97937.70962390766</v>
      </c>
      <c r="FH117" s="13">
        <f>FH116+FG117</f>
        <v>3329882.127212861</v>
      </c>
      <c r="FI117">
        <f>IF(FH117=MAX($FH$83:$FH$483),$A117,0)</f>
        <v>0</v>
      </c>
      <c r="FJ117">
        <f>IF(FE117&lt;FF117,$A117,B_MAX+1)</f>
        <v>401.0</v>
      </c>
      <c r="FK117" s="13">
        <f>IF(FB117=1,$FB$35,$FB$36)</f>
        <v>0</v>
      </c>
      <c r="FL117" s="13">
        <f>OCC_DAYS*$FB$41*R_NF_2023-FD117*MCD_SHARE_FREED*R_WAIT_2023</f>
        <v>37367.159242427646</v>
      </c>
      <c r="FM117">
        <f>IF($A117&lt;=$FB$45,1,0)</f>
        <v>1</v>
      </c>
      <c r="GB117">
        <f>IF($GB$31&lt;=$GB$32,IF($A117&lt;=$GB$7,1,2),IF($A117&lt;=RUNG_BEDS_2,2,1))</f>
        <v>1</v>
      </c>
      <c r="GC117" s="5">
        <f>MIN(1,MAX(0,$GB$26-($A117-1)))</f>
        <v>1</v>
      </c>
      <c r="GD117" s="5">
        <f>$GB$25*(GC117+(1-GC117)*$GB$16)</f>
        <v>252.05322714681438</v>
      </c>
      <c r="GE117" s="13">
        <f>GD117*($GB$6+ACUTE_MARGIN)</f>
        <v>254573.7594182825</v>
      </c>
      <c r="GF117" s="13">
        <f>IF(GB117=1,$GB$31,$GB$32)</f>
        <v>152394.16214437486</v>
      </c>
      <c r="GG117" s="13">
        <f>GE117-GF117</f>
        <v>102179.59727390765</v>
      </c>
      <c r="GH117" s="13">
        <f>GH116+GG117</f>
        <v>3474106.3073128597</v>
      </c>
      <c r="GI117">
        <f>IF(GH117=MAX($GH$83:$GH$483),$A117,0)</f>
        <v>0</v>
      </c>
      <c r="GJ117">
        <f>IF(GE117&lt;GF117,$A117,B_MAX+1)</f>
        <v>401.0</v>
      </c>
      <c r="GK117" s="13">
        <f>IF(GB117=1,$GB$35,$GB$36)</f>
        <v>0</v>
      </c>
      <c r="GL117" s="13">
        <f>OCC_DAYS*$GB$41*R_NF_2023-GD117*MCD_SHARE_FREED*R_WAIT_2023</f>
        <v>37367.159242427646</v>
      </c>
      <c r="GM117">
        <f>IF($A117&lt;=$GB$45,1,0)</f>
        <v>1</v>
      </c>
      <c r="HB117">
        <f>IF($HB$31&lt;=$HB$32,IF($A117&lt;=$HB$7,1,2),IF($A117&lt;=RUNG_BEDS_2,2,1))</f>
        <v>1</v>
      </c>
      <c r="HC117" s="5">
        <f>MIN(1,MAX(0,$HB$26-($A117-1)))</f>
        <v>1</v>
      </c>
      <c r="HD117" s="5">
        <f>$HB$25*(HC117+(1-HC117)*$HB$16)</f>
        <v>252.05322714681438</v>
      </c>
      <c r="HE117" s="13">
        <f>HD117*($HB$6+ACUTE_MARGIN)</f>
        <v>254573.7594182825</v>
      </c>
      <c r="HF117" s="13">
        <f>IF(HB117=1,$HB$31,$HB$32)</f>
        <v>152456.2970814058</v>
      </c>
      <c r="HG117" s="13">
        <f>HE117-HF117</f>
        <v>102117.46233687672</v>
      </c>
      <c r="HH117" s="13">
        <f>HH116+HG117</f>
        <v>3471993.7194538102</v>
      </c>
      <c r="HI117">
        <f>IF(HH117=MAX($HH$83:$HH$483),$A117,0)</f>
        <v>0</v>
      </c>
      <c r="HJ117">
        <f>IF(HE117&lt;HF117,$A117,B_MAX+1)</f>
        <v>401.0</v>
      </c>
      <c r="HK117" s="13">
        <f>IF(HB117=1,$HB$35,$HB$36)</f>
        <v>0</v>
      </c>
      <c r="HL117" s="13">
        <f>OCC_DAYS*$HB$41*R_NF_2023-HD117*MCD_SHARE_FREED*R_WAIT_2023</f>
        <v>37367.159242427646</v>
      </c>
      <c r="HM117">
        <f>IF($A117&lt;=$HB$45,1,0)</f>
        <v>1</v>
      </c>
      <c r="IB117">
        <f>IF($IB$31&lt;=$IB$32,IF($A117&lt;=$IB$7,1,2),IF($A117&lt;=RUNG_BEDS_2,2,1))</f>
        <v>1</v>
      </c>
      <c r="IC117" s="5">
        <f>MIN(1,MAX(0,$IB$26-($A117-1)))</f>
        <v>1</v>
      </c>
      <c r="ID117" s="5">
        <f>$IB$25*(IC117+(1-IC117)*$IB$16)</f>
        <v>252.05322714681438</v>
      </c>
      <c r="IE117" s="13">
        <f>ID117*($IB$6+ACUTE_MARGIN)</f>
        <v>254573.7594182825</v>
      </c>
      <c r="IF117" s="13">
        <f>IF(IB117=1,$IB$31,$IB$32)</f>
        <v>152734.9994534971</v>
      </c>
      <c r="IG117" s="13">
        <f>IE117-IF117</f>
        <v>101838.75996478542</v>
      </c>
      <c r="IH117" s="13">
        <f>IH116+IG117</f>
        <v>3462517.838802707</v>
      </c>
      <c r="II117">
        <f>IF(IH117=MAX($IH$83:$IH$483),$A117,0)</f>
        <v>0</v>
      </c>
      <c r="IJ117">
        <f>IF(IE117&lt;IF117,$A117,B_MAX+1)</f>
        <v>401.0</v>
      </c>
      <c r="IK117" s="13">
        <f>IF(IB117=1,$IB$35,$IB$36)</f>
        <v>0</v>
      </c>
      <c r="IL117" s="13">
        <f>OCC_DAYS*$IB$41*R_NF_2023-ID117*MCD_SHARE_FREED*R_WAIT_2023</f>
        <v>37367.159242427646</v>
      </c>
      <c r="IM117">
        <f>IF($A117&lt;=$IB$45,1,0)</f>
        <v>1</v>
      </c>
      <c r="JB117">
        <f>IF($JB$31&lt;=$JB$32,IF($A117&lt;=$JB$7,1,2),IF($A117&lt;=RUNG_BEDS_2,2,1))</f>
        <v>1</v>
      </c>
      <c r="JC117" s="5">
        <f>MIN(1,MAX(0,$JB$26-($A117-1)))</f>
        <v>1</v>
      </c>
      <c r="JD117" s="5">
        <f>$JB$25*(JC117+(1-JC117)*$JB$16)</f>
        <v>252.05322714681438</v>
      </c>
      <c r="JE117" s="13">
        <f>JD117*($JB$6+ACUTE_MARGIN)</f>
        <v>254573.7594182825</v>
      </c>
      <c r="JF117" s="13">
        <f>IF(JB117=1,$JB$31,$JB$32)</f>
        <v>152394.16214437486</v>
      </c>
      <c r="JG117" s="13">
        <f>JE117-JF117</f>
        <v>102179.59727390765</v>
      </c>
      <c r="JH117" s="13">
        <f>JH116+JG117</f>
        <v>3474106.3073128597</v>
      </c>
      <c r="JI117">
        <f>IF(JH117=MAX($JH$83:$JH$483),$A117,0)</f>
        <v>0</v>
      </c>
      <c r="JJ117">
        <f>IF(JE117&lt;JF117,$A117,B_MAX+1)</f>
        <v>401.0</v>
      </c>
      <c r="JK117" s="13">
        <f>IF(JB117=1,$JB$35,$JB$36)</f>
        <v>0</v>
      </c>
      <c r="JL117" s="13">
        <f>OCC_DAYS*$JB$41*R_NF_2023-JD117*MCD_SHARE_FREED*R_WAIT_2023</f>
        <v>37367.159242427646</v>
      </c>
      <c r="JM117">
        <f>IF($A117&lt;=$JB$45,1,0)</f>
        <v>1</v>
      </c>
      <c r="KB117">
        <f>IF($KB$31&lt;=$KB$32,IF($A117&lt;=$KB$7,1,2),IF($A117&lt;=RUNG_BEDS_2,2,1))</f>
        <v>1</v>
      </c>
      <c r="KC117" s="5">
        <f>MIN(1,MAX(0,$KB$26-($A117-1)))</f>
        <v>1</v>
      </c>
      <c r="KD117" s="5">
        <f>$KB$25*(KC117+(1-KC117)*$KB$16)</f>
        <v>126.02661357340719</v>
      </c>
      <c r="KE117" s="13">
        <f>KD117*($KB$6+ACUTE_MARGIN)</f>
        <v>127286.87970914126</v>
      </c>
      <c r="KF117" s="13">
        <f>IF(KB117=1,$KB$31,$KB$32)</f>
        <v>152394.16214437486</v>
      </c>
      <c r="KG117" s="13">
        <f>KE117-KF117</f>
        <v>-25107.282435233603</v>
      </c>
      <c r="KH117" s="13">
        <f>KH116+KG117</f>
        <v>-853647.6027979421</v>
      </c>
      <c r="KI117">
        <f>IF(KH117=MAX($KH$83:$KH$483),$A117,0)</f>
        <v>0</v>
      </c>
      <c r="KJ117">
        <f>IF(KE117&lt;KF117,$A117,B_MAX+1)</f>
        <v>34</v>
      </c>
      <c r="KK117" s="13">
        <f>IF(KB117=1,$KB$35,$KB$36)</f>
        <v>0</v>
      </c>
      <c r="KL117" s="13">
        <f>OCC_DAYS*$KB$41*R_NF_2023-KD117*MCD_SHARE_FREED*R_WAIT_2023</f>
        <v>94673.82103225985</v>
      </c>
      <c r="KM117">
        <f>IF($A117&lt;=$KB$45,1,0)</f>
        <v>0</v>
      </c>
      <c r="LB117">
        <f>IF($LB$31&lt;=$LB$32,IF($A117&lt;=$LB$7,1,2),IF($A117&lt;=RUNG_BEDS_2,2,1))</f>
        <v>1</v>
      </c>
      <c r="LC117" s="5">
        <f>MIN(1,MAX(0,$LB$26-($A117-1)))</f>
        <v>1</v>
      </c>
      <c r="LD117" s="5">
        <f>$LB$25*(LC117+(1-LC117)*$LB$16)</f>
        <v>84.01774238227146</v>
      </c>
      <c r="LE117" s="13">
        <f>LD117*($LB$6+ACUTE_MARGIN)</f>
        <v>84857.91980609419</v>
      </c>
      <c r="LF117" s="13">
        <f>IF(LB117=1,$LB$31,$LB$32)</f>
        <v>152394.16214437486</v>
      </c>
      <c r="LG117" s="13">
        <f>LE117-LF117</f>
        <v>-67536.24233828067</v>
      </c>
      <c r="LH117" s="13">
        <f>LH116+LG117</f>
        <v>-2296232.239501543</v>
      </c>
      <c r="LI117">
        <f>IF(LH117=MAX($LH$83:$LH$483),$A117,0)</f>
        <v>0</v>
      </c>
      <c r="LJ117">
        <f>IF(LE117&lt;LF117,$A117,B_MAX+1)</f>
        <v>34</v>
      </c>
      <c r="LK117" s="13">
        <f>IF(LB117=1,$LB$35,$LB$36)</f>
        <v>0</v>
      </c>
      <c r="LL117" s="13">
        <f>OCC_DAYS*$LB$41*R_NF_2023-LD117*MCD_SHARE_FREED*R_WAIT_2023</f>
        <v>113776.04162887059</v>
      </c>
      <c r="LM117">
        <f>IF($A117&lt;=$LB$45,1,0)</f>
        <v>0</v>
      </c>
      <c r="MB117">
        <f>IF($MB$31&lt;=$MB$32,IF($A117&lt;=$MB$7,1,2),IF($A117&lt;=RUNG_BEDS_2,2,1))</f>
        <v>1</v>
      </c>
      <c r="MC117" s="5">
        <f>MIN(1,MAX(0,$MB$26-($A117-1)))</f>
        <v>1</v>
      </c>
      <c r="MD117" s="5">
        <f>$MB$25*(MC117+(1-MC117)*$MB$16)</f>
        <v>213.44610951008647</v>
      </c>
      <c r="ME117" s="13">
        <f>MD117*($MB$6+ACUTE_MARGIN)</f>
        <v>215580.57060518733</v>
      </c>
      <c r="MF117" s="13">
        <f>IF(MB117=1,$MB$31,$MB$32)</f>
        <v>152394.16214437486</v>
      </c>
      <c r="MG117" s="13">
        <f>ME117-MF117</f>
        <v>63186.40846081247</v>
      </c>
      <c r="MH117" s="13">
        <f>MH116+MG117</f>
        <v>2148337.8876676224</v>
      </c>
      <c r="MI117">
        <f>IF(MH117=MAX($MH$83:$MH$483),$A117,0)</f>
        <v>0</v>
      </c>
      <c r="MJ117">
        <f>IF(ME117&lt;MF117,$A117,B_MAX+1)</f>
        <v>401.0</v>
      </c>
      <c r="MK117" s="13">
        <f>IF(MB117=1,$MB$35,$MB$36)</f>
        <v>0</v>
      </c>
      <c r="ML117" s="13">
        <f>OCC_DAYS*$MB$41*R_NF_2023-MD117*MCD_SHARE_FREED*R_WAIT_2023</f>
        <v>54922.538779778624</v>
      </c>
      <c r="MM117">
        <f>IF($A117&lt;=$MB$45,1,0)</f>
        <v>1</v>
      </c>
      <c r="NB117">
        <f>IF($NB$31&lt;=$NB$32,IF($A117&lt;=$NB$7,1,2),IF($A117&lt;=RUNG_BEDS_2,2,1))</f>
        <v>1</v>
      </c>
      <c r="NC117" s="5">
        <f>MIN(1,MAX(0,$NB$26-($A117-1)))</f>
        <v>1</v>
      </c>
      <c r="ND117" s="5">
        <f>$NB$25*(NC117+(1-NC117)*$NB$16)</f>
        <v>252.05322714681438</v>
      </c>
      <c r="NE117" s="13">
        <f>ND117*($NB$6+ACUTE_MARGIN)</f>
        <v>254573.7594182825</v>
      </c>
      <c r="NF117" s="13">
        <f>IF(NB117=1,$NB$31,$NB$32)</f>
        <v>152394.16214437486</v>
      </c>
      <c r="NG117" s="13">
        <f>NE117-NF117</f>
        <v>102179.59727390765</v>
      </c>
      <c r="NH117" s="13">
        <f>NH116+NG117</f>
        <v>3474106.3073128597</v>
      </c>
      <c r="NI117">
        <f>IF(NH117=MAX($NH$83:$NH$483),$A117,0)</f>
        <v>0</v>
      </c>
      <c r="NJ117">
        <f>IF(NE117&lt;NF117,$A117,B_MAX+1)</f>
        <v>401.0</v>
      </c>
      <c r="NK117" s="13">
        <f>IF(NB117=1,$NB$35,$NB$36)</f>
        <v>0</v>
      </c>
      <c r="NL117" s="13">
        <f>OCC_DAYS*$NB$41*R_NF_2023-ND117*MCD_SHARE_FREED*R_WAIT_2023</f>
        <v>37367.159242427646</v>
      </c>
      <c r="NM117">
        <f>IF($A117&lt;=$NB$45,1,0)</f>
        <v>1</v>
      </c>
      <c r="OB117">
        <f>IF($OB$31&lt;=$OB$32,IF($A117&lt;=$OB$7,1,2),IF($A117&lt;=RUNG_BEDS_2,2,1))</f>
        <v>1</v>
      </c>
      <c r="OC117" s="5">
        <f>MIN(1,MAX(0,$OB$26-($A117-1)))</f>
        <v>1</v>
      </c>
      <c r="OD117" s="5">
        <f>$OB$25*(OC117+(1-OC117)*$OB$16)</f>
        <v>252.05322714681438</v>
      </c>
      <c r="OE117" s="13">
        <f>OD117*($OB$6+ACUTE_MARGIN)</f>
        <v>254573.7594182825</v>
      </c>
      <c r="OF117" s="13">
        <f>IF(OB117=1,$OB$31,$OB$32)</f>
        <v>152394.16214437486</v>
      </c>
      <c r="OG117" s="13">
        <f>OE117-OF117</f>
        <v>102179.59727390765</v>
      </c>
      <c r="OH117" s="13">
        <f>OH116+OG117</f>
        <v>3474106.3073128597</v>
      </c>
      <c r="OI117">
        <f>IF(OH117=MAX($OH$83:$OH$483),$A117,0)</f>
        <v>0</v>
      </c>
      <c r="OJ117">
        <f>IF(OE117&lt;OF117,$A117,B_MAX+1)</f>
        <v>401.0</v>
      </c>
      <c r="OK117" s="13">
        <f>IF(OB117=1,$OB$35,$OB$36)</f>
        <v>0</v>
      </c>
      <c r="OL117" s="13">
        <f>OCC_DAYS*$OB$41*R_NF_2023-OD117*MCD_SHARE_FREED*R_WAIT_2023</f>
        <v>37367.159242427646</v>
      </c>
      <c r="OM117">
        <f>IF($A117&lt;=$OB$45,1,0)</f>
        <v>1</v>
      </c>
    </row>
    <row r="118">
      <c r="A118" t="n">
        <v>35</v>
      </c>
      <c r="B118">
        <f>IF($B$31&lt;=$B$32,IF($A118&lt;=$B$7,1,2),IF($A118&lt;=RUNG_BEDS_2,2,1))</f>
        <v>1</v>
      </c>
      <c r="C118" s="5">
        <f>MIN(1,MAX(0,$B$26-($A118-1)))</f>
        <v>1</v>
      </c>
      <c r="D118" s="5">
        <f>$B$25*(C118+(1-C118)*$B$16)</f>
        <v>252.05322714681438</v>
      </c>
      <c r="E118" s="13">
        <f>D118*($B$6+ACUTE_MARGIN)</f>
        <v>254573.7594182825</v>
      </c>
      <c r="F118" s="13">
        <f>IF(B118=1,$B$31,$B$32)</f>
        <v>152394.16214437486</v>
      </c>
      <c r="G118" s="13">
        <f>E118-F118</f>
        <v>102179.59727390765</v>
      </c>
      <c r="H118" s="13">
        <f>H117+G118</f>
        <v>3576285.9045867673</v>
      </c>
      <c r="I118">
        <f>IF(H118=MAX($H$83:$H$483),$A118,0)</f>
        <v>0</v>
      </c>
      <c r="J118">
        <f>IF(E118&lt;F118,$A118,B_MAX+1)</f>
        <v>401.0</v>
      </c>
      <c r="K118" s="13">
        <f>IF(B118=1,$B$35,$B$36)</f>
        <v>0</v>
      </c>
      <c r="L118" s="13">
        <f>OCC_DAYS*$B$41*R_NF_2023-D118*MCD_SHARE_FREED*R_WAIT_2023</f>
        <v>37367.159242427646</v>
      </c>
      <c r="M118">
        <f>IF($A118&lt;=$B$45,1,0)</f>
        <v>1</v>
      </c>
      <c r="AB118">
        <f>IF($AB$31&lt;=$AB$32,IF($A118&lt;=$AB$7,1,2),IF($A118&lt;=RUNG_BEDS_2,2,1))</f>
        <v>1</v>
      </c>
      <c r="AC118" s="5">
        <f>MIN(1,MAX(0,$AB$26-($A118-1)))</f>
        <v>1</v>
      </c>
      <c r="AD118" s="5">
        <f>$AB$25*(AC118+(1-AC118)*$AB$16)</f>
        <v>252.05322714681438</v>
      </c>
      <c r="AE118" s="13">
        <f>AD118*($AB$6+ACUTE_MARGIN)</f>
        <v>138629.2749307479</v>
      </c>
      <c r="AF118" s="13">
        <f>IF(AB118=1,$AB$31,$AB$32)</f>
        <v>152394.16214437486</v>
      </c>
      <c r="AG118" s="13">
        <f>AE118-AF118</f>
        <v>-13764.887213626964</v>
      </c>
      <c r="AH118" s="13">
        <f>AH117+AG118</f>
        <v>-481771.05247694417</v>
      </c>
      <c r="AI118">
        <f>IF(AH118=MAX($AH$83:$AH$483),$A118,0)</f>
        <v>0</v>
      </c>
      <c r="AJ118">
        <f>IF(AE118&lt;AF118,$A118,B_MAX+1)</f>
        <v>35</v>
      </c>
      <c r="AK118" s="13">
        <f>IF(AB118=1,$AB$35,$AB$36)</f>
        <v>0</v>
      </c>
      <c r="AL118" s="13">
        <f>OCC_DAYS*$AB$41*R_NF_2023-AD118*MCD_SHARE_FREED*R_WAIT_2023</f>
        <v>37367.159242427646</v>
      </c>
      <c r="AM118">
        <f>IF($A118&lt;=$AB$45,1,0)</f>
        <v>0</v>
      </c>
      <c r="BB118">
        <f>IF($BB$31&lt;=$BB$32,IF($A118&lt;=$BB$7,1,2),IF($A118&lt;=RUNG_BEDS_2,2,1))</f>
        <v>1</v>
      </c>
      <c r="BC118" s="5">
        <f>MIN(1,MAX(0,$BB$26-($A118-1)))</f>
        <v>1</v>
      </c>
      <c r="BD118" s="5">
        <f>$BB$25*(BC118+(1-BC118)*$BB$16)</f>
        <v>252.05322714681438</v>
      </c>
      <c r="BE118" s="13">
        <f>BD118*($BB$6+ACUTE_MARGIN)</f>
        <v>370518.24390581716</v>
      </c>
      <c r="BF118" s="13">
        <f>IF(BB118=1,$BB$31,$BB$32)</f>
        <v>152394.16214437486</v>
      </c>
      <c r="BG118" s="13">
        <f>BE118-BF118</f>
        <v>218124.0817614423</v>
      </c>
      <c r="BH118" s="13">
        <f>BH117+BG118</f>
        <v>7634342.861650476</v>
      </c>
      <c r="BI118">
        <f>IF(BH118=MAX($BH$83:$BH$483),$A118,0)</f>
        <v>0</v>
      </c>
      <c r="BJ118">
        <f>IF(BE118&lt;BF118,$A118,B_MAX+1)</f>
        <v>401.0</v>
      </c>
      <c r="BK118" s="13">
        <f>IF(BB118=1,$BB$35,$BB$36)</f>
        <v>0</v>
      </c>
      <c r="BL118" s="13">
        <f>OCC_DAYS*$BB$41*R_NF_2023-BD118*MCD_SHARE_FREED*R_WAIT_2023</f>
        <v>37367.159242427646</v>
      </c>
      <c r="BM118">
        <f>IF($A118&lt;=$BB$45,1,0)</f>
        <v>1</v>
      </c>
      <c r="CB118">
        <f>IF($CB$31&lt;=$CB$32,IF($A118&lt;=$CB$7,1,2),IF($A118&lt;=RUNG_BEDS_2,2,1))</f>
        <v>2</v>
      </c>
      <c r="CC118" s="5">
        <f>MIN(1,MAX(0,$CB$26-($A118-1)))</f>
        <v>1</v>
      </c>
      <c r="CD118" s="5">
        <f>$CB$25*(CC118+(1-CC118)*$CB$16)</f>
        <v>252.05322714681438</v>
      </c>
      <c r="CE118" s="13">
        <f>CD118*($CB$6+ACUTE_MARGIN)</f>
        <v>254573.7594182825</v>
      </c>
      <c r="CF118" s="13">
        <f>IF(CB118=1,$CB$31,$CB$32)</f>
        <v>160718.36940738867</v>
      </c>
      <c r="CG118" s="13">
        <f>CE118-CF118</f>
        <v>93855.39001089384</v>
      </c>
      <c r="CH118" s="13">
        <f>CH117+CG118</f>
        <v>3284938.650381284</v>
      </c>
      <c r="CI118">
        <f>IF(CH118=MAX($CH$83:$CH$483),$A118,0)</f>
        <v>0</v>
      </c>
      <c r="CJ118">
        <f>IF(CE118&lt;CF118,$A118,B_MAX+1)</f>
        <v>401.0</v>
      </c>
      <c r="CK118" s="13">
        <f>IF(CB118=1,$CB$35,$CB$36)</f>
        <v>1560.1194073886782</v>
      </c>
      <c r="CL118" s="13">
        <f>OCC_DAYS*$CB$41*R_NF_2023-CD118*MCD_SHARE_FREED*R_WAIT_2023</f>
        <v>37367.159242427646</v>
      </c>
      <c r="CM118">
        <f>IF($A118&lt;=$CB$45,1,0)</f>
        <v>1</v>
      </c>
      <c r="DB118">
        <f>IF($DB$31&lt;=$DB$32,IF($A118&lt;=$DB$7,1,2),IF($A118&lt;=RUNG_BEDS_2,2,1))</f>
        <v>1</v>
      </c>
      <c r="DC118" s="5">
        <f>MIN(1,MAX(0,$DB$26-($A118-1)))</f>
        <v>1</v>
      </c>
      <c r="DD118" s="5">
        <f>$DB$25*(DC118+(1-DC118)*$DB$16)</f>
        <v>252.05322714681438</v>
      </c>
      <c r="DE118" s="13">
        <f>DD118*($DB$6+ACUTE_MARGIN)</f>
        <v>254573.7594182825</v>
      </c>
      <c r="DF118" s="13">
        <f>IF(DB118=1,$DB$31,$DB$32)</f>
        <v>152394.16214437486</v>
      </c>
      <c r="DG118" s="13">
        <f>DE118-DF118</f>
        <v>102179.59727390765</v>
      </c>
      <c r="DH118" s="13">
        <f>DH117+DG118</f>
        <v>3576285.9045867673</v>
      </c>
      <c r="DI118">
        <f>IF(DH118=MAX($DH$83:$DH$483),$A118,0)</f>
        <v>0</v>
      </c>
      <c r="DJ118">
        <f>IF(DE118&lt;DF118,$A118,B_MAX+1)</f>
        <v>401.0</v>
      </c>
      <c r="DK118" s="13">
        <f>IF(DB118=1,$DB$35,$DB$36)</f>
        <v>0</v>
      </c>
      <c r="DL118" s="13">
        <f>OCC_DAYS*$DB$41*R_NF_2023-DD118*MCD_SHARE_FREED*R_WAIT_2023</f>
        <v>37367.159242427646</v>
      </c>
      <c r="DM118">
        <f>IF($A118&lt;=$DB$45,1,0)</f>
        <v>1</v>
      </c>
      <c r="EB118">
        <f>IF($EB$31&lt;=$EB$32,IF($A118&lt;=$EB$7,1,2),IF($A118&lt;=RUNG_BEDS_2,2,1))</f>
        <v>1</v>
      </c>
      <c r="EC118" s="5">
        <f>MIN(1,MAX(0,$EB$26-($A118-1)))</f>
        <v>1</v>
      </c>
      <c r="ED118" s="5">
        <f>$EB$25*(EC118+(1-EC118)*$EB$16)</f>
        <v>252.05322714681438</v>
      </c>
      <c r="EE118" s="13">
        <f>ED118*($EB$6+ACUTE_MARGIN)</f>
        <v>254573.7594182825</v>
      </c>
      <c r="EF118" s="13">
        <f>IF(EB118=1,$EB$31,$EB$32)</f>
        <v>152394.16214437486</v>
      </c>
      <c r="EG118" s="13">
        <f>EE118-EF118</f>
        <v>102179.59727390765</v>
      </c>
      <c r="EH118" s="13">
        <f>EH117+EG118</f>
        <v>3576285.9045867673</v>
      </c>
      <c r="EI118">
        <f>IF(EH118=MAX($EH$83:$EH$483),$A118,0)</f>
        <v>0</v>
      </c>
      <c r="EJ118">
        <f>IF(EE118&lt;EF118,$A118,B_MAX+1)</f>
        <v>401.0</v>
      </c>
      <c r="EK118" s="13">
        <f>IF(EB118=1,$EB$35,$EB$36)</f>
        <v>0</v>
      </c>
      <c r="EL118" s="13">
        <f>OCC_DAYS*$EB$41*R_NF_2023-ED118*MCD_SHARE_FREED*R_WAIT_2023</f>
        <v>-63953.16263896705</v>
      </c>
      <c r="EM118">
        <f>IF($A118&lt;=$EB$45,1,0)</f>
        <v>1</v>
      </c>
      <c r="FB118">
        <f>IF($FB$31&lt;=$FB$32,IF($A118&lt;=$FB$7,1,2),IF($A118&lt;=RUNG_BEDS_2,2,1))</f>
        <v>1</v>
      </c>
      <c r="FC118" s="5">
        <f>MIN(1,MAX(0,$FB$26-($A118-1)))</f>
        <v>1</v>
      </c>
      <c r="FD118" s="5">
        <f>$FB$25*(FC118+(1-FC118)*$FB$16)</f>
        <v>252.05322714681438</v>
      </c>
      <c r="FE118" s="13">
        <f>FD118*($FB$6+ACUTE_MARGIN)</f>
        <v>254573.7594182825</v>
      </c>
      <c r="FF118" s="13">
        <f>IF(FB118=1,$FB$31,$FB$32)</f>
        <v>156636.04979437485</v>
      </c>
      <c r="FG118" s="13">
        <f>FE118-FF118</f>
        <v>97937.70962390766</v>
      </c>
      <c r="FH118" s="13">
        <f>FH117+FG118</f>
        <v>3427819.836836769</v>
      </c>
      <c r="FI118">
        <f>IF(FH118=MAX($FH$83:$FH$483),$A118,0)</f>
        <v>0</v>
      </c>
      <c r="FJ118">
        <f>IF(FE118&lt;FF118,$A118,B_MAX+1)</f>
        <v>401.0</v>
      </c>
      <c r="FK118" s="13">
        <f>IF(FB118=1,$FB$35,$FB$36)</f>
        <v>0</v>
      </c>
      <c r="FL118" s="13">
        <f>OCC_DAYS*$FB$41*R_NF_2023-FD118*MCD_SHARE_FREED*R_WAIT_2023</f>
        <v>37367.159242427646</v>
      </c>
      <c r="FM118">
        <f>IF($A118&lt;=$FB$45,1,0)</f>
        <v>1</v>
      </c>
      <c r="GB118">
        <f>IF($GB$31&lt;=$GB$32,IF($A118&lt;=$GB$7,1,2),IF($A118&lt;=RUNG_BEDS_2,2,1))</f>
        <v>1</v>
      </c>
      <c r="GC118" s="5">
        <f>MIN(1,MAX(0,$GB$26-($A118-1)))</f>
        <v>1</v>
      </c>
      <c r="GD118" s="5">
        <f>$GB$25*(GC118+(1-GC118)*$GB$16)</f>
        <v>252.05322714681438</v>
      </c>
      <c r="GE118" s="13">
        <f>GD118*($GB$6+ACUTE_MARGIN)</f>
        <v>254573.7594182825</v>
      </c>
      <c r="GF118" s="13">
        <f>IF(GB118=1,$GB$31,$GB$32)</f>
        <v>152394.16214437486</v>
      </c>
      <c r="GG118" s="13">
        <f>GE118-GF118</f>
        <v>102179.59727390765</v>
      </c>
      <c r="GH118" s="13">
        <f>GH117+GG118</f>
        <v>3576285.9045867673</v>
      </c>
      <c r="GI118">
        <f>IF(GH118=MAX($GH$83:$GH$483),$A118,0)</f>
        <v>0</v>
      </c>
      <c r="GJ118">
        <f>IF(GE118&lt;GF118,$A118,B_MAX+1)</f>
        <v>401.0</v>
      </c>
      <c r="GK118" s="13">
        <f>IF(GB118=1,$GB$35,$GB$36)</f>
        <v>0</v>
      </c>
      <c r="GL118" s="13">
        <f>OCC_DAYS*$GB$41*R_NF_2023-GD118*MCD_SHARE_FREED*R_WAIT_2023</f>
        <v>37367.159242427646</v>
      </c>
      <c r="GM118">
        <f>IF($A118&lt;=$GB$45,1,0)</f>
        <v>1</v>
      </c>
      <c r="HB118">
        <f>IF($HB$31&lt;=$HB$32,IF($A118&lt;=$HB$7,1,2),IF($A118&lt;=RUNG_BEDS_2,2,1))</f>
        <v>1</v>
      </c>
      <c r="HC118" s="5">
        <f>MIN(1,MAX(0,$HB$26-($A118-1)))</f>
        <v>1</v>
      </c>
      <c r="HD118" s="5">
        <f>$HB$25*(HC118+(1-HC118)*$HB$16)</f>
        <v>252.05322714681438</v>
      </c>
      <c r="HE118" s="13">
        <f>HD118*($HB$6+ACUTE_MARGIN)</f>
        <v>254573.7594182825</v>
      </c>
      <c r="HF118" s="13">
        <f>IF(HB118=1,$HB$31,$HB$32)</f>
        <v>152456.2970814058</v>
      </c>
      <c r="HG118" s="13">
        <f>HE118-HF118</f>
        <v>102117.46233687672</v>
      </c>
      <c r="HH118" s="13">
        <f>HH117+HG118</f>
        <v>3574111.181790687</v>
      </c>
      <c r="HI118">
        <f>IF(HH118=MAX($HH$83:$HH$483),$A118,0)</f>
        <v>0</v>
      </c>
      <c r="HJ118">
        <f>IF(HE118&lt;HF118,$A118,B_MAX+1)</f>
        <v>401.0</v>
      </c>
      <c r="HK118" s="13">
        <f>IF(HB118=1,$HB$35,$HB$36)</f>
        <v>0</v>
      </c>
      <c r="HL118" s="13">
        <f>OCC_DAYS*$HB$41*R_NF_2023-HD118*MCD_SHARE_FREED*R_WAIT_2023</f>
        <v>37367.159242427646</v>
      </c>
      <c r="HM118">
        <f>IF($A118&lt;=$HB$45,1,0)</f>
        <v>1</v>
      </c>
      <c r="IB118">
        <f>IF($IB$31&lt;=$IB$32,IF($A118&lt;=$IB$7,1,2),IF($A118&lt;=RUNG_BEDS_2,2,1))</f>
        <v>1</v>
      </c>
      <c r="IC118" s="5">
        <f>MIN(1,MAX(0,$IB$26-($A118-1)))</f>
        <v>1</v>
      </c>
      <c r="ID118" s="5">
        <f>$IB$25*(IC118+(1-IC118)*$IB$16)</f>
        <v>252.05322714681438</v>
      </c>
      <c r="IE118" s="13">
        <f>ID118*($IB$6+ACUTE_MARGIN)</f>
        <v>254573.7594182825</v>
      </c>
      <c r="IF118" s="13">
        <f>IF(IB118=1,$IB$31,$IB$32)</f>
        <v>152734.9994534971</v>
      </c>
      <c r="IG118" s="13">
        <f>IE118-IF118</f>
        <v>101838.75996478542</v>
      </c>
      <c r="IH118" s="13">
        <f>IH117+IG118</f>
        <v>3564356.5987674925</v>
      </c>
      <c r="II118">
        <f>IF(IH118=MAX($IH$83:$IH$483),$A118,0)</f>
        <v>0</v>
      </c>
      <c r="IJ118">
        <f>IF(IE118&lt;IF118,$A118,B_MAX+1)</f>
        <v>401.0</v>
      </c>
      <c r="IK118" s="13">
        <f>IF(IB118=1,$IB$35,$IB$36)</f>
        <v>0</v>
      </c>
      <c r="IL118" s="13">
        <f>OCC_DAYS*$IB$41*R_NF_2023-ID118*MCD_SHARE_FREED*R_WAIT_2023</f>
        <v>37367.159242427646</v>
      </c>
      <c r="IM118">
        <f>IF($A118&lt;=$IB$45,1,0)</f>
        <v>1</v>
      </c>
      <c r="JB118">
        <f>IF($JB$31&lt;=$JB$32,IF($A118&lt;=$JB$7,1,2),IF($A118&lt;=RUNG_BEDS_2,2,1))</f>
        <v>1</v>
      </c>
      <c r="JC118" s="5">
        <f>MIN(1,MAX(0,$JB$26-($A118-1)))</f>
        <v>1</v>
      </c>
      <c r="JD118" s="5">
        <f>$JB$25*(JC118+(1-JC118)*$JB$16)</f>
        <v>252.05322714681438</v>
      </c>
      <c r="JE118" s="13">
        <f>JD118*($JB$6+ACUTE_MARGIN)</f>
        <v>254573.7594182825</v>
      </c>
      <c r="JF118" s="13">
        <f>IF(JB118=1,$JB$31,$JB$32)</f>
        <v>152394.16214437486</v>
      </c>
      <c r="JG118" s="13">
        <f>JE118-JF118</f>
        <v>102179.59727390765</v>
      </c>
      <c r="JH118" s="13">
        <f>JH117+JG118</f>
        <v>3576285.9045867673</v>
      </c>
      <c r="JI118">
        <f>IF(JH118=MAX($JH$83:$JH$483),$A118,0)</f>
        <v>0</v>
      </c>
      <c r="JJ118">
        <f>IF(JE118&lt;JF118,$A118,B_MAX+1)</f>
        <v>401.0</v>
      </c>
      <c r="JK118" s="13">
        <f>IF(JB118=1,$JB$35,$JB$36)</f>
        <v>0</v>
      </c>
      <c r="JL118" s="13">
        <f>OCC_DAYS*$JB$41*R_NF_2023-JD118*MCD_SHARE_FREED*R_WAIT_2023</f>
        <v>37367.159242427646</v>
      </c>
      <c r="JM118">
        <f>IF($A118&lt;=$JB$45,1,0)</f>
        <v>1</v>
      </c>
      <c r="KB118">
        <f>IF($KB$31&lt;=$KB$32,IF($A118&lt;=$KB$7,1,2),IF($A118&lt;=RUNG_BEDS_2,2,1))</f>
        <v>1</v>
      </c>
      <c r="KC118" s="5">
        <f>MIN(1,MAX(0,$KB$26-($A118-1)))</f>
        <v>1</v>
      </c>
      <c r="KD118" s="5">
        <f>$KB$25*(KC118+(1-KC118)*$KB$16)</f>
        <v>126.02661357340719</v>
      </c>
      <c r="KE118" s="13">
        <f>KD118*($KB$6+ACUTE_MARGIN)</f>
        <v>127286.87970914126</v>
      </c>
      <c r="KF118" s="13">
        <f>IF(KB118=1,$KB$31,$KB$32)</f>
        <v>152394.16214437486</v>
      </c>
      <c r="KG118" s="13">
        <f>KE118-KF118</f>
        <v>-25107.282435233603</v>
      </c>
      <c r="KH118" s="13">
        <f>KH117+KG118</f>
        <v>-878754.8852331757</v>
      </c>
      <c r="KI118">
        <f>IF(KH118=MAX($KH$83:$KH$483),$A118,0)</f>
        <v>0</v>
      </c>
      <c r="KJ118">
        <f>IF(KE118&lt;KF118,$A118,B_MAX+1)</f>
        <v>35</v>
      </c>
      <c r="KK118" s="13">
        <f>IF(KB118=1,$KB$35,$KB$36)</f>
        <v>0</v>
      </c>
      <c r="KL118" s="13">
        <f>OCC_DAYS*$KB$41*R_NF_2023-KD118*MCD_SHARE_FREED*R_WAIT_2023</f>
        <v>94673.82103225985</v>
      </c>
      <c r="KM118">
        <f>IF($A118&lt;=$KB$45,1,0)</f>
        <v>0</v>
      </c>
      <c r="LB118">
        <f>IF($LB$31&lt;=$LB$32,IF($A118&lt;=$LB$7,1,2),IF($A118&lt;=RUNG_BEDS_2,2,1))</f>
        <v>1</v>
      </c>
      <c r="LC118" s="5">
        <f>MIN(1,MAX(0,$LB$26-($A118-1)))</f>
        <v>1</v>
      </c>
      <c r="LD118" s="5">
        <f>$LB$25*(LC118+(1-LC118)*$LB$16)</f>
        <v>84.01774238227146</v>
      </c>
      <c r="LE118" s="13">
        <f>LD118*($LB$6+ACUTE_MARGIN)</f>
        <v>84857.91980609419</v>
      </c>
      <c r="LF118" s="13">
        <f>IF(LB118=1,$LB$31,$LB$32)</f>
        <v>152394.16214437486</v>
      </c>
      <c r="LG118" s="13">
        <f>LE118-LF118</f>
        <v>-67536.24233828067</v>
      </c>
      <c r="LH118" s="13">
        <f>LH117+LG118</f>
        <v>-2363768.4818398235</v>
      </c>
      <c r="LI118">
        <f>IF(LH118=MAX($LH$83:$LH$483),$A118,0)</f>
        <v>0</v>
      </c>
      <c r="LJ118">
        <f>IF(LE118&lt;LF118,$A118,B_MAX+1)</f>
        <v>35</v>
      </c>
      <c r="LK118" s="13">
        <f>IF(LB118=1,$LB$35,$LB$36)</f>
        <v>0</v>
      </c>
      <c r="LL118" s="13">
        <f>OCC_DAYS*$LB$41*R_NF_2023-LD118*MCD_SHARE_FREED*R_WAIT_2023</f>
        <v>113776.04162887059</v>
      </c>
      <c r="LM118">
        <f>IF($A118&lt;=$LB$45,1,0)</f>
        <v>0</v>
      </c>
      <c r="MB118">
        <f>IF($MB$31&lt;=$MB$32,IF($A118&lt;=$MB$7,1,2),IF($A118&lt;=RUNG_BEDS_2,2,1))</f>
        <v>1</v>
      </c>
      <c r="MC118" s="5">
        <f>MIN(1,MAX(0,$MB$26-($A118-1)))</f>
        <v>1</v>
      </c>
      <c r="MD118" s="5">
        <f>$MB$25*(MC118+(1-MC118)*$MB$16)</f>
        <v>213.44610951008647</v>
      </c>
      <c r="ME118" s="13">
        <f>MD118*($MB$6+ACUTE_MARGIN)</f>
        <v>215580.57060518733</v>
      </c>
      <c r="MF118" s="13">
        <f>IF(MB118=1,$MB$31,$MB$32)</f>
        <v>152394.16214437486</v>
      </c>
      <c r="MG118" s="13">
        <f>ME118-MF118</f>
        <v>63186.40846081247</v>
      </c>
      <c r="MH118" s="13">
        <f>MH117+MG118</f>
        <v>2211524.296128435</v>
      </c>
      <c r="MI118">
        <f>IF(MH118=MAX($MH$83:$MH$483),$A118,0)</f>
        <v>0</v>
      </c>
      <c r="MJ118">
        <f>IF(ME118&lt;MF118,$A118,B_MAX+1)</f>
        <v>401.0</v>
      </c>
      <c r="MK118" s="13">
        <f>IF(MB118=1,$MB$35,$MB$36)</f>
        <v>0</v>
      </c>
      <c r="ML118" s="13">
        <f>OCC_DAYS*$MB$41*R_NF_2023-MD118*MCD_SHARE_FREED*R_WAIT_2023</f>
        <v>54922.538779778624</v>
      </c>
      <c r="MM118">
        <f>IF($A118&lt;=$MB$45,1,0)</f>
        <v>1</v>
      </c>
      <c r="NB118">
        <f>IF($NB$31&lt;=$NB$32,IF($A118&lt;=$NB$7,1,2),IF($A118&lt;=RUNG_BEDS_2,2,1))</f>
        <v>1</v>
      </c>
      <c r="NC118" s="5">
        <f>MIN(1,MAX(0,$NB$26-($A118-1)))</f>
        <v>1</v>
      </c>
      <c r="ND118" s="5">
        <f>$NB$25*(NC118+(1-NC118)*$NB$16)</f>
        <v>252.05322714681438</v>
      </c>
      <c r="NE118" s="13">
        <f>ND118*($NB$6+ACUTE_MARGIN)</f>
        <v>254573.7594182825</v>
      </c>
      <c r="NF118" s="13">
        <f>IF(NB118=1,$NB$31,$NB$32)</f>
        <v>152394.16214437486</v>
      </c>
      <c r="NG118" s="13">
        <f>NE118-NF118</f>
        <v>102179.59727390765</v>
      </c>
      <c r="NH118" s="13">
        <f>NH117+NG118</f>
        <v>3576285.9045867673</v>
      </c>
      <c r="NI118">
        <f>IF(NH118=MAX($NH$83:$NH$483),$A118,0)</f>
        <v>0</v>
      </c>
      <c r="NJ118">
        <f>IF(NE118&lt;NF118,$A118,B_MAX+1)</f>
        <v>401.0</v>
      </c>
      <c r="NK118" s="13">
        <f>IF(NB118=1,$NB$35,$NB$36)</f>
        <v>0</v>
      </c>
      <c r="NL118" s="13">
        <f>OCC_DAYS*$NB$41*R_NF_2023-ND118*MCD_SHARE_FREED*R_WAIT_2023</f>
        <v>37367.159242427646</v>
      </c>
      <c r="NM118">
        <f>IF($A118&lt;=$NB$45,1,0)</f>
        <v>1</v>
      </c>
      <c r="OB118">
        <f>IF($OB$31&lt;=$OB$32,IF($A118&lt;=$OB$7,1,2),IF($A118&lt;=RUNG_BEDS_2,2,1))</f>
        <v>1</v>
      </c>
      <c r="OC118" s="5">
        <f>MIN(1,MAX(0,$OB$26-($A118-1)))</f>
        <v>1</v>
      </c>
      <c r="OD118" s="5">
        <f>$OB$25*(OC118+(1-OC118)*$OB$16)</f>
        <v>252.05322714681438</v>
      </c>
      <c r="OE118" s="13">
        <f>OD118*($OB$6+ACUTE_MARGIN)</f>
        <v>254573.7594182825</v>
      </c>
      <c r="OF118" s="13">
        <f>IF(OB118=1,$OB$31,$OB$32)</f>
        <v>152394.16214437486</v>
      </c>
      <c r="OG118" s="13">
        <f>OE118-OF118</f>
        <v>102179.59727390765</v>
      </c>
      <c r="OH118" s="13">
        <f>OH117+OG118</f>
        <v>3576285.9045867673</v>
      </c>
      <c r="OI118">
        <f>IF(OH118=MAX($OH$83:$OH$483),$A118,0)</f>
        <v>0</v>
      </c>
      <c r="OJ118">
        <f>IF(OE118&lt;OF118,$A118,B_MAX+1)</f>
        <v>401.0</v>
      </c>
      <c r="OK118" s="13">
        <f>IF(OB118=1,$OB$35,$OB$36)</f>
        <v>0</v>
      </c>
      <c r="OL118" s="13">
        <f>OCC_DAYS*$OB$41*R_NF_2023-OD118*MCD_SHARE_FREED*R_WAIT_2023</f>
        <v>37367.159242427646</v>
      </c>
      <c r="OM118">
        <f>IF($A118&lt;=$OB$45,1,0)</f>
        <v>1</v>
      </c>
    </row>
    <row r="119">
      <c r="A119" t="n">
        <v>36</v>
      </c>
      <c r="B119">
        <f>IF($B$31&lt;=$B$32,IF($A119&lt;=$B$7,1,2),IF($A119&lt;=RUNG_BEDS_2,2,1))</f>
        <v>1</v>
      </c>
      <c r="C119" s="5">
        <f>MIN(1,MAX(0,$B$26-($A119-1)))</f>
        <v>1</v>
      </c>
      <c r="D119" s="5">
        <f>$B$25*(C119+(1-C119)*$B$16)</f>
        <v>252.05322714681438</v>
      </c>
      <c r="E119" s="13">
        <f>D119*($B$6+ACUTE_MARGIN)</f>
        <v>254573.7594182825</v>
      </c>
      <c r="F119" s="13">
        <f>IF(B119=1,$B$31,$B$32)</f>
        <v>152394.16214437486</v>
      </c>
      <c r="G119" s="13">
        <f>E119-F119</f>
        <v>102179.59727390765</v>
      </c>
      <c r="H119" s="13">
        <f>H118+G119</f>
        <v>3678465.501860675</v>
      </c>
      <c r="I119">
        <f>IF(H119=MAX($H$83:$H$483),$A119,0)</f>
        <v>0</v>
      </c>
      <c r="J119">
        <f>IF(E119&lt;F119,$A119,B_MAX+1)</f>
        <v>401.0</v>
      </c>
      <c r="K119" s="13">
        <f>IF(B119=1,$B$35,$B$36)</f>
        <v>0</v>
      </c>
      <c r="L119" s="13">
        <f>OCC_DAYS*$B$41*R_NF_2023-D119*MCD_SHARE_FREED*R_WAIT_2023</f>
        <v>37367.159242427646</v>
      </c>
      <c r="M119">
        <f>IF($A119&lt;=$B$45,1,0)</f>
        <v>1</v>
      </c>
      <c r="AB119">
        <f>IF($AB$31&lt;=$AB$32,IF($A119&lt;=$AB$7,1,2),IF($A119&lt;=RUNG_BEDS_2,2,1))</f>
        <v>1</v>
      </c>
      <c r="AC119" s="5">
        <f>MIN(1,MAX(0,$AB$26-($A119-1)))</f>
        <v>1</v>
      </c>
      <c r="AD119" s="5">
        <f>$AB$25*(AC119+(1-AC119)*$AB$16)</f>
        <v>252.05322714681438</v>
      </c>
      <c r="AE119" s="13">
        <f>AD119*($AB$6+ACUTE_MARGIN)</f>
        <v>138629.2749307479</v>
      </c>
      <c r="AF119" s="13">
        <f>IF(AB119=1,$AB$31,$AB$32)</f>
        <v>152394.16214437486</v>
      </c>
      <c r="AG119" s="13">
        <f>AE119-AF119</f>
        <v>-13764.887213626964</v>
      </c>
      <c r="AH119" s="13">
        <f>AH118+AG119</f>
        <v>-495535.93969057116</v>
      </c>
      <c r="AI119">
        <f>IF(AH119=MAX($AH$83:$AH$483),$A119,0)</f>
        <v>0</v>
      </c>
      <c r="AJ119">
        <f>IF(AE119&lt;AF119,$A119,B_MAX+1)</f>
        <v>36</v>
      </c>
      <c r="AK119" s="13">
        <f>IF(AB119=1,$AB$35,$AB$36)</f>
        <v>0</v>
      </c>
      <c r="AL119" s="13">
        <f>OCC_DAYS*$AB$41*R_NF_2023-AD119*MCD_SHARE_FREED*R_WAIT_2023</f>
        <v>37367.159242427646</v>
      </c>
      <c r="AM119">
        <f>IF($A119&lt;=$AB$45,1,0)</f>
        <v>0</v>
      </c>
      <c r="BB119">
        <f>IF($BB$31&lt;=$BB$32,IF($A119&lt;=$BB$7,1,2),IF($A119&lt;=RUNG_BEDS_2,2,1))</f>
        <v>1</v>
      </c>
      <c r="BC119" s="5">
        <f>MIN(1,MAX(0,$BB$26-($A119-1)))</f>
        <v>1</v>
      </c>
      <c r="BD119" s="5">
        <f>$BB$25*(BC119+(1-BC119)*$BB$16)</f>
        <v>252.05322714681438</v>
      </c>
      <c r="BE119" s="13">
        <f>BD119*($BB$6+ACUTE_MARGIN)</f>
        <v>370518.24390581716</v>
      </c>
      <c r="BF119" s="13">
        <f>IF(BB119=1,$BB$31,$BB$32)</f>
        <v>152394.16214437486</v>
      </c>
      <c r="BG119" s="13">
        <f>BE119-BF119</f>
        <v>218124.0817614423</v>
      </c>
      <c r="BH119" s="13">
        <f>BH118+BG119</f>
        <v>7852466.943411918</v>
      </c>
      <c r="BI119">
        <f>IF(BH119=MAX($BH$83:$BH$483),$A119,0)</f>
        <v>0</v>
      </c>
      <c r="BJ119">
        <f>IF(BE119&lt;BF119,$A119,B_MAX+1)</f>
        <v>401.0</v>
      </c>
      <c r="BK119" s="13">
        <f>IF(BB119=1,$BB$35,$BB$36)</f>
        <v>0</v>
      </c>
      <c r="BL119" s="13">
        <f>OCC_DAYS*$BB$41*R_NF_2023-BD119*MCD_SHARE_FREED*R_WAIT_2023</f>
        <v>37367.159242427646</v>
      </c>
      <c r="BM119">
        <f>IF($A119&lt;=$BB$45,1,0)</f>
        <v>1</v>
      </c>
      <c r="CB119">
        <f>IF($CB$31&lt;=$CB$32,IF($A119&lt;=$CB$7,1,2),IF($A119&lt;=RUNG_BEDS_2,2,1))</f>
        <v>2</v>
      </c>
      <c r="CC119" s="5">
        <f>MIN(1,MAX(0,$CB$26-($A119-1)))</f>
        <v>1</v>
      </c>
      <c r="CD119" s="5">
        <f>$CB$25*(CC119+(1-CC119)*$CB$16)</f>
        <v>252.05322714681438</v>
      </c>
      <c r="CE119" s="13">
        <f>CD119*($CB$6+ACUTE_MARGIN)</f>
        <v>254573.7594182825</v>
      </c>
      <c r="CF119" s="13">
        <f>IF(CB119=1,$CB$31,$CB$32)</f>
        <v>160718.36940738867</v>
      </c>
      <c r="CG119" s="13">
        <f>CE119-CF119</f>
        <v>93855.39001089384</v>
      </c>
      <c r="CH119" s="13">
        <f>CH118+CG119</f>
        <v>3378794.0403921776</v>
      </c>
      <c r="CI119">
        <f>IF(CH119=MAX($CH$83:$CH$483),$A119,0)</f>
        <v>0</v>
      </c>
      <c r="CJ119">
        <f>IF(CE119&lt;CF119,$A119,B_MAX+1)</f>
        <v>401.0</v>
      </c>
      <c r="CK119" s="13">
        <f>IF(CB119=1,$CB$35,$CB$36)</f>
        <v>1560.1194073886782</v>
      </c>
      <c r="CL119" s="13">
        <f>OCC_DAYS*$CB$41*R_NF_2023-CD119*MCD_SHARE_FREED*R_WAIT_2023</f>
        <v>37367.159242427646</v>
      </c>
      <c r="CM119">
        <f>IF($A119&lt;=$CB$45,1,0)</f>
        <v>1</v>
      </c>
      <c r="DB119">
        <f>IF($DB$31&lt;=$DB$32,IF($A119&lt;=$DB$7,1,2),IF($A119&lt;=RUNG_BEDS_2,2,1))</f>
        <v>1</v>
      </c>
      <c r="DC119" s="5">
        <f>MIN(1,MAX(0,$DB$26-($A119-1)))</f>
        <v>1</v>
      </c>
      <c r="DD119" s="5">
        <f>$DB$25*(DC119+(1-DC119)*$DB$16)</f>
        <v>252.05322714681438</v>
      </c>
      <c r="DE119" s="13">
        <f>DD119*($DB$6+ACUTE_MARGIN)</f>
        <v>254573.7594182825</v>
      </c>
      <c r="DF119" s="13">
        <f>IF(DB119=1,$DB$31,$DB$32)</f>
        <v>152394.16214437486</v>
      </c>
      <c r="DG119" s="13">
        <f>DE119-DF119</f>
        <v>102179.59727390765</v>
      </c>
      <c r="DH119" s="13">
        <f>DH118+DG119</f>
        <v>3678465.501860675</v>
      </c>
      <c r="DI119">
        <f>IF(DH119=MAX($DH$83:$DH$483),$A119,0)</f>
        <v>0</v>
      </c>
      <c r="DJ119">
        <f>IF(DE119&lt;DF119,$A119,B_MAX+1)</f>
        <v>401.0</v>
      </c>
      <c r="DK119" s="13">
        <f>IF(DB119=1,$DB$35,$DB$36)</f>
        <v>0</v>
      </c>
      <c r="DL119" s="13">
        <f>OCC_DAYS*$DB$41*R_NF_2023-DD119*MCD_SHARE_FREED*R_WAIT_2023</f>
        <v>37367.159242427646</v>
      </c>
      <c r="DM119">
        <f>IF($A119&lt;=$DB$45,1,0)</f>
        <v>1</v>
      </c>
      <c r="EB119">
        <f>IF($EB$31&lt;=$EB$32,IF($A119&lt;=$EB$7,1,2),IF($A119&lt;=RUNG_BEDS_2,2,1))</f>
        <v>1</v>
      </c>
      <c r="EC119" s="5">
        <f>MIN(1,MAX(0,$EB$26-($A119-1)))</f>
        <v>1</v>
      </c>
      <c r="ED119" s="5">
        <f>$EB$25*(EC119+(1-EC119)*$EB$16)</f>
        <v>252.05322714681438</v>
      </c>
      <c r="EE119" s="13">
        <f>ED119*($EB$6+ACUTE_MARGIN)</f>
        <v>254573.7594182825</v>
      </c>
      <c r="EF119" s="13">
        <f>IF(EB119=1,$EB$31,$EB$32)</f>
        <v>152394.16214437486</v>
      </c>
      <c r="EG119" s="13">
        <f>EE119-EF119</f>
        <v>102179.59727390765</v>
      </c>
      <c r="EH119" s="13">
        <f>EH118+EG119</f>
        <v>3678465.501860675</v>
      </c>
      <c r="EI119">
        <f>IF(EH119=MAX($EH$83:$EH$483),$A119,0)</f>
        <v>0</v>
      </c>
      <c r="EJ119">
        <f>IF(EE119&lt;EF119,$A119,B_MAX+1)</f>
        <v>401.0</v>
      </c>
      <c r="EK119" s="13">
        <f>IF(EB119=1,$EB$35,$EB$36)</f>
        <v>0</v>
      </c>
      <c r="EL119" s="13">
        <f>OCC_DAYS*$EB$41*R_NF_2023-ED119*MCD_SHARE_FREED*R_WAIT_2023</f>
        <v>-63953.16263896705</v>
      </c>
      <c r="EM119">
        <f>IF($A119&lt;=$EB$45,1,0)</f>
        <v>1</v>
      </c>
      <c r="FB119">
        <f>IF($FB$31&lt;=$FB$32,IF($A119&lt;=$FB$7,1,2),IF($A119&lt;=RUNG_BEDS_2,2,1))</f>
        <v>1</v>
      </c>
      <c r="FC119" s="5">
        <f>MIN(1,MAX(0,$FB$26-($A119-1)))</f>
        <v>1</v>
      </c>
      <c r="FD119" s="5">
        <f>$FB$25*(FC119+(1-FC119)*$FB$16)</f>
        <v>252.05322714681438</v>
      </c>
      <c r="FE119" s="13">
        <f>FD119*($FB$6+ACUTE_MARGIN)</f>
        <v>254573.7594182825</v>
      </c>
      <c r="FF119" s="13">
        <f>IF(FB119=1,$FB$31,$FB$32)</f>
        <v>156636.04979437485</v>
      </c>
      <c r="FG119" s="13">
        <f>FE119-FF119</f>
        <v>97937.70962390766</v>
      </c>
      <c r="FH119" s="13">
        <f>FH118+FG119</f>
        <v>3525757.5464606765</v>
      </c>
      <c r="FI119">
        <f>IF(FH119=MAX($FH$83:$FH$483),$A119,0)</f>
        <v>0</v>
      </c>
      <c r="FJ119">
        <f>IF(FE119&lt;FF119,$A119,B_MAX+1)</f>
        <v>401.0</v>
      </c>
      <c r="FK119" s="13">
        <f>IF(FB119=1,$FB$35,$FB$36)</f>
        <v>0</v>
      </c>
      <c r="FL119" s="13">
        <f>OCC_DAYS*$FB$41*R_NF_2023-FD119*MCD_SHARE_FREED*R_WAIT_2023</f>
        <v>37367.159242427646</v>
      </c>
      <c r="FM119">
        <f>IF($A119&lt;=$FB$45,1,0)</f>
        <v>1</v>
      </c>
      <c r="GB119">
        <f>IF($GB$31&lt;=$GB$32,IF($A119&lt;=$GB$7,1,2),IF($A119&lt;=RUNG_BEDS_2,2,1))</f>
        <v>1</v>
      </c>
      <c r="GC119" s="5">
        <f>MIN(1,MAX(0,$GB$26-($A119-1)))</f>
        <v>1</v>
      </c>
      <c r="GD119" s="5">
        <f>$GB$25*(GC119+(1-GC119)*$GB$16)</f>
        <v>252.05322714681438</v>
      </c>
      <c r="GE119" s="13">
        <f>GD119*($GB$6+ACUTE_MARGIN)</f>
        <v>254573.7594182825</v>
      </c>
      <c r="GF119" s="13">
        <f>IF(GB119=1,$GB$31,$GB$32)</f>
        <v>152394.16214437486</v>
      </c>
      <c r="GG119" s="13">
        <f>GE119-GF119</f>
        <v>102179.59727390765</v>
      </c>
      <c r="GH119" s="13">
        <f>GH118+GG119</f>
        <v>3678465.501860675</v>
      </c>
      <c r="GI119">
        <f>IF(GH119=MAX($GH$83:$GH$483),$A119,0)</f>
        <v>0</v>
      </c>
      <c r="GJ119">
        <f>IF(GE119&lt;GF119,$A119,B_MAX+1)</f>
        <v>401.0</v>
      </c>
      <c r="GK119" s="13">
        <f>IF(GB119=1,$GB$35,$GB$36)</f>
        <v>0</v>
      </c>
      <c r="GL119" s="13">
        <f>OCC_DAYS*$GB$41*R_NF_2023-GD119*MCD_SHARE_FREED*R_WAIT_2023</f>
        <v>37367.159242427646</v>
      </c>
      <c r="GM119">
        <f>IF($A119&lt;=$GB$45,1,0)</f>
        <v>1</v>
      </c>
      <c r="HB119">
        <f>IF($HB$31&lt;=$HB$32,IF($A119&lt;=$HB$7,1,2),IF($A119&lt;=RUNG_BEDS_2,2,1))</f>
        <v>1</v>
      </c>
      <c r="HC119" s="5">
        <f>MIN(1,MAX(0,$HB$26-($A119-1)))</f>
        <v>1</v>
      </c>
      <c r="HD119" s="5">
        <f>$HB$25*(HC119+(1-HC119)*$HB$16)</f>
        <v>252.05322714681438</v>
      </c>
      <c r="HE119" s="13">
        <f>HD119*($HB$6+ACUTE_MARGIN)</f>
        <v>254573.7594182825</v>
      </c>
      <c r="HF119" s="13">
        <f>IF(HB119=1,$HB$31,$HB$32)</f>
        <v>152456.2970814058</v>
      </c>
      <c r="HG119" s="13">
        <f>HE119-HF119</f>
        <v>102117.46233687672</v>
      </c>
      <c r="HH119" s="13">
        <f>HH118+HG119</f>
        <v>3676228.644127564</v>
      </c>
      <c r="HI119">
        <f>IF(HH119=MAX($HH$83:$HH$483),$A119,0)</f>
        <v>0</v>
      </c>
      <c r="HJ119">
        <f>IF(HE119&lt;HF119,$A119,B_MAX+1)</f>
        <v>401.0</v>
      </c>
      <c r="HK119" s="13">
        <f>IF(HB119=1,$HB$35,$HB$36)</f>
        <v>0</v>
      </c>
      <c r="HL119" s="13">
        <f>OCC_DAYS*$HB$41*R_NF_2023-HD119*MCD_SHARE_FREED*R_WAIT_2023</f>
        <v>37367.159242427646</v>
      </c>
      <c r="HM119">
        <f>IF($A119&lt;=$HB$45,1,0)</f>
        <v>1</v>
      </c>
      <c r="IB119">
        <f>IF($IB$31&lt;=$IB$32,IF($A119&lt;=$IB$7,1,2),IF($A119&lt;=RUNG_BEDS_2,2,1))</f>
        <v>1</v>
      </c>
      <c r="IC119" s="5">
        <f>MIN(1,MAX(0,$IB$26-($A119-1)))</f>
        <v>1</v>
      </c>
      <c r="ID119" s="5">
        <f>$IB$25*(IC119+(1-IC119)*$IB$16)</f>
        <v>252.05322714681438</v>
      </c>
      <c r="IE119" s="13">
        <f>ID119*($IB$6+ACUTE_MARGIN)</f>
        <v>254573.7594182825</v>
      </c>
      <c r="IF119" s="13">
        <f>IF(IB119=1,$IB$31,$IB$32)</f>
        <v>152734.9994534971</v>
      </c>
      <c r="IG119" s="13">
        <f>IE119-IF119</f>
        <v>101838.75996478542</v>
      </c>
      <c r="IH119" s="13">
        <f>IH118+IG119</f>
        <v>3666195.358732278</v>
      </c>
      <c r="II119">
        <f>IF(IH119=MAX($IH$83:$IH$483),$A119,0)</f>
        <v>0</v>
      </c>
      <c r="IJ119">
        <f>IF(IE119&lt;IF119,$A119,B_MAX+1)</f>
        <v>401.0</v>
      </c>
      <c r="IK119" s="13">
        <f>IF(IB119=1,$IB$35,$IB$36)</f>
        <v>0</v>
      </c>
      <c r="IL119" s="13">
        <f>OCC_DAYS*$IB$41*R_NF_2023-ID119*MCD_SHARE_FREED*R_WAIT_2023</f>
        <v>37367.159242427646</v>
      </c>
      <c r="IM119">
        <f>IF($A119&lt;=$IB$45,1,0)</f>
        <v>1</v>
      </c>
      <c r="JB119">
        <f>IF($JB$31&lt;=$JB$32,IF($A119&lt;=$JB$7,1,2),IF($A119&lt;=RUNG_BEDS_2,2,1))</f>
        <v>1</v>
      </c>
      <c r="JC119" s="5">
        <f>MIN(1,MAX(0,$JB$26-($A119-1)))</f>
        <v>1</v>
      </c>
      <c r="JD119" s="5">
        <f>$JB$25*(JC119+(1-JC119)*$JB$16)</f>
        <v>252.05322714681438</v>
      </c>
      <c r="JE119" s="13">
        <f>JD119*($JB$6+ACUTE_MARGIN)</f>
        <v>254573.7594182825</v>
      </c>
      <c r="JF119" s="13">
        <f>IF(JB119=1,$JB$31,$JB$32)</f>
        <v>152394.16214437486</v>
      </c>
      <c r="JG119" s="13">
        <f>JE119-JF119</f>
        <v>102179.59727390765</v>
      </c>
      <c r="JH119" s="13">
        <f>JH118+JG119</f>
        <v>3678465.501860675</v>
      </c>
      <c r="JI119">
        <f>IF(JH119=MAX($JH$83:$JH$483),$A119,0)</f>
        <v>0</v>
      </c>
      <c r="JJ119">
        <f>IF(JE119&lt;JF119,$A119,B_MAX+1)</f>
        <v>401.0</v>
      </c>
      <c r="JK119" s="13">
        <f>IF(JB119=1,$JB$35,$JB$36)</f>
        <v>0</v>
      </c>
      <c r="JL119" s="13">
        <f>OCC_DAYS*$JB$41*R_NF_2023-JD119*MCD_SHARE_FREED*R_WAIT_2023</f>
        <v>37367.159242427646</v>
      </c>
      <c r="JM119">
        <f>IF($A119&lt;=$JB$45,1,0)</f>
        <v>1</v>
      </c>
      <c r="KB119">
        <f>IF($KB$31&lt;=$KB$32,IF($A119&lt;=$KB$7,1,2),IF($A119&lt;=RUNG_BEDS_2,2,1))</f>
        <v>1</v>
      </c>
      <c r="KC119" s="5">
        <f>MIN(1,MAX(0,$KB$26-($A119-1)))</f>
        <v>1</v>
      </c>
      <c r="KD119" s="5">
        <f>$KB$25*(KC119+(1-KC119)*$KB$16)</f>
        <v>126.02661357340719</v>
      </c>
      <c r="KE119" s="13">
        <f>KD119*($KB$6+ACUTE_MARGIN)</f>
        <v>127286.87970914126</v>
      </c>
      <c r="KF119" s="13">
        <f>IF(KB119=1,$KB$31,$KB$32)</f>
        <v>152394.16214437486</v>
      </c>
      <c r="KG119" s="13">
        <f>KE119-KF119</f>
        <v>-25107.282435233603</v>
      </c>
      <c r="KH119" s="13">
        <f>KH118+KG119</f>
        <v>-903862.1676684093</v>
      </c>
      <c r="KI119">
        <f>IF(KH119=MAX($KH$83:$KH$483),$A119,0)</f>
        <v>0</v>
      </c>
      <c r="KJ119">
        <f>IF(KE119&lt;KF119,$A119,B_MAX+1)</f>
        <v>36</v>
      </c>
      <c r="KK119" s="13">
        <f>IF(KB119=1,$KB$35,$KB$36)</f>
        <v>0</v>
      </c>
      <c r="KL119" s="13">
        <f>OCC_DAYS*$KB$41*R_NF_2023-KD119*MCD_SHARE_FREED*R_WAIT_2023</f>
        <v>94673.82103225985</v>
      </c>
      <c r="KM119">
        <f>IF($A119&lt;=$KB$45,1,0)</f>
        <v>0</v>
      </c>
      <c r="LB119">
        <f>IF($LB$31&lt;=$LB$32,IF($A119&lt;=$LB$7,1,2),IF($A119&lt;=RUNG_BEDS_2,2,1))</f>
        <v>1</v>
      </c>
      <c r="LC119" s="5">
        <f>MIN(1,MAX(0,$LB$26-($A119-1)))</f>
        <v>1</v>
      </c>
      <c r="LD119" s="5">
        <f>$LB$25*(LC119+(1-LC119)*$LB$16)</f>
        <v>84.01774238227146</v>
      </c>
      <c r="LE119" s="13">
        <f>LD119*($LB$6+ACUTE_MARGIN)</f>
        <v>84857.91980609419</v>
      </c>
      <c r="LF119" s="13">
        <f>IF(LB119=1,$LB$31,$LB$32)</f>
        <v>152394.16214437486</v>
      </c>
      <c r="LG119" s="13">
        <f>LE119-LF119</f>
        <v>-67536.24233828067</v>
      </c>
      <c r="LH119" s="13">
        <f>LH118+LG119</f>
        <v>-2431304.724178104</v>
      </c>
      <c r="LI119">
        <f>IF(LH119=MAX($LH$83:$LH$483),$A119,0)</f>
        <v>0</v>
      </c>
      <c r="LJ119">
        <f>IF(LE119&lt;LF119,$A119,B_MAX+1)</f>
        <v>36</v>
      </c>
      <c r="LK119" s="13">
        <f>IF(LB119=1,$LB$35,$LB$36)</f>
        <v>0</v>
      </c>
      <c r="LL119" s="13">
        <f>OCC_DAYS*$LB$41*R_NF_2023-LD119*MCD_SHARE_FREED*R_WAIT_2023</f>
        <v>113776.04162887059</v>
      </c>
      <c r="LM119">
        <f>IF($A119&lt;=$LB$45,1,0)</f>
        <v>0</v>
      </c>
      <c r="MB119">
        <f>IF($MB$31&lt;=$MB$32,IF($A119&lt;=$MB$7,1,2),IF($A119&lt;=RUNG_BEDS_2,2,1))</f>
        <v>1</v>
      </c>
      <c r="MC119" s="5">
        <f>MIN(1,MAX(0,$MB$26-($A119-1)))</f>
        <v>1</v>
      </c>
      <c r="MD119" s="5">
        <f>$MB$25*(MC119+(1-MC119)*$MB$16)</f>
        <v>213.44610951008647</v>
      </c>
      <c r="ME119" s="13">
        <f>MD119*($MB$6+ACUTE_MARGIN)</f>
        <v>215580.57060518733</v>
      </c>
      <c r="MF119" s="13">
        <f>IF(MB119=1,$MB$31,$MB$32)</f>
        <v>152394.16214437486</v>
      </c>
      <c r="MG119" s="13">
        <f>ME119-MF119</f>
        <v>63186.40846081247</v>
      </c>
      <c r="MH119" s="13">
        <f>MH118+MG119</f>
        <v>2274710.7045892477</v>
      </c>
      <c r="MI119">
        <f>IF(MH119=MAX($MH$83:$MH$483),$A119,0)</f>
        <v>0</v>
      </c>
      <c r="MJ119">
        <f>IF(ME119&lt;MF119,$A119,B_MAX+1)</f>
        <v>401.0</v>
      </c>
      <c r="MK119" s="13">
        <f>IF(MB119=1,$MB$35,$MB$36)</f>
        <v>0</v>
      </c>
      <c r="ML119" s="13">
        <f>OCC_DAYS*$MB$41*R_NF_2023-MD119*MCD_SHARE_FREED*R_WAIT_2023</f>
        <v>54922.538779778624</v>
      </c>
      <c r="MM119">
        <f>IF($A119&lt;=$MB$45,1,0)</f>
        <v>1</v>
      </c>
      <c r="NB119">
        <f>IF($NB$31&lt;=$NB$32,IF($A119&lt;=$NB$7,1,2),IF($A119&lt;=RUNG_BEDS_2,2,1))</f>
        <v>1</v>
      </c>
      <c r="NC119" s="5">
        <f>MIN(1,MAX(0,$NB$26-($A119-1)))</f>
        <v>1</v>
      </c>
      <c r="ND119" s="5">
        <f>$NB$25*(NC119+(1-NC119)*$NB$16)</f>
        <v>252.05322714681438</v>
      </c>
      <c r="NE119" s="13">
        <f>ND119*($NB$6+ACUTE_MARGIN)</f>
        <v>254573.7594182825</v>
      </c>
      <c r="NF119" s="13">
        <f>IF(NB119=1,$NB$31,$NB$32)</f>
        <v>152394.16214437486</v>
      </c>
      <c r="NG119" s="13">
        <f>NE119-NF119</f>
        <v>102179.59727390765</v>
      </c>
      <c r="NH119" s="13">
        <f>NH118+NG119</f>
        <v>3678465.501860675</v>
      </c>
      <c r="NI119">
        <f>IF(NH119=MAX($NH$83:$NH$483),$A119,0)</f>
        <v>0</v>
      </c>
      <c r="NJ119">
        <f>IF(NE119&lt;NF119,$A119,B_MAX+1)</f>
        <v>401.0</v>
      </c>
      <c r="NK119" s="13">
        <f>IF(NB119=1,$NB$35,$NB$36)</f>
        <v>0</v>
      </c>
      <c r="NL119" s="13">
        <f>OCC_DAYS*$NB$41*R_NF_2023-ND119*MCD_SHARE_FREED*R_WAIT_2023</f>
        <v>37367.159242427646</v>
      </c>
      <c r="NM119">
        <f>IF($A119&lt;=$NB$45,1,0)</f>
        <v>1</v>
      </c>
      <c r="OB119">
        <f>IF($OB$31&lt;=$OB$32,IF($A119&lt;=$OB$7,1,2),IF($A119&lt;=RUNG_BEDS_2,2,1))</f>
        <v>1</v>
      </c>
      <c r="OC119" s="5">
        <f>MIN(1,MAX(0,$OB$26-($A119-1)))</f>
        <v>1</v>
      </c>
      <c r="OD119" s="5">
        <f>$OB$25*(OC119+(1-OC119)*$OB$16)</f>
        <v>252.05322714681438</v>
      </c>
      <c r="OE119" s="13">
        <f>OD119*($OB$6+ACUTE_MARGIN)</f>
        <v>254573.7594182825</v>
      </c>
      <c r="OF119" s="13">
        <f>IF(OB119=1,$OB$31,$OB$32)</f>
        <v>152394.16214437486</v>
      </c>
      <c r="OG119" s="13">
        <f>OE119-OF119</f>
        <v>102179.59727390765</v>
      </c>
      <c r="OH119" s="13">
        <f>OH118+OG119</f>
        <v>3678465.501860675</v>
      </c>
      <c r="OI119">
        <f>IF(OH119=MAX($OH$83:$OH$483),$A119,0)</f>
        <v>0</v>
      </c>
      <c r="OJ119">
        <f>IF(OE119&lt;OF119,$A119,B_MAX+1)</f>
        <v>401.0</v>
      </c>
      <c r="OK119" s="13">
        <f>IF(OB119=1,$OB$35,$OB$36)</f>
        <v>0</v>
      </c>
      <c r="OL119" s="13">
        <f>OCC_DAYS*$OB$41*R_NF_2023-OD119*MCD_SHARE_FREED*R_WAIT_2023</f>
        <v>37367.159242427646</v>
      </c>
      <c r="OM119">
        <f>IF($A119&lt;=$OB$45,1,0)</f>
        <v>1</v>
      </c>
    </row>
    <row r="120">
      <c r="A120" t="n">
        <v>37</v>
      </c>
      <c r="B120">
        <f>IF($B$31&lt;=$B$32,IF($A120&lt;=$B$7,1,2),IF($A120&lt;=RUNG_BEDS_2,2,1))</f>
        <v>1</v>
      </c>
      <c r="C120" s="5">
        <f>MIN(1,MAX(0,$B$26-($A120-1)))</f>
        <v>1</v>
      </c>
      <c r="D120" s="5">
        <f>$B$25*(C120+(1-C120)*$B$16)</f>
        <v>252.05322714681438</v>
      </c>
      <c r="E120" s="13">
        <f>D120*($B$6+ACUTE_MARGIN)</f>
        <v>254573.7594182825</v>
      </c>
      <c r="F120" s="13">
        <f>IF(B120=1,$B$31,$B$32)</f>
        <v>152394.16214437486</v>
      </c>
      <c r="G120" s="13">
        <f>E120-F120</f>
        <v>102179.59727390765</v>
      </c>
      <c r="H120" s="13">
        <f>H119+G120</f>
        <v>3780645.0991345826</v>
      </c>
      <c r="I120">
        <f>IF(H120=MAX($H$83:$H$483),$A120,0)</f>
        <v>0</v>
      </c>
      <c r="J120">
        <f>IF(E120&lt;F120,$A120,B_MAX+1)</f>
        <v>401.0</v>
      </c>
      <c r="K120" s="13">
        <f>IF(B120=1,$B$35,$B$36)</f>
        <v>0</v>
      </c>
      <c r="L120" s="13">
        <f>OCC_DAYS*$B$41*R_NF_2023-D120*MCD_SHARE_FREED*R_WAIT_2023</f>
        <v>37367.159242427646</v>
      </c>
      <c r="M120">
        <f>IF($A120&lt;=$B$45,1,0)</f>
        <v>1</v>
      </c>
      <c r="AB120">
        <f>IF($AB$31&lt;=$AB$32,IF($A120&lt;=$AB$7,1,2),IF($A120&lt;=RUNG_BEDS_2,2,1))</f>
        <v>1</v>
      </c>
      <c r="AC120" s="5">
        <f>MIN(1,MAX(0,$AB$26-($A120-1)))</f>
        <v>1</v>
      </c>
      <c r="AD120" s="5">
        <f>$AB$25*(AC120+(1-AC120)*$AB$16)</f>
        <v>252.05322714681438</v>
      </c>
      <c r="AE120" s="13">
        <f>AD120*($AB$6+ACUTE_MARGIN)</f>
        <v>138629.2749307479</v>
      </c>
      <c r="AF120" s="13">
        <f>IF(AB120=1,$AB$31,$AB$32)</f>
        <v>152394.16214437486</v>
      </c>
      <c r="AG120" s="13">
        <f>AE120-AF120</f>
        <v>-13764.887213626964</v>
      </c>
      <c r="AH120" s="13">
        <f>AH119+AG120</f>
        <v>-509300.82690419815</v>
      </c>
      <c r="AI120">
        <f>IF(AH120=MAX($AH$83:$AH$483),$A120,0)</f>
        <v>0</v>
      </c>
      <c r="AJ120">
        <f>IF(AE120&lt;AF120,$A120,B_MAX+1)</f>
        <v>37</v>
      </c>
      <c r="AK120" s="13">
        <f>IF(AB120=1,$AB$35,$AB$36)</f>
        <v>0</v>
      </c>
      <c r="AL120" s="13">
        <f>OCC_DAYS*$AB$41*R_NF_2023-AD120*MCD_SHARE_FREED*R_WAIT_2023</f>
        <v>37367.159242427646</v>
      </c>
      <c r="AM120">
        <f>IF($A120&lt;=$AB$45,1,0)</f>
        <v>0</v>
      </c>
      <c r="BB120">
        <f>IF($BB$31&lt;=$BB$32,IF($A120&lt;=$BB$7,1,2),IF($A120&lt;=RUNG_BEDS_2,2,1))</f>
        <v>1</v>
      </c>
      <c r="BC120" s="5">
        <f>MIN(1,MAX(0,$BB$26-($A120-1)))</f>
        <v>1</v>
      </c>
      <c r="BD120" s="5">
        <f>$BB$25*(BC120+(1-BC120)*$BB$16)</f>
        <v>252.05322714681438</v>
      </c>
      <c r="BE120" s="13">
        <f>BD120*($BB$6+ACUTE_MARGIN)</f>
        <v>370518.24390581716</v>
      </c>
      <c r="BF120" s="13">
        <f>IF(BB120=1,$BB$31,$BB$32)</f>
        <v>152394.16214437486</v>
      </c>
      <c r="BG120" s="13">
        <f>BE120-BF120</f>
        <v>218124.0817614423</v>
      </c>
      <c r="BH120" s="13">
        <f>BH119+BG120</f>
        <v>8070591.0251733605</v>
      </c>
      <c r="BI120">
        <f>IF(BH120=MAX($BH$83:$BH$483),$A120,0)</f>
        <v>0</v>
      </c>
      <c r="BJ120">
        <f>IF(BE120&lt;BF120,$A120,B_MAX+1)</f>
        <v>401.0</v>
      </c>
      <c r="BK120" s="13">
        <f>IF(BB120=1,$BB$35,$BB$36)</f>
        <v>0</v>
      </c>
      <c r="BL120" s="13">
        <f>OCC_DAYS*$BB$41*R_NF_2023-BD120*MCD_SHARE_FREED*R_WAIT_2023</f>
        <v>37367.159242427646</v>
      </c>
      <c r="BM120">
        <f>IF($A120&lt;=$BB$45,1,0)</f>
        <v>1</v>
      </c>
      <c r="CB120">
        <f>IF($CB$31&lt;=$CB$32,IF($A120&lt;=$CB$7,1,2),IF($A120&lt;=RUNG_BEDS_2,2,1))</f>
        <v>2</v>
      </c>
      <c r="CC120" s="5">
        <f>MIN(1,MAX(0,$CB$26-($A120-1)))</f>
        <v>1</v>
      </c>
      <c r="CD120" s="5">
        <f>$CB$25*(CC120+(1-CC120)*$CB$16)</f>
        <v>252.05322714681438</v>
      </c>
      <c r="CE120" s="13">
        <f>CD120*($CB$6+ACUTE_MARGIN)</f>
        <v>254573.7594182825</v>
      </c>
      <c r="CF120" s="13">
        <f>IF(CB120=1,$CB$31,$CB$32)</f>
        <v>160718.36940738867</v>
      </c>
      <c r="CG120" s="13">
        <f>CE120-CF120</f>
        <v>93855.39001089384</v>
      </c>
      <c r="CH120" s="13">
        <f>CH119+CG120</f>
        <v>3472649.4304030715</v>
      </c>
      <c r="CI120">
        <f>IF(CH120=MAX($CH$83:$CH$483),$A120,0)</f>
        <v>0</v>
      </c>
      <c r="CJ120">
        <f>IF(CE120&lt;CF120,$A120,B_MAX+1)</f>
        <v>401.0</v>
      </c>
      <c r="CK120" s="13">
        <f>IF(CB120=1,$CB$35,$CB$36)</f>
        <v>1560.1194073886782</v>
      </c>
      <c r="CL120" s="13">
        <f>OCC_DAYS*$CB$41*R_NF_2023-CD120*MCD_SHARE_FREED*R_WAIT_2023</f>
        <v>37367.159242427646</v>
      </c>
      <c r="CM120">
        <f>IF($A120&lt;=$CB$45,1,0)</f>
        <v>1</v>
      </c>
      <c r="DB120">
        <f>IF($DB$31&lt;=$DB$32,IF($A120&lt;=$DB$7,1,2),IF($A120&lt;=RUNG_BEDS_2,2,1))</f>
        <v>1</v>
      </c>
      <c r="DC120" s="5">
        <f>MIN(1,MAX(0,$DB$26-($A120-1)))</f>
        <v>1</v>
      </c>
      <c r="DD120" s="5">
        <f>$DB$25*(DC120+(1-DC120)*$DB$16)</f>
        <v>252.05322714681438</v>
      </c>
      <c r="DE120" s="13">
        <f>DD120*($DB$6+ACUTE_MARGIN)</f>
        <v>254573.7594182825</v>
      </c>
      <c r="DF120" s="13">
        <f>IF(DB120=1,$DB$31,$DB$32)</f>
        <v>152394.16214437486</v>
      </c>
      <c r="DG120" s="13">
        <f>DE120-DF120</f>
        <v>102179.59727390765</v>
      </c>
      <c r="DH120" s="13">
        <f>DH119+DG120</f>
        <v>3780645.0991345826</v>
      </c>
      <c r="DI120">
        <f>IF(DH120=MAX($DH$83:$DH$483),$A120,0)</f>
        <v>0</v>
      </c>
      <c r="DJ120">
        <f>IF(DE120&lt;DF120,$A120,B_MAX+1)</f>
        <v>401.0</v>
      </c>
      <c r="DK120" s="13">
        <f>IF(DB120=1,$DB$35,$DB$36)</f>
        <v>0</v>
      </c>
      <c r="DL120" s="13">
        <f>OCC_DAYS*$DB$41*R_NF_2023-DD120*MCD_SHARE_FREED*R_WAIT_2023</f>
        <v>37367.159242427646</v>
      </c>
      <c r="DM120">
        <f>IF($A120&lt;=$DB$45,1,0)</f>
        <v>1</v>
      </c>
      <c r="EB120">
        <f>IF($EB$31&lt;=$EB$32,IF($A120&lt;=$EB$7,1,2),IF($A120&lt;=RUNG_BEDS_2,2,1))</f>
        <v>1</v>
      </c>
      <c r="EC120" s="5">
        <f>MIN(1,MAX(0,$EB$26-($A120-1)))</f>
        <v>1</v>
      </c>
      <c r="ED120" s="5">
        <f>$EB$25*(EC120+(1-EC120)*$EB$16)</f>
        <v>252.05322714681438</v>
      </c>
      <c r="EE120" s="13">
        <f>ED120*($EB$6+ACUTE_MARGIN)</f>
        <v>254573.7594182825</v>
      </c>
      <c r="EF120" s="13">
        <f>IF(EB120=1,$EB$31,$EB$32)</f>
        <v>152394.16214437486</v>
      </c>
      <c r="EG120" s="13">
        <f>EE120-EF120</f>
        <v>102179.59727390765</v>
      </c>
      <c r="EH120" s="13">
        <f>EH119+EG120</f>
        <v>3780645.0991345826</v>
      </c>
      <c r="EI120">
        <f>IF(EH120=MAX($EH$83:$EH$483),$A120,0)</f>
        <v>0</v>
      </c>
      <c r="EJ120">
        <f>IF(EE120&lt;EF120,$A120,B_MAX+1)</f>
        <v>401.0</v>
      </c>
      <c r="EK120" s="13">
        <f>IF(EB120=1,$EB$35,$EB$36)</f>
        <v>0</v>
      </c>
      <c r="EL120" s="13">
        <f>OCC_DAYS*$EB$41*R_NF_2023-ED120*MCD_SHARE_FREED*R_WAIT_2023</f>
        <v>-63953.16263896705</v>
      </c>
      <c r="EM120">
        <f>IF($A120&lt;=$EB$45,1,0)</f>
        <v>1</v>
      </c>
      <c r="FB120">
        <f>IF($FB$31&lt;=$FB$32,IF($A120&lt;=$FB$7,1,2),IF($A120&lt;=RUNG_BEDS_2,2,1))</f>
        <v>1</v>
      </c>
      <c r="FC120" s="5">
        <f>MIN(1,MAX(0,$FB$26-($A120-1)))</f>
        <v>1</v>
      </c>
      <c r="FD120" s="5">
        <f>$FB$25*(FC120+(1-FC120)*$FB$16)</f>
        <v>252.05322714681438</v>
      </c>
      <c r="FE120" s="13">
        <f>FD120*($FB$6+ACUTE_MARGIN)</f>
        <v>254573.7594182825</v>
      </c>
      <c r="FF120" s="13">
        <f>IF(FB120=1,$FB$31,$FB$32)</f>
        <v>156636.04979437485</v>
      </c>
      <c r="FG120" s="13">
        <f>FE120-FF120</f>
        <v>97937.70962390766</v>
      </c>
      <c r="FH120" s="13">
        <f>FH119+FG120</f>
        <v>3623695.256084584</v>
      </c>
      <c r="FI120">
        <f>IF(FH120=MAX($FH$83:$FH$483),$A120,0)</f>
        <v>0</v>
      </c>
      <c r="FJ120">
        <f>IF(FE120&lt;FF120,$A120,B_MAX+1)</f>
        <v>401.0</v>
      </c>
      <c r="FK120" s="13">
        <f>IF(FB120=1,$FB$35,$FB$36)</f>
        <v>0</v>
      </c>
      <c r="FL120" s="13">
        <f>OCC_DAYS*$FB$41*R_NF_2023-FD120*MCD_SHARE_FREED*R_WAIT_2023</f>
        <v>37367.159242427646</v>
      </c>
      <c r="FM120">
        <f>IF($A120&lt;=$FB$45,1,0)</f>
        <v>1</v>
      </c>
      <c r="GB120">
        <f>IF($GB$31&lt;=$GB$32,IF($A120&lt;=$GB$7,1,2),IF($A120&lt;=RUNG_BEDS_2,2,1))</f>
        <v>1</v>
      </c>
      <c r="GC120" s="5">
        <f>MIN(1,MAX(0,$GB$26-($A120-1)))</f>
        <v>1</v>
      </c>
      <c r="GD120" s="5">
        <f>$GB$25*(GC120+(1-GC120)*$GB$16)</f>
        <v>252.05322714681438</v>
      </c>
      <c r="GE120" s="13">
        <f>GD120*($GB$6+ACUTE_MARGIN)</f>
        <v>254573.7594182825</v>
      </c>
      <c r="GF120" s="13">
        <f>IF(GB120=1,$GB$31,$GB$32)</f>
        <v>152394.16214437486</v>
      </c>
      <c r="GG120" s="13">
        <f>GE120-GF120</f>
        <v>102179.59727390765</v>
      </c>
      <c r="GH120" s="13">
        <f>GH119+GG120</f>
        <v>3780645.0991345826</v>
      </c>
      <c r="GI120">
        <f>IF(GH120=MAX($GH$83:$GH$483),$A120,0)</f>
        <v>0</v>
      </c>
      <c r="GJ120">
        <f>IF(GE120&lt;GF120,$A120,B_MAX+1)</f>
        <v>401.0</v>
      </c>
      <c r="GK120" s="13">
        <f>IF(GB120=1,$GB$35,$GB$36)</f>
        <v>0</v>
      </c>
      <c r="GL120" s="13">
        <f>OCC_DAYS*$GB$41*R_NF_2023-GD120*MCD_SHARE_FREED*R_WAIT_2023</f>
        <v>37367.159242427646</v>
      </c>
      <c r="GM120">
        <f>IF($A120&lt;=$GB$45,1,0)</f>
        <v>1</v>
      </c>
      <c r="HB120">
        <f>IF($HB$31&lt;=$HB$32,IF($A120&lt;=$HB$7,1,2),IF($A120&lt;=RUNG_BEDS_2,2,1))</f>
        <v>1</v>
      </c>
      <c r="HC120" s="5">
        <f>MIN(1,MAX(0,$HB$26-($A120-1)))</f>
        <v>1</v>
      </c>
      <c r="HD120" s="5">
        <f>$HB$25*(HC120+(1-HC120)*$HB$16)</f>
        <v>252.05322714681438</v>
      </c>
      <c r="HE120" s="13">
        <f>HD120*($HB$6+ACUTE_MARGIN)</f>
        <v>254573.7594182825</v>
      </c>
      <c r="HF120" s="13">
        <f>IF(HB120=1,$HB$31,$HB$32)</f>
        <v>152456.2970814058</v>
      </c>
      <c r="HG120" s="13">
        <f>HE120-HF120</f>
        <v>102117.46233687672</v>
      </c>
      <c r="HH120" s="13">
        <f>HH119+HG120</f>
        <v>3778346.106464441</v>
      </c>
      <c r="HI120">
        <f>IF(HH120=MAX($HH$83:$HH$483),$A120,0)</f>
        <v>0</v>
      </c>
      <c r="HJ120">
        <f>IF(HE120&lt;HF120,$A120,B_MAX+1)</f>
        <v>401.0</v>
      </c>
      <c r="HK120" s="13">
        <f>IF(HB120=1,$HB$35,$HB$36)</f>
        <v>0</v>
      </c>
      <c r="HL120" s="13">
        <f>OCC_DAYS*$HB$41*R_NF_2023-HD120*MCD_SHARE_FREED*R_WAIT_2023</f>
        <v>37367.159242427646</v>
      </c>
      <c r="HM120">
        <f>IF($A120&lt;=$HB$45,1,0)</f>
        <v>1</v>
      </c>
      <c r="IB120">
        <f>IF($IB$31&lt;=$IB$32,IF($A120&lt;=$IB$7,1,2),IF($A120&lt;=RUNG_BEDS_2,2,1))</f>
        <v>1</v>
      </c>
      <c r="IC120" s="5">
        <f>MIN(1,MAX(0,$IB$26-($A120-1)))</f>
        <v>1</v>
      </c>
      <c r="ID120" s="5">
        <f>$IB$25*(IC120+(1-IC120)*$IB$16)</f>
        <v>252.05322714681438</v>
      </c>
      <c r="IE120" s="13">
        <f>ID120*($IB$6+ACUTE_MARGIN)</f>
        <v>254573.7594182825</v>
      </c>
      <c r="IF120" s="13">
        <f>IF(IB120=1,$IB$31,$IB$32)</f>
        <v>152734.9994534971</v>
      </c>
      <c r="IG120" s="13">
        <f>IE120-IF120</f>
        <v>101838.75996478542</v>
      </c>
      <c r="IH120" s="13">
        <f>IH119+IG120</f>
        <v>3768034.1186970635</v>
      </c>
      <c r="II120">
        <f>IF(IH120=MAX($IH$83:$IH$483),$A120,0)</f>
        <v>0</v>
      </c>
      <c r="IJ120">
        <f>IF(IE120&lt;IF120,$A120,B_MAX+1)</f>
        <v>401.0</v>
      </c>
      <c r="IK120" s="13">
        <f>IF(IB120=1,$IB$35,$IB$36)</f>
        <v>0</v>
      </c>
      <c r="IL120" s="13">
        <f>OCC_DAYS*$IB$41*R_NF_2023-ID120*MCD_SHARE_FREED*R_WAIT_2023</f>
        <v>37367.159242427646</v>
      </c>
      <c r="IM120">
        <f>IF($A120&lt;=$IB$45,1,0)</f>
        <v>1</v>
      </c>
      <c r="JB120">
        <f>IF($JB$31&lt;=$JB$32,IF($A120&lt;=$JB$7,1,2),IF($A120&lt;=RUNG_BEDS_2,2,1))</f>
        <v>1</v>
      </c>
      <c r="JC120" s="5">
        <f>MIN(1,MAX(0,$JB$26-($A120-1)))</f>
        <v>1</v>
      </c>
      <c r="JD120" s="5">
        <f>$JB$25*(JC120+(1-JC120)*$JB$16)</f>
        <v>252.05322714681438</v>
      </c>
      <c r="JE120" s="13">
        <f>JD120*($JB$6+ACUTE_MARGIN)</f>
        <v>254573.7594182825</v>
      </c>
      <c r="JF120" s="13">
        <f>IF(JB120=1,$JB$31,$JB$32)</f>
        <v>152394.16214437486</v>
      </c>
      <c r="JG120" s="13">
        <f>JE120-JF120</f>
        <v>102179.59727390765</v>
      </c>
      <c r="JH120" s="13">
        <f>JH119+JG120</f>
        <v>3780645.0991345826</v>
      </c>
      <c r="JI120">
        <f>IF(JH120=MAX($JH$83:$JH$483),$A120,0)</f>
        <v>0</v>
      </c>
      <c r="JJ120">
        <f>IF(JE120&lt;JF120,$A120,B_MAX+1)</f>
        <v>401.0</v>
      </c>
      <c r="JK120" s="13">
        <f>IF(JB120=1,$JB$35,$JB$36)</f>
        <v>0</v>
      </c>
      <c r="JL120" s="13">
        <f>OCC_DAYS*$JB$41*R_NF_2023-JD120*MCD_SHARE_FREED*R_WAIT_2023</f>
        <v>37367.159242427646</v>
      </c>
      <c r="JM120">
        <f>IF($A120&lt;=$JB$45,1,0)</f>
        <v>1</v>
      </c>
      <c r="KB120">
        <f>IF($KB$31&lt;=$KB$32,IF($A120&lt;=$KB$7,1,2),IF($A120&lt;=RUNG_BEDS_2,2,1))</f>
        <v>1</v>
      </c>
      <c r="KC120" s="5">
        <f>MIN(1,MAX(0,$KB$26-($A120-1)))</f>
        <v>1</v>
      </c>
      <c r="KD120" s="5">
        <f>$KB$25*(KC120+(1-KC120)*$KB$16)</f>
        <v>126.02661357340719</v>
      </c>
      <c r="KE120" s="13">
        <f>KD120*($KB$6+ACUTE_MARGIN)</f>
        <v>127286.87970914126</v>
      </c>
      <c r="KF120" s="13">
        <f>IF(KB120=1,$KB$31,$KB$32)</f>
        <v>152394.16214437486</v>
      </c>
      <c r="KG120" s="13">
        <f>KE120-KF120</f>
        <v>-25107.282435233603</v>
      </c>
      <c r="KH120" s="13">
        <f>KH119+KG120</f>
        <v>-928969.4501036429</v>
      </c>
      <c r="KI120">
        <f>IF(KH120=MAX($KH$83:$KH$483),$A120,0)</f>
        <v>0</v>
      </c>
      <c r="KJ120">
        <f>IF(KE120&lt;KF120,$A120,B_MAX+1)</f>
        <v>37</v>
      </c>
      <c r="KK120" s="13">
        <f>IF(KB120=1,$KB$35,$KB$36)</f>
        <v>0</v>
      </c>
      <c r="KL120" s="13">
        <f>OCC_DAYS*$KB$41*R_NF_2023-KD120*MCD_SHARE_FREED*R_WAIT_2023</f>
        <v>94673.82103225985</v>
      </c>
      <c r="KM120">
        <f>IF($A120&lt;=$KB$45,1,0)</f>
        <v>0</v>
      </c>
      <c r="LB120">
        <f>IF($LB$31&lt;=$LB$32,IF($A120&lt;=$LB$7,1,2),IF($A120&lt;=RUNG_BEDS_2,2,1))</f>
        <v>1</v>
      </c>
      <c r="LC120" s="5">
        <f>MIN(1,MAX(0,$LB$26-($A120-1)))</f>
        <v>1</v>
      </c>
      <c r="LD120" s="5">
        <f>$LB$25*(LC120+(1-LC120)*$LB$16)</f>
        <v>84.01774238227146</v>
      </c>
      <c r="LE120" s="13">
        <f>LD120*($LB$6+ACUTE_MARGIN)</f>
        <v>84857.91980609419</v>
      </c>
      <c r="LF120" s="13">
        <f>IF(LB120=1,$LB$31,$LB$32)</f>
        <v>152394.16214437486</v>
      </c>
      <c r="LG120" s="13">
        <f>LE120-LF120</f>
        <v>-67536.24233828067</v>
      </c>
      <c r="LH120" s="13">
        <f>LH119+LG120</f>
        <v>-2498840.966516385</v>
      </c>
      <c r="LI120">
        <f>IF(LH120=MAX($LH$83:$LH$483),$A120,0)</f>
        <v>0</v>
      </c>
      <c r="LJ120">
        <f>IF(LE120&lt;LF120,$A120,B_MAX+1)</f>
        <v>37</v>
      </c>
      <c r="LK120" s="13">
        <f>IF(LB120=1,$LB$35,$LB$36)</f>
        <v>0</v>
      </c>
      <c r="LL120" s="13">
        <f>OCC_DAYS*$LB$41*R_NF_2023-LD120*MCD_SHARE_FREED*R_WAIT_2023</f>
        <v>113776.04162887059</v>
      </c>
      <c r="LM120">
        <f>IF($A120&lt;=$LB$45,1,0)</f>
        <v>0</v>
      </c>
      <c r="MB120">
        <f>IF($MB$31&lt;=$MB$32,IF($A120&lt;=$MB$7,1,2),IF($A120&lt;=RUNG_BEDS_2,2,1))</f>
        <v>1</v>
      </c>
      <c r="MC120" s="5">
        <f>MIN(1,MAX(0,$MB$26-($A120-1)))</f>
        <v>1</v>
      </c>
      <c r="MD120" s="5">
        <f>$MB$25*(MC120+(1-MC120)*$MB$16)</f>
        <v>213.44610951008647</v>
      </c>
      <c r="ME120" s="13">
        <f>MD120*($MB$6+ACUTE_MARGIN)</f>
        <v>215580.57060518733</v>
      </c>
      <c r="MF120" s="13">
        <f>IF(MB120=1,$MB$31,$MB$32)</f>
        <v>152394.16214437486</v>
      </c>
      <c r="MG120" s="13">
        <f>ME120-MF120</f>
        <v>63186.40846081247</v>
      </c>
      <c r="MH120" s="13">
        <f>MH119+MG120</f>
        <v>2337897.1130500603</v>
      </c>
      <c r="MI120">
        <f>IF(MH120=MAX($MH$83:$MH$483),$A120,0)</f>
        <v>0</v>
      </c>
      <c r="MJ120">
        <f>IF(ME120&lt;MF120,$A120,B_MAX+1)</f>
        <v>401.0</v>
      </c>
      <c r="MK120" s="13">
        <f>IF(MB120=1,$MB$35,$MB$36)</f>
        <v>0</v>
      </c>
      <c r="ML120" s="13">
        <f>OCC_DAYS*$MB$41*R_NF_2023-MD120*MCD_SHARE_FREED*R_WAIT_2023</f>
        <v>54922.538779778624</v>
      </c>
      <c r="MM120">
        <f>IF($A120&lt;=$MB$45,1,0)</f>
        <v>1</v>
      </c>
      <c r="NB120">
        <f>IF($NB$31&lt;=$NB$32,IF($A120&lt;=$NB$7,1,2),IF($A120&lt;=RUNG_BEDS_2,2,1))</f>
        <v>1</v>
      </c>
      <c r="NC120" s="5">
        <f>MIN(1,MAX(0,$NB$26-($A120-1)))</f>
        <v>1</v>
      </c>
      <c r="ND120" s="5">
        <f>$NB$25*(NC120+(1-NC120)*$NB$16)</f>
        <v>252.05322714681438</v>
      </c>
      <c r="NE120" s="13">
        <f>ND120*($NB$6+ACUTE_MARGIN)</f>
        <v>254573.7594182825</v>
      </c>
      <c r="NF120" s="13">
        <f>IF(NB120=1,$NB$31,$NB$32)</f>
        <v>152394.16214437486</v>
      </c>
      <c r="NG120" s="13">
        <f>NE120-NF120</f>
        <v>102179.59727390765</v>
      </c>
      <c r="NH120" s="13">
        <f>NH119+NG120</f>
        <v>3780645.0991345826</v>
      </c>
      <c r="NI120">
        <f>IF(NH120=MAX($NH$83:$NH$483),$A120,0)</f>
        <v>0</v>
      </c>
      <c r="NJ120">
        <f>IF(NE120&lt;NF120,$A120,B_MAX+1)</f>
        <v>401.0</v>
      </c>
      <c r="NK120" s="13">
        <f>IF(NB120=1,$NB$35,$NB$36)</f>
        <v>0</v>
      </c>
      <c r="NL120" s="13">
        <f>OCC_DAYS*$NB$41*R_NF_2023-ND120*MCD_SHARE_FREED*R_WAIT_2023</f>
        <v>37367.159242427646</v>
      </c>
      <c r="NM120">
        <f>IF($A120&lt;=$NB$45,1,0)</f>
        <v>1</v>
      </c>
      <c r="OB120">
        <f>IF($OB$31&lt;=$OB$32,IF($A120&lt;=$OB$7,1,2),IF($A120&lt;=RUNG_BEDS_2,2,1))</f>
        <v>1</v>
      </c>
      <c r="OC120" s="5">
        <f>MIN(1,MAX(0,$OB$26-($A120-1)))</f>
        <v>1</v>
      </c>
      <c r="OD120" s="5">
        <f>$OB$25*(OC120+(1-OC120)*$OB$16)</f>
        <v>252.05322714681438</v>
      </c>
      <c r="OE120" s="13">
        <f>OD120*($OB$6+ACUTE_MARGIN)</f>
        <v>254573.7594182825</v>
      </c>
      <c r="OF120" s="13">
        <f>IF(OB120=1,$OB$31,$OB$32)</f>
        <v>152394.16214437486</v>
      </c>
      <c r="OG120" s="13">
        <f>OE120-OF120</f>
        <v>102179.59727390765</v>
      </c>
      <c r="OH120" s="13">
        <f>OH119+OG120</f>
        <v>3780645.0991345826</v>
      </c>
      <c r="OI120">
        <f>IF(OH120=MAX($OH$83:$OH$483),$A120,0)</f>
        <v>0</v>
      </c>
      <c r="OJ120">
        <f>IF(OE120&lt;OF120,$A120,B_MAX+1)</f>
        <v>401.0</v>
      </c>
      <c r="OK120" s="13">
        <f>IF(OB120=1,$OB$35,$OB$36)</f>
        <v>0</v>
      </c>
      <c r="OL120" s="13">
        <f>OCC_DAYS*$OB$41*R_NF_2023-OD120*MCD_SHARE_FREED*R_WAIT_2023</f>
        <v>37367.159242427646</v>
      </c>
      <c r="OM120">
        <f>IF($A120&lt;=$OB$45,1,0)</f>
        <v>1</v>
      </c>
    </row>
    <row r="121">
      <c r="A121" t="n">
        <v>38</v>
      </c>
      <c r="B121">
        <f>IF($B$31&lt;=$B$32,IF($A121&lt;=$B$7,1,2),IF($A121&lt;=RUNG_BEDS_2,2,1))</f>
        <v>1</v>
      </c>
      <c r="C121" s="5">
        <f>MIN(1,MAX(0,$B$26-($A121-1)))</f>
        <v>1</v>
      </c>
      <c r="D121" s="5">
        <f>$B$25*(C121+(1-C121)*$B$16)</f>
        <v>252.05322714681438</v>
      </c>
      <c r="E121" s="13">
        <f>D121*($B$6+ACUTE_MARGIN)</f>
        <v>254573.7594182825</v>
      </c>
      <c r="F121" s="13">
        <f>IF(B121=1,$B$31,$B$32)</f>
        <v>152394.16214437486</v>
      </c>
      <c r="G121" s="13">
        <f>E121-F121</f>
        <v>102179.59727390765</v>
      </c>
      <c r="H121" s="13">
        <f>H120+G121</f>
        <v>3882824.69640849</v>
      </c>
      <c r="I121">
        <f>IF(H121=MAX($H$83:$H$483),$A121,0)</f>
        <v>0</v>
      </c>
      <c r="J121">
        <f>IF(E121&lt;F121,$A121,B_MAX+1)</f>
        <v>401.0</v>
      </c>
      <c r="K121" s="13">
        <f>IF(B121=1,$B$35,$B$36)</f>
        <v>0</v>
      </c>
      <c r="L121" s="13">
        <f>OCC_DAYS*$B$41*R_NF_2023-D121*MCD_SHARE_FREED*R_WAIT_2023</f>
        <v>37367.159242427646</v>
      </c>
      <c r="M121">
        <f>IF($A121&lt;=$B$45,1,0)</f>
        <v>1</v>
      </c>
      <c r="AB121">
        <f>IF($AB$31&lt;=$AB$32,IF($A121&lt;=$AB$7,1,2),IF($A121&lt;=RUNG_BEDS_2,2,1))</f>
        <v>1</v>
      </c>
      <c r="AC121" s="5">
        <f>MIN(1,MAX(0,$AB$26-($A121-1)))</f>
        <v>1</v>
      </c>
      <c r="AD121" s="5">
        <f>$AB$25*(AC121+(1-AC121)*$AB$16)</f>
        <v>252.05322714681438</v>
      </c>
      <c r="AE121" s="13">
        <f>AD121*($AB$6+ACUTE_MARGIN)</f>
        <v>138629.2749307479</v>
      </c>
      <c r="AF121" s="13">
        <f>IF(AB121=1,$AB$31,$AB$32)</f>
        <v>152394.16214437486</v>
      </c>
      <c r="AG121" s="13">
        <f>AE121-AF121</f>
        <v>-13764.887213626964</v>
      </c>
      <c r="AH121" s="13">
        <f>AH120+AG121</f>
        <v>-523065.71411782515</v>
      </c>
      <c r="AI121">
        <f>IF(AH121=MAX($AH$83:$AH$483),$A121,0)</f>
        <v>0</v>
      </c>
      <c r="AJ121">
        <f>IF(AE121&lt;AF121,$A121,B_MAX+1)</f>
        <v>38</v>
      </c>
      <c r="AK121" s="13">
        <f>IF(AB121=1,$AB$35,$AB$36)</f>
        <v>0</v>
      </c>
      <c r="AL121" s="13">
        <f>OCC_DAYS*$AB$41*R_NF_2023-AD121*MCD_SHARE_FREED*R_WAIT_2023</f>
        <v>37367.159242427646</v>
      </c>
      <c r="AM121">
        <f>IF($A121&lt;=$AB$45,1,0)</f>
        <v>0</v>
      </c>
      <c r="BB121">
        <f>IF($BB$31&lt;=$BB$32,IF($A121&lt;=$BB$7,1,2),IF($A121&lt;=RUNG_BEDS_2,2,1))</f>
        <v>1</v>
      </c>
      <c r="BC121" s="5">
        <f>MIN(1,MAX(0,$BB$26-($A121-1)))</f>
        <v>1</v>
      </c>
      <c r="BD121" s="5">
        <f>$BB$25*(BC121+(1-BC121)*$BB$16)</f>
        <v>252.05322714681438</v>
      </c>
      <c r="BE121" s="13">
        <f>BD121*($BB$6+ACUTE_MARGIN)</f>
        <v>370518.24390581716</v>
      </c>
      <c r="BF121" s="13">
        <f>IF(BB121=1,$BB$31,$BB$32)</f>
        <v>152394.16214437486</v>
      </c>
      <c r="BG121" s="13">
        <f>BE121-BF121</f>
        <v>218124.0817614423</v>
      </c>
      <c r="BH121" s="13">
        <f>BH120+BG121</f>
        <v>8288715.106934803</v>
      </c>
      <c r="BI121">
        <f>IF(BH121=MAX($BH$83:$BH$483),$A121,0)</f>
        <v>0</v>
      </c>
      <c r="BJ121">
        <f>IF(BE121&lt;BF121,$A121,B_MAX+1)</f>
        <v>401.0</v>
      </c>
      <c r="BK121" s="13">
        <f>IF(BB121=1,$BB$35,$BB$36)</f>
        <v>0</v>
      </c>
      <c r="BL121" s="13">
        <f>OCC_DAYS*$BB$41*R_NF_2023-BD121*MCD_SHARE_FREED*R_WAIT_2023</f>
        <v>37367.159242427646</v>
      </c>
      <c r="BM121">
        <f>IF($A121&lt;=$BB$45,1,0)</f>
        <v>1</v>
      </c>
      <c r="CB121">
        <f>IF($CB$31&lt;=$CB$32,IF($A121&lt;=$CB$7,1,2),IF($A121&lt;=RUNG_BEDS_2,2,1))</f>
        <v>2</v>
      </c>
      <c r="CC121" s="5">
        <f>MIN(1,MAX(0,$CB$26-($A121-1)))</f>
        <v>1</v>
      </c>
      <c r="CD121" s="5">
        <f>$CB$25*(CC121+(1-CC121)*$CB$16)</f>
        <v>252.05322714681438</v>
      </c>
      <c r="CE121" s="13">
        <f>CD121*($CB$6+ACUTE_MARGIN)</f>
        <v>254573.7594182825</v>
      </c>
      <c r="CF121" s="13">
        <f>IF(CB121=1,$CB$31,$CB$32)</f>
        <v>160718.36940738867</v>
      </c>
      <c r="CG121" s="13">
        <f>CE121-CF121</f>
        <v>93855.39001089384</v>
      </c>
      <c r="CH121" s="13">
        <f>CH120+CG121</f>
        <v>3566504.8204139653</v>
      </c>
      <c r="CI121">
        <f>IF(CH121=MAX($CH$83:$CH$483),$A121,0)</f>
        <v>0</v>
      </c>
      <c r="CJ121">
        <f>IF(CE121&lt;CF121,$A121,B_MAX+1)</f>
        <v>401.0</v>
      </c>
      <c r="CK121" s="13">
        <f>IF(CB121=1,$CB$35,$CB$36)</f>
        <v>1560.1194073886782</v>
      </c>
      <c r="CL121" s="13">
        <f>OCC_DAYS*$CB$41*R_NF_2023-CD121*MCD_SHARE_FREED*R_WAIT_2023</f>
        <v>37367.159242427646</v>
      </c>
      <c r="CM121">
        <f>IF($A121&lt;=$CB$45,1,0)</f>
        <v>1</v>
      </c>
      <c r="DB121">
        <f>IF($DB$31&lt;=$DB$32,IF($A121&lt;=$DB$7,1,2),IF($A121&lt;=RUNG_BEDS_2,2,1))</f>
        <v>1</v>
      </c>
      <c r="DC121" s="5">
        <f>MIN(1,MAX(0,$DB$26-($A121-1)))</f>
        <v>1</v>
      </c>
      <c r="DD121" s="5">
        <f>$DB$25*(DC121+(1-DC121)*$DB$16)</f>
        <v>252.05322714681438</v>
      </c>
      <c r="DE121" s="13">
        <f>DD121*($DB$6+ACUTE_MARGIN)</f>
        <v>254573.7594182825</v>
      </c>
      <c r="DF121" s="13">
        <f>IF(DB121=1,$DB$31,$DB$32)</f>
        <v>152394.16214437486</v>
      </c>
      <c r="DG121" s="13">
        <f>DE121-DF121</f>
        <v>102179.59727390765</v>
      </c>
      <c r="DH121" s="13">
        <f>DH120+DG121</f>
        <v>3882824.69640849</v>
      </c>
      <c r="DI121">
        <f>IF(DH121=MAX($DH$83:$DH$483),$A121,0)</f>
        <v>0</v>
      </c>
      <c r="DJ121">
        <f>IF(DE121&lt;DF121,$A121,B_MAX+1)</f>
        <v>401.0</v>
      </c>
      <c r="DK121" s="13">
        <f>IF(DB121=1,$DB$35,$DB$36)</f>
        <v>0</v>
      </c>
      <c r="DL121" s="13">
        <f>OCC_DAYS*$DB$41*R_NF_2023-DD121*MCD_SHARE_FREED*R_WAIT_2023</f>
        <v>37367.159242427646</v>
      </c>
      <c r="DM121">
        <f>IF($A121&lt;=$DB$45,1,0)</f>
        <v>1</v>
      </c>
      <c r="EB121">
        <f>IF($EB$31&lt;=$EB$32,IF($A121&lt;=$EB$7,1,2),IF($A121&lt;=RUNG_BEDS_2,2,1))</f>
        <v>1</v>
      </c>
      <c r="EC121" s="5">
        <f>MIN(1,MAX(0,$EB$26-($A121-1)))</f>
        <v>1</v>
      </c>
      <c r="ED121" s="5">
        <f>$EB$25*(EC121+(1-EC121)*$EB$16)</f>
        <v>252.05322714681438</v>
      </c>
      <c r="EE121" s="13">
        <f>ED121*($EB$6+ACUTE_MARGIN)</f>
        <v>254573.7594182825</v>
      </c>
      <c r="EF121" s="13">
        <f>IF(EB121=1,$EB$31,$EB$32)</f>
        <v>152394.16214437486</v>
      </c>
      <c r="EG121" s="13">
        <f>EE121-EF121</f>
        <v>102179.59727390765</v>
      </c>
      <c r="EH121" s="13">
        <f>EH120+EG121</f>
        <v>3882824.69640849</v>
      </c>
      <c r="EI121">
        <f>IF(EH121=MAX($EH$83:$EH$483),$A121,0)</f>
        <v>0</v>
      </c>
      <c r="EJ121">
        <f>IF(EE121&lt;EF121,$A121,B_MAX+1)</f>
        <v>401.0</v>
      </c>
      <c r="EK121" s="13">
        <f>IF(EB121=1,$EB$35,$EB$36)</f>
        <v>0</v>
      </c>
      <c r="EL121" s="13">
        <f>OCC_DAYS*$EB$41*R_NF_2023-ED121*MCD_SHARE_FREED*R_WAIT_2023</f>
        <v>-63953.16263896705</v>
      </c>
      <c r="EM121">
        <f>IF($A121&lt;=$EB$45,1,0)</f>
        <v>1</v>
      </c>
      <c r="FB121">
        <f>IF($FB$31&lt;=$FB$32,IF($A121&lt;=$FB$7,1,2),IF($A121&lt;=RUNG_BEDS_2,2,1))</f>
        <v>1</v>
      </c>
      <c r="FC121" s="5">
        <f>MIN(1,MAX(0,$FB$26-($A121-1)))</f>
        <v>1</v>
      </c>
      <c r="FD121" s="5">
        <f>$FB$25*(FC121+(1-FC121)*$FB$16)</f>
        <v>252.05322714681438</v>
      </c>
      <c r="FE121" s="13">
        <f>FD121*($FB$6+ACUTE_MARGIN)</f>
        <v>254573.7594182825</v>
      </c>
      <c r="FF121" s="13">
        <f>IF(FB121=1,$FB$31,$FB$32)</f>
        <v>156636.04979437485</v>
      </c>
      <c r="FG121" s="13">
        <f>FE121-FF121</f>
        <v>97937.70962390766</v>
      </c>
      <c r="FH121" s="13">
        <f>FH120+FG121</f>
        <v>3721632.965708492</v>
      </c>
      <c r="FI121">
        <f>IF(FH121=MAX($FH$83:$FH$483),$A121,0)</f>
        <v>0</v>
      </c>
      <c r="FJ121">
        <f>IF(FE121&lt;FF121,$A121,B_MAX+1)</f>
        <v>401.0</v>
      </c>
      <c r="FK121" s="13">
        <f>IF(FB121=1,$FB$35,$FB$36)</f>
        <v>0</v>
      </c>
      <c r="FL121" s="13">
        <f>OCC_DAYS*$FB$41*R_NF_2023-FD121*MCD_SHARE_FREED*R_WAIT_2023</f>
        <v>37367.159242427646</v>
      </c>
      <c r="FM121">
        <f>IF($A121&lt;=$FB$45,1,0)</f>
        <v>1</v>
      </c>
      <c r="GB121">
        <f>IF($GB$31&lt;=$GB$32,IF($A121&lt;=$GB$7,1,2),IF($A121&lt;=RUNG_BEDS_2,2,1))</f>
        <v>1</v>
      </c>
      <c r="GC121" s="5">
        <f>MIN(1,MAX(0,$GB$26-($A121-1)))</f>
        <v>1</v>
      </c>
      <c r="GD121" s="5">
        <f>$GB$25*(GC121+(1-GC121)*$GB$16)</f>
        <v>252.05322714681438</v>
      </c>
      <c r="GE121" s="13">
        <f>GD121*($GB$6+ACUTE_MARGIN)</f>
        <v>254573.7594182825</v>
      </c>
      <c r="GF121" s="13">
        <f>IF(GB121=1,$GB$31,$GB$32)</f>
        <v>152394.16214437486</v>
      </c>
      <c r="GG121" s="13">
        <f>GE121-GF121</f>
        <v>102179.59727390765</v>
      </c>
      <c r="GH121" s="13">
        <f>GH120+GG121</f>
        <v>3882824.69640849</v>
      </c>
      <c r="GI121">
        <f>IF(GH121=MAX($GH$83:$GH$483),$A121,0)</f>
        <v>0</v>
      </c>
      <c r="GJ121">
        <f>IF(GE121&lt;GF121,$A121,B_MAX+1)</f>
        <v>401.0</v>
      </c>
      <c r="GK121" s="13">
        <f>IF(GB121=1,$GB$35,$GB$36)</f>
        <v>0</v>
      </c>
      <c r="GL121" s="13">
        <f>OCC_DAYS*$GB$41*R_NF_2023-GD121*MCD_SHARE_FREED*R_WAIT_2023</f>
        <v>37367.159242427646</v>
      </c>
      <c r="GM121">
        <f>IF($A121&lt;=$GB$45,1,0)</f>
        <v>1</v>
      </c>
      <c r="HB121">
        <f>IF($HB$31&lt;=$HB$32,IF($A121&lt;=$HB$7,1,2),IF($A121&lt;=RUNG_BEDS_2,2,1))</f>
        <v>1</v>
      </c>
      <c r="HC121" s="5">
        <f>MIN(1,MAX(0,$HB$26-($A121-1)))</f>
        <v>1</v>
      </c>
      <c r="HD121" s="5">
        <f>$HB$25*(HC121+(1-HC121)*$HB$16)</f>
        <v>252.05322714681438</v>
      </c>
      <c r="HE121" s="13">
        <f>HD121*($HB$6+ACUTE_MARGIN)</f>
        <v>254573.7594182825</v>
      </c>
      <c r="HF121" s="13">
        <f>IF(HB121=1,$HB$31,$HB$32)</f>
        <v>152456.2970814058</v>
      </c>
      <c r="HG121" s="13">
        <f>HE121-HF121</f>
        <v>102117.46233687672</v>
      </c>
      <c r="HH121" s="13">
        <f>HH120+HG121</f>
        <v>3880463.568801318</v>
      </c>
      <c r="HI121">
        <f>IF(HH121=MAX($HH$83:$HH$483),$A121,0)</f>
        <v>0</v>
      </c>
      <c r="HJ121">
        <f>IF(HE121&lt;HF121,$A121,B_MAX+1)</f>
        <v>401.0</v>
      </c>
      <c r="HK121" s="13">
        <f>IF(HB121=1,$HB$35,$HB$36)</f>
        <v>0</v>
      </c>
      <c r="HL121" s="13">
        <f>OCC_DAYS*$HB$41*R_NF_2023-HD121*MCD_SHARE_FREED*R_WAIT_2023</f>
        <v>37367.159242427646</v>
      </c>
      <c r="HM121">
        <f>IF($A121&lt;=$HB$45,1,0)</f>
        <v>1</v>
      </c>
      <c r="IB121">
        <f>IF($IB$31&lt;=$IB$32,IF($A121&lt;=$IB$7,1,2),IF($A121&lt;=RUNG_BEDS_2,2,1))</f>
        <v>1</v>
      </c>
      <c r="IC121" s="5">
        <f>MIN(1,MAX(0,$IB$26-($A121-1)))</f>
        <v>1</v>
      </c>
      <c r="ID121" s="5">
        <f>$IB$25*(IC121+(1-IC121)*$IB$16)</f>
        <v>252.05322714681438</v>
      </c>
      <c r="IE121" s="13">
        <f>ID121*($IB$6+ACUTE_MARGIN)</f>
        <v>254573.7594182825</v>
      </c>
      <c r="IF121" s="13">
        <f>IF(IB121=1,$IB$31,$IB$32)</f>
        <v>152734.9994534971</v>
      </c>
      <c r="IG121" s="13">
        <f>IE121-IF121</f>
        <v>101838.75996478542</v>
      </c>
      <c r="IH121" s="13">
        <f>IH120+IG121</f>
        <v>3869872.878661849</v>
      </c>
      <c r="II121">
        <f>IF(IH121=MAX($IH$83:$IH$483),$A121,0)</f>
        <v>0</v>
      </c>
      <c r="IJ121">
        <f>IF(IE121&lt;IF121,$A121,B_MAX+1)</f>
        <v>401.0</v>
      </c>
      <c r="IK121" s="13">
        <f>IF(IB121=1,$IB$35,$IB$36)</f>
        <v>0</v>
      </c>
      <c r="IL121" s="13">
        <f>OCC_DAYS*$IB$41*R_NF_2023-ID121*MCD_SHARE_FREED*R_WAIT_2023</f>
        <v>37367.159242427646</v>
      </c>
      <c r="IM121">
        <f>IF($A121&lt;=$IB$45,1,0)</f>
        <v>1</v>
      </c>
      <c r="JB121">
        <f>IF($JB$31&lt;=$JB$32,IF($A121&lt;=$JB$7,1,2),IF($A121&lt;=RUNG_BEDS_2,2,1))</f>
        <v>1</v>
      </c>
      <c r="JC121" s="5">
        <f>MIN(1,MAX(0,$JB$26-($A121-1)))</f>
        <v>1</v>
      </c>
      <c r="JD121" s="5">
        <f>$JB$25*(JC121+(1-JC121)*$JB$16)</f>
        <v>252.05322714681438</v>
      </c>
      <c r="JE121" s="13">
        <f>JD121*($JB$6+ACUTE_MARGIN)</f>
        <v>254573.7594182825</v>
      </c>
      <c r="JF121" s="13">
        <f>IF(JB121=1,$JB$31,$JB$32)</f>
        <v>152394.16214437486</v>
      </c>
      <c r="JG121" s="13">
        <f>JE121-JF121</f>
        <v>102179.59727390765</v>
      </c>
      <c r="JH121" s="13">
        <f>JH120+JG121</f>
        <v>3882824.69640849</v>
      </c>
      <c r="JI121">
        <f>IF(JH121=MAX($JH$83:$JH$483),$A121,0)</f>
        <v>0</v>
      </c>
      <c r="JJ121">
        <f>IF(JE121&lt;JF121,$A121,B_MAX+1)</f>
        <v>401.0</v>
      </c>
      <c r="JK121" s="13">
        <f>IF(JB121=1,$JB$35,$JB$36)</f>
        <v>0</v>
      </c>
      <c r="JL121" s="13">
        <f>OCC_DAYS*$JB$41*R_NF_2023-JD121*MCD_SHARE_FREED*R_WAIT_2023</f>
        <v>37367.159242427646</v>
      </c>
      <c r="JM121">
        <f>IF($A121&lt;=$JB$45,1,0)</f>
        <v>1</v>
      </c>
      <c r="KB121">
        <f>IF($KB$31&lt;=$KB$32,IF($A121&lt;=$KB$7,1,2),IF($A121&lt;=RUNG_BEDS_2,2,1))</f>
        <v>1</v>
      </c>
      <c r="KC121" s="5">
        <f>MIN(1,MAX(0,$KB$26-($A121-1)))</f>
        <v>1</v>
      </c>
      <c r="KD121" s="5">
        <f>$KB$25*(KC121+(1-KC121)*$KB$16)</f>
        <v>126.02661357340719</v>
      </c>
      <c r="KE121" s="13">
        <f>KD121*($KB$6+ACUTE_MARGIN)</f>
        <v>127286.87970914126</v>
      </c>
      <c r="KF121" s="13">
        <f>IF(KB121=1,$KB$31,$KB$32)</f>
        <v>152394.16214437486</v>
      </c>
      <c r="KG121" s="13">
        <f>KE121-KF121</f>
        <v>-25107.282435233603</v>
      </c>
      <c r="KH121" s="13">
        <f>KH120+KG121</f>
        <v>-954076.7325388765</v>
      </c>
      <c r="KI121">
        <f>IF(KH121=MAX($KH$83:$KH$483),$A121,0)</f>
        <v>0</v>
      </c>
      <c r="KJ121">
        <f>IF(KE121&lt;KF121,$A121,B_MAX+1)</f>
        <v>38</v>
      </c>
      <c r="KK121" s="13">
        <f>IF(KB121=1,$KB$35,$KB$36)</f>
        <v>0</v>
      </c>
      <c r="KL121" s="13">
        <f>OCC_DAYS*$KB$41*R_NF_2023-KD121*MCD_SHARE_FREED*R_WAIT_2023</f>
        <v>94673.82103225985</v>
      </c>
      <c r="KM121">
        <f>IF($A121&lt;=$KB$45,1,0)</f>
        <v>0</v>
      </c>
      <c r="LB121">
        <f>IF($LB$31&lt;=$LB$32,IF($A121&lt;=$LB$7,1,2),IF($A121&lt;=RUNG_BEDS_2,2,1))</f>
        <v>1</v>
      </c>
      <c r="LC121" s="5">
        <f>MIN(1,MAX(0,$LB$26-($A121-1)))</f>
        <v>1</v>
      </c>
      <c r="LD121" s="5">
        <f>$LB$25*(LC121+(1-LC121)*$LB$16)</f>
        <v>84.01774238227146</v>
      </c>
      <c r="LE121" s="13">
        <f>LD121*($LB$6+ACUTE_MARGIN)</f>
        <v>84857.91980609419</v>
      </c>
      <c r="LF121" s="13">
        <f>IF(LB121=1,$LB$31,$LB$32)</f>
        <v>152394.16214437486</v>
      </c>
      <c r="LG121" s="13">
        <f>LE121-LF121</f>
        <v>-67536.24233828067</v>
      </c>
      <c r="LH121" s="13">
        <f>LH120+LG121</f>
        <v>-2566377.2088546655</v>
      </c>
      <c r="LI121">
        <f>IF(LH121=MAX($LH$83:$LH$483),$A121,0)</f>
        <v>0</v>
      </c>
      <c r="LJ121">
        <f>IF(LE121&lt;LF121,$A121,B_MAX+1)</f>
        <v>38</v>
      </c>
      <c r="LK121" s="13">
        <f>IF(LB121=1,$LB$35,$LB$36)</f>
        <v>0</v>
      </c>
      <c r="LL121" s="13">
        <f>OCC_DAYS*$LB$41*R_NF_2023-LD121*MCD_SHARE_FREED*R_WAIT_2023</f>
        <v>113776.04162887059</v>
      </c>
      <c r="LM121">
        <f>IF($A121&lt;=$LB$45,1,0)</f>
        <v>0</v>
      </c>
      <c r="MB121">
        <f>IF($MB$31&lt;=$MB$32,IF($A121&lt;=$MB$7,1,2),IF($A121&lt;=RUNG_BEDS_2,2,1))</f>
        <v>1</v>
      </c>
      <c r="MC121" s="5">
        <f>MIN(1,MAX(0,$MB$26-($A121-1)))</f>
        <v>1</v>
      </c>
      <c r="MD121" s="5">
        <f>$MB$25*(MC121+(1-MC121)*$MB$16)</f>
        <v>213.44610951008647</v>
      </c>
      <c r="ME121" s="13">
        <f>MD121*($MB$6+ACUTE_MARGIN)</f>
        <v>215580.57060518733</v>
      </c>
      <c r="MF121" s="13">
        <f>IF(MB121=1,$MB$31,$MB$32)</f>
        <v>152394.16214437486</v>
      </c>
      <c r="MG121" s="13">
        <f>ME121-MF121</f>
        <v>63186.40846081247</v>
      </c>
      <c r="MH121" s="13">
        <f>MH120+MG121</f>
        <v>2401083.521510873</v>
      </c>
      <c r="MI121">
        <f>IF(MH121=MAX($MH$83:$MH$483),$A121,0)</f>
        <v>0</v>
      </c>
      <c r="MJ121">
        <f>IF(ME121&lt;MF121,$A121,B_MAX+1)</f>
        <v>401.0</v>
      </c>
      <c r="MK121" s="13">
        <f>IF(MB121=1,$MB$35,$MB$36)</f>
        <v>0</v>
      </c>
      <c r="ML121" s="13">
        <f>OCC_DAYS*$MB$41*R_NF_2023-MD121*MCD_SHARE_FREED*R_WAIT_2023</f>
        <v>54922.538779778624</v>
      </c>
      <c r="MM121">
        <f>IF($A121&lt;=$MB$45,1,0)</f>
        <v>1</v>
      </c>
      <c r="NB121">
        <f>IF($NB$31&lt;=$NB$32,IF($A121&lt;=$NB$7,1,2),IF($A121&lt;=RUNG_BEDS_2,2,1))</f>
        <v>1</v>
      </c>
      <c r="NC121" s="5">
        <f>MIN(1,MAX(0,$NB$26-($A121-1)))</f>
        <v>1</v>
      </c>
      <c r="ND121" s="5">
        <f>$NB$25*(NC121+(1-NC121)*$NB$16)</f>
        <v>252.05322714681438</v>
      </c>
      <c r="NE121" s="13">
        <f>ND121*($NB$6+ACUTE_MARGIN)</f>
        <v>254573.7594182825</v>
      </c>
      <c r="NF121" s="13">
        <f>IF(NB121=1,$NB$31,$NB$32)</f>
        <v>152394.16214437486</v>
      </c>
      <c r="NG121" s="13">
        <f>NE121-NF121</f>
        <v>102179.59727390765</v>
      </c>
      <c r="NH121" s="13">
        <f>NH120+NG121</f>
        <v>3882824.69640849</v>
      </c>
      <c r="NI121">
        <f>IF(NH121=MAX($NH$83:$NH$483),$A121,0)</f>
        <v>0</v>
      </c>
      <c r="NJ121">
        <f>IF(NE121&lt;NF121,$A121,B_MAX+1)</f>
        <v>401.0</v>
      </c>
      <c r="NK121" s="13">
        <f>IF(NB121=1,$NB$35,$NB$36)</f>
        <v>0</v>
      </c>
      <c r="NL121" s="13">
        <f>OCC_DAYS*$NB$41*R_NF_2023-ND121*MCD_SHARE_FREED*R_WAIT_2023</f>
        <v>37367.159242427646</v>
      </c>
      <c r="NM121">
        <f>IF($A121&lt;=$NB$45,1,0)</f>
        <v>1</v>
      </c>
      <c r="OB121">
        <f>IF($OB$31&lt;=$OB$32,IF($A121&lt;=$OB$7,1,2),IF($A121&lt;=RUNG_BEDS_2,2,1))</f>
        <v>1</v>
      </c>
      <c r="OC121" s="5">
        <f>MIN(1,MAX(0,$OB$26-($A121-1)))</f>
        <v>1</v>
      </c>
      <c r="OD121" s="5">
        <f>$OB$25*(OC121+(1-OC121)*$OB$16)</f>
        <v>252.05322714681438</v>
      </c>
      <c r="OE121" s="13">
        <f>OD121*($OB$6+ACUTE_MARGIN)</f>
        <v>254573.7594182825</v>
      </c>
      <c r="OF121" s="13">
        <f>IF(OB121=1,$OB$31,$OB$32)</f>
        <v>152394.16214437486</v>
      </c>
      <c r="OG121" s="13">
        <f>OE121-OF121</f>
        <v>102179.59727390765</v>
      </c>
      <c r="OH121" s="13">
        <f>OH120+OG121</f>
        <v>3882824.69640849</v>
      </c>
      <c r="OI121">
        <f>IF(OH121=MAX($OH$83:$OH$483),$A121,0)</f>
        <v>0</v>
      </c>
      <c r="OJ121">
        <f>IF(OE121&lt;OF121,$A121,B_MAX+1)</f>
        <v>401.0</v>
      </c>
      <c r="OK121" s="13">
        <f>IF(OB121=1,$OB$35,$OB$36)</f>
        <v>0</v>
      </c>
      <c r="OL121" s="13">
        <f>OCC_DAYS*$OB$41*R_NF_2023-OD121*MCD_SHARE_FREED*R_WAIT_2023</f>
        <v>37367.159242427646</v>
      </c>
      <c r="OM121">
        <f>IF($A121&lt;=$OB$45,1,0)</f>
        <v>1</v>
      </c>
    </row>
    <row r="122">
      <c r="A122" t="n">
        <v>39</v>
      </c>
      <c r="B122">
        <f>IF($B$31&lt;=$B$32,IF($A122&lt;=$B$7,1,2),IF($A122&lt;=RUNG_BEDS_2,2,1))</f>
        <v>1</v>
      </c>
      <c r="C122" s="5">
        <f>MIN(1,MAX(0,$B$26-($A122-1)))</f>
        <v>1</v>
      </c>
      <c r="D122" s="5">
        <f>$B$25*(C122+(1-C122)*$B$16)</f>
        <v>252.05322714681438</v>
      </c>
      <c r="E122" s="13">
        <f>D122*($B$6+ACUTE_MARGIN)</f>
        <v>254573.7594182825</v>
      </c>
      <c r="F122" s="13">
        <f>IF(B122=1,$B$31,$B$32)</f>
        <v>152394.16214437486</v>
      </c>
      <c r="G122" s="13">
        <f>E122-F122</f>
        <v>102179.59727390765</v>
      </c>
      <c r="H122" s="13">
        <f>H121+G122</f>
        <v>3985004.293682398</v>
      </c>
      <c r="I122">
        <f>IF(H122=MAX($H$83:$H$483),$A122,0)</f>
        <v>0</v>
      </c>
      <c r="J122">
        <f>IF(E122&lt;F122,$A122,B_MAX+1)</f>
        <v>401.0</v>
      </c>
      <c r="K122" s="13">
        <f>IF(B122=1,$B$35,$B$36)</f>
        <v>0</v>
      </c>
      <c r="L122" s="13">
        <f>OCC_DAYS*$B$41*R_NF_2023-D122*MCD_SHARE_FREED*R_WAIT_2023</f>
        <v>37367.159242427646</v>
      </c>
      <c r="M122">
        <f>IF($A122&lt;=$B$45,1,0)</f>
        <v>1</v>
      </c>
      <c r="AB122">
        <f>IF($AB$31&lt;=$AB$32,IF($A122&lt;=$AB$7,1,2),IF($A122&lt;=RUNG_BEDS_2,2,1))</f>
        <v>1</v>
      </c>
      <c r="AC122" s="5">
        <f>MIN(1,MAX(0,$AB$26-($A122-1)))</f>
        <v>1</v>
      </c>
      <c r="AD122" s="5">
        <f>$AB$25*(AC122+(1-AC122)*$AB$16)</f>
        <v>252.05322714681438</v>
      </c>
      <c r="AE122" s="13">
        <f>AD122*($AB$6+ACUTE_MARGIN)</f>
        <v>138629.2749307479</v>
      </c>
      <c r="AF122" s="13">
        <f>IF(AB122=1,$AB$31,$AB$32)</f>
        <v>152394.16214437486</v>
      </c>
      <c r="AG122" s="13">
        <f>AE122-AF122</f>
        <v>-13764.887213626964</v>
      </c>
      <c r="AH122" s="13">
        <f>AH121+AG122</f>
        <v>-536830.6013314521</v>
      </c>
      <c r="AI122">
        <f>IF(AH122=MAX($AH$83:$AH$483),$A122,0)</f>
        <v>0</v>
      </c>
      <c r="AJ122">
        <f>IF(AE122&lt;AF122,$A122,B_MAX+1)</f>
        <v>39</v>
      </c>
      <c r="AK122" s="13">
        <f>IF(AB122=1,$AB$35,$AB$36)</f>
        <v>0</v>
      </c>
      <c r="AL122" s="13">
        <f>OCC_DAYS*$AB$41*R_NF_2023-AD122*MCD_SHARE_FREED*R_WAIT_2023</f>
        <v>37367.159242427646</v>
      </c>
      <c r="AM122">
        <f>IF($A122&lt;=$AB$45,1,0)</f>
        <v>0</v>
      </c>
      <c r="BB122">
        <f>IF($BB$31&lt;=$BB$32,IF($A122&lt;=$BB$7,1,2),IF($A122&lt;=RUNG_BEDS_2,2,1))</f>
        <v>1</v>
      </c>
      <c r="BC122" s="5">
        <f>MIN(1,MAX(0,$BB$26-($A122-1)))</f>
        <v>1</v>
      </c>
      <c r="BD122" s="5">
        <f>$BB$25*(BC122+(1-BC122)*$BB$16)</f>
        <v>252.05322714681438</v>
      </c>
      <c r="BE122" s="13">
        <f>BD122*($BB$6+ACUTE_MARGIN)</f>
        <v>370518.24390581716</v>
      </c>
      <c r="BF122" s="13">
        <f>IF(BB122=1,$BB$31,$BB$32)</f>
        <v>152394.16214437486</v>
      </c>
      <c r="BG122" s="13">
        <f>BE122-BF122</f>
        <v>218124.0817614423</v>
      </c>
      <c r="BH122" s="13">
        <f>BH121+BG122</f>
        <v>8506839.188696245</v>
      </c>
      <c r="BI122">
        <f>IF(BH122=MAX($BH$83:$BH$483),$A122,0)</f>
        <v>0</v>
      </c>
      <c r="BJ122">
        <f>IF(BE122&lt;BF122,$A122,B_MAX+1)</f>
        <v>401.0</v>
      </c>
      <c r="BK122" s="13">
        <f>IF(BB122=1,$BB$35,$BB$36)</f>
        <v>0</v>
      </c>
      <c r="BL122" s="13">
        <f>OCC_DAYS*$BB$41*R_NF_2023-BD122*MCD_SHARE_FREED*R_WAIT_2023</f>
        <v>37367.159242427646</v>
      </c>
      <c r="BM122">
        <f>IF($A122&lt;=$BB$45,1,0)</f>
        <v>1</v>
      </c>
      <c r="CB122">
        <f>IF($CB$31&lt;=$CB$32,IF($A122&lt;=$CB$7,1,2),IF($A122&lt;=RUNG_BEDS_2,2,1))</f>
        <v>2</v>
      </c>
      <c r="CC122" s="5">
        <f>MIN(1,MAX(0,$CB$26-($A122-1)))</f>
        <v>1</v>
      </c>
      <c r="CD122" s="5">
        <f>$CB$25*(CC122+(1-CC122)*$CB$16)</f>
        <v>252.05322714681438</v>
      </c>
      <c r="CE122" s="13">
        <f>CD122*($CB$6+ACUTE_MARGIN)</f>
        <v>254573.7594182825</v>
      </c>
      <c r="CF122" s="13">
        <f>IF(CB122=1,$CB$31,$CB$32)</f>
        <v>160718.36940738867</v>
      </c>
      <c r="CG122" s="13">
        <f>CE122-CF122</f>
        <v>93855.39001089384</v>
      </c>
      <c r="CH122" s="13">
        <f>CH121+CG122</f>
        <v>3660360.210424859</v>
      </c>
      <c r="CI122">
        <f>IF(CH122=MAX($CH$83:$CH$483),$A122,0)</f>
        <v>0</v>
      </c>
      <c r="CJ122">
        <f>IF(CE122&lt;CF122,$A122,B_MAX+1)</f>
        <v>401.0</v>
      </c>
      <c r="CK122" s="13">
        <f>IF(CB122=1,$CB$35,$CB$36)</f>
        <v>1560.1194073886782</v>
      </c>
      <c r="CL122" s="13">
        <f>OCC_DAYS*$CB$41*R_NF_2023-CD122*MCD_SHARE_FREED*R_WAIT_2023</f>
        <v>37367.159242427646</v>
      </c>
      <c r="CM122">
        <f>IF($A122&lt;=$CB$45,1,0)</f>
        <v>1</v>
      </c>
      <c r="DB122">
        <f>IF($DB$31&lt;=$DB$32,IF($A122&lt;=$DB$7,1,2),IF($A122&lt;=RUNG_BEDS_2,2,1))</f>
        <v>1</v>
      </c>
      <c r="DC122" s="5">
        <f>MIN(1,MAX(0,$DB$26-($A122-1)))</f>
        <v>1</v>
      </c>
      <c r="DD122" s="5">
        <f>$DB$25*(DC122+(1-DC122)*$DB$16)</f>
        <v>252.05322714681438</v>
      </c>
      <c r="DE122" s="13">
        <f>DD122*($DB$6+ACUTE_MARGIN)</f>
        <v>254573.7594182825</v>
      </c>
      <c r="DF122" s="13">
        <f>IF(DB122=1,$DB$31,$DB$32)</f>
        <v>152394.16214437486</v>
      </c>
      <c r="DG122" s="13">
        <f>DE122-DF122</f>
        <v>102179.59727390765</v>
      </c>
      <c r="DH122" s="13">
        <f>DH121+DG122</f>
        <v>3985004.293682398</v>
      </c>
      <c r="DI122">
        <f>IF(DH122=MAX($DH$83:$DH$483),$A122,0)</f>
        <v>0</v>
      </c>
      <c r="DJ122">
        <f>IF(DE122&lt;DF122,$A122,B_MAX+1)</f>
        <v>401.0</v>
      </c>
      <c r="DK122" s="13">
        <f>IF(DB122=1,$DB$35,$DB$36)</f>
        <v>0</v>
      </c>
      <c r="DL122" s="13">
        <f>OCC_DAYS*$DB$41*R_NF_2023-DD122*MCD_SHARE_FREED*R_WAIT_2023</f>
        <v>37367.159242427646</v>
      </c>
      <c r="DM122">
        <f>IF($A122&lt;=$DB$45,1,0)</f>
        <v>1</v>
      </c>
      <c r="EB122">
        <f>IF($EB$31&lt;=$EB$32,IF($A122&lt;=$EB$7,1,2),IF($A122&lt;=RUNG_BEDS_2,2,1))</f>
        <v>1</v>
      </c>
      <c r="EC122" s="5">
        <f>MIN(1,MAX(0,$EB$26-($A122-1)))</f>
        <v>1</v>
      </c>
      <c r="ED122" s="5">
        <f>$EB$25*(EC122+(1-EC122)*$EB$16)</f>
        <v>252.05322714681438</v>
      </c>
      <c r="EE122" s="13">
        <f>ED122*($EB$6+ACUTE_MARGIN)</f>
        <v>254573.7594182825</v>
      </c>
      <c r="EF122" s="13">
        <f>IF(EB122=1,$EB$31,$EB$32)</f>
        <v>152394.16214437486</v>
      </c>
      <c r="EG122" s="13">
        <f>EE122-EF122</f>
        <v>102179.59727390765</v>
      </c>
      <c r="EH122" s="13">
        <f>EH121+EG122</f>
        <v>3985004.293682398</v>
      </c>
      <c r="EI122">
        <f>IF(EH122=MAX($EH$83:$EH$483),$A122,0)</f>
        <v>0</v>
      </c>
      <c r="EJ122">
        <f>IF(EE122&lt;EF122,$A122,B_MAX+1)</f>
        <v>401.0</v>
      </c>
      <c r="EK122" s="13">
        <f>IF(EB122=1,$EB$35,$EB$36)</f>
        <v>0</v>
      </c>
      <c r="EL122" s="13">
        <f>OCC_DAYS*$EB$41*R_NF_2023-ED122*MCD_SHARE_FREED*R_WAIT_2023</f>
        <v>-63953.16263896705</v>
      </c>
      <c r="EM122">
        <f>IF($A122&lt;=$EB$45,1,0)</f>
        <v>1</v>
      </c>
      <c r="FB122">
        <f>IF($FB$31&lt;=$FB$32,IF($A122&lt;=$FB$7,1,2),IF($A122&lt;=RUNG_BEDS_2,2,1))</f>
        <v>1</v>
      </c>
      <c r="FC122" s="5">
        <f>MIN(1,MAX(0,$FB$26-($A122-1)))</f>
        <v>1</v>
      </c>
      <c r="FD122" s="5">
        <f>$FB$25*(FC122+(1-FC122)*$FB$16)</f>
        <v>252.05322714681438</v>
      </c>
      <c r="FE122" s="13">
        <f>FD122*($FB$6+ACUTE_MARGIN)</f>
        <v>254573.7594182825</v>
      </c>
      <c r="FF122" s="13">
        <f>IF(FB122=1,$FB$31,$FB$32)</f>
        <v>156636.04979437485</v>
      </c>
      <c r="FG122" s="13">
        <f>FE122-FF122</f>
        <v>97937.70962390766</v>
      </c>
      <c r="FH122" s="13">
        <f>FH121+FG122</f>
        <v>3819570.6753323996</v>
      </c>
      <c r="FI122">
        <f>IF(FH122=MAX($FH$83:$FH$483),$A122,0)</f>
        <v>0</v>
      </c>
      <c r="FJ122">
        <f>IF(FE122&lt;FF122,$A122,B_MAX+1)</f>
        <v>401.0</v>
      </c>
      <c r="FK122" s="13">
        <f>IF(FB122=1,$FB$35,$FB$36)</f>
        <v>0</v>
      </c>
      <c r="FL122" s="13">
        <f>OCC_DAYS*$FB$41*R_NF_2023-FD122*MCD_SHARE_FREED*R_WAIT_2023</f>
        <v>37367.159242427646</v>
      </c>
      <c r="FM122">
        <f>IF($A122&lt;=$FB$45,1,0)</f>
        <v>1</v>
      </c>
      <c r="GB122">
        <f>IF($GB$31&lt;=$GB$32,IF($A122&lt;=$GB$7,1,2),IF($A122&lt;=RUNG_BEDS_2,2,1))</f>
        <v>1</v>
      </c>
      <c r="GC122" s="5">
        <f>MIN(1,MAX(0,$GB$26-($A122-1)))</f>
        <v>1</v>
      </c>
      <c r="GD122" s="5">
        <f>$GB$25*(GC122+(1-GC122)*$GB$16)</f>
        <v>252.05322714681438</v>
      </c>
      <c r="GE122" s="13">
        <f>GD122*($GB$6+ACUTE_MARGIN)</f>
        <v>254573.7594182825</v>
      </c>
      <c r="GF122" s="13">
        <f>IF(GB122=1,$GB$31,$GB$32)</f>
        <v>152394.16214437486</v>
      </c>
      <c r="GG122" s="13">
        <f>GE122-GF122</f>
        <v>102179.59727390765</v>
      </c>
      <c r="GH122" s="13">
        <f>GH121+GG122</f>
        <v>3985004.293682398</v>
      </c>
      <c r="GI122">
        <f>IF(GH122=MAX($GH$83:$GH$483),$A122,0)</f>
        <v>0</v>
      </c>
      <c r="GJ122">
        <f>IF(GE122&lt;GF122,$A122,B_MAX+1)</f>
        <v>401.0</v>
      </c>
      <c r="GK122" s="13">
        <f>IF(GB122=1,$GB$35,$GB$36)</f>
        <v>0</v>
      </c>
      <c r="GL122" s="13">
        <f>OCC_DAYS*$GB$41*R_NF_2023-GD122*MCD_SHARE_FREED*R_WAIT_2023</f>
        <v>37367.159242427646</v>
      </c>
      <c r="GM122">
        <f>IF($A122&lt;=$GB$45,1,0)</f>
        <v>1</v>
      </c>
      <c r="HB122">
        <f>IF($HB$31&lt;=$HB$32,IF($A122&lt;=$HB$7,1,2),IF($A122&lt;=RUNG_BEDS_2,2,1))</f>
        <v>1</v>
      </c>
      <c r="HC122" s="5">
        <f>MIN(1,MAX(0,$HB$26-($A122-1)))</f>
        <v>1</v>
      </c>
      <c r="HD122" s="5">
        <f>$HB$25*(HC122+(1-HC122)*$HB$16)</f>
        <v>252.05322714681438</v>
      </c>
      <c r="HE122" s="13">
        <f>HD122*($HB$6+ACUTE_MARGIN)</f>
        <v>254573.7594182825</v>
      </c>
      <c r="HF122" s="13">
        <f>IF(HB122=1,$HB$31,$HB$32)</f>
        <v>152456.2970814058</v>
      </c>
      <c r="HG122" s="13">
        <f>HE122-HF122</f>
        <v>102117.46233687672</v>
      </c>
      <c r="HH122" s="13">
        <f>HH121+HG122</f>
        <v>3982581.0311381947</v>
      </c>
      <c r="HI122">
        <f>IF(HH122=MAX($HH$83:$HH$483),$A122,0)</f>
        <v>0</v>
      </c>
      <c r="HJ122">
        <f>IF(HE122&lt;HF122,$A122,B_MAX+1)</f>
        <v>401.0</v>
      </c>
      <c r="HK122" s="13">
        <f>IF(HB122=1,$HB$35,$HB$36)</f>
        <v>0</v>
      </c>
      <c r="HL122" s="13">
        <f>OCC_DAYS*$HB$41*R_NF_2023-HD122*MCD_SHARE_FREED*R_WAIT_2023</f>
        <v>37367.159242427646</v>
      </c>
      <c r="HM122">
        <f>IF($A122&lt;=$HB$45,1,0)</f>
        <v>1</v>
      </c>
      <c r="IB122">
        <f>IF($IB$31&lt;=$IB$32,IF($A122&lt;=$IB$7,1,2),IF($A122&lt;=RUNG_BEDS_2,2,1))</f>
        <v>1</v>
      </c>
      <c r="IC122" s="5">
        <f>MIN(1,MAX(0,$IB$26-($A122-1)))</f>
        <v>1</v>
      </c>
      <c r="ID122" s="5">
        <f>$IB$25*(IC122+(1-IC122)*$IB$16)</f>
        <v>252.05322714681438</v>
      </c>
      <c r="IE122" s="13">
        <f>ID122*($IB$6+ACUTE_MARGIN)</f>
        <v>254573.7594182825</v>
      </c>
      <c r="IF122" s="13">
        <f>IF(IB122=1,$IB$31,$IB$32)</f>
        <v>152734.9994534971</v>
      </c>
      <c r="IG122" s="13">
        <f>IE122-IF122</f>
        <v>101838.75996478542</v>
      </c>
      <c r="IH122" s="13">
        <f>IH121+IG122</f>
        <v>3971711.6386266346</v>
      </c>
      <c r="II122">
        <f>IF(IH122=MAX($IH$83:$IH$483),$A122,0)</f>
        <v>0</v>
      </c>
      <c r="IJ122">
        <f>IF(IE122&lt;IF122,$A122,B_MAX+1)</f>
        <v>401.0</v>
      </c>
      <c r="IK122" s="13">
        <f>IF(IB122=1,$IB$35,$IB$36)</f>
        <v>0</v>
      </c>
      <c r="IL122" s="13">
        <f>OCC_DAYS*$IB$41*R_NF_2023-ID122*MCD_SHARE_FREED*R_WAIT_2023</f>
        <v>37367.159242427646</v>
      </c>
      <c r="IM122">
        <f>IF($A122&lt;=$IB$45,1,0)</f>
        <v>1</v>
      </c>
      <c r="JB122">
        <f>IF($JB$31&lt;=$JB$32,IF($A122&lt;=$JB$7,1,2),IF($A122&lt;=RUNG_BEDS_2,2,1))</f>
        <v>1</v>
      </c>
      <c r="JC122" s="5">
        <f>MIN(1,MAX(0,$JB$26-($A122-1)))</f>
        <v>1</v>
      </c>
      <c r="JD122" s="5">
        <f>$JB$25*(JC122+(1-JC122)*$JB$16)</f>
        <v>252.05322714681438</v>
      </c>
      <c r="JE122" s="13">
        <f>JD122*($JB$6+ACUTE_MARGIN)</f>
        <v>254573.7594182825</v>
      </c>
      <c r="JF122" s="13">
        <f>IF(JB122=1,$JB$31,$JB$32)</f>
        <v>152394.16214437486</v>
      </c>
      <c r="JG122" s="13">
        <f>JE122-JF122</f>
        <v>102179.59727390765</v>
      </c>
      <c r="JH122" s="13">
        <f>JH121+JG122</f>
        <v>3985004.293682398</v>
      </c>
      <c r="JI122">
        <f>IF(JH122=MAX($JH$83:$JH$483),$A122,0)</f>
        <v>0</v>
      </c>
      <c r="JJ122">
        <f>IF(JE122&lt;JF122,$A122,B_MAX+1)</f>
        <v>401.0</v>
      </c>
      <c r="JK122" s="13">
        <f>IF(JB122=1,$JB$35,$JB$36)</f>
        <v>0</v>
      </c>
      <c r="JL122" s="13">
        <f>OCC_DAYS*$JB$41*R_NF_2023-JD122*MCD_SHARE_FREED*R_WAIT_2023</f>
        <v>37367.159242427646</v>
      </c>
      <c r="JM122">
        <f>IF($A122&lt;=$JB$45,1,0)</f>
        <v>1</v>
      </c>
      <c r="KB122">
        <f>IF($KB$31&lt;=$KB$32,IF($A122&lt;=$KB$7,1,2),IF($A122&lt;=RUNG_BEDS_2,2,1))</f>
        <v>1</v>
      </c>
      <c r="KC122" s="5">
        <f>MIN(1,MAX(0,$KB$26-($A122-1)))</f>
        <v>1</v>
      </c>
      <c r="KD122" s="5">
        <f>$KB$25*(KC122+(1-KC122)*$KB$16)</f>
        <v>126.02661357340719</v>
      </c>
      <c r="KE122" s="13">
        <f>KD122*($KB$6+ACUTE_MARGIN)</f>
        <v>127286.87970914126</v>
      </c>
      <c r="KF122" s="13">
        <f>IF(KB122=1,$KB$31,$KB$32)</f>
        <v>152394.16214437486</v>
      </c>
      <c r="KG122" s="13">
        <f>KE122-KF122</f>
        <v>-25107.282435233603</v>
      </c>
      <c r="KH122" s="13">
        <f>KH121+KG122</f>
        <v>-979184.0149741101</v>
      </c>
      <c r="KI122">
        <f>IF(KH122=MAX($KH$83:$KH$483),$A122,0)</f>
        <v>0</v>
      </c>
      <c r="KJ122">
        <f>IF(KE122&lt;KF122,$A122,B_MAX+1)</f>
        <v>39</v>
      </c>
      <c r="KK122" s="13">
        <f>IF(KB122=1,$KB$35,$KB$36)</f>
        <v>0</v>
      </c>
      <c r="KL122" s="13">
        <f>OCC_DAYS*$KB$41*R_NF_2023-KD122*MCD_SHARE_FREED*R_WAIT_2023</f>
        <v>94673.82103225985</v>
      </c>
      <c r="KM122">
        <f>IF($A122&lt;=$KB$45,1,0)</f>
        <v>0</v>
      </c>
      <c r="LB122">
        <f>IF($LB$31&lt;=$LB$32,IF($A122&lt;=$LB$7,1,2),IF($A122&lt;=RUNG_BEDS_2,2,1))</f>
        <v>1</v>
      </c>
      <c r="LC122" s="5">
        <f>MIN(1,MAX(0,$LB$26-($A122-1)))</f>
        <v>1</v>
      </c>
      <c r="LD122" s="5">
        <f>$LB$25*(LC122+(1-LC122)*$LB$16)</f>
        <v>84.01774238227146</v>
      </c>
      <c r="LE122" s="13">
        <f>LD122*($LB$6+ACUTE_MARGIN)</f>
        <v>84857.91980609419</v>
      </c>
      <c r="LF122" s="13">
        <f>IF(LB122=1,$LB$31,$LB$32)</f>
        <v>152394.16214437486</v>
      </c>
      <c r="LG122" s="13">
        <f>LE122-LF122</f>
        <v>-67536.24233828067</v>
      </c>
      <c r="LH122" s="13">
        <f>LH121+LG122</f>
        <v>-2633913.451192946</v>
      </c>
      <c r="LI122">
        <f>IF(LH122=MAX($LH$83:$LH$483),$A122,0)</f>
        <v>0</v>
      </c>
      <c r="LJ122">
        <f>IF(LE122&lt;LF122,$A122,B_MAX+1)</f>
        <v>39</v>
      </c>
      <c r="LK122" s="13">
        <f>IF(LB122=1,$LB$35,$LB$36)</f>
        <v>0</v>
      </c>
      <c r="LL122" s="13">
        <f>OCC_DAYS*$LB$41*R_NF_2023-LD122*MCD_SHARE_FREED*R_WAIT_2023</f>
        <v>113776.04162887059</v>
      </c>
      <c r="LM122">
        <f>IF($A122&lt;=$LB$45,1,0)</f>
        <v>0</v>
      </c>
      <c r="MB122">
        <f>IF($MB$31&lt;=$MB$32,IF($A122&lt;=$MB$7,1,2),IF($A122&lt;=RUNG_BEDS_2,2,1))</f>
        <v>1</v>
      </c>
      <c r="MC122" s="5">
        <f>MIN(1,MAX(0,$MB$26-($A122-1)))</f>
        <v>1</v>
      </c>
      <c r="MD122" s="5">
        <f>$MB$25*(MC122+(1-MC122)*$MB$16)</f>
        <v>213.44610951008647</v>
      </c>
      <c r="ME122" s="13">
        <f>MD122*($MB$6+ACUTE_MARGIN)</f>
        <v>215580.57060518733</v>
      </c>
      <c r="MF122" s="13">
        <f>IF(MB122=1,$MB$31,$MB$32)</f>
        <v>152394.16214437486</v>
      </c>
      <c r="MG122" s="13">
        <f>ME122-MF122</f>
        <v>63186.40846081247</v>
      </c>
      <c r="MH122" s="13">
        <f>MH121+MG122</f>
        <v>2464269.9299716856</v>
      </c>
      <c r="MI122">
        <f>IF(MH122=MAX($MH$83:$MH$483),$A122,0)</f>
        <v>0</v>
      </c>
      <c r="MJ122">
        <f>IF(ME122&lt;MF122,$A122,B_MAX+1)</f>
        <v>401.0</v>
      </c>
      <c r="MK122" s="13">
        <f>IF(MB122=1,$MB$35,$MB$36)</f>
        <v>0</v>
      </c>
      <c r="ML122" s="13">
        <f>OCC_DAYS*$MB$41*R_NF_2023-MD122*MCD_SHARE_FREED*R_WAIT_2023</f>
        <v>54922.538779778624</v>
      </c>
      <c r="MM122">
        <f>IF($A122&lt;=$MB$45,1,0)</f>
        <v>1</v>
      </c>
      <c r="NB122">
        <f>IF($NB$31&lt;=$NB$32,IF($A122&lt;=$NB$7,1,2),IF($A122&lt;=RUNG_BEDS_2,2,1))</f>
        <v>1</v>
      </c>
      <c r="NC122" s="5">
        <f>MIN(1,MAX(0,$NB$26-($A122-1)))</f>
        <v>1</v>
      </c>
      <c r="ND122" s="5">
        <f>$NB$25*(NC122+(1-NC122)*$NB$16)</f>
        <v>252.05322714681438</v>
      </c>
      <c r="NE122" s="13">
        <f>ND122*($NB$6+ACUTE_MARGIN)</f>
        <v>254573.7594182825</v>
      </c>
      <c r="NF122" s="13">
        <f>IF(NB122=1,$NB$31,$NB$32)</f>
        <v>152394.16214437486</v>
      </c>
      <c r="NG122" s="13">
        <f>NE122-NF122</f>
        <v>102179.59727390765</v>
      </c>
      <c r="NH122" s="13">
        <f>NH121+NG122</f>
        <v>3985004.293682398</v>
      </c>
      <c r="NI122">
        <f>IF(NH122=MAX($NH$83:$NH$483),$A122,0)</f>
        <v>0</v>
      </c>
      <c r="NJ122">
        <f>IF(NE122&lt;NF122,$A122,B_MAX+1)</f>
        <v>401.0</v>
      </c>
      <c r="NK122" s="13">
        <f>IF(NB122=1,$NB$35,$NB$36)</f>
        <v>0</v>
      </c>
      <c r="NL122" s="13">
        <f>OCC_DAYS*$NB$41*R_NF_2023-ND122*MCD_SHARE_FREED*R_WAIT_2023</f>
        <v>37367.159242427646</v>
      </c>
      <c r="NM122">
        <f>IF($A122&lt;=$NB$45,1,0)</f>
        <v>1</v>
      </c>
      <c r="OB122">
        <f>IF($OB$31&lt;=$OB$32,IF($A122&lt;=$OB$7,1,2),IF($A122&lt;=RUNG_BEDS_2,2,1))</f>
        <v>1</v>
      </c>
      <c r="OC122" s="5">
        <f>MIN(1,MAX(0,$OB$26-($A122-1)))</f>
        <v>1</v>
      </c>
      <c r="OD122" s="5">
        <f>$OB$25*(OC122+(1-OC122)*$OB$16)</f>
        <v>252.05322714681438</v>
      </c>
      <c r="OE122" s="13">
        <f>OD122*($OB$6+ACUTE_MARGIN)</f>
        <v>254573.7594182825</v>
      </c>
      <c r="OF122" s="13">
        <f>IF(OB122=1,$OB$31,$OB$32)</f>
        <v>152394.16214437486</v>
      </c>
      <c r="OG122" s="13">
        <f>OE122-OF122</f>
        <v>102179.59727390765</v>
      </c>
      <c r="OH122" s="13">
        <f>OH121+OG122</f>
        <v>3985004.293682398</v>
      </c>
      <c r="OI122">
        <f>IF(OH122=MAX($OH$83:$OH$483),$A122,0)</f>
        <v>0</v>
      </c>
      <c r="OJ122">
        <f>IF(OE122&lt;OF122,$A122,B_MAX+1)</f>
        <v>401.0</v>
      </c>
      <c r="OK122" s="13">
        <f>IF(OB122=1,$OB$35,$OB$36)</f>
        <v>0</v>
      </c>
      <c r="OL122" s="13">
        <f>OCC_DAYS*$OB$41*R_NF_2023-OD122*MCD_SHARE_FREED*R_WAIT_2023</f>
        <v>37367.159242427646</v>
      </c>
      <c r="OM122">
        <f>IF($A122&lt;=$OB$45,1,0)</f>
        <v>1</v>
      </c>
    </row>
    <row r="123">
      <c r="A123" t="n">
        <v>40</v>
      </c>
      <c r="B123">
        <f>IF($B$31&lt;=$B$32,IF($A123&lt;=$B$7,1,2),IF($A123&lt;=RUNG_BEDS_2,2,1))</f>
        <v>1</v>
      </c>
      <c r="C123" s="5">
        <f>MIN(1,MAX(0,$B$26-($A123-1)))</f>
        <v>1</v>
      </c>
      <c r="D123" s="5">
        <f>$B$25*(C123+(1-C123)*$B$16)</f>
        <v>252.05322714681438</v>
      </c>
      <c r="E123" s="13">
        <f>D123*($B$6+ACUTE_MARGIN)</f>
        <v>254573.7594182825</v>
      </c>
      <c r="F123" s="13">
        <f>IF(B123=1,$B$31,$B$32)</f>
        <v>152394.16214437486</v>
      </c>
      <c r="G123" s="13">
        <f>E123-F123</f>
        <v>102179.59727390765</v>
      </c>
      <c r="H123" s="13">
        <f>H122+G123</f>
        <v>4087183.8909563054</v>
      </c>
      <c r="I123">
        <f>IF(H123=MAX($H$83:$H$483),$A123,0)</f>
        <v>0</v>
      </c>
      <c r="J123">
        <f>IF(E123&lt;F123,$A123,B_MAX+1)</f>
        <v>401.0</v>
      </c>
      <c r="K123" s="13">
        <f>IF(B123=1,$B$35,$B$36)</f>
        <v>0</v>
      </c>
      <c r="L123" s="13">
        <f>OCC_DAYS*$B$41*R_NF_2023-D123*MCD_SHARE_FREED*R_WAIT_2023</f>
        <v>37367.159242427646</v>
      </c>
      <c r="M123">
        <f>IF($A123&lt;=$B$45,1,0)</f>
        <v>1</v>
      </c>
      <c r="AB123">
        <f>IF($AB$31&lt;=$AB$32,IF($A123&lt;=$AB$7,1,2),IF($A123&lt;=RUNG_BEDS_2,2,1))</f>
        <v>1</v>
      </c>
      <c r="AC123" s="5">
        <f>MIN(1,MAX(0,$AB$26-($A123-1)))</f>
        <v>1</v>
      </c>
      <c r="AD123" s="5">
        <f>$AB$25*(AC123+(1-AC123)*$AB$16)</f>
        <v>252.05322714681438</v>
      </c>
      <c r="AE123" s="13">
        <f>AD123*($AB$6+ACUTE_MARGIN)</f>
        <v>138629.2749307479</v>
      </c>
      <c r="AF123" s="13">
        <f>IF(AB123=1,$AB$31,$AB$32)</f>
        <v>152394.16214437486</v>
      </c>
      <c r="AG123" s="13">
        <f>AE123-AF123</f>
        <v>-13764.887213626964</v>
      </c>
      <c r="AH123" s="13">
        <f>AH122+AG123</f>
        <v>-550595.4885450791</v>
      </c>
      <c r="AI123">
        <f>IF(AH123=MAX($AH$83:$AH$483),$A123,0)</f>
        <v>0</v>
      </c>
      <c r="AJ123">
        <f>IF(AE123&lt;AF123,$A123,B_MAX+1)</f>
        <v>40</v>
      </c>
      <c r="AK123" s="13">
        <f>IF(AB123=1,$AB$35,$AB$36)</f>
        <v>0</v>
      </c>
      <c r="AL123" s="13">
        <f>OCC_DAYS*$AB$41*R_NF_2023-AD123*MCD_SHARE_FREED*R_WAIT_2023</f>
        <v>37367.159242427646</v>
      </c>
      <c r="AM123">
        <f>IF($A123&lt;=$AB$45,1,0)</f>
        <v>0</v>
      </c>
      <c r="BB123">
        <f>IF($BB$31&lt;=$BB$32,IF($A123&lt;=$BB$7,1,2),IF($A123&lt;=RUNG_BEDS_2,2,1))</f>
        <v>1</v>
      </c>
      <c r="BC123" s="5">
        <f>MIN(1,MAX(0,$BB$26-($A123-1)))</f>
        <v>1</v>
      </c>
      <c r="BD123" s="5">
        <f>$BB$25*(BC123+(1-BC123)*$BB$16)</f>
        <v>252.05322714681438</v>
      </c>
      <c r="BE123" s="13">
        <f>BD123*($BB$6+ACUTE_MARGIN)</f>
        <v>370518.24390581716</v>
      </c>
      <c r="BF123" s="13">
        <f>IF(BB123=1,$BB$31,$BB$32)</f>
        <v>152394.16214437486</v>
      </c>
      <c r="BG123" s="13">
        <f>BE123-BF123</f>
        <v>218124.0817614423</v>
      </c>
      <c r="BH123" s="13">
        <f>BH122+BG123</f>
        <v>8724963.270457687</v>
      </c>
      <c r="BI123">
        <f>IF(BH123=MAX($BH$83:$BH$483),$A123,0)</f>
        <v>0</v>
      </c>
      <c r="BJ123">
        <f>IF(BE123&lt;BF123,$A123,B_MAX+1)</f>
        <v>401.0</v>
      </c>
      <c r="BK123" s="13">
        <f>IF(BB123=1,$BB$35,$BB$36)</f>
        <v>0</v>
      </c>
      <c r="BL123" s="13">
        <f>OCC_DAYS*$BB$41*R_NF_2023-BD123*MCD_SHARE_FREED*R_WAIT_2023</f>
        <v>37367.159242427646</v>
      </c>
      <c r="BM123">
        <f>IF($A123&lt;=$BB$45,1,0)</f>
        <v>1</v>
      </c>
      <c r="CB123">
        <f>IF($CB$31&lt;=$CB$32,IF($A123&lt;=$CB$7,1,2),IF($A123&lt;=RUNG_BEDS_2,2,1))</f>
        <v>2</v>
      </c>
      <c r="CC123" s="5">
        <f>MIN(1,MAX(0,$CB$26-($A123-1)))</f>
        <v>1</v>
      </c>
      <c r="CD123" s="5">
        <f>$CB$25*(CC123+(1-CC123)*$CB$16)</f>
        <v>252.05322714681438</v>
      </c>
      <c r="CE123" s="13">
        <f>CD123*($CB$6+ACUTE_MARGIN)</f>
        <v>254573.7594182825</v>
      </c>
      <c r="CF123" s="13">
        <f>IF(CB123=1,$CB$31,$CB$32)</f>
        <v>160718.36940738867</v>
      </c>
      <c r="CG123" s="13">
        <f>CE123-CF123</f>
        <v>93855.39001089384</v>
      </c>
      <c r="CH123" s="13">
        <f>CH122+CG123</f>
        <v>3754215.600435753</v>
      </c>
      <c r="CI123">
        <f>IF(CH123=MAX($CH$83:$CH$483),$A123,0)</f>
        <v>0</v>
      </c>
      <c r="CJ123">
        <f>IF(CE123&lt;CF123,$A123,B_MAX+1)</f>
        <v>401.0</v>
      </c>
      <c r="CK123" s="13">
        <f>IF(CB123=1,$CB$35,$CB$36)</f>
        <v>1560.1194073886782</v>
      </c>
      <c r="CL123" s="13">
        <f>OCC_DAYS*$CB$41*R_NF_2023-CD123*MCD_SHARE_FREED*R_WAIT_2023</f>
        <v>37367.159242427646</v>
      </c>
      <c r="CM123">
        <f>IF($A123&lt;=$CB$45,1,0)</f>
        <v>1</v>
      </c>
      <c r="DB123">
        <f>IF($DB$31&lt;=$DB$32,IF($A123&lt;=$DB$7,1,2),IF($A123&lt;=RUNG_BEDS_2,2,1))</f>
        <v>1</v>
      </c>
      <c r="DC123" s="5">
        <f>MIN(1,MAX(0,$DB$26-($A123-1)))</f>
        <v>1</v>
      </c>
      <c r="DD123" s="5">
        <f>$DB$25*(DC123+(1-DC123)*$DB$16)</f>
        <v>252.05322714681438</v>
      </c>
      <c r="DE123" s="13">
        <f>DD123*($DB$6+ACUTE_MARGIN)</f>
        <v>254573.7594182825</v>
      </c>
      <c r="DF123" s="13">
        <f>IF(DB123=1,$DB$31,$DB$32)</f>
        <v>152394.16214437486</v>
      </c>
      <c r="DG123" s="13">
        <f>DE123-DF123</f>
        <v>102179.59727390765</v>
      </c>
      <c r="DH123" s="13">
        <f>DH122+DG123</f>
        <v>4087183.8909563054</v>
      </c>
      <c r="DI123">
        <f>IF(DH123=MAX($DH$83:$DH$483),$A123,0)</f>
        <v>0</v>
      </c>
      <c r="DJ123">
        <f>IF(DE123&lt;DF123,$A123,B_MAX+1)</f>
        <v>401.0</v>
      </c>
      <c r="DK123" s="13">
        <f>IF(DB123=1,$DB$35,$DB$36)</f>
        <v>0</v>
      </c>
      <c r="DL123" s="13">
        <f>OCC_DAYS*$DB$41*R_NF_2023-DD123*MCD_SHARE_FREED*R_WAIT_2023</f>
        <v>37367.159242427646</v>
      </c>
      <c r="DM123">
        <f>IF($A123&lt;=$DB$45,1,0)</f>
        <v>1</v>
      </c>
      <c r="EB123">
        <f>IF($EB$31&lt;=$EB$32,IF($A123&lt;=$EB$7,1,2),IF($A123&lt;=RUNG_BEDS_2,2,1))</f>
        <v>1</v>
      </c>
      <c r="EC123" s="5">
        <f>MIN(1,MAX(0,$EB$26-($A123-1)))</f>
        <v>1</v>
      </c>
      <c r="ED123" s="5">
        <f>$EB$25*(EC123+(1-EC123)*$EB$16)</f>
        <v>252.05322714681438</v>
      </c>
      <c r="EE123" s="13">
        <f>ED123*($EB$6+ACUTE_MARGIN)</f>
        <v>254573.7594182825</v>
      </c>
      <c r="EF123" s="13">
        <f>IF(EB123=1,$EB$31,$EB$32)</f>
        <v>152394.16214437486</v>
      </c>
      <c r="EG123" s="13">
        <f>EE123-EF123</f>
        <v>102179.59727390765</v>
      </c>
      <c r="EH123" s="13">
        <f>EH122+EG123</f>
        <v>4087183.8909563054</v>
      </c>
      <c r="EI123">
        <f>IF(EH123=MAX($EH$83:$EH$483),$A123,0)</f>
        <v>0</v>
      </c>
      <c r="EJ123">
        <f>IF(EE123&lt;EF123,$A123,B_MAX+1)</f>
        <v>401.0</v>
      </c>
      <c r="EK123" s="13">
        <f>IF(EB123=1,$EB$35,$EB$36)</f>
        <v>0</v>
      </c>
      <c r="EL123" s="13">
        <f>OCC_DAYS*$EB$41*R_NF_2023-ED123*MCD_SHARE_FREED*R_WAIT_2023</f>
        <v>-63953.16263896705</v>
      </c>
      <c r="EM123">
        <f>IF($A123&lt;=$EB$45,1,0)</f>
        <v>1</v>
      </c>
      <c r="FB123">
        <f>IF($FB$31&lt;=$FB$32,IF($A123&lt;=$FB$7,1,2),IF($A123&lt;=RUNG_BEDS_2,2,1))</f>
        <v>1</v>
      </c>
      <c r="FC123" s="5">
        <f>MIN(1,MAX(0,$FB$26-($A123-1)))</f>
        <v>1</v>
      </c>
      <c r="FD123" s="5">
        <f>$FB$25*(FC123+(1-FC123)*$FB$16)</f>
        <v>252.05322714681438</v>
      </c>
      <c r="FE123" s="13">
        <f>FD123*($FB$6+ACUTE_MARGIN)</f>
        <v>254573.7594182825</v>
      </c>
      <c r="FF123" s="13">
        <f>IF(FB123=1,$FB$31,$FB$32)</f>
        <v>156636.04979437485</v>
      </c>
      <c r="FG123" s="13">
        <f>FE123-FF123</f>
        <v>97937.70962390766</v>
      </c>
      <c r="FH123" s="13">
        <f>FH122+FG123</f>
        <v>3917508.3849563072</v>
      </c>
      <c r="FI123">
        <f>IF(FH123=MAX($FH$83:$FH$483),$A123,0)</f>
        <v>0</v>
      </c>
      <c r="FJ123">
        <f>IF(FE123&lt;FF123,$A123,B_MAX+1)</f>
        <v>401.0</v>
      </c>
      <c r="FK123" s="13">
        <f>IF(FB123=1,$FB$35,$FB$36)</f>
        <v>0</v>
      </c>
      <c r="FL123" s="13">
        <f>OCC_DAYS*$FB$41*R_NF_2023-FD123*MCD_SHARE_FREED*R_WAIT_2023</f>
        <v>37367.159242427646</v>
      </c>
      <c r="FM123">
        <f>IF($A123&lt;=$FB$45,1,0)</f>
        <v>1</v>
      </c>
      <c r="GB123">
        <f>IF($GB$31&lt;=$GB$32,IF($A123&lt;=$GB$7,1,2),IF($A123&lt;=RUNG_BEDS_2,2,1))</f>
        <v>1</v>
      </c>
      <c r="GC123" s="5">
        <f>MIN(1,MAX(0,$GB$26-($A123-1)))</f>
        <v>1</v>
      </c>
      <c r="GD123" s="5">
        <f>$GB$25*(GC123+(1-GC123)*$GB$16)</f>
        <v>252.05322714681438</v>
      </c>
      <c r="GE123" s="13">
        <f>GD123*($GB$6+ACUTE_MARGIN)</f>
        <v>254573.7594182825</v>
      </c>
      <c r="GF123" s="13">
        <f>IF(GB123=1,$GB$31,$GB$32)</f>
        <v>152394.16214437486</v>
      </c>
      <c r="GG123" s="13">
        <f>GE123-GF123</f>
        <v>102179.59727390765</v>
      </c>
      <c r="GH123" s="13">
        <f>GH122+GG123</f>
        <v>4087183.8909563054</v>
      </c>
      <c r="GI123">
        <f>IF(GH123=MAX($GH$83:$GH$483),$A123,0)</f>
        <v>0</v>
      </c>
      <c r="GJ123">
        <f>IF(GE123&lt;GF123,$A123,B_MAX+1)</f>
        <v>401.0</v>
      </c>
      <c r="GK123" s="13">
        <f>IF(GB123=1,$GB$35,$GB$36)</f>
        <v>0</v>
      </c>
      <c r="GL123" s="13">
        <f>OCC_DAYS*$GB$41*R_NF_2023-GD123*MCD_SHARE_FREED*R_WAIT_2023</f>
        <v>37367.159242427646</v>
      </c>
      <c r="GM123">
        <f>IF($A123&lt;=$GB$45,1,0)</f>
        <v>1</v>
      </c>
      <c r="HB123">
        <f>IF($HB$31&lt;=$HB$32,IF($A123&lt;=$HB$7,1,2),IF($A123&lt;=RUNG_BEDS_2,2,1))</f>
        <v>1</v>
      </c>
      <c r="HC123" s="5">
        <f>MIN(1,MAX(0,$HB$26-($A123-1)))</f>
        <v>1</v>
      </c>
      <c r="HD123" s="5">
        <f>$HB$25*(HC123+(1-HC123)*$HB$16)</f>
        <v>252.05322714681438</v>
      </c>
      <c r="HE123" s="13">
        <f>HD123*($HB$6+ACUTE_MARGIN)</f>
        <v>254573.7594182825</v>
      </c>
      <c r="HF123" s="13">
        <f>IF(HB123=1,$HB$31,$HB$32)</f>
        <v>152456.2970814058</v>
      </c>
      <c r="HG123" s="13">
        <f>HE123-HF123</f>
        <v>102117.46233687672</v>
      </c>
      <c r="HH123" s="13">
        <f>HH122+HG123</f>
        <v>4084698.4934750716</v>
      </c>
      <c r="HI123">
        <f>IF(HH123=MAX($HH$83:$HH$483),$A123,0)</f>
        <v>0</v>
      </c>
      <c r="HJ123">
        <f>IF(HE123&lt;HF123,$A123,B_MAX+1)</f>
        <v>401.0</v>
      </c>
      <c r="HK123" s="13">
        <f>IF(HB123=1,$HB$35,$HB$36)</f>
        <v>0</v>
      </c>
      <c r="HL123" s="13">
        <f>OCC_DAYS*$HB$41*R_NF_2023-HD123*MCD_SHARE_FREED*R_WAIT_2023</f>
        <v>37367.159242427646</v>
      </c>
      <c r="HM123">
        <f>IF($A123&lt;=$HB$45,1,0)</f>
        <v>1</v>
      </c>
      <c r="IB123">
        <f>IF($IB$31&lt;=$IB$32,IF($A123&lt;=$IB$7,1,2),IF($A123&lt;=RUNG_BEDS_2,2,1))</f>
        <v>1</v>
      </c>
      <c r="IC123" s="5">
        <f>MIN(1,MAX(0,$IB$26-($A123-1)))</f>
        <v>1</v>
      </c>
      <c r="ID123" s="5">
        <f>$IB$25*(IC123+(1-IC123)*$IB$16)</f>
        <v>252.05322714681438</v>
      </c>
      <c r="IE123" s="13">
        <f>ID123*($IB$6+ACUTE_MARGIN)</f>
        <v>254573.7594182825</v>
      </c>
      <c r="IF123" s="13">
        <f>IF(IB123=1,$IB$31,$IB$32)</f>
        <v>152734.9994534971</v>
      </c>
      <c r="IG123" s="13">
        <f>IE123-IF123</f>
        <v>101838.75996478542</v>
      </c>
      <c r="IH123" s="13">
        <f>IH122+IG123</f>
        <v>4073550.39859142</v>
      </c>
      <c r="II123">
        <f>IF(IH123=MAX($IH$83:$IH$483),$A123,0)</f>
        <v>0</v>
      </c>
      <c r="IJ123">
        <f>IF(IE123&lt;IF123,$A123,B_MAX+1)</f>
        <v>401.0</v>
      </c>
      <c r="IK123" s="13">
        <f>IF(IB123=1,$IB$35,$IB$36)</f>
        <v>0</v>
      </c>
      <c r="IL123" s="13">
        <f>OCC_DAYS*$IB$41*R_NF_2023-ID123*MCD_SHARE_FREED*R_WAIT_2023</f>
        <v>37367.159242427646</v>
      </c>
      <c r="IM123">
        <f>IF($A123&lt;=$IB$45,1,0)</f>
        <v>1</v>
      </c>
      <c r="JB123">
        <f>IF($JB$31&lt;=$JB$32,IF($A123&lt;=$JB$7,1,2),IF($A123&lt;=RUNG_BEDS_2,2,1))</f>
        <v>1</v>
      </c>
      <c r="JC123" s="5">
        <f>MIN(1,MAX(0,$JB$26-($A123-1)))</f>
        <v>1</v>
      </c>
      <c r="JD123" s="5">
        <f>$JB$25*(JC123+(1-JC123)*$JB$16)</f>
        <v>252.05322714681438</v>
      </c>
      <c r="JE123" s="13">
        <f>JD123*($JB$6+ACUTE_MARGIN)</f>
        <v>254573.7594182825</v>
      </c>
      <c r="JF123" s="13">
        <f>IF(JB123=1,$JB$31,$JB$32)</f>
        <v>152394.16214437486</v>
      </c>
      <c r="JG123" s="13">
        <f>JE123-JF123</f>
        <v>102179.59727390765</v>
      </c>
      <c r="JH123" s="13">
        <f>JH122+JG123</f>
        <v>4087183.8909563054</v>
      </c>
      <c r="JI123">
        <f>IF(JH123=MAX($JH$83:$JH$483),$A123,0)</f>
        <v>0</v>
      </c>
      <c r="JJ123">
        <f>IF(JE123&lt;JF123,$A123,B_MAX+1)</f>
        <v>401.0</v>
      </c>
      <c r="JK123" s="13">
        <f>IF(JB123=1,$JB$35,$JB$36)</f>
        <v>0</v>
      </c>
      <c r="JL123" s="13">
        <f>OCC_DAYS*$JB$41*R_NF_2023-JD123*MCD_SHARE_FREED*R_WAIT_2023</f>
        <v>37367.159242427646</v>
      </c>
      <c r="JM123">
        <f>IF($A123&lt;=$JB$45,1,0)</f>
        <v>1</v>
      </c>
      <c r="KB123">
        <f>IF($KB$31&lt;=$KB$32,IF($A123&lt;=$KB$7,1,2),IF($A123&lt;=RUNG_BEDS_2,2,1))</f>
        <v>1</v>
      </c>
      <c r="KC123" s="5">
        <f>MIN(1,MAX(0,$KB$26-($A123-1)))</f>
        <v>1</v>
      </c>
      <c r="KD123" s="5">
        <f>$KB$25*(KC123+(1-KC123)*$KB$16)</f>
        <v>126.02661357340719</v>
      </c>
      <c r="KE123" s="13">
        <f>KD123*($KB$6+ACUTE_MARGIN)</f>
        <v>127286.87970914126</v>
      </c>
      <c r="KF123" s="13">
        <f>IF(KB123=1,$KB$31,$KB$32)</f>
        <v>152394.16214437486</v>
      </c>
      <c r="KG123" s="13">
        <f>KE123-KF123</f>
        <v>-25107.282435233603</v>
      </c>
      <c r="KH123" s="13">
        <f>KH122+KG123</f>
        <v>-1004291.2974093436</v>
      </c>
      <c r="KI123">
        <f>IF(KH123=MAX($KH$83:$KH$483),$A123,0)</f>
        <v>0</v>
      </c>
      <c r="KJ123">
        <f>IF(KE123&lt;KF123,$A123,B_MAX+1)</f>
        <v>40</v>
      </c>
      <c r="KK123" s="13">
        <f>IF(KB123=1,$KB$35,$KB$36)</f>
        <v>0</v>
      </c>
      <c r="KL123" s="13">
        <f>OCC_DAYS*$KB$41*R_NF_2023-KD123*MCD_SHARE_FREED*R_WAIT_2023</f>
        <v>94673.82103225985</v>
      </c>
      <c r="KM123">
        <f>IF($A123&lt;=$KB$45,1,0)</f>
        <v>0</v>
      </c>
      <c r="LB123">
        <f>IF($LB$31&lt;=$LB$32,IF($A123&lt;=$LB$7,1,2),IF($A123&lt;=RUNG_BEDS_2,2,1))</f>
        <v>1</v>
      </c>
      <c r="LC123" s="5">
        <f>MIN(1,MAX(0,$LB$26-($A123-1)))</f>
        <v>1</v>
      </c>
      <c r="LD123" s="5">
        <f>$LB$25*(LC123+(1-LC123)*$LB$16)</f>
        <v>84.01774238227146</v>
      </c>
      <c r="LE123" s="13">
        <f>LD123*($LB$6+ACUTE_MARGIN)</f>
        <v>84857.91980609419</v>
      </c>
      <c r="LF123" s="13">
        <f>IF(LB123=1,$LB$31,$LB$32)</f>
        <v>152394.16214437486</v>
      </c>
      <c r="LG123" s="13">
        <f>LE123-LF123</f>
        <v>-67536.24233828067</v>
      </c>
      <c r="LH123" s="13">
        <f>LH122+LG123</f>
        <v>-2701449.693531227</v>
      </c>
      <c r="LI123">
        <f>IF(LH123=MAX($LH$83:$LH$483),$A123,0)</f>
        <v>0</v>
      </c>
      <c r="LJ123">
        <f>IF(LE123&lt;LF123,$A123,B_MAX+1)</f>
        <v>40</v>
      </c>
      <c r="LK123" s="13">
        <f>IF(LB123=1,$LB$35,$LB$36)</f>
        <v>0</v>
      </c>
      <c r="LL123" s="13">
        <f>OCC_DAYS*$LB$41*R_NF_2023-LD123*MCD_SHARE_FREED*R_WAIT_2023</f>
        <v>113776.04162887059</v>
      </c>
      <c r="LM123">
        <f>IF($A123&lt;=$LB$45,1,0)</f>
        <v>0</v>
      </c>
      <c r="MB123">
        <f>IF($MB$31&lt;=$MB$32,IF($A123&lt;=$MB$7,1,2),IF($A123&lt;=RUNG_BEDS_2,2,1))</f>
        <v>1</v>
      </c>
      <c r="MC123" s="5">
        <f>MIN(1,MAX(0,$MB$26-($A123-1)))</f>
        <v>1</v>
      </c>
      <c r="MD123" s="5">
        <f>$MB$25*(MC123+(1-MC123)*$MB$16)</f>
        <v>213.44610951008647</v>
      </c>
      <c r="ME123" s="13">
        <f>MD123*($MB$6+ACUTE_MARGIN)</f>
        <v>215580.57060518733</v>
      </c>
      <c r="MF123" s="13">
        <f>IF(MB123=1,$MB$31,$MB$32)</f>
        <v>152394.16214437486</v>
      </c>
      <c r="MG123" s="13">
        <f>ME123-MF123</f>
        <v>63186.40846081247</v>
      </c>
      <c r="MH123" s="13">
        <f>MH122+MG123</f>
        <v>2527456.3384324983</v>
      </c>
      <c r="MI123">
        <f>IF(MH123=MAX($MH$83:$MH$483),$A123,0)</f>
        <v>0</v>
      </c>
      <c r="MJ123">
        <f>IF(ME123&lt;MF123,$A123,B_MAX+1)</f>
        <v>401.0</v>
      </c>
      <c r="MK123" s="13">
        <f>IF(MB123=1,$MB$35,$MB$36)</f>
        <v>0</v>
      </c>
      <c r="ML123" s="13">
        <f>OCC_DAYS*$MB$41*R_NF_2023-MD123*MCD_SHARE_FREED*R_WAIT_2023</f>
        <v>54922.538779778624</v>
      </c>
      <c r="MM123">
        <f>IF($A123&lt;=$MB$45,1,0)</f>
        <v>1</v>
      </c>
      <c r="NB123">
        <f>IF($NB$31&lt;=$NB$32,IF($A123&lt;=$NB$7,1,2),IF($A123&lt;=RUNG_BEDS_2,2,1))</f>
        <v>1</v>
      </c>
      <c r="NC123" s="5">
        <f>MIN(1,MAX(0,$NB$26-($A123-1)))</f>
        <v>1</v>
      </c>
      <c r="ND123" s="5">
        <f>$NB$25*(NC123+(1-NC123)*$NB$16)</f>
        <v>252.05322714681438</v>
      </c>
      <c r="NE123" s="13">
        <f>ND123*($NB$6+ACUTE_MARGIN)</f>
        <v>254573.7594182825</v>
      </c>
      <c r="NF123" s="13">
        <f>IF(NB123=1,$NB$31,$NB$32)</f>
        <v>152394.16214437486</v>
      </c>
      <c r="NG123" s="13">
        <f>NE123-NF123</f>
        <v>102179.59727390765</v>
      </c>
      <c r="NH123" s="13">
        <f>NH122+NG123</f>
        <v>4087183.8909563054</v>
      </c>
      <c r="NI123">
        <f>IF(NH123=MAX($NH$83:$NH$483),$A123,0)</f>
        <v>0</v>
      </c>
      <c r="NJ123">
        <f>IF(NE123&lt;NF123,$A123,B_MAX+1)</f>
        <v>401.0</v>
      </c>
      <c r="NK123" s="13">
        <f>IF(NB123=1,$NB$35,$NB$36)</f>
        <v>0</v>
      </c>
      <c r="NL123" s="13">
        <f>OCC_DAYS*$NB$41*R_NF_2023-ND123*MCD_SHARE_FREED*R_WAIT_2023</f>
        <v>37367.159242427646</v>
      </c>
      <c r="NM123">
        <f>IF($A123&lt;=$NB$45,1,0)</f>
        <v>1</v>
      </c>
      <c r="OB123">
        <f>IF($OB$31&lt;=$OB$32,IF($A123&lt;=$OB$7,1,2),IF($A123&lt;=RUNG_BEDS_2,2,1))</f>
        <v>1</v>
      </c>
      <c r="OC123" s="5">
        <f>MIN(1,MAX(0,$OB$26-($A123-1)))</f>
        <v>1</v>
      </c>
      <c r="OD123" s="5">
        <f>$OB$25*(OC123+(1-OC123)*$OB$16)</f>
        <v>252.05322714681438</v>
      </c>
      <c r="OE123" s="13">
        <f>OD123*($OB$6+ACUTE_MARGIN)</f>
        <v>254573.7594182825</v>
      </c>
      <c r="OF123" s="13">
        <f>IF(OB123=1,$OB$31,$OB$32)</f>
        <v>152394.16214437486</v>
      </c>
      <c r="OG123" s="13">
        <f>OE123-OF123</f>
        <v>102179.59727390765</v>
      </c>
      <c r="OH123" s="13">
        <f>OH122+OG123</f>
        <v>4087183.8909563054</v>
      </c>
      <c r="OI123">
        <f>IF(OH123=MAX($OH$83:$OH$483),$A123,0)</f>
        <v>0</v>
      </c>
      <c r="OJ123">
        <f>IF(OE123&lt;OF123,$A123,B_MAX+1)</f>
        <v>401.0</v>
      </c>
      <c r="OK123" s="13">
        <f>IF(OB123=1,$OB$35,$OB$36)</f>
        <v>0</v>
      </c>
      <c r="OL123" s="13">
        <f>OCC_DAYS*$OB$41*R_NF_2023-OD123*MCD_SHARE_FREED*R_WAIT_2023</f>
        <v>37367.159242427646</v>
      </c>
      <c r="OM123">
        <f>IF($A123&lt;=$OB$45,1,0)</f>
        <v>1</v>
      </c>
    </row>
    <row r="124">
      <c r="A124" t="n">
        <v>41</v>
      </c>
      <c r="B124">
        <f>IF($B$31&lt;=$B$32,IF($A124&lt;=$B$7,1,2),IF($A124&lt;=RUNG_BEDS_2,2,1))</f>
        <v>1</v>
      </c>
      <c r="C124" s="5">
        <f>MIN(1,MAX(0,$B$26-($A124-1)))</f>
        <v>1</v>
      </c>
      <c r="D124" s="5">
        <f>$B$25*(C124+(1-C124)*$B$16)</f>
        <v>252.05322714681438</v>
      </c>
      <c r="E124" s="13">
        <f>D124*($B$6+ACUTE_MARGIN)</f>
        <v>254573.7594182825</v>
      </c>
      <c r="F124" s="13">
        <f>IF(B124=1,$B$31,$B$32)</f>
        <v>152394.16214437486</v>
      </c>
      <c r="G124" s="13">
        <f>E124-F124</f>
        <v>102179.59727390765</v>
      </c>
      <c r="H124" s="13">
        <f>H123+G124</f>
        <v>4189363.488230213</v>
      </c>
      <c r="I124">
        <f>IF(H124=MAX($H$83:$H$483),$A124,0)</f>
        <v>0</v>
      </c>
      <c r="J124">
        <f>IF(E124&lt;F124,$A124,B_MAX+1)</f>
        <v>401.0</v>
      </c>
      <c r="K124" s="13">
        <f>IF(B124=1,$B$35,$B$36)</f>
        <v>0</v>
      </c>
      <c r="L124" s="13">
        <f>OCC_DAYS*$B$41*R_NF_2023-D124*MCD_SHARE_FREED*R_WAIT_2023</f>
        <v>37367.159242427646</v>
      </c>
      <c r="M124">
        <f>IF($A124&lt;=$B$45,1,0)</f>
        <v>1</v>
      </c>
      <c r="AB124">
        <f>IF($AB$31&lt;=$AB$32,IF($A124&lt;=$AB$7,1,2),IF($A124&lt;=RUNG_BEDS_2,2,1))</f>
        <v>1</v>
      </c>
      <c r="AC124" s="5">
        <f>MIN(1,MAX(0,$AB$26-($A124-1)))</f>
        <v>1</v>
      </c>
      <c r="AD124" s="5">
        <f>$AB$25*(AC124+(1-AC124)*$AB$16)</f>
        <v>252.05322714681438</v>
      </c>
      <c r="AE124" s="13">
        <f>AD124*($AB$6+ACUTE_MARGIN)</f>
        <v>138629.2749307479</v>
      </c>
      <c r="AF124" s="13">
        <f>IF(AB124=1,$AB$31,$AB$32)</f>
        <v>152394.16214437486</v>
      </c>
      <c r="AG124" s="13">
        <f>AE124-AF124</f>
        <v>-13764.887213626964</v>
      </c>
      <c r="AH124" s="13">
        <f>AH123+AG124</f>
        <v>-564360.3757587061</v>
      </c>
      <c r="AI124">
        <f>IF(AH124=MAX($AH$83:$AH$483),$A124,0)</f>
        <v>0</v>
      </c>
      <c r="AJ124">
        <f>IF(AE124&lt;AF124,$A124,B_MAX+1)</f>
        <v>41</v>
      </c>
      <c r="AK124" s="13">
        <f>IF(AB124=1,$AB$35,$AB$36)</f>
        <v>0</v>
      </c>
      <c r="AL124" s="13">
        <f>OCC_DAYS*$AB$41*R_NF_2023-AD124*MCD_SHARE_FREED*R_WAIT_2023</f>
        <v>37367.159242427646</v>
      </c>
      <c r="AM124">
        <f>IF($A124&lt;=$AB$45,1,0)</f>
        <v>0</v>
      </c>
      <c r="BB124">
        <f>IF($BB$31&lt;=$BB$32,IF($A124&lt;=$BB$7,1,2),IF($A124&lt;=RUNG_BEDS_2,2,1))</f>
        <v>1</v>
      </c>
      <c r="BC124" s="5">
        <f>MIN(1,MAX(0,$BB$26-($A124-1)))</f>
        <v>1</v>
      </c>
      <c r="BD124" s="5">
        <f>$BB$25*(BC124+(1-BC124)*$BB$16)</f>
        <v>252.05322714681438</v>
      </c>
      <c r="BE124" s="13">
        <f>BD124*($BB$6+ACUTE_MARGIN)</f>
        <v>370518.24390581716</v>
      </c>
      <c r="BF124" s="13">
        <f>IF(BB124=1,$BB$31,$BB$32)</f>
        <v>152394.16214437486</v>
      </c>
      <c r="BG124" s="13">
        <f>BE124-BF124</f>
        <v>218124.0817614423</v>
      </c>
      <c r="BH124" s="13">
        <f>BH123+BG124</f>
        <v>8943087.352219129</v>
      </c>
      <c r="BI124">
        <f>IF(BH124=MAX($BH$83:$BH$483),$A124,0)</f>
        <v>0</v>
      </c>
      <c r="BJ124">
        <f>IF(BE124&lt;BF124,$A124,B_MAX+1)</f>
        <v>401.0</v>
      </c>
      <c r="BK124" s="13">
        <f>IF(BB124=1,$BB$35,$BB$36)</f>
        <v>0</v>
      </c>
      <c r="BL124" s="13">
        <f>OCC_DAYS*$BB$41*R_NF_2023-BD124*MCD_SHARE_FREED*R_WAIT_2023</f>
        <v>37367.159242427646</v>
      </c>
      <c r="BM124">
        <f>IF($A124&lt;=$BB$45,1,0)</f>
        <v>1</v>
      </c>
      <c r="CB124">
        <f>IF($CB$31&lt;=$CB$32,IF($A124&lt;=$CB$7,1,2),IF($A124&lt;=RUNG_BEDS_2,2,1))</f>
        <v>2</v>
      </c>
      <c r="CC124" s="5">
        <f>MIN(1,MAX(0,$CB$26-($A124-1)))</f>
        <v>1</v>
      </c>
      <c r="CD124" s="5">
        <f>$CB$25*(CC124+(1-CC124)*$CB$16)</f>
        <v>252.05322714681438</v>
      </c>
      <c r="CE124" s="13">
        <f>CD124*($CB$6+ACUTE_MARGIN)</f>
        <v>254573.7594182825</v>
      </c>
      <c r="CF124" s="13">
        <f>IF(CB124=1,$CB$31,$CB$32)</f>
        <v>160718.36940738867</v>
      </c>
      <c r="CG124" s="13">
        <f>CE124-CF124</f>
        <v>93855.39001089384</v>
      </c>
      <c r="CH124" s="13">
        <f>CH123+CG124</f>
        <v>3848070.9904466467</v>
      </c>
      <c r="CI124">
        <f>IF(CH124=MAX($CH$83:$CH$483),$A124,0)</f>
        <v>0</v>
      </c>
      <c r="CJ124">
        <f>IF(CE124&lt;CF124,$A124,B_MAX+1)</f>
        <v>401.0</v>
      </c>
      <c r="CK124" s="13">
        <f>IF(CB124=1,$CB$35,$CB$36)</f>
        <v>1560.1194073886782</v>
      </c>
      <c r="CL124" s="13">
        <f>OCC_DAYS*$CB$41*R_NF_2023-CD124*MCD_SHARE_FREED*R_WAIT_2023</f>
        <v>37367.159242427646</v>
      </c>
      <c r="CM124">
        <f>IF($A124&lt;=$CB$45,1,0)</f>
        <v>1</v>
      </c>
      <c r="DB124">
        <f>IF($DB$31&lt;=$DB$32,IF($A124&lt;=$DB$7,1,2),IF($A124&lt;=RUNG_BEDS_2,2,1))</f>
        <v>1</v>
      </c>
      <c r="DC124" s="5">
        <f>MIN(1,MAX(0,$DB$26-($A124-1)))</f>
        <v>1</v>
      </c>
      <c r="DD124" s="5">
        <f>$DB$25*(DC124+(1-DC124)*$DB$16)</f>
        <v>252.05322714681438</v>
      </c>
      <c r="DE124" s="13">
        <f>DD124*($DB$6+ACUTE_MARGIN)</f>
        <v>254573.7594182825</v>
      </c>
      <c r="DF124" s="13">
        <f>IF(DB124=1,$DB$31,$DB$32)</f>
        <v>152394.16214437486</v>
      </c>
      <c r="DG124" s="13">
        <f>DE124-DF124</f>
        <v>102179.59727390765</v>
      </c>
      <c r="DH124" s="13">
        <f>DH123+DG124</f>
        <v>4189363.488230213</v>
      </c>
      <c r="DI124">
        <f>IF(DH124=MAX($DH$83:$DH$483),$A124,0)</f>
        <v>0</v>
      </c>
      <c r="DJ124">
        <f>IF(DE124&lt;DF124,$A124,B_MAX+1)</f>
        <v>401.0</v>
      </c>
      <c r="DK124" s="13">
        <f>IF(DB124=1,$DB$35,$DB$36)</f>
        <v>0</v>
      </c>
      <c r="DL124" s="13">
        <f>OCC_DAYS*$DB$41*R_NF_2023-DD124*MCD_SHARE_FREED*R_WAIT_2023</f>
        <v>37367.159242427646</v>
      </c>
      <c r="DM124">
        <f>IF($A124&lt;=$DB$45,1,0)</f>
        <v>1</v>
      </c>
      <c r="EB124">
        <f>IF($EB$31&lt;=$EB$32,IF($A124&lt;=$EB$7,1,2),IF($A124&lt;=RUNG_BEDS_2,2,1))</f>
        <v>1</v>
      </c>
      <c r="EC124" s="5">
        <f>MIN(1,MAX(0,$EB$26-($A124-1)))</f>
        <v>1</v>
      </c>
      <c r="ED124" s="5">
        <f>$EB$25*(EC124+(1-EC124)*$EB$16)</f>
        <v>252.05322714681438</v>
      </c>
      <c r="EE124" s="13">
        <f>ED124*($EB$6+ACUTE_MARGIN)</f>
        <v>254573.7594182825</v>
      </c>
      <c r="EF124" s="13">
        <f>IF(EB124=1,$EB$31,$EB$32)</f>
        <v>152394.16214437486</v>
      </c>
      <c r="EG124" s="13">
        <f>EE124-EF124</f>
        <v>102179.59727390765</v>
      </c>
      <c r="EH124" s="13">
        <f>EH123+EG124</f>
        <v>4189363.488230213</v>
      </c>
      <c r="EI124">
        <f>IF(EH124=MAX($EH$83:$EH$483),$A124,0)</f>
        <v>0</v>
      </c>
      <c r="EJ124">
        <f>IF(EE124&lt;EF124,$A124,B_MAX+1)</f>
        <v>401.0</v>
      </c>
      <c r="EK124" s="13">
        <f>IF(EB124=1,$EB$35,$EB$36)</f>
        <v>0</v>
      </c>
      <c r="EL124" s="13">
        <f>OCC_DAYS*$EB$41*R_NF_2023-ED124*MCD_SHARE_FREED*R_WAIT_2023</f>
        <v>-63953.16263896705</v>
      </c>
      <c r="EM124">
        <f>IF($A124&lt;=$EB$45,1,0)</f>
        <v>1</v>
      </c>
      <c r="FB124">
        <f>IF($FB$31&lt;=$FB$32,IF($A124&lt;=$FB$7,1,2),IF($A124&lt;=RUNG_BEDS_2,2,1))</f>
        <v>1</v>
      </c>
      <c r="FC124" s="5">
        <f>MIN(1,MAX(0,$FB$26-($A124-1)))</f>
        <v>1</v>
      </c>
      <c r="FD124" s="5">
        <f>$FB$25*(FC124+(1-FC124)*$FB$16)</f>
        <v>252.05322714681438</v>
      </c>
      <c r="FE124" s="13">
        <f>FD124*($FB$6+ACUTE_MARGIN)</f>
        <v>254573.7594182825</v>
      </c>
      <c r="FF124" s="13">
        <f>IF(FB124=1,$FB$31,$FB$32)</f>
        <v>156636.04979437485</v>
      </c>
      <c r="FG124" s="13">
        <f>FE124-FF124</f>
        <v>97937.70962390766</v>
      </c>
      <c r="FH124" s="13">
        <f>FH123+FG124</f>
        <v>4015446.094580215</v>
      </c>
      <c r="FI124">
        <f>IF(FH124=MAX($FH$83:$FH$483),$A124,0)</f>
        <v>0</v>
      </c>
      <c r="FJ124">
        <f>IF(FE124&lt;FF124,$A124,B_MAX+1)</f>
        <v>401.0</v>
      </c>
      <c r="FK124" s="13">
        <f>IF(FB124=1,$FB$35,$FB$36)</f>
        <v>0</v>
      </c>
      <c r="FL124" s="13">
        <f>OCC_DAYS*$FB$41*R_NF_2023-FD124*MCD_SHARE_FREED*R_WAIT_2023</f>
        <v>37367.159242427646</v>
      </c>
      <c r="FM124">
        <f>IF($A124&lt;=$FB$45,1,0)</f>
        <v>1</v>
      </c>
      <c r="GB124">
        <f>IF($GB$31&lt;=$GB$32,IF($A124&lt;=$GB$7,1,2),IF($A124&lt;=RUNG_BEDS_2,2,1))</f>
        <v>1</v>
      </c>
      <c r="GC124" s="5">
        <f>MIN(1,MAX(0,$GB$26-($A124-1)))</f>
        <v>1</v>
      </c>
      <c r="GD124" s="5">
        <f>$GB$25*(GC124+(1-GC124)*$GB$16)</f>
        <v>252.05322714681438</v>
      </c>
      <c r="GE124" s="13">
        <f>GD124*($GB$6+ACUTE_MARGIN)</f>
        <v>254573.7594182825</v>
      </c>
      <c r="GF124" s="13">
        <f>IF(GB124=1,$GB$31,$GB$32)</f>
        <v>152394.16214437486</v>
      </c>
      <c r="GG124" s="13">
        <f>GE124-GF124</f>
        <v>102179.59727390765</v>
      </c>
      <c r="GH124" s="13">
        <f>GH123+GG124</f>
        <v>4189363.488230213</v>
      </c>
      <c r="GI124">
        <f>IF(GH124=MAX($GH$83:$GH$483),$A124,0)</f>
        <v>0</v>
      </c>
      <c r="GJ124">
        <f>IF(GE124&lt;GF124,$A124,B_MAX+1)</f>
        <v>401.0</v>
      </c>
      <c r="GK124" s="13">
        <f>IF(GB124=1,$GB$35,$GB$36)</f>
        <v>0</v>
      </c>
      <c r="GL124" s="13">
        <f>OCC_DAYS*$GB$41*R_NF_2023-GD124*MCD_SHARE_FREED*R_WAIT_2023</f>
        <v>37367.159242427646</v>
      </c>
      <c r="GM124">
        <f>IF($A124&lt;=$GB$45,1,0)</f>
        <v>1</v>
      </c>
      <c r="HB124">
        <f>IF($HB$31&lt;=$HB$32,IF($A124&lt;=$HB$7,1,2),IF($A124&lt;=RUNG_BEDS_2,2,1))</f>
        <v>1</v>
      </c>
      <c r="HC124" s="5">
        <f>MIN(1,MAX(0,$HB$26-($A124-1)))</f>
        <v>1</v>
      </c>
      <c r="HD124" s="5">
        <f>$HB$25*(HC124+(1-HC124)*$HB$16)</f>
        <v>252.05322714681438</v>
      </c>
      <c r="HE124" s="13">
        <f>HD124*($HB$6+ACUTE_MARGIN)</f>
        <v>254573.7594182825</v>
      </c>
      <c r="HF124" s="13">
        <f>IF(HB124=1,$HB$31,$HB$32)</f>
        <v>152456.2970814058</v>
      </c>
      <c r="HG124" s="13">
        <f>HE124-HF124</f>
        <v>102117.46233687672</v>
      </c>
      <c r="HH124" s="13">
        <f>HH123+HG124</f>
        <v>4186815.9558119485</v>
      </c>
      <c r="HI124">
        <f>IF(HH124=MAX($HH$83:$HH$483),$A124,0)</f>
        <v>0</v>
      </c>
      <c r="HJ124">
        <f>IF(HE124&lt;HF124,$A124,B_MAX+1)</f>
        <v>401.0</v>
      </c>
      <c r="HK124" s="13">
        <f>IF(HB124=1,$HB$35,$HB$36)</f>
        <v>0</v>
      </c>
      <c r="HL124" s="13">
        <f>OCC_DAYS*$HB$41*R_NF_2023-HD124*MCD_SHARE_FREED*R_WAIT_2023</f>
        <v>37367.159242427646</v>
      </c>
      <c r="HM124">
        <f>IF($A124&lt;=$HB$45,1,0)</f>
        <v>1</v>
      </c>
      <c r="IB124">
        <f>IF($IB$31&lt;=$IB$32,IF($A124&lt;=$IB$7,1,2),IF($A124&lt;=RUNG_BEDS_2,2,1))</f>
        <v>1</v>
      </c>
      <c r="IC124" s="5">
        <f>MIN(1,MAX(0,$IB$26-($A124-1)))</f>
        <v>1</v>
      </c>
      <c r="ID124" s="5">
        <f>$IB$25*(IC124+(1-IC124)*$IB$16)</f>
        <v>252.05322714681438</v>
      </c>
      <c r="IE124" s="13">
        <f>ID124*($IB$6+ACUTE_MARGIN)</f>
        <v>254573.7594182825</v>
      </c>
      <c r="IF124" s="13">
        <f>IF(IB124=1,$IB$31,$IB$32)</f>
        <v>152734.9994534971</v>
      </c>
      <c r="IG124" s="13">
        <f>IE124-IF124</f>
        <v>101838.75996478542</v>
      </c>
      <c r="IH124" s="13">
        <f>IH123+IG124</f>
        <v>4175389.1585562057</v>
      </c>
      <c r="II124">
        <f>IF(IH124=MAX($IH$83:$IH$483),$A124,0)</f>
        <v>0</v>
      </c>
      <c r="IJ124">
        <f>IF(IE124&lt;IF124,$A124,B_MAX+1)</f>
        <v>401.0</v>
      </c>
      <c r="IK124" s="13">
        <f>IF(IB124=1,$IB$35,$IB$36)</f>
        <v>0</v>
      </c>
      <c r="IL124" s="13">
        <f>OCC_DAYS*$IB$41*R_NF_2023-ID124*MCD_SHARE_FREED*R_WAIT_2023</f>
        <v>37367.159242427646</v>
      </c>
      <c r="IM124">
        <f>IF($A124&lt;=$IB$45,1,0)</f>
        <v>1</v>
      </c>
      <c r="JB124">
        <f>IF($JB$31&lt;=$JB$32,IF($A124&lt;=$JB$7,1,2),IF($A124&lt;=RUNG_BEDS_2,2,1))</f>
        <v>1</v>
      </c>
      <c r="JC124" s="5">
        <f>MIN(1,MAX(0,$JB$26-($A124-1)))</f>
        <v>1</v>
      </c>
      <c r="JD124" s="5">
        <f>$JB$25*(JC124+(1-JC124)*$JB$16)</f>
        <v>252.05322714681438</v>
      </c>
      <c r="JE124" s="13">
        <f>JD124*($JB$6+ACUTE_MARGIN)</f>
        <v>254573.7594182825</v>
      </c>
      <c r="JF124" s="13">
        <f>IF(JB124=1,$JB$31,$JB$32)</f>
        <v>152394.16214437486</v>
      </c>
      <c r="JG124" s="13">
        <f>JE124-JF124</f>
        <v>102179.59727390765</v>
      </c>
      <c r="JH124" s="13">
        <f>JH123+JG124</f>
        <v>4189363.488230213</v>
      </c>
      <c r="JI124">
        <f>IF(JH124=MAX($JH$83:$JH$483),$A124,0)</f>
        <v>0</v>
      </c>
      <c r="JJ124">
        <f>IF(JE124&lt;JF124,$A124,B_MAX+1)</f>
        <v>401.0</v>
      </c>
      <c r="JK124" s="13">
        <f>IF(JB124=1,$JB$35,$JB$36)</f>
        <v>0</v>
      </c>
      <c r="JL124" s="13">
        <f>OCC_DAYS*$JB$41*R_NF_2023-JD124*MCD_SHARE_FREED*R_WAIT_2023</f>
        <v>37367.159242427646</v>
      </c>
      <c r="JM124">
        <f>IF($A124&lt;=$JB$45,1,0)</f>
        <v>1</v>
      </c>
      <c r="KB124">
        <f>IF($KB$31&lt;=$KB$32,IF($A124&lt;=$KB$7,1,2),IF($A124&lt;=RUNG_BEDS_2,2,1))</f>
        <v>1</v>
      </c>
      <c r="KC124" s="5">
        <f>MIN(1,MAX(0,$KB$26-($A124-1)))</f>
        <v>1</v>
      </c>
      <c r="KD124" s="5">
        <f>$KB$25*(KC124+(1-KC124)*$KB$16)</f>
        <v>126.02661357340719</v>
      </c>
      <c r="KE124" s="13">
        <f>KD124*($KB$6+ACUTE_MARGIN)</f>
        <v>127286.87970914126</v>
      </c>
      <c r="KF124" s="13">
        <f>IF(KB124=1,$KB$31,$KB$32)</f>
        <v>152394.16214437486</v>
      </c>
      <c r="KG124" s="13">
        <f>KE124-KF124</f>
        <v>-25107.282435233603</v>
      </c>
      <c r="KH124" s="13">
        <f>KH123+KG124</f>
        <v>-1029398.5798445772</v>
      </c>
      <c r="KI124">
        <f>IF(KH124=MAX($KH$83:$KH$483),$A124,0)</f>
        <v>0</v>
      </c>
      <c r="KJ124">
        <f>IF(KE124&lt;KF124,$A124,B_MAX+1)</f>
        <v>41</v>
      </c>
      <c r="KK124" s="13">
        <f>IF(KB124=1,$KB$35,$KB$36)</f>
        <v>0</v>
      </c>
      <c r="KL124" s="13">
        <f>OCC_DAYS*$KB$41*R_NF_2023-KD124*MCD_SHARE_FREED*R_WAIT_2023</f>
        <v>94673.82103225985</v>
      </c>
      <c r="KM124">
        <f>IF($A124&lt;=$KB$45,1,0)</f>
        <v>0</v>
      </c>
      <c r="LB124">
        <f>IF($LB$31&lt;=$LB$32,IF($A124&lt;=$LB$7,1,2),IF($A124&lt;=RUNG_BEDS_2,2,1))</f>
        <v>1</v>
      </c>
      <c r="LC124" s="5">
        <f>MIN(1,MAX(0,$LB$26-($A124-1)))</f>
        <v>1</v>
      </c>
      <c r="LD124" s="5">
        <f>$LB$25*(LC124+(1-LC124)*$LB$16)</f>
        <v>84.01774238227146</v>
      </c>
      <c r="LE124" s="13">
        <f>LD124*($LB$6+ACUTE_MARGIN)</f>
        <v>84857.91980609419</v>
      </c>
      <c r="LF124" s="13">
        <f>IF(LB124=1,$LB$31,$LB$32)</f>
        <v>152394.16214437486</v>
      </c>
      <c r="LG124" s="13">
        <f>LE124-LF124</f>
        <v>-67536.24233828067</v>
      </c>
      <c r="LH124" s="13">
        <f>LH123+LG124</f>
        <v>-2768985.9358695075</v>
      </c>
      <c r="LI124">
        <f>IF(LH124=MAX($LH$83:$LH$483),$A124,0)</f>
        <v>0</v>
      </c>
      <c r="LJ124">
        <f>IF(LE124&lt;LF124,$A124,B_MAX+1)</f>
        <v>41</v>
      </c>
      <c r="LK124" s="13">
        <f>IF(LB124=1,$LB$35,$LB$36)</f>
        <v>0</v>
      </c>
      <c r="LL124" s="13">
        <f>OCC_DAYS*$LB$41*R_NF_2023-LD124*MCD_SHARE_FREED*R_WAIT_2023</f>
        <v>113776.04162887059</v>
      </c>
      <c r="LM124">
        <f>IF($A124&lt;=$LB$45,1,0)</f>
        <v>0</v>
      </c>
      <c r="MB124">
        <f>IF($MB$31&lt;=$MB$32,IF($A124&lt;=$MB$7,1,2),IF($A124&lt;=RUNG_BEDS_2,2,1))</f>
        <v>1</v>
      </c>
      <c r="MC124" s="5">
        <f>MIN(1,MAX(0,$MB$26-($A124-1)))</f>
        <v>1</v>
      </c>
      <c r="MD124" s="5">
        <f>$MB$25*(MC124+(1-MC124)*$MB$16)</f>
        <v>213.44610951008647</v>
      </c>
      <c r="ME124" s="13">
        <f>MD124*($MB$6+ACUTE_MARGIN)</f>
        <v>215580.57060518733</v>
      </c>
      <c r="MF124" s="13">
        <f>IF(MB124=1,$MB$31,$MB$32)</f>
        <v>152394.16214437486</v>
      </c>
      <c r="MG124" s="13">
        <f>ME124-MF124</f>
        <v>63186.40846081247</v>
      </c>
      <c r="MH124" s="13">
        <f>MH123+MG124</f>
        <v>2590642.746893311</v>
      </c>
      <c r="MI124">
        <f>IF(MH124=MAX($MH$83:$MH$483),$A124,0)</f>
        <v>0</v>
      </c>
      <c r="MJ124">
        <f>IF(ME124&lt;MF124,$A124,B_MAX+1)</f>
        <v>401.0</v>
      </c>
      <c r="MK124" s="13">
        <f>IF(MB124=1,$MB$35,$MB$36)</f>
        <v>0</v>
      </c>
      <c r="ML124" s="13">
        <f>OCC_DAYS*$MB$41*R_NF_2023-MD124*MCD_SHARE_FREED*R_WAIT_2023</f>
        <v>54922.538779778624</v>
      </c>
      <c r="MM124">
        <f>IF($A124&lt;=$MB$45,1,0)</f>
        <v>1</v>
      </c>
      <c r="NB124">
        <f>IF($NB$31&lt;=$NB$32,IF($A124&lt;=$NB$7,1,2),IF($A124&lt;=RUNG_BEDS_2,2,1))</f>
        <v>1</v>
      </c>
      <c r="NC124" s="5">
        <f>MIN(1,MAX(0,$NB$26-($A124-1)))</f>
        <v>1</v>
      </c>
      <c r="ND124" s="5">
        <f>$NB$25*(NC124+(1-NC124)*$NB$16)</f>
        <v>252.05322714681438</v>
      </c>
      <c r="NE124" s="13">
        <f>ND124*($NB$6+ACUTE_MARGIN)</f>
        <v>254573.7594182825</v>
      </c>
      <c r="NF124" s="13">
        <f>IF(NB124=1,$NB$31,$NB$32)</f>
        <v>152394.16214437486</v>
      </c>
      <c r="NG124" s="13">
        <f>NE124-NF124</f>
        <v>102179.59727390765</v>
      </c>
      <c r="NH124" s="13">
        <f>NH123+NG124</f>
        <v>4189363.488230213</v>
      </c>
      <c r="NI124">
        <f>IF(NH124=MAX($NH$83:$NH$483),$A124,0)</f>
        <v>0</v>
      </c>
      <c r="NJ124">
        <f>IF(NE124&lt;NF124,$A124,B_MAX+1)</f>
        <v>401.0</v>
      </c>
      <c r="NK124" s="13">
        <f>IF(NB124=1,$NB$35,$NB$36)</f>
        <v>0</v>
      </c>
      <c r="NL124" s="13">
        <f>OCC_DAYS*$NB$41*R_NF_2023-ND124*MCD_SHARE_FREED*R_WAIT_2023</f>
        <v>37367.159242427646</v>
      </c>
      <c r="NM124">
        <f>IF($A124&lt;=$NB$45,1,0)</f>
        <v>1</v>
      </c>
      <c r="OB124">
        <f>IF($OB$31&lt;=$OB$32,IF($A124&lt;=$OB$7,1,2),IF($A124&lt;=RUNG_BEDS_2,2,1))</f>
        <v>1</v>
      </c>
      <c r="OC124" s="5">
        <f>MIN(1,MAX(0,$OB$26-($A124-1)))</f>
        <v>1</v>
      </c>
      <c r="OD124" s="5">
        <f>$OB$25*(OC124+(1-OC124)*$OB$16)</f>
        <v>252.05322714681438</v>
      </c>
      <c r="OE124" s="13">
        <f>OD124*($OB$6+ACUTE_MARGIN)</f>
        <v>254573.7594182825</v>
      </c>
      <c r="OF124" s="13">
        <f>IF(OB124=1,$OB$31,$OB$32)</f>
        <v>152394.16214437486</v>
      </c>
      <c r="OG124" s="13">
        <f>OE124-OF124</f>
        <v>102179.59727390765</v>
      </c>
      <c r="OH124" s="13">
        <f>OH123+OG124</f>
        <v>4189363.488230213</v>
      </c>
      <c r="OI124">
        <f>IF(OH124=MAX($OH$83:$OH$483),$A124,0)</f>
        <v>0</v>
      </c>
      <c r="OJ124">
        <f>IF(OE124&lt;OF124,$A124,B_MAX+1)</f>
        <v>401.0</v>
      </c>
      <c r="OK124" s="13">
        <f>IF(OB124=1,$OB$35,$OB$36)</f>
        <v>0</v>
      </c>
      <c r="OL124" s="13">
        <f>OCC_DAYS*$OB$41*R_NF_2023-OD124*MCD_SHARE_FREED*R_WAIT_2023</f>
        <v>37367.159242427646</v>
      </c>
      <c r="OM124">
        <f>IF($A124&lt;=$OB$45,1,0)</f>
        <v>1</v>
      </c>
    </row>
    <row r="125">
      <c r="A125" t="n">
        <v>42</v>
      </c>
      <c r="B125">
        <f>IF($B$31&lt;=$B$32,IF($A125&lt;=$B$7,1,2),IF($A125&lt;=RUNG_BEDS_2,2,1))</f>
        <v>1</v>
      </c>
      <c r="C125" s="5">
        <f>MIN(1,MAX(0,$B$26-($A125-1)))</f>
        <v>1</v>
      </c>
      <c r="D125" s="5">
        <f>$B$25*(C125+(1-C125)*$B$16)</f>
        <v>252.05322714681438</v>
      </c>
      <c r="E125" s="13">
        <f>D125*($B$6+ACUTE_MARGIN)</f>
        <v>254573.7594182825</v>
      </c>
      <c r="F125" s="13">
        <f>IF(B125=1,$B$31,$B$32)</f>
        <v>152394.16214437486</v>
      </c>
      <c r="G125" s="13">
        <f>E125-F125</f>
        <v>102179.59727390765</v>
      </c>
      <c r="H125" s="13">
        <f>H124+G125</f>
        <v>4291543.085504121</v>
      </c>
      <c r="I125">
        <f>IF(H125=MAX($H$83:$H$483),$A125,0)</f>
        <v>0</v>
      </c>
      <c r="J125">
        <f>IF(E125&lt;F125,$A125,B_MAX+1)</f>
        <v>401.0</v>
      </c>
      <c r="K125" s="13">
        <f>IF(B125=1,$B$35,$B$36)</f>
        <v>0</v>
      </c>
      <c r="L125" s="13">
        <f>OCC_DAYS*$B$41*R_NF_2023-D125*MCD_SHARE_FREED*R_WAIT_2023</f>
        <v>37367.159242427646</v>
      </c>
      <c r="M125">
        <f>IF($A125&lt;=$B$45,1,0)</f>
        <v>1</v>
      </c>
      <c r="AB125">
        <f>IF($AB$31&lt;=$AB$32,IF($A125&lt;=$AB$7,1,2),IF($A125&lt;=RUNG_BEDS_2,2,1))</f>
        <v>1</v>
      </c>
      <c r="AC125" s="5">
        <f>MIN(1,MAX(0,$AB$26-($A125-1)))</f>
        <v>1</v>
      </c>
      <c r="AD125" s="5">
        <f>$AB$25*(AC125+(1-AC125)*$AB$16)</f>
        <v>252.05322714681438</v>
      </c>
      <c r="AE125" s="13">
        <f>AD125*($AB$6+ACUTE_MARGIN)</f>
        <v>138629.2749307479</v>
      </c>
      <c r="AF125" s="13">
        <f>IF(AB125=1,$AB$31,$AB$32)</f>
        <v>152394.16214437486</v>
      </c>
      <c r="AG125" s="13">
        <f>AE125-AF125</f>
        <v>-13764.887213626964</v>
      </c>
      <c r="AH125" s="13">
        <f>AH124+AG125</f>
        <v>-578125.2629723331</v>
      </c>
      <c r="AI125">
        <f>IF(AH125=MAX($AH$83:$AH$483),$A125,0)</f>
        <v>0</v>
      </c>
      <c r="AJ125">
        <f>IF(AE125&lt;AF125,$A125,B_MAX+1)</f>
        <v>42</v>
      </c>
      <c r="AK125" s="13">
        <f>IF(AB125=1,$AB$35,$AB$36)</f>
        <v>0</v>
      </c>
      <c r="AL125" s="13">
        <f>OCC_DAYS*$AB$41*R_NF_2023-AD125*MCD_SHARE_FREED*R_WAIT_2023</f>
        <v>37367.159242427646</v>
      </c>
      <c r="AM125">
        <f>IF($A125&lt;=$AB$45,1,0)</f>
        <v>0</v>
      </c>
      <c r="BB125">
        <f>IF($BB$31&lt;=$BB$32,IF($A125&lt;=$BB$7,1,2),IF($A125&lt;=RUNG_BEDS_2,2,1))</f>
        <v>1</v>
      </c>
      <c r="BC125" s="5">
        <f>MIN(1,MAX(0,$BB$26-($A125-1)))</f>
        <v>1</v>
      </c>
      <c r="BD125" s="5">
        <f>$BB$25*(BC125+(1-BC125)*$BB$16)</f>
        <v>252.05322714681438</v>
      </c>
      <c r="BE125" s="13">
        <f>BD125*($BB$6+ACUTE_MARGIN)</f>
        <v>370518.24390581716</v>
      </c>
      <c r="BF125" s="13">
        <f>IF(BB125=1,$BB$31,$BB$32)</f>
        <v>152394.16214437486</v>
      </c>
      <c r="BG125" s="13">
        <f>BE125-BF125</f>
        <v>218124.0817614423</v>
      </c>
      <c r="BH125" s="13">
        <f>BH124+BG125</f>
        <v>9161211.433980571</v>
      </c>
      <c r="BI125">
        <f>IF(BH125=MAX($BH$83:$BH$483),$A125,0)</f>
        <v>0</v>
      </c>
      <c r="BJ125">
        <f>IF(BE125&lt;BF125,$A125,B_MAX+1)</f>
        <v>401.0</v>
      </c>
      <c r="BK125" s="13">
        <f>IF(BB125=1,$BB$35,$BB$36)</f>
        <v>0</v>
      </c>
      <c r="BL125" s="13">
        <f>OCC_DAYS*$BB$41*R_NF_2023-BD125*MCD_SHARE_FREED*R_WAIT_2023</f>
        <v>37367.159242427646</v>
      </c>
      <c r="BM125">
        <f>IF($A125&lt;=$BB$45,1,0)</f>
        <v>1</v>
      </c>
      <c r="CB125">
        <f>IF($CB$31&lt;=$CB$32,IF($A125&lt;=$CB$7,1,2),IF($A125&lt;=RUNG_BEDS_2,2,1))</f>
        <v>2</v>
      </c>
      <c r="CC125" s="5">
        <f>MIN(1,MAX(0,$CB$26-($A125-1)))</f>
        <v>1</v>
      </c>
      <c r="CD125" s="5">
        <f>$CB$25*(CC125+(1-CC125)*$CB$16)</f>
        <v>252.05322714681438</v>
      </c>
      <c r="CE125" s="13">
        <f>CD125*($CB$6+ACUTE_MARGIN)</f>
        <v>254573.7594182825</v>
      </c>
      <c r="CF125" s="13">
        <f>IF(CB125=1,$CB$31,$CB$32)</f>
        <v>160718.36940738867</v>
      </c>
      <c r="CG125" s="13">
        <f>CE125-CF125</f>
        <v>93855.39001089384</v>
      </c>
      <c r="CH125" s="13">
        <f>CH124+CG125</f>
        <v>3941926.3804575405</v>
      </c>
      <c r="CI125">
        <f>IF(CH125=MAX($CH$83:$CH$483),$A125,0)</f>
        <v>0</v>
      </c>
      <c r="CJ125">
        <f>IF(CE125&lt;CF125,$A125,B_MAX+1)</f>
        <v>401.0</v>
      </c>
      <c r="CK125" s="13">
        <f>IF(CB125=1,$CB$35,$CB$36)</f>
        <v>1560.1194073886782</v>
      </c>
      <c r="CL125" s="13">
        <f>OCC_DAYS*$CB$41*R_NF_2023-CD125*MCD_SHARE_FREED*R_WAIT_2023</f>
        <v>37367.159242427646</v>
      </c>
      <c r="CM125">
        <f>IF($A125&lt;=$CB$45,1,0)</f>
        <v>1</v>
      </c>
      <c r="DB125">
        <f>IF($DB$31&lt;=$DB$32,IF($A125&lt;=$DB$7,1,2),IF($A125&lt;=RUNG_BEDS_2,2,1))</f>
        <v>1</v>
      </c>
      <c r="DC125" s="5">
        <f>MIN(1,MAX(0,$DB$26-($A125-1)))</f>
        <v>1</v>
      </c>
      <c r="DD125" s="5">
        <f>$DB$25*(DC125+(1-DC125)*$DB$16)</f>
        <v>252.05322714681438</v>
      </c>
      <c r="DE125" s="13">
        <f>DD125*($DB$6+ACUTE_MARGIN)</f>
        <v>254573.7594182825</v>
      </c>
      <c r="DF125" s="13">
        <f>IF(DB125=1,$DB$31,$DB$32)</f>
        <v>152394.16214437486</v>
      </c>
      <c r="DG125" s="13">
        <f>DE125-DF125</f>
        <v>102179.59727390765</v>
      </c>
      <c r="DH125" s="13">
        <f>DH124+DG125</f>
        <v>4291543.085504121</v>
      </c>
      <c r="DI125">
        <f>IF(DH125=MAX($DH$83:$DH$483),$A125,0)</f>
        <v>0</v>
      </c>
      <c r="DJ125">
        <f>IF(DE125&lt;DF125,$A125,B_MAX+1)</f>
        <v>401.0</v>
      </c>
      <c r="DK125" s="13">
        <f>IF(DB125=1,$DB$35,$DB$36)</f>
        <v>0</v>
      </c>
      <c r="DL125" s="13">
        <f>OCC_DAYS*$DB$41*R_NF_2023-DD125*MCD_SHARE_FREED*R_WAIT_2023</f>
        <v>37367.159242427646</v>
      </c>
      <c r="DM125">
        <f>IF($A125&lt;=$DB$45,1,0)</f>
        <v>1</v>
      </c>
      <c r="EB125">
        <f>IF($EB$31&lt;=$EB$32,IF($A125&lt;=$EB$7,1,2),IF($A125&lt;=RUNG_BEDS_2,2,1))</f>
        <v>1</v>
      </c>
      <c r="EC125" s="5">
        <f>MIN(1,MAX(0,$EB$26-($A125-1)))</f>
        <v>1</v>
      </c>
      <c r="ED125" s="5">
        <f>$EB$25*(EC125+(1-EC125)*$EB$16)</f>
        <v>252.05322714681438</v>
      </c>
      <c r="EE125" s="13">
        <f>ED125*($EB$6+ACUTE_MARGIN)</f>
        <v>254573.7594182825</v>
      </c>
      <c r="EF125" s="13">
        <f>IF(EB125=1,$EB$31,$EB$32)</f>
        <v>152394.16214437486</v>
      </c>
      <c r="EG125" s="13">
        <f>EE125-EF125</f>
        <v>102179.59727390765</v>
      </c>
      <c r="EH125" s="13">
        <f>EH124+EG125</f>
        <v>4291543.085504121</v>
      </c>
      <c r="EI125">
        <f>IF(EH125=MAX($EH$83:$EH$483),$A125,0)</f>
        <v>0</v>
      </c>
      <c r="EJ125">
        <f>IF(EE125&lt;EF125,$A125,B_MAX+1)</f>
        <v>401.0</v>
      </c>
      <c r="EK125" s="13">
        <f>IF(EB125=1,$EB$35,$EB$36)</f>
        <v>0</v>
      </c>
      <c r="EL125" s="13">
        <f>OCC_DAYS*$EB$41*R_NF_2023-ED125*MCD_SHARE_FREED*R_WAIT_2023</f>
        <v>-63953.16263896705</v>
      </c>
      <c r="EM125">
        <f>IF($A125&lt;=$EB$45,1,0)</f>
        <v>1</v>
      </c>
      <c r="FB125">
        <f>IF($FB$31&lt;=$FB$32,IF($A125&lt;=$FB$7,1,2),IF($A125&lt;=RUNG_BEDS_2,2,1))</f>
        <v>1</v>
      </c>
      <c r="FC125" s="5">
        <f>MIN(1,MAX(0,$FB$26-($A125-1)))</f>
        <v>1</v>
      </c>
      <c r="FD125" s="5">
        <f>$FB$25*(FC125+(1-FC125)*$FB$16)</f>
        <v>252.05322714681438</v>
      </c>
      <c r="FE125" s="13">
        <f>FD125*($FB$6+ACUTE_MARGIN)</f>
        <v>254573.7594182825</v>
      </c>
      <c r="FF125" s="13">
        <f>IF(FB125=1,$FB$31,$FB$32)</f>
        <v>156636.04979437485</v>
      </c>
      <c r="FG125" s="13">
        <f>FE125-FF125</f>
        <v>97937.70962390766</v>
      </c>
      <c r="FH125" s="13">
        <f>FH124+FG125</f>
        <v>4113383.8042041226</v>
      </c>
      <c r="FI125">
        <f>IF(FH125=MAX($FH$83:$FH$483),$A125,0)</f>
        <v>0</v>
      </c>
      <c r="FJ125">
        <f>IF(FE125&lt;FF125,$A125,B_MAX+1)</f>
        <v>401.0</v>
      </c>
      <c r="FK125" s="13">
        <f>IF(FB125=1,$FB$35,$FB$36)</f>
        <v>0</v>
      </c>
      <c r="FL125" s="13">
        <f>OCC_DAYS*$FB$41*R_NF_2023-FD125*MCD_SHARE_FREED*R_WAIT_2023</f>
        <v>37367.159242427646</v>
      </c>
      <c r="FM125">
        <f>IF($A125&lt;=$FB$45,1,0)</f>
        <v>1</v>
      </c>
      <c r="GB125">
        <f>IF($GB$31&lt;=$GB$32,IF($A125&lt;=$GB$7,1,2),IF($A125&lt;=RUNG_BEDS_2,2,1))</f>
        <v>1</v>
      </c>
      <c r="GC125" s="5">
        <f>MIN(1,MAX(0,$GB$26-($A125-1)))</f>
        <v>1</v>
      </c>
      <c r="GD125" s="5">
        <f>$GB$25*(GC125+(1-GC125)*$GB$16)</f>
        <v>252.05322714681438</v>
      </c>
      <c r="GE125" s="13">
        <f>GD125*($GB$6+ACUTE_MARGIN)</f>
        <v>254573.7594182825</v>
      </c>
      <c r="GF125" s="13">
        <f>IF(GB125=1,$GB$31,$GB$32)</f>
        <v>152394.16214437486</v>
      </c>
      <c r="GG125" s="13">
        <f>GE125-GF125</f>
        <v>102179.59727390765</v>
      </c>
      <c r="GH125" s="13">
        <f>GH124+GG125</f>
        <v>4291543.085504121</v>
      </c>
      <c r="GI125">
        <f>IF(GH125=MAX($GH$83:$GH$483),$A125,0)</f>
        <v>0</v>
      </c>
      <c r="GJ125">
        <f>IF(GE125&lt;GF125,$A125,B_MAX+1)</f>
        <v>401.0</v>
      </c>
      <c r="GK125" s="13">
        <f>IF(GB125=1,$GB$35,$GB$36)</f>
        <v>0</v>
      </c>
      <c r="GL125" s="13">
        <f>OCC_DAYS*$GB$41*R_NF_2023-GD125*MCD_SHARE_FREED*R_WAIT_2023</f>
        <v>37367.159242427646</v>
      </c>
      <c r="GM125">
        <f>IF($A125&lt;=$GB$45,1,0)</f>
        <v>1</v>
      </c>
      <c r="HB125">
        <f>IF($HB$31&lt;=$HB$32,IF($A125&lt;=$HB$7,1,2),IF($A125&lt;=RUNG_BEDS_2,2,1))</f>
        <v>1</v>
      </c>
      <c r="HC125" s="5">
        <f>MIN(1,MAX(0,$HB$26-($A125-1)))</f>
        <v>1</v>
      </c>
      <c r="HD125" s="5">
        <f>$HB$25*(HC125+(1-HC125)*$HB$16)</f>
        <v>252.05322714681438</v>
      </c>
      <c r="HE125" s="13">
        <f>HD125*($HB$6+ACUTE_MARGIN)</f>
        <v>254573.7594182825</v>
      </c>
      <c r="HF125" s="13">
        <f>IF(HB125=1,$HB$31,$HB$32)</f>
        <v>152456.2970814058</v>
      </c>
      <c r="HG125" s="13">
        <f>HE125-HF125</f>
        <v>102117.46233687672</v>
      </c>
      <c r="HH125" s="13">
        <f>HH124+HG125</f>
        <v>4288933.418148825</v>
      </c>
      <c r="HI125">
        <f>IF(HH125=MAX($HH$83:$HH$483),$A125,0)</f>
        <v>0</v>
      </c>
      <c r="HJ125">
        <f>IF(HE125&lt;HF125,$A125,B_MAX+1)</f>
        <v>401.0</v>
      </c>
      <c r="HK125" s="13">
        <f>IF(HB125=1,$HB$35,$HB$36)</f>
        <v>0</v>
      </c>
      <c r="HL125" s="13">
        <f>OCC_DAYS*$HB$41*R_NF_2023-HD125*MCD_SHARE_FREED*R_WAIT_2023</f>
        <v>37367.159242427646</v>
      </c>
      <c r="HM125">
        <f>IF($A125&lt;=$HB$45,1,0)</f>
        <v>1</v>
      </c>
      <c r="IB125">
        <f>IF($IB$31&lt;=$IB$32,IF($A125&lt;=$IB$7,1,2),IF($A125&lt;=RUNG_BEDS_2,2,1))</f>
        <v>1</v>
      </c>
      <c r="IC125" s="5">
        <f>MIN(1,MAX(0,$IB$26-($A125-1)))</f>
        <v>1</v>
      </c>
      <c r="ID125" s="5">
        <f>$IB$25*(IC125+(1-IC125)*$IB$16)</f>
        <v>252.05322714681438</v>
      </c>
      <c r="IE125" s="13">
        <f>ID125*($IB$6+ACUTE_MARGIN)</f>
        <v>254573.7594182825</v>
      </c>
      <c r="IF125" s="13">
        <f>IF(IB125=1,$IB$31,$IB$32)</f>
        <v>152734.9994534971</v>
      </c>
      <c r="IG125" s="13">
        <f>IE125-IF125</f>
        <v>101838.75996478542</v>
      </c>
      <c r="IH125" s="13">
        <f>IH124+IG125</f>
        <v>4277227.918520991</v>
      </c>
      <c r="II125">
        <f>IF(IH125=MAX($IH$83:$IH$483),$A125,0)</f>
        <v>0</v>
      </c>
      <c r="IJ125">
        <f>IF(IE125&lt;IF125,$A125,B_MAX+1)</f>
        <v>401.0</v>
      </c>
      <c r="IK125" s="13">
        <f>IF(IB125=1,$IB$35,$IB$36)</f>
        <v>0</v>
      </c>
      <c r="IL125" s="13">
        <f>OCC_DAYS*$IB$41*R_NF_2023-ID125*MCD_SHARE_FREED*R_WAIT_2023</f>
        <v>37367.159242427646</v>
      </c>
      <c r="IM125">
        <f>IF($A125&lt;=$IB$45,1,0)</f>
        <v>1</v>
      </c>
      <c r="JB125">
        <f>IF($JB$31&lt;=$JB$32,IF($A125&lt;=$JB$7,1,2),IF($A125&lt;=RUNG_BEDS_2,2,1))</f>
        <v>1</v>
      </c>
      <c r="JC125" s="5">
        <f>MIN(1,MAX(0,$JB$26-($A125-1)))</f>
        <v>1</v>
      </c>
      <c r="JD125" s="5">
        <f>$JB$25*(JC125+(1-JC125)*$JB$16)</f>
        <v>252.05322714681438</v>
      </c>
      <c r="JE125" s="13">
        <f>JD125*($JB$6+ACUTE_MARGIN)</f>
        <v>254573.7594182825</v>
      </c>
      <c r="JF125" s="13">
        <f>IF(JB125=1,$JB$31,$JB$32)</f>
        <v>152394.16214437486</v>
      </c>
      <c r="JG125" s="13">
        <f>JE125-JF125</f>
        <v>102179.59727390765</v>
      </c>
      <c r="JH125" s="13">
        <f>JH124+JG125</f>
        <v>4291543.085504121</v>
      </c>
      <c r="JI125">
        <f>IF(JH125=MAX($JH$83:$JH$483),$A125,0)</f>
        <v>0</v>
      </c>
      <c r="JJ125">
        <f>IF(JE125&lt;JF125,$A125,B_MAX+1)</f>
        <v>401.0</v>
      </c>
      <c r="JK125" s="13">
        <f>IF(JB125=1,$JB$35,$JB$36)</f>
        <v>0</v>
      </c>
      <c r="JL125" s="13">
        <f>OCC_DAYS*$JB$41*R_NF_2023-JD125*MCD_SHARE_FREED*R_WAIT_2023</f>
        <v>37367.159242427646</v>
      </c>
      <c r="JM125">
        <f>IF($A125&lt;=$JB$45,1,0)</f>
        <v>1</v>
      </c>
      <c r="KB125">
        <f>IF($KB$31&lt;=$KB$32,IF($A125&lt;=$KB$7,1,2),IF($A125&lt;=RUNG_BEDS_2,2,1))</f>
        <v>1</v>
      </c>
      <c r="KC125" s="5">
        <f>MIN(1,MAX(0,$KB$26-($A125-1)))</f>
        <v>1</v>
      </c>
      <c r="KD125" s="5">
        <f>$KB$25*(KC125+(1-KC125)*$KB$16)</f>
        <v>126.02661357340719</v>
      </c>
      <c r="KE125" s="13">
        <f>KD125*($KB$6+ACUTE_MARGIN)</f>
        <v>127286.87970914126</v>
      </c>
      <c r="KF125" s="13">
        <f>IF(KB125=1,$KB$31,$KB$32)</f>
        <v>152394.16214437486</v>
      </c>
      <c r="KG125" s="13">
        <f>KE125-KF125</f>
        <v>-25107.282435233603</v>
      </c>
      <c r="KH125" s="13">
        <f>KH124+KG125</f>
        <v>-1054505.862279811</v>
      </c>
      <c r="KI125">
        <f>IF(KH125=MAX($KH$83:$KH$483),$A125,0)</f>
        <v>0</v>
      </c>
      <c r="KJ125">
        <f>IF(KE125&lt;KF125,$A125,B_MAX+1)</f>
        <v>42</v>
      </c>
      <c r="KK125" s="13">
        <f>IF(KB125=1,$KB$35,$KB$36)</f>
        <v>0</v>
      </c>
      <c r="KL125" s="13">
        <f>OCC_DAYS*$KB$41*R_NF_2023-KD125*MCD_SHARE_FREED*R_WAIT_2023</f>
        <v>94673.82103225985</v>
      </c>
      <c r="KM125">
        <f>IF($A125&lt;=$KB$45,1,0)</f>
        <v>0</v>
      </c>
      <c r="LB125">
        <f>IF($LB$31&lt;=$LB$32,IF($A125&lt;=$LB$7,1,2),IF($A125&lt;=RUNG_BEDS_2,2,1))</f>
        <v>1</v>
      </c>
      <c r="LC125" s="5">
        <f>MIN(1,MAX(0,$LB$26-($A125-1)))</f>
        <v>1</v>
      </c>
      <c r="LD125" s="5">
        <f>$LB$25*(LC125+(1-LC125)*$LB$16)</f>
        <v>84.01774238227146</v>
      </c>
      <c r="LE125" s="13">
        <f>LD125*($LB$6+ACUTE_MARGIN)</f>
        <v>84857.91980609419</v>
      </c>
      <c r="LF125" s="13">
        <f>IF(LB125=1,$LB$31,$LB$32)</f>
        <v>152394.16214437486</v>
      </c>
      <c r="LG125" s="13">
        <f>LE125-LF125</f>
        <v>-67536.24233828067</v>
      </c>
      <c r="LH125" s="13">
        <f>LH124+LG125</f>
        <v>-2836522.178207788</v>
      </c>
      <c r="LI125">
        <f>IF(LH125=MAX($LH$83:$LH$483),$A125,0)</f>
        <v>0</v>
      </c>
      <c r="LJ125">
        <f>IF(LE125&lt;LF125,$A125,B_MAX+1)</f>
        <v>42</v>
      </c>
      <c r="LK125" s="13">
        <f>IF(LB125=1,$LB$35,$LB$36)</f>
        <v>0</v>
      </c>
      <c r="LL125" s="13">
        <f>OCC_DAYS*$LB$41*R_NF_2023-LD125*MCD_SHARE_FREED*R_WAIT_2023</f>
        <v>113776.04162887059</v>
      </c>
      <c r="LM125">
        <f>IF($A125&lt;=$LB$45,1,0)</f>
        <v>0</v>
      </c>
      <c r="MB125">
        <f>IF($MB$31&lt;=$MB$32,IF($A125&lt;=$MB$7,1,2),IF($A125&lt;=RUNG_BEDS_2,2,1))</f>
        <v>1</v>
      </c>
      <c r="MC125" s="5">
        <f>MIN(1,MAX(0,$MB$26-($A125-1)))</f>
        <v>1</v>
      </c>
      <c r="MD125" s="5">
        <f>$MB$25*(MC125+(1-MC125)*$MB$16)</f>
        <v>213.44610951008647</v>
      </c>
      <c r="ME125" s="13">
        <f>MD125*($MB$6+ACUTE_MARGIN)</f>
        <v>215580.57060518733</v>
      </c>
      <c r="MF125" s="13">
        <f>IF(MB125=1,$MB$31,$MB$32)</f>
        <v>152394.16214437486</v>
      </c>
      <c r="MG125" s="13">
        <f>ME125-MF125</f>
        <v>63186.40846081247</v>
      </c>
      <c r="MH125" s="13">
        <f>MH124+MG125</f>
        <v>2653829.1553541236</v>
      </c>
      <c r="MI125">
        <f>IF(MH125=MAX($MH$83:$MH$483),$A125,0)</f>
        <v>0</v>
      </c>
      <c r="MJ125">
        <f>IF(ME125&lt;MF125,$A125,B_MAX+1)</f>
        <v>401.0</v>
      </c>
      <c r="MK125" s="13">
        <f>IF(MB125=1,$MB$35,$MB$36)</f>
        <v>0</v>
      </c>
      <c r="ML125" s="13">
        <f>OCC_DAYS*$MB$41*R_NF_2023-MD125*MCD_SHARE_FREED*R_WAIT_2023</f>
        <v>54922.538779778624</v>
      </c>
      <c r="MM125">
        <f>IF($A125&lt;=$MB$45,1,0)</f>
        <v>1</v>
      </c>
      <c r="NB125">
        <f>IF($NB$31&lt;=$NB$32,IF($A125&lt;=$NB$7,1,2),IF($A125&lt;=RUNG_BEDS_2,2,1))</f>
        <v>1</v>
      </c>
      <c r="NC125" s="5">
        <f>MIN(1,MAX(0,$NB$26-($A125-1)))</f>
        <v>1</v>
      </c>
      <c r="ND125" s="5">
        <f>$NB$25*(NC125+(1-NC125)*$NB$16)</f>
        <v>252.05322714681438</v>
      </c>
      <c r="NE125" s="13">
        <f>ND125*($NB$6+ACUTE_MARGIN)</f>
        <v>254573.7594182825</v>
      </c>
      <c r="NF125" s="13">
        <f>IF(NB125=1,$NB$31,$NB$32)</f>
        <v>152394.16214437486</v>
      </c>
      <c r="NG125" s="13">
        <f>NE125-NF125</f>
        <v>102179.59727390765</v>
      </c>
      <c r="NH125" s="13">
        <f>NH124+NG125</f>
        <v>4291543.085504121</v>
      </c>
      <c r="NI125">
        <f>IF(NH125=MAX($NH$83:$NH$483),$A125,0)</f>
        <v>0</v>
      </c>
      <c r="NJ125">
        <f>IF(NE125&lt;NF125,$A125,B_MAX+1)</f>
        <v>401.0</v>
      </c>
      <c r="NK125" s="13">
        <f>IF(NB125=1,$NB$35,$NB$36)</f>
        <v>0</v>
      </c>
      <c r="NL125" s="13">
        <f>OCC_DAYS*$NB$41*R_NF_2023-ND125*MCD_SHARE_FREED*R_WAIT_2023</f>
        <v>37367.159242427646</v>
      </c>
      <c r="NM125">
        <f>IF($A125&lt;=$NB$45,1,0)</f>
        <v>1</v>
      </c>
      <c r="OB125">
        <f>IF($OB$31&lt;=$OB$32,IF($A125&lt;=$OB$7,1,2),IF($A125&lt;=RUNG_BEDS_2,2,1))</f>
        <v>1</v>
      </c>
      <c r="OC125" s="5">
        <f>MIN(1,MAX(0,$OB$26-($A125-1)))</f>
        <v>1</v>
      </c>
      <c r="OD125" s="5">
        <f>$OB$25*(OC125+(1-OC125)*$OB$16)</f>
        <v>252.05322714681438</v>
      </c>
      <c r="OE125" s="13">
        <f>OD125*($OB$6+ACUTE_MARGIN)</f>
        <v>254573.7594182825</v>
      </c>
      <c r="OF125" s="13">
        <f>IF(OB125=1,$OB$31,$OB$32)</f>
        <v>152394.16214437486</v>
      </c>
      <c r="OG125" s="13">
        <f>OE125-OF125</f>
        <v>102179.59727390765</v>
      </c>
      <c r="OH125" s="13">
        <f>OH124+OG125</f>
        <v>4291543.085504121</v>
      </c>
      <c r="OI125">
        <f>IF(OH125=MAX($OH$83:$OH$483),$A125,0)</f>
        <v>0</v>
      </c>
      <c r="OJ125">
        <f>IF(OE125&lt;OF125,$A125,B_MAX+1)</f>
        <v>401.0</v>
      </c>
      <c r="OK125" s="13">
        <f>IF(OB125=1,$OB$35,$OB$36)</f>
        <v>0</v>
      </c>
      <c r="OL125" s="13">
        <f>OCC_DAYS*$OB$41*R_NF_2023-OD125*MCD_SHARE_FREED*R_WAIT_2023</f>
        <v>37367.159242427646</v>
      </c>
      <c r="OM125">
        <f>IF($A125&lt;=$OB$45,1,0)</f>
        <v>1</v>
      </c>
    </row>
    <row r="126">
      <c r="A126" t="n">
        <v>43</v>
      </c>
      <c r="B126">
        <f>IF($B$31&lt;=$B$32,IF($A126&lt;=$B$7,1,2),IF($A126&lt;=RUNG_BEDS_2,2,1))</f>
        <v>1</v>
      </c>
      <c r="C126" s="5">
        <f>MIN(1,MAX(0,$B$26-($A126-1)))</f>
        <v>1</v>
      </c>
      <c r="D126" s="5">
        <f>$B$25*(C126+(1-C126)*$B$16)</f>
        <v>252.05322714681438</v>
      </c>
      <c r="E126" s="13">
        <f>D126*($B$6+ACUTE_MARGIN)</f>
        <v>254573.7594182825</v>
      </c>
      <c r="F126" s="13">
        <f>IF(B126=1,$B$31,$B$32)</f>
        <v>152394.16214437486</v>
      </c>
      <c r="G126" s="13">
        <f>E126-F126</f>
        <v>102179.59727390765</v>
      </c>
      <c r="H126" s="13">
        <f>H125+G126</f>
        <v>4393722.682778029</v>
      </c>
      <c r="I126">
        <f>IF(H126=MAX($H$83:$H$483),$A126,0)</f>
        <v>0</v>
      </c>
      <c r="J126">
        <f>IF(E126&lt;F126,$A126,B_MAX+1)</f>
        <v>401.0</v>
      </c>
      <c r="K126" s="13">
        <f>IF(B126=1,$B$35,$B$36)</f>
        <v>0</v>
      </c>
      <c r="L126" s="13">
        <f>OCC_DAYS*$B$41*R_NF_2023-D126*MCD_SHARE_FREED*R_WAIT_2023</f>
        <v>37367.159242427646</v>
      </c>
      <c r="M126">
        <f>IF($A126&lt;=$B$45,1,0)</f>
        <v>1</v>
      </c>
      <c r="AB126">
        <f>IF($AB$31&lt;=$AB$32,IF($A126&lt;=$AB$7,1,2),IF($A126&lt;=RUNG_BEDS_2,2,1))</f>
        <v>1</v>
      </c>
      <c r="AC126" s="5">
        <f>MIN(1,MAX(0,$AB$26-($A126-1)))</f>
        <v>1</v>
      </c>
      <c r="AD126" s="5">
        <f>$AB$25*(AC126+(1-AC126)*$AB$16)</f>
        <v>252.05322714681438</v>
      </c>
      <c r="AE126" s="13">
        <f>AD126*($AB$6+ACUTE_MARGIN)</f>
        <v>138629.2749307479</v>
      </c>
      <c r="AF126" s="13">
        <f>IF(AB126=1,$AB$31,$AB$32)</f>
        <v>152394.16214437486</v>
      </c>
      <c r="AG126" s="13">
        <f>AE126-AF126</f>
        <v>-13764.887213626964</v>
      </c>
      <c r="AH126" s="13">
        <f>AH125+AG126</f>
        <v>-591890.1501859601</v>
      </c>
      <c r="AI126">
        <f>IF(AH126=MAX($AH$83:$AH$483),$A126,0)</f>
        <v>0</v>
      </c>
      <c r="AJ126">
        <f>IF(AE126&lt;AF126,$A126,B_MAX+1)</f>
        <v>43</v>
      </c>
      <c r="AK126" s="13">
        <f>IF(AB126=1,$AB$35,$AB$36)</f>
        <v>0</v>
      </c>
      <c r="AL126" s="13">
        <f>OCC_DAYS*$AB$41*R_NF_2023-AD126*MCD_SHARE_FREED*R_WAIT_2023</f>
        <v>37367.159242427646</v>
      </c>
      <c r="AM126">
        <f>IF($A126&lt;=$AB$45,1,0)</f>
        <v>0</v>
      </c>
      <c r="BB126">
        <f>IF($BB$31&lt;=$BB$32,IF($A126&lt;=$BB$7,1,2),IF($A126&lt;=RUNG_BEDS_2,2,1))</f>
        <v>1</v>
      </c>
      <c r="BC126" s="5">
        <f>MIN(1,MAX(0,$BB$26-($A126-1)))</f>
        <v>1</v>
      </c>
      <c r="BD126" s="5">
        <f>$BB$25*(BC126+(1-BC126)*$BB$16)</f>
        <v>252.05322714681438</v>
      </c>
      <c r="BE126" s="13">
        <f>BD126*($BB$6+ACUTE_MARGIN)</f>
        <v>370518.24390581716</v>
      </c>
      <c r="BF126" s="13">
        <f>IF(BB126=1,$BB$31,$BB$32)</f>
        <v>152394.16214437486</v>
      </c>
      <c r="BG126" s="13">
        <f>BE126-BF126</f>
        <v>218124.0817614423</v>
      </c>
      <c r="BH126" s="13">
        <f>BH125+BG126</f>
        <v>9379335.515742013</v>
      </c>
      <c r="BI126">
        <f>IF(BH126=MAX($BH$83:$BH$483),$A126,0)</f>
        <v>0</v>
      </c>
      <c r="BJ126">
        <f>IF(BE126&lt;BF126,$A126,B_MAX+1)</f>
        <v>401.0</v>
      </c>
      <c r="BK126" s="13">
        <f>IF(BB126=1,$BB$35,$BB$36)</f>
        <v>0</v>
      </c>
      <c r="BL126" s="13">
        <f>OCC_DAYS*$BB$41*R_NF_2023-BD126*MCD_SHARE_FREED*R_WAIT_2023</f>
        <v>37367.159242427646</v>
      </c>
      <c r="BM126">
        <f>IF($A126&lt;=$BB$45,1,0)</f>
        <v>1</v>
      </c>
      <c r="CB126">
        <f>IF($CB$31&lt;=$CB$32,IF($A126&lt;=$CB$7,1,2),IF($A126&lt;=RUNG_BEDS_2,2,1))</f>
        <v>2</v>
      </c>
      <c r="CC126" s="5">
        <f>MIN(1,MAX(0,$CB$26-($A126-1)))</f>
        <v>1</v>
      </c>
      <c r="CD126" s="5">
        <f>$CB$25*(CC126+(1-CC126)*$CB$16)</f>
        <v>252.05322714681438</v>
      </c>
      <c r="CE126" s="13">
        <f>CD126*($CB$6+ACUTE_MARGIN)</f>
        <v>254573.7594182825</v>
      </c>
      <c r="CF126" s="13">
        <f>IF(CB126=1,$CB$31,$CB$32)</f>
        <v>160718.36940738867</v>
      </c>
      <c r="CG126" s="13">
        <f>CE126-CF126</f>
        <v>93855.39001089384</v>
      </c>
      <c r="CH126" s="13">
        <f>CH125+CG126</f>
        <v>4035781.7704684343</v>
      </c>
      <c r="CI126">
        <f>IF(CH126=MAX($CH$83:$CH$483),$A126,0)</f>
        <v>0</v>
      </c>
      <c r="CJ126">
        <f>IF(CE126&lt;CF126,$A126,B_MAX+1)</f>
        <v>401.0</v>
      </c>
      <c r="CK126" s="13">
        <f>IF(CB126=1,$CB$35,$CB$36)</f>
        <v>1560.1194073886782</v>
      </c>
      <c r="CL126" s="13">
        <f>OCC_DAYS*$CB$41*R_NF_2023-CD126*MCD_SHARE_FREED*R_WAIT_2023</f>
        <v>37367.159242427646</v>
      </c>
      <c r="CM126">
        <f>IF($A126&lt;=$CB$45,1,0)</f>
        <v>1</v>
      </c>
      <c r="DB126">
        <f>IF($DB$31&lt;=$DB$32,IF($A126&lt;=$DB$7,1,2),IF($A126&lt;=RUNG_BEDS_2,2,1))</f>
        <v>1</v>
      </c>
      <c r="DC126" s="5">
        <f>MIN(1,MAX(0,$DB$26-($A126-1)))</f>
        <v>1</v>
      </c>
      <c r="DD126" s="5">
        <f>$DB$25*(DC126+(1-DC126)*$DB$16)</f>
        <v>252.05322714681438</v>
      </c>
      <c r="DE126" s="13">
        <f>DD126*($DB$6+ACUTE_MARGIN)</f>
        <v>254573.7594182825</v>
      </c>
      <c r="DF126" s="13">
        <f>IF(DB126=1,$DB$31,$DB$32)</f>
        <v>152394.16214437486</v>
      </c>
      <c r="DG126" s="13">
        <f>DE126-DF126</f>
        <v>102179.59727390765</v>
      </c>
      <c r="DH126" s="13">
        <f>DH125+DG126</f>
        <v>4393722.682778029</v>
      </c>
      <c r="DI126">
        <f>IF(DH126=MAX($DH$83:$DH$483),$A126,0)</f>
        <v>0</v>
      </c>
      <c r="DJ126">
        <f>IF(DE126&lt;DF126,$A126,B_MAX+1)</f>
        <v>401.0</v>
      </c>
      <c r="DK126" s="13">
        <f>IF(DB126=1,$DB$35,$DB$36)</f>
        <v>0</v>
      </c>
      <c r="DL126" s="13">
        <f>OCC_DAYS*$DB$41*R_NF_2023-DD126*MCD_SHARE_FREED*R_WAIT_2023</f>
        <v>37367.159242427646</v>
      </c>
      <c r="DM126">
        <f>IF($A126&lt;=$DB$45,1,0)</f>
        <v>1</v>
      </c>
      <c r="EB126">
        <f>IF($EB$31&lt;=$EB$32,IF($A126&lt;=$EB$7,1,2),IF($A126&lt;=RUNG_BEDS_2,2,1))</f>
        <v>1</v>
      </c>
      <c r="EC126" s="5">
        <f>MIN(1,MAX(0,$EB$26-($A126-1)))</f>
        <v>1</v>
      </c>
      <c r="ED126" s="5">
        <f>$EB$25*(EC126+(1-EC126)*$EB$16)</f>
        <v>252.05322714681438</v>
      </c>
      <c r="EE126" s="13">
        <f>ED126*($EB$6+ACUTE_MARGIN)</f>
        <v>254573.7594182825</v>
      </c>
      <c r="EF126" s="13">
        <f>IF(EB126=1,$EB$31,$EB$32)</f>
        <v>152394.16214437486</v>
      </c>
      <c r="EG126" s="13">
        <f>EE126-EF126</f>
        <v>102179.59727390765</v>
      </c>
      <c r="EH126" s="13">
        <f>EH125+EG126</f>
        <v>4393722.682778029</v>
      </c>
      <c r="EI126">
        <f>IF(EH126=MAX($EH$83:$EH$483),$A126,0)</f>
        <v>0</v>
      </c>
      <c r="EJ126">
        <f>IF(EE126&lt;EF126,$A126,B_MAX+1)</f>
        <v>401.0</v>
      </c>
      <c r="EK126" s="13">
        <f>IF(EB126=1,$EB$35,$EB$36)</f>
        <v>0</v>
      </c>
      <c r="EL126" s="13">
        <f>OCC_DAYS*$EB$41*R_NF_2023-ED126*MCD_SHARE_FREED*R_WAIT_2023</f>
        <v>-63953.16263896705</v>
      </c>
      <c r="EM126">
        <f>IF($A126&lt;=$EB$45,1,0)</f>
        <v>1</v>
      </c>
      <c r="FB126">
        <f>IF($FB$31&lt;=$FB$32,IF($A126&lt;=$FB$7,1,2),IF($A126&lt;=RUNG_BEDS_2,2,1))</f>
        <v>1</v>
      </c>
      <c r="FC126" s="5">
        <f>MIN(1,MAX(0,$FB$26-($A126-1)))</f>
        <v>1</v>
      </c>
      <c r="FD126" s="5">
        <f>$FB$25*(FC126+(1-FC126)*$FB$16)</f>
        <v>252.05322714681438</v>
      </c>
      <c r="FE126" s="13">
        <f>FD126*($FB$6+ACUTE_MARGIN)</f>
        <v>254573.7594182825</v>
      </c>
      <c r="FF126" s="13">
        <f>IF(FB126=1,$FB$31,$FB$32)</f>
        <v>156636.04979437485</v>
      </c>
      <c r="FG126" s="13">
        <f>FE126-FF126</f>
        <v>97937.70962390766</v>
      </c>
      <c r="FH126" s="13">
        <f>FH125+FG126</f>
        <v>4211321.51382803</v>
      </c>
      <c r="FI126">
        <f>IF(FH126=MAX($FH$83:$FH$483),$A126,0)</f>
        <v>0</v>
      </c>
      <c r="FJ126">
        <f>IF(FE126&lt;FF126,$A126,B_MAX+1)</f>
        <v>401.0</v>
      </c>
      <c r="FK126" s="13">
        <f>IF(FB126=1,$FB$35,$FB$36)</f>
        <v>0</v>
      </c>
      <c r="FL126" s="13">
        <f>OCC_DAYS*$FB$41*R_NF_2023-FD126*MCD_SHARE_FREED*R_WAIT_2023</f>
        <v>37367.159242427646</v>
      </c>
      <c r="FM126">
        <f>IF($A126&lt;=$FB$45,1,0)</f>
        <v>1</v>
      </c>
      <c r="GB126">
        <f>IF($GB$31&lt;=$GB$32,IF($A126&lt;=$GB$7,1,2),IF($A126&lt;=RUNG_BEDS_2,2,1))</f>
        <v>1</v>
      </c>
      <c r="GC126" s="5">
        <f>MIN(1,MAX(0,$GB$26-($A126-1)))</f>
        <v>1</v>
      </c>
      <c r="GD126" s="5">
        <f>$GB$25*(GC126+(1-GC126)*$GB$16)</f>
        <v>252.05322714681438</v>
      </c>
      <c r="GE126" s="13">
        <f>GD126*($GB$6+ACUTE_MARGIN)</f>
        <v>254573.7594182825</v>
      </c>
      <c r="GF126" s="13">
        <f>IF(GB126=1,$GB$31,$GB$32)</f>
        <v>152394.16214437486</v>
      </c>
      <c r="GG126" s="13">
        <f>GE126-GF126</f>
        <v>102179.59727390765</v>
      </c>
      <c r="GH126" s="13">
        <f>GH125+GG126</f>
        <v>4393722.682778029</v>
      </c>
      <c r="GI126">
        <f>IF(GH126=MAX($GH$83:$GH$483),$A126,0)</f>
        <v>0</v>
      </c>
      <c r="GJ126">
        <f>IF(GE126&lt;GF126,$A126,B_MAX+1)</f>
        <v>401.0</v>
      </c>
      <c r="GK126" s="13">
        <f>IF(GB126=1,$GB$35,$GB$36)</f>
        <v>0</v>
      </c>
      <c r="GL126" s="13">
        <f>OCC_DAYS*$GB$41*R_NF_2023-GD126*MCD_SHARE_FREED*R_WAIT_2023</f>
        <v>37367.159242427646</v>
      </c>
      <c r="GM126">
        <f>IF($A126&lt;=$GB$45,1,0)</f>
        <v>1</v>
      </c>
      <c r="HB126">
        <f>IF($HB$31&lt;=$HB$32,IF($A126&lt;=$HB$7,1,2),IF($A126&lt;=RUNG_BEDS_2,2,1))</f>
        <v>1</v>
      </c>
      <c r="HC126" s="5">
        <f>MIN(1,MAX(0,$HB$26-($A126-1)))</f>
        <v>1</v>
      </c>
      <c r="HD126" s="5">
        <f>$HB$25*(HC126+(1-HC126)*$HB$16)</f>
        <v>252.05322714681438</v>
      </c>
      <c r="HE126" s="13">
        <f>HD126*($HB$6+ACUTE_MARGIN)</f>
        <v>254573.7594182825</v>
      </c>
      <c r="HF126" s="13">
        <f>IF(HB126=1,$HB$31,$HB$32)</f>
        <v>152456.2970814058</v>
      </c>
      <c r="HG126" s="13">
        <f>HE126-HF126</f>
        <v>102117.46233687672</v>
      </c>
      <c r="HH126" s="13">
        <f>HH125+HG126</f>
        <v>4391050.880485701</v>
      </c>
      <c r="HI126">
        <f>IF(HH126=MAX($HH$83:$HH$483),$A126,0)</f>
        <v>0</v>
      </c>
      <c r="HJ126">
        <f>IF(HE126&lt;HF126,$A126,B_MAX+1)</f>
        <v>401.0</v>
      </c>
      <c r="HK126" s="13">
        <f>IF(HB126=1,$HB$35,$HB$36)</f>
        <v>0</v>
      </c>
      <c r="HL126" s="13">
        <f>OCC_DAYS*$HB$41*R_NF_2023-HD126*MCD_SHARE_FREED*R_WAIT_2023</f>
        <v>37367.159242427646</v>
      </c>
      <c r="HM126">
        <f>IF($A126&lt;=$HB$45,1,0)</f>
        <v>1</v>
      </c>
      <c r="IB126">
        <f>IF($IB$31&lt;=$IB$32,IF($A126&lt;=$IB$7,1,2),IF($A126&lt;=RUNG_BEDS_2,2,1))</f>
        <v>1</v>
      </c>
      <c r="IC126" s="5">
        <f>MIN(1,MAX(0,$IB$26-($A126-1)))</f>
        <v>1</v>
      </c>
      <c r="ID126" s="5">
        <f>$IB$25*(IC126+(1-IC126)*$IB$16)</f>
        <v>252.05322714681438</v>
      </c>
      <c r="IE126" s="13">
        <f>ID126*($IB$6+ACUTE_MARGIN)</f>
        <v>254573.7594182825</v>
      </c>
      <c r="IF126" s="13">
        <f>IF(IB126=1,$IB$31,$IB$32)</f>
        <v>152734.9994534971</v>
      </c>
      <c r="IG126" s="13">
        <f>IE126-IF126</f>
        <v>101838.75996478542</v>
      </c>
      <c r="IH126" s="13">
        <f>IH125+IG126</f>
        <v>4379066.678485776</v>
      </c>
      <c r="II126">
        <f>IF(IH126=MAX($IH$83:$IH$483),$A126,0)</f>
        <v>0</v>
      </c>
      <c r="IJ126">
        <f>IF(IE126&lt;IF126,$A126,B_MAX+1)</f>
        <v>401.0</v>
      </c>
      <c r="IK126" s="13">
        <f>IF(IB126=1,$IB$35,$IB$36)</f>
        <v>0</v>
      </c>
      <c r="IL126" s="13">
        <f>OCC_DAYS*$IB$41*R_NF_2023-ID126*MCD_SHARE_FREED*R_WAIT_2023</f>
        <v>37367.159242427646</v>
      </c>
      <c r="IM126">
        <f>IF($A126&lt;=$IB$45,1,0)</f>
        <v>1</v>
      </c>
      <c r="JB126">
        <f>IF($JB$31&lt;=$JB$32,IF($A126&lt;=$JB$7,1,2),IF($A126&lt;=RUNG_BEDS_2,2,1))</f>
        <v>1</v>
      </c>
      <c r="JC126" s="5">
        <f>MIN(1,MAX(0,$JB$26-($A126-1)))</f>
        <v>1</v>
      </c>
      <c r="JD126" s="5">
        <f>$JB$25*(JC126+(1-JC126)*$JB$16)</f>
        <v>252.05322714681438</v>
      </c>
      <c r="JE126" s="13">
        <f>JD126*($JB$6+ACUTE_MARGIN)</f>
        <v>254573.7594182825</v>
      </c>
      <c r="JF126" s="13">
        <f>IF(JB126=1,$JB$31,$JB$32)</f>
        <v>152394.16214437486</v>
      </c>
      <c r="JG126" s="13">
        <f>JE126-JF126</f>
        <v>102179.59727390765</v>
      </c>
      <c r="JH126" s="13">
        <f>JH125+JG126</f>
        <v>4393722.682778029</v>
      </c>
      <c r="JI126">
        <f>IF(JH126=MAX($JH$83:$JH$483),$A126,0)</f>
        <v>0</v>
      </c>
      <c r="JJ126">
        <f>IF(JE126&lt;JF126,$A126,B_MAX+1)</f>
        <v>401.0</v>
      </c>
      <c r="JK126" s="13">
        <f>IF(JB126=1,$JB$35,$JB$36)</f>
        <v>0</v>
      </c>
      <c r="JL126" s="13">
        <f>OCC_DAYS*$JB$41*R_NF_2023-JD126*MCD_SHARE_FREED*R_WAIT_2023</f>
        <v>37367.159242427646</v>
      </c>
      <c r="JM126">
        <f>IF($A126&lt;=$JB$45,1,0)</f>
        <v>1</v>
      </c>
      <c r="KB126">
        <f>IF($KB$31&lt;=$KB$32,IF($A126&lt;=$KB$7,1,2),IF($A126&lt;=RUNG_BEDS_2,2,1))</f>
        <v>1</v>
      </c>
      <c r="KC126" s="5">
        <f>MIN(1,MAX(0,$KB$26-($A126-1)))</f>
        <v>1</v>
      </c>
      <c r="KD126" s="5">
        <f>$KB$25*(KC126+(1-KC126)*$KB$16)</f>
        <v>126.02661357340719</v>
      </c>
      <c r="KE126" s="13">
        <f>KD126*($KB$6+ACUTE_MARGIN)</f>
        <v>127286.87970914126</v>
      </c>
      <c r="KF126" s="13">
        <f>IF(KB126=1,$KB$31,$KB$32)</f>
        <v>152394.16214437486</v>
      </c>
      <c r="KG126" s="13">
        <f>KE126-KF126</f>
        <v>-25107.282435233603</v>
      </c>
      <c r="KH126" s="13">
        <f>KH125+KG126</f>
        <v>-1079613.1447150446</v>
      </c>
      <c r="KI126">
        <f>IF(KH126=MAX($KH$83:$KH$483),$A126,0)</f>
        <v>0</v>
      </c>
      <c r="KJ126">
        <f>IF(KE126&lt;KF126,$A126,B_MAX+1)</f>
        <v>43</v>
      </c>
      <c r="KK126" s="13">
        <f>IF(KB126=1,$KB$35,$KB$36)</f>
        <v>0</v>
      </c>
      <c r="KL126" s="13">
        <f>OCC_DAYS*$KB$41*R_NF_2023-KD126*MCD_SHARE_FREED*R_WAIT_2023</f>
        <v>94673.82103225985</v>
      </c>
      <c r="KM126">
        <f>IF($A126&lt;=$KB$45,1,0)</f>
        <v>0</v>
      </c>
      <c r="LB126">
        <f>IF($LB$31&lt;=$LB$32,IF($A126&lt;=$LB$7,1,2),IF($A126&lt;=RUNG_BEDS_2,2,1))</f>
        <v>1</v>
      </c>
      <c r="LC126" s="5">
        <f>MIN(1,MAX(0,$LB$26-($A126-1)))</f>
        <v>1</v>
      </c>
      <c r="LD126" s="5">
        <f>$LB$25*(LC126+(1-LC126)*$LB$16)</f>
        <v>84.01774238227146</v>
      </c>
      <c r="LE126" s="13">
        <f>LD126*($LB$6+ACUTE_MARGIN)</f>
        <v>84857.91980609419</v>
      </c>
      <c r="LF126" s="13">
        <f>IF(LB126=1,$LB$31,$LB$32)</f>
        <v>152394.16214437486</v>
      </c>
      <c r="LG126" s="13">
        <f>LE126-LF126</f>
        <v>-67536.24233828067</v>
      </c>
      <c r="LH126" s="13">
        <f>LH125+LG126</f>
        <v>-2904058.420546069</v>
      </c>
      <c r="LI126">
        <f>IF(LH126=MAX($LH$83:$LH$483),$A126,0)</f>
        <v>0</v>
      </c>
      <c r="LJ126">
        <f>IF(LE126&lt;LF126,$A126,B_MAX+1)</f>
        <v>43</v>
      </c>
      <c r="LK126" s="13">
        <f>IF(LB126=1,$LB$35,$LB$36)</f>
        <v>0</v>
      </c>
      <c r="LL126" s="13">
        <f>OCC_DAYS*$LB$41*R_NF_2023-LD126*MCD_SHARE_FREED*R_WAIT_2023</f>
        <v>113776.04162887059</v>
      </c>
      <c r="LM126">
        <f>IF($A126&lt;=$LB$45,1,0)</f>
        <v>0</v>
      </c>
      <c r="MB126">
        <f>IF($MB$31&lt;=$MB$32,IF($A126&lt;=$MB$7,1,2),IF($A126&lt;=RUNG_BEDS_2,2,1))</f>
        <v>1</v>
      </c>
      <c r="MC126" s="5">
        <f>MIN(1,MAX(0,$MB$26-($A126-1)))</f>
        <v>1</v>
      </c>
      <c r="MD126" s="5">
        <f>$MB$25*(MC126+(1-MC126)*$MB$16)</f>
        <v>213.44610951008647</v>
      </c>
      <c r="ME126" s="13">
        <f>MD126*($MB$6+ACUTE_MARGIN)</f>
        <v>215580.57060518733</v>
      </c>
      <c r="MF126" s="13">
        <f>IF(MB126=1,$MB$31,$MB$32)</f>
        <v>152394.16214437486</v>
      </c>
      <c r="MG126" s="13">
        <f>ME126-MF126</f>
        <v>63186.40846081247</v>
      </c>
      <c r="MH126" s="13">
        <f>MH125+MG126</f>
        <v>2717015.563814936</v>
      </c>
      <c r="MI126">
        <f>IF(MH126=MAX($MH$83:$MH$483),$A126,0)</f>
        <v>0</v>
      </c>
      <c r="MJ126">
        <f>IF(ME126&lt;MF126,$A126,B_MAX+1)</f>
        <v>401.0</v>
      </c>
      <c r="MK126" s="13">
        <f>IF(MB126=1,$MB$35,$MB$36)</f>
        <v>0</v>
      </c>
      <c r="ML126" s="13">
        <f>OCC_DAYS*$MB$41*R_NF_2023-MD126*MCD_SHARE_FREED*R_WAIT_2023</f>
        <v>54922.538779778624</v>
      </c>
      <c r="MM126">
        <f>IF($A126&lt;=$MB$45,1,0)</f>
        <v>1</v>
      </c>
      <c r="NB126">
        <f>IF($NB$31&lt;=$NB$32,IF($A126&lt;=$NB$7,1,2),IF($A126&lt;=RUNG_BEDS_2,2,1))</f>
        <v>1</v>
      </c>
      <c r="NC126" s="5">
        <f>MIN(1,MAX(0,$NB$26-($A126-1)))</f>
        <v>1</v>
      </c>
      <c r="ND126" s="5">
        <f>$NB$25*(NC126+(1-NC126)*$NB$16)</f>
        <v>252.05322714681438</v>
      </c>
      <c r="NE126" s="13">
        <f>ND126*($NB$6+ACUTE_MARGIN)</f>
        <v>254573.7594182825</v>
      </c>
      <c r="NF126" s="13">
        <f>IF(NB126=1,$NB$31,$NB$32)</f>
        <v>152394.16214437486</v>
      </c>
      <c r="NG126" s="13">
        <f>NE126-NF126</f>
        <v>102179.59727390765</v>
      </c>
      <c r="NH126" s="13">
        <f>NH125+NG126</f>
        <v>4393722.682778029</v>
      </c>
      <c r="NI126">
        <f>IF(NH126=MAX($NH$83:$NH$483),$A126,0)</f>
        <v>0</v>
      </c>
      <c r="NJ126">
        <f>IF(NE126&lt;NF126,$A126,B_MAX+1)</f>
        <v>401.0</v>
      </c>
      <c r="NK126" s="13">
        <f>IF(NB126=1,$NB$35,$NB$36)</f>
        <v>0</v>
      </c>
      <c r="NL126" s="13">
        <f>OCC_DAYS*$NB$41*R_NF_2023-ND126*MCD_SHARE_FREED*R_WAIT_2023</f>
        <v>37367.159242427646</v>
      </c>
      <c r="NM126">
        <f>IF($A126&lt;=$NB$45,1,0)</f>
        <v>1</v>
      </c>
      <c r="OB126">
        <f>IF($OB$31&lt;=$OB$32,IF($A126&lt;=$OB$7,1,2),IF($A126&lt;=RUNG_BEDS_2,2,1))</f>
        <v>1</v>
      </c>
      <c r="OC126" s="5">
        <f>MIN(1,MAX(0,$OB$26-($A126-1)))</f>
        <v>1</v>
      </c>
      <c r="OD126" s="5">
        <f>$OB$25*(OC126+(1-OC126)*$OB$16)</f>
        <v>252.05322714681438</v>
      </c>
      <c r="OE126" s="13">
        <f>OD126*($OB$6+ACUTE_MARGIN)</f>
        <v>254573.7594182825</v>
      </c>
      <c r="OF126" s="13">
        <f>IF(OB126=1,$OB$31,$OB$32)</f>
        <v>152394.16214437486</v>
      </c>
      <c r="OG126" s="13">
        <f>OE126-OF126</f>
        <v>102179.59727390765</v>
      </c>
      <c r="OH126" s="13">
        <f>OH125+OG126</f>
        <v>4393722.682778029</v>
      </c>
      <c r="OI126">
        <f>IF(OH126=MAX($OH$83:$OH$483),$A126,0)</f>
        <v>0</v>
      </c>
      <c r="OJ126">
        <f>IF(OE126&lt;OF126,$A126,B_MAX+1)</f>
        <v>401.0</v>
      </c>
      <c r="OK126" s="13">
        <f>IF(OB126=1,$OB$35,$OB$36)</f>
        <v>0</v>
      </c>
      <c r="OL126" s="13">
        <f>OCC_DAYS*$OB$41*R_NF_2023-OD126*MCD_SHARE_FREED*R_WAIT_2023</f>
        <v>37367.159242427646</v>
      </c>
      <c r="OM126">
        <f>IF($A126&lt;=$OB$45,1,0)</f>
        <v>1</v>
      </c>
    </row>
    <row r="127">
      <c r="A127" t="n">
        <v>44</v>
      </c>
      <c r="B127">
        <f>IF($B$31&lt;=$B$32,IF($A127&lt;=$B$7,1,2),IF($A127&lt;=RUNG_BEDS_2,2,1))</f>
        <v>1</v>
      </c>
      <c r="C127" s="5">
        <f>MIN(1,MAX(0,$B$26-($A127-1)))</f>
        <v>1</v>
      </c>
      <c r="D127" s="5">
        <f>$B$25*(C127+(1-C127)*$B$16)</f>
        <v>252.05322714681438</v>
      </c>
      <c r="E127" s="13">
        <f>D127*($B$6+ACUTE_MARGIN)</f>
        <v>254573.7594182825</v>
      </c>
      <c r="F127" s="13">
        <f>IF(B127=1,$B$31,$B$32)</f>
        <v>152394.16214437486</v>
      </c>
      <c r="G127" s="13">
        <f>E127-F127</f>
        <v>102179.59727390765</v>
      </c>
      <c r="H127" s="13">
        <f>H126+G127</f>
        <v>4495902.280051936</v>
      </c>
      <c r="I127">
        <f>IF(H127=MAX($H$83:$H$483),$A127,0)</f>
        <v>0</v>
      </c>
      <c r="J127">
        <f>IF(E127&lt;F127,$A127,B_MAX+1)</f>
        <v>401.0</v>
      </c>
      <c r="K127" s="13">
        <f>IF(B127=1,$B$35,$B$36)</f>
        <v>0</v>
      </c>
      <c r="L127" s="13">
        <f>OCC_DAYS*$B$41*R_NF_2023-D127*MCD_SHARE_FREED*R_WAIT_2023</f>
        <v>37367.159242427646</v>
      </c>
      <c r="M127">
        <f>IF($A127&lt;=$B$45,1,0)</f>
        <v>1</v>
      </c>
      <c r="AB127">
        <f>IF($AB$31&lt;=$AB$32,IF($A127&lt;=$AB$7,1,2),IF($A127&lt;=RUNG_BEDS_2,2,1))</f>
        <v>1</v>
      </c>
      <c r="AC127" s="5">
        <f>MIN(1,MAX(0,$AB$26-($A127-1)))</f>
        <v>1</v>
      </c>
      <c r="AD127" s="5">
        <f>$AB$25*(AC127+(1-AC127)*$AB$16)</f>
        <v>252.05322714681438</v>
      </c>
      <c r="AE127" s="13">
        <f>AD127*($AB$6+ACUTE_MARGIN)</f>
        <v>138629.2749307479</v>
      </c>
      <c r="AF127" s="13">
        <f>IF(AB127=1,$AB$31,$AB$32)</f>
        <v>152394.16214437486</v>
      </c>
      <c r="AG127" s="13">
        <f>AE127-AF127</f>
        <v>-13764.887213626964</v>
      </c>
      <c r="AH127" s="13">
        <f>AH126+AG127</f>
        <v>-605655.0373995871</v>
      </c>
      <c r="AI127">
        <f>IF(AH127=MAX($AH$83:$AH$483),$A127,0)</f>
        <v>0</v>
      </c>
      <c r="AJ127">
        <f>IF(AE127&lt;AF127,$A127,B_MAX+1)</f>
        <v>44</v>
      </c>
      <c r="AK127" s="13">
        <f>IF(AB127=1,$AB$35,$AB$36)</f>
        <v>0</v>
      </c>
      <c r="AL127" s="13">
        <f>OCC_DAYS*$AB$41*R_NF_2023-AD127*MCD_SHARE_FREED*R_WAIT_2023</f>
        <v>37367.159242427646</v>
      </c>
      <c r="AM127">
        <f>IF($A127&lt;=$AB$45,1,0)</f>
        <v>0</v>
      </c>
      <c r="BB127">
        <f>IF($BB$31&lt;=$BB$32,IF($A127&lt;=$BB$7,1,2),IF($A127&lt;=RUNG_BEDS_2,2,1))</f>
        <v>1</v>
      </c>
      <c r="BC127" s="5">
        <f>MIN(1,MAX(0,$BB$26-($A127-1)))</f>
        <v>1</v>
      </c>
      <c r="BD127" s="5">
        <f>$BB$25*(BC127+(1-BC127)*$BB$16)</f>
        <v>252.05322714681438</v>
      </c>
      <c r="BE127" s="13">
        <f>BD127*($BB$6+ACUTE_MARGIN)</f>
        <v>370518.24390581716</v>
      </c>
      <c r="BF127" s="13">
        <f>IF(BB127=1,$BB$31,$BB$32)</f>
        <v>152394.16214437486</v>
      </c>
      <c r="BG127" s="13">
        <f>BE127-BF127</f>
        <v>218124.0817614423</v>
      </c>
      <c r="BH127" s="13">
        <f>BH126+BG127</f>
        <v>9597459.597503455</v>
      </c>
      <c r="BI127">
        <f>IF(BH127=MAX($BH$83:$BH$483),$A127,0)</f>
        <v>0</v>
      </c>
      <c r="BJ127">
        <f>IF(BE127&lt;BF127,$A127,B_MAX+1)</f>
        <v>401.0</v>
      </c>
      <c r="BK127" s="13">
        <f>IF(BB127=1,$BB$35,$BB$36)</f>
        <v>0</v>
      </c>
      <c r="BL127" s="13">
        <f>OCC_DAYS*$BB$41*R_NF_2023-BD127*MCD_SHARE_FREED*R_WAIT_2023</f>
        <v>37367.159242427646</v>
      </c>
      <c r="BM127">
        <f>IF($A127&lt;=$BB$45,1,0)</f>
        <v>1</v>
      </c>
      <c r="CB127">
        <f>IF($CB$31&lt;=$CB$32,IF($A127&lt;=$CB$7,1,2),IF($A127&lt;=RUNG_BEDS_2,2,1))</f>
        <v>2</v>
      </c>
      <c r="CC127" s="5">
        <f>MIN(1,MAX(0,$CB$26-($A127-1)))</f>
        <v>1</v>
      </c>
      <c r="CD127" s="5">
        <f>$CB$25*(CC127+(1-CC127)*$CB$16)</f>
        <v>252.05322714681438</v>
      </c>
      <c r="CE127" s="13">
        <f>CD127*($CB$6+ACUTE_MARGIN)</f>
        <v>254573.7594182825</v>
      </c>
      <c r="CF127" s="13">
        <f>IF(CB127=1,$CB$31,$CB$32)</f>
        <v>160718.36940738867</v>
      </c>
      <c r="CG127" s="13">
        <f>CE127-CF127</f>
        <v>93855.39001089384</v>
      </c>
      <c r="CH127" s="13">
        <f>CH126+CG127</f>
        <v>4129637.160479328</v>
      </c>
      <c r="CI127">
        <f>IF(CH127=MAX($CH$83:$CH$483),$A127,0)</f>
        <v>0</v>
      </c>
      <c r="CJ127">
        <f>IF(CE127&lt;CF127,$A127,B_MAX+1)</f>
        <v>401.0</v>
      </c>
      <c r="CK127" s="13">
        <f>IF(CB127=1,$CB$35,$CB$36)</f>
        <v>1560.1194073886782</v>
      </c>
      <c r="CL127" s="13">
        <f>OCC_DAYS*$CB$41*R_NF_2023-CD127*MCD_SHARE_FREED*R_WAIT_2023</f>
        <v>37367.159242427646</v>
      </c>
      <c r="CM127">
        <f>IF($A127&lt;=$CB$45,1,0)</f>
        <v>1</v>
      </c>
      <c r="DB127">
        <f>IF($DB$31&lt;=$DB$32,IF($A127&lt;=$DB$7,1,2),IF($A127&lt;=RUNG_BEDS_2,2,1))</f>
        <v>1</v>
      </c>
      <c r="DC127" s="5">
        <f>MIN(1,MAX(0,$DB$26-($A127-1)))</f>
        <v>1</v>
      </c>
      <c r="DD127" s="5">
        <f>$DB$25*(DC127+(1-DC127)*$DB$16)</f>
        <v>252.05322714681438</v>
      </c>
      <c r="DE127" s="13">
        <f>DD127*($DB$6+ACUTE_MARGIN)</f>
        <v>254573.7594182825</v>
      </c>
      <c r="DF127" s="13">
        <f>IF(DB127=1,$DB$31,$DB$32)</f>
        <v>152394.16214437486</v>
      </c>
      <c r="DG127" s="13">
        <f>DE127-DF127</f>
        <v>102179.59727390765</v>
      </c>
      <c r="DH127" s="13">
        <f>DH126+DG127</f>
        <v>4495902.280051936</v>
      </c>
      <c r="DI127">
        <f>IF(DH127=MAX($DH$83:$DH$483),$A127,0)</f>
        <v>0</v>
      </c>
      <c r="DJ127">
        <f>IF(DE127&lt;DF127,$A127,B_MAX+1)</f>
        <v>401.0</v>
      </c>
      <c r="DK127" s="13">
        <f>IF(DB127=1,$DB$35,$DB$36)</f>
        <v>0</v>
      </c>
      <c r="DL127" s="13">
        <f>OCC_DAYS*$DB$41*R_NF_2023-DD127*MCD_SHARE_FREED*R_WAIT_2023</f>
        <v>37367.159242427646</v>
      </c>
      <c r="DM127">
        <f>IF($A127&lt;=$DB$45,1,0)</f>
        <v>1</v>
      </c>
      <c r="EB127">
        <f>IF($EB$31&lt;=$EB$32,IF($A127&lt;=$EB$7,1,2),IF($A127&lt;=RUNG_BEDS_2,2,1))</f>
        <v>1</v>
      </c>
      <c r="EC127" s="5">
        <f>MIN(1,MAX(0,$EB$26-($A127-1)))</f>
        <v>1</v>
      </c>
      <c r="ED127" s="5">
        <f>$EB$25*(EC127+(1-EC127)*$EB$16)</f>
        <v>252.05322714681438</v>
      </c>
      <c r="EE127" s="13">
        <f>ED127*($EB$6+ACUTE_MARGIN)</f>
        <v>254573.7594182825</v>
      </c>
      <c r="EF127" s="13">
        <f>IF(EB127=1,$EB$31,$EB$32)</f>
        <v>152394.16214437486</v>
      </c>
      <c r="EG127" s="13">
        <f>EE127-EF127</f>
        <v>102179.59727390765</v>
      </c>
      <c r="EH127" s="13">
        <f>EH126+EG127</f>
        <v>4495902.280051936</v>
      </c>
      <c r="EI127">
        <f>IF(EH127=MAX($EH$83:$EH$483),$A127,0)</f>
        <v>0</v>
      </c>
      <c r="EJ127">
        <f>IF(EE127&lt;EF127,$A127,B_MAX+1)</f>
        <v>401.0</v>
      </c>
      <c r="EK127" s="13">
        <f>IF(EB127=1,$EB$35,$EB$36)</f>
        <v>0</v>
      </c>
      <c r="EL127" s="13">
        <f>OCC_DAYS*$EB$41*R_NF_2023-ED127*MCD_SHARE_FREED*R_WAIT_2023</f>
        <v>-63953.16263896705</v>
      </c>
      <c r="EM127">
        <f>IF($A127&lt;=$EB$45,1,0)</f>
        <v>1</v>
      </c>
      <c r="FB127">
        <f>IF($FB$31&lt;=$FB$32,IF($A127&lt;=$FB$7,1,2),IF($A127&lt;=RUNG_BEDS_2,2,1))</f>
        <v>1</v>
      </c>
      <c r="FC127" s="5">
        <f>MIN(1,MAX(0,$FB$26-($A127-1)))</f>
        <v>1</v>
      </c>
      <c r="FD127" s="5">
        <f>$FB$25*(FC127+(1-FC127)*$FB$16)</f>
        <v>252.05322714681438</v>
      </c>
      <c r="FE127" s="13">
        <f>FD127*($FB$6+ACUTE_MARGIN)</f>
        <v>254573.7594182825</v>
      </c>
      <c r="FF127" s="13">
        <f>IF(FB127=1,$FB$31,$FB$32)</f>
        <v>156636.04979437485</v>
      </c>
      <c r="FG127" s="13">
        <f>FE127-FF127</f>
        <v>97937.70962390766</v>
      </c>
      <c r="FH127" s="13">
        <f>FH126+FG127</f>
        <v>4309259.223451938</v>
      </c>
      <c r="FI127">
        <f>IF(FH127=MAX($FH$83:$FH$483),$A127,0)</f>
        <v>0</v>
      </c>
      <c r="FJ127">
        <f>IF(FE127&lt;FF127,$A127,B_MAX+1)</f>
        <v>401.0</v>
      </c>
      <c r="FK127" s="13">
        <f>IF(FB127=1,$FB$35,$FB$36)</f>
        <v>0</v>
      </c>
      <c r="FL127" s="13">
        <f>OCC_DAYS*$FB$41*R_NF_2023-FD127*MCD_SHARE_FREED*R_WAIT_2023</f>
        <v>37367.159242427646</v>
      </c>
      <c r="FM127">
        <f>IF($A127&lt;=$FB$45,1,0)</f>
        <v>1</v>
      </c>
      <c r="GB127">
        <f>IF($GB$31&lt;=$GB$32,IF($A127&lt;=$GB$7,1,2),IF($A127&lt;=RUNG_BEDS_2,2,1))</f>
        <v>1</v>
      </c>
      <c r="GC127" s="5">
        <f>MIN(1,MAX(0,$GB$26-($A127-1)))</f>
        <v>1</v>
      </c>
      <c r="GD127" s="5">
        <f>$GB$25*(GC127+(1-GC127)*$GB$16)</f>
        <v>252.05322714681438</v>
      </c>
      <c r="GE127" s="13">
        <f>GD127*($GB$6+ACUTE_MARGIN)</f>
        <v>254573.7594182825</v>
      </c>
      <c r="GF127" s="13">
        <f>IF(GB127=1,$GB$31,$GB$32)</f>
        <v>152394.16214437486</v>
      </c>
      <c r="GG127" s="13">
        <f>GE127-GF127</f>
        <v>102179.59727390765</v>
      </c>
      <c r="GH127" s="13">
        <f>GH126+GG127</f>
        <v>4495902.280051936</v>
      </c>
      <c r="GI127">
        <f>IF(GH127=MAX($GH$83:$GH$483),$A127,0)</f>
        <v>0</v>
      </c>
      <c r="GJ127">
        <f>IF(GE127&lt;GF127,$A127,B_MAX+1)</f>
        <v>401.0</v>
      </c>
      <c r="GK127" s="13">
        <f>IF(GB127=1,$GB$35,$GB$36)</f>
        <v>0</v>
      </c>
      <c r="GL127" s="13">
        <f>OCC_DAYS*$GB$41*R_NF_2023-GD127*MCD_SHARE_FREED*R_WAIT_2023</f>
        <v>37367.159242427646</v>
      </c>
      <c r="GM127">
        <f>IF($A127&lt;=$GB$45,1,0)</f>
        <v>1</v>
      </c>
      <c r="HB127">
        <f>IF($HB$31&lt;=$HB$32,IF($A127&lt;=$HB$7,1,2),IF($A127&lt;=RUNG_BEDS_2,2,1))</f>
        <v>1</v>
      </c>
      <c r="HC127" s="5">
        <f>MIN(1,MAX(0,$HB$26-($A127-1)))</f>
        <v>1</v>
      </c>
      <c r="HD127" s="5">
        <f>$HB$25*(HC127+(1-HC127)*$HB$16)</f>
        <v>252.05322714681438</v>
      </c>
      <c r="HE127" s="13">
        <f>HD127*($HB$6+ACUTE_MARGIN)</f>
        <v>254573.7594182825</v>
      </c>
      <c r="HF127" s="13">
        <f>IF(HB127=1,$HB$31,$HB$32)</f>
        <v>152456.2970814058</v>
      </c>
      <c r="HG127" s="13">
        <f>HE127-HF127</f>
        <v>102117.46233687672</v>
      </c>
      <c r="HH127" s="13">
        <f>HH126+HG127</f>
        <v>4493168.342822578</v>
      </c>
      <c r="HI127">
        <f>IF(HH127=MAX($HH$83:$HH$483),$A127,0)</f>
        <v>0</v>
      </c>
      <c r="HJ127">
        <f>IF(HE127&lt;HF127,$A127,B_MAX+1)</f>
        <v>401.0</v>
      </c>
      <c r="HK127" s="13">
        <f>IF(HB127=1,$HB$35,$HB$36)</f>
        <v>0</v>
      </c>
      <c r="HL127" s="13">
        <f>OCC_DAYS*$HB$41*R_NF_2023-HD127*MCD_SHARE_FREED*R_WAIT_2023</f>
        <v>37367.159242427646</v>
      </c>
      <c r="HM127">
        <f>IF($A127&lt;=$HB$45,1,0)</f>
        <v>1</v>
      </c>
      <c r="IB127">
        <f>IF($IB$31&lt;=$IB$32,IF($A127&lt;=$IB$7,1,2),IF($A127&lt;=RUNG_BEDS_2,2,1))</f>
        <v>1</v>
      </c>
      <c r="IC127" s="5">
        <f>MIN(1,MAX(0,$IB$26-($A127-1)))</f>
        <v>1</v>
      </c>
      <c r="ID127" s="5">
        <f>$IB$25*(IC127+(1-IC127)*$IB$16)</f>
        <v>252.05322714681438</v>
      </c>
      <c r="IE127" s="13">
        <f>ID127*($IB$6+ACUTE_MARGIN)</f>
        <v>254573.7594182825</v>
      </c>
      <c r="IF127" s="13">
        <f>IF(IB127=1,$IB$31,$IB$32)</f>
        <v>152734.9994534971</v>
      </c>
      <c r="IG127" s="13">
        <f>IE127-IF127</f>
        <v>101838.75996478542</v>
      </c>
      <c r="IH127" s="13">
        <f>IH126+IG127</f>
        <v>4480905.438450562</v>
      </c>
      <c r="II127">
        <f>IF(IH127=MAX($IH$83:$IH$483),$A127,0)</f>
        <v>0</v>
      </c>
      <c r="IJ127">
        <f>IF(IE127&lt;IF127,$A127,B_MAX+1)</f>
        <v>401.0</v>
      </c>
      <c r="IK127" s="13">
        <f>IF(IB127=1,$IB$35,$IB$36)</f>
        <v>0</v>
      </c>
      <c r="IL127" s="13">
        <f>OCC_DAYS*$IB$41*R_NF_2023-ID127*MCD_SHARE_FREED*R_WAIT_2023</f>
        <v>37367.159242427646</v>
      </c>
      <c r="IM127">
        <f>IF($A127&lt;=$IB$45,1,0)</f>
        <v>1</v>
      </c>
      <c r="JB127">
        <f>IF($JB$31&lt;=$JB$32,IF($A127&lt;=$JB$7,1,2),IF($A127&lt;=RUNG_BEDS_2,2,1))</f>
        <v>1</v>
      </c>
      <c r="JC127" s="5">
        <f>MIN(1,MAX(0,$JB$26-($A127-1)))</f>
        <v>1</v>
      </c>
      <c r="JD127" s="5">
        <f>$JB$25*(JC127+(1-JC127)*$JB$16)</f>
        <v>252.05322714681438</v>
      </c>
      <c r="JE127" s="13">
        <f>JD127*($JB$6+ACUTE_MARGIN)</f>
        <v>254573.7594182825</v>
      </c>
      <c r="JF127" s="13">
        <f>IF(JB127=1,$JB$31,$JB$32)</f>
        <v>152394.16214437486</v>
      </c>
      <c r="JG127" s="13">
        <f>JE127-JF127</f>
        <v>102179.59727390765</v>
      </c>
      <c r="JH127" s="13">
        <f>JH126+JG127</f>
        <v>4495902.280051936</v>
      </c>
      <c r="JI127">
        <f>IF(JH127=MAX($JH$83:$JH$483),$A127,0)</f>
        <v>0</v>
      </c>
      <c r="JJ127">
        <f>IF(JE127&lt;JF127,$A127,B_MAX+1)</f>
        <v>401.0</v>
      </c>
      <c r="JK127" s="13">
        <f>IF(JB127=1,$JB$35,$JB$36)</f>
        <v>0</v>
      </c>
      <c r="JL127" s="13">
        <f>OCC_DAYS*$JB$41*R_NF_2023-JD127*MCD_SHARE_FREED*R_WAIT_2023</f>
        <v>37367.159242427646</v>
      </c>
      <c r="JM127">
        <f>IF($A127&lt;=$JB$45,1,0)</f>
        <v>1</v>
      </c>
      <c r="KB127">
        <f>IF($KB$31&lt;=$KB$32,IF($A127&lt;=$KB$7,1,2),IF($A127&lt;=RUNG_BEDS_2,2,1))</f>
        <v>1</v>
      </c>
      <c r="KC127" s="5">
        <f>MIN(1,MAX(0,$KB$26-($A127-1)))</f>
        <v>1</v>
      </c>
      <c r="KD127" s="5">
        <f>$KB$25*(KC127+(1-KC127)*$KB$16)</f>
        <v>126.02661357340719</v>
      </c>
      <c r="KE127" s="13">
        <f>KD127*($KB$6+ACUTE_MARGIN)</f>
        <v>127286.87970914126</v>
      </c>
      <c r="KF127" s="13">
        <f>IF(KB127=1,$KB$31,$KB$32)</f>
        <v>152394.16214437486</v>
      </c>
      <c r="KG127" s="13">
        <f>KE127-KF127</f>
        <v>-25107.282435233603</v>
      </c>
      <c r="KH127" s="13">
        <f>KH126+KG127</f>
        <v>-1104720.4271502784</v>
      </c>
      <c r="KI127">
        <f>IF(KH127=MAX($KH$83:$KH$483),$A127,0)</f>
        <v>0</v>
      </c>
      <c r="KJ127">
        <f>IF(KE127&lt;KF127,$A127,B_MAX+1)</f>
        <v>44</v>
      </c>
      <c r="KK127" s="13">
        <f>IF(KB127=1,$KB$35,$KB$36)</f>
        <v>0</v>
      </c>
      <c r="KL127" s="13">
        <f>OCC_DAYS*$KB$41*R_NF_2023-KD127*MCD_SHARE_FREED*R_WAIT_2023</f>
        <v>94673.82103225985</v>
      </c>
      <c r="KM127">
        <f>IF($A127&lt;=$KB$45,1,0)</f>
        <v>0</v>
      </c>
      <c r="LB127">
        <f>IF($LB$31&lt;=$LB$32,IF($A127&lt;=$LB$7,1,2),IF($A127&lt;=RUNG_BEDS_2,2,1))</f>
        <v>1</v>
      </c>
      <c r="LC127" s="5">
        <f>MIN(1,MAX(0,$LB$26-($A127-1)))</f>
        <v>1</v>
      </c>
      <c r="LD127" s="5">
        <f>$LB$25*(LC127+(1-LC127)*$LB$16)</f>
        <v>84.01774238227146</v>
      </c>
      <c r="LE127" s="13">
        <f>LD127*($LB$6+ACUTE_MARGIN)</f>
        <v>84857.91980609419</v>
      </c>
      <c r="LF127" s="13">
        <f>IF(LB127=1,$LB$31,$LB$32)</f>
        <v>152394.16214437486</v>
      </c>
      <c r="LG127" s="13">
        <f>LE127-LF127</f>
        <v>-67536.24233828067</v>
      </c>
      <c r="LH127" s="13">
        <f>LH126+LG127</f>
        <v>-2971594.6628843495</v>
      </c>
      <c r="LI127">
        <f>IF(LH127=MAX($LH$83:$LH$483),$A127,0)</f>
        <v>0</v>
      </c>
      <c r="LJ127">
        <f>IF(LE127&lt;LF127,$A127,B_MAX+1)</f>
        <v>44</v>
      </c>
      <c r="LK127" s="13">
        <f>IF(LB127=1,$LB$35,$LB$36)</f>
        <v>0</v>
      </c>
      <c r="LL127" s="13">
        <f>OCC_DAYS*$LB$41*R_NF_2023-LD127*MCD_SHARE_FREED*R_WAIT_2023</f>
        <v>113776.04162887059</v>
      </c>
      <c r="LM127">
        <f>IF($A127&lt;=$LB$45,1,0)</f>
        <v>0</v>
      </c>
      <c r="MB127">
        <f>IF($MB$31&lt;=$MB$32,IF($A127&lt;=$MB$7,1,2),IF($A127&lt;=RUNG_BEDS_2,2,1))</f>
        <v>1</v>
      </c>
      <c r="MC127" s="5">
        <f>MIN(1,MAX(0,$MB$26-($A127-1)))</f>
        <v>1</v>
      </c>
      <c r="MD127" s="5">
        <f>$MB$25*(MC127+(1-MC127)*$MB$16)</f>
        <v>213.44610951008647</v>
      </c>
      <c r="ME127" s="13">
        <f>MD127*($MB$6+ACUTE_MARGIN)</f>
        <v>215580.57060518733</v>
      </c>
      <c r="MF127" s="13">
        <f>IF(MB127=1,$MB$31,$MB$32)</f>
        <v>152394.16214437486</v>
      </c>
      <c r="MG127" s="13">
        <f>ME127-MF127</f>
        <v>63186.40846081247</v>
      </c>
      <c r="MH127" s="13">
        <f>MH126+MG127</f>
        <v>2780201.972275749</v>
      </c>
      <c r="MI127">
        <f>IF(MH127=MAX($MH$83:$MH$483),$A127,0)</f>
        <v>0</v>
      </c>
      <c r="MJ127">
        <f>IF(ME127&lt;MF127,$A127,B_MAX+1)</f>
        <v>401.0</v>
      </c>
      <c r="MK127" s="13">
        <f>IF(MB127=1,$MB$35,$MB$36)</f>
        <v>0</v>
      </c>
      <c r="ML127" s="13">
        <f>OCC_DAYS*$MB$41*R_NF_2023-MD127*MCD_SHARE_FREED*R_WAIT_2023</f>
        <v>54922.538779778624</v>
      </c>
      <c r="MM127">
        <f>IF($A127&lt;=$MB$45,1,0)</f>
        <v>1</v>
      </c>
      <c r="NB127">
        <f>IF($NB$31&lt;=$NB$32,IF($A127&lt;=$NB$7,1,2),IF($A127&lt;=RUNG_BEDS_2,2,1))</f>
        <v>1</v>
      </c>
      <c r="NC127" s="5">
        <f>MIN(1,MAX(0,$NB$26-($A127-1)))</f>
        <v>1</v>
      </c>
      <c r="ND127" s="5">
        <f>$NB$25*(NC127+(1-NC127)*$NB$16)</f>
        <v>252.05322714681438</v>
      </c>
      <c r="NE127" s="13">
        <f>ND127*($NB$6+ACUTE_MARGIN)</f>
        <v>254573.7594182825</v>
      </c>
      <c r="NF127" s="13">
        <f>IF(NB127=1,$NB$31,$NB$32)</f>
        <v>152394.16214437486</v>
      </c>
      <c r="NG127" s="13">
        <f>NE127-NF127</f>
        <v>102179.59727390765</v>
      </c>
      <c r="NH127" s="13">
        <f>NH126+NG127</f>
        <v>4495902.280051936</v>
      </c>
      <c r="NI127">
        <f>IF(NH127=MAX($NH$83:$NH$483),$A127,0)</f>
        <v>0</v>
      </c>
      <c r="NJ127">
        <f>IF(NE127&lt;NF127,$A127,B_MAX+1)</f>
        <v>401.0</v>
      </c>
      <c r="NK127" s="13">
        <f>IF(NB127=1,$NB$35,$NB$36)</f>
        <v>0</v>
      </c>
      <c r="NL127" s="13">
        <f>OCC_DAYS*$NB$41*R_NF_2023-ND127*MCD_SHARE_FREED*R_WAIT_2023</f>
        <v>37367.159242427646</v>
      </c>
      <c r="NM127">
        <f>IF($A127&lt;=$NB$45,1,0)</f>
        <v>1</v>
      </c>
      <c r="OB127">
        <f>IF($OB$31&lt;=$OB$32,IF($A127&lt;=$OB$7,1,2),IF($A127&lt;=RUNG_BEDS_2,2,1))</f>
        <v>1</v>
      </c>
      <c r="OC127" s="5">
        <f>MIN(1,MAX(0,$OB$26-($A127-1)))</f>
        <v>1</v>
      </c>
      <c r="OD127" s="5">
        <f>$OB$25*(OC127+(1-OC127)*$OB$16)</f>
        <v>252.05322714681438</v>
      </c>
      <c r="OE127" s="13">
        <f>OD127*($OB$6+ACUTE_MARGIN)</f>
        <v>254573.7594182825</v>
      </c>
      <c r="OF127" s="13">
        <f>IF(OB127=1,$OB$31,$OB$32)</f>
        <v>152394.16214437486</v>
      </c>
      <c r="OG127" s="13">
        <f>OE127-OF127</f>
        <v>102179.59727390765</v>
      </c>
      <c r="OH127" s="13">
        <f>OH126+OG127</f>
        <v>4495902.280051936</v>
      </c>
      <c r="OI127">
        <f>IF(OH127=MAX($OH$83:$OH$483),$A127,0)</f>
        <v>0</v>
      </c>
      <c r="OJ127">
        <f>IF(OE127&lt;OF127,$A127,B_MAX+1)</f>
        <v>401.0</v>
      </c>
      <c r="OK127" s="13">
        <f>IF(OB127=1,$OB$35,$OB$36)</f>
        <v>0</v>
      </c>
      <c r="OL127" s="13">
        <f>OCC_DAYS*$OB$41*R_NF_2023-OD127*MCD_SHARE_FREED*R_WAIT_2023</f>
        <v>37367.159242427646</v>
      </c>
      <c r="OM127">
        <f>IF($A127&lt;=$OB$45,1,0)</f>
        <v>1</v>
      </c>
    </row>
    <row r="128">
      <c r="A128" t="n">
        <v>45</v>
      </c>
      <c r="B128">
        <f>IF($B$31&lt;=$B$32,IF($A128&lt;=$B$7,1,2),IF($A128&lt;=RUNG_BEDS_2,2,1))</f>
        <v>1</v>
      </c>
      <c r="C128" s="5">
        <f>MIN(1,MAX(0,$B$26-($A128-1)))</f>
        <v>1</v>
      </c>
      <c r="D128" s="5">
        <f>$B$25*(C128+(1-C128)*$B$16)</f>
        <v>252.05322714681438</v>
      </c>
      <c r="E128" s="13">
        <f>D128*($B$6+ACUTE_MARGIN)</f>
        <v>254573.7594182825</v>
      </c>
      <c r="F128" s="13">
        <f>IF(B128=1,$B$31,$B$32)</f>
        <v>152394.16214437486</v>
      </c>
      <c r="G128" s="13">
        <f>E128-F128</f>
        <v>102179.59727390765</v>
      </c>
      <c r="H128" s="13">
        <f>H127+G128</f>
        <v>4598081.877325844</v>
      </c>
      <c r="I128">
        <f>IF(H128=MAX($H$83:$H$483),$A128,0)</f>
        <v>0</v>
      </c>
      <c r="J128">
        <f>IF(E128&lt;F128,$A128,B_MAX+1)</f>
        <v>401.0</v>
      </c>
      <c r="K128" s="13">
        <f>IF(B128=1,$B$35,$B$36)</f>
        <v>0</v>
      </c>
      <c r="L128" s="13">
        <f>OCC_DAYS*$B$41*R_NF_2023-D128*MCD_SHARE_FREED*R_WAIT_2023</f>
        <v>37367.159242427646</v>
      </c>
      <c r="M128">
        <f>IF($A128&lt;=$B$45,1,0)</f>
        <v>1</v>
      </c>
      <c r="AB128">
        <f>IF($AB$31&lt;=$AB$32,IF($A128&lt;=$AB$7,1,2),IF($A128&lt;=RUNG_BEDS_2,2,1))</f>
        <v>1</v>
      </c>
      <c r="AC128" s="5">
        <f>MIN(1,MAX(0,$AB$26-($A128-1)))</f>
        <v>1</v>
      </c>
      <c r="AD128" s="5">
        <f>$AB$25*(AC128+(1-AC128)*$AB$16)</f>
        <v>252.05322714681438</v>
      </c>
      <c r="AE128" s="13">
        <f>AD128*($AB$6+ACUTE_MARGIN)</f>
        <v>138629.2749307479</v>
      </c>
      <c r="AF128" s="13">
        <f>IF(AB128=1,$AB$31,$AB$32)</f>
        <v>152394.16214437486</v>
      </c>
      <c r="AG128" s="13">
        <f>AE128-AF128</f>
        <v>-13764.887213626964</v>
      </c>
      <c r="AH128" s="13">
        <f>AH127+AG128</f>
        <v>-619419.9246132141</v>
      </c>
      <c r="AI128">
        <f>IF(AH128=MAX($AH$83:$AH$483),$A128,0)</f>
        <v>0</v>
      </c>
      <c r="AJ128">
        <f>IF(AE128&lt;AF128,$A128,B_MAX+1)</f>
        <v>45</v>
      </c>
      <c r="AK128" s="13">
        <f>IF(AB128=1,$AB$35,$AB$36)</f>
        <v>0</v>
      </c>
      <c r="AL128" s="13">
        <f>OCC_DAYS*$AB$41*R_NF_2023-AD128*MCD_SHARE_FREED*R_WAIT_2023</f>
        <v>37367.159242427646</v>
      </c>
      <c r="AM128">
        <f>IF($A128&lt;=$AB$45,1,0)</f>
        <v>0</v>
      </c>
      <c r="BB128">
        <f>IF($BB$31&lt;=$BB$32,IF($A128&lt;=$BB$7,1,2),IF($A128&lt;=RUNG_BEDS_2,2,1))</f>
        <v>1</v>
      </c>
      <c r="BC128" s="5">
        <f>MIN(1,MAX(0,$BB$26-($A128-1)))</f>
        <v>1</v>
      </c>
      <c r="BD128" s="5">
        <f>$BB$25*(BC128+(1-BC128)*$BB$16)</f>
        <v>252.05322714681438</v>
      </c>
      <c r="BE128" s="13">
        <f>BD128*($BB$6+ACUTE_MARGIN)</f>
        <v>370518.24390581716</v>
      </c>
      <c r="BF128" s="13">
        <f>IF(BB128=1,$BB$31,$BB$32)</f>
        <v>152394.16214437486</v>
      </c>
      <c r="BG128" s="13">
        <f>BE128-BF128</f>
        <v>218124.0817614423</v>
      </c>
      <c r="BH128" s="13">
        <f>BH127+BG128</f>
        <v>9815583.679264897</v>
      </c>
      <c r="BI128">
        <f>IF(BH128=MAX($BH$83:$BH$483),$A128,0)</f>
        <v>0</v>
      </c>
      <c r="BJ128">
        <f>IF(BE128&lt;BF128,$A128,B_MAX+1)</f>
        <v>401.0</v>
      </c>
      <c r="BK128" s="13">
        <f>IF(BB128=1,$BB$35,$BB$36)</f>
        <v>0</v>
      </c>
      <c r="BL128" s="13">
        <f>OCC_DAYS*$BB$41*R_NF_2023-BD128*MCD_SHARE_FREED*R_WAIT_2023</f>
        <v>37367.159242427646</v>
      </c>
      <c r="BM128">
        <f>IF($A128&lt;=$BB$45,1,0)</f>
        <v>1</v>
      </c>
      <c r="CB128">
        <f>IF($CB$31&lt;=$CB$32,IF($A128&lt;=$CB$7,1,2),IF($A128&lt;=RUNG_BEDS_2,2,1))</f>
        <v>2</v>
      </c>
      <c r="CC128" s="5">
        <f>MIN(1,MAX(0,$CB$26-($A128-1)))</f>
        <v>1</v>
      </c>
      <c r="CD128" s="5">
        <f>$CB$25*(CC128+(1-CC128)*$CB$16)</f>
        <v>252.05322714681438</v>
      </c>
      <c r="CE128" s="13">
        <f>CD128*($CB$6+ACUTE_MARGIN)</f>
        <v>254573.7594182825</v>
      </c>
      <c r="CF128" s="13">
        <f>IF(CB128=1,$CB$31,$CB$32)</f>
        <v>160718.36940738867</v>
      </c>
      <c r="CG128" s="13">
        <f>CE128-CF128</f>
        <v>93855.39001089384</v>
      </c>
      <c r="CH128" s="13">
        <f>CH127+CG128</f>
        <v>4223492.550490222</v>
      </c>
      <c r="CI128">
        <f>IF(CH128=MAX($CH$83:$CH$483),$A128,0)</f>
        <v>0</v>
      </c>
      <c r="CJ128">
        <f>IF(CE128&lt;CF128,$A128,B_MAX+1)</f>
        <v>401.0</v>
      </c>
      <c r="CK128" s="13">
        <f>IF(CB128=1,$CB$35,$CB$36)</f>
        <v>1560.1194073886782</v>
      </c>
      <c r="CL128" s="13">
        <f>OCC_DAYS*$CB$41*R_NF_2023-CD128*MCD_SHARE_FREED*R_WAIT_2023</f>
        <v>37367.159242427646</v>
      </c>
      <c r="CM128">
        <f>IF($A128&lt;=$CB$45,1,0)</f>
        <v>1</v>
      </c>
      <c r="DB128">
        <f>IF($DB$31&lt;=$DB$32,IF($A128&lt;=$DB$7,1,2),IF($A128&lt;=RUNG_BEDS_2,2,1))</f>
        <v>1</v>
      </c>
      <c r="DC128" s="5">
        <f>MIN(1,MAX(0,$DB$26-($A128-1)))</f>
        <v>1</v>
      </c>
      <c r="DD128" s="5">
        <f>$DB$25*(DC128+(1-DC128)*$DB$16)</f>
        <v>252.05322714681438</v>
      </c>
      <c r="DE128" s="13">
        <f>DD128*($DB$6+ACUTE_MARGIN)</f>
        <v>254573.7594182825</v>
      </c>
      <c r="DF128" s="13">
        <f>IF(DB128=1,$DB$31,$DB$32)</f>
        <v>152394.16214437486</v>
      </c>
      <c r="DG128" s="13">
        <f>DE128-DF128</f>
        <v>102179.59727390765</v>
      </c>
      <c r="DH128" s="13">
        <f>DH127+DG128</f>
        <v>4598081.877325844</v>
      </c>
      <c r="DI128">
        <f>IF(DH128=MAX($DH$83:$DH$483),$A128,0)</f>
        <v>0</v>
      </c>
      <c r="DJ128">
        <f>IF(DE128&lt;DF128,$A128,B_MAX+1)</f>
        <v>401.0</v>
      </c>
      <c r="DK128" s="13">
        <f>IF(DB128=1,$DB$35,$DB$36)</f>
        <v>0</v>
      </c>
      <c r="DL128" s="13">
        <f>OCC_DAYS*$DB$41*R_NF_2023-DD128*MCD_SHARE_FREED*R_WAIT_2023</f>
        <v>37367.159242427646</v>
      </c>
      <c r="DM128">
        <f>IF($A128&lt;=$DB$45,1,0)</f>
        <v>1</v>
      </c>
      <c r="EB128">
        <f>IF($EB$31&lt;=$EB$32,IF($A128&lt;=$EB$7,1,2),IF($A128&lt;=RUNG_BEDS_2,2,1))</f>
        <v>1</v>
      </c>
      <c r="EC128" s="5">
        <f>MIN(1,MAX(0,$EB$26-($A128-1)))</f>
        <v>1</v>
      </c>
      <c r="ED128" s="5">
        <f>$EB$25*(EC128+(1-EC128)*$EB$16)</f>
        <v>252.05322714681438</v>
      </c>
      <c r="EE128" s="13">
        <f>ED128*($EB$6+ACUTE_MARGIN)</f>
        <v>254573.7594182825</v>
      </c>
      <c r="EF128" s="13">
        <f>IF(EB128=1,$EB$31,$EB$32)</f>
        <v>152394.16214437486</v>
      </c>
      <c r="EG128" s="13">
        <f>EE128-EF128</f>
        <v>102179.59727390765</v>
      </c>
      <c r="EH128" s="13">
        <f>EH127+EG128</f>
        <v>4598081.877325844</v>
      </c>
      <c r="EI128">
        <f>IF(EH128=MAX($EH$83:$EH$483),$A128,0)</f>
        <v>0</v>
      </c>
      <c r="EJ128">
        <f>IF(EE128&lt;EF128,$A128,B_MAX+1)</f>
        <v>401.0</v>
      </c>
      <c r="EK128" s="13">
        <f>IF(EB128=1,$EB$35,$EB$36)</f>
        <v>0</v>
      </c>
      <c r="EL128" s="13">
        <f>OCC_DAYS*$EB$41*R_NF_2023-ED128*MCD_SHARE_FREED*R_WAIT_2023</f>
        <v>-63953.16263896705</v>
      </c>
      <c r="EM128">
        <f>IF($A128&lt;=$EB$45,1,0)</f>
        <v>1</v>
      </c>
      <c r="FB128">
        <f>IF($FB$31&lt;=$FB$32,IF($A128&lt;=$FB$7,1,2),IF($A128&lt;=RUNG_BEDS_2,2,1))</f>
        <v>1</v>
      </c>
      <c r="FC128" s="5">
        <f>MIN(1,MAX(0,$FB$26-($A128-1)))</f>
        <v>1</v>
      </c>
      <c r="FD128" s="5">
        <f>$FB$25*(FC128+(1-FC128)*$FB$16)</f>
        <v>252.05322714681438</v>
      </c>
      <c r="FE128" s="13">
        <f>FD128*($FB$6+ACUTE_MARGIN)</f>
        <v>254573.7594182825</v>
      </c>
      <c r="FF128" s="13">
        <f>IF(FB128=1,$FB$31,$FB$32)</f>
        <v>156636.04979437485</v>
      </c>
      <c r="FG128" s="13">
        <f>FE128-FF128</f>
        <v>97937.70962390766</v>
      </c>
      <c r="FH128" s="13">
        <f>FH127+FG128</f>
        <v>4407196.933075845</v>
      </c>
      <c r="FI128">
        <f>IF(FH128=MAX($FH$83:$FH$483),$A128,0)</f>
        <v>0</v>
      </c>
      <c r="FJ128">
        <f>IF(FE128&lt;FF128,$A128,B_MAX+1)</f>
        <v>401.0</v>
      </c>
      <c r="FK128" s="13">
        <f>IF(FB128=1,$FB$35,$FB$36)</f>
        <v>0</v>
      </c>
      <c r="FL128" s="13">
        <f>OCC_DAYS*$FB$41*R_NF_2023-FD128*MCD_SHARE_FREED*R_WAIT_2023</f>
        <v>37367.159242427646</v>
      </c>
      <c r="FM128">
        <f>IF($A128&lt;=$FB$45,1,0)</f>
        <v>1</v>
      </c>
      <c r="GB128">
        <f>IF($GB$31&lt;=$GB$32,IF($A128&lt;=$GB$7,1,2),IF($A128&lt;=RUNG_BEDS_2,2,1))</f>
        <v>1</v>
      </c>
      <c r="GC128" s="5">
        <f>MIN(1,MAX(0,$GB$26-($A128-1)))</f>
        <v>1</v>
      </c>
      <c r="GD128" s="5">
        <f>$GB$25*(GC128+(1-GC128)*$GB$16)</f>
        <v>252.05322714681438</v>
      </c>
      <c r="GE128" s="13">
        <f>GD128*($GB$6+ACUTE_MARGIN)</f>
        <v>254573.7594182825</v>
      </c>
      <c r="GF128" s="13">
        <f>IF(GB128=1,$GB$31,$GB$32)</f>
        <v>152394.16214437486</v>
      </c>
      <c r="GG128" s="13">
        <f>GE128-GF128</f>
        <v>102179.59727390765</v>
      </c>
      <c r="GH128" s="13">
        <f>GH127+GG128</f>
        <v>4598081.877325844</v>
      </c>
      <c r="GI128">
        <f>IF(GH128=MAX($GH$83:$GH$483),$A128,0)</f>
        <v>0</v>
      </c>
      <c r="GJ128">
        <f>IF(GE128&lt;GF128,$A128,B_MAX+1)</f>
        <v>401.0</v>
      </c>
      <c r="GK128" s="13">
        <f>IF(GB128=1,$GB$35,$GB$36)</f>
        <v>0</v>
      </c>
      <c r="GL128" s="13">
        <f>OCC_DAYS*$GB$41*R_NF_2023-GD128*MCD_SHARE_FREED*R_WAIT_2023</f>
        <v>37367.159242427646</v>
      </c>
      <c r="GM128">
        <f>IF($A128&lt;=$GB$45,1,0)</f>
        <v>1</v>
      </c>
      <c r="HB128">
        <f>IF($HB$31&lt;=$HB$32,IF($A128&lt;=$HB$7,1,2),IF($A128&lt;=RUNG_BEDS_2,2,1))</f>
        <v>1</v>
      </c>
      <c r="HC128" s="5">
        <f>MIN(1,MAX(0,$HB$26-($A128-1)))</f>
        <v>1</v>
      </c>
      <c r="HD128" s="5">
        <f>$HB$25*(HC128+(1-HC128)*$HB$16)</f>
        <v>252.05322714681438</v>
      </c>
      <c r="HE128" s="13">
        <f>HD128*($HB$6+ACUTE_MARGIN)</f>
        <v>254573.7594182825</v>
      </c>
      <c r="HF128" s="13">
        <f>IF(HB128=1,$HB$31,$HB$32)</f>
        <v>152456.2970814058</v>
      </c>
      <c r="HG128" s="13">
        <f>HE128-HF128</f>
        <v>102117.46233687672</v>
      </c>
      <c r="HH128" s="13">
        <f>HH127+HG128</f>
        <v>4595285.805159454</v>
      </c>
      <c r="HI128">
        <f>IF(HH128=MAX($HH$83:$HH$483),$A128,0)</f>
        <v>0</v>
      </c>
      <c r="HJ128">
        <f>IF(HE128&lt;HF128,$A128,B_MAX+1)</f>
        <v>401.0</v>
      </c>
      <c r="HK128" s="13">
        <f>IF(HB128=1,$HB$35,$HB$36)</f>
        <v>0</v>
      </c>
      <c r="HL128" s="13">
        <f>OCC_DAYS*$HB$41*R_NF_2023-HD128*MCD_SHARE_FREED*R_WAIT_2023</f>
        <v>37367.159242427646</v>
      </c>
      <c r="HM128">
        <f>IF($A128&lt;=$HB$45,1,0)</f>
        <v>1</v>
      </c>
      <c r="IB128">
        <f>IF($IB$31&lt;=$IB$32,IF($A128&lt;=$IB$7,1,2),IF($A128&lt;=RUNG_BEDS_2,2,1))</f>
        <v>1</v>
      </c>
      <c r="IC128" s="5">
        <f>MIN(1,MAX(0,$IB$26-($A128-1)))</f>
        <v>1</v>
      </c>
      <c r="ID128" s="5">
        <f>$IB$25*(IC128+(1-IC128)*$IB$16)</f>
        <v>252.05322714681438</v>
      </c>
      <c r="IE128" s="13">
        <f>ID128*($IB$6+ACUTE_MARGIN)</f>
        <v>254573.7594182825</v>
      </c>
      <c r="IF128" s="13">
        <f>IF(IB128=1,$IB$31,$IB$32)</f>
        <v>152734.9994534971</v>
      </c>
      <c r="IG128" s="13">
        <f>IE128-IF128</f>
        <v>101838.75996478542</v>
      </c>
      <c r="IH128" s="13">
        <f>IH127+IG128</f>
        <v>4582744.198415347</v>
      </c>
      <c r="II128">
        <f>IF(IH128=MAX($IH$83:$IH$483),$A128,0)</f>
        <v>0</v>
      </c>
      <c r="IJ128">
        <f>IF(IE128&lt;IF128,$A128,B_MAX+1)</f>
        <v>401.0</v>
      </c>
      <c r="IK128" s="13">
        <f>IF(IB128=1,$IB$35,$IB$36)</f>
        <v>0</v>
      </c>
      <c r="IL128" s="13">
        <f>OCC_DAYS*$IB$41*R_NF_2023-ID128*MCD_SHARE_FREED*R_WAIT_2023</f>
        <v>37367.159242427646</v>
      </c>
      <c r="IM128">
        <f>IF($A128&lt;=$IB$45,1,0)</f>
        <v>1</v>
      </c>
      <c r="JB128">
        <f>IF($JB$31&lt;=$JB$32,IF($A128&lt;=$JB$7,1,2),IF($A128&lt;=RUNG_BEDS_2,2,1))</f>
        <v>1</v>
      </c>
      <c r="JC128" s="5">
        <f>MIN(1,MAX(0,$JB$26-($A128-1)))</f>
        <v>1</v>
      </c>
      <c r="JD128" s="5">
        <f>$JB$25*(JC128+(1-JC128)*$JB$16)</f>
        <v>252.05322714681438</v>
      </c>
      <c r="JE128" s="13">
        <f>JD128*($JB$6+ACUTE_MARGIN)</f>
        <v>254573.7594182825</v>
      </c>
      <c r="JF128" s="13">
        <f>IF(JB128=1,$JB$31,$JB$32)</f>
        <v>152394.16214437486</v>
      </c>
      <c r="JG128" s="13">
        <f>JE128-JF128</f>
        <v>102179.59727390765</v>
      </c>
      <c r="JH128" s="13">
        <f>JH127+JG128</f>
        <v>4598081.877325844</v>
      </c>
      <c r="JI128">
        <f>IF(JH128=MAX($JH$83:$JH$483),$A128,0)</f>
        <v>0</v>
      </c>
      <c r="JJ128">
        <f>IF(JE128&lt;JF128,$A128,B_MAX+1)</f>
        <v>401.0</v>
      </c>
      <c r="JK128" s="13">
        <f>IF(JB128=1,$JB$35,$JB$36)</f>
        <v>0</v>
      </c>
      <c r="JL128" s="13">
        <f>OCC_DAYS*$JB$41*R_NF_2023-JD128*MCD_SHARE_FREED*R_WAIT_2023</f>
        <v>37367.159242427646</v>
      </c>
      <c r="JM128">
        <f>IF($A128&lt;=$JB$45,1,0)</f>
        <v>1</v>
      </c>
      <c r="KB128">
        <f>IF($KB$31&lt;=$KB$32,IF($A128&lt;=$KB$7,1,2),IF($A128&lt;=RUNG_BEDS_2,2,1))</f>
        <v>1</v>
      </c>
      <c r="KC128" s="5">
        <f>MIN(1,MAX(0,$KB$26-($A128-1)))</f>
        <v>1</v>
      </c>
      <c r="KD128" s="5">
        <f>$KB$25*(KC128+(1-KC128)*$KB$16)</f>
        <v>126.02661357340719</v>
      </c>
      <c r="KE128" s="13">
        <f>KD128*($KB$6+ACUTE_MARGIN)</f>
        <v>127286.87970914126</v>
      </c>
      <c r="KF128" s="13">
        <f>IF(KB128=1,$KB$31,$KB$32)</f>
        <v>152394.16214437486</v>
      </c>
      <c r="KG128" s="13">
        <f>KE128-KF128</f>
        <v>-25107.282435233603</v>
      </c>
      <c r="KH128" s="13">
        <f>KH127+KG128</f>
        <v>-1129827.709585512</v>
      </c>
      <c r="KI128">
        <f>IF(KH128=MAX($KH$83:$KH$483),$A128,0)</f>
        <v>0</v>
      </c>
      <c r="KJ128">
        <f>IF(KE128&lt;KF128,$A128,B_MAX+1)</f>
        <v>45</v>
      </c>
      <c r="KK128" s="13">
        <f>IF(KB128=1,$KB$35,$KB$36)</f>
        <v>0</v>
      </c>
      <c r="KL128" s="13">
        <f>OCC_DAYS*$KB$41*R_NF_2023-KD128*MCD_SHARE_FREED*R_WAIT_2023</f>
        <v>94673.82103225985</v>
      </c>
      <c r="KM128">
        <f>IF($A128&lt;=$KB$45,1,0)</f>
        <v>0</v>
      </c>
      <c r="LB128">
        <f>IF($LB$31&lt;=$LB$32,IF($A128&lt;=$LB$7,1,2),IF($A128&lt;=RUNG_BEDS_2,2,1))</f>
        <v>1</v>
      </c>
      <c r="LC128" s="5">
        <f>MIN(1,MAX(0,$LB$26-($A128-1)))</f>
        <v>1</v>
      </c>
      <c r="LD128" s="5">
        <f>$LB$25*(LC128+(1-LC128)*$LB$16)</f>
        <v>84.01774238227146</v>
      </c>
      <c r="LE128" s="13">
        <f>LD128*($LB$6+ACUTE_MARGIN)</f>
        <v>84857.91980609419</v>
      </c>
      <c r="LF128" s="13">
        <f>IF(LB128=1,$LB$31,$LB$32)</f>
        <v>152394.16214437486</v>
      </c>
      <c r="LG128" s="13">
        <f>LE128-LF128</f>
        <v>-67536.24233828067</v>
      </c>
      <c r="LH128" s="13">
        <f>LH127+LG128</f>
        <v>-3039130.90522263</v>
      </c>
      <c r="LI128">
        <f>IF(LH128=MAX($LH$83:$LH$483),$A128,0)</f>
        <v>0</v>
      </c>
      <c r="LJ128">
        <f>IF(LE128&lt;LF128,$A128,B_MAX+1)</f>
        <v>45</v>
      </c>
      <c r="LK128" s="13">
        <f>IF(LB128=1,$LB$35,$LB$36)</f>
        <v>0</v>
      </c>
      <c r="LL128" s="13">
        <f>OCC_DAYS*$LB$41*R_NF_2023-LD128*MCD_SHARE_FREED*R_WAIT_2023</f>
        <v>113776.04162887059</v>
      </c>
      <c r="LM128">
        <f>IF($A128&lt;=$LB$45,1,0)</f>
        <v>0</v>
      </c>
      <c r="MB128">
        <f>IF($MB$31&lt;=$MB$32,IF($A128&lt;=$MB$7,1,2),IF($A128&lt;=RUNG_BEDS_2,2,1))</f>
        <v>1</v>
      </c>
      <c r="MC128" s="5">
        <f>MIN(1,MAX(0,$MB$26-($A128-1)))</f>
        <v>1</v>
      </c>
      <c r="MD128" s="5">
        <f>$MB$25*(MC128+(1-MC128)*$MB$16)</f>
        <v>213.44610951008647</v>
      </c>
      <c r="ME128" s="13">
        <f>MD128*($MB$6+ACUTE_MARGIN)</f>
        <v>215580.57060518733</v>
      </c>
      <c r="MF128" s="13">
        <f>IF(MB128=1,$MB$31,$MB$32)</f>
        <v>152394.16214437486</v>
      </c>
      <c r="MG128" s="13">
        <f>ME128-MF128</f>
        <v>63186.40846081247</v>
      </c>
      <c r="MH128" s="13">
        <f>MH127+MG128</f>
        <v>2843388.3807365615</v>
      </c>
      <c r="MI128">
        <f>IF(MH128=MAX($MH$83:$MH$483),$A128,0)</f>
        <v>0</v>
      </c>
      <c r="MJ128">
        <f>IF(ME128&lt;MF128,$A128,B_MAX+1)</f>
        <v>401.0</v>
      </c>
      <c r="MK128" s="13">
        <f>IF(MB128=1,$MB$35,$MB$36)</f>
        <v>0</v>
      </c>
      <c r="ML128" s="13">
        <f>OCC_DAYS*$MB$41*R_NF_2023-MD128*MCD_SHARE_FREED*R_WAIT_2023</f>
        <v>54922.538779778624</v>
      </c>
      <c r="MM128">
        <f>IF($A128&lt;=$MB$45,1,0)</f>
        <v>1</v>
      </c>
      <c r="NB128">
        <f>IF($NB$31&lt;=$NB$32,IF($A128&lt;=$NB$7,1,2),IF($A128&lt;=RUNG_BEDS_2,2,1))</f>
        <v>1</v>
      </c>
      <c r="NC128" s="5">
        <f>MIN(1,MAX(0,$NB$26-($A128-1)))</f>
        <v>1</v>
      </c>
      <c r="ND128" s="5">
        <f>$NB$25*(NC128+(1-NC128)*$NB$16)</f>
        <v>252.05322714681438</v>
      </c>
      <c r="NE128" s="13">
        <f>ND128*($NB$6+ACUTE_MARGIN)</f>
        <v>254573.7594182825</v>
      </c>
      <c r="NF128" s="13">
        <f>IF(NB128=1,$NB$31,$NB$32)</f>
        <v>152394.16214437486</v>
      </c>
      <c r="NG128" s="13">
        <f>NE128-NF128</f>
        <v>102179.59727390765</v>
      </c>
      <c r="NH128" s="13">
        <f>NH127+NG128</f>
        <v>4598081.877325844</v>
      </c>
      <c r="NI128">
        <f>IF(NH128=MAX($NH$83:$NH$483),$A128,0)</f>
        <v>0</v>
      </c>
      <c r="NJ128">
        <f>IF(NE128&lt;NF128,$A128,B_MAX+1)</f>
        <v>401.0</v>
      </c>
      <c r="NK128" s="13">
        <f>IF(NB128=1,$NB$35,$NB$36)</f>
        <v>0</v>
      </c>
      <c r="NL128" s="13">
        <f>OCC_DAYS*$NB$41*R_NF_2023-ND128*MCD_SHARE_FREED*R_WAIT_2023</f>
        <v>37367.159242427646</v>
      </c>
      <c r="NM128">
        <f>IF($A128&lt;=$NB$45,1,0)</f>
        <v>1</v>
      </c>
      <c r="OB128">
        <f>IF($OB$31&lt;=$OB$32,IF($A128&lt;=$OB$7,1,2),IF($A128&lt;=RUNG_BEDS_2,2,1))</f>
        <v>1</v>
      </c>
      <c r="OC128" s="5">
        <f>MIN(1,MAX(0,$OB$26-($A128-1)))</f>
        <v>1</v>
      </c>
      <c r="OD128" s="5">
        <f>$OB$25*(OC128+(1-OC128)*$OB$16)</f>
        <v>252.05322714681438</v>
      </c>
      <c r="OE128" s="13">
        <f>OD128*($OB$6+ACUTE_MARGIN)</f>
        <v>254573.7594182825</v>
      </c>
      <c r="OF128" s="13">
        <f>IF(OB128=1,$OB$31,$OB$32)</f>
        <v>152394.16214437486</v>
      </c>
      <c r="OG128" s="13">
        <f>OE128-OF128</f>
        <v>102179.59727390765</v>
      </c>
      <c r="OH128" s="13">
        <f>OH127+OG128</f>
        <v>4598081.877325844</v>
      </c>
      <c r="OI128">
        <f>IF(OH128=MAX($OH$83:$OH$483),$A128,0)</f>
        <v>0</v>
      </c>
      <c r="OJ128">
        <f>IF(OE128&lt;OF128,$A128,B_MAX+1)</f>
        <v>401.0</v>
      </c>
      <c r="OK128" s="13">
        <f>IF(OB128=1,$OB$35,$OB$36)</f>
        <v>0</v>
      </c>
      <c r="OL128" s="13">
        <f>OCC_DAYS*$OB$41*R_NF_2023-OD128*MCD_SHARE_FREED*R_WAIT_2023</f>
        <v>37367.159242427646</v>
      </c>
      <c r="OM128">
        <f>IF($A128&lt;=$OB$45,1,0)</f>
        <v>1</v>
      </c>
    </row>
    <row r="129">
      <c r="A129" t="n">
        <v>46</v>
      </c>
      <c r="B129">
        <f>IF($B$31&lt;=$B$32,IF($A129&lt;=$B$7,1,2),IF($A129&lt;=RUNG_BEDS_2,2,1))</f>
        <v>1</v>
      </c>
      <c r="C129" s="5">
        <f>MIN(1,MAX(0,$B$26-($A129-1)))</f>
        <v>1</v>
      </c>
      <c r="D129" s="5">
        <f>$B$25*(C129+(1-C129)*$B$16)</f>
        <v>252.05322714681438</v>
      </c>
      <c r="E129" s="13">
        <f>D129*($B$6+ACUTE_MARGIN)</f>
        <v>254573.7594182825</v>
      </c>
      <c r="F129" s="13">
        <f>IF(B129=1,$B$31,$B$32)</f>
        <v>152394.16214437486</v>
      </c>
      <c r="G129" s="13">
        <f>E129-F129</f>
        <v>102179.59727390765</v>
      </c>
      <c r="H129" s="13">
        <f>H128+G129</f>
        <v>4700261.474599752</v>
      </c>
      <c r="I129">
        <f>IF(H129=MAX($H$83:$H$483),$A129,0)</f>
        <v>0</v>
      </c>
      <c r="J129">
        <f>IF(E129&lt;F129,$A129,B_MAX+1)</f>
        <v>401.0</v>
      </c>
      <c r="K129" s="13">
        <f>IF(B129=1,$B$35,$B$36)</f>
        <v>0</v>
      </c>
      <c r="L129" s="13">
        <f>OCC_DAYS*$B$41*R_NF_2023-D129*MCD_SHARE_FREED*R_WAIT_2023</f>
        <v>37367.159242427646</v>
      </c>
      <c r="M129">
        <f>IF($A129&lt;=$B$45,1,0)</f>
        <v>1</v>
      </c>
      <c r="AB129">
        <f>IF($AB$31&lt;=$AB$32,IF($A129&lt;=$AB$7,1,2),IF($A129&lt;=RUNG_BEDS_2,2,1))</f>
        <v>1</v>
      </c>
      <c r="AC129" s="5">
        <f>MIN(1,MAX(0,$AB$26-($A129-1)))</f>
        <v>1</v>
      </c>
      <c r="AD129" s="5">
        <f>$AB$25*(AC129+(1-AC129)*$AB$16)</f>
        <v>252.05322714681438</v>
      </c>
      <c r="AE129" s="13">
        <f>AD129*($AB$6+ACUTE_MARGIN)</f>
        <v>138629.2749307479</v>
      </c>
      <c r="AF129" s="13">
        <f>IF(AB129=1,$AB$31,$AB$32)</f>
        <v>152394.16214437486</v>
      </c>
      <c r="AG129" s="13">
        <f>AE129-AF129</f>
        <v>-13764.887213626964</v>
      </c>
      <c r="AH129" s="13">
        <f>AH128+AG129</f>
        <v>-633184.8118268411</v>
      </c>
      <c r="AI129">
        <f>IF(AH129=MAX($AH$83:$AH$483),$A129,0)</f>
        <v>0</v>
      </c>
      <c r="AJ129">
        <f>IF(AE129&lt;AF129,$A129,B_MAX+1)</f>
        <v>46</v>
      </c>
      <c r="AK129" s="13">
        <f>IF(AB129=1,$AB$35,$AB$36)</f>
        <v>0</v>
      </c>
      <c r="AL129" s="13">
        <f>OCC_DAYS*$AB$41*R_NF_2023-AD129*MCD_SHARE_FREED*R_WAIT_2023</f>
        <v>37367.159242427646</v>
      </c>
      <c r="AM129">
        <f>IF($A129&lt;=$AB$45,1,0)</f>
        <v>0</v>
      </c>
      <c r="BB129">
        <f>IF($BB$31&lt;=$BB$32,IF($A129&lt;=$BB$7,1,2),IF($A129&lt;=RUNG_BEDS_2,2,1))</f>
        <v>1</v>
      </c>
      <c r="BC129" s="5">
        <f>MIN(1,MAX(0,$BB$26-($A129-1)))</f>
        <v>1</v>
      </c>
      <c r="BD129" s="5">
        <f>$BB$25*(BC129+(1-BC129)*$BB$16)</f>
        <v>252.05322714681438</v>
      </c>
      <c r="BE129" s="13">
        <f>BD129*($BB$6+ACUTE_MARGIN)</f>
        <v>370518.24390581716</v>
      </c>
      <c r="BF129" s="13">
        <f>IF(BB129=1,$BB$31,$BB$32)</f>
        <v>152394.16214437486</v>
      </c>
      <c r="BG129" s="13">
        <f>BE129-BF129</f>
        <v>218124.0817614423</v>
      </c>
      <c r="BH129" s="13">
        <f>BH128+BG129</f>
        <v>10033707.76102634</v>
      </c>
      <c r="BI129">
        <f>IF(BH129=MAX($BH$83:$BH$483),$A129,0)</f>
        <v>0</v>
      </c>
      <c r="BJ129">
        <f>IF(BE129&lt;BF129,$A129,B_MAX+1)</f>
        <v>401.0</v>
      </c>
      <c r="BK129" s="13">
        <f>IF(BB129=1,$BB$35,$BB$36)</f>
        <v>0</v>
      </c>
      <c r="BL129" s="13">
        <f>OCC_DAYS*$BB$41*R_NF_2023-BD129*MCD_SHARE_FREED*R_WAIT_2023</f>
        <v>37367.159242427646</v>
      </c>
      <c r="BM129">
        <f>IF($A129&lt;=$BB$45,1,0)</f>
        <v>1</v>
      </c>
      <c r="CB129">
        <f>IF($CB$31&lt;=$CB$32,IF($A129&lt;=$CB$7,1,2),IF($A129&lt;=RUNG_BEDS_2,2,1))</f>
        <v>2</v>
      </c>
      <c r="CC129" s="5">
        <f>MIN(1,MAX(0,$CB$26-($A129-1)))</f>
        <v>1</v>
      </c>
      <c r="CD129" s="5">
        <f>$CB$25*(CC129+(1-CC129)*$CB$16)</f>
        <v>252.05322714681438</v>
      </c>
      <c r="CE129" s="13">
        <f>CD129*($CB$6+ACUTE_MARGIN)</f>
        <v>254573.7594182825</v>
      </c>
      <c r="CF129" s="13">
        <f>IF(CB129=1,$CB$31,$CB$32)</f>
        <v>160718.36940738867</v>
      </c>
      <c r="CG129" s="13">
        <f>CE129-CF129</f>
        <v>93855.39001089384</v>
      </c>
      <c r="CH129" s="13">
        <f>CH128+CG129</f>
        <v>4317347.940501116</v>
      </c>
      <c r="CI129">
        <f>IF(CH129=MAX($CH$83:$CH$483),$A129,0)</f>
        <v>0</v>
      </c>
      <c r="CJ129">
        <f>IF(CE129&lt;CF129,$A129,B_MAX+1)</f>
        <v>401.0</v>
      </c>
      <c r="CK129" s="13">
        <f>IF(CB129=1,$CB$35,$CB$36)</f>
        <v>1560.1194073886782</v>
      </c>
      <c r="CL129" s="13">
        <f>OCC_DAYS*$CB$41*R_NF_2023-CD129*MCD_SHARE_FREED*R_WAIT_2023</f>
        <v>37367.159242427646</v>
      </c>
      <c r="CM129">
        <f>IF($A129&lt;=$CB$45,1,0)</f>
        <v>1</v>
      </c>
      <c r="DB129">
        <f>IF($DB$31&lt;=$DB$32,IF($A129&lt;=$DB$7,1,2),IF($A129&lt;=RUNG_BEDS_2,2,1))</f>
        <v>1</v>
      </c>
      <c r="DC129" s="5">
        <f>MIN(1,MAX(0,$DB$26-($A129-1)))</f>
        <v>1</v>
      </c>
      <c r="DD129" s="5">
        <f>$DB$25*(DC129+(1-DC129)*$DB$16)</f>
        <v>252.05322714681438</v>
      </c>
      <c r="DE129" s="13">
        <f>DD129*($DB$6+ACUTE_MARGIN)</f>
        <v>254573.7594182825</v>
      </c>
      <c r="DF129" s="13">
        <f>IF(DB129=1,$DB$31,$DB$32)</f>
        <v>152394.16214437486</v>
      </c>
      <c r="DG129" s="13">
        <f>DE129-DF129</f>
        <v>102179.59727390765</v>
      </c>
      <c r="DH129" s="13">
        <f>DH128+DG129</f>
        <v>4700261.474599752</v>
      </c>
      <c r="DI129">
        <f>IF(DH129=MAX($DH$83:$DH$483),$A129,0)</f>
        <v>0</v>
      </c>
      <c r="DJ129">
        <f>IF(DE129&lt;DF129,$A129,B_MAX+1)</f>
        <v>401.0</v>
      </c>
      <c r="DK129" s="13">
        <f>IF(DB129=1,$DB$35,$DB$36)</f>
        <v>0</v>
      </c>
      <c r="DL129" s="13">
        <f>OCC_DAYS*$DB$41*R_NF_2023-DD129*MCD_SHARE_FREED*R_WAIT_2023</f>
        <v>37367.159242427646</v>
      </c>
      <c r="DM129">
        <f>IF($A129&lt;=$DB$45,1,0)</f>
        <v>1</v>
      </c>
      <c r="EB129">
        <f>IF($EB$31&lt;=$EB$32,IF($A129&lt;=$EB$7,1,2),IF($A129&lt;=RUNG_BEDS_2,2,1))</f>
        <v>1</v>
      </c>
      <c r="EC129" s="5">
        <f>MIN(1,MAX(0,$EB$26-($A129-1)))</f>
        <v>1</v>
      </c>
      <c r="ED129" s="5">
        <f>$EB$25*(EC129+(1-EC129)*$EB$16)</f>
        <v>252.05322714681438</v>
      </c>
      <c r="EE129" s="13">
        <f>ED129*($EB$6+ACUTE_MARGIN)</f>
        <v>254573.7594182825</v>
      </c>
      <c r="EF129" s="13">
        <f>IF(EB129=1,$EB$31,$EB$32)</f>
        <v>152394.16214437486</v>
      </c>
      <c r="EG129" s="13">
        <f>EE129-EF129</f>
        <v>102179.59727390765</v>
      </c>
      <c r="EH129" s="13">
        <f>EH128+EG129</f>
        <v>4700261.474599752</v>
      </c>
      <c r="EI129">
        <f>IF(EH129=MAX($EH$83:$EH$483),$A129,0)</f>
        <v>0</v>
      </c>
      <c r="EJ129">
        <f>IF(EE129&lt;EF129,$A129,B_MAX+1)</f>
        <v>401.0</v>
      </c>
      <c r="EK129" s="13">
        <f>IF(EB129=1,$EB$35,$EB$36)</f>
        <v>0</v>
      </c>
      <c r="EL129" s="13">
        <f>OCC_DAYS*$EB$41*R_NF_2023-ED129*MCD_SHARE_FREED*R_WAIT_2023</f>
        <v>-63953.16263896705</v>
      </c>
      <c r="EM129">
        <f>IF($A129&lt;=$EB$45,1,0)</f>
        <v>1</v>
      </c>
      <c r="FB129">
        <f>IF($FB$31&lt;=$FB$32,IF($A129&lt;=$FB$7,1,2),IF($A129&lt;=RUNG_BEDS_2,2,1))</f>
        <v>1</v>
      </c>
      <c r="FC129" s="5">
        <f>MIN(1,MAX(0,$FB$26-($A129-1)))</f>
        <v>1</v>
      </c>
      <c r="FD129" s="5">
        <f>$FB$25*(FC129+(1-FC129)*$FB$16)</f>
        <v>252.05322714681438</v>
      </c>
      <c r="FE129" s="13">
        <f>FD129*($FB$6+ACUTE_MARGIN)</f>
        <v>254573.7594182825</v>
      </c>
      <c r="FF129" s="13">
        <f>IF(FB129=1,$FB$31,$FB$32)</f>
        <v>156636.04979437485</v>
      </c>
      <c r="FG129" s="13">
        <f>FE129-FF129</f>
        <v>97937.70962390766</v>
      </c>
      <c r="FH129" s="13">
        <f>FH128+FG129</f>
        <v>4505134.642699753</v>
      </c>
      <c r="FI129">
        <f>IF(FH129=MAX($FH$83:$FH$483),$A129,0)</f>
        <v>0</v>
      </c>
      <c r="FJ129">
        <f>IF(FE129&lt;FF129,$A129,B_MAX+1)</f>
        <v>401.0</v>
      </c>
      <c r="FK129" s="13">
        <f>IF(FB129=1,$FB$35,$FB$36)</f>
        <v>0</v>
      </c>
      <c r="FL129" s="13">
        <f>OCC_DAYS*$FB$41*R_NF_2023-FD129*MCD_SHARE_FREED*R_WAIT_2023</f>
        <v>37367.159242427646</v>
      </c>
      <c r="FM129">
        <f>IF($A129&lt;=$FB$45,1,0)</f>
        <v>1</v>
      </c>
      <c r="GB129">
        <f>IF($GB$31&lt;=$GB$32,IF($A129&lt;=$GB$7,1,2),IF($A129&lt;=RUNG_BEDS_2,2,1))</f>
        <v>1</v>
      </c>
      <c r="GC129" s="5">
        <f>MIN(1,MAX(0,$GB$26-($A129-1)))</f>
        <v>1</v>
      </c>
      <c r="GD129" s="5">
        <f>$GB$25*(GC129+(1-GC129)*$GB$16)</f>
        <v>252.05322714681438</v>
      </c>
      <c r="GE129" s="13">
        <f>GD129*($GB$6+ACUTE_MARGIN)</f>
        <v>254573.7594182825</v>
      </c>
      <c r="GF129" s="13">
        <f>IF(GB129=1,$GB$31,$GB$32)</f>
        <v>152394.16214437486</v>
      </c>
      <c r="GG129" s="13">
        <f>GE129-GF129</f>
        <v>102179.59727390765</v>
      </c>
      <c r="GH129" s="13">
        <f>GH128+GG129</f>
        <v>4700261.474599752</v>
      </c>
      <c r="GI129">
        <f>IF(GH129=MAX($GH$83:$GH$483),$A129,0)</f>
        <v>0</v>
      </c>
      <c r="GJ129">
        <f>IF(GE129&lt;GF129,$A129,B_MAX+1)</f>
        <v>401.0</v>
      </c>
      <c r="GK129" s="13">
        <f>IF(GB129=1,$GB$35,$GB$36)</f>
        <v>0</v>
      </c>
      <c r="GL129" s="13">
        <f>OCC_DAYS*$GB$41*R_NF_2023-GD129*MCD_SHARE_FREED*R_WAIT_2023</f>
        <v>37367.159242427646</v>
      </c>
      <c r="GM129">
        <f>IF($A129&lt;=$GB$45,1,0)</f>
        <v>1</v>
      </c>
      <c r="HB129">
        <f>IF($HB$31&lt;=$HB$32,IF($A129&lt;=$HB$7,1,2),IF($A129&lt;=RUNG_BEDS_2,2,1))</f>
        <v>1</v>
      </c>
      <c r="HC129" s="5">
        <f>MIN(1,MAX(0,$HB$26-($A129-1)))</f>
        <v>1</v>
      </c>
      <c r="HD129" s="5">
        <f>$HB$25*(HC129+(1-HC129)*$HB$16)</f>
        <v>252.05322714681438</v>
      </c>
      <c r="HE129" s="13">
        <f>HD129*($HB$6+ACUTE_MARGIN)</f>
        <v>254573.7594182825</v>
      </c>
      <c r="HF129" s="13">
        <f>IF(HB129=1,$HB$31,$HB$32)</f>
        <v>152456.2970814058</v>
      </c>
      <c r="HG129" s="13">
        <f>HE129-HF129</f>
        <v>102117.46233687672</v>
      </c>
      <c r="HH129" s="13">
        <f>HH128+HG129</f>
        <v>4697403.267496331</v>
      </c>
      <c r="HI129">
        <f>IF(HH129=MAX($HH$83:$HH$483),$A129,0)</f>
        <v>0</v>
      </c>
      <c r="HJ129">
        <f>IF(HE129&lt;HF129,$A129,B_MAX+1)</f>
        <v>401.0</v>
      </c>
      <c r="HK129" s="13">
        <f>IF(HB129=1,$HB$35,$HB$36)</f>
        <v>0</v>
      </c>
      <c r="HL129" s="13">
        <f>OCC_DAYS*$HB$41*R_NF_2023-HD129*MCD_SHARE_FREED*R_WAIT_2023</f>
        <v>37367.159242427646</v>
      </c>
      <c r="HM129">
        <f>IF($A129&lt;=$HB$45,1,0)</f>
        <v>1</v>
      </c>
      <c r="IB129">
        <f>IF($IB$31&lt;=$IB$32,IF($A129&lt;=$IB$7,1,2),IF($A129&lt;=RUNG_BEDS_2,2,1))</f>
        <v>1</v>
      </c>
      <c r="IC129" s="5">
        <f>MIN(1,MAX(0,$IB$26-($A129-1)))</f>
        <v>1</v>
      </c>
      <c r="ID129" s="5">
        <f>$IB$25*(IC129+(1-IC129)*$IB$16)</f>
        <v>252.05322714681438</v>
      </c>
      <c r="IE129" s="13">
        <f>ID129*($IB$6+ACUTE_MARGIN)</f>
        <v>254573.7594182825</v>
      </c>
      <c r="IF129" s="13">
        <f>IF(IB129=1,$IB$31,$IB$32)</f>
        <v>152734.9994534971</v>
      </c>
      <c r="IG129" s="13">
        <f>IE129-IF129</f>
        <v>101838.75996478542</v>
      </c>
      <c r="IH129" s="13">
        <f>IH128+IG129</f>
        <v>4684582.958380133</v>
      </c>
      <c r="II129">
        <f>IF(IH129=MAX($IH$83:$IH$483),$A129,0)</f>
        <v>0</v>
      </c>
      <c r="IJ129">
        <f>IF(IE129&lt;IF129,$A129,B_MAX+1)</f>
        <v>401.0</v>
      </c>
      <c r="IK129" s="13">
        <f>IF(IB129=1,$IB$35,$IB$36)</f>
        <v>0</v>
      </c>
      <c r="IL129" s="13">
        <f>OCC_DAYS*$IB$41*R_NF_2023-ID129*MCD_SHARE_FREED*R_WAIT_2023</f>
        <v>37367.159242427646</v>
      </c>
      <c r="IM129">
        <f>IF($A129&lt;=$IB$45,1,0)</f>
        <v>1</v>
      </c>
      <c r="JB129">
        <f>IF($JB$31&lt;=$JB$32,IF($A129&lt;=$JB$7,1,2),IF($A129&lt;=RUNG_BEDS_2,2,1))</f>
        <v>1</v>
      </c>
      <c r="JC129" s="5">
        <f>MIN(1,MAX(0,$JB$26-($A129-1)))</f>
        <v>1</v>
      </c>
      <c r="JD129" s="5">
        <f>$JB$25*(JC129+(1-JC129)*$JB$16)</f>
        <v>252.05322714681438</v>
      </c>
      <c r="JE129" s="13">
        <f>JD129*($JB$6+ACUTE_MARGIN)</f>
        <v>254573.7594182825</v>
      </c>
      <c r="JF129" s="13">
        <f>IF(JB129=1,$JB$31,$JB$32)</f>
        <v>152394.16214437486</v>
      </c>
      <c r="JG129" s="13">
        <f>JE129-JF129</f>
        <v>102179.59727390765</v>
      </c>
      <c r="JH129" s="13">
        <f>JH128+JG129</f>
        <v>4700261.474599752</v>
      </c>
      <c r="JI129">
        <f>IF(JH129=MAX($JH$83:$JH$483),$A129,0)</f>
        <v>0</v>
      </c>
      <c r="JJ129">
        <f>IF(JE129&lt;JF129,$A129,B_MAX+1)</f>
        <v>401.0</v>
      </c>
      <c r="JK129" s="13">
        <f>IF(JB129=1,$JB$35,$JB$36)</f>
        <v>0</v>
      </c>
      <c r="JL129" s="13">
        <f>OCC_DAYS*$JB$41*R_NF_2023-JD129*MCD_SHARE_FREED*R_WAIT_2023</f>
        <v>37367.159242427646</v>
      </c>
      <c r="JM129">
        <f>IF($A129&lt;=$JB$45,1,0)</f>
        <v>1</v>
      </c>
      <c r="KB129">
        <f>IF($KB$31&lt;=$KB$32,IF($A129&lt;=$KB$7,1,2),IF($A129&lt;=RUNG_BEDS_2,2,1))</f>
        <v>1</v>
      </c>
      <c r="KC129" s="5">
        <f>MIN(1,MAX(0,$KB$26-($A129-1)))</f>
        <v>1</v>
      </c>
      <c r="KD129" s="5">
        <f>$KB$25*(KC129+(1-KC129)*$KB$16)</f>
        <v>126.02661357340719</v>
      </c>
      <c r="KE129" s="13">
        <f>KD129*($KB$6+ACUTE_MARGIN)</f>
        <v>127286.87970914126</v>
      </c>
      <c r="KF129" s="13">
        <f>IF(KB129=1,$KB$31,$KB$32)</f>
        <v>152394.16214437486</v>
      </c>
      <c r="KG129" s="13">
        <f>KE129-KF129</f>
        <v>-25107.282435233603</v>
      </c>
      <c r="KH129" s="13">
        <f>KH128+KG129</f>
        <v>-1154934.9920207458</v>
      </c>
      <c r="KI129">
        <f>IF(KH129=MAX($KH$83:$KH$483),$A129,0)</f>
        <v>0</v>
      </c>
      <c r="KJ129">
        <f>IF(KE129&lt;KF129,$A129,B_MAX+1)</f>
        <v>46</v>
      </c>
      <c r="KK129" s="13">
        <f>IF(KB129=1,$KB$35,$KB$36)</f>
        <v>0</v>
      </c>
      <c r="KL129" s="13">
        <f>OCC_DAYS*$KB$41*R_NF_2023-KD129*MCD_SHARE_FREED*R_WAIT_2023</f>
        <v>94673.82103225985</v>
      </c>
      <c r="KM129">
        <f>IF($A129&lt;=$KB$45,1,0)</f>
        <v>0</v>
      </c>
      <c r="LB129">
        <f>IF($LB$31&lt;=$LB$32,IF($A129&lt;=$LB$7,1,2),IF($A129&lt;=RUNG_BEDS_2,2,1))</f>
        <v>1</v>
      </c>
      <c r="LC129" s="5">
        <f>MIN(1,MAX(0,$LB$26-($A129-1)))</f>
        <v>1</v>
      </c>
      <c r="LD129" s="5">
        <f>$LB$25*(LC129+(1-LC129)*$LB$16)</f>
        <v>84.01774238227146</v>
      </c>
      <c r="LE129" s="13">
        <f>LD129*($LB$6+ACUTE_MARGIN)</f>
        <v>84857.91980609419</v>
      </c>
      <c r="LF129" s="13">
        <f>IF(LB129=1,$LB$31,$LB$32)</f>
        <v>152394.16214437486</v>
      </c>
      <c r="LG129" s="13">
        <f>LE129-LF129</f>
        <v>-67536.24233828067</v>
      </c>
      <c r="LH129" s="13">
        <f>LH128+LG129</f>
        <v>-3106667.147560911</v>
      </c>
      <c r="LI129">
        <f>IF(LH129=MAX($LH$83:$LH$483),$A129,0)</f>
        <v>0</v>
      </c>
      <c r="LJ129">
        <f>IF(LE129&lt;LF129,$A129,B_MAX+1)</f>
        <v>46</v>
      </c>
      <c r="LK129" s="13">
        <f>IF(LB129=1,$LB$35,$LB$36)</f>
        <v>0</v>
      </c>
      <c r="LL129" s="13">
        <f>OCC_DAYS*$LB$41*R_NF_2023-LD129*MCD_SHARE_FREED*R_WAIT_2023</f>
        <v>113776.04162887059</v>
      </c>
      <c r="LM129">
        <f>IF($A129&lt;=$LB$45,1,0)</f>
        <v>0</v>
      </c>
      <c r="MB129">
        <f>IF($MB$31&lt;=$MB$32,IF($A129&lt;=$MB$7,1,2),IF($A129&lt;=RUNG_BEDS_2,2,1))</f>
        <v>1</v>
      </c>
      <c r="MC129" s="5">
        <f>MIN(1,MAX(0,$MB$26-($A129-1)))</f>
        <v>1</v>
      </c>
      <c r="MD129" s="5">
        <f>$MB$25*(MC129+(1-MC129)*$MB$16)</f>
        <v>213.44610951008647</v>
      </c>
      <c r="ME129" s="13">
        <f>MD129*($MB$6+ACUTE_MARGIN)</f>
        <v>215580.57060518733</v>
      </c>
      <c r="MF129" s="13">
        <f>IF(MB129=1,$MB$31,$MB$32)</f>
        <v>152394.16214437486</v>
      </c>
      <c r="MG129" s="13">
        <f>ME129-MF129</f>
        <v>63186.40846081247</v>
      </c>
      <c r="MH129" s="13">
        <f>MH128+MG129</f>
        <v>2906574.789197374</v>
      </c>
      <c r="MI129">
        <f>IF(MH129=MAX($MH$83:$MH$483),$A129,0)</f>
        <v>0</v>
      </c>
      <c r="MJ129">
        <f>IF(ME129&lt;MF129,$A129,B_MAX+1)</f>
        <v>401.0</v>
      </c>
      <c r="MK129" s="13">
        <f>IF(MB129=1,$MB$35,$MB$36)</f>
        <v>0</v>
      </c>
      <c r="ML129" s="13">
        <f>OCC_DAYS*$MB$41*R_NF_2023-MD129*MCD_SHARE_FREED*R_WAIT_2023</f>
        <v>54922.538779778624</v>
      </c>
      <c r="MM129">
        <f>IF($A129&lt;=$MB$45,1,0)</f>
        <v>1</v>
      </c>
      <c r="NB129">
        <f>IF($NB$31&lt;=$NB$32,IF($A129&lt;=$NB$7,1,2),IF($A129&lt;=RUNG_BEDS_2,2,1))</f>
        <v>1</v>
      </c>
      <c r="NC129" s="5">
        <f>MIN(1,MAX(0,$NB$26-($A129-1)))</f>
        <v>1</v>
      </c>
      <c r="ND129" s="5">
        <f>$NB$25*(NC129+(1-NC129)*$NB$16)</f>
        <v>252.05322714681438</v>
      </c>
      <c r="NE129" s="13">
        <f>ND129*($NB$6+ACUTE_MARGIN)</f>
        <v>254573.7594182825</v>
      </c>
      <c r="NF129" s="13">
        <f>IF(NB129=1,$NB$31,$NB$32)</f>
        <v>152394.16214437486</v>
      </c>
      <c r="NG129" s="13">
        <f>NE129-NF129</f>
        <v>102179.59727390765</v>
      </c>
      <c r="NH129" s="13">
        <f>NH128+NG129</f>
        <v>4700261.474599752</v>
      </c>
      <c r="NI129">
        <f>IF(NH129=MAX($NH$83:$NH$483),$A129,0)</f>
        <v>0</v>
      </c>
      <c r="NJ129">
        <f>IF(NE129&lt;NF129,$A129,B_MAX+1)</f>
        <v>401.0</v>
      </c>
      <c r="NK129" s="13">
        <f>IF(NB129=1,$NB$35,$NB$36)</f>
        <v>0</v>
      </c>
      <c r="NL129" s="13">
        <f>OCC_DAYS*$NB$41*R_NF_2023-ND129*MCD_SHARE_FREED*R_WAIT_2023</f>
        <v>37367.159242427646</v>
      </c>
      <c r="NM129">
        <f>IF($A129&lt;=$NB$45,1,0)</f>
        <v>1</v>
      </c>
      <c r="OB129">
        <f>IF($OB$31&lt;=$OB$32,IF($A129&lt;=$OB$7,1,2),IF($A129&lt;=RUNG_BEDS_2,2,1))</f>
        <v>1</v>
      </c>
      <c r="OC129" s="5">
        <f>MIN(1,MAX(0,$OB$26-($A129-1)))</f>
        <v>1</v>
      </c>
      <c r="OD129" s="5">
        <f>$OB$25*(OC129+(1-OC129)*$OB$16)</f>
        <v>252.05322714681438</v>
      </c>
      <c r="OE129" s="13">
        <f>OD129*($OB$6+ACUTE_MARGIN)</f>
        <v>254573.7594182825</v>
      </c>
      <c r="OF129" s="13">
        <f>IF(OB129=1,$OB$31,$OB$32)</f>
        <v>152394.16214437486</v>
      </c>
      <c r="OG129" s="13">
        <f>OE129-OF129</f>
        <v>102179.59727390765</v>
      </c>
      <c r="OH129" s="13">
        <f>OH128+OG129</f>
        <v>4700261.474599752</v>
      </c>
      <c r="OI129">
        <f>IF(OH129=MAX($OH$83:$OH$483),$A129,0)</f>
        <v>0</v>
      </c>
      <c r="OJ129">
        <f>IF(OE129&lt;OF129,$A129,B_MAX+1)</f>
        <v>401.0</v>
      </c>
      <c r="OK129" s="13">
        <f>IF(OB129=1,$OB$35,$OB$36)</f>
        <v>0</v>
      </c>
      <c r="OL129" s="13">
        <f>OCC_DAYS*$OB$41*R_NF_2023-OD129*MCD_SHARE_FREED*R_WAIT_2023</f>
        <v>37367.159242427646</v>
      </c>
      <c r="OM129">
        <f>IF($A129&lt;=$OB$45,1,0)</f>
        <v>1</v>
      </c>
    </row>
    <row r="130">
      <c r="A130" t="n">
        <v>47</v>
      </c>
      <c r="B130">
        <f>IF($B$31&lt;=$B$32,IF($A130&lt;=$B$7,1,2),IF($A130&lt;=RUNG_BEDS_2,2,1))</f>
        <v>1</v>
      </c>
      <c r="C130" s="5">
        <f>MIN(1,MAX(0,$B$26-($A130-1)))</f>
        <v>1</v>
      </c>
      <c r="D130" s="5">
        <f>$B$25*(C130+(1-C130)*$B$16)</f>
        <v>252.05322714681438</v>
      </c>
      <c r="E130" s="13">
        <f>D130*($B$6+ACUTE_MARGIN)</f>
        <v>254573.7594182825</v>
      </c>
      <c r="F130" s="13">
        <f>IF(B130=1,$B$31,$B$32)</f>
        <v>152394.16214437486</v>
      </c>
      <c r="G130" s="13">
        <f>E130-F130</f>
        <v>102179.59727390765</v>
      </c>
      <c r="H130" s="13">
        <f>H129+G130</f>
        <v>4802441.071873659</v>
      </c>
      <c r="I130">
        <f>IF(H130=MAX($H$83:$H$483),$A130,0)</f>
        <v>0</v>
      </c>
      <c r="J130">
        <f>IF(E130&lt;F130,$A130,B_MAX+1)</f>
        <v>401.0</v>
      </c>
      <c r="K130" s="13">
        <f>IF(B130=1,$B$35,$B$36)</f>
        <v>0</v>
      </c>
      <c r="L130" s="13">
        <f>OCC_DAYS*$B$41*R_NF_2023-D130*MCD_SHARE_FREED*R_WAIT_2023</f>
        <v>37367.159242427646</v>
      </c>
      <c r="M130">
        <f>IF($A130&lt;=$B$45,1,0)</f>
        <v>1</v>
      </c>
      <c r="AB130">
        <f>IF($AB$31&lt;=$AB$32,IF($A130&lt;=$AB$7,1,2),IF($A130&lt;=RUNG_BEDS_2,2,1))</f>
        <v>1</v>
      </c>
      <c r="AC130" s="5">
        <f>MIN(1,MAX(0,$AB$26-($A130-1)))</f>
        <v>1</v>
      </c>
      <c r="AD130" s="5">
        <f>$AB$25*(AC130+(1-AC130)*$AB$16)</f>
        <v>252.05322714681438</v>
      </c>
      <c r="AE130" s="13">
        <f>AD130*($AB$6+ACUTE_MARGIN)</f>
        <v>138629.2749307479</v>
      </c>
      <c r="AF130" s="13">
        <f>IF(AB130=1,$AB$31,$AB$32)</f>
        <v>152394.16214437486</v>
      </c>
      <c r="AG130" s="13">
        <f>AE130-AF130</f>
        <v>-13764.887213626964</v>
      </c>
      <c r="AH130" s="13">
        <f>AH129+AG130</f>
        <v>-646949.6990404681</v>
      </c>
      <c r="AI130">
        <f>IF(AH130=MAX($AH$83:$AH$483),$A130,0)</f>
        <v>0</v>
      </c>
      <c r="AJ130">
        <f>IF(AE130&lt;AF130,$A130,B_MAX+1)</f>
        <v>47</v>
      </c>
      <c r="AK130" s="13">
        <f>IF(AB130=1,$AB$35,$AB$36)</f>
        <v>0</v>
      </c>
      <c r="AL130" s="13">
        <f>OCC_DAYS*$AB$41*R_NF_2023-AD130*MCD_SHARE_FREED*R_WAIT_2023</f>
        <v>37367.159242427646</v>
      </c>
      <c r="AM130">
        <f>IF($A130&lt;=$AB$45,1,0)</f>
        <v>0</v>
      </c>
      <c r="BB130">
        <f>IF($BB$31&lt;=$BB$32,IF($A130&lt;=$BB$7,1,2),IF($A130&lt;=RUNG_BEDS_2,2,1))</f>
        <v>1</v>
      </c>
      <c r="BC130" s="5">
        <f>MIN(1,MAX(0,$BB$26-($A130-1)))</f>
        <v>1</v>
      </c>
      <c r="BD130" s="5">
        <f>$BB$25*(BC130+(1-BC130)*$BB$16)</f>
        <v>252.05322714681438</v>
      </c>
      <c r="BE130" s="13">
        <f>BD130*($BB$6+ACUTE_MARGIN)</f>
        <v>370518.24390581716</v>
      </c>
      <c r="BF130" s="13">
        <f>IF(BB130=1,$BB$31,$BB$32)</f>
        <v>152394.16214437486</v>
      </c>
      <c r="BG130" s="13">
        <f>BE130-BF130</f>
        <v>218124.0817614423</v>
      </c>
      <c r="BH130" s="13">
        <f>BH129+BG130</f>
        <v>10251831.842787782</v>
      </c>
      <c r="BI130">
        <f>IF(BH130=MAX($BH$83:$BH$483),$A130,0)</f>
        <v>0</v>
      </c>
      <c r="BJ130">
        <f>IF(BE130&lt;BF130,$A130,B_MAX+1)</f>
        <v>401.0</v>
      </c>
      <c r="BK130" s="13">
        <f>IF(BB130=1,$BB$35,$BB$36)</f>
        <v>0</v>
      </c>
      <c r="BL130" s="13">
        <f>OCC_DAYS*$BB$41*R_NF_2023-BD130*MCD_SHARE_FREED*R_WAIT_2023</f>
        <v>37367.159242427646</v>
      </c>
      <c r="BM130">
        <f>IF($A130&lt;=$BB$45,1,0)</f>
        <v>1</v>
      </c>
      <c r="CB130">
        <f>IF($CB$31&lt;=$CB$32,IF($A130&lt;=$CB$7,1,2),IF($A130&lt;=RUNG_BEDS_2,2,1))</f>
        <v>2</v>
      </c>
      <c r="CC130" s="5">
        <f>MIN(1,MAX(0,$CB$26-($A130-1)))</f>
        <v>1</v>
      </c>
      <c r="CD130" s="5">
        <f>$CB$25*(CC130+(1-CC130)*$CB$16)</f>
        <v>252.05322714681438</v>
      </c>
      <c r="CE130" s="13">
        <f>CD130*($CB$6+ACUTE_MARGIN)</f>
        <v>254573.7594182825</v>
      </c>
      <c r="CF130" s="13">
        <f>IF(CB130=1,$CB$31,$CB$32)</f>
        <v>160718.36940738867</v>
      </c>
      <c r="CG130" s="13">
        <f>CE130-CF130</f>
        <v>93855.39001089384</v>
      </c>
      <c r="CH130" s="13">
        <f>CH129+CG130</f>
        <v>4411203.3305120105</v>
      </c>
      <c r="CI130">
        <f>IF(CH130=MAX($CH$83:$CH$483),$A130,0)</f>
        <v>0</v>
      </c>
      <c r="CJ130">
        <f>IF(CE130&lt;CF130,$A130,B_MAX+1)</f>
        <v>401.0</v>
      </c>
      <c r="CK130" s="13">
        <f>IF(CB130=1,$CB$35,$CB$36)</f>
        <v>1560.1194073886782</v>
      </c>
      <c r="CL130" s="13">
        <f>OCC_DAYS*$CB$41*R_NF_2023-CD130*MCD_SHARE_FREED*R_WAIT_2023</f>
        <v>37367.159242427646</v>
      </c>
      <c r="CM130">
        <f>IF($A130&lt;=$CB$45,1,0)</f>
        <v>1</v>
      </c>
      <c r="DB130">
        <f>IF($DB$31&lt;=$DB$32,IF($A130&lt;=$DB$7,1,2),IF($A130&lt;=RUNG_BEDS_2,2,1))</f>
        <v>1</v>
      </c>
      <c r="DC130" s="5">
        <f>MIN(1,MAX(0,$DB$26-($A130-1)))</f>
        <v>1</v>
      </c>
      <c r="DD130" s="5">
        <f>$DB$25*(DC130+(1-DC130)*$DB$16)</f>
        <v>252.05322714681438</v>
      </c>
      <c r="DE130" s="13">
        <f>DD130*($DB$6+ACUTE_MARGIN)</f>
        <v>254573.7594182825</v>
      </c>
      <c r="DF130" s="13">
        <f>IF(DB130=1,$DB$31,$DB$32)</f>
        <v>152394.16214437486</v>
      </c>
      <c r="DG130" s="13">
        <f>DE130-DF130</f>
        <v>102179.59727390765</v>
      </c>
      <c r="DH130" s="13">
        <f>DH129+DG130</f>
        <v>4802441.071873659</v>
      </c>
      <c r="DI130">
        <f>IF(DH130=MAX($DH$83:$DH$483),$A130,0)</f>
        <v>0</v>
      </c>
      <c r="DJ130">
        <f>IF(DE130&lt;DF130,$A130,B_MAX+1)</f>
        <v>401.0</v>
      </c>
      <c r="DK130" s="13">
        <f>IF(DB130=1,$DB$35,$DB$36)</f>
        <v>0</v>
      </c>
      <c r="DL130" s="13">
        <f>OCC_DAYS*$DB$41*R_NF_2023-DD130*MCD_SHARE_FREED*R_WAIT_2023</f>
        <v>37367.159242427646</v>
      </c>
      <c r="DM130">
        <f>IF($A130&lt;=$DB$45,1,0)</f>
        <v>1</v>
      </c>
      <c r="EB130">
        <f>IF($EB$31&lt;=$EB$32,IF($A130&lt;=$EB$7,1,2),IF($A130&lt;=RUNG_BEDS_2,2,1))</f>
        <v>1</v>
      </c>
      <c r="EC130" s="5">
        <f>MIN(1,MAX(0,$EB$26-($A130-1)))</f>
        <v>1</v>
      </c>
      <c r="ED130" s="5">
        <f>$EB$25*(EC130+(1-EC130)*$EB$16)</f>
        <v>252.05322714681438</v>
      </c>
      <c r="EE130" s="13">
        <f>ED130*($EB$6+ACUTE_MARGIN)</f>
        <v>254573.7594182825</v>
      </c>
      <c r="EF130" s="13">
        <f>IF(EB130=1,$EB$31,$EB$32)</f>
        <v>152394.16214437486</v>
      </c>
      <c r="EG130" s="13">
        <f>EE130-EF130</f>
        <v>102179.59727390765</v>
      </c>
      <c r="EH130" s="13">
        <f>EH129+EG130</f>
        <v>4802441.071873659</v>
      </c>
      <c r="EI130">
        <f>IF(EH130=MAX($EH$83:$EH$483),$A130,0)</f>
        <v>0</v>
      </c>
      <c r="EJ130">
        <f>IF(EE130&lt;EF130,$A130,B_MAX+1)</f>
        <v>401.0</v>
      </c>
      <c r="EK130" s="13">
        <f>IF(EB130=1,$EB$35,$EB$36)</f>
        <v>0</v>
      </c>
      <c r="EL130" s="13">
        <f>OCC_DAYS*$EB$41*R_NF_2023-ED130*MCD_SHARE_FREED*R_WAIT_2023</f>
        <v>-63953.16263896705</v>
      </c>
      <c r="EM130">
        <f>IF($A130&lt;=$EB$45,1,0)</f>
        <v>1</v>
      </c>
      <c r="FB130">
        <f>IF($FB$31&lt;=$FB$32,IF($A130&lt;=$FB$7,1,2),IF($A130&lt;=RUNG_BEDS_2,2,1))</f>
        <v>1</v>
      </c>
      <c r="FC130" s="5">
        <f>MIN(1,MAX(0,$FB$26-($A130-1)))</f>
        <v>1</v>
      </c>
      <c r="FD130" s="5">
        <f>$FB$25*(FC130+(1-FC130)*$FB$16)</f>
        <v>252.05322714681438</v>
      </c>
      <c r="FE130" s="13">
        <f>FD130*($FB$6+ACUTE_MARGIN)</f>
        <v>254573.7594182825</v>
      </c>
      <c r="FF130" s="13">
        <f>IF(FB130=1,$FB$31,$FB$32)</f>
        <v>156636.04979437485</v>
      </c>
      <c r="FG130" s="13">
        <f>FE130-FF130</f>
        <v>97937.70962390766</v>
      </c>
      <c r="FH130" s="13">
        <f>FH129+FG130</f>
        <v>4603072.352323661</v>
      </c>
      <c r="FI130">
        <f>IF(FH130=MAX($FH$83:$FH$483),$A130,0)</f>
        <v>0</v>
      </c>
      <c r="FJ130">
        <f>IF(FE130&lt;FF130,$A130,B_MAX+1)</f>
        <v>401.0</v>
      </c>
      <c r="FK130" s="13">
        <f>IF(FB130=1,$FB$35,$FB$36)</f>
        <v>0</v>
      </c>
      <c r="FL130" s="13">
        <f>OCC_DAYS*$FB$41*R_NF_2023-FD130*MCD_SHARE_FREED*R_WAIT_2023</f>
        <v>37367.159242427646</v>
      </c>
      <c r="FM130">
        <f>IF($A130&lt;=$FB$45,1,0)</f>
        <v>1</v>
      </c>
      <c r="GB130">
        <f>IF($GB$31&lt;=$GB$32,IF($A130&lt;=$GB$7,1,2),IF($A130&lt;=RUNG_BEDS_2,2,1))</f>
        <v>1</v>
      </c>
      <c r="GC130" s="5">
        <f>MIN(1,MAX(0,$GB$26-($A130-1)))</f>
        <v>1</v>
      </c>
      <c r="GD130" s="5">
        <f>$GB$25*(GC130+(1-GC130)*$GB$16)</f>
        <v>252.05322714681438</v>
      </c>
      <c r="GE130" s="13">
        <f>GD130*($GB$6+ACUTE_MARGIN)</f>
        <v>254573.7594182825</v>
      </c>
      <c r="GF130" s="13">
        <f>IF(GB130=1,$GB$31,$GB$32)</f>
        <v>152394.16214437486</v>
      </c>
      <c r="GG130" s="13">
        <f>GE130-GF130</f>
        <v>102179.59727390765</v>
      </c>
      <c r="GH130" s="13">
        <f>GH129+GG130</f>
        <v>4802441.071873659</v>
      </c>
      <c r="GI130">
        <f>IF(GH130=MAX($GH$83:$GH$483),$A130,0)</f>
        <v>0</v>
      </c>
      <c r="GJ130">
        <f>IF(GE130&lt;GF130,$A130,B_MAX+1)</f>
        <v>401.0</v>
      </c>
      <c r="GK130" s="13">
        <f>IF(GB130=1,$GB$35,$GB$36)</f>
        <v>0</v>
      </c>
      <c r="GL130" s="13">
        <f>OCC_DAYS*$GB$41*R_NF_2023-GD130*MCD_SHARE_FREED*R_WAIT_2023</f>
        <v>37367.159242427646</v>
      </c>
      <c r="GM130">
        <f>IF($A130&lt;=$GB$45,1,0)</f>
        <v>1</v>
      </c>
      <c r="HB130">
        <f>IF($HB$31&lt;=$HB$32,IF($A130&lt;=$HB$7,1,2),IF($A130&lt;=RUNG_BEDS_2,2,1))</f>
        <v>1</v>
      </c>
      <c r="HC130" s="5">
        <f>MIN(1,MAX(0,$HB$26-($A130-1)))</f>
        <v>1</v>
      </c>
      <c r="HD130" s="5">
        <f>$HB$25*(HC130+(1-HC130)*$HB$16)</f>
        <v>252.05322714681438</v>
      </c>
      <c r="HE130" s="13">
        <f>HD130*($HB$6+ACUTE_MARGIN)</f>
        <v>254573.7594182825</v>
      </c>
      <c r="HF130" s="13">
        <f>IF(HB130=1,$HB$31,$HB$32)</f>
        <v>152456.2970814058</v>
      </c>
      <c r="HG130" s="13">
        <f>HE130-HF130</f>
        <v>102117.46233687672</v>
      </c>
      <c r="HH130" s="13">
        <f>HH129+HG130</f>
        <v>4799520.729833207</v>
      </c>
      <c r="HI130">
        <f>IF(HH130=MAX($HH$83:$HH$483),$A130,0)</f>
        <v>0</v>
      </c>
      <c r="HJ130">
        <f>IF(HE130&lt;HF130,$A130,B_MAX+1)</f>
        <v>401.0</v>
      </c>
      <c r="HK130" s="13">
        <f>IF(HB130=1,$HB$35,$HB$36)</f>
        <v>0</v>
      </c>
      <c r="HL130" s="13">
        <f>OCC_DAYS*$HB$41*R_NF_2023-HD130*MCD_SHARE_FREED*R_WAIT_2023</f>
        <v>37367.159242427646</v>
      </c>
      <c r="HM130">
        <f>IF($A130&lt;=$HB$45,1,0)</f>
        <v>1</v>
      </c>
      <c r="IB130">
        <f>IF($IB$31&lt;=$IB$32,IF($A130&lt;=$IB$7,1,2),IF($A130&lt;=RUNG_BEDS_2,2,1))</f>
        <v>1</v>
      </c>
      <c r="IC130" s="5">
        <f>MIN(1,MAX(0,$IB$26-($A130-1)))</f>
        <v>1</v>
      </c>
      <c r="ID130" s="5">
        <f>$IB$25*(IC130+(1-IC130)*$IB$16)</f>
        <v>252.05322714681438</v>
      </c>
      <c r="IE130" s="13">
        <f>ID130*($IB$6+ACUTE_MARGIN)</f>
        <v>254573.7594182825</v>
      </c>
      <c r="IF130" s="13">
        <f>IF(IB130=1,$IB$31,$IB$32)</f>
        <v>152734.9994534971</v>
      </c>
      <c r="IG130" s="13">
        <f>IE130-IF130</f>
        <v>101838.75996478542</v>
      </c>
      <c r="IH130" s="13">
        <f>IH129+IG130</f>
        <v>4786421.718344918</v>
      </c>
      <c r="II130">
        <f>IF(IH130=MAX($IH$83:$IH$483),$A130,0)</f>
        <v>0</v>
      </c>
      <c r="IJ130">
        <f>IF(IE130&lt;IF130,$A130,B_MAX+1)</f>
        <v>401.0</v>
      </c>
      <c r="IK130" s="13">
        <f>IF(IB130=1,$IB$35,$IB$36)</f>
        <v>0</v>
      </c>
      <c r="IL130" s="13">
        <f>OCC_DAYS*$IB$41*R_NF_2023-ID130*MCD_SHARE_FREED*R_WAIT_2023</f>
        <v>37367.159242427646</v>
      </c>
      <c r="IM130">
        <f>IF($A130&lt;=$IB$45,1,0)</f>
        <v>1</v>
      </c>
      <c r="JB130">
        <f>IF($JB$31&lt;=$JB$32,IF($A130&lt;=$JB$7,1,2),IF($A130&lt;=RUNG_BEDS_2,2,1))</f>
        <v>1</v>
      </c>
      <c r="JC130" s="5">
        <f>MIN(1,MAX(0,$JB$26-($A130-1)))</f>
        <v>1</v>
      </c>
      <c r="JD130" s="5">
        <f>$JB$25*(JC130+(1-JC130)*$JB$16)</f>
        <v>252.05322714681438</v>
      </c>
      <c r="JE130" s="13">
        <f>JD130*($JB$6+ACUTE_MARGIN)</f>
        <v>254573.7594182825</v>
      </c>
      <c r="JF130" s="13">
        <f>IF(JB130=1,$JB$31,$JB$32)</f>
        <v>152394.16214437486</v>
      </c>
      <c r="JG130" s="13">
        <f>JE130-JF130</f>
        <v>102179.59727390765</v>
      </c>
      <c r="JH130" s="13">
        <f>JH129+JG130</f>
        <v>4802441.071873659</v>
      </c>
      <c r="JI130">
        <f>IF(JH130=MAX($JH$83:$JH$483),$A130,0)</f>
        <v>0</v>
      </c>
      <c r="JJ130">
        <f>IF(JE130&lt;JF130,$A130,B_MAX+1)</f>
        <v>401.0</v>
      </c>
      <c r="JK130" s="13">
        <f>IF(JB130=1,$JB$35,$JB$36)</f>
        <v>0</v>
      </c>
      <c r="JL130" s="13">
        <f>OCC_DAYS*$JB$41*R_NF_2023-JD130*MCD_SHARE_FREED*R_WAIT_2023</f>
        <v>37367.159242427646</v>
      </c>
      <c r="JM130">
        <f>IF($A130&lt;=$JB$45,1,0)</f>
        <v>1</v>
      </c>
      <c r="KB130">
        <f>IF($KB$31&lt;=$KB$32,IF($A130&lt;=$KB$7,1,2),IF($A130&lt;=RUNG_BEDS_2,2,1))</f>
        <v>1</v>
      </c>
      <c r="KC130" s="5">
        <f>MIN(1,MAX(0,$KB$26-($A130-1)))</f>
        <v>1</v>
      </c>
      <c r="KD130" s="5">
        <f>$KB$25*(KC130+(1-KC130)*$KB$16)</f>
        <v>126.02661357340719</v>
      </c>
      <c r="KE130" s="13">
        <f>KD130*($KB$6+ACUTE_MARGIN)</f>
        <v>127286.87970914126</v>
      </c>
      <c r="KF130" s="13">
        <f>IF(KB130=1,$KB$31,$KB$32)</f>
        <v>152394.16214437486</v>
      </c>
      <c r="KG130" s="13">
        <f>KE130-KF130</f>
        <v>-25107.282435233603</v>
      </c>
      <c r="KH130" s="13">
        <f>KH129+KG130</f>
        <v>-1180042.2744559795</v>
      </c>
      <c r="KI130">
        <f>IF(KH130=MAX($KH$83:$KH$483),$A130,0)</f>
        <v>0</v>
      </c>
      <c r="KJ130">
        <f>IF(KE130&lt;KF130,$A130,B_MAX+1)</f>
        <v>47</v>
      </c>
      <c r="KK130" s="13">
        <f>IF(KB130=1,$KB$35,$KB$36)</f>
        <v>0</v>
      </c>
      <c r="KL130" s="13">
        <f>OCC_DAYS*$KB$41*R_NF_2023-KD130*MCD_SHARE_FREED*R_WAIT_2023</f>
        <v>94673.82103225985</v>
      </c>
      <c r="KM130">
        <f>IF($A130&lt;=$KB$45,1,0)</f>
        <v>0</v>
      </c>
      <c r="LB130">
        <f>IF($LB$31&lt;=$LB$32,IF($A130&lt;=$LB$7,1,2),IF($A130&lt;=RUNG_BEDS_2,2,1))</f>
        <v>1</v>
      </c>
      <c r="LC130" s="5">
        <f>MIN(1,MAX(0,$LB$26-($A130-1)))</f>
        <v>1</v>
      </c>
      <c r="LD130" s="5">
        <f>$LB$25*(LC130+(1-LC130)*$LB$16)</f>
        <v>84.01774238227146</v>
      </c>
      <c r="LE130" s="13">
        <f>LD130*($LB$6+ACUTE_MARGIN)</f>
        <v>84857.91980609419</v>
      </c>
      <c r="LF130" s="13">
        <f>IF(LB130=1,$LB$31,$LB$32)</f>
        <v>152394.16214437486</v>
      </c>
      <c r="LG130" s="13">
        <f>LE130-LF130</f>
        <v>-67536.24233828067</v>
      </c>
      <c r="LH130" s="13">
        <f>LH129+LG130</f>
        <v>-3174203.3898991914</v>
      </c>
      <c r="LI130">
        <f>IF(LH130=MAX($LH$83:$LH$483),$A130,0)</f>
        <v>0</v>
      </c>
      <c r="LJ130">
        <f>IF(LE130&lt;LF130,$A130,B_MAX+1)</f>
        <v>47</v>
      </c>
      <c r="LK130" s="13">
        <f>IF(LB130=1,$LB$35,$LB$36)</f>
        <v>0</v>
      </c>
      <c r="LL130" s="13">
        <f>OCC_DAYS*$LB$41*R_NF_2023-LD130*MCD_SHARE_FREED*R_WAIT_2023</f>
        <v>113776.04162887059</v>
      </c>
      <c r="LM130">
        <f>IF($A130&lt;=$LB$45,1,0)</f>
        <v>0</v>
      </c>
      <c r="MB130">
        <f>IF($MB$31&lt;=$MB$32,IF($A130&lt;=$MB$7,1,2),IF($A130&lt;=RUNG_BEDS_2,2,1))</f>
        <v>1</v>
      </c>
      <c r="MC130" s="5">
        <f>MIN(1,MAX(0,$MB$26-($A130-1)))</f>
        <v>1</v>
      </c>
      <c r="MD130" s="5">
        <f>$MB$25*(MC130+(1-MC130)*$MB$16)</f>
        <v>213.44610951008647</v>
      </c>
      <c r="ME130" s="13">
        <f>MD130*($MB$6+ACUTE_MARGIN)</f>
        <v>215580.57060518733</v>
      </c>
      <c r="MF130" s="13">
        <f>IF(MB130=1,$MB$31,$MB$32)</f>
        <v>152394.16214437486</v>
      </c>
      <c r="MG130" s="13">
        <f>ME130-MF130</f>
        <v>63186.40846081247</v>
      </c>
      <c r="MH130" s="13">
        <f>MH129+MG130</f>
        <v>2969761.197658187</v>
      </c>
      <c r="MI130">
        <f>IF(MH130=MAX($MH$83:$MH$483),$A130,0)</f>
        <v>0</v>
      </c>
      <c r="MJ130">
        <f>IF(ME130&lt;MF130,$A130,B_MAX+1)</f>
        <v>401.0</v>
      </c>
      <c r="MK130" s="13">
        <f>IF(MB130=1,$MB$35,$MB$36)</f>
        <v>0</v>
      </c>
      <c r="ML130" s="13">
        <f>OCC_DAYS*$MB$41*R_NF_2023-MD130*MCD_SHARE_FREED*R_WAIT_2023</f>
        <v>54922.538779778624</v>
      </c>
      <c r="MM130">
        <f>IF($A130&lt;=$MB$45,1,0)</f>
        <v>1</v>
      </c>
      <c r="NB130">
        <f>IF($NB$31&lt;=$NB$32,IF($A130&lt;=$NB$7,1,2),IF($A130&lt;=RUNG_BEDS_2,2,1))</f>
        <v>1</v>
      </c>
      <c r="NC130" s="5">
        <f>MIN(1,MAX(0,$NB$26-($A130-1)))</f>
        <v>1</v>
      </c>
      <c r="ND130" s="5">
        <f>$NB$25*(NC130+(1-NC130)*$NB$16)</f>
        <v>252.05322714681438</v>
      </c>
      <c r="NE130" s="13">
        <f>ND130*($NB$6+ACUTE_MARGIN)</f>
        <v>254573.7594182825</v>
      </c>
      <c r="NF130" s="13">
        <f>IF(NB130=1,$NB$31,$NB$32)</f>
        <v>152394.16214437486</v>
      </c>
      <c r="NG130" s="13">
        <f>NE130-NF130</f>
        <v>102179.59727390765</v>
      </c>
      <c r="NH130" s="13">
        <f>NH129+NG130</f>
        <v>4802441.071873659</v>
      </c>
      <c r="NI130">
        <f>IF(NH130=MAX($NH$83:$NH$483),$A130,0)</f>
        <v>0</v>
      </c>
      <c r="NJ130">
        <f>IF(NE130&lt;NF130,$A130,B_MAX+1)</f>
        <v>401.0</v>
      </c>
      <c r="NK130" s="13">
        <f>IF(NB130=1,$NB$35,$NB$36)</f>
        <v>0</v>
      </c>
      <c r="NL130" s="13">
        <f>OCC_DAYS*$NB$41*R_NF_2023-ND130*MCD_SHARE_FREED*R_WAIT_2023</f>
        <v>37367.159242427646</v>
      </c>
      <c r="NM130">
        <f>IF($A130&lt;=$NB$45,1,0)</f>
        <v>1</v>
      </c>
      <c r="OB130">
        <f>IF($OB$31&lt;=$OB$32,IF($A130&lt;=$OB$7,1,2),IF($A130&lt;=RUNG_BEDS_2,2,1))</f>
        <v>1</v>
      </c>
      <c r="OC130" s="5">
        <f>MIN(1,MAX(0,$OB$26-($A130-1)))</f>
        <v>1</v>
      </c>
      <c r="OD130" s="5">
        <f>$OB$25*(OC130+(1-OC130)*$OB$16)</f>
        <v>252.05322714681438</v>
      </c>
      <c r="OE130" s="13">
        <f>OD130*($OB$6+ACUTE_MARGIN)</f>
        <v>254573.7594182825</v>
      </c>
      <c r="OF130" s="13">
        <f>IF(OB130=1,$OB$31,$OB$32)</f>
        <v>152394.16214437486</v>
      </c>
      <c r="OG130" s="13">
        <f>OE130-OF130</f>
        <v>102179.59727390765</v>
      </c>
      <c r="OH130" s="13">
        <f>OH129+OG130</f>
        <v>4802441.071873659</v>
      </c>
      <c r="OI130">
        <f>IF(OH130=MAX($OH$83:$OH$483),$A130,0)</f>
        <v>0</v>
      </c>
      <c r="OJ130">
        <f>IF(OE130&lt;OF130,$A130,B_MAX+1)</f>
        <v>401.0</v>
      </c>
      <c r="OK130" s="13">
        <f>IF(OB130=1,$OB$35,$OB$36)</f>
        <v>0</v>
      </c>
      <c r="OL130" s="13">
        <f>OCC_DAYS*$OB$41*R_NF_2023-OD130*MCD_SHARE_FREED*R_WAIT_2023</f>
        <v>37367.159242427646</v>
      </c>
      <c r="OM130">
        <f>IF($A130&lt;=$OB$45,1,0)</f>
        <v>1</v>
      </c>
    </row>
    <row r="131">
      <c r="A131" t="n">
        <v>48</v>
      </c>
      <c r="B131">
        <f>IF($B$31&lt;=$B$32,IF($A131&lt;=$B$7,1,2),IF($A131&lt;=RUNG_BEDS_2,2,1))</f>
        <v>1</v>
      </c>
      <c r="C131" s="5">
        <f>MIN(1,MAX(0,$B$26-($A131-1)))</f>
        <v>1</v>
      </c>
      <c r="D131" s="5">
        <f>$B$25*(C131+(1-C131)*$B$16)</f>
        <v>252.05322714681438</v>
      </c>
      <c r="E131" s="13">
        <f>D131*($B$6+ACUTE_MARGIN)</f>
        <v>254573.7594182825</v>
      </c>
      <c r="F131" s="13">
        <f>IF(B131=1,$B$31,$B$32)</f>
        <v>152394.16214437486</v>
      </c>
      <c r="G131" s="13">
        <f>E131-F131</f>
        <v>102179.59727390765</v>
      </c>
      <c r="H131" s="13">
        <f>H130+G131</f>
        <v>4904620.669147567</v>
      </c>
      <c r="I131">
        <f>IF(H131=MAX($H$83:$H$483),$A131,0)</f>
        <v>0</v>
      </c>
      <c r="J131">
        <f>IF(E131&lt;F131,$A131,B_MAX+1)</f>
        <v>401.0</v>
      </c>
      <c r="K131" s="13">
        <f>IF(B131=1,$B$35,$B$36)</f>
        <v>0</v>
      </c>
      <c r="L131" s="13">
        <f>OCC_DAYS*$B$41*R_NF_2023-D131*MCD_SHARE_FREED*R_WAIT_2023</f>
        <v>37367.159242427646</v>
      </c>
      <c r="M131">
        <f>IF($A131&lt;=$B$45,1,0)</f>
        <v>1</v>
      </c>
      <c r="AB131">
        <f>IF($AB$31&lt;=$AB$32,IF($A131&lt;=$AB$7,1,2),IF($A131&lt;=RUNG_BEDS_2,2,1))</f>
        <v>1</v>
      </c>
      <c r="AC131" s="5">
        <f>MIN(1,MAX(0,$AB$26-($A131-1)))</f>
        <v>1</v>
      </c>
      <c r="AD131" s="5">
        <f>$AB$25*(AC131+(1-AC131)*$AB$16)</f>
        <v>252.05322714681438</v>
      </c>
      <c r="AE131" s="13">
        <f>AD131*($AB$6+ACUTE_MARGIN)</f>
        <v>138629.2749307479</v>
      </c>
      <c r="AF131" s="13">
        <f>IF(AB131=1,$AB$31,$AB$32)</f>
        <v>152394.16214437486</v>
      </c>
      <c r="AG131" s="13">
        <f>AE131-AF131</f>
        <v>-13764.887213626964</v>
      </c>
      <c r="AH131" s="13">
        <f>AH130+AG131</f>
        <v>-660714.5862540951</v>
      </c>
      <c r="AI131">
        <f>IF(AH131=MAX($AH$83:$AH$483),$A131,0)</f>
        <v>0</v>
      </c>
      <c r="AJ131">
        <f>IF(AE131&lt;AF131,$A131,B_MAX+1)</f>
        <v>48</v>
      </c>
      <c r="AK131" s="13">
        <f>IF(AB131=1,$AB$35,$AB$36)</f>
        <v>0</v>
      </c>
      <c r="AL131" s="13">
        <f>OCC_DAYS*$AB$41*R_NF_2023-AD131*MCD_SHARE_FREED*R_WAIT_2023</f>
        <v>37367.159242427646</v>
      </c>
      <c r="AM131">
        <f>IF($A131&lt;=$AB$45,1,0)</f>
        <v>0</v>
      </c>
      <c r="BB131">
        <f>IF($BB$31&lt;=$BB$32,IF($A131&lt;=$BB$7,1,2),IF($A131&lt;=RUNG_BEDS_2,2,1))</f>
        <v>1</v>
      </c>
      <c r="BC131" s="5">
        <f>MIN(1,MAX(0,$BB$26-($A131-1)))</f>
        <v>1</v>
      </c>
      <c r="BD131" s="5">
        <f>$BB$25*(BC131+(1-BC131)*$BB$16)</f>
        <v>252.05322714681438</v>
      </c>
      <c r="BE131" s="13">
        <f>BD131*($BB$6+ACUTE_MARGIN)</f>
        <v>370518.24390581716</v>
      </c>
      <c r="BF131" s="13">
        <f>IF(BB131=1,$BB$31,$BB$32)</f>
        <v>152394.16214437486</v>
      </c>
      <c r="BG131" s="13">
        <f>BE131-BF131</f>
        <v>218124.0817614423</v>
      </c>
      <c r="BH131" s="13">
        <f>BH130+BG131</f>
        <v>10469955.924549224</v>
      </c>
      <c r="BI131">
        <f>IF(BH131=MAX($BH$83:$BH$483),$A131,0)</f>
        <v>0</v>
      </c>
      <c r="BJ131">
        <f>IF(BE131&lt;BF131,$A131,B_MAX+1)</f>
        <v>401.0</v>
      </c>
      <c r="BK131" s="13">
        <f>IF(BB131=1,$BB$35,$BB$36)</f>
        <v>0</v>
      </c>
      <c r="BL131" s="13">
        <f>OCC_DAYS*$BB$41*R_NF_2023-BD131*MCD_SHARE_FREED*R_WAIT_2023</f>
        <v>37367.159242427646</v>
      </c>
      <c r="BM131">
        <f>IF($A131&lt;=$BB$45,1,0)</f>
        <v>1</v>
      </c>
      <c r="CB131">
        <f>IF($CB$31&lt;=$CB$32,IF($A131&lt;=$CB$7,1,2),IF($A131&lt;=RUNG_BEDS_2,2,1))</f>
        <v>2</v>
      </c>
      <c r="CC131" s="5">
        <f>MIN(1,MAX(0,$CB$26-($A131-1)))</f>
        <v>1</v>
      </c>
      <c r="CD131" s="5">
        <f>$CB$25*(CC131+(1-CC131)*$CB$16)</f>
        <v>252.05322714681438</v>
      </c>
      <c r="CE131" s="13">
        <f>CD131*($CB$6+ACUTE_MARGIN)</f>
        <v>254573.7594182825</v>
      </c>
      <c r="CF131" s="13">
        <f>IF(CB131=1,$CB$31,$CB$32)</f>
        <v>160718.36940738867</v>
      </c>
      <c r="CG131" s="13">
        <f>CE131-CF131</f>
        <v>93855.39001089384</v>
      </c>
      <c r="CH131" s="13">
        <f>CH130+CG131</f>
        <v>4505058.720522905</v>
      </c>
      <c r="CI131">
        <f>IF(CH131=MAX($CH$83:$CH$483),$A131,0)</f>
        <v>0</v>
      </c>
      <c r="CJ131">
        <f>IF(CE131&lt;CF131,$A131,B_MAX+1)</f>
        <v>401.0</v>
      </c>
      <c r="CK131" s="13">
        <f>IF(CB131=1,$CB$35,$CB$36)</f>
        <v>1560.1194073886782</v>
      </c>
      <c r="CL131" s="13">
        <f>OCC_DAYS*$CB$41*R_NF_2023-CD131*MCD_SHARE_FREED*R_WAIT_2023</f>
        <v>37367.159242427646</v>
      </c>
      <c r="CM131">
        <f>IF($A131&lt;=$CB$45,1,0)</f>
        <v>1</v>
      </c>
      <c r="DB131">
        <f>IF($DB$31&lt;=$DB$32,IF($A131&lt;=$DB$7,1,2),IF($A131&lt;=RUNG_BEDS_2,2,1))</f>
        <v>1</v>
      </c>
      <c r="DC131" s="5">
        <f>MIN(1,MAX(0,$DB$26-($A131-1)))</f>
        <v>1</v>
      </c>
      <c r="DD131" s="5">
        <f>$DB$25*(DC131+(1-DC131)*$DB$16)</f>
        <v>252.05322714681438</v>
      </c>
      <c r="DE131" s="13">
        <f>DD131*($DB$6+ACUTE_MARGIN)</f>
        <v>254573.7594182825</v>
      </c>
      <c r="DF131" s="13">
        <f>IF(DB131=1,$DB$31,$DB$32)</f>
        <v>152394.16214437486</v>
      </c>
      <c r="DG131" s="13">
        <f>DE131-DF131</f>
        <v>102179.59727390765</v>
      </c>
      <c r="DH131" s="13">
        <f>DH130+DG131</f>
        <v>4904620.669147567</v>
      </c>
      <c r="DI131">
        <f>IF(DH131=MAX($DH$83:$DH$483),$A131,0)</f>
        <v>0</v>
      </c>
      <c r="DJ131">
        <f>IF(DE131&lt;DF131,$A131,B_MAX+1)</f>
        <v>401.0</v>
      </c>
      <c r="DK131" s="13">
        <f>IF(DB131=1,$DB$35,$DB$36)</f>
        <v>0</v>
      </c>
      <c r="DL131" s="13">
        <f>OCC_DAYS*$DB$41*R_NF_2023-DD131*MCD_SHARE_FREED*R_WAIT_2023</f>
        <v>37367.159242427646</v>
      </c>
      <c r="DM131">
        <f>IF($A131&lt;=$DB$45,1,0)</f>
        <v>1</v>
      </c>
      <c r="EB131">
        <f>IF($EB$31&lt;=$EB$32,IF($A131&lt;=$EB$7,1,2),IF($A131&lt;=RUNG_BEDS_2,2,1))</f>
        <v>1</v>
      </c>
      <c r="EC131" s="5">
        <f>MIN(1,MAX(0,$EB$26-($A131-1)))</f>
        <v>1</v>
      </c>
      <c r="ED131" s="5">
        <f>$EB$25*(EC131+(1-EC131)*$EB$16)</f>
        <v>252.05322714681438</v>
      </c>
      <c r="EE131" s="13">
        <f>ED131*($EB$6+ACUTE_MARGIN)</f>
        <v>254573.7594182825</v>
      </c>
      <c r="EF131" s="13">
        <f>IF(EB131=1,$EB$31,$EB$32)</f>
        <v>152394.16214437486</v>
      </c>
      <c r="EG131" s="13">
        <f>EE131-EF131</f>
        <v>102179.59727390765</v>
      </c>
      <c r="EH131" s="13">
        <f>EH130+EG131</f>
        <v>4904620.669147567</v>
      </c>
      <c r="EI131">
        <f>IF(EH131=MAX($EH$83:$EH$483),$A131,0)</f>
        <v>0</v>
      </c>
      <c r="EJ131">
        <f>IF(EE131&lt;EF131,$A131,B_MAX+1)</f>
        <v>401.0</v>
      </c>
      <c r="EK131" s="13">
        <f>IF(EB131=1,$EB$35,$EB$36)</f>
        <v>0</v>
      </c>
      <c r="EL131" s="13">
        <f>OCC_DAYS*$EB$41*R_NF_2023-ED131*MCD_SHARE_FREED*R_WAIT_2023</f>
        <v>-63953.16263896705</v>
      </c>
      <c r="EM131">
        <f>IF($A131&lt;=$EB$45,1,0)</f>
        <v>1</v>
      </c>
      <c r="FB131">
        <f>IF($FB$31&lt;=$FB$32,IF($A131&lt;=$FB$7,1,2),IF($A131&lt;=RUNG_BEDS_2,2,1))</f>
        <v>1</v>
      </c>
      <c r="FC131" s="5">
        <f>MIN(1,MAX(0,$FB$26-($A131-1)))</f>
        <v>1</v>
      </c>
      <c r="FD131" s="5">
        <f>$FB$25*(FC131+(1-FC131)*$FB$16)</f>
        <v>252.05322714681438</v>
      </c>
      <c r="FE131" s="13">
        <f>FD131*($FB$6+ACUTE_MARGIN)</f>
        <v>254573.7594182825</v>
      </c>
      <c r="FF131" s="13">
        <f>IF(FB131=1,$FB$31,$FB$32)</f>
        <v>156636.04979437485</v>
      </c>
      <c r="FG131" s="13">
        <f>FE131-FF131</f>
        <v>97937.70962390766</v>
      </c>
      <c r="FH131" s="13">
        <f>FH130+FG131</f>
        <v>4701010.061947568</v>
      </c>
      <c r="FI131">
        <f>IF(FH131=MAX($FH$83:$FH$483),$A131,0)</f>
        <v>0</v>
      </c>
      <c r="FJ131">
        <f>IF(FE131&lt;FF131,$A131,B_MAX+1)</f>
        <v>401.0</v>
      </c>
      <c r="FK131" s="13">
        <f>IF(FB131=1,$FB$35,$FB$36)</f>
        <v>0</v>
      </c>
      <c r="FL131" s="13">
        <f>OCC_DAYS*$FB$41*R_NF_2023-FD131*MCD_SHARE_FREED*R_WAIT_2023</f>
        <v>37367.159242427646</v>
      </c>
      <c r="FM131">
        <f>IF($A131&lt;=$FB$45,1,0)</f>
        <v>1</v>
      </c>
      <c r="GB131">
        <f>IF($GB$31&lt;=$GB$32,IF($A131&lt;=$GB$7,1,2),IF($A131&lt;=RUNG_BEDS_2,2,1))</f>
        <v>1</v>
      </c>
      <c r="GC131" s="5">
        <f>MIN(1,MAX(0,$GB$26-($A131-1)))</f>
        <v>1</v>
      </c>
      <c r="GD131" s="5">
        <f>$GB$25*(GC131+(1-GC131)*$GB$16)</f>
        <v>252.05322714681438</v>
      </c>
      <c r="GE131" s="13">
        <f>GD131*($GB$6+ACUTE_MARGIN)</f>
        <v>254573.7594182825</v>
      </c>
      <c r="GF131" s="13">
        <f>IF(GB131=1,$GB$31,$GB$32)</f>
        <v>152394.16214437486</v>
      </c>
      <c r="GG131" s="13">
        <f>GE131-GF131</f>
        <v>102179.59727390765</v>
      </c>
      <c r="GH131" s="13">
        <f>GH130+GG131</f>
        <v>4904620.669147567</v>
      </c>
      <c r="GI131">
        <f>IF(GH131=MAX($GH$83:$GH$483),$A131,0)</f>
        <v>0</v>
      </c>
      <c r="GJ131">
        <f>IF(GE131&lt;GF131,$A131,B_MAX+1)</f>
        <v>401.0</v>
      </c>
      <c r="GK131" s="13">
        <f>IF(GB131=1,$GB$35,$GB$36)</f>
        <v>0</v>
      </c>
      <c r="GL131" s="13">
        <f>OCC_DAYS*$GB$41*R_NF_2023-GD131*MCD_SHARE_FREED*R_WAIT_2023</f>
        <v>37367.159242427646</v>
      </c>
      <c r="GM131">
        <f>IF($A131&lt;=$GB$45,1,0)</f>
        <v>1</v>
      </c>
      <c r="HB131">
        <f>IF($HB$31&lt;=$HB$32,IF($A131&lt;=$HB$7,1,2),IF($A131&lt;=RUNG_BEDS_2,2,1))</f>
        <v>1</v>
      </c>
      <c r="HC131" s="5">
        <f>MIN(1,MAX(0,$HB$26-($A131-1)))</f>
        <v>1</v>
      </c>
      <c r="HD131" s="5">
        <f>$HB$25*(HC131+(1-HC131)*$HB$16)</f>
        <v>252.05322714681438</v>
      </c>
      <c r="HE131" s="13">
        <f>HD131*($HB$6+ACUTE_MARGIN)</f>
        <v>254573.7594182825</v>
      </c>
      <c r="HF131" s="13">
        <f>IF(HB131=1,$HB$31,$HB$32)</f>
        <v>152456.2970814058</v>
      </c>
      <c r="HG131" s="13">
        <f>HE131-HF131</f>
        <v>102117.46233687672</v>
      </c>
      <c r="HH131" s="13">
        <f>HH130+HG131</f>
        <v>4901638.1921700835</v>
      </c>
      <c r="HI131">
        <f>IF(HH131=MAX($HH$83:$HH$483),$A131,0)</f>
        <v>0</v>
      </c>
      <c r="HJ131">
        <f>IF(HE131&lt;HF131,$A131,B_MAX+1)</f>
        <v>401.0</v>
      </c>
      <c r="HK131" s="13">
        <f>IF(HB131=1,$HB$35,$HB$36)</f>
        <v>0</v>
      </c>
      <c r="HL131" s="13">
        <f>OCC_DAYS*$HB$41*R_NF_2023-HD131*MCD_SHARE_FREED*R_WAIT_2023</f>
        <v>37367.159242427646</v>
      </c>
      <c r="HM131">
        <f>IF($A131&lt;=$HB$45,1,0)</f>
        <v>1</v>
      </c>
      <c r="IB131">
        <f>IF($IB$31&lt;=$IB$32,IF($A131&lt;=$IB$7,1,2),IF($A131&lt;=RUNG_BEDS_2,2,1))</f>
        <v>1</v>
      </c>
      <c r="IC131" s="5">
        <f>MIN(1,MAX(0,$IB$26-($A131-1)))</f>
        <v>1</v>
      </c>
      <c r="ID131" s="5">
        <f>$IB$25*(IC131+(1-IC131)*$IB$16)</f>
        <v>252.05322714681438</v>
      </c>
      <c r="IE131" s="13">
        <f>ID131*($IB$6+ACUTE_MARGIN)</f>
        <v>254573.7594182825</v>
      </c>
      <c r="IF131" s="13">
        <f>IF(IB131=1,$IB$31,$IB$32)</f>
        <v>152734.9994534971</v>
      </c>
      <c r="IG131" s="13">
        <f>IE131-IF131</f>
        <v>101838.75996478542</v>
      </c>
      <c r="IH131" s="13">
        <f>IH130+IG131</f>
        <v>4888260.478309704</v>
      </c>
      <c r="II131">
        <f>IF(IH131=MAX($IH$83:$IH$483),$A131,0)</f>
        <v>0</v>
      </c>
      <c r="IJ131">
        <f>IF(IE131&lt;IF131,$A131,B_MAX+1)</f>
        <v>401.0</v>
      </c>
      <c r="IK131" s="13">
        <f>IF(IB131=1,$IB$35,$IB$36)</f>
        <v>0</v>
      </c>
      <c r="IL131" s="13">
        <f>OCC_DAYS*$IB$41*R_NF_2023-ID131*MCD_SHARE_FREED*R_WAIT_2023</f>
        <v>37367.159242427646</v>
      </c>
      <c r="IM131">
        <f>IF($A131&lt;=$IB$45,1,0)</f>
        <v>1</v>
      </c>
      <c r="JB131">
        <f>IF($JB$31&lt;=$JB$32,IF($A131&lt;=$JB$7,1,2),IF($A131&lt;=RUNG_BEDS_2,2,1))</f>
        <v>1</v>
      </c>
      <c r="JC131" s="5">
        <f>MIN(1,MAX(0,$JB$26-($A131-1)))</f>
        <v>1</v>
      </c>
      <c r="JD131" s="5">
        <f>$JB$25*(JC131+(1-JC131)*$JB$16)</f>
        <v>252.05322714681438</v>
      </c>
      <c r="JE131" s="13">
        <f>JD131*($JB$6+ACUTE_MARGIN)</f>
        <v>254573.7594182825</v>
      </c>
      <c r="JF131" s="13">
        <f>IF(JB131=1,$JB$31,$JB$32)</f>
        <v>152394.16214437486</v>
      </c>
      <c r="JG131" s="13">
        <f>JE131-JF131</f>
        <v>102179.59727390765</v>
      </c>
      <c r="JH131" s="13">
        <f>JH130+JG131</f>
        <v>4904620.669147567</v>
      </c>
      <c r="JI131">
        <f>IF(JH131=MAX($JH$83:$JH$483),$A131,0)</f>
        <v>0</v>
      </c>
      <c r="JJ131">
        <f>IF(JE131&lt;JF131,$A131,B_MAX+1)</f>
        <v>401.0</v>
      </c>
      <c r="JK131" s="13">
        <f>IF(JB131=1,$JB$35,$JB$36)</f>
        <v>0</v>
      </c>
      <c r="JL131" s="13">
        <f>OCC_DAYS*$JB$41*R_NF_2023-JD131*MCD_SHARE_FREED*R_WAIT_2023</f>
        <v>37367.159242427646</v>
      </c>
      <c r="JM131">
        <f>IF($A131&lt;=$JB$45,1,0)</f>
        <v>1</v>
      </c>
      <c r="KB131">
        <f>IF($KB$31&lt;=$KB$32,IF($A131&lt;=$KB$7,1,2),IF($A131&lt;=RUNG_BEDS_2,2,1))</f>
        <v>1</v>
      </c>
      <c r="KC131" s="5">
        <f>MIN(1,MAX(0,$KB$26-($A131-1)))</f>
        <v>1</v>
      </c>
      <c r="KD131" s="5">
        <f>$KB$25*(KC131+(1-KC131)*$KB$16)</f>
        <v>126.02661357340719</v>
      </c>
      <c r="KE131" s="13">
        <f>KD131*($KB$6+ACUTE_MARGIN)</f>
        <v>127286.87970914126</v>
      </c>
      <c r="KF131" s="13">
        <f>IF(KB131=1,$KB$31,$KB$32)</f>
        <v>152394.16214437486</v>
      </c>
      <c r="KG131" s="13">
        <f>KE131-KF131</f>
        <v>-25107.282435233603</v>
      </c>
      <c r="KH131" s="13">
        <f>KH130+KG131</f>
        <v>-1205149.5568912132</v>
      </c>
      <c r="KI131">
        <f>IF(KH131=MAX($KH$83:$KH$483),$A131,0)</f>
        <v>0</v>
      </c>
      <c r="KJ131">
        <f>IF(KE131&lt;KF131,$A131,B_MAX+1)</f>
        <v>48</v>
      </c>
      <c r="KK131" s="13">
        <f>IF(KB131=1,$KB$35,$KB$36)</f>
        <v>0</v>
      </c>
      <c r="KL131" s="13">
        <f>OCC_DAYS*$KB$41*R_NF_2023-KD131*MCD_SHARE_FREED*R_WAIT_2023</f>
        <v>94673.82103225985</v>
      </c>
      <c r="KM131">
        <f>IF($A131&lt;=$KB$45,1,0)</f>
        <v>0</v>
      </c>
      <c r="LB131">
        <f>IF($LB$31&lt;=$LB$32,IF($A131&lt;=$LB$7,1,2),IF($A131&lt;=RUNG_BEDS_2,2,1))</f>
        <v>1</v>
      </c>
      <c r="LC131" s="5">
        <f>MIN(1,MAX(0,$LB$26-($A131-1)))</f>
        <v>1</v>
      </c>
      <c r="LD131" s="5">
        <f>$LB$25*(LC131+(1-LC131)*$LB$16)</f>
        <v>84.01774238227146</v>
      </c>
      <c r="LE131" s="13">
        <f>LD131*($LB$6+ACUTE_MARGIN)</f>
        <v>84857.91980609419</v>
      </c>
      <c r="LF131" s="13">
        <f>IF(LB131=1,$LB$31,$LB$32)</f>
        <v>152394.16214437486</v>
      </c>
      <c r="LG131" s="13">
        <f>LE131-LF131</f>
        <v>-67536.24233828067</v>
      </c>
      <c r="LH131" s="13">
        <f>LH130+LG131</f>
        <v>-3241739.632237472</v>
      </c>
      <c r="LI131">
        <f>IF(LH131=MAX($LH$83:$LH$483),$A131,0)</f>
        <v>0</v>
      </c>
      <c r="LJ131">
        <f>IF(LE131&lt;LF131,$A131,B_MAX+1)</f>
        <v>48</v>
      </c>
      <c r="LK131" s="13">
        <f>IF(LB131=1,$LB$35,$LB$36)</f>
        <v>0</v>
      </c>
      <c r="LL131" s="13">
        <f>OCC_DAYS*$LB$41*R_NF_2023-LD131*MCD_SHARE_FREED*R_WAIT_2023</f>
        <v>113776.04162887059</v>
      </c>
      <c r="LM131">
        <f>IF($A131&lt;=$LB$45,1,0)</f>
        <v>0</v>
      </c>
      <c r="MB131">
        <f>IF($MB$31&lt;=$MB$32,IF($A131&lt;=$MB$7,1,2),IF($A131&lt;=RUNG_BEDS_2,2,1))</f>
        <v>1</v>
      </c>
      <c r="MC131" s="5">
        <f>MIN(1,MAX(0,$MB$26-($A131-1)))</f>
        <v>1</v>
      </c>
      <c r="MD131" s="5">
        <f>$MB$25*(MC131+(1-MC131)*$MB$16)</f>
        <v>213.44610951008647</v>
      </c>
      <c r="ME131" s="13">
        <f>MD131*($MB$6+ACUTE_MARGIN)</f>
        <v>215580.57060518733</v>
      </c>
      <c r="MF131" s="13">
        <f>IF(MB131=1,$MB$31,$MB$32)</f>
        <v>152394.16214437486</v>
      </c>
      <c r="MG131" s="13">
        <f>ME131-MF131</f>
        <v>63186.40846081247</v>
      </c>
      <c r="MH131" s="13">
        <f>MH130+MG131</f>
        <v>3032947.6061189994</v>
      </c>
      <c r="MI131">
        <f>IF(MH131=MAX($MH$83:$MH$483),$A131,0)</f>
        <v>0</v>
      </c>
      <c r="MJ131">
        <f>IF(ME131&lt;MF131,$A131,B_MAX+1)</f>
        <v>401.0</v>
      </c>
      <c r="MK131" s="13">
        <f>IF(MB131=1,$MB$35,$MB$36)</f>
        <v>0</v>
      </c>
      <c r="ML131" s="13">
        <f>OCC_DAYS*$MB$41*R_NF_2023-MD131*MCD_SHARE_FREED*R_WAIT_2023</f>
        <v>54922.538779778624</v>
      </c>
      <c r="MM131">
        <f>IF($A131&lt;=$MB$45,1,0)</f>
        <v>1</v>
      </c>
      <c r="NB131">
        <f>IF($NB$31&lt;=$NB$32,IF($A131&lt;=$NB$7,1,2),IF($A131&lt;=RUNG_BEDS_2,2,1))</f>
        <v>1</v>
      </c>
      <c r="NC131" s="5">
        <f>MIN(1,MAX(0,$NB$26-($A131-1)))</f>
        <v>1</v>
      </c>
      <c r="ND131" s="5">
        <f>$NB$25*(NC131+(1-NC131)*$NB$16)</f>
        <v>252.05322714681438</v>
      </c>
      <c r="NE131" s="13">
        <f>ND131*($NB$6+ACUTE_MARGIN)</f>
        <v>254573.7594182825</v>
      </c>
      <c r="NF131" s="13">
        <f>IF(NB131=1,$NB$31,$NB$32)</f>
        <v>152394.16214437486</v>
      </c>
      <c r="NG131" s="13">
        <f>NE131-NF131</f>
        <v>102179.59727390765</v>
      </c>
      <c r="NH131" s="13">
        <f>NH130+NG131</f>
        <v>4904620.669147567</v>
      </c>
      <c r="NI131">
        <f>IF(NH131=MAX($NH$83:$NH$483),$A131,0)</f>
        <v>0</v>
      </c>
      <c r="NJ131">
        <f>IF(NE131&lt;NF131,$A131,B_MAX+1)</f>
        <v>401.0</v>
      </c>
      <c r="NK131" s="13">
        <f>IF(NB131=1,$NB$35,$NB$36)</f>
        <v>0</v>
      </c>
      <c r="NL131" s="13">
        <f>OCC_DAYS*$NB$41*R_NF_2023-ND131*MCD_SHARE_FREED*R_WAIT_2023</f>
        <v>37367.159242427646</v>
      </c>
      <c r="NM131">
        <f>IF($A131&lt;=$NB$45,1,0)</f>
        <v>1</v>
      </c>
      <c r="OB131">
        <f>IF($OB$31&lt;=$OB$32,IF($A131&lt;=$OB$7,1,2),IF($A131&lt;=RUNG_BEDS_2,2,1))</f>
        <v>1</v>
      </c>
      <c r="OC131" s="5">
        <f>MIN(1,MAX(0,$OB$26-($A131-1)))</f>
        <v>1</v>
      </c>
      <c r="OD131" s="5">
        <f>$OB$25*(OC131+(1-OC131)*$OB$16)</f>
        <v>252.05322714681438</v>
      </c>
      <c r="OE131" s="13">
        <f>OD131*($OB$6+ACUTE_MARGIN)</f>
        <v>254573.7594182825</v>
      </c>
      <c r="OF131" s="13">
        <f>IF(OB131=1,$OB$31,$OB$32)</f>
        <v>152394.16214437486</v>
      </c>
      <c r="OG131" s="13">
        <f>OE131-OF131</f>
        <v>102179.59727390765</v>
      </c>
      <c r="OH131" s="13">
        <f>OH130+OG131</f>
        <v>4904620.669147567</v>
      </c>
      <c r="OI131">
        <f>IF(OH131=MAX($OH$83:$OH$483),$A131,0)</f>
        <v>0</v>
      </c>
      <c r="OJ131">
        <f>IF(OE131&lt;OF131,$A131,B_MAX+1)</f>
        <v>401.0</v>
      </c>
      <c r="OK131" s="13">
        <f>IF(OB131=1,$OB$35,$OB$36)</f>
        <v>0</v>
      </c>
      <c r="OL131" s="13">
        <f>OCC_DAYS*$OB$41*R_NF_2023-OD131*MCD_SHARE_FREED*R_WAIT_2023</f>
        <v>37367.159242427646</v>
      </c>
      <c r="OM131">
        <f>IF($A131&lt;=$OB$45,1,0)</f>
        <v>1</v>
      </c>
    </row>
    <row r="132">
      <c r="A132" t="n">
        <v>49</v>
      </c>
      <c r="B132">
        <f>IF($B$31&lt;=$B$32,IF($A132&lt;=$B$7,1,2),IF($A132&lt;=RUNG_BEDS_2,2,1))</f>
        <v>1</v>
      </c>
      <c r="C132" s="5">
        <f>MIN(1,MAX(0,$B$26-($A132-1)))</f>
        <v>1</v>
      </c>
      <c r="D132" s="5">
        <f>$B$25*(C132+(1-C132)*$B$16)</f>
        <v>252.05322714681438</v>
      </c>
      <c r="E132" s="13">
        <f>D132*($B$6+ACUTE_MARGIN)</f>
        <v>254573.7594182825</v>
      </c>
      <c r="F132" s="13">
        <f>IF(B132=1,$B$31,$B$32)</f>
        <v>152394.16214437486</v>
      </c>
      <c r="G132" s="13">
        <f>E132-F132</f>
        <v>102179.59727390765</v>
      </c>
      <c r="H132" s="13">
        <f>H131+G132</f>
        <v>5006800.2664214745</v>
      </c>
      <c r="I132">
        <f>IF(H132=MAX($H$83:$H$483),$A132,0)</f>
        <v>0</v>
      </c>
      <c r="J132">
        <f>IF(E132&lt;F132,$A132,B_MAX+1)</f>
        <v>401.0</v>
      </c>
      <c r="K132" s="13">
        <f>IF(B132=1,$B$35,$B$36)</f>
        <v>0</v>
      </c>
      <c r="L132" s="13">
        <f>OCC_DAYS*$B$41*R_NF_2023-D132*MCD_SHARE_FREED*R_WAIT_2023</f>
        <v>37367.159242427646</v>
      </c>
      <c r="M132">
        <f>IF($A132&lt;=$B$45,1,0)</f>
        <v>1</v>
      </c>
      <c r="AB132">
        <f>IF($AB$31&lt;=$AB$32,IF($A132&lt;=$AB$7,1,2),IF($A132&lt;=RUNG_BEDS_2,2,1))</f>
        <v>1</v>
      </c>
      <c r="AC132" s="5">
        <f>MIN(1,MAX(0,$AB$26-($A132-1)))</f>
        <v>1</v>
      </c>
      <c r="AD132" s="5">
        <f>$AB$25*(AC132+(1-AC132)*$AB$16)</f>
        <v>252.05322714681438</v>
      </c>
      <c r="AE132" s="13">
        <f>AD132*($AB$6+ACUTE_MARGIN)</f>
        <v>138629.2749307479</v>
      </c>
      <c r="AF132" s="13">
        <f>IF(AB132=1,$AB$31,$AB$32)</f>
        <v>152394.16214437486</v>
      </c>
      <c r="AG132" s="13">
        <f>AE132-AF132</f>
        <v>-13764.887213626964</v>
      </c>
      <c r="AH132" s="13">
        <f>AH131+AG132</f>
        <v>-674479.4734677221</v>
      </c>
      <c r="AI132">
        <f>IF(AH132=MAX($AH$83:$AH$483),$A132,0)</f>
        <v>0</v>
      </c>
      <c r="AJ132">
        <f>IF(AE132&lt;AF132,$A132,B_MAX+1)</f>
        <v>49</v>
      </c>
      <c r="AK132" s="13">
        <f>IF(AB132=1,$AB$35,$AB$36)</f>
        <v>0</v>
      </c>
      <c r="AL132" s="13">
        <f>OCC_DAYS*$AB$41*R_NF_2023-AD132*MCD_SHARE_FREED*R_WAIT_2023</f>
        <v>37367.159242427646</v>
      </c>
      <c r="AM132">
        <f>IF($A132&lt;=$AB$45,1,0)</f>
        <v>0</v>
      </c>
      <c r="BB132">
        <f>IF($BB$31&lt;=$BB$32,IF($A132&lt;=$BB$7,1,2),IF($A132&lt;=RUNG_BEDS_2,2,1))</f>
        <v>1</v>
      </c>
      <c r="BC132" s="5">
        <f>MIN(1,MAX(0,$BB$26-($A132-1)))</f>
        <v>1</v>
      </c>
      <c r="BD132" s="5">
        <f>$BB$25*(BC132+(1-BC132)*$BB$16)</f>
        <v>252.05322714681438</v>
      </c>
      <c r="BE132" s="13">
        <f>BD132*($BB$6+ACUTE_MARGIN)</f>
        <v>370518.24390581716</v>
      </c>
      <c r="BF132" s="13">
        <f>IF(BB132=1,$BB$31,$BB$32)</f>
        <v>152394.16214437486</v>
      </c>
      <c r="BG132" s="13">
        <f>BE132-BF132</f>
        <v>218124.0817614423</v>
      </c>
      <c r="BH132" s="13">
        <f>BH131+BG132</f>
        <v>10688080.006310666</v>
      </c>
      <c r="BI132">
        <f>IF(BH132=MAX($BH$83:$BH$483),$A132,0)</f>
        <v>0</v>
      </c>
      <c r="BJ132">
        <f>IF(BE132&lt;BF132,$A132,B_MAX+1)</f>
        <v>401.0</v>
      </c>
      <c r="BK132" s="13">
        <f>IF(BB132=1,$BB$35,$BB$36)</f>
        <v>0</v>
      </c>
      <c r="BL132" s="13">
        <f>OCC_DAYS*$BB$41*R_NF_2023-BD132*MCD_SHARE_FREED*R_WAIT_2023</f>
        <v>37367.159242427646</v>
      </c>
      <c r="BM132">
        <f>IF($A132&lt;=$BB$45,1,0)</f>
        <v>1</v>
      </c>
      <c r="CB132">
        <f>IF($CB$31&lt;=$CB$32,IF($A132&lt;=$CB$7,1,2),IF($A132&lt;=RUNG_BEDS_2,2,1))</f>
        <v>2</v>
      </c>
      <c r="CC132" s="5">
        <f>MIN(1,MAX(0,$CB$26-($A132-1)))</f>
        <v>1</v>
      </c>
      <c r="CD132" s="5">
        <f>$CB$25*(CC132+(1-CC132)*$CB$16)</f>
        <v>252.05322714681438</v>
      </c>
      <c r="CE132" s="13">
        <f>CD132*($CB$6+ACUTE_MARGIN)</f>
        <v>254573.7594182825</v>
      </c>
      <c r="CF132" s="13">
        <f>IF(CB132=1,$CB$31,$CB$32)</f>
        <v>160718.36940738867</v>
      </c>
      <c r="CG132" s="13">
        <f>CE132-CF132</f>
        <v>93855.39001089384</v>
      </c>
      <c r="CH132" s="13">
        <f>CH131+CG132</f>
        <v>4598914.110533799</v>
      </c>
      <c r="CI132">
        <f>IF(CH132=MAX($CH$83:$CH$483),$A132,0)</f>
        <v>0</v>
      </c>
      <c r="CJ132">
        <f>IF(CE132&lt;CF132,$A132,B_MAX+1)</f>
        <v>401.0</v>
      </c>
      <c r="CK132" s="13">
        <f>IF(CB132=1,$CB$35,$CB$36)</f>
        <v>1560.1194073886782</v>
      </c>
      <c r="CL132" s="13">
        <f>OCC_DAYS*$CB$41*R_NF_2023-CD132*MCD_SHARE_FREED*R_WAIT_2023</f>
        <v>37367.159242427646</v>
      </c>
      <c r="CM132">
        <f>IF($A132&lt;=$CB$45,1,0)</f>
        <v>1</v>
      </c>
      <c r="DB132">
        <f>IF($DB$31&lt;=$DB$32,IF($A132&lt;=$DB$7,1,2),IF($A132&lt;=RUNG_BEDS_2,2,1))</f>
        <v>1</v>
      </c>
      <c r="DC132" s="5">
        <f>MIN(1,MAX(0,$DB$26-($A132-1)))</f>
        <v>1</v>
      </c>
      <c r="DD132" s="5">
        <f>$DB$25*(DC132+(1-DC132)*$DB$16)</f>
        <v>252.05322714681438</v>
      </c>
      <c r="DE132" s="13">
        <f>DD132*($DB$6+ACUTE_MARGIN)</f>
        <v>254573.7594182825</v>
      </c>
      <c r="DF132" s="13">
        <f>IF(DB132=1,$DB$31,$DB$32)</f>
        <v>152394.16214437486</v>
      </c>
      <c r="DG132" s="13">
        <f>DE132-DF132</f>
        <v>102179.59727390765</v>
      </c>
      <c r="DH132" s="13">
        <f>DH131+DG132</f>
        <v>5006800.2664214745</v>
      </c>
      <c r="DI132">
        <f>IF(DH132=MAX($DH$83:$DH$483),$A132,0)</f>
        <v>0</v>
      </c>
      <c r="DJ132">
        <f>IF(DE132&lt;DF132,$A132,B_MAX+1)</f>
        <v>401.0</v>
      </c>
      <c r="DK132" s="13">
        <f>IF(DB132=1,$DB$35,$DB$36)</f>
        <v>0</v>
      </c>
      <c r="DL132" s="13">
        <f>OCC_DAYS*$DB$41*R_NF_2023-DD132*MCD_SHARE_FREED*R_WAIT_2023</f>
        <v>37367.159242427646</v>
      </c>
      <c r="DM132">
        <f>IF($A132&lt;=$DB$45,1,0)</f>
        <v>1</v>
      </c>
      <c r="EB132">
        <f>IF($EB$31&lt;=$EB$32,IF($A132&lt;=$EB$7,1,2),IF($A132&lt;=RUNG_BEDS_2,2,1))</f>
        <v>1</v>
      </c>
      <c r="EC132" s="5">
        <f>MIN(1,MAX(0,$EB$26-($A132-1)))</f>
        <v>1</v>
      </c>
      <c r="ED132" s="5">
        <f>$EB$25*(EC132+(1-EC132)*$EB$16)</f>
        <v>252.05322714681438</v>
      </c>
      <c r="EE132" s="13">
        <f>ED132*($EB$6+ACUTE_MARGIN)</f>
        <v>254573.7594182825</v>
      </c>
      <c r="EF132" s="13">
        <f>IF(EB132=1,$EB$31,$EB$32)</f>
        <v>152394.16214437486</v>
      </c>
      <c r="EG132" s="13">
        <f>EE132-EF132</f>
        <v>102179.59727390765</v>
      </c>
      <c r="EH132" s="13">
        <f>EH131+EG132</f>
        <v>5006800.2664214745</v>
      </c>
      <c r="EI132">
        <f>IF(EH132=MAX($EH$83:$EH$483),$A132,0)</f>
        <v>0</v>
      </c>
      <c r="EJ132">
        <f>IF(EE132&lt;EF132,$A132,B_MAX+1)</f>
        <v>401.0</v>
      </c>
      <c r="EK132" s="13">
        <f>IF(EB132=1,$EB$35,$EB$36)</f>
        <v>0</v>
      </c>
      <c r="EL132" s="13">
        <f>OCC_DAYS*$EB$41*R_NF_2023-ED132*MCD_SHARE_FREED*R_WAIT_2023</f>
        <v>-63953.16263896705</v>
      </c>
      <c r="EM132">
        <f>IF($A132&lt;=$EB$45,1,0)</f>
        <v>1</v>
      </c>
      <c r="FB132">
        <f>IF($FB$31&lt;=$FB$32,IF($A132&lt;=$FB$7,1,2),IF($A132&lt;=RUNG_BEDS_2,2,1))</f>
        <v>1</v>
      </c>
      <c r="FC132" s="5">
        <f>MIN(1,MAX(0,$FB$26-($A132-1)))</f>
        <v>1</v>
      </c>
      <c r="FD132" s="5">
        <f>$FB$25*(FC132+(1-FC132)*$FB$16)</f>
        <v>252.05322714681438</v>
      </c>
      <c r="FE132" s="13">
        <f>FD132*($FB$6+ACUTE_MARGIN)</f>
        <v>254573.7594182825</v>
      </c>
      <c r="FF132" s="13">
        <f>IF(FB132=1,$FB$31,$FB$32)</f>
        <v>156636.04979437485</v>
      </c>
      <c r="FG132" s="13">
        <f>FE132-FF132</f>
        <v>97937.70962390766</v>
      </c>
      <c r="FH132" s="13">
        <f>FH131+FG132</f>
        <v>4798947.771571476</v>
      </c>
      <c r="FI132">
        <f>IF(FH132=MAX($FH$83:$FH$483),$A132,0)</f>
        <v>0</v>
      </c>
      <c r="FJ132">
        <f>IF(FE132&lt;FF132,$A132,B_MAX+1)</f>
        <v>401.0</v>
      </c>
      <c r="FK132" s="13">
        <f>IF(FB132=1,$FB$35,$FB$36)</f>
        <v>0</v>
      </c>
      <c r="FL132" s="13">
        <f>OCC_DAYS*$FB$41*R_NF_2023-FD132*MCD_SHARE_FREED*R_WAIT_2023</f>
        <v>37367.159242427646</v>
      </c>
      <c r="FM132">
        <f>IF($A132&lt;=$FB$45,1,0)</f>
        <v>1</v>
      </c>
      <c r="GB132">
        <f>IF($GB$31&lt;=$GB$32,IF($A132&lt;=$GB$7,1,2),IF($A132&lt;=RUNG_BEDS_2,2,1))</f>
        <v>1</v>
      </c>
      <c r="GC132" s="5">
        <f>MIN(1,MAX(0,$GB$26-($A132-1)))</f>
        <v>1</v>
      </c>
      <c r="GD132" s="5">
        <f>$GB$25*(GC132+(1-GC132)*$GB$16)</f>
        <v>252.05322714681438</v>
      </c>
      <c r="GE132" s="13">
        <f>GD132*($GB$6+ACUTE_MARGIN)</f>
        <v>254573.7594182825</v>
      </c>
      <c r="GF132" s="13">
        <f>IF(GB132=1,$GB$31,$GB$32)</f>
        <v>152394.16214437486</v>
      </c>
      <c r="GG132" s="13">
        <f>GE132-GF132</f>
        <v>102179.59727390765</v>
      </c>
      <c r="GH132" s="13">
        <f>GH131+GG132</f>
        <v>5006800.2664214745</v>
      </c>
      <c r="GI132">
        <f>IF(GH132=MAX($GH$83:$GH$483),$A132,0)</f>
        <v>0</v>
      </c>
      <c r="GJ132">
        <f>IF(GE132&lt;GF132,$A132,B_MAX+1)</f>
        <v>401.0</v>
      </c>
      <c r="GK132" s="13">
        <f>IF(GB132=1,$GB$35,$GB$36)</f>
        <v>0</v>
      </c>
      <c r="GL132" s="13">
        <f>OCC_DAYS*$GB$41*R_NF_2023-GD132*MCD_SHARE_FREED*R_WAIT_2023</f>
        <v>37367.159242427646</v>
      </c>
      <c r="GM132">
        <f>IF($A132&lt;=$GB$45,1,0)</f>
        <v>1</v>
      </c>
      <c r="HB132">
        <f>IF($HB$31&lt;=$HB$32,IF($A132&lt;=$HB$7,1,2),IF($A132&lt;=RUNG_BEDS_2,2,1))</f>
        <v>1</v>
      </c>
      <c r="HC132" s="5">
        <f>MIN(1,MAX(0,$HB$26-($A132-1)))</f>
        <v>1</v>
      </c>
      <c r="HD132" s="5">
        <f>$HB$25*(HC132+(1-HC132)*$HB$16)</f>
        <v>252.05322714681438</v>
      </c>
      <c r="HE132" s="13">
        <f>HD132*($HB$6+ACUTE_MARGIN)</f>
        <v>254573.7594182825</v>
      </c>
      <c r="HF132" s="13">
        <f>IF(HB132=1,$HB$31,$HB$32)</f>
        <v>152456.2970814058</v>
      </c>
      <c r="HG132" s="13">
        <f>HE132-HF132</f>
        <v>102117.46233687672</v>
      </c>
      <c r="HH132" s="13">
        <f>HH131+HG132</f>
        <v>5003755.65450696</v>
      </c>
      <c r="HI132">
        <f>IF(HH132=MAX($HH$83:$HH$483),$A132,0)</f>
        <v>0</v>
      </c>
      <c r="HJ132">
        <f>IF(HE132&lt;HF132,$A132,B_MAX+1)</f>
        <v>401.0</v>
      </c>
      <c r="HK132" s="13">
        <f>IF(HB132=1,$HB$35,$HB$36)</f>
        <v>0</v>
      </c>
      <c r="HL132" s="13">
        <f>OCC_DAYS*$HB$41*R_NF_2023-HD132*MCD_SHARE_FREED*R_WAIT_2023</f>
        <v>37367.159242427646</v>
      </c>
      <c r="HM132">
        <f>IF($A132&lt;=$HB$45,1,0)</f>
        <v>1</v>
      </c>
      <c r="IB132">
        <f>IF($IB$31&lt;=$IB$32,IF($A132&lt;=$IB$7,1,2),IF($A132&lt;=RUNG_BEDS_2,2,1))</f>
        <v>1</v>
      </c>
      <c r="IC132" s="5">
        <f>MIN(1,MAX(0,$IB$26-($A132-1)))</f>
        <v>1</v>
      </c>
      <c r="ID132" s="5">
        <f>$IB$25*(IC132+(1-IC132)*$IB$16)</f>
        <v>252.05322714681438</v>
      </c>
      <c r="IE132" s="13">
        <f>ID132*($IB$6+ACUTE_MARGIN)</f>
        <v>254573.7594182825</v>
      </c>
      <c r="IF132" s="13">
        <f>IF(IB132=1,$IB$31,$IB$32)</f>
        <v>152734.9994534971</v>
      </c>
      <c r="IG132" s="13">
        <f>IE132-IF132</f>
        <v>101838.75996478542</v>
      </c>
      <c r="IH132" s="13">
        <f>IH131+IG132</f>
        <v>4990099.2382744895</v>
      </c>
      <c r="II132">
        <f>IF(IH132=MAX($IH$83:$IH$483),$A132,0)</f>
        <v>0</v>
      </c>
      <c r="IJ132">
        <f>IF(IE132&lt;IF132,$A132,B_MAX+1)</f>
        <v>401.0</v>
      </c>
      <c r="IK132" s="13">
        <f>IF(IB132=1,$IB$35,$IB$36)</f>
        <v>0</v>
      </c>
      <c r="IL132" s="13">
        <f>OCC_DAYS*$IB$41*R_NF_2023-ID132*MCD_SHARE_FREED*R_WAIT_2023</f>
        <v>37367.159242427646</v>
      </c>
      <c r="IM132">
        <f>IF($A132&lt;=$IB$45,1,0)</f>
        <v>1</v>
      </c>
      <c r="JB132">
        <f>IF($JB$31&lt;=$JB$32,IF($A132&lt;=$JB$7,1,2),IF($A132&lt;=RUNG_BEDS_2,2,1))</f>
        <v>1</v>
      </c>
      <c r="JC132" s="5">
        <f>MIN(1,MAX(0,$JB$26-($A132-1)))</f>
        <v>1</v>
      </c>
      <c r="JD132" s="5">
        <f>$JB$25*(JC132+(1-JC132)*$JB$16)</f>
        <v>252.05322714681438</v>
      </c>
      <c r="JE132" s="13">
        <f>JD132*($JB$6+ACUTE_MARGIN)</f>
        <v>254573.7594182825</v>
      </c>
      <c r="JF132" s="13">
        <f>IF(JB132=1,$JB$31,$JB$32)</f>
        <v>152394.16214437486</v>
      </c>
      <c r="JG132" s="13">
        <f>JE132-JF132</f>
        <v>102179.59727390765</v>
      </c>
      <c r="JH132" s="13">
        <f>JH131+JG132</f>
        <v>5006800.2664214745</v>
      </c>
      <c r="JI132">
        <f>IF(JH132=MAX($JH$83:$JH$483),$A132,0)</f>
        <v>0</v>
      </c>
      <c r="JJ132">
        <f>IF(JE132&lt;JF132,$A132,B_MAX+1)</f>
        <v>401.0</v>
      </c>
      <c r="JK132" s="13">
        <f>IF(JB132=1,$JB$35,$JB$36)</f>
        <v>0</v>
      </c>
      <c r="JL132" s="13">
        <f>OCC_DAYS*$JB$41*R_NF_2023-JD132*MCD_SHARE_FREED*R_WAIT_2023</f>
        <v>37367.159242427646</v>
      </c>
      <c r="JM132">
        <f>IF($A132&lt;=$JB$45,1,0)</f>
        <v>1</v>
      </c>
      <c r="KB132">
        <f>IF($KB$31&lt;=$KB$32,IF($A132&lt;=$KB$7,1,2),IF($A132&lt;=RUNG_BEDS_2,2,1))</f>
        <v>1</v>
      </c>
      <c r="KC132" s="5">
        <f>MIN(1,MAX(0,$KB$26-($A132-1)))</f>
        <v>1</v>
      </c>
      <c r="KD132" s="5">
        <f>$KB$25*(KC132+(1-KC132)*$KB$16)</f>
        <v>126.02661357340719</v>
      </c>
      <c r="KE132" s="13">
        <f>KD132*($KB$6+ACUTE_MARGIN)</f>
        <v>127286.87970914126</v>
      </c>
      <c r="KF132" s="13">
        <f>IF(KB132=1,$KB$31,$KB$32)</f>
        <v>152394.16214437486</v>
      </c>
      <c r="KG132" s="13">
        <f>KE132-KF132</f>
        <v>-25107.282435233603</v>
      </c>
      <c r="KH132" s="13">
        <f>KH131+KG132</f>
        <v>-1230256.8393264469</v>
      </c>
      <c r="KI132">
        <f>IF(KH132=MAX($KH$83:$KH$483),$A132,0)</f>
        <v>0</v>
      </c>
      <c r="KJ132">
        <f>IF(KE132&lt;KF132,$A132,B_MAX+1)</f>
        <v>49</v>
      </c>
      <c r="KK132" s="13">
        <f>IF(KB132=1,$KB$35,$KB$36)</f>
        <v>0</v>
      </c>
      <c r="KL132" s="13">
        <f>OCC_DAYS*$KB$41*R_NF_2023-KD132*MCD_SHARE_FREED*R_WAIT_2023</f>
        <v>94673.82103225985</v>
      </c>
      <c r="KM132">
        <f>IF($A132&lt;=$KB$45,1,0)</f>
        <v>0</v>
      </c>
      <c r="LB132">
        <f>IF($LB$31&lt;=$LB$32,IF($A132&lt;=$LB$7,1,2),IF($A132&lt;=RUNG_BEDS_2,2,1))</f>
        <v>1</v>
      </c>
      <c r="LC132" s="5">
        <f>MIN(1,MAX(0,$LB$26-($A132-1)))</f>
        <v>1</v>
      </c>
      <c r="LD132" s="5">
        <f>$LB$25*(LC132+(1-LC132)*$LB$16)</f>
        <v>84.01774238227146</v>
      </c>
      <c r="LE132" s="13">
        <f>LD132*($LB$6+ACUTE_MARGIN)</f>
        <v>84857.91980609419</v>
      </c>
      <c r="LF132" s="13">
        <f>IF(LB132=1,$LB$31,$LB$32)</f>
        <v>152394.16214437486</v>
      </c>
      <c r="LG132" s="13">
        <f>LE132-LF132</f>
        <v>-67536.24233828067</v>
      </c>
      <c r="LH132" s="13">
        <f>LH131+LG132</f>
        <v>-3309275.8745757528</v>
      </c>
      <c r="LI132">
        <f>IF(LH132=MAX($LH$83:$LH$483),$A132,0)</f>
        <v>0</v>
      </c>
      <c r="LJ132">
        <f>IF(LE132&lt;LF132,$A132,B_MAX+1)</f>
        <v>49</v>
      </c>
      <c r="LK132" s="13">
        <f>IF(LB132=1,$LB$35,$LB$36)</f>
        <v>0</v>
      </c>
      <c r="LL132" s="13">
        <f>OCC_DAYS*$LB$41*R_NF_2023-LD132*MCD_SHARE_FREED*R_WAIT_2023</f>
        <v>113776.04162887059</v>
      </c>
      <c r="LM132">
        <f>IF($A132&lt;=$LB$45,1,0)</f>
        <v>0</v>
      </c>
      <c r="MB132">
        <f>IF($MB$31&lt;=$MB$32,IF($A132&lt;=$MB$7,1,2),IF($A132&lt;=RUNG_BEDS_2,2,1))</f>
        <v>1</v>
      </c>
      <c r="MC132" s="5">
        <f>MIN(1,MAX(0,$MB$26-($A132-1)))</f>
        <v>1</v>
      </c>
      <c r="MD132" s="5">
        <f>$MB$25*(MC132+(1-MC132)*$MB$16)</f>
        <v>213.44610951008647</v>
      </c>
      <c r="ME132" s="13">
        <f>MD132*($MB$6+ACUTE_MARGIN)</f>
        <v>215580.57060518733</v>
      </c>
      <c r="MF132" s="13">
        <f>IF(MB132=1,$MB$31,$MB$32)</f>
        <v>152394.16214437486</v>
      </c>
      <c r="MG132" s="13">
        <f>ME132-MF132</f>
        <v>63186.40846081247</v>
      </c>
      <c r="MH132" s="13">
        <f>MH131+MG132</f>
        <v>3096134.014579812</v>
      </c>
      <c r="MI132">
        <f>IF(MH132=MAX($MH$83:$MH$483),$A132,0)</f>
        <v>0</v>
      </c>
      <c r="MJ132">
        <f>IF(ME132&lt;MF132,$A132,B_MAX+1)</f>
        <v>401.0</v>
      </c>
      <c r="MK132" s="13">
        <f>IF(MB132=1,$MB$35,$MB$36)</f>
        <v>0</v>
      </c>
      <c r="ML132" s="13">
        <f>OCC_DAYS*$MB$41*R_NF_2023-MD132*MCD_SHARE_FREED*R_WAIT_2023</f>
        <v>54922.538779778624</v>
      </c>
      <c r="MM132">
        <f>IF($A132&lt;=$MB$45,1,0)</f>
        <v>1</v>
      </c>
      <c r="NB132">
        <f>IF($NB$31&lt;=$NB$32,IF($A132&lt;=$NB$7,1,2),IF($A132&lt;=RUNG_BEDS_2,2,1))</f>
        <v>1</v>
      </c>
      <c r="NC132" s="5">
        <f>MIN(1,MAX(0,$NB$26-($A132-1)))</f>
        <v>1</v>
      </c>
      <c r="ND132" s="5">
        <f>$NB$25*(NC132+(1-NC132)*$NB$16)</f>
        <v>252.05322714681438</v>
      </c>
      <c r="NE132" s="13">
        <f>ND132*($NB$6+ACUTE_MARGIN)</f>
        <v>254573.7594182825</v>
      </c>
      <c r="NF132" s="13">
        <f>IF(NB132=1,$NB$31,$NB$32)</f>
        <v>152394.16214437486</v>
      </c>
      <c r="NG132" s="13">
        <f>NE132-NF132</f>
        <v>102179.59727390765</v>
      </c>
      <c r="NH132" s="13">
        <f>NH131+NG132</f>
        <v>5006800.2664214745</v>
      </c>
      <c r="NI132">
        <f>IF(NH132=MAX($NH$83:$NH$483),$A132,0)</f>
        <v>0</v>
      </c>
      <c r="NJ132">
        <f>IF(NE132&lt;NF132,$A132,B_MAX+1)</f>
        <v>401.0</v>
      </c>
      <c r="NK132" s="13">
        <f>IF(NB132=1,$NB$35,$NB$36)</f>
        <v>0</v>
      </c>
      <c r="NL132" s="13">
        <f>OCC_DAYS*$NB$41*R_NF_2023-ND132*MCD_SHARE_FREED*R_WAIT_2023</f>
        <v>37367.159242427646</v>
      </c>
      <c r="NM132">
        <f>IF($A132&lt;=$NB$45,1,0)</f>
        <v>1</v>
      </c>
      <c r="OB132">
        <f>IF($OB$31&lt;=$OB$32,IF($A132&lt;=$OB$7,1,2),IF($A132&lt;=RUNG_BEDS_2,2,1))</f>
        <v>1</v>
      </c>
      <c r="OC132" s="5">
        <f>MIN(1,MAX(0,$OB$26-($A132-1)))</f>
        <v>1</v>
      </c>
      <c r="OD132" s="5">
        <f>$OB$25*(OC132+(1-OC132)*$OB$16)</f>
        <v>252.05322714681438</v>
      </c>
      <c r="OE132" s="13">
        <f>OD132*($OB$6+ACUTE_MARGIN)</f>
        <v>254573.7594182825</v>
      </c>
      <c r="OF132" s="13">
        <f>IF(OB132=1,$OB$31,$OB$32)</f>
        <v>152394.16214437486</v>
      </c>
      <c r="OG132" s="13">
        <f>OE132-OF132</f>
        <v>102179.59727390765</v>
      </c>
      <c r="OH132" s="13">
        <f>OH131+OG132</f>
        <v>5006800.2664214745</v>
      </c>
      <c r="OI132">
        <f>IF(OH132=MAX($OH$83:$OH$483),$A132,0)</f>
        <v>0</v>
      </c>
      <c r="OJ132">
        <f>IF(OE132&lt;OF132,$A132,B_MAX+1)</f>
        <v>401.0</v>
      </c>
      <c r="OK132" s="13">
        <f>IF(OB132=1,$OB$35,$OB$36)</f>
        <v>0</v>
      </c>
      <c r="OL132" s="13">
        <f>OCC_DAYS*$OB$41*R_NF_2023-OD132*MCD_SHARE_FREED*R_WAIT_2023</f>
        <v>37367.159242427646</v>
      </c>
      <c r="OM132">
        <f>IF($A132&lt;=$OB$45,1,0)</f>
        <v>1</v>
      </c>
    </row>
    <row r="133">
      <c r="A133" t="n">
        <v>50</v>
      </c>
      <c r="B133">
        <f>IF($B$31&lt;=$B$32,IF($A133&lt;=$B$7,1,2),IF($A133&lt;=RUNG_BEDS_2,2,1))</f>
        <v>1</v>
      </c>
      <c r="C133" s="5">
        <f>MIN(1,MAX(0,$B$26-($A133-1)))</f>
        <v>1</v>
      </c>
      <c r="D133" s="5">
        <f>$B$25*(C133+(1-C133)*$B$16)</f>
        <v>252.05322714681438</v>
      </c>
      <c r="E133" s="13">
        <f>D133*($B$6+ACUTE_MARGIN)</f>
        <v>254573.7594182825</v>
      </c>
      <c r="F133" s="13">
        <f>IF(B133=1,$B$31,$B$32)</f>
        <v>152394.16214437486</v>
      </c>
      <c r="G133" s="13">
        <f>E133-F133</f>
        <v>102179.59727390765</v>
      </c>
      <c r="H133" s="13">
        <f>H132+G133</f>
        <v>5108979.863695382</v>
      </c>
      <c r="I133">
        <f>IF(H133=MAX($H$83:$H$483),$A133,0)</f>
        <v>0</v>
      </c>
      <c r="J133">
        <f>IF(E133&lt;F133,$A133,B_MAX+1)</f>
        <v>401.0</v>
      </c>
      <c r="K133" s="13">
        <f>IF(B133=1,$B$35,$B$36)</f>
        <v>0</v>
      </c>
      <c r="L133" s="13">
        <f>OCC_DAYS*$B$41*R_NF_2023-D133*MCD_SHARE_FREED*R_WAIT_2023</f>
        <v>37367.159242427646</v>
      </c>
      <c r="M133">
        <f>IF($A133&lt;=$B$45,1,0)</f>
        <v>1</v>
      </c>
      <c r="AB133">
        <f>IF($AB$31&lt;=$AB$32,IF($A133&lt;=$AB$7,1,2),IF($A133&lt;=RUNG_BEDS_2,2,1))</f>
        <v>1</v>
      </c>
      <c r="AC133" s="5">
        <f>MIN(1,MAX(0,$AB$26-($A133-1)))</f>
        <v>1</v>
      </c>
      <c r="AD133" s="5">
        <f>$AB$25*(AC133+(1-AC133)*$AB$16)</f>
        <v>252.05322714681438</v>
      </c>
      <c r="AE133" s="13">
        <f>AD133*($AB$6+ACUTE_MARGIN)</f>
        <v>138629.2749307479</v>
      </c>
      <c r="AF133" s="13">
        <f>IF(AB133=1,$AB$31,$AB$32)</f>
        <v>152394.16214437486</v>
      </c>
      <c r="AG133" s="13">
        <f>AE133-AF133</f>
        <v>-13764.887213626964</v>
      </c>
      <c r="AH133" s="13">
        <f>AH132+AG133</f>
        <v>-688244.3606813491</v>
      </c>
      <c r="AI133">
        <f>IF(AH133=MAX($AH$83:$AH$483),$A133,0)</f>
        <v>0</v>
      </c>
      <c r="AJ133">
        <f>IF(AE133&lt;AF133,$A133,B_MAX+1)</f>
        <v>50</v>
      </c>
      <c r="AK133" s="13">
        <f>IF(AB133=1,$AB$35,$AB$36)</f>
        <v>0</v>
      </c>
      <c r="AL133" s="13">
        <f>OCC_DAYS*$AB$41*R_NF_2023-AD133*MCD_SHARE_FREED*R_WAIT_2023</f>
        <v>37367.159242427646</v>
      </c>
      <c r="AM133">
        <f>IF($A133&lt;=$AB$45,1,0)</f>
        <v>0</v>
      </c>
      <c r="BB133">
        <f>IF($BB$31&lt;=$BB$32,IF($A133&lt;=$BB$7,1,2),IF($A133&lt;=RUNG_BEDS_2,2,1))</f>
        <v>1</v>
      </c>
      <c r="BC133" s="5">
        <f>MIN(1,MAX(0,$BB$26-($A133-1)))</f>
        <v>1</v>
      </c>
      <c r="BD133" s="5">
        <f>$BB$25*(BC133+(1-BC133)*$BB$16)</f>
        <v>252.05322714681438</v>
      </c>
      <c r="BE133" s="13">
        <f>BD133*($BB$6+ACUTE_MARGIN)</f>
        <v>370518.24390581716</v>
      </c>
      <c r="BF133" s="13">
        <f>IF(BB133=1,$BB$31,$BB$32)</f>
        <v>152394.16214437486</v>
      </c>
      <c r="BG133" s="13">
        <f>BE133-BF133</f>
        <v>218124.0817614423</v>
      </c>
      <c r="BH133" s="13">
        <f>BH132+BG133</f>
        <v>10906204.088072108</v>
      </c>
      <c r="BI133">
        <f>IF(BH133=MAX($BH$83:$BH$483),$A133,0)</f>
        <v>0</v>
      </c>
      <c r="BJ133">
        <f>IF(BE133&lt;BF133,$A133,B_MAX+1)</f>
        <v>401.0</v>
      </c>
      <c r="BK133" s="13">
        <f>IF(BB133=1,$BB$35,$BB$36)</f>
        <v>0</v>
      </c>
      <c r="BL133" s="13">
        <f>OCC_DAYS*$BB$41*R_NF_2023-BD133*MCD_SHARE_FREED*R_WAIT_2023</f>
        <v>37367.159242427646</v>
      </c>
      <c r="BM133">
        <f>IF($A133&lt;=$BB$45,1,0)</f>
        <v>1</v>
      </c>
      <c r="CB133">
        <f>IF($CB$31&lt;=$CB$32,IF($A133&lt;=$CB$7,1,2),IF($A133&lt;=RUNG_BEDS_2,2,1))</f>
        <v>2</v>
      </c>
      <c r="CC133" s="5">
        <f>MIN(1,MAX(0,$CB$26-($A133-1)))</f>
        <v>1</v>
      </c>
      <c r="CD133" s="5">
        <f>$CB$25*(CC133+(1-CC133)*$CB$16)</f>
        <v>252.05322714681438</v>
      </c>
      <c r="CE133" s="13">
        <f>CD133*($CB$6+ACUTE_MARGIN)</f>
        <v>254573.7594182825</v>
      </c>
      <c r="CF133" s="13">
        <f>IF(CB133=1,$CB$31,$CB$32)</f>
        <v>160718.36940738867</v>
      </c>
      <c r="CG133" s="13">
        <f>CE133-CF133</f>
        <v>93855.39001089384</v>
      </c>
      <c r="CH133" s="13">
        <f>CH132+CG133</f>
        <v>4692769.500544693</v>
      </c>
      <c r="CI133">
        <f>IF(CH133=MAX($CH$83:$CH$483),$A133,0)</f>
        <v>0</v>
      </c>
      <c r="CJ133">
        <f>IF(CE133&lt;CF133,$A133,B_MAX+1)</f>
        <v>401.0</v>
      </c>
      <c r="CK133" s="13">
        <f>IF(CB133=1,$CB$35,$CB$36)</f>
        <v>1560.1194073886782</v>
      </c>
      <c r="CL133" s="13">
        <f>OCC_DAYS*$CB$41*R_NF_2023-CD133*MCD_SHARE_FREED*R_WAIT_2023</f>
        <v>37367.159242427646</v>
      </c>
      <c r="CM133">
        <f>IF($A133&lt;=$CB$45,1,0)</f>
        <v>1</v>
      </c>
      <c r="DB133">
        <f>IF($DB$31&lt;=$DB$32,IF($A133&lt;=$DB$7,1,2),IF($A133&lt;=RUNG_BEDS_2,2,1))</f>
        <v>1</v>
      </c>
      <c r="DC133" s="5">
        <f>MIN(1,MAX(0,$DB$26-($A133-1)))</f>
        <v>1</v>
      </c>
      <c r="DD133" s="5">
        <f>$DB$25*(DC133+(1-DC133)*$DB$16)</f>
        <v>252.05322714681438</v>
      </c>
      <c r="DE133" s="13">
        <f>DD133*($DB$6+ACUTE_MARGIN)</f>
        <v>254573.7594182825</v>
      </c>
      <c r="DF133" s="13">
        <f>IF(DB133=1,$DB$31,$DB$32)</f>
        <v>152394.16214437486</v>
      </c>
      <c r="DG133" s="13">
        <f>DE133-DF133</f>
        <v>102179.59727390765</v>
      </c>
      <c r="DH133" s="13">
        <f>DH132+DG133</f>
        <v>5108979.863695382</v>
      </c>
      <c r="DI133">
        <f>IF(DH133=MAX($DH$83:$DH$483),$A133,0)</f>
        <v>0</v>
      </c>
      <c r="DJ133">
        <f>IF(DE133&lt;DF133,$A133,B_MAX+1)</f>
        <v>401.0</v>
      </c>
      <c r="DK133" s="13">
        <f>IF(DB133=1,$DB$35,$DB$36)</f>
        <v>0</v>
      </c>
      <c r="DL133" s="13">
        <f>OCC_DAYS*$DB$41*R_NF_2023-DD133*MCD_SHARE_FREED*R_WAIT_2023</f>
        <v>37367.159242427646</v>
      </c>
      <c r="DM133">
        <f>IF($A133&lt;=$DB$45,1,0)</f>
        <v>1</v>
      </c>
      <c r="EB133">
        <f>IF($EB$31&lt;=$EB$32,IF($A133&lt;=$EB$7,1,2),IF($A133&lt;=RUNG_BEDS_2,2,1))</f>
        <v>1</v>
      </c>
      <c r="EC133" s="5">
        <f>MIN(1,MAX(0,$EB$26-($A133-1)))</f>
        <v>1</v>
      </c>
      <c r="ED133" s="5">
        <f>$EB$25*(EC133+(1-EC133)*$EB$16)</f>
        <v>252.05322714681438</v>
      </c>
      <c r="EE133" s="13">
        <f>ED133*($EB$6+ACUTE_MARGIN)</f>
        <v>254573.7594182825</v>
      </c>
      <c r="EF133" s="13">
        <f>IF(EB133=1,$EB$31,$EB$32)</f>
        <v>152394.16214437486</v>
      </c>
      <c r="EG133" s="13">
        <f>EE133-EF133</f>
        <v>102179.59727390765</v>
      </c>
      <c r="EH133" s="13">
        <f>EH132+EG133</f>
        <v>5108979.863695382</v>
      </c>
      <c r="EI133">
        <f>IF(EH133=MAX($EH$83:$EH$483),$A133,0)</f>
        <v>0</v>
      </c>
      <c r="EJ133">
        <f>IF(EE133&lt;EF133,$A133,B_MAX+1)</f>
        <v>401.0</v>
      </c>
      <c r="EK133" s="13">
        <f>IF(EB133=1,$EB$35,$EB$36)</f>
        <v>0</v>
      </c>
      <c r="EL133" s="13">
        <f>OCC_DAYS*$EB$41*R_NF_2023-ED133*MCD_SHARE_FREED*R_WAIT_2023</f>
        <v>-63953.16263896705</v>
      </c>
      <c r="EM133">
        <f>IF($A133&lt;=$EB$45,1,0)</f>
        <v>1</v>
      </c>
      <c r="FB133">
        <f>IF($FB$31&lt;=$FB$32,IF($A133&lt;=$FB$7,1,2),IF($A133&lt;=RUNG_BEDS_2,2,1))</f>
        <v>1</v>
      </c>
      <c r="FC133" s="5">
        <f>MIN(1,MAX(0,$FB$26-($A133-1)))</f>
        <v>1</v>
      </c>
      <c r="FD133" s="5">
        <f>$FB$25*(FC133+(1-FC133)*$FB$16)</f>
        <v>252.05322714681438</v>
      </c>
      <c r="FE133" s="13">
        <f>FD133*($FB$6+ACUTE_MARGIN)</f>
        <v>254573.7594182825</v>
      </c>
      <c r="FF133" s="13">
        <f>IF(FB133=1,$FB$31,$FB$32)</f>
        <v>156636.04979437485</v>
      </c>
      <c r="FG133" s="13">
        <f>FE133-FF133</f>
        <v>97937.70962390766</v>
      </c>
      <c r="FH133" s="13">
        <f>FH132+FG133</f>
        <v>4896885.481195384</v>
      </c>
      <c r="FI133">
        <f>IF(FH133=MAX($FH$83:$FH$483),$A133,0)</f>
        <v>0</v>
      </c>
      <c r="FJ133">
        <f>IF(FE133&lt;FF133,$A133,B_MAX+1)</f>
        <v>401.0</v>
      </c>
      <c r="FK133" s="13">
        <f>IF(FB133=1,$FB$35,$FB$36)</f>
        <v>0</v>
      </c>
      <c r="FL133" s="13">
        <f>OCC_DAYS*$FB$41*R_NF_2023-FD133*MCD_SHARE_FREED*R_WAIT_2023</f>
        <v>37367.159242427646</v>
      </c>
      <c r="FM133">
        <f>IF($A133&lt;=$FB$45,1,0)</f>
        <v>1</v>
      </c>
      <c r="GB133">
        <f>IF($GB$31&lt;=$GB$32,IF($A133&lt;=$GB$7,1,2),IF($A133&lt;=RUNG_BEDS_2,2,1))</f>
        <v>1</v>
      </c>
      <c r="GC133" s="5">
        <f>MIN(1,MAX(0,$GB$26-($A133-1)))</f>
        <v>1</v>
      </c>
      <c r="GD133" s="5">
        <f>$GB$25*(GC133+(1-GC133)*$GB$16)</f>
        <v>252.05322714681438</v>
      </c>
      <c r="GE133" s="13">
        <f>GD133*($GB$6+ACUTE_MARGIN)</f>
        <v>254573.7594182825</v>
      </c>
      <c r="GF133" s="13">
        <f>IF(GB133=1,$GB$31,$GB$32)</f>
        <v>152394.16214437486</v>
      </c>
      <c r="GG133" s="13">
        <f>GE133-GF133</f>
        <v>102179.59727390765</v>
      </c>
      <c r="GH133" s="13">
        <f>GH132+GG133</f>
        <v>5108979.863695382</v>
      </c>
      <c r="GI133">
        <f>IF(GH133=MAX($GH$83:$GH$483),$A133,0)</f>
        <v>0</v>
      </c>
      <c r="GJ133">
        <f>IF(GE133&lt;GF133,$A133,B_MAX+1)</f>
        <v>401.0</v>
      </c>
      <c r="GK133" s="13">
        <f>IF(GB133=1,$GB$35,$GB$36)</f>
        <v>0</v>
      </c>
      <c r="GL133" s="13">
        <f>OCC_DAYS*$GB$41*R_NF_2023-GD133*MCD_SHARE_FREED*R_WAIT_2023</f>
        <v>37367.159242427646</v>
      </c>
      <c r="GM133">
        <f>IF($A133&lt;=$GB$45,1,0)</f>
        <v>1</v>
      </c>
      <c r="HB133">
        <f>IF($HB$31&lt;=$HB$32,IF($A133&lt;=$HB$7,1,2),IF($A133&lt;=RUNG_BEDS_2,2,1))</f>
        <v>1</v>
      </c>
      <c r="HC133" s="5">
        <f>MIN(1,MAX(0,$HB$26-($A133-1)))</f>
        <v>1</v>
      </c>
      <c r="HD133" s="5">
        <f>$HB$25*(HC133+(1-HC133)*$HB$16)</f>
        <v>252.05322714681438</v>
      </c>
      <c r="HE133" s="13">
        <f>HD133*($HB$6+ACUTE_MARGIN)</f>
        <v>254573.7594182825</v>
      </c>
      <c r="HF133" s="13">
        <f>IF(HB133=1,$HB$31,$HB$32)</f>
        <v>152456.2970814058</v>
      </c>
      <c r="HG133" s="13">
        <f>HE133-HF133</f>
        <v>102117.46233687672</v>
      </c>
      <c r="HH133" s="13">
        <f>HH132+HG133</f>
        <v>5105873.116843836</v>
      </c>
      <c r="HI133">
        <f>IF(HH133=MAX($HH$83:$HH$483),$A133,0)</f>
        <v>0</v>
      </c>
      <c r="HJ133">
        <f>IF(HE133&lt;HF133,$A133,B_MAX+1)</f>
        <v>401.0</v>
      </c>
      <c r="HK133" s="13">
        <f>IF(HB133=1,$HB$35,$HB$36)</f>
        <v>0</v>
      </c>
      <c r="HL133" s="13">
        <f>OCC_DAYS*$HB$41*R_NF_2023-HD133*MCD_SHARE_FREED*R_WAIT_2023</f>
        <v>37367.159242427646</v>
      </c>
      <c r="HM133">
        <f>IF($A133&lt;=$HB$45,1,0)</f>
        <v>1</v>
      </c>
      <c r="IB133">
        <f>IF($IB$31&lt;=$IB$32,IF($A133&lt;=$IB$7,1,2),IF($A133&lt;=RUNG_BEDS_2,2,1))</f>
        <v>1</v>
      </c>
      <c r="IC133" s="5">
        <f>MIN(1,MAX(0,$IB$26-($A133-1)))</f>
        <v>1</v>
      </c>
      <c r="ID133" s="5">
        <f>$IB$25*(IC133+(1-IC133)*$IB$16)</f>
        <v>252.05322714681438</v>
      </c>
      <c r="IE133" s="13">
        <f>ID133*($IB$6+ACUTE_MARGIN)</f>
        <v>254573.7594182825</v>
      </c>
      <c r="IF133" s="13">
        <f>IF(IB133=1,$IB$31,$IB$32)</f>
        <v>152734.9994534971</v>
      </c>
      <c r="IG133" s="13">
        <f>IE133-IF133</f>
        <v>101838.75996478542</v>
      </c>
      <c r="IH133" s="13">
        <f>IH132+IG133</f>
        <v>5091937.998239275</v>
      </c>
      <c r="II133">
        <f>IF(IH133=MAX($IH$83:$IH$483),$A133,0)</f>
        <v>0</v>
      </c>
      <c r="IJ133">
        <f>IF(IE133&lt;IF133,$A133,B_MAX+1)</f>
        <v>401.0</v>
      </c>
      <c r="IK133" s="13">
        <f>IF(IB133=1,$IB$35,$IB$36)</f>
        <v>0</v>
      </c>
      <c r="IL133" s="13">
        <f>OCC_DAYS*$IB$41*R_NF_2023-ID133*MCD_SHARE_FREED*R_WAIT_2023</f>
        <v>37367.159242427646</v>
      </c>
      <c r="IM133">
        <f>IF($A133&lt;=$IB$45,1,0)</f>
        <v>1</v>
      </c>
      <c r="JB133">
        <f>IF($JB$31&lt;=$JB$32,IF($A133&lt;=$JB$7,1,2),IF($A133&lt;=RUNG_BEDS_2,2,1))</f>
        <v>1</v>
      </c>
      <c r="JC133" s="5">
        <f>MIN(1,MAX(0,$JB$26-($A133-1)))</f>
        <v>1</v>
      </c>
      <c r="JD133" s="5">
        <f>$JB$25*(JC133+(1-JC133)*$JB$16)</f>
        <v>252.05322714681438</v>
      </c>
      <c r="JE133" s="13">
        <f>JD133*($JB$6+ACUTE_MARGIN)</f>
        <v>254573.7594182825</v>
      </c>
      <c r="JF133" s="13">
        <f>IF(JB133=1,$JB$31,$JB$32)</f>
        <v>152394.16214437486</v>
      </c>
      <c r="JG133" s="13">
        <f>JE133-JF133</f>
        <v>102179.59727390765</v>
      </c>
      <c r="JH133" s="13">
        <f>JH132+JG133</f>
        <v>5108979.863695382</v>
      </c>
      <c r="JI133">
        <f>IF(JH133=MAX($JH$83:$JH$483),$A133,0)</f>
        <v>0</v>
      </c>
      <c r="JJ133">
        <f>IF(JE133&lt;JF133,$A133,B_MAX+1)</f>
        <v>401.0</v>
      </c>
      <c r="JK133" s="13">
        <f>IF(JB133=1,$JB$35,$JB$36)</f>
        <v>0</v>
      </c>
      <c r="JL133" s="13">
        <f>OCC_DAYS*$JB$41*R_NF_2023-JD133*MCD_SHARE_FREED*R_WAIT_2023</f>
        <v>37367.159242427646</v>
      </c>
      <c r="JM133">
        <f>IF($A133&lt;=$JB$45,1,0)</f>
        <v>1</v>
      </c>
      <c r="KB133">
        <f>IF($KB$31&lt;=$KB$32,IF($A133&lt;=$KB$7,1,2),IF($A133&lt;=RUNG_BEDS_2,2,1))</f>
        <v>1</v>
      </c>
      <c r="KC133" s="5">
        <f>MIN(1,MAX(0,$KB$26-($A133-1)))</f>
        <v>1</v>
      </c>
      <c r="KD133" s="5">
        <f>$KB$25*(KC133+(1-KC133)*$KB$16)</f>
        <v>126.02661357340719</v>
      </c>
      <c r="KE133" s="13">
        <f>KD133*($KB$6+ACUTE_MARGIN)</f>
        <v>127286.87970914126</v>
      </c>
      <c r="KF133" s="13">
        <f>IF(KB133=1,$KB$31,$KB$32)</f>
        <v>152394.16214437486</v>
      </c>
      <c r="KG133" s="13">
        <f>KE133-KF133</f>
        <v>-25107.282435233603</v>
      </c>
      <c r="KH133" s="13">
        <f>KH132+KG133</f>
        <v>-1255364.1217616806</v>
      </c>
      <c r="KI133">
        <f>IF(KH133=MAX($KH$83:$KH$483),$A133,0)</f>
        <v>0</v>
      </c>
      <c r="KJ133">
        <f>IF(KE133&lt;KF133,$A133,B_MAX+1)</f>
        <v>50</v>
      </c>
      <c r="KK133" s="13">
        <f>IF(KB133=1,$KB$35,$KB$36)</f>
        <v>0</v>
      </c>
      <c r="KL133" s="13">
        <f>OCC_DAYS*$KB$41*R_NF_2023-KD133*MCD_SHARE_FREED*R_WAIT_2023</f>
        <v>94673.82103225985</v>
      </c>
      <c r="KM133">
        <f>IF($A133&lt;=$KB$45,1,0)</f>
        <v>0</v>
      </c>
      <c r="LB133">
        <f>IF($LB$31&lt;=$LB$32,IF($A133&lt;=$LB$7,1,2),IF($A133&lt;=RUNG_BEDS_2,2,1))</f>
        <v>1</v>
      </c>
      <c r="LC133" s="5">
        <f>MIN(1,MAX(0,$LB$26-($A133-1)))</f>
        <v>1</v>
      </c>
      <c r="LD133" s="5">
        <f>$LB$25*(LC133+(1-LC133)*$LB$16)</f>
        <v>84.01774238227146</v>
      </c>
      <c r="LE133" s="13">
        <f>LD133*($LB$6+ACUTE_MARGIN)</f>
        <v>84857.91980609419</v>
      </c>
      <c r="LF133" s="13">
        <f>IF(LB133=1,$LB$31,$LB$32)</f>
        <v>152394.16214437486</v>
      </c>
      <c r="LG133" s="13">
        <f>LE133-LF133</f>
        <v>-67536.24233828067</v>
      </c>
      <c r="LH133" s="13">
        <f>LH132+LG133</f>
        <v>-3376812.1169140334</v>
      </c>
      <c r="LI133">
        <f>IF(LH133=MAX($LH$83:$LH$483),$A133,0)</f>
        <v>0</v>
      </c>
      <c r="LJ133">
        <f>IF(LE133&lt;LF133,$A133,B_MAX+1)</f>
        <v>50</v>
      </c>
      <c r="LK133" s="13">
        <f>IF(LB133=1,$LB$35,$LB$36)</f>
        <v>0</v>
      </c>
      <c r="LL133" s="13">
        <f>OCC_DAYS*$LB$41*R_NF_2023-LD133*MCD_SHARE_FREED*R_WAIT_2023</f>
        <v>113776.04162887059</v>
      </c>
      <c r="LM133">
        <f>IF($A133&lt;=$LB$45,1,0)</f>
        <v>0</v>
      </c>
      <c r="MB133">
        <f>IF($MB$31&lt;=$MB$32,IF($A133&lt;=$MB$7,1,2),IF($A133&lt;=RUNG_BEDS_2,2,1))</f>
        <v>1</v>
      </c>
      <c r="MC133" s="5">
        <f>MIN(1,MAX(0,$MB$26-($A133-1)))</f>
        <v>1</v>
      </c>
      <c r="MD133" s="5">
        <f>$MB$25*(MC133+(1-MC133)*$MB$16)</f>
        <v>213.44610951008647</v>
      </c>
      <c r="ME133" s="13">
        <f>MD133*($MB$6+ACUTE_MARGIN)</f>
        <v>215580.57060518733</v>
      </c>
      <c r="MF133" s="13">
        <f>IF(MB133=1,$MB$31,$MB$32)</f>
        <v>152394.16214437486</v>
      </c>
      <c r="MG133" s="13">
        <f>ME133-MF133</f>
        <v>63186.40846081247</v>
      </c>
      <c r="MH133" s="13">
        <f>MH132+MG133</f>
        <v>3159320.4230406247</v>
      </c>
      <c r="MI133">
        <f>IF(MH133=MAX($MH$83:$MH$483),$A133,0)</f>
        <v>0</v>
      </c>
      <c r="MJ133">
        <f>IF(ME133&lt;MF133,$A133,B_MAX+1)</f>
        <v>401.0</v>
      </c>
      <c r="MK133" s="13">
        <f>IF(MB133=1,$MB$35,$MB$36)</f>
        <v>0</v>
      </c>
      <c r="ML133" s="13">
        <f>OCC_DAYS*$MB$41*R_NF_2023-MD133*MCD_SHARE_FREED*R_WAIT_2023</f>
        <v>54922.538779778624</v>
      </c>
      <c r="MM133">
        <f>IF($A133&lt;=$MB$45,1,0)</f>
        <v>1</v>
      </c>
      <c r="NB133">
        <f>IF($NB$31&lt;=$NB$32,IF($A133&lt;=$NB$7,1,2),IF($A133&lt;=RUNG_BEDS_2,2,1))</f>
        <v>1</v>
      </c>
      <c r="NC133" s="5">
        <f>MIN(1,MAX(0,$NB$26-($A133-1)))</f>
        <v>1</v>
      </c>
      <c r="ND133" s="5">
        <f>$NB$25*(NC133+(1-NC133)*$NB$16)</f>
        <v>252.05322714681438</v>
      </c>
      <c r="NE133" s="13">
        <f>ND133*($NB$6+ACUTE_MARGIN)</f>
        <v>254573.7594182825</v>
      </c>
      <c r="NF133" s="13">
        <f>IF(NB133=1,$NB$31,$NB$32)</f>
        <v>152394.16214437486</v>
      </c>
      <c r="NG133" s="13">
        <f>NE133-NF133</f>
        <v>102179.59727390765</v>
      </c>
      <c r="NH133" s="13">
        <f>NH132+NG133</f>
        <v>5108979.863695382</v>
      </c>
      <c r="NI133">
        <f>IF(NH133=MAX($NH$83:$NH$483),$A133,0)</f>
        <v>0</v>
      </c>
      <c r="NJ133">
        <f>IF(NE133&lt;NF133,$A133,B_MAX+1)</f>
        <v>401.0</v>
      </c>
      <c r="NK133" s="13">
        <f>IF(NB133=1,$NB$35,$NB$36)</f>
        <v>0</v>
      </c>
      <c r="NL133" s="13">
        <f>OCC_DAYS*$NB$41*R_NF_2023-ND133*MCD_SHARE_FREED*R_WAIT_2023</f>
        <v>37367.159242427646</v>
      </c>
      <c r="NM133">
        <f>IF($A133&lt;=$NB$45,1,0)</f>
        <v>1</v>
      </c>
      <c r="OB133">
        <f>IF($OB$31&lt;=$OB$32,IF($A133&lt;=$OB$7,1,2),IF($A133&lt;=RUNG_BEDS_2,2,1))</f>
        <v>1</v>
      </c>
      <c r="OC133" s="5">
        <f>MIN(1,MAX(0,$OB$26-($A133-1)))</f>
        <v>1</v>
      </c>
      <c r="OD133" s="5">
        <f>$OB$25*(OC133+(1-OC133)*$OB$16)</f>
        <v>252.05322714681438</v>
      </c>
      <c r="OE133" s="13">
        <f>OD133*($OB$6+ACUTE_MARGIN)</f>
        <v>254573.7594182825</v>
      </c>
      <c r="OF133" s="13">
        <f>IF(OB133=1,$OB$31,$OB$32)</f>
        <v>152394.16214437486</v>
      </c>
      <c r="OG133" s="13">
        <f>OE133-OF133</f>
        <v>102179.59727390765</v>
      </c>
      <c r="OH133" s="13">
        <f>OH132+OG133</f>
        <v>5108979.863695382</v>
      </c>
      <c r="OI133">
        <f>IF(OH133=MAX($OH$83:$OH$483),$A133,0)</f>
        <v>0</v>
      </c>
      <c r="OJ133">
        <f>IF(OE133&lt;OF133,$A133,B_MAX+1)</f>
        <v>401.0</v>
      </c>
      <c r="OK133" s="13">
        <f>IF(OB133=1,$OB$35,$OB$36)</f>
        <v>0</v>
      </c>
      <c r="OL133" s="13">
        <f>OCC_DAYS*$OB$41*R_NF_2023-OD133*MCD_SHARE_FREED*R_WAIT_2023</f>
        <v>37367.159242427646</v>
      </c>
      <c r="OM133">
        <f>IF($A133&lt;=$OB$45,1,0)</f>
        <v>1</v>
      </c>
    </row>
    <row r="134">
      <c r="A134" t="n">
        <v>51</v>
      </c>
      <c r="B134">
        <f>IF($B$31&lt;=$B$32,IF($A134&lt;=$B$7,1,2),IF($A134&lt;=RUNG_BEDS_2,2,1))</f>
        <v>1</v>
      </c>
      <c r="C134" s="5">
        <f>MIN(1,MAX(0,$B$26-($A134-1)))</f>
        <v>1</v>
      </c>
      <c r="D134" s="5">
        <f>$B$25*(C134+(1-C134)*$B$16)</f>
        <v>252.05322714681438</v>
      </c>
      <c r="E134" s="13">
        <f>D134*($B$6+ACUTE_MARGIN)</f>
        <v>254573.7594182825</v>
      </c>
      <c r="F134" s="13">
        <f>IF(B134=1,$B$31,$B$32)</f>
        <v>152394.16214437486</v>
      </c>
      <c r="G134" s="13">
        <f>E134-F134</f>
        <v>102179.59727390765</v>
      </c>
      <c r="H134" s="13">
        <f>H133+G134</f>
        <v>5211159.46096929</v>
      </c>
      <c r="I134">
        <f>IF(H134=MAX($H$83:$H$483),$A134,0)</f>
        <v>0</v>
      </c>
      <c r="J134">
        <f>IF(E134&lt;F134,$A134,B_MAX+1)</f>
        <v>401.0</v>
      </c>
      <c r="K134" s="13">
        <f>IF(B134=1,$B$35,$B$36)</f>
        <v>0</v>
      </c>
      <c r="L134" s="13">
        <f>OCC_DAYS*$B$41*R_NF_2023-D134*MCD_SHARE_FREED*R_WAIT_2023</f>
        <v>37367.159242427646</v>
      </c>
      <c r="M134">
        <f>IF($A134&lt;=$B$45,1,0)</f>
        <v>1</v>
      </c>
      <c r="AB134">
        <f>IF($AB$31&lt;=$AB$32,IF($A134&lt;=$AB$7,1,2),IF($A134&lt;=RUNG_BEDS_2,2,1))</f>
        <v>1</v>
      </c>
      <c r="AC134" s="5">
        <f>MIN(1,MAX(0,$AB$26-($A134-1)))</f>
        <v>1</v>
      </c>
      <c r="AD134" s="5">
        <f>$AB$25*(AC134+(1-AC134)*$AB$16)</f>
        <v>252.05322714681438</v>
      </c>
      <c r="AE134" s="13">
        <f>AD134*($AB$6+ACUTE_MARGIN)</f>
        <v>138629.2749307479</v>
      </c>
      <c r="AF134" s="13">
        <f>IF(AB134=1,$AB$31,$AB$32)</f>
        <v>152394.16214437486</v>
      </c>
      <c r="AG134" s="13">
        <f>AE134-AF134</f>
        <v>-13764.887213626964</v>
      </c>
      <c r="AH134" s="13">
        <f>AH133+AG134</f>
        <v>-702009.247894976</v>
      </c>
      <c r="AI134">
        <f>IF(AH134=MAX($AH$83:$AH$483),$A134,0)</f>
        <v>0</v>
      </c>
      <c r="AJ134">
        <f>IF(AE134&lt;AF134,$A134,B_MAX+1)</f>
        <v>51</v>
      </c>
      <c r="AK134" s="13">
        <f>IF(AB134=1,$AB$35,$AB$36)</f>
        <v>0</v>
      </c>
      <c r="AL134" s="13">
        <f>OCC_DAYS*$AB$41*R_NF_2023-AD134*MCD_SHARE_FREED*R_WAIT_2023</f>
        <v>37367.159242427646</v>
      </c>
      <c r="AM134">
        <f>IF($A134&lt;=$AB$45,1,0)</f>
        <v>0</v>
      </c>
      <c r="BB134">
        <f>IF($BB$31&lt;=$BB$32,IF($A134&lt;=$BB$7,1,2),IF($A134&lt;=RUNG_BEDS_2,2,1))</f>
        <v>1</v>
      </c>
      <c r="BC134" s="5">
        <f>MIN(1,MAX(0,$BB$26-($A134-1)))</f>
        <v>1</v>
      </c>
      <c r="BD134" s="5">
        <f>$BB$25*(BC134+(1-BC134)*$BB$16)</f>
        <v>252.05322714681438</v>
      </c>
      <c r="BE134" s="13">
        <f>BD134*($BB$6+ACUTE_MARGIN)</f>
        <v>370518.24390581716</v>
      </c>
      <c r="BF134" s="13">
        <f>IF(BB134=1,$BB$31,$BB$32)</f>
        <v>152394.16214437486</v>
      </c>
      <c r="BG134" s="13">
        <f>BE134-BF134</f>
        <v>218124.0817614423</v>
      </c>
      <c r="BH134" s="13">
        <f>BH133+BG134</f>
        <v>11124328.16983355</v>
      </c>
      <c r="BI134">
        <f>IF(BH134=MAX($BH$83:$BH$483),$A134,0)</f>
        <v>0</v>
      </c>
      <c r="BJ134">
        <f>IF(BE134&lt;BF134,$A134,B_MAX+1)</f>
        <v>401.0</v>
      </c>
      <c r="BK134" s="13">
        <f>IF(BB134=1,$BB$35,$BB$36)</f>
        <v>0</v>
      </c>
      <c r="BL134" s="13">
        <f>OCC_DAYS*$BB$41*R_NF_2023-BD134*MCD_SHARE_FREED*R_WAIT_2023</f>
        <v>37367.159242427646</v>
      </c>
      <c r="BM134">
        <f>IF($A134&lt;=$BB$45,1,0)</f>
        <v>1</v>
      </c>
      <c r="CB134">
        <f>IF($CB$31&lt;=$CB$32,IF($A134&lt;=$CB$7,1,2),IF($A134&lt;=RUNG_BEDS_2,2,1))</f>
        <v>2</v>
      </c>
      <c r="CC134" s="5">
        <f>MIN(1,MAX(0,$CB$26-($A134-1)))</f>
        <v>1</v>
      </c>
      <c r="CD134" s="5">
        <f>$CB$25*(CC134+(1-CC134)*$CB$16)</f>
        <v>252.05322714681438</v>
      </c>
      <c r="CE134" s="13">
        <f>CD134*($CB$6+ACUTE_MARGIN)</f>
        <v>254573.7594182825</v>
      </c>
      <c r="CF134" s="13">
        <f>IF(CB134=1,$CB$31,$CB$32)</f>
        <v>160718.36940738867</v>
      </c>
      <c r="CG134" s="13">
        <f>CE134-CF134</f>
        <v>93855.39001089384</v>
      </c>
      <c r="CH134" s="13">
        <f>CH133+CG134</f>
        <v>4786624.890555588</v>
      </c>
      <c r="CI134">
        <f>IF(CH134=MAX($CH$83:$CH$483),$A134,0)</f>
        <v>0</v>
      </c>
      <c r="CJ134">
        <f>IF(CE134&lt;CF134,$A134,B_MAX+1)</f>
        <v>401.0</v>
      </c>
      <c r="CK134" s="13">
        <f>IF(CB134=1,$CB$35,$CB$36)</f>
        <v>1560.1194073886782</v>
      </c>
      <c r="CL134" s="13">
        <f>OCC_DAYS*$CB$41*R_NF_2023-CD134*MCD_SHARE_FREED*R_WAIT_2023</f>
        <v>37367.159242427646</v>
      </c>
      <c r="CM134">
        <f>IF($A134&lt;=$CB$45,1,0)</f>
        <v>1</v>
      </c>
      <c r="DB134">
        <f>IF($DB$31&lt;=$DB$32,IF($A134&lt;=$DB$7,1,2),IF($A134&lt;=RUNG_BEDS_2,2,1))</f>
        <v>1</v>
      </c>
      <c r="DC134" s="5">
        <f>MIN(1,MAX(0,$DB$26-($A134-1)))</f>
        <v>1</v>
      </c>
      <c r="DD134" s="5">
        <f>$DB$25*(DC134+(1-DC134)*$DB$16)</f>
        <v>252.05322714681438</v>
      </c>
      <c r="DE134" s="13">
        <f>DD134*($DB$6+ACUTE_MARGIN)</f>
        <v>254573.7594182825</v>
      </c>
      <c r="DF134" s="13">
        <f>IF(DB134=1,$DB$31,$DB$32)</f>
        <v>152394.16214437486</v>
      </c>
      <c r="DG134" s="13">
        <f>DE134-DF134</f>
        <v>102179.59727390765</v>
      </c>
      <c r="DH134" s="13">
        <f>DH133+DG134</f>
        <v>5211159.46096929</v>
      </c>
      <c r="DI134">
        <f>IF(DH134=MAX($DH$83:$DH$483),$A134,0)</f>
        <v>0</v>
      </c>
      <c r="DJ134">
        <f>IF(DE134&lt;DF134,$A134,B_MAX+1)</f>
        <v>401.0</v>
      </c>
      <c r="DK134" s="13">
        <f>IF(DB134=1,$DB$35,$DB$36)</f>
        <v>0</v>
      </c>
      <c r="DL134" s="13">
        <f>OCC_DAYS*$DB$41*R_NF_2023-DD134*MCD_SHARE_FREED*R_WAIT_2023</f>
        <v>37367.159242427646</v>
      </c>
      <c r="DM134">
        <f>IF($A134&lt;=$DB$45,1,0)</f>
        <v>1</v>
      </c>
      <c r="EB134">
        <f>IF($EB$31&lt;=$EB$32,IF($A134&lt;=$EB$7,1,2),IF($A134&lt;=RUNG_BEDS_2,2,1))</f>
        <v>1</v>
      </c>
      <c r="EC134" s="5">
        <f>MIN(1,MAX(0,$EB$26-($A134-1)))</f>
        <v>1</v>
      </c>
      <c r="ED134" s="5">
        <f>$EB$25*(EC134+(1-EC134)*$EB$16)</f>
        <v>252.05322714681438</v>
      </c>
      <c r="EE134" s="13">
        <f>ED134*($EB$6+ACUTE_MARGIN)</f>
        <v>254573.7594182825</v>
      </c>
      <c r="EF134" s="13">
        <f>IF(EB134=1,$EB$31,$EB$32)</f>
        <v>152394.16214437486</v>
      </c>
      <c r="EG134" s="13">
        <f>EE134-EF134</f>
        <v>102179.59727390765</v>
      </c>
      <c r="EH134" s="13">
        <f>EH133+EG134</f>
        <v>5211159.46096929</v>
      </c>
      <c r="EI134">
        <f>IF(EH134=MAX($EH$83:$EH$483),$A134,0)</f>
        <v>0</v>
      </c>
      <c r="EJ134">
        <f>IF(EE134&lt;EF134,$A134,B_MAX+1)</f>
        <v>401.0</v>
      </c>
      <c r="EK134" s="13">
        <f>IF(EB134=1,$EB$35,$EB$36)</f>
        <v>0</v>
      </c>
      <c r="EL134" s="13">
        <f>OCC_DAYS*$EB$41*R_NF_2023-ED134*MCD_SHARE_FREED*R_WAIT_2023</f>
        <v>-63953.16263896705</v>
      </c>
      <c r="EM134">
        <f>IF($A134&lt;=$EB$45,1,0)</f>
        <v>1</v>
      </c>
      <c r="FB134">
        <f>IF($FB$31&lt;=$FB$32,IF($A134&lt;=$FB$7,1,2),IF($A134&lt;=RUNG_BEDS_2,2,1))</f>
        <v>1</v>
      </c>
      <c r="FC134" s="5">
        <f>MIN(1,MAX(0,$FB$26-($A134-1)))</f>
        <v>1</v>
      </c>
      <c r="FD134" s="5">
        <f>$FB$25*(FC134+(1-FC134)*$FB$16)</f>
        <v>252.05322714681438</v>
      </c>
      <c r="FE134" s="13">
        <f>FD134*($FB$6+ACUTE_MARGIN)</f>
        <v>254573.7594182825</v>
      </c>
      <c r="FF134" s="13">
        <f>IF(FB134=1,$FB$31,$FB$32)</f>
        <v>156636.04979437485</v>
      </c>
      <c r="FG134" s="13">
        <f>FE134-FF134</f>
        <v>97937.70962390766</v>
      </c>
      <c r="FH134" s="13">
        <f>FH133+FG134</f>
        <v>4994823.190819291</v>
      </c>
      <c r="FI134">
        <f>IF(FH134=MAX($FH$83:$FH$483),$A134,0)</f>
        <v>0</v>
      </c>
      <c r="FJ134">
        <f>IF(FE134&lt;FF134,$A134,B_MAX+1)</f>
        <v>401.0</v>
      </c>
      <c r="FK134" s="13">
        <f>IF(FB134=1,$FB$35,$FB$36)</f>
        <v>0</v>
      </c>
      <c r="FL134" s="13">
        <f>OCC_DAYS*$FB$41*R_NF_2023-FD134*MCD_SHARE_FREED*R_WAIT_2023</f>
        <v>37367.159242427646</v>
      </c>
      <c r="FM134">
        <f>IF($A134&lt;=$FB$45,1,0)</f>
        <v>1</v>
      </c>
      <c r="GB134">
        <f>IF($GB$31&lt;=$GB$32,IF($A134&lt;=$GB$7,1,2),IF($A134&lt;=RUNG_BEDS_2,2,1))</f>
        <v>1</v>
      </c>
      <c r="GC134" s="5">
        <f>MIN(1,MAX(0,$GB$26-($A134-1)))</f>
        <v>1</v>
      </c>
      <c r="GD134" s="5">
        <f>$GB$25*(GC134+(1-GC134)*$GB$16)</f>
        <v>252.05322714681438</v>
      </c>
      <c r="GE134" s="13">
        <f>GD134*($GB$6+ACUTE_MARGIN)</f>
        <v>254573.7594182825</v>
      </c>
      <c r="GF134" s="13">
        <f>IF(GB134=1,$GB$31,$GB$32)</f>
        <v>152394.16214437486</v>
      </c>
      <c r="GG134" s="13">
        <f>GE134-GF134</f>
        <v>102179.59727390765</v>
      </c>
      <c r="GH134" s="13">
        <f>GH133+GG134</f>
        <v>5211159.46096929</v>
      </c>
      <c r="GI134">
        <f>IF(GH134=MAX($GH$83:$GH$483),$A134,0)</f>
        <v>0</v>
      </c>
      <c r="GJ134">
        <f>IF(GE134&lt;GF134,$A134,B_MAX+1)</f>
        <v>401.0</v>
      </c>
      <c r="GK134" s="13">
        <f>IF(GB134=1,$GB$35,$GB$36)</f>
        <v>0</v>
      </c>
      <c r="GL134" s="13">
        <f>OCC_DAYS*$GB$41*R_NF_2023-GD134*MCD_SHARE_FREED*R_WAIT_2023</f>
        <v>37367.159242427646</v>
      </c>
      <c r="GM134">
        <f>IF($A134&lt;=$GB$45,1,0)</f>
        <v>1</v>
      </c>
      <c r="HB134">
        <f>IF($HB$31&lt;=$HB$32,IF($A134&lt;=$HB$7,1,2),IF($A134&lt;=RUNG_BEDS_2,2,1))</f>
        <v>1</v>
      </c>
      <c r="HC134" s="5">
        <f>MIN(1,MAX(0,$HB$26-($A134-1)))</f>
        <v>1</v>
      </c>
      <c r="HD134" s="5">
        <f>$HB$25*(HC134+(1-HC134)*$HB$16)</f>
        <v>252.05322714681438</v>
      </c>
      <c r="HE134" s="13">
        <f>HD134*($HB$6+ACUTE_MARGIN)</f>
        <v>254573.7594182825</v>
      </c>
      <c r="HF134" s="13">
        <f>IF(HB134=1,$HB$31,$HB$32)</f>
        <v>152456.2970814058</v>
      </c>
      <c r="HG134" s="13">
        <f>HE134-HF134</f>
        <v>102117.46233687672</v>
      </c>
      <c r="HH134" s="13">
        <f>HH133+HG134</f>
        <v>5207990.579180713</v>
      </c>
      <c r="HI134">
        <f>IF(HH134=MAX($HH$83:$HH$483),$A134,0)</f>
        <v>0</v>
      </c>
      <c r="HJ134">
        <f>IF(HE134&lt;HF134,$A134,B_MAX+1)</f>
        <v>401.0</v>
      </c>
      <c r="HK134" s="13">
        <f>IF(HB134=1,$HB$35,$HB$36)</f>
        <v>0</v>
      </c>
      <c r="HL134" s="13">
        <f>OCC_DAYS*$HB$41*R_NF_2023-HD134*MCD_SHARE_FREED*R_WAIT_2023</f>
        <v>37367.159242427646</v>
      </c>
      <c r="HM134">
        <f>IF($A134&lt;=$HB$45,1,0)</f>
        <v>1</v>
      </c>
      <c r="IB134">
        <f>IF($IB$31&lt;=$IB$32,IF($A134&lt;=$IB$7,1,2),IF($A134&lt;=RUNG_BEDS_2,2,1))</f>
        <v>1</v>
      </c>
      <c r="IC134" s="5">
        <f>MIN(1,MAX(0,$IB$26-($A134-1)))</f>
        <v>1</v>
      </c>
      <c r="ID134" s="5">
        <f>$IB$25*(IC134+(1-IC134)*$IB$16)</f>
        <v>252.05322714681438</v>
      </c>
      <c r="IE134" s="13">
        <f>ID134*($IB$6+ACUTE_MARGIN)</f>
        <v>254573.7594182825</v>
      </c>
      <c r="IF134" s="13">
        <f>IF(IB134=1,$IB$31,$IB$32)</f>
        <v>152734.9994534971</v>
      </c>
      <c r="IG134" s="13">
        <f>IE134-IF134</f>
        <v>101838.75996478542</v>
      </c>
      <c r="IH134" s="13">
        <f>IH133+IG134</f>
        <v>5193776.758204061</v>
      </c>
      <c r="II134">
        <f>IF(IH134=MAX($IH$83:$IH$483),$A134,0)</f>
        <v>0</v>
      </c>
      <c r="IJ134">
        <f>IF(IE134&lt;IF134,$A134,B_MAX+1)</f>
        <v>401.0</v>
      </c>
      <c r="IK134" s="13">
        <f>IF(IB134=1,$IB$35,$IB$36)</f>
        <v>0</v>
      </c>
      <c r="IL134" s="13">
        <f>OCC_DAYS*$IB$41*R_NF_2023-ID134*MCD_SHARE_FREED*R_WAIT_2023</f>
        <v>37367.159242427646</v>
      </c>
      <c r="IM134">
        <f>IF($A134&lt;=$IB$45,1,0)</f>
        <v>1</v>
      </c>
      <c r="JB134">
        <f>IF($JB$31&lt;=$JB$32,IF($A134&lt;=$JB$7,1,2),IF($A134&lt;=RUNG_BEDS_2,2,1))</f>
        <v>1</v>
      </c>
      <c r="JC134" s="5">
        <f>MIN(1,MAX(0,$JB$26-($A134-1)))</f>
        <v>1</v>
      </c>
      <c r="JD134" s="5">
        <f>$JB$25*(JC134+(1-JC134)*$JB$16)</f>
        <v>252.05322714681438</v>
      </c>
      <c r="JE134" s="13">
        <f>JD134*($JB$6+ACUTE_MARGIN)</f>
        <v>254573.7594182825</v>
      </c>
      <c r="JF134" s="13">
        <f>IF(JB134=1,$JB$31,$JB$32)</f>
        <v>152394.16214437486</v>
      </c>
      <c r="JG134" s="13">
        <f>JE134-JF134</f>
        <v>102179.59727390765</v>
      </c>
      <c r="JH134" s="13">
        <f>JH133+JG134</f>
        <v>5211159.46096929</v>
      </c>
      <c r="JI134">
        <f>IF(JH134=MAX($JH$83:$JH$483),$A134,0)</f>
        <v>0</v>
      </c>
      <c r="JJ134">
        <f>IF(JE134&lt;JF134,$A134,B_MAX+1)</f>
        <v>401.0</v>
      </c>
      <c r="JK134" s="13">
        <f>IF(JB134=1,$JB$35,$JB$36)</f>
        <v>0</v>
      </c>
      <c r="JL134" s="13">
        <f>OCC_DAYS*$JB$41*R_NF_2023-JD134*MCD_SHARE_FREED*R_WAIT_2023</f>
        <v>37367.159242427646</v>
      </c>
      <c r="JM134">
        <f>IF($A134&lt;=$JB$45,1,0)</f>
        <v>1</v>
      </c>
      <c r="KB134">
        <f>IF($KB$31&lt;=$KB$32,IF($A134&lt;=$KB$7,1,2),IF($A134&lt;=RUNG_BEDS_2,2,1))</f>
        <v>1</v>
      </c>
      <c r="KC134" s="5">
        <f>MIN(1,MAX(0,$KB$26-($A134-1)))</f>
        <v>1</v>
      </c>
      <c r="KD134" s="5">
        <f>$KB$25*(KC134+(1-KC134)*$KB$16)</f>
        <v>126.02661357340719</v>
      </c>
      <c r="KE134" s="13">
        <f>KD134*($KB$6+ACUTE_MARGIN)</f>
        <v>127286.87970914126</v>
      </c>
      <c r="KF134" s="13">
        <f>IF(KB134=1,$KB$31,$KB$32)</f>
        <v>152394.16214437486</v>
      </c>
      <c r="KG134" s="13">
        <f>KE134-KF134</f>
        <v>-25107.282435233603</v>
      </c>
      <c r="KH134" s="13">
        <f>KH133+KG134</f>
        <v>-1280471.4041969143</v>
      </c>
      <c r="KI134">
        <f>IF(KH134=MAX($KH$83:$KH$483),$A134,0)</f>
        <v>0</v>
      </c>
      <c r="KJ134">
        <f>IF(KE134&lt;KF134,$A134,B_MAX+1)</f>
        <v>51</v>
      </c>
      <c r="KK134" s="13">
        <f>IF(KB134=1,$KB$35,$KB$36)</f>
        <v>0</v>
      </c>
      <c r="KL134" s="13">
        <f>OCC_DAYS*$KB$41*R_NF_2023-KD134*MCD_SHARE_FREED*R_WAIT_2023</f>
        <v>94673.82103225985</v>
      </c>
      <c r="KM134">
        <f>IF($A134&lt;=$KB$45,1,0)</f>
        <v>0</v>
      </c>
      <c r="LB134">
        <f>IF($LB$31&lt;=$LB$32,IF($A134&lt;=$LB$7,1,2),IF($A134&lt;=RUNG_BEDS_2,2,1))</f>
        <v>1</v>
      </c>
      <c r="LC134" s="5">
        <f>MIN(1,MAX(0,$LB$26-($A134-1)))</f>
        <v>1</v>
      </c>
      <c r="LD134" s="5">
        <f>$LB$25*(LC134+(1-LC134)*$LB$16)</f>
        <v>84.01774238227146</v>
      </c>
      <c r="LE134" s="13">
        <f>LD134*($LB$6+ACUTE_MARGIN)</f>
        <v>84857.91980609419</v>
      </c>
      <c r="LF134" s="13">
        <f>IF(LB134=1,$LB$31,$LB$32)</f>
        <v>152394.16214437486</v>
      </c>
      <c r="LG134" s="13">
        <f>LE134-LF134</f>
        <v>-67536.24233828067</v>
      </c>
      <c r="LH134" s="13">
        <f>LH133+LG134</f>
        <v>-3444348.359252314</v>
      </c>
      <c r="LI134">
        <f>IF(LH134=MAX($LH$83:$LH$483),$A134,0)</f>
        <v>0</v>
      </c>
      <c r="LJ134">
        <f>IF(LE134&lt;LF134,$A134,B_MAX+1)</f>
        <v>51</v>
      </c>
      <c r="LK134" s="13">
        <f>IF(LB134=1,$LB$35,$LB$36)</f>
        <v>0</v>
      </c>
      <c r="LL134" s="13">
        <f>OCC_DAYS*$LB$41*R_NF_2023-LD134*MCD_SHARE_FREED*R_WAIT_2023</f>
        <v>113776.04162887059</v>
      </c>
      <c r="LM134">
        <f>IF($A134&lt;=$LB$45,1,0)</f>
        <v>0</v>
      </c>
      <c r="MB134">
        <f>IF($MB$31&lt;=$MB$32,IF($A134&lt;=$MB$7,1,2),IF($A134&lt;=RUNG_BEDS_2,2,1))</f>
        <v>1</v>
      </c>
      <c r="MC134" s="5">
        <f>MIN(1,MAX(0,$MB$26-($A134-1)))</f>
        <v>1</v>
      </c>
      <c r="MD134" s="5">
        <f>$MB$25*(MC134+(1-MC134)*$MB$16)</f>
        <v>213.44610951008647</v>
      </c>
      <c r="ME134" s="13">
        <f>MD134*($MB$6+ACUTE_MARGIN)</f>
        <v>215580.57060518733</v>
      </c>
      <c r="MF134" s="13">
        <f>IF(MB134=1,$MB$31,$MB$32)</f>
        <v>152394.16214437486</v>
      </c>
      <c r="MG134" s="13">
        <f>ME134-MF134</f>
        <v>63186.40846081247</v>
      </c>
      <c r="MH134" s="13">
        <f>MH133+MG134</f>
        <v>3222506.8315014374</v>
      </c>
      <c r="MI134">
        <f>IF(MH134=MAX($MH$83:$MH$483),$A134,0)</f>
        <v>0</v>
      </c>
      <c r="MJ134">
        <f>IF(ME134&lt;MF134,$A134,B_MAX+1)</f>
        <v>401.0</v>
      </c>
      <c r="MK134" s="13">
        <f>IF(MB134=1,$MB$35,$MB$36)</f>
        <v>0</v>
      </c>
      <c r="ML134" s="13">
        <f>OCC_DAYS*$MB$41*R_NF_2023-MD134*MCD_SHARE_FREED*R_WAIT_2023</f>
        <v>54922.538779778624</v>
      </c>
      <c r="MM134">
        <f>IF($A134&lt;=$MB$45,1,0)</f>
        <v>1</v>
      </c>
      <c r="NB134">
        <f>IF($NB$31&lt;=$NB$32,IF($A134&lt;=$NB$7,1,2),IF($A134&lt;=RUNG_BEDS_2,2,1))</f>
        <v>1</v>
      </c>
      <c r="NC134" s="5">
        <f>MIN(1,MAX(0,$NB$26-($A134-1)))</f>
        <v>1</v>
      </c>
      <c r="ND134" s="5">
        <f>$NB$25*(NC134+(1-NC134)*$NB$16)</f>
        <v>252.05322714681438</v>
      </c>
      <c r="NE134" s="13">
        <f>ND134*($NB$6+ACUTE_MARGIN)</f>
        <v>254573.7594182825</v>
      </c>
      <c r="NF134" s="13">
        <f>IF(NB134=1,$NB$31,$NB$32)</f>
        <v>152394.16214437486</v>
      </c>
      <c r="NG134" s="13">
        <f>NE134-NF134</f>
        <v>102179.59727390765</v>
      </c>
      <c r="NH134" s="13">
        <f>NH133+NG134</f>
        <v>5211159.46096929</v>
      </c>
      <c r="NI134">
        <f>IF(NH134=MAX($NH$83:$NH$483),$A134,0)</f>
        <v>0</v>
      </c>
      <c r="NJ134">
        <f>IF(NE134&lt;NF134,$A134,B_MAX+1)</f>
        <v>401.0</v>
      </c>
      <c r="NK134" s="13">
        <f>IF(NB134=1,$NB$35,$NB$36)</f>
        <v>0</v>
      </c>
      <c r="NL134" s="13">
        <f>OCC_DAYS*$NB$41*R_NF_2023-ND134*MCD_SHARE_FREED*R_WAIT_2023</f>
        <v>37367.159242427646</v>
      </c>
      <c r="NM134">
        <f>IF($A134&lt;=$NB$45,1,0)</f>
        <v>1</v>
      </c>
      <c r="OB134">
        <f>IF($OB$31&lt;=$OB$32,IF($A134&lt;=$OB$7,1,2),IF($A134&lt;=RUNG_BEDS_2,2,1))</f>
        <v>1</v>
      </c>
      <c r="OC134" s="5">
        <f>MIN(1,MAX(0,$OB$26-($A134-1)))</f>
        <v>1</v>
      </c>
      <c r="OD134" s="5">
        <f>$OB$25*(OC134+(1-OC134)*$OB$16)</f>
        <v>252.05322714681438</v>
      </c>
      <c r="OE134" s="13">
        <f>OD134*($OB$6+ACUTE_MARGIN)</f>
        <v>254573.7594182825</v>
      </c>
      <c r="OF134" s="13">
        <f>IF(OB134=1,$OB$31,$OB$32)</f>
        <v>152394.16214437486</v>
      </c>
      <c r="OG134" s="13">
        <f>OE134-OF134</f>
        <v>102179.59727390765</v>
      </c>
      <c r="OH134" s="13">
        <f>OH133+OG134</f>
        <v>5211159.46096929</v>
      </c>
      <c r="OI134">
        <f>IF(OH134=MAX($OH$83:$OH$483),$A134,0)</f>
        <v>0</v>
      </c>
      <c r="OJ134">
        <f>IF(OE134&lt;OF134,$A134,B_MAX+1)</f>
        <v>401.0</v>
      </c>
      <c r="OK134" s="13">
        <f>IF(OB134=1,$OB$35,$OB$36)</f>
        <v>0</v>
      </c>
      <c r="OL134" s="13">
        <f>OCC_DAYS*$OB$41*R_NF_2023-OD134*MCD_SHARE_FREED*R_WAIT_2023</f>
        <v>37367.159242427646</v>
      </c>
      <c r="OM134">
        <f>IF($A134&lt;=$OB$45,1,0)</f>
        <v>1</v>
      </c>
    </row>
    <row r="135">
      <c r="A135" t="n">
        <v>52</v>
      </c>
      <c r="B135">
        <f>IF($B$31&lt;=$B$32,IF($A135&lt;=$B$7,1,2),IF($A135&lt;=RUNG_BEDS_2,2,1))</f>
        <v>1</v>
      </c>
      <c r="C135" s="5">
        <f>MIN(1,MAX(0,$B$26-($A135-1)))</f>
        <v>1</v>
      </c>
      <c r="D135" s="5">
        <f>$B$25*(C135+(1-C135)*$B$16)</f>
        <v>252.05322714681438</v>
      </c>
      <c r="E135" s="13">
        <f>D135*($B$6+ACUTE_MARGIN)</f>
        <v>254573.7594182825</v>
      </c>
      <c r="F135" s="13">
        <f>IF(B135=1,$B$31,$B$32)</f>
        <v>152394.16214437486</v>
      </c>
      <c r="G135" s="13">
        <f>E135-F135</f>
        <v>102179.59727390765</v>
      </c>
      <c r="H135" s="13">
        <f>H134+G135</f>
        <v>5313339.058243197</v>
      </c>
      <c r="I135">
        <f>IF(H135=MAX($H$83:$H$483),$A135,0)</f>
        <v>0</v>
      </c>
      <c r="J135">
        <f>IF(E135&lt;F135,$A135,B_MAX+1)</f>
        <v>401.0</v>
      </c>
      <c r="K135" s="13">
        <f>IF(B135=1,$B$35,$B$36)</f>
        <v>0</v>
      </c>
      <c r="L135" s="13">
        <f>OCC_DAYS*$B$41*R_NF_2023-D135*MCD_SHARE_FREED*R_WAIT_2023</f>
        <v>37367.159242427646</v>
      </c>
      <c r="M135">
        <f>IF($A135&lt;=$B$45,1,0)</f>
        <v>1</v>
      </c>
      <c r="AB135">
        <f>IF($AB$31&lt;=$AB$32,IF($A135&lt;=$AB$7,1,2),IF($A135&lt;=RUNG_BEDS_2,2,1))</f>
        <v>1</v>
      </c>
      <c r="AC135" s="5">
        <f>MIN(1,MAX(0,$AB$26-($A135-1)))</f>
        <v>1</v>
      </c>
      <c r="AD135" s="5">
        <f>$AB$25*(AC135+(1-AC135)*$AB$16)</f>
        <v>252.05322714681438</v>
      </c>
      <c r="AE135" s="13">
        <f>AD135*($AB$6+ACUTE_MARGIN)</f>
        <v>138629.2749307479</v>
      </c>
      <c r="AF135" s="13">
        <f>IF(AB135=1,$AB$31,$AB$32)</f>
        <v>152394.16214437486</v>
      </c>
      <c r="AG135" s="13">
        <f>AE135-AF135</f>
        <v>-13764.887213626964</v>
      </c>
      <c r="AH135" s="13">
        <f>AH134+AG135</f>
        <v>-715774.135108603</v>
      </c>
      <c r="AI135">
        <f>IF(AH135=MAX($AH$83:$AH$483),$A135,0)</f>
        <v>0</v>
      </c>
      <c r="AJ135">
        <f>IF(AE135&lt;AF135,$A135,B_MAX+1)</f>
        <v>52</v>
      </c>
      <c r="AK135" s="13">
        <f>IF(AB135=1,$AB$35,$AB$36)</f>
        <v>0</v>
      </c>
      <c r="AL135" s="13">
        <f>OCC_DAYS*$AB$41*R_NF_2023-AD135*MCD_SHARE_FREED*R_WAIT_2023</f>
        <v>37367.159242427646</v>
      </c>
      <c r="AM135">
        <f>IF($A135&lt;=$AB$45,1,0)</f>
        <v>0</v>
      </c>
      <c r="BB135">
        <f>IF($BB$31&lt;=$BB$32,IF($A135&lt;=$BB$7,1,2),IF($A135&lt;=RUNG_BEDS_2,2,1))</f>
        <v>1</v>
      </c>
      <c r="BC135" s="5">
        <f>MIN(1,MAX(0,$BB$26-($A135-1)))</f>
        <v>1</v>
      </c>
      <c r="BD135" s="5">
        <f>$BB$25*(BC135+(1-BC135)*$BB$16)</f>
        <v>252.05322714681438</v>
      </c>
      <c r="BE135" s="13">
        <f>BD135*($BB$6+ACUTE_MARGIN)</f>
        <v>370518.24390581716</v>
      </c>
      <c r="BF135" s="13">
        <f>IF(BB135=1,$BB$31,$BB$32)</f>
        <v>152394.16214437486</v>
      </c>
      <c r="BG135" s="13">
        <f>BE135-BF135</f>
        <v>218124.0817614423</v>
      </c>
      <c r="BH135" s="13">
        <f>BH134+BG135</f>
        <v>11342452.251594992</v>
      </c>
      <c r="BI135">
        <f>IF(BH135=MAX($BH$83:$BH$483),$A135,0)</f>
        <v>0</v>
      </c>
      <c r="BJ135">
        <f>IF(BE135&lt;BF135,$A135,B_MAX+1)</f>
        <v>401.0</v>
      </c>
      <c r="BK135" s="13">
        <f>IF(BB135=1,$BB$35,$BB$36)</f>
        <v>0</v>
      </c>
      <c r="BL135" s="13">
        <f>OCC_DAYS*$BB$41*R_NF_2023-BD135*MCD_SHARE_FREED*R_WAIT_2023</f>
        <v>37367.159242427646</v>
      </c>
      <c r="BM135">
        <f>IF($A135&lt;=$BB$45,1,0)</f>
        <v>1</v>
      </c>
      <c r="CB135">
        <f>IF($CB$31&lt;=$CB$32,IF($A135&lt;=$CB$7,1,2),IF($A135&lt;=RUNG_BEDS_2,2,1))</f>
        <v>2</v>
      </c>
      <c r="CC135" s="5">
        <f>MIN(1,MAX(0,$CB$26-($A135-1)))</f>
        <v>1</v>
      </c>
      <c r="CD135" s="5">
        <f>$CB$25*(CC135+(1-CC135)*$CB$16)</f>
        <v>252.05322714681438</v>
      </c>
      <c r="CE135" s="13">
        <f>CD135*($CB$6+ACUTE_MARGIN)</f>
        <v>254573.7594182825</v>
      </c>
      <c r="CF135" s="13">
        <f>IF(CB135=1,$CB$31,$CB$32)</f>
        <v>160718.36940738867</v>
      </c>
      <c r="CG135" s="13">
        <f>CE135-CF135</f>
        <v>93855.39001089384</v>
      </c>
      <c r="CH135" s="13">
        <f>CH134+CG135</f>
        <v>4880480.280566482</v>
      </c>
      <c r="CI135">
        <f>IF(CH135=MAX($CH$83:$CH$483),$A135,0)</f>
        <v>0</v>
      </c>
      <c r="CJ135">
        <f>IF(CE135&lt;CF135,$A135,B_MAX+1)</f>
        <v>401.0</v>
      </c>
      <c r="CK135" s="13">
        <f>IF(CB135=1,$CB$35,$CB$36)</f>
        <v>1560.1194073886782</v>
      </c>
      <c r="CL135" s="13">
        <f>OCC_DAYS*$CB$41*R_NF_2023-CD135*MCD_SHARE_FREED*R_WAIT_2023</f>
        <v>37367.159242427646</v>
      </c>
      <c r="CM135">
        <f>IF($A135&lt;=$CB$45,1,0)</f>
        <v>1</v>
      </c>
      <c r="DB135">
        <f>IF($DB$31&lt;=$DB$32,IF($A135&lt;=$DB$7,1,2),IF($A135&lt;=RUNG_BEDS_2,2,1))</f>
        <v>1</v>
      </c>
      <c r="DC135" s="5">
        <f>MIN(1,MAX(0,$DB$26-($A135-1)))</f>
        <v>1</v>
      </c>
      <c r="DD135" s="5">
        <f>$DB$25*(DC135+(1-DC135)*$DB$16)</f>
        <v>252.05322714681438</v>
      </c>
      <c r="DE135" s="13">
        <f>DD135*($DB$6+ACUTE_MARGIN)</f>
        <v>254573.7594182825</v>
      </c>
      <c r="DF135" s="13">
        <f>IF(DB135=1,$DB$31,$DB$32)</f>
        <v>152394.16214437486</v>
      </c>
      <c r="DG135" s="13">
        <f>DE135-DF135</f>
        <v>102179.59727390765</v>
      </c>
      <c r="DH135" s="13">
        <f>DH134+DG135</f>
        <v>5313339.058243197</v>
      </c>
      <c r="DI135">
        <f>IF(DH135=MAX($DH$83:$DH$483),$A135,0)</f>
        <v>0</v>
      </c>
      <c r="DJ135">
        <f>IF(DE135&lt;DF135,$A135,B_MAX+1)</f>
        <v>401.0</v>
      </c>
      <c r="DK135" s="13">
        <f>IF(DB135=1,$DB$35,$DB$36)</f>
        <v>0</v>
      </c>
      <c r="DL135" s="13">
        <f>OCC_DAYS*$DB$41*R_NF_2023-DD135*MCD_SHARE_FREED*R_WAIT_2023</f>
        <v>37367.159242427646</v>
      </c>
      <c r="DM135">
        <f>IF($A135&lt;=$DB$45,1,0)</f>
        <v>1</v>
      </c>
      <c r="EB135">
        <f>IF($EB$31&lt;=$EB$32,IF($A135&lt;=$EB$7,1,2),IF($A135&lt;=RUNG_BEDS_2,2,1))</f>
        <v>1</v>
      </c>
      <c r="EC135" s="5">
        <f>MIN(1,MAX(0,$EB$26-($A135-1)))</f>
        <v>1</v>
      </c>
      <c r="ED135" s="5">
        <f>$EB$25*(EC135+(1-EC135)*$EB$16)</f>
        <v>252.05322714681438</v>
      </c>
      <c r="EE135" s="13">
        <f>ED135*($EB$6+ACUTE_MARGIN)</f>
        <v>254573.7594182825</v>
      </c>
      <c r="EF135" s="13">
        <f>IF(EB135=1,$EB$31,$EB$32)</f>
        <v>152394.16214437486</v>
      </c>
      <c r="EG135" s="13">
        <f>EE135-EF135</f>
        <v>102179.59727390765</v>
      </c>
      <c r="EH135" s="13">
        <f>EH134+EG135</f>
        <v>5313339.058243197</v>
      </c>
      <c r="EI135">
        <f>IF(EH135=MAX($EH$83:$EH$483),$A135,0)</f>
        <v>0</v>
      </c>
      <c r="EJ135">
        <f>IF(EE135&lt;EF135,$A135,B_MAX+1)</f>
        <v>401.0</v>
      </c>
      <c r="EK135" s="13">
        <f>IF(EB135=1,$EB$35,$EB$36)</f>
        <v>0</v>
      </c>
      <c r="EL135" s="13">
        <f>OCC_DAYS*$EB$41*R_NF_2023-ED135*MCD_SHARE_FREED*R_WAIT_2023</f>
        <v>-63953.16263896705</v>
      </c>
      <c r="EM135">
        <f>IF($A135&lt;=$EB$45,1,0)</f>
        <v>1</v>
      </c>
      <c r="FB135">
        <f>IF($FB$31&lt;=$FB$32,IF($A135&lt;=$FB$7,1,2),IF($A135&lt;=RUNG_BEDS_2,2,1))</f>
        <v>1</v>
      </c>
      <c r="FC135" s="5">
        <f>MIN(1,MAX(0,$FB$26-($A135-1)))</f>
        <v>1</v>
      </c>
      <c r="FD135" s="5">
        <f>$FB$25*(FC135+(1-FC135)*$FB$16)</f>
        <v>252.05322714681438</v>
      </c>
      <c r="FE135" s="13">
        <f>FD135*($FB$6+ACUTE_MARGIN)</f>
        <v>254573.7594182825</v>
      </c>
      <c r="FF135" s="13">
        <f>IF(FB135=1,$FB$31,$FB$32)</f>
        <v>156636.04979437485</v>
      </c>
      <c r="FG135" s="13">
        <f>FE135-FF135</f>
        <v>97937.70962390766</v>
      </c>
      <c r="FH135" s="13">
        <f>FH134+FG135</f>
        <v>5092760.900443199</v>
      </c>
      <c r="FI135">
        <f>IF(FH135=MAX($FH$83:$FH$483),$A135,0)</f>
        <v>0</v>
      </c>
      <c r="FJ135">
        <f>IF(FE135&lt;FF135,$A135,B_MAX+1)</f>
        <v>401.0</v>
      </c>
      <c r="FK135" s="13">
        <f>IF(FB135=1,$FB$35,$FB$36)</f>
        <v>0</v>
      </c>
      <c r="FL135" s="13">
        <f>OCC_DAYS*$FB$41*R_NF_2023-FD135*MCD_SHARE_FREED*R_WAIT_2023</f>
        <v>37367.159242427646</v>
      </c>
      <c r="FM135">
        <f>IF($A135&lt;=$FB$45,1,0)</f>
        <v>1</v>
      </c>
      <c r="GB135">
        <f>IF($GB$31&lt;=$GB$32,IF($A135&lt;=$GB$7,1,2),IF($A135&lt;=RUNG_BEDS_2,2,1))</f>
        <v>1</v>
      </c>
      <c r="GC135" s="5">
        <f>MIN(1,MAX(0,$GB$26-($A135-1)))</f>
        <v>1</v>
      </c>
      <c r="GD135" s="5">
        <f>$GB$25*(GC135+(1-GC135)*$GB$16)</f>
        <v>252.05322714681438</v>
      </c>
      <c r="GE135" s="13">
        <f>GD135*($GB$6+ACUTE_MARGIN)</f>
        <v>254573.7594182825</v>
      </c>
      <c r="GF135" s="13">
        <f>IF(GB135=1,$GB$31,$GB$32)</f>
        <v>152394.16214437486</v>
      </c>
      <c r="GG135" s="13">
        <f>GE135-GF135</f>
        <v>102179.59727390765</v>
      </c>
      <c r="GH135" s="13">
        <f>GH134+GG135</f>
        <v>5313339.058243197</v>
      </c>
      <c r="GI135">
        <f>IF(GH135=MAX($GH$83:$GH$483),$A135,0)</f>
        <v>0</v>
      </c>
      <c r="GJ135">
        <f>IF(GE135&lt;GF135,$A135,B_MAX+1)</f>
        <v>401.0</v>
      </c>
      <c r="GK135" s="13">
        <f>IF(GB135=1,$GB$35,$GB$36)</f>
        <v>0</v>
      </c>
      <c r="GL135" s="13">
        <f>OCC_DAYS*$GB$41*R_NF_2023-GD135*MCD_SHARE_FREED*R_WAIT_2023</f>
        <v>37367.159242427646</v>
      </c>
      <c r="GM135">
        <f>IF($A135&lt;=$GB$45,1,0)</f>
        <v>1</v>
      </c>
      <c r="HB135">
        <f>IF($HB$31&lt;=$HB$32,IF($A135&lt;=$HB$7,1,2),IF($A135&lt;=RUNG_BEDS_2,2,1))</f>
        <v>1</v>
      </c>
      <c r="HC135" s="5">
        <f>MIN(1,MAX(0,$HB$26-($A135-1)))</f>
        <v>1</v>
      </c>
      <c r="HD135" s="5">
        <f>$HB$25*(HC135+(1-HC135)*$HB$16)</f>
        <v>252.05322714681438</v>
      </c>
      <c r="HE135" s="13">
        <f>HD135*($HB$6+ACUTE_MARGIN)</f>
        <v>254573.7594182825</v>
      </c>
      <c r="HF135" s="13">
        <f>IF(HB135=1,$HB$31,$HB$32)</f>
        <v>152456.2970814058</v>
      </c>
      <c r="HG135" s="13">
        <f>HE135-HF135</f>
        <v>102117.46233687672</v>
      </c>
      <c r="HH135" s="13">
        <f>HH134+HG135</f>
        <v>5310108.041517589</v>
      </c>
      <c r="HI135">
        <f>IF(HH135=MAX($HH$83:$HH$483),$A135,0)</f>
        <v>0</v>
      </c>
      <c r="HJ135">
        <f>IF(HE135&lt;HF135,$A135,B_MAX+1)</f>
        <v>401.0</v>
      </c>
      <c r="HK135" s="13">
        <f>IF(HB135=1,$HB$35,$HB$36)</f>
        <v>0</v>
      </c>
      <c r="HL135" s="13">
        <f>OCC_DAYS*$HB$41*R_NF_2023-HD135*MCD_SHARE_FREED*R_WAIT_2023</f>
        <v>37367.159242427646</v>
      </c>
      <c r="HM135">
        <f>IF($A135&lt;=$HB$45,1,0)</f>
        <v>1</v>
      </c>
      <c r="IB135">
        <f>IF($IB$31&lt;=$IB$32,IF($A135&lt;=$IB$7,1,2),IF($A135&lt;=RUNG_BEDS_2,2,1))</f>
        <v>1</v>
      </c>
      <c r="IC135" s="5">
        <f>MIN(1,MAX(0,$IB$26-($A135-1)))</f>
        <v>1</v>
      </c>
      <c r="ID135" s="5">
        <f>$IB$25*(IC135+(1-IC135)*$IB$16)</f>
        <v>252.05322714681438</v>
      </c>
      <c r="IE135" s="13">
        <f>ID135*($IB$6+ACUTE_MARGIN)</f>
        <v>254573.7594182825</v>
      </c>
      <c r="IF135" s="13">
        <f>IF(IB135=1,$IB$31,$IB$32)</f>
        <v>152734.9994534971</v>
      </c>
      <c r="IG135" s="13">
        <f>IE135-IF135</f>
        <v>101838.75996478542</v>
      </c>
      <c r="IH135" s="13">
        <f>IH134+IG135</f>
        <v>5295615.518168846</v>
      </c>
      <c r="II135">
        <f>IF(IH135=MAX($IH$83:$IH$483),$A135,0)</f>
        <v>0</v>
      </c>
      <c r="IJ135">
        <f>IF(IE135&lt;IF135,$A135,B_MAX+1)</f>
        <v>401.0</v>
      </c>
      <c r="IK135" s="13">
        <f>IF(IB135=1,$IB$35,$IB$36)</f>
        <v>0</v>
      </c>
      <c r="IL135" s="13">
        <f>OCC_DAYS*$IB$41*R_NF_2023-ID135*MCD_SHARE_FREED*R_WAIT_2023</f>
        <v>37367.159242427646</v>
      </c>
      <c r="IM135">
        <f>IF($A135&lt;=$IB$45,1,0)</f>
        <v>1</v>
      </c>
      <c r="JB135">
        <f>IF($JB$31&lt;=$JB$32,IF($A135&lt;=$JB$7,1,2),IF($A135&lt;=RUNG_BEDS_2,2,1))</f>
        <v>1</v>
      </c>
      <c r="JC135" s="5">
        <f>MIN(1,MAX(0,$JB$26-($A135-1)))</f>
        <v>1</v>
      </c>
      <c r="JD135" s="5">
        <f>$JB$25*(JC135+(1-JC135)*$JB$16)</f>
        <v>252.05322714681438</v>
      </c>
      <c r="JE135" s="13">
        <f>JD135*($JB$6+ACUTE_MARGIN)</f>
        <v>254573.7594182825</v>
      </c>
      <c r="JF135" s="13">
        <f>IF(JB135=1,$JB$31,$JB$32)</f>
        <v>152394.16214437486</v>
      </c>
      <c r="JG135" s="13">
        <f>JE135-JF135</f>
        <v>102179.59727390765</v>
      </c>
      <c r="JH135" s="13">
        <f>JH134+JG135</f>
        <v>5313339.058243197</v>
      </c>
      <c r="JI135">
        <f>IF(JH135=MAX($JH$83:$JH$483),$A135,0)</f>
        <v>0</v>
      </c>
      <c r="JJ135">
        <f>IF(JE135&lt;JF135,$A135,B_MAX+1)</f>
        <v>401.0</v>
      </c>
      <c r="JK135" s="13">
        <f>IF(JB135=1,$JB$35,$JB$36)</f>
        <v>0</v>
      </c>
      <c r="JL135" s="13">
        <f>OCC_DAYS*$JB$41*R_NF_2023-JD135*MCD_SHARE_FREED*R_WAIT_2023</f>
        <v>37367.159242427646</v>
      </c>
      <c r="JM135">
        <f>IF($A135&lt;=$JB$45,1,0)</f>
        <v>1</v>
      </c>
      <c r="KB135">
        <f>IF($KB$31&lt;=$KB$32,IF($A135&lt;=$KB$7,1,2),IF($A135&lt;=RUNG_BEDS_2,2,1))</f>
        <v>1</v>
      </c>
      <c r="KC135" s="5">
        <f>MIN(1,MAX(0,$KB$26-($A135-1)))</f>
        <v>1</v>
      </c>
      <c r="KD135" s="5">
        <f>$KB$25*(KC135+(1-KC135)*$KB$16)</f>
        <v>126.02661357340719</v>
      </c>
      <c r="KE135" s="13">
        <f>KD135*($KB$6+ACUTE_MARGIN)</f>
        <v>127286.87970914126</v>
      </c>
      <c r="KF135" s="13">
        <f>IF(KB135=1,$KB$31,$KB$32)</f>
        <v>152394.16214437486</v>
      </c>
      <c r="KG135" s="13">
        <f>KE135-KF135</f>
        <v>-25107.282435233603</v>
      </c>
      <c r="KH135" s="13">
        <f>KH134+KG135</f>
        <v>-1305578.686632148</v>
      </c>
      <c r="KI135">
        <f>IF(KH135=MAX($KH$83:$KH$483),$A135,0)</f>
        <v>0</v>
      </c>
      <c r="KJ135">
        <f>IF(KE135&lt;KF135,$A135,B_MAX+1)</f>
        <v>52</v>
      </c>
      <c r="KK135" s="13">
        <f>IF(KB135=1,$KB$35,$KB$36)</f>
        <v>0</v>
      </c>
      <c r="KL135" s="13">
        <f>OCC_DAYS*$KB$41*R_NF_2023-KD135*MCD_SHARE_FREED*R_WAIT_2023</f>
        <v>94673.82103225985</v>
      </c>
      <c r="KM135">
        <f>IF($A135&lt;=$KB$45,1,0)</f>
        <v>0</v>
      </c>
      <c r="LB135">
        <f>IF($LB$31&lt;=$LB$32,IF($A135&lt;=$LB$7,1,2),IF($A135&lt;=RUNG_BEDS_2,2,1))</f>
        <v>1</v>
      </c>
      <c r="LC135" s="5">
        <f>MIN(1,MAX(0,$LB$26-($A135-1)))</f>
        <v>1</v>
      </c>
      <c r="LD135" s="5">
        <f>$LB$25*(LC135+(1-LC135)*$LB$16)</f>
        <v>84.01774238227146</v>
      </c>
      <c r="LE135" s="13">
        <f>LD135*($LB$6+ACUTE_MARGIN)</f>
        <v>84857.91980609419</v>
      </c>
      <c r="LF135" s="13">
        <f>IF(LB135=1,$LB$31,$LB$32)</f>
        <v>152394.16214437486</v>
      </c>
      <c r="LG135" s="13">
        <f>LE135-LF135</f>
        <v>-67536.24233828067</v>
      </c>
      <c r="LH135" s="13">
        <f>LH134+LG135</f>
        <v>-3511884.6015905947</v>
      </c>
      <c r="LI135">
        <f>IF(LH135=MAX($LH$83:$LH$483),$A135,0)</f>
        <v>0</v>
      </c>
      <c r="LJ135">
        <f>IF(LE135&lt;LF135,$A135,B_MAX+1)</f>
        <v>52</v>
      </c>
      <c r="LK135" s="13">
        <f>IF(LB135=1,$LB$35,$LB$36)</f>
        <v>0</v>
      </c>
      <c r="LL135" s="13">
        <f>OCC_DAYS*$LB$41*R_NF_2023-LD135*MCD_SHARE_FREED*R_WAIT_2023</f>
        <v>113776.04162887059</v>
      </c>
      <c r="LM135">
        <f>IF($A135&lt;=$LB$45,1,0)</f>
        <v>0</v>
      </c>
      <c r="MB135">
        <f>IF($MB$31&lt;=$MB$32,IF($A135&lt;=$MB$7,1,2),IF($A135&lt;=RUNG_BEDS_2,2,1))</f>
        <v>1</v>
      </c>
      <c r="MC135" s="5">
        <f>MIN(1,MAX(0,$MB$26-($A135-1)))</f>
        <v>1</v>
      </c>
      <c r="MD135" s="5">
        <f>$MB$25*(MC135+(1-MC135)*$MB$16)</f>
        <v>213.44610951008647</v>
      </c>
      <c r="ME135" s="13">
        <f>MD135*($MB$6+ACUTE_MARGIN)</f>
        <v>215580.57060518733</v>
      </c>
      <c r="MF135" s="13">
        <f>IF(MB135=1,$MB$31,$MB$32)</f>
        <v>152394.16214437486</v>
      </c>
      <c r="MG135" s="13">
        <f>ME135-MF135</f>
        <v>63186.40846081247</v>
      </c>
      <c r="MH135" s="13">
        <f>MH134+MG135</f>
        <v>3285693.23996225</v>
      </c>
      <c r="MI135">
        <f>IF(MH135=MAX($MH$83:$MH$483),$A135,0)</f>
        <v>0</v>
      </c>
      <c r="MJ135">
        <f>IF(ME135&lt;MF135,$A135,B_MAX+1)</f>
        <v>401.0</v>
      </c>
      <c r="MK135" s="13">
        <f>IF(MB135=1,$MB$35,$MB$36)</f>
        <v>0</v>
      </c>
      <c r="ML135" s="13">
        <f>OCC_DAYS*$MB$41*R_NF_2023-MD135*MCD_SHARE_FREED*R_WAIT_2023</f>
        <v>54922.538779778624</v>
      </c>
      <c r="MM135">
        <f>IF($A135&lt;=$MB$45,1,0)</f>
        <v>1</v>
      </c>
      <c r="NB135">
        <f>IF($NB$31&lt;=$NB$32,IF($A135&lt;=$NB$7,1,2),IF($A135&lt;=RUNG_BEDS_2,2,1))</f>
        <v>1</v>
      </c>
      <c r="NC135" s="5">
        <f>MIN(1,MAX(0,$NB$26-($A135-1)))</f>
        <v>1</v>
      </c>
      <c r="ND135" s="5">
        <f>$NB$25*(NC135+(1-NC135)*$NB$16)</f>
        <v>252.05322714681438</v>
      </c>
      <c r="NE135" s="13">
        <f>ND135*($NB$6+ACUTE_MARGIN)</f>
        <v>254573.7594182825</v>
      </c>
      <c r="NF135" s="13">
        <f>IF(NB135=1,$NB$31,$NB$32)</f>
        <v>152394.16214437486</v>
      </c>
      <c r="NG135" s="13">
        <f>NE135-NF135</f>
        <v>102179.59727390765</v>
      </c>
      <c r="NH135" s="13">
        <f>NH134+NG135</f>
        <v>5313339.058243197</v>
      </c>
      <c r="NI135">
        <f>IF(NH135=MAX($NH$83:$NH$483),$A135,0)</f>
        <v>0</v>
      </c>
      <c r="NJ135">
        <f>IF(NE135&lt;NF135,$A135,B_MAX+1)</f>
        <v>401.0</v>
      </c>
      <c r="NK135" s="13">
        <f>IF(NB135=1,$NB$35,$NB$36)</f>
        <v>0</v>
      </c>
      <c r="NL135" s="13">
        <f>OCC_DAYS*$NB$41*R_NF_2023-ND135*MCD_SHARE_FREED*R_WAIT_2023</f>
        <v>37367.159242427646</v>
      </c>
      <c r="NM135">
        <f>IF($A135&lt;=$NB$45,1,0)</f>
        <v>1</v>
      </c>
      <c r="OB135">
        <f>IF($OB$31&lt;=$OB$32,IF($A135&lt;=$OB$7,1,2),IF($A135&lt;=RUNG_BEDS_2,2,1))</f>
        <v>1</v>
      </c>
      <c r="OC135" s="5">
        <f>MIN(1,MAX(0,$OB$26-($A135-1)))</f>
        <v>1</v>
      </c>
      <c r="OD135" s="5">
        <f>$OB$25*(OC135+(1-OC135)*$OB$16)</f>
        <v>252.05322714681438</v>
      </c>
      <c r="OE135" s="13">
        <f>OD135*($OB$6+ACUTE_MARGIN)</f>
        <v>254573.7594182825</v>
      </c>
      <c r="OF135" s="13">
        <f>IF(OB135=1,$OB$31,$OB$32)</f>
        <v>152394.16214437486</v>
      </c>
      <c r="OG135" s="13">
        <f>OE135-OF135</f>
        <v>102179.59727390765</v>
      </c>
      <c r="OH135" s="13">
        <f>OH134+OG135</f>
        <v>5313339.058243197</v>
      </c>
      <c r="OI135">
        <f>IF(OH135=MAX($OH$83:$OH$483),$A135,0)</f>
        <v>0</v>
      </c>
      <c r="OJ135">
        <f>IF(OE135&lt;OF135,$A135,B_MAX+1)</f>
        <v>401.0</v>
      </c>
      <c r="OK135" s="13">
        <f>IF(OB135=1,$OB$35,$OB$36)</f>
        <v>0</v>
      </c>
      <c r="OL135" s="13">
        <f>OCC_DAYS*$OB$41*R_NF_2023-OD135*MCD_SHARE_FREED*R_WAIT_2023</f>
        <v>37367.159242427646</v>
      </c>
      <c r="OM135">
        <f>IF($A135&lt;=$OB$45,1,0)</f>
        <v>1</v>
      </c>
    </row>
    <row r="136">
      <c r="A136" t="n">
        <v>53</v>
      </c>
      <c r="B136">
        <f>IF($B$31&lt;=$B$32,IF($A136&lt;=$B$7,1,2),IF($A136&lt;=RUNG_BEDS_2,2,1))</f>
        <v>1</v>
      </c>
      <c r="C136" s="5">
        <f>MIN(1,MAX(0,$B$26-($A136-1)))</f>
        <v>1</v>
      </c>
      <c r="D136" s="5">
        <f>$B$25*(C136+(1-C136)*$B$16)</f>
        <v>252.05322714681438</v>
      </c>
      <c r="E136" s="13">
        <f>D136*($B$6+ACUTE_MARGIN)</f>
        <v>254573.7594182825</v>
      </c>
      <c r="F136" s="13">
        <f>IF(B136=1,$B$31,$B$32)</f>
        <v>152394.16214437486</v>
      </c>
      <c r="G136" s="13">
        <f>E136-F136</f>
        <v>102179.59727390765</v>
      </c>
      <c r="H136" s="13">
        <f>H135+G136</f>
        <v>5415518.655517105</v>
      </c>
      <c r="I136">
        <f>IF(H136=MAX($H$83:$H$483),$A136,0)</f>
        <v>0</v>
      </c>
      <c r="J136">
        <f>IF(E136&lt;F136,$A136,B_MAX+1)</f>
        <v>401.0</v>
      </c>
      <c r="K136" s="13">
        <f>IF(B136=1,$B$35,$B$36)</f>
        <v>0</v>
      </c>
      <c r="L136" s="13">
        <f>OCC_DAYS*$B$41*R_NF_2023-D136*MCD_SHARE_FREED*R_WAIT_2023</f>
        <v>37367.159242427646</v>
      </c>
      <c r="M136">
        <f>IF($A136&lt;=$B$45,1,0)</f>
        <v>1</v>
      </c>
      <c r="AB136">
        <f>IF($AB$31&lt;=$AB$32,IF($A136&lt;=$AB$7,1,2),IF($A136&lt;=RUNG_BEDS_2,2,1))</f>
        <v>1</v>
      </c>
      <c r="AC136" s="5">
        <f>MIN(1,MAX(0,$AB$26-($A136-1)))</f>
        <v>1</v>
      </c>
      <c r="AD136" s="5">
        <f>$AB$25*(AC136+(1-AC136)*$AB$16)</f>
        <v>252.05322714681438</v>
      </c>
      <c r="AE136" s="13">
        <f>AD136*($AB$6+ACUTE_MARGIN)</f>
        <v>138629.2749307479</v>
      </c>
      <c r="AF136" s="13">
        <f>IF(AB136=1,$AB$31,$AB$32)</f>
        <v>152394.16214437486</v>
      </c>
      <c r="AG136" s="13">
        <f>AE136-AF136</f>
        <v>-13764.887213626964</v>
      </c>
      <c r="AH136" s="13">
        <f>AH135+AG136</f>
        <v>-729539.02232223</v>
      </c>
      <c r="AI136">
        <f>IF(AH136=MAX($AH$83:$AH$483),$A136,0)</f>
        <v>0</v>
      </c>
      <c r="AJ136">
        <f>IF(AE136&lt;AF136,$A136,B_MAX+1)</f>
        <v>53</v>
      </c>
      <c r="AK136" s="13">
        <f>IF(AB136=1,$AB$35,$AB$36)</f>
        <v>0</v>
      </c>
      <c r="AL136" s="13">
        <f>OCC_DAYS*$AB$41*R_NF_2023-AD136*MCD_SHARE_FREED*R_WAIT_2023</f>
        <v>37367.159242427646</v>
      </c>
      <c r="AM136">
        <f>IF($A136&lt;=$AB$45,1,0)</f>
        <v>0</v>
      </c>
      <c r="BB136">
        <f>IF($BB$31&lt;=$BB$32,IF($A136&lt;=$BB$7,1,2),IF($A136&lt;=RUNG_BEDS_2,2,1))</f>
        <v>1</v>
      </c>
      <c r="BC136" s="5">
        <f>MIN(1,MAX(0,$BB$26-($A136-1)))</f>
        <v>1</v>
      </c>
      <c r="BD136" s="5">
        <f>$BB$25*(BC136+(1-BC136)*$BB$16)</f>
        <v>252.05322714681438</v>
      </c>
      <c r="BE136" s="13">
        <f>BD136*($BB$6+ACUTE_MARGIN)</f>
        <v>370518.24390581716</v>
      </c>
      <c r="BF136" s="13">
        <f>IF(BB136=1,$BB$31,$BB$32)</f>
        <v>152394.16214437486</v>
      </c>
      <c r="BG136" s="13">
        <f>BE136-BF136</f>
        <v>218124.0817614423</v>
      </c>
      <c r="BH136" s="13">
        <f>BH135+BG136</f>
        <v>11560576.333356434</v>
      </c>
      <c r="BI136">
        <f>IF(BH136=MAX($BH$83:$BH$483),$A136,0)</f>
        <v>0</v>
      </c>
      <c r="BJ136">
        <f>IF(BE136&lt;BF136,$A136,B_MAX+1)</f>
        <v>401.0</v>
      </c>
      <c r="BK136" s="13">
        <f>IF(BB136=1,$BB$35,$BB$36)</f>
        <v>0</v>
      </c>
      <c r="BL136" s="13">
        <f>OCC_DAYS*$BB$41*R_NF_2023-BD136*MCD_SHARE_FREED*R_WAIT_2023</f>
        <v>37367.159242427646</v>
      </c>
      <c r="BM136">
        <f>IF($A136&lt;=$BB$45,1,0)</f>
        <v>1</v>
      </c>
      <c r="CB136">
        <f>IF($CB$31&lt;=$CB$32,IF($A136&lt;=$CB$7,1,2),IF($A136&lt;=RUNG_BEDS_2,2,1))</f>
        <v>2</v>
      </c>
      <c r="CC136" s="5">
        <f>MIN(1,MAX(0,$CB$26-($A136-1)))</f>
        <v>1</v>
      </c>
      <c r="CD136" s="5">
        <f>$CB$25*(CC136+(1-CC136)*$CB$16)</f>
        <v>252.05322714681438</v>
      </c>
      <c r="CE136" s="13">
        <f>CD136*($CB$6+ACUTE_MARGIN)</f>
        <v>254573.7594182825</v>
      </c>
      <c r="CF136" s="13">
        <f>IF(CB136=1,$CB$31,$CB$32)</f>
        <v>160718.36940738867</v>
      </c>
      <c r="CG136" s="13">
        <f>CE136-CF136</f>
        <v>93855.39001089384</v>
      </c>
      <c r="CH136" s="13">
        <f>CH135+CG136</f>
        <v>4974335.670577376</v>
      </c>
      <c r="CI136">
        <f>IF(CH136=MAX($CH$83:$CH$483),$A136,0)</f>
        <v>0</v>
      </c>
      <c r="CJ136">
        <f>IF(CE136&lt;CF136,$A136,B_MAX+1)</f>
        <v>401.0</v>
      </c>
      <c r="CK136" s="13">
        <f>IF(CB136=1,$CB$35,$CB$36)</f>
        <v>1560.1194073886782</v>
      </c>
      <c r="CL136" s="13">
        <f>OCC_DAYS*$CB$41*R_NF_2023-CD136*MCD_SHARE_FREED*R_WAIT_2023</f>
        <v>37367.159242427646</v>
      </c>
      <c r="CM136">
        <f>IF($A136&lt;=$CB$45,1,0)</f>
        <v>1</v>
      </c>
      <c r="DB136">
        <f>IF($DB$31&lt;=$DB$32,IF($A136&lt;=$DB$7,1,2),IF($A136&lt;=RUNG_BEDS_2,2,1))</f>
        <v>1</v>
      </c>
      <c r="DC136" s="5">
        <f>MIN(1,MAX(0,$DB$26-($A136-1)))</f>
        <v>1</v>
      </c>
      <c r="DD136" s="5">
        <f>$DB$25*(DC136+(1-DC136)*$DB$16)</f>
        <v>252.05322714681438</v>
      </c>
      <c r="DE136" s="13">
        <f>DD136*($DB$6+ACUTE_MARGIN)</f>
        <v>254573.7594182825</v>
      </c>
      <c r="DF136" s="13">
        <f>IF(DB136=1,$DB$31,$DB$32)</f>
        <v>152394.16214437486</v>
      </c>
      <c r="DG136" s="13">
        <f>DE136-DF136</f>
        <v>102179.59727390765</v>
      </c>
      <c r="DH136" s="13">
        <f>DH135+DG136</f>
        <v>5415518.655517105</v>
      </c>
      <c r="DI136">
        <f>IF(DH136=MAX($DH$83:$DH$483),$A136,0)</f>
        <v>0</v>
      </c>
      <c r="DJ136">
        <f>IF(DE136&lt;DF136,$A136,B_MAX+1)</f>
        <v>401.0</v>
      </c>
      <c r="DK136" s="13">
        <f>IF(DB136=1,$DB$35,$DB$36)</f>
        <v>0</v>
      </c>
      <c r="DL136" s="13">
        <f>OCC_DAYS*$DB$41*R_NF_2023-DD136*MCD_SHARE_FREED*R_WAIT_2023</f>
        <v>37367.159242427646</v>
      </c>
      <c r="DM136">
        <f>IF($A136&lt;=$DB$45,1,0)</f>
        <v>1</v>
      </c>
      <c r="EB136">
        <f>IF($EB$31&lt;=$EB$32,IF($A136&lt;=$EB$7,1,2),IF($A136&lt;=RUNG_BEDS_2,2,1))</f>
        <v>1</v>
      </c>
      <c r="EC136" s="5">
        <f>MIN(1,MAX(0,$EB$26-($A136-1)))</f>
        <v>1</v>
      </c>
      <c r="ED136" s="5">
        <f>$EB$25*(EC136+(1-EC136)*$EB$16)</f>
        <v>252.05322714681438</v>
      </c>
      <c r="EE136" s="13">
        <f>ED136*($EB$6+ACUTE_MARGIN)</f>
        <v>254573.7594182825</v>
      </c>
      <c r="EF136" s="13">
        <f>IF(EB136=1,$EB$31,$EB$32)</f>
        <v>152394.16214437486</v>
      </c>
      <c r="EG136" s="13">
        <f>EE136-EF136</f>
        <v>102179.59727390765</v>
      </c>
      <c r="EH136" s="13">
        <f>EH135+EG136</f>
        <v>5415518.655517105</v>
      </c>
      <c r="EI136">
        <f>IF(EH136=MAX($EH$83:$EH$483),$A136,0)</f>
        <v>0</v>
      </c>
      <c r="EJ136">
        <f>IF(EE136&lt;EF136,$A136,B_MAX+1)</f>
        <v>401.0</v>
      </c>
      <c r="EK136" s="13">
        <f>IF(EB136=1,$EB$35,$EB$36)</f>
        <v>0</v>
      </c>
      <c r="EL136" s="13">
        <f>OCC_DAYS*$EB$41*R_NF_2023-ED136*MCD_SHARE_FREED*R_WAIT_2023</f>
        <v>-63953.16263896705</v>
      </c>
      <c r="EM136">
        <f>IF($A136&lt;=$EB$45,1,0)</f>
        <v>1</v>
      </c>
      <c r="FB136">
        <f>IF($FB$31&lt;=$FB$32,IF($A136&lt;=$FB$7,1,2),IF($A136&lt;=RUNG_BEDS_2,2,1))</f>
        <v>1</v>
      </c>
      <c r="FC136" s="5">
        <f>MIN(1,MAX(0,$FB$26-($A136-1)))</f>
        <v>1</v>
      </c>
      <c r="FD136" s="5">
        <f>$FB$25*(FC136+(1-FC136)*$FB$16)</f>
        <v>252.05322714681438</v>
      </c>
      <c r="FE136" s="13">
        <f>FD136*($FB$6+ACUTE_MARGIN)</f>
        <v>254573.7594182825</v>
      </c>
      <c r="FF136" s="13">
        <f>IF(FB136=1,$FB$31,$FB$32)</f>
        <v>156636.04979437485</v>
      </c>
      <c r="FG136" s="13">
        <f>FE136-FF136</f>
        <v>97937.70962390766</v>
      </c>
      <c r="FH136" s="13">
        <f>FH135+FG136</f>
        <v>5190698.610067107</v>
      </c>
      <c r="FI136">
        <f>IF(FH136=MAX($FH$83:$FH$483),$A136,0)</f>
        <v>0</v>
      </c>
      <c r="FJ136">
        <f>IF(FE136&lt;FF136,$A136,B_MAX+1)</f>
        <v>401.0</v>
      </c>
      <c r="FK136" s="13">
        <f>IF(FB136=1,$FB$35,$FB$36)</f>
        <v>0</v>
      </c>
      <c r="FL136" s="13">
        <f>OCC_DAYS*$FB$41*R_NF_2023-FD136*MCD_SHARE_FREED*R_WAIT_2023</f>
        <v>37367.159242427646</v>
      </c>
      <c r="FM136">
        <f>IF($A136&lt;=$FB$45,1,0)</f>
        <v>1</v>
      </c>
      <c r="GB136">
        <f>IF($GB$31&lt;=$GB$32,IF($A136&lt;=$GB$7,1,2),IF($A136&lt;=RUNG_BEDS_2,2,1))</f>
        <v>1</v>
      </c>
      <c r="GC136" s="5">
        <f>MIN(1,MAX(0,$GB$26-($A136-1)))</f>
        <v>1</v>
      </c>
      <c r="GD136" s="5">
        <f>$GB$25*(GC136+(1-GC136)*$GB$16)</f>
        <v>252.05322714681438</v>
      </c>
      <c r="GE136" s="13">
        <f>GD136*($GB$6+ACUTE_MARGIN)</f>
        <v>254573.7594182825</v>
      </c>
      <c r="GF136" s="13">
        <f>IF(GB136=1,$GB$31,$GB$32)</f>
        <v>152394.16214437486</v>
      </c>
      <c r="GG136" s="13">
        <f>GE136-GF136</f>
        <v>102179.59727390765</v>
      </c>
      <c r="GH136" s="13">
        <f>GH135+GG136</f>
        <v>5415518.655517105</v>
      </c>
      <c r="GI136">
        <f>IF(GH136=MAX($GH$83:$GH$483),$A136,0)</f>
        <v>0</v>
      </c>
      <c r="GJ136">
        <f>IF(GE136&lt;GF136,$A136,B_MAX+1)</f>
        <v>401.0</v>
      </c>
      <c r="GK136" s="13">
        <f>IF(GB136=1,$GB$35,$GB$36)</f>
        <v>0</v>
      </c>
      <c r="GL136" s="13">
        <f>OCC_DAYS*$GB$41*R_NF_2023-GD136*MCD_SHARE_FREED*R_WAIT_2023</f>
        <v>37367.159242427646</v>
      </c>
      <c r="GM136">
        <f>IF($A136&lt;=$GB$45,1,0)</f>
        <v>1</v>
      </c>
      <c r="HB136">
        <f>IF($HB$31&lt;=$HB$32,IF($A136&lt;=$HB$7,1,2),IF($A136&lt;=RUNG_BEDS_2,2,1))</f>
        <v>1</v>
      </c>
      <c r="HC136" s="5">
        <f>MIN(1,MAX(0,$HB$26-($A136-1)))</f>
        <v>1</v>
      </c>
      <c r="HD136" s="5">
        <f>$HB$25*(HC136+(1-HC136)*$HB$16)</f>
        <v>252.05322714681438</v>
      </c>
      <c r="HE136" s="13">
        <f>HD136*($HB$6+ACUTE_MARGIN)</f>
        <v>254573.7594182825</v>
      </c>
      <c r="HF136" s="13">
        <f>IF(HB136=1,$HB$31,$HB$32)</f>
        <v>152456.2970814058</v>
      </c>
      <c r="HG136" s="13">
        <f>HE136-HF136</f>
        <v>102117.46233687672</v>
      </c>
      <c r="HH136" s="13">
        <f>HH135+HG136</f>
        <v>5412225.503854466</v>
      </c>
      <c r="HI136">
        <f>IF(HH136=MAX($HH$83:$HH$483),$A136,0)</f>
        <v>0</v>
      </c>
      <c r="HJ136">
        <f>IF(HE136&lt;HF136,$A136,B_MAX+1)</f>
        <v>401.0</v>
      </c>
      <c r="HK136" s="13">
        <f>IF(HB136=1,$HB$35,$HB$36)</f>
        <v>0</v>
      </c>
      <c r="HL136" s="13">
        <f>OCC_DAYS*$HB$41*R_NF_2023-HD136*MCD_SHARE_FREED*R_WAIT_2023</f>
        <v>37367.159242427646</v>
      </c>
      <c r="HM136">
        <f>IF($A136&lt;=$HB$45,1,0)</f>
        <v>1</v>
      </c>
      <c r="IB136">
        <f>IF($IB$31&lt;=$IB$32,IF($A136&lt;=$IB$7,1,2),IF($A136&lt;=RUNG_BEDS_2,2,1))</f>
        <v>1</v>
      </c>
      <c r="IC136" s="5">
        <f>MIN(1,MAX(0,$IB$26-($A136-1)))</f>
        <v>1</v>
      </c>
      <c r="ID136" s="5">
        <f>$IB$25*(IC136+(1-IC136)*$IB$16)</f>
        <v>252.05322714681438</v>
      </c>
      <c r="IE136" s="13">
        <f>ID136*($IB$6+ACUTE_MARGIN)</f>
        <v>254573.7594182825</v>
      </c>
      <c r="IF136" s="13">
        <f>IF(IB136=1,$IB$31,$IB$32)</f>
        <v>152734.9994534971</v>
      </c>
      <c r="IG136" s="13">
        <f>IE136-IF136</f>
        <v>101838.75996478542</v>
      </c>
      <c r="IH136" s="13">
        <f>IH135+IG136</f>
        <v>5397454.278133632</v>
      </c>
      <c r="II136">
        <f>IF(IH136=MAX($IH$83:$IH$483),$A136,0)</f>
        <v>0</v>
      </c>
      <c r="IJ136">
        <f>IF(IE136&lt;IF136,$A136,B_MAX+1)</f>
        <v>401.0</v>
      </c>
      <c r="IK136" s="13">
        <f>IF(IB136=1,$IB$35,$IB$36)</f>
        <v>0</v>
      </c>
      <c r="IL136" s="13">
        <f>OCC_DAYS*$IB$41*R_NF_2023-ID136*MCD_SHARE_FREED*R_WAIT_2023</f>
        <v>37367.159242427646</v>
      </c>
      <c r="IM136">
        <f>IF($A136&lt;=$IB$45,1,0)</f>
        <v>1</v>
      </c>
      <c r="JB136">
        <f>IF($JB$31&lt;=$JB$32,IF($A136&lt;=$JB$7,1,2),IF($A136&lt;=RUNG_BEDS_2,2,1))</f>
        <v>1</v>
      </c>
      <c r="JC136" s="5">
        <f>MIN(1,MAX(0,$JB$26-($A136-1)))</f>
        <v>1</v>
      </c>
      <c r="JD136" s="5">
        <f>$JB$25*(JC136+(1-JC136)*$JB$16)</f>
        <v>252.05322714681438</v>
      </c>
      <c r="JE136" s="13">
        <f>JD136*($JB$6+ACUTE_MARGIN)</f>
        <v>254573.7594182825</v>
      </c>
      <c r="JF136" s="13">
        <f>IF(JB136=1,$JB$31,$JB$32)</f>
        <v>152394.16214437486</v>
      </c>
      <c r="JG136" s="13">
        <f>JE136-JF136</f>
        <v>102179.59727390765</v>
      </c>
      <c r="JH136" s="13">
        <f>JH135+JG136</f>
        <v>5415518.655517105</v>
      </c>
      <c r="JI136">
        <f>IF(JH136=MAX($JH$83:$JH$483),$A136,0)</f>
        <v>0</v>
      </c>
      <c r="JJ136">
        <f>IF(JE136&lt;JF136,$A136,B_MAX+1)</f>
        <v>401.0</v>
      </c>
      <c r="JK136" s="13">
        <f>IF(JB136=1,$JB$35,$JB$36)</f>
        <v>0</v>
      </c>
      <c r="JL136" s="13">
        <f>OCC_DAYS*$JB$41*R_NF_2023-JD136*MCD_SHARE_FREED*R_WAIT_2023</f>
        <v>37367.159242427646</v>
      </c>
      <c r="JM136">
        <f>IF($A136&lt;=$JB$45,1,0)</f>
        <v>1</v>
      </c>
      <c r="KB136">
        <f>IF($KB$31&lt;=$KB$32,IF($A136&lt;=$KB$7,1,2),IF($A136&lt;=RUNG_BEDS_2,2,1))</f>
        <v>1</v>
      </c>
      <c r="KC136" s="5">
        <f>MIN(1,MAX(0,$KB$26-($A136-1)))</f>
        <v>1</v>
      </c>
      <c r="KD136" s="5">
        <f>$KB$25*(KC136+(1-KC136)*$KB$16)</f>
        <v>126.02661357340719</v>
      </c>
      <c r="KE136" s="13">
        <f>KD136*($KB$6+ACUTE_MARGIN)</f>
        <v>127286.87970914126</v>
      </c>
      <c r="KF136" s="13">
        <f>IF(KB136=1,$KB$31,$KB$32)</f>
        <v>152394.16214437486</v>
      </c>
      <c r="KG136" s="13">
        <f>KE136-KF136</f>
        <v>-25107.282435233603</v>
      </c>
      <c r="KH136" s="13">
        <f>KH135+KG136</f>
        <v>-1330685.9690673817</v>
      </c>
      <c r="KI136">
        <f>IF(KH136=MAX($KH$83:$KH$483),$A136,0)</f>
        <v>0</v>
      </c>
      <c r="KJ136">
        <f>IF(KE136&lt;KF136,$A136,B_MAX+1)</f>
        <v>53</v>
      </c>
      <c r="KK136" s="13">
        <f>IF(KB136=1,$KB$35,$KB$36)</f>
        <v>0</v>
      </c>
      <c r="KL136" s="13">
        <f>OCC_DAYS*$KB$41*R_NF_2023-KD136*MCD_SHARE_FREED*R_WAIT_2023</f>
        <v>94673.82103225985</v>
      </c>
      <c r="KM136">
        <f>IF($A136&lt;=$KB$45,1,0)</f>
        <v>0</v>
      </c>
      <c r="LB136">
        <f>IF($LB$31&lt;=$LB$32,IF($A136&lt;=$LB$7,1,2),IF($A136&lt;=RUNG_BEDS_2,2,1))</f>
        <v>1</v>
      </c>
      <c r="LC136" s="5">
        <f>MIN(1,MAX(0,$LB$26-($A136-1)))</f>
        <v>1</v>
      </c>
      <c r="LD136" s="5">
        <f>$LB$25*(LC136+(1-LC136)*$LB$16)</f>
        <v>84.01774238227146</v>
      </c>
      <c r="LE136" s="13">
        <f>LD136*($LB$6+ACUTE_MARGIN)</f>
        <v>84857.91980609419</v>
      </c>
      <c r="LF136" s="13">
        <f>IF(LB136=1,$LB$31,$LB$32)</f>
        <v>152394.16214437486</v>
      </c>
      <c r="LG136" s="13">
        <f>LE136-LF136</f>
        <v>-67536.24233828067</v>
      </c>
      <c r="LH136" s="13">
        <f>LH135+LG136</f>
        <v>-3579420.8439288754</v>
      </c>
      <c r="LI136">
        <f>IF(LH136=MAX($LH$83:$LH$483),$A136,0)</f>
        <v>0</v>
      </c>
      <c r="LJ136">
        <f>IF(LE136&lt;LF136,$A136,B_MAX+1)</f>
        <v>53</v>
      </c>
      <c r="LK136" s="13">
        <f>IF(LB136=1,$LB$35,$LB$36)</f>
        <v>0</v>
      </c>
      <c r="LL136" s="13">
        <f>OCC_DAYS*$LB$41*R_NF_2023-LD136*MCD_SHARE_FREED*R_WAIT_2023</f>
        <v>113776.04162887059</v>
      </c>
      <c r="LM136">
        <f>IF($A136&lt;=$LB$45,1,0)</f>
        <v>0</v>
      </c>
      <c r="MB136">
        <f>IF($MB$31&lt;=$MB$32,IF($A136&lt;=$MB$7,1,2),IF($A136&lt;=RUNG_BEDS_2,2,1))</f>
        <v>1</v>
      </c>
      <c r="MC136" s="5">
        <f>MIN(1,MAX(0,$MB$26-($A136-1)))</f>
        <v>1</v>
      </c>
      <c r="MD136" s="5">
        <f>$MB$25*(MC136+(1-MC136)*$MB$16)</f>
        <v>213.44610951008647</v>
      </c>
      <c r="ME136" s="13">
        <f>MD136*($MB$6+ACUTE_MARGIN)</f>
        <v>215580.57060518733</v>
      </c>
      <c r="MF136" s="13">
        <f>IF(MB136=1,$MB$31,$MB$32)</f>
        <v>152394.16214437486</v>
      </c>
      <c r="MG136" s="13">
        <f>ME136-MF136</f>
        <v>63186.40846081247</v>
      </c>
      <c r="MH136" s="13">
        <f>MH135+MG136</f>
        <v>3348879.6484230626</v>
      </c>
      <c r="MI136">
        <f>IF(MH136=MAX($MH$83:$MH$483),$A136,0)</f>
        <v>0</v>
      </c>
      <c r="MJ136">
        <f>IF(ME136&lt;MF136,$A136,B_MAX+1)</f>
        <v>401.0</v>
      </c>
      <c r="MK136" s="13">
        <f>IF(MB136=1,$MB$35,$MB$36)</f>
        <v>0</v>
      </c>
      <c r="ML136" s="13">
        <f>OCC_DAYS*$MB$41*R_NF_2023-MD136*MCD_SHARE_FREED*R_WAIT_2023</f>
        <v>54922.538779778624</v>
      </c>
      <c r="MM136">
        <f>IF($A136&lt;=$MB$45,1,0)</f>
        <v>1</v>
      </c>
      <c r="NB136">
        <f>IF($NB$31&lt;=$NB$32,IF($A136&lt;=$NB$7,1,2),IF($A136&lt;=RUNG_BEDS_2,2,1))</f>
        <v>1</v>
      </c>
      <c r="NC136" s="5">
        <f>MIN(1,MAX(0,$NB$26-($A136-1)))</f>
        <v>1</v>
      </c>
      <c r="ND136" s="5">
        <f>$NB$25*(NC136+(1-NC136)*$NB$16)</f>
        <v>252.05322714681438</v>
      </c>
      <c r="NE136" s="13">
        <f>ND136*($NB$6+ACUTE_MARGIN)</f>
        <v>254573.7594182825</v>
      </c>
      <c r="NF136" s="13">
        <f>IF(NB136=1,$NB$31,$NB$32)</f>
        <v>152394.16214437486</v>
      </c>
      <c r="NG136" s="13">
        <f>NE136-NF136</f>
        <v>102179.59727390765</v>
      </c>
      <c r="NH136" s="13">
        <f>NH135+NG136</f>
        <v>5415518.655517105</v>
      </c>
      <c r="NI136">
        <f>IF(NH136=MAX($NH$83:$NH$483),$A136,0)</f>
        <v>0</v>
      </c>
      <c r="NJ136">
        <f>IF(NE136&lt;NF136,$A136,B_MAX+1)</f>
        <v>401.0</v>
      </c>
      <c r="NK136" s="13">
        <f>IF(NB136=1,$NB$35,$NB$36)</f>
        <v>0</v>
      </c>
      <c r="NL136" s="13">
        <f>OCC_DAYS*$NB$41*R_NF_2023-ND136*MCD_SHARE_FREED*R_WAIT_2023</f>
        <v>37367.159242427646</v>
      </c>
      <c r="NM136">
        <f>IF($A136&lt;=$NB$45,1,0)</f>
        <v>1</v>
      </c>
      <c r="OB136">
        <f>IF($OB$31&lt;=$OB$32,IF($A136&lt;=$OB$7,1,2),IF($A136&lt;=RUNG_BEDS_2,2,1))</f>
        <v>1</v>
      </c>
      <c r="OC136" s="5">
        <f>MIN(1,MAX(0,$OB$26-($A136-1)))</f>
        <v>1</v>
      </c>
      <c r="OD136" s="5">
        <f>$OB$25*(OC136+(1-OC136)*$OB$16)</f>
        <v>252.05322714681438</v>
      </c>
      <c r="OE136" s="13">
        <f>OD136*($OB$6+ACUTE_MARGIN)</f>
        <v>254573.7594182825</v>
      </c>
      <c r="OF136" s="13">
        <f>IF(OB136=1,$OB$31,$OB$32)</f>
        <v>152394.16214437486</v>
      </c>
      <c r="OG136" s="13">
        <f>OE136-OF136</f>
        <v>102179.59727390765</v>
      </c>
      <c r="OH136" s="13">
        <f>OH135+OG136</f>
        <v>5415518.655517105</v>
      </c>
      <c r="OI136">
        <f>IF(OH136=MAX($OH$83:$OH$483),$A136,0)</f>
        <v>0</v>
      </c>
      <c r="OJ136">
        <f>IF(OE136&lt;OF136,$A136,B_MAX+1)</f>
        <v>401.0</v>
      </c>
      <c r="OK136" s="13">
        <f>IF(OB136=1,$OB$35,$OB$36)</f>
        <v>0</v>
      </c>
      <c r="OL136" s="13">
        <f>OCC_DAYS*$OB$41*R_NF_2023-OD136*MCD_SHARE_FREED*R_WAIT_2023</f>
        <v>37367.159242427646</v>
      </c>
      <c r="OM136">
        <f>IF($A136&lt;=$OB$45,1,0)</f>
        <v>1</v>
      </c>
    </row>
    <row r="137">
      <c r="A137" t="n">
        <v>54</v>
      </c>
      <c r="B137">
        <f>IF($B$31&lt;=$B$32,IF($A137&lt;=$B$7,1,2),IF($A137&lt;=RUNG_BEDS_2,2,1))</f>
        <v>1</v>
      </c>
      <c r="C137" s="5">
        <f>MIN(1,MAX(0,$B$26-($A137-1)))</f>
        <v>1</v>
      </c>
      <c r="D137" s="5">
        <f>$B$25*(C137+(1-C137)*$B$16)</f>
        <v>252.05322714681438</v>
      </c>
      <c r="E137" s="13">
        <f>D137*($B$6+ACUTE_MARGIN)</f>
        <v>254573.7594182825</v>
      </c>
      <c r="F137" s="13">
        <f>IF(B137=1,$B$31,$B$32)</f>
        <v>152394.16214437486</v>
      </c>
      <c r="G137" s="13">
        <f>E137-F137</f>
        <v>102179.59727390765</v>
      </c>
      <c r="H137" s="13">
        <f>H136+G137</f>
        <v>5517698.252791013</v>
      </c>
      <c r="I137">
        <f>IF(H137=MAX($H$83:$H$483),$A137,0)</f>
        <v>0</v>
      </c>
      <c r="J137">
        <f>IF(E137&lt;F137,$A137,B_MAX+1)</f>
        <v>401.0</v>
      </c>
      <c r="K137" s="13">
        <f>IF(B137=1,$B$35,$B$36)</f>
        <v>0</v>
      </c>
      <c r="L137" s="13">
        <f>OCC_DAYS*$B$41*R_NF_2023-D137*MCD_SHARE_FREED*R_WAIT_2023</f>
        <v>37367.159242427646</v>
      </c>
      <c r="M137">
        <f>IF($A137&lt;=$B$45,1,0)</f>
        <v>1</v>
      </c>
      <c r="AB137">
        <f>IF($AB$31&lt;=$AB$32,IF($A137&lt;=$AB$7,1,2),IF($A137&lt;=RUNG_BEDS_2,2,1))</f>
        <v>1</v>
      </c>
      <c r="AC137" s="5">
        <f>MIN(1,MAX(0,$AB$26-($A137-1)))</f>
        <v>1</v>
      </c>
      <c r="AD137" s="5">
        <f>$AB$25*(AC137+(1-AC137)*$AB$16)</f>
        <v>252.05322714681438</v>
      </c>
      <c r="AE137" s="13">
        <f>AD137*($AB$6+ACUTE_MARGIN)</f>
        <v>138629.2749307479</v>
      </c>
      <c r="AF137" s="13">
        <f>IF(AB137=1,$AB$31,$AB$32)</f>
        <v>152394.16214437486</v>
      </c>
      <c r="AG137" s="13">
        <f>AE137-AF137</f>
        <v>-13764.887213626964</v>
      </c>
      <c r="AH137" s="13">
        <f>AH136+AG137</f>
        <v>-743303.909535857</v>
      </c>
      <c r="AI137">
        <f>IF(AH137=MAX($AH$83:$AH$483),$A137,0)</f>
        <v>0</v>
      </c>
      <c r="AJ137">
        <f>IF(AE137&lt;AF137,$A137,B_MAX+1)</f>
        <v>54</v>
      </c>
      <c r="AK137" s="13">
        <f>IF(AB137=1,$AB$35,$AB$36)</f>
        <v>0</v>
      </c>
      <c r="AL137" s="13">
        <f>OCC_DAYS*$AB$41*R_NF_2023-AD137*MCD_SHARE_FREED*R_WAIT_2023</f>
        <v>37367.159242427646</v>
      </c>
      <c r="AM137">
        <f>IF($A137&lt;=$AB$45,1,0)</f>
        <v>0</v>
      </c>
      <c r="BB137">
        <f>IF($BB$31&lt;=$BB$32,IF($A137&lt;=$BB$7,1,2),IF($A137&lt;=RUNG_BEDS_2,2,1))</f>
        <v>1</v>
      </c>
      <c r="BC137" s="5">
        <f>MIN(1,MAX(0,$BB$26-($A137-1)))</f>
        <v>1</v>
      </c>
      <c r="BD137" s="5">
        <f>$BB$25*(BC137+(1-BC137)*$BB$16)</f>
        <v>252.05322714681438</v>
      </c>
      <c r="BE137" s="13">
        <f>BD137*($BB$6+ACUTE_MARGIN)</f>
        <v>370518.24390581716</v>
      </c>
      <c r="BF137" s="13">
        <f>IF(BB137=1,$BB$31,$BB$32)</f>
        <v>152394.16214437486</v>
      </c>
      <c r="BG137" s="13">
        <f>BE137-BF137</f>
        <v>218124.0817614423</v>
      </c>
      <c r="BH137" s="13">
        <f>BH136+BG137</f>
        <v>11778700.415117877</v>
      </c>
      <c r="BI137">
        <f>IF(BH137=MAX($BH$83:$BH$483),$A137,0)</f>
        <v>0</v>
      </c>
      <c r="BJ137">
        <f>IF(BE137&lt;BF137,$A137,B_MAX+1)</f>
        <v>401.0</v>
      </c>
      <c r="BK137" s="13">
        <f>IF(BB137=1,$BB$35,$BB$36)</f>
        <v>0</v>
      </c>
      <c r="BL137" s="13">
        <f>OCC_DAYS*$BB$41*R_NF_2023-BD137*MCD_SHARE_FREED*R_WAIT_2023</f>
        <v>37367.159242427646</v>
      </c>
      <c r="BM137">
        <f>IF($A137&lt;=$BB$45,1,0)</f>
        <v>1</v>
      </c>
      <c r="CB137">
        <f>IF($CB$31&lt;=$CB$32,IF($A137&lt;=$CB$7,1,2),IF($A137&lt;=RUNG_BEDS_2,2,1))</f>
        <v>2</v>
      </c>
      <c r="CC137" s="5">
        <f>MIN(1,MAX(0,$CB$26-($A137-1)))</f>
        <v>1</v>
      </c>
      <c r="CD137" s="5">
        <f>$CB$25*(CC137+(1-CC137)*$CB$16)</f>
        <v>252.05322714681438</v>
      </c>
      <c r="CE137" s="13">
        <f>CD137*($CB$6+ACUTE_MARGIN)</f>
        <v>254573.7594182825</v>
      </c>
      <c r="CF137" s="13">
        <f>IF(CB137=1,$CB$31,$CB$32)</f>
        <v>160718.36940738867</v>
      </c>
      <c r="CG137" s="13">
        <f>CE137-CF137</f>
        <v>93855.39001089384</v>
      </c>
      <c r="CH137" s="13">
        <f>CH136+CG137</f>
        <v>5068191.06058827</v>
      </c>
      <c r="CI137">
        <f>IF(CH137=MAX($CH$83:$CH$483),$A137,0)</f>
        <v>0</v>
      </c>
      <c r="CJ137">
        <f>IF(CE137&lt;CF137,$A137,B_MAX+1)</f>
        <v>401.0</v>
      </c>
      <c r="CK137" s="13">
        <f>IF(CB137=1,$CB$35,$CB$36)</f>
        <v>1560.1194073886782</v>
      </c>
      <c r="CL137" s="13">
        <f>OCC_DAYS*$CB$41*R_NF_2023-CD137*MCD_SHARE_FREED*R_WAIT_2023</f>
        <v>37367.159242427646</v>
      </c>
      <c r="CM137">
        <f>IF($A137&lt;=$CB$45,1,0)</f>
        <v>1</v>
      </c>
      <c r="DB137">
        <f>IF($DB$31&lt;=$DB$32,IF($A137&lt;=$DB$7,1,2),IF($A137&lt;=RUNG_BEDS_2,2,1))</f>
        <v>1</v>
      </c>
      <c r="DC137" s="5">
        <f>MIN(1,MAX(0,$DB$26-($A137-1)))</f>
        <v>1</v>
      </c>
      <c r="DD137" s="5">
        <f>$DB$25*(DC137+(1-DC137)*$DB$16)</f>
        <v>252.05322714681438</v>
      </c>
      <c r="DE137" s="13">
        <f>DD137*($DB$6+ACUTE_MARGIN)</f>
        <v>254573.7594182825</v>
      </c>
      <c r="DF137" s="13">
        <f>IF(DB137=1,$DB$31,$DB$32)</f>
        <v>152394.16214437486</v>
      </c>
      <c r="DG137" s="13">
        <f>DE137-DF137</f>
        <v>102179.59727390765</v>
      </c>
      <c r="DH137" s="13">
        <f>DH136+DG137</f>
        <v>5517698.252791013</v>
      </c>
      <c r="DI137">
        <f>IF(DH137=MAX($DH$83:$DH$483),$A137,0)</f>
        <v>0</v>
      </c>
      <c r="DJ137">
        <f>IF(DE137&lt;DF137,$A137,B_MAX+1)</f>
        <v>401.0</v>
      </c>
      <c r="DK137" s="13">
        <f>IF(DB137=1,$DB$35,$DB$36)</f>
        <v>0</v>
      </c>
      <c r="DL137" s="13">
        <f>OCC_DAYS*$DB$41*R_NF_2023-DD137*MCD_SHARE_FREED*R_WAIT_2023</f>
        <v>37367.159242427646</v>
      </c>
      <c r="DM137">
        <f>IF($A137&lt;=$DB$45,1,0)</f>
        <v>1</v>
      </c>
      <c r="EB137">
        <f>IF($EB$31&lt;=$EB$32,IF($A137&lt;=$EB$7,1,2),IF($A137&lt;=RUNG_BEDS_2,2,1))</f>
        <v>1</v>
      </c>
      <c r="EC137" s="5">
        <f>MIN(1,MAX(0,$EB$26-($A137-1)))</f>
        <v>1</v>
      </c>
      <c r="ED137" s="5">
        <f>$EB$25*(EC137+(1-EC137)*$EB$16)</f>
        <v>252.05322714681438</v>
      </c>
      <c r="EE137" s="13">
        <f>ED137*($EB$6+ACUTE_MARGIN)</f>
        <v>254573.7594182825</v>
      </c>
      <c r="EF137" s="13">
        <f>IF(EB137=1,$EB$31,$EB$32)</f>
        <v>152394.16214437486</v>
      </c>
      <c r="EG137" s="13">
        <f>EE137-EF137</f>
        <v>102179.59727390765</v>
      </c>
      <c r="EH137" s="13">
        <f>EH136+EG137</f>
        <v>5517698.252791013</v>
      </c>
      <c r="EI137">
        <f>IF(EH137=MAX($EH$83:$EH$483),$A137,0)</f>
        <v>0</v>
      </c>
      <c r="EJ137">
        <f>IF(EE137&lt;EF137,$A137,B_MAX+1)</f>
        <v>401.0</v>
      </c>
      <c r="EK137" s="13">
        <f>IF(EB137=1,$EB$35,$EB$36)</f>
        <v>0</v>
      </c>
      <c r="EL137" s="13">
        <f>OCC_DAYS*$EB$41*R_NF_2023-ED137*MCD_SHARE_FREED*R_WAIT_2023</f>
        <v>-63953.16263896705</v>
      </c>
      <c r="EM137">
        <f>IF($A137&lt;=$EB$45,1,0)</f>
        <v>1</v>
      </c>
      <c r="FB137">
        <f>IF($FB$31&lt;=$FB$32,IF($A137&lt;=$FB$7,1,2),IF($A137&lt;=RUNG_BEDS_2,2,1))</f>
        <v>1</v>
      </c>
      <c r="FC137" s="5">
        <f>MIN(1,MAX(0,$FB$26-($A137-1)))</f>
        <v>1</v>
      </c>
      <c r="FD137" s="5">
        <f>$FB$25*(FC137+(1-FC137)*$FB$16)</f>
        <v>252.05322714681438</v>
      </c>
      <c r="FE137" s="13">
        <f>FD137*($FB$6+ACUTE_MARGIN)</f>
        <v>254573.7594182825</v>
      </c>
      <c r="FF137" s="13">
        <f>IF(FB137=1,$FB$31,$FB$32)</f>
        <v>156636.04979437485</v>
      </c>
      <c r="FG137" s="13">
        <f>FE137-FF137</f>
        <v>97937.70962390766</v>
      </c>
      <c r="FH137" s="13">
        <f>FH136+FG137</f>
        <v>5288636.3196910145</v>
      </c>
      <c r="FI137">
        <f>IF(FH137=MAX($FH$83:$FH$483),$A137,0)</f>
        <v>0</v>
      </c>
      <c r="FJ137">
        <f>IF(FE137&lt;FF137,$A137,B_MAX+1)</f>
        <v>401.0</v>
      </c>
      <c r="FK137" s="13">
        <f>IF(FB137=1,$FB$35,$FB$36)</f>
        <v>0</v>
      </c>
      <c r="FL137" s="13">
        <f>OCC_DAYS*$FB$41*R_NF_2023-FD137*MCD_SHARE_FREED*R_WAIT_2023</f>
        <v>37367.159242427646</v>
      </c>
      <c r="FM137">
        <f>IF($A137&lt;=$FB$45,1,0)</f>
        <v>1</v>
      </c>
      <c r="GB137">
        <f>IF($GB$31&lt;=$GB$32,IF($A137&lt;=$GB$7,1,2),IF($A137&lt;=RUNG_BEDS_2,2,1))</f>
        <v>1</v>
      </c>
      <c r="GC137" s="5">
        <f>MIN(1,MAX(0,$GB$26-($A137-1)))</f>
        <v>1</v>
      </c>
      <c r="GD137" s="5">
        <f>$GB$25*(GC137+(1-GC137)*$GB$16)</f>
        <v>252.05322714681438</v>
      </c>
      <c r="GE137" s="13">
        <f>GD137*($GB$6+ACUTE_MARGIN)</f>
        <v>254573.7594182825</v>
      </c>
      <c r="GF137" s="13">
        <f>IF(GB137=1,$GB$31,$GB$32)</f>
        <v>152394.16214437486</v>
      </c>
      <c r="GG137" s="13">
        <f>GE137-GF137</f>
        <v>102179.59727390765</v>
      </c>
      <c r="GH137" s="13">
        <f>GH136+GG137</f>
        <v>5517698.252791013</v>
      </c>
      <c r="GI137">
        <f>IF(GH137=MAX($GH$83:$GH$483),$A137,0)</f>
        <v>0</v>
      </c>
      <c r="GJ137">
        <f>IF(GE137&lt;GF137,$A137,B_MAX+1)</f>
        <v>401.0</v>
      </c>
      <c r="GK137" s="13">
        <f>IF(GB137=1,$GB$35,$GB$36)</f>
        <v>0</v>
      </c>
      <c r="GL137" s="13">
        <f>OCC_DAYS*$GB$41*R_NF_2023-GD137*MCD_SHARE_FREED*R_WAIT_2023</f>
        <v>37367.159242427646</v>
      </c>
      <c r="GM137">
        <f>IF($A137&lt;=$GB$45,1,0)</f>
        <v>1</v>
      </c>
      <c r="HB137">
        <f>IF($HB$31&lt;=$HB$32,IF($A137&lt;=$HB$7,1,2),IF($A137&lt;=RUNG_BEDS_2,2,1))</f>
        <v>1</v>
      </c>
      <c r="HC137" s="5">
        <f>MIN(1,MAX(0,$HB$26-($A137-1)))</f>
        <v>1</v>
      </c>
      <c r="HD137" s="5">
        <f>$HB$25*(HC137+(1-HC137)*$HB$16)</f>
        <v>252.05322714681438</v>
      </c>
      <c r="HE137" s="13">
        <f>HD137*($HB$6+ACUTE_MARGIN)</f>
        <v>254573.7594182825</v>
      </c>
      <c r="HF137" s="13">
        <f>IF(HB137=1,$HB$31,$HB$32)</f>
        <v>152456.2970814058</v>
      </c>
      <c r="HG137" s="13">
        <f>HE137-HF137</f>
        <v>102117.46233687672</v>
      </c>
      <c r="HH137" s="13">
        <f>HH136+HG137</f>
        <v>5514342.966191342</v>
      </c>
      <c r="HI137">
        <f>IF(HH137=MAX($HH$83:$HH$483),$A137,0)</f>
        <v>0</v>
      </c>
      <c r="HJ137">
        <f>IF(HE137&lt;HF137,$A137,B_MAX+1)</f>
        <v>401.0</v>
      </c>
      <c r="HK137" s="13">
        <f>IF(HB137=1,$HB$35,$HB$36)</f>
        <v>0</v>
      </c>
      <c r="HL137" s="13">
        <f>OCC_DAYS*$HB$41*R_NF_2023-HD137*MCD_SHARE_FREED*R_WAIT_2023</f>
        <v>37367.159242427646</v>
      </c>
      <c r="HM137">
        <f>IF($A137&lt;=$HB$45,1,0)</f>
        <v>1</v>
      </c>
      <c r="IB137">
        <f>IF($IB$31&lt;=$IB$32,IF($A137&lt;=$IB$7,1,2),IF($A137&lt;=RUNG_BEDS_2,2,1))</f>
        <v>1</v>
      </c>
      <c r="IC137" s="5">
        <f>MIN(1,MAX(0,$IB$26-($A137-1)))</f>
        <v>1</v>
      </c>
      <c r="ID137" s="5">
        <f>$IB$25*(IC137+(1-IC137)*$IB$16)</f>
        <v>252.05322714681438</v>
      </c>
      <c r="IE137" s="13">
        <f>ID137*($IB$6+ACUTE_MARGIN)</f>
        <v>254573.7594182825</v>
      </c>
      <c r="IF137" s="13">
        <f>IF(IB137=1,$IB$31,$IB$32)</f>
        <v>152734.9994534971</v>
      </c>
      <c r="IG137" s="13">
        <f>IE137-IF137</f>
        <v>101838.75996478542</v>
      </c>
      <c r="IH137" s="13">
        <f>IH136+IG137</f>
        <v>5499293.038098417</v>
      </c>
      <c r="II137">
        <f>IF(IH137=MAX($IH$83:$IH$483),$A137,0)</f>
        <v>0</v>
      </c>
      <c r="IJ137">
        <f>IF(IE137&lt;IF137,$A137,B_MAX+1)</f>
        <v>401.0</v>
      </c>
      <c r="IK137" s="13">
        <f>IF(IB137=1,$IB$35,$IB$36)</f>
        <v>0</v>
      </c>
      <c r="IL137" s="13">
        <f>OCC_DAYS*$IB$41*R_NF_2023-ID137*MCD_SHARE_FREED*R_WAIT_2023</f>
        <v>37367.159242427646</v>
      </c>
      <c r="IM137">
        <f>IF($A137&lt;=$IB$45,1,0)</f>
        <v>1</v>
      </c>
      <c r="JB137">
        <f>IF($JB$31&lt;=$JB$32,IF($A137&lt;=$JB$7,1,2),IF($A137&lt;=RUNG_BEDS_2,2,1))</f>
        <v>1</v>
      </c>
      <c r="JC137" s="5">
        <f>MIN(1,MAX(0,$JB$26-($A137-1)))</f>
        <v>1</v>
      </c>
      <c r="JD137" s="5">
        <f>$JB$25*(JC137+(1-JC137)*$JB$16)</f>
        <v>252.05322714681438</v>
      </c>
      <c r="JE137" s="13">
        <f>JD137*($JB$6+ACUTE_MARGIN)</f>
        <v>254573.7594182825</v>
      </c>
      <c r="JF137" s="13">
        <f>IF(JB137=1,$JB$31,$JB$32)</f>
        <v>152394.16214437486</v>
      </c>
      <c r="JG137" s="13">
        <f>JE137-JF137</f>
        <v>102179.59727390765</v>
      </c>
      <c r="JH137" s="13">
        <f>JH136+JG137</f>
        <v>5517698.252791013</v>
      </c>
      <c r="JI137">
        <f>IF(JH137=MAX($JH$83:$JH$483),$A137,0)</f>
        <v>0</v>
      </c>
      <c r="JJ137">
        <f>IF(JE137&lt;JF137,$A137,B_MAX+1)</f>
        <v>401.0</v>
      </c>
      <c r="JK137" s="13">
        <f>IF(JB137=1,$JB$35,$JB$36)</f>
        <v>0</v>
      </c>
      <c r="JL137" s="13">
        <f>OCC_DAYS*$JB$41*R_NF_2023-JD137*MCD_SHARE_FREED*R_WAIT_2023</f>
        <v>37367.159242427646</v>
      </c>
      <c r="JM137">
        <f>IF($A137&lt;=$JB$45,1,0)</f>
        <v>1</v>
      </c>
      <c r="KB137">
        <f>IF($KB$31&lt;=$KB$32,IF($A137&lt;=$KB$7,1,2),IF($A137&lt;=RUNG_BEDS_2,2,1))</f>
        <v>1</v>
      </c>
      <c r="KC137" s="5">
        <f>MIN(1,MAX(0,$KB$26-($A137-1)))</f>
        <v>1</v>
      </c>
      <c r="KD137" s="5">
        <f>$KB$25*(KC137+(1-KC137)*$KB$16)</f>
        <v>126.02661357340719</v>
      </c>
      <c r="KE137" s="13">
        <f>KD137*($KB$6+ACUTE_MARGIN)</f>
        <v>127286.87970914126</v>
      </c>
      <c r="KF137" s="13">
        <f>IF(KB137=1,$KB$31,$KB$32)</f>
        <v>152394.16214437486</v>
      </c>
      <c r="KG137" s="13">
        <f>KE137-KF137</f>
        <v>-25107.282435233603</v>
      </c>
      <c r="KH137" s="13">
        <f>KH136+KG137</f>
        <v>-1355793.2515026154</v>
      </c>
      <c r="KI137">
        <f>IF(KH137=MAX($KH$83:$KH$483),$A137,0)</f>
        <v>0</v>
      </c>
      <c r="KJ137">
        <f>IF(KE137&lt;KF137,$A137,B_MAX+1)</f>
        <v>54</v>
      </c>
      <c r="KK137" s="13">
        <f>IF(KB137=1,$KB$35,$KB$36)</f>
        <v>0</v>
      </c>
      <c r="KL137" s="13">
        <f>OCC_DAYS*$KB$41*R_NF_2023-KD137*MCD_SHARE_FREED*R_WAIT_2023</f>
        <v>94673.82103225985</v>
      </c>
      <c r="KM137">
        <f>IF($A137&lt;=$KB$45,1,0)</f>
        <v>0</v>
      </c>
      <c r="LB137">
        <f>IF($LB$31&lt;=$LB$32,IF($A137&lt;=$LB$7,1,2),IF($A137&lt;=RUNG_BEDS_2,2,1))</f>
        <v>1</v>
      </c>
      <c r="LC137" s="5">
        <f>MIN(1,MAX(0,$LB$26-($A137-1)))</f>
        <v>1</v>
      </c>
      <c r="LD137" s="5">
        <f>$LB$25*(LC137+(1-LC137)*$LB$16)</f>
        <v>84.01774238227146</v>
      </c>
      <c r="LE137" s="13">
        <f>LD137*($LB$6+ACUTE_MARGIN)</f>
        <v>84857.91980609419</v>
      </c>
      <c r="LF137" s="13">
        <f>IF(LB137=1,$LB$31,$LB$32)</f>
        <v>152394.16214437486</v>
      </c>
      <c r="LG137" s="13">
        <f>LE137-LF137</f>
        <v>-67536.24233828067</v>
      </c>
      <c r="LH137" s="13">
        <f>LH136+LG137</f>
        <v>-3646957.086267156</v>
      </c>
      <c r="LI137">
        <f>IF(LH137=MAX($LH$83:$LH$483),$A137,0)</f>
        <v>0</v>
      </c>
      <c r="LJ137">
        <f>IF(LE137&lt;LF137,$A137,B_MAX+1)</f>
        <v>54</v>
      </c>
      <c r="LK137" s="13">
        <f>IF(LB137=1,$LB$35,$LB$36)</f>
        <v>0</v>
      </c>
      <c r="LL137" s="13">
        <f>OCC_DAYS*$LB$41*R_NF_2023-LD137*MCD_SHARE_FREED*R_WAIT_2023</f>
        <v>113776.04162887059</v>
      </c>
      <c r="LM137">
        <f>IF($A137&lt;=$LB$45,1,0)</f>
        <v>0</v>
      </c>
      <c r="MB137">
        <f>IF($MB$31&lt;=$MB$32,IF($A137&lt;=$MB$7,1,2),IF($A137&lt;=RUNG_BEDS_2,2,1))</f>
        <v>1</v>
      </c>
      <c r="MC137" s="5">
        <f>MIN(1,MAX(0,$MB$26-($A137-1)))</f>
        <v>1</v>
      </c>
      <c r="MD137" s="5">
        <f>$MB$25*(MC137+(1-MC137)*$MB$16)</f>
        <v>213.44610951008647</v>
      </c>
      <c r="ME137" s="13">
        <f>MD137*($MB$6+ACUTE_MARGIN)</f>
        <v>215580.57060518733</v>
      </c>
      <c r="MF137" s="13">
        <f>IF(MB137=1,$MB$31,$MB$32)</f>
        <v>152394.16214437486</v>
      </c>
      <c r="MG137" s="13">
        <f>ME137-MF137</f>
        <v>63186.40846081247</v>
      </c>
      <c r="MH137" s="13">
        <f>MH136+MG137</f>
        <v>3412066.0568838753</v>
      </c>
      <c r="MI137">
        <f>IF(MH137=MAX($MH$83:$MH$483),$A137,0)</f>
        <v>0</v>
      </c>
      <c r="MJ137">
        <f>IF(ME137&lt;MF137,$A137,B_MAX+1)</f>
        <v>401.0</v>
      </c>
      <c r="MK137" s="13">
        <f>IF(MB137=1,$MB$35,$MB$36)</f>
        <v>0</v>
      </c>
      <c r="ML137" s="13">
        <f>OCC_DAYS*$MB$41*R_NF_2023-MD137*MCD_SHARE_FREED*R_WAIT_2023</f>
        <v>54922.538779778624</v>
      </c>
      <c r="MM137">
        <f>IF($A137&lt;=$MB$45,1,0)</f>
        <v>1</v>
      </c>
      <c r="NB137">
        <f>IF($NB$31&lt;=$NB$32,IF($A137&lt;=$NB$7,1,2),IF($A137&lt;=RUNG_BEDS_2,2,1))</f>
        <v>1</v>
      </c>
      <c r="NC137" s="5">
        <f>MIN(1,MAX(0,$NB$26-($A137-1)))</f>
        <v>1</v>
      </c>
      <c r="ND137" s="5">
        <f>$NB$25*(NC137+(1-NC137)*$NB$16)</f>
        <v>252.05322714681438</v>
      </c>
      <c r="NE137" s="13">
        <f>ND137*($NB$6+ACUTE_MARGIN)</f>
        <v>254573.7594182825</v>
      </c>
      <c r="NF137" s="13">
        <f>IF(NB137=1,$NB$31,$NB$32)</f>
        <v>152394.16214437486</v>
      </c>
      <c r="NG137" s="13">
        <f>NE137-NF137</f>
        <v>102179.59727390765</v>
      </c>
      <c r="NH137" s="13">
        <f>NH136+NG137</f>
        <v>5517698.252791013</v>
      </c>
      <c r="NI137">
        <f>IF(NH137=MAX($NH$83:$NH$483),$A137,0)</f>
        <v>0</v>
      </c>
      <c r="NJ137">
        <f>IF(NE137&lt;NF137,$A137,B_MAX+1)</f>
        <v>401.0</v>
      </c>
      <c r="NK137" s="13">
        <f>IF(NB137=1,$NB$35,$NB$36)</f>
        <v>0</v>
      </c>
      <c r="NL137" s="13">
        <f>OCC_DAYS*$NB$41*R_NF_2023-ND137*MCD_SHARE_FREED*R_WAIT_2023</f>
        <v>37367.159242427646</v>
      </c>
      <c r="NM137">
        <f>IF($A137&lt;=$NB$45,1,0)</f>
        <v>1</v>
      </c>
      <c r="OB137">
        <f>IF($OB$31&lt;=$OB$32,IF($A137&lt;=$OB$7,1,2),IF($A137&lt;=RUNG_BEDS_2,2,1))</f>
        <v>1</v>
      </c>
      <c r="OC137" s="5">
        <f>MIN(1,MAX(0,$OB$26-($A137-1)))</f>
        <v>1</v>
      </c>
      <c r="OD137" s="5">
        <f>$OB$25*(OC137+(1-OC137)*$OB$16)</f>
        <v>252.05322714681438</v>
      </c>
      <c r="OE137" s="13">
        <f>OD137*($OB$6+ACUTE_MARGIN)</f>
        <v>254573.7594182825</v>
      </c>
      <c r="OF137" s="13">
        <f>IF(OB137=1,$OB$31,$OB$32)</f>
        <v>152394.16214437486</v>
      </c>
      <c r="OG137" s="13">
        <f>OE137-OF137</f>
        <v>102179.59727390765</v>
      </c>
      <c r="OH137" s="13">
        <f>OH136+OG137</f>
        <v>5517698.252791013</v>
      </c>
      <c r="OI137">
        <f>IF(OH137=MAX($OH$83:$OH$483),$A137,0)</f>
        <v>0</v>
      </c>
      <c r="OJ137">
        <f>IF(OE137&lt;OF137,$A137,B_MAX+1)</f>
        <v>401.0</v>
      </c>
      <c r="OK137" s="13">
        <f>IF(OB137=1,$OB$35,$OB$36)</f>
        <v>0</v>
      </c>
      <c r="OL137" s="13">
        <f>OCC_DAYS*$OB$41*R_NF_2023-OD137*MCD_SHARE_FREED*R_WAIT_2023</f>
        <v>37367.159242427646</v>
      </c>
      <c r="OM137">
        <f>IF($A137&lt;=$OB$45,1,0)</f>
        <v>1</v>
      </c>
    </row>
    <row r="138">
      <c r="A138" t="n">
        <v>55</v>
      </c>
      <c r="B138">
        <f>IF($B$31&lt;=$B$32,IF($A138&lt;=$B$7,1,2),IF($A138&lt;=RUNG_BEDS_2,2,1))</f>
        <v>1</v>
      </c>
      <c r="C138" s="5">
        <f>MIN(1,MAX(0,$B$26-($A138-1)))</f>
        <v>1</v>
      </c>
      <c r="D138" s="5">
        <f>$B$25*(C138+(1-C138)*$B$16)</f>
        <v>252.05322714681438</v>
      </c>
      <c r="E138" s="13">
        <f>D138*($B$6+ACUTE_MARGIN)</f>
        <v>254573.7594182825</v>
      </c>
      <c r="F138" s="13">
        <f>IF(B138=1,$B$31,$B$32)</f>
        <v>152394.16214437486</v>
      </c>
      <c r="G138" s="13">
        <f>E138-F138</f>
        <v>102179.59727390765</v>
      </c>
      <c r="H138" s="13">
        <f>H137+G138</f>
        <v>5619877.85006492</v>
      </c>
      <c r="I138">
        <f>IF(H138=MAX($H$83:$H$483),$A138,0)</f>
        <v>0</v>
      </c>
      <c r="J138">
        <f>IF(E138&lt;F138,$A138,B_MAX+1)</f>
        <v>401.0</v>
      </c>
      <c r="K138" s="13">
        <f>IF(B138=1,$B$35,$B$36)</f>
        <v>0</v>
      </c>
      <c r="L138" s="13">
        <f>OCC_DAYS*$B$41*R_NF_2023-D138*MCD_SHARE_FREED*R_WAIT_2023</f>
        <v>37367.159242427646</v>
      </c>
      <c r="M138">
        <f>IF($A138&lt;=$B$45,1,0)</f>
        <v>1</v>
      </c>
      <c r="AB138">
        <f>IF($AB$31&lt;=$AB$32,IF($A138&lt;=$AB$7,1,2),IF($A138&lt;=RUNG_BEDS_2,2,1))</f>
        <v>1</v>
      </c>
      <c r="AC138" s="5">
        <f>MIN(1,MAX(0,$AB$26-($A138-1)))</f>
        <v>1</v>
      </c>
      <c r="AD138" s="5">
        <f>$AB$25*(AC138+(1-AC138)*$AB$16)</f>
        <v>252.05322714681438</v>
      </c>
      <c r="AE138" s="13">
        <f>AD138*($AB$6+ACUTE_MARGIN)</f>
        <v>138629.2749307479</v>
      </c>
      <c r="AF138" s="13">
        <f>IF(AB138=1,$AB$31,$AB$32)</f>
        <v>152394.16214437486</v>
      </c>
      <c r="AG138" s="13">
        <f>AE138-AF138</f>
        <v>-13764.887213626964</v>
      </c>
      <c r="AH138" s="13">
        <f>AH137+AG138</f>
        <v>-757068.796749484</v>
      </c>
      <c r="AI138">
        <f>IF(AH138=MAX($AH$83:$AH$483),$A138,0)</f>
        <v>0</v>
      </c>
      <c r="AJ138">
        <f>IF(AE138&lt;AF138,$A138,B_MAX+1)</f>
        <v>55</v>
      </c>
      <c r="AK138" s="13">
        <f>IF(AB138=1,$AB$35,$AB$36)</f>
        <v>0</v>
      </c>
      <c r="AL138" s="13">
        <f>OCC_DAYS*$AB$41*R_NF_2023-AD138*MCD_SHARE_FREED*R_WAIT_2023</f>
        <v>37367.159242427646</v>
      </c>
      <c r="AM138">
        <f>IF($A138&lt;=$AB$45,1,0)</f>
        <v>0</v>
      </c>
      <c r="BB138">
        <f>IF($BB$31&lt;=$BB$32,IF($A138&lt;=$BB$7,1,2),IF($A138&lt;=RUNG_BEDS_2,2,1))</f>
        <v>1</v>
      </c>
      <c r="BC138" s="5">
        <f>MIN(1,MAX(0,$BB$26-($A138-1)))</f>
        <v>1</v>
      </c>
      <c r="BD138" s="5">
        <f>$BB$25*(BC138+(1-BC138)*$BB$16)</f>
        <v>252.05322714681438</v>
      </c>
      <c r="BE138" s="13">
        <f>BD138*($BB$6+ACUTE_MARGIN)</f>
        <v>370518.24390581716</v>
      </c>
      <c r="BF138" s="13">
        <f>IF(BB138=1,$BB$31,$BB$32)</f>
        <v>152394.16214437486</v>
      </c>
      <c r="BG138" s="13">
        <f>BE138-BF138</f>
        <v>218124.0817614423</v>
      </c>
      <c r="BH138" s="13">
        <f>BH137+BG138</f>
        <v>11996824.496879319</v>
      </c>
      <c r="BI138">
        <f>IF(BH138=MAX($BH$83:$BH$483),$A138,0)</f>
        <v>0</v>
      </c>
      <c r="BJ138">
        <f>IF(BE138&lt;BF138,$A138,B_MAX+1)</f>
        <v>401.0</v>
      </c>
      <c r="BK138" s="13">
        <f>IF(BB138=1,$BB$35,$BB$36)</f>
        <v>0</v>
      </c>
      <c r="BL138" s="13">
        <f>OCC_DAYS*$BB$41*R_NF_2023-BD138*MCD_SHARE_FREED*R_WAIT_2023</f>
        <v>37367.159242427646</v>
      </c>
      <c r="BM138">
        <f>IF($A138&lt;=$BB$45,1,0)</f>
        <v>1</v>
      </c>
      <c r="CB138">
        <f>IF($CB$31&lt;=$CB$32,IF($A138&lt;=$CB$7,1,2),IF($A138&lt;=RUNG_BEDS_2,2,1))</f>
        <v>2</v>
      </c>
      <c r="CC138" s="5">
        <f>MIN(1,MAX(0,$CB$26-($A138-1)))</f>
        <v>1</v>
      </c>
      <c r="CD138" s="5">
        <f>$CB$25*(CC138+(1-CC138)*$CB$16)</f>
        <v>252.05322714681438</v>
      </c>
      <c r="CE138" s="13">
        <f>CD138*($CB$6+ACUTE_MARGIN)</f>
        <v>254573.7594182825</v>
      </c>
      <c r="CF138" s="13">
        <f>IF(CB138=1,$CB$31,$CB$32)</f>
        <v>160718.36940738867</v>
      </c>
      <c r="CG138" s="13">
        <f>CE138-CF138</f>
        <v>93855.39001089384</v>
      </c>
      <c r="CH138" s="13">
        <f>CH137+CG138</f>
        <v>5162046.450599165</v>
      </c>
      <c r="CI138">
        <f>IF(CH138=MAX($CH$83:$CH$483),$A138,0)</f>
        <v>0</v>
      </c>
      <c r="CJ138">
        <f>IF(CE138&lt;CF138,$A138,B_MAX+1)</f>
        <v>401.0</v>
      </c>
      <c r="CK138" s="13">
        <f>IF(CB138=1,$CB$35,$CB$36)</f>
        <v>1560.1194073886782</v>
      </c>
      <c r="CL138" s="13">
        <f>OCC_DAYS*$CB$41*R_NF_2023-CD138*MCD_SHARE_FREED*R_WAIT_2023</f>
        <v>37367.159242427646</v>
      </c>
      <c r="CM138">
        <f>IF($A138&lt;=$CB$45,1,0)</f>
        <v>1</v>
      </c>
      <c r="DB138">
        <f>IF($DB$31&lt;=$DB$32,IF($A138&lt;=$DB$7,1,2),IF($A138&lt;=RUNG_BEDS_2,2,1))</f>
        <v>1</v>
      </c>
      <c r="DC138" s="5">
        <f>MIN(1,MAX(0,$DB$26-($A138-1)))</f>
        <v>1</v>
      </c>
      <c r="DD138" s="5">
        <f>$DB$25*(DC138+(1-DC138)*$DB$16)</f>
        <v>252.05322714681438</v>
      </c>
      <c r="DE138" s="13">
        <f>DD138*($DB$6+ACUTE_MARGIN)</f>
        <v>254573.7594182825</v>
      </c>
      <c r="DF138" s="13">
        <f>IF(DB138=1,$DB$31,$DB$32)</f>
        <v>152394.16214437486</v>
      </c>
      <c r="DG138" s="13">
        <f>DE138-DF138</f>
        <v>102179.59727390765</v>
      </c>
      <c r="DH138" s="13">
        <f>DH137+DG138</f>
        <v>5619877.85006492</v>
      </c>
      <c r="DI138">
        <f>IF(DH138=MAX($DH$83:$DH$483),$A138,0)</f>
        <v>0</v>
      </c>
      <c r="DJ138">
        <f>IF(DE138&lt;DF138,$A138,B_MAX+1)</f>
        <v>401.0</v>
      </c>
      <c r="DK138" s="13">
        <f>IF(DB138=1,$DB$35,$DB$36)</f>
        <v>0</v>
      </c>
      <c r="DL138" s="13">
        <f>OCC_DAYS*$DB$41*R_NF_2023-DD138*MCD_SHARE_FREED*R_WAIT_2023</f>
        <v>37367.159242427646</v>
      </c>
      <c r="DM138">
        <f>IF($A138&lt;=$DB$45,1,0)</f>
        <v>1</v>
      </c>
      <c r="EB138">
        <f>IF($EB$31&lt;=$EB$32,IF($A138&lt;=$EB$7,1,2),IF($A138&lt;=RUNG_BEDS_2,2,1))</f>
        <v>1</v>
      </c>
      <c r="EC138" s="5">
        <f>MIN(1,MAX(0,$EB$26-($A138-1)))</f>
        <v>1</v>
      </c>
      <c r="ED138" s="5">
        <f>$EB$25*(EC138+(1-EC138)*$EB$16)</f>
        <v>252.05322714681438</v>
      </c>
      <c r="EE138" s="13">
        <f>ED138*($EB$6+ACUTE_MARGIN)</f>
        <v>254573.7594182825</v>
      </c>
      <c r="EF138" s="13">
        <f>IF(EB138=1,$EB$31,$EB$32)</f>
        <v>152394.16214437486</v>
      </c>
      <c r="EG138" s="13">
        <f>EE138-EF138</f>
        <v>102179.59727390765</v>
      </c>
      <c r="EH138" s="13">
        <f>EH137+EG138</f>
        <v>5619877.85006492</v>
      </c>
      <c r="EI138">
        <f>IF(EH138=MAX($EH$83:$EH$483),$A138,0)</f>
        <v>0</v>
      </c>
      <c r="EJ138">
        <f>IF(EE138&lt;EF138,$A138,B_MAX+1)</f>
        <v>401.0</v>
      </c>
      <c r="EK138" s="13">
        <f>IF(EB138=1,$EB$35,$EB$36)</f>
        <v>0</v>
      </c>
      <c r="EL138" s="13">
        <f>OCC_DAYS*$EB$41*R_NF_2023-ED138*MCD_SHARE_FREED*R_WAIT_2023</f>
        <v>-63953.16263896705</v>
      </c>
      <c r="EM138">
        <f>IF($A138&lt;=$EB$45,1,0)</f>
        <v>1</v>
      </c>
      <c r="FB138">
        <f>IF($FB$31&lt;=$FB$32,IF($A138&lt;=$FB$7,1,2),IF($A138&lt;=RUNG_BEDS_2,2,1))</f>
        <v>1</v>
      </c>
      <c r="FC138" s="5">
        <f>MIN(1,MAX(0,$FB$26-($A138-1)))</f>
        <v>1</v>
      </c>
      <c r="FD138" s="5">
        <f>$FB$25*(FC138+(1-FC138)*$FB$16)</f>
        <v>252.05322714681438</v>
      </c>
      <c r="FE138" s="13">
        <f>FD138*($FB$6+ACUTE_MARGIN)</f>
        <v>254573.7594182825</v>
      </c>
      <c r="FF138" s="13">
        <f>IF(FB138=1,$FB$31,$FB$32)</f>
        <v>156636.04979437485</v>
      </c>
      <c r="FG138" s="13">
        <f>FE138-FF138</f>
        <v>97937.70962390766</v>
      </c>
      <c r="FH138" s="13">
        <f>FH137+FG138</f>
        <v>5386574.029314922</v>
      </c>
      <c r="FI138">
        <f>IF(FH138=MAX($FH$83:$FH$483),$A138,0)</f>
        <v>0</v>
      </c>
      <c r="FJ138">
        <f>IF(FE138&lt;FF138,$A138,B_MAX+1)</f>
        <v>401.0</v>
      </c>
      <c r="FK138" s="13">
        <f>IF(FB138=1,$FB$35,$FB$36)</f>
        <v>0</v>
      </c>
      <c r="FL138" s="13">
        <f>OCC_DAYS*$FB$41*R_NF_2023-FD138*MCD_SHARE_FREED*R_WAIT_2023</f>
        <v>37367.159242427646</v>
      </c>
      <c r="FM138">
        <f>IF($A138&lt;=$FB$45,1,0)</f>
        <v>1</v>
      </c>
      <c r="GB138">
        <f>IF($GB$31&lt;=$GB$32,IF($A138&lt;=$GB$7,1,2),IF($A138&lt;=RUNG_BEDS_2,2,1))</f>
        <v>1</v>
      </c>
      <c r="GC138" s="5">
        <f>MIN(1,MAX(0,$GB$26-($A138-1)))</f>
        <v>1</v>
      </c>
      <c r="GD138" s="5">
        <f>$GB$25*(GC138+(1-GC138)*$GB$16)</f>
        <v>252.05322714681438</v>
      </c>
      <c r="GE138" s="13">
        <f>GD138*($GB$6+ACUTE_MARGIN)</f>
        <v>254573.7594182825</v>
      </c>
      <c r="GF138" s="13">
        <f>IF(GB138=1,$GB$31,$GB$32)</f>
        <v>152394.16214437486</v>
      </c>
      <c r="GG138" s="13">
        <f>GE138-GF138</f>
        <v>102179.59727390765</v>
      </c>
      <c r="GH138" s="13">
        <f>GH137+GG138</f>
        <v>5619877.85006492</v>
      </c>
      <c r="GI138">
        <f>IF(GH138=MAX($GH$83:$GH$483),$A138,0)</f>
        <v>0</v>
      </c>
      <c r="GJ138">
        <f>IF(GE138&lt;GF138,$A138,B_MAX+1)</f>
        <v>401.0</v>
      </c>
      <c r="GK138" s="13">
        <f>IF(GB138=1,$GB$35,$GB$36)</f>
        <v>0</v>
      </c>
      <c r="GL138" s="13">
        <f>OCC_DAYS*$GB$41*R_NF_2023-GD138*MCD_SHARE_FREED*R_WAIT_2023</f>
        <v>37367.159242427646</v>
      </c>
      <c r="GM138">
        <f>IF($A138&lt;=$GB$45,1,0)</f>
        <v>1</v>
      </c>
      <c r="HB138">
        <f>IF($HB$31&lt;=$HB$32,IF($A138&lt;=$HB$7,1,2),IF($A138&lt;=RUNG_BEDS_2,2,1))</f>
        <v>1</v>
      </c>
      <c r="HC138" s="5">
        <f>MIN(1,MAX(0,$HB$26-($A138-1)))</f>
        <v>1</v>
      </c>
      <c r="HD138" s="5">
        <f>$HB$25*(HC138+(1-HC138)*$HB$16)</f>
        <v>252.05322714681438</v>
      </c>
      <c r="HE138" s="13">
        <f>HD138*($HB$6+ACUTE_MARGIN)</f>
        <v>254573.7594182825</v>
      </c>
      <c r="HF138" s="13">
        <f>IF(HB138=1,$HB$31,$HB$32)</f>
        <v>152456.2970814058</v>
      </c>
      <c r="HG138" s="13">
        <f>HE138-HF138</f>
        <v>102117.46233687672</v>
      </c>
      <c r="HH138" s="13">
        <f>HH137+HG138</f>
        <v>5616460.4285282185</v>
      </c>
      <c r="HI138">
        <f>IF(HH138=MAX($HH$83:$HH$483),$A138,0)</f>
        <v>0</v>
      </c>
      <c r="HJ138">
        <f>IF(HE138&lt;HF138,$A138,B_MAX+1)</f>
        <v>401.0</v>
      </c>
      <c r="HK138" s="13">
        <f>IF(HB138=1,$HB$35,$HB$36)</f>
        <v>0</v>
      </c>
      <c r="HL138" s="13">
        <f>OCC_DAYS*$HB$41*R_NF_2023-HD138*MCD_SHARE_FREED*R_WAIT_2023</f>
        <v>37367.159242427646</v>
      </c>
      <c r="HM138">
        <f>IF($A138&lt;=$HB$45,1,0)</f>
        <v>1</v>
      </c>
      <c r="IB138">
        <f>IF($IB$31&lt;=$IB$32,IF($A138&lt;=$IB$7,1,2),IF($A138&lt;=RUNG_BEDS_2,2,1))</f>
        <v>1</v>
      </c>
      <c r="IC138" s="5">
        <f>MIN(1,MAX(0,$IB$26-($A138-1)))</f>
        <v>1</v>
      </c>
      <c r="ID138" s="5">
        <f>$IB$25*(IC138+(1-IC138)*$IB$16)</f>
        <v>252.05322714681438</v>
      </c>
      <c r="IE138" s="13">
        <f>ID138*($IB$6+ACUTE_MARGIN)</f>
        <v>254573.7594182825</v>
      </c>
      <c r="IF138" s="13">
        <f>IF(IB138=1,$IB$31,$IB$32)</f>
        <v>152734.9994534971</v>
      </c>
      <c r="IG138" s="13">
        <f>IE138-IF138</f>
        <v>101838.75996478542</v>
      </c>
      <c r="IH138" s="13">
        <f>IH137+IG138</f>
        <v>5601131.798063203</v>
      </c>
      <c r="II138">
        <f>IF(IH138=MAX($IH$83:$IH$483),$A138,0)</f>
        <v>0</v>
      </c>
      <c r="IJ138">
        <f>IF(IE138&lt;IF138,$A138,B_MAX+1)</f>
        <v>401.0</v>
      </c>
      <c r="IK138" s="13">
        <f>IF(IB138=1,$IB$35,$IB$36)</f>
        <v>0</v>
      </c>
      <c r="IL138" s="13">
        <f>OCC_DAYS*$IB$41*R_NF_2023-ID138*MCD_SHARE_FREED*R_WAIT_2023</f>
        <v>37367.159242427646</v>
      </c>
      <c r="IM138">
        <f>IF($A138&lt;=$IB$45,1,0)</f>
        <v>1</v>
      </c>
      <c r="JB138">
        <f>IF($JB$31&lt;=$JB$32,IF($A138&lt;=$JB$7,1,2),IF($A138&lt;=RUNG_BEDS_2,2,1))</f>
        <v>1</v>
      </c>
      <c r="JC138" s="5">
        <f>MIN(1,MAX(0,$JB$26-($A138-1)))</f>
        <v>1</v>
      </c>
      <c r="JD138" s="5">
        <f>$JB$25*(JC138+(1-JC138)*$JB$16)</f>
        <v>252.05322714681438</v>
      </c>
      <c r="JE138" s="13">
        <f>JD138*($JB$6+ACUTE_MARGIN)</f>
        <v>254573.7594182825</v>
      </c>
      <c r="JF138" s="13">
        <f>IF(JB138=1,$JB$31,$JB$32)</f>
        <v>152394.16214437486</v>
      </c>
      <c r="JG138" s="13">
        <f>JE138-JF138</f>
        <v>102179.59727390765</v>
      </c>
      <c r="JH138" s="13">
        <f>JH137+JG138</f>
        <v>5619877.85006492</v>
      </c>
      <c r="JI138">
        <f>IF(JH138=MAX($JH$83:$JH$483),$A138,0)</f>
        <v>0</v>
      </c>
      <c r="JJ138">
        <f>IF(JE138&lt;JF138,$A138,B_MAX+1)</f>
        <v>401.0</v>
      </c>
      <c r="JK138" s="13">
        <f>IF(JB138=1,$JB$35,$JB$36)</f>
        <v>0</v>
      </c>
      <c r="JL138" s="13">
        <f>OCC_DAYS*$JB$41*R_NF_2023-JD138*MCD_SHARE_FREED*R_WAIT_2023</f>
        <v>37367.159242427646</v>
      </c>
      <c r="JM138">
        <f>IF($A138&lt;=$JB$45,1,0)</f>
        <v>1</v>
      </c>
      <c r="KB138">
        <f>IF($KB$31&lt;=$KB$32,IF($A138&lt;=$KB$7,1,2),IF($A138&lt;=RUNG_BEDS_2,2,1))</f>
        <v>1</v>
      </c>
      <c r="KC138" s="5">
        <f>MIN(1,MAX(0,$KB$26-($A138-1)))</f>
        <v>1</v>
      </c>
      <c r="KD138" s="5">
        <f>$KB$25*(KC138+(1-KC138)*$KB$16)</f>
        <v>126.02661357340719</v>
      </c>
      <c r="KE138" s="13">
        <f>KD138*($KB$6+ACUTE_MARGIN)</f>
        <v>127286.87970914126</v>
      </c>
      <c r="KF138" s="13">
        <f>IF(KB138=1,$KB$31,$KB$32)</f>
        <v>152394.16214437486</v>
      </c>
      <c r="KG138" s="13">
        <f>KE138-KF138</f>
        <v>-25107.282435233603</v>
      </c>
      <c r="KH138" s="13">
        <f>KH137+KG138</f>
        <v>-1380900.533937849</v>
      </c>
      <c r="KI138">
        <f>IF(KH138=MAX($KH$83:$KH$483),$A138,0)</f>
        <v>0</v>
      </c>
      <c r="KJ138">
        <f>IF(KE138&lt;KF138,$A138,B_MAX+1)</f>
        <v>55</v>
      </c>
      <c r="KK138" s="13">
        <f>IF(KB138=1,$KB$35,$KB$36)</f>
        <v>0</v>
      </c>
      <c r="KL138" s="13">
        <f>OCC_DAYS*$KB$41*R_NF_2023-KD138*MCD_SHARE_FREED*R_WAIT_2023</f>
        <v>94673.82103225985</v>
      </c>
      <c r="KM138">
        <f>IF($A138&lt;=$KB$45,1,0)</f>
        <v>0</v>
      </c>
      <c r="LB138">
        <f>IF($LB$31&lt;=$LB$32,IF($A138&lt;=$LB$7,1,2),IF($A138&lt;=RUNG_BEDS_2,2,1))</f>
        <v>1</v>
      </c>
      <c r="LC138" s="5">
        <f>MIN(1,MAX(0,$LB$26-($A138-1)))</f>
        <v>1</v>
      </c>
      <c r="LD138" s="5">
        <f>$LB$25*(LC138+(1-LC138)*$LB$16)</f>
        <v>84.01774238227146</v>
      </c>
      <c r="LE138" s="13">
        <f>LD138*($LB$6+ACUTE_MARGIN)</f>
        <v>84857.91980609419</v>
      </c>
      <c r="LF138" s="13">
        <f>IF(LB138=1,$LB$31,$LB$32)</f>
        <v>152394.16214437486</v>
      </c>
      <c r="LG138" s="13">
        <f>LE138-LF138</f>
        <v>-67536.24233828067</v>
      </c>
      <c r="LH138" s="13">
        <f>LH137+LG138</f>
        <v>-3714493.3286054367</v>
      </c>
      <c r="LI138">
        <f>IF(LH138=MAX($LH$83:$LH$483),$A138,0)</f>
        <v>0</v>
      </c>
      <c r="LJ138">
        <f>IF(LE138&lt;LF138,$A138,B_MAX+1)</f>
        <v>55</v>
      </c>
      <c r="LK138" s="13">
        <f>IF(LB138=1,$LB$35,$LB$36)</f>
        <v>0</v>
      </c>
      <c r="LL138" s="13">
        <f>OCC_DAYS*$LB$41*R_NF_2023-LD138*MCD_SHARE_FREED*R_WAIT_2023</f>
        <v>113776.04162887059</v>
      </c>
      <c r="LM138">
        <f>IF($A138&lt;=$LB$45,1,0)</f>
        <v>0</v>
      </c>
      <c r="MB138">
        <f>IF($MB$31&lt;=$MB$32,IF($A138&lt;=$MB$7,1,2),IF($A138&lt;=RUNG_BEDS_2,2,1))</f>
        <v>1</v>
      </c>
      <c r="MC138" s="5">
        <f>MIN(1,MAX(0,$MB$26-($A138-1)))</f>
        <v>1</v>
      </c>
      <c r="MD138" s="5">
        <f>$MB$25*(MC138+(1-MC138)*$MB$16)</f>
        <v>213.44610951008647</v>
      </c>
      <c r="ME138" s="13">
        <f>MD138*($MB$6+ACUTE_MARGIN)</f>
        <v>215580.57060518733</v>
      </c>
      <c r="MF138" s="13">
        <f>IF(MB138=1,$MB$31,$MB$32)</f>
        <v>152394.16214437486</v>
      </c>
      <c r="MG138" s="13">
        <f>ME138-MF138</f>
        <v>63186.40846081247</v>
      </c>
      <c r="MH138" s="13">
        <f>MH137+MG138</f>
        <v>3475252.465344688</v>
      </c>
      <c r="MI138">
        <f>IF(MH138=MAX($MH$83:$MH$483),$A138,0)</f>
        <v>0</v>
      </c>
      <c r="MJ138">
        <f>IF(ME138&lt;MF138,$A138,B_MAX+1)</f>
        <v>401.0</v>
      </c>
      <c r="MK138" s="13">
        <f>IF(MB138=1,$MB$35,$MB$36)</f>
        <v>0</v>
      </c>
      <c r="ML138" s="13">
        <f>OCC_DAYS*$MB$41*R_NF_2023-MD138*MCD_SHARE_FREED*R_WAIT_2023</f>
        <v>54922.538779778624</v>
      </c>
      <c r="MM138">
        <f>IF($A138&lt;=$MB$45,1,0)</f>
        <v>1</v>
      </c>
      <c r="NB138">
        <f>IF($NB$31&lt;=$NB$32,IF($A138&lt;=$NB$7,1,2),IF($A138&lt;=RUNG_BEDS_2,2,1))</f>
        <v>1</v>
      </c>
      <c r="NC138" s="5">
        <f>MIN(1,MAX(0,$NB$26-($A138-1)))</f>
        <v>1</v>
      </c>
      <c r="ND138" s="5">
        <f>$NB$25*(NC138+(1-NC138)*$NB$16)</f>
        <v>252.05322714681438</v>
      </c>
      <c r="NE138" s="13">
        <f>ND138*($NB$6+ACUTE_MARGIN)</f>
        <v>254573.7594182825</v>
      </c>
      <c r="NF138" s="13">
        <f>IF(NB138=1,$NB$31,$NB$32)</f>
        <v>152394.16214437486</v>
      </c>
      <c r="NG138" s="13">
        <f>NE138-NF138</f>
        <v>102179.59727390765</v>
      </c>
      <c r="NH138" s="13">
        <f>NH137+NG138</f>
        <v>5619877.85006492</v>
      </c>
      <c r="NI138">
        <f>IF(NH138=MAX($NH$83:$NH$483),$A138,0)</f>
        <v>0</v>
      </c>
      <c r="NJ138">
        <f>IF(NE138&lt;NF138,$A138,B_MAX+1)</f>
        <v>401.0</v>
      </c>
      <c r="NK138" s="13">
        <f>IF(NB138=1,$NB$35,$NB$36)</f>
        <v>0</v>
      </c>
      <c r="NL138" s="13">
        <f>OCC_DAYS*$NB$41*R_NF_2023-ND138*MCD_SHARE_FREED*R_WAIT_2023</f>
        <v>37367.159242427646</v>
      </c>
      <c r="NM138">
        <f>IF($A138&lt;=$NB$45,1,0)</f>
        <v>1</v>
      </c>
      <c r="OB138">
        <f>IF($OB$31&lt;=$OB$32,IF($A138&lt;=$OB$7,1,2),IF($A138&lt;=RUNG_BEDS_2,2,1))</f>
        <v>1</v>
      </c>
      <c r="OC138" s="5">
        <f>MIN(1,MAX(0,$OB$26-($A138-1)))</f>
        <v>1</v>
      </c>
      <c r="OD138" s="5">
        <f>$OB$25*(OC138+(1-OC138)*$OB$16)</f>
        <v>252.05322714681438</v>
      </c>
      <c r="OE138" s="13">
        <f>OD138*($OB$6+ACUTE_MARGIN)</f>
        <v>254573.7594182825</v>
      </c>
      <c r="OF138" s="13">
        <f>IF(OB138=1,$OB$31,$OB$32)</f>
        <v>152394.16214437486</v>
      </c>
      <c r="OG138" s="13">
        <f>OE138-OF138</f>
        <v>102179.59727390765</v>
      </c>
      <c r="OH138" s="13">
        <f>OH137+OG138</f>
        <v>5619877.85006492</v>
      </c>
      <c r="OI138">
        <f>IF(OH138=MAX($OH$83:$OH$483),$A138,0)</f>
        <v>0</v>
      </c>
      <c r="OJ138">
        <f>IF(OE138&lt;OF138,$A138,B_MAX+1)</f>
        <v>401.0</v>
      </c>
      <c r="OK138" s="13">
        <f>IF(OB138=1,$OB$35,$OB$36)</f>
        <v>0</v>
      </c>
      <c r="OL138" s="13">
        <f>OCC_DAYS*$OB$41*R_NF_2023-OD138*MCD_SHARE_FREED*R_WAIT_2023</f>
        <v>37367.159242427646</v>
      </c>
      <c r="OM138">
        <f>IF($A138&lt;=$OB$45,1,0)</f>
        <v>1</v>
      </c>
    </row>
    <row r="139">
      <c r="A139" t="n">
        <v>56</v>
      </c>
      <c r="B139">
        <f>IF($B$31&lt;=$B$32,IF($A139&lt;=$B$7,1,2),IF($A139&lt;=RUNG_BEDS_2,2,1))</f>
        <v>1</v>
      </c>
      <c r="C139" s="5">
        <f>MIN(1,MAX(0,$B$26-($A139-1)))</f>
        <v>1</v>
      </c>
      <c r="D139" s="5">
        <f>$B$25*(C139+(1-C139)*$B$16)</f>
        <v>252.05322714681438</v>
      </c>
      <c r="E139" s="13">
        <f>D139*($B$6+ACUTE_MARGIN)</f>
        <v>254573.7594182825</v>
      </c>
      <c r="F139" s="13">
        <f>IF(B139=1,$B$31,$B$32)</f>
        <v>152394.16214437486</v>
      </c>
      <c r="G139" s="13">
        <f>E139-F139</f>
        <v>102179.59727390765</v>
      </c>
      <c r="H139" s="13">
        <f>H138+G139</f>
        <v>5722057.447338828</v>
      </c>
      <c r="I139">
        <f>IF(H139=MAX($H$83:$H$483),$A139,0)</f>
        <v>0</v>
      </c>
      <c r="J139">
        <f>IF(E139&lt;F139,$A139,B_MAX+1)</f>
        <v>401.0</v>
      </c>
      <c r="K139" s="13">
        <f>IF(B139=1,$B$35,$B$36)</f>
        <v>0</v>
      </c>
      <c r="L139" s="13">
        <f>OCC_DAYS*$B$41*R_NF_2023-D139*MCD_SHARE_FREED*R_WAIT_2023</f>
        <v>37367.159242427646</v>
      </c>
      <c r="M139">
        <f>IF($A139&lt;=$B$45,1,0)</f>
        <v>1</v>
      </c>
      <c r="AB139">
        <f>IF($AB$31&lt;=$AB$32,IF($A139&lt;=$AB$7,1,2),IF($A139&lt;=RUNG_BEDS_2,2,1))</f>
        <v>1</v>
      </c>
      <c r="AC139" s="5">
        <f>MIN(1,MAX(0,$AB$26-($A139-1)))</f>
        <v>1</v>
      </c>
      <c r="AD139" s="5">
        <f>$AB$25*(AC139+(1-AC139)*$AB$16)</f>
        <v>252.05322714681438</v>
      </c>
      <c r="AE139" s="13">
        <f>AD139*($AB$6+ACUTE_MARGIN)</f>
        <v>138629.2749307479</v>
      </c>
      <c r="AF139" s="13">
        <f>IF(AB139=1,$AB$31,$AB$32)</f>
        <v>152394.16214437486</v>
      </c>
      <c r="AG139" s="13">
        <f>AE139-AF139</f>
        <v>-13764.887213626964</v>
      </c>
      <c r="AH139" s="13">
        <f>AH138+AG139</f>
        <v>-770833.683963111</v>
      </c>
      <c r="AI139">
        <f>IF(AH139=MAX($AH$83:$AH$483),$A139,0)</f>
        <v>0</v>
      </c>
      <c r="AJ139">
        <f>IF(AE139&lt;AF139,$A139,B_MAX+1)</f>
        <v>56</v>
      </c>
      <c r="AK139" s="13">
        <f>IF(AB139=1,$AB$35,$AB$36)</f>
        <v>0</v>
      </c>
      <c r="AL139" s="13">
        <f>OCC_DAYS*$AB$41*R_NF_2023-AD139*MCD_SHARE_FREED*R_WAIT_2023</f>
        <v>37367.159242427646</v>
      </c>
      <c r="AM139">
        <f>IF($A139&lt;=$AB$45,1,0)</f>
        <v>0</v>
      </c>
      <c r="BB139">
        <f>IF($BB$31&lt;=$BB$32,IF($A139&lt;=$BB$7,1,2),IF($A139&lt;=RUNG_BEDS_2,2,1))</f>
        <v>1</v>
      </c>
      <c r="BC139" s="5">
        <f>MIN(1,MAX(0,$BB$26-($A139-1)))</f>
        <v>1</v>
      </c>
      <c r="BD139" s="5">
        <f>$BB$25*(BC139+(1-BC139)*$BB$16)</f>
        <v>252.05322714681438</v>
      </c>
      <c r="BE139" s="13">
        <f>BD139*($BB$6+ACUTE_MARGIN)</f>
        <v>370518.24390581716</v>
      </c>
      <c r="BF139" s="13">
        <f>IF(BB139=1,$BB$31,$BB$32)</f>
        <v>152394.16214437486</v>
      </c>
      <c r="BG139" s="13">
        <f>BE139-BF139</f>
        <v>218124.0817614423</v>
      </c>
      <c r="BH139" s="13">
        <f>BH138+BG139</f>
        <v>12214948.57864076</v>
      </c>
      <c r="BI139">
        <f>IF(BH139=MAX($BH$83:$BH$483),$A139,0)</f>
        <v>0</v>
      </c>
      <c r="BJ139">
        <f>IF(BE139&lt;BF139,$A139,B_MAX+1)</f>
        <v>401.0</v>
      </c>
      <c r="BK139" s="13">
        <f>IF(BB139=1,$BB$35,$BB$36)</f>
        <v>0</v>
      </c>
      <c r="BL139" s="13">
        <f>OCC_DAYS*$BB$41*R_NF_2023-BD139*MCD_SHARE_FREED*R_WAIT_2023</f>
        <v>37367.159242427646</v>
      </c>
      <c r="BM139">
        <f>IF($A139&lt;=$BB$45,1,0)</f>
        <v>1</v>
      </c>
      <c r="CB139">
        <f>IF($CB$31&lt;=$CB$32,IF($A139&lt;=$CB$7,1,2),IF($A139&lt;=RUNG_BEDS_2,2,1))</f>
        <v>2</v>
      </c>
      <c r="CC139" s="5">
        <f>MIN(1,MAX(0,$CB$26-($A139-1)))</f>
        <v>1</v>
      </c>
      <c r="CD139" s="5">
        <f>$CB$25*(CC139+(1-CC139)*$CB$16)</f>
        <v>252.05322714681438</v>
      </c>
      <c r="CE139" s="13">
        <f>CD139*($CB$6+ACUTE_MARGIN)</f>
        <v>254573.7594182825</v>
      </c>
      <c r="CF139" s="13">
        <f>IF(CB139=1,$CB$31,$CB$32)</f>
        <v>160718.36940738867</v>
      </c>
      <c r="CG139" s="13">
        <f>CE139-CF139</f>
        <v>93855.39001089384</v>
      </c>
      <c r="CH139" s="13">
        <f>CH138+CG139</f>
        <v>5255901.840610059</v>
      </c>
      <c r="CI139">
        <f>IF(CH139=MAX($CH$83:$CH$483),$A139,0)</f>
        <v>0</v>
      </c>
      <c r="CJ139">
        <f>IF(CE139&lt;CF139,$A139,B_MAX+1)</f>
        <v>401.0</v>
      </c>
      <c r="CK139" s="13">
        <f>IF(CB139=1,$CB$35,$CB$36)</f>
        <v>1560.1194073886782</v>
      </c>
      <c r="CL139" s="13">
        <f>OCC_DAYS*$CB$41*R_NF_2023-CD139*MCD_SHARE_FREED*R_WAIT_2023</f>
        <v>37367.159242427646</v>
      </c>
      <c r="CM139">
        <f>IF($A139&lt;=$CB$45,1,0)</f>
        <v>1</v>
      </c>
      <c r="DB139">
        <f>IF($DB$31&lt;=$DB$32,IF($A139&lt;=$DB$7,1,2),IF($A139&lt;=RUNG_BEDS_2,2,1))</f>
        <v>1</v>
      </c>
      <c r="DC139" s="5">
        <f>MIN(1,MAX(0,$DB$26-($A139-1)))</f>
        <v>1</v>
      </c>
      <c r="DD139" s="5">
        <f>$DB$25*(DC139+(1-DC139)*$DB$16)</f>
        <v>252.05322714681438</v>
      </c>
      <c r="DE139" s="13">
        <f>DD139*($DB$6+ACUTE_MARGIN)</f>
        <v>254573.7594182825</v>
      </c>
      <c r="DF139" s="13">
        <f>IF(DB139=1,$DB$31,$DB$32)</f>
        <v>152394.16214437486</v>
      </c>
      <c r="DG139" s="13">
        <f>DE139-DF139</f>
        <v>102179.59727390765</v>
      </c>
      <c r="DH139" s="13">
        <f>DH138+DG139</f>
        <v>5722057.447338828</v>
      </c>
      <c r="DI139">
        <f>IF(DH139=MAX($DH$83:$DH$483),$A139,0)</f>
        <v>0</v>
      </c>
      <c r="DJ139">
        <f>IF(DE139&lt;DF139,$A139,B_MAX+1)</f>
        <v>401.0</v>
      </c>
      <c r="DK139" s="13">
        <f>IF(DB139=1,$DB$35,$DB$36)</f>
        <v>0</v>
      </c>
      <c r="DL139" s="13">
        <f>OCC_DAYS*$DB$41*R_NF_2023-DD139*MCD_SHARE_FREED*R_WAIT_2023</f>
        <v>37367.159242427646</v>
      </c>
      <c r="DM139">
        <f>IF($A139&lt;=$DB$45,1,0)</f>
        <v>1</v>
      </c>
      <c r="EB139">
        <f>IF($EB$31&lt;=$EB$32,IF($A139&lt;=$EB$7,1,2),IF($A139&lt;=RUNG_BEDS_2,2,1))</f>
        <v>1</v>
      </c>
      <c r="EC139" s="5">
        <f>MIN(1,MAX(0,$EB$26-($A139-1)))</f>
        <v>1</v>
      </c>
      <c r="ED139" s="5">
        <f>$EB$25*(EC139+(1-EC139)*$EB$16)</f>
        <v>252.05322714681438</v>
      </c>
      <c r="EE139" s="13">
        <f>ED139*($EB$6+ACUTE_MARGIN)</f>
        <v>254573.7594182825</v>
      </c>
      <c r="EF139" s="13">
        <f>IF(EB139=1,$EB$31,$EB$32)</f>
        <v>152394.16214437486</v>
      </c>
      <c r="EG139" s="13">
        <f>EE139-EF139</f>
        <v>102179.59727390765</v>
      </c>
      <c r="EH139" s="13">
        <f>EH138+EG139</f>
        <v>5722057.447338828</v>
      </c>
      <c r="EI139">
        <f>IF(EH139=MAX($EH$83:$EH$483),$A139,0)</f>
        <v>0</v>
      </c>
      <c r="EJ139">
        <f>IF(EE139&lt;EF139,$A139,B_MAX+1)</f>
        <v>401.0</v>
      </c>
      <c r="EK139" s="13">
        <f>IF(EB139=1,$EB$35,$EB$36)</f>
        <v>0</v>
      </c>
      <c r="EL139" s="13">
        <f>OCC_DAYS*$EB$41*R_NF_2023-ED139*MCD_SHARE_FREED*R_WAIT_2023</f>
        <v>-63953.16263896705</v>
      </c>
      <c r="EM139">
        <f>IF($A139&lt;=$EB$45,1,0)</f>
        <v>1</v>
      </c>
      <c r="FB139">
        <f>IF($FB$31&lt;=$FB$32,IF($A139&lt;=$FB$7,1,2),IF($A139&lt;=RUNG_BEDS_2,2,1))</f>
        <v>1</v>
      </c>
      <c r="FC139" s="5">
        <f>MIN(1,MAX(0,$FB$26-($A139-1)))</f>
        <v>1</v>
      </c>
      <c r="FD139" s="5">
        <f>$FB$25*(FC139+(1-FC139)*$FB$16)</f>
        <v>252.05322714681438</v>
      </c>
      <c r="FE139" s="13">
        <f>FD139*($FB$6+ACUTE_MARGIN)</f>
        <v>254573.7594182825</v>
      </c>
      <c r="FF139" s="13">
        <f>IF(FB139=1,$FB$31,$FB$32)</f>
        <v>156636.04979437485</v>
      </c>
      <c r="FG139" s="13">
        <f>FE139-FF139</f>
        <v>97937.70962390766</v>
      </c>
      <c r="FH139" s="13">
        <f>FH138+FG139</f>
        <v>5484511.73893883</v>
      </c>
      <c r="FI139">
        <f>IF(FH139=MAX($FH$83:$FH$483),$A139,0)</f>
        <v>0</v>
      </c>
      <c r="FJ139">
        <f>IF(FE139&lt;FF139,$A139,B_MAX+1)</f>
        <v>401.0</v>
      </c>
      <c r="FK139" s="13">
        <f>IF(FB139=1,$FB$35,$FB$36)</f>
        <v>0</v>
      </c>
      <c r="FL139" s="13">
        <f>OCC_DAYS*$FB$41*R_NF_2023-FD139*MCD_SHARE_FREED*R_WAIT_2023</f>
        <v>37367.159242427646</v>
      </c>
      <c r="FM139">
        <f>IF($A139&lt;=$FB$45,1,0)</f>
        <v>1</v>
      </c>
      <c r="GB139">
        <f>IF($GB$31&lt;=$GB$32,IF($A139&lt;=$GB$7,1,2),IF($A139&lt;=RUNG_BEDS_2,2,1))</f>
        <v>1</v>
      </c>
      <c r="GC139" s="5">
        <f>MIN(1,MAX(0,$GB$26-($A139-1)))</f>
        <v>1</v>
      </c>
      <c r="GD139" s="5">
        <f>$GB$25*(GC139+(1-GC139)*$GB$16)</f>
        <v>252.05322714681438</v>
      </c>
      <c r="GE139" s="13">
        <f>GD139*($GB$6+ACUTE_MARGIN)</f>
        <v>254573.7594182825</v>
      </c>
      <c r="GF139" s="13">
        <f>IF(GB139=1,$GB$31,$GB$32)</f>
        <v>152394.16214437486</v>
      </c>
      <c r="GG139" s="13">
        <f>GE139-GF139</f>
        <v>102179.59727390765</v>
      </c>
      <c r="GH139" s="13">
        <f>GH138+GG139</f>
        <v>5722057.447338828</v>
      </c>
      <c r="GI139">
        <f>IF(GH139=MAX($GH$83:$GH$483),$A139,0)</f>
        <v>0</v>
      </c>
      <c r="GJ139">
        <f>IF(GE139&lt;GF139,$A139,B_MAX+1)</f>
        <v>401.0</v>
      </c>
      <c r="GK139" s="13">
        <f>IF(GB139=1,$GB$35,$GB$36)</f>
        <v>0</v>
      </c>
      <c r="GL139" s="13">
        <f>OCC_DAYS*$GB$41*R_NF_2023-GD139*MCD_SHARE_FREED*R_WAIT_2023</f>
        <v>37367.159242427646</v>
      </c>
      <c r="GM139">
        <f>IF($A139&lt;=$GB$45,1,0)</f>
        <v>1</v>
      </c>
      <c r="HB139">
        <f>IF($HB$31&lt;=$HB$32,IF($A139&lt;=$HB$7,1,2),IF($A139&lt;=RUNG_BEDS_2,2,1))</f>
        <v>1</v>
      </c>
      <c r="HC139" s="5">
        <f>MIN(1,MAX(0,$HB$26-($A139-1)))</f>
        <v>1</v>
      </c>
      <c r="HD139" s="5">
        <f>$HB$25*(HC139+(1-HC139)*$HB$16)</f>
        <v>252.05322714681438</v>
      </c>
      <c r="HE139" s="13">
        <f>HD139*($HB$6+ACUTE_MARGIN)</f>
        <v>254573.7594182825</v>
      </c>
      <c r="HF139" s="13">
        <f>IF(HB139=1,$HB$31,$HB$32)</f>
        <v>152456.2970814058</v>
      </c>
      <c r="HG139" s="13">
        <f>HE139-HF139</f>
        <v>102117.46233687672</v>
      </c>
      <c r="HH139" s="13">
        <f>HH138+HG139</f>
        <v>5718577.890865095</v>
      </c>
      <c r="HI139">
        <f>IF(HH139=MAX($HH$83:$HH$483),$A139,0)</f>
        <v>0</v>
      </c>
      <c r="HJ139">
        <f>IF(HE139&lt;HF139,$A139,B_MAX+1)</f>
        <v>401.0</v>
      </c>
      <c r="HK139" s="13">
        <f>IF(HB139=1,$HB$35,$HB$36)</f>
        <v>0</v>
      </c>
      <c r="HL139" s="13">
        <f>OCC_DAYS*$HB$41*R_NF_2023-HD139*MCD_SHARE_FREED*R_WAIT_2023</f>
        <v>37367.159242427646</v>
      </c>
      <c r="HM139">
        <f>IF($A139&lt;=$HB$45,1,0)</f>
        <v>1</v>
      </c>
      <c r="IB139">
        <f>IF($IB$31&lt;=$IB$32,IF($A139&lt;=$IB$7,1,2),IF($A139&lt;=RUNG_BEDS_2,2,1))</f>
        <v>1</v>
      </c>
      <c r="IC139" s="5">
        <f>MIN(1,MAX(0,$IB$26-($A139-1)))</f>
        <v>1</v>
      </c>
      <c r="ID139" s="5">
        <f>$IB$25*(IC139+(1-IC139)*$IB$16)</f>
        <v>252.05322714681438</v>
      </c>
      <c r="IE139" s="13">
        <f>ID139*($IB$6+ACUTE_MARGIN)</f>
        <v>254573.7594182825</v>
      </c>
      <c r="IF139" s="13">
        <f>IF(IB139=1,$IB$31,$IB$32)</f>
        <v>152734.9994534971</v>
      </c>
      <c r="IG139" s="13">
        <f>IE139-IF139</f>
        <v>101838.75996478542</v>
      </c>
      <c r="IH139" s="13">
        <f>IH138+IG139</f>
        <v>5702970.558027988</v>
      </c>
      <c r="II139">
        <f>IF(IH139=MAX($IH$83:$IH$483),$A139,0)</f>
        <v>0</v>
      </c>
      <c r="IJ139">
        <f>IF(IE139&lt;IF139,$A139,B_MAX+1)</f>
        <v>401.0</v>
      </c>
      <c r="IK139" s="13">
        <f>IF(IB139=1,$IB$35,$IB$36)</f>
        <v>0</v>
      </c>
      <c r="IL139" s="13">
        <f>OCC_DAYS*$IB$41*R_NF_2023-ID139*MCD_SHARE_FREED*R_WAIT_2023</f>
        <v>37367.159242427646</v>
      </c>
      <c r="IM139">
        <f>IF($A139&lt;=$IB$45,1,0)</f>
        <v>1</v>
      </c>
      <c r="JB139">
        <f>IF($JB$31&lt;=$JB$32,IF($A139&lt;=$JB$7,1,2),IF($A139&lt;=RUNG_BEDS_2,2,1))</f>
        <v>1</v>
      </c>
      <c r="JC139" s="5">
        <f>MIN(1,MAX(0,$JB$26-($A139-1)))</f>
        <v>1</v>
      </c>
      <c r="JD139" s="5">
        <f>$JB$25*(JC139+(1-JC139)*$JB$16)</f>
        <v>252.05322714681438</v>
      </c>
      <c r="JE139" s="13">
        <f>JD139*($JB$6+ACUTE_MARGIN)</f>
        <v>254573.7594182825</v>
      </c>
      <c r="JF139" s="13">
        <f>IF(JB139=1,$JB$31,$JB$32)</f>
        <v>152394.16214437486</v>
      </c>
      <c r="JG139" s="13">
        <f>JE139-JF139</f>
        <v>102179.59727390765</v>
      </c>
      <c r="JH139" s="13">
        <f>JH138+JG139</f>
        <v>5722057.447338828</v>
      </c>
      <c r="JI139">
        <f>IF(JH139=MAX($JH$83:$JH$483),$A139,0)</f>
        <v>0</v>
      </c>
      <c r="JJ139">
        <f>IF(JE139&lt;JF139,$A139,B_MAX+1)</f>
        <v>401.0</v>
      </c>
      <c r="JK139" s="13">
        <f>IF(JB139=1,$JB$35,$JB$36)</f>
        <v>0</v>
      </c>
      <c r="JL139" s="13">
        <f>OCC_DAYS*$JB$41*R_NF_2023-JD139*MCD_SHARE_FREED*R_WAIT_2023</f>
        <v>37367.159242427646</v>
      </c>
      <c r="JM139">
        <f>IF($A139&lt;=$JB$45,1,0)</f>
        <v>1</v>
      </c>
      <c r="KB139">
        <f>IF($KB$31&lt;=$KB$32,IF($A139&lt;=$KB$7,1,2),IF($A139&lt;=RUNG_BEDS_2,2,1))</f>
        <v>1</v>
      </c>
      <c r="KC139" s="5">
        <f>MIN(1,MAX(0,$KB$26-($A139-1)))</f>
        <v>1</v>
      </c>
      <c r="KD139" s="5">
        <f>$KB$25*(KC139+(1-KC139)*$KB$16)</f>
        <v>126.02661357340719</v>
      </c>
      <c r="KE139" s="13">
        <f>KD139*($KB$6+ACUTE_MARGIN)</f>
        <v>127286.87970914126</v>
      </c>
      <c r="KF139" s="13">
        <f>IF(KB139=1,$KB$31,$KB$32)</f>
        <v>152394.16214437486</v>
      </c>
      <c r="KG139" s="13">
        <f>KE139-KF139</f>
        <v>-25107.282435233603</v>
      </c>
      <c r="KH139" s="13">
        <f>KH138+KG139</f>
        <v>-1406007.8163730828</v>
      </c>
      <c r="KI139">
        <f>IF(KH139=MAX($KH$83:$KH$483),$A139,0)</f>
        <v>0</v>
      </c>
      <c r="KJ139">
        <f>IF(KE139&lt;KF139,$A139,B_MAX+1)</f>
        <v>56</v>
      </c>
      <c r="KK139" s="13">
        <f>IF(KB139=1,$KB$35,$KB$36)</f>
        <v>0</v>
      </c>
      <c r="KL139" s="13">
        <f>OCC_DAYS*$KB$41*R_NF_2023-KD139*MCD_SHARE_FREED*R_WAIT_2023</f>
        <v>94673.82103225985</v>
      </c>
      <c r="KM139">
        <f>IF($A139&lt;=$KB$45,1,0)</f>
        <v>0</v>
      </c>
      <c r="LB139">
        <f>IF($LB$31&lt;=$LB$32,IF($A139&lt;=$LB$7,1,2),IF($A139&lt;=RUNG_BEDS_2,2,1))</f>
        <v>1</v>
      </c>
      <c r="LC139" s="5">
        <f>MIN(1,MAX(0,$LB$26-($A139-1)))</f>
        <v>1</v>
      </c>
      <c r="LD139" s="5">
        <f>$LB$25*(LC139+(1-LC139)*$LB$16)</f>
        <v>84.01774238227146</v>
      </c>
      <c r="LE139" s="13">
        <f>LD139*($LB$6+ACUTE_MARGIN)</f>
        <v>84857.91980609419</v>
      </c>
      <c r="LF139" s="13">
        <f>IF(LB139=1,$LB$31,$LB$32)</f>
        <v>152394.16214437486</v>
      </c>
      <c r="LG139" s="13">
        <f>LE139-LF139</f>
        <v>-67536.24233828067</v>
      </c>
      <c r="LH139" s="13">
        <f>LH138+LG139</f>
        <v>-3782029.5709437174</v>
      </c>
      <c r="LI139">
        <f>IF(LH139=MAX($LH$83:$LH$483),$A139,0)</f>
        <v>0</v>
      </c>
      <c r="LJ139">
        <f>IF(LE139&lt;LF139,$A139,B_MAX+1)</f>
        <v>56</v>
      </c>
      <c r="LK139" s="13">
        <f>IF(LB139=1,$LB$35,$LB$36)</f>
        <v>0</v>
      </c>
      <c r="LL139" s="13">
        <f>OCC_DAYS*$LB$41*R_NF_2023-LD139*MCD_SHARE_FREED*R_WAIT_2023</f>
        <v>113776.04162887059</v>
      </c>
      <c r="LM139">
        <f>IF($A139&lt;=$LB$45,1,0)</f>
        <v>0</v>
      </c>
      <c r="MB139">
        <f>IF($MB$31&lt;=$MB$32,IF($A139&lt;=$MB$7,1,2),IF($A139&lt;=RUNG_BEDS_2,2,1))</f>
        <v>1</v>
      </c>
      <c r="MC139" s="5">
        <f>MIN(1,MAX(0,$MB$26-($A139-1)))</f>
        <v>1</v>
      </c>
      <c r="MD139" s="5">
        <f>$MB$25*(MC139+(1-MC139)*$MB$16)</f>
        <v>213.44610951008647</v>
      </c>
      <c r="ME139" s="13">
        <f>MD139*($MB$6+ACUTE_MARGIN)</f>
        <v>215580.57060518733</v>
      </c>
      <c r="MF139" s="13">
        <f>IF(MB139=1,$MB$31,$MB$32)</f>
        <v>152394.16214437486</v>
      </c>
      <c r="MG139" s="13">
        <f>ME139-MF139</f>
        <v>63186.40846081247</v>
      </c>
      <c r="MH139" s="13">
        <f>MH138+MG139</f>
        <v>3538438.8738055006</v>
      </c>
      <c r="MI139">
        <f>IF(MH139=MAX($MH$83:$MH$483),$A139,0)</f>
        <v>0</v>
      </c>
      <c r="MJ139">
        <f>IF(ME139&lt;MF139,$A139,B_MAX+1)</f>
        <v>401.0</v>
      </c>
      <c r="MK139" s="13">
        <f>IF(MB139=1,$MB$35,$MB$36)</f>
        <v>0</v>
      </c>
      <c r="ML139" s="13">
        <f>OCC_DAYS*$MB$41*R_NF_2023-MD139*MCD_SHARE_FREED*R_WAIT_2023</f>
        <v>54922.538779778624</v>
      </c>
      <c r="MM139">
        <f>IF($A139&lt;=$MB$45,1,0)</f>
        <v>1</v>
      </c>
      <c r="NB139">
        <f>IF($NB$31&lt;=$NB$32,IF($A139&lt;=$NB$7,1,2),IF($A139&lt;=RUNG_BEDS_2,2,1))</f>
        <v>1</v>
      </c>
      <c r="NC139" s="5">
        <f>MIN(1,MAX(0,$NB$26-($A139-1)))</f>
        <v>1</v>
      </c>
      <c r="ND139" s="5">
        <f>$NB$25*(NC139+(1-NC139)*$NB$16)</f>
        <v>252.05322714681438</v>
      </c>
      <c r="NE139" s="13">
        <f>ND139*($NB$6+ACUTE_MARGIN)</f>
        <v>254573.7594182825</v>
      </c>
      <c r="NF139" s="13">
        <f>IF(NB139=1,$NB$31,$NB$32)</f>
        <v>152394.16214437486</v>
      </c>
      <c r="NG139" s="13">
        <f>NE139-NF139</f>
        <v>102179.59727390765</v>
      </c>
      <c r="NH139" s="13">
        <f>NH138+NG139</f>
        <v>5722057.447338828</v>
      </c>
      <c r="NI139">
        <f>IF(NH139=MAX($NH$83:$NH$483),$A139,0)</f>
        <v>0</v>
      </c>
      <c r="NJ139">
        <f>IF(NE139&lt;NF139,$A139,B_MAX+1)</f>
        <v>401.0</v>
      </c>
      <c r="NK139" s="13">
        <f>IF(NB139=1,$NB$35,$NB$36)</f>
        <v>0</v>
      </c>
      <c r="NL139" s="13">
        <f>OCC_DAYS*$NB$41*R_NF_2023-ND139*MCD_SHARE_FREED*R_WAIT_2023</f>
        <v>37367.159242427646</v>
      </c>
      <c r="NM139">
        <f>IF($A139&lt;=$NB$45,1,0)</f>
        <v>1</v>
      </c>
      <c r="OB139">
        <f>IF($OB$31&lt;=$OB$32,IF($A139&lt;=$OB$7,1,2),IF($A139&lt;=RUNG_BEDS_2,2,1))</f>
        <v>1</v>
      </c>
      <c r="OC139" s="5">
        <f>MIN(1,MAX(0,$OB$26-($A139-1)))</f>
        <v>1</v>
      </c>
      <c r="OD139" s="5">
        <f>$OB$25*(OC139+(1-OC139)*$OB$16)</f>
        <v>252.05322714681438</v>
      </c>
      <c r="OE139" s="13">
        <f>OD139*($OB$6+ACUTE_MARGIN)</f>
        <v>254573.7594182825</v>
      </c>
      <c r="OF139" s="13">
        <f>IF(OB139=1,$OB$31,$OB$32)</f>
        <v>152394.16214437486</v>
      </c>
      <c r="OG139" s="13">
        <f>OE139-OF139</f>
        <v>102179.59727390765</v>
      </c>
      <c r="OH139" s="13">
        <f>OH138+OG139</f>
        <v>5722057.447338828</v>
      </c>
      <c r="OI139">
        <f>IF(OH139=MAX($OH$83:$OH$483),$A139,0)</f>
        <v>0</v>
      </c>
      <c r="OJ139">
        <f>IF(OE139&lt;OF139,$A139,B_MAX+1)</f>
        <v>401.0</v>
      </c>
      <c r="OK139" s="13">
        <f>IF(OB139=1,$OB$35,$OB$36)</f>
        <v>0</v>
      </c>
      <c r="OL139" s="13">
        <f>OCC_DAYS*$OB$41*R_NF_2023-OD139*MCD_SHARE_FREED*R_WAIT_2023</f>
        <v>37367.159242427646</v>
      </c>
      <c r="OM139">
        <f>IF($A139&lt;=$OB$45,1,0)</f>
        <v>1</v>
      </c>
    </row>
    <row r="140">
      <c r="A140" t="n">
        <v>57</v>
      </c>
      <c r="B140">
        <f>IF($B$31&lt;=$B$32,IF($A140&lt;=$B$7,1,2),IF($A140&lt;=RUNG_BEDS_2,2,1))</f>
        <v>1</v>
      </c>
      <c r="C140" s="5">
        <f>MIN(1,MAX(0,$B$26-($A140-1)))</f>
        <v>1</v>
      </c>
      <c r="D140" s="5">
        <f>$B$25*(C140+(1-C140)*$B$16)</f>
        <v>252.05322714681438</v>
      </c>
      <c r="E140" s="13">
        <f>D140*($B$6+ACUTE_MARGIN)</f>
        <v>254573.7594182825</v>
      </c>
      <c r="F140" s="13">
        <f>IF(B140=1,$B$31,$B$32)</f>
        <v>152394.16214437486</v>
      </c>
      <c r="G140" s="13">
        <f>E140-F140</f>
        <v>102179.59727390765</v>
      </c>
      <c r="H140" s="13">
        <f>H139+G140</f>
        <v>5824237.0446127355</v>
      </c>
      <c r="I140">
        <f>IF(H140=MAX($H$83:$H$483),$A140,0)</f>
        <v>0</v>
      </c>
      <c r="J140">
        <f>IF(E140&lt;F140,$A140,B_MAX+1)</f>
        <v>401.0</v>
      </c>
      <c r="K140" s="13">
        <f>IF(B140=1,$B$35,$B$36)</f>
        <v>0</v>
      </c>
      <c r="L140" s="13">
        <f>OCC_DAYS*$B$41*R_NF_2023-D140*MCD_SHARE_FREED*R_WAIT_2023</f>
        <v>37367.159242427646</v>
      </c>
      <c r="M140">
        <f>IF($A140&lt;=$B$45,1,0)</f>
        <v>1</v>
      </c>
      <c r="AB140">
        <f>IF($AB$31&lt;=$AB$32,IF($A140&lt;=$AB$7,1,2),IF($A140&lt;=RUNG_BEDS_2,2,1))</f>
        <v>1</v>
      </c>
      <c r="AC140" s="5">
        <f>MIN(1,MAX(0,$AB$26-($A140-1)))</f>
        <v>1</v>
      </c>
      <c r="AD140" s="5">
        <f>$AB$25*(AC140+(1-AC140)*$AB$16)</f>
        <v>252.05322714681438</v>
      </c>
      <c r="AE140" s="13">
        <f>AD140*($AB$6+ACUTE_MARGIN)</f>
        <v>138629.2749307479</v>
      </c>
      <c r="AF140" s="13">
        <f>IF(AB140=1,$AB$31,$AB$32)</f>
        <v>152394.16214437486</v>
      </c>
      <c r="AG140" s="13">
        <f>AE140-AF140</f>
        <v>-13764.887213626964</v>
      </c>
      <c r="AH140" s="13">
        <f>AH139+AG140</f>
        <v>-784598.571176738</v>
      </c>
      <c r="AI140">
        <f>IF(AH140=MAX($AH$83:$AH$483),$A140,0)</f>
        <v>0</v>
      </c>
      <c r="AJ140">
        <f>IF(AE140&lt;AF140,$A140,B_MAX+1)</f>
        <v>57</v>
      </c>
      <c r="AK140" s="13">
        <f>IF(AB140=1,$AB$35,$AB$36)</f>
        <v>0</v>
      </c>
      <c r="AL140" s="13">
        <f>OCC_DAYS*$AB$41*R_NF_2023-AD140*MCD_SHARE_FREED*R_WAIT_2023</f>
        <v>37367.159242427646</v>
      </c>
      <c r="AM140">
        <f>IF($A140&lt;=$AB$45,1,0)</f>
        <v>0</v>
      </c>
      <c r="BB140">
        <f>IF($BB$31&lt;=$BB$32,IF($A140&lt;=$BB$7,1,2),IF($A140&lt;=RUNG_BEDS_2,2,1))</f>
        <v>1</v>
      </c>
      <c r="BC140" s="5">
        <f>MIN(1,MAX(0,$BB$26-($A140-1)))</f>
        <v>1</v>
      </c>
      <c r="BD140" s="5">
        <f>$BB$25*(BC140+(1-BC140)*$BB$16)</f>
        <v>252.05322714681438</v>
      </c>
      <c r="BE140" s="13">
        <f>BD140*($BB$6+ACUTE_MARGIN)</f>
        <v>370518.24390581716</v>
      </c>
      <c r="BF140" s="13">
        <f>IF(BB140=1,$BB$31,$BB$32)</f>
        <v>152394.16214437486</v>
      </c>
      <c r="BG140" s="13">
        <f>BE140-BF140</f>
        <v>218124.0817614423</v>
      </c>
      <c r="BH140" s="13">
        <f>BH139+BG140</f>
        <v>12433072.660402203</v>
      </c>
      <c r="BI140">
        <f>IF(BH140=MAX($BH$83:$BH$483),$A140,0)</f>
        <v>0</v>
      </c>
      <c r="BJ140">
        <f>IF(BE140&lt;BF140,$A140,B_MAX+1)</f>
        <v>401.0</v>
      </c>
      <c r="BK140" s="13">
        <f>IF(BB140=1,$BB$35,$BB$36)</f>
        <v>0</v>
      </c>
      <c r="BL140" s="13">
        <f>OCC_DAYS*$BB$41*R_NF_2023-BD140*MCD_SHARE_FREED*R_WAIT_2023</f>
        <v>37367.159242427646</v>
      </c>
      <c r="BM140">
        <f>IF($A140&lt;=$BB$45,1,0)</f>
        <v>1</v>
      </c>
      <c r="CB140">
        <f>IF($CB$31&lt;=$CB$32,IF($A140&lt;=$CB$7,1,2),IF($A140&lt;=RUNG_BEDS_2,2,1))</f>
        <v>2</v>
      </c>
      <c r="CC140" s="5">
        <f>MIN(1,MAX(0,$CB$26-($A140-1)))</f>
        <v>1</v>
      </c>
      <c r="CD140" s="5">
        <f>$CB$25*(CC140+(1-CC140)*$CB$16)</f>
        <v>252.05322714681438</v>
      </c>
      <c r="CE140" s="13">
        <f>CD140*($CB$6+ACUTE_MARGIN)</f>
        <v>254573.7594182825</v>
      </c>
      <c r="CF140" s="13">
        <f>IF(CB140=1,$CB$31,$CB$32)</f>
        <v>160718.36940738867</v>
      </c>
      <c r="CG140" s="13">
        <f>CE140-CF140</f>
        <v>93855.39001089384</v>
      </c>
      <c r="CH140" s="13">
        <f>CH139+CG140</f>
        <v>5349757.230620953</v>
      </c>
      <c r="CI140">
        <f>IF(CH140=MAX($CH$83:$CH$483),$A140,0)</f>
        <v>0</v>
      </c>
      <c r="CJ140">
        <f>IF(CE140&lt;CF140,$A140,B_MAX+1)</f>
        <v>401.0</v>
      </c>
      <c r="CK140" s="13">
        <f>IF(CB140=1,$CB$35,$CB$36)</f>
        <v>1560.1194073886782</v>
      </c>
      <c r="CL140" s="13">
        <f>OCC_DAYS*$CB$41*R_NF_2023-CD140*MCD_SHARE_FREED*R_WAIT_2023</f>
        <v>37367.159242427646</v>
      </c>
      <c r="CM140">
        <f>IF($A140&lt;=$CB$45,1,0)</f>
        <v>1</v>
      </c>
      <c r="DB140">
        <f>IF($DB$31&lt;=$DB$32,IF($A140&lt;=$DB$7,1,2),IF($A140&lt;=RUNG_BEDS_2,2,1))</f>
        <v>1</v>
      </c>
      <c r="DC140" s="5">
        <f>MIN(1,MAX(0,$DB$26-($A140-1)))</f>
        <v>1</v>
      </c>
      <c r="DD140" s="5">
        <f>$DB$25*(DC140+(1-DC140)*$DB$16)</f>
        <v>252.05322714681438</v>
      </c>
      <c r="DE140" s="13">
        <f>DD140*($DB$6+ACUTE_MARGIN)</f>
        <v>254573.7594182825</v>
      </c>
      <c r="DF140" s="13">
        <f>IF(DB140=1,$DB$31,$DB$32)</f>
        <v>152394.16214437486</v>
      </c>
      <c r="DG140" s="13">
        <f>DE140-DF140</f>
        <v>102179.59727390765</v>
      </c>
      <c r="DH140" s="13">
        <f>DH139+DG140</f>
        <v>5824237.0446127355</v>
      </c>
      <c r="DI140">
        <f>IF(DH140=MAX($DH$83:$DH$483),$A140,0)</f>
        <v>0</v>
      </c>
      <c r="DJ140">
        <f>IF(DE140&lt;DF140,$A140,B_MAX+1)</f>
        <v>401.0</v>
      </c>
      <c r="DK140" s="13">
        <f>IF(DB140=1,$DB$35,$DB$36)</f>
        <v>0</v>
      </c>
      <c r="DL140" s="13">
        <f>OCC_DAYS*$DB$41*R_NF_2023-DD140*MCD_SHARE_FREED*R_WAIT_2023</f>
        <v>37367.159242427646</v>
      </c>
      <c r="DM140">
        <f>IF($A140&lt;=$DB$45,1,0)</f>
        <v>1</v>
      </c>
      <c r="EB140">
        <f>IF($EB$31&lt;=$EB$32,IF($A140&lt;=$EB$7,1,2),IF($A140&lt;=RUNG_BEDS_2,2,1))</f>
        <v>1</v>
      </c>
      <c r="EC140" s="5">
        <f>MIN(1,MAX(0,$EB$26-($A140-1)))</f>
        <v>1</v>
      </c>
      <c r="ED140" s="5">
        <f>$EB$25*(EC140+(1-EC140)*$EB$16)</f>
        <v>252.05322714681438</v>
      </c>
      <c r="EE140" s="13">
        <f>ED140*($EB$6+ACUTE_MARGIN)</f>
        <v>254573.7594182825</v>
      </c>
      <c r="EF140" s="13">
        <f>IF(EB140=1,$EB$31,$EB$32)</f>
        <v>152394.16214437486</v>
      </c>
      <c r="EG140" s="13">
        <f>EE140-EF140</f>
        <v>102179.59727390765</v>
      </c>
      <c r="EH140" s="13">
        <f>EH139+EG140</f>
        <v>5824237.0446127355</v>
      </c>
      <c r="EI140">
        <f>IF(EH140=MAX($EH$83:$EH$483),$A140,0)</f>
        <v>0</v>
      </c>
      <c r="EJ140">
        <f>IF(EE140&lt;EF140,$A140,B_MAX+1)</f>
        <v>401.0</v>
      </c>
      <c r="EK140" s="13">
        <f>IF(EB140=1,$EB$35,$EB$36)</f>
        <v>0</v>
      </c>
      <c r="EL140" s="13">
        <f>OCC_DAYS*$EB$41*R_NF_2023-ED140*MCD_SHARE_FREED*R_WAIT_2023</f>
        <v>-63953.16263896705</v>
      </c>
      <c r="EM140">
        <f>IF($A140&lt;=$EB$45,1,0)</f>
        <v>1</v>
      </c>
      <c r="FB140">
        <f>IF($FB$31&lt;=$FB$32,IF($A140&lt;=$FB$7,1,2),IF($A140&lt;=RUNG_BEDS_2,2,1))</f>
        <v>1</v>
      </c>
      <c r="FC140" s="5">
        <f>MIN(1,MAX(0,$FB$26-($A140-1)))</f>
        <v>1</v>
      </c>
      <c r="FD140" s="5">
        <f>$FB$25*(FC140+(1-FC140)*$FB$16)</f>
        <v>252.05322714681438</v>
      </c>
      <c r="FE140" s="13">
        <f>FD140*($FB$6+ACUTE_MARGIN)</f>
        <v>254573.7594182825</v>
      </c>
      <c r="FF140" s="13">
        <f>IF(FB140=1,$FB$31,$FB$32)</f>
        <v>156636.04979437485</v>
      </c>
      <c r="FG140" s="13">
        <f>FE140-FF140</f>
        <v>97937.70962390766</v>
      </c>
      <c r="FH140" s="13">
        <f>FH139+FG140</f>
        <v>5582449.448562738</v>
      </c>
      <c r="FI140">
        <f>IF(FH140=MAX($FH$83:$FH$483),$A140,0)</f>
        <v>0</v>
      </c>
      <c r="FJ140">
        <f>IF(FE140&lt;FF140,$A140,B_MAX+1)</f>
        <v>401.0</v>
      </c>
      <c r="FK140" s="13">
        <f>IF(FB140=1,$FB$35,$FB$36)</f>
        <v>0</v>
      </c>
      <c r="FL140" s="13">
        <f>OCC_DAYS*$FB$41*R_NF_2023-FD140*MCD_SHARE_FREED*R_WAIT_2023</f>
        <v>37367.159242427646</v>
      </c>
      <c r="FM140">
        <f>IF($A140&lt;=$FB$45,1,0)</f>
        <v>1</v>
      </c>
      <c r="GB140">
        <f>IF($GB$31&lt;=$GB$32,IF($A140&lt;=$GB$7,1,2),IF($A140&lt;=RUNG_BEDS_2,2,1))</f>
        <v>1</v>
      </c>
      <c r="GC140" s="5">
        <f>MIN(1,MAX(0,$GB$26-($A140-1)))</f>
        <v>1</v>
      </c>
      <c r="GD140" s="5">
        <f>$GB$25*(GC140+(1-GC140)*$GB$16)</f>
        <v>252.05322714681438</v>
      </c>
      <c r="GE140" s="13">
        <f>GD140*($GB$6+ACUTE_MARGIN)</f>
        <v>254573.7594182825</v>
      </c>
      <c r="GF140" s="13">
        <f>IF(GB140=1,$GB$31,$GB$32)</f>
        <v>152394.16214437486</v>
      </c>
      <c r="GG140" s="13">
        <f>GE140-GF140</f>
        <v>102179.59727390765</v>
      </c>
      <c r="GH140" s="13">
        <f>GH139+GG140</f>
        <v>5824237.0446127355</v>
      </c>
      <c r="GI140">
        <f>IF(GH140=MAX($GH$83:$GH$483),$A140,0)</f>
        <v>0</v>
      </c>
      <c r="GJ140">
        <f>IF(GE140&lt;GF140,$A140,B_MAX+1)</f>
        <v>401.0</v>
      </c>
      <c r="GK140" s="13">
        <f>IF(GB140=1,$GB$35,$GB$36)</f>
        <v>0</v>
      </c>
      <c r="GL140" s="13">
        <f>OCC_DAYS*$GB$41*R_NF_2023-GD140*MCD_SHARE_FREED*R_WAIT_2023</f>
        <v>37367.159242427646</v>
      </c>
      <c r="GM140">
        <f>IF($A140&lt;=$GB$45,1,0)</f>
        <v>1</v>
      </c>
      <c r="HB140">
        <f>IF($HB$31&lt;=$HB$32,IF($A140&lt;=$HB$7,1,2),IF($A140&lt;=RUNG_BEDS_2,2,1))</f>
        <v>1</v>
      </c>
      <c r="HC140" s="5">
        <f>MIN(1,MAX(0,$HB$26-($A140-1)))</f>
        <v>1</v>
      </c>
      <c r="HD140" s="5">
        <f>$HB$25*(HC140+(1-HC140)*$HB$16)</f>
        <v>252.05322714681438</v>
      </c>
      <c r="HE140" s="13">
        <f>HD140*($HB$6+ACUTE_MARGIN)</f>
        <v>254573.7594182825</v>
      </c>
      <c r="HF140" s="13">
        <f>IF(HB140=1,$HB$31,$HB$32)</f>
        <v>152456.2970814058</v>
      </c>
      <c r="HG140" s="13">
        <f>HE140-HF140</f>
        <v>102117.46233687672</v>
      </c>
      <c r="HH140" s="13">
        <f>HH139+HG140</f>
        <v>5820695.353201971</v>
      </c>
      <c r="HI140">
        <f>IF(HH140=MAX($HH$83:$HH$483),$A140,0)</f>
        <v>0</v>
      </c>
      <c r="HJ140">
        <f>IF(HE140&lt;HF140,$A140,B_MAX+1)</f>
        <v>401.0</v>
      </c>
      <c r="HK140" s="13">
        <f>IF(HB140=1,$HB$35,$HB$36)</f>
        <v>0</v>
      </c>
      <c r="HL140" s="13">
        <f>OCC_DAYS*$HB$41*R_NF_2023-HD140*MCD_SHARE_FREED*R_WAIT_2023</f>
        <v>37367.159242427646</v>
      </c>
      <c r="HM140">
        <f>IF($A140&lt;=$HB$45,1,0)</f>
        <v>1</v>
      </c>
      <c r="IB140">
        <f>IF($IB$31&lt;=$IB$32,IF($A140&lt;=$IB$7,1,2),IF($A140&lt;=RUNG_BEDS_2,2,1))</f>
        <v>1</v>
      </c>
      <c r="IC140" s="5">
        <f>MIN(1,MAX(0,$IB$26-($A140-1)))</f>
        <v>1</v>
      </c>
      <c r="ID140" s="5">
        <f>$IB$25*(IC140+(1-IC140)*$IB$16)</f>
        <v>252.05322714681438</v>
      </c>
      <c r="IE140" s="13">
        <f>ID140*($IB$6+ACUTE_MARGIN)</f>
        <v>254573.7594182825</v>
      </c>
      <c r="IF140" s="13">
        <f>IF(IB140=1,$IB$31,$IB$32)</f>
        <v>152734.9994534971</v>
      </c>
      <c r="IG140" s="13">
        <f>IE140-IF140</f>
        <v>101838.75996478542</v>
      </c>
      <c r="IH140" s="13">
        <f>IH139+IG140</f>
        <v>5804809.317992774</v>
      </c>
      <c r="II140">
        <f>IF(IH140=MAX($IH$83:$IH$483),$A140,0)</f>
        <v>0</v>
      </c>
      <c r="IJ140">
        <f>IF(IE140&lt;IF140,$A140,B_MAX+1)</f>
        <v>401.0</v>
      </c>
      <c r="IK140" s="13">
        <f>IF(IB140=1,$IB$35,$IB$36)</f>
        <v>0</v>
      </c>
      <c r="IL140" s="13">
        <f>OCC_DAYS*$IB$41*R_NF_2023-ID140*MCD_SHARE_FREED*R_WAIT_2023</f>
        <v>37367.159242427646</v>
      </c>
      <c r="IM140">
        <f>IF($A140&lt;=$IB$45,1,0)</f>
        <v>1</v>
      </c>
      <c r="JB140">
        <f>IF($JB$31&lt;=$JB$32,IF($A140&lt;=$JB$7,1,2),IF($A140&lt;=RUNG_BEDS_2,2,1))</f>
        <v>1</v>
      </c>
      <c r="JC140" s="5">
        <f>MIN(1,MAX(0,$JB$26-($A140-1)))</f>
        <v>1</v>
      </c>
      <c r="JD140" s="5">
        <f>$JB$25*(JC140+(1-JC140)*$JB$16)</f>
        <v>252.05322714681438</v>
      </c>
      <c r="JE140" s="13">
        <f>JD140*($JB$6+ACUTE_MARGIN)</f>
        <v>254573.7594182825</v>
      </c>
      <c r="JF140" s="13">
        <f>IF(JB140=1,$JB$31,$JB$32)</f>
        <v>152394.16214437486</v>
      </c>
      <c r="JG140" s="13">
        <f>JE140-JF140</f>
        <v>102179.59727390765</v>
      </c>
      <c r="JH140" s="13">
        <f>JH139+JG140</f>
        <v>5824237.0446127355</v>
      </c>
      <c r="JI140">
        <f>IF(JH140=MAX($JH$83:$JH$483),$A140,0)</f>
        <v>0</v>
      </c>
      <c r="JJ140">
        <f>IF(JE140&lt;JF140,$A140,B_MAX+1)</f>
        <v>401.0</v>
      </c>
      <c r="JK140" s="13">
        <f>IF(JB140=1,$JB$35,$JB$36)</f>
        <v>0</v>
      </c>
      <c r="JL140" s="13">
        <f>OCC_DAYS*$JB$41*R_NF_2023-JD140*MCD_SHARE_FREED*R_WAIT_2023</f>
        <v>37367.159242427646</v>
      </c>
      <c r="JM140">
        <f>IF($A140&lt;=$JB$45,1,0)</f>
        <v>1</v>
      </c>
      <c r="KB140">
        <f>IF($KB$31&lt;=$KB$32,IF($A140&lt;=$KB$7,1,2),IF($A140&lt;=RUNG_BEDS_2,2,1))</f>
        <v>1</v>
      </c>
      <c r="KC140" s="5">
        <f>MIN(1,MAX(0,$KB$26-($A140-1)))</f>
        <v>1</v>
      </c>
      <c r="KD140" s="5">
        <f>$KB$25*(KC140+(1-KC140)*$KB$16)</f>
        <v>126.02661357340719</v>
      </c>
      <c r="KE140" s="13">
        <f>KD140*($KB$6+ACUTE_MARGIN)</f>
        <v>127286.87970914126</v>
      </c>
      <c r="KF140" s="13">
        <f>IF(KB140=1,$KB$31,$KB$32)</f>
        <v>152394.16214437486</v>
      </c>
      <c r="KG140" s="13">
        <f>KE140-KF140</f>
        <v>-25107.282435233603</v>
      </c>
      <c r="KH140" s="13">
        <f>KH139+KG140</f>
        <v>-1431115.0988083165</v>
      </c>
      <c r="KI140">
        <f>IF(KH140=MAX($KH$83:$KH$483),$A140,0)</f>
        <v>0</v>
      </c>
      <c r="KJ140">
        <f>IF(KE140&lt;KF140,$A140,B_MAX+1)</f>
        <v>57</v>
      </c>
      <c r="KK140" s="13">
        <f>IF(KB140=1,$KB$35,$KB$36)</f>
        <v>0</v>
      </c>
      <c r="KL140" s="13">
        <f>OCC_DAYS*$KB$41*R_NF_2023-KD140*MCD_SHARE_FREED*R_WAIT_2023</f>
        <v>94673.82103225985</v>
      </c>
      <c r="KM140">
        <f>IF($A140&lt;=$KB$45,1,0)</f>
        <v>0</v>
      </c>
      <c r="LB140">
        <f>IF($LB$31&lt;=$LB$32,IF($A140&lt;=$LB$7,1,2),IF($A140&lt;=RUNG_BEDS_2,2,1))</f>
        <v>1</v>
      </c>
      <c r="LC140" s="5">
        <f>MIN(1,MAX(0,$LB$26-($A140-1)))</f>
        <v>1</v>
      </c>
      <c r="LD140" s="5">
        <f>$LB$25*(LC140+(1-LC140)*$LB$16)</f>
        <v>84.01774238227146</v>
      </c>
      <c r="LE140" s="13">
        <f>LD140*($LB$6+ACUTE_MARGIN)</f>
        <v>84857.91980609419</v>
      </c>
      <c r="LF140" s="13">
        <f>IF(LB140=1,$LB$31,$LB$32)</f>
        <v>152394.16214437486</v>
      </c>
      <c r="LG140" s="13">
        <f>LE140-LF140</f>
        <v>-67536.24233828067</v>
      </c>
      <c r="LH140" s="13">
        <f>LH139+LG140</f>
        <v>-3849565.813281998</v>
      </c>
      <c r="LI140">
        <f>IF(LH140=MAX($LH$83:$LH$483),$A140,0)</f>
        <v>0</v>
      </c>
      <c r="LJ140">
        <f>IF(LE140&lt;LF140,$A140,B_MAX+1)</f>
        <v>57</v>
      </c>
      <c r="LK140" s="13">
        <f>IF(LB140=1,$LB$35,$LB$36)</f>
        <v>0</v>
      </c>
      <c r="LL140" s="13">
        <f>OCC_DAYS*$LB$41*R_NF_2023-LD140*MCD_SHARE_FREED*R_WAIT_2023</f>
        <v>113776.04162887059</v>
      </c>
      <c r="LM140">
        <f>IF($A140&lt;=$LB$45,1,0)</f>
        <v>0</v>
      </c>
      <c r="MB140">
        <f>IF($MB$31&lt;=$MB$32,IF($A140&lt;=$MB$7,1,2),IF($A140&lt;=RUNG_BEDS_2,2,1))</f>
        <v>1</v>
      </c>
      <c r="MC140" s="5">
        <f>MIN(1,MAX(0,$MB$26-($A140-1)))</f>
        <v>1</v>
      </c>
      <c r="MD140" s="5">
        <f>$MB$25*(MC140+(1-MC140)*$MB$16)</f>
        <v>213.44610951008647</v>
      </c>
      <c r="ME140" s="13">
        <f>MD140*($MB$6+ACUTE_MARGIN)</f>
        <v>215580.57060518733</v>
      </c>
      <c r="MF140" s="13">
        <f>IF(MB140=1,$MB$31,$MB$32)</f>
        <v>152394.16214437486</v>
      </c>
      <c r="MG140" s="13">
        <f>ME140-MF140</f>
        <v>63186.40846081247</v>
      </c>
      <c r="MH140" s="13">
        <f>MH139+MG140</f>
        <v>3601625.282266313</v>
      </c>
      <c r="MI140">
        <f>IF(MH140=MAX($MH$83:$MH$483),$A140,0)</f>
        <v>0</v>
      </c>
      <c r="MJ140">
        <f>IF(ME140&lt;MF140,$A140,B_MAX+1)</f>
        <v>401.0</v>
      </c>
      <c r="MK140" s="13">
        <f>IF(MB140=1,$MB$35,$MB$36)</f>
        <v>0</v>
      </c>
      <c r="ML140" s="13">
        <f>OCC_DAYS*$MB$41*R_NF_2023-MD140*MCD_SHARE_FREED*R_WAIT_2023</f>
        <v>54922.538779778624</v>
      </c>
      <c r="MM140">
        <f>IF($A140&lt;=$MB$45,1,0)</f>
        <v>1</v>
      </c>
      <c r="NB140">
        <f>IF($NB$31&lt;=$NB$32,IF($A140&lt;=$NB$7,1,2),IF($A140&lt;=RUNG_BEDS_2,2,1))</f>
        <v>1</v>
      </c>
      <c r="NC140" s="5">
        <f>MIN(1,MAX(0,$NB$26-($A140-1)))</f>
        <v>1</v>
      </c>
      <c r="ND140" s="5">
        <f>$NB$25*(NC140+(1-NC140)*$NB$16)</f>
        <v>252.05322714681438</v>
      </c>
      <c r="NE140" s="13">
        <f>ND140*($NB$6+ACUTE_MARGIN)</f>
        <v>254573.7594182825</v>
      </c>
      <c r="NF140" s="13">
        <f>IF(NB140=1,$NB$31,$NB$32)</f>
        <v>152394.16214437486</v>
      </c>
      <c r="NG140" s="13">
        <f>NE140-NF140</f>
        <v>102179.59727390765</v>
      </c>
      <c r="NH140" s="13">
        <f>NH139+NG140</f>
        <v>5824237.0446127355</v>
      </c>
      <c r="NI140">
        <f>IF(NH140=MAX($NH$83:$NH$483),$A140,0)</f>
        <v>0</v>
      </c>
      <c r="NJ140">
        <f>IF(NE140&lt;NF140,$A140,B_MAX+1)</f>
        <v>401.0</v>
      </c>
      <c r="NK140" s="13">
        <f>IF(NB140=1,$NB$35,$NB$36)</f>
        <v>0</v>
      </c>
      <c r="NL140" s="13">
        <f>OCC_DAYS*$NB$41*R_NF_2023-ND140*MCD_SHARE_FREED*R_WAIT_2023</f>
        <v>37367.159242427646</v>
      </c>
      <c r="NM140">
        <f>IF($A140&lt;=$NB$45,1,0)</f>
        <v>1</v>
      </c>
      <c r="OB140">
        <f>IF($OB$31&lt;=$OB$32,IF($A140&lt;=$OB$7,1,2),IF($A140&lt;=RUNG_BEDS_2,2,1))</f>
        <v>1</v>
      </c>
      <c r="OC140" s="5">
        <f>MIN(1,MAX(0,$OB$26-($A140-1)))</f>
        <v>1</v>
      </c>
      <c r="OD140" s="5">
        <f>$OB$25*(OC140+(1-OC140)*$OB$16)</f>
        <v>252.05322714681438</v>
      </c>
      <c r="OE140" s="13">
        <f>OD140*($OB$6+ACUTE_MARGIN)</f>
        <v>254573.7594182825</v>
      </c>
      <c r="OF140" s="13">
        <f>IF(OB140=1,$OB$31,$OB$32)</f>
        <v>152394.16214437486</v>
      </c>
      <c r="OG140" s="13">
        <f>OE140-OF140</f>
        <v>102179.59727390765</v>
      </c>
      <c r="OH140" s="13">
        <f>OH139+OG140</f>
        <v>5824237.0446127355</v>
      </c>
      <c r="OI140">
        <f>IF(OH140=MAX($OH$83:$OH$483),$A140,0)</f>
        <v>0</v>
      </c>
      <c r="OJ140">
        <f>IF(OE140&lt;OF140,$A140,B_MAX+1)</f>
        <v>401.0</v>
      </c>
      <c r="OK140" s="13">
        <f>IF(OB140=1,$OB$35,$OB$36)</f>
        <v>0</v>
      </c>
      <c r="OL140" s="13">
        <f>OCC_DAYS*$OB$41*R_NF_2023-OD140*MCD_SHARE_FREED*R_WAIT_2023</f>
        <v>37367.159242427646</v>
      </c>
      <c r="OM140">
        <f>IF($A140&lt;=$OB$45,1,0)</f>
        <v>1</v>
      </c>
    </row>
    <row r="141">
      <c r="A141" t="n">
        <v>58</v>
      </c>
      <c r="B141">
        <f>IF($B$31&lt;=$B$32,IF($A141&lt;=$B$7,1,2),IF($A141&lt;=RUNG_BEDS_2,2,1))</f>
        <v>1</v>
      </c>
      <c r="C141" s="5">
        <f>MIN(1,MAX(0,$B$26-($A141-1)))</f>
        <v>1</v>
      </c>
      <c r="D141" s="5">
        <f>$B$25*(C141+(1-C141)*$B$16)</f>
        <v>252.05322714681438</v>
      </c>
      <c r="E141" s="13">
        <f>D141*($B$6+ACUTE_MARGIN)</f>
        <v>254573.7594182825</v>
      </c>
      <c r="F141" s="13">
        <f>IF(B141=1,$B$31,$B$32)</f>
        <v>152394.16214437486</v>
      </c>
      <c r="G141" s="13">
        <f>E141-F141</f>
        <v>102179.59727390765</v>
      </c>
      <c r="H141" s="13">
        <f>H140+G141</f>
        <v>5926416.641886643</v>
      </c>
      <c r="I141">
        <f>IF(H141=MAX($H$83:$H$483),$A141,0)</f>
        <v>0</v>
      </c>
      <c r="J141">
        <f>IF(E141&lt;F141,$A141,B_MAX+1)</f>
        <v>401.0</v>
      </c>
      <c r="K141" s="13">
        <f>IF(B141=1,$B$35,$B$36)</f>
        <v>0</v>
      </c>
      <c r="L141" s="13">
        <f>OCC_DAYS*$B$41*R_NF_2023-D141*MCD_SHARE_FREED*R_WAIT_2023</f>
        <v>37367.159242427646</v>
      </c>
      <c r="M141">
        <f>IF($A141&lt;=$B$45,1,0)</f>
        <v>1</v>
      </c>
      <c r="AB141">
        <f>IF($AB$31&lt;=$AB$32,IF($A141&lt;=$AB$7,1,2),IF($A141&lt;=RUNG_BEDS_2,2,1))</f>
        <v>1</v>
      </c>
      <c r="AC141" s="5">
        <f>MIN(1,MAX(0,$AB$26-($A141-1)))</f>
        <v>1</v>
      </c>
      <c r="AD141" s="5">
        <f>$AB$25*(AC141+(1-AC141)*$AB$16)</f>
        <v>252.05322714681438</v>
      </c>
      <c r="AE141" s="13">
        <f>AD141*($AB$6+ACUTE_MARGIN)</f>
        <v>138629.2749307479</v>
      </c>
      <c r="AF141" s="13">
        <f>IF(AB141=1,$AB$31,$AB$32)</f>
        <v>152394.16214437486</v>
      </c>
      <c r="AG141" s="13">
        <f>AE141-AF141</f>
        <v>-13764.887213626964</v>
      </c>
      <c r="AH141" s="13">
        <f>AH140+AG141</f>
        <v>-798363.458390365</v>
      </c>
      <c r="AI141">
        <f>IF(AH141=MAX($AH$83:$AH$483),$A141,0)</f>
        <v>0</v>
      </c>
      <c r="AJ141">
        <f>IF(AE141&lt;AF141,$A141,B_MAX+1)</f>
        <v>58</v>
      </c>
      <c r="AK141" s="13">
        <f>IF(AB141=1,$AB$35,$AB$36)</f>
        <v>0</v>
      </c>
      <c r="AL141" s="13">
        <f>OCC_DAYS*$AB$41*R_NF_2023-AD141*MCD_SHARE_FREED*R_WAIT_2023</f>
        <v>37367.159242427646</v>
      </c>
      <c r="AM141">
        <f>IF($A141&lt;=$AB$45,1,0)</f>
        <v>0</v>
      </c>
      <c r="BB141">
        <f>IF($BB$31&lt;=$BB$32,IF($A141&lt;=$BB$7,1,2),IF($A141&lt;=RUNG_BEDS_2,2,1))</f>
        <v>1</v>
      </c>
      <c r="BC141" s="5">
        <f>MIN(1,MAX(0,$BB$26-($A141-1)))</f>
        <v>1</v>
      </c>
      <c r="BD141" s="5">
        <f>$BB$25*(BC141+(1-BC141)*$BB$16)</f>
        <v>252.05322714681438</v>
      </c>
      <c r="BE141" s="13">
        <f>BD141*($BB$6+ACUTE_MARGIN)</f>
        <v>370518.24390581716</v>
      </c>
      <c r="BF141" s="13">
        <f>IF(BB141=1,$BB$31,$BB$32)</f>
        <v>152394.16214437486</v>
      </c>
      <c r="BG141" s="13">
        <f>BE141-BF141</f>
        <v>218124.0817614423</v>
      </c>
      <c r="BH141" s="13">
        <f>BH140+BG141</f>
        <v>12651196.742163645</v>
      </c>
      <c r="BI141">
        <f>IF(BH141=MAX($BH$83:$BH$483),$A141,0)</f>
        <v>0</v>
      </c>
      <c r="BJ141">
        <f>IF(BE141&lt;BF141,$A141,B_MAX+1)</f>
        <v>401.0</v>
      </c>
      <c r="BK141" s="13">
        <f>IF(BB141=1,$BB$35,$BB$36)</f>
        <v>0</v>
      </c>
      <c r="BL141" s="13">
        <f>OCC_DAYS*$BB$41*R_NF_2023-BD141*MCD_SHARE_FREED*R_WAIT_2023</f>
        <v>37367.159242427646</v>
      </c>
      <c r="BM141">
        <f>IF($A141&lt;=$BB$45,1,0)</f>
        <v>1</v>
      </c>
      <c r="CB141">
        <f>IF($CB$31&lt;=$CB$32,IF($A141&lt;=$CB$7,1,2),IF($A141&lt;=RUNG_BEDS_2,2,1))</f>
        <v>2</v>
      </c>
      <c r="CC141" s="5">
        <f>MIN(1,MAX(0,$CB$26-($A141-1)))</f>
        <v>1</v>
      </c>
      <c r="CD141" s="5">
        <f>$CB$25*(CC141+(1-CC141)*$CB$16)</f>
        <v>252.05322714681438</v>
      </c>
      <c r="CE141" s="13">
        <f>CD141*($CB$6+ACUTE_MARGIN)</f>
        <v>254573.7594182825</v>
      </c>
      <c r="CF141" s="13">
        <f>IF(CB141=1,$CB$31,$CB$32)</f>
        <v>160718.36940738867</v>
      </c>
      <c r="CG141" s="13">
        <f>CE141-CF141</f>
        <v>93855.39001089384</v>
      </c>
      <c r="CH141" s="13">
        <f>CH140+CG141</f>
        <v>5443612.6206318475</v>
      </c>
      <c r="CI141">
        <f>IF(CH141=MAX($CH$83:$CH$483),$A141,0)</f>
        <v>0</v>
      </c>
      <c r="CJ141">
        <f>IF(CE141&lt;CF141,$A141,B_MAX+1)</f>
        <v>401.0</v>
      </c>
      <c r="CK141" s="13">
        <f>IF(CB141=1,$CB$35,$CB$36)</f>
        <v>1560.1194073886782</v>
      </c>
      <c r="CL141" s="13">
        <f>OCC_DAYS*$CB$41*R_NF_2023-CD141*MCD_SHARE_FREED*R_WAIT_2023</f>
        <v>37367.159242427646</v>
      </c>
      <c r="CM141">
        <f>IF($A141&lt;=$CB$45,1,0)</f>
        <v>1</v>
      </c>
      <c r="DB141">
        <f>IF($DB$31&lt;=$DB$32,IF($A141&lt;=$DB$7,1,2),IF($A141&lt;=RUNG_BEDS_2,2,1))</f>
        <v>1</v>
      </c>
      <c r="DC141" s="5">
        <f>MIN(1,MAX(0,$DB$26-($A141-1)))</f>
        <v>1</v>
      </c>
      <c r="DD141" s="5">
        <f>$DB$25*(DC141+(1-DC141)*$DB$16)</f>
        <v>252.05322714681438</v>
      </c>
      <c r="DE141" s="13">
        <f>DD141*($DB$6+ACUTE_MARGIN)</f>
        <v>254573.7594182825</v>
      </c>
      <c r="DF141" s="13">
        <f>IF(DB141=1,$DB$31,$DB$32)</f>
        <v>152394.16214437486</v>
      </c>
      <c r="DG141" s="13">
        <f>DE141-DF141</f>
        <v>102179.59727390765</v>
      </c>
      <c r="DH141" s="13">
        <f>DH140+DG141</f>
        <v>5926416.641886643</v>
      </c>
      <c r="DI141">
        <f>IF(DH141=MAX($DH$83:$DH$483),$A141,0)</f>
        <v>0</v>
      </c>
      <c r="DJ141">
        <f>IF(DE141&lt;DF141,$A141,B_MAX+1)</f>
        <v>401.0</v>
      </c>
      <c r="DK141" s="13">
        <f>IF(DB141=1,$DB$35,$DB$36)</f>
        <v>0</v>
      </c>
      <c r="DL141" s="13">
        <f>OCC_DAYS*$DB$41*R_NF_2023-DD141*MCD_SHARE_FREED*R_WAIT_2023</f>
        <v>37367.159242427646</v>
      </c>
      <c r="DM141">
        <f>IF($A141&lt;=$DB$45,1,0)</f>
        <v>1</v>
      </c>
      <c r="EB141">
        <f>IF($EB$31&lt;=$EB$32,IF($A141&lt;=$EB$7,1,2),IF($A141&lt;=RUNG_BEDS_2,2,1))</f>
        <v>1</v>
      </c>
      <c r="EC141" s="5">
        <f>MIN(1,MAX(0,$EB$26-($A141-1)))</f>
        <v>1</v>
      </c>
      <c r="ED141" s="5">
        <f>$EB$25*(EC141+(1-EC141)*$EB$16)</f>
        <v>252.05322714681438</v>
      </c>
      <c r="EE141" s="13">
        <f>ED141*($EB$6+ACUTE_MARGIN)</f>
        <v>254573.7594182825</v>
      </c>
      <c r="EF141" s="13">
        <f>IF(EB141=1,$EB$31,$EB$32)</f>
        <v>152394.16214437486</v>
      </c>
      <c r="EG141" s="13">
        <f>EE141-EF141</f>
        <v>102179.59727390765</v>
      </c>
      <c r="EH141" s="13">
        <f>EH140+EG141</f>
        <v>5926416.641886643</v>
      </c>
      <c r="EI141">
        <f>IF(EH141=MAX($EH$83:$EH$483),$A141,0)</f>
        <v>0</v>
      </c>
      <c r="EJ141">
        <f>IF(EE141&lt;EF141,$A141,B_MAX+1)</f>
        <v>401.0</v>
      </c>
      <c r="EK141" s="13">
        <f>IF(EB141=1,$EB$35,$EB$36)</f>
        <v>0</v>
      </c>
      <c r="EL141" s="13">
        <f>OCC_DAYS*$EB$41*R_NF_2023-ED141*MCD_SHARE_FREED*R_WAIT_2023</f>
        <v>-63953.16263896705</v>
      </c>
      <c r="EM141">
        <f>IF($A141&lt;=$EB$45,1,0)</f>
        <v>1</v>
      </c>
      <c r="FB141">
        <f>IF($FB$31&lt;=$FB$32,IF($A141&lt;=$FB$7,1,2),IF($A141&lt;=RUNG_BEDS_2,2,1))</f>
        <v>1</v>
      </c>
      <c r="FC141" s="5">
        <f>MIN(1,MAX(0,$FB$26-($A141-1)))</f>
        <v>1</v>
      </c>
      <c r="FD141" s="5">
        <f>$FB$25*(FC141+(1-FC141)*$FB$16)</f>
        <v>252.05322714681438</v>
      </c>
      <c r="FE141" s="13">
        <f>FD141*($FB$6+ACUTE_MARGIN)</f>
        <v>254573.7594182825</v>
      </c>
      <c r="FF141" s="13">
        <f>IF(FB141=1,$FB$31,$FB$32)</f>
        <v>156636.04979437485</v>
      </c>
      <c r="FG141" s="13">
        <f>FE141-FF141</f>
        <v>97937.70962390766</v>
      </c>
      <c r="FH141" s="13">
        <f>FH140+FG141</f>
        <v>5680387.158186645</v>
      </c>
      <c r="FI141">
        <f>IF(FH141=MAX($FH$83:$FH$483),$A141,0)</f>
        <v>0</v>
      </c>
      <c r="FJ141">
        <f>IF(FE141&lt;FF141,$A141,B_MAX+1)</f>
        <v>401.0</v>
      </c>
      <c r="FK141" s="13">
        <f>IF(FB141=1,$FB$35,$FB$36)</f>
        <v>0</v>
      </c>
      <c r="FL141" s="13">
        <f>OCC_DAYS*$FB$41*R_NF_2023-FD141*MCD_SHARE_FREED*R_WAIT_2023</f>
        <v>37367.159242427646</v>
      </c>
      <c r="FM141">
        <f>IF($A141&lt;=$FB$45,1,0)</f>
        <v>1</v>
      </c>
      <c r="GB141">
        <f>IF($GB$31&lt;=$GB$32,IF($A141&lt;=$GB$7,1,2),IF($A141&lt;=RUNG_BEDS_2,2,1))</f>
        <v>1</v>
      </c>
      <c r="GC141" s="5">
        <f>MIN(1,MAX(0,$GB$26-($A141-1)))</f>
        <v>1</v>
      </c>
      <c r="GD141" s="5">
        <f>$GB$25*(GC141+(1-GC141)*$GB$16)</f>
        <v>252.05322714681438</v>
      </c>
      <c r="GE141" s="13">
        <f>GD141*($GB$6+ACUTE_MARGIN)</f>
        <v>254573.7594182825</v>
      </c>
      <c r="GF141" s="13">
        <f>IF(GB141=1,$GB$31,$GB$32)</f>
        <v>152394.16214437486</v>
      </c>
      <c r="GG141" s="13">
        <f>GE141-GF141</f>
        <v>102179.59727390765</v>
      </c>
      <c r="GH141" s="13">
        <f>GH140+GG141</f>
        <v>5926416.641886643</v>
      </c>
      <c r="GI141">
        <f>IF(GH141=MAX($GH$83:$GH$483),$A141,0)</f>
        <v>0</v>
      </c>
      <c r="GJ141">
        <f>IF(GE141&lt;GF141,$A141,B_MAX+1)</f>
        <v>401.0</v>
      </c>
      <c r="GK141" s="13">
        <f>IF(GB141=1,$GB$35,$GB$36)</f>
        <v>0</v>
      </c>
      <c r="GL141" s="13">
        <f>OCC_DAYS*$GB$41*R_NF_2023-GD141*MCD_SHARE_FREED*R_WAIT_2023</f>
        <v>37367.159242427646</v>
      </c>
      <c r="GM141">
        <f>IF($A141&lt;=$GB$45,1,0)</f>
        <v>1</v>
      </c>
      <c r="HB141">
        <f>IF($HB$31&lt;=$HB$32,IF($A141&lt;=$HB$7,1,2),IF($A141&lt;=RUNG_BEDS_2,2,1))</f>
        <v>1</v>
      </c>
      <c r="HC141" s="5">
        <f>MIN(1,MAX(0,$HB$26-($A141-1)))</f>
        <v>1</v>
      </c>
      <c r="HD141" s="5">
        <f>$HB$25*(HC141+(1-HC141)*$HB$16)</f>
        <v>252.05322714681438</v>
      </c>
      <c r="HE141" s="13">
        <f>HD141*($HB$6+ACUTE_MARGIN)</f>
        <v>254573.7594182825</v>
      </c>
      <c r="HF141" s="13">
        <f>IF(HB141=1,$HB$31,$HB$32)</f>
        <v>152456.2970814058</v>
      </c>
      <c r="HG141" s="13">
        <f>HE141-HF141</f>
        <v>102117.46233687672</v>
      </c>
      <c r="HH141" s="13">
        <f>HH140+HG141</f>
        <v>5922812.815538848</v>
      </c>
      <c r="HI141">
        <f>IF(HH141=MAX($HH$83:$HH$483),$A141,0)</f>
        <v>0</v>
      </c>
      <c r="HJ141">
        <f>IF(HE141&lt;HF141,$A141,B_MAX+1)</f>
        <v>401.0</v>
      </c>
      <c r="HK141" s="13">
        <f>IF(HB141=1,$HB$35,$HB$36)</f>
        <v>0</v>
      </c>
      <c r="HL141" s="13">
        <f>OCC_DAYS*$HB$41*R_NF_2023-HD141*MCD_SHARE_FREED*R_WAIT_2023</f>
        <v>37367.159242427646</v>
      </c>
      <c r="HM141">
        <f>IF($A141&lt;=$HB$45,1,0)</f>
        <v>1</v>
      </c>
      <c r="IB141">
        <f>IF($IB$31&lt;=$IB$32,IF($A141&lt;=$IB$7,1,2),IF($A141&lt;=RUNG_BEDS_2,2,1))</f>
        <v>1</v>
      </c>
      <c r="IC141" s="5">
        <f>MIN(1,MAX(0,$IB$26-($A141-1)))</f>
        <v>1</v>
      </c>
      <c r="ID141" s="5">
        <f>$IB$25*(IC141+(1-IC141)*$IB$16)</f>
        <v>252.05322714681438</v>
      </c>
      <c r="IE141" s="13">
        <f>ID141*($IB$6+ACUTE_MARGIN)</f>
        <v>254573.7594182825</v>
      </c>
      <c r="IF141" s="13">
        <f>IF(IB141=1,$IB$31,$IB$32)</f>
        <v>152734.9994534971</v>
      </c>
      <c r="IG141" s="13">
        <f>IE141-IF141</f>
        <v>101838.75996478542</v>
      </c>
      <c r="IH141" s="13">
        <f>IH140+IG141</f>
        <v>5906648.077957559</v>
      </c>
      <c r="II141">
        <f>IF(IH141=MAX($IH$83:$IH$483),$A141,0)</f>
        <v>0</v>
      </c>
      <c r="IJ141">
        <f>IF(IE141&lt;IF141,$A141,B_MAX+1)</f>
        <v>401.0</v>
      </c>
      <c r="IK141" s="13">
        <f>IF(IB141=1,$IB$35,$IB$36)</f>
        <v>0</v>
      </c>
      <c r="IL141" s="13">
        <f>OCC_DAYS*$IB$41*R_NF_2023-ID141*MCD_SHARE_FREED*R_WAIT_2023</f>
        <v>37367.159242427646</v>
      </c>
      <c r="IM141">
        <f>IF($A141&lt;=$IB$45,1,0)</f>
        <v>1</v>
      </c>
      <c r="JB141">
        <f>IF($JB$31&lt;=$JB$32,IF($A141&lt;=$JB$7,1,2),IF($A141&lt;=RUNG_BEDS_2,2,1))</f>
        <v>1</v>
      </c>
      <c r="JC141" s="5">
        <f>MIN(1,MAX(0,$JB$26-($A141-1)))</f>
        <v>1</v>
      </c>
      <c r="JD141" s="5">
        <f>$JB$25*(JC141+(1-JC141)*$JB$16)</f>
        <v>252.05322714681438</v>
      </c>
      <c r="JE141" s="13">
        <f>JD141*($JB$6+ACUTE_MARGIN)</f>
        <v>254573.7594182825</v>
      </c>
      <c r="JF141" s="13">
        <f>IF(JB141=1,$JB$31,$JB$32)</f>
        <v>152394.16214437486</v>
      </c>
      <c r="JG141" s="13">
        <f>JE141-JF141</f>
        <v>102179.59727390765</v>
      </c>
      <c r="JH141" s="13">
        <f>JH140+JG141</f>
        <v>5926416.641886643</v>
      </c>
      <c r="JI141">
        <f>IF(JH141=MAX($JH$83:$JH$483),$A141,0)</f>
        <v>0</v>
      </c>
      <c r="JJ141">
        <f>IF(JE141&lt;JF141,$A141,B_MAX+1)</f>
        <v>401.0</v>
      </c>
      <c r="JK141" s="13">
        <f>IF(JB141=1,$JB$35,$JB$36)</f>
        <v>0</v>
      </c>
      <c r="JL141" s="13">
        <f>OCC_DAYS*$JB$41*R_NF_2023-JD141*MCD_SHARE_FREED*R_WAIT_2023</f>
        <v>37367.159242427646</v>
      </c>
      <c r="JM141">
        <f>IF($A141&lt;=$JB$45,1,0)</f>
        <v>1</v>
      </c>
      <c r="KB141">
        <f>IF($KB$31&lt;=$KB$32,IF($A141&lt;=$KB$7,1,2),IF($A141&lt;=RUNG_BEDS_2,2,1))</f>
        <v>1</v>
      </c>
      <c r="KC141" s="5">
        <f>MIN(1,MAX(0,$KB$26-($A141-1)))</f>
        <v>1</v>
      </c>
      <c r="KD141" s="5">
        <f>$KB$25*(KC141+(1-KC141)*$KB$16)</f>
        <v>126.02661357340719</v>
      </c>
      <c r="KE141" s="13">
        <f>KD141*($KB$6+ACUTE_MARGIN)</f>
        <v>127286.87970914126</v>
      </c>
      <c r="KF141" s="13">
        <f>IF(KB141=1,$KB$31,$KB$32)</f>
        <v>152394.16214437486</v>
      </c>
      <c r="KG141" s="13">
        <f>KE141-KF141</f>
        <v>-25107.282435233603</v>
      </c>
      <c r="KH141" s="13">
        <f>KH140+KG141</f>
        <v>-1456222.3812435502</v>
      </c>
      <c r="KI141">
        <f>IF(KH141=MAX($KH$83:$KH$483),$A141,0)</f>
        <v>0</v>
      </c>
      <c r="KJ141">
        <f>IF(KE141&lt;KF141,$A141,B_MAX+1)</f>
        <v>58</v>
      </c>
      <c r="KK141" s="13">
        <f>IF(KB141=1,$KB$35,$KB$36)</f>
        <v>0</v>
      </c>
      <c r="KL141" s="13">
        <f>OCC_DAYS*$KB$41*R_NF_2023-KD141*MCD_SHARE_FREED*R_WAIT_2023</f>
        <v>94673.82103225985</v>
      </c>
      <c r="KM141">
        <f>IF($A141&lt;=$KB$45,1,0)</f>
        <v>0</v>
      </c>
      <c r="LB141">
        <f>IF($LB$31&lt;=$LB$32,IF($A141&lt;=$LB$7,1,2),IF($A141&lt;=RUNG_BEDS_2,2,1))</f>
        <v>1</v>
      </c>
      <c r="LC141" s="5">
        <f>MIN(1,MAX(0,$LB$26-($A141-1)))</f>
        <v>1</v>
      </c>
      <c r="LD141" s="5">
        <f>$LB$25*(LC141+(1-LC141)*$LB$16)</f>
        <v>84.01774238227146</v>
      </c>
      <c r="LE141" s="13">
        <f>LD141*($LB$6+ACUTE_MARGIN)</f>
        <v>84857.91980609419</v>
      </c>
      <c r="LF141" s="13">
        <f>IF(LB141=1,$LB$31,$LB$32)</f>
        <v>152394.16214437486</v>
      </c>
      <c r="LG141" s="13">
        <f>LE141-LF141</f>
        <v>-67536.24233828067</v>
      </c>
      <c r="LH141" s="13">
        <f>LH140+LG141</f>
        <v>-3917102.0556202787</v>
      </c>
      <c r="LI141">
        <f>IF(LH141=MAX($LH$83:$LH$483),$A141,0)</f>
        <v>0</v>
      </c>
      <c r="LJ141">
        <f>IF(LE141&lt;LF141,$A141,B_MAX+1)</f>
        <v>58</v>
      </c>
      <c r="LK141" s="13">
        <f>IF(LB141=1,$LB$35,$LB$36)</f>
        <v>0</v>
      </c>
      <c r="LL141" s="13">
        <f>OCC_DAYS*$LB$41*R_NF_2023-LD141*MCD_SHARE_FREED*R_WAIT_2023</f>
        <v>113776.04162887059</v>
      </c>
      <c r="LM141">
        <f>IF($A141&lt;=$LB$45,1,0)</f>
        <v>0</v>
      </c>
      <c r="MB141">
        <f>IF($MB$31&lt;=$MB$32,IF($A141&lt;=$MB$7,1,2),IF($A141&lt;=RUNG_BEDS_2,2,1))</f>
        <v>1</v>
      </c>
      <c r="MC141" s="5">
        <f>MIN(1,MAX(0,$MB$26-($A141-1)))</f>
        <v>1</v>
      </c>
      <c r="MD141" s="5">
        <f>$MB$25*(MC141+(1-MC141)*$MB$16)</f>
        <v>213.44610951008647</v>
      </c>
      <c r="ME141" s="13">
        <f>MD141*($MB$6+ACUTE_MARGIN)</f>
        <v>215580.57060518733</v>
      </c>
      <c r="MF141" s="13">
        <f>IF(MB141=1,$MB$31,$MB$32)</f>
        <v>152394.16214437486</v>
      </c>
      <c r="MG141" s="13">
        <f>ME141-MF141</f>
        <v>63186.40846081247</v>
      </c>
      <c r="MH141" s="13">
        <f>MH140+MG141</f>
        <v>3664811.690727126</v>
      </c>
      <c r="MI141">
        <f>IF(MH141=MAX($MH$83:$MH$483),$A141,0)</f>
        <v>0</v>
      </c>
      <c r="MJ141">
        <f>IF(ME141&lt;MF141,$A141,B_MAX+1)</f>
        <v>401.0</v>
      </c>
      <c r="MK141" s="13">
        <f>IF(MB141=1,$MB$35,$MB$36)</f>
        <v>0</v>
      </c>
      <c r="ML141" s="13">
        <f>OCC_DAYS*$MB$41*R_NF_2023-MD141*MCD_SHARE_FREED*R_WAIT_2023</f>
        <v>54922.538779778624</v>
      </c>
      <c r="MM141">
        <f>IF($A141&lt;=$MB$45,1,0)</f>
        <v>1</v>
      </c>
      <c r="NB141">
        <f>IF($NB$31&lt;=$NB$32,IF($A141&lt;=$NB$7,1,2),IF($A141&lt;=RUNG_BEDS_2,2,1))</f>
        <v>1</v>
      </c>
      <c r="NC141" s="5">
        <f>MIN(1,MAX(0,$NB$26-($A141-1)))</f>
        <v>1</v>
      </c>
      <c r="ND141" s="5">
        <f>$NB$25*(NC141+(1-NC141)*$NB$16)</f>
        <v>252.05322714681438</v>
      </c>
      <c r="NE141" s="13">
        <f>ND141*($NB$6+ACUTE_MARGIN)</f>
        <v>254573.7594182825</v>
      </c>
      <c r="NF141" s="13">
        <f>IF(NB141=1,$NB$31,$NB$32)</f>
        <v>152394.16214437486</v>
      </c>
      <c r="NG141" s="13">
        <f>NE141-NF141</f>
        <v>102179.59727390765</v>
      </c>
      <c r="NH141" s="13">
        <f>NH140+NG141</f>
        <v>5926416.641886643</v>
      </c>
      <c r="NI141">
        <f>IF(NH141=MAX($NH$83:$NH$483),$A141,0)</f>
        <v>0</v>
      </c>
      <c r="NJ141">
        <f>IF(NE141&lt;NF141,$A141,B_MAX+1)</f>
        <v>401.0</v>
      </c>
      <c r="NK141" s="13">
        <f>IF(NB141=1,$NB$35,$NB$36)</f>
        <v>0</v>
      </c>
      <c r="NL141" s="13">
        <f>OCC_DAYS*$NB$41*R_NF_2023-ND141*MCD_SHARE_FREED*R_WAIT_2023</f>
        <v>37367.159242427646</v>
      </c>
      <c r="NM141">
        <f>IF($A141&lt;=$NB$45,1,0)</f>
        <v>1</v>
      </c>
      <c r="OB141">
        <f>IF($OB$31&lt;=$OB$32,IF($A141&lt;=$OB$7,1,2),IF($A141&lt;=RUNG_BEDS_2,2,1))</f>
        <v>1</v>
      </c>
      <c r="OC141" s="5">
        <f>MIN(1,MAX(0,$OB$26-($A141-1)))</f>
        <v>1</v>
      </c>
      <c r="OD141" s="5">
        <f>$OB$25*(OC141+(1-OC141)*$OB$16)</f>
        <v>252.05322714681438</v>
      </c>
      <c r="OE141" s="13">
        <f>OD141*($OB$6+ACUTE_MARGIN)</f>
        <v>254573.7594182825</v>
      </c>
      <c r="OF141" s="13">
        <f>IF(OB141=1,$OB$31,$OB$32)</f>
        <v>152394.16214437486</v>
      </c>
      <c r="OG141" s="13">
        <f>OE141-OF141</f>
        <v>102179.59727390765</v>
      </c>
      <c r="OH141" s="13">
        <f>OH140+OG141</f>
        <v>5926416.641886643</v>
      </c>
      <c r="OI141">
        <f>IF(OH141=MAX($OH$83:$OH$483),$A141,0)</f>
        <v>0</v>
      </c>
      <c r="OJ141">
        <f>IF(OE141&lt;OF141,$A141,B_MAX+1)</f>
        <v>401.0</v>
      </c>
      <c r="OK141" s="13">
        <f>IF(OB141=1,$OB$35,$OB$36)</f>
        <v>0</v>
      </c>
      <c r="OL141" s="13">
        <f>OCC_DAYS*$OB$41*R_NF_2023-OD141*MCD_SHARE_FREED*R_WAIT_2023</f>
        <v>37367.159242427646</v>
      </c>
      <c r="OM141">
        <f>IF($A141&lt;=$OB$45,1,0)</f>
        <v>1</v>
      </c>
    </row>
    <row r="142">
      <c r="A142" t="n">
        <v>59</v>
      </c>
      <c r="B142">
        <f>IF($B$31&lt;=$B$32,IF($A142&lt;=$B$7,1,2),IF($A142&lt;=RUNG_BEDS_2,2,1))</f>
        <v>1</v>
      </c>
      <c r="C142" s="5">
        <f>MIN(1,MAX(0,$B$26-($A142-1)))</f>
        <v>1</v>
      </c>
      <c r="D142" s="5">
        <f>$B$25*(C142+(1-C142)*$B$16)</f>
        <v>252.05322714681438</v>
      </c>
      <c r="E142" s="13">
        <f>D142*($B$6+ACUTE_MARGIN)</f>
        <v>254573.7594182825</v>
      </c>
      <c r="F142" s="13">
        <f>IF(B142=1,$B$31,$B$32)</f>
        <v>152394.16214437486</v>
      </c>
      <c r="G142" s="13">
        <f>E142-F142</f>
        <v>102179.59727390765</v>
      </c>
      <c r="H142" s="13">
        <f>H141+G142</f>
        <v>6028596.239160551</v>
      </c>
      <c r="I142">
        <f>IF(H142=MAX($H$83:$H$483),$A142,0)</f>
        <v>0</v>
      </c>
      <c r="J142">
        <f>IF(E142&lt;F142,$A142,B_MAX+1)</f>
        <v>401.0</v>
      </c>
      <c r="K142" s="13">
        <f>IF(B142=1,$B$35,$B$36)</f>
        <v>0</v>
      </c>
      <c r="L142" s="13">
        <f>OCC_DAYS*$B$41*R_NF_2023-D142*MCD_SHARE_FREED*R_WAIT_2023</f>
        <v>37367.159242427646</v>
      </c>
      <c r="M142">
        <f>IF($A142&lt;=$B$45,1,0)</f>
        <v>1</v>
      </c>
      <c r="AB142">
        <f>IF($AB$31&lt;=$AB$32,IF($A142&lt;=$AB$7,1,2),IF($A142&lt;=RUNG_BEDS_2,2,1))</f>
        <v>1</v>
      </c>
      <c r="AC142" s="5">
        <f>MIN(1,MAX(0,$AB$26-($A142-1)))</f>
        <v>1</v>
      </c>
      <c r="AD142" s="5">
        <f>$AB$25*(AC142+(1-AC142)*$AB$16)</f>
        <v>252.05322714681438</v>
      </c>
      <c r="AE142" s="13">
        <f>AD142*($AB$6+ACUTE_MARGIN)</f>
        <v>138629.2749307479</v>
      </c>
      <c r="AF142" s="13">
        <f>IF(AB142=1,$AB$31,$AB$32)</f>
        <v>152394.16214437486</v>
      </c>
      <c r="AG142" s="13">
        <f>AE142-AF142</f>
        <v>-13764.887213626964</v>
      </c>
      <c r="AH142" s="13">
        <f>AH141+AG142</f>
        <v>-812128.345603992</v>
      </c>
      <c r="AI142">
        <f>IF(AH142=MAX($AH$83:$AH$483),$A142,0)</f>
        <v>0</v>
      </c>
      <c r="AJ142">
        <f>IF(AE142&lt;AF142,$A142,B_MAX+1)</f>
        <v>59</v>
      </c>
      <c r="AK142" s="13">
        <f>IF(AB142=1,$AB$35,$AB$36)</f>
        <v>0</v>
      </c>
      <c r="AL142" s="13">
        <f>OCC_DAYS*$AB$41*R_NF_2023-AD142*MCD_SHARE_FREED*R_WAIT_2023</f>
        <v>37367.159242427646</v>
      </c>
      <c r="AM142">
        <f>IF($A142&lt;=$AB$45,1,0)</f>
        <v>0</v>
      </c>
      <c r="BB142">
        <f>IF($BB$31&lt;=$BB$32,IF($A142&lt;=$BB$7,1,2),IF($A142&lt;=RUNG_BEDS_2,2,1))</f>
        <v>1</v>
      </c>
      <c r="BC142" s="5">
        <f>MIN(1,MAX(0,$BB$26-($A142-1)))</f>
        <v>1</v>
      </c>
      <c r="BD142" s="5">
        <f>$BB$25*(BC142+(1-BC142)*$BB$16)</f>
        <v>252.05322714681438</v>
      </c>
      <c r="BE142" s="13">
        <f>BD142*($BB$6+ACUTE_MARGIN)</f>
        <v>370518.24390581716</v>
      </c>
      <c r="BF142" s="13">
        <f>IF(BB142=1,$BB$31,$BB$32)</f>
        <v>152394.16214437486</v>
      </c>
      <c r="BG142" s="13">
        <f>BE142-BF142</f>
        <v>218124.0817614423</v>
      </c>
      <c r="BH142" s="13">
        <f>BH141+BG142</f>
        <v>12869320.823925087</v>
      </c>
      <c r="BI142">
        <f>IF(BH142=MAX($BH$83:$BH$483),$A142,0)</f>
        <v>0</v>
      </c>
      <c r="BJ142">
        <f>IF(BE142&lt;BF142,$A142,B_MAX+1)</f>
        <v>401.0</v>
      </c>
      <c r="BK142" s="13">
        <f>IF(BB142=1,$BB$35,$BB$36)</f>
        <v>0</v>
      </c>
      <c r="BL142" s="13">
        <f>OCC_DAYS*$BB$41*R_NF_2023-BD142*MCD_SHARE_FREED*R_WAIT_2023</f>
        <v>37367.159242427646</v>
      </c>
      <c r="BM142">
        <f>IF($A142&lt;=$BB$45,1,0)</f>
        <v>1</v>
      </c>
      <c r="CB142">
        <f>IF($CB$31&lt;=$CB$32,IF($A142&lt;=$CB$7,1,2),IF($A142&lt;=RUNG_BEDS_2,2,1))</f>
        <v>2</v>
      </c>
      <c r="CC142" s="5">
        <f>MIN(1,MAX(0,$CB$26-($A142-1)))</f>
        <v>1</v>
      </c>
      <c r="CD142" s="5">
        <f>$CB$25*(CC142+(1-CC142)*$CB$16)</f>
        <v>252.05322714681438</v>
      </c>
      <c r="CE142" s="13">
        <f>CD142*($CB$6+ACUTE_MARGIN)</f>
        <v>254573.7594182825</v>
      </c>
      <c r="CF142" s="13">
        <f>IF(CB142=1,$CB$31,$CB$32)</f>
        <v>160718.36940738867</v>
      </c>
      <c r="CG142" s="13">
        <f>CE142-CF142</f>
        <v>93855.39001089384</v>
      </c>
      <c r="CH142" s="13">
        <f>CH141+CG142</f>
        <v>5537468.010642742</v>
      </c>
      <c r="CI142">
        <f>IF(CH142=MAX($CH$83:$CH$483),$A142,0)</f>
        <v>0</v>
      </c>
      <c r="CJ142">
        <f>IF(CE142&lt;CF142,$A142,B_MAX+1)</f>
        <v>401.0</v>
      </c>
      <c r="CK142" s="13">
        <f>IF(CB142=1,$CB$35,$CB$36)</f>
        <v>1560.1194073886782</v>
      </c>
      <c r="CL142" s="13">
        <f>OCC_DAYS*$CB$41*R_NF_2023-CD142*MCD_SHARE_FREED*R_WAIT_2023</f>
        <v>37367.159242427646</v>
      </c>
      <c r="CM142">
        <f>IF($A142&lt;=$CB$45,1,0)</f>
        <v>1</v>
      </c>
      <c r="DB142">
        <f>IF($DB$31&lt;=$DB$32,IF($A142&lt;=$DB$7,1,2),IF($A142&lt;=RUNG_BEDS_2,2,1))</f>
        <v>1</v>
      </c>
      <c r="DC142" s="5">
        <f>MIN(1,MAX(0,$DB$26-($A142-1)))</f>
        <v>1</v>
      </c>
      <c r="DD142" s="5">
        <f>$DB$25*(DC142+(1-DC142)*$DB$16)</f>
        <v>252.05322714681438</v>
      </c>
      <c r="DE142" s="13">
        <f>DD142*($DB$6+ACUTE_MARGIN)</f>
        <v>254573.7594182825</v>
      </c>
      <c r="DF142" s="13">
        <f>IF(DB142=1,$DB$31,$DB$32)</f>
        <v>152394.16214437486</v>
      </c>
      <c r="DG142" s="13">
        <f>DE142-DF142</f>
        <v>102179.59727390765</v>
      </c>
      <c r="DH142" s="13">
        <f>DH141+DG142</f>
        <v>6028596.239160551</v>
      </c>
      <c r="DI142">
        <f>IF(DH142=MAX($DH$83:$DH$483),$A142,0)</f>
        <v>0</v>
      </c>
      <c r="DJ142">
        <f>IF(DE142&lt;DF142,$A142,B_MAX+1)</f>
        <v>401.0</v>
      </c>
      <c r="DK142" s="13">
        <f>IF(DB142=1,$DB$35,$DB$36)</f>
        <v>0</v>
      </c>
      <c r="DL142" s="13">
        <f>OCC_DAYS*$DB$41*R_NF_2023-DD142*MCD_SHARE_FREED*R_WAIT_2023</f>
        <v>37367.159242427646</v>
      </c>
      <c r="DM142">
        <f>IF($A142&lt;=$DB$45,1,0)</f>
        <v>1</v>
      </c>
      <c r="EB142">
        <f>IF($EB$31&lt;=$EB$32,IF($A142&lt;=$EB$7,1,2),IF($A142&lt;=RUNG_BEDS_2,2,1))</f>
        <v>1</v>
      </c>
      <c r="EC142" s="5">
        <f>MIN(1,MAX(0,$EB$26-($A142-1)))</f>
        <v>1</v>
      </c>
      <c r="ED142" s="5">
        <f>$EB$25*(EC142+(1-EC142)*$EB$16)</f>
        <v>252.05322714681438</v>
      </c>
      <c r="EE142" s="13">
        <f>ED142*($EB$6+ACUTE_MARGIN)</f>
        <v>254573.7594182825</v>
      </c>
      <c r="EF142" s="13">
        <f>IF(EB142=1,$EB$31,$EB$32)</f>
        <v>152394.16214437486</v>
      </c>
      <c r="EG142" s="13">
        <f>EE142-EF142</f>
        <v>102179.59727390765</v>
      </c>
      <c r="EH142" s="13">
        <f>EH141+EG142</f>
        <v>6028596.239160551</v>
      </c>
      <c r="EI142">
        <f>IF(EH142=MAX($EH$83:$EH$483),$A142,0)</f>
        <v>0</v>
      </c>
      <c r="EJ142">
        <f>IF(EE142&lt;EF142,$A142,B_MAX+1)</f>
        <v>401.0</v>
      </c>
      <c r="EK142" s="13">
        <f>IF(EB142=1,$EB$35,$EB$36)</f>
        <v>0</v>
      </c>
      <c r="EL142" s="13">
        <f>OCC_DAYS*$EB$41*R_NF_2023-ED142*MCD_SHARE_FREED*R_WAIT_2023</f>
        <v>-63953.16263896705</v>
      </c>
      <c r="EM142">
        <f>IF($A142&lt;=$EB$45,1,0)</f>
        <v>1</v>
      </c>
      <c r="FB142">
        <f>IF($FB$31&lt;=$FB$32,IF($A142&lt;=$FB$7,1,2),IF($A142&lt;=RUNG_BEDS_2,2,1))</f>
        <v>1</v>
      </c>
      <c r="FC142" s="5">
        <f>MIN(1,MAX(0,$FB$26-($A142-1)))</f>
        <v>1</v>
      </c>
      <c r="FD142" s="5">
        <f>$FB$25*(FC142+(1-FC142)*$FB$16)</f>
        <v>252.05322714681438</v>
      </c>
      <c r="FE142" s="13">
        <f>FD142*($FB$6+ACUTE_MARGIN)</f>
        <v>254573.7594182825</v>
      </c>
      <c r="FF142" s="13">
        <f>IF(FB142=1,$FB$31,$FB$32)</f>
        <v>156636.04979437485</v>
      </c>
      <c r="FG142" s="13">
        <f>FE142-FF142</f>
        <v>97937.70962390766</v>
      </c>
      <c r="FH142" s="13">
        <f>FH141+FG142</f>
        <v>5778324.867810553</v>
      </c>
      <c r="FI142">
        <f>IF(FH142=MAX($FH$83:$FH$483),$A142,0)</f>
        <v>0</v>
      </c>
      <c r="FJ142">
        <f>IF(FE142&lt;FF142,$A142,B_MAX+1)</f>
        <v>401.0</v>
      </c>
      <c r="FK142" s="13">
        <f>IF(FB142=1,$FB$35,$FB$36)</f>
        <v>0</v>
      </c>
      <c r="FL142" s="13">
        <f>OCC_DAYS*$FB$41*R_NF_2023-FD142*MCD_SHARE_FREED*R_WAIT_2023</f>
        <v>37367.159242427646</v>
      </c>
      <c r="FM142">
        <f>IF($A142&lt;=$FB$45,1,0)</f>
        <v>1</v>
      </c>
      <c r="GB142">
        <f>IF($GB$31&lt;=$GB$32,IF($A142&lt;=$GB$7,1,2),IF($A142&lt;=RUNG_BEDS_2,2,1))</f>
        <v>1</v>
      </c>
      <c r="GC142" s="5">
        <f>MIN(1,MAX(0,$GB$26-($A142-1)))</f>
        <v>1</v>
      </c>
      <c r="GD142" s="5">
        <f>$GB$25*(GC142+(1-GC142)*$GB$16)</f>
        <v>252.05322714681438</v>
      </c>
      <c r="GE142" s="13">
        <f>GD142*($GB$6+ACUTE_MARGIN)</f>
        <v>254573.7594182825</v>
      </c>
      <c r="GF142" s="13">
        <f>IF(GB142=1,$GB$31,$GB$32)</f>
        <v>152394.16214437486</v>
      </c>
      <c r="GG142" s="13">
        <f>GE142-GF142</f>
        <v>102179.59727390765</v>
      </c>
      <c r="GH142" s="13">
        <f>GH141+GG142</f>
        <v>6028596.239160551</v>
      </c>
      <c r="GI142">
        <f>IF(GH142=MAX($GH$83:$GH$483),$A142,0)</f>
        <v>0</v>
      </c>
      <c r="GJ142">
        <f>IF(GE142&lt;GF142,$A142,B_MAX+1)</f>
        <v>401.0</v>
      </c>
      <c r="GK142" s="13">
        <f>IF(GB142=1,$GB$35,$GB$36)</f>
        <v>0</v>
      </c>
      <c r="GL142" s="13">
        <f>OCC_DAYS*$GB$41*R_NF_2023-GD142*MCD_SHARE_FREED*R_WAIT_2023</f>
        <v>37367.159242427646</v>
      </c>
      <c r="GM142">
        <f>IF($A142&lt;=$GB$45,1,0)</f>
        <v>1</v>
      </c>
      <c r="HB142">
        <f>IF($HB$31&lt;=$HB$32,IF($A142&lt;=$HB$7,1,2),IF($A142&lt;=RUNG_BEDS_2,2,1))</f>
        <v>1</v>
      </c>
      <c r="HC142" s="5">
        <f>MIN(1,MAX(0,$HB$26-($A142-1)))</f>
        <v>1</v>
      </c>
      <c r="HD142" s="5">
        <f>$HB$25*(HC142+(1-HC142)*$HB$16)</f>
        <v>252.05322714681438</v>
      </c>
      <c r="HE142" s="13">
        <f>HD142*($HB$6+ACUTE_MARGIN)</f>
        <v>254573.7594182825</v>
      </c>
      <c r="HF142" s="13">
        <f>IF(HB142=1,$HB$31,$HB$32)</f>
        <v>152456.2970814058</v>
      </c>
      <c r="HG142" s="13">
        <f>HE142-HF142</f>
        <v>102117.46233687672</v>
      </c>
      <c r="HH142" s="13">
        <f>HH141+HG142</f>
        <v>6024930.277875724</v>
      </c>
      <c r="HI142">
        <f>IF(HH142=MAX($HH$83:$HH$483),$A142,0)</f>
        <v>0</v>
      </c>
      <c r="HJ142">
        <f>IF(HE142&lt;HF142,$A142,B_MAX+1)</f>
        <v>401.0</v>
      </c>
      <c r="HK142" s="13">
        <f>IF(HB142=1,$HB$35,$HB$36)</f>
        <v>0</v>
      </c>
      <c r="HL142" s="13">
        <f>OCC_DAYS*$HB$41*R_NF_2023-HD142*MCD_SHARE_FREED*R_WAIT_2023</f>
        <v>37367.159242427646</v>
      </c>
      <c r="HM142">
        <f>IF($A142&lt;=$HB$45,1,0)</f>
        <v>1</v>
      </c>
      <c r="IB142">
        <f>IF($IB$31&lt;=$IB$32,IF($A142&lt;=$IB$7,1,2),IF($A142&lt;=RUNG_BEDS_2,2,1))</f>
        <v>1</v>
      </c>
      <c r="IC142" s="5">
        <f>MIN(1,MAX(0,$IB$26-($A142-1)))</f>
        <v>1</v>
      </c>
      <c r="ID142" s="5">
        <f>$IB$25*(IC142+(1-IC142)*$IB$16)</f>
        <v>252.05322714681438</v>
      </c>
      <c r="IE142" s="13">
        <f>ID142*($IB$6+ACUTE_MARGIN)</f>
        <v>254573.7594182825</v>
      </c>
      <c r="IF142" s="13">
        <f>IF(IB142=1,$IB$31,$IB$32)</f>
        <v>152734.9994534971</v>
      </c>
      <c r="IG142" s="13">
        <f>IE142-IF142</f>
        <v>101838.75996478542</v>
      </c>
      <c r="IH142" s="13">
        <f>IH141+IG142</f>
        <v>6008486.837922345</v>
      </c>
      <c r="II142">
        <f>IF(IH142=MAX($IH$83:$IH$483),$A142,0)</f>
        <v>0</v>
      </c>
      <c r="IJ142">
        <f>IF(IE142&lt;IF142,$A142,B_MAX+1)</f>
        <v>401.0</v>
      </c>
      <c r="IK142" s="13">
        <f>IF(IB142=1,$IB$35,$IB$36)</f>
        <v>0</v>
      </c>
      <c r="IL142" s="13">
        <f>OCC_DAYS*$IB$41*R_NF_2023-ID142*MCD_SHARE_FREED*R_WAIT_2023</f>
        <v>37367.159242427646</v>
      </c>
      <c r="IM142">
        <f>IF($A142&lt;=$IB$45,1,0)</f>
        <v>1</v>
      </c>
      <c r="JB142">
        <f>IF($JB$31&lt;=$JB$32,IF($A142&lt;=$JB$7,1,2),IF($A142&lt;=RUNG_BEDS_2,2,1))</f>
        <v>1</v>
      </c>
      <c r="JC142" s="5">
        <f>MIN(1,MAX(0,$JB$26-($A142-1)))</f>
        <v>1</v>
      </c>
      <c r="JD142" s="5">
        <f>$JB$25*(JC142+(1-JC142)*$JB$16)</f>
        <v>252.05322714681438</v>
      </c>
      <c r="JE142" s="13">
        <f>JD142*($JB$6+ACUTE_MARGIN)</f>
        <v>254573.7594182825</v>
      </c>
      <c r="JF142" s="13">
        <f>IF(JB142=1,$JB$31,$JB$32)</f>
        <v>152394.16214437486</v>
      </c>
      <c r="JG142" s="13">
        <f>JE142-JF142</f>
        <v>102179.59727390765</v>
      </c>
      <c r="JH142" s="13">
        <f>JH141+JG142</f>
        <v>6028596.239160551</v>
      </c>
      <c r="JI142">
        <f>IF(JH142=MAX($JH$83:$JH$483),$A142,0)</f>
        <v>0</v>
      </c>
      <c r="JJ142">
        <f>IF(JE142&lt;JF142,$A142,B_MAX+1)</f>
        <v>401.0</v>
      </c>
      <c r="JK142" s="13">
        <f>IF(JB142=1,$JB$35,$JB$36)</f>
        <v>0</v>
      </c>
      <c r="JL142" s="13">
        <f>OCC_DAYS*$JB$41*R_NF_2023-JD142*MCD_SHARE_FREED*R_WAIT_2023</f>
        <v>37367.159242427646</v>
      </c>
      <c r="JM142">
        <f>IF($A142&lt;=$JB$45,1,0)</f>
        <v>1</v>
      </c>
      <c r="KB142">
        <f>IF($KB$31&lt;=$KB$32,IF($A142&lt;=$KB$7,1,2),IF($A142&lt;=RUNG_BEDS_2,2,1))</f>
        <v>1</v>
      </c>
      <c r="KC142" s="5">
        <f>MIN(1,MAX(0,$KB$26-($A142-1)))</f>
        <v>1</v>
      </c>
      <c r="KD142" s="5">
        <f>$KB$25*(KC142+(1-KC142)*$KB$16)</f>
        <v>126.02661357340719</v>
      </c>
      <c r="KE142" s="13">
        <f>KD142*($KB$6+ACUTE_MARGIN)</f>
        <v>127286.87970914126</v>
      </c>
      <c r="KF142" s="13">
        <f>IF(KB142=1,$KB$31,$KB$32)</f>
        <v>152394.16214437486</v>
      </c>
      <c r="KG142" s="13">
        <f>KE142-KF142</f>
        <v>-25107.282435233603</v>
      </c>
      <c r="KH142" s="13">
        <f>KH141+KG142</f>
        <v>-1481329.663678784</v>
      </c>
      <c r="KI142">
        <f>IF(KH142=MAX($KH$83:$KH$483),$A142,0)</f>
        <v>0</v>
      </c>
      <c r="KJ142">
        <f>IF(KE142&lt;KF142,$A142,B_MAX+1)</f>
        <v>59</v>
      </c>
      <c r="KK142" s="13">
        <f>IF(KB142=1,$KB$35,$KB$36)</f>
        <v>0</v>
      </c>
      <c r="KL142" s="13">
        <f>OCC_DAYS*$KB$41*R_NF_2023-KD142*MCD_SHARE_FREED*R_WAIT_2023</f>
        <v>94673.82103225985</v>
      </c>
      <c r="KM142">
        <f>IF($A142&lt;=$KB$45,1,0)</f>
        <v>0</v>
      </c>
      <c r="LB142">
        <f>IF($LB$31&lt;=$LB$32,IF($A142&lt;=$LB$7,1,2),IF($A142&lt;=RUNG_BEDS_2,2,1))</f>
        <v>1</v>
      </c>
      <c r="LC142" s="5">
        <f>MIN(1,MAX(0,$LB$26-($A142-1)))</f>
        <v>1</v>
      </c>
      <c r="LD142" s="5">
        <f>$LB$25*(LC142+(1-LC142)*$LB$16)</f>
        <v>84.01774238227146</v>
      </c>
      <c r="LE142" s="13">
        <f>LD142*($LB$6+ACUTE_MARGIN)</f>
        <v>84857.91980609419</v>
      </c>
      <c r="LF142" s="13">
        <f>IF(LB142=1,$LB$31,$LB$32)</f>
        <v>152394.16214437486</v>
      </c>
      <c r="LG142" s="13">
        <f>LE142-LF142</f>
        <v>-67536.24233828067</v>
      </c>
      <c r="LH142" s="13">
        <f>LH141+LG142</f>
        <v>-3984638.2979585594</v>
      </c>
      <c r="LI142">
        <f>IF(LH142=MAX($LH$83:$LH$483),$A142,0)</f>
        <v>0</v>
      </c>
      <c r="LJ142">
        <f>IF(LE142&lt;LF142,$A142,B_MAX+1)</f>
        <v>59</v>
      </c>
      <c r="LK142" s="13">
        <f>IF(LB142=1,$LB$35,$LB$36)</f>
        <v>0</v>
      </c>
      <c r="LL142" s="13">
        <f>OCC_DAYS*$LB$41*R_NF_2023-LD142*MCD_SHARE_FREED*R_WAIT_2023</f>
        <v>113776.04162887059</v>
      </c>
      <c r="LM142">
        <f>IF($A142&lt;=$LB$45,1,0)</f>
        <v>0</v>
      </c>
      <c r="MB142">
        <f>IF($MB$31&lt;=$MB$32,IF($A142&lt;=$MB$7,1,2),IF($A142&lt;=RUNG_BEDS_2,2,1))</f>
        <v>1</v>
      </c>
      <c r="MC142" s="5">
        <f>MIN(1,MAX(0,$MB$26-($A142-1)))</f>
        <v>1</v>
      </c>
      <c r="MD142" s="5">
        <f>$MB$25*(MC142+(1-MC142)*$MB$16)</f>
        <v>213.44610951008647</v>
      </c>
      <c r="ME142" s="13">
        <f>MD142*($MB$6+ACUTE_MARGIN)</f>
        <v>215580.57060518733</v>
      </c>
      <c r="MF142" s="13">
        <f>IF(MB142=1,$MB$31,$MB$32)</f>
        <v>152394.16214437486</v>
      </c>
      <c r="MG142" s="13">
        <f>ME142-MF142</f>
        <v>63186.40846081247</v>
      </c>
      <c r="MH142" s="13">
        <f>MH141+MG142</f>
        <v>3727998.0991879385</v>
      </c>
      <c r="MI142">
        <f>IF(MH142=MAX($MH$83:$MH$483),$A142,0)</f>
        <v>0</v>
      </c>
      <c r="MJ142">
        <f>IF(ME142&lt;MF142,$A142,B_MAX+1)</f>
        <v>401.0</v>
      </c>
      <c r="MK142" s="13">
        <f>IF(MB142=1,$MB$35,$MB$36)</f>
        <v>0</v>
      </c>
      <c r="ML142" s="13">
        <f>OCC_DAYS*$MB$41*R_NF_2023-MD142*MCD_SHARE_FREED*R_WAIT_2023</f>
        <v>54922.538779778624</v>
      </c>
      <c r="MM142">
        <f>IF($A142&lt;=$MB$45,1,0)</f>
        <v>1</v>
      </c>
      <c r="NB142">
        <f>IF($NB$31&lt;=$NB$32,IF($A142&lt;=$NB$7,1,2),IF($A142&lt;=RUNG_BEDS_2,2,1))</f>
        <v>1</v>
      </c>
      <c r="NC142" s="5">
        <f>MIN(1,MAX(0,$NB$26-($A142-1)))</f>
        <v>1</v>
      </c>
      <c r="ND142" s="5">
        <f>$NB$25*(NC142+(1-NC142)*$NB$16)</f>
        <v>252.05322714681438</v>
      </c>
      <c r="NE142" s="13">
        <f>ND142*($NB$6+ACUTE_MARGIN)</f>
        <v>254573.7594182825</v>
      </c>
      <c r="NF142" s="13">
        <f>IF(NB142=1,$NB$31,$NB$32)</f>
        <v>152394.16214437486</v>
      </c>
      <c r="NG142" s="13">
        <f>NE142-NF142</f>
        <v>102179.59727390765</v>
      </c>
      <c r="NH142" s="13">
        <f>NH141+NG142</f>
        <v>6028596.239160551</v>
      </c>
      <c r="NI142">
        <f>IF(NH142=MAX($NH$83:$NH$483),$A142,0)</f>
        <v>0</v>
      </c>
      <c r="NJ142">
        <f>IF(NE142&lt;NF142,$A142,B_MAX+1)</f>
        <v>401.0</v>
      </c>
      <c r="NK142" s="13">
        <f>IF(NB142=1,$NB$35,$NB$36)</f>
        <v>0</v>
      </c>
      <c r="NL142" s="13">
        <f>OCC_DAYS*$NB$41*R_NF_2023-ND142*MCD_SHARE_FREED*R_WAIT_2023</f>
        <v>37367.159242427646</v>
      </c>
      <c r="NM142">
        <f>IF($A142&lt;=$NB$45,1,0)</f>
        <v>1</v>
      </c>
      <c r="OB142">
        <f>IF($OB$31&lt;=$OB$32,IF($A142&lt;=$OB$7,1,2),IF($A142&lt;=RUNG_BEDS_2,2,1))</f>
        <v>1</v>
      </c>
      <c r="OC142" s="5">
        <f>MIN(1,MAX(0,$OB$26-($A142-1)))</f>
        <v>1</v>
      </c>
      <c r="OD142" s="5">
        <f>$OB$25*(OC142+(1-OC142)*$OB$16)</f>
        <v>252.05322714681438</v>
      </c>
      <c r="OE142" s="13">
        <f>OD142*($OB$6+ACUTE_MARGIN)</f>
        <v>254573.7594182825</v>
      </c>
      <c r="OF142" s="13">
        <f>IF(OB142=1,$OB$31,$OB$32)</f>
        <v>152394.16214437486</v>
      </c>
      <c r="OG142" s="13">
        <f>OE142-OF142</f>
        <v>102179.59727390765</v>
      </c>
      <c r="OH142" s="13">
        <f>OH141+OG142</f>
        <v>6028596.239160551</v>
      </c>
      <c r="OI142">
        <f>IF(OH142=MAX($OH$83:$OH$483),$A142,0)</f>
        <v>0</v>
      </c>
      <c r="OJ142">
        <f>IF(OE142&lt;OF142,$A142,B_MAX+1)</f>
        <v>401.0</v>
      </c>
      <c r="OK142" s="13">
        <f>IF(OB142=1,$OB$35,$OB$36)</f>
        <v>0</v>
      </c>
      <c r="OL142" s="13">
        <f>OCC_DAYS*$OB$41*R_NF_2023-OD142*MCD_SHARE_FREED*R_WAIT_2023</f>
        <v>37367.159242427646</v>
      </c>
      <c r="OM142">
        <f>IF($A142&lt;=$OB$45,1,0)</f>
        <v>1</v>
      </c>
    </row>
    <row r="143">
      <c r="A143" t="n">
        <v>60</v>
      </c>
      <c r="B143">
        <f>IF($B$31&lt;=$B$32,IF($A143&lt;=$B$7,1,2),IF($A143&lt;=RUNG_BEDS_2,2,1))</f>
        <v>1</v>
      </c>
      <c r="C143" s="5">
        <f>MIN(1,MAX(0,$B$26-($A143-1)))</f>
        <v>1</v>
      </c>
      <c r="D143" s="5">
        <f>$B$25*(C143+(1-C143)*$B$16)</f>
        <v>252.05322714681438</v>
      </c>
      <c r="E143" s="13">
        <f>D143*($B$6+ACUTE_MARGIN)</f>
        <v>254573.7594182825</v>
      </c>
      <c r="F143" s="13">
        <f>IF(B143=1,$B$31,$B$32)</f>
        <v>152394.16214437486</v>
      </c>
      <c r="G143" s="13">
        <f>E143-F143</f>
        <v>102179.59727390765</v>
      </c>
      <c r="H143" s="13">
        <f>H142+G143</f>
        <v>6130775.836434458</v>
      </c>
      <c r="I143">
        <f>IF(H143=MAX($H$83:$H$483),$A143,0)</f>
        <v>0</v>
      </c>
      <c r="J143">
        <f>IF(E143&lt;F143,$A143,B_MAX+1)</f>
        <v>401.0</v>
      </c>
      <c r="K143" s="13">
        <f>IF(B143=1,$B$35,$B$36)</f>
        <v>0</v>
      </c>
      <c r="L143" s="13">
        <f>OCC_DAYS*$B$41*R_NF_2023-D143*MCD_SHARE_FREED*R_WAIT_2023</f>
        <v>37367.159242427646</v>
      </c>
      <c r="M143">
        <f>IF($A143&lt;=$B$45,1,0)</f>
        <v>1</v>
      </c>
      <c r="AB143">
        <f>IF($AB$31&lt;=$AB$32,IF($A143&lt;=$AB$7,1,2),IF($A143&lt;=RUNG_BEDS_2,2,1))</f>
        <v>1</v>
      </c>
      <c r="AC143" s="5">
        <f>MIN(1,MAX(0,$AB$26-($A143-1)))</f>
        <v>1</v>
      </c>
      <c r="AD143" s="5">
        <f>$AB$25*(AC143+(1-AC143)*$AB$16)</f>
        <v>252.05322714681438</v>
      </c>
      <c r="AE143" s="13">
        <f>AD143*($AB$6+ACUTE_MARGIN)</f>
        <v>138629.2749307479</v>
      </c>
      <c r="AF143" s="13">
        <f>IF(AB143=1,$AB$31,$AB$32)</f>
        <v>152394.16214437486</v>
      </c>
      <c r="AG143" s="13">
        <f>AE143-AF143</f>
        <v>-13764.887213626964</v>
      </c>
      <c r="AH143" s="13">
        <f>AH142+AG143</f>
        <v>-825893.232817619</v>
      </c>
      <c r="AI143">
        <f>IF(AH143=MAX($AH$83:$AH$483),$A143,0)</f>
        <v>0</v>
      </c>
      <c r="AJ143">
        <f>IF(AE143&lt;AF143,$A143,B_MAX+1)</f>
        <v>60</v>
      </c>
      <c r="AK143" s="13">
        <f>IF(AB143=1,$AB$35,$AB$36)</f>
        <v>0</v>
      </c>
      <c r="AL143" s="13">
        <f>OCC_DAYS*$AB$41*R_NF_2023-AD143*MCD_SHARE_FREED*R_WAIT_2023</f>
        <v>37367.159242427646</v>
      </c>
      <c r="AM143">
        <f>IF($A143&lt;=$AB$45,1,0)</f>
        <v>0</v>
      </c>
      <c r="BB143">
        <f>IF($BB$31&lt;=$BB$32,IF($A143&lt;=$BB$7,1,2),IF($A143&lt;=RUNG_BEDS_2,2,1))</f>
        <v>1</v>
      </c>
      <c r="BC143" s="5">
        <f>MIN(1,MAX(0,$BB$26-($A143-1)))</f>
        <v>1</v>
      </c>
      <c r="BD143" s="5">
        <f>$BB$25*(BC143+(1-BC143)*$BB$16)</f>
        <v>252.05322714681438</v>
      </c>
      <c r="BE143" s="13">
        <f>BD143*($BB$6+ACUTE_MARGIN)</f>
        <v>370518.24390581716</v>
      </c>
      <c r="BF143" s="13">
        <f>IF(BB143=1,$BB$31,$BB$32)</f>
        <v>152394.16214437486</v>
      </c>
      <c r="BG143" s="13">
        <f>BE143-BF143</f>
        <v>218124.0817614423</v>
      </c>
      <c r="BH143" s="13">
        <f>BH142+BG143</f>
        <v>13087444.90568653</v>
      </c>
      <c r="BI143">
        <f>IF(BH143=MAX($BH$83:$BH$483),$A143,0)</f>
        <v>0</v>
      </c>
      <c r="BJ143">
        <f>IF(BE143&lt;BF143,$A143,B_MAX+1)</f>
        <v>401.0</v>
      </c>
      <c r="BK143" s="13">
        <f>IF(BB143=1,$BB$35,$BB$36)</f>
        <v>0</v>
      </c>
      <c r="BL143" s="13">
        <f>OCC_DAYS*$BB$41*R_NF_2023-BD143*MCD_SHARE_FREED*R_WAIT_2023</f>
        <v>37367.159242427646</v>
      </c>
      <c r="BM143">
        <f>IF($A143&lt;=$BB$45,1,0)</f>
        <v>1</v>
      </c>
      <c r="CB143">
        <f>IF($CB$31&lt;=$CB$32,IF($A143&lt;=$CB$7,1,2),IF($A143&lt;=RUNG_BEDS_2,2,1))</f>
        <v>2</v>
      </c>
      <c r="CC143" s="5">
        <f>MIN(1,MAX(0,$CB$26-($A143-1)))</f>
        <v>1</v>
      </c>
      <c r="CD143" s="5">
        <f>$CB$25*(CC143+(1-CC143)*$CB$16)</f>
        <v>252.05322714681438</v>
      </c>
      <c r="CE143" s="13">
        <f>CD143*($CB$6+ACUTE_MARGIN)</f>
        <v>254573.7594182825</v>
      </c>
      <c r="CF143" s="13">
        <f>IF(CB143=1,$CB$31,$CB$32)</f>
        <v>160718.36940738867</v>
      </c>
      <c r="CG143" s="13">
        <f>CE143-CF143</f>
        <v>93855.39001089384</v>
      </c>
      <c r="CH143" s="13">
        <f>CH142+CG143</f>
        <v>5631323.400653636</v>
      </c>
      <c r="CI143">
        <f>IF(CH143=MAX($CH$83:$CH$483),$A143,0)</f>
        <v>0</v>
      </c>
      <c r="CJ143">
        <f>IF(CE143&lt;CF143,$A143,B_MAX+1)</f>
        <v>401.0</v>
      </c>
      <c r="CK143" s="13">
        <f>IF(CB143=1,$CB$35,$CB$36)</f>
        <v>1560.1194073886782</v>
      </c>
      <c r="CL143" s="13">
        <f>OCC_DAYS*$CB$41*R_NF_2023-CD143*MCD_SHARE_FREED*R_WAIT_2023</f>
        <v>37367.159242427646</v>
      </c>
      <c r="CM143">
        <f>IF($A143&lt;=$CB$45,1,0)</f>
        <v>1</v>
      </c>
      <c r="DB143">
        <f>IF($DB$31&lt;=$DB$32,IF($A143&lt;=$DB$7,1,2),IF($A143&lt;=RUNG_BEDS_2,2,1))</f>
        <v>1</v>
      </c>
      <c r="DC143" s="5">
        <f>MIN(1,MAX(0,$DB$26-($A143-1)))</f>
        <v>1</v>
      </c>
      <c r="DD143" s="5">
        <f>$DB$25*(DC143+(1-DC143)*$DB$16)</f>
        <v>252.05322714681438</v>
      </c>
      <c r="DE143" s="13">
        <f>DD143*($DB$6+ACUTE_MARGIN)</f>
        <v>254573.7594182825</v>
      </c>
      <c r="DF143" s="13">
        <f>IF(DB143=1,$DB$31,$DB$32)</f>
        <v>152394.16214437486</v>
      </c>
      <c r="DG143" s="13">
        <f>DE143-DF143</f>
        <v>102179.59727390765</v>
      </c>
      <c r="DH143" s="13">
        <f>DH142+DG143</f>
        <v>6130775.836434458</v>
      </c>
      <c r="DI143">
        <f>IF(DH143=MAX($DH$83:$DH$483),$A143,0)</f>
        <v>0</v>
      </c>
      <c r="DJ143">
        <f>IF(DE143&lt;DF143,$A143,B_MAX+1)</f>
        <v>401.0</v>
      </c>
      <c r="DK143" s="13">
        <f>IF(DB143=1,$DB$35,$DB$36)</f>
        <v>0</v>
      </c>
      <c r="DL143" s="13">
        <f>OCC_DAYS*$DB$41*R_NF_2023-DD143*MCD_SHARE_FREED*R_WAIT_2023</f>
        <v>37367.159242427646</v>
      </c>
      <c r="DM143">
        <f>IF($A143&lt;=$DB$45,1,0)</f>
        <v>1</v>
      </c>
      <c r="EB143">
        <f>IF($EB$31&lt;=$EB$32,IF($A143&lt;=$EB$7,1,2),IF($A143&lt;=RUNG_BEDS_2,2,1))</f>
        <v>1</v>
      </c>
      <c r="EC143" s="5">
        <f>MIN(1,MAX(0,$EB$26-($A143-1)))</f>
        <v>1</v>
      </c>
      <c r="ED143" s="5">
        <f>$EB$25*(EC143+(1-EC143)*$EB$16)</f>
        <v>252.05322714681438</v>
      </c>
      <c r="EE143" s="13">
        <f>ED143*($EB$6+ACUTE_MARGIN)</f>
        <v>254573.7594182825</v>
      </c>
      <c r="EF143" s="13">
        <f>IF(EB143=1,$EB$31,$EB$32)</f>
        <v>152394.16214437486</v>
      </c>
      <c r="EG143" s="13">
        <f>EE143-EF143</f>
        <v>102179.59727390765</v>
      </c>
      <c r="EH143" s="13">
        <f>EH142+EG143</f>
        <v>6130775.836434458</v>
      </c>
      <c r="EI143">
        <f>IF(EH143=MAX($EH$83:$EH$483),$A143,0)</f>
        <v>0</v>
      </c>
      <c r="EJ143">
        <f>IF(EE143&lt;EF143,$A143,B_MAX+1)</f>
        <v>401.0</v>
      </c>
      <c r="EK143" s="13">
        <f>IF(EB143=1,$EB$35,$EB$36)</f>
        <v>0</v>
      </c>
      <c r="EL143" s="13">
        <f>OCC_DAYS*$EB$41*R_NF_2023-ED143*MCD_SHARE_FREED*R_WAIT_2023</f>
        <v>-63953.16263896705</v>
      </c>
      <c r="EM143">
        <f>IF($A143&lt;=$EB$45,1,0)</f>
        <v>1</v>
      </c>
      <c r="FB143">
        <f>IF($FB$31&lt;=$FB$32,IF($A143&lt;=$FB$7,1,2),IF($A143&lt;=RUNG_BEDS_2,2,1))</f>
        <v>1</v>
      </c>
      <c r="FC143" s="5">
        <f>MIN(1,MAX(0,$FB$26-($A143-1)))</f>
        <v>1</v>
      </c>
      <c r="FD143" s="5">
        <f>$FB$25*(FC143+(1-FC143)*$FB$16)</f>
        <v>252.05322714681438</v>
      </c>
      <c r="FE143" s="13">
        <f>FD143*($FB$6+ACUTE_MARGIN)</f>
        <v>254573.7594182825</v>
      </c>
      <c r="FF143" s="13">
        <f>IF(FB143=1,$FB$31,$FB$32)</f>
        <v>156636.04979437485</v>
      </c>
      <c r="FG143" s="13">
        <f>FE143-FF143</f>
        <v>97937.70962390766</v>
      </c>
      <c r="FH143" s="13">
        <f>FH142+FG143</f>
        <v>5876262.577434461</v>
      </c>
      <c r="FI143">
        <f>IF(FH143=MAX($FH$83:$FH$483),$A143,0)</f>
        <v>0</v>
      </c>
      <c r="FJ143">
        <f>IF(FE143&lt;FF143,$A143,B_MAX+1)</f>
        <v>401.0</v>
      </c>
      <c r="FK143" s="13">
        <f>IF(FB143=1,$FB$35,$FB$36)</f>
        <v>0</v>
      </c>
      <c r="FL143" s="13">
        <f>OCC_DAYS*$FB$41*R_NF_2023-FD143*MCD_SHARE_FREED*R_WAIT_2023</f>
        <v>37367.159242427646</v>
      </c>
      <c r="FM143">
        <f>IF($A143&lt;=$FB$45,1,0)</f>
        <v>1</v>
      </c>
      <c r="GB143">
        <f>IF($GB$31&lt;=$GB$32,IF($A143&lt;=$GB$7,1,2),IF($A143&lt;=RUNG_BEDS_2,2,1))</f>
        <v>1</v>
      </c>
      <c r="GC143" s="5">
        <f>MIN(1,MAX(0,$GB$26-($A143-1)))</f>
        <v>1</v>
      </c>
      <c r="GD143" s="5">
        <f>$GB$25*(GC143+(1-GC143)*$GB$16)</f>
        <v>252.05322714681438</v>
      </c>
      <c r="GE143" s="13">
        <f>GD143*($GB$6+ACUTE_MARGIN)</f>
        <v>254573.7594182825</v>
      </c>
      <c r="GF143" s="13">
        <f>IF(GB143=1,$GB$31,$GB$32)</f>
        <v>152394.16214437486</v>
      </c>
      <c r="GG143" s="13">
        <f>GE143-GF143</f>
        <v>102179.59727390765</v>
      </c>
      <c r="GH143" s="13">
        <f>GH142+GG143</f>
        <v>6130775.836434458</v>
      </c>
      <c r="GI143">
        <f>IF(GH143=MAX($GH$83:$GH$483),$A143,0)</f>
        <v>0</v>
      </c>
      <c r="GJ143">
        <f>IF(GE143&lt;GF143,$A143,B_MAX+1)</f>
        <v>401.0</v>
      </c>
      <c r="GK143" s="13">
        <f>IF(GB143=1,$GB$35,$GB$36)</f>
        <v>0</v>
      </c>
      <c r="GL143" s="13">
        <f>OCC_DAYS*$GB$41*R_NF_2023-GD143*MCD_SHARE_FREED*R_WAIT_2023</f>
        <v>37367.159242427646</v>
      </c>
      <c r="GM143">
        <f>IF($A143&lt;=$GB$45,1,0)</f>
        <v>1</v>
      </c>
      <c r="HB143">
        <f>IF($HB$31&lt;=$HB$32,IF($A143&lt;=$HB$7,1,2),IF($A143&lt;=RUNG_BEDS_2,2,1))</f>
        <v>1</v>
      </c>
      <c r="HC143" s="5">
        <f>MIN(1,MAX(0,$HB$26-($A143-1)))</f>
        <v>1</v>
      </c>
      <c r="HD143" s="5">
        <f>$HB$25*(HC143+(1-HC143)*$HB$16)</f>
        <v>252.05322714681438</v>
      </c>
      <c r="HE143" s="13">
        <f>HD143*($HB$6+ACUTE_MARGIN)</f>
        <v>254573.7594182825</v>
      </c>
      <c r="HF143" s="13">
        <f>IF(HB143=1,$HB$31,$HB$32)</f>
        <v>152456.2970814058</v>
      </c>
      <c r="HG143" s="13">
        <f>HE143-HF143</f>
        <v>102117.46233687672</v>
      </c>
      <c r="HH143" s="13">
        <f>HH142+HG143</f>
        <v>6127047.740212601</v>
      </c>
      <c r="HI143">
        <f>IF(HH143=MAX($HH$83:$HH$483),$A143,0)</f>
        <v>0</v>
      </c>
      <c r="HJ143">
        <f>IF(HE143&lt;HF143,$A143,B_MAX+1)</f>
        <v>401.0</v>
      </c>
      <c r="HK143" s="13">
        <f>IF(HB143=1,$HB$35,$HB$36)</f>
        <v>0</v>
      </c>
      <c r="HL143" s="13">
        <f>OCC_DAYS*$HB$41*R_NF_2023-HD143*MCD_SHARE_FREED*R_WAIT_2023</f>
        <v>37367.159242427646</v>
      </c>
      <c r="HM143">
        <f>IF($A143&lt;=$HB$45,1,0)</f>
        <v>1</v>
      </c>
      <c r="IB143">
        <f>IF($IB$31&lt;=$IB$32,IF($A143&lt;=$IB$7,1,2),IF($A143&lt;=RUNG_BEDS_2,2,1))</f>
        <v>1</v>
      </c>
      <c r="IC143" s="5">
        <f>MIN(1,MAX(0,$IB$26-($A143-1)))</f>
        <v>1</v>
      </c>
      <c r="ID143" s="5">
        <f>$IB$25*(IC143+(1-IC143)*$IB$16)</f>
        <v>252.05322714681438</v>
      </c>
      <c r="IE143" s="13">
        <f>ID143*($IB$6+ACUTE_MARGIN)</f>
        <v>254573.7594182825</v>
      </c>
      <c r="IF143" s="13">
        <f>IF(IB143=1,$IB$31,$IB$32)</f>
        <v>152734.9994534971</v>
      </c>
      <c r="IG143" s="13">
        <f>IE143-IF143</f>
        <v>101838.75996478542</v>
      </c>
      <c r="IH143" s="13">
        <f>IH142+IG143</f>
        <v>6110325.59788713</v>
      </c>
      <c r="II143">
        <f>IF(IH143=MAX($IH$83:$IH$483),$A143,0)</f>
        <v>0</v>
      </c>
      <c r="IJ143">
        <f>IF(IE143&lt;IF143,$A143,B_MAX+1)</f>
        <v>401.0</v>
      </c>
      <c r="IK143" s="13">
        <f>IF(IB143=1,$IB$35,$IB$36)</f>
        <v>0</v>
      </c>
      <c r="IL143" s="13">
        <f>OCC_DAYS*$IB$41*R_NF_2023-ID143*MCD_SHARE_FREED*R_WAIT_2023</f>
        <v>37367.159242427646</v>
      </c>
      <c r="IM143">
        <f>IF($A143&lt;=$IB$45,1,0)</f>
        <v>1</v>
      </c>
      <c r="JB143">
        <f>IF($JB$31&lt;=$JB$32,IF($A143&lt;=$JB$7,1,2),IF($A143&lt;=RUNG_BEDS_2,2,1))</f>
        <v>1</v>
      </c>
      <c r="JC143" s="5">
        <f>MIN(1,MAX(0,$JB$26-($A143-1)))</f>
        <v>1</v>
      </c>
      <c r="JD143" s="5">
        <f>$JB$25*(JC143+(1-JC143)*$JB$16)</f>
        <v>252.05322714681438</v>
      </c>
      <c r="JE143" s="13">
        <f>JD143*($JB$6+ACUTE_MARGIN)</f>
        <v>254573.7594182825</v>
      </c>
      <c r="JF143" s="13">
        <f>IF(JB143=1,$JB$31,$JB$32)</f>
        <v>152394.16214437486</v>
      </c>
      <c r="JG143" s="13">
        <f>JE143-JF143</f>
        <v>102179.59727390765</v>
      </c>
      <c r="JH143" s="13">
        <f>JH142+JG143</f>
        <v>6130775.836434458</v>
      </c>
      <c r="JI143">
        <f>IF(JH143=MAX($JH$83:$JH$483),$A143,0)</f>
        <v>0</v>
      </c>
      <c r="JJ143">
        <f>IF(JE143&lt;JF143,$A143,B_MAX+1)</f>
        <v>401.0</v>
      </c>
      <c r="JK143" s="13">
        <f>IF(JB143=1,$JB$35,$JB$36)</f>
        <v>0</v>
      </c>
      <c r="JL143" s="13">
        <f>OCC_DAYS*$JB$41*R_NF_2023-JD143*MCD_SHARE_FREED*R_WAIT_2023</f>
        <v>37367.159242427646</v>
      </c>
      <c r="JM143">
        <f>IF($A143&lt;=$JB$45,1,0)</f>
        <v>1</v>
      </c>
      <c r="KB143">
        <f>IF($KB$31&lt;=$KB$32,IF($A143&lt;=$KB$7,1,2),IF($A143&lt;=RUNG_BEDS_2,2,1))</f>
        <v>1</v>
      </c>
      <c r="KC143" s="5">
        <f>MIN(1,MAX(0,$KB$26-($A143-1)))</f>
        <v>1</v>
      </c>
      <c r="KD143" s="5">
        <f>$KB$25*(KC143+(1-KC143)*$KB$16)</f>
        <v>126.02661357340719</v>
      </c>
      <c r="KE143" s="13">
        <f>KD143*($KB$6+ACUTE_MARGIN)</f>
        <v>127286.87970914126</v>
      </c>
      <c r="KF143" s="13">
        <f>IF(KB143=1,$KB$31,$KB$32)</f>
        <v>152394.16214437486</v>
      </c>
      <c r="KG143" s="13">
        <f>KE143-KF143</f>
        <v>-25107.282435233603</v>
      </c>
      <c r="KH143" s="13">
        <f>KH142+KG143</f>
        <v>-1506436.9461140176</v>
      </c>
      <c r="KI143">
        <f>IF(KH143=MAX($KH$83:$KH$483),$A143,0)</f>
        <v>0</v>
      </c>
      <c r="KJ143">
        <f>IF(KE143&lt;KF143,$A143,B_MAX+1)</f>
        <v>60</v>
      </c>
      <c r="KK143" s="13">
        <f>IF(KB143=1,$KB$35,$KB$36)</f>
        <v>0</v>
      </c>
      <c r="KL143" s="13">
        <f>OCC_DAYS*$KB$41*R_NF_2023-KD143*MCD_SHARE_FREED*R_WAIT_2023</f>
        <v>94673.82103225985</v>
      </c>
      <c r="KM143">
        <f>IF($A143&lt;=$KB$45,1,0)</f>
        <v>0</v>
      </c>
      <c r="LB143">
        <f>IF($LB$31&lt;=$LB$32,IF($A143&lt;=$LB$7,1,2),IF($A143&lt;=RUNG_BEDS_2,2,1))</f>
        <v>1</v>
      </c>
      <c r="LC143" s="5">
        <f>MIN(1,MAX(0,$LB$26-($A143-1)))</f>
        <v>1</v>
      </c>
      <c r="LD143" s="5">
        <f>$LB$25*(LC143+(1-LC143)*$LB$16)</f>
        <v>84.01774238227146</v>
      </c>
      <c r="LE143" s="13">
        <f>LD143*($LB$6+ACUTE_MARGIN)</f>
        <v>84857.91980609419</v>
      </c>
      <c r="LF143" s="13">
        <f>IF(LB143=1,$LB$31,$LB$32)</f>
        <v>152394.16214437486</v>
      </c>
      <c r="LG143" s="13">
        <f>LE143-LF143</f>
        <v>-67536.24233828067</v>
      </c>
      <c r="LH143" s="13">
        <f>LH142+LG143</f>
        <v>-4052174.54029684</v>
      </c>
      <c r="LI143">
        <f>IF(LH143=MAX($LH$83:$LH$483),$A143,0)</f>
        <v>0</v>
      </c>
      <c r="LJ143">
        <f>IF(LE143&lt;LF143,$A143,B_MAX+1)</f>
        <v>60</v>
      </c>
      <c r="LK143" s="13">
        <f>IF(LB143=1,$LB$35,$LB$36)</f>
        <v>0</v>
      </c>
      <c r="LL143" s="13">
        <f>OCC_DAYS*$LB$41*R_NF_2023-LD143*MCD_SHARE_FREED*R_WAIT_2023</f>
        <v>113776.04162887059</v>
      </c>
      <c r="LM143">
        <f>IF($A143&lt;=$LB$45,1,0)</f>
        <v>0</v>
      </c>
      <c r="MB143">
        <f>IF($MB$31&lt;=$MB$32,IF($A143&lt;=$MB$7,1,2),IF($A143&lt;=RUNG_BEDS_2,2,1))</f>
        <v>1</v>
      </c>
      <c r="MC143" s="5">
        <f>MIN(1,MAX(0,$MB$26-($A143-1)))</f>
        <v>1</v>
      </c>
      <c r="MD143" s="5">
        <f>$MB$25*(MC143+(1-MC143)*$MB$16)</f>
        <v>213.44610951008647</v>
      </c>
      <c r="ME143" s="13">
        <f>MD143*($MB$6+ACUTE_MARGIN)</f>
        <v>215580.57060518733</v>
      </c>
      <c r="MF143" s="13">
        <f>IF(MB143=1,$MB$31,$MB$32)</f>
        <v>152394.16214437486</v>
      </c>
      <c r="MG143" s="13">
        <f>ME143-MF143</f>
        <v>63186.40846081247</v>
      </c>
      <c r="MH143" s="13">
        <f>MH142+MG143</f>
        <v>3791184.507648751</v>
      </c>
      <c r="MI143">
        <f>IF(MH143=MAX($MH$83:$MH$483),$A143,0)</f>
        <v>0</v>
      </c>
      <c r="MJ143">
        <f>IF(ME143&lt;MF143,$A143,B_MAX+1)</f>
        <v>401.0</v>
      </c>
      <c r="MK143" s="13">
        <f>IF(MB143=1,$MB$35,$MB$36)</f>
        <v>0</v>
      </c>
      <c r="ML143" s="13">
        <f>OCC_DAYS*$MB$41*R_NF_2023-MD143*MCD_SHARE_FREED*R_WAIT_2023</f>
        <v>54922.538779778624</v>
      </c>
      <c r="MM143">
        <f>IF($A143&lt;=$MB$45,1,0)</f>
        <v>1</v>
      </c>
      <c r="NB143">
        <f>IF($NB$31&lt;=$NB$32,IF($A143&lt;=$NB$7,1,2),IF($A143&lt;=RUNG_BEDS_2,2,1))</f>
        <v>1</v>
      </c>
      <c r="NC143" s="5">
        <f>MIN(1,MAX(0,$NB$26-($A143-1)))</f>
        <v>1</v>
      </c>
      <c r="ND143" s="5">
        <f>$NB$25*(NC143+(1-NC143)*$NB$16)</f>
        <v>252.05322714681438</v>
      </c>
      <c r="NE143" s="13">
        <f>ND143*($NB$6+ACUTE_MARGIN)</f>
        <v>254573.7594182825</v>
      </c>
      <c r="NF143" s="13">
        <f>IF(NB143=1,$NB$31,$NB$32)</f>
        <v>152394.16214437486</v>
      </c>
      <c r="NG143" s="13">
        <f>NE143-NF143</f>
        <v>102179.59727390765</v>
      </c>
      <c r="NH143" s="13">
        <f>NH142+NG143</f>
        <v>6130775.836434458</v>
      </c>
      <c r="NI143">
        <f>IF(NH143=MAX($NH$83:$NH$483),$A143,0)</f>
        <v>0</v>
      </c>
      <c r="NJ143">
        <f>IF(NE143&lt;NF143,$A143,B_MAX+1)</f>
        <v>401.0</v>
      </c>
      <c r="NK143" s="13">
        <f>IF(NB143=1,$NB$35,$NB$36)</f>
        <v>0</v>
      </c>
      <c r="NL143" s="13">
        <f>OCC_DAYS*$NB$41*R_NF_2023-ND143*MCD_SHARE_FREED*R_WAIT_2023</f>
        <v>37367.159242427646</v>
      </c>
      <c r="NM143">
        <f>IF($A143&lt;=$NB$45,1,0)</f>
        <v>1</v>
      </c>
      <c r="OB143">
        <f>IF($OB$31&lt;=$OB$32,IF($A143&lt;=$OB$7,1,2),IF($A143&lt;=RUNG_BEDS_2,2,1))</f>
        <v>1</v>
      </c>
      <c r="OC143" s="5">
        <f>MIN(1,MAX(0,$OB$26-($A143-1)))</f>
        <v>1</v>
      </c>
      <c r="OD143" s="5">
        <f>$OB$25*(OC143+(1-OC143)*$OB$16)</f>
        <v>252.05322714681438</v>
      </c>
      <c r="OE143" s="13">
        <f>OD143*($OB$6+ACUTE_MARGIN)</f>
        <v>254573.7594182825</v>
      </c>
      <c r="OF143" s="13">
        <f>IF(OB143=1,$OB$31,$OB$32)</f>
        <v>152394.16214437486</v>
      </c>
      <c r="OG143" s="13">
        <f>OE143-OF143</f>
        <v>102179.59727390765</v>
      </c>
      <c r="OH143" s="13">
        <f>OH142+OG143</f>
        <v>6130775.836434458</v>
      </c>
      <c r="OI143">
        <f>IF(OH143=MAX($OH$83:$OH$483),$A143,0)</f>
        <v>0</v>
      </c>
      <c r="OJ143">
        <f>IF(OE143&lt;OF143,$A143,B_MAX+1)</f>
        <v>401.0</v>
      </c>
      <c r="OK143" s="13">
        <f>IF(OB143=1,$OB$35,$OB$36)</f>
        <v>0</v>
      </c>
      <c r="OL143" s="13">
        <f>OCC_DAYS*$OB$41*R_NF_2023-OD143*MCD_SHARE_FREED*R_WAIT_2023</f>
        <v>37367.159242427646</v>
      </c>
      <c r="OM143">
        <f>IF($A143&lt;=$OB$45,1,0)</f>
        <v>1</v>
      </c>
    </row>
    <row r="144">
      <c r="A144" t="n">
        <v>61</v>
      </c>
      <c r="B144">
        <f>IF($B$31&lt;=$B$32,IF($A144&lt;=$B$7,1,2),IF($A144&lt;=RUNG_BEDS_2,2,1))</f>
        <v>1</v>
      </c>
      <c r="C144" s="5">
        <f>MIN(1,MAX(0,$B$26-($A144-1)))</f>
        <v>1</v>
      </c>
      <c r="D144" s="5">
        <f>$B$25*(C144+(1-C144)*$B$16)</f>
        <v>252.05322714681438</v>
      </c>
      <c r="E144" s="13">
        <f>D144*($B$6+ACUTE_MARGIN)</f>
        <v>254573.7594182825</v>
      </c>
      <c r="F144" s="13">
        <f>IF(B144=1,$B$31,$B$32)</f>
        <v>152394.16214437486</v>
      </c>
      <c r="G144" s="13">
        <f>E144-F144</f>
        <v>102179.59727390765</v>
      </c>
      <c r="H144" s="13">
        <f>H143+G144</f>
        <v>6232955.433708366</v>
      </c>
      <c r="I144">
        <f>IF(H144=MAX($H$83:$H$483),$A144,0)</f>
        <v>0</v>
      </c>
      <c r="J144">
        <f>IF(E144&lt;F144,$A144,B_MAX+1)</f>
        <v>401.0</v>
      </c>
      <c r="K144" s="13">
        <f>IF(B144=1,$B$35,$B$36)</f>
        <v>0</v>
      </c>
      <c r="L144" s="13">
        <f>OCC_DAYS*$B$41*R_NF_2023-D144*MCD_SHARE_FREED*R_WAIT_2023</f>
        <v>37367.159242427646</v>
      </c>
      <c r="M144">
        <f>IF($A144&lt;=$B$45,1,0)</f>
        <v>1</v>
      </c>
      <c r="AB144">
        <f>IF($AB$31&lt;=$AB$32,IF($A144&lt;=$AB$7,1,2),IF($A144&lt;=RUNG_BEDS_2,2,1))</f>
        <v>1</v>
      </c>
      <c r="AC144" s="5">
        <f>MIN(1,MAX(0,$AB$26-($A144-1)))</f>
        <v>1</v>
      </c>
      <c r="AD144" s="5">
        <f>$AB$25*(AC144+(1-AC144)*$AB$16)</f>
        <v>252.05322714681438</v>
      </c>
      <c r="AE144" s="13">
        <f>AD144*($AB$6+ACUTE_MARGIN)</f>
        <v>138629.2749307479</v>
      </c>
      <c r="AF144" s="13">
        <f>IF(AB144=1,$AB$31,$AB$32)</f>
        <v>152394.16214437486</v>
      </c>
      <c r="AG144" s="13">
        <f>AE144-AF144</f>
        <v>-13764.887213626964</v>
      </c>
      <c r="AH144" s="13">
        <f>AH143+AG144</f>
        <v>-839658.120031246</v>
      </c>
      <c r="AI144">
        <f>IF(AH144=MAX($AH$83:$AH$483),$A144,0)</f>
        <v>0</v>
      </c>
      <c r="AJ144">
        <f>IF(AE144&lt;AF144,$A144,B_MAX+1)</f>
        <v>61</v>
      </c>
      <c r="AK144" s="13">
        <f>IF(AB144=1,$AB$35,$AB$36)</f>
        <v>0</v>
      </c>
      <c r="AL144" s="13">
        <f>OCC_DAYS*$AB$41*R_NF_2023-AD144*MCD_SHARE_FREED*R_WAIT_2023</f>
        <v>37367.159242427646</v>
      </c>
      <c r="AM144">
        <f>IF($A144&lt;=$AB$45,1,0)</f>
        <v>0</v>
      </c>
      <c r="BB144">
        <f>IF($BB$31&lt;=$BB$32,IF($A144&lt;=$BB$7,1,2),IF($A144&lt;=RUNG_BEDS_2,2,1))</f>
        <v>1</v>
      </c>
      <c r="BC144" s="5">
        <f>MIN(1,MAX(0,$BB$26-($A144-1)))</f>
        <v>1</v>
      </c>
      <c r="BD144" s="5">
        <f>$BB$25*(BC144+(1-BC144)*$BB$16)</f>
        <v>252.05322714681438</v>
      </c>
      <c r="BE144" s="13">
        <f>BD144*($BB$6+ACUTE_MARGIN)</f>
        <v>370518.24390581716</v>
      </c>
      <c r="BF144" s="13">
        <f>IF(BB144=1,$BB$31,$BB$32)</f>
        <v>152394.16214437486</v>
      </c>
      <c r="BG144" s="13">
        <f>BE144-BF144</f>
        <v>218124.0817614423</v>
      </c>
      <c r="BH144" s="13">
        <f>BH143+BG144</f>
        <v>13305568.987447971</v>
      </c>
      <c r="BI144">
        <f>IF(BH144=MAX($BH$83:$BH$483),$A144,0)</f>
        <v>0</v>
      </c>
      <c r="BJ144">
        <f>IF(BE144&lt;BF144,$A144,B_MAX+1)</f>
        <v>401.0</v>
      </c>
      <c r="BK144" s="13">
        <f>IF(BB144=1,$BB$35,$BB$36)</f>
        <v>0</v>
      </c>
      <c r="BL144" s="13">
        <f>OCC_DAYS*$BB$41*R_NF_2023-BD144*MCD_SHARE_FREED*R_WAIT_2023</f>
        <v>37367.159242427646</v>
      </c>
      <c r="BM144">
        <f>IF($A144&lt;=$BB$45,1,0)</f>
        <v>1</v>
      </c>
      <c r="CB144">
        <f>IF($CB$31&lt;=$CB$32,IF($A144&lt;=$CB$7,1,2),IF($A144&lt;=RUNG_BEDS_2,2,1))</f>
        <v>2</v>
      </c>
      <c r="CC144" s="5">
        <f>MIN(1,MAX(0,$CB$26-($A144-1)))</f>
        <v>1</v>
      </c>
      <c r="CD144" s="5">
        <f>$CB$25*(CC144+(1-CC144)*$CB$16)</f>
        <v>252.05322714681438</v>
      </c>
      <c r="CE144" s="13">
        <f>CD144*($CB$6+ACUTE_MARGIN)</f>
        <v>254573.7594182825</v>
      </c>
      <c r="CF144" s="13">
        <f>IF(CB144=1,$CB$31,$CB$32)</f>
        <v>160718.36940738867</v>
      </c>
      <c r="CG144" s="13">
        <f>CE144-CF144</f>
        <v>93855.39001089384</v>
      </c>
      <c r="CH144" s="13">
        <f>CH143+CG144</f>
        <v>5725178.79066453</v>
      </c>
      <c r="CI144">
        <f>IF(CH144=MAX($CH$83:$CH$483),$A144,0)</f>
        <v>0</v>
      </c>
      <c r="CJ144">
        <f>IF(CE144&lt;CF144,$A144,B_MAX+1)</f>
        <v>401.0</v>
      </c>
      <c r="CK144" s="13">
        <f>IF(CB144=1,$CB$35,$CB$36)</f>
        <v>1560.1194073886782</v>
      </c>
      <c r="CL144" s="13">
        <f>OCC_DAYS*$CB$41*R_NF_2023-CD144*MCD_SHARE_FREED*R_WAIT_2023</f>
        <v>37367.159242427646</v>
      </c>
      <c r="CM144">
        <f>IF($A144&lt;=$CB$45,1,0)</f>
        <v>1</v>
      </c>
      <c r="DB144">
        <f>IF($DB$31&lt;=$DB$32,IF($A144&lt;=$DB$7,1,2),IF($A144&lt;=RUNG_BEDS_2,2,1))</f>
        <v>1</v>
      </c>
      <c r="DC144" s="5">
        <f>MIN(1,MAX(0,$DB$26-($A144-1)))</f>
        <v>1</v>
      </c>
      <c r="DD144" s="5">
        <f>$DB$25*(DC144+(1-DC144)*$DB$16)</f>
        <v>252.05322714681438</v>
      </c>
      <c r="DE144" s="13">
        <f>DD144*($DB$6+ACUTE_MARGIN)</f>
        <v>254573.7594182825</v>
      </c>
      <c r="DF144" s="13">
        <f>IF(DB144=1,$DB$31,$DB$32)</f>
        <v>152394.16214437486</v>
      </c>
      <c r="DG144" s="13">
        <f>DE144-DF144</f>
        <v>102179.59727390765</v>
      </c>
      <c r="DH144" s="13">
        <f>DH143+DG144</f>
        <v>6232955.433708366</v>
      </c>
      <c r="DI144">
        <f>IF(DH144=MAX($DH$83:$DH$483),$A144,0)</f>
        <v>0</v>
      </c>
      <c r="DJ144">
        <f>IF(DE144&lt;DF144,$A144,B_MAX+1)</f>
        <v>401.0</v>
      </c>
      <c r="DK144" s="13">
        <f>IF(DB144=1,$DB$35,$DB$36)</f>
        <v>0</v>
      </c>
      <c r="DL144" s="13">
        <f>OCC_DAYS*$DB$41*R_NF_2023-DD144*MCD_SHARE_FREED*R_WAIT_2023</f>
        <v>37367.159242427646</v>
      </c>
      <c r="DM144">
        <f>IF($A144&lt;=$DB$45,1,0)</f>
        <v>1</v>
      </c>
      <c r="EB144">
        <f>IF($EB$31&lt;=$EB$32,IF($A144&lt;=$EB$7,1,2),IF($A144&lt;=RUNG_BEDS_2,2,1))</f>
        <v>1</v>
      </c>
      <c r="EC144" s="5">
        <f>MIN(1,MAX(0,$EB$26-($A144-1)))</f>
        <v>1</v>
      </c>
      <c r="ED144" s="5">
        <f>$EB$25*(EC144+(1-EC144)*$EB$16)</f>
        <v>252.05322714681438</v>
      </c>
      <c r="EE144" s="13">
        <f>ED144*($EB$6+ACUTE_MARGIN)</f>
        <v>254573.7594182825</v>
      </c>
      <c r="EF144" s="13">
        <f>IF(EB144=1,$EB$31,$EB$32)</f>
        <v>152394.16214437486</v>
      </c>
      <c r="EG144" s="13">
        <f>EE144-EF144</f>
        <v>102179.59727390765</v>
      </c>
      <c r="EH144" s="13">
        <f>EH143+EG144</f>
        <v>6232955.433708366</v>
      </c>
      <c r="EI144">
        <f>IF(EH144=MAX($EH$83:$EH$483),$A144,0)</f>
        <v>0</v>
      </c>
      <c r="EJ144">
        <f>IF(EE144&lt;EF144,$A144,B_MAX+1)</f>
        <v>401.0</v>
      </c>
      <c r="EK144" s="13">
        <f>IF(EB144=1,$EB$35,$EB$36)</f>
        <v>0</v>
      </c>
      <c r="EL144" s="13">
        <f>OCC_DAYS*$EB$41*R_NF_2023-ED144*MCD_SHARE_FREED*R_WAIT_2023</f>
        <v>-63953.16263896705</v>
      </c>
      <c r="EM144">
        <f>IF($A144&lt;=$EB$45,1,0)</f>
        <v>1</v>
      </c>
      <c r="FB144">
        <f>IF($FB$31&lt;=$FB$32,IF($A144&lt;=$FB$7,1,2),IF($A144&lt;=RUNG_BEDS_2,2,1))</f>
        <v>1</v>
      </c>
      <c r="FC144" s="5">
        <f>MIN(1,MAX(0,$FB$26-($A144-1)))</f>
        <v>1</v>
      </c>
      <c r="FD144" s="5">
        <f>$FB$25*(FC144+(1-FC144)*$FB$16)</f>
        <v>252.05322714681438</v>
      </c>
      <c r="FE144" s="13">
        <f>FD144*($FB$6+ACUTE_MARGIN)</f>
        <v>254573.7594182825</v>
      </c>
      <c r="FF144" s="13">
        <f>IF(FB144=1,$FB$31,$FB$32)</f>
        <v>156636.04979437485</v>
      </c>
      <c r="FG144" s="13">
        <f>FE144-FF144</f>
        <v>97937.70962390766</v>
      </c>
      <c r="FH144" s="13">
        <f>FH143+FG144</f>
        <v>5974200.287058368</v>
      </c>
      <c r="FI144">
        <f>IF(FH144=MAX($FH$83:$FH$483),$A144,0)</f>
        <v>0</v>
      </c>
      <c r="FJ144">
        <f>IF(FE144&lt;FF144,$A144,B_MAX+1)</f>
        <v>401.0</v>
      </c>
      <c r="FK144" s="13">
        <f>IF(FB144=1,$FB$35,$FB$36)</f>
        <v>0</v>
      </c>
      <c r="FL144" s="13">
        <f>OCC_DAYS*$FB$41*R_NF_2023-FD144*MCD_SHARE_FREED*R_WAIT_2023</f>
        <v>37367.159242427646</v>
      </c>
      <c r="FM144">
        <f>IF($A144&lt;=$FB$45,1,0)</f>
        <v>1</v>
      </c>
      <c r="GB144">
        <f>IF($GB$31&lt;=$GB$32,IF($A144&lt;=$GB$7,1,2),IF($A144&lt;=RUNG_BEDS_2,2,1))</f>
        <v>1</v>
      </c>
      <c r="GC144" s="5">
        <f>MIN(1,MAX(0,$GB$26-($A144-1)))</f>
        <v>1</v>
      </c>
      <c r="GD144" s="5">
        <f>$GB$25*(GC144+(1-GC144)*$GB$16)</f>
        <v>252.05322714681438</v>
      </c>
      <c r="GE144" s="13">
        <f>GD144*($GB$6+ACUTE_MARGIN)</f>
        <v>254573.7594182825</v>
      </c>
      <c r="GF144" s="13">
        <f>IF(GB144=1,$GB$31,$GB$32)</f>
        <v>152394.16214437486</v>
      </c>
      <c r="GG144" s="13">
        <f>GE144-GF144</f>
        <v>102179.59727390765</v>
      </c>
      <c r="GH144" s="13">
        <f>GH143+GG144</f>
        <v>6232955.433708366</v>
      </c>
      <c r="GI144">
        <f>IF(GH144=MAX($GH$83:$GH$483),$A144,0)</f>
        <v>0</v>
      </c>
      <c r="GJ144">
        <f>IF(GE144&lt;GF144,$A144,B_MAX+1)</f>
        <v>401.0</v>
      </c>
      <c r="GK144" s="13">
        <f>IF(GB144=1,$GB$35,$GB$36)</f>
        <v>0</v>
      </c>
      <c r="GL144" s="13">
        <f>OCC_DAYS*$GB$41*R_NF_2023-GD144*MCD_SHARE_FREED*R_WAIT_2023</f>
        <v>37367.159242427646</v>
      </c>
      <c r="GM144">
        <f>IF($A144&lt;=$GB$45,1,0)</f>
        <v>1</v>
      </c>
      <c r="HB144">
        <f>IF($HB$31&lt;=$HB$32,IF($A144&lt;=$HB$7,1,2),IF($A144&lt;=RUNG_BEDS_2,2,1))</f>
        <v>1</v>
      </c>
      <c r="HC144" s="5">
        <f>MIN(1,MAX(0,$HB$26-($A144-1)))</f>
        <v>1</v>
      </c>
      <c r="HD144" s="5">
        <f>$HB$25*(HC144+(1-HC144)*$HB$16)</f>
        <v>252.05322714681438</v>
      </c>
      <c r="HE144" s="13">
        <f>HD144*($HB$6+ACUTE_MARGIN)</f>
        <v>254573.7594182825</v>
      </c>
      <c r="HF144" s="13">
        <f>IF(HB144=1,$HB$31,$HB$32)</f>
        <v>152456.2970814058</v>
      </c>
      <c r="HG144" s="13">
        <f>HE144-HF144</f>
        <v>102117.46233687672</v>
      </c>
      <c r="HH144" s="13">
        <f>HH143+HG144</f>
        <v>6229165.202549477</v>
      </c>
      <c r="HI144">
        <f>IF(HH144=MAX($HH$83:$HH$483),$A144,0)</f>
        <v>0</v>
      </c>
      <c r="HJ144">
        <f>IF(HE144&lt;HF144,$A144,B_MAX+1)</f>
        <v>401.0</v>
      </c>
      <c r="HK144" s="13">
        <f>IF(HB144=1,$HB$35,$HB$36)</f>
        <v>0</v>
      </c>
      <c r="HL144" s="13">
        <f>OCC_DAYS*$HB$41*R_NF_2023-HD144*MCD_SHARE_FREED*R_WAIT_2023</f>
        <v>37367.159242427646</v>
      </c>
      <c r="HM144">
        <f>IF($A144&lt;=$HB$45,1,0)</f>
        <v>1</v>
      </c>
      <c r="IB144">
        <f>IF($IB$31&lt;=$IB$32,IF($A144&lt;=$IB$7,1,2),IF($A144&lt;=RUNG_BEDS_2,2,1))</f>
        <v>1</v>
      </c>
      <c r="IC144" s="5">
        <f>MIN(1,MAX(0,$IB$26-($A144-1)))</f>
        <v>1</v>
      </c>
      <c r="ID144" s="5">
        <f>$IB$25*(IC144+(1-IC144)*$IB$16)</f>
        <v>252.05322714681438</v>
      </c>
      <c r="IE144" s="13">
        <f>ID144*($IB$6+ACUTE_MARGIN)</f>
        <v>254573.7594182825</v>
      </c>
      <c r="IF144" s="13">
        <f>IF(IB144=1,$IB$31,$IB$32)</f>
        <v>152734.9994534971</v>
      </c>
      <c r="IG144" s="13">
        <f>IE144-IF144</f>
        <v>101838.75996478542</v>
      </c>
      <c r="IH144" s="13">
        <f>IH143+IG144</f>
        <v>6212164.357851916</v>
      </c>
      <c r="II144">
        <f>IF(IH144=MAX($IH$83:$IH$483),$A144,0)</f>
        <v>0</v>
      </c>
      <c r="IJ144">
        <f>IF(IE144&lt;IF144,$A144,B_MAX+1)</f>
        <v>401.0</v>
      </c>
      <c r="IK144" s="13">
        <f>IF(IB144=1,$IB$35,$IB$36)</f>
        <v>0</v>
      </c>
      <c r="IL144" s="13">
        <f>OCC_DAYS*$IB$41*R_NF_2023-ID144*MCD_SHARE_FREED*R_WAIT_2023</f>
        <v>37367.159242427646</v>
      </c>
      <c r="IM144">
        <f>IF($A144&lt;=$IB$45,1,0)</f>
        <v>1</v>
      </c>
      <c r="JB144">
        <f>IF($JB$31&lt;=$JB$32,IF($A144&lt;=$JB$7,1,2),IF($A144&lt;=RUNG_BEDS_2,2,1))</f>
        <v>1</v>
      </c>
      <c r="JC144" s="5">
        <f>MIN(1,MAX(0,$JB$26-($A144-1)))</f>
        <v>1</v>
      </c>
      <c r="JD144" s="5">
        <f>$JB$25*(JC144+(1-JC144)*$JB$16)</f>
        <v>252.05322714681438</v>
      </c>
      <c r="JE144" s="13">
        <f>JD144*($JB$6+ACUTE_MARGIN)</f>
        <v>254573.7594182825</v>
      </c>
      <c r="JF144" s="13">
        <f>IF(JB144=1,$JB$31,$JB$32)</f>
        <v>152394.16214437486</v>
      </c>
      <c r="JG144" s="13">
        <f>JE144-JF144</f>
        <v>102179.59727390765</v>
      </c>
      <c r="JH144" s="13">
        <f>JH143+JG144</f>
        <v>6232955.433708366</v>
      </c>
      <c r="JI144">
        <f>IF(JH144=MAX($JH$83:$JH$483),$A144,0)</f>
        <v>0</v>
      </c>
      <c r="JJ144">
        <f>IF(JE144&lt;JF144,$A144,B_MAX+1)</f>
        <v>401.0</v>
      </c>
      <c r="JK144" s="13">
        <f>IF(JB144=1,$JB$35,$JB$36)</f>
        <v>0</v>
      </c>
      <c r="JL144" s="13">
        <f>OCC_DAYS*$JB$41*R_NF_2023-JD144*MCD_SHARE_FREED*R_WAIT_2023</f>
        <v>37367.159242427646</v>
      </c>
      <c r="JM144">
        <f>IF($A144&lt;=$JB$45,1,0)</f>
        <v>1</v>
      </c>
      <c r="KB144">
        <f>IF($KB$31&lt;=$KB$32,IF($A144&lt;=$KB$7,1,2),IF($A144&lt;=RUNG_BEDS_2,2,1))</f>
        <v>1</v>
      </c>
      <c r="KC144" s="5">
        <f>MIN(1,MAX(0,$KB$26-($A144-1)))</f>
        <v>1</v>
      </c>
      <c r="KD144" s="5">
        <f>$KB$25*(KC144+(1-KC144)*$KB$16)</f>
        <v>126.02661357340719</v>
      </c>
      <c r="KE144" s="13">
        <f>KD144*($KB$6+ACUTE_MARGIN)</f>
        <v>127286.87970914126</v>
      </c>
      <c r="KF144" s="13">
        <f>IF(KB144=1,$KB$31,$KB$32)</f>
        <v>152394.16214437486</v>
      </c>
      <c r="KG144" s="13">
        <f>KE144-KF144</f>
        <v>-25107.282435233603</v>
      </c>
      <c r="KH144" s="13">
        <f>KH143+KG144</f>
        <v>-1531544.2285492513</v>
      </c>
      <c r="KI144">
        <f>IF(KH144=MAX($KH$83:$KH$483),$A144,0)</f>
        <v>0</v>
      </c>
      <c r="KJ144">
        <f>IF(KE144&lt;KF144,$A144,B_MAX+1)</f>
        <v>61</v>
      </c>
      <c r="KK144" s="13">
        <f>IF(KB144=1,$KB$35,$KB$36)</f>
        <v>0</v>
      </c>
      <c r="KL144" s="13">
        <f>OCC_DAYS*$KB$41*R_NF_2023-KD144*MCD_SHARE_FREED*R_WAIT_2023</f>
        <v>94673.82103225985</v>
      </c>
      <c r="KM144">
        <f>IF($A144&lt;=$KB$45,1,0)</f>
        <v>0</v>
      </c>
      <c r="LB144">
        <f>IF($LB$31&lt;=$LB$32,IF($A144&lt;=$LB$7,1,2),IF($A144&lt;=RUNG_BEDS_2,2,1))</f>
        <v>1</v>
      </c>
      <c r="LC144" s="5">
        <f>MIN(1,MAX(0,$LB$26-($A144-1)))</f>
        <v>1</v>
      </c>
      <c r="LD144" s="5">
        <f>$LB$25*(LC144+(1-LC144)*$LB$16)</f>
        <v>84.01774238227146</v>
      </c>
      <c r="LE144" s="13">
        <f>LD144*($LB$6+ACUTE_MARGIN)</f>
        <v>84857.91980609419</v>
      </c>
      <c r="LF144" s="13">
        <f>IF(LB144=1,$LB$31,$LB$32)</f>
        <v>152394.16214437486</v>
      </c>
      <c r="LG144" s="13">
        <f>LE144-LF144</f>
        <v>-67536.24233828067</v>
      </c>
      <c r="LH144" s="13">
        <f>LH143+LG144</f>
        <v>-4119710.7826351207</v>
      </c>
      <c r="LI144">
        <f>IF(LH144=MAX($LH$83:$LH$483),$A144,0)</f>
        <v>0</v>
      </c>
      <c r="LJ144">
        <f>IF(LE144&lt;LF144,$A144,B_MAX+1)</f>
        <v>61</v>
      </c>
      <c r="LK144" s="13">
        <f>IF(LB144=1,$LB$35,$LB$36)</f>
        <v>0</v>
      </c>
      <c r="LL144" s="13">
        <f>OCC_DAYS*$LB$41*R_NF_2023-LD144*MCD_SHARE_FREED*R_WAIT_2023</f>
        <v>113776.04162887059</v>
      </c>
      <c r="LM144">
        <f>IF($A144&lt;=$LB$45,1,0)</f>
        <v>0</v>
      </c>
      <c r="MB144">
        <f>IF($MB$31&lt;=$MB$32,IF($A144&lt;=$MB$7,1,2),IF($A144&lt;=RUNG_BEDS_2,2,1))</f>
        <v>1</v>
      </c>
      <c r="MC144" s="5">
        <f>MIN(1,MAX(0,$MB$26-($A144-1)))</f>
        <v>1</v>
      </c>
      <c r="MD144" s="5">
        <f>$MB$25*(MC144+(1-MC144)*$MB$16)</f>
        <v>213.44610951008647</v>
      </c>
      <c r="ME144" s="13">
        <f>MD144*($MB$6+ACUTE_MARGIN)</f>
        <v>215580.57060518733</v>
      </c>
      <c r="MF144" s="13">
        <f>IF(MB144=1,$MB$31,$MB$32)</f>
        <v>152394.16214437486</v>
      </c>
      <c r="MG144" s="13">
        <f>ME144-MF144</f>
        <v>63186.40846081247</v>
      </c>
      <c r="MH144" s="13">
        <f>MH143+MG144</f>
        <v>3854370.916109564</v>
      </c>
      <c r="MI144">
        <f>IF(MH144=MAX($MH$83:$MH$483),$A144,0)</f>
        <v>0</v>
      </c>
      <c r="MJ144">
        <f>IF(ME144&lt;MF144,$A144,B_MAX+1)</f>
        <v>401.0</v>
      </c>
      <c r="MK144" s="13">
        <f>IF(MB144=1,$MB$35,$MB$36)</f>
        <v>0</v>
      </c>
      <c r="ML144" s="13">
        <f>OCC_DAYS*$MB$41*R_NF_2023-MD144*MCD_SHARE_FREED*R_WAIT_2023</f>
        <v>54922.538779778624</v>
      </c>
      <c r="MM144">
        <f>IF($A144&lt;=$MB$45,1,0)</f>
        <v>1</v>
      </c>
      <c r="NB144">
        <f>IF($NB$31&lt;=$NB$32,IF($A144&lt;=$NB$7,1,2),IF($A144&lt;=RUNG_BEDS_2,2,1))</f>
        <v>1</v>
      </c>
      <c r="NC144" s="5">
        <f>MIN(1,MAX(0,$NB$26-($A144-1)))</f>
        <v>1</v>
      </c>
      <c r="ND144" s="5">
        <f>$NB$25*(NC144+(1-NC144)*$NB$16)</f>
        <v>252.05322714681438</v>
      </c>
      <c r="NE144" s="13">
        <f>ND144*($NB$6+ACUTE_MARGIN)</f>
        <v>254573.7594182825</v>
      </c>
      <c r="NF144" s="13">
        <f>IF(NB144=1,$NB$31,$NB$32)</f>
        <v>152394.16214437486</v>
      </c>
      <c r="NG144" s="13">
        <f>NE144-NF144</f>
        <v>102179.59727390765</v>
      </c>
      <c r="NH144" s="13">
        <f>NH143+NG144</f>
        <v>6232955.433708366</v>
      </c>
      <c r="NI144">
        <f>IF(NH144=MAX($NH$83:$NH$483),$A144,0)</f>
        <v>0</v>
      </c>
      <c r="NJ144">
        <f>IF(NE144&lt;NF144,$A144,B_MAX+1)</f>
        <v>401.0</v>
      </c>
      <c r="NK144" s="13">
        <f>IF(NB144=1,$NB$35,$NB$36)</f>
        <v>0</v>
      </c>
      <c r="NL144" s="13">
        <f>OCC_DAYS*$NB$41*R_NF_2023-ND144*MCD_SHARE_FREED*R_WAIT_2023</f>
        <v>37367.159242427646</v>
      </c>
      <c r="NM144">
        <f>IF($A144&lt;=$NB$45,1,0)</f>
        <v>1</v>
      </c>
      <c r="OB144">
        <f>IF($OB$31&lt;=$OB$32,IF($A144&lt;=$OB$7,1,2),IF($A144&lt;=RUNG_BEDS_2,2,1))</f>
        <v>1</v>
      </c>
      <c r="OC144" s="5">
        <f>MIN(1,MAX(0,$OB$26-($A144-1)))</f>
        <v>1</v>
      </c>
      <c r="OD144" s="5">
        <f>$OB$25*(OC144+(1-OC144)*$OB$16)</f>
        <v>252.05322714681438</v>
      </c>
      <c r="OE144" s="13">
        <f>OD144*($OB$6+ACUTE_MARGIN)</f>
        <v>254573.7594182825</v>
      </c>
      <c r="OF144" s="13">
        <f>IF(OB144=1,$OB$31,$OB$32)</f>
        <v>152394.16214437486</v>
      </c>
      <c r="OG144" s="13">
        <f>OE144-OF144</f>
        <v>102179.59727390765</v>
      </c>
      <c r="OH144" s="13">
        <f>OH143+OG144</f>
        <v>6232955.433708366</v>
      </c>
      <c r="OI144">
        <f>IF(OH144=MAX($OH$83:$OH$483),$A144,0)</f>
        <v>0</v>
      </c>
      <c r="OJ144">
        <f>IF(OE144&lt;OF144,$A144,B_MAX+1)</f>
        <v>401.0</v>
      </c>
      <c r="OK144" s="13">
        <f>IF(OB144=1,$OB$35,$OB$36)</f>
        <v>0</v>
      </c>
      <c r="OL144" s="13">
        <f>OCC_DAYS*$OB$41*R_NF_2023-OD144*MCD_SHARE_FREED*R_WAIT_2023</f>
        <v>37367.159242427646</v>
      </c>
      <c r="OM144">
        <f>IF($A144&lt;=$OB$45,1,0)</f>
        <v>1</v>
      </c>
    </row>
    <row r="145">
      <c r="A145" t="n">
        <v>62</v>
      </c>
      <c r="B145">
        <f>IF($B$31&lt;=$B$32,IF($A145&lt;=$B$7,1,2),IF($A145&lt;=RUNG_BEDS_2,2,1))</f>
        <v>1</v>
      </c>
      <c r="C145" s="5">
        <f>MIN(1,MAX(0,$B$26-($A145-1)))</f>
        <v>1</v>
      </c>
      <c r="D145" s="5">
        <f>$B$25*(C145+(1-C145)*$B$16)</f>
        <v>252.05322714681438</v>
      </c>
      <c r="E145" s="13">
        <f>D145*($B$6+ACUTE_MARGIN)</f>
        <v>254573.7594182825</v>
      </c>
      <c r="F145" s="13">
        <f>IF(B145=1,$B$31,$B$32)</f>
        <v>152394.16214437486</v>
      </c>
      <c r="G145" s="13">
        <f>E145-F145</f>
        <v>102179.59727390765</v>
      </c>
      <c r="H145" s="13">
        <f>H144+G145</f>
        <v>6335135.030982274</v>
      </c>
      <c r="I145">
        <f>IF(H145=MAX($H$83:$H$483),$A145,0)</f>
        <v>0</v>
      </c>
      <c r="J145">
        <f>IF(E145&lt;F145,$A145,B_MAX+1)</f>
        <v>401.0</v>
      </c>
      <c r="K145" s="13">
        <f>IF(B145=1,$B$35,$B$36)</f>
        <v>0</v>
      </c>
      <c r="L145" s="13">
        <f>OCC_DAYS*$B$41*R_NF_2023-D145*MCD_SHARE_FREED*R_WAIT_2023</f>
        <v>37367.159242427646</v>
      </c>
      <c r="M145">
        <f>IF($A145&lt;=$B$45,1,0)</f>
        <v>1</v>
      </c>
      <c r="AB145">
        <f>IF($AB$31&lt;=$AB$32,IF($A145&lt;=$AB$7,1,2),IF($A145&lt;=RUNG_BEDS_2,2,1))</f>
        <v>1</v>
      </c>
      <c r="AC145" s="5">
        <f>MIN(1,MAX(0,$AB$26-($A145-1)))</f>
        <v>1</v>
      </c>
      <c r="AD145" s="5">
        <f>$AB$25*(AC145+(1-AC145)*$AB$16)</f>
        <v>252.05322714681438</v>
      </c>
      <c r="AE145" s="13">
        <f>AD145*($AB$6+ACUTE_MARGIN)</f>
        <v>138629.2749307479</v>
      </c>
      <c r="AF145" s="13">
        <f>IF(AB145=1,$AB$31,$AB$32)</f>
        <v>152394.16214437486</v>
      </c>
      <c r="AG145" s="13">
        <f>AE145-AF145</f>
        <v>-13764.887213626964</v>
      </c>
      <c r="AH145" s="13">
        <f>AH144+AG145</f>
        <v>-853423.007244873</v>
      </c>
      <c r="AI145">
        <f>IF(AH145=MAX($AH$83:$AH$483),$A145,0)</f>
        <v>0</v>
      </c>
      <c r="AJ145">
        <f>IF(AE145&lt;AF145,$A145,B_MAX+1)</f>
        <v>62</v>
      </c>
      <c r="AK145" s="13">
        <f>IF(AB145=1,$AB$35,$AB$36)</f>
        <v>0</v>
      </c>
      <c r="AL145" s="13">
        <f>OCC_DAYS*$AB$41*R_NF_2023-AD145*MCD_SHARE_FREED*R_WAIT_2023</f>
        <v>37367.159242427646</v>
      </c>
      <c r="AM145">
        <f>IF($A145&lt;=$AB$45,1,0)</f>
        <v>0</v>
      </c>
      <c r="BB145">
        <f>IF($BB$31&lt;=$BB$32,IF($A145&lt;=$BB$7,1,2),IF($A145&lt;=RUNG_BEDS_2,2,1))</f>
        <v>1</v>
      </c>
      <c r="BC145" s="5">
        <f>MIN(1,MAX(0,$BB$26-($A145-1)))</f>
        <v>1</v>
      </c>
      <c r="BD145" s="5">
        <f>$BB$25*(BC145+(1-BC145)*$BB$16)</f>
        <v>252.05322714681438</v>
      </c>
      <c r="BE145" s="13">
        <f>BD145*($BB$6+ACUTE_MARGIN)</f>
        <v>370518.24390581716</v>
      </c>
      <c r="BF145" s="13">
        <f>IF(BB145=1,$BB$31,$BB$32)</f>
        <v>152394.16214437486</v>
      </c>
      <c r="BG145" s="13">
        <f>BE145-BF145</f>
        <v>218124.0817614423</v>
      </c>
      <c r="BH145" s="13">
        <f>BH144+BG145</f>
        <v>13523693.069209414</v>
      </c>
      <c r="BI145">
        <f>IF(BH145=MAX($BH$83:$BH$483),$A145,0)</f>
        <v>0</v>
      </c>
      <c r="BJ145">
        <f>IF(BE145&lt;BF145,$A145,B_MAX+1)</f>
        <v>401.0</v>
      </c>
      <c r="BK145" s="13">
        <f>IF(BB145=1,$BB$35,$BB$36)</f>
        <v>0</v>
      </c>
      <c r="BL145" s="13">
        <f>OCC_DAYS*$BB$41*R_NF_2023-BD145*MCD_SHARE_FREED*R_WAIT_2023</f>
        <v>37367.159242427646</v>
      </c>
      <c r="BM145">
        <f>IF($A145&lt;=$BB$45,1,0)</f>
        <v>1</v>
      </c>
      <c r="CB145">
        <f>IF($CB$31&lt;=$CB$32,IF($A145&lt;=$CB$7,1,2),IF($A145&lt;=RUNG_BEDS_2,2,1))</f>
        <v>2</v>
      </c>
      <c r="CC145" s="5">
        <f>MIN(1,MAX(0,$CB$26-($A145-1)))</f>
        <v>1</v>
      </c>
      <c r="CD145" s="5">
        <f>$CB$25*(CC145+(1-CC145)*$CB$16)</f>
        <v>252.05322714681438</v>
      </c>
      <c r="CE145" s="13">
        <f>CD145*($CB$6+ACUTE_MARGIN)</f>
        <v>254573.7594182825</v>
      </c>
      <c r="CF145" s="13">
        <f>IF(CB145=1,$CB$31,$CB$32)</f>
        <v>160718.36940738867</v>
      </c>
      <c r="CG145" s="13">
        <f>CE145-CF145</f>
        <v>93855.39001089384</v>
      </c>
      <c r="CH145" s="13">
        <f>CH144+CG145</f>
        <v>5819034.180675425</v>
      </c>
      <c r="CI145">
        <f>IF(CH145=MAX($CH$83:$CH$483),$A145,0)</f>
        <v>0</v>
      </c>
      <c r="CJ145">
        <f>IF(CE145&lt;CF145,$A145,B_MAX+1)</f>
        <v>401.0</v>
      </c>
      <c r="CK145" s="13">
        <f>IF(CB145=1,$CB$35,$CB$36)</f>
        <v>1560.1194073886782</v>
      </c>
      <c r="CL145" s="13">
        <f>OCC_DAYS*$CB$41*R_NF_2023-CD145*MCD_SHARE_FREED*R_WAIT_2023</f>
        <v>37367.159242427646</v>
      </c>
      <c r="CM145">
        <f>IF($A145&lt;=$CB$45,1,0)</f>
        <v>1</v>
      </c>
      <c r="DB145">
        <f>IF($DB$31&lt;=$DB$32,IF($A145&lt;=$DB$7,1,2),IF($A145&lt;=RUNG_BEDS_2,2,1))</f>
        <v>1</v>
      </c>
      <c r="DC145" s="5">
        <f>MIN(1,MAX(0,$DB$26-($A145-1)))</f>
        <v>1</v>
      </c>
      <c r="DD145" s="5">
        <f>$DB$25*(DC145+(1-DC145)*$DB$16)</f>
        <v>252.05322714681438</v>
      </c>
      <c r="DE145" s="13">
        <f>DD145*($DB$6+ACUTE_MARGIN)</f>
        <v>254573.7594182825</v>
      </c>
      <c r="DF145" s="13">
        <f>IF(DB145=1,$DB$31,$DB$32)</f>
        <v>152394.16214437486</v>
      </c>
      <c r="DG145" s="13">
        <f>DE145-DF145</f>
        <v>102179.59727390765</v>
      </c>
      <c r="DH145" s="13">
        <f>DH144+DG145</f>
        <v>6335135.030982274</v>
      </c>
      <c r="DI145">
        <f>IF(DH145=MAX($DH$83:$DH$483),$A145,0)</f>
        <v>0</v>
      </c>
      <c r="DJ145">
        <f>IF(DE145&lt;DF145,$A145,B_MAX+1)</f>
        <v>401.0</v>
      </c>
      <c r="DK145" s="13">
        <f>IF(DB145=1,$DB$35,$DB$36)</f>
        <v>0</v>
      </c>
      <c r="DL145" s="13">
        <f>OCC_DAYS*$DB$41*R_NF_2023-DD145*MCD_SHARE_FREED*R_WAIT_2023</f>
        <v>37367.159242427646</v>
      </c>
      <c r="DM145">
        <f>IF($A145&lt;=$DB$45,1,0)</f>
        <v>1</v>
      </c>
      <c r="EB145">
        <f>IF($EB$31&lt;=$EB$32,IF($A145&lt;=$EB$7,1,2),IF($A145&lt;=RUNG_BEDS_2,2,1))</f>
        <v>1</v>
      </c>
      <c r="EC145" s="5">
        <f>MIN(1,MAX(0,$EB$26-($A145-1)))</f>
        <v>1</v>
      </c>
      <c r="ED145" s="5">
        <f>$EB$25*(EC145+(1-EC145)*$EB$16)</f>
        <v>252.05322714681438</v>
      </c>
      <c r="EE145" s="13">
        <f>ED145*($EB$6+ACUTE_MARGIN)</f>
        <v>254573.7594182825</v>
      </c>
      <c r="EF145" s="13">
        <f>IF(EB145=1,$EB$31,$EB$32)</f>
        <v>152394.16214437486</v>
      </c>
      <c r="EG145" s="13">
        <f>EE145-EF145</f>
        <v>102179.59727390765</v>
      </c>
      <c r="EH145" s="13">
        <f>EH144+EG145</f>
        <v>6335135.030982274</v>
      </c>
      <c r="EI145">
        <f>IF(EH145=MAX($EH$83:$EH$483),$A145,0)</f>
        <v>0</v>
      </c>
      <c r="EJ145">
        <f>IF(EE145&lt;EF145,$A145,B_MAX+1)</f>
        <v>401.0</v>
      </c>
      <c r="EK145" s="13">
        <f>IF(EB145=1,$EB$35,$EB$36)</f>
        <v>0</v>
      </c>
      <c r="EL145" s="13">
        <f>OCC_DAYS*$EB$41*R_NF_2023-ED145*MCD_SHARE_FREED*R_WAIT_2023</f>
        <v>-63953.16263896705</v>
      </c>
      <c r="EM145">
        <f>IF($A145&lt;=$EB$45,1,0)</f>
        <v>1</v>
      </c>
      <c r="FB145">
        <f>IF($FB$31&lt;=$FB$32,IF($A145&lt;=$FB$7,1,2),IF($A145&lt;=RUNG_BEDS_2,2,1))</f>
        <v>1</v>
      </c>
      <c r="FC145" s="5">
        <f>MIN(1,MAX(0,$FB$26-($A145-1)))</f>
        <v>1</v>
      </c>
      <c r="FD145" s="5">
        <f>$FB$25*(FC145+(1-FC145)*$FB$16)</f>
        <v>252.05322714681438</v>
      </c>
      <c r="FE145" s="13">
        <f>FD145*($FB$6+ACUTE_MARGIN)</f>
        <v>254573.7594182825</v>
      </c>
      <c r="FF145" s="13">
        <f>IF(FB145=1,$FB$31,$FB$32)</f>
        <v>156636.04979437485</v>
      </c>
      <c r="FG145" s="13">
        <f>FE145-FF145</f>
        <v>97937.70962390766</v>
      </c>
      <c r="FH145" s="13">
        <f>FH144+FG145</f>
        <v>6072137.996682276</v>
      </c>
      <c r="FI145">
        <f>IF(FH145=MAX($FH$83:$FH$483),$A145,0)</f>
        <v>0</v>
      </c>
      <c r="FJ145">
        <f>IF(FE145&lt;FF145,$A145,B_MAX+1)</f>
        <v>401.0</v>
      </c>
      <c r="FK145" s="13">
        <f>IF(FB145=1,$FB$35,$FB$36)</f>
        <v>0</v>
      </c>
      <c r="FL145" s="13">
        <f>OCC_DAYS*$FB$41*R_NF_2023-FD145*MCD_SHARE_FREED*R_WAIT_2023</f>
        <v>37367.159242427646</v>
      </c>
      <c r="FM145">
        <f>IF($A145&lt;=$FB$45,1,0)</f>
        <v>1</v>
      </c>
      <c r="GB145">
        <f>IF($GB$31&lt;=$GB$32,IF($A145&lt;=$GB$7,1,2),IF($A145&lt;=RUNG_BEDS_2,2,1))</f>
        <v>1</v>
      </c>
      <c r="GC145" s="5">
        <f>MIN(1,MAX(0,$GB$26-($A145-1)))</f>
        <v>1</v>
      </c>
      <c r="GD145" s="5">
        <f>$GB$25*(GC145+(1-GC145)*$GB$16)</f>
        <v>252.05322714681438</v>
      </c>
      <c r="GE145" s="13">
        <f>GD145*($GB$6+ACUTE_MARGIN)</f>
        <v>254573.7594182825</v>
      </c>
      <c r="GF145" s="13">
        <f>IF(GB145=1,$GB$31,$GB$32)</f>
        <v>152394.16214437486</v>
      </c>
      <c r="GG145" s="13">
        <f>GE145-GF145</f>
        <v>102179.59727390765</v>
      </c>
      <c r="GH145" s="13">
        <f>GH144+GG145</f>
        <v>6335135.030982274</v>
      </c>
      <c r="GI145">
        <f>IF(GH145=MAX($GH$83:$GH$483),$A145,0)</f>
        <v>0</v>
      </c>
      <c r="GJ145">
        <f>IF(GE145&lt;GF145,$A145,B_MAX+1)</f>
        <v>401.0</v>
      </c>
      <c r="GK145" s="13">
        <f>IF(GB145=1,$GB$35,$GB$36)</f>
        <v>0</v>
      </c>
      <c r="GL145" s="13">
        <f>OCC_DAYS*$GB$41*R_NF_2023-GD145*MCD_SHARE_FREED*R_WAIT_2023</f>
        <v>37367.159242427646</v>
      </c>
      <c r="GM145">
        <f>IF($A145&lt;=$GB$45,1,0)</f>
        <v>1</v>
      </c>
      <c r="HB145">
        <f>IF($HB$31&lt;=$HB$32,IF($A145&lt;=$HB$7,1,2),IF($A145&lt;=RUNG_BEDS_2,2,1))</f>
        <v>1</v>
      </c>
      <c r="HC145" s="5">
        <f>MIN(1,MAX(0,$HB$26-($A145-1)))</f>
        <v>1</v>
      </c>
      <c r="HD145" s="5">
        <f>$HB$25*(HC145+(1-HC145)*$HB$16)</f>
        <v>252.05322714681438</v>
      </c>
      <c r="HE145" s="13">
        <f>HD145*($HB$6+ACUTE_MARGIN)</f>
        <v>254573.7594182825</v>
      </c>
      <c r="HF145" s="13">
        <f>IF(HB145=1,$HB$31,$HB$32)</f>
        <v>152456.2970814058</v>
      </c>
      <c r="HG145" s="13">
        <f>HE145-HF145</f>
        <v>102117.46233687672</v>
      </c>
      <c r="HH145" s="13">
        <f>HH144+HG145</f>
        <v>6331282.664886354</v>
      </c>
      <c r="HI145">
        <f>IF(HH145=MAX($HH$83:$HH$483),$A145,0)</f>
        <v>0</v>
      </c>
      <c r="HJ145">
        <f>IF(HE145&lt;HF145,$A145,B_MAX+1)</f>
        <v>401.0</v>
      </c>
      <c r="HK145" s="13">
        <f>IF(HB145=1,$HB$35,$HB$36)</f>
        <v>0</v>
      </c>
      <c r="HL145" s="13">
        <f>OCC_DAYS*$HB$41*R_NF_2023-HD145*MCD_SHARE_FREED*R_WAIT_2023</f>
        <v>37367.159242427646</v>
      </c>
      <c r="HM145">
        <f>IF($A145&lt;=$HB$45,1,0)</f>
        <v>1</v>
      </c>
      <c r="IB145">
        <f>IF($IB$31&lt;=$IB$32,IF($A145&lt;=$IB$7,1,2),IF($A145&lt;=RUNG_BEDS_2,2,1))</f>
        <v>1</v>
      </c>
      <c r="IC145" s="5">
        <f>MIN(1,MAX(0,$IB$26-($A145-1)))</f>
        <v>1</v>
      </c>
      <c r="ID145" s="5">
        <f>$IB$25*(IC145+(1-IC145)*$IB$16)</f>
        <v>252.05322714681438</v>
      </c>
      <c r="IE145" s="13">
        <f>ID145*($IB$6+ACUTE_MARGIN)</f>
        <v>254573.7594182825</v>
      </c>
      <c r="IF145" s="13">
        <f>IF(IB145=1,$IB$31,$IB$32)</f>
        <v>152734.9994534971</v>
      </c>
      <c r="IG145" s="13">
        <f>IE145-IF145</f>
        <v>101838.75996478542</v>
      </c>
      <c r="IH145" s="13">
        <f>IH144+IG145</f>
        <v>6314003.1178167015</v>
      </c>
      <c r="II145">
        <f>IF(IH145=MAX($IH$83:$IH$483),$A145,0)</f>
        <v>0</v>
      </c>
      <c r="IJ145">
        <f>IF(IE145&lt;IF145,$A145,B_MAX+1)</f>
        <v>401.0</v>
      </c>
      <c r="IK145" s="13">
        <f>IF(IB145=1,$IB$35,$IB$36)</f>
        <v>0</v>
      </c>
      <c r="IL145" s="13">
        <f>OCC_DAYS*$IB$41*R_NF_2023-ID145*MCD_SHARE_FREED*R_WAIT_2023</f>
        <v>37367.159242427646</v>
      </c>
      <c r="IM145">
        <f>IF($A145&lt;=$IB$45,1,0)</f>
        <v>1</v>
      </c>
      <c r="JB145">
        <f>IF($JB$31&lt;=$JB$32,IF($A145&lt;=$JB$7,1,2),IF($A145&lt;=RUNG_BEDS_2,2,1))</f>
        <v>1</v>
      </c>
      <c r="JC145" s="5">
        <f>MIN(1,MAX(0,$JB$26-($A145-1)))</f>
        <v>1</v>
      </c>
      <c r="JD145" s="5">
        <f>$JB$25*(JC145+(1-JC145)*$JB$16)</f>
        <v>252.05322714681438</v>
      </c>
      <c r="JE145" s="13">
        <f>JD145*($JB$6+ACUTE_MARGIN)</f>
        <v>254573.7594182825</v>
      </c>
      <c r="JF145" s="13">
        <f>IF(JB145=1,$JB$31,$JB$32)</f>
        <v>152394.16214437486</v>
      </c>
      <c r="JG145" s="13">
        <f>JE145-JF145</f>
        <v>102179.59727390765</v>
      </c>
      <c r="JH145" s="13">
        <f>JH144+JG145</f>
        <v>6335135.030982274</v>
      </c>
      <c r="JI145">
        <f>IF(JH145=MAX($JH$83:$JH$483),$A145,0)</f>
        <v>0</v>
      </c>
      <c r="JJ145">
        <f>IF(JE145&lt;JF145,$A145,B_MAX+1)</f>
        <v>401.0</v>
      </c>
      <c r="JK145" s="13">
        <f>IF(JB145=1,$JB$35,$JB$36)</f>
        <v>0</v>
      </c>
      <c r="JL145" s="13">
        <f>OCC_DAYS*$JB$41*R_NF_2023-JD145*MCD_SHARE_FREED*R_WAIT_2023</f>
        <v>37367.159242427646</v>
      </c>
      <c r="JM145">
        <f>IF($A145&lt;=$JB$45,1,0)</f>
        <v>1</v>
      </c>
      <c r="KB145">
        <f>IF($KB$31&lt;=$KB$32,IF($A145&lt;=$KB$7,1,2),IF($A145&lt;=RUNG_BEDS_2,2,1))</f>
        <v>1</v>
      </c>
      <c r="KC145" s="5">
        <f>MIN(1,MAX(0,$KB$26-($A145-1)))</f>
        <v>1</v>
      </c>
      <c r="KD145" s="5">
        <f>$KB$25*(KC145+(1-KC145)*$KB$16)</f>
        <v>126.02661357340719</v>
      </c>
      <c r="KE145" s="13">
        <f>KD145*($KB$6+ACUTE_MARGIN)</f>
        <v>127286.87970914126</v>
      </c>
      <c r="KF145" s="13">
        <f>IF(KB145=1,$KB$31,$KB$32)</f>
        <v>152394.16214437486</v>
      </c>
      <c r="KG145" s="13">
        <f>KE145-KF145</f>
        <v>-25107.282435233603</v>
      </c>
      <c r="KH145" s="13">
        <f>KH144+KG145</f>
        <v>-1556651.510984485</v>
      </c>
      <c r="KI145">
        <f>IF(KH145=MAX($KH$83:$KH$483),$A145,0)</f>
        <v>0</v>
      </c>
      <c r="KJ145">
        <f>IF(KE145&lt;KF145,$A145,B_MAX+1)</f>
        <v>62</v>
      </c>
      <c r="KK145" s="13">
        <f>IF(KB145=1,$KB$35,$KB$36)</f>
        <v>0</v>
      </c>
      <c r="KL145" s="13">
        <f>OCC_DAYS*$KB$41*R_NF_2023-KD145*MCD_SHARE_FREED*R_WAIT_2023</f>
        <v>94673.82103225985</v>
      </c>
      <c r="KM145">
        <f>IF($A145&lt;=$KB$45,1,0)</f>
        <v>0</v>
      </c>
      <c r="LB145">
        <f>IF($LB$31&lt;=$LB$32,IF($A145&lt;=$LB$7,1,2),IF($A145&lt;=RUNG_BEDS_2,2,1))</f>
        <v>1</v>
      </c>
      <c r="LC145" s="5">
        <f>MIN(1,MAX(0,$LB$26-($A145-1)))</f>
        <v>1</v>
      </c>
      <c r="LD145" s="5">
        <f>$LB$25*(LC145+(1-LC145)*$LB$16)</f>
        <v>84.01774238227146</v>
      </c>
      <c r="LE145" s="13">
        <f>LD145*($LB$6+ACUTE_MARGIN)</f>
        <v>84857.91980609419</v>
      </c>
      <c r="LF145" s="13">
        <f>IF(LB145=1,$LB$31,$LB$32)</f>
        <v>152394.16214437486</v>
      </c>
      <c r="LG145" s="13">
        <f>LE145-LF145</f>
        <v>-67536.24233828067</v>
      </c>
      <c r="LH145" s="13">
        <f>LH144+LG145</f>
        <v>-4187247.0249734013</v>
      </c>
      <c r="LI145">
        <f>IF(LH145=MAX($LH$83:$LH$483),$A145,0)</f>
        <v>0</v>
      </c>
      <c r="LJ145">
        <f>IF(LE145&lt;LF145,$A145,B_MAX+1)</f>
        <v>62</v>
      </c>
      <c r="LK145" s="13">
        <f>IF(LB145=1,$LB$35,$LB$36)</f>
        <v>0</v>
      </c>
      <c r="LL145" s="13">
        <f>OCC_DAYS*$LB$41*R_NF_2023-LD145*MCD_SHARE_FREED*R_WAIT_2023</f>
        <v>113776.04162887059</v>
      </c>
      <c r="LM145">
        <f>IF($A145&lt;=$LB$45,1,0)</f>
        <v>0</v>
      </c>
      <c r="MB145">
        <f>IF($MB$31&lt;=$MB$32,IF($A145&lt;=$MB$7,1,2),IF($A145&lt;=RUNG_BEDS_2,2,1))</f>
        <v>1</v>
      </c>
      <c r="MC145" s="5">
        <f>MIN(1,MAX(0,$MB$26-($A145-1)))</f>
        <v>1</v>
      </c>
      <c r="MD145" s="5">
        <f>$MB$25*(MC145+(1-MC145)*$MB$16)</f>
        <v>213.44610951008647</v>
      </c>
      <c r="ME145" s="13">
        <f>MD145*($MB$6+ACUTE_MARGIN)</f>
        <v>215580.57060518733</v>
      </c>
      <c r="MF145" s="13">
        <f>IF(MB145=1,$MB$31,$MB$32)</f>
        <v>152394.16214437486</v>
      </c>
      <c r="MG145" s="13">
        <f>ME145-MF145</f>
        <v>63186.40846081247</v>
      </c>
      <c r="MH145" s="13">
        <f>MH144+MG145</f>
        <v>3917557.3245703764</v>
      </c>
      <c r="MI145">
        <f>IF(MH145=MAX($MH$83:$MH$483),$A145,0)</f>
        <v>0</v>
      </c>
      <c r="MJ145">
        <f>IF(ME145&lt;MF145,$A145,B_MAX+1)</f>
        <v>401.0</v>
      </c>
      <c r="MK145" s="13">
        <f>IF(MB145=1,$MB$35,$MB$36)</f>
        <v>0</v>
      </c>
      <c r="ML145" s="13">
        <f>OCC_DAYS*$MB$41*R_NF_2023-MD145*MCD_SHARE_FREED*R_WAIT_2023</f>
        <v>54922.538779778624</v>
      </c>
      <c r="MM145">
        <f>IF($A145&lt;=$MB$45,1,0)</f>
        <v>1</v>
      </c>
      <c r="NB145">
        <f>IF($NB$31&lt;=$NB$32,IF($A145&lt;=$NB$7,1,2),IF($A145&lt;=RUNG_BEDS_2,2,1))</f>
        <v>1</v>
      </c>
      <c r="NC145" s="5">
        <f>MIN(1,MAX(0,$NB$26-($A145-1)))</f>
        <v>1</v>
      </c>
      <c r="ND145" s="5">
        <f>$NB$25*(NC145+(1-NC145)*$NB$16)</f>
        <v>252.05322714681438</v>
      </c>
      <c r="NE145" s="13">
        <f>ND145*($NB$6+ACUTE_MARGIN)</f>
        <v>254573.7594182825</v>
      </c>
      <c r="NF145" s="13">
        <f>IF(NB145=1,$NB$31,$NB$32)</f>
        <v>152394.16214437486</v>
      </c>
      <c r="NG145" s="13">
        <f>NE145-NF145</f>
        <v>102179.59727390765</v>
      </c>
      <c r="NH145" s="13">
        <f>NH144+NG145</f>
        <v>6335135.030982274</v>
      </c>
      <c r="NI145">
        <f>IF(NH145=MAX($NH$83:$NH$483),$A145,0)</f>
        <v>0</v>
      </c>
      <c r="NJ145">
        <f>IF(NE145&lt;NF145,$A145,B_MAX+1)</f>
        <v>401.0</v>
      </c>
      <c r="NK145" s="13">
        <f>IF(NB145=1,$NB$35,$NB$36)</f>
        <v>0</v>
      </c>
      <c r="NL145" s="13">
        <f>OCC_DAYS*$NB$41*R_NF_2023-ND145*MCD_SHARE_FREED*R_WAIT_2023</f>
        <v>37367.159242427646</v>
      </c>
      <c r="NM145">
        <f>IF($A145&lt;=$NB$45,1,0)</f>
        <v>1</v>
      </c>
      <c r="OB145">
        <f>IF($OB$31&lt;=$OB$32,IF($A145&lt;=$OB$7,1,2),IF($A145&lt;=RUNG_BEDS_2,2,1))</f>
        <v>1</v>
      </c>
      <c r="OC145" s="5">
        <f>MIN(1,MAX(0,$OB$26-($A145-1)))</f>
        <v>1</v>
      </c>
      <c r="OD145" s="5">
        <f>$OB$25*(OC145+(1-OC145)*$OB$16)</f>
        <v>252.05322714681438</v>
      </c>
      <c r="OE145" s="13">
        <f>OD145*($OB$6+ACUTE_MARGIN)</f>
        <v>254573.7594182825</v>
      </c>
      <c r="OF145" s="13">
        <f>IF(OB145=1,$OB$31,$OB$32)</f>
        <v>152394.16214437486</v>
      </c>
      <c r="OG145" s="13">
        <f>OE145-OF145</f>
        <v>102179.59727390765</v>
      </c>
      <c r="OH145" s="13">
        <f>OH144+OG145</f>
        <v>6335135.030982274</v>
      </c>
      <c r="OI145">
        <f>IF(OH145=MAX($OH$83:$OH$483),$A145,0)</f>
        <v>0</v>
      </c>
      <c r="OJ145">
        <f>IF(OE145&lt;OF145,$A145,B_MAX+1)</f>
        <v>401.0</v>
      </c>
      <c r="OK145" s="13">
        <f>IF(OB145=1,$OB$35,$OB$36)</f>
        <v>0</v>
      </c>
      <c r="OL145" s="13">
        <f>OCC_DAYS*$OB$41*R_NF_2023-OD145*MCD_SHARE_FREED*R_WAIT_2023</f>
        <v>37367.159242427646</v>
      </c>
      <c r="OM145">
        <f>IF($A145&lt;=$OB$45,1,0)</f>
        <v>1</v>
      </c>
    </row>
    <row r="146">
      <c r="A146" t="n">
        <v>63</v>
      </c>
      <c r="B146">
        <f>IF($B$31&lt;=$B$32,IF($A146&lt;=$B$7,1,2),IF($A146&lt;=RUNG_BEDS_2,2,1))</f>
        <v>1</v>
      </c>
      <c r="C146" s="5">
        <f>MIN(1,MAX(0,$B$26-($A146-1)))</f>
        <v>1</v>
      </c>
      <c r="D146" s="5">
        <f>$B$25*(C146+(1-C146)*$B$16)</f>
        <v>252.05322714681438</v>
      </c>
      <c r="E146" s="13">
        <f>D146*($B$6+ACUTE_MARGIN)</f>
        <v>254573.7594182825</v>
      </c>
      <c r="F146" s="13">
        <f>IF(B146=1,$B$31,$B$32)</f>
        <v>152394.16214437486</v>
      </c>
      <c r="G146" s="13">
        <f>E146-F146</f>
        <v>102179.59727390765</v>
      </c>
      <c r="H146" s="13">
        <f>H145+G146</f>
        <v>6437314.628256181</v>
      </c>
      <c r="I146">
        <f>IF(H146=MAX($H$83:$H$483),$A146,0)</f>
        <v>0</v>
      </c>
      <c r="J146">
        <f>IF(E146&lt;F146,$A146,B_MAX+1)</f>
        <v>401.0</v>
      </c>
      <c r="K146" s="13">
        <f>IF(B146=1,$B$35,$B$36)</f>
        <v>0</v>
      </c>
      <c r="L146" s="13">
        <f>OCC_DAYS*$B$41*R_NF_2023-D146*MCD_SHARE_FREED*R_WAIT_2023</f>
        <v>37367.159242427646</v>
      </c>
      <c r="M146">
        <f>IF($A146&lt;=$B$45,1,0)</f>
        <v>1</v>
      </c>
      <c r="AB146">
        <f>IF($AB$31&lt;=$AB$32,IF($A146&lt;=$AB$7,1,2),IF($A146&lt;=RUNG_BEDS_2,2,1))</f>
        <v>1</v>
      </c>
      <c r="AC146" s="5">
        <f>MIN(1,MAX(0,$AB$26-($A146-1)))</f>
        <v>1</v>
      </c>
      <c r="AD146" s="5">
        <f>$AB$25*(AC146+(1-AC146)*$AB$16)</f>
        <v>252.05322714681438</v>
      </c>
      <c r="AE146" s="13">
        <f>AD146*($AB$6+ACUTE_MARGIN)</f>
        <v>138629.2749307479</v>
      </c>
      <c r="AF146" s="13">
        <f>IF(AB146=1,$AB$31,$AB$32)</f>
        <v>152394.16214437486</v>
      </c>
      <c r="AG146" s="13">
        <f>AE146-AF146</f>
        <v>-13764.887213626964</v>
      </c>
      <c r="AH146" s="13">
        <f>AH145+AG146</f>
        <v>-867187.8944585</v>
      </c>
      <c r="AI146">
        <f>IF(AH146=MAX($AH$83:$AH$483),$A146,0)</f>
        <v>0</v>
      </c>
      <c r="AJ146">
        <f>IF(AE146&lt;AF146,$A146,B_MAX+1)</f>
        <v>63</v>
      </c>
      <c r="AK146" s="13">
        <f>IF(AB146=1,$AB$35,$AB$36)</f>
        <v>0</v>
      </c>
      <c r="AL146" s="13">
        <f>OCC_DAYS*$AB$41*R_NF_2023-AD146*MCD_SHARE_FREED*R_WAIT_2023</f>
        <v>37367.159242427646</v>
      </c>
      <c r="AM146">
        <f>IF($A146&lt;=$AB$45,1,0)</f>
        <v>0</v>
      </c>
      <c r="BB146">
        <f>IF($BB$31&lt;=$BB$32,IF($A146&lt;=$BB$7,1,2),IF($A146&lt;=RUNG_BEDS_2,2,1))</f>
        <v>1</v>
      </c>
      <c r="BC146" s="5">
        <f>MIN(1,MAX(0,$BB$26-($A146-1)))</f>
        <v>1</v>
      </c>
      <c r="BD146" s="5">
        <f>$BB$25*(BC146+(1-BC146)*$BB$16)</f>
        <v>252.05322714681438</v>
      </c>
      <c r="BE146" s="13">
        <f>BD146*($BB$6+ACUTE_MARGIN)</f>
        <v>370518.24390581716</v>
      </c>
      <c r="BF146" s="13">
        <f>IF(BB146=1,$BB$31,$BB$32)</f>
        <v>152394.16214437486</v>
      </c>
      <c r="BG146" s="13">
        <f>BE146-BF146</f>
        <v>218124.0817614423</v>
      </c>
      <c r="BH146" s="13">
        <f>BH145+BG146</f>
        <v>13741817.150970856</v>
      </c>
      <c r="BI146">
        <f>IF(BH146=MAX($BH$83:$BH$483),$A146,0)</f>
        <v>0</v>
      </c>
      <c r="BJ146">
        <f>IF(BE146&lt;BF146,$A146,B_MAX+1)</f>
        <v>401.0</v>
      </c>
      <c r="BK146" s="13">
        <f>IF(BB146=1,$BB$35,$BB$36)</f>
        <v>0</v>
      </c>
      <c r="BL146" s="13">
        <f>OCC_DAYS*$BB$41*R_NF_2023-BD146*MCD_SHARE_FREED*R_WAIT_2023</f>
        <v>37367.159242427646</v>
      </c>
      <c r="BM146">
        <f>IF($A146&lt;=$BB$45,1,0)</f>
        <v>1</v>
      </c>
      <c r="CB146">
        <f>IF($CB$31&lt;=$CB$32,IF($A146&lt;=$CB$7,1,2),IF($A146&lt;=RUNG_BEDS_2,2,1))</f>
        <v>2</v>
      </c>
      <c r="CC146" s="5">
        <f>MIN(1,MAX(0,$CB$26-($A146-1)))</f>
        <v>1</v>
      </c>
      <c r="CD146" s="5">
        <f>$CB$25*(CC146+(1-CC146)*$CB$16)</f>
        <v>252.05322714681438</v>
      </c>
      <c r="CE146" s="13">
        <f>CD146*($CB$6+ACUTE_MARGIN)</f>
        <v>254573.7594182825</v>
      </c>
      <c r="CF146" s="13">
        <f>IF(CB146=1,$CB$31,$CB$32)</f>
        <v>160718.36940738867</v>
      </c>
      <c r="CG146" s="13">
        <f>CE146-CF146</f>
        <v>93855.39001089384</v>
      </c>
      <c r="CH146" s="13">
        <f>CH145+CG146</f>
        <v>5912889.570686319</v>
      </c>
      <c r="CI146">
        <f>IF(CH146=MAX($CH$83:$CH$483),$A146,0)</f>
        <v>0</v>
      </c>
      <c r="CJ146">
        <f>IF(CE146&lt;CF146,$A146,B_MAX+1)</f>
        <v>401.0</v>
      </c>
      <c r="CK146" s="13">
        <f>IF(CB146=1,$CB$35,$CB$36)</f>
        <v>1560.1194073886782</v>
      </c>
      <c r="CL146" s="13">
        <f>OCC_DAYS*$CB$41*R_NF_2023-CD146*MCD_SHARE_FREED*R_WAIT_2023</f>
        <v>37367.159242427646</v>
      </c>
      <c r="CM146">
        <f>IF($A146&lt;=$CB$45,1,0)</f>
        <v>1</v>
      </c>
      <c r="DB146">
        <f>IF($DB$31&lt;=$DB$32,IF($A146&lt;=$DB$7,1,2),IF($A146&lt;=RUNG_BEDS_2,2,1))</f>
        <v>1</v>
      </c>
      <c r="DC146" s="5">
        <f>MIN(1,MAX(0,$DB$26-($A146-1)))</f>
        <v>1</v>
      </c>
      <c r="DD146" s="5">
        <f>$DB$25*(DC146+(1-DC146)*$DB$16)</f>
        <v>252.05322714681438</v>
      </c>
      <c r="DE146" s="13">
        <f>DD146*($DB$6+ACUTE_MARGIN)</f>
        <v>254573.7594182825</v>
      </c>
      <c r="DF146" s="13">
        <f>IF(DB146=1,$DB$31,$DB$32)</f>
        <v>152394.16214437486</v>
      </c>
      <c r="DG146" s="13">
        <f>DE146-DF146</f>
        <v>102179.59727390765</v>
      </c>
      <c r="DH146" s="13">
        <f>DH145+DG146</f>
        <v>6437314.628256181</v>
      </c>
      <c r="DI146">
        <f>IF(DH146=MAX($DH$83:$DH$483),$A146,0)</f>
        <v>0</v>
      </c>
      <c r="DJ146">
        <f>IF(DE146&lt;DF146,$A146,B_MAX+1)</f>
        <v>401.0</v>
      </c>
      <c r="DK146" s="13">
        <f>IF(DB146=1,$DB$35,$DB$36)</f>
        <v>0</v>
      </c>
      <c r="DL146" s="13">
        <f>OCC_DAYS*$DB$41*R_NF_2023-DD146*MCD_SHARE_FREED*R_WAIT_2023</f>
        <v>37367.159242427646</v>
      </c>
      <c r="DM146">
        <f>IF($A146&lt;=$DB$45,1,0)</f>
        <v>1</v>
      </c>
      <c r="EB146">
        <f>IF($EB$31&lt;=$EB$32,IF($A146&lt;=$EB$7,1,2),IF($A146&lt;=RUNG_BEDS_2,2,1))</f>
        <v>1</v>
      </c>
      <c r="EC146" s="5">
        <f>MIN(1,MAX(0,$EB$26-($A146-1)))</f>
        <v>1</v>
      </c>
      <c r="ED146" s="5">
        <f>$EB$25*(EC146+(1-EC146)*$EB$16)</f>
        <v>252.05322714681438</v>
      </c>
      <c r="EE146" s="13">
        <f>ED146*($EB$6+ACUTE_MARGIN)</f>
        <v>254573.7594182825</v>
      </c>
      <c r="EF146" s="13">
        <f>IF(EB146=1,$EB$31,$EB$32)</f>
        <v>152394.16214437486</v>
      </c>
      <c r="EG146" s="13">
        <f>EE146-EF146</f>
        <v>102179.59727390765</v>
      </c>
      <c r="EH146" s="13">
        <f>EH145+EG146</f>
        <v>6437314.628256181</v>
      </c>
      <c r="EI146">
        <f>IF(EH146=MAX($EH$83:$EH$483),$A146,0)</f>
        <v>0</v>
      </c>
      <c r="EJ146">
        <f>IF(EE146&lt;EF146,$A146,B_MAX+1)</f>
        <v>401.0</v>
      </c>
      <c r="EK146" s="13">
        <f>IF(EB146=1,$EB$35,$EB$36)</f>
        <v>0</v>
      </c>
      <c r="EL146" s="13">
        <f>OCC_DAYS*$EB$41*R_NF_2023-ED146*MCD_SHARE_FREED*R_WAIT_2023</f>
        <v>-63953.16263896705</v>
      </c>
      <c r="EM146">
        <f>IF($A146&lt;=$EB$45,1,0)</f>
        <v>1</v>
      </c>
      <c r="FB146">
        <f>IF($FB$31&lt;=$FB$32,IF($A146&lt;=$FB$7,1,2),IF($A146&lt;=RUNG_BEDS_2,2,1))</f>
        <v>1</v>
      </c>
      <c r="FC146" s="5">
        <f>MIN(1,MAX(0,$FB$26-($A146-1)))</f>
        <v>1</v>
      </c>
      <c r="FD146" s="5">
        <f>$FB$25*(FC146+(1-FC146)*$FB$16)</f>
        <v>252.05322714681438</v>
      </c>
      <c r="FE146" s="13">
        <f>FD146*($FB$6+ACUTE_MARGIN)</f>
        <v>254573.7594182825</v>
      </c>
      <c r="FF146" s="13">
        <f>IF(FB146=1,$FB$31,$FB$32)</f>
        <v>156636.04979437485</v>
      </c>
      <c r="FG146" s="13">
        <f>FE146-FF146</f>
        <v>97937.70962390766</v>
      </c>
      <c r="FH146" s="13">
        <f>FH145+FG146</f>
        <v>6170075.706306184</v>
      </c>
      <c r="FI146">
        <f>IF(FH146=MAX($FH$83:$FH$483),$A146,0)</f>
        <v>0</v>
      </c>
      <c r="FJ146">
        <f>IF(FE146&lt;FF146,$A146,B_MAX+1)</f>
        <v>401.0</v>
      </c>
      <c r="FK146" s="13">
        <f>IF(FB146=1,$FB$35,$FB$36)</f>
        <v>0</v>
      </c>
      <c r="FL146" s="13">
        <f>OCC_DAYS*$FB$41*R_NF_2023-FD146*MCD_SHARE_FREED*R_WAIT_2023</f>
        <v>37367.159242427646</v>
      </c>
      <c r="FM146">
        <f>IF($A146&lt;=$FB$45,1,0)</f>
        <v>1</v>
      </c>
      <c r="GB146">
        <f>IF($GB$31&lt;=$GB$32,IF($A146&lt;=$GB$7,1,2),IF($A146&lt;=RUNG_BEDS_2,2,1))</f>
        <v>1</v>
      </c>
      <c r="GC146" s="5">
        <f>MIN(1,MAX(0,$GB$26-($A146-1)))</f>
        <v>1</v>
      </c>
      <c r="GD146" s="5">
        <f>$GB$25*(GC146+(1-GC146)*$GB$16)</f>
        <v>252.05322714681438</v>
      </c>
      <c r="GE146" s="13">
        <f>GD146*($GB$6+ACUTE_MARGIN)</f>
        <v>254573.7594182825</v>
      </c>
      <c r="GF146" s="13">
        <f>IF(GB146=1,$GB$31,$GB$32)</f>
        <v>152394.16214437486</v>
      </c>
      <c r="GG146" s="13">
        <f>GE146-GF146</f>
        <v>102179.59727390765</v>
      </c>
      <c r="GH146" s="13">
        <f>GH145+GG146</f>
        <v>6437314.628256181</v>
      </c>
      <c r="GI146">
        <f>IF(GH146=MAX($GH$83:$GH$483),$A146,0)</f>
        <v>0</v>
      </c>
      <c r="GJ146">
        <f>IF(GE146&lt;GF146,$A146,B_MAX+1)</f>
        <v>401.0</v>
      </c>
      <c r="GK146" s="13">
        <f>IF(GB146=1,$GB$35,$GB$36)</f>
        <v>0</v>
      </c>
      <c r="GL146" s="13">
        <f>OCC_DAYS*$GB$41*R_NF_2023-GD146*MCD_SHARE_FREED*R_WAIT_2023</f>
        <v>37367.159242427646</v>
      </c>
      <c r="GM146">
        <f>IF($A146&lt;=$GB$45,1,0)</f>
        <v>1</v>
      </c>
      <c r="HB146">
        <f>IF($HB$31&lt;=$HB$32,IF($A146&lt;=$HB$7,1,2),IF($A146&lt;=RUNG_BEDS_2,2,1))</f>
        <v>1</v>
      </c>
      <c r="HC146" s="5">
        <f>MIN(1,MAX(0,$HB$26-($A146-1)))</f>
        <v>1</v>
      </c>
      <c r="HD146" s="5">
        <f>$HB$25*(HC146+(1-HC146)*$HB$16)</f>
        <v>252.05322714681438</v>
      </c>
      <c r="HE146" s="13">
        <f>HD146*($HB$6+ACUTE_MARGIN)</f>
        <v>254573.7594182825</v>
      </c>
      <c r="HF146" s="13">
        <f>IF(HB146=1,$HB$31,$HB$32)</f>
        <v>152456.2970814058</v>
      </c>
      <c r="HG146" s="13">
        <f>HE146-HF146</f>
        <v>102117.46233687672</v>
      </c>
      <c r="HH146" s="13">
        <f>HH145+HG146</f>
        <v>6433400.12722323</v>
      </c>
      <c r="HI146">
        <f>IF(HH146=MAX($HH$83:$HH$483),$A146,0)</f>
        <v>0</v>
      </c>
      <c r="HJ146">
        <f>IF(HE146&lt;HF146,$A146,B_MAX+1)</f>
        <v>401.0</v>
      </c>
      <c r="HK146" s="13">
        <f>IF(HB146=1,$HB$35,$HB$36)</f>
        <v>0</v>
      </c>
      <c r="HL146" s="13">
        <f>OCC_DAYS*$HB$41*R_NF_2023-HD146*MCD_SHARE_FREED*R_WAIT_2023</f>
        <v>37367.159242427646</v>
      </c>
      <c r="HM146">
        <f>IF($A146&lt;=$HB$45,1,0)</f>
        <v>1</v>
      </c>
      <c r="IB146">
        <f>IF($IB$31&lt;=$IB$32,IF($A146&lt;=$IB$7,1,2),IF($A146&lt;=RUNG_BEDS_2,2,1))</f>
        <v>1</v>
      </c>
      <c r="IC146" s="5">
        <f>MIN(1,MAX(0,$IB$26-($A146-1)))</f>
        <v>1</v>
      </c>
      <c r="ID146" s="5">
        <f>$IB$25*(IC146+(1-IC146)*$IB$16)</f>
        <v>252.05322714681438</v>
      </c>
      <c r="IE146" s="13">
        <f>ID146*($IB$6+ACUTE_MARGIN)</f>
        <v>254573.7594182825</v>
      </c>
      <c r="IF146" s="13">
        <f>IF(IB146=1,$IB$31,$IB$32)</f>
        <v>152734.9994534971</v>
      </c>
      <c r="IG146" s="13">
        <f>IE146-IF146</f>
        <v>101838.75996478542</v>
      </c>
      <c r="IH146" s="13">
        <f>IH145+IG146</f>
        <v>6415841.877781487</v>
      </c>
      <c r="II146">
        <f>IF(IH146=MAX($IH$83:$IH$483),$A146,0)</f>
        <v>0</v>
      </c>
      <c r="IJ146">
        <f>IF(IE146&lt;IF146,$A146,B_MAX+1)</f>
        <v>401.0</v>
      </c>
      <c r="IK146" s="13">
        <f>IF(IB146=1,$IB$35,$IB$36)</f>
        <v>0</v>
      </c>
      <c r="IL146" s="13">
        <f>OCC_DAYS*$IB$41*R_NF_2023-ID146*MCD_SHARE_FREED*R_WAIT_2023</f>
        <v>37367.159242427646</v>
      </c>
      <c r="IM146">
        <f>IF($A146&lt;=$IB$45,1,0)</f>
        <v>1</v>
      </c>
      <c r="JB146">
        <f>IF($JB$31&lt;=$JB$32,IF($A146&lt;=$JB$7,1,2),IF($A146&lt;=RUNG_BEDS_2,2,1))</f>
        <v>1</v>
      </c>
      <c r="JC146" s="5">
        <f>MIN(1,MAX(0,$JB$26-($A146-1)))</f>
        <v>1</v>
      </c>
      <c r="JD146" s="5">
        <f>$JB$25*(JC146+(1-JC146)*$JB$16)</f>
        <v>252.05322714681438</v>
      </c>
      <c r="JE146" s="13">
        <f>JD146*($JB$6+ACUTE_MARGIN)</f>
        <v>254573.7594182825</v>
      </c>
      <c r="JF146" s="13">
        <f>IF(JB146=1,$JB$31,$JB$32)</f>
        <v>152394.16214437486</v>
      </c>
      <c r="JG146" s="13">
        <f>JE146-JF146</f>
        <v>102179.59727390765</v>
      </c>
      <c r="JH146" s="13">
        <f>JH145+JG146</f>
        <v>6437314.628256181</v>
      </c>
      <c r="JI146">
        <f>IF(JH146=MAX($JH$83:$JH$483),$A146,0)</f>
        <v>0</v>
      </c>
      <c r="JJ146">
        <f>IF(JE146&lt;JF146,$A146,B_MAX+1)</f>
        <v>401.0</v>
      </c>
      <c r="JK146" s="13">
        <f>IF(JB146=1,$JB$35,$JB$36)</f>
        <v>0</v>
      </c>
      <c r="JL146" s="13">
        <f>OCC_DAYS*$JB$41*R_NF_2023-JD146*MCD_SHARE_FREED*R_WAIT_2023</f>
        <v>37367.159242427646</v>
      </c>
      <c r="JM146">
        <f>IF($A146&lt;=$JB$45,1,0)</f>
        <v>1</v>
      </c>
      <c r="KB146">
        <f>IF($KB$31&lt;=$KB$32,IF($A146&lt;=$KB$7,1,2),IF($A146&lt;=RUNG_BEDS_2,2,1))</f>
        <v>1</v>
      </c>
      <c r="KC146" s="5">
        <f>MIN(1,MAX(0,$KB$26-($A146-1)))</f>
        <v>1</v>
      </c>
      <c r="KD146" s="5">
        <f>$KB$25*(KC146+(1-KC146)*$KB$16)</f>
        <v>126.02661357340719</v>
      </c>
      <c r="KE146" s="13">
        <f>KD146*($KB$6+ACUTE_MARGIN)</f>
        <v>127286.87970914126</v>
      </c>
      <c r="KF146" s="13">
        <f>IF(KB146=1,$KB$31,$KB$32)</f>
        <v>152394.16214437486</v>
      </c>
      <c r="KG146" s="13">
        <f>KE146-KF146</f>
        <v>-25107.282435233603</v>
      </c>
      <c r="KH146" s="13">
        <f>KH145+KG146</f>
        <v>-1581758.7934197187</v>
      </c>
      <c r="KI146">
        <f>IF(KH146=MAX($KH$83:$KH$483),$A146,0)</f>
        <v>0</v>
      </c>
      <c r="KJ146">
        <f>IF(KE146&lt;KF146,$A146,B_MAX+1)</f>
        <v>63</v>
      </c>
      <c r="KK146" s="13">
        <f>IF(KB146=1,$KB$35,$KB$36)</f>
        <v>0</v>
      </c>
      <c r="KL146" s="13">
        <f>OCC_DAYS*$KB$41*R_NF_2023-KD146*MCD_SHARE_FREED*R_WAIT_2023</f>
        <v>94673.82103225985</v>
      </c>
      <c r="KM146">
        <f>IF($A146&lt;=$KB$45,1,0)</f>
        <v>0</v>
      </c>
      <c r="LB146">
        <f>IF($LB$31&lt;=$LB$32,IF($A146&lt;=$LB$7,1,2),IF($A146&lt;=RUNG_BEDS_2,2,1))</f>
        <v>1</v>
      </c>
      <c r="LC146" s="5">
        <f>MIN(1,MAX(0,$LB$26-($A146-1)))</f>
        <v>1</v>
      </c>
      <c r="LD146" s="5">
        <f>$LB$25*(LC146+(1-LC146)*$LB$16)</f>
        <v>84.01774238227146</v>
      </c>
      <c r="LE146" s="13">
        <f>LD146*($LB$6+ACUTE_MARGIN)</f>
        <v>84857.91980609419</v>
      </c>
      <c r="LF146" s="13">
        <f>IF(LB146=1,$LB$31,$LB$32)</f>
        <v>152394.16214437486</v>
      </c>
      <c r="LG146" s="13">
        <f>LE146-LF146</f>
        <v>-67536.24233828067</v>
      </c>
      <c r="LH146" s="13">
        <f>LH145+LG146</f>
        <v>-4254783.267311682</v>
      </c>
      <c r="LI146">
        <f>IF(LH146=MAX($LH$83:$LH$483),$A146,0)</f>
        <v>0</v>
      </c>
      <c r="LJ146">
        <f>IF(LE146&lt;LF146,$A146,B_MAX+1)</f>
        <v>63</v>
      </c>
      <c r="LK146" s="13">
        <f>IF(LB146=1,$LB$35,$LB$36)</f>
        <v>0</v>
      </c>
      <c r="LL146" s="13">
        <f>OCC_DAYS*$LB$41*R_NF_2023-LD146*MCD_SHARE_FREED*R_WAIT_2023</f>
        <v>113776.04162887059</v>
      </c>
      <c r="LM146">
        <f>IF($A146&lt;=$LB$45,1,0)</f>
        <v>0</v>
      </c>
      <c r="MB146">
        <f>IF($MB$31&lt;=$MB$32,IF($A146&lt;=$MB$7,1,2),IF($A146&lt;=RUNG_BEDS_2,2,1))</f>
        <v>1</v>
      </c>
      <c r="MC146" s="5">
        <f>MIN(1,MAX(0,$MB$26-($A146-1)))</f>
        <v>1</v>
      </c>
      <c r="MD146" s="5">
        <f>$MB$25*(MC146+(1-MC146)*$MB$16)</f>
        <v>213.44610951008647</v>
      </c>
      <c r="ME146" s="13">
        <f>MD146*($MB$6+ACUTE_MARGIN)</f>
        <v>215580.57060518733</v>
      </c>
      <c r="MF146" s="13">
        <f>IF(MB146=1,$MB$31,$MB$32)</f>
        <v>152394.16214437486</v>
      </c>
      <c r="MG146" s="13">
        <f>ME146-MF146</f>
        <v>63186.40846081247</v>
      </c>
      <c r="MH146" s="13">
        <f>MH145+MG146</f>
        <v>3980743.733031189</v>
      </c>
      <c r="MI146">
        <f>IF(MH146=MAX($MH$83:$MH$483),$A146,0)</f>
        <v>0</v>
      </c>
      <c r="MJ146">
        <f>IF(ME146&lt;MF146,$A146,B_MAX+1)</f>
        <v>401.0</v>
      </c>
      <c r="MK146" s="13">
        <f>IF(MB146=1,$MB$35,$MB$36)</f>
        <v>0</v>
      </c>
      <c r="ML146" s="13">
        <f>OCC_DAYS*$MB$41*R_NF_2023-MD146*MCD_SHARE_FREED*R_WAIT_2023</f>
        <v>54922.538779778624</v>
      </c>
      <c r="MM146">
        <f>IF($A146&lt;=$MB$45,1,0)</f>
        <v>1</v>
      </c>
      <c r="NB146">
        <f>IF($NB$31&lt;=$NB$32,IF($A146&lt;=$NB$7,1,2),IF($A146&lt;=RUNG_BEDS_2,2,1))</f>
        <v>1</v>
      </c>
      <c r="NC146" s="5">
        <f>MIN(1,MAX(0,$NB$26-($A146-1)))</f>
        <v>1</v>
      </c>
      <c r="ND146" s="5">
        <f>$NB$25*(NC146+(1-NC146)*$NB$16)</f>
        <v>252.05322714681438</v>
      </c>
      <c r="NE146" s="13">
        <f>ND146*($NB$6+ACUTE_MARGIN)</f>
        <v>254573.7594182825</v>
      </c>
      <c r="NF146" s="13">
        <f>IF(NB146=1,$NB$31,$NB$32)</f>
        <v>152394.16214437486</v>
      </c>
      <c r="NG146" s="13">
        <f>NE146-NF146</f>
        <v>102179.59727390765</v>
      </c>
      <c r="NH146" s="13">
        <f>NH145+NG146</f>
        <v>6437314.628256181</v>
      </c>
      <c r="NI146">
        <f>IF(NH146=MAX($NH$83:$NH$483),$A146,0)</f>
        <v>0</v>
      </c>
      <c r="NJ146">
        <f>IF(NE146&lt;NF146,$A146,B_MAX+1)</f>
        <v>401.0</v>
      </c>
      <c r="NK146" s="13">
        <f>IF(NB146=1,$NB$35,$NB$36)</f>
        <v>0</v>
      </c>
      <c r="NL146" s="13">
        <f>OCC_DAYS*$NB$41*R_NF_2023-ND146*MCD_SHARE_FREED*R_WAIT_2023</f>
        <v>37367.159242427646</v>
      </c>
      <c r="NM146">
        <f>IF($A146&lt;=$NB$45,1,0)</f>
        <v>1</v>
      </c>
      <c r="OB146">
        <f>IF($OB$31&lt;=$OB$32,IF($A146&lt;=$OB$7,1,2),IF($A146&lt;=RUNG_BEDS_2,2,1))</f>
        <v>1</v>
      </c>
      <c r="OC146" s="5">
        <f>MIN(1,MAX(0,$OB$26-($A146-1)))</f>
        <v>1</v>
      </c>
      <c r="OD146" s="5">
        <f>$OB$25*(OC146+(1-OC146)*$OB$16)</f>
        <v>252.05322714681438</v>
      </c>
      <c r="OE146" s="13">
        <f>OD146*($OB$6+ACUTE_MARGIN)</f>
        <v>254573.7594182825</v>
      </c>
      <c r="OF146" s="13">
        <f>IF(OB146=1,$OB$31,$OB$32)</f>
        <v>152394.16214437486</v>
      </c>
      <c r="OG146" s="13">
        <f>OE146-OF146</f>
        <v>102179.59727390765</v>
      </c>
      <c r="OH146" s="13">
        <f>OH145+OG146</f>
        <v>6437314.628256181</v>
      </c>
      <c r="OI146">
        <f>IF(OH146=MAX($OH$83:$OH$483),$A146,0)</f>
        <v>0</v>
      </c>
      <c r="OJ146">
        <f>IF(OE146&lt;OF146,$A146,B_MAX+1)</f>
        <v>401.0</v>
      </c>
      <c r="OK146" s="13">
        <f>IF(OB146=1,$OB$35,$OB$36)</f>
        <v>0</v>
      </c>
      <c r="OL146" s="13">
        <f>OCC_DAYS*$OB$41*R_NF_2023-OD146*MCD_SHARE_FREED*R_WAIT_2023</f>
        <v>37367.159242427646</v>
      </c>
      <c r="OM146">
        <f>IF($A146&lt;=$OB$45,1,0)</f>
        <v>1</v>
      </c>
    </row>
    <row r="147">
      <c r="A147" t="n">
        <v>64</v>
      </c>
      <c r="B147">
        <f>IF($B$31&lt;=$B$32,IF($A147&lt;=$B$7,1,2),IF($A147&lt;=RUNG_BEDS_2,2,1))</f>
        <v>1</v>
      </c>
      <c r="C147" s="5">
        <f>MIN(1,MAX(0,$B$26-($A147-1)))</f>
        <v>1</v>
      </c>
      <c r="D147" s="5">
        <f>$B$25*(C147+(1-C147)*$B$16)</f>
        <v>252.05322714681438</v>
      </c>
      <c r="E147" s="13">
        <f>D147*($B$6+ACUTE_MARGIN)</f>
        <v>254573.7594182825</v>
      </c>
      <c r="F147" s="13">
        <f>IF(B147=1,$B$31,$B$32)</f>
        <v>152394.16214437486</v>
      </c>
      <c r="G147" s="13">
        <f>E147-F147</f>
        <v>102179.59727390765</v>
      </c>
      <c r="H147" s="13">
        <f>H146+G147</f>
        <v>6539494.225530089</v>
      </c>
      <c r="I147">
        <f>IF(H147=MAX($H$83:$H$483),$A147,0)</f>
        <v>0</v>
      </c>
      <c r="J147">
        <f>IF(E147&lt;F147,$A147,B_MAX+1)</f>
        <v>401.0</v>
      </c>
      <c r="K147" s="13">
        <f>IF(B147=1,$B$35,$B$36)</f>
        <v>0</v>
      </c>
      <c r="L147" s="13">
        <f>OCC_DAYS*$B$41*R_NF_2023-D147*MCD_SHARE_FREED*R_WAIT_2023</f>
        <v>37367.159242427646</v>
      </c>
      <c r="M147">
        <f>IF($A147&lt;=$B$45,1,0)</f>
        <v>1</v>
      </c>
      <c r="AB147">
        <f>IF($AB$31&lt;=$AB$32,IF($A147&lt;=$AB$7,1,2),IF($A147&lt;=RUNG_BEDS_2,2,1))</f>
        <v>1</v>
      </c>
      <c r="AC147" s="5">
        <f>MIN(1,MAX(0,$AB$26-($A147-1)))</f>
        <v>1</v>
      </c>
      <c r="AD147" s="5">
        <f>$AB$25*(AC147+(1-AC147)*$AB$16)</f>
        <v>252.05322714681438</v>
      </c>
      <c r="AE147" s="13">
        <f>AD147*($AB$6+ACUTE_MARGIN)</f>
        <v>138629.2749307479</v>
      </c>
      <c r="AF147" s="13">
        <f>IF(AB147=1,$AB$31,$AB$32)</f>
        <v>152394.16214437486</v>
      </c>
      <c r="AG147" s="13">
        <f>AE147-AF147</f>
        <v>-13764.887213626964</v>
      </c>
      <c r="AH147" s="13">
        <f>AH146+AG147</f>
        <v>-880952.781672127</v>
      </c>
      <c r="AI147">
        <f>IF(AH147=MAX($AH$83:$AH$483),$A147,0)</f>
        <v>0</v>
      </c>
      <c r="AJ147">
        <f>IF(AE147&lt;AF147,$A147,B_MAX+1)</f>
        <v>64</v>
      </c>
      <c r="AK147" s="13">
        <f>IF(AB147=1,$AB$35,$AB$36)</f>
        <v>0</v>
      </c>
      <c r="AL147" s="13">
        <f>OCC_DAYS*$AB$41*R_NF_2023-AD147*MCD_SHARE_FREED*R_WAIT_2023</f>
        <v>37367.159242427646</v>
      </c>
      <c r="AM147">
        <f>IF($A147&lt;=$AB$45,1,0)</f>
        <v>0</v>
      </c>
      <c r="BB147">
        <f>IF($BB$31&lt;=$BB$32,IF($A147&lt;=$BB$7,1,2),IF($A147&lt;=RUNG_BEDS_2,2,1))</f>
        <v>1</v>
      </c>
      <c r="BC147" s="5">
        <f>MIN(1,MAX(0,$BB$26-($A147-1)))</f>
        <v>1</v>
      </c>
      <c r="BD147" s="5">
        <f>$BB$25*(BC147+(1-BC147)*$BB$16)</f>
        <v>252.05322714681438</v>
      </c>
      <c r="BE147" s="13">
        <f>BD147*($BB$6+ACUTE_MARGIN)</f>
        <v>370518.24390581716</v>
      </c>
      <c r="BF147" s="13">
        <f>IF(BB147=1,$BB$31,$BB$32)</f>
        <v>152394.16214437486</v>
      </c>
      <c r="BG147" s="13">
        <f>BE147-BF147</f>
        <v>218124.0817614423</v>
      </c>
      <c r="BH147" s="13">
        <f>BH146+BG147</f>
        <v>13959941.232732298</v>
      </c>
      <c r="BI147">
        <f>IF(BH147=MAX($BH$83:$BH$483),$A147,0)</f>
        <v>0</v>
      </c>
      <c r="BJ147">
        <f>IF(BE147&lt;BF147,$A147,B_MAX+1)</f>
        <v>401.0</v>
      </c>
      <c r="BK147" s="13">
        <f>IF(BB147=1,$BB$35,$BB$36)</f>
        <v>0</v>
      </c>
      <c r="BL147" s="13">
        <f>OCC_DAYS*$BB$41*R_NF_2023-BD147*MCD_SHARE_FREED*R_WAIT_2023</f>
        <v>37367.159242427646</v>
      </c>
      <c r="BM147">
        <f>IF($A147&lt;=$BB$45,1,0)</f>
        <v>1</v>
      </c>
      <c r="CB147">
        <f>IF($CB$31&lt;=$CB$32,IF($A147&lt;=$CB$7,1,2),IF($A147&lt;=RUNG_BEDS_2,2,1))</f>
        <v>2</v>
      </c>
      <c r="CC147" s="5">
        <f>MIN(1,MAX(0,$CB$26-($A147-1)))</f>
        <v>1</v>
      </c>
      <c r="CD147" s="5">
        <f>$CB$25*(CC147+(1-CC147)*$CB$16)</f>
        <v>252.05322714681438</v>
      </c>
      <c r="CE147" s="13">
        <f>CD147*($CB$6+ACUTE_MARGIN)</f>
        <v>254573.7594182825</v>
      </c>
      <c r="CF147" s="13">
        <f>IF(CB147=1,$CB$31,$CB$32)</f>
        <v>160718.36940738867</v>
      </c>
      <c r="CG147" s="13">
        <f>CE147-CF147</f>
        <v>93855.39001089384</v>
      </c>
      <c r="CH147" s="13">
        <f>CH146+CG147</f>
        <v>6006744.960697213</v>
      </c>
      <c r="CI147">
        <f>IF(CH147=MAX($CH$83:$CH$483),$A147,0)</f>
        <v>0</v>
      </c>
      <c r="CJ147">
        <f>IF(CE147&lt;CF147,$A147,B_MAX+1)</f>
        <v>401.0</v>
      </c>
      <c r="CK147" s="13">
        <f>IF(CB147=1,$CB$35,$CB$36)</f>
        <v>1560.1194073886782</v>
      </c>
      <c r="CL147" s="13">
        <f>OCC_DAYS*$CB$41*R_NF_2023-CD147*MCD_SHARE_FREED*R_WAIT_2023</f>
        <v>37367.159242427646</v>
      </c>
      <c r="CM147">
        <f>IF($A147&lt;=$CB$45,1,0)</f>
        <v>1</v>
      </c>
      <c r="DB147">
        <f>IF($DB$31&lt;=$DB$32,IF($A147&lt;=$DB$7,1,2),IF($A147&lt;=RUNG_BEDS_2,2,1))</f>
        <v>1</v>
      </c>
      <c r="DC147" s="5">
        <f>MIN(1,MAX(0,$DB$26-($A147-1)))</f>
        <v>1</v>
      </c>
      <c r="DD147" s="5">
        <f>$DB$25*(DC147+(1-DC147)*$DB$16)</f>
        <v>252.05322714681438</v>
      </c>
      <c r="DE147" s="13">
        <f>DD147*($DB$6+ACUTE_MARGIN)</f>
        <v>254573.7594182825</v>
      </c>
      <c r="DF147" s="13">
        <f>IF(DB147=1,$DB$31,$DB$32)</f>
        <v>152394.16214437486</v>
      </c>
      <c r="DG147" s="13">
        <f>DE147-DF147</f>
        <v>102179.59727390765</v>
      </c>
      <c r="DH147" s="13">
        <f>DH146+DG147</f>
        <v>6539494.225530089</v>
      </c>
      <c r="DI147">
        <f>IF(DH147=MAX($DH$83:$DH$483),$A147,0)</f>
        <v>0</v>
      </c>
      <c r="DJ147">
        <f>IF(DE147&lt;DF147,$A147,B_MAX+1)</f>
        <v>401.0</v>
      </c>
      <c r="DK147" s="13">
        <f>IF(DB147=1,$DB$35,$DB$36)</f>
        <v>0</v>
      </c>
      <c r="DL147" s="13">
        <f>OCC_DAYS*$DB$41*R_NF_2023-DD147*MCD_SHARE_FREED*R_WAIT_2023</f>
        <v>37367.159242427646</v>
      </c>
      <c r="DM147">
        <f>IF($A147&lt;=$DB$45,1,0)</f>
        <v>1</v>
      </c>
      <c r="EB147">
        <f>IF($EB$31&lt;=$EB$32,IF($A147&lt;=$EB$7,1,2),IF($A147&lt;=RUNG_BEDS_2,2,1))</f>
        <v>1</v>
      </c>
      <c r="EC147" s="5">
        <f>MIN(1,MAX(0,$EB$26-($A147-1)))</f>
        <v>1</v>
      </c>
      <c r="ED147" s="5">
        <f>$EB$25*(EC147+(1-EC147)*$EB$16)</f>
        <v>252.05322714681438</v>
      </c>
      <c r="EE147" s="13">
        <f>ED147*($EB$6+ACUTE_MARGIN)</f>
        <v>254573.7594182825</v>
      </c>
      <c r="EF147" s="13">
        <f>IF(EB147=1,$EB$31,$EB$32)</f>
        <v>152394.16214437486</v>
      </c>
      <c r="EG147" s="13">
        <f>EE147-EF147</f>
        <v>102179.59727390765</v>
      </c>
      <c r="EH147" s="13">
        <f>EH146+EG147</f>
        <v>6539494.225530089</v>
      </c>
      <c r="EI147">
        <f>IF(EH147=MAX($EH$83:$EH$483),$A147,0)</f>
        <v>0</v>
      </c>
      <c r="EJ147">
        <f>IF(EE147&lt;EF147,$A147,B_MAX+1)</f>
        <v>401.0</v>
      </c>
      <c r="EK147" s="13">
        <f>IF(EB147=1,$EB$35,$EB$36)</f>
        <v>0</v>
      </c>
      <c r="EL147" s="13">
        <f>OCC_DAYS*$EB$41*R_NF_2023-ED147*MCD_SHARE_FREED*R_WAIT_2023</f>
        <v>-63953.16263896705</v>
      </c>
      <c r="EM147">
        <f>IF($A147&lt;=$EB$45,1,0)</f>
        <v>1</v>
      </c>
      <c r="FB147">
        <f>IF($FB$31&lt;=$FB$32,IF($A147&lt;=$FB$7,1,2),IF($A147&lt;=RUNG_BEDS_2,2,1))</f>
        <v>1</v>
      </c>
      <c r="FC147" s="5">
        <f>MIN(1,MAX(0,$FB$26-($A147-1)))</f>
        <v>1</v>
      </c>
      <c r="FD147" s="5">
        <f>$FB$25*(FC147+(1-FC147)*$FB$16)</f>
        <v>252.05322714681438</v>
      </c>
      <c r="FE147" s="13">
        <f>FD147*($FB$6+ACUTE_MARGIN)</f>
        <v>254573.7594182825</v>
      </c>
      <c r="FF147" s="13">
        <f>IF(FB147=1,$FB$31,$FB$32)</f>
        <v>156636.04979437485</v>
      </c>
      <c r="FG147" s="13">
        <f>FE147-FF147</f>
        <v>97937.70962390766</v>
      </c>
      <c r="FH147" s="13">
        <f>FH146+FG147</f>
        <v>6268013.415930091</v>
      </c>
      <c r="FI147">
        <f>IF(FH147=MAX($FH$83:$FH$483),$A147,0)</f>
        <v>0</v>
      </c>
      <c r="FJ147">
        <f>IF(FE147&lt;FF147,$A147,B_MAX+1)</f>
        <v>401.0</v>
      </c>
      <c r="FK147" s="13">
        <f>IF(FB147=1,$FB$35,$FB$36)</f>
        <v>0</v>
      </c>
      <c r="FL147" s="13">
        <f>OCC_DAYS*$FB$41*R_NF_2023-FD147*MCD_SHARE_FREED*R_WAIT_2023</f>
        <v>37367.159242427646</v>
      </c>
      <c r="FM147">
        <f>IF($A147&lt;=$FB$45,1,0)</f>
        <v>1</v>
      </c>
      <c r="GB147">
        <f>IF($GB$31&lt;=$GB$32,IF($A147&lt;=$GB$7,1,2),IF($A147&lt;=RUNG_BEDS_2,2,1))</f>
        <v>1</v>
      </c>
      <c r="GC147" s="5">
        <f>MIN(1,MAX(0,$GB$26-($A147-1)))</f>
        <v>1</v>
      </c>
      <c r="GD147" s="5">
        <f>$GB$25*(GC147+(1-GC147)*$GB$16)</f>
        <v>252.05322714681438</v>
      </c>
      <c r="GE147" s="13">
        <f>GD147*($GB$6+ACUTE_MARGIN)</f>
        <v>254573.7594182825</v>
      </c>
      <c r="GF147" s="13">
        <f>IF(GB147=1,$GB$31,$GB$32)</f>
        <v>152394.16214437486</v>
      </c>
      <c r="GG147" s="13">
        <f>GE147-GF147</f>
        <v>102179.59727390765</v>
      </c>
      <c r="GH147" s="13">
        <f>GH146+GG147</f>
        <v>6539494.225530089</v>
      </c>
      <c r="GI147">
        <f>IF(GH147=MAX($GH$83:$GH$483),$A147,0)</f>
        <v>0</v>
      </c>
      <c r="GJ147">
        <f>IF(GE147&lt;GF147,$A147,B_MAX+1)</f>
        <v>401.0</v>
      </c>
      <c r="GK147" s="13">
        <f>IF(GB147=1,$GB$35,$GB$36)</f>
        <v>0</v>
      </c>
      <c r="GL147" s="13">
        <f>OCC_DAYS*$GB$41*R_NF_2023-GD147*MCD_SHARE_FREED*R_WAIT_2023</f>
        <v>37367.159242427646</v>
      </c>
      <c r="GM147">
        <f>IF($A147&lt;=$GB$45,1,0)</f>
        <v>1</v>
      </c>
      <c r="HB147">
        <f>IF($HB$31&lt;=$HB$32,IF($A147&lt;=$HB$7,1,2),IF($A147&lt;=RUNG_BEDS_2,2,1))</f>
        <v>1</v>
      </c>
      <c r="HC147" s="5">
        <f>MIN(1,MAX(0,$HB$26-($A147-1)))</f>
        <v>1</v>
      </c>
      <c r="HD147" s="5">
        <f>$HB$25*(HC147+(1-HC147)*$HB$16)</f>
        <v>252.05322714681438</v>
      </c>
      <c r="HE147" s="13">
        <f>HD147*($HB$6+ACUTE_MARGIN)</f>
        <v>254573.7594182825</v>
      </c>
      <c r="HF147" s="13">
        <f>IF(HB147=1,$HB$31,$HB$32)</f>
        <v>152456.2970814058</v>
      </c>
      <c r="HG147" s="13">
        <f>HE147-HF147</f>
        <v>102117.46233687672</v>
      </c>
      <c r="HH147" s="13">
        <f>HH146+HG147</f>
        <v>6535517.589560106</v>
      </c>
      <c r="HI147">
        <f>IF(HH147=MAX($HH$83:$HH$483),$A147,0)</f>
        <v>0</v>
      </c>
      <c r="HJ147">
        <f>IF(HE147&lt;HF147,$A147,B_MAX+1)</f>
        <v>401.0</v>
      </c>
      <c r="HK147" s="13">
        <f>IF(HB147=1,$HB$35,$HB$36)</f>
        <v>0</v>
      </c>
      <c r="HL147" s="13">
        <f>OCC_DAYS*$HB$41*R_NF_2023-HD147*MCD_SHARE_FREED*R_WAIT_2023</f>
        <v>37367.159242427646</v>
      </c>
      <c r="HM147">
        <f>IF($A147&lt;=$HB$45,1,0)</f>
        <v>1</v>
      </c>
      <c r="IB147">
        <f>IF($IB$31&lt;=$IB$32,IF($A147&lt;=$IB$7,1,2),IF($A147&lt;=RUNG_BEDS_2,2,1))</f>
        <v>1</v>
      </c>
      <c r="IC147" s="5">
        <f>MIN(1,MAX(0,$IB$26-($A147-1)))</f>
        <v>1</v>
      </c>
      <c r="ID147" s="5">
        <f>$IB$25*(IC147+(1-IC147)*$IB$16)</f>
        <v>252.05322714681438</v>
      </c>
      <c r="IE147" s="13">
        <f>ID147*($IB$6+ACUTE_MARGIN)</f>
        <v>254573.7594182825</v>
      </c>
      <c r="IF147" s="13">
        <f>IF(IB147=1,$IB$31,$IB$32)</f>
        <v>152734.9994534971</v>
      </c>
      <c r="IG147" s="13">
        <f>IE147-IF147</f>
        <v>101838.75996478542</v>
      </c>
      <c r="IH147" s="13">
        <f>IH146+IG147</f>
        <v>6517680.637746273</v>
      </c>
      <c r="II147">
        <f>IF(IH147=MAX($IH$83:$IH$483),$A147,0)</f>
        <v>0</v>
      </c>
      <c r="IJ147">
        <f>IF(IE147&lt;IF147,$A147,B_MAX+1)</f>
        <v>401.0</v>
      </c>
      <c r="IK147" s="13">
        <f>IF(IB147=1,$IB$35,$IB$36)</f>
        <v>0</v>
      </c>
      <c r="IL147" s="13">
        <f>OCC_DAYS*$IB$41*R_NF_2023-ID147*MCD_SHARE_FREED*R_WAIT_2023</f>
        <v>37367.159242427646</v>
      </c>
      <c r="IM147">
        <f>IF($A147&lt;=$IB$45,1,0)</f>
        <v>1</v>
      </c>
      <c r="JB147">
        <f>IF($JB$31&lt;=$JB$32,IF($A147&lt;=$JB$7,1,2),IF($A147&lt;=RUNG_BEDS_2,2,1))</f>
        <v>1</v>
      </c>
      <c r="JC147" s="5">
        <f>MIN(1,MAX(0,$JB$26-($A147-1)))</f>
        <v>1</v>
      </c>
      <c r="JD147" s="5">
        <f>$JB$25*(JC147+(1-JC147)*$JB$16)</f>
        <v>252.05322714681438</v>
      </c>
      <c r="JE147" s="13">
        <f>JD147*($JB$6+ACUTE_MARGIN)</f>
        <v>254573.7594182825</v>
      </c>
      <c r="JF147" s="13">
        <f>IF(JB147=1,$JB$31,$JB$32)</f>
        <v>152394.16214437486</v>
      </c>
      <c r="JG147" s="13">
        <f>JE147-JF147</f>
        <v>102179.59727390765</v>
      </c>
      <c r="JH147" s="13">
        <f>JH146+JG147</f>
        <v>6539494.225530089</v>
      </c>
      <c r="JI147">
        <f>IF(JH147=MAX($JH$83:$JH$483),$A147,0)</f>
        <v>0</v>
      </c>
      <c r="JJ147">
        <f>IF(JE147&lt;JF147,$A147,B_MAX+1)</f>
        <v>401.0</v>
      </c>
      <c r="JK147" s="13">
        <f>IF(JB147=1,$JB$35,$JB$36)</f>
        <v>0</v>
      </c>
      <c r="JL147" s="13">
        <f>OCC_DAYS*$JB$41*R_NF_2023-JD147*MCD_SHARE_FREED*R_WAIT_2023</f>
        <v>37367.159242427646</v>
      </c>
      <c r="JM147">
        <f>IF($A147&lt;=$JB$45,1,0)</f>
        <v>1</v>
      </c>
      <c r="KB147">
        <f>IF($KB$31&lt;=$KB$32,IF($A147&lt;=$KB$7,1,2),IF($A147&lt;=RUNG_BEDS_2,2,1))</f>
        <v>1</v>
      </c>
      <c r="KC147" s="5">
        <f>MIN(1,MAX(0,$KB$26-($A147-1)))</f>
        <v>1</v>
      </c>
      <c r="KD147" s="5">
        <f>$KB$25*(KC147+(1-KC147)*$KB$16)</f>
        <v>126.02661357340719</v>
      </c>
      <c r="KE147" s="13">
        <f>KD147*($KB$6+ACUTE_MARGIN)</f>
        <v>127286.87970914126</v>
      </c>
      <c r="KF147" s="13">
        <f>IF(KB147=1,$KB$31,$KB$32)</f>
        <v>152394.16214437486</v>
      </c>
      <c r="KG147" s="13">
        <f>KE147-KF147</f>
        <v>-25107.282435233603</v>
      </c>
      <c r="KH147" s="13">
        <f>KH146+KG147</f>
        <v>-1606866.0758549524</v>
      </c>
      <c r="KI147">
        <f>IF(KH147=MAX($KH$83:$KH$483),$A147,0)</f>
        <v>0</v>
      </c>
      <c r="KJ147">
        <f>IF(KE147&lt;KF147,$A147,B_MAX+1)</f>
        <v>64</v>
      </c>
      <c r="KK147" s="13">
        <f>IF(KB147=1,$KB$35,$KB$36)</f>
        <v>0</v>
      </c>
      <c r="KL147" s="13">
        <f>OCC_DAYS*$KB$41*R_NF_2023-KD147*MCD_SHARE_FREED*R_WAIT_2023</f>
        <v>94673.82103225985</v>
      </c>
      <c r="KM147">
        <f>IF($A147&lt;=$KB$45,1,0)</f>
        <v>0</v>
      </c>
      <c r="LB147">
        <f>IF($LB$31&lt;=$LB$32,IF($A147&lt;=$LB$7,1,2),IF($A147&lt;=RUNG_BEDS_2,2,1))</f>
        <v>1</v>
      </c>
      <c r="LC147" s="5">
        <f>MIN(1,MAX(0,$LB$26-($A147-1)))</f>
        <v>1</v>
      </c>
      <c r="LD147" s="5">
        <f>$LB$25*(LC147+(1-LC147)*$LB$16)</f>
        <v>84.01774238227146</v>
      </c>
      <c r="LE147" s="13">
        <f>LD147*($LB$6+ACUTE_MARGIN)</f>
        <v>84857.91980609419</v>
      </c>
      <c r="LF147" s="13">
        <f>IF(LB147=1,$LB$31,$LB$32)</f>
        <v>152394.16214437486</v>
      </c>
      <c r="LG147" s="13">
        <f>LE147-LF147</f>
        <v>-67536.24233828067</v>
      </c>
      <c r="LH147" s="13">
        <f>LH146+LG147</f>
        <v>-4322319.509649963</v>
      </c>
      <c r="LI147">
        <f>IF(LH147=MAX($LH$83:$LH$483),$A147,0)</f>
        <v>0</v>
      </c>
      <c r="LJ147">
        <f>IF(LE147&lt;LF147,$A147,B_MAX+1)</f>
        <v>64</v>
      </c>
      <c r="LK147" s="13">
        <f>IF(LB147=1,$LB$35,$LB$36)</f>
        <v>0</v>
      </c>
      <c r="LL147" s="13">
        <f>OCC_DAYS*$LB$41*R_NF_2023-LD147*MCD_SHARE_FREED*R_WAIT_2023</f>
        <v>113776.04162887059</v>
      </c>
      <c r="LM147">
        <f>IF($A147&lt;=$LB$45,1,0)</f>
        <v>0</v>
      </c>
      <c r="MB147">
        <f>IF($MB$31&lt;=$MB$32,IF($A147&lt;=$MB$7,1,2),IF($A147&lt;=RUNG_BEDS_2,2,1))</f>
        <v>1</v>
      </c>
      <c r="MC147" s="5">
        <f>MIN(1,MAX(0,$MB$26-($A147-1)))</f>
        <v>1</v>
      </c>
      <c r="MD147" s="5">
        <f>$MB$25*(MC147+(1-MC147)*$MB$16)</f>
        <v>213.44610951008647</v>
      </c>
      <c r="ME147" s="13">
        <f>MD147*($MB$6+ACUTE_MARGIN)</f>
        <v>215580.57060518733</v>
      </c>
      <c r="MF147" s="13">
        <f>IF(MB147=1,$MB$31,$MB$32)</f>
        <v>152394.16214437486</v>
      </c>
      <c r="MG147" s="13">
        <f>ME147-MF147</f>
        <v>63186.40846081247</v>
      </c>
      <c r="MH147" s="13">
        <f>MH146+MG147</f>
        <v>4043930.1414920017</v>
      </c>
      <c r="MI147">
        <f>IF(MH147=MAX($MH$83:$MH$483),$A147,0)</f>
        <v>0</v>
      </c>
      <c r="MJ147">
        <f>IF(ME147&lt;MF147,$A147,B_MAX+1)</f>
        <v>401.0</v>
      </c>
      <c r="MK147" s="13">
        <f>IF(MB147=1,$MB$35,$MB$36)</f>
        <v>0</v>
      </c>
      <c r="ML147" s="13">
        <f>OCC_DAYS*$MB$41*R_NF_2023-MD147*MCD_SHARE_FREED*R_WAIT_2023</f>
        <v>54922.538779778624</v>
      </c>
      <c r="MM147">
        <f>IF($A147&lt;=$MB$45,1,0)</f>
        <v>1</v>
      </c>
      <c r="NB147">
        <f>IF($NB$31&lt;=$NB$32,IF($A147&lt;=$NB$7,1,2),IF($A147&lt;=RUNG_BEDS_2,2,1))</f>
        <v>1</v>
      </c>
      <c r="NC147" s="5">
        <f>MIN(1,MAX(0,$NB$26-($A147-1)))</f>
        <v>1</v>
      </c>
      <c r="ND147" s="5">
        <f>$NB$25*(NC147+(1-NC147)*$NB$16)</f>
        <v>252.05322714681438</v>
      </c>
      <c r="NE147" s="13">
        <f>ND147*($NB$6+ACUTE_MARGIN)</f>
        <v>254573.7594182825</v>
      </c>
      <c r="NF147" s="13">
        <f>IF(NB147=1,$NB$31,$NB$32)</f>
        <v>152394.16214437486</v>
      </c>
      <c r="NG147" s="13">
        <f>NE147-NF147</f>
        <v>102179.59727390765</v>
      </c>
      <c r="NH147" s="13">
        <f>NH146+NG147</f>
        <v>6539494.225530089</v>
      </c>
      <c r="NI147">
        <f>IF(NH147=MAX($NH$83:$NH$483),$A147,0)</f>
        <v>0</v>
      </c>
      <c r="NJ147">
        <f>IF(NE147&lt;NF147,$A147,B_MAX+1)</f>
        <v>401.0</v>
      </c>
      <c r="NK147" s="13">
        <f>IF(NB147=1,$NB$35,$NB$36)</f>
        <v>0</v>
      </c>
      <c r="NL147" s="13">
        <f>OCC_DAYS*$NB$41*R_NF_2023-ND147*MCD_SHARE_FREED*R_WAIT_2023</f>
        <v>37367.159242427646</v>
      </c>
      <c r="NM147">
        <f>IF($A147&lt;=$NB$45,1,0)</f>
        <v>1</v>
      </c>
      <c r="OB147">
        <f>IF($OB$31&lt;=$OB$32,IF($A147&lt;=$OB$7,1,2),IF($A147&lt;=RUNG_BEDS_2,2,1))</f>
        <v>1</v>
      </c>
      <c r="OC147" s="5">
        <f>MIN(1,MAX(0,$OB$26-($A147-1)))</f>
        <v>1</v>
      </c>
      <c r="OD147" s="5">
        <f>$OB$25*(OC147+(1-OC147)*$OB$16)</f>
        <v>252.05322714681438</v>
      </c>
      <c r="OE147" s="13">
        <f>OD147*($OB$6+ACUTE_MARGIN)</f>
        <v>254573.7594182825</v>
      </c>
      <c r="OF147" s="13">
        <f>IF(OB147=1,$OB$31,$OB$32)</f>
        <v>152394.16214437486</v>
      </c>
      <c r="OG147" s="13">
        <f>OE147-OF147</f>
        <v>102179.59727390765</v>
      </c>
      <c r="OH147" s="13">
        <f>OH146+OG147</f>
        <v>6539494.225530089</v>
      </c>
      <c r="OI147">
        <f>IF(OH147=MAX($OH$83:$OH$483),$A147,0)</f>
        <v>0</v>
      </c>
      <c r="OJ147">
        <f>IF(OE147&lt;OF147,$A147,B_MAX+1)</f>
        <v>401.0</v>
      </c>
      <c r="OK147" s="13">
        <f>IF(OB147=1,$OB$35,$OB$36)</f>
        <v>0</v>
      </c>
      <c r="OL147" s="13">
        <f>OCC_DAYS*$OB$41*R_NF_2023-OD147*MCD_SHARE_FREED*R_WAIT_2023</f>
        <v>37367.159242427646</v>
      </c>
      <c r="OM147">
        <f>IF($A147&lt;=$OB$45,1,0)</f>
        <v>1</v>
      </c>
    </row>
    <row r="148">
      <c r="A148" t="n">
        <v>65</v>
      </c>
      <c r="B148">
        <f>IF($B$31&lt;=$B$32,IF($A148&lt;=$B$7,1,2),IF($A148&lt;=RUNG_BEDS_2,2,1))</f>
        <v>1</v>
      </c>
      <c r="C148" s="5">
        <f>MIN(1,MAX(0,$B$26-($A148-1)))</f>
        <v>1</v>
      </c>
      <c r="D148" s="5">
        <f>$B$25*(C148+(1-C148)*$B$16)</f>
        <v>252.05322714681438</v>
      </c>
      <c r="E148" s="13">
        <f>D148*($B$6+ACUTE_MARGIN)</f>
        <v>254573.7594182825</v>
      </c>
      <c r="F148" s="13">
        <f>IF(B148=1,$B$31,$B$32)</f>
        <v>152394.16214437486</v>
      </c>
      <c r="G148" s="13">
        <f>E148-F148</f>
        <v>102179.59727390765</v>
      </c>
      <c r="H148" s="13">
        <f>H147+G148</f>
        <v>6641673.8228039965</v>
      </c>
      <c r="I148">
        <f>IF(H148=MAX($H$83:$H$483),$A148,0)</f>
        <v>0</v>
      </c>
      <c r="J148">
        <f>IF(E148&lt;F148,$A148,B_MAX+1)</f>
        <v>401.0</v>
      </c>
      <c r="K148" s="13">
        <f>IF(B148=1,$B$35,$B$36)</f>
        <v>0</v>
      </c>
      <c r="L148" s="13">
        <f>OCC_DAYS*$B$41*R_NF_2023-D148*MCD_SHARE_FREED*R_WAIT_2023</f>
        <v>37367.159242427646</v>
      </c>
      <c r="M148">
        <f>IF($A148&lt;=$B$45,1,0)</f>
        <v>1</v>
      </c>
      <c r="AB148">
        <f>IF($AB$31&lt;=$AB$32,IF($A148&lt;=$AB$7,1,2),IF($A148&lt;=RUNG_BEDS_2,2,1))</f>
        <v>1</v>
      </c>
      <c r="AC148" s="5">
        <f>MIN(1,MAX(0,$AB$26-($A148-1)))</f>
        <v>1</v>
      </c>
      <c r="AD148" s="5">
        <f>$AB$25*(AC148+(1-AC148)*$AB$16)</f>
        <v>252.05322714681438</v>
      </c>
      <c r="AE148" s="13">
        <f>AD148*($AB$6+ACUTE_MARGIN)</f>
        <v>138629.2749307479</v>
      </c>
      <c r="AF148" s="13">
        <f>IF(AB148=1,$AB$31,$AB$32)</f>
        <v>152394.16214437486</v>
      </c>
      <c r="AG148" s="13">
        <f>AE148-AF148</f>
        <v>-13764.887213626964</v>
      </c>
      <c r="AH148" s="13">
        <f>AH147+AG148</f>
        <v>-894717.668885754</v>
      </c>
      <c r="AI148">
        <f>IF(AH148=MAX($AH$83:$AH$483),$A148,0)</f>
        <v>0</v>
      </c>
      <c r="AJ148">
        <f>IF(AE148&lt;AF148,$A148,B_MAX+1)</f>
        <v>65</v>
      </c>
      <c r="AK148" s="13">
        <f>IF(AB148=1,$AB$35,$AB$36)</f>
        <v>0</v>
      </c>
      <c r="AL148" s="13">
        <f>OCC_DAYS*$AB$41*R_NF_2023-AD148*MCD_SHARE_FREED*R_WAIT_2023</f>
        <v>37367.159242427646</v>
      </c>
      <c r="AM148">
        <f>IF($A148&lt;=$AB$45,1,0)</f>
        <v>0</v>
      </c>
      <c r="BB148">
        <f>IF($BB$31&lt;=$BB$32,IF($A148&lt;=$BB$7,1,2),IF($A148&lt;=RUNG_BEDS_2,2,1))</f>
        <v>1</v>
      </c>
      <c r="BC148" s="5">
        <f>MIN(1,MAX(0,$BB$26-($A148-1)))</f>
        <v>1</v>
      </c>
      <c r="BD148" s="5">
        <f>$BB$25*(BC148+(1-BC148)*$BB$16)</f>
        <v>252.05322714681438</v>
      </c>
      <c r="BE148" s="13">
        <f>BD148*($BB$6+ACUTE_MARGIN)</f>
        <v>370518.24390581716</v>
      </c>
      <c r="BF148" s="13">
        <f>IF(BB148=1,$BB$31,$BB$32)</f>
        <v>152394.16214437486</v>
      </c>
      <c r="BG148" s="13">
        <f>BE148-BF148</f>
        <v>218124.0817614423</v>
      </c>
      <c r="BH148" s="13">
        <f>BH147+BG148</f>
        <v>14178065.31449374</v>
      </c>
      <c r="BI148">
        <f>IF(BH148=MAX($BH$83:$BH$483),$A148,0)</f>
        <v>0</v>
      </c>
      <c r="BJ148">
        <f>IF(BE148&lt;BF148,$A148,B_MAX+1)</f>
        <v>401.0</v>
      </c>
      <c r="BK148" s="13">
        <f>IF(BB148=1,$BB$35,$BB$36)</f>
        <v>0</v>
      </c>
      <c r="BL148" s="13">
        <f>OCC_DAYS*$BB$41*R_NF_2023-BD148*MCD_SHARE_FREED*R_WAIT_2023</f>
        <v>37367.159242427646</v>
      </c>
      <c r="BM148">
        <f>IF($A148&lt;=$BB$45,1,0)</f>
        <v>1</v>
      </c>
      <c r="CB148">
        <f>IF($CB$31&lt;=$CB$32,IF($A148&lt;=$CB$7,1,2),IF($A148&lt;=RUNG_BEDS_2,2,1))</f>
        <v>2</v>
      </c>
      <c r="CC148" s="5">
        <f>MIN(1,MAX(0,$CB$26-($A148-1)))</f>
        <v>1</v>
      </c>
      <c r="CD148" s="5">
        <f>$CB$25*(CC148+(1-CC148)*$CB$16)</f>
        <v>252.05322714681438</v>
      </c>
      <c r="CE148" s="13">
        <f>CD148*($CB$6+ACUTE_MARGIN)</f>
        <v>254573.7594182825</v>
      </c>
      <c r="CF148" s="13">
        <f>IF(CB148=1,$CB$31,$CB$32)</f>
        <v>160718.36940738867</v>
      </c>
      <c r="CG148" s="13">
        <f>CE148-CF148</f>
        <v>93855.39001089384</v>
      </c>
      <c r="CH148" s="13">
        <f>CH147+CG148</f>
        <v>6100600.350708107</v>
      </c>
      <c r="CI148">
        <f>IF(CH148=MAX($CH$83:$CH$483),$A148,0)</f>
        <v>0</v>
      </c>
      <c r="CJ148">
        <f>IF(CE148&lt;CF148,$A148,B_MAX+1)</f>
        <v>401.0</v>
      </c>
      <c r="CK148" s="13">
        <f>IF(CB148=1,$CB$35,$CB$36)</f>
        <v>1560.1194073886782</v>
      </c>
      <c r="CL148" s="13">
        <f>OCC_DAYS*$CB$41*R_NF_2023-CD148*MCD_SHARE_FREED*R_WAIT_2023</f>
        <v>37367.159242427646</v>
      </c>
      <c r="CM148">
        <f>IF($A148&lt;=$CB$45,1,0)</f>
        <v>1</v>
      </c>
      <c r="DB148">
        <f>IF($DB$31&lt;=$DB$32,IF($A148&lt;=$DB$7,1,2),IF($A148&lt;=RUNG_BEDS_2,2,1))</f>
        <v>1</v>
      </c>
      <c r="DC148" s="5">
        <f>MIN(1,MAX(0,$DB$26-($A148-1)))</f>
        <v>1</v>
      </c>
      <c r="DD148" s="5">
        <f>$DB$25*(DC148+(1-DC148)*$DB$16)</f>
        <v>252.05322714681438</v>
      </c>
      <c r="DE148" s="13">
        <f>DD148*($DB$6+ACUTE_MARGIN)</f>
        <v>254573.7594182825</v>
      </c>
      <c r="DF148" s="13">
        <f>IF(DB148=1,$DB$31,$DB$32)</f>
        <v>152394.16214437486</v>
      </c>
      <c r="DG148" s="13">
        <f>DE148-DF148</f>
        <v>102179.59727390765</v>
      </c>
      <c r="DH148" s="13">
        <f>DH147+DG148</f>
        <v>6641673.8228039965</v>
      </c>
      <c r="DI148">
        <f>IF(DH148=MAX($DH$83:$DH$483),$A148,0)</f>
        <v>0</v>
      </c>
      <c r="DJ148">
        <f>IF(DE148&lt;DF148,$A148,B_MAX+1)</f>
        <v>401.0</v>
      </c>
      <c r="DK148" s="13">
        <f>IF(DB148=1,$DB$35,$DB$36)</f>
        <v>0</v>
      </c>
      <c r="DL148" s="13">
        <f>OCC_DAYS*$DB$41*R_NF_2023-DD148*MCD_SHARE_FREED*R_WAIT_2023</f>
        <v>37367.159242427646</v>
      </c>
      <c r="DM148">
        <f>IF($A148&lt;=$DB$45,1,0)</f>
        <v>1</v>
      </c>
      <c r="EB148">
        <f>IF($EB$31&lt;=$EB$32,IF($A148&lt;=$EB$7,1,2),IF($A148&lt;=RUNG_BEDS_2,2,1))</f>
        <v>1</v>
      </c>
      <c r="EC148" s="5">
        <f>MIN(1,MAX(0,$EB$26-($A148-1)))</f>
        <v>1</v>
      </c>
      <c r="ED148" s="5">
        <f>$EB$25*(EC148+(1-EC148)*$EB$16)</f>
        <v>252.05322714681438</v>
      </c>
      <c r="EE148" s="13">
        <f>ED148*($EB$6+ACUTE_MARGIN)</f>
        <v>254573.7594182825</v>
      </c>
      <c r="EF148" s="13">
        <f>IF(EB148=1,$EB$31,$EB$32)</f>
        <v>152394.16214437486</v>
      </c>
      <c r="EG148" s="13">
        <f>EE148-EF148</f>
        <v>102179.59727390765</v>
      </c>
      <c r="EH148" s="13">
        <f>EH147+EG148</f>
        <v>6641673.8228039965</v>
      </c>
      <c r="EI148">
        <f>IF(EH148=MAX($EH$83:$EH$483),$A148,0)</f>
        <v>0</v>
      </c>
      <c r="EJ148">
        <f>IF(EE148&lt;EF148,$A148,B_MAX+1)</f>
        <v>401.0</v>
      </c>
      <c r="EK148" s="13">
        <f>IF(EB148=1,$EB$35,$EB$36)</f>
        <v>0</v>
      </c>
      <c r="EL148" s="13">
        <f>OCC_DAYS*$EB$41*R_NF_2023-ED148*MCD_SHARE_FREED*R_WAIT_2023</f>
        <v>-63953.16263896705</v>
      </c>
      <c r="EM148">
        <f>IF($A148&lt;=$EB$45,1,0)</f>
        <v>1</v>
      </c>
      <c r="FB148">
        <f>IF($FB$31&lt;=$FB$32,IF($A148&lt;=$FB$7,1,2),IF($A148&lt;=RUNG_BEDS_2,2,1))</f>
        <v>1</v>
      </c>
      <c r="FC148" s="5">
        <f>MIN(1,MAX(0,$FB$26-($A148-1)))</f>
        <v>1</v>
      </c>
      <c r="FD148" s="5">
        <f>$FB$25*(FC148+(1-FC148)*$FB$16)</f>
        <v>252.05322714681438</v>
      </c>
      <c r="FE148" s="13">
        <f>FD148*($FB$6+ACUTE_MARGIN)</f>
        <v>254573.7594182825</v>
      </c>
      <c r="FF148" s="13">
        <f>IF(FB148=1,$FB$31,$FB$32)</f>
        <v>156636.04979437485</v>
      </c>
      <c r="FG148" s="13">
        <f>FE148-FF148</f>
        <v>97937.70962390766</v>
      </c>
      <c r="FH148" s="13">
        <f>FH147+FG148</f>
        <v>6365951.125553999</v>
      </c>
      <c r="FI148">
        <f>IF(FH148=MAX($FH$83:$FH$483),$A148,0)</f>
        <v>0</v>
      </c>
      <c r="FJ148">
        <f>IF(FE148&lt;FF148,$A148,B_MAX+1)</f>
        <v>401.0</v>
      </c>
      <c r="FK148" s="13">
        <f>IF(FB148=1,$FB$35,$FB$36)</f>
        <v>0</v>
      </c>
      <c r="FL148" s="13">
        <f>OCC_DAYS*$FB$41*R_NF_2023-FD148*MCD_SHARE_FREED*R_WAIT_2023</f>
        <v>37367.159242427646</v>
      </c>
      <c r="FM148">
        <f>IF($A148&lt;=$FB$45,1,0)</f>
        <v>1</v>
      </c>
      <c r="GB148">
        <f>IF($GB$31&lt;=$GB$32,IF($A148&lt;=$GB$7,1,2),IF($A148&lt;=RUNG_BEDS_2,2,1))</f>
        <v>1</v>
      </c>
      <c r="GC148" s="5">
        <f>MIN(1,MAX(0,$GB$26-($A148-1)))</f>
        <v>1</v>
      </c>
      <c r="GD148" s="5">
        <f>$GB$25*(GC148+(1-GC148)*$GB$16)</f>
        <v>252.05322714681438</v>
      </c>
      <c r="GE148" s="13">
        <f>GD148*($GB$6+ACUTE_MARGIN)</f>
        <v>254573.7594182825</v>
      </c>
      <c r="GF148" s="13">
        <f>IF(GB148=1,$GB$31,$GB$32)</f>
        <v>152394.16214437486</v>
      </c>
      <c r="GG148" s="13">
        <f>GE148-GF148</f>
        <v>102179.59727390765</v>
      </c>
      <c r="GH148" s="13">
        <f>GH147+GG148</f>
        <v>6641673.8228039965</v>
      </c>
      <c r="GI148">
        <f>IF(GH148=MAX($GH$83:$GH$483),$A148,0)</f>
        <v>0</v>
      </c>
      <c r="GJ148">
        <f>IF(GE148&lt;GF148,$A148,B_MAX+1)</f>
        <v>401.0</v>
      </c>
      <c r="GK148" s="13">
        <f>IF(GB148=1,$GB$35,$GB$36)</f>
        <v>0</v>
      </c>
      <c r="GL148" s="13">
        <f>OCC_DAYS*$GB$41*R_NF_2023-GD148*MCD_SHARE_FREED*R_WAIT_2023</f>
        <v>37367.159242427646</v>
      </c>
      <c r="GM148">
        <f>IF($A148&lt;=$GB$45,1,0)</f>
        <v>1</v>
      </c>
      <c r="HB148">
        <f>IF($HB$31&lt;=$HB$32,IF($A148&lt;=$HB$7,1,2),IF($A148&lt;=RUNG_BEDS_2,2,1))</f>
        <v>1</v>
      </c>
      <c r="HC148" s="5">
        <f>MIN(1,MAX(0,$HB$26-($A148-1)))</f>
        <v>1</v>
      </c>
      <c r="HD148" s="5">
        <f>$HB$25*(HC148+(1-HC148)*$HB$16)</f>
        <v>252.05322714681438</v>
      </c>
      <c r="HE148" s="13">
        <f>HD148*($HB$6+ACUTE_MARGIN)</f>
        <v>254573.7594182825</v>
      </c>
      <c r="HF148" s="13">
        <f>IF(HB148=1,$HB$31,$HB$32)</f>
        <v>152456.2970814058</v>
      </c>
      <c r="HG148" s="13">
        <f>HE148-HF148</f>
        <v>102117.46233687672</v>
      </c>
      <c r="HH148" s="13">
        <f>HH147+HG148</f>
        <v>6637635.051896983</v>
      </c>
      <c r="HI148">
        <f>IF(HH148=MAX($HH$83:$HH$483),$A148,0)</f>
        <v>0</v>
      </c>
      <c r="HJ148">
        <f>IF(HE148&lt;HF148,$A148,B_MAX+1)</f>
        <v>401.0</v>
      </c>
      <c r="HK148" s="13">
        <f>IF(HB148=1,$HB$35,$HB$36)</f>
        <v>0</v>
      </c>
      <c r="HL148" s="13">
        <f>OCC_DAYS*$HB$41*R_NF_2023-HD148*MCD_SHARE_FREED*R_WAIT_2023</f>
        <v>37367.159242427646</v>
      </c>
      <c r="HM148">
        <f>IF($A148&lt;=$HB$45,1,0)</f>
        <v>1</v>
      </c>
      <c r="IB148">
        <f>IF($IB$31&lt;=$IB$32,IF($A148&lt;=$IB$7,1,2),IF($A148&lt;=RUNG_BEDS_2,2,1))</f>
        <v>1</v>
      </c>
      <c r="IC148" s="5">
        <f>MIN(1,MAX(0,$IB$26-($A148-1)))</f>
        <v>1</v>
      </c>
      <c r="ID148" s="5">
        <f>$IB$25*(IC148+(1-IC148)*$IB$16)</f>
        <v>252.05322714681438</v>
      </c>
      <c r="IE148" s="13">
        <f>ID148*($IB$6+ACUTE_MARGIN)</f>
        <v>254573.7594182825</v>
      </c>
      <c r="IF148" s="13">
        <f>IF(IB148=1,$IB$31,$IB$32)</f>
        <v>152734.9994534971</v>
      </c>
      <c r="IG148" s="13">
        <f>IE148-IF148</f>
        <v>101838.75996478542</v>
      </c>
      <c r="IH148" s="13">
        <f>IH147+IG148</f>
        <v>6619519.397711058</v>
      </c>
      <c r="II148">
        <f>IF(IH148=MAX($IH$83:$IH$483),$A148,0)</f>
        <v>0</v>
      </c>
      <c r="IJ148">
        <f>IF(IE148&lt;IF148,$A148,B_MAX+1)</f>
        <v>401.0</v>
      </c>
      <c r="IK148" s="13">
        <f>IF(IB148=1,$IB$35,$IB$36)</f>
        <v>0</v>
      </c>
      <c r="IL148" s="13">
        <f>OCC_DAYS*$IB$41*R_NF_2023-ID148*MCD_SHARE_FREED*R_WAIT_2023</f>
        <v>37367.159242427646</v>
      </c>
      <c r="IM148">
        <f>IF($A148&lt;=$IB$45,1,0)</f>
        <v>1</v>
      </c>
      <c r="JB148">
        <f>IF($JB$31&lt;=$JB$32,IF($A148&lt;=$JB$7,1,2),IF($A148&lt;=RUNG_BEDS_2,2,1))</f>
        <v>1</v>
      </c>
      <c r="JC148" s="5">
        <f>MIN(1,MAX(0,$JB$26-($A148-1)))</f>
        <v>1</v>
      </c>
      <c r="JD148" s="5">
        <f>$JB$25*(JC148+(1-JC148)*$JB$16)</f>
        <v>252.05322714681438</v>
      </c>
      <c r="JE148" s="13">
        <f>JD148*($JB$6+ACUTE_MARGIN)</f>
        <v>254573.7594182825</v>
      </c>
      <c r="JF148" s="13">
        <f>IF(JB148=1,$JB$31,$JB$32)</f>
        <v>152394.16214437486</v>
      </c>
      <c r="JG148" s="13">
        <f>JE148-JF148</f>
        <v>102179.59727390765</v>
      </c>
      <c r="JH148" s="13">
        <f>JH147+JG148</f>
        <v>6641673.8228039965</v>
      </c>
      <c r="JI148">
        <f>IF(JH148=MAX($JH$83:$JH$483),$A148,0)</f>
        <v>0</v>
      </c>
      <c r="JJ148">
        <f>IF(JE148&lt;JF148,$A148,B_MAX+1)</f>
        <v>401.0</v>
      </c>
      <c r="JK148" s="13">
        <f>IF(JB148=1,$JB$35,$JB$36)</f>
        <v>0</v>
      </c>
      <c r="JL148" s="13">
        <f>OCC_DAYS*$JB$41*R_NF_2023-JD148*MCD_SHARE_FREED*R_WAIT_2023</f>
        <v>37367.159242427646</v>
      </c>
      <c r="JM148">
        <f>IF($A148&lt;=$JB$45,1,0)</f>
        <v>1</v>
      </c>
      <c r="KB148">
        <f>IF($KB$31&lt;=$KB$32,IF($A148&lt;=$KB$7,1,2),IF($A148&lt;=RUNG_BEDS_2,2,1))</f>
        <v>1</v>
      </c>
      <c r="KC148" s="5">
        <f>MIN(1,MAX(0,$KB$26-($A148-1)))</f>
        <v>1</v>
      </c>
      <c r="KD148" s="5">
        <f>$KB$25*(KC148+(1-KC148)*$KB$16)</f>
        <v>126.02661357340719</v>
      </c>
      <c r="KE148" s="13">
        <f>KD148*($KB$6+ACUTE_MARGIN)</f>
        <v>127286.87970914126</v>
      </c>
      <c r="KF148" s="13">
        <f>IF(KB148=1,$KB$31,$KB$32)</f>
        <v>152394.16214437486</v>
      </c>
      <c r="KG148" s="13">
        <f>KE148-KF148</f>
        <v>-25107.282435233603</v>
      </c>
      <c r="KH148" s="13">
        <f>KH147+KG148</f>
        <v>-1631973.3582901862</v>
      </c>
      <c r="KI148">
        <f>IF(KH148=MAX($KH$83:$KH$483),$A148,0)</f>
        <v>0</v>
      </c>
      <c r="KJ148">
        <f>IF(KE148&lt;KF148,$A148,B_MAX+1)</f>
        <v>65</v>
      </c>
      <c r="KK148" s="13">
        <f>IF(KB148=1,$KB$35,$KB$36)</f>
        <v>0</v>
      </c>
      <c r="KL148" s="13">
        <f>OCC_DAYS*$KB$41*R_NF_2023-KD148*MCD_SHARE_FREED*R_WAIT_2023</f>
        <v>94673.82103225985</v>
      </c>
      <c r="KM148">
        <f>IF($A148&lt;=$KB$45,1,0)</f>
        <v>0</v>
      </c>
      <c r="LB148">
        <f>IF($LB$31&lt;=$LB$32,IF($A148&lt;=$LB$7,1,2),IF($A148&lt;=RUNG_BEDS_2,2,1))</f>
        <v>1</v>
      </c>
      <c r="LC148" s="5">
        <f>MIN(1,MAX(0,$LB$26-($A148-1)))</f>
        <v>1</v>
      </c>
      <c r="LD148" s="5">
        <f>$LB$25*(LC148+(1-LC148)*$LB$16)</f>
        <v>84.01774238227146</v>
      </c>
      <c r="LE148" s="13">
        <f>LD148*($LB$6+ACUTE_MARGIN)</f>
        <v>84857.91980609419</v>
      </c>
      <c r="LF148" s="13">
        <f>IF(LB148=1,$LB$31,$LB$32)</f>
        <v>152394.16214437486</v>
      </c>
      <c r="LG148" s="13">
        <f>LE148-LF148</f>
        <v>-67536.24233828067</v>
      </c>
      <c r="LH148" s="13">
        <f>LH147+LG148</f>
        <v>-4389855.751988244</v>
      </c>
      <c r="LI148">
        <f>IF(LH148=MAX($LH$83:$LH$483),$A148,0)</f>
        <v>0</v>
      </c>
      <c r="LJ148">
        <f>IF(LE148&lt;LF148,$A148,B_MAX+1)</f>
        <v>65</v>
      </c>
      <c r="LK148" s="13">
        <f>IF(LB148=1,$LB$35,$LB$36)</f>
        <v>0</v>
      </c>
      <c r="LL148" s="13">
        <f>OCC_DAYS*$LB$41*R_NF_2023-LD148*MCD_SHARE_FREED*R_WAIT_2023</f>
        <v>113776.04162887059</v>
      </c>
      <c r="LM148">
        <f>IF($A148&lt;=$LB$45,1,0)</f>
        <v>0</v>
      </c>
      <c r="MB148">
        <f>IF($MB$31&lt;=$MB$32,IF($A148&lt;=$MB$7,1,2),IF($A148&lt;=RUNG_BEDS_2,2,1))</f>
        <v>1</v>
      </c>
      <c r="MC148" s="5">
        <f>MIN(1,MAX(0,$MB$26-($A148-1)))</f>
        <v>1</v>
      </c>
      <c r="MD148" s="5">
        <f>$MB$25*(MC148+(1-MC148)*$MB$16)</f>
        <v>213.44610951008647</v>
      </c>
      <c r="ME148" s="13">
        <f>MD148*($MB$6+ACUTE_MARGIN)</f>
        <v>215580.57060518733</v>
      </c>
      <c r="MF148" s="13">
        <f>IF(MB148=1,$MB$31,$MB$32)</f>
        <v>152394.16214437486</v>
      </c>
      <c r="MG148" s="13">
        <f>ME148-MF148</f>
        <v>63186.40846081247</v>
      </c>
      <c r="MH148" s="13">
        <f>MH147+MG148</f>
        <v>4107116.5499528144</v>
      </c>
      <c r="MI148">
        <f>IF(MH148=MAX($MH$83:$MH$483),$A148,0)</f>
        <v>0</v>
      </c>
      <c r="MJ148">
        <f>IF(ME148&lt;MF148,$A148,B_MAX+1)</f>
        <v>401.0</v>
      </c>
      <c r="MK148" s="13">
        <f>IF(MB148=1,$MB$35,$MB$36)</f>
        <v>0</v>
      </c>
      <c r="ML148" s="13">
        <f>OCC_DAYS*$MB$41*R_NF_2023-MD148*MCD_SHARE_FREED*R_WAIT_2023</f>
        <v>54922.538779778624</v>
      </c>
      <c r="MM148">
        <f>IF($A148&lt;=$MB$45,1,0)</f>
        <v>1</v>
      </c>
      <c r="NB148">
        <f>IF($NB$31&lt;=$NB$32,IF($A148&lt;=$NB$7,1,2),IF($A148&lt;=RUNG_BEDS_2,2,1))</f>
        <v>1</v>
      </c>
      <c r="NC148" s="5">
        <f>MIN(1,MAX(0,$NB$26-($A148-1)))</f>
        <v>1</v>
      </c>
      <c r="ND148" s="5">
        <f>$NB$25*(NC148+(1-NC148)*$NB$16)</f>
        <v>252.05322714681438</v>
      </c>
      <c r="NE148" s="13">
        <f>ND148*($NB$6+ACUTE_MARGIN)</f>
        <v>254573.7594182825</v>
      </c>
      <c r="NF148" s="13">
        <f>IF(NB148=1,$NB$31,$NB$32)</f>
        <v>152394.16214437486</v>
      </c>
      <c r="NG148" s="13">
        <f>NE148-NF148</f>
        <v>102179.59727390765</v>
      </c>
      <c r="NH148" s="13">
        <f>NH147+NG148</f>
        <v>6641673.8228039965</v>
      </c>
      <c r="NI148">
        <f>IF(NH148=MAX($NH$83:$NH$483),$A148,0)</f>
        <v>0</v>
      </c>
      <c r="NJ148">
        <f>IF(NE148&lt;NF148,$A148,B_MAX+1)</f>
        <v>401.0</v>
      </c>
      <c r="NK148" s="13">
        <f>IF(NB148=1,$NB$35,$NB$36)</f>
        <v>0</v>
      </c>
      <c r="NL148" s="13">
        <f>OCC_DAYS*$NB$41*R_NF_2023-ND148*MCD_SHARE_FREED*R_WAIT_2023</f>
        <v>37367.159242427646</v>
      </c>
      <c r="NM148">
        <f>IF($A148&lt;=$NB$45,1,0)</f>
        <v>1</v>
      </c>
      <c r="OB148">
        <f>IF($OB$31&lt;=$OB$32,IF($A148&lt;=$OB$7,1,2),IF($A148&lt;=RUNG_BEDS_2,2,1))</f>
        <v>1</v>
      </c>
      <c r="OC148" s="5">
        <f>MIN(1,MAX(0,$OB$26-($A148-1)))</f>
        <v>1</v>
      </c>
      <c r="OD148" s="5">
        <f>$OB$25*(OC148+(1-OC148)*$OB$16)</f>
        <v>252.05322714681438</v>
      </c>
      <c r="OE148" s="13">
        <f>OD148*($OB$6+ACUTE_MARGIN)</f>
        <v>254573.7594182825</v>
      </c>
      <c r="OF148" s="13">
        <f>IF(OB148=1,$OB$31,$OB$32)</f>
        <v>152394.16214437486</v>
      </c>
      <c r="OG148" s="13">
        <f>OE148-OF148</f>
        <v>102179.59727390765</v>
      </c>
      <c r="OH148" s="13">
        <f>OH147+OG148</f>
        <v>6641673.8228039965</v>
      </c>
      <c r="OI148">
        <f>IF(OH148=MAX($OH$83:$OH$483),$A148,0)</f>
        <v>0</v>
      </c>
      <c r="OJ148">
        <f>IF(OE148&lt;OF148,$A148,B_MAX+1)</f>
        <v>401.0</v>
      </c>
      <c r="OK148" s="13">
        <f>IF(OB148=1,$OB$35,$OB$36)</f>
        <v>0</v>
      </c>
      <c r="OL148" s="13">
        <f>OCC_DAYS*$OB$41*R_NF_2023-OD148*MCD_SHARE_FREED*R_WAIT_2023</f>
        <v>37367.159242427646</v>
      </c>
      <c r="OM148">
        <f>IF($A148&lt;=$OB$45,1,0)</f>
        <v>1</v>
      </c>
    </row>
    <row r="149">
      <c r="A149" t="n">
        <v>66</v>
      </c>
      <c r="B149">
        <f>IF($B$31&lt;=$B$32,IF($A149&lt;=$B$7,1,2),IF($A149&lt;=RUNG_BEDS_2,2,1))</f>
        <v>1</v>
      </c>
      <c r="C149" s="5">
        <f>MIN(1,MAX(0,$B$26-($A149-1)))</f>
        <v>1</v>
      </c>
      <c r="D149" s="5">
        <f>$B$25*(C149+(1-C149)*$B$16)</f>
        <v>252.05322714681438</v>
      </c>
      <c r="E149" s="13">
        <f>D149*($B$6+ACUTE_MARGIN)</f>
        <v>254573.7594182825</v>
      </c>
      <c r="F149" s="13">
        <f>IF(B149=1,$B$31,$B$32)</f>
        <v>152394.16214437486</v>
      </c>
      <c r="G149" s="13">
        <f>E149-F149</f>
        <v>102179.59727390765</v>
      </c>
      <c r="H149" s="13">
        <f>H148+G149</f>
        <v>6743853.420077904</v>
      </c>
      <c r="I149">
        <f>IF(H149=MAX($H$83:$H$483),$A149,0)</f>
        <v>0</v>
      </c>
      <c r="J149">
        <f>IF(E149&lt;F149,$A149,B_MAX+1)</f>
        <v>401.0</v>
      </c>
      <c r="K149" s="13">
        <f>IF(B149=1,$B$35,$B$36)</f>
        <v>0</v>
      </c>
      <c r="L149" s="13">
        <f>OCC_DAYS*$B$41*R_NF_2023-D149*MCD_SHARE_FREED*R_WAIT_2023</f>
        <v>37367.159242427646</v>
      </c>
      <c r="M149">
        <f>IF($A149&lt;=$B$45,1,0)</f>
        <v>1</v>
      </c>
      <c r="AB149">
        <f>IF($AB$31&lt;=$AB$32,IF($A149&lt;=$AB$7,1,2),IF($A149&lt;=RUNG_BEDS_2,2,1))</f>
        <v>1</v>
      </c>
      <c r="AC149" s="5">
        <f>MIN(1,MAX(0,$AB$26-($A149-1)))</f>
        <v>1</v>
      </c>
      <c r="AD149" s="5">
        <f>$AB$25*(AC149+(1-AC149)*$AB$16)</f>
        <v>252.05322714681438</v>
      </c>
      <c r="AE149" s="13">
        <f>AD149*($AB$6+ACUTE_MARGIN)</f>
        <v>138629.2749307479</v>
      </c>
      <c r="AF149" s="13">
        <f>IF(AB149=1,$AB$31,$AB$32)</f>
        <v>152394.16214437486</v>
      </c>
      <c r="AG149" s="13">
        <f>AE149-AF149</f>
        <v>-13764.887213626964</v>
      </c>
      <c r="AH149" s="13">
        <f>AH148+AG149</f>
        <v>-908482.556099381</v>
      </c>
      <c r="AI149">
        <f>IF(AH149=MAX($AH$83:$AH$483),$A149,0)</f>
        <v>0</v>
      </c>
      <c r="AJ149">
        <f>IF(AE149&lt;AF149,$A149,B_MAX+1)</f>
        <v>66</v>
      </c>
      <c r="AK149" s="13">
        <f>IF(AB149=1,$AB$35,$AB$36)</f>
        <v>0</v>
      </c>
      <c r="AL149" s="13">
        <f>OCC_DAYS*$AB$41*R_NF_2023-AD149*MCD_SHARE_FREED*R_WAIT_2023</f>
        <v>37367.159242427646</v>
      </c>
      <c r="AM149">
        <f>IF($A149&lt;=$AB$45,1,0)</f>
        <v>0</v>
      </c>
      <c r="BB149">
        <f>IF($BB$31&lt;=$BB$32,IF($A149&lt;=$BB$7,1,2),IF($A149&lt;=RUNG_BEDS_2,2,1))</f>
        <v>1</v>
      </c>
      <c r="BC149" s="5">
        <f>MIN(1,MAX(0,$BB$26-($A149-1)))</f>
        <v>1</v>
      </c>
      <c r="BD149" s="5">
        <f>$BB$25*(BC149+(1-BC149)*$BB$16)</f>
        <v>252.05322714681438</v>
      </c>
      <c r="BE149" s="13">
        <f>BD149*($BB$6+ACUTE_MARGIN)</f>
        <v>370518.24390581716</v>
      </c>
      <c r="BF149" s="13">
        <f>IF(BB149=1,$BB$31,$BB$32)</f>
        <v>152394.16214437486</v>
      </c>
      <c r="BG149" s="13">
        <f>BE149-BF149</f>
        <v>218124.0817614423</v>
      </c>
      <c r="BH149" s="13">
        <f>BH148+BG149</f>
        <v>14396189.396255182</v>
      </c>
      <c r="BI149">
        <f>IF(BH149=MAX($BH$83:$BH$483),$A149,0)</f>
        <v>0</v>
      </c>
      <c r="BJ149">
        <f>IF(BE149&lt;BF149,$A149,B_MAX+1)</f>
        <v>401.0</v>
      </c>
      <c r="BK149" s="13">
        <f>IF(BB149=1,$BB$35,$BB$36)</f>
        <v>0</v>
      </c>
      <c r="BL149" s="13">
        <f>OCC_DAYS*$BB$41*R_NF_2023-BD149*MCD_SHARE_FREED*R_WAIT_2023</f>
        <v>37367.159242427646</v>
      </c>
      <c r="BM149">
        <f>IF($A149&lt;=$BB$45,1,0)</f>
        <v>1</v>
      </c>
      <c r="CB149">
        <f>IF($CB$31&lt;=$CB$32,IF($A149&lt;=$CB$7,1,2),IF($A149&lt;=RUNG_BEDS_2,2,1))</f>
        <v>2</v>
      </c>
      <c r="CC149" s="5">
        <f>MIN(1,MAX(0,$CB$26-($A149-1)))</f>
        <v>1</v>
      </c>
      <c r="CD149" s="5">
        <f>$CB$25*(CC149+(1-CC149)*$CB$16)</f>
        <v>252.05322714681438</v>
      </c>
      <c r="CE149" s="13">
        <f>CD149*($CB$6+ACUTE_MARGIN)</f>
        <v>254573.7594182825</v>
      </c>
      <c r="CF149" s="13">
        <f>IF(CB149=1,$CB$31,$CB$32)</f>
        <v>160718.36940738867</v>
      </c>
      <c r="CG149" s="13">
        <f>CE149-CF149</f>
        <v>93855.39001089384</v>
      </c>
      <c r="CH149" s="13">
        <f>CH148+CG149</f>
        <v>6194455.740719002</v>
      </c>
      <c r="CI149">
        <f>IF(CH149=MAX($CH$83:$CH$483),$A149,0)</f>
        <v>0</v>
      </c>
      <c r="CJ149">
        <f>IF(CE149&lt;CF149,$A149,B_MAX+1)</f>
        <v>401.0</v>
      </c>
      <c r="CK149" s="13">
        <f>IF(CB149=1,$CB$35,$CB$36)</f>
        <v>1560.1194073886782</v>
      </c>
      <c r="CL149" s="13">
        <f>OCC_DAYS*$CB$41*R_NF_2023-CD149*MCD_SHARE_FREED*R_WAIT_2023</f>
        <v>37367.159242427646</v>
      </c>
      <c r="CM149">
        <f>IF($A149&lt;=$CB$45,1,0)</f>
        <v>1</v>
      </c>
      <c r="DB149">
        <f>IF($DB$31&lt;=$DB$32,IF($A149&lt;=$DB$7,1,2),IF($A149&lt;=RUNG_BEDS_2,2,1))</f>
        <v>1</v>
      </c>
      <c r="DC149" s="5">
        <f>MIN(1,MAX(0,$DB$26-($A149-1)))</f>
        <v>1</v>
      </c>
      <c r="DD149" s="5">
        <f>$DB$25*(DC149+(1-DC149)*$DB$16)</f>
        <v>252.05322714681438</v>
      </c>
      <c r="DE149" s="13">
        <f>DD149*($DB$6+ACUTE_MARGIN)</f>
        <v>254573.7594182825</v>
      </c>
      <c r="DF149" s="13">
        <f>IF(DB149=1,$DB$31,$DB$32)</f>
        <v>152394.16214437486</v>
      </c>
      <c r="DG149" s="13">
        <f>DE149-DF149</f>
        <v>102179.59727390765</v>
      </c>
      <c r="DH149" s="13">
        <f>DH148+DG149</f>
        <v>6743853.420077904</v>
      </c>
      <c r="DI149">
        <f>IF(DH149=MAX($DH$83:$DH$483),$A149,0)</f>
        <v>0</v>
      </c>
      <c r="DJ149">
        <f>IF(DE149&lt;DF149,$A149,B_MAX+1)</f>
        <v>401.0</v>
      </c>
      <c r="DK149" s="13">
        <f>IF(DB149=1,$DB$35,$DB$36)</f>
        <v>0</v>
      </c>
      <c r="DL149" s="13">
        <f>OCC_DAYS*$DB$41*R_NF_2023-DD149*MCD_SHARE_FREED*R_WAIT_2023</f>
        <v>37367.159242427646</v>
      </c>
      <c r="DM149">
        <f>IF($A149&lt;=$DB$45,1,0)</f>
        <v>1</v>
      </c>
      <c r="EB149">
        <f>IF($EB$31&lt;=$EB$32,IF($A149&lt;=$EB$7,1,2),IF($A149&lt;=RUNG_BEDS_2,2,1))</f>
        <v>1</v>
      </c>
      <c r="EC149" s="5">
        <f>MIN(1,MAX(0,$EB$26-($A149-1)))</f>
        <v>1</v>
      </c>
      <c r="ED149" s="5">
        <f>$EB$25*(EC149+(1-EC149)*$EB$16)</f>
        <v>252.05322714681438</v>
      </c>
      <c r="EE149" s="13">
        <f>ED149*($EB$6+ACUTE_MARGIN)</f>
        <v>254573.7594182825</v>
      </c>
      <c r="EF149" s="13">
        <f>IF(EB149=1,$EB$31,$EB$32)</f>
        <v>152394.16214437486</v>
      </c>
      <c r="EG149" s="13">
        <f>EE149-EF149</f>
        <v>102179.59727390765</v>
      </c>
      <c r="EH149" s="13">
        <f>EH148+EG149</f>
        <v>6743853.420077904</v>
      </c>
      <c r="EI149">
        <f>IF(EH149=MAX($EH$83:$EH$483),$A149,0)</f>
        <v>0</v>
      </c>
      <c r="EJ149">
        <f>IF(EE149&lt;EF149,$A149,B_MAX+1)</f>
        <v>401.0</v>
      </c>
      <c r="EK149" s="13">
        <f>IF(EB149=1,$EB$35,$EB$36)</f>
        <v>0</v>
      </c>
      <c r="EL149" s="13">
        <f>OCC_DAYS*$EB$41*R_NF_2023-ED149*MCD_SHARE_FREED*R_WAIT_2023</f>
        <v>-63953.16263896705</v>
      </c>
      <c r="EM149">
        <f>IF($A149&lt;=$EB$45,1,0)</f>
        <v>1</v>
      </c>
      <c r="FB149">
        <f>IF($FB$31&lt;=$FB$32,IF($A149&lt;=$FB$7,1,2),IF($A149&lt;=RUNG_BEDS_2,2,1))</f>
        <v>1</v>
      </c>
      <c r="FC149" s="5">
        <f>MIN(1,MAX(0,$FB$26-($A149-1)))</f>
        <v>1</v>
      </c>
      <c r="FD149" s="5">
        <f>$FB$25*(FC149+(1-FC149)*$FB$16)</f>
        <v>252.05322714681438</v>
      </c>
      <c r="FE149" s="13">
        <f>FD149*($FB$6+ACUTE_MARGIN)</f>
        <v>254573.7594182825</v>
      </c>
      <c r="FF149" s="13">
        <f>IF(FB149=1,$FB$31,$FB$32)</f>
        <v>156636.04979437485</v>
      </c>
      <c r="FG149" s="13">
        <f>FE149-FF149</f>
        <v>97937.70962390766</v>
      </c>
      <c r="FH149" s="13">
        <f>FH148+FG149</f>
        <v>6463888.835177907</v>
      </c>
      <c r="FI149">
        <f>IF(FH149=MAX($FH$83:$FH$483),$A149,0)</f>
        <v>0</v>
      </c>
      <c r="FJ149">
        <f>IF(FE149&lt;FF149,$A149,B_MAX+1)</f>
        <v>401.0</v>
      </c>
      <c r="FK149" s="13">
        <f>IF(FB149=1,$FB$35,$FB$36)</f>
        <v>0</v>
      </c>
      <c r="FL149" s="13">
        <f>OCC_DAYS*$FB$41*R_NF_2023-FD149*MCD_SHARE_FREED*R_WAIT_2023</f>
        <v>37367.159242427646</v>
      </c>
      <c r="FM149">
        <f>IF($A149&lt;=$FB$45,1,0)</f>
        <v>1</v>
      </c>
      <c r="GB149">
        <f>IF($GB$31&lt;=$GB$32,IF($A149&lt;=$GB$7,1,2),IF($A149&lt;=RUNG_BEDS_2,2,1))</f>
        <v>1</v>
      </c>
      <c r="GC149" s="5">
        <f>MIN(1,MAX(0,$GB$26-($A149-1)))</f>
        <v>1</v>
      </c>
      <c r="GD149" s="5">
        <f>$GB$25*(GC149+(1-GC149)*$GB$16)</f>
        <v>252.05322714681438</v>
      </c>
      <c r="GE149" s="13">
        <f>GD149*($GB$6+ACUTE_MARGIN)</f>
        <v>254573.7594182825</v>
      </c>
      <c r="GF149" s="13">
        <f>IF(GB149=1,$GB$31,$GB$32)</f>
        <v>152394.16214437486</v>
      </c>
      <c r="GG149" s="13">
        <f>GE149-GF149</f>
        <v>102179.59727390765</v>
      </c>
      <c r="GH149" s="13">
        <f>GH148+GG149</f>
        <v>6743853.420077904</v>
      </c>
      <c r="GI149">
        <f>IF(GH149=MAX($GH$83:$GH$483),$A149,0)</f>
        <v>0</v>
      </c>
      <c r="GJ149">
        <f>IF(GE149&lt;GF149,$A149,B_MAX+1)</f>
        <v>401.0</v>
      </c>
      <c r="GK149" s="13">
        <f>IF(GB149=1,$GB$35,$GB$36)</f>
        <v>0</v>
      </c>
      <c r="GL149" s="13">
        <f>OCC_DAYS*$GB$41*R_NF_2023-GD149*MCD_SHARE_FREED*R_WAIT_2023</f>
        <v>37367.159242427646</v>
      </c>
      <c r="GM149">
        <f>IF($A149&lt;=$GB$45,1,0)</f>
        <v>1</v>
      </c>
      <c r="HB149">
        <f>IF($HB$31&lt;=$HB$32,IF($A149&lt;=$HB$7,1,2),IF($A149&lt;=RUNG_BEDS_2,2,1))</f>
        <v>1</v>
      </c>
      <c r="HC149" s="5">
        <f>MIN(1,MAX(0,$HB$26-($A149-1)))</f>
        <v>1</v>
      </c>
      <c r="HD149" s="5">
        <f>$HB$25*(HC149+(1-HC149)*$HB$16)</f>
        <v>252.05322714681438</v>
      </c>
      <c r="HE149" s="13">
        <f>HD149*($HB$6+ACUTE_MARGIN)</f>
        <v>254573.7594182825</v>
      </c>
      <c r="HF149" s="13">
        <f>IF(HB149=1,$HB$31,$HB$32)</f>
        <v>152456.2970814058</v>
      </c>
      <c r="HG149" s="13">
        <f>HE149-HF149</f>
        <v>102117.46233687672</v>
      </c>
      <c r="HH149" s="13">
        <f>HH148+HG149</f>
        <v>6739752.514233859</v>
      </c>
      <c r="HI149">
        <f>IF(HH149=MAX($HH$83:$HH$483),$A149,0)</f>
        <v>0</v>
      </c>
      <c r="HJ149">
        <f>IF(HE149&lt;HF149,$A149,B_MAX+1)</f>
        <v>401.0</v>
      </c>
      <c r="HK149" s="13">
        <f>IF(HB149=1,$HB$35,$HB$36)</f>
        <v>0</v>
      </c>
      <c r="HL149" s="13">
        <f>OCC_DAYS*$HB$41*R_NF_2023-HD149*MCD_SHARE_FREED*R_WAIT_2023</f>
        <v>37367.159242427646</v>
      </c>
      <c r="HM149">
        <f>IF($A149&lt;=$HB$45,1,0)</f>
        <v>1</v>
      </c>
      <c r="IB149">
        <f>IF($IB$31&lt;=$IB$32,IF($A149&lt;=$IB$7,1,2),IF($A149&lt;=RUNG_BEDS_2,2,1))</f>
        <v>1</v>
      </c>
      <c r="IC149" s="5">
        <f>MIN(1,MAX(0,$IB$26-($A149-1)))</f>
        <v>1</v>
      </c>
      <c r="ID149" s="5">
        <f>$IB$25*(IC149+(1-IC149)*$IB$16)</f>
        <v>252.05322714681438</v>
      </c>
      <c r="IE149" s="13">
        <f>ID149*($IB$6+ACUTE_MARGIN)</f>
        <v>254573.7594182825</v>
      </c>
      <c r="IF149" s="13">
        <f>IF(IB149=1,$IB$31,$IB$32)</f>
        <v>152734.9994534971</v>
      </c>
      <c r="IG149" s="13">
        <f>IE149-IF149</f>
        <v>101838.75996478542</v>
      </c>
      <c r="IH149" s="13">
        <f>IH148+IG149</f>
        <v>6721358.157675844</v>
      </c>
      <c r="II149">
        <f>IF(IH149=MAX($IH$83:$IH$483),$A149,0)</f>
        <v>0</v>
      </c>
      <c r="IJ149">
        <f>IF(IE149&lt;IF149,$A149,B_MAX+1)</f>
        <v>401.0</v>
      </c>
      <c r="IK149" s="13">
        <f>IF(IB149=1,$IB$35,$IB$36)</f>
        <v>0</v>
      </c>
      <c r="IL149" s="13">
        <f>OCC_DAYS*$IB$41*R_NF_2023-ID149*MCD_SHARE_FREED*R_WAIT_2023</f>
        <v>37367.159242427646</v>
      </c>
      <c r="IM149">
        <f>IF($A149&lt;=$IB$45,1,0)</f>
        <v>1</v>
      </c>
      <c r="JB149">
        <f>IF($JB$31&lt;=$JB$32,IF($A149&lt;=$JB$7,1,2),IF($A149&lt;=RUNG_BEDS_2,2,1))</f>
        <v>1</v>
      </c>
      <c r="JC149" s="5">
        <f>MIN(1,MAX(0,$JB$26-($A149-1)))</f>
        <v>1</v>
      </c>
      <c r="JD149" s="5">
        <f>$JB$25*(JC149+(1-JC149)*$JB$16)</f>
        <v>252.05322714681438</v>
      </c>
      <c r="JE149" s="13">
        <f>JD149*($JB$6+ACUTE_MARGIN)</f>
        <v>254573.7594182825</v>
      </c>
      <c r="JF149" s="13">
        <f>IF(JB149=1,$JB$31,$JB$32)</f>
        <v>152394.16214437486</v>
      </c>
      <c r="JG149" s="13">
        <f>JE149-JF149</f>
        <v>102179.59727390765</v>
      </c>
      <c r="JH149" s="13">
        <f>JH148+JG149</f>
        <v>6743853.420077904</v>
      </c>
      <c r="JI149">
        <f>IF(JH149=MAX($JH$83:$JH$483),$A149,0)</f>
        <v>0</v>
      </c>
      <c r="JJ149">
        <f>IF(JE149&lt;JF149,$A149,B_MAX+1)</f>
        <v>401.0</v>
      </c>
      <c r="JK149" s="13">
        <f>IF(JB149=1,$JB$35,$JB$36)</f>
        <v>0</v>
      </c>
      <c r="JL149" s="13">
        <f>OCC_DAYS*$JB$41*R_NF_2023-JD149*MCD_SHARE_FREED*R_WAIT_2023</f>
        <v>37367.159242427646</v>
      </c>
      <c r="JM149">
        <f>IF($A149&lt;=$JB$45,1,0)</f>
        <v>1</v>
      </c>
      <c r="KB149">
        <f>IF($KB$31&lt;=$KB$32,IF($A149&lt;=$KB$7,1,2),IF($A149&lt;=RUNG_BEDS_2,2,1))</f>
        <v>1</v>
      </c>
      <c r="KC149" s="5">
        <f>MIN(1,MAX(0,$KB$26-($A149-1)))</f>
        <v>1</v>
      </c>
      <c r="KD149" s="5">
        <f>$KB$25*(KC149+(1-KC149)*$KB$16)</f>
        <v>126.02661357340719</v>
      </c>
      <c r="KE149" s="13">
        <f>KD149*($KB$6+ACUTE_MARGIN)</f>
        <v>127286.87970914126</v>
      </c>
      <c r="KF149" s="13">
        <f>IF(KB149=1,$KB$31,$KB$32)</f>
        <v>152394.16214437486</v>
      </c>
      <c r="KG149" s="13">
        <f>KE149-KF149</f>
        <v>-25107.282435233603</v>
      </c>
      <c r="KH149" s="13">
        <f>KH148+KG149</f>
        <v>-1657080.6407254199</v>
      </c>
      <c r="KI149">
        <f>IF(KH149=MAX($KH$83:$KH$483),$A149,0)</f>
        <v>0</v>
      </c>
      <c r="KJ149">
        <f>IF(KE149&lt;KF149,$A149,B_MAX+1)</f>
        <v>66</v>
      </c>
      <c r="KK149" s="13">
        <f>IF(KB149=1,$KB$35,$KB$36)</f>
        <v>0</v>
      </c>
      <c r="KL149" s="13">
        <f>OCC_DAYS*$KB$41*R_NF_2023-KD149*MCD_SHARE_FREED*R_WAIT_2023</f>
        <v>94673.82103225985</v>
      </c>
      <c r="KM149">
        <f>IF($A149&lt;=$KB$45,1,0)</f>
        <v>0</v>
      </c>
      <c r="LB149">
        <f>IF($LB$31&lt;=$LB$32,IF($A149&lt;=$LB$7,1,2),IF($A149&lt;=RUNG_BEDS_2,2,1))</f>
        <v>1</v>
      </c>
      <c r="LC149" s="5">
        <f>MIN(1,MAX(0,$LB$26-($A149-1)))</f>
        <v>1</v>
      </c>
      <c r="LD149" s="5">
        <f>$LB$25*(LC149+(1-LC149)*$LB$16)</f>
        <v>84.01774238227146</v>
      </c>
      <c r="LE149" s="13">
        <f>LD149*($LB$6+ACUTE_MARGIN)</f>
        <v>84857.91980609419</v>
      </c>
      <c r="LF149" s="13">
        <f>IF(LB149=1,$LB$31,$LB$32)</f>
        <v>152394.16214437486</v>
      </c>
      <c r="LG149" s="13">
        <f>LE149-LF149</f>
        <v>-67536.24233828067</v>
      </c>
      <c r="LH149" s="13">
        <f>LH148+LG149</f>
        <v>-4457391.994326525</v>
      </c>
      <c r="LI149">
        <f>IF(LH149=MAX($LH$83:$LH$483),$A149,0)</f>
        <v>0</v>
      </c>
      <c r="LJ149">
        <f>IF(LE149&lt;LF149,$A149,B_MAX+1)</f>
        <v>66</v>
      </c>
      <c r="LK149" s="13">
        <f>IF(LB149=1,$LB$35,$LB$36)</f>
        <v>0</v>
      </c>
      <c r="LL149" s="13">
        <f>OCC_DAYS*$LB$41*R_NF_2023-LD149*MCD_SHARE_FREED*R_WAIT_2023</f>
        <v>113776.04162887059</v>
      </c>
      <c r="LM149">
        <f>IF($A149&lt;=$LB$45,1,0)</f>
        <v>0</v>
      </c>
      <c r="MB149">
        <f>IF($MB$31&lt;=$MB$32,IF($A149&lt;=$MB$7,1,2),IF($A149&lt;=RUNG_BEDS_2,2,1))</f>
        <v>1</v>
      </c>
      <c r="MC149" s="5">
        <f>MIN(1,MAX(0,$MB$26-($A149-1)))</f>
        <v>1</v>
      </c>
      <c r="MD149" s="5">
        <f>$MB$25*(MC149+(1-MC149)*$MB$16)</f>
        <v>213.44610951008647</v>
      </c>
      <c r="ME149" s="13">
        <f>MD149*($MB$6+ACUTE_MARGIN)</f>
        <v>215580.57060518733</v>
      </c>
      <c r="MF149" s="13">
        <f>IF(MB149=1,$MB$31,$MB$32)</f>
        <v>152394.16214437486</v>
      </c>
      <c r="MG149" s="13">
        <f>ME149-MF149</f>
        <v>63186.40846081247</v>
      </c>
      <c r="MH149" s="13">
        <f>MH148+MG149</f>
        <v>4170302.958413627</v>
      </c>
      <c r="MI149">
        <f>IF(MH149=MAX($MH$83:$MH$483),$A149,0)</f>
        <v>0</v>
      </c>
      <c r="MJ149">
        <f>IF(ME149&lt;MF149,$A149,B_MAX+1)</f>
        <v>401.0</v>
      </c>
      <c r="MK149" s="13">
        <f>IF(MB149=1,$MB$35,$MB$36)</f>
        <v>0</v>
      </c>
      <c r="ML149" s="13">
        <f>OCC_DAYS*$MB$41*R_NF_2023-MD149*MCD_SHARE_FREED*R_WAIT_2023</f>
        <v>54922.538779778624</v>
      </c>
      <c r="MM149">
        <f>IF($A149&lt;=$MB$45,1,0)</f>
        <v>1</v>
      </c>
      <c r="NB149">
        <f>IF($NB$31&lt;=$NB$32,IF($A149&lt;=$NB$7,1,2),IF($A149&lt;=RUNG_BEDS_2,2,1))</f>
        <v>1</v>
      </c>
      <c r="NC149" s="5">
        <f>MIN(1,MAX(0,$NB$26-($A149-1)))</f>
        <v>1</v>
      </c>
      <c r="ND149" s="5">
        <f>$NB$25*(NC149+(1-NC149)*$NB$16)</f>
        <v>252.05322714681438</v>
      </c>
      <c r="NE149" s="13">
        <f>ND149*($NB$6+ACUTE_MARGIN)</f>
        <v>254573.7594182825</v>
      </c>
      <c r="NF149" s="13">
        <f>IF(NB149=1,$NB$31,$NB$32)</f>
        <v>152394.16214437486</v>
      </c>
      <c r="NG149" s="13">
        <f>NE149-NF149</f>
        <v>102179.59727390765</v>
      </c>
      <c r="NH149" s="13">
        <f>NH148+NG149</f>
        <v>6743853.420077904</v>
      </c>
      <c r="NI149">
        <f>IF(NH149=MAX($NH$83:$NH$483),$A149,0)</f>
        <v>0</v>
      </c>
      <c r="NJ149">
        <f>IF(NE149&lt;NF149,$A149,B_MAX+1)</f>
        <v>401.0</v>
      </c>
      <c r="NK149" s="13">
        <f>IF(NB149=1,$NB$35,$NB$36)</f>
        <v>0</v>
      </c>
      <c r="NL149" s="13">
        <f>OCC_DAYS*$NB$41*R_NF_2023-ND149*MCD_SHARE_FREED*R_WAIT_2023</f>
        <v>37367.159242427646</v>
      </c>
      <c r="NM149">
        <f>IF($A149&lt;=$NB$45,1,0)</f>
        <v>1</v>
      </c>
      <c r="OB149">
        <f>IF($OB$31&lt;=$OB$32,IF($A149&lt;=$OB$7,1,2),IF($A149&lt;=RUNG_BEDS_2,2,1))</f>
        <v>1</v>
      </c>
      <c r="OC149" s="5">
        <f>MIN(1,MAX(0,$OB$26-($A149-1)))</f>
        <v>1</v>
      </c>
      <c r="OD149" s="5">
        <f>$OB$25*(OC149+(1-OC149)*$OB$16)</f>
        <v>252.05322714681438</v>
      </c>
      <c r="OE149" s="13">
        <f>OD149*($OB$6+ACUTE_MARGIN)</f>
        <v>254573.7594182825</v>
      </c>
      <c r="OF149" s="13">
        <f>IF(OB149=1,$OB$31,$OB$32)</f>
        <v>152394.16214437486</v>
      </c>
      <c r="OG149" s="13">
        <f>OE149-OF149</f>
        <v>102179.59727390765</v>
      </c>
      <c r="OH149" s="13">
        <f>OH148+OG149</f>
        <v>6743853.420077904</v>
      </c>
      <c r="OI149">
        <f>IF(OH149=MAX($OH$83:$OH$483),$A149,0)</f>
        <v>0</v>
      </c>
      <c r="OJ149">
        <f>IF(OE149&lt;OF149,$A149,B_MAX+1)</f>
        <v>401.0</v>
      </c>
      <c r="OK149" s="13">
        <f>IF(OB149=1,$OB$35,$OB$36)</f>
        <v>0</v>
      </c>
      <c r="OL149" s="13">
        <f>OCC_DAYS*$OB$41*R_NF_2023-OD149*MCD_SHARE_FREED*R_WAIT_2023</f>
        <v>37367.159242427646</v>
      </c>
      <c r="OM149">
        <f>IF($A149&lt;=$OB$45,1,0)</f>
        <v>1</v>
      </c>
    </row>
    <row r="150">
      <c r="A150" t="n">
        <v>67</v>
      </c>
      <c r="B150">
        <f>IF($B$31&lt;=$B$32,IF($A150&lt;=$B$7,1,2),IF($A150&lt;=RUNG_BEDS_2,2,1))</f>
        <v>1</v>
      </c>
      <c r="C150" s="5">
        <f>MIN(1,MAX(0,$B$26-($A150-1)))</f>
        <v>1</v>
      </c>
      <c r="D150" s="5">
        <f>$B$25*(C150+(1-C150)*$B$16)</f>
        <v>252.05322714681438</v>
      </c>
      <c r="E150" s="13">
        <f>D150*($B$6+ACUTE_MARGIN)</f>
        <v>254573.7594182825</v>
      </c>
      <c r="F150" s="13">
        <f>IF(B150=1,$B$31,$B$32)</f>
        <v>152394.16214437486</v>
      </c>
      <c r="G150" s="13">
        <f>E150-F150</f>
        <v>102179.59727390765</v>
      </c>
      <c r="H150" s="13">
        <f>H149+G150</f>
        <v>6846033.017351812</v>
      </c>
      <c r="I150">
        <f>IF(H150=MAX($H$83:$H$483),$A150,0)</f>
        <v>0</v>
      </c>
      <c r="J150">
        <f>IF(E150&lt;F150,$A150,B_MAX+1)</f>
        <v>401.0</v>
      </c>
      <c r="K150" s="13">
        <f>IF(B150=1,$B$35,$B$36)</f>
        <v>0</v>
      </c>
      <c r="L150" s="13">
        <f>OCC_DAYS*$B$41*R_NF_2023-D150*MCD_SHARE_FREED*R_WAIT_2023</f>
        <v>37367.159242427646</v>
      </c>
      <c r="M150">
        <f>IF($A150&lt;=$B$45,1,0)</f>
        <v>1</v>
      </c>
      <c r="AB150">
        <f>IF($AB$31&lt;=$AB$32,IF($A150&lt;=$AB$7,1,2),IF($A150&lt;=RUNG_BEDS_2,2,1))</f>
        <v>1</v>
      </c>
      <c r="AC150" s="5">
        <f>MIN(1,MAX(0,$AB$26-($A150-1)))</f>
        <v>1</v>
      </c>
      <c r="AD150" s="5">
        <f>$AB$25*(AC150+(1-AC150)*$AB$16)</f>
        <v>252.05322714681438</v>
      </c>
      <c r="AE150" s="13">
        <f>AD150*($AB$6+ACUTE_MARGIN)</f>
        <v>138629.2749307479</v>
      </c>
      <c r="AF150" s="13">
        <f>IF(AB150=1,$AB$31,$AB$32)</f>
        <v>152394.16214437486</v>
      </c>
      <c r="AG150" s="13">
        <f>AE150-AF150</f>
        <v>-13764.887213626964</v>
      </c>
      <c r="AH150" s="13">
        <f>AH149+AG150</f>
        <v>-922247.4433130079</v>
      </c>
      <c r="AI150">
        <f>IF(AH150=MAX($AH$83:$AH$483),$A150,0)</f>
        <v>0</v>
      </c>
      <c r="AJ150">
        <f>IF(AE150&lt;AF150,$A150,B_MAX+1)</f>
        <v>67</v>
      </c>
      <c r="AK150" s="13">
        <f>IF(AB150=1,$AB$35,$AB$36)</f>
        <v>0</v>
      </c>
      <c r="AL150" s="13">
        <f>OCC_DAYS*$AB$41*R_NF_2023-AD150*MCD_SHARE_FREED*R_WAIT_2023</f>
        <v>37367.159242427646</v>
      </c>
      <c r="AM150">
        <f>IF($A150&lt;=$AB$45,1,0)</f>
        <v>0</v>
      </c>
      <c r="BB150">
        <f>IF($BB$31&lt;=$BB$32,IF($A150&lt;=$BB$7,1,2),IF($A150&lt;=RUNG_BEDS_2,2,1))</f>
        <v>1</v>
      </c>
      <c r="BC150" s="5">
        <f>MIN(1,MAX(0,$BB$26-($A150-1)))</f>
        <v>1</v>
      </c>
      <c r="BD150" s="5">
        <f>$BB$25*(BC150+(1-BC150)*$BB$16)</f>
        <v>252.05322714681438</v>
      </c>
      <c r="BE150" s="13">
        <f>BD150*($BB$6+ACUTE_MARGIN)</f>
        <v>370518.24390581716</v>
      </c>
      <c r="BF150" s="13">
        <f>IF(BB150=1,$BB$31,$BB$32)</f>
        <v>152394.16214437486</v>
      </c>
      <c r="BG150" s="13">
        <f>BE150-BF150</f>
        <v>218124.0817614423</v>
      </c>
      <c r="BH150" s="13">
        <f>BH149+BG150</f>
        <v>14614313.478016624</v>
      </c>
      <c r="BI150">
        <f>IF(BH150=MAX($BH$83:$BH$483),$A150,0)</f>
        <v>0</v>
      </c>
      <c r="BJ150">
        <f>IF(BE150&lt;BF150,$A150,B_MAX+1)</f>
        <v>401.0</v>
      </c>
      <c r="BK150" s="13">
        <f>IF(BB150=1,$BB$35,$BB$36)</f>
        <v>0</v>
      </c>
      <c r="BL150" s="13">
        <f>OCC_DAYS*$BB$41*R_NF_2023-BD150*MCD_SHARE_FREED*R_WAIT_2023</f>
        <v>37367.159242427646</v>
      </c>
      <c r="BM150">
        <f>IF($A150&lt;=$BB$45,1,0)</f>
        <v>1</v>
      </c>
      <c r="CB150">
        <f>IF($CB$31&lt;=$CB$32,IF($A150&lt;=$CB$7,1,2),IF($A150&lt;=RUNG_BEDS_2,2,1))</f>
        <v>2</v>
      </c>
      <c r="CC150" s="5">
        <f>MIN(1,MAX(0,$CB$26-($A150-1)))</f>
        <v>1</v>
      </c>
      <c r="CD150" s="5">
        <f>$CB$25*(CC150+(1-CC150)*$CB$16)</f>
        <v>252.05322714681438</v>
      </c>
      <c r="CE150" s="13">
        <f>CD150*($CB$6+ACUTE_MARGIN)</f>
        <v>254573.7594182825</v>
      </c>
      <c r="CF150" s="13">
        <f>IF(CB150=1,$CB$31,$CB$32)</f>
        <v>160718.36940738867</v>
      </c>
      <c r="CG150" s="13">
        <f>CE150-CF150</f>
        <v>93855.39001089384</v>
      </c>
      <c r="CH150" s="13">
        <f>CH149+CG150</f>
        <v>6288311.130729896</v>
      </c>
      <c r="CI150">
        <f>IF(CH150=MAX($CH$83:$CH$483),$A150,0)</f>
        <v>0</v>
      </c>
      <c r="CJ150">
        <f>IF(CE150&lt;CF150,$A150,B_MAX+1)</f>
        <v>401.0</v>
      </c>
      <c r="CK150" s="13">
        <f>IF(CB150=1,$CB$35,$CB$36)</f>
        <v>1560.1194073886782</v>
      </c>
      <c r="CL150" s="13">
        <f>OCC_DAYS*$CB$41*R_NF_2023-CD150*MCD_SHARE_FREED*R_WAIT_2023</f>
        <v>37367.159242427646</v>
      </c>
      <c r="CM150">
        <f>IF($A150&lt;=$CB$45,1,0)</f>
        <v>1</v>
      </c>
      <c r="DB150">
        <f>IF($DB$31&lt;=$DB$32,IF($A150&lt;=$DB$7,1,2),IF($A150&lt;=RUNG_BEDS_2,2,1))</f>
        <v>1</v>
      </c>
      <c r="DC150" s="5">
        <f>MIN(1,MAX(0,$DB$26-($A150-1)))</f>
        <v>1</v>
      </c>
      <c r="DD150" s="5">
        <f>$DB$25*(DC150+(1-DC150)*$DB$16)</f>
        <v>252.05322714681438</v>
      </c>
      <c r="DE150" s="13">
        <f>DD150*($DB$6+ACUTE_MARGIN)</f>
        <v>254573.7594182825</v>
      </c>
      <c r="DF150" s="13">
        <f>IF(DB150=1,$DB$31,$DB$32)</f>
        <v>152394.16214437486</v>
      </c>
      <c r="DG150" s="13">
        <f>DE150-DF150</f>
        <v>102179.59727390765</v>
      </c>
      <c r="DH150" s="13">
        <f>DH149+DG150</f>
        <v>6846033.017351812</v>
      </c>
      <c r="DI150">
        <f>IF(DH150=MAX($DH$83:$DH$483),$A150,0)</f>
        <v>0</v>
      </c>
      <c r="DJ150">
        <f>IF(DE150&lt;DF150,$A150,B_MAX+1)</f>
        <v>401.0</v>
      </c>
      <c r="DK150" s="13">
        <f>IF(DB150=1,$DB$35,$DB$36)</f>
        <v>0</v>
      </c>
      <c r="DL150" s="13">
        <f>OCC_DAYS*$DB$41*R_NF_2023-DD150*MCD_SHARE_FREED*R_WAIT_2023</f>
        <v>37367.159242427646</v>
      </c>
      <c r="DM150">
        <f>IF($A150&lt;=$DB$45,1,0)</f>
        <v>1</v>
      </c>
      <c r="EB150">
        <f>IF($EB$31&lt;=$EB$32,IF($A150&lt;=$EB$7,1,2),IF($A150&lt;=RUNG_BEDS_2,2,1))</f>
        <v>1</v>
      </c>
      <c r="EC150" s="5">
        <f>MIN(1,MAX(0,$EB$26-($A150-1)))</f>
        <v>1</v>
      </c>
      <c r="ED150" s="5">
        <f>$EB$25*(EC150+(1-EC150)*$EB$16)</f>
        <v>252.05322714681438</v>
      </c>
      <c r="EE150" s="13">
        <f>ED150*($EB$6+ACUTE_MARGIN)</f>
        <v>254573.7594182825</v>
      </c>
      <c r="EF150" s="13">
        <f>IF(EB150=1,$EB$31,$EB$32)</f>
        <v>152394.16214437486</v>
      </c>
      <c r="EG150" s="13">
        <f>EE150-EF150</f>
        <v>102179.59727390765</v>
      </c>
      <c r="EH150" s="13">
        <f>EH149+EG150</f>
        <v>6846033.017351812</v>
      </c>
      <c r="EI150">
        <f>IF(EH150=MAX($EH$83:$EH$483),$A150,0)</f>
        <v>0</v>
      </c>
      <c r="EJ150">
        <f>IF(EE150&lt;EF150,$A150,B_MAX+1)</f>
        <v>401.0</v>
      </c>
      <c r="EK150" s="13">
        <f>IF(EB150=1,$EB$35,$EB$36)</f>
        <v>0</v>
      </c>
      <c r="EL150" s="13">
        <f>OCC_DAYS*$EB$41*R_NF_2023-ED150*MCD_SHARE_FREED*R_WAIT_2023</f>
        <v>-63953.16263896705</v>
      </c>
      <c r="EM150">
        <f>IF($A150&lt;=$EB$45,1,0)</f>
        <v>1</v>
      </c>
      <c r="FB150">
        <f>IF($FB$31&lt;=$FB$32,IF($A150&lt;=$FB$7,1,2),IF($A150&lt;=RUNG_BEDS_2,2,1))</f>
        <v>1</v>
      </c>
      <c r="FC150" s="5">
        <f>MIN(1,MAX(0,$FB$26-($A150-1)))</f>
        <v>1</v>
      </c>
      <c r="FD150" s="5">
        <f>$FB$25*(FC150+(1-FC150)*$FB$16)</f>
        <v>252.05322714681438</v>
      </c>
      <c r="FE150" s="13">
        <f>FD150*($FB$6+ACUTE_MARGIN)</f>
        <v>254573.7594182825</v>
      </c>
      <c r="FF150" s="13">
        <f>IF(FB150=1,$FB$31,$FB$32)</f>
        <v>156636.04979437485</v>
      </c>
      <c r="FG150" s="13">
        <f>FE150-FF150</f>
        <v>97937.70962390766</v>
      </c>
      <c r="FH150" s="13">
        <f>FH149+FG150</f>
        <v>6561826.5448018145</v>
      </c>
      <c r="FI150">
        <f>IF(FH150=MAX($FH$83:$FH$483),$A150,0)</f>
        <v>0</v>
      </c>
      <c r="FJ150">
        <f>IF(FE150&lt;FF150,$A150,B_MAX+1)</f>
        <v>401.0</v>
      </c>
      <c r="FK150" s="13">
        <f>IF(FB150=1,$FB$35,$FB$36)</f>
        <v>0</v>
      </c>
      <c r="FL150" s="13">
        <f>OCC_DAYS*$FB$41*R_NF_2023-FD150*MCD_SHARE_FREED*R_WAIT_2023</f>
        <v>37367.159242427646</v>
      </c>
      <c r="FM150">
        <f>IF($A150&lt;=$FB$45,1,0)</f>
        <v>1</v>
      </c>
      <c r="GB150">
        <f>IF($GB$31&lt;=$GB$32,IF($A150&lt;=$GB$7,1,2),IF($A150&lt;=RUNG_BEDS_2,2,1))</f>
        <v>1</v>
      </c>
      <c r="GC150" s="5">
        <f>MIN(1,MAX(0,$GB$26-($A150-1)))</f>
        <v>1</v>
      </c>
      <c r="GD150" s="5">
        <f>$GB$25*(GC150+(1-GC150)*$GB$16)</f>
        <v>252.05322714681438</v>
      </c>
      <c r="GE150" s="13">
        <f>GD150*($GB$6+ACUTE_MARGIN)</f>
        <v>254573.7594182825</v>
      </c>
      <c r="GF150" s="13">
        <f>IF(GB150=1,$GB$31,$GB$32)</f>
        <v>152394.16214437486</v>
      </c>
      <c r="GG150" s="13">
        <f>GE150-GF150</f>
        <v>102179.59727390765</v>
      </c>
      <c r="GH150" s="13">
        <f>GH149+GG150</f>
        <v>6846033.017351812</v>
      </c>
      <c r="GI150">
        <f>IF(GH150=MAX($GH$83:$GH$483),$A150,0)</f>
        <v>0</v>
      </c>
      <c r="GJ150">
        <f>IF(GE150&lt;GF150,$A150,B_MAX+1)</f>
        <v>401.0</v>
      </c>
      <c r="GK150" s="13">
        <f>IF(GB150=1,$GB$35,$GB$36)</f>
        <v>0</v>
      </c>
      <c r="GL150" s="13">
        <f>OCC_DAYS*$GB$41*R_NF_2023-GD150*MCD_SHARE_FREED*R_WAIT_2023</f>
        <v>37367.159242427646</v>
      </c>
      <c r="GM150">
        <f>IF($A150&lt;=$GB$45,1,0)</f>
        <v>1</v>
      </c>
      <c r="HB150">
        <f>IF($HB$31&lt;=$HB$32,IF($A150&lt;=$HB$7,1,2),IF($A150&lt;=RUNG_BEDS_2,2,1))</f>
        <v>1</v>
      </c>
      <c r="HC150" s="5">
        <f>MIN(1,MAX(0,$HB$26-($A150-1)))</f>
        <v>1</v>
      </c>
      <c r="HD150" s="5">
        <f>$HB$25*(HC150+(1-HC150)*$HB$16)</f>
        <v>252.05322714681438</v>
      </c>
      <c r="HE150" s="13">
        <f>HD150*($HB$6+ACUTE_MARGIN)</f>
        <v>254573.7594182825</v>
      </c>
      <c r="HF150" s="13">
        <f>IF(HB150=1,$HB$31,$HB$32)</f>
        <v>152456.2970814058</v>
      </c>
      <c r="HG150" s="13">
        <f>HE150-HF150</f>
        <v>102117.46233687672</v>
      </c>
      <c r="HH150" s="13">
        <f>HH149+HG150</f>
        <v>6841869.976570736</v>
      </c>
      <c r="HI150">
        <f>IF(HH150=MAX($HH$83:$HH$483),$A150,0)</f>
        <v>0</v>
      </c>
      <c r="HJ150">
        <f>IF(HE150&lt;HF150,$A150,B_MAX+1)</f>
        <v>401.0</v>
      </c>
      <c r="HK150" s="13">
        <f>IF(HB150=1,$HB$35,$HB$36)</f>
        <v>0</v>
      </c>
      <c r="HL150" s="13">
        <f>OCC_DAYS*$HB$41*R_NF_2023-HD150*MCD_SHARE_FREED*R_WAIT_2023</f>
        <v>37367.159242427646</v>
      </c>
      <c r="HM150">
        <f>IF($A150&lt;=$HB$45,1,0)</f>
        <v>1</v>
      </c>
      <c r="IB150">
        <f>IF($IB$31&lt;=$IB$32,IF($A150&lt;=$IB$7,1,2),IF($A150&lt;=RUNG_BEDS_2,2,1))</f>
        <v>1</v>
      </c>
      <c r="IC150" s="5">
        <f>MIN(1,MAX(0,$IB$26-($A150-1)))</f>
        <v>1</v>
      </c>
      <c r="ID150" s="5">
        <f>$IB$25*(IC150+(1-IC150)*$IB$16)</f>
        <v>252.05322714681438</v>
      </c>
      <c r="IE150" s="13">
        <f>ID150*($IB$6+ACUTE_MARGIN)</f>
        <v>254573.7594182825</v>
      </c>
      <c r="IF150" s="13">
        <f>IF(IB150=1,$IB$31,$IB$32)</f>
        <v>152734.9994534971</v>
      </c>
      <c r="IG150" s="13">
        <f>IE150-IF150</f>
        <v>101838.75996478542</v>
      </c>
      <c r="IH150" s="13">
        <f>IH149+IG150</f>
        <v>6823196.917640629</v>
      </c>
      <c r="II150">
        <f>IF(IH150=MAX($IH$83:$IH$483),$A150,0)</f>
        <v>0</v>
      </c>
      <c r="IJ150">
        <f>IF(IE150&lt;IF150,$A150,B_MAX+1)</f>
        <v>401.0</v>
      </c>
      <c r="IK150" s="13">
        <f>IF(IB150=1,$IB$35,$IB$36)</f>
        <v>0</v>
      </c>
      <c r="IL150" s="13">
        <f>OCC_DAYS*$IB$41*R_NF_2023-ID150*MCD_SHARE_FREED*R_WAIT_2023</f>
        <v>37367.159242427646</v>
      </c>
      <c r="IM150">
        <f>IF($A150&lt;=$IB$45,1,0)</f>
        <v>1</v>
      </c>
      <c r="JB150">
        <f>IF($JB$31&lt;=$JB$32,IF($A150&lt;=$JB$7,1,2),IF($A150&lt;=RUNG_BEDS_2,2,1))</f>
        <v>1</v>
      </c>
      <c r="JC150" s="5">
        <f>MIN(1,MAX(0,$JB$26-($A150-1)))</f>
        <v>1</v>
      </c>
      <c r="JD150" s="5">
        <f>$JB$25*(JC150+(1-JC150)*$JB$16)</f>
        <v>252.05322714681438</v>
      </c>
      <c r="JE150" s="13">
        <f>JD150*($JB$6+ACUTE_MARGIN)</f>
        <v>254573.7594182825</v>
      </c>
      <c r="JF150" s="13">
        <f>IF(JB150=1,$JB$31,$JB$32)</f>
        <v>152394.16214437486</v>
      </c>
      <c r="JG150" s="13">
        <f>JE150-JF150</f>
        <v>102179.59727390765</v>
      </c>
      <c r="JH150" s="13">
        <f>JH149+JG150</f>
        <v>6846033.017351812</v>
      </c>
      <c r="JI150">
        <f>IF(JH150=MAX($JH$83:$JH$483),$A150,0)</f>
        <v>0</v>
      </c>
      <c r="JJ150">
        <f>IF(JE150&lt;JF150,$A150,B_MAX+1)</f>
        <v>401.0</v>
      </c>
      <c r="JK150" s="13">
        <f>IF(JB150=1,$JB$35,$JB$36)</f>
        <v>0</v>
      </c>
      <c r="JL150" s="13">
        <f>OCC_DAYS*$JB$41*R_NF_2023-JD150*MCD_SHARE_FREED*R_WAIT_2023</f>
        <v>37367.159242427646</v>
      </c>
      <c r="JM150">
        <f>IF($A150&lt;=$JB$45,1,0)</f>
        <v>1</v>
      </c>
      <c r="KB150">
        <f>IF($KB$31&lt;=$KB$32,IF($A150&lt;=$KB$7,1,2),IF($A150&lt;=RUNG_BEDS_2,2,1))</f>
        <v>1</v>
      </c>
      <c r="KC150" s="5">
        <f>MIN(1,MAX(0,$KB$26-($A150-1)))</f>
        <v>1</v>
      </c>
      <c r="KD150" s="5">
        <f>$KB$25*(KC150+(1-KC150)*$KB$16)</f>
        <v>126.02661357340719</v>
      </c>
      <c r="KE150" s="13">
        <f>KD150*($KB$6+ACUTE_MARGIN)</f>
        <v>127286.87970914126</v>
      </c>
      <c r="KF150" s="13">
        <f>IF(KB150=1,$KB$31,$KB$32)</f>
        <v>152394.16214437486</v>
      </c>
      <c r="KG150" s="13">
        <f>KE150-KF150</f>
        <v>-25107.282435233603</v>
      </c>
      <c r="KH150" s="13">
        <f>KH149+KG150</f>
        <v>-1682187.9231606536</v>
      </c>
      <c r="KI150">
        <f>IF(KH150=MAX($KH$83:$KH$483),$A150,0)</f>
        <v>0</v>
      </c>
      <c r="KJ150">
        <f>IF(KE150&lt;KF150,$A150,B_MAX+1)</f>
        <v>67</v>
      </c>
      <c r="KK150" s="13">
        <f>IF(KB150=1,$KB$35,$KB$36)</f>
        <v>0</v>
      </c>
      <c r="KL150" s="13">
        <f>OCC_DAYS*$KB$41*R_NF_2023-KD150*MCD_SHARE_FREED*R_WAIT_2023</f>
        <v>94673.82103225985</v>
      </c>
      <c r="KM150">
        <f>IF($A150&lt;=$KB$45,1,0)</f>
        <v>0</v>
      </c>
      <c r="LB150">
        <f>IF($LB$31&lt;=$LB$32,IF($A150&lt;=$LB$7,1,2),IF($A150&lt;=RUNG_BEDS_2,2,1))</f>
        <v>1</v>
      </c>
      <c r="LC150" s="5">
        <f>MIN(1,MAX(0,$LB$26-($A150-1)))</f>
        <v>1</v>
      </c>
      <c r="LD150" s="5">
        <f>$LB$25*(LC150+(1-LC150)*$LB$16)</f>
        <v>84.01774238227146</v>
      </c>
      <c r="LE150" s="13">
        <f>LD150*($LB$6+ACUTE_MARGIN)</f>
        <v>84857.91980609419</v>
      </c>
      <c r="LF150" s="13">
        <f>IF(LB150=1,$LB$31,$LB$32)</f>
        <v>152394.16214437486</v>
      </c>
      <c r="LG150" s="13">
        <f>LE150-LF150</f>
        <v>-67536.24233828067</v>
      </c>
      <c r="LH150" s="13">
        <f>LH149+LG150</f>
        <v>-4524928.2366648065</v>
      </c>
      <c r="LI150">
        <f>IF(LH150=MAX($LH$83:$LH$483),$A150,0)</f>
        <v>0</v>
      </c>
      <c r="LJ150">
        <f>IF(LE150&lt;LF150,$A150,B_MAX+1)</f>
        <v>67</v>
      </c>
      <c r="LK150" s="13">
        <f>IF(LB150=1,$LB$35,$LB$36)</f>
        <v>0</v>
      </c>
      <c r="LL150" s="13">
        <f>OCC_DAYS*$LB$41*R_NF_2023-LD150*MCD_SHARE_FREED*R_WAIT_2023</f>
        <v>113776.04162887059</v>
      </c>
      <c r="LM150">
        <f>IF($A150&lt;=$LB$45,1,0)</f>
        <v>0</v>
      </c>
      <c r="MB150">
        <f>IF($MB$31&lt;=$MB$32,IF($A150&lt;=$MB$7,1,2),IF($A150&lt;=RUNG_BEDS_2,2,1))</f>
        <v>1</v>
      </c>
      <c r="MC150" s="5">
        <f>MIN(1,MAX(0,$MB$26-($A150-1)))</f>
        <v>1</v>
      </c>
      <c r="MD150" s="5">
        <f>$MB$25*(MC150+(1-MC150)*$MB$16)</f>
        <v>213.44610951008647</v>
      </c>
      <c r="ME150" s="13">
        <f>MD150*($MB$6+ACUTE_MARGIN)</f>
        <v>215580.57060518733</v>
      </c>
      <c r="MF150" s="13">
        <f>IF(MB150=1,$MB$31,$MB$32)</f>
        <v>152394.16214437486</v>
      </c>
      <c r="MG150" s="13">
        <f>ME150-MF150</f>
        <v>63186.40846081247</v>
      </c>
      <c r="MH150" s="13">
        <f>MH149+MG150</f>
        <v>4233489.36687444</v>
      </c>
      <c r="MI150">
        <f>IF(MH150=MAX($MH$83:$MH$483),$A150,0)</f>
        <v>0</v>
      </c>
      <c r="MJ150">
        <f>IF(ME150&lt;MF150,$A150,B_MAX+1)</f>
        <v>401.0</v>
      </c>
      <c r="MK150" s="13">
        <f>IF(MB150=1,$MB$35,$MB$36)</f>
        <v>0</v>
      </c>
      <c r="ML150" s="13">
        <f>OCC_DAYS*$MB$41*R_NF_2023-MD150*MCD_SHARE_FREED*R_WAIT_2023</f>
        <v>54922.538779778624</v>
      </c>
      <c r="MM150">
        <f>IF($A150&lt;=$MB$45,1,0)</f>
        <v>1</v>
      </c>
      <c r="NB150">
        <f>IF($NB$31&lt;=$NB$32,IF($A150&lt;=$NB$7,1,2),IF($A150&lt;=RUNG_BEDS_2,2,1))</f>
        <v>1</v>
      </c>
      <c r="NC150" s="5">
        <f>MIN(1,MAX(0,$NB$26-($A150-1)))</f>
        <v>1</v>
      </c>
      <c r="ND150" s="5">
        <f>$NB$25*(NC150+(1-NC150)*$NB$16)</f>
        <v>252.05322714681438</v>
      </c>
      <c r="NE150" s="13">
        <f>ND150*($NB$6+ACUTE_MARGIN)</f>
        <v>254573.7594182825</v>
      </c>
      <c r="NF150" s="13">
        <f>IF(NB150=1,$NB$31,$NB$32)</f>
        <v>152394.16214437486</v>
      </c>
      <c r="NG150" s="13">
        <f>NE150-NF150</f>
        <v>102179.59727390765</v>
      </c>
      <c r="NH150" s="13">
        <f>NH149+NG150</f>
        <v>6846033.017351812</v>
      </c>
      <c r="NI150">
        <f>IF(NH150=MAX($NH$83:$NH$483),$A150,0)</f>
        <v>0</v>
      </c>
      <c r="NJ150">
        <f>IF(NE150&lt;NF150,$A150,B_MAX+1)</f>
        <v>401.0</v>
      </c>
      <c r="NK150" s="13">
        <f>IF(NB150=1,$NB$35,$NB$36)</f>
        <v>0</v>
      </c>
      <c r="NL150" s="13">
        <f>OCC_DAYS*$NB$41*R_NF_2023-ND150*MCD_SHARE_FREED*R_WAIT_2023</f>
        <v>37367.159242427646</v>
      </c>
      <c r="NM150">
        <f>IF($A150&lt;=$NB$45,1,0)</f>
        <v>1</v>
      </c>
      <c r="OB150">
        <f>IF($OB$31&lt;=$OB$32,IF($A150&lt;=$OB$7,1,2),IF($A150&lt;=RUNG_BEDS_2,2,1))</f>
        <v>1</v>
      </c>
      <c r="OC150" s="5">
        <f>MIN(1,MAX(0,$OB$26-($A150-1)))</f>
        <v>1</v>
      </c>
      <c r="OD150" s="5">
        <f>$OB$25*(OC150+(1-OC150)*$OB$16)</f>
        <v>252.05322714681438</v>
      </c>
      <c r="OE150" s="13">
        <f>OD150*($OB$6+ACUTE_MARGIN)</f>
        <v>254573.7594182825</v>
      </c>
      <c r="OF150" s="13">
        <f>IF(OB150=1,$OB$31,$OB$32)</f>
        <v>152394.16214437486</v>
      </c>
      <c r="OG150" s="13">
        <f>OE150-OF150</f>
        <v>102179.59727390765</v>
      </c>
      <c r="OH150" s="13">
        <f>OH149+OG150</f>
        <v>6846033.017351812</v>
      </c>
      <c r="OI150">
        <f>IF(OH150=MAX($OH$83:$OH$483),$A150,0)</f>
        <v>0</v>
      </c>
      <c r="OJ150">
        <f>IF(OE150&lt;OF150,$A150,B_MAX+1)</f>
        <v>401.0</v>
      </c>
      <c r="OK150" s="13">
        <f>IF(OB150=1,$OB$35,$OB$36)</f>
        <v>0</v>
      </c>
      <c r="OL150" s="13">
        <f>OCC_DAYS*$OB$41*R_NF_2023-OD150*MCD_SHARE_FREED*R_WAIT_2023</f>
        <v>37367.159242427646</v>
      </c>
      <c r="OM150">
        <f>IF($A150&lt;=$OB$45,1,0)</f>
        <v>1</v>
      </c>
    </row>
    <row r="151">
      <c r="A151" t="n">
        <v>68</v>
      </c>
      <c r="B151">
        <f>IF($B$31&lt;=$B$32,IF($A151&lt;=$B$7,1,2),IF($A151&lt;=RUNG_BEDS_2,2,1))</f>
        <v>1</v>
      </c>
      <c r="C151" s="5">
        <f>MIN(1,MAX(0,$B$26-($A151-1)))</f>
        <v>1</v>
      </c>
      <c r="D151" s="5">
        <f>$B$25*(C151+(1-C151)*$B$16)</f>
        <v>252.05322714681438</v>
      </c>
      <c r="E151" s="13">
        <f>D151*($B$6+ACUTE_MARGIN)</f>
        <v>254573.7594182825</v>
      </c>
      <c r="F151" s="13">
        <f>IF(B151=1,$B$31,$B$32)</f>
        <v>152394.16214437486</v>
      </c>
      <c r="G151" s="13">
        <f>E151-F151</f>
        <v>102179.59727390765</v>
      </c>
      <c r="H151" s="13">
        <f>H150+G151</f>
        <v>6948212.614625719</v>
      </c>
      <c r="I151">
        <f>IF(H151=MAX($H$83:$H$483),$A151,0)</f>
        <v>0</v>
      </c>
      <c r="J151">
        <f>IF(E151&lt;F151,$A151,B_MAX+1)</f>
        <v>401.0</v>
      </c>
      <c r="K151" s="13">
        <f>IF(B151=1,$B$35,$B$36)</f>
        <v>0</v>
      </c>
      <c r="L151" s="13">
        <f>OCC_DAYS*$B$41*R_NF_2023-D151*MCD_SHARE_FREED*R_WAIT_2023</f>
        <v>37367.159242427646</v>
      </c>
      <c r="M151">
        <f>IF($A151&lt;=$B$45,1,0)</f>
        <v>1</v>
      </c>
      <c r="AB151">
        <f>IF($AB$31&lt;=$AB$32,IF($A151&lt;=$AB$7,1,2),IF($A151&lt;=RUNG_BEDS_2,2,1))</f>
        <v>1</v>
      </c>
      <c r="AC151" s="5">
        <f>MIN(1,MAX(0,$AB$26-($A151-1)))</f>
        <v>1</v>
      </c>
      <c r="AD151" s="5">
        <f>$AB$25*(AC151+(1-AC151)*$AB$16)</f>
        <v>252.05322714681438</v>
      </c>
      <c r="AE151" s="13">
        <f>AD151*($AB$6+ACUTE_MARGIN)</f>
        <v>138629.2749307479</v>
      </c>
      <c r="AF151" s="13">
        <f>IF(AB151=1,$AB$31,$AB$32)</f>
        <v>152394.16214437486</v>
      </c>
      <c r="AG151" s="13">
        <f>AE151-AF151</f>
        <v>-13764.887213626964</v>
      </c>
      <c r="AH151" s="13">
        <f>AH150+AG151</f>
        <v>-936012.3305266349</v>
      </c>
      <c r="AI151">
        <f>IF(AH151=MAX($AH$83:$AH$483),$A151,0)</f>
        <v>0</v>
      </c>
      <c r="AJ151">
        <f>IF(AE151&lt;AF151,$A151,B_MAX+1)</f>
        <v>68</v>
      </c>
      <c r="AK151" s="13">
        <f>IF(AB151=1,$AB$35,$AB$36)</f>
        <v>0</v>
      </c>
      <c r="AL151" s="13">
        <f>OCC_DAYS*$AB$41*R_NF_2023-AD151*MCD_SHARE_FREED*R_WAIT_2023</f>
        <v>37367.159242427646</v>
      </c>
      <c r="AM151">
        <f>IF($A151&lt;=$AB$45,1,0)</f>
        <v>0</v>
      </c>
      <c r="BB151">
        <f>IF($BB$31&lt;=$BB$32,IF($A151&lt;=$BB$7,1,2),IF($A151&lt;=RUNG_BEDS_2,2,1))</f>
        <v>1</v>
      </c>
      <c r="BC151" s="5">
        <f>MIN(1,MAX(0,$BB$26-($A151-1)))</f>
        <v>1</v>
      </c>
      <c r="BD151" s="5">
        <f>$BB$25*(BC151+(1-BC151)*$BB$16)</f>
        <v>252.05322714681438</v>
      </c>
      <c r="BE151" s="13">
        <f>BD151*($BB$6+ACUTE_MARGIN)</f>
        <v>370518.24390581716</v>
      </c>
      <c r="BF151" s="13">
        <f>IF(BB151=1,$BB$31,$BB$32)</f>
        <v>152394.16214437486</v>
      </c>
      <c r="BG151" s="13">
        <f>BE151-BF151</f>
        <v>218124.0817614423</v>
      </c>
      <c r="BH151" s="13">
        <f>BH150+BG151</f>
        <v>14832437.559778066</v>
      </c>
      <c r="BI151">
        <f>IF(BH151=MAX($BH$83:$BH$483),$A151,0)</f>
        <v>0</v>
      </c>
      <c r="BJ151">
        <f>IF(BE151&lt;BF151,$A151,B_MAX+1)</f>
        <v>401.0</v>
      </c>
      <c r="BK151" s="13">
        <f>IF(BB151=1,$BB$35,$BB$36)</f>
        <v>0</v>
      </c>
      <c r="BL151" s="13">
        <f>OCC_DAYS*$BB$41*R_NF_2023-BD151*MCD_SHARE_FREED*R_WAIT_2023</f>
        <v>37367.159242427646</v>
      </c>
      <c r="BM151">
        <f>IF($A151&lt;=$BB$45,1,0)</f>
        <v>1</v>
      </c>
      <c r="CB151">
        <f>IF($CB$31&lt;=$CB$32,IF($A151&lt;=$CB$7,1,2),IF($A151&lt;=RUNG_BEDS_2,2,1))</f>
        <v>2</v>
      </c>
      <c r="CC151" s="5">
        <f>MIN(1,MAX(0,$CB$26-($A151-1)))</f>
        <v>1</v>
      </c>
      <c r="CD151" s="5">
        <f>$CB$25*(CC151+(1-CC151)*$CB$16)</f>
        <v>252.05322714681438</v>
      </c>
      <c r="CE151" s="13">
        <f>CD151*($CB$6+ACUTE_MARGIN)</f>
        <v>254573.7594182825</v>
      </c>
      <c r="CF151" s="13">
        <f>IF(CB151=1,$CB$31,$CB$32)</f>
        <v>160718.36940738867</v>
      </c>
      <c r="CG151" s="13">
        <f>CE151-CF151</f>
        <v>93855.39001089384</v>
      </c>
      <c r="CH151" s="13">
        <f>CH150+CG151</f>
        <v>6382166.52074079</v>
      </c>
      <c r="CI151">
        <f>IF(CH151=MAX($CH$83:$CH$483),$A151,0)</f>
        <v>0</v>
      </c>
      <c r="CJ151">
        <f>IF(CE151&lt;CF151,$A151,B_MAX+1)</f>
        <v>401.0</v>
      </c>
      <c r="CK151" s="13">
        <f>IF(CB151=1,$CB$35,$CB$36)</f>
        <v>1560.1194073886782</v>
      </c>
      <c r="CL151" s="13">
        <f>OCC_DAYS*$CB$41*R_NF_2023-CD151*MCD_SHARE_FREED*R_WAIT_2023</f>
        <v>37367.159242427646</v>
      </c>
      <c r="CM151">
        <f>IF($A151&lt;=$CB$45,1,0)</f>
        <v>1</v>
      </c>
      <c r="DB151">
        <f>IF($DB$31&lt;=$DB$32,IF($A151&lt;=$DB$7,1,2),IF($A151&lt;=RUNG_BEDS_2,2,1))</f>
        <v>1</v>
      </c>
      <c r="DC151" s="5">
        <f>MIN(1,MAX(0,$DB$26-($A151-1)))</f>
        <v>1</v>
      </c>
      <c r="DD151" s="5">
        <f>$DB$25*(DC151+(1-DC151)*$DB$16)</f>
        <v>252.05322714681438</v>
      </c>
      <c r="DE151" s="13">
        <f>DD151*($DB$6+ACUTE_MARGIN)</f>
        <v>254573.7594182825</v>
      </c>
      <c r="DF151" s="13">
        <f>IF(DB151=1,$DB$31,$DB$32)</f>
        <v>152394.16214437486</v>
      </c>
      <c r="DG151" s="13">
        <f>DE151-DF151</f>
        <v>102179.59727390765</v>
      </c>
      <c r="DH151" s="13">
        <f>DH150+DG151</f>
        <v>6948212.614625719</v>
      </c>
      <c r="DI151">
        <f>IF(DH151=MAX($DH$83:$DH$483),$A151,0)</f>
        <v>0</v>
      </c>
      <c r="DJ151">
        <f>IF(DE151&lt;DF151,$A151,B_MAX+1)</f>
        <v>401.0</v>
      </c>
      <c r="DK151" s="13">
        <f>IF(DB151=1,$DB$35,$DB$36)</f>
        <v>0</v>
      </c>
      <c r="DL151" s="13">
        <f>OCC_DAYS*$DB$41*R_NF_2023-DD151*MCD_SHARE_FREED*R_WAIT_2023</f>
        <v>37367.159242427646</v>
      </c>
      <c r="DM151">
        <f>IF($A151&lt;=$DB$45,1,0)</f>
        <v>1</v>
      </c>
      <c r="EB151">
        <f>IF($EB$31&lt;=$EB$32,IF($A151&lt;=$EB$7,1,2),IF($A151&lt;=RUNG_BEDS_2,2,1))</f>
        <v>1</v>
      </c>
      <c r="EC151" s="5">
        <f>MIN(1,MAX(0,$EB$26-($A151-1)))</f>
        <v>1</v>
      </c>
      <c r="ED151" s="5">
        <f>$EB$25*(EC151+(1-EC151)*$EB$16)</f>
        <v>252.05322714681438</v>
      </c>
      <c r="EE151" s="13">
        <f>ED151*($EB$6+ACUTE_MARGIN)</f>
        <v>254573.7594182825</v>
      </c>
      <c r="EF151" s="13">
        <f>IF(EB151=1,$EB$31,$EB$32)</f>
        <v>152394.16214437486</v>
      </c>
      <c r="EG151" s="13">
        <f>EE151-EF151</f>
        <v>102179.59727390765</v>
      </c>
      <c r="EH151" s="13">
        <f>EH150+EG151</f>
        <v>6948212.614625719</v>
      </c>
      <c r="EI151">
        <f>IF(EH151=MAX($EH$83:$EH$483),$A151,0)</f>
        <v>0</v>
      </c>
      <c r="EJ151">
        <f>IF(EE151&lt;EF151,$A151,B_MAX+1)</f>
        <v>401.0</v>
      </c>
      <c r="EK151" s="13">
        <f>IF(EB151=1,$EB$35,$EB$36)</f>
        <v>0</v>
      </c>
      <c r="EL151" s="13">
        <f>OCC_DAYS*$EB$41*R_NF_2023-ED151*MCD_SHARE_FREED*R_WAIT_2023</f>
        <v>-63953.16263896705</v>
      </c>
      <c r="EM151">
        <f>IF($A151&lt;=$EB$45,1,0)</f>
        <v>1</v>
      </c>
      <c r="FB151">
        <f>IF($FB$31&lt;=$FB$32,IF($A151&lt;=$FB$7,1,2),IF($A151&lt;=RUNG_BEDS_2,2,1))</f>
        <v>1</v>
      </c>
      <c r="FC151" s="5">
        <f>MIN(1,MAX(0,$FB$26-($A151-1)))</f>
        <v>1</v>
      </c>
      <c r="FD151" s="5">
        <f>$FB$25*(FC151+(1-FC151)*$FB$16)</f>
        <v>252.05322714681438</v>
      </c>
      <c r="FE151" s="13">
        <f>FD151*($FB$6+ACUTE_MARGIN)</f>
        <v>254573.7594182825</v>
      </c>
      <c r="FF151" s="13">
        <f>IF(FB151=1,$FB$31,$FB$32)</f>
        <v>156636.04979437485</v>
      </c>
      <c r="FG151" s="13">
        <f>FE151-FF151</f>
        <v>97937.70962390766</v>
      </c>
      <c r="FH151" s="13">
        <f>FH150+FG151</f>
        <v>6659764.254425722</v>
      </c>
      <c r="FI151">
        <f>IF(FH151=MAX($FH$83:$FH$483),$A151,0)</f>
        <v>0</v>
      </c>
      <c r="FJ151">
        <f>IF(FE151&lt;FF151,$A151,B_MAX+1)</f>
        <v>401.0</v>
      </c>
      <c r="FK151" s="13">
        <f>IF(FB151=1,$FB$35,$FB$36)</f>
        <v>0</v>
      </c>
      <c r="FL151" s="13">
        <f>OCC_DAYS*$FB$41*R_NF_2023-FD151*MCD_SHARE_FREED*R_WAIT_2023</f>
        <v>37367.159242427646</v>
      </c>
      <c r="FM151">
        <f>IF($A151&lt;=$FB$45,1,0)</f>
        <v>1</v>
      </c>
      <c r="GB151">
        <f>IF($GB$31&lt;=$GB$32,IF($A151&lt;=$GB$7,1,2),IF($A151&lt;=RUNG_BEDS_2,2,1))</f>
        <v>1</v>
      </c>
      <c r="GC151" s="5">
        <f>MIN(1,MAX(0,$GB$26-($A151-1)))</f>
        <v>1</v>
      </c>
      <c r="GD151" s="5">
        <f>$GB$25*(GC151+(1-GC151)*$GB$16)</f>
        <v>252.05322714681438</v>
      </c>
      <c r="GE151" s="13">
        <f>GD151*($GB$6+ACUTE_MARGIN)</f>
        <v>254573.7594182825</v>
      </c>
      <c r="GF151" s="13">
        <f>IF(GB151=1,$GB$31,$GB$32)</f>
        <v>152394.16214437486</v>
      </c>
      <c r="GG151" s="13">
        <f>GE151-GF151</f>
        <v>102179.59727390765</v>
      </c>
      <c r="GH151" s="13">
        <f>GH150+GG151</f>
        <v>6948212.614625719</v>
      </c>
      <c r="GI151">
        <f>IF(GH151=MAX($GH$83:$GH$483),$A151,0)</f>
        <v>0</v>
      </c>
      <c r="GJ151">
        <f>IF(GE151&lt;GF151,$A151,B_MAX+1)</f>
        <v>401.0</v>
      </c>
      <c r="GK151" s="13">
        <f>IF(GB151=1,$GB$35,$GB$36)</f>
        <v>0</v>
      </c>
      <c r="GL151" s="13">
        <f>OCC_DAYS*$GB$41*R_NF_2023-GD151*MCD_SHARE_FREED*R_WAIT_2023</f>
        <v>37367.159242427646</v>
      </c>
      <c r="GM151">
        <f>IF($A151&lt;=$GB$45,1,0)</f>
        <v>1</v>
      </c>
      <c r="HB151">
        <f>IF($HB$31&lt;=$HB$32,IF($A151&lt;=$HB$7,1,2),IF($A151&lt;=RUNG_BEDS_2,2,1))</f>
        <v>1</v>
      </c>
      <c r="HC151" s="5">
        <f>MIN(1,MAX(0,$HB$26-($A151-1)))</f>
        <v>1</v>
      </c>
      <c r="HD151" s="5">
        <f>$HB$25*(HC151+(1-HC151)*$HB$16)</f>
        <v>252.05322714681438</v>
      </c>
      <c r="HE151" s="13">
        <f>HD151*($HB$6+ACUTE_MARGIN)</f>
        <v>254573.7594182825</v>
      </c>
      <c r="HF151" s="13">
        <f>IF(HB151=1,$HB$31,$HB$32)</f>
        <v>152456.2970814058</v>
      </c>
      <c r="HG151" s="13">
        <f>HE151-HF151</f>
        <v>102117.46233687672</v>
      </c>
      <c r="HH151" s="13">
        <f>HH150+HG151</f>
        <v>6943987.438907612</v>
      </c>
      <c r="HI151">
        <f>IF(HH151=MAX($HH$83:$HH$483),$A151,0)</f>
        <v>0</v>
      </c>
      <c r="HJ151">
        <f>IF(HE151&lt;HF151,$A151,B_MAX+1)</f>
        <v>401.0</v>
      </c>
      <c r="HK151" s="13">
        <f>IF(HB151=1,$HB$35,$HB$36)</f>
        <v>0</v>
      </c>
      <c r="HL151" s="13">
        <f>OCC_DAYS*$HB$41*R_NF_2023-HD151*MCD_SHARE_FREED*R_WAIT_2023</f>
        <v>37367.159242427646</v>
      </c>
      <c r="HM151">
        <f>IF($A151&lt;=$HB$45,1,0)</f>
        <v>1</v>
      </c>
      <c r="IB151">
        <f>IF($IB$31&lt;=$IB$32,IF($A151&lt;=$IB$7,1,2),IF($A151&lt;=RUNG_BEDS_2,2,1))</f>
        <v>1</v>
      </c>
      <c r="IC151" s="5">
        <f>MIN(1,MAX(0,$IB$26-($A151-1)))</f>
        <v>1</v>
      </c>
      <c r="ID151" s="5">
        <f>$IB$25*(IC151+(1-IC151)*$IB$16)</f>
        <v>252.05322714681438</v>
      </c>
      <c r="IE151" s="13">
        <f>ID151*($IB$6+ACUTE_MARGIN)</f>
        <v>254573.7594182825</v>
      </c>
      <c r="IF151" s="13">
        <f>IF(IB151=1,$IB$31,$IB$32)</f>
        <v>152734.9994534971</v>
      </c>
      <c r="IG151" s="13">
        <f>IE151-IF151</f>
        <v>101838.75996478542</v>
      </c>
      <c r="IH151" s="13">
        <f>IH150+IG151</f>
        <v>6925035.677605415</v>
      </c>
      <c r="II151">
        <f>IF(IH151=MAX($IH$83:$IH$483),$A151,0)</f>
        <v>0</v>
      </c>
      <c r="IJ151">
        <f>IF(IE151&lt;IF151,$A151,B_MAX+1)</f>
        <v>401.0</v>
      </c>
      <c r="IK151" s="13">
        <f>IF(IB151=1,$IB$35,$IB$36)</f>
        <v>0</v>
      </c>
      <c r="IL151" s="13">
        <f>OCC_DAYS*$IB$41*R_NF_2023-ID151*MCD_SHARE_FREED*R_WAIT_2023</f>
        <v>37367.159242427646</v>
      </c>
      <c r="IM151">
        <f>IF($A151&lt;=$IB$45,1,0)</f>
        <v>1</v>
      </c>
      <c r="JB151">
        <f>IF($JB$31&lt;=$JB$32,IF($A151&lt;=$JB$7,1,2),IF($A151&lt;=RUNG_BEDS_2,2,1))</f>
        <v>1</v>
      </c>
      <c r="JC151" s="5">
        <f>MIN(1,MAX(0,$JB$26-($A151-1)))</f>
        <v>1</v>
      </c>
      <c r="JD151" s="5">
        <f>$JB$25*(JC151+(1-JC151)*$JB$16)</f>
        <v>252.05322714681438</v>
      </c>
      <c r="JE151" s="13">
        <f>JD151*($JB$6+ACUTE_MARGIN)</f>
        <v>254573.7594182825</v>
      </c>
      <c r="JF151" s="13">
        <f>IF(JB151=1,$JB$31,$JB$32)</f>
        <v>152394.16214437486</v>
      </c>
      <c r="JG151" s="13">
        <f>JE151-JF151</f>
        <v>102179.59727390765</v>
      </c>
      <c r="JH151" s="13">
        <f>JH150+JG151</f>
        <v>6948212.614625719</v>
      </c>
      <c r="JI151">
        <f>IF(JH151=MAX($JH$83:$JH$483),$A151,0)</f>
        <v>0</v>
      </c>
      <c r="JJ151">
        <f>IF(JE151&lt;JF151,$A151,B_MAX+1)</f>
        <v>401.0</v>
      </c>
      <c r="JK151" s="13">
        <f>IF(JB151=1,$JB$35,$JB$36)</f>
        <v>0</v>
      </c>
      <c r="JL151" s="13">
        <f>OCC_DAYS*$JB$41*R_NF_2023-JD151*MCD_SHARE_FREED*R_WAIT_2023</f>
        <v>37367.159242427646</v>
      </c>
      <c r="JM151">
        <f>IF($A151&lt;=$JB$45,1,0)</f>
        <v>1</v>
      </c>
      <c r="KB151">
        <f>IF($KB$31&lt;=$KB$32,IF($A151&lt;=$KB$7,1,2),IF($A151&lt;=RUNG_BEDS_2,2,1))</f>
        <v>1</v>
      </c>
      <c r="KC151" s="5">
        <f>MIN(1,MAX(0,$KB$26-($A151-1)))</f>
        <v>1</v>
      </c>
      <c r="KD151" s="5">
        <f>$KB$25*(KC151+(1-KC151)*$KB$16)</f>
        <v>126.02661357340719</v>
      </c>
      <c r="KE151" s="13">
        <f>KD151*($KB$6+ACUTE_MARGIN)</f>
        <v>127286.87970914126</v>
      </c>
      <c r="KF151" s="13">
        <f>IF(KB151=1,$KB$31,$KB$32)</f>
        <v>152394.16214437486</v>
      </c>
      <c r="KG151" s="13">
        <f>KE151-KF151</f>
        <v>-25107.282435233603</v>
      </c>
      <c r="KH151" s="13">
        <f>KH150+KG151</f>
        <v>-1707295.2055958873</v>
      </c>
      <c r="KI151">
        <f>IF(KH151=MAX($KH$83:$KH$483),$A151,0)</f>
        <v>0</v>
      </c>
      <c r="KJ151">
        <f>IF(KE151&lt;KF151,$A151,B_MAX+1)</f>
        <v>68</v>
      </c>
      <c r="KK151" s="13">
        <f>IF(KB151=1,$KB$35,$KB$36)</f>
        <v>0</v>
      </c>
      <c r="KL151" s="13">
        <f>OCC_DAYS*$KB$41*R_NF_2023-KD151*MCD_SHARE_FREED*R_WAIT_2023</f>
        <v>94673.82103225985</v>
      </c>
      <c r="KM151">
        <f>IF($A151&lt;=$KB$45,1,0)</f>
        <v>0</v>
      </c>
      <c r="LB151">
        <f>IF($LB$31&lt;=$LB$32,IF($A151&lt;=$LB$7,1,2),IF($A151&lt;=RUNG_BEDS_2,2,1))</f>
        <v>1</v>
      </c>
      <c r="LC151" s="5">
        <f>MIN(1,MAX(0,$LB$26-($A151-1)))</f>
        <v>1</v>
      </c>
      <c r="LD151" s="5">
        <f>$LB$25*(LC151+(1-LC151)*$LB$16)</f>
        <v>84.01774238227146</v>
      </c>
      <c r="LE151" s="13">
        <f>LD151*($LB$6+ACUTE_MARGIN)</f>
        <v>84857.91980609419</v>
      </c>
      <c r="LF151" s="13">
        <f>IF(LB151=1,$LB$31,$LB$32)</f>
        <v>152394.16214437486</v>
      </c>
      <c r="LG151" s="13">
        <f>LE151-LF151</f>
        <v>-67536.24233828067</v>
      </c>
      <c r="LH151" s="13">
        <f>LH150+LG151</f>
        <v>-4592464.479003088</v>
      </c>
      <c r="LI151">
        <f>IF(LH151=MAX($LH$83:$LH$483),$A151,0)</f>
        <v>0</v>
      </c>
      <c r="LJ151">
        <f>IF(LE151&lt;LF151,$A151,B_MAX+1)</f>
        <v>68</v>
      </c>
      <c r="LK151" s="13">
        <f>IF(LB151=1,$LB$35,$LB$36)</f>
        <v>0</v>
      </c>
      <c r="LL151" s="13">
        <f>OCC_DAYS*$LB$41*R_NF_2023-LD151*MCD_SHARE_FREED*R_WAIT_2023</f>
        <v>113776.04162887059</v>
      </c>
      <c r="LM151">
        <f>IF($A151&lt;=$LB$45,1,0)</f>
        <v>0</v>
      </c>
      <c r="MB151">
        <f>IF($MB$31&lt;=$MB$32,IF($A151&lt;=$MB$7,1,2),IF($A151&lt;=RUNG_BEDS_2,2,1))</f>
        <v>1</v>
      </c>
      <c r="MC151" s="5">
        <f>MIN(1,MAX(0,$MB$26-($A151-1)))</f>
        <v>1</v>
      </c>
      <c r="MD151" s="5">
        <f>$MB$25*(MC151+(1-MC151)*$MB$16)</f>
        <v>213.44610951008647</v>
      </c>
      <c r="ME151" s="13">
        <f>MD151*($MB$6+ACUTE_MARGIN)</f>
        <v>215580.57060518733</v>
      </c>
      <c r="MF151" s="13">
        <f>IF(MB151=1,$MB$31,$MB$32)</f>
        <v>152394.16214437486</v>
      </c>
      <c r="MG151" s="13">
        <f>ME151-MF151</f>
        <v>63186.40846081247</v>
      </c>
      <c r="MH151" s="13">
        <f>MH150+MG151</f>
        <v>4296675.775335252</v>
      </c>
      <c r="MI151">
        <f>IF(MH151=MAX($MH$83:$MH$483),$A151,0)</f>
        <v>0</v>
      </c>
      <c r="MJ151">
        <f>IF(ME151&lt;MF151,$A151,B_MAX+1)</f>
        <v>401.0</v>
      </c>
      <c r="MK151" s="13">
        <f>IF(MB151=1,$MB$35,$MB$36)</f>
        <v>0</v>
      </c>
      <c r="ML151" s="13">
        <f>OCC_DAYS*$MB$41*R_NF_2023-MD151*MCD_SHARE_FREED*R_WAIT_2023</f>
        <v>54922.538779778624</v>
      </c>
      <c r="MM151">
        <f>IF($A151&lt;=$MB$45,1,0)</f>
        <v>1</v>
      </c>
      <c r="NB151">
        <f>IF($NB$31&lt;=$NB$32,IF($A151&lt;=$NB$7,1,2),IF($A151&lt;=RUNG_BEDS_2,2,1))</f>
        <v>1</v>
      </c>
      <c r="NC151" s="5">
        <f>MIN(1,MAX(0,$NB$26-($A151-1)))</f>
        <v>1</v>
      </c>
      <c r="ND151" s="5">
        <f>$NB$25*(NC151+(1-NC151)*$NB$16)</f>
        <v>252.05322714681438</v>
      </c>
      <c r="NE151" s="13">
        <f>ND151*($NB$6+ACUTE_MARGIN)</f>
        <v>254573.7594182825</v>
      </c>
      <c r="NF151" s="13">
        <f>IF(NB151=1,$NB$31,$NB$32)</f>
        <v>152394.16214437486</v>
      </c>
      <c r="NG151" s="13">
        <f>NE151-NF151</f>
        <v>102179.59727390765</v>
      </c>
      <c r="NH151" s="13">
        <f>NH150+NG151</f>
        <v>6948212.614625719</v>
      </c>
      <c r="NI151">
        <f>IF(NH151=MAX($NH$83:$NH$483),$A151,0)</f>
        <v>0</v>
      </c>
      <c r="NJ151">
        <f>IF(NE151&lt;NF151,$A151,B_MAX+1)</f>
        <v>401.0</v>
      </c>
      <c r="NK151" s="13">
        <f>IF(NB151=1,$NB$35,$NB$36)</f>
        <v>0</v>
      </c>
      <c r="NL151" s="13">
        <f>OCC_DAYS*$NB$41*R_NF_2023-ND151*MCD_SHARE_FREED*R_WAIT_2023</f>
        <v>37367.159242427646</v>
      </c>
      <c r="NM151">
        <f>IF($A151&lt;=$NB$45,1,0)</f>
        <v>1</v>
      </c>
      <c r="OB151">
        <f>IF($OB$31&lt;=$OB$32,IF($A151&lt;=$OB$7,1,2),IF($A151&lt;=RUNG_BEDS_2,2,1))</f>
        <v>1</v>
      </c>
      <c r="OC151" s="5">
        <f>MIN(1,MAX(0,$OB$26-($A151-1)))</f>
        <v>1</v>
      </c>
      <c r="OD151" s="5">
        <f>$OB$25*(OC151+(1-OC151)*$OB$16)</f>
        <v>252.05322714681438</v>
      </c>
      <c r="OE151" s="13">
        <f>OD151*($OB$6+ACUTE_MARGIN)</f>
        <v>254573.7594182825</v>
      </c>
      <c r="OF151" s="13">
        <f>IF(OB151=1,$OB$31,$OB$32)</f>
        <v>152394.16214437486</v>
      </c>
      <c r="OG151" s="13">
        <f>OE151-OF151</f>
        <v>102179.59727390765</v>
      </c>
      <c r="OH151" s="13">
        <f>OH150+OG151</f>
        <v>6948212.614625719</v>
      </c>
      <c r="OI151">
        <f>IF(OH151=MAX($OH$83:$OH$483),$A151,0)</f>
        <v>0</v>
      </c>
      <c r="OJ151">
        <f>IF(OE151&lt;OF151,$A151,B_MAX+1)</f>
        <v>401.0</v>
      </c>
      <c r="OK151" s="13">
        <f>IF(OB151=1,$OB$35,$OB$36)</f>
        <v>0</v>
      </c>
      <c r="OL151" s="13">
        <f>OCC_DAYS*$OB$41*R_NF_2023-OD151*MCD_SHARE_FREED*R_WAIT_2023</f>
        <v>37367.159242427646</v>
      </c>
      <c r="OM151">
        <f>IF($A151&lt;=$OB$45,1,0)</f>
        <v>1</v>
      </c>
    </row>
    <row r="152">
      <c r="A152" t="n">
        <v>69</v>
      </c>
      <c r="B152">
        <f>IF($B$31&lt;=$B$32,IF($A152&lt;=$B$7,1,2),IF($A152&lt;=RUNG_BEDS_2,2,1))</f>
        <v>1</v>
      </c>
      <c r="C152" s="5">
        <f>MIN(1,MAX(0,$B$26-($A152-1)))</f>
        <v>1</v>
      </c>
      <c r="D152" s="5">
        <f>$B$25*(C152+(1-C152)*$B$16)</f>
        <v>252.05322714681438</v>
      </c>
      <c r="E152" s="13">
        <f>D152*($B$6+ACUTE_MARGIN)</f>
        <v>254573.7594182825</v>
      </c>
      <c r="F152" s="13">
        <f>IF(B152=1,$B$31,$B$32)</f>
        <v>152394.16214437486</v>
      </c>
      <c r="G152" s="13">
        <f>E152-F152</f>
        <v>102179.59727390765</v>
      </c>
      <c r="H152" s="13">
        <f>H151+G152</f>
        <v>7050392.211899627</v>
      </c>
      <c r="I152">
        <f>IF(H152=MAX($H$83:$H$483),$A152,0)</f>
        <v>0</v>
      </c>
      <c r="J152">
        <f>IF(E152&lt;F152,$A152,B_MAX+1)</f>
        <v>401.0</v>
      </c>
      <c r="K152" s="13">
        <f>IF(B152=1,$B$35,$B$36)</f>
        <v>0</v>
      </c>
      <c r="L152" s="13">
        <f>OCC_DAYS*$B$41*R_NF_2023-D152*MCD_SHARE_FREED*R_WAIT_2023</f>
        <v>37367.159242427646</v>
      </c>
      <c r="M152">
        <f>IF($A152&lt;=$B$45,1,0)</f>
        <v>1</v>
      </c>
      <c r="AB152">
        <f>IF($AB$31&lt;=$AB$32,IF($A152&lt;=$AB$7,1,2),IF($A152&lt;=RUNG_BEDS_2,2,1))</f>
        <v>1</v>
      </c>
      <c r="AC152" s="5">
        <f>MIN(1,MAX(0,$AB$26-($A152-1)))</f>
        <v>1</v>
      </c>
      <c r="AD152" s="5">
        <f>$AB$25*(AC152+(1-AC152)*$AB$16)</f>
        <v>252.05322714681438</v>
      </c>
      <c r="AE152" s="13">
        <f>AD152*($AB$6+ACUTE_MARGIN)</f>
        <v>138629.2749307479</v>
      </c>
      <c r="AF152" s="13">
        <f>IF(AB152=1,$AB$31,$AB$32)</f>
        <v>152394.16214437486</v>
      </c>
      <c r="AG152" s="13">
        <f>AE152-AF152</f>
        <v>-13764.887213626964</v>
      </c>
      <c r="AH152" s="13">
        <f>AH151+AG152</f>
        <v>-949777.2177402619</v>
      </c>
      <c r="AI152">
        <f>IF(AH152=MAX($AH$83:$AH$483),$A152,0)</f>
        <v>0</v>
      </c>
      <c r="AJ152">
        <f>IF(AE152&lt;AF152,$A152,B_MAX+1)</f>
        <v>69</v>
      </c>
      <c r="AK152" s="13">
        <f>IF(AB152=1,$AB$35,$AB$36)</f>
        <v>0</v>
      </c>
      <c r="AL152" s="13">
        <f>OCC_DAYS*$AB$41*R_NF_2023-AD152*MCD_SHARE_FREED*R_WAIT_2023</f>
        <v>37367.159242427646</v>
      </c>
      <c r="AM152">
        <f>IF($A152&lt;=$AB$45,1,0)</f>
        <v>0</v>
      </c>
      <c r="BB152">
        <f>IF($BB$31&lt;=$BB$32,IF($A152&lt;=$BB$7,1,2),IF($A152&lt;=RUNG_BEDS_2,2,1))</f>
        <v>1</v>
      </c>
      <c r="BC152" s="5">
        <f>MIN(1,MAX(0,$BB$26-($A152-1)))</f>
        <v>1</v>
      </c>
      <c r="BD152" s="5">
        <f>$BB$25*(BC152+(1-BC152)*$BB$16)</f>
        <v>252.05322714681438</v>
      </c>
      <c r="BE152" s="13">
        <f>BD152*($BB$6+ACUTE_MARGIN)</f>
        <v>370518.24390581716</v>
      </c>
      <c r="BF152" s="13">
        <f>IF(BB152=1,$BB$31,$BB$32)</f>
        <v>152394.16214437486</v>
      </c>
      <c r="BG152" s="13">
        <f>BE152-BF152</f>
        <v>218124.0817614423</v>
      </c>
      <c r="BH152" s="13">
        <f>BH151+BG152</f>
        <v>15050561.641539508</v>
      </c>
      <c r="BI152">
        <f>IF(BH152=MAX($BH$83:$BH$483),$A152,0)</f>
        <v>0</v>
      </c>
      <c r="BJ152">
        <f>IF(BE152&lt;BF152,$A152,B_MAX+1)</f>
        <v>401.0</v>
      </c>
      <c r="BK152" s="13">
        <f>IF(BB152=1,$BB$35,$BB$36)</f>
        <v>0</v>
      </c>
      <c r="BL152" s="13">
        <f>OCC_DAYS*$BB$41*R_NF_2023-BD152*MCD_SHARE_FREED*R_WAIT_2023</f>
        <v>37367.159242427646</v>
      </c>
      <c r="BM152">
        <f>IF($A152&lt;=$BB$45,1,0)</f>
        <v>1</v>
      </c>
      <c r="CB152">
        <f>IF($CB$31&lt;=$CB$32,IF($A152&lt;=$CB$7,1,2),IF($A152&lt;=RUNG_BEDS_2,2,1))</f>
        <v>2</v>
      </c>
      <c r="CC152" s="5">
        <f>MIN(1,MAX(0,$CB$26-($A152-1)))</f>
        <v>1</v>
      </c>
      <c r="CD152" s="5">
        <f>$CB$25*(CC152+(1-CC152)*$CB$16)</f>
        <v>252.05322714681438</v>
      </c>
      <c r="CE152" s="13">
        <f>CD152*($CB$6+ACUTE_MARGIN)</f>
        <v>254573.7594182825</v>
      </c>
      <c r="CF152" s="13">
        <f>IF(CB152=1,$CB$31,$CB$32)</f>
        <v>160718.36940738867</v>
      </c>
      <c r="CG152" s="13">
        <f>CE152-CF152</f>
        <v>93855.39001089384</v>
      </c>
      <c r="CH152" s="13">
        <f>CH151+CG152</f>
        <v>6476021.910751685</v>
      </c>
      <c r="CI152">
        <f>IF(CH152=MAX($CH$83:$CH$483),$A152,0)</f>
        <v>0</v>
      </c>
      <c r="CJ152">
        <f>IF(CE152&lt;CF152,$A152,B_MAX+1)</f>
        <v>401.0</v>
      </c>
      <c r="CK152" s="13">
        <f>IF(CB152=1,$CB$35,$CB$36)</f>
        <v>1560.1194073886782</v>
      </c>
      <c r="CL152" s="13">
        <f>OCC_DAYS*$CB$41*R_NF_2023-CD152*MCD_SHARE_FREED*R_WAIT_2023</f>
        <v>37367.159242427646</v>
      </c>
      <c r="CM152">
        <f>IF($A152&lt;=$CB$45,1,0)</f>
        <v>1</v>
      </c>
      <c r="DB152">
        <f>IF($DB$31&lt;=$DB$32,IF($A152&lt;=$DB$7,1,2),IF($A152&lt;=RUNG_BEDS_2,2,1))</f>
        <v>1</v>
      </c>
      <c r="DC152" s="5">
        <f>MIN(1,MAX(0,$DB$26-($A152-1)))</f>
        <v>1</v>
      </c>
      <c r="DD152" s="5">
        <f>$DB$25*(DC152+(1-DC152)*$DB$16)</f>
        <v>252.05322714681438</v>
      </c>
      <c r="DE152" s="13">
        <f>DD152*($DB$6+ACUTE_MARGIN)</f>
        <v>254573.7594182825</v>
      </c>
      <c r="DF152" s="13">
        <f>IF(DB152=1,$DB$31,$DB$32)</f>
        <v>152394.16214437486</v>
      </c>
      <c r="DG152" s="13">
        <f>DE152-DF152</f>
        <v>102179.59727390765</v>
      </c>
      <c r="DH152" s="13">
        <f>DH151+DG152</f>
        <v>7050392.211899627</v>
      </c>
      <c r="DI152">
        <f>IF(DH152=MAX($DH$83:$DH$483),$A152,0)</f>
        <v>0</v>
      </c>
      <c r="DJ152">
        <f>IF(DE152&lt;DF152,$A152,B_MAX+1)</f>
        <v>401.0</v>
      </c>
      <c r="DK152" s="13">
        <f>IF(DB152=1,$DB$35,$DB$36)</f>
        <v>0</v>
      </c>
      <c r="DL152" s="13">
        <f>OCC_DAYS*$DB$41*R_NF_2023-DD152*MCD_SHARE_FREED*R_WAIT_2023</f>
        <v>37367.159242427646</v>
      </c>
      <c r="DM152">
        <f>IF($A152&lt;=$DB$45,1,0)</f>
        <v>1</v>
      </c>
      <c r="EB152">
        <f>IF($EB$31&lt;=$EB$32,IF($A152&lt;=$EB$7,1,2),IF($A152&lt;=RUNG_BEDS_2,2,1))</f>
        <v>1</v>
      </c>
      <c r="EC152" s="5">
        <f>MIN(1,MAX(0,$EB$26-($A152-1)))</f>
        <v>1</v>
      </c>
      <c r="ED152" s="5">
        <f>$EB$25*(EC152+(1-EC152)*$EB$16)</f>
        <v>252.05322714681438</v>
      </c>
      <c r="EE152" s="13">
        <f>ED152*($EB$6+ACUTE_MARGIN)</f>
        <v>254573.7594182825</v>
      </c>
      <c r="EF152" s="13">
        <f>IF(EB152=1,$EB$31,$EB$32)</f>
        <v>152394.16214437486</v>
      </c>
      <c r="EG152" s="13">
        <f>EE152-EF152</f>
        <v>102179.59727390765</v>
      </c>
      <c r="EH152" s="13">
        <f>EH151+EG152</f>
        <v>7050392.211899627</v>
      </c>
      <c r="EI152">
        <f>IF(EH152=MAX($EH$83:$EH$483),$A152,0)</f>
        <v>0</v>
      </c>
      <c r="EJ152">
        <f>IF(EE152&lt;EF152,$A152,B_MAX+1)</f>
        <v>401.0</v>
      </c>
      <c r="EK152" s="13">
        <f>IF(EB152=1,$EB$35,$EB$36)</f>
        <v>0</v>
      </c>
      <c r="EL152" s="13">
        <f>OCC_DAYS*$EB$41*R_NF_2023-ED152*MCD_SHARE_FREED*R_WAIT_2023</f>
        <v>-63953.16263896705</v>
      </c>
      <c r="EM152">
        <f>IF($A152&lt;=$EB$45,1,0)</f>
        <v>1</v>
      </c>
      <c r="FB152">
        <f>IF($FB$31&lt;=$FB$32,IF($A152&lt;=$FB$7,1,2),IF($A152&lt;=RUNG_BEDS_2,2,1))</f>
        <v>1</v>
      </c>
      <c r="FC152" s="5">
        <f>MIN(1,MAX(0,$FB$26-($A152-1)))</f>
        <v>1</v>
      </c>
      <c r="FD152" s="5">
        <f>$FB$25*(FC152+(1-FC152)*$FB$16)</f>
        <v>252.05322714681438</v>
      </c>
      <c r="FE152" s="13">
        <f>FD152*($FB$6+ACUTE_MARGIN)</f>
        <v>254573.7594182825</v>
      </c>
      <c r="FF152" s="13">
        <f>IF(FB152=1,$FB$31,$FB$32)</f>
        <v>156636.04979437485</v>
      </c>
      <c r="FG152" s="13">
        <f>FE152-FF152</f>
        <v>97937.70962390766</v>
      </c>
      <c r="FH152" s="13">
        <f>FH151+FG152</f>
        <v>6757701.96404963</v>
      </c>
      <c r="FI152">
        <f>IF(FH152=MAX($FH$83:$FH$483),$A152,0)</f>
        <v>0</v>
      </c>
      <c r="FJ152">
        <f>IF(FE152&lt;FF152,$A152,B_MAX+1)</f>
        <v>401.0</v>
      </c>
      <c r="FK152" s="13">
        <f>IF(FB152=1,$FB$35,$FB$36)</f>
        <v>0</v>
      </c>
      <c r="FL152" s="13">
        <f>OCC_DAYS*$FB$41*R_NF_2023-FD152*MCD_SHARE_FREED*R_WAIT_2023</f>
        <v>37367.159242427646</v>
      </c>
      <c r="FM152">
        <f>IF($A152&lt;=$FB$45,1,0)</f>
        <v>1</v>
      </c>
      <c r="GB152">
        <f>IF($GB$31&lt;=$GB$32,IF($A152&lt;=$GB$7,1,2),IF($A152&lt;=RUNG_BEDS_2,2,1))</f>
        <v>1</v>
      </c>
      <c r="GC152" s="5">
        <f>MIN(1,MAX(0,$GB$26-($A152-1)))</f>
        <v>1</v>
      </c>
      <c r="GD152" s="5">
        <f>$GB$25*(GC152+(1-GC152)*$GB$16)</f>
        <v>252.05322714681438</v>
      </c>
      <c r="GE152" s="13">
        <f>GD152*($GB$6+ACUTE_MARGIN)</f>
        <v>254573.7594182825</v>
      </c>
      <c r="GF152" s="13">
        <f>IF(GB152=1,$GB$31,$GB$32)</f>
        <v>152394.16214437486</v>
      </c>
      <c r="GG152" s="13">
        <f>GE152-GF152</f>
        <v>102179.59727390765</v>
      </c>
      <c r="GH152" s="13">
        <f>GH151+GG152</f>
        <v>7050392.211899627</v>
      </c>
      <c r="GI152">
        <f>IF(GH152=MAX($GH$83:$GH$483),$A152,0)</f>
        <v>0</v>
      </c>
      <c r="GJ152">
        <f>IF(GE152&lt;GF152,$A152,B_MAX+1)</f>
        <v>401.0</v>
      </c>
      <c r="GK152" s="13">
        <f>IF(GB152=1,$GB$35,$GB$36)</f>
        <v>0</v>
      </c>
      <c r="GL152" s="13">
        <f>OCC_DAYS*$GB$41*R_NF_2023-GD152*MCD_SHARE_FREED*R_WAIT_2023</f>
        <v>37367.159242427646</v>
      </c>
      <c r="GM152">
        <f>IF($A152&lt;=$GB$45,1,0)</f>
        <v>1</v>
      </c>
      <c r="HB152">
        <f>IF($HB$31&lt;=$HB$32,IF($A152&lt;=$HB$7,1,2),IF($A152&lt;=RUNG_BEDS_2,2,1))</f>
        <v>1</v>
      </c>
      <c r="HC152" s="5">
        <f>MIN(1,MAX(0,$HB$26-($A152-1)))</f>
        <v>1</v>
      </c>
      <c r="HD152" s="5">
        <f>$HB$25*(HC152+(1-HC152)*$HB$16)</f>
        <v>252.05322714681438</v>
      </c>
      <c r="HE152" s="13">
        <f>HD152*($HB$6+ACUTE_MARGIN)</f>
        <v>254573.7594182825</v>
      </c>
      <c r="HF152" s="13">
        <f>IF(HB152=1,$HB$31,$HB$32)</f>
        <v>152456.2970814058</v>
      </c>
      <c r="HG152" s="13">
        <f>HE152-HF152</f>
        <v>102117.46233687672</v>
      </c>
      <c r="HH152" s="13">
        <f>HH151+HG152</f>
        <v>7046104.901244489</v>
      </c>
      <c r="HI152">
        <f>IF(HH152=MAX($HH$83:$HH$483),$A152,0)</f>
        <v>0</v>
      </c>
      <c r="HJ152">
        <f>IF(HE152&lt;HF152,$A152,B_MAX+1)</f>
        <v>401.0</v>
      </c>
      <c r="HK152" s="13">
        <f>IF(HB152=1,$HB$35,$HB$36)</f>
        <v>0</v>
      </c>
      <c r="HL152" s="13">
        <f>OCC_DAYS*$HB$41*R_NF_2023-HD152*MCD_SHARE_FREED*R_WAIT_2023</f>
        <v>37367.159242427646</v>
      </c>
      <c r="HM152">
        <f>IF($A152&lt;=$HB$45,1,0)</f>
        <v>1</v>
      </c>
      <c r="IB152">
        <f>IF($IB$31&lt;=$IB$32,IF($A152&lt;=$IB$7,1,2),IF($A152&lt;=RUNG_BEDS_2,2,1))</f>
        <v>1</v>
      </c>
      <c r="IC152" s="5">
        <f>MIN(1,MAX(0,$IB$26-($A152-1)))</f>
        <v>1</v>
      </c>
      <c r="ID152" s="5">
        <f>$IB$25*(IC152+(1-IC152)*$IB$16)</f>
        <v>252.05322714681438</v>
      </c>
      <c r="IE152" s="13">
        <f>ID152*($IB$6+ACUTE_MARGIN)</f>
        <v>254573.7594182825</v>
      </c>
      <c r="IF152" s="13">
        <f>IF(IB152=1,$IB$31,$IB$32)</f>
        <v>152734.9994534971</v>
      </c>
      <c r="IG152" s="13">
        <f>IE152-IF152</f>
        <v>101838.75996478542</v>
      </c>
      <c r="IH152" s="13">
        <f>IH151+IG152</f>
        <v>7026874.4375702</v>
      </c>
      <c r="II152">
        <f>IF(IH152=MAX($IH$83:$IH$483),$A152,0)</f>
        <v>0</v>
      </c>
      <c r="IJ152">
        <f>IF(IE152&lt;IF152,$A152,B_MAX+1)</f>
        <v>401.0</v>
      </c>
      <c r="IK152" s="13">
        <f>IF(IB152=1,$IB$35,$IB$36)</f>
        <v>0</v>
      </c>
      <c r="IL152" s="13">
        <f>OCC_DAYS*$IB$41*R_NF_2023-ID152*MCD_SHARE_FREED*R_WAIT_2023</f>
        <v>37367.159242427646</v>
      </c>
      <c r="IM152">
        <f>IF($A152&lt;=$IB$45,1,0)</f>
        <v>1</v>
      </c>
      <c r="JB152">
        <f>IF($JB$31&lt;=$JB$32,IF($A152&lt;=$JB$7,1,2),IF($A152&lt;=RUNG_BEDS_2,2,1))</f>
        <v>1</v>
      </c>
      <c r="JC152" s="5">
        <f>MIN(1,MAX(0,$JB$26-($A152-1)))</f>
        <v>1</v>
      </c>
      <c r="JD152" s="5">
        <f>$JB$25*(JC152+(1-JC152)*$JB$16)</f>
        <v>252.05322714681438</v>
      </c>
      <c r="JE152" s="13">
        <f>JD152*($JB$6+ACUTE_MARGIN)</f>
        <v>254573.7594182825</v>
      </c>
      <c r="JF152" s="13">
        <f>IF(JB152=1,$JB$31,$JB$32)</f>
        <v>152394.16214437486</v>
      </c>
      <c r="JG152" s="13">
        <f>JE152-JF152</f>
        <v>102179.59727390765</v>
      </c>
      <c r="JH152" s="13">
        <f>JH151+JG152</f>
        <v>7050392.211899627</v>
      </c>
      <c r="JI152">
        <f>IF(JH152=MAX($JH$83:$JH$483),$A152,0)</f>
        <v>0</v>
      </c>
      <c r="JJ152">
        <f>IF(JE152&lt;JF152,$A152,B_MAX+1)</f>
        <v>401.0</v>
      </c>
      <c r="JK152" s="13">
        <f>IF(JB152=1,$JB$35,$JB$36)</f>
        <v>0</v>
      </c>
      <c r="JL152" s="13">
        <f>OCC_DAYS*$JB$41*R_NF_2023-JD152*MCD_SHARE_FREED*R_WAIT_2023</f>
        <v>37367.159242427646</v>
      </c>
      <c r="JM152">
        <f>IF($A152&lt;=$JB$45,1,0)</f>
        <v>1</v>
      </c>
      <c r="KB152">
        <f>IF($KB$31&lt;=$KB$32,IF($A152&lt;=$KB$7,1,2),IF($A152&lt;=RUNG_BEDS_2,2,1))</f>
        <v>1</v>
      </c>
      <c r="KC152" s="5">
        <f>MIN(1,MAX(0,$KB$26-($A152-1)))</f>
        <v>1</v>
      </c>
      <c r="KD152" s="5">
        <f>$KB$25*(KC152+(1-KC152)*$KB$16)</f>
        <v>126.02661357340719</v>
      </c>
      <c r="KE152" s="13">
        <f>KD152*($KB$6+ACUTE_MARGIN)</f>
        <v>127286.87970914126</v>
      </c>
      <c r="KF152" s="13">
        <f>IF(KB152=1,$KB$31,$KB$32)</f>
        <v>152394.16214437486</v>
      </c>
      <c r="KG152" s="13">
        <f>KE152-KF152</f>
        <v>-25107.282435233603</v>
      </c>
      <c r="KH152" s="13">
        <f>KH151+KG152</f>
        <v>-1732402.488031121</v>
      </c>
      <c r="KI152">
        <f>IF(KH152=MAX($KH$83:$KH$483),$A152,0)</f>
        <v>0</v>
      </c>
      <c r="KJ152">
        <f>IF(KE152&lt;KF152,$A152,B_MAX+1)</f>
        <v>69</v>
      </c>
      <c r="KK152" s="13">
        <f>IF(KB152=1,$KB$35,$KB$36)</f>
        <v>0</v>
      </c>
      <c r="KL152" s="13">
        <f>OCC_DAYS*$KB$41*R_NF_2023-KD152*MCD_SHARE_FREED*R_WAIT_2023</f>
        <v>94673.82103225985</v>
      </c>
      <c r="KM152">
        <f>IF($A152&lt;=$KB$45,1,0)</f>
        <v>0</v>
      </c>
      <c r="LB152">
        <f>IF($LB$31&lt;=$LB$32,IF($A152&lt;=$LB$7,1,2),IF($A152&lt;=RUNG_BEDS_2,2,1))</f>
        <v>1</v>
      </c>
      <c r="LC152" s="5">
        <f>MIN(1,MAX(0,$LB$26-($A152-1)))</f>
        <v>1</v>
      </c>
      <c r="LD152" s="5">
        <f>$LB$25*(LC152+(1-LC152)*$LB$16)</f>
        <v>84.01774238227146</v>
      </c>
      <c r="LE152" s="13">
        <f>LD152*($LB$6+ACUTE_MARGIN)</f>
        <v>84857.91980609419</v>
      </c>
      <c r="LF152" s="13">
        <f>IF(LB152=1,$LB$31,$LB$32)</f>
        <v>152394.16214437486</v>
      </c>
      <c r="LG152" s="13">
        <f>LE152-LF152</f>
        <v>-67536.24233828067</v>
      </c>
      <c r="LH152" s="13">
        <f>LH151+LG152</f>
        <v>-4660000.721341369</v>
      </c>
      <c r="LI152">
        <f>IF(LH152=MAX($LH$83:$LH$483),$A152,0)</f>
        <v>0</v>
      </c>
      <c r="LJ152">
        <f>IF(LE152&lt;LF152,$A152,B_MAX+1)</f>
        <v>69</v>
      </c>
      <c r="LK152" s="13">
        <f>IF(LB152=1,$LB$35,$LB$36)</f>
        <v>0</v>
      </c>
      <c r="LL152" s="13">
        <f>OCC_DAYS*$LB$41*R_NF_2023-LD152*MCD_SHARE_FREED*R_WAIT_2023</f>
        <v>113776.04162887059</v>
      </c>
      <c r="LM152">
        <f>IF($A152&lt;=$LB$45,1,0)</f>
        <v>0</v>
      </c>
      <c r="MB152">
        <f>IF($MB$31&lt;=$MB$32,IF($A152&lt;=$MB$7,1,2),IF($A152&lt;=RUNG_BEDS_2,2,1))</f>
        <v>1</v>
      </c>
      <c r="MC152" s="5">
        <f>MIN(1,MAX(0,$MB$26-($A152-1)))</f>
        <v>1</v>
      </c>
      <c r="MD152" s="5">
        <f>$MB$25*(MC152+(1-MC152)*$MB$16)</f>
        <v>213.44610951008647</v>
      </c>
      <c r="ME152" s="13">
        <f>MD152*($MB$6+ACUTE_MARGIN)</f>
        <v>215580.57060518733</v>
      </c>
      <c r="MF152" s="13">
        <f>IF(MB152=1,$MB$31,$MB$32)</f>
        <v>152394.16214437486</v>
      </c>
      <c r="MG152" s="13">
        <f>ME152-MF152</f>
        <v>63186.40846081247</v>
      </c>
      <c r="MH152" s="13">
        <f>MH151+MG152</f>
        <v>4359862.183796065</v>
      </c>
      <c r="MI152">
        <f>IF(MH152=MAX($MH$83:$MH$483),$A152,0)</f>
        <v>0</v>
      </c>
      <c r="MJ152">
        <f>IF(ME152&lt;MF152,$A152,B_MAX+1)</f>
        <v>401.0</v>
      </c>
      <c r="MK152" s="13">
        <f>IF(MB152=1,$MB$35,$MB$36)</f>
        <v>0</v>
      </c>
      <c r="ML152" s="13">
        <f>OCC_DAYS*$MB$41*R_NF_2023-MD152*MCD_SHARE_FREED*R_WAIT_2023</f>
        <v>54922.538779778624</v>
      </c>
      <c r="MM152">
        <f>IF($A152&lt;=$MB$45,1,0)</f>
        <v>1</v>
      </c>
      <c r="NB152">
        <f>IF($NB$31&lt;=$NB$32,IF($A152&lt;=$NB$7,1,2),IF($A152&lt;=RUNG_BEDS_2,2,1))</f>
        <v>1</v>
      </c>
      <c r="NC152" s="5">
        <f>MIN(1,MAX(0,$NB$26-($A152-1)))</f>
        <v>1</v>
      </c>
      <c r="ND152" s="5">
        <f>$NB$25*(NC152+(1-NC152)*$NB$16)</f>
        <v>252.05322714681438</v>
      </c>
      <c r="NE152" s="13">
        <f>ND152*($NB$6+ACUTE_MARGIN)</f>
        <v>254573.7594182825</v>
      </c>
      <c r="NF152" s="13">
        <f>IF(NB152=1,$NB$31,$NB$32)</f>
        <v>152394.16214437486</v>
      </c>
      <c r="NG152" s="13">
        <f>NE152-NF152</f>
        <v>102179.59727390765</v>
      </c>
      <c r="NH152" s="13">
        <f>NH151+NG152</f>
        <v>7050392.211899627</v>
      </c>
      <c r="NI152">
        <f>IF(NH152=MAX($NH$83:$NH$483),$A152,0)</f>
        <v>0</v>
      </c>
      <c r="NJ152">
        <f>IF(NE152&lt;NF152,$A152,B_MAX+1)</f>
        <v>401.0</v>
      </c>
      <c r="NK152" s="13">
        <f>IF(NB152=1,$NB$35,$NB$36)</f>
        <v>0</v>
      </c>
      <c r="NL152" s="13">
        <f>OCC_DAYS*$NB$41*R_NF_2023-ND152*MCD_SHARE_FREED*R_WAIT_2023</f>
        <v>37367.159242427646</v>
      </c>
      <c r="NM152">
        <f>IF($A152&lt;=$NB$45,1,0)</f>
        <v>1</v>
      </c>
      <c r="OB152">
        <f>IF($OB$31&lt;=$OB$32,IF($A152&lt;=$OB$7,1,2),IF($A152&lt;=RUNG_BEDS_2,2,1))</f>
        <v>1</v>
      </c>
      <c r="OC152" s="5">
        <f>MIN(1,MAX(0,$OB$26-($A152-1)))</f>
        <v>1</v>
      </c>
      <c r="OD152" s="5">
        <f>$OB$25*(OC152+(1-OC152)*$OB$16)</f>
        <v>252.05322714681438</v>
      </c>
      <c r="OE152" s="13">
        <f>OD152*($OB$6+ACUTE_MARGIN)</f>
        <v>254573.7594182825</v>
      </c>
      <c r="OF152" s="13">
        <f>IF(OB152=1,$OB$31,$OB$32)</f>
        <v>152394.16214437486</v>
      </c>
      <c r="OG152" s="13">
        <f>OE152-OF152</f>
        <v>102179.59727390765</v>
      </c>
      <c r="OH152" s="13">
        <f>OH151+OG152</f>
        <v>7050392.211899627</v>
      </c>
      <c r="OI152">
        <f>IF(OH152=MAX($OH$83:$OH$483),$A152,0)</f>
        <v>0</v>
      </c>
      <c r="OJ152">
        <f>IF(OE152&lt;OF152,$A152,B_MAX+1)</f>
        <v>401.0</v>
      </c>
      <c r="OK152" s="13">
        <f>IF(OB152=1,$OB$35,$OB$36)</f>
        <v>0</v>
      </c>
      <c r="OL152" s="13">
        <f>OCC_DAYS*$OB$41*R_NF_2023-OD152*MCD_SHARE_FREED*R_WAIT_2023</f>
        <v>37367.159242427646</v>
      </c>
      <c r="OM152">
        <f>IF($A152&lt;=$OB$45,1,0)</f>
        <v>1</v>
      </c>
    </row>
    <row r="153">
      <c r="A153" t="n">
        <v>70</v>
      </c>
      <c r="B153">
        <f>IF($B$31&lt;=$B$32,IF($A153&lt;=$B$7,1,2),IF($A153&lt;=RUNG_BEDS_2,2,1))</f>
        <v>1</v>
      </c>
      <c r="C153" s="5">
        <f>MIN(1,MAX(0,$B$26-($A153-1)))</f>
        <v>1</v>
      </c>
      <c r="D153" s="5">
        <f>$B$25*(C153+(1-C153)*$B$16)</f>
        <v>252.05322714681438</v>
      </c>
      <c r="E153" s="13">
        <f>D153*($B$6+ACUTE_MARGIN)</f>
        <v>254573.7594182825</v>
      </c>
      <c r="F153" s="13">
        <f>IF(B153=1,$B$31,$B$32)</f>
        <v>152394.16214437486</v>
      </c>
      <c r="G153" s="13">
        <f>E153-F153</f>
        <v>102179.59727390765</v>
      </c>
      <c r="H153" s="13">
        <f>H152+G153</f>
        <v>7152571.809173535</v>
      </c>
      <c r="I153">
        <f>IF(H153=MAX($H$83:$H$483),$A153,0)</f>
        <v>0</v>
      </c>
      <c r="J153">
        <f>IF(E153&lt;F153,$A153,B_MAX+1)</f>
        <v>401.0</v>
      </c>
      <c r="K153" s="13">
        <f>IF(B153=1,$B$35,$B$36)</f>
        <v>0</v>
      </c>
      <c r="L153" s="13">
        <f>OCC_DAYS*$B$41*R_NF_2023-D153*MCD_SHARE_FREED*R_WAIT_2023</f>
        <v>37367.159242427646</v>
      </c>
      <c r="M153">
        <f>IF($A153&lt;=$B$45,1,0)</f>
        <v>1</v>
      </c>
      <c r="AB153">
        <f>IF($AB$31&lt;=$AB$32,IF($A153&lt;=$AB$7,1,2),IF($A153&lt;=RUNG_BEDS_2,2,1))</f>
        <v>1</v>
      </c>
      <c r="AC153" s="5">
        <f>MIN(1,MAX(0,$AB$26-($A153-1)))</f>
        <v>1</v>
      </c>
      <c r="AD153" s="5">
        <f>$AB$25*(AC153+(1-AC153)*$AB$16)</f>
        <v>252.05322714681438</v>
      </c>
      <c r="AE153" s="13">
        <f>AD153*($AB$6+ACUTE_MARGIN)</f>
        <v>138629.2749307479</v>
      </c>
      <c r="AF153" s="13">
        <f>IF(AB153=1,$AB$31,$AB$32)</f>
        <v>152394.16214437486</v>
      </c>
      <c r="AG153" s="13">
        <f>AE153-AF153</f>
        <v>-13764.887213626964</v>
      </c>
      <c r="AH153" s="13">
        <f>AH152+AG153</f>
        <v>-963542.1049538889</v>
      </c>
      <c r="AI153">
        <f>IF(AH153=MAX($AH$83:$AH$483),$A153,0)</f>
        <v>0</v>
      </c>
      <c r="AJ153">
        <f>IF(AE153&lt;AF153,$A153,B_MAX+1)</f>
        <v>70</v>
      </c>
      <c r="AK153" s="13">
        <f>IF(AB153=1,$AB$35,$AB$36)</f>
        <v>0</v>
      </c>
      <c r="AL153" s="13">
        <f>OCC_DAYS*$AB$41*R_NF_2023-AD153*MCD_SHARE_FREED*R_WAIT_2023</f>
        <v>37367.159242427646</v>
      </c>
      <c r="AM153">
        <f>IF($A153&lt;=$AB$45,1,0)</f>
        <v>0</v>
      </c>
      <c r="BB153">
        <f>IF($BB$31&lt;=$BB$32,IF($A153&lt;=$BB$7,1,2),IF($A153&lt;=RUNG_BEDS_2,2,1))</f>
        <v>1</v>
      </c>
      <c r="BC153" s="5">
        <f>MIN(1,MAX(0,$BB$26-($A153-1)))</f>
        <v>1</v>
      </c>
      <c r="BD153" s="5">
        <f>$BB$25*(BC153+(1-BC153)*$BB$16)</f>
        <v>252.05322714681438</v>
      </c>
      <c r="BE153" s="13">
        <f>BD153*($BB$6+ACUTE_MARGIN)</f>
        <v>370518.24390581716</v>
      </c>
      <c r="BF153" s="13">
        <f>IF(BB153=1,$BB$31,$BB$32)</f>
        <v>152394.16214437486</v>
      </c>
      <c r="BG153" s="13">
        <f>BE153-BF153</f>
        <v>218124.0817614423</v>
      </c>
      <c r="BH153" s="13">
        <f>BH152+BG153</f>
        <v>15268685.72330095</v>
      </c>
      <c r="BI153">
        <f>IF(BH153=MAX($BH$83:$BH$483),$A153,0)</f>
        <v>0</v>
      </c>
      <c r="BJ153">
        <f>IF(BE153&lt;BF153,$A153,B_MAX+1)</f>
        <v>401.0</v>
      </c>
      <c r="BK153" s="13">
        <f>IF(BB153=1,$BB$35,$BB$36)</f>
        <v>0</v>
      </c>
      <c r="BL153" s="13">
        <f>OCC_DAYS*$BB$41*R_NF_2023-BD153*MCD_SHARE_FREED*R_WAIT_2023</f>
        <v>37367.159242427646</v>
      </c>
      <c r="BM153">
        <f>IF($A153&lt;=$BB$45,1,0)</f>
        <v>1</v>
      </c>
      <c r="CB153">
        <f>IF($CB$31&lt;=$CB$32,IF($A153&lt;=$CB$7,1,2),IF($A153&lt;=RUNG_BEDS_2,2,1))</f>
        <v>2</v>
      </c>
      <c r="CC153" s="5">
        <f>MIN(1,MAX(0,$CB$26-($A153-1)))</f>
        <v>1</v>
      </c>
      <c r="CD153" s="5">
        <f>$CB$25*(CC153+(1-CC153)*$CB$16)</f>
        <v>252.05322714681438</v>
      </c>
      <c r="CE153" s="13">
        <f>CD153*($CB$6+ACUTE_MARGIN)</f>
        <v>254573.7594182825</v>
      </c>
      <c r="CF153" s="13">
        <f>IF(CB153=1,$CB$31,$CB$32)</f>
        <v>160718.36940738867</v>
      </c>
      <c r="CG153" s="13">
        <f>CE153-CF153</f>
        <v>93855.39001089384</v>
      </c>
      <c r="CH153" s="13">
        <f>CH152+CG153</f>
        <v>6569877.300762579</v>
      </c>
      <c r="CI153">
        <f>IF(CH153=MAX($CH$83:$CH$483),$A153,0)</f>
        <v>0</v>
      </c>
      <c r="CJ153">
        <f>IF(CE153&lt;CF153,$A153,B_MAX+1)</f>
        <v>401.0</v>
      </c>
      <c r="CK153" s="13">
        <f>IF(CB153=1,$CB$35,$CB$36)</f>
        <v>1560.1194073886782</v>
      </c>
      <c r="CL153" s="13">
        <f>OCC_DAYS*$CB$41*R_NF_2023-CD153*MCD_SHARE_FREED*R_WAIT_2023</f>
        <v>37367.159242427646</v>
      </c>
      <c r="CM153">
        <f>IF($A153&lt;=$CB$45,1,0)</f>
        <v>1</v>
      </c>
      <c r="DB153">
        <f>IF($DB$31&lt;=$DB$32,IF($A153&lt;=$DB$7,1,2),IF($A153&lt;=RUNG_BEDS_2,2,1))</f>
        <v>1</v>
      </c>
      <c r="DC153" s="5">
        <f>MIN(1,MAX(0,$DB$26-($A153-1)))</f>
        <v>1</v>
      </c>
      <c r="DD153" s="5">
        <f>$DB$25*(DC153+(1-DC153)*$DB$16)</f>
        <v>252.05322714681438</v>
      </c>
      <c r="DE153" s="13">
        <f>DD153*($DB$6+ACUTE_MARGIN)</f>
        <v>254573.7594182825</v>
      </c>
      <c r="DF153" s="13">
        <f>IF(DB153=1,$DB$31,$DB$32)</f>
        <v>152394.16214437486</v>
      </c>
      <c r="DG153" s="13">
        <f>DE153-DF153</f>
        <v>102179.59727390765</v>
      </c>
      <c r="DH153" s="13">
        <f>DH152+DG153</f>
        <v>7152571.809173535</v>
      </c>
      <c r="DI153">
        <f>IF(DH153=MAX($DH$83:$DH$483),$A153,0)</f>
        <v>0</v>
      </c>
      <c r="DJ153">
        <f>IF(DE153&lt;DF153,$A153,B_MAX+1)</f>
        <v>401.0</v>
      </c>
      <c r="DK153" s="13">
        <f>IF(DB153=1,$DB$35,$DB$36)</f>
        <v>0</v>
      </c>
      <c r="DL153" s="13">
        <f>OCC_DAYS*$DB$41*R_NF_2023-DD153*MCD_SHARE_FREED*R_WAIT_2023</f>
        <v>37367.159242427646</v>
      </c>
      <c r="DM153">
        <f>IF($A153&lt;=$DB$45,1,0)</f>
        <v>1</v>
      </c>
      <c r="EB153">
        <f>IF($EB$31&lt;=$EB$32,IF($A153&lt;=$EB$7,1,2),IF($A153&lt;=RUNG_BEDS_2,2,1))</f>
        <v>1</v>
      </c>
      <c r="EC153" s="5">
        <f>MIN(1,MAX(0,$EB$26-($A153-1)))</f>
        <v>1</v>
      </c>
      <c r="ED153" s="5">
        <f>$EB$25*(EC153+(1-EC153)*$EB$16)</f>
        <v>252.05322714681438</v>
      </c>
      <c r="EE153" s="13">
        <f>ED153*($EB$6+ACUTE_MARGIN)</f>
        <v>254573.7594182825</v>
      </c>
      <c r="EF153" s="13">
        <f>IF(EB153=1,$EB$31,$EB$32)</f>
        <v>152394.16214437486</v>
      </c>
      <c r="EG153" s="13">
        <f>EE153-EF153</f>
        <v>102179.59727390765</v>
      </c>
      <c r="EH153" s="13">
        <f>EH152+EG153</f>
        <v>7152571.809173535</v>
      </c>
      <c r="EI153">
        <f>IF(EH153=MAX($EH$83:$EH$483),$A153,0)</f>
        <v>0</v>
      </c>
      <c r="EJ153">
        <f>IF(EE153&lt;EF153,$A153,B_MAX+1)</f>
        <v>401.0</v>
      </c>
      <c r="EK153" s="13">
        <f>IF(EB153=1,$EB$35,$EB$36)</f>
        <v>0</v>
      </c>
      <c r="EL153" s="13">
        <f>OCC_DAYS*$EB$41*R_NF_2023-ED153*MCD_SHARE_FREED*R_WAIT_2023</f>
        <v>-63953.16263896705</v>
      </c>
      <c r="EM153">
        <f>IF($A153&lt;=$EB$45,1,0)</f>
        <v>1</v>
      </c>
      <c r="FB153">
        <f>IF($FB$31&lt;=$FB$32,IF($A153&lt;=$FB$7,1,2),IF($A153&lt;=RUNG_BEDS_2,2,1))</f>
        <v>1</v>
      </c>
      <c r="FC153" s="5">
        <f>MIN(1,MAX(0,$FB$26-($A153-1)))</f>
        <v>1</v>
      </c>
      <c r="FD153" s="5">
        <f>$FB$25*(FC153+(1-FC153)*$FB$16)</f>
        <v>252.05322714681438</v>
      </c>
      <c r="FE153" s="13">
        <f>FD153*($FB$6+ACUTE_MARGIN)</f>
        <v>254573.7594182825</v>
      </c>
      <c r="FF153" s="13">
        <f>IF(FB153=1,$FB$31,$FB$32)</f>
        <v>156636.04979437485</v>
      </c>
      <c r="FG153" s="13">
        <f>FE153-FF153</f>
        <v>97937.70962390766</v>
      </c>
      <c r="FH153" s="13">
        <f>FH152+FG153</f>
        <v>6855639.673673538</v>
      </c>
      <c r="FI153">
        <f>IF(FH153=MAX($FH$83:$FH$483),$A153,0)</f>
        <v>0</v>
      </c>
      <c r="FJ153">
        <f>IF(FE153&lt;FF153,$A153,B_MAX+1)</f>
        <v>401.0</v>
      </c>
      <c r="FK153" s="13">
        <f>IF(FB153=1,$FB$35,$FB$36)</f>
        <v>0</v>
      </c>
      <c r="FL153" s="13">
        <f>OCC_DAYS*$FB$41*R_NF_2023-FD153*MCD_SHARE_FREED*R_WAIT_2023</f>
        <v>37367.159242427646</v>
      </c>
      <c r="FM153">
        <f>IF($A153&lt;=$FB$45,1,0)</f>
        <v>1</v>
      </c>
      <c r="GB153">
        <f>IF($GB$31&lt;=$GB$32,IF($A153&lt;=$GB$7,1,2),IF($A153&lt;=RUNG_BEDS_2,2,1))</f>
        <v>1</v>
      </c>
      <c r="GC153" s="5">
        <f>MIN(1,MAX(0,$GB$26-($A153-1)))</f>
        <v>1</v>
      </c>
      <c r="GD153" s="5">
        <f>$GB$25*(GC153+(1-GC153)*$GB$16)</f>
        <v>252.05322714681438</v>
      </c>
      <c r="GE153" s="13">
        <f>GD153*($GB$6+ACUTE_MARGIN)</f>
        <v>254573.7594182825</v>
      </c>
      <c r="GF153" s="13">
        <f>IF(GB153=1,$GB$31,$GB$32)</f>
        <v>152394.16214437486</v>
      </c>
      <c r="GG153" s="13">
        <f>GE153-GF153</f>
        <v>102179.59727390765</v>
      </c>
      <c r="GH153" s="13">
        <f>GH152+GG153</f>
        <v>7152571.809173535</v>
      </c>
      <c r="GI153">
        <f>IF(GH153=MAX($GH$83:$GH$483),$A153,0)</f>
        <v>0</v>
      </c>
      <c r="GJ153">
        <f>IF(GE153&lt;GF153,$A153,B_MAX+1)</f>
        <v>401.0</v>
      </c>
      <c r="GK153" s="13">
        <f>IF(GB153=1,$GB$35,$GB$36)</f>
        <v>0</v>
      </c>
      <c r="GL153" s="13">
        <f>OCC_DAYS*$GB$41*R_NF_2023-GD153*MCD_SHARE_FREED*R_WAIT_2023</f>
        <v>37367.159242427646</v>
      </c>
      <c r="GM153">
        <f>IF($A153&lt;=$GB$45,1,0)</f>
        <v>1</v>
      </c>
      <c r="HB153">
        <f>IF($HB$31&lt;=$HB$32,IF($A153&lt;=$HB$7,1,2),IF($A153&lt;=RUNG_BEDS_2,2,1))</f>
        <v>1</v>
      </c>
      <c r="HC153" s="5">
        <f>MIN(1,MAX(0,$HB$26-($A153-1)))</f>
        <v>1</v>
      </c>
      <c r="HD153" s="5">
        <f>$HB$25*(HC153+(1-HC153)*$HB$16)</f>
        <v>252.05322714681438</v>
      </c>
      <c r="HE153" s="13">
        <f>HD153*($HB$6+ACUTE_MARGIN)</f>
        <v>254573.7594182825</v>
      </c>
      <c r="HF153" s="13">
        <f>IF(HB153=1,$HB$31,$HB$32)</f>
        <v>152456.2970814058</v>
      </c>
      <c r="HG153" s="13">
        <f>HE153-HF153</f>
        <v>102117.46233687672</v>
      </c>
      <c r="HH153" s="13">
        <f>HH152+HG153</f>
        <v>7148222.363581365</v>
      </c>
      <c r="HI153">
        <f>IF(HH153=MAX($HH$83:$HH$483),$A153,0)</f>
        <v>0</v>
      </c>
      <c r="HJ153">
        <f>IF(HE153&lt;HF153,$A153,B_MAX+1)</f>
        <v>401.0</v>
      </c>
      <c r="HK153" s="13">
        <f>IF(HB153=1,$HB$35,$HB$36)</f>
        <v>0</v>
      </c>
      <c r="HL153" s="13">
        <f>OCC_DAYS*$HB$41*R_NF_2023-HD153*MCD_SHARE_FREED*R_WAIT_2023</f>
        <v>37367.159242427646</v>
      </c>
      <c r="HM153">
        <f>IF($A153&lt;=$HB$45,1,0)</f>
        <v>1</v>
      </c>
      <c r="IB153">
        <f>IF($IB$31&lt;=$IB$32,IF($A153&lt;=$IB$7,1,2),IF($A153&lt;=RUNG_BEDS_2,2,1))</f>
        <v>1</v>
      </c>
      <c r="IC153" s="5">
        <f>MIN(1,MAX(0,$IB$26-($A153-1)))</f>
        <v>1</v>
      </c>
      <c r="ID153" s="5">
        <f>$IB$25*(IC153+(1-IC153)*$IB$16)</f>
        <v>252.05322714681438</v>
      </c>
      <c r="IE153" s="13">
        <f>ID153*($IB$6+ACUTE_MARGIN)</f>
        <v>254573.7594182825</v>
      </c>
      <c r="IF153" s="13">
        <f>IF(IB153=1,$IB$31,$IB$32)</f>
        <v>152734.9994534971</v>
      </c>
      <c r="IG153" s="13">
        <f>IE153-IF153</f>
        <v>101838.75996478542</v>
      </c>
      <c r="IH153" s="13">
        <f>IH152+IG153</f>
        <v>7128713.197534986</v>
      </c>
      <c r="II153">
        <f>IF(IH153=MAX($IH$83:$IH$483),$A153,0)</f>
        <v>0</v>
      </c>
      <c r="IJ153">
        <f>IF(IE153&lt;IF153,$A153,B_MAX+1)</f>
        <v>401.0</v>
      </c>
      <c r="IK153" s="13">
        <f>IF(IB153=1,$IB$35,$IB$36)</f>
        <v>0</v>
      </c>
      <c r="IL153" s="13">
        <f>OCC_DAYS*$IB$41*R_NF_2023-ID153*MCD_SHARE_FREED*R_WAIT_2023</f>
        <v>37367.159242427646</v>
      </c>
      <c r="IM153">
        <f>IF($A153&lt;=$IB$45,1,0)</f>
        <v>1</v>
      </c>
      <c r="JB153">
        <f>IF($JB$31&lt;=$JB$32,IF($A153&lt;=$JB$7,1,2),IF($A153&lt;=RUNG_BEDS_2,2,1))</f>
        <v>1</v>
      </c>
      <c r="JC153" s="5">
        <f>MIN(1,MAX(0,$JB$26-($A153-1)))</f>
        <v>1</v>
      </c>
      <c r="JD153" s="5">
        <f>$JB$25*(JC153+(1-JC153)*$JB$16)</f>
        <v>252.05322714681438</v>
      </c>
      <c r="JE153" s="13">
        <f>JD153*($JB$6+ACUTE_MARGIN)</f>
        <v>254573.7594182825</v>
      </c>
      <c r="JF153" s="13">
        <f>IF(JB153=1,$JB$31,$JB$32)</f>
        <v>152394.16214437486</v>
      </c>
      <c r="JG153" s="13">
        <f>JE153-JF153</f>
        <v>102179.59727390765</v>
      </c>
      <c r="JH153" s="13">
        <f>JH152+JG153</f>
        <v>7152571.809173535</v>
      </c>
      <c r="JI153">
        <f>IF(JH153=MAX($JH$83:$JH$483),$A153,0)</f>
        <v>0</v>
      </c>
      <c r="JJ153">
        <f>IF(JE153&lt;JF153,$A153,B_MAX+1)</f>
        <v>401.0</v>
      </c>
      <c r="JK153" s="13">
        <f>IF(JB153=1,$JB$35,$JB$36)</f>
        <v>0</v>
      </c>
      <c r="JL153" s="13">
        <f>OCC_DAYS*$JB$41*R_NF_2023-JD153*MCD_SHARE_FREED*R_WAIT_2023</f>
        <v>37367.159242427646</v>
      </c>
      <c r="JM153">
        <f>IF($A153&lt;=$JB$45,1,0)</f>
        <v>1</v>
      </c>
      <c r="KB153">
        <f>IF($KB$31&lt;=$KB$32,IF($A153&lt;=$KB$7,1,2),IF($A153&lt;=RUNG_BEDS_2,2,1))</f>
        <v>1</v>
      </c>
      <c r="KC153" s="5">
        <f>MIN(1,MAX(0,$KB$26-($A153-1)))</f>
        <v>1</v>
      </c>
      <c r="KD153" s="5">
        <f>$KB$25*(KC153+(1-KC153)*$KB$16)</f>
        <v>126.02661357340719</v>
      </c>
      <c r="KE153" s="13">
        <f>KD153*($KB$6+ACUTE_MARGIN)</f>
        <v>127286.87970914126</v>
      </c>
      <c r="KF153" s="13">
        <f>IF(KB153=1,$KB$31,$KB$32)</f>
        <v>152394.16214437486</v>
      </c>
      <c r="KG153" s="13">
        <f>KE153-KF153</f>
        <v>-25107.282435233603</v>
      </c>
      <c r="KH153" s="13">
        <f>KH152+KG153</f>
        <v>-1757509.7704663547</v>
      </c>
      <c r="KI153">
        <f>IF(KH153=MAX($KH$83:$KH$483),$A153,0)</f>
        <v>0</v>
      </c>
      <c r="KJ153">
        <f>IF(KE153&lt;KF153,$A153,B_MAX+1)</f>
        <v>70</v>
      </c>
      <c r="KK153" s="13">
        <f>IF(KB153=1,$KB$35,$KB$36)</f>
        <v>0</v>
      </c>
      <c r="KL153" s="13">
        <f>OCC_DAYS*$KB$41*R_NF_2023-KD153*MCD_SHARE_FREED*R_WAIT_2023</f>
        <v>94673.82103225985</v>
      </c>
      <c r="KM153">
        <f>IF($A153&lt;=$KB$45,1,0)</f>
        <v>0</v>
      </c>
      <c r="LB153">
        <f>IF($LB$31&lt;=$LB$32,IF($A153&lt;=$LB$7,1,2),IF($A153&lt;=RUNG_BEDS_2,2,1))</f>
        <v>1</v>
      </c>
      <c r="LC153" s="5">
        <f>MIN(1,MAX(0,$LB$26-($A153-1)))</f>
        <v>1</v>
      </c>
      <c r="LD153" s="5">
        <f>$LB$25*(LC153+(1-LC153)*$LB$16)</f>
        <v>84.01774238227146</v>
      </c>
      <c r="LE153" s="13">
        <f>LD153*($LB$6+ACUTE_MARGIN)</f>
        <v>84857.91980609419</v>
      </c>
      <c r="LF153" s="13">
        <f>IF(LB153=1,$LB$31,$LB$32)</f>
        <v>152394.16214437486</v>
      </c>
      <c r="LG153" s="13">
        <f>LE153-LF153</f>
        <v>-67536.24233828067</v>
      </c>
      <c r="LH153" s="13">
        <f>LH152+LG153</f>
        <v>-4727536.96367965</v>
      </c>
      <c r="LI153">
        <f>IF(LH153=MAX($LH$83:$LH$483),$A153,0)</f>
        <v>0</v>
      </c>
      <c r="LJ153">
        <f>IF(LE153&lt;LF153,$A153,B_MAX+1)</f>
        <v>70</v>
      </c>
      <c r="LK153" s="13">
        <f>IF(LB153=1,$LB$35,$LB$36)</f>
        <v>0</v>
      </c>
      <c r="LL153" s="13">
        <f>OCC_DAYS*$LB$41*R_NF_2023-LD153*MCD_SHARE_FREED*R_WAIT_2023</f>
        <v>113776.04162887059</v>
      </c>
      <c r="LM153">
        <f>IF($A153&lt;=$LB$45,1,0)</f>
        <v>0</v>
      </c>
      <c r="MB153">
        <f>IF($MB$31&lt;=$MB$32,IF($A153&lt;=$MB$7,1,2),IF($A153&lt;=RUNG_BEDS_2,2,1))</f>
        <v>1</v>
      </c>
      <c r="MC153" s="5">
        <f>MIN(1,MAX(0,$MB$26-($A153-1)))</f>
        <v>1</v>
      </c>
      <c r="MD153" s="5">
        <f>$MB$25*(MC153+(1-MC153)*$MB$16)</f>
        <v>213.44610951008647</v>
      </c>
      <c r="ME153" s="13">
        <f>MD153*($MB$6+ACUTE_MARGIN)</f>
        <v>215580.57060518733</v>
      </c>
      <c r="MF153" s="13">
        <f>IF(MB153=1,$MB$31,$MB$32)</f>
        <v>152394.16214437486</v>
      </c>
      <c r="MG153" s="13">
        <f>ME153-MF153</f>
        <v>63186.40846081247</v>
      </c>
      <c r="MH153" s="13">
        <f>MH152+MG153</f>
        <v>4423048.592256878</v>
      </c>
      <c r="MI153">
        <f>IF(MH153=MAX($MH$83:$MH$483),$A153,0)</f>
        <v>0</v>
      </c>
      <c r="MJ153">
        <f>IF(ME153&lt;MF153,$A153,B_MAX+1)</f>
        <v>401.0</v>
      </c>
      <c r="MK153" s="13">
        <f>IF(MB153=1,$MB$35,$MB$36)</f>
        <v>0</v>
      </c>
      <c r="ML153" s="13">
        <f>OCC_DAYS*$MB$41*R_NF_2023-MD153*MCD_SHARE_FREED*R_WAIT_2023</f>
        <v>54922.538779778624</v>
      </c>
      <c r="MM153">
        <f>IF($A153&lt;=$MB$45,1,0)</f>
        <v>1</v>
      </c>
      <c r="NB153">
        <f>IF($NB$31&lt;=$NB$32,IF($A153&lt;=$NB$7,1,2),IF($A153&lt;=RUNG_BEDS_2,2,1))</f>
        <v>1</v>
      </c>
      <c r="NC153" s="5">
        <f>MIN(1,MAX(0,$NB$26-($A153-1)))</f>
        <v>1</v>
      </c>
      <c r="ND153" s="5">
        <f>$NB$25*(NC153+(1-NC153)*$NB$16)</f>
        <v>252.05322714681438</v>
      </c>
      <c r="NE153" s="13">
        <f>ND153*($NB$6+ACUTE_MARGIN)</f>
        <v>254573.7594182825</v>
      </c>
      <c r="NF153" s="13">
        <f>IF(NB153=1,$NB$31,$NB$32)</f>
        <v>152394.16214437486</v>
      </c>
      <c r="NG153" s="13">
        <f>NE153-NF153</f>
        <v>102179.59727390765</v>
      </c>
      <c r="NH153" s="13">
        <f>NH152+NG153</f>
        <v>7152571.809173535</v>
      </c>
      <c r="NI153">
        <f>IF(NH153=MAX($NH$83:$NH$483),$A153,0)</f>
        <v>0</v>
      </c>
      <c r="NJ153">
        <f>IF(NE153&lt;NF153,$A153,B_MAX+1)</f>
        <v>401.0</v>
      </c>
      <c r="NK153" s="13">
        <f>IF(NB153=1,$NB$35,$NB$36)</f>
        <v>0</v>
      </c>
      <c r="NL153" s="13">
        <f>OCC_DAYS*$NB$41*R_NF_2023-ND153*MCD_SHARE_FREED*R_WAIT_2023</f>
        <v>37367.159242427646</v>
      </c>
      <c r="NM153">
        <f>IF($A153&lt;=$NB$45,1,0)</f>
        <v>1</v>
      </c>
      <c r="OB153">
        <f>IF($OB$31&lt;=$OB$32,IF($A153&lt;=$OB$7,1,2),IF($A153&lt;=RUNG_BEDS_2,2,1))</f>
        <v>1</v>
      </c>
      <c r="OC153" s="5">
        <f>MIN(1,MAX(0,$OB$26-($A153-1)))</f>
        <v>1</v>
      </c>
      <c r="OD153" s="5">
        <f>$OB$25*(OC153+(1-OC153)*$OB$16)</f>
        <v>252.05322714681438</v>
      </c>
      <c r="OE153" s="13">
        <f>OD153*($OB$6+ACUTE_MARGIN)</f>
        <v>254573.7594182825</v>
      </c>
      <c r="OF153" s="13">
        <f>IF(OB153=1,$OB$31,$OB$32)</f>
        <v>152394.16214437486</v>
      </c>
      <c r="OG153" s="13">
        <f>OE153-OF153</f>
        <v>102179.59727390765</v>
      </c>
      <c r="OH153" s="13">
        <f>OH152+OG153</f>
        <v>7152571.809173535</v>
      </c>
      <c r="OI153">
        <f>IF(OH153=MAX($OH$83:$OH$483),$A153,0)</f>
        <v>0</v>
      </c>
      <c r="OJ153">
        <f>IF(OE153&lt;OF153,$A153,B_MAX+1)</f>
        <v>401.0</v>
      </c>
      <c r="OK153" s="13">
        <f>IF(OB153=1,$OB$35,$OB$36)</f>
        <v>0</v>
      </c>
      <c r="OL153" s="13">
        <f>OCC_DAYS*$OB$41*R_NF_2023-OD153*MCD_SHARE_FREED*R_WAIT_2023</f>
        <v>37367.159242427646</v>
      </c>
      <c r="OM153">
        <f>IF($A153&lt;=$OB$45,1,0)</f>
        <v>1</v>
      </c>
    </row>
    <row r="154">
      <c r="A154" t="n">
        <v>71</v>
      </c>
      <c r="B154">
        <f>IF($B$31&lt;=$B$32,IF($A154&lt;=$B$7,1,2),IF($A154&lt;=RUNG_BEDS_2,2,1))</f>
        <v>1</v>
      </c>
      <c r="C154" s="5">
        <f>MIN(1,MAX(0,$B$26-($A154-1)))</f>
        <v>1</v>
      </c>
      <c r="D154" s="5">
        <f>$B$25*(C154+(1-C154)*$B$16)</f>
        <v>252.05322714681438</v>
      </c>
      <c r="E154" s="13">
        <f>D154*($B$6+ACUTE_MARGIN)</f>
        <v>254573.7594182825</v>
      </c>
      <c r="F154" s="13">
        <f>IF(B154=1,$B$31,$B$32)</f>
        <v>152394.16214437486</v>
      </c>
      <c r="G154" s="13">
        <f>E154-F154</f>
        <v>102179.59727390765</v>
      </c>
      <c r="H154" s="13">
        <f>H153+G154</f>
        <v>7254751.406447442</v>
      </c>
      <c r="I154">
        <f>IF(H154=MAX($H$83:$H$483),$A154,0)</f>
        <v>0</v>
      </c>
      <c r="J154">
        <f>IF(E154&lt;F154,$A154,B_MAX+1)</f>
        <v>401.0</v>
      </c>
      <c r="K154" s="13">
        <f>IF(B154=1,$B$35,$B$36)</f>
        <v>0</v>
      </c>
      <c r="L154" s="13">
        <f>OCC_DAYS*$B$41*R_NF_2023-D154*MCD_SHARE_FREED*R_WAIT_2023</f>
        <v>37367.159242427646</v>
      </c>
      <c r="M154">
        <f>IF($A154&lt;=$B$45,1,0)</f>
        <v>1</v>
      </c>
      <c r="AB154">
        <f>IF($AB$31&lt;=$AB$32,IF($A154&lt;=$AB$7,1,2),IF($A154&lt;=RUNG_BEDS_2,2,1))</f>
        <v>1</v>
      </c>
      <c r="AC154" s="5">
        <f>MIN(1,MAX(0,$AB$26-($A154-1)))</f>
        <v>1</v>
      </c>
      <c r="AD154" s="5">
        <f>$AB$25*(AC154+(1-AC154)*$AB$16)</f>
        <v>252.05322714681438</v>
      </c>
      <c r="AE154" s="13">
        <f>AD154*($AB$6+ACUTE_MARGIN)</f>
        <v>138629.2749307479</v>
      </c>
      <c r="AF154" s="13">
        <f>IF(AB154=1,$AB$31,$AB$32)</f>
        <v>152394.16214437486</v>
      </c>
      <c r="AG154" s="13">
        <f>AE154-AF154</f>
        <v>-13764.887213626964</v>
      </c>
      <c r="AH154" s="13">
        <f>AH153+AG154</f>
        <v>-977306.9921675159</v>
      </c>
      <c r="AI154">
        <f>IF(AH154=MAX($AH$83:$AH$483),$A154,0)</f>
        <v>0</v>
      </c>
      <c r="AJ154">
        <f>IF(AE154&lt;AF154,$A154,B_MAX+1)</f>
        <v>71</v>
      </c>
      <c r="AK154" s="13">
        <f>IF(AB154=1,$AB$35,$AB$36)</f>
        <v>0</v>
      </c>
      <c r="AL154" s="13">
        <f>OCC_DAYS*$AB$41*R_NF_2023-AD154*MCD_SHARE_FREED*R_WAIT_2023</f>
        <v>37367.159242427646</v>
      </c>
      <c r="AM154">
        <f>IF($A154&lt;=$AB$45,1,0)</f>
        <v>0</v>
      </c>
      <c r="BB154">
        <f>IF($BB$31&lt;=$BB$32,IF($A154&lt;=$BB$7,1,2),IF($A154&lt;=RUNG_BEDS_2,2,1))</f>
        <v>1</v>
      </c>
      <c r="BC154" s="5">
        <f>MIN(1,MAX(0,$BB$26-($A154-1)))</f>
        <v>1</v>
      </c>
      <c r="BD154" s="5">
        <f>$BB$25*(BC154+(1-BC154)*$BB$16)</f>
        <v>252.05322714681438</v>
      </c>
      <c r="BE154" s="13">
        <f>BD154*($BB$6+ACUTE_MARGIN)</f>
        <v>370518.24390581716</v>
      </c>
      <c r="BF154" s="13">
        <f>IF(BB154=1,$BB$31,$BB$32)</f>
        <v>152394.16214437486</v>
      </c>
      <c r="BG154" s="13">
        <f>BE154-BF154</f>
        <v>218124.0817614423</v>
      </c>
      <c r="BH154" s="13">
        <f>BH153+BG154</f>
        <v>15486809.805062393</v>
      </c>
      <c r="BI154">
        <f>IF(BH154=MAX($BH$83:$BH$483),$A154,0)</f>
        <v>0</v>
      </c>
      <c r="BJ154">
        <f>IF(BE154&lt;BF154,$A154,B_MAX+1)</f>
        <v>401.0</v>
      </c>
      <c r="BK154" s="13">
        <f>IF(BB154=1,$BB$35,$BB$36)</f>
        <v>0</v>
      </c>
      <c r="BL154" s="13">
        <f>OCC_DAYS*$BB$41*R_NF_2023-BD154*MCD_SHARE_FREED*R_WAIT_2023</f>
        <v>37367.159242427646</v>
      </c>
      <c r="BM154">
        <f>IF($A154&lt;=$BB$45,1,0)</f>
        <v>1</v>
      </c>
      <c r="CB154">
        <f>IF($CB$31&lt;=$CB$32,IF($A154&lt;=$CB$7,1,2),IF($A154&lt;=RUNG_BEDS_2,2,1))</f>
        <v>2</v>
      </c>
      <c r="CC154" s="5">
        <f>MIN(1,MAX(0,$CB$26-($A154-1)))</f>
        <v>1</v>
      </c>
      <c r="CD154" s="5">
        <f>$CB$25*(CC154+(1-CC154)*$CB$16)</f>
        <v>252.05322714681438</v>
      </c>
      <c r="CE154" s="13">
        <f>CD154*($CB$6+ACUTE_MARGIN)</f>
        <v>254573.7594182825</v>
      </c>
      <c r="CF154" s="13">
        <f>IF(CB154=1,$CB$31,$CB$32)</f>
        <v>160718.36940738867</v>
      </c>
      <c r="CG154" s="13">
        <f>CE154-CF154</f>
        <v>93855.39001089384</v>
      </c>
      <c r="CH154" s="13">
        <f>CH153+CG154</f>
        <v>6663732.690773473</v>
      </c>
      <c r="CI154">
        <f>IF(CH154=MAX($CH$83:$CH$483),$A154,0)</f>
        <v>0</v>
      </c>
      <c r="CJ154">
        <f>IF(CE154&lt;CF154,$A154,B_MAX+1)</f>
        <v>401.0</v>
      </c>
      <c r="CK154" s="13">
        <f>IF(CB154=1,$CB$35,$CB$36)</f>
        <v>1560.1194073886782</v>
      </c>
      <c r="CL154" s="13">
        <f>OCC_DAYS*$CB$41*R_NF_2023-CD154*MCD_SHARE_FREED*R_WAIT_2023</f>
        <v>37367.159242427646</v>
      </c>
      <c r="CM154">
        <f>IF($A154&lt;=$CB$45,1,0)</f>
        <v>1</v>
      </c>
      <c r="DB154">
        <f>IF($DB$31&lt;=$DB$32,IF($A154&lt;=$DB$7,1,2),IF($A154&lt;=RUNG_BEDS_2,2,1))</f>
        <v>1</v>
      </c>
      <c r="DC154" s="5">
        <f>MIN(1,MAX(0,$DB$26-($A154-1)))</f>
        <v>1</v>
      </c>
      <c r="DD154" s="5">
        <f>$DB$25*(DC154+(1-DC154)*$DB$16)</f>
        <v>252.05322714681438</v>
      </c>
      <c r="DE154" s="13">
        <f>DD154*($DB$6+ACUTE_MARGIN)</f>
        <v>254573.7594182825</v>
      </c>
      <c r="DF154" s="13">
        <f>IF(DB154=1,$DB$31,$DB$32)</f>
        <v>152394.16214437486</v>
      </c>
      <c r="DG154" s="13">
        <f>DE154-DF154</f>
        <v>102179.59727390765</v>
      </c>
      <c r="DH154" s="13">
        <f>DH153+DG154</f>
        <v>7254751.406447442</v>
      </c>
      <c r="DI154">
        <f>IF(DH154=MAX($DH$83:$DH$483),$A154,0)</f>
        <v>0</v>
      </c>
      <c r="DJ154">
        <f>IF(DE154&lt;DF154,$A154,B_MAX+1)</f>
        <v>401.0</v>
      </c>
      <c r="DK154" s="13">
        <f>IF(DB154=1,$DB$35,$DB$36)</f>
        <v>0</v>
      </c>
      <c r="DL154" s="13">
        <f>OCC_DAYS*$DB$41*R_NF_2023-DD154*MCD_SHARE_FREED*R_WAIT_2023</f>
        <v>37367.159242427646</v>
      </c>
      <c r="DM154">
        <f>IF($A154&lt;=$DB$45,1,0)</f>
        <v>1</v>
      </c>
      <c r="EB154">
        <f>IF($EB$31&lt;=$EB$32,IF($A154&lt;=$EB$7,1,2),IF($A154&lt;=RUNG_BEDS_2,2,1))</f>
        <v>1</v>
      </c>
      <c r="EC154" s="5">
        <f>MIN(1,MAX(0,$EB$26-($A154-1)))</f>
        <v>1</v>
      </c>
      <c r="ED154" s="5">
        <f>$EB$25*(EC154+(1-EC154)*$EB$16)</f>
        <v>252.05322714681438</v>
      </c>
      <c r="EE154" s="13">
        <f>ED154*($EB$6+ACUTE_MARGIN)</f>
        <v>254573.7594182825</v>
      </c>
      <c r="EF154" s="13">
        <f>IF(EB154=1,$EB$31,$EB$32)</f>
        <v>152394.16214437486</v>
      </c>
      <c r="EG154" s="13">
        <f>EE154-EF154</f>
        <v>102179.59727390765</v>
      </c>
      <c r="EH154" s="13">
        <f>EH153+EG154</f>
        <v>7254751.406447442</v>
      </c>
      <c r="EI154">
        <f>IF(EH154=MAX($EH$83:$EH$483),$A154,0)</f>
        <v>0</v>
      </c>
      <c r="EJ154">
        <f>IF(EE154&lt;EF154,$A154,B_MAX+1)</f>
        <v>401.0</v>
      </c>
      <c r="EK154" s="13">
        <f>IF(EB154=1,$EB$35,$EB$36)</f>
        <v>0</v>
      </c>
      <c r="EL154" s="13">
        <f>OCC_DAYS*$EB$41*R_NF_2023-ED154*MCD_SHARE_FREED*R_WAIT_2023</f>
        <v>-63953.16263896705</v>
      </c>
      <c r="EM154">
        <f>IF($A154&lt;=$EB$45,1,0)</f>
        <v>1</v>
      </c>
      <c r="FB154">
        <f>IF($FB$31&lt;=$FB$32,IF($A154&lt;=$FB$7,1,2),IF($A154&lt;=RUNG_BEDS_2,2,1))</f>
        <v>1</v>
      </c>
      <c r="FC154" s="5">
        <f>MIN(1,MAX(0,$FB$26-($A154-1)))</f>
        <v>1</v>
      </c>
      <c r="FD154" s="5">
        <f>$FB$25*(FC154+(1-FC154)*$FB$16)</f>
        <v>252.05322714681438</v>
      </c>
      <c r="FE154" s="13">
        <f>FD154*($FB$6+ACUTE_MARGIN)</f>
        <v>254573.7594182825</v>
      </c>
      <c r="FF154" s="13">
        <f>IF(FB154=1,$FB$31,$FB$32)</f>
        <v>156636.04979437485</v>
      </c>
      <c r="FG154" s="13">
        <f>FE154-FF154</f>
        <v>97937.70962390766</v>
      </c>
      <c r="FH154" s="13">
        <f>FH153+FG154</f>
        <v>6953577.383297445</v>
      </c>
      <c r="FI154">
        <f>IF(FH154=MAX($FH$83:$FH$483),$A154,0)</f>
        <v>0</v>
      </c>
      <c r="FJ154">
        <f>IF(FE154&lt;FF154,$A154,B_MAX+1)</f>
        <v>401.0</v>
      </c>
      <c r="FK154" s="13">
        <f>IF(FB154=1,$FB$35,$FB$36)</f>
        <v>0</v>
      </c>
      <c r="FL154" s="13">
        <f>OCC_DAYS*$FB$41*R_NF_2023-FD154*MCD_SHARE_FREED*R_WAIT_2023</f>
        <v>37367.159242427646</v>
      </c>
      <c r="FM154">
        <f>IF($A154&lt;=$FB$45,1,0)</f>
        <v>1</v>
      </c>
      <c r="GB154">
        <f>IF($GB$31&lt;=$GB$32,IF($A154&lt;=$GB$7,1,2),IF($A154&lt;=RUNG_BEDS_2,2,1))</f>
        <v>1</v>
      </c>
      <c r="GC154" s="5">
        <f>MIN(1,MAX(0,$GB$26-($A154-1)))</f>
        <v>1</v>
      </c>
      <c r="GD154" s="5">
        <f>$GB$25*(GC154+(1-GC154)*$GB$16)</f>
        <v>252.05322714681438</v>
      </c>
      <c r="GE154" s="13">
        <f>GD154*($GB$6+ACUTE_MARGIN)</f>
        <v>254573.7594182825</v>
      </c>
      <c r="GF154" s="13">
        <f>IF(GB154=1,$GB$31,$GB$32)</f>
        <v>152394.16214437486</v>
      </c>
      <c r="GG154" s="13">
        <f>GE154-GF154</f>
        <v>102179.59727390765</v>
      </c>
      <c r="GH154" s="13">
        <f>GH153+GG154</f>
        <v>7254751.406447442</v>
      </c>
      <c r="GI154">
        <f>IF(GH154=MAX($GH$83:$GH$483),$A154,0)</f>
        <v>0</v>
      </c>
      <c r="GJ154">
        <f>IF(GE154&lt;GF154,$A154,B_MAX+1)</f>
        <v>401.0</v>
      </c>
      <c r="GK154" s="13">
        <f>IF(GB154=1,$GB$35,$GB$36)</f>
        <v>0</v>
      </c>
      <c r="GL154" s="13">
        <f>OCC_DAYS*$GB$41*R_NF_2023-GD154*MCD_SHARE_FREED*R_WAIT_2023</f>
        <v>37367.159242427646</v>
      </c>
      <c r="GM154">
        <f>IF($A154&lt;=$GB$45,1,0)</f>
        <v>1</v>
      </c>
      <c r="HB154">
        <f>IF($HB$31&lt;=$HB$32,IF($A154&lt;=$HB$7,1,2),IF($A154&lt;=RUNG_BEDS_2,2,1))</f>
        <v>1</v>
      </c>
      <c r="HC154" s="5">
        <f>MIN(1,MAX(0,$HB$26-($A154-1)))</f>
        <v>1</v>
      </c>
      <c r="HD154" s="5">
        <f>$HB$25*(HC154+(1-HC154)*$HB$16)</f>
        <v>252.05322714681438</v>
      </c>
      <c r="HE154" s="13">
        <f>HD154*($HB$6+ACUTE_MARGIN)</f>
        <v>254573.7594182825</v>
      </c>
      <c r="HF154" s="13">
        <f>IF(HB154=1,$HB$31,$HB$32)</f>
        <v>152456.2970814058</v>
      </c>
      <c r="HG154" s="13">
        <f>HE154-HF154</f>
        <v>102117.46233687672</v>
      </c>
      <c r="HH154" s="13">
        <f>HH153+HG154</f>
        <v>7250339.825918241</v>
      </c>
      <c r="HI154">
        <f>IF(HH154=MAX($HH$83:$HH$483),$A154,0)</f>
        <v>0</v>
      </c>
      <c r="HJ154">
        <f>IF(HE154&lt;HF154,$A154,B_MAX+1)</f>
        <v>401.0</v>
      </c>
      <c r="HK154" s="13">
        <f>IF(HB154=1,$HB$35,$HB$36)</f>
        <v>0</v>
      </c>
      <c r="HL154" s="13">
        <f>OCC_DAYS*$HB$41*R_NF_2023-HD154*MCD_SHARE_FREED*R_WAIT_2023</f>
        <v>37367.159242427646</v>
      </c>
      <c r="HM154">
        <f>IF($A154&lt;=$HB$45,1,0)</f>
        <v>1</v>
      </c>
      <c r="IB154">
        <f>IF($IB$31&lt;=$IB$32,IF($A154&lt;=$IB$7,1,2),IF($A154&lt;=RUNG_BEDS_2,2,1))</f>
        <v>1</v>
      </c>
      <c r="IC154" s="5">
        <f>MIN(1,MAX(0,$IB$26-($A154-1)))</f>
        <v>1</v>
      </c>
      <c r="ID154" s="5">
        <f>$IB$25*(IC154+(1-IC154)*$IB$16)</f>
        <v>252.05322714681438</v>
      </c>
      <c r="IE154" s="13">
        <f>ID154*($IB$6+ACUTE_MARGIN)</f>
        <v>254573.7594182825</v>
      </c>
      <c r="IF154" s="13">
        <f>IF(IB154=1,$IB$31,$IB$32)</f>
        <v>152734.9994534971</v>
      </c>
      <c r="IG154" s="13">
        <f>IE154-IF154</f>
        <v>101838.75996478542</v>
      </c>
      <c r="IH154" s="13">
        <f>IH153+IG154</f>
        <v>7230551.957499771</v>
      </c>
      <c r="II154">
        <f>IF(IH154=MAX($IH$83:$IH$483),$A154,0)</f>
        <v>0</v>
      </c>
      <c r="IJ154">
        <f>IF(IE154&lt;IF154,$A154,B_MAX+1)</f>
        <v>401.0</v>
      </c>
      <c r="IK154" s="13">
        <f>IF(IB154=1,$IB$35,$IB$36)</f>
        <v>0</v>
      </c>
      <c r="IL154" s="13">
        <f>OCC_DAYS*$IB$41*R_NF_2023-ID154*MCD_SHARE_FREED*R_WAIT_2023</f>
        <v>37367.159242427646</v>
      </c>
      <c r="IM154">
        <f>IF($A154&lt;=$IB$45,1,0)</f>
        <v>1</v>
      </c>
      <c r="JB154">
        <f>IF($JB$31&lt;=$JB$32,IF($A154&lt;=$JB$7,1,2),IF($A154&lt;=RUNG_BEDS_2,2,1))</f>
        <v>1</v>
      </c>
      <c r="JC154" s="5">
        <f>MIN(1,MAX(0,$JB$26-($A154-1)))</f>
        <v>1</v>
      </c>
      <c r="JD154" s="5">
        <f>$JB$25*(JC154+(1-JC154)*$JB$16)</f>
        <v>252.05322714681438</v>
      </c>
      <c r="JE154" s="13">
        <f>JD154*($JB$6+ACUTE_MARGIN)</f>
        <v>254573.7594182825</v>
      </c>
      <c r="JF154" s="13">
        <f>IF(JB154=1,$JB$31,$JB$32)</f>
        <v>152394.16214437486</v>
      </c>
      <c r="JG154" s="13">
        <f>JE154-JF154</f>
        <v>102179.59727390765</v>
      </c>
      <c r="JH154" s="13">
        <f>JH153+JG154</f>
        <v>7254751.406447442</v>
      </c>
      <c r="JI154">
        <f>IF(JH154=MAX($JH$83:$JH$483),$A154,0)</f>
        <v>0</v>
      </c>
      <c r="JJ154">
        <f>IF(JE154&lt;JF154,$A154,B_MAX+1)</f>
        <v>401.0</v>
      </c>
      <c r="JK154" s="13">
        <f>IF(JB154=1,$JB$35,$JB$36)</f>
        <v>0</v>
      </c>
      <c r="JL154" s="13">
        <f>OCC_DAYS*$JB$41*R_NF_2023-JD154*MCD_SHARE_FREED*R_WAIT_2023</f>
        <v>37367.159242427646</v>
      </c>
      <c r="JM154">
        <f>IF($A154&lt;=$JB$45,1,0)</f>
        <v>1</v>
      </c>
      <c r="KB154">
        <f>IF($KB$31&lt;=$KB$32,IF($A154&lt;=$KB$7,1,2),IF($A154&lt;=RUNG_BEDS_2,2,1))</f>
        <v>1</v>
      </c>
      <c r="KC154" s="5">
        <f>MIN(1,MAX(0,$KB$26-($A154-1)))</f>
        <v>1</v>
      </c>
      <c r="KD154" s="5">
        <f>$KB$25*(KC154+(1-KC154)*$KB$16)</f>
        <v>126.02661357340719</v>
      </c>
      <c r="KE154" s="13">
        <f>KD154*($KB$6+ACUTE_MARGIN)</f>
        <v>127286.87970914126</v>
      </c>
      <c r="KF154" s="13">
        <f>IF(KB154=1,$KB$31,$KB$32)</f>
        <v>152394.16214437486</v>
      </c>
      <c r="KG154" s="13">
        <f>KE154-KF154</f>
        <v>-25107.282435233603</v>
      </c>
      <c r="KH154" s="13">
        <f>KH153+KG154</f>
        <v>-1782617.0529015884</v>
      </c>
      <c r="KI154">
        <f>IF(KH154=MAX($KH$83:$KH$483),$A154,0)</f>
        <v>0</v>
      </c>
      <c r="KJ154">
        <f>IF(KE154&lt;KF154,$A154,B_MAX+1)</f>
        <v>71</v>
      </c>
      <c r="KK154" s="13">
        <f>IF(KB154=1,$KB$35,$KB$36)</f>
        <v>0</v>
      </c>
      <c r="KL154" s="13">
        <f>OCC_DAYS*$KB$41*R_NF_2023-KD154*MCD_SHARE_FREED*R_WAIT_2023</f>
        <v>94673.82103225985</v>
      </c>
      <c r="KM154">
        <f>IF($A154&lt;=$KB$45,1,0)</f>
        <v>0</v>
      </c>
      <c r="LB154">
        <f>IF($LB$31&lt;=$LB$32,IF($A154&lt;=$LB$7,1,2),IF($A154&lt;=RUNG_BEDS_2,2,1))</f>
        <v>1</v>
      </c>
      <c r="LC154" s="5">
        <f>MIN(1,MAX(0,$LB$26-($A154-1)))</f>
        <v>1</v>
      </c>
      <c r="LD154" s="5">
        <f>$LB$25*(LC154+(1-LC154)*$LB$16)</f>
        <v>84.01774238227146</v>
      </c>
      <c r="LE154" s="13">
        <f>LD154*($LB$6+ACUTE_MARGIN)</f>
        <v>84857.91980609419</v>
      </c>
      <c r="LF154" s="13">
        <f>IF(LB154=1,$LB$31,$LB$32)</f>
        <v>152394.16214437486</v>
      </c>
      <c r="LG154" s="13">
        <f>LE154-LF154</f>
        <v>-67536.24233828067</v>
      </c>
      <c r="LH154" s="13">
        <f>LH153+LG154</f>
        <v>-4795073.206017931</v>
      </c>
      <c r="LI154">
        <f>IF(LH154=MAX($LH$83:$LH$483),$A154,0)</f>
        <v>0</v>
      </c>
      <c r="LJ154">
        <f>IF(LE154&lt;LF154,$A154,B_MAX+1)</f>
        <v>71</v>
      </c>
      <c r="LK154" s="13">
        <f>IF(LB154=1,$LB$35,$LB$36)</f>
        <v>0</v>
      </c>
      <c r="LL154" s="13">
        <f>OCC_DAYS*$LB$41*R_NF_2023-LD154*MCD_SHARE_FREED*R_WAIT_2023</f>
        <v>113776.04162887059</v>
      </c>
      <c r="LM154">
        <f>IF($A154&lt;=$LB$45,1,0)</f>
        <v>0</v>
      </c>
      <c r="MB154">
        <f>IF($MB$31&lt;=$MB$32,IF($A154&lt;=$MB$7,1,2),IF($A154&lt;=RUNG_BEDS_2,2,1))</f>
        <v>1</v>
      </c>
      <c r="MC154" s="5">
        <f>MIN(1,MAX(0,$MB$26-($A154-1)))</f>
        <v>1</v>
      </c>
      <c r="MD154" s="5">
        <f>$MB$25*(MC154+(1-MC154)*$MB$16)</f>
        <v>213.44610951008647</v>
      </c>
      <c r="ME154" s="13">
        <f>MD154*($MB$6+ACUTE_MARGIN)</f>
        <v>215580.57060518733</v>
      </c>
      <c r="MF154" s="13">
        <f>IF(MB154=1,$MB$31,$MB$32)</f>
        <v>152394.16214437486</v>
      </c>
      <c r="MG154" s="13">
        <f>ME154-MF154</f>
        <v>63186.40846081247</v>
      </c>
      <c r="MH154" s="13">
        <f>MH153+MG154</f>
        <v>4486235.00071769</v>
      </c>
      <c r="MI154">
        <f>IF(MH154=MAX($MH$83:$MH$483),$A154,0)</f>
        <v>0</v>
      </c>
      <c r="MJ154">
        <f>IF(ME154&lt;MF154,$A154,B_MAX+1)</f>
        <v>401.0</v>
      </c>
      <c r="MK154" s="13">
        <f>IF(MB154=1,$MB$35,$MB$36)</f>
        <v>0</v>
      </c>
      <c r="ML154" s="13">
        <f>OCC_DAYS*$MB$41*R_NF_2023-MD154*MCD_SHARE_FREED*R_WAIT_2023</f>
        <v>54922.538779778624</v>
      </c>
      <c r="MM154">
        <f>IF($A154&lt;=$MB$45,1,0)</f>
        <v>1</v>
      </c>
      <c r="NB154">
        <f>IF($NB$31&lt;=$NB$32,IF($A154&lt;=$NB$7,1,2),IF($A154&lt;=RUNG_BEDS_2,2,1))</f>
        <v>1</v>
      </c>
      <c r="NC154" s="5">
        <f>MIN(1,MAX(0,$NB$26-($A154-1)))</f>
        <v>1</v>
      </c>
      <c r="ND154" s="5">
        <f>$NB$25*(NC154+(1-NC154)*$NB$16)</f>
        <v>252.05322714681438</v>
      </c>
      <c r="NE154" s="13">
        <f>ND154*($NB$6+ACUTE_MARGIN)</f>
        <v>254573.7594182825</v>
      </c>
      <c r="NF154" s="13">
        <f>IF(NB154=1,$NB$31,$NB$32)</f>
        <v>152394.16214437486</v>
      </c>
      <c r="NG154" s="13">
        <f>NE154-NF154</f>
        <v>102179.59727390765</v>
      </c>
      <c r="NH154" s="13">
        <f>NH153+NG154</f>
        <v>7254751.406447442</v>
      </c>
      <c r="NI154">
        <f>IF(NH154=MAX($NH$83:$NH$483),$A154,0)</f>
        <v>0</v>
      </c>
      <c r="NJ154">
        <f>IF(NE154&lt;NF154,$A154,B_MAX+1)</f>
        <v>401.0</v>
      </c>
      <c r="NK154" s="13">
        <f>IF(NB154=1,$NB$35,$NB$36)</f>
        <v>0</v>
      </c>
      <c r="NL154" s="13">
        <f>OCC_DAYS*$NB$41*R_NF_2023-ND154*MCD_SHARE_FREED*R_WAIT_2023</f>
        <v>37367.159242427646</v>
      </c>
      <c r="NM154">
        <f>IF($A154&lt;=$NB$45,1,0)</f>
        <v>1</v>
      </c>
      <c r="OB154">
        <f>IF($OB$31&lt;=$OB$32,IF($A154&lt;=$OB$7,1,2),IF($A154&lt;=RUNG_BEDS_2,2,1))</f>
        <v>1</v>
      </c>
      <c r="OC154" s="5">
        <f>MIN(1,MAX(0,$OB$26-($A154-1)))</f>
        <v>1</v>
      </c>
      <c r="OD154" s="5">
        <f>$OB$25*(OC154+(1-OC154)*$OB$16)</f>
        <v>252.05322714681438</v>
      </c>
      <c r="OE154" s="13">
        <f>OD154*($OB$6+ACUTE_MARGIN)</f>
        <v>254573.7594182825</v>
      </c>
      <c r="OF154" s="13">
        <f>IF(OB154=1,$OB$31,$OB$32)</f>
        <v>152394.16214437486</v>
      </c>
      <c r="OG154" s="13">
        <f>OE154-OF154</f>
        <v>102179.59727390765</v>
      </c>
      <c r="OH154" s="13">
        <f>OH153+OG154</f>
        <v>7254751.406447442</v>
      </c>
      <c r="OI154">
        <f>IF(OH154=MAX($OH$83:$OH$483),$A154,0)</f>
        <v>0</v>
      </c>
      <c r="OJ154">
        <f>IF(OE154&lt;OF154,$A154,B_MAX+1)</f>
        <v>401.0</v>
      </c>
      <c r="OK154" s="13">
        <f>IF(OB154=1,$OB$35,$OB$36)</f>
        <v>0</v>
      </c>
      <c r="OL154" s="13">
        <f>OCC_DAYS*$OB$41*R_NF_2023-OD154*MCD_SHARE_FREED*R_WAIT_2023</f>
        <v>37367.159242427646</v>
      </c>
      <c r="OM154">
        <f>IF($A154&lt;=$OB$45,1,0)</f>
        <v>1</v>
      </c>
    </row>
    <row r="155">
      <c r="A155" t="n">
        <v>72</v>
      </c>
      <c r="B155">
        <f>IF($B$31&lt;=$B$32,IF($A155&lt;=$B$7,1,2),IF($A155&lt;=RUNG_BEDS_2,2,1))</f>
        <v>1</v>
      </c>
      <c r="C155" s="5">
        <f>MIN(1,MAX(0,$B$26-($A155-1)))</f>
        <v>1</v>
      </c>
      <c r="D155" s="5">
        <f>$B$25*(C155+(1-C155)*$B$16)</f>
        <v>252.05322714681438</v>
      </c>
      <c r="E155" s="13">
        <f>D155*($B$6+ACUTE_MARGIN)</f>
        <v>254573.7594182825</v>
      </c>
      <c r="F155" s="13">
        <f>IF(B155=1,$B$31,$B$32)</f>
        <v>152394.16214437486</v>
      </c>
      <c r="G155" s="13">
        <f>E155-F155</f>
        <v>102179.59727390765</v>
      </c>
      <c r="H155" s="13">
        <f>H154+G155</f>
        <v>7356931.00372135</v>
      </c>
      <c r="I155">
        <f>IF(H155=MAX($H$83:$H$483),$A155,0)</f>
        <v>0</v>
      </c>
      <c r="J155">
        <f>IF(E155&lt;F155,$A155,B_MAX+1)</f>
        <v>401.0</v>
      </c>
      <c r="K155" s="13">
        <f>IF(B155=1,$B$35,$B$36)</f>
        <v>0</v>
      </c>
      <c r="L155" s="13">
        <f>OCC_DAYS*$B$41*R_NF_2023-D155*MCD_SHARE_FREED*R_WAIT_2023</f>
        <v>37367.159242427646</v>
      </c>
      <c r="M155">
        <f>IF($A155&lt;=$B$45,1,0)</f>
        <v>1</v>
      </c>
      <c r="AB155">
        <f>IF($AB$31&lt;=$AB$32,IF($A155&lt;=$AB$7,1,2),IF($A155&lt;=RUNG_BEDS_2,2,1))</f>
        <v>1</v>
      </c>
      <c r="AC155" s="5">
        <f>MIN(1,MAX(0,$AB$26-($A155-1)))</f>
        <v>1</v>
      </c>
      <c r="AD155" s="5">
        <f>$AB$25*(AC155+(1-AC155)*$AB$16)</f>
        <v>252.05322714681438</v>
      </c>
      <c r="AE155" s="13">
        <f>AD155*($AB$6+ACUTE_MARGIN)</f>
        <v>138629.2749307479</v>
      </c>
      <c r="AF155" s="13">
        <f>IF(AB155=1,$AB$31,$AB$32)</f>
        <v>152394.16214437486</v>
      </c>
      <c r="AG155" s="13">
        <f>AE155-AF155</f>
        <v>-13764.887213626964</v>
      </c>
      <c r="AH155" s="13">
        <f>AH154+AG155</f>
        <v>-991071.8793811429</v>
      </c>
      <c r="AI155">
        <f>IF(AH155=MAX($AH$83:$AH$483),$A155,0)</f>
        <v>0</v>
      </c>
      <c r="AJ155">
        <f>IF(AE155&lt;AF155,$A155,B_MAX+1)</f>
        <v>72</v>
      </c>
      <c r="AK155" s="13">
        <f>IF(AB155=1,$AB$35,$AB$36)</f>
        <v>0</v>
      </c>
      <c r="AL155" s="13">
        <f>OCC_DAYS*$AB$41*R_NF_2023-AD155*MCD_SHARE_FREED*R_WAIT_2023</f>
        <v>37367.159242427646</v>
      </c>
      <c r="AM155">
        <f>IF($A155&lt;=$AB$45,1,0)</f>
        <v>0</v>
      </c>
      <c r="BB155">
        <f>IF($BB$31&lt;=$BB$32,IF($A155&lt;=$BB$7,1,2),IF($A155&lt;=RUNG_BEDS_2,2,1))</f>
        <v>1</v>
      </c>
      <c r="BC155" s="5">
        <f>MIN(1,MAX(0,$BB$26-($A155-1)))</f>
        <v>1</v>
      </c>
      <c r="BD155" s="5">
        <f>$BB$25*(BC155+(1-BC155)*$BB$16)</f>
        <v>252.05322714681438</v>
      </c>
      <c r="BE155" s="13">
        <f>BD155*($BB$6+ACUTE_MARGIN)</f>
        <v>370518.24390581716</v>
      </c>
      <c r="BF155" s="13">
        <f>IF(BB155=1,$BB$31,$BB$32)</f>
        <v>152394.16214437486</v>
      </c>
      <c r="BG155" s="13">
        <f>BE155-BF155</f>
        <v>218124.0817614423</v>
      </c>
      <c r="BH155" s="13">
        <f>BH154+BG155</f>
        <v>15704933.886823835</v>
      </c>
      <c r="BI155">
        <f>IF(BH155=MAX($BH$83:$BH$483),$A155,0)</f>
        <v>0</v>
      </c>
      <c r="BJ155">
        <f>IF(BE155&lt;BF155,$A155,B_MAX+1)</f>
        <v>401.0</v>
      </c>
      <c r="BK155" s="13">
        <f>IF(BB155=1,$BB$35,$BB$36)</f>
        <v>0</v>
      </c>
      <c r="BL155" s="13">
        <f>OCC_DAYS*$BB$41*R_NF_2023-BD155*MCD_SHARE_FREED*R_WAIT_2023</f>
        <v>37367.159242427646</v>
      </c>
      <c r="BM155">
        <f>IF($A155&lt;=$BB$45,1,0)</f>
        <v>1</v>
      </c>
      <c r="CB155">
        <f>IF($CB$31&lt;=$CB$32,IF($A155&lt;=$CB$7,1,2),IF($A155&lt;=RUNG_BEDS_2,2,1))</f>
        <v>2</v>
      </c>
      <c r="CC155" s="5">
        <f>MIN(1,MAX(0,$CB$26-($A155-1)))</f>
        <v>1</v>
      </c>
      <c r="CD155" s="5">
        <f>$CB$25*(CC155+(1-CC155)*$CB$16)</f>
        <v>252.05322714681438</v>
      </c>
      <c r="CE155" s="13">
        <f>CD155*($CB$6+ACUTE_MARGIN)</f>
        <v>254573.7594182825</v>
      </c>
      <c r="CF155" s="13">
        <f>IF(CB155=1,$CB$31,$CB$32)</f>
        <v>160718.36940738867</v>
      </c>
      <c r="CG155" s="13">
        <f>CE155-CF155</f>
        <v>93855.39001089384</v>
      </c>
      <c r="CH155" s="13">
        <f>CH154+CG155</f>
        <v>6757588.080784367</v>
      </c>
      <c r="CI155">
        <f>IF(CH155=MAX($CH$83:$CH$483),$A155,0)</f>
        <v>0</v>
      </c>
      <c r="CJ155">
        <f>IF(CE155&lt;CF155,$A155,B_MAX+1)</f>
        <v>401.0</v>
      </c>
      <c r="CK155" s="13">
        <f>IF(CB155=1,$CB$35,$CB$36)</f>
        <v>1560.1194073886782</v>
      </c>
      <c r="CL155" s="13">
        <f>OCC_DAYS*$CB$41*R_NF_2023-CD155*MCD_SHARE_FREED*R_WAIT_2023</f>
        <v>37367.159242427646</v>
      </c>
      <c r="CM155">
        <f>IF($A155&lt;=$CB$45,1,0)</f>
        <v>1</v>
      </c>
      <c r="DB155">
        <f>IF($DB$31&lt;=$DB$32,IF($A155&lt;=$DB$7,1,2),IF($A155&lt;=RUNG_BEDS_2,2,1))</f>
        <v>1</v>
      </c>
      <c r="DC155" s="5">
        <f>MIN(1,MAX(0,$DB$26-($A155-1)))</f>
        <v>1</v>
      </c>
      <c r="DD155" s="5">
        <f>$DB$25*(DC155+(1-DC155)*$DB$16)</f>
        <v>252.05322714681438</v>
      </c>
      <c r="DE155" s="13">
        <f>DD155*($DB$6+ACUTE_MARGIN)</f>
        <v>254573.7594182825</v>
      </c>
      <c r="DF155" s="13">
        <f>IF(DB155=1,$DB$31,$DB$32)</f>
        <v>152394.16214437486</v>
      </c>
      <c r="DG155" s="13">
        <f>DE155-DF155</f>
        <v>102179.59727390765</v>
      </c>
      <c r="DH155" s="13">
        <f>DH154+DG155</f>
        <v>7356931.00372135</v>
      </c>
      <c r="DI155">
        <f>IF(DH155=MAX($DH$83:$DH$483),$A155,0)</f>
        <v>0</v>
      </c>
      <c r="DJ155">
        <f>IF(DE155&lt;DF155,$A155,B_MAX+1)</f>
        <v>401.0</v>
      </c>
      <c r="DK155" s="13">
        <f>IF(DB155=1,$DB$35,$DB$36)</f>
        <v>0</v>
      </c>
      <c r="DL155" s="13">
        <f>OCC_DAYS*$DB$41*R_NF_2023-DD155*MCD_SHARE_FREED*R_WAIT_2023</f>
        <v>37367.159242427646</v>
      </c>
      <c r="DM155">
        <f>IF($A155&lt;=$DB$45,1,0)</f>
        <v>1</v>
      </c>
      <c r="EB155">
        <f>IF($EB$31&lt;=$EB$32,IF($A155&lt;=$EB$7,1,2),IF($A155&lt;=RUNG_BEDS_2,2,1))</f>
        <v>1</v>
      </c>
      <c r="EC155" s="5">
        <f>MIN(1,MAX(0,$EB$26-($A155-1)))</f>
        <v>1</v>
      </c>
      <c r="ED155" s="5">
        <f>$EB$25*(EC155+(1-EC155)*$EB$16)</f>
        <v>252.05322714681438</v>
      </c>
      <c r="EE155" s="13">
        <f>ED155*($EB$6+ACUTE_MARGIN)</f>
        <v>254573.7594182825</v>
      </c>
      <c r="EF155" s="13">
        <f>IF(EB155=1,$EB$31,$EB$32)</f>
        <v>152394.16214437486</v>
      </c>
      <c r="EG155" s="13">
        <f>EE155-EF155</f>
        <v>102179.59727390765</v>
      </c>
      <c r="EH155" s="13">
        <f>EH154+EG155</f>
        <v>7356931.00372135</v>
      </c>
      <c r="EI155">
        <f>IF(EH155=MAX($EH$83:$EH$483),$A155,0)</f>
        <v>0</v>
      </c>
      <c r="EJ155">
        <f>IF(EE155&lt;EF155,$A155,B_MAX+1)</f>
        <v>401.0</v>
      </c>
      <c r="EK155" s="13">
        <f>IF(EB155=1,$EB$35,$EB$36)</f>
        <v>0</v>
      </c>
      <c r="EL155" s="13">
        <f>OCC_DAYS*$EB$41*R_NF_2023-ED155*MCD_SHARE_FREED*R_WAIT_2023</f>
        <v>-63953.16263896705</v>
      </c>
      <c r="EM155">
        <f>IF($A155&lt;=$EB$45,1,0)</f>
        <v>1</v>
      </c>
      <c r="FB155">
        <f>IF($FB$31&lt;=$FB$32,IF($A155&lt;=$FB$7,1,2),IF($A155&lt;=RUNG_BEDS_2,2,1))</f>
        <v>1</v>
      </c>
      <c r="FC155" s="5">
        <f>MIN(1,MAX(0,$FB$26-($A155-1)))</f>
        <v>1</v>
      </c>
      <c r="FD155" s="5">
        <f>$FB$25*(FC155+(1-FC155)*$FB$16)</f>
        <v>252.05322714681438</v>
      </c>
      <c r="FE155" s="13">
        <f>FD155*($FB$6+ACUTE_MARGIN)</f>
        <v>254573.7594182825</v>
      </c>
      <c r="FF155" s="13">
        <f>IF(FB155=1,$FB$31,$FB$32)</f>
        <v>156636.04979437485</v>
      </c>
      <c r="FG155" s="13">
        <f>FE155-FF155</f>
        <v>97937.70962390766</v>
      </c>
      <c r="FH155" s="13">
        <f>FH154+FG155</f>
        <v>7051515.092921353</v>
      </c>
      <c r="FI155">
        <f>IF(FH155=MAX($FH$83:$FH$483),$A155,0)</f>
        <v>0</v>
      </c>
      <c r="FJ155">
        <f>IF(FE155&lt;FF155,$A155,B_MAX+1)</f>
        <v>401.0</v>
      </c>
      <c r="FK155" s="13">
        <f>IF(FB155=1,$FB$35,$FB$36)</f>
        <v>0</v>
      </c>
      <c r="FL155" s="13">
        <f>OCC_DAYS*$FB$41*R_NF_2023-FD155*MCD_SHARE_FREED*R_WAIT_2023</f>
        <v>37367.159242427646</v>
      </c>
      <c r="FM155">
        <f>IF($A155&lt;=$FB$45,1,0)</f>
        <v>1</v>
      </c>
      <c r="GB155">
        <f>IF($GB$31&lt;=$GB$32,IF($A155&lt;=$GB$7,1,2),IF($A155&lt;=RUNG_BEDS_2,2,1))</f>
        <v>1</v>
      </c>
      <c r="GC155" s="5">
        <f>MIN(1,MAX(0,$GB$26-($A155-1)))</f>
        <v>1</v>
      </c>
      <c r="GD155" s="5">
        <f>$GB$25*(GC155+(1-GC155)*$GB$16)</f>
        <v>252.05322714681438</v>
      </c>
      <c r="GE155" s="13">
        <f>GD155*($GB$6+ACUTE_MARGIN)</f>
        <v>254573.7594182825</v>
      </c>
      <c r="GF155" s="13">
        <f>IF(GB155=1,$GB$31,$GB$32)</f>
        <v>152394.16214437486</v>
      </c>
      <c r="GG155" s="13">
        <f>GE155-GF155</f>
        <v>102179.59727390765</v>
      </c>
      <c r="GH155" s="13">
        <f>GH154+GG155</f>
        <v>7356931.00372135</v>
      </c>
      <c r="GI155">
        <f>IF(GH155=MAX($GH$83:$GH$483),$A155,0)</f>
        <v>0</v>
      </c>
      <c r="GJ155">
        <f>IF(GE155&lt;GF155,$A155,B_MAX+1)</f>
        <v>401.0</v>
      </c>
      <c r="GK155" s="13">
        <f>IF(GB155=1,$GB$35,$GB$36)</f>
        <v>0</v>
      </c>
      <c r="GL155" s="13">
        <f>OCC_DAYS*$GB$41*R_NF_2023-GD155*MCD_SHARE_FREED*R_WAIT_2023</f>
        <v>37367.159242427646</v>
      </c>
      <c r="GM155">
        <f>IF($A155&lt;=$GB$45,1,0)</f>
        <v>1</v>
      </c>
      <c r="HB155">
        <f>IF($HB$31&lt;=$HB$32,IF($A155&lt;=$HB$7,1,2),IF($A155&lt;=RUNG_BEDS_2,2,1))</f>
        <v>1</v>
      </c>
      <c r="HC155" s="5">
        <f>MIN(1,MAX(0,$HB$26-($A155-1)))</f>
        <v>1</v>
      </c>
      <c r="HD155" s="5">
        <f>$HB$25*(HC155+(1-HC155)*$HB$16)</f>
        <v>252.05322714681438</v>
      </c>
      <c r="HE155" s="13">
        <f>HD155*($HB$6+ACUTE_MARGIN)</f>
        <v>254573.7594182825</v>
      </c>
      <c r="HF155" s="13">
        <f>IF(HB155=1,$HB$31,$HB$32)</f>
        <v>152456.2970814058</v>
      </c>
      <c r="HG155" s="13">
        <f>HE155-HF155</f>
        <v>102117.46233687672</v>
      </c>
      <c r="HH155" s="13">
        <f>HH154+HG155</f>
        <v>7352457.288255118</v>
      </c>
      <c r="HI155">
        <f>IF(HH155=MAX($HH$83:$HH$483),$A155,0)</f>
        <v>0</v>
      </c>
      <c r="HJ155">
        <f>IF(HE155&lt;HF155,$A155,B_MAX+1)</f>
        <v>401.0</v>
      </c>
      <c r="HK155" s="13">
        <f>IF(HB155=1,$HB$35,$HB$36)</f>
        <v>0</v>
      </c>
      <c r="HL155" s="13">
        <f>OCC_DAYS*$HB$41*R_NF_2023-HD155*MCD_SHARE_FREED*R_WAIT_2023</f>
        <v>37367.159242427646</v>
      </c>
      <c r="HM155">
        <f>IF($A155&lt;=$HB$45,1,0)</f>
        <v>1</v>
      </c>
      <c r="IB155">
        <f>IF($IB$31&lt;=$IB$32,IF($A155&lt;=$IB$7,1,2),IF($A155&lt;=RUNG_BEDS_2,2,1))</f>
        <v>1</v>
      </c>
      <c r="IC155" s="5">
        <f>MIN(1,MAX(0,$IB$26-($A155-1)))</f>
        <v>1</v>
      </c>
      <c r="ID155" s="5">
        <f>$IB$25*(IC155+(1-IC155)*$IB$16)</f>
        <v>252.05322714681438</v>
      </c>
      <c r="IE155" s="13">
        <f>ID155*($IB$6+ACUTE_MARGIN)</f>
        <v>254573.7594182825</v>
      </c>
      <c r="IF155" s="13">
        <f>IF(IB155=1,$IB$31,$IB$32)</f>
        <v>152734.9994534971</v>
      </c>
      <c r="IG155" s="13">
        <f>IE155-IF155</f>
        <v>101838.75996478542</v>
      </c>
      <c r="IH155" s="13">
        <f>IH154+IG155</f>
        <v>7332390.717464557</v>
      </c>
      <c r="II155">
        <f>IF(IH155=MAX($IH$83:$IH$483),$A155,0)</f>
        <v>0</v>
      </c>
      <c r="IJ155">
        <f>IF(IE155&lt;IF155,$A155,B_MAX+1)</f>
        <v>401.0</v>
      </c>
      <c r="IK155" s="13">
        <f>IF(IB155=1,$IB$35,$IB$36)</f>
        <v>0</v>
      </c>
      <c r="IL155" s="13">
        <f>OCC_DAYS*$IB$41*R_NF_2023-ID155*MCD_SHARE_FREED*R_WAIT_2023</f>
        <v>37367.159242427646</v>
      </c>
      <c r="IM155">
        <f>IF($A155&lt;=$IB$45,1,0)</f>
        <v>1</v>
      </c>
      <c r="JB155">
        <f>IF($JB$31&lt;=$JB$32,IF($A155&lt;=$JB$7,1,2),IF($A155&lt;=RUNG_BEDS_2,2,1))</f>
        <v>1</v>
      </c>
      <c r="JC155" s="5">
        <f>MIN(1,MAX(0,$JB$26-($A155-1)))</f>
        <v>1</v>
      </c>
      <c r="JD155" s="5">
        <f>$JB$25*(JC155+(1-JC155)*$JB$16)</f>
        <v>252.05322714681438</v>
      </c>
      <c r="JE155" s="13">
        <f>JD155*($JB$6+ACUTE_MARGIN)</f>
        <v>254573.7594182825</v>
      </c>
      <c r="JF155" s="13">
        <f>IF(JB155=1,$JB$31,$JB$32)</f>
        <v>152394.16214437486</v>
      </c>
      <c r="JG155" s="13">
        <f>JE155-JF155</f>
        <v>102179.59727390765</v>
      </c>
      <c r="JH155" s="13">
        <f>JH154+JG155</f>
        <v>7356931.00372135</v>
      </c>
      <c r="JI155">
        <f>IF(JH155=MAX($JH$83:$JH$483),$A155,0)</f>
        <v>0</v>
      </c>
      <c r="JJ155">
        <f>IF(JE155&lt;JF155,$A155,B_MAX+1)</f>
        <v>401.0</v>
      </c>
      <c r="JK155" s="13">
        <f>IF(JB155=1,$JB$35,$JB$36)</f>
        <v>0</v>
      </c>
      <c r="JL155" s="13">
        <f>OCC_DAYS*$JB$41*R_NF_2023-JD155*MCD_SHARE_FREED*R_WAIT_2023</f>
        <v>37367.159242427646</v>
      </c>
      <c r="JM155">
        <f>IF($A155&lt;=$JB$45,1,0)</f>
        <v>1</v>
      </c>
      <c r="KB155">
        <f>IF($KB$31&lt;=$KB$32,IF($A155&lt;=$KB$7,1,2),IF($A155&lt;=RUNG_BEDS_2,2,1))</f>
        <v>1</v>
      </c>
      <c r="KC155" s="5">
        <f>MIN(1,MAX(0,$KB$26-($A155-1)))</f>
        <v>1</v>
      </c>
      <c r="KD155" s="5">
        <f>$KB$25*(KC155+(1-KC155)*$KB$16)</f>
        <v>126.02661357340719</v>
      </c>
      <c r="KE155" s="13">
        <f>KD155*($KB$6+ACUTE_MARGIN)</f>
        <v>127286.87970914126</v>
      </c>
      <c r="KF155" s="13">
        <f>IF(KB155=1,$KB$31,$KB$32)</f>
        <v>152394.16214437486</v>
      </c>
      <c r="KG155" s="13">
        <f>KE155-KF155</f>
        <v>-25107.282435233603</v>
      </c>
      <c r="KH155" s="13">
        <f>KH154+KG155</f>
        <v>-1807724.335336822</v>
      </c>
      <c r="KI155">
        <f>IF(KH155=MAX($KH$83:$KH$483),$A155,0)</f>
        <v>0</v>
      </c>
      <c r="KJ155">
        <f>IF(KE155&lt;KF155,$A155,B_MAX+1)</f>
        <v>72</v>
      </c>
      <c r="KK155" s="13">
        <f>IF(KB155=1,$KB$35,$KB$36)</f>
        <v>0</v>
      </c>
      <c r="KL155" s="13">
        <f>OCC_DAYS*$KB$41*R_NF_2023-KD155*MCD_SHARE_FREED*R_WAIT_2023</f>
        <v>94673.82103225985</v>
      </c>
      <c r="KM155">
        <f>IF($A155&lt;=$KB$45,1,0)</f>
        <v>0</v>
      </c>
      <c r="LB155">
        <f>IF($LB$31&lt;=$LB$32,IF($A155&lt;=$LB$7,1,2),IF($A155&lt;=RUNG_BEDS_2,2,1))</f>
        <v>1</v>
      </c>
      <c r="LC155" s="5">
        <f>MIN(1,MAX(0,$LB$26-($A155-1)))</f>
        <v>1</v>
      </c>
      <c r="LD155" s="5">
        <f>$LB$25*(LC155+(1-LC155)*$LB$16)</f>
        <v>84.01774238227146</v>
      </c>
      <c r="LE155" s="13">
        <f>LD155*($LB$6+ACUTE_MARGIN)</f>
        <v>84857.91980609419</v>
      </c>
      <c r="LF155" s="13">
        <f>IF(LB155=1,$LB$31,$LB$32)</f>
        <v>152394.16214437486</v>
      </c>
      <c r="LG155" s="13">
        <f>LE155-LF155</f>
        <v>-67536.24233828067</v>
      </c>
      <c r="LH155" s="13">
        <f>LH154+LG155</f>
        <v>-4862609.448356212</v>
      </c>
      <c r="LI155">
        <f>IF(LH155=MAX($LH$83:$LH$483),$A155,0)</f>
        <v>0</v>
      </c>
      <c r="LJ155">
        <f>IF(LE155&lt;LF155,$A155,B_MAX+1)</f>
        <v>72</v>
      </c>
      <c r="LK155" s="13">
        <f>IF(LB155=1,$LB$35,$LB$36)</f>
        <v>0</v>
      </c>
      <c r="LL155" s="13">
        <f>OCC_DAYS*$LB$41*R_NF_2023-LD155*MCD_SHARE_FREED*R_WAIT_2023</f>
        <v>113776.04162887059</v>
      </c>
      <c r="LM155">
        <f>IF($A155&lt;=$LB$45,1,0)</f>
        <v>0</v>
      </c>
      <c r="MB155">
        <f>IF($MB$31&lt;=$MB$32,IF($A155&lt;=$MB$7,1,2),IF($A155&lt;=RUNG_BEDS_2,2,1))</f>
        <v>1</v>
      </c>
      <c r="MC155" s="5">
        <f>MIN(1,MAX(0,$MB$26-($A155-1)))</f>
        <v>1</v>
      </c>
      <c r="MD155" s="5">
        <f>$MB$25*(MC155+(1-MC155)*$MB$16)</f>
        <v>213.44610951008647</v>
      </c>
      <c r="ME155" s="13">
        <f>MD155*($MB$6+ACUTE_MARGIN)</f>
        <v>215580.57060518733</v>
      </c>
      <c r="MF155" s="13">
        <f>IF(MB155=1,$MB$31,$MB$32)</f>
        <v>152394.16214437486</v>
      </c>
      <c r="MG155" s="13">
        <f>ME155-MF155</f>
        <v>63186.40846081247</v>
      </c>
      <c r="MH155" s="13">
        <f>MH154+MG155</f>
        <v>4549421.409178503</v>
      </c>
      <c r="MI155">
        <f>IF(MH155=MAX($MH$83:$MH$483),$A155,0)</f>
        <v>0</v>
      </c>
      <c r="MJ155">
        <f>IF(ME155&lt;MF155,$A155,B_MAX+1)</f>
        <v>401.0</v>
      </c>
      <c r="MK155" s="13">
        <f>IF(MB155=1,$MB$35,$MB$36)</f>
        <v>0</v>
      </c>
      <c r="ML155" s="13">
        <f>OCC_DAYS*$MB$41*R_NF_2023-MD155*MCD_SHARE_FREED*R_WAIT_2023</f>
        <v>54922.538779778624</v>
      </c>
      <c r="MM155">
        <f>IF($A155&lt;=$MB$45,1,0)</f>
        <v>1</v>
      </c>
      <c r="NB155">
        <f>IF($NB$31&lt;=$NB$32,IF($A155&lt;=$NB$7,1,2),IF($A155&lt;=RUNG_BEDS_2,2,1))</f>
        <v>1</v>
      </c>
      <c r="NC155" s="5">
        <f>MIN(1,MAX(0,$NB$26-($A155-1)))</f>
        <v>1</v>
      </c>
      <c r="ND155" s="5">
        <f>$NB$25*(NC155+(1-NC155)*$NB$16)</f>
        <v>252.05322714681438</v>
      </c>
      <c r="NE155" s="13">
        <f>ND155*($NB$6+ACUTE_MARGIN)</f>
        <v>254573.7594182825</v>
      </c>
      <c r="NF155" s="13">
        <f>IF(NB155=1,$NB$31,$NB$32)</f>
        <v>152394.16214437486</v>
      </c>
      <c r="NG155" s="13">
        <f>NE155-NF155</f>
        <v>102179.59727390765</v>
      </c>
      <c r="NH155" s="13">
        <f>NH154+NG155</f>
        <v>7356931.00372135</v>
      </c>
      <c r="NI155">
        <f>IF(NH155=MAX($NH$83:$NH$483),$A155,0)</f>
        <v>0</v>
      </c>
      <c r="NJ155">
        <f>IF(NE155&lt;NF155,$A155,B_MAX+1)</f>
        <v>401.0</v>
      </c>
      <c r="NK155" s="13">
        <f>IF(NB155=1,$NB$35,$NB$36)</f>
        <v>0</v>
      </c>
      <c r="NL155" s="13">
        <f>OCC_DAYS*$NB$41*R_NF_2023-ND155*MCD_SHARE_FREED*R_WAIT_2023</f>
        <v>37367.159242427646</v>
      </c>
      <c r="NM155">
        <f>IF($A155&lt;=$NB$45,1,0)</f>
        <v>1</v>
      </c>
      <c r="OB155">
        <f>IF($OB$31&lt;=$OB$32,IF($A155&lt;=$OB$7,1,2),IF($A155&lt;=RUNG_BEDS_2,2,1))</f>
        <v>1</v>
      </c>
      <c r="OC155" s="5">
        <f>MIN(1,MAX(0,$OB$26-($A155-1)))</f>
        <v>1</v>
      </c>
      <c r="OD155" s="5">
        <f>$OB$25*(OC155+(1-OC155)*$OB$16)</f>
        <v>252.05322714681438</v>
      </c>
      <c r="OE155" s="13">
        <f>OD155*($OB$6+ACUTE_MARGIN)</f>
        <v>254573.7594182825</v>
      </c>
      <c r="OF155" s="13">
        <f>IF(OB155=1,$OB$31,$OB$32)</f>
        <v>152394.16214437486</v>
      </c>
      <c r="OG155" s="13">
        <f>OE155-OF155</f>
        <v>102179.59727390765</v>
      </c>
      <c r="OH155" s="13">
        <f>OH154+OG155</f>
        <v>7356931.00372135</v>
      </c>
      <c r="OI155">
        <f>IF(OH155=MAX($OH$83:$OH$483),$A155,0)</f>
        <v>0</v>
      </c>
      <c r="OJ155">
        <f>IF(OE155&lt;OF155,$A155,B_MAX+1)</f>
        <v>401.0</v>
      </c>
      <c r="OK155" s="13">
        <f>IF(OB155=1,$OB$35,$OB$36)</f>
        <v>0</v>
      </c>
      <c r="OL155" s="13">
        <f>OCC_DAYS*$OB$41*R_NF_2023-OD155*MCD_SHARE_FREED*R_WAIT_2023</f>
        <v>37367.159242427646</v>
      </c>
      <c r="OM155">
        <f>IF($A155&lt;=$OB$45,1,0)</f>
        <v>1</v>
      </c>
    </row>
    <row r="156">
      <c r="A156" t="n">
        <v>73</v>
      </c>
      <c r="B156">
        <f>IF($B$31&lt;=$B$32,IF($A156&lt;=$B$7,1,2),IF($A156&lt;=RUNG_BEDS_2,2,1))</f>
        <v>1</v>
      </c>
      <c r="C156" s="5">
        <f>MIN(1,MAX(0,$B$26-($A156-1)))</f>
        <v>1</v>
      </c>
      <c r="D156" s="5">
        <f>$B$25*(C156+(1-C156)*$B$16)</f>
        <v>252.05322714681438</v>
      </c>
      <c r="E156" s="13">
        <f>D156*($B$6+ACUTE_MARGIN)</f>
        <v>254573.7594182825</v>
      </c>
      <c r="F156" s="13">
        <f>IF(B156=1,$B$31,$B$32)</f>
        <v>152394.16214437486</v>
      </c>
      <c r="G156" s="13">
        <f>E156-F156</f>
        <v>102179.59727390765</v>
      </c>
      <c r="H156" s="13">
        <f>H155+G156</f>
        <v>7459110.6009952575</v>
      </c>
      <c r="I156">
        <f>IF(H156=MAX($H$83:$H$483),$A156,0)</f>
        <v>0</v>
      </c>
      <c r="J156">
        <f>IF(E156&lt;F156,$A156,B_MAX+1)</f>
        <v>401.0</v>
      </c>
      <c r="K156" s="13">
        <f>IF(B156=1,$B$35,$B$36)</f>
        <v>0</v>
      </c>
      <c r="L156" s="13">
        <f>OCC_DAYS*$B$41*R_NF_2023-D156*MCD_SHARE_FREED*R_WAIT_2023</f>
        <v>37367.159242427646</v>
      </c>
      <c r="M156">
        <f>IF($A156&lt;=$B$45,1,0)</f>
        <v>1</v>
      </c>
      <c r="AB156">
        <f>IF($AB$31&lt;=$AB$32,IF($A156&lt;=$AB$7,1,2),IF($A156&lt;=RUNG_BEDS_2,2,1))</f>
        <v>1</v>
      </c>
      <c r="AC156" s="5">
        <f>MIN(1,MAX(0,$AB$26-($A156-1)))</f>
        <v>1</v>
      </c>
      <c r="AD156" s="5">
        <f>$AB$25*(AC156+(1-AC156)*$AB$16)</f>
        <v>252.05322714681438</v>
      </c>
      <c r="AE156" s="13">
        <f>AD156*($AB$6+ACUTE_MARGIN)</f>
        <v>138629.2749307479</v>
      </c>
      <c r="AF156" s="13">
        <f>IF(AB156=1,$AB$31,$AB$32)</f>
        <v>152394.16214437486</v>
      </c>
      <c r="AG156" s="13">
        <f>AE156-AF156</f>
        <v>-13764.887213626964</v>
      </c>
      <c r="AH156" s="13">
        <f>AH155+AG156</f>
        <v>-1004836.7665947699</v>
      </c>
      <c r="AI156">
        <f>IF(AH156=MAX($AH$83:$AH$483),$A156,0)</f>
        <v>0</v>
      </c>
      <c r="AJ156">
        <f>IF(AE156&lt;AF156,$A156,B_MAX+1)</f>
        <v>73</v>
      </c>
      <c r="AK156" s="13">
        <f>IF(AB156=1,$AB$35,$AB$36)</f>
        <v>0</v>
      </c>
      <c r="AL156" s="13">
        <f>OCC_DAYS*$AB$41*R_NF_2023-AD156*MCD_SHARE_FREED*R_WAIT_2023</f>
        <v>37367.159242427646</v>
      </c>
      <c r="AM156">
        <f>IF($A156&lt;=$AB$45,1,0)</f>
        <v>0</v>
      </c>
      <c r="BB156">
        <f>IF($BB$31&lt;=$BB$32,IF($A156&lt;=$BB$7,1,2),IF($A156&lt;=RUNG_BEDS_2,2,1))</f>
        <v>1</v>
      </c>
      <c r="BC156" s="5">
        <f>MIN(1,MAX(0,$BB$26-($A156-1)))</f>
        <v>1</v>
      </c>
      <c r="BD156" s="5">
        <f>$BB$25*(BC156+(1-BC156)*$BB$16)</f>
        <v>252.05322714681438</v>
      </c>
      <c r="BE156" s="13">
        <f>BD156*($BB$6+ACUTE_MARGIN)</f>
        <v>370518.24390581716</v>
      </c>
      <c r="BF156" s="13">
        <f>IF(BB156=1,$BB$31,$BB$32)</f>
        <v>152394.16214437486</v>
      </c>
      <c r="BG156" s="13">
        <f>BE156-BF156</f>
        <v>218124.0817614423</v>
      </c>
      <c r="BH156" s="13">
        <f>BH155+BG156</f>
        <v>15923057.968585277</v>
      </c>
      <c r="BI156">
        <f>IF(BH156=MAX($BH$83:$BH$483),$A156,0)</f>
        <v>0</v>
      </c>
      <c r="BJ156">
        <f>IF(BE156&lt;BF156,$A156,B_MAX+1)</f>
        <v>401.0</v>
      </c>
      <c r="BK156" s="13">
        <f>IF(BB156=1,$BB$35,$BB$36)</f>
        <v>0</v>
      </c>
      <c r="BL156" s="13">
        <f>OCC_DAYS*$BB$41*R_NF_2023-BD156*MCD_SHARE_FREED*R_WAIT_2023</f>
        <v>37367.159242427646</v>
      </c>
      <c r="BM156">
        <f>IF($A156&lt;=$BB$45,1,0)</f>
        <v>1</v>
      </c>
      <c r="CB156">
        <f>IF($CB$31&lt;=$CB$32,IF($A156&lt;=$CB$7,1,2),IF($A156&lt;=RUNG_BEDS_2,2,1))</f>
        <v>2</v>
      </c>
      <c r="CC156" s="5">
        <f>MIN(1,MAX(0,$CB$26-($A156-1)))</f>
        <v>1</v>
      </c>
      <c r="CD156" s="5">
        <f>$CB$25*(CC156+(1-CC156)*$CB$16)</f>
        <v>252.05322714681438</v>
      </c>
      <c r="CE156" s="13">
        <f>CD156*($CB$6+ACUTE_MARGIN)</f>
        <v>254573.7594182825</v>
      </c>
      <c r="CF156" s="13">
        <f>IF(CB156=1,$CB$31,$CB$32)</f>
        <v>160718.36940738867</v>
      </c>
      <c r="CG156" s="13">
        <f>CE156-CF156</f>
        <v>93855.39001089384</v>
      </c>
      <c r="CH156" s="13">
        <f>CH155+CG156</f>
        <v>6851443.470795262</v>
      </c>
      <c r="CI156">
        <f>IF(CH156=MAX($CH$83:$CH$483),$A156,0)</f>
        <v>0</v>
      </c>
      <c r="CJ156">
        <f>IF(CE156&lt;CF156,$A156,B_MAX+1)</f>
        <v>401.0</v>
      </c>
      <c r="CK156" s="13">
        <f>IF(CB156=1,$CB$35,$CB$36)</f>
        <v>1560.1194073886782</v>
      </c>
      <c r="CL156" s="13">
        <f>OCC_DAYS*$CB$41*R_NF_2023-CD156*MCD_SHARE_FREED*R_WAIT_2023</f>
        <v>37367.159242427646</v>
      </c>
      <c r="CM156">
        <f>IF($A156&lt;=$CB$45,1,0)</f>
        <v>1</v>
      </c>
      <c r="DB156">
        <f>IF($DB$31&lt;=$DB$32,IF($A156&lt;=$DB$7,1,2),IF($A156&lt;=RUNG_BEDS_2,2,1))</f>
        <v>1</v>
      </c>
      <c r="DC156" s="5">
        <f>MIN(1,MAX(0,$DB$26-($A156-1)))</f>
        <v>1</v>
      </c>
      <c r="DD156" s="5">
        <f>$DB$25*(DC156+(1-DC156)*$DB$16)</f>
        <v>252.05322714681438</v>
      </c>
      <c r="DE156" s="13">
        <f>DD156*($DB$6+ACUTE_MARGIN)</f>
        <v>254573.7594182825</v>
      </c>
      <c r="DF156" s="13">
        <f>IF(DB156=1,$DB$31,$DB$32)</f>
        <v>152394.16214437486</v>
      </c>
      <c r="DG156" s="13">
        <f>DE156-DF156</f>
        <v>102179.59727390765</v>
      </c>
      <c r="DH156" s="13">
        <f>DH155+DG156</f>
        <v>7459110.6009952575</v>
      </c>
      <c r="DI156">
        <f>IF(DH156=MAX($DH$83:$DH$483),$A156,0)</f>
        <v>0</v>
      </c>
      <c r="DJ156">
        <f>IF(DE156&lt;DF156,$A156,B_MAX+1)</f>
        <v>401.0</v>
      </c>
      <c r="DK156" s="13">
        <f>IF(DB156=1,$DB$35,$DB$36)</f>
        <v>0</v>
      </c>
      <c r="DL156" s="13">
        <f>OCC_DAYS*$DB$41*R_NF_2023-DD156*MCD_SHARE_FREED*R_WAIT_2023</f>
        <v>37367.159242427646</v>
      </c>
      <c r="DM156">
        <f>IF($A156&lt;=$DB$45,1,0)</f>
        <v>1</v>
      </c>
      <c r="EB156">
        <f>IF($EB$31&lt;=$EB$32,IF($A156&lt;=$EB$7,1,2),IF($A156&lt;=RUNG_BEDS_2,2,1))</f>
        <v>1</v>
      </c>
      <c r="EC156" s="5">
        <f>MIN(1,MAX(0,$EB$26-($A156-1)))</f>
        <v>1</v>
      </c>
      <c r="ED156" s="5">
        <f>$EB$25*(EC156+(1-EC156)*$EB$16)</f>
        <v>252.05322714681438</v>
      </c>
      <c r="EE156" s="13">
        <f>ED156*($EB$6+ACUTE_MARGIN)</f>
        <v>254573.7594182825</v>
      </c>
      <c r="EF156" s="13">
        <f>IF(EB156=1,$EB$31,$EB$32)</f>
        <v>152394.16214437486</v>
      </c>
      <c r="EG156" s="13">
        <f>EE156-EF156</f>
        <v>102179.59727390765</v>
      </c>
      <c r="EH156" s="13">
        <f>EH155+EG156</f>
        <v>7459110.6009952575</v>
      </c>
      <c r="EI156">
        <f>IF(EH156=MAX($EH$83:$EH$483),$A156,0)</f>
        <v>0</v>
      </c>
      <c r="EJ156">
        <f>IF(EE156&lt;EF156,$A156,B_MAX+1)</f>
        <v>401.0</v>
      </c>
      <c r="EK156" s="13">
        <f>IF(EB156=1,$EB$35,$EB$36)</f>
        <v>0</v>
      </c>
      <c r="EL156" s="13">
        <f>OCC_DAYS*$EB$41*R_NF_2023-ED156*MCD_SHARE_FREED*R_WAIT_2023</f>
        <v>-63953.16263896705</v>
      </c>
      <c r="EM156">
        <f>IF($A156&lt;=$EB$45,1,0)</f>
        <v>1</v>
      </c>
      <c r="FB156">
        <f>IF($FB$31&lt;=$FB$32,IF($A156&lt;=$FB$7,1,2),IF($A156&lt;=RUNG_BEDS_2,2,1))</f>
        <v>1</v>
      </c>
      <c r="FC156" s="5">
        <f>MIN(1,MAX(0,$FB$26-($A156-1)))</f>
        <v>1</v>
      </c>
      <c r="FD156" s="5">
        <f>$FB$25*(FC156+(1-FC156)*$FB$16)</f>
        <v>252.05322714681438</v>
      </c>
      <c r="FE156" s="13">
        <f>FD156*($FB$6+ACUTE_MARGIN)</f>
        <v>254573.7594182825</v>
      </c>
      <c r="FF156" s="13">
        <f>IF(FB156=1,$FB$31,$FB$32)</f>
        <v>156636.04979437485</v>
      </c>
      <c r="FG156" s="13">
        <f>FE156-FF156</f>
        <v>97937.70962390766</v>
      </c>
      <c r="FH156" s="13">
        <f>FH155+FG156</f>
        <v>7149452.802545261</v>
      </c>
      <c r="FI156">
        <f>IF(FH156=MAX($FH$83:$FH$483),$A156,0)</f>
        <v>0</v>
      </c>
      <c r="FJ156">
        <f>IF(FE156&lt;FF156,$A156,B_MAX+1)</f>
        <v>401.0</v>
      </c>
      <c r="FK156" s="13">
        <f>IF(FB156=1,$FB$35,$FB$36)</f>
        <v>0</v>
      </c>
      <c r="FL156" s="13">
        <f>OCC_DAYS*$FB$41*R_NF_2023-FD156*MCD_SHARE_FREED*R_WAIT_2023</f>
        <v>37367.159242427646</v>
      </c>
      <c r="FM156">
        <f>IF($A156&lt;=$FB$45,1,0)</f>
        <v>1</v>
      </c>
      <c r="GB156">
        <f>IF($GB$31&lt;=$GB$32,IF($A156&lt;=$GB$7,1,2),IF($A156&lt;=RUNG_BEDS_2,2,1))</f>
        <v>1</v>
      </c>
      <c r="GC156" s="5">
        <f>MIN(1,MAX(0,$GB$26-($A156-1)))</f>
        <v>1</v>
      </c>
      <c r="GD156" s="5">
        <f>$GB$25*(GC156+(1-GC156)*$GB$16)</f>
        <v>252.05322714681438</v>
      </c>
      <c r="GE156" s="13">
        <f>GD156*($GB$6+ACUTE_MARGIN)</f>
        <v>254573.7594182825</v>
      </c>
      <c r="GF156" s="13">
        <f>IF(GB156=1,$GB$31,$GB$32)</f>
        <v>152394.16214437486</v>
      </c>
      <c r="GG156" s="13">
        <f>GE156-GF156</f>
        <v>102179.59727390765</v>
      </c>
      <c r="GH156" s="13">
        <f>GH155+GG156</f>
        <v>7459110.6009952575</v>
      </c>
      <c r="GI156">
        <f>IF(GH156=MAX($GH$83:$GH$483),$A156,0)</f>
        <v>0</v>
      </c>
      <c r="GJ156">
        <f>IF(GE156&lt;GF156,$A156,B_MAX+1)</f>
        <v>401.0</v>
      </c>
      <c r="GK156" s="13">
        <f>IF(GB156=1,$GB$35,$GB$36)</f>
        <v>0</v>
      </c>
      <c r="GL156" s="13">
        <f>OCC_DAYS*$GB$41*R_NF_2023-GD156*MCD_SHARE_FREED*R_WAIT_2023</f>
        <v>37367.159242427646</v>
      </c>
      <c r="GM156">
        <f>IF($A156&lt;=$GB$45,1,0)</f>
        <v>1</v>
      </c>
      <c r="HB156">
        <f>IF($HB$31&lt;=$HB$32,IF($A156&lt;=$HB$7,1,2),IF($A156&lt;=RUNG_BEDS_2,2,1))</f>
        <v>1</v>
      </c>
      <c r="HC156" s="5">
        <f>MIN(1,MAX(0,$HB$26-($A156-1)))</f>
        <v>1</v>
      </c>
      <c r="HD156" s="5">
        <f>$HB$25*(HC156+(1-HC156)*$HB$16)</f>
        <v>252.05322714681438</v>
      </c>
      <c r="HE156" s="13">
        <f>HD156*($HB$6+ACUTE_MARGIN)</f>
        <v>254573.7594182825</v>
      </c>
      <c r="HF156" s="13">
        <f>IF(HB156=1,$HB$31,$HB$32)</f>
        <v>152456.2970814058</v>
      </c>
      <c r="HG156" s="13">
        <f>HE156-HF156</f>
        <v>102117.46233687672</v>
      </c>
      <c r="HH156" s="13">
        <f>HH155+HG156</f>
        <v>7454574.750591994</v>
      </c>
      <c r="HI156">
        <f>IF(HH156=MAX($HH$83:$HH$483),$A156,0)</f>
        <v>0</v>
      </c>
      <c r="HJ156">
        <f>IF(HE156&lt;HF156,$A156,B_MAX+1)</f>
        <v>401.0</v>
      </c>
      <c r="HK156" s="13">
        <f>IF(HB156=1,$HB$35,$HB$36)</f>
        <v>0</v>
      </c>
      <c r="HL156" s="13">
        <f>OCC_DAYS*$HB$41*R_NF_2023-HD156*MCD_SHARE_FREED*R_WAIT_2023</f>
        <v>37367.159242427646</v>
      </c>
      <c r="HM156">
        <f>IF($A156&lt;=$HB$45,1,0)</f>
        <v>1</v>
      </c>
      <c r="IB156">
        <f>IF($IB$31&lt;=$IB$32,IF($A156&lt;=$IB$7,1,2),IF($A156&lt;=RUNG_BEDS_2,2,1))</f>
        <v>1</v>
      </c>
      <c r="IC156" s="5">
        <f>MIN(1,MAX(0,$IB$26-($A156-1)))</f>
        <v>1</v>
      </c>
      <c r="ID156" s="5">
        <f>$IB$25*(IC156+(1-IC156)*$IB$16)</f>
        <v>252.05322714681438</v>
      </c>
      <c r="IE156" s="13">
        <f>ID156*($IB$6+ACUTE_MARGIN)</f>
        <v>254573.7594182825</v>
      </c>
      <c r="IF156" s="13">
        <f>IF(IB156=1,$IB$31,$IB$32)</f>
        <v>152734.9994534971</v>
      </c>
      <c r="IG156" s="13">
        <f>IE156-IF156</f>
        <v>101838.75996478542</v>
      </c>
      <c r="IH156" s="13">
        <f>IH155+IG156</f>
        <v>7434229.477429342</v>
      </c>
      <c r="II156">
        <f>IF(IH156=MAX($IH$83:$IH$483),$A156,0)</f>
        <v>0</v>
      </c>
      <c r="IJ156">
        <f>IF(IE156&lt;IF156,$A156,B_MAX+1)</f>
        <v>401.0</v>
      </c>
      <c r="IK156" s="13">
        <f>IF(IB156=1,$IB$35,$IB$36)</f>
        <v>0</v>
      </c>
      <c r="IL156" s="13">
        <f>OCC_DAYS*$IB$41*R_NF_2023-ID156*MCD_SHARE_FREED*R_WAIT_2023</f>
        <v>37367.159242427646</v>
      </c>
      <c r="IM156">
        <f>IF($A156&lt;=$IB$45,1,0)</f>
        <v>1</v>
      </c>
      <c r="JB156">
        <f>IF($JB$31&lt;=$JB$32,IF($A156&lt;=$JB$7,1,2),IF($A156&lt;=RUNG_BEDS_2,2,1))</f>
        <v>1</v>
      </c>
      <c r="JC156" s="5">
        <f>MIN(1,MAX(0,$JB$26-($A156-1)))</f>
        <v>1</v>
      </c>
      <c r="JD156" s="5">
        <f>$JB$25*(JC156+(1-JC156)*$JB$16)</f>
        <v>252.05322714681438</v>
      </c>
      <c r="JE156" s="13">
        <f>JD156*($JB$6+ACUTE_MARGIN)</f>
        <v>254573.7594182825</v>
      </c>
      <c r="JF156" s="13">
        <f>IF(JB156=1,$JB$31,$JB$32)</f>
        <v>152394.16214437486</v>
      </c>
      <c r="JG156" s="13">
        <f>JE156-JF156</f>
        <v>102179.59727390765</v>
      </c>
      <c r="JH156" s="13">
        <f>JH155+JG156</f>
        <v>7459110.6009952575</v>
      </c>
      <c r="JI156">
        <f>IF(JH156=MAX($JH$83:$JH$483),$A156,0)</f>
        <v>0</v>
      </c>
      <c r="JJ156">
        <f>IF(JE156&lt;JF156,$A156,B_MAX+1)</f>
        <v>401.0</v>
      </c>
      <c r="JK156" s="13">
        <f>IF(JB156=1,$JB$35,$JB$36)</f>
        <v>0</v>
      </c>
      <c r="JL156" s="13">
        <f>OCC_DAYS*$JB$41*R_NF_2023-JD156*MCD_SHARE_FREED*R_WAIT_2023</f>
        <v>37367.159242427646</v>
      </c>
      <c r="JM156">
        <f>IF($A156&lt;=$JB$45,1,0)</f>
        <v>1</v>
      </c>
      <c r="KB156">
        <f>IF($KB$31&lt;=$KB$32,IF($A156&lt;=$KB$7,1,2),IF($A156&lt;=RUNG_BEDS_2,2,1))</f>
        <v>1</v>
      </c>
      <c r="KC156" s="5">
        <f>MIN(1,MAX(0,$KB$26-($A156-1)))</f>
        <v>1</v>
      </c>
      <c r="KD156" s="5">
        <f>$KB$25*(KC156+(1-KC156)*$KB$16)</f>
        <v>126.02661357340719</v>
      </c>
      <c r="KE156" s="13">
        <f>KD156*($KB$6+ACUTE_MARGIN)</f>
        <v>127286.87970914126</v>
      </c>
      <c r="KF156" s="13">
        <f>IF(KB156=1,$KB$31,$KB$32)</f>
        <v>152394.16214437486</v>
      </c>
      <c r="KG156" s="13">
        <f>KE156-KF156</f>
        <v>-25107.282435233603</v>
      </c>
      <c r="KH156" s="13">
        <f>KH155+KG156</f>
        <v>-1832831.6177720558</v>
      </c>
      <c r="KI156">
        <f>IF(KH156=MAX($KH$83:$KH$483),$A156,0)</f>
        <v>0</v>
      </c>
      <c r="KJ156">
        <f>IF(KE156&lt;KF156,$A156,B_MAX+1)</f>
        <v>73</v>
      </c>
      <c r="KK156" s="13">
        <f>IF(KB156=1,$KB$35,$KB$36)</f>
        <v>0</v>
      </c>
      <c r="KL156" s="13">
        <f>OCC_DAYS*$KB$41*R_NF_2023-KD156*MCD_SHARE_FREED*R_WAIT_2023</f>
        <v>94673.82103225985</v>
      </c>
      <c r="KM156">
        <f>IF($A156&lt;=$KB$45,1,0)</f>
        <v>0</v>
      </c>
      <c r="LB156">
        <f>IF($LB$31&lt;=$LB$32,IF($A156&lt;=$LB$7,1,2),IF($A156&lt;=RUNG_BEDS_2,2,1))</f>
        <v>1</v>
      </c>
      <c r="LC156" s="5">
        <f>MIN(1,MAX(0,$LB$26-($A156-1)))</f>
        <v>1</v>
      </c>
      <c r="LD156" s="5">
        <f>$LB$25*(LC156+(1-LC156)*$LB$16)</f>
        <v>84.01774238227146</v>
      </c>
      <c r="LE156" s="13">
        <f>LD156*($LB$6+ACUTE_MARGIN)</f>
        <v>84857.91980609419</v>
      </c>
      <c r="LF156" s="13">
        <f>IF(LB156=1,$LB$31,$LB$32)</f>
        <v>152394.16214437486</v>
      </c>
      <c r="LG156" s="13">
        <f>LE156-LF156</f>
        <v>-67536.24233828067</v>
      </c>
      <c r="LH156" s="13">
        <f>LH155+LG156</f>
        <v>-4930145.690694493</v>
      </c>
      <c r="LI156">
        <f>IF(LH156=MAX($LH$83:$LH$483),$A156,0)</f>
        <v>0</v>
      </c>
      <c r="LJ156">
        <f>IF(LE156&lt;LF156,$A156,B_MAX+1)</f>
        <v>73</v>
      </c>
      <c r="LK156" s="13">
        <f>IF(LB156=1,$LB$35,$LB$36)</f>
        <v>0</v>
      </c>
      <c r="LL156" s="13">
        <f>OCC_DAYS*$LB$41*R_NF_2023-LD156*MCD_SHARE_FREED*R_WAIT_2023</f>
        <v>113776.04162887059</v>
      </c>
      <c r="LM156">
        <f>IF($A156&lt;=$LB$45,1,0)</f>
        <v>0</v>
      </c>
      <c r="MB156">
        <f>IF($MB$31&lt;=$MB$32,IF($A156&lt;=$MB$7,1,2),IF($A156&lt;=RUNG_BEDS_2,2,1))</f>
        <v>1</v>
      </c>
      <c r="MC156" s="5">
        <f>MIN(1,MAX(0,$MB$26-($A156-1)))</f>
        <v>1</v>
      </c>
      <c r="MD156" s="5">
        <f>$MB$25*(MC156+(1-MC156)*$MB$16)</f>
        <v>213.44610951008647</v>
      </c>
      <c r="ME156" s="13">
        <f>MD156*($MB$6+ACUTE_MARGIN)</f>
        <v>215580.57060518733</v>
      </c>
      <c r="MF156" s="13">
        <f>IF(MB156=1,$MB$31,$MB$32)</f>
        <v>152394.16214437486</v>
      </c>
      <c r="MG156" s="13">
        <f>ME156-MF156</f>
        <v>63186.40846081247</v>
      </c>
      <c r="MH156" s="13">
        <f>MH155+MG156</f>
        <v>4612607.8176393155</v>
      </c>
      <c r="MI156">
        <f>IF(MH156=MAX($MH$83:$MH$483),$A156,0)</f>
        <v>0</v>
      </c>
      <c r="MJ156">
        <f>IF(ME156&lt;MF156,$A156,B_MAX+1)</f>
        <v>401.0</v>
      </c>
      <c r="MK156" s="13">
        <f>IF(MB156=1,$MB$35,$MB$36)</f>
        <v>0</v>
      </c>
      <c r="ML156" s="13">
        <f>OCC_DAYS*$MB$41*R_NF_2023-MD156*MCD_SHARE_FREED*R_WAIT_2023</f>
        <v>54922.538779778624</v>
      </c>
      <c r="MM156">
        <f>IF($A156&lt;=$MB$45,1,0)</f>
        <v>1</v>
      </c>
      <c r="NB156">
        <f>IF($NB$31&lt;=$NB$32,IF($A156&lt;=$NB$7,1,2),IF($A156&lt;=RUNG_BEDS_2,2,1))</f>
        <v>1</v>
      </c>
      <c r="NC156" s="5">
        <f>MIN(1,MAX(0,$NB$26-($A156-1)))</f>
        <v>1</v>
      </c>
      <c r="ND156" s="5">
        <f>$NB$25*(NC156+(1-NC156)*$NB$16)</f>
        <v>252.05322714681438</v>
      </c>
      <c r="NE156" s="13">
        <f>ND156*($NB$6+ACUTE_MARGIN)</f>
        <v>254573.7594182825</v>
      </c>
      <c r="NF156" s="13">
        <f>IF(NB156=1,$NB$31,$NB$32)</f>
        <v>152394.16214437486</v>
      </c>
      <c r="NG156" s="13">
        <f>NE156-NF156</f>
        <v>102179.59727390765</v>
      </c>
      <c r="NH156" s="13">
        <f>NH155+NG156</f>
        <v>7459110.6009952575</v>
      </c>
      <c r="NI156">
        <f>IF(NH156=MAX($NH$83:$NH$483),$A156,0)</f>
        <v>0</v>
      </c>
      <c r="NJ156">
        <f>IF(NE156&lt;NF156,$A156,B_MAX+1)</f>
        <v>401.0</v>
      </c>
      <c r="NK156" s="13">
        <f>IF(NB156=1,$NB$35,$NB$36)</f>
        <v>0</v>
      </c>
      <c r="NL156" s="13">
        <f>OCC_DAYS*$NB$41*R_NF_2023-ND156*MCD_SHARE_FREED*R_WAIT_2023</f>
        <v>37367.159242427646</v>
      </c>
      <c r="NM156">
        <f>IF($A156&lt;=$NB$45,1,0)</f>
        <v>1</v>
      </c>
      <c r="OB156">
        <f>IF($OB$31&lt;=$OB$32,IF($A156&lt;=$OB$7,1,2),IF($A156&lt;=RUNG_BEDS_2,2,1))</f>
        <v>1</v>
      </c>
      <c r="OC156" s="5">
        <f>MIN(1,MAX(0,$OB$26-($A156-1)))</f>
        <v>1</v>
      </c>
      <c r="OD156" s="5">
        <f>$OB$25*(OC156+(1-OC156)*$OB$16)</f>
        <v>252.05322714681438</v>
      </c>
      <c r="OE156" s="13">
        <f>OD156*($OB$6+ACUTE_MARGIN)</f>
        <v>254573.7594182825</v>
      </c>
      <c r="OF156" s="13">
        <f>IF(OB156=1,$OB$31,$OB$32)</f>
        <v>152394.16214437486</v>
      </c>
      <c r="OG156" s="13">
        <f>OE156-OF156</f>
        <v>102179.59727390765</v>
      </c>
      <c r="OH156" s="13">
        <f>OH155+OG156</f>
        <v>7459110.6009952575</v>
      </c>
      <c r="OI156">
        <f>IF(OH156=MAX($OH$83:$OH$483),$A156,0)</f>
        <v>0</v>
      </c>
      <c r="OJ156">
        <f>IF(OE156&lt;OF156,$A156,B_MAX+1)</f>
        <v>401.0</v>
      </c>
      <c r="OK156" s="13">
        <f>IF(OB156=1,$OB$35,$OB$36)</f>
        <v>0</v>
      </c>
      <c r="OL156" s="13">
        <f>OCC_DAYS*$OB$41*R_NF_2023-OD156*MCD_SHARE_FREED*R_WAIT_2023</f>
        <v>37367.159242427646</v>
      </c>
      <c r="OM156">
        <f>IF($A156&lt;=$OB$45,1,0)</f>
        <v>1</v>
      </c>
    </row>
    <row r="157">
      <c r="A157" t="n">
        <v>74</v>
      </c>
      <c r="B157">
        <f>IF($B$31&lt;=$B$32,IF($A157&lt;=$B$7,1,2),IF($A157&lt;=RUNG_BEDS_2,2,1))</f>
        <v>1</v>
      </c>
      <c r="C157" s="5">
        <f>MIN(1,MAX(0,$B$26-($A157-1)))</f>
        <v>1</v>
      </c>
      <c r="D157" s="5">
        <f>$B$25*(C157+(1-C157)*$B$16)</f>
        <v>252.05322714681438</v>
      </c>
      <c r="E157" s="13">
        <f>D157*($B$6+ACUTE_MARGIN)</f>
        <v>254573.7594182825</v>
      </c>
      <c r="F157" s="13">
        <f>IF(B157=1,$B$31,$B$32)</f>
        <v>152394.16214437486</v>
      </c>
      <c r="G157" s="13">
        <f>E157-F157</f>
        <v>102179.59727390765</v>
      </c>
      <c r="H157" s="13">
        <f>H156+G157</f>
        <v>7561290.198269165</v>
      </c>
      <c r="I157">
        <f>IF(H157=MAX($H$83:$H$483),$A157,0)</f>
        <v>0</v>
      </c>
      <c r="J157">
        <f>IF(E157&lt;F157,$A157,B_MAX+1)</f>
        <v>401.0</v>
      </c>
      <c r="K157" s="13">
        <f>IF(B157=1,$B$35,$B$36)</f>
        <v>0</v>
      </c>
      <c r="L157" s="13">
        <f>OCC_DAYS*$B$41*R_NF_2023-D157*MCD_SHARE_FREED*R_WAIT_2023</f>
        <v>37367.159242427646</v>
      </c>
      <c r="M157">
        <f>IF($A157&lt;=$B$45,1,0)</f>
        <v>1</v>
      </c>
      <c r="AB157">
        <f>IF($AB$31&lt;=$AB$32,IF($A157&lt;=$AB$7,1,2),IF($A157&lt;=RUNG_BEDS_2,2,1))</f>
        <v>1</v>
      </c>
      <c r="AC157" s="5">
        <f>MIN(1,MAX(0,$AB$26-($A157-1)))</f>
        <v>1</v>
      </c>
      <c r="AD157" s="5">
        <f>$AB$25*(AC157+(1-AC157)*$AB$16)</f>
        <v>252.05322714681438</v>
      </c>
      <c r="AE157" s="13">
        <f>AD157*($AB$6+ACUTE_MARGIN)</f>
        <v>138629.2749307479</v>
      </c>
      <c r="AF157" s="13">
        <f>IF(AB157=1,$AB$31,$AB$32)</f>
        <v>152394.16214437486</v>
      </c>
      <c r="AG157" s="13">
        <f>AE157-AF157</f>
        <v>-13764.887213626964</v>
      </c>
      <c r="AH157" s="13">
        <f>AH156+AG157</f>
        <v>-1018601.6538083969</v>
      </c>
      <c r="AI157">
        <f>IF(AH157=MAX($AH$83:$AH$483),$A157,0)</f>
        <v>0</v>
      </c>
      <c r="AJ157">
        <f>IF(AE157&lt;AF157,$A157,B_MAX+1)</f>
        <v>74</v>
      </c>
      <c r="AK157" s="13">
        <f>IF(AB157=1,$AB$35,$AB$36)</f>
        <v>0</v>
      </c>
      <c r="AL157" s="13">
        <f>OCC_DAYS*$AB$41*R_NF_2023-AD157*MCD_SHARE_FREED*R_WAIT_2023</f>
        <v>37367.159242427646</v>
      </c>
      <c r="AM157">
        <f>IF($A157&lt;=$AB$45,1,0)</f>
        <v>0</v>
      </c>
      <c r="BB157">
        <f>IF($BB$31&lt;=$BB$32,IF($A157&lt;=$BB$7,1,2),IF($A157&lt;=RUNG_BEDS_2,2,1))</f>
        <v>1</v>
      </c>
      <c r="BC157" s="5">
        <f>MIN(1,MAX(0,$BB$26-($A157-1)))</f>
        <v>1</v>
      </c>
      <c r="BD157" s="5">
        <f>$BB$25*(BC157+(1-BC157)*$BB$16)</f>
        <v>252.05322714681438</v>
      </c>
      <c r="BE157" s="13">
        <f>BD157*($BB$6+ACUTE_MARGIN)</f>
        <v>370518.24390581716</v>
      </c>
      <c r="BF157" s="13">
        <f>IF(BB157=1,$BB$31,$BB$32)</f>
        <v>152394.16214437486</v>
      </c>
      <c r="BG157" s="13">
        <f>BE157-BF157</f>
        <v>218124.0817614423</v>
      </c>
      <c r="BH157" s="13">
        <f>BH156+BG157</f>
        <v>16141182.05034672</v>
      </c>
      <c r="BI157">
        <f>IF(BH157=MAX($BH$83:$BH$483),$A157,0)</f>
        <v>0</v>
      </c>
      <c r="BJ157">
        <f>IF(BE157&lt;BF157,$A157,B_MAX+1)</f>
        <v>401.0</v>
      </c>
      <c r="BK157" s="13">
        <f>IF(BB157=1,$BB$35,$BB$36)</f>
        <v>0</v>
      </c>
      <c r="BL157" s="13">
        <f>OCC_DAYS*$BB$41*R_NF_2023-BD157*MCD_SHARE_FREED*R_WAIT_2023</f>
        <v>37367.159242427646</v>
      </c>
      <c r="BM157">
        <f>IF($A157&lt;=$BB$45,1,0)</f>
        <v>1</v>
      </c>
      <c r="CB157">
        <f>IF($CB$31&lt;=$CB$32,IF($A157&lt;=$CB$7,1,2),IF($A157&lt;=RUNG_BEDS_2,2,1))</f>
        <v>2</v>
      </c>
      <c r="CC157" s="5">
        <f>MIN(1,MAX(0,$CB$26-($A157-1)))</f>
        <v>1</v>
      </c>
      <c r="CD157" s="5">
        <f>$CB$25*(CC157+(1-CC157)*$CB$16)</f>
        <v>252.05322714681438</v>
      </c>
      <c r="CE157" s="13">
        <f>CD157*($CB$6+ACUTE_MARGIN)</f>
        <v>254573.7594182825</v>
      </c>
      <c r="CF157" s="13">
        <f>IF(CB157=1,$CB$31,$CB$32)</f>
        <v>160718.36940738867</v>
      </c>
      <c r="CG157" s="13">
        <f>CE157-CF157</f>
        <v>93855.39001089384</v>
      </c>
      <c r="CH157" s="13">
        <f>CH156+CG157</f>
        <v>6945298.860806156</v>
      </c>
      <c r="CI157">
        <f>IF(CH157=MAX($CH$83:$CH$483),$A157,0)</f>
        <v>0</v>
      </c>
      <c r="CJ157">
        <f>IF(CE157&lt;CF157,$A157,B_MAX+1)</f>
        <v>401.0</v>
      </c>
      <c r="CK157" s="13">
        <f>IF(CB157=1,$CB$35,$CB$36)</f>
        <v>1560.1194073886782</v>
      </c>
      <c r="CL157" s="13">
        <f>OCC_DAYS*$CB$41*R_NF_2023-CD157*MCD_SHARE_FREED*R_WAIT_2023</f>
        <v>37367.159242427646</v>
      </c>
      <c r="CM157">
        <f>IF($A157&lt;=$CB$45,1,0)</f>
        <v>1</v>
      </c>
      <c r="DB157">
        <f>IF($DB$31&lt;=$DB$32,IF($A157&lt;=$DB$7,1,2),IF($A157&lt;=RUNG_BEDS_2,2,1))</f>
        <v>1</v>
      </c>
      <c r="DC157" s="5">
        <f>MIN(1,MAX(0,$DB$26-($A157-1)))</f>
        <v>1</v>
      </c>
      <c r="DD157" s="5">
        <f>$DB$25*(DC157+(1-DC157)*$DB$16)</f>
        <v>252.05322714681438</v>
      </c>
      <c r="DE157" s="13">
        <f>DD157*($DB$6+ACUTE_MARGIN)</f>
        <v>254573.7594182825</v>
      </c>
      <c r="DF157" s="13">
        <f>IF(DB157=1,$DB$31,$DB$32)</f>
        <v>152394.16214437486</v>
      </c>
      <c r="DG157" s="13">
        <f>DE157-DF157</f>
        <v>102179.59727390765</v>
      </c>
      <c r="DH157" s="13">
        <f>DH156+DG157</f>
        <v>7561290.198269165</v>
      </c>
      <c r="DI157">
        <f>IF(DH157=MAX($DH$83:$DH$483),$A157,0)</f>
        <v>0</v>
      </c>
      <c r="DJ157">
        <f>IF(DE157&lt;DF157,$A157,B_MAX+1)</f>
        <v>401.0</v>
      </c>
      <c r="DK157" s="13">
        <f>IF(DB157=1,$DB$35,$DB$36)</f>
        <v>0</v>
      </c>
      <c r="DL157" s="13">
        <f>OCC_DAYS*$DB$41*R_NF_2023-DD157*MCD_SHARE_FREED*R_WAIT_2023</f>
        <v>37367.159242427646</v>
      </c>
      <c r="DM157">
        <f>IF($A157&lt;=$DB$45,1,0)</f>
        <v>1</v>
      </c>
      <c r="EB157">
        <f>IF($EB$31&lt;=$EB$32,IF($A157&lt;=$EB$7,1,2),IF($A157&lt;=RUNG_BEDS_2,2,1))</f>
        <v>1</v>
      </c>
      <c r="EC157" s="5">
        <f>MIN(1,MAX(0,$EB$26-($A157-1)))</f>
        <v>1</v>
      </c>
      <c r="ED157" s="5">
        <f>$EB$25*(EC157+(1-EC157)*$EB$16)</f>
        <v>252.05322714681438</v>
      </c>
      <c r="EE157" s="13">
        <f>ED157*($EB$6+ACUTE_MARGIN)</f>
        <v>254573.7594182825</v>
      </c>
      <c r="EF157" s="13">
        <f>IF(EB157=1,$EB$31,$EB$32)</f>
        <v>152394.16214437486</v>
      </c>
      <c r="EG157" s="13">
        <f>EE157-EF157</f>
        <v>102179.59727390765</v>
      </c>
      <c r="EH157" s="13">
        <f>EH156+EG157</f>
        <v>7561290.198269165</v>
      </c>
      <c r="EI157">
        <f>IF(EH157=MAX($EH$83:$EH$483),$A157,0)</f>
        <v>0</v>
      </c>
      <c r="EJ157">
        <f>IF(EE157&lt;EF157,$A157,B_MAX+1)</f>
        <v>401.0</v>
      </c>
      <c r="EK157" s="13">
        <f>IF(EB157=1,$EB$35,$EB$36)</f>
        <v>0</v>
      </c>
      <c r="EL157" s="13">
        <f>OCC_DAYS*$EB$41*R_NF_2023-ED157*MCD_SHARE_FREED*R_WAIT_2023</f>
        <v>-63953.16263896705</v>
      </c>
      <c r="EM157">
        <f>IF($A157&lt;=$EB$45,1,0)</f>
        <v>1</v>
      </c>
      <c r="FB157">
        <f>IF($FB$31&lt;=$FB$32,IF($A157&lt;=$FB$7,1,2),IF($A157&lt;=RUNG_BEDS_2,2,1))</f>
        <v>1</v>
      </c>
      <c r="FC157" s="5">
        <f>MIN(1,MAX(0,$FB$26-($A157-1)))</f>
        <v>1</v>
      </c>
      <c r="FD157" s="5">
        <f>$FB$25*(FC157+(1-FC157)*$FB$16)</f>
        <v>252.05322714681438</v>
      </c>
      <c r="FE157" s="13">
        <f>FD157*($FB$6+ACUTE_MARGIN)</f>
        <v>254573.7594182825</v>
      </c>
      <c r="FF157" s="13">
        <f>IF(FB157=1,$FB$31,$FB$32)</f>
        <v>156636.04979437485</v>
      </c>
      <c r="FG157" s="13">
        <f>FE157-FF157</f>
        <v>97937.70962390766</v>
      </c>
      <c r="FH157" s="13">
        <f>FH156+FG157</f>
        <v>7247390.512169168</v>
      </c>
      <c r="FI157">
        <f>IF(FH157=MAX($FH$83:$FH$483),$A157,0)</f>
        <v>0</v>
      </c>
      <c r="FJ157">
        <f>IF(FE157&lt;FF157,$A157,B_MAX+1)</f>
        <v>401.0</v>
      </c>
      <c r="FK157" s="13">
        <f>IF(FB157=1,$FB$35,$FB$36)</f>
        <v>0</v>
      </c>
      <c r="FL157" s="13">
        <f>OCC_DAYS*$FB$41*R_NF_2023-FD157*MCD_SHARE_FREED*R_WAIT_2023</f>
        <v>37367.159242427646</v>
      </c>
      <c r="FM157">
        <f>IF($A157&lt;=$FB$45,1,0)</f>
        <v>1</v>
      </c>
      <c r="GB157">
        <f>IF($GB$31&lt;=$GB$32,IF($A157&lt;=$GB$7,1,2),IF($A157&lt;=RUNG_BEDS_2,2,1))</f>
        <v>1</v>
      </c>
      <c r="GC157" s="5">
        <f>MIN(1,MAX(0,$GB$26-($A157-1)))</f>
        <v>1</v>
      </c>
      <c r="GD157" s="5">
        <f>$GB$25*(GC157+(1-GC157)*$GB$16)</f>
        <v>252.05322714681438</v>
      </c>
      <c r="GE157" s="13">
        <f>GD157*($GB$6+ACUTE_MARGIN)</f>
        <v>254573.7594182825</v>
      </c>
      <c r="GF157" s="13">
        <f>IF(GB157=1,$GB$31,$GB$32)</f>
        <v>152394.16214437486</v>
      </c>
      <c r="GG157" s="13">
        <f>GE157-GF157</f>
        <v>102179.59727390765</v>
      </c>
      <c r="GH157" s="13">
        <f>GH156+GG157</f>
        <v>7561290.198269165</v>
      </c>
      <c r="GI157">
        <f>IF(GH157=MAX($GH$83:$GH$483),$A157,0)</f>
        <v>0</v>
      </c>
      <c r="GJ157">
        <f>IF(GE157&lt;GF157,$A157,B_MAX+1)</f>
        <v>401.0</v>
      </c>
      <c r="GK157" s="13">
        <f>IF(GB157=1,$GB$35,$GB$36)</f>
        <v>0</v>
      </c>
      <c r="GL157" s="13">
        <f>OCC_DAYS*$GB$41*R_NF_2023-GD157*MCD_SHARE_FREED*R_WAIT_2023</f>
        <v>37367.159242427646</v>
      </c>
      <c r="GM157">
        <f>IF($A157&lt;=$GB$45,1,0)</f>
        <v>1</v>
      </c>
      <c r="HB157">
        <f>IF($HB$31&lt;=$HB$32,IF($A157&lt;=$HB$7,1,2),IF($A157&lt;=RUNG_BEDS_2,2,1))</f>
        <v>1</v>
      </c>
      <c r="HC157" s="5">
        <f>MIN(1,MAX(0,$HB$26-($A157-1)))</f>
        <v>1</v>
      </c>
      <c r="HD157" s="5">
        <f>$HB$25*(HC157+(1-HC157)*$HB$16)</f>
        <v>252.05322714681438</v>
      </c>
      <c r="HE157" s="13">
        <f>HD157*($HB$6+ACUTE_MARGIN)</f>
        <v>254573.7594182825</v>
      </c>
      <c r="HF157" s="13">
        <f>IF(HB157=1,$HB$31,$HB$32)</f>
        <v>152456.2970814058</v>
      </c>
      <c r="HG157" s="13">
        <f>HE157-HF157</f>
        <v>102117.46233687672</v>
      </c>
      <c r="HH157" s="13">
        <f>HH156+HG157</f>
        <v>7556692.212928871</v>
      </c>
      <c r="HI157">
        <f>IF(HH157=MAX($HH$83:$HH$483),$A157,0)</f>
        <v>0</v>
      </c>
      <c r="HJ157">
        <f>IF(HE157&lt;HF157,$A157,B_MAX+1)</f>
        <v>401.0</v>
      </c>
      <c r="HK157" s="13">
        <f>IF(HB157=1,$HB$35,$HB$36)</f>
        <v>0</v>
      </c>
      <c r="HL157" s="13">
        <f>OCC_DAYS*$HB$41*R_NF_2023-HD157*MCD_SHARE_FREED*R_WAIT_2023</f>
        <v>37367.159242427646</v>
      </c>
      <c r="HM157">
        <f>IF($A157&lt;=$HB$45,1,0)</f>
        <v>1</v>
      </c>
      <c r="IB157">
        <f>IF($IB$31&lt;=$IB$32,IF($A157&lt;=$IB$7,1,2),IF($A157&lt;=RUNG_BEDS_2,2,1))</f>
        <v>1</v>
      </c>
      <c r="IC157" s="5">
        <f>MIN(1,MAX(0,$IB$26-($A157-1)))</f>
        <v>1</v>
      </c>
      <c r="ID157" s="5">
        <f>$IB$25*(IC157+(1-IC157)*$IB$16)</f>
        <v>252.05322714681438</v>
      </c>
      <c r="IE157" s="13">
        <f>ID157*($IB$6+ACUTE_MARGIN)</f>
        <v>254573.7594182825</v>
      </c>
      <c r="IF157" s="13">
        <f>IF(IB157=1,$IB$31,$IB$32)</f>
        <v>152734.9994534971</v>
      </c>
      <c r="IG157" s="13">
        <f>IE157-IF157</f>
        <v>101838.75996478542</v>
      </c>
      <c r="IH157" s="13">
        <f>IH156+IG157</f>
        <v>7536068.237394128</v>
      </c>
      <c r="II157">
        <f>IF(IH157=MAX($IH$83:$IH$483),$A157,0)</f>
        <v>0</v>
      </c>
      <c r="IJ157">
        <f>IF(IE157&lt;IF157,$A157,B_MAX+1)</f>
        <v>401.0</v>
      </c>
      <c r="IK157" s="13">
        <f>IF(IB157=1,$IB$35,$IB$36)</f>
        <v>0</v>
      </c>
      <c r="IL157" s="13">
        <f>OCC_DAYS*$IB$41*R_NF_2023-ID157*MCD_SHARE_FREED*R_WAIT_2023</f>
        <v>37367.159242427646</v>
      </c>
      <c r="IM157">
        <f>IF($A157&lt;=$IB$45,1,0)</f>
        <v>1</v>
      </c>
      <c r="JB157">
        <f>IF($JB$31&lt;=$JB$32,IF($A157&lt;=$JB$7,1,2),IF($A157&lt;=RUNG_BEDS_2,2,1))</f>
        <v>1</v>
      </c>
      <c r="JC157" s="5">
        <f>MIN(1,MAX(0,$JB$26-($A157-1)))</f>
        <v>1</v>
      </c>
      <c r="JD157" s="5">
        <f>$JB$25*(JC157+(1-JC157)*$JB$16)</f>
        <v>252.05322714681438</v>
      </c>
      <c r="JE157" s="13">
        <f>JD157*($JB$6+ACUTE_MARGIN)</f>
        <v>254573.7594182825</v>
      </c>
      <c r="JF157" s="13">
        <f>IF(JB157=1,$JB$31,$JB$32)</f>
        <v>152394.16214437486</v>
      </c>
      <c r="JG157" s="13">
        <f>JE157-JF157</f>
        <v>102179.59727390765</v>
      </c>
      <c r="JH157" s="13">
        <f>JH156+JG157</f>
        <v>7561290.198269165</v>
      </c>
      <c r="JI157">
        <f>IF(JH157=MAX($JH$83:$JH$483),$A157,0)</f>
        <v>0</v>
      </c>
      <c r="JJ157">
        <f>IF(JE157&lt;JF157,$A157,B_MAX+1)</f>
        <v>401.0</v>
      </c>
      <c r="JK157" s="13">
        <f>IF(JB157=1,$JB$35,$JB$36)</f>
        <v>0</v>
      </c>
      <c r="JL157" s="13">
        <f>OCC_DAYS*$JB$41*R_NF_2023-JD157*MCD_SHARE_FREED*R_WAIT_2023</f>
        <v>37367.159242427646</v>
      </c>
      <c r="JM157">
        <f>IF($A157&lt;=$JB$45,1,0)</f>
        <v>1</v>
      </c>
      <c r="KB157">
        <f>IF($KB$31&lt;=$KB$32,IF($A157&lt;=$KB$7,1,2),IF($A157&lt;=RUNG_BEDS_2,2,1))</f>
        <v>1</v>
      </c>
      <c r="KC157" s="5">
        <f>MIN(1,MAX(0,$KB$26-($A157-1)))</f>
        <v>1</v>
      </c>
      <c r="KD157" s="5">
        <f>$KB$25*(KC157+(1-KC157)*$KB$16)</f>
        <v>126.02661357340719</v>
      </c>
      <c r="KE157" s="13">
        <f>KD157*($KB$6+ACUTE_MARGIN)</f>
        <v>127286.87970914126</v>
      </c>
      <c r="KF157" s="13">
        <f>IF(KB157=1,$KB$31,$KB$32)</f>
        <v>152394.16214437486</v>
      </c>
      <c r="KG157" s="13">
        <f>KE157-KF157</f>
        <v>-25107.282435233603</v>
      </c>
      <c r="KH157" s="13">
        <f>KH156+KG157</f>
        <v>-1857938.9002072895</v>
      </c>
      <c r="KI157">
        <f>IF(KH157=MAX($KH$83:$KH$483),$A157,0)</f>
        <v>0</v>
      </c>
      <c r="KJ157">
        <f>IF(KE157&lt;KF157,$A157,B_MAX+1)</f>
        <v>74</v>
      </c>
      <c r="KK157" s="13">
        <f>IF(KB157=1,$KB$35,$KB$36)</f>
        <v>0</v>
      </c>
      <c r="KL157" s="13">
        <f>OCC_DAYS*$KB$41*R_NF_2023-KD157*MCD_SHARE_FREED*R_WAIT_2023</f>
        <v>94673.82103225985</v>
      </c>
      <c r="KM157">
        <f>IF($A157&lt;=$KB$45,1,0)</f>
        <v>0</v>
      </c>
      <c r="LB157">
        <f>IF($LB$31&lt;=$LB$32,IF($A157&lt;=$LB$7,1,2),IF($A157&lt;=RUNG_BEDS_2,2,1))</f>
        <v>1</v>
      </c>
      <c r="LC157" s="5">
        <f>MIN(1,MAX(0,$LB$26-($A157-1)))</f>
        <v>1</v>
      </c>
      <c r="LD157" s="5">
        <f>$LB$25*(LC157+(1-LC157)*$LB$16)</f>
        <v>84.01774238227146</v>
      </c>
      <c r="LE157" s="13">
        <f>LD157*($LB$6+ACUTE_MARGIN)</f>
        <v>84857.91980609419</v>
      </c>
      <c r="LF157" s="13">
        <f>IF(LB157=1,$LB$31,$LB$32)</f>
        <v>152394.16214437486</v>
      </c>
      <c r="LG157" s="13">
        <f>LE157-LF157</f>
        <v>-67536.24233828067</v>
      </c>
      <c r="LH157" s="13">
        <f>LH156+LG157</f>
        <v>-4997681.933032774</v>
      </c>
      <c r="LI157">
        <f>IF(LH157=MAX($LH$83:$LH$483),$A157,0)</f>
        <v>0</v>
      </c>
      <c r="LJ157">
        <f>IF(LE157&lt;LF157,$A157,B_MAX+1)</f>
        <v>74</v>
      </c>
      <c r="LK157" s="13">
        <f>IF(LB157=1,$LB$35,$LB$36)</f>
        <v>0</v>
      </c>
      <c r="LL157" s="13">
        <f>OCC_DAYS*$LB$41*R_NF_2023-LD157*MCD_SHARE_FREED*R_WAIT_2023</f>
        <v>113776.04162887059</v>
      </c>
      <c r="LM157">
        <f>IF($A157&lt;=$LB$45,1,0)</f>
        <v>0</v>
      </c>
      <c r="MB157">
        <f>IF($MB$31&lt;=$MB$32,IF($A157&lt;=$MB$7,1,2),IF($A157&lt;=RUNG_BEDS_2,2,1))</f>
        <v>1</v>
      </c>
      <c r="MC157" s="5">
        <f>MIN(1,MAX(0,$MB$26-($A157-1)))</f>
        <v>1</v>
      </c>
      <c r="MD157" s="5">
        <f>$MB$25*(MC157+(1-MC157)*$MB$16)</f>
        <v>213.44610951008647</v>
      </c>
      <c r="ME157" s="13">
        <f>MD157*($MB$6+ACUTE_MARGIN)</f>
        <v>215580.57060518733</v>
      </c>
      <c r="MF157" s="13">
        <f>IF(MB157=1,$MB$31,$MB$32)</f>
        <v>152394.16214437486</v>
      </c>
      <c r="MG157" s="13">
        <f>ME157-MF157</f>
        <v>63186.40846081247</v>
      </c>
      <c r="MH157" s="13">
        <f>MH156+MG157</f>
        <v>4675794.226100128</v>
      </c>
      <c r="MI157">
        <f>IF(MH157=MAX($MH$83:$MH$483),$A157,0)</f>
        <v>0</v>
      </c>
      <c r="MJ157">
        <f>IF(ME157&lt;MF157,$A157,B_MAX+1)</f>
        <v>401.0</v>
      </c>
      <c r="MK157" s="13">
        <f>IF(MB157=1,$MB$35,$MB$36)</f>
        <v>0</v>
      </c>
      <c r="ML157" s="13">
        <f>OCC_DAYS*$MB$41*R_NF_2023-MD157*MCD_SHARE_FREED*R_WAIT_2023</f>
        <v>54922.538779778624</v>
      </c>
      <c r="MM157">
        <f>IF($A157&lt;=$MB$45,1,0)</f>
        <v>1</v>
      </c>
      <c r="NB157">
        <f>IF($NB$31&lt;=$NB$32,IF($A157&lt;=$NB$7,1,2),IF($A157&lt;=RUNG_BEDS_2,2,1))</f>
        <v>1</v>
      </c>
      <c r="NC157" s="5">
        <f>MIN(1,MAX(0,$NB$26-($A157-1)))</f>
        <v>1</v>
      </c>
      <c r="ND157" s="5">
        <f>$NB$25*(NC157+(1-NC157)*$NB$16)</f>
        <v>252.05322714681438</v>
      </c>
      <c r="NE157" s="13">
        <f>ND157*($NB$6+ACUTE_MARGIN)</f>
        <v>254573.7594182825</v>
      </c>
      <c r="NF157" s="13">
        <f>IF(NB157=1,$NB$31,$NB$32)</f>
        <v>152394.16214437486</v>
      </c>
      <c r="NG157" s="13">
        <f>NE157-NF157</f>
        <v>102179.59727390765</v>
      </c>
      <c r="NH157" s="13">
        <f>NH156+NG157</f>
        <v>7561290.198269165</v>
      </c>
      <c r="NI157">
        <f>IF(NH157=MAX($NH$83:$NH$483),$A157,0)</f>
        <v>0</v>
      </c>
      <c r="NJ157">
        <f>IF(NE157&lt;NF157,$A157,B_MAX+1)</f>
        <v>401.0</v>
      </c>
      <c r="NK157" s="13">
        <f>IF(NB157=1,$NB$35,$NB$36)</f>
        <v>0</v>
      </c>
      <c r="NL157" s="13">
        <f>OCC_DAYS*$NB$41*R_NF_2023-ND157*MCD_SHARE_FREED*R_WAIT_2023</f>
        <v>37367.159242427646</v>
      </c>
      <c r="NM157">
        <f>IF($A157&lt;=$NB$45,1,0)</f>
        <v>1</v>
      </c>
      <c r="OB157">
        <f>IF($OB$31&lt;=$OB$32,IF($A157&lt;=$OB$7,1,2),IF($A157&lt;=RUNG_BEDS_2,2,1))</f>
        <v>1</v>
      </c>
      <c r="OC157" s="5">
        <f>MIN(1,MAX(0,$OB$26-($A157-1)))</f>
        <v>1</v>
      </c>
      <c r="OD157" s="5">
        <f>$OB$25*(OC157+(1-OC157)*$OB$16)</f>
        <v>252.05322714681438</v>
      </c>
      <c r="OE157" s="13">
        <f>OD157*($OB$6+ACUTE_MARGIN)</f>
        <v>254573.7594182825</v>
      </c>
      <c r="OF157" s="13">
        <f>IF(OB157=1,$OB$31,$OB$32)</f>
        <v>152394.16214437486</v>
      </c>
      <c r="OG157" s="13">
        <f>OE157-OF157</f>
        <v>102179.59727390765</v>
      </c>
      <c r="OH157" s="13">
        <f>OH156+OG157</f>
        <v>7561290.198269165</v>
      </c>
      <c r="OI157">
        <f>IF(OH157=MAX($OH$83:$OH$483),$A157,0)</f>
        <v>0</v>
      </c>
      <c r="OJ157">
        <f>IF(OE157&lt;OF157,$A157,B_MAX+1)</f>
        <v>401.0</v>
      </c>
      <c r="OK157" s="13">
        <f>IF(OB157=1,$OB$35,$OB$36)</f>
        <v>0</v>
      </c>
      <c r="OL157" s="13">
        <f>OCC_DAYS*$OB$41*R_NF_2023-OD157*MCD_SHARE_FREED*R_WAIT_2023</f>
        <v>37367.159242427646</v>
      </c>
      <c r="OM157">
        <f>IF($A157&lt;=$OB$45,1,0)</f>
        <v>1</v>
      </c>
    </row>
    <row r="158">
      <c r="A158" t="n">
        <v>75</v>
      </c>
      <c r="B158">
        <f>IF($B$31&lt;=$B$32,IF($A158&lt;=$B$7,1,2),IF($A158&lt;=RUNG_BEDS_2,2,1))</f>
        <v>1</v>
      </c>
      <c r="C158" s="5">
        <f>MIN(1,MAX(0,$B$26-($A158-1)))</f>
        <v>1</v>
      </c>
      <c r="D158" s="5">
        <f>$B$25*(C158+(1-C158)*$B$16)</f>
        <v>252.05322714681438</v>
      </c>
      <c r="E158" s="13">
        <f>D158*($B$6+ACUTE_MARGIN)</f>
        <v>254573.7594182825</v>
      </c>
      <c r="F158" s="13">
        <f>IF(B158=1,$B$31,$B$32)</f>
        <v>152394.16214437486</v>
      </c>
      <c r="G158" s="13">
        <f>E158-F158</f>
        <v>102179.59727390765</v>
      </c>
      <c r="H158" s="13">
        <f>H157+G158</f>
        <v>7663469.795543073</v>
      </c>
      <c r="I158">
        <f>IF(H158=MAX($H$83:$H$483),$A158,0)</f>
        <v>0</v>
      </c>
      <c r="J158">
        <f>IF(E158&lt;F158,$A158,B_MAX+1)</f>
        <v>401.0</v>
      </c>
      <c r="K158" s="13">
        <f>IF(B158=1,$B$35,$B$36)</f>
        <v>0</v>
      </c>
      <c r="L158" s="13">
        <f>OCC_DAYS*$B$41*R_NF_2023-D158*MCD_SHARE_FREED*R_WAIT_2023</f>
        <v>37367.159242427646</v>
      </c>
      <c r="M158">
        <f>IF($A158&lt;=$B$45,1,0)</f>
        <v>1</v>
      </c>
      <c r="AB158">
        <f>IF($AB$31&lt;=$AB$32,IF($A158&lt;=$AB$7,1,2),IF($A158&lt;=RUNG_BEDS_2,2,1))</f>
        <v>1</v>
      </c>
      <c r="AC158" s="5">
        <f>MIN(1,MAX(0,$AB$26-($A158-1)))</f>
        <v>1</v>
      </c>
      <c r="AD158" s="5">
        <f>$AB$25*(AC158+(1-AC158)*$AB$16)</f>
        <v>252.05322714681438</v>
      </c>
      <c r="AE158" s="13">
        <f>AD158*($AB$6+ACUTE_MARGIN)</f>
        <v>138629.2749307479</v>
      </c>
      <c r="AF158" s="13">
        <f>IF(AB158=1,$AB$31,$AB$32)</f>
        <v>152394.16214437486</v>
      </c>
      <c r="AG158" s="13">
        <f>AE158-AF158</f>
        <v>-13764.887213626964</v>
      </c>
      <c r="AH158" s="13">
        <f>AH157+AG158</f>
        <v>-1032366.5410220239</v>
      </c>
      <c r="AI158">
        <f>IF(AH158=MAX($AH$83:$AH$483),$A158,0)</f>
        <v>0</v>
      </c>
      <c r="AJ158">
        <f>IF(AE158&lt;AF158,$A158,B_MAX+1)</f>
        <v>75</v>
      </c>
      <c r="AK158" s="13">
        <f>IF(AB158=1,$AB$35,$AB$36)</f>
        <v>0</v>
      </c>
      <c r="AL158" s="13">
        <f>OCC_DAYS*$AB$41*R_NF_2023-AD158*MCD_SHARE_FREED*R_WAIT_2023</f>
        <v>37367.159242427646</v>
      </c>
      <c r="AM158">
        <f>IF($A158&lt;=$AB$45,1,0)</f>
        <v>0</v>
      </c>
      <c r="BB158">
        <f>IF($BB$31&lt;=$BB$32,IF($A158&lt;=$BB$7,1,2),IF($A158&lt;=RUNG_BEDS_2,2,1))</f>
        <v>1</v>
      </c>
      <c r="BC158" s="5">
        <f>MIN(1,MAX(0,$BB$26-($A158-1)))</f>
        <v>1</v>
      </c>
      <c r="BD158" s="5">
        <f>$BB$25*(BC158+(1-BC158)*$BB$16)</f>
        <v>252.05322714681438</v>
      </c>
      <c r="BE158" s="13">
        <f>BD158*($BB$6+ACUTE_MARGIN)</f>
        <v>370518.24390581716</v>
      </c>
      <c r="BF158" s="13">
        <f>IF(BB158=1,$BB$31,$BB$32)</f>
        <v>152394.16214437486</v>
      </c>
      <c r="BG158" s="13">
        <f>BE158-BF158</f>
        <v>218124.0817614423</v>
      </c>
      <c r="BH158" s="13">
        <f>BH157+BG158</f>
        <v>16359306.132108161</v>
      </c>
      <c r="BI158">
        <f>IF(BH158=MAX($BH$83:$BH$483),$A158,0)</f>
        <v>0</v>
      </c>
      <c r="BJ158">
        <f>IF(BE158&lt;BF158,$A158,B_MAX+1)</f>
        <v>401.0</v>
      </c>
      <c r="BK158" s="13">
        <f>IF(BB158=1,$BB$35,$BB$36)</f>
        <v>0</v>
      </c>
      <c r="BL158" s="13">
        <f>OCC_DAYS*$BB$41*R_NF_2023-BD158*MCD_SHARE_FREED*R_WAIT_2023</f>
        <v>37367.159242427646</v>
      </c>
      <c r="BM158">
        <f>IF($A158&lt;=$BB$45,1,0)</f>
        <v>1</v>
      </c>
      <c r="CB158">
        <f>IF($CB$31&lt;=$CB$32,IF($A158&lt;=$CB$7,1,2),IF($A158&lt;=RUNG_BEDS_2,2,1))</f>
        <v>2</v>
      </c>
      <c r="CC158" s="5">
        <f>MIN(1,MAX(0,$CB$26-($A158-1)))</f>
        <v>1</v>
      </c>
      <c r="CD158" s="5">
        <f>$CB$25*(CC158+(1-CC158)*$CB$16)</f>
        <v>252.05322714681438</v>
      </c>
      <c r="CE158" s="13">
        <f>CD158*($CB$6+ACUTE_MARGIN)</f>
        <v>254573.7594182825</v>
      </c>
      <c r="CF158" s="13">
        <f>IF(CB158=1,$CB$31,$CB$32)</f>
        <v>160718.36940738867</v>
      </c>
      <c r="CG158" s="13">
        <f>CE158-CF158</f>
        <v>93855.39001089384</v>
      </c>
      <c r="CH158" s="13">
        <f>CH157+CG158</f>
        <v>7039154.25081705</v>
      </c>
      <c r="CI158">
        <f>IF(CH158=MAX($CH$83:$CH$483),$A158,0)</f>
        <v>0</v>
      </c>
      <c r="CJ158">
        <f>IF(CE158&lt;CF158,$A158,B_MAX+1)</f>
        <v>401.0</v>
      </c>
      <c r="CK158" s="13">
        <f>IF(CB158=1,$CB$35,$CB$36)</f>
        <v>1560.1194073886782</v>
      </c>
      <c r="CL158" s="13">
        <f>OCC_DAYS*$CB$41*R_NF_2023-CD158*MCD_SHARE_FREED*R_WAIT_2023</f>
        <v>37367.159242427646</v>
      </c>
      <c r="CM158">
        <f>IF($A158&lt;=$CB$45,1,0)</f>
        <v>1</v>
      </c>
      <c r="DB158">
        <f>IF($DB$31&lt;=$DB$32,IF($A158&lt;=$DB$7,1,2),IF($A158&lt;=RUNG_BEDS_2,2,1))</f>
        <v>1</v>
      </c>
      <c r="DC158" s="5">
        <f>MIN(1,MAX(0,$DB$26-($A158-1)))</f>
        <v>1</v>
      </c>
      <c r="DD158" s="5">
        <f>$DB$25*(DC158+(1-DC158)*$DB$16)</f>
        <v>252.05322714681438</v>
      </c>
      <c r="DE158" s="13">
        <f>DD158*($DB$6+ACUTE_MARGIN)</f>
        <v>254573.7594182825</v>
      </c>
      <c r="DF158" s="13">
        <f>IF(DB158=1,$DB$31,$DB$32)</f>
        <v>152394.16214437486</v>
      </c>
      <c r="DG158" s="13">
        <f>DE158-DF158</f>
        <v>102179.59727390765</v>
      </c>
      <c r="DH158" s="13">
        <f>DH157+DG158</f>
        <v>7663469.795543073</v>
      </c>
      <c r="DI158">
        <f>IF(DH158=MAX($DH$83:$DH$483),$A158,0)</f>
        <v>0</v>
      </c>
      <c r="DJ158">
        <f>IF(DE158&lt;DF158,$A158,B_MAX+1)</f>
        <v>401.0</v>
      </c>
      <c r="DK158" s="13">
        <f>IF(DB158=1,$DB$35,$DB$36)</f>
        <v>0</v>
      </c>
      <c r="DL158" s="13">
        <f>OCC_DAYS*$DB$41*R_NF_2023-DD158*MCD_SHARE_FREED*R_WAIT_2023</f>
        <v>37367.159242427646</v>
      </c>
      <c r="DM158">
        <f>IF($A158&lt;=$DB$45,1,0)</f>
        <v>1</v>
      </c>
      <c r="EB158">
        <f>IF($EB$31&lt;=$EB$32,IF($A158&lt;=$EB$7,1,2),IF($A158&lt;=RUNG_BEDS_2,2,1))</f>
        <v>1</v>
      </c>
      <c r="EC158" s="5">
        <f>MIN(1,MAX(0,$EB$26-($A158-1)))</f>
        <v>1</v>
      </c>
      <c r="ED158" s="5">
        <f>$EB$25*(EC158+(1-EC158)*$EB$16)</f>
        <v>252.05322714681438</v>
      </c>
      <c r="EE158" s="13">
        <f>ED158*($EB$6+ACUTE_MARGIN)</f>
        <v>254573.7594182825</v>
      </c>
      <c r="EF158" s="13">
        <f>IF(EB158=1,$EB$31,$EB$32)</f>
        <v>152394.16214437486</v>
      </c>
      <c r="EG158" s="13">
        <f>EE158-EF158</f>
        <v>102179.59727390765</v>
      </c>
      <c r="EH158" s="13">
        <f>EH157+EG158</f>
        <v>7663469.795543073</v>
      </c>
      <c r="EI158">
        <f>IF(EH158=MAX($EH$83:$EH$483),$A158,0)</f>
        <v>0</v>
      </c>
      <c r="EJ158">
        <f>IF(EE158&lt;EF158,$A158,B_MAX+1)</f>
        <v>401.0</v>
      </c>
      <c r="EK158" s="13">
        <f>IF(EB158=1,$EB$35,$EB$36)</f>
        <v>0</v>
      </c>
      <c r="EL158" s="13">
        <f>OCC_DAYS*$EB$41*R_NF_2023-ED158*MCD_SHARE_FREED*R_WAIT_2023</f>
        <v>-63953.16263896705</v>
      </c>
      <c r="EM158">
        <f>IF($A158&lt;=$EB$45,1,0)</f>
        <v>1</v>
      </c>
      <c r="FB158">
        <f>IF($FB$31&lt;=$FB$32,IF($A158&lt;=$FB$7,1,2),IF($A158&lt;=RUNG_BEDS_2,2,1))</f>
        <v>1</v>
      </c>
      <c r="FC158" s="5">
        <f>MIN(1,MAX(0,$FB$26-($A158-1)))</f>
        <v>1</v>
      </c>
      <c r="FD158" s="5">
        <f>$FB$25*(FC158+(1-FC158)*$FB$16)</f>
        <v>252.05322714681438</v>
      </c>
      <c r="FE158" s="13">
        <f>FD158*($FB$6+ACUTE_MARGIN)</f>
        <v>254573.7594182825</v>
      </c>
      <c r="FF158" s="13">
        <f>IF(FB158=1,$FB$31,$FB$32)</f>
        <v>156636.04979437485</v>
      </c>
      <c r="FG158" s="13">
        <f>FE158-FF158</f>
        <v>97937.70962390766</v>
      </c>
      <c r="FH158" s="13">
        <f>FH157+FG158</f>
        <v>7345328.221793076</v>
      </c>
      <c r="FI158">
        <f>IF(FH158=MAX($FH$83:$FH$483),$A158,0)</f>
        <v>0</v>
      </c>
      <c r="FJ158">
        <f>IF(FE158&lt;FF158,$A158,B_MAX+1)</f>
        <v>401.0</v>
      </c>
      <c r="FK158" s="13">
        <f>IF(FB158=1,$FB$35,$FB$36)</f>
        <v>0</v>
      </c>
      <c r="FL158" s="13">
        <f>OCC_DAYS*$FB$41*R_NF_2023-FD158*MCD_SHARE_FREED*R_WAIT_2023</f>
        <v>37367.159242427646</v>
      </c>
      <c r="FM158">
        <f>IF($A158&lt;=$FB$45,1,0)</f>
        <v>1</v>
      </c>
      <c r="GB158">
        <f>IF($GB$31&lt;=$GB$32,IF($A158&lt;=$GB$7,1,2),IF($A158&lt;=RUNG_BEDS_2,2,1))</f>
        <v>1</v>
      </c>
      <c r="GC158" s="5">
        <f>MIN(1,MAX(0,$GB$26-($A158-1)))</f>
        <v>1</v>
      </c>
      <c r="GD158" s="5">
        <f>$GB$25*(GC158+(1-GC158)*$GB$16)</f>
        <v>252.05322714681438</v>
      </c>
      <c r="GE158" s="13">
        <f>GD158*($GB$6+ACUTE_MARGIN)</f>
        <v>254573.7594182825</v>
      </c>
      <c r="GF158" s="13">
        <f>IF(GB158=1,$GB$31,$GB$32)</f>
        <v>152394.16214437486</v>
      </c>
      <c r="GG158" s="13">
        <f>GE158-GF158</f>
        <v>102179.59727390765</v>
      </c>
      <c r="GH158" s="13">
        <f>GH157+GG158</f>
        <v>7663469.795543073</v>
      </c>
      <c r="GI158">
        <f>IF(GH158=MAX($GH$83:$GH$483),$A158,0)</f>
        <v>0</v>
      </c>
      <c r="GJ158">
        <f>IF(GE158&lt;GF158,$A158,B_MAX+1)</f>
        <v>401.0</v>
      </c>
      <c r="GK158" s="13">
        <f>IF(GB158=1,$GB$35,$GB$36)</f>
        <v>0</v>
      </c>
      <c r="GL158" s="13">
        <f>OCC_DAYS*$GB$41*R_NF_2023-GD158*MCD_SHARE_FREED*R_WAIT_2023</f>
        <v>37367.159242427646</v>
      </c>
      <c r="GM158">
        <f>IF($A158&lt;=$GB$45,1,0)</f>
        <v>1</v>
      </c>
      <c r="HB158">
        <f>IF($HB$31&lt;=$HB$32,IF($A158&lt;=$HB$7,1,2),IF($A158&lt;=RUNG_BEDS_2,2,1))</f>
        <v>1</v>
      </c>
      <c r="HC158" s="5">
        <f>MIN(1,MAX(0,$HB$26-($A158-1)))</f>
        <v>1</v>
      </c>
      <c r="HD158" s="5">
        <f>$HB$25*(HC158+(1-HC158)*$HB$16)</f>
        <v>252.05322714681438</v>
      </c>
      <c r="HE158" s="13">
        <f>HD158*($HB$6+ACUTE_MARGIN)</f>
        <v>254573.7594182825</v>
      </c>
      <c r="HF158" s="13">
        <f>IF(HB158=1,$HB$31,$HB$32)</f>
        <v>152456.2970814058</v>
      </c>
      <c r="HG158" s="13">
        <f>HE158-HF158</f>
        <v>102117.46233687672</v>
      </c>
      <c r="HH158" s="13">
        <f>HH157+HG158</f>
        <v>7658809.675265747</v>
      </c>
      <c r="HI158">
        <f>IF(HH158=MAX($HH$83:$HH$483),$A158,0)</f>
        <v>0</v>
      </c>
      <c r="HJ158">
        <f>IF(HE158&lt;HF158,$A158,B_MAX+1)</f>
        <v>401.0</v>
      </c>
      <c r="HK158" s="13">
        <f>IF(HB158=1,$HB$35,$HB$36)</f>
        <v>0</v>
      </c>
      <c r="HL158" s="13">
        <f>OCC_DAYS*$HB$41*R_NF_2023-HD158*MCD_SHARE_FREED*R_WAIT_2023</f>
        <v>37367.159242427646</v>
      </c>
      <c r="HM158">
        <f>IF($A158&lt;=$HB$45,1,0)</f>
        <v>1</v>
      </c>
      <c r="IB158">
        <f>IF($IB$31&lt;=$IB$32,IF($A158&lt;=$IB$7,1,2),IF($A158&lt;=RUNG_BEDS_2,2,1))</f>
        <v>1</v>
      </c>
      <c r="IC158" s="5">
        <f>MIN(1,MAX(0,$IB$26-($A158-1)))</f>
        <v>1</v>
      </c>
      <c r="ID158" s="5">
        <f>$IB$25*(IC158+(1-IC158)*$IB$16)</f>
        <v>252.05322714681438</v>
      </c>
      <c r="IE158" s="13">
        <f>ID158*($IB$6+ACUTE_MARGIN)</f>
        <v>254573.7594182825</v>
      </c>
      <c r="IF158" s="13">
        <f>IF(IB158=1,$IB$31,$IB$32)</f>
        <v>152734.9994534971</v>
      </c>
      <c r="IG158" s="13">
        <f>IE158-IF158</f>
        <v>101838.75996478542</v>
      </c>
      <c r="IH158" s="13">
        <f>IH157+IG158</f>
        <v>7637906.9973589135</v>
      </c>
      <c r="II158">
        <f>IF(IH158=MAX($IH$83:$IH$483),$A158,0)</f>
        <v>0</v>
      </c>
      <c r="IJ158">
        <f>IF(IE158&lt;IF158,$A158,B_MAX+1)</f>
        <v>401.0</v>
      </c>
      <c r="IK158" s="13">
        <f>IF(IB158=1,$IB$35,$IB$36)</f>
        <v>0</v>
      </c>
      <c r="IL158" s="13">
        <f>OCC_DAYS*$IB$41*R_NF_2023-ID158*MCD_SHARE_FREED*R_WAIT_2023</f>
        <v>37367.159242427646</v>
      </c>
      <c r="IM158">
        <f>IF($A158&lt;=$IB$45,1,0)</f>
        <v>1</v>
      </c>
      <c r="JB158">
        <f>IF($JB$31&lt;=$JB$32,IF($A158&lt;=$JB$7,1,2),IF($A158&lt;=RUNG_BEDS_2,2,1))</f>
        <v>1</v>
      </c>
      <c r="JC158" s="5">
        <f>MIN(1,MAX(0,$JB$26-($A158-1)))</f>
        <v>1</v>
      </c>
      <c r="JD158" s="5">
        <f>$JB$25*(JC158+(1-JC158)*$JB$16)</f>
        <v>252.05322714681438</v>
      </c>
      <c r="JE158" s="13">
        <f>JD158*($JB$6+ACUTE_MARGIN)</f>
        <v>254573.7594182825</v>
      </c>
      <c r="JF158" s="13">
        <f>IF(JB158=1,$JB$31,$JB$32)</f>
        <v>152394.16214437486</v>
      </c>
      <c r="JG158" s="13">
        <f>JE158-JF158</f>
        <v>102179.59727390765</v>
      </c>
      <c r="JH158" s="13">
        <f>JH157+JG158</f>
        <v>7663469.795543073</v>
      </c>
      <c r="JI158">
        <f>IF(JH158=MAX($JH$83:$JH$483),$A158,0)</f>
        <v>0</v>
      </c>
      <c r="JJ158">
        <f>IF(JE158&lt;JF158,$A158,B_MAX+1)</f>
        <v>401.0</v>
      </c>
      <c r="JK158" s="13">
        <f>IF(JB158=1,$JB$35,$JB$36)</f>
        <v>0</v>
      </c>
      <c r="JL158" s="13">
        <f>OCC_DAYS*$JB$41*R_NF_2023-JD158*MCD_SHARE_FREED*R_WAIT_2023</f>
        <v>37367.159242427646</v>
      </c>
      <c r="JM158">
        <f>IF($A158&lt;=$JB$45,1,0)</f>
        <v>1</v>
      </c>
      <c r="KB158">
        <f>IF($KB$31&lt;=$KB$32,IF($A158&lt;=$KB$7,1,2),IF($A158&lt;=RUNG_BEDS_2,2,1))</f>
        <v>1</v>
      </c>
      <c r="KC158" s="5">
        <f>MIN(1,MAX(0,$KB$26-($A158-1)))</f>
        <v>1</v>
      </c>
      <c r="KD158" s="5">
        <f>$KB$25*(KC158+(1-KC158)*$KB$16)</f>
        <v>126.02661357340719</v>
      </c>
      <c r="KE158" s="13">
        <f>KD158*($KB$6+ACUTE_MARGIN)</f>
        <v>127286.87970914126</v>
      </c>
      <c r="KF158" s="13">
        <f>IF(KB158=1,$KB$31,$KB$32)</f>
        <v>152394.16214437486</v>
      </c>
      <c r="KG158" s="13">
        <f>KE158-KF158</f>
        <v>-25107.282435233603</v>
      </c>
      <c r="KH158" s="13">
        <f>KH157+KG158</f>
        <v>-1883046.1826425232</v>
      </c>
      <c r="KI158">
        <f>IF(KH158=MAX($KH$83:$KH$483),$A158,0)</f>
        <v>0</v>
      </c>
      <c r="KJ158">
        <f>IF(KE158&lt;KF158,$A158,B_MAX+1)</f>
        <v>75</v>
      </c>
      <c r="KK158" s="13">
        <f>IF(KB158=1,$KB$35,$KB$36)</f>
        <v>0</v>
      </c>
      <c r="KL158" s="13">
        <f>OCC_DAYS*$KB$41*R_NF_2023-KD158*MCD_SHARE_FREED*R_WAIT_2023</f>
        <v>94673.82103225985</v>
      </c>
      <c r="KM158">
        <f>IF($A158&lt;=$KB$45,1,0)</f>
        <v>0</v>
      </c>
      <c r="LB158">
        <f>IF($LB$31&lt;=$LB$32,IF($A158&lt;=$LB$7,1,2),IF($A158&lt;=RUNG_BEDS_2,2,1))</f>
        <v>1</v>
      </c>
      <c r="LC158" s="5">
        <f>MIN(1,MAX(0,$LB$26-($A158-1)))</f>
        <v>1</v>
      </c>
      <c r="LD158" s="5">
        <f>$LB$25*(LC158+(1-LC158)*$LB$16)</f>
        <v>84.01774238227146</v>
      </c>
      <c r="LE158" s="13">
        <f>LD158*($LB$6+ACUTE_MARGIN)</f>
        <v>84857.91980609419</v>
      </c>
      <c r="LF158" s="13">
        <f>IF(LB158=1,$LB$31,$LB$32)</f>
        <v>152394.16214437486</v>
      </c>
      <c r="LG158" s="13">
        <f>LE158-LF158</f>
        <v>-67536.24233828067</v>
      </c>
      <c r="LH158" s="13">
        <f>LH157+LG158</f>
        <v>-5065218.1753710555</v>
      </c>
      <c r="LI158">
        <f>IF(LH158=MAX($LH$83:$LH$483),$A158,0)</f>
        <v>0</v>
      </c>
      <c r="LJ158">
        <f>IF(LE158&lt;LF158,$A158,B_MAX+1)</f>
        <v>75</v>
      </c>
      <c r="LK158" s="13">
        <f>IF(LB158=1,$LB$35,$LB$36)</f>
        <v>0</v>
      </c>
      <c r="LL158" s="13">
        <f>OCC_DAYS*$LB$41*R_NF_2023-LD158*MCD_SHARE_FREED*R_WAIT_2023</f>
        <v>113776.04162887059</v>
      </c>
      <c r="LM158">
        <f>IF($A158&lt;=$LB$45,1,0)</f>
        <v>0</v>
      </c>
      <c r="MB158">
        <f>IF($MB$31&lt;=$MB$32,IF($A158&lt;=$MB$7,1,2),IF($A158&lt;=RUNG_BEDS_2,2,1))</f>
        <v>1</v>
      </c>
      <c r="MC158" s="5">
        <f>MIN(1,MAX(0,$MB$26-($A158-1)))</f>
        <v>1</v>
      </c>
      <c r="MD158" s="5">
        <f>$MB$25*(MC158+(1-MC158)*$MB$16)</f>
        <v>213.44610951008647</v>
      </c>
      <c r="ME158" s="13">
        <f>MD158*($MB$6+ACUTE_MARGIN)</f>
        <v>215580.57060518733</v>
      </c>
      <c r="MF158" s="13">
        <f>IF(MB158=1,$MB$31,$MB$32)</f>
        <v>152394.16214437486</v>
      </c>
      <c r="MG158" s="13">
        <f>ME158-MF158</f>
        <v>63186.40846081247</v>
      </c>
      <c r="MH158" s="13">
        <f>MH157+MG158</f>
        <v>4738980.634560941</v>
      </c>
      <c r="MI158">
        <f>IF(MH158=MAX($MH$83:$MH$483),$A158,0)</f>
        <v>0</v>
      </c>
      <c r="MJ158">
        <f>IF(ME158&lt;MF158,$A158,B_MAX+1)</f>
        <v>401.0</v>
      </c>
      <c r="MK158" s="13">
        <f>IF(MB158=1,$MB$35,$MB$36)</f>
        <v>0</v>
      </c>
      <c r="ML158" s="13">
        <f>OCC_DAYS*$MB$41*R_NF_2023-MD158*MCD_SHARE_FREED*R_WAIT_2023</f>
        <v>54922.538779778624</v>
      </c>
      <c r="MM158">
        <f>IF($A158&lt;=$MB$45,1,0)</f>
        <v>1</v>
      </c>
      <c r="NB158">
        <f>IF($NB$31&lt;=$NB$32,IF($A158&lt;=$NB$7,1,2),IF($A158&lt;=RUNG_BEDS_2,2,1))</f>
        <v>1</v>
      </c>
      <c r="NC158" s="5">
        <f>MIN(1,MAX(0,$NB$26-($A158-1)))</f>
        <v>1</v>
      </c>
      <c r="ND158" s="5">
        <f>$NB$25*(NC158+(1-NC158)*$NB$16)</f>
        <v>252.05322714681438</v>
      </c>
      <c r="NE158" s="13">
        <f>ND158*($NB$6+ACUTE_MARGIN)</f>
        <v>254573.7594182825</v>
      </c>
      <c r="NF158" s="13">
        <f>IF(NB158=1,$NB$31,$NB$32)</f>
        <v>152394.16214437486</v>
      </c>
      <c r="NG158" s="13">
        <f>NE158-NF158</f>
        <v>102179.59727390765</v>
      </c>
      <c r="NH158" s="13">
        <f>NH157+NG158</f>
        <v>7663469.795543073</v>
      </c>
      <c r="NI158">
        <f>IF(NH158=MAX($NH$83:$NH$483),$A158,0)</f>
        <v>0</v>
      </c>
      <c r="NJ158">
        <f>IF(NE158&lt;NF158,$A158,B_MAX+1)</f>
        <v>401.0</v>
      </c>
      <c r="NK158" s="13">
        <f>IF(NB158=1,$NB$35,$NB$36)</f>
        <v>0</v>
      </c>
      <c r="NL158" s="13">
        <f>OCC_DAYS*$NB$41*R_NF_2023-ND158*MCD_SHARE_FREED*R_WAIT_2023</f>
        <v>37367.159242427646</v>
      </c>
      <c r="NM158">
        <f>IF($A158&lt;=$NB$45,1,0)</f>
        <v>1</v>
      </c>
      <c r="OB158">
        <f>IF($OB$31&lt;=$OB$32,IF($A158&lt;=$OB$7,1,2),IF($A158&lt;=RUNG_BEDS_2,2,1))</f>
        <v>1</v>
      </c>
      <c r="OC158" s="5">
        <f>MIN(1,MAX(0,$OB$26-($A158-1)))</f>
        <v>1</v>
      </c>
      <c r="OD158" s="5">
        <f>$OB$25*(OC158+(1-OC158)*$OB$16)</f>
        <v>252.05322714681438</v>
      </c>
      <c r="OE158" s="13">
        <f>OD158*($OB$6+ACUTE_MARGIN)</f>
        <v>254573.7594182825</v>
      </c>
      <c r="OF158" s="13">
        <f>IF(OB158=1,$OB$31,$OB$32)</f>
        <v>152394.16214437486</v>
      </c>
      <c r="OG158" s="13">
        <f>OE158-OF158</f>
        <v>102179.59727390765</v>
      </c>
      <c r="OH158" s="13">
        <f>OH157+OG158</f>
        <v>7663469.795543073</v>
      </c>
      <c r="OI158">
        <f>IF(OH158=MAX($OH$83:$OH$483),$A158,0)</f>
        <v>0</v>
      </c>
      <c r="OJ158">
        <f>IF(OE158&lt;OF158,$A158,B_MAX+1)</f>
        <v>401.0</v>
      </c>
      <c r="OK158" s="13">
        <f>IF(OB158=1,$OB$35,$OB$36)</f>
        <v>0</v>
      </c>
      <c r="OL158" s="13">
        <f>OCC_DAYS*$OB$41*R_NF_2023-OD158*MCD_SHARE_FREED*R_WAIT_2023</f>
        <v>37367.159242427646</v>
      </c>
      <c r="OM158">
        <f>IF($A158&lt;=$OB$45,1,0)</f>
        <v>1</v>
      </c>
    </row>
    <row r="159">
      <c r="A159" t="n">
        <v>76</v>
      </c>
      <c r="B159">
        <f>IF($B$31&lt;=$B$32,IF($A159&lt;=$B$7,1,2),IF($A159&lt;=RUNG_BEDS_2,2,1))</f>
        <v>1</v>
      </c>
      <c r="C159" s="5">
        <f>MIN(1,MAX(0,$B$26-($A159-1)))</f>
        <v>1</v>
      </c>
      <c r="D159" s="5">
        <f>$B$25*(C159+(1-C159)*$B$16)</f>
        <v>252.05322714681438</v>
      </c>
      <c r="E159" s="13">
        <f>D159*($B$6+ACUTE_MARGIN)</f>
        <v>254573.7594182825</v>
      </c>
      <c r="F159" s="13">
        <f>IF(B159=1,$B$31,$B$32)</f>
        <v>152394.16214437486</v>
      </c>
      <c r="G159" s="13">
        <f>E159-F159</f>
        <v>102179.59727390765</v>
      </c>
      <c r="H159" s="13">
        <f>H158+G159</f>
        <v>7765649.39281698</v>
      </c>
      <c r="I159">
        <f>IF(H159=MAX($H$83:$H$483),$A159,0)</f>
        <v>0</v>
      </c>
      <c r="J159">
        <f>IF(E159&lt;F159,$A159,B_MAX+1)</f>
        <v>401.0</v>
      </c>
      <c r="K159" s="13">
        <f>IF(B159=1,$B$35,$B$36)</f>
        <v>0</v>
      </c>
      <c r="L159" s="13">
        <f>OCC_DAYS*$B$41*R_NF_2023-D159*MCD_SHARE_FREED*R_WAIT_2023</f>
        <v>37367.159242427646</v>
      </c>
      <c r="M159">
        <f>IF($A159&lt;=$B$45,1,0)</f>
        <v>1</v>
      </c>
      <c r="AB159">
        <f>IF($AB$31&lt;=$AB$32,IF($A159&lt;=$AB$7,1,2),IF($A159&lt;=RUNG_BEDS_2,2,1))</f>
        <v>1</v>
      </c>
      <c r="AC159" s="5">
        <f>MIN(1,MAX(0,$AB$26-($A159-1)))</f>
        <v>1</v>
      </c>
      <c r="AD159" s="5">
        <f>$AB$25*(AC159+(1-AC159)*$AB$16)</f>
        <v>252.05322714681438</v>
      </c>
      <c r="AE159" s="13">
        <f>AD159*($AB$6+ACUTE_MARGIN)</f>
        <v>138629.2749307479</v>
      </c>
      <c r="AF159" s="13">
        <f>IF(AB159=1,$AB$31,$AB$32)</f>
        <v>152394.16214437486</v>
      </c>
      <c r="AG159" s="13">
        <f>AE159-AF159</f>
        <v>-13764.887213626964</v>
      </c>
      <c r="AH159" s="13">
        <f>AH158+AG159</f>
        <v>-1046131.4282356509</v>
      </c>
      <c r="AI159">
        <f>IF(AH159=MAX($AH$83:$AH$483),$A159,0)</f>
        <v>0</v>
      </c>
      <c r="AJ159">
        <f>IF(AE159&lt;AF159,$A159,B_MAX+1)</f>
        <v>76</v>
      </c>
      <c r="AK159" s="13">
        <f>IF(AB159=1,$AB$35,$AB$36)</f>
        <v>0</v>
      </c>
      <c r="AL159" s="13">
        <f>OCC_DAYS*$AB$41*R_NF_2023-AD159*MCD_SHARE_FREED*R_WAIT_2023</f>
        <v>37367.159242427646</v>
      </c>
      <c r="AM159">
        <f>IF($A159&lt;=$AB$45,1,0)</f>
        <v>0</v>
      </c>
      <c r="BB159">
        <f>IF($BB$31&lt;=$BB$32,IF($A159&lt;=$BB$7,1,2),IF($A159&lt;=RUNG_BEDS_2,2,1))</f>
        <v>1</v>
      </c>
      <c r="BC159" s="5">
        <f>MIN(1,MAX(0,$BB$26-($A159-1)))</f>
        <v>1</v>
      </c>
      <c r="BD159" s="5">
        <f>$BB$25*(BC159+(1-BC159)*$BB$16)</f>
        <v>252.05322714681438</v>
      </c>
      <c r="BE159" s="13">
        <f>BD159*($BB$6+ACUTE_MARGIN)</f>
        <v>370518.24390581716</v>
      </c>
      <c r="BF159" s="13">
        <f>IF(BB159=1,$BB$31,$BB$32)</f>
        <v>152394.16214437486</v>
      </c>
      <c r="BG159" s="13">
        <f>BE159-BF159</f>
        <v>218124.0817614423</v>
      </c>
      <c r="BH159" s="13">
        <f>BH158+BG159</f>
        <v>16577430.213869603</v>
      </c>
      <c r="BI159">
        <f>IF(BH159=MAX($BH$83:$BH$483),$A159,0)</f>
        <v>0</v>
      </c>
      <c r="BJ159">
        <f>IF(BE159&lt;BF159,$A159,B_MAX+1)</f>
        <v>401.0</v>
      </c>
      <c r="BK159" s="13">
        <f>IF(BB159=1,$BB$35,$BB$36)</f>
        <v>0</v>
      </c>
      <c r="BL159" s="13">
        <f>OCC_DAYS*$BB$41*R_NF_2023-BD159*MCD_SHARE_FREED*R_WAIT_2023</f>
        <v>37367.159242427646</v>
      </c>
      <c r="BM159">
        <f>IF($A159&lt;=$BB$45,1,0)</f>
        <v>1</v>
      </c>
      <c r="CB159">
        <f>IF($CB$31&lt;=$CB$32,IF($A159&lt;=$CB$7,1,2),IF($A159&lt;=RUNG_BEDS_2,2,1))</f>
        <v>2</v>
      </c>
      <c r="CC159" s="5">
        <f>MIN(1,MAX(0,$CB$26-($A159-1)))</f>
        <v>1</v>
      </c>
      <c r="CD159" s="5">
        <f>$CB$25*(CC159+(1-CC159)*$CB$16)</f>
        <v>252.05322714681438</v>
      </c>
      <c r="CE159" s="13">
        <f>CD159*($CB$6+ACUTE_MARGIN)</f>
        <v>254573.7594182825</v>
      </c>
      <c r="CF159" s="13">
        <f>IF(CB159=1,$CB$31,$CB$32)</f>
        <v>160718.36940738867</v>
      </c>
      <c r="CG159" s="13">
        <f>CE159-CF159</f>
        <v>93855.39001089384</v>
      </c>
      <c r="CH159" s="13">
        <f>CH158+CG159</f>
        <v>7133009.6408279445</v>
      </c>
      <c r="CI159">
        <f>IF(CH159=MAX($CH$83:$CH$483),$A159,0)</f>
        <v>0</v>
      </c>
      <c r="CJ159">
        <f>IF(CE159&lt;CF159,$A159,B_MAX+1)</f>
        <v>401.0</v>
      </c>
      <c r="CK159" s="13">
        <f>IF(CB159=1,$CB$35,$CB$36)</f>
        <v>1560.1194073886782</v>
      </c>
      <c r="CL159" s="13">
        <f>OCC_DAYS*$CB$41*R_NF_2023-CD159*MCD_SHARE_FREED*R_WAIT_2023</f>
        <v>37367.159242427646</v>
      </c>
      <c r="CM159">
        <f>IF($A159&lt;=$CB$45,1,0)</f>
        <v>1</v>
      </c>
      <c r="DB159">
        <f>IF($DB$31&lt;=$DB$32,IF($A159&lt;=$DB$7,1,2),IF($A159&lt;=RUNG_BEDS_2,2,1))</f>
        <v>1</v>
      </c>
      <c r="DC159" s="5">
        <f>MIN(1,MAX(0,$DB$26-($A159-1)))</f>
        <v>1</v>
      </c>
      <c r="DD159" s="5">
        <f>$DB$25*(DC159+(1-DC159)*$DB$16)</f>
        <v>252.05322714681438</v>
      </c>
      <c r="DE159" s="13">
        <f>DD159*($DB$6+ACUTE_MARGIN)</f>
        <v>254573.7594182825</v>
      </c>
      <c r="DF159" s="13">
        <f>IF(DB159=1,$DB$31,$DB$32)</f>
        <v>152394.16214437486</v>
      </c>
      <c r="DG159" s="13">
        <f>DE159-DF159</f>
        <v>102179.59727390765</v>
      </c>
      <c r="DH159" s="13">
        <f>DH158+DG159</f>
        <v>7765649.39281698</v>
      </c>
      <c r="DI159">
        <f>IF(DH159=MAX($DH$83:$DH$483),$A159,0)</f>
        <v>0</v>
      </c>
      <c r="DJ159">
        <f>IF(DE159&lt;DF159,$A159,B_MAX+1)</f>
        <v>401.0</v>
      </c>
      <c r="DK159" s="13">
        <f>IF(DB159=1,$DB$35,$DB$36)</f>
        <v>0</v>
      </c>
      <c r="DL159" s="13">
        <f>OCC_DAYS*$DB$41*R_NF_2023-DD159*MCD_SHARE_FREED*R_WAIT_2023</f>
        <v>37367.159242427646</v>
      </c>
      <c r="DM159">
        <f>IF($A159&lt;=$DB$45,1,0)</f>
        <v>1</v>
      </c>
      <c r="EB159">
        <f>IF($EB$31&lt;=$EB$32,IF($A159&lt;=$EB$7,1,2),IF($A159&lt;=RUNG_BEDS_2,2,1))</f>
        <v>1</v>
      </c>
      <c r="EC159" s="5">
        <f>MIN(1,MAX(0,$EB$26-($A159-1)))</f>
        <v>1</v>
      </c>
      <c r="ED159" s="5">
        <f>$EB$25*(EC159+(1-EC159)*$EB$16)</f>
        <v>252.05322714681438</v>
      </c>
      <c r="EE159" s="13">
        <f>ED159*($EB$6+ACUTE_MARGIN)</f>
        <v>254573.7594182825</v>
      </c>
      <c r="EF159" s="13">
        <f>IF(EB159=1,$EB$31,$EB$32)</f>
        <v>152394.16214437486</v>
      </c>
      <c r="EG159" s="13">
        <f>EE159-EF159</f>
        <v>102179.59727390765</v>
      </c>
      <c r="EH159" s="13">
        <f>EH158+EG159</f>
        <v>7765649.39281698</v>
      </c>
      <c r="EI159">
        <f>IF(EH159=MAX($EH$83:$EH$483),$A159,0)</f>
        <v>0</v>
      </c>
      <c r="EJ159">
        <f>IF(EE159&lt;EF159,$A159,B_MAX+1)</f>
        <v>401.0</v>
      </c>
      <c r="EK159" s="13">
        <f>IF(EB159=1,$EB$35,$EB$36)</f>
        <v>0</v>
      </c>
      <c r="EL159" s="13">
        <f>OCC_DAYS*$EB$41*R_NF_2023-ED159*MCD_SHARE_FREED*R_WAIT_2023</f>
        <v>-63953.16263896705</v>
      </c>
      <c r="EM159">
        <f>IF($A159&lt;=$EB$45,1,0)</f>
        <v>1</v>
      </c>
      <c r="FB159">
        <f>IF($FB$31&lt;=$FB$32,IF($A159&lt;=$FB$7,1,2),IF($A159&lt;=RUNG_BEDS_2,2,1))</f>
        <v>1</v>
      </c>
      <c r="FC159" s="5">
        <f>MIN(1,MAX(0,$FB$26-($A159-1)))</f>
        <v>1</v>
      </c>
      <c r="FD159" s="5">
        <f>$FB$25*(FC159+(1-FC159)*$FB$16)</f>
        <v>252.05322714681438</v>
      </c>
      <c r="FE159" s="13">
        <f>FD159*($FB$6+ACUTE_MARGIN)</f>
        <v>254573.7594182825</v>
      </c>
      <c r="FF159" s="13">
        <f>IF(FB159=1,$FB$31,$FB$32)</f>
        <v>156636.04979437485</v>
      </c>
      <c r="FG159" s="13">
        <f>FE159-FF159</f>
        <v>97937.70962390766</v>
      </c>
      <c r="FH159" s="13">
        <f>FH158+FG159</f>
        <v>7443265.931416984</v>
      </c>
      <c r="FI159">
        <f>IF(FH159=MAX($FH$83:$FH$483),$A159,0)</f>
        <v>0</v>
      </c>
      <c r="FJ159">
        <f>IF(FE159&lt;FF159,$A159,B_MAX+1)</f>
        <v>401.0</v>
      </c>
      <c r="FK159" s="13">
        <f>IF(FB159=1,$FB$35,$FB$36)</f>
        <v>0</v>
      </c>
      <c r="FL159" s="13">
        <f>OCC_DAYS*$FB$41*R_NF_2023-FD159*MCD_SHARE_FREED*R_WAIT_2023</f>
        <v>37367.159242427646</v>
      </c>
      <c r="FM159">
        <f>IF($A159&lt;=$FB$45,1,0)</f>
        <v>1</v>
      </c>
      <c r="GB159">
        <f>IF($GB$31&lt;=$GB$32,IF($A159&lt;=$GB$7,1,2),IF($A159&lt;=RUNG_BEDS_2,2,1))</f>
        <v>1</v>
      </c>
      <c r="GC159" s="5">
        <f>MIN(1,MAX(0,$GB$26-($A159-1)))</f>
        <v>1</v>
      </c>
      <c r="GD159" s="5">
        <f>$GB$25*(GC159+(1-GC159)*$GB$16)</f>
        <v>252.05322714681438</v>
      </c>
      <c r="GE159" s="13">
        <f>GD159*($GB$6+ACUTE_MARGIN)</f>
        <v>254573.7594182825</v>
      </c>
      <c r="GF159" s="13">
        <f>IF(GB159=1,$GB$31,$GB$32)</f>
        <v>152394.16214437486</v>
      </c>
      <c r="GG159" s="13">
        <f>GE159-GF159</f>
        <v>102179.59727390765</v>
      </c>
      <c r="GH159" s="13">
        <f>GH158+GG159</f>
        <v>7765649.39281698</v>
      </c>
      <c r="GI159">
        <f>IF(GH159=MAX($GH$83:$GH$483),$A159,0)</f>
        <v>0</v>
      </c>
      <c r="GJ159">
        <f>IF(GE159&lt;GF159,$A159,B_MAX+1)</f>
        <v>401.0</v>
      </c>
      <c r="GK159" s="13">
        <f>IF(GB159=1,$GB$35,$GB$36)</f>
        <v>0</v>
      </c>
      <c r="GL159" s="13">
        <f>OCC_DAYS*$GB$41*R_NF_2023-GD159*MCD_SHARE_FREED*R_WAIT_2023</f>
        <v>37367.159242427646</v>
      </c>
      <c r="GM159">
        <f>IF($A159&lt;=$GB$45,1,0)</f>
        <v>1</v>
      </c>
      <c r="HB159">
        <f>IF($HB$31&lt;=$HB$32,IF($A159&lt;=$HB$7,1,2),IF($A159&lt;=RUNG_BEDS_2,2,1))</f>
        <v>1</v>
      </c>
      <c r="HC159" s="5">
        <f>MIN(1,MAX(0,$HB$26-($A159-1)))</f>
        <v>1</v>
      </c>
      <c r="HD159" s="5">
        <f>$HB$25*(HC159+(1-HC159)*$HB$16)</f>
        <v>252.05322714681438</v>
      </c>
      <c r="HE159" s="13">
        <f>HD159*($HB$6+ACUTE_MARGIN)</f>
        <v>254573.7594182825</v>
      </c>
      <c r="HF159" s="13">
        <f>IF(HB159=1,$HB$31,$HB$32)</f>
        <v>152456.2970814058</v>
      </c>
      <c r="HG159" s="13">
        <f>HE159-HF159</f>
        <v>102117.46233687672</v>
      </c>
      <c r="HH159" s="13">
        <f>HH158+HG159</f>
        <v>7760927.137602624</v>
      </c>
      <c r="HI159">
        <f>IF(HH159=MAX($HH$83:$HH$483),$A159,0)</f>
        <v>0</v>
      </c>
      <c r="HJ159">
        <f>IF(HE159&lt;HF159,$A159,B_MAX+1)</f>
        <v>401.0</v>
      </c>
      <c r="HK159" s="13">
        <f>IF(HB159=1,$HB$35,$HB$36)</f>
        <v>0</v>
      </c>
      <c r="HL159" s="13">
        <f>OCC_DAYS*$HB$41*R_NF_2023-HD159*MCD_SHARE_FREED*R_WAIT_2023</f>
        <v>37367.159242427646</v>
      </c>
      <c r="HM159">
        <f>IF($A159&lt;=$HB$45,1,0)</f>
        <v>1</v>
      </c>
      <c r="IB159">
        <f>IF($IB$31&lt;=$IB$32,IF($A159&lt;=$IB$7,1,2),IF($A159&lt;=RUNG_BEDS_2,2,1))</f>
        <v>1</v>
      </c>
      <c r="IC159" s="5">
        <f>MIN(1,MAX(0,$IB$26-($A159-1)))</f>
        <v>1</v>
      </c>
      <c r="ID159" s="5">
        <f>$IB$25*(IC159+(1-IC159)*$IB$16)</f>
        <v>252.05322714681438</v>
      </c>
      <c r="IE159" s="13">
        <f>ID159*($IB$6+ACUTE_MARGIN)</f>
        <v>254573.7594182825</v>
      </c>
      <c r="IF159" s="13">
        <f>IF(IB159=1,$IB$31,$IB$32)</f>
        <v>152734.9994534971</v>
      </c>
      <c r="IG159" s="13">
        <f>IE159-IF159</f>
        <v>101838.75996478542</v>
      </c>
      <c r="IH159" s="13">
        <f>IH158+IG159</f>
        <v>7739745.757323699</v>
      </c>
      <c r="II159">
        <f>IF(IH159=MAX($IH$83:$IH$483),$A159,0)</f>
        <v>0</v>
      </c>
      <c r="IJ159">
        <f>IF(IE159&lt;IF159,$A159,B_MAX+1)</f>
        <v>401.0</v>
      </c>
      <c r="IK159" s="13">
        <f>IF(IB159=1,$IB$35,$IB$36)</f>
        <v>0</v>
      </c>
      <c r="IL159" s="13">
        <f>OCC_DAYS*$IB$41*R_NF_2023-ID159*MCD_SHARE_FREED*R_WAIT_2023</f>
        <v>37367.159242427646</v>
      </c>
      <c r="IM159">
        <f>IF($A159&lt;=$IB$45,1,0)</f>
        <v>1</v>
      </c>
      <c r="JB159">
        <f>IF($JB$31&lt;=$JB$32,IF($A159&lt;=$JB$7,1,2),IF($A159&lt;=RUNG_BEDS_2,2,1))</f>
        <v>1</v>
      </c>
      <c r="JC159" s="5">
        <f>MIN(1,MAX(0,$JB$26-($A159-1)))</f>
        <v>1</v>
      </c>
      <c r="JD159" s="5">
        <f>$JB$25*(JC159+(1-JC159)*$JB$16)</f>
        <v>252.05322714681438</v>
      </c>
      <c r="JE159" s="13">
        <f>JD159*($JB$6+ACUTE_MARGIN)</f>
        <v>254573.7594182825</v>
      </c>
      <c r="JF159" s="13">
        <f>IF(JB159=1,$JB$31,$JB$32)</f>
        <v>152394.16214437486</v>
      </c>
      <c r="JG159" s="13">
        <f>JE159-JF159</f>
        <v>102179.59727390765</v>
      </c>
      <c r="JH159" s="13">
        <f>JH158+JG159</f>
        <v>7765649.39281698</v>
      </c>
      <c r="JI159">
        <f>IF(JH159=MAX($JH$83:$JH$483),$A159,0)</f>
        <v>0</v>
      </c>
      <c r="JJ159">
        <f>IF(JE159&lt;JF159,$A159,B_MAX+1)</f>
        <v>401.0</v>
      </c>
      <c r="JK159" s="13">
        <f>IF(JB159=1,$JB$35,$JB$36)</f>
        <v>0</v>
      </c>
      <c r="JL159" s="13">
        <f>OCC_DAYS*$JB$41*R_NF_2023-JD159*MCD_SHARE_FREED*R_WAIT_2023</f>
        <v>37367.159242427646</v>
      </c>
      <c r="JM159">
        <f>IF($A159&lt;=$JB$45,1,0)</f>
        <v>1</v>
      </c>
      <c r="KB159">
        <f>IF($KB$31&lt;=$KB$32,IF($A159&lt;=$KB$7,1,2),IF($A159&lt;=RUNG_BEDS_2,2,1))</f>
        <v>1</v>
      </c>
      <c r="KC159" s="5">
        <f>MIN(1,MAX(0,$KB$26-($A159-1)))</f>
        <v>1</v>
      </c>
      <c r="KD159" s="5">
        <f>$KB$25*(KC159+(1-KC159)*$KB$16)</f>
        <v>126.02661357340719</v>
      </c>
      <c r="KE159" s="13">
        <f>KD159*($KB$6+ACUTE_MARGIN)</f>
        <v>127286.87970914126</v>
      </c>
      <c r="KF159" s="13">
        <f>IF(KB159=1,$KB$31,$KB$32)</f>
        <v>152394.16214437486</v>
      </c>
      <c r="KG159" s="13">
        <f>KE159-KF159</f>
        <v>-25107.282435233603</v>
      </c>
      <c r="KH159" s="13">
        <f>KH158+KG159</f>
        <v>-1908153.465077757</v>
      </c>
      <c r="KI159">
        <f>IF(KH159=MAX($KH$83:$KH$483),$A159,0)</f>
        <v>0</v>
      </c>
      <c r="KJ159">
        <f>IF(KE159&lt;KF159,$A159,B_MAX+1)</f>
        <v>76</v>
      </c>
      <c r="KK159" s="13">
        <f>IF(KB159=1,$KB$35,$KB$36)</f>
        <v>0</v>
      </c>
      <c r="KL159" s="13">
        <f>OCC_DAYS*$KB$41*R_NF_2023-KD159*MCD_SHARE_FREED*R_WAIT_2023</f>
        <v>94673.82103225985</v>
      </c>
      <c r="KM159">
        <f>IF($A159&lt;=$KB$45,1,0)</f>
        <v>0</v>
      </c>
      <c r="LB159">
        <f>IF($LB$31&lt;=$LB$32,IF($A159&lt;=$LB$7,1,2),IF($A159&lt;=RUNG_BEDS_2,2,1))</f>
        <v>1</v>
      </c>
      <c r="LC159" s="5">
        <f>MIN(1,MAX(0,$LB$26-($A159-1)))</f>
        <v>1</v>
      </c>
      <c r="LD159" s="5">
        <f>$LB$25*(LC159+(1-LC159)*$LB$16)</f>
        <v>84.01774238227146</v>
      </c>
      <c r="LE159" s="13">
        <f>LD159*($LB$6+ACUTE_MARGIN)</f>
        <v>84857.91980609419</v>
      </c>
      <c r="LF159" s="13">
        <f>IF(LB159=1,$LB$31,$LB$32)</f>
        <v>152394.16214437486</v>
      </c>
      <c r="LG159" s="13">
        <f>LE159-LF159</f>
        <v>-67536.24233828067</v>
      </c>
      <c r="LH159" s="13">
        <f>LH158+LG159</f>
        <v>-5132754.417709337</v>
      </c>
      <c r="LI159">
        <f>IF(LH159=MAX($LH$83:$LH$483),$A159,0)</f>
        <v>0</v>
      </c>
      <c r="LJ159">
        <f>IF(LE159&lt;LF159,$A159,B_MAX+1)</f>
        <v>76</v>
      </c>
      <c r="LK159" s="13">
        <f>IF(LB159=1,$LB$35,$LB$36)</f>
        <v>0</v>
      </c>
      <c r="LL159" s="13">
        <f>OCC_DAYS*$LB$41*R_NF_2023-LD159*MCD_SHARE_FREED*R_WAIT_2023</f>
        <v>113776.04162887059</v>
      </c>
      <c r="LM159">
        <f>IF($A159&lt;=$LB$45,1,0)</f>
        <v>0</v>
      </c>
      <c r="MB159">
        <f>IF($MB$31&lt;=$MB$32,IF($A159&lt;=$MB$7,1,2),IF($A159&lt;=RUNG_BEDS_2,2,1))</f>
        <v>1</v>
      </c>
      <c r="MC159" s="5">
        <f>MIN(1,MAX(0,$MB$26-($A159-1)))</f>
        <v>1</v>
      </c>
      <c r="MD159" s="5">
        <f>$MB$25*(MC159+(1-MC159)*$MB$16)</f>
        <v>213.44610951008647</v>
      </c>
      <c r="ME159" s="13">
        <f>MD159*($MB$6+ACUTE_MARGIN)</f>
        <v>215580.57060518733</v>
      </c>
      <c r="MF159" s="13">
        <f>IF(MB159=1,$MB$31,$MB$32)</f>
        <v>152394.16214437486</v>
      </c>
      <c r="MG159" s="13">
        <f>ME159-MF159</f>
        <v>63186.40846081247</v>
      </c>
      <c r="MH159" s="13">
        <f>MH158+MG159</f>
        <v>4802167.043021753</v>
      </c>
      <c r="MI159">
        <f>IF(MH159=MAX($MH$83:$MH$483),$A159,0)</f>
        <v>0</v>
      </c>
      <c r="MJ159">
        <f>IF(ME159&lt;MF159,$A159,B_MAX+1)</f>
        <v>401.0</v>
      </c>
      <c r="MK159" s="13">
        <f>IF(MB159=1,$MB$35,$MB$36)</f>
        <v>0</v>
      </c>
      <c r="ML159" s="13">
        <f>OCC_DAYS*$MB$41*R_NF_2023-MD159*MCD_SHARE_FREED*R_WAIT_2023</f>
        <v>54922.538779778624</v>
      </c>
      <c r="MM159">
        <f>IF($A159&lt;=$MB$45,1,0)</f>
        <v>1</v>
      </c>
      <c r="NB159">
        <f>IF($NB$31&lt;=$NB$32,IF($A159&lt;=$NB$7,1,2),IF($A159&lt;=RUNG_BEDS_2,2,1))</f>
        <v>1</v>
      </c>
      <c r="NC159" s="5">
        <f>MIN(1,MAX(0,$NB$26-($A159-1)))</f>
        <v>1</v>
      </c>
      <c r="ND159" s="5">
        <f>$NB$25*(NC159+(1-NC159)*$NB$16)</f>
        <v>252.05322714681438</v>
      </c>
      <c r="NE159" s="13">
        <f>ND159*($NB$6+ACUTE_MARGIN)</f>
        <v>254573.7594182825</v>
      </c>
      <c r="NF159" s="13">
        <f>IF(NB159=1,$NB$31,$NB$32)</f>
        <v>152394.16214437486</v>
      </c>
      <c r="NG159" s="13">
        <f>NE159-NF159</f>
        <v>102179.59727390765</v>
      </c>
      <c r="NH159" s="13">
        <f>NH158+NG159</f>
        <v>7765649.39281698</v>
      </c>
      <c r="NI159">
        <f>IF(NH159=MAX($NH$83:$NH$483),$A159,0)</f>
        <v>0</v>
      </c>
      <c r="NJ159">
        <f>IF(NE159&lt;NF159,$A159,B_MAX+1)</f>
        <v>401.0</v>
      </c>
      <c r="NK159" s="13">
        <f>IF(NB159=1,$NB$35,$NB$36)</f>
        <v>0</v>
      </c>
      <c r="NL159" s="13">
        <f>OCC_DAYS*$NB$41*R_NF_2023-ND159*MCD_SHARE_FREED*R_WAIT_2023</f>
        <v>37367.159242427646</v>
      </c>
      <c r="NM159">
        <f>IF($A159&lt;=$NB$45,1,0)</f>
        <v>1</v>
      </c>
      <c r="OB159">
        <f>IF($OB$31&lt;=$OB$32,IF($A159&lt;=$OB$7,1,2),IF($A159&lt;=RUNG_BEDS_2,2,1))</f>
        <v>1</v>
      </c>
      <c r="OC159" s="5">
        <f>MIN(1,MAX(0,$OB$26-($A159-1)))</f>
        <v>1</v>
      </c>
      <c r="OD159" s="5">
        <f>$OB$25*(OC159+(1-OC159)*$OB$16)</f>
        <v>252.05322714681438</v>
      </c>
      <c r="OE159" s="13">
        <f>OD159*($OB$6+ACUTE_MARGIN)</f>
        <v>254573.7594182825</v>
      </c>
      <c r="OF159" s="13">
        <f>IF(OB159=1,$OB$31,$OB$32)</f>
        <v>152394.16214437486</v>
      </c>
      <c r="OG159" s="13">
        <f>OE159-OF159</f>
        <v>102179.59727390765</v>
      </c>
      <c r="OH159" s="13">
        <f>OH158+OG159</f>
        <v>7765649.39281698</v>
      </c>
      <c r="OI159">
        <f>IF(OH159=MAX($OH$83:$OH$483),$A159,0)</f>
        <v>0</v>
      </c>
      <c r="OJ159">
        <f>IF(OE159&lt;OF159,$A159,B_MAX+1)</f>
        <v>401.0</v>
      </c>
      <c r="OK159" s="13">
        <f>IF(OB159=1,$OB$35,$OB$36)</f>
        <v>0</v>
      </c>
      <c r="OL159" s="13">
        <f>OCC_DAYS*$OB$41*R_NF_2023-OD159*MCD_SHARE_FREED*R_WAIT_2023</f>
        <v>37367.159242427646</v>
      </c>
      <c r="OM159">
        <f>IF($A159&lt;=$OB$45,1,0)</f>
        <v>1</v>
      </c>
    </row>
    <row r="160">
      <c r="A160" t="n">
        <v>77</v>
      </c>
      <c r="B160">
        <f>IF($B$31&lt;=$B$32,IF($A160&lt;=$B$7,1,2),IF($A160&lt;=RUNG_BEDS_2,2,1))</f>
        <v>1</v>
      </c>
      <c r="C160" s="5">
        <f>MIN(1,MAX(0,$B$26-($A160-1)))</f>
        <v>1</v>
      </c>
      <c r="D160" s="5">
        <f>$B$25*(C160+(1-C160)*$B$16)</f>
        <v>252.05322714681438</v>
      </c>
      <c r="E160" s="13">
        <f>D160*($B$6+ACUTE_MARGIN)</f>
        <v>254573.7594182825</v>
      </c>
      <c r="F160" s="13">
        <f>IF(B160=1,$B$31,$B$32)</f>
        <v>152394.16214437486</v>
      </c>
      <c r="G160" s="13">
        <f>E160-F160</f>
        <v>102179.59727390765</v>
      </c>
      <c r="H160" s="13">
        <f>H159+G160</f>
        <v>7867828.990090888</v>
      </c>
      <c r="I160">
        <f>IF(H160=MAX($H$83:$H$483),$A160,0)</f>
        <v>0</v>
      </c>
      <c r="J160">
        <f>IF(E160&lt;F160,$A160,B_MAX+1)</f>
        <v>401.0</v>
      </c>
      <c r="K160" s="13">
        <f>IF(B160=1,$B$35,$B$36)</f>
        <v>0</v>
      </c>
      <c r="L160" s="13">
        <f>OCC_DAYS*$B$41*R_NF_2023-D160*MCD_SHARE_FREED*R_WAIT_2023</f>
        <v>37367.159242427646</v>
      </c>
      <c r="M160">
        <f>IF($A160&lt;=$B$45,1,0)</f>
        <v>1</v>
      </c>
      <c r="AB160">
        <f>IF($AB$31&lt;=$AB$32,IF($A160&lt;=$AB$7,1,2),IF($A160&lt;=RUNG_BEDS_2,2,1))</f>
        <v>1</v>
      </c>
      <c r="AC160" s="5">
        <f>MIN(1,MAX(0,$AB$26-($A160-1)))</f>
        <v>1</v>
      </c>
      <c r="AD160" s="5">
        <f>$AB$25*(AC160+(1-AC160)*$AB$16)</f>
        <v>252.05322714681438</v>
      </c>
      <c r="AE160" s="13">
        <f>AD160*($AB$6+ACUTE_MARGIN)</f>
        <v>138629.2749307479</v>
      </c>
      <c r="AF160" s="13">
        <f>IF(AB160=1,$AB$31,$AB$32)</f>
        <v>152394.16214437486</v>
      </c>
      <c r="AG160" s="13">
        <f>AE160-AF160</f>
        <v>-13764.887213626964</v>
      </c>
      <c r="AH160" s="13">
        <f>AH159+AG160</f>
        <v>-1059896.3154492779</v>
      </c>
      <c r="AI160">
        <f>IF(AH160=MAX($AH$83:$AH$483),$A160,0)</f>
        <v>0</v>
      </c>
      <c r="AJ160">
        <f>IF(AE160&lt;AF160,$A160,B_MAX+1)</f>
        <v>77</v>
      </c>
      <c r="AK160" s="13">
        <f>IF(AB160=1,$AB$35,$AB$36)</f>
        <v>0</v>
      </c>
      <c r="AL160" s="13">
        <f>OCC_DAYS*$AB$41*R_NF_2023-AD160*MCD_SHARE_FREED*R_WAIT_2023</f>
        <v>37367.159242427646</v>
      </c>
      <c r="AM160">
        <f>IF($A160&lt;=$AB$45,1,0)</f>
        <v>0</v>
      </c>
      <c r="BB160">
        <f>IF($BB$31&lt;=$BB$32,IF($A160&lt;=$BB$7,1,2),IF($A160&lt;=RUNG_BEDS_2,2,1))</f>
        <v>1</v>
      </c>
      <c r="BC160" s="5">
        <f>MIN(1,MAX(0,$BB$26-($A160-1)))</f>
        <v>1</v>
      </c>
      <c r="BD160" s="5">
        <f>$BB$25*(BC160+(1-BC160)*$BB$16)</f>
        <v>252.05322714681438</v>
      </c>
      <c r="BE160" s="13">
        <f>BD160*($BB$6+ACUTE_MARGIN)</f>
        <v>370518.24390581716</v>
      </c>
      <c r="BF160" s="13">
        <f>IF(BB160=1,$BB$31,$BB$32)</f>
        <v>152394.16214437486</v>
      </c>
      <c r="BG160" s="13">
        <f>BE160-BF160</f>
        <v>218124.0817614423</v>
      </c>
      <c r="BH160" s="13">
        <f>BH159+BG160</f>
        <v>16795554.295631047</v>
      </c>
      <c r="BI160">
        <f>IF(BH160=MAX($BH$83:$BH$483),$A160,0)</f>
        <v>0</v>
      </c>
      <c r="BJ160">
        <f>IF(BE160&lt;BF160,$A160,B_MAX+1)</f>
        <v>401.0</v>
      </c>
      <c r="BK160" s="13">
        <f>IF(BB160=1,$BB$35,$BB$36)</f>
        <v>0</v>
      </c>
      <c r="BL160" s="13">
        <f>OCC_DAYS*$BB$41*R_NF_2023-BD160*MCD_SHARE_FREED*R_WAIT_2023</f>
        <v>37367.159242427646</v>
      </c>
      <c r="BM160">
        <f>IF($A160&lt;=$BB$45,1,0)</f>
        <v>1</v>
      </c>
      <c r="CB160">
        <f>IF($CB$31&lt;=$CB$32,IF($A160&lt;=$CB$7,1,2),IF($A160&lt;=RUNG_BEDS_2,2,1))</f>
        <v>2</v>
      </c>
      <c r="CC160" s="5">
        <f>MIN(1,MAX(0,$CB$26-($A160-1)))</f>
        <v>1</v>
      </c>
      <c r="CD160" s="5">
        <f>$CB$25*(CC160+(1-CC160)*$CB$16)</f>
        <v>252.05322714681438</v>
      </c>
      <c r="CE160" s="13">
        <f>CD160*($CB$6+ACUTE_MARGIN)</f>
        <v>254573.7594182825</v>
      </c>
      <c r="CF160" s="13">
        <f>IF(CB160=1,$CB$31,$CB$32)</f>
        <v>160718.36940738867</v>
      </c>
      <c r="CG160" s="13">
        <f>CE160-CF160</f>
        <v>93855.39001089384</v>
      </c>
      <c r="CH160" s="13">
        <f>CH159+CG160</f>
        <v>7226865.030838839</v>
      </c>
      <c r="CI160">
        <f>IF(CH160=MAX($CH$83:$CH$483),$A160,0)</f>
        <v>0</v>
      </c>
      <c r="CJ160">
        <f>IF(CE160&lt;CF160,$A160,B_MAX+1)</f>
        <v>401.0</v>
      </c>
      <c r="CK160" s="13">
        <f>IF(CB160=1,$CB$35,$CB$36)</f>
        <v>1560.1194073886782</v>
      </c>
      <c r="CL160" s="13">
        <f>OCC_DAYS*$CB$41*R_NF_2023-CD160*MCD_SHARE_FREED*R_WAIT_2023</f>
        <v>37367.159242427646</v>
      </c>
      <c r="CM160">
        <f>IF($A160&lt;=$CB$45,1,0)</f>
        <v>1</v>
      </c>
      <c r="DB160">
        <f>IF($DB$31&lt;=$DB$32,IF($A160&lt;=$DB$7,1,2),IF($A160&lt;=RUNG_BEDS_2,2,1))</f>
        <v>1</v>
      </c>
      <c r="DC160" s="5">
        <f>MIN(1,MAX(0,$DB$26-($A160-1)))</f>
        <v>1</v>
      </c>
      <c r="DD160" s="5">
        <f>$DB$25*(DC160+(1-DC160)*$DB$16)</f>
        <v>252.05322714681438</v>
      </c>
      <c r="DE160" s="13">
        <f>DD160*($DB$6+ACUTE_MARGIN)</f>
        <v>254573.7594182825</v>
      </c>
      <c r="DF160" s="13">
        <f>IF(DB160=1,$DB$31,$DB$32)</f>
        <v>152394.16214437486</v>
      </c>
      <c r="DG160" s="13">
        <f>DE160-DF160</f>
        <v>102179.59727390765</v>
      </c>
      <c r="DH160" s="13">
        <f>DH159+DG160</f>
        <v>7867828.990090888</v>
      </c>
      <c r="DI160">
        <f>IF(DH160=MAX($DH$83:$DH$483),$A160,0)</f>
        <v>0</v>
      </c>
      <c r="DJ160">
        <f>IF(DE160&lt;DF160,$A160,B_MAX+1)</f>
        <v>401.0</v>
      </c>
      <c r="DK160" s="13">
        <f>IF(DB160=1,$DB$35,$DB$36)</f>
        <v>0</v>
      </c>
      <c r="DL160" s="13">
        <f>OCC_DAYS*$DB$41*R_NF_2023-DD160*MCD_SHARE_FREED*R_WAIT_2023</f>
        <v>37367.159242427646</v>
      </c>
      <c r="DM160">
        <f>IF($A160&lt;=$DB$45,1,0)</f>
        <v>1</v>
      </c>
      <c r="EB160">
        <f>IF($EB$31&lt;=$EB$32,IF($A160&lt;=$EB$7,1,2),IF($A160&lt;=RUNG_BEDS_2,2,1))</f>
        <v>1</v>
      </c>
      <c r="EC160" s="5">
        <f>MIN(1,MAX(0,$EB$26-($A160-1)))</f>
        <v>1</v>
      </c>
      <c r="ED160" s="5">
        <f>$EB$25*(EC160+(1-EC160)*$EB$16)</f>
        <v>252.05322714681438</v>
      </c>
      <c r="EE160" s="13">
        <f>ED160*($EB$6+ACUTE_MARGIN)</f>
        <v>254573.7594182825</v>
      </c>
      <c r="EF160" s="13">
        <f>IF(EB160=1,$EB$31,$EB$32)</f>
        <v>152394.16214437486</v>
      </c>
      <c r="EG160" s="13">
        <f>EE160-EF160</f>
        <v>102179.59727390765</v>
      </c>
      <c r="EH160" s="13">
        <f>EH159+EG160</f>
        <v>7867828.990090888</v>
      </c>
      <c r="EI160">
        <f>IF(EH160=MAX($EH$83:$EH$483),$A160,0)</f>
        <v>0</v>
      </c>
      <c r="EJ160">
        <f>IF(EE160&lt;EF160,$A160,B_MAX+1)</f>
        <v>401.0</v>
      </c>
      <c r="EK160" s="13">
        <f>IF(EB160=1,$EB$35,$EB$36)</f>
        <v>0</v>
      </c>
      <c r="EL160" s="13">
        <f>OCC_DAYS*$EB$41*R_NF_2023-ED160*MCD_SHARE_FREED*R_WAIT_2023</f>
        <v>-63953.16263896705</v>
      </c>
      <c r="EM160">
        <f>IF($A160&lt;=$EB$45,1,0)</f>
        <v>1</v>
      </c>
      <c r="FB160">
        <f>IF($FB$31&lt;=$FB$32,IF($A160&lt;=$FB$7,1,2),IF($A160&lt;=RUNG_BEDS_2,2,1))</f>
        <v>1</v>
      </c>
      <c r="FC160" s="5">
        <f>MIN(1,MAX(0,$FB$26-($A160-1)))</f>
        <v>1</v>
      </c>
      <c r="FD160" s="5">
        <f>$FB$25*(FC160+(1-FC160)*$FB$16)</f>
        <v>252.05322714681438</v>
      </c>
      <c r="FE160" s="13">
        <f>FD160*($FB$6+ACUTE_MARGIN)</f>
        <v>254573.7594182825</v>
      </c>
      <c r="FF160" s="13">
        <f>IF(FB160=1,$FB$31,$FB$32)</f>
        <v>156636.04979437485</v>
      </c>
      <c r="FG160" s="13">
        <f>FE160-FF160</f>
        <v>97937.70962390766</v>
      </c>
      <c r="FH160" s="13">
        <f>FH159+FG160</f>
        <v>7541203.641040891</v>
      </c>
      <c r="FI160">
        <f>IF(FH160=MAX($FH$83:$FH$483),$A160,0)</f>
        <v>0</v>
      </c>
      <c r="FJ160">
        <f>IF(FE160&lt;FF160,$A160,B_MAX+1)</f>
        <v>401.0</v>
      </c>
      <c r="FK160" s="13">
        <f>IF(FB160=1,$FB$35,$FB$36)</f>
        <v>0</v>
      </c>
      <c r="FL160" s="13">
        <f>OCC_DAYS*$FB$41*R_NF_2023-FD160*MCD_SHARE_FREED*R_WAIT_2023</f>
        <v>37367.159242427646</v>
      </c>
      <c r="FM160">
        <f>IF($A160&lt;=$FB$45,1,0)</f>
        <v>1</v>
      </c>
      <c r="GB160">
        <f>IF($GB$31&lt;=$GB$32,IF($A160&lt;=$GB$7,1,2),IF($A160&lt;=RUNG_BEDS_2,2,1))</f>
        <v>1</v>
      </c>
      <c r="GC160" s="5">
        <f>MIN(1,MAX(0,$GB$26-($A160-1)))</f>
        <v>1</v>
      </c>
      <c r="GD160" s="5">
        <f>$GB$25*(GC160+(1-GC160)*$GB$16)</f>
        <v>252.05322714681438</v>
      </c>
      <c r="GE160" s="13">
        <f>GD160*($GB$6+ACUTE_MARGIN)</f>
        <v>254573.7594182825</v>
      </c>
      <c r="GF160" s="13">
        <f>IF(GB160=1,$GB$31,$GB$32)</f>
        <v>152394.16214437486</v>
      </c>
      <c r="GG160" s="13">
        <f>GE160-GF160</f>
        <v>102179.59727390765</v>
      </c>
      <c r="GH160" s="13">
        <f>GH159+GG160</f>
        <v>7867828.990090888</v>
      </c>
      <c r="GI160">
        <f>IF(GH160=MAX($GH$83:$GH$483),$A160,0)</f>
        <v>0</v>
      </c>
      <c r="GJ160">
        <f>IF(GE160&lt;GF160,$A160,B_MAX+1)</f>
        <v>401.0</v>
      </c>
      <c r="GK160" s="13">
        <f>IF(GB160=1,$GB$35,$GB$36)</f>
        <v>0</v>
      </c>
      <c r="GL160" s="13">
        <f>OCC_DAYS*$GB$41*R_NF_2023-GD160*MCD_SHARE_FREED*R_WAIT_2023</f>
        <v>37367.159242427646</v>
      </c>
      <c r="GM160">
        <f>IF($A160&lt;=$GB$45,1,0)</f>
        <v>1</v>
      </c>
      <c r="HB160">
        <f>IF($HB$31&lt;=$HB$32,IF($A160&lt;=$HB$7,1,2),IF($A160&lt;=RUNG_BEDS_2,2,1))</f>
        <v>1</v>
      </c>
      <c r="HC160" s="5">
        <f>MIN(1,MAX(0,$HB$26-($A160-1)))</f>
        <v>1</v>
      </c>
      <c r="HD160" s="5">
        <f>$HB$25*(HC160+(1-HC160)*$HB$16)</f>
        <v>252.05322714681438</v>
      </c>
      <c r="HE160" s="13">
        <f>HD160*($HB$6+ACUTE_MARGIN)</f>
        <v>254573.7594182825</v>
      </c>
      <c r="HF160" s="13">
        <f>IF(HB160=1,$HB$31,$HB$32)</f>
        <v>152456.2970814058</v>
      </c>
      <c r="HG160" s="13">
        <f>HE160-HF160</f>
        <v>102117.46233687672</v>
      </c>
      <c r="HH160" s="13">
        <f>HH159+HG160</f>
        <v>7863044.5999395</v>
      </c>
      <c r="HI160">
        <f>IF(HH160=MAX($HH$83:$HH$483),$A160,0)</f>
        <v>0</v>
      </c>
      <c r="HJ160">
        <f>IF(HE160&lt;HF160,$A160,B_MAX+1)</f>
        <v>401.0</v>
      </c>
      <c r="HK160" s="13">
        <f>IF(HB160=1,$HB$35,$HB$36)</f>
        <v>0</v>
      </c>
      <c r="HL160" s="13">
        <f>OCC_DAYS*$HB$41*R_NF_2023-HD160*MCD_SHARE_FREED*R_WAIT_2023</f>
        <v>37367.159242427646</v>
      </c>
      <c r="HM160">
        <f>IF($A160&lt;=$HB$45,1,0)</f>
        <v>1</v>
      </c>
      <c r="IB160">
        <f>IF($IB$31&lt;=$IB$32,IF($A160&lt;=$IB$7,1,2),IF($A160&lt;=RUNG_BEDS_2,2,1))</f>
        <v>1</v>
      </c>
      <c r="IC160" s="5">
        <f>MIN(1,MAX(0,$IB$26-($A160-1)))</f>
        <v>1</v>
      </c>
      <c r="ID160" s="5">
        <f>$IB$25*(IC160+(1-IC160)*$IB$16)</f>
        <v>252.05322714681438</v>
      </c>
      <c r="IE160" s="13">
        <f>ID160*($IB$6+ACUTE_MARGIN)</f>
        <v>254573.7594182825</v>
      </c>
      <c r="IF160" s="13">
        <f>IF(IB160=1,$IB$31,$IB$32)</f>
        <v>152734.9994534971</v>
      </c>
      <c r="IG160" s="13">
        <f>IE160-IF160</f>
        <v>101838.75996478542</v>
      </c>
      <c r="IH160" s="13">
        <f>IH159+IG160</f>
        <v>7841584.517288485</v>
      </c>
      <c r="II160">
        <f>IF(IH160=MAX($IH$83:$IH$483),$A160,0)</f>
        <v>0</v>
      </c>
      <c r="IJ160">
        <f>IF(IE160&lt;IF160,$A160,B_MAX+1)</f>
        <v>401.0</v>
      </c>
      <c r="IK160" s="13">
        <f>IF(IB160=1,$IB$35,$IB$36)</f>
        <v>0</v>
      </c>
      <c r="IL160" s="13">
        <f>OCC_DAYS*$IB$41*R_NF_2023-ID160*MCD_SHARE_FREED*R_WAIT_2023</f>
        <v>37367.159242427646</v>
      </c>
      <c r="IM160">
        <f>IF($A160&lt;=$IB$45,1,0)</f>
        <v>1</v>
      </c>
      <c r="JB160">
        <f>IF($JB$31&lt;=$JB$32,IF($A160&lt;=$JB$7,1,2),IF($A160&lt;=RUNG_BEDS_2,2,1))</f>
        <v>1</v>
      </c>
      <c r="JC160" s="5">
        <f>MIN(1,MAX(0,$JB$26-($A160-1)))</f>
        <v>1</v>
      </c>
      <c r="JD160" s="5">
        <f>$JB$25*(JC160+(1-JC160)*$JB$16)</f>
        <v>252.05322714681438</v>
      </c>
      <c r="JE160" s="13">
        <f>JD160*($JB$6+ACUTE_MARGIN)</f>
        <v>254573.7594182825</v>
      </c>
      <c r="JF160" s="13">
        <f>IF(JB160=1,$JB$31,$JB$32)</f>
        <v>152394.16214437486</v>
      </c>
      <c r="JG160" s="13">
        <f>JE160-JF160</f>
        <v>102179.59727390765</v>
      </c>
      <c r="JH160" s="13">
        <f>JH159+JG160</f>
        <v>7867828.990090888</v>
      </c>
      <c r="JI160">
        <f>IF(JH160=MAX($JH$83:$JH$483),$A160,0)</f>
        <v>0</v>
      </c>
      <c r="JJ160">
        <f>IF(JE160&lt;JF160,$A160,B_MAX+1)</f>
        <v>401.0</v>
      </c>
      <c r="JK160" s="13">
        <f>IF(JB160=1,$JB$35,$JB$36)</f>
        <v>0</v>
      </c>
      <c r="JL160" s="13">
        <f>OCC_DAYS*$JB$41*R_NF_2023-JD160*MCD_SHARE_FREED*R_WAIT_2023</f>
        <v>37367.159242427646</v>
      </c>
      <c r="JM160">
        <f>IF($A160&lt;=$JB$45,1,0)</f>
        <v>1</v>
      </c>
      <c r="KB160">
        <f>IF($KB$31&lt;=$KB$32,IF($A160&lt;=$KB$7,1,2),IF($A160&lt;=RUNG_BEDS_2,2,1))</f>
        <v>1</v>
      </c>
      <c r="KC160" s="5">
        <f>MIN(1,MAX(0,$KB$26-($A160-1)))</f>
        <v>1</v>
      </c>
      <c r="KD160" s="5">
        <f>$KB$25*(KC160+(1-KC160)*$KB$16)</f>
        <v>126.02661357340719</v>
      </c>
      <c r="KE160" s="13">
        <f>KD160*($KB$6+ACUTE_MARGIN)</f>
        <v>127286.87970914126</v>
      </c>
      <c r="KF160" s="13">
        <f>IF(KB160=1,$KB$31,$KB$32)</f>
        <v>152394.16214437486</v>
      </c>
      <c r="KG160" s="13">
        <f>KE160-KF160</f>
        <v>-25107.282435233603</v>
      </c>
      <c r="KH160" s="13">
        <f>KH159+KG160</f>
        <v>-1933260.7475129906</v>
      </c>
      <c r="KI160">
        <f>IF(KH160=MAX($KH$83:$KH$483),$A160,0)</f>
        <v>0</v>
      </c>
      <c r="KJ160">
        <f>IF(KE160&lt;KF160,$A160,B_MAX+1)</f>
        <v>77</v>
      </c>
      <c r="KK160" s="13">
        <f>IF(KB160=1,$KB$35,$KB$36)</f>
        <v>0</v>
      </c>
      <c r="KL160" s="13">
        <f>OCC_DAYS*$KB$41*R_NF_2023-KD160*MCD_SHARE_FREED*R_WAIT_2023</f>
        <v>94673.82103225985</v>
      </c>
      <c r="KM160">
        <f>IF($A160&lt;=$KB$45,1,0)</f>
        <v>0</v>
      </c>
      <c r="LB160">
        <f>IF($LB$31&lt;=$LB$32,IF($A160&lt;=$LB$7,1,2),IF($A160&lt;=RUNG_BEDS_2,2,1))</f>
        <v>1</v>
      </c>
      <c r="LC160" s="5">
        <f>MIN(1,MAX(0,$LB$26-($A160-1)))</f>
        <v>1</v>
      </c>
      <c r="LD160" s="5">
        <f>$LB$25*(LC160+(1-LC160)*$LB$16)</f>
        <v>84.01774238227146</v>
      </c>
      <c r="LE160" s="13">
        <f>LD160*($LB$6+ACUTE_MARGIN)</f>
        <v>84857.91980609419</v>
      </c>
      <c r="LF160" s="13">
        <f>IF(LB160=1,$LB$31,$LB$32)</f>
        <v>152394.16214437486</v>
      </c>
      <c r="LG160" s="13">
        <f>LE160-LF160</f>
        <v>-67536.24233828067</v>
      </c>
      <c r="LH160" s="13">
        <f>LH159+LG160</f>
        <v>-5200290.660047618</v>
      </c>
      <c r="LI160">
        <f>IF(LH160=MAX($LH$83:$LH$483),$A160,0)</f>
        <v>0</v>
      </c>
      <c r="LJ160">
        <f>IF(LE160&lt;LF160,$A160,B_MAX+1)</f>
        <v>77</v>
      </c>
      <c r="LK160" s="13">
        <f>IF(LB160=1,$LB$35,$LB$36)</f>
        <v>0</v>
      </c>
      <c r="LL160" s="13">
        <f>OCC_DAYS*$LB$41*R_NF_2023-LD160*MCD_SHARE_FREED*R_WAIT_2023</f>
        <v>113776.04162887059</v>
      </c>
      <c r="LM160">
        <f>IF($A160&lt;=$LB$45,1,0)</f>
        <v>0</v>
      </c>
      <c r="MB160">
        <f>IF($MB$31&lt;=$MB$32,IF($A160&lt;=$MB$7,1,2),IF($A160&lt;=RUNG_BEDS_2,2,1))</f>
        <v>1</v>
      </c>
      <c r="MC160" s="5">
        <f>MIN(1,MAX(0,$MB$26-($A160-1)))</f>
        <v>1</v>
      </c>
      <c r="MD160" s="5">
        <f>$MB$25*(MC160+(1-MC160)*$MB$16)</f>
        <v>213.44610951008647</v>
      </c>
      <c r="ME160" s="13">
        <f>MD160*($MB$6+ACUTE_MARGIN)</f>
        <v>215580.57060518733</v>
      </c>
      <c r="MF160" s="13">
        <f>IF(MB160=1,$MB$31,$MB$32)</f>
        <v>152394.16214437486</v>
      </c>
      <c r="MG160" s="13">
        <f>ME160-MF160</f>
        <v>63186.40846081247</v>
      </c>
      <c r="MH160" s="13">
        <f>MH159+MG160</f>
        <v>4865353.451482566</v>
      </c>
      <c r="MI160">
        <f>IF(MH160=MAX($MH$83:$MH$483),$A160,0)</f>
        <v>0</v>
      </c>
      <c r="MJ160">
        <f>IF(ME160&lt;MF160,$A160,B_MAX+1)</f>
        <v>401.0</v>
      </c>
      <c r="MK160" s="13">
        <f>IF(MB160=1,$MB$35,$MB$36)</f>
        <v>0</v>
      </c>
      <c r="ML160" s="13">
        <f>OCC_DAYS*$MB$41*R_NF_2023-MD160*MCD_SHARE_FREED*R_WAIT_2023</f>
        <v>54922.538779778624</v>
      </c>
      <c r="MM160">
        <f>IF($A160&lt;=$MB$45,1,0)</f>
        <v>1</v>
      </c>
      <c r="NB160">
        <f>IF($NB$31&lt;=$NB$32,IF($A160&lt;=$NB$7,1,2),IF($A160&lt;=RUNG_BEDS_2,2,1))</f>
        <v>1</v>
      </c>
      <c r="NC160" s="5">
        <f>MIN(1,MAX(0,$NB$26-($A160-1)))</f>
        <v>1</v>
      </c>
      <c r="ND160" s="5">
        <f>$NB$25*(NC160+(1-NC160)*$NB$16)</f>
        <v>252.05322714681438</v>
      </c>
      <c r="NE160" s="13">
        <f>ND160*($NB$6+ACUTE_MARGIN)</f>
        <v>254573.7594182825</v>
      </c>
      <c r="NF160" s="13">
        <f>IF(NB160=1,$NB$31,$NB$32)</f>
        <v>152394.16214437486</v>
      </c>
      <c r="NG160" s="13">
        <f>NE160-NF160</f>
        <v>102179.59727390765</v>
      </c>
      <c r="NH160" s="13">
        <f>NH159+NG160</f>
        <v>7867828.990090888</v>
      </c>
      <c r="NI160">
        <f>IF(NH160=MAX($NH$83:$NH$483),$A160,0)</f>
        <v>0</v>
      </c>
      <c r="NJ160">
        <f>IF(NE160&lt;NF160,$A160,B_MAX+1)</f>
        <v>401.0</v>
      </c>
      <c r="NK160" s="13">
        <f>IF(NB160=1,$NB$35,$NB$36)</f>
        <v>0</v>
      </c>
      <c r="NL160" s="13">
        <f>OCC_DAYS*$NB$41*R_NF_2023-ND160*MCD_SHARE_FREED*R_WAIT_2023</f>
        <v>37367.159242427646</v>
      </c>
      <c r="NM160">
        <f>IF($A160&lt;=$NB$45,1,0)</f>
        <v>1</v>
      </c>
      <c r="OB160">
        <f>IF($OB$31&lt;=$OB$32,IF($A160&lt;=$OB$7,1,2),IF($A160&lt;=RUNG_BEDS_2,2,1))</f>
        <v>1</v>
      </c>
      <c r="OC160" s="5">
        <f>MIN(1,MAX(0,$OB$26-($A160-1)))</f>
        <v>1</v>
      </c>
      <c r="OD160" s="5">
        <f>$OB$25*(OC160+(1-OC160)*$OB$16)</f>
        <v>252.05322714681438</v>
      </c>
      <c r="OE160" s="13">
        <f>OD160*($OB$6+ACUTE_MARGIN)</f>
        <v>254573.7594182825</v>
      </c>
      <c r="OF160" s="13">
        <f>IF(OB160=1,$OB$31,$OB$32)</f>
        <v>152394.16214437486</v>
      </c>
      <c r="OG160" s="13">
        <f>OE160-OF160</f>
        <v>102179.59727390765</v>
      </c>
      <c r="OH160" s="13">
        <f>OH159+OG160</f>
        <v>7867828.990090888</v>
      </c>
      <c r="OI160">
        <f>IF(OH160=MAX($OH$83:$OH$483),$A160,0)</f>
        <v>0</v>
      </c>
      <c r="OJ160">
        <f>IF(OE160&lt;OF160,$A160,B_MAX+1)</f>
        <v>401.0</v>
      </c>
      <c r="OK160" s="13">
        <f>IF(OB160=1,$OB$35,$OB$36)</f>
        <v>0</v>
      </c>
      <c r="OL160" s="13">
        <f>OCC_DAYS*$OB$41*R_NF_2023-OD160*MCD_SHARE_FREED*R_WAIT_2023</f>
        <v>37367.159242427646</v>
      </c>
      <c r="OM160">
        <f>IF($A160&lt;=$OB$45,1,0)</f>
        <v>1</v>
      </c>
    </row>
    <row r="161">
      <c r="A161" t="n">
        <v>78</v>
      </c>
      <c r="B161">
        <f>IF($B$31&lt;=$B$32,IF($A161&lt;=$B$7,1,2),IF($A161&lt;=RUNG_BEDS_2,2,1))</f>
        <v>1</v>
      </c>
      <c r="C161" s="5">
        <f>MIN(1,MAX(0,$B$26-($A161-1)))</f>
        <v>1</v>
      </c>
      <c r="D161" s="5">
        <f>$B$25*(C161+(1-C161)*$B$16)</f>
        <v>252.05322714681438</v>
      </c>
      <c r="E161" s="13">
        <f>D161*($B$6+ACUTE_MARGIN)</f>
        <v>254573.7594182825</v>
      </c>
      <c r="F161" s="13">
        <f>IF(B161=1,$B$31,$B$32)</f>
        <v>152394.16214437486</v>
      </c>
      <c r="G161" s="13">
        <f>E161-F161</f>
        <v>102179.59727390765</v>
      </c>
      <c r="H161" s="13">
        <f>H160+G161</f>
        <v>7970008.587364796</v>
      </c>
      <c r="I161">
        <f>IF(H161=MAX($H$83:$H$483),$A161,0)</f>
        <v>0</v>
      </c>
      <c r="J161">
        <f>IF(E161&lt;F161,$A161,B_MAX+1)</f>
        <v>401.0</v>
      </c>
      <c r="K161" s="13">
        <f>IF(B161=1,$B$35,$B$36)</f>
        <v>0</v>
      </c>
      <c r="L161" s="13">
        <f>OCC_DAYS*$B$41*R_NF_2023-D161*MCD_SHARE_FREED*R_WAIT_2023</f>
        <v>37367.159242427646</v>
      </c>
      <c r="M161">
        <f>IF($A161&lt;=$B$45,1,0)</f>
        <v>1</v>
      </c>
      <c r="AB161">
        <f>IF($AB$31&lt;=$AB$32,IF($A161&lt;=$AB$7,1,2),IF($A161&lt;=RUNG_BEDS_2,2,1))</f>
        <v>1</v>
      </c>
      <c r="AC161" s="5">
        <f>MIN(1,MAX(0,$AB$26-($A161-1)))</f>
        <v>1</v>
      </c>
      <c r="AD161" s="5">
        <f>$AB$25*(AC161+(1-AC161)*$AB$16)</f>
        <v>252.05322714681438</v>
      </c>
      <c r="AE161" s="13">
        <f>AD161*($AB$6+ACUTE_MARGIN)</f>
        <v>138629.2749307479</v>
      </c>
      <c r="AF161" s="13">
        <f>IF(AB161=1,$AB$31,$AB$32)</f>
        <v>152394.16214437486</v>
      </c>
      <c r="AG161" s="13">
        <f>AE161-AF161</f>
        <v>-13764.887213626964</v>
      </c>
      <c r="AH161" s="13">
        <f>AH160+AG161</f>
        <v>-1073661.2026629047</v>
      </c>
      <c r="AI161">
        <f>IF(AH161=MAX($AH$83:$AH$483),$A161,0)</f>
        <v>0</v>
      </c>
      <c r="AJ161">
        <f>IF(AE161&lt;AF161,$A161,B_MAX+1)</f>
        <v>78</v>
      </c>
      <c r="AK161" s="13">
        <f>IF(AB161=1,$AB$35,$AB$36)</f>
        <v>0</v>
      </c>
      <c r="AL161" s="13">
        <f>OCC_DAYS*$AB$41*R_NF_2023-AD161*MCD_SHARE_FREED*R_WAIT_2023</f>
        <v>37367.159242427646</v>
      </c>
      <c r="AM161">
        <f>IF($A161&lt;=$AB$45,1,0)</f>
        <v>0</v>
      </c>
      <c r="BB161">
        <f>IF($BB$31&lt;=$BB$32,IF($A161&lt;=$BB$7,1,2),IF($A161&lt;=RUNG_BEDS_2,2,1))</f>
        <v>1</v>
      </c>
      <c r="BC161" s="5">
        <f>MIN(1,MAX(0,$BB$26-($A161-1)))</f>
        <v>1</v>
      </c>
      <c r="BD161" s="5">
        <f>$BB$25*(BC161+(1-BC161)*$BB$16)</f>
        <v>252.05322714681438</v>
      </c>
      <c r="BE161" s="13">
        <f>BD161*($BB$6+ACUTE_MARGIN)</f>
        <v>370518.24390581716</v>
      </c>
      <c r="BF161" s="13">
        <f>IF(BB161=1,$BB$31,$BB$32)</f>
        <v>152394.16214437486</v>
      </c>
      <c r="BG161" s="13">
        <f>BE161-BF161</f>
        <v>218124.0817614423</v>
      </c>
      <c r="BH161" s="13">
        <f>BH160+BG161</f>
        <v>17013678.37739249</v>
      </c>
      <c r="BI161">
        <f>IF(BH161=MAX($BH$83:$BH$483),$A161,0)</f>
        <v>0</v>
      </c>
      <c r="BJ161">
        <f>IF(BE161&lt;BF161,$A161,B_MAX+1)</f>
        <v>401.0</v>
      </c>
      <c r="BK161" s="13">
        <f>IF(BB161=1,$BB$35,$BB$36)</f>
        <v>0</v>
      </c>
      <c r="BL161" s="13">
        <f>OCC_DAYS*$BB$41*R_NF_2023-BD161*MCD_SHARE_FREED*R_WAIT_2023</f>
        <v>37367.159242427646</v>
      </c>
      <c r="BM161">
        <f>IF($A161&lt;=$BB$45,1,0)</f>
        <v>1</v>
      </c>
      <c r="CB161">
        <f>IF($CB$31&lt;=$CB$32,IF($A161&lt;=$CB$7,1,2),IF($A161&lt;=RUNG_BEDS_2,2,1))</f>
        <v>2</v>
      </c>
      <c r="CC161" s="5">
        <f>MIN(1,MAX(0,$CB$26-($A161-1)))</f>
        <v>1</v>
      </c>
      <c r="CD161" s="5">
        <f>$CB$25*(CC161+(1-CC161)*$CB$16)</f>
        <v>252.05322714681438</v>
      </c>
      <c r="CE161" s="13">
        <f>CD161*($CB$6+ACUTE_MARGIN)</f>
        <v>254573.7594182825</v>
      </c>
      <c r="CF161" s="13">
        <f>IF(CB161=1,$CB$31,$CB$32)</f>
        <v>160718.36940738867</v>
      </c>
      <c r="CG161" s="13">
        <f>CE161-CF161</f>
        <v>93855.39001089384</v>
      </c>
      <c r="CH161" s="13">
        <f>CH160+CG161</f>
        <v>7320720.420849733</v>
      </c>
      <c r="CI161">
        <f>IF(CH161=MAX($CH$83:$CH$483),$A161,0)</f>
        <v>0</v>
      </c>
      <c r="CJ161">
        <f>IF(CE161&lt;CF161,$A161,B_MAX+1)</f>
        <v>401.0</v>
      </c>
      <c r="CK161" s="13">
        <f>IF(CB161=1,$CB$35,$CB$36)</f>
        <v>1560.1194073886782</v>
      </c>
      <c r="CL161" s="13">
        <f>OCC_DAYS*$CB$41*R_NF_2023-CD161*MCD_SHARE_FREED*R_WAIT_2023</f>
        <v>37367.159242427646</v>
      </c>
      <c r="CM161">
        <f>IF($A161&lt;=$CB$45,1,0)</f>
        <v>1</v>
      </c>
      <c r="DB161">
        <f>IF($DB$31&lt;=$DB$32,IF($A161&lt;=$DB$7,1,2),IF($A161&lt;=RUNG_BEDS_2,2,1))</f>
        <v>1</v>
      </c>
      <c r="DC161" s="5">
        <f>MIN(1,MAX(0,$DB$26-($A161-1)))</f>
        <v>1</v>
      </c>
      <c r="DD161" s="5">
        <f>$DB$25*(DC161+(1-DC161)*$DB$16)</f>
        <v>252.05322714681438</v>
      </c>
      <c r="DE161" s="13">
        <f>DD161*($DB$6+ACUTE_MARGIN)</f>
        <v>254573.7594182825</v>
      </c>
      <c r="DF161" s="13">
        <f>IF(DB161=1,$DB$31,$DB$32)</f>
        <v>152394.16214437486</v>
      </c>
      <c r="DG161" s="13">
        <f>DE161-DF161</f>
        <v>102179.59727390765</v>
      </c>
      <c r="DH161" s="13">
        <f>DH160+DG161</f>
        <v>7970008.587364796</v>
      </c>
      <c r="DI161">
        <f>IF(DH161=MAX($DH$83:$DH$483),$A161,0)</f>
        <v>0</v>
      </c>
      <c r="DJ161">
        <f>IF(DE161&lt;DF161,$A161,B_MAX+1)</f>
        <v>401.0</v>
      </c>
      <c r="DK161" s="13">
        <f>IF(DB161=1,$DB$35,$DB$36)</f>
        <v>0</v>
      </c>
      <c r="DL161" s="13">
        <f>OCC_DAYS*$DB$41*R_NF_2023-DD161*MCD_SHARE_FREED*R_WAIT_2023</f>
        <v>37367.159242427646</v>
      </c>
      <c r="DM161">
        <f>IF($A161&lt;=$DB$45,1,0)</f>
        <v>1</v>
      </c>
      <c r="EB161">
        <f>IF($EB$31&lt;=$EB$32,IF($A161&lt;=$EB$7,1,2),IF($A161&lt;=RUNG_BEDS_2,2,1))</f>
        <v>1</v>
      </c>
      <c r="EC161" s="5">
        <f>MIN(1,MAX(0,$EB$26-($A161-1)))</f>
        <v>1</v>
      </c>
      <c r="ED161" s="5">
        <f>$EB$25*(EC161+(1-EC161)*$EB$16)</f>
        <v>252.05322714681438</v>
      </c>
      <c r="EE161" s="13">
        <f>ED161*($EB$6+ACUTE_MARGIN)</f>
        <v>254573.7594182825</v>
      </c>
      <c r="EF161" s="13">
        <f>IF(EB161=1,$EB$31,$EB$32)</f>
        <v>152394.16214437486</v>
      </c>
      <c r="EG161" s="13">
        <f>EE161-EF161</f>
        <v>102179.59727390765</v>
      </c>
      <c r="EH161" s="13">
        <f>EH160+EG161</f>
        <v>7970008.587364796</v>
      </c>
      <c r="EI161">
        <f>IF(EH161=MAX($EH$83:$EH$483),$A161,0)</f>
        <v>0</v>
      </c>
      <c r="EJ161">
        <f>IF(EE161&lt;EF161,$A161,B_MAX+1)</f>
        <v>401.0</v>
      </c>
      <c r="EK161" s="13">
        <f>IF(EB161=1,$EB$35,$EB$36)</f>
        <v>0</v>
      </c>
      <c r="EL161" s="13">
        <f>OCC_DAYS*$EB$41*R_NF_2023-ED161*MCD_SHARE_FREED*R_WAIT_2023</f>
        <v>-63953.16263896705</v>
      </c>
      <c r="EM161">
        <f>IF($A161&lt;=$EB$45,1,0)</f>
        <v>1</v>
      </c>
      <c r="FB161">
        <f>IF($FB$31&lt;=$FB$32,IF($A161&lt;=$FB$7,1,2),IF($A161&lt;=RUNG_BEDS_2,2,1))</f>
        <v>1</v>
      </c>
      <c r="FC161" s="5">
        <f>MIN(1,MAX(0,$FB$26-($A161-1)))</f>
        <v>1</v>
      </c>
      <c r="FD161" s="5">
        <f>$FB$25*(FC161+(1-FC161)*$FB$16)</f>
        <v>252.05322714681438</v>
      </c>
      <c r="FE161" s="13">
        <f>FD161*($FB$6+ACUTE_MARGIN)</f>
        <v>254573.7594182825</v>
      </c>
      <c r="FF161" s="13">
        <f>IF(FB161=1,$FB$31,$FB$32)</f>
        <v>156636.04979437485</v>
      </c>
      <c r="FG161" s="13">
        <f>FE161-FF161</f>
        <v>97937.70962390766</v>
      </c>
      <c r="FH161" s="13">
        <f>FH160+FG161</f>
        <v>7639141.350664799</v>
      </c>
      <c r="FI161">
        <f>IF(FH161=MAX($FH$83:$FH$483),$A161,0)</f>
        <v>0</v>
      </c>
      <c r="FJ161">
        <f>IF(FE161&lt;FF161,$A161,B_MAX+1)</f>
        <v>401.0</v>
      </c>
      <c r="FK161" s="13">
        <f>IF(FB161=1,$FB$35,$FB$36)</f>
        <v>0</v>
      </c>
      <c r="FL161" s="13">
        <f>OCC_DAYS*$FB$41*R_NF_2023-FD161*MCD_SHARE_FREED*R_WAIT_2023</f>
        <v>37367.159242427646</v>
      </c>
      <c r="FM161">
        <f>IF($A161&lt;=$FB$45,1,0)</f>
        <v>1</v>
      </c>
      <c r="GB161">
        <f>IF($GB$31&lt;=$GB$32,IF($A161&lt;=$GB$7,1,2),IF($A161&lt;=RUNG_BEDS_2,2,1))</f>
        <v>1</v>
      </c>
      <c r="GC161" s="5">
        <f>MIN(1,MAX(0,$GB$26-($A161-1)))</f>
        <v>1</v>
      </c>
      <c r="GD161" s="5">
        <f>$GB$25*(GC161+(1-GC161)*$GB$16)</f>
        <v>252.05322714681438</v>
      </c>
      <c r="GE161" s="13">
        <f>GD161*($GB$6+ACUTE_MARGIN)</f>
        <v>254573.7594182825</v>
      </c>
      <c r="GF161" s="13">
        <f>IF(GB161=1,$GB$31,$GB$32)</f>
        <v>152394.16214437486</v>
      </c>
      <c r="GG161" s="13">
        <f>GE161-GF161</f>
        <v>102179.59727390765</v>
      </c>
      <c r="GH161" s="13">
        <f>GH160+GG161</f>
        <v>7970008.587364796</v>
      </c>
      <c r="GI161">
        <f>IF(GH161=MAX($GH$83:$GH$483),$A161,0)</f>
        <v>0</v>
      </c>
      <c r="GJ161">
        <f>IF(GE161&lt;GF161,$A161,B_MAX+1)</f>
        <v>401.0</v>
      </c>
      <c r="GK161" s="13">
        <f>IF(GB161=1,$GB$35,$GB$36)</f>
        <v>0</v>
      </c>
      <c r="GL161" s="13">
        <f>OCC_DAYS*$GB$41*R_NF_2023-GD161*MCD_SHARE_FREED*R_WAIT_2023</f>
        <v>37367.159242427646</v>
      </c>
      <c r="GM161">
        <f>IF($A161&lt;=$GB$45,1,0)</f>
        <v>1</v>
      </c>
      <c r="HB161">
        <f>IF($HB$31&lt;=$HB$32,IF($A161&lt;=$HB$7,1,2),IF($A161&lt;=RUNG_BEDS_2,2,1))</f>
        <v>1</v>
      </c>
      <c r="HC161" s="5">
        <f>MIN(1,MAX(0,$HB$26-($A161-1)))</f>
        <v>1</v>
      </c>
      <c r="HD161" s="5">
        <f>$HB$25*(HC161+(1-HC161)*$HB$16)</f>
        <v>252.05322714681438</v>
      </c>
      <c r="HE161" s="13">
        <f>HD161*($HB$6+ACUTE_MARGIN)</f>
        <v>254573.7594182825</v>
      </c>
      <c r="HF161" s="13">
        <f>IF(HB161=1,$HB$31,$HB$32)</f>
        <v>152456.2970814058</v>
      </c>
      <c r="HG161" s="13">
        <f>HE161-HF161</f>
        <v>102117.46233687672</v>
      </c>
      <c r="HH161" s="13">
        <f>HH160+HG161</f>
        <v>7965162.062276376</v>
      </c>
      <c r="HI161">
        <f>IF(HH161=MAX($HH$83:$HH$483),$A161,0)</f>
        <v>0</v>
      </c>
      <c r="HJ161">
        <f>IF(HE161&lt;HF161,$A161,B_MAX+1)</f>
        <v>401.0</v>
      </c>
      <c r="HK161" s="13">
        <f>IF(HB161=1,$HB$35,$HB$36)</f>
        <v>0</v>
      </c>
      <c r="HL161" s="13">
        <f>OCC_DAYS*$HB$41*R_NF_2023-HD161*MCD_SHARE_FREED*R_WAIT_2023</f>
        <v>37367.159242427646</v>
      </c>
      <c r="HM161">
        <f>IF($A161&lt;=$HB$45,1,0)</f>
        <v>1</v>
      </c>
      <c r="IB161">
        <f>IF($IB$31&lt;=$IB$32,IF($A161&lt;=$IB$7,1,2),IF($A161&lt;=RUNG_BEDS_2,2,1))</f>
        <v>1</v>
      </c>
      <c r="IC161" s="5">
        <f>MIN(1,MAX(0,$IB$26-($A161-1)))</f>
        <v>1</v>
      </c>
      <c r="ID161" s="5">
        <f>$IB$25*(IC161+(1-IC161)*$IB$16)</f>
        <v>252.05322714681438</v>
      </c>
      <c r="IE161" s="13">
        <f>ID161*($IB$6+ACUTE_MARGIN)</f>
        <v>254573.7594182825</v>
      </c>
      <c r="IF161" s="13">
        <f>IF(IB161=1,$IB$31,$IB$32)</f>
        <v>152734.9994534971</v>
      </c>
      <c r="IG161" s="13">
        <f>IE161-IF161</f>
        <v>101838.75996478542</v>
      </c>
      <c r="IH161" s="13">
        <f>IH160+IG161</f>
        <v>7943423.27725327</v>
      </c>
      <c r="II161">
        <f>IF(IH161=MAX($IH$83:$IH$483),$A161,0)</f>
        <v>0</v>
      </c>
      <c r="IJ161">
        <f>IF(IE161&lt;IF161,$A161,B_MAX+1)</f>
        <v>401.0</v>
      </c>
      <c r="IK161" s="13">
        <f>IF(IB161=1,$IB$35,$IB$36)</f>
        <v>0</v>
      </c>
      <c r="IL161" s="13">
        <f>OCC_DAYS*$IB$41*R_NF_2023-ID161*MCD_SHARE_FREED*R_WAIT_2023</f>
        <v>37367.159242427646</v>
      </c>
      <c r="IM161">
        <f>IF($A161&lt;=$IB$45,1,0)</f>
        <v>1</v>
      </c>
      <c r="JB161">
        <f>IF($JB$31&lt;=$JB$32,IF($A161&lt;=$JB$7,1,2),IF($A161&lt;=RUNG_BEDS_2,2,1))</f>
        <v>1</v>
      </c>
      <c r="JC161" s="5">
        <f>MIN(1,MAX(0,$JB$26-($A161-1)))</f>
        <v>1</v>
      </c>
      <c r="JD161" s="5">
        <f>$JB$25*(JC161+(1-JC161)*$JB$16)</f>
        <v>252.05322714681438</v>
      </c>
      <c r="JE161" s="13">
        <f>JD161*($JB$6+ACUTE_MARGIN)</f>
        <v>254573.7594182825</v>
      </c>
      <c r="JF161" s="13">
        <f>IF(JB161=1,$JB$31,$JB$32)</f>
        <v>152394.16214437486</v>
      </c>
      <c r="JG161" s="13">
        <f>JE161-JF161</f>
        <v>102179.59727390765</v>
      </c>
      <c r="JH161" s="13">
        <f>JH160+JG161</f>
        <v>7970008.587364796</v>
      </c>
      <c r="JI161">
        <f>IF(JH161=MAX($JH$83:$JH$483),$A161,0)</f>
        <v>0</v>
      </c>
      <c r="JJ161">
        <f>IF(JE161&lt;JF161,$A161,B_MAX+1)</f>
        <v>401.0</v>
      </c>
      <c r="JK161" s="13">
        <f>IF(JB161=1,$JB$35,$JB$36)</f>
        <v>0</v>
      </c>
      <c r="JL161" s="13">
        <f>OCC_DAYS*$JB$41*R_NF_2023-JD161*MCD_SHARE_FREED*R_WAIT_2023</f>
        <v>37367.159242427646</v>
      </c>
      <c r="JM161">
        <f>IF($A161&lt;=$JB$45,1,0)</f>
        <v>1</v>
      </c>
      <c r="KB161">
        <f>IF($KB$31&lt;=$KB$32,IF($A161&lt;=$KB$7,1,2),IF($A161&lt;=RUNG_BEDS_2,2,1))</f>
        <v>1</v>
      </c>
      <c r="KC161" s="5">
        <f>MIN(1,MAX(0,$KB$26-($A161-1)))</f>
        <v>1</v>
      </c>
      <c r="KD161" s="5">
        <f>$KB$25*(KC161+(1-KC161)*$KB$16)</f>
        <v>126.02661357340719</v>
      </c>
      <c r="KE161" s="13">
        <f>KD161*($KB$6+ACUTE_MARGIN)</f>
        <v>127286.87970914126</v>
      </c>
      <c r="KF161" s="13">
        <f>IF(KB161=1,$KB$31,$KB$32)</f>
        <v>152394.16214437486</v>
      </c>
      <c r="KG161" s="13">
        <f>KE161-KF161</f>
        <v>-25107.282435233603</v>
      </c>
      <c r="KH161" s="13">
        <f>KH160+KG161</f>
        <v>-1958368.0299482243</v>
      </c>
      <c r="KI161">
        <f>IF(KH161=MAX($KH$83:$KH$483),$A161,0)</f>
        <v>0</v>
      </c>
      <c r="KJ161">
        <f>IF(KE161&lt;KF161,$A161,B_MAX+1)</f>
        <v>78</v>
      </c>
      <c r="KK161" s="13">
        <f>IF(KB161=1,$KB$35,$KB$36)</f>
        <v>0</v>
      </c>
      <c r="KL161" s="13">
        <f>OCC_DAYS*$KB$41*R_NF_2023-KD161*MCD_SHARE_FREED*R_WAIT_2023</f>
        <v>94673.82103225985</v>
      </c>
      <c r="KM161">
        <f>IF($A161&lt;=$KB$45,1,0)</f>
        <v>0</v>
      </c>
      <c r="LB161">
        <f>IF($LB$31&lt;=$LB$32,IF($A161&lt;=$LB$7,1,2),IF($A161&lt;=RUNG_BEDS_2,2,1))</f>
        <v>1</v>
      </c>
      <c r="LC161" s="5">
        <f>MIN(1,MAX(0,$LB$26-($A161-1)))</f>
        <v>1</v>
      </c>
      <c r="LD161" s="5">
        <f>$LB$25*(LC161+(1-LC161)*$LB$16)</f>
        <v>84.01774238227146</v>
      </c>
      <c r="LE161" s="13">
        <f>LD161*($LB$6+ACUTE_MARGIN)</f>
        <v>84857.91980609419</v>
      </c>
      <c r="LF161" s="13">
        <f>IF(LB161=1,$LB$31,$LB$32)</f>
        <v>152394.16214437486</v>
      </c>
      <c r="LG161" s="13">
        <f>LE161-LF161</f>
        <v>-67536.24233828067</v>
      </c>
      <c r="LH161" s="13">
        <f>LH160+LG161</f>
        <v>-5267826.902385899</v>
      </c>
      <c r="LI161">
        <f>IF(LH161=MAX($LH$83:$LH$483),$A161,0)</f>
        <v>0</v>
      </c>
      <c r="LJ161">
        <f>IF(LE161&lt;LF161,$A161,B_MAX+1)</f>
        <v>78</v>
      </c>
      <c r="LK161" s="13">
        <f>IF(LB161=1,$LB$35,$LB$36)</f>
        <v>0</v>
      </c>
      <c r="LL161" s="13">
        <f>OCC_DAYS*$LB$41*R_NF_2023-LD161*MCD_SHARE_FREED*R_WAIT_2023</f>
        <v>113776.04162887059</v>
      </c>
      <c r="LM161">
        <f>IF($A161&lt;=$LB$45,1,0)</f>
        <v>0</v>
      </c>
      <c r="MB161">
        <f>IF($MB$31&lt;=$MB$32,IF($A161&lt;=$MB$7,1,2),IF($A161&lt;=RUNG_BEDS_2,2,1))</f>
        <v>1</v>
      </c>
      <c r="MC161" s="5">
        <f>MIN(1,MAX(0,$MB$26-($A161-1)))</f>
        <v>1</v>
      </c>
      <c r="MD161" s="5">
        <f>$MB$25*(MC161+(1-MC161)*$MB$16)</f>
        <v>213.44610951008647</v>
      </c>
      <c r="ME161" s="13">
        <f>MD161*($MB$6+ACUTE_MARGIN)</f>
        <v>215580.57060518733</v>
      </c>
      <c r="MF161" s="13">
        <f>IF(MB161=1,$MB$31,$MB$32)</f>
        <v>152394.16214437486</v>
      </c>
      <c r="MG161" s="13">
        <f>ME161-MF161</f>
        <v>63186.40846081247</v>
      </c>
      <c r="MH161" s="13">
        <f>MH160+MG161</f>
        <v>4928539.859943379</v>
      </c>
      <c r="MI161">
        <f>IF(MH161=MAX($MH$83:$MH$483),$A161,0)</f>
        <v>0</v>
      </c>
      <c r="MJ161">
        <f>IF(ME161&lt;MF161,$A161,B_MAX+1)</f>
        <v>401.0</v>
      </c>
      <c r="MK161" s="13">
        <f>IF(MB161=1,$MB$35,$MB$36)</f>
        <v>0</v>
      </c>
      <c r="ML161" s="13">
        <f>OCC_DAYS*$MB$41*R_NF_2023-MD161*MCD_SHARE_FREED*R_WAIT_2023</f>
        <v>54922.538779778624</v>
      </c>
      <c r="MM161">
        <f>IF($A161&lt;=$MB$45,1,0)</f>
        <v>1</v>
      </c>
      <c r="NB161">
        <f>IF($NB$31&lt;=$NB$32,IF($A161&lt;=$NB$7,1,2),IF($A161&lt;=RUNG_BEDS_2,2,1))</f>
        <v>1</v>
      </c>
      <c r="NC161" s="5">
        <f>MIN(1,MAX(0,$NB$26-($A161-1)))</f>
        <v>1</v>
      </c>
      <c r="ND161" s="5">
        <f>$NB$25*(NC161+(1-NC161)*$NB$16)</f>
        <v>252.05322714681438</v>
      </c>
      <c r="NE161" s="13">
        <f>ND161*($NB$6+ACUTE_MARGIN)</f>
        <v>254573.7594182825</v>
      </c>
      <c r="NF161" s="13">
        <f>IF(NB161=1,$NB$31,$NB$32)</f>
        <v>152394.16214437486</v>
      </c>
      <c r="NG161" s="13">
        <f>NE161-NF161</f>
        <v>102179.59727390765</v>
      </c>
      <c r="NH161" s="13">
        <f>NH160+NG161</f>
        <v>7970008.587364796</v>
      </c>
      <c r="NI161">
        <f>IF(NH161=MAX($NH$83:$NH$483),$A161,0)</f>
        <v>0</v>
      </c>
      <c r="NJ161">
        <f>IF(NE161&lt;NF161,$A161,B_MAX+1)</f>
        <v>401.0</v>
      </c>
      <c r="NK161" s="13">
        <f>IF(NB161=1,$NB$35,$NB$36)</f>
        <v>0</v>
      </c>
      <c r="NL161" s="13">
        <f>OCC_DAYS*$NB$41*R_NF_2023-ND161*MCD_SHARE_FREED*R_WAIT_2023</f>
        <v>37367.159242427646</v>
      </c>
      <c r="NM161">
        <f>IF($A161&lt;=$NB$45,1,0)</f>
        <v>1</v>
      </c>
      <c r="OB161">
        <f>IF($OB$31&lt;=$OB$32,IF($A161&lt;=$OB$7,1,2),IF($A161&lt;=RUNG_BEDS_2,2,1))</f>
        <v>1</v>
      </c>
      <c r="OC161" s="5">
        <f>MIN(1,MAX(0,$OB$26-($A161-1)))</f>
        <v>1</v>
      </c>
      <c r="OD161" s="5">
        <f>$OB$25*(OC161+(1-OC161)*$OB$16)</f>
        <v>252.05322714681438</v>
      </c>
      <c r="OE161" s="13">
        <f>OD161*($OB$6+ACUTE_MARGIN)</f>
        <v>254573.7594182825</v>
      </c>
      <c r="OF161" s="13">
        <f>IF(OB161=1,$OB$31,$OB$32)</f>
        <v>152394.16214437486</v>
      </c>
      <c r="OG161" s="13">
        <f>OE161-OF161</f>
        <v>102179.59727390765</v>
      </c>
      <c r="OH161" s="13">
        <f>OH160+OG161</f>
        <v>7970008.587364796</v>
      </c>
      <c r="OI161">
        <f>IF(OH161=MAX($OH$83:$OH$483),$A161,0)</f>
        <v>0</v>
      </c>
      <c r="OJ161">
        <f>IF(OE161&lt;OF161,$A161,B_MAX+1)</f>
        <v>401.0</v>
      </c>
      <c r="OK161" s="13">
        <f>IF(OB161=1,$OB$35,$OB$36)</f>
        <v>0</v>
      </c>
      <c r="OL161" s="13">
        <f>OCC_DAYS*$OB$41*R_NF_2023-OD161*MCD_SHARE_FREED*R_WAIT_2023</f>
        <v>37367.159242427646</v>
      </c>
      <c r="OM161">
        <f>IF($A161&lt;=$OB$45,1,0)</f>
        <v>1</v>
      </c>
    </row>
    <row r="162">
      <c r="A162" t="n">
        <v>79</v>
      </c>
      <c r="B162">
        <f>IF($B$31&lt;=$B$32,IF($A162&lt;=$B$7,1,2),IF($A162&lt;=RUNG_BEDS_2,2,1))</f>
        <v>1</v>
      </c>
      <c r="C162" s="5">
        <f>MIN(1,MAX(0,$B$26-($A162-1)))</f>
        <v>1</v>
      </c>
      <c r="D162" s="5">
        <f>$B$25*(C162+(1-C162)*$B$16)</f>
        <v>252.05322714681438</v>
      </c>
      <c r="E162" s="13">
        <f>D162*($B$6+ACUTE_MARGIN)</f>
        <v>254573.7594182825</v>
      </c>
      <c r="F162" s="13">
        <f>IF(B162=1,$B$31,$B$32)</f>
        <v>152394.16214437486</v>
      </c>
      <c r="G162" s="13">
        <f>E162-F162</f>
        <v>102179.59727390765</v>
      </c>
      <c r="H162" s="13">
        <f>H161+G162</f>
        <v>8072188.184638703</v>
      </c>
      <c r="I162">
        <f>IF(H162=MAX($H$83:$H$483),$A162,0)</f>
        <v>0</v>
      </c>
      <c r="J162">
        <f>IF(E162&lt;F162,$A162,B_MAX+1)</f>
        <v>401.0</v>
      </c>
      <c r="K162" s="13">
        <f>IF(B162=1,$B$35,$B$36)</f>
        <v>0</v>
      </c>
      <c r="L162" s="13">
        <f>OCC_DAYS*$B$41*R_NF_2023-D162*MCD_SHARE_FREED*R_WAIT_2023</f>
        <v>37367.159242427646</v>
      </c>
      <c r="M162">
        <f>IF($A162&lt;=$B$45,1,0)</f>
        <v>1</v>
      </c>
      <c r="AB162">
        <f>IF($AB$31&lt;=$AB$32,IF($A162&lt;=$AB$7,1,2),IF($A162&lt;=RUNG_BEDS_2,2,1))</f>
        <v>1</v>
      </c>
      <c r="AC162" s="5">
        <f>MIN(1,MAX(0,$AB$26-($A162-1)))</f>
        <v>1</v>
      </c>
      <c r="AD162" s="5">
        <f>$AB$25*(AC162+(1-AC162)*$AB$16)</f>
        <v>252.05322714681438</v>
      </c>
      <c r="AE162" s="13">
        <f>AD162*($AB$6+ACUTE_MARGIN)</f>
        <v>138629.2749307479</v>
      </c>
      <c r="AF162" s="13">
        <f>IF(AB162=1,$AB$31,$AB$32)</f>
        <v>152394.16214437486</v>
      </c>
      <c r="AG162" s="13">
        <f>AE162-AF162</f>
        <v>-13764.887213626964</v>
      </c>
      <c r="AH162" s="13">
        <f>AH161+AG162</f>
        <v>-1087426.0898765316</v>
      </c>
      <c r="AI162">
        <f>IF(AH162=MAX($AH$83:$AH$483),$A162,0)</f>
        <v>0</v>
      </c>
      <c r="AJ162">
        <f>IF(AE162&lt;AF162,$A162,B_MAX+1)</f>
        <v>79</v>
      </c>
      <c r="AK162" s="13">
        <f>IF(AB162=1,$AB$35,$AB$36)</f>
        <v>0</v>
      </c>
      <c r="AL162" s="13">
        <f>OCC_DAYS*$AB$41*R_NF_2023-AD162*MCD_SHARE_FREED*R_WAIT_2023</f>
        <v>37367.159242427646</v>
      </c>
      <c r="AM162">
        <f>IF($A162&lt;=$AB$45,1,0)</f>
        <v>0</v>
      </c>
      <c r="BB162">
        <f>IF($BB$31&lt;=$BB$32,IF($A162&lt;=$BB$7,1,2),IF($A162&lt;=RUNG_BEDS_2,2,1))</f>
        <v>1</v>
      </c>
      <c r="BC162" s="5">
        <f>MIN(1,MAX(0,$BB$26-($A162-1)))</f>
        <v>1</v>
      </c>
      <c r="BD162" s="5">
        <f>$BB$25*(BC162+(1-BC162)*$BB$16)</f>
        <v>252.05322714681438</v>
      </c>
      <c r="BE162" s="13">
        <f>BD162*($BB$6+ACUTE_MARGIN)</f>
        <v>370518.24390581716</v>
      </c>
      <c r="BF162" s="13">
        <f>IF(BB162=1,$BB$31,$BB$32)</f>
        <v>152394.16214437486</v>
      </c>
      <c r="BG162" s="13">
        <f>BE162-BF162</f>
        <v>218124.0817614423</v>
      </c>
      <c r="BH162" s="13">
        <f>BH161+BG162</f>
        <v>17231802.45915393</v>
      </c>
      <c r="BI162">
        <f>IF(BH162=MAX($BH$83:$BH$483),$A162,0)</f>
        <v>0</v>
      </c>
      <c r="BJ162">
        <f>IF(BE162&lt;BF162,$A162,B_MAX+1)</f>
        <v>401.0</v>
      </c>
      <c r="BK162" s="13">
        <f>IF(BB162=1,$BB$35,$BB$36)</f>
        <v>0</v>
      </c>
      <c r="BL162" s="13">
        <f>OCC_DAYS*$BB$41*R_NF_2023-BD162*MCD_SHARE_FREED*R_WAIT_2023</f>
        <v>37367.159242427646</v>
      </c>
      <c r="BM162">
        <f>IF($A162&lt;=$BB$45,1,0)</f>
        <v>1</v>
      </c>
      <c r="CB162">
        <f>IF($CB$31&lt;=$CB$32,IF($A162&lt;=$CB$7,1,2),IF($A162&lt;=RUNG_BEDS_2,2,1))</f>
        <v>2</v>
      </c>
      <c r="CC162" s="5">
        <f>MIN(1,MAX(0,$CB$26-($A162-1)))</f>
        <v>1</v>
      </c>
      <c r="CD162" s="5">
        <f>$CB$25*(CC162+(1-CC162)*$CB$16)</f>
        <v>252.05322714681438</v>
      </c>
      <c r="CE162" s="13">
        <f>CD162*($CB$6+ACUTE_MARGIN)</f>
        <v>254573.7594182825</v>
      </c>
      <c r="CF162" s="13">
        <f>IF(CB162=1,$CB$31,$CB$32)</f>
        <v>160718.36940738867</v>
      </c>
      <c r="CG162" s="13">
        <f>CE162-CF162</f>
        <v>93855.39001089384</v>
      </c>
      <c r="CH162" s="13">
        <f>CH161+CG162</f>
        <v>7414575.810860627</v>
      </c>
      <c r="CI162">
        <f>IF(CH162=MAX($CH$83:$CH$483),$A162,0)</f>
        <v>0</v>
      </c>
      <c r="CJ162">
        <f>IF(CE162&lt;CF162,$A162,B_MAX+1)</f>
        <v>401.0</v>
      </c>
      <c r="CK162" s="13">
        <f>IF(CB162=1,$CB$35,$CB$36)</f>
        <v>1560.1194073886782</v>
      </c>
      <c r="CL162" s="13">
        <f>OCC_DAYS*$CB$41*R_NF_2023-CD162*MCD_SHARE_FREED*R_WAIT_2023</f>
        <v>37367.159242427646</v>
      </c>
      <c r="CM162">
        <f>IF($A162&lt;=$CB$45,1,0)</f>
        <v>1</v>
      </c>
      <c r="DB162">
        <f>IF($DB$31&lt;=$DB$32,IF($A162&lt;=$DB$7,1,2),IF($A162&lt;=RUNG_BEDS_2,2,1))</f>
        <v>1</v>
      </c>
      <c r="DC162" s="5">
        <f>MIN(1,MAX(0,$DB$26-($A162-1)))</f>
        <v>1</v>
      </c>
      <c r="DD162" s="5">
        <f>$DB$25*(DC162+(1-DC162)*$DB$16)</f>
        <v>252.05322714681438</v>
      </c>
      <c r="DE162" s="13">
        <f>DD162*($DB$6+ACUTE_MARGIN)</f>
        <v>254573.7594182825</v>
      </c>
      <c r="DF162" s="13">
        <f>IF(DB162=1,$DB$31,$DB$32)</f>
        <v>152394.16214437486</v>
      </c>
      <c r="DG162" s="13">
        <f>DE162-DF162</f>
        <v>102179.59727390765</v>
      </c>
      <c r="DH162" s="13">
        <f>DH161+DG162</f>
        <v>8072188.184638703</v>
      </c>
      <c r="DI162">
        <f>IF(DH162=MAX($DH$83:$DH$483),$A162,0)</f>
        <v>0</v>
      </c>
      <c r="DJ162">
        <f>IF(DE162&lt;DF162,$A162,B_MAX+1)</f>
        <v>401.0</v>
      </c>
      <c r="DK162" s="13">
        <f>IF(DB162=1,$DB$35,$DB$36)</f>
        <v>0</v>
      </c>
      <c r="DL162" s="13">
        <f>OCC_DAYS*$DB$41*R_NF_2023-DD162*MCD_SHARE_FREED*R_WAIT_2023</f>
        <v>37367.159242427646</v>
      </c>
      <c r="DM162">
        <f>IF($A162&lt;=$DB$45,1,0)</f>
        <v>1</v>
      </c>
      <c r="EB162">
        <f>IF($EB$31&lt;=$EB$32,IF($A162&lt;=$EB$7,1,2),IF($A162&lt;=RUNG_BEDS_2,2,1))</f>
        <v>1</v>
      </c>
      <c r="EC162" s="5">
        <f>MIN(1,MAX(0,$EB$26-($A162-1)))</f>
        <v>1</v>
      </c>
      <c r="ED162" s="5">
        <f>$EB$25*(EC162+(1-EC162)*$EB$16)</f>
        <v>252.05322714681438</v>
      </c>
      <c r="EE162" s="13">
        <f>ED162*($EB$6+ACUTE_MARGIN)</f>
        <v>254573.7594182825</v>
      </c>
      <c r="EF162" s="13">
        <f>IF(EB162=1,$EB$31,$EB$32)</f>
        <v>152394.16214437486</v>
      </c>
      <c r="EG162" s="13">
        <f>EE162-EF162</f>
        <v>102179.59727390765</v>
      </c>
      <c r="EH162" s="13">
        <f>EH161+EG162</f>
        <v>8072188.184638703</v>
      </c>
      <c r="EI162">
        <f>IF(EH162=MAX($EH$83:$EH$483),$A162,0)</f>
        <v>0</v>
      </c>
      <c r="EJ162">
        <f>IF(EE162&lt;EF162,$A162,B_MAX+1)</f>
        <v>401.0</v>
      </c>
      <c r="EK162" s="13">
        <f>IF(EB162=1,$EB$35,$EB$36)</f>
        <v>0</v>
      </c>
      <c r="EL162" s="13">
        <f>OCC_DAYS*$EB$41*R_NF_2023-ED162*MCD_SHARE_FREED*R_WAIT_2023</f>
        <v>-63953.16263896705</v>
      </c>
      <c r="EM162">
        <f>IF($A162&lt;=$EB$45,1,0)</f>
        <v>1</v>
      </c>
      <c r="FB162">
        <f>IF($FB$31&lt;=$FB$32,IF($A162&lt;=$FB$7,1,2),IF($A162&lt;=RUNG_BEDS_2,2,1))</f>
        <v>1</v>
      </c>
      <c r="FC162" s="5">
        <f>MIN(1,MAX(0,$FB$26-($A162-1)))</f>
        <v>1</v>
      </c>
      <c r="FD162" s="5">
        <f>$FB$25*(FC162+(1-FC162)*$FB$16)</f>
        <v>252.05322714681438</v>
      </c>
      <c r="FE162" s="13">
        <f>FD162*($FB$6+ACUTE_MARGIN)</f>
        <v>254573.7594182825</v>
      </c>
      <c r="FF162" s="13">
        <f>IF(FB162=1,$FB$31,$FB$32)</f>
        <v>156636.04979437485</v>
      </c>
      <c r="FG162" s="13">
        <f>FE162-FF162</f>
        <v>97937.70962390766</v>
      </c>
      <c r="FH162" s="13">
        <f>FH161+FG162</f>
        <v>7737079.060288707</v>
      </c>
      <c r="FI162">
        <f>IF(FH162=MAX($FH$83:$FH$483),$A162,0)</f>
        <v>0</v>
      </c>
      <c r="FJ162">
        <f>IF(FE162&lt;FF162,$A162,B_MAX+1)</f>
        <v>401.0</v>
      </c>
      <c r="FK162" s="13">
        <f>IF(FB162=1,$FB$35,$FB$36)</f>
        <v>0</v>
      </c>
      <c r="FL162" s="13">
        <f>OCC_DAYS*$FB$41*R_NF_2023-FD162*MCD_SHARE_FREED*R_WAIT_2023</f>
        <v>37367.159242427646</v>
      </c>
      <c r="FM162">
        <f>IF($A162&lt;=$FB$45,1,0)</f>
        <v>1</v>
      </c>
      <c r="GB162">
        <f>IF($GB$31&lt;=$GB$32,IF($A162&lt;=$GB$7,1,2),IF($A162&lt;=RUNG_BEDS_2,2,1))</f>
        <v>1</v>
      </c>
      <c r="GC162" s="5">
        <f>MIN(1,MAX(0,$GB$26-($A162-1)))</f>
        <v>1</v>
      </c>
      <c r="GD162" s="5">
        <f>$GB$25*(GC162+(1-GC162)*$GB$16)</f>
        <v>252.05322714681438</v>
      </c>
      <c r="GE162" s="13">
        <f>GD162*($GB$6+ACUTE_MARGIN)</f>
        <v>254573.7594182825</v>
      </c>
      <c r="GF162" s="13">
        <f>IF(GB162=1,$GB$31,$GB$32)</f>
        <v>152394.16214437486</v>
      </c>
      <c r="GG162" s="13">
        <f>GE162-GF162</f>
        <v>102179.59727390765</v>
      </c>
      <c r="GH162" s="13">
        <f>GH161+GG162</f>
        <v>8072188.184638703</v>
      </c>
      <c r="GI162">
        <f>IF(GH162=MAX($GH$83:$GH$483),$A162,0)</f>
        <v>0</v>
      </c>
      <c r="GJ162">
        <f>IF(GE162&lt;GF162,$A162,B_MAX+1)</f>
        <v>401.0</v>
      </c>
      <c r="GK162" s="13">
        <f>IF(GB162=1,$GB$35,$GB$36)</f>
        <v>0</v>
      </c>
      <c r="GL162" s="13">
        <f>OCC_DAYS*$GB$41*R_NF_2023-GD162*MCD_SHARE_FREED*R_WAIT_2023</f>
        <v>37367.159242427646</v>
      </c>
      <c r="GM162">
        <f>IF($A162&lt;=$GB$45,1,0)</f>
        <v>1</v>
      </c>
      <c r="HB162">
        <f>IF($HB$31&lt;=$HB$32,IF($A162&lt;=$HB$7,1,2),IF($A162&lt;=RUNG_BEDS_2,2,1))</f>
        <v>1</v>
      </c>
      <c r="HC162" s="5">
        <f>MIN(1,MAX(0,$HB$26-($A162-1)))</f>
        <v>1</v>
      </c>
      <c r="HD162" s="5">
        <f>$HB$25*(HC162+(1-HC162)*$HB$16)</f>
        <v>252.05322714681438</v>
      </c>
      <c r="HE162" s="13">
        <f>HD162*($HB$6+ACUTE_MARGIN)</f>
        <v>254573.7594182825</v>
      </c>
      <c r="HF162" s="13">
        <f>IF(HB162=1,$HB$31,$HB$32)</f>
        <v>152456.2970814058</v>
      </c>
      <c r="HG162" s="13">
        <f>HE162-HF162</f>
        <v>102117.46233687672</v>
      </c>
      <c r="HH162" s="13">
        <f>HH161+HG162</f>
        <v>8067279.524613253</v>
      </c>
      <c r="HI162">
        <f>IF(HH162=MAX($HH$83:$HH$483),$A162,0)</f>
        <v>0</v>
      </c>
      <c r="HJ162">
        <f>IF(HE162&lt;HF162,$A162,B_MAX+1)</f>
        <v>401.0</v>
      </c>
      <c r="HK162" s="13">
        <f>IF(HB162=1,$HB$35,$HB$36)</f>
        <v>0</v>
      </c>
      <c r="HL162" s="13">
        <f>OCC_DAYS*$HB$41*R_NF_2023-HD162*MCD_SHARE_FREED*R_WAIT_2023</f>
        <v>37367.159242427646</v>
      </c>
      <c r="HM162">
        <f>IF($A162&lt;=$HB$45,1,0)</f>
        <v>1</v>
      </c>
      <c r="IB162">
        <f>IF($IB$31&lt;=$IB$32,IF($A162&lt;=$IB$7,1,2),IF($A162&lt;=RUNG_BEDS_2,2,1))</f>
        <v>1</v>
      </c>
      <c r="IC162" s="5">
        <f>MIN(1,MAX(0,$IB$26-($A162-1)))</f>
        <v>1</v>
      </c>
      <c r="ID162" s="5">
        <f>$IB$25*(IC162+(1-IC162)*$IB$16)</f>
        <v>252.05322714681438</v>
      </c>
      <c r="IE162" s="13">
        <f>ID162*($IB$6+ACUTE_MARGIN)</f>
        <v>254573.7594182825</v>
      </c>
      <c r="IF162" s="13">
        <f>IF(IB162=1,$IB$31,$IB$32)</f>
        <v>152734.9994534971</v>
      </c>
      <c r="IG162" s="13">
        <f>IE162-IF162</f>
        <v>101838.75996478542</v>
      </c>
      <c r="IH162" s="13">
        <f>IH161+IG162</f>
        <v>8045262.037218056</v>
      </c>
      <c r="II162">
        <f>IF(IH162=MAX($IH$83:$IH$483),$A162,0)</f>
        <v>0</v>
      </c>
      <c r="IJ162">
        <f>IF(IE162&lt;IF162,$A162,B_MAX+1)</f>
        <v>401.0</v>
      </c>
      <c r="IK162" s="13">
        <f>IF(IB162=1,$IB$35,$IB$36)</f>
        <v>0</v>
      </c>
      <c r="IL162" s="13">
        <f>OCC_DAYS*$IB$41*R_NF_2023-ID162*MCD_SHARE_FREED*R_WAIT_2023</f>
        <v>37367.159242427646</v>
      </c>
      <c r="IM162">
        <f>IF($A162&lt;=$IB$45,1,0)</f>
        <v>1</v>
      </c>
      <c r="JB162">
        <f>IF($JB$31&lt;=$JB$32,IF($A162&lt;=$JB$7,1,2),IF($A162&lt;=RUNG_BEDS_2,2,1))</f>
        <v>1</v>
      </c>
      <c r="JC162" s="5">
        <f>MIN(1,MAX(0,$JB$26-($A162-1)))</f>
        <v>1</v>
      </c>
      <c r="JD162" s="5">
        <f>$JB$25*(JC162+(1-JC162)*$JB$16)</f>
        <v>252.05322714681438</v>
      </c>
      <c r="JE162" s="13">
        <f>JD162*($JB$6+ACUTE_MARGIN)</f>
        <v>254573.7594182825</v>
      </c>
      <c r="JF162" s="13">
        <f>IF(JB162=1,$JB$31,$JB$32)</f>
        <v>152394.16214437486</v>
      </c>
      <c r="JG162" s="13">
        <f>JE162-JF162</f>
        <v>102179.59727390765</v>
      </c>
      <c r="JH162" s="13">
        <f>JH161+JG162</f>
        <v>8072188.184638703</v>
      </c>
      <c r="JI162">
        <f>IF(JH162=MAX($JH$83:$JH$483),$A162,0)</f>
        <v>0</v>
      </c>
      <c r="JJ162">
        <f>IF(JE162&lt;JF162,$A162,B_MAX+1)</f>
        <v>401.0</v>
      </c>
      <c r="JK162" s="13">
        <f>IF(JB162=1,$JB$35,$JB$36)</f>
        <v>0</v>
      </c>
      <c r="JL162" s="13">
        <f>OCC_DAYS*$JB$41*R_NF_2023-JD162*MCD_SHARE_FREED*R_WAIT_2023</f>
        <v>37367.159242427646</v>
      </c>
      <c r="JM162">
        <f>IF($A162&lt;=$JB$45,1,0)</f>
        <v>1</v>
      </c>
      <c r="KB162">
        <f>IF($KB$31&lt;=$KB$32,IF($A162&lt;=$KB$7,1,2),IF($A162&lt;=RUNG_BEDS_2,2,1))</f>
        <v>1</v>
      </c>
      <c r="KC162" s="5">
        <f>MIN(1,MAX(0,$KB$26-($A162-1)))</f>
        <v>1</v>
      </c>
      <c r="KD162" s="5">
        <f>$KB$25*(KC162+(1-KC162)*$KB$16)</f>
        <v>126.02661357340719</v>
      </c>
      <c r="KE162" s="13">
        <f>KD162*($KB$6+ACUTE_MARGIN)</f>
        <v>127286.87970914126</v>
      </c>
      <c r="KF162" s="13">
        <f>IF(KB162=1,$KB$31,$KB$32)</f>
        <v>152394.16214437486</v>
      </c>
      <c r="KG162" s="13">
        <f>KE162-KF162</f>
        <v>-25107.282435233603</v>
      </c>
      <c r="KH162" s="13">
        <f>KH161+KG162</f>
        <v>-1983475.312383458</v>
      </c>
      <c r="KI162">
        <f>IF(KH162=MAX($KH$83:$KH$483),$A162,0)</f>
        <v>0</v>
      </c>
      <c r="KJ162">
        <f>IF(KE162&lt;KF162,$A162,B_MAX+1)</f>
        <v>79</v>
      </c>
      <c r="KK162" s="13">
        <f>IF(KB162=1,$KB$35,$KB$36)</f>
        <v>0</v>
      </c>
      <c r="KL162" s="13">
        <f>OCC_DAYS*$KB$41*R_NF_2023-KD162*MCD_SHARE_FREED*R_WAIT_2023</f>
        <v>94673.82103225985</v>
      </c>
      <c r="KM162">
        <f>IF($A162&lt;=$KB$45,1,0)</f>
        <v>0</v>
      </c>
      <c r="LB162">
        <f>IF($LB$31&lt;=$LB$32,IF($A162&lt;=$LB$7,1,2),IF($A162&lt;=RUNG_BEDS_2,2,1))</f>
        <v>1</v>
      </c>
      <c r="LC162" s="5">
        <f>MIN(1,MAX(0,$LB$26-($A162-1)))</f>
        <v>1</v>
      </c>
      <c r="LD162" s="5">
        <f>$LB$25*(LC162+(1-LC162)*$LB$16)</f>
        <v>84.01774238227146</v>
      </c>
      <c r="LE162" s="13">
        <f>LD162*($LB$6+ACUTE_MARGIN)</f>
        <v>84857.91980609419</v>
      </c>
      <c r="LF162" s="13">
        <f>IF(LB162=1,$LB$31,$LB$32)</f>
        <v>152394.16214437486</v>
      </c>
      <c r="LG162" s="13">
        <f>LE162-LF162</f>
        <v>-67536.24233828067</v>
      </c>
      <c r="LH162" s="13">
        <f>LH161+LG162</f>
        <v>-5335363.14472418</v>
      </c>
      <c r="LI162">
        <f>IF(LH162=MAX($LH$83:$LH$483),$A162,0)</f>
        <v>0</v>
      </c>
      <c r="LJ162">
        <f>IF(LE162&lt;LF162,$A162,B_MAX+1)</f>
        <v>79</v>
      </c>
      <c r="LK162" s="13">
        <f>IF(LB162=1,$LB$35,$LB$36)</f>
        <v>0</v>
      </c>
      <c r="LL162" s="13">
        <f>OCC_DAYS*$LB$41*R_NF_2023-LD162*MCD_SHARE_FREED*R_WAIT_2023</f>
        <v>113776.04162887059</v>
      </c>
      <c r="LM162">
        <f>IF($A162&lt;=$LB$45,1,0)</f>
        <v>0</v>
      </c>
      <c r="MB162">
        <f>IF($MB$31&lt;=$MB$32,IF($A162&lt;=$MB$7,1,2),IF($A162&lt;=RUNG_BEDS_2,2,1))</f>
        <v>1</v>
      </c>
      <c r="MC162" s="5">
        <f>MIN(1,MAX(0,$MB$26-($A162-1)))</f>
        <v>1</v>
      </c>
      <c r="MD162" s="5">
        <f>$MB$25*(MC162+(1-MC162)*$MB$16)</f>
        <v>213.44610951008647</v>
      </c>
      <c r="ME162" s="13">
        <f>MD162*($MB$6+ACUTE_MARGIN)</f>
        <v>215580.57060518733</v>
      </c>
      <c r="MF162" s="13">
        <f>IF(MB162=1,$MB$31,$MB$32)</f>
        <v>152394.16214437486</v>
      </c>
      <c r="MG162" s="13">
        <f>ME162-MF162</f>
        <v>63186.40846081247</v>
      </c>
      <c r="MH162" s="13">
        <f>MH161+MG162</f>
        <v>4991726.268404191</v>
      </c>
      <c r="MI162">
        <f>IF(MH162=MAX($MH$83:$MH$483),$A162,0)</f>
        <v>0</v>
      </c>
      <c r="MJ162">
        <f>IF(ME162&lt;MF162,$A162,B_MAX+1)</f>
        <v>401.0</v>
      </c>
      <c r="MK162" s="13">
        <f>IF(MB162=1,$MB$35,$MB$36)</f>
        <v>0</v>
      </c>
      <c r="ML162" s="13">
        <f>OCC_DAYS*$MB$41*R_NF_2023-MD162*MCD_SHARE_FREED*R_WAIT_2023</f>
        <v>54922.538779778624</v>
      </c>
      <c r="MM162">
        <f>IF($A162&lt;=$MB$45,1,0)</f>
        <v>1</v>
      </c>
      <c r="NB162">
        <f>IF($NB$31&lt;=$NB$32,IF($A162&lt;=$NB$7,1,2),IF($A162&lt;=RUNG_BEDS_2,2,1))</f>
        <v>1</v>
      </c>
      <c r="NC162" s="5">
        <f>MIN(1,MAX(0,$NB$26-($A162-1)))</f>
        <v>1</v>
      </c>
      <c r="ND162" s="5">
        <f>$NB$25*(NC162+(1-NC162)*$NB$16)</f>
        <v>252.05322714681438</v>
      </c>
      <c r="NE162" s="13">
        <f>ND162*($NB$6+ACUTE_MARGIN)</f>
        <v>254573.7594182825</v>
      </c>
      <c r="NF162" s="13">
        <f>IF(NB162=1,$NB$31,$NB$32)</f>
        <v>152394.16214437486</v>
      </c>
      <c r="NG162" s="13">
        <f>NE162-NF162</f>
        <v>102179.59727390765</v>
      </c>
      <c r="NH162" s="13">
        <f>NH161+NG162</f>
        <v>8072188.184638703</v>
      </c>
      <c r="NI162">
        <f>IF(NH162=MAX($NH$83:$NH$483),$A162,0)</f>
        <v>0</v>
      </c>
      <c r="NJ162">
        <f>IF(NE162&lt;NF162,$A162,B_MAX+1)</f>
        <v>401.0</v>
      </c>
      <c r="NK162" s="13">
        <f>IF(NB162=1,$NB$35,$NB$36)</f>
        <v>0</v>
      </c>
      <c r="NL162" s="13">
        <f>OCC_DAYS*$NB$41*R_NF_2023-ND162*MCD_SHARE_FREED*R_WAIT_2023</f>
        <v>37367.159242427646</v>
      </c>
      <c r="NM162">
        <f>IF($A162&lt;=$NB$45,1,0)</f>
        <v>1</v>
      </c>
      <c r="OB162">
        <f>IF($OB$31&lt;=$OB$32,IF($A162&lt;=$OB$7,1,2),IF($A162&lt;=RUNG_BEDS_2,2,1))</f>
        <v>1</v>
      </c>
      <c r="OC162" s="5">
        <f>MIN(1,MAX(0,$OB$26-($A162-1)))</f>
        <v>1</v>
      </c>
      <c r="OD162" s="5">
        <f>$OB$25*(OC162+(1-OC162)*$OB$16)</f>
        <v>252.05322714681438</v>
      </c>
      <c r="OE162" s="13">
        <f>OD162*($OB$6+ACUTE_MARGIN)</f>
        <v>254573.7594182825</v>
      </c>
      <c r="OF162" s="13">
        <f>IF(OB162=1,$OB$31,$OB$32)</f>
        <v>152394.16214437486</v>
      </c>
      <c r="OG162" s="13">
        <f>OE162-OF162</f>
        <v>102179.59727390765</v>
      </c>
      <c r="OH162" s="13">
        <f>OH161+OG162</f>
        <v>8072188.184638703</v>
      </c>
      <c r="OI162">
        <f>IF(OH162=MAX($OH$83:$OH$483),$A162,0)</f>
        <v>0</v>
      </c>
      <c r="OJ162">
        <f>IF(OE162&lt;OF162,$A162,B_MAX+1)</f>
        <v>401.0</v>
      </c>
      <c r="OK162" s="13">
        <f>IF(OB162=1,$OB$35,$OB$36)</f>
        <v>0</v>
      </c>
      <c r="OL162" s="13">
        <f>OCC_DAYS*$OB$41*R_NF_2023-OD162*MCD_SHARE_FREED*R_WAIT_2023</f>
        <v>37367.159242427646</v>
      </c>
      <c r="OM162">
        <f>IF($A162&lt;=$OB$45,1,0)</f>
        <v>1</v>
      </c>
    </row>
    <row r="163">
      <c r="A163" t="n">
        <v>80</v>
      </c>
      <c r="B163">
        <f>IF($B$31&lt;=$B$32,IF($A163&lt;=$B$7,1,2),IF($A163&lt;=RUNG_BEDS_2,2,1))</f>
        <v>1</v>
      </c>
      <c r="C163" s="5">
        <f>MIN(1,MAX(0,$B$26-($A163-1)))</f>
        <v>1</v>
      </c>
      <c r="D163" s="5">
        <f>$B$25*(C163+(1-C163)*$B$16)</f>
        <v>252.05322714681438</v>
      </c>
      <c r="E163" s="13">
        <f>D163*($B$6+ACUTE_MARGIN)</f>
        <v>254573.7594182825</v>
      </c>
      <c r="F163" s="13">
        <f>IF(B163=1,$B$31,$B$32)</f>
        <v>152394.16214437486</v>
      </c>
      <c r="G163" s="13">
        <f>E163-F163</f>
        <v>102179.59727390765</v>
      </c>
      <c r="H163" s="13">
        <f>H162+G163</f>
        <v>8174367.781912611</v>
      </c>
      <c r="I163">
        <f>IF(H163=MAX($H$83:$H$483),$A163,0)</f>
        <v>0</v>
      </c>
      <c r="J163">
        <f>IF(E163&lt;F163,$A163,B_MAX+1)</f>
        <v>401.0</v>
      </c>
      <c r="K163" s="13">
        <f>IF(B163=1,$B$35,$B$36)</f>
        <v>0</v>
      </c>
      <c r="L163" s="13">
        <f>OCC_DAYS*$B$41*R_NF_2023-D163*MCD_SHARE_FREED*R_WAIT_2023</f>
        <v>37367.159242427646</v>
      </c>
      <c r="M163">
        <f>IF($A163&lt;=$B$45,1,0)</f>
        <v>1</v>
      </c>
      <c r="AB163">
        <f>IF($AB$31&lt;=$AB$32,IF($A163&lt;=$AB$7,1,2),IF($A163&lt;=RUNG_BEDS_2,2,1))</f>
        <v>1</v>
      </c>
      <c r="AC163" s="5">
        <f>MIN(1,MAX(0,$AB$26-($A163-1)))</f>
        <v>1</v>
      </c>
      <c r="AD163" s="5">
        <f>$AB$25*(AC163+(1-AC163)*$AB$16)</f>
        <v>252.05322714681438</v>
      </c>
      <c r="AE163" s="13">
        <f>AD163*($AB$6+ACUTE_MARGIN)</f>
        <v>138629.2749307479</v>
      </c>
      <c r="AF163" s="13">
        <f>IF(AB163=1,$AB$31,$AB$32)</f>
        <v>152394.16214437486</v>
      </c>
      <c r="AG163" s="13">
        <f>AE163-AF163</f>
        <v>-13764.887213626964</v>
      </c>
      <c r="AH163" s="13">
        <f>AH162+AG163</f>
        <v>-1101190.9770901585</v>
      </c>
      <c r="AI163">
        <f>IF(AH163=MAX($AH$83:$AH$483),$A163,0)</f>
        <v>0</v>
      </c>
      <c r="AJ163">
        <f>IF(AE163&lt;AF163,$A163,B_MAX+1)</f>
        <v>80</v>
      </c>
      <c r="AK163" s="13">
        <f>IF(AB163=1,$AB$35,$AB$36)</f>
        <v>0</v>
      </c>
      <c r="AL163" s="13">
        <f>OCC_DAYS*$AB$41*R_NF_2023-AD163*MCD_SHARE_FREED*R_WAIT_2023</f>
        <v>37367.159242427646</v>
      </c>
      <c r="AM163">
        <f>IF($A163&lt;=$AB$45,1,0)</f>
        <v>0</v>
      </c>
      <c r="BB163">
        <f>IF($BB$31&lt;=$BB$32,IF($A163&lt;=$BB$7,1,2),IF($A163&lt;=RUNG_BEDS_2,2,1))</f>
        <v>1</v>
      </c>
      <c r="BC163" s="5">
        <f>MIN(1,MAX(0,$BB$26-($A163-1)))</f>
        <v>1</v>
      </c>
      <c r="BD163" s="5">
        <f>$BB$25*(BC163+(1-BC163)*$BB$16)</f>
        <v>252.05322714681438</v>
      </c>
      <c r="BE163" s="13">
        <f>BD163*($BB$6+ACUTE_MARGIN)</f>
        <v>370518.24390581716</v>
      </c>
      <c r="BF163" s="13">
        <f>IF(BB163=1,$BB$31,$BB$32)</f>
        <v>152394.16214437486</v>
      </c>
      <c r="BG163" s="13">
        <f>BE163-BF163</f>
        <v>218124.0817614423</v>
      </c>
      <c r="BH163" s="13">
        <f>BH162+BG163</f>
        <v>17449926.540915374</v>
      </c>
      <c r="BI163">
        <f>IF(BH163=MAX($BH$83:$BH$483),$A163,0)</f>
        <v>0</v>
      </c>
      <c r="BJ163">
        <f>IF(BE163&lt;BF163,$A163,B_MAX+1)</f>
        <v>401.0</v>
      </c>
      <c r="BK163" s="13">
        <f>IF(BB163=1,$BB$35,$BB$36)</f>
        <v>0</v>
      </c>
      <c r="BL163" s="13">
        <f>OCC_DAYS*$BB$41*R_NF_2023-BD163*MCD_SHARE_FREED*R_WAIT_2023</f>
        <v>37367.159242427646</v>
      </c>
      <c r="BM163">
        <f>IF($A163&lt;=$BB$45,1,0)</f>
        <v>1</v>
      </c>
      <c r="CB163">
        <f>IF($CB$31&lt;=$CB$32,IF($A163&lt;=$CB$7,1,2),IF($A163&lt;=RUNG_BEDS_2,2,1))</f>
        <v>2</v>
      </c>
      <c r="CC163" s="5">
        <f>MIN(1,MAX(0,$CB$26-($A163-1)))</f>
        <v>1</v>
      </c>
      <c r="CD163" s="5">
        <f>$CB$25*(CC163+(1-CC163)*$CB$16)</f>
        <v>252.05322714681438</v>
      </c>
      <c r="CE163" s="13">
        <f>CD163*($CB$6+ACUTE_MARGIN)</f>
        <v>254573.7594182825</v>
      </c>
      <c r="CF163" s="13">
        <f>IF(CB163=1,$CB$31,$CB$32)</f>
        <v>160718.36940738867</v>
      </c>
      <c r="CG163" s="13">
        <f>CE163-CF163</f>
        <v>93855.39001089384</v>
      </c>
      <c r="CH163" s="13">
        <f>CH162+CG163</f>
        <v>7508431.200871522</v>
      </c>
      <c r="CI163">
        <f>IF(CH163=MAX($CH$83:$CH$483),$A163,0)</f>
        <v>0</v>
      </c>
      <c r="CJ163">
        <f>IF(CE163&lt;CF163,$A163,B_MAX+1)</f>
        <v>401.0</v>
      </c>
      <c r="CK163" s="13">
        <f>IF(CB163=1,$CB$35,$CB$36)</f>
        <v>1560.1194073886782</v>
      </c>
      <c r="CL163" s="13">
        <f>OCC_DAYS*$CB$41*R_NF_2023-CD163*MCD_SHARE_FREED*R_WAIT_2023</f>
        <v>37367.159242427646</v>
      </c>
      <c r="CM163">
        <f>IF($A163&lt;=$CB$45,1,0)</f>
        <v>1</v>
      </c>
      <c r="DB163">
        <f>IF($DB$31&lt;=$DB$32,IF($A163&lt;=$DB$7,1,2),IF($A163&lt;=RUNG_BEDS_2,2,1))</f>
        <v>1</v>
      </c>
      <c r="DC163" s="5">
        <f>MIN(1,MAX(0,$DB$26-($A163-1)))</f>
        <v>1</v>
      </c>
      <c r="DD163" s="5">
        <f>$DB$25*(DC163+(1-DC163)*$DB$16)</f>
        <v>252.05322714681438</v>
      </c>
      <c r="DE163" s="13">
        <f>DD163*($DB$6+ACUTE_MARGIN)</f>
        <v>254573.7594182825</v>
      </c>
      <c r="DF163" s="13">
        <f>IF(DB163=1,$DB$31,$DB$32)</f>
        <v>152394.16214437486</v>
      </c>
      <c r="DG163" s="13">
        <f>DE163-DF163</f>
        <v>102179.59727390765</v>
      </c>
      <c r="DH163" s="13">
        <f>DH162+DG163</f>
        <v>8174367.781912611</v>
      </c>
      <c r="DI163">
        <f>IF(DH163=MAX($DH$83:$DH$483),$A163,0)</f>
        <v>0</v>
      </c>
      <c r="DJ163">
        <f>IF(DE163&lt;DF163,$A163,B_MAX+1)</f>
        <v>401.0</v>
      </c>
      <c r="DK163" s="13">
        <f>IF(DB163=1,$DB$35,$DB$36)</f>
        <v>0</v>
      </c>
      <c r="DL163" s="13">
        <f>OCC_DAYS*$DB$41*R_NF_2023-DD163*MCD_SHARE_FREED*R_WAIT_2023</f>
        <v>37367.159242427646</v>
      </c>
      <c r="DM163">
        <f>IF($A163&lt;=$DB$45,1,0)</f>
        <v>1</v>
      </c>
      <c r="EB163">
        <f>IF($EB$31&lt;=$EB$32,IF($A163&lt;=$EB$7,1,2),IF($A163&lt;=RUNG_BEDS_2,2,1))</f>
        <v>1</v>
      </c>
      <c r="EC163" s="5">
        <f>MIN(1,MAX(0,$EB$26-($A163-1)))</f>
        <v>1</v>
      </c>
      <c r="ED163" s="5">
        <f>$EB$25*(EC163+(1-EC163)*$EB$16)</f>
        <v>252.05322714681438</v>
      </c>
      <c r="EE163" s="13">
        <f>ED163*($EB$6+ACUTE_MARGIN)</f>
        <v>254573.7594182825</v>
      </c>
      <c r="EF163" s="13">
        <f>IF(EB163=1,$EB$31,$EB$32)</f>
        <v>152394.16214437486</v>
      </c>
      <c r="EG163" s="13">
        <f>EE163-EF163</f>
        <v>102179.59727390765</v>
      </c>
      <c r="EH163" s="13">
        <f>EH162+EG163</f>
        <v>8174367.781912611</v>
      </c>
      <c r="EI163">
        <f>IF(EH163=MAX($EH$83:$EH$483),$A163,0)</f>
        <v>0</v>
      </c>
      <c r="EJ163">
        <f>IF(EE163&lt;EF163,$A163,B_MAX+1)</f>
        <v>401.0</v>
      </c>
      <c r="EK163" s="13">
        <f>IF(EB163=1,$EB$35,$EB$36)</f>
        <v>0</v>
      </c>
      <c r="EL163" s="13">
        <f>OCC_DAYS*$EB$41*R_NF_2023-ED163*MCD_SHARE_FREED*R_WAIT_2023</f>
        <v>-63953.16263896705</v>
      </c>
      <c r="EM163">
        <f>IF($A163&lt;=$EB$45,1,0)</f>
        <v>1</v>
      </c>
      <c r="FB163">
        <f>IF($FB$31&lt;=$FB$32,IF($A163&lt;=$FB$7,1,2),IF($A163&lt;=RUNG_BEDS_2,2,1))</f>
        <v>1</v>
      </c>
      <c r="FC163" s="5">
        <f>MIN(1,MAX(0,$FB$26-($A163-1)))</f>
        <v>1</v>
      </c>
      <c r="FD163" s="5">
        <f>$FB$25*(FC163+(1-FC163)*$FB$16)</f>
        <v>252.05322714681438</v>
      </c>
      <c r="FE163" s="13">
        <f>FD163*($FB$6+ACUTE_MARGIN)</f>
        <v>254573.7594182825</v>
      </c>
      <c r="FF163" s="13">
        <f>IF(FB163=1,$FB$31,$FB$32)</f>
        <v>156636.04979437485</v>
      </c>
      <c r="FG163" s="13">
        <f>FE163-FF163</f>
        <v>97937.70962390766</v>
      </c>
      <c r="FH163" s="13">
        <f>FH162+FG163</f>
        <v>7835016.7699126145</v>
      </c>
      <c r="FI163">
        <f>IF(FH163=MAX($FH$83:$FH$483),$A163,0)</f>
        <v>0</v>
      </c>
      <c r="FJ163">
        <f>IF(FE163&lt;FF163,$A163,B_MAX+1)</f>
        <v>401.0</v>
      </c>
      <c r="FK163" s="13">
        <f>IF(FB163=1,$FB$35,$FB$36)</f>
        <v>0</v>
      </c>
      <c r="FL163" s="13">
        <f>OCC_DAYS*$FB$41*R_NF_2023-FD163*MCD_SHARE_FREED*R_WAIT_2023</f>
        <v>37367.159242427646</v>
      </c>
      <c r="FM163">
        <f>IF($A163&lt;=$FB$45,1,0)</f>
        <v>1</v>
      </c>
      <c r="GB163">
        <f>IF($GB$31&lt;=$GB$32,IF($A163&lt;=$GB$7,1,2),IF($A163&lt;=RUNG_BEDS_2,2,1))</f>
        <v>1</v>
      </c>
      <c r="GC163" s="5">
        <f>MIN(1,MAX(0,$GB$26-($A163-1)))</f>
        <v>1</v>
      </c>
      <c r="GD163" s="5">
        <f>$GB$25*(GC163+(1-GC163)*$GB$16)</f>
        <v>252.05322714681438</v>
      </c>
      <c r="GE163" s="13">
        <f>GD163*($GB$6+ACUTE_MARGIN)</f>
        <v>254573.7594182825</v>
      </c>
      <c r="GF163" s="13">
        <f>IF(GB163=1,$GB$31,$GB$32)</f>
        <v>152394.16214437486</v>
      </c>
      <c r="GG163" s="13">
        <f>GE163-GF163</f>
        <v>102179.59727390765</v>
      </c>
      <c r="GH163" s="13">
        <f>GH162+GG163</f>
        <v>8174367.781912611</v>
      </c>
      <c r="GI163">
        <f>IF(GH163=MAX($GH$83:$GH$483),$A163,0)</f>
        <v>0</v>
      </c>
      <c r="GJ163">
        <f>IF(GE163&lt;GF163,$A163,B_MAX+1)</f>
        <v>401.0</v>
      </c>
      <c r="GK163" s="13">
        <f>IF(GB163=1,$GB$35,$GB$36)</f>
        <v>0</v>
      </c>
      <c r="GL163" s="13">
        <f>OCC_DAYS*$GB$41*R_NF_2023-GD163*MCD_SHARE_FREED*R_WAIT_2023</f>
        <v>37367.159242427646</v>
      </c>
      <c r="GM163">
        <f>IF($A163&lt;=$GB$45,1,0)</f>
        <v>1</v>
      </c>
      <c r="HB163">
        <f>IF($HB$31&lt;=$HB$32,IF($A163&lt;=$HB$7,1,2),IF($A163&lt;=RUNG_BEDS_2,2,1))</f>
        <v>1</v>
      </c>
      <c r="HC163" s="5">
        <f>MIN(1,MAX(0,$HB$26-($A163-1)))</f>
        <v>1</v>
      </c>
      <c r="HD163" s="5">
        <f>$HB$25*(HC163+(1-HC163)*$HB$16)</f>
        <v>252.05322714681438</v>
      </c>
      <c r="HE163" s="13">
        <f>HD163*($HB$6+ACUTE_MARGIN)</f>
        <v>254573.7594182825</v>
      </c>
      <c r="HF163" s="13">
        <f>IF(HB163=1,$HB$31,$HB$32)</f>
        <v>152456.2970814058</v>
      </c>
      <c r="HG163" s="13">
        <f>HE163-HF163</f>
        <v>102117.46233687672</v>
      </c>
      <c r="HH163" s="13">
        <f>HH162+HG163</f>
        <v>8169396.986950129</v>
      </c>
      <c r="HI163">
        <f>IF(HH163=MAX($HH$83:$HH$483),$A163,0)</f>
        <v>0</v>
      </c>
      <c r="HJ163">
        <f>IF(HE163&lt;HF163,$A163,B_MAX+1)</f>
        <v>401.0</v>
      </c>
      <c r="HK163" s="13">
        <f>IF(HB163=1,$HB$35,$HB$36)</f>
        <v>0</v>
      </c>
      <c r="HL163" s="13">
        <f>OCC_DAYS*$HB$41*R_NF_2023-HD163*MCD_SHARE_FREED*R_WAIT_2023</f>
        <v>37367.159242427646</v>
      </c>
      <c r="HM163">
        <f>IF($A163&lt;=$HB$45,1,0)</f>
        <v>1</v>
      </c>
      <c r="IB163">
        <f>IF($IB$31&lt;=$IB$32,IF($A163&lt;=$IB$7,1,2),IF($A163&lt;=RUNG_BEDS_2,2,1))</f>
        <v>1</v>
      </c>
      <c r="IC163" s="5">
        <f>MIN(1,MAX(0,$IB$26-($A163-1)))</f>
        <v>1</v>
      </c>
      <c r="ID163" s="5">
        <f>$IB$25*(IC163+(1-IC163)*$IB$16)</f>
        <v>252.05322714681438</v>
      </c>
      <c r="IE163" s="13">
        <f>ID163*($IB$6+ACUTE_MARGIN)</f>
        <v>254573.7594182825</v>
      </c>
      <c r="IF163" s="13">
        <f>IF(IB163=1,$IB$31,$IB$32)</f>
        <v>152734.9994534971</v>
      </c>
      <c r="IG163" s="13">
        <f>IE163-IF163</f>
        <v>101838.75996478542</v>
      </c>
      <c r="IH163" s="13">
        <f>IH162+IG163</f>
        <v>8147100.797182841</v>
      </c>
      <c r="II163">
        <f>IF(IH163=MAX($IH$83:$IH$483),$A163,0)</f>
        <v>0</v>
      </c>
      <c r="IJ163">
        <f>IF(IE163&lt;IF163,$A163,B_MAX+1)</f>
        <v>401.0</v>
      </c>
      <c r="IK163" s="13">
        <f>IF(IB163=1,$IB$35,$IB$36)</f>
        <v>0</v>
      </c>
      <c r="IL163" s="13">
        <f>OCC_DAYS*$IB$41*R_NF_2023-ID163*MCD_SHARE_FREED*R_WAIT_2023</f>
        <v>37367.159242427646</v>
      </c>
      <c r="IM163">
        <f>IF($A163&lt;=$IB$45,1,0)</f>
        <v>1</v>
      </c>
      <c r="JB163">
        <f>IF($JB$31&lt;=$JB$32,IF($A163&lt;=$JB$7,1,2),IF($A163&lt;=RUNG_BEDS_2,2,1))</f>
        <v>1</v>
      </c>
      <c r="JC163" s="5">
        <f>MIN(1,MAX(0,$JB$26-($A163-1)))</f>
        <v>1</v>
      </c>
      <c r="JD163" s="5">
        <f>$JB$25*(JC163+(1-JC163)*$JB$16)</f>
        <v>252.05322714681438</v>
      </c>
      <c r="JE163" s="13">
        <f>JD163*($JB$6+ACUTE_MARGIN)</f>
        <v>254573.7594182825</v>
      </c>
      <c r="JF163" s="13">
        <f>IF(JB163=1,$JB$31,$JB$32)</f>
        <v>152394.16214437486</v>
      </c>
      <c r="JG163" s="13">
        <f>JE163-JF163</f>
        <v>102179.59727390765</v>
      </c>
      <c r="JH163" s="13">
        <f>JH162+JG163</f>
        <v>8174367.781912611</v>
      </c>
      <c r="JI163">
        <f>IF(JH163=MAX($JH$83:$JH$483),$A163,0)</f>
        <v>0</v>
      </c>
      <c r="JJ163">
        <f>IF(JE163&lt;JF163,$A163,B_MAX+1)</f>
        <v>401.0</v>
      </c>
      <c r="JK163" s="13">
        <f>IF(JB163=1,$JB$35,$JB$36)</f>
        <v>0</v>
      </c>
      <c r="JL163" s="13">
        <f>OCC_DAYS*$JB$41*R_NF_2023-JD163*MCD_SHARE_FREED*R_WAIT_2023</f>
        <v>37367.159242427646</v>
      </c>
      <c r="JM163">
        <f>IF($A163&lt;=$JB$45,1,0)</f>
        <v>1</v>
      </c>
      <c r="KB163">
        <f>IF($KB$31&lt;=$KB$32,IF($A163&lt;=$KB$7,1,2),IF($A163&lt;=RUNG_BEDS_2,2,1))</f>
        <v>1</v>
      </c>
      <c r="KC163" s="5">
        <f>MIN(1,MAX(0,$KB$26-($A163-1)))</f>
        <v>1</v>
      </c>
      <c r="KD163" s="5">
        <f>$KB$25*(KC163+(1-KC163)*$KB$16)</f>
        <v>126.02661357340719</v>
      </c>
      <c r="KE163" s="13">
        <f>KD163*($KB$6+ACUTE_MARGIN)</f>
        <v>127286.87970914126</v>
      </c>
      <c r="KF163" s="13">
        <f>IF(KB163=1,$KB$31,$KB$32)</f>
        <v>152394.16214437486</v>
      </c>
      <c r="KG163" s="13">
        <f>KE163-KF163</f>
        <v>-25107.282435233603</v>
      </c>
      <c r="KH163" s="13">
        <f>KH162+KG163</f>
        <v>-2008582.5948186917</v>
      </c>
      <c r="KI163">
        <f>IF(KH163=MAX($KH$83:$KH$483),$A163,0)</f>
        <v>0</v>
      </c>
      <c r="KJ163">
        <f>IF(KE163&lt;KF163,$A163,B_MAX+1)</f>
        <v>80</v>
      </c>
      <c r="KK163" s="13">
        <f>IF(KB163=1,$KB$35,$KB$36)</f>
        <v>0</v>
      </c>
      <c r="KL163" s="13">
        <f>OCC_DAYS*$KB$41*R_NF_2023-KD163*MCD_SHARE_FREED*R_WAIT_2023</f>
        <v>94673.82103225985</v>
      </c>
      <c r="KM163">
        <f>IF($A163&lt;=$KB$45,1,0)</f>
        <v>0</v>
      </c>
      <c r="LB163">
        <f>IF($LB$31&lt;=$LB$32,IF($A163&lt;=$LB$7,1,2),IF($A163&lt;=RUNG_BEDS_2,2,1))</f>
        <v>1</v>
      </c>
      <c r="LC163" s="5">
        <f>MIN(1,MAX(0,$LB$26-($A163-1)))</f>
        <v>1</v>
      </c>
      <c r="LD163" s="5">
        <f>$LB$25*(LC163+(1-LC163)*$LB$16)</f>
        <v>84.01774238227146</v>
      </c>
      <c r="LE163" s="13">
        <f>LD163*($LB$6+ACUTE_MARGIN)</f>
        <v>84857.91980609419</v>
      </c>
      <c r="LF163" s="13">
        <f>IF(LB163=1,$LB$31,$LB$32)</f>
        <v>152394.16214437486</v>
      </c>
      <c r="LG163" s="13">
        <f>LE163-LF163</f>
        <v>-67536.24233828067</v>
      </c>
      <c r="LH163" s="13">
        <f>LH162+LG163</f>
        <v>-5402899.387062461</v>
      </c>
      <c r="LI163">
        <f>IF(LH163=MAX($LH$83:$LH$483),$A163,0)</f>
        <v>0</v>
      </c>
      <c r="LJ163">
        <f>IF(LE163&lt;LF163,$A163,B_MAX+1)</f>
        <v>80</v>
      </c>
      <c r="LK163" s="13">
        <f>IF(LB163=1,$LB$35,$LB$36)</f>
        <v>0</v>
      </c>
      <c r="LL163" s="13">
        <f>OCC_DAYS*$LB$41*R_NF_2023-LD163*MCD_SHARE_FREED*R_WAIT_2023</f>
        <v>113776.04162887059</v>
      </c>
      <c r="LM163">
        <f>IF($A163&lt;=$LB$45,1,0)</f>
        <v>0</v>
      </c>
      <c r="MB163">
        <f>IF($MB$31&lt;=$MB$32,IF($A163&lt;=$MB$7,1,2),IF($A163&lt;=RUNG_BEDS_2,2,1))</f>
        <v>1</v>
      </c>
      <c r="MC163" s="5">
        <f>MIN(1,MAX(0,$MB$26-($A163-1)))</f>
        <v>1</v>
      </c>
      <c r="MD163" s="5">
        <f>$MB$25*(MC163+(1-MC163)*$MB$16)</f>
        <v>213.44610951008647</v>
      </c>
      <c r="ME163" s="13">
        <f>MD163*($MB$6+ACUTE_MARGIN)</f>
        <v>215580.57060518733</v>
      </c>
      <c r="MF163" s="13">
        <f>IF(MB163=1,$MB$31,$MB$32)</f>
        <v>152394.16214437486</v>
      </c>
      <c r="MG163" s="13">
        <f>ME163-MF163</f>
        <v>63186.40846081247</v>
      </c>
      <c r="MH163" s="13">
        <f>MH162+MG163</f>
        <v>5054912.676865004</v>
      </c>
      <c r="MI163">
        <f>IF(MH163=MAX($MH$83:$MH$483),$A163,0)</f>
        <v>0</v>
      </c>
      <c r="MJ163">
        <f>IF(ME163&lt;MF163,$A163,B_MAX+1)</f>
        <v>401.0</v>
      </c>
      <c r="MK163" s="13">
        <f>IF(MB163=1,$MB$35,$MB$36)</f>
        <v>0</v>
      </c>
      <c r="ML163" s="13">
        <f>OCC_DAYS*$MB$41*R_NF_2023-MD163*MCD_SHARE_FREED*R_WAIT_2023</f>
        <v>54922.538779778624</v>
      </c>
      <c r="MM163">
        <f>IF($A163&lt;=$MB$45,1,0)</f>
        <v>1</v>
      </c>
      <c r="NB163">
        <f>IF($NB$31&lt;=$NB$32,IF($A163&lt;=$NB$7,1,2),IF($A163&lt;=RUNG_BEDS_2,2,1))</f>
        <v>1</v>
      </c>
      <c r="NC163" s="5">
        <f>MIN(1,MAX(0,$NB$26-($A163-1)))</f>
        <v>1</v>
      </c>
      <c r="ND163" s="5">
        <f>$NB$25*(NC163+(1-NC163)*$NB$16)</f>
        <v>252.05322714681438</v>
      </c>
      <c r="NE163" s="13">
        <f>ND163*($NB$6+ACUTE_MARGIN)</f>
        <v>254573.7594182825</v>
      </c>
      <c r="NF163" s="13">
        <f>IF(NB163=1,$NB$31,$NB$32)</f>
        <v>152394.16214437486</v>
      </c>
      <c r="NG163" s="13">
        <f>NE163-NF163</f>
        <v>102179.59727390765</v>
      </c>
      <c r="NH163" s="13">
        <f>NH162+NG163</f>
        <v>8174367.781912611</v>
      </c>
      <c r="NI163">
        <f>IF(NH163=MAX($NH$83:$NH$483),$A163,0)</f>
        <v>0</v>
      </c>
      <c r="NJ163">
        <f>IF(NE163&lt;NF163,$A163,B_MAX+1)</f>
        <v>401.0</v>
      </c>
      <c r="NK163" s="13">
        <f>IF(NB163=1,$NB$35,$NB$36)</f>
        <v>0</v>
      </c>
      <c r="NL163" s="13">
        <f>OCC_DAYS*$NB$41*R_NF_2023-ND163*MCD_SHARE_FREED*R_WAIT_2023</f>
        <v>37367.159242427646</v>
      </c>
      <c r="NM163">
        <f>IF($A163&lt;=$NB$45,1,0)</f>
        <v>1</v>
      </c>
      <c r="OB163">
        <f>IF($OB$31&lt;=$OB$32,IF($A163&lt;=$OB$7,1,2),IF($A163&lt;=RUNG_BEDS_2,2,1))</f>
        <v>1</v>
      </c>
      <c r="OC163" s="5">
        <f>MIN(1,MAX(0,$OB$26-($A163-1)))</f>
        <v>1</v>
      </c>
      <c r="OD163" s="5">
        <f>$OB$25*(OC163+(1-OC163)*$OB$16)</f>
        <v>252.05322714681438</v>
      </c>
      <c r="OE163" s="13">
        <f>OD163*($OB$6+ACUTE_MARGIN)</f>
        <v>254573.7594182825</v>
      </c>
      <c r="OF163" s="13">
        <f>IF(OB163=1,$OB$31,$OB$32)</f>
        <v>152394.16214437486</v>
      </c>
      <c r="OG163" s="13">
        <f>OE163-OF163</f>
        <v>102179.59727390765</v>
      </c>
      <c r="OH163" s="13">
        <f>OH162+OG163</f>
        <v>8174367.781912611</v>
      </c>
      <c r="OI163">
        <f>IF(OH163=MAX($OH$83:$OH$483),$A163,0)</f>
        <v>0</v>
      </c>
      <c r="OJ163">
        <f>IF(OE163&lt;OF163,$A163,B_MAX+1)</f>
        <v>401.0</v>
      </c>
      <c r="OK163" s="13">
        <f>IF(OB163=1,$OB$35,$OB$36)</f>
        <v>0</v>
      </c>
      <c r="OL163" s="13">
        <f>OCC_DAYS*$OB$41*R_NF_2023-OD163*MCD_SHARE_FREED*R_WAIT_2023</f>
        <v>37367.159242427646</v>
      </c>
      <c r="OM163">
        <f>IF($A163&lt;=$OB$45,1,0)</f>
        <v>1</v>
      </c>
    </row>
    <row r="164">
      <c r="A164" t="n">
        <v>81</v>
      </c>
      <c r="B164">
        <f>IF($B$31&lt;=$B$32,IF($A164&lt;=$B$7,1,2),IF($A164&lt;=RUNG_BEDS_2,2,1))</f>
        <v>1</v>
      </c>
      <c r="C164" s="5">
        <f>MIN(1,MAX(0,$B$26-($A164-1)))</f>
        <v>1</v>
      </c>
      <c r="D164" s="5">
        <f>$B$25*(C164+(1-C164)*$B$16)</f>
        <v>252.05322714681438</v>
      </c>
      <c r="E164" s="13">
        <f>D164*($B$6+ACUTE_MARGIN)</f>
        <v>254573.7594182825</v>
      </c>
      <c r="F164" s="13">
        <f>IF(B164=1,$B$31,$B$32)</f>
        <v>152394.16214437486</v>
      </c>
      <c r="G164" s="13">
        <f>E164-F164</f>
        <v>102179.59727390765</v>
      </c>
      <c r="H164" s="13">
        <f>H163+G164</f>
        <v>8276547.3791865185</v>
      </c>
      <c r="I164">
        <f>IF(H164=MAX($H$83:$H$483),$A164,0)</f>
        <v>0</v>
      </c>
      <c r="J164">
        <f>IF(E164&lt;F164,$A164,B_MAX+1)</f>
        <v>401.0</v>
      </c>
      <c r="K164" s="13">
        <f>IF(B164=1,$B$35,$B$36)</f>
        <v>0</v>
      </c>
      <c r="L164" s="13">
        <f>OCC_DAYS*$B$41*R_NF_2023-D164*MCD_SHARE_FREED*R_WAIT_2023</f>
        <v>37367.159242427646</v>
      </c>
      <c r="M164">
        <f>IF($A164&lt;=$B$45,1,0)</f>
        <v>1</v>
      </c>
      <c r="AB164">
        <f>IF($AB$31&lt;=$AB$32,IF($A164&lt;=$AB$7,1,2),IF($A164&lt;=RUNG_BEDS_2,2,1))</f>
        <v>1</v>
      </c>
      <c r="AC164" s="5">
        <f>MIN(1,MAX(0,$AB$26-($A164-1)))</f>
        <v>1</v>
      </c>
      <c r="AD164" s="5">
        <f>$AB$25*(AC164+(1-AC164)*$AB$16)</f>
        <v>252.05322714681438</v>
      </c>
      <c r="AE164" s="13">
        <f>AD164*($AB$6+ACUTE_MARGIN)</f>
        <v>138629.2749307479</v>
      </c>
      <c r="AF164" s="13">
        <f>IF(AB164=1,$AB$31,$AB$32)</f>
        <v>152394.16214437486</v>
      </c>
      <c r="AG164" s="13">
        <f>AE164-AF164</f>
        <v>-13764.887213626964</v>
      </c>
      <c r="AH164" s="13">
        <f>AH163+AG164</f>
        <v>-1114955.8643037854</v>
      </c>
      <c r="AI164">
        <f>IF(AH164=MAX($AH$83:$AH$483),$A164,0)</f>
        <v>0</v>
      </c>
      <c r="AJ164">
        <f>IF(AE164&lt;AF164,$A164,B_MAX+1)</f>
        <v>81</v>
      </c>
      <c r="AK164" s="13">
        <f>IF(AB164=1,$AB$35,$AB$36)</f>
        <v>0</v>
      </c>
      <c r="AL164" s="13">
        <f>OCC_DAYS*$AB$41*R_NF_2023-AD164*MCD_SHARE_FREED*R_WAIT_2023</f>
        <v>37367.159242427646</v>
      </c>
      <c r="AM164">
        <f>IF($A164&lt;=$AB$45,1,0)</f>
        <v>0</v>
      </c>
      <c r="BB164">
        <f>IF($BB$31&lt;=$BB$32,IF($A164&lt;=$BB$7,1,2),IF($A164&lt;=RUNG_BEDS_2,2,1))</f>
        <v>1</v>
      </c>
      <c r="BC164" s="5">
        <f>MIN(1,MAX(0,$BB$26-($A164-1)))</f>
        <v>1</v>
      </c>
      <c r="BD164" s="5">
        <f>$BB$25*(BC164+(1-BC164)*$BB$16)</f>
        <v>252.05322714681438</v>
      </c>
      <c r="BE164" s="13">
        <f>BD164*($BB$6+ACUTE_MARGIN)</f>
        <v>370518.24390581716</v>
      </c>
      <c r="BF164" s="13">
        <f>IF(BB164=1,$BB$31,$BB$32)</f>
        <v>152394.16214437486</v>
      </c>
      <c r="BG164" s="13">
        <f>BE164-BF164</f>
        <v>218124.0817614423</v>
      </c>
      <c r="BH164" s="13">
        <f>BH163+BG164</f>
        <v>17668050.622676816</v>
      </c>
      <c r="BI164">
        <f>IF(BH164=MAX($BH$83:$BH$483),$A164,0)</f>
        <v>0</v>
      </c>
      <c r="BJ164">
        <f>IF(BE164&lt;BF164,$A164,B_MAX+1)</f>
        <v>401.0</v>
      </c>
      <c r="BK164" s="13">
        <f>IF(BB164=1,$BB$35,$BB$36)</f>
        <v>0</v>
      </c>
      <c r="BL164" s="13">
        <f>OCC_DAYS*$BB$41*R_NF_2023-BD164*MCD_SHARE_FREED*R_WAIT_2023</f>
        <v>37367.159242427646</v>
      </c>
      <c r="BM164">
        <f>IF($A164&lt;=$BB$45,1,0)</f>
        <v>1</v>
      </c>
      <c r="CB164">
        <f>IF($CB$31&lt;=$CB$32,IF($A164&lt;=$CB$7,1,2),IF($A164&lt;=RUNG_BEDS_2,2,1))</f>
        <v>2</v>
      </c>
      <c r="CC164" s="5">
        <f>MIN(1,MAX(0,$CB$26-($A164-1)))</f>
        <v>1</v>
      </c>
      <c r="CD164" s="5">
        <f>$CB$25*(CC164+(1-CC164)*$CB$16)</f>
        <v>252.05322714681438</v>
      </c>
      <c r="CE164" s="13">
        <f>CD164*($CB$6+ACUTE_MARGIN)</f>
        <v>254573.7594182825</v>
      </c>
      <c r="CF164" s="13">
        <f>IF(CB164=1,$CB$31,$CB$32)</f>
        <v>160718.36940738867</v>
      </c>
      <c r="CG164" s="13">
        <f>CE164-CF164</f>
        <v>93855.39001089384</v>
      </c>
      <c r="CH164" s="13">
        <f>CH163+CG164</f>
        <v>7602286.590882416</v>
      </c>
      <c r="CI164">
        <f>IF(CH164=MAX($CH$83:$CH$483),$A164,0)</f>
        <v>0</v>
      </c>
      <c r="CJ164">
        <f>IF(CE164&lt;CF164,$A164,B_MAX+1)</f>
        <v>401.0</v>
      </c>
      <c r="CK164" s="13">
        <f>IF(CB164=1,$CB$35,$CB$36)</f>
        <v>1560.1194073886782</v>
      </c>
      <c r="CL164" s="13">
        <f>OCC_DAYS*$CB$41*R_NF_2023-CD164*MCD_SHARE_FREED*R_WAIT_2023</f>
        <v>37367.159242427646</v>
      </c>
      <c r="CM164">
        <f>IF($A164&lt;=$CB$45,1,0)</f>
        <v>1</v>
      </c>
      <c r="DB164">
        <f>IF($DB$31&lt;=$DB$32,IF($A164&lt;=$DB$7,1,2),IF($A164&lt;=RUNG_BEDS_2,2,1))</f>
        <v>1</v>
      </c>
      <c r="DC164" s="5">
        <f>MIN(1,MAX(0,$DB$26-($A164-1)))</f>
        <v>1</v>
      </c>
      <c r="DD164" s="5">
        <f>$DB$25*(DC164+(1-DC164)*$DB$16)</f>
        <v>252.05322714681438</v>
      </c>
      <c r="DE164" s="13">
        <f>DD164*($DB$6+ACUTE_MARGIN)</f>
        <v>254573.7594182825</v>
      </c>
      <c r="DF164" s="13">
        <f>IF(DB164=1,$DB$31,$DB$32)</f>
        <v>152394.16214437486</v>
      </c>
      <c r="DG164" s="13">
        <f>DE164-DF164</f>
        <v>102179.59727390765</v>
      </c>
      <c r="DH164" s="13">
        <f>DH163+DG164</f>
        <v>8276547.3791865185</v>
      </c>
      <c r="DI164">
        <f>IF(DH164=MAX($DH$83:$DH$483),$A164,0)</f>
        <v>0</v>
      </c>
      <c r="DJ164">
        <f>IF(DE164&lt;DF164,$A164,B_MAX+1)</f>
        <v>401.0</v>
      </c>
      <c r="DK164" s="13">
        <f>IF(DB164=1,$DB$35,$DB$36)</f>
        <v>0</v>
      </c>
      <c r="DL164" s="13">
        <f>OCC_DAYS*$DB$41*R_NF_2023-DD164*MCD_SHARE_FREED*R_WAIT_2023</f>
        <v>37367.159242427646</v>
      </c>
      <c r="DM164">
        <f>IF($A164&lt;=$DB$45,1,0)</f>
        <v>1</v>
      </c>
      <c r="EB164">
        <f>IF($EB$31&lt;=$EB$32,IF($A164&lt;=$EB$7,1,2),IF($A164&lt;=RUNG_BEDS_2,2,1))</f>
        <v>1</v>
      </c>
      <c r="EC164" s="5">
        <f>MIN(1,MAX(0,$EB$26-($A164-1)))</f>
        <v>1</v>
      </c>
      <c r="ED164" s="5">
        <f>$EB$25*(EC164+(1-EC164)*$EB$16)</f>
        <v>252.05322714681438</v>
      </c>
      <c r="EE164" s="13">
        <f>ED164*($EB$6+ACUTE_MARGIN)</f>
        <v>254573.7594182825</v>
      </c>
      <c r="EF164" s="13">
        <f>IF(EB164=1,$EB$31,$EB$32)</f>
        <v>152394.16214437486</v>
      </c>
      <c r="EG164" s="13">
        <f>EE164-EF164</f>
        <v>102179.59727390765</v>
      </c>
      <c r="EH164" s="13">
        <f>EH163+EG164</f>
        <v>8276547.3791865185</v>
      </c>
      <c r="EI164">
        <f>IF(EH164=MAX($EH$83:$EH$483),$A164,0)</f>
        <v>0</v>
      </c>
      <c r="EJ164">
        <f>IF(EE164&lt;EF164,$A164,B_MAX+1)</f>
        <v>401.0</v>
      </c>
      <c r="EK164" s="13">
        <f>IF(EB164=1,$EB$35,$EB$36)</f>
        <v>0</v>
      </c>
      <c r="EL164" s="13">
        <f>OCC_DAYS*$EB$41*R_NF_2023-ED164*MCD_SHARE_FREED*R_WAIT_2023</f>
        <v>-63953.16263896705</v>
      </c>
      <c r="EM164">
        <f>IF($A164&lt;=$EB$45,1,0)</f>
        <v>1</v>
      </c>
      <c r="FB164">
        <f>IF($FB$31&lt;=$FB$32,IF($A164&lt;=$FB$7,1,2),IF($A164&lt;=RUNG_BEDS_2,2,1))</f>
        <v>1</v>
      </c>
      <c r="FC164" s="5">
        <f>MIN(1,MAX(0,$FB$26-($A164-1)))</f>
        <v>1</v>
      </c>
      <c r="FD164" s="5">
        <f>$FB$25*(FC164+(1-FC164)*$FB$16)</f>
        <v>252.05322714681438</v>
      </c>
      <c r="FE164" s="13">
        <f>FD164*($FB$6+ACUTE_MARGIN)</f>
        <v>254573.7594182825</v>
      </c>
      <c r="FF164" s="13">
        <f>IF(FB164=1,$FB$31,$FB$32)</f>
        <v>156636.04979437485</v>
      </c>
      <c r="FG164" s="13">
        <f>FE164-FF164</f>
        <v>97937.70962390766</v>
      </c>
      <c r="FH164" s="13">
        <f>FH163+FG164</f>
        <v>7932954.479536522</v>
      </c>
      <c r="FI164">
        <f>IF(FH164=MAX($FH$83:$FH$483),$A164,0)</f>
        <v>0</v>
      </c>
      <c r="FJ164">
        <f>IF(FE164&lt;FF164,$A164,B_MAX+1)</f>
        <v>401.0</v>
      </c>
      <c r="FK164" s="13">
        <f>IF(FB164=1,$FB$35,$FB$36)</f>
        <v>0</v>
      </c>
      <c r="FL164" s="13">
        <f>OCC_DAYS*$FB$41*R_NF_2023-FD164*MCD_SHARE_FREED*R_WAIT_2023</f>
        <v>37367.159242427646</v>
      </c>
      <c r="FM164">
        <f>IF($A164&lt;=$FB$45,1,0)</f>
        <v>1</v>
      </c>
      <c r="GB164">
        <f>IF($GB$31&lt;=$GB$32,IF($A164&lt;=$GB$7,1,2),IF($A164&lt;=RUNG_BEDS_2,2,1))</f>
        <v>1</v>
      </c>
      <c r="GC164" s="5">
        <f>MIN(1,MAX(0,$GB$26-($A164-1)))</f>
        <v>1</v>
      </c>
      <c r="GD164" s="5">
        <f>$GB$25*(GC164+(1-GC164)*$GB$16)</f>
        <v>252.05322714681438</v>
      </c>
      <c r="GE164" s="13">
        <f>GD164*($GB$6+ACUTE_MARGIN)</f>
        <v>254573.7594182825</v>
      </c>
      <c r="GF164" s="13">
        <f>IF(GB164=1,$GB$31,$GB$32)</f>
        <v>152394.16214437486</v>
      </c>
      <c r="GG164" s="13">
        <f>GE164-GF164</f>
        <v>102179.59727390765</v>
      </c>
      <c r="GH164" s="13">
        <f>GH163+GG164</f>
        <v>8276547.3791865185</v>
      </c>
      <c r="GI164">
        <f>IF(GH164=MAX($GH$83:$GH$483),$A164,0)</f>
        <v>0</v>
      </c>
      <c r="GJ164">
        <f>IF(GE164&lt;GF164,$A164,B_MAX+1)</f>
        <v>401.0</v>
      </c>
      <c r="GK164" s="13">
        <f>IF(GB164=1,$GB$35,$GB$36)</f>
        <v>0</v>
      </c>
      <c r="GL164" s="13">
        <f>OCC_DAYS*$GB$41*R_NF_2023-GD164*MCD_SHARE_FREED*R_WAIT_2023</f>
        <v>37367.159242427646</v>
      </c>
      <c r="GM164">
        <f>IF($A164&lt;=$GB$45,1,0)</f>
        <v>1</v>
      </c>
      <c r="HB164">
        <f>IF($HB$31&lt;=$HB$32,IF($A164&lt;=$HB$7,1,2),IF($A164&lt;=RUNG_BEDS_2,2,1))</f>
        <v>1</v>
      </c>
      <c r="HC164" s="5">
        <f>MIN(1,MAX(0,$HB$26-($A164-1)))</f>
        <v>1</v>
      </c>
      <c r="HD164" s="5">
        <f>$HB$25*(HC164+(1-HC164)*$HB$16)</f>
        <v>252.05322714681438</v>
      </c>
      <c r="HE164" s="13">
        <f>HD164*($HB$6+ACUTE_MARGIN)</f>
        <v>254573.7594182825</v>
      </c>
      <c r="HF164" s="13">
        <f>IF(HB164=1,$HB$31,$HB$32)</f>
        <v>152456.2970814058</v>
      </c>
      <c r="HG164" s="13">
        <f>HE164-HF164</f>
        <v>102117.46233687672</v>
      </c>
      <c r="HH164" s="13">
        <f>HH163+HG164</f>
        <v>8271514.449287006</v>
      </c>
      <c r="HI164">
        <f>IF(HH164=MAX($HH$83:$HH$483),$A164,0)</f>
        <v>0</v>
      </c>
      <c r="HJ164">
        <f>IF(HE164&lt;HF164,$A164,B_MAX+1)</f>
        <v>401.0</v>
      </c>
      <c r="HK164" s="13">
        <f>IF(HB164=1,$HB$35,$HB$36)</f>
        <v>0</v>
      </c>
      <c r="HL164" s="13">
        <f>OCC_DAYS*$HB$41*R_NF_2023-HD164*MCD_SHARE_FREED*R_WAIT_2023</f>
        <v>37367.159242427646</v>
      </c>
      <c r="HM164">
        <f>IF($A164&lt;=$HB$45,1,0)</f>
        <v>1</v>
      </c>
      <c r="IB164">
        <f>IF($IB$31&lt;=$IB$32,IF($A164&lt;=$IB$7,1,2),IF($A164&lt;=RUNG_BEDS_2,2,1))</f>
        <v>1</v>
      </c>
      <c r="IC164" s="5">
        <f>MIN(1,MAX(0,$IB$26-($A164-1)))</f>
        <v>1</v>
      </c>
      <c r="ID164" s="5">
        <f>$IB$25*(IC164+(1-IC164)*$IB$16)</f>
        <v>252.05322714681438</v>
      </c>
      <c r="IE164" s="13">
        <f>ID164*($IB$6+ACUTE_MARGIN)</f>
        <v>254573.7594182825</v>
      </c>
      <c r="IF164" s="13">
        <f>IF(IB164=1,$IB$31,$IB$32)</f>
        <v>152734.9994534971</v>
      </c>
      <c r="IG164" s="13">
        <f>IE164-IF164</f>
        <v>101838.75996478542</v>
      </c>
      <c r="IH164" s="13">
        <f>IH163+IG164</f>
        <v>8248939.557147627</v>
      </c>
      <c r="II164">
        <f>IF(IH164=MAX($IH$83:$IH$483),$A164,0)</f>
        <v>0</v>
      </c>
      <c r="IJ164">
        <f>IF(IE164&lt;IF164,$A164,B_MAX+1)</f>
        <v>401.0</v>
      </c>
      <c r="IK164" s="13">
        <f>IF(IB164=1,$IB$35,$IB$36)</f>
        <v>0</v>
      </c>
      <c r="IL164" s="13">
        <f>OCC_DAYS*$IB$41*R_NF_2023-ID164*MCD_SHARE_FREED*R_WAIT_2023</f>
        <v>37367.159242427646</v>
      </c>
      <c r="IM164">
        <f>IF($A164&lt;=$IB$45,1,0)</f>
        <v>1</v>
      </c>
      <c r="JB164">
        <f>IF($JB$31&lt;=$JB$32,IF($A164&lt;=$JB$7,1,2),IF($A164&lt;=RUNG_BEDS_2,2,1))</f>
        <v>1</v>
      </c>
      <c r="JC164" s="5">
        <f>MIN(1,MAX(0,$JB$26-($A164-1)))</f>
        <v>1</v>
      </c>
      <c r="JD164" s="5">
        <f>$JB$25*(JC164+(1-JC164)*$JB$16)</f>
        <v>252.05322714681438</v>
      </c>
      <c r="JE164" s="13">
        <f>JD164*($JB$6+ACUTE_MARGIN)</f>
        <v>254573.7594182825</v>
      </c>
      <c r="JF164" s="13">
        <f>IF(JB164=1,$JB$31,$JB$32)</f>
        <v>152394.16214437486</v>
      </c>
      <c r="JG164" s="13">
        <f>JE164-JF164</f>
        <v>102179.59727390765</v>
      </c>
      <c r="JH164" s="13">
        <f>JH163+JG164</f>
        <v>8276547.3791865185</v>
      </c>
      <c r="JI164">
        <f>IF(JH164=MAX($JH$83:$JH$483),$A164,0)</f>
        <v>0</v>
      </c>
      <c r="JJ164">
        <f>IF(JE164&lt;JF164,$A164,B_MAX+1)</f>
        <v>401.0</v>
      </c>
      <c r="JK164" s="13">
        <f>IF(JB164=1,$JB$35,$JB$36)</f>
        <v>0</v>
      </c>
      <c r="JL164" s="13">
        <f>OCC_DAYS*$JB$41*R_NF_2023-JD164*MCD_SHARE_FREED*R_WAIT_2023</f>
        <v>37367.159242427646</v>
      </c>
      <c r="JM164">
        <f>IF($A164&lt;=$JB$45,1,0)</f>
        <v>1</v>
      </c>
      <c r="KB164">
        <f>IF($KB$31&lt;=$KB$32,IF($A164&lt;=$KB$7,1,2),IF($A164&lt;=RUNG_BEDS_2,2,1))</f>
        <v>1</v>
      </c>
      <c r="KC164" s="5">
        <f>MIN(1,MAX(0,$KB$26-($A164-1)))</f>
        <v>1</v>
      </c>
      <c r="KD164" s="5">
        <f>$KB$25*(KC164+(1-KC164)*$KB$16)</f>
        <v>126.02661357340719</v>
      </c>
      <c r="KE164" s="13">
        <f>KD164*($KB$6+ACUTE_MARGIN)</f>
        <v>127286.87970914126</v>
      </c>
      <c r="KF164" s="13">
        <f>IF(KB164=1,$KB$31,$KB$32)</f>
        <v>152394.16214437486</v>
      </c>
      <c r="KG164" s="13">
        <f>KE164-KF164</f>
        <v>-25107.282435233603</v>
      </c>
      <c r="KH164" s="13">
        <f>KH163+KG164</f>
        <v>-2033689.8772539254</v>
      </c>
      <c r="KI164">
        <f>IF(KH164=MAX($KH$83:$KH$483),$A164,0)</f>
        <v>0</v>
      </c>
      <c r="KJ164">
        <f>IF(KE164&lt;KF164,$A164,B_MAX+1)</f>
        <v>81</v>
      </c>
      <c r="KK164" s="13">
        <f>IF(KB164=1,$KB$35,$KB$36)</f>
        <v>0</v>
      </c>
      <c r="KL164" s="13">
        <f>OCC_DAYS*$KB$41*R_NF_2023-KD164*MCD_SHARE_FREED*R_WAIT_2023</f>
        <v>94673.82103225985</v>
      </c>
      <c r="KM164">
        <f>IF($A164&lt;=$KB$45,1,0)</f>
        <v>0</v>
      </c>
      <c r="LB164">
        <f>IF($LB$31&lt;=$LB$32,IF($A164&lt;=$LB$7,1,2),IF($A164&lt;=RUNG_BEDS_2,2,1))</f>
        <v>1</v>
      </c>
      <c r="LC164" s="5">
        <f>MIN(1,MAX(0,$LB$26-($A164-1)))</f>
        <v>1</v>
      </c>
      <c r="LD164" s="5">
        <f>$LB$25*(LC164+(1-LC164)*$LB$16)</f>
        <v>84.01774238227146</v>
      </c>
      <c r="LE164" s="13">
        <f>LD164*($LB$6+ACUTE_MARGIN)</f>
        <v>84857.91980609419</v>
      </c>
      <c r="LF164" s="13">
        <f>IF(LB164=1,$LB$31,$LB$32)</f>
        <v>152394.16214437486</v>
      </c>
      <c r="LG164" s="13">
        <f>LE164-LF164</f>
        <v>-67536.24233828067</v>
      </c>
      <c r="LH164" s="13">
        <f>LH163+LG164</f>
        <v>-5470435.629400742</v>
      </c>
      <c r="LI164">
        <f>IF(LH164=MAX($LH$83:$LH$483),$A164,0)</f>
        <v>0</v>
      </c>
      <c r="LJ164">
        <f>IF(LE164&lt;LF164,$A164,B_MAX+1)</f>
        <v>81</v>
      </c>
      <c r="LK164" s="13">
        <f>IF(LB164=1,$LB$35,$LB$36)</f>
        <v>0</v>
      </c>
      <c r="LL164" s="13">
        <f>OCC_DAYS*$LB$41*R_NF_2023-LD164*MCD_SHARE_FREED*R_WAIT_2023</f>
        <v>113776.04162887059</v>
      </c>
      <c r="LM164">
        <f>IF($A164&lt;=$LB$45,1,0)</f>
        <v>0</v>
      </c>
      <c r="MB164">
        <f>IF($MB$31&lt;=$MB$32,IF($A164&lt;=$MB$7,1,2),IF($A164&lt;=RUNG_BEDS_2,2,1))</f>
        <v>1</v>
      </c>
      <c r="MC164" s="5">
        <f>MIN(1,MAX(0,$MB$26-($A164-1)))</f>
        <v>1</v>
      </c>
      <c r="MD164" s="5">
        <f>$MB$25*(MC164+(1-MC164)*$MB$16)</f>
        <v>213.44610951008647</v>
      </c>
      <c r="ME164" s="13">
        <f>MD164*($MB$6+ACUTE_MARGIN)</f>
        <v>215580.57060518733</v>
      </c>
      <c r="MF164" s="13">
        <f>IF(MB164=1,$MB$31,$MB$32)</f>
        <v>152394.16214437486</v>
      </c>
      <c r="MG164" s="13">
        <f>ME164-MF164</f>
        <v>63186.40846081247</v>
      </c>
      <c r="MH164" s="13">
        <f>MH163+MG164</f>
        <v>5118099.085325817</v>
      </c>
      <c r="MI164">
        <f>IF(MH164=MAX($MH$83:$MH$483),$A164,0)</f>
        <v>0</v>
      </c>
      <c r="MJ164">
        <f>IF(ME164&lt;MF164,$A164,B_MAX+1)</f>
        <v>401.0</v>
      </c>
      <c r="MK164" s="13">
        <f>IF(MB164=1,$MB$35,$MB$36)</f>
        <v>0</v>
      </c>
      <c r="ML164" s="13">
        <f>OCC_DAYS*$MB$41*R_NF_2023-MD164*MCD_SHARE_FREED*R_WAIT_2023</f>
        <v>54922.538779778624</v>
      </c>
      <c r="MM164">
        <f>IF($A164&lt;=$MB$45,1,0)</f>
        <v>1</v>
      </c>
      <c r="NB164">
        <f>IF($NB$31&lt;=$NB$32,IF($A164&lt;=$NB$7,1,2),IF($A164&lt;=RUNG_BEDS_2,2,1))</f>
        <v>1</v>
      </c>
      <c r="NC164" s="5">
        <f>MIN(1,MAX(0,$NB$26-($A164-1)))</f>
        <v>1</v>
      </c>
      <c r="ND164" s="5">
        <f>$NB$25*(NC164+(1-NC164)*$NB$16)</f>
        <v>252.05322714681438</v>
      </c>
      <c r="NE164" s="13">
        <f>ND164*($NB$6+ACUTE_MARGIN)</f>
        <v>254573.7594182825</v>
      </c>
      <c r="NF164" s="13">
        <f>IF(NB164=1,$NB$31,$NB$32)</f>
        <v>152394.16214437486</v>
      </c>
      <c r="NG164" s="13">
        <f>NE164-NF164</f>
        <v>102179.59727390765</v>
      </c>
      <c r="NH164" s="13">
        <f>NH163+NG164</f>
        <v>8276547.3791865185</v>
      </c>
      <c r="NI164">
        <f>IF(NH164=MAX($NH$83:$NH$483),$A164,0)</f>
        <v>0</v>
      </c>
      <c r="NJ164">
        <f>IF(NE164&lt;NF164,$A164,B_MAX+1)</f>
        <v>401.0</v>
      </c>
      <c r="NK164" s="13">
        <f>IF(NB164=1,$NB$35,$NB$36)</f>
        <v>0</v>
      </c>
      <c r="NL164" s="13">
        <f>OCC_DAYS*$NB$41*R_NF_2023-ND164*MCD_SHARE_FREED*R_WAIT_2023</f>
        <v>37367.159242427646</v>
      </c>
      <c r="NM164">
        <f>IF($A164&lt;=$NB$45,1,0)</f>
        <v>1</v>
      </c>
      <c r="OB164">
        <f>IF($OB$31&lt;=$OB$32,IF($A164&lt;=$OB$7,1,2),IF($A164&lt;=RUNG_BEDS_2,2,1))</f>
        <v>1</v>
      </c>
      <c r="OC164" s="5">
        <f>MIN(1,MAX(0,$OB$26-($A164-1)))</f>
        <v>1</v>
      </c>
      <c r="OD164" s="5">
        <f>$OB$25*(OC164+(1-OC164)*$OB$16)</f>
        <v>252.05322714681438</v>
      </c>
      <c r="OE164" s="13">
        <f>OD164*($OB$6+ACUTE_MARGIN)</f>
        <v>254573.7594182825</v>
      </c>
      <c r="OF164" s="13">
        <f>IF(OB164=1,$OB$31,$OB$32)</f>
        <v>152394.16214437486</v>
      </c>
      <c r="OG164" s="13">
        <f>OE164-OF164</f>
        <v>102179.59727390765</v>
      </c>
      <c r="OH164" s="13">
        <f>OH163+OG164</f>
        <v>8276547.3791865185</v>
      </c>
      <c r="OI164">
        <f>IF(OH164=MAX($OH$83:$OH$483),$A164,0)</f>
        <v>0</v>
      </c>
      <c r="OJ164">
        <f>IF(OE164&lt;OF164,$A164,B_MAX+1)</f>
        <v>401.0</v>
      </c>
      <c r="OK164" s="13">
        <f>IF(OB164=1,$OB$35,$OB$36)</f>
        <v>0</v>
      </c>
      <c r="OL164" s="13">
        <f>OCC_DAYS*$OB$41*R_NF_2023-OD164*MCD_SHARE_FREED*R_WAIT_2023</f>
        <v>37367.159242427646</v>
      </c>
      <c r="OM164">
        <f>IF($A164&lt;=$OB$45,1,0)</f>
        <v>1</v>
      </c>
    </row>
    <row r="165">
      <c r="A165" t="n">
        <v>82</v>
      </c>
      <c r="B165">
        <f>IF($B$31&lt;=$B$32,IF($A165&lt;=$B$7,1,2),IF($A165&lt;=RUNG_BEDS_2,2,1))</f>
        <v>1</v>
      </c>
      <c r="C165" s="5">
        <f>MIN(1,MAX(0,$B$26-($A165-1)))</f>
        <v>1</v>
      </c>
      <c r="D165" s="5">
        <f>$B$25*(C165+(1-C165)*$B$16)</f>
        <v>252.05322714681438</v>
      </c>
      <c r="E165" s="13">
        <f>D165*($B$6+ACUTE_MARGIN)</f>
        <v>254573.7594182825</v>
      </c>
      <c r="F165" s="13">
        <f>IF(B165=1,$B$31,$B$32)</f>
        <v>152394.16214437486</v>
      </c>
      <c r="G165" s="13">
        <f>E165-F165</f>
        <v>102179.59727390765</v>
      </c>
      <c r="H165" s="13">
        <f>H164+G165</f>
        <v>8378726.976460426</v>
      </c>
      <c r="I165">
        <f>IF(H165=MAX($H$83:$H$483),$A165,0)</f>
        <v>0</v>
      </c>
      <c r="J165">
        <f>IF(E165&lt;F165,$A165,B_MAX+1)</f>
        <v>401.0</v>
      </c>
      <c r="K165" s="13">
        <f>IF(B165=1,$B$35,$B$36)</f>
        <v>0</v>
      </c>
      <c r="L165" s="13">
        <f>OCC_DAYS*$B$41*R_NF_2023-D165*MCD_SHARE_FREED*R_WAIT_2023</f>
        <v>37367.159242427646</v>
      </c>
      <c r="M165">
        <f>IF($A165&lt;=$B$45,1,0)</f>
        <v>1</v>
      </c>
      <c r="AB165">
        <f>IF($AB$31&lt;=$AB$32,IF($A165&lt;=$AB$7,1,2),IF($A165&lt;=RUNG_BEDS_2,2,1))</f>
        <v>1</v>
      </c>
      <c r="AC165" s="5">
        <f>MIN(1,MAX(0,$AB$26-($A165-1)))</f>
        <v>1</v>
      </c>
      <c r="AD165" s="5">
        <f>$AB$25*(AC165+(1-AC165)*$AB$16)</f>
        <v>252.05322714681438</v>
      </c>
      <c r="AE165" s="13">
        <f>AD165*($AB$6+ACUTE_MARGIN)</f>
        <v>138629.2749307479</v>
      </c>
      <c r="AF165" s="13">
        <f>IF(AB165=1,$AB$31,$AB$32)</f>
        <v>152394.16214437486</v>
      </c>
      <c r="AG165" s="13">
        <f>AE165-AF165</f>
        <v>-13764.887213626964</v>
      </c>
      <c r="AH165" s="13">
        <f>AH164+AG165</f>
        <v>-1128720.7515174123</v>
      </c>
      <c r="AI165">
        <f>IF(AH165=MAX($AH$83:$AH$483),$A165,0)</f>
        <v>0</v>
      </c>
      <c r="AJ165">
        <f>IF(AE165&lt;AF165,$A165,B_MAX+1)</f>
        <v>82</v>
      </c>
      <c r="AK165" s="13">
        <f>IF(AB165=1,$AB$35,$AB$36)</f>
        <v>0</v>
      </c>
      <c r="AL165" s="13">
        <f>OCC_DAYS*$AB$41*R_NF_2023-AD165*MCD_SHARE_FREED*R_WAIT_2023</f>
        <v>37367.159242427646</v>
      </c>
      <c r="AM165">
        <f>IF($A165&lt;=$AB$45,1,0)</f>
        <v>0</v>
      </c>
      <c r="BB165">
        <f>IF($BB$31&lt;=$BB$32,IF($A165&lt;=$BB$7,1,2),IF($A165&lt;=RUNG_BEDS_2,2,1))</f>
        <v>1</v>
      </c>
      <c r="BC165" s="5">
        <f>MIN(1,MAX(0,$BB$26-($A165-1)))</f>
        <v>1</v>
      </c>
      <c r="BD165" s="5">
        <f>$BB$25*(BC165+(1-BC165)*$BB$16)</f>
        <v>252.05322714681438</v>
      </c>
      <c r="BE165" s="13">
        <f>BD165*($BB$6+ACUTE_MARGIN)</f>
        <v>370518.24390581716</v>
      </c>
      <c r="BF165" s="13">
        <f>IF(BB165=1,$BB$31,$BB$32)</f>
        <v>152394.16214437486</v>
      </c>
      <c r="BG165" s="13">
        <f>BE165-BF165</f>
        <v>218124.0817614423</v>
      </c>
      <c r="BH165" s="13">
        <f>BH164+BG165</f>
        <v>17886174.704438258</v>
      </c>
      <c r="BI165">
        <f>IF(BH165=MAX($BH$83:$BH$483),$A165,0)</f>
        <v>0</v>
      </c>
      <c r="BJ165">
        <f>IF(BE165&lt;BF165,$A165,B_MAX+1)</f>
        <v>401.0</v>
      </c>
      <c r="BK165" s="13">
        <f>IF(BB165=1,$BB$35,$BB$36)</f>
        <v>0</v>
      </c>
      <c r="BL165" s="13">
        <f>OCC_DAYS*$BB$41*R_NF_2023-BD165*MCD_SHARE_FREED*R_WAIT_2023</f>
        <v>37367.159242427646</v>
      </c>
      <c r="BM165">
        <f>IF($A165&lt;=$BB$45,1,0)</f>
        <v>1</v>
      </c>
      <c r="CB165">
        <f>IF($CB$31&lt;=$CB$32,IF($A165&lt;=$CB$7,1,2),IF($A165&lt;=RUNG_BEDS_2,2,1))</f>
        <v>2</v>
      </c>
      <c r="CC165" s="5">
        <f>MIN(1,MAX(0,$CB$26-($A165-1)))</f>
        <v>1</v>
      </c>
      <c r="CD165" s="5">
        <f>$CB$25*(CC165+(1-CC165)*$CB$16)</f>
        <v>252.05322714681438</v>
      </c>
      <c r="CE165" s="13">
        <f>CD165*($CB$6+ACUTE_MARGIN)</f>
        <v>254573.7594182825</v>
      </c>
      <c r="CF165" s="13">
        <f>IF(CB165=1,$CB$31,$CB$32)</f>
        <v>160718.36940738867</v>
      </c>
      <c r="CG165" s="13">
        <f>CE165-CF165</f>
        <v>93855.39001089384</v>
      </c>
      <c r="CH165" s="13">
        <f>CH164+CG165</f>
        <v>7696141.98089331</v>
      </c>
      <c r="CI165">
        <f>IF(CH165=MAX($CH$83:$CH$483),$A165,0)</f>
        <v>0</v>
      </c>
      <c r="CJ165">
        <f>IF(CE165&lt;CF165,$A165,B_MAX+1)</f>
        <v>401.0</v>
      </c>
      <c r="CK165" s="13">
        <f>IF(CB165=1,$CB$35,$CB$36)</f>
        <v>1560.1194073886782</v>
      </c>
      <c r="CL165" s="13">
        <f>OCC_DAYS*$CB$41*R_NF_2023-CD165*MCD_SHARE_FREED*R_WAIT_2023</f>
        <v>37367.159242427646</v>
      </c>
      <c r="CM165">
        <f>IF($A165&lt;=$CB$45,1,0)</f>
        <v>1</v>
      </c>
      <c r="DB165">
        <f>IF($DB$31&lt;=$DB$32,IF($A165&lt;=$DB$7,1,2),IF($A165&lt;=RUNG_BEDS_2,2,1))</f>
        <v>1</v>
      </c>
      <c r="DC165" s="5">
        <f>MIN(1,MAX(0,$DB$26-($A165-1)))</f>
        <v>1</v>
      </c>
      <c r="DD165" s="5">
        <f>$DB$25*(DC165+(1-DC165)*$DB$16)</f>
        <v>252.05322714681438</v>
      </c>
      <c r="DE165" s="13">
        <f>DD165*($DB$6+ACUTE_MARGIN)</f>
        <v>254573.7594182825</v>
      </c>
      <c r="DF165" s="13">
        <f>IF(DB165=1,$DB$31,$DB$32)</f>
        <v>152394.16214437486</v>
      </c>
      <c r="DG165" s="13">
        <f>DE165-DF165</f>
        <v>102179.59727390765</v>
      </c>
      <c r="DH165" s="13">
        <f>DH164+DG165</f>
        <v>8378726.976460426</v>
      </c>
      <c r="DI165">
        <f>IF(DH165=MAX($DH$83:$DH$483),$A165,0)</f>
        <v>0</v>
      </c>
      <c r="DJ165">
        <f>IF(DE165&lt;DF165,$A165,B_MAX+1)</f>
        <v>401.0</v>
      </c>
      <c r="DK165" s="13">
        <f>IF(DB165=1,$DB$35,$DB$36)</f>
        <v>0</v>
      </c>
      <c r="DL165" s="13">
        <f>OCC_DAYS*$DB$41*R_NF_2023-DD165*MCD_SHARE_FREED*R_WAIT_2023</f>
        <v>37367.159242427646</v>
      </c>
      <c r="DM165">
        <f>IF($A165&lt;=$DB$45,1,0)</f>
        <v>1</v>
      </c>
      <c r="EB165">
        <f>IF($EB$31&lt;=$EB$32,IF($A165&lt;=$EB$7,1,2),IF($A165&lt;=RUNG_BEDS_2,2,1))</f>
        <v>1</v>
      </c>
      <c r="EC165" s="5">
        <f>MIN(1,MAX(0,$EB$26-($A165-1)))</f>
        <v>1</v>
      </c>
      <c r="ED165" s="5">
        <f>$EB$25*(EC165+(1-EC165)*$EB$16)</f>
        <v>252.05322714681438</v>
      </c>
      <c r="EE165" s="13">
        <f>ED165*($EB$6+ACUTE_MARGIN)</f>
        <v>254573.7594182825</v>
      </c>
      <c r="EF165" s="13">
        <f>IF(EB165=1,$EB$31,$EB$32)</f>
        <v>152394.16214437486</v>
      </c>
      <c r="EG165" s="13">
        <f>EE165-EF165</f>
        <v>102179.59727390765</v>
      </c>
      <c r="EH165" s="13">
        <f>EH164+EG165</f>
        <v>8378726.976460426</v>
      </c>
      <c r="EI165">
        <f>IF(EH165=MAX($EH$83:$EH$483),$A165,0)</f>
        <v>0</v>
      </c>
      <c r="EJ165">
        <f>IF(EE165&lt;EF165,$A165,B_MAX+1)</f>
        <v>401.0</v>
      </c>
      <c r="EK165" s="13">
        <f>IF(EB165=1,$EB$35,$EB$36)</f>
        <v>0</v>
      </c>
      <c r="EL165" s="13">
        <f>OCC_DAYS*$EB$41*R_NF_2023-ED165*MCD_SHARE_FREED*R_WAIT_2023</f>
        <v>-63953.16263896705</v>
      </c>
      <c r="EM165">
        <f>IF($A165&lt;=$EB$45,1,0)</f>
        <v>1</v>
      </c>
      <c r="FB165">
        <f>IF($FB$31&lt;=$FB$32,IF($A165&lt;=$FB$7,1,2),IF($A165&lt;=RUNG_BEDS_2,2,1))</f>
        <v>1</v>
      </c>
      <c r="FC165" s="5">
        <f>MIN(1,MAX(0,$FB$26-($A165-1)))</f>
        <v>1</v>
      </c>
      <c r="FD165" s="5">
        <f>$FB$25*(FC165+(1-FC165)*$FB$16)</f>
        <v>252.05322714681438</v>
      </c>
      <c r="FE165" s="13">
        <f>FD165*($FB$6+ACUTE_MARGIN)</f>
        <v>254573.7594182825</v>
      </c>
      <c r="FF165" s="13">
        <f>IF(FB165=1,$FB$31,$FB$32)</f>
        <v>156636.04979437485</v>
      </c>
      <c r="FG165" s="13">
        <f>FE165-FF165</f>
        <v>97937.70962390766</v>
      </c>
      <c r="FH165" s="13">
        <f>FH164+FG165</f>
        <v>8030892.18916043</v>
      </c>
      <c r="FI165">
        <f>IF(FH165=MAX($FH$83:$FH$483),$A165,0)</f>
        <v>0</v>
      </c>
      <c r="FJ165">
        <f>IF(FE165&lt;FF165,$A165,B_MAX+1)</f>
        <v>401.0</v>
      </c>
      <c r="FK165" s="13">
        <f>IF(FB165=1,$FB$35,$FB$36)</f>
        <v>0</v>
      </c>
      <c r="FL165" s="13">
        <f>OCC_DAYS*$FB$41*R_NF_2023-FD165*MCD_SHARE_FREED*R_WAIT_2023</f>
        <v>37367.159242427646</v>
      </c>
      <c r="FM165">
        <f>IF($A165&lt;=$FB$45,1,0)</f>
        <v>1</v>
      </c>
      <c r="GB165">
        <f>IF($GB$31&lt;=$GB$32,IF($A165&lt;=$GB$7,1,2),IF($A165&lt;=RUNG_BEDS_2,2,1))</f>
        <v>1</v>
      </c>
      <c r="GC165" s="5">
        <f>MIN(1,MAX(0,$GB$26-($A165-1)))</f>
        <v>1</v>
      </c>
      <c r="GD165" s="5">
        <f>$GB$25*(GC165+(1-GC165)*$GB$16)</f>
        <v>252.05322714681438</v>
      </c>
      <c r="GE165" s="13">
        <f>GD165*($GB$6+ACUTE_MARGIN)</f>
        <v>254573.7594182825</v>
      </c>
      <c r="GF165" s="13">
        <f>IF(GB165=1,$GB$31,$GB$32)</f>
        <v>152394.16214437486</v>
      </c>
      <c r="GG165" s="13">
        <f>GE165-GF165</f>
        <v>102179.59727390765</v>
      </c>
      <c r="GH165" s="13">
        <f>GH164+GG165</f>
        <v>8378726.976460426</v>
      </c>
      <c r="GI165">
        <f>IF(GH165=MAX($GH$83:$GH$483),$A165,0)</f>
        <v>0</v>
      </c>
      <c r="GJ165">
        <f>IF(GE165&lt;GF165,$A165,B_MAX+1)</f>
        <v>401.0</v>
      </c>
      <c r="GK165" s="13">
        <f>IF(GB165=1,$GB$35,$GB$36)</f>
        <v>0</v>
      </c>
      <c r="GL165" s="13">
        <f>OCC_DAYS*$GB$41*R_NF_2023-GD165*MCD_SHARE_FREED*R_WAIT_2023</f>
        <v>37367.159242427646</v>
      </c>
      <c r="GM165">
        <f>IF($A165&lt;=$GB$45,1,0)</f>
        <v>1</v>
      </c>
      <c r="HB165">
        <f>IF($HB$31&lt;=$HB$32,IF($A165&lt;=$HB$7,1,2),IF($A165&lt;=RUNG_BEDS_2,2,1))</f>
        <v>1</v>
      </c>
      <c r="HC165" s="5">
        <f>MIN(1,MAX(0,$HB$26-($A165-1)))</f>
        <v>1</v>
      </c>
      <c r="HD165" s="5">
        <f>$HB$25*(HC165+(1-HC165)*$HB$16)</f>
        <v>252.05322714681438</v>
      </c>
      <c r="HE165" s="13">
        <f>HD165*($HB$6+ACUTE_MARGIN)</f>
        <v>254573.7594182825</v>
      </c>
      <c r="HF165" s="13">
        <f>IF(HB165=1,$HB$31,$HB$32)</f>
        <v>152456.2970814058</v>
      </c>
      <c r="HG165" s="13">
        <f>HE165-HF165</f>
        <v>102117.46233687672</v>
      </c>
      <c r="HH165" s="13">
        <f>HH164+HG165</f>
        <v>8373631.911623882</v>
      </c>
      <c r="HI165">
        <f>IF(HH165=MAX($HH$83:$HH$483),$A165,0)</f>
        <v>0</v>
      </c>
      <c r="HJ165">
        <f>IF(HE165&lt;HF165,$A165,B_MAX+1)</f>
        <v>401.0</v>
      </c>
      <c r="HK165" s="13">
        <f>IF(HB165=1,$HB$35,$HB$36)</f>
        <v>0</v>
      </c>
      <c r="HL165" s="13">
        <f>OCC_DAYS*$HB$41*R_NF_2023-HD165*MCD_SHARE_FREED*R_WAIT_2023</f>
        <v>37367.159242427646</v>
      </c>
      <c r="HM165">
        <f>IF($A165&lt;=$HB$45,1,0)</f>
        <v>1</v>
      </c>
      <c r="IB165">
        <f>IF($IB$31&lt;=$IB$32,IF($A165&lt;=$IB$7,1,2),IF($A165&lt;=RUNG_BEDS_2,2,1))</f>
        <v>1</v>
      </c>
      <c r="IC165" s="5">
        <f>MIN(1,MAX(0,$IB$26-($A165-1)))</f>
        <v>1</v>
      </c>
      <c r="ID165" s="5">
        <f>$IB$25*(IC165+(1-IC165)*$IB$16)</f>
        <v>252.05322714681438</v>
      </c>
      <c r="IE165" s="13">
        <f>ID165*($IB$6+ACUTE_MARGIN)</f>
        <v>254573.7594182825</v>
      </c>
      <c r="IF165" s="13">
        <f>IF(IB165=1,$IB$31,$IB$32)</f>
        <v>152734.9994534971</v>
      </c>
      <c r="IG165" s="13">
        <f>IE165-IF165</f>
        <v>101838.75996478542</v>
      </c>
      <c r="IH165" s="13">
        <f>IH164+IG165</f>
        <v>8350778.317112412</v>
      </c>
      <c r="II165">
        <f>IF(IH165=MAX($IH$83:$IH$483),$A165,0)</f>
        <v>0</v>
      </c>
      <c r="IJ165">
        <f>IF(IE165&lt;IF165,$A165,B_MAX+1)</f>
        <v>401.0</v>
      </c>
      <c r="IK165" s="13">
        <f>IF(IB165=1,$IB$35,$IB$36)</f>
        <v>0</v>
      </c>
      <c r="IL165" s="13">
        <f>OCC_DAYS*$IB$41*R_NF_2023-ID165*MCD_SHARE_FREED*R_WAIT_2023</f>
        <v>37367.159242427646</v>
      </c>
      <c r="IM165">
        <f>IF($A165&lt;=$IB$45,1,0)</f>
        <v>1</v>
      </c>
      <c r="JB165">
        <f>IF($JB$31&lt;=$JB$32,IF($A165&lt;=$JB$7,1,2),IF($A165&lt;=RUNG_BEDS_2,2,1))</f>
        <v>1</v>
      </c>
      <c r="JC165" s="5">
        <f>MIN(1,MAX(0,$JB$26-($A165-1)))</f>
        <v>1</v>
      </c>
      <c r="JD165" s="5">
        <f>$JB$25*(JC165+(1-JC165)*$JB$16)</f>
        <v>252.05322714681438</v>
      </c>
      <c r="JE165" s="13">
        <f>JD165*($JB$6+ACUTE_MARGIN)</f>
        <v>254573.7594182825</v>
      </c>
      <c r="JF165" s="13">
        <f>IF(JB165=1,$JB$31,$JB$32)</f>
        <v>152394.16214437486</v>
      </c>
      <c r="JG165" s="13">
        <f>JE165-JF165</f>
        <v>102179.59727390765</v>
      </c>
      <c r="JH165" s="13">
        <f>JH164+JG165</f>
        <v>8378726.976460426</v>
      </c>
      <c r="JI165">
        <f>IF(JH165=MAX($JH$83:$JH$483),$A165,0)</f>
        <v>0</v>
      </c>
      <c r="JJ165">
        <f>IF(JE165&lt;JF165,$A165,B_MAX+1)</f>
        <v>401.0</v>
      </c>
      <c r="JK165" s="13">
        <f>IF(JB165=1,$JB$35,$JB$36)</f>
        <v>0</v>
      </c>
      <c r="JL165" s="13">
        <f>OCC_DAYS*$JB$41*R_NF_2023-JD165*MCD_SHARE_FREED*R_WAIT_2023</f>
        <v>37367.159242427646</v>
      </c>
      <c r="JM165">
        <f>IF($A165&lt;=$JB$45,1,0)</f>
        <v>1</v>
      </c>
      <c r="KB165">
        <f>IF($KB$31&lt;=$KB$32,IF($A165&lt;=$KB$7,1,2),IF($A165&lt;=RUNG_BEDS_2,2,1))</f>
        <v>1</v>
      </c>
      <c r="KC165" s="5">
        <f>MIN(1,MAX(0,$KB$26-($A165-1)))</f>
        <v>1</v>
      </c>
      <c r="KD165" s="5">
        <f>$KB$25*(KC165+(1-KC165)*$KB$16)</f>
        <v>126.02661357340719</v>
      </c>
      <c r="KE165" s="13">
        <f>KD165*($KB$6+ACUTE_MARGIN)</f>
        <v>127286.87970914126</v>
      </c>
      <c r="KF165" s="13">
        <f>IF(KB165=1,$KB$31,$KB$32)</f>
        <v>152394.16214437486</v>
      </c>
      <c r="KG165" s="13">
        <f>KE165-KF165</f>
        <v>-25107.282435233603</v>
      </c>
      <c r="KH165" s="13">
        <f>KH164+KG165</f>
        <v>-2058797.1596891591</v>
      </c>
      <c r="KI165">
        <f>IF(KH165=MAX($KH$83:$KH$483),$A165,0)</f>
        <v>0</v>
      </c>
      <c r="KJ165">
        <f>IF(KE165&lt;KF165,$A165,B_MAX+1)</f>
        <v>82</v>
      </c>
      <c r="KK165" s="13">
        <f>IF(KB165=1,$KB$35,$KB$36)</f>
        <v>0</v>
      </c>
      <c r="KL165" s="13">
        <f>OCC_DAYS*$KB$41*R_NF_2023-KD165*MCD_SHARE_FREED*R_WAIT_2023</f>
        <v>94673.82103225985</v>
      </c>
      <c r="KM165">
        <f>IF($A165&lt;=$KB$45,1,0)</f>
        <v>0</v>
      </c>
      <c r="LB165">
        <f>IF($LB$31&lt;=$LB$32,IF($A165&lt;=$LB$7,1,2),IF($A165&lt;=RUNG_BEDS_2,2,1))</f>
        <v>1</v>
      </c>
      <c r="LC165" s="5">
        <f>MIN(1,MAX(0,$LB$26-($A165-1)))</f>
        <v>1</v>
      </c>
      <c r="LD165" s="5">
        <f>$LB$25*(LC165+(1-LC165)*$LB$16)</f>
        <v>84.01774238227146</v>
      </c>
      <c r="LE165" s="13">
        <f>LD165*($LB$6+ACUTE_MARGIN)</f>
        <v>84857.91980609419</v>
      </c>
      <c r="LF165" s="13">
        <f>IF(LB165=1,$LB$31,$LB$32)</f>
        <v>152394.16214437486</v>
      </c>
      <c r="LG165" s="13">
        <f>LE165-LF165</f>
        <v>-67536.24233828067</v>
      </c>
      <c r="LH165" s="13">
        <f>LH164+LG165</f>
        <v>-5537971.871739023</v>
      </c>
      <c r="LI165">
        <f>IF(LH165=MAX($LH$83:$LH$483),$A165,0)</f>
        <v>0</v>
      </c>
      <c r="LJ165">
        <f>IF(LE165&lt;LF165,$A165,B_MAX+1)</f>
        <v>82</v>
      </c>
      <c r="LK165" s="13">
        <f>IF(LB165=1,$LB$35,$LB$36)</f>
        <v>0</v>
      </c>
      <c r="LL165" s="13">
        <f>OCC_DAYS*$LB$41*R_NF_2023-LD165*MCD_SHARE_FREED*R_WAIT_2023</f>
        <v>113776.04162887059</v>
      </c>
      <c r="LM165">
        <f>IF($A165&lt;=$LB$45,1,0)</f>
        <v>0</v>
      </c>
      <c r="MB165">
        <f>IF($MB$31&lt;=$MB$32,IF($A165&lt;=$MB$7,1,2),IF($A165&lt;=RUNG_BEDS_2,2,1))</f>
        <v>1</v>
      </c>
      <c r="MC165" s="5">
        <f>MIN(1,MAX(0,$MB$26-($A165-1)))</f>
        <v>1</v>
      </c>
      <c r="MD165" s="5">
        <f>$MB$25*(MC165+(1-MC165)*$MB$16)</f>
        <v>213.44610951008647</v>
      </c>
      <c r="ME165" s="13">
        <f>MD165*($MB$6+ACUTE_MARGIN)</f>
        <v>215580.57060518733</v>
      </c>
      <c r="MF165" s="13">
        <f>IF(MB165=1,$MB$31,$MB$32)</f>
        <v>152394.16214437486</v>
      </c>
      <c r="MG165" s="13">
        <f>ME165-MF165</f>
        <v>63186.40846081247</v>
      </c>
      <c r="MH165" s="13">
        <f>MH164+MG165</f>
        <v>5181285.493786629</v>
      </c>
      <c r="MI165">
        <f>IF(MH165=MAX($MH$83:$MH$483),$A165,0)</f>
        <v>0</v>
      </c>
      <c r="MJ165">
        <f>IF(ME165&lt;MF165,$A165,B_MAX+1)</f>
        <v>401.0</v>
      </c>
      <c r="MK165" s="13">
        <f>IF(MB165=1,$MB$35,$MB$36)</f>
        <v>0</v>
      </c>
      <c r="ML165" s="13">
        <f>OCC_DAYS*$MB$41*R_NF_2023-MD165*MCD_SHARE_FREED*R_WAIT_2023</f>
        <v>54922.538779778624</v>
      </c>
      <c r="MM165">
        <f>IF($A165&lt;=$MB$45,1,0)</f>
        <v>1</v>
      </c>
      <c r="NB165">
        <f>IF($NB$31&lt;=$NB$32,IF($A165&lt;=$NB$7,1,2),IF($A165&lt;=RUNG_BEDS_2,2,1))</f>
        <v>1</v>
      </c>
      <c r="NC165" s="5">
        <f>MIN(1,MAX(0,$NB$26-($A165-1)))</f>
        <v>1</v>
      </c>
      <c r="ND165" s="5">
        <f>$NB$25*(NC165+(1-NC165)*$NB$16)</f>
        <v>252.05322714681438</v>
      </c>
      <c r="NE165" s="13">
        <f>ND165*($NB$6+ACUTE_MARGIN)</f>
        <v>254573.7594182825</v>
      </c>
      <c r="NF165" s="13">
        <f>IF(NB165=1,$NB$31,$NB$32)</f>
        <v>152394.16214437486</v>
      </c>
      <c r="NG165" s="13">
        <f>NE165-NF165</f>
        <v>102179.59727390765</v>
      </c>
      <c r="NH165" s="13">
        <f>NH164+NG165</f>
        <v>8378726.976460426</v>
      </c>
      <c r="NI165">
        <f>IF(NH165=MAX($NH$83:$NH$483),$A165,0)</f>
        <v>0</v>
      </c>
      <c r="NJ165">
        <f>IF(NE165&lt;NF165,$A165,B_MAX+1)</f>
        <v>401.0</v>
      </c>
      <c r="NK165" s="13">
        <f>IF(NB165=1,$NB$35,$NB$36)</f>
        <v>0</v>
      </c>
      <c r="NL165" s="13">
        <f>OCC_DAYS*$NB$41*R_NF_2023-ND165*MCD_SHARE_FREED*R_WAIT_2023</f>
        <v>37367.159242427646</v>
      </c>
      <c r="NM165">
        <f>IF($A165&lt;=$NB$45,1,0)</f>
        <v>1</v>
      </c>
      <c r="OB165">
        <f>IF($OB$31&lt;=$OB$32,IF($A165&lt;=$OB$7,1,2),IF($A165&lt;=RUNG_BEDS_2,2,1))</f>
        <v>1</v>
      </c>
      <c r="OC165" s="5">
        <f>MIN(1,MAX(0,$OB$26-($A165-1)))</f>
        <v>1</v>
      </c>
      <c r="OD165" s="5">
        <f>$OB$25*(OC165+(1-OC165)*$OB$16)</f>
        <v>252.05322714681438</v>
      </c>
      <c r="OE165" s="13">
        <f>OD165*($OB$6+ACUTE_MARGIN)</f>
        <v>254573.7594182825</v>
      </c>
      <c r="OF165" s="13">
        <f>IF(OB165=1,$OB$31,$OB$32)</f>
        <v>152394.16214437486</v>
      </c>
      <c r="OG165" s="13">
        <f>OE165-OF165</f>
        <v>102179.59727390765</v>
      </c>
      <c r="OH165" s="13">
        <f>OH164+OG165</f>
        <v>8378726.976460426</v>
      </c>
      <c r="OI165">
        <f>IF(OH165=MAX($OH$83:$OH$483),$A165,0)</f>
        <v>0</v>
      </c>
      <c r="OJ165">
        <f>IF(OE165&lt;OF165,$A165,B_MAX+1)</f>
        <v>401.0</v>
      </c>
      <c r="OK165" s="13">
        <f>IF(OB165=1,$OB$35,$OB$36)</f>
        <v>0</v>
      </c>
      <c r="OL165" s="13">
        <f>OCC_DAYS*$OB$41*R_NF_2023-OD165*MCD_SHARE_FREED*R_WAIT_2023</f>
        <v>37367.159242427646</v>
      </c>
      <c r="OM165">
        <f>IF($A165&lt;=$OB$45,1,0)</f>
        <v>1</v>
      </c>
    </row>
    <row r="166">
      <c r="A166" t="n">
        <v>83</v>
      </c>
      <c r="B166">
        <f>IF($B$31&lt;=$B$32,IF($A166&lt;=$B$7,1,2),IF($A166&lt;=RUNG_BEDS_2,2,1))</f>
        <v>1</v>
      </c>
      <c r="C166" s="5">
        <f>MIN(1,MAX(0,$B$26-($A166-1)))</f>
        <v>1</v>
      </c>
      <c r="D166" s="5">
        <f>$B$25*(C166+(1-C166)*$B$16)</f>
        <v>252.05322714681438</v>
      </c>
      <c r="E166" s="13">
        <f>D166*($B$6+ACUTE_MARGIN)</f>
        <v>254573.7594182825</v>
      </c>
      <c r="F166" s="13">
        <f>IF(B166=1,$B$31,$B$32)</f>
        <v>152394.16214437486</v>
      </c>
      <c r="G166" s="13">
        <f>E166-F166</f>
        <v>102179.59727390765</v>
      </c>
      <c r="H166" s="13">
        <f>H165+G166</f>
        <v>8480906.573734334</v>
      </c>
      <c r="I166">
        <f>IF(H166=MAX($H$83:$H$483),$A166,0)</f>
        <v>0</v>
      </c>
      <c r="J166">
        <f>IF(E166&lt;F166,$A166,B_MAX+1)</f>
        <v>401.0</v>
      </c>
      <c r="K166" s="13">
        <f>IF(B166=1,$B$35,$B$36)</f>
        <v>0</v>
      </c>
      <c r="L166" s="13">
        <f>OCC_DAYS*$B$41*R_NF_2023-D166*MCD_SHARE_FREED*R_WAIT_2023</f>
        <v>37367.159242427646</v>
      </c>
      <c r="M166">
        <f>IF($A166&lt;=$B$45,1,0)</f>
        <v>1</v>
      </c>
      <c r="AB166">
        <f>IF($AB$31&lt;=$AB$32,IF($A166&lt;=$AB$7,1,2),IF($A166&lt;=RUNG_BEDS_2,2,1))</f>
        <v>1</v>
      </c>
      <c r="AC166" s="5">
        <f>MIN(1,MAX(0,$AB$26-($A166-1)))</f>
        <v>1</v>
      </c>
      <c r="AD166" s="5">
        <f>$AB$25*(AC166+(1-AC166)*$AB$16)</f>
        <v>252.05322714681438</v>
      </c>
      <c r="AE166" s="13">
        <f>AD166*($AB$6+ACUTE_MARGIN)</f>
        <v>138629.2749307479</v>
      </c>
      <c r="AF166" s="13">
        <f>IF(AB166=1,$AB$31,$AB$32)</f>
        <v>152394.16214437486</v>
      </c>
      <c r="AG166" s="13">
        <f>AE166-AF166</f>
        <v>-13764.887213626964</v>
      </c>
      <c r="AH166" s="13">
        <f>AH165+AG166</f>
        <v>-1142485.6387310391</v>
      </c>
      <c r="AI166">
        <f>IF(AH166=MAX($AH$83:$AH$483),$A166,0)</f>
        <v>0</v>
      </c>
      <c r="AJ166">
        <f>IF(AE166&lt;AF166,$A166,B_MAX+1)</f>
        <v>83</v>
      </c>
      <c r="AK166" s="13">
        <f>IF(AB166=1,$AB$35,$AB$36)</f>
        <v>0</v>
      </c>
      <c r="AL166" s="13">
        <f>OCC_DAYS*$AB$41*R_NF_2023-AD166*MCD_SHARE_FREED*R_WAIT_2023</f>
        <v>37367.159242427646</v>
      </c>
      <c r="AM166">
        <f>IF($A166&lt;=$AB$45,1,0)</f>
        <v>0</v>
      </c>
      <c r="BB166">
        <f>IF($BB$31&lt;=$BB$32,IF($A166&lt;=$BB$7,1,2),IF($A166&lt;=RUNG_BEDS_2,2,1))</f>
        <v>1</v>
      </c>
      <c r="BC166" s="5">
        <f>MIN(1,MAX(0,$BB$26-($A166-1)))</f>
        <v>1</v>
      </c>
      <c r="BD166" s="5">
        <f>$BB$25*(BC166+(1-BC166)*$BB$16)</f>
        <v>252.05322714681438</v>
      </c>
      <c r="BE166" s="13">
        <f>BD166*($BB$6+ACUTE_MARGIN)</f>
        <v>370518.24390581716</v>
      </c>
      <c r="BF166" s="13">
        <f>IF(BB166=1,$BB$31,$BB$32)</f>
        <v>152394.16214437486</v>
      </c>
      <c r="BG166" s="13">
        <f>BE166-BF166</f>
        <v>218124.0817614423</v>
      </c>
      <c r="BH166" s="13">
        <f>BH165+BG166</f>
        <v>18104298.7861997</v>
      </c>
      <c r="BI166">
        <f>IF(BH166=MAX($BH$83:$BH$483),$A166,0)</f>
        <v>0</v>
      </c>
      <c r="BJ166">
        <f>IF(BE166&lt;BF166,$A166,B_MAX+1)</f>
        <v>401.0</v>
      </c>
      <c r="BK166" s="13">
        <f>IF(BB166=1,$BB$35,$BB$36)</f>
        <v>0</v>
      </c>
      <c r="BL166" s="13">
        <f>OCC_DAYS*$BB$41*R_NF_2023-BD166*MCD_SHARE_FREED*R_WAIT_2023</f>
        <v>37367.159242427646</v>
      </c>
      <c r="BM166">
        <f>IF($A166&lt;=$BB$45,1,0)</f>
        <v>1</v>
      </c>
      <c r="CB166">
        <f>IF($CB$31&lt;=$CB$32,IF($A166&lt;=$CB$7,1,2),IF($A166&lt;=RUNG_BEDS_2,2,1))</f>
        <v>2</v>
      </c>
      <c r="CC166" s="5">
        <f>MIN(1,MAX(0,$CB$26-($A166-1)))</f>
        <v>1</v>
      </c>
      <c r="CD166" s="5">
        <f>$CB$25*(CC166+(1-CC166)*$CB$16)</f>
        <v>252.05322714681438</v>
      </c>
      <c r="CE166" s="13">
        <f>CD166*($CB$6+ACUTE_MARGIN)</f>
        <v>254573.7594182825</v>
      </c>
      <c r="CF166" s="13">
        <f>IF(CB166=1,$CB$31,$CB$32)</f>
        <v>160718.36940738867</v>
      </c>
      <c r="CG166" s="13">
        <f>CE166-CF166</f>
        <v>93855.39001089384</v>
      </c>
      <c r="CH166" s="13">
        <f>CH165+CG166</f>
        <v>7789997.370904204</v>
      </c>
      <c r="CI166">
        <f>IF(CH166=MAX($CH$83:$CH$483),$A166,0)</f>
        <v>0</v>
      </c>
      <c r="CJ166">
        <f>IF(CE166&lt;CF166,$A166,B_MAX+1)</f>
        <v>401.0</v>
      </c>
      <c r="CK166" s="13">
        <f>IF(CB166=1,$CB$35,$CB$36)</f>
        <v>1560.1194073886782</v>
      </c>
      <c r="CL166" s="13">
        <f>OCC_DAYS*$CB$41*R_NF_2023-CD166*MCD_SHARE_FREED*R_WAIT_2023</f>
        <v>37367.159242427646</v>
      </c>
      <c r="CM166">
        <f>IF($A166&lt;=$CB$45,1,0)</f>
        <v>1</v>
      </c>
      <c r="DB166">
        <f>IF($DB$31&lt;=$DB$32,IF($A166&lt;=$DB$7,1,2),IF($A166&lt;=RUNG_BEDS_2,2,1))</f>
        <v>1</v>
      </c>
      <c r="DC166" s="5">
        <f>MIN(1,MAX(0,$DB$26-($A166-1)))</f>
        <v>1</v>
      </c>
      <c r="DD166" s="5">
        <f>$DB$25*(DC166+(1-DC166)*$DB$16)</f>
        <v>252.05322714681438</v>
      </c>
      <c r="DE166" s="13">
        <f>DD166*($DB$6+ACUTE_MARGIN)</f>
        <v>254573.7594182825</v>
      </c>
      <c r="DF166" s="13">
        <f>IF(DB166=1,$DB$31,$DB$32)</f>
        <v>152394.16214437486</v>
      </c>
      <c r="DG166" s="13">
        <f>DE166-DF166</f>
        <v>102179.59727390765</v>
      </c>
      <c r="DH166" s="13">
        <f>DH165+DG166</f>
        <v>8480906.573734334</v>
      </c>
      <c r="DI166">
        <f>IF(DH166=MAX($DH$83:$DH$483),$A166,0)</f>
        <v>0</v>
      </c>
      <c r="DJ166">
        <f>IF(DE166&lt;DF166,$A166,B_MAX+1)</f>
        <v>401.0</v>
      </c>
      <c r="DK166" s="13">
        <f>IF(DB166=1,$DB$35,$DB$36)</f>
        <v>0</v>
      </c>
      <c r="DL166" s="13">
        <f>OCC_DAYS*$DB$41*R_NF_2023-DD166*MCD_SHARE_FREED*R_WAIT_2023</f>
        <v>37367.159242427646</v>
      </c>
      <c r="DM166">
        <f>IF($A166&lt;=$DB$45,1,0)</f>
        <v>1</v>
      </c>
      <c r="EB166">
        <f>IF($EB$31&lt;=$EB$32,IF($A166&lt;=$EB$7,1,2),IF($A166&lt;=RUNG_BEDS_2,2,1))</f>
        <v>1</v>
      </c>
      <c r="EC166" s="5">
        <f>MIN(1,MAX(0,$EB$26-($A166-1)))</f>
        <v>1</v>
      </c>
      <c r="ED166" s="5">
        <f>$EB$25*(EC166+(1-EC166)*$EB$16)</f>
        <v>252.05322714681438</v>
      </c>
      <c r="EE166" s="13">
        <f>ED166*($EB$6+ACUTE_MARGIN)</f>
        <v>254573.7594182825</v>
      </c>
      <c r="EF166" s="13">
        <f>IF(EB166=1,$EB$31,$EB$32)</f>
        <v>152394.16214437486</v>
      </c>
      <c r="EG166" s="13">
        <f>EE166-EF166</f>
        <v>102179.59727390765</v>
      </c>
      <c r="EH166" s="13">
        <f>EH165+EG166</f>
        <v>8480906.573734334</v>
      </c>
      <c r="EI166">
        <f>IF(EH166=MAX($EH$83:$EH$483),$A166,0)</f>
        <v>0</v>
      </c>
      <c r="EJ166">
        <f>IF(EE166&lt;EF166,$A166,B_MAX+1)</f>
        <v>401.0</v>
      </c>
      <c r="EK166" s="13">
        <f>IF(EB166=1,$EB$35,$EB$36)</f>
        <v>0</v>
      </c>
      <c r="EL166" s="13">
        <f>OCC_DAYS*$EB$41*R_NF_2023-ED166*MCD_SHARE_FREED*R_WAIT_2023</f>
        <v>-63953.16263896705</v>
      </c>
      <c r="EM166">
        <f>IF($A166&lt;=$EB$45,1,0)</f>
        <v>1</v>
      </c>
      <c r="FB166">
        <f>IF($FB$31&lt;=$FB$32,IF($A166&lt;=$FB$7,1,2),IF($A166&lt;=RUNG_BEDS_2,2,1))</f>
        <v>1</v>
      </c>
      <c r="FC166" s="5">
        <f>MIN(1,MAX(0,$FB$26-($A166-1)))</f>
        <v>1</v>
      </c>
      <c r="FD166" s="5">
        <f>$FB$25*(FC166+(1-FC166)*$FB$16)</f>
        <v>252.05322714681438</v>
      </c>
      <c r="FE166" s="13">
        <f>FD166*($FB$6+ACUTE_MARGIN)</f>
        <v>254573.7594182825</v>
      </c>
      <c r="FF166" s="13">
        <f>IF(FB166=1,$FB$31,$FB$32)</f>
        <v>156636.04979437485</v>
      </c>
      <c r="FG166" s="13">
        <f>FE166-FF166</f>
        <v>97937.70962390766</v>
      </c>
      <c r="FH166" s="13">
        <f>FH165+FG166</f>
        <v>8128829.898784338</v>
      </c>
      <c r="FI166">
        <f>IF(FH166=MAX($FH$83:$FH$483),$A166,0)</f>
        <v>0</v>
      </c>
      <c r="FJ166">
        <f>IF(FE166&lt;FF166,$A166,B_MAX+1)</f>
        <v>401.0</v>
      </c>
      <c r="FK166" s="13">
        <f>IF(FB166=1,$FB$35,$FB$36)</f>
        <v>0</v>
      </c>
      <c r="FL166" s="13">
        <f>OCC_DAYS*$FB$41*R_NF_2023-FD166*MCD_SHARE_FREED*R_WAIT_2023</f>
        <v>37367.159242427646</v>
      </c>
      <c r="FM166">
        <f>IF($A166&lt;=$FB$45,1,0)</f>
        <v>1</v>
      </c>
      <c r="GB166">
        <f>IF($GB$31&lt;=$GB$32,IF($A166&lt;=$GB$7,1,2),IF($A166&lt;=RUNG_BEDS_2,2,1))</f>
        <v>1</v>
      </c>
      <c r="GC166" s="5">
        <f>MIN(1,MAX(0,$GB$26-($A166-1)))</f>
        <v>1</v>
      </c>
      <c r="GD166" s="5">
        <f>$GB$25*(GC166+(1-GC166)*$GB$16)</f>
        <v>252.05322714681438</v>
      </c>
      <c r="GE166" s="13">
        <f>GD166*($GB$6+ACUTE_MARGIN)</f>
        <v>254573.7594182825</v>
      </c>
      <c r="GF166" s="13">
        <f>IF(GB166=1,$GB$31,$GB$32)</f>
        <v>152394.16214437486</v>
      </c>
      <c r="GG166" s="13">
        <f>GE166-GF166</f>
        <v>102179.59727390765</v>
      </c>
      <c r="GH166" s="13">
        <f>GH165+GG166</f>
        <v>8480906.573734334</v>
      </c>
      <c r="GI166">
        <f>IF(GH166=MAX($GH$83:$GH$483),$A166,0)</f>
        <v>0</v>
      </c>
      <c r="GJ166">
        <f>IF(GE166&lt;GF166,$A166,B_MAX+1)</f>
        <v>401.0</v>
      </c>
      <c r="GK166" s="13">
        <f>IF(GB166=1,$GB$35,$GB$36)</f>
        <v>0</v>
      </c>
      <c r="GL166" s="13">
        <f>OCC_DAYS*$GB$41*R_NF_2023-GD166*MCD_SHARE_FREED*R_WAIT_2023</f>
        <v>37367.159242427646</v>
      </c>
      <c r="GM166">
        <f>IF($A166&lt;=$GB$45,1,0)</f>
        <v>1</v>
      </c>
      <c r="HB166">
        <f>IF($HB$31&lt;=$HB$32,IF($A166&lt;=$HB$7,1,2),IF($A166&lt;=RUNG_BEDS_2,2,1))</f>
        <v>1</v>
      </c>
      <c r="HC166" s="5">
        <f>MIN(1,MAX(0,$HB$26-($A166-1)))</f>
        <v>1</v>
      </c>
      <c r="HD166" s="5">
        <f>$HB$25*(HC166+(1-HC166)*$HB$16)</f>
        <v>252.05322714681438</v>
      </c>
      <c r="HE166" s="13">
        <f>HD166*($HB$6+ACUTE_MARGIN)</f>
        <v>254573.7594182825</v>
      </c>
      <c r="HF166" s="13">
        <f>IF(HB166=1,$HB$31,$HB$32)</f>
        <v>152456.2970814058</v>
      </c>
      <c r="HG166" s="13">
        <f>HE166-HF166</f>
        <v>102117.46233687672</v>
      </c>
      <c r="HH166" s="13">
        <f>HH165+HG166</f>
        <v>8475749.37396076</v>
      </c>
      <c r="HI166">
        <f>IF(HH166=MAX($HH$83:$HH$483),$A166,0)</f>
        <v>0</v>
      </c>
      <c r="HJ166">
        <f>IF(HE166&lt;HF166,$A166,B_MAX+1)</f>
        <v>401.0</v>
      </c>
      <c r="HK166" s="13">
        <f>IF(HB166=1,$HB$35,$HB$36)</f>
        <v>0</v>
      </c>
      <c r="HL166" s="13">
        <f>OCC_DAYS*$HB$41*R_NF_2023-HD166*MCD_SHARE_FREED*R_WAIT_2023</f>
        <v>37367.159242427646</v>
      </c>
      <c r="HM166">
        <f>IF($A166&lt;=$HB$45,1,0)</f>
        <v>1</v>
      </c>
      <c r="IB166">
        <f>IF($IB$31&lt;=$IB$32,IF($A166&lt;=$IB$7,1,2),IF($A166&lt;=RUNG_BEDS_2,2,1))</f>
        <v>1</v>
      </c>
      <c r="IC166" s="5">
        <f>MIN(1,MAX(0,$IB$26-($A166-1)))</f>
        <v>1</v>
      </c>
      <c r="ID166" s="5">
        <f>$IB$25*(IC166+(1-IC166)*$IB$16)</f>
        <v>252.05322714681438</v>
      </c>
      <c r="IE166" s="13">
        <f>ID166*($IB$6+ACUTE_MARGIN)</f>
        <v>254573.7594182825</v>
      </c>
      <c r="IF166" s="13">
        <f>IF(IB166=1,$IB$31,$IB$32)</f>
        <v>152734.9994534971</v>
      </c>
      <c r="IG166" s="13">
        <f>IE166-IF166</f>
        <v>101838.75996478542</v>
      </c>
      <c r="IH166" s="13">
        <f>IH165+IG166</f>
        <v>8452617.077077197</v>
      </c>
      <c r="II166">
        <f>IF(IH166=MAX($IH$83:$IH$483),$A166,0)</f>
        <v>0</v>
      </c>
      <c r="IJ166">
        <f>IF(IE166&lt;IF166,$A166,B_MAX+1)</f>
        <v>401.0</v>
      </c>
      <c r="IK166" s="13">
        <f>IF(IB166=1,$IB$35,$IB$36)</f>
        <v>0</v>
      </c>
      <c r="IL166" s="13">
        <f>OCC_DAYS*$IB$41*R_NF_2023-ID166*MCD_SHARE_FREED*R_WAIT_2023</f>
        <v>37367.159242427646</v>
      </c>
      <c r="IM166">
        <f>IF($A166&lt;=$IB$45,1,0)</f>
        <v>1</v>
      </c>
      <c r="JB166">
        <f>IF($JB$31&lt;=$JB$32,IF($A166&lt;=$JB$7,1,2),IF($A166&lt;=RUNG_BEDS_2,2,1))</f>
        <v>1</v>
      </c>
      <c r="JC166" s="5">
        <f>MIN(1,MAX(0,$JB$26-($A166-1)))</f>
        <v>1</v>
      </c>
      <c r="JD166" s="5">
        <f>$JB$25*(JC166+(1-JC166)*$JB$16)</f>
        <v>252.05322714681438</v>
      </c>
      <c r="JE166" s="13">
        <f>JD166*($JB$6+ACUTE_MARGIN)</f>
        <v>254573.7594182825</v>
      </c>
      <c r="JF166" s="13">
        <f>IF(JB166=1,$JB$31,$JB$32)</f>
        <v>152394.16214437486</v>
      </c>
      <c r="JG166" s="13">
        <f>JE166-JF166</f>
        <v>102179.59727390765</v>
      </c>
      <c r="JH166" s="13">
        <f>JH165+JG166</f>
        <v>8480906.573734334</v>
      </c>
      <c r="JI166">
        <f>IF(JH166=MAX($JH$83:$JH$483),$A166,0)</f>
        <v>0</v>
      </c>
      <c r="JJ166">
        <f>IF(JE166&lt;JF166,$A166,B_MAX+1)</f>
        <v>401.0</v>
      </c>
      <c r="JK166" s="13">
        <f>IF(JB166=1,$JB$35,$JB$36)</f>
        <v>0</v>
      </c>
      <c r="JL166" s="13">
        <f>OCC_DAYS*$JB$41*R_NF_2023-JD166*MCD_SHARE_FREED*R_WAIT_2023</f>
        <v>37367.159242427646</v>
      </c>
      <c r="JM166">
        <f>IF($A166&lt;=$JB$45,1,0)</f>
        <v>1</v>
      </c>
      <c r="KB166">
        <f>IF($KB$31&lt;=$KB$32,IF($A166&lt;=$KB$7,1,2),IF($A166&lt;=RUNG_BEDS_2,2,1))</f>
        <v>1</v>
      </c>
      <c r="KC166" s="5">
        <f>MIN(1,MAX(0,$KB$26-($A166-1)))</f>
        <v>1</v>
      </c>
      <c r="KD166" s="5">
        <f>$KB$25*(KC166+(1-KC166)*$KB$16)</f>
        <v>126.02661357340719</v>
      </c>
      <c r="KE166" s="13">
        <f>KD166*($KB$6+ACUTE_MARGIN)</f>
        <v>127286.87970914126</v>
      </c>
      <c r="KF166" s="13">
        <f>IF(KB166=1,$KB$31,$KB$32)</f>
        <v>152394.16214437486</v>
      </c>
      <c r="KG166" s="13">
        <f>KE166-KF166</f>
        <v>-25107.282435233603</v>
      </c>
      <c r="KH166" s="13">
        <f>KH165+KG166</f>
        <v>-2083904.4421243928</v>
      </c>
      <c r="KI166">
        <f>IF(KH166=MAX($KH$83:$KH$483),$A166,0)</f>
        <v>0</v>
      </c>
      <c r="KJ166">
        <f>IF(KE166&lt;KF166,$A166,B_MAX+1)</f>
        <v>83</v>
      </c>
      <c r="KK166" s="13">
        <f>IF(KB166=1,$KB$35,$KB$36)</f>
        <v>0</v>
      </c>
      <c r="KL166" s="13">
        <f>OCC_DAYS*$KB$41*R_NF_2023-KD166*MCD_SHARE_FREED*R_WAIT_2023</f>
        <v>94673.82103225985</v>
      </c>
      <c r="KM166">
        <f>IF($A166&lt;=$KB$45,1,0)</f>
        <v>0</v>
      </c>
      <c r="LB166">
        <f>IF($LB$31&lt;=$LB$32,IF($A166&lt;=$LB$7,1,2),IF($A166&lt;=RUNG_BEDS_2,2,1))</f>
        <v>1</v>
      </c>
      <c r="LC166" s="5">
        <f>MIN(1,MAX(0,$LB$26-($A166-1)))</f>
        <v>1</v>
      </c>
      <c r="LD166" s="5">
        <f>$LB$25*(LC166+(1-LC166)*$LB$16)</f>
        <v>84.01774238227146</v>
      </c>
      <c r="LE166" s="13">
        <f>LD166*($LB$6+ACUTE_MARGIN)</f>
        <v>84857.91980609419</v>
      </c>
      <c r="LF166" s="13">
        <f>IF(LB166=1,$LB$31,$LB$32)</f>
        <v>152394.16214437486</v>
      </c>
      <c r="LG166" s="13">
        <f>LE166-LF166</f>
        <v>-67536.24233828067</v>
      </c>
      <c r="LH166" s="13">
        <f>LH165+LG166</f>
        <v>-5605508.1140773045</v>
      </c>
      <c r="LI166">
        <f>IF(LH166=MAX($LH$83:$LH$483),$A166,0)</f>
        <v>0</v>
      </c>
      <c r="LJ166">
        <f>IF(LE166&lt;LF166,$A166,B_MAX+1)</f>
        <v>83</v>
      </c>
      <c r="LK166" s="13">
        <f>IF(LB166=1,$LB$35,$LB$36)</f>
        <v>0</v>
      </c>
      <c r="LL166" s="13">
        <f>OCC_DAYS*$LB$41*R_NF_2023-LD166*MCD_SHARE_FREED*R_WAIT_2023</f>
        <v>113776.04162887059</v>
      </c>
      <c r="LM166">
        <f>IF($A166&lt;=$LB$45,1,0)</f>
        <v>0</v>
      </c>
      <c r="MB166">
        <f>IF($MB$31&lt;=$MB$32,IF($A166&lt;=$MB$7,1,2),IF($A166&lt;=RUNG_BEDS_2,2,1))</f>
        <v>1</v>
      </c>
      <c r="MC166" s="5">
        <f>MIN(1,MAX(0,$MB$26-($A166-1)))</f>
        <v>1</v>
      </c>
      <c r="MD166" s="5">
        <f>$MB$25*(MC166+(1-MC166)*$MB$16)</f>
        <v>213.44610951008647</v>
      </c>
      <c r="ME166" s="13">
        <f>MD166*($MB$6+ACUTE_MARGIN)</f>
        <v>215580.57060518733</v>
      </c>
      <c r="MF166" s="13">
        <f>IF(MB166=1,$MB$31,$MB$32)</f>
        <v>152394.16214437486</v>
      </c>
      <c r="MG166" s="13">
        <f>ME166-MF166</f>
        <v>63186.40846081247</v>
      </c>
      <c r="MH166" s="13">
        <f>MH165+MG166</f>
        <v>5244471.902247442</v>
      </c>
      <c r="MI166">
        <f>IF(MH166=MAX($MH$83:$MH$483),$A166,0)</f>
        <v>0</v>
      </c>
      <c r="MJ166">
        <f>IF(ME166&lt;MF166,$A166,B_MAX+1)</f>
        <v>401.0</v>
      </c>
      <c r="MK166" s="13">
        <f>IF(MB166=1,$MB$35,$MB$36)</f>
        <v>0</v>
      </c>
      <c r="ML166" s="13">
        <f>OCC_DAYS*$MB$41*R_NF_2023-MD166*MCD_SHARE_FREED*R_WAIT_2023</f>
        <v>54922.538779778624</v>
      </c>
      <c r="MM166">
        <f>IF($A166&lt;=$MB$45,1,0)</f>
        <v>1</v>
      </c>
      <c r="NB166">
        <f>IF($NB$31&lt;=$NB$32,IF($A166&lt;=$NB$7,1,2),IF($A166&lt;=RUNG_BEDS_2,2,1))</f>
        <v>1</v>
      </c>
      <c r="NC166" s="5">
        <f>MIN(1,MAX(0,$NB$26-($A166-1)))</f>
        <v>1</v>
      </c>
      <c r="ND166" s="5">
        <f>$NB$25*(NC166+(1-NC166)*$NB$16)</f>
        <v>252.05322714681438</v>
      </c>
      <c r="NE166" s="13">
        <f>ND166*($NB$6+ACUTE_MARGIN)</f>
        <v>254573.7594182825</v>
      </c>
      <c r="NF166" s="13">
        <f>IF(NB166=1,$NB$31,$NB$32)</f>
        <v>152394.16214437486</v>
      </c>
      <c r="NG166" s="13">
        <f>NE166-NF166</f>
        <v>102179.59727390765</v>
      </c>
      <c r="NH166" s="13">
        <f>NH165+NG166</f>
        <v>8480906.573734334</v>
      </c>
      <c r="NI166">
        <f>IF(NH166=MAX($NH$83:$NH$483),$A166,0)</f>
        <v>0</v>
      </c>
      <c r="NJ166">
        <f>IF(NE166&lt;NF166,$A166,B_MAX+1)</f>
        <v>401.0</v>
      </c>
      <c r="NK166" s="13">
        <f>IF(NB166=1,$NB$35,$NB$36)</f>
        <v>0</v>
      </c>
      <c r="NL166" s="13">
        <f>OCC_DAYS*$NB$41*R_NF_2023-ND166*MCD_SHARE_FREED*R_WAIT_2023</f>
        <v>37367.159242427646</v>
      </c>
      <c r="NM166">
        <f>IF($A166&lt;=$NB$45,1,0)</f>
        <v>1</v>
      </c>
      <c r="OB166">
        <f>IF($OB$31&lt;=$OB$32,IF($A166&lt;=$OB$7,1,2),IF($A166&lt;=RUNG_BEDS_2,2,1))</f>
        <v>1</v>
      </c>
      <c r="OC166" s="5">
        <f>MIN(1,MAX(0,$OB$26-($A166-1)))</f>
        <v>1</v>
      </c>
      <c r="OD166" s="5">
        <f>$OB$25*(OC166+(1-OC166)*$OB$16)</f>
        <v>252.05322714681438</v>
      </c>
      <c r="OE166" s="13">
        <f>OD166*($OB$6+ACUTE_MARGIN)</f>
        <v>254573.7594182825</v>
      </c>
      <c r="OF166" s="13">
        <f>IF(OB166=1,$OB$31,$OB$32)</f>
        <v>152394.16214437486</v>
      </c>
      <c r="OG166" s="13">
        <f>OE166-OF166</f>
        <v>102179.59727390765</v>
      </c>
      <c r="OH166" s="13">
        <f>OH165+OG166</f>
        <v>8480906.573734334</v>
      </c>
      <c r="OI166">
        <f>IF(OH166=MAX($OH$83:$OH$483),$A166,0)</f>
        <v>0</v>
      </c>
      <c r="OJ166">
        <f>IF(OE166&lt;OF166,$A166,B_MAX+1)</f>
        <v>401.0</v>
      </c>
      <c r="OK166" s="13">
        <f>IF(OB166=1,$OB$35,$OB$36)</f>
        <v>0</v>
      </c>
      <c r="OL166" s="13">
        <f>OCC_DAYS*$OB$41*R_NF_2023-OD166*MCD_SHARE_FREED*R_WAIT_2023</f>
        <v>37367.159242427646</v>
      </c>
      <c r="OM166">
        <f>IF($A166&lt;=$OB$45,1,0)</f>
        <v>1</v>
      </c>
    </row>
    <row r="167">
      <c r="A167" t="n">
        <v>84</v>
      </c>
      <c r="B167">
        <f>IF($B$31&lt;=$B$32,IF($A167&lt;=$B$7,1,2),IF($A167&lt;=RUNG_BEDS_2,2,1))</f>
        <v>1</v>
      </c>
      <c r="C167" s="5">
        <f>MIN(1,MAX(0,$B$26-($A167-1)))</f>
        <v>1</v>
      </c>
      <c r="D167" s="5">
        <f>$B$25*(C167+(1-C167)*$B$16)</f>
        <v>252.05322714681438</v>
      </c>
      <c r="E167" s="13">
        <f>D167*($B$6+ACUTE_MARGIN)</f>
        <v>254573.7594182825</v>
      </c>
      <c r="F167" s="13">
        <f>IF(B167=1,$B$31,$B$32)</f>
        <v>152394.16214437486</v>
      </c>
      <c r="G167" s="13">
        <f>E167-F167</f>
        <v>102179.59727390765</v>
      </c>
      <c r="H167" s="13">
        <f>H166+G167</f>
        <v>8583086.171008242</v>
      </c>
      <c r="I167">
        <f>IF(H167=MAX($H$83:$H$483),$A167,0)</f>
        <v>0</v>
      </c>
      <c r="J167">
        <f>IF(E167&lt;F167,$A167,B_MAX+1)</f>
        <v>401.0</v>
      </c>
      <c r="K167" s="13">
        <f>IF(B167=1,$B$35,$B$36)</f>
        <v>0</v>
      </c>
      <c r="L167" s="13">
        <f>OCC_DAYS*$B$41*R_NF_2023-D167*MCD_SHARE_FREED*R_WAIT_2023</f>
        <v>37367.159242427646</v>
      </c>
      <c r="M167">
        <f>IF($A167&lt;=$B$45,1,0)</f>
        <v>1</v>
      </c>
      <c r="AB167">
        <f>IF($AB$31&lt;=$AB$32,IF($A167&lt;=$AB$7,1,2),IF($A167&lt;=RUNG_BEDS_2,2,1))</f>
        <v>1</v>
      </c>
      <c r="AC167" s="5">
        <f>MIN(1,MAX(0,$AB$26-($A167-1)))</f>
        <v>1</v>
      </c>
      <c r="AD167" s="5">
        <f>$AB$25*(AC167+(1-AC167)*$AB$16)</f>
        <v>252.05322714681438</v>
      </c>
      <c r="AE167" s="13">
        <f>AD167*($AB$6+ACUTE_MARGIN)</f>
        <v>138629.2749307479</v>
      </c>
      <c r="AF167" s="13">
        <f>IF(AB167=1,$AB$31,$AB$32)</f>
        <v>152394.16214437486</v>
      </c>
      <c r="AG167" s="13">
        <f>AE167-AF167</f>
        <v>-13764.887213626964</v>
      </c>
      <c r="AH167" s="13">
        <f>AH166+AG167</f>
        <v>-1156250.525944666</v>
      </c>
      <c r="AI167">
        <f>IF(AH167=MAX($AH$83:$AH$483),$A167,0)</f>
        <v>0</v>
      </c>
      <c r="AJ167">
        <f>IF(AE167&lt;AF167,$A167,B_MAX+1)</f>
        <v>84</v>
      </c>
      <c r="AK167" s="13">
        <f>IF(AB167=1,$AB$35,$AB$36)</f>
        <v>0</v>
      </c>
      <c r="AL167" s="13">
        <f>OCC_DAYS*$AB$41*R_NF_2023-AD167*MCD_SHARE_FREED*R_WAIT_2023</f>
        <v>37367.159242427646</v>
      </c>
      <c r="AM167">
        <f>IF($A167&lt;=$AB$45,1,0)</f>
        <v>0</v>
      </c>
      <c r="BB167">
        <f>IF($BB$31&lt;=$BB$32,IF($A167&lt;=$BB$7,1,2),IF($A167&lt;=RUNG_BEDS_2,2,1))</f>
        <v>1</v>
      </c>
      <c r="BC167" s="5">
        <f>MIN(1,MAX(0,$BB$26-($A167-1)))</f>
        <v>1</v>
      </c>
      <c r="BD167" s="5">
        <f>$BB$25*(BC167+(1-BC167)*$BB$16)</f>
        <v>252.05322714681438</v>
      </c>
      <c r="BE167" s="13">
        <f>BD167*($BB$6+ACUTE_MARGIN)</f>
        <v>370518.24390581716</v>
      </c>
      <c r="BF167" s="13">
        <f>IF(BB167=1,$BB$31,$BB$32)</f>
        <v>152394.16214437486</v>
      </c>
      <c r="BG167" s="13">
        <f>BE167-BF167</f>
        <v>218124.0817614423</v>
      </c>
      <c r="BH167" s="13">
        <f>BH166+BG167</f>
        <v>18322422.867961142</v>
      </c>
      <c r="BI167">
        <f>IF(BH167=MAX($BH$83:$BH$483),$A167,0)</f>
        <v>0</v>
      </c>
      <c r="BJ167">
        <f>IF(BE167&lt;BF167,$A167,B_MAX+1)</f>
        <v>401.0</v>
      </c>
      <c r="BK167" s="13">
        <f>IF(BB167=1,$BB$35,$BB$36)</f>
        <v>0</v>
      </c>
      <c r="BL167" s="13">
        <f>OCC_DAYS*$BB$41*R_NF_2023-BD167*MCD_SHARE_FREED*R_WAIT_2023</f>
        <v>37367.159242427646</v>
      </c>
      <c r="BM167">
        <f>IF($A167&lt;=$BB$45,1,0)</f>
        <v>1</v>
      </c>
      <c r="CB167">
        <f>IF($CB$31&lt;=$CB$32,IF($A167&lt;=$CB$7,1,2),IF($A167&lt;=RUNG_BEDS_2,2,1))</f>
        <v>2</v>
      </c>
      <c r="CC167" s="5">
        <f>MIN(1,MAX(0,$CB$26-($A167-1)))</f>
        <v>1</v>
      </c>
      <c r="CD167" s="5">
        <f>$CB$25*(CC167+(1-CC167)*$CB$16)</f>
        <v>252.05322714681438</v>
      </c>
      <c r="CE167" s="13">
        <f>CD167*($CB$6+ACUTE_MARGIN)</f>
        <v>254573.7594182825</v>
      </c>
      <c r="CF167" s="13">
        <f>IF(CB167=1,$CB$31,$CB$32)</f>
        <v>160718.36940738867</v>
      </c>
      <c r="CG167" s="13">
        <f>CE167-CF167</f>
        <v>93855.39001089384</v>
      </c>
      <c r="CH167" s="13">
        <f>CH166+CG167</f>
        <v>7883852.760915099</v>
      </c>
      <c r="CI167">
        <f>IF(CH167=MAX($CH$83:$CH$483),$A167,0)</f>
        <v>0</v>
      </c>
      <c r="CJ167">
        <f>IF(CE167&lt;CF167,$A167,B_MAX+1)</f>
        <v>401.0</v>
      </c>
      <c r="CK167" s="13">
        <f>IF(CB167=1,$CB$35,$CB$36)</f>
        <v>1560.1194073886782</v>
      </c>
      <c r="CL167" s="13">
        <f>OCC_DAYS*$CB$41*R_NF_2023-CD167*MCD_SHARE_FREED*R_WAIT_2023</f>
        <v>37367.159242427646</v>
      </c>
      <c r="CM167">
        <f>IF($A167&lt;=$CB$45,1,0)</f>
        <v>1</v>
      </c>
      <c r="DB167">
        <f>IF($DB$31&lt;=$DB$32,IF($A167&lt;=$DB$7,1,2),IF($A167&lt;=RUNG_BEDS_2,2,1))</f>
        <v>1</v>
      </c>
      <c r="DC167" s="5">
        <f>MIN(1,MAX(0,$DB$26-($A167-1)))</f>
        <v>1</v>
      </c>
      <c r="DD167" s="5">
        <f>$DB$25*(DC167+(1-DC167)*$DB$16)</f>
        <v>252.05322714681438</v>
      </c>
      <c r="DE167" s="13">
        <f>DD167*($DB$6+ACUTE_MARGIN)</f>
        <v>254573.7594182825</v>
      </c>
      <c r="DF167" s="13">
        <f>IF(DB167=1,$DB$31,$DB$32)</f>
        <v>152394.16214437486</v>
      </c>
      <c r="DG167" s="13">
        <f>DE167-DF167</f>
        <v>102179.59727390765</v>
      </c>
      <c r="DH167" s="13">
        <f>DH166+DG167</f>
        <v>8583086.171008242</v>
      </c>
      <c r="DI167">
        <f>IF(DH167=MAX($DH$83:$DH$483),$A167,0)</f>
        <v>0</v>
      </c>
      <c r="DJ167">
        <f>IF(DE167&lt;DF167,$A167,B_MAX+1)</f>
        <v>401.0</v>
      </c>
      <c r="DK167" s="13">
        <f>IF(DB167=1,$DB$35,$DB$36)</f>
        <v>0</v>
      </c>
      <c r="DL167" s="13">
        <f>OCC_DAYS*$DB$41*R_NF_2023-DD167*MCD_SHARE_FREED*R_WAIT_2023</f>
        <v>37367.159242427646</v>
      </c>
      <c r="DM167">
        <f>IF($A167&lt;=$DB$45,1,0)</f>
        <v>1</v>
      </c>
      <c r="EB167">
        <f>IF($EB$31&lt;=$EB$32,IF($A167&lt;=$EB$7,1,2),IF($A167&lt;=RUNG_BEDS_2,2,1))</f>
        <v>1</v>
      </c>
      <c r="EC167" s="5">
        <f>MIN(1,MAX(0,$EB$26-($A167-1)))</f>
        <v>1</v>
      </c>
      <c r="ED167" s="5">
        <f>$EB$25*(EC167+(1-EC167)*$EB$16)</f>
        <v>252.05322714681438</v>
      </c>
      <c r="EE167" s="13">
        <f>ED167*($EB$6+ACUTE_MARGIN)</f>
        <v>254573.7594182825</v>
      </c>
      <c r="EF167" s="13">
        <f>IF(EB167=1,$EB$31,$EB$32)</f>
        <v>152394.16214437486</v>
      </c>
      <c r="EG167" s="13">
        <f>EE167-EF167</f>
        <v>102179.59727390765</v>
      </c>
      <c r="EH167" s="13">
        <f>EH166+EG167</f>
        <v>8583086.171008242</v>
      </c>
      <c r="EI167">
        <f>IF(EH167=MAX($EH$83:$EH$483),$A167,0)</f>
        <v>0</v>
      </c>
      <c r="EJ167">
        <f>IF(EE167&lt;EF167,$A167,B_MAX+1)</f>
        <v>401.0</v>
      </c>
      <c r="EK167" s="13">
        <f>IF(EB167=1,$EB$35,$EB$36)</f>
        <v>0</v>
      </c>
      <c r="EL167" s="13">
        <f>OCC_DAYS*$EB$41*R_NF_2023-ED167*MCD_SHARE_FREED*R_WAIT_2023</f>
        <v>-63953.16263896705</v>
      </c>
      <c r="EM167">
        <f>IF($A167&lt;=$EB$45,1,0)</f>
        <v>1</v>
      </c>
      <c r="FB167">
        <f>IF($FB$31&lt;=$FB$32,IF($A167&lt;=$FB$7,1,2),IF($A167&lt;=RUNG_BEDS_2,2,1))</f>
        <v>1</v>
      </c>
      <c r="FC167" s="5">
        <f>MIN(1,MAX(0,$FB$26-($A167-1)))</f>
        <v>1</v>
      </c>
      <c r="FD167" s="5">
        <f>$FB$25*(FC167+(1-FC167)*$FB$16)</f>
        <v>252.05322714681438</v>
      </c>
      <c r="FE167" s="13">
        <f>FD167*($FB$6+ACUTE_MARGIN)</f>
        <v>254573.7594182825</v>
      </c>
      <c r="FF167" s="13">
        <f>IF(FB167=1,$FB$31,$FB$32)</f>
        <v>156636.04979437485</v>
      </c>
      <c r="FG167" s="13">
        <f>FE167-FF167</f>
        <v>97937.70962390766</v>
      </c>
      <c r="FH167" s="13">
        <f>FH166+FG167</f>
        <v>8226767.608408245</v>
      </c>
      <c r="FI167">
        <f>IF(FH167=MAX($FH$83:$FH$483),$A167,0)</f>
        <v>0</v>
      </c>
      <c r="FJ167">
        <f>IF(FE167&lt;FF167,$A167,B_MAX+1)</f>
        <v>401.0</v>
      </c>
      <c r="FK167" s="13">
        <f>IF(FB167=1,$FB$35,$FB$36)</f>
        <v>0</v>
      </c>
      <c r="FL167" s="13">
        <f>OCC_DAYS*$FB$41*R_NF_2023-FD167*MCD_SHARE_FREED*R_WAIT_2023</f>
        <v>37367.159242427646</v>
      </c>
      <c r="FM167">
        <f>IF($A167&lt;=$FB$45,1,0)</f>
        <v>1</v>
      </c>
      <c r="GB167">
        <f>IF($GB$31&lt;=$GB$32,IF($A167&lt;=$GB$7,1,2),IF($A167&lt;=RUNG_BEDS_2,2,1))</f>
        <v>1</v>
      </c>
      <c r="GC167" s="5">
        <f>MIN(1,MAX(0,$GB$26-($A167-1)))</f>
        <v>1</v>
      </c>
      <c r="GD167" s="5">
        <f>$GB$25*(GC167+(1-GC167)*$GB$16)</f>
        <v>252.05322714681438</v>
      </c>
      <c r="GE167" s="13">
        <f>GD167*($GB$6+ACUTE_MARGIN)</f>
        <v>254573.7594182825</v>
      </c>
      <c r="GF167" s="13">
        <f>IF(GB167=1,$GB$31,$GB$32)</f>
        <v>152394.16214437486</v>
      </c>
      <c r="GG167" s="13">
        <f>GE167-GF167</f>
        <v>102179.59727390765</v>
      </c>
      <c r="GH167" s="13">
        <f>GH166+GG167</f>
        <v>8583086.171008242</v>
      </c>
      <c r="GI167">
        <f>IF(GH167=MAX($GH$83:$GH$483),$A167,0)</f>
        <v>0</v>
      </c>
      <c r="GJ167">
        <f>IF(GE167&lt;GF167,$A167,B_MAX+1)</f>
        <v>401.0</v>
      </c>
      <c r="GK167" s="13">
        <f>IF(GB167=1,$GB$35,$GB$36)</f>
        <v>0</v>
      </c>
      <c r="GL167" s="13">
        <f>OCC_DAYS*$GB$41*R_NF_2023-GD167*MCD_SHARE_FREED*R_WAIT_2023</f>
        <v>37367.159242427646</v>
      </c>
      <c r="GM167">
        <f>IF($A167&lt;=$GB$45,1,0)</f>
        <v>1</v>
      </c>
      <c r="HB167">
        <f>IF($HB$31&lt;=$HB$32,IF($A167&lt;=$HB$7,1,2),IF($A167&lt;=RUNG_BEDS_2,2,1))</f>
        <v>1</v>
      </c>
      <c r="HC167" s="5">
        <f>MIN(1,MAX(0,$HB$26-($A167-1)))</f>
        <v>1</v>
      </c>
      <c r="HD167" s="5">
        <f>$HB$25*(HC167+(1-HC167)*$HB$16)</f>
        <v>252.05322714681438</v>
      </c>
      <c r="HE167" s="13">
        <f>HD167*($HB$6+ACUTE_MARGIN)</f>
        <v>254573.7594182825</v>
      </c>
      <c r="HF167" s="13">
        <f>IF(HB167=1,$HB$31,$HB$32)</f>
        <v>152456.2970814058</v>
      </c>
      <c r="HG167" s="13">
        <f>HE167-HF167</f>
        <v>102117.46233687672</v>
      </c>
      <c r="HH167" s="13">
        <f>HH166+HG167</f>
        <v>8577866.836297637</v>
      </c>
      <c r="HI167">
        <f>IF(HH167=MAX($HH$83:$HH$483),$A167,0)</f>
        <v>0</v>
      </c>
      <c r="HJ167">
        <f>IF(HE167&lt;HF167,$A167,B_MAX+1)</f>
        <v>401.0</v>
      </c>
      <c r="HK167" s="13">
        <f>IF(HB167=1,$HB$35,$HB$36)</f>
        <v>0</v>
      </c>
      <c r="HL167" s="13">
        <f>OCC_DAYS*$HB$41*R_NF_2023-HD167*MCD_SHARE_FREED*R_WAIT_2023</f>
        <v>37367.159242427646</v>
      </c>
      <c r="HM167">
        <f>IF($A167&lt;=$HB$45,1,0)</f>
        <v>1</v>
      </c>
      <c r="IB167">
        <f>IF($IB$31&lt;=$IB$32,IF($A167&lt;=$IB$7,1,2),IF($A167&lt;=RUNG_BEDS_2,2,1))</f>
        <v>1</v>
      </c>
      <c r="IC167" s="5">
        <f>MIN(1,MAX(0,$IB$26-($A167-1)))</f>
        <v>1</v>
      </c>
      <c r="ID167" s="5">
        <f>$IB$25*(IC167+(1-IC167)*$IB$16)</f>
        <v>252.05322714681438</v>
      </c>
      <c r="IE167" s="13">
        <f>ID167*($IB$6+ACUTE_MARGIN)</f>
        <v>254573.7594182825</v>
      </c>
      <c r="IF167" s="13">
        <f>IF(IB167=1,$IB$31,$IB$32)</f>
        <v>152734.9994534971</v>
      </c>
      <c r="IG167" s="13">
        <f>IE167-IF167</f>
        <v>101838.75996478542</v>
      </c>
      <c r="IH167" s="13">
        <f>IH166+IG167</f>
        <v>8554455.837041982</v>
      </c>
      <c r="II167">
        <f>IF(IH167=MAX($IH$83:$IH$483),$A167,0)</f>
        <v>0</v>
      </c>
      <c r="IJ167">
        <f>IF(IE167&lt;IF167,$A167,B_MAX+1)</f>
        <v>401.0</v>
      </c>
      <c r="IK167" s="13">
        <f>IF(IB167=1,$IB$35,$IB$36)</f>
        <v>0</v>
      </c>
      <c r="IL167" s="13">
        <f>OCC_DAYS*$IB$41*R_NF_2023-ID167*MCD_SHARE_FREED*R_WAIT_2023</f>
        <v>37367.159242427646</v>
      </c>
      <c r="IM167">
        <f>IF($A167&lt;=$IB$45,1,0)</f>
        <v>1</v>
      </c>
      <c r="JB167">
        <f>IF($JB$31&lt;=$JB$32,IF($A167&lt;=$JB$7,1,2),IF($A167&lt;=RUNG_BEDS_2,2,1))</f>
        <v>1</v>
      </c>
      <c r="JC167" s="5">
        <f>MIN(1,MAX(0,$JB$26-($A167-1)))</f>
        <v>1</v>
      </c>
      <c r="JD167" s="5">
        <f>$JB$25*(JC167+(1-JC167)*$JB$16)</f>
        <v>252.05322714681438</v>
      </c>
      <c r="JE167" s="13">
        <f>JD167*($JB$6+ACUTE_MARGIN)</f>
        <v>254573.7594182825</v>
      </c>
      <c r="JF167" s="13">
        <f>IF(JB167=1,$JB$31,$JB$32)</f>
        <v>152394.16214437486</v>
      </c>
      <c r="JG167" s="13">
        <f>JE167-JF167</f>
        <v>102179.59727390765</v>
      </c>
      <c r="JH167" s="13">
        <f>JH166+JG167</f>
        <v>8583086.171008242</v>
      </c>
      <c r="JI167">
        <f>IF(JH167=MAX($JH$83:$JH$483),$A167,0)</f>
        <v>0</v>
      </c>
      <c r="JJ167">
        <f>IF(JE167&lt;JF167,$A167,B_MAX+1)</f>
        <v>401.0</v>
      </c>
      <c r="JK167" s="13">
        <f>IF(JB167=1,$JB$35,$JB$36)</f>
        <v>0</v>
      </c>
      <c r="JL167" s="13">
        <f>OCC_DAYS*$JB$41*R_NF_2023-JD167*MCD_SHARE_FREED*R_WAIT_2023</f>
        <v>37367.159242427646</v>
      </c>
      <c r="JM167">
        <f>IF($A167&lt;=$JB$45,1,0)</f>
        <v>1</v>
      </c>
      <c r="KB167">
        <f>IF($KB$31&lt;=$KB$32,IF($A167&lt;=$KB$7,1,2),IF($A167&lt;=RUNG_BEDS_2,2,1))</f>
        <v>1</v>
      </c>
      <c r="KC167" s="5">
        <f>MIN(1,MAX(0,$KB$26-($A167-1)))</f>
        <v>1</v>
      </c>
      <c r="KD167" s="5">
        <f>$KB$25*(KC167+(1-KC167)*$KB$16)</f>
        <v>126.02661357340719</v>
      </c>
      <c r="KE167" s="13">
        <f>KD167*($KB$6+ACUTE_MARGIN)</f>
        <v>127286.87970914126</v>
      </c>
      <c r="KF167" s="13">
        <f>IF(KB167=1,$KB$31,$KB$32)</f>
        <v>152394.16214437486</v>
      </c>
      <c r="KG167" s="13">
        <f>KE167-KF167</f>
        <v>-25107.282435233603</v>
      </c>
      <c r="KH167" s="13">
        <f>KH166+KG167</f>
        <v>-2109011.7245596265</v>
      </c>
      <c r="KI167">
        <f>IF(KH167=MAX($KH$83:$KH$483),$A167,0)</f>
        <v>0</v>
      </c>
      <c r="KJ167">
        <f>IF(KE167&lt;KF167,$A167,B_MAX+1)</f>
        <v>84</v>
      </c>
      <c r="KK167" s="13">
        <f>IF(KB167=1,$KB$35,$KB$36)</f>
        <v>0</v>
      </c>
      <c r="KL167" s="13">
        <f>OCC_DAYS*$KB$41*R_NF_2023-KD167*MCD_SHARE_FREED*R_WAIT_2023</f>
        <v>94673.82103225985</v>
      </c>
      <c r="KM167">
        <f>IF($A167&lt;=$KB$45,1,0)</f>
        <v>0</v>
      </c>
      <c r="LB167">
        <f>IF($LB$31&lt;=$LB$32,IF($A167&lt;=$LB$7,1,2),IF($A167&lt;=RUNG_BEDS_2,2,1))</f>
        <v>1</v>
      </c>
      <c r="LC167" s="5">
        <f>MIN(1,MAX(0,$LB$26-($A167-1)))</f>
        <v>1</v>
      </c>
      <c r="LD167" s="5">
        <f>$LB$25*(LC167+(1-LC167)*$LB$16)</f>
        <v>84.01774238227146</v>
      </c>
      <c r="LE167" s="13">
        <f>LD167*($LB$6+ACUTE_MARGIN)</f>
        <v>84857.91980609419</v>
      </c>
      <c r="LF167" s="13">
        <f>IF(LB167=1,$LB$31,$LB$32)</f>
        <v>152394.16214437486</v>
      </c>
      <c r="LG167" s="13">
        <f>LE167-LF167</f>
        <v>-67536.24233828067</v>
      </c>
      <c r="LH167" s="13">
        <f>LH166+LG167</f>
        <v>-5673044.356415586</v>
      </c>
      <c r="LI167">
        <f>IF(LH167=MAX($LH$83:$LH$483),$A167,0)</f>
        <v>0</v>
      </c>
      <c r="LJ167">
        <f>IF(LE167&lt;LF167,$A167,B_MAX+1)</f>
        <v>84</v>
      </c>
      <c r="LK167" s="13">
        <f>IF(LB167=1,$LB$35,$LB$36)</f>
        <v>0</v>
      </c>
      <c r="LL167" s="13">
        <f>OCC_DAYS*$LB$41*R_NF_2023-LD167*MCD_SHARE_FREED*R_WAIT_2023</f>
        <v>113776.04162887059</v>
      </c>
      <c r="LM167">
        <f>IF($A167&lt;=$LB$45,1,0)</f>
        <v>0</v>
      </c>
      <c r="MB167">
        <f>IF($MB$31&lt;=$MB$32,IF($A167&lt;=$MB$7,1,2),IF($A167&lt;=RUNG_BEDS_2,2,1))</f>
        <v>1</v>
      </c>
      <c r="MC167" s="5">
        <f>MIN(1,MAX(0,$MB$26-($A167-1)))</f>
        <v>1</v>
      </c>
      <c r="MD167" s="5">
        <f>$MB$25*(MC167+(1-MC167)*$MB$16)</f>
        <v>213.44610951008647</v>
      </c>
      <c r="ME167" s="13">
        <f>MD167*($MB$6+ACUTE_MARGIN)</f>
        <v>215580.57060518733</v>
      </c>
      <c r="MF167" s="13">
        <f>IF(MB167=1,$MB$31,$MB$32)</f>
        <v>152394.16214437486</v>
      </c>
      <c r="MG167" s="13">
        <f>ME167-MF167</f>
        <v>63186.40846081247</v>
      </c>
      <c r="MH167" s="13">
        <f>MH166+MG167</f>
        <v>5307658.310708255</v>
      </c>
      <c r="MI167">
        <f>IF(MH167=MAX($MH$83:$MH$483),$A167,0)</f>
        <v>0</v>
      </c>
      <c r="MJ167">
        <f>IF(ME167&lt;MF167,$A167,B_MAX+1)</f>
        <v>401.0</v>
      </c>
      <c r="MK167" s="13">
        <f>IF(MB167=1,$MB$35,$MB$36)</f>
        <v>0</v>
      </c>
      <c r="ML167" s="13">
        <f>OCC_DAYS*$MB$41*R_NF_2023-MD167*MCD_SHARE_FREED*R_WAIT_2023</f>
        <v>54922.538779778624</v>
      </c>
      <c r="MM167">
        <f>IF($A167&lt;=$MB$45,1,0)</f>
        <v>1</v>
      </c>
      <c r="NB167">
        <f>IF($NB$31&lt;=$NB$32,IF($A167&lt;=$NB$7,1,2),IF($A167&lt;=RUNG_BEDS_2,2,1))</f>
        <v>1</v>
      </c>
      <c r="NC167" s="5">
        <f>MIN(1,MAX(0,$NB$26-($A167-1)))</f>
        <v>1</v>
      </c>
      <c r="ND167" s="5">
        <f>$NB$25*(NC167+(1-NC167)*$NB$16)</f>
        <v>252.05322714681438</v>
      </c>
      <c r="NE167" s="13">
        <f>ND167*($NB$6+ACUTE_MARGIN)</f>
        <v>254573.7594182825</v>
      </c>
      <c r="NF167" s="13">
        <f>IF(NB167=1,$NB$31,$NB$32)</f>
        <v>152394.16214437486</v>
      </c>
      <c r="NG167" s="13">
        <f>NE167-NF167</f>
        <v>102179.59727390765</v>
      </c>
      <c r="NH167" s="13">
        <f>NH166+NG167</f>
        <v>8583086.171008242</v>
      </c>
      <c r="NI167">
        <f>IF(NH167=MAX($NH$83:$NH$483),$A167,0)</f>
        <v>0</v>
      </c>
      <c r="NJ167">
        <f>IF(NE167&lt;NF167,$A167,B_MAX+1)</f>
        <v>401.0</v>
      </c>
      <c r="NK167" s="13">
        <f>IF(NB167=1,$NB$35,$NB$36)</f>
        <v>0</v>
      </c>
      <c r="NL167" s="13">
        <f>OCC_DAYS*$NB$41*R_NF_2023-ND167*MCD_SHARE_FREED*R_WAIT_2023</f>
        <v>37367.159242427646</v>
      </c>
      <c r="NM167">
        <f>IF($A167&lt;=$NB$45,1,0)</f>
        <v>1</v>
      </c>
      <c r="OB167">
        <f>IF($OB$31&lt;=$OB$32,IF($A167&lt;=$OB$7,1,2),IF($A167&lt;=RUNG_BEDS_2,2,1))</f>
        <v>1</v>
      </c>
      <c r="OC167" s="5">
        <f>MIN(1,MAX(0,$OB$26-($A167-1)))</f>
        <v>1</v>
      </c>
      <c r="OD167" s="5">
        <f>$OB$25*(OC167+(1-OC167)*$OB$16)</f>
        <v>252.05322714681438</v>
      </c>
      <c r="OE167" s="13">
        <f>OD167*($OB$6+ACUTE_MARGIN)</f>
        <v>254573.7594182825</v>
      </c>
      <c r="OF167" s="13">
        <f>IF(OB167=1,$OB$31,$OB$32)</f>
        <v>152394.16214437486</v>
      </c>
      <c r="OG167" s="13">
        <f>OE167-OF167</f>
        <v>102179.59727390765</v>
      </c>
      <c r="OH167" s="13">
        <f>OH166+OG167</f>
        <v>8583086.171008242</v>
      </c>
      <c r="OI167">
        <f>IF(OH167=MAX($OH$83:$OH$483),$A167,0)</f>
        <v>0</v>
      </c>
      <c r="OJ167">
        <f>IF(OE167&lt;OF167,$A167,B_MAX+1)</f>
        <v>401.0</v>
      </c>
      <c r="OK167" s="13">
        <f>IF(OB167=1,$OB$35,$OB$36)</f>
        <v>0</v>
      </c>
      <c r="OL167" s="13">
        <f>OCC_DAYS*$OB$41*R_NF_2023-OD167*MCD_SHARE_FREED*R_WAIT_2023</f>
        <v>37367.159242427646</v>
      </c>
      <c r="OM167">
        <f>IF($A167&lt;=$OB$45,1,0)</f>
        <v>1</v>
      </c>
    </row>
    <row r="168">
      <c r="A168" t="n">
        <v>85</v>
      </c>
      <c r="B168">
        <f>IF($B$31&lt;=$B$32,IF($A168&lt;=$B$7,1,2),IF($A168&lt;=RUNG_BEDS_2,2,1))</f>
        <v>1</v>
      </c>
      <c r="C168" s="5">
        <f>MIN(1,MAX(0,$B$26-($A168-1)))</f>
        <v>1</v>
      </c>
      <c r="D168" s="5">
        <f>$B$25*(C168+(1-C168)*$B$16)</f>
        <v>252.05322714681438</v>
      </c>
      <c r="E168" s="13">
        <f>D168*($B$6+ACUTE_MARGIN)</f>
        <v>254573.7594182825</v>
      </c>
      <c r="F168" s="13">
        <f>IF(B168=1,$B$31,$B$32)</f>
        <v>152394.16214437486</v>
      </c>
      <c r="G168" s="13">
        <f>E168-F168</f>
        <v>102179.59727390765</v>
      </c>
      <c r="H168" s="13">
        <f>H167+G168</f>
        <v>8685265.76828215</v>
      </c>
      <c r="I168">
        <f>IF(H168=MAX($H$83:$H$483),$A168,0)</f>
        <v>0</v>
      </c>
      <c r="J168">
        <f>IF(E168&lt;F168,$A168,B_MAX+1)</f>
        <v>401.0</v>
      </c>
      <c r="K168" s="13">
        <f>IF(B168=1,$B$35,$B$36)</f>
        <v>0</v>
      </c>
      <c r="L168" s="13">
        <f>OCC_DAYS*$B$41*R_NF_2023-D168*MCD_SHARE_FREED*R_WAIT_2023</f>
        <v>37367.159242427646</v>
      </c>
      <c r="M168">
        <f>IF($A168&lt;=$B$45,1,0)</f>
        <v>1</v>
      </c>
      <c r="AB168">
        <f>IF($AB$31&lt;=$AB$32,IF($A168&lt;=$AB$7,1,2),IF($A168&lt;=RUNG_BEDS_2,2,1))</f>
        <v>1</v>
      </c>
      <c r="AC168" s="5">
        <f>MIN(1,MAX(0,$AB$26-($A168-1)))</f>
        <v>1</v>
      </c>
      <c r="AD168" s="5">
        <f>$AB$25*(AC168+(1-AC168)*$AB$16)</f>
        <v>252.05322714681438</v>
      </c>
      <c r="AE168" s="13">
        <f>AD168*($AB$6+ACUTE_MARGIN)</f>
        <v>138629.2749307479</v>
      </c>
      <c r="AF168" s="13">
        <f>IF(AB168=1,$AB$31,$AB$32)</f>
        <v>152394.16214437486</v>
      </c>
      <c r="AG168" s="13">
        <f>AE168-AF168</f>
        <v>-13764.887213626964</v>
      </c>
      <c r="AH168" s="13">
        <f>AH167+AG168</f>
        <v>-1170015.4131582929</v>
      </c>
      <c r="AI168">
        <f>IF(AH168=MAX($AH$83:$AH$483),$A168,0)</f>
        <v>0</v>
      </c>
      <c r="AJ168">
        <f>IF(AE168&lt;AF168,$A168,B_MAX+1)</f>
        <v>85</v>
      </c>
      <c r="AK168" s="13">
        <f>IF(AB168=1,$AB$35,$AB$36)</f>
        <v>0</v>
      </c>
      <c r="AL168" s="13">
        <f>OCC_DAYS*$AB$41*R_NF_2023-AD168*MCD_SHARE_FREED*R_WAIT_2023</f>
        <v>37367.159242427646</v>
      </c>
      <c r="AM168">
        <f>IF($A168&lt;=$AB$45,1,0)</f>
        <v>0</v>
      </c>
      <c r="BB168">
        <f>IF($BB$31&lt;=$BB$32,IF($A168&lt;=$BB$7,1,2),IF($A168&lt;=RUNG_BEDS_2,2,1))</f>
        <v>1</v>
      </c>
      <c r="BC168" s="5">
        <f>MIN(1,MAX(0,$BB$26-($A168-1)))</f>
        <v>1</v>
      </c>
      <c r="BD168" s="5">
        <f>$BB$25*(BC168+(1-BC168)*$BB$16)</f>
        <v>252.05322714681438</v>
      </c>
      <c r="BE168" s="13">
        <f>BD168*($BB$6+ACUTE_MARGIN)</f>
        <v>370518.24390581716</v>
      </c>
      <c r="BF168" s="13">
        <f>IF(BB168=1,$BB$31,$BB$32)</f>
        <v>152394.16214437486</v>
      </c>
      <c r="BG168" s="13">
        <f>BE168-BF168</f>
        <v>218124.0817614423</v>
      </c>
      <c r="BH168" s="13">
        <f>BH167+BG168</f>
        <v>18540546.949722584</v>
      </c>
      <c r="BI168">
        <f>IF(BH168=MAX($BH$83:$BH$483),$A168,0)</f>
        <v>0</v>
      </c>
      <c r="BJ168">
        <f>IF(BE168&lt;BF168,$A168,B_MAX+1)</f>
        <v>401.0</v>
      </c>
      <c r="BK168" s="13">
        <f>IF(BB168=1,$BB$35,$BB$36)</f>
        <v>0</v>
      </c>
      <c r="BL168" s="13">
        <f>OCC_DAYS*$BB$41*R_NF_2023-BD168*MCD_SHARE_FREED*R_WAIT_2023</f>
        <v>37367.159242427646</v>
      </c>
      <c r="BM168">
        <f>IF($A168&lt;=$BB$45,1,0)</f>
        <v>1</v>
      </c>
      <c r="CB168">
        <f>IF($CB$31&lt;=$CB$32,IF($A168&lt;=$CB$7,1,2),IF($A168&lt;=RUNG_BEDS_2,2,1))</f>
        <v>2</v>
      </c>
      <c r="CC168" s="5">
        <f>MIN(1,MAX(0,$CB$26-($A168-1)))</f>
        <v>1</v>
      </c>
      <c r="CD168" s="5">
        <f>$CB$25*(CC168+(1-CC168)*$CB$16)</f>
        <v>252.05322714681438</v>
      </c>
      <c r="CE168" s="13">
        <f>CD168*($CB$6+ACUTE_MARGIN)</f>
        <v>254573.7594182825</v>
      </c>
      <c r="CF168" s="13">
        <f>IF(CB168=1,$CB$31,$CB$32)</f>
        <v>160718.36940738867</v>
      </c>
      <c r="CG168" s="13">
        <f>CE168-CF168</f>
        <v>93855.39001089384</v>
      </c>
      <c r="CH168" s="13">
        <f>CH167+CG168</f>
        <v>7977708.150925993</v>
      </c>
      <c r="CI168">
        <f>IF(CH168=MAX($CH$83:$CH$483),$A168,0)</f>
        <v>0</v>
      </c>
      <c r="CJ168">
        <f>IF(CE168&lt;CF168,$A168,B_MAX+1)</f>
        <v>401.0</v>
      </c>
      <c r="CK168" s="13">
        <f>IF(CB168=1,$CB$35,$CB$36)</f>
        <v>1560.1194073886782</v>
      </c>
      <c r="CL168" s="13">
        <f>OCC_DAYS*$CB$41*R_NF_2023-CD168*MCD_SHARE_FREED*R_WAIT_2023</f>
        <v>37367.159242427646</v>
      </c>
      <c r="CM168">
        <f>IF($A168&lt;=$CB$45,1,0)</f>
        <v>1</v>
      </c>
      <c r="DB168">
        <f>IF($DB$31&lt;=$DB$32,IF($A168&lt;=$DB$7,1,2),IF($A168&lt;=RUNG_BEDS_2,2,1))</f>
        <v>1</v>
      </c>
      <c r="DC168" s="5">
        <f>MIN(1,MAX(0,$DB$26-($A168-1)))</f>
        <v>1</v>
      </c>
      <c r="DD168" s="5">
        <f>$DB$25*(DC168+(1-DC168)*$DB$16)</f>
        <v>252.05322714681438</v>
      </c>
      <c r="DE168" s="13">
        <f>DD168*($DB$6+ACUTE_MARGIN)</f>
        <v>254573.7594182825</v>
      </c>
      <c r="DF168" s="13">
        <f>IF(DB168=1,$DB$31,$DB$32)</f>
        <v>152394.16214437486</v>
      </c>
      <c r="DG168" s="13">
        <f>DE168-DF168</f>
        <v>102179.59727390765</v>
      </c>
      <c r="DH168" s="13">
        <f>DH167+DG168</f>
        <v>8685265.76828215</v>
      </c>
      <c r="DI168">
        <f>IF(DH168=MAX($DH$83:$DH$483),$A168,0)</f>
        <v>0</v>
      </c>
      <c r="DJ168">
        <f>IF(DE168&lt;DF168,$A168,B_MAX+1)</f>
        <v>401.0</v>
      </c>
      <c r="DK168" s="13">
        <f>IF(DB168=1,$DB$35,$DB$36)</f>
        <v>0</v>
      </c>
      <c r="DL168" s="13">
        <f>OCC_DAYS*$DB$41*R_NF_2023-DD168*MCD_SHARE_FREED*R_WAIT_2023</f>
        <v>37367.159242427646</v>
      </c>
      <c r="DM168">
        <f>IF($A168&lt;=$DB$45,1,0)</f>
        <v>1</v>
      </c>
      <c r="EB168">
        <f>IF($EB$31&lt;=$EB$32,IF($A168&lt;=$EB$7,1,2),IF($A168&lt;=RUNG_BEDS_2,2,1))</f>
        <v>1</v>
      </c>
      <c r="EC168" s="5">
        <f>MIN(1,MAX(0,$EB$26-($A168-1)))</f>
        <v>1</v>
      </c>
      <c r="ED168" s="5">
        <f>$EB$25*(EC168+(1-EC168)*$EB$16)</f>
        <v>252.05322714681438</v>
      </c>
      <c r="EE168" s="13">
        <f>ED168*($EB$6+ACUTE_MARGIN)</f>
        <v>254573.7594182825</v>
      </c>
      <c r="EF168" s="13">
        <f>IF(EB168=1,$EB$31,$EB$32)</f>
        <v>152394.16214437486</v>
      </c>
      <c r="EG168" s="13">
        <f>EE168-EF168</f>
        <v>102179.59727390765</v>
      </c>
      <c r="EH168" s="13">
        <f>EH167+EG168</f>
        <v>8685265.76828215</v>
      </c>
      <c r="EI168">
        <f>IF(EH168=MAX($EH$83:$EH$483),$A168,0)</f>
        <v>0</v>
      </c>
      <c r="EJ168">
        <f>IF(EE168&lt;EF168,$A168,B_MAX+1)</f>
        <v>401.0</v>
      </c>
      <c r="EK168" s="13">
        <f>IF(EB168=1,$EB$35,$EB$36)</f>
        <v>0</v>
      </c>
      <c r="EL168" s="13">
        <f>OCC_DAYS*$EB$41*R_NF_2023-ED168*MCD_SHARE_FREED*R_WAIT_2023</f>
        <v>-63953.16263896705</v>
      </c>
      <c r="EM168">
        <f>IF($A168&lt;=$EB$45,1,0)</f>
        <v>1</v>
      </c>
      <c r="FB168">
        <f>IF($FB$31&lt;=$FB$32,IF($A168&lt;=$FB$7,1,2),IF($A168&lt;=RUNG_BEDS_2,2,1))</f>
        <v>1</v>
      </c>
      <c r="FC168" s="5">
        <f>MIN(1,MAX(0,$FB$26-($A168-1)))</f>
        <v>1</v>
      </c>
      <c r="FD168" s="5">
        <f>$FB$25*(FC168+(1-FC168)*$FB$16)</f>
        <v>252.05322714681438</v>
      </c>
      <c r="FE168" s="13">
        <f>FD168*($FB$6+ACUTE_MARGIN)</f>
        <v>254573.7594182825</v>
      </c>
      <c r="FF168" s="13">
        <f>IF(FB168=1,$FB$31,$FB$32)</f>
        <v>156636.04979437485</v>
      </c>
      <c r="FG168" s="13">
        <f>FE168-FF168</f>
        <v>97937.70962390766</v>
      </c>
      <c r="FH168" s="13">
        <f>FH167+FG168</f>
        <v>8324705.318032153</v>
      </c>
      <c r="FI168">
        <f>IF(FH168=MAX($FH$83:$FH$483),$A168,0)</f>
        <v>0</v>
      </c>
      <c r="FJ168">
        <f>IF(FE168&lt;FF168,$A168,B_MAX+1)</f>
        <v>401.0</v>
      </c>
      <c r="FK168" s="13">
        <f>IF(FB168=1,$FB$35,$FB$36)</f>
        <v>0</v>
      </c>
      <c r="FL168" s="13">
        <f>OCC_DAYS*$FB$41*R_NF_2023-FD168*MCD_SHARE_FREED*R_WAIT_2023</f>
        <v>37367.159242427646</v>
      </c>
      <c r="FM168">
        <f>IF($A168&lt;=$FB$45,1,0)</f>
        <v>1</v>
      </c>
      <c r="GB168">
        <f>IF($GB$31&lt;=$GB$32,IF($A168&lt;=$GB$7,1,2),IF($A168&lt;=RUNG_BEDS_2,2,1))</f>
        <v>1</v>
      </c>
      <c r="GC168" s="5">
        <f>MIN(1,MAX(0,$GB$26-($A168-1)))</f>
        <v>1</v>
      </c>
      <c r="GD168" s="5">
        <f>$GB$25*(GC168+(1-GC168)*$GB$16)</f>
        <v>252.05322714681438</v>
      </c>
      <c r="GE168" s="13">
        <f>GD168*($GB$6+ACUTE_MARGIN)</f>
        <v>254573.7594182825</v>
      </c>
      <c r="GF168" s="13">
        <f>IF(GB168=1,$GB$31,$GB$32)</f>
        <v>152394.16214437486</v>
      </c>
      <c r="GG168" s="13">
        <f>GE168-GF168</f>
        <v>102179.59727390765</v>
      </c>
      <c r="GH168" s="13">
        <f>GH167+GG168</f>
        <v>8685265.76828215</v>
      </c>
      <c r="GI168">
        <f>IF(GH168=MAX($GH$83:$GH$483),$A168,0)</f>
        <v>0</v>
      </c>
      <c r="GJ168">
        <f>IF(GE168&lt;GF168,$A168,B_MAX+1)</f>
        <v>401.0</v>
      </c>
      <c r="GK168" s="13">
        <f>IF(GB168=1,$GB$35,$GB$36)</f>
        <v>0</v>
      </c>
      <c r="GL168" s="13">
        <f>OCC_DAYS*$GB$41*R_NF_2023-GD168*MCD_SHARE_FREED*R_WAIT_2023</f>
        <v>37367.159242427646</v>
      </c>
      <c r="GM168">
        <f>IF($A168&lt;=$GB$45,1,0)</f>
        <v>1</v>
      </c>
      <c r="HB168">
        <f>IF($HB$31&lt;=$HB$32,IF($A168&lt;=$HB$7,1,2),IF($A168&lt;=RUNG_BEDS_2,2,1))</f>
        <v>1</v>
      </c>
      <c r="HC168" s="5">
        <f>MIN(1,MAX(0,$HB$26-($A168-1)))</f>
        <v>1</v>
      </c>
      <c r="HD168" s="5">
        <f>$HB$25*(HC168+(1-HC168)*$HB$16)</f>
        <v>252.05322714681438</v>
      </c>
      <c r="HE168" s="13">
        <f>HD168*($HB$6+ACUTE_MARGIN)</f>
        <v>254573.7594182825</v>
      </c>
      <c r="HF168" s="13">
        <f>IF(HB168=1,$HB$31,$HB$32)</f>
        <v>152456.2970814058</v>
      </c>
      <c r="HG168" s="13">
        <f>HE168-HF168</f>
        <v>102117.46233687672</v>
      </c>
      <c r="HH168" s="13">
        <f>HH167+HG168</f>
        <v>8679984.298634514</v>
      </c>
      <c r="HI168">
        <f>IF(HH168=MAX($HH$83:$HH$483),$A168,0)</f>
        <v>0</v>
      </c>
      <c r="HJ168">
        <f>IF(HE168&lt;HF168,$A168,B_MAX+1)</f>
        <v>401.0</v>
      </c>
      <c r="HK168" s="13">
        <f>IF(HB168=1,$HB$35,$HB$36)</f>
        <v>0</v>
      </c>
      <c r="HL168" s="13">
        <f>OCC_DAYS*$HB$41*R_NF_2023-HD168*MCD_SHARE_FREED*R_WAIT_2023</f>
        <v>37367.159242427646</v>
      </c>
      <c r="HM168">
        <f>IF($A168&lt;=$HB$45,1,0)</f>
        <v>1</v>
      </c>
      <c r="IB168">
        <f>IF($IB$31&lt;=$IB$32,IF($A168&lt;=$IB$7,1,2),IF($A168&lt;=RUNG_BEDS_2,2,1))</f>
        <v>1</v>
      </c>
      <c r="IC168" s="5">
        <f>MIN(1,MAX(0,$IB$26-($A168-1)))</f>
        <v>1</v>
      </c>
      <c r="ID168" s="5">
        <f>$IB$25*(IC168+(1-IC168)*$IB$16)</f>
        <v>252.05322714681438</v>
      </c>
      <c r="IE168" s="13">
        <f>ID168*($IB$6+ACUTE_MARGIN)</f>
        <v>254573.7594182825</v>
      </c>
      <c r="IF168" s="13">
        <f>IF(IB168=1,$IB$31,$IB$32)</f>
        <v>152734.9994534971</v>
      </c>
      <c r="IG168" s="13">
        <f>IE168-IF168</f>
        <v>101838.75996478542</v>
      </c>
      <c r="IH168" s="13">
        <f>IH167+IG168</f>
        <v>8656294.597006766</v>
      </c>
      <c r="II168">
        <f>IF(IH168=MAX($IH$83:$IH$483),$A168,0)</f>
        <v>0</v>
      </c>
      <c r="IJ168">
        <f>IF(IE168&lt;IF168,$A168,B_MAX+1)</f>
        <v>401.0</v>
      </c>
      <c r="IK168" s="13">
        <f>IF(IB168=1,$IB$35,$IB$36)</f>
        <v>0</v>
      </c>
      <c r="IL168" s="13">
        <f>OCC_DAYS*$IB$41*R_NF_2023-ID168*MCD_SHARE_FREED*R_WAIT_2023</f>
        <v>37367.159242427646</v>
      </c>
      <c r="IM168">
        <f>IF($A168&lt;=$IB$45,1,0)</f>
        <v>1</v>
      </c>
      <c r="JB168">
        <f>IF($JB$31&lt;=$JB$32,IF($A168&lt;=$JB$7,1,2),IF($A168&lt;=RUNG_BEDS_2,2,1))</f>
        <v>1</v>
      </c>
      <c r="JC168" s="5">
        <f>MIN(1,MAX(0,$JB$26-($A168-1)))</f>
        <v>1</v>
      </c>
      <c r="JD168" s="5">
        <f>$JB$25*(JC168+(1-JC168)*$JB$16)</f>
        <v>252.05322714681438</v>
      </c>
      <c r="JE168" s="13">
        <f>JD168*($JB$6+ACUTE_MARGIN)</f>
        <v>254573.7594182825</v>
      </c>
      <c r="JF168" s="13">
        <f>IF(JB168=1,$JB$31,$JB$32)</f>
        <v>152394.16214437486</v>
      </c>
      <c r="JG168" s="13">
        <f>JE168-JF168</f>
        <v>102179.59727390765</v>
      </c>
      <c r="JH168" s="13">
        <f>JH167+JG168</f>
        <v>8685265.76828215</v>
      </c>
      <c r="JI168">
        <f>IF(JH168=MAX($JH$83:$JH$483),$A168,0)</f>
        <v>0</v>
      </c>
      <c r="JJ168">
        <f>IF(JE168&lt;JF168,$A168,B_MAX+1)</f>
        <v>401.0</v>
      </c>
      <c r="JK168" s="13">
        <f>IF(JB168=1,$JB$35,$JB$36)</f>
        <v>0</v>
      </c>
      <c r="JL168" s="13">
        <f>OCC_DAYS*$JB$41*R_NF_2023-JD168*MCD_SHARE_FREED*R_WAIT_2023</f>
        <v>37367.159242427646</v>
      </c>
      <c r="JM168">
        <f>IF($A168&lt;=$JB$45,1,0)</f>
        <v>1</v>
      </c>
      <c r="KB168">
        <f>IF($KB$31&lt;=$KB$32,IF($A168&lt;=$KB$7,1,2),IF($A168&lt;=RUNG_BEDS_2,2,1))</f>
        <v>1</v>
      </c>
      <c r="KC168" s="5">
        <f>MIN(1,MAX(0,$KB$26-($A168-1)))</f>
        <v>1</v>
      </c>
      <c r="KD168" s="5">
        <f>$KB$25*(KC168+(1-KC168)*$KB$16)</f>
        <v>126.02661357340719</v>
      </c>
      <c r="KE168" s="13">
        <f>KD168*($KB$6+ACUTE_MARGIN)</f>
        <v>127286.87970914126</v>
      </c>
      <c r="KF168" s="13">
        <f>IF(KB168=1,$KB$31,$KB$32)</f>
        <v>152394.16214437486</v>
      </c>
      <c r="KG168" s="13">
        <f>KE168-KF168</f>
        <v>-25107.282435233603</v>
      </c>
      <c r="KH168" s="13">
        <f>KH167+KG168</f>
        <v>-2134119.0069948602</v>
      </c>
      <c r="KI168">
        <f>IF(KH168=MAX($KH$83:$KH$483),$A168,0)</f>
        <v>0</v>
      </c>
      <c r="KJ168">
        <f>IF(KE168&lt;KF168,$A168,B_MAX+1)</f>
        <v>85</v>
      </c>
      <c r="KK168" s="13">
        <f>IF(KB168=1,$KB$35,$KB$36)</f>
        <v>0</v>
      </c>
      <c r="KL168" s="13">
        <f>OCC_DAYS*$KB$41*R_NF_2023-KD168*MCD_SHARE_FREED*R_WAIT_2023</f>
        <v>94673.82103225985</v>
      </c>
      <c r="KM168">
        <f>IF($A168&lt;=$KB$45,1,0)</f>
        <v>0</v>
      </c>
      <c r="LB168">
        <f>IF($LB$31&lt;=$LB$32,IF($A168&lt;=$LB$7,1,2),IF($A168&lt;=RUNG_BEDS_2,2,1))</f>
        <v>1</v>
      </c>
      <c r="LC168" s="5">
        <f>MIN(1,MAX(0,$LB$26-($A168-1)))</f>
        <v>1</v>
      </c>
      <c r="LD168" s="5">
        <f>$LB$25*(LC168+(1-LC168)*$LB$16)</f>
        <v>84.01774238227146</v>
      </c>
      <c r="LE168" s="13">
        <f>LD168*($LB$6+ACUTE_MARGIN)</f>
        <v>84857.91980609419</v>
      </c>
      <c r="LF168" s="13">
        <f>IF(LB168=1,$LB$31,$LB$32)</f>
        <v>152394.16214437486</v>
      </c>
      <c r="LG168" s="13">
        <f>LE168-LF168</f>
        <v>-67536.24233828067</v>
      </c>
      <c r="LH168" s="13">
        <f>LH167+LG168</f>
        <v>-5740580.598753867</v>
      </c>
      <c r="LI168">
        <f>IF(LH168=MAX($LH$83:$LH$483),$A168,0)</f>
        <v>0</v>
      </c>
      <c r="LJ168">
        <f>IF(LE168&lt;LF168,$A168,B_MAX+1)</f>
        <v>85</v>
      </c>
      <c r="LK168" s="13">
        <f>IF(LB168=1,$LB$35,$LB$36)</f>
        <v>0</v>
      </c>
      <c r="LL168" s="13">
        <f>OCC_DAYS*$LB$41*R_NF_2023-LD168*MCD_SHARE_FREED*R_WAIT_2023</f>
        <v>113776.04162887059</v>
      </c>
      <c r="LM168">
        <f>IF($A168&lt;=$LB$45,1,0)</f>
        <v>0</v>
      </c>
      <c r="MB168">
        <f>IF($MB$31&lt;=$MB$32,IF($A168&lt;=$MB$7,1,2),IF($A168&lt;=RUNG_BEDS_2,2,1))</f>
        <v>1</v>
      </c>
      <c r="MC168" s="5">
        <f>MIN(1,MAX(0,$MB$26-($A168-1)))</f>
        <v>1</v>
      </c>
      <c r="MD168" s="5">
        <f>$MB$25*(MC168+(1-MC168)*$MB$16)</f>
        <v>213.44610951008647</v>
      </c>
      <c r="ME168" s="13">
        <f>MD168*($MB$6+ACUTE_MARGIN)</f>
        <v>215580.57060518733</v>
      </c>
      <c r="MF168" s="13">
        <f>IF(MB168=1,$MB$31,$MB$32)</f>
        <v>152394.16214437486</v>
      </c>
      <c r="MG168" s="13">
        <f>ME168-MF168</f>
        <v>63186.40846081247</v>
      </c>
      <c r="MH168" s="13">
        <f>MH167+MG168</f>
        <v>5370844.719169067</v>
      </c>
      <c r="MI168">
        <f>IF(MH168=MAX($MH$83:$MH$483),$A168,0)</f>
        <v>0</v>
      </c>
      <c r="MJ168">
        <f>IF(ME168&lt;MF168,$A168,B_MAX+1)</f>
        <v>401.0</v>
      </c>
      <c r="MK168" s="13">
        <f>IF(MB168=1,$MB$35,$MB$36)</f>
        <v>0</v>
      </c>
      <c r="ML168" s="13">
        <f>OCC_DAYS*$MB$41*R_NF_2023-MD168*MCD_SHARE_FREED*R_WAIT_2023</f>
        <v>54922.538779778624</v>
      </c>
      <c r="MM168">
        <f>IF($A168&lt;=$MB$45,1,0)</f>
        <v>1</v>
      </c>
      <c r="NB168">
        <f>IF($NB$31&lt;=$NB$32,IF($A168&lt;=$NB$7,1,2),IF($A168&lt;=RUNG_BEDS_2,2,1))</f>
        <v>1</v>
      </c>
      <c r="NC168" s="5">
        <f>MIN(1,MAX(0,$NB$26-($A168-1)))</f>
        <v>1</v>
      </c>
      <c r="ND168" s="5">
        <f>$NB$25*(NC168+(1-NC168)*$NB$16)</f>
        <v>252.05322714681438</v>
      </c>
      <c r="NE168" s="13">
        <f>ND168*($NB$6+ACUTE_MARGIN)</f>
        <v>254573.7594182825</v>
      </c>
      <c r="NF168" s="13">
        <f>IF(NB168=1,$NB$31,$NB$32)</f>
        <v>152394.16214437486</v>
      </c>
      <c r="NG168" s="13">
        <f>NE168-NF168</f>
        <v>102179.59727390765</v>
      </c>
      <c r="NH168" s="13">
        <f>NH167+NG168</f>
        <v>8685265.76828215</v>
      </c>
      <c r="NI168">
        <f>IF(NH168=MAX($NH$83:$NH$483),$A168,0)</f>
        <v>0</v>
      </c>
      <c r="NJ168">
        <f>IF(NE168&lt;NF168,$A168,B_MAX+1)</f>
        <v>401.0</v>
      </c>
      <c r="NK168" s="13">
        <f>IF(NB168=1,$NB$35,$NB$36)</f>
        <v>0</v>
      </c>
      <c r="NL168" s="13">
        <f>OCC_DAYS*$NB$41*R_NF_2023-ND168*MCD_SHARE_FREED*R_WAIT_2023</f>
        <v>37367.159242427646</v>
      </c>
      <c r="NM168">
        <f>IF($A168&lt;=$NB$45,1,0)</f>
        <v>1</v>
      </c>
      <c r="OB168">
        <f>IF($OB$31&lt;=$OB$32,IF($A168&lt;=$OB$7,1,2),IF($A168&lt;=RUNG_BEDS_2,2,1))</f>
        <v>1</v>
      </c>
      <c r="OC168" s="5">
        <f>MIN(1,MAX(0,$OB$26-($A168-1)))</f>
        <v>1</v>
      </c>
      <c r="OD168" s="5">
        <f>$OB$25*(OC168+(1-OC168)*$OB$16)</f>
        <v>252.05322714681438</v>
      </c>
      <c r="OE168" s="13">
        <f>OD168*($OB$6+ACUTE_MARGIN)</f>
        <v>254573.7594182825</v>
      </c>
      <c r="OF168" s="13">
        <f>IF(OB168=1,$OB$31,$OB$32)</f>
        <v>152394.16214437486</v>
      </c>
      <c r="OG168" s="13">
        <f>OE168-OF168</f>
        <v>102179.59727390765</v>
      </c>
      <c r="OH168" s="13">
        <f>OH167+OG168</f>
        <v>8685265.76828215</v>
      </c>
      <c r="OI168">
        <f>IF(OH168=MAX($OH$83:$OH$483),$A168,0)</f>
        <v>0</v>
      </c>
      <c r="OJ168">
        <f>IF(OE168&lt;OF168,$A168,B_MAX+1)</f>
        <v>401.0</v>
      </c>
      <c r="OK168" s="13">
        <f>IF(OB168=1,$OB$35,$OB$36)</f>
        <v>0</v>
      </c>
      <c r="OL168" s="13">
        <f>OCC_DAYS*$OB$41*R_NF_2023-OD168*MCD_SHARE_FREED*R_WAIT_2023</f>
        <v>37367.159242427646</v>
      </c>
      <c r="OM168">
        <f>IF($A168&lt;=$OB$45,1,0)</f>
        <v>1</v>
      </c>
    </row>
    <row r="169">
      <c r="A169" t="n">
        <v>86</v>
      </c>
      <c r="B169">
        <f>IF($B$31&lt;=$B$32,IF($A169&lt;=$B$7,1,2),IF($A169&lt;=RUNG_BEDS_2,2,1))</f>
        <v>1</v>
      </c>
      <c r="C169" s="5">
        <f>MIN(1,MAX(0,$B$26-($A169-1)))</f>
        <v>1</v>
      </c>
      <c r="D169" s="5">
        <f>$B$25*(C169+(1-C169)*$B$16)</f>
        <v>252.05322714681438</v>
      </c>
      <c r="E169" s="13">
        <f>D169*($B$6+ACUTE_MARGIN)</f>
        <v>254573.7594182825</v>
      </c>
      <c r="F169" s="13">
        <f>IF(B169=1,$B$31,$B$32)</f>
        <v>152394.16214437486</v>
      </c>
      <c r="G169" s="13">
        <f>E169-F169</f>
        <v>102179.59727390765</v>
      </c>
      <c r="H169" s="13">
        <f>H168+G169</f>
        <v>8787445.36555606</v>
      </c>
      <c r="I169">
        <f>IF(H169=MAX($H$83:$H$483),$A169,0)</f>
        <v>0</v>
      </c>
      <c r="J169">
        <f>IF(E169&lt;F169,$A169,B_MAX+1)</f>
        <v>401.0</v>
      </c>
      <c r="K169" s="13">
        <f>IF(B169=1,$B$35,$B$36)</f>
        <v>0</v>
      </c>
      <c r="L169" s="13">
        <f>OCC_DAYS*$B$41*R_NF_2023-D169*MCD_SHARE_FREED*R_WAIT_2023</f>
        <v>37367.159242427646</v>
      </c>
      <c r="M169">
        <f>IF($A169&lt;=$B$45,1,0)</f>
        <v>1</v>
      </c>
      <c r="AB169">
        <f>IF($AB$31&lt;=$AB$32,IF($A169&lt;=$AB$7,1,2),IF($A169&lt;=RUNG_BEDS_2,2,1))</f>
        <v>1</v>
      </c>
      <c r="AC169" s="5">
        <f>MIN(1,MAX(0,$AB$26-($A169-1)))</f>
        <v>1</v>
      </c>
      <c r="AD169" s="5">
        <f>$AB$25*(AC169+(1-AC169)*$AB$16)</f>
        <v>252.05322714681438</v>
      </c>
      <c r="AE169" s="13">
        <f>AD169*($AB$6+ACUTE_MARGIN)</f>
        <v>138629.2749307479</v>
      </c>
      <c r="AF169" s="13">
        <f>IF(AB169=1,$AB$31,$AB$32)</f>
        <v>152394.16214437486</v>
      </c>
      <c r="AG169" s="13">
        <f>AE169-AF169</f>
        <v>-13764.887213626964</v>
      </c>
      <c r="AH169" s="13">
        <f>AH168+AG169</f>
        <v>-1183780.3003719198</v>
      </c>
      <c r="AI169">
        <f>IF(AH169=MAX($AH$83:$AH$483),$A169,0)</f>
        <v>0</v>
      </c>
      <c r="AJ169">
        <f>IF(AE169&lt;AF169,$A169,B_MAX+1)</f>
        <v>86</v>
      </c>
      <c r="AK169" s="13">
        <f>IF(AB169=1,$AB$35,$AB$36)</f>
        <v>0</v>
      </c>
      <c r="AL169" s="13">
        <f>OCC_DAYS*$AB$41*R_NF_2023-AD169*MCD_SHARE_FREED*R_WAIT_2023</f>
        <v>37367.159242427646</v>
      </c>
      <c r="AM169">
        <f>IF($A169&lt;=$AB$45,1,0)</f>
        <v>0</v>
      </c>
      <c r="BB169">
        <f>IF($BB$31&lt;=$BB$32,IF($A169&lt;=$BB$7,1,2),IF($A169&lt;=RUNG_BEDS_2,2,1))</f>
        <v>1</v>
      </c>
      <c r="BC169" s="5">
        <f>MIN(1,MAX(0,$BB$26-($A169-1)))</f>
        <v>1</v>
      </c>
      <c r="BD169" s="5">
        <f>$BB$25*(BC169+(1-BC169)*$BB$16)</f>
        <v>252.05322714681438</v>
      </c>
      <c r="BE169" s="13">
        <f>BD169*($BB$6+ACUTE_MARGIN)</f>
        <v>370518.24390581716</v>
      </c>
      <c r="BF169" s="13">
        <f>IF(BB169=1,$BB$31,$BB$32)</f>
        <v>152394.16214437486</v>
      </c>
      <c r="BG169" s="13">
        <f>BE169-BF169</f>
        <v>218124.0817614423</v>
      </c>
      <c r="BH169" s="13">
        <f>BH168+BG169</f>
        <v>18758671.031484026</v>
      </c>
      <c r="BI169">
        <f>IF(BH169=MAX($BH$83:$BH$483),$A169,0)</f>
        <v>0</v>
      </c>
      <c r="BJ169">
        <f>IF(BE169&lt;BF169,$A169,B_MAX+1)</f>
        <v>401.0</v>
      </c>
      <c r="BK169" s="13">
        <f>IF(BB169=1,$BB$35,$BB$36)</f>
        <v>0</v>
      </c>
      <c r="BL169" s="13">
        <f>OCC_DAYS*$BB$41*R_NF_2023-BD169*MCD_SHARE_FREED*R_WAIT_2023</f>
        <v>37367.159242427646</v>
      </c>
      <c r="BM169">
        <f>IF($A169&lt;=$BB$45,1,0)</f>
        <v>1</v>
      </c>
      <c r="CB169">
        <f>IF($CB$31&lt;=$CB$32,IF($A169&lt;=$CB$7,1,2),IF($A169&lt;=RUNG_BEDS_2,2,1))</f>
        <v>2</v>
      </c>
      <c r="CC169" s="5">
        <f>MIN(1,MAX(0,$CB$26-($A169-1)))</f>
        <v>1</v>
      </c>
      <c r="CD169" s="5">
        <f>$CB$25*(CC169+(1-CC169)*$CB$16)</f>
        <v>252.05322714681438</v>
      </c>
      <c r="CE169" s="13">
        <f>CD169*($CB$6+ACUTE_MARGIN)</f>
        <v>254573.7594182825</v>
      </c>
      <c r="CF169" s="13">
        <f>IF(CB169=1,$CB$31,$CB$32)</f>
        <v>160718.36940738867</v>
      </c>
      <c r="CG169" s="13">
        <f>CE169-CF169</f>
        <v>93855.39001089384</v>
      </c>
      <c r="CH169" s="13">
        <f>CH168+CG169</f>
        <v>8071563.540936887</v>
      </c>
      <c r="CI169">
        <f>IF(CH169=MAX($CH$83:$CH$483),$A169,0)</f>
        <v>0</v>
      </c>
      <c r="CJ169">
        <f>IF(CE169&lt;CF169,$A169,B_MAX+1)</f>
        <v>401.0</v>
      </c>
      <c r="CK169" s="13">
        <f>IF(CB169=1,$CB$35,$CB$36)</f>
        <v>1560.1194073886782</v>
      </c>
      <c r="CL169" s="13">
        <f>OCC_DAYS*$CB$41*R_NF_2023-CD169*MCD_SHARE_FREED*R_WAIT_2023</f>
        <v>37367.159242427646</v>
      </c>
      <c r="CM169">
        <f>IF($A169&lt;=$CB$45,1,0)</f>
        <v>1</v>
      </c>
      <c r="DB169">
        <f>IF($DB$31&lt;=$DB$32,IF($A169&lt;=$DB$7,1,2),IF($A169&lt;=RUNG_BEDS_2,2,1))</f>
        <v>1</v>
      </c>
      <c r="DC169" s="5">
        <f>MIN(1,MAX(0,$DB$26-($A169-1)))</f>
        <v>1</v>
      </c>
      <c r="DD169" s="5">
        <f>$DB$25*(DC169+(1-DC169)*$DB$16)</f>
        <v>252.05322714681438</v>
      </c>
      <c r="DE169" s="13">
        <f>DD169*($DB$6+ACUTE_MARGIN)</f>
        <v>254573.7594182825</v>
      </c>
      <c r="DF169" s="13">
        <f>IF(DB169=1,$DB$31,$DB$32)</f>
        <v>152394.16214437486</v>
      </c>
      <c r="DG169" s="13">
        <f>DE169-DF169</f>
        <v>102179.59727390765</v>
      </c>
      <c r="DH169" s="13">
        <f>DH168+DG169</f>
        <v>8787445.36555606</v>
      </c>
      <c r="DI169">
        <f>IF(DH169=MAX($DH$83:$DH$483),$A169,0)</f>
        <v>0</v>
      </c>
      <c r="DJ169">
        <f>IF(DE169&lt;DF169,$A169,B_MAX+1)</f>
        <v>401.0</v>
      </c>
      <c r="DK169" s="13">
        <f>IF(DB169=1,$DB$35,$DB$36)</f>
        <v>0</v>
      </c>
      <c r="DL169" s="13">
        <f>OCC_DAYS*$DB$41*R_NF_2023-DD169*MCD_SHARE_FREED*R_WAIT_2023</f>
        <v>37367.159242427646</v>
      </c>
      <c r="DM169">
        <f>IF($A169&lt;=$DB$45,1,0)</f>
        <v>1</v>
      </c>
      <c r="EB169">
        <f>IF($EB$31&lt;=$EB$32,IF($A169&lt;=$EB$7,1,2),IF($A169&lt;=RUNG_BEDS_2,2,1))</f>
        <v>1</v>
      </c>
      <c r="EC169" s="5">
        <f>MIN(1,MAX(0,$EB$26-($A169-1)))</f>
        <v>1</v>
      </c>
      <c r="ED169" s="5">
        <f>$EB$25*(EC169+(1-EC169)*$EB$16)</f>
        <v>252.05322714681438</v>
      </c>
      <c r="EE169" s="13">
        <f>ED169*($EB$6+ACUTE_MARGIN)</f>
        <v>254573.7594182825</v>
      </c>
      <c r="EF169" s="13">
        <f>IF(EB169=1,$EB$31,$EB$32)</f>
        <v>152394.16214437486</v>
      </c>
      <c r="EG169" s="13">
        <f>EE169-EF169</f>
        <v>102179.59727390765</v>
      </c>
      <c r="EH169" s="13">
        <f>EH168+EG169</f>
        <v>8787445.36555606</v>
      </c>
      <c r="EI169">
        <f>IF(EH169=MAX($EH$83:$EH$483),$A169,0)</f>
        <v>0</v>
      </c>
      <c r="EJ169">
        <f>IF(EE169&lt;EF169,$A169,B_MAX+1)</f>
        <v>401.0</v>
      </c>
      <c r="EK169" s="13">
        <f>IF(EB169=1,$EB$35,$EB$36)</f>
        <v>0</v>
      </c>
      <c r="EL169" s="13">
        <f>OCC_DAYS*$EB$41*R_NF_2023-ED169*MCD_SHARE_FREED*R_WAIT_2023</f>
        <v>-63953.16263896705</v>
      </c>
      <c r="EM169">
        <f>IF($A169&lt;=$EB$45,1,0)</f>
        <v>1</v>
      </c>
      <c r="FB169">
        <f>IF($FB$31&lt;=$FB$32,IF($A169&lt;=$FB$7,1,2),IF($A169&lt;=RUNG_BEDS_2,2,1))</f>
        <v>1</v>
      </c>
      <c r="FC169" s="5">
        <f>MIN(1,MAX(0,$FB$26-($A169-1)))</f>
        <v>1</v>
      </c>
      <c r="FD169" s="5">
        <f>$FB$25*(FC169+(1-FC169)*$FB$16)</f>
        <v>252.05322714681438</v>
      </c>
      <c r="FE169" s="13">
        <f>FD169*($FB$6+ACUTE_MARGIN)</f>
        <v>254573.7594182825</v>
      </c>
      <c r="FF169" s="13">
        <f>IF(FB169=1,$FB$31,$FB$32)</f>
        <v>156636.04979437485</v>
      </c>
      <c r="FG169" s="13">
        <f>FE169-FF169</f>
        <v>97937.70962390766</v>
      </c>
      <c r="FH169" s="13">
        <f>FH168+FG169</f>
        <v>8422643.02765606</v>
      </c>
      <c r="FI169">
        <f>IF(FH169=MAX($FH$83:$FH$483),$A169,0)</f>
        <v>0</v>
      </c>
      <c r="FJ169">
        <f>IF(FE169&lt;FF169,$A169,B_MAX+1)</f>
        <v>401.0</v>
      </c>
      <c r="FK169" s="13">
        <f>IF(FB169=1,$FB$35,$FB$36)</f>
        <v>0</v>
      </c>
      <c r="FL169" s="13">
        <f>OCC_DAYS*$FB$41*R_NF_2023-FD169*MCD_SHARE_FREED*R_WAIT_2023</f>
        <v>37367.159242427646</v>
      </c>
      <c r="FM169">
        <f>IF($A169&lt;=$FB$45,1,0)</f>
        <v>1</v>
      </c>
      <c r="GB169">
        <f>IF($GB$31&lt;=$GB$32,IF($A169&lt;=$GB$7,1,2),IF($A169&lt;=RUNG_BEDS_2,2,1))</f>
        <v>1</v>
      </c>
      <c r="GC169" s="5">
        <f>MIN(1,MAX(0,$GB$26-($A169-1)))</f>
        <v>1</v>
      </c>
      <c r="GD169" s="5">
        <f>$GB$25*(GC169+(1-GC169)*$GB$16)</f>
        <v>252.05322714681438</v>
      </c>
      <c r="GE169" s="13">
        <f>GD169*($GB$6+ACUTE_MARGIN)</f>
        <v>254573.7594182825</v>
      </c>
      <c r="GF169" s="13">
        <f>IF(GB169=1,$GB$31,$GB$32)</f>
        <v>152394.16214437486</v>
      </c>
      <c r="GG169" s="13">
        <f>GE169-GF169</f>
        <v>102179.59727390765</v>
      </c>
      <c r="GH169" s="13">
        <f>GH168+GG169</f>
        <v>8787445.36555606</v>
      </c>
      <c r="GI169">
        <f>IF(GH169=MAX($GH$83:$GH$483),$A169,0)</f>
        <v>0</v>
      </c>
      <c r="GJ169">
        <f>IF(GE169&lt;GF169,$A169,B_MAX+1)</f>
        <v>401.0</v>
      </c>
      <c r="GK169" s="13">
        <f>IF(GB169=1,$GB$35,$GB$36)</f>
        <v>0</v>
      </c>
      <c r="GL169" s="13">
        <f>OCC_DAYS*$GB$41*R_NF_2023-GD169*MCD_SHARE_FREED*R_WAIT_2023</f>
        <v>37367.159242427646</v>
      </c>
      <c r="GM169">
        <f>IF($A169&lt;=$GB$45,1,0)</f>
        <v>1</v>
      </c>
      <c r="HB169">
        <f>IF($HB$31&lt;=$HB$32,IF($A169&lt;=$HB$7,1,2),IF($A169&lt;=RUNG_BEDS_2,2,1))</f>
        <v>1</v>
      </c>
      <c r="HC169" s="5">
        <f>MIN(1,MAX(0,$HB$26-($A169-1)))</f>
        <v>1</v>
      </c>
      <c r="HD169" s="5">
        <f>$HB$25*(HC169+(1-HC169)*$HB$16)</f>
        <v>252.05322714681438</v>
      </c>
      <c r="HE169" s="13">
        <f>HD169*($HB$6+ACUTE_MARGIN)</f>
        <v>254573.7594182825</v>
      </c>
      <c r="HF169" s="13">
        <f>IF(HB169=1,$HB$31,$HB$32)</f>
        <v>152456.2970814058</v>
      </c>
      <c r="HG169" s="13">
        <f>HE169-HF169</f>
        <v>102117.46233687672</v>
      </c>
      <c r="HH169" s="13">
        <f>HH168+HG169</f>
        <v>8782101.760971392</v>
      </c>
      <c r="HI169">
        <f>IF(HH169=MAX($HH$83:$HH$483),$A169,0)</f>
        <v>0</v>
      </c>
      <c r="HJ169">
        <f>IF(HE169&lt;HF169,$A169,B_MAX+1)</f>
        <v>401.0</v>
      </c>
      <c r="HK169" s="13">
        <f>IF(HB169=1,$HB$35,$HB$36)</f>
        <v>0</v>
      </c>
      <c r="HL169" s="13">
        <f>OCC_DAYS*$HB$41*R_NF_2023-HD169*MCD_SHARE_FREED*R_WAIT_2023</f>
        <v>37367.159242427646</v>
      </c>
      <c r="HM169">
        <f>IF($A169&lt;=$HB$45,1,0)</f>
        <v>1</v>
      </c>
      <c r="IB169">
        <f>IF($IB$31&lt;=$IB$32,IF($A169&lt;=$IB$7,1,2),IF($A169&lt;=RUNG_BEDS_2,2,1))</f>
        <v>1</v>
      </c>
      <c r="IC169" s="5">
        <f>MIN(1,MAX(0,$IB$26-($A169-1)))</f>
        <v>1</v>
      </c>
      <c r="ID169" s="5">
        <f>$IB$25*(IC169+(1-IC169)*$IB$16)</f>
        <v>252.05322714681438</v>
      </c>
      <c r="IE169" s="13">
        <f>ID169*($IB$6+ACUTE_MARGIN)</f>
        <v>254573.7594182825</v>
      </c>
      <c r="IF169" s="13">
        <f>IF(IB169=1,$IB$31,$IB$32)</f>
        <v>152734.9994534971</v>
      </c>
      <c r="IG169" s="13">
        <f>IE169-IF169</f>
        <v>101838.75996478542</v>
      </c>
      <c r="IH169" s="13">
        <f>IH168+IG169</f>
        <v>8758133.35697155</v>
      </c>
      <c r="II169">
        <f>IF(IH169=MAX($IH$83:$IH$483),$A169,0)</f>
        <v>0</v>
      </c>
      <c r="IJ169">
        <f>IF(IE169&lt;IF169,$A169,B_MAX+1)</f>
        <v>401.0</v>
      </c>
      <c r="IK169" s="13">
        <f>IF(IB169=1,$IB$35,$IB$36)</f>
        <v>0</v>
      </c>
      <c r="IL169" s="13">
        <f>OCC_DAYS*$IB$41*R_NF_2023-ID169*MCD_SHARE_FREED*R_WAIT_2023</f>
        <v>37367.159242427646</v>
      </c>
      <c r="IM169">
        <f>IF($A169&lt;=$IB$45,1,0)</f>
        <v>1</v>
      </c>
      <c r="JB169">
        <f>IF($JB$31&lt;=$JB$32,IF($A169&lt;=$JB$7,1,2),IF($A169&lt;=RUNG_BEDS_2,2,1))</f>
        <v>1</v>
      </c>
      <c r="JC169" s="5">
        <f>MIN(1,MAX(0,$JB$26-($A169-1)))</f>
        <v>1</v>
      </c>
      <c r="JD169" s="5">
        <f>$JB$25*(JC169+(1-JC169)*$JB$16)</f>
        <v>252.05322714681438</v>
      </c>
      <c r="JE169" s="13">
        <f>JD169*($JB$6+ACUTE_MARGIN)</f>
        <v>254573.7594182825</v>
      </c>
      <c r="JF169" s="13">
        <f>IF(JB169=1,$JB$31,$JB$32)</f>
        <v>152394.16214437486</v>
      </c>
      <c r="JG169" s="13">
        <f>JE169-JF169</f>
        <v>102179.59727390765</v>
      </c>
      <c r="JH169" s="13">
        <f>JH168+JG169</f>
        <v>8787445.36555606</v>
      </c>
      <c r="JI169">
        <f>IF(JH169=MAX($JH$83:$JH$483),$A169,0)</f>
        <v>0</v>
      </c>
      <c r="JJ169">
        <f>IF(JE169&lt;JF169,$A169,B_MAX+1)</f>
        <v>401.0</v>
      </c>
      <c r="JK169" s="13">
        <f>IF(JB169=1,$JB$35,$JB$36)</f>
        <v>0</v>
      </c>
      <c r="JL169" s="13">
        <f>OCC_DAYS*$JB$41*R_NF_2023-JD169*MCD_SHARE_FREED*R_WAIT_2023</f>
        <v>37367.159242427646</v>
      </c>
      <c r="JM169">
        <f>IF($A169&lt;=$JB$45,1,0)</f>
        <v>1</v>
      </c>
      <c r="KB169">
        <f>IF($KB$31&lt;=$KB$32,IF($A169&lt;=$KB$7,1,2),IF($A169&lt;=RUNG_BEDS_2,2,1))</f>
        <v>1</v>
      </c>
      <c r="KC169" s="5">
        <f>MIN(1,MAX(0,$KB$26-($A169-1)))</f>
        <v>1</v>
      </c>
      <c r="KD169" s="5">
        <f>$KB$25*(KC169+(1-KC169)*$KB$16)</f>
        <v>126.02661357340719</v>
      </c>
      <c r="KE169" s="13">
        <f>KD169*($KB$6+ACUTE_MARGIN)</f>
        <v>127286.87970914126</v>
      </c>
      <c r="KF169" s="13">
        <f>IF(KB169=1,$KB$31,$KB$32)</f>
        <v>152394.16214437486</v>
      </c>
      <c r="KG169" s="13">
        <f>KE169-KF169</f>
        <v>-25107.282435233603</v>
      </c>
      <c r="KH169" s="13">
        <f>KH168+KG169</f>
        <v>-2159226.289430094</v>
      </c>
      <c r="KI169">
        <f>IF(KH169=MAX($KH$83:$KH$483),$A169,0)</f>
        <v>0</v>
      </c>
      <c r="KJ169">
        <f>IF(KE169&lt;KF169,$A169,B_MAX+1)</f>
        <v>86</v>
      </c>
      <c r="KK169" s="13">
        <f>IF(KB169=1,$KB$35,$KB$36)</f>
        <v>0</v>
      </c>
      <c r="KL169" s="13">
        <f>OCC_DAYS*$KB$41*R_NF_2023-KD169*MCD_SHARE_FREED*R_WAIT_2023</f>
        <v>94673.82103225985</v>
      </c>
      <c r="KM169">
        <f>IF($A169&lt;=$KB$45,1,0)</f>
        <v>0</v>
      </c>
      <c r="LB169">
        <f>IF($LB$31&lt;=$LB$32,IF($A169&lt;=$LB$7,1,2),IF($A169&lt;=RUNG_BEDS_2,2,1))</f>
        <v>1</v>
      </c>
      <c r="LC169" s="5">
        <f>MIN(1,MAX(0,$LB$26-($A169-1)))</f>
        <v>1</v>
      </c>
      <c r="LD169" s="5">
        <f>$LB$25*(LC169+(1-LC169)*$LB$16)</f>
        <v>84.01774238227146</v>
      </c>
      <c r="LE169" s="13">
        <f>LD169*($LB$6+ACUTE_MARGIN)</f>
        <v>84857.91980609419</v>
      </c>
      <c r="LF169" s="13">
        <f>IF(LB169=1,$LB$31,$LB$32)</f>
        <v>152394.16214437486</v>
      </c>
      <c r="LG169" s="13">
        <f>LE169-LF169</f>
        <v>-67536.24233828067</v>
      </c>
      <c r="LH169" s="13">
        <f>LH168+LG169</f>
        <v>-5808116.841092148</v>
      </c>
      <c r="LI169">
        <f>IF(LH169=MAX($LH$83:$LH$483),$A169,0)</f>
        <v>0</v>
      </c>
      <c r="LJ169">
        <f>IF(LE169&lt;LF169,$A169,B_MAX+1)</f>
        <v>86</v>
      </c>
      <c r="LK169" s="13">
        <f>IF(LB169=1,$LB$35,$LB$36)</f>
        <v>0</v>
      </c>
      <c r="LL169" s="13">
        <f>OCC_DAYS*$LB$41*R_NF_2023-LD169*MCD_SHARE_FREED*R_WAIT_2023</f>
        <v>113776.04162887059</v>
      </c>
      <c r="LM169">
        <f>IF($A169&lt;=$LB$45,1,0)</f>
        <v>0</v>
      </c>
      <c r="MB169">
        <f>IF($MB$31&lt;=$MB$32,IF($A169&lt;=$MB$7,1,2),IF($A169&lt;=RUNG_BEDS_2,2,1))</f>
        <v>1</v>
      </c>
      <c r="MC169" s="5">
        <f>MIN(1,MAX(0,$MB$26-($A169-1)))</f>
        <v>1</v>
      </c>
      <c r="MD169" s="5">
        <f>$MB$25*(MC169+(1-MC169)*$MB$16)</f>
        <v>213.44610951008647</v>
      </c>
      <c r="ME169" s="13">
        <f>MD169*($MB$6+ACUTE_MARGIN)</f>
        <v>215580.57060518733</v>
      </c>
      <c r="MF169" s="13">
        <f>IF(MB169=1,$MB$31,$MB$32)</f>
        <v>152394.16214437486</v>
      </c>
      <c r="MG169" s="13">
        <f>ME169-MF169</f>
        <v>63186.40846081247</v>
      </c>
      <c r="MH169" s="13">
        <f>MH168+MG169</f>
        <v>5434031.12762988</v>
      </c>
      <c r="MI169">
        <f>IF(MH169=MAX($MH$83:$MH$483),$A169,0)</f>
        <v>0</v>
      </c>
      <c r="MJ169">
        <f>IF(ME169&lt;MF169,$A169,B_MAX+1)</f>
        <v>401.0</v>
      </c>
      <c r="MK169" s="13">
        <f>IF(MB169=1,$MB$35,$MB$36)</f>
        <v>0</v>
      </c>
      <c r="ML169" s="13">
        <f>OCC_DAYS*$MB$41*R_NF_2023-MD169*MCD_SHARE_FREED*R_WAIT_2023</f>
        <v>54922.538779778624</v>
      </c>
      <c r="MM169">
        <f>IF($A169&lt;=$MB$45,1,0)</f>
        <v>1</v>
      </c>
      <c r="NB169">
        <f>IF($NB$31&lt;=$NB$32,IF($A169&lt;=$NB$7,1,2),IF($A169&lt;=RUNG_BEDS_2,2,1))</f>
        <v>1</v>
      </c>
      <c r="NC169" s="5">
        <f>MIN(1,MAX(0,$NB$26-($A169-1)))</f>
        <v>1</v>
      </c>
      <c r="ND169" s="5">
        <f>$NB$25*(NC169+(1-NC169)*$NB$16)</f>
        <v>252.05322714681438</v>
      </c>
      <c r="NE169" s="13">
        <f>ND169*($NB$6+ACUTE_MARGIN)</f>
        <v>254573.7594182825</v>
      </c>
      <c r="NF169" s="13">
        <f>IF(NB169=1,$NB$31,$NB$32)</f>
        <v>152394.16214437486</v>
      </c>
      <c r="NG169" s="13">
        <f>NE169-NF169</f>
        <v>102179.59727390765</v>
      </c>
      <c r="NH169" s="13">
        <f>NH168+NG169</f>
        <v>8787445.36555606</v>
      </c>
      <c r="NI169">
        <f>IF(NH169=MAX($NH$83:$NH$483),$A169,0)</f>
        <v>0</v>
      </c>
      <c r="NJ169">
        <f>IF(NE169&lt;NF169,$A169,B_MAX+1)</f>
        <v>401.0</v>
      </c>
      <c r="NK169" s="13">
        <f>IF(NB169=1,$NB$35,$NB$36)</f>
        <v>0</v>
      </c>
      <c r="NL169" s="13">
        <f>OCC_DAYS*$NB$41*R_NF_2023-ND169*MCD_SHARE_FREED*R_WAIT_2023</f>
        <v>37367.159242427646</v>
      </c>
      <c r="NM169">
        <f>IF($A169&lt;=$NB$45,1,0)</f>
        <v>1</v>
      </c>
      <c r="OB169">
        <f>IF($OB$31&lt;=$OB$32,IF($A169&lt;=$OB$7,1,2),IF($A169&lt;=RUNG_BEDS_2,2,1))</f>
        <v>1</v>
      </c>
      <c r="OC169" s="5">
        <f>MIN(1,MAX(0,$OB$26-($A169-1)))</f>
        <v>1</v>
      </c>
      <c r="OD169" s="5">
        <f>$OB$25*(OC169+(1-OC169)*$OB$16)</f>
        <v>252.05322714681438</v>
      </c>
      <c r="OE169" s="13">
        <f>OD169*($OB$6+ACUTE_MARGIN)</f>
        <v>254573.7594182825</v>
      </c>
      <c r="OF169" s="13">
        <f>IF(OB169=1,$OB$31,$OB$32)</f>
        <v>152394.16214437486</v>
      </c>
      <c r="OG169" s="13">
        <f>OE169-OF169</f>
        <v>102179.59727390765</v>
      </c>
      <c r="OH169" s="13">
        <f>OH168+OG169</f>
        <v>8787445.36555606</v>
      </c>
      <c r="OI169">
        <f>IF(OH169=MAX($OH$83:$OH$483),$A169,0)</f>
        <v>0</v>
      </c>
      <c r="OJ169">
        <f>IF(OE169&lt;OF169,$A169,B_MAX+1)</f>
        <v>401.0</v>
      </c>
      <c r="OK169" s="13">
        <f>IF(OB169=1,$OB$35,$OB$36)</f>
        <v>0</v>
      </c>
      <c r="OL169" s="13">
        <f>OCC_DAYS*$OB$41*R_NF_2023-OD169*MCD_SHARE_FREED*R_WAIT_2023</f>
        <v>37367.159242427646</v>
      </c>
      <c r="OM169">
        <f>IF($A169&lt;=$OB$45,1,0)</f>
        <v>1</v>
      </c>
    </row>
    <row r="170">
      <c r="A170" t="n">
        <v>87</v>
      </c>
      <c r="B170">
        <f>IF($B$31&lt;=$B$32,IF($A170&lt;=$B$7,1,2),IF($A170&lt;=RUNG_BEDS_2,2,1))</f>
        <v>1</v>
      </c>
      <c r="C170" s="5">
        <f>MIN(1,MAX(0,$B$26-($A170-1)))</f>
        <v>1</v>
      </c>
      <c r="D170" s="5">
        <f>$B$25*(C170+(1-C170)*$B$16)</f>
        <v>252.05322714681438</v>
      </c>
      <c r="E170" s="13">
        <f>D170*($B$6+ACUTE_MARGIN)</f>
        <v>254573.7594182825</v>
      </c>
      <c r="F170" s="13">
        <f>IF(B170=1,$B$31,$B$32)</f>
        <v>152394.16214437486</v>
      </c>
      <c r="G170" s="13">
        <f>E170-F170</f>
        <v>102179.59727390765</v>
      </c>
      <c r="H170" s="13">
        <f>H169+G170</f>
        <v>8889624.962829968</v>
      </c>
      <c r="I170">
        <f>IF(H170=MAX($H$83:$H$483),$A170,0)</f>
        <v>0</v>
      </c>
      <c r="J170">
        <f>IF(E170&lt;F170,$A170,B_MAX+1)</f>
        <v>401.0</v>
      </c>
      <c r="K170" s="13">
        <f>IF(B170=1,$B$35,$B$36)</f>
        <v>0</v>
      </c>
      <c r="L170" s="13">
        <f>OCC_DAYS*$B$41*R_NF_2023-D170*MCD_SHARE_FREED*R_WAIT_2023</f>
        <v>37367.159242427646</v>
      </c>
      <c r="M170">
        <f>IF($A170&lt;=$B$45,1,0)</f>
        <v>1</v>
      </c>
      <c r="AB170">
        <f>IF($AB$31&lt;=$AB$32,IF($A170&lt;=$AB$7,1,2),IF($A170&lt;=RUNG_BEDS_2,2,1))</f>
        <v>1</v>
      </c>
      <c r="AC170" s="5">
        <f>MIN(1,MAX(0,$AB$26-($A170-1)))</f>
        <v>1</v>
      </c>
      <c r="AD170" s="5">
        <f>$AB$25*(AC170+(1-AC170)*$AB$16)</f>
        <v>252.05322714681438</v>
      </c>
      <c r="AE170" s="13">
        <f>AD170*($AB$6+ACUTE_MARGIN)</f>
        <v>138629.2749307479</v>
      </c>
      <c r="AF170" s="13">
        <f>IF(AB170=1,$AB$31,$AB$32)</f>
        <v>152394.16214437486</v>
      </c>
      <c r="AG170" s="13">
        <f>AE170-AF170</f>
        <v>-13764.887213626964</v>
      </c>
      <c r="AH170" s="13">
        <f>AH169+AG170</f>
        <v>-1197545.1875855466</v>
      </c>
      <c r="AI170">
        <f>IF(AH170=MAX($AH$83:$AH$483),$A170,0)</f>
        <v>0</v>
      </c>
      <c r="AJ170">
        <f>IF(AE170&lt;AF170,$A170,B_MAX+1)</f>
        <v>87</v>
      </c>
      <c r="AK170" s="13">
        <f>IF(AB170=1,$AB$35,$AB$36)</f>
        <v>0</v>
      </c>
      <c r="AL170" s="13">
        <f>OCC_DAYS*$AB$41*R_NF_2023-AD170*MCD_SHARE_FREED*R_WAIT_2023</f>
        <v>37367.159242427646</v>
      </c>
      <c r="AM170">
        <f>IF($A170&lt;=$AB$45,1,0)</f>
        <v>0</v>
      </c>
      <c r="BB170">
        <f>IF($BB$31&lt;=$BB$32,IF($A170&lt;=$BB$7,1,2),IF($A170&lt;=RUNG_BEDS_2,2,1))</f>
        <v>1</v>
      </c>
      <c r="BC170" s="5">
        <f>MIN(1,MAX(0,$BB$26-($A170-1)))</f>
        <v>1</v>
      </c>
      <c r="BD170" s="5">
        <f>$BB$25*(BC170+(1-BC170)*$BB$16)</f>
        <v>252.05322714681438</v>
      </c>
      <c r="BE170" s="13">
        <f>BD170*($BB$6+ACUTE_MARGIN)</f>
        <v>370518.24390581716</v>
      </c>
      <c r="BF170" s="13">
        <f>IF(BB170=1,$BB$31,$BB$32)</f>
        <v>152394.16214437486</v>
      </c>
      <c r="BG170" s="13">
        <f>BE170-BF170</f>
        <v>218124.0817614423</v>
      </c>
      <c r="BH170" s="13">
        <f>BH169+BG170</f>
        <v>18976795.11324547</v>
      </c>
      <c r="BI170">
        <f>IF(BH170=MAX($BH$83:$BH$483),$A170,0)</f>
        <v>0</v>
      </c>
      <c r="BJ170">
        <f>IF(BE170&lt;BF170,$A170,B_MAX+1)</f>
        <v>401.0</v>
      </c>
      <c r="BK170" s="13">
        <f>IF(BB170=1,$BB$35,$BB$36)</f>
        <v>0</v>
      </c>
      <c r="BL170" s="13">
        <f>OCC_DAYS*$BB$41*R_NF_2023-BD170*MCD_SHARE_FREED*R_WAIT_2023</f>
        <v>37367.159242427646</v>
      </c>
      <c r="BM170">
        <f>IF($A170&lt;=$BB$45,1,0)</f>
        <v>1</v>
      </c>
      <c r="CB170">
        <f>IF($CB$31&lt;=$CB$32,IF($A170&lt;=$CB$7,1,2),IF($A170&lt;=RUNG_BEDS_2,2,1))</f>
        <v>2</v>
      </c>
      <c r="CC170" s="5">
        <f>MIN(1,MAX(0,$CB$26-($A170-1)))</f>
        <v>1</v>
      </c>
      <c r="CD170" s="5">
        <f>$CB$25*(CC170+(1-CC170)*$CB$16)</f>
        <v>252.05322714681438</v>
      </c>
      <c r="CE170" s="13">
        <f>CD170*($CB$6+ACUTE_MARGIN)</f>
        <v>254573.7594182825</v>
      </c>
      <c r="CF170" s="13">
        <f>IF(CB170=1,$CB$31,$CB$32)</f>
        <v>160718.36940738867</v>
      </c>
      <c r="CG170" s="13">
        <f>CE170-CF170</f>
        <v>93855.39001089384</v>
      </c>
      <c r="CH170" s="13">
        <f>CH169+CG170</f>
        <v>8165418.930947782</v>
      </c>
      <c r="CI170">
        <f>IF(CH170=MAX($CH$83:$CH$483),$A170,0)</f>
        <v>0</v>
      </c>
      <c r="CJ170">
        <f>IF(CE170&lt;CF170,$A170,B_MAX+1)</f>
        <v>401.0</v>
      </c>
      <c r="CK170" s="13">
        <f>IF(CB170=1,$CB$35,$CB$36)</f>
        <v>1560.1194073886782</v>
      </c>
      <c r="CL170" s="13">
        <f>OCC_DAYS*$CB$41*R_NF_2023-CD170*MCD_SHARE_FREED*R_WAIT_2023</f>
        <v>37367.159242427646</v>
      </c>
      <c r="CM170">
        <f>IF($A170&lt;=$CB$45,1,0)</f>
        <v>1</v>
      </c>
      <c r="DB170">
        <f>IF($DB$31&lt;=$DB$32,IF($A170&lt;=$DB$7,1,2),IF($A170&lt;=RUNG_BEDS_2,2,1))</f>
        <v>1</v>
      </c>
      <c r="DC170" s="5">
        <f>MIN(1,MAX(0,$DB$26-($A170-1)))</f>
        <v>1</v>
      </c>
      <c r="DD170" s="5">
        <f>$DB$25*(DC170+(1-DC170)*$DB$16)</f>
        <v>252.05322714681438</v>
      </c>
      <c r="DE170" s="13">
        <f>DD170*($DB$6+ACUTE_MARGIN)</f>
        <v>254573.7594182825</v>
      </c>
      <c r="DF170" s="13">
        <f>IF(DB170=1,$DB$31,$DB$32)</f>
        <v>152394.16214437486</v>
      </c>
      <c r="DG170" s="13">
        <f>DE170-DF170</f>
        <v>102179.59727390765</v>
      </c>
      <c r="DH170" s="13">
        <f>DH169+DG170</f>
        <v>8889624.962829968</v>
      </c>
      <c r="DI170">
        <f>IF(DH170=MAX($DH$83:$DH$483),$A170,0)</f>
        <v>0</v>
      </c>
      <c r="DJ170">
        <f>IF(DE170&lt;DF170,$A170,B_MAX+1)</f>
        <v>401.0</v>
      </c>
      <c r="DK170" s="13">
        <f>IF(DB170=1,$DB$35,$DB$36)</f>
        <v>0</v>
      </c>
      <c r="DL170" s="13">
        <f>OCC_DAYS*$DB$41*R_NF_2023-DD170*MCD_SHARE_FREED*R_WAIT_2023</f>
        <v>37367.159242427646</v>
      </c>
      <c r="DM170">
        <f>IF($A170&lt;=$DB$45,1,0)</f>
        <v>1</v>
      </c>
      <c r="EB170">
        <f>IF($EB$31&lt;=$EB$32,IF($A170&lt;=$EB$7,1,2),IF($A170&lt;=RUNG_BEDS_2,2,1))</f>
        <v>1</v>
      </c>
      <c r="EC170" s="5">
        <f>MIN(1,MAX(0,$EB$26-($A170-1)))</f>
        <v>1</v>
      </c>
      <c r="ED170" s="5">
        <f>$EB$25*(EC170+(1-EC170)*$EB$16)</f>
        <v>252.05322714681438</v>
      </c>
      <c r="EE170" s="13">
        <f>ED170*($EB$6+ACUTE_MARGIN)</f>
        <v>254573.7594182825</v>
      </c>
      <c r="EF170" s="13">
        <f>IF(EB170=1,$EB$31,$EB$32)</f>
        <v>152394.16214437486</v>
      </c>
      <c r="EG170" s="13">
        <f>EE170-EF170</f>
        <v>102179.59727390765</v>
      </c>
      <c r="EH170" s="13">
        <f>EH169+EG170</f>
        <v>8889624.962829968</v>
      </c>
      <c r="EI170">
        <f>IF(EH170=MAX($EH$83:$EH$483),$A170,0)</f>
        <v>0</v>
      </c>
      <c r="EJ170">
        <f>IF(EE170&lt;EF170,$A170,B_MAX+1)</f>
        <v>401.0</v>
      </c>
      <c r="EK170" s="13">
        <f>IF(EB170=1,$EB$35,$EB$36)</f>
        <v>0</v>
      </c>
      <c r="EL170" s="13">
        <f>OCC_DAYS*$EB$41*R_NF_2023-ED170*MCD_SHARE_FREED*R_WAIT_2023</f>
        <v>-63953.16263896705</v>
      </c>
      <c r="EM170">
        <f>IF($A170&lt;=$EB$45,1,0)</f>
        <v>1</v>
      </c>
      <c r="FB170">
        <f>IF($FB$31&lt;=$FB$32,IF($A170&lt;=$FB$7,1,2),IF($A170&lt;=RUNG_BEDS_2,2,1))</f>
        <v>1</v>
      </c>
      <c r="FC170" s="5">
        <f>MIN(1,MAX(0,$FB$26-($A170-1)))</f>
        <v>1</v>
      </c>
      <c r="FD170" s="5">
        <f>$FB$25*(FC170+(1-FC170)*$FB$16)</f>
        <v>252.05322714681438</v>
      </c>
      <c r="FE170" s="13">
        <f>FD170*($FB$6+ACUTE_MARGIN)</f>
        <v>254573.7594182825</v>
      </c>
      <c r="FF170" s="13">
        <f>IF(FB170=1,$FB$31,$FB$32)</f>
        <v>156636.04979437485</v>
      </c>
      <c r="FG170" s="13">
        <f>FE170-FF170</f>
        <v>97937.70962390766</v>
      </c>
      <c r="FH170" s="13">
        <f>FH169+FG170</f>
        <v>8520580.737279966</v>
      </c>
      <c r="FI170">
        <f>IF(FH170=MAX($FH$83:$FH$483),$A170,0)</f>
        <v>0</v>
      </c>
      <c r="FJ170">
        <f>IF(FE170&lt;FF170,$A170,B_MAX+1)</f>
        <v>401.0</v>
      </c>
      <c r="FK170" s="13">
        <f>IF(FB170=1,$FB$35,$FB$36)</f>
        <v>0</v>
      </c>
      <c r="FL170" s="13">
        <f>OCC_DAYS*$FB$41*R_NF_2023-FD170*MCD_SHARE_FREED*R_WAIT_2023</f>
        <v>37367.159242427646</v>
      </c>
      <c r="FM170">
        <f>IF($A170&lt;=$FB$45,1,0)</f>
        <v>1</v>
      </c>
      <c r="GB170">
        <f>IF($GB$31&lt;=$GB$32,IF($A170&lt;=$GB$7,1,2),IF($A170&lt;=RUNG_BEDS_2,2,1))</f>
        <v>1</v>
      </c>
      <c r="GC170" s="5">
        <f>MIN(1,MAX(0,$GB$26-($A170-1)))</f>
        <v>1</v>
      </c>
      <c r="GD170" s="5">
        <f>$GB$25*(GC170+(1-GC170)*$GB$16)</f>
        <v>252.05322714681438</v>
      </c>
      <c r="GE170" s="13">
        <f>GD170*($GB$6+ACUTE_MARGIN)</f>
        <v>254573.7594182825</v>
      </c>
      <c r="GF170" s="13">
        <f>IF(GB170=1,$GB$31,$GB$32)</f>
        <v>152394.16214437486</v>
      </c>
      <c r="GG170" s="13">
        <f>GE170-GF170</f>
        <v>102179.59727390765</v>
      </c>
      <c r="GH170" s="13">
        <f>GH169+GG170</f>
        <v>8889624.962829968</v>
      </c>
      <c r="GI170">
        <f>IF(GH170=MAX($GH$83:$GH$483),$A170,0)</f>
        <v>0</v>
      </c>
      <c r="GJ170">
        <f>IF(GE170&lt;GF170,$A170,B_MAX+1)</f>
        <v>401.0</v>
      </c>
      <c r="GK170" s="13">
        <f>IF(GB170=1,$GB$35,$GB$36)</f>
        <v>0</v>
      </c>
      <c r="GL170" s="13">
        <f>OCC_DAYS*$GB$41*R_NF_2023-GD170*MCD_SHARE_FREED*R_WAIT_2023</f>
        <v>37367.159242427646</v>
      </c>
      <c r="GM170">
        <f>IF($A170&lt;=$GB$45,1,0)</f>
        <v>1</v>
      </c>
      <c r="HB170">
        <f>IF($HB$31&lt;=$HB$32,IF($A170&lt;=$HB$7,1,2),IF($A170&lt;=RUNG_BEDS_2,2,1))</f>
        <v>1</v>
      </c>
      <c r="HC170" s="5">
        <f>MIN(1,MAX(0,$HB$26-($A170-1)))</f>
        <v>1</v>
      </c>
      <c r="HD170" s="5">
        <f>$HB$25*(HC170+(1-HC170)*$HB$16)</f>
        <v>252.05322714681438</v>
      </c>
      <c r="HE170" s="13">
        <f>HD170*($HB$6+ACUTE_MARGIN)</f>
        <v>254573.7594182825</v>
      </c>
      <c r="HF170" s="13">
        <f>IF(HB170=1,$HB$31,$HB$32)</f>
        <v>152456.2970814058</v>
      </c>
      <c r="HG170" s="13">
        <f>HE170-HF170</f>
        <v>102117.46233687672</v>
      </c>
      <c r="HH170" s="13">
        <f>HH169+HG170</f>
        <v>8884219.223308269</v>
      </c>
      <c r="HI170">
        <f>IF(HH170=MAX($HH$83:$HH$483),$A170,0)</f>
        <v>0</v>
      </c>
      <c r="HJ170">
        <f>IF(HE170&lt;HF170,$A170,B_MAX+1)</f>
        <v>401.0</v>
      </c>
      <c r="HK170" s="13">
        <f>IF(HB170=1,$HB$35,$HB$36)</f>
        <v>0</v>
      </c>
      <c r="HL170" s="13">
        <f>OCC_DAYS*$HB$41*R_NF_2023-HD170*MCD_SHARE_FREED*R_WAIT_2023</f>
        <v>37367.159242427646</v>
      </c>
      <c r="HM170">
        <f>IF($A170&lt;=$HB$45,1,0)</f>
        <v>1</v>
      </c>
      <c r="IB170">
        <f>IF($IB$31&lt;=$IB$32,IF($A170&lt;=$IB$7,1,2),IF($A170&lt;=RUNG_BEDS_2,2,1))</f>
        <v>1</v>
      </c>
      <c r="IC170" s="5">
        <f>MIN(1,MAX(0,$IB$26-($A170-1)))</f>
        <v>1</v>
      </c>
      <c r="ID170" s="5">
        <f>$IB$25*(IC170+(1-IC170)*$IB$16)</f>
        <v>252.05322714681438</v>
      </c>
      <c r="IE170" s="13">
        <f>ID170*($IB$6+ACUTE_MARGIN)</f>
        <v>254573.7594182825</v>
      </c>
      <c r="IF170" s="13">
        <f>IF(IB170=1,$IB$31,$IB$32)</f>
        <v>152734.9994534971</v>
      </c>
      <c r="IG170" s="13">
        <f>IE170-IF170</f>
        <v>101838.75996478542</v>
      </c>
      <c r="IH170" s="13">
        <f>IH169+IG170</f>
        <v>8859972.116936335</v>
      </c>
      <c r="II170">
        <f>IF(IH170=MAX($IH$83:$IH$483),$A170,0)</f>
        <v>0</v>
      </c>
      <c r="IJ170">
        <f>IF(IE170&lt;IF170,$A170,B_MAX+1)</f>
        <v>401.0</v>
      </c>
      <c r="IK170" s="13">
        <f>IF(IB170=1,$IB$35,$IB$36)</f>
        <v>0</v>
      </c>
      <c r="IL170" s="13">
        <f>OCC_DAYS*$IB$41*R_NF_2023-ID170*MCD_SHARE_FREED*R_WAIT_2023</f>
        <v>37367.159242427646</v>
      </c>
      <c r="IM170">
        <f>IF($A170&lt;=$IB$45,1,0)</f>
        <v>1</v>
      </c>
      <c r="JB170">
        <f>IF($JB$31&lt;=$JB$32,IF($A170&lt;=$JB$7,1,2),IF($A170&lt;=RUNG_BEDS_2,2,1))</f>
        <v>1</v>
      </c>
      <c r="JC170" s="5">
        <f>MIN(1,MAX(0,$JB$26-($A170-1)))</f>
        <v>1</v>
      </c>
      <c r="JD170" s="5">
        <f>$JB$25*(JC170+(1-JC170)*$JB$16)</f>
        <v>252.05322714681438</v>
      </c>
      <c r="JE170" s="13">
        <f>JD170*($JB$6+ACUTE_MARGIN)</f>
        <v>254573.7594182825</v>
      </c>
      <c r="JF170" s="13">
        <f>IF(JB170=1,$JB$31,$JB$32)</f>
        <v>152394.16214437486</v>
      </c>
      <c r="JG170" s="13">
        <f>JE170-JF170</f>
        <v>102179.59727390765</v>
      </c>
      <c r="JH170" s="13">
        <f>JH169+JG170</f>
        <v>8889624.962829968</v>
      </c>
      <c r="JI170">
        <f>IF(JH170=MAX($JH$83:$JH$483),$A170,0)</f>
        <v>0</v>
      </c>
      <c r="JJ170">
        <f>IF(JE170&lt;JF170,$A170,B_MAX+1)</f>
        <v>401.0</v>
      </c>
      <c r="JK170" s="13">
        <f>IF(JB170=1,$JB$35,$JB$36)</f>
        <v>0</v>
      </c>
      <c r="JL170" s="13">
        <f>OCC_DAYS*$JB$41*R_NF_2023-JD170*MCD_SHARE_FREED*R_WAIT_2023</f>
        <v>37367.159242427646</v>
      </c>
      <c r="JM170">
        <f>IF($A170&lt;=$JB$45,1,0)</f>
        <v>1</v>
      </c>
      <c r="KB170">
        <f>IF($KB$31&lt;=$KB$32,IF($A170&lt;=$KB$7,1,2),IF($A170&lt;=RUNG_BEDS_2,2,1))</f>
        <v>1</v>
      </c>
      <c r="KC170" s="5">
        <f>MIN(1,MAX(0,$KB$26-($A170-1)))</f>
        <v>1</v>
      </c>
      <c r="KD170" s="5">
        <f>$KB$25*(KC170+(1-KC170)*$KB$16)</f>
        <v>126.02661357340719</v>
      </c>
      <c r="KE170" s="13">
        <f>KD170*($KB$6+ACUTE_MARGIN)</f>
        <v>127286.87970914126</v>
      </c>
      <c r="KF170" s="13">
        <f>IF(KB170=1,$KB$31,$KB$32)</f>
        <v>152394.16214437486</v>
      </c>
      <c r="KG170" s="13">
        <f>KE170-KF170</f>
        <v>-25107.282435233603</v>
      </c>
      <c r="KH170" s="13">
        <f>KH169+KG170</f>
        <v>-2184333.5718653277</v>
      </c>
      <c r="KI170">
        <f>IF(KH170=MAX($KH$83:$KH$483),$A170,0)</f>
        <v>0</v>
      </c>
      <c r="KJ170">
        <f>IF(KE170&lt;KF170,$A170,B_MAX+1)</f>
        <v>87</v>
      </c>
      <c r="KK170" s="13">
        <f>IF(KB170=1,$KB$35,$KB$36)</f>
        <v>0</v>
      </c>
      <c r="KL170" s="13">
        <f>OCC_DAYS*$KB$41*R_NF_2023-KD170*MCD_SHARE_FREED*R_WAIT_2023</f>
        <v>94673.82103225985</v>
      </c>
      <c r="KM170">
        <f>IF($A170&lt;=$KB$45,1,0)</f>
        <v>0</v>
      </c>
      <c r="LB170">
        <f>IF($LB$31&lt;=$LB$32,IF($A170&lt;=$LB$7,1,2),IF($A170&lt;=RUNG_BEDS_2,2,1))</f>
        <v>1</v>
      </c>
      <c r="LC170" s="5">
        <f>MIN(1,MAX(0,$LB$26-($A170-1)))</f>
        <v>1</v>
      </c>
      <c r="LD170" s="5">
        <f>$LB$25*(LC170+(1-LC170)*$LB$16)</f>
        <v>84.01774238227146</v>
      </c>
      <c r="LE170" s="13">
        <f>LD170*($LB$6+ACUTE_MARGIN)</f>
        <v>84857.91980609419</v>
      </c>
      <c r="LF170" s="13">
        <f>IF(LB170=1,$LB$31,$LB$32)</f>
        <v>152394.16214437486</v>
      </c>
      <c r="LG170" s="13">
        <f>LE170-LF170</f>
        <v>-67536.24233828067</v>
      </c>
      <c r="LH170" s="13">
        <f>LH169+LG170</f>
        <v>-5875653.083430429</v>
      </c>
      <c r="LI170">
        <f>IF(LH170=MAX($LH$83:$LH$483),$A170,0)</f>
        <v>0</v>
      </c>
      <c r="LJ170">
        <f>IF(LE170&lt;LF170,$A170,B_MAX+1)</f>
        <v>87</v>
      </c>
      <c r="LK170" s="13">
        <f>IF(LB170=1,$LB$35,$LB$36)</f>
        <v>0</v>
      </c>
      <c r="LL170" s="13">
        <f>OCC_DAYS*$LB$41*R_NF_2023-LD170*MCD_SHARE_FREED*R_WAIT_2023</f>
        <v>113776.04162887059</v>
      </c>
      <c r="LM170">
        <f>IF($A170&lt;=$LB$45,1,0)</f>
        <v>0</v>
      </c>
      <c r="MB170">
        <f>IF($MB$31&lt;=$MB$32,IF($A170&lt;=$MB$7,1,2),IF($A170&lt;=RUNG_BEDS_2,2,1))</f>
        <v>1</v>
      </c>
      <c r="MC170" s="5">
        <f>MIN(1,MAX(0,$MB$26-($A170-1)))</f>
        <v>1</v>
      </c>
      <c r="MD170" s="5">
        <f>$MB$25*(MC170+(1-MC170)*$MB$16)</f>
        <v>213.44610951008647</v>
      </c>
      <c r="ME170" s="13">
        <f>MD170*($MB$6+ACUTE_MARGIN)</f>
        <v>215580.57060518733</v>
      </c>
      <c r="MF170" s="13">
        <f>IF(MB170=1,$MB$31,$MB$32)</f>
        <v>152394.16214437486</v>
      </c>
      <c r="MG170" s="13">
        <f>ME170-MF170</f>
        <v>63186.40846081247</v>
      </c>
      <c r="MH170" s="13">
        <f>MH169+MG170</f>
        <v>5497217.5360906925</v>
      </c>
      <c r="MI170">
        <f>IF(MH170=MAX($MH$83:$MH$483),$A170,0)</f>
        <v>0</v>
      </c>
      <c r="MJ170">
        <f>IF(ME170&lt;MF170,$A170,B_MAX+1)</f>
        <v>401.0</v>
      </c>
      <c r="MK170" s="13">
        <f>IF(MB170=1,$MB$35,$MB$36)</f>
        <v>0</v>
      </c>
      <c r="ML170" s="13">
        <f>OCC_DAYS*$MB$41*R_NF_2023-MD170*MCD_SHARE_FREED*R_WAIT_2023</f>
        <v>54922.538779778624</v>
      </c>
      <c r="MM170">
        <f>IF($A170&lt;=$MB$45,1,0)</f>
        <v>1</v>
      </c>
      <c r="NB170">
        <f>IF($NB$31&lt;=$NB$32,IF($A170&lt;=$NB$7,1,2),IF($A170&lt;=RUNG_BEDS_2,2,1))</f>
        <v>1</v>
      </c>
      <c r="NC170" s="5">
        <f>MIN(1,MAX(0,$NB$26-($A170-1)))</f>
        <v>1</v>
      </c>
      <c r="ND170" s="5">
        <f>$NB$25*(NC170+(1-NC170)*$NB$16)</f>
        <v>252.05322714681438</v>
      </c>
      <c r="NE170" s="13">
        <f>ND170*($NB$6+ACUTE_MARGIN)</f>
        <v>254573.7594182825</v>
      </c>
      <c r="NF170" s="13">
        <f>IF(NB170=1,$NB$31,$NB$32)</f>
        <v>152394.16214437486</v>
      </c>
      <c r="NG170" s="13">
        <f>NE170-NF170</f>
        <v>102179.59727390765</v>
      </c>
      <c r="NH170" s="13">
        <f>NH169+NG170</f>
        <v>8889624.962829968</v>
      </c>
      <c r="NI170">
        <f>IF(NH170=MAX($NH$83:$NH$483),$A170,0)</f>
        <v>0</v>
      </c>
      <c r="NJ170">
        <f>IF(NE170&lt;NF170,$A170,B_MAX+1)</f>
        <v>401.0</v>
      </c>
      <c r="NK170" s="13">
        <f>IF(NB170=1,$NB$35,$NB$36)</f>
        <v>0</v>
      </c>
      <c r="NL170" s="13">
        <f>OCC_DAYS*$NB$41*R_NF_2023-ND170*MCD_SHARE_FREED*R_WAIT_2023</f>
        <v>37367.159242427646</v>
      </c>
      <c r="NM170">
        <f>IF($A170&lt;=$NB$45,1,0)</f>
        <v>1</v>
      </c>
      <c r="OB170">
        <f>IF($OB$31&lt;=$OB$32,IF($A170&lt;=$OB$7,1,2),IF($A170&lt;=RUNG_BEDS_2,2,1))</f>
        <v>1</v>
      </c>
      <c r="OC170" s="5">
        <f>MIN(1,MAX(0,$OB$26-($A170-1)))</f>
        <v>1</v>
      </c>
      <c r="OD170" s="5">
        <f>$OB$25*(OC170+(1-OC170)*$OB$16)</f>
        <v>252.05322714681438</v>
      </c>
      <c r="OE170" s="13">
        <f>OD170*($OB$6+ACUTE_MARGIN)</f>
        <v>254573.7594182825</v>
      </c>
      <c r="OF170" s="13">
        <f>IF(OB170=1,$OB$31,$OB$32)</f>
        <v>152394.16214437486</v>
      </c>
      <c r="OG170" s="13">
        <f>OE170-OF170</f>
        <v>102179.59727390765</v>
      </c>
      <c r="OH170" s="13">
        <f>OH169+OG170</f>
        <v>8889624.962829968</v>
      </c>
      <c r="OI170">
        <f>IF(OH170=MAX($OH$83:$OH$483),$A170,0)</f>
        <v>0</v>
      </c>
      <c r="OJ170">
        <f>IF(OE170&lt;OF170,$A170,B_MAX+1)</f>
        <v>401.0</v>
      </c>
      <c r="OK170" s="13">
        <f>IF(OB170=1,$OB$35,$OB$36)</f>
        <v>0</v>
      </c>
      <c r="OL170" s="13">
        <f>OCC_DAYS*$OB$41*R_NF_2023-OD170*MCD_SHARE_FREED*R_WAIT_2023</f>
        <v>37367.159242427646</v>
      </c>
      <c r="OM170">
        <f>IF($A170&lt;=$OB$45,1,0)</f>
        <v>1</v>
      </c>
    </row>
    <row r="171">
      <c r="A171" t="n">
        <v>88</v>
      </c>
      <c r="B171">
        <f>IF($B$31&lt;=$B$32,IF($A171&lt;=$B$7,1,2),IF($A171&lt;=RUNG_BEDS_2,2,1))</f>
        <v>1</v>
      </c>
      <c r="C171" s="5">
        <f>MIN(1,MAX(0,$B$26-($A171-1)))</f>
        <v>1</v>
      </c>
      <c r="D171" s="5">
        <f>$B$25*(C171+(1-C171)*$B$16)</f>
        <v>252.05322714681438</v>
      </c>
      <c r="E171" s="13">
        <f>D171*($B$6+ACUTE_MARGIN)</f>
        <v>254573.7594182825</v>
      </c>
      <c r="F171" s="13">
        <f>IF(B171=1,$B$31,$B$32)</f>
        <v>152394.16214437486</v>
      </c>
      <c r="G171" s="13">
        <f>E171-F171</f>
        <v>102179.59727390765</v>
      </c>
      <c r="H171" s="13">
        <f>H170+G171</f>
        <v>8991804.560103877</v>
      </c>
      <c r="I171">
        <f>IF(H171=MAX($H$83:$H$483),$A171,0)</f>
        <v>0</v>
      </c>
      <c r="J171">
        <f>IF(E171&lt;F171,$A171,B_MAX+1)</f>
        <v>401.0</v>
      </c>
      <c r="K171" s="13">
        <f>IF(B171=1,$B$35,$B$36)</f>
        <v>0</v>
      </c>
      <c r="L171" s="13">
        <f>OCC_DAYS*$B$41*R_NF_2023-D171*MCD_SHARE_FREED*R_WAIT_2023</f>
        <v>37367.159242427646</v>
      </c>
      <c r="M171">
        <f>IF($A171&lt;=$B$45,1,0)</f>
        <v>1</v>
      </c>
      <c r="AB171">
        <f>IF($AB$31&lt;=$AB$32,IF($A171&lt;=$AB$7,1,2),IF($A171&lt;=RUNG_BEDS_2,2,1))</f>
        <v>1</v>
      </c>
      <c r="AC171" s="5">
        <f>MIN(1,MAX(0,$AB$26-($A171-1)))</f>
        <v>1</v>
      </c>
      <c r="AD171" s="5">
        <f>$AB$25*(AC171+(1-AC171)*$AB$16)</f>
        <v>252.05322714681438</v>
      </c>
      <c r="AE171" s="13">
        <f>AD171*($AB$6+ACUTE_MARGIN)</f>
        <v>138629.2749307479</v>
      </c>
      <c r="AF171" s="13">
        <f>IF(AB171=1,$AB$31,$AB$32)</f>
        <v>152394.16214437486</v>
      </c>
      <c r="AG171" s="13">
        <f>AE171-AF171</f>
        <v>-13764.887213626964</v>
      </c>
      <c r="AH171" s="13">
        <f>AH170+AG171</f>
        <v>-1211310.0747991735</v>
      </c>
      <c r="AI171">
        <f>IF(AH171=MAX($AH$83:$AH$483),$A171,0)</f>
        <v>0</v>
      </c>
      <c r="AJ171">
        <f>IF(AE171&lt;AF171,$A171,B_MAX+1)</f>
        <v>88</v>
      </c>
      <c r="AK171" s="13">
        <f>IF(AB171=1,$AB$35,$AB$36)</f>
        <v>0</v>
      </c>
      <c r="AL171" s="13">
        <f>OCC_DAYS*$AB$41*R_NF_2023-AD171*MCD_SHARE_FREED*R_WAIT_2023</f>
        <v>37367.159242427646</v>
      </c>
      <c r="AM171">
        <f>IF($A171&lt;=$AB$45,1,0)</f>
        <v>0</v>
      </c>
      <c r="BB171">
        <f>IF($BB$31&lt;=$BB$32,IF($A171&lt;=$BB$7,1,2),IF($A171&lt;=RUNG_BEDS_2,2,1))</f>
        <v>1</v>
      </c>
      <c r="BC171" s="5">
        <f>MIN(1,MAX(0,$BB$26-($A171-1)))</f>
        <v>1</v>
      </c>
      <c r="BD171" s="5">
        <f>$BB$25*(BC171+(1-BC171)*$BB$16)</f>
        <v>252.05322714681438</v>
      </c>
      <c r="BE171" s="13">
        <f>BD171*($BB$6+ACUTE_MARGIN)</f>
        <v>370518.24390581716</v>
      </c>
      <c r="BF171" s="13">
        <f>IF(BB171=1,$BB$31,$BB$32)</f>
        <v>152394.16214437486</v>
      </c>
      <c r="BG171" s="13">
        <f>BE171-BF171</f>
        <v>218124.0817614423</v>
      </c>
      <c r="BH171" s="13">
        <f>BH170+BG171</f>
        <v>19194919.19500691</v>
      </c>
      <c r="BI171">
        <f>IF(BH171=MAX($BH$83:$BH$483),$A171,0)</f>
        <v>0</v>
      </c>
      <c r="BJ171">
        <f>IF(BE171&lt;BF171,$A171,B_MAX+1)</f>
        <v>401.0</v>
      </c>
      <c r="BK171" s="13">
        <f>IF(BB171=1,$BB$35,$BB$36)</f>
        <v>0</v>
      </c>
      <c r="BL171" s="13">
        <f>OCC_DAYS*$BB$41*R_NF_2023-BD171*MCD_SHARE_FREED*R_WAIT_2023</f>
        <v>37367.159242427646</v>
      </c>
      <c r="BM171">
        <f>IF($A171&lt;=$BB$45,1,0)</f>
        <v>1</v>
      </c>
      <c r="CB171">
        <f>IF($CB$31&lt;=$CB$32,IF($A171&lt;=$CB$7,1,2),IF($A171&lt;=RUNG_BEDS_2,2,1))</f>
        <v>2</v>
      </c>
      <c r="CC171" s="5">
        <f>MIN(1,MAX(0,$CB$26-($A171-1)))</f>
        <v>1</v>
      </c>
      <c r="CD171" s="5">
        <f>$CB$25*(CC171+(1-CC171)*$CB$16)</f>
        <v>252.05322714681438</v>
      </c>
      <c r="CE171" s="13">
        <f>CD171*($CB$6+ACUTE_MARGIN)</f>
        <v>254573.7594182825</v>
      </c>
      <c r="CF171" s="13">
        <f>IF(CB171=1,$CB$31,$CB$32)</f>
        <v>160718.36940738867</v>
      </c>
      <c r="CG171" s="13">
        <f>CE171-CF171</f>
        <v>93855.39001089384</v>
      </c>
      <c r="CH171" s="13">
        <f>CH170+CG171</f>
        <v>8259274.320958676</v>
      </c>
      <c r="CI171">
        <f>IF(CH171=MAX($CH$83:$CH$483),$A171,0)</f>
        <v>0</v>
      </c>
      <c r="CJ171">
        <f>IF(CE171&lt;CF171,$A171,B_MAX+1)</f>
        <v>401.0</v>
      </c>
      <c r="CK171" s="13">
        <f>IF(CB171=1,$CB$35,$CB$36)</f>
        <v>1560.1194073886782</v>
      </c>
      <c r="CL171" s="13">
        <f>OCC_DAYS*$CB$41*R_NF_2023-CD171*MCD_SHARE_FREED*R_WAIT_2023</f>
        <v>37367.159242427646</v>
      </c>
      <c r="CM171">
        <f>IF($A171&lt;=$CB$45,1,0)</f>
        <v>1</v>
      </c>
      <c r="DB171">
        <f>IF($DB$31&lt;=$DB$32,IF($A171&lt;=$DB$7,1,2),IF($A171&lt;=RUNG_BEDS_2,2,1))</f>
        <v>1</v>
      </c>
      <c r="DC171" s="5">
        <f>MIN(1,MAX(0,$DB$26-($A171-1)))</f>
        <v>1</v>
      </c>
      <c r="DD171" s="5">
        <f>$DB$25*(DC171+(1-DC171)*$DB$16)</f>
        <v>252.05322714681438</v>
      </c>
      <c r="DE171" s="13">
        <f>DD171*($DB$6+ACUTE_MARGIN)</f>
        <v>254573.7594182825</v>
      </c>
      <c r="DF171" s="13">
        <f>IF(DB171=1,$DB$31,$DB$32)</f>
        <v>152394.16214437486</v>
      </c>
      <c r="DG171" s="13">
        <f>DE171-DF171</f>
        <v>102179.59727390765</v>
      </c>
      <c r="DH171" s="13">
        <f>DH170+DG171</f>
        <v>8991804.560103877</v>
      </c>
      <c r="DI171">
        <f>IF(DH171=MAX($DH$83:$DH$483),$A171,0)</f>
        <v>0</v>
      </c>
      <c r="DJ171">
        <f>IF(DE171&lt;DF171,$A171,B_MAX+1)</f>
        <v>401.0</v>
      </c>
      <c r="DK171" s="13">
        <f>IF(DB171=1,$DB$35,$DB$36)</f>
        <v>0</v>
      </c>
      <c r="DL171" s="13">
        <f>OCC_DAYS*$DB$41*R_NF_2023-DD171*MCD_SHARE_FREED*R_WAIT_2023</f>
        <v>37367.159242427646</v>
      </c>
      <c r="DM171">
        <f>IF($A171&lt;=$DB$45,1,0)</f>
        <v>1</v>
      </c>
      <c r="EB171">
        <f>IF($EB$31&lt;=$EB$32,IF($A171&lt;=$EB$7,1,2),IF($A171&lt;=RUNG_BEDS_2,2,1))</f>
        <v>1</v>
      </c>
      <c r="EC171" s="5">
        <f>MIN(1,MAX(0,$EB$26-($A171-1)))</f>
        <v>1</v>
      </c>
      <c r="ED171" s="5">
        <f>$EB$25*(EC171+(1-EC171)*$EB$16)</f>
        <v>252.05322714681438</v>
      </c>
      <c r="EE171" s="13">
        <f>ED171*($EB$6+ACUTE_MARGIN)</f>
        <v>254573.7594182825</v>
      </c>
      <c r="EF171" s="13">
        <f>IF(EB171=1,$EB$31,$EB$32)</f>
        <v>152394.16214437486</v>
      </c>
      <c r="EG171" s="13">
        <f>EE171-EF171</f>
        <v>102179.59727390765</v>
      </c>
      <c r="EH171" s="13">
        <f>EH170+EG171</f>
        <v>8991804.560103877</v>
      </c>
      <c r="EI171">
        <f>IF(EH171=MAX($EH$83:$EH$483),$A171,0)</f>
        <v>0</v>
      </c>
      <c r="EJ171">
        <f>IF(EE171&lt;EF171,$A171,B_MAX+1)</f>
        <v>401.0</v>
      </c>
      <c r="EK171" s="13">
        <f>IF(EB171=1,$EB$35,$EB$36)</f>
        <v>0</v>
      </c>
      <c r="EL171" s="13">
        <f>OCC_DAYS*$EB$41*R_NF_2023-ED171*MCD_SHARE_FREED*R_WAIT_2023</f>
        <v>-63953.16263896705</v>
      </c>
      <c r="EM171">
        <f>IF($A171&lt;=$EB$45,1,0)</f>
        <v>1</v>
      </c>
      <c r="FB171">
        <f>IF($FB$31&lt;=$FB$32,IF($A171&lt;=$FB$7,1,2),IF($A171&lt;=RUNG_BEDS_2,2,1))</f>
        <v>1</v>
      </c>
      <c r="FC171" s="5">
        <f>MIN(1,MAX(0,$FB$26-($A171-1)))</f>
        <v>1</v>
      </c>
      <c r="FD171" s="5">
        <f>$FB$25*(FC171+(1-FC171)*$FB$16)</f>
        <v>252.05322714681438</v>
      </c>
      <c r="FE171" s="13">
        <f>FD171*($FB$6+ACUTE_MARGIN)</f>
        <v>254573.7594182825</v>
      </c>
      <c r="FF171" s="13">
        <f>IF(FB171=1,$FB$31,$FB$32)</f>
        <v>156636.04979437485</v>
      </c>
      <c r="FG171" s="13">
        <f>FE171-FF171</f>
        <v>97937.70962390766</v>
      </c>
      <c r="FH171" s="13">
        <f>FH170+FG171</f>
        <v>8618518.446903873</v>
      </c>
      <c r="FI171">
        <f>IF(FH171=MAX($FH$83:$FH$483),$A171,0)</f>
        <v>0</v>
      </c>
      <c r="FJ171">
        <f>IF(FE171&lt;FF171,$A171,B_MAX+1)</f>
        <v>401.0</v>
      </c>
      <c r="FK171" s="13">
        <f>IF(FB171=1,$FB$35,$FB$36)</f>
        <v>0</v>
      </c>
      <c r="FL171" s="13">
        <f>OCC_DAYS*$FB$41*R_NF_2023-FD171*MCD_SHARE_FREED*R_WAIT_2023</f>
        <v>37367.159242427646</v>
      </c>
      <c r="FM171">
        <f>IF($A171&lt;=$FB$45,1,0)</f>
        <v>1</v>
      </c>
      <c r="GB171">
        <f>IF($GB$31&lt;=$GB$32,IF($A171&lt;=$GB$7,1,2),IF($A171&lt;=RUNG_BEDS_2,2,1))</f>
        <v>1</v>
      </c>
      <c r="GC171" s="5">
        <f>MIN(1,MAX(0,$GB$26-($A171-1)))</f>
        <v>1</v>
      </c>
      <c r="GD171" s="5">
        <f>$GB$25*(GC171+(1-GC171)*$GB$16)</f>
        <v>252.05322714681438</v>
      </c>
      <c r="GE171" s="13">
        <f>GD171*($GB$6+ACUTE_MARGIN)</f>
        <v>254573.7594182825</v>
      </c>
      <c r="GF171" s="13">
        <f>IF(GB171=1,$GB$31,$GB$32)</f>
        <v>152394.16214437486</v>
      </c>
      <c r="GG171" s="13">
        <f>GE171-GF171</f>
        <v>102179.59727390765</v>
      </c>
      <c r="GH171" s="13">
        <f>GH170+GG171</f>
        <v>8991804.560103877</v>
      </c>
      <c r="GI171">
        <f>IF(GH171=MAX($GH$83:$GH$483),$A171,0)</f>
        <v>0</v>
      </c>
      <c r="GJ171">
        <f>IF(GE171&lt;GF171,$A171,B_MAX+1)</f>
        <v>401.0</v>
      </c>
      <c r="GK171" s="13">
        <f>IF(GB171=1,$GB$35,$GB$36)</f>
        <v>0</v>
      </c>
      <c r="GL171" s="13">
        <f>OCC_DAYS*$GB$41*R_NF_2023-GD171*MCD_SHARE_FREED*R_WAIT_2023</f>
        <v>37367.159242427646</v>
      </c>
      <c r="GM171">
        <f>IF($A171&lt;=$GB$45,1,0)</f>
        <v>1</v>
      </c>
      <c r="HB171">
        <f>IF($HB$31&lt;=$HB$32,IF($A171&lt;=$HB$7,1,2),IF($A171&lt;=RUNG_BEDS_2,2,1))</f>
        <v>1</v>
      </c>
      <c r="HC171" s="5">
        <f>MIN(1,MAX(0,$HB$26-($A171-1)))</f>
        <v>1</v>
      </c>
      <c r="HD171" s="5">
        <f>$HB$25*(HC171+(1-HC171)*$HB$16)</f>
        <v>252.05322714681438</v>
      </c>
      <c r="HE171" s="13">
        <f>HD171*($HB$6+ACUTE_MARGIN)</f>
        <v>254573.7594182825</v>
      </c>
      <c r="HF171" s="13">
        <f>IF(HB171=1,$HB$31,$HB$32)</f>
        <v>152456.2970814058</v>
      </c>
      <c r="HG171" s="13">
        <f>HE171-HF171</f>
        <v>102117.46233687672</v>
      </c>
      <c r="HH171" s="13">
        <f>HH170+HG171</f>
        <v>8986336.685645146</v>
      </c>
      <c r="HI171">
        <f>IF(HH171=MAX($HH$83:$HH$483),$A171,0)</f>
        <v>0</v>
      </c>
      <c r="HJ171">
        <f>IF(HE171&lt;HF171,$A171,B_MAX+1)</f>
        <v>401.0</v>
      </c>
      <c r="HK171" s="13">
        <f>IF(HB171=1,$HB$35,$HB$36)</f>
        <v>0</v>
      </c>
      <c r="HL171" s="13">
        <f>OCC_DAYS*$HB$41*R_NF_2023-HD171*MCD_SHARE_FREED*R_WAIT_2023</f>
        <v>37367.159242427646</v>
      </c>
      <c r="HM171">
        <f>IF($A171&lt;=$HB$45,1,0)</f>
        <v>1</v>
      </c>
      <c r="IB171">
        <f>IF($IB$31&lt;=$IB$32,IF($A171&lt;=$IB$7,1,2),IF($A171&lt;=RUNG_BEDS_2,2,1))</f>
        <v>1</v>
      </c>
      <c r="IC171" s="5">
        <f>MIN(1,MAX(0,$IB$26-($A171-1)))</f>
        <v>1</v>
      </c>
      <c r="ID171" s="5">
        <f>$IB$25*(IC171+(1-IC171)*$IB$16)</f>
        <v>252.05322714681438</v>
      </c>
      <c r="IE171" s="13">
        <f>ID171*($IB$6+ACUTE_MARGIN)</f>
        <v>254573.7594182825</v>
      </c>
      <c r="IF171" s="13">
        <f>IF(IB171=1,$IB$31,$IB$32)</f>
        <v>152734.9994534971</v>
      </c>
      <c r="IG171" s="13">
        <f>IE171-IF171</f>
        <v>101838.75996478542</v>
      </c>
      <c r="IH171" s="13">
        <f>IH170+IG171</f>
        <v>8961810.87690112</v>
      </c>
      <c r="II171">
        <f>IF(IH171=MAX($IH$83:$IH$483),$A171,0)</f>
        <v>0</v>
      </c>
      <c r="IJ171">
        <f>IF(IE171&lt;IF171,$A171,B_MAX+1)</f>
        <v>401.0</v>
      </c>
      <c r="IK171" s="13">
        <f>IF(IB171=1,$IB$35,$IB$36)</f>
        <v>0</v>
      </c>
      <c r="IL171" s="13">
        <f>OCC_DAYS*$IB$41*R_NF_2023-ID171*MCD_SHARE_FREED*R_WAIT_2023</f>
        <v>37367.159242427646</v>
      </c>
      <c r="IM171">
        <f>IF($A171&lt;=$IB$45,1,0)</f>
        <v>1</v>
      </c>
      <c r="JB171">
        <f>IF($JB$31&lt;=$JB$32,IF($A171&lt;=$JB$7,1,2),IF($A171&lt;=RUNG_BEDS_2,2,1))</f>
        <v>1</v>
      </c>
      <c r="JC171" s="5">
        <f>MIN(1,MAX(0,$JB$26-($A171-1)))</f>
        <v>1</v>
      </c>
      <c r="JD171" s="5">
        <f>$JB$25*(JC171+(1-JC171)*$JB$16)</f>
        <v>252.05322714681438</v>
      </c>
      <c r="JE171" s="13">
        <f>JD171*($JB$6+ACUTE_MARGIN)</f>
        <v>254573.7594182825</v>
      </c>
      <c r="JF171" s="13">
        <f>IF(JB171=1,$JB$31,$JB$32)</f>
        <v>152394.16214437486</v>
      </c>
      <c r="JG171" s="13">
        <f>JE171-JF171</f>
        <v>102179.59727390765</v>
      </c>
      <c r="JH171" s="13">
        <f>JH170+JG171</f>
        <v>8991804.560103877</v>
      </c>
      <c r="JI171">
        <f>IF(JH171=MAX($JH$83:$JH$483),$A171,0)</f>
        <v>0</v>
      </c>
      <c r="JJ171">
        <f>IF(JE171&lt;JF171,$A171,B_MAX+1)</f>
        <v>401.0</v>
      </c>
      <c r="JK171" s="13">
        <f>IF(JB171=1,$JB$35,$JB$36)</f>
        <v>0</v>
      </c>
      <c r="JL171" s="13">
        <f>OCC_DAYS*$JB$41*R_NF_2023-JD171*MCD_SHARE_FREED*R_WAIT_2023</f>
        <v>37367.159242427646</v>
      </c>
      <c r="JM171">
        <f>IF($A171&lt;=$JB$45,1,0)</f>
        <v>1</v>
      </c>
      <c r="KB171">
        <f>IF($KB$31&lt;=$KB$32,IF($A171&lt;=$KB$7,1,2),IF($A171&lt;=RUNG_BEDS_2,2,1))</f>
        <v>1</v>
      </c>
      <c r="KC171" s="5">
        <f>MIN(1,MAX(0,$KB$26-($A171-1)))</f>
        <v>1</v>
      </c>
      <c r="KD171" s="5">
        <f>$KB$25*(KC171+(1-KC171)*$KB$16)</f>
        <v>126.02661357340719</v>
      </c>
      <c r="KE171" s="13">
        <f>KD171*($KB$6+ACUTE_MARGIN)</f>
        <v>127286.87970914126</v>
      </c>
      <c r="KF171" s="13">
        <f>IF(KB171=1,$KB$31,$KB$32)</f>
        <v>152394.16214437486</v>
      </c>
      <c r="KG171" s="13">
        <f>KE171-KF171</f>
        <v>-25107.282435233603</v>
      </c>
      <c r="KH171" s="13">
        <f>KH170+KG171</f>
        <v>-2209440.8543005614</v>
      </c>
      <c r="KI171">
        <f>IF(KH171=MAX($KH$83:$KH$483),$A171,0)</f>
        <v>0</v>
      </c>
      <c r="KJ171">
        <f>IF(KE171&lt;KF171,$A171,B_MAX+1)</f>
        <v>88</v>
      </c>
      <c r="KK171" s="13">
        <f>IF(KB171=1,$KB$35,$KB$36)</f>
        <v>0</v>
      </c>
      <c r="KL171" s="13">
        <f>OCC_DAYS*$KB$41*R_NF_2023-KD171*MCD_SHARE_FREED*R_WAIT_2023</f>
        <v>94673.82103225985</v>
      </c>
      <c r="KM171">
        <f>IF($A171&lt;=$KB$45,1,0)</f>
        <v>0</v>
      </c>
      <c r="LB171">
        <f>IF($LB$31&lt;=$LB$32,IF($A171&lt;=$LB$7,1,2),IF($A171&lt;=RUNG_BEDS_2,2,1))</f>
        <v>1</v>
      </c>
      <c r="LC171" s="5">
        <f>MIN(1,MAX(0,$LB$26-($A171-1)))</f>
        <v>1</v>
      </c>
      <c r="LD171" s="5">
        <f>$LB$25*(LC171+(1-LC171)*$LB$16)</f>
        <v>84.01774238227146</v>
      </c>
      <c r="LE171" s="13">
        <f>LD171*($LB$6+ACUTE_MARGIN)</f>
        <v>84857.91980609419</v>
      </c>
      <c r="LF171" s="13">
        <f>IF(LB171=1,$LB$31,$LB$32)</f>
        <v>152394.16214437486</v>
      </c>
      <c r="LG171" s="13">
        <f>LE171-LF171</f>
        <v>-67536.24233828067</v>
      </c>
      <c r="LH171" s="13">
        <f>LH170+LG171</f>
        <v>-5943189.32576871</v>
      </c>
      <c r="LI171">
        <f>IF(LH171=MAX($LH$83:$LH$483),$A171,0)</f>
        <v>0</v>
      </c>
      <c r="LJ171">
        <f>IF(LE171&lt;LF171,$A171,B_MAX+1)</f>
        <v>88</v>
      </c>
      <c r="LK171" s="13">
        <f>IF(LB171=1,$LB$35,$LB$36)</f>
        <v>0</v>
      </c>
      <c r="LL171" s="13">
        <f>OCC_DAYS*$LB$41*R_NF_2023-LD171*MCD_SHARE_FREED*R_WAIT_2023</f>
        <v>113776.04162887059</v>
      </c>
      <c r="LM171">
        <f>IF($A171&lt;=$LB$45,1,0)</f>
        <v>0</v>
      </c>
      <c r="MB171">
        <f>IF($MB$31&lt;=$MB$32,IF($A171&lt;=$MB$7,1,2),IF($A171&lt;=RUNG_BEDS_2,2,1))</f>
        <v>1</v>
      </c>
      <c r="MC171" s="5">
        <f>MIN(1,MAX(0,$MB$26-($A171-1)))</f>
        <v>1</v>
      </c>
      <c r="MD171" s="5">
        <f>$MB$25*(MC171+(1-MC171)*$MB$16)</f>
        <v>213.44610951008647</v>
      </c>
      <c r="ME171" s="13">
        <f>MD171*($MB$6+ACUTE_MARGIN)</f>
        <v>215580.57060518733</v>
      </c>
      <c r="MF171" s="13">
        <f>IF(MB171=1,$MB$31,$MB$32)</f>
        <v>152394.16214437486</v>
      </c>
      <c r="MG171" s="13">
        <f>ME171-MF171</f>
        <v>63186.40846081247</v>
      </c>
      <c r="MH171" s="13">
        <f>MH170+MG171</f>
        <v>5560403.944551505</v>
      </c>
      <c r="MI171">
        <f>IF(MH171=MAX($MH$83:$MH$483),$A171,0)</f>
        <v>0</v>
      </c>
      <c r="MJ171">
        <f>IF(ME171&lt;MF171,$A171,B_MAX+1)</f>
        <v>401.0</v>
      </c>
      <c r="MK171" s="13">
        <f>IF(MB171=1,$MB$35,$MB$36)</f>
        <v>0</v>
      </c>
      <c r="ML171" s="13">
        <f>OCC_DAYS*$MB$41*R_NF_2023-MD171*MCD_SHARE_FREED*R_WAIT_2023</f>
        <v>54922.538779778624</v>
      </c>
      <c r="MM171">
        <f>IF($A171&lt;=$MB$45,1,0)</f>
        <v>1</v>
      </c>
      <c r="NB171">
        <f>IF($NB$31&lt;=$NB$32,IF($A171&lt;=$NB$7,1,2),IF($A171&lt;=RUNG_BEDS_2,2,1))</f>
        <v>1</v>
      </c>
      <c r="NC171" s="5">
        <f>MIN(1,MAX(0,$NB$26-($A171-1)))</f>
        <v>1</v>
      </c>
      <c r="ND171" s="5">
        <f>$NB$25*(NC171+(1-NC171)*$NB$16)</f>
        <v>252.05322714681438</v>
      </c>
      <c r="NE171" s="13">
        <f>ND171*($NB$6+ACUTE_MARGIN)</f>
        <v>254573.7594182825</v>
      </c>
      <c r="NF171" s="13">
        <f>IF(NB171=1,$NB$31,$NB$32)</f>
        <v>152394.16214437486</v>
      </c>
      <c r="NG171" s="13">
        <f>NE171-NF171</f>
        <v>102179.59727390765</v>
      </c>
      <c r="NH171" s="13">
        <f>NH170+NG171</f>
        <v>8991804.560103877</v>
      </c>
      <c r="NI171">
        <f>IF(NH171=MAX($NH$83:$NH$483),$A171,0)</f>
        <v>0</v>
      </c>
      <c r="NJ171">
        <f>IF(NE171&lt;NF171,$A171,B_MAX+1)</f>
        <v>401.0</v>
      </c>
      <c r="NK171" s="13">
        <f>IF(NB171=1,$NB$35,$NB$36)</f>
        <v>0</v>
      </c>
      <c r="NL171" s="13">
        <f>OCC_DAYS*$NB$41*R_NF_2023-ND171*MCD_SHARE_FREED*R_WAIT_2023</f>
        <v>37367.159242427646</v>
      </c>
      <c r="NM171">
        <f>IF($A171&lt;=$NB$45,1,0)</f>
        <v>1</v>
      </c>
      <c r="OB171">
        <f>IF($OB$31&lt;=$OB$32,IF($A171&lt;=$OB$7,1,2),IF($A171&lt;=RUNG_BEDS_2,2,1))</f>
        <v>1</v>
      </c>
      <c r="OC171" s="5">
        <f>MIN(1,MAX(0,$OB$26-($A171-1)))</f>
        <v>1</v>
      </c>
      <c r="OD171" s="5">
        <f>$OB$25*(OC171+(1-OC171)*$OB$16)</f>
        <v>252.05322714681438</v>
      </c>
      <c r="OE171" s="13">
        <f>OD171*($OB$6+ACUTE_MARGIN)</f>
        <v>254573.7594182825</v>
      </c>
      <c r="OF171" s="13">
        <f>IF(OB171=1,$OB$31,$OB$32)</f>
        <v>152394.16214437486</v>
      </c>
      <c r="OG171" s="13">
        <f>OE171-OF171</f>
        <v>102179.59727390765</v>
      </c>
      <c r="OH171" s="13">
        <f>OH170+OG171</f>
        <v>8991804.560103877</v>
      </c>
      <c r="OI171">
        <f>IF(OH171=MAX($OH$83:$OH$483),$A171,0)</f>
        <v>0</v>
      </c>
      <c r="OJ171">
        <f>IF(OE171&lt;OF171,$A171,B_MAX+1)</f>
        <v>401.0</v>
      </c>
      <c r="OK171" s="13">
        <f>IF(OB171=1,$OB$35,$OB$36)</f>
        <v>0</v>
      </c>
      <c r="OL171" s="13">
        <f>OCC_DAYS*$OB$41*R_NF_2023-OD171*MCD_SHARE_FREED*R_WAIT_2023</f>
        <v>37367.159242427646</v>
      </c>
      <c r="OM171">
        <f>IF($A171&lt;=$OB$45,1,0)</f>
        <v>1</v>
      </c>
    </row>
    <row r="172">
      <c r="A172" t="n">
        <v>89</v>
      </c>
      <c r="B172">
        <f>IF($B$31&lt;=$B$32,IF($A172&lt;=$B$7,1,2),IF($A172&lt;=RUNG_BEDS_2,2,1))</f>
        <v>1</v>
      </c>
      <c r="C172" s="5">
        <f>MIN(1,MAX(0,$B$26-($A172-1)))</f>
        <v>1</v>
      </c>
      <c r="D172" s="5">
        <f>$B$25*(C172+(1-C172)*$B$16)</f>
        <v>252.05322714681438</v>
      </c>
      <c r="E172" s="13">
        <f>D172*($B$6+ACUTE_MARGIN)</f>
        <v>254573.7594182825</v>
      </c>
      <c r="F172" s="13">
        <f>IF(B172=1,$B$31,$B$32)</f>
        <v>152394.16214437486</v>
      </c>
      <c r="G172" s="13">
        <f>E172-F172</f>
        <v>102179.59727390765</v>
      </c>
      <c r="H172" s="13">
        <f>H171+G172</f>
        <v>9093984.157377785</v>
      </c>
      <c r="I172">
        <f>IF(H172=MAX($H$83:$H$483),$A172,0)</f>
        <v>0</v>
      </c>
      <c r="J172">
        <f>IF(E172&lt;F172,$A172,B_MAX+1)</f>
        <v>401.0</v>
      </c>
      <c r="K172" s="13">
        <f>IF(B172=1,$B$35,$B$36)</f>
        <v>0</v>
      </c>
      <c r="L172" s="13">
        <f>OCC_DAYS*$B$41*R_NF_2023-D172*MCD_SHARE_FREED*R_WAIT_2023</f>
        <v>37367.159242427646</v>
      </c>
      <c r="M172">
        <f>IF($A172&lt;=$B$45,1,0)</f>
        <v>1</v>
      </c>
      <c r="AB172">
        <f>IF($AB$31&lt;=$AB$32,IF($A172&lt;=$AB$7,1,2),IF($A172&lt;=RUNG_BEDS_2,2,1))</f>
        <v>1</v>
      </c>
      <c r="AC172" s="5">
        <f>MIN(1,MAX(0,$AB$26-($A172-1)))</f>
        <v>1</v>
      </c>
      <c r="AD172" s="5">
        <f>$AB$25*(AC172+(1-AC172)*$AB$16)</f>
        <v>252.05322714681438</v>
      </c>
      <c r="AE172" s="13">
        <f>AD172*($AB$6+ACUTE_MARGIN)</f>
        <v>138629.2749307479</v>
      </c>
      <c r="AF172" s="13">
        <f>IF(AB172=1,$AB$31,$AB$32)</f>
        <v>152394.16214437486</v>
      </c>
      <c r="AG172" s="13">
        <f>AE172-AF172</f>
        <v>-13764.887213626964</v>
      </c>
      <c r="AH172" s="13">
        <f>AH171+AG172</f>
        <v>-1225074.9620128004</v>
      </c>
      <c r="AI172">
        <f>IF(AH172=MAX($AH$83:$AH$483),$A172,0)</f>
        <v>0</v>
      </c>
      <c r="AJ172">
        <f>IF(AE172&lt;AF172,$A172,B_MAX+1)</f>
        <v>89</v>
      </c>
      <c r="AK172" s="13">
        <f>IF(AB172=1,$AB$35,$AB$36)</f>
        <v>0</v>
      </c>
      <c r="AL172" s="13">
        <f>OCC_DAYS*$AB$41*R_NF_2023-AD172*MCD_SHARE_FREED*R_WAIT_2023</f>
        <v>37367.159242427646</v>
      </c>
      <c r="AM172">
        <f>IF($A172&lt;=$AB$45,1,0)</f>
        <v>0</v>
      </c>
      <c r="BB172">
        <f>IF($BB$31&lt;=$BB$32,IF($A172&lt;=$BB$7,1,2),IF($A172&lt;=RUNG_BEDS_2,2,1))</f>
        <v>1</v>
      </c>
      <c r="BC172" s="5">
        <f>MIN(1,MAX(0,$BB$26-($A172-1)))</f>
        <v>1</v>
      </c>
      <c r="BD172" s="5">
        <f>$BB$25*(BC172+(1-BC172)*$BB$16)</f>
        <v>252.05322714681438</v>
      </c>
      <c r="BE172" s="13">
        <f>BD172*($BB$6+ACUTE_MARGIN)</f>
        <v>370518.24390581716</v>
      </c>
      <c r="BF172" s="13">
        <f>IF(BB172=1,$BB$31,$BB$32)</f>
        <v>152394.16214437486</v>
      </c>
      <c r="BG172" s="13">
        <f>BE172-BF172</f>
        <v>218124.0817614423</v>
      </c>
      <c r="BH172" s="13">
        <f>BH171+BG172</f>
        <v>19413043.276768353</v>
      </c>
      <c r="BI172">
        <f>IF(BH172=MAX($BH$83:$BH$483),$A172,0)</f>
        <v>0</v>
      </c>
      <c r="BJ172">
        <f>IF(BE172&lt;BF172,$A172,B_MAX+1)</f>
        <v>401.0</v>
      </c>
      <c r="BK172" s="13">
        <f>IF(BB172=1,$BB$35,$BB$36)</f>
        <v>0</v>
      </c>
      <c r="BL172" s="13">
        <f>OCC_DAYS*$BB$41*R_NF_2023-BD172*MCD_SHARE_FREED*R_WAIT_2023</f>
        <v>37367.159242427646</v>
      </c>
      <c r="BM172">
        <f>IF($A172&lt;=$BB$45,1,0)</f>
        <v>1</v>
      </c>
      <c r="CB172">
        <f>IF($CB$31&lt;=$CB$32,IF($A172&lt;=$CB$7,1,2),IF($A172&lt;=RUNG_BEDS_2,2,1))</f>
        <v>2</v>
      </c>
      <c r="CC172" s="5">
        <f>MIN(1,MAX(0,$CB$26-($A172-1)))</f>
        <v>1</v>
      </c>
      <c r="CD172" s="5">
        <f>$CB$25*(CC172+(1-CC172)*$CB$16)</f>
        <v>252.05322714681438</v>
      </c>
      <c r="CE172" s="13">
        <f>CD172*($CB$6+ACUTE_MARGIN)</f>
        <v>254573.7594182825</v>
      </c>
      <c r="CF172" s="13">
        <f>IF(CB172=1,$CB$31,$CB$32)</f>
        <v>160718.36940738867</v>
      </c>
      <c r="CG172" s="13">
        <f>CE172-CF172</f>
        <v>93855.39001089384</v>
      </c>
      <c r="CH172" s="13">
        <f>CH171+CG172</f>
        <v>8353129.71096957</v>
      </c>
      <c r="CI172">
        <f>IF(CH172=MAX($CH$83:$CH$483),$A172,0)</f>
        <v>0</v>
      </c>
      <c r="CJ172">
        <f>IF(CE172&lt;CF172,$A172,B_MAX+1)</f>
        <v>401.0</v>
      </c>
      <c r="CK172" s="13">
        <f>IF(CB172=1,$CB$35,$CB$36)</f>
        <v>1560.1194073886782</v>
      </c>
      <c r="CL172" s="13">
        <f>OCC_DAYS*$CB$41*R_NF_2023-CD172*MCD_SHARE_FREED*R_WAIT_2023</f>
        <v>37367.159242427646</v>
      </c>
      <c r="CM172">
        <f>IF($A172&lt;=$CB$45,1,0)</f>
        <v>1</v>
      </c>
      <c r="DB172">
        <f>IF($DB$31&lt;=$DB$32,IF($A172&lt;=$DB$7,1,2),IF($A172&lt;=RUNG_BEDS_2,2,1))</f>
        <v>1</v>
      </c>
      <c r="DC172" s="5">
        <f>MIN(1,MAX(0,$DB$26-($A172-1)))</f>
        <v>1</v>
      </c>
      <c r="DD172" s="5">
        <f>$DB$25*(DC172+(1-DC172)*$DB$16)</f>
        <v>252.05322714681438</v>
      </c>
      <c r="DE172" s="13">
        <f>DD172*($DB$6+ACUTE_MARGIN)</f>
        <v>254573.7594182825</v>
      </c>
      <c r="DF172" s="13">
        <f>IF(DB172=1,$DB$31,$DB$32)</f>
        <v>152394.16214437486</v>
      </c>
      <c r="DG172" s="13">
        <f>DE172-DF172</f>
        <v>102179.59727390765</v>
      </c>
      <c r="DH172" s="13">
        <f>DH171+DG172</f>
        <v>9093984.157377785</v>
      </c>
      <c r="DI172">
        <f>IF(DH172=MAX($DH$83:$DH$483),$A172,0)</f>
        <v>0</v>
      </c>
      <c r="DJ172">
        <f>IF(DE172&lt;DF172,$A172,B_MAX+1)</f>
        <v>401.0</v>
      </c>
      <c r="DK172" s="13">
        <f>IF(DB172=1,$DB$35,$DB$36)</f>
        <v>0</v>
      </c>
      <c r="DL172" s="13">
        <f>OCC_DAYS*$DB$41*R_NF_2023-DD172*MCD_SHARE_FREED*R_WAIT_2023</f>
        <v>37367.159242427646</v>
      </c>
      <c r="DM172">
        <f>IF($A172&lt;=$DB$45,1,0)</f>
        <v>1</v>
      </c>
      <c r="EB172">
        <f>IF($EB$31&lt;=$EB$32,IF($A172&lt;=$EB$7,1,2),IF($A172&lt;=RUNG_BEDS_2,2,1))</f>
        <v>1</v>
      </c>
      <c r="EC172" s="5">
        <f>MIN(1,MAX(0,$EB$26-($A172-1)))</f>
        <v>1</v>
      </c>
      <c r="ED172" s="5">
        <f>$EB$25*(EC172+(1-EC172)*$EB$16)</f>
        <v>252.05322714681438</v>
      </c>
      <c r="EE172" s="13">
        <f>ED172*($EB$6+ACUTE_MARGIN)</f>
        <v>254573.7594182825</v>
      </c>
      <c r="EF172" s="13">
        <f>IF(EB172=1,$EB$31,$EB$32)</f>
        <v>152394.16214437486</v>
      </c>
      <c r="EG172" s="13">
        <f>EE172-EF172</f>
        <v>102179.59727390765</v>
      </c>
      <c r="EH172" s="13">
        <f>EH171+EG172</f>
        <v>9093984.157377785</v>
      </c>
      <c r="EI172">
        <f>IF(EH172=MAX($EH$83:$EH$483),$A172,0)</f>
        <v>0</v>
      </c>
      <c r="EJ172">
        <f>IF(EE172&lt;EF172,$A172,B_MAX+1)</f>
        <v>401.0</v>
      </c>
      <c r="EK172" s="13">
        <f>IF(EB172=1,$EB$35,$EB$36)</f>
        <v>0</v>
      </c>
      <c r="EL172" s="13">
        <f>OCC_DAYS*$EB$41*R_NF_2023-ED172*MCD_SHARE_FREED*R_WAIT_2023</f>
        <v>-63953.16263896705</v>
      </c>
      <c r="EM172">
        <f>IF($A172&lt;=$EB$45,1,0)</f>
        <v>1</v>
      </c>
      <c r="FB172">
        <f>IF($FB$31&lt;=$FB$32,IF($A172&lt;=$FB$7,1,2),IF($A172&lt;=RUNG_BEDS_2,2,1))</f>
        <v>1</v>
      </c>
      <c r="FC172" s="5">
        <f>MIN(1,MAX(0,$FB$26-($A172-1)))</f>
        <v>1</v>
      </c>
      <c r="FD172" s="5">
        <f>$FB$25*(FC172+(1-FC172)*$FB$16)</f>
        <v>252.05322714681438</v>
      </c>
      <c r="FE172" s="13">
        <f>FD172*($FB$6+ACUTE_MARGIN)</f>
        <v>254573.7594182825</v>
      </c>
      <c r="FF172" s="13">
        <f>IF(FB172=1,$FB$31,$FB$32)</f>
        <v>156636.04979437485</v>
      </c>
      <c r="FG172" s="13">
        <f>FE172-FF172</f>
        <v>97937.70962390766</v>
      </c>
      <c r="FH172" s="13">
        <f>FH171+FG172</f>
        <v>8716456.15652778</v>
      </c>
      <c r="FI172">
        <f>IF(FH172=MAX($FH$83:$FH$483),$A172,0)</f>
        <v>0</v>
      </c>
      <c r="FJ172">
        <f>IF(FE172&lt;FF172,$A172,B_MAX+1)</f>
        <v>401.0</v>
      </c>
      <c r="FK172" s="13">
        <f>IF(FB172=1,$FB$35,$FB$36)</f>
        <v>0</v>
      </c>
      <c r="FL172" s="13">
        <f>OCC_DAYS*$FB$41*R_NF_2023-FD172*MCD_SHARE_FREED*R_WAIT_2023</f>
        <v>37367.159242427646</v>
      </c>
      <c r="FM172">
        <f>IF($A172&lt;=$FB$45,1,0)</f>
        <v>1</v>
      </c>
      <c r="GB172">
        <f>IF($GB$31&lt;=$GB$32,IF($A172&lt;=$GB$7,1,2),IF($A172&lt;=RUNG_BEDS_2,2,1))</f>
        <v>1</v>
      </c>
      <c r="GC172" s="5">
        <f>MIN(1,MAX(0,$GB$26-($A172-1)))</f>
        <v>1</v>
      </c>
      <c r="GD172" s="5">
        <f>$GB$25*(GC172+(1-GC172)*$GB$16)</f>
        <v>252.05322714681438</v>
      </c>
      <c r="GE172" s="13">
        <f>GD172*($GB$6+ACUTE_MARGIN)</f>
        <v>254573.7594182825</v>
      </c>
      <c r="GF172" s="13">
        <f>IF(GB172=1,$GB$31,$GB$32)</f>
        <v>152394.16214437486</v>
      </c>
      <c r="GG172" s="13">
        <f>GE172-GF172</f>
        <v>102179.59727390765</v>
      </c>
      <c r="GH172" s="13">
        <f>GH171+GG172</f>
        <v>9093984.157377785</v>
      </c>
      <c r="GI172">
        <f>IF(GH172=MAX($GH$83:$GH$483),$A172,0)</f>
        <v>0</v>
      </c>
      <c r="GJ172">
        <f>IF(GE172&lt;GF172,$A172,B_MAX+1)</f>
        <v>401.0</v>
      </c>
      <c r="GK172" s="13">
        <f>IF(GB172=1,$GB$35,$GB$36)</f>
        <v>0</v>
      </c>
      <c r="GL172" s="13">
        <f>OCC_DAYS*$GB$41*R_NF_2023-GD172*MCD_SHARE_FREED*R_WAIT_2023</f>
        <v>37367.159242427646</v>
      </c>
      <c r="GM172">
        <f>IF($A172&lt;=$GB$45,1,0)</f>
        <v>1</v>
      </c>
      <c r="HB172">
        <f>IF($HB$31&lt;=$HB$32,IF($A172&lt;=$HB$7,1,2),IF($A172&lt;=RUNG_BEDS_2,2,1))</f>
        <v>1</v>
      </c>
      <c r="HC172" s="5">
        <f>MIN(1,MAX(0,$HB$26-($A172-1)))</f>
        <v>1</v>
      </c>
      <c r="HD172" s="5">
        <f>$HB$25*(HC172+(1-HC172)*$HB$16)</f>
        <v>252.05322714681438</v>
      </c>
      <c r="HE172" s="13">
        <f>HD172*($HB$6+ACUTE_MARGIN)</f>
        <v>254573.7594182825</v>
      </c>
      <c r="HF172" s="13">
        <f>IF(HB172=1,$HB$31,$HB$32)</f>
        <v>152456.2970814058</v>
      </c>
      <c r="HG172" s="13">
        <f>HE172-HF172</f>
        <v>102117.46233687672</v>
      </c>
      <c r="HH172" s="13">
        <f>HH171+HG172</f>
        <v>9088454.147982024</v>
      </c>
      <c r="HI172">
        <f>IF(HH172=MAX($HH$83:$HH$483),$A172,0)</f>
        <v>0</v>
      </c>
      <c r="HJ172">
        <f>IF(HE172&lt;HF172,$A172,B_MAX+1)</f>
        <v>401.0</v>
      </c>
      <c r="HK172" s="13">
        <f>IF(HB172=1,$HB$35,$HB$36)</f>
        <v>0</v>
      </c>
      <c r="HL172" s="13">
        <f>OCC_DAYS*$HB$41*R_NF_2023-HD172*MCD_SHARE_FREED*R_WAIT_2023</f>
        <v>37367.159242427646</v>
      </c>
      <c r="HM172">
        <f>IF($A172&lt;=$HB$45,1,0)</f>
        <v>1</v>
      </c>
      <c r="IB172">
        <f>IF($IB$31&lt;=$IB$32,IF($A172&lt;=$IB$7,1,2),IF($A172&lt;=RUNG_BEDS_2,2,1))</f>
        <v>1</v>
      </c>
      <c r="IC172" s="5">
        <f>MIN(1,MAX(0,$IB$26-($A172-1)))</f>
        <v>1</v>
      </c>
      <c r="ID172" s="5">
        <f>$IB$25*(IC172+(1-IC172)*$IB$16)</f>
        <v>252.05322714681438</v>
      </c>
      <c r="IE172" s="13">
        <f>ID172*($IB$6+ACUTE_MARGIN)</f>
        <v>254573.7594182825</v>
      </c>
      <c r="IF172" s="13">
        <f>IF(IB172=1,$IB$31,$IB$32)</f>
        <v>152734.9994534971</v>
      </c>
      <c r="IG172" s="13">
        <f>IE172-IF172</f>
        <v>101838.75996478542</v>
      </c>
      <c r="IH172" s="13">
        <f>IH171+IG172</f>
        <v>9063649.636865905</v>
      </c>
      <c r="II172">
        <f>IF(IH172=MAX($IH$83:$IH$483),$A172,0)</f>
        <v>0</v>
      </c>
      <c r="IJ172">
        <f>IF(IE172&lt;IF172,$A172,B_MAX+1)</f>
        <v>401.0</v>
      </c>
      <c r="IK172" s="13">
        <f>IF(IB172=1,$IB$35,$IB$36)</f>
        <v>0</v>
      </c>
      <c r="IL172" s="13">
        <f>OCC_DAYS*$IB$41*R_NF_2023-ID172*MCD_SHARE_FREED*R_WAIT_2023</f>
        <v>37367.159242427646</v>
      </c>
      <c r="IM172">
        <f>IF($A172&lt;=$IB$45,1,0)</f>
        <v>1</v>
      </c>
      <c r="JB172">
        <f>IF($JB$31&lt;=$JB$32,IF($A172&lt;=$JB$7,1,2),IF($A172&lt;=RUNG_BEDS_2,2,1))</f>
        <v>1</v>
      </c>
      <c r="JC172" s="5">
        <f>MIN(1,MAX(0,$JB$26-($A172-1)))</f>
        <v>1</v>
      </c>
      <c r="JD172" s="5">
        <f>$JB$25*(JC172+(1-JC172)*$JB$16)</f>
        <v>252.05322714681438</v>
      </c>
      <c r="JE172" s="13">
        <f>JD172*($JB$6+ACUTE_MARGIN)</f>
        <v>254573.7594182825</v>
      </c>
      <c r="JF172" s="13">
        <f>IF(JB172=1,$JB$31,$JB$32)</f>
        <v>152394.16214437486</v>
      </c>
      <c r="JG172" s="13">
        <f>JE172-JF172</f>
        <v>102179.59727390765</v>
      </c>
      <c r="JH172" s="13">
        <f>JH171+JG172</f>
        <v>9093984.157377785</v>
      </c>
      <c r="JI172">
        <f>IF(JH172=MAX($JH$83:$JH$483),$A172,0)</f>
        <v>0</v>
      </c>
      <c r="JJ172">
        <f>IF(JE172&lt;JF172,$A172,B_MAX+1)</f>
        <v>401.0</v>
      </c>
      <c r="JK172" s="13">
        <f>IF(JB172=1,$JB$35,$JB$36)</f>
        <v>0</v>
      </c>
      <c r="JL172" s="13">
        <f>OCC_DAYS*$JB$41*R_NF_2023-JD172*MCD_SHARE_FREED*R_WAIT_2023</f>
        <v>37367.159242427646</v>
      </c>
      <c r="JM172">
        <f>IF($A172&lt;=$JB$45,1,0)</f>
        <v>1</v>
      </c>
      <c r="KB172">
        <f>IF($KB$31&lt;=$KB$32,IF($A172&lt;=$KB$7,1,2),IF($A172&lt;=RUNG_BEDS_2,2,1))</f>
        <v>1</v>
      </c>
      <c r="KC172" s="5">
        <f>MIN(1,MAX(0,$KB$26-($A172-1)))</f>
        <v>1</v>
      </c>
      <c r="KD172" s="5">
        <f>$KB$25*(KC172+(1-KC172)*$KB$16)</f>
        <v>126.02661357340719</v>
      </c>
      <c r="KE172" s="13">
        <f>KD172*($KB$6+ACUTE_MARGIN)</f>
        <v>127286.87970914126</v>
      </c>
      <c r="KF172" s="13">
        <f>IF(KB172=1,$KB$31,$KB$32)</f>
        <v>152394.16214437486</v>
      </c>
      <c r="KG172" s="13">
        <f>KE172-KF172</f>
        <v>-25107.282435233603</v>
      </c>
      <c r="KH172" s="13">
        <f>KH171+KG172</f>
        <v>-2234548.136735795</v>
      </c>
      <c r="KI172">
        <f>IF(KH172=MAX($KH$83:$KH$483),$A172,0)</f>
        <v>0</v>
      </c>
      <c r="KJ172">
        <f>IF(KE172&lt;KF172,$A172,B_MAX+1)</f>
        <v>89</v>
      </c>
      <c r="KK172" s="13">
        <f>IF(KB172=1,$KB$35,$KB$36)</f>
        <v>0</v>
      </c>
      <c r="KL172" s="13">
        <f>OCC_DAYS*$KB$41*R_NF_2023-KD172*MCD_SHARE_FREED*R_WAIT_2023</f>
        <v>94673.82103225985</v>
      </c>
      <c r="KM172">
        <f>IF($A172&lt;=$KB$45,1,0)</f>
        <v>0</v>
      </c>
      <c r="LB172">
        <f>IF($LB$31&lt;=$LB$32,IF($A172&lt;=$LB$7,1,2),IF($A172&lt;=RUNG_BEDS_2,2,1))</f>
        <v>1</v>
      </c>
      <c r="LC172" s="5">
        <f>MIN(1,MAX(0,$LB$26-($A172-1)))</f>
        <v>1</v>
      </c>
      <c r="LD172" s="5">
        <f>$LB$25*(LC172+(1-LC172)*$LB$16)</f>
        <v>84.01774238227146</v>
      </c>
      <c r="LE172" s="13">
        <f>LD172*($LB$6+ACUTE_MARGIN)</f>
        <v>84857.91980609419</v>
      </c>
      <c r="LF172" s="13">
        <f>IF(LB172=1,$LB$31,$LB$32)</f>
        <v>152394.16214437486</v>
      </c>
      <c r="LG172" s="13">
        <f>LE172-LF172</f>
        <v>-67536.24233828067</v>
      </c>
      <c r="LH172" s="13">
        <f>LH171+LG172</f>
        <v>-6010725.568106991</v>
      </c>
      <c r="LI172">
        <f>IF(LH172=MAX($LH$83:$LH$483),$A172,0)</f>
        <v>0</v>
      </c>
      <c r="LJ172">
        <f>IF(LE172&lt;LF172,$A172,B_MAX+1)</f>
        <v>89</v>
      </c>
      <c r="LK172" s="13">
        <f>IF(LB172=1,$LB$35,$LB$36)</f>
        <v>0</v>
      </c>
      <c r="LL172" s="13">
        <f>OCC_DAYS*$LB$41*R_NF_2023-LD172*MCD_SHARE_FREED*R_WAIT_2023</f>
        <v>113776.04162887059</v>
      </c>
      <c r="LM172">
        <f>IF($A172&lt;=$LB$45,1,0)</f>
        <v>0</v>
      </c>
      <c r="MB172">
        <f>IF($MB$31&lt;=$MB$32,IF($A172&lt;=$MB$7,1,2),IF($A172&lt;=RUNG_BEDS_2,2,1))</f>
        <v>1</v>
      </c>
      <c r="MC172" s="5">
        <f>MIN(1,MAX(0,$MB$26-($A172-1)))</f>
        <v>1</v>
      </c>
      <c r="MD172" s="5">
        <f>$MB$25*(MC172+(1-MC172)*$MB$16)</f>
        <v>213.44610951008647</v>
      </c>
      <c r="ME172" s="13">
        <f>MD172*($MB$6+ACUTE_MARGIN)</f>
        <v>215580.57060518733</v>
      </c>
      <c r="MF172" s="13">
        <f>IF(MB172=1,$MB$31,$MB$32)</f>
        <v>152394.16214437486</v>
      </c>
      <c r="MG172" s="13">
        <f>ME172-MF172</f>
        <v>63186.40846081247</v>
      </c>
      <c r="MH172" s="13">
        <f>MH171+MG172</f>
        <v>5623590.353012318</v>
      </c>
      <c r="MI172">
        <f>IF(MH172=MAX($MH$83:$MH$483),$A172,0)</f>
        <v>0</v>
      </c>
      <c r="MJ172">
        <f>IF(ME172&lt;MF172,$A172,B_MAX+1)</f>
        <v>401.0</v>
      </c>
      <c r="MK172" s="13">
        <f>IF(MB172=1,$MB$35,$MB$36)</f>
        <v>0</v>
      </c>
      <c r="ML172" s="13">
        <f>OCC_DAYS*$MB$41*R_NF_2023-MD172*MCD_SHARE_FREED*R_WAIT_2023</f>
        <v>54922.538779778624</v>
      </c>
      <c r="MM172">
        <f>IF($A172&lt;=$MB$45,1,0)</f>
        <v>1</v>
      </c>
      <c r="NB172">
        <f>IF($NB$31&lt;=$NB$32,IF($A172&lt;=$NB$7,1,2),IF($A172&lt;=RUNG_BEDS_2,2,1))</f>
        <v>1</v>
      </c>
      <c r="NC172" s="5">
        <f>MIN(1,MAX(0,$NB$26-($A172-1)))</f>
        <v>1</v>
      </c>
      <c r="ND172" s="5">
        <f>$NB$25*(NC172+(1-NC172)*$NB$16)</f>
        <v>252.05322714681438</v>
      </c>
      <c r="NE172" s="13">
        <f>ND172*($NB$6+ACUTE_MARGIN)</f>
        <v>254573.7594182825</v>
      </c>
      <c r="NF172" s="13">
        <f>IF(NB172=1,$NB$31,$NB$32)</f>
        <v>152394.16214437486</v>
      </c>
      <c r="NG172" s="13">
        <f>NE172-NF172</f>
        <v>102179.59727390765</v>
      </c>
      <c r="NH172" s="13">
        <f>NH171+NG172</f>
        <v>9093984.157377785</v>
      </c>
      <c r="NI172">
        <f>IF(NH172=MAX($NH$83:$NH$483),$A172,0)</f>
        <v>0</v>
      </c>
      <c r="NJ172">
        <f>IF(NE172&lt;NF172,$A172,B_MAX+1)</f>
        <v>401.0</v>
      </c>
      <c r="NK172" s="13">
        <f>IF(NB172=1,$NB$35,$NB$36)</f>
        <v>0</v>
      </c>
      <c r="NL172" s="13">
        <f>OCC_DAYS*$NB$41*R_NF_2023-ND172*MCD_SHARE_FREED*R_WAIT_2023</f>
        <v>37367.159242427646</v>
      </c>
      <c r="NM172">
        <f>IF($A172&lt;=$NB$45,1,0)</f>
        <v>1</v>
      </c>
      <c r="OB172">
        <f>IF($OB$31&lt;=$OB$32,IF($A172&lt;=$OB$7,1,2),IF($A172&lt;=RUNG_BEDS_2,2,1))</f>
        <v>1</v>
      </c>
      <c r="OC172" s="5">
        <f>MIN(1,MAX(0,$OB$26-($A172-1)))</f>
        <v>1</v>
      </c>
      <c r="OD172" s="5">
        <f>$OB$25*(OC172+(1-OC172)*$OB$16)</f>
        <v>252.05322714681438</v>
      </c>
      <c r="OE172" s="13">
        <f>OD172*($OB$6+ACUTE_MARGIN)</f>
        <v>254573.7594182825</v>
      </c>
      <c r="OF172" s="13">
        <f>IF(OB172=1,$OB$31,$OB$32)</f>
        <v>152394.16214437486</v>
      </c>
      <c r="OG172" s="13">
        <f>OE172-OF172</f>
        <v>102179.59727390765</v>
      </c>
      <c r="OH172" s="13">
        <f>OH171+OG172</f>
        <v>9093984.157377785</v>
      </c>
      <c r="OI172">
        <f>IF(OH172=MAX($OH$83:$OH$483),$A172,0)</f>
        <v>0</v>
      </c>
      <c r="OJ172">
        <f>IF(OE172&lt;OF172,$A172,B_MAX+1)</f>
        <v>401.0</v>
      </c>
      <c r="OK172" s="13">
        <f>IF(OB172=1,$OB$35,$OB$36)</f>
        <v>0</v>
      </c>
      <c r="OL172" s="13">
        <f>OCC_DAYS*$OB$41*R_NF_2023-OD172*MCD_SHARE_FREED*R_WAIT_2023</f>
        <v>37367.159242427646</v>
      </c>
      <c r="OM172">
        <f>IF($A172&lt;=$OB$45,1,0)</f>
        <v>1</v>
      </c>
    </row>
    <row r="173">
      <c r="A173" t="n">
        <v>90</v>
      </c>
      <c r="B173">
        <f>IF($B$31&lt;=$B$32,IF($A173&lt;=$B$7,1,2),IF($A173&lt;=RUNG_BEDS_2,2,1))</f>
        <v>1</v>
      </c>
      <c r="C173" s="5">
        <f>MIN(1,MAX(0,$B$26-($A173-1)))</f>
        <v>1</v>
      </c>
      <c r="D173" s="5">
        <f>$B$25*(C173+(1-C173)*$B$16)</f>
        <v>252.05322714681438</v>
      </c>
      <c r="E173" s="13">
        <f>D173*($B$6+ACUTE_MARGIN)</f>
        <v>254573.7594182825</v>
      </c>
      <c r="F173" s="13">
        <f>IF(B173=1,$B$31,$B$32)</f>
        <v>152394.16214437486</v>
      </c>
      <c r="G173" s="13">
        <f>E173-F173</f>
        <v>102179.59727390765</v>
      </c>
      <c r="H173" s="13">
        <f>H172+G173</f>
        <v>9196163.754651694</v>
      </c>
      <c r="I173">
        <f>IF(H173=MAX($H$83:$H$483),$A173,0)</f>
        <v>0</v>
      </c>
      <c r="J173">
        <f>IF(E173&lt;F173,$A173,B_MAX+1)</f>
        <v>401.0</v>
      </c>
      <c r="K173" s="13">
        <f>IF(B173=1,$B$35,$B$36)</f>
        <v>0</v>
      </c>
      <c r="L173" s="13">
        <f>OCC_DAYS*$B$41*R_NF_2023-D173*MCD_SHARE_FREED*R_WAIT_2023</f>
        <v>37367.159242427646</v>
      </c>
      <c r="M173">
        <f>IF($A173&lt;=$B$45,1,0)</f>
        <v>1</v>
      </c>
      <c r="AB173">
        <f>IF($AB$31&lt;=$AB$32,IF($A173&lt;=$AB$7,1,2),IF($A173&lt;=RUNG_BEDS_2,2,1))</f>
        <v>1</v>
      </c>
      <c r="AC173" s="5">
        <f>MIN(1,MAX(0,$AB$26-($A173-1)))</f>
        <v>1</v>
      </c>
      <c r="AD173" s="5">
        <f>$AB$25*(AC173+(1-AC173)*$AB$16)</f>
        <v>252.05322714681438</v>
      </c>
      <c r="AE173" s="13">
        <f>AD173*($AB$6+ACUTE_MARGIN)</f>
        <v>138629.2749307479</v>
      </c>
      <c r="AF173" s="13">
        <f>IF(AB173=1,$AB$31,$AB$32)</f>
        <v>152394.16214437486</v>
      </c>
      <c r="AG173" s="13">
        <f>AE173-AF173</f>
        <v>-13764.887213626964</v>
      </c>
      <c r="AH173" s="13">
        <f>AH172+AG173</f>
        <v>-1238839.8492264273</v>
      </c>
      <c r="AI173">
        <f>IF(AH173=MAX($AH$83:$AH$483),$A173,0)</f>
        <v>0</v>
      </c>
      <c r="AJ173">
        <f>IF(AE173&lt;AF173,$A173,B_MAX+1)</f>
        <v>90</v>
      </c>
      <c r="AK173" s="13">
        <f>IF(AB173=1,$AB$35,$AB$36)</f>
        <v>0</v>
      </c>
      <c r="AL173" s="13">
        <f>OCC_DAYS*$AB$41*R_NF_2023-AD173*MCD_SHARE_FREED*R_WAIT_2023</f>
        <v>37367.159242427646</v>
      </c>
      <c r="AM173">
        <f>IF($A173&lt;=$AB$45,1,0)</f>
        <v>0</v>
      </c>
      <c r="BB173">
        <f>IF($BB$31&lt;=$BB$32,IF($A173&lt;=$BB$7,1,2),IF($A173&lt;=RUNG_BEDS_2,2,1))</f>
        <v>1</v>
      </c>
      <c r="BC173" s="5">
        <f>MIN(1,MAX(0,$BB$26-($A173-1)))</f>
        <v>1</v>
      </c>
      <c r="BD173" s="5">
        <f>$BB$25*(BC173+(1-BC173)*$BB$16)</f>
        <v>252.05322714681438</v>
      </c>
      <c r="BE173" s="13">
        <f>BD173*($BB$6+ACUTE_MARGIN)</f>
        <v>370518.24390581716</v>
      </c>
      <c r="BF173" s="13">
        <f>IF(BB173=1,$BB$31,$BB$32)</f>
        <v>152394.16214437486</v>
      </c>
      <c r="BG173" s="13">
        <f>BE173-BF173</f>
        <v>218124.0817614423</v>
      </c>
      <c r="BH173" s="13">
        <f>BH172+BG173</f>
        <v>19631167.358529795</v>
      </c>
      <c r="BI173">
        <f>IF(BH173=MAX($BH$83:$BH$483),$A173,0)</f>
        <v>0</v>
      </c>
      <c r="BJ173">
        <f>IF(BE173&lt;BF173,$A173,B_MAX+1)</f>
        <v>401.0</v>
      </c>
      <c r="BK173" s="13">
        <f>IF(BB173=1,$BB$35,$BB$36)</f>
        <v>0</v>
      </c>
      <c r="BL173" s="13">
        <f>OCC_DAYS*$BB$41*R_NF_2023-BD173*MCD_SHARE_FREED*R_WAIT_2023</f>
        <v>37367.159242427646</v>
      </c>
      <c r="BM173">
        <f>IF($A173&lt;=$BB$45,1,0)</f>
        <v>1</v>
      </c>
      <c r="CB173">
        <f>IF($CB$31&lt;=$CB$32,IF($A173&lt;=$CB$7,1,2),IF($A173&lt;=RUNG_BEDS_2,2,1))</f>
        <v>2</v>
      </c>
      <c r="CC173" s="5">
        <f>MIN(1,MAX(0,$CB$26-($A173-1)))</f>
        <v>1</v>
      </c>
      <c r="CD173" s="5">
        <f>$CB$25*(CC173+(1-CC173)*$CB$16)</f>
        <v>252.05322714681438</v>
      </c>
      <c r="CE173" s="13">
        <f>CD173*($CB$6+ACUTE_MARGIN)</f>
        <v>254573.7594182825</v>
      </c>
      <c r="CF173" s="13">
        <f>IF(CB173=1,$CB$31,$CB$32)</f>
        <v>160718.36940738867</v>
      </c>
      <c r="CG173" s="13">
        <f>CE173-CF173</f>
        <v>93855.39001089384</v>
      </c>
      <c r="CH173" s="13">
        <f>CH172+CG173</f>
        <v>8446985.100980464</v>
      </c>
      <c r="CI173">
        <f>IF(CH173=MAX($CH$83:$CH$483),$A173,0)</f>
        <v>0</v>
      </c>
      <c r="CJ173">
        <f>IF(CE173&lt;CF173,$A173,B_MAX+1)</f>
        <v>401.0</v>
      </c>
      <c r="CK173" s="13">
        <f>IF(CB173=1,$CB$35,$CB$36)</f>
        <v>1560.1194073886782</v>
      </c>
      <c r="CL173" s="13">
        <f>OCC_DAYS*$CB$41*R_NF_2023-CD173*MCD_SHARE_FREED*R_WAIT_2023</f>
        <v>37367.159242427646</v>
      </c>
      <c r="CM173">
        <f>IF($A173&lt;=$CB$45,1,0)</f>
        <v>1</v>
      </c>
      <c r="DB173">
        <f>IF($DB$31&lt;=$DB$32,IF($A173&lt;=$DB$7,1,2),IF($A173&lt;=RUNG_BEDS_2,2,1))</f>
        <v>1</v>
      </c>
      <c r="DC173" s="5">
        <f>MIN(1,MAX(0,$DB$26-($A173-1)))</f>
        <v>1</v>
      </c>
      <c r="DD173" s="5">
        <f>$DB$25*(DC173+(1-DC173)*$DB$16)</f>
        <v>252.05322714681438</v>
      </c>
      <c r="DE173" s="13">
        <f>DD173*($DB$6+ACUTE_MARGIN)</f>
        <v>254573.7594182825</v>
      </c>
      <c r="DF173" s="13">
        <f>IF(DB173=1,$DB$31,$DB$32)</f>
        <v>152394.16214437486</v>
      </c>
      <c r="DG173" s="13">
        <f>DE173-DF173</f>
        <v>102179.59727390765</v>
      </c>
      <c r="DH173" s="13">
        <f>DH172+DG173</f>
        <v>9196163.754651694</v>
      </c>
      <c r="DI173">
        <f>IF(DH173=MAX($DH$83:$DH$483),$A173,0)</f>
        <v>0</v>
      </c>
      <c r="DJ173">
        <f>IF(DE173&lt;DF173,$A173,B_MAX+1)</f>
        <v>401.0</v>
      </c>
      <c r="DK173" s="13">
        <f>IF(DB173=1,$DB$35,$DB$36)</f>
        <v>0</v>
      </c>
      <c r="DL173" s="13">
        <f>OCC_DAYS*$DB$41*R_NF_2023-DD173*MCD_SHARE_FREED*R_WAIT_2023</f>
        <v>37367.159242427646</v>
      </c>
      <c r="DM173">
        <f>IF($A173&lt;=$DB$45,1,0)</f>
        <v>1</v>
      </c>
      <c r="EB173">
        <f>IF($EB$31&lt;=$EB$32,IF($A173&lt;=$EB$7,1,2),IF($A173&lt;=RUNG_BEDS_2,2,1))</f>
        <v>1</v>
      </c>
      <c r="EC173" s="5">
        <f>MIN(1,MAX(0,$EB$26-($A173-1)))</f>
        <v>1</v>
      </c>
      <c r="ED173" s="5">
        <f>$EB$25*(EC173+(1-EC173)*$EB$16)</f>
        <v>252.05322714681438</v>
      </c>
      <c r="EE173" s="13">
        <f>ED173*($EB$6+ACUTE_MARGIN)</f>
        <v>254573.7594182825</v>
      </c>
      <c r="EF173" s="13">
        <f>IF(EB173=1,$EB$31,$EB$32)</f>
        <v>152394.16214437486</v>
      </c>
      <c r="EG173" s="13">
        <f>EE173-EF173</f>
        <v>102179.59727390765</v>
      </c>
      <c r="EH173" s="13">
        <f>EH172+EG173</f>
        <v>9196163.754651694</v>
      </c>
      <c r="EI173">
        <f>IF(EH173=MAX($EH$83:$EH$483),$A173,0)</f>
        <v>0</v>
      </c>
      <c r="EJ173">
        <f>IF(EE173&lt;EF173,$A173,B_MAX+1)</f>
        <v>401.0</v>
      </c>
      <c r="EK173" s="13">
        <f>IF(EB173=1,$EB$35,$EB$36)</f>
        <v>0</v>
      </c>
      <c r="EL173" s="13">
        <f>OCC_DAYS*$EB$41*R_NF_2023-ED173*MCD_SHARE_FREED*R_WAIT_2023</f>
        <v>-63953.16263896705</v>
      </c>
      <c r="EM173">
        <f>IF($A173&lt;=$EB$45,1,0)</f>
        <v>1</v>
      </c>
      <c r="FB173">
        <f>IF($FB$31&lt;=$FB$32,IF($A173&lt;=$FB$7,1,2),IF($A173&lt;=RUNG_BEDS_2,2,1))</f>
        <v>1</v>
      </c>
      <c r="FC173" s="5">
        <f>MIN(1,MAX(0,$FB$26-($A173-1)))</f>
        <v>1</v>
      </c>
      <c r="FD173" s="5">
        <f>$FB$25*(FC173+(1-FC173)*$FB$16)</f>
        <v>252.05322714681438</v>
      </c>
      <c r="FE173" s="13">
        <f>FD173*($FB$6+ACUTE_MARGIN)</f>
        <v>254573.7594182825</v>
      </c>
      <c r="FF173" s="13">
        <f>IF(FB173=1,$FB$31,$FB$32)</f>
        <v>156636.04979437485</v>
      </c>
      <c r="FG173" s="13">
        <f>FE173-FF173</f>
        <v>97937.70962390766</v>
      </c>
      <c r="FH173" s="13">
        <f>FH172+FG173</f>
        <v>8814393.866151687</v>
      </c>
      <c r="FI173">
        <f>IF(FH173=MAX($FH$83:$FH$483),$A173,0)</f>
        <v>0</v>
      </c>
      <c r="FJ173">
        <f>IF(FE173&lt;FF173,$A173,B_MAX+1)</f>
        <v>401.0</v>
      </c>
      <c r="FK173" s="13">
        <f>IF(FB173=1,$FB$35,$FB$36)</f>
        <v>0</v>
      </c>
      <c r="FL173" s="13">
        <f>OCC_DAYS*$FB$41*R_NF_2023-FD173*MCD_SHARE_FREED*R_WAIT_2023</f>
        <v>37367.159242427646</v>
      </c>
      <c r="FM173">
        <f>IF($A173&lt;=$FB$45,1,0)</f>
        <v>1</v>
      </c>
      <c r="GB173">
        <f>IF($GB$31&lt;=$GB$32,IF($A173&lt;=$GB$7,1,2),IF($A173&lt;=RUNG_BEDS_2,2,1))</f>
        <v>1</v>
      </c>
      <c r="GC173" s="5">
        <f>MIN(1,MAX(0,$GB$26-($A173-1)))</f>
        <v>1</v>
      </c>
      <c r="GD173" s="5">
        <f>$GB$25*(GC173+(1-GC173)*$GB$16)</f>
        <v>252.05322714681438</v>
      </c>
      <c r="GE173" s="13">
        <f>GD173*($GB$6+ACUTE_MARGIN)</f>
        <v>254573.7594182825</v>
      </c>
      <c r="GF173" s="13">
        <f>IF(GB173=1,$GB$31,$GB$32)</f>
        <v>152394.16214437486</v>
      </c>
      <c r="GG173" s="13">
        <f>GE173-GF173</f>
        <v>102179.59727390765</v>
      </c>
      <c r="GH173" s="13">
        <f>GH172+GG173</f>
        <v>9196163.754651694</v>
      </c>
      <c r="GI173">
        <f>IF(GH173=MAX($GH$83:$GH$483),$A173,0)</f>
        <v>0</v>
      </c>
      <c r="GJ173">
        <f>IF(GE173&lt;GF173,$A173,B_MAX+1)</f>
        <v>401.0</v>
      </c>
      <c r="GK173" s="13">
        <f>IF(GB173=1,$GB$35,$GB$36)</f>
        <v>0</v>
      </c>
      <c r="GL173" s="13">
        <f>OCC_DAYS*$GB$41*R_NF_2023-GD173*MCD_SHARE_FREED*R_WAIT_2023</f>
        <v>37367.159242427646</v>
      </c>
      <c r="GM173">
        <f>IF($A173&lt;=$GB$45,1,0)</f>
        <v>1</v>
      </c>
      <c r="HB173">
        <f>IF($HB$31&lt;=$HB$32,IF($A173&lt;=$HB$7,1,2),IF($A173&lt;=RUNG_BEDS_2,2,1))</f>
        <v>1</v>
      </c>
      <c r="HC173" s="5">
        <f>MIN(1,MAX(0,$HB$26-($A173-1)))</f>
        <v>1</v>
      </c>
      <c r="HD173" s="5">
        <f>$HB$25*(HC173+(1-HC173)*$HB$16)</f>
        <v>252.05322714681438</v>
      </c>
      <c r="HE173" s="13">
        <f>HD173*($HB$6+ACUTE_MARGIN)</f>
        <v>254573.7594182825</v>
      </c>
      <c r="HF173" s="13">
        <f>IF(HB173=1,$HB$31,$HB$32)</f>
        <v>152456.2970814058</v>
      </c>
      <c r="HG173" s="13">
        <f>HE173-HF173</f>
        <v>102117.46233687672</v>
      </c>
      <c r="HH173" s="13">
        <f>HH172+HG173</f>
        <v>9190571.610318901</v>
      </c>
      <c r="HI173">
        <f>IF(HH173=MAX($HH$83:$HH$483),$A173,0)</f>
        <v>0</v>
      </c>
      <c r="HJ173">
        <f>IF(HE173&lt;HF173,$A173,B_MAX+1)</f>
        <v>401.0</v>
      </c>
      <c r="HK173" s="13">
        <f>IF(HB173=1,$HB$35,$HB$36)</f>
        <v>0</v>
      </c>
      <c r="HL173" s="13">
        <f>OCC_DAYS*$HB$41*R_NF_2023-HD173*MCD_SHARE_FREED*R_WAIT_2023</f>
        <v>37367.159242427646</v>
      </c>
      <c r="HM173">
        <f>IF($A173&lt;=$HB$45,1,0)</f>
        <v>1</v>
      </c>
      <c r="IB173">
        <f>IF($IB$31&lt;=$IB$32,IF($A173&lt;=$IB$7,1,2),IF($A173&lt;=RUNG_BEDS_2,2,1))</f>
        <v>1</v>
      </c>
      <c r="IC173" s="5">
        <f>MIN(1,MAX(0,$IB$26-($A173-1)))</f>
        <v>1</v>
      </c>
      <c r="ID173" s="5">
        <f>$IB$25*(IC173+(1-IC173)*$IB$16)</f>
        <v>252.05322714681438</v>
      </c>
      <c r="IE173" s="13">
        <f>ID173*($IB$6+ACUTE_MARGIN)</f>
        <v>254573.7594182825</v>
      </c>
      <c r="IF173" s="13">
        <f>IF(IB173=1,$IB$31,$IB$32)</f>
        <v>152734.9994534971</v>
      </c>
      <c r="IG173" s="13">
        <f>IE173-IF173</f>
        <v>101838.75996478542</v>
      </c>
      <c r="IH173" s="13">
        <f>IH172+IG173</f>
        <v>9165488.39683069</v>
      </c>
      <c r="II173">
        <f>IF(IH173=MAX($IH$83:$IH$483),$A173,0)</f>
        <v>0</v>
      </c>
      <c r="IJ173">
        <f>IF(IE173&lt;IF173,$A173,B_MAX+1)</f>
        <v>401.0</v>
      </c>
      <c r="IK173" s="13">
        <f>IF(IB173=1,$IB$35,$IB$36)</f>
        <v>0</v>
      </c>
      <c r="IL173" s="13">
        <f>OCC_DAYS*$IB$41*R_NF_2023-ID173*MCD_SHARE_FREED*R_WAIT_2023</f>
        <v>37367.159242427646</v>
      </c>
      <c r="IM173">
        <f>IF($A173&lt;=$IB$45,1,0)</f>
        <v>1</v>
      </c>
      <c r="JB173">
        <f>IF($JB$31&lt;=$JB$32,IF($A173&lt;=$JB$7,1,2),IF($A173&lt;=RUNG_BEDS_2,2,1))</f>
        <v>1</v>
      </c>
      <c r="JC173" s="5">
        <f>MIN(1,MAX(0,$JB$26-($A173-1)))</f>
        <v>1</v>
      </c>
      <c r="JD173" s="5">
        <f>$JB$25*(JC173+(1-JC173)*$JB$16)</f>
        <v>252.05322714681438</v>
      </c>
      <c r="JE173" s="13">
        <f>JD173*($JB$6+ACUTE_MARGIN)</f>
        <v>254573.7594182825</v>
      </c>
      <c r="JF173" s="13">
        <f>IF(JB173=1,$JB$31,$JB$32)</f>
        <v>152394.16214437486</v>
      </c>
      <c r="JG173" s="13">
        <f>JE173-JF173</f>
        <v>102179.59727390765</v>
      </c>
      <c r="JH173" s="13">
        <f>JH172+JG173</f>
        <v>9196163.754651694</v>
      </c>
      <c r="JI173">
        <f>IF(JH173=MAX($JH$83:$JH$483),$A173,0)</f>
        <v>0</v>
      </c>
      <c r="JJ173">
        <f>IF(JE173&lt;JF173,$A173,B_MAX+1)</f>
        <v>401.0</v>
      </c>
      <c r="JK173" s="13">
        <f>IF(JB173=1,$JB$35,$JB$36)</f>
        <v>0</v>
      </c>
      <c r="JL173" s="13">
        <f>OCC_DAYS*$JB$41*R_NF_2023-JD173*MCD_SHARE_FREED*R_WAIT_2023</f>
        <v>37367.159242427646</v>
      </c>
      <c r="JM173">
        <f>IF($A173&lt;=$JB$45,1,0)</f>
        <v>1</v>
      </c>
      <c r="KB173">
        <f>IF($KB$31&lt;=$KB$32,IF($A173&lt;=$KB$7,1,2),IF($A173&lt;=RUNG_BEDS_2,2,1))</f>
        <v>1</v>
      </c>
      <c r="KC173" s="5">
        <f>MIN(1,MAX(0,$KB$26-($A173-1)))</f>
        <v>1</v>
      </c>
      <c r="KD173" s="5">
        <f>$KB$25*(KC173+(1-KC173)*$KB$16)</f>
        <v>126.02661357340719</v>
      </c>
      <c r="KE173" s="13">
        <f>KD173*($KB$6+ACUTE_MARGIN)</f>
        <v>127286.87970914126</v>
      </c>
      <c r="KF173" s="13">
        <f>IF(KB173=1,$KB$31,$KB$32)</f>
        <v>152394.16214437486</v>
      </c>
      <c r="KG173" s="13">
        <f>KE173-KF173</f>
        <v>-25107.282435233603</v>
      </c>
      <c r="KH173" s="13">
        <f>KH172+KG173</f>
        <v>-2259655.419171029</v>
      </c>
      <c r="KI173">
        <f>IF(KH173=MAX($KH$83:$KH$483),$A173,0)</f>
        <v>0</v>
      </c>
      <c r="KJ173">
        <f>IF(KE173&lt;KF173,$A173,B_MAX+1)</f>
        <v>90</v>
      </c>
      <c r="KK173" s="13">
        <f>IF(KB173=1,$KB$35,$KB$36)</f>
        <v>0</v>
      </c>
      <c r="KL173" s="13">
        <f>OCC_DAYS*$KB$41*R_NF_2023-KD173*MCD_SHARE_FREED*R_WAIT_2023</f>
        <v>94673.82103225985</v>
      </c>
      <c r="KM173">
        <f>IF($A173&lt;=$KB$45,1,0)</f>
        <v>0</v>
      </c>
      <c r="LB173">
        <f>IF($LB$31&lt;=$LB$32,IF($A173&lt;=$LB$7,1,2),IF($A173&lt;=RUNG_BEDS_2,2,1))</f>
        <v>1</v>
      </c>
      <c r="LC173" s="5">
        <f>MIN(1,MAX(0,$LB$26-($A173-1)))</f>
        <v>1</v>
      </c>
      <c r="LD173" s="5">
        <f>$LB$25*(LC173+(1-LC173)*$LB$16)</f>
        <v>84.01774238227146</v>
      </c>
      <c r="LE173" s="13">
        <f>LD173*($LB$6+ACUTE_MARGIN)</f>
        <v>84857.91980609419</v>
      </c>
      <c r="LF173" s="13">
        <f>IF(LB173=1,$LB$31,$LB$32)</f>
        <v>152394.16214437486</v>
      </c>
      <c r="LG173" s="13">
        <f>LE173-LF173</f>
        <v>-67536.24233828067</v>
      </c>
      <c r="LH173" s="13">
        <f>LH172+LG173</f>
        <v>-6078261.810445272</v>
      </c>
      <c r="LI173">
        <f>IF(LH173=MAX($LH$83:$LH$483),$A173,0)</f>
        <v>0</v>
      </c>
      <c r="LJ173">
        <f>IF(LE173&lt;LF173,$A173,B_MAX+1)</f>
        <v>90</v>
      </c>
      <c r="LK173" s="13">
        <f>IF(LB173=1,$LB$35,$LB$36)</f>
        <v>0</v>
      </c>
      <c r="LL173" s="13">
        <f>OCC_DAYS*$LB$41*R_NF_2023-LD173*MCD_SHARE_FREED*R_WAIT_2023</f>
        <v>113776.04162887059</v>
      </c>
      <c r="LM173">
        <f>IF($A173&lt;=$LB$45,1,0)</f>
        <v>0</v>
      </c>
      <c r="MB173">
        <f>IF($MB$31&lt;=$MB$32,IF($A173&lt;=$MB$7,1,2),IF($A173&lt;=RUNG_BEDS_2,2,1))</f>
        <v>1</v>
      </c>
      <c r="MC173" s="5">
        <f>MIN(1,MAX(0,$MB$26-($A173-1)))</f>
        <v>1</v>
      </c>
      <c r="MD173" s="5">
        <f>$MB$25*(MC173+(1-MC173)*$MB$16)</f>
        <v>213.44610951008647</v>
      </c>
      <c r="ME173" s="13">
        <f>MD173*($MB$6+ACUTE_MARGIN)</f>
        <v>215580.57060518733</v>
      </c>
      <c r="MF173" s="13">
        <f>IF(MB173=1,$MB$31,$MB$32)</f>
        <v>152394.16214437486</v>
      </c>
      <c r="MG173" s="13">
        <f>ME173-MF173</f>
        <v>63186.40846081247</v>
      </c>
      <c r="MH173" s="13">
        <f>MH172+MG173</f>
        <v>5686776.76147313</v>
      </c>
      <c r="MI173">
        <f>IF(MH173=MAX($MH$83:$MH$483),$A173,0)</f>
        <v>0</v>
      </c>
      <c r="MJ173">
        <f>IF(ME173&lt;MF173,$A173,B_MAX+1)</f>
        <v>401.0</v>
      </c>
      <c r="MK173" s="13">
        <f>IF(MB173=1,$MB$35,$MB$36)</f>
        <v>0</v>
      </c>
      <c r="ML173" s="13">
        <f>OCC_DAYS*$MB$41*R_NF_2023-MD173*MCD_SHARE_FREED*R_WAIT_2023</f>
        <v>54922.538779778624</v>
      </c>
      <c r="MM173">
        <f>IF($A173&lt;=$MB$45,1,0)</f>
        <v>1</v>
      </c>
      <c r="NB173">
        <f>IF($NB$31&lt;=$NB$32,IF($A173&lt;=$NB$7,1,2),IF($A173&lt;=RUNG_BEDS_2,2,1))</f>
        <v>1</v>
      </c>
      <c r="NC173" s="5">
        <f>MIN(1,MAX(0,$NB$26-($A173-1)))</f>
        <v>1</v>
      </c>
      <c r="ND173" s="5">
        <f>$NB$25*(NC173+(1-NC173)*$NB$16)</f>
        <v>252.05322714681438</v>
      </c>
      <c r="NE173" s="13">
        <f>ND173*($NB$6+ACUTE_MARGIN)</f>
        <v>254573.7594182825</v>
      </c>
      <c r="NF173" s="13">
        <f>IF(NB173=1,$NB$31,$NB$32)</f>
        <v>152394.16214437486</v>
      </c>
      <c r="NG173" s="13">
        <f>NE173-NF173</f>
        <v>102179.59727390765</v>
      </c>
      <c r="NH173" s="13">
        <f>NH172+NG173</f>
        <v>9196163.754651694</v>
      </c>
      <c r="NI173">
        <f>IF(NH173=MAX($NH$83:$NH$483),$A173,0)</f>
        <v>0</v>
      </c>
      <c r="NJ173">
        <f>IF(NE173&lt;NF173,$A173,B_MAX+1)</f>
        <v>401.0</v>
      </c>
      <c r="NK173" s="13">
        <f>IF(NB173=1,$NB$35,$NB$36)</f>
        <v>0</v>
      </c>
      <c r="NL173" s="13">
        <f>OCC_DAYS*$NB$41*R_NF_2023-ND173*MCD_SHARE_FREED*R_WAIT_2023</f>
        <v>37367.159242427646</v>
      </c>
      <c r="NM173">
        <f>IF($A173&lt;=$NB$45,1,0)</f>
        <v>1</v>
      </c>
      <c r="OB173">
        <f>IF($OB$31&lt;=$OB$32,IF($A173&lt;=$OB$7,1,2),IF($A173&lt;=RUNG_BEDS_2,2,1))</f>
        <v>1</v>
      </c>
      <c r="OC173" s="5">
        <f>MIN(1,MAX(0,$OB$26-($A173-1)))</f>
        <v>1</v>
      </c>
      <c r="OD173" s="5">
        <f>$OB$25*(OC173+(1-OC173)*$OB$16)</f>
        <v>252.05322714681438</v>
      </c>
      <c r="OE173" s="13">
        <f>OD173*($OB$6+ACUTE_MARGIN)</f>
        <v>254573.7594182825</v>
      </c>
      <c r="OF173" s="13">
        <f>IF(OB173=1,$OB$31,$OB$32)</f>
        <v>152394.16214437486</v>
      </c>
      <c r="OG173" s="13">
        <f>OE173-OF173</f>
        <v>102179.59727390765</v>
      </c>
      <c r="OH173" s="13">
        <f>OH172+OG173</f>
        <v>9196163.754651694</v>
      </c>
      <c r="OI173">
        <f>IF(OH173=MAX($OH$83:$OH$483),$A173,0)</f>
        <v>0</v>
      </c>
      <c r="OJ173">
        <f>IF(OE173&lt;OF173,$A173,B_MAX+1)</f>
        <v>401.0</v>
      </c>
      <c r="OK173" s="13">
        <f>IF(OB173=1,$OB$35,$OB$36)</f>
        <v>0</v>
      </c>
      <c r="OL173" s="13">
        <f>OCC_DAYS*$OB$41*R_NF_2023-OD173*MCD_SHARE_FREED*R_WAIT_2023</f>
        <v>37367.159242427646</v>
      </c>
      <c r="OM173">
        <f>IF($A173&lt;=$OB$45,1,0)</f>
        <v>1</v>
      </c>
    </row>
    <row r="174">
      <c r="A174" t="n">
        <v>91</v>
      </c>
      <c r="B174">
        <f>IF($B$31&lt;=$B$32,IF($A174&lt;=$B$7,1,2),IF($A174&lt;=RUNG_BEDS_2,2,1))</f>
        <v>1</v>
      </c>
      <c r="C174" s="5">
        <f>MIN(1,MAX(0,$B$26-($A174-1)))</f>
        <v>1</v>
      </c>
      <c r="D174" s="5">
        <f>$B$25*(C174+(1-C174)*$B$16)</f>
        <v>252.05322714681438</v>
      </c>
      <c r="E174" s="13">
        <f>D174*($B$6+ACUTE_MARGIN)</f>
        <v>254573.7594182825</v>
      </c>
      <c r="F174" s="13">
        <f>IF(B174=1,$B$31,$B$32)</f>
        <v>152394.16214437486</v>
      </c>
      <c r="G174" s="13">
        <f>E174-F174</f>
        <v>102179.59727390765</v>
      </c>
      <c r="H174" s="13">
        <f>H173+G174</f>
        <v>9298343.351925602</v>
      </c>
      <c r="I174">
        <f>IF(H174=MAX($H$83:$H$483),$A174,0)</f>
        <v>0</v>
      </c>
      <c r="J174">
        <f>IF(E174&lt;F174,$A174,B_MAX+1)</f>
        <v>401.0</v>
      </c>
      <c r="K174" s="13">
        <f>IF(B174=1,$B$35,$B$36)</f>
        <v>0</v>
      </c>
      <c r="L174" s="13">
        <f>OCC_DAYS*$B$41*R_NF_2023-D174*MCD_SHARE_FREED*R_WAIT_2023</f>
        <v>37367.159242427646</v>
      </c>
      <c r="M174">
        <f>IF($A174&lt;=$B$45,1,0)</f>
        <v>1</v>
      </c>
      <c r="AB174">
        <f>IF($AB$31&lt;=$AB$32,IF($A174&lt;=$AB$7,1,2),IF($A174&lt;=RUNG_BEDS_2,2,1))</f>
        <v>1</v>
      </c>
      <c r="AC174" s="5">
        <f>MIN(1,MAX(0,$AB$26-($A174-1)))</f>
        <v>1</v>
      </c>
      <c r="AD174" s="5">
        <f>$AB$25*(AC174+(1-AC174)*$AB$16)</f>
        <v>252.05322714681438</v>
      </c>
      <c r="AE174" s="13">
        <f>AD174*($AB$6+ACUTE_MARGIN)</f>
        <v>138629.2749307479</v>
      </c>
      <c r="AF174" s="13">
        <f>IF(AB174=1,$AB$31,$AB$32)</f>
        <v>152394.16214437486</v>
      </c>
      <c r="AG174" s="13">
        <f>AE174-AF174</f>
        <v>-13764.887213626964</v>
      </c>
      <c r="AH174" s="13">
        <f>AH173+AG174</f>
        <v>-1252604.7364400541</v>
      </c>
      <c r="AI174">
        <f>IF(AH174=MAX($AH$83:$AH$483),$A174,0)</f>
        <v>0</v>
      </c>
      <c r="AJ174">
        <f>IF(AE174&lt;AF174,$A174,B_MAX+1)</f>
        <v>91</v>
      </c>
      <c r="AK174" s="13">
        <f>IF(AB174=1,$AB$35,$AB$36)</f>
        <v>0</v>
      </c>
      <c r="AL174" s="13">
        <f>OCC_DAYS*$AB$41*R_NF_2023-AD174*MCD_SHARE_FREED*R_WAIT_2023</f>
        <v>37367.159242427646</v>
      </c>
      <c r="AM174">
        <f>IF($A174&lt;=$AB$45,1,0)</f>
        <v>0</v>
      </c>
      <c r="BB174">
        <f>IF($BB$31&lt;=$BB$32,IF($A174&lt;=$BB$7,1,2),IF($A174&lt;=RUNG_BEDS_2,2,1))</f>
        <v>1</v>
      </c>
      <c r="BC174" s="5">
        <f>MIN(1,MAX(0,$BB$26-($A174-1)))</f>
        <v>1</v>
      </c>
      <c r="BD174" s="5">
        <f>$BB$25*(BC174+(1-BC174)*$BB$16)</f>
        <v>252.05322714681438</v>
      </c>
      <c r="BE174" s="13">
        <f>BD174*($BB$6+ACUTE_MARGIN)</f>
        <v>370518.24390581716</v>
      </c>
      <c r="BF174" s="13">
        <f>IF(BB174=1,$BB$31,$BB$32)</f>
        <v>152394.16214437486</v>
      </c>
      <c r="BG174" s="13">
        <f>BE174-BF174</f>
        <v>218124.0817614423</v>
      </c>
      <c r="BH174" s="13">
        <f>BH173+BG174</f>
        <v>19849291.440291237</v>
      </c>
      <c r="BI174">
        <f>IF(BH174=MAX($BH$83:$BH$483),$A174,0)</f>
        <v>0</v>
      </c>
      <c r="BJ174">
        <f>IF(BE174&lt;BF174,$A174,B_MAX+1)</f>
        <v>401.0</v>
      </c>
      <c r="BK174" s="13">
        <f>IF(BB174=1,$BB$35,$BB$36)</f>
        <v>0</v>
      </c>
      <c r="BL174" s="13">
        <f>OCC_DAYS*$BB$41*R_NF_2023-BD174*MCD_SHARE_FREED*R_WAIT_2023</f>
        <v>37367.159242427646</v>
      </c>
      <c r="BM174">
        <f>IF($A174&lt;=$BB$45,1,0)</f>
        <v>1</v>
      </c>
      <c r="CB174">
        <f>IF($CB$31&lt;=$CB$32,IF($A174&lt;=$CB$7,1,2),IF($A174&lt;=RUNG_BEDS_2,2,1))</f>
        <v>2</v>
      </c>
      <c r="CC174" s="5">
        <f>MIN(1,MAX(0,$CB$26-($A174-1)))</f>
        <v>1</v>
      </c>
      <c r="CD174" s="5">
        <f>$CB$25*(CC174+(1-CC174)*$CB$16)</f>
        <v>252.05322714681438</v>
      </c>
      <c r="CE174" s="13">
        <f>CD174*($CB$6+ACUTE_MARGIN)</f>
        <v>254573.7594182825</v>
      </c>
      <c r="CF174" s="13">
        <f>IF(CB174=1,$CB$31,$CB$32)</f>
        <v>160718.36940738867</v>
      </c>
      <c r="CG174" s="13">
        <f>CE174-CF174</f>
        <v>93855.39001089384</v>
      </c>
      <c r="CH174" s="13">
        <f>CH173+CG174</f>
        <v>8540840.490991358</v>
      </c>
      <c r="CI174">
        <f>IF(CH174=MAX($CH$83:$CH$483),$A174,0)</f>
        <v>0</v>
      </c>
      <c r="CJ174">
        <f>IF(CE174&lt;CF174,$A174,B_MAX+1)</f>
        <v>401.0</v>
      </c>
      <c r="CK174" s="13">
        <f>IF(CB174=1,$CB$35,$CB$36)</f>
        <v>1560.1194073886782</v>
      </c>
      <c r="CL174" s="13">
        <f>OCC_DAYS*$CB$41*R_NF_2023-CD174*MCD_SHARE_FREED*R_WAIT_2023</f>
        <v>37367.159242427646</v>
      </c>
      <c r="CM174">
        <f>IF($A174&lt;=$CB$45,1,0)</f>
        <v>1</v>
      </c>
      <c r="DB174">
        <f>IF($DB$31&lt;=$DB$32,IF($A174&lt;=$DB$7,1,2),IF($A174&lt;=RUNG_BEDS_2,2,1))</f>
        <v>1</v>
      </c>
      <c r="DC174" s="5">
        <f>MIN(1,MAX(0,$DB$26-($A174-1)))</f>
        <v>1</v>
      </c>
      <c r="DD174" s="5">
        <f>$DB$25*(DC174+(1-DC174)*$DB$16)</f>
        <v>252.05322714681438</v>
      </c>
      <c r="DE174" s="13">
        <f>DD174*($DB$6+ACUTE_MARGIN)</f>
        <v>254573.7594182825</v>
      </c>
      <c r="DF174" s="13">
        <f>IF(DB174=1,$DB$31,$DB$32)</f>
        <v>152394.16214437486</v>
      </c>
      <c r="DG174" s="13">
        <f>DE174-DF174</f>
        <v>102179.59727390765</v>
      </c>
      <c r="DH174" s="13">
        <f>DH173+DG174</f>
        <v>9298343.351925602</v>
      </c>
      <c r="DI174">
        <f>IF(DH174=MAX($DH$83:$DH$483),$A174,0)</f>
        <v>0</v>
      </c>
      <c r="DJ174">
        <f>IF(DE174&lt;DF174,$A174,B_MAX+1)</f>
        <v>401.0</v>
      </c>
      <c r="DK174" s="13">
        <f>IF(DB174=1,$DB$35,$DB$36)</f>
        <v>0</v>
      </c>
      <c r="DL174" s="13">
        <f>OCC_DAYS*$DB$41*R_NF_2023-DD174*MCD_SHARE_FREED*R_WAIT_2023</f>
        <v>37367.159242427646</v>
      </c>
      <c r="DM174">
        <f>IF($A174&lt;=$DB$45,1,0)</f>
        <v>1</v>
      </c>
      <c r="EB174">
        <f>IF($EB$31&lt;=$EB$32,IF($A174&lt;=$EB$7,1,2),IF($A174&lt;=RUNG_BEDS_2,2,1))</f>
        <v>1</v>
      </c>
      <c r="EC174" s="5">
        <f>MIN(1,MAX(0,$EB$26-($A174-1)))</f>
        <v>1</v>
      </c>
      <c r="ED174" s="5">
        <f>$EB$25*(EC174+(1-EC174)*$EB$16)</f>
        <v>252.05322714681438</v>
      </c>
      <c r="EE174" s="13">
        <f>ED174*($EB$6+ACUTE_MARGIN)</f>
        <v>254573.7594182825</v>
      </c>
      <c r="EF174" s="13">
        <f>IF(EB174=1,$EB$31,$EB$32)</f>
        <v>152394.16214437486</v>
      </c>
      <c r="EG174" s="13">
        <f>EE174-EF174</f>
        <v>102179.59727390765</v>
      </c>
      <c r="EH174" s="13">
        <f>EH173+EG174</f>
        <v>9298343.351925602</v>
      </c>
      <c r="EI174">
        <f>IF(EH174=MAX($EH$83:$EH$483),$A174,0)</f>
        <v>0</v>
      </c>
      <c r="EJ174">
        <f>IF(EE174&lt;EF174,$A174,B_MAX+1)</f>
        <v>401.0</v>
      </c>
      <c r="EK174" s="13">
        <f>IF(EB174=1,$EB$35,$EB$36)</f>
        <v>0</v>
      </c>
      <c r="EL174" s="13">
        <f>OCC_DAYS*$EB$41*R_NF_2023-ED174*MCD_SHARE_FREED*R_WAIT_2023</f>
        <v>-63953.16263896705</v>
      </c>
      <c r="EM174">
        <f>IF($A174&lt;=$EB$45,1,0)</f>
        <v>1</v>
      </c>
      <c r="FB174">
        <f>IF($FB$31&lt;=$FB$32,IF($A174&lt;=$FB$7,1,2),IF($A174&lt;=RUNG_BEDS_2,2,1))</f>
        <v>1</v>
      </c>
      <c r="FC174" s="5">
        <f>MIN(1,MAX(0,$FB$26-($A174-1)))</f>
        <v>1</v>
      </c>
      <c r="FD174" s="5">
        <f>$FB$25*(FC174+(1-FC174)*$FB$16)</f>
        <v>252.05322714681438</v>
      </c>
      <c r="FE174" s="13">
        <f>FD174*($FB$6+ACUTE_MARGIN)</f>
        <v>254573.7594182825</v>
      </c>
      <c r="FF174" s="13">
        <f>IF(FB174=1,$FB$31,$FB$32)</f>
        <v>156636.04979437485</v>
      </c>
      <c r="FG174" s="13">
        <f>FE174-FF174</f>
        <v>97937.70962390766</v>
      </c>
      <c r="FH174" s="13">
        <f>FH173+FG174</f>
        <v>8912331.575775594</v>
      </c>
      <c r="FI174">
        <f>IF(FH174=MAX($FH$83:$FH$483),$A174,0)</f>
        <v>0</v>
      </c>
      <c r="FJ174">
        <f>IF(FE174&lt;FF174,$A174,B_MAX+1)</f>
        <v>401.0</v>
      </c>
      <c r="FK174" s="13">
        <f>IF(FB174=1,$FB$35,$FB$36)</f>
        <v>0</v>
      </c>
      <c r="FL174" s="13">
        <f>OCC_DAYS*$FB$41*R_NF_2023-FD174*MCD_SHARE_FREED*R_WAIT_2023</f>
        <v>37367.159242427646</v>
      </c>
      <c r="FM174">
        <f>IF($A174&lt;=$FB$45,1,0)</f>
        <v>1</v>
      </c>
      <c r="GB174">
        <f>IF($GB$31&lt;=$GB$32,IF($A174&lt;=$GB$7,1,2),IF($A174&lt;=RUNG_BEDS_2,2,1))</f>
        <v>1</v>
      </c>
      <c r="GC174" s="5">
        <f>MIN(1,MAX(0,$GB$26-($A174-1)))</f>
        <v>1</v>
      </c>
      <c r="GD174" s="5">
        <f>$GB$25*(GC174+(1-GC174)*$GB$16)</f>
        <v>252.05322714681438</v>
      </c>
      <c r="GE174" s="13">
        <f>GD174*($GB$6+ACUTE_MARGIN)</f>
        <v>254573.7594182825</v>
      </c>
      <c r="GF174" s="13">
        <f>IF(GB174=1,$GB$31,$GB$32)</f>
        <v>152394.16214437486</v>
      </c>
      <c r="GG174" s="13">
        <f>GE174-GF174</f>
        <v>102179.59727390765</v>
      </c>
      <c r="GH174" s="13">
        <f>GH173+GG174</f>
        <v>9298343.351925602</v>
      </c>
      <c r="GI174">
        <f>IF(GH174=MAX($GH$83:$GH$483),$A174,0)</f>
        <v>0</v>
      </c>
      <c r="GJ174">
        <f>IF(GE174&lt;GF174,$A174,B_MAX+1)</f>
        <v>401.0</v>
      </c>
      <c r="GK174" s="13">
        <f>IF(GB174=1,$GB$35,$GB$36)</f>
        <v>0</v>
      </c>
      <c r="GL174" s="13">
        <f>OCC_DAYS*$GB$41*R_NF_2023-GD174*MCD_SHARE_FREED*R_WAIT_2023</f>
        <v>37367.159242427646</v>
      </c>
      <c r="GM174">
        <f>IF($A174&lt;=$GB$45,1,0)</f>
        <v>1</v>
      </c>
      <c r="HB174">
        <f>IF($HB$31&lt;=$HB$32,IF($A174&lt;=$HB$7,1,2),IF($A174&lt;=RUNG_BEDS_2,2,1))</f>
        <v>1</v>
      </c>
      <c r="HC174" s="5">
        <f>MIN(1,MAX(0,$HB$26-($A174-1)))</f>
        <v>1</v>
      </c>
      <c r="HD174" s="5">
        <f>$HB$25*(HC174+(1-HC174)*$HB$16)</f>
        <v>252.05322714681438</v>
      </c>
      <c r="HE174" s="13">
        <f>HD174*($HB$6+ACUTE_MARGIN)</f>
        <v>254573.7594182825</v>
      </c>
      <c r="HF174" s="13">
        <f>IF(HB174=1,$HB$31,$HB$32)</f>
        <v>152456.2970814058</v>
      </c>
      <c r="HG174" s="13">
        <f>HE174-HF174</f>
        <v>102117.46233687672</v>
      </c>
      <c r="HH174" s="13">
        <f>HH173+HG174</f>
        <v>9292689.072655778</v>
      </c>
      <c r="HI174">
        <f>IF(HH174=MAX($HH$83:$HH$483),$A174,0)</f>
        <v>0</v>
      </c>
      <c r="HJ174">
        <f>IF(HE174&lt;HF174,$A174,B_MAX+1)</f>
        <v>401.0</v>
      </c>
      <c r="HK174" s="13">
        <f>IF(HB174=1,$HB$35,$HB$36)</f>
        <v>0</v>
      </c>
      <c r="HL174" s="13">
        <f>OCC_DAYS*$HB$41*R_NF_2023-HD174*MCD_SHARE_FREED*R_WAIT_2023</f>
        <v>37367.159242427646</v>
      </c>
      <c r="HM174">
        <f>IF($A174&lt;=$HB$45,1,0)</f>
        <v>1</v>
      </c>
      <c r="IB174">
        <f>IF($IB$31&lt;=$IB$32,IF($A174&lt;=$IB$7,1,2),IF($A174&lt;=RUNG_BEDS_2,2,1))</f>
        <v>1</v>
      </c>
      <c r="IC174" s="5">
        <f>MIN(1,MAX(0,$IB$26-($A174-1)))</f>
        <v>1</v>
      </c>
      <c r="ID174" s="5">
        <f>$IB$25*(IC174+(1-IC174)*$IB$16)</f>
        <v>252.05322714681438</v>
      </c>
      <c r="IE174" s="13">
        <f>ID174*($IB$6+ACUTE_MARGIN)</f>
        <v>254573.7594182825</v>
      </c>
      <c r="IF174" s="13">
        <f>IF(IB174=1,$IB$31,$IB$32)</f>
        <v>152734.9994534971</v>
      </c>
      <c r="IG174" s="13">
        <f>IE174-IF174</f>
        <v>101838.75996478542</v>
      </c>
      <c r="IH174" s="13">
        <f>IH173+IG174</f>
        <v>9267327.156795474</v>
      </c>
      <c r="II174">
        <f>IF(IH174=MAX($IH$83:$IH$483),$A174,0)</f>
        <v>0</v>
      </c>
      <c r="IJ174">
        <f>IF(IE174&lt;IF174,$A174,B_MAX+1)</f>
        <v>401.0</v>
      </c>
      <c r="IK174" s="13">
        <f>IF(IB174=1,$IB$35,$IB$36)</f>
        <v>0</v>
      </c>
      <c r="IL174" s="13">
        <f>OCC_DAYS*$IB$41*R_NF_2023-ID174*MCD_SHARE_FREED*R_WAIT_2023</f>
        <v>37367.159242427646</v>
      </c>
      <c r="IM174">
        <f>IF($A174&lt;=$IB$45,1,0)</f>
        <v>1</v>
      </c>
      <c r="JB174">
        <f>IF($JB$31&lt;=$JB$32,IF($A174&lt;=$JB$7,1,2),IF($A174&lt;=RUNG_BEDS_2,2,1))</f>
        <v>1</v>
      </c>
      <c r="JC174" s="5">
        <f>MIN(1,MAX(0,$JB$26-($A174-1)))</f>
        <v>1</v>
      </c>
      <c r="JD174" s="5">
        <f>$JB$25*(JC174+(1-JC174)*$JB$16)</f>
        <v>252.05322714681438</v>
      </c>
      <c r="JE174" s="13">
        <f>JD174*($JB$6+ACUTE_MARGIN)</f>
        <v>254573.7594182825</v>
      </c>
      <c r="JF174" s="13">
        <f>IF(JB174=1,$JB$31,$JB$32)</f>
        <v>152394.16214437486</v>
      </c>
      <c r="JG174" s="13">
        <f>JE174-JF174</f>
        <v>102179.59727390765</v>
      </c>
      <c r="JH174" s="13">
        <f>JH173+JG174</f>
        <v>9298343.351925602</v>
      </c>
      <c r="JI174">
        <f>IF(JH174=MAX($JH$83:$JH$483),$A174,0)</f>
        <v>0</v>
      </c>
      <c r="JJ174">
        <f>IF(JE174&lt;JF174,$A174,B_MAX+1)</f>
        <v>401.0</v>
      </c>
      <c r="JK174" s="13">
        <f>IF(JB174=1,$JB$35,$JB$36)</f>
        <v>0</v>
      </c>
      <c r="JL174" s="13">
        <f>OCC_DAYS*$JB$41*R_NF_2023-JD174*MCD_SHARE_FREED*R_WAIT_2023</f>
        <v>37367.159242427646</v>
      </c>
      <c r="JM174">
        <f>IF($A174&lt;=$JB$45,1,0)</f>
        <v>1</v>
      </c>
      <c r="KB174">
        <f>IF($KB$31&lt;=$KB$32,IF($A174&lt;=$KB$7,1,2),IF($A174&lt;=RUNG_BEDS_2,2,1))</f>
        <v>1</v>
      </c>
      <c r="KC174" s="5">
        <f>MIN(1,MAX(0,$KB$26-($A174-1)))</f>
        <v>1</v>
      </c>
      <c r="KD174" s="5">
        <f>$KB$25*(KC174+(1-KC174)*$KB$16)</f>
        <v>126.02661357340719</v>
      </c>
      <c r="KE174" s="13">
        <f>KD174*($KB$6+ACUTE_MARGIN)</f>
        <v>127286.87970914126</v>
      </c>
      <c r="KF174" s="13">
        <f>IF(KB174=1,$KB$31,$KB$32)</f>
        <v>152394.16214437486</v>
      </c>
      <c r="KG174" s="13">
        <f>KE174-KF174</f>
        <v>-25107.282435233603</v>
      </c>
      <c r="KH174" s="13">
        <f>KH173+KG174</f>
        <v>-2284762.7016062625</v>
      </c>
      <c r="KI174">
        <f>IF(KH174=MAX($KH$83:$KH$483),$A174,0)</f>
        <v>0</v>
      </c>
      <c r="KJ174">
        <f>IF(KE174&lt;KF174,$A174,B_MAX+1)</f>
        <v>91</v>
      </c>
      <c r="KK174" s="13">
        <f>IF(KB174=1,$KB$35,$KB$36)</f>
        <v>0</v>
      </c>
      <c r="KL174" s="13">
        <f>OCC_DAYS*$KB$41*R_NF_2023-KD174*MCD_SHARE_FREED*R_WAIT_2023</f>
        <v>94673.82103225985</v>
      </c>
      <c r="KM174">
        <f>IF($A174&lt;=$KB$45,1,0)</f>
        <v>0</v>
      </c>
      <c r="LB174">
        <f>IF($LB$31&lt;=$LB$32,IF($A174&lt;=$LB$7,1,2),IF($A174&lt;=RUNG_BEDS_2,2,1))</f>
        <v>1</v>
      </c>
      <c r="LC174" s="5">
        <f>MIN(1,MAX(0,$LB$26-($A174-1)))</f>
        <v>1</v>
      </c>
      <c r="LD174" s="5">
        <f>$LB$25*(LC174+(1-LC174)*$LB$16)</f>
        <v>84.01774238227146</v>
      </c>
      <c r="LE174" s="13">
        <f>LD174*($LB$6+ACUTE_MARGIN)</f>
        <v>84857.91980609419</v>
      </c>
      <c r="LF174" s="13">
        <f>IF(LB174=1,$LB$31,$LB$32)</f>
        <v>152394.16214437486</v>
      </c>
      <c r="LG174" s="13">
        <f>LE174-LF174</f>
        <v>-67536.24233828067</v>
      </c>
      <c r="LH174" s="13">
        <f>LH173+LG174</f>
        <v>-6145798.0527835535</v>
      </c>
      <c r="LI174">
        <f>IF(LH174=MAX($LH$83:$LH$483),$A174,0)</f>
        <v>0</v>
      </c>
      <c r="LJ174">
        <f>IF(LE174&lt;LF174,$A174,B_MAX+1)</f>
        <v>91</v>
      </c>
      <c r="LK174" s="13">
        <f>IF(LB174=1,$LB$35,$LB$36)</f>
        <v>0</v>
      </c>
      <c r="LL174" s="13">
        <f>OCC_DAYS*$LB$41*R_NF_2023-LD174*MCD_SHARE_FREED*R_WAIT_2023</f>
        <v>113776.04162887059</v>
      </c>
      <c r="LM174">
        <f>IF($A174&lt;=$LB$45,1,0)</f>
        <v>0</v>
      </c>
      <c r="MB174">
        <f>IF($MB$31&lt;=$MB$32,IF($A174&lt;=$MB$7,1,2),IF($A174&lt;=RUNG_BEDS_2,2,1))</f>
        <v>1</v>
      </c>
      <c r="MC174" s="5">
        <f>MIN(1,MAX(0,$MB$26-($A174-1)))</f>
        <v>1</v>
      </c>
      <c r="MD174" s="5">
        <f>$MB$25*(MC174+(1-MC174)*$MB$16)</f>
        <v>213.44610951008647</v>
      </c>
      <c r="ME174" s="13">
        <f>MD174*($MB$6+ACUTE_MARGIN)</f>
        <v>215580.57060518733</v>
      </c>
      <c r="MF174" s="13">
        <f>IF(MB174=1,$MB$31,$MB$32)</f>
        <v>152394.16214437486</v>
      </c>
      <c r="MG174" s="13">
        <f>ME174-MF174</f>
        <v>63186.40846081247</v>
      </c>
      <c r="MH174" s="13">
        <f>MH173+MG174</f>
        <v>5749963.169933943</v>
      </c>
      <c r="MI174">
        <f>IF(MH174=MAX($MH$83:$MH$483),$A174,0)</f>
        <v>0</v>
      </c>
      <c r="MJ174">
        <f>IF(ME174&lt;MF174,$A174,B_MAX+1)</f>
        <v>401.0</v>
      </c>
      <c r="MK174" s="13">
        <f>IF(MB174=1,$MB$35,$MB$36)</f>
        <v>0</v>
      </c>
      <c r="ML174" s="13">
        <f>OCC_DAYS*$MB$41*R_NF_2023-MD174*MCD_SHARE_FREED*R_WAIT_2023</f>
        <v>54922.538779778624</v>
      </c>
      <c r="MM174">
        <f>IF($A174&lt;=$MB$45,1,0)</f>
        <v>1</v>
      </c>
      <c r="NB174">
        <f>IF($NB$31&lt;=$NB$32,IF($A174&lt;=$NB$7,1,2),IF($A174&lt;=RUNG_BEDS_2,2,1))</f>
        <v>1</v>
      </c>
      <c r="NC174" s="5">
        <f>MIN(1,MAX(0,$NB$26-($A174-1)))</f>
        <v>1</v>
      </c>
      <c r="ND174" s="5">
        <f>$NB$25*(NC174+(1-NC174)*$NB$16)</f>
        <v>252.05322714681438</v>
      </c>
      <c r="NE174" s="13">
        <f>ND174*($NB$6+ACUTE_MARGIN)</f>
        <v>254573.7594182825</v>
      </c>
      <c r="NF174" s="13">
        <f>IF(NB174=1,$NB$31,$NB$32)</f>
        <v>152394.16214437486</v>
      </c>
      <c r="NG174" s="13">
        <f>NE174-NF174</f>
        <v>102179.59727390765</v>
      </c>
      <c r="NH174" s="13">
        <f>NH173+NG174</f>
        <v>9298343.351925602</v>
      </c>
      <c r="NI174">
        <f>IF(NH174=MAX($NH$83:$NH$483),$A174,0)</f>
        <v>0</v>
      </c>
      <c r="NJ174">
        <f>IF(NE174&lt;NF174,$A174,B_MAX+1)</f>
        <v>401.0</v>
      </c>
      <c r="NK174" s="13">
        <f>IF(NB174=1,$NB$35,$NB$36)</f>
        <v>0</v>
      </c>
      <c r="NL174" s="13">
        <f>OCC_DAYS*$NB$41*R_NF_2023-ND174*MCD_SHARE_FREED*R_WAIT_2023</f>
        <v>37367.159242427646</v>
      </c>
      <c r="NM174">
        <f>IF($A174&lt;=$NB$45,1,0)</f>
        <v>1</v>
      </c>
      <c r="OB174">
        <f>IF($OB$31&lt;=$OB$32,IF($A174&lt;=$OB$7,1,2),IF($A174&lt;=RUNG_BEDS_2,2,1))</f>
        <v>1</v>
      </c>
      <c r="OC174" s="5">
        <f>MIN(1,MAX(0,$OB$26-($A174-1)))</f>
        <v>1</v>
      </c>
      <c r="OD174" s="5">
        <f>$OB$25*(OC174+(1-OC174)*$OB$16)</f>
        <v>252.05322714681438</v>
      </c>
      <c r="OE174" s="13">
        <f>OD174*($OB$6+ACUTE_MARGIN)</f>
        <v>254573.7594182825</v>
      </c>
      <c r="OF174" s="13">
        <f>IF(OB174=1,$OB$31,$OB$32)</f>
        <v>152394.16214437486</v>
      </c>
      <c r="OG174" s="13">
        <f>OE174-OF174</f>
        <v>102179.59727390765</v>
      </c>
      <c r="OH174" s="13">
        <f>OH173+OG174</f>
        <v>9298343.351925602</v>
      </c>
      <c r="OI174">
        <f>IF(OH174=MAX($OH$83:$OH$483),$A174,0)</f>
        <v>0</v>
      </c>
      <c r="OJ174">
        <f>IF(OE174&lt;OF174,$A174,B_MAX+1)</f>
        <v>401.0</v>
      </c>
      <c r="OK174" s="13">
        <f>IF(OB174=1,$OB$35,$OB$36)</f>
        <v>0</v>
      </c>
      <c r="OL174" s="13">
        <f>OCC_DAYS*$OB$41*R_NF_2023-OD174*MCD_SHARE_FREED*R_WAIT_2023</f>
        <v>37367.159242427646</v>
      </c>
      <c r="OM174">
        <f>IF($A174&lt;=$OB$45,1,0)</f>
        <v>1</v>
      </c>
    </row>
    <row r="175">
      <c r="A175" t="n">
        <v>92</v>
      </c>
      <c r="B175">
        <f>IF($B$31&lt;=$B$32,IF($A175&lt;=$B$7,1,2),IF($A175&lt;=RUNG_BEDS_2,2,1))</f>
        <v>1</v>
      </c>
      <c r="C175" s="5">
        <f>MIN(1,MAX(0,$B$26-($A175-1)))</f>
        <v>1</v>
      </c>
      <c r="D175" s="5">
        <f>$B$25*(C175+(1-C175)*$B$16)</f>
        <v>252.05322714681438</v>
      </c>
      <c r="E175" s="13">
        <f>D175*($B$6+ACUTE_MARGIN)</f>
        <v>254573.7594182825</v>
      </c>
      <c r="F175" s="13">
        <f>IF(B175=1,$B$31,$B$32)</f>
        <v>152394.16214437486</v>
      </c>
      <c r="G175" s="13">
        <f>E175-F175</f>
        <v>102179.59727390765</v>
      </c>
      <c r="H175" s="13">
        <f>H174+G175</f>
        <v>9400522.94919951</v>
      </c>
      <c r="I175">
        <f>IF(H175=MAX($H$83:$H$483),$A175,0)</f>
        <v>0</v>
      </c>
      <c r="J175">
        <f>IF(E175&lt;F175,$A175,B_MAX+1)</f>
        <v>401.0</v>
      </c>
      <c r="K175" s="13">
        <f>IF(B175=1,$B$35,$B$36)</f>
        <v>0</v>
      </c>
      <c r="L175" s="13">
        <f>OCC_DAYS*$B$41*R_NF_2023-D175*MCD_SHARE_FREED*R_WAIT_2023</f>
        <v>37367.159242427646</v>
      </c>
      <c r="M175">
        <f>IF($A175&lt;=$B$45,1,0)</f>
        <v>1</v>
      </c>
      <c r="AB175">
        <f>IF($AB$31&lt;=$AB$32,IF($A175&lt;=$AB$7,1,2),IF($A175&lt;=RUNG_BEDS_2,2,1))</f>
        <v>1</v>
      </c>
      <c r="AC175" s="5">
        <f>MIN(1,MAX(0,$AB$26-($A175-1)))</f>
        <v>1</v>
      </c>
      <c r="AD175" s="5">
        <f>$AB$25*(AC175+(1-AC175)*$AB$16)</f>
        <v>252.05322714681438</v>
      </c>
      <c r="AE175" s="13">
        <f>AD175*($AB$6+ACUTE_MARGIN)</f>
        <v>138629.2749307479</v>
      </c>
      <c r="AF175" s="13">
        <f>IF(AB175=1,$AB$31,$AB$32)</f>
        <v>152394.16214437486</v>
      </c>
      <c r="AG175" s="13">
        <f>AE175-AF175</f>
        <v>-13764.887213626964</v>
      </c>
      <c r="AH175" s="13">
        <f>AH174+AG175</f>
        <v>-1266369.623653681</v>
      </c>
      <c r="AI175">
        <f>IF(AH175=MAX($AH$83:$AH$483),$A175,0)</f>
        <v>0</v>
      </c>
      <c r="AJ175">
        <f>IF(AE175&lt;AF175,$A175,B_MAX+1)</f>
        <v>92</v>
      </c>
      <c r="AK175" s="13">
        <f>IF(AB175=1,$AB$35,$AB$36)</f>
        <v>0</v>
      </c>
      <c r="AL175" s="13">
        <f>OCC_DAYS*$AB$41*R_NF_2023-AD175*MCD_SHARE_FREED*R_WAIT_2023</f>
        <v>37367.159242427646</v>
      </c>
      <c r="AM175">
        <f>IF($A175&lt;=$AB$45,1,0)</f>
        <v>0</v>
      </c>
      <c r="BB175">
        <f>IF($BB$31&lt;=$BB$32,IF($A175&lt;=$BB$7,1,2),IF($A175&lt;=RUNG_BEDS_2,2,1))</f>
        <v>1</v>
      </c>
      <c r="BC175" s="5">
        <f>MIN(1,MAX(0,$BB$26-($A175-1)))</f>
        <v>1</v>
      </c>
      <c r="BD175" s="5">
        <f>$BB$25*(BC175+(1-BC175)*$BB$16)</f>
        <v>252.05322714681438</v>
      </c>
      <c r="BE175" s="13">
        <f>BD175*($BB$6+ACUTE_MARGIN)</f>
        <v>370518.24390581716</v>
      </c>
      <c r="BF175" s="13">
        <f>IF(BB175=1,$BB$31,$BB$32)</f>
        <v>152394.16214437486</v>
      </c>
      <c r="BG175" s="13">
        <f>BE175-BF175</f>
        <v>218124.0817614423</v>
      </c>
      <c r="BH175" s="13">
        <f>BH174+BG175</f>
        <v>20067415.52205268</v>
      </c>
      <c r="BI175">
        <f>IF(BH175=MAX($BH$83:$BH$483),$A175,0)</f>
        <v>0</v>
      </c>
      <c r="BJ175">
        <f>IF(BE175&lt;BF175,$A175,B_MAX+1)</f>
        <v>401.0</v>
      </c>
      <c r="BK175" s="13">
        <f>IF(BB175=1,$BB$35,$BB$36)</f>
        <v>0</v>
      </c>
      <c r="BL175" s="13">
        <f>OCC_DAYS*$BB$41*R_NF_2023-BD175*MCD_SHARE_FREED*R_WAIT_2023</f>
        <v>37367.159242427646</v>
      </c>
      <c r="BM175">
        <f>IF($A175&lt;=$BB$45,1,0)</f>
        <v>1</v>
      </c>
      <c r="CB175">
        <f>IF($CB$31&lt;=$CB$32,IF($A175&lt;=$CB$7,1,2),IF($A175&lt;=RUNG_BEDS_2,2,1))</f>
        <v>2</v>
      </c>
      <c r="CC175" s="5">
        <f>MIN(1,MAX(0,$CB$26-($A175-1)))</f>
        <v>1</v>
      </c>
      <c r="CD175" s="5">
        <f>$CB$25*(CC175+(1-CC175)*$CB$16)</f>
        <v>252.05322714681438</v>
      </c>
      <c r="CE175" s="13">
        <f>CD175*($CB$6+ACUTE_MARGIN)</f>
        <v>254573.7594182825</v>
      </c>
      <c r="CF175" s="13">
        <f>IF(CB175=1,$CB$31,$CB$32)</f>
        <v>160718.36940738867</v>
      </c>
      <c r="CG175" s="13">
        <f>CE175-CF175</f>
        <v>93855.39001089384</v>
      </c>
      <c r="CH175" s="13">
        <f>CH174+CG175</f>
        <v>8634695.881002251</v>
      </c>
      <c r="CI175">
        <f>IF(CH175=MAX($CH$83:$CH$483),$A175,0)</f>
        <v>0</v>
      </c>
      <c r="CJ175">
        <f>IF(CE175&lt;CF175,$A175,B_MAX+1)</f>
        <v>401.0</v>
      </c>
      <c r="CK175" s="13">
        <f>IF(CB175=1,$CB$35,$CB$36)</f>
        <v>1560.1194073886782</v>
      </c>
      <c r="CL175" s="13">
        <f>OCC_DAYS*$CB$41*R_NF_2023-CD175*MCD_SHARE_FREED*R_WAIT_2023</f>
        <v>37367.159242427646</v>
      </c>
      <c r="CM175">
        <f>IF($A175&lt;=$CB$45,1,0)</f>
        <v>1</v>
      </c>
      <c r="DB175">
        <f>IF($DB$31&lt;=$DB$32,IF($A175&lt;=$DB$7,1,2),IF($A175&lt;=RUNG_BEDS_2,2,1))</f>
        <v>1</v>
      </c>
      <c r="DC175" s="5">
        <f>MIN(1,MAX(0,$DB$26-($A175-1)))</f>
        <v>1</v>
      </c>
      <c r="DD175" s="5">
        <f>$DB$25*(DC175+(1-DC175)*$DB$16)</f>
        <v>252.05322714681438</v>
      </c>
      <c r="DE175" s="13">
        <f>DD175*($DB$6+ACUTE_MARGIN)</f>
        <v>254573.7594182825</v>
      </c>
      <c r="DF175" s="13">
        <f>IF(DB175=1,$DB$31,$DB$32)</f>
        <v>152394.16214437486</v>
      </c>
      <c r="DG175" s="13">
        <f>DE175-DF175</f>
        <v>102179.59727390765</v>
      </c>
      <c r="DH175" s="13">
        <f>DH174+DG175</f>
        <v>9400522.94919951</v>
      </c>
      <c r="DI175">
        <f>IF(DH175=MAX($DH$83:$DH$483),$A175,0)</f>
        <v>0</v>
      </c>
      <c r="DJ175">
        <f>IF(DE175&lt;DF175,$A175,B_MAX+1)</f>
        <v>401.0</v>
      </c>
      <c r="DK175" s="13">
        <f>IF(DB175=1,$DB$35,$DB$36)</f>
        <v>0</v>
      </c>
      <c r="DL175" s="13">
        <f>OCC_DAYS*$DB$41*R_NF_2023-DD175*MCD_SHARE_FREED*R_WAIT_2023</f>
        <v>37367.159242427646</v>
      </c>
      <c r="DM175">
        <f>IF($A175&lt;=$DB$45,1,0)</f>
        <v>1</v>
      </c>
      <c r="EB175">
        <f>IF($EB$31&lt;=$EB$32,IF($A175&lt;=$EB$7,1,2),IF($A175&lt;=RUNG_BEDS_2,2,1))</f>
        <v>1</v>
      </c>
      <c r="EC175" s="5">
        <f>MIN(1,MAX(0,$EB$26-($A175-1)))</f>
        <v>1</v>
      </c>
      <c r="ED175" s="5">
        <f>$EB$25*(EC175+(1-EC175)*$EB$16)</f>
        <v>252.05322714681438</v>
      </c>
      <c r="EE175" s="13">
        <f>ED175*($EB$6+ACUTE_MARGIN)</f>
        <v>254573.7594182825</v>
      </c>
      <c r="EF175" s="13">
        <f>IF(EB175=1,$EB$31,$EB$32)</f>
        <v>152394.16214437486</v>
      </c>
      <c r="EG175" s="13">
        <f>EE175-EF175</f>
        <v>102179.59727390765</v>
      </c>
      <c r="EH175" s="13">
        <f>EH174+EG175</f>
        <v>9400522.94919951</v>
      </c>
      <c r="EI175">
        <f>IF(EH175=MAX($EH$83:$EH$483),$A175,0)</f>
        <v>0</v>
      </c>
      <c r="EJ175">
        <f>IF(EE175&lt;EF175,$A175,B_MAX+1)</f>
        <v>401.0</v>
      </c>
      <c r="EK175" s="13">
        <f>IF(EB175=1,$EB$35,$EB$36)</f>
        <v>0</v>
      </c>
      <c r="EL175" s="13">
        <f>OCC_DAYS*$EB$41*R_NF_2023-ED175*MCD_SHARE_FREED*R_WAIT_2023</f>
        <v>-63953.16263896705</v>
      </c>
      <c r="EM175">
        <f>IF($A175&lt;=$EB$45,1,0)</f>
        <v>1</v>
      </c>
      <c r="FB175">
        <f>IF($FB$31&lt;=$FB$32,IF($A175&lt;=$FB$7,1,2),IF($A175&lt;=RUNG_BEDS_2,2,1))</f>
        <v>1</v>
      </c>
      <c r="FC175" s="5">
        <f>MIN(1,MAX(0,$FB$26-($A175-1)))</f>
        <v>1</v>
      </c>
      <c r="FD175" s="5">
        <f>$FB$25*(FC175+(1-FC175)*$FB$16)</f>
        <v>252.05322714681438</v>
      </c>
      <c r="FE175" s="13">
        <f>FD175*($FB$6+ACUTE_MARGIN)</f>
        <v>254573.7594182825</v>
      </c>
      <c r="FF175" s="13">
        <f>IF(FB175=1,$FB$31,$FB$32)</f>
        <v>156636.04979437485</v>
      </c>
      <c r="FG175" s="13">
        <f>FE175-FF175</f>
        <v>97937.70962390766</v>
      </c>
      <c r="FH175" s="13">
        <f>FH174+FG175</f>
        <v>9010269.2853995</v>
      </c>
      <c r="FI175">
        <f>IF(FH175=MAX($FH$83:$FH$483),$A175,0)</f>
        <v>0</v>
      </c>
      <c r="FJ175">
        <f>IF(FE175&lt;FF175,$A175,B_MAX+1)</f>
        <v>401.0</v>
      </c>
      <c r="FK175" s="13">
        <f>IF(FB175=1,$FB$35,$FB$36)</f>
        <v>0</v>
      </c>
      <c r="FL175" s="13">
        <f>OCC_DAYS*$FB$41*R_NF_2023-FD175*MCD_SHARE_FREED*R_WAIT_2023</f>
        <v>37367.159242427646</v>
      </c>
      <c r="FM175">
        <f>IF($A175&lt;=$FB$45,1,0)</f>
        <v>1</v>
      </c>
      <c r="GB175">
        <f>IF($GB$31&lt;=$GB$32,IF($A175&lt;=$GB$7,1,2),IF($A175&lt;=RUNG_BEDS_2,2,1))</f>
        <v>1</v>
      </c>
      <c r="GC175" s="5">
        <f>MIN(1,MAX(0,$GB$26-($A175-1)))</f>
        <v>1</v>
      </c>
      <c r="GD175" s="5">
        <f>$GB$25*(GC175+(1-GC175)*$GB$16)</f>
        <v>252.05322714681438</v>
      </c>
      <c r="GE175" s="13">
        <f>GD175*($GB$6+ACUTE_MARGIN)</f>
        <v>254573.7594182825</v>
      </c>
      <c r="GF175" s="13">
        <f>IF(GB175=1,$GB$31,$GB$32)</f>
        <v>152394.16214437486</v>
      </c>
      <c r="GG175" s="13">
        <f>GE175-GF175</f>
        <v>102179.59727390765</v>
      </c>
      <c r="GH175" s="13">
        <f>GH174+GG175</f>
        <v>9400522.94919951</v>
      </c>
      <c r="GI175">
        <f>IF(GH175=MAX($GH$83:$GH$483),$A175,0)</f>
        <v>0</v>
      </c>
      <c r="GJ175">
        <f>IF(GE175&lt;GF175,$A175,B_MAX+1)</f>
        <v>401.0</v>
      </c>
      <c r="GK175" s="13">
        <f>IF(GB175=1,$GB$35,$GB$36)</f>
        <v>0</v>
      </c>
      <c r="GL175" s="13">
        <f>OCC_DAYS*$GB$41*R_NF_2023-GD175*MCD_SHARE_FREED*R_WAIT_2023</f>
        <v>37367.159242427646</v>
      </c>
      <c r="GM175">
        <f>IF($A175&lt;=$GB$45,1,0)</f>
        <v>1</v>
      </c>
      <c r="HB175">
        <f>IF($HB$31&lt;=$HB$32,IF($A175&lt;=$HB$7,1,2),IF($A175&lt;=RUNG_BEDS_2,2,1))</f>
        <v>1</v>
      </c>
      <c r="HC175" s="5">
        <f>MIN(1,MAX(0,$HB$26-($A175-1)))</f>
        <v>1</v>
      </c>
      <c r="HD175" s="5">
        <f>$HB$25*(HC175+(1-HC175)*$HB$16)</f>
        <v>252.05322714681438</v>
      </c>
      <c r="HE175" s="13">
        <f>HD175*($HB$6+ACUTE_MARGIN)</f>
        <v>254573.7594182825</v>
      </c>
      <c r="HF175" s="13">
        <f>IF(HB175=1,$HB$31,$HB$32)</f>
        <v>152456.2970814058</v>
      </c>
      <c r="HG175" s="13">
        <f>HE175-HF175</f>
        <v>102117.46233687672</v>
      </c>
      <c r="HH175" s="13">
        <f>HH174+HG175</f>
        <v>9394806.534992656</v>
      </c>
      <c r="HI175">
        <f>IF(HH175=MAX($HH$83:$HH$483),$A175,0)</f>
        <v>0</v>
      </c>
      <c r="HJ175">
        <f>IF(HE175&lt;HF175,$A175,B_MAX+1)</f>
        <v>401.0</v>
      </c>
      <c r="HK175" s="13">
        <f>IF(HB175=1,$HB$35,$HB$36)</f>
        <v>0</v>
      </c>
      <c r="HL175" s="13">
        <f>OCC_DAYS*$HB$41*R_NF_2023-HD175*MCD_SHARE_FREED*R_WAIT_2023</f>
        <v>37367.159242427646</v>
      </c>
      <c r="HM175">
        <f>IF($A175&lt;=$HB$45,1,0)</f>
        <v>1</v>
      </c>
      <c r="IB175">
        <f>IF($IB$31&lt;=$IB$32,IF($A175&lt;=$IB$7,1,2),IF($A175&lt;=RUNG_BEDS_2,2,1))</f>
        <v>1</v>
      </c>
      <c r="IC175" s="5">
        <f>MIN(1,MAX(0,$IB$26-($A175-1)))</f>
        <v>1</v>
      </c>
      <c r="ID175" s="5">
        <f>$IB$25*(IC175+(1-IC175)*$IB$16)</f>
        <v>252.05322714681438</v>
      </c>
      <c r="IE175" s="13">
        <f>ID175*($IB$6+ACUTE_MARGIN)</f>
        <v>254573.7594182825</v>
      </c>
      <c r="IF175" s="13">
        <f>IF(IB175=1,$IB$31,$IB$32)</f>
        <v>152734.9994534971</v>
      </c>
      <c r="IG175" s="13">
        <f>IE175-IF175</f>
        <v>101838.75996478542</v>
      </c>
      <c r="IH175" s="13">
        <f>IH174+IG175</f>
        <v>9369165.916760258</v>
      </c>
      <c r="II175">
        <f>IF(IH175=MAX($IH$83:$IH$483),$A175,0)</f>
        <v>0</v>
      </c>
      <c r="IJ175">
        <f>IF(IE175&lt;IF175,$A175,B_MAX+1)</f>
        <v>401.0</v>
      </c>
      <c r="IK175" s="13">
        <f>IF(IB175=1,$IB$35,$IB$36)</f>
        <v>0</v>
      </c>
      <c r="IL175" s="13">
        <f>OCC_DAYS*$IB$41*R_NF_2023-ID175*MCD_SHARE_FREED*R_WAIT_2023</f>
        <v>37367.159242427646</v>
      </c>
      <c r="IM175">
        <f>IF($A175&lt;=$IB$45,1,0)</f>
        <v>1</v>
      </c>
      <c r="JB175">
        <f>IF($JB$31&lt;=$JB$32,IF($A175&lt;=$JB$7,1,2),IF($A175&lt;=RUNG_BEDS_2,2,1))</f>
        <v>1</v>
      </c>
      <c r="JC175" s="5">
        <f>MIN(1,MAX(0,$JB$26-($A175-1)))</f>
        <v>1</v>
      </c>
      <c r="JD175" s="5">
        <f>$JB$25*(JC175+(1-JC175)*$JB$16)</f>
        <v>252.05322714681438</v>
      </c>
      <c r="JE175" s="13">
        <f>JD175*($JB$6+ACUTE_MARGIN)</f>
        <v>254573.7594182825</v>
      </c>
      <c r="JF175" s="13">
        <f>IF(JB175=1,$JB$31,$JB$32)</f>
        <v>152394.16214437486</v>
      </c>
      <c r="JG175" s="13">
        <f>JE175-JF175</f>
        <v>102179.59727390765</v>
      </c>
      <c r="JH175" s="13">
        <f>JH174+JG175</f>
        <v>9400522.94919951</v>
      </c>
      <c r="JI175">
        <f>IF(JH175=MAX($JH$83:$JH$483),$A175,0)</f>
        <v>0</v>
      </c>
      <c r="JJ175">
        <f>IF(JE175&lt;JF175,$A175,B_MAX+1)</f>
        <v>401.0</v>
      </c>
      <c r="JK175" s="13">
        <f>IF(JB175=1,$JB$35,$JB$36)</f>
        <v>0</v>
      </c>
      <c r="JL175" s="13">
        <f>OCC_DAYS*$JB$41*R_NF_2023-JD175*MCD_SHARE_FREED*R_WAIT_2023</f>
        <v>37367.159242427646</v>
      </c>
      <c r="JM175">
        <f>IF($A175&lt;=$JB$45,1,0)</f>
        <v>1</v>
      </c>
      <c r="KB175">
        <f>IF($KB$31&lt;=$KB$32,IF($A175&lt;=$KB$7,1,2),IF($A175&lt;=RUNG_BEDS_2,2,1))</f>
        <v>1</v>
      </c>
      <c r="KC175" s="5">
        <f>MIN(1,MAX(0,$KB$26-($A175-1)))</f>
        <v>1</v>
      </c>
      <c r="KD175" s="5">
        <f>$KB$25*(KC175+(1-KC175)*$KB$16)</f>
        <v>126.02661357340719</v>
      </c>
      <c r="KE175" s="13">
        <f>KD175*($KB$6+ACUTE_MARGIN)</f>
        <v>127286.87970914126</v>
      </c>
      <c r="KF175" s="13">
        <f>IF(KB175=1,$KB$31,$KB$32)</f>
        <v>152394.16214437486</v>
      </c>
      <c r="KG175" s="13">
        <f>KE175-KF175</f>
        <v>-25107.282435233603</v>
      </c>
      <c r="KH175" s="13">
        <f>KH174+KG175</f>
        <v>-2309869.984041496</v>
      </c>
      <c r="KI175">
        <f>IF(KH175=MAX($KH$83:$KH$483),$A175,0)</f>
        <v>0</v>
      </c>
      <c r="KJ175">
        <f>IF(KE175&lt;KF175,$A175,B_MAX+1)</f>
        <v>92</v>
      </c>
      <c r="KK175" s="13">
        <f>IF(KB175=1,$KB$35,$KB$36)</f>
        <v>0</v>
      </c>
      <c r="KL175" s="13">
        <f>OCC_DAYS*$KB$41*R_NF_2023-KD175*MCD_SHARE_FREED*R_WAIT_2023</f>
        <v>94673.82103225985</v>
      </c>
      <c r="KM175">
        <f>IF($A175&lt;=$KB$45,1,0)</f>
        <v>0</v>
      </c>
      <c r="LB175">
        <f>IF($LB$31&lt;=$LB$32,IF($A175&lt;=$LB$7,1,2),IF($A175&lt;=RUNG_BEDS_2,2,1))</f>
        <v>1</v>
      </c>
      <c r="LC175" s="5">
        <f>MIN(1,MAX(0,$LB$26-($A175-1)))</f>
        <v>1</v>
      </c>
      <c r="LD175" s="5">
        <f>$LB$25*(LC175+(1-LC175)*$LB$16)</f>
        <v>84.01774238227146</v>
      </c>
      <c r="LE175" s="13">
        <f>LD175*($LB$6+ACUTE_MARGIN)</f>
        <v>84857.91980609419</v>
      </c>
      <c r="LF175" s="13">
        <f>IF(LB175=1,$LB$31,$LB$32)</f>
        <v>152394.16214437486</v>
      </c>
      <c r="LG175" s="13">
        <f>LE175-LF175</f>
        <v>-67536.24233828067</v>
      </c>
      <c r="LH175" s="13">
        <f>LH174+LG175</f>
        <v>-6213334.295121835</v>
      </c>
      <c r="LI175">
        <f>IF(LH175=MAX($LH$83:$LH$483),$A175,0)</f>
        <v>0</v>
      </c>
      <c r="LJ175">
        <f>IF(LE175&lt;LF175,$A175,B_MAX+1)</f>
        <v>92</v>
      </c>
      <c r="LK175" s="13">
        <f>IF(LB175=1,$LB$35,$LB$36)</f>
        <v>0</v>
      </c>
      <c r="LL175" s="13">
        <f>OCC_DAYS*$LB$41*R_NF_2023-LD175*MCD_SHARE_FREED*R_WAIT_2023</f>
        <v>113776.04162887059</v>
      </c>
      <c r="LM175">
        <f>IF($A175&lt;=$LB$45,1,0)</f>
        <v>0</v>
      </c>
      <c r="MB175">
        <f>IF($MB$31&lt;=$MB$32,IF($A175&lt;=$MB$7,1,2),IF($A175&lt;=RUNG_BEDS_2,2,1))</f>
        <v>1</v>
      </c>
      <c r="MC175" s="5">
        <f>MIN(1,MAX(0,$MB$26-($A175-1)))</f>
        <v>1</v>
      </c>
      <c r="MD175" s="5">
        <f>$MB$25*(MC175+(1-MC175)*$MB$16)</f>
        <v>213.44610951008647</v>
      </c>
      <c r="ME175" s="13">
        <f>MD175*($MB$6+ACUTE_MARGIN)</f>
        <v>215580.57060518733</v>
      </c>
      <c r="MF175" s="13">
        <f>IF(MB175=1,$MB$31,$MB$32)</f>
        <v>152394.16214437486</v>
      </c>
      <c r="MG175" s="13">
        <f>ME175-MF175</f>
        <v>63186.40846081247</v>
      </c>
      <c r="MH175" s="13">
        <f>MH174+MG175</f>
        <v>5813149.578394756</v>
      </c>
      <c r="MI175">
        <f>IF(MH175=MAX($MH$83:$MH$483),$A175,0)</f>
        <v>0</v>
      </c>
      <c r="MJ175">
        <f>IF(ME175&lt;MF175,$A175,B_MAX+1)</f>
        <v>401.0</v>
      </c>
      <c r="MK175" s="13">
        <f>IF(MB175=1,$MB$35,$MB$36)</f>
        <v>0</v>
      </c>
      <c r="ML175" s="13">
        <f>OCC_DAYS*$MB$41*R_NF_2023-MD175*MCD_SHARE_FREED*R_WAIT_2023</f>
        <v>54922.538779778624</v>
      </c>
      <c r="MM175">
        <f>IF($A175&lt;=$MB$45,1,0)</f>
        <v>1</v>
      </c>
      <c r="NB175">
        <f>IF($NB$31&lt;=$NB$32,IF($A175&lt;=$NB$7,1,2),IF($A175&lt;=RUNG_BEDS_2,2,1))</f>
        <v>1</v>
      </c>
      <c r="NC175" s="5">
        <f>MIN(1,MAX(0,$NB$26-($A175-1)))</f>
        <v>1</v>
      </c>
      <c r="ND175" s="5">
        <f>$NB$25*(NC175+(1-NC175)*$NB$16)</f>
        <v>252.05322714681438</v>
      </c>
      <c r="NE175" s="13">
        <f>ND175*($NB$6+ACUTE_MARGIN)</f>
        <v>254573.7594182825</v>
      </c>
      <c r="NF175" s="13">
        <f>IF(NB175=1,$NB$31,$NB$32)</f>
        <v>152394.16214437486</v>
      </c>
      <c r="NG175" s="13">
        <f>NE175-NF175</f>
        <v>102179.59727390765</v>
      </c>
      <c r="NH175" s="13">
        <f>NH174+NG175</f>
        <v>9400522.94919951</v>
      </c>
      <c r="NI175">
        <f>IF(NH175=MAX($NH$83:$NH$483),$A175,0)</f>
        <v>0</v>
      </c>
      <c r="NJ175">
        <f>IF(NE175&lt;NF175,$A175,B_MAX+1)</f>
        <v>401.0</v>
      </c>
      <c r="NK175" s="13">
        <f>IF(NB175=1,$NB$35,$NB$36)</f>
        <v>0</v>
      </c>
      <c r="NL175" s="13">
        <f>OCC_DAYS*$NB$41*R_NF_2023-ND175*MCD_SHARE_FREED*R_WAIT_2023</f>
        <v>37367.159242427646</v>
      </c>
      <c r="NM175">
        <f>IF($A175&lt;=$NB$45,1,0)</f>
        <v>1</v>
      </c>
      <c r="OB175">
        <f>IF($OB$31&lt;=$OB$32,IF($A175&lt;=$OB$7,1,2),IF($A175&lt;=RUNG_BEDS_2,2,1))</f>
        <v>1</v>
      </c>
      <c r="OC175" s="5">
        <f>MIN(1,MAX(0,$OB$26-($A175-1)))</f>
        <v>1</v>
      </c>
      <c r="OD175" s="5">
        <f>$OB$25*(OC175+(1-OC175)*$OB$16)</f>
        <v>252.05322714681438</v>
      </c>
      <c r="OE175" s="13">
        <f>OD175*($OB$6+ACUTE_MARGIN)</f>
        <v>254573.7594182825</v>
      </c>
      <c r="OF175" s="13">
        <f>IF(OB175=1,$OB$31,$OB$32)</f>
        <v>152394.16214437486</v>
      </c>
      <c r="OG175" s="13">
        <f>OE175-OF175</f>
        <v>102179.59727390765</v>
      </c>
      <c r="OH175" s="13">
        <f>OH174+OG175</f>
        <v>9400522.94919951</v>
      </c>
      <c r="OI175">
        <f>IF(OH175=MAX($OH$83:$OH$483),$A175,0)</f>
        <v>0</v>
      </c>
      <c r="OJ175">
        <f>IF(OE175&lt;OF175,$A175,B_MAX+1)</f>
        <v>401.0</v>
      </c>
      <c r="OK175" s="13">
        <f>IF(OB175=1,$OB$35,$OB$36)</f>
        <v>0</v>
      </c>
      <c r="OL175" s="13">
        <f>OCC_DAYS*$OB$41*R_NF_2023-OD175*MCD_SHARE_FREED*R_WAIT_2023</f>
        <v>37367.159242427646</v>
      </c>
      <c r="OM175">
        <f>IF($A175&lt;=$OB$45,1,0)</f>
        <v>1</v>
      </c>
    </row>
    <row r="176">
      <c r="A176" t="n">
        <v>93</v>
      </c>
      <c r="B176">
        <f>IF($B$31&lt;=$B$32,IF($A176&lt;=$B$7,1,2),IF($A176&lt;=RUNG_BEDS_2,2,1))</f>
        <v>1</v>
      </c>
      <c r="C176" s="5">
        <f>MIN(1,MAX(0,$B$26-($A176-1)))</f>
        <v>1</v>
      </c>
      <c r="D176" s="5">
        <f>$B$25*(C176+(1-C176)*$B$16)</f>
        <v>252.05322714681438</v>
      </c>
      <c r="E176" s="13">
        <f>D176*($B$6+ACUTE_MARGIN)</f>
        <v>254573.7594182825</v>
      </c>
      <c r="F176" s="13">
        <f>IF(B176=1,$B$31,$B$32)</f>
        <v>152394.16214437486</v>
      </c>
      <c r="G176" s="13">
        <f>E176-F176</f>
        <v>102179.59727390765</v>
      </c>
      <c r="H176" s="13">
        <f>H175+G176</f>
        <v>9502702.54647342</v>
      </c>
      <c r="I176">
        <f>IF(H176=MAX($H$83:$H$483),$A176,0)</f>
        <v>0</v>
      </c>
      <c r="J176">
        <f>IF(E176&lt;F176,$A176,B_MAX+1)</f>
        <v>401.0</v>
      </c>
      <c r="K176" s="13">
        <f>IF(B176=1,$B$35,$B$36)</f>
        <v>0</v>
      </c>
      <c r="L176" s="13">
        <f>OCC_DAYS*$B$41*R_NF_2023-D176*MCD_SHARE_FREED*R_WAIT_2023</f>
        <v>37367.159242427646</v>
      </c>
      <c r="M176">
        <f>IF($A176&lt;=$B$45,1,0)</f>
        <v>1</v>
      </c>
      <c r="AB176">
        <f>IF($AB$31&lt;=$AB$32,IF($A176&lt;=$AB$7,1,2),IF($A176&lt;=RUNG_BEDS_2,2,1))</f>
        <v>1</v>
      </c>
      <c r="AC176" s="5">
        <f>MIN(1,MAX(0,$AB$26-($A176-1)))</f>
        <v>1</v>
      </c>
      <c r="AD176" s="5">
        <f>$AB$25*(AC176+(1-AC176)*$AB$16)</f>
        <v>252.05322714681438</v>
      </c>
      <c r="AE176" s="13">
        <f>AD176*($AB$6+ACUTE_MARGIN)</f>
        <v>138629.2749307479</v>
      </c>
      <c r="AF176" s="13">
        <f>IF(AB176=1,$AB$31,$AB$32)</f>
        <v>152394.16214437486</v>
      </c>
      <c r="AG176" s="13">
        <f>AE176-AF176</f>
        <v>-13764.887213626964</v>
      </c>
      <c r="AH176" s="13">
        <f>AH175+AG176</f>
        <v>-1280134.510867308</v>
      </c>
      <c r="AI176">
        <f>IF(AH176=MAX($AH$83:$AH$483),$A176,0)</f>
        <v>0</v>
      </c>
      <c r="AJ176">
        <f>IF(AE176&lt;AF176,$A176,B_MAX+1)</f>
        <v>93</v>
      </c>
      <c r="AK176" s="13">
        <f>IF(AB176=1,$AB$35,$AB$36)</f>
        <v>0</v>
      </c>
      <c r="AL176" s="13">
        <f>OCC_DAYS*$AB$41*R_NF_2023-AD176*MCD_SHARE_FREED*R_WAIT_2023</f>
        <v>37367.159242427646</v>
      </c>
      <c r="AM176">
        <f>IF($A176&lt;=$AB$45,1,0)</f>
        <v>0</v>
      </c>
      <c r="BB176">
        <f>IF($BB$31&lt;=$BB$32,IF($A176&lt;=$BB$7,1,2),IF($A176&lt;=RUNG_BEDS_2,2,1))</f>
        <v>1</v>
      </c>
      <c r="BC176" s="5">
        <f>MIN(1,MAX(0,$BB$26-($A176-1)))</f>
        <v>1</v>
      </c>
      <c r="BD176" s="5">
        <f>$BB$25*(BC176+(1-BC176)*$BB$16)</f>
        <v>252.05322714681438</v>
      </c>
      <c r="BE176" s="13">
        <f>BD176*($BB$6+ACUTE_MARGIN)</f>
        <v>370518.24390581716</v>
      </c>
      <c r="BF176" s="13">
        <f>IF(BB176=1,$BB$31,$BB$32)</f>
        <v>152394.16214437486</v>
      </c>
      <c r="BG176" s="13">
        <f>BE176-BF176</f>
        <v>218124.0817614423</v>
      </c>
      <c r="BH176" s="13">
        <f>BH175+BG176</f>
        <v>20285539.60381412</v>
      </c>
      <c r="BI176">
        <f>IF(BH176=MAX($BH$83:$BH$483),$A176,0)</f>
        <v>0</v>
      </c>
      <c r="BJ176">
        <f>IF(BE176&lt;BF176,$A176,B_MAX+1)</f>
        <v>401.0</v>
      </c>
      <c r="BK176" s="13">
        <f>IF(BB176=1,$BB$35,$BB$36)</f>
        <v>0</v>
      </c>
      <c r="BL176" s="13">
        <f>OCC_DAYS*$BB$41*R_NF_2023-BD176*MCD_SHARE_FREED*R_WAIT_2023</f>
        <v>37367.159242427646</v>
      </c>
      <c r="BM176">
        <f>IF($A176&lt;=$BB$45,1,0)</f>
        <v>1</v>
      </c>
      <c r="CB176">
        <f>IF($CB$31&lt;=$CB$32,IF($A176&lt;=$CB$7,1,2),IF($A176&lt;=RUNG_BEDS_2,2,1))</f>
        <v>2</v>
      </c>
      <c r="CC176" s="5">
        <f>MIN(1,MAX(0,$CB$26-($A176-1)))</f>
        <v>1</v>
      </c>
      <c r="CD176" s="5">
        <f>$CB$25*(CC176+(1-CC176)*$CB$16)</f>
        <v>252.05322714681438</v>
      </c>
      <c r="CE176" s="13">
        <f>CD176*($CB$6+ACUTE_MARGIN)</f>
        <v>254573.7594182825</v>
      </c>
      <c r="CF176" s="13">
        <f>IF(CB176=1,$CB$31,$CB$32)</f>
        <v>160718.36940738867</v>
      </c>
      <c r="CG176" s="13">
        <f>CE176-CF176</f>
        <v>93855.39001089384</v>
      </c>
      <c r="CH176" s="13">
        <f>CH175+CG176</f>
        <v>8728551.271013144</v>
      </c>
      <c r="CI176">
        <f>IF(CH176=MAX($CH$83:$CH$483),$A176,0)</f>
        <v>0</v>
      </c>
      <c r="CJ176">
        <f>IF(CE176&lt;CF176,$A176,B_MAX+1)</f>
        <v>401.0</v>
      </c>
      <c r="CK176" s="13">
        <f>IF(CB176=1,$CB$35,$CB$36)</f>
        <v>1560.1194073886782</v>
      </c>
      <c r="CL176" s="13">
        <f>OCC_DAYS*$CB$41*R_NF_2023-CD176*MCD_SHARE_FREED*R_WAIT_2023</f>
        <v>37367.159242427646</v>
      </c>
      <c r="CM176">
        <f>IF($A176&lt;=$CB$45,1,0)</f>
        <v>1</v>
      </c>
      <c r="DB176">
        <f>IF($DB$31&lt;=$DB$32,IF($A176&lt;=$DB$7,1,2),IF($A176&lt;=RUNG_BEDS_2,2,1))</f>
        <v>1</v>
      </c>
      <c r="DC176" s="5">
        <f>MIN(1,MAX(0,$DB$26-($A176-1)))</f>
        <v>1</v>
      </c>
      <c r="DD176" s="5">
        <f>$DB$25*(DC176+(1-DC176)*$DB$16)</f>
        <v>252.05322714681438</v>
      </c>
      <c r="DE176" s="13">
        <f>DD176*($DB$6+ACUTE_MARGIN)</f>
        <v>254573.7594182825</v>
      </c>
      <c r="DF176" s="13">
        <f>IF(DB176=1,$DB$31,$DB$32)</f>
        <v>152394.16214437486</v>
      </c>
      <c r="DG176" s="13">
        <f>DE176-DF176</f>
        <v>102179.59727390765</v>
      </c>
      <c r="DH176" s="13">
        <f>DH175+DG176</f>
        <v>9502702.54647342</v>
      </c>
      <c r="DI176">
        <f>IF(DH176=MAX($DH$83:$DH$483),$A176,0)</f>
        <v>0</v>
      </c>
      <c r="DJ176">
        <f>IF(DE176&lt;DF176,$A176,B_MAX+1)</f>
        <v>401.0</v>
      </c>
      <c r="DK176" s="13">
        <f>IF(DB176=1,$DB$35,$DB$36)</f>
        <v>0</v>
      </c>
      <c r="DL176" s="13">
        <f>OCC_DAYS*$DB$41*R_NF_2023-DD176*MCD_SHARE_FREED*R_WAIT_2023</f>
        <v>37367.159242427646</v>
      </c>
      <c r="DM176">
        <f>IF($A176&lt;=$DB$45,1,0)</f>
        <v>1</v>
      </c>
      <c r="EB176">
        <f>IF($EB$31&lt;=$EB$32,IF($A176&lt;=$EB$7,1,2),IF($A176&lt;=RUNG_BEDS_2,2,1))</f>
        <v>1</v>
      </c>
      <c r="EC176" s="5">
        <f>MIN(1,MAX(0,$EB$26-($A176-1)))</f>
        <v>1</v>
      </c>
      <c r="ED176" s="5">
        <f>$EB$25*(EC176+(1-EC176)*$EB$16)</f>
        <v>252.05322714681438</v>
      </c>
      <c r="EE176" s="13">
        <f>ED176*($EB$6+ACUTE_MARGIN)</f>
        <v>254573.7594182825</v>
      </c>
      <c r="EF176" s="13">
        <f>IF(EB176=1,$EB$31,$EB$32)</f>
        <v>152394.16214437486</v>
      </c>
      <c r="EG176" s="13">
        <f>EE176-EF176</f>
        <v>102179.59727390765</v>
      </c>
      <c r="EH176" s="13">
        <f>EH175+EG176</f>
        <v>9502702.54647342</v>
      </c>
      <c r="EI176">
        <f>IF(EH176=MAX($EH$83:$EH$483),$A176,0)</f>
        <v>0</v>
      </c>
      <c r="EJ176">
        <f>IF(EE176&lt;EF176,$A176,B_MAX+1)</f>
        <v>401.0</v>
      </c>
      <c r="EK176" s="13">
        <f>IF(EB176=1,$EB$35,$EB$36)</f>
        <v>0</v>
      </c>
      <c r="EL176" s="13">
        <f>OCC_DAYS*$EB$41*R_NF_2023-ED176*MCD_SHARE_FREED*R_WAIT_2023</f>
        <v>-63953.16263896705</v>
      </c>
      <c r="EM176">
        <f>IF($A176&lt;=$EB$45,1,0)</f>
        <v>1</v>
      </c>
      <c r="FB176">
        <f>IF($FB$31&lt;=$FB$32,IF($A176&lt;=$FB$7,1,2),IF($A176&lt;=RUNG_BEDS_2,2,1))</f>
        <v>1</v>
      </c>
      <c r="FC176" s="5">
        <f>MIN(1,MAX(0,$FB$26-($A176-1)))</f>
        <v>1</v>
      </c>
      <c r="FD176" s="5">
        <f>$FB$25*(FC176+(1-FC176)*$FB$16)</f>
        <v>252.05322714681438</v>
      </c>
      <c r="FE176" s="13">
        <f>FD176*($FB$6+ACUTE_MARGIN)</f>
        <v>254573.7594182825</v>
      </c>
      <c r="FF176" s="13">
        <f>IF(FB176=1,$FB$31,$FB$32)</f>
        <v>156636.04979437485</v>
      </c>
      <c r="FG176" s="13">
        <f>FE176-FF176</f>
        <v>97937.70962390766</v>
      </c>
      <c r="FH176" s="13">
        <f>FH175+FG176</f>
        <v>9108206.995023407</v>
      </c>
      <c r="FI176">
        <f>IF(FH176=MAX($FH$83:$FH$483),$A176,0)</f>
        <v>0</v>
      </c>
      <c r="FJ176">
        <f>IF(FE176&lt;FF176,$A176,B_MAX+1)</f>
        <v>401.0</v>
      </c>
      <c r="FK176" s="13">
        <f>IF(FB176=1,$FB$35,$FB$36)</f>
        <v>0</v>
      </c>
      <c r="FL176" s="13">
        <f>OCC_DAYS*$FB$41*R_NF_2023-FD176*MCD_SHARE_FREED*R_WAIT_2023</f>
        <v>37367.159242427646</v>
      </c>
      <c r="FM176">
        <f>IF($A176&lt;=$FB$45,1,0)</f>
        <v>1</v>
      </c>
      <c r="GB176">
        <f>IF($GB$31&lt;=$GB$32,IF($A176&lt;=$GB$7,1,2),IF($A176&lt;=RUNG_BEDS_2,2,1))</f>
        <v>1</v>
      </c>
      <c r="GC176" s="5">
        <f>MIN(1,MAX(0,$GB$26-($A176-1)))</f>
        <v>1</v>
      </c>
      <c r="GD176" s="5">
        <f>$GB$25*(GC176+(1-GC176)*$GB$16)</f>
        <v>252.05322714681438</v>
      </c>
      <c r="GE176" s="13">
        <f>GD176*($GB$6+ACUTE_MARGIN)</f>
        <v>254573.7594182825</v>
      </c>
      <c r="GF176" s="13">
        <f>IF(GB176=1,$GB$31,$GB$32)</f>
        <v>152394.16214437486</v>
      </c>
      <c r="GG176" s="13">
        <f>GE176-GF176</f>
        <v>102179.59727390765</v>
      </c>
      <c r="GH176" s="13">
        <f>GH175+GG176</f>
        <v>9502702.54647342</v>
      </c>
      <c r="GI176">
        <f>IF(GH176=MAX($GH$83:$GH$483),$A176,0)</f>
        <v>0</v>
      </c>
      <c r="GJ176">
        <f>IF(GE176&lt;GF176,$A176,B_MAX+1)</f>
        <v>401.0</v>
      </c>
      <c r="GK176" s="13">
        <f>IF(GB176=1,$GB$35,$GB$36)</f>
        <v>0</v>
      </c>
      <c r="GL176" s="13">
        <f>OCC_DAYS*$GB$41*R_NF_2023-GD176*MCD_SHARE_FREED*R_WAIT_2023</f>
        <v>37367.159242427646</v>
      </c>
      <c r="GM176">
        <f>IF($A176&lt;=$GB$45,1,0)</f>
        <v>1</v>
      </c>
      <c r="HB176">
        <f>IF($HB$31&lt;=$HB$32,IF($A176&lt;=$HB$7,1,2),IF($A176&lt;=RUNG_BEDS_2,2,1))</f>
        <v>1</v>
      </c>
      <c r="HC176" s="5">
        <f>MIN(1,MAX(0,$HB$26-($A176-1)))</f>
        <v>1</v>
      </c>
      <c r="HD176" s="5">
        <f>$HB$25*(HC176+(1-HC176)*$HB$16)</f>
        <v>252.05322714681438</v>
      </c>
      <c r="HE176" s="13">
        <f>HD176*($HB$6+ACUTE_MARGIN)</f>
        <v>254573.7594182825</v>
      </c>
      <c r="HF176" s="13">
        <f>IF(HB176=1,$HB$31,$HB$32)</f>
        <v>152456.2970814058</v>
      </c>
      <c r="HG176" s="13">
        <f>HE176-HF176</f>
        <v>102117.46233687672</v>
      </c>
      <c r="HH176" s="13">
        <f>HH175+HG176</f>
        <v>9496923.997329533</v>
      </c>
      <c r="HI176">
        <f>IF(HH176=MAX($HH$83:$HH$483),$A176,0)</f>
        <v>0</v>
      </c>
      <c r="HJ176">
        <f>IF(HE176&lt;HF176,$A176,B_MAX+1)</f>
        <v>401.0</v>
      </c>
      <c r="HK176" s="13">
        <f>IF(HB176=1,$HB$35,$HB$36)</f>
        <v>0</v>
      </c>
      <c r="HL176" s="13">
        <f>OCC_DAYS*$HB$41*R_NF_2023-HD176*MCD_SHARE_FREED*R_WAIT_2023</f>
        <v>37367.159242427646</v>
      </c>
      <c r="HM176">
        <f>IF($A176&lt;=$HB$45,1,0)</f>
        <v>1</v>
      </c>
      <c r="IB176">
        <f>IF($IB$31&lt;=$IB$32,IF($A176&lt;=$IB$7,1,2),IF($A176&lt;=RUNG_BEDS_2,2,1))</f>
        <v>1</v>
      </c>
      <c r="IC176" s="5">
        <f>MIN(1,MAX(0,$IB$26-($A176-1)))</f>
        <v>1</v>
      </c>
      <c r="ID176" s="5">
        <f>$IB$25*(IC176+(1-IC176)*$IB$16)</f>
        <v>252.05322714681438</v>
      </c>
      <c r="IE176" s="13">
        <f>ID176*($IB$6+ACUTE_MARGIN)</f>
        <v>254573.7594182825</v>
      </c>
      <c r="IF176" s="13">
        <f>IF(IB176=1,$IB$31,$IB$32)</f>
        <v>152734.9994534971</v>
      </c>
      <c r="IG176" s="13">
        <f>IE176-IF176</f>
        <v>101838.75996478542</v>
      </c>
      <c r="IH176" s="13">
        <f>IH175+IG176</f>
        <v>9471004.676725043</v>
      </c>
      <c r="II176">
        <f>IF(IH176=MAX($IH$83:$IH$483),$A176,0)</f>
        <v>0</v>
      </c>
      <c r="IJ176">
        <f>IF(IE176&lt;IF176,$A176,B_MAX+1)</f>
        <v>401.0</v>
      </c>
      <c r="IK176" s="13">
        <f>IF(IB176=1,$IB$35,$IB$36)</f>
        <v>0</v>
      </c>
      <c r="IL176" s="13">
        <f>OCC_DAYS*$IB$41*R_NF_2023-ID176*MCD_SHARE_FREED*R_WAIT_2023</f>
        <v>37367.159242427646</v>
      </c>
      <c r="IM176">
        <f>IF($A176&lt;=$IB$45,1,0)</f>
        <v>1</v>
      </c>
      <c r="JB176">
        <f>IF($JB$31&lt;=$JB$32,IF($A176&lt;=$JB$7,1,2),IF($A176&lt;=RUNG_BEDS_2,2,1))</f>
        <v>1</v>
      </c>
      <c r="JC176" s="5">
        <f>MIN(1,MAX(0,$JB$26-($A176-1)))</f>
        <v>1</v>
      </c>
      <c r="JD176" s="5">
        <f>$JB$25*(JC176+(1-JC176)*$JB$16)</f>
        <v>252.05322714681438</v>
      </c>
      <c r="JE176" s="13">
        <f>JD176*($JB$6+ACUTE_MARGIN)</f>
        <v>254573.7594182825</v>
      </c>
      <c r="JF176" s="13">
        <f>IF(JB176=1,$JB$31,$JB$32)</f>
        <v>152394.16214437486</v>
      </c>
      <c r="JG176" s="13">
        <f>JE176-JF176</f>
        <v>102179.59727390765</v>
      </c>
      <c r="JH176" s="13">
        <f>JH175+JG176</f>
        <v>9502702.54647342</v>
      </c>
      <c r="JI176">
        <f>IF(JH176=MAX($JH$83:$JH$483),$A176,0)</f>
        <v>0</v>
      </c>
      <c r="JJ176">
        <f>IF(JE176&lt;JF176,$A176,B_MAX+1)</f>
        <v>401.0</v>
      </c>
      <c r="JK176" s="13">
        <f>IF(JB176=1,$JB$35,$JB$36)</f>
        <v>0</v>
      </c>
      <c r="JL176" s="13">
        <f>OCC_DAYS*$JB$41*R_NF_2023-JD176*MCD_SHARE_FREED*R_WAIT_2023</f>
        <v>37367.159242427646</v>
      </c>
      <c r="JM176">
        <f>IF($A176&lt;=$JB$45,1,0)</f>
        <v>1</v>
      </c>
      <c r="KB176">
        <f>IF($KB$31&lt;=$KB$32,IF($A176&lt;=$KB$7,1,2),IF($A176&lt;=RUNG_BEDS_2,2,1))</f>
        <v>1</v>
      </c>
      <c r="KC176" s="5">
        <f>MIN(1,MAX(0,$KB$26-($A176-1)))</f>
        <v>1</v>
      </c>
      <c r="KD176" s="5">
        <f>$KB$25*(KC176+(1-KC176)*$KB$16)</f>
        <v>126.02661357340719</v>
      </c>
      <c r="KE176" s="13">
        <f>KD176*($KB$6+ACUTE_MARGIN)</f>
        <v>127286.87970914126</v>
      </c>
      <c r="KF176" s="13">
        <f>IF(KB176=1,$KB$31,$KB$32)</f>
        <v>152394.16214437486</v>
      </c>
      <c r="KG176" s="13">
        <f>KE176-KF176</f>
        <v>-25107.282435233603</v>
      </c>
      <c r="KH176" s="13">
        <f>KH175+KG176</f>
        <v>-2334977.26647673</v>
      </c>
      <c r="KI176">
        <f>IF(KH176=MAX($KH$83:$KH$483),$A176,0)</f>
        <v>0</v>
      </c>
      <c r="KJ176">
        <f>IF(KE176&lt;KF176,$A176,B_MAX+1)</f>
        <v>93</v>
      </c>
      <c r="KK176" s="13">
        <f>IF(KB176=1,$KB$35,$KB$36)</f>
        <v>0</v>
      </c>
      <c r="KL176" s="13">
        <f>OCC_DAYS*$KB$41*R_NF_2023-KD176*MCD_SHARE_FREED*R_WAIT_2023</f>
        <v>94673.82103225985</v>
      </c>
      <c r="KM176">
        <f>IF($A176&lt;=$KB$45,1,0)</f>
        <v>0</v>
      </c>
      <c r="LB176">
        <f>IF($LB$31&lt;=$LB$32,IF($A176&lt;=$LB$7,1,2),IF($A176&lt;=RUNG_BEDS_2,2,1))</f>
        <v>1</v>
      </c>
      <c r="LC176" s="5">
        <f>MIN(1,MAX(0,$LB$26-($A176-1)))</f>
        <v>1</v>
      </c>
      <c r="LD176" s="5">
        <f>$LB$25*(LC176+(1-LC176)*$LB$16)</f>
        <v>84.01774238227146</v>
      </c>
      <c r="LE176" s="13">
        <f>LD176*($LB$6+ACUTE_MARGIN)</f>
        <v>84857.91980609419</v>
      </c>
      <c r="LF176" s="13">
        <f>IF(LB176=1,$LB$31,$LB$32)</f>
        <v>152394.16214437486</v>
      </c>
      <c r="LG176" s="13">
        <f>LE176-LF176</f>
        <v>-67536.24233828067</v>
      </c>
      <c r="LH176" s="13">
        <f>LH175+LG176</f>
        <v>-6280870.537460116</v>
      </c>
      <c r="LI176">
        <f>IF(LH176=MAX($LH$83:$LH$483),$A176,0)</f>
        <v>0</v>
      </c>
      <c r="LJ176">
        <f>IF(LE176&lt;LF176,$A176,B_MAX+1)</f>
        <v>93</v>
      </c>
      <c r="LK176" s="13">
        <f>IF(LB176=1,$LB$35,$LB$36)</f>
        <v>0</v>
      </c>
      <c r="LL176" s="13">
        <f>OCC_DAYS*$LB$41*R_NF_2023-LD176*MCD_SHARE_FREED*R_WAIT_2023</f>
        <v>113776.04162887059</v>
      </c>
      <c r="LM176">
        <f>IF($A176&lt;=$LB$45,1,0)</f>
        <v>0</v>
      </c>
      <c r="MB176">
        <f>IF($MB$31&lt;=$MB$32,IF($A176&lt;=$MB$7,1,2),IF($A176&lt;=RUNG_BEDS_2,2,1))</f>
        <v>1</v>
      </c>
      <c r="MC176" s="5">
        <f>MIN(1,MAX(0,$MB$26-($A176-1)))</f>
        <v>1</v>
      </c>
      <c r="MD176" s="5">
        <f>$MB$25*(MC176+(1-MC176)*$MB$16)</f>
        <v>213.44610951008647</v>
      </c>
      <c r="ME176" s="13">
        <f>MD176*($MB$6+ACUTE_MARGIN)</f>
        <v>215580.57060518733</v>
      </c>
      <c r="MF176" s="13">
        <f>IF(MB176=1,$MB$31,$MB$32)</f>
        <v>152394.16214437486</v>
      </c>
      <c r="MG176" s="13">
        <f>ME176-MF176</f>
        <v>63186.40846081247</v>
      </c>
      <c r="MH176" s="13">
        <f>MH175+MG176</f>
        <v>5876335.986855568</v>
      </c>
      <c r="MI176">
        <f>IF(MH176=MAX($MH$83:$MH$483),$A176,0)</f>
        <v>0</v>
      </c>
      <c r="MJ176">
        <f>IF(ME176&lt;MF176,$A176,B_MAX+1)</f>
        <v>401.0</v>
      </c>
      <c r="MK176" s="13">
        <f>IF(MB176=1,$MB$35,$MB$36)</f>
        <v>0</v>
      </c>
      <c r="ML176" s="13">
        <f>OCC_DAYS*$MB$41*R_NF_2023-MD176*MCD_SHARE_FREED*R_WAIT_2023</f>
        <v>54922.538779778624</v>
      </c>
      <c r="MM176">
        <f>IF($A176&lt;=$MB$45,1,0)</f>
        <v>1</v>
      </c>
      <c r="NB176">
        <f>IF($NB$31&lt;=$NB$32,IF($A176&lt;=$NB$7,1,2),IF($A176&lt;=RUNG_BEDS_2,2,1))</f>
        <v>1</v>
      </c>
      <c r="NC176" s="5">
        <f>MIN(1,MAX(0,$NB$26-($A176-1)))</f>
        <v>1</v>
      </c>
      <c r="ND176" s="5">
        <f>$NB$25*(NC176+(1-NC176)*$NB$16)</f>
        <v>252.05322714681438</v>
      </c>
      <c r="NE176" s="13">
        <f>ND176*($NB$6+ACUTE_MARGIN)</f>
        <v>254573.7594182825</v>
      </c>
      <c r="NF176" s="13">
        <f>IF(NB176=1,$NB$31,$NB$32)</f>
        <v>152394.16214437486</v>
      </c>
      <c r="NG176" s="13">
        <f>NE176-NF176</f>
        <v>102179.59727390765</v>
      </c>
      <c r="NH176" s="13">
        <f>NH175+NG176</f>
        <v>9502702.54647342</v>
      </c>
      <c r="NI176">
        <f>IF(NH176=MAX($NH$83:$NH$483),$A176,0)</f>
        <v>0</v>
      </c>
      <c r="NJ176">
        <f>IF(NE176&lt;NF176,$A176,B_MAX+1)</f>
        <v>401.0</v>
      </c>
      <c r="NK176" s="13">
        <f>IF(NB176=1,$NB$35,$NB$36)</f>
        <v>0</v>
      </c>
      <c r="NL176" s="13">
        <f>OCC_DAYS*$NB$41*R_NF_2023-ND176*MCD_SHARE_FREED*R_WAIT_2023</f>
        <v>37367.159242427646</v>
      </c>
      <c r="NM176">
        <f>IF($A176&lt;=$NB$45,1,0)</f>
        <v>1</v>
      </c>
      <c r="OB176">
        <f>IF($OB$31&lt;=$OB$32,IF($A176&lt;=$OB$7,1,2),IF($A176&lt;=RUNG_BEDS_2,2,1))</f>
        <v>1</v>
      </c>
      <c r="OC176" s="5">
        <f>MIN(1,MAX(0,$OB$26-($A176-1)))</f>
        <v>1</v>
      </c>
      <c r="OD176" s="5">
        <f>$OB$25*(OC176+(1-OC176)*$OB$16)</f>
        <v>252.05322714681438</v>
      </c>
      <c r="OE176" s="13">
        <f>OD176*($OB$6+ACUTE_MARGIN)</f>
        <v>254573.7594182825</v>
      </c>
      <c r="OF176" s="13">
        <f>IF(OB176=1,$OB$31,$OB$32)</f>
        <v>152394.16214437486</v>
      </c>
      <c r="OG176" s="13">
        <f>OE176-OF176</f>
        <v>102179.59727390765</v>
      </c>
      <c r="OH176" s="13">
        <f>OH175+OG176</f>
        <v>9502702.54647342</v>
      </c>
      <c r="OI176">
        <f>IF(OH176=MAX($OH$83:$OH$483),$A176,0)</f>
        <v>0</v>
      </c>
      <c r="OJ176">
        <f>IF(OE176&lt;OF176,$A176,B_MAX+1)</f>
        <v>401.0</v>
      </c>
      <c r="OK176" s="13">
        <f>IF(OB176=1,$OB$35,$OB$36)</f>
        <v>0</v>
      </c>
      <c r="OL176" s="13">
        <f>OCC_DAYS*$OB$41*R_NF_2023-OD176*MCD_SHARE_FREED*R_WAIT_2023</f>
        <v>37367.159242427646</v>
      </c>
      <c r="OM176">
        <f>IF($A176&lt;=$OB$45,1,0)</f>
        <v>1</v>
      </c>
    </row>
    <row r="177">
      <c r="A177" t="n">
        <v>94</v>
      </c>
      <c r="B177">
        <f>IF($B$31&lt;=$B$32,IF($A177&lt;=$B$7,1,2),IF($A177&lt;=RUNG_BEDS_2,2,1))</f>
        <v>1</v>
      </c>
      <c r="C177" s="5">
        <f>MIN(1,MAX(0,$B$26-($A177-1)))</f>
        <v>1</v>
      </c>
      <c r="D177" s="5">
        <f>$B$25*(C177+(1-C177)*$B$16)</f>
        <v>252.05322714681438</v>
      </c>
      <c r="E177" s="13">
        <f>D177*($B$6+ACUTE_MARGIN)</f>
        <v>254573.7594182825</v>
      </c>
      <c r="F177" s="13">
        <f>IF(B177=1,$B$31,$B$32)</f>
        <v>152394.16214437486</v>
      </c>
      <c r="G177" s="13">
        <f>E177-F177</f>
        <v>102179.59727390765</v>
      </c>
      <c r="H177" s="13">
        <f>H176+G177</f>
        <v>9604882.143747328</v>
      </c>
      <c r="I177">
        <f>IF(H177=MAX($H$83:$H$483),$A177,0)</f>
        <v>0</v>
      </c>
      <c r="J177">
        <f>IF(E177&lt;F177,$A177,B_MAX+1)</f>
        <v>401.0</v>
      </c>
      <c r="K177" s="13">
        <f>IF(B177=1,$B$35,$B$36)</f>
        <v>0</v>
      </c>
      <c r="L177" s="13">
        <f>OCC_DAYS*$B$41*R_NF_2023-D177*MCD_SHARE_FREED*R_WAIT_2023</f>
        <v>37367.159242427646</v>
      </c>
      <c r="M177">
        <f>IF($A177&lt;=$B$45,1,0)</f>
        <v>1</v>
      </c>
      <c r="AB177">
        <f>IF($AB$31&lt;=$AB$32,IF($A177&lt;=$AB$7,1,2),IF($A177&lt;=RUNG_BEDS_2,2,1))</f>
        <v>1</v>
      </c>
      <c r="AC177" s="5">
        <f>MIN(1,MAX(0,$AB$26-($A177-1)))</f>
        <v>1</v>
      </c>
      <c r="AD177" s="5">
        <f>$AB$25*(AC177+(1-AC177)*$AB$16)</f>
        <v>252.05322714681438</v>
      </c>
      <c r="AE177" s="13">
        <f>AD177*($AB$6+ACUTE_MARGIN)</f>
        <v>138629.2749307479</v>
      </c>
      <c r="AF177" s="13">
        <f>IF(AB177=1,$AB$31,$AB$32)</f>
        <v>152394.16214437486</v>
      </c>
      <c r="AG177" s="13">
        <f>AE177-AF177</f>
        <v>-13764.887213626964</v>
      </c>
      <c r="AH177" s="13">
        <f>AH176+AG177</f>
        <v>-1293899.3980809348</v>
      </c>
      <c r="AI177">
        <f>IF(AH177=MAX($AH$83:$AH$483),$A177,0)</f>
        <v>0</v>
      </c>
      <c r="AJ177">
        <f>IF(AE177&lt;AF177,$A177,B_MAX+1)</f>
        <v>94</v>
      </c>
      <c r="AK177" s="13">
        <f>IF(AB177=1,$AB$35,$AB$36)</f>
        <v>0</v>
      </c>
      <c r="AL177" s="13">
        <f>OCC_DAYS*$AB$41*R_NF_2023-AD177*MCD_SHARE_FREED*R_WAIT_2023</f>
        <v>37367.159242427646</v>
      </c>
      <c r="AM177">
        <f>IF($A177&lt;=$AB$45,1,0)</f>
        <v>0</v>
      </c>
      <c r="BB177">
        <f>IF($BB$31&lt;=$BB$32,IF($A177&lt;=$BB$7,1,2),IF($A177&lt;=RUNG_BEDS_2,2,1))</f>
        <v>1</v>
      </c>
      <c r="BC177" s="5">
        <f>MIN(1,MAX(0,$BB$26-($A177-1)))</f>
        <v>1</v>
      </c>
      <c r="BD177" s="5">
        <f>$BB$25*(BC177+(1-BC177)*$BB$16)</f>
        <v>252.05322714681438</v>
      </c>
      <c r="BE177" s="13">
        <f>BD177*($BB$6+ACUTE_MARGIN)</f>
        <v>370518.24390581716</v>
      </c>
      <c r="BF177" s="13">
        <f>IF(BB177=1,$BB$31,$BB$32)</f>
        <v>152394.16214437486</v>
      </c>
      <c r="BG177" s="13">
        <f>BE177-BF177</f>
        <v>218124.0817614423</v>
      </c>
      <c r="BH177" s="13">
        <f>BH176+BG177</f>
        <v>20503663.685575563</v>
      </c>
      <c r="BI177">
        <f>IF(BH177=MAX($BH$83:$BH$483),$A177,0)</f>
        <v>0</v>
      </c>
      <c r="BJ177">
        <f>IF(BE177&lt;BF177,$A177,B_MAX+1)</f>
        <v>401.0</v>
      </c>
      <c r="BK177" s="13">
        <f>IF(BB177=1,$BB$35,$BB$36)</f>
        <v>0</v>
      </c>
      <c r="BL177" s="13">
        <f>OCC_DAYS*$BB$41*R_NF_2023-BD177*MCD_SHARE_FREED*R_WAIT_2023</f>
        <v>37367.159242427646</v>
      </c>
      <c r="BM177">
        <f>IF($A177&lt;=$BB$45,1,0)</f>
        <v>1</v>
      </c>
      <c r="CB177">
        <f>IF($CB$31&lt;=$CB$32,IF($A177&lt;=$CB$7,1,2),IF($A177&lt;=RUNG_BEDS_2,2,1))</f>
        <v>2</v>
      </c>
      <c r="CC177" s="5">
        <f>MIN(1,MAX(0,$CB$26-($A177-1)))</f>
        <v>1</v>
      </c>
      <c r="CD177" s="5">
        <f>$CB$25*(CC177+(1-CC177)*$CB$16)</f>
        <v>252.05322714681438</v>
      </c>
      <c r="CE177" s="13">
        <f>CD177*($CB$6+ACUTE_MARGIN)</f>
        <v>254573.7594182825</v>
      </c>
      <c r="CF177" s="13">
        <f>IF(CB177=1,$CB$31,$CB$32)</f>
        <v>160718.36940738867</v>
      </c>
      <c r="CG177" s="13">
        <f>CE177-CF177</f>
        <v>93855.39001089384</v>
      </c>
      <c r="CH177" s="13">
        <f>CH176+CG177</f>
        <v>8822406.661024038</v>
      </c>
      <c r="CI177">
        <f>IF(CH177=MAX($CH$83:$CH$483),$A177,0)</f>
        <v>0</v>
      </c>
      <c r="CJ177">
        <f>IF(CE177&lt;CF177,$A177,B_MAX+1)</f>
        <v>401.0</v>
      </c>
      <c r="CK177" s="13">
        <f>IF(CB177=1,$CB$35,$CB$36)</f>
        <v>1560.1194073886782</v>
      </c>
      <c r="CL177" s="13">
        <f>OCC_DAYS*$CB$41*R_NF_2023-CD177*MCD_SHARE_FREED*R_WAIT_2023</f>
        <v>37367.159242427646</v>
      </c>
      <c r="CM177">
        <f>IF($A177&lt;=$CB$45,1,0)</f>
        <v>1</v>
      </c>
      <c r="DB177">
        <f>IF($DB$31&lt;=$DB$32,IF($A177&lt;=$DB$7,1,2),IF($A177&lt;=RUNG_BEDS_2,2,1))</f>
        <v>1</v>
      </c>
      <c r="DC177" s="5">
        <f>MIN(1,MAX(0,$DB$26-($A177-1)))</f>
        <v>1</v>
      </c>
      <c r="DD177" s="5">
        <f>$DB$25*(DC177+(1-DC177)*$DB$16)</f>
        <v>252.05322714681438</v>
      </c>
      <c r="DE177" s="13">
        <f>DD177*($DB$6+ACUTE_MARGIN)</f>
        <v>254573.7594182825</v>
      </c>
      <c r="DF177" s="13">
        <f>IF(DB177=1,$DB$31,$DB$32)</f>
        <v>152394.16214437486</v>
      </c>
      <c r="DG177" s="13">
        <f>DE177-DF177</f>
        <v>102179.59727390765</v>
      </c>
      <c r="DH177" s="13">
        <f>DH176+DG177</f>
        <v>9604882.143747328</v>
      </c>
      <c r="DI177">
        <f>IF(DH177=MAX($DH$83:$DH$483),$A177,0)</f>
        <v>0</v>
      </c>
      <c r="DJ177">
        <f>IF(DE177&lt;DF177,$A177,B_MAX+1)</f>
        <v>401.0</v>
      </c>
      <c r="DK177" s="13">
        <f>IF(DB177=1,$DB$35,$DB$36)</f>
        <v>0</v>
      </c>
      <c r="DL177" s="13">
        <f>OCC_DAYS*$DB$41*R_NF_2023-DD177*MCD_SHARE_FREED*R_WAIT_2023</f>
        <v>37367.159242427646</v>
      </c>
      <c r="DM177">
        <f>IF($A177&lt;=$DB$45,1,0)</f>
        <v>1</v>
      </c>
      <c r="EB177">
        <f>IF($EB$31&lt;=$EB$32,IF($A177&lt;=$EB$7,1,2),IF($A177&lt;=RUNG_BEDS_2,2,1))</f>
        <v>1</v>
      </c>
      <c r="EC177" s="5">
        <f>MIN(1,MAX(0,$EB$26-($A177-1)))</f>
        <v>1</v>
      </c>
      <c r="ED177" s="5">
        <f>$EB$25*(EC177+(1-EC177)*$EB$16)</f>
        <v>252.05322714681438</v>
      </c>
      <c r="EE177" s="13">
        <f>ED177*($EB$6+ACUTE_MARGIN)</f>
        <v>254573.7594182825</v>
      </c>
      <c r="EF177" s="13">
        <f>IF(EB177=1,$EB$31,$EB$32)</f>
        <v>152394.16214437486</v>
      </c>
      <c r="EG177" s="13">
        <f>EE177-EF177</f>
        <v>102179.59727390765</v>
      </c>
      <c r="EH177" s="13">
        <f>EH176+EG177</f>
        <v>9604882.143747328</v>
      </c>
      <c r="EI177">
        <f>IF(EH177=MAX($EH$83:$EH$483),$A177,0)</f>
        <v>0</v>
      </c>
      <c r="EJ177">
        <f>IF(EE177&lt;EF177,$A177,B_MAX+1)</f>
        <v>401.0</v>
      </c>
      <c r="EK177" s="13">
        <f>IF(EB177=1,$EB$35,$EB$36)</f>
        <v>0</v>
      </c>
      <c r="EL177" s="13">
        <f>OCC_DAYS*$EB$41*R_NF_2023-ED177*MCD_SHARE_FREED*R_WAIT_2023</f>
        <v>-63953.16263896705</v>
      </c>
      <c r="EM177">
        <f>IF($A177&lt;=$EB$45,1,0)</f>
        <v>1</v>
      </c>
      <c r="FB177">
        <f>IF($FB$31&lt;=$FB$32,IF($A177&lt;=$FB$7,1,2),IF($A177&lt;=RUNG_BEDS_2,2,1))</f>
        <v>1</v>
      </c>
      <c r="FC177" s="5">
        <f>MIN(1,MAX(0,$FB$26-($A177-1)))</f>
        <v>1</v>
      </c>
      <c r="FD177" s="5">
        <f>$FB$25*(FC177+(1-FC177)*$FB$16)</f>
        <v>252.05322714681438</v>
      </c>
      <c r="FE177" s="13">
        <f>FD177*($FB$6+ACUTE_MARGIN)</f>
        <v>254573.7594182825</v>
      </c>
      <c r="FF177" s="13">
        <f>IF(FB177=1,$FB$31,$FB$32)</f>
        <v>156636.04979437485</v>
      </c>
      <c r="FG177" s="13">
        <f>FE177-FF177</f>
        <v>97937.70962390766</v>
      </c>
      <c r="FH177" s="13">
        <f>FH176+FG177</f>
        <v>9206144.704647314</v>
      </c>
      <c r="FI177">
        <f>IF(FH177=MAX($FH$83:$FH$483),$A177,0)</f>
        <v>0</v>
      </c>
      <c r="FJ177">
        <f>IF(FE177&lt;FF177,$A177,B_MAX+1)</f>
        <v>401.0</v>
      </c>
      <c r="FK177" s="13">
        <f>IF(FB177=1,$FB$35,$FB$36)</f>
        <v>0</v>
      </c>
      <c r="FL177" s="13">
        <f>OCC_DAYS*$FB$41*R_NF_2023-FD177*MCD_SHARE_FREED*R_WAIT_2023</f>
        <v>37367.159242427646</v>
      </c>
      <c r="FM177">
        <f>IF($A177&lt;=$FB$45,1,0)</f>
        <v>1</v>
      </c>
      <c r="GB177">
        <f>IF($GB$31&lt;=$GB$32,IF($A177&lt;=$GB$7,1,2),IF($A177&lt;=RUNG_BEDS_2,2,1))</f>
        <v>1</v>
      </c>
      <c r="GC177" s="5">
        <f>MIN(1,MAX(0,$GB$26-($A177-1)))</f>
        <v>1</v>
      </c>
      <c r="GD177" s="5">
        <f>$GB$25*(GC177+(1-GC177)*$GB$16)</f>
        <v>252.05322714681438</v>
      </c>
      <c r="GE177" s="13">
        <f>GD177*($GB$6+ACUTE_MARGIN)</f>
        <v>254573.7594182825</v>
      </c>
      <c r="GF177" s="13">
        <f>IF(GB177=1,$GB$31,$GB$32)</f>
        <v>152394.16214437486</v>
      </c>
      <c r="GG177" s="13">
        <f>GE177-GF177</f>
        <v>102179.59727390765</v>
      </c>
      <c r="GH177" s="13">
        <f>GH176+GG177</f>
        <v>9604882.143747328</v>
      </c>
      <c r="GI177">
        <f>IF(GH177=MAX($GH$83:$GH$483),$A177,0)</f>
        <v>0</v>
      </c>
      <c r="GJ177">
        <f>IF(GE177&lt;GF177,$A177,B_MAX+1)</f>
        <v>401.0</v>
      </c>
      <c r="GK177" s="13">
        <f>IF(GB177=1,$GB$35,$GB$36)</f>
        <v>0</v>
      </c>
      <c r="GL177" s="13">
        <f>OCC_DAYS*$GB$41*R_NF_2023-GD177*MCD_SHARE_FREED*R_WAIT_2023</f>
        <v>37367.159242427646</v>
      </c>
      <c r="GM177">
        <f>IF($A177&lt;=$GB$45,1,0)</f>
        <v>1</v>
      </c>
      <c r="HB177">
        <f>IF($HB$31&lt;=$HB$32,IF($A177&lt;=$HB$7,1,2),IF($A177&lt;=RUNG_BEDS_2,2,1))</f>
        <v>1</v>
      </c>
      <c r="HC177" s="5">
        <f>MIN(1,MAX(0,$HB$26-($A177-1)))</f>
        <v>1</v>
      </c>
      <c r="HD177" s="5">
        <f>$HB$25*(HC177+(1-HC177)*$HB$16)</f>
        <v>252.05322714681438</v>
      </c>
      <c r="HE177" s="13">
        <f>HD177*($HB$6+ACUTE_MARGIN)</f>
        <v>254573.7594182825</v>
      </c>
      <c r="HF177" s="13">
        <f>IF(HB177=1,$HB$31,$HB$32)</f>
        <v>152456.2970814058</v>
      </c>
      <c r="HG177" s="13">
        <f>HE177-HF177</f>
        <v>102117.46233687672</v>
      </c>
      <c r="HH177" s="13">
        <f>HH176+HG177</f>
        <v>9599041.45966641</v>
      </c>
      <c r="HI177">
        <f>IF(HH177=MAX($HH$83:$HH$483),$A177,0)</f>
        <v>0</v>
      </c>
      <c r="HJ177">
        <f>IF(HE177&lt;HF177,$A177,B_MAX+1)</f>
        <v>401.0</v>
      </c>
      <c r="HK177" s="13">
        <f>IF(HB177=1,$HB$35,$HB$36)</f>
        <v>0</v>
      </c>
      <c r="HL177" s="13">
        <f>OCC_DAYS*$HB$41*R_NF_2023-HD177*MCD_SHARE_FREED*R_WAIT_2023</f>
        <v>37367.159242427646</v>
      </c>
      <c r="HM177">
        <f>IF($A177&lt;=$HB$45,1,0)</f>
        <v>1</v>
      </c>
      <c r="IB177">
        <f>IF($IB$31&lt;=$IB$32,IF($A177&lt;=$IB$7,1,2),IF($A177&lt;=RUNG_BEDS_2,2,1))</f>
        <v>1</v>
      </c>
      <c r="IC177" s="5">
        <f>MIN(1,MAX(0,$IB$26-($A177-1)))</f>
        <v>1</v>
      </c>
      <c r="ID177" s="5">
        <f>$IB$25*(IC177+(1-IC177)*$IB$16)</f>
        <v>252.05322714681438</v>
      </c>
      <c r="IE177" s="13">
        <f>ID177*($IB$6+ACUTE_MARGIN)</f>
        <v>254573.7594182825</v>
      </c>
      <c r="IF177" s="13">
        <f>IF(IB177=1,$IB$31,$IB$32)</f>
        <v>152734.9994534971</v>
      </c>
      <c r="IG177" s="13">
        <f>IE177-IF177</f>
        <v>101838.75996478542</v>
      </c>
      <c r="IH177" s="13">
        <f>IH176+IG177</f>
        <v>9572843.436689828</v>
      </c>
      <c r="II177">
        <f>IF(IH177=MAX($IH$83:$IH$483),$A177,0)</f>
        <v>0</v>
      </c>
      <c r="IJ177">
        <f>IF(IE177&lt;IF177,$A177,B_MAX+1)</f>
        <v>401.0</v>
      </c>
      <c r="IK177" s="13">
        <f>IF(IB177=1,$IB$35,$IB$36)</f>
        <v>0</v>
      </c>
      <c r="IL177" s="13">
        <f>OCC_DAYS*$IB$41*R_NF_2023-ID177*MCD_SHARE_FREED*R_WAIT_2023</f>
        <v>37367.159242427646</v>
      </c>
      <c r="IM177">
        <f>IF($A177&lt;=$IB$45,1,0)</f>
        <v>1</v>
      </c>
      <c r="JB177">
        <f>IF($JB$31&lt;=$JB$32,IF($A177&lt;=$JB$7,1,2),IF($A177&lt;=RUNG_BEDS_2,2,1))</f>
        <v>1</v>
      </c>
      <c r="JC177" s="5">
        <f>MIN(1,MAX(0,$JB$26-($A177-1)))</f>
        <v>1</v>
      </c>
      <c r="JD177" s="5">
        <f>$JB$25*(JC177+(1-JC177)*$JB$16)</f>
        <v>252.05322714681438</v>
      </c>
      <c r="JE177" s="13">
        <f>JD177*($JB$6+ACUTE_MARGIN)</f>
        <v>254573.7594182825</v>
      </c>
      <c r="JF177" s="13">
        <f>IF(JB177=1,$JB$31,$JB$32)</f>
        <v>152394.16214437486</v>
      </c>
      <c r="JG177" s="13">
        <f>JE177-JF177</f>
        <v>102179.59727390765</v>
      </c>
      <c r="JH177" s="13">
        <f>JH176+JG177</f>
        <v>9604882.143747328</v>
      </c>
      <c r="JI177">
        <f>IF(JH177=MAX($JH$83:$JH$483),$A177,0)</f>
        <v>0</v>
      </c>
      <c r="JJ177">
        <f>IF(JE177&lt;JF177,$A177,B_MAX+1)</f>
        <v>401.0</v>
      </c>
      <c r="JK177" s="13">
        <f>IF(JB177=1,$JB$35,$JB$36)</f>
        <v>0</v>
      </c>
      <c r="JL177" s="13">
        <f>OCC_DAYS*$JB$41*R_NF_2023-JD177*MCD_SHARE_FREED*R_WAIT_2023</f>
        <v>37367.159242427646</v>
      </c>
      <c r="JM177">
        <f>IF($A177&lt;=$JB$45,1,0)</f>
        <v>1</v>
      </c>
      <c r="KB177">
        <f>IF($KB$31&lt;=$KB$32,IF($A177&lt;=$KB$7,1,2),IF($A177&lt;=RUNG_BEDS_2,2,1))</f>
        <v>1</v>
      </c>
      <c r="KC177" s="5">
        <f>MIN(1,MAX(0,$KB$26-($A177-1)))</f>
        <v>1</v>
      </c>
      <c r="KD177" s="5">
        <f>$KB$25*(KC177+(1-KC177)*$KB$16)</f>
        <v>126.02661357340719</v>
      </c>
      <c r="KE177" s="13">
        <f>KD177*($KB$6+ACUTE_MARGIN)</f>
        <v>127286.87970914126</v>
      </c>
      <c r="KF177" s="13">
        <f>IF(KB177=1,$KB$31,$KB$32)</f>
        <v>152394.16214437486</v>
      </c>
      <c r="KG177" s="13">
        <f>KE177-KF177</f>
        <v>-25107.282435233603</v>
      </c>
      <c r="KH177" s="13">
        <f>KH176+KG177</f>
        <v>-2360084.5489119636</v>
      </c>
      <c r="KI177">
        <f>IF(KH177=MAX($KH$83:$KH$483),$A177,0)</f>
        <v>0</v>
      </c>
      <c r="KJ177">
        <f>IF(KE177&lt;KF177,$A177,B_MAX+1)</f>
        <v>94</v>
      </c>
      <c r="KK177" s="13">
        <f>IF(KB177=1,$KB$35,$KB$36)</f>
        <v>0</v>
      </c>
      <c r="KL177" s="13">
        <f>OCC_DAYS*$KB$41*R_NF_2023-KD177*MCD_SHARE_FREED*R_WAIT_2023</f>
        <v>94673.82103225985</v>
      </c>
      <c r="KM177">
        <f>IF($A177&lt;=$KB$45,1,0)</f>
        <v>0</v>
      </c>
      <c r="LB177">
        <f>IF($LB$31&lt;=$LB$32,IF($A177&lt;=$LB$7,1,2),IF($A177&lt;=RUNG_BEDS_2,2,1))</f>
        <v>1</v>
      </c>
      <c r="LC177" s="5">
        <f>MIN(1,MAX(0,$LB$26-($A177-1)))</f>
        <v>1</v>
      </c>
      <c r="LD177" s="5">
        <f>$LB$25*(LC177+(1-LC177)*$LB$16)</f>
        <v>84.01774238227146</v>
      </c>
      <c r="LE177" s="13">
        <f>LD177*($LB$6+ACUTE_MARGIN)</f>
        <v>84857.91980609419</v>
      </c>
      <c r="LF177" s="13">
        <f>IF(LB177=1,$LB$31,$LB$32)</f>
        <v>152394.16214437486</v>
      </c>
      <c r="LG177" s="13">
        <f>LE177-LF177</f>
        <v>-67536.24233828067</v>
      </c>
      <c r="LH177" s="13">
        <f>LH176+LG177</f>
        <v>-6348406.779798397</v>
      </c>
      <c r="LI177">
        <f>IF(LH177=MAX($LH$83:$LH$483),$A177,0)</f>
        <v>0</v>
      </c>
      <c r="LJ177">
        <f>IF(LE177&lt;LF177,$A177,B_MAX+1)</f>
        <v>94</v>
      </c>
      <c r="LK177" s="13">
        <f>IF(LB177=1,$LB$35,$LB$36)</f>
        <v>0</v>
      </c>
      <c r="LL177" s="13">
        <f>OCC_DAYS*$LB$41*R_NF_2023-LD177*MCD_SHARE_FREED*R_WAIT_2023</f>
        <v>113776.04162887059</v>
      </c>
      <c r="LM177">
        <f>IF($A177&lt;=$LB$45,1,0)</f>
        <v>0</v>
      </c>
      <c r="MB177">
        <f>IF($MB$31&lt;=$MB$32,IF($A177&lt;=$MB$7,1,2),IF($A177&lt;=RUNG_BEDS_2,2,1))</f>
        <v>1</v>
      </c>
      <c r="MC177" s="5">
        <f>MIN(1,MAX(0,$MB$26-($A177-1)))</f>
        <v>1</v>
      </c>
      <c r="MD177" s="5">
        <f>$MB$25*(MC177+(1-MC177)*$MB$16)</f>
        <v>213.44610951008647</v>
      </c>
      <c r="ME177" s="13">
        <f>MD177*($MB$6+ACUTE_MARGIN)</f>
        <v>215580.57060518733</v>
      </c>
      <c r="MF177" s="13">
        <f>IF(MB177=1,$MB$31,$MB$32)</f>
        <v>152394.16214437486</v>
      </c>
      <c r="MG177" s="13">
        <f>ME177-MF177</f>
        <v>63186.40846081247</v>
      </c>
      <c r="MH177" s="13">
        <f>MH176+MG177</f>
        <v>5939522.395316381</v>
      </c>
      <c r="MI177">
        <f>IF(MH177=MAX($MH$83:$MH$483),$A177,0)</f>
        <v>0</v>
      </c>
      <c r="MJ177">
        <f>IF(ME177&lt;MF177,$A177,B_MAX+1)</f>
        <v>401.0</v>
      </c>
      <c r="MK177" s="13">
        <f>IF(MB177=1,$MB$35,$MB$36)</f>
        <v>0</v>
      </c>
      <c r="ML177" s="13">
        <f>OCC_DAYS*$MB$41*R_NF_2023-MD177*MCD_SHARE_FREED*R_WAIT_2023</f>
        <v>54922.538779778624</v>
      </c>
      <c r="MM177">
        <f>IF($A177&lt;=$MB$45,1,0)</f>
        <v>1</v>
      </c>
      <c r="NB177">
        <f>IF($NB$31&lt;=$NB$32,IF($A177&lt;=$NB$7,1,2),IF($A177&lt;=RUNG_BEDS_2,2,1))</f>
        <v>1</v>
      </c>
      <c r="NC177" s="5">
        <f>MIN(1,MAX(0,$NB$26-($A177-1)))</f>
        <v>1</v>
      </c>
      <c r="ND177" s="5">
        <f>$NB$25*(NC177+(1-NC177)*$NB$16)</f>
        <v>252.05322714681438</v>
      </c>
      <c r="NE177" s="13">
        <f>ND177*($NB$6+ACUTE_MARGIN)</f>
        <v>254573.7594182825</v>
      </c>
      <c r="NF177" s="13">
        <f>IF(NB177=1,$NB$31,$NB$32)</f>
        <v>152394.16214437486</v>
      </c>
      <c r="NG177" s="13">
        <f>NE177-NF177</f>
        <v>102179.59727390765</v>
      </c>
      <c r="NH177" s="13">
        <f>NH176+NG177</f>
        <v>9604882.143747328</v>
      </c>
      <c r="NI177">
        <f>IF(NH177=MAX($NH$83:$NH$483),$A177,0)</f>
        <v>0</v>
      </c>
      <c r="NJ177">
        <f>IF(NE177&lt;NF177,$A177,B_MAX+1)</f>
        <v>401.0</v>
      </c>
      <c r="NK177" s="13">
        <f>IF(NB177=1,$NB$35,$NB$36)</f>
        <v>0</v>
      </c>
      <c r="NL177" s="13">
        <f>OCC_DAYS*$NB$41*R_NF_2023-ND177*MCD_SHARE_FREED*R_WAIT_2023</f>
        <v>37367.159242427646</v>
      </c>
      <c r="NM177">
        <f>IF($A177&lt;=$NB$45,1,0)</f>
        <v>1</v>
      </c>
      <c r="OB177">
        <f>IF($OB$31&lt;=$OB$32,IF($A177&lt;=$OB$7,1,2),IF($A177&lt;=RUNG_BEDS_2,2,1))</f>
        <v>1</v>
      </c>
      <c r="OC177" s="5">
        <f>MIN(1,MAX(0,$OB$26-($A177-1)))</f>
        <v>1</v>
      </c>
      <c r="OD177" s="5">
        <f>$OB$25*(OC177+(1-OC177)*$OB$16)</f>
        <v>252.05322714681438</v>
      </c>
      <c r="OE177" s="13">
        <f>OD177*($OB$6+ACUTE_MARGIN)</f>
        <v>254573.7594182825</v>
      </c>
      <c r="OF177" s="13">
        <f>IF(OB177=1,$OB$31,$OB$32)</f>
        <v>152394.16214437486</v>
      </c>
      <c r="OG177" s="13">
        <f>OE177-OF177</f>
        <v>102179.59727390765</v>
      </c>
      <c r="OH177" s="13">
        <f>OH176+OG177</f>
        <v>9604882.143747328</v>
      </c>
      <c r="OI177">
        <f>IF(OH177=MAX($OH$83:$OH$483),$A177,0)</f>
        <v>0</v>
      </c>
      <c r="OJ177">
        <f>IF(OE177&lt;OF177,$A177,B_MAX+1)</f>
        <v>401.0</v>
      </c>
      <c r="OK177" s="13">
        <f>IF(OB177=1,$OB$35,$OB$36)</f>
        <v>0</v>
      </c>
      <c r="OL177" s="13">
        <f>OCC_DAYS*$OB$41*R_NF_2023-OD177*MCD_SHARE_FREED*R_WAIT_2023</f>
        <v>37367.159242427646</v>
      </c>
      <c r="OM177">
        <f>IF($A177&lt;=$OB$45,1,0)</f>
        <v>1</v>
      </c>
    </row>
    <row r="178">
      <c r="A178" t="n">
        <v>95</v>
      </c>
      <c r="B178">
        <f>IF($B$31&lt;=$B$32,IF($A178&lt;=$B$7,1,2),IF($A178&lt;=RUNG_BEDS_2,2,1))</f>
        <v>1</v>
      </c>
      <c r="C178" s="5">
        <f>MIN(1,MAX(0,$B$26-($A178-1)))</f>
        <v>1</v>
      </c>
      <c r="D178" s="5">
        <f>$B$25*(C178+(1-C178)*$B$16)</f>
        <v>252.05322714681438</v>
      </c>
      <c r="E178" s="13">
        <f>D178*($B$6+ACUTE_MARGIN)</f>
        <v>254573.7594182825</v>
      </c>
      <c r="F178" s="13">
        <f>IF(B178=1,$B$31,$B$32)</f>
        <v>152394.16214437486</v>
      </c>
      <c r="G178" s="13">
        <f>E178-F178</f>
        <v>102179.59727390765</v>
      </c>
      <c r="H178" s="13">
        <f>H177+G178</f>
        <v>9707061.741021236</v>
      </c>
      <c r="I178">
        <f>IF(H178=MAX($H$83:$H$483),$A178,0)</f>
        <v>0</v>
      </c>
      <c r="J178">
        <f>IF(E178&lt;F178,$A178,B_MAX+1)</f>
        <v>401.0</v>
      </c>
      <c r="K178" s="13">
        <f>IF(B178=1,$B$35,$B$36)</f>
        <v>0</v>
      </c>
      <c r="L178" s="13">
        <f>OCC_DAYS*$B$41*R_NF_2023-D178*MCD_SHARE_FREED*R_WAIT_2023</f>
        <v>37367.159242427646</v>
      </c>
      <c r="M178">
        <f>IF($A178&lt;=$B$45,1,0)</f>
        <v>1</v>
      </c>
      <c r="AB178">
        <f>IF($AB$31&lt;=$AB$32,IF($A178&lt;=$AB$7,1,2),IF($A178&lt;=RUNG_BEDS_2,2,1))</f>
        <v>1</v>
      </c>
      <c r="AC178" s="5">
        <f>MIN(1,MAX(0,$AB$26-($A178-1)))</f>
        <v>1</v>
      </c>
      <c r="AD178" s="5">
        <f>$AB$25*(AC178+(1-AC178)*$AB$16)</f>
        <v>252.05322714681438</v>
      </c>
      <c r="AE178" s="13">
        <f>AD178*($AB$6+ACUTE_MARGIN)</f>
        <v>138629.2749307479</v>
      </c>
      <c r="AF178" s="13">
        <f>IF(AB178=1,$AB$31,$AB$32)</f>
        <v>152394.16214437486</v>
      </c>
      <c r="AG178" s="13">
        <f>AE178-AF178</f>
        <v>-13764.887213626964</v>
      </c>
      <c r="AH178" s="13">
        <f>AH177+AG178</f>
        <v>-1307664.2852945616</v>
      </c>
      <c r="AI178">
        <f>IF(AH178=MAX($AH$83:$AH$483),$A178,0)</f>
        <v>0</v>
      </c>
      <c r="AJ178">
        <f>IF(AE178&lt;AF178,$A178,B_MAX+1)</f>
        <v>95</v>
      </c>
      <c r="AK178" s="13">
        <f>IF(AB178=1,$AB$35,$AB$36)</f>
        <v>0</v>
      </c>
      <c r="AL178" s="13">
        <f>OCC_DAYS*$AB$41*R_NF_2023-AD178*MCD_SHARE_FREED*R_WAIT_2023</f>
        <v>37367.159242427646</v>
      </c>
      <c r="AM178">
        <f>IF($A178&lt;=$AB$45,1,0)</f>
        <v>0</v>
      </c>
      <c r="BB178">
        <f>IF($BB$31&lt;=$BB$32,IF($A178&lt;=$BB$7,1,2),IF($A178&lt;=RUNG_BEDS_2,2,1))</f>
        <v>1</v>
      </c>
      <c r="BC178" s="5">
        <f>MIN(1,MAX(0,$BB$26-($A178-1)))</f>
        <v>1</v>
      </c>
      <c r="BD178" s="5">
        <f>$BB$25*(BC178+(1-BC178)*$BB$16)</f>
        <v>252.05322714681438</v>
      </c>
      <c r="BE178" s="13">
        <f>BD178*($BB$6+ACUTE_MARGIN)</f>
        <v>370518.24390581716</v>
      </c>
      <c r="BF178" s="13">
        <f>IF(BB178=1,$BB$31,$BB$32)</f>
        <v>152394.16214437486</v>
      </c>
      <c r="BG178" s="13">
        <f>BE178-BF178</f>
        <v>218124.0817614423</v>
      </c>
      <c r="BH178" s="13">
        <f>BH177+BG178</f>
        <v>20721787.767337006</v>
      </c>
      <c r="BI178">
        <f>IF(BH178=MAX($BH$83:$BH$483),$A178,0)</f>
        <v>0</v>
      </c>
      <c r="BJ178">
        <f>IF(BE178&lt;BF178,$A178,B_MAX+1)</f>
        <v>401.0</v>
      </c>
      <c r="BK178" s="13">
        <f>IF(BB178=1,$BB$35,$BB$36)</f>
        <v>0</v>
      </c>
      <c r="BL178" s="13">
        <f>OCC_DAYS*$BB$41*R_NF_2023-BD178*MCD_SHARE_FREED*R_WAIT_2023</f>
        <v>37367.159242427646</v>
      </c>
      <c r="BM178">
        <f>IF($A178&lt;=$BB$45,1,0)</f>
        <v>1</v>
      </c>
      <c r="CB178">
        <f>IF($CB$31&lt;=$CB$32,IF($A178&lt;=$CB$7,1,2),IF($A178&lt;=RUNG_BEDS_2,2,1))</f>
        <v>2</v>
      </c>
      <c r="CC178" s="5">
        <f>MIN(1,MAX(0,$CB$26-($A178-1)))</f>
        <v>1</v>
      </c>
      <c r="CD178" s="5">
        <f>$CB$25*(CC178+(1-CC178)*$CB$16)</f>
        <v>252.05322714681438</v>
      </c>
      <c r="CE178" s="13">
        <f>CD178*($CB$6+ACUTE_MARGIN)</f>
        <v>254573.7594182825</v>
      </c>
      <c r="CF178" s="13">
        <f>IF(CB178=1,$CB$31,$CB$32)</f>
        <v>160718.36940738867</v>
      </c>
      <c r="CG178" s="13">
        <f>CE178-CF178</f>
        <v>93855.39001089384</v>
      </c>
      <c r="CH178" s="13">
        <f>CH177+CG178</f>
        <v>8916262.051034931</v>
      </c>
      <c r="CI178">
        <f>IF(CH178=MAX($CH$83:$CH$483),$A178,0)</f>
        <v>0</v>
      </c>
      <c r="CJ178">
        <f>IF(CE178&lt;CF178,$A178,B_MAX+1)</f>
        <v>401.0</v>
      </c>
      <c r="CK178" s="13">
        <f>IF(CB178=1,$CB$35,$CB$36)</f>
        <v>1560.1194073886782</v>
      </c>
      <c r="CL178" s="13">
        <f>OCC_DAYS*$CB$41*R_NF_2023-CD178*MCD_SHARE_FREED*R_WAIT_2023</f>
        <v>37367.159242427646</v>
      </c>
      <c r="CM178">
        <f>IF($A178&lt;=$CB$45,1,0)</f>
        <v>1</v>
      </c>
      <c r="DB178">
        <f>IF($DB$31&lt;=$DB$32,IF($A178&lt;=$DB$7,1,2),IF($A178&lt;=RUNG_BEDS_2,2,1))</f>
        <v>1</v>
      </c>
      <c r="DC178" s="5">
        <f>MIN(1,MAX(0,$DB$26-($A178-1)))</f>
        <v>1</v>
      </c>
      <c r="DD178" s="5">
        <f>$DB$25*(DC178+(1-DC178)*$DB$16)</f>
        <v>252.05322714681438</v>
      </c>
      <c r="DE178" s="13">
        <f>DD178*($DB$6+ACUTE_MARGIN)</f>
        <v>254573.7594182825</v>
      </c>
      <c r="DF178" s="13">
        <f>IF(DB178=1,$DB$31,$DB$32)</f>
        <v>152394.16214437486</v>
      </c>
      <c r="DG178" s="13">
        <f>DE178-DF178</f>
        <v>102179.59727390765</v>
      </c>
      <c r="DH178" s="13">
        <f>DH177+DG178</f>
        <v>9707061.741021236</v>
      </c>
      <c r="DI178">
        <f>IF(DH178=MAX($DH$83:$DH$483),$A178,0)</f>
        <v>0</v>
      </c>
      <c r="DJ178">
        <f>IF(DE178&lt;DF178,$A178,B_MAX+1)</f>
        <v>401.0</v>
      </c>
      <c r="DK178" s="13">
        <f>IF(DB178=1,$DB$35,$DB$36)</f>
        <v>0</v>
      </c>
      <c r="DL178" s="13">
        <f>OCC_DAYS*$DB$41*R_NF_2023-DD178*MCD_SHARE_FREED*R_WAIT_2023</f>
        <v>37367.159242427646</v>
      </c>
      <c r="DM178">
        <f>IF($A178&lt;=$DB$45,1,0)</f>
        <v>1</v>
      </c>
      <c r="EB178">
        <f>IF($EB$31&lt;=$EB$32,IF($A178&lt;=$EB$7,1,2),IF($A178&lt;=RUNG_BEDS_2,2,1))</f>
        <v>1</v>
      </c>
      <c r="EC178" s="5">
        <f>MIN(1,MAX(0,$EB$26-($A178-1)))</f>
        <v>1</v>
      </c>
      <c r="ED178" s="5">
        <f>$EB$25*(EC178+(1-EC178)*$EB$16)</f>
        <v>252.05322714681438</v>
      </c>
      <c r="EE178" s="13">
        <f>ED178*($EB$6+ACUTE_MARGIN)</f>
        <v>254573.7594182825</v>
      </c>
      <c r="EF178" s="13">
        <f>IF(EB178=1,$EB$31,$EB$32)</f>
        <v>152394.16214437486</v>
      </c>
      <c r="EG178" s="13">
        <f>EE178-EF178</f>
        <v>102179.59727390765</v>
      </c>
      <c r="EH178" s="13">
        <f>EH177+EG178</f>
        <v>9707061.741021236</v>
      </c>
      <c r="EI178">
        <f>IF(EH178=MAX($EH$83:$EH$483),$A178,0)</f>
        <v>0</v>
      </c>
      <c r="EJ178">
        <f>IF(EE178&lt;EF178,$A178,B_MAX+1)</f>
        <v>401.0</v>
      </c>
      <c r="EK178" s="13">
        <f>IF(EB178=1,$EB$35,$EB$36)</f>
        <v>0</v>
      </c>
      <c r="EL178" s="13">
        <f>OCC_DAYS*$EB$41*R_NF_2023-ED178*MCD_SHARE_FREED*R_WAIT_2023</f>
        <v>-63953.16263896705</v>
      </c>
      <c r="EM178">
        <f>IF($A178&lt;=$EB$45,1,0)</f>
        <v>1</v>
      </c>
      <c r="FB178">
        <f>IF($FB$31&lt;=$FB$32,IF($A178&lt;=$FB$7,1,2),IF($A178&lt;=RUNG_BEDS_2,2,1))</f>
        <v>1</v>
      </c>
      <c r="FC178" s="5">
        <f>MIN(1,MAX(0,$FB$26-($A178-1)))</f>
        <v>1</v>
      </c>
      <c r="FD178" s="5">
        <f>$FB$25*(FC178+(1-FC178)*$FB$16)</f>
        <v>252.05322714681438</v>
      </c>
      <c r="FE178" s="13">
        <f>FD178*($FB$6+ACUTE_MARGIN)</f>
        <v>254573.7594182825</v>
      </c>
      <c r="FF178" s="13">
        <f>IF(FB178=1,$FB$31,$FB$32)</f>
        <v>156636.04979437485</v>
      </c>
      <c r="FG178" s="13">
        <f>FE178-FF178</f>
        <v>97937.70962390766</v>
      </c>
      <c r="FH178" s="13">
        <f>FH177+FG178</f>
        <v>9304082.41427122</v>
      </c>
      <c r="FI178">
        <f>IF(FH178=MAX($FH$83:$FH$483),$A178,0)</f>
        <v>0</v>
      </c>
      <c r="FJ178">
        <f>IF(FE178&lt;FF178,$A178,B_MAX+1)</f>
        <v>401.0</v>
      </c>
      <c r="FK178" s="13">
        <f>IF(FB178=1,$FB$35,$FB$36)</f>
        <v>0</v>
      </c>
      <c r="FL178" s="13">
        <f>OCC_DAYS*$FB$41*R_NF_2023-FD178*MCD_SHARE_FREED*R_WAIT_2023</f>
        <v>37367.159242427646</v>
      </c>
      <c r="FM178">
        <f>IF($A178&lt;=$FB$45,1,0)</f>
        <v>1</v>
      </c>
      <c r="GB178">
        <f>IF($GB$31&lt;=$GB$32,IF($A178&lt;=$GB$7,1,2),IF($A178&lt;=RUNG_BEDS_2,2,1))</f>
        <v>1</v>
      </c>
      <c r="GC178" s="5">
        <f>MIN(1,MAX(0,$GB$26-($A178-1)))</f>
        <v>1</v>
      </c>
      <c r="GD178" s="5">
        <f>$GB$25*(GC178+(1-GC178)*$GB$16)</f>
        <v>252.05322714681438</v>
      </c>
      <c r="GE178" s="13">
        <f>GD178*($GB$6+ACUTE_MARGIN)</f>
        <v>254573.7594182825</v>
      </c>
      <c r="GF178" s="13">
        <f>IF(GB178=1,$GB$31,$GB$32)</f>
        <v>152394.16214437486</v>
      </c>
      <c r="GG178" s="13">
        <f>GE178-GF178</f>
        <v>102179.59727390765</v>
      </c>
      <c r="GH178" s="13">
        <f>GH177+GG178</f>
        <v>9707061.741021236</v>
      </c>
      <c r="GI178">
        <f>IF(GH178=MAX($GH$83:$GH$483),$A178,0)</f>
        <v>0</v>
      </c>
      <c r="GJ178">
        <f>IF(GE178&lt;GF178,$A178,B_MAX+1)</f>
        <v>401.0</v>
      </c>
      <c r="GK178" s="13">
        <f>IF(GB178=1,$GB$35,$GB$36)</f>
        <v>0</v>
      </c>
      <c r="GL178" s="13">
        <f>OCC_DAYS*$GB$41*R_NF_2023-GD178*MCD_SHARE_FREED*R_WAIT_2023</f>
        <v>37367.159242427646</v>
      </c>
      <c r="GM178">
        <f>IF($A178&lt;=$GB$45,1,0)</f>
        <v>1</v>
      </c>
      <c r="HB178">
        <f>IF($HB$31&lt;=$HB$32,IF($A178&lt;=$HB$7,1,2),IF($A178&lt;=RUNG_BEDS_2,2,1))</f>
        <v>1</v>
      </c>
      <c r="HC178" s="5">
        <f>MIN(1,MAX(0,$HB$26-($A178-1)))</f>
        <v>1</v>
      </c>
      <c r="HD178" s="5">
        <f>$HB$25*(HC178+(1-HC178)*$HB$16)</f>
        <v>252.05322714681438</v>
      </c>
      <c r="HE178" s="13">
        <f>HD178*($HB$6+ACUTE_MARGIN)</f>
        <v>254573.7594182825</v>
      </c>
      <c r="HF178" s="13">
        <f>IF(HB178=1,$HB$31,$HB$32)</f>
        <v>152456.2970814058</v>
      </c>
      <c r="HG178" s="13">
        <f>HE178-HF178</f>
        <v>102117.46233687672</v>
      </c>
      <c r="HH178" s="13">
        <f>HH177+HG178</f>
        <v>9701158.922003288</v>
      </c>
      <c r="HI178">
        <f>IF(HH178=MAX($HH$83:$HH$483),$A178,0)</f>
        <v>0</v>
      </c>
      <c r="HJ178">
        <f>IF(HE178&lt;HF178,$A178,B_MAX+1)</f>
        <v>401.0</v>
      </c>
      <c r="HK178" s="13">
        <f>IF(HB178=1,$HB$35,$HB$36)</f>
        <v>0</v>
      </c>
      <c r="HL178" s="13">
        <f>OCC_DAYS*$HB$41*R_NF_2023-HD178*MCD_SHARE_FREED*R_WAIT_2023</f>
        <v>37367.159242427646</v>
      </c>
      <c r="HM178">
        <f>IF($A178&lt;=$HB$45,1,0)</f>
        <v>1</v>
      </c>
      <c r="IB178">
        <f>IF($IB$31&lt;=$IB$32,IF($A178&lt;=$IB$7,1,2),IF($A178&lt;=RUNG_BEDS_2,2,1))</f>
        <v>1</v>
      </c>
      <c r="IC178" s="5">
        <f>MIN(1,MAX(0,$IB$26-($A178-1)))</f>
        <v>1</v>
      </c>
      <c r="ID178" s="5">
        <f>$IB$25*(IC178+(1-IC178)*$IB$16)</f>
        <v>252.05322714681438</v>
      </c>
      <c r="IE178" s="13">
        <f>ID178*($IB$6+ACUTE_MARGIN)</f>
        <v>254573.7594182825</v>
      </c>
      <c r="IF178" s="13">
        <f>IF(IB178=1,$IB$31,$IB$32)</f>
        <v>152734.9994534971</v>
      </c>
      <c r="IG178" s="13">
        <f>IE178-IF178</f>
        <v>101838.75996478542</v>
      </c>
      <c r="IH178" s="13">
        <f>IH177+IG178</f>
        <v>9674682.196654612</v>
      </c>
      <c r="II178">
        <f>IF(IH178=MAX($IH$83:$IH$483),$A178,0)</f>
        <v>0</v>
      </c>
      <c r="IJ178">
        <f>IF(IE178&lt;IF178,$A178,B_MAX+1)</f>
        <v>401.0</v>
      </c>
      <c r="IK178" s="13">
        <f>IF(IB178=1,$IB$35,$IB$36)</f>
        <v>0</v>
      </c>
      <c r="IL178" s="13">
        <f>OCC_DAYS*$IB$41*R_NF_2023-ID178*MCD_SHARE_FREED*R_WAIT_2023</f>
        <v>37367.159242427646</v>
      </c>
      <c r="IM178">
        <f>IF($A178&lt;=$IB$45,1,0)</f>
        <v>1</v>
      </c>
      <c r="JB178">
        <f>IF($JB$31&lt;=$JB$32,IF($A178&lt;=$JB$7,1,2),IF($A178&lt;=RUNG_BEDS_2,2,1))</f>
        <v>1</v>
      </c>
      <c r="JC178" s="5">
        <f>MIN(1,MAX(0,$JB$26-($A178-1)))</f>
        <v>1</v>
      </c>
      <c r="JD178" s="5">
        <f>$JB$25*(JC178+(1-JC178)*$JB$16)</f>
        <v>252.05322714681438</v>
      </c>
      <c r="JE178" s="13">
        <f>JD178*($JB$6+ACUTE_MARGIN)</f>
        <v>254573.7594182825</v>
      </c>
      <c r="JF178" s="13">
        <f>IF(JB178=1,$JB$31,$JB$32)</f>
        <v>152394.16214437486</v>
      </c>
      <c r="JG178" s="13">
        <f>JE178-JF178</f>
        <v>102179.59727390765</v>
      </c>
      <c r="JH178" s="13">
        <f>JH177+JG178</f>
        <v>9707061.741021236</v>
      </c>
      <c r="JI178">
        <f>IF(JH178=MAX($JH$83:$JH$483),$A178,0)</f>
        <v>0</v>
      </c>
      <c r="JJ178">
        <f>IF(JE178&lt;JF178,$A178,B_MAX+1)</f>
        <v>401.0</v>
      </c>
      <c r="JK178" s="13">
        <f>IF(JB178=1,$JB$35,$JB$36)</f>
        <v>0</v>
      </c>
      <c r="JL178" s="13">
        <f>OCC_DAYS*$JB$41*R_NF_2023-JD178*MCD_SHARE_FREED*R_WAIT_2023</f>
        <v>37367.159242427646</v>
      </c>
      <c r="JM178">
        <f>IF($A178&lt;=$JB$45,1,0)</f>
        <v>1</v>
      </c>
      <c r="KB178">
        <f>IF($KB$31&lt;=$KB$32,IF($A178&lt;=$KB$7,1,2),IF($A178&lt;=RUNG_BEDS_2,2,1))</f>
        <v>1</v>
      </c>
      <c r="KC178" s="5">
        <f>MIN(1,MAX(0,$KB$26-($A178-1)))</f>
        <v>1</v>
      </c>
      <c r="KD178" s="5">
        <f>$KB$25*(KC178+(1-KC178)*$KB$16)</f>
        <v>126.02661357340719</v>
      </c>
      <c r="KE178" s="13">
        <f>KD178*($KB$6+ACUTE_MARGIN)</f>
        <v>127286.87970914126</v>
      </c>
      <c r="KF178" s="13">
        <f>IF(KB178=1,$KB$31,$KB$32)</f>
        <v>152394.16214437486</v>
      </c>
      <c r="KG178" s="13">
        <f>KE178-KF178</f>
        <v>-25107.282435233603</v>
      </c>
      <c r="KH178" s="13">
        <f>KH177+KG178</f>
        <v>-2385191.8313471973</v>
      </c>
      <c r="KI178">
        <f>IF(KH178=MAX($KH$83:$KH$483),$A178,0)</f>
        <v>0</v>
      </c>
      <c r="KJ178">
        <f>IF(KE178&lt;KF178,$A178,B_MAX+1)</f>
        <v>95</v>
      </c>
      <c r="KK178" s="13">
        <f>IF(KB178=1,$KB$35,$KB$36)</f>
        <v>0</v>
      </c>
      <c r="KL178" s="13">
        <f>OCC_DAYS*$KB$41*R_NF_2023-KD178*MCD_SHARE_FREED*R_WAIT_2023</f>
        <v>94673.82103225985</v>
      </c>
      <c r="KM178">
        <f>IF($A178&lt;=$KB$45,1,0)</f>
        <v>0</v>
      </c>
      <c r="LB178">
        <f>IF($LB$31&lt;=$LB$32,IF($A178&lt;=$LB$7,1,2),IF($A178&lt;=RUNG_BEDS_2,2,1))</f>
        <v>1</v>
      </c>
      <c r="LC178" s="5">
        <f>MIN(1,MAX(0,$LB$26-($A178-1)))</f>
        <v>1</v>
      </c>
      <c r="LD178" s="5">
        <f>$LB$25*(LC178+(1-LC178)*$LB$16)</f>
        <v>84.01774238227146</v>
      </c>
      <c r="LE178" s="13">
        <f>LD178*($LB$6+ACUTE_MARGIN)</f>
        <v>84857.91980609419</v>
      </c>
      <c r="LF178" s="13">
        <f>IF(LB178=1,$LB$31,$LB$32)</f>
        <v>152394.16214437486</v>
      </c>
      <c r="LG178" s="13">
        <f>LE178-LF178</f>
        <v>-67536.24233828067</v>
      </c>
      <c r="LH178" s="13">
        <f>LH177+LG178</f>
        <v>-6415943.022136678</v>
      </c>
      <c r="LI178">
        <f>IF(LH178=MAX($LH$83:$LH$483),$A178,0)</f>
        <v>0</v>
      </c>
      <c r="LJ178">
        <f>IF(LE178&lt;LF178,$A178,B_MAX+1)</f>
        <v>95</v>
      </c>
      <c r="LK178" s="13">
        <f>IF(LB178=1,$LB$35,$LB$36)</f>
        <v>0</v>
      </c>
      <c r="LL178" s="13">
        <f>OCC_DAYS*$LB$41*R_NF_2023-LD178*MCD_SHARE_FREED*R_WAIT_2023</f>
        <v>113776.04162887059</v>
      </c>
      <c r="LM178">
        <f>IF($A178&lt;=$LB$45,1,0)</f>
        <v>0</v>
      </c>
      <c r="MB178">
        <f>IF($MB$31&lt;=$MB$32,IF($A178&lt;=$MB$7,1,2),IF($A178&lt;=RUNG_BEDS_2,2,1))</f>
        <v>1</v>
      </c>
      <c r="MC178" s="5">
        <f>MIN(1,MAX(0,$MB$26-($A178-1)))</f>
        <v>1</v>
      </c>
      <c r="MD178" s="5">
        <f>$MB$25*(MC178+(1-MC178)*$MB$16)</f>
        <v>213.44610951008647</v>
      </c>
      <c r="ME178" s="13">
        <f>MD178*($MB$6+ACUTE_MARGIN)</f>
        <v>215580.57060518733</v>
      </c>
      <c r="MF178" s="13">
        <f>IF(MB178=1,$MB$31,$MB$32)</f>
        <v>152394.16214437486</v>
      </c>
      <c r="MG178" s="13">
        <f>ME178-MF178</f>
        <v>63186.40846081247</v>
      </c>
      <c r="MH178" s="13">
        <f>MH177+MG178</f>
        <v>6002708.803777194</v>
      </c>
      <c r="MI178">
        <f>IF(MH178=MAX($MH$83:$MH$483),$A178,0)</f>
        <v>0</v>
      </c>
      <c r="MJ178">
        <f>IF(ME178&lt;MF178,$A178,B_MAX+1)</f>
        <v>401.0</v>
      </c>
      <c r="MK178" s="13">
        <f>IF(MB178=1,$MB$35,$MB$36)</f>
        <v>0</v>
      </c>
      <c r="ML178" s="13">
        <f>OCC_DAYS*$MB$41*R_NF_2023-MD178*MCD_SHARE_FREED*R_WAIT_2023</f>
        <v>54922.538779778624</v>
      </c>
      <c r="MM178">
        <f>IF($A178&lt;=$MB$45,1,0)</f>
        <v>1</v>
      </c>
      <c r="NB178">
        <f>IF($NB$31&lt;=$NB$32,IF($A178&lt;=$NB$7,1,2),IF($A178&lt;=RUNG_BEDS_2,2,1))</f>
        <v>1</v>
      </c>
      <c r="NC178" s="5">
        <f>MIN(1,MAX(0,$NB$26-($A178-1)))</f>
        <v>1</v>
      </c>
      <c r="ND178" s="5">
        <f>$NB$25*(NC178+(1-NC178)*$NB$16)</f>
        <v>252.05322714681438</v>
      </c>
      <c r="NE178" s="13">
        <f>ND178*($NB$6+ACUTE_MARGIN)</f>
        <v>254573.7594182825</v>
      </c>
      <c r="NF178" s="13">
        <f>IF(NB178=1,$NB$31,$NB$32)</f>
        <v>152394.16214437486</v>
      </c>
      <c r="NG178" s="13">
        <f>NE178-NF178</f>
        <v>102179.59727390765</v>
      </c>
      <c r="NH178" s="13">
        <f>NH177+NG178</f>
        <v>9707061.741021236</v>
      </c>
      <c r="NI178">
        <f>IF(NH178=MAX($NH$83:$NH$483),$A178,0)</f>
        <v>0</v>
      </c>
      <c r="NJ178">
        <f>IF(NE178&lt;NF178,$A178,B_MAX+1)</f>
        <v>401.0</v>
      </c>
      <c r="NK178" s="13">
        <f>IF(NB178=1,$NB$35,$NB$36)</f>
        <v>0</v>
      </c>
      <c r="NL178" s="13">
        <f>OCC_DAYS*$NB$41*R_NF_2023-ND178*MCD_SHARE_FREED*R_WAIT_2023</f>
        <v>37367.159242427646</v>
      </c>
      <c r="NM178">
        <f>IF($A178&lt;=$NB$45,1,0)</f>
        <v>1</v>
      </c>
      <c r="OB178">
        <f>IF($OB$31&lt;=$OB$32,IF($A178&lt;=$OB$7,1,2),IF($A178&lt;=RUNG_BEDS_2,2,1))</f>
        <v>1</v>
      </c>
      <c r="OC178" s="5">
        <f>MIN(1,MAX(0,$OB$26-($A178-1)))</f>
        <v>1</v>
      </c>
      <c r="OD178" s="5">
        <f>$OB$25*(OC178+(1-OC178)*$OB$16)</f>
        <v>252.05322714681438</v>
      </c>
      <c r="OE178" s="13">
        <f>OD178*($OB$6+ACUTE_MARGIN)</f>
        <v>254573.7594182825</v>
      </c>
      <c r="OF178" s="13">
        <f>IF(OB178=1,$OB$31,$OB$32)</f>
        <v>152394.16214437486</v>
      </c>
      <c r="OG178" s="13">
        <f>OE178-OF178</f>
        <v>102179.59727390765</v>
      </c>
      <c r="OH178" s="13">
        <f>OH177+OG178</f>
        <v>9707061.741021236</v>
      </c>
      <c r="OI178">
        <f>IF(OH178=MAX($OH$83:$OH$483),$A178,0)</f>
        <v>0</v>
      </c>
      <c r="OJ178">
        <f>IF(OE178&lt;OF178,$A178,B_MAX+1)</f>
        <v>401.0</v>
      </c>
      <c r="OK178" s="13">
        <f>IF(OB178=1,$OB$35,$OB$36)</f>
        <v>0</v>
      </c>
      <c r="OL178" s="13">
        <f>OCC_DAYS*$OB$41*R_NF_2023-OD178*MCD_SHARE_FREED*R_WAIT_2023</f>
        <v>37367.159242427646</v>
      </c>
      <c r="OM178">
        <f>IF($A178&lt;=$OB$45,1,0)</f>
        <v>1</v>
      </c>
    </row>
    <row r="179">
      <c r="A179" t="n">
        <v>96</v>
      </c>
      <c r="B179">
        <f>IF($B$31&lt;=$B$32,IF($A179&lt;=$B$7,1,2),IF($A179&lt;=RUNG_BEDS_2,2,1))</f>
        <v>1</v>
      </c>
      <c r="C179" s="5">
        <f>MIN(1,MAX(0,$B$26-($A179-1)))</f>
        <v>1</v>
      </c>
      <c r="D179" s="5">
        <f>$B$25*(C179+(1-C179)*$B$16)</f>
        <v>252.05322714681438</v>
      </c>
      <c r="E179" s="13">
        <f>D179*($B$6+ACUTE_MARGIN)</f>
        <v>254573.7594182825</v>
      </c>
      <c r="F179" s="13">
        <f>IF(B179=1,$B$31,$B$32)</f>
        <v>152394.16214437486</v>
      </c>
      <c r="G179" s="13">
        <f>E179-F179</f>
        <v>102179.59727390765</v>
      </c>
      <c r="H179" s="13">
        <f>H178+G179</f>
        <v>9809241.338295145</v>
      </c>
      <c r="I179">
        <f>IF(H179=MAX($H$83:$H$483),$A179,0)</f>
        <v>0</v>
      </c>
      <c r="J179">
        <f>IF(E179&lt;F179,$A179,B_MAX+1)</f>
        <v>401.0</v>
      </c>
      <c r="K179" s="13">
        <f>IF(B179=1,$B$35,$B$36)</f>
        <v>0</v>
      </c>
      <c r="L179" s="13">
        <f>OCC_DAYS*$B$41*R_NF_2023-D179*MCD_SHARE_FREED*R_WAIT_2023</f>
        <v>37367.159242427646</v>
      </c>
      <c r="M179">
        <f>IF($A179&lt;=$B$45,1,0)</f>
        <v>1</v>
      </c>
      <c r="AB179">
        <f>IF($AB$31&lt;=$AB$32,IF($A179&lt;=$AB$7,1,2),IF($A179&lt;=RUNG_BEDS_2,2,1))</f>
        <v>1</v>
      </c>
      <c r="AC179" s="5">
        <f>MIN(1,MAX(0,$AB$26-($A179-1)))</f>
        <v>1</v>
      </c>
      <c r="AD179" s="5">
        <f>$AB$25*(AC179+(1-AC179)*$AB$16)</f>
        <v>252.05322714681438</v>
      </c>
      <c r="AE179" s="13">
        <f>AD179*($AB$6+ACUTE_MARGIN)</f>
        <v>138629.2749307479</v>
      </c>
      <c r="AF179" s="13">
        <f>IF(AB179=1,$AB$31,$AB$32)</f>
        <v>152394.16214437486</v>
      </c>
      <c r="AG179" s="13">
        <f>AE179-AF179</f>
        <v>-13764.887213626964</v>
      </c>
      <c r="AH179" s="13">
        <f>AH178+AG179</f>
        <v>-1321429.1725081885</v>
      </c>
      <c r="AI179">
        <f>IF(AH179=MAX($AH$83:$AH$483),$A179,0)</f>
        <v>0</v>
      </c>
      <c r="AJ179">
        <f>IF(AE179&lt;AF179,$A179,B_MAX+1)</f>
        <v>96</v>
      </c>
      <c r="AK179" s="13">
        <f>IF(AB179=1,$AB$35,$AB$36)</f>
        <v>0</v>
      </c>
      <c r="AL179" s="13">
        <f>OCC_DAYS*$AB$41*R_NF_2023-AD179*MCD_SHARE_FREED*R_WAIT_2023</f>
        <v>37367.159242427646</v>
      </c>
      <c r="AM179">
        <f>IF($A179&lt;=$AB$45,1,0)</f>
        <v>0</v>
      </c>
      <c r="BB179">
        <f>IF($BB$31&lt;=$BB$32,IF($A179&lt;=$BB$7,1,2),IF($A179&lt;=RUNG_BEDS_2,2,1))</f>
        <v>1</v>
      </c>
      <c r="BC179" s="5">
        <f>MIN(1,MAX(0,$BB$26-($A179-1)))</f>
        <v>1</v>
      </c>
      <c r="BD179" s="5">
        <f>$BB$25*(BC179+(1-BC179)*$BB$16)</f>
        <v>252.05322714681438</v>
      </c>
      <c r="BE179" s="13">
        <f>BD179*($BB$6+ACUTE_MARGIN)</f>
        <v>370518.24390581716</v>
      </c>
      <c r="BF179" s="13">
        <f>IF(BB179=1,$BB$31,$BB$32)</f>
        <v>152394.16214437486</v>
      </c>
      <c r="BG179" s="13">
        <f>BE179-BF179</f>
        <v>218124.0817614423</v>
      </c>
      <c r="BH179" s="13">
        <f>BH178+BG179</f>
        <v>20939911.849098448</v>
      </c>
      <c r="BI179">
        <f>IF(BH179=MAX($BH$83:$BH$483),$A179,0)</f>
        <v>0</v>
      </c>
      <c r="BJ179">
        <f>IF(BE179&lt;BF179,$A179,B_MAX+1)</f>
        <v>401.0</v>
      </c>
      <c r="BK179" s="13">
        <f>IF(BB179=1,$BB$35,$BB$36)</f>
        <v>0</v>
      </c>
      <c r="BL179" s="13">
        <f>OCC_DAYS*$BB$41*R_NF_2023-BD179*MCD_SHARE_FREED*R_WAIT_2023</f>
        <v>37367.159242427646</v>
      </c>
      <c r="BM179">
        <f>IF($A179&lt;=$BB$45,1,0)</f>
        <v>1</v>
      </c>
      <c r="CB179">
        <f>IF($CB$31&lt;=$CB$32,IF($A179&lt;=$CB$7,1,2),IF($A179&lt;=RUNG_BEDS_2,2,1))</f>
        <v>2</v>
      </c>
      <c r="CC179" s="5">
        <f>MIN(1,MAX(0,$CB$26-($A179-1)))</f>
        <v>1</v>
      </c>
      <c r="CD179" s="5">
        <f>$CB$25*(CC179+(1-CC179)*$CB$16)</f>
        <v>252.05322714681438</v>
      </c>
      <c r="CE179" s="13">
        <f>CD179*($CB$6+ACUTE_MARGIN)</f>
        <v>254573.7594182825</v>
      </c>
      <c r="CF179" s="13">
        <f>IF(CB179=1,$CB$31,$CB$32)</f>
        <v>160718.36940738867</v>
      </c>
      <c r="CG179" s="13">
        <f>CE179-CF179</f>
        <v>93855.39001089384</v>
      </c>
      <c r="CH179" s="13">
        <f>CH178+CG179</f>
        <v>9010117.441045824</v>
      </c>
      <c r="CI179">
        <f>IF(CH179=MAX($CH$83:$CH$483),$A179,0)</f>
        <v>0</v>
      </c>
      <c r="CJ179">
        <f>IF(CE179&lt;CF179,$A179,B_MAX+1)</f>
        <v>401.0</v>
      </c>
      <c r="CK179" s="13">
        <f>IF(CB179=1,$CB$35,$CB$36)</f>
        <v>1560.1194073886782</v>
      </c>
      <c r="CL179" s="13">
        <f>OCC_DAYS*$CB$41*R_NF_2023-CD179*MCD_SHARE_FREED*R_WAIT_2023</f>
        <v>37367.159242427646</v>
      </c>
      <c r="CM179">
        <f>IF($A179&lt;=$CB$45,1,0)</f>
        <v>1</v>
      </c>
      <c r="DB179">
        <f>IF($DB$31&lt;=$DB$32,IF($A179&lt;=$DB$7,1,2),IF($A179&lt;=RUNG_BEDS_2,2,1))</f>
        <v>1</v>
      </c>
      <c r="DC179" s="5">
        <f>MIN(1,MAX(0,$DB$26-($A179-1)))</f>
        <v>1</v>
      </c>
      <c r="DD179" s="5">
        <f>$DB$25*(DC179+(1-DC179)*$DB$16)</f>
        <v>252.05322714681438</v>
      </c>
      <c r="DE179" s="13">
        <f>DD179*($DB$6+ACUTE_MARGIN)</f>
        <v>254573.7594182825</v>
      </c>
      <c r="DF179" s="13">
        <f>IF(DB179=1,$DB$31,$DB$32)</f>
        <v>152394.16214437486</v>
      </c>
      <c r="DG179" s="13">
        <f>DE179-DF179</f>
        <v>102179.59727390765</v>
      </c>
      <c r="DH179" s="13">
        <f>DH178+DG179</f>
        <v>9809241.338295145</v>
      </c>
      <c r="DI179">
        <f>IF(DH179=MAX($DH$83:$DH$483),$A179,0)</f>
        <v>0</v>
      </c>
      <c r="DJ179">
        <f>IF(DE179&lt;DF179,$A179,B_MAX+1)</f>
        <v>401.0</v>
      </c>
      <c r="DK179" s="13">
        <f>IF(DB179=1,$DB$35,$DB$36)</f>
        <v>0</v>
      </c>
      <c r="DL179" s="13">
        <f>OCC_DAYS*$DB$41*R_NF_2023-DD179*MCD_SHARE_FREED*R_WAIT_2023</f>
        <v>37367.159242427646</v>
      </c>
      <c r="DM179">
        <f>IF($A179&lt;=$DB$45,1,0)</f>
        <v>1</v>
      </c>
      <c r="EB179">
        <f>IF($EB$31&lt;=$EB$32,IF($A179&lt;=$EB$7,1,2),IF($A179&lt;=RUNG_BEDS_2,2,1))</f>
        <v>1</v>
      </c>
      <c r="EC179" s="5">
        <f>MIN(1,MAX(0,$EB$26-($A179-1)))</f>
        <v>1</v>
      </c>
      <c r="ED179" s="5">
        <f>$EB$25*(EC179+(1-EC179)*$EB$16)</f>
        <v>252.05322714681438</v>
      </c>
      <c r="EE179" s="13">
        <f>ED179*($EB$6+ACUTE_MARGIN)</f>
        <v>254573.7594182825</v>
      </c>
      <c r="EF179" s="13">
        <f>IF(EB179=1,$EB$31,$EB$32)</f>
        <v>152394.16214437486</v>
      </c>
      <c r="EG179" s="13">
        <f>EE179-EF179</f>
        <v>102179.59727390765</v>
      </c>
      <c r="EH179" s="13">
        <f>EH178+EG179</f>
        <v>9809241.338295145</v>
      </c>
      <c r="EI179">
        <f>IF(EH179=MAX($EH$83:$EH$483),$A179,0)</f>
        <v>0</v>
      </c>
      <c r="EJ179">
        <f>IF(EE179&lt;EF179,$A179,B_MAX+1)</f>
        <v>401.0</v>
      </c>
      <c r="EK179" s="13">
        <f>IF(EB179=1,$EB$35,$EB$36)</f>
        <v>0</v>
      </c>
      <c r="EL179" s="13">
        <f>OCC_DAYS*$EB$41*R_NF_2023-ED179*MCD_SHARE_FREED*R_WAIT_2023</f>
        <v>-63953.16263896705</v>
      </c>
      <c r="EM179">
        <f>IF($A179&lt;=$EB$45,1,0)</f>
        <v>1</v>
      </c>
      <c r="FB179">
        <f>IF($FB$31&lt;=$FB$32,IF($A179&lt;=$FB$7,1,2),IF($A179&lt;=RUNG_BEDS_2,2,1))</f>
        <v>1</v>
      </c>
      <c r="FC179" s="5">
        <f>MIN(1,MAX(0,$FB$26-($A179-1)))</f>
        <v>1</v>
      </c>
      <c r="FD179" s="5">
        <f>$FB$25*(FC179+(1-FC179)*$FB$16)</f>
        <v>252.05322714681438</v>
      </c>
      <c r="FE179" s="13">
        <f>FD179*($FB$6+ACUTE_MARGIN)</f>
        <v>254573.7594182825</v>
      </c>
      <c r="FF179" s="13">
        <f>IF(FB179=1,$FB$31,$FB$32)</f>
        <v>156636.04979437485</v>
      </c>
      <c r="FG179" s="13">
        <f>FE179-FF179</f>
        <v>97937.70962390766</v>
      </c>
      <c r="FH179" s="13">
        <f>FH178+FG179</f>
        <v>9402020.123895127</v>
      </c>
      <c r="FI179">
        <f>IF(FH179=MAX($FH$83:$FH$483),$A179,0)</f>
        <v>0</v>
      </c>
      <c r="FJ179">
        <f>IF(FE179&lt;FF179,$A179,B_MAX+1)</f>
        <v>401.0</v>
      </c>
      <c r="FK179" s="13">
        <f>IF(FB179=1,$FB$35,$FB$36)</f>
        <v>0</v>
      </c>
      <c r="FL179" s="13">
        <f>OCC_DAYS*$FB$41*R_NF_2023-FD179*MCD_SHARE_FREED*R_WAIT_2023</f>
        <v>37367.159242427646</v>
      </c>
      <c r="FM179">
        <f>IF($A179&lt;=$FB$45,1,0)</f>
        <v>1</v>
      </c>
      <c r="GB179">
        <f>IF($GB$31&lt;=$GB$32,IF($A179&lt;=$GB$7,1,2),IF($A179&lt;=RUNG_BEDS_2,2,1))</f>
        <v>1</v>
      </c>
      <c r="GC179" s="5">
        <f>MIN(1,MAX(0,$GB$26-($A179-1)))</f>
        <v>1</v>
      </c>
      <c r="GD179" s="5">
        <f>$GB$25*(GC179+(1-GC179)*$GB$16)</f>
        <v>252.05322714681438</v>
      </c>
      <c r="GE179" s="13">
        <f>GD179*($GB$6+ACUTE_MARGIN)</f>
        <v>254573.7594182825</v>
      </c>
      <c r="GF179" s="13">
        <f>IF(GB179=1,$GB$31,$GB$32)</f>
        <v>152394.16214437486</v>
      </c>
      <c r="GG179" s="13">
        <f>GE179-GF179</f>
        <v>102179.59727390765</v>
      </c>
      <c r="GH179" s="13">
        <f>GH178+GG179</f>
        <v>9809241.338295145</v>
      </c>
      <c r="GI179">
        <f>IF(GH179=MAX($GH$83:$GH$483),$A179,0)</f>
        <v>0</v>
      </c>
      <c r="GJ179">
        <f>IF(GE179&lt;GF179,$A179,B_MAX+1)</f>
        <v>401.0</v>
      </c>
      <c r="GK179" s="13">
        <f>IF(GB179=1,$GB$35,$GB$36)</f>
        <v>0</v>
      </c>
      <c r="GL179" s="13">
        <f>OCC_DAYS*$GB$41*R_NF_2023-GD179*MCD_SHARE_FREED*R_WAIT_2023</f>
        <v>37367.159242427646</v>
      </c>
      <c r="GM179">
        <f>IF($A179&lt;=$GB$45,1,0)</f>
        <v>1</v>
      </c>
      <c r="HB179">
        <f>IF($HB$31&lt;=$HB$32,IF($A179&lt;=$HB$7,1,2),IF($A179&lt;=RUNG_BEDS_2,2,1))</f>
        <v>1</v>
      </c>
      <c r="HC179" s="5">
        <f>MIN(1,MAX(0,$HB$26-($A179-1)))</f>
        <v>1</v>
      </c>
      <c r="HD179" s="5">
        <f>$HB$25*(HC179+(1-HC179)*$HB$16)</f>
        <v>252.05322714681438</v>
      </c>
      <c r="HE179" s="13">
        <f>HD179*($HB$6+ACUTE_MARGIN)</f>
        <v>254573.7594182825</v>
      </c>
      <c r="HF179" s="13">
        <f>IF(HB179=1,$HB$31,$HB$32)</f>
        <v>152456.2970814058</v>
      </c>
      <c r="HG179" s="13">
        <f>HE179-HF179</f>
        <v>102117.46233687672</v>
      </c>
      <c r="HH179" s="13">
        <f>HH178+HG179</f>
        <v>9803276.384340165</v>
      </c>
      <c r="HI179">
        <f>IF(HH179=MAX($HH$83:$HH$483),$A179,0)</f>
        <v>0</v>
      </c>
      <c r="HJ179">
        <f>IF(HE179&lt;HF179,$A179,B_MAX+1)</f>
        <v>401.0</v>
      </c>
      <c r="HK179" s="13">
        <f>IF(HB179=1,$HB$35,$HB$36)</f>
        <v>0</v>
      </c>
      <c r="HL179" s="13">
        <f>OCC_DAYS*$HB$41*R_NF_2023-HD179*MCD_SHARE_FREED*R_WAIT_2023</f>
        <v>37367.159242427646</v>
      </c>
      <c r="HM179">
        <f>IF($A179&lt;=$HB$45,1,0)</f>
        <v>1</v>
      </c>
      <c r="IB179">
        <f>IF($IB$31&lt;=$IB$32,IF($A179&lt;=$IB$7,1,2),IF($A179&lt;=RUNG_BEDS_2,2,1))</f>
        <v>1</v>
      </c>
      <c r="IC179" s="5">
        <f>MIN(1,MAX(0,$IB$26-($A179-1)))</f>
        <v>1</v>
      </c>
      <c r="ID179" s="5">
        <f>$IB$25*(IC179+(1-IC179)*$IB$16)</f>
        <v>252.05322714681438</v>
      </c>
      <c r="IE179" s="13">
        <f>ID179*($IB$6+ACUTE_MARGIN)</f>
        <v>254573.7594182825</v>
      </c>
      <c r="IF179" s="13">
        <f>IF(IB179=1,$IB$31,$IB$32)</f>
        <v>152734.9994534971</v>
      </c>
      <c r="IG179" s="13">
        <f>IE179-IF179</f>
        <v>101838.75996478542</v>
      </c>
      <c r="IH179" s="13">
        <f>IH178+IG179</f>
        <v>9776520.956619397</v>
      </c>
      <c r="II179">
        <f>IF(IH179=MAX($IH$83:$IH$483),$A179,0)</f>
        <v>0</v>
      </c>
      <c r="IJ179">
        <f>IF(IE179&lt;IF179,$A179,B_MAX+1)</f>
        <v>401.0</v>
      </c>
      <c r="IK179" s="13">
        <f>IF(IB179=1,$IB$35,$IB$36)</f>
        <v>0</v>
      </c>
      <c r="IL179" s="13">
        <f>OCC_DAYS*$IB$41*R_NF_2023-ID179*MCD_SHARE_FREED*R_WAIT_2023</f>
        <v>37367.159242427646</v>
      </c>
      <c r="IM179">
        <f>IF($A179&lt;=$IB$45,1,0)</f>
        <v>1</v>
      </c>
      <c r="JB179">
        <f>IF($JB$31&lt;=$JB$32,IF($A179&lt;=$JB$7,1,2),IF($A179&lt;=RUNG_BEDS_2,2,1))</f>
        <v>1</v>
      </c>
      <c r="JC179" s="5">
        <f>MIN(1,MAX(0,$JB$26-($A179-1)))</f>
        <v>1</v>
      </c>
      <c r="JD179" s="5">
        <f>$JB$25*(JC179+(1-JC179)*$JB$16)</f>
        <v>252.05322714681438</v>
      </c>
      <c r="JE179" s="13">
        <f>JD179*($JB$6+ACUTE_MARGIN)</f>
        <v>254573.7594182825</v>
      </c>
      <c r="JF179" s="13">
        <f>IF(JB179=1,$JB$31,$JB$32)</f>
        <v>152394.16214437486</v>
      </c>
      <c r="JG179" s="13">
        <f>JE179-JF179</f>
        <v>102179.59727390765</v>
      </c>
      <c r="JH179" s="13">
        <f>JH178+JG179</f>
        <v>9809241.338295145</v>
      </c>
      <c r="JI179">
        <f>IF(JH179=MAX($JH$83:$JH$483),$A179,0)</f>
        <v>0</v>
      </c>
      <c r="JJ179">
        <f>IF(JE179&lt;JF179,$A179,B_MAX+1)</f>
        <v>401.0</v>
      </c>
      <c r="JK179" s="13">
        <f>IF(JB179=1,$JB$35,$JB$36)</f>
        <v>0</v>
      </c>
      <c r="JL179" s="13">
        <f>OCC_DAYS*$JB$41*R_NF_2023-JD179*MCD_SHARE_FREED*R_WAIT_2023</f>
        <v>37367.159242427646</v>
      </c>
      <c r="JM179">
        <f>IF($A179&lt;=$JB$45,1,0)</f>
        <v>1</v>
      </c>
      <c r="KB179">
        <f>IF($KB$31&lt;=$KB$32,IF($A179&lt;=$KB$7,1,2),IF($A179&lt;=RUNG_BEDS_2,2,1))</f>
        <v>1</v>
      </c>
      <c r="KC179" s="5">
        <f>MIN(1,MAX(0,$KB$26-($A179-1)))</f>
        <v>1</v>
      </c>
      <c r="KD179" s="5">
        <f>$KB$25*(KC179+(1-KC179)*$KB$16)</f>
        <v>126.02661357340719</v>
      </c>
      <c r="KE179" s="13">
        <f>KD179*($KB$6+ACUTE_MARGIN)</f>
        <v>127286.87970914126</v>
      </c>
      <c r="KF179" s="13">
        <f>IF(KB179=1,$KB$31,$KB$32)</f>
        <v>152394.16214437486</v>
      </c>
      <c r="KG179" s="13">
        <f>KE179-KF179</f>
        <v>-25107.282435233603</v>
      </c>
      <c r="KH179" s="13">
        <f>KH178+KG179</f>
        <v>-2410299.113782431</v>
      </c>
      <c r="KI179">
        <f>IF(KH179=MAX($KH$83:$KH$483),$A179,0)</f>
        <v>0</v>
      </c>
      <c r="KJ179">
        <f>IF(KE179&lt;KF179,$A179,B_MAX+1)</f>
        <v>96</v>
      </c>
      <c r="KK179" s="13">
        <f>IF(KB179=1,$KB$35,$KB$36)</f>
        <v>0</v>
      </c>
      <c r="KL179" s="13">
        <f>OCC_DAYS*$KB$41*R_NF_2023-KD179*MCD_SHARE_FREED*R_WAIT_2023</f>
        <v>94673.82103225985</v>
      </c>
      <c r="KM179">
        <f>IF($A179&lt;=$KB$45,1,0)</f>
        <v>0</v>
      </c>
      <c r="LB179">
        <f>IF($LB$31&lt;=$LB$32,IF($A179&lt;=$LB$7,1,2),IF($A179&lt;=RUNG_BEDS_2,2,1))</f>
        <v>1</v>
      </c>
      <c r="LC179" s="5">
        <f>MIN(1,MAX(0,$LB$26-($A179-1)))</f>
        <v>1</v>
      </c>
      <c r="LD179" s="5">
        <f>$LB$25*(LC179+(1-LC179)*$LB$16)</f>
        <v>84.01774238227146</v>
      </c>
      <c r="LE179" s="13">
        <f>LD179*($LB$6+ACUTE_MARGIN)</f>
        <v>84857.91980609419</v>
      </c>
      <c r="LF179" s="13">
        <f>IF(LB179=1,$LB$31,$LB$32)</f>
        <v>152394.16214437486</v>
      </c>
      <c r="LG179" s="13">
        <f>LE179-LF179</f>
        <v>-67536.24233828067</v>
      </c>
      <c r="LH179" s="13">
        <f>LH178+LG179</f>
        <v>-6483479.264474959</v>
      </c>
      <c r="LI179">
        <f>IF(LH179=MAX($LH$83:$LH$483),$A179,0)</f>
        <v>0</v>
      </c>
      <c r="LJ179">
        <f>IF(LE179&lt;LF179,$A179,B_MAX+1)</f>
        <v>96</v>
      </c>
      <c r="LK179" s="13">
        <f>IF(LB179=1,$LB$35,$LB$36)</f>
        <v>0</v>
      </c>
      <c r="LL179" s="13">
        <f>OCC_DAYS*$LB$41*R_NF_2023-LD179*MCD_SHARE_FREED*R_WAIT_2023</f>
        <v>113776.04162887059</v>
      </c>
      <c r="LM179">
        <f>IF($A179&lt;=$LB$45,1,0)</f>
        <v>0</v>
      </c>
      <c r="MB179">
        <f>IF($MB$31&lt;=$MB$32,IF($A179&lt;=$MB$7,1,2),IF($A179&lt;=RUNG_BEDS_2,2,1))</f>
        <v>1</v>
      </c>
      <c r="MC179" s="5">
        <f>MIN(1,MAX(0,$MB$26-($A179-1)))</f>
        <v>1</v>
      </c>
      <c r="MD179" s="5">
        <f>$MB$25*(MC179+(1-MC179)*$MB$16)</f>
        <v>213.44610951008647</v>
      </c>
      <c r="ME179" s="13">
        <f>MD179*($MB$6+ACUTE_MARGIN)</f>
        <v>215580.57060518733</v>
      </c>
      <c r="MF179" s="13">
        <f>IF(MB179=1,$MB$31,$MB$32)</f>
        <v>152394.16214437486</v>
      </c>
      <c r="MG179" s="13">
        <f>ME179-MF179</f>
        <v>63186.40846081247</v>
      </c>
      <c r="MH179" s="13">
        <f>MH178+MG179</f>
        <v>6065895.212238006</v>
      </c>
      <c r="MI179">
        <f>IF(MH179=MAX($MH$83:$MH$483),$A179,0)</f>
        <v>0</v>
      </c>
      <c r="MJ179">
        <f>IF(ME179&lt;MF179,$A179,B_MAX+1)</f>
        <v>401.0</v>
      </c>
      <c r="MK179" s="13">
        <f>IF(MB179=1,$MB$35,$MB$36)</f>
        <v>0</v>
      </c>
      <c r="ML179" s="13">
        <f>OCC_DAYS*$MB$41*R_NF_2023-MD179*MCD_SHARE_FREED*R_WAIT_2023</f>
        <v>54922.538779778624</v>
      </c>
      <c r="MM179">
        <f>IF($A179&lt;=$MB$45,1,0)</f>
        <v>1</v>
      </c>
      <c r="NB179">
        <f>IF($NB$31&lt;=$NB$32,IF($A179&lt;=$NB$7,1,2),IF($A179&lt;=RUNG_BEDS_2,2,1))</f>
        <v>1</v>
      </c>
      <c r="NC179" s="5">
        <f>MIN(1,MAX(0,$NB$26-($A179-1)))</f>
        <v>1</v>
      </c>
      <c r="ND179" s="5">
        <f>$NB$25*(NC179+(1-NC179)*$NB$16)</f>
        <v>252.05322714681438</v>
      </c>
      <c r="NE179" s="13">
        <f>ND179*($NB$6+ACUTE_MARGIN)</f>
        <v>254573.7594182825</v>
      </c>
      <c r="NF179" s="13">
        <f>IF(NB179=1,$NB$31,$NB$32)</f>
        <v>152394.16214437486</v>
      </c>
      <c r="NG179" s="13">
        <f>NE179-NF179</f>
        <v>102179.59727390765</v>
      </c>
      <c r="NH179" s="13">
        <f>NH178+NG179</f>
        <v>9809241.338295145</v>
      </c>
      <c r="NI179">
        <f>IF(NH179=MAX($NH$83:$NH$483),$A179,0)</f>
        <v>0</v>
      </c>
      <c r="NJ179">
        <f>IF(NE179&lt;NF179,$A179,B_MAX+1)</f>
        <v>401.0</v>
      </c>
      <c r="NK179" s="13">
        <f>IF(NB179=1,$NB$35,$NB$36)</f>
        <v>0</v>
      </c>
      <c r="NL179" s="13">
        <f>OCC_DAYS*$NB$41*R_NF_2023-ND179*MCD_SHARE_FREED*R_WAIT_2023</f>
        <v>37367.159242427646</v>
      </c>
      <c r="NM179">
        <f>IF($A179&lt;=$NB$45,1,0)</f>
        <v>1</v>
      </c>
      <c r="OB179">
        <f>IF($OB$31&lt;=$OB$32,IF($A179&lt;=$OB$7,1,2),IF($A179&lt;=RUNG_BEDS_2,2,1))</f>
        <v>1</v>
      </c>
      <c r="OC179" s="5">
        <f>MIN(1,MAX(0,$OB$26-($A179-1)))</f>
        <v>1</v>
      </c>
      <c r="OD179" s="5">
        <f>$OB$25*(OC179+(1-OC179)*$OB$16)</f>
        <v>252.05322714681438</v>
      </c>
      <c r="OE179" s="13">
        <f>OD179*($OB$6+ACUTE_MARGIN)</f>
        <v>254573.7594182825</v>
      </c>
      <c r="OF179" s="13">
        <f>IF(OB179=1,$OB$31,$OB$32)</f>
        <v>152394.16214437486</v>
      </c>
      <c r="OG179" s="13">
        <f>OE179-OF179</f>
        <v>102179.59727390765</v>
      </c>
      <c r="OH179" s="13">
        <f>OH178+OG179</f>
        <v>9809241.338295145</v>
      </c>
      <c r="OI179">
        <f>IF(OH179=MAX($OH$83:$OH$483),$A179,0)</f>
        <v>0</v>
      </c>
      <c r="OJ179">
        <f>IF(OE179&lt;OF179,$A179,B_MAX+1)</f>
        <v>401.0</v>
      </c>
      <c r="OK179" s="13">
        <f>IF(OB179=1,$OB$35,$OB$36)</f>
        <v>0</v>
      </c>
      <c r="OL179" s="13">
        <f>OCC_DAYS*$OB$41*R_NF_2023-OD179*MCD_SHARE_FREED*R_WAIT_2023</f>
        <v>37367.159242427646</v>
      </c>
      <c r="OM179">
        <f>IF($A179&lt;=$OB$45,1,0)</f>
        <v>1</v>
      </c>
    </row>
    <row r="180">
      <c r="A180" t="n">
        <v>97</v>
      </c>
      <c r="B180">
        <f>IF($B$31&lt;=$B$32,IF($A180&lt;=$B$7,1,2),IF($A180&lt;=RUNG_BEDS_2,2,1))</f>
        <v>1</v>
      </c>
      <c r="C180" s="5">
        <f>MIN(1,MAX(0,$B$26-($A180-1)))</f>
        <v>1</v>
      </c>
      <c r="D180" s="5">
        <f>$B$25*(C180+(1-C180)*$B$16)</f>
        <v>252.05322714681438</v>
      </c>
      <c r="E180" s="13">
        <f>D180*($B$6+ACUTE_MARGIN)</f>
        <v>254573.7594182825</v>
      </c>
      <c r="F180" s="13">
        <f>IF(B180=1,$B$31,$B$32)</f>
        <v>152394.16214437486</v>
      </c>
      <c r="G180" s="13">
        <f>E180-F180</f>
        <v>102179.59727390765</v>
      </c>
      <c r="H180" s="13">
        <f>H179+G180</f>
        <v>9911420.935569054</v>
      </c>
      <c r="I180">
        <f>IF(H180=MAX($H$83:$H$483),$A180,0)</f>
        <v>0</v>
      </c>
      <c r="J180">
        <f>IF(E180&lt;F180,$A180,B_MAX+1)</f>
        <v>401.0</v>
      </c>
      <c r="K180" s="13">
        <f>IF(B180=1,$B$35,$B$36)</f>
        <v>0</v>
      </c>
      <c r="L180" s="13">
        <f>OCC_DAYS*$B$41*R_NF_2023-D180*MCD_SHARE_FREED*R_WAIT_2023</f>
        <v>37367.159242427646</v>
      </c>
      <c r="M180">
        <f>IF($A180&lt;=$B$45,1,0)</f>
        <v>1</v>
      </c>
      <c r="AB180">
        <f>IF($AB$31&lt;=$AB$32,IF($A180&lt;=$AB$7,1,2),IF($A180&lt;=RUNG_BEDS_2,2,1))</f>
        <v>1</v>
      </c>
      <c r="AC180" s="5">
        <f>MIN(1,MAX(0,$AB$26-($A180-1)))</f>
        <v>1</v>
      </c>
      <c r="AD180" s="5">
        <f>$AB$25*(AC180+(1-AC180)*$AB$16)</f>
        <v>252.05322714681438</v>
      </c>
      <c r="AE180" s="13">
        <f>AD180*($AB$6+ACUTE_MARGIN)</f>
        <v>138629.2749307479</v>
      </c>
      <c r="AF180" s="13">
        <f>IF(AB180=1,$AB$31,$AB$32)</f>
        <v>152394.16214437486</v>
      </c>
      <c r="AG180" s="13">
        <f>AE180-AF180</f>
        <v>-13764.887213626964</v>
      </c>
      <c r="AH180" s="13">
        <f>AH179+AG180</f>
        <v>-1335194.0597218154</v>
      </c>
      <c r="AI180">
        <f>IF(AH180=MAX($AH$83:$AH$483),$A180,0)</f>
        <v>0</v>
      </c>
      <c r="AJ180">
        <f>IF(AE180&lt;AF180,$A180,B_MAX+1)</f>
        <v>97</v>
      </c>
      <c r="AK180" s="13">
        <f>IF(AB180=1,$AB$35,$AB$36)</f>
        <v>0</v>
      </c>
      <c r="AL180" s="13">
        <f>OCC_DAYS*$AB$41*R_NF_2023-AD180*MCD_SHARE_FREED*R_WAIT_2023</f>
        <v>37367.159242427646</v>
      </c>
      <c r="AM180">
        <f>IF($A180&lt;=$AB$45,1,0)</f>
        <v>0</v>
      </c>
      <c r="BB180">
        <f>IF($BB$31&lt;=$BB$32,IF($A180&lt;=$BB$7,1,2),IF($A180&lt;=RUNG_BEDS_2,2,1))</f>
        <v>1</v>
      </c>
      <c r="BC180" s="5">
        <f>MIN(1,MAX(0,$BB$26-($A180-1)))</f>
        <v>1</v>
      </c>
      <c r="BD180" s="5">
        <f>$BB$25*(BC180+(1-BC180)*$BB$16)</f>
        <v>252.05322714681438</v>
      </c>
      <c r="BE180" s="13">
        <f>BD180*($BB$6+ACUTE_MARGIN)</f>
        <v>370518.24390581716</v>
      </c>
      <c r="BF180" s="13">
        <f>IF(BB180=1,$BB$31,$BB$32)</f>
        <v>152394.16214437486</v>
      </c>
      <c r="BG180" s="13">
        <f>BE180-BF180</f>
        <v>218124.0817614423</v>
      </c>
      <c r="BH180" s="13">
        <f>BH179+BG180</f>
        <v>21158035.93085989</v>
      </c>
      <c r="BI180">
        <f>IF(BH180=MAX($BH$83:$BH$483),$A180,0)</f>
        <v>0</v>
      </c>
      <c r="BJ180">
        <f>IF(BE180&lt;BF180,$A180,B_MAX+1)</f>
        <v>401.0</v>
      </c>
      <c r="BK180" s="13">
        <f>IF(BB180=1,$BB$35,$BB$36)</f>
        <v>0</v>
      </c>
      <c r="BL180" s="13">
        <f>OCC_DAYS*$BB$41*R_NF_2023-BD180*MCD_SHARE_FREED*R_WAIT_2023</f>
        <v>37367.159242427646</v>
      </c>
      <c r="BM180">
        <f>IF($A180&lt;=$BB$45,1,0)</f>
        <v>1</v>
      </c>
      <c r="CB180">
        <f>IF($CB$31&lt;=$CB$32,IF($A180&lt;=$CB$7,1,2),IF($A180&lt;=RUNG_BEDS_2,2,1))</f>
        <v>2</v>
      </c>
      <c r="CC180" s="5">
        <f>MIN(1,MAX(0,$CB$26-($A180-1)))</f>
        <v>1</v>
      </c>
      <c r="CD180" s="5">
        <f>$CB$25*(CC180+(1-CC180)*$CB$16)</f>
        <v>252.05322714681438</v>
      </c>
      <c r="CE180" s="13">
        <f>CD180*($CB$6+ACUTE_MARGIN)</f>
        <v>254573.7594182825</v>
      </c>
      <c r="CF180" s="13">
        <f>IF(CB180=1,$CB$31,$CB$32)</f>
        <v>160718.36940738867</v>
      </c>
      <c r="CG180" s="13">
        <f>CE180-CF180</f>
        <v>93855.39001089384</v>
      </c>
      <c r="CH180" s="13">
        <f>CH179+CG180</f>
        <v>9103972.831056718</v>
      </c>
      <c r="CI180">
        <f>IF(CH180=MAX($CH$83:$CH$483),$A180,0)</f>
        <v>0</v>
      </c>
      <c r="CJ180">
        <f>IF(CE180&lt;CF180,$A180,B_MAX+1)</f>
        <v>401.0</v>
      </c>
      <c r="CK180" s="13">
        <f>IF(CB180=1,$CB$35,$CB$36)</f>
        <v>1560.1194073886782</v>
      </c>
      <c r="CL180" s="13">
        <f>OCC_DAYS*$CB$41*R_NF_2023-CD180*MCD_SHARE_FREED*R_WAIT_2023</f>
        <v>37367.159242427646</v>
      </c>
      <c r="CM180">
        <f>IF($A180&lt;=$CB$45,1,0)</f>
        <v>1</v>
      </c>
      <c r="DB180">
        <f>IF($DB$31&lt;=$DB$32,IF($A180&lt;=$DB$7,1,2),IF($A180&lt;=RUNG_BEDS_2,2,1))</f>
        <v>1</v>
      </c>
      <c r="DC180" s="5">
        <f>MIN(1,MAX(0,$DB$26-($A180-1)))</f>
        <v>1</v>
      </c>
      <c r="DD180" s="5">
        <f>$DB$25*(DC180+(1-DC180)*$DB$16)</f>
        <v>252.05322714681438</v>
      </c>
      <c r="DE180" s="13">
        <f>DD180*($DB$6+ACUTE_MARGIN)</f>
        <v>254573.7594182825</v>
      </c>
      <c r="DF180" s="13">
        <f>IF(DB180=1,$DB$31,$DB$32)</f>
        <v>152394.16214437486</v>
      </c>
      <c r="DG180" s="13">
        <f>DE180-DF180</f>
        <v>102179.59727390765</v>
      </c>
      <c r="DH180" s="13">
        <f>DH179+DG180</f>
        <v>9911420.935569054</v>
      </c>
      <c r="DI180">
        <f>IF(DH180=MAX($DH$83:$DH$483),$A180,0)</f>
        <v>0</v>
      </c>
      <c r="DJ180">
        <f>IF(DE180&lt;DF180,$A180,B_MAX+1)</f>
        <v>401.0</v>
      </c>
      <c r="DK180" s="13">
        <f>IF(DB180=1,$DB$35,$DB$36)</f>
        <v>0</v>
      </c>
      <c r="DL180" s="13">
        <f>OCC_DAYS*$DB$41*R_NF_2023-DD180*MCD_SHARE_FREED*R_WAIT_2023</f>
        <v>37367.159242427646</v>
      </c>
      <c r="DM180">
        <f>IF($A180&lt;=$DB$45,1,0)</f>
        <v>1</v>
      </c>
      <c r="EB180">
        <f>IF($EB$31&lt;=$EB$32,IF($A180&lt;=$EB$7,1,2),IF($A180&lt;=RUNG_BEDS_2,2,1))</f>
        <v>1</v>
      </c>
      <c r="EC180" s="5">
        <f>MIN(1,MAX(0,$EB$26-($A180-1)))</f>
        <v>1</v>
      </c>
      <c r="ED180" s="5">
        <f>$EB$25*(EC180+(1-EC180)*$EB$16)</f>
        <v>252.05322714681438</v>
      </c>
      <c r="EE180" s="13">
        <f>ED180*($EB$6+ACUTE_MARGIN)</f>
        <v>254573.7594182825</v>
      </c>
      <c r="EF180" s="13">
        <f>IF(EB180=1,$EB$31,$EB$32)</f>
        <v>152394.16214437486</v>
      </c>
      <c r="EG180" s="13">
        <f>EE180-EF180</f>
        <v>102179.59727390765</v>
      </c>
      <c r="EH180" s="13">
        <f>EH179+EG180</f>
        <v>9911420.935569054</v>
      </c>
      <c r="EI180">
        <f>IF(EH180=MAX($EH$83:$EH$483),$A180,0)</f>
        <v>0</v>
      </c>
      <c r="EJ180">
        <f>IF(EE180&lt;EF180,$A180,B_MAX+1)</f>
        <v>401.0</v>
      </c>
      <c r="EK180" s="13">
        <f>IF(EB180=1,$EB$35,$EB$36)</f>
        <v>0</v>
      </c>
      <c r="EL180" s="13">
        <f>OCC_DAYS*$EB$41*R_NF_2023-ED180*MCD_SHARE_FREED*R_WAIT_2023</f>
        <v>-63953.16263896705</v>
      </c>
      <c r="EM180">
        <f>IF($A180&lt;=$EB$45,1,0)</f>
        <v>1</v>
      </c>
      <c r="FB180">
        <f>IF($FB$31&lt;=$FB$32,IF($A180&lt;=$FB$7,1,2),IF($A180&lt;=RUNG_BEDS_2,2,1))</f>
        <v>1</v>
      </c>
      <c r="FC180" s="5">
        <f>MIN(1,MAX(0,$FB$26-($A180-1)))</f>
        <v>1</v>
      </c>
      <c r="FD180" s="5">
        <f>$FB$25*(FC180+(1-FC180)*$FB$16)</f>
        <v>252.05322714681438</v>
      </c>
      <c r="FE180" s="13">
        <f>FD180*($FB$6+ACUTE_MARGIN)</f>
        <v>254573.7594182825</v>
      </c>
      <c r="FF180" s="13">
        <f>IF(FB180=1,$FB$31,$FB$32)</f>
        <v>156636.04979437485</v>
      </c>
      <c r="FG180" s="13">
        <f>FE180-FF180</f>
        <v>97937.70962390766</v>
      </c>
      <c r="FH180" s="13">
        <f>FH179+FG180</f>
        <v>9499957.833519034</v>
      </c>
      <c r="FI180">
        <f>IF(FH180=MAX($FH$83:$FH$483),$A180,0)</f>
        <v>0</v>
      </c>
      <c r="FJ180">
        <f>IF(FE180&lt;FF180,$A180,B_MAX+1)</f>
        <v>401.0</v>
      </c>
      <c r="FK180" s="13">
        <f>IF(FB180=1,$FB$35,$FB$36)</f>
        <v>0</v>
      </c>
      <c r="FL180" s="13">
        <f>OCC_DAYS*$FB$41*R_NF_2023-FD180*MCD_SHARE_FREED*R_WAIT_2023</f>
        <v>37367.159242427646</v>
      </c>
      <c r="FM180">
        <f>IF($A180&lt;=$FB$45,1,0)</f>
        <v>1</v>
      </c>
      <c r="GB180">
        <f>IF($GB$31&lt;=$GB$32,IF($A180&lt;=$GB$7,1,2),IF($A180&lt;=RUNG_BEDS_2,2,1))</f>
        <v>1</v>
      </c>
      <c r="GC180" s="5">
        <f>MIN(1,MAX(0,$GB$26-($A180-1)))</f>
        <v>1</v>
      </c>
      <c r="GD180" s="5">
        <f>$GB$25*(GC180+(1-GC180)*$GB$16)</f>
        <v>252.05322714681438</v>
      </c>
      <c r="GE180" s="13">
        <f>GD180*($GB$6+ACUTE_MARGIN)</f>
        <v>254573.7594182825</v>
      </c>
      <c r="GF180" s="13">
        <f>IF(GB180=1,$GB$31,$GB$32)</f>
        <v>152394.16214437486</v>
      </c>
      <c r="GG180" s="13">
        <f>GE180-GF180</f>
        <v>102179.59727390765</v>
      </c>
      <c r="GH180" s="13">
        <f>GH179+GG180</f>
        <v>9911420.935569054</v>
      </c>
      <c r="GI180">
        <f>IF(GH180=MAX($GH$83:$GH$483),$A180,0)</f>
        <v>0</v>
      </c>
      <c r="GJ180">
        <f>IF(GE180&lt;GF180,$A180,B_MAX+1)</f>
        <v>401.0</v>
      </c>
      <c r="GK180" s="13">
        <f>IF(GB180=1,$GB$35,$GB$36)</f>
        <v>0</v>
      </c>
      <c r="GL180" s="13">
        <f>OCC_DAYS*$GB$41*R_NF_2023-GD180*MCD_SHARE_FREED*R_WAIT_2023</f>
        <v>37367.159242427646</v>
      </c>
      <c r="GM180">
        <f>IF($A180&lt;=$GB$45,1,0)</f>
        <v>1</v>
      </c>
      <c r="HB180">
        <f>IF($HB$31&lt;=$HB$32,IF($A180&lt;=$HB$7,1,2),IF($A180&lt;=RUNG_BEDS_2,2,1))</f>
        <v>1</v>
      </c>
      <c r="HC180" s="5">
        <f>MIN(1,MAX(0,$HB$26-($A180-1)))</f>
        <v>1</v>
      </c>
      <c r="HD180" s="5">
        <f>$HB$25*(HC180+(1-HC180)*$HB$16)</f>
        <v>252.05322714681438</v>
      </c>
      <c r="HE180" s="13">
        <f>HD180*($HB$6+ACUTE_MARGIN)</f>
        <v>254573.7594182825</v>
      </c>
      <c r="HF180" s="13">
        <f>IF(HB180=1,$HB$31,$HB$32)</f>
        <v>152456.2970814058</v>
      </c>
      <c r="HG180" s="13">
        <f>HE180-HF180</f>
        <v>102117.46233687672</v>
      </c>
      <c r="HH180" s="13">
        <f>HH179+HG180</f>
        <v>9905393.846677043</v>
      </c>
      <c r="HI180">
        <f>IF(HH180=MAX($HH$83:$HH$483),$A180,0)</f>
        <v>0</v>
      </c>
      <c r="HJ180">
        <f>IF(HE180&lt;HF180,$A180,B_MAX+1)</f>
        <v>401.0</v>
      </c>
      <c r="HK180" s="13">
        <f>IF(HB180=1,$HB$35,$HB$36)</f>
        <v>0</v>
      </c>
      <c r="HL180" s="13">
        <f>OCC_DAYS*$HB$41*R_NF_2023-HD180*MCD_SHARE_FREED*R_WAIT_2023</f>
        <v>37367.159242427646</v>
      </c>
      <c r="HM180">
        <f>IF($A180&lt;=$HB$45,1,0)</f>
        <v>1</v>
      </c>
      <c r="IB180">
        <f>IF($IB$31&lt;=$IB$32,IF($A180&lt;=$IB$7,1,2),IF($A180&lt;=RUNG_BEDS_2,2,1))</f>
        <v>1</v>
      </c>
      <c r="IC180" s="5">
        <f>MIN(1,MAX(0,$IB$26-($A180-1)))</f>
        <v>1</v>
      </c>
      <c r="ID180" s="5">
        <f>$IB$25*(IC180+(1-IC180)*$IB$16)</f>
        <v>252.05322714681438</v>
      </c>
      <c r="IE180" s="13">
        <f>ID180*($IB$6+ACUTE_MARGIN)</f>
        <v>254573.7594182825</v>
      </c>
      <c r="IF180" s="13">
        <f>IF(IB180=1,$IB$31,$IB$32)</f>
        <v>152734.9994534971</v>
      </c>
      <c r="IG180" s="13">
        <f>IE180-IF180</f>
        <v>101838.75996478542</v>
      </c>
      <c r="IH180" s="13">
        <f>IH179+IG180</f>
        <v>9878359.716584181</v>
      </c>
      <c r="II180">
        <f>IF(IH180=MAX($IH$83:$IH$483),$A180,0)</f>
        <v>0</v>
      </c>
      <c r="IJ180">
        <f>IF(IE180&lt;IF180,$A180,B_MAX+1)</f>
        <v>401.0</v>
      </c>
      <c r="IK180" s="13">
        <f>IF(IB180=1,$IB$35,$IB$36)</f>
        <v>0</v>
      </c>
      <c r="IL180" s="13">
        <f>OCC_DAYS*$IB$41*R_NF_2023-ID180*MCD_SHARE_FREED*R_WAIT_2023</f>
        <v>37367.159242427646</v>
      </c>
      <c r="IM180">
        <f>IF($A180&lt;=$IB$45,1,0)</f>
        <v>1</v>
      </c>
      <c r="JB180">
        <f>IF($JB$31&lt;=$JB$32,IF($A180&lt;=$JB$7,1,2),IF($A180&lt;=RUNG_BEDS_2,2,1))</f>
        <v>1</v>
      </c>
      <c r="JC180" s="5">
        <f>MIN(1,MAX(0,$JB$26-($A180-1)))</f>
        <v>1</v>
      </c>
      <c r="JD180" s="5">
        <f>$JB$25*(JC180+(1-JC180)*$JB$16)</f>
        <v>252.05322714681438</v>
      </c>
      <c r="JE180" s="13">
        <f>JD180*($JB$6+ACUTE_MARGIN)</f>
        <v>254573.7594182825</v>
      </c>
      <c r="JF180" s="13">
        <f>IF(JB180=1,$JB$31,$JB$32)</f>
        <v>152394.16214437486</v>
      </c>
      <c r="JG180" s="13">
        <f>JE180-JF180</f>
        <v>102179.59727390765</v>
      </c>
      <c r="JH180" s="13">
        <f>JH179+JG180</f>
        <v>9911420.935569054</v>
      </c>
      <c r="JI180">
        <f>IF(JH180=MAX($JH$83:$JH$483),$A180,0)</f>
        <v>0</v>
      </c>
      <c r="JJ180">
        <f>IF(JE180&lt;JF180,$A180,B_MAX+1)</f>
        <v>401.0</v>
      </c>
      <c r="JK180" s="13">
        <f>IF(JB180=1,$JB$35,$JB$36)</f>
        <v>0</v>
      </c>
      <c r="JL180" s="13">
        <f>OCC_DAYS*$JB$41*R_NF_2023-JD180*MCD_SHARE_FREED*R_WAIT_2023</f>
        <v>37367.159242427646</v>
      </c>
      <c r="JM180">
        <f>IF($A180&lt;=$JB$45,1,0)</f>
        <v>1</v>
      </c>
      <c r="KB180">
        <f>IF($KB$31&lt;=$KB$32,IF($A180&lt;=$KB$7,1,2),IF($A180&lt;=RUNG_BEDS_2,2,1))</f>
        <v>1</v>
      </c>
      <c r="KC180" s="5">
        <f>MIN(1,MAX(0,$KB$26-($A180-1)))</f>
        <v>1</v>
      </c>
      <c r="KD180" s="5">
        <f>$KB$25*(KC180+(1-KC180)*$KB$16)</f>
        <v>126.02661357340719</v>
      </c>
      <c r="KE180" s="13">
        <f>KD180*($KB$6+ACUTE_MARGIN)</f>
        <v>127286.87970914126</v>
      </c>
      <c r="KF180" s="13">
        <f>IF(KB180=1,$KB$31,$KB$32)</f>
        <v>152394.16214437486</v>
      </c>
      <c r="KG180" s="13">
        <f>KE180-KF180</f>
        <v>-25107.282435233603</v>
      </c>
      <c r="KH180" s="13">
        <f>KH179+KG180</f>
        <v>-2435406.3962176647</v>
      </c>
      <c r="KI180">
        <f>IF(KH180=MAX($KH$83:$KH$483),$A180,0)</f>
        <v>0</v>
      </c>
      <c r="KJ180">
        <f>IF(KE180&lt;KF180,$A180,B_MAX+1)</f>
        <v>97</v>
      </c>
      <c r="KK180" s="13">
        <f>IF(KB180=1,$KB$35,$KB$36)</f>
        <v>0</v>
      </c>
      <c r="KL180" s="13">
        <f>OCC_DAYS*$KB$41*R_NF_2023-KD180*MCD_SHARE_FREED*R_WAIT_2023</f>
        <v>94673.82103225985</v>
      </c>
      <c r="KM180">
        <f>IF($A180&lt;=$KB$45,1,0)</f>
        <v>0</v>
      </c>
      <c r="LB180">
        <f>IF($LB$31&lt;=$LB$32,IF($A180&lt;=$LB$7,1,2),IF($A180&lt;=RUNG_BEDS_2,2,1))</f>
        <v>1</v>
      </c>
      <c r="LC180" s="5">
        <f>MIN(1,MAX(0,$LB$26-($A180-1)))</f>
        <v>1</v>
      </c>
      <c r="LD180" s="5">
        <f>$LB$25*(LC180+(1-LC180)*$LB$16)</f>
        <v>84.01774238227146</v>
      </c>
      <c r="LE180" s="13">
        <f>LD180*($LB$6+ACUTE_MARGIN)</f>
        <v>84857.91980609419</v>
      </c>
      <c r="LF180" s="13">
        <f>IF(LB180=1,$LB$31,$LB$32)</f>
        <v>152394.16214437486</v>
      </c>
      <c r="LG180" s="13">
        <f>LE180-LF180</f>
        <v>-67536.24233828067</v>
      </c>
      <c r="LH180" s="13">
        <f>LH179+LG180</f>
        <v>-6551015.50681324</v>
      </c>
      <c r="LI180">
        <f>IF(LH180=MAX($LH$83:$LH$483),$A180,0)</f>
        <v>0</v>
      </c>
      <c r="LJ180">
        <f>IF(LE180&lt;LF180,$A180,B_MAX+1)</f>
        <v>97</v>
      </c>
      <c r="LK180" s="13">
        <f>IF(LB180=1,$LB$35,$LB$36)</f>
        <v>0</v>
      </c>
      <c r="LL180" s="13">
        <f>OCC_DAYS*$LB$41*R_NF_2023-LD180*MCD_SHARE_FREED*R_WAIT_2023</f>
        <v>113776.04162887059</v>
      </c>
      <c r="LM180">
        <f>IF($A180&lt;=$LB$45,1,0)</f>
        <v>0</v>
      </c>
      <c r="MB180">
        <f>IF($MB$31&lt;=$MB$32,IF($A180&lt;=$MB$7,1,2),IF($A180&lt;=RUNG_BEDS_2,2,1))</f>
        <v>1</v>
      </c>
      <c r="MC180" s="5">
        <f>MIN(1,MAX(0,$MB$26-($A180-1)))</f>
        <v>1</v>
      </c>
      <c r="MD180" s="5">
        <f>$MB$25*(MC180+(1-MC180)*$MB$16)</f>
        <v>213.44610951008647</v>
      </c>
      <c r="ME180" s="13">
        <f>MD180*($MB$6+ACUTE_MARGIN)</f>
        <v>215580.57060518733</v>
      </c>
      <c r="MF180" s="13">
        <f>IF(MB180=1,$MB$31,$MB$32)</f>
        <v>152394.16214437486</v>
      </c>
      <c r="MG180" s="13">
        <f>ME180-MF180</f>
        <v>63186.40846081247</v>
      </c>
      <c r="MH180" s="13">
        <f>MH179+MG180</f>
        <v>6129081.620698819</v>
      </c>
      <c r="MI180">
        <f>IF(MH180=MAX($MH$83:$MH$483),$A180,0)</f>
        <v>0</v>
      </c>
      <c r="MJ180">
        <f>IF(ME180&lt;MF180,$A180,B_MAX+1)</f>
        <v>401.0</v>
      </c>
      <c r="MK180" s="13">
        <f>IF(MB180=1,$MB$35,$MB$36)</f>
        <v>0</v>
      </c>
      <c r="ML180" s="13">
        <f>OCC_DAYS*$MB$41*R_NF_2023-MD180*MCD_SHARE_FREED*R_WAIT_2023</f>
        <v>54922.538779778624</v>
      </c>
      <c r="MM180">
        <f>IF($A180&lt;=$MB$45,1,0)</f>
        <v>1</v>
      </c>
      <c r="NB180">
        <f>IF($NB$31&lt;=$NB$32,IF($A180&lt;=$NB$7,1,2),IF($A180&lt;=RUNG_BEDS_2,2,1))</f>
        <v>1</v>
      </c>
      <c r="NC180" s="5">
        <f>MIN(1,MAX(0,$NB$26-($A180-1)))</f>
        <v>1</v>
      </c>
      <c r="ND180" s="5">
        <f>$NB$25*(NC180+(1-NC180)*$NB$16)</f>
        <v>252.05322714681438</v>
      </c>
      <c r="NE180" s="13">
        <f>ND180*($NB$6+ACUTE_MARGIN)</f>
        <v>254573.7594182825</v>
      </c>
      <c r="NF180" s="13">
        <f>IF(NB180=1,$NB$31,$NB$32)</f>
        <v>152394.16214437486</v>
      </c>
      <c r="NG180" s="13">
        <f>NE180-NF180</f>
        <v>102179.59727390765</v>
      </c>
      <c r="NH180" s="13">
        <f>NH179+NG180</f>
        <v>9911420.935569054</v>
      </c>
      <c r="NI180">
        <f>IF(NH180=MAX($NH$83:$NH$483),$A180,0)</f>
        <v>0</v>
      </c>
      <c r="NJ180">
        <f>IF(NE180&lt;NF180,$A180,B_MAX+1)</f>
        <v>401.0</v>
      </c>
      <c r="NK180" s="13">
        <f>IF(NB180=1,$NB$35,$NB$36)</f>
        <v>0</v>
      </c>
      <c r="NL180" s="13">
        <f>OCC_DAYS*$NB$41*R_NF_2023-ND180*MCD_SHARE_FREED*R_WAIT_2023</f>
        <v>37367.159242427646</v>
      </c>
      <c r="NM180">
        <f>IF($A180&lt;=$NB$45,1,0)</f>
        <v>1</v>
      </c>
      <c r="OB180">
        <f>IF($OB$31&lt;=$OB$32,IF($A180&lt;=$OB$7,1,2),IF($A180&lt;=RUNG_BEDS_2,2,1))</f>
        <v>1</v>
      </c>
      <c r="OC180" s="5">
        <f>MIN(1,MAX(0,$OB$26-($A180-1)))</f>
        <v>1</v>
      </c>
      <c r="OD180" s="5">
        <f>$OB$25*(OC180+(1-OC180)*$OB$16)</f>
        <v>252.05322714681438</v>
      </c>
      <c r="OE180" s="13">
        <f>OD180*($OB$6+ACUTE_MARGIN)</f>
        <v>254573.7594182825</v>
      </c>
      <c r="OF180" s="13">
        <f>IF(OB180=1,$OB$31,$OB$32)</f>
        <v>152394.16214437486</v>
      </c>
      <c r="OG180" s="13">
        <f>OE180-OF180</f>
        <v>102179.59727390765</v>
      </c>
      <c r="OH180" s="13">
        <f>OH179+OG180</f>
        <v>9911420.935569054</v>
      </c>
      <c r="OI180">
        <f>IF(OH180=MAX($OH$83:$OH$483),$A180,0)</f>
        <v>0</v>
      </c>
      <c r="OJ180">
        <f>IF(OE180&lt;OF180,$A180,B_MAX+1)</f>
        <v>401.0</v>
      </c>
      <c r="OK180" s="13">
        <f>IF(OB180=1,$OB$35,$OB$36)</f>
        <v>0</v>
      </c>
      <c r="OL180" s="13">
        <f>OCC_DAYS*$OB$41*R_NF_2023-OD180*MCD_SHARE_FREED*R_WAIT_2023</f>
        <v>37367.159242427646</v>
      </c>
      <c r="OM180">
        <f>IF($A180&lt;=$OB$45,1,0)</f>
        <v>1</v>
      </c>
    </row>
    <row r="181">
      <c r="A181" t="n">
        <v>98</v>
      </c>
      <c r="B181">
        <f>IF($B$31&lt;=$B$32,IF($A181&lt;=$B$7,1,2),IF($A181&lt;=RUNG_BEDS_2,2,1))</f>
        <v>1</v>
      </c>
      <c r="C181" s="5">
        <f>MIN(1,MAX(0,$B$26-($A181-1)))</f>
        <v>1</v>
      </c>
      <c r="D181" s="5">
        <f>$B$25*(C181+(1-C181)*$B$16)</f>
        <v>252.05322714681438</v>
      </c>
      <c r="E181" s="13">
        <f>D181*($B$6+ACUTE_MARGIN)</f>
        <v>254573.7594182825</v>
      </c>
      <c r="F181" s="13">
        <f>IF(B181=1,$B$31,$B$32)</f>
        <v>152394.16214437486</v>
      </c>
      <c r="G181" s="13">
        <f>E181-F181</f>
        <v>102179.59727390765</v>
      </c>
      <c r="H181" s="13">
        <f>H180+G181</f>
        <v>10013600.532842962</v>
      </c>
      <c r="I181">
        <f>IF(H181=MAX($H$83:$H$483),$A181,0)</f>
        <v>0</v>
      </c>
      <c r="J181">
        <f>IF(E181&lt;F181,$A181,B_MAX+1)</f>
        <v>401.0</v>
      </c>
      <c r="K181" s="13">
        <f>IF(B181=1,$B$35,$B$36)</f>
        <v>0</v>
      </c>
      <c r="L181" s="13">
        <f>OCC_DAYS*$B$41*R_NF_2023-D181*MCD_SHARE_FREED*R_WAIT_2023</f>
        <v>37367.159242427646</v>
      </c>
      <c r="M181">
        <f>IF($A181&lt;=$B$45,1,0)</f>
        <v>1</v>
      </c>
      <c r="AB181">
        <f>IF($AB$31&lt;=$AB$32,IF($A181&lt;=$AB$7,1,2),IF($A181&lt;=RUNG_BEDS_2,2,1))</f>
        <v>1</v>
      </c>
      <c r="AC181" s="5">
        <f>MIN(1,MAX(0,$AB$26-($A181-1)))</f>
        <v>1</v>
      </c>
      <c r="AD181" s="5">
        <f>$AB$25*(AC181+(1-AC181)*$AB$16)</f>
        <v>252.05322714681438</v>
      </c>
      <c r="AE181" s="13">
        <f>AD181*($AB$6+ACUTE_MARGIN)</f>
        <v>138629.2749307479</v>
      </c>
      <c r="AF181" s="13">
        <f>IF(AB181=1,$AB$31,$AB$32)</f>
        <v>152394.16214437486</v>
      </c>
      <c r="AG181" s="13">
        <f>AE181-AF181</f>
        <v>-13764.887213626964</v>
      </c>
      <c r="AH181" s="13">
        <f>AH180+AG181</f>
        <v>-1348958.9469354423</v>
      </c>
      <c r="AI181">
        <f>IF(AH181=MAX($AH$83:$AH$483),$A181,0)</f>
        <v>0</v>
      </c>
      <c r="AJ181">
        <f>IF(AE181&lt;AF181,$A181,B_MAX+1)</f>
        <v>98</v>
      </c>
      <c r="AK181" s="13">
        <f>IF(AB181=1,$AB$35,$AB$36)</f>
        <v>0</v>
      </c>
      <c r="AL181" s="13">
        <f>OCC_DAYS*$AB$41*R_NF_2023-AD181*MCD_SHARE_FREED*R_WAIT_2023</f>
        <v>37367.159242427646</v>
      </c>
      <c r="AM181">
        <f>IF($A181&lt;=$AB$45,1,0)</f>
        <v>0</v>
      </c>
      <c r="BB181">
        <f>IF($BB$31&lt;=$BB$32,IF($A181&lt;=$BB$7,1,2),IF($A181&lt;=RUNG_BEDS_2,2,1))</f>
        <v>1</v>
      </c>
      <c r="BC181" s="5">
        <f>MIN(1,MAX(0,$BB$26-($A181-1)))</f>
        <v>1</v>
      </c>
      <c r="BD181" s="5">
        <f>$BB$25*(BC181+(1-BC181)*$BB$16)</f>
        <v>252.05322714681438</v>
      </c>
      <c r="BE181" s="13">
        <f>BD181*($BB$6+ACUTE_MARGIN)</f>
        <v>370518.24390581716</v>
      </c>
      <c r="BF181" s="13">
        <f>IF(BB181=1,$BB$31,$BB$32)</f>
        <v>152394.16214437486</v>
      </c>
      <c r="BG181" s="13">
        <f>BE181-BF181</f>
        <v>218124.0817614423</v>
      </c>
      <c r="BH181" s="13">
        <f>BH180+BG181</f>
        <v>21376160.012621332</v>
      </c>
      <c r="BI181">
        <f>IF(BH181=MAX($BH$83:$BH$483),$A181,0)</f>
        <v>0</v>
      </c>
      <c r="BJ181">
        <f>IF(BE181&lt;BF181,$A181,B_MAX+1)</f>
        <v>401.0</v>
      </c>
      <c r="BK181" s="13">
        <f>IF(BB181=1,$BB$35,$BB$36)</f>
        <v>0</v>
      </c>
      <c r="BL181" s="13">
        <f>OCC_DAYS*$BB$41*R_NF_2023-BD181*MCD_SHARE_FREED*R_WAIT_2023</f>
        <v>37367.159242427646</v>
      </c>
      <c r="BM181">
        <f>IF($A181&lt;=$BB$45,1,0)</f>
        <v>1</v>
      </c>
      <c r="CB181">
        <f>IF($CB$31&lt;=$CB$32,IF($A181&lt;=$CB$7,1,2),IF($A181&lt;=RUNG_BEDS_2,2,1))</f>
        <v>2</v>
      </c>
      <c r="CC181" s="5">
        <f>MIN(1,MAX(0,$CB$26-($A181-1)))</f>
        <v>1</v>
      </c>
      <c r="CD181" s="5">
        <f>$CB$25*(CC181+(1-CC181)*$CB$16)</f>
        <v>252.05322714681438</v>
      </c>
      <c r="CE181" s="13">
        <f>CD181*($CB$6+ACUTE_MARGIN)</f>
        <v>254573.7594182825</v>
      </c>
      <c r="CF181" s="13">
        <f>IF(CB181=1,$CB$31,$CB$32)</f>
        <v>160718.36940738867</v>
      </c>
      <c r="CG181" s="13">
        <f>CE181-CF181</f>
        <v>93855.39001089384</v>
      </c>
      <c r="CH181" s="13">
        <f>CH180+CG181</f>
        <v>9197828.221067611</v>
      </c>
      <c r="CI181">
        <f>IF(CH181=MAX($CH$83:$CH$483),$A181,0)</f>
        <v>0</v>
      </c>
      <c r="CJ181">
        <f>IF(CE181&lt;CF181,$A181,B_MAX+1)</f>
        <v>401.0</v>
      </c>
      <c r="CK181" s="13">
        <f>IF(CB181=1,$CB$35,$CB$36)</f>
        <v>1560.1194073886782</v>
      </c>
      <c r="CL181" s="13">
        <f>OCC_DAYS*$CB$41*R_NF_2023-CD181*MCD_SHARE_FREED*R_WAIT_2023</f>
        <v>37367.159242427646</v>
      </c>
      <c r="CM181">
        <f>IF($A181&lt;=$CB$45,1,0)</f>
        <v>1</v>
      </c>
      <c r="DB181">
        <f>IF($DB$31&lt;=$DB$32,IF($A181&lt;=$DB$7,1,2),IF($A181&lt;=RUNG_BEDS_2,2,1))</f>
        <v>1</v>
      </c>
      <c r="DC181" s="5">
        <f>MIN(1,MAX(0,$DB$26-($A181-1)))</f>
        <v>1</v>
      </c>
      <c r="DD181" s="5">
        <f>$DB$25*(DC181+(1-DC181)*$DB$16)</f>
        <v>252.05322714681438</v>
      </c>
      <c r="DE181" s="13">
        <f>DD181*($DB$6+ACUTE_MARGIN)</f>
        <v>254573.7594182825</v>
      </c>
      <c r="DF181" s="13">
        <f>IF(DB181=1,$DB$31,$DB$32)</f>
        <v>152394.16214437486</v>
      </c>
      <c r="DG181" s="13">
        <f>DE181-DF181</f>
        <v>102179.59727390765</v>
      </c>
      <c r="DH181" s="13">
        <f>DH180+DG181</f>
        <v>10013600.532842962</v>
      </c>
      <c r="DI181">
        <f>IF(DH181=MAX($DH$83:$DH$483),$A181,0)</f>
        <v>0</v>
      </c>
      <c r="DJ181">
        <f>IF(DE181&lt;DF181,$A181,B_MAX+1)</f>
        <v>401.0</v>
      </c>
      <c r="DK181" s="13">
        <f>IF(DB181=1,$DB$35,$DB$36)</f>
        <v>0</v>
      </c>
      <c r="DL181" s="13">
        <f>OCC_DAYS*$DB$41*R_NF_2023-DD181*MCD_SHARE_FREED*R_WAIT_2023</f>
        <v>37367.159242427646</v>
      </c>
      <c r="DM181">
        <f>IF($A181&lt;=$DB$45,1,0)</f>
        <v>1</v>
      </c>
      <c r="EB181">
        <f>IF($EB$31&lt;=$EB$32,IF($A181&lt;=$EB$7,1,2),IF($A181&lt;=RUNG_BEDS_2,2,1))</f>
        <v>1</v>
      </c>
      <c r="EC181" s="5">
        <f>MIN(1,MAX(0,$EB$26-($A181-1)))</f>
        <v>1</v>
      </c>
      <c r="ED181" s="5">
        <f>$EB$25*(EC181+(1-EC181)*$EB$16)</f>
        <v>252.05322714681438</v>
      </c>
      <c r="EE181" s="13">
        <f>ED181*($EB$6+ACUTE_MARGIN)</f>
        <v>254573.7594182825</v>
      </c>
      <c r="EF181" s="13">
        <f>IF(EB181=1,$EB$31,$EB$32)</f>
        <v>152394.16214437486</v>
      </c>
      <c r="EG181" s="13">
        <f>EE181-EF181</f>
        <v>102179.59727390765</v>
      </c>
      <c r="EH181" s="13">
        <f>EH180+EG181</f>
        <v>10013600.532842962</v>
      </c>
      <c r="EI181">
        <f>IF(EH181=MAX($EH$83:$EH$483),$A181,0)</f>
        <v>0</v>
      </c>
      <c r="EJ181">
        <f>IF(EE181&lt;EF181,$A181,B_MAX+1)</f>
        <v>401.0</v>
      </c>
      <c r="EK181" s="13">
        <f>IF(EB181=1,$EB$35,$EB$36)</f>
        <v>0</v>
      </c>
      <c r="EL181" s="13">
        <f>OCC_DAYS*$EB$41*R_NF_2023-ED181*MCD_SHARE_FREED*R_WAIT_2023</f>
        <v>-63953.16263896705</v>
      </c>
      <c r="EM181">
        <f>IF($A181&lt;=$EB$45,1,0)</f>
        <v>1</v>
      </c>
      <c r="FB181">
        <f>IF($FB$31&lt;=$FB$32,IF($A181&lt;=$FB$7,1,2),IF($A181&lt;=RUNG_BEDS_2,2,1))</f>
        <v>1</v>
      </c>
      <c r="FC181" s="5">
        <f>MIN(1,MAX(0,$FB$26-($A181-1)))</f>
        <v>1</v>
      </c>
      <c r="FD181" s="5">
        <f>$FB$25*(FC181+(1-FC181)*$FB$16)</f>
        <v>252.05322714681438</v>
      </c>
      <c r="FE181" s="13">
        <f>FD181*($FB$6+ACUTE_MARGIN)</f>
        <v>254573.7594182825</v>
      </c>
      <c r="FF181" s="13">
        <f>IF(FB181=1,$FB$31,$FB$32)</f>
        <v>156636.04979437485</v>
      </c>
      <c r="FG181" s="13">
        <f>FE181-FF181</f>
        <v>97937.70962390766</v>
      </c>
      <c r="FH181" s="13">
        <f>FH180+FG181</f>
        <v>9597895.54314294</v>
      </c>
      <c r="FI181">
        <f>IF(FH181=MAX($FH$83:$FH$483),$A181,0)</f>
        <v>0</v>
      </c>
      <c r="FJ181">
        <f>IF(FE181&lt;FF181,$A181,B_MAX+1)</f>
        <v>401.0</v>
      </c>
      <c r="FK181" s="13">
        <f>IF(FB181=1,$FB$35,$FB$36)</f>
        <v>0</v>
      </c>
      <c r="FL181" s="13">
        <f>OCC_DAYS*$FB$41*R_NF_2023-FD181*MCD_SHARE_FREED*R_WAIT_2023</f>
        <v>37367.159242427646</v>
      </c>
      <c r="FM181">
        <f>IF($A181&lt;=$FB$45,1,0)</f>
        <v>1</v>
      </c>
      <c r="GB181">
        <f>IF($GB$31&lt;=$GB$32,IF($A181&lt;=$GB$7,1,2),IF($A181&lt;=RUNG_BEDS_2,2,1))</f>
        <v>1</v>
      </c>
      <c r="GC181" s="5">
        <f>MIN(1,MAX(0,$GB$26-($A181-1)))</f>
        <v>1</v>
      </c>
      <c r="GD181" s="5">
        <f>$GB$25*(GC181+(1-GC181)*$GB$16)</f>
        <v>252.05322714681438</v>
      </c>
      <c r="GE181" s="13">
        <f>GD181*($GB$6+ACUTE_MARGIN)</f>
        <v>254573.7594182825</v>
      </c>
      <c r="GF181" s="13">
        <f>IF(GB181=1,$GB$31,$GB$32)</f>
        <v>152394.16214437486</v>
      </c>
      <c r="GG181" s="13">
        <f>GE181-GF181</f>
        <v>102179.59727390765</v>
      </c>
      <c r="GH181" s="13">
        <f>GH180+GG181</f>
        <v>10013600.532842962</v>
      </c>
      <c r="GI181">
        <f>IF(GH181=MAX($GH$83:$GH$483),$A181,0)</f>
        <v>0</v>
      </c>
      <c r="GJ181">
        <f>IF(GE181&lt;GF181,$A181,B_MAX+1)</f>
        <v>401.0</v>
      </c>
      <c r="GK181" s="13">
        <f>IF(GB181=1,$GB$35,$GB$36)</f>
        <v>0</v>
      </c>
      <c r="GL181" s="13">
        <f>OCC_DAYS*$GB$41*R_NF_2023-GD181*MCD_SHARE_FREED*R_WAIT_2023</f>
        <v>37367.159242427646</v>
      </c>
      <c r="GM181">
        <f>IF($A181&lt;=$GB$45,1,0)</f>
        <v>1</v>
      </c>
      <c r="HB181">
        <f>IF($HB$31&lt;=$HB$32,IF($A181&lt;=$HB$7,1,2),IF($A181&lt;=RUNG_BEDS_2,2,1))</f>
        <v>1</v>
      </c>
      <c r="HC181" s="5">
        <f>MIN(1,MAX(0,$HB$26-($A181-1)))</f>
        <v>1</v>
      </c>
      <c r="HD181" s="5">
        <f>$HB$25*(HC181+(1-HC181)*$HB$16)</f>
        <v>252.05322714681438</v>
      </c>
      <c r="HE181" s="13">
        <f>HD181*($HB$6+ACUTE_MARGIN)</f>
        <v>254573.7594182825</v>
      </c>
      <c r="HF181" s="13">
        <f>IF(HB181=1,$HB$31,$HB$32)</f>
        <v>152456.2970814058</v>
      </c>
      <c r="HG181" s="13">
        <f>HE181-HF181</f>
        <v>102117.46233687672</v>
      </c>
      <c r="HH181" s="13">
        <f>HH180+HG181</f>
        <v>10007511.30901392</v>
      </c>
      <c r="HI181">
        <f>IF(HH181=MAX($HH$83:$HH$483),$A181,0)</f>
        <v>0</v>
      </c>
      <c r="HJ181">
        <f>IF(HE181&lt;HF181,$A181,B_MAX+1)</f>
        <v>401.0</v>
      </c>
      <c r="HK181" s="13">
        <f>IF(HB181=1,$HB$35,$HB$36)</f>
        <v>0</v>
      </c>
      <c r="HL181" s="13">
        <f>OCC_DAYS*$HB$41*R_NF_2023-HD181*MCD_SHARE_FREED*R_WAIT_2023</f>
        <v>37367.159242427646</v>
      </c>
      <c r="HM181">
        <f>IF($A181&lt;=$HB$45,1,0)</f>
        <v>1</v>
      </c>
      <c r="IB181">
        <f>IF($IB$31&lt;=$IB$32,IF($A181&lt;=$IB$7,1,2),IF($A181&lt;=RUNG_BEDS_2,2,1))</f>
        <v>1</v>
      </c>
      <c r="IC181" s="5">
        <f>MIN(1,MAX(0,$IB$26-($A181-1)))</f>
        <v>1</v>
      </c>
      <c r="ID181" s="5">
        <f>$IB$25*(IC181+(1-IC181)*$IB$16)</f>
        <v>252.05322714681438</v>
      </c>
      <c r="IE181" s="13">
        <f>ID181*($IB$6+ACUTE_MARGIN)</f>
        <v>254573.7594182825</v>
      </c>
      <c r="IF181" s="13">
        <f>IF(IB181=1,$IB$31,$IB$32)</f>
        <v>152734.9994534971</v>
      </c>
      <c r="IG181" s="13">
        <f>IE181-IF181</f>
        <v>101838.75996478542</v>
      </c>
      <c r="IH181" s="13">
        <f>IH180+IG181</f>
        <v>9980198.476548966</v>
      </c>
      <c r="II181">
        <f>IF(IH181=MAX($IH$83:$IH$483),$A181,0)</f>
        <v>0</v>
      </c>
      <c r="IJ181">
        <f>IF(IE181&lt;IF181,$A181,B_MAX+1)</f>
        <v>401.0</v>
      </c>
      <c r="IK181" s="13">
        <f>IF(IB181=1,$IB$35,$IB$36)</f>
        <v>0</v>
      </c>
      <c r="IL181" s="13">
        <f>OCC_DAYS*$IB$41*R_NF_2023-ID181*MCD_SHARE_FREED*R_WAIT_2023</f>
        <v>37367.159242427646</v>
      </c>
      <c r="IM181">
        <f>IF($A181&lt;=$IB$45,1,0)</f>
        <v>1</v>
      </c>
      <c r="JB181">
        <f>IF($JB$31&lt;=$JB$32,IF($A181&lt;=$JB$7,1,2),IF($A181&lt;=RUNG_BEDS_2,2,1))</f>
        <v>1</v>
      </c>
      <c r="JC181" s="5">
        <f>MIN(1,MAX(0,$JB$26-($A181-1)))</f>
        <v>1</v>
      </c>
      <c r="JD181" s="5">
        <f>$JB$25*(JC181+(1-JC181)*$JB$16)</f>
        <v>252.05322714681438</v>
      </c>
      <c r="JE181" s="13">
        <f>JD181*($JB$6+ACUTE_MARGIN)</f>
        <v>254573.7594182825</v>
      </c>
      <c r="JF181" s="13">
        <f>IF(JB181=1,$JB$31,$JB$32)</f>
        <v>152394.16214437486</v>
      </c>
      <c r="JG181" s="13">
        <f>JE181-JF181</f>
        <v>102179.59727390765</v>
      </c>
      <c r="JH181" s="13">
        <f>JH180+JG181</f>
        <v>10013600.532842962</v>
      </c>
      <c r="JI181">
        <f>IF(JH181=MAX($JH$83:$JH$483),$A181,0)</f>
        <v>0</v>
      </c>
      <c r="JJ181">
        <f>IF(JE181&lt;JF181,$A181,B_MAX+1)</f>
        <v>401.0</v>
      </c>
      <c r="JK181" s="13">
        <f>IF(JB181=1,$JB$35,$JB$36)</f>
        <v>0</v>
      </c>
      <c r="JL181" s="13">
        <f>OCC_DAYS*$JB$41*R_NF_2023-JD181*MCD_SHARE_FREED*R_WAIT_2023</f>
        <v>37367.159242427646</v>
      </c>
      <c r="JM181">
        <f>IF($A181&lt;=$JB$45,1,0)</f>
        <v>1</v>
      </c>
      <c r="KB181">
        <f>IF($KB$31&lt;=$KB$32,IF($A181&lt;=$KB$7,1,2),IF($A181&lt;=RUNG_BEDS_2,2,1))</f>
        <v>1</v>
      </c>
      <c r="KC181" s="5">
        <f>MIN(1,MAX(0,$KB$26-($A181-1)))</f>
        <v>1</v>
      </c>
      <c r="KD181" s="5">
        <f>$KB$25*(KC181+(1-KC181)*$KB$16)</f>
        <v>126.02661357340719</v>
      </c>
      <c r="KE181" s="13">
        <f>KD181*($KB$6+ACUTE_MARGIN)</f>
        <v>127286.87970914126</v>
      </c>
      <c r="KF181" s="13">
        <f>IF(KB181=1,$KB$31,$KB$32)</f>
        <v>152394.16214437486</v>
      </c>
      <c r="KG181" s="13">
        <f>KE181-KF181</f>
        <v>-25107.282435233603</v>
      </c>
      <c r="KH181" s="13">
        <f>KH180+KG181</f>
        <v>-2460513.6786528984</v>
      </c>
      <c r="KI181">
        <f>IF(KH181=MAX($KH$83:$KH$483),$A181,0)</f>
        <v>0</v>
      </c>
      <c r="KJ181">
        <f>IF(KE181&lt;KF181,$A181,B_MAX+1)</f>
        <v>98</v>
      </c>
      <c r="KK181" s="13">
        <f>IF(KB181=1,$KB$35,$KB$36)</f>
        <v>0</v>
      </c>
      <c r="KL181" s="13">
        <f>OCC_DAYS*$KB$41*R_NF_2023-KD181*MCD_SHARE_FREED*R_WAIT_2023</f>
        <v>94673.82103225985</v>
      </c>
      <c r="KM181">
        <f>IF($A181&lt;=$KB$45,1,0)</f>
        <v>0</v>
      </c>
      <c r="LB181">
        <f>IF($LB$31&lt;=$LB$32,IF($A181&lt;=$LB$7,1,2),IF($A181&lt;=RUNG_BEDS_2,2,1))</f>
        <v>1</v>
      </c>
      <c r="LC181" s="5">
        <f>MIN(1,MAX(0,$LB$26-($A181-1)))</f>
        <v>1</v>
      </c>
      <c r="LD181" s="5">
        <f>$LB$25*(LC181+(1-LC181)*$LB$16)</f>
        <v>84.01774238227146</v>
      </c>
      <c r="LE181" s="13">
        <f>LD181*($LB$6+ACUTE_MARGIN)</f>
        <v>84857.91980609419</v>
      </c>
      <c r="LF181" s="13">
        <f>IF(LB181=1,$LB$31,$LB$32)</f>
        <v>152394.16214437486</v>
      </c>
      <c r="LG181" s="13">
        <f>LE181-LF181</f>
        <v>-67536.24233828067</v>
      </c>
      <c r="LH181" s="13">
        <f>LH180+LG181</f>
        <v>-6618551.749151521</v>
      </c>
      <c r="LI181">
        <f>IF(LH181=MAX($LH$83:$LH$483),$A181,0)</f>
        <v>0</v>
      </c>
      <c r="LJ181">
        <f>IF(LE181&lt;LF181,$A181,B_MAX+1)</f>
        <v>98</v>
      </c>
      <c r="LK181" s="13">
        <f>IF(LB181=1,$LB$35,$LB$36)</f>
        <v>0</v>
      </c>
      <c r="LL181" s="13">
        <f>OCC_DAYS*$LB$41*R_NF_2023-LD181*MCD_SHARE_FREED*R_WAIT_2023</f>
        <v>113776.04162887059</v>
      </c>
      <c r="LM181">
        <f>IF($A181&lt;=$LB$45,1,0)</f>
        <v>0</v>
      </c>
      <c r="MB181">
        <f>IF($MB$31&lt;=$MB$32,IF($A181&lt;=$MB$7,1,2),IF($A181&lt;=RUNG_BEDS_2,2,1))</f>
        <v>1</v>
      </c>
      <c r="MC181" s="5">
        <f>MIN(1,MAX(0,$MB$26-($A181-1)))</f>
        <v>1</v>
      </c>
      <c r="MD181" s="5">
        <f>$MB$25*(MC181+(1-MC181)*$MB$16)</f>
        <v>213.44610951008647</v>
      </c>
      <c r="ME181" s="13">
        <f>MD181*($MB$6+ACUTE_MARGIN)</f>
        <v>215580.57060518733</v>
      </c>
      <c r="MF181" s="13">
        <f>IF(MB181=1,$MB$31,$MB$32)</f>
        <v>152394.16214437486</v>
      </c>
      <c r="MG181" s="13">
        <f>ME181-MF181</f>
        <v>63186.40846081247</v>
      </c>
      <c r="MH181" s="13">
        <f>MH180+MG181</f>
        <v>6192268.029159632</v>
      </c>
      <c r="MI181">
        <f>IF(MH181=MAX($MH$83:$MH$483),$A181,0)</f>
        <v>0</v>
      </c>
      <c r="MJ181">
        <f>IF(ME181&lt;MF181,$A181,B_MAX+1)</f>
        <v>401.0</v>
      </c>
      <c r="MK181" s="13">
        <f>IF(MB181=1,$MB$35,$MB$36)</f>
        <v>0</v>
      </c>
      <c r="ML181" s="13">
        <f>OCC_DAYS*$MB$41*R_NF_2023-MD181*MCD_SHARE_FREED*R_WAIT_2023</f>
        <v>54922.538779778624</v>
      </c>
      <c r="MM181">
        <f>IF($A181&lt;=$MB$45,1,0)</f>
        <v>1</v>
      </c>
      <c r="NB181">
        <f>IF($NB$31&lt;=$NB$32,IF($A181&lt;=$NB$7,1,2),IF($A181&lt;=RUNG_BEDS_2,2,1))</f>
        <v>1</v>
      </c>
      <c r="NC181" s="5">
        <f>MIN(1,MAX(0,$NB$26-($A181-1)))</f>
        <v>1</v>
      </c>
      <c r="ND181" s="5">
        <f>$NB$25*(NC181+(1-NC181)*$NB$16)</f>
        <v>252.05322714681438</v>
      </c>
      <c r="NE181" s="13">
        <f>ND181*($NB$6+ACUTE_MARGIN)</f>
        <v>254573.7594182825</v>
      </c>
      <c r="NF181" s="13">
        <f>IF(NB181=1,$NB$31,$NB$32)</f>
        <v>152394.16214437486</v>
      </c>
      <c r="NG181" s="13">
        <f>NE181-NF181</f>
        <v>102179.59727390765</v>
      </c>
      <c r="NH181" s="13">
        <f>NH180+NG181</f>
        <v>10013600.532842962</v>
      </c>
      <c r="NI181">
        <f>IF(NH181=MAX($NH$83:$NH$483),$A181,0)</f>
        <v>0</v>
      </c>
      <c r="NJ181">
        <f>IF(NE181&lt;NF181,$A181,B_MAX+1)</f>
        <v>401.0</v>
      </c>
      <c r="NK181" s="13">
        <f>IF(NB181=1,$NB$35,$NB$36)</f>
        <v>0</v>
      </c>
      <c r="NL181" s="13">
        <f>OCC_DAYS*$NB$41*R_NF_2023-ND181*MCD_SHARE_FREED*R_WAIT_2023</f>
        <v>37367.159242427646</v>
      </c>
      <c r="NM181">
        <f>IF($A181&lt;=$NB$45,1,0)</f>
        <v>1</v>
      </c>
      <c r="OB181">
        <f>IF($OB$31&lt;=$OB$32,IF($A181&lt;=$OB$7,1,2),IF($A181&lt;=RUNG_BEDS_2,2,1))</f>
        <v>1</v>
      </c>
      <c r="OC181" s="5">
        <f>MIN(1,MAX(0,$OB$26-($A181-1)))</f>
        <v>1</v>
      </c>
      <c r="OD181" s="5">
        <f>$OB$25*(OC181+(1-OC181)*$OB$16)</f>
        <v>252.05322714681438</v>
      </c>
      <c r="OE181" s="13">
        <f>OD181*($OB$6+ACUTE_MARGIN)</f>
        <v>254573.7594182825</v>
      </c>
      <c r="OF181" s="13">
        <f>IF(OB181=1,$OB$31,$OB$32)</f>
        <v>152394.16214437486</v>
      </c>
      <c r="OG181" s="13">
        <f>OE181-OF181</f>
        <v>102179.59727390765</v>
      </c>
      <c r="OH181" s="13">
        <f>OH180+OG181</f>
        <v>10013600.532842962</v>
      </c>
      <c r="OI181">
        <f>IF(OH181=MAX($OH$83:$OH$483),$A181,0)</f>
        <v>0</v>
      </c>
      <c r="OJ181">
        <f>IF(OE181&lt;OF181,$A181,B_MAX+1)</f>
        <v>401.0</v>
      </c>
      <c r="OK181" s="13">
        <f>IF(OB181=1,$OB$35,$OB$36)</f>
        <v>0</v>
      </c>
      <c r="OL181" s="13">
        <f>OCC_DAYS*$OB$41*R_NF_2023-OD181*MCD_SHARE_FREED*R_WAIT_2023</f>
        <v>37367.159242427646</v>
      </c>
      <c r="OM181">
        <f>IF($A181&lt;=$OB$45,1,0)</f>
        <v>1</v>
      </c>
    </row>
    <row r="182">
      <c r="A182" t="n">
        <v>99</v>
      </c>
      <c r="B182">
        <f>IF($B$31&lt;=$B$32,IF($A182&lt;=$B$7,1,2),IF($A182&lt;=RUNG_BEDS_2,2,1))</f>
        <v>1</v>
      </c>
      <c r="C182" s="5">
        <f>MIN(1,MAX(0,$B$26-($A182-1)))</f>
        <v>1</v>
      </c>
      <c r="D182" s="5">
        <f>$B$25*(C182+(1-C182)*$B$16)</f>
        <v>252.05322714681438</v>
      </c>
      <c r="E182" s="13">
        <f>D182*($B$6+ACUTE_MARGIN)</f>
        <v>254573.7594182825</v>
      </c>
      <c r="F182" s="13">
        <f>IF(B182=1,$B$31,$B$32)</f>
        <v>152394.16214437486</v>
      </c>
      <c r="G182" s="13">
        <f>E182-F182</f>
        <v>102179.59727390765</v>
      </c>
      <c r="H182" s="13">
        <f>H181+G182</f>
        <v>10115780.13011687</v>
      </c>
      <c r="I182">
        <f>IF(H182=MAX($H$83:$H$483),$A182,0)</f>
        <v>0</v>
      </c>
      <c r="J182">
        <f>IF(E182&lt;F182,$A182,B_MAX+1)</f>
        <v>401.0</v>
      </c>
      <c r="K182" s="13">
        <f>IF(B182=1,$B$35,$B$36)</f>
        <v>0</v>
      </c>
      <c r="L182" s="13">
        <f>OCC_DAYS*$B$41*R_NF_2023-D182*MCD_SHARE_FREED*R_WAIT_2023</f>
        <v>37367.159242427646</v>
      </c>
      <c r="M182">
        <f>IF($A182&lt;=$B$45,1,0)</f>
        <v>1</v>
      </c>
      <c r="AB182">
        <f>IF($AB$31&lt;=$AB$32,IF($A182&lt;=$AB$7,1,2),IF($A182&lt;=RUNG_BEDS_2,2,1))</f>
        <v>1</v>
      </c>
      <c r="AC182" s="5">
        <f>MIN(1,MAX(0,$AB$26-($A182-1)))</f>
        <v>1</v>
      </c>
      <c r="AD182" s="5">
        <f>$AB$25*(AC182+(1-AC182)*$AB$16)</f>
        <v>252.05322714681438</v>
      </c>
      <c r="AE182" s="13">
        <f>AD182*($AB$6+ACUTE_MARGIN)</f>
        <v>138629.2749307479</v>
      </c>
      <c r="AF182" s="13">
        <f>IF(AB182=1,$AB$31,$AB$32)</f>
        <v>152394.16214437486</v>
      </c>
      <c r="AG182" s="13">
        <f>AE182-AF182</f>
        <v>-13764.887213626964</v>
      </c>
      <c r="AH182" s="13">
        <f>AH181+AG182</f>
        <v>-1362723.8341490692</v>
      </c>
      <c r="AI182">
        <f>IF(AH182=MAX($AH$83:$AH$483),$A182,0)</f>
        <v>0</v>
      </c>
      <c r="AJ182">
        <f>IF(AE182&lt;AF182,$A182,B_MAX+1)</f>
        <v>99</v>
      </c>
      <c r="AK182" s="13">
        <f>IF(AB182=1,$AB$35,$AB$36)</f>
        <v>0</v>
      </c>
      <c r="AL182" s="13">
        <f>OCC_DAYS*$AB$41*R_NF_2023-AD182*MCD_SHARE_FREED*R_WAIT_2023</f>
        <v>37367.159242427646</v>
      </c>
      <c r="AM182">
        <f>IF($A182&lt;=$AB$45,1,0)</f>
        <v>0</v>
      </c>
      <c r="BB182">
        <f>IF($BB$31&lt;=$BB$32,IF($A182&lt;=$BB$7,1,2),IF($A182&lt;=RUNG_BEDS_2,2,1))</f>
        <v>1</v>
      </c>
      <c r="BC182" s="5">
        <f>MIN(1,MAX(0,$BB$26-($A182-1)))</f>
        <v>1</v>
      </c>
      <c r="BD182" s="5">
        <f>$BB$25*(BC182+(1-BC182)*$BB$16)</f>
        <v>252.05322714681438</v>
      </c>
      <c r="BE182" s="13">
        <f>BD182*($BB$6+ACUTE_MARGIN)</f>
        <v>370518.24390581716</v>
      </c>
      <c r="BF182" s="13">
        <f>IF(BB182=1,$BB$31,$BB$32)</f>
        <v>152394.16214437486</v>
      </c>
      <c r="BG182" s="13">
        <f>BE182-BF182</f>
        <v>218124.0817614423</v>
      </c>
      <c r="BH182" s="13">
        <f>BH181+BG182</f>
        <v>21594284.094382774</v>
      </c>
      <c r="BI182">
        <f>IF(BH182=MAX($BH$83:$BH$483),$A182,0)</f>
        <v>0</v>
      </c>
      <c r="BJ182">
        <f>IF(BE182&lt;BF182,$A182,B_MAX+1)</f>
        <v>401.0</v>
      </c>
      <c r="BK182" s="13">
        <f>IF(BB182=1,$BB$35,$BB$36)</f>
        <v>0</v>
      </c>
      <c r="BL182" s="13">
        <f>OCC_DAYS*$BB$41*R_NF_2023-BD182*MCD_SHARE_FREED*R_WAIT_2023</f>
        <v>37367.159242427646</v>
      </c>
      <c r="BM182">
        <f>IF($A182&lt;=$BB$45,1,0)</f>
        <v>1</v>
      </c>
      <c r="CB182">
        <f>IF($CB$31&lt;=$CB$32,IF($A182&lt;=$CB$7,1,2),IF($A182&lt;=RUNG_BEDS_2,2,1))</f>
        <v>2</v>
      </c>
      <c r="CC182" s="5">
        <f>MIN(1,MAX(0,$CB$26-($A182-1)))</f>
        <v>1</v>
      </c>
      <c r="CD182" s="5">
        <f>$CB$25*(CC182+(1-CC182)*$CB$16)</f>
        <v>252.05322714681438</v>
      </c>
      <c r="CE182" s="13">
        <f>CD182*($CB$6+ACUTE_MARGIN)</f>
        <v>254573.7594182825</v>
      </c>
      <c r="CF182" s="13">
        <f>IF(CB182=1,$CB$31,$CB$32)</f>
        <v>160718.36940738867</v>
      </c>
      <c r="CG182" s="13">
        <f>CE182-CF182</f>
        <v>93855.39001089384</v>
      </c>
      <c r="CH182" s="13">
        <f>CH181+CG182</f>
        <v>9291683.611078504</v>
      </c>
      <c r="CI182">
        <f>IF(CH182=MAX($CH$83:$CH$483),$A182,0)</f>
        <v>0</v>
      </c>
      <c r="CJ182">
        <f>IF(CE182&lt;CF182,$A182,B_MAX+1)</f>
        <v>401.0</v>
      </c>
      <c r="CK182" s="13">
        <f>IF(CB182=1,$CB$35,$CB$36)</f>
        <v>1560.1194073886782</v>
      </c>
      <c r="CL182" s="13">
        <f>OCC_DAYS*$CB$41*R_NF_2023-CD182*MCD_SHARE_FREED*R_WAIT_2023</f>
        <v>37367.159242427646</v>
      </c>
      <c r="CM182">
        <f>IF($A182&lt;=$CB$45,1,0)</f>
        <v>1</v>
      </c>
      <c r="DB182">
        <f>IF($DB$31&lt;=$DB$32,IF($A182&lt;=$DB$7,1,2),IF($A182&lt;=RUNG_BEDS_2,2,1))</f>
        <v>1</v>
      </c>
      <c r="DC182" s="5">
        <f>MIN(1,MAX(0,$DB$26-($A182-1)))</f>
        <v>1</v>
      </c>
      <c r="DD182" s="5">
        <f>$DB$25*(DC182+(1-DC182)*$DB$16)</f>
        <v>252.05322714681438</v>
      </c>
      <c r="DE182" s="13">
        <f>DD182*($DB$6+ACUTE_MARGIN)</f>
        <v>254573.7594182825</v>
      </c>
      <c r="DF182" s="13">
        <f>IF(DB182=1,$DB$31,$DB$32)</f>
        <v>152394.16214437486</v>
      </c>
      <c r="DG182" s="13">
        <f>DE182-DF182</f>
        <v>102179.59727390765</v>
      </c>
      <c r="DH182" s="13">
        <f>DH181+DG182</f>
        <v>10115780.13011687</v>
      </c>
      <c r="DI182">
        <f>IF(DH182=MAX($DH$83:$DH$483),$A182,0)</f>
        <v>0</v>
      </c>
      <c r="DJ182">
        <f>IF(DE182&lt;DF182,$A182,B_MAX+1)</f>
        <v>401.0</v>
      </c>
      <c r="DK182" s="13">
        <f>IF(DB182=1,$DB$35,$DB$36)</f>
        <v>0</v>
      </c>
      <c r="DL182" s="13">
        <f>OCC_DAYS*$DB$41*R_NF_2023-DD182*MCD_SHARE_FREED*R_WAIT_2023</f>
        <v>37367.159242427646</v>
      </c>
      <c r="DM182">
        <f>IF($A182&lt;=$DB$45,1,0)</f>
        <v>1</v>
      </c>
      <c r="EB182">
        <f>IF($EB$31&lt;=$EB$32,IF($A182&lt;=$EB$7,1,2),IF($A182&lt;=RUNG_BEDS_2,2,1))</f>
        <v>1</v>
      </c>
      <c r="EC182" s="5">
        <f>MIN(1,MAX(0,$EB$26-($A182-1)))</f>
        <v>1</v>
      </c>
      <c r="ED182" s="5">
        <f>$EB$25*(EC182+(1-EC182)*$EB$16)</f>
        <v>252.05322714681438</v>
      </c>
      <c r="EE182" s="13">
        <f>ED182*($EB$6+ACUTE_MARGIN)</f>
        <v>254573.7594182825</v>
      </c>
      <c r="EF182" s="13">
        <f>IF(EB182=1,$EB$31,$EB$32)</f>
        <v>152394.16214437486</v>
      </c>
      <c r="EG182" s="13">
        <f>EE182-EF182</f>
        <v>102179.59727390765</v>
      </c>
      <c r="EH182" s="13">
        <f>EH181+EG182</f>
        <v>10115780.13011687</v>
      </c>
      <c r="EI182">
        <f>IF(EH182=MAX($EH$83:$EH$483),$A182,0)</f>
        <v>0</v>
      </c>
      <c r="EJ182">
        <f>IF(EE182&lt;EF182,$A182,B_MAX+1)</f>
        <v>401.0</v>
      </c>
      <c r="EK182" s="13">
        <f>IF(EB182=1,$EB$35,$EB$36)</f>
        <v>0</v>
      </c>
      <c r="EL182" s="13">
        <f>OCC_DAYS*$EB$41*R_NF_2023-ED182*MCD_SHARE_FREED*R_WAIT_2023</f>
        <v>-63953.16263896705</v>
      </c>
      <c r="EM182">
        <f>IF($A182&lt;=$EB$45,1,0)</f>
        <v>1</v>
      </c>
      <c r="FB182">
        <f>IF($FB$31&lt;=$FB$32,IF($A182&lt;=$FB$7,1,2),IF($A182&lt;=RUNG_BEDS_2,2,1))</f>
        <v>1</v>
      </c>
      <c r="FC182" s="5">
        <f>MIN(1,MAX(0,$FB$26-($A182-1)))</f>
        <v>1</v>
      </c>
      <c r="FD182" s="5">
        <f>$FB$25*(FC182+(1-FC182)*$FB$16)</f>
        <v>252.05322714681438</v>
      </c>
      <c r="FE182" s="13">
        <f>FD182*($FB$6+ACUTE_MARGIN)</f>
        <v>254573.7594182825</v>
      </c>
      <c r="FF182" s="13">
        <f>IF(FB182=1,$FB$31,$FB$32)</f>
        <v>156636.04979437485</v>
      </c>
      <c r="FG182" s="13">
        <f>FE182-FF182</f>
        <v>97937.70962390766</v>
      </c>
      <c r="FH182" s="13">
        <f>FH181+FG182</f>
        <v>9695833.252766848</v>
      </c>
      <c r="FI182">
        <f>IF(FH182=MAX($FH$83:$FH$483),$A182,0)</f>
        <v>0</v>
      </c>
      <c r="FJ182">
        <f>IF(FE182&lt;FF182,$A182,B_MAX+1)</f>
        <v>401.0</v>
      </c>
      <c r="FK182" s="13">
        <f>IF(FB182=1,$FB$35,$FB$36)</f>
        <v>0</v>
      </c>
      <c r="FL182" s="13">
        <f>OCC_DAYS*$FB$41*R_NF_2023-FD182*MCD_SHARE_FREED*R_WAIT_2023</f>
        <v>37367.159242427646</v>
      </c>
      <c r="FM182">
        <f>IF($A182&lt;=$FB$45,1,0)</f>
        <v>1</v>
      </c>
      <c r="GB182">
        <f>IF($GB$31&lt;=$GB$32,IF($A182&lt;=$GB$7,1,2),IF($A182&lt;=RUNG_BEDS_2,2,1))</f>
        <v>1</v>
      </c>
      <c r="GC182" s="5">
        <f>MIN(1,MAX(0,$GB$26-($A182-1)))</f>
        <v>1</v>
      </c>
      <c r="GD182" s="5">
        <f>$GB$25*(GC182+(1-GC182)*$GB$16)</f>
        <v>252.05322714681438</v>
      </c>
      <c r="GE182" s="13">
        <f>GD182*($GB$6+ACUTE_MARGIN)</f>
        <v>254573.7594182825</v>
      </c>
      <c r="GF182" s="13">
        <f>IF(GB182=1,$GB$31,$GB$32)</f>
        <v>152394.16214437486</v>
      </c>
      <c r="GG182" s="13">
        <f>GE182-GF182</f>
        <v>102179.59727390765</v>
      </c>
      <c r="GH182" s="13">
        <f>GH181+GG182</f>
        <v>10115780.13011687</v>
      </c>
      <c r="GI182">
        <f>IF(GH182=MAX($GH$83:$GH$483),$A182,0)</f>
        <v>0</v>
      </c>
      <c r="GJ182">
        <f>IF(GE182&lt;GF182,$A182,B_MAX+1)</f>
        <v>401.0</v>
      </c>
      <c r="GK182" s="13">
        <f>IF(GB182=1,$GB$35,$GB$36)</f>
        <v>0</v>
      </c>
      <c r="GL182" s="13">
        <f>OCC_DAYS*$GB$41*R_NF_2023-GD182*MCD_SHARE_FREED*R_WAIT_2023</f>
        <v>37367.159242427646</v>
      </c>
      <c r="GM182">
        <f>IF($A182&lt;=$GB$45,1,0)</f>
        <v>1</v>
      </c>
      <c r="HB182">
        <f>IF($HB$31&lt;=$HB$32,IF($A182&lt;=$HB$7,1,2),IF($A182&lt;=RUNG_BEDS_2,2,1))</f>
        <v>1</v>
      </c>
      <c r="HC182" s="5">
        <f>MIN(1,MAX(0,$HB$26-($A182-1)))</f>
        <v>1</v>
      </c>
      <c r="HD182" s="5">
        <f>$HB$25*(HC182+(1-HC182)*$HB$16)</f>
        <v>252.05322714681438</v>
      </c>
      <c r="HE182" s="13">
        <f>HD182*($HB$6+ACUTE_MARGIN)</f>
        <v>254573.7594182825</v>
      </c>
      <c r="HF182" s="13">
        <f>IF(HB182=1,$HB$31,$HB$32)</f>
        <v>152456.2970814058</v>
      </c>
      <c r="HG182" s="13">
        <f>HE182-HF182</f>
        <v>102117.46233687672</v>
      </c>
      <c r="HH182" s="13">
        <f>HH181+HG182</f>
        <v>10109628.771350797</v>
      </c>
      <c r="HI182">
        <f>IF(HH182=MAX($HH$83:$HH$483),$A182,0)</f>
        <v>0</v>
      </c>
      <c r="HJ182">
        <f>IF(HE182&lt;HF182,$A182,B_MAX+1)</f>
        <v>401.0</v>
      </c>
      <c r="HK182" s="13">
        <f>IF(HB182=1,$HB$35,$HB$36)</f>
        <v>0</v>
      </c>
      <c r="HL182" s="13">
        <f>OCC_DAYS*$HB$41*R_NF_2023-HD182*MCD_SHARE_FREED*R_WAIT_2023</f>
        <v>37367.159242427646</v>
      </c>
      <c r="HM182">
        <f>IF($A182&lt;=$HB$45,1,0)</f>
        <v>1</v>
      </c>
      <c r="IB182">
        <f>IF($IB$31&lt;=$IB$32,IF($A182&lt;=$IB$7,1,2),IF($A182&lt;=RUNG_BEDS_2,2,1))</f>
        <v>1</v>
      </c>
      <c r="IC182" s="5">
        <f>MIN(1,MAX(0,$IB$26-($A182-1)))</f>
        <v>1</v>
      </c>
      <c r="ID182" s="5">
        <f>$IB$25*(IC182+(1-IC182)*$IB$16)</f>
        <v>252.05322714681438</v>
      </c>
      <c r="IE182" s="13">
        <f>ID182*($IB$6+ACUTE_MARGIN)</f>
        <v>254573.7594182825</v>
      </c>
      <c r="IF182" s="13">
        <f>IF(IB182=1,$IB$31,$IB$32)</f>
        <v>152734.9994534971</v>
      </c>
      <c r="IG182" s="13">
        <f>IE182-IF182</f>
        <v>101838.75996478542</v>
      </c>
      <c r="IH182" s="13">
        <f>IH181+IG182</f>
        <v>10082037.23651375</v>
      </c>
      <c r="II182">
        <f>IF(IH182=MAX($IH$83:$IH$483),$A182,0)</f>
        <v>0</v>
      </c>
      <c r="IJ182">
        <f>IF(IE182&lt;IF182,$A182,B_MAX+1)</f>
        <v>401.0</v>
      </c>
      <c r="IK182" s="13">
        <f>IF(IB182=1,$IB$35,$IB$36)</f>
        <v>0</v>
      </c>
      <c r="IL182" s="13">
        <f>OCC_DAYS*$IB$41*R_NF_2023-ID182*MCD_SHARE_FREED*R_WAIT_2023</f>
        <v>37367.159242427646</v>
      </c>
      <c r="IM182">
        <f>IF($A182&lt;=$IB$45,1,0)</f>
        <v>1</v>
      </c>
      <c r="JB182">
        <f>IF($JB$31&lt;=$JB$32,IF($A182&lt;=$JB$7,1,2),IF($A182&lt;=RUNG_BEDS_2,2,1))</f>
        <v>1</v>
      </c>
      <c r="JC182" s="5">
        <f>MIN(1,MAX(0,$JB$26-($A182-1)))</f>
        <v>1</v>
      </c>
      <c r="JD182" s="5">
        <f>$JB$25*(JC182+(1-JC182)*$JB$16)</f>
        <v>252.05322714681438</v>
      </c>
      <c r="JE182" s="13">
        <f>JD182*($JB$6+ACUTE_MARGIN)</f>
        <v>254573.7594182825</v>
      </c>
      <c r="JF182" s="13">
        <f>IF(JB182=1,$JB$31,$JB$32)</f>
        <v>152394.16214437486</v>
      </c>
      <c r="JG182" s="13">
        <f>JE182-JF182</f>
        <v>102179.59727390765</v>
      </c>
      <c r="JH182" s="13">
        <f>JH181+JG182</f>
        <v>10115780.13011687</v>
      </c>
      <c r="JI182">
        <f>IF(JH182=MAX($JH$83:$JH$483),$A182,0)</f>
        <v>0</v>
      </c>
      <c r="JJ182">
        <f>IF(JE182&lt;JF182,$A182,B_MAX+1)</f>
        <v>401.0</v>
      </c>
      <c r="JK182" s="13">
        <f>IF(JB182=1,$JB$35,$JB$36)</f>
        <v>0</v>
      </c>
      <c r="JL182" s="13">
        <f>OCC_DAYS*$JB$41*R_NF_2023-JD182*MCD_SHARE_FREED*R_WAIT_2023</f>
        <v>37367.159242427646</v>
      </c>
      <c r="JM182">
        <f>IF($A182&lt;=$JB$45,1,0)</f>
        <v>1</v>
      </c>
      <c r="KB182">
        <f>IF($KB$31&lt;=$KB$32,IF($A182&lt;=$KB$7,1,2),IF($A182&lt;=RUNG_BEDS_2,2,1))</f>
        <v>1</v>
      </c>
      <c r="KC182" s="5">
        <f>MIN(1,MAX(0,$KB$26-($A182-1)))</f>
        <v>1</v>
      </c>
      <c r="KD182" s="5">
        <f>$KB$25*(KC182+(1-KC182)*$KB$16)</f>
        <v>126.02661357340719</v>
      </c>
      <c r="KE182" s="13">
        <f>KD182*($KB$6+ACUTE_MARGIN)</f>
        <v>127286.87970914126</v>
      </c>
      <c r="KF182" s="13">
        <f>IF(KB182=1,$KB$31,$KB$32)</f>
        <v>152394.16214437486</v>
      </c>
      <c r="KG182" s="13">
        <f>KE182-KF182</f>
        <v>-25107.282435233603</v>
      </c>
      <c r="KH182" s="13">
        <f>KH181+KG182</f>
        <v>-2485620.961088132</v>
      </c>
      <c r="KI182">
        <f>IF(KH182=MAX($KH$83:$KH$483),$A182,0)</f>
        <v>0</v>
      </c>
      <c r="KJ182">
        <f>IF(KE182&lt;KF182,$A182,B_MAX+1)</f>
        <v>99</v>
      </c>
      <c r="KK182" s="13">
        <f>IF(KB182=1,$KB$35,$KB$36)</f>
        <v>0</v>
      </c>
      <c r="KL182" s="13">
        <f>OCC_DAYS*$KB$41*R_NF_2023-KD182*MCD_SHARE_FREED*R_WAIT_2023</f>
        <v>94673.82103225985</v>
      </c>
      <c r="KM182">
        <f>IF($A182&lt;=$KB$45,1,0)</f>
        <v>0</v>
      </c>
      <c r="LB182">
        <f>IF($LB$31&lt;=$LB$32,IF($A182&lt;=$LB$7,1,2),IF($A182&lt;=RUNG_BEDS_2,2,1))</f>
        <v>1</v>
      </c>
      <c r="LC182" s="5">
        <f>MIN(1,MAX(0,$LB$26-($A182-1)))</f>
        <v>1</v>
      </c>
      <c r="LD182" s="5">
        <f>$LB$25*(LC182+(1-LC182)*$LB$16)</f>
        <v>84.01774238227146</v>
      </c>
      <c r="LE182" s="13">
        <f>LD182*($LB$6+ACUTE_MARGIN)</f>
        <v>84857.91980609419</v>
      </c>
      <c r="LF182" s="13">
        <f>IF(LB182=1,$LB$31,$LB$32)</f>
        <v>152394.16214437486</v>
      </c>
      <c r="LG182" s="13">
        <f>LE182-LF182</f>
        <v>-67536.24233828067</v>
      </c>
      <c r="LH182" s="13">
        <f>LH181+LG182</f>
        <v>-6686087.9914898025</v>
      </c>
      <c r="LI182">
        <f>IF(LH182=MAX($LH$83:$LH$483),$A182,0)</f>
        <v>0</v>
      </c>
      <c r="LJ182">
        <f>IF(LE182&lt;LF182,$A182,B_MAX+1)</f>
        <v>99</v>
      </c>
      <c r="LK182" s="13">
        <f>IF(LB182=1,$LB$35,$LB$36)</f>
        <v>0</v>
      </c>
      <c r="LL182" s="13">
        <f>OCC_DAYS*$LB$41*R_NF_2023-LD182*MCD_SHARE_FREED*R_WAIT_2023</f>
        <v>113776.04162887059</v>
      </c>
      <c r="LM182">
        <f>IF($A182&lt;=$LB$45,1,0)</f>
        <v>0</v>
      </c>
      <c r="MB182">
        <f>IF($MB$31&lt;=$MB$32,IF($A182&lt;=$MB$7,1,2),IF($A182&lt;=RUNG_BEDS_2,2,1))</f>
        <v>1</v>
      </c>
      <c r="MC182" s="5">
        <f>MIN(1,MAX(0,$MB$26-($A182-1)))</f>
        <v>1</v>
      </c>
      <c r="MD182" s="5">
        <f>$MB$25*(MC182+(1-MC182)*$MB$16)</f>
        <v>213.44610951008647</v>
      </c>
      <c r="ME182" s="13">
        <f>MD182*($MB$6+ACUTE_MARGIN)</f>
        <v>215580.57060518733</v>
      </c>
      <c r="MF182" s="13">
        <f>IF(MB182=1,$MB$31,$MB$32)</f>
        <v>152394.16214437486</v>
      </c>
      <c r="MG182" s="13">
        <f>ME182-MF182</f>
        <v>63186.40846081247</v>
      </c>
      <c r="MH182" s="13">
        <f>MH181+MG182</f>
        <v>6255454.437620444</v>
      </c>
      <c r="MI182">
        <f>IF(MH182=MAX($MH$83:$MH$483),$A182,0)</f>
        <v>0</v>
      </c>
      <c r="MJ182">
        <f>IF(ME182&lt;MF182,$A182,B_MAX+1)</f>
        <v>401.0</v>
      </c>
      <c r="MK182" s="13">
        <f>IF(MB182=1,$MB$35,$MB$36)</f>
        <v>0</v>
      </c>
      <c r="ML182" s="13">
        <f>OCC_DAYS*$MB$41*R_NF_2023-MD182*MCD_SHARE_FREED*R_WAIT_2023</f>
        <v>54922.538779778624</v>
      </c>
      <c r="MM182">
        <f>IF($A182&lt;=$MB$45,1,0)</f>
        <v>1</v>
      </c>
      <c r="NB182">
        <f>IF($NB$31&lt;=$NB$32,IF($A182&lt;=$NB$7,1,2),IF($A182&lt;=RUNG_BEDS_2,2,1))</f>
        <v>1</v>
      </c>
      <c r="NC182" s="5">
        <f>MIN(1,MAX(0,$NB$26-($A182-1)))</f>
        <v>1</v>
      </c>
      <c r="ND182" s="5">
        <f>$NB$25*(NC182+(1-NC182)*$NB$16)</f>
        <v>252.05322714681438</v>
      </c>
      <c r="NE182" s="13">
        <f>ND182*($NB$6+ACUTE_MARGIN)</f>
        <v>254573.7594182825</v>
      </c>
      <c r="NF182" s="13">
        <f>IF(NB182=1,$NB$31,$NB$32)</f>
        <v>152394.16214437486</v>
      </c>
      <c r="NG182" s="13">
        <f>NE182-NF182</f>
        <v>102179.59727390765</v>
      </c>
      <c r="NH182" s="13">
        <f>NH181+NG182</f>
        <v>10115780.13011687</v>
      </c>
      <c r="NI182">
        <f>IF(NH182=MAX($NH$83:$NH$483),$A182,0)</f>
        <v>0</v>
      </c>
      <c r="NJ182">
        <f>IF(NE182&lt;NF182,$A182,B_MAX+1)</f>
        <v>401.0</v>
      </c>
      <c r="NK182" s="13">
        <f>IF(NB182=1,$NB$35,$NB$36)</f>
        <v>0</v>
      </c>
      <c r="NL182" s="13">
        <f>OCC_DAYS*$NB$41*R_NF_2023-ND182*MCD_SHARE_FREED*R_WAIT_2023</f>
        <v>37367.159242427646</v>
      </c>
      <c r="NM182">
        <f>IF($A182&lt;=$NB$45,1,0)</f>
        <v>1</v>
      </c>
      <c r="OB182">
        <f>IF($OB$31&lt;=$OB$32,IF($A182&lt;=$OB$7,1,2),IF($A182&lt;=RUNG_BEDS_2,2,1))</f>
        <v>1</v>
      </c>
      <c r="OC182" s="5">
        <f>MIN(1,MAX(0,$OB$26-($A182-1)))</f>
        <v>1</v>
      </c>
      <c r="OD182" s="5">
        <f>$OB$25*(OC182+(1-OC182)*$OB$16)</f>
        <v>252.05322714681438</v>
      </c>
      <c r="OE182" s="13">
        <f>OD182*($OB$6+ACUTE_MARGIN)</f>
        <v>254573.7594182825</v>
      </c>
      <c r="OF182" s="13">
        <f>IF(OB182=1,$OB$31,$OB$32)</f>
        <v>152394.16214437486</v>
      </c>
      <c r="OG182" s="13">
        <f>OE182-OF182</f>
        <v>102179.59727390765</v>
      </c>
      <c r="OH182" s="13">
        <f>OH181+OG182</f>
        <v>10115780.13011687</v>
      </c>
      <c r="OI182">
        <f>IF(OH182=MAX($OH$83:$OH$483),$A182,0)</f>
        <v>0</v>
      </c>
      <c r="OJ182">
        <f>IF(OE182&lt;OF182,$A182,B_MAX+1)</f>
        <v>401.0</v>
      </c>
      <c r="OK182" s="13">
        <f>IF(OB182=1,$OB$35,$OB$36)</f>
        <v>0</v>
      </c>
      <c r="OL182" s="13">
        <f>OCC_DAYS*$OB$41*R_NF_2023-OD182*MCD_SHARE_FREED*R_WAIT_2023</f>
        <v>37367.159242427646</v>
      </c>
      <c r="OM182">
        <f>IF($A182&lt;=$OB$45,1,0)</f>
        <v>1</v>
      </c>
    </row>
    <row r="183">
      <c r="A183" t="n">
        <v>100</v>
      </c>
      <c r="B183">
        <f>IF($B$31&lt;=$B$32,IF($A183&lt;=$B$7,1,2),IF($A183&lt;=RUNG_BEDS_2,2,1))</f>
        <v>1</v>
      </c>
      <c r="C183" s="5">
        <f>MIN(1,MAX(0,$B$26-($A183-1)))</f>
        <v>1</v>
      </c>
      <c r="D183" s="5">
        <f>$B$25*(C183+(1-C183)*$B$16)</f>
        <v>252.05322714681438</v>
      </c>
      <c r="E183" s="13">
        <f>D183*($B$6+ACUTE_MARGIN)</f>
        <v>254573.7594182825</v>
      </c>
      <c r="F183" s="13">
        <f>IF(B183=1,$B$31,$B$32)</f>
        <v>152394.16214437486</v>
      </c>
      <c r="G183" s="13">
        <f>E183-F183</f>
        <v>102179.59727390765</v>
      </c>
      <c r="H183" s="13">
        <f>H182+G183</f>
        <v>10217959.72739078</v>
      </c>
      <c r="I183">
        <f>IF(H183=MAX($H$83:$H$483),$A183,0)</f>
        <v>0</v>
      </c>
      <c r="J183">
        <f>IF(E183&lt;F183,$A183,B_MAX+1)</f>
        <v>401.0</v>
      </c>
      <c r="K183" s="13">
        <f>IF(B183=1,$B$35,$B$36)</f>
        <v>0</v>
      </c>
      <c r="L183" s="13">
        <f>OCC_DAYS*$B$41*R_NF_2023-D183*MCD_SHARE_FREED*R_WAIT_2023</f>
        <v>37367.159242427646</v>
      </c>
      <c r="M183">
        <f>IF($A183&lt;=$B$45,1,0)</f>
        <v>1</v>
      </c>
      <c r="AB183">
        <f>IF($AB$31&lt;=$AB$32,IF($A183&lt;=$AB$7,1,2),IF($A183&lt;=RUNG_BEDS_2,2,1))</f>
        <v>1</v>
      </c>
      <c r="AC183" s="5">
        <f>MIN(1,MAX(0,$AB$26-($A183-1)))</f>
        <v>1</v>
      </c>
      <c r="AD183" s="5">
        <f>$AB$25*(AC183+(1-AC183)*$AB$16)</f>
        <v>252.05322714681438</v>
      </c>
      <c r="AE183" s="13">
        <f>AD183*($AB$6+ACUTE_MARGIN)</f>
        <v>138629.2749307479</v>
      </c>
      <c r="AF183" s="13">
        <f>IF(AB183=1,$AB$31,$AB$32)</f>
        <v>152394.16214437486</v>
      </c>
      <c r="AG183" s="13">
        <f>AE183-AF183</f>
        <v>-13764.887213626964</v>
      </c>
      <c r="AH183" s="13">
        <f>AH182+AG183</f>
        <v>-1376488.721362696</v>
      </c>
      <c r="AI183">
        <f>IF(AH183=MAX($AH$83:$AH$483),$A183,0)</f>
        <v>0</v>
      </c>
      <c r="AJ183">
        <f>IF(AE183&lt;AF183,$A183,B_MAX+1)</f>
        <v>100</v>
      </c>
      <c r="AK183" s="13">
        <f>IF(AB183=1,$AB$35,$AB$36)</f>
        <v>0</v>
      </c>
      <c r="AL183" s="13">
        <f>OCC_DAYS*$AB$41*R_NF_2023-AD183*MCD_SHARE_FREED*R_WAIT_2023</f>
        <v>37367.159242427646</v>
      </c>
      <c r="AM183">
        <f>IF($A183&lt;=$AB$45,1,0)</f>
        <v>0</v>
      </c>
      <c r="BB183">
        <f>IF($BB$31&lt;=$BB$32,IF($A183&lt;=$BB$7,1,2),IF($A183&lt;=RUNG_BEDS_2,2,1))</f>
        <v>1</v>
      </c>
      <c r="BC183" s="5">
        <f>MIN(1,MAX(0,$BB$26-($A183-1)))</f>
        <v>1</v>
      </c>
      <c r="BD183" s="5">
        <f>$BB$25*(BC183+(1-BC183)*$BB$16)</f>
        <v>252.05322714681438</v>
      </c>
      <c r="BE183" s="13">
        <f>BD183*($BB$6+ACUTE_MARGIN)</f>
        <v>370518.24390581716</v>
      </c>
      <c r="BF183" s="13">
        <f>IF(BB183=1,$BB$31,$BB$32)</f>
        <v>152394.16214437486</v>
      </c>
      <c r="BG183" s="13">
        <f>BE183-BF183</f>
        <v>218124.0817614423</v>
      </c>
      <c r="BH183" s="13">
        <f>BH182+BG183</f>
        <v>21812408.176144216</v>
      </c>
      <c r="BI183">
        <f>IF(BH183=MAX($BH$83:$BH$483),$A183,0)</f>
        <v>0</v>
      </c>
      <c r="BJ183">
        <f>IF(BE183&lt;BF183,$A183,B_MAX+1)</f>
        <v>401.0</v>
      </c>
      <c r="BK183" s="13">
        <f>IF(BB183=1,$BB$35,$BB$36)</f>
        <v>0</v>
      </c>
      <c r="BL183" s="13">
        <f>OCC_DAYS*$BB$41*R_NF_2023-BD183*MCD_SHARE_FREED*R_WAIT_2023</f>
        <v>37367.159242427646</v>
      </c>
      <c r="BM183">
        <f>IF($A183&lt;=$BB$45,1,0)</f>
        <v>1</v>
      </c>
      <c r="CB183">
        <f>IF($CB$31&lt;=$CB$32,IF($A183&lt;=$CB$7,1,2),IF($A183&lt;=RUNG_BEDS_2,2,1))</f>
        <v>2</v>
      </c>
      <c r="CC183" s="5">
        <f>MIN(1,MAX(0,$CB$26-($A183-1)))</f>
        <v>1</v>
      </c>
      <c r="CD183" s="5">
        <f>$CB$25*(CC183+(1-CC183)*$CB$16)</f>
        <v>252.05322714681438</v>
      </c>
      <c r="CE183" s="13">
        <f>CD183*($CB$6+ACUTE_MARGIN)</f>
        <v>254573.7594182825</v>
      </c>
      <c r="CF183" s="13">
        <f>IF(CB183=1,$CB$31,$CB$32)</f>
        <v>160718.36940738867</v>
      </c>
      <c r="CG183" s="13">
        <f>CE183-CF183</f>
        <v>93855.39001089384</v>
      </c>
      <c r="CH183" s="13">
        <f>CH182+CG183</f>
        <v>9385539.001089398</v>
      </c>
      <c r="CI183">
        <f>IF(CH183=MAX($CH$83:$CH$483),$A183,0)</f>
        <v>0</v>
      </c>
      <c r="CJ183">
        <f>IF(CE183&lt;CF183,$A183,B_MAX+1)</f>
        <v>401.0</v>
      </c>
      <c r="CK183" s="13">
        <f>IF(CB183=1,$CB$35,$CB$36)</f>
        <v>1560.1194073886782</v>
      </c>
      <c r="CL183" s="13">
        <f>OCC_DAYS*$CB$41*R_NF_2023-CD183*MCD_SHARE_FREED*R_WAIT_2023</f>
        <v>37367.159242427646</v>
      </c>
      <c r="CM183">
        <f>IF($A183&lt;=$CB$45,1,0)</f>
        <v>1</v>
      </c>
      <c r="DB183">
        <f>IF($DB$31&lt;=$DB$32,IF($A183&lt;=$DB$7,1,2),IF($A183&lt;=RUNG_BEDS_2,2,1))</f>
        <v>1</v>
      </c>
      <c r="DC183" s="5">
        <f>MIN(1,MAX(0,$DB$26-($A183-1)))</f>
        <v>1</v>
      </c>
      <c r="DD183" s="5">
        <f>$DB$25*(DC183+(1-DC183)*$DB$16)</f>
        <v>252.05322714681438</v>
      </c>
      <c r="DE183" s="13">
        <f>DD183*($DB$6+ACUTE_MARGIN)</f>
        <v>254573.7594182825</v>
      </c>
      <c r="DF183" s="13">
        <f>IF(DB183=1,$DB$31,$DB$32)</f>
        <v>152394.16214437486</v>
      </c>
      <c r="DG183" s="13">
        <f>DE183-DF183</f>
        <v>102179.59727390765</v>
      </c>
      <c r="DH183" s="13">
        <f>DH182+DG183</f>
        <v>10217959.72739078</v>
      </c>
      <c r="DI183">
        <f>IF(DH183=MAX($DH$83:$DH$483),$A183,0)</f>
        <v>0</v>
      </c>
      <c r="DJ183">
        <f>IF(DE183&lt;DF183,$A183,B_MAX+1)</f>
        <v>401.0</v>
      </c>
      <c r="DK183" s="13">
        <f>IF(DB183=1,$DB$35,$DB$36)</f>
        <v>0</v>
      </c>
      <c r="DL183" s="13">
        <f>OCC_DAYS*$DB$41*R_NF_2023-DD183*MCD_SHARE_FREED*R_WAIT_2023</f>
        <v>37367.159242427646</v>
      </c>
      <c r="DM183">
        <f>IF($A183&lt;=$DB$45,1,0)</f>
        <v>1</v>
      </c>
      <c r="EB183">
        <f>IF($EB$31&lt;=$EB$32,IF($A183&lt;=$EB$7,1,2),IF($A183&lt;=RUNG_BEDS_2,2,1))</f>
        <v>1</v>
      </c>
      <c r="EC183" s="5">
        <f>MIN(1,MAX(0,$EB$26-($A183-1)))</f>
        <v>1</v>
      </c>
      <c r="ED183" s="5">
        <f>$EB$25*(EC183+(1-EC183)*$EB$16)</f>
        <v>252.05322714681438</v>
      </c>
      <c r="EE183" s="13">
        <f>ED183*($EB$6+ACUTE_MARGIN)</f>
        <v>254573.7594182825</v>
      </c>
      <c r="EF183" s="13">
        <f>IF(EB183=1,$EB$31,$EB$32)</f>
        <v>152394.16214437486</v>
      </c>
      <c r="EG183" s="13">
        <f>EE183-EF183</f>
        <v>102179.59727390765</v>
      </c>
      <c r="EH183" s="13">
        <f>EH182+EG183</f>
        <v>10217959.72739078</v>
      </c>
      <c r="EI183">
        <f>IF(EH183=MAX($EH$83:$EH$483),$A183,0)</f>
        <v>0</v>
      </c>
      <c r="EJ183">
        <f>IF(EE183&lt;EF183,$A183,B_MAX+1)</f>
        <v>401.0</v>
      </c>
      <c r="EK183" s="13">
        <f>IF(EB183=1,$EB$35,$EB$36)</f>
        <v>0</v>
      </c>
      <c r="EL183" s="13">
        <f>OCC_DAYS*$EB$41*R_NF_2023-ED183*MCD_SHARE_FREED*R_WAIT_2023</f>
        <v>-63953.16263896705</v>
      </c>
      <c r="EM183">
        <f>IF($A183&lt;=$EB$45,1,0)</f>
        <v>1</v>
      </c>
      <c r="FB183">
        <f>IF($FB$31&lt;=$FB$32,IF($A183&lt;=$FB$7,1,2),IF($A183&lt;=RUNG_BEDS_2,2,1))</f>
        <v>1</v>
      </c>
      <c r="FC183" s="5">
        <f>MIN(1,MAX(0,$FB$26-($A183-1)))</f>
        <v>1</v>
      </c>
      <c r="FD183" s="5">
        <f>$FB$25*(FC183+(1-FC183)*$FB$16)</f>
        <v>252.05322714681438</v>
      </c>
      <c r="FE183" s="13">
        <f>FD183*($FB$6+ACUTE_MARGIN)</f>
        <v>254573.7594182825</v>
      </c>
      <c r="FF183" s="13">
        <f>IF(FB183=1,$FB$31,$FB$32)</f>
        <v>156636.04979437485</v>
      </c>
      <c r="FG183" s="13">
        <f>FE183-FF183</f>
        <v>97937.70962390766</v>
      </c>
      <c r="FH183" s="13">
        <f>FH182+FG183</f>
        <v>9793770.962390754</v>
      </c>
      <c r="FI183">
        <f>IF(FH183=MAX($FH$83:$FH$483),$A183,0)</f>
        <v>0</v>
      </c>
      <c r="FJ183">
        <f>IF(FE183&lt;FF183,$A183,B_MAX+1)</f>
        <v>401.0</v>
      </c>
      <c r="FK183" s="13">
        <f>IF(FB183=1,$FB$35,$FB$36)</f>
        <v>0</v>
      </c>
      <c r="FL183" s="13">
        <f>OCC_DAYS*$FB$41*R_NF_2023-FD183*MCD_SHARE_FREED*R_WAIT_2023</f>
        <v>37367.159242427646</v>
      </c>
      <c r="FM183">
        <f>IF($A183&lt;=$FB$45,1,0)</f>
        <v>1</v>
      </c>
      <c r="GB183">
        <f>IF($GB$31&lt;=$GB$32,IF($A183&lt;=$GB$7,1,2),IF($A183&lt;=RUNG_BEDS_2,2,1))</f>
        <v>1</v>
      </c>
      <c r="GC183" s="5">
        <f>MIN(1,MAX(0,$GB$26-($A183-1)))</f>
        <v>1</v>
      </c>
      <c r="GD183" s="5">
        <f>$GB$25*(GC183+(1-GC183)*$GB$16)</f>
        <v>252.05322714681438</v>
      </c>
      <c r="GE183" s="13">
        <f>GD183*($GB$6+ACUTE_MARGIN)</f>
        <v>254573.7594182825</v>
      </c>
      <c r="GF183" s="13">
        <f>IF(GB183=1,$GB$31,$GB$32)</f>
        <v>152394.16214437486</v>
      </c>
      <c r="GG183" s="13">
        <f>GE183-GF183</f>
        <v>102179.59727390765</v>
      </c>
      <c r="GH183" s="13">
        <f>GH182+GG183</f>
        <v>10217959.72739078</v>
      </c>
      <c r="GI183">
        <f>IF(GH183=MAX($GH$83:$GH$483),$A183,0)</f>
        <v>0</v>
      </c>
      <c r="GJ183">
        <f>IF(GE183&lt;GF183,$A183,B_MAX+1)</f>
        <v>401.0</v>
      </c>
      <c r="GK183" s="13">
        <f>IF(GB183=1,$GB$35,$GB$36)</f>
        <v>0</v>
      </c>
      <c r="GL183" s="13">
        <f>OCC_DAYS*$GB$41*R_NF_2023-GD183*MCD_SHARE_FREED*R_WAIT_2023</f>
        <v>37367.159242427646</v>
      </c>
      <c r="GM183">
        <f>IF($A183&lt;=$GB$45,1,0)</f>
        <v>1</v>
      </c>
      <c r="HB183">
        <f>IF($HB$31&lt;=$HB$32,IF($A183&lt;=$HB$7,1,2),IF($A183&lt;=RUNG_BEDS_2,2,1))</f>
        <v>1</v>
      </c>
      <c r="HC183" s="5">
        <f>MIN(1,MAX(0,$HB$26-($A183-1)))</f>
        <v>1</v>
      </c>
      <c r="HD183" s="5">
        <f>$HB$25*(HC183+(1-HC183)*$HB$16)</f>
        <v>252.05322714681438</v>
      </c>
      <c r="HE183" s="13">
        <f>HD183*($HB$6+ACUTE_MARGIN)</f>
        <v>254573.7594182825</v>
      </c>
      <c r="HF183" s="13">
        <f>IF(HB183=1,$HB$31,$HB$32)</f>
        <v>152456.2970814058</v>
      </c>
      <c r="HG183" s="13">
        <f>HE183-HF183</f>
        <v>102117.46233687672</v>
      </c>
      <c r="HH183" s="13">
        <f>HH182+HG183</f>
        <v>10211746.233687675</v>
      </c>
      <c r="HI183">
        <f>IF(HH183=MAX($HH$83:$HH$483),$A183,0)</f>
        <v>0</v>
      </c>
      <c r="HJ183">
        <f>IF(HE183&lt;HF183,$A183,B_MAX+1)</f>
        <v>401.0</v>
      </c>
      <c r="HK183" s="13">
        <f>IF(HB183=1,$HB$35,$HB$36)</f>
        <v>0</v>
      </c>
      <c r="HL183" s="13">
        <f>OCC_DAYS*$HB$41*R_NF_2023-HD183*MCD_SHARE_FREED*R_WAIT_2023</f>
        <v>37367.159242427646</v>
      </c>
      <c r="HM183">
        <f>IF($A183&lt;=$HB$45,1,0)</f>
        <v>1</v>
      </c>
      <c r="IB183">
        <f>IF($IB$31&lt;=$IB$32,IF($A183&lt;=$IB$7,1,2),IF($A183&lt;=RUNG_BEDS_2,2,1))</f>
        <v>1</v>
      </c>
      <c r="IC183" s="5">
        <f>MIN(1,MAX(0,$IB$26-($A183-1)))</f>
        <v>1</v>
      </c>
      <c r="ID183" s="5">
        <f>$IB$25*(IC183+(1-IC183)*$IB$16)</f>
        <v>252.05322714681438</v>
      </c>
      <c r="IE183" s="13">
        <f>ID183*($IB$6+ACUTE_MARGIN)</f>
        <v>254573.7594182825</v>
      </c>
      <c r="IF183" s="13">
        <f>IF(IB183=1,$IB$31,$IB$32)</f>
        <v>152734.9994534971</v>
      </c>
      <c r="IG183" s="13">
        <f>IE183-IF183</f>
        <v>101838.75996478542</v>
      </c>
      <c r="IH183" s="13">
        <f>IH182+IG183</f>
        <v>10183875.996478535</v>
      </c>
      <c r="II183">
        <f>IF(IH183=MAX($IH$83:$IH$483),$A183,0)</f>
        <v>0</v>
      </c>
      <c r="IJ183">
        <f>IF(IE183&lt;IF183,$A183,B_MAX+1)</f>
        <v>401.0</v>
      </c>
      <c r="IK183" s="13">
        <f>IF(IB183=1,$IB$35,$IB$36)</f>
        <v>0</v>
      </c>
      <c r="IL183" s="13">
        <f>OCC_DAYS*$IB$41*R_NF_2023-ID183*MCD_SHARE_FREED*R_WAIT_2023</f>
        <v>37367.159242427646</v>
      </c>
      <c r="IM183">
        <f>IF($A183&lt;=$IB$45,1,0)</f>
        <v>1</v>
      </c>
      <c r="JB183">
        <f>IF($JB$31&lt;=$JB$32,IF($A183&lt;=$JB$7,1,2),IF($A183&lt;=RUNG_BEDS_2,2,1))</f>
        <v>1</v>
      </c>
      <c r="JC183" s="5">
        <f>MIN(1,MAX(0,$JB$26-($A183-1)))</f>
        <v>1</v>
      </c>
      <c r="JD183" s="5">
        <f>$JB$25*(JC183+(1-JC183)*$JB$16)</f>
        <v>252.05322714681438</v>
      </c>
      <c r="JE183" s="13">
        <f>JD183*($JB$6+ACUTE_MARGIN)</f>
        <v>254573.7594182825</v>
      </c>
      <c r="JF183" s="13">
        <f>IF(JB183=1,$JB$31,$JB$32)</f>
        <v>152394.16214437486</v>
      </c>
      <c r="JG183" s="13">
        <f>JE183-JF183</f>
        <v>102179.59727390765</v>
      </c>
      <c r="JH183" s="13">
        <f>JH182+JG183</f>
        <v>10217959.72739078</v>
      </c>
      <c r="JI183">
        <f>IF(JH183=MAX($JH$83:$JH$483),$A183,0)</f>
        <v>0</v>
      </c>
      <c r="JJ183">
        <f>IF(JE183&lt;JF183,$A183,B_MAX+1)</f>
        <v>401.0</v>
      </c>
      <c r="JK183" s="13">
        <f>IF(JB183=1,$JB$35,$JB$36)</f>
        <v>0</v>
      </c>
      <c r="JL183" s="13">
        <f>OCC_DAYS*$JB$41*R_NF_2023-JD183*MCD_SHARE_FREED*R_WAIT_2023</f>
        <v>37367.159242427646</v>
      </c>
      <c r="JM183">
        <f>IF($A183&lt;=$JB$45,1,0)</f>
        <v>1</v>
      </c>
      <c r="KB183">
        <f>IF($KB$31&lt;=$KB$32,IF($A183&lt;=$KB$7,1,2),IF($A183&lt;=RUNG_BEDS_2,2,1))</f>
        <v>1</v>
      </c>
      <c r="KC183" s="5">
        <f>MIN(1,MAX(0,$KB$26-($A183-1)))</f>
        <v>1</v>
      </c>
      <c r="KD183" s="5">
        <f>$KB$25*(KC183+(1-KC183)*$KB$16)</f>
        <v>126.02661357340719</v>
      </c>
      <c r="KE183" s="13">
        <f>KD183*($KB$6+ACUTE_MARGIN)</f>
        <v>127286.87970914126</v>
      </c>
      <c r="KF183" s="13">
        <f>IF(KB183=1,$KB$31,$KB$32)</f>
        <v>152394.16214437486</v>
      </c>
      <c r="KG183" s="13">
        <f>KE183-KF183</f>
        <v>-25107.282435233603</v>
      </c>
      <c r="KH183" s="13">
        <f>KH182+KG183</f>
        <v>-2510728.243523366</v>
      </c>
      <c r="KI183">
        <f>IF(KH183=MAX($KH$83:$KH$483),$A183,0)</f>
        <v>0</v>
      </c>
      <c r="KJ183">
        <f>IF(KE183&lt;KF183,$A183,B_MAX+1)</f>
        <v>100</v>
      </c>
      <c r="KK183" s="13">
        <f>IF(KB183=1,$KB$35,$KB$36)</f>
        <v>0</v>
      </c>
      <c r="KL183" s="13">
        <f>OCC_DAYS*$KB$41*R_NF_2023-KD183*MCD_SHARE_FREED*R_WAIT_2023</f>
        <v>94673.82103225985</v>
      </c>
      <c r="KM183">
        <f>IF($A183&lt;=$KB$45,1,0)</f>
        <v>0</v>
      </c>
      <c r="LB183">
        <f>IF($LB$31&lt;=$LB$32,IF($A183&lt;=$LB$7,1,2),IF($A183&lt;=RUNG_BEDS_2,2,1))</f>
        <v>1</v>
      </c>
      <c r="LC183" s="5">
        <f>MIN(1,MAX(0,$LB$26-($A183-1)))</f>
        <v>1</v>
      </c>
      <c r="LD183" s="5">
        <f>$LB$25*(LC183+(1-LC183)*$LB$16)</f>
        <v>84.01774238227146</v>
      </c>
      <c r="LE183" s="13">
        <f>LD183*($LB$6+ACUTE_MARGIN)</f>
        <v>84857.91980609419</v>
      </c>
      <c r="LF183" s="13">
        <f>IF(LB183=1,$LB$31,$LB$32)</f>
        <v>152394.16214437486</v>
      </c>
      <c r="LG183" s="13">
        <f>LE183-LF183</f>
        <v>-67536.24233828067</v>
      </c>
      <c r="LH183" s="13">
        <f>LH182+LG183</f>
        <v>-6753624.233828084</v>
      </c>
      <c r="LI183">
        <f>IF(LH183=MAX($LH$83:$LH$483),$A183,0)</f>
        <v>0</v>
      </c>
      <c r="LJ183">
        <f>IF(LE183&lt;LF183,$A183,B_MAX+1)</f>
        <v>100</v>
      </c>
      <c r="LK183" s="13">
        <f>IF(LB183=1,$LB$35,$LB$36)</f>
        <v>0</v>
      </c>
      <c r="LL183" s="13">
        <f>OCC_DAYS*$LB$41*R_NF_2023-LD183*MCD_SHARE_FREED*R_WAIT_2023</f>
        <v>113776.04162887059</v>
      </c>
      <c r="LM183">
        <f>IF($A183&lt;=$LB$45,1,0)</f>
        <v>0</v>
      </c>
      <c r="MB183">
        <f>IF($MB$31&lt;=$MB$32,IF($A183&lt;=$MB$7,1,2),IF($A183&lt;=RUNG_BEDS_2,2,1))</f>
        <v>1</v>
      </c>
      <c r="MC183" s="5">
        <f>MIN(1,MAX(0,$MB$26-($A183-1)))</f>
        <v>1</v>
      </c>
      <c r="MD183" s="5">
        <f>$MB$25*(MC183+(1-MC183)*$MB$16)</f>
        <v>213.44610951008647</v>
      </c>
      <c r="ME183" s="13">
        <f>MD183*($MB$6+ACUTE_MARGIN)</f>
        <v>215580.57060518733</v>
      </c>
      <c r="MF183" s="13">
        <f>IF(MB183=1,$MB$31,$MB$32)</f>
        <v>152394.16214437486</v>
      </c>
      <c r="MG183" s="13">
        <f>ME183-MF183</f>
        <v>63186.40846081247</v>
      </c>
      <c r="MH183" s="13">
        <f>MH182+MG183</f>
        <v>6318640.846081257</v>
      </c>
      <c r="MI183">
        <f>IF(MH183=MAX($MH$83:$MH$483),$A183,0)</f>
        <v>0</v>
      </c>
      <c r="MJ183">
        <f>IF(ME183&lt;MF183,$A183,B_MAX+1)</f>
        <v>401.0</v>
      </c>
      <c r="MK183" s="13">
        <f>IF(MB183=1,$MB$35,$MB$36)</f>
        <v>0</v>
      </c>
      <c r="ML183" s="13">
        <f>OCC_DAYS*$MB$41*R_NF_2023-MD183*MCD_SHARE_FREED*R_WAIT_2023</f>
        <v>54922.538779778624</v>
      </c>
      <c r="MM183">
        <f>IF($A183&lt;=$MB$45,1,0)</f>
        <v>1</v>
      </c>
      <c r="NB183">
        <f>IF($NB$31&lt;=$NB$32,IF($A183&lt;=$NB$7,1,2),IF($A183&lt;=RUNG_BEDS_2,2,1))</f>
        <v>1</v>
      </c>
      <c r="NC183" s="5">
        <f>MIN(1,MAX(0,$NB$26-($A183-1)))</f>
        <v>1</v>
      </c>
      <c r="ND183" s="5">
        <f>$NB$25*(NC183+(1-NC183)*$NB$16)</f>
        <v>252.05322714681438</v>
      </c>
      <c r="NE183" s="13">
        <f>ND183*($NB$6+ACUTE_MARGIN)</f>
        <v>254573.7594182825</v>
      </c>
      <c r="NF183" s="13">
        <f>IF(NB183=1,$NB$31,$NB$32)</f>
        <v>152394.16214437486</v>
      </c>
      <c r="NG183" s="13">
        <f>NE183-NF183</f>
        <v>102179.59727390765</v>
      </c>
      <c r="NH183" s="13">
        <f>NH182+NG183</f>
        <v>10217959.72739078</v>
      </c>
      <c r="NI183">
        <f>IF(NH183=MAX($NH$83:$NH$483),$A183,0)</f>
        <v>0</v>
      </c>
      <c r="NJ183">
        <f>IF(NE183&lt;NF183,$A183,B_MAX+1)</f>
        <v>401.0</v>
      </c>
      <c r="NK183" s="13">
        <f>IF(NB183=1,$NB$35,$NB$36)</f>
        <v>0</v>
      </c>
      <c r="NL183" s="13">
        <f>OCC_DAYS*$NB$41*R_NF_2023-ND183*MCD_SHARE_FREED*R_WAIT_2023</f>
        <v>37367.159242427646</v>
      </c>
      <c r="NM183">
        <f>IF($A183&lt;=$NB$45,1,0)</f>
        <v>1</v>
      </c>
      <c r="OB183">
        <f>IF($OB$31&lt;=$OB$32,IF($A183&lt;=$OB$7,1,2),IF($A183&lt;=RUNG_BEDS_2,2,1))</f>
        <v>1</v>
      </c>
      <c r="OC183" s="5">
        <f>MIN(1,MAX(0,$OB$26-($A183-1)))</f>
        <v>1</v>
      </c>
      <c r="OD183" s="5">
        <f>$OB$25*(OC183+(1-OC183)*$OB$16)</f>
        <v>252.05322714681438</v>
      </c>
      <c r="OE183" s="13">
        <f>OD183*($OB$6+ACUTE_MARGIN)</f>
        <v>254573.7594182825</v>
      </c>
      <c r="OF183" s="13">
        <f>IF(OB183=1,$OB$31,$OB$32)</f>
        <v>152394.16214437486</v>
      </c>
      <c r="OG183" s="13">
        <f>OE183-OF183</f>
        <v>102179.59727390765</v>
      </c>
      <c r="OH183" s="13">
        <f>OH182+OG183</f>
        <v>10217959.72739078</v>
      </c>
      <c r="OI183">
        <f>IF(OH183=MAX($OH$83:$OH$483),$A183,0)</f>
        <v>0</v>
      </c>
      <c r="OJ183">
        <f>IF(OE183&lt;OF183,$A183,B_MAX+1)</f>
        <v>401.0</v>
      </c>
      <c r="OK183" s="13">
        <f>IF(OB183=1,$OB$35,$OB$36)</f>
        <v>0</v>
      </c>
      <c r="OL183" s="13">
        <f>OCC_DAYS*$OB$41*R_NF_2023-OD183*MCD_SHARE_FREED*R_WAIT_2023</f>
        <v>37367.159242427646</v>
      </c>
      <c r="OM183">
        <f>IF($A183&lt;=$OB$45,1,0)</f>
        <v>1</v>
      </c>
    </row>
    <row r="184">
      <c r="A184" t="n">
        <v>101</v>
      </c>
      <c r="B184">
        <f>IF($B$31&lt;=$B$32,IF($A184&lt;=$B$7,1,2),IF($A184&lt;=RUNG_BEDS_2,2,1))</f>
        <v>1</v>
      </c>
      <c r="C184" s="5">
        <f>MIN(1,MAX(0,$B$26-($A184-1)))</f>
        <v>1</v>
      </c>
      <c r="D184" s="5">
        <f>$B$25*(C184+(1-C184)*$B$16)</f>
        <v>252.05322714681438</v>
      </c>
      <c r="E184" s="13">
        <f>D184*($B$6+ACUTE_MARGIN)</f>
        <v>254573.7594182825</v>
      </c>
      <c r="F184" s="13">
        <f>IF(B184=1,$B$31,$B$32)</f>
        <v>152394.16214437486</v>
      </c>
      <c r="G184" s="13">
        <f>E184-F184</f>
        <v>102179.59727390765</v>
      </c>
      <c r="H184" s="13">
        <f>H183+G184</f>
        <v>10320139.324664688</v>
      </c>
      <c r="I184">
        <f>IF(H184=MAX($H$83:$H$483),$A184,0)</f>
        <v>0</v>
      </c>
      <c r="J184">
        <f>IF(E184&lt;F184,$A184,B_MAX+1)</f>
        <v>401.0</v>
      </c>
      <c r="K184" s="13">
        <f>IF(B184=1,$B$35,$B$36)</f>
        <v>0</v>
      </c>
      <c r="L184" s="13">
        <f>OCC_DAYS*$B$41*R_NF_2023-D184*MCD_SHARE_FREED*R_WAIT_2023</f>
        <v>37367.159242427646</v>
      </c>
      <c r="M184">
        <f>IF($A184&lt;=$B$45,1,0)</f>
        <v>1</v>
      </c>
      <c r="AB184">
        <f>IF($AB$31&lt;=$AB$32,IF($A184&lt;=$AB$7,1,2),IF($A184&lt;=RUNG_BEDS_2,2,1))</f>
        <v>1</v>
      </c>
      <c r="AC184" s="5">
        <f>MIN(1,MAX(0,$AB$26-($A184-1)))</f>
        <v>1</v>
      </c>
      <c r="AD184" s="5">
        <f>$AB$25*(AC184+(1-AC184)*$AB$16)</f>
        <v>252.05322714681438</v>
      </c>
      <c r="AE184" s="13">
        <f>AD184*($AB$6+ACUTE_MARGIN)</f>
        <v>138629.2749307479</v>
      </c>
      <c r="AF184" s="13">
        <f>IF(AB184=1,$AB$31,$AB$32)</f>
        <v>152394.16214437486</v>
      </c>
      <c r="AG184" s="13">
        <f>AE184-AF184</f>
        <v>-13764.887213626964</v>
      </c>
      <c r="AH184" s="13">
        <f>AH183+AG184</f>
        <v>-1390253.608576323</v>
      </c>
      <c r="AI184">
        <f>IF(AH184=MAX($AH$83:$AH$483),$A184,0)</f>
        <v>0</v>
      </c>
      <c r="AJ184">
        <f>IF(AE184&lt;AF184,$A184,B_MAX+1)</f>
        <v>101</v>
      </c>
      <c r="AK184" s="13">
        <f>IF(AB184=1,$AB$35,$AB$36)</f>
        <v>0</v>
      </c>
      <c r="AL184" s="13">
        <f>OCC_DAYS*$AB$41*R_NF_2023-AD184*MCD_SHARE_FREED*R_WAIT_2023</f>
        <v>37367.159242427646</v>
      </c>
      <c r="AM184">
        <f>IF($A184&lt;=$AB$45,1,0)</f>
        <v>0</v>
      </c>
      <c r="BB184">
        <f>IF($BB$31&lt;=$BB$32,IF($A184&lt;=$BB$7,1,2),IF($A184&lt;=RUNG_BEDS_2,2,1))</f>
        <v>1</v>
      </c>
      <c r="BC184" s="5">
        <f>MIN(1,MAX(0,$BB$26-($A184-1)))</f>
        <v>1</v>
      </c>
      <c r="BD184" s="5">
        <f>$BB$25*(BC184+(1-BC184)*$BB$16)</f>
        <v>252.05322714681438</v>
      </c>
      <c r="BE184" s="13">
        <f>BD184*($BB$6+ACUTE_MARGIN)</f>
        <v>370518.24390581716</v>
      </c>
      <c r="BF184" s="13">
        <f>IF(BB184=1,$BB$31,$BB$32)</f>
        <v>152394.16214437486</v>
      </c>
      <c r="BG184" s="13">
        <f>BE184-BF184</f>
        <v>218124.0817614423</v>
      </c>
      <c r="BH184" s="13">
        <f>BH183+BG184</f>
        <v>22030532.25790566</v>
      </c>
      <c r="BI184">
        <f>IF(BH184=MAX($BH$83:$BH$483),$A184,0)</f>
        <v>0</v>
      </c>
      <c r="BJ184">
        <f>IF(BE184&lt;BF184,$A184,B_MAX+1)</f>
        <v>401.0</v>
      </c>
      <c r="BK184" s="13">
        <f>IF(BB184=1,$BB$35,$BB$36)</f>
        <v>0</v>
      </c>
      <c r="BL184" s="13">
        <f>OCC_DAYS*$BB$41*R_NF_2023-BD184*MCD_SHARE_FREED*R_WAIT_2023</f>
        <v>37367.159242427646</v>
      </c>
      <c r="BM184">
        <f>IF($A184&lt;=$BB$45,1,0)</f>
        <v>1</v>
      </c>
      <c r="CB184">
        <f>IF($CB$31&lt;=$CB$32,IF($A184&lt;=$CB$7,1,2),IF($A184&lt;=RUNG_BEDS_2,2,1))</f>
        <v>2</v>
      </c>
      <c r="CC184" s="5">
        <f>MIN(1,MAX(0,$CB$26-($A184-1)))</f>
        <v>1</v>
      </c>
      <c r="CD184" s="5">
        <f>$CB$25*(CC184+(1-CC184)*$CB$16)</f>
        <v>252.05322714681438</v>
      </c>
      <c r="CE184" s="13">
        <f>CD184*($CB$6+ACUTE_MARGIN)</f>
        <v>254573.7594182825</v>
      </c>
      <c r="CF184" s="13">
        <f>IF(CB184=1,$CB$31,$CB$32)</f>
        <v>160718.36940738867</v>
      </c>
      <c r="CG184" s="13">
        <f>CE184-CF184</f>
        <v>93855.39001089384</v>
      </c>
      <c r="CH184" s="13">
        <f>CH183+CG184</f>
        <v>9479394.391100291</v>
      </c>
      <c r="CI184">
        <f>IF(CH184=MAX($CH$83:$CH$483),$A184,0)</f>
        <v>0</v>
      </c>
      <c r="CJ184">
        <f>IF(CE184&lt;CF184,$A184,B_MAX+1)</f>
        <v>401.0</v>
      </c>
      <c r="CK184" s="13">
        <f>IF(CB184=1,$CB$35,$CB$36)</f>
        <v>1560.1194073886782</v>
      </c>
      <c r="CL184" s="13">
        <f>OCC_DAYS*$CB$41*R_NF_2023-CD184*MCD_SHARE_FREED*R_WAIT_2023</f>
        <v>37367.159242427646</v>
      </c>
      <c r="CM184">
        <f>IF($A184&lt;=$CB$45,1,0)</f>
        <v>1</v>
      </c>
      <c r="DB184">
        <f>IF($DB$31&lt;=$DB$32,IF($A184&lt;=$DB$7,1,2),IF($A184&lt;=RUNG_BEDS_2,2,1))</f>
        <v>1</v>
      </c>
      <c r="DC184" s="5">
        <f>MIN(1,MAX(0,$DB$26-($A184-1)))</f>
        <v>1</v>
      </c>
      <c r="DD184" s="5">
        <f>$DB$25*(DC184+(1-DC184)*$DB$16)</f>
        <v>252.05322714681438</v>
      </c>
      <c r="DE184" s="13">
        <f>DD184*($DB$6+ACUTE_MARGIN)</f>
        <v>254573.7594182825</v>
      </c>
      <c r="DF184" s="13">
        <f>IF(DB184=1,$DB$31,$DB$32)</f>
        <v>152394.16214437486</v>
      </c>
      <c r="DG184" s="13">
        <f>DE184-DF184</f>
        <v>102179.59727390765</v>
      </c>
      <c r="DH184" s="13">
        <f>DH183+DG184</f>
        <v>10320139.324664688</v>
      </c>
      <c r="DI184">
        <f>IF(DH184=MAX($DH$83:$DH$483),$A184,0)</f>
        <v>0</v>
      </c>
      <c r="DJ184">
        <f>IF(DE184&lt;DF184,$A184,B_MAX+1)</f>
        <v>401.0</v>
      </c>
      <c r="DK184" s="13">
        <f>IF(DB184=1,$DB$35,$DB$36)</f>
        <v>0</v>
      </c>
      <c r="DL184" s="13">
        <f>OCC_DAYS*$DB$41*R_NF_2023-DD184*MCD_SHARE_FREED*R_WAIT_2023</f>
        <v>37367.159242427646</v>
      </c>
      <c r="DM184">
        <f>IF($A184&lt;=$DB$45,1,0)</f>
        <v>1</v>
      </c>
      <c r="EB184">
        <f>IF($EB$31&lt;=$EB$32,IF($A184&lt;=$EB$7,1,2),IF($A184&lt;=RUNG_BEDS_2,2,1))</f>
        <v>1</v>
      </c>
      <c r="EC184" s="5">
        <f>MIN(1,MAX(0,$EB$26-($A184-1)))</f>
        <v>1</v>
      </c>
      <c r="ED184" s="5">
        <f>$EB$25*(EC184+(1-EC184)*$EB$16)</f>
        <v>252.05322714681438</v>
      </c>
      <c r="EE184" s="13">
        <f>ED184*($EB$6+ACUTE_MARGIN)</f>
        <v>254573.7594182825</v>
      </c>
      <c r="EF184" s="13">
        <f>IF(EB184=1,$EB$31,$EB$32)</f>
        <v>152394.16214437486</v>
      </c>
      <c r="EG184" s="13">
        <f>EE184-EF184</f>
        <v>102179.59727390765</v>
      </c>
      <c r="EH184" s="13">
        <f>EH183+EG184</f>
        <v>10320139.324664688</v>
      </c>
      <c r="EI184">
        <f>IF(EH184=MAX($EH$83:$EH$483),$A184,0)</f>
        <v>0</v>
      </c>
      <c r="EJ184">
        <f>IF(EE184&lt;EF184,$A184,B_MAX+1)</f>
        <v>401.0</v>
      </c>
      <c r="EK184" s="13">
        <f>IF(EB184=1,$EB$35,$EB$36)</f>
        <v>0</v>
      </c>
      <c r="EL184" s="13">
        <f>OCC_DAYS*$EB$41*R_NF_2023-ED184*MCD_SHARE_FREED*R_WAIT_2023</f>
        <v>-63953.16263896705</v>
      </c>
      <c r="EM184">
        <f>IF($A184&lt;=$EB$45,1,0)</f>
        <v>1</v>
      </c>
      <c r="FB184">
        <f>IF($FB$31&lt;=$FB$32,IF($A184&lt;=$FB$7,1,2),IF($A184&lt;=RUNG_BEDS_2,2,1))</f>
        <v>1</v>
      </c>
      <c r="FC184" s="5">
        <f>MIN(1,MAX(0,$FB$26-($A184-1)))</f>
        <v>1</v>
      </c>
      <c r="FD184" s="5">
        <f>$FB$25*(FC184+(1-FC184)*$FB$16)</f>
        <v>252.05322714681438</v>
      </c>
      <c r="FE184" s="13">
        <f>FD184*($FB$6+ACUTE_MARGIN)</f>
        <v>254573.7594182825</v>
      </c>
      <c r="FF184" s="13">
        <f>IF(FB184=1,$FB$31,$FB$32)</f>
        <v>156636.04979437485</v>
      </c>
      <c r="FG184" s="13">
        <f>FE184-FF184</f>
        <v>97937.70962390766</v>
      </c>
      <c r="FH184" s="13">
        <f>FH183+FG184</f>
        <v>9891708.672014661</v>
      </c>
      <c r="FI184">
        <f>IF(FH184=MAX($FH$83:$FH$483),$A184,0)</f>
        <v>0</v>
      </c>
      <c r="FJ184">
        <f>IF(FE184&lt;FF184,$A184,B_MAX+1)</f>
        <v>401.0</v>
      </c>
      <c r="FK184" s="13">
        <f>IF(FB184=1,$FB$35,$FB$36)</f>
        <v>0</v>
      </c>
      <c r="FL184" s="13">
        <f>OCC_DAYS*$FB$41*R_NF_2023-FD184*MCD_SHARE_FREED*R_WAIT_2023</f>
        <v>37367.159242427646</v>
      </c>
      <c r="FM184">
        <f>IF($A184&lt;=$FB$45,1,0)</f>
        <v>1</v>
      </c>
      <c r="GB184">
        <f>IF($GB$31&lt;=$GB$32,IF($A184&lt;=$GB$7,1,2),IF($A184&lt;=RUNG_BEDS_2,2,1))</f>
        <v>1</v>
      </c>
      <c r="GC184" s="5">
        <f>MIN(1,MAX(0,$GB$26-($A184-1)))</f>
        <v>1</v>
      </c>
      <c r="GD184" s="5">
        <f>$GB$25*(GC184+(1-GC184)*$GB$16)</f>
        <v>252.05322714681438</v>
      </c>
      <c r="GE184" s="13">
        <f>GD184*($GB$6+ACUTE_MARGIN)</f>
        <v>254573.7594182825</v>
      </c>
      <c r="GF184" s="13">
        <f>IF(GB184=1,$GB$31,$GB$32)</f>
        <v>152394.16214437486</v>
      </c>
      <c r="GG184" s="13">
        <f>GE184-GF184</f>
        <v>102179.59727390765</v>
      </c>
      <c r="GH184" s="13">
        <f>GH183+GG184</f>
        <v>10320139.324664688</v>
      </c>
      <c r="GI184">
        <f>IF(GH184=MAX($GH$83:$GH$483),$A184,0)</f>
        <v>0</v>
      </c>
      <c r="GJ184">
        <f>IF(GE184&lt;GF184,$A184,B_MAX+1)</f>
        <v>401.0</v>
      </c>
      <c r="GK184" s="13">
        <f>IF(GB184=1,$GB$35,$GB$36)</f>
        <v>0</v>
      </c>
      <c r="GL184" s="13">
        <f>OCC_DAYS*$GB$41*R_NF_2023-GD184*MCD_SHARE_FREED*R_WAIT_2023</f>
        <v>37367.159242427646</v>
      </c>
      <c r="GM184">
        <f>IF($A184&lt;=$GB$45,1,0)</f>
        <v>1</v>
      </c>
      <c r="HB184">
        <f>IF($HB$31&lt;=$HB$32,IF($A184&lt;=$HB$7,1,2),IF($A184&lt;=RUNG_BEDS_2,2,1))</f>
        <v>1</v>
      </c>
      <c r="HC184" s="5">
        <f>MIN(1,MAX(0,$HB$26-($A184-1)))</f>
        <v>1</v>
      </c>
      <c r="HD184" s="5">
        <f>$HB$25*(HC184+(1-HC184)*$HB$16)</f>
        <v>252.05322714681438</v>
      </c>
      <c r="HE184" s="13">
        <f>HD184*($HB$6+ACUTE_MARGIN)</f>
        <v>254573.7594182825</v>
      </c>
      <c r="HF184" s="13">
        <f>IF(HB184=1,$HB$31,$HB$32)</f>
        <v>152456.2970814058</v>
      </c>
      <c r="HG184" s="13">
        <f>HE184-HF184</f>
        <v>102117.46233687672</v>
      </c>
      <c r="HH184" s="13">
        <f>HH183+HG184</f>
        <v>10313863.696024552</v>
      </c>
      <c r="HI184">
        <f>IF(HH184=MAX($HH$83:$HH$483),$A184,0)</f>
        <v>0</v>
      </c>
      <c r="HJ184">
        <f>IF(HE184&lt;HF184,$A184,B_MAX+1)</f>
        <v>401.0</v>
      </c>
      <c r="HK184" s="13">
        <f>IF(HB184=1,$HB$35,$HB$36)</f>
        <v>0</v>
      </c>
      <c r="HL184" s="13">
        <f>OCC_DAYS*$HB$41*R_NF_2023-HD184*MCD_SHARE_FREED*R_WAIT_2023</f>
        <v>37367.159242427646</v>
      </c>
      <c r="HM184">
        <f>IF($A184&lt;=$HB$45,1,0)</f>
        <v>1</v>
      </c>
      <c r="IB184">
        <f>IF($IB$31&lt;=$IB$32,IF($A184&lt;=$IB$7,1,2),IF($A184&lt;=RUNG_BEDS_2,2,1))</f>
        <v>1</v>
      </c>
      <c r="IC184" s="5">
        <f>MIN(1,MAX(0,$IB$26-($A184-1)))</f>
        <v>1</v>
      </c>
      <c r="ID184" s="5">
        <f>$IB$25*(IC184+(1-IC184)*$IB$16)</f>
        <v>252.05322714681438</v>
      </c>
      <c r="IE184" s="13">
        <f>ID184*($IB$6+ACUTE_MARGIN)</f>
        <v>254573.7594182825</v>
      </c>
      <c r="IF184" s="13">
        <f>IF(IB184=1,$IB$31,$IB$32)</f>
        <v>152734.9994534971</v>
      </c>
      <c r="IG184" s="13">
        <f>IE184-IF184</f>
        <v>101838.75996478542</v>
      </c>
      <c r="IH184" s="13">
        <f>IH183+IG184</f>
        <v>10285714.75644332</v>
      </c>
      <c r="II184">
        <f>IF(IH184=MAX($IH$83:$IH$483),$A184,0)</f>
        <v>0</v>
      </c>
      <c r="IJ184">
        <f>IF(IE184&lt;IF184,$A184,B_MAX+1)</f>
        <v>401.0</v>
      </c>
      <c r="IK184" s="13">
        <f>IF(IB184=1,$IB$35,$IB$36)</f>
        <v>0</v>
      </c>
      <c r="IL184" s="13">
        <f>OCC_DAYS*$IB$41*R_NF_2023-ID184*MCD_SHARE_FREED*R_WAIT_2023</f>
        <v>37367.159242427646</v>
      </c>
      <c r="IM184">
        <f>IF($A184&lt;=$IB$45,1,0)</f>
        <v>1</v>
      </c>
      <c r="JB184">
        <f>IF($JB$31&lt;=$JB$32,IF($A184&lt;=$JB$7,1,2),IF($A184&lt;=RUNG_BEDS_2,2,1))</f>
        <v>1</v>
      </c>
      <c r="JC184" s="5">
        <f>MIN(1,MAX(0,$JB$26-($A184-1)))</f>
        <v>1</v>
      </c>
      <c r="JD184" s="5">
        <f>$JB$25*(JC184+(1-JC184)*$JB$16)</f>
        <v>252.05322714681438</v>
      </c>
      <c r="JE184" s="13">
        <f>JD184*($JB$6+ACUTE_MARGIN)</f>
        <v>254573.7594182825</v>
      </c>
      <c r="JF184" s="13">
        <f>IF(JB184=1,$JB$31,$JB$32)</f>
        <v>152394.16214437486</v>
      </c>
      <c r="JG184" s="13">
        <f>JE184-JF184</f>
        <v>102179.59727390765</v>
      </c>
      <c r="JH184" s="13">
        <f>JH183+JG184</f>
        <v>10320139.324664688</v>
      </c>
      <c r="JI184">
        <f>IF(JH184=MAX($JH$83:$JH$483),$A184,0)</f>
        <v>0</v>
      </c>
      <c r="JJ184">
        <f>IF(JE184&lt;JF184,$A184,B_MAX+1)</f>
        <v>401.0</v>
      </c>
      <c r="JK184" s="13">
        <f>IF(JB184=1,$JB$35,$JB$36)</f>
        <v>0</v>
      </c>
      <c r="JL184" s="13">
        <f>OCC_DAYS*$JB$41*R_NF_2023-JD184*MCD_SHARE_FREED*R_WAIT_2023</f>
        <v>37367.159242427646</v>
      </c>
      <c r="JM184">
        <f>IF($A184&lt;=$JB$45,1,0)</f>
        <v>1</v>
      </c>
      <c r="KB184">
        <f>IF($KB$31&lt;=$KB$32,IF($A184&lt;=$KB$7,1,2),IF($A184&lt;=RUNG_BEDS_2,2,1))</f>
        <v>1</v>
      </c>
      <c r="KC184" s="5">
        <f>MIN(1,MAX(0,$KB$26-($A184-1)))</f>
        <v>1</v>
      </c>
      <c r="KD184" s="5">
        <f>$KB$25*(KC184+(1-KC184)*$KB$16)</f>
        <v>126.02661357340719</v>
      </c>
      <c r="KE184" s="13">
        <f>KD184*($KB$6+ACUTE_MARGIN)</f>
        <v>127286.87970914126</v>
      </c>
      <c r="KF184" s="13">
        <f>IF(KB184=1,$KB$31,$KB$32)</f>
        <v>152394.16214437486</v>
      </c>
      <c r="KG184" s="13">
        <f>KE184-KF184</f>
        <v>-25107.282435233603</v>
      </c>
      <c r="KH184" s="13">
        <f>KH183+KG184</f>
        <v>-2535835.5259585995</v>
      </c>
      <c r="KI184">
        <f>IF(KH184=MAX($KH$83:$KH$483),$A184,0)</f>
        <v>0</v>
      </c>
      <c r="KJ184">
        <f>IF(KE184&lt;KF184,$A184,B_MAX+1)</f>
        <v>101</v>
      </c>
      <c r="KK184" s="13">
        <f>IF(KB184=1,$KB$35,$KB$36)</f>
        <v>0</v>
      </c>
      <c r="KL184" s="13">
        <f>OCC_DAYS*$KB$41*R_NF_2023-KD184*MCD_SHARE_FREED*R_WAIT_2023</f>
        <v>94673.82103225985</v>
      </c>
      <c r="KM184">
        <f>IF($A184&lt;=$KB$45,1,0)</f>
        <v>0</v>
      </c>
      <c r="LB184">
        <f>IF($LB$31&lt;=$LB$32,IF($A184&lt;=$LB$7,1,2),IF($A184&lt;=RUNG_BEDS_2,2,1))</f>
        <v>1</v>
      </c>
      <c r="LC184" s="5">
        <f>MIN(1,MAX(0,$LB$26-($A184-1)))</f>
        <v>1</v>
      </c>
      <c r="LD184" s="5">
        <f>$LB$25*(LC184+(1-LC184)*$LB$16)</f>
        <v>84.01774238227146</v>
      </c>
      <c r="LE184" s="13">
        <f>LD184*($LB$6+ACUTE_MARGIN)</f>
        <v>84857.91980609419</v>
      </c>
      <c r="LF184" s="13">
        <f>IF(LB184=1,$LB$31,$LB$32)</f>
        <v>152394.16214437486</v>
      </c>
      <c r="LG184" s="13">
        <f>LE184-LF184</f>
        <v>-67536.24233828067</v>
      </c>
      <c r="LH184" s="13">
        <f>LH183+LG184</f>
        <v>-6821160.476166365</v>
      </c>
      <c r="LI184">
        <f>IF(LH184=MAX($LH$83:$LH$483),$A184,0)</f>
        <v>0</v>
      </c>
      <c r="LJ184">
        <f>IF(LE184&lt;LF184,$A184,B_MAX+1)</f>
        <v>101</v>
      </c>
      <c r="LK184" s="13">
        <f>IF(LB184=1,$LB$35,$LB$36)</f>
        <v>0</v>
      </c>
      <c r="LL184" s="13">
        <f>OCC_DAYS*$LB$41*R_NF_2023-LD184*MCD_SHARE_FREED*R_WAIT_2023</f>
        <v>113776.04162887059</v>
      </c>
      <c r="LM184">
        <f>IF($A184&lt;=$LB$45,1,0)</f>
        <v>0</v>
      </c>
      <c r="MB184">
        <f>IF($MB$31&lt;=$MB$32,IF($A184&lt;=$MB$7,1,2),IF($A184&lt;=RUNG_BEDS_2,2,1))</f>
        <v>1</v>
      </c>
      <c r="MC184" s="5">
        <f>MIN(1,MAX(0,$MB$26-($A184-1)))</f>
        <v>1</v>
      </c>
      <c r="MD184" s="5">
        <f>$MB$25*(MC184+(1-MC184)*$MB$16)</f>
        <v>213.44610951008647</v>
      </c>
      <c r="ME184" s="13">
        <f>MD184*($MB$6+ACUTE_MARGIN)</f>
        <v>215580.57060518733</v>
      </c>
      <c r="MF184" s="13">
        <f>IF(MB184=1,$MB$31,$MB$32)</f>
        <v>152394.16214437486</v>
      </c>
      <c r="MG184" s="13">
        <f>ME184-MF184</f>
        <v>63186.40846081247</v>
      </c>
      <c r="MH184" s="13">
        <f>MH183+MG184</f>
        <v>6381827.2545420695</v>
      </c>
      <c r="MI184">
        <f>IF(MH184=MAX($MH$83:$MH$483),$A184,0)</f>
        <v>0</v>
      </c>
      <c r="MJ184">
        <f>IF(ME184&lt;MF184,$A184,B_MAX+1)</f>
        <v>401.0</v>
      </c>
      <c r="MK184" s="13">
        <f>IF(MB184=1,$MB$35,$MB$36)</f>
        <v>0</v>
      </c>
      <c r="ML184" s="13">
        <f>OCC_DAYS*$MB$41*R_NF_2023-MD184*MCD_SHARE_FREED*R_WAIT_2023</f>
        <v>54922.538779778624</v>
      </c>
      <c r="MM184">
        <f>IF($A184&lt;=$MB$45,1,0)</f>
        <v>1</v>
      </c>
      <c r="NB184">
        <f>IF($NB$31&lt;=$NB$32,IF($A184&lt;=$NB$7,1,2),IF($A184&lt;=RUNG_BEDS_2,2,1))</f>
        <v>1</v>
      </c>
      <c r="NC184" s="5">
        <f>MIN(1,MAX(0,$NB$26-($A184-1)))</f>
        <v>1</v>
      </c>
      <c r="ND184" s="5">
        <f>$NB$25*(NC184+(1-NC184)*$NB$16)</f>
        <v>252.05322714681438</v>
      </c>
      <c r="NE184" s="13">
        <f>ND184*($NB$6+ACUTE_MARGIN)</f>
        <v>254573.7594182825</v>
      </c>
      <c r="NF184" s="13">
        <f>IF(NB184=1,$NB$31,$NB$32)</f>
        <v>152394.16214437486</v>
      </c>
      <c r="NG184" s="13">
        <f>NE184-NF184</f>
        <v>102179.59727390765</v>
      </c>
      <c r="NH184" s="13">
        <f>NH183+NG184</f>
        <v>10320139.324664688</v>
      </c>
      <c r="NI184">
        <f>IF(NH184=MAX($NH$83:$NH$483),$A184,0)</f>
        <v>0</v>
      </c>
      <c r="NJ184">
        <f>IF(NE184&lt;NF184,$A184,B_MAX+1)</f>
        <v>401.0</v>
      </c>
      <c r="NK184" s="13">
        <f>IF(NB184=1,$NB$35,$NB$36)</f>
        <v>0</v>
      </c>
      <c r="NL184" s="13">
        <f>OCC_DAYS*$NB$41*R_NF_2023-ND184*MCD_SHARE_FREED*R_WAIT_2023</f>
        <v>37367.159242427646</v>
      </c>
      <c r="NM184">
        <f>IF($A184&lt;=$NB$45,1,0)</f>
        <v>1</v>
      </c>
      <c r="OB184">
        <f>IF($OB$31&lt;=$OB$32,IF($A184&lt;=$OB$7,1,2),IF($A184&lt;=RUNG_BEDS_2,2,1))</f>
        <v>1</v>
      </c>
      <c r="OC184" s="5">
        <f>MIN(1,MAX(0,$OB$26-($A184-1)))</f>
        <v>1</v>
      </c>
      <c r="OD184" s="5">
        <f>$OB$25*(OC184+(1-OC184)*$OB$16)</f>
        <v>252.05322714681438</v>
      </c>
      <c r="OE184" s="13">
        <f>OD184*($OB$6+ACUTE_MARGIN)</f>
        <v>254573.7594182825</v>
      </c>
      <c r="OF184" s="13">
        <f>IF(OB184=1,$OB$31,$OB$32)</f>
        <v>152394.16214437486</v>
      </c>
      <c r="OG184" s="13">
        <f>OE184-OF184</f>
        <v>102179.59727390765</v>
      </c>
      <c r="OH184" s="13">
        <f>OH183+OG184</f>
        <v>10320139.324664688</v>
      </c>
      <c r="OI184">
        <f>IF(OH184=MAX($OH$83:$OH$483),$A184,0)</f>
        <v>0</v>
      </c>
      <c r="OJ184">
        <f>IF(OE184&lt;OF184,$A184,B_MAX+1)</f>
        <v>401.0</v>
      </c>
      <c r="OK184" s="13">
        <f>IF(OB184=1,$OB$35,$OB$36)</f>
        <v>0</v>
      </c>
      <c r="OL184" s="13">
        <f>OCC_DAYS*$OB$41*R_NF_2023-OD184*MCD_SHARE_FREED*R_WAIT_2023</f>
        <v>37367.159242427646</v>
      </c>
      <c r="OM184">
        <f>IF($A184&lt;=$OB$45,1,0)</f>
        <v>1</v>
      </c>
    </row>
    <row r="185">
      <c r="A185" t="n">
        <v>102</v>
      </c>
      <c r="B185">
        <f>IF($B$31&lt;=$B$32,IF($A185&lt;=$B$7,1,2),IF($A185&lt;=RUNG_BEDS_2,2,1))</f>
        <v>1</v>
      </c>
      <c r="C185" s="5">
        <f>MIN(1,MAX(0,$B$26-($A185-1)))</f>
        <v>1</v>
      </c>
      <c r="D185" s="5">
        <f>$B$25*(C185+(1-C185)*$B$16)</f>
        <v>252.05322714681438</v>
      </c>
      <c r="E185" s="13">
        <f>D185*($B$6+ACUTE_MARGIN)</f>
        <v>254573.7594182825</v>
      </c>
      <c r="F185" s="13">
        <f>IF(B185=1,$B$31,$B$32)</f>
        <v>152394.16214437486</v>
      </c>
      <c r="G185" s="13">
        <f>E185-F185</f>
        <v>102179.59727390765</v>
      </c>
      <c r="H185" s="13">
        <f>H184+G185</f>
        <v>10422318.921938596</v>
      </c>
      <c r="I185">
        <f>IF(H185=MAX($H$83:$H$483),$A185,0)</f>
        <v>0</v>
      </c>
      <c r="J185">
        <f>IF(E185&lt;F185,$A185,B_MAX+1)</f>
        <v>401.0</v>
      </c>
      <c r="K185" s="13">
        <f>IF(B185=1,$B$35,$B$36)</f>
        <v>0</v>
      </c>
      <c r="L185" s="13">
        <f>OCC_DAYS*$B$41*R_NF_2023-D185*MCD_SHARE_FREED*R_WAIT_2023</f>
        <v>37367.159242427646</v>
      </c>
      <c r="M185">
        <f>IF($A185&lt;=$B$45,1,0)</f>
        <v>1</v>
      </c>
      <c r="AB185">
        <f>IF($AB$31&lt;=$AB$32,IF($A185&lt;=$AB$7,1,2),IF($A185&lt;=RUNG_BEDS_2,2,1))</f>
        <v>1</v>
      </c>
      <c r="AC185" s="5">
        <f>MIN(1,MAX(0,$AB$26-($A185-1)))</f>
        <v>1</v>
      </c>
      <c r="AD185" s="5">
        <f>$AB$25*(AC185+(1-AC185)*$AB$16)</f>
        <v>252.05322714681438</v>
      </c>
      <c r="AE185" s="13">
        <f>AD185*($AB$6+ACUTE_MARGIN)</f>
        <v>138629.2749307479</v>
      </c>
      <c r="AF185" s="13">
        <f>IF(AB185=1,$AB$31,$AB$32)</f>
        <v>152394.16214437486</v>
      </c>
      <c r="AG185" s="13">
        <f>AE185-AF185</f>
        <v>-13764.887213626964</v>
      </c>
      <c r="AH185" s="13">
        <f>AH184+AG185</f>
        <v>-1404018.4957899498</v>
      </c>
      <c r="AI185">
        <f>IF(AH185=MAX($AH$83:$AH$483),$A185,0)</f>
        <v>0</v>
      </c>
      <c r="AJ185">
        <f>IF(AE185&lt;AF185,$A185,B_MAX+1)</f>
        <v>102</v>
      </c>
      <c r="AK185" s="13">
        <f>IF(AB185=1,$AB$35,$AB$36)</f>
        <v>0</v>
      </c>
      <c r="AL185" s="13">
        <f>OCC_DAYS*$AB$41*R_NF_2023-AD185*MCD_SHARE_FREED*R_WAIT_2023</f>
        <v>37367.159242427646</v>
      </c>
      <c r="AM185">
        <f>IF($A185&lt;=$AB$45,1,0)</f>
        <v>0</v>
      </c>
      <c r="BB185">
        <f>IF($BB$31&lt;=$BB$32,IF($A185&lt;=$BB$7,1,2),IF($A185&lt;=RUNG_BEDS_2,2,1))</f>
        <v>1</v>
      </c>
      <c r="BC185" s="5">
        <f>MIN(1,MAX(0,$BB$26-($A185-1)))</f>
        <v>1</v>
      </c>
      <c r="BD185" s="5">
        <f>$BB$25*(BC185+(1-BC185)*$BB$16)</f>
        <v>252.05322714681438</v>
      </c>
      <c r="BE185" s="13">
        <f>BD185*($BB$6+ACUTE_MARGIN)</f>
        <v>370518.24390581716</v>
      </c>
      <c r="BF185" s="13">
        <f>IF(BB185=1,$BB$31,$BB$32)</f>
        <v>152394.16214437486</v>
      </c>
      <c r="BG185" s="13">
        <f>BE185-BF185</f>
        <v>218124.0817614423</v>
      </c>
      <c r="BH185" s="13">
        <f>BH184+BG185</f>
        <v>22248656.3396671</v>
      </c>
      <c r="BI185">
        <f>IF(BH185=MAX($BH$83:$BH$483),$A185,0)</f>
        <v>0</v>
      </c>
      <c r="BJ185">
        <f>IF(BE185&lt;BF185,$A185,B_MAX+1)</f>
        <v>401.0</v>
      </c>
      <c r="BK185" s="13">
        <f>IF(BB185=1,$BB$35,$BB$36)</f>
        <v>0</v>
      </c>
      <c r="BL185" s="13">
        <f>OCC_DAYS*$BB$41*R_NF_2023-BD185*MCD_SHARE_FREED*R_WAIT_2023</f>
        <v>37367.159242427646</v>
      </c>
      <c r="BM185">
        <f>IF($A185&lt;=$BB$45,1,0)</f>
        <v>1</v>
      </c>
      <c r="CB185">
        <f>IF($CB$31&lt;=$CB$32,IF($A185&lt;=$CB$7,1,2),IF($A185&lt;=RUNG_BEDS_2,2,1))</f>
        <v>2</v>
      </c>
      <c r="CC185" s="5">
        <f>MIN(1,MAX(0,$CB$26-($A185-1)))</f>
        <v>1</v>
      </c>
      <c r="CD185" s="5">
        <f>$CB$25*(CC185+(1-CC185)*$CB$16)</f>
        <v>252.05322714681438</v>
      </c>
      <c r="CE185" s="13">
        <f>CD185*($CB$6+ACUTE_MARGIN)</f>
        <v>254573.7594182825</v>
      </c>
      <c r="CF185" s="13">
        <f>IF(CB185=1,$CB$31,$CB$32)</f>
        <v>160718.36940738867</v>
      </c>
      <c r="CG185" s="13">
        <f>CE185-CF185</f>
        <v>93855.39001089384</v>
      </c>
      <c r="CH185" s="13">
        <f>CH184+CG185</f>
        <v>9573249.781111185</v>
      </c>
      <c r="CI185">
        <f>IF(CH185=MAX($CH$83:$CH$483),$A185,0)</f>
        <v>0</v>
      </c>
      <c r="CJ185">
        <f>IF(CE185&lt;CF185,$A185,B_MAX+1)</f>
        <v>401.0</v>
      </c>
      <c r="CK185" s="13">
        <f>IF(CB185=1,$CB$35,$CB$36)</f>
        <v>1560.1194073886782</v>
      </c>
      <c r="CL185" s="13">
        <f>OCC_DAYS*$CB$41*R_NF_2023-CD185*MCD_SHARE_FREED*R_WAIT_2023</f>
        <v>37367.159242427646</v>
      </c>
      <c r="CM185">
        <f>IF($A185&lt;=$CB$45,1,0)</f>
        <v>1</v>
      </c>
      <c r="DB185">
        <f>IF($DB$31&lt;=$DB$32,IF($A185&lt;=$DB$7,1,2),IF($A185&lt;=RUNG_BEDS_2,2,1))</f>
        <v>1</v>
      </c>
      <c r="DC185" s="5">
        <f>MIN(1,MAX(0,$DB$26-($A185-1)))</f>
        <v>1</v>
      </c>
      <c r="DD185" s="5">
        <f>$DB$25*(DC185+(1-DC185)*$DB$16)</f>
        <v>252.05322714681438</v>
      </c>
      <c r="DE185" s="13">
        <f>DD185*($DB$6+ACUTE_MARGIN)</f>
        <v>254573.7594182825</v>
      </c>
      <c r="DF185" s="13">
        <f>IF(DB185=1,$DB$31,$DB$32)</f>
        <v>152394.16214437486</v>
      </c>
      <c r="DG185" s="13">
        <f>DE185-DF185</f>
        <v>102179.59727390765</v>
      </c>
      <c r="DH185" s="13">
        <f>DH184+DG185</f>
        <v>10422318.921938596</v>
      </c>
      <c r="DI185">
        <f>IF(DH185=MAX($DH$83:$DH$483),$A185,0)</f>
        <v>0</v>
      </c>
      <c r="DJ185">
        <f>IF(DE185&lt;DF185,$A185,B_MAX+1)</f>
        <v>401.0</v>
      </c>
      <c r="DK185" s="13">
        <f>IF(DB185=1,$DB$35,$DB$36)</f>
        <v>0</v>
      </c>
      <c r="DL185" s="13">
        <f>OCC_DAYS*$DB$41*R_NF_2023-DD185*MCD_SHARE_FREED*R_WAIT_2023</f>
        <v>37367.159242427646</v>
      </c>
      <c r="DM185">
        <f>IF($A185&lt;=$DB$45,1,0)</f>
        <v>1</v>
      </c>
      <c r="EB185">
        <f>IF($EB$31&lt;=$EB$32,IF($A185&lt;=$EB$7,1,2),IF($A185&lt;=RUNG_BEDS_2,2,1))</f>
        <v>1</v>
      </c>
      <c r="EC185" s="5">
        <f>MIN(1,MAX(0,$EB$26-($A185-1)))</f>
        <v>1</v>
      </c>
      <c r="ED185" s="5">
        <f>$EB$25*(EC185+(1-EC185)*$EB$16)</f>
        <v>252.05322714681438</v>
      </c>
      <c r="EE185" s="13">
        <f>ED185*($EB$6+ACUTE_MARGIN)</f>
        <v>254573.7594182825</v>
      </c>
      <c r="EF185" s="13">
        <f>IF(EB185=1,$EB$31,$EB$32)</f>
        <v>152394.16214437486</v>
      </c>
      <c r="EG185" s="13">
        <f>EE185-EF185</f>
        <v>102179.59727390765</v>
      </c>
      <c r="EH185" s="13">
        <f>EH184+EG185</f>
        <v>10422318.921938596</v>
      </c>
      <c r="EI185">
        <f>IF(EH185=MAX($EH$83:$EH$483),$A185,0)</f>
        <v>0</v>
      </c>
      <c r="EJ185">
        <f>IF(EE185&lt;EF185,$A185,B_MAX+1)</f>
        <v>401.0</v>
      </c>
      <c r="EK185" s="13">
        <f>IF(EB185=1,$EB$35,$EB$36)</f>
        <v>0</v>
      </c>
      <c r="EL185" s="13">
        <f>OCC_DAYS*$EB$41*R_NF_2023-ED185*MCD_SHARE_FREED*R_WAIT_2023</f>
        <v>-63953.16263896705</v>
      </c>
      <c r="EM185">
        <f>IF($A185&lt;=$EB$45,1,0)</f>
        <v>1</v>
      </c>
      <c r="FB185">
        <f>IF($FB$31&lt;=$FB$32,IF($A185&lt;=$FB$7,1,2),IF($A185&lt;=RUNG_BEDS_2,2,1))</f>
        <v>1</v>
      </c>
      <c r="FC185" s="5">
        <f>MIN(1,MAX(0,$FB$26-($A185-1)))</f>
        <v>1</v>
      </c>
      <c r="FD185" s="5">
        <f>$FB$25*(FC185+(1-FC185)*$FB$16)</f>
        <v>252.05322714681438</v>
      </c>
      <c r="FE185" s="13">
        <f>FD185*($FB$6+ACUTE_MARGIN)</f>
        <v>254573.7594182825</v>
      </c>
      <c r="FF185" s="13">
        <f>IF(FB185=1,$FB$31,$FB$32)</f>
        <v>156636.04979437485</v>
      </c>
      <c r="FG185" s="13">
        <f>FE185-FF185</f>
        <v>97937.70962390766</v>
      </c>
      <c r="FH185" s="13">
        <f>FH184+FG185</f>
        <v>9989646.381638568</v>
      </c>
      <c r="FI185">
        <f>IF(FH185=MAX($FH$83:$FH$483),$A185,0)</f>
        <v>0</v>
      </c>
      <c r="FJ185">
        <f>IF(FE185&lt;FF185,$A185,B_MAX+1)</f>
        <v>401.0</v>
      </c>
      <c r="FK185" s="13">
        <f>IF(FB185=1,$FB$35,$FB$36)</f>
        <v>0</v>
      </c>
      <c r="FL185" s="13">
        <f>OCC_DAYS*$FB$41*R_NF_2023-FD185*MCD_SHARE_FREED*R_WAIT_2023</f>
        <v>37367.159242427646</v>
      </c>
      <c r="FM185">
        <f>IF($A185&lt;=$FB$45,1,0)</f>
        <v>1</v>
      </c>
      <c r="GB185">
        <f>IF($GB$31&lt;=$GB$32,IF($A185&lt;=$GB$7,1,2),IF($A185&lt;=RUNG_BEDS_2,2,1))</f>
        <v>1</v>
      </c>
      <c r="GC185" s="5">
        <f>MIN(1,MAX(0,$GB$26-($A185-1)))</f>
        <v>1</v>
      </c>
      <c r="GD185" s="5">
        <f>$GB$25*(GC185+(1-GC185)*$GB$16)</f>
        <v>252.05322714681438</v>
      </c>
      <c r="GE185" s="13">
        <f>GD185*($GB$6+ACUTE_MARGIN)</f>
        <v>254573.7594182825</v>
      </c>
      <c r="GF185" s="13">
        <f>IF(GB185=1,$GB$31,$GB$32)</f>
        <v>152394.16214437486</v>
      </c>
      <c r="GG185" s="13">
        <f>GE185-GF185</f>
        <v>102179.59727390765</v>
      </c>
      <c r="GH185" s="13">
        <f>GH184+GG185</f>
        <v>10422318.921938596</v>
      </c>
      <c r="GI185">
        <f>IF(GH185=MAX($GH$83:$GH$483),$A185,0)</f>
        <v>0</v>
      </c>
      <c r="GJ185">
        <f>IF(GE185&lt;GF185,$A185,B_MAX+1)</f>
        <v>401.0</v>
      </c>
      <c r="GK185" s="13">
        <f>IF(GB185=1,$GB$35,$GB$36)</f>
        <v>0</v>
      </c>
      <c r="GL185" s="13">
        <f>OCC_DAYS*$GB$41*R_NF_2023-GD185*MCD_SHARE_FREED*R_WAIT_2023</f>
        <v>37367.159242427646</v>
      </c>
      <c r="GM185">
        <f>IF($A185&lt;=$GB$45,1,0)</f>
        <v>1</v>
      </c>
      <c r="HB185">
        <f>IF($HB$31&lt;=$HB$32,IF($A185&lt;=$HB$7,1,2),IF($A185&lt;=RUNG_BEDS_2,2,1))</f>
        <v>1</v>
      </c>
      <c r="HC185" s="5">
        <f>MIN(1,MAX(0,$HB$26-($A185-1)))</f>
        <v>1</v>
      </c>
      <c r="HD185" s="5">
        <f>$HB$25*(HC185+(1-HC185)*$HB$16)</f>
        <v>252.05322714681438</v>
      </c>
      <c r="HE185" s="13">
        <f>HD185*($HB$6+ACUTE_MARGIN)</f>
        <v>254573.7594182825</v>
      </c>
      <c r="HF185" s="13">
        <f>IF(HB185=1,$HB$31,$HB$32)</f>
        <v>152456.2970814058</v>
      </c>
      <c r="HG185" s="13">
        <f>HE185-HF185</f>
        <v>102117.46233687672</v>
      </c>
      <c r="HH185" s="13">
        <f>HH184+HG185</f>
        <v>10415981.15836143</v>
      </c>
      <c r="HI185">
        <f>IF(HH185=MAX($HH$83:$HH$483),$A185,0)</f>
        <v>0</v>
      </c>
      <c r="HJ185">
        <f>IF(HE185&lt;HF185,$A185,B_MAX+1)</f>
        <v>401.0</v>
      </c>
      <c r="HK185" s="13">
        <f>IF(HB185=1,$HB$35,$HB$36)</f>
        <v>0</v>
      </c>
      <c r="HL185" s="13">
        <f>OCC_DAYS*$HB$41*R_NF_2023-HD185*MCD_SHARE_FREED*R_WAIT_2023</f>
        <v>37367.159242427646</v>
      </c>
      <c r="HM185">
        <f>IF($A185&lt;=$HB$45,1,0)</f>
        <v>1</v>
      </c>
      <c r="IB185">
        <f>IF($IB$31&lt;=$IB$32,IF($A185&lt;=$IB$7,1,2),IF($A185&lt;=RUNG_BEDS_2,2,1))</f>
        <v>1</v>
      </c>
      <c r="IC185" s="5">
        <f>MIN(1,MAX(0,$IB$26-($A185-1)))</f>
        <v>1</v>
      </c>
      <c r="ID185" s="5">
        <f>$IB$25*(IC185+(1-IC185)*$IB$16)</f>
        <v>252.05322714681438</v>
      </c>
      <c r="IE185" s="13">
        <f>ID185*($IB$6+ACUTE_MARGIN)</f>
        <v>254573.7594182825</v>
      </c>
      <c r="IF185" s="13">
        <f>IF(IB185=1,$IB$31,$IB$32)</f>
        <v>152734.9994534971</v>
      </c>
      <c r="IG185" s="13">
        <f>IE185-IF185</f>
        <v>101838.75996478542</v>
      </c>
      <c r="IH185" s="13">
        <f>IH184+IG185</f>
        <v>10387553.516408104</v>
      </c>
      <c r="II185">
        <f>IF(IH185=MAX($IH$83:$IH$483),$A185,0)</f>
        <v>0</v>
      </c>
      <c r="IJ185">
        <f>IF(IE185&lt;IF185,$A185,B_MAX+1)</f>
        <v>401.0</v>
      </c>
      <c r="IK185" s="13">
        <f>IF(IB185=1,$IB$35,$IB$36)</f>
        <v>0</v>
      </c>
      <c r="IL185" s="13">
        <f>OCC_DAYS*$IB$41*R_NF_2023-ID185*MCD_SHARE_FREED*R_WAIT_2023</f>
        <v>37367.159242427646</v>
      </c>
      <c r="IM185">
        <f>IF($A185&lt;=$IB$45,1,0)</f>
        <v>1</v>
      </c>
      <c r="JB185">
        <f>IF($JB$31&lt;=$JB$32,IF($A185&lt;=$JB$7,1,2),IF($A185&lt;=RUNG_BEDS_2,2,1))</f>
        <v>1</v>
      </c>
      <c r="JC185" s="5">
        <f>MIN(1,MAX(0,$JB$26-($A185-1)))</f>
        <v>1</v>
      </c>
      <c r="JD185" s="5">
        <f>$JB$25*(JC185+(1-JC185)*$JB$16)</f>
        <v>252.05322714681438</v>
      </c>
      <c r="JE185" s="13">
        <f>JD185*($JB$6+ACUTE_MARGIN)</f>
        <v>254573.7594182825</v>
      </c>
      <c r="JF185" s="13">
        <f>IF(JB185=1,$JB$31,$JB$32)</f>
        <v>152394.16214437486</v>
      </c>
      <c r="JG185" s="13">
        <f>JE185-JF185</f>
        <v>102179.59727390765</v>
      </c>
      <c r="JH185" s="13">
        <f>JH184+JG185</f>
        <v>10422318.921938596</v>
      </c>
      <c r="JI185">
        <f>IF(JH185=MAX($JH$83:$JH$483),$A185,0)</f>
        <v>0</v>
      </c>
      <c r="JJ185">
        <f>IF(JE185&lt;JF185,$A185,B_MAX+1)</f>
        <v>401.0</v>
      </c>
      <c r="JK185" s="13">
        <f>IF(JB185=1,$JB$35,$JB$36)</f>
        <v>0</v>
      </c>
      <c r="JL185" s="13">
        <f>OCC_DAYS*$JB$41*R_NF_2023-JD185*MCD_SHARE_FREED*R_WAIT_2023</f>
        <v>37367.159242427646</v>
      </c>
      <c r="JM185">
        <f>IF($A185&lt;=$JB$45,1,0)</f>
        <v>1</v>
      </c>
      <c r="KB185">
        <f>IF($KB$31&lt;=$KB$32,IF($A185&lt;=$KB$7,1,2),IF($A185&lt;=RUNG_BEDS_2,2,1))</f>
        <v>1</v>
      </c>
      <c r="KC185" s="5">
        <f>MIN(1,MAX(0,$KB$26-($A185-1)))</f>
        <v>1</v>
      </c>
      <c r="KD185" s="5">
        <f>$KB$25*(KC185+(1-KC185)*$KB$16)</f>
        <v>126.02661357340719</v>
      </c>
      <c r="KE185" s="13">
        <f>KD185*($KB$6+ACUTE_MARGIN)</f>
        <v>127286.87970914126</v>
      </c>
      <c r="KF185" s="13">
        <f>IF(KB185=1,$KB$31,$KB$32)</f>
        <v>152394.16214437486</v>
      </c>
      <c r="KG185" s="13">
        <f>KE185-KF185</f>
        <v>-25107.282435233603</v>
      </c>
      <c r="KH185" s="13">
        <f>KH184+KG185</f>
        <v>-2560942.808393833</v>
      </c>
      <c r="KI185">
        <f>IF(KH185=MAX($KH$83:$KH$483),$A185,0)</f>
        <v>0</v>
      </c>
      <c r="KJ185">
        <f>IF(KE185&lt;KF185,$A185,B_MAX+1)</f>
        <v>102</v>
      </c>
      <c r="KK185" s="13">
        <f>IF(KB185=1,$KB$35,$KB$36)</f>
        <v>0</v>
      </c>
      <c r="KL185" s="13">
        <f>OCC_DAYS*$KB$41*R_NF_2023-KD185*MCD_SHARE_FREED*R_WAIT_2023</f>
        <v>94673.82103225985</v>
      </c>
      <c r="KM185">
        <f>IF($A185&lt;=$KB$45,1,0)</f>
        <v>0</v>
      </c>
      <c r="LB185">
        <f>IF($LB$31&lt;=$LB$32,IF($A185&lt;=$LB$7,1,2),IF($A185&lt;=RUNG_BEDS_2,2,1))</f>
        <v>1</v>
      </c>
      <c r="LC185" s="5">
        <f>MIN(1,MAX(0,$LB$26-($A185-1)))</f>
        <v>1</v>
      </c>
      <c r="LD185" s="5">
        <f>$LB$25*(LC185+(1-LC185)*$LB$16)</f>
        <v>84.01774238227146</v>
      </c>
      <c r="LE185" s="13">
        <f>LD185*($LB$6+ACUTE_MARGIN)</f>
        <v>84857.91980609419</v>
      </c>
      <c r="LF185" s="13">
        <f>IF(LB185=1,$LB$31,$LB$32)</f>
        <v>152394.16214437486</v>
      </c>
      <c r="LG185" s="13">
        <f>LE185-LF185</f>
        <v>-67536.24233828067</v>
      </c>
      <c r="LH185" s="13">
        <f>LH184+LG185</f>
        <v>-6888696.718504646</v>
      </c>
      <c r="LI185">
        <f>IF(LH185=MAX($LH$83:$LH$483),$A185,0)</f>
        <v>0</v>
      </c>
      <c r="LJ185">
        <f>IF(LE185&lt;LF185,$A185,B_MAX+1)</f>
        <v>102</v>
      </c>
      <c r="LK185" s="13">
        <f>IF(LB185=1,$LB$35,$LB$36)</f>
        <v>0</v>
      </c>
      <c r="LL185" s="13">
        <f>OCC_DAYS*$LB$41*R_NF_2023-LD185*MCD_SHARE_FREED*R_WAIT_2023</f>
        <v>113776.04162887059</v>
      </c>
      <c r="LM185">
        <f>IF($A185&lt;=$LB$45,1,0)</f>
        <v>0</v>
      </c>
      <c r="MB185">
        <f>IF($MB$31&lt;=$MB$32,IF($A185&lt;=$MB$7,1,2),IF($A185&lt;=RUNG_BEDS_2,2,1))</f>
        <v>1</v>
      </c>
      <c r="MC185" s="5">
        <f>MIN(1,MAX(0,$MB$26-($A185-1)))</f>
        <v>1</v>
      </c>
      <c r="MD185" s="5">
        <f>$MB$25*(MC185+(1-MC185)*$MB$16)</f>
        <v>213.44610951008647</v>
      </c>
      <c r="ME185" s="13">
        <f>MD185*($MB$6+ACUTE_MARGIN)</f>
        <v>215580.57060518733</v>
      </c>
      <c r="MF185" s="13">
        <f>IF(MB185=1,$MB$31,$MB$32)</f>
        <v>152394.16214437486</v>
      </c>
      <c r="MG185" s="13">
        <f>ME185-MF185</f>
        <v>63186.40846081247</v>
      </c>
      <c r="MH185" s="13">
        <f>MH184+MG185</f>
        <v>6445013.663002882</v>
      </c>
      <c r="MI185">
        <f>IF(MH185=MAX($MH$83:$MH$483),$A185,0)</f>
        <v>0</v>
      </c>
      <c r="MJ185">
        <f>IF(ME185&lt;MF185,$A185,B_MAX+1)</f>
        <v>401.0</v>
      </c>
      <c r="MK185" s="13">
        <f>IF(MB185=1,$MB$35,$MB$36)</f>
        <v>0</v>
      </c>
      <c r="ML185" s="13">
        <f>OCC_DAYS*$MB$41*R_NF_2023-MD185*MCD_SHARE_FREED*R_WAIT_2023</f>
        <v>54922.538779778624</v>
      </c>
      <c r="MM185">
        <f>IF($A185&lt;=$MB$45,1,0)</f>
        <v>1</v>
      </c>
      <c r="NB185">
        <f>IF($NB$31&lt;=$NB$32,IF($A185&lt;=$NB$7,1,2),IF($A185&lt;=RUNG_BEDS_2,2,1))</f>
        <v>1</v>
      </c>
      <c r="NC185" s="5">
        <f>MIN(1,MAX(0,$NB$26-($A185-1)))</f>
        <v>1</v>
      </c>
      <c r="ND185" s="5">
        <f>$NB$25*(NC185+(1-NC185)*$NB$16)</f>
        <v>252.05322714681438</v>
      </c>
      <c r="NE185" s="13">
        <f>ND185*($NB$6+ACUTE_MARGIN)</f>
        <v>254573.7594182825</v>
      </c>
      <c r="NF185" s="13">
        <f>IF(NB185=1,$NB$31,$NB$32)</f>
        <v>152394.16214437486</v>
      </c>
      <c r="NG185" s="13">
        <f>NE185-NF185</f>
        <v>102179.59727390765</v>
      </c>
      <c r="NH185" s="13">
        <f>NH184+NG185</f>
        <v>10422318.921938596</v>
      </c>
      <c r="NI185">
        <f>IF(NH185=MAX($NH$83:$NH$483),$A185,0)</f>
        <v>0</v>
      </c>
      <c r="NJ185">
        <f>IF(NE185&lt;NF185,$A185,B_MAX+1)</f>
        <v>401.0</v>
      </c>
      <c r="NK185" s="13">
        <f>IF(NB185=1,$NB$35,$NB$36)</f>
        <v>0</v>
      </c>
      <c r="NL185" s="13">
        <f>OCC_DAYS*$NB$41*R_NF_2023-ND185*MCD_SHARE_FREED*R_WAIT_2023</f>
        <v>37367.159242427646</v>
      </c>
      <c r="NM185">
        <f>IF($A185&lt;=$NB$45,1,0)</f>
        <v>1</v>
      </c>
      <c r="OB185">
        <f>IF($OB$31&lt;=$OB$32,IF($A185&lt;=$OB$7,1,2),IF($A185&lt;=RUNG_BEDS_2,2,1))</f>
        <v>1</v>
      </c>
      <c r="OC185" s="5">
        <f>MIN(1,MAX(0,$OB$26-($A185-1)))</f>
        <v>1</v>
      </c>
      <c r="OD185" s="5">
        <f>$OB$25*(OC185+(1-OC185)*$OB$16)</f>
        <v>252.05322714681438</v>
      </c>
      <c r="OE185" s="13">
        <f>OD185*($OB$6+ACUTE_MARGIN)</f>
        <v>254573.7594182825</v>
      </c>
      <c r="OF185" s="13">
        <f>IF(OB185=1,$OB$31,$OB$32)</f>
        <v>152394.16214437486</v>
      </c>
      <c r="OG185" s="13">
        <f>OE185-OF185</f>
        <v>102179.59727390765</v>
      </c>
      <c r="OH185" s="13">
        <f>OH184+OG185</f>
        <v>10422318.921938596</v>
      </c>
      <c r="OI185">
        <f>IF(OH185=MAX($OH$83:$OH$483),$A185,0)</f>
        <v>0</v>
      </c>
      <c r="OJ185">
        <f>IF(OE185&lt;OF185,$A185,B_MAX+1)</f>
        <v>401.0</v>
      </c>
      <c r="OK185" s="13">
        <f>IF(OB185=1,$OB$35,$OB$36)</f>
        <v>0</v>
      </c>
      <c r="OL185" s="13">
        <f>OCC_DAYS*$OB$41*R_NF_2023-OD185*MCD_SHARE_FREED*R_WAIT_2023</f>
        <v>37367.159242427646</v>
      </c>
      <c r="OM185">
        <f>IF($A185&lt;=$OB$45,1,0)</f>
        <v>1</v>
      </c>
    </row>
    <row r="186">
      <c r="A186" t="n">
        <v>103</v>
      </c>
      <c r="B186">
        <f>IF($B$31&lt;=$B$32,IF($A186&lt;=$B$7,1,2),IF($A186&lt;=RUNG_BEDS_2,2,1))</f>
        <v>1</v>
      </c>
      <c r="C186" s="5">
        <f>MIN(1,MAX(0,$B$26-($A186-1)))</f>
        <v>1</v>
      </c>
      <c r="D186" s="5">
        <f>$B$25*(C186+(1-C186)*$B$16)</f>
        <v>252.05322714681438</v>
      </c>
      <c r="E186" s="13">
        <f>D186*($B$6+ACUTE_MARGIN)</f>
        <v>254573.7594182825</v>
      </c>
      <c r="F186" s="13">
        <f>IF(B186=1,$B$31,$B$32)</f>
        <v>152394.16214437486</v>
      </c>
      <c r="G186" s="13">
        <f>E186-F186</f>
        <v>102179.59727390765</v>
      </c>
      <c r="H186" s="13">
        <f>H185+G186</f>
        <v>10524498.519212505</v>
      </c>
      <c r="I186">
        <f>IF(H186=MAX($H$83:$H$483),$A186,0)</f>
        <v>0</v>
      </c>
      <c r="J186">
        <f>IF(E186&lt;F186,$A186,B_MAX+1)</f>
        <v>401.0</v>
      </c>
      <c r="K186" s="13">
        <f>IF(B186=1,$B$35,$B$36)</f>
        <v>0</v>
      </c>
      <c r="L186" s="13">
        <f>OCC_DAYS*$B$41*R_NF_2023-D186*MCD_SHARE_FREED*R_WAIT_2023</f>
        <v>37367.159242427646</v>
      </c>
      <c r="M186">
        <f>IF($A186&lt;=$B$45,1,0)</f>
        <v>1</v>
      </c>
      <c r="AB186">
        <f>IF($AB$31&lt;=$AB$32,IF($A186&lt;=$AB$7,1,2),IF($A186&lt;=RUNG_BEDS_2,2,1))</f>
        <v>1</v>
      </c>
      <c r="AC186" s="5">
        <f>MIN(1,MAX(0,$AB$26-($A186-1)))</f>
        <v>1</v>
      </c>
      <c r="AD186" s="5">
        <f>$AB$25*(AC186+(1-AC186)*$AB$16)</f>
        <v>252.05322714681438</v>
      </c>
      <c r="AE186" s="13">
        <f>AD186*($AB$6+ACUTE_MARGIN)</f>
        <v>138629.2749307479</v>
      </c>
      <c r="AF186" s="13">
        <f>IF(AB186=1,$AB$31,$AB$32)</f>
        <v>152394.16214437486</v>
      </c>
      <c r="AG186" s="13">
        <f>AE186-AF186</f>
        <v>-13764.887213626964</v>
      </c>
      <c r="AH186" s="13">
        <f>AH185+AG186</f>
        <v>-1417783.3830035767</v>
      </c>
      <c r="AI186">
        <f>IF(AH186=MAX($AH$83:$AH$483),$A186,0)</f>
        <v>0</v>
      </c>
      <c r="AJ186">
        <f>IF(AE186&lt;AF186,$A186,B_MAX+1)</f>
        <v>103</v>
      </c>
      <c r="AK186" s="13">
        <f>IF(AB186=1,$AB$35,$AB$36)</f>
        <v>0</v>
      </c>
      <c r="AL186" s="13">
        <f>OCC_DAYS*$AB$41*R_NF_2023-AD186*MCD_SHARE_FREED*R_WAIT_2023</f>
        <v>37367.159242427646</v>
      </c>
      <c r="AM186">
        <f>IF($A186&lt;=$AB$45,1,0)</f>
        <v>0</v>
      </c>
      <c r="BB186">
        <f>IF($BB$31&lt;=$BB$32,IF($A186&lt;=$BB$7,1,2),IF($A186&lt;=RUNG_BEDS_2,2,1))</f>
        <v>1</v>
      </c>
      <c r="BC186" s="5">
        <f>MIN(1,MAX(0,$BB$26-($A186-1)))</f>
        <v>1</v>
      </c>
      <c r="BD186" s="5">
        <f>$BB$25*(BC186+(1-BC186)*$BB$16)</f>
        <v>252.05322714681438</v>
      </c>
      <c r="BE186" s="13">
        <f>BD186*($BB$6+ACUTE_MARGIN)</f>
        <v>370518.24390581716</v>
      </c>
      <c r="BF186" s="13">
        <f>IF(BB186=1,$BB$31,$BB$32)</f>
        <v>152394.16214437486</v>
      </c>
      <c r="BG186" s="13">
        <f>BE186-BF186</f>
        <v>218124.0817614423</v>
      </c>
      <c r="BH186" s="13">
        <f>BH185+BG186</f>
        <v>22466780.421428543</v>
      </c>
      <c r="BI186">
        <f>IF(BH186=MAX($BH$83:$BH$483),$A186,0)</f>
        <v>0</v>
      </c>
      <c r="BJ186">
        <f>IF(BE186&lt;BF186,$A186,B_MAX+1)</f>
        <v>401.0</v>
      </c>
      <c r="BK186" s="13">
        <f>IF(BB186=1,$BB$35,$BB$36)</f>
        <v>0</v>
      </c>
      <c r="BL186" s="13">
        <f>OCC_DAYS*$BB$41*R_NF_2023-BD186*MCD_SHARE_FREED*R_WAIT_2023</f>
        <v>37367.159242427646</v>
      </c>
      <c r="BM186">
        <f>IF($A186&lt;=$BB$45,1,0)</f>
        <v>1</v>
      </c>
      <c r="CB186">
        <f>IF($CB$31&lt;=$CB$32,IF($A186&lt;=$CB$7,1,2),IF($A186&lt;=RUNG_BEDS_2,2,1))</f>
        <v>2</v>
      </c>
      <c r="CC186" s="5">
        <f>MIN(1,MAX(0,$CB$26-($A186-1)))</f>
        <v>1</v>
      </c>
      <c r="CD186" s="5">
        <f>$CB$25*(CC186+(1-CC186)*$CB$16)</f>
        <v>252.05322714681438</v>
      </c>
      <c r="CE186" s="13">
        <f>CD186*($CB$6+ACUTE_MARGIN)</f>
        <v>254573.7594182825</v>
      </c>
      <c r="CF186" s="13">
        <f>IF(CB186=1,$CB$31,$CB$32)</f>
        <v>160718.36940738867</v>
      </c>
      <c r="CG186" s="13">
        <f>CE186-CF186</f>
        <v>93855.39001089384</v>
      </c>
      <c r="CH186" s="13">
        <f>CH185+CG186</f>
        <v>9667105.171122078</v>
      </c>
      <c r="CI186">
        <f>IF(CH186=MAX($CH$83:$CH$483),$A186,0)</f>
        <v>0</v>
      </c>
      <c r="CJ186">
        <f>IF(CE186&lt;CF186,$A186,B_MAX+1)</f>
        <v>401.0</v>
      </c>
      <c r="CK186" s="13">
        <f>IF(CB186=1,$CB$35,$CB$36)</f>
        <v>1560.1194073886782</v>
      </c>
      <c r="CL186" s="13">
        <f>OCC_DAYS*$CB$41*R_NF_2023-CD186*MCD_SHARE_FREED*R_WAIT_2023</f>
        <v>37367.159242427646</v>
      </c>
      <c r="CM186">
        <f>IF($A186&lt;=$CB$45,1,0)</f>
        <v>1</v>
      </c>
      <c r="DB186">
        <f>IF($DB$31&lt;=$DB$32,IF($A186&lt;=$DB$7,1,2),IF($A186&lt;=RUNG_BEDS_2,2,1))</f>
        <v>1</v>
      </c>
      <c r="DC186" s="5">
        <f>MIN(1,MAX(0,$DB$26-($A186-1)))</f>
        <v>1</v>
      </c>
      <c r="DD186" s="5">
        <f>$DB$25*(DC186+(1-DC186)*$DB$16)</f>
        <v>252.05322714681438</v>
      </c>
      <c r="DE186" s="13">
        <f>DD186*($DB$6+ACUTE_MARGIN)</f>
        <v>254573.7594182825</v>
      </c>
      <c r="DF186" s="13">
        <f>IF(DB186=1,$DB$31,$DB$32)</f>
        <v>152394.16214437486</v>
      </c>
      <c r="DG186" s="13">
        <f>DE186-DF186</f>
        <v>102179.59727390765</v>
      </c>
      <c r="DH186" s="13">
        <f>DH185+DG186</f>
        <v>10524498.519212505</v>
      </c>
      <c r="DI186">
        <f>IF(DH186=MAX($DH$83:$DH$483),$A186,0)</f>
        <v>0</v>
      </c>
      <c r="DJ186">
        <f>IF(DE186&lt;DF186,$A186,B_MAX+1)</f>
        <v>401.0</v>
      </c>
      <c r="DK186" s="13">
        <f>IF(DB186=1,$DB$35,$DB$36)</f>
        <v>0</v>
      </c>
      <c r="DL186" s="13">
        <f>OCC_DAYS*$DB$41*R_NF_2023-DD186*MCD_SHARE_FREED*R_WAIT_2023</f>
        <v>37367.159242427646</v>
      </c>
      <c r="DM186">
        <f>IF($A186&lt;=$DB$45,1,0)</f>
        <v>1</v>
      </c>
      <c r="EB186">
        <f>IF($EB$31&lt;=$EB$32,IF($A186&lt;=$EB$7,1,2),IF($A186&lt;=RUNG_BEDS_2,2,1))</f>
        <v>1</v>
      </c>
      <c r="EC186" s="5">
        <f>MIN(1,MAX(0,$EB$26-($A186-1)))</f>
        <v>1</v>
      </c>
      <c r="ED186" s="5">
        <f>$EB$25*(EC186+(1-EC186)*$EB$16)</f>
        <v>252.05322714681438</v>
      </c>
      <c r="EE186" s="13">
        <f>ED186*($EB$6+ACUTE_MARGIN)</f>
        <v>254573.7594182825</v>
      </c>
      <c r="EF186" s="13">
        <f>IF(EB186=1,$EB$31,$EB$32)</f>
        <v>152394.16214437486</v>
      </c>
      <c r="EG186" s="13">
        <f>EE186-EF186</f>
        <v>102179.59727390765</v>
      </c>
      <c r="EH186" s="13">
        <f>EH185+EG186</f>
        <v>10524498.519212505</v>
      </c>
      <c r="EI186">
        <f>IF(EH186=MAX($EH$83:$EH$483),$A186,0)</f>
        <v>0</v>
      </c>
      <c r="EJ186">
        <f>IF(EE186&lt;EF186,$A186,B_MAX+1)</f>
        <v>401.0</v>
      </c>
      <c r="EK186" s="13">
        <f>IF(EB186=1,$EB$35,$EB$36)</f>
        <v>0</v>
      </c>
      <c r="EL186" s="13">
        <f>OCC_DAYS*$EB$41*R_NF_2023-ED186*MCD_SHARE_FREED*R_WAIT_2023</f>
        <v>-63953.16263896705</v>
      </c>
      <c r="EM186">
        <f>IF($A186&lt;=$EB$45,1,0)</f>
        <v>1</v>
      </c>
      <c r="FB186">
        <f>IF($FB$31&lt;=$FB$32,IF($A186&lt;=$FB$7,1,2),IF($A186&lt;=RUNG_BEDS_2,2,1))</f>
        <v>1</v>
      </c>
      <c r="FC186" s="5">
        <f>MIN(1,MAX(0,$FB$26-($A186-1)))</f>
        <v>1</v>
      </c>
      <c r="FD186" s="5">
        <f>$FB$25*(FC186+(1-FC186)*$FB$16)</f>
        <v>252.05322714681438</v>
      </c>
      <c r="FE186" s="13">
        <f>FD186*($FB$6+ACUTE_MARGIN)</f>
        <v>254573.7594182825</v>
      </c>
      <c r="FF186" s="13">
        <f>IF(FB186=1,$FB$31,$FB$32)</f>
        <v>156636.04979437485</v>
      </c>
      <c r="FG186" s="13">
        <f>FE186-FF186</f>
        <v>97937.70962390766</v>
      </c>
      <c r="FH186" s="13">
        <f>FH185+FG186</f>
        <v>10087584.091262475</v>
      </c>
      <c r="FI186">
        <f>IF(FH186=MAX($FH$83:$FH$483),$A186,0)</f>
        <v>0</v>
      </c>
      <c r="FJ186">
        <f>IF(FE186&lt;FF186,$A186,B_MAX+1)</f>
        <v>401.0</v>
      </c>
      <c r="FK186" s="13">
        <f>IF(FB186=1,$FB$35,$FB$36)</f>
        <v>0</v>
      </c>
      <c r="FL186" s="13">
        <f>OCC_DAYS*$FB$41*R_NF_2023-FD186*MCD_SHARE_FREED*R_WAIT_2023</f>
        <v>37367.159242427646</v>
      </c>
      <c r="FM186">
        <f>IF($A186&lt;=$FB$45,1,0)</f>
        <v>1</v>
      </c>
      <c r="GB186">
        <f>IF($GB$31&lt;=$GB$32,IF($A186&lt;=$GB$7,1,2),IF($A186&lt;=RUNG_BEDS_2,2,1))</f>
        <v>1</v>
      </c>
      <c r="GC186" s="5">
        <f>MIN(1,MAX(0,$GB$26-($A186-1)))</f>
        <v>1</v>
      </c>
      <c r="GD186" s="5">
        <f>$GB$25*(GC186+(1-GC186)*$GB$16)</f>
        <v>252.05322714681438</v>
      </c>
      <c r="GE186" s="13">
        <f>GD186*($GB$6+ACUTE_MARGIN)</f>
        <v>254573.7594182825</v>
      </c>
      <c r="GF186" s="13">
        <f>IF(GB186=1,$GB$31,$GB$32)</f>
        <v>152394.16214437486</v>
      </c>
      <c r="GG186" s="13">
        <f>GE186-GF186</f>
        <v>102179.59727390765</v>
      </c>
      <c r="GH186" s="13">
        <f>GH185+GG186</f>
        <v>10524498.519212505</v>
      </c>
      <c r="GI186">
        <f>IF(GH186=MAX($GH$83:$GH$483),$A186,0)</f>
        <v>0</v>
      </c>
      <c r="GJ186">
        <f>IF(GE186&lt;GF186,$A186,B_MAX+1)</f>
        <v>401.0</v>
      </c>
      <c r="GK186" s="13">
        <f>IF(GB186=1,$GB$35,$GB$36)</f>
        <v>0</v>
      </c>
      <c r="GL186" s="13">
        <f>OCC_DAYS*$GB$41*R_NF_2023-GD186*MCD_SHARE_FREED*R_WAIT_2023</f>
        <v>37367.159242427646</v>
      </c>
      <c r="GM186">
        <f>IF($A186&lt;=$GB$45,1,0)</f>
        <v>1</v>
      </c>
      <c r="HB186">
        <f>IF($HB$31&lt;=$HB$32,IF($A186&lt;=$HB$7,1,2),IF($A186&lt;=RUNG_BEDS_2,2,1))</f>
        <v>1</v>
      </c>
      <c r="HC186" s="5">
        <f>MIN(1,MAX(0,$HB$26-($A186-1)))</f>
        <v>1</v>
      </c>
      <c r="HD186" s="5">
        <f>$HB$25*(HC186+(1-HC186)*$HB$16)</f>
        <v>252.05322714681438</v>
      </c>
      <c r="HE186" s="13">
        <f>HD186*($HB$6+ACUTE_MARGIN)</f>
        <v>254573.7594182825</v>
      </c>
      <c r="HF186" s="13">
        <f>IF(HB186=1,$HB$31,$HB$32)</f>
        <v>152456.2970814058</v>
      </c>
      <c r="HG186" s="13">
        <f>HE186-HF186</f>
        <v>102117.46233687672</v>
      </c>
      <c r="HH186" s="13">
        <f>HH185+HG186</f>
        <v>10518098.620698307</v>
      </c>
      <c r="HI186">
        <f>IF(HH186=MAX($HH$83:$HH$483),$A186,0)</f>
        <v>0</v>
      </c>
      <c r="HJ186">
        <f>IF(HE186&lt;HF186,$A186,B_MAX+1)</f>
        <v>401.0</v>
      </c>
      <c r="HK186" s="13">
        <f>IF(HB186=1,$HB$35,$HB$36)</f>
        <v>0</v>
      </c>
      <c r="HL186" s="13">
        <f>OCC_DAYS*$HB$41*R_NF_2023-HD186*MCD_SHARE_FREED*R_WAIT_2023</f>
        <v>37367.159242427646</v>
      </c>
      <c r="HM186">
        <f>IF($A186&lt;=$HB$45,1,0)</f>
        <v>1</v>
      </c>
      <c r="IB186">
        <f>IF($IB$31&lt;=$IB$32,IF($A186&lt;=$IB$7,1,2),IF($A186&lt;=RUNG_BEDS_2,2,1))</f>
        <v>1</v>
      </c>
      <c r="IC186" s="5">
        <f>MIN(1,MAX(0,$IB$26-($A186-1)))</f>
        <v>1</v>
      </c>
      <c r="ID186" s="5">
        <f>$IB$25*(IC186+(1-IC186)*$IB$16)</f>
        <v>252.05322714681438</v>
      </c>
      <c r="IE186" s="13">
        <f>ID186*($IB$6+ACUTE_MARGIN)</f>
        <v>254573.7594182825</v>
      </c>
      <c r="IF186" s="13">
        <f>IF(IB186=1,$IB$31,$IB$32)</f>
        <v>152734.9994534971</v>
      </c>
      <c r="IG186" s="13">
        <f>IE186-IF186</f>
        <v>101838.75996478542</v>
      </c>
      <c r="IH186" s="13">
        <f>IH185+IG186</f>
        <v>10489392.276372889</v>
      </c>
      <c r="II186">
        <f>IF(IH186=MAX($IH$83:$IH$483),$A186,0)</f>
        <v>0</v>
      </c>
      <c r="IJ186">
        <f>IF(IE186&lt;IF186,$A186,B_MAX+1)</f>
        <v>401.0</v>
      </c>
      <c r="IK186" s="13">
        <f>IF(IB186=1,$IB$35,$IB$36)</f>
        <v>0</v>
      </c>
      <c r="IL186" s="13">
        <f>OCC_DAYS*$IB$41*R_NF_2023-ID186*MCD_SHARE_FREED*R_WAIT_2023</f>
        <v>37367.159242427646</v>
      </c>
      <c r="IM186">
        <f>IF($A186&lt;=$IB$45,1,0)</f>
        <v>1</v>
      </c>
      <c r="JB186">
        <f>IF($JB$31&lt;=$JB$32,IF($A186&lt;=$JB$7,1,2),IF($A186&lt;=RUNG_BEDS_2,2,1))</f>
        <v>1</v>
      </c>
      <c r="JC186" s="5">
        <f>MIN(1,MAX(0,$JB$26-($A186-1)))</f>
        <v>1</v>
      </c>
      <c r="JD186" s="5">
        <f>$JB$25*(JC186+(1-JC186)*$JB$16)</f>
        <v>252.05322714681438</v>
      </c>
      <c r="JE186" s="13">
        <f>JD186*($JB$6+ACUTE_MARGIN)</f>
        <v>254573.7594182825</v>
      </c>
      <c r="JF186" s="13">
        <f>IF(JB186=1,$JB$31,$JB$32)</f>
        <v>152394.16214437486</v>
      </c>
      <c r="JG186" s="13">
        <f>JE186-JF186</f>
        <v>102179.59727390765</v>
      </c>
      <c r="JH186" s="13">
        <f>JH185+JG186</f>
        <v>10524498.519212505</v>
      </c>
      <c r="JI186">
        <f>IF(JH186=MAX($JH$83:$JH$483),$A186,0)</f>
        <v>0</v>
      </c>
      <c r="JJ186">
        <f>IF(JE186&lt;JF186,$A186,B_MAX+1)</f>
        <v>401.0</v>
      </c>
      <c r="JK186" s="13">
        <f>IF(JB186=1,$JB$35,$JB$36)</f>
        <v>0</v>
      </c>
      <c r="JL186" s="13">
        <f>OCC_DAYS*$JB$41*R_NF_2023-JD186*MCD_SHARE_FREED*R_WAIT_2023</f>
        <v>37367.159242427646</v>
      </c>
      <c r="JM186">
        <f>IF($A186&lt;=$JB$45,1,0)</f>
        <v>1</v>
      </c>
      <c r="KB186">
        <f>IF($KB$31&lt;=$KB$32,IF($A186&lt;=$KB$7,1,2),IF($A186&lt;=RUNG_BEDS_2,2,1))</f>
        <v>1</v>
      </c>
      <c r="KC186" s="5">
        <f>MIN(1,MAX(0,$KB$26-($A186-1)))</f>
        <v>1</v>
      </c>
      <c r="KD186" s="5">
        <f>$KB$25*(KC186+(1-KC186)*$KB$16)</f>
        <v>126.02661357340719</v>
      </c>
      <c r="KE186" s="13">
        <f>KD186*($KB$6+ACUTE_MARGIN)</f>
        <v>127286.87970914126</v>
      </c>
      <c r="KF186" s="13">
        <f>IF(KB186=1,$KB$31,$KB$32)</f>
        <v>152394.16214437486</v>
      </c>
      <c r="KG186" s="13">
        <f>KE186-KF186</f>
        <v>-25107.282435233603</v>
      </c>
      <c r="KH186" s="13">
        <f>KH185+KG186</f>
        <v>-2586050.090829067</v>
      </c>
      <c r="KI186">
        <f>IF(KH186=MAX($KH$83:$KH$483),$A186,0)</f>
        <v>0</v>
      </c>
      <c r="KJ186">
        <f>IF(KE186&lt;KF186,$A186,B_MAX+1)</f>
        <v>103</v>
      </c>
      <c r="KK186" s="13">
        <f>IF(KB186=1,$KB$35,$KB$36)</f>
        <v>0</v>
      </c>
      <c r="KL186" s="13">
        <f>OCC_DAYS*$KB$41*R_NF_2023-KD186*MCD_SHARE_FREED*R_WAIT_2023</f>
        <v>94673.82103225985</v>
      </c>
      <c r="KM186">
        <f>IF($A186&lt;=$KB$45,1,0)</f>
        <v>0</v>
      </c>
      <c r="LB186">
        <f>IF($LB$31&lt;=$LB$32,IF($A186&lt;=$LB$7,1,2),IF($A186&lt;=RUNG_BEDS_2,2,1))</f>
        <v>1</v>
      </c>
      <c r="LC186" s="5">
        <f>MIN(1,MAX(0,$LB$26-($A186-1)))</f>
        <v>1</v>
      </c>
      <c r="LD186" s="5">
        <f>$LB$25*(LC186+(1-LC186)*$LB$16)</f>
        <v>84.01774238227146</v>
      </c>
      <c r="LE186" s="13">
        <f>LD186*($LB$6+ACUTE_MARGIN)</f>
        <v>84857.91980609419</v>
      </c>
      <c r="LF186" s="13">
        <f>IF(LB186=1,$LB$31,$LB$32)</f>
        <v>152394.16214437486</v>
      </c>
      <c r="LG186" s="13">
        <f>LE186-LF186</f>
        <v>-67536.24233828067</v>
      </c>
      <c r="LH186" s="13">
        <f>LH185+LG186</f>
        <v>-6956232.960842927</v>
      </c>
      <c r="LI186">
        <f>IF(LH186=MAX($LH$83:$LH$483),$A186,0)</f>
        <v>0</v>
      </c>
      <c r="LJ186">
        <f>IF(LE186&lt;LF186,$A186,B_MAX+1)</f>
        <v>103</v>
      </c>
      <c r="LK186" s="13">
        <f>IF(LB186=1,$LB$35,$LB$36)</f>
        <v>0</v>
      </c>
      <c r="LL186" s="13">
        <f>OCC_DAYS*$LB$41*R_NF_2023-LD186*MCD_SHARE_FREED*R_WAIT_2023</f>
        <v>113776.04162887059</v>
      </c>
      <c r="LM186">
        <f>IF($A186&lt;=$LB$45,1,0)</f>
        <v>0</v>
      </c>
      <c r="MB186">
        <f>IF($MB$31&lt;=$MB$32,IF($A186&lt;=$MB$7,1,2),IF($A186&lt;=RUNG_BEDS_2,2,1))</f>
        <v>1</v>
      </c>
      <c r="MC186" s="5">
        <f>MIN(1,MAX(0,$MB$26-($A186-1)))</f>
        <v>1</v>
      </c>
      <c r="MD186" s="5">
        <f>$MB$25*(MC186+(1-MC186)*$MB$16)</f>
        <v>213.44610951008647</v>
      </c>
      <c r="ME186" s="13">
        <f>MD186*($MB$6+ACUTE_MARGIN)</f>
        <v>215580.57060518733</v>
      </c>
      <c r="MF186" s="13">
        <f>IF(MB186=1,$MB$31,$MB$32)</f>
        <v>152394.16214437486</v>
      </c>
      <c r="MG186" s="13">
        <f>ME186-MF186</f>
        <v>63186.40846081247</v>
      </c>
      <c r="MH186" s="13">
        <f>MH185+MG186</f>
        <v>6508200.071463695</v>
      </c>
      <c r="MI186">
        <f>IF(MH186=MAX($MH$83:$MH$483),$A186,0)</f>
        <v>0</v>
      </c>
      <c r="MJ186">
        <f>IF(ME186&lt;MF186,$A186,B_MAX+1)</f>
        <v>401.0</v>
      </c>
      <c r="MK186" s="13">
        <f>IF(MB186=1,$MB$35,$MB$36)</f>
        <v>0</v>
      </c>
      <c r="ML186" s="13">
        <f>OCC_DAYS*$MB$41*R_NF_2023-MD186*MCD_SHARE_FREED*R_WAIT_2023</f>
        <v>54922.538779778624</v>
      </c>
      <c r="MM186">
        <f>IF($A186&lt;=$MB$45,1,0)</f>
        <v>1</v>
      </c>
      <c r="NB186">
        <f>IF($NB$31&lt;=$NB$32,IF($A186&lt;=$NB$7,1,2),IF($A186&lt;=RUNG_BEDS_2,2,1))</f>
        <v>1</v>
      </c>
      <c r="NC186" s="5">
        <f>MIN(1,MAX(0,$NB$26-($A186-1)))</f>
        <v>1</v>
      </c>
      <c r="ND186" s="5">
        <f>$NB$25*(NC186+(1-NC186)*$NB$16)</f>
        <v>252.05322714681438</v>
      </c>
      <c r="NE186" s="13">
        <f>ND186*($NB$6+ACUTE_MARGIN)</f>
        <v>254573.7594182825</v>
      </c>
      <c r="NF186" s="13">
        <f>IF(NB186=1,$NB$31,$NB$32)</f>
        <v>152394.16214437486</v>
      </c>
      <c r="NG186" s="13">
        <f>NE186-NF186</f>
        <v>102179.59727390765</v>
      </c>
      <c r="NH186" s="13">
        <f>NH185+NG186</f>
        <v>10524498.519212505</v>
      </c>
      <c r="NI186">
        <f>IF(NH186=MAX($NH$83:$NH$483),$A186,0)</f>
        <v>0</v>
      </c>
      <c r="NJ186">
        <f>IF(NE186&lt;NF186,$A186,B_MAX+1)</f>
        <v>401.0</v>
      </c>
      <c r="NK186" s="13">
        <f>IF(NB186=1,$NB$35,$NB$36)</f>
        <v>0</v>
      </c>
      <c r="NL186" s="13">
        <f>OCC_DAYS*$NB$41*R_NF_2023-ND186*MCD_SHARE_FREED*R_WAIT_2023</f>
        <v>37367.159242427646</v>
      </c>
      <c r="NM186">
        <f>IF($A186&lt;=$NB$45,1,0)</f>
        <v>1</v>
      </c>
      <c r="OB186">
        <f>IF($OB$31&lt;=$OB$32,IF($A186&lt;=$OB$7,1,2),IF($A186&lt;=RUNG_BEDS_2,2,1))</f>
        <v>1</v>
      </c>
      <c r="OC186" s="5">
        <f>MIN(1,MAX(0,$OB$26-($A186-1)))</f>
        <v>1</v>
      </c>
      <c r="OD186" s="5">
        <f>$OB$25*(OC186+(1-OC186)*$OB$16)</f>
        <v>252.05322714681438</v>
      </c>
      <c r="OE186" s="13">
        <f>OD186*($OB$6+ACUTE_MARGIN)</f>
        <v>254573.7594182825</v>
      </c>
      <c r="OF186" s="13">
        <f>IF(OB186=1,$OB$31,$OB$32)</f>
        <v>152394.16214437486</v>
      </c>
      <c r="OG186" s="13">
        <f>OE186-OF186</f>
        <v>102179.59727390765</v>
      </c>
      <c r="OH186" s="13">
        <f>OH185+OG186</f>
        <v>10524498.519212505</v>
      </c>
      <c r="OI186">
        <f>IF(OH186=MAX($OH$83:$OH$483),$A186,0)</f>
        <v>0</v>
      </c>
      <c r="OJ186">
        <f>IF(OE186&lt;OF186,$A186,B_MAX+1)</f>
        <v>401.0</v>
      </c>
      <c r="OK186" s="13">
        <f>IF(OB186=1,$OB$35,$OB$36)</f>
        <v>0</v>
      </c>
      <c r="OL186" s="13">
        <f>OCC_DAYS*$OB$41*R_NF_2023-OD186*MCD_SHARE_FREED*R_WAIT_2023</f>
        <v>37367.159242427646</v>
      </c>
      <c r="OM186">
        <f>IF($A186&lt;=$OB$45,1,0)</f>
        <v>1</v>
      </c>
    </row>
    <row r="187">
      <c r="A187" t="n">
        <v>104</v>
      </c>
      <c r="B187">
        <f>IF($B$31&lt;=$B$32,IF($A187&lt;=$B$7,1,2),IF($A187&lt;=RUNG_BEDS_2,2,1))</f>
        <v>1</v>
      </c>
      <c r="C187" s="5">
        <f>MIN(1,MAX(0,$B$26-($A187-1)))</f>
        <v>1</v>
      </c>
      <c r="D187" s="5">
        <f>$B$25*(C187+(1-C187)*$B$16)</f>
        <v>252.05322714681438</v>
      </c>
      <c r="E187" s="13">
        <f>D187*($B$6+ACUTE_MARGIN)</f>
        <v>254573.7594182825</v>
      </c>
      <c r="F187" s="13">
        <f>IF(B187=1,$B$31,$B$32)</f>
        <v>152394.16214437486</v>
      </c>
      <c r="G187" s="13">
        <f>E187-F187</f>
        <v>102179.59727390765</v>
      </c>
      <c r="H187" s="13">
        <f>H186+G187</f>
        <v>10626678.116486413</v>
      </c>
      <c r="I187">
        <f>IF(H187=MAX($H$83:$H$483),$A187,0)</f>
        <v>0</v>
      </c>
      <c r="J187">
        <f>IF(E187&lt;F187,$A187,B_MAX+1)</f>
        <v>401.0</v>
      </c>
      <c r="K187" s="13">
        <f>IF(B187=1,$B$35,$B$36)</f>
        <v>0</v>
      </c>
      <c r="L187" s="13">
        <f>OCC_DAYS*$B$41*R_NF_2023-D187*MCD_SHARE_FREED*R_WAIT_2023</f>
        <v>37367.159242427646</v>
      </c>
      <c r="M187">
        <f>IF($A187&lt;=$B$45,1,0)</f>
        <v>1</v>
      </c>
      <c r="AB187">
        <f>IF($AB$31&lt;=$AB$32,IF($A187&lt;=$AB$7,1,2),IF($A187&lt;=RUNG_BEDS_2,2,1))</f>
        <v>1</v>
      </c>
      <c r="AC187" s="5">
        <f>MIN(1,MAX(0,$AB$26-($A187-1)))</f>
        <v>1</v>
      </c>
      <c r="AD187" s="5">
        <f>$AB$25*(AC187+(1-AC187)*$AB$16)</f>
        <v>252.05322714681438</v>
      </c>
      <c r="AE187" s="13">
        <f>AD187*($AB$6+ACUTE_MARGIN)</f>
        <v>138629.2749307479</v>
      </c>
      <c r="AF187" s="13">
        <f>IF(AB187=1,$AB$31,$AB$32)</f>
        <v>152394.16214437486</v>
      </c>
      <c r="AG187" s="13">
        <f>AE187-AF187</f>
        <v>-13764.887213626964</v>
      </c>
      <c r="AH187" s="13">
        <f>AH186+AG187</f>
        <v>-1431548.2702172035</v>
      </c>
      <c r="AI187">
        <f>IF(AH187=MAX($AH$83:$AH$483),$A187,0)</f>
        <v>0</v>
      </c>
      <c r="AJ187">
        <f>IF(AE187&lt;AF187,$A187,B_MAX+1)</f>
        <v>104</v>
      </c>
      <c r="AK187" s="13">
        <f>IF(AB187=1,$AB$35,$AB$36)</f>
        <v>0</v>
      </c>
      <c r="AL187" s="13">
        <f>OCC_DAYS*$AB$41*R_NF_2023-AD187*MCD_SHARE_FREED*R_WAIT_2023</f>
        <v>37367.159242427646</v>
      </c>
      <c r="AM187">
        <f>IF($A187&lt;=$AB$45,1,0)</f>
        <v>0</v>
      </c>
      <c r="BB187">
        <f>IF($BB$31&lt;=$BB$32,IF($A187&lt;=$BB$7,1,2),IF($A187&lt;=RUNG_BEDS_2,2,1))</f>
        <v>1</v>
      </c>
      <c r="BC187" s="5">
        <f>MIN(1,MAX(0,$BB$26-($A187-1)))</f>
        <v>1</v>
      </c>
      <c r="BD187" s="5">
        <f>$BB$25*(BC187+(1-BC187)*$BB$16)</f>
        <v>252.05322714681438</v>
      </c>
      <c r="BE187" s="13">
        <f>BD187*($BB$6+ACUTE_MARGIN)</f>
        <v>370518.24390581716</v>
      </c>
      <c r="BF187" s="13">
        <f>IF(BB187=1,$BB$31,$BB$32)</f>
        <v>152394.16214437486</v>
      </c>
      <c r="BG187" s="13">
        <f>BE187-BF187</f>
        <v>218124.0817614423</v>
      </c>
      <c r="BH187" s="13">
        <f>BH186+BG187</f>
        <v>22684904.503189985</v>
      </c>
      <c r="BI187">
        <f>IF(BH187=MAX($BH$83:$BH$483),$A187,0)</f>
        <v>0</v>
      </c>
      <c r="BJ187">
        <f>IF(BE187&lt;BF187,$A187,B_MAX+1)</f>
        <v>401.0</v>
      </c>
      <c r="BK187" s="13">
        <f>IF(BB187=1,$BB$35,$BB$36)</f>
        <v>0</v>
      </c>
      <c r="BL187" s="13">
        <f>OCC_DAYS*$BB$41*R_NF_2023-BD187*MCD_SHARE_FREED*R_WAIT_2023</f>
        <v>37367.159242427646</v>
      </c>
      <c r="BM187">
        <f>IF($A187&lt;=$BB$45,1,0)</f>
        <v>1</v>
      </c>
      <c r="CB187">
        <f>IF($CB$31&lt;=$CB$32,IF($A187&lt;=$CB$7,1,2),IF($A187&lt;=RUNG_BEDS_2,2,1))</f>
        <v>2</v>
      </c>
      <c r="CC187" s="5">
        <f>MIN(1,MAX(0,$CB$26-($A187-1)))</f>
        <v>1</v>
      </c>
      <c r="CD187" s="5">
        <f>$CB$25*(CC187+(1-CC187)*$CB$16)</f>
        <v>252.05322714681438</v>
      </c>
      <c r="CE187" s="13">
        <f>CD187*($CB$6+ACUTE_MARGIN)</f>
        <v>254573.7594182825</v>
      </c>
      <c r="CF187" s="13">
        <f>IF(CB187=1,$CB$31,$CB$32)</f>
        <v>160718.36940738867</v>
      </c>
      <c r="CG187" s="13">
        <f>CE187-CF187</f>
        <v>93855.39001089384</v>
      </c>
      <c r="CH187" s="13">
        <f>CH186+CG187</f>
        <v>9760960.561132971</v>
      </c>
      <c r="CI187">
        <f>IF(CH187=MAX($CH$83:$CH$483),$A187,0)</f>
        <v>0</v>
      </c>
      <c r="CJ187">
        <f>IF(CE187&lt;CF187,$A187,B_MAX+1)</f>
        <v>401.0</v>
      </c>
      <c r="CK187" s="13">
        <f>IF(CB187=1,$CB$35,$CB$36)</f>
        <v>1560.1194073886782</v>
      </c>
      <c r="CL187" s="13">
        <f>OCC_DAYS*$CB$41*R_NF_2023-CD187*MCD_SHARE_FREED*R_WAIT_2023</f>
        <v>37367.159242427646</v>
      </c>
      <c r="CM187">
        <f>IF($A187&lt;=$CB$45,1,0)</f>
        <v>1</v>
      </c>
      <c r="DB187">
        <f>IF($DB$31&lt;=$DB$32,IF($A187&lt;=$DB$7,1,2),IF($A187&lt;=RUNG_BEDS_2,2,1))</f>
        <v>1</v>
      </c>
      <c r="DC187" s="5">
        <f>MIN(1,MAX(0,$DB$26-($A187-1)))</f>
        <v>1</v>
      </c>
      <c r="DD187" s="5">
        <f>$DB$25*(DC187+(1-DC187)*$DB$16)</f>
        <v>252.05322714681438</v>
      </c>
      <c r="DE187" s="13">
        <f>DD187*($DB$6+ACUTE_MARGIN)</f>
        <v>254573.7594182825</v>
      </c>
      <c r="DF187" s="13">
        <f>IF(DB187=1,$DB$31,$DB$32)</f>
        <v>152394.16214437486</v>
      </c>
      <c r="DG187" s="13">
        <f>DE187-DF187</f>
        <v>102179.59727390765</v>
      </c>
      <c r="DH187" s="13">
        <f>DH186+DG187</f>
        <v>10626678.116486413</v>
      </c>
      <c r="DI187">
        <f>IF(DH187=MAX($DH$83:$DH$483),$A187,0)</f>
        <v>0</v>
      </c>
      <c r="DJ187">
        <f>IF(DE187&lt;DF187,$A187,B_MAX+1)</f>
        <v>401.0</v>
      </c>
      <c r="DK187" s="13">
        <f>IF(DB187=1,$DB$35,$DB$36)</f>
        <v>0</v>
      </c>
      <c r="DL187" s="13">
        <f>OCC_DAYS*$DB$41*R_NF_2023-DD187*MCD_SHARE_FREED*R_WAIT_2023</f>
        <v>37367.159242427646</v>
      </c>
      <c r="DM187">
        <f>IF($A187&lt;=$DB$45,1,0)</f>
        <v>1</v>
      </c>
      <c r="EB187">
        <f>IF($EB$31&lt;=$EB$32,IF($A187&lt;=$EB$7,1,2),IF($A187&lt;=RUNG_BEDS_2,2,1))</f>
        <v>1</v>
      </c>
      <c r="EC187" s="5">
        <f>MIN(1,MAX(0,$EB$26-($A187-1)))</f>
        <v>1</v>
      </c>
      <c r="ED187" s="5">
        <f>$EB$25*(EC187+(1-EC187)*$EB$16)</f>
        <v>252.05322714681438</v>
      </c>
      <c r="EE187" s="13">
        <f>ED187*($EB$6+ACUTE_MARGIN)</f>
        <v>254573.7594182825</v>
      </c>
      <c r="EF187" s="13">
        <f>IF(EB187=1,$EB$31,$EB$32)</f>
        <v>152394.16214437486</v>
      </c>
      <c r="EG187" s="13">
        <f>EE187-EF187</f>
        <v>102179.59727390765</v>
      </c>
      <c r="EH187" s="13">
        <f>EH186+EG187</f>
        <v>10626678.116486413</v>
      </c>
      <c r="EI187">
        <f>IF(EH187=MAX($EH$83:$EH$483),$A187,0)</f>
        <v>0</v>
      </c>
      <c r="EJ187">
        <f>IF(EE187&lt;EF187,$A187,B_MAX+1)</f>
        <v>401.0</v>
      </c>
      <c r="EK187" s="13">
        <f>IF(EB187=1,$EB$35,$EB$36)</f>
        <v>0</v>
      </c>
      <c r="EL187" s="13">
        <f>OCC_DAYS*$EB$41*R_NF_2023-ED187*MCD_SHARE_FREED*R_WAIT_2023</f>
        <v>-63953.16263896705</v>
      </c>
      <c r="EM187">
        <f>IF($A187&lt;=$EB$45,1,0)</f>
        <v>1</v>
      </c>
      <c r="FB187">
        <f>IF($FB$31&lt;=$FB$32,IF($A187&lt;=$FB$7,1,2),IF($A187&lt;=RUNG_BEDS_2,2,1))</f>
        <v>1</v>
      </c>
      <c r="FC187" s="5">
        <f>MIN(1,MAX(0,$FB$26-($A187-1)))</f>
        <v>1</v>
      </c>
      <c r="FD187" s="5">
        <f>$FB$25*(FC187+(1-FC187)*$FB$16)</f>
        <v>252.05322714681438</v>
      </c>
      <c r="FE187" s="13">
        <f>FD187*($FB$6+ACUTE_MARGIN)</f>
        <v>254573.7594182825</v>
      </c>
      <c r="FF187" s="13">
        <f>IF(FB187=1,$FB$31,$FB$32)</f>
        <v>156636.04979437485</v>
      </c>
      <c r="FG187" s="13">
        <f>FE187-FF187</f>
        <v>97937.70962390766</v>
      </c>
      <c r="FH187" s="13">
        <f>FH186+FG187</f>
        <v>10185521.800886381</v>
      </c>
      <c r="FI187">
        <f>IF(FH187=MAX($FH$83:$FH$483),$A187,0)</f>
        <v>0</v>
      </c>
      <c r="FJ187">
        <f>IF(FE187&lt;FF187,$A187,B_MAX+1)</f>
        <v>401.0</v>
      </c>
      <c r="FK187" s="13">
        <f>IF(FB187=1,$FB$35,$FB$36)</f>
        <v>0</v>
      </c>
      <c r="FL187" s="13">
        <f>OCC_DAYS*$FB$41*R_NF_2023-FD187*MCD_SHARE_FREED*R_WAIT_2023</f>
        <v>37367.159242427646</v>
      </c>
      <c r="FM187">
        <f>IF($A187&lt;=$FB$45,1,0)</f>
        <v>1</v>
      </c>
      <c r="GB187">
        <f>IF($GB$31&lt;=$GB$32,IF($A187&lt;=$GB$7,1,2),IF($A187&lt;=RUNG_BEDS_2,2,1))</f>
        <v>1</v>
      </c>
      <c r="GC187" s="5">
        <f>MIN(1,MAX(0,$GB$26-($A187-1)))</f>
        <v>1</v>
      </c>
      <c r="GD187" s="5">
        <f>$GB$25*(GC187+(1-GC187)*$GB$16)</f>
        <v>252.05322714681438</v>
      </c>
      <c r="GE187" s="13">
        <f>GD187*($GB$6+ACUTE_MARGIN)</f>
        <v>254573.7594182825</v>
      </c>
      <c r="GF187" s="13">
        <f>IF(GB187=1,$GB$31,$GB$32)</f>
        <v>152394.16214437486</v>
      </c>
      <c r="GG187" s="13">
        <f>GE187-GF187</f>
        <v>102179.59727390765</v>
      </c>
      <c r="GH187" s="13">
        <f>GH186+GG187</f>
        <v>10626678.116486413</v>
      </c>
      <c r="GI187">
        <f>IF(GH187=MAX($GH$83:$GH$483),$A187,0)</f>
        <v>0</v>
      </c>
      <c r="GJ187">
        <f>IF(GE187&lt;GF187,$A187,B_MAX+1)</f>
        <v>401.0</v>
      </c>
      <c r="GK187" s="13">
        <f>IF(GB187=1,$GB$35,$GB$36)</f>
        <v>0</v>
      </c>
      <c r="GL187" s="13">
        <f>OCC_DAYS*$GB$41*R_NF_2023-GD187*MCD_SHARE_FREED*R_WAIT_2023</f>
        <v>37367.159242427646</v>
      </c>
      <c r="GM187">
        <f>IF($A187&lt;=$GB$45,1,0)</f>
        <v>1</v>
      </c>
      <c r="HB187">
        <f>IF($HB$31&lt;=$HB$32,IF($A187&lt;=$HB$7,1,2),IF($A187&lt;=RUNG_BEDS_2,2,1))</f>
        <v>1</v>
      </c>
      <c r="HC187" s="5">
        <f>MIN(1,MAX(0,$HB$26-($A187-1)))</f>
        <v>1</v>
      </c>
      <c r="HD187" s="5">
        <f>$HB$25*(HC187+(1-HC187)*$HB$16)</f>
        <v>252.05322714681438</v>
      </c>
      <c r="HE187" s="13">
        <f>HD187*($HB$6+ACUTE_MARGIN)</f>
        <v>254573.7594182825</v>
      </c>
      <c r="HF187" s="13">
        <f>IF(HB187=1,$HB$31,$HB$32)</f>
        <v>152456.2970814058</v>
      </c>
      <c r="HG187" s="13">
        <f>HE187-HF187</f>
        <v>102117.46233687672</v>
      </c>
      <c r="HH187" s="13">
        <f>HH186+HG187</f>
        <v>10620216.083035184</v>
      </c>
      <c r="HI187">
        <f>IF(HH187=MAX($HH$83:$HH$483),$A187,0)</f>
        <v>0</v>
      </c>
      <c r="HJ187">
        <f>IF(HE187&lt;HF187,$A187,B_MAX+1)</f>
        <v>401.0</v>
      </c>
      <c r="HK187" s="13">
        <f>IF(HB187=1,$HB$35,$HB$36)</f>
        <v>0</v>
      </c>
      <c r="HL187" s="13">
        <f>OCC_DAYS*$HB$41*R_NF_2023-HD187*MCD_SHARE_FREED*R_WAIT_2023</f>
        <v>37367.159242427646</v>
      </c>
      <c r="HM187">
        <f>IF($A187&lt;=$HB$45,1,0)</f>
        <v>1</v>
      </c>
      <c r="IB187">
        <f>IF($IB$31&lt;=$IB$32,IF($A187&lt;=$IB$7,1,2),IF($A187&lt;=RUNG_BEDS_2,2,1))</f>
        <v>1</v>
      </c>
      <c r="IC187" s="5">
        <f>MIN(1,MAX(0,$IB$26-($A187-1)))</f>
        <v>1</v>
      </c>
      <c r="ID187" s="5">
        <f>$IB$25*(IC187+(1-IC187)*$IB$16)</f>
        <v>252.05322714681438</v>
      </c>
      <c r="IE187" s="13">
        <f>ID187*($IB$6+ACUTE_MARGIN)</f>
        <v>254573.7594182825</v>
      </c>
      <c r="IF187" s="13">
        <f>IF(IB187=1,$IB$31,$IB$32)</f>
        <v>152734.9994534971</v>
      </c>
      <c r="IG187" s="13">
        <f>IE187-IF187</f>
        <v>101838.75996478542</v>
      </c>
      <c r="IH187" s="13">
        <f>IH186+IG187</f>
        <v>10591231.036337674</v>
      </c>
      <c r="II187">
        <f>IF(IH187=MAX($IH$83:$IH$483),$A187,0)</f>
        <v>0</v>
      </c>
      <c r="IJ187">
        <f>IF(IE187&lt;IF187,$A187,B_MAX+1)</f>
        <v>401.0</v>
      </c>
      <c r="IK187" s="13">
        <f>IF(IB187=1,$IB$35,$IB$36)</f>
        <v>0</v>
      </c>
      <c r="IL187" s="13">
        <f>OCC_DAYS*$IB$41*R_NF_2023-ID187*MCD_SHARE_FREED*R_WAIT_2023</f>
        <v>37367.159242427646</v>
      </c>
      <c r="IM187">
        <f>IF($A187&lt;=$IB$45,1,0)</f>
        <v>1</v>
      </c>
      <c r="JB187">
        <f>IF($JB$31&lt;=$JB$32,IF($A187&lt;=$JB$7,1,2),IF($A187&lt;=RUNG_BEDS_2,2,1))</f>
        <v>1</v>
      </c>
      <c r="JC187" s="5">
        <f>MIN(1,MAX(0,$JB$26-($A187-1)))</f>
        <v>1</v>
      </c>
      <c r="JD187" s="5">
        <f>$JB$25*(JC187+(1-JC187)*$JB$16)</f>
        <v>252.05322714681438</v>
      </c>
      <c r="JE187" s="13">
        <f>JD187*($JB$6+ACUTE_MARGIN)</f>
        <v>254573.7594182825</v>
      </c>
      <c r="JF187" s="13">
        <f>IF(JB187=1,$JB$31,$JB$32)</f>
        <v>152394.16214437486</v>
      </c>
      <c r="JG187" s="13">
        <f>JE187-JF187</f>
        <v>102179.59727390765</v>
      </c>
      <c r="JH187" s="13">
        <f>JH186+JG187</f>
        <v>10626678.116486413</v>
      </c>
      <c r="JI187">
        <f>IF(JH187=MAX($JH$83:$JH$483),$A187,0)</f>
        <v>0</v>
      </c>
      <c r="JJ187">
        <f>IF(JE187&lt;JF187,$A187,B_MAX+1)</f>
        <v>401.0</v>
      </c>
      <c r="JK187" s="13">
        <f>IF(JB187=1,$JB$35,$JB$36)</f>
        <v>0</v>
      </c>
      <c r="JL187" s="13">
        <f>OCC_DAYS*$JB$41*R_NF_2023-JD187*MCD_SHARE_FREED*R_WAIT_2023</f>
        <v>37367.159242427646</v>
      </c>
      <c r="JM187">
        <f>IF($A187&lt;=$JB$45,1,0)</f>
        <v>1</v>
      </c>
      <c r="KB187">
        <f>IF($KB$31&lt;=$KB$32,IF($A187&lt;=$KB$7,1,2),IF($A187&lt;=RUNG_BEDS_2,2,1))</f>
        <v>1</v>
      </c>
      <c r="KC187" s="5">
        <f>MIN(1,MAX(0,$KB$26-($A187-1)))</f>
        <v>1</v>
      </c>
      <c r="KD187" s="5">
        <f>$KB$25*(KC187+(1-KC187)*$KB$16)</f>
        <v>126.02661357340719</v>
      </c>
      <c r="KE187" s="13">
        <f>KD187*($KB$6+ACUTE_MARGIN)</f>
        <v>127286.87970914126</v>
      </c>
      <c r="KF187" s="13">
        <f>IF(KB187=1,$KB$31,$KB$32)</f>
        <v>152394.16214437486</v>
      </c>
      <c r="KG187" s="13">
        <f>KE187-KF187</f>
        <v>-25107.282435233603</v>
      </c>
      <c r="KH187" s="13">
        <f>KH186+KG187</f>
        <v>-2611157.3732643006</v>
      </c>
      <c r="KI187">
        <f>IF(KH187=MAX($KH$83:$KH$483),$A187,0)</f>
        <v>0</v>
      </c>
      <c r="KJ187">
        <f>IF(KE187&lt;KF187,$A187,B_MAX+1)</f>
        <v>104</v>
      </c>
      <c r="KK187" s="13">
        <f>IF(KB187=1,$KB$35,$KB$36)</f>
        <v>0</v>
      </c>
      <c r="KL187" s="13">
        <f>OCC_DAYS*$KB$41*R_NF_2023-KD187*MCD_SHARE_FREED*R_WAIT_2023</f>
        <v>94673.82103225985</v>
      </c>
      <c r="KM187">
        <f>IF($A187&lt;=$KB$45,1,0)</f>
        <v>0</v>
      </c>
      <c r="LB187">
        <f>IF($LB$31&lt;=$LB$32,IF($A187&lt;=$LB$7,1,2),IF($A187&lt;=RUNG_BEDS_2,2,1))</f>
        <v>1</v>
      </c>
      <c r="LC187" s="5">
        <f>MIN(1,MAX(0,$LB$26-($A187-1)))</f>
        <v>1</v>
      </c>
      <c r="LD187" s="5">
        <f>$LB$25*(LC187+(1-LC187)*$LB$16)</f>
        <v>84.01774238227146</v>
      </c>
      <c r="LE187" s="13">
        <f>LD187*($LB$6+ACUTE_MARGIN)</f>
        <v>84857.91980609419</v>
      </c>
      <c r="LF187" s="13">
        <f>IF(LB187=1,$LB$31,$LB$32)</f>
        <v>152394.16214437486</v>
      </c>
      <c r="LG187" s="13">
        <f>LE187-LF187</f>
        <v>-67536.24233828067</v>
      </c>
      <c r="LH187" s="13">
        <f>LH186+LG187</f>
        <v>-7023769.203181208</v>
      </c>
      <c r="LI187">
        <f>IF(LH187=MAX($LH$83:$LH$483),$A187,0)</f>
        <v>0</v>
      </c>
      <c r="LJ187">
        <f>IF(LE187&lt;LF187,$A187,B_MAX+1)</f>
        <v>104</v>
      </c>
      <c r="LK187" s="13">
        <f>IF(LB187=1,$LB$35,$LB$36)</f>
        <v>0</v>
      </c>
      <c r="LL187" s="13">
        <f>OCC_DAYS*$LB$41*R_NF_2023-LD187*MCD_SHARE_FREED*R_WAIT_2023</f>
        <v>113776.04162887059</v>
      </c>
      <c r="LM187">
        <f>IF($A187&lt;=$LB$45,1,0)</f>
        <v>0</v>
      </c>
      <c r="MB187">
        <f>IF($MB$31&lt;=$MB$32,IF($A187&lt;=$MB$7,1,2),IF($A187&lt;=RUNG_BEDS_2,2,1))</f>
        <v>1</v>
      </c>
      <c r="MC187" s="5">
        <f>MIN(1,MAX(0,$MB$26-($A187-1)))</f>
        <v>1</v>
      </c>
      <c r="MD187" s="5">
        <f>$MB$25*(MC187+(1-MC187)*$MB$16)</f>
        <v>213.44610951008647</v>
      </c>
      <c r="ME187" s="13">
        <f>MD187*($MB$6+ACUTE_MARGIN)</f>
        <v>215580.57060518733</v>
      </c>
      <c r="MF187" s="13">
        <f>IF(MB187=1,$MB$31,$MB$32)</f>
        <v>152394.16214437486</v>
      </c>
      <c r="MG187" s="13">
        <f>ME187-MF187</f>
        <v>63186.40846081247</v>
      </c>
      <c r="MH187" s="13">
        <f>MH186+MG187</f>
        <v>6571386.479924507</v>
      </c>
      <c r="MI187">
        <f>IF(MH187=MAX($MH$83:$MH$483),$A187,0)</f>
        <v>0</v>
      </c>
      <c r="MJ187">
        <f>IF(ME187&lt;MF187,$A187,B_MAX+1)</f>
        <v>401.0</v>
      </c>
      <c r="MK187" s="13">
        <f>IF(MB187=1,$MB$35,$MB$36)</f>
        <v>0</v>
      </c>
      <c r="ML187" s="13">
        <f>OCC_DAYS*$MB$41*R_NF_2023-MD187*MCD_SHARE_FREED*R_WAIT_2023</f>
        <v>54922.538779778624</v>
      </c>
      <c r="MM187">
        <f>IF($A187&lt;=$MB$45,1,0)</f>
        <v>1</v>
      </c>
      <c r="NB187">
        <f>IF($NB$31&lt;=$NB$32,IF($A187&lt;=$NB$7,1,2),IF($A187&lt;=RUNG_BEDS_2,2,1))</f>
        <v>1</v>
      </c>
      <c r="NC187" s="5">
        <f>MIN(1,MAX(0,$NB$26-($A187-1)))</f>
        <v>1</v>
      </c>
      <c r="ND187" s="5">
        <f>$NB$25*(NC187+(1-NC187)*$NB$16)</f>
        <v>252.05322714681438</v>
      </c>
      <c r="NE187" s="13">
        <f>ND187*($NB$6+ACUTE_MARGIN)</f>
        <v>254573.7594182825</v>
      </c>
      <c r="NF187" s="13">
        <f>IF(NB187=1,$NB$31,$NB$32)</f>
        <v>152394.16214437486</v>
      </c>
      <c r="NG187" s="13">
        <f>NE187-NF187</f>
        <v>102179.59727390765</v>
      </c>
      <c r="NH187" s="13">
        <f>NH186+NG187</f>
        <v>10626678.116486413</v>
      </c>
      <c r="NI187">
        <f>IF(NH187=MAX($NH$83:$NH$483),$A187,0)</f>
        <v>0</v>
      </c>
      <c r="NJ187">
        <f>IF(NE187&lt;NF187,$A187,B_MAX+1)</f>
        <v>401.0</v>
      </c>
      <c r="NK187" s="13">
        <f>IF(NB187=1,$NB$35,$NB$36)</f>
        <v>0</v>
      </c>
      <c r="NL187" s="13">
        <f>OCC_DAYS*$NB$41*R_NF_2023-ND187*MCD_SHARE_FREED*R_WAIT_2023</f>
        <v>37367.159242427646</v>
      </c>
      <c r="NM187">
        <f>IF($A187&lt;=$NB$45,1,0)</f>
        <v>1</v>
      </c>
      <c r="OB187">
        <f>IF($OB$31&lt;=$OB$32,IF($A187&lt;=$OB$7,1,2),IF($A187&lt;=RUNG_BEDS_2,2,1))</f>
        <v>1</v>
      </c>
      <c r="OC187" s="5">
        <f>MIN(1,MAX(0,$OB$26-($A187-1)))</f>
        <v>1</v>
      </c>
      <c r="OD187" s="5">
        <f>$OB$25*(OC187+(1-OC187)*$OB$16)</f>
        <v>252.05322714681438</v>
      </c>
      <c r="OE187" s="13">
        <f>OD187*($OB$6+ACUTE_MARGIN)</f>
        <v>254573.7594182825</v>
      </c>
      <c r="OF187" s="13">
        <f>IF(OB187=1,$OB$31,$OB$32)</f>
        <v>152394.16214437486</v>
      </c>
      <c r="OG187" s="13">
        <f>OE187-OF187</f>
        <v>102179.59727390765</v>
      </c>
      <c r="OH187" s="13">
        <f>OH186+OG187</f>
        <v>10626678.116486413</v>
      </c>
      <c r="OI187">
        <f>IF(OH187=MAX($OH$83:$OH$483),$A187,0)</f>
        <v>0</v>
      </c>
      <c r="OJ187">
        <f>IF(OE187&lt;OF187,$A187,B_MAX+1)</f>
        <v>401.0</v>
      </c>
      <c r="OK187" s="13">
        <f>IF(OB187=1,$OB$35,$OB$36)</f>
        <v>0</v>
      </c>
      <c r="OL187" s="13">
        <f>OCC_DAYS*$OB$41*R_NF_2023-OD187*MCD_SHARE_FREED*R_WAIT_2023</f>
        <v>37367.159242427646</v>
      </c>
      <c r="OM187">
        <f>IF($A187&lt;=$OB$45,1,0)</f>
        <v>1</v>
      </c>
    </row>
    <row r="188">
      <c r="A188" t="n">
        <v>105</v>
      </c>
      <c r="B188">
        <f>IF($B$31&lt;=$B$32,IF($A188&lt;=$B$7,1,2),IF($A188&lt;=RUNG_BEDS_2,2,1))</f>
        <v>1</v>
      </c>
      <c r="C188" s="5">
        <f>MIN(1,MAX(0,$B$26-($A188-1)))</f>
        <v>1</v>
      </c>
      <c r="D188" s="5">
        <f>$B$25*(C188+(1-C188)*$B$16)</f>
        <v>252.05322714681438</v>
      </c>
      <c r="E188" s="13">
        <f>D188*($B$6+ACUTE_MARGIN)</f>
        <v>254573.7594182825</v>
      </c>
      <c r="F188" s="13">
        <f>IF(B188=1,$B$31,$B$32)</f>
        <v>152394.16214437486</v>
      </c>
      <c r="G188" s="13">
        <f>E188-F188</f>
        <v>102179.59727390765</v>
      </c>
      <c r="H188" s="13">
        <f>H187+G188</f>
        <v>10728857.713760322</v>
      </c>
      <c r="I188">
        <f>IF(H188=MAX($H$83:$H$483),$A188,0)</f>
        <v>0</v>
      </c>
      <c r="J188">
        <f>IF(E188&lt;F188,$A188,B_MAX+1)</f>
        <v>401.0</v>
      </c>
      <c r="K188" s="13">
        <f>IF(B188=1,$B$35,$B$36)</f>
        <v>0</v>
      </c>
      <c r="L188" s="13">
        <f>OCC_DAYS*$B$41*R_NF_2023-D188*MCD_SHARE_FREED*R_WAIT_2023</f>
        <v>37367.159242427646</v>
      </c>
      <c r="M188">
        <f>IF($A188&lt;=$B$45,1,0)</f>
        <v>1</v>
      </c>
      <c r="AB188">
        <f>IF($AB$31&lt;=$AB$32,IF($A188&lt;=$AB$7,1,2),IF($A188&lt;=RUNG_BEDS_2,2,1))</f>
        <v>1</v>
      </c>
      <c r="AC188" s="5">
        <f>MIN(1,MAX(0,$AB$26-($A188-1)))</f>
        <v>1</v>
      </c>
      <c r="AD188" s="5">
        <f>$AB$25*(AC188+(1-AC188)*$AB$16)</f>
        <v>252.05322714681438</v>
      </c>
      <c r="AE188" s="13">
        <f>AD188*($AB$6+ACUTE_MARGIN)</f>
        <v>138629.2749307479</v>
      </c>
      <c r="AF188" s="13">
        <f>IF(AB188=1,$AB$31,$AB$32)</f>
        <v>152394.16214437486</v>
      </c>
      <c r="AG188" s="13">
        <f>AE188-AF188</f>
        <v>-13764.887213626964</v>
      </c>
      <c r="AH188" s="13">
        <f>AH187+AG188</f>
        <v>-1445313.1574308304</v>
      </c>
      <c r="AI188">
        <f>IF(AH188=MAX($AH$83:$AH$483),$A188,0)</f>
        <v>0</v>
      </c>
      <c r="AJ188">
        <f>IF(AE188&lt;AF188,$A188,B_MAX+1)</f>
        <v>105</v>
      </c>
      <c r="AK188" s="13">
        <f>IF(AB188=1,$AB$35,$AB$36)</f>
        <v>0</v>
      </c>
      <c r="AL188" s="13">
        <f>OCC_DAYS*$AB$41*R_NF_2023-AD188*MCD_SHARE_FREED*R_WAIT_2023</f>
        <v>37367.159242427646</v>
      </c>
      <c r="AM188">
        <f>IF($A188&lt;=$AB$45,1,0)</f>
        <v>0</v>
      </c>
      <c r="BB188">
        <f>IF($BB$31&lt;=$BB$32,IF($A188&lt;=$BB$7,1,2),IF($A188&lt;=RUNG_BEDS_2,2,1))</f>
        <v>1</v>
      </c>
      <c r="BC188" s="5">
        <f>MIN(1,MAX(0,$BB$26-($A188-1)))</f>
        <v>1</v>
      </c>
      <c r="BD188" s="5">
        <f>$BB$25*(BC188+(1-BC188)*$BB$16)</f>
        <v>252.05322714681438</v>
      </c>
      <c r="BE188" s="13">
        <f>BD188*($BB$6+ACUTE_MARGIN)</f>
        <v>370518.24390581716</v>
      </c>
      <c r="BF188" s="13">
        <f>IF(BB188=1,$BB$31,$BB$32)</f>
        <v>152394.16214437486</v>
      </c>
      <c r="BG188" s="13">
        <f>BE188-BF188</f>
        <v>218124.0817614423</v>
      </c>
      <c r="BH188" s="13">
        <f>BH187+BG188</f>
        <v>22903028.584951427</v>
      </c>
      <c r="BI188">
        <f>IF(BH188=MAX($BH$83:$BH$483),$A188,0)</f>
        <v>0</v>
      </c>
      <c r="BJ188">
        <f>IF(BE188&lt;BF188,$A188,B_MAX+1)</f>
        <v>401.0</v>
      </c>
      <c r="BK188" s="13">
        <f>IF(BB188=1,$BB$35,$BB$36)</f>
        <v>0</v>
      </c>
      <c r="BL188" s="13">
        <f>OCC_DAYS*$BB$41*R_NF_2023-BD188*MCD_SHARE_FREED*R_WAIT_2023</f>
        <v>37367.159242427646</v>
      </c>
      <c r="BM188">
        <f>IF($A188&lt;=$BB$45,1,0)</f>
        <v>1</v>
      </c>
      <c r="CB188">
        <f>IF($CB$31&lt;=$CB$32,IF($A188&lt;=$CB$7,1,2),IF($A188&lt;=RUNG_BEDS_2,2,1))</f>
        <v>2</v>
      </c>
      <c r="CC188" s="5">
        <f>MIN(1,MAX(0,$CB$26-($A188-1)))</f>
        <v>1</v>
      </c>
      <c r="CD188" s="5">
        <f>$CB$25*(CC188+(1-CC188)*$CB$16)</f>
        <v>252.05322714681438</v>
      </c>
      <c r="CE188" s="13">
        <f>CD188*($CB$6+ACUTE_MARGIN)</f>
        <v>254573.7594182825</v>
      </c>
      <c r="CF188" s="13">
        <f>IF(CB188=1,$CB$31,$CB$32)</f>
        <v>160718.36940738867</v>
      </c>
      <c r="CG188" s="13">
        <f>CE188-CF188</f>
        <v>93855.39001089384</v>
      </c>
      <c r="CH188" s="13">
        <f>CH187+CG188</f>
        <v>9854815.951143865</v>
      </c>
      <c r="CI188">
        <f>IF(CH188=MAX($CH$83:$CH$483),$A188,0)</f>
        <v>0</v>
      </c>
      <c r="CJ188">
        <f>IF(CE188&lt;CF188,$A188,B_MAX+1)</f>
        <v>401.0</v>
      </c>
      <c r="CK188" s="13">
        <f>IF(CB188=1,$CB$35,$CB$36)</f>
        <v>1560.1194073886782</v>
      </c>
      <c r="CL188" s="13">
        <f>OCC_DAYS*$CB$41*R_NF_2023-CD188*MCD_SHARE_FREED*R_WAIT_2023</f>
        <v>37367.159242427646</v>
      </c>
      <c r="CM188">
        <f>IF($A188&lt;=$CB$45,1,0)</f>
        <v>1</v>
      </c>
      <c r="DB188">
        <f>IF($DB$31&lt;=$DB$32,IF($A188&lt;=$DB$7,1,2),IF($A188&lt;=RUNG_BEDS_2,2,1))</f>
        <v>1</v>
      </c>
      <c r="DC188" s="5">
        <f>MIN(1,MAX(0,$DB$26-($A188-1)))</f>
        <v>1</v>
      </c>
      <c r="DD188" s="5">
        <f>$DB$25*(DC188+(1-DC188)*$DB$16)</f>
        <v>252.05322714681438</v>
      </c>
      <c r="DE188" s="13">
        <f>DD188*($DB$6+ACUTE_MARGIN)</f>
        <v>254573.7594182825</v>
      </c>
      <c r="DF188" s="13">
        <f>IF(DB188=1,$DB$31,$DB$32)</f>
        <v>152394.16214437486</v>
      </c>
      <c r="DG188" s="13">
        <f>DE188-DF188</f>
        <v>102179.59727390765</v>
      </c>
      <c r="DH188" s="13">
        <f>DH187+DG188</f>
        <v>10728857.713760322</v>
      </c>
      <c r="DI188">
        <f>IF(DH188=MAX($DH$83:$DH$483),$A188,0)</f>
        <v>0</v>
      </c>
      <c r="DJ188">
        <f>IF(DE188&lt;DF188,$A188,B_MAX+1)</f>
        <v>401.0</v>
      </c>
      <c r="DK188" s="13">
        <f>IF(DB188=1,$DB$35,$DB$36)</f>
        <v>0</v>
      </c>
      <c r="DL188" s="13">
        <f>OCC_DAYS*$DB$41*R_NF_2023-DD188*MCD_SHARE_FREED*R_WAIT_2023</f>
        <v>37367.159242427646</v>
      </c>
      <c r="DM188">
        <f>IF($A188&lt;=$DB$45,1,0)</f>
        <v>1</v>
      </c>
      <c r="EB188">
        <f>IF($EB$31&lt;=$EB$32,IF($A188&lt;=$EB$7,1,2),IF($A188&lt;=RUNG_BEDS_2,2,1))</f>
        <v>1</v>
      </c>
      <c r="EC188" s="5">
        <f>MIN(1,MAX(0,$EB$26-($A188-1)))</f>
        <v>1</v>
      </c>
      <c r="ED188" s="5">
        <f>$EB$25*(EC188+(1-EC188)*$EB$16)</f>
        <v>252.05322714681438</v>
      </c>
      <c r="EE188" s="13">
        <f>ED188*($EB$6+ACUTE_MARGIN)</f>
        <v>254573.7594182825</v>
      </c>
      <c r="EF188" s="13">
        <f>IF(EB188=1,$EB$31,$EB$32)</f>
        <v>152394.16214437486</v>
      </c>
      <c r="EG188" s="13">
        <f>EE188-EF188</f>
        <v>102179.59727390765</v>
      </c>
      <c r="EH188" s="13">
        <f>EH187+EG188</f>
        <v>10728857.713760322</v>
      </c>
      <c r="EI188">
        <f>IF(EH188=MAX($EH$83:$EH$483),$A188,0)</f>
        <v>0</v>
      </c>
      <c r="EJ188">
        <f>IF(EE188&lt;EF188,$A188,B_MAX+1)</f>
        <v>401.0</v>
      </c>
      <c r="EK188" s="13">
        <f>IF(EB188=1,$EB$35,$EB$36)</f>
        <v>0</v>
      </c>
      <c r="EL188" s="13">
        <f>OCC_DAYS*$EB$41*R_NF_2023-ED188*MCD_SHARE_FREED*R_WAIT_2023</f>
        <v>-63953.16263896705</v>
      </c>
      <c r="EM188">
        <f>IF($A188&lt;=$EB$45,1,0)</f>
        <v>1</v>
      </c>
      <c r="FB188">
        <f>IF($FB$31&lt;=$FB$32,IF($A188&lt;=$FB$7,1,2),IF($A188&lt;=RUNG_BEDS_2,2,1))</f>
        <v>1</v>
      </c>
      <c r="FC188" s="5">
        <f>MIN(1,MAX(0,$FB$26-($A188-1)))</f>
        <v>1</v>
      </c>
      <c r="FD188" s="5">
        <f>$FB$25*(FC188+(1-FC188)*$FB$16)</f>
        <v>252.05322714681438</v>
      </c>
      <c r="FE188" s="13">
        <f>FD188*($FB$6+ACUTE_MARGIN)</f>
        <v>254573.7594182825</v>
      </c>
      <c r="FF188" s="13">
        <f>IF(FB188=1,$FB$31,$FB$32)</f>
        <v>156636.04979437485</v>
      </c>
      <c r="FG188" s="13">
        <f>FE188-FF188</f>
        <v>97937.70962390766</v>
      </c>
      <c r="FH188" s="13">
        <f>FH187+FG188</f>
        <v>10283459.510510288</v>
      </c>
      <c r="FI188">
        <f>IF(FH188=MAX($FH$83:$FH$483),$A188,0)</f>
        <v>0</v>
      </c>
      <c r="FJ188">
        <f>IF(FE188&lt;FF188,$A188,B_MAX+1)</f>
        <v>401.0</v>
      </c>
      <c r="FK188" s="13">
        <f>IF(FB188=1,$FB$35,$FB$36)</f>
        <v>0</v>
      </c>
      <c r="FL188" s="13">
        <f>OCC_DAYS*$FB$41*R_NF_2023-FD188*MCD_SHARE_FREED*R_WAIT_2023</f>
        <v>37367.159242427646</v>
      </c>
      <c r="FM188">
        <f>IF($A188&lt;=$FB$45,1,0)</f>
        <v>1</v>
      </c>
      <c r="GB188">
        <f>IF($GB$31&lt;=$GB$32,IF($A188&lt;=$GB$7,1,2),IF($A188&lt;=RUNG_BEDS_2,2,1))</f>
        <v>1</v>
      </c>
      <c r="GC188" s="5">
        <f>MIN(1,MAX(0,$GB$26-($A188-1)))</f>
        <v>1</v>
      </c>
      <c r="GD188" s="5">
        <f>$GB$25*(GC188+(1-GC188)*$GB$16)</f>
        <v>252.05322714681438</v>
      </c>
      <c r="GE188" s="13">
        <f>GD188*($GB$6+ACUTE_MARGIN)</f>
        <v>254573.7594182825</v>
      </c>
      <c r="GF188" s="13">
        <f>IF(GB188=1,$GB$31,$GB$32)</f>
        <v>152394.16214437486</v>
      </c>
      <c r="GG188" s="13">
        <f>GE188-GF188</f>
        <v>102179.59727390765</v>
      </c>
      <c r="GH188" s="13">
        <f>GH187+GG188</f>
        <v>10728857.713760322</v>
      </c>
      <c r="GI188">
        <f>IF(GH188=MAX($GH$83:$GH$483),$A188,0)</f>
        <v>0</v>
      </c>
      <c r="GJ188">
        <f>IF(GE188&lt;GF188,$A188,B_MAX+1)</f>
        <v>401.0</v>
      </c>
      <c r="GK188" s="13">
        <f>IF(GB188=1,$GB$35,$GB$36)</f>
        <v>0</v>
      </c>
      <c r="GL188" s="13">
        <f>OCC_DAYS*$GB$41*R_NF_2023-GD188*MCD_SHARE_FREED*R_WAIT_2023</f>
        <v>37367.159242427646</v>
      </c>
      <c r="GM188">
        <f>IF($A188&lt;=$GB$45,1,0)</f>
        <v>1</v>
      </c>
      <c r="HB188">
        <f>IF($HB$31&lt;=$HB$32,IF($A188&lt;=$HB$7,1,2),IF($A188&lt;=RUNG_BEDS_2,2,1))</f>
        <v>1</v>
      </c>
      <c r="HC188" s="5">
        <f>MIN(1,MAX(0,$HB$26-($A188-1)))</f>
        <v>1</v>
      </c>
      <c r="HD188" s="5">
        <f>$HB$25*(HC188+(1-HC188)*$HB$16)</f>
        <v>252.05322714681438</v>
      </c>
      <c r="HE188" s="13">
        <f>HD188*($HB$6+ACUTE_MARGIN)</f>
        <v>254573.7594182825</v>
      </c>
      <c r="HF188" s="13">
        <f>IF(HB188=1,$HB$31,$HB$32)</f>
        <v>152456.2970814058</v>
      </c>
      <c r="HG188" s="13">
        <f>HE188-HF188</f>
        <v>102117.46233687672</v>
      </c>
      <c r="HH188" s="13">
        <f>HH187+HG188</f>
        <v>10722333.545372061</v>
      </c>
      <c r="HI188">
        <f>IF(HH188=MAX($HH$83:$HH$483),$A188,0)</f>
        <v>0</v>
      </c>
      <c r="HJ188">
        <f>IF(HE188&lt;HF188,$A188,B_MAX+1)</f>
        <v>401.0</v>
      </c>
      <c r="HK188" s="13">
        <f>IF(HB188=1,$HB$35,$HB$36)</f>
        <v>0</v>
      </c>
      <c r="HL188" s="13">
        <f>OCC_DAYS*$HB$41*R_NF_2023-HD188*MCD_SHARE_FREED*R_WAIT_2023</f>
        <v>37367.159242427646</v>
      </c>
      <c r="HM188">
        <f>IF($A188&lt;=$HB$45,1,0)</f>
        <v>1</v>
      </c>
      <c r="IB188">
        <f>IF($IB$31&lt;=$IB$32,IF($A188&lt;=$IB$7,1,2),IF($A188&lt;=RUNG_BEDS_2,2,1))</f>
        <v>1</v>
      </c>
      <c r="IC188" s="5">
        <f>MIN(1,MAX(0,$IB$26-($A188-1)))</f>
        <v>1</v>
      </c>
      <c r="ID188" s="5">
        <f>$IB$25*(IC188+(1-IC188)*$IB$16)</f>
        <v>252.05322714681438</v>
      </c>
      <c r="IE188" s="13">
        <f>ID188*($IB$6+ACUTE_MARGIN)</f>
        <v>254573.7594182825</v>
      </c>
      <c r="IF188" s="13">
        <f>IF(IB188=1,$IB$31,$IB$32)</f>
        <v>152734.9994534971</v>
      </c>
      <c r="IG188" s="13">
        <f>IE188-IF188</f>
        <v>101838.75996478542</v>
      </c>
      <c r="IH188" s="13">
        <f>IH187+IG188</f>
        <v>10693069.796302458</v>
      </c>
      <c r="II188">
        <f>IF(IH188=MAX($IH$83:$IH$483),$A188,0)</f>
        <v>0</v>
      </c>
      <c r="IJ188">
        <f>IF(IE188&lt;IF188,$A188,B_MAX+1)</f>
        <v>401.0</v>
      </c>
      <c r="IK188" s="13">
        <f>IF(IB188=1,$IB$35,$IB$36)</f>
        <v>0</v>
      </c>
      <c r="IL188" s="13">
        <f>OCC_DAYS*$IB$41*R_NF_2023-ID188*MCD_SHARE_FREED*R_WAIT_2023</f>
        <v>37367.159242427646</v>
      </c>
      <c r="IM188">
        <f>IF($A188&lt;=$IB$45,1,0)</f>
        <v>1</v>
      </c>
      <c r="JB188">
        <f>IF($JB$31&lt;=$JB$32,IF($A188&lt;=$JB$7,1,2),IF($A188&lt;=RUNG_BEDS_2,2,1))</f>
        <v>1</v>
      </c>
      <c r="JC188" s="5">
        <f>MIN(1,MAX(0,$JB$26-($A188-1)))</f>
        <v>1</v>
      </c>
      <c r="JD188" s="5">
        <f>$JB$25*(JC188+(1-JC188)*$JB$16)</f>
        <v>252.05322714681438</v>
      </c>
      <c r="JE188" s="13">
        <f>JD188*($JB$6+ACUTE_MARGIN)</f>
        <v>254573.7594182825</v>
      </c>
      <c r="JF188" s="13">
        <f>IF(JB188=1,$JB$31,$JB$32)</f>
        <v>152394.16214437486</v>
      </c>
      <c r="JG188" s="13">
        <f>JE188-JF188</f>
        <v>102179.59727390765</v>
      </c>
      <c r="JH188" s="13">
        <f>JH187+JG188</f>
        <v>10728857.713760322</v>
      </c>
      <c r="JI188">
        <f>IF(JH188=MAX($JH$83:$JH$483),$A188,0)</f>
        <v>0</v>
      </c>
      <c r="JJ188">
        <f>IF(JE188&lt;JF188,$A188,B_MAX+1)</f>
        <v>401.0</v>
      </c>
      <c r="JK188" s="13">
        <f>IF(JB188=1,$JB$35,$JB$36)</f>
        <v>0</v>
      </c>
      <c r="JL188" s="13">
        <f>OCC_DAYS*$JB$41*R_NF_2023-JD188*MCD_SHARE_FREED*R_WAIT_2023</f>
        <v>37367.159242427646</v>
      </c>
      <c r="JM188">
        <f>IF($A188&lt;=$JB$45,1,0)</f>
        <v>1</v>
      </c>
      <c r="KB188">
        <f>IF($KB$31&lt;=$KB$32,IF($A188&lt;=$KB$7,1,2),IF($A188&lt;=RUNG_BEDS_2,2,1))</f>
        <v>1</v>
      </c>
      <c r="KC188" s="5">
        <f>MIN(1,MAX(0,$KB$26-($A188-1)))</f>
        <v>1</v>
      </c>
      <c r="KD188" s="5">
        <f>$KB$25*(KC188+(1-KC188)*$KB$16)</f>
        <v>126.02661357340719</v>
      </c>
      <c r="KE188" s="13">
        <f>KD188*($KB$6+ACUTE_MARGIN)</f>
        <v>127286.87970914126</v>
      </c>
      <c r="KF188" s="13">
        <f>IF(KB188=1,$KB$31,$KB$32)</f>
        <v>152394.16214437486</v>
      </c>
      <c r="KG188" s="13">
        <f>KE188-KF188</f>
        <v>-25107.282435233603</v>
      </c>
      <c r="KH188" s="13">
        <f>KH187+KG188</f>
        <v>-2636264.6556995343</v>
      </c>
      <c r="KI188">
        <f>IF(KH188=MAX($KH$83:$KH$483),$A188,0)</f>
        <v>0</v>
      </c>
      <c r="KJ188">
        <f>IF(KE188&lt;KF188,$A188,B_MAX+1)</f>
        <v>105</v>
      </c>
      <c r="KK188" s="13">
        <f>IF(KB188=1,$KB$35,$KB$36)</f>
        <v>0</v>
      </c>
      <c r="KL188" s="13">
        <f>OCC_DAYS*$KB$41*R_NF_2023-KD188*MCD_SHARE_FREED*R_WAIT_2023</f>
        <v>94673.82103225985</v>
      </c>
      <c r="KM188">
        <f>IF($A188&lt;=$KB$45,1,0)</f>
        <v>0</v>
      </c>
      <c r="LB188">
        <f>IF($LB$31&lt;=$LB$32,IF($A188&lt;=$LB$7,1,2),IF($A188&lt;=RUNG_BEDS_2,2,1))</f>
        <v>1</v>
      </c>
      <c r="LC188" s="5">
        <f>MIN(1,MAX(0,$LB$26-($A188-1)))</f>
        <v>1</v>
      </c>
      <c r="LD188" s="5">
        <f>$LB$25*(LC188+(1-LC188)*$LB$16)</f>
        <v>84.01774238227146</v>
      </c>
      <c r="LE188" s="13">
        <f>LD188*($LB$6+ACUTE_MARGIN)</f>
        <v>84857.91980609419</v>
      </c>
      <c r="LF188" s="13">
        <f>IF(LB188=1,$LB$31,$LB$32)</f>
        <v>152394.16214437486</v>
      </c>
      <c r="LG188" s="13">
        <f>LE188-LF188</f>
        <v>-67536.24233828067</v>
      </c>
      <c r="LH188" s="13">
        <f>LH187+LG188</f>
        <v>-7091305.445519489</v>
      </c>
      <c r="LI188">
        <f>IF(LH188=MAX($LH$83:$LH$483),$A188,0)</f>
        <v>0</v>
      </c>
      <c r="LJ188">
        <f>IF(LE188&lt;LF188,$A188,B_MAX+1)</f>
        <v>105</v>
      </c>
      <c r="LK188" s="13">
        <f>IF(LB188=1,$LB$35,$LB$36)</f>
        <v>0</v>
      </c>
      <c r="LL188" s="13">
        <f>OCC_DAYS*$LB$41*R_NF_2023-LD188*MCD_SHARE_FREED*R_WAIT_2023</f>
        <v>113776.04162887059</v>
      </c>
      <c r="LM188">
        <f>IF($A188&lt;=$LB$45,1,0)</f>
        <v>0</v>
      </c>
      <c r="MB188">
        <f>IF($MB$31&lt;=$MB$32,IF($A188&lt;=$MB$7,1,2),IF($A188&lt;=RUNG_BEDS_2,2,1))</f>
        <v>1</v>
      </c>
      <c r="MC188" s="5">
        <f>MIN(1,MAX(0,$MB$26-($A188-1)))</f>
        <v>1</v>
      </c>
      <c r="MD188" s="5">
        <f>$MB$25*(MC188+(1-MC188)*$MB$16)</f>
        <v>213.44610951008647</v>
      </c>
      <c r="ME188" s="13">
        <f>MD188*($MB$6+ACUTE_MARGIN)</f>
        <v>215580.57060518733</v>
      </c>
      <c r="MF188" s="13">
        <f>IF(MB188=1,$MB$31,$MB$32)</f>
        <v>152394.16214437486</v>
      </c>
      <c r="MG188" s="13">
        <f>ME188-MF188</f>
        <v>63186.40846081247</v>
      </c>
      <c r="MH188" s="13">
        <f>MH187+MG188</f>
        <v>6634572.88838532</v>
      </c>
      <c r="MI188">
        <f>IF(MH188=MAX($MH$83:$MH$483),$A188,0)</f>
        <v>0</v>
      </c>
      <c r="MJ188">
        <f>IF(ME188&lt;MF188,$A188,B_MAX+1)</f>
        <v>401.0</v>
      </c>
      <c r="MK188" s="13">
        <f>IF(MB188=1,$MB$35,$MB$36)</f>
        <v>0</v>
      </c>
      <c r="ML188" s="13">
        <f>OCC_DAYS*$MB$41*R_NF_2023-MD188*MCD_SHARE_FREED*R_WAIT_2023</f>
        <v>54922.538779778624</v>
      </c>
      <c r="MM188">
        <f>IF($A188&lt;=$MB$45,1,0)</f>
        <v>1</v>
      </c>
      <c r="NB188">
        <f>IF($NB$31&lt;=$NB$32,IF($A188&lt;=$NB$7,1,2),IF($A188&lt;=RUNG_BEDS_2,2,1))</f>
        <v>1</v>
      </c>
      <c r="NC188" s="5">
        <f>MIN(1,MAX(0,$NB$26-($A188-1)))</f>
        <v>1</v>
      </c>
      <c r="ND188" s="5">
        <f>$NB$25*(NC188+(1-NC188)*$NB$16)</f>
        <v>252.05322714681438</v>
      </c>
      <c r="NE188" s="13">
        <f>ND188*($NB$6+ACUTE_MARGIN)</f>
        <v>254573.7594182825</v>
      </c>
      <c r="NF188" s="13">
        <f>IF(NB188=1,$NB$31,$NB$32)</f>
        <v>152394.16214437486</v>
      </c>
      <c r="NG188" s="13">
        <f>NE188-NF188</f>
        <v>102179.59727390765</v>
      </c>
      <c r="NH188" s="13">
        <f>NH187+NG188</f>
        <v>10728857.713760322</v>
      </c>
      <c r="NI188">
        <f>IF(NH188=MAX($NH$83:$NH$483),$A188,0)</f>
        <v>0</v>
      </c>
      <c r="NJ188">
        <f>IF(NE188&lt;NF188,$A188,B_MAX+1)</f>
        <v>401.0</v>
      </c>
      <c r="NK188" s="13">
        <f>IF(NB188=1,$NB$35,$NB$36)</f>
        <v>0</v>
      </c>
      <c r="NL188" s="13">
        <f>OCC_DAYS*$NB$41*R_NF_2023-ND188*MCD_SHARE_FREED*R_WAIT_2023</f>
        <v>37367.159242427646</v>
      </c>
      <c r="NM188">
        <f>IF($A188&lt;=$NB$45,1,0)</f>
        <v>1</v>
      </c>
      <c r="OB188">
        <f>IF($OB$31&lt;=$OB$32,IF($A188&lt;=$OB$7,1,2),IF($A188&lt;=RUNG_BEDS_2,2,1))</f>
        <v>1</v>
      </c>
      <c r="OC188" s="5">
        <f>MIN(1,MAX(0,$OB$26-($A188-1)))</f>
        <v>1</v>
      </c>
      <c r="OD188" s="5">
        <f>$OB$25*(OC188+(1-OC188)*$OB$16)</f>
        <v>252.05322714681438</v>
      </c>
      <c r="OE188" s="13">
        <f>OD188*($OB$6+ACUTE_MARGIN)</f>
        <v>254573.7594182825</v>
      </c>
      <c r="OF188" s="13">
        <f>IF(OB188=1,$OB$31,$OB$32)</f>
        <v>152394.16214437486</v>
      </c>
      <c r="OG188" s="13">
        <f>OE188-OF188</f>
        <v>102179.59727390765</v>
      </c>
      <c r="OH188" s="13">
        <f>OH187+OG188</f>
        <v>10728857.713760322</v>
      </c>
      <c r="OI188">
        <f>IF(OH188=MAX($OH$83:$OH$483),$A188,0)</f>
        <v>0</v>
      </c>
      <c r="OJ188">
        <f>IF(OE188&lt;OF188,$A188,B_MAX+1)</f>
        <v>401.0</v>
      </c>
      <c r="OK188" s="13">
        <f>IF(OB188=1,$OB$35,$OB$36)</f>
        <v>0</v>
      </c>
      <c r="OL188" s="13">
        <f>OCC_DAYS*$OB$41*R_NF_2023-OD188*MCD_SHARE_FREED*R_WAIT_2023</f>
        <v>37367.159242427646</v>
      </c>
      <c r="OM188">
        <f>IF($A188&lt;=$OB$45,1,0)</f>
        <v>1</v>
      </c>
    </row>
    <row r="189">
      <c r="A189" t="n">
        <v>106</v>
      </c>
      <c r="B189">
        <f>IF($B$31&lt;=$B$32,IF($A189&lt;=$B$7,1,2),IF($A189&lt;=RUNG_BEDS_2,2,1))</f>
        <v>1</v>
      </c>
      <c r="C189" s="5">
        <f>MIN(1,MAX(0,$B$26-($A189-1)))</f>
        <v>1</v>
      </c>
      <c r="D189" s="5">
        <f>$B$25*(C189+(1-C189)*$B$16)</f>
        <v>252.05322714681438</v>
      </c>
      <c r="E189" s="13">
        <f>D189*($B$6+ACUTE_MARGIN)</f>
        <v>254573.7594182825</v>
      </c>
      <c r="F189" s="13">
        <f>IF(B189=1,$B$31,$B$32)</f>
        <v>152394.16214437486</v>
      </c>
      <c r="G189" s="13">
        <f>E189-F189</f>
        <v>102179.59727390765</v>
      </c>
      <c r="H189" s="13">
        <f>H188+G189</f>
        <v>10831037.31103423</v>
      </c>
      <c r="I189">
        <f>IF(H189=MAX($H$83:$H$483),$A189,0)</f>
        <v>0</v>
      </c>
      <c r="J189">
        <f>IF(E189&lt;F189,$A189,B_MAX+1)</f>
        <v>401.0</v>
      </c>
      <c r="K189" s="13">
        <f>IF(B189=1,$B$35,$B$36)</f>
        <v>0</v>
      </c>
      <c r="L189" s="13">
        <f>OCC_DAYS*$B$41*R_NF_2023-D189*MCD_SHARE_FREED*R_WAIT_2023</f>
        <v>37367.159242427646</v>
      </c>
      <c r="M189">
        <f>IF($A189&lt;=$B$45,1,0)</f>
        <v>1</v>
      </c>
      <c r="AB189">
        <f>IF($AB$31&lt;=$AB$32,IF($A189&lt;=$AB$7,1,2),IF($A189&lt;=RUNG_BEDS_2,2,1))</f>
        <v>1</v>
      </c>
      <c r="AC189" s="5">
        <f>MIN(1,MAX(0,$AB$26-($A189-1)))</f>
        <v>1</v>
      </c>
      <c r="AD189" s="5">
        <f>$AB$25*(AC189+(1-AC189)*$AB$16)</f>
        <v>252.05322714681438</v>
      </c>
      <c r="AE189" s="13">
        <f>AD189*($AB$6+ACUTE_MARGIN)</f>
        <v>138629.2749307479</v>
      </c>
      <c r="AF189" s="13">
        <f>IF(AB189=1,$AB$31,$AB$32)</f>
        <v>152394.16214437486</v>
      </c>
      <c r="AG189" s="13">
        <f>AE189-AF189</f>
        <v>-13764.887213626964</v>
      </c>
      <c r="AH189" s="13">
        <f>AH188+AG189</f>
        <v>-1459078.0446444573</v>
      </c>
      <c r="AI189">
        <f>IF(AH189=MAX($AH$83:$AH$483),$A189,0)</f>
        <v>0</v>
      </c>
      <c r="AJ189">
        <f>IF(AE189&lt;AF189,$A189,B_MAX+1)</f>
        <v>106</v>
      </c>
      <c r="AK189" s="13">
        <f>IF(AB189=1,$AB$35,$AB$36)</f>
        <v>0</v>
      </c>
      <c r="AL189" s="13">
        <f>OCC_DAYS*$AB$41*R_NF_2023-AD189*MCD_SHARE_FREED*R_WAIT_2023</f>
        <v>37367.159242427646</v>
      </c>
      <c r="AM189">
        <f>IF($A189&lt;=$AB$45,1,0)</f>
        <v>0</v>
      </c>
      <c r="BB189">
        <f>IF($BB$31&lt;=$BB$32,IF($A189&lt;=$BB$7,1,2),IF($A189&lt;=RUNG_BEDS_2,2,1))</f>
        <v>1</v>
      </c>
      <c r="BC189" s="5">
        <f>MIN(1,MAX(0,$BB$26-($A189-1)))</f>
        <v>1</v>
      </c>
      <c r="BD189" s="5">
        <f>$BB$25*(BC189+(1-BC189)*$BB$16)</f>
        <v>252.05322714681438</v>
      </c>
      <c r="BE189" s="13">
        <f>BD189*($BB$6+ACUTE_MARGIN)</f>
        <v>370518.24390581716</v>
      </c>
      <c r="BF189" s="13">
        <f>IF(BB189=1,$BB$31,$BB$32)</f>
        <v>152394.16214437486</v>
      </c>
      <c r="BG189" s="13">
        <f>BE189-BF189</f>
        <v>218124.0817614423</v>
      </c>
      <c r="BH189" s="13">
        <f>BH188+BG189</f>
        <v>23121152.66671287</v>
      </c>
      <c r="BI189">
        <f>IF(BH189=MAX($BH$83:$BH$483),$A189,0)</f>
        <v>0</v>
      </c>
      <c r="BJ189">
        <f>IF(BE189&lt;BF189,$A189,B_MAX+1)</f>
        <v>401.0</v>
      </c>
      <c r="BK189" s="13">
        <f>IF(BB189=1,$BB$35,$BB$36)</f>
        <v>0</v>
      </c>
      <c r="BL189" s="13">
        <f>OCC_DAYS*$BB$41*R_NF_2023-BD189*MCD_SHARE_FREED*R_WAIT_2023</f>
        <v>37367.159242427646</v>
      </c>
      <c r="BM189">
        <f>IF($A189&lt;=$BB$45,1,0)</f>
        <v>1</v>
      </c>
      <c r="CB189">
        <f>IF($CB$31&lt;=$CB$32,IF($A189&lt;=$CB$7,1,2),IF($A189&lt;=RUNG_BEDS_2,2,1))</f>
        <v>2</v>
      </c>
      <c r="CC189" s="5">
        <f>MIN(1,MAX(0,$CB$26-($A189-1)))</f>
        <v>1</v>
      </c>
      <c r="CD189" s="5">
        <f>$CB$25*(CC189+(1-CC189)*$CB$16)</f>
        <v>252.05322714681438</v>
      </c>
      <c r="CE189" s="13">
        <f>CD189*($CB$6+ACUTE_MARGIN)</f>
        <v>254573.7594182825</v>
      </c>
      <c r="CF189" s="13">
        <f>IF(CB189=1,$CB$31,$CB$32)</f>
        <v>160718.36940738867</v>
      </c>
      <c r="CG189" s="13">
        <f>CE189-CF189</f>
        <v>93855.39001089384</v>
      </c>
      <c r="CH189" s="13">
        <f>CH188+CG189</f>
        <v>9948671.341154758</v>
      </c>
      <c r="CI189">
        <f>IF(CH189=MAX($CH$83:$CH$483),$A189,0)</f>
        <v>0</v>
      </c>
      <c r="CJ189">
        <f>IF(CE189&lt;CF189,$A189,B_MAX+1)</f>
        <v>401.0</v>
      </c>
      <c r="CK189" s="13">
        <f>IF(CB189=1,$CB$35,$CB$36)</f>
        <v>1560.1194073886782</v>
      </c>
      <c r="CL189" s="13">
        <f>OCC_DAYS*$CB$41*R_NF_2023-CD189*MCD_SHARE_FREED*R_WAIT_2023</f>
        <v>37367.159242427646</v>
      </c>
      <c r="CM189">
        <f>IF($A189&lt;=$CB$45,1,0)</f>
        <v>1</v>
      </c>
      <c r="DB189">
        <f>IF($DB$31&lt;=$DB$32,IF($A189&lt;=$DB$7,1,2),IF($A189&lt;=RUNG_BEDS_2,2,1))</f>
        <v>1</v>
      </c>
      <c r="DC189" s="5">
        <f>MIN(1,MAX(0,$DB$26-($A189-1)))</f>
        <v>1</v>
      </c>
      <c r="DD189" s="5">
        <f>$DB$25*(DC189+(1-DC189)*$DB$16)</f>
        <v>252.05322714681438</v>
      </c>
      <c r="DE189" s="13">
        <f>DD189*($DB$6+ACUTE_MARGIN)</f>
        <v>254573.7594182825</v>
      </c>
      <c r="DF189" s="13">
        <f>IF(DB189=1,$DB$31,$DB$32)</f>
        <v>152394.16214437486</v>
      </c>
      <c r="DG189" s="13">
        <f>DE189-DF189</f>
        <v>102179.59727390765</v>
      </c>
      <c r="DH189" s="13">
        <f>DH188+DG189</f>
        <v>10831037.31103423</v>
      </c>
      <c r="DI189">
        <f>IF(DH189=MAX($DH$83:$DH$483),$A189,0)</f>
        <v>0</v>
      </c>
      <c r="DJ189">
        <f>IF(DE189&lt;DF189,$A189,B_MAX+1)</f>
        <v>401.0</v>
      </c>
      <c r="DK189" s="13">
        <f>IF(DB189=1,$DB$35,$DB$36)</f>
        <v>0</v>
      </c>
      <c r="DL189" s="13">
        <f>OCC_DAYS*$DB$41*R_NF_2023-DD189*MCD_SHARE_FREED*R_WAIT_2023</f>
        <v>37367.159242427646</v>
      </c>
      <c r="DM189">
        <f>IF($A189&lt;=$DB$45,1,0)</f>
        <v>1</v>
      </c>
      <c r="EB189">
        <f>IF($EB$31&lt;=$EB$32,IF($A189&lt;=$EB$7,1,2),IF($A189&lt;=RUNG_BEDS_2,2,1))</f>
        <v>1</v>
      </c>
      <c r="EC189" s="5">
        <f>MIN(1,MAX(0,$EB$26-($A189-1)))</f>
        <v>1</v>
      </c>
      <c r="ED189" s="5">
        <f>$EB$25*(EC189+(1-EC189)*$EB$16)</f>
        <v>252.05322714681438</v>
      </c>
      <c r="EE189" s="13">
        <f>ED189*($EB$6+ACUTE_MARGIN)</f>
        <v>254573.7594182825</v>
      </c>
      <c r="EF189" s="13">
        <f>IF(EB189=1,$EB$31,$EB$32)</f>
        <v>152394.16214437486</v>
      </c>
      <c r="EG189" s="13">
        <f>EE189-EF189</f>
        <v>102179.59727390765</v>
      </c>
      <c r="EH189" s="13">
        <f>EH188+EG189</f>
        <v>10831037.31103423</v>
      </c>
      <c r="EI189">
        <f>IF(EH189=MAX($EH$83:$EH$483),$A189,0)</f>
        <v>0</v>
      </c>
      <c r="EJ189">
        <f>IF(EE189&lt;EF189,$A189,B_MAX+1)</f>
        <v>401.0</v>
      </c>
      <c r="EK189" s="13">
        <f>IF(EB189=1,$EB$35,$EB$36)</f>
        <v>0</v>
      </c>
      <c r="EL189" s="13">
        <f>OCC_DAYS*$EB$41*R_NF_2023-ED189*MCD_SHARE_FREED*R_WAIT_2023</f>
        <v>-63953.16263896705</v>
      </c>
      <c r="EM189">
        <f>IF($A189&lt;=$EB$45,1,0)</f>
        <v>1</v>
      </c>
      <c r="FB189">
        <f>IF($FB$31&lt;=$FB$32,IF($A189&lt;=$FB$7,1,2),IF($A189&lt;=RUNG_BEDS_2,2,1))</f>
        <v>1</v>
      </c>
      <c r="FC189" s="5">
        <f>MIN(1,MAX(0,$FB$26-($A189-1)))</f>
        <v>1</v>
      </c>
      <c r="FD189" s="5">
        <f>$FB$25*(FC189+(1-FC189)*$FB$16)</f>
        <v>252.05322714681438</v>
      </c>
      <c r="FE189" s="13">
        <f>FD189*($FB$6+ACUTE_MARGIN)</f>
        <v>254573.7594182825</v>
      </c>
      <c r="FF189" s="13">
        <f>IF(FB189=1,$FB$31,$FB$32)</f>
        <v>156636.04979437485</v>
      </c>
      <c r="FG189" s="13">
        <f>FE189-FF189</f>
        <v>97937.70962390766</v>
      </c>
      <c r="FH189" s="13">
        <f>FH188+FG189</f>
        <v>10381397.220134195</v>
      </c>
      <c r="FI189">
        <f>IF(FH189=MAX($FH$83:$FH$483),$A189,0)</f>
        <v>0</v>
      </c>
      <c r="FJ189">
        <f>IF(FE189&lt;FF189,$A189,B_MAX+1)</f>
        <v>401.0</v>
      </c>
      <c r="FK189" s="13">
        <f>IF(FB189=1,$FB$35,$FB$36)</f>
        <v>0</v>
      </c>
      <c r="FL189" s="13">
        <f>OCC_DAYS*$FB$41*R_NF_2023-FD189*MCD_SHARE_FREED*R_WAIT_2023</f>
        <v>37367.159242427646</v>
      </c>
      <c r="FM189">
        <f>IF($A189&lt;=$FB$45,1,0)</f>
        <v>1</v>
      </c>
      <c r="GB189">
        <f>IF($GB$31&lt;=$GB$32,IF($A189&lt;=$GB$7,1,2),IF($A189&lt;=RUNG_BEDS_2,2,1))</f>
        <v>1</v>
      </c>
      <c r="GC189" s="5">
        <f>MIN(1,MAX(0,$GB$26-($A189-1)))</f>
        <v>1</v>
      </c>
      <c r="GD189" s="5">
        <f>$GB$25*(GC189+(1-GC189)*$GB$16)</f>
        <v>252.05322714681438</v>
      </c>
      <c r="GE189" s="13">
        <f>GD189*($GB$6+ACUTE_MARGIN)</f>
        <v>254573.7594182825</v>
      </c>
      <c r="GF189" s="13">
        <f>IF(GB189=1,$GB$31,$GB$32)</f>
        <v>152394.16214437486</v>
      </c>
      <c r="GG189" s="13">
        <f>GE189-GF189</f>
        <v>102179.59727390765</v>
      </c>
      <c r="GH189" s="13">
        <f>GH188+GG189</f>
        <v>10831037.31103423</v>
      </c>
      <c r="GI189">
        <f>IF(GH189=MAX($GH$83:$GH$483),$A189,0)</f>
        <v>0</v>
      </c>
      <c r="GJ189">
        <f>IF(GE189&lt;GF189,$A189,B_MAX+1)</f>
        <v>401.0</v>
      </c>
      <c r="GK189" s="13">
        <f>IF(GB189=1,$GB$35,$GB$36)</f>
        <v>0</v>
      </c>
      <c r="GL189" s="13">
        <f>OCC_DAYS*$GB$41*R_NF_2023-GD189*MCD_SHARE_FREED*R_WAIT_2023</f>
        <v>37367.159242427646</v>
      </c>
      <c r="GM189">
        <f>IF($A189&lt;=$GB$45,1,0)</f>
        <v>1</v>
      </c>
      <c r="HB189">
        <f>IF($HB$31&lt;=$HB$32,IF($A189&lt;=$HB$7,1,2),IF($A189&lt;=RUNG_BEDS_2,2,1))</f>
        <v>1</v>
      </c>
      <c r="HC189" s="5">
        <f>MIN(1,MAX(0,$HB$26-($A189-1)))</f>
        <v>1</v>
      </c>
      <c r="HD189" s="5">
        <f>$HB$25*(HC189+(1-HC189)*$HB$16)</f>
        <v>252.05322714681438</v>
      </c>
      <c r="HE189" s="13">
        <f>HD189*($HB$6+ACUTE_MARGIN)</f>
        <v>254573.7594182825</v>
      </c>
      <c r="HF189" s="13">
        <f>IF(HB189=1,$HB$31,$HB$32)</f>
        <v>152456.2970814058</v>
      </c>
      <c r="HG189" s="13">
        <f>HE189-HF189</f>
        <v>102117.46233687672</v>
      </c>
      <c r="HH189" s="13">
        <f>HH188+HG189</f>
        <v>10824451.007708939</v>
      </c>
      <c r="HI189">
        <f>IF(HH189=MAX($HH$83:$HH$483),$A189,0)</f>
        <v>0</v>
      </c>
      <c r="HJ189">
        <f>IF(HE189&lt;HF189,$A189,B_MAX+1)</f>
        <v>401.0</v>
      </c>
      <c r="HK189" s="13">
        <f>IF(HB189=1,$HB$35,$HB$36)</f>
        <v>0</v>
      </c>
      <c r="HL189" s="13">
        <f>OCC_DAYS*$HB$41*R_NF_2023-HD189*MCD_SHARE_FREED*R_WAIT_2023</f>
        <v>37367.159242427646</v>
      </c>
      <c r="HM189">
        <f>IF($A189&lt;=$HB$45,1,0)</f>
        <v>1</v>
      </c>
      <c r="IB189">
        <f>IF($IB$31&lt;=$IB$32,IF($A189&lt;=$IB$7,1,2),IF($A189&lt;=RUNG_BEDS_2,2,1))</f>
        <v>1</v>
      </c>
      <c r="IC189" s="5">
        <f>MIN(1,MAX(0,$IB$26-($A189-1)))</f>
        <v>1</v>
      </c>
      <c r="ID189" s="5">
        <f>$IB$25*(IC189+(1-IC189)*$IB$16)</f>
        <v>252.05322714681438</v>
      </c>
      <c r="IE189" s="13">
        <f>ID189*($IB$6+ACUTE_MARGIN)</f>
        <v>254573.7594182825</v>
      </c>
      <c r="IF189" s="13">
        <f>IF(IB189=1,$IB$31,$IB$32)</f>
        <v>152734.9994534971</v>
      </c>
      <c r="IG189" s="13">
        <f>IE189-IF189</f>
        <v>101838.75996478542</v>
      </c>
      <c r="IH189" s="13">
        <f>IH188+IG189</f>
        <v>10794908.556267243</v>
      </c>
      <c r="II189">
        <f>IF(IH189=MAX($IH$83:$IH$483),$A189,0)</f>
        <v>0</v>
      </c>
      <c r="IJ189">
        <f>IF(IE189&lt;IF189,$A189,B_MAX+1)</f>
        <v>401.0</v>
      </c>
      <c r="IK189" s="13">
        <f>IF(IB189=1,$IB$35,$IB$36)</f>
        <v>0</v>
      </c>
      <c r="IL189" s="13">
        <f>OCC_DAYS*$IB$41*R_NF_2023-ID189*MCD_SHARE_FREED*R_WAIT_2023</f>
        <v>37367.159242427646</v>
      </c>
      <c r="IM189">
        <f>IF($A189&lt;=$IB$45,1,0)</f>
        <v>1</v>
      </c>
      <c r="JB189">
        <f>IF($JB$31&lt;=$JB$32,IF($A189&lt;=$JB$7,1,2),IF($A189&lt;=RUNG_BEDS_2,2,1))</f>
        <v>1</v>
      </c>
      <c r="JC189" s="5">
        <f>MIN(1,MAX(0,$JB$26-($A189-1)))</f>
        <v>1</v>
      </c>
      <c r="JD189" s="5">
        <f>$JB$25*(JC189+(1-JC189)*$JB$16)</f>
        <v>252.05322714681438</v>
      </c>
      <c r="JE189" s="13">
        <f>JD189*($JB$6+ACUTE_MARGIN)</f>
        <v>254573.7594182825</v>
      </c>
      <c r="JF189" s="13">
        <f>IF(JB189=1,$JB$31,$JB$32)</f>
        <v>152394.16214437486</v>
      </c>
      <c r="JG189" s="13">
        <f>JE189-JF189</f>
        <v>102179.59727390765</v>
      </c>
      <c r="JH189" s="13">
        <f>JH188+JG189</f>
        <v>10831037.31103423</v>
      </c>
      <c r="JI189">
        <f>IF(JH189=MAX($JH$83:$JH$483),$A189,0)</f>
        <v>0</v>
      </c>
      <c r="JJ189">
        <f>IF(JE189&lt;JF189,$A189,B_MAX+1)</f>
        <v>401.0</v>
      </c>
      <c r="JK189" s="13">
        <f>IF(JB189=1,$JB$35,$JB$36)</f>
        <v>0</v>
      </c>
      <c r="JL189" s="13">
        <f>OCC_DAYS*$JB$41*R_NF_2023-JD189*MCD_SHARE_FREED*R_WAIT_2023</f>
        <v>37367.159242427646</v>
      </c>
      <c r="JM189">
        <f>IF($A189&lt;=$JB$45,1,0)</f>
        <v>1</v>
      </c>
      <c r="KB189">
        <f>IF($KB$31&lt;=$KB$32,IF($A189&lt;=$KB$7,1,2),IF($A189&lt;=RUNG_BEDS_2,2,1))</f>
        <v>1</v>
      </c>
      <c r="KC189" s="5">
        <f>MIN(1,MAX(0,$KB$26-($A189-1)))</f>
        <v>1</v>
      </c>
      <c r="KD189" s="5">
        <f>$KB$25*(KC189+(1-KC189)*$KB$16)</f>
        <v>126.02661357340719</v>
      </c>
      <c r="KE189" s="13">
        <f>KD189*($KB$6+ACUTE_MARGIN)</f>
        <v>127286.87970914126</v>
      </c>
      <c r="KF189" s="13">
        <f>IF(KB189=1,$KB$31,$KB$32)</f>
        <v>152394.16214437486</v>
      </c>
      <c r="KG189" s="13">
        <f>KE189-KF189</f>
        <v>-25107.282435233603</v>
      </c>
      <c r="KH189" s="13">
        <f>KH188+KG189</f>
        <v>-2661371.938134768</v>
      </c>
      <c r="KI189">
        <f>IF(KH189=MAX($KH$83:$KH$483),$A189,0)</f>
        <v>0</v>
      </c>
      <c r="KJ189">
        <f>IF(KE189&lt;KF189,$A189,B_MAX+1)</f>
        <v>106</v>
      </c>
      <c r="KK189" s="13">
        <f>IF(KB189=1,$KB$35,$KB$36)</f>
        <v>0</v>
      </c>
      <c r="KL189" s="13">
        <f>OCC_DAYS*$KB$41*R_NF_2023-KD189*MCD_SHARE_FREED*R_WAIT_2023</f>
        <v>94673.82103225985</v>
      </c>
      <c r="KM189">
        <f>IF($A189&lt;=$KB$45,1,0)</f>
        <v>0</v>
      </c>
      <c r="LB189">
        <f>IF($LB$31&lt;=$LB$32,IF($A189&lt;=$LB$7,1,2),IF($A189&lt;=RUNG_BEDS_2,2,1))</f>
        <v>1</v>
      </c>
      <c r="LC189" s="5">
        <f>MIN(1,MAX(0,$LB$26-($A189-1)))</f>
        <v>1</v>
      </c>
      <c r="LD189" s="5">
        <f>$LB$25*(LC189+(1-LC189)*$LB$16)</f>
        <v>84.01774238227146</v>
      </c>
      <c r="LE189" s="13">
        <f>LD189*($LB$6+ACUTE_MARGIN)</f>
        <v>84857.91980609419</v>
      </c>
      <c r="LF189" s="13">
        <f>IF(LB189=1,$LB$31,$LB$32)</f>
        <v>152394.16214437486</v>
      </c>
      <c r="LG189" s="13">
        <f>LE189-LF189</f>
        <v>-67536.24233828067</v>
      </c>
      <c r="LH189" s="13">
        <f>LH188+LG189</f>
        <v>-7158841.68785777</v>
      </c>
      <c r="LI189">
        <f>IF(LH189=MAX($LH$83:$LH$483),$A189,0)</f>
        <v>0</v>
      </c>
      <c r="LJ189">
        <f>IF(LE189&lt;LF189,$A189,B_MAX+1)</f>
        <v>106</v>
      </c>
      <c r="LK189" s="13">
        <f>IF(LB189=1,$LB$35,$LB$36)</f>
        <v>0</v>
      </c>
      <c r="LL189" s="13">
        <f>OCC_DAYS*$LB$41*R_NF_2023-LD189*MCD_SHARE_FREED*R_WAIT_2023</f>
        <v>113776.04162887059</v>
      </c>
      <c r="LM189">
        <f>IF($A189&lt;=$LB$45,1,0)</f>
        <v>0</v>
      </c>
      <c r="MB189">
        <f>IF($MB$31&lt;=$MB$32,IF($A189&lt;=$MB$7,1,2),IF($A189&lt;=RUNG_BEDS_2,2,1))</f>
        <v>1</v>
      </c>
      <c r="MC189" s="5">
        <f>MIN(1,MAX(0,$MB$26-($A189-1)))</f>
        <v>1</v>
      </c>
      <c r="MD189" s="5">
        <f>$MB$25*(MC189+(1-MC189)*$MB$16)</f>
        <v>213.44610951008647</v>
      </c>
      <c r="ME189" s="13">
        <f>MD189*($MB$6+ACUTE_MARGIN)</f>
        <v>215580.57060518733</v>
      </c>
      <c r="MF189" s="13">
        <f>IF(MB189=1,$MB$31,$MB$32)</f>
        <v>152394.16214437486</v>
      </c>
      <c r="MG189" s="13">
        <f>ME189-MF189</f>
        <v>63186.40846081247</v>
      </c>
      <c r="MH189" s="13">
        <f>MH188+MG189</f>
        <v>6697759.296846133</v>
      </c>
      <c r="MI189">
        <f>IF(MH189=MAX($MH$83:$MH$483),$A189,0)</f>
        <v>0</v>
      </c>
      <c r="MJ189">
        <f>IF(ME189&lt;MF189,$A189,B_MAX+1)</f>
        <v>401.0</v>
      </c>
      <c r="MK189" s="13">
        <f>IF(MB189=1,$MB$35,$MB$36)</f>
        <v>0</v>
      </c>
      <c r="ML189" s="13">
        <f>OCC_DAYS*$MB$41*R_NF_2023-MD189*MCD_SHARE_FREED*R_WAIT_2023</f>
        <v>54922.538779778624</v>
      </c>
      <c r="MM189">
        <f>IF($A189&lt;=$MB$45,1,0)</f>
        <v>1</v>
      </c>
      <c r="NB189">
        <f>IF($NB$31&lt;=$NB$32,IF($A189&lt;=$NB$7,1,2),IF($A189&lt;=RUNG_BEDS_2,2,1))</f>
        <v>1</v>
      </c>
      <c r="NC189" s="5">
        <f>MIN(1,MAX(0,$NB$26-($A189-1)))</f>
        <v>1</v>
      </c>
      <c r="ND189" s="5">
        <f>$NB$25*(NC189+(1-NC189)*$NB$16)</f>
        <v>252.05322714681438</v>
      </c>
      <c r="NE189" s="13">
        <f>ND189*($NB$6+ACUTE_MARGIN)</f>
        <v>254573.7594182825</v>
      </c>
      <c r="NF189" s="13">
        <f>IF(NB189=1,$NB$31,$NB$32)</f>
        <v>152394.16214437486</v>
      </c>
      <c r="NG189" s="13">
        <f>NE189-NF189</f>
        <v>102179.59727390765</v>
      </c>
      <c r="NH189" s="13">
        <f>NH188+NG189</f>
        <v>10831037.31103423</v>
      </c>
      <c r="NI189">
        <f>IF(NH189=MAX($NH$83:$NH$483),$A189,0)</f>
        <v>0</v>
      </c>
      <c r="NJ189">
        <f>IF(NE189&lt;NF189,$A189,B_MAX+1)</f>
        <v>401.0</v>
      </c>
      <c r="NK189" s="13">
        <f>IF(NB189=1,$NB$35,$NB$36)</f>
        <v>0</v>
      </c>
      <c r="NL189" s="13">
        <f>OCC_DAYS*$NB$41*R_NF_2023-ND189*MCD_SHARE_FREED*R_WAIT_2023</f>
        <v>37367.159242427646</v>
      </c>
      <c r="NM189">
        <f>IF($A189&lt;=$NB$45,1,0)</f>
        <v>1</v>
      </c>
      <c r="OB189">
        <f>IF($OB$31&lt;=$OB$32,IF($A189&lt;=$OB$7,1,2),IF($A189&lt;=RUNG_BEDS_2,2,1))</f>
        <v>1</v>
      </c>
      <c r="OC189" s="5">
        <f>MIN(1,MAX(0,$OB$26-($A189-1)))</f>
        <v>1</v>
      </c>
      <c r="OD189" s="5">
        <f>$OB$25*(OC189+(1-OC189)*$OB$16)</f>
        <v>252.05322714681438</v>
      </c>
      <c r="OE189" s="13">
        <f>OD189*($OB$6+ACUTE_MARGIN)</f>
        <v>254573.7594182825</v>
      </c>
      <c r="OF189" s="13">
        <f>IF(OB189=1,$OB$31,$OB$32)</f>
        <v>152394.16214437486</v>
      </c>
      <c r="OG189" s="13">
        <f>OE189-OF189</f>
        <v>102179.59727390765</v>
      </c>
      <c r="OH189" s="13">
        <f>OH188+OG189</f>
        <v>10831037.31103423</v>
      </c>
      <c r="OI189">
        <f>IF(OH189=MAX($OH$83:$OH$483),$A189,0)</f>
        <v>0</v>
      </c>
      <c r="OJ189">
        <f>IF(OE189&lt;OF189,$A189,B_MAX+1)</f>
        <v>401.0</v>
      </c>
      <c r="OK189" s="13">
        <f>IF(OB189=1,$OB$35,$OB$36)</f>
        <v>0</v>
      </c>
      <c r="OL189" s="13">
        <f>OCC_DAYS*$OB$41*R_NF_2023-OD189*MCD_SHARE_FREED*R_WAIT_2023</f>
        <v>37367.159242427646</v>
      </c>
      <c r="OM189">
        <f>IF($A189&lt;=$OB$45,1,0)</f>
        <v>1</v>
      </c>
    </row>
    <row r="190">
      <c r="A190" t="n">
        <v>107</v>
      </c>
      <c r="B190">
        <f>IF($B$31&lt;=$B$32,IF($A190&lt;=$B$7,1,2),IF($A190&lt;=RUNG_BEDS_2,2,1))</f>
        <v>1</v>
      </c>
      <c r="C190" s="5">
        <f>MIN(1,MAX(0,$B$26-($A190-1)))</f>
        <v>1</v>
      </c>
      <c r="D190" s="5">
        <f>$B$25*(C190+(1-C190)*$B$16)</f>
        <v>252.05322714681438</v>
      </c>
      <c r="E190" s="13">
        <f>D190*($B$6+ACUTE_MARGIN)</f>
        <v>254573.7594182825</v>
      </c>
      <c r="F190" s="13">
        <f>IF(B190=1,$B$31,$B$32)</f>
        <v>152394.16214437486</v>
      </c>
      <c r="G190" s="13">
        <f>E190-F190</f>
        <v>102179.59727390765</v>
      </c>
      <c r="H190" s="13">
        <f>H189+G190</f>
        <v>10933216.90830814</v>
      </c>
      <c r="I190">
        <f>IF(H190=MAX($H$83:$H$483),$A190,0)</f>
        <v>0</v>
      </c>
      <c r="J190">
        <f>IF(E190&lt;F190,$A190,B_MAX+1)</f>
        <v>401.0</v>
      </c>
      <c r="K190" s="13">
        <f>IF(B190=1,$B$35,$B$36)</f>
        <v>0</v>
      </c>
      <c r="L190" s="13">
        <f>OCC_DAYS*$B$41*R_NF_2023-D190*MCD_SHARE_FREED*R_WAIT_2023</f>
        <v>37367.159242427646</v>
      </c>
      <c r="M190">
        <f>IF($A190&lt;=$B$45,1,0)</f>
        <v>1</v>
      </c>
      <c r="AB190">
        <f>IF($AB$31&lt;=$AB$32,IF($A190&lt;=$AB$7,1,2),IF($A190&lt;=RUNG_BEDS_2,2,1))</f>
        <v>1</v>
      </c>
      <c r="AC190" s="5">
        <f>MIN(1,MAX(0,$AB$26-($A190-1)))</f>
        <v>1</v>
      </c>
      <c r="AD190" s="5">
        <f>$AB$25*(AC190+(1-AC190)*$AB$16)</f>
        <v>252.05322714681438</v>
      </c>
      <c r="AE190" s="13">
        <f>AD190*($AB$6+ACUTE_MARGIN)</f>
        <v>138629.2749307479</v>
      </c>
      <c r="AF190" s="13">
        <f>IF(AB190=1,$AB$31,$AB$32)</f>
        <v>152394.16214437486</v>
      </c>
      <c r="AG190" s="13">
        <f>AE190-AF190</f>
        <v>-13764.887213626964</v>
      </c>
      <c r="AH190" s="13">
        <f>AH189+AG190</f>
        <v>-1472842.9318580842</v>
      </c>
      <c r="AI190">
        <f>IF(AH190=MAX($AH$83:$AH$483),$A190,0)</f>
        <v>0</v>
      </c>
      <c r="AJ190">
        <f>IF(AE190&lt;AF190,$A190,B_MAX+1)</f>
        <v>107</v>
      </c>
      <c r="AK190" s="13">
        <f>IF(AB190=1,$AB$35,$AB$36)</f>
        <v>0</v>
      </c>
      <c r="AL190" s="13">
        <f>OCC_DAYS*$AB$41*R_NF_2023-AD190*MCD_SHARE_FREED*R_WAIT_2023</f>
        <v>37367.159242427646</v>
      </c>
      <c r="AM190">
        <f>IF($A190&lt;=$AB$45,1,0)</f>
        <v>0</v>
      </c>
      <c r="BB190">
        <f>IF($BB$31&lt;=$BB$32,IF($A190&lt;=$BB$7,1,2),IF($A190&lt;=RUNG_BEDS_2,2,1))</f>
        <v>1</v>
      </c>
      <c r="BC190" s="5">
        <f>MIN(1,MAX(0,$BB$26-($A190-1)))</f>
        <v>1</v>
      </c>
      <c r="BD190" s="5">
        <f>$BB$25*(BC190+(1-BC190)*$BB$16)</f>
        <v>252.05322714681438</v>
      </c>
      <c r="BE190" s="13">
        <f>BD190*($BB$6+ACUTE_MARGIN)</f>
        <v>370518.24390581716</v>
      </c>
      <c r="BF190" s="13">
        <f>IF(BB190=1,$BB$31,$BB$32)</f>
        <v>152394.16214437486</v>
      </c>
      <c r="BG190" s="13">
        <f>BE190-BF190</f>
        <v>218124.0817614423</v>
      </c>
      <c r="BH190" s="13">
        <f>BH189+BG190</f>
        <v>23339276.74847431</v>
      </c>
      <c r="BI190">
        <f>IF(BH190=MAX($BH$83:$BH$483),$A190,0)</f>
        <v>0</v>
      </c>
      <c r="BJ190">
        <f>IF(BE190&lt;BF190,$A190,B_MAX+1)</f>
        <v>401.0</v>
      </c>
      <c r="BK190" s="13">
        <f>IF(BB190=1,$BB$35,$BB$36)</f>
        <v>0</v>
      </c>
      <c r="BL190" s="13">
        <f>OCC_DAYS*$BB$41*R_NF_2023-BD190*MCD_SHARE_FREED*R_WAIT_2023</f>
        <v>37367.159242427646</v>
      </c>
      <c r="BM190">
        <f>IF($A190&lt;=$BB$45,1,0)</f>
        <v>1</v>
      </c>
      <c r="CB190">
        <f>IF($CB$31&lt;=$CB$32,IF($A190&lt;=$CB$7,1,2),IF($A190&lt;=RUNG_BEDS_2,2,1))</f>
        <v>2</v>
      </c>
      <c r="CC190" s="5">
        <f>MIN(1,MAX(0,$CB$26-($A190-1)))</f>
        <v>1</v>
      </c>
      <c r="CD190" s="5">
        <f>$CB$25*(CC190+(1-CC190)*$CB$16)</f>
        <v>252.05322714681438</v>
      </c>
      <c r="CE190" s="13">
        <f>CD190*($CB$6+ACUTE_MARGIN)</f>
        <v>254573.7594182825</v>
      </c>
      <c r="CF190" s="13">
        <f>IF(CB190=1,$CB$31,$CB$32)</f>
        <v>160718.36940738867</v>
      </c>
      <c r="CG190" s="13">
        <f>CE190-CF190</f>
        <v>93855.39001089384</v>
      </c>
      <c r="CH190" s="13">
        <f>CH189+CG190</f>
        <v>10042526.731165651</v>
      </c>
      <c r="CI190">
        <f>IF(CH190=MAX($CH$83:$CH$483),$A190,0)</f>
        <v>0</v>
      </c>
      <c r="CJ190">
        <f>IF(CE190&lt;CF190,$A190,B_MAX+1)</f>
        <v>401.0</v>
      </c>
      <c r="CK190" s="13">
        <f>IF(CB190=1,$CB$35,$CB$36)</f>
        <v>1560.1194073886782</v>
      </c>
      <c r="CL190" s="13">
        <f>OCC_DAYS*$CB$41*R_NF_2023-CD190*MCD_SHARE_FREED*R_WAIT_2023</f>
        <v>37367.159242427646</v>
      </c>
      <c r="CM190">
        <f>IF($A190&lt;=$CB$45,1,0)</f>
        <v>1</v>
      </c>
      <c r="DB190">
        <f>IF($DB$31&lt;=$DB$32,IF($A190&lt;=$DB$7,1,2),IF($A190&lt;=RUNG_BEDS_2,2,1))</f>
        <v>1</v>
      </c>
      <c r="DC190" s="5">
        <f>MIN(1,MAX(0,$DB$26-($A190-1)))</f>
        <v>1</v>
      </c>
      <c r="DD190" s="5">
        <f>$DB$25*(DC190+(1-DC190)*$DB$16)</f>
        <v>252.05322714681438</v>
      </c>
      <c r="DE190" s="13">
        <f>DD190*($DB$6+ACUTE_MARGIN)</f>
        <v>254573.7594182825</v>
      </c>
      <c r="DF190" s="13">
        <f>IF(DB190=1,$DB$31,$DB$32)</f>
        <v>152394.16214437486</v>
      </c>
      <c r="DG190" s="13">
        <f>DE190-DF190</f>
        <v>102179.59727390765</v>
      </c>
      <c r="DH190" s="13">
        <f>DH189+DG190</f>
        <v>10933216.90830814</v>
      </c>
      <c r="DI190">
        <f>IF(DH190=MAX($DH$83:$DH$483),$A190,0)</f>
        <v>0</v>
      </c>
      <c r="DJ190">
        <f>IF(DE190&lt;DF190,$A190,B_MAX+1)</f>
        <v>401.0</v>
      </c>
      <c r="DK190" s="13">
        <f>IF(DB190=1,$DB$35,$DB$36)</f>
        <v>0</v>
      </c>
      <c r="DL190" s="13">
        <f>OCC_DAYS*$DB$41*R_NF_2023-DD190*MCD_SHARE_FREED*R_WAIT_2023</f>
        <v>37367.159242427646</v>
      </c>
      <c r="DM190">
        <f>IF($A190&lt;=$DB$45,1,0)</f>
        <v>1</v>
      </c>
      <c r="EB190">
        <f>IF($EB$31&lt;=$EB$32,IF($A190&lt;=$EB$7,1,2),IF($A190&lt;=RUNG_BEDS_2,2,1))</f>
        <v>1</v>
      </c>
      <c r="EC190" s="5">
        <f>MIN(1,MAX(0,$EB$26-($A190-1)))</f>
        <v>1</v>
      </c>
      <c r="ED190" s="5">
        <f>$EB$25*(EC190+(1-EC190)*$EB$16)</f>
        <v>252.05322714681438</v>
      </c>
      <c r="EE190" s="13">
        <f>ED190*($EB$6+ACUTE_MARGIN)</f>
        <v>254573.7594182825</v>
      </c>
      <c r="EF190" s="13">
        <f>IF(EB190=1,$EB$31,$EB$32)</f>
        <v>152394.16214437486</v>
      </c>
      <c r="EG190" s="13">
        <f>EE190-EF190</f>
        <v>102179.59727390765</v>
      </c>
      <c r="EH190" s="13">
        <f>EH189+EG190</f>
        <v>10933216.90830814</v>
      </c>
      <c r="EI190">
        <f>IF(EH190=MAX($EH$83:$EH$483),$A190,0)</f>
        <v>0</v>
      </c>
      <c r="EJ190">
        <f>IF(EE190&lt;EF190,$A190,B_MAX+1)</f>
        <v>401.0</v>
      </c>
      <c r="EK190" s="13">
        <f>IF(EB190=1,$EB$35,$EB$36)</f>
        <v>0</v>
      </c>
      <c r="EL190" s="13">
        <f>OCC_DAYS*$EB$41*R_NF_2023-ED190*MCD_SHARE_FREED*R_WAIT_2023</f>
        <v>-63953.16263896705</v>
      </c>
      <c r="EM190">
        <f>IF($A190&lt;=$EB$45,1,0)</f>
        <v>1</v>
      </c>
      <c r="FB190">
        <f>IF($FB$31&lt;=$FB$32,IF($A190&lt;=$FB$7,1,2),IF($A190&lt;=RUNG_BEDS_2,2,1))</f>
        <v>1</v>
      </c>
      <c r="FC190" s="5">
        <f>MIN(1,MAX(0,$FB$26-($A190-1)))</f>
        <v>1</v>
      </c>
      <c r="FD190" s="5">
        <f>$FB$25*(FC190+(1-FC190)*$FB$16)</f>
        <v>252.05322714681438</v>
      </c>
      <c r="FE190" s="13">
        <f>FD190*($FB$6+ACUTE_MARGIN)</f>
        <v>254573.7594182825</v>
      </c>
      <c r="FF190" s="13">
        <f>IF(FB190=1,$FB$31,$FB$32)</f>
        <v>156636.04979437485</v>
      </c>
      <c r="FG190" s="13">
        <f>FE190-FF190</f>
        <v>97937.70962390766</v>
      </c>
      <c r="FH190" s="13">
        <f>FH189+FG190</f>
        <v>10479334.929758102</v>
      </c>
      <c r="FI190">
        <f>IF(FH190=MAX($FH$83:$FH$483),$A190,0)</f>
        <v>0</v>
      </c>
      <c r="FJ190">
        <f>IF(FE190&lt;FF190,$A190,B_MAX+1)</f>
        <v>401.0</v>
      </c>
      <c r="FK190" s="13">
        <f>IF(FB190=1,$FB$35,$FB$36)</f>
        <v>0</v>
      </c>
      <c r="FL190" s="13">
        <f>OCC_DAYS*$FB$41*R_NF_2023-FD190*MCD_SHARE_FREED*R_WAIT_2023</f>
        <v>37367.159242427646</v>
      </c>
      <c r="FM190">
        <f>IF($A190&lt;=$FB$45,1,0)</f>
        <v>1</v>
      </c>
      <c r="GB190">
        <f>IF($GB$31&lt;=$GB$32,IF($A190&lt;=$GB$7,1,2),IF($A190&lt;=RUNG_BEDS_2,2,1))</f>
        <v>1</v>
      </c>
      <c r="GC190" s="5">
        <f>MIN(1,MAX(0,$GB$26-($A190-1)))</f>
        <v>1</v>
      </c>
      <c r="GD190" s="5">
        <f>$GB$25*(GC190+(1-GC190)*$GB$16)</f>
        <v>252.05322714681438</v>
      </c>
      <c r="GE190" s="13">
        <f>GD190*($GB$6+ACUTE_MARGIN)</f>
        <v>254573.7594182825</v>
      </c>
      <c r="GF190" s="13">
        <f>IF(GB190=1,$GB$31,$GB$32)</f>
        <v>152394.16214437486</v>
      </c>
      <c r="GG190" s="13">
        <f>GE190-GF190</f>
        <v>102179.59727390765</v>
      </c>
      <c r="GH190" s="13">
        <f>GH189+GG190</f>
        <v>10933216.90830814</v>
      </c>
      <c r="GI190">
        <f>IF(GH190=MAX($GH$83:$GH$483),$A190,0)</f>
        <v>0</v>
      </c>
      <c r="GJ190">
        <f>IF(GE190&lt;GF190,$A190,B_MAX+1)</f>
        <v>401.0</v>
      </c>
      <c r="GK190" s="13">
        <f>IF(GB190=1,$GB$35,$GB$36)</f>
        <v>0</v>
      </c>
      <c r="GL190" s="13">
        <f>OCC_DAYS*$GB$41*R_NF_2023-GD190*MCD_SHARE_FREED*R_WAIT_2023</f>
        <v>37367.159242427646</v>
      </c>
      <c r="GM190">
        <f>IF($A190&lt;=$GB$45,1,0)</f>
        <v>1</v>
      </c>
      <c r="HB190">
        <f>IF($HB$31&lt;=$HB$32,IF($A190&lt;=$HB$7,1,2),IF($A190&lt;=RUNG_BEDS_2,2,1))</f>
        <v>1</v>
      </c>
      <c r="HC190" s="5">
        <f>MIN(1,MAX(0,$HB$26-($A190-1)))</f>
        <v>1</v>
      </c>
      <c r="HD190" s="5">
        <f>$HB$25*(HC190+(1-HC190)*$HB$16)</f>
        <v>252.05322714681438</v>
      </c>
      <c r="HE190" s="13">
        <f>HD190*($HB$6+ACUTE_MARGIN)</f>
        <v>254573.7594182825</v>
      </c>
      <c r="HF190" s="13">
        <f>IF(HB190=1,$HB$31,$HB$32)</f>
        <v>152456.2970814058</v>
      </c>
      <c r="HG190" s="13">
        <f>HE190-HF190</f>
        <v>102117.46233687672</v>
      </c>
      <c r="HH190" s="13">
        <f>HH189+HG190</f>
        <v>10926568.470045816</v>
      </c>
      <c r="HI190">
        <f>IF(HH190=MAX($HH$83:$HH$483),$A190,0)</f>
        <v>0</v>
      </c>
      <c r="HJ190">
        <f>IF(HE190&lt;HF190,$A190,B_MAX+1)</f>
        <v>401.0</v>
      </c>
      <c r="HK190" s="13">
        <f>IF(HB190=1,$HB$35,$HB$36)</f>
        <v>0</v>
      </c>
      <c r="HL190" s="13">
        <f>OCC_DAYS*$HB$41*R_NF_2023-HD190*MCD_SHARE_FREED*R_WAIT_2023</f>
        <v>37367.159242427646</v>
      </c>
      <c r="HM190">
        <f>IF($A190&lt;=$HB$45,1,0)</f>
        <v>1</v>
      </c>
      <c r="IB190">
        <f>IF($IB$31&lt;=$IB$32,IF($A190&lt;=$IB$7,1,2),IF($A190&lt;=RUNG_BEDS_2,2,1))</f>
        <v>1</v>
      </c>
      <c r="IC190" s="5">
        <f>MIN(1,MAX(0,$IB$26-($A190-1)))</f>
        <v>1</v>
      </c>
      <c r="ID190" s="5">
        <f>$IB$25*(IC190+(1-IC190)*$IB$16)</f>
        <v>252.05322714681438</v>
      </c>
      <c r="IE190" s="13">
        <f>ID190*($IB$6+ACUTE_MARGIN)</f>
        <v>254573.7594182825</v>
      </c>
      <c r="IF190" s="13">
        <f>IF(IB190=1,$IB$31,$IB$32)</f>
        <v>152734.9994534971</v>
      </c>
      <c r="IG190" s="13">
        <f>IE190-IF190</f>
        <v>101838.75996478542</v>
      </c>
      <c r="IH190" s="13">
        <f>IH189+IG190</f>
        <v>10896747.316232027</v>
      </c>
      <c r="II190">
        <f>IF(IH190=MAX($IH$83:$IH$483),$A190,0)</f>
        <v>0</v>
      </c>
      <c r="IJ190">
        <f>IF(IE190&lt;IF190,$A190,B_MAX+1)</f>
        <v>401.0</v>
      </c>
      <c r="IK190" s="13">
        <f>IF(IB190=1,$IB$35,$IB$36)</f>
        <v>0</v>
      </c>
      <c r="IL190" s="13">
        <f>OCC_DAYS*$IB$41*R_NF_2023-ID190*MCD_SHARE_FREED*R_WAIT_2023</f>
        <v>37367.159242427646</v>
      </c>
      <c r="IM190">
        <f>IF($A190&lt;=$IB$45,1,0)</f>
        <v>1</v>
      </c>
      <c r="JB190">
        <f>IF($JB$31&lt;=$JB$32,IF($A190&lt;=$JB$7,1,2),IF($A190&lt;=RUNG_BEDS_2,2,1))</f>
        <v>1</v>
      </c>
      <c r="JC190" s="5">
        <f>MIN(1,MAX(0,$JB$26-($A190-1)))</f>
        <v>1</v>
      </c>
      <c r="JD190" s="5">
        <f>$JB$25*(JC190+(1-JC190)*$JB$16)</f>
        <v>252.05322714681438</v>
      </c>
      <c r="JE190" s="13">
        <f>JD190*($JB$6+ACUTE_MARGIN)</f>
        <v>254573.7594182825</v>
      </c>
      <c r="JF190" s="13">
        <f>IF(JB190=1,$JB$31,$JB$32)</f>
        <v>152394.16214437486</v>
      </c>
      <c r="JG190" s="13">
        <f>JE190-JF190</f>
        <v>102179.59727390765</v>
      </c>
      <c r="JH190" s="13">
        <f>JH189+JG190</f>
        <v>10933216.90830814</v>
      </c>
      <c r="JI190">
        <f>IF(JH190=MAX($JH$83:$JH$483),$A190,0)</f>
        <v>0</v>
      </c>
      <c r="JJ190">
        <f>IF(JE190&lt;JF190,$A190,B_MAX+1)</f>
        <v>401.0</v>
      </c>
      <c r="JK190" s="13">
        <f>IF(JB190=1,$JB$35,$JB$36)</f>
        <v>0</v>
      </c>
      <c r="JL190" s="13">
        <f>OCC_DAYS*$JB$41*R_NF_2023-JD190*MCD_SHARE_FREED*R_WAIT_2023</f>
        <v>37367.159242427646</v>
      </c>
      <c r="JM190">
        <f>IF($A190&lt;=$JB$45,1,0)</f>
        <v>1</v>
      </c>
      <c r="KB190">
        <f>IF($KB$31&lt;=$KB$32,IF($A190&lt;=$KB$7,1,2),IF($A190&lt;=RUNG_BEDS_2,2,1))</f>
        <v>1</v>
      </c>
      <c r="KC190" s="5">
        <f>MIN(1,MAX(0,$KB$26-($A190-1)))</f>
        <v>1</v>
      </c>
      <c r="KD190" s="5">
        <f>$KB$25*(KC190+(1-KC190)*$KB$16)</f>
        <v>126.02661357340719</v>
      </c>
      <c r="KE190" s="13">
        <f>KD190*($KB$6+ACUTE_MARGIN)</f>
        <v>127286.87970914126</v>
      </c>
      <c r="KF190" s="13">
        <f>IF(KB190=1,$KB$31,$KB$32)</f>
        <v>152394.16214437486</v>
      </c>
      <c r="KG190" s="13">
        <f>KE190-KF190</f>
        <v>-25107.282435233603</v>
      </c>
      <c r="KH190" s="13">
        <f>KH189+KG190</f>
        <v>-2686479.2205700018</v>
      </c>
      <c r="KI190">
        <f>IF(KH190=MAX($KH$83:$KH$483),$A190,0)</f>
        <v>0</v>
      </c>
      <c r="KJ190">
        <f>IF(KE190&lt;KF190,$A190,B_MAX+1)</f>
        <v>107</v>
      </c>
      <c r="KK190" s="13">
        <f>IF(KB190=1,$KB$35,$KB$36)</f>
        <v>0</v>
      </c>
      <c r="KL190" s="13">
        <f>OCC_DAYS*$KB$41*R_NF_2023-KD190*MCD_SHARE_FREED*R_WAIT_2023</f>
        <v>94673.82103225985</v>
      </c>
      <c r="KM190">
        <f>IF($A190&lt;=$KB$45,1,0)</f>
        <v>0</v>
      </c>
      <c r="LB190">
        <f>IF($LB$31&lt;=$LB$32,IF($A190&lt;=$LB$7,1,2),IF($A190&lt;=RUNG_BEDS_2,2,1))</f>
        <v>1</v>
      </c>
      <c r="LC190" s="5">
        <f>MIN(1,MAX(0,$LB$26-($A190-1)))</f>
        <v>1</v>
      </c>
      <c r="LD190" s="5">
        <f>$LB$25*(LC190+(1-LC190)*$LB$16)</f>
        <v>84.01774238227146</v>
      </c>
      <c r="LE190" s="13">
        <f>LD190*($LB$6+ACUTE_MARGIN)</f>
        <v>84857.91980609419</v>
      </c>
      <c r="LF190" s="13">
        <f>IF(LB190=1,$LB$31,$LB$32)</f>
        <v>152394.16214437486</v>
      </c>
      <c r="LG190" s="13">
        <f>LE190-LF190</f>
        <v>-67536.24233828067</v>
      </c>
      <c r="LH190" s="13">
        <f>LH189+LG190</f>
        <v>-7226377.9301960515</v>
      </c>
      <c r="LI190">
        <f>IF(LH190=MAX($LH$83:$LH$483),$A190,0)</f>
        <v>0</v>
      </c>
      <c r="LJ190">
        <f>IF(LE190&lt;LF190,$A190,B_MAX+1)</f>
        <v>107</v>
      </c>
      <c r="LK190" s="13">
        <f>IF(LB190=1,$LB$35,$LB$36)</f>
        <v>0</v>
      </c>
      <c r="LL190" s="13">
        <f>OCC_DAYS*$LB$41*R_NF_2023-LD190*MCD_SHARE_FREED*R_WAIT_2023</f>
        <v>113776.04162887059</v>
      </c>
      <c r="LM190">
        <f>IF($A190&lt;=$LB$45,1,0)</f>
        <v>0</v>
      </c>
      <c r="MB190">
        <f>IF($MB$31&lt;=$MB$32,IF($A190&lt;=$MB$7,1,2),IF($A190&lt;=RUNG_BEDS_2,2,1))</f>
        <v>1</v>
      </c>
      <c r="MC190" s="5">
        <f>MIN(1,MAX(0,$MB$26-($A190-1)))</f>
        <v>1</v>
      </c>
      <c r="MD190" s="5">
        <f>$MB$25*(MC190+(1-MC190)*$MB$16)</f>
        <v>213.44610951008647</v>
      </c>
      <c r="ME190" s="13">
        <f>MD190*($MB$6+ACUTE_MARGIN)</f>
        <v>215580.57060518733</v>
      </c>
      <c r="MF190" s="13">
        <f>IF(MB190=1,$MB$31,$MB$32)</f>
        <v>152394.16214437486</v>
      </c>
      <c r="MG190" s="13">
        <f>ME190-MF190</f>
        <v>63186.40846081247</v>
      </c>
      <c r="MH190" s="13">
        <f>MH189+MG190</f>
        <v>6760945.705306945</v>
      </c>
      <c r="MI190">
        <f>IF(MH190=MAX($MH$83:$MH$483),$A190,0)</f>
        <v>0</v>
      </c>
      <c r="MJ190">
        <f>IF(ME190&lt;MF190,$A190,B_MAX+1)</f>
        <v>401.0</v>
      </c>
      <c r="MK190" s="13">
        <f>IF(MB190=1,$MB$35,$MB$36)</f>
        <v>0</v>
      </c>
      <c r="ML190" s="13">
        <f>OCC_DAYS*$MB$41*R_NF_2023-MD190*MCD_SHARE_FREED*R_WAIT_2023</f>
        <v>54922.538779778624</v>
      </c>
      <c r="MM190">
        <f>IF($A190&lt;=$MB$45,1,0)</f>
        <v>1</v>
      </c>
      <c r="NB190">
        <f>IF($NB$31&lt;=$NB$32,IF($A190&lt;=$NB$7,1,2),IF($A190&lt;=RUNG_BEDS_2,2,1))</f>
        <v>1</v>
      </c>
      <c r="NC190" s="5">
        <f>MIN(1,MAX(0,$NB$26-($A190-1)))</f>
        <v>1</v>
      </c>
      <c r="ND190" s="5">
        <f>$NB$25*(NC190+(1-NC190)*$NB$16)</f>
        <v>252.05322714681438</v>
      </c>
      <c r="NE190" s="13">
        <f>ND190*($NB$6+ACUTE_MARGIN)</f>
        <v>254573.7594182825</v>
      </c>
      <c r="NF190" s="13">
        <f>IF(NB190=1,$NB$31,$NB$32)</f>
        <v>152394.16214437486</v>
      </c>
      <c r="NG190" s="13">
        <f>NE190-NF190</f>
        <v>102179.59727390765</v>
      </c>
      <c r="NH190" s="13">
        <f>NH189+NG190</f>
        <v>10933216.90830814</v>
      </c>
      <c r="NI190">
        <f>IF(NH190=MAX($NH$83:$NH$483),$A190,0)</f>
        <v>0</v>
      </c>
      <c r="NJ190">
        <f>IF(NE190&lt;NF190,$A190,B_MAX+1)</f>
        <v>401.0</v>
      </c>
      <c r="NK190" s="13">
        <f>IF(NB190=1,$NB$35,$NB$36)</f>
        <v>0</v>
      </c>
      <c r="NL190" s="13">
        <f>OCC_DAYS*$NB$41*R_NF_2023-ND190*MCD_SHARE_FREED*R_WAIT_2023</f>
        <v>37367.159242427646</v>
      </c>
      <c r="NM190">
        <f>IF($A190&lt;=$NB$45,1,0)</f>
        <v>1</v>
      </c>
      <c r="OB190">
        <f>IF($OB$31&lt;=$OB$32,IF($A190&lt;=$OB$7,1,2),IF($A190&lt;=RUNG_BEDS_2,2,1))</f>
        <v>1</v>
      </c>
      <c r="OC190" s="5">
        <f>MIN(1,MAX(0,$OB$26-($A190-1)))</f>
        <v>1</v>
      </c>
      <c r="OD190" s="5">
        <f>$OB$25*(OC190+(1-OC190)*$OB$16)</f>
        <v>252.05322714681438</v>
      </c>
      <c r="OE190" s="13">
        <f>OD190*($OB$6+ACUTE_MARGIN)</f>
        <v>254573.7594182825</v>
      </c>
      <c r="OF190" s="13">
        <f>IF(OB190=1,$OB$31,$OB$32)</f>
        <v>152394.16214437486</v>
      </c>
      <c r="OG190" s="13">
        <f>OE190-OF190</f>
        <v>102179.59727390765</v>
      </c>
      <c r="OH190" s="13">
        <f>OH189+OG190</f>
        <v>10933216.90830814</v>
      </c>
      <c r="OI190">
        <f>IF(OH190=MAX($OH$83:$OH$483),$A190,0)</f>
        <v>0</v>
      </c>
      <c r="OJ190">
        <f>IF(OE190&lt;OF190,$A190,B_MAX+1)</f>
        <v>401.0</v>
      </c>
      <c r="OK190" s="13">
        <f>IF(OB190=1,$OB$35,$OB$36)</f>
        <v>0</v>
      </c>
      <c r="OL190" s="13">
        <f>OCC_DAYS*$OB$41*R_NF_2023-OD190*MCD_SHARE_FREED*R_WAIT_2023</f>
        <v>37367.159242427646</v>
      </c>
      <c r="OM190">
        <f>IF($A190&lt;=$OB$45,1,0)</f>
        <v>1</v>
      </c>
    </row>
    <row r="191">
      <c r="A191" t="n">
        <v>108</v>
      </c>
      <c r="B191">
        <f>IF($B$31&lt;=$B$32,IF($A191&lt;=$B$7,1,2),IF($A191&lt;=RUNG_BEDS_2,2,1))</f>
        <v>1</v>
      </c>
      <c r="C191" s="5">
        <f>MIN(1,MAX(0,$B$26-($A191-1)))</f>
        <v>1</v>
      </c>
      <c r="D191" s="5">
        <f>$B$25*(C191+(1-C191)*$B$16)</f>
        <v>252.05322714681438</v>
      </c>
      <c r="E191" s="13">
        <f>D191*($B$6+ACUTE_MARGIN)</f>
        <v>254573.7594182825</v>
      </c>
      <c r="F191" s="13">
        <f>IF(B191=1,$B$31,$B$32)</f>
        <v>152394.16214437486</v>
      </c>
      <c r="G191" s="13">
        <f>E191-F191</f>
        <v>102179.59727390765</v>
      </c>
      <c r="H191" s="13">
        <f>H190+G191</f>
        <v>11035396.505582048</v>
      </c>
      <c r="I191">
        <f>IF(H191=MAX($H$83:$H$483),$A191,0)</f>
        <v>0</v>
      </c>
      <c r="J191">
        <f>IF(E191&lt;F191,$A191,B_MAX+1)</f>
        <v>401.0</v>
      </c>
      <c r="K191" s="13">
        <f>IF(B191=1,$B$35,$B$36)</f>
        <v>0</v>
      </c>
      <c r="L191" s="13">
        <f>OCC_DAYS*$B$41*R_NF_2023-D191*MCD_SHARE_FREED*R_WAIT_2023</f>
        <v>37367.159242427646</v>
      </c>
      <c r="M191">
        <f>IF($A191&lt;=$B$45,1,0)</f>
        <v>1</v>
      </c>
      <c r="AB191">
        <f>IF($AB$31&lt;=$AB$32,IF($A191&lt;=$AB$7,1,2),IF($A191&lt;=RUNG_BEDS_2,2,1))</f>
        <v>1</v>
      </c>
      <c r="AC191" s="5">
        <f>MIN(1,MAX(0,$AB$26-($A191-1)))</f>
        <v>1</v>
      </c>
      <c r="AD191" s="5">
        <f>$AB$25*(AC191+(1-AC191)*$AB$16)</f>
        <v>252.05322714681438</v>
      </c>
      <c r="AE191" s="13">
        <f>AD191*($AB$6+ACUTE_MARGIN)</f>
        <v>138629.2749307479</v>
      </c>
      <c r="AF191" s="13">
        <f>IF(AB191=1,$AB$31,$AB$32)</f>
        <v>152394.16214437486</v>
      </c>
      <c r="AG191" s="13">
        <f>AE191-AF191</f>
        <v>-13764.887213626964</v>
      </c>
      <c r="AH191" s="13">
        <f>AH190+AG191</f>
        <v>-1486607.819071711</v>
      </c>
      <c r="AI191">
        <f>IF(AH191=MAX($AH$83:$AH$483),$A191,0)</f>
        <v>0</v>
      </c>
      <c r="AJ191">
        <f>IF(AE191&lt;AF191,$A191,B_MAX+1)</f>
        <v>108</v>
      </c>
      <c r="AK191" s="13">
        <f>IF(AB191=1,$AB$35,$AB$36)</f>
        <v>0</v>
      </c>
      <c r="AL191" s="13">
        <f>OCC_DAYS*$AB$41*R_NF_2023-AD191*MCD_SHARE_FREED*R_WAIT_2023</f>
        <v>37367.159242427646</v>
      </c>
      <c r="AM191">
        <f>IF($A191&lt;=$AB$45,1,0)</f>
        <v>0</v>
      </c>
      <c r="BB191">
        <f>IF($BB$31&lt;=$BB$32,IF($A191&lt;=$BB$7,1,2),IF($A191&lt;=RUNG_BEDS_2,2,1))</f>
        <v>1</v>
      </c>
      <c r="BC191" s="5">
        <f>MIN(1,MAX(0,$BB$26-($A191-1)))</f>
        <v>1</v>
      </c>
      <c r="BD191" s="5">
        <f>$BB$25*(BC191+(1-BC191)*$BB$16)</f>
        <v>252.05322714681438</v>
      </c>
      <c r="BE191" s="13">
        <f>BD191*($BB$6+ACUTE_MARGIN)</f>
        <v>370518.24390581716</v>
      </c>
      <c r="BF191" s="13">
        <f>IF(BB191=1,$BB$31,$BB$32)</f>
        <v>152394.16214437486</v>
      </c>
      <c r="BG191" s="13">
        <f>BE191-BF191</f>
        <v>218124.0817614423</v>
      </c>
      <c r="BH191" s="13">
        <f>BH190+BG191</f>
        <v>23557400.830235753</v>
      </c>
      <c r="BI191">
        <f>IF(BH191=MAX($BH$83:$BH$483),$A191,0)</f>
        <v>0</v>
      </c>
      <c r="BJ191">
        <f>IF(BE191&lt;BF191,$A191,B_MAX+1)</f>
        <v>401.0</v>
      </c>
      <c r="BK191" s="13">
        <f>IF(BB191=1,$BB$35,$BB$36)</f>
        <v>0</v>
      </c>
      <c r="BL191" s="13">
        <f>OCC_DAYS*$BB$41*R_NF_2023-BD191*MCD_SHARE_FREED*R_WAIT_2023</f>
        <v>37367.159242427646</v>
      </c>
      <c r="BM191">
        <f>IF($A191&lt;=$BB$45,1,0)</f>
        <v>1</v>
      </c>
      <c r="CB191">
        <f>IF($CB$31&lt;=$CB$32,IF($A191&lt;=$CB$7,1,2),IF($A191&lt;=RUNG_BEDS_2,2,1))</f>
        <v>2</v>
      </c>
      <c r="CC191" s="5">
        <f>MIN(1,MAX(0,$CB$26-($A191-1)))</f>
        <v>1</v>
      </c>
      <c r="CD191" s="5">
        <f>$CB$25*(CC191+(1-CC191)*$CB$16)</f>
        <v>252.05322714681438</v>
      </c>
      <c r="CE191" s="13">
        <f>CD191*($CB$6+ACUTE_MARGIN)</f>
        <v>254573.7594182825</v>
      </c>
      <c r="CF191" s="13">
        <f>IF(CB191=1,$CB$31,$CB$32)</f>
        <v>160718.36940738867</v>
      </c>
      <c r="CG191" s="13">
        <f>CE191-CF191</f>
        <v>93855.39001089384</v>
      </c>
      <c r="CH191" s="13">
        <f>CH190+CG191</f>
        <v>10136382.121176545</v>
      </c>
      <c r="CI191">
        <f>IF(CH191=MAX($CH$83:$CH$483),$A191,0)</f>
        <v>0</v>
      </c>
      <c r="CJ191">
        <f>IF(CE191&lt;CF191,$A191,B_MAX+1)</f>
        <v>401.0</v>
      </c>
      <c r="CK191" s="13">
        <f>IF(CB191=1,$CB$35,$CB$36)</f>
        <v>1560.1194073886782</v>
      </c>
      <c r="CL191" s="13">
        <f>OCC_DAYS*$CB$41*R_NF_2023-CD191*MCD_SHARE_FREED*R_WAIT_2023</f>
        <v>37367.159242427646</v>
      </c>
      <c r="CM191">
        <f>IF($A191&lt;=$CB$45,1,0)</f>
        <v>1</v>
      </c>
      <c r="DB191">
        <f>IF($DB$31&lt;=$DB$32,IF($A191&lt;=$DB$7,1,2),IF($A191&lt;=RUNG_BEDS_2,2,1))</f>
        <v>1</v>
      </c>
      <c r="DC191" s="5">
        <f>MIN(1,MAX(0,$DB$26-($A191-1)))</f>
        <v>1</v>
      </c>
      <c r="DD191" s="5">
        <f>$DB$25*(DC191+(1-DC191)*$DB$16)</f>
        <v>252.05322714681438</v>
      </c>
      <c r="DE191" s="13">
        <f>DD191*($DB$6+ACUTE_MARGIN)</f>
        <v>254573.7594182825</v>
      </c>
      <c r="DF191" s="13">
        <f>IF(DB191=1,$DB$31,$DB$32)</f>
        <v>152394.16214437486</v>
      </c>
      <c r="DG191" s="13">
        <f>DE191-DF191</f>
        <v>102179.59727390765</v>
      </c>
      <c r="DH191" s="13">
        <f>DH190+DG191</f>
        <v>11035396.505582048</v>
      </c>
      <c r="DI191">
        <f>IF(DH191=MAX($DH$83:$DH$483),$A191,0)</f>
        <v>0</v>
      </c>
      <c r="DJ191">
        <f>IF(DE191&lt;DF191,$A191,B_MAX+1)</f>
        <v>401.0</v>
      </c>
      <c r="DK191" s="13">
        <f>IF(DB191=1,$DB$35,$DB$36)</f>
        <v>0</v>
      </c>
      <c r="DL191" s="13">
        <f>OCC_DAYS*$DB$41*R_NF_2023-DD191*MCD_SHARE_FREED*R_WAIT_2023</f>
        <v>37367.159242427646</v>
      </c>
      <c r="DM191">
        <f>IF($A191&lt;=$DB$45,1,0)</f>
        <v>1</v>
      </c>
      <c r="EB191">
        <f>IF($EB$31&lt;=$EB$32,IF($A191&lt;=$EB$7,1,2),IF($A191&lt;=RUNG_BEDS_2,2,1))</f>
        <v>1</v>
      </c>
      <c r="EC191" s="5">
        <f>MIN(1,MAX(0,$EB$26-($A191-1)))</f>
        <v>1</v>
      </c>
      <c r="ED191" s="5">
        <f>$EB$25*(EC191+(1-EC191)*$EB$16)</f>
        <v>252.05322714681438</v>
      </c>
      <c r="EE191" s="13">
        <f>ED191*($EB$6+ACUTE_MARGIN)</f>
        <v>254573.7594182825</v>
      </c>
      <c r="EF191" s="13">
        <f>IF(EB191=1,$EB$31,$EB$32)</f>
        <v>152394.16214437486</v>
      </c>
      <c r="EG191" s="13">
        <f>EE191-EF191</f>
        <v>102179.59727390765</v>
      </c>
      <c r="EH191" s="13">
        <f>EH190+EG191</f>
        <v>11035396.505582048</v>
      </c>
      <c r="EI191">
        <f>IF(EH191=MAX($EH$83:$EH$483),$A191,0)</f>
        <v>0</v>
      </c>
      <c r="EJ191">
        <f>IF(EE191&lt;EF191,$A191,B_MAX+1)</f>
        <v>401.0</v>
      </c>
      <c r="EK191" s="13">
        <f>IF(EB191=1,$EB$35,$EB$36)</f>
        <v>0</v>
      </c>
      <c r="EL191" s="13">
        <f>OCC_DAYS*$EB$41*R_NF_2023-ED191*MCD_SHARE_FREED*R_WAIT_2023</f>
        <v>-63953.16263896705</v>
      </c>
      <c r="EM191">
        <f>IF($A191&lt;=$EB$45,1,0)</f>
        <v>1</v>
      </c>
      <c r="FB191">
        <f>IF($FB$31&lt;=$FB$32,IF($A191&lt;=$FB$7,1,2),IF($A191&lt;=RUNG_BEDS_2,2,1))</f>
        <v>1</v>
      </c>
      <c r="FC191" s="5">
        <f>MIN(1,MAX(0,$FB$26-($A191-1)))</f>
        <v>1</v>
      </c>
      <c r="FD191" s="5">
        <f>$FB$25*(FC191+(1-FC191)*$FB$16)</f>
        <v>252.05322714681438</v>
      </c>
      <c r="FE191" s="13">
        <f>FD191*($FB$6+ACUTE_MARGIN)</f>
        <v>254573.7594182825</v>
      </c>
      <c r="FF191" s="13">
        <f>IF(FB191=1,$FB$31,$FB$32)</f>
        <v>156636.04979437485</v>
      </c>
      <c r="FG191" s="13">
        <f>FE191-FF191</f>
        <v>97937.70962390766</v>
      </c>
      <c r="FH191" s="13">
        <f>FH190+FG191</f>
        <v>10577272.639382008</v>
      </c>
      <c r="FI191">
        <f>IF(FH191=MAX($FH$83:$FH$483),$A191,0)</f>
        <v>0</v>
      </c>
      <c r="FJ191">
        <f>IF(FE191&lt;FF191,$A191,B_MAX+1)</f>
        <v>401.0</v>
      </c>
      <c r="FK191" s="13">
        <f>IF(FB191=1,$FB$35,$FB$36)</f>
        <v>0</v>
      </c>
      <c r="FL191" s="13">
        <f>OCC_DAYS*$FB$41*R_NF_2023-FD191*MCD_SHARE_FREED*R_WAIT_2023</f>
        <v>37367.159242427646</v>
      </c>
      <c r="FM191">
        <f>IF($A191&lt;=$FB$45,1,0)</f>
        <v>1</v>
      </c>
      <c r="GB191">
        <f>IF($GB$31&lt;=$GB$32,IF($A191&lt;=$GB$7,1,2),IF($A191&lt;=RUNG_BEDS_2,2,1))</f>
        <v>1</v>
      </c>
      <c r="GC191" s="5">
        <f>MIN(1,MAX(0,$GB$26-($A191-1)))</f>
        <v>1</v>
      </c>
      <c r="GD191" s="5">
        <f>$GB$25*(GC191+(1-GC191)*$GB$16)</f>
        <v>252.05322714681438</v>
      </c>
      <c r="GE191" s="13">
        <f>GD191*($GB$6+ACUTE_MARGIN)</f>
        <v>254573.7594182825</v>
      </c>
      <c r="GF191" s="13">
        <f>IF(GB191=1,$GB$31,$GB$32)</f>
        <v>152394.16214437486</v>
      </c>
      <c r="GG191" s="13">
        <f>GE191-GF191</f>
        <v>102179.59727390765</v>
      </c>
      <c r="GH191" s="13">
        <f>GH190+GG191</f>
        <v>11035396.505582048</v>
      </c>
      <c r="GI191">
        <f>IF(GH191=MAX($GH$83:$GH$483),$A191,0)</f>
        <v>0</v>
      </c>
      <c r="GJ191">
        <f>IF(GE191&lt;GF191,$A191,B_MAX+1)</f>
        <v>401.0</v>
      </c>
      <c r="GK191" s="13">
        <f>IF(GB191=1,$GB$35,$GB$36)</f>
        <v>0</v>
      </c>
      <c r="GL191" s="13">
        <f>OCC_DAYS*$GB$41*R_NF_2023-GD191*MCD_SHARE_FREED*R_WAIT_2023</f>
        <v>37367.159242427646</v>
      </c>
      <c r="GM191">
        <f>IF($A191&lt;=$GB$45,1,0)</f>
        <v>1</v>
      </c>
      <c r="HB191">
        <f>IF($HB$31&lt;=$HB$32,IF($A191&lt;=$HB$7,1,2),IF($A191&lt;=RUNG_BEDS_2,2,1))</f>
        <v>1</v>
      </c>
      <c r="HC191" s="5">
        <f>MIN(1,MAX(0,$HB$26-($A191-1)))</f>
        <v>1</v>
      </c>
      <c r="HD191" s="5">
        <f>$HB$25*(HC191+(1-HC191)*$HB$16)</f>
        <v>252.05322714681438</v>
      </c>
      <c r="HE191" s="13">
        <f>HD191*($HB$6+ACUTE_MARGIN)</f>
        <v>254573.7594182825</v>
      </c>
      <c r="HF191" s="13">
        <f>IF(HB191=1,$HB$31,$HB$32)</f>
        <v>152456.2970814058</v>
      </c>
      <c r="HG191" s="13">
        <f>HE191-HF191</f>
        <v>102117.46233687672</v>
      </c>
      <c r="HH191" s="13">
        <f>HH190+HG191</f>
        <v>11028685.932382694</v>
      </c>
      <c r="HI191">
        <f>IF(HH191=MAX($HH$83:$HH$483),$A191,0)</f>
        <v>0</v>
      </c>
      <c r="HJ191">
        <f>IF(HE191&lt;HF191,$A191,B_MAX+1)</f>
        <v>401.0</v>
      </c>
      <c r="HK191" s="13">
        <f>IF(HB191=1,$HB$35,$HB$36)</f>
        <v>0</v>
      </c>
      <c r="HL191" s="13">
        <f>OCC_DAYS*$HB$41*R_NF_2023-HD191*MCD_SHARE_FREED*R_WAIT_2023</f>
        <v>37367.159242427646</v>
      </c>
      <c r="HM191">
        <f>IF($A191&lt;=$HB$45,1,0)</f>
        <v>1</v>
      </c>
      <c r="IB191">
        <f>IF($IB$31&lt;=$IB$32,IF($A191&lt;=$IB$7,1,2),IF($A191&lt;=RUNG_BEDS_2,2,1))</f>
        <v>1</v>
      </c>
      <c r="IC191" s="5">
        <f>MIN(1,MAX(0,$IB$26-($A191-1)))</f>
        <v>1</v>
      </c>
      <c r="ID191" s="5">
        <f>$IB$25*(IC191+(1-IC191)*$IB$16)</f>
        <v>252.05322714681438</v>
      </c>
      <c r="IE191" s="13">
        <f>ID191*($IB$6+ACUTE_MARGIN)</f>
        <v>254573.7594182825</v>
      </c>
      <c r="IF191" s="13">
        <f>IF(IB191=1,$IB$31,$IB$32)</f>
        <v>152734.9994534971</v>
      </c>
      <c r="IG191" s="13">
        <f>IE191-IF191</f>
        <v>101838.75996478542</v>
      </c>
      <c r="IH191" s="13">
        <f>IH190+IG191</f>
        <v>10998586.076196812</v>
      </c>
      <c r="II191">
        <f>IF(IH191=MAX($IH$83:$IH$483),$A191,0)</f>
        <v>0</v>
      </c>
      <c r="IJ191">
        <f>IF(IE191&lt;IF191,$A191,B_MAX+1)</f>
        <v>401.0</v>
      </c>
      <c r="IK191" s="13">
        <f>IF(IB191=1,$IB$35,$IB$36)</f>
        <v>0</v>
      </c>
      <c r="IL191" s="13">
        <f>OCC_DAYS*$IB$41*R_NF_2023-ID191*MCD_SHARE_FREED*R_WAIT_2023</f>
        <v>37367.159242427646</v>
      </c>
      <c r="IM191">
        <f>IF($A191&lt;=$IB$45,1,0)</f>
        <v>1</v>
      </c>
      <c r="JB191">
        <f>IF($JB$31&lt;=$JB$32,IF($A191&lt;=$JB$7,1,2),IF($A191&lt;=RUNG_BEDS_2,2,1))</f>
        <v>1</v>
      </c>
      <c r="JC191" s="5">
        <f>MIN(1,MAX(0,$JB$26-($A191-1)))</f>
        <v>1</v>
      </c>
      <c r="JD191" s="5">
        <f>$JB$25*(JC191+(1-JC191)*$JB$16)</f>
        <v>252.05322714681438</v>
      </c>
      <c r="JE191" s="13">
        <f>JD191*($JB$6+ACUTE_MARGIN)</f>
        <v>254573.7594182825</v>
      </c>
      <c r="JF191" s="13">
        <f>IF(JB191=1,$JB$31,$JB$32)</f>
        <v>152394.16214437486</v>
      </c>
      <c r="JG191" s="13">
        <f>JE191-JF191</f>
        <v>102179.59727390765</v>
      </c>
      <c r="JH191" s="13">
        <f>JH190+JG191</f>
        <v>11035396.505582048</v>
      </c>
      <c r="JI191">
        <f>IF(JH191=MAX($JH$83:$JH$483),$A191,0)</f>
        <v>0</v>
      </c>
      <c r="JJ191">
        <f>IF(JE191&lt;JF191,$A191,B_MAX+1)</f>
        <v>401.0</v>
      </c>
      <c r="JK191" s="13">
        <f>IF(JB191=1,$JB$35,$JB$36)</f>
        <v>0</v>
      </c>
      <c r="JL191" s="13">
        <f>OCC_DAYS*$JB$41*R_NF_2023-JD191*MCD_SHARE_FREED*R_WAIT_2023</f>
        <v>37367.159242427646</v>
      </c>
      <c r="JM191">
        <f>IF($A191&lt;=$JB$45,1,0)</f>
        <v>1</v>
      </c>
      <c r="KB191">
        <f>IF($KB$31&lt;=$KB$32,IF($A191&lt;=$KB$7,1,2),IF($A191&lt;=RUNG_BEDS_2,2,1))</f>
        <v>1</v>
      </c>
      <c r="KC191" s="5">
        <f>MIN(1,MAX(0,$KB$26-($A191-1)))</f>
        <v>1</v>
      </c>
      <c r="KD191" s="5">
        <f>$KB$25*(KC191+(1-KC191)*$KB$16)</f>
        <v>126.02661357340719</v>
      </c>
      <c r="KE191" s="13">
        <f>KD191*($KB$6+ACUTE_MARGIN)</f>
        <v>127286.87970914126</v>
      </c>
      <c r="KF191" s="13">
        <f>IF(KB191=1,$KB$31,$KB$32)</f>
        <v>152394.16214437486</v>
      </c>
      <c r="KG191" s="13">
        <f>KE191-KF191</f>
        <v>-25107.282435233603</v>
      </c>
      <c r="KH191" s="13">
        <f>KH190+KG191</f>
        <v>-2711586.5030052355</v>
      </c>
      <c r="KI191">
        <f>IF(KH191=MAX($KH$83:$KH$483),$A191,0)</f>
        <v>0</v>
      </c>
      <c r="KJ191">
        <f>IF(KE191&lt;KF191,$A191,B_MAX+1)</f>
        <v>108</v>
      </c>
      <c r="KK191" s="13">
        <f>IF(KB191=1,$KB$35,$KB$36)</f>
        <v>0</v>
      </c>
      <c r="KL191" s="13">
        <f>OCC_DAYS*$KB$41*R_NF_2023-KD191*MCD_SHARE_FREED*R_WAIT_2023</f>
        <v>94673.82103225985</v>
      </c>
      <c r="KM191">
        <f>IF($A191&lt;=$KB$45,1,0)</f>
        <v>0</v>
      </c>
      <c r="LB191">
        <f>IF($LB$31&lt;=$LB$32,IF($A191&lt;=$LB$7,1,2),IF($A191&lt;=RUNG_BEDS_2,2,1))</f>
        <v>1</v>
      </c>
      <c r="LC191" s="5">
        <f>MIN(1,MAX(0,$LB$26-($A191-1)))</f>
        <v>1</v>
      </c>
      <c r="LD191" s="5">
        <f>$LB$25*(LC191+(1-LC191)*$LB$16)</f>
        <v>84.01774238227146</v>
      </c>
      <c r="LE191" s="13">
        <f>LD191*($LB$6+ACUTE_MARGIN)</f>
        <v>84857.91980609419</v>
      </c>
      <c r="LF191" s="13">
        <f>IF(LB191=1,$LB$31,$LB$32)</f>
        <v>152394.16214437486</v>
      </c>
      <c r="LG191" s="13">
        <f>LE191-LF191</f>
        <v>-67536.24233828067</v>
      </c>
      <c r="LH191" s="13">
        <f>LH190+LG191</f>
        <v>-7293914.172534333</v>
      </c>
      <c r="LI191">
        <f>IF(LH191=MAX($LH$83:$LH$483),$A191,0)</f>
        <v>0</v>
      </c>
      <c r="LJ191">
        <f>IF(LE191&lt;LF191,$A191,B_MAX+1)</f>
        <v>108</v>
      </c>
      <c r="LK191" s="13">
        <f>IF(LB191=1,$LB$35,$LB$36)</f>
        <v>0</v>
      </c>
      <c r="LL191" s="13">
        <f>OCC_DAYS*$LB$41*R_NF_2023-LD191*MCD_SHARE_FREED*R_WAIT_2023</f>
        <v>113776.04162887059</v>
      </c>
      <c r="LM191">
        <f>IF($A191&lt;=$LB$45,1,0)</f>
        <v>0</v>
      </c>
      <c r="MB191">
        <f>IF($MB$31&lt;=$MB$32,IF($A191&lt;=$MB$7,1,2),IF($A191&lt;=RUNG_BEDS_2,2,1))</f>
        <v>1</v>
      </c>
      <c r="MC191" s="5">
        <f>MIN(1,MAX(0,$MB$26-($A191-1)))</f>
        <v>1</v>
      </c>
      <c r="MD191" s="5">
        <f>$MB$25*(MC191+(1-MC191)*$MB$16)</f>
        <v>213.44610951008647</v>
      </c>
      <c r="ME191" s="13">
        <f>MD191*($MB$6+ACUTE_MARGIN)</f>
        <v>215580.57060518733</v>
      </c>
      <c r="MF191" s="13">
        <f>IF(MB191=1,$MB$31,$MB$32)</f>
        <v>152394.16214437486</v>
      </c>
      <c r="MG191" s="13">
        <f>ME191-MF191</f>
        <v>63186.40846081247</v>
      </c>
      <c r="MH191" s="13">
        <f>MH190+MG191</f>
        <v>6824132.113767758</v>
      </c>
      <c r="MI191">
        <f>IF(MH191=MAX($MH$83:$MH$483),$A191,0)</f>
        <v>0</v>
      </c>
      <c r="MJ191">
        <f>IF(ME191&lt;MF191,$A191,B_MAX+1)</f>
        <v>401.0</v>
      </c>
      <c r="MK191" s="13">
        <f>IF(MB191=1,$MB$35,$MB$36)</f>
        <v>0</v>
      </c>
      <c r="ML191" s="13">
        <f>OCC_DAYS*$MB$41*R_NF_2023-MD191*MCD_SHARE_FREED*R_WAIT_2023</f>
        <v>54922.538779778624</v>
      </c>
      <c r="MM191">
        <f>IF($A191&lt;=$MB$45,1,0)</f>
        <v>1</v>
      </c>
      <c r="NB191">
        <f>IF($NB$31&lt;=$NB$32,IF($A191&lt;=$NB$7,1,2),IF($A191&lt;=RUNG_BEDS_2,2,1))</f>
        <v>1</v>
      </c>
      <c r="NC191" s="5">
        <f>MIN(1,MAX(0,$NB$26-($A191-1)))</f>
        <v>1</v>
      </c>
      <c r="ND191" s="5">
        <f>$NB$25*(NC191+(1-NC191)*$NB$16)</f>
        <v>252.05322714681438</v>
      </c>
      <c r="NE191" s="13">
        <f>ND191*($NB$6+ACUTE_MARGIN)</f>
        <v>254573.7594182825</v>
      </c>
      <c r="NF191" s="13">
        <f>IF(NB191=1,$NB$31,$NB$32)</f>
        <v>152394.16214437486</v>
      </c>
      <c r="NG191" s="13">
        <f>NE191-NF191</f>
        <v>102179.59727390765</v>
      </c>
      <c r="NH191" s="13">
        <f>NH190+NG191</f>
        <v>11035396.505582048</v>
      </c>
      <c r="NI191">
        <f>IF(NH191=MAX($NH$83:$NH$483),$A191,0)</f>
        <v>0</v>
      </c>
      <c r="NJ191">
        <f>IF(NE191&lt;NF191,$A191,B_MAX+1)</f>
        <v>401.0</v>
      </c>
      <c r="NK191" s="13">
        <f>IF(NB191=1,$NB$35,$NB$36)</f>
        <v>0</v>
      </c>
      <c r="NL191" s="13">
        <f>OCC_DAYS*$NB$41*R_NF_2023-ND191*MCD_SHARE_FREED*R_WAIT_2023</f>
        <v>37367.159242427646</v>
      </c>
      <c r="NM191">
        <f>IF($A191&lt;=$NB$45,1,0)</f>
        <v>1</v>
      </c>
      <c r="OB191">
        <f>IF($OB$31&lt;=$OB$32,IF($A191&lt;=$OB$7,1,2),IF($A191&lt;=RUNG_BEDS_2,2,1))</f>
        <v>1</v>
      </c>
      <c r="OC191" s="5">
        <f>MIN(1,MAX(0,$OB$26-($A191-1)))</f>
        <v>1</v>
      </c>
      <c r="OD191" s="5">
        <f>$OB$25*(OC191+(1-OC191)*$OB$16)</f>
        <v>252.05322714681438</v>
      </c>
      <c r="OE191" s="13">
        <f>OD191*($OB$6+ACUTE_MARGIN)</f>
        <v>254573.7594182825</v>
      </c>
      <c r="OF191" s="13">
        <f>IF(OB191=1,$OB$31,$OB$32)</f>
        <v>152394.16214437486</v>
      </c>
      <c r="OG191" s="13">
        <f>OE191-OF191</f>
        <v>102179.59727390765</v>
      </c>
      <c r="OH191" s="13">
        <f>OH190+OG191</f>
        <v>11035396.505582048</v>
      </c>
      <c r="OI191">
        <f>IF(OH191=MAX($OH$83:$OH$483),$A191,0)</f>
        <v>0</v>
      </c>
      <c r="OJ191">
        <f>IF(OE191&lt;OF191,$A191,B_MAX+1)</f>
        <v>401.0</v>
      </c>
      <c r="OK191" s="13">
        <f>IF(OB191=1,$OB$35,$OB$36)</f>
        <v>0</v>
      </c>
      <c r="OL191" s="13">
        <f>OCC_DAYS*$OB$41*R_NF_2023-OD191*MCD_SHARE_FREED*R_WAIT_2023</f>
        <v>37367.159242427646</v>
      </c>
      <c r="OM191">
        <f>IF($A191&lt;=$OB$45,1,0)</f>
        <v>1</v>
      </c>
    </row>
    <row r="192">
      <c r="A192" t="n">
        <v>109</v>
      </c>
      <c r="B192">
        <f>IF($B$31&lt;=$B$32,IF($A192&lt;=$B$7,1,2),IF($A192&lt;=RUNG_BEDS_2,2,1))</f>
        <v>1</v>
      </c>
      <c r="C192" s="5">
        <f>MIN(1,MAX(0,$B$26-($A192-1)))</f>
        <v>1</v>
      </c>
      <c r="D192" s="5">
        <f>$B$25*(C192+(1-C192)*$B$16)</f>
        <v>252.05322714681438</v>
      </c>
      <c r="E192" s="13">
        <f>D192*($B$6+ACUTE_MARGIN)</f>
        <v>254573.7594182825</v>
      </c>
      <c r="F192" s="13">
        <f>IF(B192=1,$B$31,$B$32)</f>
        <v>152394.16214437486</v>
      </c>
      <c r="G192" s="13">
        <f>E192-F192</f>
        <v>102179.59727390765</v>
      </c>
      <c r="H192" s="13">
        <f>H191+G192</f>
        <v>11137576.102855956</v>
      </c>
      <c r="I192">
        <f>IF(H192=MAX($H$83:$H$483),$A192,0)</f>
        <v>0</v>
      </c>
      <c r="J192">
        <f>IF(E192&lt;F192,$A192,B_MAX+1)</f>
        <v>401.0</v>
      </c>
      <c r="K192" s="13">
        <f>IF(B192=1,$B$35,$B$36)</f>
        <v>0</v>
      </c>
      <c r="L192" s="13">
        <f>OCC_DAYS*$B$41*R_NF_2023-D192*MCD_SHARE_FREED*R_WAIT_2023</f>
        <v>37367.159242427646</v>
      </c>
      <c r="M192">
        <f>IF($A192&lt;=$B$45,1,0)</f>
        <v>1</v>
      </c>
      <c r="AB192">
        <f>IF($AB$31&lt;=$AB$32,IF($A192&lt;=$AB$7,1,2),IF($A192&lt;=RUNG_BEDS_2,2,1))</f>
        <v>1</v>
      </c>
      <c r="AC192" s="5">
        <f>MIN(1,MAX(0,$AB$26-($A192-1)))</f>
        <v>1</v>
      </c>
      <c r="AD192" s="5">
        <f>$AB$25*(AC192+(1-AC192)*$AB$16)</f>
        <v>252.05322714681438</v>
      </c>
      <c r="AE192" s="13">
        <f>AD192*($AB$6+ACUTE_MARGIN)</f>
        <v>138629.2749307479</v>
      </c>
      <c r="AF192" s="13">
        <f>IF(AB192=1,$AB$31,$AB$32)</f>
        <v>152394.16214437486</v>
      </c>
      <c r="AG192" s="13">
        <f>AE192-AF192</f>
        <v>-13764.887213626964</v>
      </c>
      <c r="AH192" s="13">
        <f>AH191+AG192</f>
        <v>-1500372.706285338</v>
      </c>
      <c r="AI192">
        <f>IF(AH192=MAX($AH$83:$AH$483),$A192,0)</f>
        <v>0</v>
      </c>
      <c r="AJ192">
        <f>IF(AE192&lt;AF192,$A192,B_MAX+1)</f>
        <v>109</v>
      </c>
      <c r="AK192" s="13">
        <f>IF(AB192=1,$AB$35,$AB$36)</f>
        <v>0</v>
      </c>
      <c r="AL192" s="13">
        <f>OCC_DAYS*$AB$41*R_NF_2023-AD192*MCD_SHARE_FREED*R_WAIT_2023</f>
        <v>37367.159242427646</v>
      </c>
      <c r="AM192">
        <f>IF($A192&lt;=$AB$45,1,0)</f>
        <v>0</v>
      </c>
      <c r="BB192">
        <f>IF($BB$31&lt;=$BB$32,IF($A192&lt;=$BB$7,1,2),IF($A192&lt;=RUNG_BEDS_2,2,1))</f>
        <v>1</v>
      </c>
      <c r="BC192" s="5">
        <f>MIN(1,MAX(0,$BB$26-($A192-1)))</f>
        <v>1</v>
      </c>
      <c r="BD192" s="5">
        <f>$BB$25*(BC192+(1-BC192)*$BB$16)</f>
        <v>252.05322714681438</v>
      </c>
      <c r="BE192" s="13">
        <f>BD192*($BB$6+ACUTE_MARGIN)</f>
        <v>370518.24390581716</v>
      </c>
      <c r="BF192" s="13">
        <f>IF(BB192=1,$BB$31,$BB$32)</f>
        <v>152394.16214437486</v>
      </c>
      <c r="BG192" s="13">
        <f>BE192-BF192</f>
        <v>218124.0817614423</v>
      </c>
      <c r="BH192" s="13">
        <f>BH191+BG192</f>
        <v>23775524.911997195</v>
      </c>
      <c r="BI192">
        <f>IF(BH192=MAX($BH$83:$BH$483),$A192,0)</f>
        <v>0</v>
      </c>
      <c r="BJ192">
        <f>IF(BE192&lt;BF192,$A192,B_MAX+1)</f>
        <v>401.0</v>
      </c>
      <c r="BK192" s="13">
        <f>IF(BB192=1,$BB$35,$BB$36)</f>
        <v>0</v>
      </c>
      <c r="BL192" s="13">
        <f>OCC_DAYS*$BB$41*R_NF_2023-BD192*MCD_SHARE_FREED*R_WAIT_2023</f>
        <v>37367.159242427646</v>
      </c>
      <c r="BM192">
        <f>IF($A192&lt;=$BB$45,1,0)</f>
        <v>1</v>
      </c>
      <c r="CB192">
        <f>IF($CB$31&lt;=$CB$32,IF($A192&lt;=$CB$7,1,2),IF($A192&lt;=RUNG_BEDS_2,2,1))</f>
        <v>2</v>
      </c>
      <c r="CC192" s="5">
        <f>MIN(1,MAX(0,$CB$26-($A192-1)))</f>
        <v>1</v>
      </c>
      <c r="CD192" s="5">
        <f>$CB$25*(CC192+(1-CC192)*$CB$16)</f>
        <v>252.05322714681438</v>
      </c>
      <c r="CE192" s="13">
        <f>CD192*($CB$6+ACUTE_MARGIN)</f>
        <v>254573.7594182825</v>
      </c>
      <c r="CF192" s="13">
        <f>IF(CB192=1,$CB$31,$CB$32)</f>
        <v>160718.36940738867</v>
      </c>
      <c r="CG192" s="13">
        <f>CE192-CF192</f>
        <v>93855.39001089384</v>
      </c>
      <c r="CH192" s="13">
        <f>CH191+CG192</f>
        <v>10230237.511187438</v>
      </c>
      <c r="CI192">
        <f>IF(CH192=MAX($CH$83:$CH$483),$A192,0)</f>
        <v>0</v>
      </c>
      <c r="CJ192">
        <f>IF(CE192&lt;CF192,$A192,B_MAX+1)</f>
        <v>401.0</v>
      </c>
      <c r="CK192" s="13">
        <f>IF(CB192=1,$CB$35,$CB$36)</f>
        <v>1560.1194073886782</v>
      </c>
      <c r="CL192" s="13">
        <f>OCC_DAYS*$CB$41*R_NF_2023-CD192*MCD_SHARE_FREED*R_WAIT_2023</f>
        <v>37367.159242427646</v>
      </c>
      <c r="CM192">
        <f>IF($A192&lt;=$CB$45,1,0)</f>
        <v>1</v>
      </c>
      <c r="DB192">
        <f>IF($DB$31&lt;=$DB$32,IF($A192&lt;=$DB$7,1,2),IF($A192&lt;=RUNG_BEDS_2,2,1))</f>
        <v>1</v>
      </c>
      <c r="DC192" s="5">
        <f>MIN(1,MAX(0,$DB$26-($A192-1)))</f>
        <v>1</v>
      </c>
      <c r="DD192" s="5">
        <f>$DB$25*(DC192+(1-DC192)*$DB$16)</f>
        <v>252.05322714681438</v>
      </c>
      <c r="DE192" s="13">
        <f>DD192*($DB$6+ACUTE_MARGIN)</f>
        <v>254573.7594182825</v>
      </c>
      <c r="DF192" s="13">
        <f>IF(DB192=1,$DB$31,$DB$32)</f>
        <v>152394.16214437486</v>
      </c>
      <c r="DG192" s="13">
        <f>DE192-DF192</f>
        <v>102179.59727390765</v>
      </c>
      <c r="DH192" s="13">
        <f>DH191+DG192</f>
        <v>11137576.102855956</v>
      </c>
      <c r="DI192">
        <f>IF(DH192=MAX($DH$83:$DH$483),$A192,0)</f>
        <v>0</v>
      </c>
      <c r="DJ192">
        <f>IF(DE192&lt;DF192,$A192,B_MAX+1)</f>
        <v>401.0</v>
      </c>
      <c r="DK192" s="13">
        <f>IF(DB192=1,$DB$35,$DB$36)</f>
        <v>0</v>
      </c>
      <c r="DL192" s="13">
        <f>OCC_DAYS*$DB$41*R_NF_2023-DD192*MCD_SHARE_FREED*R_WAIT_2023</f>
        <v>37367.159242427646</v>
      </c>
      <c r="DM192">
        <f>IF($A192&lt;=$DB$45,1,0)</f>
        <v>1</v>
      </c>
      <c r="EB192">
        <f>IF($EB$31&lt;=$EB$32,IF($A192&lt;=$EB$7,1,2),IF($A192&lt;=RUNG_BEDS_2,2,1))</f>
        <v>1</v>
      </c>
      <c r="EC192" s="5">
        <f>MIN(1,MAX(0,$EB$26-($A192-1)))</f>
        <v>1</v>
      </c>
      <c r="ED192" s="5">
        <f>$EB$25*(EC192+(1-EC192)*$EB$16)</f>
        <v>252.05322714681438</v>
      </c>
      <c r="EE192" s="13">
        <f>ED192*($EB$6+ACUTE_MARGIN)</f>
        <v>254573.7594182825</v>
      </c>
      <c r="EF192" s="13">
        <f>IF(EB192=1,$EB$31,$EB$32)</f>
        <v>152394.16214437486</v>
      </c>
      <c r="EG192" s="13">
        <f>EE192-EF192</f>
        <v>102179.59727390765</v>
      </c>
      <c r="EH192" s="13">
        <f>EH191+EG192</f>
        <v>11137576.102855956</v>
      </c>
      <c r="EI192">
        <f>IF(EH192=MAX($EH$83:$EH$483),$A192,0)</f>
        <v>0</v>
      </c>
      <c r="EJ192">
        <f>IF(EE192&lt;EF192,$A192,B_MAX+1)</f>
        <v>401.0</v>
      </c>
      <c r="EK192" s="13">
        <f>IF(EB192=1,$EB$35,$EB$36)</f>
        <v>0</v>
      </c>
      <c r="EL192" s="13">
        <f>OCC_DAYS*$EB$41*R_NF_2023-ED192*MCD_SHARE_FREED*R_WAIT_2023</f>
        <v>-63953.16263896705</v>
      </c>
      <c r="EM192">
        <f>IF($A192&lt;=$EB$45,1,0)</f>
        <v>1</v>
      </c>
      <c r="FB192">
        <f>IF($FB$31&lt;=$FB$32,IF($A192&lt;=$FB$7,1,2),IF($A192&lt;=RUNG_BEDS_2,2,1))</f>
        <v>1</v>
      </c>
      <c r="FC192" s="5">
        <f>MIN(1,MAX(0,$FB$26-($A192-1)))</f>
        <v>1</v>
      </c>
      <c r="FD192" s="5">
        <f>$FB$25*(FC192+(1-FC192)*$FB$16)</f>
        <v>252.05322714681438</v>
      </c>
      <c r="FE192" s="13">
        <f>FD192*($FB$6+ACUTE_MARGIN)</f>
        <v>254573.7594182825</v>
      </c>
      <c r="FF192" s="13">
        <f>IF(FB192=1,$FB$31,$FB$32)</f>
        <v>156636.04979437485</v>
      </c>
      <c r="FG192" s="13">
        <f>FE192-FF192</f>
        <v>97937.70962390766</v>
      </c>
      <c r="FH192" s="13">
        <f>FH191+FG192</f>
        <v>10675210.349005915</v>
      </c>
      <c r="FI192">
        <f>IF(FH192=MAX($FH$83:$FH$483),$A192,0)</f>
        <v>0</v>
      </c>
      <c r="FJ192">
        <f>IF(FE192&lt;FF192,$A192,B_MAX+1)</f>
        <v>401.0</v>
      </c>
      <c r="FK192" s="13">
        <f>IF(FB192=1,$FB$35,$FB$36)</f>
        <v>0</v>
      </c>
      <c r="FL192" s="13">
        <f>OCC_DAYS*$FB$41*R_NF_2023-FD192*MCD_SHARE_FREED*R_WAIT_2023</f>
        <v>37367.159242427646</v>
      </c>
      <c r="FM192">
        <f>IF($A192&lt;=$FB$45,1,0)</f>
        <v>1</v>
      </c>
      <c r="GB192">
        <f>IF($GB$31&lt;=$GB$32,IF($A192&lt;=$GB$7,1,2),IF($A192&lt;=RUNG_BEDS_2,2,1))</f>
        <v>1</v>
      </c>
      <c r="GC192" s="5">
        <f>MIN(1,MAX(0,$GB$26-($A192-1)))</f>
        <v>1</v>
      </c>
      <c r="GD192" s="5">
        <f>$GB$25*(GC192+(1-GC192)*$GB$16)</f>
        <v>252.05322714681438</v>
      </c>
      <c r="GE192" s="13">
        <f>GD192*($GB$6+ACUTE_MARGIN)</f>
        <v>254573.7594182825</v>
      </c>
      <c r="GF192" s="13">
        <f>IF(GB192=1,$GB$31,$GB$32)</f>
        <v>152394.16214437486</v>
      </c>
      <c r="GG192" s="13">
        <f>GE192-GF192</f>
        <v>102179.59727390765</v>
      </c>
      <c r="GH192" s="13">
        <f>GH191+GG192</f>
        <v>11137576.102855956</v>
      </c>
      <c r="GI192">
        <f>IF(GH192=MAX($GH$83:$GH$483),$A192,0)</f>
        <v>0</v>
      </c>
      <c r="GJ192">
        <f>IF(GE192&lt;GF192,$A192,B_MAX+1)</f>
        <v>401.0</v>
      </c>
      <c r="GK192" s="13">
        <f>IF(GB192=1,$GB$35,$GB$36)</f>
        <v>0</v>
      </c>
      <c r="GL192" s="13">
        <f>OCC_DAYS*$GB$41*R_NF_2023-GD192*MCD_SHARE_FREED*R_WAIT_2023</f>
        <v>37367.159242427646</v>
      </c>
      <c r="GM192">
        <f>IF($A192&lt;=$GB$45,1,0)</f>
        <v>1</v>
      </c>
      <c r="HB192">
        <f>IF($HB$31&lt;=$HB$32,IF($A192&lt;=$HB$7,1,2),IF($A192&lt;=RUNG_BEDS_2,2,1))</f>
        <v>1</v>
      </c>
      <c r="HC192" s="5">
        <f>MIN(1,MAX(0,$HB$26-($A192-1)))</f>
        <v>1</v>
      </c>
      <c r="HD192" s="5">
        <f>$HB$25*(HC192+(1-HC192)*$HB$16)</f>
        <v>252.05322714681438</v>
      </c>
      <c r="HE192" s="13">
        <f>HD192*($HB$6+ACUTE_MARGIN)</f>
        <v>254573.7594182825</v>
      </c>
      <c r="HF192" s="13">
        <f>IF(HB192=1,$HB$31,$HB$32)</f>
        <v>152456.2970814058</v>
      </c>
      <c r="HG192" s="13">
        <f>HE192-HF192</f>
        <v>102117.46233687672</v>
      </c>
      <c r="HH192" s="13">
        <f>HH191+HG192</f>
        <v>11130803.39471957</v>
      </c>
      <c r="HI192">
        <f>IF(HH192=MAX($HH$83:$HH$483),$A192,0)</f>
        <v>0</v>
      </c>
      <c r="HJ192">
        <f>IF(HE192&lt;HF192,$A192,B_MAX+1)</f>
        <v>401.0</v>
      </c>
      <c r="HK192" s="13">
        <f>IF(HB192=1,$HB$35,$HB$36)</f>
        <v>0</v>
      </c>
      <c r="HL192" s="13">
        <f>OCC_DAYS*$HB$41*R_NF_2023-HD192*MCD_SHARE_FREED*R_WAIT_2023</f>
        <v>37367.159242427646</v>
      </c>
      <c r="HM192">
        <f>IF($A192&lt;=$HB$45,1,0)</f>
        <v>1</v>
      </c>
      <c r="IB192">
        <f>IF($IB$31&lt;=$IB$32,IF($A192&lt;=$IB$7,1,2),IF($A192&lt;=RUNG_BEDS_2,2,1))</f>
        <v>1</v>
      </c>
      <c r="IC192" s="5">
        <f>MIN(1,MAX(0,$IB$26-($A192-1)))</f>
        <v>1</v>
      </c>
      <c r="ID192" s="5">
        <f>$IB$25*(IC192+(1-IC192)*$IB$16)</f>
        <v>252.05322714681438</v>
      </c>
      <c r="IE192" s="13">
        <f>ID192*($IB$6+ACUTE_MARGIN)</f>
        <v>254573.7594182825</v>
      </c>
      <c r="IF192" s="13">
        <f>IF(IB192=1,$IB$31,$IB$32)</f>
        <v>152734.9994534971</v>
      </c>
      <c r="IG192" s="13">
        <f>IE192-IF192</f>
        <v>101838.75996478542</v>
      </c>
      <c r="IH192" s="13">
        <f>IH191+IG192</f>
        <v>11100424.836161597</v>
      </c>
      <c r="II192">
        <f>IF(IH192=MAX($IH$83:$IH$483),$A192,0)</f>
        <v>0</v>
      </c>
      <c r="IJ192">
        <f>IF(IE192&lt;IF192,$A192,B_MAX+1)</f>
        <v>401.0</v>
      </c>
      <c r="IK192" s="13">
        <f>IF(IB192=1,$IB$35,$IB$36)</f>
        <v>0</v>
      </c>
      <c r="IL192" s="13">
        <f>OCC_DAYS*$IB$41*R_NF_2023-ID192*MCD_SHARE_FREED*R_WAIT_2023</f>
        <v>37367.159242427646</v>
      </c>
      <c r="IM192">
        <f>IF($A192&lt;=$IB$45,1,0)</f>
        <v>1</v>
      </c>
      <c r="JB192">
        <f>IF($JB$31&lt;=$JB$32,IF($A192&lt;=$JB$7,1,2),IF($A192&lt;=RUNG_BEDS_2,2,1))</f>
        <v>1</v>
      </c>
      <c r="JC192" s="5">
        <f>MIN(1,MAX(0,$JB$26-($A192-1)))</f>
        <v>1</v>
      </c>
      <c r="JD192" s="5">
        <f>$JB$25*(JC192+(1-JC192)*$JB$16)</f>
        <v>252.05322714681438</v>
      </c>
      <c r="JE192" s="13">
        <f>JD192*($JB$6+ACUTE_MARGIN)</f>
        <v>254573.7594182825</v>
      </c>
      <c r="JF192" s="13">
        <f>IF(JB192=1,$JB$31,$JB$32)</f>
        <v>152394.16214437486</v>
      </c>
      <c r="JG192" s="13">
        <f>JE192-JF192</f>
        <v>102179.59727390765</v>
      </c>
      <c r="JH192" s="13">
        <f>JH191+JG192</f>
        <v>11137576.102855956</v>
      </c>
      <c r="JI192">
        <f>IF(JH192=MAX($JH$83:$JH$483),$A192,0)</f>
        <v>0</v>
      </c>
      <c r="JJ192">
        <f>IF(JE192&lt;JF192,$A192,B_MAX+1)</f>
        <v>401.0</v>
      </c>
      <c r="JK192" s="13">
        <f>IF(JB192=1,$JB$35,$JB$36)</f>
        <v>0</v>
      </c>
      <c r="JL192" s="13">
        <f>OCC_DAYS*$JB$41*R_NF_2023-JD192*MCD_SHARE_FREED*R_WAIT_2023</f>
        <v>37367.159242427646</v>
      </c>
      <c r="JM192">
        <f>IF($A192&lt;=$JB$45,1,0)</f>
        <v>1</v>
      </c>
      <c r="KB192">
        <f>IF($KB$31&lt;=$KB$32,IF($A192&lt;=$KB$7,1,2),IF($A192&lt;=RUNG_BEDS_2,2,1))</f>
        <v>1</v>
      </c>
      <c r="KC192" s="5">
        <f>MIN(1,MAX(0,$KB$26-($A192-1)))</f>
        <v>1</v>
      </c>
      <c r="KD192" s="5">
        <f>$KB$25*(KC192+(1-KC192)*$KB$16)</f>
        <v>126.02661357340719</v>
      </c>
      <c r="KE192" s="13">
        <f>KD192*($KB$6+ACUTE_MARGIN)</f>
        <v>127286.87970914126</v>
      </c>
      <c r="KF192" s="13">
        <f>IF(KB192=1,$KB$31,$KB$32)</f>
        <v>152394.16214437486</v>
      </c>
      <c r="KG192" s="13">
        <f>KE192-KF192</f>
        <v>-25107.282435233603</v>
      </c>
      <c r="KH192" s="13">
        <f>KH191+KG192</f>
        <v>-2736693.785440469</v>
      </c>
      <c r="KI192">
        <f>IF(KH192=MAX($KH$83:$KH$483),$A192,0)</f>
        <v>0</v>
      </c>
      <c r="KJ192">
        <f>IF(KE192&lt;KF192,$A192,B_MAX+1)</f>
        <v>109</v>
      </c>
      <c r="KK192" s="13">
        <f>IF(KB192=1,$KB$35,$KB$36)</f>
        <v>0</v>
      </c>
      <c r="KL192" s="13">
        <f>OCC_DAYS*$KB$41*R_NF_2023-KD192*MCD_SHARE_FREED*R_WAIT_2023</f>
        <v>94673.82103225985</v>
      </c>
      <c r="KM192">
        <f>IF($A192&lt;=$KB$45,1,0)</f>
        <v>0</v>
      </c>
      <c r="LB192">
        <f>IF($LB$31&lt;=$LB$32,IF($A192&lt;=$LB$7,1,2),IF($A192&lt;=RUNG_BEDS_2,2,1))</f>
        <v>1</v>
      </c>
      <c r="LC192" s="5">
        <f>MIN(1,MAX(0,$LB$26-($A192-1)))</f>
        <v>1</v>
      </c>
      <c r="LD192" s="5">
        <f>$LB$25*(LC192+(1-LC192)*$LB$16)</f>
        <v>84.01774238227146</v>
      </c>
      <c r="LE192" s="13">
        <f>LD192*($LB$6+ACUTE_MARGIN)</f>
        <v>84857.91980609419</v>
      </c>
      <c r="LF192" s="13">
        <f>IF(LB192=1,$LB$31,$LB$32)</f>
        <v>152394.16214437486</v>
      </c>
      <c r="LG192" s="13">
        <f>LE192-LF192</f>
        <v>-67536.24233828067</v>
      </c>
      <c r="LH192" s="13">
        <f>LH191+LG192</f>
        <v>-7361450.414872614</v>
      </c>
      <c r="LI192">
        <f>IF(LH192=MAX($LH$83:$LH$483),$A192,0)</f>
        <v>0</v>
      </c>
      <c r="LJ192">
        <f>IF(LE192&lt;LF192,$A192,B_MAX+1)</f>
        <v>109</v>
      </c>
      <c r="LK192" s="13">
        <f>IF(LB192=1,$LB$35,$LB$36)</f>
        <v>0</v>
      </c>
      <c r="LL192" s="13">
        <f>OCC_DAYS*$LB$41*R_NF_2023-LD192*MCD_SHARE_FREED*R_WAIT_2023</f>
        <v>113776.04162887059</v>
      </c>
      <c r="LM192">
        <f>IF($A192&lt;=$LB$45,1,0)</f>
        <v>0</v>
      </c>
      <c r="MB192">
        <f>IF($MB$31&lt;=$MB$32,IF($A192&lt;=$MB$7,1,2),IF($A192&lt;=RUNG_BEDS_2,2,1))</f>
        <v>1</v>
      </c>
      <c r="MC192" s="5">
        <f>MIN(1,MAX(0,$MB$26-($A192-1)))</f>
        <v>1</v>
      </c>
      <c r="MD192" s="5">
        <f>$MB$25*(MC192+(1-MC192)*$MB$16)</f>
        <v>213.44610951008647</v>
      </c>
      <c r="ME192" s="13">
        <f>MD192*($MB$6+ACUTE_MARGIN)</f>
        <v>215580.57060518733</v>
      </c>
      <c r="MF192" s="13">
        <f>IF(MB192=1,$MB$31,$MB$32)</f>
        <v>152394.16214437486</v>
      </c>
      <c r="MG192" s="13">
        <f>ME192-MF192</f>
        <v>63186.40846081247</v>
      </c>
      <c r="MH192" s="13">
        <f>MH191+MG192</f>
        <v>6887318.522228571</v>
      </c>
      <c r="MI192">
        <f>IF(MH192=MAX($MH$83:$MH$483),$A192,0)</f>
        <v>0</v>
      </c>
      <c r="MJ192">
        <f>IF(ME192&lt;MF192,$A192,B_MAX+1)</f>
        <v>401.0</v>
      </c>
      <c r="MK192" s="13">
        <f>IF(MB192=1,$MB$35,$MB$36)</f>
        <v>0</v>
      </c>
      <c r="ML192" s="13">
        <f>OCC_DAYS*$MB$41*R_NF_2023-MD192*MCD_SHARE_FREED*R_WAIT_2023</f>
        <v>54922.538779778624</v>
      </c>
      <c r="MM192">
        <f>IF($A192&lt;=$MB$45,1,0)</f>
        <v>1</v>
      </c>
      <c r="NB192">
        <f>IF($NB$31&lt;=$NB$32,IF($A192&lt;=$NB$7,1,2),IF($A192&lt;=RUNG_BEDS_2,2,1))</f>
        <v>1</v>
      </c>
      <c r="NC192" s="5">
        <f>MIN(1,MAX(0,$NB$26-($A192-1)))</f>
        <v>1</v>
      </c>
      <c r="ND192" s="5">
        <f>$NB$25*(NC192+(1-NC192)*$NB$16)</f>
        <v>252.05322714681438</v>
      </c>
      <c r="NE192" s="13">
        <f>ND192*($NB$6+ACUTE_MARGIN)</f>
        <v>254573.7594182825</v>
      </c>
      <c r="NF192" s="13">
        <f>IF(NB192=1,$NB$31,$NB$32)</f>
        <v>152394.16214437486</v>
      </c>
      <c r="NG192" s="13">
        <f>NE192-NF192</f>
        <v>102179.59727390765</v>
      </c>
      <c r="NH192" s="13">
        <f>NH191+NG192</f>
        <v>11137576.102855956</v>
      </c>
      <c r="NI192">
        <f>IF(NH192=MAX($NH$83:$NH$483),$A192,0)</f>
        <v>0</v>
      </c>
      <c r="NJ192">
        <f>IF(NE192&lt;NF192,$A192,B_MAX+1)</f>
        <v>401.0</v>
      </c>
      <c r="NK192" s="13">
        <f>IF(NB192=1,$NB$35,$NB$36)</f>
        <v>0</v>
      </c>
      <c r="NL192" s="13">
        <f>OCC_DAYS*$NB$41*R_NF_2023-ND192*MCD_SHARE_FREED*R_WAIT_2023</f>
        <v>37367.159242427646</v>
      </c>
      <c r="NM192">
        <f>IF($A192&lt;=$NB$45,1,0)</f>
        <v>1</v>
      </c>
      <c r="OB192">
        <f>IF($OB$31&lt;=$OB$32,IF($A192&lt;=$OB$7,1,2),IF($A192&lt;=RUNG_BEDS_2,2,1))</f>
        <v>1</v>
      </c>
      <c r="OC192" s="5">
        <f>MIN(1,MAX(0,$OB$26-($A192-1)))</f>
        <v>1</v>
      </c>
      <c r="OD192" s="5">
        <f>$OB$25*(OC192+(1-OC192)*$OB$16)</f>
        <v>252.05322714681438</v>
      </c>
      <c r="OE192" s="13">
        <f>OD192*($OB$6+ACUTE_MARGIN)</f>
        <v>254573.7594182825</v>
      </c>
      <c r="OF192" s="13">
        <f>IF(OB192=1,$OB$31,$OB$32)</f>
        <v>152394.16214437486</v>
      </c>
      <c r="OG192" s="13">
        <f>OE192-OF192</f>
        <v>102179.59727390765</v>
      </c>
      <c r="OH192" s="13">
        <f>OH191+OG192</f>
        <v>11137576.102855956</v>
      </c>
      <c r="OI192">
        <f>IF(OH192=MAX($OH$83:$OH$483),$A192,0)</f>
        <v>0</v>
      </c>
      <c r="OJ192">
        <f>IF(OE192&lt;OF192,$A192,B_MAX+1)</f>
        <v>401.0</v>
      </c>
      <c r="OK192" s="13">
        <f>IF(OB192=1,$OB$35,$OB$36)</f>
        <v>0</v>
      </c>
      <c r="OL192" s="13">
        <f>OCC_DAYS*$OB$41*R_NF_2023-OD192*MCD_SHARE_FREED*R_WAIT_2023</f>
        <v>37367.159242427646</v>
      </c>
      <c r="OM192">
        <f>IF($A192&lt;=$OB$45,1,0)</f>
        <v>1</v>
      </c>
    </row>
    <row r="193">
      <c r="A193" t="n">
        <v>110</v>
      </c>
      <c r="B193">
        <f>IF($B$31&lt;=$B$32,IF($A193&lt;=$B$7,1,2),IF($A193&lt;=RUNG_BEDS_2,2,1))</f>
        <v>1</v>
      </c>
      <c r="C193" s="5">
        <f>MIN(1,MAX(0,$B$26-($A193-1)))</f>
        <v>1</v>
      </c>
      <c r="D193" s="5">
        <f>$B$25*(C193+(1-C193)*$B$16)</f>
        <v>252.05322714681438</v>
      </c>
      <c r="E193" s="13">
        <f>D193*($B$6+ACUTE_MARGIN)</f>
        <v>254573.7594182825</v>
      </c>
      <c r="F193" s="13">
        <f>IF(B193=1,$B$31,$B$32)</f>
        <v>152394.16214437486</v>
      </c>
      <c r="G193" s="13">
        <f>E193-F193</f>
        <v>102179.59727390765</v>
      </c>
      <c r="H193" s="13">
        <f>H192+G193</f>
        <v>11239755.700129865</v>
      </c>
      <c r="I193">
        <f>IF(H193=MAX($H$83:$H$483),$A193,0)</f>
        <v>0</v>
      </c>
      <c r="J193">
        <f>IF(E193&lt;F193,$A193,B_MAX+1)</f>
        <v>401.0</v>
      </c>
      <c r="K193" s="13">
        <f>IF(B193=1,$B$35,$B$36)</f>
        <v>0</v>
      </c>
      <c r="L193" s="13">
        <f>OCC_DAYS*$B$41*R_NF_2023-D193*MCD_SHARE_FREED*R_WAIT_2023</f>
        <v>37367.159242427646</v>
      </c>
      <c r="M193">
        <f>IF($A193&lt;=$B$45,1,0)</f>
        <v>1</v>
      </c>
      <c r="AB193">
        <f>IF($AB$31&lt;=$AB$32,IF($A193&lt;=$AB$7,1,2),IF($A193&lt;=RUNG_BEDS_2,2,1))</f>
        <v>1</v>
      </c>
      <c r="AC193" s="5">
        <f>MIN(1,MAX(0,$AB$26-($A193-1)))</f>
        <v>1</v>
      </c>
      <c r="AD193" s="5">
        <f>$AB$25*(AC193+(1-AC193)*$AB$16)</f>
        <v>252.05322714681438</v>
      </c>
      <c r="AE193" s="13">
        <f>AD193*($AB$6+ACUTE_MARGIN)</f>
        <v>138629.2749307479</v>
      </c>
      <c r="AF193" s="13">
        <f>IF(AB193=1,$AB$31,$AB$32)</f>
        <v>152394.16214437486</v>
      </c>
      <c r="AG193" s="13">
        <f>AE193-AF193</f>
        <v>-13764.887213626964</v>
      </c>
      <c r="AH193" s="13">
        <f>AH192+AG193</f>
        <v>-1514137.5934989648</v>
      </c>
      <c r="AI193">
        <f>IF(AH193=MAX($AH$83:$AH$483),$A193,0)</f>
        <v>0</v>
      </c>
      <c r="AJ193">
        <f>IF(AE193&lt;AF193,$A193,B_MAX+1)</f>
        <v>110</v>
      </c>
      <c r="AK193" s="13">
        <f>IF(AB193=1,$AB$35,$AB$36)</f>
        <v>0</v>
      </c>
      <c r="AL193" s="13">
        <f>OCC_DAYS*$AB$41*R_NF_2023-AD193*MCD_SHARE_FREED*R_WAIT_2023</f>
        <v>37367.159242427646</v>
      </c>
      <c r="AM193">
        <f>IF($A193&lt;=$AB$45,1,0)</f>
        <v>0</v>
      </c>
      <c r="BB193">
        <f>IF($BB$31&lt;=$BB$32,IF($A193&lt;=$BB$7,1,2),IF($A193&lt;=RUNG_BEDS_2,2,1))</f>
        <v>1</v>
      </c>
      <c r="BC193" s="5">
        <f>MIN(1,MAX(0,$BB$26-($A193-1)))</f>
        <v>1</v>
      </c>
      <c r="BD193" s="5">
        <f>$BB$25*(BC193+(1-BC193)*$BB$16)</f>
        <v>252.05322714681438</v>
      </c>
      <c r="BE193" s="13">
        <f>BD193*($BB$6+ACUTE_MARGIN)</f>
        <v>370518.24390581716</v>
      </c>
      <c r="BF193" s="13">
        <f>IF(BB193=1,$BB$31,$BB$32)</f>
        <v>152394.16214437486</v>
      </c>
      <c r="BG193" s="13">
        <f>BE193-BF193</f>
        <v>218124.0817614423</v>
      </c>
      <c r="BH193" s="13">
        <f>BH192+BG193</f>
        <v>23993648.993758637</v>
      </c>
      <c r="BI193">
        <f>IF(BH193=MAX($BH$83:$BH$483),$A193,0)</f>
        <v>0</v>
      </c>
      <c r="BJ193">
        <f>IF(BE193&lt;BF193,$A193,B_MAX+1)</f>
        <v>401.0</v>
      </c>
      <c r="BK193" s="13">
        <f>IF(BB193=1,$BB$35,$BB$36)</f>
        <v>0</v>
      </c>
      <c r="BL193" s="13">
        <f>OCC_DAYS*$BB$41*R_NF_2023-BD193*MCD_SHARE_FREED*R_WAIT_2023</f>
        <v>37367.159242427646</v>
      </c>
      <c r="BM193">
        <f>IF($A193&lt;=$BB$45,1,0)</f>
        <v>1</v>
      </c>
      <c r="CB193">
        <f>IF($CB$31&lt;=$CB$32,IF($A193&lt;=$CB$7,1,2),IF($A193&lt;=RUNG_BEDS_2,2,1))</f>
        <v>2</v>
      </c>
      <c r="CC193" s="5">
        <f>MIN(1,MAX(0,$CB$26-($A193-1)))</f>
        <v>1</v>
      </c>
      <c r="CD193" s="5">
        <f>$CB$25*(CC193+(1-CC193)*$CB$16)</f>
        <v>252.05322714681438</v>
      </c>
      <c r="CE193" s="13">
        <f>CD193*($CB$6+ACUTE_MARGIN)</f>
        <v>254573.7594182825</v>
      </c>
      <c r="CF193" s="13">
        <f>IF(CB193=1,$CB$31,$CB$32)</f>
        <v>160718.36940738867</v>
      </c>
      <c r="CG193" s="13">
        <f>CE193-CF193</f>
        <v>93855.39001089384</v>
      </c>
      <c r="CH193" s="13">
        <f>CH192+CG193</f>
        <v>10324092.901198331</v>
      </c>
      <c r="CI193">
        <f>IF(CH193=MAX($CH$83:$CH$483),$A193,0)</f>
        <v>0</v>
      </c>
      <c r="CJ193">
        <f>IF(CE193&lt;CF193,$A193,B_MAX+1)</f>
        <v>401.0</v>
      </c>
      <c r="CK193" s="13">
        <f>IF(CB193=1,$CB$35,$CB$36)</f>
        <v>1560.1194073886782</v>
      </c>
      <c r="CL193" s="13">
        <f>OCC_DAYS*$CB$41*R_NF_2023-CD193*MCD_SHARE_FREED*R_WAIT_2023</f>
        <v>37367.159242427646</v>
      </c>
      <c r="CM193">
        <f>IF($A193&lt;=$CB$45,1,0)</f>
        <v>1</v>
      </c>
      <c r="DB193">
        <f>IF($DB$31&lt;=$DB$32,IF($A193&lt;=$DB$7,1,2),IF($A193&lt;=RUNG_BEDS_2,2,1))</f>
        <v>1</v>
      </c>
      <c r="DC193" s="5">
        <f>MIN(1,MAX(0,$DB$26-($A193-1)))</f>
        <v>1</v>
      </c>
      <c r="DD193" s="5">
        <f>$DB$25*(DC193+(1-DC193)*$DB$16)</f>
        <v>252.05322714681438</v>
      </c>
      <c r="DE193" s="13">
        <f>DD193*($DB$6+ACUTE_MARGIN)</f>
        <v>254573.7594182825</v>
      </c>
      <c r="DF193" s="13">
        <f>IF(DB193=1,$DB$31,$DB$32)</f>
        <v>152394.16214437486</v>
      </c>
      <c r="DG193" s="13">
        <f>DE193-DF193</f>
        <v>102179.59727390765</v>
      </c>
      <c r="DH193" s="13">
        <f>DH192+DG193</f>
        <v>11239755.700129865</v>
      </c>
      <c r="DI193">
        <f>IF(DH193=MAX($DH$83:$DH$483),$A193,0)</f>
        <v>0</v>
      </c>
      <c r="DJ193">
        <f>IF(DE193&lt;DF193,$A193,B_MAX+1)</f>
        <v>401.0</v>
      </c>
      <c r="DK193" s="13">
        <f>IF(DB193=1,$DB$35,$DB$36)</f>
        <v>0</v>
      </c>
      <c r="DL193" s="13">
        <f>OCC_DAYS*$DB$41*R_NF_2023-DD193*MCD_SHARE_FREED*R_WAIT_2023</f>
        <v>37367.159242427646</v>
      </c>
      <c r="DM193">
        <f>IF($A193&lt;=$DB$45,1,0)</f>
        <v>1</v>
      </c>
      <c r="EB193">
        <f>IF($EB$31&lt;=$EB$32,IF($A193&lt;=$EB$7,1,2),IF($A193&lt;=RUNG_BEDS_2,2,1))</f>
        <v>1</v>
      </c>
      <c r="EC193" s="5">
        <f>MIN(1,MAX(0,$EB$26-($A193-1)))</f>
        <v>1</v>
      </c>
      <c r="ED193" s="5">
        <f>$EB$25*(EC193+(1-EC193)*$EB$16)</f>
        <v>252.05322714681438</v>
      </c>
      <c r="EE193" s="13">
        <f>ED193*($EB$6+ACUTE_MARGIN)</f>
        <v>254573.7594182825</v>
      </c>
      <c r="EF193" s="13">
        <f>IF(EB193=1,$EB$31,$EB$32)</f>
        <v>152394.16214437486</v>
      </c>
      <c r="EG193" s="13">
        <f>EE193-EF193</f>
        <v>102179.59727390765</v>
      </c>
      <c r="EH193" s="13">
        <f>EH192+EG193</f>
        <v>11239755.700129865</v>
      </c>
      <c r="EI193">
        <f>IF(EH193=MAX($EH$83:$EH$483),$A193,0)</f>
        <v>0</v>
      </c>
      <c r="EJ193">
        <f>IF(EE193&lt;EF193,$A193,B_MAX+1)</f>
        <v>401.0</v>
      </c>
      <c r="EK193" s="13">
        <f>IF(EB193=1,$EB$35,$EB$36)</f>
        <v>0</v>
      </c>
      <c r="EL193" s="13">
        <f>OCC_DAYS*$EB$41*R_NF_2023-ED193*MCD_SHARE_FREED*R_WAIT_2023</f>
        <v>-63953.16263896705</v>
      </c>
      <c r="EM193">
        <f>IF($A193&lt;=$EB$45,1,0)</f>
        <v>1</v>
      </c>
      <c r="FB193">
        <f>IF($FB$31&lt;=$FB$32,IF($A193&lt;=$FB$7,1,2),IF($A193&lt;=RUNG_BEDS_2,2,1))</f>
        <v>1</v>
      </c>
      <c r="FC193" s="5">
        <f>MIN(1,MAX(0,$FB$26-($A193-1)))</f>
        <v>1</v>
      </c>
      <c r="FD193" s="5">
        <f>$FB$25*(FC193+(1-FC193)*$FB$16)</f>
        <v>252.05322714681438</v>
      </c>
      <c r="FE193" s="13">
        <f>FD193*($FB$6+ACUTE_MARGIN)</f>
        <v>254573.7594182825</v>
      </c>
      <c r="FF193" s="13">
        <f>IF(FB193=1,$FB$31,$FB$32)</f>
        <v>156636.04979437485</v>
      </c>
      <c r="FG193" s="13">
        <f>FE193-FF193</f>
        <v>97937.70962390766</v>
      </c>
      <c r="FH193" s="13">
        <f>FH192+FG193</f>
        <v>10773148.058629822</v>
      </c>
      <c r="FI193">
        <f>IF(FH193=MAX($FH$83:$FH$483),$A193,0)</f>
        <v>0</v>
      </c>
      <c r="FJ193">
        <f>IF(FE193&lt;FF193,$A193,B_MAX+1)</f>
        <v>401.0</v>
      </c>
      <c r="FK193" s="13">
        <f>IF(FB193=1,$FB$35,$FB$36)</f>
        <v>0</v>
      </c>
      <c r="FL193" s="13">
        <f>OCC_DAYS*$FB$41*R_NF_2023-FD193*MCD_SHARE_FREED*R_WAIT_2023</f>
        <v>37367.159242427646</v>
      </c>
      <c r="FM193">
        <f>IF($A193&lt;=$FB$45,1,0)</f>
        <v>1</v>
      </c>
      <c r="GB193">
        <f>IF($GB$31&lt;=$GB$32,IF($A193&lt;=$GB$7,1,2),IF($A193&lt;=RUNG_BEDS_2,2,1))</f>
        <v>1</v>
      </c>
      <c r="GC193" s="5">
        <f>MIN(1,MAX(0,$GB$26-($A193-1)))</f>
        <v>1</v>
      </c>
      <c r="GD193" s="5">
        <f>$GB$25*(GC193+(1-GC193)*$GB$16)</f>
        <v>252.05322714681438</v>
      </c>
      <c r="GE193" s="13">
        <f>GD193*($GB$6+ACUTE_MARGIN)</f>
        <v>254573.7594182825</v>
      </c>
      <c r="GF193" s="13">
        <f>IF(GB193=1,$GB$31,$GB$32)</f>
        <v>152394.16214437486</v>
      </c>
      <c r="GG193" s="13">
        <f>GE193-GF193</f>
        <v>102179.59727390765</v>
      </c>
      <c r="GH193" s="13">
        <f>GH192+GG193</f>
        <v>11239755.700129865</v>
      </c>
      <c r="GI193">
        <f>IF(GH193=MAX($GH$83:$GH$483),$A193,0)</f>
        <v>0</v>
      </c>
      <c r="GJ193">
        <f>IF(GE193&lt;GF193,$A193,B_MAX+1)</f>
        <v>401.0</v>
      </c>
      <c r="GK193" s="13">
        <f>IF(GB193=1,$GB$35,$GB$36)</f>
        <v>0</v>
      </c>
      <c r="GL193" s="13">
        <f>OCC_DAYS*$GB$41*R_NF_2023-GD193*MCD_SHARE_FREED*R_WAIT_2023</f>
        <v>37367.159242427646</v>
      </c>
      <c r="GM193">
        <f>IF($A193&lt;=$GB$45,1,0)</f>
        <v>1</v>
      </c>
      <c r="HB193">
        <f>IF($HB$31&lt;=$HB$32,IF($A193&lt;=$HB$7,1,2),IF($A193&lt;=RUNG_BEDS_2,2,1))</f>
        <v>1</v>
      </c>
      <c r="HC193" s="5">
        <f>MIN(1,MAX(0,$HB$26-($A193-1)))</f>
        <v>1</v>
      </c>
      <c r="HD193" s="5">
        <f>$HB$25*(HC193+(1-HC193)*$HB$16)</f>
        <v>252.05322714681438</v>
      </c>
      <c r="HE193" s="13">
        <f>HD193*($HB$6+ACUTE_MARGIN)</f>
        <v>254573.7594182825</v>
      </c>
      <c r="HF193" s="13">
        <f>IF(HB193=1,$HB$31,$HB$32)</f>
        <v>152456.2970814058</v>
      </c>
      <c r="HG193" s="13">
        <f>HE193-HF193</f>
        <v>102117.46233687672</v>
      </c>
      <c r="HH193" s="13">
        <f>HH192+HG193</f>
        <v>11232920.857056448</v>
      </c>
      <c r="HI193">
        <f>IF(HH193=MAX($HH$83:$HH$483),$A193,0)</f>
        <v>0</v>
      </c>
      <c r="HJ193">
        <f>IF(HE193&lt;HF193,$A193,B_MAX+1)</f>
        <v>401.0</v>
      </c>
      <c r="HK193" s="13">
        <f>IF(HB193=1,$HB$35,$HB$36)</f>
        <v>0</v>
      </c>
      <c r="HL193" s="13">
        <f>OCC_DAYS*$HB$41*R_NF_2023-HD193*MCD_SHARE_FREED*R_WAIT_2023</f>
        <v>37367.159242427646</v>
      </c>
      <c r="HM193">
        <f>IF($A193&lt;=$HB$45,1,0)</f>
        <v>1</v>
      </c>
      <c r="IB193">
        <f>IF($IB$31&lt;=$IB$32,IF($A193&lt;=$IB$7,1,2),IF($A193&lt;=RUNG_BEDS_2,2,1))</f>
        <v>1</v>
      </c>
      <c r="IC193" s="5">
        <f>MIN(1,MAX(0,$IB$26-($A193-1)))</f>
        <v>1</v>
      </c>
      <c r="ID193" s="5">
        <f>$IB$25*(IC193+(1-IC193)*$IB$16)</f>
        <v>252.05322714681438</v>
      </c>
      <c r="IE193" s="13">
        <f>ID193*($IB$6+ACUTE_MARGIN)</f>
        <v>254573.7594182825</v>
      </c>
      <c r="IF193" s="13">
        <f>IF(IB193=1,$IB$31,$IB$32)</f>
        <v>152734.9994534971</v>
      </c>
      <c r="IG193" s="13">
        <f>IE193-IF193</f>
        <v>101838.75996478542</v>
      </c>
      <c r="IH193" s="13">
        <f>IH192+IG193</f>
        <v>11202263.596126381</v>
      </c>
      <c r="II193">
        <f>IF(IH193=MAX($IH$83:$IH$483),$A193,0)</f>
        <v>0</v>
      </c>
      <c r="IJ193">
        <f>IF(IE193&lt;IF193,$A193,B_MAX+1)</f>
        <v>401.0</v>
      </c>
      <c r="IK193" s="13">
        <f>IF(IB193=1,$IB$35,$IB$36)</f>
        <v>0</v>
      </c>
      <c r="IL193" s="13">
        <f>OCC_DAYS*$IB$41*R_NF_2023-ID193*MCD_SHARE_FREED*R_WAIT_2023</f>
        <v>37367.159242427646</v>
      </c>
      <c r="IM193">
        <f>IF($A193&lt;=$IB$45,1,0)</f>
        <v>1</v>
      </c>
      <c r="JB193">
        <f>IF($JB$31&lt;=$JB$32,IF($A193&lt;=$JB$7,1,2),IF($A193&lt;=RUNG_BEDS_2,2,1))</f>
        <v>1</v>
      </c>
      <c r="JC193" s="5">
        <f>MIN(1,MAX(0,$JB$26-($A193-1)))</f>
        <v>1</v>
      </c>
      <c r="JD193" s="5">
        <f>$JB$25*(JC193+(1-JC193)*$JB$16)</f>
        <v>252.05322714681438</v>
      </c>
      <c r="JE193" s="13">
        <f>JD193*($JB$6+ACUTE_MARGIN)</f>
        <v>254573.7594182825</v>
      </c>
      <c r="JF193" s="13">
        <f>IF(JB193=1,$JB$31,$JB$32)</f>
        <v>152394.16214437486</v>
      </c>
      <c r="JG193" s="13">
        <f>JE193-JF193</f>
        <v>102179.59727390765</v>
      </c>
      <c r="JH193" s="13">
        <f>JH192+JG193</f>
        <v>11239755.700129865</v>
      </c>
      <c r="JI193">
        <f>IF(JH193=MAX($JH$83:$JH$483),$A193,0)</f>
        <v>0</v>
      </c>
      <c r="JJ193">
        <f>IF(JE193&lt;JF193,$A193,B_MAX+1)</f>
        <v>401.0</v>
      </c>
      <c r="JK193" s="13">
        <f>IF(JB193=1,$JB$35,$JB$36)</f>
        <v>0</v>
      </c>
      <c r="JL193" s="13">
        <f>OCC_DAYS*$JB$41*R_NF_2023-JD193*MCD_SHARE_FREED*R_WAIT_2023</f>
        <v>37367.159242427646</v>
      </c>
      <c r="JM193">
        <f>IF($A193&lt;=$JB$45,1,0)</f>
        <v>1</v>
      </c>
      <c r="KB193">
        <f>IF($KB$31&lt;=$KB$32,IF($A193&lt;=$KB$7,1,2),IF($A193&lt;=RUNG_BEDS_2,2,1))</f>
        <v>1</v>
      </c>
      <c r="KC193" s="5">
        <f>MIN(1,MAX(0,$KB$26-($A193-1)))</f>
        <v>1</v>
      </c>
      <c r="KD193" s="5">
        <f>$KB$25*(KC193+(1-KC193)*$KB$16)</f>
        <v>126.02661357340719</v>
      </c>
      <c r="KE193" s="13">
        <f>KD193*($KB$6+ACUTE_MARGIN)</f>
        <v>127286.87970914126</v>
      </c>
      <c r="KF193" s="13">
        <f>IF(KB193=1,$KB$31,$KB$32)</f>
        <v>152394.16214437486</v>
      </c>
      <c r="KG193" s="13">
        <f>KE193-KF193</f>
        <v>-25107.282435233603</v>
      </c>
      <c r="KH193" s="13">
        <f>KH192+KG193</f>
        <v>-2761801.067875703</v>
      </c>
      <c r="KI193">
        <f>IF(KH193=MAX($KH$83:$KH$483),$A193,0)</f>
        <v>0</v>
      </c>
      <c r="KJ193">
        <f>IF(KE193&lt;KF193,$A193,B_MAX+1)</f>
        <v>110</v>
      </c>
      <c r="KK193" s="13">
        <f>IF(KB193=1,$KB$35,$KB$36)</f>
        <v>0</v>
      </c>
      <c r="KL193" s="13">
        <f>OCC_DAYS*$KB$41*R_NF_2023-KD193*MCD_SHARE_FREED*R_WAIT_2023</f>
        <v>94673.82103225985</v>
      </c>
      <c r="KM193">
        <f>IF($A193&lt;=$KB$45,1,0)</f>
        <v>0</v>
      </c>
      <c r="LB193">
        <f>IF($LB$31&lt;=$LB$32,IF($A193&lt;=$LB$7,1,2),IF($A193&lt;=RUNG_BEDS_2,2,1))</f>
        <v>1</v>
      </c>
      <c r="LC193" s="5">
        <f>MIN(1,MAX(0,$LB$26-($A193-1)))</f>
        <v>1</v>
      </c>
      <c r="LD193" s="5">
        <f>$LB$25*(LC193+(1-LC193)*$LB$16)</f>
        <v>84.01774238227146</v>
      </c>
      <c r="LE193" s="13">
        <f>LD193*($LB$6+ACUTE_MARGIN)</f>
        <v>84857.91980609419</v>
      </c>
      <c r="LF193" s="13">
        <f>IF(LB193=1,$LB$31,$LB$32)</f>
        <v>152394.16214437486</v>
      </c>
      <c r="LG193" s="13">
        <f>LE193-LF193</f>
        <v>-67536.24233828067</v>
      </c>
      <c r="LH193" s="13">
        <f>LH192+LG193</f>
        <v>-7428986.657210895</v>
      </c>
      <c r="LI193">
        <f>IF(LH193=MAX($LH$83:$LH$483),$A193,0)</f>
        <v>0</v>
      </c>
      <c r="LJ193">
        <f>IF(LE193&lt;LF193,$A193,B_MAX+1)</f>
        <v>110</v>
      </c>
      <c r="LK193" s="13">
        <f>IF(LB193=1,$LB$35,$LB$36)</f>
        <v>0</v>
      </c>
      <c r="LL193" s="13">
        <f>OCC_DAYS*$LB$41*R_NF_2023-LD193*MCD_SHARE_FREED*R_WAIT_2023</f>
        <v>113776.04162887059</v>
      </c>
      <c r="LM193">
        <f>IF($A193&lt;=$LB$45,1,0)</f>
        <v>0</v>
      </c>
      <c r="MB193">
        <f>IF($MB$31&lt;=$MB$32,IF($A193&lt;=$MB$7,1,2),IF($A193&lt;=RUNG_BEDS_2,2,1))</f>
        <v>1</v>
      </c>
      <c r="MC193" s="5">
        <f>MIN(1,MAX(0,$MB$26-($A193-1)))</f>
        <v>1</v>
      </c>
      <c r="MD193" s="5">
        <f>$MB$25*(MC193+(1-MC193)*$MB$16)</f>
        <v>213.44610951008647</v>
      </c>
      <c r="ME193" s="13">
        <f>MD193*($MB$6+ACUTE_MARGIN)</f>
        <v>215580.57060518733</v>
      </c>
      <c r="MF193" s="13">
        <f>IF(MB193=1,$MB$31,$MB$32)</f>
        <v>152394.16214437486</v>
      </c>
      <c r="MG193" s="13">
        <f>ME193-MF193</f>
        <v>63186.40846081247</v>
      </c>
      <c r="MH193" s="13">
        <f>MH192+MG193</f>
        <v>6950504.930689383</v>
      </c>
      <c r="MI193">
        <f>IF(MH193=MAX($MH$83:$MH$483),$A193,0)</f>
        <v>0</v>
      </c>
      <c r="MJ193">
        <f>IF(ME193&lt;MF193,$A193,B_MAX+1)</f>
        <v>401.0</v>
      </c>
      <c r="MK193" s="13">
        <f>IF(MB193=1,$MB$35,$MB$36)</f>
        <v>0</v>
      </c>
      <c r="ML193" s="13">
        <f>OCC_DAYS*$MB$41*R_NF_2023-MD193*MCD_SHARE_FREED*R_WAIT_2023</f>
        <v>54922.538779778624</v>
      </c>
      <c r="MM193">
        <f>IF($A193&lt;=$MB$45,1,0)</f>
        <v>1</v>
      </c>
      <c r="NB193">
        <f>IF($NB$31&lt;=$NB$32,IF($A193&lt;=$NB$7,1,2),IF($A193&lt;=RUNG_BEDS_2,2,1))</f>
        <v>1</v>
      </c>
      <c r="NC193" s="5">
        <f>MIN(1,MAX(0,$NB$26-($A193-1)))</f>
        <v>1</v>
      </c>
      <c r="ND193" s="5">
        <f>$NB$25*(NC193+(1-NC193)*$NB$16)</f>
        <v>252.05322714681438</v>
      </c>
      <c r="NE193" s="13">
        <f>ND193*($NB$6+ACUTE_MARGIN)</f>
        <v>254573.7594182825</v>
      </c>
      <c r="NF193" s="13">
        <f>IF(NB193=1,$NB$31,$NB$32)</f>
        <v>152394.16214437486</v>
      </c>
      <c r="NG193" s="13">
        <f>NE193-NF193</f>
        <v>102179.59727390765</v>
      </c>
      <c r="NH193" s="13">
        <f>NH192+NG193</f>
        <v>11239755.700129865</v>
      </c>
      <c r="NI193">
        <f>IF(NH193=MAX($NH$83:$NH$483),$A193,0)</f>
        <v>0</v>
      </c>
      <c r="NJ193">
        <f>IF(NE193&lt;NF193,$A193,B_MAX+1)</f>
        <v>401.0</v>
      </c>
      <c r="NK193" s="13">
        <f>IF(NB193=1,$NB$35,$NB$36)</f>
        <v>0</v>
      </c>
      <c r="NL193" s="13">
        <f>OCC_DAYS*$NB$41*R_NF_2023-ND193*MCD_SHARE_FREED*R_WAIT_2023</f>
        <v>37367.159242427646</v>
      </c>
      <c r="NM193">
        <f>IF($A193&lt;=$NB$45,1,0)</f>
        <v>1</v>
      </c>
      <c r="OB193">
        <f>IF($OB$31&lt;=$OB$32,IF($A193&lt;=$OB$7,1,2),IF($A193&lt;=RUNG_BEDS_2,2,1))</f>
        <v>1</v>
      </c>
      <c r="OC193" s="5">
        <f>MIN(1,MAX(0,$OB$26-($A193-1)))</f>
        <v>1</v>
      </c>
      <c r="OD193" s="5">
        <f>$OB$25*(OC193+(1-OC193)*$OB$16)</f>
        <v>252.05322714681438</v>
      </c>
      <c r="OE193" s="13">
        <f>OD193*($OB$6+ACUTE_MARGIN)</f>
        <v>254573.7594182825</v>
      </c>
      <c r="OF193" s="13">
        <f>IF(OB193=1,$OB$31,$OB$32)</f>
        <v>152394.16214437486</v>
      </c>
      <c r="OG193" s="13">
        <f>OE193-OF193</f>
        <v>102179.59727390765</v>
      </c>
      <c r="OH193" s="13">
        <f>OH192+OG193</f>
        <v>11239755.700129865</v>
      </c>
      <c r="OI193">
        <f>IF(OH193=MAX($OH$83:$OH$483),$A193,0)</f>
        <v>0</v>
      </c>
      <c r="OJ193">
        <f>IF(OE193&lt;OF193,$A193,B_MAX+1)</f>
        <v>401.0</v>
      </c>
      <c r="OK193" s="13">
        <f>IF(OB193=1,$OB$35,$OB$36)</f>
        <v>0</v>
      </c>
      <c r="OL193" s="13">
        <f>OCC_DAYS*$OB$41*R_NF_2023-OD193*MCD_SHARE_FREED*R_WAIT_2023</f>
        <v>37367.159242427646</v>
      </c>
      <c r="OM193">
        <f>IF($A193&lt;=$OB$45,1,0)</f>
        <v>1</v>
      </c>
    </row>
    <row r="194">
      <c r="A194" t="n">
        <v>111</v>
      </c>
      <c r="B194">
        <f>IF($B$31&lt;=$B$32,IF($A194&lt;=$B$7,1,2),IF($A194&lt;=RUNG_BEDS_2,2,1))</f>
        <v>1</v>
      </c>
      <c r="C194" s="5">
        <f>MIN(1,MAX(0,$B$26-($A194-1)))</f>
        <v>1</v>
      </c>
      <c r="D194" s="5">
        <f>$B$25*(C194+(1-C194)*$B$16)</f>
        <v>252.05322714681438</v>
      </c>
      <c r="E194" s="13">
        <f>D194*($B$6+ACUTE_MARGIN)</f>
        <v>254573.7594182825</v>
      </c>
      <c r="F194" s="13">
        <f>IF(B194=1,$B$31,$B$32)</f>
        <v>152394.16214437486</v>
      </c>
      <c r="G194" s="13">
        <f>E194-F194</f>
        <v>102179.59727390765</v>
      </c>
      <c r="H194" s="13">
        <f>H193+G194</f>
        <v>11341935.297403773</v>
      </c>
      <c r="I194">
        <f>IF(H194=MAX($H$83:$H$483),$A194,0)</f>
        <v>0</v>
      </c>
      <c r="J194">
        <f>IF(E194&lt;F194,$A194,B_MAX+1)</f>
        <v>401.0</v>
      </c>
      <c r="K194" s="13">
        <f>IF(B194=1,$B$35,$B$36)</f>
        <v>0</v>
      </c>
      <c r="L194" s="13">
        <f>OCC_DAYS*$B$41*R_NF_2023-D194*MCD_SHARE_FREED*R_WAIT_2023</f>
        <v>37367.159242427646</v>
      </c>
      <c r="M194">
        <f>IF($A194&lt;=$B$45,1,0)</f>
        <v>1</v>
      </c>
      <c r="AB194">
        <f>IF($AB$31&lt;=$AB$32,IF($A194&lt;=$AB$7,1,2),IF($A194&lt;=RUNG_BEDS_2,2,1))</f>
        <v>1</v>
      </c>
      <c r="AC194" s="5">
        <f>MIN(1,MAX(0,$AB$26-($A194-1)))</f>
        <v>1</v>
      </c>
      <c r="AD194" s="5">
        <f>$AB$25*(AC194+(1-AC194)*$AB$16)</f>
        <v>252.05322714681438</v>
      </c>
      <c r="AE194" s="13">
        <f>AD194*($AB$6+ACUTE_MARGIN)</f>
        <v>138629.2749307479</v>
      </c>
      <c r="AF194" s="13">
        <f>IF(AB194=1,$AB$31,$AB$32)</f>
        <v>152394.16214437486</v>
      </c>
      <c r="AG194" s="13">
        <f>AE194-AF194</f>
        <v>-13764.887213626964</v>
      </c>
      <c r="AH194" s="13">
        <f>AH193+AG194</f>
        <v>-1527902.4807125917</v>
      </c>
      <c r="AI194">
        <f>IF(AH194=MAX($AH$83:$AH$483),$A194,0)</f>
        <v>0</v>
      </c>
      <c r="AJ194">
        <f>IF(AE194&lt;AF194,$A194,B_MAX+1)</f>
        <v>111</v>
      </c>
      <c r="AK194" s="13">
        <f>IF(AB194=1,$AB$35,$AB$36)</f>
        <v>0</v>
      </c>
      <c r="AL194" s="13">
        <f>OCC_DAYS*$AB$41*R_NF_2023-AD194*MCD_SHARE_FREED*R_WAIT_2023</f>
        <v>37367.159242427646</v>
      </c>
      <c r="AM194">
        <f>IF($A194&lt;=$AB$45,1,0)</f>
        <v>0</v>
      </c>
      <c r="BB194">
        <f>IF($BB$31&lt;=$BB$32,IF($A194&lt;=$BB$7,1,2),IF($A194&lt;=RUNG_BEDS_2,2,1))</f>
        <v>1</v>
      </c>
      <c r="BC194" s="5">
        <f>MIN(1,MAX(0,$BB$26-($A194-1)))</f>
        <v>1</v>
      </c>
      <c r="BD194" s="5">
        <f>$BB$25*(BC194+(1-BC194)*$BB$16)</f>
        <v>252.05322714681438</v>
      </c>
      <c r="BE194" s="13">
        <f>BD194*($BB$6+ACUTE_MARGIN)</f>
        <v>370518.24390581716</v>
      </c>
      <c r="BF194" s="13">
        <f>IF(BB194=1,$BB$31,$BB$32)</f>
        <v>152394.16214437486</v>
      </c>
      <c r="BG194" s="13">
        <f>BE194-BF194</f>
        <v>218124.0817614423</v>
      </c>
      <c r="BH194" s="13">
        <f>BH193+BG194</f>
        <v>24211773.07552008</v>
      </c>
      <c r="BI194">
        <f>IF(BH194=MAX($BH$83:$BH$483),$A194,0)</f>
        <v>0</v>
      </c>
      <c r="BJ194">
        <f>IF(BE194&lt;BF194,$A194,B_MAX+1)</f>
        <v>401.0</v>
      </c>
      <c r="BK194" s="13">
        <f>IF(BB194=1,$BB$35,$BB$36)</f>
        <v>0</v>
      </c>
      <c r="BL194" s="13">
        <f>OCC_DAYS*$BB$41*R_NF_2023-BD194*MCD_SHARE_FREED*R_WAIT_2023</f>
        <v>37367.159242427646</v>
      </c>
      <c r="BM194">
        <f>IF($A194&lt;=$BB$45,1,0)</f>
        <v>1</v>
      </c>
      <c r="CB194">
        <f>IF($CB$31&lt;=$CB$32,IF($A194&lt;=$CB$7,1,2),IF($A194&lt;=RUNG_BEDS_2,2,1))</f>
        <v>2</v>
      </c>
      <c r="CC194" s="5">
        <f>MIN(1,MAX(0,$CB$26-($A194-1)))</f>
        <v>1</v>
      </c>
      <c r="CD194" s="5">
        <f>$CB$25*(CC194+(1-CC194)*$CB$16)</f>
        <v>252.05322714681438</v>
      </c>
      <c r="CE194" s="13">
        <f>CD194*($CB$6+ACUTE_MARGIN)</f>
        <v>254573.7594182825</v>
      </c>
      <c r="CF194" s="13">
        <f>IF(CB194=1,$CB$31,$CB$32)</f>
        <v>160718.36940738867</v>
      </c>
      <c r="CG194" s="13">
        <f>CE194-CF194</f>
        <v>93855.39001089384</v>
      </c>
      <c r="CH194" s="13">
        <f>CH193+CG194</f>
        <v>10417948.291209225</v>
      </c>
      <c r="CI194">
        <f>IF(CH194=MAX($CH$83:$CH$483),$A194,0)</f>
        <v>0</v>
      </c>
      <c r="CJ194">
        <f>IF(CE194&lt;CF194,$A194,B_MAX+1)</f>
        <v>401.0</v>
      </c>
      <c r="CK194" s="13">
        <f>IF(CB194=1,$CB$35,$CB$36)</f>
        <v>1560.1194073886782</v>
      </c>
      <c r="CL194" s="13">
        <f>OCC_DAYS*$CB$41*R_NF_2023-CD194*MCD_SHARE_FREED*R_WAIT_2023</f>
        <v>37367.159242427646</v>
      </c>
      <c r="CM194">
        <f>IF($A194&lt;=$CB$45,1,0)</f>
        <v>1</v>
      </c>
      <c r="DB194">
        <f>IF($DB$31&lt;=$DB$32,IF($A194&lt;=$DB$7,1,2),IF($A194&lt;=RUNG_BEDS_2,2,1))</f>
        <v>1</v>
      </c>
      <c r="DC194" s="5">
        <f>MIN(1,MAX(0,$DB$26-($A194-1)))</f>
        <v>1</v>
      </c>
      <c r="DD194" s="5">
        <f>$DB$25*(DC194+(1-DC194)*$DB$16)</f>
        <v>252.05322714681438</v>
      </c>
      <c r="DE194" s="13">
        <f>DD194*($DB$6+ACUTE_MARGIN)</f>
        <v>254573.7594182825</v>
      </c>
      <c r="DF194" s="13">
        <f>IF(DB194=1,$DB$31,$DB$32)</f>
        <v>152394.16214437486</v>
      </c>
      <c r="DG194" s="13">
        <f>DE194-DF194</f>
        <v>102179.59727390765</v>
      </c>
      <c r="DH194" s="13">
        <f>DH193+DG194</f>
        <v>11341935.297403773</v>
      </c>
      <c r="DI194">
        <f>IF(DH194=MAX($DH$83:$DH$483),$A194,0)</f>
        <v>0</v>
      </c>
      <c r="DJ194">
        <f>IF(DE194&lt;DF194,$A194,B_MAX+1)</f>
        <v>401.0</v>
      </c>
      <c r="DK194" s="13">
        <f>IF(DB194=1,$DB$35,$DB$36)</f>
        <v>0</v>
      </c>
      <c r="DL194" s="13">
        <f>OCC_DAYS*$DB$41*R_NF_2023-DD194*MCD_SHARE_FREED*R_WAIT_2023</f>
        <v>37367.159242427646</v>
      </c>
      <c r="DM194">
        <f>IF($A194&lt;=$DB$45,1,0)</f>
        <v>1</v>
      </c>
      <c r="EB194">
        <f>IF($EB$31&lt;=$EB$32,IF($A194&lt;=$EB$7,1,2),IF($A194&lt;=RUNG_BEDS_2,2,1))</f>
        <v>1</v>
      </c>
      <c r="EC194" s="5">
        <f>MIN(1,MAX(0,$EB$26-($A194-1)))</f>
        <v>1</v>
      </c>
      <c r="ED194" s="5">
        <f>$EB$25*(EC194+(1-EC194)*$EB$16)</f>
        <v>252.05322714681438</v>
      </c>
      <c r="EE194" s="13">
        <f>ED194*($EB$6+ACUTE_MARGIN)</f>
        <v>254573.7594182825</v>
      </c>
      <c r="EF194" s="13">
        <f>IF(EB194=1,$EB$31,$EB$32)</f>
        <v>152394.16214437486</v>
      </c>
      <c r="EG194" s="13">
        <f>EE194-EF194</f>
        <v>102179.59727390765</v>
      </c>
      <c r="EH194" s="13">
        <f>EH193+EG194</f>
        <v>11341935.297403773</v>
      </c>
      <c r="EI194">
        <f>IF(EH194=MAX($EH$83:$EH$483),$A194,0)</f>
        <v>0</v>
      </c>
      <c r="EJ194">
        <f>IF(EE194&lt;EF194,$A194,B_MAX+1)</f>
        <v>401.0</v>
      </c>
      <c r="EK194" s="13">
        <f>IF(EB194=1,$EB$35,$EB$36)</f>
        <v>0</v>
      </c>
      <c r="EL194" s="13">
        <f>OCC_DAYS*$EB$41*R_NF_2023-ED194*MCD_SHARE_FREED*R_WAIT_2023</f>
        <v>-63953.16263896705</v>
      </c>
      <c r="EM194">
        <f>IF($A194&lt;=$EB$45,1,0)</f>
        <v>1</v>
      </c>
      <c r="FB194">
        <f>IF($FB$31&lt;=$FB$32,IF($A194&lt;=$FB$7,1,2),IF($A194&lt;=RUNG_BEDS_2,2,1))</f>
        <v>1</v>
      </c>
      <c r="FC194" s="5">
        <f>MIN(1,MAX(0,$FB$26-($A194-1)))</f>
        <v>1</v>
      </c>
      <c r="FD194" s="5">
        <f>$FB$25*(FC194+(1-FC194)*$FB$16)</f>
        <v>252.05322714681438</v>
      </c>
      <c r="FE194" s="13">
        <f>FD194*($FB$6+ACUTE_MARGIN)</f>
        <v>254573.7594182825</v>
      </c>
      <c r="FF194" s="13">
        <f>IF(FB194=1,$FB$31,$FB$32)</f>
        <v>156636.04979437485</v>
      </c>
      <c r="FG194" s="13">
        <f>FE194-FF194</f>
        <v>97937.70962390766</v>
      </c>
      <c r="FH194" s="13">
        <f>FH193+FG194</f>
        <v>10871085.768253729</v>
      </c>
      <c r="FI194">
        <f>IF(FH194=MAX($FH$83:$FH$483),$A194,0)</f>
        <v>0</v>
      </c>
      <c r="FJ194">
        <f>IF(FE194&lt;FF194,$A194,B_MAX+1)</f>
        <v>401.0</v>
      </c>
      <c r="FK194" s="13">
        <f>IF(FB194=1,$FB$35,$FB$36)</f>
        <v>0</v>
      </c>
      <c r="FL194" s="13">
        <f>OCC_DAYS*$FB$41*R_NF_2023-FD194*MCD_SHARE_FREED*R_WAIT_2023</f>
        <v>37367.159242427646</v>
      </c>
      <c r="FM194">
        <f>IF($A194&lt;=$FB$45,1,0)</f>
        <v>1</v>
      </c>
      <c r="GB194">
        <f>IF($GB$31&lt;=$GB$32,IF($A194&lt;=$GB$7,1,2),IF($A194&lt;=RUNG_BEDS_2,2,1))</f>
        <v>1</v>
      </c>
      <c r="GC194" s="5">
        <f>MIN(1,MAX(0,$GB$26-($A194-1)))</f>
        <v>1</v>
      </c>
      <c r="GD194" s="5">
        <f>$GB$25*(GC194+(1-GC194)*$GB$16)</f>
        <v>252.05322714681438</v>
      </c>
      <c r="GE194" s="13">
        <f>GD194*($GB$6+ACUTE_MARGIN)</f>
        <v>254573.7594182825</v>
      </c>
      <c r="GF194" s="13">
        <f>IF(GB194=1,$GB$31,$GB$32)</f>
        <v>152394.16214437486</v>
      </c>
      <c r="GG194" s="13">
        <f>GE194-GF194</f>
        <v>102179.59727390765</v>
      </c>
      <c r="GH194" s="13">
        <f>GH193+GG194</f>
        <v>11341935.297403773</v>
      </c>
      <c r="GI194">
        <f>IF(GH194=MAX($GH$83:$GH$483),$A194,0)</f>
        <v>0</v>
      </c>
      <c r="GJ194">
        <f>IF(GE194&lt;GF194,$A194,B_MAX+1)</f>
        <v>401.0</v>
      </c>
      <c r="GK194" s="13">
        <f>IF(GB194=1,$GB$35,$GB$36)</f>
        <v>0</v>
      </c>
      <c r="GL194" s="13">
        <f>OCC_DAYS*$GB$41*R_NF_2023-GD194*MCD_SHARE_FREED*R_WAIT_2023</f>
        <v>37367.159242427646</v>
      </c>
      <c r="GM194">
        <f>IF($A194&lt;=$GB$45,1,0)</f>
        <v>1</v>
      </c>
      <c r="HB194">
        <f>IF($HB$31&lt;=$HB$32,IF($A194&lt;=$HB$7,1,2),IF($A194&lt;=RUNG_BEDS_2,2,1))</f>
        <v>1</v>
      </c>
      <c r="HC194" s="5">
        <f>MIN(1,MAX(0,$HB$26-($A194-1)))</f>
        <v>1</v>
      </c>
      <c r="HD194" s="5">
        <f>$HB$25*(HC194+(1-HC194)*$HB$16)</f>
        <v>252.05322714681438</v>
      </c>
      <c r="HE194" s="13">
        <f>HD194*($HB$6+ACUTE_MARGIN)</f>
        <v>254573.7594182825</v>
      </c>
      <c r="HF194" s="13">
        <f>IF(HB194=1,$HB$31,$HB$32)</f>
        <v>152456.2970814058</v>
      </c>
      <c r="HG194" s="13">
        <f>HE194-HF194</f>
        <v>102117.46233687672</v>
      </c>
      <c r="HH194" s="13">
        <f>HH193+HG194</f>
        <v>11335038.319393326</v>
      </c>
      <c r="HI194">
        <f>IF(HH194=MAX($HH$83:$HH$483),$A194,0)</f>
        <v>0</v>
      </c>
      <c r="HJ194">
        <f>IF(HE194&lt;HF194,$A194,B_MAX+1)</f>
        <v>401.0</v>
      </c>
      <c r="HK194" s="13">
        <f>IF(HB194=1,$HB$35,$HB$36)</f>
        <v>0</v>
      </c>
      <c r="HL194" s="13">
        <f>OCC_DAYS*$HB$41*R_NF_2023-HD194*MCD_SHARE_FREED*R_WAIT_2023</f>
        <v>37367.159242427646</v>
      </c>
      <c r="HM194">
        <f>IF($A194&lt;=$HB$45,1,0)</f>
        <v>1</v>
      </c>
      <c r="IB194">
        <f>IF($IB$31&lt;=$IB$32,IF($A194&lt;=$IB$7,1,2),IF($A194&lt;=RUNG_BEDS_2,2,1))</f>
        <v>1</v>
      </c>
      <c r="IC194" s="5">
        <f>MIN(1,MAX(0,$IB$26-($A194-1)))</f>
        <v>1</v>
      </c>
      <c r="ID194" s="5">
        <f>$IB$25*(IC194+(1-IC194)*$IB$16)</f>
        <v>252.05322714681438</v>
      </c>
      <c r="IE194" s="13">
        <f>ID194*($IB$6+ACUTE_MARGIN)</f>
        <v>254573.7594182825</v>
      </c>
      <c r="IF194" s="13">
        <f>IF(IB194=1,$IB$31,$IB$32)</f>
        <v>152734.9994534971</v>
      </c>
      <c r="IG194" s="13">
        <f>IE194-IF194</f>
        <v>101838.75996478542</v>
      </c>
      <c r="IH194" s="13">
        <f>IH193+IG194</f>
        <v>11304102.356091166</v>
      </c>
      <c r="II194">
        <f>IF(IH194=MAX($IH$83:$IH$483),$A194,0)</f>
        <v>0</v>
      </c>
      <c r="IJ194">
        <f>IF(IE194&lt;IF194,$A194,B_MAX+1)</f>
        <v>401.0</v>
      </c>
      <c r="IK194" s="13">
        <f>IF(IB194=1,$IB$35,$IB$36)</f>
        <v>0</v>
      </c>
      <c r="IL194" s="13">
        <f>OCC_DAYS*$IB$41*R_NF_2023-ID194*MCD_SHARE_FREED*R_WAIT_2023</f>
        <v>37367.159242427646</v>
      </c>
      <c r="IM194">
        <f>IF($A194&lt;=$IB$45,1,0)</f>
        <v>1</v>
      </c>
      <c r="JB194">
        <f>IF($JB$31&lt;=$JB$32,IF($A194&lt;=$JB$7,1,2),IF($A194&lt;=RUNG_BEDS_2,2,1))</f>
        <v>1</v>
      </c>
      <c r="JC194" s="5">
        <f>MIN(1,MAX(0,$JB$26-($A194-1)))</f>
        <v>1</v>
      </c>
      <c r="JD194" s="5">
        <f>$JB$25*(JC194+(1-JC194)*$JB$16)</f>
        <v>252.05322714681438</v>
      </c>
      <c r="JE194" s="13">
        <f>JD194*($JB$6+ACUTE_MARGIN)</f>
        <v>254573.7594182825</v>
      </c>
      <c r="JF194" s="13">
        <f>IF(JB194=1,$JB$31,$JB$32)</f>
        <v>152394.16214437486</v>
      </c>
      <c r="JG194" s="13">
        <f>JE194-JF194</f>
        <v>102179.59727390765</v>
      </c>
      <c r="JH194" s="13">
        <f>JH193+JG194</f>
        <v>11341935.297403773</v>
      </c>
      <c r="JI194">
        <f>IF(JH194=MAX($JH$83:$JH$483),$A194,0)</f>
        <v>0</v>
      </c>
      <c r="JJ194">
        <f>IF(JE194&lt;JF194,$A194,B_MAX+1)</f>
        <v>401.0</v>
      </c>
      <c r="JK194" s="13">
        <f>IF(JB194=1,$JB$35,$JB$36)</f>
        <v>0</v>
      </c>
      <c r="JL194" s="13">
        <f>OCC_DAYS*$JB$41*R_NF_2023-JD194*MCD_SHARE_FREED*R_WAIT_2023</f>
        <v>37367.159242427646</v>
      </c>
      <c r="JM194">
        <f>IF($A194&lt;=$JB$45,1,0)</f>
        <v>1</v>
      </c>
      <c r="KB194">
        <f>IF($KB$31&lt;=$KB$32,IF($A194&lt;=$KB$7,1,2),IF($A194&lt;=RUNG_BEDS_2,2,1))</f>
        <v>1</v>
      </c>
      <c r="KC194" s="5">
        <f>MIN(1,MAX(0,$KB$26-($A194-1)))</f>
        <v>1</v>
      </c>
      <c r="KD194" s="5">
        <f>$KB$25*(KC194+(1-KC194)*$KB$16)</f>
        <v>126.02661357340719</v>
      </c>
      <c r="KE194" s="13">
        <f>KD194*($KB$6+ACUTE_MARGIN)</f>
        <v>127286.87970914126</v>
      </c>
      <c r="KF194" s="13">
        <f>IF(KB194=1,$KB$31,$KB$32)</f>
        <v>152394.16214437486</v>
      </c>
      <c r="KG194" s="13">
        <f>KE194-KF194</f>
        <v>-25107.282435233603</v>
      </c>
      <c r="KH194" s="13">
        <f>KH193+KG194</f>
        <v>-2786908.3503109366</v>
      </c>
      <c r="KI194">
        <f>IF(KH194=MAX($KH$83:$KH$483),$A194,0)</f>
        <v>0</v>
      </c>
      <c r="KJ194">
        <f>IF(KE194&lt;KF194,$A194,B_MAX+1)</f>
        <v>111</v>
      </c>
      <c r="KK194" s="13">
        <f>IF(KB194=1,$KB$35,$KB$36)</f>
        <v>0</v>
      </c>
      <c r="KL194" s="13">
        <f>OCC_DAYS*$KB$41*R_NF_2023-KD194*MCD_SHARE_FREED*R_WAIT_2023</f>
        <v>94673.82103225985</v>
      </c>
      <c r="KM194">
        <f>IF($A194&lt;=$KB$45,1,0)</f>
        <v>0</v>
      </c>
      <c r="LB194">
        <f>IF($LB$31&lt;=$LB$32,IF($A194&lt;=$LB$7,1,2),IF($A194&lt;=RUNG_BEDS_2,2,1))</f>
        <v>1</v>
      </c>
      <c r="LC194" s="5">
        <f>MIN(1,MAX(0,$LB$26-($A194-1)))</f>
        <v>1</v>
      </c>
      <c r="LD194" s="5">
        <f>$LB$25*(LC194+(1-LC194)*$LB$16)</f>
        <v>84.01774238227146</v>
      </c>
      <c r="LE194" s="13">
        <f>LD194*($LB$6+ACUTE_MARGIN)</f>
        <v>84857.91980609419</v>
      </c>
      <c r="LF194" s="13">
        <f>IF(LB194=1,$LB$31,$LB$32)</f>
        <v>152394.16214437486</v>
      </c>
      <c r="LG194" s="13">
        <f>LE194-LF194</f>
        <v>-67536.24233828067</v>
      </c>
      <c r="LH194" s="13">
        <f>LH193+LG194</f>
        <v>-7496522.899549176</v>
      </c>
      <c r="LI194">
        <f>IF(LH194=MAX($LH$83:$LH$483),$A194,0)</f>
        <v>0</v>
      </c>
      <c r="LJ194">
        <f>IF(LE194&lt;LF194,$A194,B_MAX+1)</f>
        <v>111</v>
      </c>
      <c r="LK194" s="13">
        <f>IF(LB194=1,$LB$35,$LB$36)</f>
        <v>0</v>
      </c>
      <c r="LL194" s="13">
        <f>OCC_DAYS*$LB$41*R_NF_2023-LD194*MCD_SHARE_FREED*R_WAIT_2023</f>
        <v>113776.04162887059</v>
      </c>
      <c r="LM194">
        <f>IF($A194&lt;=$LB$45,1,0)</f>
        <v>0</v>
      </c>
      <c r="MB194">
        <f>IF($MB$31&lt;=$MB$32,IF($A194&lt;=$MB$7,1,2),IF($A194&lt;=RUNG_BEDS_2,2,1))</f>
        <v>1</v>
      </c>
      <c r="MC194" s="5">
        <f>MIN(1,MAX(0,$MB$26-($A194-1)))</f>
        <v>1</v>
      </c>
      <c r="MD194" s="5">
        <f>$MB$25*(MC194+(1-MC194)*$MB$16)</f>
        <v>213.44610951008647</v>
      </c>
      <c r="ME194" s="13">
        <f>MD194*($MB$6+ACUTE_MARGIN)</f>
        <v>215580.57060518733</v>
      </c>
      <c r="MF194" s="13">
        <f>IF(MB194=1,$MB$31,$MB$32)</f>
        <v>152394.16214437486</v>
      </c>
      <c r="MG194" s="13">
        <f>ME194-MF194</f>
        <v>63186.40846081247</v>
      </c>
      <c r="MH194" s="13">
        <f>MH193+MG194</f>
        <v>7013691.339150196</v>
      </c>
      <c r="MI194">
        <f>IF(MH194=MAX($MH$83:$MH$483),$A194,0)</f>
        <v>0</v>
      </c>
      <c r="MJ194">
        <f>IF(ME194&lt;MF194,$A194,B_MAX+1)</f>
        <v>401.0</v>
      </c>
      <c r="MK194" s="13">
        <f>IF(MB194=1,$MB$35,$MB$36)</f>
        <v>0</v>
      </c>
      <c r="ML194" s="13">
        <f>OCC_DAYS*$MB$41*R_NF_2023-MD194*MCD_SHARE_FREED*R_WAIT_2023</f>
        <v>54922.538779778624</v>
      </c>
      <c r="MM194">
        <f>IF($A194&lt;=$MB$45,1,0)</f>
        <v>1</v>
      </c>
      <c r="NB194">
        <f>IF($NB$31&lt;=$NB$32,IF($A194&lt;=$NB$7,1,2),IF($A194&lt;=RUNG_BEDS_2,2,1))</f>
        <v>1</v>
      </c>
      <c r="NC194" s="5">
        <f>MIN(1,MAX(0,$NB$26-($A194-1)))</f>
        <v>1</v>
      </c>
      <c r="ND194" s="5">
        <f>$NB$25*(NC194+(1-NC194)*$NB$16)</f>
        <v>252.05322714681438</v>
      </c>
      <c r="NE194" s="13">
        <f>ND194*($NB$6+ACUTE_MARGIN)</f>
        <v>254573.7594182825</v>
      </c>
      <c r="NF194" s="13">
        <f>IF(NB194=1,$NB$31,$NB$32)</f>
        <v>152394.16214437486</v>
      </c>
      <c r="NG194" s="13">
        <f>NE194-NF194</f>
        <v>102179.59727390765</v>
      </c>
      <c r="NH194" s="13">
        <f>NH193+NG194</f>
        <v>11341935.297403773</v>
      </c>
      <c r="NI194">
        <f>IF(NH194=MAX($NH$83:$NH$483),$A194,0)</f>
        <v>0</v>
      </c>
      <c r="NJ194">
        <f>IF(NE194&lt;NF194,$A194,B_MAX+1)</f>
        <v>401.0</v>
      </c>
      <c r="NK194" s="13">
        <f>IF(NB194=1,$NB$35,$NB$36)</f>
        <v>0</v>
      </c>
      <c r="NL194" s="13">
        <f>OCC_DAYS*$NB$41*R_NF_2023-ND194*MCD_SHARE_FREED*R_WAIT_2023</f>
        <v>37367.159242427646</v>
      </c>
      <c r="NM194">
        <f>IF($A194&lt;=$NB$45,1,0)</f>
        <v>1</v>
      </c>
      <c r="OB194">
        <f>IF($OB$31&lt;=$OB$32,IF($A194&lt;=$OB$7,1,2),IF($A194&lt;=RUNG_BEDS_2,2,1))</f>
        <v>1</v>
      </c>
      <c r="OC194" s="5">
        <f>MIN(1,MAX(0,$OB$26-($A194-1)))</f>
        <v>1</v>
      </c>
      <c r="OD194" s="5">
        <f>$OB$25*(OC194+(1-OC194)*$OB$16)</f>
        <v>252.05322714681438</v>
      </c>
      <c r="OE194" s="13">
        <f>OD194*($OB$6+ACUTE_MARGIN)</f>
        <v>254573.7594182825</v>
      </c>
      <c r="OF194" s="13">
        <f>IF(OB194=1,$OB$31,$OB$32)</f>
        <v>152394.16214437486</v>
      </c>
      <c r="OG194" s="13">
        <f>OE194-OF194</f>
        <v>102179.59727390765</v>
      </c>
      <c r="OH194" s="13">
        <f>OH193+OG194</f>
        <v>11341935.297403773</v>
      </c>
      <c r="OI194">
        <f>IF(OH194=MAX($OH$83:$OH$483),$A194,0)</f>
        <v>0</v>
      </c>
      <c r="OJ194">
        <f>IF(OE194&lt;OF194,$A194,B_MAX+1)</f>
        <v>401.0</v>
      </c>
      <c r="OK194" s="13">
        <f>IF(OB194=1,$OB$35,$OB$36)</f>
        <v>0</v>
      </c>
      <c r="OL194" s="13">
        <f>OCC_DAYS*$OB$41*R_NF_2023-OD194*MCD_SHARE_FREED*R_WAIT_2023</f>
        <v>37367.159242427646</v>
      </c>
      <c r="OM194">
        <f>IF($A194&lt;=$OB$45,1,0)</f>
        <v>1</v>
      </c>
    </row>
    <row r="195">
      <c r="A195" t="n">
        <v>112</v>
      </c>
      <c r="B195">
        <f>IF($B$31&lt;=$B$32,IF($A195&lt;=$B$7,1,2),IF($A195&lt;=RUNG_BEDS_2,2,1))</f>
        <v>1</v>
      </c>
      <c r="C195" s="5">
        <f>MIN(1,MAX(0,$B$26-($A195-1)))</f>
        <v>1</v>
      </c>
      <c r="D195" s="5">
        <f>$B$25*(C195+(1-C195)*$B$16)</f>
        <v>252.05322714681438</v>
      </c>
      <c r="E195" s="13">
        <f>D195*($B$6+ACUTE_MARGIN)</f>
        <v>254573.7594182825</v>
      </c>
      <c r="F195" s="13">
        <f>IF(B195=1,$B$31,$B$32)</f>
        <v>152394.16214437486</v>
      </c>
      <c r="G195" s="13">
        <f>E195-F195</f>
        <v>102179.59727390765</v>
      </c>
      <c r="H195" s="13">
        <f>H194+G195</f>
        <v>11444114.894677682</v>
      </c>
      <c r="I195">
        <f>IF(H195=MAX($H$83:$H$483),$A195,0)</f>
        <v>0</v>
      </c>
      <c r="J195">
        <f>IF(E195&lt;F195,$A195,B_MAX+1)</f>
        <v>401.0</v>
      </c>
      <c r="K195" s="13">
        <f>IF(B195=1,$B$35,$B$36)</f>
        <v>0</v>
      </c>
      <c r="L195" s="13">
        <f>OCC_DAYS*$B$41*R_NF_2023-D195*MCD_SHARE_FREED*R_WAIT_2023</f>
        <v>37367.159242427646</v>
      </c>
      <c r="M195">
        <f>IF($A195&lt;=$B$45,1,0)</f>
        <v>1</v>
      </c>
      <c r="AB195">
        <f>IF($AB$31&lt;=$AB$32,IF($A195&lt;=$AB$7,1,2),IF($A195&lt;=RUNG_BEDS_2,2,1))</f>
        <v>1</v>
      </c>
      <c r="AC195" s="5">
        <f>MIN(1,MAX(0,$AB$26-($A195-1)))</f>
        <v>1</v>
      </c>
      <c r="AD195" s="5">
        <f>$AB$25*(AC195+(1-AC195)*$AB$16)</f>
        <v>252.05322714681438</v>
      </c>
      <c r="AE195" s="13">
        <f>AD195*($AB$6+ACUTE_MARGIN)</f>
        <v>138629.2749307479</v>
      </c>
      <c r="AF195" s="13">
        <f>IF(AB195=1,$AB$31,$AB$32)</f>
        <v>152394.16214437486</v>
      </c>
      <c r="AG195" s="13">
        <f>AE195-AF195</f>
        <v>-13764.887213626964</v>
      </c>
      <c r="AH195" s="13">
        <f>AH194+AG195</f>
        <v>-1541667.3679262185</v>
      </c>
      <c r="AI195">
        <f>IF(AH195=MAX($AH$83:$AH$483),$A195,0)</f>
        <v>0</v>
      </c>
      <c r="AJ195">
        <f>IF(AE195&lt;AF195,$A195,B_MAX+1)</f>
        <v>112</v>
      </c>
      <c r="AK195" s="13">
        <f>IF(AB195=1,$AB$35,$AB$36)</f>
        <v>0</v>
      </c>
      <c r="AL195" s="13">
        <f>OCC_DAYS*$AB$41*R_NF_2023-AD195*MCD_SHARE_FREED*R_WAIT_2023</f>
        <v>37367.159242427646</v>
      </c>
      <c r="AM195">
        <f>IF($A195&lt;=$AB$45,1,0)</f>
        <v>0</v>
      </c>
      <c r="BB195">
        <f>IF($BB$31&lt;=$BB$32,IF($A195&lt;=$BB$7,1,2),IF($A195&lt;=RUNG_BEDS_2,2,1))</f>
        <v>1</v>
      </c>
      <c r="BC195" s="5">
        <f>MIN(1,MAX(0,$BB$26-($A195-1)))</f>
        <v>1</v>
      </c>
      <c r="BD195" s="5">
        <f>$BB$25*(BC195+(1-BC195)*$BB$16)</f>
        <v>252.05322714681438</v>
      </c>
      <c r="BE195" s="13">
        <f>BD195*($BB$6+ACUTE_MARGIN)</f>
        <v>370518.24390581716</v>
      </c>
      <c r="BF195" s="13">
        <f>IF(BB195=1,$BB$31,$BB$32)</f>
        <v>152394.16214437486</v>
      </c>
      <c r="BG195" s="13">
        <f>BE195-BF195</f>
        <v>218124.0817614423</v>
      </c>
      <c r="BH195" s="13">
        <f>BH194+BG195</f>
        <v>24429897.15728152</v>
      </c>
      <c r="BI195">
        <f>IF(BH195=MAX($BH$83:$BH$483),$A195,0)</f>
        <v>0</v>
      </c>
      <c r="BJ195">
        <f>IF(BE195&lt;BF195,$A195,B_MAX+1)</f>
        <v>401.0</v>
      </c>
      <c r="BK195" s="13">
        <f>IF(BB195=1,$BB$35,$BB$36)</f>
        <v>0</v>
      </c>
      <c r="BL195" s="13">
        <f>OCC_DAYS*$BB$41*R_NF_2023-BD195*MCD_SHARE_FREED*R_WAIT_2023</f>
        <v>37367.159242427646</v>
      </c>
      <c r="BM195">
        <f>IF($A195&lt;=$BB$45,1,0)</f>
        <v>1</v>
      </c>
      <c r="CB195">
        <f>IF($CB$31&lt;=$CB$32,IF($A195&lt;=$CB$7,1,2),IF($A195&lt;=RUNG_BEDS_2,2,1))</f>
        <v>2</v>
      </c>
      <c r="CC195" s="5">
        <f>MIN(1,MAX(0,$CB$26-($A195-1)))</f>
        <v>1</v>
      </c>
      <c r="CD195" s="5">
        <f>$CB$25*(CC195+(1-CC195)*$CB$16)</f>
        <v>252.05322714681438</v>
      </c>
      <c r="CE195" s="13">
        <f>CD195*($CB$6+ACUTE_MARGIN)</f>
        <v>254573.7594182825</v>
      </c>
      <c r="CF195" s="13">
        <f>IF(CB195=1,$CB$31,$CB$32)</f>
        <v>160718.36940738867</v>
      </c>
      <c r="CG195" s="13">
        <f>CE195-CF195</f>
        <v>93855.39001089384</v>
      </c>
      <c r="CH195" s="13">
        <f>CH194+CG195</f>
        <v>10511803.681220118</v>
      </c>
      <c r="CI195">
        <f>IF(CH195=MAX($CH$83:$CH$483),$A195,0)</f>
        <v>0</v>
      </c>
      <c r="CJ195">
        <f>IF(CE195&lt;CF195,$A195,B_MAX+1)</f>
        <v>401.0</v>
      </c>
      <c r="CK195" s="13">
        <f>IF(CB195=1,$CB$35,$CB$36)</f>
        <v>1560.1194073886782</v>
      </c>
      <c r="CL195" s="13">
        <f>OCC_DAYS*$CB$41*R_NF_2023-CD195*MCD_SHARE_FREED*R_WAIT_2023</f>
        <v>37367.159242427646</v>
      </c>
      <c r="CM195">
        <f>IF($A195&lt;=$CB$45,1,0)</f>
        <v>1</v>
      </c>
      <c r="DB195">
        <f>IF($DB$31&lt;=$DB$32,IF($A195&lt;=$DB$7,1,2),IF($A195&lt;=RUNG_BEDS_2,2,1))</f>
        <v>1</v>
      </c>
      <c r="DC195" s="5">
        <f>MIN(1,MAX(0,$DB$26-($A195-1)))</f>
        <v>1</v>
      </c>
      <c r="DD195" s="5">
        <f>$DB$25*(DC195+(1-DC195)*$DB$16)</f>
        <v>252.05322714681438</v>
      </c>
      <c r="DE195" s="13">
        <f>DD195*($DB$6+ACUTE_MARGIN)</f>
        <v>254573.7594182825</v>
      </c>
      <c r="DF195" s="13">
        <f>IF(DB195=1,$DB$31,$DB$32)</f>
        <v>152394.16214437486</v>
      </c>
      <c r="DG195" s="13">
        <f>DE195-DF195</f>
        <v>102179.59727390765</v>
      </c>
      <c r="DH195" s="13">
        <f>DH194+DG195</f>
        <v>11444114.894677682</v>
      </c>
      <c r="DI195">
        <f>IF(DH195=MAX($DH$83:$DH$483),$A195,0)</f>
        <v>0</v>
      </c>
      <c r="DJ195">
        <f>IF(DE195&lt;DF195,$A195,B_MAX+1)</f>
        <v>401.0</v>
      </c>
      <c r="DK195" s="13">
        <f>IF(DB195=1,$DB$35,$DB$36)</f>
        <v>0</v>
      </c>
      <c r="DL195" s="13">
        <f>OCC_DAYS*$DB$41*R_NF_2023-DD195*MCD_SHARE_FREED*R_WAIT_2023</f>
        <v>37367.159242427646</v>
      </c>
      <c r="DM195">
        <f>IF($A195&lt;=$DB$45,1,0)</f>
        <v>1</v>
      </c>
      <c r="EB195">
        <f>IF($EB$31&lt;=$EB$32,IF($A195&lt;=$EB$7,1,2),IF($A195&lt;=RUNG_BEDS_2,2,1))</f>
        <v>1</v>
      </c>
      <c r="EC195" s="5">
        <f>MIN(1,MAX(0,$EB$26-($A195-1)))</f>
        <v>1</v>
      </c>
      <c r="ED195" s="5">
        <f>$EB$25*(EC195+(1-EC195)*$EB$16)</f>
        <v>252.05322714681438</v>
      </c>
      <c r="EE195" s="13">
        <f>ED195*($EB$6+ACUTE_MARGIN)</f>
        <v>254573.7594182825</v>
      </c>
      <c r="EF195" s="13">
        <f>IF(EB195=1,$EB$31,$EB$32)</f>
        <v>152394.16214437486</v>
      </c>
      <c r="EG195" s="13">
        <f>EE195-EF195</f>
        <v>102179.59727390765</v>
      </c>
      <c r="EH195" s="13">
        <f>EH194+EG195</f>
        <v>11444114.894677682</v>
      </c>
      <c r="EI195">
        <f>IF(EH195=MAX($EH$83:$EH$483),$A195,0)</f>
        <v>0</v>
      </c>
      <c r="EJ195">
        <f>IF(EE195&lt;EF195,$A195,B_MAX+1)</f>
        <v>401.0</v>
      </c>
      <c r="EK195" s="13">
        <f>IF(EB195=1,$EB$35,$EB$36)</f>
        <v>0</v>
      </c>
      <c r="EL195" s="13">
        <f>OCC_DAYS*$EB$41*R_NF_2023-ED195*MCD_SHARE_FREED*R_WAIT_2023</f>
        <v>-63953.16263896705</v>
      </c>
      <c r="EM195">
        <f>IF($A195&lt;=$EB$45,1,0)</f>
        <v>1</v>
      </c>
      <c r="FB195">
        <f>IF($FB$31&lt;=$FB$32,IF($A195&lt;=$FB$7,1,2),IF($A195&lt;=RUNG_BEDS_2,2,1))</f>
        <v>1</v>
      </c>
      <c r="FC195" s="5">
        <f>MIN(1,MAX(0,$FB$26-($A195-1)))</f>
        <v>1</v>
      </c>
      <c r="FD195" s="5">
        <f>$FB$25*(FC195+(1-FC195)*$FB$16)</f>
        <v>252.05322714681438</v>
      </c>
      <c r="FE195" s="13">
        <f>FD195*($FB$6+ACUTE_MARGIN)</f>
        <v>254573.7594182825</v>
      </c>
      <c r="FF195" s="13">
        <f>IF(FB195=1,$FB$31,$FB$32)</f>
        <v>156636.04979437485</v>
      </c>
      <c r="FG195" s="13">
        <f>FE195-FF195</f>
        <v>97937.70962390766</v>
      </c>
      <c r="FH195" s="13">
        <f>FH194+FG195</f>
        <v>10969023.477877636</v>
      </c>
      <c r="FI195">
        <f>IF(FH195=MAX($FH$83:$FH$483),$A195,0)</f>
        <v>0</v>
      </c>
      <c r="FJ195">
        <f>IF(FE195&lt;FF195,$A195,B_MAX+1)</f>
        <v>401.0</v>
      </c>
      <c r="FK195" s="13">
        <f>IF(FB195=1,$FB$35,$FB$36)</f>
        <v>0</v>
      </c>
      <c r="FL195" s="13">
        <f>OCC_DAYS*$FB$41*R_NF_2023-FD195*MCD_SHARE_FREED*R_WAIT_2023</f>
        <v>37367.159242427646</v>
      </c>
      <c r="FM195">
        <f>IF($A195&lt;=$FB$45,1,0)</f>
        <v>1</v>
      </c>
      <c r="GB195">
        <f>IF($GB$31&lt;=$GB$32,IF($A195&lt;=$GB$7,1,2),IF($A195&lt;=RUNG_BEDS_2,2,1))</f>
        <v>1</v>
      </c>
      <c r="GC195" s="5">
        <f>MIN(1,MAX(0,$GB$26-($A195-1)))</f>
        <v>1</v>
      </c>
      <c r="GD195" s="5">
        <f>$GB$25*(GC195+(1-GC195)*$GB$16)</f>
        <v>252.05322714681438</v>
      </c>
      <c r="GE195" s="13">
        <f>GD195*($GB$6+ACUTE_MARGIN)</f>
        <v>254573.7594182825</v>
      </c>
      <c r="GF195" s="13">
        <f>IF(GB195=1,$GB$31,$GB$32)</f>
        <v>152394.16214437486</v>
      </c>
      <c r="GG195" s="13">
        <f>GE195-GF195</f>
        <v>102179.59727390765</v>
      </c>
      <c r="GH195" s="13">
        <f>GH194+GG195</f>
        <v>11444114.894677682</v>
      </c>
      <c r="GI195">
        <f>IF(GH195=MAX($GH$83:$GH$483),$A195,0)</f>
        <v>0</v>
      </c>
      <c r="GJ195">
        <f>IF(GE195&lt;GF195,$A195,B_MAX+1)</f>
        <v>401.0</v>
      </c>
      <c r="GK195" s="13">
        <f>IF(GB195=1,$GB$35,$GB$36)</f>
        <v>0</v>
      </c>
      <c r="GL195" s="13">
        <f>OCC_DAYS*$GB$41*R_NF_2023-GD195*MCD_SHARE_FREED*R_WAIT_2023</f>
        <v>37367.159242427646</v>
      </c>
      <c r="GM195">
        <f>IF($A195&lt;=$GB$45,1,0)</f>
        <v>1</v>
      </c>
      <c r="HB195">
        <f>IF($HB$31&lt;=$HB$32,IF($A195&lt;=$HB$7,1,2),IF($A195&lt;=RUNG_BEDS_2,2,1))</f>
        <v>1</v>
      </c>
      <c r="HC195" s="5">
        <f>MIN(1,MAX(0,$HB$26-($A195-1)))</f>
        <v>1</v>
      </c>
      <c r="HD195" s="5">
        <f>$HB$25*(HC195+(1-HC195)*$HB$16)</f>
        <v>252.05322714681438</v>
      </c>
      <c r="HE195" s="13">
        <f>HD195*($HB$6+ACUTE_MARGIN)</f>
        <v>254573.7594182825</v>
      </c>
      <c r="HF195" s="13">
        <f>IF(HB195=1,$HB$31,$HB$32)</f>
        <v>152456.2970814058</v>
      </c>
      <c r="HG195" s="13">
        <f>HE195-HF195</f>
        <v>102117.46233687672</v>
      </c>
      <c r="HH195" s="13">
        <f>HH194+HG195</f>
        <v>11437155.781730203</v>
      </c>
      <c r="HI195">
        <f>IF(HH195=MAX($HH$83:$HH$483),$A195,0)</f>
        <v>0</v>
      </c>
      <c r="HJ195">
        <f>IF(HE195&lt;HF195,$A195,B_MAX+1)</f>
        <v>401.0</v>
      </c>
      <c r="HK195" s="13">
        <f>IF(HB195=1,$HB$35,$HB$36)</f>
        <v>0</v>
      </c>
      <c r="HL195" s="13">
        <f>OCC_DAYS*$HB$41*R_NF_2023-HD195*MCD_SHARE_FREED*R_WAIT_2023</f>
        <v>37367.159242427646</v>
      </c>
      <c r="HM195">
        <f>IF($A195&lt;=$HB$45,1,0)</f>
        <v>1</v>
      </c>
      <c r="IB195">
        <f>IF($IB$31&lt;=$IB$32,IF($A195&lt;=$IB$7,1,2),IF($A195&lt;=RUNG_BEDS_2,2,1))</f>
        <v>1</v>
      </c>
      <c r="IC195" s="5">
        <f>MIN(1,MAX(0,$IB$26-($A195-1)))</f>
        <v>1</v>
      </c>
      <c r="ID195" s="5">
        <f>$IB$25*(IC195+(1-IC195)*$IB$16)</f>
        <v>252.05322714681438</v>
      </c>
      <c r="IE195" s="13">
        <f>ID195*($IB$6+ACUTE_MARGIN)</f>
        <v>254573.7594182825</v>
      </c>
      <c r="IF195" s="13">
        <f>IF(IB195=1,$IB$31,$IB$32)</f>
        <v>152734.9994534971</v>
      </c>
      <c r="IG195" s="13">
        <f>IE195-IF195</f>
        <v>101838.75996478542</v>
      </c>
      <c r="IH195" s="13">
        <f>IH194+IG195</f>
        <v>11405941.11605595</v>
      </c>
      <c r="II195">
        <f>IF(IH195=MAX($IH$83:$IH$483),$A195,0)</f>
        <v>0</v>
      </c>
      <c r="IJ195">
        <f>IF(IE195&lt;IF195,$A195,B_MAX+1)</f>
        <v>401.0</v>
      </c>
      <c r="IK195" s="13">
        <f>IF(IB195=1,$IB$35,$IB$36)</f>
        <v>0</v>
      </c>
      <c r="IL195" s="13">
        <f>OCC_DAYS*$IB$41*R_NF_2023-ID195*MCD_SHARE_FREED*R_WAIT_2023</f>
        <v>37367.159242427646</v>
      </c>
      <c r="IM195">
        <f>IF($A195&lt;=$IB$45,1,0)</f>
        <v>1</v>
      </c>
      <c r="JB195">
        <f>IF($JB$31&lt;=$JB$32,IF($A195&lt;=$JB$7,1,2),IF($A195&lt;=RUNG_BEDS_2,2,1))</f>
        <v>1</v>
      </c>
      <c r="JC195" s="5">
        <f>MIN(1,MAX(0,$JB$26-($A195-1)))</f>
        <v>1</v>
      </c>
      <c r="JD195" s="5">
        <f>$JB$25*(JC195+(1-JC195)*$JB$16)</f>
        <v>252.05322714681438</v>
      </c>
      <c r="JE195" s="13">
        <f>JD195*($JB$6+ACUTE_MARGIN)</f>
        <v>254573.7594182825</v>
      </c>
      <c r="JF195" s="13">
        <f>IF(JB195=1,$JB$31,$JB$32)</f>
        <v>152394.16214437486</v>
      </c>
      <c r="JG195" s="13">
        <f>JE195-JF195</f>
        <v>102179.59727390765</v>
      </c>
      <c r="JH195" s="13">
        <f>JH194+JG195</f>
        <v>11444114.894677682</v>
      </c>
      <c r="JI195">
        <f>IF(JH195=MAX($JH$83:$JH$483),$A195,0)</f>
        <v>0</v>
      </c>
      <c r="JJ195">
        <f>IF(JE195&lt;JF195,$A195,B_MAX+1)</f>
        <v>401.0</v>
      </c>
      <c r="JK195" s="13">
        <f>IF(JB195=1,$JB$35,$JB$36)</f>
        <v>0</v>
      </c>
      <c r="JL195" s="13">
        <f>OCC_DAYS*$JB$41*R_NF_2023-JD195*MCD_SHARE_FREED*R_WAIT_2023</f>
        <v>37367.159242427646</v>
      </c>
      <c r="JM195">
        <f>IF($A195&lt;=$JB$45,1,0)</f>
        <v>1</v>
      </c>
      <c r="KB195">
        <f>IF($KB$31&lt;=$KB$32,IF($A195&lt;=$KB$7,1,2),IF($A195&lt;=RUNG_BEDS_2,2,1))</f>
        <v>1</v>
      </c>
      <c r="KC195" s="5">
        <f>MIN(1,MAX(0,$KB$26-($A195-1)))</f>
        <v>1</v>
      </c>
      <c r="KD195" s="5">
        <f>$KB$25*(KC195+(1-KC195)*$KB$16)</f>
        <v>126.02661357340719</v>
      </c>
      <c r="KE195" s="13">
        <f>KD195*($KB$6+ACUTE_MARGIN)</f>
        <v>127286.87970914126</v>
      </c>
      <c r="KF195" s="13">
        <f>IF(KB195=1,$KB$31,$KB$32)</f>
        <v>152394.16214437486</v>
      </c>
      <c r="KG195" s="13">
        <f>KE195-KF195</f>
        <v>-25107.282435233603</v>
      </c>
      <c r="KH195" s="13">
        <f>KH194+KG195</f>
        <v>-2812015.6327461703</v>
      </c>
      <c r="KI195">
        <f>IF(KH195=MAX($KH$83:$KH$483),$A195,0)</f>
        <v>0</v>
      </c>
      <c r="KJ195">
        <f>IF(KE195&lt;KF195,$A195,B_MAX+1)</f>
        <v>112</v>
      </c>
      <c r="KK195" s="13">
        <f>IF(KB195=1,$KB$35,$KB$36)</f>
        <v>0</v>
      </c>
      <c r="KL195" s="13">
        <f>OCC_DAYS*$KB$41*R_NF_2023-KD195*MCD_SHARE_FREED*R_WAIT_2023</f>
        <v>94673.82103225985</v>
      </c>
      <c r="KM195">
        <f>IF($A195&lt;=$KB$45,1,0)</f>
        <v>0</v>
      </c>
      <c r="LB195">
        <f>IF($LB$31&lt;=$LB$32,IF($A195&lt;=$LB$7,1,2),IF($A195&lt;=RUNG_BEDS_2,2,1))</f>
        <v>1</v>
      </c>
      <c r="LC195" s="5">
        <f>MIN(1,MAX(0,$LB$26-($A195-1)))</f>
        <v>1</v>
      </c>
      <c r="LD195" s="5">
        <f>$LB$25*(LC195+(1-LC195)*$LB$16)</f>
        <v>84.01774238227146</v>
      </c>
      <c r="LE195" s="13">
        <f>LD195*($LB$6+ACUTE_MARGIN)</f>
        <v>84857.91980609419</v>
      </c>
      <c r="LF195" s="13">
        <f>IF(LB195=1,$LB$31,$LB$32)</f>
        <v>152394.16214437486</v>
      </c>
      <c r="LG195" s="13">
        <f>LE195-LF195</f>
        <v>-67536.24233828067</v>
      </c>
      <c r="LH195" s="13">
        <f>LH194+LG195</f>
        <v>-7564059.141887457</v>
      </c>
      <c r="LI195">
        <f>IF(LH195=MAX($LH$83:$LH$483),$A195,0)</f>
        <v>0</v>
      </c>
      <c r="LJ195">
        <f>IF(LE195&lt;LF195,$A195,B_MAX+1)</f>
        <v>112</v>
      </c>
      <c r="LK195" s="13">
        <f>IF(LB195=1,$LB$35,$LB$36)</f>
        <v>0</v>
      </c>
      <c r="LL195" s="13">
        <f>OCC_DAYS*$LB$41*R_NF_2023-LD195*MCD_SHARE_FREED*R_WAIT_2023</f>
        <v>113776.04162887059</v>
      </c>
      <c r="LM195">
        <f>IF($A195&lt;=$LB$45,1,0)</f>
        <v>0</v>
      </c>
      <c r="MB195">
        <f>IF($MB$31&lt;=$MB$32,IF($A195&lt;=$MB$7,1,2),IF($A195&lt;=RUNG_BEDS_2,2,1))</f>
        <v>1</v>
      </c>
      <c r="MC195" s="5">
        <f>MIN(1,MAX(0,$MB$26-($A195-1)))</f>
        <v>1</v>
      </c>
      <c r="MD195" s="5">
        <f>$MB$25*(MC195+(1-MC195)*$MB$16)</f>
        <v>213.44610951008647</v>
      </c>
      <c r="ME195" s="13">
        <f>MD195*($MB$6+ACUTE_MARGIN)</f>
        <v>215580.57060518733</v>
      </c>
      <c r="MF195" s="13">
        <f>IF(MB195=1,$MB$31,$MB$32)</f>
        <v>152394.16214437486</v>
      </c>
      <c r="MG195" s="13">
        <f>ME195-MF195</f>
        <v>63186.40846081247</v>
      </c>
      <c r="MH195" s="13">
        <f>MH194+MG195</f>
        <v>7076877.747611009</v>
      </c>
      <c r="MI195">
        <f>IF(MH195=MAX($MH$83:$MH$483),$A195,0)</f>
        <v>0</v>
      </c>
      <c r="MJ195">
        <f>IF(ME195&lt;MF195,$A195,B_MAX+1)</f>
        <v>401.0</v>
      </c>
      <c r="MK195" s="13">
        <f>IF(MB195=1,$MB$35,$MB$36)</f>
        <v>0</v>
      </c>
      <c r="ML195" s="13">
        <f>OCC_DAYS*$MB$41*R_NF_2023-MD195*MCD_SHARE_FREED*R_WAIT_2023</f>
        <v>54922.538779778624</v>
      </c>
      <c r="MM195">
        <f>IF($A195&lt;=$MB$45,1,0)</f>
        <v>1</v>
      </c>
      <c r="NB195">
        <f>IF($NB$31&lt;=$NB$32,IF($A195&lt;=$NB$7,1,2),IF($A195&lt;=RUNG_BEDS_2,2,1))</f>
        <v>1</v>
      </c>
      <c r="NC195" s="5">
        <f>MIN(1,MAX(0,$NB$26-($A195-1)))</f>
        <v>1</v>
      </c>
      <c r="ND195" s="5">
        <f>$NB$25*(NC195+(1-NC195)*$NB$16)</f>
        <v>252.05322714681438</v>
      </c>
      <c r="NE195" s="13">
        <f>ND195*($NB$6+ACUTE_MARGIN)</f>
        <v>254573.7594182825</v>
      </c>
      <c r="NF195" s="13">
        <f>IF(NB195=1,$NB$31,$NB$32)</f>
        <v>152394.16214437486</v>
      </c>
      <c r="NG195" s="13">
        <f>NE195-NF195</f>
        <v>102179.59727390765</v>
      </c>
      <c r="NH195" s="13">
        <f>NH194+NG195</f>
        <v>11444114.894677682</v>
      </c>
      <c r="NI195">
        <f>IF(NH195=MAX($NH$83:$NH$483),$A195,0)</f>
        <v>0</v>
      </c>
      <c r="NJ195">
        <f>IF(NE195&lt;NF195,$A195,B_MAX+1)</f>
        <v>401.0</v>
      </c>
      <c r="NK195" s="13">
        <f>IF(NB195=1,$NB$35,$NB$36)</f>
        <v>0</v>
      </c>
      <c r="NL195" s="13">
        <f>OCC_DAYS*$NB$41*R_NF_2023-ND195*MCD_SHARE_FREED*R_WAIT_2023</f>
        <v>37367.159242427646</v>
      </c>
      <c r="NM195">
        <f>IF($A195&lt;=$NB$45,1,0)</f>
        <v>1</v>
      </c>
      <c r="OB195">
        <f>IF($OB$31&lt;=$OB$32,IF($A195&lt;=$OB$7,1,2),IF($A195&lt;=RUNG_BEDS_2,2,1))</f>
        <v>1</v>
      </c>
      <c r="OC195" s="5">
        <f>MIN(1,MAX(0,$OB$26-($A195-1)))</f>
        <v>1</v>
      </c>
      <c r="OD195" s="5">
        <f>$OB$25*(OC195+(1-OC195)*$OB$16)</f>
        <v>252.05322714681438</v>
      </c>
      <c r="OE195" s="13">
        <f>OD195*($OB$6+ACUTE_MARGIN)</f>
        <v>254573.7594182825</v>
      </c>
      <c r="OF195" s="13">
        <f>IF(OB195=1,$OB$31,$OB$32)</f>
        <v>152394.16214437486</v>
      </c>
      <c r="OG195" s="13">
        <f>OE195-OF195</f>
        <v>102179.59727390765</v>
      </c>
      <c r="OH195" s="13">
        <f>OH194+OG195</f>
        <v>11444114.894677682</v>
      </c>
      <c r="OI195">
        <f>IF(OH195=MAX($OH$83:$OH$483),$A195,0)</f>
        <v>0</v>
      </c>
      <c r="OJ195">
        <f>IF(OE195&lt;OF195,$A195,B_MAX+1)</f>
        <v>401.0</v>
      </c>
      <c r="OK195" s="13">
        <f>IF(OB195=1,$OB$35,$OB$36)</f>
        <v>0</v>
      </c>
      <c r="OL195" s="13">
        <f>OCC_DAYS*$OB$41*R_NF_2023-OD195*MCD_SHARE_FREED*R_WAIT_2023</f>
        <v>37367.159242427646</v>
      </c>
      <c r="OM195">
        <f>IF($A195&lt;=$OB$45,1,0)</f>
        <v>1</v>
      </c>
    </row>
    <row r="196">
      <c r="A196" t="n">
        <v>113</v>
      </c>
      <c r="B196">
        <f>IF($B$31&lt;=$B$32,IF($A196&lt;=$B$7,1,2),IF($A196&lt;=RUNG_BEDS_2,2,1))</f>
        <v>1</v>
      </c>
      <c r="C196" s="5">
        <f>MIN(1,MAX(0,$B$26-($A196-1)))</f>
        <v>1</v>
      </c>
      <c r="D196" s="5">
        <f>$B$25*(C196+(1-C196)*$B$16)</f>
        <v>252.05322714681438</v>
      </c>
      <c r="E196" s="13">
        <f>D196*($B$6+ACUTE_MARGIN)</f>
        <v>254573.7594182825</v>
      </c>
      <c r="F196" s="13">
        <f>IF(B196=1,$B$31,$B$32)</f>
        <v>152394.16214437486</v>
      </c>
      <c r="G196" s="13">
        <f>E196-F196</f>
        <v>102179.59727390765</v>
      </c>
      <c r="H196" s="13">
        <f>H195+G196</f>
        <v>11546294.49195159</v>
      </c>
      <c r="I196">
        <f>IF(H196=MAX($H$83:$H$483),$A196,0)</f>
        <v>0</v>
      </c>
      <c r="J196">
        <f>IF(E196&lt;F196,$A196,B_MAX+1)</f>
        <v>401.0</v>
      </c>
      <c r="K196" s="13">
        <f>IF(B196=1,$B$35,$B$36)</f>
        <v>0</v>
      </c>
      <c r="L196" s="13">
        <f>OCC_DAYS*$B$41*R_NF_2023-D196*MCD_SHARE_FREED*R_WAIT_2023</f>
        <v>37367.159242427646</v>
      </c>
      <c r="M196">
        <f>IF($A196&lt;=$B$45,1,0)</f>
        <v>1</v>
      </c>
      <c r="AB196">
        <f>IF($AB$31&lt;=$AB$32,IF($A196&lt;=$AB$7,1,2),IF($A196&lt;=RUNG_BEDS_2,2,1))</f>
        <v>1</v>
      </c>
      <c r="AC196" s="5">
        <f>MIN(1,MAX(0,$AB$26-($A196-1)))</f>
        <v>1</v>
      </c>
      <c r="AD196" s="5">
        <f>$AB$25*(AC196+(1-AC196)*$AB$16)</f>
        <v>252.05322714681438</v>
      </c>
      <c r="AE196" s="13">
        <f>AD196*($AB$6+ACUTE_MARGIN)</f>
        <v>138629.2749307479</v>
      </c>
      <c r="AF196" s="13">
        <f>IF(AB196=1,$AB$31,$AB$32)</f>
        <v>152394.16214437486</v>
      </c>
      <c r="AG196" s="13">
        <f>AE196-AF196</f>
        <v>-13764.887213626964</v>
      </c>
      <c r="AH196" s="13">
        <f>AH195+AG196</f>
        <v>-1555432.2551398454</v>
      </c>
      <c r="AI196">
        <f>IF(AH196=MAX($AH$83:$AH$483),$A196,0)</f>
        <v>0</v>
      </c>
      <c r="AJ196">
        <f>IF(AE196&lt;AF196,$A196,B_MAX+1)</f>
        <v>113</v>
      </c>
      <c r="AK196" s="13">
        <f>IF(AB196=1,$AB$35,$AB$36)</f>
        <v>0</v>
      </c>
      <c r="AL196" s="13">
        <f>OCC_DAYS*$AB$41*R_NF_2023-AD196*MCD_SHARE_FREED*R_WAIT_2023</f>
        <v>37367.159242427646</v>
      </c>
      <c r="AM196">
        <f>IF($A196&lt;=$AB$45,1,0)</f>
        <v>0</v>
      </c>
      <c r="BB196">
        <f>IF($BB$31&lt;=$BB$32,IF($A196&lt;=$BB$7,1,2),IF($A196&lt;=RUNG_BEDS_2,2,1))</f>
        <v>1</v>
      </c>
      <c r="BC196" s="5">
        <f>MIN(1,MAX(0,$BB$26-($A196-1)))</f>
        <v>1</v>
      </c>
      <c r="BD196" s="5">
        <f>$BB$25*(BC196+(1-BC196)*$BB$16)</f>
        <v>252.05322714681438</v>
      </c>
      <c r="BE196" s="13">
        <f>BD196*($BB$6+ACUTE_MARGIN)</f>
        <v>370518.24390581716</v>
      </c>
      <c r="BF196" s="13">
        <f>IF(BB196=1,$BB$31,$BB$32)</f>
        <v>152394.16214437486</v>
      </c>
      <c r="BG196" s="13">
        <f>BE196-BF196</f>
        <v>218124.0817614423</v>
      </c>
      <c r="BH196" s="13">
        <f>BH195+BG196</f>
        <v>24648021.239042964</v>
      </c>
      <c r="BI196">
        <f>IF(BH196=MAX($BH$83:$BH$483),$A196,0)</f>
        <v>0</v>
      </c>
      <c r="BJ196">
        <f>IF(BE196&lt;BF196,$A196,B_MAX+1)</f>
        <v>401.0</v>
      </c>
      <c r="BK196" s="13">
        <f>IF(BB196=1,$BB$35,$BB$36)</f>
        <v>0</v>
      </c>
      <c r="BL196" s="13">
        <f>OCC_DAYS*$BB$41*R_NF_2023-BD196*MCD_SHARE_FREED*R_WAIT_2023</f>
        <v>37367.159242427646</v>
      </c>
      <c r="BM196">
        <f>IF($A196&lt;=$BB$45,1,0)</f>
        <v>1</v>
      </c>
      <c r="CB196">
        <f>IF($CB$31&lt;=$CB$32,IF($A196&lt;=$CB$7,1,2),IF($A196&lt;=RUNG_BEDS_2,2,1))</f>
        <v>2</v>
      </c>
      <c r="CC196" s="5">
        <f>MIN(1,MAX(0,$CB$26-($A196-1)))</f>
        <v>1</v>
      </c>
      <c r="CD196" s="5">
        <f>$CB$25*(CC196+(1-CC196)*$CB$16)</f>
        <v>252.05322714681438</v>
      </c>
      <c r="CE196" s="13">
        <f>CD196*($CB$6+ACUTE_MARGIN)</f>
        <v>254573.7594182825</v>
      </c>
      <c r="CF196" s="13">
        <f>IF(CB196=1,$CB$31,$CB$32)</f>
        <v>160718.36940738867</v>
      </c>
      <c r="CG196" s="13">
        <f>CE196-CF196</f>
        <v>93855.39001089384</v>
      </c>
      <c r="CH196" s="13">
        <f>CH195+CG196</f>
        <v>10605659.071231011</v>
      </c>
      <c r="CI196">
        <f>IF(CH196=MAX($CH$83:$CH$483),$A196,0)</f>
        <v>0</v>
      </c>
      <c r="CJ196">
        <f>IF(CE196&lt;CF196,$A196,B_MAX+1)</f>
        <v>401.0</v>
      </c>
      <c r="CK196" s="13">
        <f>IF(CB196=1,$CB$35,$CB$36)</f>
        <v>1560.1194073886782</v>
      </c>
      <c r="CL196" s="13">
        <f>OCC_DAYS*$CB$41*R_NF_2023-CD196*MCD_SHARE_FREED*R_WAIT_2023</f>
        <v>37367.159242427646</v>
      </c>
      <c r="CM196">
        <f>IF($A196&lt;=$CB$45,1,0)</f>
        <v>1</v>
      </c>
      <c r="DB196">
        <f>IF($DB$31&lt;=$DB$32,IF($A196&lt;=$DB$7,1,2),IF($A196&lt;=RUNG_BEDS_2,2,1))</f>
        <v>1</v>
      </c>
      <c r="DC196" s="5">
        <f>MIN(1,MAX(0,$DB$26-($A196-1)))</f>
        <v>1</v>
      </c>
      <c r="DD196" s="5">
        <f>$DB$25*(DC196+(1-DC196)*$DB$16)</f>
        <v>252.05322714681438</v>
      </c>
      <c r="DE196" s="13">
        <f>DD196*($DB$6+ACUTE_MARGIN)</f>
        <v>254573.7594182825</v>
      </c>
      <c r="DF196" s="13">
        <f>IF(DB196=1,$DB$31,$DB$32)</f>
        <v>152394.16214437486</v>
      </c>
      <c r="DG196" s="13">
        <f>DE196-DF196</f>
        <v>102179.59727390765</v>
      </c>
      <c r="DH196" s="13">
        <f>DH195+DG196</f>
        <v>11546294.49195159</v>
      </c>
      <c r="DI196">
        <f>IF(DH196=MAX($DH$83:$DH$483),$A196,0)</f>
        <v>0</v>
      </c>
      <c r="DJ196">
        <f>IF(DE196&lt;DF196,$A196,B_MAX+1)</f>
        <v>401.0</v>
      </c>
      <c r="DK196" s="13">
        <f>IF(DB196=1,$DB$35,$DB$36)</f>
        <v>0</v>
      </c>
      <c r="DL196" s="13">
        <f>OCC_DAYS*$DB$41*R_NF_2023-DD196*MCD_SHARE_FREED*R_WAIT_2023</f>
        <v>37367.159242427646</v>
      </c>
      <c r="DM196">
        <f>IF($A196&lt;=$DB$45,1,0)</f>
        <v>1</v>
      </c>
      <c r="EB196">
        <f>IF($EB$31&lt;=$EB$32,IF($A196&lt;=$EB$7,1,2),IF($A196&lt;=RUNG_BEDS_2,2,1))</f>
        <v>1</v>
      </c>
      <c r="EC196" s="5">
        <f>MIN(1,MAX(0,$EB$26-($A196-1)))</f>
        <v>1</v>
      </c>
      <c r="ED196" s="5">
        <f>$EB$25*(EC196+(1-EC196)*$EB$16)</f>
        <v>252.05322714681438</v>
      </c>
      <c r="EE196" s="13">
        <f>ED196*($EB$6+ACUTE_MARGIN)</f>
        <v>254573.7594182825</v>
      </c>
      <c r="EF196" s="13">
        <f>IF(EB196=1,$EB$31,$EB$32)</f>
        <v>152394.16214437486</v>
      </c>
      <c r="EG196" s="13">
        <f>EE196-EF196</f>
        <v>102179.59727390765</v>
      </c>
      <c r="EH196" s="13">
        <f>EH195+EG196</f>
        <v>11546294.49195159</v>
      </c>
      <c r="EI196">
        <f>IF(EH196=MAX($EH$83:$EH$483),$A196,0)</f>
        <v>0</v>
      </c>
      <c r="EJ196">
        <f>IF(EE196&lt;EF196,$A196,B_MAX+1)</f>
        <v>401.0</v>
      </c>
      <c r="EK196" s="13">
        <f>IF(EB196=1,$EB$35,$EB$36)</f>
        <v>0</v>
      </c>
      <c r="EL196" s="13">
        <f>OCC_DAYS*$EB$41*R_NF_2023-ED196*MCD_SHARE_FREED*R_WAIT_2023</f>
        <v>-63953.16263896705</v>
      </c>
      <c r="EM196">
        <f>IF($A196&lt;=$EB$45,1,0)</f>
        <v>1</v>
      </c>
      <c r="FB196">
        <f>IF($FB$31&lt;=$FB$32,IF($A196&lt;=$FB$7,1,2),IF($A196&lt;=RUNG_BEDS_2,2,1))</f>
        <v>1</v>
      </c>
      <c r="FC196" s="5">
        <f>MIN(1,MAX(0,$FB$26-($A196-1)))</f>
        <v>1</v>
      </c>
      <c r="FD196" s="5">
        <f>$FB$25*(FC196+(1-FC196)*$FB$16)</f>
        <v>252.05322714681438</v>
      </c>
      <c r="FE196" s="13">
        <f>FD196*($FB$6+ACUTE_MARGIN)</f>
        <v>254573.7594182825</v>
      </c>
      <c r="FF196" s="13">
        <f>IF(FB196=1,$FB$31,$FB$32)</f>
        <v>156636.04979437485</v>
      </c>
      <c r="FG196" s="13">
        <f>FE196-FF196</f>
        <v>97937.70962390766</v>
      </c>
      <c r="FH196" s="13">
        <f>FH195+FG196</f>
        <v>11066961.187501542</v>
      </c>
      <c r="FI196">
        <f>IF(FH196=MAX($FH$83:$FH$483),$A196,0)</f>
        <v>0</v>
      </c>
      <c r="FJ196">
        <f>IF(FE196&lt;FF196,$A196,B_MAX+1)</f>
        <v>401.0</v>
      </c>
      <c r="FK196" s="13">
        <f>IF(FB196=1,$FB$35,$FB$36)</f>
        <v>0</v>
      </c>
      <c r="FL196" s="13">
        <f>OCC_DAYS*$FB$41*R_NF_2023-FD196*MCD_SHARE_FREED*R_WAIT_2023</f>
        <v>37367.159242427646</v>
      </c>
      <c r="FM196">
        <f>IF($A196&lt;=$FB$45,1,0)</f>
        <v>1</v>
      </c>
      <c r="GB196">
        <f>IF($GB$31&lt;=$GB$32,IF($A196&lt;=$GB$7,1,2),IF($A196&lt;=RUNG_BEDS_2,2,1))</f>
        <v>1</v>
      </c>
      <c r="GC196" s="5">
        <f>MIN(1,MAX(0,$GB$26-($A196-1)))</f>
        <v>1</v>
      </c>
      <c r="GD196" s="5">
        <f>$GB$25*(GC196+(1-GC196)*$GB$16)</f>
        <v>252.05322714681438</v>
      </c>
      <c r="GE196" s="13">
        <f>GD196*($GB$6+ACUTE_MARGIN)</f>
        <v>254573.7594182825</v>
      </c>
      <c r="GF196" s="13">
        <f>IF(GB196=1,$GB$31,$GB$32)</f>
        <v>152394.16214437486</v>
      </c>
      <c r="GG196" s="13">
        <f>GE196-GF196</f>
        <v>102179.59727390765</v>
      </c>
      <c r="GH196" s="13">
        <f>GH195+GG196</f>
        <v>11546294.49195159</v>
      </c>
      <c r="GI196">
        <f>IF(GH196=MAX($GH$83:$GH$483),$A196,0)</f>
        <v>0</v>
      </c>
      <c r="GJ196">
        <f>IF(GE196&lt;GF196,$A196,B_MAX+1)</f>
        <v>401.0</v>
      </c>
      <c r="GK196" s="13">
        <f>IF(GB196=1,$GB$35,$GB$36)</f>
        <v>0</v>
      </c>
      <c r="GL196" s="13">
        <f>OCC_DAYS*$GB$41*R_NF_2023-GD196*MCD_SHARE_FREED*R_WAIT_2023</f>
        <v>37367.159242427646</v>
      </c>
      <c r="GM196">
        <f>IF($A196&lt;=$GB$45,1,0)</f>
        <v>1</v>
      </c>
      <c r="HB196">
        <f>IF($HB$31&lt;=$HB$32,IF($A196&lt;=$HB$7,1,2),IF($A196&lt;=RUNG_BEDS_2,2,1))</f>
        <v>1</v>
      </c>
      <c r="HC196" s="5">
        <f>MIN(1,MAX(0,$HB$26-($A196-1)))</f>
        <v>1</v>
      </c>
      <c r="HD196" s="5">
        <f>$HB$25*(HC196+(1-HC196)*$HB$16)</f>
        <v>252.05322714681438</v>
      </c>
      <c r="HE196" s="13">
        <f>HD196*($HB$6+ACUTE_MARGIN)</f>
        <v>254573.7594182825</v>
      </c>
      <c r="HF196" s="13">
        <f>IF(HB196=1,$HB$31,$HB$32)</f>
        <v>152456.2970814058</v>
      </c>
      <c r="HG196" s="13">
        <f>HE196-HF196</f>
        <v>102117.46233687672</v>
      </c>
      <c r="HH196" s="13">
        <f>HH195+HG196</f>
        <v>11539273.24406708</v>
      </c>
      <c r="HI196">
        <f>IF(HH196=MAX($HH$83:$HH$483),$A196,0)</f>
        <v>0</v>
      </c>
      <c r="HJ196">
        <f>IF(HE196&lt;HF196,$A196,B_MAX+1)</f>
        <v>401.0</v>
      </c>
      <c r="HK196" s="13">
        <f>IF(HB196=1,$HB$35,$HB$36)</f>
        <v>0</v>
      </c>
      <c r="HL196" s="13">
        <f>OCC_DAYS*$HB$41*R_NF_2023-HD196*MCD_SHARE_FREED*R_WAIT_2023</f>
        <v>37367.159242427646</v>
      </c>
      <c r="HM196">
        <f>IF($A196&lt;=$HB$45,1,0)</f>
        <v>1</v>
      </c>
      <c r="IB196">
        <f>IF($IB$31&lt;=$IB$32,IF($A196&lt;=$IB$7,1,2),IF($A196&lt;=RUNG_BEDS_2,2,1))</f>
        <v>1</v>
      </c>
      <c r="IC196" s="5">
        <f>MIN(1,MAX(0,$IB$26-($A196-1)))</f>
        <v>1</v>
      </c>
      <c r="ID196" s="5">
        <f>$IB$25*(IC196+(1-IC196)*$IB$16)</f>
        <v>252.05322714681438</v>
      </c>
      <c r="IE196" s="13">
        <f>ID196*($IB$6+ACUTE_MARGIN)</f>
        <v>254573.7594182825</v>
      </c>
      <c r="IF196" s="13">
        <f>IF(IB196=1,$IB$31,$IB$32)</f>
        <v>152734.9994534971</v>
      </c>
      <c r="IG196" s="13">
        <f>IE196-IF196</f>
        <v>101838.75996478542</v>
      </c>
      <c r="IH196" s="13">
        <f>IH195+IG196</f>
        <v>11507779.876020735</v>
      </c>
      <c r="II196">
        <f>IF(IH196=MAX($IH$83:$IH$483),$A196,0)</f>
        <v>0</v>
      </c>
      <c r="IJ196">
        <f>IF(IE196&lt;IF196,$A196,B_MAX+1)</f>
        <v>401.0</v>
      </c>
      <c r="IK196" s="13">
        <f>IF(IB196=1,$IB$35,$IB$36)</f>
        <v>0</v>
      </c>
      <c r="IL196" s="13">
        <f>OCC_DAYS*$IB$41*R_NF_2023-ID196*MCD_SHARE_FREED*R_WAIT_2023</f>
        <v>37367.159242427646</v>
      </c>
      <c r="IM196">
        <f>IF($A196&lt;=$IB$45,1,0)</f>
        <v>1</v>
      </c>
      <c r="JB196">
        <f>IF($JB$31&lt;=$JB$32,IF($A196&lt;=$JB$7,1,2),IF($A196&lt;=RUNG_BEDS_2,2,1))</f>
        <v>1</v>
      </c>
      <c r="JC196" s="5">
        <f>MIN(1,MAX(0,$JB$26-($A196-1)))</f>
        <v>1</v>
      </c>
      <c r="JD196" s="5">
        <f>$JB$25*(JC196+(1-JC196)*$JB$16)</f>
        <v>252.05322714681438</v>
      </c>
      <c r="JE196" s="13">
        <f>JD196*($JB$6+ACUTE_MARGIN)</f>
        <v>254573.7594182825</v>
      </c>
      <c r="JF196" s="13">
        <f>IF(JB196=1,$JB$31,$JB$32)</f>
        <v>152394.16214437486</v>
      </c>
      <c r="JG196" s="13">
        <f>JE196-JF196</f>
        <v>102179.59727390765</v>
      </c>
      <c r="JH196" s="13">
        <f>JH195+JG196</f>
        <v>11546294.49195159</v>
      </c>
      <c r="JI196">
        <f>IF(JH196=MAX($JH$83:$JH$483),$A196,0)</f>
        <v>0</v>
      </c>
      <c r="JJ196">
        <f>IF(JE196&lt;JF196,$A196,B_MAX+1)</f>
        <v>401.0</v>
      </c>
      <c r="JK196" s="13">
        <f>IF(JB196=1,$JB$35,$JB$36)</f>
        <v>0</v>
      </c>
      <c r="JL196" s="13">
        <f>OCC_DAYS*$JB$41*R_NF_2023-JD196*MCD_SHARE_FREED*R_WAIT_2023</f>
        <v>37367.159242427646</v>
      </c>
      <c r="JM196">
        <f>IF($A196&lt;=$JB$45,1,0)</f>
        <v>1</v>
      </c>
      <c r="KB196">
        <f>IF($KB$31&lt;=$KB$32,IF($A196&lt;=$KB$7,1,2),IF($A196&lt;=RUNG_BEDS_2,2,1))</f>
        <v>1</v>
      </c>
      <c r="KC196" s="5">
        <f>MIN(1,MAX(0,$KB$26-($A196-1)))</f>
        <v>1</v>
      </c>
      <c r="KD196" s="5">
        <f>$KB$25*(KC196+(1-KC196)*$KB$16)</f>
        <v>126.02661357340719</v>
      </c>
      <c r="KE196" s="13">
        <f>KD196*($KB$6+ACUTE_MARGIN)</f>
        <v>127286.87970914126</v>
      </c>
      <c r="KF196" s="13">
        <f>IF(KB196=1,$KB$31,$KB$32)</f>
        <v>152394.16214437486</v>
      </c>
      <c r="KG196" s="13">
        <f>KE196-KF196</f>
        <v>-25107.282435233603</v>
      </c>
      <c r="KH196" s="13">
        <f>KH195+KG196</f>
        <v>-2837122.915181404</v>
      </c>
      <c r="KI196">
        <f>IF(KH196=MAX($KH$83:$KH$483),$A196,0)</f>
        <v>0</v>
      </c>
      <c r="KJ196">
        <f>IF(KE196&lt;KF196,$A196,B_MAX+1)</f>
        <v>113</v>
      </c>
      <c r="KK196" s="13">
        <f>IF(KB196=1,$KB$35,$KB$36)</f>
        <v>0</v>
      </c>
      <c r="KL196" s="13">
        <f>OCC_DAYS*$KB$41*R_NF_2023-KD196*MCD_SHARE_FREED*R_WAIT_2023</f>
        <v>94673.82103225985</v>
      </c>
      <c r="KM196">
        <f>IF($A196&lt;=$KB$45,1,0)</f>
        <v>0</v>
      </c>
      <c r="LB196">
        <f>IF($LB$31&lt;=$LB$32,IF($A196&lt;=$LB$7,1,2),IF($A196&lt;=RUNG_BEDS_2,2,1))</f>
        <v>1</v>
      </c>
      <c r="LC196" s="5">
        <f>MIN(1,MAX(0,$LB$26-($A196-1)))</f>
        <v>1</v>
      </c>
      <c r="LD196" s="5">
        <f>$LB$25*(LC196+(1-LC196)*$LB$16)</f>
        <v>84.01774238227146</v>
      </c>
      <c r="LE196" s="13">
        <f>LD196*($LB$6+ACUTE_MARGIN)</f>
        <v>84857.91980609419</v>
      </c>
      <c r="LF196" s="13">
        <f>IF(LB196=1,$LB$31,$LB$32)</f>
        <v>152394.16214437486</v>
      </c>
      <c r="LG196" s="13">
        <f>LE196-LF196</f>
        <v>-67536.24233828067</v>
      </c>
      <c r="LH196" s="13">
        <f>LH195+LG196</f>
        <v>-7631595.384225738</v>
      </c>
      <c r="LI196">
        <f>IF(LH196=MAX($LH$83:$LH$483),$A196,0)</f>
        <v>0</v>
      </c>
      <c r="LJ196">
        <f>IF(LE196&lt;LF196,$A196,B_MAX+1)</f>
        <v>113</v>
      </c>
      <c r="LK196" s="13">
        <f>IF(LB196=1,$LB$35,$LB$36)</f>
        <v>0</v>
      </c>
      <c r="LL196" s="13">
        <f>OCC_DAYS*$LB$41*R_NF_2023-LD196*MCD_SHARE_FREED*R_WAIT_2023</f>
        <v>113776.04162887059</v>
      </c>
      <c r="LM196">
        <f>IF($A196&lt;=$LB$45,1,0)</f>
        <v>0</v>
      </c>
      <c r="MB196">
        <f>IF($MB$31&lt;=$MB$32,IF($A196&lt;=$MB$7,1,2),IF($A196&lt;=RUNG_BEDS_2,2,1))</f>
        <v>1</v>
      </c>
      <c r="MC196" s="5">
        <f>MIN(1,MAX(0,$MB$26-($A196-1)))</f>
        <v>1</v>
      </c>
      <c r="MD196" s="5">
        <f>$MB$25*(MC196+(1-MC196)*$MB$16)</f>
        <v>213.44610951008647</v>
      </c>
      <c r="ME196" s="13">
        <f>MD196*($MB$6+ACUTE_MARGIN)</f>
        <v>215580.57060518733</v>
      </c>
      <c r="MF196" s="13">
        <f>IF(MB196=1,$MB$31,$MB$32)</f>
        <v>152394.16214437486</v>
      </c>
      <c r="MG196" s="13">
        <f>ME196-MF196</f>
        <v>63186.40846081247</v>
      </c>
      <c r="MH196" s="13">
        <f>MH195+MG196</f>
        <v>7140064.156071821</v>
      </c>
      <c r="MI196">
        <f>IF(MH196=MAX($MH$83:$MH$483),$A196,0)</f>
        <v>0</v>
      </c>
      <c r="MJ196">
        <f>IF(ME196&lt;MF196,$A196,B_MAX+1)</f>
        <v>401.0</v>
      </c>
      <c r="MK196" s="13">
        <f>IF(MB196=1,$MB$35,$MB$36)</f>
        <v>0</v>
      </c>
      <c r="ML196" s="13">
        <f>OCC_DAYS*$MB$41*R_NF_2023-MD196*MCD_SHARE_FREED*R_WAIT_2023</f>
        <v>54922.538779778624</v>
      </c>
      <c r="MM196">
        <f>IF($A196&lt;=$MB$45,1,0)</f>
        <v>1</v>
      </c>
      <c r="NB196">
        <f>IF($NB$31&lt;=$NB$32,IF($A196&lt;=$NB$7,1,2),IF($A196&lt;=RUNG_BEDS_2,2,1))</f>
        <v>1</v>
      </c>
      <c r="NC196" s="5">
        <f>MIN(1,MAX(0,$NB$26-($A196-1)))</f>
        <v>1</v>
      </c>
      <c r="ND196" s="5">
        <f>$NB$25*(NC196+(1-NC196)*$NB$16)</f>
        <v>252.05322714681438</v>
      </c>
      <c r="NE196" s="13">
        <f>ND196*($NB$6+ACUTE_MARGIN)</f>
        <v>254573.7594182825</v>
      </c>
      <c r="NF196" s="13">
        <f>IF(NB196=1,$NB$31,$NB$32)</f>
        <v>152394.16214437486</v>
      </c>
      <c r="NG196" s="13">
        <f>NE196-NF196</f>
        <v>102179.59727390765</v>
      </c>
      <c r="NH196" s="13">
        <f>NH195+NG196</f>
        <v>11546294.49195159</v>
      </c>
      <c r="NI196">
        <f>IF(NH196=MAX($NH$83:$NH$483),$A196,0)</f>
        <v>0</v>
      </c>
      <c r="NJ196">
        <f>IF(NE196&lt;NF196,$A196,B_MAX+1)</f>
        <v>401.0</v>
      </c>
      <c r="NK196" s="13">
        <f>IF(NB196=1,$NB$35,$NB$36)</f>
        <v>0</v>
      </c>
      <c r="NL196" s="13">
        <f>OCC_DAYS*$NB$41*R_NF_2023-ND196*MCD_SHARE_FREED*R_WAIT_2023</f>
        <v>37367.159242427646</v>
      </c>
      <c r="NM196">
        <f>IF($A196&lt;=$NB$45,1,0)</f>
        <v>1</v>
      </c>
      <c r="OB196">
        <f>IF($OB$31&lt;=$OB$32,IF($A196&lt;=$OB$7,1,2),IF($A196&lt;=RUNG_BEDS_2,2,1))</f>
        <v>1</v>
      </c>
      <c r="OC196" s="5">
        <f>MIN(1,MAX(0,$OB$26-($A196-1)))</f>
        <v>1</v>
      </c>
      <c r="OD196" s="5">
        <f>$OB$25*(OC196+(1-OC196)*$OB$16)</f>
        <v>252.05322714681438</v>
      </c>
      <c r="OE196" s="13">
        <f>OD196*($OB$6+ACUTE_MARGIN)</f>
        <v>254573.7594182825</v>
      </c>
      <c r="OF196" s="13">
        <f>IF(OB196=1,$OB$31,$OB$32)</f>
        <v>152394.16214437486</v>
      </c>
      <c r="OG196" s="13">
        <f>OE196-OF196</f>
        <v>102179.59727390765</v>
      </c>
      <c r="OH196" s="13">
        <f>OH195+OG196</f>
        <v>11546294.49195159</v>
      </c>
      <c r="OI196">
        <f>IF(OH196=MAX($OH$83:$OH$483),$A196,0)</f>
        <v>0</v>
      </c>
      <c r="OJ196">
        <f>IF(OE196&lt;OF196,$A196,B_MAX+1)</f>
        <v>401.0</v>
      </c>
      <c r="OK196" s="13">
        <f>IF(OB196=1,$OB$35,$OB$36)</f>
        <v>0</v>
      </c>
      <c r="OL196" s="13">
        <f>OCC_DAYS*$OB$41*R_NF_2023-OD196*MCD_SHARE_FREED*R_WAIT_2023</f>
        <v>37367.159242427646</v>
      </c>
      <c r="OM196">
        <f>IF($A196&lt;=$OB$45,1,0)</f>
        <v>1</v>
      </c>
    </row>
    <row r="197">
      <c r="A197" t="n">
        <v>114</v>
      </c>
      <c r="B197">
        <f>IF($B$31&lt;=$B$32,IF($A197&lt;=$B$7,1,2),IF($A197&lt;=RUNG_BEDS_2,2,1))</f>
        <v>1</v>
      </c>
      <c r="C197" s="5">
        <f>MIN(1,MAX(0,$B$26-($A197-1)))</f>
        <v>1</v>
      </c>
      <c r="D197" s="5">
        <f>$B$25*(C197+(1-C197)*$B$16)</f>
        <v>252.05322714681438</v>
      </c>
      <c r="E197" s="13">
        <f>D197*($B$6+ACUTE_MARGIN)</f>
        <v>254573.7594182825</v>
      </c>
      <c r="F197" s="13">
        <f>IF(B197=1,$B$31,$B$32)</f>
        <v>152394.16214437486</v>
      </c>
      <c r="G197" s="13">
        <f>E197-F197</f>
        <v>102179.59727390765</v>
      </c>
      <c r="H197" s="13">
        <f>H196+G197</f>
        <v>11648474.089225499</v>
      </c>
      <c r="I197">
        <f>IF(H197=MAX($H$83:$H$483),$A197,0)</f>
        <v>0</v>
      </c>
      <c r="J197">
        <f>IF(E197&lt;F197,$A197,B_MAX+1)</f>
        <v>401.0</v>
      </c>
      <c r="K197" s="13">
        <f>IF(B197=1,$B$35,$B$36)</f>
        <v>0</v>
      </c>
      <c r="L197" s="13">
        <f>OCC_DAYS*$B$41*R_NF_2023-D197*MCD_SHARE_FREED*R_WAIT_2023</f>
        <v>37367.159242427646</v>
      </c>
      <c r="M197">
        <f>IF($A197&lt;=$B$45,1,0)</f>
        <v>1</v>
      </c>
      <c r="AB197">
        <f>IF($AB$31&lt;=$AB$32,IF($A197&lt;=$AB$7,1,2),IF($A197&lt;=RUNG_BEDS_2,2,1))</f>
        <v>1</v>
      </c>
      <c r="AC197" s="5">
        <f>MIN(1,MAX(0,$AB$26-($A197-1)))</f>
        <v>1</v>
      </c>
      <c r="AD197" s="5">
        <f>$AB$25*(AC197+(1-AC197)*$AB$16)</f>
        <v>252.05322714681438</v>
      </c>
      <c r="AE197" s="13">
        <f>AD197*($AB$6+ACUTE_MARGIN)</f>
        <v>138629.2749307479</v>
      </c>
      <c r="AF197" s="13">
        <f>IF(AB197=1,$AB$31,$AB$32)</f>
        <v>152394.16214437486</v>
      </c>
      <c r="AG197" s="13">
        <f>AE197-AF197</f>
        <v>-13764.887213626964</v>
      </c>
      <c r="AH197" s="13">
        <f>AH196+AG197</f>
        <v>-1569197.1423534723</v>
      </c>
      <c r="AI197">
        <f>IF(AH197=MAX($AH$83:$AH$483),$A197,0)</f>
        <v>0</v>
      </c>
      <c r="AJ197">
        <f>IF(AE197&lt;AF197,$A197,B_MAX+1)</f>
        <v>114</v>
      </c>
      <c r="AK197" s="13">
        <f>IF(AB197=1,$AB$35,$AB$36)</f>
        <v>0</v>
      </c>
      <c r="AL197" s="13">
        <f>OCC_DAYS*$AB$41*R_NF_2023-AD197*MCD_SHARE_FREED*R_WAIT_2023</f>
        <v>37367.159242427646</v>
      </c>
      <c r="AM197">
        <f>IF($A197&lt;=$AB$45,1,0)</f>
        <v>0</v>
      </c>
      <c r="BB197">
        <f>IF($BB$31&lt;=$BB$32,IF($A197&lt;=$BB$7,1,2),IF($A197&lt;=RUNG_BEDS_2,2,1))</f>
        <v>1</v>
      </c>
      <c r="BC197" s="5">
        <f>MIN(1,MAX(0,$BB$26-($A197-1)))</f>
        <v>1</v>
      </c>
      <c r="BD197" s="5">
        <f>$BB$25*(BC197+(1-BC197)*$BB$16)</f>
        <v>252.05322714681438</v>
      </c>
      <c r="BE197" s="13">
        <f>BD197*($BB$6+ACUTE_MARGIN)</f>
        <v>370518.24390581716</v>
      </c>
      <c r="BF197" s="13">
        <f>IF(BB197=1,$BB$31,$BB$32)</f>
        <v>152394.16214437486</v>
      </c>
      <c r="BG197" s="13">
        <f>BE197-BF197</f>
        <v>218124.0817614423</v>
      </c>
      <c r="BH197" s="13">
        <f>BH196+BG197</f>
        <v>24866145.320804406</v>
      </c>
      <c r="BI197">
        <f>IF(BH197=MAX($BH$83:$BH$483),$A197,0)</f>
        <v>0</v>
      </c>
      <c r="BJ197">
        <f>IF(BE197&lt;BF197,$A197,B_MAX+1)</f>
        <v>401.0</v>
      </c>
      <c r="BK197" s="13">
        <f>IF(BB197=1,$BB$35,$BB$36)</f>
        <v>0</v>
      </c>
      <c r="BL197" s="13">
        <f>OCC_DAYS*$BB$41*R_NF_2023-BD197*MCD_SHARE_FREED*R_WAIT_2023</f>
        <v>37367.159242427646</v>
      </c>
      <c r="BM197">
        <f>IF($A197&lt;=$BB$45,1,0)</f>
        <v>1</v>
      </c>
      <c r="CB197">
        <f>IF($CB$31&lt;=$CB$32,IF($A197&lt;=$CB$7,1,2),IF($A197&lt;=RUNG_BEDS_2,2,1))</f>
        <v>2</v>
      </c>
      <c r="CC197" s="5">
        <f>MIN(1,MAX(0,$CB$26-($A197-1)))</f>
        <v>1</v>
      </c>
      <c r="CD197" s="5">
        <f>$CB$25*(CC197+(1-CC197)*$CB$16)</f>
        <v>252.05322714681438</v>
      </c>
      <c r="CE197" s="13">
        <f>CD197*($CB$6+ACUTE_MARGIN)</f>
        <v>254573.7594182825</v>
      </c>
      <c r="CF197" s="13">
        <f>IF(CB197=1,$CB$31,$CB$32)</f>
        <v>160718.36940738867</v>
      </c>
      <c r="CG197" s="13">
        <f>CE197-CF197</f>
        <v>93855.39001089384</v>
      </c>
      <c r="CH197" s="13">
        <f>CH196+CG197</f>
        <v>10699514.461241905</v>
      </c>
      <c r="CI197">
        <f>IF(CH197=MAX($CH$83:$CH$483),$A197,0)</f>
        <v>0</v>
      </c>
      <c r="CJ197">
        <f>IF(CE197&lt;CF197,$A197,B_MAX+1)</f>
        <v>401.0</v>
      </c>
      <c r="CK197" s="13">
        <f>IF(CB197=1,$CB$35,$CB$36)</f>
        <v>1560.1194073886782</v>
      </c>
      <c r="CL197" s="13">
        <f>OCC_DAYS*$CB$41*R_NF_2023-CD197*MCD_SHARE_FREED*R_WAIT_2023</f>
        <v>37367.159242427646</v>
      </c>
      <c r="CM197">
        <f>IF($A197&lt;=$CB$45,1,0)</f>
        <v>1</v>
      </c>
      <c r="DB197">
        <f>IF($DB$31&lt;=$DB$32,IF($A197&lt;=$DB$7,1,2),IF($A197&lt;=RUNG_BEDS_2,2,1))</f>
        <v>1</v>
      </c>
      <c r="DC197" s="5">
        <f>MIN(1,MAX(0,$DB$26-($A197-1)))</f>
        <v>1</v>
      </c>
      <c r="DD197" s="5">
        <f>$DB$25*(DC197+(1-DC197)*$DB$16)</f>
        <v>252.05322714681438</v>
      </c>
      <c r="DE197" s="13">
        <f>DD197*($DB$6+ACUTE_MARGIN)</f>
        <v>254573.7594182825</v>
      </c>
      <c r="DF197" s="13">
        <f>IF(DB197=1,$DB$31,$DB$32)</f>
        <v>152394.16214437486</v>
      </c>
      <c r="DG197" s="13">
        <f>DE197-DF197</f>
        <v>102179.59727390765</v>
      </c>
      <c r="DH197" s="13">
        <f>DH196+DG197</f>
        <v>11648474.089225499</v>
      </c>
      <c r="DI197">
        <f>IF(DH197=MAX($DH$83:$DH$483),$A197,0)</f>
        <v>0</v>
      </c>
      <c r="DJ197">
        <f>IF(DE197&lt;DF197,$A197,B_MAX+1)</f>
        <v>401.0</v>
      </c>
      <c r="DK197" s="13">
        <f>IF(DB197=1,$DB$35,$DB$36)</f>
        <v>0</v>
      </c>
      <c r="DL197" s="13">
        <f>OCC_DAYS*$DB$41*R_NF_2023-DD197*MCD_SHARE_FREED*R_WAIT_2023</f>
        <v>37367.159242427646</v>
      </c>
      <c r="DM197">
        <f>IF($A197&lt;=$DB$45,1,0)</f>
        <v>1</v>
      </c>
      <c r="EB197">
        <f>IF($EB$31&lt;=$EB$32,IF($A197&lt;=$EB$7,1,2),IF($A197&lt;=RUNG_BEDS_2,2,1))</f>
        <v>1</v>
      </c>
      <c r="EC197" s="5">
        <f>MIN(1,MAX(0,$EB$26-($A197-1)))</f>
        <v>1</v>
      </c>
      <c r="ED197" s="5">
        <f>$EB$25*(EC197+(1-EC197)*$EB$16)</f>
        <v>252.05322714681438</v>
      </c>
      <c r="EE197" s="13">
        <f>ED197*($EB$6+ACUTE_MARGIN)</f>
        <v>254573.7594182825</v>
      </c>
      <c r="EF197" s="13">
        <f>IF(EB197=1,$EB$31,$EB$32)</f>
        <v>152394.16214437486</v>
      </c>
      <c r="EG197" s="13">
        <f>EE197-EF197</f>
        <v>102179.59727390765</v>
      </c>
      <c r="EH197" s="13">
        <f>EH196+EG197</f>
        <v>11648474.089225499</v>
      </c>
      <c r="EI197">
        <f>IF(EH197=MAX($EH$83:$EH$483),$A197,0)</f>
        <v>0</v>
      </c>
      <c r="EJ197">
        <f>IF(EE197&lt;EF197,$A197,B_MAX+1)</f>
        <v>401.0</v>
      </c>
      <c r="EK197" s="13">
        <f>IF(EB197=1,$EB$35,$EB$36)</f>
        <v>0</v>
      </c>
      <c r="EL197" s="13">
        <f>OCC_DAYS*$EB$41*R_NF_2023-ED197*MCD_SHARE_FREED*R_WAIT_2023</f>
        <v>-63953.16263896705</v>
      </c>
      <c r="EM197">
        <f>IF($A197&lt;=$EB$45,1,0)</f>
        <v>1</v>
      </c>
      <c r="FB197">
        <f>IF($FB$31&lt;=$FB$32,IF($A197&lt;=$FB$7,1,2),IF($A197&lt;=RUNG_BEDS_2,2,1))</f>
        <v>1</v>
      </c>
      <c r="FC197" s="5">
        <f>MIN(1,MAX(0,$FB$26-($A197-1)))</f>
        <v>1</v>
      </c>
      <c r="FD197" s="5">
        <f>$FB$25*(FC197+(1-FC197)*$FB$16)</f>
        <v>252.05322714681438</v>
      </c>
      <c r="FE197" s="13">
        <f>FD197*($FB$6+ACUTE_MARGIN)</f>
        <v>254573.7594182825</v>
      </c>
      <c r="FF197" s="13">
        <f>IF(FB197=1,$FB$31,$FB$32)</f>
        <v>156636.04979437485</v>
      </c>
      <c r="FG197" s="13">
        <f>FE197-FF197</f>
        <v>97937.70962390766</v>
      </c>
      <c r="FH197" s="13">
        <f>FH196+FG197</f>
        <v>11164898.897125449</v>
      </c>
      <c r="FI197">
        <f>IF(FH197=MAX($FH$83:$FH$483),$A197,0)</f>
        <v>0</v>
      </c>
      <c r="FJ197">
        <f>IF(FE197&lt;FF197,$A197,B_MAX+1)</f>
        <v>401.0</v>
      </c>
      <c r="FK197" s="13">
        <f>IF(FB197=1,$FB$35,$FB$36)</f>
        <v>0</v>
      </c>
      <c r="FL197" s="13">
        <f>OCC_DAYS*$FB$41*R_NF_2023-FD197*MCD_SHARE_FREED*R_WAIT_2023</f>
        <v>37367.159242427646</v>
      </c>
      <c r="FM197">
        <f>IF($A197&lt;=$FB$45,1,0)</f>
        <v>1</v>
      </c>
      <c r="GB197">
        <f>IF($GB$31&lt;=$GB$32,IF($A197&lt;=$GB$7,1,2),IF($A197&lt;=RUNG_BEDS_2,2,1))</f>
        <v>1</v>
      </c>
      <c r="GC197" s="5">
        <f>MIN(1,MAX(0,$GB$26-($A197-1)))</f>
        <v>1</v>
      </c>
      <c r="GD197" s="5">
        <f>$GB$25*(GC197+(1-GC197)*$GB$16)</f>
        <v>252.05322714681438</v>
      </c>
      <c r="GE197" s="13">
        <f>GD197*($GB$6+ACUTE_MARGIN)</f>
        <v>254573.7594182825</v>
      </c>
      <c r="GF197" s="13">
        <f>IF(GB197=1,$GB$31,$GB$32)</f>
        <v>152394.16214437486</v>
      </c>
      <c r="GG197" s="13">
        <f>GE197-GF197</f>
        <v>102179.59727390765</v>
      </c>
      <c r="GH197" s="13">
        <f>GH196+GG197</f>
        <v>11648474.089225499</v>
      </c>
      <c r="GI197">
        <f>IF(GH197=MAX($GH$83:$GH$483),$A197,0)</f>
        <v>0</v>
      </c>
      <c r="GJ197">
        <f>IF(GE197&lt;GF197,$A197,B_MAX+1)</f>
        <v>401.0</v>
      </c>
      <c r="GK197" s="13">
        <f>IF(GB197=1,$GB$35,$GB$36)</f>
        <v>0</v>
      </c>
      <c r="GL197" s="13">
        <f>OCC_DAYS*$GB$41*R_NF_2023-GD197*MCD_SHARE_FREED*R_WAIT_2023</f>
        <v>37367.159242427646</v>
      </c>
      <c r="GM197">
        <f>IF($A197&lt;=$GB$45,1,0)</f>
        <v>1</v>
      </c>
      <c r="HB197">
        <f>IF($HB$31&lt;=$HB$32,IF($A197&lt;=$HB$7,1,2),IF($A197&lt;=RUNG_BEDS_2,2,1))</f>
        <v>1</v>
      </c>
      <c r="HC197" s="5">
        <f>MIN(1,MAX(0,$HB$26-($A197-1)))</f>
        <v>1</v>
      </c>
      <c r="HD197" s="5">
        <f>$HB$25*(HC197+(1-HC197)*$HB$16)</f>
        <v>252.05322714681438</v>
      </c>
      <c r="HE197" s="13">
        <f>HD197*($HB$6+ACUTE_MARGIN)</f>
        <v>254573.7594182825</v>
      </c>
      <c r="HF197" s="13">
        <f>IF(HB197=1,$HB$31,$HB$32)</f>
        <v>152456.2970814058</v>
      </c>
      <c r="HG197" s="13">
        <f>HE197-HF197</f>
        <v>102117.46233687672</v>
      </c>
      <c r="HH197" s="13">
        <f>HH196+HG197</f>
        <v>11641390.706403958</v>
      </c>
      <c r="HI197">
        <f>IF(HH197=MAX($HH$83:$HH$483),$A197,0)</f>
        <v>0</v>
      </c>
      <c r="HJ197">
        <f>IF(HE197&lt;HF197,$A197,B_MAX+1)</f>
        <v>401.0</v>
      </c>
      <c r="HK197" s="13">
        <f>IF(HB197=1,$HB$35,$HB$36)</f>
        <v>0</v>
      </c>
      <c r="HL197" s="13">
        <f>OCC_DAYS*$HB$41*R_NF_2023-HD197*MCD_SHARE_FREED*R_WAIT_2023</f>
        <v>37367.159242427646</v>
      </c>
      <c r="HM197">
        <f>IF($A197&lt;=$HB$45,1,0)</f>
        <v>1</v>
      </c>
      <c r="IB197">
        <f>IF($IB$31&lt;=$IB$32,IF($A197&lt;=$IB$7,1,2),IF($A197&lt;=RUNG_BEDS_2,2,1))</f>
        <v>1</v>
      </c>
      <c r="IC197" s="5">
        <f>MIN(1,MAX(0,$IB$26-($A197-1)))</f>
        <v>1</v>
      </c>
      <c r="ID197" s="5">
        <f>$IB$25*(IC197+(1-IC197)*$IB$16)</f>
        <v>252.05322714681438</v>
      </c>
      <c r="IE197" s="13">
        <f>ID197*($IB$6+ACUTE_MARGIN)</f>
        <v>254573.7594182825</v>
      </c>
      <c r="IF197" s="13">
        <f>IF(IB197=1,$IB$31,$IB$32)</f>
        <v>152734.9994534971</v>
      </c>
      <c r="IG197" s="13">
        <f>IE197-IF197</f>
        <v>101838.75996478542</v>
      </c>
      <c r="IH197" s="13">
        <f>IH196+IG197</f>
        <v>11609618.63598552</v>
      </c>
      <c r="II197">
        <f>IF(IH197=MAX($IH$83:$IH$483),$A197,0)</f>
        <v>0</v>
      </c>
      <c r="IJ197">
        <f>IF(IE197&lt;IF197,$A197,B_MAX+1)</f>
        <v>401.0</v>
      </c>
      <c r="IK197" s="13">
        <f>IF(IB197=1,$IB$35,$IB$36)</f>
        <v>0</v>
      </c>
      <c r="IL197" s="13">
        <f>OCC_DAYS*$IB$41*R_NF_2023-ID197*MCD_SHARE_FREED*R_WAIT_2023</f>
        <v>37367.159242427646</v>
      </c>
      <c r="IM197">
        <f>IF($A197&lt;=$IB$45,1,0)</f>
        <v>1</v>
      </c>
      <c r="JB197">
        <f>IF($JB$31&lt;=$JB$32,IF($A197&lt;=$JB$7,1,2),IF($A197&lt;=RUNG_BEDS_2,2,1))</f>
        <v>1</v>
      </c>
      <c r="JC197" s="5">
        <f>MIN(1,MAX(0,$JB$26-($A197-1)))</f>
        <v>1</v>
      </c>
      <c r="JD197" s="5">
        <f>$JB$25*(JC197+(1-JC197)*$JB$16)</f>
        <v>252.05322714681438</v>
      </c>
      <c r="JE197" s="13">
        <f>JD197*($JB$6+ACUTE_MARGIN)</f>
        <v>254573.7594182825</v>
      </c>
      <c r="JF197" s="13">
        <f>IF(JB197=1,$JB$31,$JB$32)</f>
        <v>152394.16214437486</v>
      </c>
      <c r="JG197" s="13">
        <f>JE197-JF197</f>
        <v>102179.59727390765</v>
      </c>
      <c r="JH197" s="13">
        <f>JH196+JG197</f>
        <v>11648474.089225499</v>
      </c>
      <c r="JI197">
        <f>IF(JH197=MAX($JH$83:$JH$483),$A197,0)</f>
        <v>0</v>
      </c>
      <c r="JJ197">
        <f>IF(JE197&lt;JF197,$A197,B_MAX+1)</f>
        <v>401.0</v>
      </c>
      <c r="JK197" s="13">
        <f>IF(JB197=1,$JB$35,$JB$36)</f>
        <v>0</v>
      </c>
      <c r="JL197" s="13">
        <f>OCC_DAYS*$JB$41*R_NF_2023-JD197*MCD_SHARE_FREED*R_WAIT_2023</f>
        <v>37367.159242427646</v>
      </c>
      <c r="JM197">
        <f>IF($A197&lt;=$JB$45,1,0)</f>
        <v>1</v>
      </c>
      <c r="KB197">
        <f>IF($KB$31&lt;=$KB$32,IF($A197&lt;=$KB$7,1,2),IF($A197&lt;=RUNG_BEDS_2,2,1))</f>
        <v>1</v>
      </c>
      <c r="KC197" s="5">
        <f>MIN(1,MAX(0,$KB$26-($A197-1)))</f>
        <v>1</v>
      </c>
      <c r="KD197" s="5">
        <f>$KB$25*(KC197+(1-KC197)*$KB$16)</f>
        <v>126.02661357340719</v>
      </c>
      <c r="KE197" s="13">
        <f>KD197*($KB$6+ACUTE_MARGIN)</f>
        <v>127286.87970914126</v>
      </c>
      <c r="KF197" s="13">
        <f>IF(KB197=1,$KB$31,$KB$32)</f>
        <v>152394.16214437486</v>
      </c>
      <c r="KG197" s="13">
        <f>KE197-KF197</f>
        <v>-25107.282435233603</v>
      </c>
      <c r="KH197" s="13">
        <f>KH196+KG197</f>
        <v>-2862230.1976166377</v>
      </c>
      <c r="KI197">
        <f>IF(KH197=MAX($KH$83:$KH$483),$A197,0)</f>
        <v>0</v>
      </c>
      <c r="KJ197">
        <f>IF(KE197&lt;KF197,$A197,B_MAX+1)</f>
        <v>114</v>
      </c>
      <c r="KK197" s="13">
        <f>IF(KB197=1,$KB$35,$KB$36)</f>
        <v>0</v>
      </c>
      <c r="KL197" s="13">
        <f>OCC_DAYS*$KB$41*R_NF_2023-KD197*MCD_SHARE_FREED*R_WAIT_2023</f>
        <v>94673.82103225985</v>
      </c>
      <c r="KM197">
        <f>IF($A197&lt;=$KB$45,1,0)</f>
        <v>0</v>
      </c>
      <c r="LB197">
        <f>IF($LB$31&lt;=$LB$32,IF($A197&lt;=$LB$7,1,2),IF($A197&lt;=RUNG_BEDS_2,2,1))</f>
        <v>1</v>
      </c>
      <c r="LC197" s="5">
        <f>MIN(1,MAX(0,$LB$26-($A197-1)))</f>
        <v>1</v>
      </c>
      <c r="LD197" s="5">
        <f>$LB$25*(LC197+(1-LC197)*$LB$16)</f>
        <v>84.01774238227146</v>
      </c>
      <c r="LE197" s="13">
        <f>LD197*($LB$6+ACUTE_MARGIN)</f>
        <v>84857.91980609419</v>
      </c>
      <c r="LF197" s="13">
        <f>IF(LB197=1,$LB$31,$LB$32)</f>
        <v>152394.16214437486</v>
      </c>
      <c r="LG197" s="13">
        <f>LE197-LF197</f>
        <v>-67536.24233828067</v>
      </c>
      <c r="LH197" s="13">
        <f>LH196+LG197</f>
        <v>-7699131.626564019</v>
      </c>
      <c r="LI197">
        <f>IF(LH197=MAX($LH$83:$LH$483),$A197,0)</f>
        <v>0</v>
      </c>
      <c r="LJ197">
        <f>IF(LE197&lt;LF197,$A197,B_MAX+1)</f>
        <v>114</v>
      </c>
      <c r="LK197" s="13">
        <f>IF(LB197=1,$LB$35,$LB$36)</f>
        <v>0</v>
      </c>
      <c r="LL197" s="13">
        <f>OCC_DAYS*$LB$41*R_NF_2023-LD197*MCD_SHARE_FREED*R_WAIT_2023</f>
        <v>113776.04162887059</v>
      </c>
      <c r="LM197">
        <f>IF($A197&lt;=$LB$45,1,0)</f>
        <v>0</v>
      </c>
      <c r="MB197">
        <f>IF($MB$31&lt;=$MB$32,IF($A197&lt;=$MB$7,1,2),IF($A197&lt;=RUNG_BEDS_2,2,1))</f>
        <v>1</v>
      </c>
      <c r="MC197" s="5">
        <f>MIN(1,MAX(0,$MB$26-($A197-1)))</f>
        <v>1</v>
      </c>
      <c r="MD197" s="5">
        <f>$MB$25*(MC197+(1-MC197)*$MB$16)</f>
        <v>213.44610951008647</v>
      </c>
      <c r="ME197" s="13">
        <f>MD197*($MB$6+ACUTE_MARGIN)</f>
        <v>215580.57060518733</v>
      </c>
      <c r="MF197" s="13">
        <f>IF(MB197=1,$MB$31,$MB$32)</f>
        <v>152394.16214437486</v>
      </c>
      <c r="MG197" s="13">
        <f>ME197-MF197</f>
        <v>63186.40846081247</v>
      </c>
      <c r="MH197" s="13">
        <f>MH196+MG197</f>
        <v>7203250.564532634</v>
      </c>
      <c r="MI197">
        <f>IF(MH197=MAX($MH$83:$MH$483),$A197,0)</f>
        <v>0</v>
      </c>
      <c r="MJ197">
        <f>IF(ME197&lt;MF197,$A197,B_MAX+1)</f>
        <v>401.0</v>
      </c>
      <c r="MK197" s="13">
        <f>IF(MB197=1,$MB$35,$MB$36)</f>
        <v>0</v>
      </c>
      <c r="ML197" s="13">
        <f>OCC_DAYS*$MB$41*R_NF_2023-MD197*MCD_SHARE_FREED*R_WAIT_2023</f>
        <v>54922.538779778624</v>
      </c>
      <c r="MM197">
        <f>IF($A197&lt;=$MB$45,1,0)</f>
        <v>1</v>
      </c>
      <c r="NB197">
        <f>IF($NB$31&lt;=$NB$32,IF($A197&lt;=$NB$7,1,2),IF($A197&lt;=RUNG_BEDS_2,2,1))</f>
        <v>1</v>
      </c>
      <c r="NC197" s="5">
        <f>MIN(1,MAX(0,$NB$26-($A197-1)))</f>
        <v>1</v>
      </c>
      <c r="ND197" s="5">
        <f>$NB$25*(NC197+(1-NC197)*$NB$16)</f>
        <v>252.05322714681438</v>
      </c>
      <c r="NE197" s="13">
        <f>ND197*($NB$6+ACUTE_MARGIN)</f>
        <v>254573.7594182825</v>
      </c>
      <c r="NF197" s="13">
        <f>IF(NB197=1,$NB$31,$NB$32)</f>
        <v>152394.16214437486</v>
      </c>
      <c r="NG197" s="13">
        <f>NE197-NF197</f>
        <v>102179.59727390765</v>
      </c>
      <c r="NH197" s="13">
        <f>NH196+NG197</f>
        <v>11648474.089225499</v>
      </c>
      <c r="NI197">
        <f>IF(NH197=MAX($NH$83:$NH$483),$A197,0)</f>
        <v>0</v>
      </c>
      <c r="NJ197">
        <f>IF(NE197&lt;NF197,$A197,B_MAX+1)</f>
        <v>401.0</v>
      </c>
      <c r="NK197" s="13">
        <f>IF(NB197=1,$NB$35,$NB$36)</f>
        <v>0</v>
      </c>
      <c r="NL197" s="13">
        <f>OCC_DAYS*$NB$41*R_NF_2023-ND197*MCD_SHARE_FREED*R_WAIT_2023</f>
        <v>37367.159242427646</v>
      </c>
      <c r="NM197">
        <f>IF($A197&lt;=$NB$45,1,0)</f>
        <v>1</v>
      </c>
      <c r="OB197">
        <f>IF($OB$31&lt;=$OB$32,IF($A197&lt;=$OB$7,1,2),IF($A197&lt;=RUNG_BEDS_2,2,1))</f>
        <v>1</v>
      </c>
      <c r="OC197" s="5">
        <f>MIN(1,MAX(0,$OB$26-($A197-1)))</f>
        <v>1</v>
      </c>
      <c r="OD197" s="5">
        <f>$OB$25*(OC197+(1-OC197)*$OB$16)</f>
        <v>252.05322714681438</v>
      </c>
      <c r="OE197" s="13">
        <f>OD197*($OB$6+ACUTE_MARGIN)</f>
        <v>254573.7594182825</v>
      </c>
      <c r="OF197" s="13">
        <f>IF(OB197=1,$OB$31,$OB$32)</f>
        <v>152394.16214437486</v>
      </c>
      <c r="OG197" s="13">
        <f>OE197-OF197</f>
        <v>102179.59727390765</v>
      </c>
      <c r="OH197" s="13">
        <f>OH196+OG197</f>
        <v>11648474.089225499</v>
      </c>
      <c r="OI197">
        <f>IF(OH197=MAX($OH$83:$OH$483),$A197,0)</f>
        <v>0</v>
      </c>
      <c r="OJ197">
        <f>IF(OE197&lt;OF197,$A197,B_MAX+1)</f>
        <v>401.0</v>
      </c>
      <c r="OK197" s="13">
        <f>IF(OB197=1,$OB$35,$OB$36)</f>
        <v>0</v>
      </c>
      <c r="OL197" s="13">
        <f>OCC_DAYS*$OB$41*R_NF_2023-OD197*MCD_SHARE_FREED*R_WAIT_2023</f>
        <v>37367.159242427646</v>
      </c>
      <c r="OM197">
        <f>IF($A197&lt;=$OB$45,1,0)</f>
        <v>1</v>
      </c>
    </row>
    <row r="198">
      <c r="A198" t="n">
        <v>115</v>
      </c>
      <c r="B198">
        <f>IF($B$31&lt;=$B$32,IF($A198&lt;=$B$7,1,2),IF($A198&lt;=RUNG_BEDS_2,2,1))</f>
        <v>1</v>
      </c>
      <c r="C198" s="5">
        <f>MIN(1,MAX(0,$B$26-($A198-1)))</f>
        <v>1</v>
      </c>
      <c r="D198" s="5">
        <f>$B$25*(C198+(1-C198)*$B$16)</f>
        <v>252.05322714681438</v>
      </c>
      <c r="E198" s="13">
        <f>D198*($B$6+ACUTE_MARGIN)</f>
        <v>254573.7594182825</v>
      </c>
      <c r="F198" s="13">
        <f>IF(B198=1,$B$31,$B$32)</f>
        <v>152394.16214437486</v>
      </c>
      <c r="G198" s="13">
        <f>E198-F198</f>
        <v>102179.59727390765</v>
      </c>
      <c r="H198" s="13">
        <f>H197+G198</f>
        <v>11750653.686499408</v>
      </c>
      <c r="I198">
        <f>IF(H198=MAX($H$83:$H$483),$A198,0)</f>
        <v>0</v>
      </c>
      <c r="J198">
        <f>IF(E198&lt;F198,$A198,B_MAX+1)</f>
        <v>401.0</v>
      </c>
      <c r="K198" s="13">
        <f>IF(B198=1,$B$35,$B$36)</f>
        <v>0</v>
      </c>
      <c r="L198" s="13">
        <f>OCC_DAYS*$B$41*R_NF_2023-D198*MCD_SHARE_FREED*R_WAIT_2023</f>
        <v>37367.159242427646</v>
      </c>
      <c r="M198">
        <f>IF($A198&lt;=$B$45,1,0)</f>
        <v>1</v>
      </c>
      <c r="AB198">
        <f>IF($AB$31&lt;=$AB$32,IF($A198&lt;=$AB$7,1,2),IF($A198&lt;=RUNG_BEDS_2,2,1))</f>
        <v>1</v>
      </c>
      <c r="AC198" s="5">
        <f>MIN(1,MAX(0,$AB$26-($A198-1)))</f>
        <v>1</v>
      </c>
      <c r="AD198" s="5">
        <f>$AB$25*(AC198+(1-AC198)*$AB$16)</f>
        <v>252.05322714681438</v>
      </c>
      <c r="AE198" s="13">
        <f>AD198*($AB$6+ACUTE_MARGIN)</f>
        <v>138629.2749307479</v>
      </c>
      <c r="AF198" s="13">
        <f>IF(AB198=1,$AB$31,$AB$32)</f>
        <v>152394.16214437486</v>
      </c>
      <c r="AG198" s="13">
        <f>AE198-AF198</f>
        <v>-13764.887213626964</v>
      </c>
      <c r="AH198" s="13">
        <f>AH197+AG198</f>
        <v>-1582962.0295670992</v>
      </c>
      <c r="AI198">
        <f>IF(AH198=MAX($AH$83:$AH$483),$A198,0)</f>
        <v>0</v>
      </c>
      <c r="AJ198">
        <f>IF(AE198&lt;AF198,$A198,B_MAX+1)</f>
        <v>115</v>
      </c>
      <c r="AK198" s="13">
        <f>IF(AB198=1,$AB$35,$AB$36)</f>
        <v>0</v>
      </c>
      <c r="AL198" s="13">
        <f>OCC_DAYS*$AB$41*R_NF_2023-AD198*MCD_SHARE_FREED*R_WAIT_2023</f>
        <v>37367.159242427646</v>
      </c>
      <c r="AM198">
        <f>IF($A198&lt;=$AB$45,1,0)</f>
        <v>0</v>
      </c>
      <c r="BB198">
        <f>IF($BB$31&lt;=$BB$32,IF($A198&lt;=$BB$7,1,2),IF($A198&lt;=RUNG_BEDS_2,2,1))</f>
        <v>1</v>
      </c>
      <c r="BC198" s="5">
        <f>MIN(1,MAX(0,$BB$26-($A198-1)))</f>
        <v>1</v>
      </c>
      <c r="BD198" s="5">
        <f>$BB$25*(BC198+(1-BC198)*$BB$16)</f>
        <v>252.05322714681438</v>
      </c>
      <c r="BE198" s="13">
        <f>BD198*($BB$6+ACUTE_MARGIN)</f>
        <v>370518.24390581716</v>
      </c>
      <c r="BF198" s="13">
        <f>IF(BB198=1,$BB$31,$BB$32)</f>
        <v>152394.16214437486</v>
      </c>
      <c r="BG198" s="13">
        <f>BE198-BF198</f>
        <v>218124.0817614423</v>
      </c>
      <c r="BH198" s="13">
        <f>BH197+BG198</f>
        <v>25084269.402565848</v>
      </c>
      <c r="BI198">
        <f>IF(BH198=MAX($BH$83:$BH$483),$A198,0)</f>
        <v>0</v>
      </c>
      <c r="BJ198">
        <f>IF(BE198&lt;BF198,$A198,B_MAX+1)</f>
        <v>401.0</v>
      </c>
      <c r="BK198" s="13">
        <f>IF(BB198=1,$BB$35,$BB$36)</f>
        <v>0</v>
      </c>
      <c r="BL198" s="13">
        <f>OCC_DAYS*$BB$41*R_NF_2023-BD198*MCD_SHARE_FREED*R_WAIT_2023</f>
        <v>37367.159242427646</v>
      </c>
      <c r="BM198">
        <f>IF($A198&lt;=$BB$45,1,0)</f>
        <v>1</v>
      </c>
      <c r="CB198">
        <f>IF($CB$31&lt;=$CB$32,IF($A198&lt;=$CB$7,1,2),IF($A198&lt;=RUNG_BEDS_2,2,1))</f>
        <v>2</v>
      </c>
      <c r="CC198" s="5">
        <f>MIN(1,MAX(0,$CB$26-($A198-1)))</f>
        <v>1</v>
      </c>
      <c r="CD198" s="5">
        <f>$CB$25*(CC198+(1-CC198)*$CB$16)</f>
        <v>252.05322714681438</v>
      </c>
      <c r="CE198" s="13">
        <f>CD198*($CB$6+ACUTE_MARGIN)</f>
        <v>254573.7594182825</v>
      </c>
      <c r="CF198" s="13">
        <f>IF(CB198=1,$CB$31,$CB$32)</f>
        <v>160718.36940738867</v>
      </c>
      <c r="CG198" s="13">
        <f>CE198-CF198</f>
        <v>93855.39001089384</v>
      </c>
      <c r="CH198" s="13">
        <f>CH197+CG198</f>
        <v>10793369.851252798</v>
      </c>
      <c r="CI198">
        <f>IF(CH198=MAX($CH$83:$CH$483),$A198,0)</f>
        <v>0</v>
      </c>
      <c r="CJ198">
        <f>IF(CE198&lt;CF198,$A198,B_MAX+1)</f>
        <v>401.0</v>
      </c>
      <c r="CK198" s="13">
        <f>IF(CB198=1,$CB$35,$CB$36)</f>
        <v>1560.1194073886782</v>
      </c>
      <c r="CL198" s="13">
        <f>OCC_DAYS*$CB$41*R_NF_2023-CD198*MCD_SHARE_FREED*R_WAIT_2023</f>
        <v>37367.159242427646</v>
      </c>
      <c r="CM198">
        <f>IF($A198&lt;=$CB$45,1,0)</f>
        <v>1</v>
      </c>
      <c r="DB198">
        <f>IF($DB$31&lt;=$DB$32,IF($A198&lt;=$DB$7,1,2),IF($A198&lt;=RUNG_BEDS_2,2,1))</f>
        <v>1</v>
      </c>
      <c r="DC198" s="5">
        <f>MIN(1,MAX(0,$DB$26-($A198-1)))</f>
        <v>1</v>
      </c>
      <c r="DD198" s="5">
        <f>$DB$25*(DC198+(1-DC198)*$DB$16)</f>
        <v>252.05322714681438</v>
      </c>
      <c r="DE198" s="13">
        <f>DD198*($DB$6+ACUTE_MARGIN)</f>
        <v>254573.7594182825</v>
      </c>
      <c r="DF198" s="13">
        <f>IF(DB198=1,$DB$31,$DB$32)</f>
        <v>152394.16214437486</v>
      </c>
      <c r="DG198" s="13">
        <f>DE198-DF198</f>
        <v>102179.59727390765</v>
      </c>
      <c r="DH198" s="13">
        <f>DH197+DG198</f>
        <v>11750653.686499408</v>
      </c>
      <c r="DI198">
        <f>IF(DH198=MAX($DH$83:$DH$483),$A198,0)</f>
        <v>0</v>
      </c>
      <c r="DJ198">
        <f>IF(DE198&lt;DF198,$A198,B_MAX+1)</f>
        <v>401.0</v>
      </c>
      <c r="DK198" s="13">
        <f>IF(DB198=1,$DB$35,$DB$36)</f>
        <v>0</v>
      </c>
      <c r="DL198" s="13">
        <f>OCC_DAYS*$DB$41*R_NF_2023-DD198*MCD_SHARE_FREED*R_WAIT_2023</f>
        <v>37367.159242427646</v>
      </c>
      <c r="DM198">
        <f>IF($A198&lt;=$DB$45,1,0)</f>
        <v>1</v>
      </c>
      <c r="EB198">
        <f>IF($EB$31&lt;=$EB$32,IF($A198&lt;=$EB$7,1,2),IF($A198&lt;=RUNG_BEDS_2,2,1))</f>
        <v>1</v>
      </c>
      <c r="EC198" s="5">
        <f>MIN(1,MAX(0,$EB$26-($A198-1)))</f>
        <v>1</v>
      </c>
      <c r="ED198" s="5">
        <f>$EB$25*(EC198+(1-EC198)*$EB$16)</f>
        <v>252.05322714681438</v>
      </c>
      <c r="EE198" s="13">
        <f>ED198*($EB$6+ACUTE_MARGIN)</f>
        <v>254573.7594182825</v>
      </c>
      <c r="EF198" s="13">
        <f>IF(EB198=1,$EB$31,$EB$32)</f>
        <v>152394.16214437486</v>
      </c>
      <c r="EG198" s="13">
        <f>EE198-EF198</f>
        <v>102179.59727390765</v>
      </c>
      <c r="EH198" s="13">
        <f>EH197+EG198</f>
        <v>11750653.686499408</v>
      </c>
      <c r="EI198">
        <f>IF(EH198=MAX($EH$83:$EH$483),$A198,0)</f>
        <v>0</v>
      </c>
      <c r="EJ198">
        <f>IF(EE198&lt;EF198,$A198,B_MAX+1)</f>
        <v>401.0</v>
      </c>
      <c r="EK198" s="13">
        <f>IF(EB198=1,$EB$35,$EB$36)</f>
        <v>0</v>
      </c>
      <c r="EL198" s="13">
        <f>OCC_DAYS*$EB$41*R_NF_2023-ED198*MCD_SHARE_FREED*R_WAIT_2023</f>
        <v>-63953.16263896705</v>
      </c>
      <c r="EM198">
        <f>IF($A198&lt;=$EB$45,1,0)</f>
        <v>1</v>
      </c>
      <c r="FB198">
        <f>IF($FB$31&lt;=$FB$32,IF($A198&lt;=$FB$7,1,2),IF($A198&lt;=RUNG_BEDS_2,2,1))</f>
        <v>1</v>
      </c>
      <c r="FC198" s="5">
        <f>MIN(1,MAX(0,$FB$26-($A198-1)))</f>
        <v>1</v>
      </c>
      <c r="FD198" s="5">
        <f>$FB$25*(FC198+(1-FC198)*$FB$16)</f>
        <v>252.05322714681438</v>
      </c>
      <c r="FE198" s="13">
        <f>FD198*($FB$6+ACUTE_MARGIN)</f>
        <v>254573.7594182825</v>
      </c>
      <c r="FF198" s="13">
        <f>IF(FB198=1,$FB$31,$FB$32)</f>
        <v>156636.04979437485</v>
      </c>
      <c r="FG198" s="13">
        <f>FE198-FF198</f>
        <v>97937.70962390766</v>
      </c>
      <c r="FH198" s="13">
        <f>FH197+FG198</f>
        <v>11262836.606749356</v>
      </c>
      <c r="FI198">
        <f>IF(FH198=MAX($FH$83:$FH$483),$A198,0)</f>
        <v>0</v>
      </c>
      <c r="FJ198">
        <f>IF(FE198&lt;FF198,$A198,B_MAX+1)</f>
        <v>401.0</v>
      </c>
      <c r="FK198" s="13">
        <f>IF(FB198=1,$FB$35,$FB$36)</f>
        <v>0</v>
      </c>
      <c r="FL198" s="13">
        <f>OCC_DAYS*$FB$41*R_NF_2023-FD198*MCD_SHARE_FREED*R_WAIT_2023</f>
        <v>37367.159242427646</v>
      </c>
      <c r="FM198">
        <f>IF($A198&lt;=$FB$45,1,0)</f>
        <v>1</v>
      </c>
      <c r="GB198">
        <f>IF($GB$31&lt;=$GB$32,IF($A198&lt;=$GB$7,1,2),IF($A198&lt;=RUNG_BEDS_2,2,1))</f>
        <v>1</v>
      </c>
      <c r="GC198" s="5">
        <f>MIN(1,MAX(0,$GB$26-($A198-1)))</f>
        <v>1</v>
      </c>
      <c r="GD198" s="5">
        <f>$GB$25*(GC198+(1-GC198)*$GB$16)</f>
        <v>252.05322714681438</v>
      </c>
      <c r="GE198" s="13">
        <f>GD198*($GB$6+ACUTE_MARGIN)</f>
        <v>254573.7594182825</v>
      </c>
      <c r="GF198" s="13">
        <f>IF(GB198=1,$GB$31,$GB$32)</f>
        <v>152394.16214437486</v>
      </c>
      <c r="GG198" s="13">
        <f>GE198-GF198</f>
        <v>102179.59727390765</v>
      </c>
      <c r="GH198" s="13">
        <f>GH197+GG198</f>
        <v>11750653.686499408</v>
      </c>
      <c r="GI198">
        <f>IF(GH198=MAX($GH$83:$GH$483),$A198,0)</f>
        <v>0</v>
      </c>
      <c r="GJ198">
        <f>IF(GE198&lt;GF198,$A198,B_MAX+1)</f>
        <v>401.0</v>
      </c>
      <c r="GK198" s="13">
        <f>IF(GB198=1,$GB$35,$GB$36)</f>
        <v>0</v>
      </c>
      <c r="GL198" s="13">
        <f>OCC_DAYS*$GB$41*R_NF_2023-GD198*MCD_SHARE_FREED*R_WAIT_2023</f>
        <v>37367.159242427646</v>
      </c>
      <c r="GM198">
        <f>IF($A198&lt;=$GB$45,1,0)</f>
        <v>1</v>
      </c>
      <c r="HB198">
        <f>IF($HB$31&lt;=$HB$32,IF($A198&lt;=$HB$7,1,2),IF($A198&lt;=RUNG_BEDS_2,2,1))</f>
        <v>1</v>
      </c>
      <c r="HC198" s="5">
        <f>MIN(1,MAX(0,$HB$26-($A198-1)))</f>
        <v>1</v>
      </c>
      <c r="HD198" s="5">
        <f>$HB$25*(HC198+(1-HC198)*$HB$16)</f>
        <v>252.05322714681438</v>
      </c>
      <c r="HE198" s="13">
        <f>HD198*($HB$6+ACUTE_MARGIN)</f>
        <v>254573.7594182825</v>
      </c>
      <c r="HF198" s="13">
        <f>IF(HB198=1,$HB$31,$HB$32)</f>
        <v>152456.2970814058</v>
      </c>
      <c r="HG198" s="13">
        <f>HE198-HF198</f>
        <v>102117.46233687672</v>
      </c>
      <c r="HH198" s="13">
        <f>HH197+HG198</f>
        <v>11743508.168740835</v>
      </c>
      <c r="HI198">
        <f>IF(HH198=MAX($HH$83:$HH$483),$A198,0)</f>
        <v>0</v>
      </c>
      <c r="HJ198">
        <f>IF(HE198&lt;HF198,$A198,B_MAX+1)</f>
        <v>401.0</v>
      </c>
      <c r="HK198" s="13">
        <f>IF(HB198=1,$HB$35,$HB$36)</f>
        <v>0</v>
      </c>
      <c r="HL198" s="13">
        <f>OCC_DAYS*$HB$41*R_NF_2023-HD198*MCD_SHARE_FREED*R_WAIT_2023</f>
        <v>37367.159242427646</v>
      </c>
      <c r="HM198">
        <f>IF($A198&lt;=$HB$45,1,0)</f>
        <v>1</v>
      </c>
      <c r="IB198">
        <f>IF($IB$31&lt;=$IB$32,IF($A198&lt;=$IB$7,1,2),IF($A198&lt;=RUNG_BEDS_2,2,1))</f>
        <v>1</v>
      </c>
      <c r="IC198" s="5">
        <f>MIN(1,MAX(0,$IB$26-($A198-1)))</f>
        <v>1</v>
      </c>
      <c r="ID198" s="5">
        <f>$IB$25*(IC198+(1-IC198)*$IB$16)</f>
        <v>252.05322714681438</v>
      </c>
      <c r="IE198" s="13">
        <f>ID198*($IB$6+ACUTE_MARGIN)</f>
        <v>254573.7594182825</v>
      </c>
      <c r="IF198" s="13">
        <f>IF(IB198=1,$IB$31,$IB$32)</f>
        <v>152734.9994534971</v>
      </c>
      <c r="IG198" s="13">
        <f>IE198-IF198</f>
        <v>101838.75996478542</v>
      </c>
      <c r="IH198" s="13">
        <f>IH197+IG198</f>
        <v>11711457.395950304</v>
      </c>
      <c r="II198">
        <f>IF(IH198=MAX($IH$83:$IH$483),$A198,0)</f>
        <v>0</v>
      </c>
      <c r="IJ198">
        <f>IF(IE198&lt;IF198,$A198,B_MAX+1)</f>
        <v>401.0</v>
      </c>
      <c r="IK198" s="13">
        <f>IF(IB198=1,$IB$35,$IB$36)</f>
        <v>0</v>
      </c>
      <c r="IL198" s="13">
        <f>OCC_DAYS*$IB$41*R_NF_2023-ID198*MCD_SHARE_FREED*R_WAIT_2023</f>
        <v>37367.159242427646</v>
      </c>
      <c r="IM198">
        <f>IF($A198&lt;=$IB$45,1,0)</f>
        <v>1</v>
      </c>
      <c r="JB198">
        <f>IF($JB$31&lt;=$JB$32,IF($A198&lt;=$JB$7,1,2),IF($A198&lt;=RUNG_BEDS_2,2,1))</f>
        <v>1</v>
      </c>
      <c r="JC198" s="5">
        <f>MIN(1,MAX(0,$JB$26-($A198-1)))</f>
        <v>1</v>
      </c>
      <c r="JD198" s="5">
        <f>$JB$25*(JC198+(1-JC198)*$JB$16)</f>
        <v>252.05322714681438</v>
      </c>
      <c r="JE198" s="13">
        <f>JD198*($JB$6+ACUTE_MARGIN)</f>
        <v>254573.7594182825</v>
      </c>
      <c r="JF198" s="13">
        <f>IF(JB198=1,$JB$31,$JB$32)</f>
        <v>152394.16214437486</v>
      </c>
      <c r="JG198" s="13">
        <f>JE198-JF198</f>
        <v>102179.59727390765</v>
      </c>
      <c r="JH198" s="13">
        <f>JH197+JG198</f>
        <v>11750653.686499408</v>
      </c>
      <c r="JI198">
        <f>IF(JH198=MAX($JH$83:$JH$483),$A198,0)</f>
        <v>0</v>
      </c>
      <c r="JJ198">
        <f>IF(JE198&lt;JF198,$A198,B_MAX+1)</f>
        <v>401.0</v>
      </c>
      <c r="JK198" s="13">
        <f>IF(JB198=1,$JB$35,$JB$36)</f>
        <v>0</v>
      </c>
      <c r="JL198" s="13">
        <f>OCC_DAYS*$JB$41*R_NF_2023-JD198*MCD_SHARE_FREED*R_WAIT_2023</f>
        <v>37367.159242427646</v>
      </c>
      <c r="JM198">
        <f>IF($A198&lt;=$JB$45,1,0)</f>
        <v>1</v>
      </c>
      <c r="KB198">
        <f>IF($KB$31&lt;=$KB$32,IF($A198&lt;=$KB$7,1,2),IF($A198&lt;=RUNG_BEDS_2,2,1))</f>
        <v>1</v>
      </c>
      <c r="KC198" s="5">
        <f>MIN(1,MAX(0,$KB$26-($A198-1)))</f>
        <v>1</v>
      </c>
      <c r="KD198" s="5">
        <f>$KB$25*(KC198+(1-KC198)*$KB$16)</f>
        <v>126.02661357340719</v>
      </c>
      <c r="KE198" s="13">
        <f>KD198*($KB$6+ACUTE_MARGIN)</f>
        <v>127286.87970914126</v>
      </c>
      <c r="KF198" s="13">
        <f>IF(KB198=1,$KB$31,$KB$32)</f>
        <v>152394.16214437486</v>
      </c>
      <c r="KG198" s="13">
        <f>KE198-KF198</f>
        <v>-25107.282435233603</v>
      </c>
      <c r="KH198" s="13">
        <f>KH197+KG198</f>
        <v>-2887337.4800518714</v>
      </c>
      <c r="KI198">
        <f>IF(KH198=MAX($KH$83:$KH$483),$A198,0)</f>
        <v>0</v>
      </c>
      <c r="KJ198">
        <f>IF(KE198&lt;KF198,$A198,B_MAX+1)</f>
        <v>115</v>
      </c>
      <c r="KK198" s="13">
        <f>IF(KB198=1,$KB$35,$KB$36)</f>
        <v>0</v>
      </c>
      <c r="KL198" s="13">
        <f>OCC_DAYS*$KB$41*R_NF_2023-KD198*MCD_SHARE_FREED*R_WAIT_2023</f>
        <v>94673.82103225985</v>
      </c>
      <c r="KM198">
        <f>IF($A198&lt;=$KB$45,1,0)</f>
        <v>0</v>
      </c>
      <c r="LB198">
        <f>IF($LB$31&lt;=$LB$32,IF($A198&lt;=$LB$7,1,2),IF($A198&lt;=RUNG_BEDS_2,2,1))</f>
        <v>1</v>
      </c>
      <c r="LC198" s="5">
        <f>MIN(1,MAX(0,$LB$26-($A198-1)))</f>
        <v>1</v>
      </c>
      <c r="LD198" s="5">
        <f>$LB$25*(LC198+(1-LC198)*$LB$16)</f>
        <v>84.01774238227146</v>
      </c>
      <c r="LE198" s="13">
        <f>LD198*($LB$6+ACUTE_MARGIN)</f>
        <v>84857.91980609419</v>
      </c>
      <c r="LF198" s="13">
        <f>IF(LB198=1,$LB$31,$LB$32)</f>
        <v>152394.16214437486</v>
      </c>
      <c r="LG198" s="13">
        <f>LE198-LF198</f>
        <v>-67536.24233828067</v>
      </c>
      <c r="LH198" s="13">
        <f>LH197+LG198</f>
        <v>-7766667.8689023005</v>
      </c>
      <c r="LI198">
        <f>IF(LH198=MAX($LH$83:$LH$483),$A198,0)</f>
        <v>0</v>
      </c>
      <c r="LJ198">
        <f>IF(LE198&lt;LF198,$A198,B_MAX+1)</f>
        <v>115</v>
      </c>
      <c r="LK198" s="13">
        <f>IF(LB198=1,$LB$35,$LB$36)</f>
        <v>0</v>
      </c>
      <c r="LL198" s="13">
        <f>OCC_DAYS*$LB$41*R_NF_2023-LD198*MCD_SHARE_FREED*R_WAIT_2023</f>
        <v>113776.04162887059</v>
      </c>
      <c r="LM198">
        <f>IF($A198&lt;=$LB$45,1,0)</f>
        <v>0</v>
      </c>
      <c r="MB198">
        <f>IF($MB$31&lt;=$MB$32,IF($A198&lt;=$MB$7,1,2),IF($A198&lt;=RUNG_BEDS_2,2,1))</f>
        <v>1</v>
      </c>
      <c r="MC198" s="5">
        <f>MIN(1,MAX(0,$MB$26-($A198-1)))</f>
        <v>1</v>
      </c>
      <c r="MD198" s="5">
        <f>$MB$25*(MC198+(1-MC198)*$MB$16)</f>
        <v>213.44610951008647</v>
      </c>
      <c r="ME198" s="13">
        <f>MD198*($MB$6+ACUTE_MARGIN)</f>
        <v>215580.57060518733</v>
      </c>
      <c r="MF198" s="13">
        <f>IF(MB198=1,$MB$31,$MB$32)</f>
        <v>152394.16214437486</v>
      </c>
      <c r="MG198" s="13">
        <f>ME198-MF198</f>
        <v>63186.40846081247</v>
      </c>
      <c r="MH198" s="13">
        <f>MH197+MG198</f>
        <v>7266436.9729934465</v>
      </c>
      <c r="MI198">
        <f>IF(MH198=MAX($MH$83:$MH$483),$A198,0)</f>
        <v>0</v>
      </c>
      <c r="MJ198">
        <f>IF(ME198&lt;MF198,$A198,B_MAX+1)</f>
        <v>401.0</v>
      </c>
      <c r="MK198" s="13">
        <f>IF(MB198=1,$MB$35,$MB$36)</f>
        <v>0</v>
      </c>
      <c r="ML198" s="13">
        <f>OCC_DAYS*$MB$41*R_NF_2023-MD198*MCD_SHARE_FREED*R_WAIT_2023</f>
        <v>54922.538779778624</v>
      </c>
      <c r="MM198">
        <f>IF($A198&lt;=$MB$45,1,0)</f>
        <v>1</v>
      </c>
      <c r="NB198">
        <f>IF($NB$31&lt;=$NB$32,IF($A198&lt;=$NB$7,1,2),IF($A198&lt;=RUNG_BEDS_2,2,1))</f>
        <v>1</v>
      </c>
      <c r="NC198" s="5">
        <f>MIN(1,MAX(0,$NB$26-($A198-1)))</f>
        <v>1</v>
      </c>
      <c r="ND198" s="5">
        <f>$NB$25*(NC198+(1-NC198)*$NB$16)</f>
        <v>252.05322714681438</v>
      </c>
      <c r="NE198" s="13">
        <f>ND198*($NB$6+ACUTE_MARGIN)</f>
        <v>254573.7594182825</v>
      </c>
      <c r="NF198" s="13">
        <f>IF(NB198=1,$NB$31,$NB$32)</f>
        <v>152394.16214437486</v>
      </c>
      <c r="NG198" s="13">
        <f>NE198-NF198</f>
        <v>102179.59727390765</v>
      </c>
      <c r="NH198" s="13">
        <f>NH197+NG198</f>
        <v>11750653.686499408</v>
      </c>
      <c r="NI198">
        <f>IF(NH198=MAX($NH$83:$NH$483),$A198,0)</f>
        <v>0</v>
      </c>
      <c r="NJ198">
        <f>IF(NE198&lt;NF198,$A198,B_MAX+1)</f>
        <v>401.0</v>
      </c>
      <c r="NK198" s="13">
        <f>IF(NB198=1,$NB$35,$NB$36)</f>
        <v>0</v>
      </c>
      <c r="NL198" s="13">
        <f>OCC_DAYS*$NB$41*R_NF_2023-ND198*MCD_SHARE_FREED*R_WAIT_2023</f>
        <v>37367.159242427646</v>
      </c>
      <c r="NM198">
        <f>IF($A198&lt;=$NB$45,1,0)</f>
        <v>1</v>
      </c>
      <c r="OB198">
        <f>IF($OB$31&lt;=$OB$32,IF($A198&lt;=$OB$7,1,2),IF($A198&lt;=RUNG_BEDS_2,2,1))</f>
        <v>1</v>
      </c>
      <c r="OC198" s="5">
        <f>MIN(1,MAX(0,$OB$26-($A198-1)))</f>
        <v>1</v>
      </c>
      <c r="OD198" s="5">
        <f>$OB$25*(OC198+(1-OC198)*$OB$16)</f>
        <v>252.05322714681438</v>
      </c>
      <c r="OE198" s="13">
        <f>OD198*($OB$6+ACUTE_MARGIN)</f>
        <v>254573.7594182825</v>
      </c>
      <c r="OF198" s="13">
        <f>IF(OB198=1,$OB$31,$OB$32)</f>
        <v>152394.16214437486</v>
      </c>
      <c r="OG198" s="13">
        <f>OE198-OF198</f>
        <v>102179.59727390765</v>
      </c>
      <c r="OH198" s="13">
        <f>OH197+OG198</f>
        <v>11750653.686499408</v>
      </c>
      <c r="OI198">
        <f>IF(OH198=MAX($OH$83:$OH$483),$A198,0)</f>
        <v>0</v>
      </c>
      <c r="OJ198">
        <f>IF(OE198&lt;OF198,$A198,B_MAX+1)</f>
        <v>401.0</v>
      </c>
      <c r="OK198" s="13">
        <f>IF(OB198=1,$OB$35,$OB$36)</f>
        <v>0</v>
      </c>
      <c r="OL198" s="13">
        <f>OCC_DAYS*$OB$41*R_NF_2023-OD198*MCD_SHARE_FREED*R_WAIT_2023</f>
        <v>37367.159242427646</v>
      </c>
      <c r="OM198">
        <f>IF($A198&lt;=$OB$45,1,0)</f>
        <v>1</v>
      </c>
    </row>
    <row r="199">
      <c r="A199" t="n">
        <v>116</v>
      </c>
      <c r="B199">
        <f>IF($B$31&lt;=$B$32,IF($A199&lt;=$B$7,1,2),IF($A199&lt;=RUNG_BEDS_2,2,1))</f>
        <v>1</v>
      </c>
      <c r="C199" s="5">
        <f>MIN(1,MAX(0,$B$26-($A199-1)))</f>
        <v>1</v>
      </c>
      <c r="D199" s="5">
        <f>$B$25*(C199+(1-C199)*$B$16)</f>
        <v>252.05322714681438</v>
      </c>
      <c r="E199" s="13">
        <f>D199*($B$6+ACUTE_MARGIN)</f>
        <v>254573.7594182825</v>
      </c>
      <c r="F199" s="13">
        <f>IF(B199=1,$B$31,$B$32)</f>
        <v>152394.16214437486</v>
      </c>
      <c r="G199" s="13">
        <f>E199-F199</f>
        <v>102179.59727390765</v>
      </c>
      <c r="H199" s="13">
        <f>H198+G199</f>
        <v>11852833.283773316</v>
      </c>
      <c r="I199">
        <f>IF(H199=MAX($H$83:$H$483),$A199,0)</f>
        <v>0</v>
      </c>
      <c r="J199">
        <f>IF(E199&lt;F199,$A199,B_MAX+1)</f>
        <v>401.0</v>
      </c>
      <c r="K199" s="13">
        <f>IF(B199=1,$B$35,$B$36)</f>
        <v>0</v>
      </c>
      <c r="L199" s="13">
        <f>OCC_DAYS*$B$41*R_NF_2023-D199*MCD_SHARE_FREED*R_WAIT_2023</f>
        <v>37367.159242427646</v>
      </c>
      <c r="M199">
        <f>IF($A199&lt;=$B$45,1,0)</f>
        <v>1</v>
      </c>
      <c r="AB199">
        <f>IF($AB$31&lt;=$AB$32,IF($A199&lt;=$AB$7,1,2),IF($A199&lt;=RUNG_BEDS_2,2,1))</f>
        <v>1</v>
      </c>
      <c r="AC199" s="5">
        <f>MIN(1,MAX(0,$AB$26-($A199-1)))</f>
        <v>1</v>
      </c>
      <c r="AD199" s="5">
        <f>$AB$25*(AC199+(1-AC199)*$AB$16)</f>
        <v>252.05322714681438</v>
      </c>
      <c r="AE199" s="13">
        <f>AD199*($AB$6+ACUTE_MARGIN)</f>
        <v>138629.2749307479</v>
      </c>
      <c r="AF199" s="13">
        <f>IF(AB199=1,$AB$31,$AB$32)</f>
        <v>152394.16214437486</v>
      </c>
      <c r="AG199" s="13">
        <f>AE199-AF199</f>
        <v>-13764.887213626964</v>
      </c>
      <c r="AH199" s="13">
        <f>AH198+AG199</f>
        <v>-1596726.916780726</v>
      </c>
      <c r="AI199">
        <f>IF(AH199=MAX($AH$83:$AH$483),$A199,0)</f>
        <v>0</v>
      </c>
      <c r="AJ199">
        <f>IF(AE199&lt;AF199,$A199,B_MAX+1)</f>
        <v>116</v>
      </c>
      <c r="AK199" s="13">
        <f>IF(AB199=1,$AB$35,$AB$36)</f>
        <v>0</v>
      </c>
      <c r="AL199" s="13">
        <f>OCC_DAYS*$AB$41*R_NF_2023-AD199*MCD_SHARE_FREED*R_WAIT_2023</f>
        <v>37367.159242427646</v>
      </c>
      <c r="AM199">
        <f>IF($A199&lt;=$AB$45,1,0)</f>
        <v>0</v>
      </c>
      <c r="BB199">
        <f>IF($BB$31&lt;=$BB$32,IF($A199&lt;=$BB$7,1,2),IF($A199&lt;=RUNG_BEDS_2,2,1))</f>
        <v>1</v>
      </c>
      <c r="BC199" s="5">
        <f>MIN(1,MAX(0,$BB$26-($A199-1)))</f>
        <v>1</v>
      </c>
      <c r="BD199" s="5">
        <f>$BB$25*(BC199+(1-BC199)*$BB$16)</f>
        <v>252.05322714681438</v>
      </c>
      <c r="BE199" s="13">
        <f>BD199*($BB$6+ACUTE_MARGIN)</f>
        <v>370518.24390581716</v>
      </c>
      <c r="BF199" s="13">
        <f>IF(BB199=1,$BB$31,$BB$32)</f>
        <v>152394.16214437486</v>
      </c>
      <c r="BG199" s="13">
        <f>BE199-BF199</f>
        <v>218124.0817614423</v>
      </c>
      <c r="BH199" s="13">
        <f>BH198+BG199</f>
        <v>25302393.48432729</v>
      </c>
      <c r="BI199">
        <f>IF(BH199=MAX($BH$83:$BH$483),$A199,0)</f>
        <v>0</v>
      </c>
      <c r="BJ199">
        <f>IF(BE199&lt;BF199,$A199,B_MAX+1)</f>
        <v>401.0</v>
      </c>
      <c r="BK199" s="13">
        <f>IF(BB199=1,$BB$35,$BB$36)</f>
        <v>0</v>
      </c>
      <c r="BL199" s="13">
        <f>OCC_DAYS*$BB$41*R_NF_2023-BD199*MCD_SHARE_FREED*R_WAIT_2023</f>
        <v>37367.159242427646</v>
      </c>
      <c r="BM199">
        <f>IF($A199&lt;=$BB$45,1,0)</f>
        <v>1</v>
      </c>
      <c r="CB199">
        <f>IF($CB$31&lt;=$CB$32,IF($A199&lt;=$CB$7,1,2),IF($A199&lt;=RUNG_BEDS_2,2,1))</f>
        <v>2</v>
      </c>
      <c r="CC199" s="5">
        <f>MIN(1,MAX(0,$CB$26-($A199-1)))</f>
        <v>1</v>
      </c>
      <c r="CD199" s="5">
        <f>$CB$25*(CC199+(1-CC199)*$CB$16)</f>
        <v>252.05322714681438</v>
      </c>
      <c r="CE199" s="13">
        <f>CD199*($CB$6+ACUTE_MARGIN)</f>
        <v>254573.7594182825</v>
      </c>
      <c r="CF199" s="13">
        <f>IF(CB199=1,$CB$31,$CB$32)</f>
        <v>160718.36940738867</v>
      </c>
      <c r="CG199" s="13">
        <f>CE199-CF199</f>
        <v>93855.39001089384</v>
      </c>
      <c r="CH199" s="13">
        <f>CH198+CG199</f>
        <v>10887225.241263691</v>
      </c>
      <c r="CI199">
        <f>IF(CH199=MAX($CH$83:$CH$483),$A199,0)</f>
        <v>0</v>
      </c>
      <c r="CJ199">
        <f>IF(CE199&lt;CF199,$A199,B_MAX+1)</f>
        <v>401.0</v>
      </c>
      <c r="CK199" s="13">
        <f>IF(CB199=1,$CB$35,$CB$36)</f>
        <v>1560.1194073886782</v>
      </c>
      <c r="CL199" s="13">
        <f>OCC_DAYS*$CB$41*R_NF_2023-CD199*MCD_SHARE_FREED*R_WAIT_2023</f>
        <v>37367.159242427646</v>
      </c>
      <c r="CM199">
        <f>IF($A199&lt;=$CB$45,1,0)</f>
        <v>1</v>
      </c>
      <c r="DB199">
        <f>IF($DB$31&lt;=$DB$32,IF($A199&lt;=$DB$7,1,2),IF($A199&lt;=RUNG_BEDS_2,2,1))</f>
        <v>1</v>
      </c>
      <c r="DC199" s="5">
        <f>MIN(1,MAX(0,$DB$26-($A199-1)))</f>
        <v>1</v>
      </c>
      <c r="DD199" s="5">
        <f>$DB$25*(DC199+(1-DC199)*$DB$16)</f>
        <v>252.05322714681438</v>
      </c>
      <c r="DE199" s="13">
        <f>DD199*($DB$6+ACUTE_MARGIN)</f>
        <v>254573.7594182825</v>
      </c>
      <c r="DF199" s="13">
        <f>IF(DB199=1,$DB$31,$DB$32)</f>
        <v>152394.16214437486</v>
      </c>
      <c r="DG199" s="13">
        <f>DE199-DF199</f>
        <v>102179.59727390765</v>
      </c>
      <c r="DH199" s="13">
        <f>DH198+DG199</f>
        <v>11852833.283773316</v>
      </c>
      <c r="DI199">
        <f>IF(DH199=MAX($DH$83:$DH$483),$A199,0)</f>
        <v>0</v>
      </c>
      <c r="DJ199">
        <f>IF(DE199&lt;DF199,$A199,B_MAX+1)</f>
        <v>401.0</v>
      </c>
      <c r="DK199" s="13">
        <f>IF(DB199=1,$DB$35,$DB$36)</f>
        <v>0</v>
      </c>
      <c r="DL199" s="13">
        <f>OCC_DAYS*$DB$41*R_NF_2023-DD199*MCD_SHARE_FREED*R_WAIT_2023</f>
        <v>37367.159242427646</v>
      </c>
      <c r="DM199">
        <f>IF($A199&lt;=$DB$45,1,0)</f>
        <v>1</v>
      </c>
      <c r="EB199">
        <f>IF($EB$31&lt;=$EB$32,IF($A199&lt;=$EB$7,1,2),IF($A199&lt;=RUNG_BEDS_2,2,1))</f>
        <v>1</v>
      </c>
      <c r="EC199" s="5">
        <f>MIN(1,MAX(0,$EB$26-($A199-1)))</f>
        <v>1</v>
      </c>
      <c r="ED199" s="5">
        <f>$EB$25*(EC199+(1-EC199)*$EB$16)</f>
        <v>252.05322714681438</v>
      </c>
      <c r="EE199" s="13">
        <f>ED199*($EB$6+ACUTE_MARGIN)</f>
        <v>254573.7594182825</v>
      </c>
      <c r="EF199" s="13">
        <f>IF(EB199=1,$EB$31,$EB$32)</f>
        <v>152394.16214437486</v>
      </c>
      <c r="EG199" s="13">
        <f>EE199-EF199</f>
        <v>102179.59727390765</v>
      </c>
      <c r="EH199" s="13">
        <f>EH198+EG199</f>
        <v>11852833.283773316</v>
      </c>
      <c r="EI199">
        <f>IF(EH199=MAX($EH$83:$EH$483),$A199,0)</f>
        <v>0</v>
      </c>
      <c r="EJ199">
        <f>IF(EE199&lt;EF199,$A199,B_MAX+1)</f>
        <v>401.0</v>
      </c>
      <c r="EK199" s="13">
        <f>IF(EB199=1,$EB$35,$EB$36)</f>
        <v>0</v>
      </c>
      <c r="EL199" s="13">
        <f>OCC_DAYS*$EB$41*R_NF_2023-ED199*MCD_SHARE_FREED*R_WAIT_2023</f>
        <v>-63953.16263896705</v>
      </c>
      <c r="EM199">
        <f>IF($A199&lt;=$EB$45,1,0)</f>
        <v>1</v>
      </c>
      <c r="FB199">
        <f>IF($FB$31&lt;=$FB$32,IF($A199&lt;=$FB$7,1,2),IF($A199&lt;=RUNG_BEDS_2,2,1))</f>
        <v>1</v>
      </c>
      <c r="FC199" s="5">
        <f>MIN(1,MAX(0,$FB$26-($A199-1)))</f>
        <v>1</v>
      </c>
      <c r="FD199" s="5">
        <f>$FB$25*(FC199+(1-FC199)*$FB$16)</f>
        <v>252.05322714681438</v>
      </c>
      <c r="FE199" s="13">
        <f>FD199*($FB$6+ACUTE_MARGIN)</f>
        <v>254573.7594182825</v>
      </c>
      <c r="FF199" s="13">
        <f>IF(FB199=1,$FB$31,$FB$32)</f>
        <v>156636.04979437485</v>
      </c>
      <c r="FG199" s="13">
        <f>FE199-FF199</f>
        <v>97937.70962390766</v>
      </c>
      <c r="FH199" s="13">
        <f>FH198+FG199</f>
        <v>11360774.316373263</v>
      </c>
      <c r="FI199">
        <f>IF(FH199=MAX($FH$83:$FH$483),$A199,0)</f>
        <v>0</v>
      </c>
      <c r="FJ199">
        <f>IF(FE199&lt;FF199,$A199,B_MAX+1)</f>
        <v>401.0</v>
      </c>
      <c r="FK199" s="13">
        <f>IF(FB199=1,$FB$35,$FB$36)</f>
        <v>0</v>
      </c>
      <c r="FL199" s="13">
        <f>OCC_DAYS*$FB$41*R_NF_2023-FD199*MCD_SHARE_FREED*R_WAIT_2023</f>
        <v>37367.159242427646</v>
      </c>
      <c r="FM199">
        <f>IF($A199&lt;=$FB$45,1,0)</f>
        <v>1</v>
      </c>
      <c r="GB199">
        <f>IF($GB$31&lt;=$GB$32,IF($A199&lt;=$GB$7,1,2),IF($A199&lt;=RUNG_BEDS_2,2,1))</f>
        <v>1</v>
      </c>
      <c r="GC199" s="5">
        <f>MIN(1,MAX(0,$GB$26-($A199-1)))</f>
        <v>1</v>
      </c>
      <c r="GD199" s="5">
        <f>$GB$25*(GC199+(1-GC199)*$GB$16)</f>
        <v>252.05322714681438</v>
      </c>
      <c r="GE199" s="13">
        <f>GD199*($GB$6+ACUTE_MARGIN)</f>
        <v>254573.7594182825</v>
      </c>
      <c r="GF199" s="13">
        <f>IF(GB199=1,$GB$31,$GB$32)</f>
        <v>152394.16214437486</v>
      </c>
      <c r="GG199" s="13">
        <f>GE199-GF199</f>
        <v>102179.59727390765</v>
      </c>
      <c r="GH199" s="13">
        <f>GH198+GG199</f>
        <v>11852833.283773316</v>
      </c>
      <c r="GI199">
        <f>IF(GH199=MAX($GH$83:$GH$483),$A199,0)</f>
        <v>0</v>
      </c>
      <c r="GJ199">
        <f>IF(GE199&lt;GF199,$A199,B_MAX+1)</f>
        <v>401.0</v>
      </c>
      <c r="GK199" s="13">
        <f>IF(GB199=1,$GB$35,$GB$36)</f>
        <v>0</v>
      </c>
      <c r="GL199" s="13">
        <f>OCC_DAYS*$GB$41*R_NF_2023-GD199*MCD_SHARE_FREED*R_WAIT_2023</f>
        <v>37367.159242427646</v>
      </c>
      <c r="GM199">
        <f>IF($A199&lt;=$GB$45,1,0)</f>
        <v>1</v>
      </c>
      <c r="HB199">
        <f>IF($HB$31&lt;=$HB$32,IF($A199&lt;=$HB$7,1,2),IF($A199&lt;=RUNG_BEDS_2,2,1))</f>
        <v>1</v>
      </c>
      <c r="HC199" s="5">
        <f>MIN(1,MAX(0,$HB$26-($A199-1)))</f>
        <v>1</v>
      </c>
      <c r="HD199" s="5">
        <f>$HB$25*(HC199+(1-HC199)*$HB$16)</f>
        <v>252.05322714681438</v>
      </c>
      <c r="HE199" s="13">
        <f>HD199*($HB$6+ACUTE_MARGIN)</f>
        <v>254573.7594182825</v>
      </c>
      <c r="HF199" s="13">
        <f>IF(HB199=1,$HB$31,$HB$32)</f>
        <v>152456.2970814058</v>
      </c>
      <c r="HG199" s="13">
        <f>HE199-HF199</f>
        <v>102117.46233687672</v>
      </c>
      <c r="HH199" s="13">
        <f>HH198+HG199</f>
        <v>11845625.631077712</v>
      </c>
      <c r="HI199">
        <f>IF(HH199=MAX($HH$83:$HH$483),$A199,0)</f>
        <v>0</v>
      </c>
      <c r="HJ199">
        <f>IF(HE199&lt;HF199,$A199,B_MAX+1)</f>
        <v>401.0</v>
      </c>
      <c r="HK199" s="13">
        <f>IF(HB199=1,$HB$35,$HB$36)</f>
        <v>0</v>
      </c>
      <c r="HL199" s="13">
        <f>OCC_DAYS*$HB$41*R_NF_2023-HD199*MCD_SHARE_FREED*R_WAIT_2023</f>
        <v>37367.159242427646</v>
      </c>
      <c r="HM199">
        <f>IF($A199&lt;=$HB$45,1,0)</f>
        <v>1</v>
      </c>
      <c r="IB199">
        <f>IF($IB$31&lt;=$IB$32,IF($A199&lt;=$IB$7,1,2),IF($A199&lt;=RUNG_BEDS_2,2,1))</f>
        <v>1</v>
      </c>
      <c r="IC199" s="5">
        <f>MIN(1,MAX(0,$IB$26-($A199-1)))</f>
        <v>1</v>
      </c>
      <c r="ID199" s="5">
        <f>$IB$25*(IC199+(1-IC199)*$IB$16)</f>
        <v>252.05322714681438</v>
      </c>
      <c r="IE199" s="13">
        <f>ID199*($IB$6+ACUTE_MARGIN)</f>
        <v>254573.7594182825</v>
      </c>
      <c r="IF199" s="13">
        <f>IF(IB199=1,$IB$31,$IB$32)</f>
        <v>152734.9994534971</v>
      </c>
      <c r="IG199" s="13">
        <f>IE199-IF199</f>
        <v>101838.75996478542</v>
      </c>
      <c r="IH199" s="13">
        <f>IH198+IG199</f>
        <v>11813296.155915089</v>
      </c>
      <c r="II199">
        <f>IF(IH199=MAX($IH$83:$IH$483),$A199,0)</f>
        <v>0</v>
      </c>
      <c r="IJ199">
        <f>IF(IE199&lt;IF199,$A199,B_MAX+1)</f>
        <v>401.0</v>
      </c>
      <c r="IK199" s="13">
        <f>IF(IB199=1,$IB$35,$IB$36)</f>
        <v>0</v>
      </c>
      <c r="IL199" s="13">
        <f>OCC_DAYS*$IB$41*R_NF_2023-ID199*MCD_SHARE_FREED*R_WAIT_2023</f>
        <v>37367.159242427646</v>
      </c>
      <c r="IM199">
        <f>IF($A199&lt;=$IB$45,1,0)</f>
        <v>1</v>
      </c>
      <c r="JB199">
        <f>IF($JB$31&lt;=$JB$32,IF($A199&lt;=$JB$7,1,2),IF($A199&lt;=RUNG_BEDS_2,2,1))</f>
        <v>1</v>
      </c>
      <c r="JC199" s="5">
        <f>MIN(1,MAX(0,$JB$26-($A199-1)))</f>
        <v>1</v>
      </c>
      <c r="JD199" s="5">
        <f>$JB$25*(JC199+(1-JC199)*$JB$16)</f>
        <v>252.05322714681438</v>
      </c>
      <c r="JE199" s="13">
        <f>JD199*($JB$6+ACUTE_MARGIN)</f>
        <v>254573.7594182825</v>
      </c>
      <c r="JF199" s="13">
        <f>IF(JB199=1,$JB$31,$JB$32)</f>
        <v>152394.16214437486</v>
      </c>
      <c r="JG199" s="13">
        <f>JE199-JF199</f>
        <v>102179.59727390765</v>
      </c>
      <c r="JH199" s="13">
        <f>JH198+JG199</f>
        <v>11852833.283773316</v>
      </c>
      <c r="JI199">
        <f>IF(JH199=MAX($JH$83:$JH$483),$A199,0)</f>
        <v>0</v>
      </c>
      <c r="JJ199">
        <f>IF(JE199&lt;JF199,$A199,B_MAX+1)</f>
        <v>401.0</v>
      </c>
      <c r="JK199" s="13">
        <f>IF(JB199=1,$JB$35,$JB$36)</f>
        <v>0</v>
      </c>
      <c r="JL199" s="13">
        <f>OCC_DAYS*$JB$41*R_NF_2023-JD199*MCD_SHARE_FREED*R_WAIT_2023</f>
        <v>37367.159242427646</v>
      </c>
      <c r="JM199">
        <f>IF($A199&lt;=$JB$45,1,0)</f>
        <v>1</v>
      </c>
      <c r="KB199">
        <f>IF($KB$31&lt;=$KB$32,IF($A199&lt;=$KB$7,1,2),IF($A199&lt;=RUNG_BEDS_2,2,1))</f>
        <v>1</v>
      </c>
      <c r="KC199" s="5">
        <f>MIN(1,MAX(0,$KB$26-($A199-1)))</f>
        <v>1</v>
      </c>
      <c r="KD199" s="5">
        <f>$KB$25*(KC199+(1-KC199)*$KB$16)</f>
        <v>126.02661357340719</v>
      </c>
      <c r="KE199" s="13">
        <f>KD199*($KB$6+ACUTE_MARGIN)</f>
        <v>127286.87970914126</v>
      </c>
      <c r="KF199" s="13">
        <f>IF(KB199=1,$KB$31,$KB$32)</f>
        <v>152394.16214437486</v>
      </c>
      <c r="KG199" s="13">
        <f>KE199-KF199</f>
        <v>-25107.282435233603</v>
      </c>
      <c r="KH199" s="13">
        <f>KH198+KG199</f>
        <v>-2912444.762487105</v>
      </c>
      <c r="KI199">
        <f>IF(KH199=MAX($KH$83:$KH$483),$A199,0)</f>
        <v>0</v>
      </c>
      <c r="KJ199">
        <f>IF(KE199&lt;KF199,$A199,B_MAX+1)</f>
        <v>116</v>
      </c>
      <c r="KK199" s="13">
        <f>IF(KB199=1,$KB$35,$KB$36)</f>
        <v>0</v>
      </c>
      <c r="KL199" s="13">
        <f>OCC_DAYS*$KB$41*R_NF_2023-KD199*MCD_SHARE_FREED*R_WAIT_2023</f>
        <v>94673.82103225985</v>
      </c>
      <c r="KM199">
        <f>IF($A199&lt;=$KB$45,1,0)</f>
        <v>0</v>
      </c>
      <c r="LB199">
        <f>IF($LB$31&lt;=$LB$32,IF($A199&lt;=$LB$7,1,2),IF($A199&lt;=RUNG_BEDS_2,2,1))</f>
        <v>1</v>
      </c>
      <c r="LC199" s="5">
        <f>MIN(1,MAX(0,$LB$26-($A199-1)))</f>
        <v>1</v>
      </c>
      <c r="LD199" s="5">
        <f>$LB$25*(LC199+(1-LC199)*$LB$16)</f>
        <v>84.01774238227146</v>
      </c>
      <c r="LE199" s="13">
        <f>LD199*($LB$6+ACUTE_MARGIN)</f>
        <v>84857.91980609419</v>
      </c>
      <c r="LF199" s="13">
        <f>IF(LB199=1,$LB$31,$LB$32)</f>
        <v>152394.16214437486</v>
      </c>
      <c r="LG199" s="13">
        <f>LE199-LF199</f>
        <v>-67536.24233828067</v>
      </c>
      <c r="LH199" s="13">
        <f>LH198+LG199</f>
        <v>-7834204.111240582</v>
      </c>
      <c r="LI199">
        <f>IF(LH199=MAX($LH$83:$LH$483),$A199,0)</f>
        <v>0</v>
      </c>
      <c r="LJ199">
        <f>IF(LE199&lt;LF199,$A199,B_MAX+1)</f>
        <v>116</v>
      </c>
      <c r="LK199" s="13">
        <f>IF(LB199=1,$LB$35,$LB$36)</f>
        <v>0</v>
      </c>
      <c r="LL199" s="13">
        <f>OCC_DAYS*$LB$41*R_NF_2023-LD199*MCD_SHARE_FREED*R_WAIT_2023</f>
        <v>113776.04162887059</v>
      </c>
      <c r="LM199">
        <f>IF($A199&lt;=$LB$45,1,0)</f>
        <v>0</v>
      </c>
      <c r="MB199">
        <f>IF($MB$31&lt;=$MB$32,IF($A199&lt;=$MB$7,1,2),IF($A199&lt;=RUNG_BEDS_2,2,1))</f>
        <v>1</v>
      </c>
      <c r="MC199" s="5">
        <f>MIN(1,MAX(0,$MB$26-($A199-1)))</f>
        <v>1</v>
      </c>
      <c r="MD199" s="5">
        <f>$MB$25*(MC199+(1-MC199)*$MB$16)</f>
        <v>213.44610951008647</v>
      </c>
      <c r="ME199" s="13">
        <f>MD199*($MB$6+ACUTE_MARGIN)</f>
        <v>215580.57060518733</v>
      </c>
      <c r="MF199" s="13">
        <f>IF(MB199=1,$MB$31,$MB$32)</f>
        <v>152394.16214437486</v>
      </c>
      <c r="MG199" s="13">
        <f>ME199-MF199</f>
        <v>63186.40846081247</v>
      </c>
      <c r="MH199" s="13">
        <f>MH198+MG199</f>
        <v>7329623.381454259</v>
      </c>
      <c r="MI199">
        <f>IF(MH199=MAX($MH$83:$MH$483),$A199,0)</f>
        <v>0</v>
      </c>
      <c r="MJ199">
        <f>IF(ME199&lt;MF199,$A199,B_MAX+1)</f>
        <v>401.0</v>
      </c>
      <c r="MK199" s="13">
        <f>IF(MB199=1,$MB$35,$MB$36)</f>
        <v>0</v>
      </c>
      <c r="ML199" s="13">
        <f>OCC_DAYS*$MB$41*R_NF_2023-MD199*MCD_SHARE_FREED*R_WAIT_2023</f>
        <v>54922.538779778624</v>
      </c>
      <c r="MM199">
        <f>IF($A199&lt;=$MB$45,1,0)</f>
        <v>1</v>
      </c>
      <c r="NB199">
        <f>IF($NB$31&lt;=$NB$32,IF($A199&lt;=$NB$7,1,2),IF($A199&lt;=RUNG_BEDS_2,2,1))</f>
        <v>1</v>
      </c>
      <c r="NC199" s="5">
        <f>MIN(1,MAX(0,$NB$26-($A199-1)))</f>
        <v>1</v>
      </c>
      <c r="ND199" s="5">
        <f>$NB$25*(NC199+(1-NC199)*$NB$16)</f>
        <v>252.05322714681438</v>
      </c>
      <c r="NE199" s="13">
        <f>ND199*($NB$6+ACUTE_MARGIN)</f>
        <v>254573.7594182825</v>
      </c>
      <c r="NF199" s="13">
        <f>IF(NB199=1,$NB$31,$NB$32)</f>
        <v>152394.16214437486</v>
      </c>
      <c r="NG199" s="13">
        <f>NE199-NF199</f>
        <v>102179.59727390765</v>
      </c>
      <c r="NH199" s="13">
        <f>NH198+NG199</f>
        <v>11852833.283773316</v>
      </c>
      <c r="NI199">
        <f>IF(NH199=MAX($NH$83:$NH$483),$A199,0)</f>
        <v>0</v>
      </c>
      <c r="NJ199">
        <f>IF(NE199&lt;NF199,$A199,B_MAX+1)</f>
        <v>401.0</v>
      </c>
      <c r="NK199" s="13">
        <f>IF(NB199=1,$NB$35,$NB$36)</f>
        <v>0</v>
      </c>
      <c r="NL199" s="13">
        <f>OCC_DAYS*$NB$41*R_NF_2023-ND199*MCD_SHARE_FREED*R_WAIT_2023</f>
        <v>37367.159242427646</v>
      </c>
      <c r="NM199">
        <f>IF($A199&lt;=$NB$45,1,0)</f>
        <v>1</v>
      </c>
      <c r="OB199">
        <f>IF($OB$31&lt;=$OB$32,IF($A199&lt;=$OB$7,1,2),IF($A199&lt;=RUNG_BEDS_2,2,1))</f>
        <v>1</v>
      </c>
      <c r="OC199" s="5">
        <f>MIN(1,MAX(0,$OB$26-($A199-1)))</f>
        <v>1</v>
      </c>
      <c r="OD199" s="5">
        <f>$OB$25*(OC199+(1-OC199)*$OB$16)</f>
        <v>252.05322714681438</v>
      </c>
      <c r="OE199" s="13">
        <f>OD199*($OB$6+ACUTE_MARGIN)</f>
        <v>254573.7594182825</v>
      </c>
      <c r="OF199" s="13">
        <f>IF(OB199=1,$OB$31,$OB$32)</f>
        <v>152394.16214437486</v>
      </c>
      <c r="OG199" s="13">
        <f>OE199-OF199</f>
        <v>102179.59727390765</v>
      </c>
      <c r="OH199" s="13">
        <f>OH198+OG199</f>
        <v>11852833.283773316</v>
      </c>
      <c r="OI199">
        <f>IF(OH199=MAX($OH$83:$OH$483),$A199,0)</f>
        <v>0</v>
      </c>
      <c r="OJ199">
        <f>IF(OE199&lt;OF199,$A199,B_MAX+1)</f>
        <v>401.0</v>
      </c>
      <c r="OK199" s="13">
        <f>IF(OB199=1,$OB$35,$OB$36)</f>
        <v>0</v>
      </c>
      <c r="OL199" s="13">
        <f>OCC_DAYS*$OB$41*R_NF_2023-OD199*MCD_SHARE_FREED*R_WAIT_2023</f>
        <v>37367.159242427646</v>
      </c>
      <c r="OM199">
        <f>IF($A199&lt;=$OB$45,1,0)</f>
        <v>1</v>
      </c>
    </row>
    <row r="200">
      <c r="A200" t="n">
        <v>117</v>
      </c>
      <c r="B200">
        <f>IF($B$31&lt;=$B$32,IF($A200&lt;=$B$7,1,2),IF($A200&lt;=RUNG_BEDS_2,2,1))</f>
        <v>1</v>
      </c>
      <c r="C200" s="5">
        <f>MIN(1,MAX(0,$B$26-($A200-1)))</f>
        <v>1</v>
      </c>
      <c r="D200" s="5">
        <f>$B$25*(C200+(1-C200)*$B$16)</f>
        <v>252.05322714681438</v>
      </c>
      <c r="E200" s="13">
        <f>D200*($B$6+ACUTE_MARGIN)</f>
        <v>254573.7594182825</v>
      </c>
      <c r="F200" s="13">
        <f>IF(B200=1,$B$31,$B$32)</f>
        <v>152394.16214437486</v>
      </c>
      <c r="G200" s="13">
        <f>E200-F200</f>
        <v>102179.59727390765</v>
      </c>
      <c r="H200" s="13">
        <f>H199+G200</f>
        <v>11955012.881047225</v>
      </c>
      <c r="I200">
        <f>IF(H200=MAX($H$83:$H$483),$A200,0)</f>
        <v>0</v>
      </c>
      <c r="J200">
        <f>IF(E200&lt;F200,$A200,B_MAX+1)</f>
        <v>401.0</v>
      </c>
      <c r="K200" s="13">
        <f>IF(B200=1,$B$35,$B$36)</f>
        <v>0</v>
      </c>
      <c r="L200" s="13">
        <f>OCC_DAYS*$B$41*R_NF_2023-D200*MCD_SHARE_FREED*R_WAIT_2023</f>
        <v>37367.159242427646</v>
      </c>
      <c r="M200">
        <f>IF($A200&lt;=$B$45,1,0)</f>
        <v>1</v>
      </c>
      <c r="AB200">
        <f>IF($AB$31&lt;=$AB$32,IF($A200&lt;=$AB$7,1,2),IF($A200&lt;=RUNG_BEDS_2,2,1))</f>
        <v>1</v>
      </c>
      <c r="AC200" s="5">
        <f>MIN(1,MAX(0,$AB$26-($A200-1)))</f>
        <v>1</v>
      </c>
      <c r="AD200" s="5">
        <f>$AB$25*(AC200+(1-AC200)*$AB$16)</f>
        <v>252.05322714681438</v>
      </c>
      <c r="AE200" s="13">
        <f>AD200*($AB$6+ACUTE_MARGIN)</f>
        <v>138629.2749307479</v>
      </c>
      <c r="AF200" s="13">
        <f>IF(AB200=1,$AB$31,$AB$32)</f>
        <v>152394.16214437486</v>
      </c>
      <c r="AG200" s="13">
        <f>AE200-AF200</f>
        <v>-13764.887213626964</v>
      </c>
      <c r="AH200" s="13">
        <f>AH199+AG200</f>
        <v>-1610491.803994353</v>
      </c>
      <c r="AI200">
        <f>IF(AH200=MAX($AH$83:$AH$483),$A200,0)</f>
        <v>0</v>
      </c>
      <c r="AJ200">
        <f>IF(AE200&lt;AF200,$A200,B_MAX+1)</f>
        <v>117</v>
      </c>
      <c r="AK200" s="13">
        <f>IF(AB200=1,$AB$35,$AB$36)</f>
        <v>0</v>
      </c>
      <c r="AL200" s="13">
        <f>OCC_DAYS*$AB$41*R_NF_2023-AD200*MCD_SHARE_FREED*R_WAIT_2023</f>
        <v>37367.159242427646</v>
      </c>
      <c r="AM200">
        <f>IF($A200&lt;=$AB$45,1,0)</f>
        <v>0</v>
      </c>
      <c r="BB200">
        <f>IF($BB$31&lt;=$BB$32,IF($A200&lt;=$BB$7,1,2),IF($A200&lt;=RUNG_BEDS_2,2,1))</f>
        <v>1</v>
      </c>
      <c r="BC200" s="5">
        <f>MIN(1,MAX(0,$BB$26-($A200-1)))</f>
        <v>1</v>
      </c>
      <c r="BD200" s="5">
        <f>$BB$25*(BC200+(1-BC200)*$BB$16)</f>
        <v>252.05322714681438</v>
      </c>
      <c r="BE200" s="13">
        <f>BD200*($BB$6+ACUTE_MARGIN)</f>
        <v>370518.24390581716</v>
      </c>
      <c r="BF200" s="13">
        <f>IF(BB200=1,$BB$31,$BB$32)</f>
        <v>152394.16214437486</v>
      </c>
      <c r="BG200" s="13">
        <f>BE200-BF200</f>
        <v>218124.0817614423</v>
      </c>
      <c r="BH200" s="13">
        <f>BH199+BG200</f>
        <v>25520517.566088732</v>
      </c>
      <c r="BI200">
        <f>IF(BH200=MAX($BH$83:$BH$483),$A200,0)</f>
        <v>0</v>
      </c>
      <c r="BJ200">
        <f>IF(BE200&lt;BF200,$A200,B_MAX+1)</f>
        <v>401.0</v>
      </c>
      <c r="BK200" s="13">
        <f>IF(BB200=1,$BB$35,$BB$36)</f>
        <v>0</v>
      </c>
      <c r="BL200" s="13">
        <f>OCC_DAYS*$BB$41*R_NF_2023-BD200*MCD_SHARE_FREED*R_WAIT_2023</f>
        <v>37367.159242427646</v>
      </c>
      <c r="BM200">
        <f>IF($A200&lt;=$BB$45,1,0)</f>
        <v>1</v>
      </c>
      <c r="CB200">
        <f>IF($CB$31&lt;=$CB$32,IF($A200&lt;=$CB$7,1,2),IF($A200&lt;=RUNG_BEDS_2,2,1))</f>
        <v>2</v>
      </c>
      <c r="CC200" s="5">
        <f>MIN(1,MAX(0,$CB$26-($A200-1)))</f>
        <v>1</v>
      </c>
      <c r="CD200" s="5">
        <f>$CB$25*(CC200+(1-CC200)*$CB$16)</f>
        <v>252.05322714681438</v>
      </c>
      <c r="CE200" s="13">
        <f>CD200*($CB$6+ACUTE_MARGIN)</f>
        <v>254573.7594182825</v>
      </c>
      <c r="CF200" s="13">
        <f>IF(CB200=1,$CB$31,$CB$32)</f>
        <v>160718.36940738867</v>
      </c>
      <c r="CG200" s="13">
        <f>CE200-CF200</f>
        <v>93855.39001089384</v>
      </c>
      <c r="CH200" s="13">
        <f>CH199+CG200</f>
        <v>10981080.631274585</v>
      </c>
      <c r="CI200">
        <f>IF(CH200=MAX($CH$83:$CH$483),$A200,0)</f>
        <v>0</v>
      </c>
      <c r="CJ200">
        <f>IF(CE200&lt;CF200,$A200,B_MAX+1)</f>
        <v>401.0</v>
      </c>
      <c r="CK200" s="13">
        <f>IF(CB200=1,$CB$35,$CB$36)</f>
        <v>1560.1194073886782</v>
      </c>
      <c r="CL200" s="13">
        <f>OCC_DAYS*$CB$41*R_NF_2023-CD200*MCD_SHARE_FREED*R_WAIT_2023</f>
        <v>37367.159242427646</v>
      </c>
      <c r="CM200">
        <f>IF($A200&lt;=$CB$45,1,0)</f>
        <v>1</v>
      </c>
      <c r="DB200">
        <f>IF($DB$31&lt;=$DB$32,IF($A200&lt;=$DB$7,1,2),IF($A200&lt;=RUNG_BEDS_2,2,1))</f>
        <v>1</v>
      </c>
      <c r="DC200" s="5">
        <f>MIN(1,MAX(0,$DB$26-($A200-1)))</f>
        <v>1</v>
      </c>
      <c r="DD200" s="5">
        <f>$DB$25*(DC200+(1-DC200)*$DB$16)</f>
        <v>252.05322714681438</v>
      </c>
      <c r="DE200" s="13">
        <f>DD200*($DB$6+ACUTE_MARGIN)</f>
        <v>254573.7594182825</v>
      </c>
      <c r="DF200" s="13">
        <f>IF(DB200=1,$DB$31,$DB$32)</f>
        <v>152394.16214437486</v>
      </c>
      <c r="DG200" s="13">
        <f>DE200-DF200</f>
        <v>102179.59727390765</v>
      </c>
      <c r="DH200" s="13">
        <f>DH199+DG200</f>
        <v>11955012.881047225</v>
      </c>
      <c r="DI200">
        <f>IF(DH200=MAX($DH$83:$DH$483),$A200,0)</f>
        <v>0</v>
      </c>
      <c r="DJ200">
        <f>IF(DE200&lt;DF200,$A200,B_MAX+1)</f>
        <v>401.0</v>
      </c>
      <c r="DK200" s="13">
        <f>IF(DB200=1,$DB$35,$DB$36)</f>
        <v>0</v>
      </c>
      <c r="DL200" s="13">
        <f>OCC_DAYS*$DB$41*R_NF_2023-DD200*MCD_SHARE_FREED*R_WAIT_2023</f>
        <v>37367.159242427646</v>
      </c>
      <c r="DM200">
        <f>IF($A200&lt;=$DB$45,1,0)</f>
        <v>1</v>
      </c>
      <c r="EB200">
        <f>IF($EB$31&lt;=$EB$32,IF($A200&lt;=$EB$7,1,2),IF($A200&lt;=RUNG_BEDS_2,2,1))</f>
        <v>1</v>
      </c>
      <c r="EC200" s="5">
        <f>MIN(1,MAX(0,$EB$26-($A200-1)))</f>
        <v>1</v>
      </c>
      <c r="ED200" s="5">
        <f>$EB$25*(EC200+(1-EC200)*$EB$16)</f>
        <v>252.05322714681438</v>
      </c>
      <c r="EE200" s="13">
        <f>ED200*($EB$6+ACUTE_MARGIN)</f>
        <v>254573.7594182825</v>
      </c>
      <c r="EF200" s="13">
        <f>IF(EB200=1,$EB$31,$EB$32)</f>
        <v>152394.16214437486</v>
      </c>
      <c r="EG200" s="13">
        <f>EE200-EF200</f>
        <v>102179.59727390765</v>
      </c>
      <c r="EH200" s="13">
        <f>EH199+EG200</f>
        <v>11955012.881047225</v>
      </c>
      <c r="EI200">
        <f>IF(EH200=MAX($EH$83:$EH$483),$A200,0)</f>
        <v>0</v>
      </c>
      <c r="EJ200">
        <f>IF(EE200&lt;EF200,$A200,B_MAX+1)</f>
        <v>401.0</v>
      </c>
      <c r="EK200" s="13">
        <f>IF(EB200=1,$EB$35,$EB$36)</f>
        <v>0</v>
      </c>
      <c r="EL200" s="13">
        <f>OCC_DAYS*$EB$41*R_NF_2023-ED200*MCD_SHARE_FREED*R_WAIT_2023</f>
        <v>-63953.16263896705</v>
      </c>
      <c r="EM200">
        <f>IF($A200&lt;=$EB$45,1,0)</f>
        <v>1</v>
      </c>
      <c r="FB200">
        <f>IF($FB$31&lt;=$FB$32,IF($A200&lt;=$FB$7,1,2),IF($A200&lt;=RUNG_BEDS_2,2,1))</f>
        <v>1</v>
      </c>
      <c r="FC200" s="5">
        <f>MIN(1,MAX(0,$FB$26-($A200-1)))</f>
        <v>1</v>
      </c>
      <c r="FD200" s="5">
        <f>$FB$25*(FC200+(1-FC200)*$FB$16)</f>
        <v>252.05322714681438</v>
      </c>
      <c r="FE200" s="13">
        <f>FD200*($FB$6+ACUTE_MARGIN)</f>
        <v>254573.7594182825</v>
      </c>
      <c r="FF200" s="13">
        <f>IF(FB200=1,$FB$31,$FB$32)</f>
        <v>156636.04979437485</v>
      </c>
      <c r="FG200" s="13">
        <f>FE200-FF200</f>
        <v>97937.70962390766</v>
      </c>
      <c r="FH200" s="13">
        <f>FH199+FG200</f>
        <v>11458712.02599717</v>
      </c>
      <c r="FI200">
        <f>IF(FH200=MAX($FH$83:$FH$483),$A200,0)</f>
        <v>0</v>
      </c>
      <c r="FJ200">
        <f>IF(FE200&lt;FF200,$A200,B_MAX+1)</f>
        <v>401.0</v>
      </c>
      <c r="FK200" s="13">
        <f>IF(FB200=1,$FB$35,$FB$36)</f>
        <v>0</v>
      </c>
      <c r="FL200" s="13">
        <f>OCC_DAYS*$FB$41*R_NF_2023-FD200*MCD_SHARE_FREED*R_WAIT_2023</f>
        <v>37367.159242427646</v>
      </c>
      <c r="FM200">
        <f>IF($A200&lt;=$FB$45,1,0)</f>
        <v>1</v>
      </c>
      <c r="GB200">
        <f>IF($GB$31&lt;=$GB$32,IF($A200&lt;=$GB$7,1,2),IF($A200&lt;=RUNG_BEDS_2,2,1))</f>
        <v>1</v>
      </c>
      <c r="GC200" s="5">
        <f>MIN(1,MAX(0,$GB$26-($A200-1)))</f>
        <v>1</v>
      </c>
      <c r="GD200" s="5">
        <f>$GB$25*(GC200+(1-GC200)*$GB$16)</f>
        <v>252.05322714681438</v>
      </c>
      <c r="GE200" s="13">
        <f>GD200*($GB$6+ACUTE_MARGIN)</f>
        <v>254573.7594182825</v>
      </c>
      <c r="GF200" s="13">
        <f>IF(GB200=1,$GB$31,$GB$32)</f>
        <v>152394.16214437486</v>
      </c>
      <c r="GG200" s="13">
        <f>GE200-GF200</f>
        <v>102179.59727390765</v>
      </c>
      <c r="GH200" s="13">
        <f>GH199+GG200</f>
        <v>11955012.881047225</v>
      </c>
      <c r="GI200">
        <f>IF(GH200=MAX($GH$83:$GH$483),$A200,0)</f>
        <v>0</v>
      </c>
      <c r="GJ200">
        <f>IF(GE200&lt;GF200,$A200,B_MAX+1)</f>
        <v>401.0</v>
      </c>
      <c r="GK200" s="13">
        <f>IF(GB200=1,$GB$35,$GB$36)</f>
        <v>0</v>
      </c>
      <c r="GL200" s="13">
        <f>OCC_DAYS*$GB$41*R_NF_2023-GD200*MCD_SHARE_FREED*R_WAIT_2023</f>
        <v>37367.159242427646</v>
      </c>
      <c r="GM200">
        <f>IF($A200&lt;=$GB$45,1,0)</f>
        <v>1</v>
      </c>
      <c r="HB200">
        <f>IF($HB$31&lt;=$HB$32,IF($A200&lt;=$HB$7,1,2),IF($A200&lt;=RUNG_BEDS_2,2,1))</f>
        <v>1</v>
      </c>
      <c r="HC200" s="5">
        <f>MIN(1,MAX(0,$HB$26-($A200-1)))</f>
        <v>1</v>
      </c>
      <c r="HD200" s="5">
        <f>$HB$25*(HC200+(1-HC200)*$HB$16)</f>
        <v>252.05322714681438</v>
      </c>
      <c r="HE200" s="13">
        <f>HD200*($HB$6+ACUTE_MARGIN)</f>
        <v>254573.7594182825</v>
      </c>
      <c r="HF200" s="13">
        <f>IF(HB200=1,$HB$31,$HB$32)</f>
        <v>152456.2970814058</v>
      </c>
      <c r="HG200" s="13">
        <f>HE200-HF200</f>
        <v>102117.46233687672</v>
      </c>
      <c r="HH200" s="13">
        <f>HH199+HG200</f>
        <v>11947743.09341459</v>
      </c>
      <c r="HI200">
        <f>IF(HH200=MAX($HH$83:$HH$483),$A200,0)</f>
        <v>0</v>
      </c>
      <c r="HJ200">
        <f>IF(HE200&lt;HF200,$A200,B_MAX+1)</f>
        <v>401.0</v>
      </c>
      <c r="HK200" s="13">
        <f>IF(HB200=1,$HB$35,$HB$36)</f>
        <v>0</v>
      </c>
      <c r="HL200" s="13">
        <f>OCC_DAYS*$HB$41*R_NF_2023-HD200*MCD_SHARE_FREED*R_WAIT_2023</f>
        <v>37367.159242427646</v>
      </c>
      <c r="HM200">
        <f>IF($A200&lt;=$HB$45,1,0)</f>
        <v>1</v>
      </c>
      <c r="IB200">
        <f>IF($IB$31&lt;=$IB$32,IF($A200&lt;=$IB$7,1,2),IF($A200&lt;=RUNG_BEDS_2,2,1))</f>
        <v>1</v>
      </c>
      <c r="IC200" s="5">
        <f>MIN(1,MAX(0,$IB$26-($A200-1)))</f>
        <v>1</v>
      </c>
      <c r="ID200" s="5">
        <f>$IB$25*(IC200+(1-IC200)*$IB$16)</f>
        <v>252.05322714681438</v>
      </c>
      <c r="IE200" s="13">
        <f>ID200*($IB$6+ACUTE_MARGIN)</f>
        <v>254573.7594182825</v>
      </c>
      <c r="IF200" s="13">
        <f>IF(IB200=1,$IB$31,$IB$32)</f>
        <v>152734.9994534971</v>
      </c>
      <c r="IG200" s="13">
        <f>IE200-IF200</f>
        <v>101838.75996478542</v>
      </c>
      <c r="IH200" s="13">
        <f>IH199+IG200</f>
        <v>11915134.915879874</v>
      </c>
      <c r="II200">
        <f>IF(IH200=MAX($IH$83:$IH$483),$A200,0)</f>
        <v>0</v>
      </c>
      <c r="IJ200">
        <f>IF(IE200&lt;IF200,$A200,B_MAX+1)</f>
        <v>401.0</v>
      </c>
      <c r="IK200" s="13">
        <f>IF(IB200=1,$IB$35,$IB$36)</f>
        <v>0</v>
      </c>
      <c r="IL200" s="13">
        <f>OCC_DAYS*$IB$41*R_NF_2023-ID200*MCD_SHARE_FREED*R_WAIT_2023</f>
        <v>37367.159242427646</v>
      </c>
      <c r="IM200">
        <f>IF($A200&lt;=$IB$45,1,0)</f>
        <v>1</v>
      </c>
      <c r="JB200">
        <f>IF($JB$31&lt;=$JB$32,IF($A200&lt;=$JB$7,1,2),IF($A200&lt;=RUNG_BEDS_2,2,1))</f>
        <v>1</v>
      </c>
      <c r="JC200" s="5">
        <f>MIN(1,MAX(0,$JB$26-($A200-1)))</f>
        <v>1</v>
      </c>
      <c r="JD200" s="5">
        <f>$JB$25*(JC200+(1-JC200)*$JB$16)</f>
        <v>252.05322714681438</v>
      </c>
      <c r="JE200" s="13">
        <f>JD200*($JB$6+ACUTE_MARGIN)</f>
        <v>254573.7594182825</v>
      </c>
      <c r="JF200" s="13">
        <f>IF(JB200=1,$JB$31,$JB$32)</f>
        <v>152394.16214437486</v>
      </c>
      <c r="JG200" s="13">
        <f>JE200-JF200</f>
        <v>102179.59727390765</v>
      </c>
      <c r="JH200" s="13">
        <f>JH199+JG200</f>
        <v>11955012.881047225</v>
      </c>
      <c r="JI200">
        <f>IF(JH200=MAX($JH$83:$JH$483),$A200,0)</f>
        <v>0</v>
      </c>
      <c r="JJ200">
        <f>IF(JE200&lt;JF200,$A200,B_MAX+1)</f>
        <v>401.0</v>
      </c>
      <c r="JK200" s="13">
        <f>IF(JB200=1,$JB$35,$JB$36)</f>
        <v>0</v>
      </c>
      <c r="JL200" s="13">
        <f>OCC_DAYS*$JB$41*R_NF_2023-JD200*MCD_SHARE_FREED*R_WAIT_2023</f>
        <v>37367.159242427646</v>
      </c>
      <c r="JM200">
        <f>IF($A200&lt;=$JB$45,1,0)</f>
        <v>1</v>
      </c>
      <c r="KB200">
        <f>IF($KB$31&lt;=$KB$32,IF($A200&lt;=$KB$7,1,2),IF($A200&lt;=RUNG_BEDS_2,2,1))</f>
        <v>1</v>
      </c>
      <c r="KC200" s="5">
        <f>MIN(1,MAX(0,$KB$26-($A200-1)))</f>
        <v>1</v>
      </c>
      <c r="KD200" s="5">
        <f>$KB$25*(KC200+(1-KC200)*$KB$16)</f>
        <v>126.02661357340719</v>
      </c>
      <c r="KE200" s="13">
        <f>KD200*($KB$6+ACUTE_MARGIN)</f>
        <v>127286.87970914126</v>
      </c>
      <c r="KF200" s="13">
        <f>IF(KB200=1,$KB$31,$KB$32)</f>
        <v>152394.16214437486</v>
      </c>
      <c r="KG200" s="13">
        <f>KE200-KF200</f>
        <v>-25107.282435233603</v>
      </c>
      <c r="KH200" s="13">
        <f>KH199+KG200</f>
        <v>-2937552.044922339</v>
      </c>
      <c r="KI200">
        <f>IF(KH200=MAX($KH$83:$KH$483),$A200,0)</f>
        <v>0</v>
      </c>
      <c r="KJ200">
        <f>IF(KE200&lt;KF200,$A200,B_MAX+1)</f>
        <v>117</v>
      </c>
      <c r="KK200" s="13">
        <f>IF(KB200=1,$KB$35,$KB$36)</f>
        <v>0</v>
      </c>
      <c r="KL200" s="13">
        <f>OCC_DAYS*$KB$41*R_NF_2023-KD200*MCD_SHARE_FREED*R_WAIT_2023</f>
        <v>94673.82103225985</v>
      </c>
      <c r="KM200">
        <f>IF($A200&lt;=$KB$45,1,0)</f>
        <v>0</v>
      </c>
      <c r="LB200">
        <f>IF($LB$31&lt;=$LB$32,IF($A200&lt;=$LB$7,1,2),IF($A200&lt;=RUNG_BEDS_2,2,1))</f>
        <v>1</v>
      </c>
      <c r="LC200" s="5">
        <f>MIN(1,MAX(0,$LB$26-($A200-1)))</f>
        <v>1</v>
      </c>
      <c r="LD200" s="5">
        <f>$LB$25*(LC200+(1-LC200)*$LB$16)</f>
        <v>84.01774238227146</v>
      </c>
      <c r="LE200" s="13">
        <f>LD200*($LB$6+ACUTE_MARGIN)</f>
        <v>84857.91980609419</v>
      </c>
      <c r="LF200" s="13">
        <f>IF(LB200=1,$LB$31,$LB$32)</f>
        <v>152394.16214437486</v>
      </c>
      <c r="LG200" s="13">
        <f>LE200-LF200</f>
        <v>-67536.24233828067</v>
      </c>
      <c r="LH200" s="13">
        <f>LH199+LG200</f>
        <v>-7901740.353578863</v>
      </c>
      <c r="LI200">
        <f>IF(LH200=MAX($LH$83:$LH$483),$A200,0)</f>
        <v>0</v>
      </c>
      <c r="LJ200">
        <f>IF(LE200&lt;LF200,$A200,B_MAX+1)</f>
        <v>117</v>
      </c>
      <c r="LK200" s="13">
        <f>IF(LB200=1,$LB$35,$LB$36)</f>
        <v>0</v>
      </c>
      <c r="LL200" s="13">
        <f>OCC_DAYS*$LB$41*R_NF_2023-LD200*MCD_SHARE_FREED*R_WAIT_2023</f>
        <v>113776.04162887059</v>
      </c>
      <c r="LM200">
        <f>IF($A200&lt;=$LB$45,1,0)</f>
        <v>0</v>
      </c>
      <c r="MB200">
        <f>IF($MB$31&lt;=$MB$32,IF($A200&lt;=$MB$7,1,2),IF($A200&lt;=RUNG_BEDS_2,2,1))</f>
        <v>1</v>
      </c>
      <c r="MC200" s="5">
        <f>MIN(1,MAX(0,$MB$26-($A200-1)))</f>
        <v>1</v>
      </c>
      <c r="MD200" s="5">
        <f>$MB$25*(MC200+(1-MC200)*$MB$16)</f>
        <v>213.44610951008647</v>
      </c>
      <c r="ME200" s="13">
        <f>MD200*($MB$6+ACUTE_MARGIN)</f>
        <v>215580.57060518733</v>
      </c>
      <c r="MF200" s="13">
        <f>IF(MB200=1,$MB$31,$MB$32)</f>
        <v>152394.16214437486</v>
      </c>
      <c r="MG200" s="13">
        <f>ME200-MF200</f>
        <v>63186.40846081247</v>
      </c>
      <c r="MH200" s="13">
        <f>MH199+MG200</f>
        <v>7392809.789915072</v>
      </c>
      <c r="MI200">
        <f>IF(MH200=MAX($MH$83:$MH$483),$A200,0)</f>
        <v>0</v>
      </c>
      <c r="MJ200">
        <f>IF(ME200&lt;MF200,$A200,B_MAX+1)</f>
        <v>401.0</v>
      </c>
      <c r="MK200" s="13">
        <f>IF(MB200=1,$MB$35,$MB$36)</f>
        <v>0</v>
      </c>
      <c r="ML200" s="13">
        <f>OCC_DAYS*$MB$41*R_NF_2023-MD200*MCD_SHARE_FREED*R_WAIT_2023</f>
        <v>54922.538779778624</v>
      </c>
      <c r="MM200">
        <f>IF($A200&lt;=$MB$45,1,0)</f>
        <v>1</v>
      </c>
      <c r="NB200">
        <f>IF($NB$31&lt;=$NB$32,IF($A200&lt;=$NB$7,1,2),IF($A200&lt;=RUNG_BEDS_2,2,1))</f>
        <v>1</v>
      </c>
      <c r="NC200" s="5">
        <f>MIN(1,MAX(0,$NB$26-($A200-1)))</f>
        <v>1</v>
      </c>
      <c r="ND200" s="5">
        <f>$NB$25*(NC200+(1-NC200)*$NB$16)</f>
        <v>252.05322714681438</v>
      </c>
      <c r="NE200" s="13">
        <f>ND200*($NB$6+ACUTE_MARGIN)</f>
        <v>254573.7594182825</v>
      </c>
      <c r="NF200" s="13">
        <f>IF(NB200=1,$NB$31,$NB$32)</f>
        <v>152394.16214437486</v>
      </c>
      <c r="NG200" s="13">
        <f>NE200-NF200</f>
        <v>102179.59727390765</v>
      </c>
      <c r="NH200" s="13">
        <f>NH199+NG200</f>
        <v>11955012.881047225</v>
      </c>
      <c r="NI200">
        <f>IF(NH200=MAX($NH$83:$NH$483),$A200,0)</f>
        <v>0</v>
      </c>
      <c r="NJ200">
        <f>IF(NE200&lt;NF200,$A200,B_MAX+1)</f>
        <v>401.0</v>
      </c>
      <c r="NK200" s="13">
        <f>IF(NB200=1,$NB$35,$NB$36)</f>
        <v>0</v>
      </c>
      <c r="NL200" s="13">
        <f>OCC_DAYS*$NB$41*R_NF_2023-ND200*MCD_SHARE_FREED*R_WAIT_2023</f>
        <v>37367.159242427646</v>
      </c>
      <c r="NM200">
        <f>IF($A200&lt;=$NB$45,1,0)</f>
        <v>1</v>
      </c>
      <c r="OB200">
        <f>IF($OB$31&lt;=$OB$32,IF($A200&lt;=$OB$7,1,2),IF($A200&lt;=RUNG_BEDS_2,2,1))</f>
        <v>1</v>
      </c>
      <c r="OC200" s="5">
        <f>MIN(1,MAX(0,$OB$26-($A200-1)))</f>
        <v>1</v>
      </c>
      <c r="OD200" s="5">
        <f>$OB$25*(OC200+(1-OC200)*$OB$16)</f>
        <v>252.05322714681438</v>
      </c>
      <c r="OE200" s="13">
        <f>OD200*($OB$6+ACUTE_MARGIN)</f>
        <v>254573.7594182825</v>
      </c>
      <c r="OF200" s="13">
        <f>IF(OB200=1,$OB$31,$OB$32)</f>
        <v>152394.16214437486</v>
      </c>
      <c r="OG200" s="13">
        <f>OE200-OF200</f>
        <v>102179.59727390765</v>
      </c>
      <c r="OH200" s="13">
        <f>OH199+OG200</f>
        <v>11955012.881047225</v>
      </c>
      <c r="OI200">
        <f>IF(OH200=MAX($OH$83:$OH$483),$A200,0)</f>
        <v>0</v>
      </c>
      <c r="OJ200">
        <f>IF(OE200&lt;OF200,$A200,B_MAX+1)</f>
        <v>401.0</v>
      </c>
      <c r="OK200" s="13">
        <f>IF(OB200=1,$OB$35,$OB$36)</f>
        <v>0</v>
      </c>
      <c r="OL200" s="13">
        <f>OCC_DAYS*$OB$41*R_NF_2023-OD200*MCD_SHARE_FREED*R_WAIT_2023</f>
        <v>37367.159242427646</v>
      </c>
      <c r="OM200">
        <f>IF($A200&lt;=$OB$45,1,0)</f>
        <v>1</v>
      </c>
    </row>
    <row r="201">
      <c r="A201" t="n">
        <v>118</v>
      </c>
      <c r="B201">
        <f>IF($B$31&lt;=$B$32,IF($A201&lt;=$B$7,1,2),IF($A201&lt;=RUNG_BEDS_2,2,1))</f>
        <v>1</v>
      </c>
      <c r="C201" s="5">
        <f>MIN(1,MAX(0,$B$26-($A201-1)))</f>
        <v>1</v>
      </c>
      <c r="D201" s="5">
        <f>$B$25*(C201+(1-C201)*$B$16)</f>
        <v>252.05322714681438</v>
      </c>
      <c r="E201" s="13">
        <f>D201*($B$6+ACUTE_MARGIN)</f>
        <v>254573.7594182825</v>
      </c>
      <c r="F201" s="13">
        <f>IF(B201=1,$B$31,$B$32)</f>
        <v>152394.16214437486</v>
      </c>
      <c r="G201" s="13">
        <f>E201-F201</f>
        <v>102179.59727390765</v>
      </c>
      <c r="H201" s="13">
        <f>H200+G201</f>
        <v>12057192.478321133</v>
      </c>
      <c r="I201">
        <f>IF(H201=MAX($H$83:$H$483),$A201,0)</f>
        <v>0</v>
      </c>
      <c r="J201">
        <f>IF(E201&lt;F201,$A201,B_MAX+1)</f>
        <v>401.0</v>
      </c>
      <c r="K201" s="13">
        <f>IF(B201=1,$B$35,$B$36)</f>
        <v>0</v>
      </c>
      <c r="L201" s="13">
        <f>OCC_DAYS*$B$41*R_NF_2023-D201*MCD_SHARE_FREED*R_WAIT_2023</f>
        <v>37367.159242427646</v>
      </c>
      <c r="M201">
        <f>IF($A201&lt;=$B$45,1,0)</f>
        <v>1</v>
      </c>
      <c r="AB201">
        <f>IF($AB$31&lt;=$AB$32,IF($A201&lt;=$AB$7,1,2),IF($A201&lt;=RUNG_BEDS_2,2,1))</f>
        <v>1</v>
      </c>
      <c r="AC201" s="5">
        <f>MIN(1,MAX(0,$AB$26-($A201-1)))</f>
        <v>1</v>
      </c>
      <c r="AD201" s="5">
        <f>$AB$25*(AC201+(1-AC201)*$AB$16)</f>
        <v>252.05322714681438</v>
      </c>
      <c r="AE201" s="13">
        <f>AD201*($AB$6+ACUTE_MARGIN)</f>
        <v>138629.2749307479</v>
      </c>
      <c r="AF201" s="13">
        <f>IF(AB201=1,$AB$31,$AB$32)</f>
        <v>152394.16214437486</v>
      </c>
      <c r="AG201" s="13">
        <f>AE201-AF201</f>
        <v>-13764.887213626964</v>
      </c>
      <c r="AH201" s="13">
        <f>AH200+AG201</f>
        <v>-1624256.6912079798</v>
      </c>
      <c r="AI201">
        <f>IF(AH201=MAX($AH$83:$AH$483),$A201,0)</f>
        <v>0</v>
      </c>
      <c r="AJ201">
        <f>IF(AE201&lt;AF201,$A201,B_MAX+1)</f>
        <v>118</v>
      </c>
      <c r="AK201" s="13">
        <f>IF(AB201=1,$AB$35,$AB$36)</f>
        <v>0</v>
      </c>
      <c r="AL201" s="13">
        <f>OCC_DAYS*$AB$41*R_NF_2023-AD201*MCD_SHARE_FREED*R_WAIT_2023</f>
        <v>37367.159242427646</v>
      </c>
      <c r="AM201">
        <f>IF($A201&lt;=$AB$45,1,0)</f>
        <v>0</v>
      </c>
      <c r="BB201">
        <f>IF($BB$31&lt;=$BB$32,IF($A201&lt;=$BB$7,1,2),IF($A201&lt;=RUNG_BEDS_2,2,1))</f>
        <v>1</v>
      </c>
      <c r="BC201" s="5">
        <f>MIN(1,MAX(0,$BB$26-($A201-1)))</f>
        <v>1</v>
      </c>
      <c r="BD201" s="5">
        <f>$BB$25*(BC201+(1-BC201)*$BB$16)</f>
        <v>252.05322714681438</v>
      </c>
      <c r="BE201" s="13">
        <f>BD201*($BB$6+ACUTE_MARGIN)</f>
        <v>370518.24390581716</v>
      </c>
      <c r="BF201" s="13">
        <f>IF(BB201=1,$BB$31,$BB$32)</f>
        <v>152394.16214437486</v>
      </c>
      <c r="BG201" s="13">
        <f>BE201-BF201</f>
        <v>218124.0817614423</v>
      </c>
      <c r="BH201" s="13">
        <f>BH200+BG201</f>
        <v>25738641.647850174</v>
      </c>
      <c r="BI201">
        <f>IF(BH201=MAX($BH$83:$BH$483),$A201,0)</f>
        <v>0</v>
      </c>
      <c r="BJ201">
        <f>IF(BE201&lt;BF201,$A201,B_MAX+1)</f>
        <v>401.0</v>
      </c>
      <c r="BK201" s="13">
        <f>IF(BB201=1,$BB$35,$BB$36)</f>
        <v>0</v>
      </c>
      <c r="BL201" s="13">
        <f>OCC_DAYS*$BB$41*R_NF_2023-BD201*MCD_SHARE_FREED*R_WAIT_2023</f>
        <v>37367.159242427646</v>
      </c>
      <c r="BM201">
        <f>IF($A201&lt;=$BB$45,1,0)</f>
        <v>1</v>
      </c>
      <c r="CB201">
        <f>IF($CB$31&lt;=$CB$32,IF($A201&lt;=$CB$7,1,2),IF($A201&lt;=RUNG_BEDS_2,2,1))</f>
        <v>2</v>
      </c>
      <c r="CC201" s="5">
        <f>MIN(1,MAX(0,$CB$26-($A201-1)))</f>
        <v>1</v>
      </c>
      <c r="CD201" s="5">
        <f>$CB$25*(CC201+(1-CC201)*$CB$16)</f>
        <v>252.05322714681438</v>
      </c>
      <c r="CE201" s="13">
        <f>CD201*($CB$6+ACUTE_MARGIN)</f>
        <v>254573.7594182825</v>
      </c>
      <c r="CF201" s="13">
        <f>IF(CB201=1,$CB$31,$CB$32)</f>
        <v>160718.36940738867</v>
      </c>
      <c r="CG201" s="13">
        <f>CE201-CF201</f>
        <v>93855.39001089384</v>
      </c>
      <c r="CH201" s="13">
        <f>CH200+CG201</f>
        <v>11074936.021285478</v>
      </c>
      <c r="CI201">
        <f>IF(CH201=MAX($CH$83:$CH$483),$A201,0)</f>
        <v>0</v>
      </c>
      <c r="CJ201">
        <f>IF(CE201&lt;CF201,$A201,B_MAX+1)</f>
        <v>401.0</v>
      </c>
      <c r="CK201" s="13">
        <f>IF(CB201=1,$CB$35,$CB$36)</f>
        <v>1560.1194073886782</v>
      </c>
      <c r="CL201" s="13">
        <f>OCC_DAYS*$CB$41*R_NF_2023-CD201*MCD_SHARE_FREED*R_WAIT_2023</f>
        <v>37367.159242427646</v>
      </c>
      <c r="CM201">
        <f>IF($A201&lt;=$CB$45,1,0)</f>
        <v>1</v>
      </c>
      <c r="DB201">
        <f>IF($DB$31&lt;=$DB$32,IF($A201&lt;=$DB$7,1,2),IF($A201&lt;=RUNG_BEDS_2,2,1))</f>
        <v>1</v>
      </c>
      <c r="DC201" s="5">
        <f>MIN(1,MAX(0,$DB$26-($A201-1)))</f>
        <v>1</v>
      </c>
      <c r="DD201" s="5">
        <f>$DB$25*(DC201+(1-DC201)*$DB$16)</f>
        <v>252.05322714681438</v>
      </c>
      <c r="DE201" s="13">
        <f>DD201*($DB$6+ACUTE_MARGIN)</f>
        <v>254573.7594182825</v>
      </c>
      <c r="DF201" s="13">
        <f>IF(DB201=1,$DB$31,$DB$32)</f>
        <v>152394.16214437486</v>
      </c>
      <c r="DG201" s="13">
        <f>DE201-DF201</f>
        <v>102179.59727390765</v>
      </c>
      <c r="DH201" s="13">
        <f>DH200+DG201</f>
        <v>12057192.478321133</v>
      </c>
      <c r="DI201">
        <f>IF(DH201=MAX($DH$83:$DH$483),$A201,0)</f>
        <v>0</v>
      </c>
      <c r="DJ201">
        <f>IF(DE201&lt;DF201,$A201,B_MAX+1)</f>
        <v>401.0</v>
      </c>
      <c r="DK201" s="13">
        <f>IF(DB201=1,$DB$35,$DB$36)</f>
        <v>0</v>
      </c>
      <c r="DL201" s="13">
        <f>OCC_DAYS*$DB$41*R_NF_2023-DD201*MCD_SHARE_FREED*R_WAIT_2023</f>
        <v>37367.159242427646</v>
      </c>
      <c r="DM201">
        <f>IF($A201&lt;=$DB$45,1,0)</f>
        <v>1</v>
      </c>
      <c r="EB201">
        <f>IF($EB$31&lt;=$EB$32,IF($A201&lt;=$EB$7,1,2),IF($A201&lt;=RUNG_BEDS_2,2,1))</f>
        <v>1</v>
      </c>
      <c r="EC201" s="5">
        <f>MIN(1,MAX(0,$EB$26-($A201-1)))</f>
        <v>1</v>
      </c>
      <c r="ED201" s="5">
        <f>$EB$25*(EC201+(1-EC201)*$EB$16)</f>
        <v>252.05322714681438</v>
      </c>
      <c r="EE201" s="13">
        <f>ED201*($EB$6+ACUTE_MARGIN)</f>
        <v>254573.7594182825</v>
      </c>
      <c r="EF201" s="13">
        <f>IF(EB201=1,$EB$31,$EB$32)</f>
        <v>152394.16214437486</v>
      </c>
      <c r="EG201" s="13">
        <f>EE201-EF201</f>
        <v>102179.59727390765</v>
      </c>
      <c r="EH201" s="13">
        <f>EH200+EG201</f>
        <v>12057192.478321133</v>
      </c>
      <c r="EI201">
        <f>IF(EH201=MAX($EH$83:$EH$483),$A201,0)</f>
        <v>0</v>
      </c>
      <c r="EJ201">
        <f>IF(EE201&lt;EF201,$A201,B_MAX+1)</f>
        <v>401.0</v>
      </c>
      <c r="EK201" s="13">
        <f>IF(EB201=1,$EB$35,$EB$36)</f>
        <v>0</v>
      </c>
      <c r="EL201" s="13">
        <f>OCC_DAYS*$EB$41*R_NF_2023-ED201*MCD_SHARE_FREED*R_WAIT_2023</f>
        <v>-63953.16263896705</v>
      </c>
      <c r="EM201">
        <f>IF($A201&lt;=$EB$45,1,0)</f>
        <v>1</v>
      </c>
      <c r="FB201">
        <f>IF($FB$31&lt;=$FB$32,IF($A201&lt;=$FB$7,1,2),IF($A201&lt;=RUNG_BEDS_2,2,1))</f>
        <v>1</v>
      </c>
      <c r="FC201" s="5">
        <f>MIN(1,MAX(0,$FB$26-($A201-1)))</f>
        <v>1</v>
      </c>
      <c r="FD201" s="5">
        <f>$FB$25*(FC201+(1-FC201)*$FB$16)</f>
        <v>252.05322714681438</v>
      </c>
      <c r="FE201" s="13">
        <f>FD201*($FB$6+ACUTE_MARGIN)</f>
        <v>254573.7594182825</v>
      </c>
      <c r="FF201" s="13">
        <f>IF(FB201=1,$FB$31,$FB$32)</f>
        <v>156636.04979437485</v>
      </c>
      <c r="FG201" s="13">
        <f>FE201-FF201</f>
        <v>97937.70962390766</v>
      </c>
      <c r="FH201" s="13">
        <f>FH200+FG201</f>
        <v>11556649.735621076</v>
      </c>
      <c r="FI201">
        <f>IF(FH201=MAX($FH$83:$FH$483),$A201,0)</f>
        <v>0</v>
      </c>
      <c r="FJ201">
        <f>IF(FE201&lt;FF201,$A201,B_MAX+1)</f>
        <v>401.0</v>
      </c>
      <c r="FK201" s="13">
        <f>IF(FB201=1,$FB$35,$FB$36)</f>
        <v>0</v>
      </c>
      <c r="FL201" s="13">
        <f>OCC_DAYS*$FB$41*R_NF_2023-FD201*MCD_SHARE_FREED*R_WAIT_2023</f>
        <v>37367.159242427646</v>
      </c>
      <c r="FM201">
        <f>IF($A201&lt;=$FB$45,1,0)</f>
        <v>1</v>
      </c>
      <c r="GB201">
        <f>IF($GB$31&lt;=$GB$32,IF($A201&lt;=$GB$7,1,2),IF($A201&lt;=RUNG_BEDS_2,2,1))</f>
        <v>1</v>
      </c>
      <c r="GC201" s="5">
        <f>MIN(1,MAX(0,$GB$26-($A201-1)))</f>
        <v>1</v>
      </c>
      <c r="GD201" s="5">
        <f>$GB$25*(GC201+(1-GC201)*$GB$16)</f>
        <v>252.05322714681438</v>
      </c>
      <c r="GE201" s="13">
        <f>GD201*($GB$6+ACUTE_MARGIN)</f>
        <v>254573.7594182825</v>
      </c>
      <c r="GF201" s="13">
        <f>IF(GB201=1,$GB$31,$GB$32)</f>
        <v>152394.16214437486</v>
      </c>
      <c r="GG201" s="13">
        <f>GE201-GF201</f>
        <v>102179.59727390765</v>
      </c>
      <c r="GH201" s="13">
        <f>GH200+GG201</f>
        <v>12057192.478321133</v>
      </c>
      <c r="GI201">
        <f>IF(GH201=MAX($GH$83:$GH$483),$A201,0)</f>
        <v>0</v>
      </c>
      <c r="GJ201">
        <f>IF(GE201&lt;GF201,$A201,B_MAX+1)</f>
        <v>401.0</v>
      </c>
      <c r="GK201" s="13">
        <f>IF(GB201=1,$GB$35,$GB$36)</f>
        <v>0</v>
      </c>
      <c r="GL201" s="13">
        <f>OCC_DAYS*$GB$41*R_NF_2023-GD201*MCD_SHARE_FREED*R_WAIT_2023</f>
        <v>37367.159242427646</v>
      </c>
      <c r="GM201">
        <f>IF($A201&lt;=$GB$45,1,0)</f>
        <v>1</v>
      </c>
      <c r="HB201">
        <f>IF($HB$31&lt;=$HB$32,IF($A201&lt;=$HB$7,1,2),IF($A201&lt;=RUNG_BEDS_2,2,1))</f>
        <v>1</v>
      </c>
      <c r="HC201" s="5">
        <f>MIN(1,MAX(0,$HB$26-($A201-1)))</f>
        <v>1</v>
      </c>
      <c r="HD201" s="5">
        <f>$HB$25*(HC201+(1-HC201)*$HB$16)</f>
        <v>252.05322714681438</v>
      </c>
      <c r="HE201" s="13">
        <f>HD201*($HB$6+ACUTE_MARGIN)</f>
        <v>254573.7594182825</v>
      </c>
      <c r="HF201" s="13">
        <f>IF(HB201=1,$HB$31,$HB$32)</f>
        <v>152456.2970814058</v>
      </c>
      <c r="HG201" s="13">
        <f>HE201-HF201</f>
        <v>102117.46233687672</v>
      </c>
      <c r="HH201" s="13">
        <f>HH200+HG201</f>
        <v>12049860.555751467</v>
      </c>
      <c r="HI201">
        <f>IF(HH201=MAX($HH$83:$HH$483),$A201,0)</f>
        <v>0</v>
      </c>
      <c r="HJ201">
        <f>IF(HE201&lt;HF201,$A201,B_MAX+1)</f>
        <v>401.0</v>
      </c>
      <c r="HK201" s="13">
        <f>IF(HB201=1,$HB$35,$HB$36)</f>
        <v>0</v>
      </c>
      <c r="HL201" s="13">
        <f>OCC_DAYS*$HB$41*R_NF_2023-HD201*MCD_SHARE_FREED*R_WAIT_2023</f>
        <v>37367.159242427646</v>
      </c>
      <c r="HM201">
        <f>IF($A201&lt;=$HB$45,1,0)</f>
        <v>1</v>
      </c>
      <c r="IB201">
        <f>IF($IB$31&lt;=$IB$32,IF($A201&lt;=$IB$7,1,2),IF($A201&lt;=RUNG_BEDS_2,2,1))</f>
        <v>1</v>
      </c>
      <c r="IC201" s="5">
        <f>MIN(1,MAX(0,$IB$26-($A201-1)))</f>
        <v>1</v>
      </c>
      <c r="ID201" s="5">
        <f>$IB$25*(IC201+(1-IC201)*$IB$16)</f>
        <v>252.05322714681438</v>
      </c>
      <c r="IE201" s="13">
        <f>ID201*($IB$6+ACUTE_MARGIN)</f>
        <v>254573.7594182825</v>
      </c>
      <c r="IF201" s="13">
        <f>IF(IB201=1,$IB$31,$IB$32)</f>
        <v>152734.9994534971</v>
      </c>
      <c r="IG201" s="13">
        <f>IE201-IF201</f>
        <v>101838.75996478542</v>
      </c>
      <c r="IH201" s="13">
        <f>IH200+IG201</f>
        <v>12016973.675844658</v>
      </c>
      <c r="II201">
        <f>IF(IH201=MAX($IH$83:$IH$483),$A201,0)</f>
        <v>0</v>
      </c>
      <c r="IJ201">
        <f>IF(IE201&lt;IF201,$A201,B_MAX+1)</f>
        <v>401.0</v>
      </c>
      <c r="IK201" s="13">
        <f>IF(IB201=1,$IB$35,$IB$36)</f>
        <v>0</v>
      </c>
      <c r="IL201" s="13">
        <f>OCC_DAYS*$IB$41*R_NF_2023-ID201*MCD_SHARE_FREED*R_WAIT_2023</f>
        <v>37367.159242427646</v>
      </c>
      <c r="IM201">
        <f>IF($A201&lt;=$IB$45,1,0)</f>
        <v>1</v>
      </c>
      <c r="JB201">
        <f>IF($JB$31&lt;=$JB$32,IF($A201&lt;=$JB$7,1,2),IF($A201&lt;=RUNG_BEDS_2,2,1))</f>
        <v>1</v>
      </c>
      <c r="JC201" s="5">
        <f>MIN(1,MAX(0,$JB$26-($A201-1)))</f>
        <v>1</v>
      </c>
      <c r="JD201" s="5">
        <f>$JB$25*(JC201+(1-JC201)*$JB$16)</f>
        <v>252.05322714681438</v>
      </c>
      <c r="JE201" s="13">
        <f>JD201*($JB$6+ACUTE_MARGIN)</f>
        <v>254573.7594182825</v>
      </c>
      <c r="JF201" s="13">
        <f>IF(JB201=1,$JB$31,$JB$32)</f>
        <v>152394.16214437486</v>
      </c>
      <c r="JG201" s="13">
        <f>JE201-JF201</f>
        <v>102179.59727390765</v>
      </c>
      <c r="JH201" s="13">
        <f>JH200+JG201</f>
        <v>12057192.478321133</v>
      </c>
      <c r="JI201">
        <f>IF(JH201=MAX($JH$83:$JH$483),$A201,0)</f>
        <v>0</v>
      </c>
      <c r="JJ201">
        <f>IF(JE201&lt;JF201,$A201,B_MAX+1)</f>
        <v>401.0</v>
      </c>
      <c r="JK201" s="13">
        <f>IF(JB201=1,$JB$35,$JB$36)</f>
        <v>0</v>
      </c>
      <c r="JL201" s="13">
        <f>OCC_DAYS*$JB$41*R_NF_2023-JD201*MCD_SHARE_FREED*R_WAIT_2023</f>
        <v>37367.159242427646</v>
      </c>
      <c r="JM201">
        <f>IF($A201&lt;=$JB$45,1,0)</f>
        <v>1</v>
      </c>
      <c r="KB201">
        <f>IF($KB$31&lt;=$KB$32,IF($A201&lt;=$KB$7,1,2),IF($A201&lt;=RUNG_BEDS_2,2,1))</f>
        <v>1</v>
      </c>
      <c r="KC201" s="5">
        <f>MIN(1,MAX(0,$KB$26-($A201-1)))</f>
        <v>1</v>
      </c>
      <c r="KD201" s="5">
        <f>$KB$25*(KC201+(1-KC201)*$KB$16)</f>
        <v>126.02661357340719</v>
      </c>
      <c r="KE201" s="13">
        <f>KD201*($KB$6+ACUTE_MARGIN)</f>
        <v>127286.87970914126</v>
      </c>
      <c r="KF201" s="13">
        <f>IF(KB201=1,$KB$31,$KB$32)</f>
        <v>152394.16214437486</v>
      </c>
      <c r="KG201" s="13">
        <f>KE201-KF201</f>
        <v>-25107.282435233603</v>
      </c>
      <c r="KH201" s="13">
        <f>KH200+KG201</f>
        <v>-2962659.3273575725</v>
      </c>
      <c r="KI201">
        <f>IF(KH201=MAX($KH$83:$KH$483),$A201,0)</f>
        <v>0</v>
      </c>
      <c r="KJ201">
        <f>IF(KE201&lt;KF201,$A201,B_MAX+1)</f>
        <v>118</v>
      </c>
      <c r="KK201" s="13">
        <f>IF(KB201=1,$KB$35,$KB$36)</f>
        <v>0</v>
      </c>
      <c r="KL201" s="13">
        <f>OCC_DAYS*$KB$41*R_NF_2023-KD201*MCD_SHARE_FREED*R_WAIT_2023</f>
        <v>94673.82103225985</v>
      </c>
      <c r="KM201">
        <f>IF($A201&lt;=$KB$45,1,0)</f>
        <v>0</v>
      </c>
      <c r="LB201">
        <f>IF($LB$31&lt;=$LB$32,IF($A201&lt;=$LB$7,1,2),IF($A201&lt;=RUNG_BEDS_2,2,1))</f>
        <v>1</v>
      </c>
      <c r="LC201" s="5">
        <f>MIN(1,MAX(0,$LB$26-($A201-1)))</f>
        <v>1</v>
      </c>
      <c r="LD201" s="5">
        <f>$LB$25*(LC201+(1-LC201)*$LB$16)</f>
        <v>84.01774238227146</v>
      </c>
      <c r="LE201" s="13">
        <f>LD201*($LB$6+ACUTE_MARGIN)</f>
        <v>84857.91980609419</v>
      </c>
      <c r="LF201" s="13">
        <f>IF(LB201=1,$LB$31,$LB$32)</f>
        <v>152394.16214437486</v>
      </c>
      <c r="LG201" s="13">
        <f>LE201-LF201</f>
        <v>-67536.24233828067</v>
      </c>
      <c r="LH201" s="13">
        <f>LH200+LG201</f>
        <v>-7969276.595917144</v>
      </c>
      <c r="LI201">
        <f>IF(LH201=MAX($LH$83:$LH$483),$A201,0)</f>
        <v>0</v>
      </c>
      <c r="LJ201">
        <f>IF(LE201&lt;LF201,$A201,B_MAX+1)</f>
        <v>118</v>
      </c>
      <c r="LK201" s="13">
        <f>IF(LB201=1,$LB$35,$LB$36)</f>
        <v>0</v>
      </c>
      <c r="LL201" s="13">
        <f>OCC_DAYS*$LB$41*R_NF_2023-LD201*MCD_SHARE_FREED*R_WAIT_2023</f>
        <v>113776.04162887059</v>
      </c>
      <c r="LM201">
        <f>IF($A201&lt;=$LB$45,1,0)</f>
        <v>0</v>
      </c>
      <c r="MB201">
        <f>IF($MB$31&lt;=$MB$32,IF($A201&lt;=$MB$7,1,2),IF($A201&lt;=RUNG_BEDS_2,2,1))</f>
        <v>1</v>
      </c>
      <c r="MC201" s="5">
        <f>MIN(1,MAX(0,$MB$26-($A201-1)))</f>
        <v>1</v>
      </c>
      <c r="MD201" s="5">
        <f>$MB$25*(MC201+(1-MC201)*$MB$16)</f>
        <v>213.44610951008647</v>
      </c>
      <c r="ME201" s="13">
        <f>MD201*($MB$6+ACUTE_MARGIN)</f>
        <v>215580.57060518733</v>
      </c>
      <c r="MF201" s="13">
        <f>IF(MB201=1,$MB$31,$MB$32)</f>
        <v>152394.16214437486</v>
      </c>
      <c r="MG201" s="13">
        <f>ME201-MF201</f>
        <v>63186.40846081247</v>
      </c>
      <c r="MH201" s="13">
        <f>MH200+MG201</f>
        <v>7455996.198375884</v>
      </c>
      <c r="MI201">
        <f>IF(MH201=MAX($MH$83:$MH$483),$A201,0)</f>
        <v>0</v>
      </c>
      <c r="MJ201">
        <f>IF(ME201&lt;MF201,$A201,B_MAX+1)</f>
        <v>401.0</v>
      </c>
      <c r="MK201" s="13">
        <f>IF(MB201=1,$MB$35,$MB$36)</f>
        <v>0</v>
      </c>
      <c r="ML201" s="13">
        <f>OCC_DAYS*$MB$41*R_NF_2023-MD201*MCD_SHARE_FREED*R_WAIT_2023</f>
        <v>54922.538779778624</v>
      </c>
      <c r="MM201">
        <f>IF($A201&lt;=$MB$45,1,0)</f>
        <v>1</v>
      </c>
      <c r="NB201">
        <f>IF($NB$31&lt;=$NB$32,IF($A201&lt;=$NB$7,1,2),IF($A201&lt;=RUNG_BEDS_2,2,1))</f>
        <v>1</v>
      </c>
      <c r="NC201" s="5">
        <f>MIN(1,MAX(0,$NB$26-($A201-1)))</f>
        <v>1</v>
      </c>
      <c r="ND201" s="5">
        <f>$NB$25*(NC201+(1-NC201)*$NB$16)</f>
        <v>252.05322714681438</v>
      </c>
      <c r="NE201" s="13">
        <f>ND201*($NB$6+ACUTE_MARGIN)</f>
        <v>254573.7594182825</v>
      </c>
      <c r="NF201" s="13">
        <f>IF(NB201=1,$NB$31,$NB$32)</f>
        <v>152394.16214437486</v>
      </c>
      <c r="NG201" s="13">
        <f>NE201-NF201</f>
        <v>102179.59727390765</v>
      </c>
      <c r="NH201" s="13">
        <f>NH200+NG201</f>
        <v>12057192.478321133</v>
      </c>
      <c r="NI201">
        <f>IF(NH201=MAX($NH$83:$NH$483),$A201,0)</f>
        <v>0</v>
      </c>
      <c r="NJ201">
        <f>IF(NE201&lt;NF201,$A201,B_MAX+1)</f>
        <v>401.0</v>
      </c>
      <c r="NK201" s="13">
        <f>IF(NB201=1,$NB$35,$NB$36)</f>
        <v>0</v>
      </c>
      <c r="NL201" s="13">
        <f>OCC_DAYS*$NB$41*R_NF_2023-ND201*MCD_SHARE_FREED*R_WAIT_2023</f>
        <v>37367.159242427646</v>
      </c>
      <c r="NM201">
        <f>IF($A201&lt;=$NB$45,1,0)</f>
        <v>1</v>
      </c>
      <c r="OB201">
        <f>IF($OB$31&lt;=$OB$32,IF($A201&lt;=$OB$7,1,2),IF($A201&lt;=RUNG_BEDS_2,2,1))</f>
        <v>1</v>
      </c>
      <c r="OC201" s="5">
        <f>MIN(1,MAX(0,$OB$26-($A201-1)))</f>
        <v>1</v>
      </c>
      <c r="OD201" s="5">
        <f>$OB$25*(OC201+(1-OC201)*$OB$16)</f>
        <v>252.05322714681438</v>
      </c>
      <c r="OE201" s="13">
        <f>OD201*($OB$6+ACUTE_MARGIN)</f>
        <v>254573.7594182825</v>
      </c>
      <c r="OF201" s="13">
        <f>IF(OB201=1,$OB$31,$OB$32)</f>
        <v>152394.16214437486</v>
      </c>
      <c r="OG201" s="13">
        <f>OE201-OF201</f>
        <v>102179.59727390765</v>
      </c>
      <c r="OH201" s="13">
        <f>OH200+OG201</f>
        <v>12057192.478321133</v>
      </c>
      <c r="OI201">
        <f>IF(OH201=MAX($OH$83:$OH$483),$A201,0)</f>
        <v>0</v>
      </c>
      <c r="OJ201">
        <f>IF(OE201&lt;OF201,$A201,B_MAX+1)</f>
        <v>401.0</v>
      </c>
      <c r="OK201" s="13">
        <f>IF(OB201=1,$OB$35,$OB$36)</f>
        <v>0</v>
      </c>
      <c r="OL201" s="13">
        <f>OCC_DAYS*$OB$41*R_NF_2023-OD201*MCD_SHARE_FREED*R_WAIT_2023</f>
        <v>37367.159242427646</v>
      </c>
      <c r="OM201">
        <f>IF($A201&lt;=$OB$45,1,0)</f>
        <v>1</v>
      </c>
    </row>
    <row r="202">
      <c r="A202" t="n">
        <v>119</v>
      </c>
      <c r="B202">
        <f>IF($B$31&lt;=$B$32,IF($A202&lt;=$B$7,1,2),IF($A202&lt;=RUNG_BEDS_2,2,1))</f>
        <v>1</v>
      </c>
      <c r="C202" s="5">
        <f>MIN(1,MAX(0,$B$26-($A202-1)))</f>
        <v>1</v>
      </c>
      <c r="D202" s="5">
        <f>$B$25*(C202+(1-C202)*$B$16)</f>
        <v>252.05322714681438</v>
      </c>
      <c r="E202" s="13">
        <f>D202*($B$6+ACUTE_MARGIN)</f>
        <v>254573.7594182825</v>
      </c>
      <c r="F202" s="13">
        <f>IF(B202=1,$B$31,$B$32)</f>
        <v>152394.16214437486</v>
      </c>
      <c r="G202" s="13">
        <f>E202-F202</f>
        <v>102179.59727390765</v>
      </c>
      <c r="H202" s="13">
        <f>H201+G202</f>
        <v>12159372.075595042</v>
      </c>
      <c r="I202">
        <f>IF(H202=MAX($H$83:$H$483),$A202,0)</f>
        <v>0</v>
      </c>
      <c r="J202">
        <f>IF(E202&lt;F202,$A202,B_MAX+1)</f>
        <v>401.0</v>
      </c>
      <c r="K202" s="13">
        <f>IF(B202=1,$B$35,$B$36)</f>
        <v>0</v>
      </c>
      <c r="L202" s="13">
        <f>OCC_DAYS*$B$41*R_NF_2023-D202*MCD_SHARE_FREED*R_WAIT_2023</f>
        <v>37367.159242427646</v>
      </c>
      <c r="M202">
        <f>IF($A202&lt;=$B$45,1,0)</f>
        <v>1</v>
      </c>
      <c r="AB202">
        <f>IF($AB$31&lt;=$AB$32,IF($A202&lt;=$AB$7,1,2),IF($A202&lt;=RUNG_BEDS_2,2,1))</f>
        <v>1</v>
      </c>
      <c r="AC202" s="5">
        <f>MIN(1,MAX(0,$AB$26-($A202-1)))</f>
        <v>1</v>
      </c>
      <c r="AD202" s="5">
        <f>$AB$25*(AC202+(1-AC202)*$AB$16)</f>
        <v>252.05322714681438</v>
      </c>
      <c r="AE202" s="13">
        <f>AD202*($AB$6+ACUTE_MARGIN)</f>
        <v>138629.2749307479</v>
      </c>
      <c r="AF202" s="13">
        <f>IF(AB202=1,$AB$31,$AB$32)</f>
        <v>152394.16214437486</v>
      </c>
      <c r="AG202" s="13">
        <f>AE202-AF202</f>
        <v>-13764.887213626964</v>
      </c>
      <c r="AH202" s="13">
        <f>AH201+AG202</f>
        <v>-1638021.5784216067</v>
      </c>
      <c r="AI202">
        <f>IF(AH202=MAX($AH$83:$AH$483),$A202,0)</f>
        <v>0</v>
      </c>
      <c r="AJ202">
        <f>IF(AE202&lt;AF202,$A202,B_MAX+1)</f>
        <v>119</v>
      </c>
      <c r="AK202" s="13">
        <f>IF(AB202=1,$AB$35,$AB$36)</f>
        <v>0</v>
      </c>
      <c r="AL202" s="13">
        <f>OCC_DAYS*$AB$41*R_NF_2023-AD202*MCD_SHARE_FREED*R_WAIT_2023</f>
        <v>37367.159242427646</v>
      </c>
      <c r="AM202">
        <f>IF($A202&lt;=$AB$45,1,0)</f>
        <v>0</v>
      </c>
      <c r="BB202">
        <f>IF($BB$31&lt;=$BB$32,IF($A202&lt;=$BB$7,1,2),IF($A202&lt;=RUNG_BEDS_2,2,1))</f>
        <v>1</v>
      </c>
      <c r="BC202" s="5">
        <f>MIN(1,MAX(0,$BB$26-($A202-1)))</f>
        <v>1</v>
      </c>
      <c r="BD202" s="5">
        <f>$BB$25*(BC202+(1-BC202)*$BB$16)</f>
        <v>252.05322714681438</v>
      </c>
      <c r="BE202" s="13">
        <f>BD202*($BB$6+ACUTE_MARGIN)</f>
        <v>370518.24390581716</v>
      </c>
      <c r="BF202" s="13">
        <f>IF(BB202=1,$BB$31,$BB$32)</f>
        <v>152394.16214437486</v>
      </c>
      <c r="BG202" s="13">
        <f>BE202-BF202</f>
        <v>218124.0817614423</v>
      </c>
      <c r="BH202" s="13">
        <f>BH201+BG202</f>
        <v>25956765.729611617</v>
      </c>
      <c r="BI202">
        <f>IF(BH202=MAX($BH$83:$BH$483),$A202,0)</f>
        <v>0</v>
      </c>
      <c r="BJ202">
        <f>IF(BE202&lt;BF202,$A202,B_MAX+1)</f>
        <v>401.0</v>
      </c>
      <c r="BK202" s="13">
        <f>IF(BB202=1,$BB$35,$BB$36)</f>
        <v>0</v>
      </c>
      <c r="BL202" s="13">
        <f>OCC_DAYS*$BB$41*R_NF_2023-BD202*MCD_SHARE_FREED*R_WAIT_2023</f>
        <v>37367.159242427646</v>
      </c>
      <c r="BM202">
        <f>IF($A202&lt;=$BB$45,1,0)</f>
        <v>1</v>
      </c>
      <c r="CB202">
        <f>IF($CB$31&lt;=$CB$32,IF($A202&lt;=$CB$7,1,2),IF($A202&lt;=RUNG_BEDS_2,2,1))</f>
        <v>2</v>
      </c>
      <c r="CC202" s="5">
        <f>MIN(1,MAX(0,$CB$26-($A202-1)))</f>
        <v>1</v>
      </c>
      <c r="CD202" s="5">
        <f>$CB$25*(CC202+(1-CC202)*$CB$16)</f>
        <v>252.05322714681438</v>
      </c>
      <c r="CE202" s="13">
        <f>CD202*($CB$6+ACUTE_MARGIN)</f>
        <v>254573.7594182825</v>
      </c>
      <c r="CF202" s="13">
        <f>IF(CB202=1,$CB$31,$CB$32)</f>
        <v>160718.36940738867</v>
      </c>
      <c r="CG202" s="13">
        <f>CE202-CF202</f>
        <v>93855.39001089384</v>
      </c>
      <c r="CH202" s="13">
        <f>CH201+CG202</f>
        <v>11168791.411296371</v>
      </c>
      <c r="CI202">
        <f>IF(CH202=MAX($CH$83:$CH$483),$A202,0)</f>
        <v>0</v>
      </c>
      <c r="CJ202">
        <f>IF(CE202&lt;CF202,$A202,B_MAX+1)</f>
        <v>401.0</v>
      </c>
      <c r="CK202" s="13">
        <f>IF(CB202=1,$CB$35,$CB$36)</f>
        <v>1560.1194073886782</v>
      </c>
      <c r="CL202" s="13">
        <f>OCC_DAYS*$CB$41*R_NF_2023-CD202*MCD_SHARE_FREED*R_WAIT_2023</f>
        <v>37367.159242427646</v>
      </c>
      <c r="CM202">
        <f>IF($A202&lt;=$CB$45,1,0)</f>
        <v>1</v>
      </c>
      <c r="DB202">
        <f>IF($DB$31&lt;=$DB$32,IF($A202&lt;=$DB$7,1,2),IF($A202&lt;=RUNG_BEDS_2,2,1))</f>
        <v>1</v>
      </c>
      <c r="DC202" s="5">
        <f>MIN(1,MAX(0,$DB$26-($A202-1)))</f>
        <v>1</v>
      </c>
      <c r="DD202" s="5">
        <f>$DB$25*(DC202+(1-DC202)*$DB$16)</f>
        <v>252.05322714681438</v>
      </c>
      <c r="DE202" s="13">
        <f>DD202*($DB$6+ACUTE_MARGIN)</f>
        <v>254573.7594182825</v>
      </c>
      <c r="DF202" s="13">
        <f>IF(DB202=1,$DB$31,$DB$32)</f>
        <v>152394.16214437486</v>
      </c>
      <c r="DG202" s="13">
        <f>DE202-DF202</f>
        <v>102179.59727390765</v>
      </c>
      <c r="DH202" s="13">
        <f>DH201+DG202</f>
        <v>12159372.075595042</v>
      </c>
      <c r="DI202">
        <f>IF(DH202=MAX($DH$83:$DH$483),$A202,0)</f>
        <v>0</v>
      </c>
      <c r="DJ202">
        <f>IF(DE202&lt;DF202,$A202,B_MAX+1)</f>
        <v>401.0</v>
      </c>
      <c r="DK202" s="13">
        <f>IF(DB202=1,$DB$35,$DB$36)</f>
        <v>0</v>
      </c>
      <c r="DL202" s="13">
        <f>OCC_DAYS*$DB$41*R_NF_2023-DD202*MCD_SHARE_FREED*R_WAIT_2023</f>
        <v>37367.159242427646</v>
      </c>
      <c r="DM202">
        <f>IF($A202&lt;=$DB$45,1,0)</f>
        <v>1</v>
      </c>
      <c r="EB202">
        <f>IF($EB$31&lt;=$EB$32,IF($A202&lt;=$EB$7,1,2),IF($A202&lt;=RUNG_BEDS_2,2,1))</f>
        <v>1</v>
      </c>
      <c r="EC202" s="5">
        <f>MIN(1,MAX(0,$EB$26-($A202-1)))</f>
        <v>1</v>
      </c>
      <c r="ED202" s="5">
        <f>$EB$25*(EC202+(1-EC202)*$EB$16)</f>
        <v>252.05322714681438</v>
      </c>
      <c r="EE202" s="13">
        <f>ED202*($EB$6+ACUTE_MARGIN)</f>
        <v>254573.7594182825</v>
      </c>
      <c r="EF202" s="13">
        <f>IF(EB202=1,$EB$31,$EB$32)</f>
        <v>152394.16214437486</v>
      </c>
      <c r="EG202" s="13">
        <f>EE202-EF202</f>
        <v>102179.59727390765</v>
      </c>
      <c r="EH202" s="13">
        <f>EH201+EG202</f>
        <v>12159372.075595042</v>
      </c>
      <c r="EI202">
        <f>IF(EH202=MAX($EH$83:$EH$483),$A202,0)</f>
        <v>0</v>
      </c>
      <c r="EJ202">
        <f>IF(EE202&lt;EF202,$A202,B_MAX+1)</f>
        <v>401.0</v>
      </c>
      <c r="EK202" s="13">
        <f>IF(EB202=1,$EB$35,$EB$36)</f>
        <v>0</v>
      </c>
      <c r="EL202" s="13">
        <f>OCC_DAYS*$EB$41*R_NF_2023-ED202*MCD_SHARE_FREED*R_WAIT_2023</f>
        <v>-63953.16263896705</v>
      </c>
      <c r="EM202">
        <f>IF($A202&lt;=$EB$45,1,0)</f>
        <v>1</v>
      </c>
      <c r="FB202">
        <f>IF($FB$31&lt;=$FB$32,IF($A202&lt;=$FB$7,1,2),IF($A202&lt;=RUNG_BEDS_2,2,1))</f>
        <v>1</v>
      </c>
      <c r="FC202" s="5">
        <f>MIN(1,MAX(0,$FB$26-($A202-1)))</f>
        <v>1</v>
      </c>
      <c r="FD202" s="5">
        <f>$FB$25*(FC202+(1-FC202)*$FB$16)</f>
        <v>252.05322714681438</v>
      </c>
      <c r="FE202" s="13">
        <f>FD202*($FB$6+ACUTE_MARGIN)</f>
        <v>254573.7594182825</v>
      </c>
      <c r="FF202" s="13">
        <f>IF(FB202=1,$FB$31,$FB$32)</f>
        <v>156636.04979437485</v>
      </c>
      <c r="FG202" s="13">
        <f>FE202-FF202</f>
        <v>97937.70962390766</v>
      </c>
      <c r="FH202" s="13">
        <f>FH201+FG202</f>
        <v>11654587.445244983</v>
      </c>
      <c r="FI202">
        <f>IF(FH202=MAX($FH$83:$FH$483),$A202,0)</f>
        <v>0</v>
      </c>
      <c r="FJ202">
        <f>IF(FE202&lt;FF202,$A202,B_MAX+1)</f>
        <v>401.0</v>
      </c>
      <c r="FK202" s="13">
        <f>IF(FB202=1,$FB$35,$FB$36)</f>
        <v>0</v>
      </c>
      <c r="FL202" s="13">
        <f>OCC_DAYS*$FB$41*R_NF_2023-FD202*MCD_SHARE_FREED*R_WAIT_2023</f>
        <v>37367.159242427646</v>
      </c>
      <c r="FM202">
        <f>IF($A202&lt;=$FB$45,1,0)</f>
        <v>1</v>
      </c>
      <c r="GB202">
        <f>IF($GB$31&lt;=$GB$32,IF($A202&lt;=$GB$7,1,2),IF($A202&lt;=RUNG_BEDS_2,2,1))</f>
        <v>1</v>
      </c>
      <c r="GC202" s="5">
        <f>MIN(1,MAX(0,$GB$26-($A202-1)))</f>
        <v>1</v>
      </c>
      <c r="GD202" s="5">
        <f>$GB$25*(GC202+(1-GC202)*$GB$16)</f>
        <v>252.05322714681438</v>
      </c>
      <c r="GE202" s="13">
        <f>GD202*($GB$6+ACUTE_MARGIN)</f>
        <v>254573.7594182825</v>
      </c>
      <c r="GF202" s="13">
        <f>IF(GB202=1,$GB$31,$GB$32)</f>
        <v>152394.16214437486</v>
      </c>
      <c r="GG202" s="13">
        <f>GE202-GF202</f>
        <v>102179.59727390765</v>
      </c>
      <c r="GH202" s="13">
        <f>GH201+GG202</f>
        <v>12159372.075595042</v>
      </c>
      <c r="GI202">
        <f>IF(GH202=MAX($GH$83:$GH$483),$A202,0)</f>
        <v>0</v>
      </c>
      <c r="GJ202">
        <f>IF(GE202&lt;GF202,$A202,B_MAX+1)</f>
        <v>401.0</v>
      </c>
      <c r="GK202" s="13">
        <f>IF(GB202=1,$GB$35,$GB$36)</f>
        <v>0</v>
      </c>
      <c r="GL202" s="13">
        <f>OCC_DAYS*$GB$41*R_NF_2023-GD202*MCD_SHARE_FREED*R_WAIT_2023</f>
        <v>37367.159242427646</v>
      </c>
      <c r="GM202">
        <f>IF($A202&lt;=$GB$45,1,0)</f>
        <v>1</v>
      </c>
      <c r="HB202">
        <f>IF($HB$31&lt;=$HB$32,IF($A202&lt;=$HB$7,1,2),IF($A202&lt;=RUNG_BEDS_2,2,1))</f>
        <v>1</v>
      </c>
      <c r="HC202" s="5">
        <f>MIN(1,MAX(0,$HB$26-($A202-1)))</f>
        <v>1</v>
      </c>
      <c r="HD202" s="5">
        <f>$HB$25*(HC202+(1-HC202)*$HB$16)</f>
        <v>252.05322714681438</v>
      </c>
      <c r="HE202" s="13">
        <f>HD202*($HB$6+ACUTE_MARGIN)</f>
        <v>254573.7594182825</v>
      </c>
      <c r="HF202" s="13">
        <f>IF(HB202=1,$HB$31,$HB$32)</f>
        <v>152456.2970814058</v>
      </c>
      <c r="HG202" s="13">
        <f>HE202-HF202</f>
        <v>102117.46233687672</v>
      </c>
      <c r="HH202" s="13">
        <f>HH201+HG202</f>
        <v>12151978.018088344</v>
      </c>
      <c r="HI202">
        <f>IF(HH202=MAX($HH$83:$HH$483),$A202,0)</f>
        <v>0</v>
      </c>
      <c r="HJ202">
        <f>IF(HE202&lt;HF202,$A202,B_MAX+1)</f>
        <v>401.0</v>
      </c>
      <c r="HK202" s="13">
        <f>IF(HB202=1,$HB$35,$HB$36)</f>
        <v>0</v>
      </c>
      <c r="HL202" s="13">
        <f>OCC_DAYS*$HB$41*R_NF_2023-HD202*MCD_SHARE_FREED*R_WAIT_2023</f>
        <v>37367.159242427646</v>
      </c>
      <c r="HM202">
        <f>IF($A202&lt;=$HB$45,1,0)</f>
        <v>1</v>
      </c>
      <c r="IB202">
        <f>IF($IB$31&lt;=$IB$32,IF($A202&lt;=$IB$7,1,2),IF($A202&lt;=RUNG_BEDS_2,2,1))</f>
        <v>1</v>
      </c>
      <c r="IC202" s="5">
        <f>MIN(1,MAX(0,$IB$26-($A202-1)))</f>
        <v>1</v>
      </c>
      <c r="ID202" s="5">
        <f>$IB$25*(IC202+(1-IC202)*$IB$16)</f>
        <v>252.05322714681438</v>
      </c>
      <c r="IE202" s="13">
        <f>ID202*($IB$6+ACUTE_MARGIN)</f>
        <v>254573.7594182825</v>
      </c>
      <c r="IF202" s="13">
        <f>IF(IB202=1,$IB$31,$IB$32)</f>
        <v>152734.9994534971</v>
      </c>
      <c r="IG202" s="13">
        <f>IE202-IF202</f>
        <v>101838.75996478542</v>
      </c>
      <c r="IH202" s="13">
        <f>IH201+IG202</f>
        <v>12118812.435809443</v>
      </c>
      <c r="II202">
        <f>IF(IH202=MAX($IH$83:$IH$483),$A202,0)</f>
        <v>0</v>
      </c>
      <c r="IJ202">
        <f>IF(IE202&lt;IF202,$A202,B_MAX+1)</f>
        <v>401.0</v>
      </c>
      <c r="IK202" s="13">
        <f>IF(IB202=1,$IB$35,$IB$36)</f>
        <v>0</v>
      </c>
      <c r="IL202" s="13">
        <f>OCC_DAYS*$IB$41*R_NF_2023-ID202*MCD_SHARE_FREED*R_WAIT_2023</f>
        <v>37367.159242427646</v>
      </c>
      <c r="IM202">
        <f>IF($A202&lt;=$IB$45,1,0)</f>
        <v>1</v>
      </c>
      <c r="JB202">
        <f>IF($JB$31&lt;=$JB$32,IF($A202&lt;=$JB$7,1,2),IF($A202&lt;=RUNG_BEDS_2,2,1))</f>
        <v>1</v>
      </c>
      <c r="JC202" s="5">
        <f>MIN(1,MAX(0,$JB$26-($A202-1)))</f>
        <v>1</v>
      </c>
      <c r="JD202" s="5">
        <f>$JB$25*(JC202+(1-JC202)*$JB$16)</f>
        <v>252.05322714681438</v>
      </c>
      <c r="JE202" s="13">
        <f>JD202*($JB$6+ACUTE_MARGIN)</f>
        <v>254573.7594182825</v>
      </c>
      <c r="JF202" s="13">
        <f>IF(JB202=1,$JB$31,$JB$32)</f>
        <v>152394.16214437486</v>
      </c>
      <c r="JG202" s="13">
        <f>JE202-JF202</f>
        <v>102179.59727390765</v>
      </c>
      <c r="JH202" s="13">
        <f>JH201+JG202</f>
        <v>12159372.075595042</v>
      </c>
      <c r="JI202">
        <f>IF(JH202=MAX($JH$83:$JH$483),$A202,0)</f>
        <v>0</v>
      </c>
      <c r="JJ202">
        <f>IF(JE202&lt;JF202,$A202,B_MAX+1)</f>
        <v>401.0</v>
      </c>
      <c r="JK202" s="13">
        <f>IF(JB202=1,$JB$35,$JB$36)</f>
        <v>0</v>
      </c>
      <c r="JL202" s="13">
        <f>OCC_DAYS*$JB$41*R_NF_2023-JD202*MCD_SHARE_FREED*R_WAIT_2023</f>
        <v>37367.159242427646</v>
      </c>
      <c r="JM202">
        <f>IF($A202&lt;=$JB$45,1,0)</f>
        <v>1</v>
      </c>
      <c r="KB202">
        <f>IF($KB$31&lt;=$KB$32,IF($A202&lt;=$KB$7,1,2),IF($A202&lt;=RUNG_BEDS_2,2,1))</f>
        <v>1</v>
      </c>
      <c r="KC202" s="5">
        <f>MIN(1,MAX(0,$KB$26-($A202-1)))</f>
        <v>1</v>
      </c>
      <c r="KD202" s="5">
        <f>$KB$25*(KC202+(1-KC202)*$KB$16)</f>
        <v>126.02661357340719</v>
      </c>
      <c r="KE202" s="13">
        <f>KD202*($KB$6+ACUTE_MARGIN)</f>
        <v>127286.87970914126</v>
      </c>
      <c r="KF202" s="13">
        <f>IF(KB202=1,$KB$31,$KB$32)</f>
        <v>152394.16214437486</v>
      </c>
      <c r="KG202" s="13">
        <f>KE202-KF202</f>
        <v>-25107.282435233603</v>
      </c>
      <c r="KH202" s="13">
        <f>KH201+KG202</f>
        <v>-2987766.609792806</v>
      </c>
      <c r="KI202">
        <f>IF(KH202=MAX($KH$83:$KH$483),$A202,0)</f>
        <v>0</v>
      </c>
      <c r="KJ202">
        <f>IF(KE202&lt;KF202,$A202,B_MAX+1)</f>
        <v>119</v>
      </c>
      <c r="KK202" s="13">
        <f>IF(KB202=1,$KB$35,$KB$36)</f>
        <v>0</v>
      </c>
      <c r="KL202" s="13">
        <f>OCC_DAYS*$KB$41*R_NF_2023-KD202*MCD_SHARE_FREED*R_WAIT_2023</f>
        <v>94673.82103225985</v>
      </c>
      <c r="KM202">
        <f>IF($A202&lt;=$KB$45,1,0)</f>
        <v>0</v>
      </c>
      <c r="LB202">
        <f>IF($LB$31&lt;=$LB$32,IF($A202&lt;=$LB$7,1,2),IF($A202&lt;=RUNG_BEDS_2,2,1))</f>
        <v>1</v>
      </c>
      <c r="LC202" s="5">
        <f>MIN(1,MAX(0,$LB$26-($A202-1)))</f>
        <v>1</v>
      </c>
      <c r="LD202" s="5">
        <f>$LB$25*(LC202+(1-LC202)*$LB$16)</f>
        <v>84.01774238227146</v>
      </c>
      <c r="LE202" s="13">
        <f>LD202*($LB$6+ACUTE_MARGIN)</f>
        <v>84857.91980609419</v>
      </c>
      <c r="LF202" s="13">
        <f>IF(LB202=1,$LB$31,$LB$32)</f>
        <v>152394.16214437486</v>
      </c>
      <c r="LG202" s="13">
        <f>LE202-LF202</f>
        <v>-67536.24233828067</v>
      </c>
      <c r="LH202" s="13">
        <f>LH201+LG202</f>
        <v>-8036812.838255425</v>
      </c>
      <c r="LI202">
        <f>IF(LH202=MAX($LH$83:$LH$483),$A202,0)</f>
        <v>0</v>
      </c>
      <c r="LJ202">
        <f>IF(LE202&lt;LF202,$A202,B_MAX+1)</f>
        <v>119</v>
      </c>
      <c r="LK202" s="13">
        <f>IF(LB202=1,$LB$35,$LB$36)</f>
        <v>0</v>
      </c>
      <c r="LL202" s="13">
        <f>OCC_DAYS*$LB$41*R_NF_2023-LD202*MCD_SHARE_FREED*R_WAIT_2023</f>
        <v>113776.04162887059</v>
      </c>
      <c r="LM202">
        <f>IF($A202&lt;=$LB$45,1,0)</f>
        <v>0</v>
      </c>
      <c r="MB202">
        <f>IF($MB$31&lt;=$MB$32,IF($A202&lt;=$MB$7,1,2),IF($A202&lt;=RUNG_BEDS_2,2,1))</f>
        <v>1</v>
      </c>
      <c r="MC202" s="5">
        <f>MIN(1,MAX(0,$MB$26-($A202-1)))</f>
        <v>1</v>
      </c>
      <c r="MD202" s="5">
        <f>$MB$25*(MC202+(1-MC202)*$MB$16)</f>
        <v>213.44610951008647</v>
      </c>
      <c r="ME202" s="13">
        <f>MD202*($MB$6+ACUTE_MARGIN)</f>
        <v>215580.57060518733</v>
      </c>
      <c r="MF202" s="13">
        <f>IF(MB202=1,$MB$31,$MB$32)</f>
        <v>152394.16214437486</v>
      </c>
      <c r="MG202" s="13">
        <f>ME202-MF202</f>
        <v>63186.40846081247</v>
      </c>
      <c r="MH202" s="13">
        <f>MH201+MG202</f>
        <v>7519182.606836697</v>
      </c>
      <c r="MI202">
        <f>IF(MH202=MAX($MH$83:$MH$483),$A202,0)</f>
        <v>0</v>
      </c>
      <c r="MJ202">
        <f>IF(ME202&lt;MF202,$A202,B_MAX+1)</f>
        <v>401.0</v>
      </c>
      <c r="MK202" s="13">
        <f>IF(MB202=1,$MB$35,$MB$36)</f>
        <v>0</v>
      </c>
      <c r="ML202" s="13">
        <f>OCC_DAYS*$MB$41*R_NF_2023-MD202*MCD_SHARE_FREED*R_WAIT_2023</f>
        <v>54922.538779778624</v>
      </c>
      <c r="MM202">
        <f>IF($A202&lt;=$MB$45,1,0)</f>
        <v>1</v>
      </c>
      <c r="NB202">
        <f>IF($NB$31&lt;=$NB$32,IF($A202&lt;=$NB$7,1,2),IF($A202&lt;=RUNG_BEDS_2,2,1))</f>
        <v>1</v>
      </c>
      <c r="NC202" s="5">
        <f>MIN(1,MAX(0,$NB$26-($A202-1)))</f>
        <v>1</v>
      </c>
      <c r="ND202" s="5">
        <f>$NB$25*(NC202+(1-NC202)*$NB$16)</f>
        <v>252.05322714681438</v>
      </c>
      <c r="NE202" s="13">
        <f>ND202*($NB$6+ACUTE_MARGIN)</f>
        <v>254573.7594182825</v>
      </c>
      <c r="NF202" s="13">
        <f>IF(NB202=1,$NB$31,$NB$32)</f>
        <v>152394.16214437486</v>
      </c>
      <c r="NG202" s="13">
        <f>NE202-NF202</f>
        <v>102179.59727390765</v>
      </c>
      <c r="NH202" s="13">
        <f>NH201+NG202</f>
        <v>12159372.075595042</v>
      </c>
      <c r="NI202">
        <f>IF(NH202=MAX($NH$83:$NH$483),$A202,0)</f>
        <v>0</v>
      </c>
      <c r="NJ202">
        <f>IF(NE202&lt;NF202,$A202,B_MAX+1)</f>
        <v>401.0</v>
      </c>
      <c r="NK202" s="13">
        <f>IF(NB202=1,$NB$35,$NB$36)</f>
        <v>0</v>
      </c>
      <c r="NL202" s="13">
        <f>OCC_DAYS*$NB$41*R_NF_2023-ND202*MCD_SHARE_FREED*R_WAIT_2023</f>
        <v>37367.159242427646</v>
      </c>
      <c r="NM202">
        <f>IF($A202&lt;=$NB$45,1,0)</f>
        <v>1</v>
      </c>
      <c r="OB202">
        <f>IF($OB$31&lt;=$OB$32,IF($A202&lt;=$OB$7,1,2),IF($A202&lt;=RUNG_BEDS_2,2,1))</f>
        <v>1</v>
      </c>
      <c r="OC202" s="5">
        <f>MIN(1,MAX(0,$OB$26-($A202-1)))</f>
        <v>1</v>
      </c>
      <c r="OD202" s="5">
        <f>$OB$25*(OC202+(1-OC202)*$OB$16)</f>
        <v>252.05322714681438</v>
      </c>
      <c r="OE202" s="13">
        <f>OD202*($OB$6+ACUTE_MARGIN)</f>
        <v>254573.7594182825</v>
      </c>
      <c r="OF202" s="13">
        <f>IF(OB202=1,$OB$31,$OB$32)</f>
        <v>152394.16214437486</v>
      </c>
      <c r="OG202" s="13">
        <f>OE202-OF202</f>
        <v>102179.59727390765</v>
      </c>
      <c r="OH202" s="13">
        <f>OH201+OG202</f>
        <v>12159372.075595042</v>
      </c>
      <c r="OI202">
        <f>IF(OH202=MAX($OH$83:$OH$483),$A202,0)</f>
        <v>0</v>
      </c>
      <c r="OJ202">
        <f>IF(OE202&lt;OF202,$A202,B_MAX+1)</f>
        <v>401.0</v>
      </c>
      <c r="OK202" s="13">
        <f>IF(OB202=1,$OB$35,$OB$36)</f>
        <v>0</v>
      </c>
      <c r="OL202" s="13">
        <f>OCC_DAYS*$OB$41*R_NF_2023-OD202*MCD_SHARE_FREED*R_WAIT_2023</f>
        <v>37367.159242427646</v>
      </c>
      <c r="OM202">
        <f>IF($A202&lt;=$OB$45,1,0)</f>
        <v>1</v>
      </c>
    </row>
    <row r="203">
      <c r="A203" t="n">
        <v>120</v>
      </c>
      <c r="B203">
        <f>IF($B$31&lt;=$B$32,IF($A203&lt;=$B$7,1,2),IF($A203&lt;=RUNG_BEDS_2,2,1))</f>
        <v>1</v>
      </c>
      <c r="C203" s="5">
        <f>MIN(1,MAX(0,$B$26-($A203-1)))</f>
        <v>1</v>
      </c>
      <c r="D203" s="5">
        <f>$B$25*(C203+(1-C203)*$B$16)</f>
        <v>252.05322714681438</v>
      </c>
      <c r="E203" s="13">
        <f>D203*($B$6+ACUTE_MARGIN)</f>
        <v>254573.7594182825</v>
      </c>
      <c r="F203" s="13">
        <f>IF(B203=1,$B$31,$B$32)</f>
        <v>152394.16214437486</v>
      </c>
      <c r="G203" s="13">
        <f>E203-F203</f>
        <v>102179.59727390765</v>
      </c>
      <c r="H203" s="13">
        <f>H202+G203</f>
        <v>12261551.67286895</v>
      </c>
      <c r="I203">
        <f>IF(H203=MAX($H$83:$H$483),$A203,0)</f>
        <v>0</v>
      </c>
      <c r="J203">
        <f>IF(E203&lt;F203,$A203,B_MAX+1)</f>
        <v>401.0</v>
      </c>
      <c r="K203" s="13">
        <f>IF(B203=1,$B$35,$B$36)</f>
        <v>0</v>
      </c>
      <c r="L203" s="13">
        <f>OCC_DAYS*$B$41*R_NF_2023-D203*MCD_SHARE_FREED*R_WAIT_2023</f>
        <v>37367.159242427646</v>
      </c>
      <c r="M203">
        <f>IF($A203&lt;=$B$45,1,0)</f>
        <v>1</v>
      </c>
      <c r="AB203">
        <f>IF($AB$31&lt;=$AB$32,IF($A203&lt;=$AB$7,1,2),IF($A203&lt;=RUNG_BEDS_2,2,1))</f>
        <v>1</v>
      </c>
      <c r="AC203" s="5">
        <f>MIN(1,MAX(0,$AB$26-($A203-1)))</f>
        <v>1</v>
      </c>
      <c r="AD203" s="5">
        <f>$AB$25*(AC203+(1-AC203)*$AB$16)</f>
        <v>252.05322714681438</v>
      </c>
      <c r="AE203" s="13">
        <f>AD203*($AB$6+ACUTE_MARGIN)</f>
        <v>138629.2749307479</v>
      </c>
      <c r="AF203" s="13">
        <f>IF(AB203=1,$AB$31,$AB$32)</f>
        <v>152394.16214437486</v>
      </c>
      <c r="AG203" s="13">
        <f>AE203-AF203</f>
        <v>-13764.887213626964</v>
      </c>
      <c r="AH203" s="13">
        <f>AH202+AG203</f>
        <v>-1651786.4656352336</v>
      </c>
      <c r="AI203">
        <f>IF(AH203=MAX($AH$83:$AH$483),$A203,0)</f>
        <v>0</v>
      </c>
      <c r="AJ203">
        <f>IF(AE203&lt;AF203,$A203,B_MAX+1)</f>
        <v>120</v>
      </c>
      <c r="AK203" s="13">
        <f>IF(AB203=1,$AB$35,$AB$36)</f>
        <v>0</v>
      </c>
      <c r="AL203" s="13">
        <f>OCC_DAYS*$AB$41*R_NF_2023-AD203*MCD_SHARE_FREED*R_WAIT_2023</f>
        <v>37367.159242427646</v>
      </c>
      <c r="AM203">
        <f>IF($A203&lt;=$AB$45,1,0)</f>
        <v>0</v>
      </c>
      <c r="BB203">
        <f>IF($BB$31&lt;=$BB$32,IF($A203&lt;=$BB$7,1,2),IF($A203&lt;=RUNG_BEDS_2,2,1))</f>
        <v>1</v>
      </c>
      <c r="BC203" s="5">
        <f>MIN(1,MAX(0,$BB$26-($A203-1)))</f>
        <v>1</v>
      </c>
      <c r="BD203" s="5">
        <f>$BB$25*(BC203+(1-BC203)*$BB$16)</f>
        <v>252.05322714681438</v>
      </c>
      <c r="BE203" s="13">
        <f>BD203*($BB$6+ACUTE_MARGIN)</f>
        <v>370518.24390581716</v>
      </c>
      <c r="BF203" s="13">
        <f>IF(BB203=1,$BB$31,$BB$32)</f>
        <v>152394.16214437486</v>
      </c>
      <c r="BG203" s="13">
        <f>BE203-BF203</f>
        <v>218124.0817614423</v>
      </c>
      <c r="BH203" s="13">
        <f>BH202+BG203</f>
        <v>26174889.81137306</v>
      </c>
      <c r="BI203">
        <f>IF(BH203=MAX($BH$83:$BH$483),$A203,0)</f>
        <v>0</v>
      </c>
      <c r="BJ203">
        <f>IF(BE203&lt;BF203,$A203,B_MAX+1)</f>
        <v>401.0</v>
      </c>
      <c r="BK203" s="13">
        <f>IF(BB203=1,$BB$35,$BB$36)</f>
        <v>0</v>
      </c>
      <c r="BL203" s="13">
        <f>OCC_DAYS*$BB$41*R_NF_2023-BD203*MCD_SHARE_FREED*R_WAIT_2023</f>
        <v>37367.159242427646</v>
      </c>
      <c r="BM203">
        <f>IF($A203&lt;=$BB$45,1,0)</f>
        <v>1</v>
      </c>
      <c r="CB203">
        <f>IF($CB$31&lt;=$CB$32,IF($A203&lt;=$CB$7,1,2),IF($A203&lt;=RUNG_BEDS_2,2,1))</f>
        <v>2</v>
      </c>
      <c r="CC203" s="5">
        <f>MIN(1,MAX(0,$CB$26-($A203-1)))</f>
        <v>1</v>
      </c>
      <c r="CD203" s="5">
        <f>$CB$25*(CC203+(1-CC203)*$CB$16)</f>
        <v>252.05322714681438</v>
      </c>
      <c r="CE203" s="13">
        <f>CD203*($CB$6+ACUTE_MARGIN)</f>
        <v>254573.7594182825</v>
      </c>
      <c r="CF203" s="13">
        <f>IF(CB203=1,$CB$31,$CB$32)</f>
        <v>160718.36940738867</v>
      </c>
      <c r="CG203" s="13">
        <f>CE203-CF203</f>
        <v>93855.39001089384</v>
      </c>
      <c r="CH203" s="13">
        <f>CH202+CG203</f>
        <v>11262646.801307265</v>
      </c>
      <c r="CI203">
        <f>IF(CH203=MAX($CH$83:$CH$483),$A203,0)</f>
        <v>0</v>
      </c>
      <c r="CJ203">
        <f>IF(CE203&lt;CF203,$A203,B_MAX+1)</f>
        <v>401.0</v>
      </c>
      <c r="CK203" s="13">
        <f>IF(CB203=1,$CB$35,$CB$36)</f>
        <v>1560.1194073886782</v>
      </c>
      <c r="CL203" s="13">
        <f>OCC_DAYS*$CB$41*R_NF_2023-CD203*MCD_SHARE_FREED*R_WAIT_2023</f>
        <v>37367.159242427646</v>
      </c>
      <c r="CM203">
        <f>IF($A203&lt;=$CB$45,1,0)</f>
        <v>1</v>
      </c>
      <c r="DB203">
        <f>IF($DB$31&lt;=$DB$32,IF($A203&lt;=$DB$7,1,2),IF($A203&lt;=RUNG_BEDS_2,2,1))</f>
        <v>1</v>
      </c>
      <c r="DC203" s="5">
        <f>MIN(1,MAX(0,$DB$26-($A203-1)))</f>
        <v>1</v>
      </c>
      <c r="DD203" s="5">
        <f>$DB$25*(DC203+(1-DC203)*$DB$16)</f>
        <v>252.05322714681438</v>
      </c>
      <c r="DE203" s="13">
        <f>DD203*($DB$6+ACUTE_MARGIN)</f>
        <v>254573.7594182825</v>
      </c>
      <c r="DF203" s="13">
        <f>IF(DB203=1,$DB$31,$DB$32)</f>
        <v>152394.16214437486</v>
      </c>
      <c r="DG203" s="13">
        <f>DE203-DF203</f>
        <v>102179.59727390765</v>
      </c>
      <c r="DH203" s="13">
        <f>DH202+DG203</f>
        <v>12261551.67286895</v>
      </c>
      <c r="DI203">
        <f>IF(DH203=MAX($DH$83:$DH$483),$A203,0)</f>
        <v>0</v>
      </c>
      <c r="DJ203">
        <f>IF(DE203&lt;DF203,$A203,B_MAX+1)</f>
        <v>401.0</v>
      </c>
      <c r="DK203" s="13">
        <f>IF(DB203=1,$DB$35,$DB$36)</f>
        <v>0</v>
      </c>
      <c r="DL203" s="13">
        <f>OCC_DAYS*$DB$41*R_NF_2023-DD203*MCD_SHARE_FREED*R_WAIT_2023</f>
        <v>37367.159242427646</v>
      </c>
      <c r="DM203">
        <f>IF($A203&lt;=$DB$45,1,0)</f>
        <v>1</v>
      </c>
      <c r="EB203">
        <f>IF($EB$31&lt;=$EB$32,IF($A203&lt;=$EB$7,1,2),IF($A203&lt;=RUNG_BEDS_2,2,1))</f>
        <v>1</v>
      </c>
      <c r="EC203" s="5">
        <f>MIN(1,MAX(0,$EB$26-($A203-1)))</f>
        <v>1</v>
      </c>
      <c r="ED203" s="5">
        <f>$EB$25*(EC203+(1-EC203)*$EB$16)</f>
        <v>252.05322714681438</v>
      </c>
      <c r="EE203" s="13">
        <f>ED203*($EB$6+ACUTE_MARGIN)</f>
        <v>254573.7594182825</v>
      </c>
      <c r="EF203" s="13">
        <f>IF(EB203=1,$EB$31,$EB$32)</f>
        <v>152394.16214437486</v>
      </c>
      <c r="EG203" s="13">
        <f>EE203-EF203</f>
        <v>102179.59727390765</v>
      </c>
      <c r="EH203" s="13">
        <f>EH202+EG203</f>
        <v>12261551.67286895</v>
      </c>
      <c r="EI203">
        <f>IF(EH203=MAX($EH$83:$EH$483),$A203,0)</f>
        <v>0</v>
      </c>
      <c r="EJ203">
        <f>IF(EE203&lt;EF203,$A203,B_MAX+1)</f>
        <v>401.0</v>
      </c>
      <c r="EK203" s="13">
        <f>IF(EB203=1,$EB$35,$EB$36)</f>
        <v>0</v>
      </c>
      <c r="EL203" s="13">
        <f>OCC_DAYS*$EB$41*R_NF_2023-ED203*MCD_SHARE_FREED*R_WAIT_2023</f>
        <v>-63953.16263896705</v>
      </c>
      <c r="EM203">
        <f>IF($A203&lt;=$EB$45,1,0)</f>
        <v>1</v>
      </c>
      <c r="FB203">
        <f>IF($FB$31&lt;=$FB$32,IF($A203&lt;=$FB$7,1,2),IF($A203&lt;=RUNG_BEDS_2,2,1))</f>
        <v>1</v>
      </c>
      <c r="FC203" s="5">
        <f>MIN(1,MAX(0,$FB$26-($A203-1)))</f>
        <v>1</v>
      </c>
      <c r="FD203" s="5">
        <f>$FB$25*(FC203+(1-FC203)*$FB$16)</f>
        <v>252.05322714681438</v>
      </c>
      <c r="FE203" s="13">
        <f>FD203*($FB$6+ACUTE_MARGIN)</f>
        <v>254573.7594182825</v>
      </c>
      <c r="FF203" s="13">
        <f>IF(FB203=1,$FB$31,$FB$32)</f>
        <v>156636.04979437485</v>
      </c>
      <c r="FG203" s="13">
        <f>FE203-FF203</f>
        <v>97937.70962390766</v>
      </c>
      <c r="FH203" s="13">
        <f>FH202+FG203</f>
        <v>11752525.15486889</v>
      </c>
      <c r="FI203">
        <f>IF(FH203=MAX($FH$83:$FH$483),$A203,0)</f>
        <v>0</v>
      </c>
      <c r="FJ203">
        <f>IF(FE203&lt;FF203,$A203,B_MAX+1)</f>
        <v>401.0</v>
      </c>
      <c r="FK203" s="13">
        <f>IF(FB203=1,$FB$35,$FB$36)</f>
        <v>0</v>
      </c>
      <c r="FL203" s="13">
        <f>OCC_DAYS*$FB$41*R_NF_2023-FD203*MCD_SHARE_FREED*R_WAIT_2023</f>
        <v>37367.159242427646</v>
      </c>
      <c r="FM203">
        <f>IF($A203&lt;=$FB$45,1,0)</f>
        <v>1</v>
      </c>
      <c r="GB203">
        <f>IF($GB$31&lt;=$GB$32,IF($A203&lt;=$GB$7,1,2),IF($A203&lt;=RUNG_BEDS_2,2,1))</f>
        <v>1</v>
      </c>
      <c r="GC203" s="5">
        <f>MIN(1,MAX(0,$GB$26-($A203-1)))</f>
        <v>1</v>
      </c>
      <c r="GD203" s="5">
        <f>$GB$25*(GC203+(1-GC203)*$GB$16)</f>
        <v>252.05322714681438</v>
      </c>
      <c r="GE203" s="13">
        <f>GD203*($GB$6+ACUTE_MARGIN)</f>
        <v>254573.7594182825</v>
      </c>
      <c r="GF203" s="13">
        <f>IF(GB203=1,$GB$31,$GB$32)</f>
        <v>152394.16214437486</v>
      </c>
      <c r="GG203" s="13">
        <f>GE203-GF203</f>
        <v>102179.59727390765</v>
      </c>
      <c r="GH203" s="13">
        <f>GH202+GG203</f>
        <v>12261551.67286895</v>
      </c>
      <c r="GI203">
        <f>IF(GH203=MAX($GH$83:$GH$483),$A203,0)</f>
        <v>0</v>
      </c>
      <c r="GJ203">
        <f>IF(GE203&lt;GF203,$A203,B_MAX+1)</f>
        <v>401.0</v>
      </c>
      <c r="GK203" s="13">
        <f>IF(GB203=1,$GB$35,$GB$36)</f>
        <v>0</v>
      </c>
      <c r="GL203" s="13">
        <f>OCC_DAYS*$GB$41*R_NF_2023-GD203*MCD_SHARE_FREED*R_WAIT_2023</f>
        <v>37367.159242427646</v>
      </c>
      <c r="GM203">
        <f>IF($A203&lt;=$GB$45,1,0)</f>
        <v>1</v>
      </c>
      <c r="HB203">
        <f>IF($HB$31&lt;=$HB$32,IF($A203&lt;=$HB$7,1,2),IF($A203&lt;=RUNG_BEDS_2,2,1))</f>
        <v>1</v>
      </c>
      <c r="HC203" s="5">
        <f>MIN(1,MAX(0,$HB$26-($A203-1)))</f>
        <v>1</v>
      </c>
      <c r="HD203" s="5">
        <f>$HB$25*(HC203+(1-HC203)*$HB$16)</f>
        <v>252.05322714681438</v>
      </c>
      <c r="HE203" s="13">
        <f>HD203*($HB$6+ACUTE_MARGIN)</f>
        <v>254573.7594182825</v>
      </c>
      <c r="HF203" s="13">
        <f>IF(HB203=1,$HB$31,$HB$32)</f>
        <v>152456.2970814058</v>
      </c>
      <c r="HG203" s="13">
        <f>HE203-HF203</f>
        <v>102117.46233687672</v>
      </c>
      <c r="HH203" s="13">
        <f>HH202+HG203</f>
        <v>12254095.480425222</v>
      </c>
      <c r="HI203">
        <f>IF(HH203=MAX($HH$83:$HH$483),$A203,0)</f>
        <v>0</v>
      </c>
      <c r="HJ203">
        <f>IF(HE203&lt;HF203,$A203,B_MAX+1)</f>
        <v>401.0</v>
      </c>
      <c r="HK203" s="13">
        <f>IF(HB203=1,$HB$35,$HB$36)</f>
        <v>0</v>
      </c>
      <c r="HL203" s="13">
        <f>OCC_DAYS*$HB$41*R_NF_2023-HD203*MCD_SHARE_FREED*R_WAIT_2023</f>
        <v>37367.159242427646</v>
      </c>
      <c r="HM203">
        <f>IF($A203&lt;=$HB$45,1,0)</f>
        <v>1</v>
      </c>
      <c r="IB203">
        <f>IF($IB$31&lt;=$IB$32,IF($A203&lt;=$IB$7,1,2),IF($A203&lt;=RUNG_BEDS_2,2,1))</f>
        <v>1</v>
      </c>
      <c r="IC203" s="5">
        <f>MIN(1,MAX(0,$IB$26-($A203-1)))</f>
        <v>1</v>
      </c>
      <c r="ID203" s="5">
        <f>$IB$25*(IC203+(1-IC203)*$IB$16)</f>
        <v>252.05322714681438</v>
      </c>
      <c r="IE203" s="13">
        <f>ID203*($IB$6+ACUTE_MARGIN)</f>
        <v>254573.7594182825</v>
      </c>
      <c r="IF203" s="13">
        <f>IF(IB203=1,$IB$31,$IB$32)</f>
        <v>152734.9994534971</v>
      </c>
      <c r="IG203" s="13">
        <f>IE203-IF203</f>
        <v>101838.75996478542</v>
      </c>
      <c r="IH203" s="13">
        <f>IH202+IG203</f>
        <v>12220651.195774227</v>
      </c>
      <c r="II203">
        <f>IF(IH203=MAX($IH$83:$IH$483),$A203,0)</f>
        <v>0</v>
      </c>
      <c r="IJ203">
        <f>IF(IE203&lt;IF203,$A203,B_MAX+1)</f>
        <v>401.0</v>
      </c>
      <c r="IK203" s="13">
        <f>IF(IB203=1,$IB$35,$IB$36)</f>
        <v>0</v>
      </c>
      <c r="IL203" s="13">
        <f>OCC_DAYS*$IB$41*R_NF_2023-ID203*MCD_SHARE_FREED*R_WAIT_2023</f>
        <v>37367.159242427646</v>
      </c>
      <c r="IM203">
        <f>IF($A203&lt;=$IB$45,1,0)</f>
        <v>1</v>
      </c>
      <c r="JB203">
        <f>IF($JB$31&lt;=$JB$32,IF($A203&lt;=$JB$7,1,2),IF($A203&lt;=RUNG_BEDS_2,2,1))</f>
        <v>1</v>
      </c>
      <c r="JC203" s="5">
        <f>MIN(1,MAX(0,$JB$26-($A203-1)))</f>
        <v>1</v>
      </c>
      <c r="JD203" s="5">
        <f>$JB$25*(JC203+(1-JC203)*$JB$16)</f>
        <v>252.05322714681438</v>
      </c>
      <c r="JE203" s="13">
        <f>JD203*($JB$6+ACUTE_MARGIN)</f>
        <v>254573.7594182825</v>
      </c>
      <c r="JF203" s="13">
        <f>IF(JB203=1,$JB$31,$JB$32)</f>
        <v>152394.16214437486</v>
      </c>
      <c r="JG203" s="13">
        <f>JE203-JF203</f>
        <v>102179.59727390765</v>
      </c>
      <c r="JH203" s="13">
        <f>JH202+JG203</f>
        <v>12261551.67286895</v>
      </c>
      <c r="JI203">
        <f>IF(JH203=MAX($JH$83:$JH$483),$A203,0)</f>
        <v>0</v>
      </c>
      <c r="JJ203">
        <f>IF(JE203&lt;JF203,$A203,B_MAX+1)</f>
        <v>401.0</v>
      </c>
      <c r="JK203" s="13">
        <f>IF(JB203=1,$JB$35,$JB$36)</f>
        <v>0</v>
      </c>
      <c r="JL203" s="13">
        <f>OCC_DAYS*$JB$41*R_NF_2023-JD203*MCD_SHARE_FREED*R_WAIT_2023</f>
        <v>37367.159242427646</v>
      </c>
      <c r="JM203">
        <f>IF($A203&lt;=$JB$45,1,0)</f>
        <v>1</v>
      </c>
      <c r="KB203">
        <f>IF($KB$31&lt;=$KB$32,IF($A203&lt;=$KB$7,1,2),IF($A203&lt;=RUNG_BEDS_2,2,1))</f>
        <v>1</v>
      </c>
      <c r="KC203" s="5">
        <f>MIN(1,MAX(0,$KB$26-($A203-1)))</f>
        <v>1</v>
      </c>
      <c r="KD203" s="5">
        <f>$KB$25*(KC203+(1-KC203)*$KB$16)</f>
        <v>126.02661357340719</v>
      </c>
      <c r="KE203" s="13">
        <f>KD203*($KB$6+ACUTE_MARGIN)</f>
        <v>127286.87970914126</v>
      </c>
      <c r="KF203" s="13">
        <f>IF(KB203=1,$KB$31,$KB$32)</f>
        <v>152394.16214437486</v>
      </c>
      <c r="KG203" s="13">
        <f>KE203-KF203</f>
        <v>-25107.282435233603</v>
      </c>
      <c r="KH203" s="13">
        <f>KH202+KG203</f>
        <v>-3012873.89222804</v>
      </c>
      <c r="KI203">
        <f>IF(KH203=MAX($KH$83:$KH$483),$A203,0)</f>
        <v>0</v>
      </c>
      <c r="KJ203">
        <f>IF(KE203&lt;KF203,$A203,B_MAX+1)</f>
        <v>120</v>
      </c>
      <c r="KK203" s="13">
        <f>IF(KB203=1,$KB$35,$KB$36)</f>
        <v>0</v>
      </c>
      <c r="KL203" s="13">
        <f>OCC_DAYS*$KB$41*R_NF_2023-KD203*MCD_SHARE_FREED*R_WAIT_2023</f>
        <v>94673.82103225985</v>
      </c>
      <c r="KM203">
        <f>IF($A203&lt;=$KB$45,1,0)</f>
        <v>0</v>
      </c>
      <c r="LB203">
        <f>IF($LB$31&lt;=$LB$32,IF($A203&lt;=$LB$7,1,2),IF($A203&lt;=RUNG_BEDS_2,2,1))</f>
        <v>1</v>
      </c>
      <c r="LC203" s="5">
        <f>MIN(1,MAX(0,$LB$26-($A203-1)))</f>
        <v>1</v>
      </c>
      <c r="LD203" s="5">
        <f>$LB$25*(LC203+(1-LC203)*$LB$16)</f>
        <v>84.01774238227146</v>
      </c>
      <c r="LE203" s="13">
        <f>LD203*($LB$6+ACUTE_MARGIN)</f>
        <v>84857.91980609419</v>
      </c>
      <c r="LF203" s="13">
        <f>IF(LB203=1,$LB$31,$LB$32)</f>
        <v>152394.16214437486</v>
      </c>
      <c r="LG203" s="13">
        <f>LE203-LF203</f>
        <v>-67536.24233828067</v>
      </c>
      <c r="LH203" s="13">
        <f>LH202+LG203</f>
        <v>-8104349.080593706</v>
      </c>
      <c r="LI203">
        <f>IF(LH203=MAX($LH$83:$LH$483),$A203,0)</f>
        <v>0</v>
      </c>
      <c r="LJ203">
        <f>IF(LE203&lt;LF203,$A203,B_MAX+1)</f>
        <v>120</v>
      </c>
      <c r="LK203" s="13">
        <f>IF(LB203=1,$LB$35,$LB$36)</f>
        <v>0</v>
      </c>
      <c r="LL203" s="13">
        <f>OCC_DAYS*$LB$41*R_NF_2023-LD203*MCD_SHARE_FREED*R_WAIT_2023</f>
        <v>113776.04162887059</v>
      </c>
      <c r="LM203">
        <f>IF($A203&lt;=$LB$45,1,0)</f>
        <v>0</v>
      </c>
      <c r="MB203">
        <f>IF($MB$31&lt;=$MB$32,IF($A203&lt;=$MB$7,1,2),IF($A203&lt;=RUNG_BEDS_2,2,1))</f>
        <v>1</v>
      </c>
      <c r="MC203" s="5">
        <f>MIN(1,MAX(0,$MB$26-($A203-1)))</f>
        <v>1</v>
      </c>
      <c r="MD203" s="5">
        <f>$MB$25*(MC203+(1-MC203)*$MB$16)</f>
        <v>213.44610951008647</v>
      </c>
      <c r="ME203" s="13">
        <f>MD203*($MB$6+ACUTE_MARGIN)</f>
        <v>215580.57060518733</v>
      </c>
      <c r="MF203" s="13">
        <f>IF(MB203=1,$MB$31,$MB$32)</f>
        <v>152394.16214437486</v>
      </c>
      <c r="MG203" s="13">
        <f>ME203-MF203</f>
        <v>63186.40846081247</v>
      </c>
      <c r="MH203" s="13">
        <f>MH202+MG203</f>
        <v>7582369.01529751</v>
      </c>
      <c r="MI203">
        <f>IF(MH203=MAX($MH$83:$MH$483),$A203,0)</f>
        <v>0</v>
      </c>
      <c r="MJ203">
        <f>IF(ME203&lt;MF203,$A203,B_MAX+1)</f>
        <v>401.0</v>
      </c>
      <c r="MK203" s="13">
        <f>IF(MB203=1,$MB$35,$MB$36)</f>
        <v>0</v>
      </c>
      <c r="ML203" s="13">
        <f>OCC_DAYS*$MB$41*R_NF_2023-MD203*MCD_SHARE_FREED*R_WAIT_2023</f>
        <v>54922.538779778624</v>
      </c>
      <c r="MM203">
        <f>IF($A203&lt;=$MB$45,1,0)</f>
        <v>1</v>
      </c>
      <c r="NB203">
        <f>IF($NB$31&lt;=$NB$32,IF($A203&lt;=$NB$7,1,2),IF($A203&lt;=RUNG_BEDS_2,2,1))</f>
        <v>1</v>
      </c>
      <c r="NC203" s="5">
        <f>MIN(1,MAX(0,$NB$26-($A203-1)))</f>
        <v>1</v>
      </c>
      <c r="ND203" s="5">
        <f>$NB$25*(NC203+(1-NC203)*$NB$16)</f>
        <v>252.05322714681438</v>
      </c>
      <c r="NE203" s="13">
        <f>ND203*($NB$6+ACUTE_MARGIN)</f>
        <v>254573.7594182825</v>
      </c>
      <c r="NF203" s="13">
        <f>IF(NB203=1,$NB$31,$NB$32)</f>
        <v>152394.16214437486</v>
      </c>
      <c r="NG203" s="13">
        <f>NE203-NF203</f>
        <v>102179.59727390765</v>
      </c>
      <c r="NH203" s="13">
        <f>NH202+NG203</f>
        <v>12261551.67286895</v>
      </c>
      <c r="NI203">
        <f>IF(NH203=MAX($NH$83:$NH$483),$A203,0)</f>
        <v>0</v>
      </c>
      <c r="NJ203">
        <f>IF(NE203&lt;NF203,$A203,B_MAX+1)</f>
        <v>401.0</v>
      </c>
      <c r="NK203" s="13">
        <f>IF(NB203=1,$NB$35,$NB$36)</f>
        <v>0</v>
      </c>
      <c r="NL203" s="13">
        <f>OCC_DAYS*$NB$41*R_NF_2023-ND203*MCD_SHARE_FREED*R_WAIT_2023</f>
        <v>37367.159242427646</v>
      </c>
      <c r="NM203">
        <f>IF($A203&lt;=$NB$45,1,0)</f>
        <v>1</v>
      </c>
      <c r="OB203">
        <f>IF($OB$31&lt;=$OB$32,IF($A203&lt;=$OB$7,1,2),IF($A203&lt;=RUNG_BEDS_2,2,1))</f>
        <v>1</v>
      </c>
      <c r="OC203" s="5">
        <f>MIN(1,MAX(0,$OB$26-($A203-1)))</f>
        <v>1</v>
      </c>
      <c r="OD203" s="5">
        <f>$OB$25*(OC203+(1-OC203)*$OB$16)</f>
        <v>252.05322714681438</v>
      </c>
      <c r="OE203" s="13">
        <f>OD203*($OB$6+ACUTE_MARGIN)</f>
        <v>254573.7594182825</v>
      </c>
      <c r="OF203" s="13">
        <f>IF(OB203=1,$OB$31,$OB$32)</f>
        <v>152394.16214437486</v>
      </c>
      <c r="OG203" s="13">
        <f>OE203-OF203</f>
        <v>102179.59727390765</v>
      </c>
      <c r="OH203" s="13">
        <f>OH202+OG203</f>
        <v>12261551.67286895</v>
      </c>
      <c r="OI203">
        <f>IF(OH203=MAX($OH$83:$OH$483),$A203,0)</f>
        <v>0</v>
      </c>
      <c r="OJ203">
        <f>IF(OE203&lt;OF203,$A203,B_MAX+1)</f>
        <v>401.0</v>
      </c>
      <c r="OK203" s="13">
        <f>IF(OB203=1,$OB$35,$OB$36)</f>
        <v>0</v>
      </c>
      <c r="OL203" s="13">
        <f>OCC_DAYS*$OB$41*R_NF_2023-OD203*MCD_SHARE_FREED*R_WAIT_2023</f>
        <v>37367.159242427646</v>
      </c>
      <c r="OM203">
        <f>IF($A203&lt;=$OB$45,1,0)</f>
        <v>1</v>
      </c>
    </row>
    <row r="204">
      <c r="A204" t="n">
        <v>121</v>
      </c>
      <c r="B204">
        <f>IF($B$31&lt;=$B$32,IF($A204&lt;=$B$7,1,2),IF($A204&lt;=RUNG_BEDS_2,2,1))</f>
        <v>1</v>
      </c>
      <c r="C204" s="5">
        <f>MIN(1,MAX(0,$B$26-($A204-1)))</f>
        <v>1</v>
      </c>
      <c r="D204" s="5">
        <f>$B$25*(C204+(1-C204)*$B$16)</f>
        <v>252.05322714681438</v>
      </c>
      <c r="E204" s="13">
        <f>D204*($B$6+ACUTE_MARGIN)</f>
        <v>254573.7594182825</v>
      </c>
      <c r="F204" s="13">
        <f>IF(B204=1,$B$31,$B$32)</f>
        <v>152394.16214437486</v>
      </c>
      <c r="G204" s="13">
        <f>E204-F204</f>
        <v>102179.59727390765</v>
      </c>
      <c r="H204" s="13">
        <f>H203+G204</f>
        <v>12363731.270142859</v>
      </c>
      <c r="I204">
        <f>IF(H204=MAX($H$83:$H$483),$A204,0)</f>
        <v>0</v>
      </c>
      <c r="J204">
        <f>IF(E204&lt;F204,$A204,B_MAX+1)</f>
        <v>401.0</v>
      </c>
      <c r="K204" s="13">
        <f>IF(B204=1,$B$35,$B$36)</f>
        <v>0</v>
      </c>
      <c r="L204" s="13">
        <f>OCC_DAYS*$B$41*R_NF_2023-D204*MCD_SHARE_FREED*R_WAIT_2023</f>
        <v>37367.159242427646</v>
      </c>
      <c r="M204">
        <f>IF($A204&lt;=$B$45,1,0)</f>
        <v>1</v>
      </c>
      <c r="AB204">
        <f>IF($AB$31&lt;=$AB$32,IF($A204&lt;=$AB$7,1,2),IF($A204&lt;=RUNG_BEDS_2,2,1))</f>
        <v>1</v>
      </c>
      <c r="AC204" s="5">
        <f>MIN(1,MAX(0,$AB$26-($A204-1)))</f>
        <v>1</v>
      </c>
      <c r="AD204" s="5">
        <f>$AB$25*(AC204+(1-AC204)*$AB$16)</f>
        <v>252.05322714681438</v>
      </c>
      <c r="AE204" s="13">
        <f>AD204*($AB$6+ACUTE_MARGIN)</f>
        <v>138629.2749307479</v>
      </c>
      <c r="AF204" s="13">
        <f>IF(AB204=1,$AB$31,$AB$32)</f>
        <v>152394.16214437486</v>
      </c>
      <c r="AG204" s="13">
        <f>AE204-AF204</f>
        <v>-13764.887213626964</v>
      </c>
      <c r="AH204" s="13">
        <f>AH203+AG204</f>
        <v>-1665551.3528488604</v>
      </c>
      <c r="AI204">
        <f>IF(AH204=MAX($AH$83:$AH$483),$A204,0)</f>
        <v>0</v>
      </c>
      <c r="AJ204">
        <f>IF(AE204&lt;AF204,$A204,B_MAX+1)</f>
        <v>121</v>
      </c>
      <c r="AK204" s="13">
        <f>IF(AB204=1,$AB$35,$AB$36)</f>
        <v>0</v>
      </c>
      <c r="AL204" s="13">
        <f>OCC_DAYS*$AB$41*R_NF_2023-AD204*MCD_SHARE_FREED*R_WAIT_2023</f>
        <v>37367.159242427646</v>
      </c>
      <c r="AM204">
        <f>IF($A204&lt;=$AB$45,1,0)</f>
        <v>0</v>
      </c>
      <c r="BB204">
        <f>IF($BB$31&lt;=$BB$32,IF($A204&lt;=$BB$7,1,2),IF($A204&lt;=RUNG_BEDS_2,2,1))</f>
        <v>1</v>
      </c>
      <c r="BC204" s="5">
        <f>MIN(1,MAX(0,$BB$26-($A204-1)))</f>
        <v>1</v>
      </c>
      <c r="BD204" s="5">
        <f>$BB$25*(BC204+(1-BC204)*$BB$16)</f>
        <v>252.05322714681438</v>
      </c>
      <c r="BE204" s="13">
        <f>BD204*($BB$6+ACUTE_MARGIN)</f>
        <v>370518.24390581716</v>
      </c>
      <c r="BF204" s="13">
        <f>IF(BB204=1,$BB$31,$BB$32)</f>
        <v>152394.16214437486</v>
      </c>
      <c r="BG204" s="13">
        <f>BE204-BF204</f>
        <v>218124.0817614423</v>
      </c>
      <c r="BH204" s="13">
        <f>BH203+BG204</f>
        <v>26393013.8931345</v>
      </c>
      <c r="BI204">
        <f>IF(BH204=MAX($BH$83:$BH$483),$A204,0)</f>
        <v>0</v>
      </c>
      <c r="BJ204">
        <f>IF(BE204&lt;BF204,$A204,B_MAX+1)</f>
        <v>401.0</v>
      </c>
      <c r="BK204" s="13">
        <f>IF(BB204=1,$BB$35,$BB$36)</f>
        <v>0</v>
      </c>
      <c r="BL204" s="13">
        <f>OCC_DAYS*$BB$41*R_NF_2023-BD204*MCD_SHARE_FREED*R_WAIT_2023</f>
        <v>37367.159242427646</v>
      </c>
      <c r="BM204">
        <f>IF($A204&lt;=$BB$45,1,0)</f>
        <v>1</v>
      </c>
      <c r="CB204">
        <f>IF($CB$31&lt;=$CB$32,IF($A204&lt;=$CB$7,1,2),IF($A204&lt;=RUNG_BEDS_2,2,1))</f>
        <v>2</v>
      </c>
      <c r="CC204" s="5">
        <f>MIN(1,MAX(0,$CB$26-($A204-1)))</f>
        <v>1</v>
      </c>
      <c r="CD204" s="5">
        <f>$CB$25*(CC204+(1-CC204)*$CB$16)</f>
        <v>252.05322714681438</v>
      </c>
      <c r="CE204" s="13">
        <f>CD204*($CB$6+ACUTE_MARGIN)</f>
        <v>254573.7594182825</v>
      </c>
      <c r="CF204" s="13">
        <f>IF(CB204=1,$CB$31,$CB$32)</f>
        <v>160718.36940738867</v>
      </c>
      <c r="CG204" s="13">
        <f>CE204-CF204</f>
        <v>93855.39001089384</v>
      </c>
      <c r="CH204" s="13">
        <f>CH203+CG204</f>
        <v>11356502.191318158</v>
      </c>
      <c r="CI204">
        <f>IF(CH204=MAX($CH$83:$CH$483),$A204,0)</f>
        <v>0</v>
      </c>
      <c r="CJ204">
        <f>IF(CE204&lt;CF204,$A204,B_MAX+1)</f>
        <v>401.0</v>
      </c>
      <c r="CK204" s="13">
        <f>IF(CB204=1,$CB$35,$CB$36)</f>
        <v>1560.1194073886782</v>
      </c>
      <c r="CL204" s="13">
        <f>OCC_DAYS*$CB$41*R_NF_2023-CD204*MCD_SHARE_FREED*R_WAIT_2023</f>
        <v>37367.159242427646</v>
      </c>
      <c r="CM204">
        <f>IF($A204&lt;=$CB$45,1,0)</f>
        <v>1</v>
      </c>
      <c r="DB204">
        <f>IF($DB$31&lt;=$DB$32,IF($A204&lt;=$DB$7,1,2),IF($A204&lt;=RUNG_BEDS_2,2,1))</f>
        <v>1</v>
      </c>
      <c r="DC204" s="5">
        <f>MIN(1,MAX(0,$DB$26-($A204-1)))</f>
        <v>1</v>
      </c>
      <c r="DD204" s="5">
        <f>$DB$25*(DC204+(1-DC204)*$DB$16)</f>
        <v>252.05322714681438</v>
      </c>
      <c r="DE204" s="13">
        <f>DD204*($DB$6+ACUTE_MARGIN)</f>
        <v>254573.7594182825</v>
      </c>
      <c r="DF204" s="13">
        <f>IF(DB204=1,$DB$31,$DB$32)</f>
        <v>152394.16214437486</v>
      </c>
      <c r="DG204" s="13">
        <f>DE204-DF204</f>
        <v>102179.59727390765</v>
      </c>
      <c r="DH204" s="13">
        <f>DH203+DG204</f>
        <v>12363731.270142859</v>
      </c>
      <c r="DI204">
        <f>IF(DH204=MAX($DH$83:$DH$483),$A204,0)</f>
        <v>0</v>
      </c>
      <c r="DJ204">
        <f>IF(DE204&lt;DF204,$A204,B_MAX+1)</f>
        <v>401.0</v>
      </c>
      <c r="DK204" s="13">
        <f>IF(DB204=1,$DB$35,$DB$36)</f>
        <v>0</v>
      </c>
      <c r="DL204" s="13">
        <f>OCC_DAYS*$DB$41*R_NF_2023-DD204*MCD_SHARE_FREED*R_WAIT_2023</f>
        <v>37367.159242427646</v>
      </c>
      <c r="DM204">
        <f>IF($A204&lt;=$DB$45,1,0)</f>
        <v>1</v>
      </c>
      <c r="EB204">
        <f>IF($EB$31&lt;=$EB$32,IF($A204&lt;=$EB$7,1,2),IF($A204&lt;=RUNG_BEDS_2,2,1))</f>
        <v>1</v>
      </c>
      <c r="EC204" s="5">
        <f>MIN(1,MAX(0,$EB$26-($A204-1)))</f>
        <v>1</v>
      </c>
      <c r="ED204" s="5">
        <f>$EB$25*(EC204+(1-EC204)*$EB$16)</f>
        <v>252.05322714681438</v>
      </c>
      <c r="EE204" s="13">
        <f>ED204*($EB$6+ACUTE_MARGIN)</f>
        <v>254573.7594182825</v>
      </c>
      <c r="EF204" s="13">
        <f>IF(EB204=1,$EB$31,$EB$32)</f>
        <v>152394.16214437486</v>
      </c>
      <c r="EG204" s="13">
        <f>EE204-EF204</f>
        <v>102179.59727390765</v>
      </c>
      <c r="EH204" s="13">
        <f>EH203+EG204</f>
        <v>12363731.270142859</v>
      </c>
      <c r="EI204">
        <f>IF(EH204=MAX($EH$83:$EH$483),$A204,0)</f>
        <v>0</v>
      </c>
      <c r="EJ204">
        <f>IF(EE204&lt;EF204,$A204,B_MAX+1)</f>
        <v>401.0</v>
      </c>
      <c r="EK204" s="13">
        <f>IF(EB204=1,$EB$35,$EB$36)</f>
        <v>0</v>
      </c>
      <c r="EL204" s="13">
        <f>OCC_DAYS*$EB$41*R_NF_2023-ED204*MCD_SHARE_FREED*R_WAIT_2023</f>
        <v>-63953.16263896705</v>
      </c>
      <c r="EM204">
        <f>IF($A204&lt;=$EB$45,1,0)</f>
        <v>1</v>
      </c>
      <c r="FB204">
        <f>IF($FB$31&lt;=$FB$32,IF($A204&lt;=$FB$7,1,2),IF($A204&lt;=RUNG_BEDS_2,2,1))</f>
        <v>1</v>
      </c>
      <c r="FC204" s="5">
        <f>MIN(1,MAX(0,$FB$26-($A204-1)))</f>
        <v>1</v>
      </c>
      <c r="FD204" s="5">
        <f>$FB$25*(FC204+(1-FC204)*$FB$16)</f>
        <v>252.05322714681438</v>
      </c>
      <c r="FE204" s="13">
        <f>FD204*($FB$6+ACUTE_MARGIN)</f>
        <v>254573.7594182825</v>
      </c>
      <c r="FF204" s="13">
        <f>IF(FB204=1,$FB$31,$FB$32)</f>
        <v>156636.04979437485</v>
      </c>
      <c r="FG204" s="13">
        <f>FE204-FF204</f>
        <v>97937.70962390766</v>
      </c>
      <c r="FH204" s="13">
        <f>FH203+FG204</f>
        <v>11850462.864492796</v>
      </c>
      <c r="FI204">
        <f>IF(FH204=MAX($FH$83:$FH$483),$A204,0)</f>
        <v>0</v>
      </c>
      <c r="FJ204">
        <f>IF(FE204&lt;FF204,$A204,B_MAX+1)</f>
        <v>401.0</v>
      </c>
      <c r="FK204" s="13">
        <f>IF(FB204=1,$FB$35,$FB$36)</f>
        <v>0</v>
      </c>
      <c r="FL204" s="13">
        <f>OCC_DAYS*$FB$41*R_NF_2023-FD204*MCD_SHARE_FREED*R_WAIT_2023</f>
        <v>37367.159242427646</v>
      </c>
      <c r="FM204">
        <f>IF($A204&lt;=$FB$45,1,0)</f>
        <v>1</v>
      </c>
      <c r="GB204">
        <f>IF($GB$31&lt;=$GB$32,IF($A204&lt;=$GB$7,1,2),IF($A204&lt;=RUNG_BEDS_2,2,1))</f>
        <v>1</v>
      </c>
      <c r="GC204" s="5">
        <f>MIN(1,MAX(0,$GB$26-($A204-1)))</f>
        <v>1</v>
      </c>
      <c r="GD204" s="5">
        <f>$GB$25*(GC204+(1-GC204)*$GB$16)</f>
        <v>252.05322714681438</v>
      </c>
      <c r="GE204" s="13">
        <f>GD204*($GB$6+ACUTE_MARGIN)</f>
        <v>254573.7594182825</v>
      </c>
      <c r="GF204" s="13">
        <f>IF(GB204=1,$GB$31,$GB$32)</f>
        <v>152394.16214437486</v>
      </c>
      <c r="GG204" s="13">
        <f>GE204-GF204</f>
        <v>102179.59727390765</v>
      </c>
      <c r="GH204" s="13">
        <f>GH203+GG204</f>
        <v>12363731.270142859</v>
      </c>
      <c r="GI204">
        <f>IF(GH204=MAX($GH$83:$GH$483),$A204,0)</f>
        <v>0</v>
      </c>
      <c r="GJ204">
        <f>IF(GE204&lt;GF204,$A204,B_MAX+1)</f>
        <v>401.0</v>
      </c>
      <c r="GK204" s="13">
        <f>IF(GB204=1,$GB$35,$GB$36)</f>
        <v>0</v>
      </c>
      <c r="GL204" s="13">
        <f>OCC_DAYS*$GB$41*R_NF_2023-GD204*MCD_SHARE_FREED*R_WAIT_2023</f>
        <v>37367.159242427646</v>
      </c>
      <c r="GM204">
        <f>IF($A204&lt;=$GB$45,1,0)</f>
        <v>1</v>
      </c>
      <c r="HB204">
        <f>IF($HB$31&lt;=$HB$32,IF($A204&lt;=$HB$7,1,2),IF($A204&lt;=RUNG_BEDS_2,2,1))</f>
        <v>1</v>
      </c>
      <c r="HC204" s="5">
        <f>MIN(1,MAX(0,$HB$26-($A204-1)))</f>
        <v>1</v>
      </c>
      <c r="HD204" s="5">
        <f>$HB$25*(HC204+(1-HC204)*$HB$16)</f>
        <v>252.05322714681438</v>
      </c>
      <c r="HE204" s="13">
        <f>HD204*($HB$6+ACUTE_MARGIN)</f>
        <v>254573.7594182825</v>
      </c>
      <c r="HF204" s="13">
        <f>IF(HB204=1,$HB$31,$HB$32)</f>
        <v>152456.2970814058</v>
      </c>
      <c r="HG204" s="13">
        <f>HE204-HF204</f>
        <v>102117.46233687672</v>
      </c>
      <c r="HH204" s="13">
        <f>HH203+HG204</f>
        <v>12356212.9427621</v>
      </c>
      <c r="HI204">
        <f>IF(HH204=MAX($HH$83:$HH$483),$A204,0)</f>
        <v>0</v>
      </c>
      <c r="HJ204">
        <f>IF(HE204&lt;HF204,$A204,B_MAX+1)</f>
        <v>401.0</v>
      </c>
      <c r="HK204" s="13">
        <f>IF(HB204=1,$HB$35,$HB$36)</f>
        <v>0</v>
      </c>
      <c r="HL204" s="13">
        <f>OCC_DAYS*$HB$41*R_NF_2023-HD204*MCD_SHARE_FREED*R_WAIT_2023</f>
        <v>37367.159242427646</v>
      </c>
      <c r="HM204">
        <f>IF($A204&lt;=$HB$45,1,0)</f>
        <v>1</v>
      </c>
      <c r="IB204">
        <f>IF($IB$31&lt;=$IB$32,IF($A204&lt;=$IB$7,1,2),IF($A204&lt;=RUNG_BEDS_2,2,1))</f>
        <v>1</v>
      </c>
      <c r="IC204" s="5">
        <f>MIN(1,MAX(0,$IB$26-($A204-1)))</f>
        <v>1</v>
      </c>
      <c r="ID204" s="5">
        <f>$IB$25*(IC204+(1-IC204)*$IB$16)</f>
        <v>252.05322714681438</v>
      </c>
      <c r="IE204" s="13">
        <f>ID204*($IB$6+ACUTE_MARGIN)</f>
        <v>254573.7594182825</v>
      </c>
      <c r="IF204" s="13">
        <f>IF(IB204=1,$IB$31,$IB$32)</f>
        <v>152734.9994534971</v>
      </c>
      <c r="IG204" s="13">
        <f>IE204-IF204</f>
        <v>101838.75996478542</v>
      </c>
      <c r="IH204" s="13">
        <f>IH203+IG204</f>
        <v>12322489.955739012</v>
      </c>
      <c r="II204">
        <f>IF(IH204=MAX($IH$83:$IH$483),$A204,0)</f>
        <v>0</v>
      </c>
      <c r="IJ204">
        <f>IF(IE204&lt;IF204,$A204,B_MAX+1)</f>
        <v>401.0</v>
      </c>
      <c r="IK204" s="13">
        <f>IF(IB204=1,$IB$35,$IB$36)</f>
        <v>0</v>
      </c>
      <c r="IL204" s="13">
        <f>OCC_DAYS*$IB$41*R_NF_2023-ID204*MCD_SHARE_FREED*R_WAIT_2023</f>
        <v>37367.159242427646</v>
      </c>
      <c r="IM204">
        <f>IF($A204&lt;=$IB$45,1,0)</f>
        <v>1</v>
      </c>
      <c r="JB204">
        <f>IF($JB$31&lt;=$JB$32,IF($A204&lt;=$JB$7,1,2),IF($A204&lt;=RUNG_BEDS_2,2,1))</f>
        <v>1</v>
      </c>
      <c r="JC204" s="5">
        <f>MIN(1,MAX(0,$JB$26-($A204-1)))</f>
        <v>1</v>
      </c>
      <c r="JD204" s="5">
        <f>$JB$25*(JC204+(1-JC204)*$JB$16)</f>
        <v>252.05322714681438</v>
      </c>
      <c r="JE204" s="13">
        <f>JD204*($JB$6+ACUTE_MARGIN)</f>
        <v>254573.7594182825</v>
      </c>
      <c r="JF204" s="13">
        <f>IF(JB204=1,$JB$31,$JB$32)</f>
        <v>152394.16214437486</v>
      </c>
      <c r="JG204" s="13">
        <f>JE204-JF204</f>
        <v>102179.59727390765</v>
      </c>
      <c r="JH204" s="13">
        <f>JH203+JG204</f>
        <v>12363731.270142859</v>
      </c>
      <c r="JI204">
        <f>IF(JH204=MAX($JH$83:$JH$483),$A204,0)</f>
        <v>0</v>
      </c>
      <c r="JJ204">
        <f>IF(JE204&lt;JF204,$A204,B_MAX+1)</f>
        <v>401.0</v>
      </c>
      <c r="JK204" s="13">
        <f>IF(JB204=1,$JB$35,$JB$36)</f>
        <v>0</v>
      </c>
      <c r="JL204" s="13">
        <f>OCC_DAYS*$JB$41*R_NF_2023-JD204*MCD_SHARE_FREED*R_WAIT_2023</f>
        <v>37367.159242427646</v>
      </c>
      <c r="JM204">
        <f>IF($A204&lt;=$JB$45,1,0)</f>
        <v>1</v>
      </c>
      <c r="KB204">
        <f>IF($KB$31&lt;=$KB$32,IF($A204&lt;=$KB$7,1,2),IF($A204&lt;=RUNG_BEDS_2,2,1))</f>
        <v>1</v>
      </c>
      <c r="KC204" s="5">
        <f>MIN(1,MAX(0,$KB$26-($A204-1)))</f>
        <v>1</v>
      </c>
      <c r="KD204" s="5">
        <f>$KB$25*(KC204+(1-KC204)*$KB$16)</f>
        <v>126.02661357340719</v>
      </c>
      <c r="KE204" s="13">
        <f>KD204*($KB$6+ACUTE_MARGIN)</f>
        <v>127286.87970914126</v>
      </c>
      <c r="KF204" s="13">
        <f>IF(KB204=1,$KB$31,$KB$32)</f>
        <v>152394.16214437486</v>
      </c>
      <c r="KG204" s="13">
        <f>KE204-KF204</f>
        <v>-25107.282435233603</v>
      </c>
      <c r="KH204" s="13">
        <f>KH203+KG204</f>
        <v>-3037981.1746632736</v>
      </c>
      <c r="KI204">
        <f>IF(KH204=MAX($KH$83:$KH$483),$A204,0)</f>
        <v>0</v>
      </c>
      <c r="KJ204">
        <f>IF(KE204&lt;KF204,$A204,B_MAX+1)</f>
        <v>121</v>
      </c>
      <c r="KK204" s="13">
        <f>IF(KB204=1,$KB$35,$KB$36)</f>
        <v>0</v>
      </c>
      <c r="KL204" s="13">
        <f>OCC_DAYS*$KB$41*R_NF_2023-KD204*MCD_SHARE_FREED*R_WAIT_2023</f>
        <v>94673.82103225985</v>
      </c>
      <c r="KM204">
        <f>IF($A204&lt;=$KB$45,1,0)</f>
        <v>0</v>
      </c>
      <c r="LB204">
        <f>IF($LB$31&lt;=$LB$32,IF($A204&lt;=$LB$7,1,2),IF($A204&lt;=RUNG_BEDS_2,2,1))</f>
        <v>1</v>
      </c>
      <c r="LC204" s="5">
        <f>MIN(1,MAX(0,$LB$26-($A204-1)))</f>
        <v>1</v>
      </c>
      <c r="LD204" s="5">
        <f>$LB$25*(LC204+(1-LC204)*$LB$16)</f>
        <v>84.01774238227146</v>
      </c>
      <c r="LE204" s="13">
        <f>LD204*($LB$6+ACUTE_MARGIN)</f>
        <v>84857.91980609419</v>
      </c>
      <c r="LF204" s="13">
        <f>IF(LB204=1,$LB$31,$LB$32)</f>
        <v>152394.16214437486</v>
      </c>
      <c r="LG204" s="13">
        <f>LE204-LF204</f>
        <v>-67536.24233828067</v>
      </c>
      <c r="LH204" s="13">
        <f>LH203+LG204</f>
        <v>-8171885.322931987</v>
      </c>
      <c r="LI204">
        <f>IF(LH204=MAX($LH$83:$LH$483),$A204,0)</f>
        <v>0</v>
      </c>
      <c r="LJ204">
        <f>IF(LE204&lt;LF204,$A204,B_MAX+1)</f>
        <v>121</v>
      </c>
      <c r="LK204" s="13">
        <f>IF(LB204=1,$LB$35,$LB$36)</f>
        <v>0</v>
      </c>
      <c r="LL204" s="13">
        <f>OCC_DAYS*$LB$41*R_NF_2023-LD204*MCD_SHARE_FREED*R_WAIT_2023</f>
        <v>113776.04162887059</v>
      </c>
      <c r="LM204">
        <f>IF($A204&lt;=$LB$45,1,0)</f>
        <v>0</v>
      </c>
      <c r="MB204">
        <f>IF($MB$31&lt;=$MB$32,IF($A204&lt;=$MB$7,1,2),IF($A204&lt;=RUNG_BEDS_2,2,1))</f>
        <v>1</v>
      </c>
      <c r="MC204" s="5">
        <f>MIN(1,MAX(0,$MB$26-($A204-1)))</f>
        <v>1</v>
      </c>
      <c r="MD204" s="5">
        <f>$MB$25*(MC204+(1-MC204)*$MB$16)</f>
        <v>213.44610951008647</v>
      </c>
      <c r="ME204" s="13">
        <f>MD204*($MB$6+ACUTE_MARGIN)</f>
        <v>215580.57060518733</v>
      </c>
      <c r="MF204" s="13">
        <f>IF(MB204=1,$MB$31,$MB$32)</f>
        <v>152394.16214437486</v>
      </c>
      <c r="MG204" s="13">
        <f>ME204-MF204</f>
        <v>63186.40846081247</v>
      </c>
      <c r="MH204" s="13">
        <f>MH203+MG204</f>
        <v>7645555.423758322</v>
      </c>
      <c r="MI204">
        <f>IF(MH204=MAX($MH$83:$MH$483),$A204,0)</f>
        <v>0</v>
      </c>
      <c r="MJ204">
        <f>IF(ME204&lt;MF204,$A204,B_MAX+1)</f>
        <v>401.0</v>
      </c>
      <c r="MK204" s="13">
        <f>IF(MB204=1,$MB$35,$MB$36)</f>
        <v>0</v>
      </c>
      <c r="ML204" s="13">
        <f>OCC_DAYS*$MB$41*R_NF_2023-MD204*MCD_SHARE_FREED*R_WAIT_2023</f>
        <v>54922.538779778624</v>
      </c>
      <c r="MM204">
        <f>IF($A204&lt;=$MB$45,1,0)</f>
        <v>1</v>
      </c>
      <c r="NB204">
        <f>IF($NB$31&lt;=$NB$32,IF($A204&lt;=$NB$7,1,2),IF($A204&lt;=RUNG_BEDS_2,2,1))</f>
        <v>1</v>
      </c>
      <c r="NC204" s="5">
        <f>MIN(1,MAX(0,$NB$26-($A204-1)))</f>
        <v>1</v>
      </c>
      <c r="ND204" s="5">
        <f>$NB$25*(NC204+(1-NC204)*$NB$16)</f>
        <v>252.05322714681438</v>
      </c>
      <c r="NE204" s="13">
        <f>ND204*($NB$6+ACUTE_MARGIN)</f>
        <v>254573.7594182825</v>
      </c>
      <c r="NF204" s="13">
        <f>IF(NB204=1,$NB$31,$NB$32)</f>
        <v>152394.16214437486</v>
      </c>
      <c r="NG204" s="13">
        <f>NE204-NF204</f>
        <v>102179.59727390765</v>
      </c>
      <c r="NH204" s="13">
        <f>NH203+NG204</f>
        <v>12363731.270142859</v>
      </c>
      <c r="NI204">
        <f>IF(NH204=MAX($NH$83:$NH$483),$A204,0)</f>
        <v>0</v>
      </c>
      <c r="NJ204">
        <f>IF(NE204&lt;NF204,$A204,B_MAX+1)</f>
        <v>401.0</v>
      </c>
      <c r="NK204" s="13">
        <f>IF(NB204=1,$NB$35,$NB$36)</f>
        <v>0</v>
      </c>
      <c r="NL204" s="13">
        <f>OCC_DAYS*$NB$41*R_NF_2023-ND204*MCD_SHARE_FREED*R_WAIT_2023</f>
        <v>37367.159242427646</v>
      </c>
      <c r="NM204">
        <f>IF($A204&lt;=$NB$45,1,0)</f>
        <v>1</v>
      </c>
      <c r="OB204">
        <f>IF($OB$31&lt;=$OB$32,IF($A204&lt;=$OB$7,1,2),IF($A204&lt;=RUNG_BEDS_2,2,1))</f>
        <v>1</v>
      </c>
      <c r="OC204" s="5">
        <f>MIN(1,MAX(0,$OB$26-($A204-1)))</f>
        <v>1</v>
      </c>
      <c r="OD204" s="5">
        <f>$OB$25*(OC204+(1-OC204)*$OB$16)</f>
        <v>252.05322714681438</v>
      </c>
      <c r="OE204" s="13">
        <f>OD204*($OB$6+ACUTE_MARGIN)</f>
        <v>254573.7594182825</v>
      </c>
      <c r="OF204" s="13">
        <f>IF(OB204=1,$OB$31,$OB$32)</f>
        <v>152394.16214437486</v>
      </c>
      <c r="OG204" s="13">
        <f>OE204-OF204</f>
        <v>102179.59727390765</v>
      </c>
      <c r="OH204" s="13">
        <f>OH203+OG204</f>
        <v>12363731.270142859</v>
      </c>
      <c r="OI204">
        <f>IF(OH204=MAX($OH$83:$OH$483),$A204,0)</f>
        <v>0</v>
      </c>
      <c r="OJ204">
        <f>IF(OE204&lt;OF204,$A204,B_MAX+1)</f>
        <v>401.0</v>
      </c>
      <c r="OK204" s="13">
        <f>IF(OB204=1,$OB$35,$OB$36)</f>
        <v>0</v>
      </c>
      <c r="OL204" s="13">
        <f>OCC_DAYS*$OB$41*R_NF_2023-OD204*MCD_SHARE_FREED*R_WAIT_2023</f>
        <v>37367.159242427646</v>
      </c>
      <c r="OM204">
        <f>IF($A204&lt;=$OB$45,1,0)</f>
        <v>1</v>
      </c>
    </row>
    <row r="205">
      <c r="A205" t="n">
        <v>122</v>
      </c>
      <c r="B205">
        <f>IF($B$31&lt;=$B$32,IF($A205&lt;=$B$7,1,2),IF($A205&lt;=RUNG_BEDS_2,2,1))</f>
        <v>1</v>
      </c>
      <c r="C205" s="5">
        <f>MIN(1,MAX(0,$B$26-($A205-1)))</f>
        <v>1</v>
      </c>
      <c r="D205" s="5">
        <f>$B$25*(C205+(1-C205)*$B$16)</f>
        <v>252.05322714681438</v>
      </c>
      <c r="E205" s="13">
        <f>D205*($B$6+ACUTE_MARGIN)</f>
        <v>254573.7594182825</v>
      </c>
      <c r="F205" s="13">
        <f>IF(B205=1,$B$31,$B$32)</f>
        <v>152394.16214437486</v>
      </c>
      <c r="G205" s="13">
        <f>E205-F205</f>
        <v>102179.59727390765</v>
      </c>
      <c r="H205" s="13">
        <f>H204+G205</f>
        <v>12465910.867416767</v>
      </c>
      <c r="I205">
        <f>IF(H205=MAX($H$83:$H$483),$A205,0)</f>
        <v>0</v>
      </c>
      <c r="J205">
        <f>IF(E205&lt;F205,$A205,B_MAX+1)</f>
        <v>401.0</v>
      </c>
      <c r="K205" s="13">
        <f>IF(B205=1,$B$35,$B$36)</f>
        <v>0</v>
      </c>
      <c r="L205" s="13">
        <f>OCC_DAYS*$B$41*R_NF_2023-D205*MCD_SHARE_FREED*R_WAIT_2023</f>
        <v>37367.159242427646</v>
      </c>
      <c r="M205">
        <f>IF($A205&lt;=$B$45,1,0)</f>
        <v>1</v>
      </c>
      <c r="AB205">
        <f>IF($AB$31&lt;=$AB$32,IF($A205&lt;=$AB$7,1,2),IF($A205&lt;=RUNG_BEDS_2,2,1))</f>
        <v>1</v>
      </c>
      <c r="AC205" s="5">
        <f>MIN(1,MAX(0,$AB$26-($A205-1)))</f>
        <v>1</v>
      </c>
      <c r="AD205" s="5">
        <f>$AB$25*(AC205+(1-AC205)*$AB$16)</f>
        <v>252.05322714681438</v>
      </c>
      <c r="AE205" s="13">
        <f>AD205*($AB$6+ACUTE_MARGIN)</f>
        <v>138629.2749307479</v>
      </c>
      <c r="AF205" s="13">
        <f>IF(AB205=1,$AB$31,$AB$32)</f>
        <v>152394.16214437486</v>
      </c>
      <c r="AG205" s="13">
        <f>AE205-AF205</f>
        <v>-13764.887213626964</v>
      </c>
      <c r="AH205" s="13">
        <f>AH204+AG205</f>
        <v>-1679316.2400624873</v>
      </c>
      <c r="AI205">
        <f>IF(AH205=MAX($AH$83:$AH$483),$A205,0)</f>
        <v>0</v>
      </c>
      <c r="AJ205">
        <f>IF(AE205&lt;AF205,$A205,B_MAX+1)</f>
        <v>122</v>
      </c>
      <c r="AK205" s="13">
        <f>IF(AB205=1,$AB$35,$AB$36)</f>
        <v>0</v>
      </c>
      <c r="AL205" s="13">
        <f>OCC_DAYS*$AB$41*R_NF_2023-AD205*MCD_SHARE_FREED*R_WAIT_2023</f>
        <v>37367.159242427646</v>
      </c>
      <c r="AM205">
        <f>IF($A205&lt;=$AB$45,1,0)</f>
        <v>0</v>
      </c>
      <c r="BB205">
        <f>IF($BB$31&lt;=$BB$32,IF($A205&lt;=$BB$7,1,2),IF($A205&lt;=RUNG_BEDS_2,2,1))</f>
        <v>1</v>
      </c>
      <c r="BC205" s="5">
        <f>MIN(1,MAX(0,$BB$26-($A205-1)))</f>
        <v>1</v>
      </c>
      <c r="BD205" s="5">
        <f>$BB$25*(BC205+(1-BC205)*$BB$16)</f>
        <v>252.05322714681438</v>
      </c>
      <c r="BE205" s="13">
        <f>BD205*($BB$6+ACUTE_MARGIN)</f>
        <v>370518.24390581716</v>
      </c>
      <c r="BF205" s="13">
        <f>IF(BB205=1,$BB$31,$BB$32)</f>
        <v>152394.16214437486</v>
      </c>
      <c r="BG205" s="13">
        <f>BE205-BF205</f>
        <v>218124.0817614423</v>
      </c>
      <c r="BH205" s="13">
        <f>BH204+BG205</f>
        <v>26611137.974895943</v>
      </c>
      <c r="BI205">
        <f>IF(BH205=MAX($BH$83:$BH$483),$A205,0)</f>
        <v>0</v>
      </c>
      <c r="BJ205">
        <f>IF(BE205&lt;BF205,$A205,B_MAX+1)</f>
        <v>401.0</v>
      </c>
      <c r="BK205" s="13">
        <f>IF(BB205=1,$BB$35,$BB$36)</f>
        <v>0</v>
      </c>
      <c r="BL205" s="13">
        <f>OCC_DAYS*$BB$41*R_NF_2023-BD205*MCD_SHARE_FREED*R_WAIT_2023</f>
        <v>37367.159242427646</v>
      </c>
      <c r="BM205">
        <f>IF($A205&lt;=$BB$45,1,0)</f>
        <v>1</v>
      </c>
      <c r="CB205">
        <f>IF($CB$31&lt;=$CB$32,IF($A205&lt;=$CB$7,1,2),IF($A205&lt;=RUNG_BEDS_2,2,1))</f>
        <v>2</v>
      </c>
      <c r="CC205" s="5">
        <f>MIN(1,MAX(0,$CB$26-($A205-1)))</f>
        <v>1</v>
      </c>
      <c r="CD205" s="5">
        <f>$CB$25*(CC205+(1-CC205)*$CB$16)</f>
        <v>252.05322714681438</v>
      </c>
      <c r="CE205" s="13">
        <f>CD205*($CB$6+ACUTE_MARGIN)</f>
        <v>254573.7594182825</v>
      </c>
      <c r="CF205" s="13">
        <f>IF(CB205=1,$CB$31,$CB$32)</f>
        <v>160718.36940738867</v>
      </c>
      <c r="CG205" s="13">
        <f>CE205-CF205</f>
        <v>93855.39001089384</v>
      </c>
      <c r="CH205" s="13">
        <f>CH204+CG205</f>
        <v>11450357.581329051</v>
      </c>
      <c r="CI205">
        <f>IF(CH205=MAX($CH$83:$CH$483),$A205,0)</f>
        <v>0</v>
      </c>
      <c r="CJ205">
        <f>IF(CE205&lt;CF205,$A205,B_MAX+1)</f>
        <v>401.0</v>
      </c>
      <c r="CK205" s="13">
        <f>IF(CB205=1,$CB$35,$CB$36)</f>
        <v>1560.1194073886782</v>
      </c>
      <c r="CL205" s="13">
        <f>OCC_DAYS*$CB$41*R_NF_2023-CD205*MCD_SHARE_FREED*R_WAIT_2023</f>
        <v>37367.159242427646</v>
      </c>
      <c r="CM205">
        <f>IF($A205&lt;=$CB$45,1,0)</f>
        <v>1</v>
      </c>
      <c r="DB205">
        <f>IF($DB$31&lt;=$DB$32,IF($A205&lt;=$DB$7,1,2),IF($A205&lt;=RUNG_BEDS_2,2,1))</f>
        <v>1</v>
      </c>
      <c r="DC205" s="5">
        <f>MIN(1,MAX(0,$DB$26-($A205-1)))</f>
        <v>1</v>
      </c>
      <c r="DD205" s="5">
        <f>$DB$25*(DC205+(1-DC205)*$DB$16)</f>
        <v>252.05322714681438</v>
      </c>
      <c r="DE205" s="13">
        <f>DD205*($DB$6+ACUTE_MARGIN)</f>
        <v>254573.7594182825</v>
      </c>
      <c r="DF205" s="13">
        <f>IF(DB205=1,$DB$31,$DB$32)</f>
        <v>152394.16214437486</v>
      </c>
      <c r="DG205" s="13">
        <f>DE205-DF205</f>
        <v>102179.59727390765</v>
      </c>
      <c r="DH205" s="13">
        <f>DH204+DG205</f>
        <v>12465910.867416767</v>
      </c>
      <c r="DI205">
        <f>IF(DH205=MAX($DH$83:$DH$483),$A205,0)</f>
        <v>0</v>
      </c>
      <c r="DJ205">
        <f>IF(DE205&lt;DF205,$A205,B_MAX+1)</f>
        <v>401.0</v>
      </c>
      <c r="DK205" s="13">
        <f>IF(DB205=1,$DB$35,$DB$36)</f>
        <v>0</v>
      </c>
      <c r="DL205" s="13">
        <f>OCC_DAYS*$DB$41*R_NF_2023-DD205*MCD_SHARE_FREED*R_WAIT_2023</f>
        <v>37367.159242427646</v>
      </c>
      <c r="DM205">
        <f>IF($A205&lt;=$DB$45,1,0)</f>
        <v>1</v>
      </c>
      <c r="EB205">
        <f>IF($EB$31&lt;=$EB$32,IF($A205&lt;=$EB$7,1,2),IF($A205&lt;=RUNG_BEDS_2,2,1))</f>
        <v>1</v>
      </c>
      <c r="EC205" s="5">
        <f>MIN(1,MAX(0,$EB$26-($A205-1)))</f>
        <v>1</v>
      </c>
      <c r="ED205" s="5">
        <f>$EB$25*(EC205+(1-EC205)*$EB$16)</f>
        <v>252.05322714681438</v>
      </c>
      <c r="EE205" s="13">
        <f>ED205*($EB$6+ACUTE_MARGIN)</f>
        <v>254573.7594182825</v>
      </c>
      <c r="EF205" s="13">
        <f>IF(EB205=1,$EB$31,$EB$32)</f>
        <v>152394.16214437486</v>
      </c>
      <c r="EG205" s="13">
        <f>EE205-EF205</f>
        <v>102179.59727390765</v>
      </c>
      <c r="EH205" s="13">
        <f>EH204+EG205</f>
        <v>12465910.867416767</v>
      </c>
      <c r="EI205">
        <f>IF(EH205=MAX($EH$83:$EH$483),$A205,0)</f>
        <v>0</v>
      </c>
      <c r="EJ205">
        <f>IF(EE205&lt;EF205,$A205,B_MAX+1)</f>
        <v>401.0</v>
      </c>
      <c r="EK205" s="13">
        <f>IF(EB205=1,$EB$35,$EB$36)</f>
        <v>0</v>
      </c>
      <c r="EL205" s="13">
        <f>OCC_DAYS*$EB$41*R_NF_2023-ED205*MCD_SHARE_FREED*R_WAIT_2023</f>
        <v>-63953.16263896705</v>
      </c>
      <c r="EM205">
        <f>IF($A205&lt;=$EB$45,1,0)</f>
        <v>1</v>
      </c>
      <c r="FB205">
        <f>IF($FB$31&lt;=$FB$32,IF($A205&lt;=$FB$7,1,2),IF($A205&lt;=RUNG_BEDS_2,2,1))</f>
        <v>1</v>
      </c>
      <c r="FC205" s="5">
        <f>MIN(1,MAX(0,$FB$26-($A205-1)))</f>
        <v>1</v>
      </c>
      <c r="FD205" s="5">
        <f>$FB$25*(FC205+(1-FC205)*$FB$16)</f>
        <v>252.05322714681438</v>
      </c>
      <c r="FE205" s="13">
        <f>FD205*($FB$6+ACUTE_MARGIN)</f>
        <v>254573.7594182825</v>
      </c>
      <c r="FF205" s="13">
        <f>IF(FB205=1,$FB$31,$FB$32)</f>
        <v>156636.04979437485</v>
      </c>
      <c r="FG205" s="13">
        <f>FE205-FF205</f>
        <v>97937.70962390766</v>
      </c>
      <c r="FH205" s="13">
        <f>FH204+FG205</f>
        <v>11948400.574116703</v>
      </c>
      <c r="FI205">
        <f>IF(FH205=MAX($FH$83:$FH$483),$A205,0)</f>
        <v>0</v>
      </c>
      <c r="FJ205">
        <f>IF(FE205&lt;FF205,$A205,B_MAX+1)</f>
        <v>401.0</v>
      </c>
      <c r="FK205" s="13">
        <f>IF(FB205=1,$FB$35,$FB$36)</f>
        <v>0</v>
      </c>
      <c r="FL205" s="13">
        <f>OCC_DAYS*$FB$41*R_NF_2023-FD205*MCD_SHARE_FREED*R_WAIT_2023</f>
        <v>37367.159242427646</v>
      </c>
      <c r="FM205">
        <f>IF($A205&lt;=$FB$45,1,0)</f>
        <v>1</v>
      </c>
      <c r="GB205">
        <f>IF($GB$31&lt;=$GB$32,IF($A205&lt;=$GB$7,1,2),IF($A205&lt;=RUNG_BEDS_2,2,1))</f>
        <v>1</v>
      </c>
      <c r="GC205" s="5">
        <f>MIN(1,MAX(0,$GB$26-($A205-1)))</f>
        <v>1</v>
      </c>
      <c r="GD205" s="5">
        <f>$GB$25*(GC205+(1-GC205)*$GB$16)</f>
        <v>252.05322714681438</v>
      </c>
      <c r="GE205" s="13">
        <f>GD205*($GB$6+ACUTE_MARGIN)</f>
        <v>254573.7594182825</v>
      </c>
      <c r="GF205" s="13">
        <f>IF(GB205=1,$GB$31,$GB$32)</f>
        <v>152394.16214437486</v>
      </c>
      <c r="GG205" s="13">
        <f>GE205-GF205</f>
        <v>102179.59727390765</v>
      </c>
      <c r="GH205" s="13">
        <f>GH204+GG205</f>
        <v>12465910.867416767</v>
      </c>
      <c r="GI205">
        <f>IF(GH205=MAX($GH$83:$GH$483),$A205,0)</f>
        <v>0</v>
      </c>
      <c r="GJ205">
        <f>IF(GE205&lt;GF205,$A205,B_MAX+1)</f>
        <v>401.0</v>
      </c>
      <c r="GK205" s="13">
        <f>IF(GB205=1,$GB$35,$GB$36)</f>
        <v>0</v>
      </c>
      <c r="GL205" s="13">
        <f>OCC_DAYS*$GB$41*R_NF_2023-GD205*MCD_SHARE_FREED*R_WAIT_2023</f>
        <v>37367.159242427646</v>
      </c>
      <c r="GM205">
        <f>IF($A205&lt;=$GB$45,1,0)</f>
        <v>1</v>
      </c>
      <c r="HB205">
        <f>IF($HB$31&lt;=$HB$32,IF($A205&lt;=$HB$7,1,2),IF($A205&lt;=RUNG_BEDS_2,2,1))</f>
        <v>1</v>
      </c>
      <c r="HC205" s="5">
        <f>MIN(1,MAX(0,$HB$26-($A205-1)))</f>
        <v>1</v>
      </c>
      <c r="HD205" s="5">
        <f>$HB$25*(HC205+(1-HC205)*$HB$16)</f>
        <v>252.05322714681438</v>
      </c>
      <c r="HE205" s="13">
        <f>HD205*($HB$6+ACUTE_MARGIN)</f>
        <v>254573.7594182825</v>
      </c>
      <c r="HF205" s="13">
        <f>IF(HB205=1,$HB$31,$HB$32)</f>
        <v>152456.2970814058</v>
      </c>
      <c r="HG205" s="13">
        <f>HE205-HF205</f>
        <v>102117.46233687672</v>
      </c>
      <c r="HH205" s="13">
        <f>HH204+HG205</f>
        <v>12458330.405098977</v>
      </c>
      <c r="HI205">
        <f>IF(HH205=MAX($HH$83:$HH$483),$A205,0)</f>
        <v>0</v>
      </c>
      <c r="HJ205">
        <f>IF(HE205&lt;HF205,$A205,B_MAX+1)</f>
        <v>401.0</v>
      </c>
      <c r="HK205" s="13">
        <f>IF(HB205=1,$HB$35,$HB$36)</f>
        <v>0</v>
      </c>
      <c r="HL205" s="13">
        <f>OCC_DAYS*$HB$41*R_NF_2023-HD205*MCD_SHARE_FREED*R_WAIT_2023</f>
        <v>37367.159242427646</v>
      </c>
      <c r="HM205">
        <f>IF($A205&lt;=$HB$45,1,0)</f>
        <v>1</v>
      </c>
      <c r="IB205">
        <f>IF($IB$31&lt;=$IB$32,IF($A205&lt;=$IB$7,1,2),IF($A205&lt;=RUNG_BEDS_2,2,1))</f>
        <v>1</v>
      </c>
      <c r="IC205" s="5">
        <f>MIN(1,MAX(0,$IB$26-($A205-1)))</f>
        <v>1</v>
      </c>
      <c r="ID205" s="5">
        <f>$IB$25*(IC205+(1-IC205)*$IB$16)</f>
        <v>252.05322714681438</v>
      </c>
      <c r="IE205" s="13">
        <f>ID205*($IB$6+ACUTE_MARGIN)</f>
        <v>254573.7594182825</v>
      </c>
      <c r="IF205" s="13">
        <f>IF(IB205=1,$IB$31,$IB$32)</f>
        <v>152734.9994534971</v>
      </c>
      <c r="IG205" s="13">
        <f>IE205-IF205</f>
        <v>101838.75996478542</v>
      </c>
      <c r="IH205" s="13">
        <f>IH204+IG205</f>
        <v>12424328.715703797</v>
      </c>
      <c r="II205">
        <f>IF(IH205=MAX($IH$83:$IH$483),$A205,0)</f>
        <v>0</v>
      </c>
      <c r="IJ205">
        <f>IF(IE205&lt;IF205,$A205,B_MAX+1)</f>
        <v>401.0</v>
      </c>
      <c r="IK205" s="13">
        <f>IF(IB205=1,$IB$35,$IB$36)</f>
        <v>0</v>
      </c>
      <c r="IL205" s="13">
        <f>OCC_DAYS*$IB$41*R_NF_2023-ID205*MCD_SHARE_FREED*R_WAIT_2023</f>
        <v>37367.159242427646</v>
      </c>
      <c r="IM205">
        <f>IF($A205&lt;=$IB$45,1,0)</f>
        <v>1</v>
      </c>
      <c r="JB205">
        <f>IF($JB$31&lt;=$JB$32,IF($A205&lt;=$JB$7,1,2),IF($A205&lt;=RUNG_BEDS_2,2,1))</f>
        <v>1</v>
      </c>
      <c r="JC205" s="5">
        <f>MIN(1,MAX(0,$JB$26-($A205-1)))</f>
        <v>1</v>
      </c>
      <c r="JD205" s="5">
        <f>$JB$25*(JC205+(1-JC205)*$JB$16)</f>
        <v>252.05322714681438</v>
      </c>
      <c r="JE205" s="13">
        <f>JD205*($JB$6+ACUTE_MARGIN)</f>
        <v>254573.7594182825</v>
      </c>
      <c r="JF205" s="13">
        <f>IF(JB205=1,$JB$31,$JB$32)</f>
        <v>152394.16214437486</v>
      </c>
      <c r="JG205" s="13">
        <f>JE205-JF205</f>
        <v>102179.59727390765</v>
      </c>
      <c r="JH205" s="13">
        <f>JH204+JG205</f>
        <v>12465910.867416767</v>
      </c>
      <c r="JI205">
        <f>IF(JH205=MAX($JH$83:$JH$483),$A205,0)</f>
        <v>0</v>
      </c>
      <c r="JJ205">
        <f>IF(JE205&lt;JF205,$A205,B_MAX+1)</f>
        <v>401.0</v>
      </c>
      <c r="JK205" s="13">
        <f>IF(JB205=1,$JB$35,$JB$36)</f>
        <v>0</v>
      </c>
      <c r="JL205" s="13">
        <f>OCC_DAYS*$JB$41*R_NF_2023-JD205*MCD_SHARE_FREED*R_WAIT_2023</f>
        <v>37367.159242427646</v>
      </c>
      <c r="JM205">
        <f>IF($A205&lt;=$JB$45,1,0)</f>
        <v>1</v>
      </c>
      <c r="KB205">
        <f>IF($KB$31&lt;=$KB$32,IF($A205&lt;=$KB$7,1,2),IF($A205&lt;=RUNG_BEDS_2,2,1))</f>
        <v>1</v>
      </c>
      <c r="KC205" s="5">
        <f>MIN(1,MAX(0,$KB$26-($A205-1)))</f>
        <v>1</v>
      </c>
      <c r="KD205" s="5">
        <f>$KB$25*(KC205+(1-KC205)*$KB$16)</f>
        <v>126.02661357340719</v>
      </c>
      <c r="KE205" s="13">
        <f>KD205*($KB$6+ACUTE_MARGIN)</f>
        <v>127286.87970914126</v>
      </c>
      <c r="KF205" s="13">
        <f>IF(KB205=1,$KB$31,$KB$32)</f>
        <v>152394.16214437486</v>
      </c>
      <c r="KG205" s="13">
        <f>KE205-KF205</f>
        <v>-25107.282435233603</v>
      </c>
      <c r="KH205" s="13">
        <f>KH204+KG205</f>
        <v>-3063088.4570985073</v>
      </c>
      <c r="KI205">
        <f>IF(KH205=MAX($KH$83:$KH$483),$A205,0)</f>
        <v>0</v>
      </c>
      <c r="KJ205">
        <f>IF(KE205&lt;KF205,$A205,B_MAX+1)</f>
        <v>122</v>
      </c>
      <c r="KK205" s="13">
        <f>IF(KB205=1,$KB$35,$KB$36)</f>
        <v>0</v>
      </c>
      <c r="KL205" s="13">
        <f>OCC_DAYS*$KB$41*R_NF_2023-KD205*MCD_SHARE_FREED*R_WAIT_2023</f>
        <v>94673.82103225985</v>
      </c>
      <c r="KM205">
        <f>IF($A205&lt;=$KB$45,1,0)</f>
        <v>0</v>
      </c>
      <c r="LB205">
        <f>IF($LB$31&lt;=$LB$32,IF($A205&lt;=$LB$7,1,2),IF($A205&lt;=RUNG_BEDS_2,2,1))</f>
        <v>1</v>
      </c>
      <c r="LC205" s="5">
        <f>MIN(1,MAX(0,$LB$26-($A205-1)))</f>
        <v>1</v>
      </c>
      <c r="LD205" s="5">
        <f>$LB$25*(LC205+(1-LC205)*$LB$16)</f>
        <v>84.01774238227146</v>
      </c>
      <c r="LE205" s="13">
        <f>LD205*($LB$6+ACUTE_MARGIN)</f>
        <v>84857.91980609419</v>
      </c>
      <c r="LF205" s="13">
        <f>IF(LB205=1,$LB$31,$LB$32)</f>
        <v>152394.16214437486</v>
      </c>
      <c r="LG205" s="13">
        <f>LE205-LF205</f>
        <v>-67536.24233828067</v>
      </c>
      <c r="LH205" s="13">
        <f>LH204+LG205</f>
        <v>-8239421.565270268</v>
      </c>
      <c r="LI205">
        <f>IF(LH205=MAX($LH$83:$LH$483),$A205,0)</f>
        <v>0</v>
      </c>
      <c r="LJ205">
        <f>IF(LE205&lt;LF205,$A205,B_MAX+1)</f>
        <v>122</v>
      </c>
      <c r="LK205" s="13">
        <f>IF(LB205=1,$LB$35,$LB$36)</f>
        <v>0</v>
      </c>
      <c r="LL205" s="13">
        <f>OCC_DAYS*$LB$41*R_NF_2023-LD205*MCD_SHARE_FREED*R_WAIT_2023</f>
        <v>113776.04162887059</v>
      </c>
      <c r="LM205">
        <f>IF($A205&lt;=$LB$45,1,0)</f>
        <v>0</v>
      </c>
      <c r="MB205">
        <f>IF($MB$31&lt;=$MB$32,IF($A205&lt;=$MB$7,1,2),IF($A205&lt;=RUNG_BEDS_2,2,1))</f>
        <v>1</v>
      </c>
      <c r="MC205" s="5">
        <f>MIN(1,MAX(0,$MB$26-($A205-1)))</f>
        <v>1</v>
      </c>
      <c r="MD205" s="5">
        <f>$MB$25*(MC205+(1-MC205)*$MB$16)</f>
        <v>213.44610951008647</v>
      </c>
      <c r="ME205" s="13">
        <f>MD205*($MB$6+ACUTE_MARGIN)</f>
        <v>215580.57060518733</v>
      </c>
      <c r="MF205" s="13">
        <f>IF(MB205=1,$MB$31,$MB$32)</f>
        <v>152394.16214437486</v>
      </c>
      <c r="MG205" s="13">
        <f>ME205-MF205</f>
        <v>63186.40846081247</v>
      </c>
      <c r="MH205" s="13">
        <f>MH204+MG205</f>
        <v>7708741.832219135</v>
      </c>
      <c r="MI205">
        <f>IF(MH205=MAX($MH$83:$MH$483),$A205,0)</f>
        <v>0</v>
      </c>
      <c r="MJ205">
        <f>IF(ME205&lt;MF205,$A205,B_MAX+1)</f>
        <v>401.0</v>
      </c>
      <c r="MK205" s="13">
        <f>IF(MB205=1,$MB$35,$MB$36)</f>
        <v>0</v>
      </c>
      <c r="ML205" s="13">
        <f>OCC_DAYS*$MB$41*R_NF_2023-MD205*MCD_SHARE_FREED*R_WAIT_2023</f>
        <v>54922.538779778624</v>
      </c>
      <c r="MM205">
        <f>IF($A205&lt;=$MB$45,1,0)</f>
        <v>1</v>
      </c>
      <c r="NB205">
        <f>IF($NB$31&lt;=$NB$32,IF($A205&lt;=$NB$7,1,2),IF($A205&lt;=RUNG_BEDS_2,2,1))</f>
        <v>1</v>
      </c>
      <c r="NC205" s="5">
        <f>MIN(1,MAX(0,$NB$26-($A205-1)))</f>
        <v>1</v>
      </c>
      <c r="ND205" s="5">
        <f>$NB$25*(NC205+(1-NC205)*$NB$16)</f>
        <v>252.05322714681438</v>
      </c>
      <c r="NE205" s="13">
        <f>ND205*($NB$6+ACUTE_MARGIN)</f>
        <v>254573.7594182825</v>
      </c>
      <c r="NF205" s="13">
        <f>IF(NB205=1,$NB$31,$NB$32)</f>
        <v>152394.16214437486</v>
      </c>
      <c r="NG205" s="13">
        <f>NE205-NF205</f>
        <v>102179.59727390765</v>
      </c>
      <c r="NH205" s="13">
        <f>NH204+NG205</f>
        <v>12465910.867416767</v>
      </c>
      <c r="NI205">
        <f>IF(NH205=MAX($NH$83:$NH$483),$A205,0)</f>
        <v>0</v>
      </c>
      <c r="NJ205">
        <f>IF(NE205&lt;NF205,$A205,B_MAX+1)</f>
        <v>401.0</v>
      </c>
      <c r="NK205" s="13">
        <f>IF(NB205=1,$NB$35,$NB$36)</f>
        <v>0</v>
      </c>
      <c r="NL205" s="13">
        <f>OCC_DAYS*$NB$41*R_NF_2023-ND205*MCD_SHARE_FREED*R_WAIT_2023</f>
        <v>37367.159242427646</v>
      </c>
      <c r="NM205">
        <f>IF($A205&lt;=$NB$45,1,0)</f>
        <v>1</v>
      </c>
      <c r="OB205">
        <f>IF($OB$31&lt;=$OB$32,IF($A205&lt;=$OB$7,1,2),IF($A205&lt;=RUNG_BEDS_2,2,1))</f>
        <v>1</v>
      </c>
      <c r="OC205" s="5">
        <f>MIN(1,MAX(0,$OB$26-($A205-1)))</f>
        <v>1</v>
      </c>
      <c r="OD205" s="5">
        <f>$OB$25*(OC205+(1-OC205)*$OB$16)</f>
        <v>252.05322714681438</v>
      </c>
      <c r="OE205" s="13">
        <f>OD205*($OB$6+ACUTE_MARGIN)</f>
        <v>254573.7594182825</v>
      </c>
      <c r="OF205" s="13">
        <f>IF(OB205=1,$OB$31,$OB$32)</f>
        <v>152394.16214437486</v>
      </c>
      <c r="OG205" s="13">
        <f>OE205-OF205</f>
        <v>102179.59727390765</v>
      </c>
      <c r="OH205" s="13">
        <f>OH204+OG205</f>
        <v>12465910.867416767</v>
      </c>
      <c r="OI205">
        <f>IF(OH205=MAX($OH$83:$OH$483),$A205,0)</f>
        <v>0</v>
      </c>
      <c r="OJ205">
        <f>IF(OE205&lt;OF205,$A205,B_MAX+1)</f>
        <v>401.0</v>
      </c>
      <c r="OK205" s="13">
        <f>IF(OB205=1,$OB$35,$OB$36)</f>
        <v>0</v>
      </c>
      <c r="OL205" s="13">
        <f>OCC_DAYS*$OB$41*R_NF_2023-OD205*MCD_SHARE_FREED*R_WAIT_2023</f>
        <v>37367.159242427646</v>
      </c>
      <c r="OM205">
        <f>IF($A205&lt;=$OB$45,1,0)</f>
        <v>1</v>
      </c>
    </row>
    <row r="206">
      <c r="A206" t="n">
        <v>123</v>
      </c>
      <c r="B206">
        <f>IF($B$31&lt;=$B$32,IF($A206&lt;=$B$7,1,2),IF($A206&lt;=RUNG_BEDS_2,2,1))</f>
        <v>1</v>
      </c>
      <c r="C206" s="5">
        <f>MIN(1,MAX(0,$B$26-($A206-1)))</f>
        <v>1</v>
      </c>
      <c r="D206" s="5">
        <f>$B$25*(C206+(1-C206)*$B$16)</f>
        <v>252.05322714681438</v>
      </c>
      <c r="E206" s="13">
        <f>D206*($B$6+ACUTE_MARGIN)</f>
        <v>254573.7594182825</v>
      </c>
      <c r="F206" s="13">
        <f>IF(B206=1,$B$31,$B$32)</f>
        <v>152394.16214437486</v>
      </c>
      <c r="G206" s="13">
        <f>E206-F206</f>
        <v>102179.59727390765</v>
      </c>
      <c r="H206" s="13">
        <f>H205+G206</f>
        <v>12568090.464690676</v>
      </c>
      <c r="I206">
        <f>IF(H206=MAX($H$83:$H$483),$A206,0)</f>
        <v>0</v>
      </c>
      <c r="J206">
        <f>IF(E206&lt;F206,$A206,B_MAX+1)</f>
        <v>401.0</v>
      </c>
      <c r="K206" s="13">
        <f>IF(B206=1,$B$35,$B$36)</f>
        <v>0</v>
      </c>
      <c r="L206" s="13">
        <f>OCC_DAYS*$B$41*R_NF_2023-D206*MCD_SHARE_FREED*R_WAIT_2023</f>
        <v>37367.159242427646</v>
      </c>
      <c r="M206">
        <f>IF($A206&lt;=$B$45,1,0)</f>
        <v>1</v>
      </c>
      <c r="AB206">
        <f>IF($AB$31&lt;=$AB$32,IF($A206&lt;=$AB$7,1,2),IF($A206&lt;=RUNG_BEDS_2,2,1))</f>
        <v>1</v>
      </c>
      <c r="AC206" s="5">
        <f>MIN(1,MAX(0,$AB$26-($A206-1)))</f>
        <v>1</v>
      </c>
      <c r="AD206" s="5">
        <f>$AB$25*(AC206+(1-AC206)*$AB$16)</f>
        <v>252.05322714681438</v>
      </c>
      <c r="AE206" s="13">
        <f>AD206*($AB$6+ACUTE_MARGIN)</f>
        <v>138629.2749307479</v>
      </c>
      <c r="AF206" s="13">
        <f>IF(AB206=1,$AB$31,$AB$32)</f>
        <v>152394.16214437486</v>
      </c>
      <c r="AG206" s="13">
        <f>AE206-AF206</f>
        <v>-13764.887213626964</v>
      </c>
      <c r="AH206" s="13">
        <f>AH205+AG206</f>
        <v>-1693081.1272761142</v>
      </c>
      <c r="AI206">
        <f>IF(AH206=MAX($AH$83:$AH$483),$A206,0)</f>
        <v>0</v>
      </c>
      <c r="AJ206">
        <f>IF(AE206&lt;AF206,$A206,B_MAX+1)</f>
        <v>123</v>
      </c>
      <c r="AK206" s="13">
        <f>IF(AB206=1,$AB$35,$AB$36)</f>
        <v>0</v>
      </c>
      <c r="AL206" s="13">
        <f>OCC_DAYS*$AB$41*R_NF_2023-AD206*MCD_SHARE_FREED*R_WAIT_2023</f>
        <v>37367.159242427646</v>
      </c>
      <c r="AM206">
        <f>IF($A206&lt;=$AB$45,1,0)</f>
        <v>0</v>
      </c>
      <c r="BB206">
        <f>IF($BB$31&lt;=$BB$32,IF($A206&lt;=$BB$7,1,2),IF($A206&lt;=RUNG_BEDS_2,2,1))</f>
        <v>1</v>
      </c>
      <c r="BC206" s="5">
        <f>MIN(1,MAX(0,$BB$26-($A206-1)))</f>
        <v>1</v>
      </c>
      <c r="BD206" s="5">
        <f>$BB$25*(BC206+(1-BC206)*$BB$16)</f>
        <v>252.05322714681438</v>
      </c>
      <c r="BE206" s="13">
        <f>BD206*($BB$6+ACUTE_MARGIN)</f>
        <v>370518.24390581716</v>
      </c>
      <c r="BF206" s="13">
        <f>IF(BB206=1,$BB$31,$BB$32)</f>
        <v>152394.16214437486</v>
      </c>
      <c r="BG206" s="13">
        <f>BE206-BF206</f>
        <v>218124.0817614423</v>
      </c>
      <c r="BH206" s="13">
        <f>BH205+BG206</f>
        <v>26829262.056657385</v>
      </c>
      <c r="BI206">
        <f>IF(BH206=MAX($BH$83:$BH$483),$A206,0)</f>
        <v>0</v>
      </c>
      <c r="BJ206">
        <f>IF(BE206&lt;BF206,$A206,B_MAX+1)</f>
        <v>401.0</v>
      </c>
      <c r="BK206" s="13">
        <f>IF(BB206=1,$BB$35,$BB$36)</f>
        <v>0</v>
      </c>
      <c r="BL206" s="13">
        <f>OCC_DAYS*$BB$41*R_NF_2023-BD206*MCD_SHARE_FREED*R_WAIT_2023</f>
        <v>37367.159242427646</v>
      </c>
      <c r="BM206">
        <f>IF($A206&lt;=$BB$45,1,0)</f>
        <v>1</v>
      </c>
      <c r="CB206">
        <f>IF($CB$31&lt;=$CB$32,IF($A206&lt;=$CB$7,1,2),IF($A206&lt;=RUNG_BEDS_2,2,1))</f>
        <v>2</v>
      </c>
      <c r="CC206" s="5">
        <f>MIN(1,MAX(0,$CB$26-($A206-1)))</f>
        <v>1</v>
      </c>
      <c r="CD206" s="5">
        <f>$CB$25*(CC206+(1-CC206)*$CB$16)</f>
        <v>252.05322714681438</v>
      </c>
      <c r="CE206" s="13">
        <f>CD206*($CB$6+ACUTE_MARGIN)</f>
        <v>254573.7594182825</v>
      </c>
      <c r="CF206" s="13">
        <f>IF(CB206=1,$CB$31,$CB$32)</f>
        <v>160718.36940738867</v>
      </c>
      <c r="CG206" s="13">
        <f>CE206-CF206</f>
        <v>93855.39001089384</v>
      </c>
      <c r="CH206" s="13">
        <f>CH205+CG206</f>
        <v>11544212.971339945</v>
      </c>
      <c r="CI206">
        <f>IF(CH206=MAX($CH$83:$CH$483),$A206,0)</f>
        <v>0</v>
      </c>
      <c r="CJ206">
        <f>IF(CE206&lt;CF206,$A206,B_MAX+1)</f>
        <v>401.0</v>
      </c>
      <c r="CK206" s="13">
        <f>IF(CB206=1,$CB$35,$CB$36)</f>
        <v>1560.1194073886782</v>
      </c>
      <c r="CL206" s="13">
        <f>OCC_DAYS*$CB$41*R_NF_2023-CD206*MCD_SHARE_FREED*R_WAIT_2023</f>
        <v>37367.159242427646</v>
      </c>
      <c r="CM206">
        <f>IF($A206&lt;=$CB$45,1,0)</f>
        <v>1</v>
      </c>
      <c r="DB206">
        <f>IF($DB$31&lt;=$DB$32,IF($A206&lt;=$DB$7,1,2),IF($A206&lt;=RUNG_BEDS_2,2,1))</f>
        <v>1</v>
      </c>
      <c r="DC206" s="5">
        <f>MIN(1,MAX(0,$DB$26-($A206-1)))</f>
        <v>1</v>
      </c>
      <c r="DD206" s="5">
        <f>$DB$25*(DC206+(1-DC206)*$DB$16)</f>
        <v>252.05322714681438</v>
      </c>
      <c r="DE206" s="13">
        <f>DD206*($DB$6+ACUTE_MARGIN)</f>
        <v>254573.7594182825</v>
      </c>
      <c r="DF206" s="13">
        <f>IF(DB206=1,$DB$31,$DB$32)</f>
        <v>152394.16214437486</v>
      </c>
      <c r="DG206" s="13">
        <f>DE206-DF206</f>
        <v>102179.59727390765</v>
      </c>
      <c r="DH206" s="13">
        <f>DH205+DG206</f>
        <v>12568090.464690676</v>
      </c>
      <c r="DI206">
        <f>IF(DH206=MAX($DH$83:$DH$483),$A206,0)</f>
        <v>0</v>
      </c>
      <c r="DJ206">
        <f>IF(DE206&lt;DF206,$A206,B_MAX+1)</f>
        <v>401.0</v>
      </c>
      <c r="DK206" s="13">
        <f>IF(DB206=1,$DB$35,$DB$36)</f>
        <v>0</v>
      </c>
      <c r="DL206" s="13">
        <f>OCC_DAYS*$DB$41*R_NF_2023-DD206*MCD_SHARE_FREED*R_WAIT_2023</f>
        <v>37367.159242427646</v>
      </c>
      <c r="DM206">
        <f>IF($A206&lt;=$DB$45,1,0)</f>
        <v>1</v>
      </c>
      <c r="EB206">
        <f>IF($EB$31&lt;=$EB$32,IF($A206&lt;=$EB$7,1,2),IF($A206&lt;=RUNG_BEDS_2,2,1))</f>
        <v>1</v>
      </c>
      <c r="EC206" s="5">
        <f>MIN(1,MAX(0,$EB$26-($A206-1)))</f>
        <v>1</v>
      </c>
      <c r="ED206" s="5">
        <f>$EB$25*(EC206+(1-EC206)*$EB$16)</f>
        <v>252.05322714681438</v>
      </c>
      <c r="EE206" s="13">
        <f>ED206*($EB$6+ACUTE_MARGIN)</f>
        <v>254573.7594182825</v>
      </c>
      <c r="EF206" s="13">
        <f>IF(EB206=1,$EB$31,$EB$32)</f>
        <v>152394.16214437486</v>
      </c>
      <c r="EG206" s="13">
        <f>EE206-EF206</f>
        <v>102179.59727390765</v>
      </c>
      <c r="EH206" s="13">
        <f>EH205+EG206</f>
        <v>12568090.464690676</v>
      </c>
      <c r="EI206">
        <f>IF(EH206=MAX($EH$83:$EH$483),$A206,0)</f>
        <v>0</v>
      </c>
      <c r="EJ206">
        <f>IF(EE206&lt;EF206,$A206,B_MAX+1)</f>
        <v>401.0</v>
      </c>
      <c r="EK206" s="13">
        <f>IF(EB206=1,$EB$35,$EB$36)</f>
        <v>0</v>
      </c>
      <c r="EL206" s="13">
        <f>OCC_DAYS*$EB$41*R_NF_2023-ED206*MCD_SHARE_FREED*R_WAIT_2023</f>
        <v>-63953.16263896705</v>
      </c>
      <c r="EM206">
        <f>IF($A206&lt;=$EB$45,1,0)</f>
        <v>1</v>
      </c>
      <c r="FB206">
        <f>IF($FB$31&lt;=$FB$32,IF($A206&lt;=$FB$7,1,2),IF($A206&lt;=RUNG_BEDS_2,2,1))</f>
        <v>1</v>
      </c>
      <c r="FC206" s="5">
        <f>MIN(1,MAX(0,$FB$26-($A206-1)))</f>
        <v>1</v>
      </c>
      <c r="FD206" s="5">
        <f>$FB$25*(FC206+(1-FC206)*$FB$16)</f>
        <v>252.05322714681438</v>
      </c>
      <c r="FE206" s="13">
        <f>FD206*($FB$6+ACUTE_MARGIN)</f>
        <v>254573.7594182825</v>
      </c>
      <c r="FF206" s="13">
        <f>IF(FB206=1,$FB$31,$FB$32)</f>
        <v>156636.04979437485</v>
      </c>
      <c r="FG206" s="13">
        <f>FE206-FF206</f>
        <v>97937.70962390766</v>
      </c>
      <c r="FH206" s="13">
        <f>FH205+FG206</f>
        <v>12046338.28374061</v>
      </c>
      <c r="FI206">
        <f>IF(FH206=MAX($FH$83:$FH$483),$A206,0)</f>
        <v>0</v>
      </c>
      <c r="FJ206">
        <f>IF(FE206&lt;FF206,$A206,B_MAX+1)</f>
        <v>401.0</v>
      </c>
      <c r="FK206" s="13">
        <f>IF(FB206=1,$FB$35,$FB$36)</f>
        <v>0</v>
      </c>
      <c r="FL206" s="13">
        <f>OCC_DAYS*$FB$41*R_NF_2023-FD206*MCD_SHARE_FREED*R_WAIT_2023</f>
        <v>37367.159242427646</v>
      </c>
      <c r="FM206">
        <f>IF($A206&lt;=$FB$45,1,0)</f>
        <v>1</v>
      </c>
      <c r="GB206">
        <f>IF($GB$31&lt;=$GB$32,IF($A206&lt;=$GB$7,1,2),IF($A206&lt;=RUNG_BEDS_2,2,1))</f>
        <v>1</v>
      </c>
      <c r="GC206" s="5">
        <f>MIN(1,MAX(0,$GB$26-($A206-1)))</f>
        <v>1</v>
      </c>
      <c r="GD206" s="5">
        <f>$GB$25*(GC206+(1-GC206)*$GB$16)</f>
        <v>252.05322714681438</v>
      </c>
      <c r="GE206" s="13">
        <f>GD206*($GB$6+ACUTE_MARGIN)</f>
        <v>254573.7594182825</v>
      </c>
      <c r="GF206" s="13">
        <f>IF(GB206=1,$GB$31,$GB$32)</f>
        <v>152394.16214437486</v>
      </c>
      <c r="GG206" s="13">
        <f>GE206-GF206</f>
        <v>102179.59727390765</v>
      </c>
      <c r="GH206" s="13">
        <f>GH205+GG206</f>
        <v>12568090.464690676</v>
      </c>
      <c r="GI206">
        <f>IF(GH206=MAX($GH$83:$GH$483),$A206,0)</f>
        <v>0</v>
      </c>
      <c r="GJ206">
        <f>IF(GE206&lt;GF206,$A206,B_MAX+1)</f>
        <v>401.0</v>
      </c>
      <c r="GK206" s="13">
        <f>IF(GB206=1,$GB$35,$GB$36)</f>
        <v>0</v>
      </c>
      <c r="GL206" s="13">
        <f>OCC_DAYS*$GB$41*R_NF_2023-GD206*MCD_SHARE_FREED*R_WAIT_2023</f>
        <v>37367.159242427646</v>
      </c>
      <c r="GM206">
        <f>IF($A206&lt;=$GB$45,1,0)</f>
        <v>1</v>
      </c>
      <c r="HB206">
        <f>IF($HB$31&lt;=$HB$32,IF($A206&lt;=$HB$7,1,2),IF($A206&lt;=RUNG_BEDS_2,2,1))</f>
        <v>1</v>
      </c>
      <c r="HC206" s="5">
        <f>MIN(1,MAX(0,$HB$26-($A206-1)))</f>
        <v>1</v>
      </c>
      <c r="HD206" s="5">
        <f>$HB$25*(HC206+(1-HC206)*$HB$16)</f>
        <v>252.05322714681438</v>
      </c>
      <c r="HE206" s="13">
        <f>HD206*($HB$6+ACUTE_MARGIN)</f>
        <v>254573.7594182825</v>
      </c>
      <c r="HF206" s="13">
        <f>IF(HB206=1,$HB$31,$HB$32)</f>
        <v>152456.2970814058</v>
      </c>
      <c r="HG206" s="13">
        <f>HE206-HF206</f>
        <v>102117.46233687672</v>
      </c>
      <c r="HH206" s="13">
        <f>HH205+HG206</f>
        <v>12560447.867435854</v>
      </c>
      <c r="HI206">
        <f>IF(HH206=MAX($HH$83:$HH$483),$A206,0)</f>
        <v>0</v>
      </c>
      <c r="HJ206">
        <f>IF(HE206&lt;HF206,$A206,B_MAX+1)</f>
        <v>401.0</v>
      </c>
      <c r="HK206" s="13">
        <f>IF(HB206=1,$HB$35,$HB$36)</f>
        <v>0</v>
      </c>
      <c r="HL206" s="13">
        <f>OCC_DAYS*$HB$41*R_NF_2023-HD206*MCD_SHARE_FREED*R_WAIT_2023</f>
        <v>37367.159242427646</v>
      </c>
      <c r="HM206">
        <f>IF($A206&lt;=$HB$45,1,0)</f>
        <v>1</v>
      </c>
      <c r="IB206">
        <f>IF($IB$31&lt;=$IB$32,IF($A206&lt;=$IB$7,1,2),IF($A206&lt;=RUNG_BEDS_2,2,1))</f>
        <v>1</v>
      </c>
      <c r="IC206" s="5">
        <f>MIN(1,MAX(0,$IB$26-($A206-1)))</f>
        <v>1</v>
      </c>
      <c r="ID206" s="5">
        <f>$IB$25*(IC206+(1-IC206)*$IB$16)</f>
        <v>252.05322714681438</v>
      </c>
      <c r="IE206" s="13">
        <f>ID206*($IB$6+ACUTE_MARGIN)</f>
        <v>254573.7594182825</v>
      </c>
      <c r="IF206" s="13">
        <f>IF(IB206=1,$IB$31,$IB$32)</f>
        <v>152734.9994534971</v>
      </c>
      <c r="IG206" s="13">
        <f>IE206-IF206</f>
        <v>101838.75996478542</v>
      </c>
      <c r="IH206" s="13">
        <f>IH205+IG206</f>
        <v>12526167.475668581</v>
      </c>
      <c r="II206">
        <f>IF(IH206=MAX($IH$83:$IH$483),$A206,0)</f>
        <v>0</v>
      </c>
      <c r="IJ206">
        <f>IF(IE206&lt;IF206,$A206,B_MAX+1)</f>
        <v>401.0</v>
      </c>
      <c r="IK206" s="13">
        <f>IF(IB206=1,$IB$35,$IB$36)</f>
        <v>0</v>
      </c>
      <c r="IL206" s="13">
        <f>OCC_DAYS*$IB$41*R_NF_2023-ID206*MCD_SHARE_FREED*R_WAIT_2023</f>
        <v>37367.159242427646</v>
      </c>
      <c r="IM206">
        <f>IF($A206&lt;=$IB$45,1,0)</f>
        <v>1</v>
      </c>
      <c r="JB206">
        <f>IF($JB$31&lt;=$JB$32,IF($A206&lt;=$JB$7,1,2),IF($A206&lt;=RUNG_BEDS_2,2,1))</f>
        <v>1</v>
      </c>
      <c r="JC206" s="5">
        <f>MIN(1,MAX(0,$JB$26-($A206-1)))</f>
        <v>1</v>
      </c>
      <c r="JD206" s="5">
        <f>$JB$25*(JC206+(1-JC206)*$JB$16)</f>
        <v>252.05322714681438</v>
      </c>
      <c r="JE206" s="13">
        <f>JD206*($JB$6+ACUTE_MARGIN)</f>
        <v>254573.7594182825</v>
      </c>
      <c r="JF206" s="13">
        <f>IF(JB206=1,$JB$31,$JB$32)</f>
        <v>152394.16214437486</v>
      </c>
      <c r="JG206" s="13">
        <f>JE206-JF206</f>
        <v>102179.59727390765</v>
      </c>
      <c r="JH206" s="13">
        <f>JH205+JG206</f>
        <v>12568090.464690676</v>
      </c>
      <c r="JI206">
        <f>IF(JH206=MAX($JH$83:$JH$483),$A206,0)</f>
        <v>0</v>
      </c>
      <c r="JJ206">
        <f>IF(JE206&lt;JF206,$A206,B_MAX+1)</f>
        <v>401.0</v>
      </c>
      <c r="JK206" s="13">
        <f>IF(JB206=1,$JB$35,$JB$36)</f>
        <v>0</v>
      </c>
      <c r="JL206" s="13">
        <f>OCC_DAYS*$JB$41*R_NF_2023-JD206*MCD_SHARE_FREED*R_WAIT_2023</f>
        <v>37367.159242427646</v>
      </c>
      <c r="JM206">
        <f>IF($A206&lt;=$JB$45,1,0)</f>
        <v>1</v>
      </c>
      <c r="KB206">
        <f>IF($KB$31&lt;=$KB$32,IF($A206&lt;=$KB$7,1,2),IF($A206&lt;=RUNG_BEDS_2,2,1))</f>
        <v>1</v>
      </c>
      <c r="KC206" s="5">
        <f>MIN(1,MAX(0,$KB$26-($A206-1)))</f>
        <v>1</v>
      </c>
      <c r="KD206" s="5">
        <f>$KB$25*(KC206+(1-KC206)*$KB$16)</f>
        <v>126.02661357340719</v>
      </c>
      <c r="KE206" s="13">
        <f>KD206*($KB$6+ACUTE_MARGIN)</f>
        <v>127286.87970914126</v>
      </c>
      <c r="KF206" s="13">
        <f>IF(KB206=1,$KB$31,$KB$32)</f>
        <v>152394.16214437486</v>
      </c>
      <c r="KG206" s="13">
        <f>KE206-KF206</f>
        <v>-25107.282435233603</v>
      </c>
      <c r="KH206" s="13">
        <f>KH205+KG206</f>
        <v>-3088195.739533741</v>
      </c>
      <c r="KI206">
        <f>IF(KH206=MAX($KH$83:$KH$483),$A206,0)</f>
        <v>0</v>
      </c>
      <c r="KJ206">
        <f>IF(KE206&lt;KF206,$A206,B_MAX+1)</f>
        <v>123</v>
      </c>
      <c r="KK206" s="13">
        <f>IF(KB206=1,$KB$35,$KB$36)</f>
        <v>0</v>
      </c>
      <c r="KL206" s="13">
        <f>OCC_DAYS*$KB$41*R_NF_2023-KD206*MCD_SHARE_FREED*R_WAIT_2023</f>
        <v>94673.82103225985</v>
      </c>
      <c r="KM206">
        <f>IF($A206&lt;=$KB$45,1,0)</f>
        <v>0</v>
      </c>
      <c r="LB206">
        <f>IF($LB$31&lt;=$LB$32,IF($A206&lt;=$LB$7,1,2),IF($A206&lt;=RUNG_BEDS_2,2,1))</f>
        <v>1</v>
      </c>
      <c r="LC206" s="5">
        <f>MIN(1,MAX(0,$LB$26-($A206-1)))</f>
        <v>1</v>
      </c>
      <c r="LD206" s="5">
        <f>$LB$25*(LC206+(1-LC206)*$LB$16)</f>
        <v>84.01774238227146</v>
      </c>
      <c r="LE206" s="13">
        <f>LD206*($LB$6+ACUTE_MARGIN)</f>
        <v>84857.91980609419</v>
      </c>
      <c r="LF206" s="13">
        <f>IF(LB206=1,$LB$31,$LB$32)</f>
        <v>152394.16214437486</v>
      </c>
      <c r="LG206" s="13">
        <f>LE206-LF206</f>
        <v>-67536.24233828067</v>
      </c>
      <c r="LH206" s="13">
        <f>LH205+LG206</f>
        <v>-8306957.8076085495</v>
      </c>
      <c r="LI206">
        <f>IF(LH206=MAX($LH$83:$LH$483),$A206,0)</f>
        <v>0</v>
      </c>
      <c r="LJ206">
        <f>IF(LE206&lt;LF206,$A206,B_MAX+1)</f>
        <v>123</v>
      </c>
      <c r="LK206" s="13">
        <f>IF(LB206=1,$LB$35,$LB$36)</f>
        <v>0</v>
      </c>
      <c r="LL206" s="13">
        <f>OCC_DAYS*$LB$41*R_NF_2023-LD206*MCD_SHARE_FREED*R_WAIT_2023</f>
        <v>113776.04162887059</v>
      </c>
      <c r="LM206">
        <f>IF($A206&lt;=$LB$45,1,0)</f>
        <v>0</v>
      </c>
      <c r="MB206">
        <f>IF($MB$31&lt;=$MB$32,IF($A206&lt;=$MB$7,1,2),IF($A206&lt;=RUNG_BEDS_2,2,1))</f>
        <v>1</v>
      </c>
      <c r="MC206" s="5">
        <f>MIN(1,MAX(0,$MB$26-($A206-1)))</f>
        <v>1</v>
      </c>
      <c r="MD206" s="5">
        <f>$MB$25*(MC206+(1-MC206)*$MB$16)</f>
        <v>213.44610951008647</v>
      </c>
      <c r="ME206" s="13">
        <f>MD206*($MB$6+ACUTE_MARGIN)</f>
        <v>215580.57060518733</v>
      </c>
      <c r="MF206" s="13">
        <f>IF(MB206=1,$MB$31,$MB$32)</f>
        <v>152394.16214437486</v>
      </c>
      <c r="MG206" s="13">
        <f>ME206-MF206</f>
        <v>63186.40846081247</v>
      </c>
      <c r="MH206" s="13">
        <f>MH205+MG206</f>
        <v>7771928.240679948</v>
      </c>
      <c r="MI206">
        <f>IF(MH206=MAX($MH$83:$MH$483),$A206,0)</f>
        <v>0</v>
      </c>
      <c r="MJ206">
        <f>IF(ME206&lt;MF206,$A206,B_MAX+1)</f>
        <v>401.0</v>
      </c>
      <c r="MK206" s="13">
        <f>IF(MB206=1,$MB$35,$MB$36)</f>
        <v>0</v>
      </c>
      <c r="ML206" s="13">
        <f>OCC_DAYS*$MB$41*R_NF_2023-MD206*MCD_SHARE_FREED*R_WAIT_2023</f>
        <v>54922.538779778624</v>
      </c>
      <c r="MM206">
        <f>IF($A206&lt;=$MB$45,1,0)</f>
        <v>1</v>
      </c>
      <c r="NB206">
        <f>IF($NB$31&lt;=$NB$32,IF($A206&lt;=$NB$7,1,2),IF($A206&lt;=RUNG_BEDS_2,2,1))</f>
        <v>1</v>
      </c>
      <c r="NC206" s="5">
        <f>MIN(1,MAX(0,$NB$26-($A206-1)))</f>
        <v>1</v>
      </c>
      <c r="ND206" s="5">
        <f>$NB$25*(NC206+(1-NC206)*$NB$16)</f>
        <v>252.05322714681438</v>
      </c>
      <c r="NE206" s="13">
        <f>ND206*($NB$6+ACUTE_MARGIN)</f>
        <v>254573.7594182825</v>
      </c>
      <c r="NF206" s="13">
        <f>IF(NB206=1,$NB$31,$NB$32)</f>
        <v>152394.16214437486</v>
      </c>
      <c r="NG206" s="13">
        <f>NE206-NF206</f>
        <v>102179.59727390765</v>
      </c>
      <c r="NH206" s="13">
        <f>NH205+NG206</f>
        <v>12568090.464690676</v>
      </c>
      <c r="NI206">
        <f>IF(NH206=MAX($NH$83:$NH$483),$A206,0)</f>
        <v>0</v>
      </c>
      <c r="NJ206">
        <f>IF(NE206&lt;NF206,$A206,B_MAX+1)</f>
        <v>401.0</v>
      </c>
      <c r="NK206" s="13">
        <f>IF(NB206=1,$NB$35,$NB$36)</f>
        <v>0</v>
      </c>
      <c r="NL206" s="13">
        <f>OCC_DAYS*$NB$41*R_NF_2023-ND206*MCD_SHARE_FREED*R_WAIT_2023</f>
        <v>37367.159242427646</v>
      </c>
      <c r="NM206">
        <f>IF($A206&lt;=$NB$45,1,0)</f>
        <v>1</v>
      </c>
      <c r="OB206">
        <f>IF($OB$31&lt;=$OB$32,IF($A206&lt;=$OB$7,1,2),IF($A206&lt;=RUNG_BEDS_2,2,1))</f>
        <v>1</v>
      </c>
      <c r="OC206" s="5">
        <f>MIN(1,MAX(0,$OB$26-($A206-1)))</f>
        <v>1</v>
      </c>
      <c r="OD206" s="5">
        <f>$OB$25*(OC206+(1-OC206)*$OB$16)</f>
        <v>252.05322714681438</v>
      </c>
      <c r="OE206" s="13">
        <f>OD206*($OB$6+ACUTE_MARGIN)</f>
        <v>254573.7594182825</v>
      </c>
      <c r="OF206" s="13">
        <f>IF(OB206=1,$OB$31,$OB$32)</f>
        <v>152394.16214437486</v>
      </c>
      <c r="OG206" s="13">
        <f>OE206-OF206</f>
        <v>102179.59727390765</v>
      </c>
      <c r="OH206" s="13">
        <f>OH205+OG206</f>
        <v>12568090.464690676</v>
      </c>
      <c r="OI206">
        <f>IF(OH206=MAX($OH$83:$OH$483),$A206,0)</f>
        <v>0</v>
      </c>
      <c r="OJ206">
        <f>IF(OE206&lt;OF206,$A206,B_MAX+1)</f>
        <v>401.0</v>
      </c>
      <c r="OK206" s="13">
        <f>IF(OB206=1,$OB$35,$OB$36)</f>
        <v>0</v>
      </c>
      <c r="OL206" s="13">
        <f>OCC_DAYS*$OB$41*R_NF_2023-OD206*MCD_SHARE_FREED*R_WAIT_2023</f>
        <v>37367.159242427646</v>
      </c>
      <c r="OM206">
        <f>IF($A206&lt;=$OB$45,1,0)</f>
        <v>1</v>
      </c>
    </row>
    <row r="207">
      <c r="A207" t="n">
        <v>124</v>
      </c>
      <c r="B207">
        <f>IF($B$31&lt;=$B$32,IF($A207&lt;=$B$7,1,2),IF($A207&lt;=RUNG_BEDS_2,2,1))</f>
        <v>1</v>
      </c>
      <c r="C207" s="5">
        <f>MIN(1,MAX(0,$B$26-($A207-1)))</f>
        <v>1</v>
      </c>
      <c r="D207" s="5">
        <f>$B$25*(C207+(1-C207)*$B$16)</f>
        <v>252.05322714681438</v>
      </c>
      <c r="E207" s="13">
        <f>D207*($B$6+ACUTE_MARGIN)</f>
        <v>254573.7594182825</v>
      </c>
      <c r="F207" s="13">
        <f>IF(B207=1,$B$31,$B$32)</f>
        <v>152394.16214437486</v>
      </c>
      <c r="G207" s="13">
        <f>E207-F207</f>
        <v>102179.59727390765</v>
      </c>
      <c r="H207" s="13">
        <f>H206+G207</f>
        <v>12670270.061964585</v>
      </c>
      <c r="I207">
        <f>IF(H207=MAX($H$83:$H$483),$A207,0)</f>
        <v>0</v>
      </c>
      <c r="J207">
        <f>IF(E207&lt;F207,$A207,B_MAX+1)</f>
        <v>401.0</v>
      </c>
      <c r="K207" s="13">
        <f>IF(B207=1,$B$35,$B$36)</f>
        <v>0</v>
      </c>
      <c r="L207" s="13">
        <f>OCC_DAYS*$B$41*R_NF_2023-D207*MCD_SHARE_FREED*R_WAIT_2023</f>
        <v>37367.159242427646</v>
      </c>
      <c r="M207">
        <f>IF($A207&lt;=$B$45,1,0)</f>
        <v>1</v>
      </c>
      <c r="AB207">
        <f>IF($AB$31&lt;=$AB$32,IF($A207&lt;=$AB$7,1,2),IF($A207&lt;=RUNG_BEDS_2,2,1))</f>
        <v>1</v>
      </c>
      <c r="AC207" s="5">
        <f>MIN(1,MAX(0,$AB$26-($A207-1)))</f>
        <v>1</v>
      </c>
      <c r="AD207" s="5">
        <f>$AB$25*(AC207+(1-AC207)*$AB$16)</f>
        <v>252.05322714681438</v>
      </c>
      <c r="AE207" s="13">
        <f>AD207*($AB$6+ACUTE_MARGIN)</f>
        <v>138629.2749307479</v>
      </c>
      <c r="AF207" s="13">
        <f>IF(AB207=1,$AB$31,$AB$32)</f>
        <v>152394.16214437486</v>
      </c>
      <c r="AG207" s="13">
        <f>AE207-AF207</f>
        <v>-13764.887213626964</v>
      </c>
      <c r="AH207" s="13">
        <f>AH206+AG207</f>
        <v>-1706846.014489741</v>
      </c>
      <c r="AI207">
        <f>IF(AH207=MAX($AH$83:$AH$483),$A207,0)</f>
        <v>0</v>
      </c>
      <c r="AJ207">
        <f>IF(AE207&lt;AF207,$A207,B_MAX+1)</f>
        <v>124</v>
      </c>
      <c r="AK207" s="13">
        <f>IF(AB207=1,$AB$35,$AB$36)</f>
        <v>0</v>
      </c>
      <c r="AL207" s="13">
        <f>OCC_DAYS*$AB$41*R_NF_2023-AD207*MCD_SHARE_FREED*R_WAIT_2023</f>
        <v>37367.159242427646</v>
      </c>
      <c r="AM207">
        <f>IF($A207&lt;=$AB$45,1,0)</f>
        <v>0</v>
      </c>
      <c r="BB207">
        <f>IF($BB$31&lt;=$BB$32,IF($A207&lt;=$BB$7,1,2),IF($A207&lt;=RUNG_BEDS_2,2,1))</f>
        <v>1</v>
      </c>
      <c r="BC207" s="5">
        <f>MIN(1,MAX(0,$BB$26-($A207-1)))</f>
        <v>1</v>
      </c>
      <c r="BD207" s="5">
        <f>$BB$25*(BC207+(1-BC207)*$BB$16)</f>
        <v>252.05322714681438</v>
      </c>
      <c r="BE207" s="13">
        <f>BD207*($BB$6+ACUTE_MARGIN)</f>
        <v>370518.24390581716</v>
      </c>
      <c r="BF207" s="13">
        <f>IF(BB207=1,$BB$31,$BB$32)</f>
        <v>152394.16214437486</v>
      </c>
      <c r="BG207" s="13">
        <f>BE207-BF207</f>
        <v>218124.0817614423</v>
      </c>
      <c r="BH207" s="13">
        <f>BH206+BG207</f>
        <v>27047386.138418827</v>
      </c>
      <c r="BI207">
        <f>IF(BH207=MAX($BH$83:$BH$483),$A207,0)</f>
        <v>0</v>
      </c>
      <c r="BJ207">
        <f>IF(BE207&lt;BF207,$A207,B_MAX+1)</f>
        <v>401.0</v>
      </c>
      <c r="BK207" s="13">
        <f>IF(BB207=1,$BB$35,$BB$36)</f>
        <v>0</v>
      </c>
      <c r="BL207" s="13">
        <f>OCC_DAYS*$BB$41*R_NF_2023-BD207*MCD_SHARE_FREED*R_WAIT_2023</f>
        <v>37367.159242427646</v>
      </c>
      <c r="BM207">
        <f>IF($A207&lt;=$BB$45,1,0)</f>
        <v>1</v>
      </c>
      <c r="CB207">
        <f>IF($CB$31&lt;=$CB$32,IF($A207&lt;=$CB$7,1,2),IF($A207&lt;=RUNG_BEDS_2,2,1))</f>
        <v>2</v>
      </c>
      <c r="CC207" s="5">
        <f>MIN(1,MAX(0,$CB$26-($A207-1)))</f>
        <v>1</v>
      </c>
      <c r="CD207" s="5">
        <f>$CB$25*(CC207+(1-CC207)*$CB$16)</f>
        <v>252.05322714681438</v>
      </c>
      <c r="CE207" s="13">
        <f>CD207*($CB$6+ACUTE_MARGIN)</f>
        <v>254573.7594182825</v>
      </c>
      <c r="CF207" s="13">
        <f>IF(CB207=1,$CB$31,$CB$32)</f>
        <v>160718.36940738867</v>
      </c>
      <c r="CG207" s="13">
        <f>CE207-CF207</f>
        <v>93855.39001089384</v>
      </c>
      <c r="CH207" s="13">
        <f>CH206+CG207</f>
        <v>11638068.361350838</v>
      </c>
      <c r="CI207">
        <f>IF(CH207=MAX($CH$83:$CH$483),$A207,0)</f>
        <v>0</v>
      </c>
      <c r="CJ207">
        <f>IF(CE207&lt;CF207,$A207,B_MAX+1)</f>
        <v>401.0</v>
      </c>
      <c r="CK207" s="13">
        <f>IF(CB207=1,$CB$35,$CB$36)</f>
        <v>1560.1194073886782</v>
      </c>
      <c r="CL207" s="13">
        <f>OCC_DAYS*$CB$41*R_NF_2023-CD207*MCD_SHARE_FREED*R_WAIT_2023</f>
        <v>37367.159242427646</v>
      </c>
      <c r="CM207">
        <f>IF($A207&lt;=$CB$45,1,0)</f>
        <v>1</v>
      </c>
      <c r="DB207">
        <f>IF($DB$31&lt;=$DB$32,IF($A207&lt;=$DB$7,1,2),IF($A207&lt;=RUNG_BEDS_2,2,1))</f>
        <v>1</v>
      </c>
      <c r="DC207" s="5">
        <f>MIN(1,MAX(0,$DB$26-($A207-1)))</f>
        <v>1</v>
      </c>
      <c r="DD207" s="5">
        <f>$DB$25*(DC207+(1-DC207)*$DB$16)</f>
        <v>252.05322714681438</v>
      </c>
      <c r="DE207" s="13">
        <f>DD207*($DB$6+ACUTE_MARGIN)</f>
        <v>254573.7594182825</v>
      </c>
      <c r="DF207" s="13">
        <f>IF(DB207=1,$DB$31,$DB$32)</f>
        <v>152394.16214437486</v>
      </c>
      <c r="DG207" s="13">
        <f>DE207-DF207</f>
        <v>102179.59727390765</v>
      </c>
      <c r="DH207" s="13">
        <f>DH206+DG207</f>
        <v>12670270.061964585</v>
      </c>
      <c r="DI207">
        <f>IF(DH207=MAX($DH$83:$DH$483),$A207,0)</f>
        <v>0</v>
      </c>
      <c r="DJ207">
        <f>IF(DE207&lt;DF207,$A207,B_MAX+1)</f>
        <v>401.0</v>
      </c>
      <c r="DK207" s="13">
        <f>IF(DB207=1,$DB$35,$DB$36)</f>
        <v>0</v>
      </c>
      <c r="DL207" s="13">
        <f>OCC_DAYS*$DB$41*R_NF_2023-DD207*MCD_SHARE_FREED*R_WAIT_2023</f>
        <v>37367.159242427646</v>
      </c>
      <c r="DM207">
        <f>IF($A207&lt;=$DB$45,1,0)</f>
        <v>1</v>
      </c>
      <c r="EB207">
        <f>IF($EB$31&lt;=$EB$32,IF($A207&lt;=$EB$7,1,2),IF($A207&lt;=RUNG_BEDS_2,2,1))</f>
        <v>1</v>
      </c>
      <c r="EC207" s="5">
        <f>MIN(1,MAX(0,$EB$26-($A207-1)))</f>
        <v>1</v>
      </c>
      <c r="ED207" s="5">
        <f>$EB$25*(EC207+(1-EC207)*$EB$16)</f>
        <v>252.05322714681438</v>
      </c>
      <c r="EE207" s="13">
        <f>ED207*($EB$6+ACUTE_MARGIN)</f>
        <v>254573.7594182825</v>
      </c>
      <c r="EF207" s="13">
        <f>IF(EB207=1,$EB$31,$EB$32)</f>
        <v>152394.16214437486</v>
      </c>
      <c r="EG207" s="13">
        <f>EE207-EF207</f>
        <v>102179.59727390765</v>
      </c>
      <c r="EH207" s="13">
        <f>EH206+EG207</f>
        <v>12670270.061964585</v>
      </c>
      <c r="EI207">
        <f>IF(EH207=MAX($EH$83:$EH$483),$A207,0)</f>
        <v>0</v>
      </c>
      <c r="EJ207">
        <f>IF(EE207&lt;EF207,$A207,B_MAX+1)</f>
        <v>401.0</v>
      </c>
      <c r="EK207" s="13">
        <f>IF(EB207=1,$EB$35,$EB$36)</f>
        <v>0</v>
      </c>
      <c r="EL207" s="13">
        <f>OCC_DAYS*$EB$41*R_NF_2023-ED207*MCD_SHARE_FREED*R_WAIT_2023</f>
        <v>-63953.16263896705</v>
      </c>
      <c r="EM207">
        <f>IF($A207&lt;=$EB$45,1,0)</f>
        <v>1</v>
      </c>
      <c r="FB207">
        <f>IF($FB$31&lt;=$FB$32,IF($A207&lt;=$FB$7,1,2),IF($A207&lt;=RUNG_BEDS_2,2,1))</f>
        <v>1</v>
      </c>
      <c r="FC207" s="5">
        <f>MIN(1,MAX(0,$FB$26-($A207-1)))</f>
        <v>1</v>
      </c>
      <c r="FD207" s="5">
        <f>$FB$25*(FC207+(1-FC207)*$FB$16)</f>
        <v>252.05322714681438</v>
      </c>
      <c r="FE207" s="13">
        <f>FD207*($FB$6+ACUTE_MARGIN)</f>
        <v>254573.7594182825</v>
      </c>
      <c r="FF207" s="13">
        <f>IF(FB207=1,$FB$31,$FB$32)</f>
        <v>156636.04979437485</v>
      </c>
      <c r="FG207" s="13">
        <f>FE207-FF207</f>
        <v>97937.70962390766</v>
      </c>
      <c r="FH207" s="13">
        <f>FH206+FG207</f>
        <v>12144275.993364517</v>
      </c>
      <c r="FI207">
        <f>IF(FH207=MAX($FH$83:$FH$483),$A207,0)</f>
        <v>0</v>
      </c>
      <c r="FJ207">
        <f>IF(FE207&lt;FF207,$A207,B_MAX+1)</f>
        <v>401.0</v>
      </c>
      <c r="FK207" s="13">
        <f>IF(FB207=1,$FB$35,$FB$36)</f>
        <v>0</v>
      </c>
      <c r="FL207" s="13">
        <f>OCC_DAYS*$FB$41*R_NF_2023-FD207*MCD_SHARE_FREED*R_WAIT_2023</f>
        <v>37367.159242427646</v>
      </c>
      <c r="FM207">
        <f>IF($A207&lt;=$FB$45,1,0)</f>
        <v>1</v>
      </c>
      <c r="GB207">
        <f>IF($GB$31&lt;=$GB$32,IF($A207&lt;=$GB$7,1,2),IF($A207&lt;=RUNG_BEDS_2,2,1))</f>
        <v>1</v>
      </c>
      <c r="GC207" s="5">
        <f>MIN(1,MAX(0,$GB$26-($A207-1)))</f>
        <v>1</v>
      </c>
      <c r="GD207" s="5">
        <f>$GB$25*(GC207+(1-GC207)*$GB$16)</f>
        <v>252.05322714681438</v>
      </c>
      <c r="GE207" s="13">
        <f>GD207*($GB$6+ACUTE_MARGIN)</f>
        <v>254573.7594182825</v>
      </c>
      <c r="GF207" s="13">
        <f>IF(GB207=1,$GB$31,$GB$32)</f>
        <v>152394.16214437486</v>
      </c>
      <c r="GG207" s="13">
        <f>GE207-GF207</f>
        <v>102179.59727390765</v>
      </c>
      <c r="GH207" s="13">
        <f>GH206+GG207</f>
        <v>12670270.061964585</v>
      </c>
      <c r="GI207">
        <f>IF(GH207=MAX($GH$83:$GH$483),$A207,0)</f>
        <v>0</v>
      </c>
      <c r="GJ207">
        <f>IF(GE207&lt;GF207,$A207,B_MAX+1)</f>
        <v>401.0</v>
      </c>
      <c r="GK207" s="13">
        <f>IF(GB207=1,$GB$35,$GB$36)</f>
        <v>0</v>
      </c>
      <c r="GL207" s="13">
        <f>OCC_DAYS*$GB$41*R_NF_2023-GD207*MCD_SHARE_FREED*R_WAIT_2023</f>
        <v>37367.159242427646</v>
      </c>
      <c r="GM207">
        <f>IF($A207&lt;=$GB$45,1,0)</f>
        <v>1</v>
      </c>
      <c r="HB207">
        <f>IF($HB$31&lt;=$HB$32,IF($A207&lt;=$HB$7,1,2),IF($A207&lt;=RUNG_BEDS_2,2,1))</f>
        <v>1</v>
      </c>
      <c r="HC207" s="5">
        <f>MIN(1,MAX(0,$HB$26-($A207-1)))</f>
        <v>1</v>
      </c>
      <c r="HD207" s="5">
        <f>$HB$25*(HC207+(1-HC207)*$HB$16)</f>
        <v>252.05322714681438</v>
      </c>
      <c r="HE207" s="13">
        <f>HD207*($HB$6+ACUTE_MARGIN)</f>
        <v>254573.7594182825</v>
      </c>
      <c r="HF207" s="13">
        <f>IF(HB207=1,$HB$31,$HB$32)</f>
        <v>152456.2970814058</v>
      </c>
      <c r="HG207" s="13">
        <f>HE207-HF207</f>
        <v>102117.46233687672</v>
      </c>
      <c r="HH207" s="13">
        <f>HH206+HG207</f>
        <v>12662565.329772731</v>
      </c>
      <c r="HI207">
        <f>IF(HH207=MAX($HH$83:$HH$483),$A207,0)</f>
        <v>0</v>
      </c>
      <c r="HJ207">
        <f>IF(HE207&lt;HF207,$A207,B_MAX+1)</f>
        <v>401.0</v>
      </c>
      <c r="HK207" s="13">
        <f>IF(HB207=1,$HB$35,$HB$36)</f>
        <v>0</v>
      </c>
      <c r="HL207" s="13">
        <f>OCC_DAYS*$HB$41*R_NF_2023-HD207*MCD_SHARE_FREED*R_WAIT_2023</f>
        <v>37367.159242427646</v>
      </c>
      <c r="HM207">
        <f>IF($A207&lt;=$HB$45,1,0)</f>
        <v>1</v>
      </c>
      <c r="IB207">
        <f>IF($IB$31&lt;=$IB$32,IF($A207&lt;=$IB$7,1,2),IF($A207&lt;=RUNG_BEDS_2,2,1))</f>
        <v>1</v>
      </c>
      <c r="IC207" s="5">
        <f>MIN(1,MAX(0,$IB$26-($A207-1)))</f>
        <v>1</v>
      </c>
      <c r="ID207" s="5">
        <f>$IB$25*(IC207+(1-IC207)*$IB$16)</f>
        <v>252.05322714681438</v>
      </c>
      <c r="IE207" s="13">
        <f>ID207*($IB$6+ACUTE_MARGIN)</f>
        <v>254573.7594182825</v>
      </c>
      <c r="IF207" s="13">
        <f>IF(IB207=1,$IB$31,$IB$32)</f>
        <v>152734.9994534971</v>
      </c>
      <c r="IG207" s="13">
        <f>IE207-IF207</f>
        <v>101838.75996478542</v>
      </c>
      <c r="IH207" s="13">
        <f>IH206+IG207</f>
        <v>12628006.235633366</v>
      </c>
      <c r="II207">
        <f>IF(IH207=MAX($IH$83:$IH$483),$A207,0)</f>
        <v>0</v>
      </c>
      <c r="IJ207">
        <f>IF(IE207&lt;IF207,$A207,B_MAX+1)</f>
        <v>401.0</v>
      </c>
      <c r="IK207" s="13">
        <f>IF(IB207=1,$IB$35,$IB$36)</f>
        <v>0</v>
      </c>
      <c r="IL207" s="13">
        <f>OCC_DAYS*$IB$41*R_NF_2023-ID207*MCD_SHARE_FREED*R_WAIT_2023</f>
        <v>37367.159242427646</v>
      </c>
      <c r="IM207">
        <f>IF($A207&lt;=$IB$45,1,0)</f>
        <v>1</v>
      </c>
      <c r="JB207">
        <f>IF($JB$31&lt;=$JB$32,IF($A207&lt;=$JB$7,1,2),IF($A207&lt;=RUNG_BEDS_2,2,1))</f>
        <v>1</v>
      </c>
      <c r="JC207" s="5">
        <f>MIN(1,MAX(0,$JB$26-($A207-1)))</f>
        <v>1</v>
      </c>
      <c r="JD207" s="5">
        <f>$JB$25*(JC207+(1-JC207)*$JB$16)</f>
        <v>252.05322714681438</v>
      </c>
      <c r="JE207" s="13">
        <f>JD207*($JB$6+ACUTE_MARGIN)</f>
        <v>254573.7594182825</v>
      </c>
      <c r="JF207" s="13">
        <f>IF(JB207=1,$JB$31,$JB$32)</f>
        <v>152394.16214437486</v>
      </c>
      <c r="JG207" s="13">
        <f>JE207-JF207</f>
        <v>102179.59727390765</v>
      </c>
      <c r="JH207" s="13">
        <f>JH206+JG207</f>
        <v>12670270.061964585</v>
      </c>
      <c r="JI207">
        <f>IF(JH207=MAX($JH$83:$JH$483),$A207,0)</f>
        <v>0</v>
      </c>
      <c r="JJ207">
        <f>IF(JE207&lt;JF207,$A207,B_MAX+1)</f>
        <v>401.0</v>
      </c>
      <c r="JK207" s="13">
        <f>IF(JB207=1,$JB$35,$JB$36)</f>
        <v>0</v>
      </c>
      <c r="JL207" s="13">
        <f>OCC_DAYS*$JB$41*R_NF_2023-JD207*MCD_SHARE_FREED*R_WAIT_2023</f>
        <v>37367.159242427646</v>
      </c>
      <c r="JM207">
        <f>IF($A207&lt;=$JB$45,1,0)</f>
        <v>1</v>
      </c>
      <c r="KB207">
        <f>IF($KB$31&lt;=$KB$32,IF($A207&lt;=$KB$7,1,2),IF($A207&lt;=RUNG_BEDS_2,2,1))</f>
        <v>1</v>
      </c>
      <c r="KC207" s="5">
        <f>MIN(1,MAX(0,$KB$26-($A207-1)))</f>
        <v>1</v>
      </c>
      <c r="KD207" s="5">
        <f>$KB$25*(KC207+(1-KC207)*$KB$16)</f>
        <v>126.02661357340719</v>
      </c>
      <c r="KE207" s="13">
        <f>KD207*($KB$6+ACUTE_MARGIN)</f>
        <v>127286.87970914126</v>
      </c>
      <c r="KF207" s="13">
        <f>IF(KB207=1,$KB$31,$KB$32)</f>
        <v>152394.16214437486</v>
      </c>
      <c r="KG207" s="13">
        <f>KE207-KF207</f>
        <v>-25107.282435233603</v>
      </c>
      <c r="KH207" s="13">
        <f>KH206+KG207</f>
        <v>-3113303.0219689747</v>
      </c>
      <c r="KI207">
        <f>IF(KH207=MAX($KH$83:$KH$483),$A207,0)</f>
        <v>0</v>
      </c>
      <c r="KJ207">
        <f>IF(KE207&lt;KF207,$A207,B_MAX+1)</f>
        <v>124</v>
      </c>
      <c r="KK207" s="13">
        <f>IF(KB207=1,$KB$35,$KB$36)</f>
        <v>0</v>
      </c>
      <c r="KL207" s="13">
        <f>OCC_DAYS*$KB$41*R_NF_2023-KD207*MCD_SHARE_FREED*R_WAIT_2023</f>
        <v>94673.82103225985</v>
      </c>
      <c r="KM207">
        <f>IF($A207&lt;=$KB$45,1,0)</f>
        <v>0</v>
      </c>
      <c r="LB207">
        <f>IF($LB$31&lt;=$LB$32,IF($A207&lt;=$LB$7,1,2),IF($A207&lt;=RUNG_BEDS_2,2,1))</f>
        <v>1</v>
      </c>
      <c r="LC207" s="5">
        <f>MIN(1,MAX(0,$LB$26-($A207-1)))</f>
        <v>1</v>
      </c>
      <c r="LD207" s="5">
        <f>$LB$25*(LC207+(1-LC207)*$LB$16)</f>
        <v>84.01774238227146</v>
      </c>
      <c r="LE207" s="13">
        <f>LD207*($LB$6+ACUTE_MARGIN)</f>
        <v>84857.91980609419</v>
      </c>
      <c r="LF207" s="13">
        <f>IF(LB207=1,$LB$31,$LB$32)</f>
        <v>152394.16214437486</v>
      </c>
      <c r="LG207" s="13">
        <f>LE207-LF207</f>
        <v>-67536.24233828067</v>
      </c>
      <c r="LH207" s="13">
        <f>LH206+LG207</f>
        <v>-8374494.049946831</v>
      </c>
      <c r="LI207">
        <f>IF(LH207=MAX($LH$83:$LH$483),$A207,0)</f>
        <v>0</v>
      </c>
      <c r="LJ207">
        <f>IF(LE207&lt;LF207,$A207,B_MAX+1)</f>
        <v>124</v>
      </c>
      <c r="LK207" s="13">
        <f>IF(LB207=1,$LB$35,$LB$36)</f>
        <v>0</v>
      </c>
      <c r="LL207" s="13">
        <f>OCC_DAYS*$LB$41*R_NF_2023-LD207*MCD_SHARE_FREED*R_WAIT_2023</f>
        <v>113776.04162887059</v>
      </c>
      <c r="LM207">
        <f>IF($A207&lt;=$LB$45,1,0)</f>
        <v>0</v>
      </c>
      <c r="MB207">
        <f>IF($MB$31&lt;=$MB$32,IF($A207&lt;=$MB$7,1,2),IF($A207&lt;=RUNG_BEDS_2,2,1))</f>
        <v>1</v>
      </c>
      <c r="MC207" s="5">
        <f>MIN(1,MAX(0,$MB$26-($A207-1)))</f>
        <v>1</v>
      </c>
      <c r="MD207" s="5">
        <f>$MB$25*(MC207+(1-MC207)*$MB$16)</f>
        <v>213.44610951008647</v>
      </c>
      <c r="ME207" s="13">
        <f>MD207*($MB$6+ACUTE_MARGIN)</f>
        <v>215580.57060518733</v>
      </c>
      <c r="MF207" s="13">
        <f>IF(MB207=1,$MB$31,$MB$32)</f>
        <v>152394.16214437486</v>
      </c>
      <c r="MG207" s="13">
        <f>ME207-MF207</f>
        <v>63186.40846081247</v>
      </c>
      <c r="MH207" s="13">
        <f>MH206+MG207</f>
        <v>7835114.64914076</v>
      </c>
      <c r="MI207">
        <f>IF(MH207=MAX($MH$83:$MH$483),$A207,0)</f>
        <v>0</v>
      </c>
      <c r="MJ207">
        <f>IF(ME207&lt;MF207,$A207,B_MAX+1)</f>
        <v>401.0</v>
      </c>
      <c r="MK207" s="13">
        <f>IF(MB207=1,$MB$35,$MB$36)</f>
        <v>0</v>
      </c>
      <c r="ML207" s="13">
        <f>OCC_DAYS*$MB$41*R_NF_2023-MD207*MCD_SHARE_FREED*R_WAIT_2023</f>
        <v>54922.538779778624</v>
      </c>
      <c r="MM207">
        <f>IF($A207&lt;=$MB$45,1,0)</f>
        <v>1</v>
      </c>
      <c r="NB207">
        <f>IF($NB$31&lt;=$NB$32,IF($A207&lt;=$NB$7,1,2),IF($A207&lt;=RUNG_BEDS_2,2,1))</f>
        <v>1</v>
      </c>
      <c r="NC207" s="5">
        <f>MIN(1,MAX(0,$NB$26-($A207-1)))</f>
        <v>1</v>
      </c>
      <c r="ND207" s="5">
        <f>$NB$25*(NC207+(1-NC207)*$NB$16)</f>
        <v>252.05322714681438</v>
      </c>
      <c r="NE207" s="13">
        <f>ND207*($NB$6+ACUTE_MARGIN)</f>
        <v>254573.7594182825</v>
      </c>
      <c r="NF207" s="13">
        <f>IF(NB207=1,$NB$31,$NB$32)</f>
        <v>152394.16214437486</v>
      </c>
      <c r="NG207" s="13">
        <f>NE207-NF207</f>
        <v>102179.59727390765</v>
      </c>
      <c r="NH207" s="13">
        <f>NH206+NG207</f>
        <v>12670270.061964585</v>
      </c>
      <c r="NI207">
        <f>IF(NH207=MAX($NH$83:$NH$483),$A207,0)</f>
        <v>0</v>
      </c>
      <c r="NJ207">
        <f>IF(NE207&lt;NF207,$A207,B_MAX+1)</f>
        <v>401.0</v>
      </c>
      <c r="NK207" s="13">
        <f>IF(NB207=1,$NB$35,$NB$36)</f>
        <v>0</v>
      </c>
      <c r="NL207" s="13">
        <f>OCC_DAYS*$NB$41*R_NF_2023-ND207*MCD_SHARE_FREED*R_WAIT_2023</f>
        <v>37367.159242427646</v>
      </c>
      <c r="NM207">
        <f>IF($A207&lt;=$NB$45,1,0)</f>
        <v>1</v>
      </c>
      <c r="OB207">
        <f>IF($OB$31&lt;=$OB$32,IF($A207&lt;=$OB$7,1,2),IF($A207&lt;=RUNG_BEDS_2,2,1))</f>
        <v>1</v>
      </c>
      <c r="OC207" s="5">
        <f>MIN(1,MAX(0,$OB$26-($A207-1)))</f>
        <v>1</v>
      </c>
      <c r="OD207" s="5">
        <f>$OB$25*(OC207+(1-OC207)*$OB$16)</f>
        <v>252.05322714681438</v>
      </c>
      <c r="OE207" s="13">
        <f>OD207*($OB$6+ACUTE_MARGIN)</f>
        <v>254573.7594182825</v>
      </c>
      <c r="OF207" s="13">
        <f>IF(OB207=1,$OB$31,$OB$32)</f>
        <v>152394.16214437486</v>
      </c>
      <c r="OG207" s="13">
        <f>OE207-OF207</f>
        <v>102179.59727390765</v>
      </c>
      <c r="OH207" s="13">
        <f>OH206+OG207</f>
        <v>12670270.061964585</v>
      </c>
      <c r="OI207">
        <f>IF(OH207=MAX($OH$83:$OH$483),$A207,0)</f>
        <v>0</v>
      </c>
      <c r="OJ207">
        <f>IF(OE207&lt;OF207,$A207,B_MAX+1)</f>
        <v>401.0</v>
      </c>
      <c r="OK207" s="13">
        <f>IF(OB207=1,$OB$35,$OB$36)</f>
        <v>0</v>
      </c>
      <c r="OL207" s="13">
        <f>OCC_DAYS*$OB$41*R_NF_2023-OD207*MCD_SHARE_FREED*R_WAIT_2023</f>
        <v>37367.159242427646</v>
      </c>
      <c r="OM207">
        <f>IF($A207&lt;=$OB$45,1,0)</f>
        <v>1</v>
      </c>
    </row>
    <row r="208">
      <c r="A208" t="n">
        <v>125</v>
      </c>
      <c r="B208">
        <f>IF($B$31&lt;=$B$32,IF($A208&lt;=$B$7,1,2),IF($A208&lt;=RUNG_BEDS_2,2,1))</f>
        <v>1</v>
      </c>
      <c r="C208" s="5">
        <f>MIN(1,MAX(0,$B$26-($A208-1)))</f>
        <v>1</v>
      </c>
      <c r="D208" s="5">
        <f>$B$25*(C208+(1-C208)*$B$16)</f>
        <v>252.05322714681438</v>
      </c>
      <c r="E208" s="13">
        <f>D208*($B$6+ACUTE_MARGIN)</f>
        <v>254573.7594182825</v>
      </c>
      <c r="F208" s="13">
        <f>IF(B208=1,$B$31,$B$32)</f>
        <v>152394.16214437486</v>
      </c>
      <c r="G208" s="13">
        <f>E208-F208</f>
        <v>102179.59727390765</v>
      </c>
      <c r="H208" s="13">
        <f>H207+G208</f>
        <v>12772449.659238493</v>
      </c>
      <c r="I208">
        <f>IF(H208=MAX($H$83:$H$483),$A208,0)</f>
        <v>0</v>
      </c>
      <c r="J208">
        <f>IF(E208&lt;F208,$A208,B_MAX+1)</f>
        <v>401.0</v>
      </c>
      <c r="K208" s="13">
        <f>IF(B208=1,$B$35,$B$36)</f>
        <v>0</v>
      </c>
      <c r="L208" s="13">
        <f>OCC_DAYS*$B$41*R_NF_2023-D208*MCD_SHARE_FREED*R_WAIT_2023</f>
        <v>37367.159242427646</v>
      </c>
      <c r="M208">
        <f>IF($A208&lt;=$B$45,1,0)</f>
        <v>1</v>
      </c>
      <c r="AB208">
        <f>IF($AB$31&lt;=$AB$32,IF($A208&lt;=$AB$7,1,2),IF($A208&lt;=RUNG_BEDS_2,2,1))</f>
        <v>1</v>
      </c>
      <c r="AC208" s="5">
        <f>MIN(1,MAX(0,$AB$26-($A208-1)))</f>
        <v>1</v>
      </c>
      <c r="AD208" s="5">
        <f>$AB$25*(AC208+(1-AC208)*$AB$16)</f>
        <v>252.05322714681438</v>
      </c>
      <c r="AE208" s="13">
        <f>AD208*($AB$6+ACUTE_MARGIN)</f>
        <v>138629.2749307479</v>
      </c>
      <c r="AF208" s="13">
        <f>IF(AB208=1,$AB$31,$AB$32)</f>
        <v>152394.16214437486</v>
      </c>
      <c r="AG208" s="13">
        <f>AE208-AF208</f>
        <v>-13764.887213626964</v>
      </c>
      <c r="AH208" s="13">
        <f>AH207+AG208</f>
        <v>-1720610.901703368</v>
      </c>
      <c r="AI208">
        <f>IF(AH208=MAX($AH$83:$AH$483),$A208,0)</f>
        <v>0</v>
      </c>
      <c r="AJ208">
        <f>IF(AE208&lt;AF208,$A208,B_MAX+1)</f>
        <v>125</v>
      </c>
      <c r="AK208" s="13">
        <f>IF(AB208=1,$AB$35,$AB$36)</f>
        <v>0</v>
      </c>
      <c r="AL208" s="13">
        <f>OCC_DAYS*$AB$41*R_NF_2023-AD208*MCD_SHARE_FREED*R_WAIT_2023</f>
        <v>37367.159242427646</v>
      </c>
      <c r="AM208">
        <f>IF($A208&lt;=$AB$45,1,0)</f>
        <v>0</v>
      </c>
      <c r="BB208">
        <f>IF($BB$31&lt;=$BB$32,IF($A208&lt;=$BB$7,1,2),IF($A208&lt;=RUNG_BEDS_2,2,1))</f>
        <v>1</v>
      </c>
      <c r="BC208" s="5">
        <f>MIN(1,MAX(0,$BB$26-($A208-1)))</f>
        <v>1</v>
      </c>
      <c r="BD208" s="5">
        <f>$BB$25*(BC208+(1-BC208)*$BB$16)</f>
        <v>252.05322714681438</v>
      </c>
      <c r="BE208" s="13">
        <f>BD208*($BB$6+ACUTE_MARGIN)</f>
        <v>370518.24390581716</v>
      </c>
      <c r="BF208" s="13">
        <f>IF(BB208=1,$BB$31,$BB$32)</f>
        <v>152394.16214437486</v>
      </c>
      <c r="BG208" s="13">
        <f>BE208-BF208</f>
        <v>218124.0817614423</v>
      </c>
      <c r="BH208" s="13">
        <f>BH207+BG208</f>
        <v>27265510.22018027</v>
      </c>
      <c r="BI208">
        <f>IF(BH208=MAX($BH$83:$BH$483),$A208,0)</f>
        <v>0</v>
      </c>
      <c r="BJ208">
        <f>IF(BE208&lt;BF208,$A208,B_MAX+1)</f>
        <v>401.0</v>
      </c>
      <c r="BK208" s="13">
        <f>IF(BB208=1,$BB$35,$BB$36)</f>
        <v>0</v>
      </c>
      <c r="BL208" s="13">
        <f>OCC_DAYS*$BB$41*R_NF_2023-BD208*MCD_SHARE_FREED*R_WAIT_2023</f>
        <v>37367.159242427646</v>
      </c>
      <c r="BM208">
        <f>IF($A208&lt;=$BB$45,1,0)</f>
        <v>1</v>
      </c>
      <c r="CB208">
        <f>IF($CB$31&lt;=$CB$32,IF($A208&lt;=$CB$7,1,2),IF($A208&lt;=RUNG_BEDS_2,2,1))</f>
        <v>2</v>
      </c>
      <c r="CC208" s="5">
        <f>MIN(1,MAX(0,$CB$26-($A208-1)))</f>
        <v>1</v>
      </c>
      <c r="CD208" s="5">
        <f>$CB$25*(CC208+(1-CC208)*$CB$16)</f>
        <v>252.05322714681438</v>
      </c>
      <c r="CE208" s="13">
        <f>CD208*($CB$6+ACUTE_MARGIN)</f>
        <v>254573.7594182825</v>
      </c>
      <c r="CF208" s="13">
        <f>IF(CB208=1,$CB$31,$CB$32)</f>
        <v>160718.36940738867</v>
      </c>
      <c r="CG208" s="13">
        <f>CE208-CF208</f>
        <v>93855.39001089384</v>
      </c>
      <c r="CH208" s="13">
        <f>CH207+CG208</f>
        <v>11731923.751361731</v>
      </c>
      <c r="CI208">
        <f>IF(CH208=MAX($CH$83:$CH$483),$A208,0)</f>
        <v>0</v>
      </c>
      <c r="CJ208">
        <f>IF(CE208&lt;CF208,$A208,B_MAX+1)</f>
        <v>401.0</v>
      </c>
      <c r="CK208" s="13">
        <f>IF(CB208=1,$CB$35,$CB$36)</f>
        <v>1560.1194073886782</v>
      </c>
      <c r="CL208" s="13">
        <f>OCC_DAYS*$CB$41*R_NF_2023-CD208*MCD_SHARE_FREED*R_WAIT_2023</f>
        <v>37367.159242427646</v>
      </c>
      <c r="CM208">
        <f>IF($A208&lt;=$CB$45,1,0)</f>
        <v>1</v>
      </c>
      <c r="DB208">
        <f>IF($DB$31&lt;=$DB$32,IF($A208&lt;=$DB$7,1,2),IF($A208&lt;=RUNG_BEDS_2,2,1))</f>
        <v>1</v>
      </c>
      <c r="DC208" s="5">
        <f>MIN(1,MAX(0,$DB$26-($A208-1)))</f>
        <v>1</v>
      </c>
      <c r="DD208" s="5">
        <f>$DB$25*(DC208+(1-DC208)*$DB$16)</f>
        <v>252.05322714681438</v>
      </c>
      <c r="DE208" s="13">
        <f>DD208*($DB$6+ACUTE_MARGIN)</f>
        <v>254573.7594182825</v>
      </c>
      <c r="DF208" s="13">
        <f>IF(DB208=1,$DB$31,$DB$32)</f>
        <v>152394.16214437486</v>
      </c>
      <c r="DG208" s="13">
        <f>DE208-DF208</f>
        <v>102179.59727390765</v>
      </c>
      <c r="DH208" s="13">
        <f>DH207+DG208</f>
        <v>12772449.659238493</v>
      </c>
      <c r="DI208">
        <f>IF(DH208=MAX($DH$83:$DH$483),$A208,0)</f>
        <v>0</v>
      </c>
      <c r="DJ208">
        <f>IF(DE208&lt;DF208,$A208,B_MAX+1)</f>
        <v>401.0</v>
      </c>
      <c r="DK208" s="13">
        <f>IF(DB208=1,$DB$35,$DB$36)</f>
        <v>0</v>
      </c>
      <c r="DL208" s="13">
        <f>OCC_DAYS*$DB$41*R_NF_2023-DD208*MCD_SHARE_FREED*R_WAIT_2023</f>
        <v>37367.159242427646</v>
      </c>
      <c r="DM208">
        <f>IF($A208&lt;=$DB$45,1,0)</f>
        <v>1</v>
      </c>
      <c r="EB208">
        <f>IF($EB$31&lt;=$EB$32,IF($A208&lt;=$EB$7,1,2),IF($A208&lt;=RUNG_BEDS_2,2,1))</f>
        <v>1</v>
      </c>
      <c r="EC208" s="5">
        <f>MIN(1,MAX(0,$EB$26-($A208-1)))</f>
        <v>1</v>
      </c>
      <c r="ED208" s="5">
        <f>$EB$25*(EC208+(1-EC208)*$EB$16)</f>
        <v>252.05322714681438</v>
      </c>
      <c r="EE208" s="13">
        <f>ED208*($EB$6+ACUTE_MARGIN)</f>
        <v>254573.7594182825</v>
      </c>
      <c r="EF208" s="13">
        <f>IF(EB208=1,$EB$31,$EB$32)</f>
        <v>152394.16214437486</v>
      </c>
      <c r="EG208" s="13">
        <f>EE208-EF208</f>
        <v>102179.59727390765</v>
      </c>
      <c r="EH208" s="13">
        <f>EH207+EG208</f>
        <v>12772449.659238493</v>
      </c>
      <c r="EI208">
        <f>IF(EH208=MAX($EH$83:$EH$483),$A208,0)</f>
        <v>0</v>
      </c>
      <c r="EJ208">
        <f>IF(EE208&lt;EF208,$A208,B_MAX+1)</f>
        <v>401.0</v>
      </c>
      <c r="EK208" s="13">
        <f>IF(EB208=1,$EB$35,$EB$36)</f>
        <v>0</v>
      </c>
      <c r="EL208" s="13">
        <f>OCC_DAYS*$EB$41*R_NF_2023-ED208*MCD_SHARE_FREED*R_WAIT_2023</f>
        <v>-63953.16263896705</v>
      </c>
      <c r="EM208">
        <f>IF($A208&lt;=$EB$45,1,0)</f>
        <v>1</v>
      </c>
      <c r="FB208">
        <f>IF($FB$31&lt;=$FB$32,IF($A208&lt;=$FB$7,1,2),IF($A208&lt;=RUNG_BEDS_2,2,1))</f>
        <v>1</v>
      </c>
      <c r="FC208" s="5">
        <f>MIN(1,MAX(0,$FB$26-($A208-1)))</f>
        <v>1</v>
      </c>
      <c r="FD208" s="5">
        <f>$FB$25*(FC208+(1-FC208)*$FB$16)</f>
        <v>252.05322714681438</v>
      </c>
      <c r="FE208" s="13">
        <f>FD208*($FB$6+ACUTE_MARGIN)</f>
        <v>254573.7594182825</v>
      </c>
      <c r="FF208" s="13">
        <f>IF(FB208=1,$FB$31,$FB$32)</f>
        <v>156636.04979437485</v>
      </c>
      <c r="FG208" s="13">
        <f>FE208-FF208</f>
        <v>97937.70962390766</v>
      </c>
      <c r="FH208" s="13">
        <f>FH207+FG208</f>
        <v>12242213.702988423</v>
      </c>
      <c r="FI208">
        <f>IF(FH208=MAX($FH$83:$FH$483),$A208,0)</f>
        <v>0</v>
      </c>
      <c r="FJ208">
        <f>IF(FE208&lt;FF208,$A208,B_MAX+1)</f>
        <v>401.0</v>
      </c>
      <c r="FK208" s="13">
        <f>IF(FB208=1,$FB$35,$FB$36)</f>
        <v>0</v>
      </c>
      <c r="FL208" s="13">
        <f>OCC_DAYS*$FB$41*R_NF_2023-FD208*MCD_SHARE_FREED*R_WAIT_2023</f>
        <v>37367.159242427646</v>
      </c>
      <c r="FM208">
        <f>IF($A208&lt;=$FB$45,1,0)</f>
        <v>1</v>
      </c>
      <c r="GB208">
        <f>IF($GB$31&lt;=$GB$32,IF($A208&lt;=$GB$7,1,2),IF($A208&lt;=RUNG_BEDS_2,2,1))</f>
        <v>1</v>
      </c>
      <c r="GC208" s="5">
        <f>MIN(1,MAX(0,$GB$26-($A208-1)))</f>
        <v>1</v>
      </c>
      <c r="GD208" s="5">
        <f>$GB$25*(GC208+(1-GC208)*$GB$16)</f>
        <v>252.05322714681438</v>
      </c>
      <c r="GE208" s="13">
        <f>GD208*($GB$6+ACUTE_MARGIN)</f>
        <v>254573.7594182825</v>
      </c>
      <c r="GF208" s="13">
        <f>IF(GB208=1,$GB$31,$GB$32)</f>
        <v>152394.16214437486</v>
      </c>
      <c r="GG208" s="13">
        <f>GE208-GF208</f>
        <v>102179.59727390765</v>
      </c>
      <c r="GH208" s="13">
        <f>GH207+GG208</f>
        <v>12772449.659238493</v>
      </c>
      <c r="GI208">
        <f>IF(GH208=MAX($GH$83:$GH$483),$A208,0)</f>
        <v>0</v>
      </c>
      <c r="GJ208">
        <f>IF(GE208&lt;GF208,$A208,B_MAX+1)</f>
        <v>401.0</v>
      </c>
      <c r="GK208" s="13">
        <f>IF(GB208=1,$GB$35,$GB$36)</f>
        <v>0</v>
      </c>
      <c r="GL208" s="13">
        <f>OCC_DAYS*$GB$41*R_NF_2023-GD208*MCD_SHARE_FREED*R_WAIT_2023</f>
        <v>37367.159242427646</v>
      </c>
      <c r="GM208">
        <f>IF($A208&lt;=$GB$45,1,0)</f>
        <v>1</v>
      </c>
      <c r="HB208">
        <f>IF($HB$31&lt;=$HB$32,IF($A208&lt;=$HB$7,1,2),IF($A208&lt;=RUNG_BEDS_2,2,1))</f>
        <v>1</v>
      </c>
      <c r="HC208" s="5">
        <f>MIN(1,MAX(0,$HB$26-($A208-1)))</f>
        <v>1</v>
      </c>
      <c r="HD208" s="5">
        <f>$HB$25*(HC208+(1-HC208)*$HB$16)</f>
        <v>252.05322714681438</v>
      </c>
      <c r="HE208" s="13">
        <f>HD208*($HB$6+ACUTE_MARGIN)</f>
        <v>254573.7594182825</v>
      </c>
      <c r="HF208" s="13">
        <f>IF(HB208=1,$HB$31,$HB$32)</f>
        <v>152456.2970814058</v>
      </c>
      <c r="HG208" s="13">
        <f>HE208-HF208</f>
        <v>102117.46233687672</v>
      </c>
      <c r="HH208" s="13">
        <f>HH207+HG208</f>
        <v>12764682.792109609</v>
      </c>
      <c r="HI208">
        <f>IF(HH208=MAX($HH$83:$HH$483),$A208,0)</f>
        <v>0</v>
      </c>
      <c r="HJ208">
        <f>IF(HE208&lt;HF208,$A208,B_MAX+1)</f>
        <v>401.0</v>
      </c>
      <c r="HK208" s="13">
        <f>IF(HB208=1,$HB$35,$HB$36)</f>
        <v>0</v>
      </c>
      <c r="HL208" s="13">
        <f>OCC_DAYS*$HB$41*R_NF_2023-HD208*MCD_SHARE_FREED*R_WAIT_2023</f>
        <v>37367.159242427646</v>
      </c>
      <c r="HM208">
        <f>IF($A208&lt;=$HB$45,1,0)</f>
        <v>1</v>
      </c>
      <c r="IB208">
        <f>IF($IB$31&lt;=$IB$32,IF($A208&lt;=$IB$7,1,2),IF($A208&lt;=RUNG_BEDS_2,2,1))</f>
        <v>1</v>
      </c>
      <c r="IC208" s="5">
        <f>MIN(1,MAX(0,$IB$26-($A208-1)))</f>
        <v>1</v>
      </c>
      <c r="ID208" s="5">
        <f>$IB$25*(IC208+(1-IC208)*$IB$16)</f>
        <v>252.05322714681438</v>
      </c>
      <c r="IE208" s="13">
        <f>ID208*($IB$6+ACUTE_MARGIN)</f>
        <v>254573.7594182825</v>
      </c>
      <c r="IF208" s="13">
        <f>IF(IB208=1,$IB$31,$IB$32)</f>
        <v>152734.9994534971</v>
      </c>
      <c r="IG208" s="13">
        <f>IE208-IF208</f>
        <v>101838.75996478542</v>
      </c>
      <c r="IH208" s="13">
        <f>IH207+IG208</f>
        <v>12729844.99559815</v>
      </c>
      <c r="II208">
        <f>IF(IH208=MAX($IH$83:$IH$483),$A208,0)</f>
        <v>0</v>
      </c>
      <c r="IJ208">
        <f>IF(IE208&lt;IF208,$A208,B_MAX+1)</f>
        <v>401.0</v>
      </c>
      <c r="IK208" s="13">
        <f>IF(IB208=1,$IB$35,$IB$36)</f>
        <v>0</v>
      </c>
      <c r="IL208" s="13">
        <f>OCC_DAYS*$IB$41*R_NF_2023-ID208*MCD_SHARE_FREED*R_WAIT_2023</f>
        <v>37367.159242427646</v>
      </c>
      <c r="IM208">
        <f>IF($A208&lt;=$IB$45,1,0)</f>
        <v>1</v>
      </c>
      <c r="JB208">
        <f>IF($JB$31&lt;=$JB$32,IF($A208&lt;=$JB$7,1,2),IF($A208&lt;=RUNG_BEDS_2,2,1))</f>
        <v>1</v>
      </c>
      <c r="JC208" s="5">
        <f>MIN(1,MAX(0,$JB$26-($A208-1)))</f>
        <v>1</v>
      </c>
      <c r="JD208" s="5">
        <f>$JB$25*(JC208+(1-JC208)*$JB$16)</f>
        <v>252.05322714681438</v>
      </c>
      <c r="JE208" s="13">
        <f>JD208*($JB$6+ACUTE_MARGIN)</f>
        <v>254573.7594182825</v>
      </c>
      <c r="JF208" s="13">
        <f>IF(JB208=1,$JB$31,$JB$32)</f>
        <v>152394.16214437486</v>
      </c>
      <c r="JG208" s="13">
        <f>JE208-JF208</f>
        <v>102179.59727390765</v>
      </c>
      <c r="JH208" s="13">
        <f>JH207+JG208</f>
        <v>12772449.659238493</v>
      </c>
      <c r="JI208">
        <f>IF(JH208=MAX($JH$83:$JH$483),$A208,0)</f>
        <v>0</v>
      </c>
      <c r="JJ208">
        <f>IF(JE208&lt;JF208,$A208,B_MAX+1)</f>
        <v>401.0</v>
      </c>
      <c r="JK208" s="13">
        <f>IF(JB208=1,$JB$35,$JB$36)</f>
        <v>0</v>
      </c>
      <c r="JL208" s="13">
        <f>OCC_DAYS*$JB$41*R_NF_2023-JD208*MCD_SHARE_FREED*R_WAIT_2023</f>
        <v>37367.159242427646</v>
      </c>
      <c r="JM208">
        <f>IF($A208&lt;=$JB$45,1,0)</f>
        <v>1</v>
      </c>
      <c r="KB208">
        <f>IF($KB$31&lt;=$KB$32,IF($A208&lt;=$KB$7,1,2),IF($A208&lt;=RUNG_BEDS_2,2,1))</f>
        <v>1</v>
      </c>
      <c r="KC208" s="5">
        <f>MIN(1,MAX(0,$KB$26-($A208-1)))</f>
        <v>1</v>
      </c>
      <c r="KD208" s="5">
        <f>$KB$25*(KC208+(1-KC208)*$KB$16)</f>
        <v>126.02661357340719</v>
      </c>
      <c r="KE208" s="13">
        <f>KD208*($KB$6+ACUTE_MARGIN)</f>
        <v>127286.87970914126</v>
      </c>
      <c r="KF208" s="13">
        <f>IF(KB208=1,$KB$31,$KB$32)</f>
        <v>152394.16214437486</v>
      </c>
      <c r="KG208" s="13">
        <f>KE208-KF208</f>
        <v>-25107.282435233603</v>
      </c>
      <c r="KH208" s="13">
        <f>KH207+KG208</f>
        <v>-3138410.3044042084</v>
      </c>
      <c r="KI208">
        <f>IF(KH208=MAX($KH$83:$KH$483),$A208,0)</f>
        <v>0</v>
      </c>
      <c r="KJ208">
        <f>IF(KE208&lt;KF208,$A208,B_MAX+1)</f>
        <v>125</v>
      </c>
      <c r="KK208" s="13">
        <f>IF(KB208=1,$KB$35,$KB$36)</f>
        <v>0</v>
      </c>
      <c r="KL208" s="13">
        <f>OCC_DAYS*$KB$41*R_NF_2023-KD208*MCD_SHARE_FREED*R_WAIT_2023</f>
        <v>94673.82103225985</v>
      </c>
      <c r="KM208">
        <f>IF($A208&lt;=$KB$45,1,0)</f>
        <v>0</v>
      </c>
      <c r="LB208">
        <f>IF($LB$31&lt;=$LB$32,IF($A208&lt;=$LB$7,1,2),IF($A208&lt;=RUNG_BEDS_2,2,1))</f>
        <v>1</v>
      </c>
      <c r="LC208" s="5">
        <f>MIN(1,MAX(0,$LB$26-($A208-1)))</f>
        <v>1</v>
      </c>
      <c r="LD208" s="5">
        <f>$LB$25*(LC208+(1-LC208)*$LB$16)</f>
        <v>84.01774238227146</v>
      </c>
      <c r="LE208" s="13">
        <f>LD208*($LB$6+ACUTE_MARGIN)</f>
        <v>84857.91980609419</v>
      </c>
      <c r="LF208" s="13">
        <f>IF(LB208=1,$LB$31,$LB$32)</f>
        <v>152394.16214437486</v>
      </c>
      <c r="LG208" s="13">
        <f>LE208-LF208</f>
        <v>-67536.24233828067</v>
      </c>
      <c r="LH208" s="13">
        <f>LH207+LG208</f>
        <v>-8442030.29228511</v>
      </c>
      <c r="LI208">
        <f>IF(LH208=MAX($LH$83:$LH$483),$A208,0)</f>
        <v>0</v>
      </c>
      <c r="LJ208">
        <f>IF(LE208&lt;LF208,$A208,B_MAX+1)</f>
        <v>125</v>
      </c>
      <c r="LK208" s="13">
        <f>IF(LB208=1,$LB$35,$LB$36)</f>
        <v>0</v>
      </c>
      <c r="LL208" s="13">
        <f>OCC_DAYS*$LB$41*R_NF_2023-LD208*MCD_SHARE_FREED*R_WAIT_2023</f>
        <v>113776.04162887059</v>
      </c>
      <c r="LM208">
        <f>IF($A208&lt;=$LB$45,1,0)</f>
        <v>0</v>
      </c>
      <c r="MB208">
        <f>IF($MB$31&lt;=$MB$32,IF($A208&lt;=$MB$7,1,2),IF($A208&lt;=RUNG_BEDS_2,2,1))</f>
        <v>1</v>
      </c>
      <c r="MC208" s="5">
        <f>MIN(1,MAX(0,$MB$26-($A208-1)))</f>
        <v>1</v>
      </c>
      <c r="MD208" s="5">
        <f>$MB$25*(MC208+(1-MC208)*$MB$16)</f>
        <v>213.44610951008647</v>
      </c>
      <c r="ME208" s="13">
        <f>MD208*($MB$6+ACUTE_MARGIN)</f>
        <v>215580.57060518733</v>
      </c>
      <c r="MF208" s="13">
        <f>IF(MB208=1,$MB$31,$MB$32)</f>
        <v>152394.16214437486</v>
      </c>
      <c r="MG208" s="13">
        <f>ME208-MF208</f>
        <v>63186.40846081247</v>
      </c>
      <c r="MH208" s="13">
        <f>MH207+MG208</f>
        <v>7898301.057601573</v>
      </c>
      <c r="MI208">
        <f>IF(MH208=MAX($MH$83:$MH$483),$A208,0)</f>
        <v>0</v>
      </c>
      <c r="MJ208">
        <f>IF(ME208&lt;MF208,$A208,B_MAX+1)</f>
        <v>401.0</v>
      </c>
      <c r="MK208" s="13">
        <f>IF(MB208=1,$MB$35,$MB$36)</f>
        <v>0</v>
      </c>
      <c r="ML208" s="13">
        <f>OCC_DAYS*$MB$41*R_NF_2023-MD208*MCD_SHARE_FREED*R_WAIT_2023</f>
        <v>54922.538779778624</v>
      </c>
      <c r="MM208">
        <f>IF($A208&lt;=$MB$45,1,0)</f>
        <v>1</v>
      </c>
      <c r="NB208">
        <f>IF($NB$31&lt;=$NB$32,IF($A208&lt;=$NB$7,1,2),IF($A208&lt;=RUNG_BEDS_2,2,1))</f>
        <v>1</v>
      </c>
      <c r="NC208" s="5">
        <f>MIN(1,MAX(0,$NB$26-($A208-1)))</f>
        <v>1</v>
      </c>
      <c r="ND208" s="5">
        <f>$NB$25*(NC208+(1-NC208)*$NB$16)</f>
        <v>252.05322714681438</v>
      </c>
      <c r="NE208" s="13">
        <f>ND208*($NB$6+ACUTE_MARGIN)</f>
        <v>254573.7594182825</v>
      </c>
      <c r="NF208" s="13">
        <f>IF(NB208=1,$NB$31,$NB$32)</f>
        <v>152394.16214437486</v>
      </c>
      <c r="NG208" s="13">
        <f>NE208-NF208</f>
        <v>102179.59727390765</v>
      </c>
      <c r="NH208" s="13">
        <f>NH207+NG208</f>
        <v>12772449.659238493</v>
      </c>
      <c r="NI208">
        <f>IF(NH208=MAX($NH$83:$NH$483),$A208,0)</f>
        <v>0</v>
      </c>
      <c r="NJ208">
        <f>IF(NE208&lt;NF208,$A208,B_MAX+1)</f>
        <v>401.0</v>
      </c>
      <c r="NK208" s="13">
        <f>IF(NB208=1,$NB$35,$NB$36)</f>
        <v>0</v>
      </c>
      <c r="NL208" s="13">
        <f>OCC_DAYS*$NB$41*R_NF_2023-ND208*MCD_SHARE_FREED*R_WAIT_2023</f>
        <v>37367.159242427646</v>
      </c>
      <c r="NM208">
        <f>IF($A208&lt;=$NB$45,1,0)</f>
        <v>1</v>
      </c>
      <c r="OB208">
        <f>IF($OB$31&lt;=$OB$32,IF($A208&lt;=$OB$7,1,2),IF($A208&lt;=RUNG_BEDS_2,2,1))</f>
        <v>1</v>
      </c>
      <c r="OC208" s="5">
        <f>MIN(1,MAX(0,$OB$26-($A208-1)))</f>
        <v>1</v>
      </c>
      <c r="OD208" s="5">
        <f>$OB$25*(OC208+(1-OC208)*$OB$16)</f>
        <v>252.05322714681438</v>
      </c>
      <c r="OE208" s="13">
        <f>OD208*($OB$6+ACUTE_MARGIN)</f>
        <v>254573.7594182825</v>
      </c>
      <c r="OF208" s="13">
        <f>IF(OB208=1,$OB$31,$OB$32)</f>
        <v>152394.16214437486</v>
      </c>
      <c r="OG208" s="13">
        <f>OE208-OF208</f>
        <v>102179.59727390765</v>
      </c>
      <c r="OH208" s="13">
        <f>OH207+OG208</f>
        <v>12772449.659238493</v>
      </c>
      <c r="OI208">
        <f>IF(OH208=MAX($OH$83:$OH$483),$A208,0)</f>
        <v>0</v>
      </c>
      <c r="OJ208">
        <f>IF(OE208&lt;OF208,$A208,B_MAX+1)</f>
        <v>401.0</v>
      </c>
      <c r="OK208" s="13">
        <f>IF(OB208=1,$OB$35,$OB$36)</f>
        <v>0</v>
      </c>
      <c r="OL208" s="13">
        <f>OCC_DAYS*$OB$41*R_NF_2023-OD208*MCD_SHARE_FREED*R_WAIT_2023</f>
        <v>37367.159242427646</v>
      </c>
      <c r="OM208">
        <f>IF($A208&lt;=$OB$45,1,0)</f>
        <v>1</v>
      </c>
    </row>
    <row r="209">
      <c r="A209" t="n">
        <v>126</v>
      </c>
      <c r="B209">
        <f>IF($B$31&lt;=$B$32,IF($A209&lt;=$B$7,1,2),IF($A209&lt;=RUNG_BEDS_2,2,1))</f>
        <v>1</v>
      </c>
      <c r="C209" s="5">
        <f>MIN(1,MAX(0,$B$26-($A209-1)))</f>
        <v>1</v>
      </c>
      <c r="D209" s="5">
        <f>$B$25*(C209+(1-C209)*$B$16)</f>
        <v>252.05322714681438</v>
      </c>
      <c r="E209" s="13">
        <f>D209*($B$6+ACUTE_MARGIN)</f>
        <v>254573.7594182825</v>
      </c>
      <c r="F209" s="13">
        <f>IF(B209=1,$B$31,$B$32)</f>
        <v>152394.16214437486</v>
      </c>
      <c r="G209" s="13">
        <f>E209-F209</f>
        <v>102179.59727390765</v>
      </c>
      <c r="H209" s="13">
        <f>H208+G209</f>
        <v>12874629.256512402</v>
      </c>
      <c r="I209">
        <f>IF(H209=MAX($H$83:$H$483),$A209,0)</f>
        <v>0</v>
      </c>
      <c r="J209">
        <f>IF(E209&lt;F209,$A209,B_MAX+1)</f>
        <v>401.0</v>
      </c>
      <c r="K209" s="13">
        <f>IF(B209=1,$B$35,$B$36)</f>
        <v>0</v>
      </c>
      <c r="L209" s="13">
        <f>OCC_DAYS*$B$41*R_NF_2023-D209*MCD_SHARE_FREED*R_WAIT_2023</f>
        <v>37367.159242427646</v>
      </c>
      <c r="M209">
        <f>IF($A209&lt;=$B$45,1,0)</f>
        <v>1</v>
      </c>
      <c r="AB209">
        <f>IF($AB$31&lt;=$AB$32,IF($A209&lt;=$AB$7,1,2),IF($A209&lt;=RUNG_BEDS_2,2,1))</f>
        <v>1</v>
      </c>
      <c r="AC209" s="5">
        <f>MIN(1,MAX(0,$AB$26-($A209-1)))</f>
        <v>1</v>
      </c>
      <c r="AD209" s="5">
        <f>$AB$25*(AC209+(1-AC209)*$AB$16)</f>
        <v>252.05322714681438</v>
      </c>
      <c r="AE209" s="13">
        <f>AD209*($AB$6+ACUTE_MARGIN)</f>
        <v>138629.2749307479</v>
      </c>
      <c r="AF209" s="13">
        <f>IF(AB209=1,$AB$31,$AB$32)</f>
        <v>152394.16214437486</v>
      </c>
      <c r="AG209" s="13">
        <f>AE209-AF209</f>
        <v>-13764.887213626964</v>
      </c>
      <c r="AH209" s="13">
        <f>AH208+AG209</f>
        <v>-1734375.7889169948</v>
      </c>
      <c r="AI209">
        <f>IF(AH209=MAX($AH$83:$AH$483),$A209,0)</f>
        <v>0</v>
      </c>
      <c r="AJ209">
        <f>IF(AE209&lt;AF209,$A209,B_MAX+1)</f>
        <v>126</v>
      </c>
      <c r="AK209" s="13">
        <f>IF(AB209=1,$AB$35,$AB$36)</f>
        <v>0</v>
      </c>
      <c r="AL209" s="13">
        <f>OCC_DAYS*$AB$41*R_NF_2023-AD209*MCD_SHARE_FREED*R_WAIT_2023</f>
        <v>37367.159242427646</v>
      </c>
      <c r="AM209">
        <f>IF($A209&lt;=$AB$45,1,0)</f>
        <v>0</v>
      </c>
      <c r="BB209">
        <f>IF($BB$31&lt;=$BB$32,IF($A209&lt;=$BB$7,1,2),IF($A209&lt;=RUNG_BEDS_2,2,1))</f>
        <v>1</v>
      </c>
      <c r="BC209" s="5">
        <f>MIN(1,MAX(0,$BB$26-($A209-1)))</f>
        <v>1</v>
      </c>
      <c r="BD209" s="5">
        <f>$BB$25*(BC209+(1-BC209)*$BB$16)</f>
        <v>252.05322714681438</v>
      </c>
      <c r="BE209" s="13">
        <f>BD209*($BB$6+ACUTE_MARGIN)</f>
        <v>370518.24390581716</v>
      </c>
      <c r="BF209" s="13">
        <f>IF(BB209=1,$BB$31,$BB$32)</f>
        <v>152394.16214437486</v>
      </c>
      <c r="BG209" s="13">
        <f>BE209-BF209</f>
        <v>218124.0817614423</v>
      </c>
      <c r="BH209" s="13">
        <f>BH208+BG209</f>
        <v>27483634.30194171</v>
      </c>
      <c r="BI209">
        <f>IF(BH209=MAX($BH$83:$BH$483),$A209,0)</f>
        <v>0</v>
      </c>
      <c r="BJ209">
        <f>IF(BE209&lt;BF209,$A209,B_MAX+1)</f>
        <v>401.0</v>
      </c>
      <c r="BK209" s="13">
        <f>IF(BB209=1,$BB$35,$BB$36)</f>
        <v>0</v>
      </c>
      <c r="BL209" s="13">
        <f>OCC_DAYS*$BB$41*R_NF_2023-BD209*MCD_SHARE_FREED*R_WAIT_2023</f>
        <v>37367.159242427646</v>
      </c>
      <c r="BM209">
        <f>IF($A209&lt;=$BB$45,1,0)</f>
        <v>1</v>
      </c>
      <c r="CB209">
        <f>IF($CB$31&lt;=$CB$32,IF($A209&lt;=$CB$7,1,2),IF($A209&lt;=RUNG_BEDS_2,2,1))</f>
        <v>2</v>
      </c>
      <c r="CC209" s="5">
        <f>MIN(1,MAX(0,$CB$26-($A209-1)))</f>
        <v>1</v>
      </c>
      <c r="CD209" s="5">
        <f>$CB$25*(CC209+(1-CC209)*$CB$16)</f>
        <v>252.05322714681438</v>
      </c>
      <c r="CE209" s="13">
        <f>CD209*($CB$6+ACUTE_MARGIN)</f>
        <v>254573.7594182825</v>
      </c>
      <c r="CF209" s="13">
        <f>IF(CB209=1,$CB$31,$CB$32)</f>
        <v>160718.36940738867</v>
      </c>
      <c r="CG209" s="13">
        <f>CE209-CF209</f>
        <v>93855.39001089384</v>
      </c>
      <c r="CH209" s="13">
        <f>CH208+CG209</f>
        <v>11825779.141372625</v>
      </c>
      <c r="CI209">
        <f>IF(CH209=MAX($CH$83:$CH$483),$A209,0)</f>
        <v>0</v>
      </c>
      <c r="CJ209">
        <f>IF(CE209&lt;CF209,$A209,B_MAX+1)</f>
        <v>401.0</v>
      </c>
      <c r="CK209" s="13">
        <f>IF(CB209=1,$CB$35,$CB$36)</f>
        <v>1560.1194073886782</v>
      </c>
      <c r="CL209" s="13">
        <f>OCC_DAYS*$CB$41*R_NF_2023-CD209*MCD_SHARE_FREED*R_WAIT_2023</f>
        <v>37367.159242427646</v>
      </c>
      <c r="CM209">
        <f>IF($A209&lt;=$CB$45,1,0)</f>
        <v>1</v>
      </c>
      <c r="DB209">
        <f>IF($DB$31&lt;=$DB$32,IF($A209&lt;=$DB$7,1,2),IF($A209&lt;=RUNG_BEDS_2,2,1))</f>
        <v>1</v>
      </c>
      <c r="DC209" s="5">
        <f>MIN(1,MAX(0,$DB$26-($A209-1)))</f>
        <v>1</v>
      </c>
      <c r="DD209" s="5">
        <f>$DB$25*(DC209+(1-DC209)*$DB$16)</f>
        <v>252.05322714681438</v>
      </c>
      <c r="DE209" s="13">
        <f>DD209*($DB$6+ACUTE_MARGIN)</f>
        <v>254573.7594182825</v>
      </c>
      <c r="DF209" s="13">
        <f>IF(DB209=1,$DB$31,$DB$32)</f>
        <v>152394.16214437486</v>
      </c>
      <c r="DG209" s="13">
        <f>DE209-DF209</f>
        <v>102179.59727390765</v>
      </c>
      <c r="DH209" s="13">
        <f>DH208+DG209</f>
        <v>12874629.256512402</v>
      </c>
      <c r="DI209">
        <f>IF(DH209=MAX($DH$83:$DH$483),$A209,0)</f>
        <v>0</v>
      </c>
      <c r="DJ209">
        <f>IF(DE209&lt;DF209,$A209,B_MAX+1)</f>
        <v>401.0</v>
      </c>
      <c r="DK209" s="13">
        <f>IF(DB209=1,$DB$35,$DB$36)</f>
        <v>0</v>
      </c>
      <c r="DL209" s="13">
        <f>OCC_DAYS*$DB$41*R_NF_2023-DD209*MCD_SHARE_FREED*R_WAIT_2023</f>
        <v>37367.159242427646</v>
      </c>
      <c r="DM209">
        <f>IF($A209&lt;=$DB$45,1,0)</f>
        <v>1</v>
      </c>
      <c r="EB209">
        <f>IF($EB$31&lt;=$EB$32,IF($A209&lt;=$EB$7,1,2),IF($A209&lt;=RUNG_BEDS_2,2,1))</f>
        <v>1</v>
      </c>
      <c r="EC209" s="5">
        <f>MIN(1,MAX(0,$EB$26-($A209-1)))</f>
        <v>1</v>
      </c>
      <c r="ED209" s="5">
        <f>$EB$25*(EC209+(1-EC209)*$EB$16)</f>
        <v>252.05322714681438</v>
      </c>
      <c r="EE209" s="13">
        <f>ED209*($EB$6+ACUTE_MARGIN)</f>
        <v>254573.7594182825</v>
      </c>
      <c r="EF209" s="13">
        <f>IF(EB209=1,$EB$31,$EB$32)</f>
        <v>152394.16214437486</v>
      </c>
      <c r="EG209" s="13">
        <f>EE209-EF209</f>
        <v>102179.59727390765</v>
      </c>
      <c r="EH209" s="13">
        <f>EH208+EG209</f>
        <v>12874629.256512402</v>
      </c>
      <c r="EI209">
        <f>IF(EH209=MAX($EH$83:$EH$483),$A209,0)</f>
        <v>0</v>
      </c>
      <c r="EJ209">
        <f>IF(EE209&lt;EF209,$A209,B_MAX+1)</f>
        <v>401.0</v>
      </c>
      <c r="EK209" s="13">
        <f>IF(EB209=1,$EB$35,$EB$36)</f>
        <v>0</v>
      </c>
      <c r="EL209" s="13">
        <f>OCC_DAYS*$EB$41*R_NF_2023-ED209*MCD_SHARE_FREED*R_WAIT_2023</f>
        <v>-63953.16263896705</v>
      </c>
      <c r="EM209">
        <f>IF($A209&lt;=$EB$45,1,0)</f>
        <v>1</v>
      </c>
      <c r="FB209">
        <f>IF($FB$31&lt;=$FB$32,IF($A209&lt;=$FB$7,1,2),IF($A209&lt;=RUNG_BEDS_2,2,1))</f>
        <v>1</v>
      </c>
      <c r="FC209" s="5">
        <f>MIN(1,MAX(0,$FB$26-($A209-1)))</f>
        <v>1</v>
      </c>
      <c r="FD209" s="5">
        <f>$FB$25*(FC209+(1-FC209)*$FB$16)</f>
        <v>252.05322714681438</v>
      </c>
      <c r="FE209" s="13">
        <f>FD209*($FB$6+ACUTE_MARGIN)</f>
        <v>254573.7594182825</v>
      </c>
      <c r="FF209" s="13">
        <f>IF(FB209=1,$FB$31,$FB$32)</f>
        <v>156636.04979437485</v>
      </c>
      <c r="FG209" s="13">
        <f>FE209-FF209</f>
        <v>97937.70962390766</v>
      </c>
      <c r="FH209" s="13">
        <f>FH208+FG209</f>
        <v>12340151.41261233</v>
      </c>
      <c r="FI209">
        <f>IF(FH209=MAX($FH$83:$FH$483),$A209,0)</f>
        <v>0</v>
      </c>
      <c r="FJ209">
        <f>IF(FE209&lt;FF209,$A209,B_MAX+1)</f>
        <v>401.0</v>
      </c>
      <c r="FK209" s="13">
        <f>IF(FB209=1,$FB$35,$FB$36)</f>
        <v>0</v>
      </c>
      <c r="FL209" s="13">
        <f>OCC_DAYS*$FB$41*R_NF_2023-FD209*MCD_SHARE_FREED*R_WAIT_2023</f>
        <v>37367.159242427646</v>
      </c>
      <c r="FM209">
        <f>IF($A209&lt;=$FB$45,1,0)</f>
        <v>1</v>
      </c>
      <c r="GB209">
        <f>IF($GB$31&lt;=$GB$32,IF($A209&lt;=$GB$7,1,2),IF($A209&lt;=RUNG_BEDS_2,2,1))</f>
        <v>1</v>
      </c>
      <c r="GC209" s="5">
        <f>MIN(1,MAX(0,$GB$26-($A209-1)))</f>
        <v>1</v>
      </c>
      <c r="GD209" s="5">
        <f>$GB$25*(GC209+(1-GC209)*$GB$16)</f>
        <v>252.05322714681438</v>
      </c>
      <c r="GE209" s="13">
        <f>GD209*($GB$6+ACUTE_MARGIN)</f>
        <v>254573.7594182825</v>
      </c>
      <c r="GF209" s="13">
        <f>IF(GB209=1,$GB$31,$GB$32)</f>
        <v>152394.16214437486</v>
      </c>
      <c r="GG209" s="13">
        <f>GE209-GF209</f>
        <v>102179.59727390765</v>
      </c>
      <c r="GH209" s="13">
        <f>GH208+GG209</f>
        <v>12874629.256512402</v>
      </c>
      <c r="GI209">
        <f>IF(GH209=MAX($GH$83:$GH$483),$A209,0)</f>
        <v>0</v>
      </c>
      <c r="GJ209">
        <f>IF(GE209&lt;GF209,$A209,B_MAX+1)</f>
        <v>401.0</v>
      </c>
      <c r="GK209" s="13">
        <f>IF(GB209=1,$GB$35,$GB$36)</f>
        <v>0</v>
      </c>
      <c r="GL209" s="13">
        <f>OCC_DAYS*$GB$41*R_NF_2023-GD209*MCD_SHARE_FREED*R_WAIT_2023</f>
        <v>37367.159242427646</v>
      </c>
      <c r="GM209">
        <f>IF($A209&lt;=$GB$45,1,0)</f>
        <v>1</v>
      </c>
      <c r="HB209">
        <f>IF($HB$31&lt;=$HB$32,IF($A209&lt;=$HB$7,1,2),IF($A209&lt;=RUNG_BEDS_2,2,1))</f>
        <v>1</v>
      </c>
      <c r="HC209" s="5">
        <f>MIN(1,MAX(0,$HB$26-($A209-1)))</f>
        <v>1</v>
      </c>
      <c r="HD209" s="5">
        <f>$HB$25*(HC209+(1-HC209)*$HB$16)</f>
        <v>252.05322714681438</v>
      </c>
      <c r="HE209" s="13">
        <f>HD209*($HB$6+ACUTE_MARGIN)</f>
        <v>254573.7594182825</v>
      </c>
      <c r="HF209" s="13">
        <f>IF(HB209=1,$HB$31,$HB$32)</f>
        <v>152456.2970814058</v>
      </c>
      <c r="HG209" s="13">
        <f>HE209-HF209</f>
        <v>102117.46233687672</v>
      </c>
      <c r="HH209" s="13">
        <f>HH208+HG209</f>
        <v>12866800.254446486</v>
      </c>
      <c r="HI209">
        <f>IF(HH209=MAX($HH$83:$HH$483),$A209,0)</f>
        <v>0</v>
      </c>
      <c r="HJ209">
        <f>IF(HE209&lt;HF209,$A209,B_MAX+1)</f>
        <v>401.0</v>
      </c>
      <c r="HK209" s="13">
        <f>IF(HB209=1,$HB$35,$HB$36)</f>
        <v>0</v>
      </c>
      <c r="HL209" s="13">
        <f>OCC_DAYS*$HB$41*R_NF_2023-HD209*MCD_SHARE_FREED*R_WAIT_2023</f>
        <v>37367.159242427646</v>
      </c>
      <c r="HM209">
        <f>IF($A209&lt;=$HB$45,1,0)</f>
        <v>1</v>
      </c>
      <c r="IB209">
        <f>IF($IB$31&lt;=$IB$32,IF($A209&lt;=$IB$7,1,2),IF($A209&lt;=RUNG_BEDS_2,2,1))</f>
        <v>1</v>
      </c>
      <c r="IC209" s="5">
        <f>MIN(1,MAX(0,$IB$26-($A209-1)))</f>
        <v>1</v>
      </c>
      <c r="ID209" s="5">
        <f>$IB$25*(IC209+(1-IC209)*$IB$16)</f>
        <v>252.05322714681438</v>
      </c>
      <c r="IE209" s="13">
        <f>ID209*($IB$6+ACUTE_MARGIN)</f>
        <v>254573.7594182825</v>
      </c>
      <c r="IF209" s="13">
        <f>IF(IB209=1,$IB$31,$IB$32)</f>
        <v>152734.9994534971</v>
      </c>
      <c r="IG209" s="13">
        <f>IE209-IF209</f>
        <v>101838.75996478542</v>
      </c>
      <c r="IH209" s="13">
        <f>IH208+IG209</f>
        <v>12831683.755562935</v>
      </c>
      <c r="II209">
        <f>IF(IH209=MAX($IH$83:$IH$483),$A209,0)</f>
        <v>0</v>
      </c>
      <c r="IJ209">
        <f>IF(IE209&lt;IF209,$A209,B_MAX+1)</f>
        <v>401.0</v>
      </c>
      <c r="IK209" s="13">
        <f>IF(IB209=1,$IB$35,$IB$36)</f>
        <v>0</v>
      </c>
      <c r="IL209" s="13">
        <f>OCC_DAYS*$IB$41*R_NF_2023-ID209*MCD_SHARE_FREED*R_WAIT_2023</f>
        <v>37367.159242427646</v>
      </c>
      <c r="IM209">
        <f>IF($A209&lt;=$IB$45,1,0)</f>
        <v>1</v>
      </c>
      <c r="JB209">
        <f>IF($JB$31&lt;=$JB$32,IF($A209&lt;=$JB$7,1,2),IF($A209&lt;=RUNG_BEDS_2,2,1))</f>
        <v>1</v>
      </c>
      <c r="JC209" s="5">
        <f>MIN(1,MAX(0,$JB$26-($A209-1)))</f>
        <v>1</v>
      </c>
      <c r="JD209" s="5">
        <f>$JB$25*(JC209+(1-JC209)*$JB$16)</f>
        <v>252.05322714681438</v>
      </c>
      <c r="JE209" s="13">
        <f>JD209*($JB$6+ACUTE_MARGIN)</f>
        <v>254573.7594182825</v>
      </c>
      <c r="JF209" s="13">
        <f>IF(JB209=1,$JB$31,$JB$32)</f>
        <v>152394.16214437486</v>
      </c>
      <c r="JG209" s="13">
        <f>JE209-JF209</f>
        <v>102179.59727390765</v>
      </c>
      <c r="JH209" s="13">
        <f>JH208+JG209</f>
        <v>12874629.256512402</v>
      </c>
      <c r="JI209">
        <f>IF(JH209=MAX($JH$83:$JH$483),$A209,0)</f>
        <v>0</v>
      </c>
      <c r="JJ209">
        <f>IF(JE209&lt;JF209,$A209,B_MAX+1)</f>
        <v>401.0</v>
      </c>
      <c r="JK209" s="13">
        <f>IF(JB209=1,$JB$35,$JB$36)</f>
        <v>0</v>
      </c>
      <c r="JL209" s="13">
        <f>OCC_DAYS*$JB$41*R_NF_2023-JD209*MCD_SHARE_FREED*R_WAIT_2023</f>
        <v>37367.159242427646</v>
      </c>
      <c r="JM209">
        <f>IF($A209&lt;=$JB$45,1,0)</f>
        <v>1</v>
      </c>
      <c r="KB209">
        <f>IF($KB$31&lt;=$KB$32,IF($A209&lt;=$KB$7,1,2),IF($A209&lt;=RUNG_BEDS_2,2,1))</f>
        <v>1</v>
      </c>
      <c r="KC209" s="5">
        <f>MIN(1,MAX(0,$KB$26-($A209-1)))</f>
        <v>1</v>
      </c>
      <c r="KD209" s="5">
        <f>$KB$25*(KC209+(1-KC209)*$KB$16)</f>
        <v>126.02661357340719</v>
      </c>
      <c r="KE209" s="13">
        <f>KD209*($KB$6+ACUTE_MARGIN)</f>
        <v>127286.87970914126</v>
      </c>
      <c r="KF209" s="13">
        <f>IF(KB209=1,$KB$31,$KB$32)</f>
        <v>152394.16214437486</v>
      </c>
      <c r="KG209" s="13">
        <f>KE209-KF209</f>
        <v>-25107.282435233603</v>
      </c>
      <c r="KH209" s="13">
        <f>KH208+KG209</f>
        <v>-3163517.586839442</v>
      </c>
      <c r="KI209">
        <f>IF(KH209=MAX($KH$83:$KH$483),$A209,0)</f>
        <v>0</v>
      </c>
      <c r="KJ209">
        <f>IF(KE209&lt;KF209,$A209,B_MAX+1)</f>
        <v>126</v>
      </c>
      <c r="KK209" s="13">
        <f>IF(KB209=1,$KB$35,$KB$36)</f>
        <v>0</v>
      </c>
      <c r="KL209" s="13">
        <f>OCC_DAYS*$KB$41*R_NF_2023-KD209*MCD_SHARE_FREED*R_WAIT_2023</f>
        <v>94673.82103225985</v>
      </c>
      <c r="KM209">
        <f>IF($A209&lt;=$KB$45,1,0)</f>
        <v>0</v>
      </c>
      <c r="LB209">
        <f>IF($LB$31&lt;=$LB$32,IF($A209&lt;=$LB$7,1,2),IF($A209&lt;=RUNG_BEDS_2,2,1))</f>
        <v>1</v>
      </c>
      <c r="LC209" s="5">
        <f>MIN(1,MAX(0,$LB$26-($A209-1)))</f>
        <v>1</v>
      </c>
      <c r="LD209" s="5">
        <f>$LB$25*(LC209+(1-LC209)*$LB$16)</f>
        <v>84.01774238227146</v>
      </c>
      <c r="LE209" s="13">
        <f>LD209*($LB$6+ACUTE_MARGIN)</f>
        <v>84857.91980609419</v>
      </c>
      <c r="LF209" s="13">
        <f>IF(LB209=1,$LB$31,$LB$32)</f>
        <v>152394.16214437486</v>
      </c>
      <c r="LG209" s="13">
        <f>LE209-LF209</f>
        <v>-67536.24233828067</v>
      </c>
      <c r="LH209" s="13">
        <f>LH208+LG209</f>
        <v>-8509566.534623392</v>
      </c>
      <c r="LI209">
        <f>IF(LH209=MAX($LH$83:$LH$483),$A209,0)</f>
        <v>0</v>
      </c>
      <c r="LJ209">
        <f>IF(LE209&lt;LF209,$A209,B_MAX+1)</f>
        <v>126</v>
      </c>
      <c r="LK209" s="13">
        <f>IF(LB209=1,$LB$35,$LB$36)</f>
        <v>0</v>
      </c>
      <c r="LL209" s="13">
        <f>OCC_DAYS*$LB$41*R_NF_2023-LD209*MCD_SHARE_FREED*R_WAIT_2023</f>
        <v>113776.04162887059</v>
      </c>
      <c r="LM209">
        <f>IF($A209&lt;=$LB$45,1,0)</f>
        <v>0</v>
      </c>
      <c r="MB209">
        <f>IF($MB$31&lt;=$MB$32,IF($A209&lt;=$MB$7,1,2),IF($A209&lt;=RUNG_BEDS_2,2,1))</f>
        <v>1</v>
      </c>
      <c r="MC209" s="5">
        <f>MIN(1,MAX(0,$MB$26-($A209-1)))</f>
        <v>1</v>
      </c>
      <c r="MD209" s="5">
        <f>$MB$25*(MC209+(1-MC209)*$MB$16)</f>
        <v>213.44610951008647</v>
      </c>
      <c r="ME209" s="13">
        <f>MD209*($MB$6+ACUTE_MARGIN)</f>
        <v>215580.57060518733</v>
      </c>
      <c r="MF209" s="13">
        <f>IF(MB209=1,$MB$31,$MB$32)</f>
        <v>152394.16214437486</v>
      </c>
      <c r="MG209" s="13">
        <f>ME209-MF209</f>
        <v>63186.40846081247</v>
      </c>
      <c r="MH209" s="13">
        <f>MH208+MG209</f>
        <v>7961487.466062386</v>
      </c>
      <c r="MI209">
        <f>IF(MH209=MAX($MH$83:$MH$483),$A209,0)</f>
        <v>0</v>
      </c>
      <c r="MJ209">
        <f>IF(ME209&lt;MF209,$A209,B_MAX+1)</f>
        <v>401.0</v>
      </c>
      <c r="MK209" s="13">
        <f>IF(MB209=1,$MB$35,$MB$36)</f>
        <v>0</v>
      </c>
      <c r="ML209" s="13">
        <f>OCC_DAYS*$MB$41*R_NF_2023-MD209*MCD_SHARE_FREED*R_WAIT_2023</f>
        <v>54922.538779778624</v>
      </c>
      <c r="MM209">
        <f>IF($A209&lt;=$MB$45,1,0)</f>
        <v>1</v>
      </c>
      <c r="NB209">
        <f>IF($NB$31&lt;=$NB$32,IF($A209&lt;=$NB$7,1,2),IF($A209&lt;=RUNG_BEDS_2,2,1))</f>
        <v>1</v>
      </c>
      <c r="NC209" s="5">
        <f>MIN(1,MAX(0,$NB$26-($A209-1)))</f>
        <v>1</v>
      </c>
      <c r="ND209" s="5">
        <f>$NB$25*(NC209+(1-NC209)*$NB$16)</f>
        <v>252.05322714681438</v>
      </c>
      <c r="NE209" s="13">
        <f>ND209*($NB$6+ACUTE_MARGIN)</f>
        <v>254573.7594182825</v>
      </c>
      <c r="NF209" s="13">
        <f>IF(NB209=1,$NB$31,$NB$32)</f>
        <v>152394.16214437486</v>
      </c>
      <c r="NG209" s="13">
        <f>NE209-NF209</f>
        <v>102179.59727390765</v>
      </c>
      <c r="NH209" s="13">
        <f>NH208+NG209</f>
        <v>12874629.256512402</v>
      </c>
      <c r="NI209">
        <f>IF(NH209=MAX($NH$83:$NH$483),$A209,0)</f>
        <v>0</v>
      </c>
      <c r="NJ209">
        <f>IF(NE209&lt;NF209,$A209,B_MAX+1)</f>
        <v>401.0</v>
      </c>
      <c r="NK209" s="13">
        <f>IF(NB209=1,$NB$35,$NB$36)</f>
        <v>0</v>
      </c>
      <c r="NL209" s="13">
        <f>OCC_DAYS*$NB$41*R_NF_2023-ND209*MCD_SHARE_FREED*R_WAIT_2023</f>
        <v>37367.159242427646</v>
      </c>
      <c r="NM209">
        <f>IF($A209&lt;=$NB$45,1,0)</f>
        <v>1</v>
      </c>
      <c r="OB209">
        <f>IF($OB$31&lt;=$OB$32,IF($A209&lt;=$OB$7,1,2),IF($A209&lt;=RUNG_BEDS_2,2,1))</f>
        <v>1</v>
      </c>
      <c r="OC209" s="5">
        <f>MIN(1,MAX(0,$OB$26-($A209-1)))</f>
        <v>1</v>
      </c>
      <c r="OD209" s="5">
        <f>$OB$25*(OC209+(1-OC209)*$OB$16)</f>
        <v>252.05322714681438</v>
      </c>
      <c r="OE209" s="13">
        <f>OD209*($OB$6+ACUTE_MARGIN)</f>
        <v>254573.7594182825</v>
      </c>
      <c r="OF209" s="13">
        <f>IF(OB209=1,$OB$31,$OB$32)</f>
        <v>152394.16214437486</v>
      </c>
      <c r="OG209" s="13">
        <f>OE209-OF209</f>
        <v>102179.59727390765</v>
      </c>
      <c r="OH209" s="13">
        <f>OH208+OG209</f>
        <v>12874629.256512402</v>
      </c>
      <c r="OI209">
        <f>IF(OH209=MAX($OH$83:$OH$483),$A209,0)</f>
        <v>0</v>
      </c>
      <c r="OJ209">
        <f>IF(OE209&lt;OF209,$A209,B_MAX+1)</f>
        <v>401.0</v>
      </c>
      <c r="OK209" s="13">
        <f>IF(OB209=1,$OB$35,$OB$36)</f>
        <v>0</v>
      </c>
      <c r="OL209" s="13">
        <f>OCC_DAYS*$OB$41*R_NF_2023-OD209*MCD_SHARE_FREED*R_WAIT_2023</f>
        <v>37367.159242427646</v>
      </c>
      <c r="OM209">
        <f>IF($A209&lt;=$OB$45,1,0)</f>
        <v>1</v>
      </c>
    </row>
    <row r="210">
      <c r="A210" t="n">
        <v>127</v>
      </c>
      <c r="B210">
        <f>IF($B$31&lt;=$B$32,IF($A210&lt;=$B$7,1,2),IF($A210&lt;=RUNG_BEDS_2,2,1))</f>
        <v>1</v>
      </c>
      <c r="C210" s="5">
        <f>MIN(1,MAX(0,$B$26-($A210-1)))</f>
        <v>1</v>
      </c>
      <c r="D210" s="5">
        <f>$B$25*(C210+(1-C210)*$B$16)</f>
        <v>252.05322714681438</v>
      </c>
      <c r="E210" s="13">
        <f>D210*($B$6+ACUTE_MARGIN)</f>
        <v>254573.7594182825</v>
      </c>
      <c r="F210" s="13">
        <f>IF(B210=1,$B$31,$B$32)</f>
        <v>152394.16214437486</v>
      </c>
      <c r="G210" s="13">
        <f>E210-F210</f>
        <v>102179.59727390765</v>
      </c>
      <c r="H210" s="13">
        <f>H209+G210</f>
        <v>12976808.85378631</v>
      </c>
      <c r="I210">
        <f>IF(H210=MAX($H$83:$H$483),$A210,0)</f>
        <v>0</v>
      </c>
      <c r="J210">
        <f>IF(E210&lt;F210,$A210,B_MAX+1)</f>
        <v>401.0</v>
      </c>
      <c r="K210" s="13">
        <f>IF(B210=1,$B$35,$B$36)</f>
        <v>0</v>
      </c>
      <c r="L210" s="13">
        <f>OCC_DAYS*$B$41*R_NF_2023-D210*MCD_SHARE_FREED*R_WAIT_2023</f>
        <v>37367.159242427646</v>
      </c>
      <c r="M210">
        <f>IF($A210&lt;=$B$45,1,0)</f>
        <v>1</v>
      </c>
      <c r="AB210">
        <f>IF($AB$31&lt;=$AB$32,IF($A210&lt;=$AB$7,1,2),IF($A210&lt;=RUNG_BEDS_2,2,1))</f>
        <v>1</v>
      </c>
      <c r="AC210" s="5">
        <f>MIN(1,MAX(0,$AB$26-($A210-1)))</f>
        <v>1</v>
      </c>
      <c r="AD210" s="5">
        <f>$AB$25*(AC210+(1-AC210)*$AB$16)</f>
        <v>252.05322714681438</v>
      </c>
      <c r="AE210" s="13">
        <f>AD210*($AB$6+ACUTE_MARGIN)</f>
        <v>138629.2749307479</v>
      </c>
      <c r="AF210" s="13">
        <f>IF(AB210=1,$AB$31,$AB$32)</f>
        <v>152394.16214437486</v>
      </c>
      <c r="AG210" s="13">
        <f>AE210-AF210</f>
        <v>-13764.887213626964</v>
      </c>
      <c r="AH210" s="13">
        <f>AH209+AG210</f>
        <v>-1748140.6761306217</v>
      </c>
      <c r="AI210">
        <f>IF(AH210=MAX($AH$83:$AH$483),$A210,0)</f>
        <v>0</v>
      </c>
      <c r="AJ210">
        <f>IF(AE210&lt;AF210,$A210,B_MAX+1)</f>
        <v>127</v>
      </c>
      <c r="AK210" s="13">
        <f>IF(AB210=1,$AB$35,$AB$36)</f>
        <v>0</v>
      </c>
      <c r="AL210" s="13">
        <f>OCC_DAYS*$AB$41*R_NF_2023-AD210*MCD_SHARE_FREED*R_WAIT_2023</f>
        <v>37367.159242427646</v>
      </c>
      <c r="AM210">
        <f>IF($A210&lt;=$AB$45,1,0)</f>
        <v>0</v>
      </c>
      <c r="BB210">
        <f>IF($BB$31&lt;=$BB$32,IF($A210&lt;=$BB$7,1,2),IF($A210&lt;=RUNG_BEDS_2,2,1))</f>
        <v>1</v>
      </c>
      <c r="BC210" s="5">
        <f>MIN(1,MAX(0,$BB$26-($A210-1)))</f>
        <v>1</v>
      </c>
      <c r="BD210" s="5">
        <f>$BB$25*(BC210+(1-BC210)*$BB$16)</f>
        <v>252.05322714681438</v>
      </c>
      <c r="BE210" s="13">
        <f>BD210*($BB$6+ACUTE_MARGIN)</f>
        <v>370518.24390581716</v>
      </c>
      <c r="BF210" s="13">
        <f>IF(BB210=1,$BB$31,$BB$32)</f>
        <v>152394.16214437486</v>
      </c>
      <c r="BG210" s="13">
        <f>BE210-BF210</f>
        <v>218124.0817614423</v>
      </c>
      <c r="BH210" s="13">
        <f>BH209+BG210</f>
        <v>27701758.383703154</v>
      </c>
      <c r="BI210">
        <f>IF(BH210=MAX($BH$83:$BH$483),$A210,0)</f>
        <v>0</v>
      </c>
      <c r="BJ210">
        <f>IF(BE210&lt;BF210,$A210,B_MAX+1)</f>
        <v>401.0</v>
      </c>
      <c r="BK210" s="13">
        <f>IF(BB210=1,$BB$35,$BB$36)</f>
        <v>0</v>
      </c>
      <c r="BL210" s="13">
        <f>OCC_DAYS*$BB$41*R_NF_2023-BD210*MCD_SHARE_FREED*R_WAIT_2023</f>
        <v>37367.159242427646</v>
      </c>
      <c r="BM210">
        <f>IF($A210&lt;=$BB$45,1,0)</f>
        <v>1</v>
      </c>
      <c r="CB210">
        <f>IF($CB$31&lt;=$CB$32,IF($A210&lt;=$CB$7,1,2),IF($A210&lt;=RUNG_BEDS_2,2,1))</f>
        <v>2</v>
      </c>
      <c r="CC210" s="5">
        <f>MIN(1,MAX(0,$CB$26-($A210-1)))</f>
        <v>1</v>
      </c>
      <c r="CD210" s="5">
        <f>$CB$25*(CC210+(1-CC210)*$CB$16)</f>
        <v>252.05322714681438</v>
      </c>
      <c r="CE210" s="13">
        <f>CD210*($CB$6+ACUTE_MARGIN)</f>
        <v>254573.7594182825</v>
      </c>
      <c r="CF210" s="13">
        <f>IF(CB210=1,$CB$31,$CB$32)</f>
        <v>160718.36940738867</v>
      </c>
      <c r="CG210" s="13">
        <f>CE210-CF210</f>
        <v>93855.39001089384</v>
      </c>
      <c r="CH210" s="13">
        <f>CH209+CG210</f>
        <v>11919634.531383518</v>
      </c>
      <c r="CI210">
        <f>IF(CH210=MAX($CH$83:$CH$483),$A210,0)</f>
        <v>0</v>
      </c>
      <c r="CJ210">
        <f>IF(CE210&lt;CF210,$A210,B_MAX+1)</f>
        <v>401.0</v>
      </c>
      <c r="CK210" s="13">
        <f>IF(CB210=1,$CB$35,$CB$36)</f>
        <v>1560.1194073886782</v>
      </c>
      <c r="CL210" s="13">
        <f>OCC_DAYS*$CB$41*R_NF_2023-CD210*MCD_SHARE_FREED*R_WAIT_2023</f>
        <v>37367.159242427646</v>
      </c>
      <c r="CM210">
        <f>IF($A210&lt;=$CB$45,1,0)</f>
        <v>1</v>
      </c>
      <c r="DB210">
        <f>IF($DB$31&lt;=$DB$32,IF($A210&lt;=$DB$7,1,2),IF($A210&lt;=RUNG_BEDS_2,2,1))</f>
        <v>1</v>
      </c>
      <c r="DC210" s="5">
        <f>MIN(1,MAX(0,$DB$26-($A210-1)))</f>
        <v>1</v>
      </c>
      <c r="DD210" s="5">
        <f>$DB$25*(DC210+(1-DC210)*$DB$16)</f>
        <v>252.05322714681438</v>
      </c>
      <c r="DE210" s="13">
        <f>DD210*($DB$6+ACUTE_MARGIN)</f>
        <v>254573.7594182825</v>
      </c>
      <c r="DF210" s="13">
        <f>IF(DB210=1,$DB$31,$DB$32)</f>
        <v>152394.16214437486</v>
      </c>
      <c r="DG210" s="13">
        <f>DE210-DF210</f>
        <v>102179.59727390765</v>
      </c>
      <c r="DH210" s="13">
        <f>DH209+DG210</f>
        <v>12976808.85378631</v>
      </c>
      <c r="DI210">
        <f>IF(DH210=MAX($DH$83:$DH$483),$A210,0)</f>
        <v>0</v>
      </c>
      <c r="DJ210">
        <f>IF(DE210&lt;DF210,$A210,B_MAX+1)</f>
        <v>401.0</v>
      </c>
      <c r="DK210" s="13">
        <f>IF(DB210=1,$DB$35,$DB$36)</f>
        <v>0</v>
      </c>
      <c r="DL210" s="13">
        <f>OCC_DAYS*$DB$41*R_NF_2023-DD210*MCD_SHARE_FREED*R_WAIT_2023</f>
        <v>37367.159242427646</v>
      </c>
      <c r="DM210">
        <f>IF($A210&lt;=$DB$45,1,0)</f>
        <v>1</v>
      </c>
      <c r="EB210">
        <f>IF($EB$31&lt;=$EB$32,IF($A210&lt;=$EB$7,1,2),IF($A210&lt;=RUNG_BEDS_2,2,1))</f>
        <v>1</v>
      </c>
      <c r="EC210" s="5">
        <f>MIN(1,MAX(0,$EB$26-($A210-1)))</f>
        <v>1</v>
      </c>
      <c r="ED210" s="5">
        <f>$EB$25*(EC210+(1-EC210)*$EB$16)</f>
        <v>252.05322714681438</v>
      </c>
      <c r="EE210" s="13">
        <f>ED210*($EB$6+ACUTE_MARGIN)</f>
        <v>254573.7594182825</v>
      </c>
      <c r="EF210" s="13">
        <f>IF(EB210=1,$EB$31,$EB$32)</f>
        <v>152394.16214437486</v>
      </c>
      <c r="EG210" s="13">
        <f>EE210-EF210</f>
        <v>102179.59727390765</v>
      </c>
      <c r="EH210" s="13">
        <f>EH209+EG210</f>
        <v>12976808.85378631</v>
      </c>
      <c r="EI210">
        <f>IF(EH210=MAX($EH$83:$EH$483),$A210,0)</f>
        <v>0</v>
      </c>
      <c r="EJ210">
        <f>IF(EE210&lt;EF210,$A210,B_MAX+1)</f>
        <v>401.0</v>
      </c>
      <c r="EK210" s="13">
        <f>IF(EB210=1,$EB$35,$EB$36)</f>
        <v>0</v>
      </c>
      <c r="EL210" s="13">
        <f>OCC_DAYS*$EB$41*R_NF_2023-ED210*MCD_SHARE_FREED*R_WAIT_2023</f>
        <v>-63953.16263896705</v>
      </c>
      <c r="EM210">
        <f>IF($A210&lt;=$EB$45,1,0)</f>
        <v>1</v>
      </c>
      <c r="FB210">
        <f>IF($FB$31&lt;=$FB$32,IF($A210&lt;=$FB$7,1,2),IF($A210&lt;=RUNG_BEDS_2,2,1))</f>
        <v>1</v>
      </c>
      <c r="FC210" s="5">
        <f>MIN(1,MAX(0,$FB$26-($A210-1)))</f>
        <v>1</v>
      </c>
      <c r="FD210" s="5">
        <f>$FB$25*(FC210+(1-FC210)*$FB$16)</f>
        <v>252.05322714681438</v>
      </c>
      <c r="FE210" s="13">
        <f>FD210*($FB$6+ACUTE_MARGIN)</f>
        <v>254573.7594182825</v>
      </c>
      <c r="FF210" s="13">
        <f>IF(FB210=1,$FB$31,$FB$32)</f>
        <v>156636.04979437485</v>
      </c>
      <c r="FG210" s="13">
        <f>FE210-FF210</f>
        <v>97937.70962390766</v>
      </c>
      <c r="FH210" s="13">
        <f>FH209+FG210</f>
        <v>12438089.122236237</v>
      </c>
      <c r="FI210">
        <f>IF(FH210=MAX($FH$83:$FH$483),$A210,0)</f>
        <v>0</v>
      </c>
      <c r="FJ210">
        <f>IF(FE210&lt;FF210,$A210,B_MAX+1)</f>
        <v>401.0</v>
      </c>
      <c r="FK210" s="13">
        <f>IF(FB210=1,$FB$35,$FB$36)</f>
        <v>0</v>
      </c>
      <c r="FL210" s="13">
        <f>OCC_DAYS*$FB$41*R_NF_2023-FD210*MCD_SHARE_FREED*R_WAIT_2023</f>
        <v>37367.159242427646</v>
      </c>
      <c r="FM210">
        <f>IF($A210&lt;=$FB$45,1,0)</f>
        <v>1</v>
      </c>
      <c r="GB210">
        <f>IF($GB$31&lt;=$GB$32,IF($A210&lt;=$GB$7,1,2),IF($A210&lt;=RUNG_BEDS_2,2,1))</f>
        <v>1</v>
      </c>
      <c r="GC210" s="5">
        <f>MIN(1,MAX(0,$GB$26-($A210-1)))</f>
        <v>1</v>
      </c>
      <c r="GD210" s="5">
        <f>$GB$25*(GC210+(1-GC210)*$GB$16)</f>
        <v>252.05322714681438</v>
      </c>
      <c r="GE210" s="13">
        <f>GD210*($GB$6+ACUTE_MARGIN)</f>
        <v>254573.7594182825</v>
      </c>
      <c r="GF210" s="13">
        <f>IF(GB210=1,$GB$31,$GB$32)</f>
        <v>152394.16214437486</v>
      </c>
      <c r="GG210" s="13">
        <f>GE210-GF210</f>
        <v>102179.59727390765</v>
      </c>
      <c r="GH210" s="13">
        <f>GH209+GG210</f>
        <v>12976808.85378631</v>
      </c>
      <c r="GI210">
        <f>IF(GH210=MAX($GH$83:$GH$483),$A210,0)</f>
        <v>0</v>
      </c>
      <c r="GJ210">
        <f>IF(GE210&lt;GF210,$A210,B_MAX+1)</f>
        <v>401.0</v>
      </c>
      <c r="GK210" s="13">
        <f>IF(GB210=1,$GB$35,$GB$36)</f>
        <v>0</v>
      </c>
      <c r="GL210" s="13">
        <f>OCC_DAYS*$GB$41*R_NF_2023-GD210*MCD_SHARE_FREED*R_WAIT_2023</f>
        <v>37367.159242427646</v>
      </c>
      <c r="GM210">
        <f>IF($A210&lt;=$GB$45,1,0)</f>
        <v>1</v>
      </c>
      <c r="HB210">
        <f>IF($HB$31&lt;=$HB$32,IF($A210&lt;=$HB$7,1,2),IF($A210&lt;=RUNG_BEDS_2,2,1))</f>
        <v>1</v>
      </c>
      <c r="HC210" s="5">
        <f>MIN(1,MAX(0,$HB$26-($A210-1)))</f>
        <v>1</v>
      </c>
      <c r="HD210" s="5">
        <f>$HB$25*(HC210+(1-HC210)*$HB$16)</f>
        <v>252.05322714681438</v>
      </c>
      <c r="HE210" s="13">
        <f>HD210*($HB$6+ACUTE_MARGIN)</f>
        <v>254573.7594182825</v>
      </c>
      <c r="HF210" s="13">
        <f>IF(HB210=1,$HB$31,$HB$32)</f>
        <v>152456.2970814058</v>
      </c>
      <c r="HG210" s="13">
        <f>HE210-HF210</f>
        <v>102117.46233687672</v>
      </c>
      <c r="HH210" s="13">
        <f>HH209+HG210</f>
        <v>12968917.716783363</v>
      </c>
      <c r="HI210">
        <f>IF(HH210=MAX($HH$83:$HH$483),$A210,0)</f>
        <v>0</v>
      </c>
      <c r="HJ210">
        <f>IF(HE210&lt;HF210,$A210,B_MAX+1)</f>
        <v>401.0</v>
      </c>
      <c r="HK210" s="13">
        <f>IF(HB210=1,$HB$35,$HB$36)</f>
        <v>0</v>
      </c>
      <c r="HL210" s="13">
        <f>OCC_DAYS*$HB$41*R_NF_2023-HD210*MCD_SHARE_FREED*R_WAIT_2023</f>
        <v>37367.159242427646</v>
      </c>
      <c r="HM210">
        <f>IF($A210&lt;=$HB$45,1,0)</f>
        <v>1</v>
      </c>
      <c r="IB210">
        <f>IF($IB$31&lt;=$IB$32,IF($A210&lt;=$IB$7,1,2),IF($A210&lt;=RUNG_BEDS_2,2,1))</f>
        <v>1</v>
      </c>
      <c r="IC210" s="5">
        <f>MIN(1,MAX(0,$IB$26-($A210-1)))</f>
        <v>1</v>
      </c>
      <c r="ID210" s="5">
        <f>$IB$25*(IC210+(1-IC210)*$IB$16)</f>
        <v>252.05322714681438</v>
      </c>
      <c r="IE210" s="13">
        <f>ID210*($IB$6+ACUTE_MARGIN)</f>
        <v>254573.7594182825</v>
      </c>
      <c r="IF210" s="13">
        <f>IF(IB210=1,$IB$31,$IB$32)</f>
        <v>152734.9994534971</v>
      </c>
      <c r="IG210" s="13">
        <f>IE210-IF210</f>
        <v>101838.75996478542</v>
      </c>
      <c r="IH210" s="13">
        <f>IH209+IG210</f>
        <v>12933522.51552772</v>
      </c>
      <c r="II210">
        <f>IF(IH210=MAX($IH$83:$IH$483),$A210,0)</f>
        <v>0</v>
      </c>
      <c r="IJ210">
        <f>IF(IE210&lt;IF210,$A210,B_MAX+1)</f>
        <v>401.0</v>
      </c>
      <c r="IK210" s="13">
        <f>IF(IB210=1,$IB$35,$IB$36)</f>
        <v>0</v>
      </c>
      <c r="IL210" s="13">
        <f>OCC_DAYS*$IB$41*R_NF_2023-ID210*MCD_SHARE_FREED*R_WAIT_2023</f>
        <v>37367.159242427646</v>
      </c>
      <c r="IM210">
        <f>IF($A210&lt;=$IB$45,1,0)</f>
        <v>1</v>
      </c>
      <c r="JB210">
        <f>IF($JB$31&lt;=$JB$32,IF($A210&lt;=$JB$7,1,2),IF($A210&lt;=RUNG_BEDS_2,2,1))</f>
        <v>1</v>
      </c>
      <c r="JC210" s="5">
        <f>MIN(1,MAX(0,$JB$26-($A210-1)))</f>
        <v>1</v>
      </c>
      <c r="JD210" s="5">
        <f>$JB$25*(JC210+(1-JC210)*$JB$16)</f>
        <v>252.05322714681438</v>
      </c>
      <c r="JE210" s="13">
        <f>JD210*($JB$6+ACUTE_MARGIN)</f>
        <v>254573.7594182825</v>
      </c>
      <c r="JF210" s="13">
        <f>IF(JB210=1,$JB$31,$JB$32)</f>
        <v>152394.16214437486</v>
      </c>
      <c r="JG210" s="13">
        <f>JE210-JF210</f>
        <v>102179.59727390765</v>
      </c>
      <c r="JH210" s="13">
        <f>JH209+JG210</f>
        <v>12976808.85378631</v>
      </c>
      <c r="JI210">
        <f>IF(JH210=MAX($JH$83:$JH$483),$A210,0)</f>
        <v>0</v>
      </c>
      <c r="JJ210">
        <f>IF(JE210&lt;JF210,$A210,B_MAX+1)</f>
        <v>401.0</v>
      </c>
      <c r="JK210" s="13">
        <f>IF(JB210=1,$JB$35,$JB$36)</f>
        <v>0</v>
      </c>
      <c r="JL210" s="13">
        <f>OCC_DAYS*$JB$41*R_NF_2023-JD210*MCD_SHARE_FREED*R_WAIT_2023</f>
        <v>37367.159242427646</v>
      </c>
      <c r="JM210">
        <f>IF($A210&lt;=$JB$45,1,0)</f>
        <v>1</v>
      </c>
      <c r="KB210">
        <f>IF($KB$31&lt;=$KB$32,IF($A210&lt;=$KB$7,1,2),IF($A210&lt;=RUNG_BEDS_2,2,1))</f>
        <v>1</v>
      </c>
      <c r="KC210" s="5">
        <f>MIN(1,MAX(0,$KB$26-($A210-1)))</f>
        <v>1</v>
      </c>
      <c r="KD210" s="5">
        <f>$KB$25*(KC210+(1-KC210)*$KB$16)</f>
        <v>126.02661357340719</v>
      </c>
      <c r="KE210" s="13">
        <f>KD210*($KB$6+ACUTE_MARGIN)</f>
        <v>127286.87970914126</v>
      </c>
      <c r="KF210" s="13">
        <f>IF(KB210=1,$KB$31,$KB$32)</f>
        <v>152394.16214437486</v>
      </c>
      <c r="KG210" s="13">
        <f>KE210-KF210</f>
        <v>-25107.282435233603</v>
      </c>
      <c r="KH210" s="13">
        <f>KH209+KG210</f>
        <v>-3188624.869274676</v>
      </c>
      <c r="KI210">
        <f>IF(KH210=MAX($KH$83:$KH$483),$A210,0)</f>
        <v>0</v>
      </c>
      <c r="KJ210">
        <f>IF(KE210&lt;KF210,$A210,B_MAX+1)</f>
        <v>127</v>
      </c>
      <c r="KK210" s="13">
        <f>IF(KB210=1,$KB$35,$KB$36)</f>
        <v>0</v>
      </c>
      <c r="KL210" s="13">
        <f>OCC_DAYS*$KB$41*R_NF_2023-KD210*MCD_SHARE_FREED*R_WAIT_2023</f>
        <v>94673.82103225985</v>
      </c>
      <c r="KM210">
        <f>IF($A210&lt;=$KB$45,1,0)</f>
        <v>0</v>
      </c>
      <c r="LB210">
        <f>IF($LB$31&lt;=$LB$32,IF($A210&lt;=$LB$7,1,2),IF($A210&lt;=RUNG_BEDS_2,2,1))</f>
        <v>1</v>
      </c>
      <c r="LC210" s="5">
        <f>MIN(1,MAX(0,$LB$26-($A210-1)))</f>
        <v>1</v>
      </c>
      <c r="LD210" s="5">
        <f>$LB$25*(LC210+(1-LC210)*$LB$16)</f>
        <v>84.01774238227146</v>
      </c>
      <c r="LE210" s="13">
        <f>LD210*($LB$6+ACUTE_MARGIN)</f>
        <v>84857.91980609419</v>
      </c>
      <c r="LF210" s="13">
        <f>IF(LB210=1,$LB$31,$LB$32)</f>
        <v>152394.16214437486</v>
      </c>
      <c r="LG210" s="13">
        <f>LE210-LF210</f>
        <v>-67536.24233828067</v>
      </c>
      <c r="LH210" s="13">
        <f>LH209+LG210</f>
        <v>-8577102.776961673</v>
      </c>
      <c r="LI210">
        <f>IF(LH210=MAX($LH$83:$LH$483),$A210,0)</f>
        <v>0</v>
      </c>
      <c r="LJ210">
        <f>IF(LE210&lt;LF210,$A210,B_MAX+1)</f>
        <v>127</v>
      </c>
      <c r="LK210" s="13">
        <f>IF(LB210=1,$LB$35,$LB$36)</f>
        <v>0</v>
      </c>
      <c r="LL210" s="13">
        <f>OCC_DAYS*$LB$41*R_NF_2023-LD210*MCD_SHARE_FREED*R_WAIT_2023</f>
        <v>113776.04162887059</v>
      </c>
      <c r="LM210">
        <f>IF($A210&lt;=$LB$45,1,0)</f>
        <v>0</v>
      </c>
      <c r="MB210">
        <f>IF($MB$31&lt;=$MB$32,IF($A210&lt;=$MB$7,1,2),IF($A210&lt;=RUNG_BEDS_2,2,1))</f>
        <v>1</v>
      </c>
      <c r="MC210" s="5">
        <f>MIN(1,MAX(0,$MB$26-($A210-1)))</f>
        <v>1</v>
      </c>
      <c r="MD210" s="5">
        <f>$MB$25*(MC210+(1-MC210)*$MB$16)</f>
        <v>213.44610951008647</v>
      </c>
      <c r="ME210" s="13">
        <f>MD210*($MB$6+ACUTE_MARGIN)</f>
        <v>215580.57060518733</v>
      </c>
      <c r="MF210" s="13">
        <f>IF(MB210=1,$MB$31,$MB$32)</f>
        <v>152394.16214437486</v>
      </c>
      <c r="MG210" s="13">
        <f>ME210-MF210</f>
        <v>63186.40846081247</v>
      </c>
      <c r="MH210" s="13">
        <f>MH209+MG210</f>
        <v>8024673.874523198</v>
      </c>
      <c r="MI210">
        <f>IF(MH210=MAX($MH$83:$MH$483),$A210,0)</f>
        <v>0</v>
      </c>
      <c r="MJ210">
        <f>IF(ME210&lt;MF210,$A210,B_MAX+1)</f>
        <v>401.0</v>
      </c>
      <c r="MK210" s="13">
        <f>IF(MB210=1,$MB$35,$MB$36)</f>
        <v>0</v>
      </c>
      <c r="ML210" s="13">
        <f>OCC_DAYS*$MB$41*R_NF_2023-MD210*MCD_SHARE_FREED*R_WAIT_2023</f>
        <v>54922.538779778624</v>
      </c>
      <c r="MM210">
        <f>IF($A210&lt;=$MB$45,1,0)</f>
        <v>1</v>
      </c>
      <c r="NB210">
        <f>IF($NB$31&lt;=$NB$32,IF($A210&lt;=$NB$7,1,2),IF($A210&lt;=RUNG_BEDS_2,2,1))</f>
        <v>1</v>
      </c>
      <c r="NC210" s="5">
        <f>MIN(1,MAX(0,$NB$26-($A210-1)))</f>
        <v>1</v>
      </c>
      <c r="ND210" s="5">
        <f>$NB$25*(NC210+(1-NC210)*$NB$16)</f>
        <v>252.05322714681438</v>
      </c>
      <c r="NE210" s="13">
        <f>ND210*($NB$6+ACUTE_MARGIN)</f>
        <v>254573.7594182825</v>
      </c>
      <c r="NF210" s="13">
        <f>IF(NB210=1,$NB$31,$NB$32)</f>
        <v>152394.16214437486</v>
      </c>
      <c r="NG210" s="13">
        <f>NE210-NF210</f>
        <v>102179.59727390765</v>
      </c>
      <c r="NH210" s="13">
        <f>NH209+NG210</f>
        <v>12976808.85378631</v>
      </c>
      <c r="NI210">
        <f>IF(NH210=MAX($NH$83:$NH$483),$A210,0)</f>
        <v>0</v>
      </c>
      <c r="NJ210">
        <f>IF(NE210&lt;NF210,$A210,B_MAX+1)</f>
        <v>401.0</v>
      </c>
      <c r="NK210" s="13">
        <f>IF(NB210=1,$NB$35,$NB$36)</f>
        <v>0</v>
      </c>
      <c r="NL210" s="13">
        <f>OCC_DAYS*$NB$41*R_NF_2023-ND210*MCD_SHARE_FREED*R_WAIT_2023</f>
        <v>37367.159242427646</v>
      </c>
      <c r="NM210">
        <f>IF($A210&lt;=$NB$45,1,0)</f>
        <v>1</v>
      </c>
      <c r="OB210">
        <f>IF($OB$31&lt;=$OB$32,IF($A210&lt;=$OB$7,1,2),IF($A210&lt;=RUNG_BEDS_2,2,1))</f>
        <v>1</v>
      </c>
      <c r="OC210" s="5">
        <f>MIN(1,MAX(0,$OB$26-($A210-1)))</f>
        <v>1</v>
      </c>
      <c r="OD210" s="5">
        <f>$OB$25*(OC210+(1-OC210)*$OB$16)</f>
        <v>252.05322714681438</v>
      </c>
      <c r="OE210" s="13">
        <f>OD210*($OB$6+ACUTE_MARGIN)</f>
        <v>254573.7594182825</v>
      </c>
      <c r="OF210" s="13">
        <f>IF(OB210=1,$OB$31,$OB$32)</f>
        <v>152394.16214437486</v>
      </c>
      <c r="OG210" s="13">
        <f>OE210-OF210</f>
        <v>102179.59727390765</v>
      </c>
      <c r="OH210" s="13">
        <f>OH209+OG210</f>
        <v>12976808.85378631</v>
      </c>
      <c r="OI210">
        <f>IF(OH210=MAX($OH$83:$OH$483),$A210,0)</f>
        <v>0</v>
      </c>
      <c r="OJ210">
        <f>IF(OE210&lt;OF210,$A210,B_MAX+1)</f>
        <v>401.0</v>
      </c>
      <c r="OK210" s="13">
        <f>IF(OB210=1,$OB$35,$OB$36)</f>
        <v>0</v>
      </c>
      <c r="OL210" s="13">
        <f>OCC_DAYS*$OB$41*R_NF_2023-OD210*MCD_SHARE_FREED*R_WAIT_2023</f>
        <v>37367.159242427646</v>
      </c>
      <c r="OM210">
        <f>IF($A210&lt;=$OB$45,1,0)</f>
        <v>1</v>
      </c>
    </row>
    <row r="211">
      <c r="A211" t="n">
        <v>128</v>
      </c>
      <c r="B211">
        <f>IF($B$31&lt;=$B$32,IF($A211&lt;=$B$7,1,2),IF($A211&lt;=RUNG_BEDS_2,2,1))</f>
        <v>1</v>
      </c>
      <c r="C211" s="5">
        <f>MIN(1,MAX(0,$B$26-($A211-1)))</f>
        <v>1</v>
      </c>
      <c r="D211" s="5">
        <f>$B$25*(C211+(1-C211)*$B$16)</f>
        <v>252.05322714681438</v>
      </c>
      <c r="E211" s="13">
        <f>D211*($B$6+ACUTE_MARGIN)</f>
        <v>254573.7594182825</v>
      </c>
      <c r="F211" s="13">
        <f>IF(B211=1,$B$31,$B$32)</f>
        <v>152394.16214437486</v>
      </c>
      <c r="G211" s="13">
        <f>E211-F211</f>
        <v>102179.59727390765</v>
      </c>
      <c r="H211" s="13">
        <f>H210+G211</f>
        <v>13078988.451060219</v>
      </c>
      <c r="I211">
        <f>IF(H211=MAX($H$83:$H$483),$A211,0)</f>
        <v>0</v>
      </c>
      <c r="J211">
        <f>IF(E211&lt;F211,$A211,B_MAX+1)</f>
        <v>401.0</v>
      </c>
      <c r="K211" s="13">
        <f>IF(B211=1,$B$35,$B$36)</f>
        <v>0</v>
      </c>
      <c r="L211" s="13">
        <f>OCC_DAYS*$B$41*R_NF_2023-D211*MCD_SHARE_FREED*R_WAIT_2023</f>
        <v>37367.159242427646</v>
      </c>
      <c r="M211">
        <f>IF($A211&lt;=$B$45,1,0)</f>
        <v>1</v>
      </c>
      <c r="AB211">
        <f>IF($AB$31&lt;=$AB$32,IF($A211&lt;=$AB$7,1,2),IF($A211&lt;=RUNG_BEDS_2,2,1))</f>
        <v>1</v>
      </c>
      <c r="AC211" s="5">
        <f>MIN(1,MAX(0,$AB$26-($A211-1)))</f>
        <v>1</v>
      </c>
      <c r="AD211" s="5">
        <f>$AB$25*(AC211+(1-AC211)*$AB$16)</f>
        <v>252.05322714681438</v>
      </c>
      <c r="AE211" s="13">
        <f>AD211*($AB$6+ACUTE_MARGIN)</f>
        <v>138629.2749307479</v>
      </c>
      <c r="AF211" s="13">
        <f>IF(AB211=1,$AB$31,$AB$32)</f>
        <v>152394.16214437486</v>
      </c>
      <c r="AG211" s="13">
        <f>AE211-AF211</f>
        <v>-13764.887213626964</v>
      </c>
      <c r="AH211" s="13">
        <f>AH210+AG211</f>
        <v>-1761905.5633442486</v>
      </c>
      <c r="AI211">
        <f>IF(AH211=MAX($AH$83:$AH$483),$A211,0)</f>
        <v>0</v>
      </c>
      <c r="AJ211">
        <f>IF(AE211&lt;AF211,$A211,B_MAX+1)</f>
        <v>128</v>
      </c>
      <c r="AK211" s="13">
        <f>IF(AB211=1,$AB$35,$AB$36)</f>
        <v>0</v>
      </c>
      <c r="AL211" s="13">
        <f>OCC_DAYS*$AB$41*R_NF_2023-AD211*MCD_SHARE_FREED*R_WAIT_2023</f>
        <v>37367.159242427646</v>
      </c>
      <c r="AM211">
        <f>IF($A211&lt;=$AB$45,1,0)</f>
        <v>0</v>
      </c>
      <c r="BB211">
        <f>IF($BB$31&lt;=$BB$32,IF($A211&lt;=$BB$7,1,2),IF($A211&lt;=RUNG_BEDS_2,2,1))</f>
        <v>1</v>
      </c>
      <c r="BC211" s="5">
        <f>MIN(1,MAX(0,$BB$26-($A211-1)))</f>
        <v>1</v>
      </c>
      <c r="BD211" s="5">
        <f>$BB$25*(BC211+(1-BC211)*$BB$16)</f>
        <v>252.05322714681438</v>
      </c>
      <c r="BE211" s="13">
        <f>BD211*($BB$6+ACUTE_MARGIN)</f>
        <v>370518.24390581716</v>
      </c>
      <c r="BF211" s="13">
        <f>IF(BB211=1,$BB$31,$BB$32)</f>
        <v>152394.16214437486</v>
      </c>
      <c r="BG211" s="13">
        <f>BE211-BF211</f>
        <v>218124.0817614423</v>
      </c>
      <c r="BH211" s="13">
        <f>BH210+BG211</f>
        <v>27919882.465464596</v>
      </c>
      <c r="BI211">
        <f>IF(BH211=MAX($BH$83:$BH$483),$A211,0)</f>
        <v>0</v>
      </c>
      <c r="BJ211">
        <f>IF(BE211&lt;BF211,$A211,B_MAX+1)</f>
        <v>401.0</v>
      </c>
      <c r="BK211" s="13">
        <f>IF(BB211=1,$BB$35,$BB$36)</f>
        <v>0</v>
      </c>
      <c r="BL211" s="13">
        <f>OCC_DAYS*$BB$41*R_NF_2023-BD211*MCD_SHARE_FREED*R_WAIT_2023</f>
        <v>37367.159242427646</v>
      </c>
      <c r="BM211">
        <f>IF($A211&lt;=$BB$45,1,0)</f>
        <v>1</v>
      </c>
      <c r="CB211">
        <f>IF($CB$31&lt;=$CB$32,IF($A211&lt;=$CB$7,1,2),IF($A211&lt;=RUNG_BEDS_2,2,1))</f>
        <v>2</v>
      </c>
      <c r="CC211" s="5">
        <f>MIN(1,MAX(0,$CB$26-($A211-1)))</f>
        <v>1</v>
      </c>
      <c r="CD211" s="5">
        <f>$CB$25*(CC211+(1-CC211)*$CB$16)</f>
        <v>252.05322714681438</v>
      </c>
      <c r="CE211" s="13">
        <f>CD211*($CB$6+ACUTE_MARGIN)</f>
        <v>254573.7594182825</v>
      </c>
      <c r="CF211" s="13">
        <f>IF(CB211=1,$CB$31,$CB$32)</f>
        <v>160718.36940738867</v>
      </c>
      <c r="CG211" s="13">
        <f>CE211-CF211</f>
        <v>93855.39001089384</v>
      </c>
      <c r="CH211" s="13">
        <f>CH210+CG211</f>
        <v>12013489.921394411</v>
      </c>
      <c r="CI211">
        <f>IF(CH211=MAX($CH$83:$CH$483),$A211,0)</f>
        <v>0</v>
      </c>
      <c r="CJ211">
        <f>IF(CE211&lt;CF211,$A211,B_MAX+1)</f>
        <v>401.0</v>
      </c>
      <c r="CK211" s="13">
        <f>IF(CB211=1,$CB$35,$CB$36)</f>
        <v>1560.1194073886782</v>
      </c>
      <c r="CL211" s="13">
        <f>OCC_DAYS*$CB$41*R_NF_2023-CD211*MCD_SHARE_FREED*R_WAIT_2023</f>
        <v>37367.159242427646</v>
      </c>
      <c r="CM211">
        <f>IF($A211&lt;=$CB$45,1,0)</f>
        <v>1</v>
      </c>
      <c r="DB211">
        <f>IF($DB$31&lt;=$DB$32,IF($A211&lt;=$DB$7,1,2),IF($A211&lt;=RUNG_BEDS_2,2,1))</f>
        <v>1</v>
      </c>
      <c r="DC211" s="5">
        <f>MIN(1,MAX(0,$DB$26-($A211-1)))</f>
        <v>1</v>
      </c>
      <c r="DD211" s="5">
        <f>$DB$25*(DC211+(1-DC211)*$DB$16)</f>
        <v>252.05322714681438</v>
      </c>
      <c r="DE211" s="13">
        <f>DD211*($DB$6+ACUTE_MARGIN)</f>
        <v>254573.7594182825</v>
      </c>
      <c r="DF211" s="13">
        <f>IF(DB211=1,$DB$31,$DB$32)</f>
        <v>152394.16214437486</v>
      </c>
      <c r="DG211" s="13">
        <f>DE211-DF211</f>
        <v>102179.59727390765</v>
      </c>
      <c r="DH211" s="13">
        <f>DH210+DG211</f>
        <v>13078988.451060219</v>
      </c>
      <c r="DI211">
        <f>IF(DH211=MAX($DH$83:$DH$483),$A211,0)</f>
        <v>0</v>
      </c>
      <c r="DJ211">
        <f>IF(DE211&lt;DF211,$A211,B_MAX+1)</f>
        <v>401.0</v>
      </c>
      <c r="DK211" s="13">
        <f>IF(DB211=1,$DB$35,$DB$36)</f>
        <v>0</v>
      </c>
      <c r="DL211" s="13">
        <f>OCC_DAYS*$DB$41*R_NF_2023-DD211*MCD_SHARE_FREED*R_WAIT_2023</f>
        <v>37367.159242427646</v>
      </c>
      <c r="DM211">
        <f>IF($A211&lt;=$DB$45,1,0)</f>
        <v>1</v>
      </c>
      <c r="EB211">
        <f>IF($EB$31&lt;=$EB$32,IF($A211&lt;=$EB$7,1,2),IF($A211&lt;=RUNG_BEDS_2,2,1))</f>
        <v>1</v>
      </c>
      <c r="EC211" s="5">
        <f>MIN(1,MAX(0,$EB$26-($A211-1)))</f>
        <v>1</v>
      </c>
      <c r="ED211" s="5">
        <f>$EB$25*(EC211+(1-EC211)*$EB$16)</f>
        <v>252.05322714681438</v>
      </c>
      <c r="EE211" s="13">
        <f>ED211*($EB$6+ACUTE_MARGIN)</f>
        <v>254573.7594182825</v>
      </c>
      <c r="EF211" s="13">
        <f>IF(EB211=1,$EB$31,$EB$32)</f>
        <v>152394.16214437486</v>
      </c>
      <c r="EG211" s="13">
        <f>EE211-EF211</f>
        <v>102179.59727390765</v>
      </c>
      <c r="EH211" s="13">
        <f>EH210+EG211</f>
        <v>13078988.451060219</v>
      </c>
      <c r="EI211">
        <f>IF(EH211=MAX($EH$83:$EH$483),$A211,0)</f>
        <v>0</v>
      </c>
      <c r="EJ211">
        <f>IF(EE211&lt;EF211,$A211,B_MAX+1)</f>
        <v>401.0</v>
      </c>
      <c r="EK211" s="13">
        <f>IF(EB211=1,$EB$35,$EB$36)</f>
        <v>0</v>
      </c>
      <c r="EL211" s="13">
        <f>OCC_DAYS*$EB$41*R_NF_2023-ED211*MCD_SHARE_FREED*R_WAIT_2023</f>
        <v>-63953.16263896705</v>
      </c>
      <c r="EM211">
        <f>IF($A211&lt;=$EB$45,1,0)</f>
        <v>1</v>
      </c>
      <c r="FB211">
        <f>IF($FB$31&lt;=$FB$32,IF($A211&lt;=$FB$7,1,2),IF($A211&lt;=RUNG_BEDS_2,2,1))</f>
        <v>1</v>
      </c>
      <c r="FC211" s="5">
        <f>MIN(1,MAX(0,$FB$26-($A211-1)))</f>
        <v>1</v>
      </c>
      <c r="FD211" s="5">
        <f>$FB$25*(FC211+(1-FC211)*$FB$16)</f>
        <v>252.05322714681438</v>
      </c>
      <c r="FE211" s="13">
        <f>FD211*($FB$6+ACUTE_MARGIN)</f>
        <v>254573.7594182825</v>
      </c>
      <c r="FF211" s="13">
        <f>IF(FB211=1,$FB$31,$FB$32)</f>
        <v>156636.04979437485</v>
      </c>
      <c r="FG211" s="13">
        <f>FE211-FF211</f>
        <v>97937.70962390766</v>
      </c>
      <c r="FH211" s="13">
        <f>FH210+FG211</f>
        <v>12536026.831860144</v>
      </c>
      <c r="FI211">
        <f>IF(FH211=MAX($FH$83:$FH$483),$A211,0)</f>
        <v>0</v>
      </c>
      <c r="FJ211">
        <f>IF(FE211&lt;FF211,$A211,B_MAX+1)</f>
        <v>401.0</v>
      </c>
      <c r="FK211" s="13">
        <f>IF(FB211=1,$FB$35,$FB$36)</f>
        <v>0</v>
      </c>
      <c r="FL211" s="13">
        <f>OCC_DAYS*$FB$41*R_NF_2023-FD211*MCD_SHARE_FREED*R_WAIT_2023</f>
        <v>37367.159242427646</v>
      </c>
      <c r="FM211">
        <f>IF($A211&lt;=$FB$45,1,0)</f>
        <v>1</v>
      </c>
      <c r="GB211">
        <f>IF($GB$31&lt;=$GB$32,IF($A211&lt;=$GB$7,1,2),IF($A211&lt;=RUNG_BEDS_2,2,1))</f>
        <v>1</v>
      </c>
      <c r="GC211" s="5">
        <f>MIN(1,MAX(0,$GB$26-($A211-1)))</f>
        <v>1</v>
      </c>
      <c r="GD211" s="5">
        <f>$GB$25*(GC211+(1-GC211)*$GB$16)</f>
        <v>252.05322714681438</v>
      </c>
      <c r="GE211" s="13">
        <f>GD211*($GB$6+ACUTE_MARGIN)</f>
        <v>254573.7594182825</v>
      </c>
      <c r="GF211" s="13">
        <f>IF(GB211=1,$GB$31,$GB$32)</f>
        <v>152394.16214437486</v>
      </c>
      <c r="GG211" s="13">
        <f>GE211-GF211</f>
        <v>102179.59727390765</v>
      </c>
      <c r="GH211" s="13">
        <f>GH210+GG211</f>
        <v>13078988.451060219</v>
      </c>
      <c r="GI211">
        <f>IF(GH211=MAX($GH$83:$GH$483),$A211,0)</f>
        <v>0</v>
      </c>
      <c r="GJ211">
        <f>IF(GE211&lt;GF211,$A211,B_MAX+1)</f>
        <v>401.0</v>
      </c>
      <c r="GK211" s="13">
        <f>IF(GB211=1,$GB$35,$GB$36)</f>
        <v>0</v>
      </c>
      <c r="GL211" s="13">
        <f>OCC_DAYS*$GB$41*R_NF_2023-GD211*MCD_SHARE_FREED*R_WAIT_2023</f>
        <v>37367.159242427646</v>
      </c>
      <c r="GM211">
        <f>IF($A211&lt;=$GB$45,1,0)</f>
        <v>1</v>
      </c>
      <c r="HB211">
        <f>IF($HB$31&lt;=$HB$32,IF($A211&lt;=$HB$7,1,2),IF($A211&lt;=RUNG_BEDS_2,2,1))</f>
        <v>1</v>
      </c>
      <c r="HC211" s="5">
        <f>MIN(1,MAX(0,$HB$26-($A211-1)))</f>
        <v>1</v>
      </c>
      <c r="HD211" s="5">
        <f>$HB$25*(HC211+(1-HC211)*$HB$16)</f>
        <v>252.05322714681438</v>
      </c>
      <c r="HE211" s="13">
        <f>HD211*($HB$6+ACUTE_MARGIN)</f>
        <v>254573.7594182825</v>
      </c>
      <c r="HF211" s="13">
        <f>IF(HB211=1,$HB$31,$HB$32)</f>
        <v>152456.2970814058</v>
      </c>
      <c r="HG211" s="13">
        <f>HE211-HF211</f>
        <v>102117.46233687672</v>
      </c>
      <c r="HH211" s="13">
        <f>HH210+HG211</f>
        <v>13071035.17912024</v>
      </c>
      <c r="HI211">
        <f>IF(HH211=MAX($HH$83:$HH$483),$A211,0)</f>
        <v>0</v>
      </c>
      <c r="HJ211">
        <f>IF(HE211&lt;HF211,$A211,B_MAX+1)</f>
        <v>401.0</v>
      </c>
      <c r="HK211" s="13">
        <f>IF(HB211=1,$HB$35,$HB$36)</f>
        <v>0</v>
      </c>
      <c r="HL211" s="13">
        <f>OCC_DAYS*$HB$41*R_NF_2023-HD211*MCD_SHARE_FREED*R_WAIT_2023</f>
        <v>37367.159242427646</v>
      </c>
      <c r="HM211">
        <f>IF($A211&lt;=$HB$45,1,0)</f>
        <v>1</v>
      </c>
      <c r="IB211">
        <f>IF($IB$31&lt;=$IB$32,IF($A211&lt;=$IB$7,1,2),IF($A211&lt;=RUNG_BEDS_2,2,1))</f>
        <v>1</v>
      </c>
      <c r="IC211" s="5">
        <f>MIN(1,MAX(0,$IB$26-($A211-1)))</f>
        <v>1</v>
      </c>
      <c r="ID211" s="5">
        <f>$IB$25*(IC211+(1-IC211)*$IB$16)</f>
        <v>252.05322714681438</v>
      </c>
      <c r="IE211" s="13">
        <f>ID211*($IB$6+ACUTE_MARGIN)</f>
        <v>254573.7594182825</v>
      </c>
      <c r="IF211" s="13">
        <f>IF(IB211=1,$IB$31,$IB$32)</f>
        <v>152734.9994534971</v>
      </c>
      <c r="IG211" s="13">
        <f>IE211-IF211</f>
        <v>101838.75996478542</v>
      </c>
      <c r="IH211" s="13">
        <f>IH210+IG211</f>
        <v>13035361.275492504</v>
      </c>
      <c r="II211">
        <f>IF(IH211=MAX($IH$83:$IH$483),$A211,0)</f>
        <v>0</v>
      </c>
      <c r="IJ211">
        <f>IF(IE211&lt;IF211,$A211,B_MAX+1)</f>
        <v>401.0</v>
      </c>
      <c r="IK211" s="13">
        <f>IF(IB211=1,$IB$35,$IB$36)</f>
        <v>0</v>
      </c>
      <c r="IL211" s="13">
        <f>OCC_DAYS*$IB$41*R_NF_2023-ID211*MCD_SHARE_FREED*R_WAIT_2023</f>
        <v>37367.159242427646</v>
      </c>
      <c r="IM211">
        <f>IF($A211&lt;=$IB$45,1,0)</f>
        <v>1</v>
      </c>
      <c r="JB211">
        <f>IF($JB$31&lt;=$JB$32,IF($A211&lt;=$JB$7,1,2),IF($A211&lt;=RUNG_BEDS_2,2,1))</f>
        <v>1</v>
      </c>
      <c r="JC211" s="5">
        <f>MIN(1,MAX(0,$JB$26-($A211-1)))</f>
        <v>1</v>
      </c>
      <c r="JD211" s="5">
        <f>$JB$25*(JC211+(1-JC211)*$JB$16)</f>
        <v>252.05322714681438</v>
      </c>
      <c r="JE211" s="13">
        <f>JD211*($JB$6+ACUTE_MARGIN)</f>
        <v>254573.7594182825</v>
      </c>
      <c r="JF211" s="13">
        <f>IF(JB211=1,$JB$31,$JB$32)</f>
        <v>152394.16214437486</v>
      </c>
      <c r="JG211" s="13">
        <f>JE211-JF211</f>
        <v>102179.59727390765</v>
      </c>
      <c r="JH211" s="13">
        <f>JH210+JG211</f>
        <v>13078988.451060219</v>
      </c>
      <c r="JI211">
        <f>IF(JH211=MAX($JH$83:$JH$483),$A211,0)</f>
        <v>0</v>
      </c>
      <c r="JJ211">
        <f>IF(JE211&lt;JF211,$A211,B_MAX+1)</f>
        <v>401.0</v>
      </c>
      <c r="JK211" s="13">
        <f>IF(JB211=1,$JB$35,$JB$36)</f>
        <v>0</v>
      </c>
      <c r="JL211" s="13">
        <f>OCC_DAYS*$JB$41*R_NF_2023-JD211*MCD_SHARE_FREED*R_WAIT_2023</f>
        <v>37367.159242427646</v>
      </c>
      <c r="JM211">
        <f>IF($A211&lt;=$JB$45,1,0)</f>
        <v>1</v>
      </c>
      <c r="KB211">
        <f>IF($KB$31&lt;=$KB$32,IF($A211&lt;=$KB$7,1,2),IF($A211&lt;=RUNG_BEDS_2,2,1))</f>
        <v>1</v>
      </c>
      <c r="KC211" s="5">
        <f>MIN(1,MAX(0,$KB$26-($A211-1)))</f>
        <v>1</v>
      </c>
      <c r="KD211" s="5">
        <f>$KB$25*(KC211+(1-KC211)*$KB$16)</f>
        <v>126.02661357340719</v>
      </c>
      <c r="KE211" s="13">
        <f>KD211*($KB$6+ACUTE_MARGIN)</f>
        <v>127286.87970914126</v>
      </c>
      <c r="KF211" s="13">
        <f>IF(KB211=1,$KB$31,$KB$32)</f>
        <v>152394.16214437486</v>
      </c>
      <c r="KG211" s="13">
        <f>KE211-KF211</f>
        <v>-25107.282435233603</v>
      </c>
      <c r="KH211" s="13">
        <f>KH210+KG211</f>
        <v>-3213732.1517099096</v>
      </c>
      <c r="KI211">
        <f>IF(KH211=MAX($KH$83:$KH$483),$A211,0)</f>
        <v>0</v>
      </c>
      <c r="KJ211">
        <f>IF(KE211&lt;KF211,$A211,B_MAX+1)</f>
        <v>128</v>
      </c>
      <c r="KK211" s="13">
        <f>IF(KB211=1,$KB$35,$KB$36)</f>
        <v>0</v>
      </c>
      <c r="KL211" s="13">
        <f>OCC_DAYS*$KB$41*R_NF_2023-KD211*MCD_SHARE_FREED*R_WAIT_2023</f>
        <v>94673.82103225985</v>
      </c>
      <c r="KM211">
        <f>IF($A211&lt;=$KB$45,1,0)</f>
        <v>0</v>
      </c>
      <c r="LB211">
        <f>IF($LB$31&lt;=$LB$32,IF($A211&lt;=$LB$7,1,2),IF($A211&lt;=RUNG_BEDS_2,2,1))</f>
        <v>1</v>
      </c>
      <c r="LC211" s="5">
        <f>MIN(1,MAX(0,$LB$26-($A211-1)))</f>
        <v>1</v>
      </c>
      <c r="LD211" s="5">
        <f>$LB$25*(LC211+(1-LC211)*$LB$16)</f>
        <v>84.01774238227146</v>
      </c>
      <c r="LE211" s="13">
        <f>LD211*($LB$6+ACUTE_MARGIN)</f>
        <v>84857.91980609419</v>
      </c>
      <c r="LF211" s="13">
        <f>IF(LB211=1,$LB$31,$LB$32)</f>
        <v>152394.16214437486</v>
      </c>
      <c r="LG211" s="13">
        <f>LE211-LF211</f>
        <v>-67536.24233828067</v>
      </c>
      <c r="LH211" s="13">
        <f>LH210+LG211</f>
        <v>-8644639.019299954</v>
      </c>
      <c r="LI211">
        <f>IF(LH211=MAX($LH$83:$LH$483),$A211,0)</f>
        <v>0</v>
      </c>
      <c r="LJ211">
        <f>IF(LE211&lt;LF211,$A211,B_MAX+1)</f>
        <v>128</v>
      </c>
      <c r="LK211" s="13">
        <f>IF(LB211=1,$LB$35,$LB$36)</f>
        <v>0</v>
      </c>
      <c r="LL211" s="13">
        <f>OCC_DAYS*$LB$41*R_NF_2023-LD211*MCD_SHARE_FREED*R_WAIT_2023</f>
        <v>113776.04162887059</v>
      </c>
      <c r="LM211">
        <f>IF($A211&lt;=$LB$45,1,0)</f>
        <v>0</v>
      </c>
      <c r="MB211">
        <f>IF($MB$31&lt;=$MB$32,IF($A211&lt;=$MB$7,1,2),IF($A211&lt;=RUNG_BEDS_2,2,1))</f>
        <v>1</v>
      </c>
      <c r="MC211" s="5">
        <f>MIN(1,MAX(0,$MB$26-($A211-1)))</f>
        <v>1</v>
      </c>
      <c r="MD211" s="5">
        <f>$MB$25*(MC211+(1-MC211)*$MB$16)</f>
        <v>213.44610951008647</v>
      </c>
      <c r="ME211" s="13">
        <f>MD211*($MB$6+ACUTE_MARGIN)</f>
        <v>215580.57060518733</v>
      </c>
      <c r="MF211" s="13">
        <f>IF(MB211=1,$MB$31,$MB$32)</f>
        <v>152394.16214437486</v>
      </c>
      <c r="MG211" s="13">
        <f>ME211-MF211</f>
        <v>63186.40846081247</v>
      </c>
      <c r="MH211" s="13">
        <f>MH210+MG211</f>
        <v>8087860.282984011</v>
      </c>
      <c r="MI211">
        <f>IF(MH211=MAX($MH$83:$MH$483),$A211,0)</f>
        <v>0</v>
      </c>
      <c r="MJ211">
        <f>IF(ME211&lt;MF211,$A211,B_MAX+1)</f>
        <v>401.0</v>
      </c>
      <c r="MK211" s="13">
        <f>IF(MB211=1,$MB$35,$MB$36)</f>
        <v>0</v>
      </c>
      <c r="ML211" s="13">
        <f>OCC_DAYS*$MB$41*R_NF_2023-MD211*MCD_SHARE_FREED*R_WAIT_2023</f>
        <v>54922.538779778624</v>
      </c>
      <c r="MM211">
        <f>IF($A211&lt;=$MB$45,1,0)</f>
        <v>1</v>
      </c>
      <c r="NB211">
        <f>IF($NB$31&lt;=$NB$32,IF($A211&lt;=$NB$7,1,2),IF($A211&lt;=RUNG_BEDS_2,2,1))</f>
        <v>1</v>
      </c>
      <c r="NC211" s="5">
        <f>MIN(1,MAX(0,$NB$26-($A211-1)))</f>
        <v>1</v>
      </c>
      <c r="ND211" s="5">
        <f>$NB$25*(NC211+(1-NC211)*$NB$16)</f>
        <v>252.05322714681438</v>
      </c>
      <c r="NE211" s="13">
        <f>ND211*($NB$6+ACUTE_MARGIN)</f>
        <v>254573.7594182825</v>
      </c>
      <c r="NF211" s="13">
        <f>IF(NB211=1,$NB$31,$NB$32)</f>
        <v>152394.16214437486</v>
      </c>
      <c r="NG211" s="13">
        <f>NE211-NF211</f>
        <v>102179.59727390765</v>
      </c>
      <c r="NH211" s="13">
        <f>NH210+NG211</f>
        <v>13078988.451060219</v>
      </c>
      <c r="NI211">
        <f>IF(NH211=MAX($NH$83:$NH$483),$A211,0)</f>
        <v>0</v>
      </c>
      <c r="NJ211">
        <f>IF(NE211&lt;NF211,$A211,B_MAX+1)</f>
        <v>401.0</v>
      </c>
      <c r="NK211" s="13">
        <f>IF(NB211=1,$NB$35,$NB$36)</f>
        <v>0</v>
      </c>
      <c r="NL211" s="13">
        <f>OCC_DAYS*$NB$41*R_NF_2023-ND211*MCD_SHARE_FREED*R_WAIT_2023</f>
        <v>37367.159242427646</v>
      </c>
      <c r="NM211">
        <f>IF($A211&lt;=$NB$45,1,0)</f>
        <v>1</v>
      </c>
      <c r="OB211">
        <f>IF($OB$31&lt;=$OB$32,IF($A211&lt;=$OB$7,1,2),IF($A211&lt;=RUNG_BEDS_2,2,1))</f>
        <v>1</v>
      </c>
      <c r="OC211" s="5">
        <f>MIN(1,MAX(0,$OB$26-($A211-1)))</f>
        <v>1</v>
      </c>
      <c r="OD211" s="5">
        <f>$OB$25*(OC211+(1-OC211)*$OB$16)</f>
        <v>252.05322714681438</v>
      </c>
      <c r="OE211" s="13">
        <f>OD211*($OB$6+ACUTE_MARGIN)</f>
        <v>254573.7594182825</v>
      </c>
      <c r="OF211" s="13">
        <f>IF(OB211=1,$OB$31,$OB$32)</f>
        <v>152394.16214437486</v>
      </c>
      <c r="OG211" s="13">
        <f>OE211-OF211</f>
        <v>102179.59727390765</v>
      </c>
      <c r="OH211" s="13">
        <f>OH210+OG211</f>
        <v>13078988.451060219</v>
      </c>
      <c r="OI211">
        <f>IF(OH211=MAX($OH$83:$OH$483),$A211,0)</f>
        <v>0</v>
      </c>
      <c r="OJ211">
        <f>IF(OE211&lt;OF211,$A211,B_MAX+1)</f>
        <v>401.0</v>
      </c>
      <c r="OK211" s="13">
        <f>IF(OB211=1,$OB$35,$OB$36)</f>
        <v>0</v>
      </c>
      <c r="OL211" s="13">
        <f>OCC_DAYS*$OB$41*R_NF_2023-OD211*MCD_SHARE_FREED*R_WAIT_2023</f>
        <v>37367.159242427646</v>
      </c>
      <c r="OM211">
        <f>IF($A211&lt;=$OB$45,1,0)</f>
        <v>1</v>
      </c>
    </row>
    <row r="212">
      <c r="A212" t="n">
        <v>129</v>
      </c>
      <c r="B212">
        <f>IF($B$31&lt;=$B$32,IF($A212&lt;=$B$7,1,2),IF($A212&lt;=RUNG_BEDS_2,2,1))</f>
        <v>1</v>
      </c>
      <c r="C212" s="5">
        <f>MIN(1,MAX(0,$B$26-($A212-1)))</f>
        <v>1</v>
      </c>
      <c r="D212" s="5">
        <f>$B$25*(C212+(1-C212)*$B$16)</f>
        <v>252.05322714681438</v>
      </c>
      <c r="E212" s="13">
        <f>D212*($B$6+ACUTE_MARGIN)</f>
        <v>254573.7594182825</v>
      </c>
      <c r="F212" s="13">
        <f>IF(B212=1,$B$31,$B$32)</f>
        <v>152394.16214437486</v>
      </c>
      <c r="G212" s="13">
        <f>E212-F212</f>
        <v>102179.59727390765</v>
      </c>
      <c r="H212" s="13">
        <f>H211+G212</f>
        <v>13181168.048334127</v>
      </c>
      <c r="I212">
        <f>IF(H212=MAX($H$83:$H$483),$A212,0)</f>
        <v>0</v>
      </c>
      <c r="J212">
        <f>IF(E212&lt;F212,$A212,B_MAX+1)</f>
        <v>401.0</v>
      </c>
      <c r="K212" s="13">
        <f>IF(B212=1,$B$35,$B$36)</f>
        <v>0</v>
      </c>
      <c r="L212" s="13">
        <f>OCC_DAYS*$B$41*R_NF_2023-D212*MCD_SHARE_FREED*R_WAIT_2023</f>
        <v>37367.159242427646</v>
      </c>
      <c r="M212">
        <f>IF($A212&lt;=$B$45,1,0)</f>
        <v>1</v>
      </c>
      <c r="AB212">
        <f>IF($AB$31&lt;=$AB$32,IF($A212&lt;=$AB$7,1,2),IF($A212&lt;=RUNG_BEDS_2,2,1))</f>
        <v>1</v>
      </c>
      <c r="AC212" s="5">
        <f>MIN(1,MAX(0,$AB$26-($A212-1)))</f>
        <v>1</v>
      </c>
      <c r="AD212" s="5">
        <f>$AB$25*(AC212+(1-AC212)*$AB$16)</f>
        <v>252.05322714681438</v>
      </c>
      <c r="AE212" s="13">
        <f>AD212*($AB$6+ACUTE_MARGIN)</f>
        <v>138629.2749307479</v>
      </c>
      <c r="AF212" s="13">
        <f>IF(AB212=1,$AB$31,$AB$32)</f>
        <v>152394.16214437486</v>
      </c>
      <c r="AG212" s="13">
        <f>AE212-AF212</f>
        <v>-13764.887213626964</v>
      </c>
      <c r="AH212" s="13">
        <f>AH211+AG212</f>
        <v>-1775670.4505578754</v>
      </c>
      <c r="AI212">
        <f>IF(AH212=MAX($AH$83:$AH$483),$A212,0)</f>
        <v>0</v>
      </c>
      <c r="AJ212">
        <f>IF(AE212&lt;AF212,$A212,B_MAX+1)</f>
        <v>129</v>
      </c>
      <c r="AK212" s="13">
        <f>IF(AB212=1,$AB$35,$AB$36)</f>
        <v>0</v>
      </c>
      <c r="AL212" s="13">
        <f>OCC_DAYS*$AB$41*R_NF_2023-AD212*MCD_SHARE_FREED*R_WAIT_2023</f>
        <v>37367.159242427646</v>
      </c>
      <c r="AM212">
        <f>IF($A212&lt;=$AB$45,1,0)</f>
        <v>0</v>
      </c>
      <c r="BB212">
        <f>IF($BB$31&lt;=$BB$32,IF($A212&lt;=$BB$7,1,2),IF($A212&lt;=RUNG_BEDS_2,2,1))</f>
        <v>1</v>
      </c>
      <c r="BC212" s="5">
        <f>MIN(1,MAX(0,$BB$26-($A212-1)))</f>
        <v>1</v>
      </c>
      <c r="BD212" s="5">
        <f>$BB$25*(BC212+(1-BC212)*$BB$16)</f>
        <v>252.05322714681438</v>
      </c>
      <c r="BE212" s="13">
        <f>BD212*($BB$6+ACUTE_MARGIN)</f>
        <v>370518.24390581716</v>
      </c>
      <c r="BF212" s="13">
        <f>IF(BB212=1,$BB$31,$BB$32)</f>
        <v>152394.16214437486</v>
      </c>
      <c r="BG212" s="13">
        <f>BE212-BF212</f>
        <v>218124.0817614423</v>
      </c>
      <c r="BH212" s="13">
        <f>BH211+BG212</f>
        <v>28138006.547226038</v>
      </c>
      <c r="BI212">
        <f>IF(BH212=MAX($BH$83:$BH$483),$A212,0)</f>
        <v>0</v>
      </c>
      <c r="BJ212">
        <f>IF(BE212&lt;BF212,$A212,B_MAX+1)</f>
        <v>401.0</v>
      </c>
      <c r="BK212" s="13">
        <f>IF(BB212=1,$BB$35,$BB$36)</f>
        <v>0</v>
      </c>
      <c r="BL212" s="13">
        <f>OCC_DAYS*$BB$41*R_NF_2023-BD212*MCD_SHARE_FREED*R_WAIT_2023</f>
        <v>37367.159242427646</v>
      </c>
      <c r="BM212">
        <f>IF($A212&lt;=$BB$45,1,0)</f>
        <v>1</v>
      </c>
      <c r="CB212">
        <f>IF($CB$31&lt;=$CB$32,IF($A212&lt;=$CB$7,1,2),IF($A212&lt;=RUNG_BEDS_2,2,1))</f>
        <v>2</v>
      </c>
      <c r="CC212" s="5">
        <f>MIN(1,MAX(0,$CB$26-($A212-1)))</f>
        <v>1</v>
      </c>
      <c r="CD212" s="5">
        <f>$CB$25*(CC212+(1-CC212)*$CB$16)</f>
        <v>252.05322714681438</v>
      </c>
      <c r="CE212" s="13">
        <f>CD212*($CB$6+ACUTE_MARGIN)</f>
        <v>254573.7594182825</v>
      </c>
      <c r="CF212" s="13">
        <f>IF(CB212=1,$CB$31,$CB$32)</f>
        <v>160718.36940738867</v>
      </c>
      <c r="CG212" s="13">
        <f>CE212-CF212</f>
        <v>93855.39001089384</v>
      </c>
      <c r="CH212" s="13">
        <f>CH211+CG212</f>
        <v>12107345.311405305</v>
      </c>
      <c r="CI212">
        <f>IF(CH212=MAX($CH$83:$CH$483),$A212,0)</f>
        <v>0</v>
      </c>
      <c r="CJ212">
        <f>IF(CE212&lt;CF212,$A212,B_MAX+1)</f>
        <v>401.0</v>
      </c>
      <c r="CK212" s="13">
        <f>IF(CB212=1,$CB$35,$CB$36)</f>
        <v>1560.1194073886782</v>
      </c>
      <c r="CL212" s="13">
        <f>OCC_DAYS*$CB$41*R_NF_2023-CD212*MCD_SHARE_FREED*R_WAIT_2023</f>
        <v>37367.159242427646</v>
      </c>
      <c r="CM212">
        <f>IF($A212&lt;=$CB$45,1,0)</f>
        <v>1</v>
      </c>
      <c r="DB212">
        <f>IF($DB$31&lt;=$DB$32,IF($A212&lt;=$DB$7,1,2),IF($A212&lt;=RUNG_BEDS_2,2,1))</f>
        <v>1</v>
      </c>
      <c r="DC212" s="5">
        <f>MIN(1,MAX(0,$DB$26-($A212-1)))</f>
        <v>1</v>
      </c>
      <c r="DD212" s="5">
        <f>$DB$25*(DC212+(1-DC212)*$DB$16)</f>
        <v>252.05322714681438</v>
      </c>
      <c r="DE212" s="13">
        <f>DD212*($DB$6+ACUTE_MARGIN)</f>
        <v>254573.7594182825</v>
      </c>
      <c r="DF212" s="13">
        <f>IF(DB212=1,$DB$31,$DB$32)</f>
        <v>152394.16214437486</v>
      </c>
      <c r="DG212" s="13">
        <f>DE212-DF212</f>
        <v>102179.59727390765</v>
      </c>
      <c r="DH212" s="13">
        <f>DH211+DG212</f>
        <v>13181168.048334127</v>
      </c>
      <c r="DI212">
        <f>IF(DH212=MAX($DH$83:$DH$483),$A212,0)</f>
        <v>0</v>
      </c>
      <c r="DJ212">
        <f>IF(DE212&lt;DF212,$A212,B_MAX+1)</f>
        <v>401.0</v>
      </c>
      <c r="DK212" s="13">
        <f>IF(DB212=1,$DB$35,$DB$36)</f>
        <v>0</v>
      </c>
      <c r="DL212" s="13">
        <f>OCC_DAYS*$DB$41*R_NF_2023-DD212*MCD_SHARE_FREED*R_WAIT_2023</f>
        <v>37367.159242427646</v>
      </c>
      <c r="DM212">
        <f>IF($A212&lt;=$DB$45,1,0)</f>
        <v>1</v>
      </c>
      <c r="EB212">
        <f>IF($EB$31&lt;=$EB$32,IF($A212&lt;=$EB$7,1,2),IF($A212&lt;=RUNG_BEDS_2,2,1))</f>
        <v>1</v>
      </c>
      <c r="EC212" s="5">
        <f>MIN(1,MAX(0,$EB$26-($A212-1)))</f>
        <v>1</v>
      </c>
      <c r="ED212" s="5">
        <f>$EB$25*(EC212+(1-EC212)*$EB$16)</f>
        <v>252.05322714681438</v>
      </c>
      <c r="EE212" s="13">
        <f>ED212*($EB$6+ACUTE_MARGIN)</f>
        <v>254573.7594182825</v>
      </c>
      <c r="EF212" s="13">
        <f>IF(EB212=1,$EB$31,$EB$32)</f>
        <v>152394.16214437486</v>
      </c>
      <c r="EG212" s="13">
        <f>EE212-EF212</f>
        <v>102179.59727390765</v>
      </c>
      <c r="EH212" s="13">
        <f>EH211+EG212</f>
        <v>13181168.048334127</v>
      </c>
      <c r="EI212">
        <f>IF(EH212=MAX($EH$83:$EH$483),$A212,0)</f>
        <v>0</v>
      </c>
      <c r="EJ212">
        <f>IF(EE212&lt;EF212,$A212,B_MAX+1)</f>
        <v>401.0</v>
      </c>
      <c r="EK212" s="13">
        <f>IF(EB212=1,$EB$35,$EB$36)</f>
        <v>0</v>
      </c>
      <c r="EL212" s="13">
        <f>OCC_DAYS*$EB$41*R_NF_2023-ED212*MCD_SHARE_FREED*R_WAIT_2023</f>
        <v>-63953.16263896705</v>
      </c>
      <c r="EM212">
        <f>IF($A212&lt;=$EB$45,1,0)</f>
        <v>1</v>
      </c>
      <c r="FB212">
        <f>IF($FB$31&lt;=$FB$32,IF($A212&lt;=$FB$7,1,2),IF($A212&lt;=RUNG_BEDS_2,2,1))</f>
        <v>1</v>
      </c>
      <c r="FC212" s="5">
        <f>MIN(1,MAX(0,$FB$26-($A212-1)))</f>
        <v>1</v>
      </c>
      <c r="FD212" s="5">
        <f>$FB$25*(FC212+(1-FC212)*$FB$16)</f>
        <v>252.05322714681438</v>
      </c>
      <c r="FE212" s="13">
        <f>FD212*($FB$6+ACUTE_MARGIN)</f>
        <v>254573.7594182825</v>
      </c>
      <c r="FF212" s="13">
        <f>IF(FB212=1,$FB$31,$FB$32)</f>
        <v>156636.04979437485</v>
      </c>
      <c r="FG212" s="13">
        <f>FE212-FF212</f>
        <v>97937.70962390766</v>
      </c>
      <c r="FH212" s="13">
        <f>FH211+FG212</f>
        <v>12633964.54148405</v>
      </c>
      <c r="FI212">
        <f>IF(FH212=MAX($FH$83:$FH$483),$A212,0)</f>
        <v>0</v>
      </c>
      <c r="FJ212">
        <f>IF(FE212&lt;FF212,$A212,B_MAX+1)</f>
        <v>401.0</v>
      </c>
      <c r="FK212" s="13">
        <f>IF(FB212=1,$FB$35,$FB$36)</f>
        <v>0</v>
      </c>
      <c r="FL212" s="13">
        <f>OCC_DAYS*$FB$41*R_NF_2023-FD212*MCD_SHARE_FREED*R_WAIT_2023</f>
        <v>37367.159242427646</v>
      </c>
      <c r="FM212">
        <f>IF($A212&lt;=$FB$45,1,0)</f>
        <v>1</v>
      </c>
      <c r="GB212">
        <f>IF($GB$31&lt;=$GB$32,IF($A212&lt;=$GB$7,1,2),IF($A212&lt;=RUNG_BEDS_2,2,1))</f>
        <v>1</v>
      </c>
      <c r="GC212" s="5">
        <f>MIN(1,MAX(0,$GB$26-($A212-1)))</f>
        <v>1</v>
      </c>
      <c r="GD212" s="5">
        <f>$GB$25*(GC212+(1-GC212)*$GB$16)</f>
        <v>252.05322714681438</v>
      </c>
      <c r="GE212" s="13">
        <f>GD212*($GB$6+ACUTE_MARGIN)</f>
        <v>254573.7594182825</v>
      </c>
      <c r="GF212" s="13">
        <f>IF(GB212=1,$GB$31,$GB$32)</f>
        <v>152394.16214437486</v>
      </c>
      <c r="GG212" s="13">
        <f>GE212-GF212</f>
        <v>102179.59727390765</v>
      </c>
      <c r="GH212" s="13">
        <f>GH211+GG212</f>
        <v>13181168.048334127</v>
      </c>
      <c r="GI212">
        <f>IF(GH212=MAX($GH$83:$GH$483),$A212,0)</f>
        <v>0</v>
      </c>
      <c r="GJ212">
        <f>IF(GE212&lt;GF212,$A212,B_MAX+1)</f>
        <v>401.0</v>
      </c>
      <c r="GK212" s="13">
        <f>IF(GB212=1,$GB$35,$GB$36)</f>
        <v>0</v>
      </c>
      <c r="GL212" s="13">
        <f>OCC_DAYS*$GB$41*R_NF_2023-GD212*MCD_SHARE_FREED*R_WAIT_2023</f>
        <v>37367.159242427646</v>
      </c>
      <c r="GM212">
        <f>IF($A212&lt;=$GB$45,1,0)</f>
        <v>1</v>
      </c>
      <c r="HB212">
        <f>IF($HB$31&lt;=$HB$32,IF($A212&lt;=$HB$7,1,2),IF($A212&lt;=RUNG_BEDS_2,2,1))</f>
        <v>1</v>
      </c>
      <c r="HC212" s="5">
        <f>MIN(1,MAX(0,$HB$26-($A212-1)))</f>
        <v>1</v>
      </c>
      <c r="HD212" s="5">
        <f>$HB$25*(HC212+(1-HC212)*$HB$16)</f>
        <v>252.05322714681438</v>
      </c>
      <c r="HE212" s="13">
        <f>HD212*($HB$6+ACUTE_MARGIN)</f>
        <v>254573.7594182825</v>
      </c>
      <c r="HF212" s="13">
        <f>IF(HB212=1,$HB$31,$HB$32)</f>
        <v>152456.2970814058</v>
      </c>
      <c r="HG212" s="13">
        <f>HE212-HF212</f>
        <v>102117.46233687672</v>
      </c>
      <c r="HH212" s="13">
        <f>HH211+HG212</f>
        <v>13173152.641457118</v>
      </c>
      <c r="HI212">
        <f>IF(HH212=MAX($HH$83:$HH$483),$A212,0)</f>
        <v>0</v>
      </c>
      <c r="HJ212">
        <f>IF(HE212&lt;HF212,$A212,B_MAX+1)</f>
        <v>401.0</v>
      </c>
      <c r="HK212" s="13">
        <f>IF(HB212=1,$HB$35,$HB$36)</f>
        <v>0</v>
      </c>
      <c r="HL212" s="13">
        <f>OCC_DAYS*$HB$41*R_NF_2023-HD212*MCD_SHARE_FREED*R_WAIT_2023</f>
        <v>37367.159242427646</v>
      </c>
      <c r="HM212">
        <f>IF($A212&lt;=$HB$45,1,0)</f>
        <v>1</v>
      </c>
      <c r="IB212">
        <f>IF($IB$31&lt;=$IB$32,IF($A212&lt;=$IB$7,1,2),IF($A212&lt;=RUNG_BEDS_2,2,1))</f>
        <v>1</v>
      </c>
      <c r="IC212" s="5">
        <f>MIN(1,MAX(0,$IB$26-($A212-1)))</f>
        <v>1</v>
      </c>
      <c r="ID212" s="5">
        <f>$IB$25*(IC212+(1-IC212)*$IB$16)</f>
        <v>252.05322714681438</v>
      </c>
      <c r="IE212" s="13">
        <f>ID212*($IB$6+ACUTE_MARGIN)</f>
        <v>254573.7594182825</v>
      </c>
      <c r="IF212" s="13">
        <f>IF(IB212=1,$IB$31,$IB$32)</f>
        <v>152734.9994534971</v>
      </c>
      <c r="IG212" s="13">
        <f>IE212-IF212</f>
        <v>101838.75996478542</v>
      </c>
      <c r="IH212" s="13">
        <f>IH211+IG212</f>
        <v>13137200.035457289</v>
      </c>
      <c r="II212">
        <f>IF(IH212=MAX($IH$83:$IH$483),$A212,0)</f>
        <v>0</v>
      </c>
      <c r="IJ212">
        <f>IF(IE212&lt;IF212,$A212,B_MAX+1)</f>
        <v>401.0</v>
      </c>
      <c r="IK212" s="13">
        <f>IF(IB212=1,$IB$35,$IB$36)</f>
        <v>0</v>
      </c>
      <c r="IL212" s="13">
        <f>OCC_DAYS*$IB$41*R_NF_2023-ID212*MCD_SHARE_FREED*R_WAIT_2023</f>
        <v>37367.159242427646</v>
      </c>
      <c r="IM212">
        <f>IF($A212&lt;=$IB$45,1,0)</f>
        <v>1</v>
      </c>
      <c r="JB212">
        <f>IF($JB$31&lt;=$JB$32,IF($A212&lt;=$JB$7,1,2),IF($A212&lt;=RUNG_BEDS_2,2,1))</f>
        <v>1</v>
      </c>
      <c r="JC212" s="5">
        <f>MIN(1,MAX(0,$JB$26-($A212-1)))</f>
        <v>1</v>
      </c>
      <c r="JD212" s="5">
        <f>$JB$25*(JC212+(1-JC212)*$JB$16)</f>
        <v>252.05322714681438</v>
      </c>
      <c r="JE212" s="13">
        <f>JD212*($JB$6+ACUTE_MARGIN)</f>
        <v>254573.7594182825</v>
      </c>
      <c r="JF212" s="13">
        <f>IF(JB212=1,$JB$31,$JB$32)</f>
        <v>152394.16214437486</v>
      </c>
      <c r="JG212" s="13">
        <f>JE212-JF212</f>
        <v>102179.59727390765</v>
      </c>
      <c r="JH212" s="13">
        <f>JH211+JG212</f>
        <v>13181168.048334127</v>
      </c>
      <c r="JI212">
        <f>IF(JH212=MAX($JH$83:$JH$483),$A212,0)</f>
        <v>0</v>
      </c>
      <c r="JJ212">
        <f>IF(JE212&lt;JF212,$A212,B_MAX+1)</f>
        <v>401.0</v>
      </c>
      <c r="JK212" s="13">
        <f>IF(JB212=1,$JB$35,$JB$36)</f>
        <v>0</v>
      </c>
      <c r="JL212" s="13">
        <f>OCC_DAYS*$JB$41*R_NF_2023-JD212*MCD_SHARE_FREED*R_WAIT_2023</f>
        <v>37367.159242427646</v>
      </c>
      <c r="JM212">
        <f>IF($A212&lt;=$JB$45,1,0)</f>
        <v>1</v>
      </c>
      <c r="KB212">
        <f>IF($KB$31&lt;=$KB$32,IF($A212&lt;=$KB$7,1,2),IF($A212&lt;=RUNG_BEDS_2,2,1))</f>
        <v>1</v>
      </c>
      <c r="KC212" s="5">
        <f>MIN(1,MAX(0,$KB$26-($A212-1)))</f>
        <v>1</v>
      </c>
      <c r="KD212" s="5">
        <f>$KB$25*(KC212+(1-KC212)*$KB$16)</f>
        <v>126.02661357340719</v>
      </c>
      <c r="KE212" s="13">
        <f>KD212*($KB$6+ACUTE_MARGIN)</f>
        <v>127286.87970914126</v>
      </c>
      <c r="KF212" s="13">
        <f>IF(KB212=1,$KB$31,$KB$32)</f>
        <v>152394.16214437486</v>
      </c>
      <c r="KG212" s="13">
        <f>KE212-KF212</f>
        <v>-25107.282435233603</v>
      </c>
      <c r="KH212" s="13">
        <f>KH211+KG212</f>
        <v>-3238839.4341451433</v>
      </c>
      <c r="KI212">
        <f>IF(KH212=MAX($KH$83:$KH$483),$A212,0)</f>
        <v>0</v>
      </c>
      <c r="KJ212">
        <f>IF(KE212&lt;KF212,$A212,B_MAX+1)</f>
        <v>129</v>
      </c>
      <c r="KK212" s="13">
        <f>IF(KB212=1,$KB$35,$KB$36)</f>
        <v>0</v>
      </c>
      <c r="KL212" s="13">
        <f>OCC_DAYS*$KB$41*R_NF_2023-KD212*MCD_SHARE_FREED*R_WAIT_2023</f>
        <v>94673.82103225985</v>
      </c>
      <c r="KM212">
        <f>IF($A212&lt;=$KB$45,1,0)</f>
        <v>0</v>
      </c>
      <c r="LB212">
        <f>IF($LB$31&lt;=$LB$32,IF($A212&lt;=$LB$7,1,2),IF($A212&lt;=RUNG_BEDS_2,2,1))</f>
        <v>1</v>
      </c>
      <c r="LC212" s="5">
        <f>MIN(1,MAX(0,$LB$26-($A212-1)))</f>
        <v>1</v>
      </c>
      <c r="LD212" s="5">
        <f>$LB$25*(LC212+(1-LC212)*$LB$16)</f>
        <v>84.01774238227146</v>
      </c>
      <c r="LE212" s="13">
        <f>LD212*($LB$6+ACUTE_MARGIN)</f>
        <v>84857.91980609419</v>
      </c>
      <c r="LF212" s="13">
        <f>IF(LB212=1,$LB$31,$LB$32)</f>
        <v>152394.16214437486</v>
      </c>
      <c r="LG212" s="13">
        <f>LE212-LF212</f>
        <v>-67536.24233828067</v>
      </c>
      <c r="LH212" s="13">
        <f>LH211+LG212</f>
        <v>-8712175.261638235</v>
      </c>
      <c r="LI212">
        <f>IF(LH212=MAX($LH$83:$LH$483),$A212,0)</f>
        <v>0</v>
      </c>
      <c r="LJ212">
        <f>IF(LE212&lt;LF212,$A212,B_MAX+1)</f>
        <v>129</v>
      </c>
      <c r="LK212" s="13">
        <f>IF(LB212=1,$LB$35,$LB$36)</f>
        <v>0</v>
      </c>
      <c r="LL212" s="13">
        <f>OCC_DAYS*$LB$41*R_NF_2023-LD212*MCD_SHARE_FREED*R_WAIT_2023</f>
        <v>113776.04162887059</v>
      </c>
      <c r="LM212">
        <f>IF($A212&lt;=$LB$45,1,0)</f>
        <v>0</v>
      </c>
      <c r="MB212">
        <f>IF($MB$31&lt;=$MB$32,IF($A212&lt;=$MB$7,1,2),IF($A212&lt;=RUNG_BEDS_2,2,1))</f>
        <v>1</v>
      </c>
      <c r="MC212" s="5">
        <f>MIN(1,MAX(0,$MB$26-($A212-1)))</f>
        <v>1</v>
      </c>
      <c r="MD212" s="5">
        <f>$MB$25*(MC212+(1-MC212)*$MB$16)</f>
        <v>213.44610951008647</v>
      </c>
      <c r="ME212" s="13">
        <f>MD212*($MB$6+ACUTE_MARGIN)</f>
        <v>215580.57060518733</v>
      </c>
      <c r="MF212" s="13">
        <f>IF(MB212=1,$MB$31,$MB$32)</f>
        <v>152394.16214437486</v>
      </c>
      <c r="MG212" s="13">
        <f>ME212-MF212</f>
        <v>63186.40846081247</v>
      </c>
      <c r="MH212" s="13">
        <f>MH211+MG212</f>
        <v>8151046.6914448235</v>
      </c>
      <c r="MI212">
        <f>IF(MH212=MAX($MH$83:$MH$483),$A212,0)</f>
        <v>0</v>
      </c>
      <c r="MJ212">
        <f>IF(ME212&lt;MF212,$A212,B_MAX+1)</f>
        <v>401.0</v>
      </c>
      <c r="MK212" s="13">
        <f>IF(MB212=1,$MB$35,$MB$36)</f>
        <v>0</v>
      </c>
      <c r="ML212" s="13">
        <f>OCC_DAYS*$MB$41*R_NF_2023-MD212*MCD_SHARE_FREED*R_WAIT_2023</f>
        <v>54922.538779778624</v>
      </c>
      <c r="MM212">
        <f>IF($A212&lt;=$MB$45,1,0)</f>
        <v>1</v>
      </c>
      <c r="NB212">
        <f>IF($NB$31&lt;=$NB$32,IF($A212&lt;=$NB$7,1,2),IF($A212&lt;=RUNG_BEDS_2,2,1))</f>
        <v>1</v>
      </c>
      <c r="NC212" s="5">
        <f>MIN(1,MAX(0,$NB$26-($A212-1)))</f>
        <v>1</v>
      </c>
      <c r="ND212" s="5">
        <f>$NB$25*(NC212+(1-NC212)*$NB$16)</f>
        <v>252.05322714681438</v>
      </c>
      <c r="NE212" s="13">
        <f>ND212*($NB$6+ACUTE_MARGIN)</f>
        <v>254573.7594182825</v>
      </c>
      <c r="NF212" s="13">
        <f>IF(NB212=1,$NB$31,$NB$32)</f>
        <v>152394.16214437486</v>
      </c>
      <c r="NG212" s="13">
        <f>NE212-NF212</f>
        <v>102179.59727390765</v>
      </c>
      <c r="NH212" s="13">
        <f>NH211+NG212</f>
        <v>13181168.048334127</v>
      </c>
      <c r="NI212">
        <f>IF(NH212=MAX($NH$83:$NH$483),$A212,0)</f>
        <v>0</v>
      </c>
      <c r="NJ212">
        <f>IF(NE212&lt;NF212,$A212,B_MAX+1)</f>
        <v>401.0</v>
      </c>
      <c r="NK212" s="13">
        <f>IF(NB212=1,$NB$35,$NB$36)</f>
        <v>0</v>
      </c>
      <c r="NL212" s="13">
        <f>OCC_DAYS*$NB$41*R_NF_2023-ND212*MCD_SHARE_FREED*R_WAIT_2023</f>
        <v>37367.159242427646</v>
      </c>
      <c r="NM212">
        <f>IF($A212&lt;=$NB$45,1,0)</f>
        <v>1</v>
      </c>
      <c r="OB212">
        <f>IF($OB$31&lt;=$OB$32,IF($A212&lt;=$OB$7,1,2),IF($A212&lt;=RUNG_BEDS_2,2,1))</f>
        <v>1</v>
      </c>
      <c r="OC212" s="5">
        <f>MIN(1,MAX(0,$OB$26-($A212-1)))</f>
        <v>1</v>
      </c>
      <c r="OD212" s="5">
        <f>$OB$25*(OC212+(1-OC212)*$OB$16)</f>
        <v>252.05322714681438</v>
      </c>
      <c r="OE212" s="13">
        <f>OD212*($OB$6+ACUTE_MARGIN)</f>
        <v>254573.7594182825</v>
      </c>
      <c r="OF212" s="13">
        <f>IF(OB212=1,$OB$31,$OB$32)</f>
        <v>152394.16214437486</v>
      </c>
      <c r="OG212" s="13">
        <f>OE212-OF212</f>
        <v>102179.59727390765</v>
      </c>
      <c r="OH212" s="13">
        <f>OH211+OG212</f>
        <v>13181168.048334127</v>
      </c>
      <c r="OI212">
        <f>IF(OH212=MAX($OH$83:$OH$483),$A212,0)</f>
        <v>0</v>
      </c>
      <c r="OJ212">
        <f>IF(OE212&lt;OF212,$A212,B_MAX+1)</f>
        <v>401.0</v>
      </c>
      <c r="OK212" s="13">
        <f>IF(OB212=1,$OB$35,$OB$36)</f>
        <v>0</v>
      </c>
      <c r="OL212" s="13">
        <f>OCC_DAYS*$OB$41*R_NF_2023-OD212*MCD_SHARE_FREED*R_WAIT_2023</f>
        <v>37367.159242427646</v>
      </c>
      <c r="OM212">
        <f>IF($A212&lt;=$OB$45,1,0)</f>
        <v>1</v>
      </c>
    </row>
    <row r="213">
      <c r="A213" t="n">
        <v>130</v>
      </c>
      <c r="B213">
        <f>IF($B$31&lt;=$B$32,IF($A213&lt;=$B$7,1,2),IF($A213&lt;=RUNG_BEDS_2,2,1))</f>
        <v>1</v>
      </c>
      <c r="C213" s="5">
        <f>MIN(1,MAX(0,$B$26-($A213-1)))</f>
        <v>1</v>
      </c>
      <c r="D213" s="5">
        <f>$B$25*(C213+(1-C213)*$B$16)</f>
        <v>252.05322714681438</v>
      </c>
      <c r="E213" s="13">
        <f>D213*($B$6+ACUTE_MARGIN)</f>
        <v>254573.7594182825</v>
      </c>
      <c r="F213" s="13">
        <f>IF(B213=1,$B$31,$B$32)</f>
        <v>152394.16214437486</v>
      </c>
      <c r="G213" s="13">
        <f>E213-F213</f>
        <v>102179.59727390765</v>
      </c>
      <c r="H213" s="13">
        <f>H212+G213</f>
        <v>13283347.645608036</v>
      </c>
      <c r="I213">
        <f>IF(H213=MAX($H$83:$H$483),$A213,0)</f>
        <v>0</v>
      </c>
      <c r="J213">
        <f>IF(E213&lt;F213,$A213,B_MAX+1)</f>
        <v>401.0</v>
      </c>
      <c r="K213" s="13">
        <f>IF(B213=1,$B$35,$B$36)</f>
        <v>0</v>
      </c>
      <c r="L213" s="13">
        <f>OCC_DAYS*$B$41*R_NF_2023-D213*MCD_SHARE_FREED*R_WAIT_2023</f>
        <v>37367.159242427646</v>
      </c>
      <c r="M213">
        <f>IF($A213&lt;=$B$45,1,0)</f>
        <v>1</v>
      </c>
      <c r="AB213">
        <f>IF($AB$31&lt;=$AB$32,IF($A213&lt;=$AB$7,1,2),IF($A213&lt;=RUNG_BEDS_2,2,1))</f>
        <v>1</v>
      </c>
      <c r="AC213" s="5">
        <f>MIN(1,MAX(0,$AB$26-($A213-1)))</f>
        <v>1</v>
      </c>
      <c r="AD213" s="5">
        <f>$AB$25*(AC213+(1-AC213)*$AB$16)</f>
        <v>252.05322714681438</v>
      </c>
      <c r="AE213" s="13">
        <f>AD213*($AB$6+ACUTE_MARGIN)</f>
        <v>138629.2749307479</v>
      </c>
      <c r="AF213" s="13">
        <f>IF(AB213=1,$AB$31,$AB$32)</f>
        <v>152394.16214437486</v>
      </c>
      <c r="AG213" s="13">
        <f>AE213-AF213</f>
        <v>-13764.887213626964</v>
      </c>
      <c r="AH213" s="13">
        <f>AH212+AG213</f>
        <v>-1789435.3377715023</v>
      </c>
      <c r="AI213">
        <f>IF(AH213=MAX($AH$83:$AH$483),$A213,0)</f>
        <v>0</v>
      </c>
      <c r="AJ213">
        <f>IF(AE213&lt;AF213,$A213,B_MAX+1)</f>
        <v>130</v>
      </c>
      <c r="AK213" s="13">
        <f>IF(AB213=1,$AB$35,$AB$36)</f>
        <v>0</v>
      </c>
      <c r="AL213" s="13">
        <f>OCC_DAYS*$AB$41*R_NF_2023-AD213*MCD_SHARE_FREED*R_WAIT_2023</f>
        <v>37367.159242427646</v>
      </c>
      <c r="AM213">
        <f>IF($A213&lt;=$AB$45,1,0)</f>
        <v>0</v>
      </c>
      <c r="BB213">
        <f>IF($BB$31&lt;=$BB$32,IF($A213&lt;=$BB$7,1,2),IF($A213&lt;=RUNG_BEDS_2,2,1))</f>
        <v>1</v>
      </c>
      <c r="BC213" s="5">
        <f>MIN(1,MAX(0,$BB$26-($A213-1)))</f>
        <v>1</v>
      </c>
      <c r="BD213" s="5">
        <f>$BB$25*(BC213+(1-BC213)*$BB$16)</f>
        <v>252.05322714681438</v>
      </c>
      <c r="BE213" s="13">
        <f>BD213*($BB$6+ACUTE_MARGIN)</f>
        <v>370518.24390581716</v>
      </c>
      <c r="BF213" s="13">
        <f>IF(BB213=1,$BB$31,$BB$32)</f>
        <v>152394.16214437486</v>
      </c>
      <c r="BG213" s="13">
        <f>BE213-BF213</f>
        <v>218124.0817614423</v>
      </c>
      <c r="BH213" s="13">
        <f>BH212+BG213</f>
        <v>28356130.62898748</v>
      </c>
      <c r="BI213">
        <f>IF(BH213=MAX($BH$83:$BH$483),$A213,0)</f>
        <v>0</v>
      </c>
      <c r="BJ213">
        <f>IF(BE213&lt;BF213,$A213,B_MAX+1)</f>
        <v>401.0</v>
      </c>
      <c r="BK213" s="13">
        <f>IF(BB213=1,$BB$35,$BB$36)</f>
        <v>0</v>
      </c>
      <c r="BL213" s="13">
        <f>OCC_DAYS*$BB$41*R_NF_2023-BD213*MCD_SHARE_FREED*R_WAIT_2023</f>
        <v>37367.159242427646</v>
      </c>
      <c r="BM213">
        <f>IF($A213&lt;=$BB$45,1,0)</f>
        <v>1</v>
      </c>
      <c r="CB213">
        <f>IF($CB$31&lt;=$CB$32,IF($A213&lt;=$CB$7,1,2),IF($A213&lt;=RUNG_BEDS_2,2,1))</f>
        <v>2</v>
      </c>
      <c r="CC213" s="5">
        <f>MIN(1,MAX(0,$CB$26-($A213-1)))</f>
        <v>1</v>
      </c>
      <c r="CD213" s="5">
        <f>$CB$25*(CC213+(1-CC213)*$CB$16)</f>
        <v>252.05322714681438</v>
      </c>
      <c r="CE213" s="13">
        <f>CD213*($CB$6+ACUTE_MARGIN)</f>
        <v>254573.7594182825</v>
      </c>
      <c r="CF213" s="13">
        <f>IF(CB213=1,$CB$31,$CB$32)</f>
        <v>160718.36940738867</v>
      </c>
      <c r="CG213" s="13">
        <f>CE213-CF213</f>
        <v>93855.39001089384</v>
      </c>
      <c r="CH213" s="13">
        <f>CH212+CG213</f>
        <v>12201200.701416198</v>
      </c>
      <c r="CI213">
        <f>IF(CH213=MAX($CH$83:$CH$483),$A213,0)</f>
        <v>0</v>
      </c>
      <c r="CJ213">
        <f>IF(CE213&lt;CF213,$A213,B_MAX+1)</f>
        <v>401.0</v>
      </c>
      <c r="CK213" s="13">
        <f>IF(CB213=1,$CB$35,$CB$36)</f>
        <v>1560.1194073886782</v>
      </c>
      <c r="CL213" s="13">
        <f>OCC_DAYS*$CB$41*R_NF_2023-CD213*MCD_SHARE_FREED*R_WAIT_2023</f>
        <v>37367.159242427646</v>
      </c>
      <c r="CM213">
        <f>IF($A213&lt;=$CB$45,1,0)</f>
        <v>1</v>
      </c>
      <c r="DB213">
        <f>IF($DB$31&lt;=$DB$32,IF($A213&lt;=$DB$7,1,2),IF($A213&lt;=RUNG_BEDS_2,2,1))</f>
        <v>1</v>
      </c>
      <c r="DC213" s="5">
        <f>MIN(1,MAX(0,$DB$26-($A213-1)))</f>
        <v>1</v>
      </c>
      <c r="DD213" s="5">
        <f>$DB$25*(DC213+(1-DC213)*$DB$16)</f>
        <v>252.05322714681438</v>
      </c>
      <c r="DE213" s="13">
        <f>DD213*($DB$6+ACUTE_MARGIN)</f>
        <v>254573.7594182825</v>
      </c>
      <c r="DF213" s="13">
        <f>IF(DB213=1,$DB$31,$DB$32)</f>
        <v>152394.16214437486</v>
      </c>
      <c r="DG213" s="13">
        <f>DE213-DF213</f>
        <v>102179.59727390765</v>
      </c>
      <c r="DH213" s="13">
        <f>DH212+DG213</f>
        <v>13283347.645608036</v>
      </c>
      <c r="DI213">
        <f>IF(DH213=MAX($DH$83:$DH$483),$A213,0)</f>
        <v>0</v>
      </c>
      <c r="DJ213">
        <f>IF(DE213&lt;DF213,$A213,B_MAX+1)</f>
        <v>401.0</v>
      </c>
      <c r="DK213" s="13">
        <f>IF(DB213=1,$DB$35,$DB$36)</f>
        <v>0</v>
      </c>
      <c r="DL213" s="13">
        <f>OCC_DAYS*$DB$41*R_NF_2023-DD213*MCD_SHARE_FREED*R_WAIT_2023</f>
        <v>37367.159242427646</v>
      </c>
      <c r="DM213">
        <f>IF($A213&lt;=$DB$45,1,0)</f>
        <v>1</v>
      </c>
      <c r="EB213">
        <f>IF($EB$31&lt;=$EB$32,IF($A213&lt;=$EB$7,1,2),IF($A213&lt;=RUNG_BEDS_2,2,1))</f>
        <v>1</v>
      </c>
      <c r="EC213" s="5">
        <f>MIN(1,MAX(0,$EB$26-($A213-1)))</f>
        <v>1</v>
      </c>
      <c r="ED213" s="5">
        <f>$EB$25*(EC213+(1-EC213)*$EB$16)</f>
        <v>252.05322714681438</v>
      </c>
      <c r="EE213" s="13">
        <f>ED213*($EB$6+ACUTE_MARGIN)</f>
        <v>254573.7594182825</v>
      </c>
      <c r="EF213" s="13">
        <f>IF(EB213=1,$EB$31,$EB$32)</f>
        <v>152394.16214437486</v>
      </c>
      <c r="EG213" s="13">
        <f>EE213-EF213</f>
        <v>102179.59727390765</v>
      </c>
      <c r="EH213" s="13">
        <f>EH212+EG213</f>
        <v>13283347.645608036</v>
      </c>
      <c r="EI213">
        <f>IF(EH213=MAX($EH$83:$EH$483),$A213,0)</f>
        <v>0</v>
      </c>
      <c r="EJ213">
        <f>IF(EE213&lt;EF213,$A213,B_MAX+1)</f>
        <v>401.0</v>
      </c>
      <c r="EK213" s="13">
        <f>IF(EB213=1,$EB$35,$EB$36)</f>
        <v>0</v>
      </c>
      <c r="EL213" s="13">
        <f>OCC_DAYS*$EB$41*R_NF_2023-ED213*MCD_SHARE_FREED*R_WAIT_2023</f>
        <v>-63953.16263896705</v>
      </c>
      <c r="EM213">
        <f>IF($A213&lt;=$EB$45,1,0)</f>
        <v>1</v>
      </c>
      <c r="FB213">
        <f>IF($FB$31&lt;=$FB$32,IF($A213&lt;=$FB$7,1,2),IF($A213&lt;=RUNG_BEDS_2,2,1))</f>
        <v>1</v>
      </c>
      <c r="FC213" s="5">
        <f>MIN(1,MAX(0,$FB$26-($A213-1)))</f>
        <v>1</v>
      </c>
      <c r="FD213" s="5">
        <f>$FB$25*(FC213+(1-FC213)*$FB$16)</f>
        <v>252.05322714681438</v>
      </c>
      <c r="FE213" s="13">
        <f>FD213*($FB$6+ACUTE_MARGIN)</f>
        <v>254573.7594182825</v>
      </c>
      <c r="FF213" s="13">
        <f>IF(FB213=1,$FB$31,$FB$32)</f>
        <v>156636.04979437485</v>
      </c>
      <c r="FG213" s="13">
        <f>FE213-FF213</f>
        <v>97937.70962390766</v>
      </c>
      <c r="FH213" s="13">
        <f>FH212+FG213</f>
        <v>12731902.251107957</v>
      </c>
      <c r="FI213">
        <f>IF(FH213=MAX($FH$83:$FH$483),$A213,0)</f>
        <v>0</v>
      </c>
      <c r="FJ213">
        <f>IF(FE213&lt;FF213,$A213,B_MAX+1)</f>
        <v>401.0</v>
      </c>
      <c r="FK213" s="13">
        <f>IF(FB213=1,$FB$35,$FB$36)</f>
        <v>0</v>
      </c>
      <c r="FL213" s="13">
        <f>OCC_DAYS*$FB$41*R_NF_2023-FD213*MCD_SHARE_FREED*R_WAIT_2023</f>
        <v>37367.159242427646</v>
      </c>
      <c r="FM213">
        <f>IF($A213&lt;=$FB$45,1,0)</f>
        <v>1</v>
      </c>
      <c r="GB213">
        <f>IF($GB$31&lt;=$GB$32,IF($A213&lt;=$GB$7,1,2),IF($A213&lt;=RUNG_BEDS_2,2,1))</f>
        <v>1</v>
      </c>
      <c r="GC213" s="5">
        <f>MIN(1,MAX(0,$GB$26-($A213-1)))</f>
        <v>1</v>
      </c>
      <c r="GD213" s="5">
        <f>$GB$25*(GC213+(1-GC213)*$GB$16)</f>
        <v>252.05322714681438</v>
      </c>
      <c r="GE213" s="13">
        <f>GD213*($GB$6+ACUTE_MARGIN)</f>
        <v>254573.7594182825</v>
      </c>
      <c r="GF213" s="13">
        <f>IF(GB213=1,$GB$31,$GB$32)</f>
        <v>152394.16214437486</v>
      </c>
      <c r="GG213" s="13">
        <f>GE213-GF213</f>
        <v>102179.59727390765</v>
      </c>
      <c r="GH213" s="13">
        <f>GH212+GG213</f>
        <v>13283347.645608036</v>
      </c>
      <c r="GI213">
        <f>IF(GH213=MAX($GH$83:$GH$483),$A213,0)</f>
        <v>0</v>
      </c>
      <c r="GJ213">
        <f>IF(GE213&lt;GF213,$A213,B_MAX+1)</f>
        <v>401.0</v>
      </c>
      <c r="GK213" s="13">
        <f>IF(GB213=1,$GB$35,$GB$36)</f>
        <v>0</v>
      </c>
      <c r="GL213" s="13">
        <f>OCC_DAYS*$GB$41*R_NF_2023-GD213*MCD_SHARE_FREED*R_WAIT_2023</f>
        <v>37367.159242427646</v>
      </c>
      <c r="GM213">
        <f>IF($A213&lt;=$GB$45,1,0)</f>
        <v>1</v>
      </c>
      <c r="HB213">
        <f>IF($HB$31&lt;=$HB$32,IF($A213&lt;=$HB$7,1,2),IF($A213&lt;=RUNG_BEDS_2,2,1))</f>
        <v>1</v>
      </c>
      <c r="HC213" s="5">
        <f>MIN(1,MAX(0,$HB$26-($A213-1)))</f>
        <v>1</v>
      </c>
      <c r="HD213" s="5">
        <f>$HB$25*(HC213+(1-HC213)*$HB$16)</f>
        <v>252.05322714681438</v>
      </c>
      <c r="HE213" s="13">
        <f>HD213*($HB$6+ACUTE_MARGIN)</f>
        <v>254573.7594182825</v>
      </c>
      <c r="HF213" s="13">
        <f>IF(HB213=1,$HB$31,$HB$32)</f>
        <v>152456.2970814058</v>
      </c>
      <c r="HG213" s="13">
        <f>HE213-HF213</f>
        <v>102117.46233687672</v>
      </c>
      <c r="HH213" s="13">
        <f>HH212+HG213</f>
        <v>13275270.103793995</v>
      </c>
      <c r="HI213">
        <f>IF(HH213=MAX($HH$83:$HH$483),$A213,0)</f>
        <v>0</v>
      </c>
      <c r="HJ213">
        <f>IF(HE213&lt;HF213,$A213,B_MAX+1)</f>
        <v>401.0</v>
      </c>
      <c r="HK213" s="13">
        <f>IF(HB213=1,$HB$35,$HB$36)</f>
        <v>0</v>
      </c>
      <c r="HL213" s="13">
        <f>OCC_DAYS*$HB$41*R_NF_2023-HD213*MCD_SHARE_FREED*R_WAIT_2023</f>
        <v>37367.159242427646</v>
      </c>
      <c r="HM213">
        <f>IF($A213&lt;=$HB$45,1,0)</f>
        <v>1</v>
      </c>
      <c r="IB213">
        <f>IF($IB$31&lt;=$IB$32,IF($A213&lt;=$IB$7,1,2),IF($A213&lt;=RUNG_BEDS_2,2,1))</f>
        <v>1</v>
      </c>
      <c r="IC213" s="5">
        <f>MIN(1,MAX(0,$IB$26-($A213-1)))</f>
        <v>1</v>
      </c>
      <c r="ID213" s="5">
        <f>$IB$25*(IC213+(1-IC213)*$IB$16)</f>
        <v>252.05322714681438</v>
      </c>
      <c r="IE213" s="13">
        <f>ID213*($IB$6+ACUTE_MARGIN)</f>
        <v>254573.7594182825</v>
      </c>
      <c r="IF213" s="13">
        <f>IF(IB213=1,$IB$31,$IB$32)</f>
        <v>152734.9994534971</v>
      </c>
      <c r="IG213" s="13">
        <f>IE213-IF213</f>
        <v>101838.75996478542</v>
      </c>
      <c r="IH213" s="13">
        <f>IH212+IG213</f>
        <v>13239038.795422073</v>
      </c>
      <c r="II213">
        <f>IF(IH213=MAX($IH$83:$IH$483),$A213,0)</f>
        <v>0</v>
      </c>
      <c r="IJ213">
        <f>IF(IE213&lt;IF213,$A213,B_MAX+1)</f>
        <v>401.0</v>
      </c>
      <c r="IK213" s="13">
        <f>IF(IB213=1,$IB$35,$IB$36)</f>
        <v>0</v>
      </c>
      <c r="IL213" s="13">
        <f>OCC_DAYS*$IB$41*R_NF_2023-ID213*MCD_SHARE_FREED*R_WAIT_2023</f>
        <v>37367.159242427646</v>
      </c>
      <c r="IM213">
        <f>IF($A213&lt;=$IB$45,1,0)</f>
        <v>1</v>
      </c>
      <c r="JB213">
        <f>IF($JB$31&lt;=$JB$32,IF($A213&lt;=$JB$7,1,2),IF($A213&lt;=RUNG_BEDS_2,2,1))</f>
        <v>1</v>
      </c>
      <c r="JC213" s="5">
        <f>MIN(1,MAX(0,$JB$26-($A213-1)))</f>
        <v>1</v>
      </c>
      <c r="JD213" s="5">
        <f>$JB$25*(JC213+(1-JC213)*$JB$16)</f>
        <v>252.05322714681438</v>
      </c>
      <c r="JE213" s="13">
        <f>JD213*($JB$6+ACUTE_MARGIN)</f>
        <v>254573.7594182825</v>
      </c>
      <c r="JF213" s="13">
        <f>IF(JB213=1,$JB$31,$JB$32)</f>
        <v>152394.16214437486</v>
      </c>
      <c r="JG213" s="13">
        <f>JE213-JF213</f>
        <v>102179.59727390765</v>
      </c>
      <c r="JH213" s="13">
        <f>JH212+JG213</f>
        <v>13283347.645608036</v>
      </c>
      <c r="JI213">
        <f>IF(JH213=MAX($JH$83:$JH$483),$A213,0)</f>
        <v>0</v>
      </c>
      <c r="JJ213">
        <f>IF(JE213&lt;JF213,$A213,B_MAX+1)</f>
        <v>401.0</v>
      </c>
      <c r="JK213" s="13">
        <f>IF(JB213=1,$JB$35,$JB$36)</f>
        <v>0</v>
      </c>
      <c r="JL213" s="13">
        <f>OCC_DAYS*$JB$41*R_NF_2023-JD213*MCD_SHARE_FREED*R_WAIT_2023</f>
        <v>37367.159242427646</v>
      </c>
      <c r="JM213">
        <f>IF($A213&lt;=$JB$45,1,0)</f>
        <v>1</v>
      </c>
      <c r="KB213">
        <f>IF($KB$31&lt;=$KB$32,IF($A213&lt;=$KB$7,1,2),IF($A213&lt;=RUNG_BEDS_2,2,1))</f>
        <v>1</v>
      </c>
      <c r="KC213" s="5">
        <f>MIN(1,MAX(0,$KB$26-($A213-1)))</f>
        <v>1</v>
      </c>
      <c r="KD213" s="5">
        <f>$KB$25*(KC213+(1-KC213)*$KB$16)</f>
        <v>126.02661357340719</v>
      </c>
      <c r="KE213" s="13">
        <f>KD213*($KB$6+ACUTE_MARGIN)</f>
        <v>127286.87970914126</v>
      </c>
      <c r="KF213" s="13">
        <f>IF(KB213=1,$KB$31,$KB$32)</f>
        <v>152394.16214437486</v>
      </c>
      <c r="KG213" s="13">
        <f>KE213-KF213</f>
        <v>-25107.282435233603</v>
      </c>
      <c r="KH213" s="13">
        <f>KH212+KG213</f>
        <v>-3263946.716580377</v>
      </c>
      <c r="KI213">
        <f>IF(KH213=MAX($KH$83:$KH$483),$A213,0)</f>
        <v>0</v>
      </c>
      <c r="KJ213">
        <f>IF(KE213&lt;KF213,$A213,B_MAX+1)</f>
        <v>130</v>
      </c>
      <c r="KK213" s="13">
        <f>IF(KB213=1,$KB$35,$KB$36)</f>
        <v>0</v>
      </c>
      <c r="KL213" s="13">
        <f>OCC_DAYS*$KB$41*R_NF_2023-KD213*MCD_SHARE_FREED*R_WAIT_2023</f>
        <v>94673.82103225985</v>
      </c>
      <c r="KM213">
        <f>IF($A213&lt;=$KB$45,1,0)</f>
        <v>0</v>
      </c>
      <c r="LB213">
        <f>IF($LB$31&lt;=$LB$32,IF($A213&lt;=$LB$7,1,2),IF($A213&lt;=RUNG_BEDS_2,2,1))</f>
        <v>1</v>
      </c>
      <c r="LC213" s="5">
        <f>MIN(1,MAX(0,$LB$26-($A213-1)))</f>
        <v>1</v>
      </c>
      <c r="LD213" s="5">
        <f>$LB$25*(LC213+(1-LC213)*$LB$16)</f>
        <v>84.01774238227146</v>
      </c>
      <c r="LE213" s="13">
        <f>LD213*($LB$6+ACUTE_MARGIN)</f>
        <v>84857.91980609419</v>
      </c>
      <c r="LF213" s="13">
        <f>IF(LB213=1,$LB$31,$LB$32)</f>
        <v>152394.16214437486</v>
      </c>
      <c r="LG213" s="13">
        <f>LE213-LF213</f>
        <v>-67536.24233828067</v>
      </c>
      <c r="LH213" s="13">
        <f>LH212+LG213</f>
        <v>-8779711.503976516</v>
      </c>
      <c r="LI213">
        <f>IF(LH213=MAX($LH$83:$LH$483),$A213,0)</f>
        <v>0</v>
      </c>
      <c r="LJ213">
        <f>IF(LE213&lt;LF213,$A213,B_MAX+1)</f>
        <v>130</v>
      </c>
      <c r="LK213" s="13">
        <f>IF(LB213=1,$LB$35,$LB$36)</f>
        <v>0</v>
      </c>
      <c r="LL213" s="13">
        <f>OCC_DAYS*$LB$41*R_NF_2023-LD213*MCD_SHARE_FREED*R_WAIT_2023</f>
        <v>113776.04162887059</v>
      </c>
      <c r="LM213">
        <f>IF($A213&lt;=$LB$45,1,0)</f>
        <v>0</v>
      </c>
      <c r="MB213">
        <f>IF($MB$31&lt;=$MB$32,IF($A213&lt;=$MB$7,1,2),IF($A213&lt;=RUNG_BEDS_2,2,1))</f>
        <v>1</v>
      </c>
      <c r="MC213" s="5">
        <f>MIN(1,MAX(0,$MB$26-($A213-1)))</f>
        <v>1</v>
      </c>
      <c r="MD213" s="5">
        <f>$MB$25*(MC213+(1-MC213)*$MB$16)</f>
        <v>213.44610951008647</v>
      </c>
      <c r="ME213" s="13">
        <f>MD213*($MB$6+ACUTE_MARGIN)</f>
        <v>215580.57060518733</v>
      </c>
      <c r="MF213" s="13">
        <f>IF(MB213=1,$MB$31,$MB$32)</f>
        <v>152394.16214437486</v>
      </c>
      <c r="MG213" s="13">
        <f>ME213-MF213</f>
        <v>63186.40846081247</v>
      </c>
      <c r="MH213" s="13">
        <f>MH212+MG213</f>
        <v>8214233.099905636</v>
      </c>
      <c r="MI213">
        <f>IF(MH213=MAX($MH$83:$MH$483),$A213,0)</f>
        <v>0</v>
      </c>
      <c r="MJ213">
        <f>IF(ME213&lt;MF213,$A213,B_MAX+1)</f>
        <v>401.0</v>
      </c>
      <c r="MK213" s="13">
        <f>IF(MB213=1,$MB$35,$MB$36)</f>
        <v>0</v>
      </c>
      <c r="ML213" s="13">
        <f>OCC_DAYS*$MB$41*R_NF_2023-MD213*MCD_SHARE_FREED*R_WAIT_2023</f>
        <v>54922.538779778624</v>
      </c>
      <c r="MM213">
        <f>IF($A213&lt;=$MB$45,1,0)</f>
        <v>1</v>
      </c>
      <c r="NB213">
        <f>IF($NB$31&lt;=$NB$32,IF($A213&lt;=$NB$7,1,2),IF($A213&lt;=RUNG_BEDS_2,2,1))</f>
        <v>1</v>
      </c>
      <c r="NC213" s="5">
        <f>MIN(1,MAX(0,$NB$26-($A213-1)))</f>
        <v>1</v>
      </c>
      <c r="ND213" s="5">
        <f>$NB$25*(NC213+(1-NC213)*$NB$16)</f>
        <v>252.05322714681438</v>
      </c>
      <c r="NE213" s="13">
        <f>ND213*($NB$6+ACUTE_MARGIN)</f>
        <v>254573.7594182825</v>
      </c>
      <c r="NF213" s="13">
        <f>IF(NB213=1,$NB$31,$NB$32)</f>
        <v>152394.16214437486</v>
      </c>
      <c r="NG213" s="13">
        <f>NE213-NF213</f>
        <v>102179.59727390765</v>
      </c>
      <c r="NH213" s="13">
        <f>NH212+NG213</f>
        <v>13283347.645608036</v>
      </c>
      <c r="NI213">
        <f>IF(NH213=MAX($NH$83:$NH$483),$A213,0)</f>
        <v>0</v>
      </c>
      <c r="NJ213">
        <f>IF(NE213&lt;NF213,$A213,B_MAX+1)</f>
        <v>401.0</v>
      </c>
      <c r="NK213" s="13">
        <f>IF(NB213=1,$NB$35,$NB$36)</f>
        <v>0</v>
      </c>
      <c r="NL213" s="13">
        <f>OCC_DAYS*$NB$41*R_NF_2023-ND213*MCD_SHARE_FREED*R_WAIT_2023</f>
        <v>37367.159242427646</v>
      </c>
      <c r="NM213">
        <f>IF($A213&lt;=$NB$45,1,0)</f>
        <v>1</v>
      </c>
      <c r="OB213">
        <f>IF($OB$31&lt;=$OB$32,IF($A213&lt;=$OB$7,1,2),IF($A213&lt;=RUNG_BEDS_2,2,1))</f>
        <v>1</v>
      </c>
      <c r="OC213" s="5">
        <f>MIN(1,MAX(0,$OB$26-($A213-1)))</f>
        <v>1</v>
      </c>
      <c r="OD213" s="5">
        <f>$OB$25*(OC213+(1-OC213)*$OB$16)</f>
        <v>252.05322714681438</v>
      </c>
      <c r="OE213" s="13">
        <f>OD213*($OB$6+ACUTE_MARGIN)</f>
        <v>254573.7594182825</v>
      </c>
      <c r="OF213" s="13">
        <f>IF(OB213=1,$OB$31,$OB$32)</f>
        <v>152394.16214437486</v>
      </c>
      <c r="OG213" s="13">
        <f>OE213-OF213</f>
        <v>102179.59727390765</v>
      </c>
      <c r="OH213" s="13">
        <f>OH212+OG213</f>
        <v>13283347.645608036</v>
      </c>
      <c r="OI213">
        <f>IF(OH213=MAX($OH$83:$OH$483),$A213,0)</f>
        <v>0</v>
      </c>
      <c r="OJ213">
        <f>IF(OE213&lt;OF213,$A213,B_MAX+1)</f>
        <v>401.0</v>
      </c>
      <c r="OK213" s="13">
        <f>IF(OB213=1,$OB$35,$OB$36)</f>
        <v>0</v>
      </c>
      <c r="OL213" s="13">
        <f>OCC_DAYS*$OB$41*R_NF_2023-OD213*MCD_SHARE_FREED*R_WAIT_2023</f>
        <v>37367.159242427646</v>
      </c>
      <c r="OM213">
        <f>IF($A213&lt;=$OB$45,1,0)</f>
        <v>1</v>
      </c>
    </row>
    <row r="214">
      <c r="A214" t="n">
        <v>131</v>
      </c>
      <c r="B214">
        <f>IF($B$31&lt;=$B$32,IF($A214&lt;=$B$7,1,2),IF($A214&lt;=RUNG_BEDS_2,2,1))</f>
        <v>1</v>
      </c>
      <c r="C214" s="5">
        <f>MIN(1,MAX(0,$B$26-($A214-1)))</f>
        <v>1</v>
      </c>
      <c r="D214" s="5">
        <f>$B$25*(C214+(1-C214)*$B$16)</f>
        <v>252.05322714681438</v>
      </c>
      <c r="E214" s="13">
        <f>D214*($B$6+ACUTE_MARGIN)</f>
        <v>254573.7594182825</v>
      </c>
      <c r="F214" s="13">
        <f>IF(B214=1,$B$31,$B$32)</f>
        <v>152394.16214437486</v>
      </c>
      <c r="G214" s="13">
        <f>E214-F214</f>
        <v>102179.59727390765</v>
      </c>
      <c r="H214" s="13">
        <f>H213+G214</f>
        <v>13385527.242881944</v>
      </c>
      <c r="I214">
        <f>IF(H214=MAX($H$83:$H$483),$A214,0)</f>
        <v>0</v>
      </c>
      <c r="J214">
        <f>IF(E214&lt;F214,$A214,B_MAX+1)</f>
        <v>401.0</v>
      </c>
      <c r="K214" s="13">
        <f>IF(B214=1,$B$35,$B$36)</f>
        <v>0</v>
      </c>
      <c r="L214" s="13">
        <f>OCC_DAYS*$B$41*R_NF_2023-D214*MCD_SHARE_FREED*R_WAIT_2023</f>
        <v>37367.159242427646</v>
      </c>
      <c r="M214">
        <f>IF($A214&lt;=$B$45,1,0)</f>
        <v>1</v>
      </c>
      <c r="AB214">
        <f>IF($AB$31&lt;=$AB$32,IF($A214&lt;=$AB$7,1,2),IF($A214&lt;=RUNG_BEDS_2,2,1))</f>
        <v>1</v>
      </c>
      <c r="AC214" s="5">
        <f>MIN(1,MAX(0,$AB$26-($A214-1)))</f>
        <v>1</v>
      </c>
      <c r="AD214" s="5">
        <f>$AB$25*(AC214+(1-AC214)*$AB$16)</f>
        <v>252.05322714681438</v>
      </c>
      <c r="AE214" s="13">
        <f>AD214*($AB$6+ACUTE_MARGIN)</f>
        <v>138629.2749307479</v>
      </c>
      <c r="AF214" s="13">
        <f>IF(AB214=1,$AB$31,$AB$32)</f>
        <v>152394.16214437486</v>
      </c>
      <c r="AG214" s="13">
        <f>AE214-AF214</f>
        <v>-13764.887213626964</v>
      </c>
      <c r="AH214" s="13">
        <f>AH213+AG214</f>
        <v>-1803200.2249851292</v>
      </c>
      <c r="AI214">
        <f>IF(AH214=MAX($AH$83:$AH$483),$A214,0)</f>
        <v>0</v>
      </c>
      <c r="AJ214">
        <f>IF(AE214&lt;AF214,$A214,B_MAX+1)</f>
        <v>131</v>
      </c>
      <c r="AK214" s="13">
        <f>IF(AB214=1,$AB$35,$AB$36)</f>
        <v>0</v>
      </c>
      <c r="AL214" s="13">
        <f>OCC_DAYS*$AB$41*R_NF_2023-AD214*MCD_SHARE_FREED*R_WAIT_2023</f>
        <v>37367.159242427646</v>
      </c>
      <c r="AM214">
        <f>IF($A214&lt;=$AB$45,1,0)</f>
        <v>0</v>
      </c>
      <c r="BB214">
        <f>IF($BB$31&lt;=$BB$32,IF($A214&lt;=$BB$7,1,2),IF($A214&lt;=RUNG_BEDS_2,2,1))</f>
        <v>1</v>
      </c>
      <c r="BC214" s="5">
        <f>MIN(1,MAX(0,$BB$26-($A214-1)))</f>
        <v>1</v>
      </c>
      <c r="BD214" s="5">
        <f>$BB$25*(BC214+(1-BC214)*$BB$16)</f>
        <v>252.05322714681438</v>
      </c>
      <c r="BE214" s="13">
        <f>BD214*($BB$6+ACUTE_MARGIN)</f>
        <v>370518.24390581716</v>
      </c>
      <c r="BF214" s="13">
        <f>IF(BB214=1,$BB$31,$BB$32)</f>
        <v>152394.16214437486</v>
      </c>
      <c r="BG214" s="13">
        <f>BE214-BF214</f>
        <v>218124.0817614423</v>
      </c>
      <c r="BH214" s="13">
        <f>BH213+BG214</f>
        <v>28574254.710748922</v>
      </c>
      <c r="BI214">
        <f>IF(BH214=MAX($BH$83:$BH$483),$A214,0)</f>
        <v>0</v>
      </c>
      <c r="BJ214">
        <f>IF(BE214&lt;BF214,$A214,B_MAX+1)</f>
        <v>401.0</v>
      </c>
      <c r="BK214" s="13">
        <f>IF(BB214=1,$BB$35,$BB$36)</f>
        <v>0</v>
      </c>
      <c r="BL214" s="13">
        <f>OCC_DAYS*$BB$41*R_NF_2023-BD214*MCD_SHARE_FREED*R_WAIT_2023</f>
        <v>37367.159242427646</v>
      </c>
      <c r="BM214">
        <f>IF($A214&lt;=$BB$45,1,0)</f>
        <v>1</v>
      </c>
      <c r="CB214">
        <f>IF($CB$31&lt;=$CB$32,IF($A214&lt;=$CB$7,1,2),IF($A214&lt;=RUNG_BEDS_2,2,1))</f>
        <v>2</v>
      </c>
      <c r="CC214" s="5">
        <f>MIN(1,MAX(0,$CB$26-($A214-1)))</f>
        <v>1</v>
      </c>
      <c r="CD214" s="5">
        <f>$CB$25*(CC214+(1-CC214)*$CB$16)</f>
        <v>252.05322714681438</v>
      </c>
      <c r="CE214" s="13">
        <f>CD214*($CB$6+ACUTE_MARGIN)</f>
        <v>254573.7594182825</v>
      </c>
      <c r="CF214" s="13">
        <f>IF(CB214=1,$CB$31,$CB$32)</f>
        <v>160718.36940738867</v>
      </c>
      <c r="CG214" s="13">
        <f>CE214-CF214</f>
        <v>93855.39001089384</v>
      </c>
      <c r="CH214" s="13">
        <f>CH213+CG214</f>
        <v>12295056.091427092</v>
      </c>
      <c r="CI214">
        <f>IF(CH214=MAX($CH$83:$CH$483),$A214,0)</f>
        <v>0</v>
      </c>
      <c r="CJ214">
        <f>IF(CE214&lt;CF214,$A214,B_MAX+1)</f>
        <v>401.0</v>
      </c>
      <c r="CK214" s="13">
        <f>IF(CB214=1,$CB$35,$CB$36)</f>
        <v>1560.1194073886782</v>
      </c>
      <c r="CL214" s="13">
        <f>OCC_DAYS*$CB$41*R_NF_2023-CD214*MCD_SHARE_FREED*R_WAIT_2023</f>
        <v>37367.159242427646</v>
      </c>
      <c r="CM214">
        <f>IF($A214&lt;=$CB$45,1,0)</f>
        <v>1</v>
      </c>
      <c r="DB214">
        <f>IF($DB$31&lt;=$DB$32,IF($A214&lt;=$DB$7,1,2),IF($A214&lt;=RUNG_BEDS_2,2,1))</f>
        <v>1</v>
      </c>
      <c r="DC214" s="5">
        <f>MIN(1,MAX(0,$DB$26-($A214-1)))</f>
        <v>1</v>
      </c>
      <c r="DD214" s="5">
        <f>$DB$25*(DC214+(1-DC214)*$DB$16)</f>
        <v>252.05322714681438</v>
      </c>
      <c r="DE214" s="13">
        <f>DD214*($DB$6+ACUTE_MARGIN)</f>
        <v>254573.7594182825</v>
      </c>
      <c r="DF214" s="13">
        <f>IF(DB214=1,$DB$31,$DB$32)</f>
        <v>152394.16214437486</v>
      </c>
      <c r="DG214" s="13">
        <f>DE214-DF214</f>
        <v>102179.59727390765</v>
      </c>
      <c r="DH214" s="13">
        <f>DH213+DG214</f>
        <v>13385527.242881944</v>
      </c>
      <c r="DI214">
        <f>IF(DH214=MAX($DH$83:$DH$483),$A214,0)</f>
        <v>0</v>
      </c>
      <c r="DJ214">
        <f>IF(DE214&lt;DF214,$A214,B_MAX+1)</f>
        <v>401.0</v>
      </c>
      <c r="DK214" s="13">
        <f>IF(DB214=1,$DB$35,$DB$36)</f>
        <v>0</v>
      </c>
      <c r="DL214" s="13">
        <f>OCC_DAYS*$DB$41*R_NF_2023-DD214*MCD_SHARE_FREED*R_WAIT_2023</f>
        <v>37367.159242427646</v>
      </c>
      <c r="DM214">
        <f>IF($A214&lt;=$DB$45,1,0)</f>
        <v>1</v>
      </c>
      <c r="EB214">
        <f>IF($EB$31&lt;=$EB$32,IF($A214&lt;=$EB$7,1,2),IF($A214&lt;=RUNG_BEDS_2,2,1))</f>
        <v>1</v>
      </c>
      <c r="EC214" s="5">
        <f>MIN(1,MAX(0,$EB$26-($A214-1)))</f>
        <v>1</v>
      </c>
      <c r="ED214" s="5">
        <f>$EB$25*(EC214+(1-EC214)*$EB$16)</f>
        <v>252.05322714681438</v>
      </c>
      <c r="EE214" s="13">
        <f>ED214*($EB$6+ACUTE_MARGIN)</f>
        <v>254573.7594182825</v>
      </c>
      <c r="EF214" s="13">
        <f>IF(EB214=1,$EB$31,$EB$32)</f>
        <v>152394.16214437486</v>
      </c>
      <c r="EG214" s="13">
        <f>EE214-EF214</f>
        <v>102179.59727390765</v>
      </c>
      <c r="EH214" s="13">
        <f>EH213+EG214</f>
        <v>13385527.242881944</v>
      </c>
      <c r="EI214">
        <f>IF(EH214=MAX($EH$83:$EH$483),$A214,0)</f>
        <v>0</v>
      </c>
      <c r="EJ214">
        <f>IF(EE214&lt;EF214,$A214,B_MAX+1)</f>
        <v>401.0</v>
      </c>
      <c r="EK214" s="13">
        <f>IF(EB214=1,$EB$35,$EB$36)</f>
        <v>0</v>
      </c>
      <c r="EL214" s="13">
        <f>OCC_DAYS*$EB$41*R_NF_2023-ED214*MCD_SHARE_FREED*R_WAIT_2023</f>
        <v>-63953.16263896705</v>
      </c>
      <c r="EM214">
        <f>IF($A214&lt;=$EB$45,1,0)</f>
        <v>1</v>
      </c>
      <c r="FB214">
        <f>IF($FB$31&lt;=$FB$32,IF($A214&lt;=$FB$7,1,2),IF($A214&lt;=RUNG_BEDS_2,2,1))</f>
        <v>1</v>
      </c>
      <c r="FC214" s="5">
        <f>MIN(1,MAX(0,$FB$26-($A214-1)))</f>
        <v>1</v>
      </c>
      <c r="FD214" s="5">
        <f>$FB$25*(FC214+(1-FC214)*$FB$16)</f>
        <v>252.05322714681438</v>
      </c>
      <c r="FE214" s="13">
        <f>FD214*($FB$6+ACUTE_MARGIN)</f>
        <v>254573.7594182825</v>
      </c>
      <c r="FF214" s="13">
        <f>IF(FB214=1,$FB$31,$FB$32)</f>
        <v>156636.04979437485</v>
      </c>
      <c r="FG214" s="13">
        <f>FE214-FF214</f>
        <v>97937.70962390766</v>
      </c>
      <c r="FH214" s="13">
        <f>FH213+FG214</f>
        <v>12829839.960731864</v>
      </c>
      <c r="FI214">
        <f>IF(FH214=MAX($FH$83:$FH$483),$A214,0)</f>
        <v>0</v>
      </c>
      <c r="FJ214">
        <f>IF(FE214&lt;FF214,$A214,B_MAX+1)</f>
        <v>401.0</v>
      </c>
      <c r="FK214" s="13">
        <f>IF(FB214=1,$FB$35,$FB$36)</f>
        <v>0</v>
      </c>
      <c r="FL214" s="13">
        <f>OCC_DAYS*$FB$41*R_NF_2023-FD214*MCD_SHARE_FREED*R_WAIT_2023</f>
        <v>37367.159242427646</v>
      </c>
      <c r="FM214">
        <f>IF($A214&lt;=$FB$45,1,0)</f>
        <v>1</v>
      </c>
      <c r="GB214">
        <f>IF($GB$31&lt;=$GB$32,IF($A214&lt;=$GB$7,1,2),IF($A214&lt;=RUNG_BEDS_2,2,1))</f>
        <v>1</v>
      </c>
      <c r="GC214" s="5">
        <f>MIN(1,MAX(0,$GB$26-($A214-1)))</f>
        <v>1</v>
      </c>
      <c r="GD214" s="5">
        <f>$GB$25*(GC214+(1-GC214)*$GB$16)</f>
        <v>252.05322714681438</v>
      </c>
      <c r="GE214" s="13">
        <f>GD214*($GB$6+ACUTE_MARGIN)</f>
        <v>254573.7594182825</v>
      </c>
      <c r="GF214" s="13">
        <f>IF(GB214=1,$GB$31,$GB$32)</f>
        <v>152394.16214437486</v>
      </c>
      <c r="GG214" s="13">
        <f>GE214-GF214</f>
        <v>102179.59727390765</v>
      </c>
      <c r="GH214" s="13">
        <f>GH213+GG214</f>
        <v>13385527.242881944</v>
      </c>
      <c r="GI214">
        <f>IF(GH214=MAX($GH$83:$GH$483),$A214,0)</f>
        <v>0</v>
      </c>
      <c r="GJ214">
        <f>IF(GE214&lt;GF214,$A214,B_MAX+1)</f>
        <v>401.0</v>
      </c>
      <c r="GK214" s="13">
        <f>IF(GB214=1,$GB$35,$GB$36)</f>
        <v>0</v>
      </c>
      <c r="GL214" s="13">
        <f>OCC_DAYS*$GB$41*R_NF_2023-GD214*MCD_SHARE_FREED*R_WAIT_2023</f>
        <v>37367.159242427646</v>
      </c>
      <c r="GM214">
        <f>IF($A214&lt;=$GB$45,1,0)</f>
        <v>1</v>
      </c>
      <c r="HB214">
        <f>IF($HB$31&lt;=$HB$32,IF($A214&lt;=$HB$7,1,2),IF($A214&lt;=RUNG_BEDS_2,2,1))</f>
        <v>1</v>
      </c>
      <c r="HC214" s="5">
        <f>MIN(1,MAX(0,$HB$26-($A214-1)))</f>
        <v>1</v>
      </c>
      <c r="HD214" s="5">
        <f>$HB$25*(HC214+(1-HC214)*$HB$16)</f>
        <v>252.05322714681438</v>
      </c>
      <c r="HE214" s="13">
        <f>HD214*($HB$6+ACUTE_MARGIN)</f>
        <v>254573.7594182825</v>
      </c>
      <c r="HF214" s="13">
        <f>IF(HB214=1,$HB$31,$HB$32)</f>
        <v>152456.2970814058</v>
      </c>
      <c r="HG214" s="13">
        <f>HE214-HF214</f>
        <v>102117.46233687672</v>
      </c>
      <c r="HH214" s="13">
        <f>HH213+HG214</f>
        <v>13377387.566130873</v>
      </c>
      <c r="HI214">
        <f>IF(HH214=MAX($HH$83:$HH$483),$A214,0)</f>
        <v>0</v>
      </c>
      <c r="HJ214">
        <f>IF(HE214&lt;HF214,$A214,B_MAX+1)</f>
        <v>401.0</v>
      </c>
      <c r="HK214" s="13">
        <f>IF(HB214=1,$HB$35,$HB$36)</f>
        <v>0</v>
      </c>
      <c r="HL214" s="13">
        <f>OCC_DAYS*$HB$41*R_NF_2023-HD214*MCD_SHARE_FREED*R_WAIT_2023</f>
        <v>37367.159242427646</v>
      </c>
      <c r="HM214">
        <f>IF($A214&lt;=$HB$45,1,0)</f>
        <v>1</v>
      </c>
      <c r="IB214">
        <f>IF($IB$31&lt;=$IB$32,IF($A214&lt;=$IB$7,1,2),IF($A214&lt;=RUNG_BEDS_2,2,1))</f>
        <v>1</v>
      </c>
      <c r="IC214" s="5">
        <f>MIN(1,MAX(0,$IB$26-($A214-1)))</f>
        <v>1</v>
      </c>
      <c r="ID214" s="5">
        <f>$IB$25*(IC214+(1-IC214)*$IB$16)</f>
        <v>252.05322714681438</v>
      </c>
      <c r="IE214" s="13">
        <f>ID214*($IB$6+ACUTE_MARGIN)</f>
        <v>254573.7594182825</v>
      </c>
      <c r="IF214" s="13">
        <f>IF(IB214=1,$IB$31,$IB$32)</f>
        <v>152734.9994534971</v>
      </c>
      <c r="IG214" s="13">
        <f>IE214-IF214</f>
        <v>101838.75996478542</v>
      </c>
      <c r="IH214" s="13">
        <f>IH213+IG214</f>
        <v>13340877.555386858</v>
      </c>
      <c r="II214">
        <f>IF(IH214=MAX($IH$83:$IH$483),$A214,0)</f>
        <v>0</v>
      </c>
      <c r="IJ214">
        <f>IF(IE214&lt;IF214,$A214,B_MAX+1)</f>
        <v>401.0</v>
      </c>
      <c r="IK214" s="13">
        <f>IF(IB214=1,$IB$35,$IB$36)</f>
        <v>0</v>
      </c>
      <c r="IL214" s="13">
        <f>OCC_DAYS*$IB$41*R_NF_2023-ID214*MCD_SHARE_FREED*R_WAIT_2023</f>
        <v>37367.159242427646</v>
      </c>
      <c r="IM214">
        <f>IF($A214&lt;=$IB$45,1,0)</f>
        <v>1</v>
      </c>
      <c r="JB214">
        <f>IF($JB$31&lt;=$JB$32,IF($A214&lt;=$JB$7,1,2),IF($A214&lt;=RUNG_BEDS_2,2,1))</f>
        <v>1</v>
      </c>
      <c r="JC214" s="5">
        <f>MIN(1,MAX(0,$JB$26-($A214-1)))</f>
        <v>1</v>
      </c>
      <c r="JD214" s="5">
        <f>$JB$25*(JC214+(1-JC214)*$JB$16)</f>
        <v>252.05322714681438</v>
      </c>
      <c r="JE214" s="13">
        <f>JD214*($JB$6+ACUTE_MARGIN)</f>
        <v>254573.7594182825</v>
      </c>
      <c r="JF214" s="13">
        <f>IF(JB214=1,$JB$31,$JB$32)</f>
        <v>152394.16214437486</v>
      </c>
      <c r="JG214" s="13">
        <f>JE214-JF214</f>
        <v>102179.59727390765</v>
      </c>
      <c r="JH214" s="13">
        <f>JH213+JG214</f>
        <v>13385527.242881944</v>
      </c>
      <c r="JI214">
        <f>IF(JH214=MAX($JH$83:$JH$483),$A214,0)</f>
        <v>0</v>
      </c>
      <c r="JJ214">
        <f>IF(JE214&lt;JF214,$A214,B_MAX+1)</f>
        <v>401.0</v>
      </c>
      <c r="JK214" s="13">
        <f>IF(JB214=1,$JB$35,$JB$36)</f>
        <v>0</v>
      </c>
      <c r="JL214" s="13">
        <f>OCC_DAYS*$JB$41*R_NF_2023-JD214*MCD_SHARE_FREED*R_WAIT_2023</f>
        <v>37367.159242427646</v>
      </c>
      <c r="JM214">
        <f>IF($A214&lt;=$JB$45,1,0)</f>
        <v>1</v>
      </c>
      <c r="KB214">
        <f>IF($KB$31&lt;=$KB$32,IF($A214&lt;=$KB$7,1,2),IF($A214&lt;=RUNG_BEDS_2,2,1))</f>
        <v>1</v>
      </c>
      <c r="KC214" s="5">
        <f>MIN(1,MAX(0,$KB$26-($A214-1)))</f>
        <v>1</v>
      </c>
      <c r="KD214" s="5">
        <f>$KB$25*(KC214+(1-KC214)*$KB$16)</f>
        <v>126.02661357340719</v>
      </c>
      <c r="KE214" s="13">
        <f>KD214*($KB$6+ACUTE_MARGIN)</f>
        <v>127286.87970914126</v>
      </c>
      <c r="KF214" s="13">
        <f>IF(KB214=1,$KB$31,$KB$32)</f>
        <v>152394.16214437486</v>
      </c>
      <c r="KG214" s="13">
        <f>KE214-KF214</f>
        <v>-25107.282435233603</v>
      </c>
      <c r="KH214" s="13">
        <f>KH213+KG214</f>
        <v>-3289053.9990156107</v>
      </c>
      <c r="KI214">
        <f>IF(KH214=MAX($KH$83:$KH$483),$A214,0)</f>
        <v>0</v>
      </c>
      <c r="KJ214">
        <f>IF(KE214&lt;KF214,$A214,B_MAX+1)</f>
        <v>131</v>
      </c>
      <c r="KK214" s="13">
        <f>IF(KB214=1,$KB$35,$KB$36)</f>
        <v>0</v>
      </c>
      <c r="KL214" s="13">
        <f>OCC_DAYS*$KB$41*R_NF_2023-KD214*MCD_SHARE_FREED*R_WAIT_2023</f>
        <v>94673.82103225985</v>
      </c>
      <c r="KM214">
        <f>IF($A214&lt;=$KB$45,1,0)</f>
        <v>0</v>
      </c>
      <c r="LB214">
        <f>IF($LB$31&lt;=$LB$32,IF($A214&lt;=$LB$7,1,2),IF($A214&lt;=RUNG_BEDS_2,2,1))</f>
        <v>1</v>
      </c>
      <c r="LC214" s="5">
        <f>MIN(1,MAX(0,$LB$26-($A214-1)))</f>
        <v>1</v>
      </c>
      <c r="LD214" s="5">
        <f>$LB$25*(LC214+(1-LC214)*$LB$16)</f>
        <v>84.01774238227146</v>
      </c>
      <c r="LE214" s="13">
        <f>LD214*($LB$6+ACUTE_MARGIN)</f>
        <v>84857.91980609419</v>
      </c>
      <c r="LF214" s="13">
        <f>IF(LB214=1,$LB$31,$LB$32)</f>
        <v>152394.16214437486</v>
      </c>
      <c r="LG214" s="13">
        <f>LE214-LF214</f>
        <v>-67536.24233828067</v>
      </c>
      <c r="LH214" s="13">
        <f>LH213+LG214</f>
        <v>-8847247.746314798</v>
      </c>
      <c r="LI214">
        <f>IF(LH214=MAX($LH$83:$LH$483),$A214,0)</f>
        <v>0</v>
      </c>
      <c r="LJ214">
        <f>IF(LE214&lt;LF214,$A214,B_MAX+1)</f>
        <v>131</v>
      </c>
      <c r="LK214" s="13">
        <f>IF(LB214=1,$LB$35,$LB$36)</f>
        <v>0</v>
      </c>
      <c r="LL214" s="13">
        <f>OCC_DAYS*$LB$41*R_NF_2023-LD214*MCD_SHARE_FREED*R_WAIT_2023</f>
        <v>113776.04162887059</v>
      </c>
      <c r="LM214">
        <f>IF($A214&lt;=$LB$45,1,0)</f>
        <v>0</v>
      </c>
      <c r="MB214">
        <f>IF($MB$31&lt;=$MB$32,IF($A214&lt;=$MB$7,1,2),IF($A214&lt;=RUNG_BEDS_2,2,1))</f>
        <v>1</v>
      </c>
      <c r="MC214" s="5">
        <f>MIN(1,MAX(0,$MB$26-($A214-1)))</f>
        <v>1</v>
      </c>
      <c r="MD214" s="5">
        <f>$MB$25*(MC214+(1-MC214)*$MB$16)</f>
        <v>213.44610951008647</v>
      </c>
      <c r="ME214" s="13">
        <f>MD214*($MB$6+ACUTE_MARGIN)</f>
        <v>215580.57060518733</v>
      </c>
      <c r="MF214" s="13">
        <f>IF(MB214=1,$MB$31,$MB$32)</f>
        <v>152394.16214437486</v>
      </c>
      <c r="MG214" s="13">
        <f>ME214-MF214</f>
        <v>63186.40846081247</v>
      </c>
      <c r="MH214" s="13">
        <f>MH213+MG214</f>
        <v>8277419.508366449</v>
      </c>
      <c r="MI214">
        <f>IF(MH214=MAX($MH$83:$MH$483),$A214,0)</f>
        <v>0</v>
      </c>
      <c r="MJ214">
        <f>IF(ME214&lt;MF214,$A214,B_MAX+1)</f>
        <v>401.0</v>
      </c>
      <c r="MK214" s="13">
        <f>IF(MB214=1,$MB$35,$MB$36)</f>
        <v>0</v>
      </c>
      <c r="ML214" s="13">
        <f>OCC_DAYS*$MB$41*R_NF_2023-MD214*MCD_SHARE_FREED*R_WAIT_2023</f>
        <v>54922.538779778624</v>
      </c>
      <c r="MM214">
        <f>IF($A214&lt;=$MB$45,1,0)</f>
        <v>1</v>
      </c>
      <c r="NB214">
        <f>IF($NB$31&lt;=$NB$32,IF($A214&lt;=$NB$7,1,2),IF($A214&lt;=RUNG_BEDS_2,2,1))</f>
        <v>1</v>
      </c>
      <c r="NC214" s="5">
        <f>MIN(1,MAX(0,$NB$26-($A214-1)))</f>
        <v>1</v>
      </c>
      <c r="ND214" s="5">
        <f>$NB$25*(NC214+(1-NC214)*$NB$16)</f>
        <v>252.05322714681438</v>
      </c>
      <c r="NE214" s="13">
        <f>ND214*($NB$6+ACUTE_MARGIN)</f>
        <v>254573.7594182825</v>
      </c>
      <c r="NF214" s="13">
        <f>IF(NB214=1,$NB$31,$NB$32)</f>
        <v>152394.16214437486</v>
      </c>
      <c r="NG214" s="13">
        <f>NE214-NF214</f>
        <v>102179.59727390765</v>
      </c>
      <c r="NH214" s="13">
        <f>NH213+NG214</f>
        <v>13385527.242881944</v>
      </c>
      <c r="NI214">
        <f>IF(NH214=MAX($NH$83:$NH$483),$A214,0)</f>
        <v>0</v>
      </c>
      <c r="NJ214">
        <f>IF(NE214&lt;NF214,$A214,B_MAX+1)</f>
        <v>401.0</v>
      </c>
      <c r="NK214" s="13">
        <f>IF(NB214=1,$NB$35,$NB$36)</f>
        <v>0</v>
      </c>
      <c r="NL214" s="13">
        <f>OCC_DAYS*$NB$41*R_NF_2023-ND214*MCD_SHARE_FREED*R_WAIT_2023</f>
        <v>37367.159242427646</v>
      </c>
      <c r="NM214">
        <f>IF($A214&lt;=$NB$45,1,0)</f>
        <v>1</v>
      </c>
      <c r="OB214">
        <f>IF($OB$31&lt;=$OB$32,IF($A214&lt;=$OB$7,1,2),IF($A214&lt;=RUNG_BEDS_2,2,1))</f>
        <v>1</v>
      </c>
      <c r="OC214" s="5">
        <f>MIN(1,MAX(0,$OB$26-($A214-1)))</f>
        <v>1</v>
      </c>
      <c r="OD214" s="5">
        <f>$OB$25*(OC214+(1-OC214)*$OB$16)</f>
        <v>252.05322714681438</v>
      </c>
      <c r="OE214" s="13">
        <f>OD214*($OB$6+ACUTE_MARGIN)</f>
        <v>254573.7594182825</v>
      </c>
      <c r="OF214" s="13">
        <f>IF(OB214=1,$OB$31,$OB$32)</f>
        <v>152394.16214437486</v>
      </c>
      <c r="OG214" s="13">
        <f>OE214-OF214</f>
        <v>102179.59727390765</v>
      </c>
      <c r="OH214" s="13">
        <f>OH213+OG214</f>
        <v>13385527.242881944</v>
      </c>
      <c r="OI214">
        <f>IF(OH214=MAX($OH$83:$OH$483),$A214,0)</f>
        <v>0</v>
      </c>
      <c r="OJ214">
        <f>IF(OE214&lt;OF214,$A214,B_MAX+1)</f>
        <v>401.0</v>
      </c>
      <c r="OK214" s="13">
        <f>IF(OB214=1,$OB$35,$OB$36)</f>
        <v>0</v>
      </c>
      <c r="OL214" s="13">
        <f>OCC_DAYS*$OB$41*R_NF_2023-OD214*MCD_SHARE_FREED*R_WAIT_2023</f>
        <v>37367.159242427646</v>
      </c>
      <c r="OM214">
        <f>IF($A214&lt;=$OB$45,1,0)</f>
        <v>1</v>
      </c>
    </row>
    <row r="215">
      <c r="A215" t="n">
        <v>132</v>
      </c>
      <c r="B215">
        <f>IF($B$31&lt;=$B$32,IF($A215&lt;=$B$7,1,2),IF($A215&lt;=RUNG_BEDS_2,2,1))</f>
        <v>1</v>
      </c>
      <c r="C215" s="5">
        <f>MIN(1,MAX(0,$B$26-($A215-1)))</f>
        <v>1</v>
      </c>
      <c r="D215" s="5">
        <f>$B$25*(C215+(1-C215)*$B$16)</f>
        <v>252.05322714681438</v>
      </c>
      <c r="E215" s="13">
        <f>D215*($B$6+ACUTE_MARGIN)</f>
        <v>254573.7594182825</v>
      </c>
      <c r="F215" s="13">
        <f>IF(B215=1,$B$31,$B$32)</f>
        <v>152394.16214437486</v>
      </c>
      <c r="G215" s="13">
        <f>E215-F215</f>
        <v>102179.59727390765</v>
      </c>
      <c r="H215" s="13">
        <f>H214+G215</f>
        <v>13487706.840155853</v>
      </c>
      <c r="I215">
        <f>IF(H215=MAX($H$83:$H$483),$A215,0)</f>
        <v>0</v>
      </c>
      <c r="J215">
        <f>IF(E215&lt;F215,$A215,B_MAX+1)</f>
        <v>401.0</v>
      </c>
      <c r="K215" s="13">
        <f>IF(B215=1,$B$35,$B$36)</f>
        <v>0</v>
      </c>
      <c r="L215" s="13">
        <f>OCC_DAYS*$B$41*R_NF_2023-D215*MCD_SHARE_FREED*R_WAIT_2023</f>
        <v>37367.159242427646</v>
      </c>
      <c r="M215">
        <f>IF($A215&lt;=$B$45,1,0)</f>
        <v>1</v>
      </c>
      <c r="AB215">
        <f>IF($AB$31&lt;=$AB$32,IF($A215&lt;=$AB$7,1,2),IF($A215&lt;=RUNG_BEDS_2,2,1))</f>
        <v>1</v>
      </c>
      <c r="AC215" s="5">
        <f>MIN(1,MAX(0,$AB$26-($A215-1)))</f>
        <v>1</v>
      </c>
      <c r="AD215" s="5">
        <f>$AB$25*(AC215+(1-AC215)*$AB$16)</f>
        <v>252.05322714681438</v>
      </c>
      <c r="AE215" s="13">
        <f>AD215*($AB$6+ACUTE_MARGIN)</f>
        <v>138629.2749307479</v>
      </c>
      <c r="AF215" s="13">
        <f>IF(AB215=1,$AB$31,$AB$32)</f>
        <v>152394.16214437486</v>
      </c>
      <c r="AG215" s="13">
        <f>AE215-AF215</f>
        <v>-13764.887213626964</v>
      </c>
      <c r="AH215" s="13">
        <f>AH214+AG215</f>
        <v>-1816965.112198756</v>
      </c>
      <c r="AI215">
        <f>IF(AH215=MAX($AH$83:$AH$483),$A215,0)</f>
        <v>0</v>
      </c>
      <c r="AJ215">
        <f>IF(AE215&lt;AF215,$A215,B_MAX+1)</f>
        <v>132</v>
      </c>
      <c r="AK215" s="13">
        <f>IF(AB215=1,$AB$35,$AB$36)</f>
        <v>0</v>
      </c>
      <c r="AL215" s="13">
        <f>OCC_DAYS*$AB$41*R_NF_2023-AD215*MCD_SHARE_FREED*R_WAIT_2023</f>
        <v>37367.159242427646</v>
      </c>
      <c r="AM215">
        <f>IF($A215&lt;=$AB$45,1,0)</f>
        <v>0</v>
      </c>
      <c r="BB215">
        <f>IF($BB$31&lt;=$BB$32,IF($A215&lt;=$BB$7,1,2),IF($A215&lt;=RUNG_BEDS_2,2,1))</f>
        <v>1</v>
      </c>
      <c r="BC215" s="5">
        <f>MIN(1,MAX(0,$BB$26-($A215-1)))</f>
        <v>1</v>
      </c>
      <c r="BD215" s="5">
        <f>$BB$25*(BC215+(1-BC215)*$BB$16)</f>
        <v>252.05322714681438</v>
      </c>
      <c r="BE215" s="13">
        <f>BD215*($BB$6+ACUTE_MARGIN)</f>
        <v>370518.24390581716</v>
      </c>
      <c r="BF215" s="13">
        <f>IF(BB215=1,$BB$31,$BB$32)</f>
        <v>152394.16214437486</v>
      </c>
      <c r="BG215" s="13">
        <f>BE215-BF215</f>
        <v>218124.0817614423</v>
      </c>
      <c r="BH215" s="13">
        <f>BH214+BG215</f>
        <v>28792378.792510364</v>
      </c>
      <c r="BI215">
        <f>IF(BH215=MAX($BH$83:$BH$483),$A215,0)</f>
        <v>0</v>
      </c>
      <c r="BJ215">
        <f>IF(BE215&lt;BF215,$A215,B_MAX+1)</f>
        <v>401.0</v>
      </c>
      <c r="BK215" s="13">
        <f>IF(BB215=1,$BB$35,$BB$36)</f>
        <v>0</v>
      </c>
      <c r="BL215" s="13">
        <f>OCC_DAYS*$BB$41*R_NF_2023-BD215*MCD_SHARE_FREED*R_WAIT_2023</f>
        <v>37367.159242427646</v>
      </c>
      <c r="BM215">
        <f>IF($A215&lt;=$BB$45,1,0)</f>
        <v>1</v>
      </c>
      <c r="CB215">
        <f>IF($CB$31&lt;=$CB$32,IF($A215&lt;=$CB$7,1,2),IF($A215&lt;=RUNG_BEDS_2,2,1))</f>
        <v>2</v>
      </c>
      <c r="CC215" s="5">
        <f>MIN(1,MAX(0,$CB$26-($A215-1)))</f>
        <v>1</v>
      </c>
      <c r="CD215" s="5">
        <f>$CB$25*(CC215+(1-CC215)*$CB$16)</f>
        <v>252.05322714681438</v>
      </c>
      <c r="CE215" s="13">
        <f>CD215*($CB$6+ACUTE_MARGIN)</f>
        <v>254573.7594182825</v>
      </c>
      <c r="CF215" s="13">
        <f>IF(CB215=1,$CB$31,$CB$32)</f>
        <v>160718.36940738867</v>
      </c>
      <c r="CG215" s="13">
        <f>CE215-CF215</f>
        <v>93855.39001089384</v>
      </c>
      <c r="CH215" s="13">
        <f>CH214+CG215</f>
        <v>12388911.481437985</v>
      </c>
      <c r="CI215">
        <f>IF(CH215=MAX($CH$83:$CH$483),$A215,0)</f>
        <v>0</v>
      </c>
      <c r="CJ215">
        <f>IF(CE215&lt;CF215,$A215,B_MAX+1)</f>
        <v>401.0</v>
      </c>
      <c r="CK215" s="13">
        <f>IF(CB215=1,$CB$35,$CB$36)</f>
        <v>1560.1194073886782</v>
      </c>
      <c r="CL215" s="13">
        <f>OCC_DAYS*$CB$41*R_NF_2023-CD215*MCD_SHARE_FREED*R_WAIT_2023</f>
        <v>37367.159242427646</v>
      </c>
      <c r="CM215">
        <f>IF($A215&lt;=$CB$45,1,0)</f>
        <v>1</v>
      </c>
      <c r="DB215">
        <f>IF($DB$31&lt;=$DB$32,IF($A215&lt;=$DB$7,1,2),IF($A215&lt;=RUNG_BEDS_2,2,1))</f>
        <v>1</v>
      </c>
      <c r="DC215" s="5">
        <f>MIN(1,MAX(0,$DB$26-($A215-1)))</f>
        <v>1</v>
      </c>
      <c r="DD215" s="5">
        <f>$DB$25*(DC215+(1-DC215)*$DB$16)</f>
        <v>252.05322714681438</v>
      </c>
      <c r="DE215" s="13">
        <f>DD215*($DB$6+ACUTE_MARGIN)</f>
        <v>254573.7594182825</v>
      </c>
      <c r="DF215" s="13">
        <f>IF(DB215=1,$DB$31,$DB$32)</f>
        <v>152394.16214437486</v>
      </c>
      <c r="DG215" s="13">
        <f>DE215-DF215</f>
        <v>102179.59727390765</v>
      </c>
      <c r="DH215" s="13">
        <f>DH214+DG215</f>
        <v>13487706.840155853</v>
      </c>
      <c r="DI215">
        <f>IF(DH215=MAX($DH$83:$DH$483),$A215,0)</f>
        <v>0</v>
      </c>
      <c r="DJ215">
        <f>IF(DE215&lt;DF215,$A215,B_MAX+1)</f>
        <v>401.0</v>
      </c>
      <c r="DK215" s="13">
        <f>IF(DB215=1,$DB$35,$DB$36)</f>
        <v>0</v>
      </c>
      <c r="DL215" s="13">
        <f>OCC_DAYS*$DB$41*R_NF_2023-DD215*MCD_SHARE_FREED*R_WAIT_2023</f>
        <v>37367.159242427646</v>
      </c>
      <c r="DM215">
        <f>IF($A215&lt;=$DB$45,1,0)</f>
        <v>1</v>
      </c>
      <c r="EB215">
        <f>IF($EB$31&lt;=$EB$32,IF($A215&lt;=$EB$7,1,2),IF($A215&lt;=RUNG_BEDS_2,2,1))</f>
        <v>1</v>
      </c>
      <c r="EC215" s="5">
        <f>MIN(1,MAX(0,$EB$26-($A215-1)))</f>
        <v>1</v>
      </c>
      <c r="ED215" s="5">
        <f>$EB$25*(EC215+(1-EC215)*$EB$16)</f>
        <v>252.05322714681438</v>
      </c>
      <c r="EE215" s="13">
        <f>ED215*($EB$6+ACUTE_MARGIN)</f>
        <v>254573.7594182825</v>
      </c>
      <c r="EF215" s="13">
        <f>IF(EB215=1,$EB$31,$EB$32)</f>
        <v>152394.16214437486</v>
      </c>
      <c r="EG215" s="13">
        <f>EE215-EF215</f>
        <v>102179.59727390765</v>
      </c>
      <c r="EH215" s="13">
        <f>EH214+EG215</f>
        <v>13487706.840155853</v>
      </c>
      <c r="EI215">
        <f>IF(EH215=MAX($EH$83:$EH$483),$A215,0)</f>
        <v>0</v>
      </c>
      <c r="EJ215">
        <f>IF(EE215&lt;EF215,$A215,B_MAX+1)</f>
        <v>401.0</v>
      </c>
      <c r="EK215" s="13">
        <f>IF(EB215=1,$EB$35,$EB$36)</f>
        <v>0</v>
      </c>
      <c r="EL215" s="13">
        <f>OCC_DAYS*$EB$41*R_NF_2023-ED215*MCD_SHARE_FREED*R_WAIT_2023</f>
        <v>-63953.16263896705</v>
      </c>
      <c r="EM215">
        <f>IF($A215&lt;=$EB$45,1,0)</f>
        <v>1</v>
      </c>
      <c r="FB215">
        <f>IF($FB$31&lt;=$FB$32,IF($A215&lt;=$FB$7,1,2),IF($A215&lt;=RUNG_BEDS_2,2,1))</f>
        <v>1</v>
      </c>
      <c r="FC215" s="5">
        <f>MIN(1,MAX(0,$FB$26-($A215-1)))</f>
        <v>1</v>
      </c>
      <c r="FD215" s="5">
        <f>$FB$25*(FC215+(1-FC215)*$FB$16)</f>
        <v>252.05322714681438</v>
      </c>
      <c r="FE215" s="13">
        <f>FD215*($FB$6+ACUTE_MARGIN)</f>
        <v>254573.7594182825</v>
      </c>
      <c r="FF215" s="13">
        <f>IF(FB215=1,$FB$31,$FB$32)</f>
        <v>156636.04979437485</v>
      </c>
      <c r="FG215" s="13">
        <f>FE215-FF215</f>
        <v>97937.70962390766</v>
      </c>
      <c r="FH215" s="13">
        <f>FH214+FG215</f>
        <v>12927777.67035577</v>
      </c>
      <c r="FI215">
        <f>IF(FH215=MAX($FH$83:$FH$483),$A215,0)</f>
        <v>0</v>
      </c>
      <c r="FJ215">
        <f>IF(FE215&lt;FF215,$A215,B_MAX+1)</f>
        <v>401.0</v>
      </c>
      <c r="FK215" s="13">
        <f>IF(FB215=1,$FB$35,$FB$36)</f>
        <v>0</v>
      </c>
      <c r="FL215" s="13">
        <f>OCC_DAYS*$FB$41*R_NF_2023-FD215*MCD_SHARE_FREED*R_WAIT_2023</f>
        <v>37367.159242427646</v>
      </c>
      <c r="FM215">
        <f>IF($A215&lt;=$FB$45,1,0)</f>
        <v>1</v>
      </c>
      <c r="GB215">
        <f>IF($GB$31&lt;=$GB$32,IF($A215&lt;=$GB$7,1,2),IF($A215&lt;=RUNG_BEDS_2,2,1))</f>
        <v>1</v>
      </c>
      <c r="GC215" s="5">
        <f>MIN(1,MAX(0,$GB$26-($A215-1)))</f>
        <v>1</v>
      </c>
      <c r="GD215" s="5">
        <f>$GB$25*(GC215+(1-GC215)*$GB$16)</f>
        <v>252.05322714681438</v>
      </c>
      <c r="GE215" s="13">
        <f>GD215*($GB$6+ACUTE_MARGIN)</f>
        <v>254573.7594182825</v>
      </c>
      <c r="GF215" s="13">
        <f>IF(GB215=1,$GB$31,$GB$32)</f>
        <v>152394.16214437486</v>
      </c>
      <c r="GG215" s="13">
        <f>GE215-GF215</f>
        <v>102179.59727390765</v>
      </c>
      <c r="GH215" s="13">
        <f>GH214+GG215</f>
        <v>13487706.840155853</v>
      </c>
      <c r="GI215">
        <f>IF(GH215=MAX($GH$83:$GH$483),$A215,0)</f>
        <v>0</v>
      </c>
      <c r="GJ215">
        <f>IF(GE215&lt;GF215,$A215,B_MAX+1)</f>
        <v>401.0</v>
      </c>
      <c r="GK215" s="13">
        <f>IF(GB215=1,$GB$35,$GB$36)</f>
        <v>0</v>
      </c>
      <c r="GL215" s="13">
        <f>OCC_DAYS*$GB$41*R_NF_2023-GD215*MCD_SHARE_FREED*R_WAIT_2023</f>
        <v>37367.159242427646</v>
      </c>
      <c r="GM215">
        <f>IF($A215&lt;=$GB$45,1,0)</f>
        <v>1</v>
      </c>
      <c r="HB215">
        <f>IF($HB$31&lt;=$HB$32,IF($A215&lt;=$HB$7,1,2),IF($A215&lt;=RUNG_BEDS_2,2,1))</f>
        <v>1</v>
      </c>
      <c r="HC215" s="5">
        <f>MIN(1,MAX(0,$HB$26-($A215-1)))</f>
        <v>1</v>
      </c>
      <c r="HD215" s="5">
        <f>$HB$25*(HC215+(1-HC215)*$HB$16)</f>
        <v>252.05322714681438</v>
      </c>
      <c r="HE215" s="13">
        <f>HD215*($HB$6+ACUTE_MARGIN)</f>
        <v>254573.7594182825</v>
      </c>
      <c r="HF215" s="13">
        <f>IF(HB215=1,$HB$31,$HB$32)</f>
        <v>152456.2970814058</v>
      </c>
      <c r="HG215" s="13">
        <f>HE215-HF215</f>
        <v>102117.46233687672</v>
      </c>
      <c r="HH215" s="13">
        <f>HH214+HG215</f>
        <v>13479505.02846775</v>
      </c>
      <c r="HI215">
        <f>IF(HH215=MAX($HH$83:$HH$483),$A215,0)</f>
        <v>0</v>
      </c>
      <c r="HJ215">
        <f>IF(HE215&lt;HF215,$A215,B_MAX+1)</f>
        <v>401.0</v>
      </c>
      <c r="HK215" s="13">
        <f>IF(HB215=1,$HB$35,$HB$36)</f>
        <v>0</v>
      </c>
      <c r="HL215" s="13">
        <f>OCC_DAYS*$HB$41*R_NF_2023-HD215*MCD_SHARE_FREED*R_WAIT_2023</f>
        <v>37367.159242427646</v>
      </c>
      <c r="HM215">
        <f>IF($A215&lt;=$HB$45,1,0)</f>
        <v>1</v>
      </c>
      <c r="IB215">
        <f>IF($IB$31&lt;=$IB$32,IF($A215&lt;=$IB$7,1,2),IF($A215&lt;=RUNG_BEDS_2,2,1))</f>
        <v>1</v>
      </c>
      <c r="IC215" s="5">
        <f>MIN(1,MAX(0,$IB$26-($A215-1)))</f>
        <v>1</v>
      </c>
      <c r="ID215" s="5">
        <f>$IB$25*(IC215+(1-IC215)*$IB$16)</f>
        <v>252.05322714681438</v>
      </c>
      <c r="IE215" s="13">
        <f>ID215*($IB$6+ACUTE_MARGIN)</f>
        <v>254573.7594182825</v>
      </c>
      <c r="IF215" s="13">
        <f>IF(IB215=1,$IB$31,$IB$32)</f>
        <v>152734.9994534971</v>
      </c>
      <c r="IG215" s="13">
        <f>IE215-IF215</f>
        <v>101838.75996478542</v>
      </c>
      <c r="IH215" s="13">
        <f>IH214+IG215</f>
        <v>13442716.315351643</v>
      </c>
      <c r="II215">
        <f>IF(IH215=MAX($IH$83:$IH$483),$A215,0)</f>
        <v>0</v>
      </c>
      <c r="IJ215">
        <f>IF(IE215&lt;IF215,$A215,B_MAX+1)</f>
        <v>401.0</v>
      </c>
      <c r="IK215" s="13">
        <f>IF(IB215=1,$IB$35,$IB$36)</f>
        <v>0</v>
      </c>
      <c r="IL215" s="13">
        <f>OCC_DAYS*$IB$41*R_NF_2023-ID215*MCD_SHARE_FREED*R_WAIT_2023</f>
        <v>37367.159242427646</v>
      </c>
      <c r="IM215">
        <f>IF($A215&lt;=$IB$45,1,0)</f>
        <v>1</v>
      </c>
      <c r="JB215">
        <f>IF($JB$31&lt;=$JB$32,IF($A215&lt;=$JB$7,1,2),IF($A215&lt;=RUNG_BEDS_2,2,1))</f>
        <v>1</v>
      </c>
      <c r="JC215" s="5">
        <f>MIN(1,MAX(0,$JB$26-($A215-1)))</f>
        <v>1</v>
      </c>
      <c r="JD215" s="5">
        <f>$JB$25*(JC215+(1-JC215)*$JB$16)</f>
        <v>252.05322714681438</v>
      </c>
      <c r="JE215" s="13">
        <f>JD215*($JB$6+ACUTE_MARGIN)</f>
        <v>254573.7594182825</v>
      </c>
      <c r="JF215" s="13">
        <f>IF(JB215=1,$JB$31,$JB$32)</f>
        <v>152394.16214437486</v>
      </c>
      <c r="JG215" s="13">
        <f>JE215-JF215</f>
        <v>102179.59727390765</v>
      </c>
      <c r="JH215" s="13">
        <f>JH214+JG215</f>
        <v>13487706.840155853</v>
      </c>
      <c r="JI215">
        <f>IF(JH215=MAX($JH$83:$JH$483),$A215,0)</f>
        <v>0</v>
      </c>
      <c r="JJ215">
        <f>IF(JE215&lt;JF215,$A215,B_MAX+1)</f>
        <v>401.0</v>
      </c>
      <c r="JK215" s="13">
        <f>IF(JB215=1,$JB$35,$JB$36)</f>
        <v>0</v>
      </c>
      <c r="JL215" s="13">
        <f>OCC_DAYS*$JB$41*R_NF_2023-JD215*MCD_SHARE_FREED*R_WAIT_2023</f>
        <v>37367.159242427646</v>
      </c>
      <c r="JM215">
        <f>IF($A215&lt;=$JB$45,1,0)</f>
        <v>1</v>
      </c>
      <c r="KB215">
        <f>IF($KB$31&lt;=$KB$32,IF($A215&lt;=$KB$7,1,2),IF($A215&lt;=RUNG_BEDS_2,2,1))</f>
        <v>1</v>
      </c>
      <c r="KC215" s="5">
        <f>MIN(1,MAX(0,$KB$26-($A215-1)))</f>
        <v>1</v>
      </c>
      <c r="KD215" s="5">
        <f>$KB$25*(KC215+(1-KC215)*$KB$16)</f>
        <v>126.02661357340719</v>
      </c>
      <c r="KE215" s="13">
        <f>KD215*($KB$6+ACUTE_MARGIN)</f>
        <v>127286.87970914126</v>
      </c>
      <c r="KF215" s="13">
        <f>IF(KB215=1,$KB$31,$KB$32)</f>
        <v>152394.16214437486</v>
      </c>
      <c r="KG215" s="13">
        <f>KE215-KF215</f>
        <v>-25107.282435233603</v>
      </c>
      <c r="KH215" s="13">
        <f>KH214+KG215</f>
        <v>-3314161.2814508444</v>
      </c>
      <c r="KI215">
        <f>IF(KH215=MAX($KH$83:$KH$483),$A215,0)</f>
        <v>0</v>
      </c>
      <c r="KJ215">
        <f>IF(KE215&lt;KF215,$A215,B_MAX+1)</f>
        <v>132</v>
      </c>
      <c r="KK215" s="13">
        <f>IF(KB215=1,$KB$35,$KB$36)</f>
        <v>0</v>
      </c>
      <c r="KL215" s="13">
        <f>OCC_DAYS*$KB$41*R_NF_2023-KD215*MCD_SHARE_FREED*R_WAIT_2023</f>
        <v>94673.82103225985</v>
      </c>
      <c r="KM215">
        <f>IF($A215&lt;=$KB$45,1,0)</f>
        <v>0</v>
      </c>
      <c r="LB215">
        <f>IF($LB$31&lt;=$LB$32,IF($A215&lt;=$LB$7,1,2),IF($A215&lt;=RUNG_BEDS_2,2,1))</f>
        <v>1</v>
      </c>
      <c r="LC215" s="5">
        <f>MIN(1,MAX(0,$LB$26-($A215-1)))</f>
        <v>1</v>
      </c>
      <c r="LD215" s="5">
        <f>$LB$25*(LC215+(1-LC215)*$LB$16)</f>
        <v>84.01774238227146</v>
      </c>
      <c r="LE215" s="13">
        <f>LD215*($LB$6+ACUTE_MARGIN)</f>
        <v>84857.91980609419</v>
      </c>
      <c r="LF215" s="13">
        <f>IF(LB215=1,$LB$31,$LB$32)</f>
        <v>152394.16214437486</v>
      </c>
      <c r="LG215" s="13">
        <f>LE215-LF215</f>
        <v>-67536.24233828067</v>
      </c>
      <c r="LH215" s="13">
        <f>LH214+LG215</f>
        <v>-8914783.988653079</v>
      </c>
      <c r="LI215">
        <f>IF(LH215=MAX($LH$83:$LH$483),$A215,0)</f>
        <v>0</v>
      </c>
      <c r="LJ215">
        <f>IF(LE215&lt;LF215,$A215,B_MAX+1)</f>
        <v>132</v>
      </c>
      <c r="LK215" s="13">
        <f>IF(LB215=1,$LB$35,$LB$36)</f>
        <v>0</v>
      </c>
      <c r="LL215" s="13">
        <f>OCC_DAYS*$LB$41*R_NF_2023-LD215*MCD_SHARE_FREED*R_WAIT_2023</f>
        <v>113776.04162887059</v>
      </c>
      <c r="LM215">
        <f>IF($A215&lt;=$LB$45,1,0)</f>
        <v>0</v>
      </c>
      <c r="MB215">
        <f>IF($MB$31&lt;=$MB$32,IF($A215&lt;=$MB$7,1,2),IF($A215&lt;=RUNG_BEDS_2,2,1))</f>
        <v>1</v>
      </c>
      <c r="MC215" s="5">
        <f>MIN(1,MAX(0,$MB$26-($A215-1)))</f>
        <v>1</v>
      </c>
      <c r="MD215" s="5">
        <f>$MB$25*(MC215+(1-MC215)*$MB$16)</f>
        <v>213.44610951008647</v>
      </c>
      <c r="ME215" s="13">
        <f>MD215*($MB$6+ACUTE_MARGIN)</f>
        <v>215580.57060518733</v>
      </c>
      <c r="MF215" s="13">
        <f>IF(MB215=1,$MB$31,$MB$32)</f>
        <v>152394.16214437486</v>
      </c>
      <c r="MG215" s="13">
        <f>ME215-MF215</f>
        <v>63186.40846081247</v>
      </c>
      <c r="MH215" s="13">
        <f>MH214+MG215</f>
        <v>8340605.916827261</v>
      </c>
      <c r="MI215">
        <f>IF(MH215=MAX($MH$83:$MH$483),$A215,0)</f>
        <v>0</v>
      </c>
      <c r="MJ215">
        <f>IF(ME215&lt;MF215,$A215,B_MAX+1)</f>
        <v>401.0</v>
      </c>
      <c r="MK215" s="13">
        <f>IF(MB215=1,$MB$35,$MB$36)</f>
        <v>0</v>
      </c>
      <c r="ML215" s="13">
        <f>OCC_DAYS*$MB$41*R_NF_2023-MD215*MCD_SHARE_FREED*R_WAIT_2023</f>
        <v>54922.538779778624</v>
      </c>
      <c r="MM215">
        <f>IF($A215&lt;=$MB$45,1,0)</f>
        <v>1</v>
      </c>
      <c r="NB215">
        <f>IF($NB$31&lt;=$NB$32,IF($A215&lt;=$NB$7,1,2),IF($A215&lt;=RUNG_BEDS_2,2,1))</f>
        <v>1</v>
      </c>
      <c r="NC215" s="5">
        <f>MIN(1,MAX(0,$NB$26-($A215-1)))</f>
        <v>1</v>
      </c>
      <c r="ND215" s="5">
        <f>$NB$25*(NC215+(1-NC215)*$NB$16)</f>
        <v>252.05322714681438</v>
      </c>
      <c r="NE215" s="13">
        <f>ND215*($NB$6+ACUTE_MARGIN)</f>
        <v>254573.7594182825</v>
      </c>
      <c r="NF215" s="13">
        <f>IF(NB215=1,$NB$31,$NB$32)</f>
        <v>152394.16214437486</v>
      </c>
      <c r="NG215" s="13">
        <f>NE215-NF215</f>
        <v>102179.59727390765</v>
      </c>
      <c r="NH215" s="13">
        <f>NH214+NG215</f>
        <v>13487706.840155853</v>
      </c>
      <c r="NI215">
        <f>IF(NH215=MAX($NH$83:$NH$483),$A215,0)</f>
        <v>0</v>
      </c>
      <c r="NJ215">
        <f>IF(NE215&lt;NF215,$A215,B_MAX+1)</f>
        <v>401.0</v>
      </c>
      <c r="NK215" s="13">
        <f>IF(NB215=1,$NB$35,$NB$36)</f>
        <v>0</v>
      </c>
      <c r="NL215" s="13">
        <f>OCC_DAYS*$NB$41*R_NF_2023-ND215*MCD_SHARE_FREED*R_WAIT_2023</f>
        <v>37367.159242427646</v>
      </c>
      <c r="NM215">
        <f>IF($A215&lt;=$NB$45,1,0)</f>
        <v>1</v>
      </c>
      <c r="OB215">
        <f>IF($OB$31&lt;=$OB$32,IF($A215&lt;=$OB$7,1,2),IF($A215&lt;=RUNG_BEDS_2,2,1))</f>
        <v>1</v>
      </c>
      <c r="OC215" s="5">
        <f>MIN(1,MAX(0,$OB$26-($A215-1)))</f>
        <v>1</v>
      </c>
      <c r="OD215" s="5">
        <f>$OB$25*(OC215+(1-OC215)*$OB$16)</f>
        <v>252.05322714681438</v>
      </c>
      <c r="OE215" s="13">
        <f>OD215*($OB$6+ACUTE_MARGIN)</f>
        <v>254573.7594182825</v>
      </c>
      <c r="OF215" s="13">
        <f>IF(OB215=1,$OB$31,$OB$32)</f>
        <v>152394.16214437486</v>
      </c>
      <c r="OG215" s="13">
        <f>OE215-OF215</f>
        <v>102179.59727390765</v>
      </c>
      <c r="OH215" s="13">
        <f>OH214+OG215</f>
        <v>13487706.840155853</v>
      </c>
      <c r="OI215">
        <f>IF(OH215=MAX($OH$83:$OH$483),$A215,0)</f>
        <v>0</v>
      </c>
      <c r="OJ215">
        <f>IF(OE215&lt;OF215,$A215,B_MAX+1)</f>
        <v>401.0</v>
      </c>
      <c r="OK215" s="13">
        <f>IF(OB215=1,$OB$35,$OB$36)</f>
        <v>0</v>
      </c>
      <c r="OL215" s="13">
        <f>OCC_DAYS*$OB$41*R_NF_2023-OD215*MCD_SHARE_FREED*R_WAIT_2023</f>
        <v>37367.159242427646</v>
      </c>
      <c r="OM215">
        <f>IF($A215&lt;=$OB$45,1,0)</f>
        <v>1</v>
      </c>
    </row>
    <row r="216">
      <c r="A216" t="n">
        <v>133</v>
      </c>
      <c r="B216">
        <f>IF($B$31&lt;=$B$32,IF($A216&lt;=$B$7,1,2),IF($A216&lt;=RUNG_BEDS_2,2,1))</f>
        <v>1</v>
      </c>
      <c r="C216" s="5">
        <f>MIN(1,MAX(0,$B$26-($A216-1)))</f>
        <v>1</v>
      </c>
      <c r="D216" s="5">
        <f>$B$25*(C216+(1-C216)*$B$16)</f>
        <v>252.05322714681438</v>
      </c>
      <c r="E216" s="13">
        <f>D216*($B$6+ACUTE_MARGIN)</f>
        <v>254573.7594182825</v>
      </c>
      <c r="F216" s="13">
        <f>IF(B216=1,$B$31,$B$32)</f>
        <v>152394.16214437486</v>
      </c>
      <c r="G216" s="13">
        <f>E216-F216</f>
        <v>102179.59727390765</v>
      </c>
      <c r="H216" s="13">
        <f>H215+G216</f>
        <v>13589886.437429762</v>
      </c>
      <c r="I216">
        <f>IF(H216=MAX($H$83:$H$483),$A216,0)</f>
        <v>0</v>
      </c>
      <c r="J216">
        <f>IF(E216&lt;F216,$A216,B_MAX+1)</f>
        <v>401.0</v>
      </c>
      <c r="K216" s="13">
        <f>IF(B216=1,$B$35,$B$36)</f>
        <v>0</v>
      </c>
      <c r="L216" s="13">
        <f>OCC_DAYS*$B$41*R_NF_2023-D216*MCD_SHARE_FREED*R_WAIT_2023</f>
        <v>37367.159242427646</v>
      </c>
      <c r="M216">
        <f>IF($A216&lt;=$B$45,1,0)</f>
        <v>1</v>
      </c>
      <c r="AB216">
        <f>IF($AB$31&lt;=$AB$32,IF($A216&lt;=$AB$7,1,2),IF($A216&lt;=RUNG_BEDS_2,2,1))</f>
        <v>1</v>
      </c>
      <c r="AC216" s="5">
        <f>MIN(1,MAX(0,$AB$26-($A216-1)))</f>
        <v>1</v>
      </c>
      <c r="AD216" s="5">
        <f>$AB$25*(AC216+(1-AC216)*$AB$16)</f>
        <v>252.05322714681438</v>
      </c>
      <c r="AE216" s="13">
        <f>AD216*($AB$6+ACUTE_MARGIN)</f>
        <v>138629.2749307479</v>
      </c>
      <c r="AF216" s="13">
        <f>IF(AB216=1,$AB$31,$AB$32)</f>
        <v>152394.16214437486</v>
      </c>
      <c r="AG216" s="13">
        <f>AE216-AF216</f>
        <v>-13764.887213626964</v>
      </c>
      <c r="AH216" s="13">
        <f>AH215+AG216</f>
        <v>-1830729.999412383</v>
      </c>
      <c r="AI216">
        <f>IF(AH216=MAX($AH$83:$AH$483),$A216,0)</f>
        <v>0</v>
      </c>
      <c r="AJ216">
        <f>IF(AE216&lt;AF216,$A216,B_MAX+1)</f>
        <v>133</v>
      </c>
      <c r="AK216" s="13">
        <f>IF(AB216=1,$AB$35,$AB$36)</f>
        <v>0</v>
      </c>
      <c r="AL216" s="13">
        <f>OCC_DAYS*$AB$41*R_NF_2023-AD216*MCD_SHARE_FREED*R_WAIT_2023</f>
        <v>37367.159242427646</v>
      </c>
      <c r="AM216">
        <f>IF($A216&lt;=$AB$45,1,0)</f>
        <v>0</v>
      </c>
      <c r="BB216">
        <f>IF($BB$31&lt;=$BB$32,IF($A216&lt;=$BB$7,1,2),IF($A216&lt;=RUNG_BEDS_2,2,1))</f>
        <v>1</v>
      </c>
      <c r="BC216" s="5">
        <f>MIN(1,MAX(0,$BB$26-($A216-1)))</f>
        <v>1</v>
      </c>
      <c r="BD216" s="5">
        <f>$BB$25*(BC216+(1-BC216)*$BB$16)</f>
        <v>252.05322714681438</v>
      </c>
      <c r="BE216" s="13">
        <f>BD216*($BB$6+ACUTE_MARGIN)</f>
        <v>370518.24390581716</v>
      </c>
      <c r="BF216" s="13">
        <f>IF(BB216=1,$BB$31,$BB$32)</f>
        <v>152394.16214437486</v>
      </c>
      <c r="BG216" s="13">
        <f>BE216-BF216</f>
        <v>218124.0817614423</v>
      </c>
      <c r="BH216" s="13">
        <f>BH215+BG216</f>
        <v>29010502.874271806</v>
      </c>
      <c r="BI216">
        <f>IF(BH216=MAX($BH$83:$BH$483),$A216,0)</f>
        <v>0</v>
      </c>
      <c r="BJ216">
        <f>IF(BE216&lt;BF216,$A216,B_MAX+1)</f>
        <v>401.0</v>
      </c>
      <c r="BK216" s="13">
        <f>IF(BB216=1,$BB$35,$BB$36)</f>
        <v>0</v>
      </c>
      <c r="BL216" s="13">
        <f>OCC_DAYS*$BB$41*R_NF_2023-BD216*MCD_SHARE_FREED*R_WAIT_2023</f>
        <v>37367.159242427646</v>
      </c>
      <c r="BM216">
        <f>IF($A216&lt;=$BB$45,1,0)</f>
        <v>1</v>
      </c>
      <c r="CB216">
        <f>IF($CB$31&lt;=$CB$32,IF($A216&lt;=$CB$7,1,2),IF($A216&lt;=RUNG_BEDS_2,2,1))</f>
        <v>2</v>
      </c>
      <c r="CC216" s="5">
        <f>MIN(1,MAX(0,$CB$26-($A216-1)))</f>
        <v>1</v>
      </c>
      <c r="CD216" s="5">
        <f>$CB$25*(CC216+(1-CC216)*$CB$16)</f>
        <v>252.05322714681438</v>
      </c>
      <c r="CE216" s="13">
        <f>CD216*($CB$6+ACUTE_MARGIN)</f>
        <v>254573.7594182825</v>
      </c>
      <c r="CF216" s="13">
        <f>IF(CB216=1,$CB$31,$CB$32)</f>
        <v>160718.36940738867</v>
      </c>
      <c r="CG216" s="13">
        <f>CE216-CF216</f>
        <v>93855.39001089384</v>
      </c>
      <c r="CH216" s="13">
        <f>CH215+CG216</f>
        <v>12482766.871448878</v>
      </c>
      <c r="CI216">
        <f>IF(CH216=MAX($CH$83:$CH$483),$A216,0)</f>
        <v>0</v>
      </c>
      <c r="CJ216">
        <f>IF(CE216&lt;CF216,$A216,B_MAX+1)</f>
        <v>401.0</v>
      </c>
      <c r="CK216" s="13">
        <f>IF(CB216=1,$CB$35,$CB$36)</f>
        <v>1560.1194073886782</v>
      </c>
      <c r="CL216" s="13">
        <f>OCC_DAYS*$CB$41*R_NF_2023-CD216*MCD_SHARE_FREED*R_WAIT_2023</f>
        <v>37367.159242427646</v>
      </c>
      <c r="CM216">
        <f>IF($A216&lt;=$CB$45,1,0)</f>
        <v>1</v>
      </c>
      <c r="DB216">
        <f>IF($DB$31&lt;=$DB$32,IF($A216&lt;=$DB$7,1,2),IF($A216&lt;=RUNG_BEDS_2,2,1))</f>
        <v>1</v>
      </c>
      <c r="DC216" s="5">
        <f>MIN(1,MAX(0,$DB$26-($A216-1)))</f>
        <v>1</v>
      </c>
      <c r="DD216" s="5">
        <f>$DB$25*(DC216+(1-DC216)*$DB$16)</f>
        <v>252.05322714681438</v>
      </c>
      <c r="DE216" s="13">
        <f>DD216*($DB$6+ACUTE_MARGIN)</f>
        <v>254573.7594182825</v>
      </c>
      <c r="DF216" s="13">
        <f>IF(DB216=1,$DB$31,$DB$32)</f>
        <v>152394.16214437486</v>
      </c>
      <c r="DG216" s="13">
        <f>DE216-DF216</f>
        <v>102179.59727390765</v>
      </c>
      <c r="DH216" s="13">
        <f>DH215+DG216</f>
        <v>13589886.437429762</v>
      </c>
      <c r="DI216">
        <f>IF(DH216=MAX($DH$83:$DH$483),$A216,0)</f>
        <v>0</v>
      </c>
      <c r="DJ216">
        <f>IF(DE216&lt;DF216,$A216,B_MAX+1)</f>
        <v>401.0</v>
      </c>
      <c r="DK216" s="13">
        <f>IF(DB216=1,$DB$35,$DB$36)</f>
        <v>0</v>
      </c>
      <c r="DL216" s="13">
        <f>OCC_DAYS*$DB$41*R_NF_2023-DD216*MCD_SHARE_FREED*R_WAIT_2023</f>
        <v>37367.159242427646</v>
      </c>
      <c r="DM216">
        <f>IF($A216&lt;=$DB$45,1,0)</f>
        <v>1</v>
      </c>
      <c r="EB216">
        <f>IF($EB$31&lt;=$EB$32,IF($A216&lt;=$EB$7,1,2),IF($A216&lt;=RUNG_BEDS_2,2,1))</f>
        <v>1</v>
      </c>
      <c r="EC216" s="5">
        <f>MIN(1,MAX(0,$EB$26-($A216-1)))</f>
        <v>1</v>
      </c>
      <c r="ED216" s="5">
        <f>$EB$25*(EC216+(1-EC216)*$EB$16)</f>
        <v>252.05322714681438</v>
      </c>
      <c r="EE216" s="13">
        <f>ED216*($EB$6+ACUTE_MARGIN)</f>
        <v>254573.7594182825</v>
      </c>
      <c r="EF216" s="13">
        <f>IF(EB216=1,$EB$31,$EB$32)</f>
        <v>152394.16214437486</v>
      </c>
      <c r="EG216" s="13">
        <f>EE216-EF216</f>
        <v>102179.59727390765</v>
      </c>
      <c r="EH216" s="13">
        <f>EH215+EG216</f>
        <v>13589886.437429762</v>
      </c>
      <c r="EI216">
        <f>IF(EH216=MAX($EH$83:$EH$483),$A216,0)</f>
        <v>0</v>
      </c>
      <c r="EJ216">
        <f>IF(EE216&lt;EF216,$A216,B_MAX+1)</f>
        <v>401.0</v>
      </c>
      <c r="EK216" s="13">
        <f>IF(EB216=1,$EB$35,$EB$36)</f>
        <v>0</v>
      </c>
      <c r="EL216" s="13">
        <f>OCC_DAYS*$EB$41*R_NF_2023-ED216*MCD_SHARE_FREED*R_WAIT_2023</f>
        <v>-63953.16263896705</v>
      </c>
      <c r="EM216">
        <f>IF($A216&lt;=$EB$45,1,0)</f>
        <v>1</v>
      </c>
      <c r="FB216">
        <f>IF($FB$31&lt;=$FB$32,IF($A216&lt;=$FB$7,1,2),IF($A216&lt;=RUNG_BEDS_2,2,1))</f>
        <v>1</v>
      </c>
      <c r="FC216" s="5">
        <f>MIN(1,MAX(0,$FB$26-($A216-1)))</f>
        <v>1</v>
      </c>
      <c r="FD216" s="5">
        <f>$FB$25*(FC216+(1-FC216)*$FB$16)</f>
        <v>252.05322714681438</v>
      </c>
      <c r="FE216" s="13">
        <f>FD216*($FB$6+ACUTE_MARGIN)</f>
        <v>254573.7594182825</v>
      </c>
      <c r="FF216" s="13">
        <f>IF(FB216=1,$FB$31,$FB$32)</f>
        <v>156636.04979437485</v>
      </c>
      <c r="FG216" s="13">
        <f>FE216-FF216</f>
        <v>97937.70962390766</v>
      </c>
      <c r="FH216" s="13">
        <f>FH215+FG216</f>
        <v>13025715.379979677</v>
      </c>
      <c r="FI216">
        <f>IF(FH216=MAX($FH$83:$FH$483),$A216,0)</f>
        <v>0</v>
      </c>
      <c r="FJ216">
        <f>IF(FE216&lt;FF216,$A216,B_MAX+1)</f>
        <v>401.0</v>
      </c>
      <c r="FK216" s="13">
        <f>IF(FB216=1,$FB$35,$FB$36)</f>
        <v>0</v>
      </c>
      <c r="FL216" s="13">
        <f>OCC_DAYS*$FB$41*R_NF_2023-FD216*MCD_SHARE_FREED*R_WAIT_2023</f>
        <v>37367.159242427646</v>
      </c>
      <c r="FM216">
        <f>IF($A216&lt;=$FB$45,1,0)</f>
        <v>1</v>
      </c>
      <c r="GB216">
        <f>IF($GB$31&lt;=$GB$32,IF($A216&lt;=$GB$7,1,2),IF($A216&lt;=RUNG_BEDS_2,2,1))</f>
        <v>1</v>
      </c>
      <c r="GC216" s="5">
        <f>MIN(1,MAX(0,$GB$26-($A216-1)))</f>
        <v>1</v>
      </c>
      <c r="GD216" s="5">
        <f>$GB$25*(GC216+(1-GC216)*$GB$16)</f>
        <v>252.05322714681438</v>
      </c>
      <c r="GE216" s="13">
        <f>GD216*($GB$6+ACUTE_MARGIN)</f>
        <v>254573.7594182825</v>
      </c>
      <c r="GF216" s="13">
        <f>IF(GB216=1,$GB$31,$GB$32)</f>
        <v>152394.16214437486</v>
      </c>
      <c r="GG216" s="13">
        <f>GE216-GF216</f>
        <v>102179.59727390765</v>
      </c>
      <c r="GH216" s="13">
        <f>GH215+GG216</f>
        <v>13589886.437429762</v>
      </c>
      <c r="GI216">
        <f>IF(GH216=MAX($GH$83:$GH$483),$A216,0)</f>
        <v>0</v>
      </c>
      <c r="GJ216">
        <f>IF(GE216&lt;GF216,$A216,B_MAX+1)</f>
        <v>401.0</v>
      </c>
      <c r="GK216" s="13">
        <f>IF(GB216=1,$GB$35,$GB$36)</f>
        <v>0</v>
      </c>
      <c r="GL216" s="13">
        <f>OCC_DAYS*$GB$41*R_NF_2023-GD216*MCD_SHARE_FREED*R_WAIT_2023</f>
        <v>37367.159242427646</v>
      </c>
      <c r="GM216">
        <f>IF($A216&lt;=$GB$45,1,0)</f>
        <v>1</v>
      </c>
      <c r="HB216">
        <f>IF($HB$31&lt;=$HB$32,IF($A216&lt;=$HB$7,1,2),IF($A216&lt;=RUNG_BEDS_2,2,1))</f>
        <v>1</v>
      </c>
      <c r="HC216" s="5">
        <f>MIN(1,MAX(0,$HB$26-($A216-1)))</f>
        <v>1</v>
      </c>
      <c r="HD216" s="5">
        <f>$HB$25*(HC216+(1-HC216)*$HB$16)</f>
        <v>252.05322714681438</v>
      </c>
      <c r="HE216" s="13">
        <f>HD216*($HB$6+ACUTE_MARGIN)</f>
        <v>254573.7594182825</v>
      </c>
      <c r="HF216" s="13">
        <f>IF(HB216=1,$HB$31,$HB$32)</f>
        <v>152456.2970814058</v>
      </c>
      <c r="HG216" s="13">
        <f>HE216-HF216</f>
        <v>102117.46233687672</v>
      </c>
      <c r="HH216" s="13">
        <f>HH215+HG216</f>
        <v>13581622.490804628</v>
      </c>
      <c r="HI216">
        <f>IF(HH216=MAX($HH$83:$HH$483),$A216,0)</f>
        <v>0</v>
      </c>
      <c r="HJ216">
        <f>IF(HE216&lt;HF216,$A216,B_MAX+1)</f>
        <v>401.0</v>
      </c>
      <c r="HK216" s="13">
        <f>IF(HB216=1,$HB$35,$HB$36)</f>
        <v>0</v>
      </c>
      <c r="HL216" s="13">
        <f>OCC_DAYS*$HB$41*R_NF_2023-HD216*MCD_SHARE_FREED*R_WAIT_2023</f>
        <v>37367.159242427646</v>
      </c>
      <c r="HM216">
        <f>IF($A216&lt;=$HB$45,1,0)</f>
        <v>1</v>
      </c>
      <c r="IB216">
        <f>IF($IB$31&lt;=$IB$32,IF($A216&lt;=$IB$7,1,2),IF($A216&lt;=RUNG_BEDS_2,2,1))</f>
        <v>1</v>
      </c>
      <c r="IC216" s="5">
        <f>MIN(1,MAX(0,$IB$26-($A216-1)))</f>
        <v>1</v>
      </c>
      <c r="ID216" s="5">
        <f>$IB$25*(IC216+(1-IC216)*$IB$16)</f>
        <v>252.05322714681438</v>
      </c>
      <c r="IE216" s="13">
        <f>ID216*($IB$6+ACUTE_MARGIN)</f>
        <v>254573.7594182825</v>
      </c>
      <c r="IF216" s="13">
        <f>IF(IB216=1,$IB$31,$IB$32)</f>
        <v>152734.9994534971</v>
      </c>
      <c r="IG216" s="13">
        <f>IE216-IF216</f>
        <v>101838.75996478542</v>
      </c>
      <c r="IH216" s="13">
        <f>IH215+IG216</f>
        <v>13544555.075316427</v>
      </c>
      <c r="II216">
        <f>IF(IH216=MAX($IH$83:$IH$483),$A216,0)</f>
        <v>0</v>
      </c>
      <c r="IJ216">
        <f>IF(IE216&lt;IF216,$A216,B_MAX+1)</f>
        <v>401.0</v>
      </c>
      <c r="IK216" s="13">
        <f>IF(IB216=1,$IB$35,$IB$36)</f>
        <v>0</v>
      </c>
      <c r="IL216" s="13">
        <f>OCC_DAYS*$IB$41*R_NF_2023-ID216*MCD_SHARE_FREED*R_WAIT_2023</f>
        <v>37367.159242427646</v>
      </c>
      <c r="IM216">
        <f>IF($A216&lt;=$IB$45,1,0)</f>
        <v>1</v>
      </c>
      <c r="JB216">
        <f>IF($JB$31&lt;=$JB$32,IF($A216&lt;=$JB$7,1,2),IF($A216&lt;=RUNG_BEDS_2,2,1))</f>
        <v>1</v>
      </c>
      <c r="JC216" s="5">
        <f>MIN(1,MAX(0,$JB$26-($A216-1)))</f>
        <v>1</v>
      </c>
      <c r="JD216" s="5">
        <f>$JB$25*(JC216+(1-JC216)*$JB$16)</f>
        <v>252.05322714681438</v>
      </c>
      <c r="JE216" s="13">
        <f>JD216*($JB$6+ACUTE_MARGIN)</f>
        <v>254573.7594182825</v>
      </c>
      <c r="JF216" s="13">
        <f>IF(JB216=1,$JB$31,$JB$32)</f>
        <v>152394.16214437486</v>
      </c>
      <c r="JG216" s="13">
        <f>JE216-JF216</f>
        <v>102179.59727390765</v>
      </c>
      <c r="JH216" s="13">
        <f>JH215+JG216</f>
        <v>13589886.437429762</v>
      </c>
      <c r="JI216">
        <f>IF(JH216=MAX($JH$83:$JH$483),$A216,0)</f>
        <v>0</v>
      </c>
      <c r="JJ216">
        <f>IF(JE216&lt;JF216,$A216,B_MAX+1)</f>
        <v>401.0</v>
      </c>
      <c r="JK216" s="13">
        <f>IF(JB216=1,$JB$35,$JB$36)</f>
        <v>0</v>
      </c>
      <c r="JL216" s="13">
        <f>OCC_DAYS*$JB$41*R_NF_2023-JD216*MCD_SHARE_FREED*R_WAIT_2023</f>
        <v>37367.159242427646</v>
      </c>
      <c r="JM216">
        <f>IF($A216&lt;=$JB$45,1,0)</f>
        <v>1</v>
      </c>
      <c r="KB216">
        <f>IF($KB$31&lt;=$KB$32,IF($A216&lt;=$KB$7,1,2),IF($A216&lt;=RUNG_BEDS_2,2,1))</f>
        <v>1</v>
      </c>
      <c r="KC216" s="5">
        <f>MIN(1,MAX(0,$KB$26-($A216-1)))</f>
        <v>1</v>
      </c>
      <c r="KD216" s="5">
        <f>$KB$25*(KC216+(1-KC216)*$KB$16)</f>
        <v>126.02661357340719</v>
      </c>
      <c r="KE216" s="13">
        <f>KD216*($KB$6+ACUTE_MARGIN)</f>
        <v>127286.87970914126</v>
      </c>
      <c r="KF216" s="13">
        <f>IF(KB216=1,$KB$31,$KB$32)</f>
        <v>152394.16214437486</v>
      </c>
      <c r="KG216" s="13">
        <f>KE216-KF216</f>
        <v>-25107.282435233603</v>
      </c>
      <c r="KH216" s="13">
        <f>KH215+KG216</f>
        <v>-3339268.563886078</v>
      </c>
      <c r="KI216">
        <f>IF(KH216=MAX($KH$83:$KH$483),$A216,0)</f>
        <v>0</v>
      </c>
      <c r="KJ216">
        <f>IF(KE216&lt;KF216,$A216,B_MAX+1)</f>
        <v>133</v>
      </c>
      <c r="KK216" s="13">
        <f>IF(KB216=1,$KB$35,$KB$36)</f>
        <v>0</v>
      </c>
      <c r="KL216" s="13">
        <f>OCC_DAYS*$KB$41*R_NF_2023-KD216*MCD_SHARE_FREED*R_WAIT_2023</f>
        <v>94673.82103225985</v>
      </c>
      <c r="KM216">
        <f>IF($A216&lt;=$KB$45,1,0)</f>
        <v>0</v>
      </c>
      <c r="LB216">
        <f>IF($LB$31&lt;=$LB$32,IF($A216&lt;=$LB$7,1,2),IF($A216&lt;=RUNG_BEDS_2,2,1))</f>
        <v>1</v>
      </c>
      <c r="LC216" s="5">
        <f>MIN(1,MAX(0,$LB$26-($A216-1)))</f>
        <v>1</v>
      </c>
      <c r="LD216" s="5">
        <f>$LB$25*(LC216+(1-LC216)*$LB$16)</f>
        <v>84.01774238227146</v>
      </c>
      <c r="LE216" s="13">
        <f>LD216*($LB$6+ACUTE_MARGIN)</f>
        <v>84857.91980609419</v>
      </c>
      <c r="LF216" s="13">
        <f>IF(LB216=1,$LB$31,$LB$32)</f>
        <v>152394.16214437486</v>
      </c>
      <c r="LG216" s="13">
        <f>LE216-LF216</f>
        <v>-67536.24233828067</v>
      </c>
      <c r="LH216" s="13">
        <f>LH215+LG216</f>
        <v>-8982320.23099136</v>
      </c>
      <c r="LI216">
        <f>IF(LH216=MAX($LH$83:$LH$483),$A216,0)</f>
        <v>0</v>
      </c>
      <c r="LJ216">
        <f>IF(LE216&lt;LF216,$A216,B_MAX+1)</f>
        <v>133</v>
      </c>
      <c r="LK216" s="13">
        <f>IF(LB216=1,$LB$35,$LB$36)</f>
        <v>0</v>
      </c>
      <c r="LL216" s="13">
        <f>OCC_DAYS*$LB$41*R_NF_2023-LD216*MCD_SHARE_FREED*R_WAIT_2023</f>
        <v>113776.04162887059</v>
      </c>
      <c r="LM216">
        <f>IF($A216&lt;=$LB$45,1,0)</f>
        <v>0</v>
      </c>
      <c r="MB216">
        <f>IF($MB$31&lt;=$MB$32,IF($A216&lt;=$MB$7,1,2),IF($A216&lt;=RUNG_BEDS_2,2,1))</f>
        <v>1</v>
      </c>
      <c r="MC216" s="5">
        <f>MIN(1,MAX(0,$MB$26-($A216-1)))</f>
        <v>1</v>
      </c>
      <c r="MD216" s="5">
        <f>$MB$25*(MC216+(1-MC216)*$MB$16)</f>
        <v>213.44610951008647</v>
      </c>
      <c r="ME216" s="13">
        <f>MD216*($MB$6+ACUTE_MARGIN)</f>
        <v>215580.57060518733</v>
      </c>
      <c r="MF216" s="13">
        <f>IF(MB216=1,$MB$31,$MB$32)</f>
        <v>152394.16214437486</v>
      </c>
      <c r="MG216" s="13">
        <f>ME216-MF216</f>
        <v>63186.40846081247</v>
      </c>
      <c r="MH216" s="13">
        <f>MH215+MG216</f>
        <v>8403792.325288074</v>
      </c>
      <c r="MI216">
        <f>IF(MH216=MAX($MH$83:$MH$483),$A216,0)</f>
        <v>0</v>
      </c>
      <c r="MJ216">
        <f>IF(ME216&lt;MF216,$A216,B_MAX+1)</f>
        <v>401.0</v>
      </c>
      <c r="MK216" s="13">
        <f>IF(MB216=1,$MB$35,$MB$36)</f>
        <v>0</v>
      </c>
      <c r="ML216" s="13">
        <f>OCC_DAYS*$MB$41*R_NF_2023-MD216*MCD_SHARE_FREED*R_WAIT_2023</f>
        <v>54922.538779778624</v>
      </c>
      <c r="MM216">
        <f>IF($A216&lt;=$MB$45,1,0)</f>
        <v>1</v>
      </c>
      <c r="NB216">
        <f>IF($NB$31&lt;=$NB$32,IF($A216&lt;=$NB$7,1,2),IF($A216&lt;=RUNG_BEDS_2,2,1))</f>
        <v>1</v>
      </c>
      <c r="NC216" s="5">
        <f>MIN(1,MAX(0,$NB$26-($A216-1)))</f>
        <v>1</v>
      </c>
      <c r="ND216" s="5">
        <f>$NB$25*(NC216+(1-NC216)*$NB$16)</f>
        <v>252.05322714681438</v>
      </c>
      <c r="NE216" s="13">
        <f>ND216*($NB$6+ACUTE_MARGIN)</f>
        <v>254573.7594182825</v>
      </c>
      <c r="NF216" s="13">
        <f>IF(NB216=1,$NB$31,$NB$32)</f>
        <v>152394.16214437486</v>
      </c>
      <c r="NG216" s="13">
        <f>NE216-NF216</f>
        <v>102179.59727390765</v>
      </c>
      <c r="NH216" s="13">
        <f>NH215+NG216</f>
        <v>13589886.437429762</v>
      </c>
      <c r="NI216">
        <f>IF(NH216=MAX($NH$83:$NH$483),$A216,0)</f>
        <v>0</v>
      </c>
      <c r="NJ216">
        <f>IF(NE216&lt;NF216,$A216,B_MAX+1)</f>
        <v>401.0</v>
      </c>
      <c r="NK216" s="13">
        <f>IF(NB216=1,$NB$35,$NB$36)</f>
        <v>0</v>
      </c>
      <c r="NL216" s="13">
        <f>OCC_DAYS*$NB$41*R_NF_2023-ND216*MCD_SHARE_FREED*R_WAIT_2023</f>
        <v>37367.159242427646</v>
      </c>
      <c r="NM216">
        <f>IF($A216&lt;=$NB$45,1,0)</f>
        <v>1</v>
      </c>
      <c r="OB216">
        <f>IF($OB$31&lt;=$OB$32,IF($A216&lt;=$OB$7,1,2),IF($A216&lt;=RUNG_BEDS_2,2,1))</f>
        <v>1</v>
      </c>
      <c r="OC216" s="5">
        <f>MIN(1,MAX(0,$OB$26-($A216-1)))</f>
        <v>1</v>
      </c>
      <c r="OD216" s="5">
        <f>$OB$25*(OC216+(1-OC216)*$OB$16)</f>
        <v>252.05322714681438</v>
      </c>
      <c r="OE216" s="13">
        <f>OD216*($OB$6+ACUTE_MARGIN)</f>
        <v>254573.7594182825</v>
      </c>
      <c r="OF216" s="13">
        <f>IF(OB216=1,$OB$31,$OB$32)</f>
        <v>152394.16214437486</v>
      </c>
      <c r="OG216" s="13">
        <f>OE216-OF216</f>
        <v>102179.59727390765</v>
      </c>
      <c r="OH216" s="13">
        <f>OH215+OG216</f>
        <v>13589886.437429762</v>
      </c>
      <c r="OI216">
        <f>IF(OH216=MAX($OH$83:$OH$483),$A216,0)</f>
        <v>0</v>
      </c>
      <c r="OJ216">
        <f>IF(OE216&lt;OF216,$A216,B_MAX+1)</f>
        <v>401.0</v>
      </c>
      <c r="OK216" s="13">
        <f>IF(OB216=1,$OB$35,$OB$36)</f>
        <v>0</v>
      </c>
      <c r="OL216" s="13">
        <f>OCC_DAYS*$OB$41*R_NF_2023-OD216*MCD_SHARE_FREED*R_WAIT_2023</f>
        <v>37367.159242427646</v>
      </c>
      <c r="OM216">
        <f>IF($A216&lt;=$OB$45,1,0)</f>
        <v>1</v>
      </c>
    </row>
    <row r="217">
      <c r="A217" t="n">
        <v>134</v>
      </c>
      <c r="B217">
        <f>IF($B$31&lt;=$B$32,IF($A217&lt;=$B$7,1,2),IF($A217&lt;=RUNG_BEDS_2,2,1))</f>
        <v>1</v>
      </c>
      <c r="C217" s="5">
        <f>MIN(1,MAX(0,$B$26-($A217-1)))</f>
        <v>1</v>
      </c>
      <c r="D217" s="5">
        <f>$B$25*(C217+(1-C217)*$B$16)</f>
        <v>252.05322714681438</v>
      </c>
      <c r="E217" s="13">
        <f>D217*($B$6+ACUTE_MARGIN)</f>
        <v>254573.7594182825</v>
      </c>
      <c r="F217" s="13">
        <f>IF(B217=1,$B$31,$B$32)</f>
        <v>152394.16214437486</v>
      </c>
      <c r="G217" s="13">
        <f>E217-F217</f>
        <v>102179.59727390765</v>
      </c>
      <c r="H217" s="13">
        <f>H216+G217</f>
        <v>13692066.03470367</v>
      </c>
      <c r="I217">
        <f>IF(H217=MAX($H$83:$H$483),$A217,0)</f>
        <v>0</v>
      </c>
      <c r="J217">
        <f>IF(E217&lt;F217,$A217,B_MAX+1)</f>
        <v>401.0</v>
      </c>
      <c r="K217" s="13">
        <f>IF(B217=1,$B$35,$B$36)</f>
        <v>0</v>
      </c>
      <c r="L217" s="13">
        <f>OCC_DAYS*$B$41*R_NF_2023-D217*MCD_SHARE_FREED*R_WAIT_2023</f>
        <v>37367.159242427646</v>
      </c>
      <c r="M217">
        <f>IF($A217&lt;=$B$45,1,0)</f>
        <v>1</v>
      </c>
      <c r="AB217">
        <f>IF($AB$31&lt;=$AB$32,IF($A217&lt;=$AB$7,1,2),IF($A217&lt;=RUNG_BEDS_2,2,1))</f>
        <v>1</v>
      </c>
      <c r="AC217" s="5">
        <f>MIN(1,MAX(0,$AB$26-($A217-1)))</f>
        <v>1</v>
      </c>
      <c r="AD217" s="5">
        <f>$AB$25*(AC217+(1-AC217)*$AB$16)</f>
        <v>252.05322714681438</v>
      </c>
      <c r="AE217" s="13">
        <f>AD217*($AB$6+ACUTE_MARGIN)</f>
        <v>138629.2749307479</v>
      </c>
      <c r="AF217" s="13">
        <f>IF(AB217=1,$AB$31,$AB$32)</f>
        <v>152394.16214437486</v>
      </c>
      <c r="AG217" s="13">
        <f>AE217-AF217</f>
        <v>-13764.887213626964</v>
      </c>
      <c r="AH217" s="13">
        <f>AH216+AG217</f>
        <v>-1844494.8866260098</v>
      </c>
      <c r="AI217">
        <f>IF(AH217=MAX($AH$83:$AH$483),$A217,0)</f>
        <v>0</v>
      </c>
      <c r="AJ217">
        <f>IF(AE217&lt;AF217,$A217,B_MAX+1)</f>
        <v>134</v>
      </c>
      <c r="AK217" s="13">
        <f>IF(AB217=1,$AB$35,$AB$36)</f>
        <v>0</v>
      </c>
      <c r="AL217" s="13">
        <f>OCC_DAYS*$AB$41*R_NF_2023-AD217*MCD_SHARE_FREED*R_WAIT_2023</f>
        <v>37367.159242427646</v>
      </c>
      <c r="AM217">
        <f>IF($A217&lt;=$AB$45,1,0)</f>
        <v>0</v>
      </c>
      <c r="BB217">
        <f>IF($BB$31&lt;=$BB$32,IF($A217&lt;=$BB$7,1,2),IF($A217&lt;=RUNG_BEDS_2,2,1))</f>
        <v>1</v>
      </c>
      <c r="BC217" s="5">
        <f>MIN(1,MAX(0,$BB$26-($A217-1)))</f>
        <v>1</v>
      </c>
      <c r="BD217" s="5">
        <f>$BB$25*(BC217+(1-BC217)*$BB$16)</f>
        <v>252.05322714681438</v>
      </c>
      <c r="BE217" s="13">
        <f>BD217*($BB$6+ACUTE_MARGIN)</f>
        <v>370518.24390581716</v>
      </c>
      <c r="BF217" s="13">
        <f>IF(BB217=1,$BB$31,$BB$32)</f>
        <v>152394.16214437486</v>
      </c>
      <c r="BG217" s="13">
        <f>BE217-BF217</f>
        <v>218124.0817614423</v>
      </c>
      <c r="BH217" s="13">
        <f>BH216+BG217</f>
        <v>29228626.95603325</v>
      </c>
      <c r="BI217">
        <f>IF(BH217=MAX($BH$83:$BH$483),$A217,0)</f>
        <v>0</v>
      </c>
      <c r="BJ217">
        <f>IF(BE217&lt;BF217,$A217,B_MAX+1)</f>
        <v>401.0</v>
      </c>
      <c r="BK217" s="13">
        <f>IF(BB217=1,$BB$35,$BB$36)</f>
        <v>0</v>
      </c>
      <c r="BL217" s="13">
        <f>OCC_DAYS*$BB$41*R_NF_2023-BD217*MCD_SHARE_FREED*R_WAIT_2023</f>
        <v>37367.159242427646</v>
      </c>
      <c r="BM217">
        <f>IF($A217&lt;=$BB$45,1,0)</f>
        <v>1</v>
      </c>
      <c r="CB217">
        <f>IF($CB$31&lt;=$CB$32,IF($A217&lt;=$CB$7,1,2),IF($A217&lt;=RUNG_BEDS_2,2,1))</f>
        <v>2</v>
      </c>
      <c r="CC217" s="5">
        <f>MIN(1,MAX(0,$CB$26-($A217-1)))</f>
        <v>1</v>
      </c>
      <c r="CD217" s="5">
        <f>$CB$25*(CC217+(1-CC217)*$CB$16)</f>
        <v>252.05322714681438</v>
      </c>
      <c r="CE217" s="13">
        <f>CD217*($CB$6+ACUTE_MARGIN)</f>
        <v>254573.7594182825</v>
      </c>
      <c r="CF217" s="13">
        <f>IF(CB217=1,$CB$31,$CB$32)</f>
        <v>160718.36940738867</v>
      </c>
      <c r="CG217" s="13">
        <f>CE217-CF217</f>
        <v>93855.39001089384</v>
      </c>
      <c r="CH217" s="13">
        <f>CH216+CG217</f>
        <v>12576622.261459772</v>
      </c>
      <c r="CI217">
        <f>IF(CH217=MAX($CH$83:$CH$483),$A217,0)</f>
        <v>0</v>
      </c>
      <c r="CJ217">
        <f>IF(CE217&lt;CF217,$A217,B_MAX+1)</f>
        <v>401.0</v>
      </c>
      <c r="CK217" s="13">
        <f>IF(CB217=1,$CB$35,$CB$36)</f>
        <v>1560.1194073886782</v>
      </c>
      <c r="CL217" s="13">
        <f>OCC_DAYS*$CB$41*R_NF_2023-CD217*MCD_SHARE_FREED*R_WAIT_2023</f>
        <v>37367.159242427646</v>
      </c>
      <c r="CM217">
        <f>IF($A217&lt;=$CB$45,1,0)</f>
        <v>1</v>
      </c>
      <c r="DB217">
        <f>IF($DB$31&lt;=$DB$32,IF($A217&lt;=$DB$7,1,2),IF($A217&lt;=RUNG_BEDS_2,2,1))</f>
        <v>1</v>
      </c>
      <c r="DC217" s="5">
        <f>MIN(1,MAX(0,$DB$26-($A217-1)))</f>
        <v>1</v>
      </c>
      <c r="DD217" s="5">
        <f>$DB$25*(DC217+(1-DC217)*$DB$16)</f>
        <v>252.05322714681438</v>
      </c>
      <c r="DE217" s="13">
        <f>DD217*($DB$6+ACUTE_MARGIN)</f>
        <v>254573.7594182825</v>
      </c>
      <c r="DF217" s="13">
        <f>IF(DB217=1,$DB$31,$DB$32)</f>
        <v>152394.16214437486</v>
      </c>
      <c r="DG217" s="13">
        <f>DE217-DF217</f>
        <v>102179.59727390765</v>
      </c>
      <c r="DH217" s="13">
        <f>DH216+DG217</f>
        <v>13692066.03470367</v>
      </c>
      <c r="DI217">
        <f>IF(DH217=MAX($DH$83:$DH$483),$A217,0)</f>
        <v>0</v>
      </c>
      <c r="DJ217">
        <f>IF(DE217&lt;DF217,$A217,B_MAX+1)</f>
        <v>401.0</v>
      </c>
      <c r="DK217" s="13">
        <f>IF(DB217=1,$DB$35,$DB$36)</f>
        <v>0</v>
      </c>
      <c r="DL217" s="13">
        <f>OCC_DAYS*$DB$41*R_NF_2023-DD217*MCD_SHARE_FREED*R_WAIT_2023</f>
        <v>37367.159242427646</v>
      </c>
      <c r="DM217">
        <f>IF($A217&lt;=$DB$45,1,0)</f>
        <v>1</v>
      </c>
      <c r="EB217">
        <f>IF($EB$31&lt;=$EB$32,IF($A217&lt;=$EB$7,1,2),IF($A217&lt;=RUNG_BEDS_2,2,1))</f>
        <v>1</v>
      </c>
      <c r="EC217" s="5">
        <f>MIN(1,MAX(0,$EB$26-($A217-1)))</f>
        <v>1</v>
      </c>
      <c r="ED217" s="5">
        <f>$EB$25*(EC217+(1-EC217)*$EB$16)</f>
        <v>252.05322714681438</v>
      </c>
      <c r="EE217" s="13">
        <f>ED217*($EB$6+ACUTE_MARGIN)</f>
        <v>254573.7594182825</v>
      </c>
      <c r="EF217" s="13">
        <f>IF(EB217=1,$EB$31,$EB$32)</f>
        <v>152394.16214437486</v>
      </c>
      <c r="EG217" s="13">
        <f>EE217-EF217</f>
        <v>102179.59727390765</v>
      </c>
      <c r="EH217" s="13">
        <f>EH216+EG217</f>
        <v>13692066.03470367</v>
      </c>
      <c r="EI217">
        <f>IF(EH217=MAX($EH$83:$EH$483),$A217,0)</f>
        <v>0</v>
      </c>
      <c r="EJ217">
        <f>IF(EE217&lt;EF217,$A217,B_MAX+1)</f>
        <v>401.0</v>
      </c>
      <c r="EK217" s="13">
        <f>IF(EB217=1,$EB$35,$EB$36)</f>
        <v>0</v>
      </c>
      <c r="EL217" s="13">
        <f>OCC_DAYS*$EB$41*R_NF_2023-ED217*MCD_SHARE_FREED*R_WAIT_2023</f>
        <v>-63953.16263896705</v>
      </c>
      <c r="EM217">
        <f>IF($A217&lt;=$EB$45,1,0)</f>
        <v>1</v>
      </c>
      <c r="FB217">
        <f>IF($FB$31&lt;=$FB$32,IF($A217&lt;=$FB$7,1,2),IF($A217&lt;=RUNG_BEDS_2,2,1))</f>
        <v>1</v>
      </c>
      <c r="FC217" s="5">
        <f>MIN(1,MAX(0,$FB$26-($A217-1)))</f>
        <v>1</v>
      </c>
      <c r="FD217" s="5">
        <f>$FB$25*(FC217+(1-FC217)*$FB$16)</f>
        <v>252.05322714681438</v>
      </c>
      <c r="FE217" s="13">
        <f>FD217*($FB$6+ACUTE_MARGIN)</f>
        <v>254573.7594182825</v>
      </c>
      <c r="FF217" s="13">
        <f>IF(FB217=1,$FB$31,$FB$32)</f>
        <v>156636.04979437485</v>
      </c>
      <c r="FG217" s="13">
        <f>FE217-FF217</f>
        <v>97937.70962390766</v>
      </c>
      <c r="FH217" s="13">
        <f>FH216+FG217</f>
        <v>13123653.089603584</v>
      </c>
      <c r="FI217">
        <f>IF(FH217=MAX($FH$83:$FH$483),$A217,0)</f>
        <v>0</v>
      </c>
      <c r="FJ217">
        <f>IF(FE217&lt;FF217,$A217,B_MAX+1)</f>
        <v>401.0</v>
      </c>
      <c r="FK217" s="13">
        <f>IF(FB217=1,$FB$35,$FB$36)</f>
        <v>0</v>
      </c>
      <c r="FL217" s="13">
        <f>OCC_DAYS*$FB$41*R_NF_2023-FD217*MCD_SHARE_FREED*R_WAIT_2023</f>
        <v>37367.159242427646</v>
      </c>
      <c r="FM217">
        <f>IF($A217&lt;=$FB$45,1,0)</f>
        <v>1</v>
      </c>
      <c r="GB217">
        <f>IF($GB$31&lt;=$GB$32,IF($A217&lt;=$GB$7,1,2),IF($A217&lt;=RUNG_BEDS_2,2,1))</f>
        <v>1</v>
      </c>
      <c r="GC217" s="5">
        <f>MIN(1,MAX(0,$GB$26-($A217-1)))</f>
        <v>1</v>
      </c>
      <c r="GD217" s="5">
        <f>$GB$25*(GC217+(1-GC217)*$GB$16)</f>
        <v>252.05322714681438</v>
      </c>
      <c r="GE217" s="13">
        <f>GD217*($GB$6+ACUTE_MARGIN)</f>
        <v>254573.7594182825</v>
      </c>
      <c r="GF217" s="13">
        <f>IF(GB217=1,$GB$31,$GB$32)</f>
        <v>152394.16214437486</v>
      </c>
      <c r="GG217" s="13">
        <f>GE217-GF217</f>
        <v>102179.59727390765</v>
      </c>
      <c r="GH217" s="13">
        <f>GH216+GG217</f>
        <v>13692066.03470367</v>
      </c>
      <c r="GI217">
        <f>IF(GH217=MAX($GH$83:$GH$483),$A217,0)</f>
        <v>0</v>
      </c>
      <c r="GJ217">
        <f>IF(GE217&lt;GF217,$A217,B_MAX+1)</f>
        <v>401.0</v>
      </c>
      <c r="GK217" s="13">
        <f>IF(GB217=1,$GB$35,$GB$36)</f>
        <v>0</v>
      </c>
      <c r="GL217" s="13">
        <f>OCC_DAYS*$GB$41*R_NF_2023-GD217*MCD_SHARE_FREED*R_WAIT_2023</f>
        <v>37367.159242427646</v>
      </c>
      <c r="GM217">
        <f>IF($A217&lt;=$GB$45,1,0)</f>
        <v>1</v>
      </c>
      <c r="HB217">
        <f>IF($HB$31&lt;=$HB$32,IF($A217&lt;=$HB$7,1,2),IF($A217&lt;=RUNG_BEDS_2,2,1))</f>
        <v>1</v>
      </c>
      <c r="HC217" s="5">
        <f>MIN(1,MAX(0,$HB$26-($A217-1)))</f>
        <v>1</v>
      </c>
      <c r="HD217" s="5">
        <f>$HB$25*(HC217+(1-HC217)*$HB$16)</f>
        <v>252.05322714681438</v>
      </c>
      <c r="HE217" s="13">
        <f>HD217*($HB$6+ACUTE_MARGIN)</f>
        <v>254573.7594182825</v>
      </c>
      <c r="HF217" s="13">
        <f>IF(HB217=1,$HB$31,$HB$32)</f>
        <v>152456.2970814058</v>
      </c>
      <c r="HG217" s="13">
        <f>HE217-HF217</f>
        <v>102117.46233687672</v>
      </c>
      <c r="HH217" s="13">
        <f>HH216+HG217</f>
        <v>13683739.953141505</v>
      </c>
      <c r="HI217">
        <f>IF(HH217=MAX($HH$83:$HH$483),$A217,0)</f>
        <v>0</v>
      </c>
      <c r="HJ217">
        <f>IF(HE217&lt;HF217,$A217,B_MAX+1)</f>
        <v>401.0</v>
      </c>
      <c r="HK217" s="13">
        <f>IF(HB217=1,$HB$35,$HB$36)</f>
        <v>0</v>
      </c>
      <c r="HL217" s="13">
        <f>OCC_DAYS*$HB$41*R_NF_2023-HD217*MCD_SHARE_FREED*R_WAIT_2023</f>
        <v>37367.159242427646</v>
      </c>
      <c r="HM217">
        <f>IF($A217&lt;=$HB$45,1,0)</f>
        <v>1</v>
      </c>
      <c r="IB217">
        <f>IF($IB$31&lt;=$IB$32,IF($A217&lt;=$IB$7,1,2),IF($A217&lt;=RUNG_BEDS_2,2,1))</f>
        <v>1</v>
      </c>
      <c r="IC217" s="5">
        <f>MIN(1,MAX(0,$IB$26-($A217-1)))</f>
        <v>1</v>
      </c>
      <c r="ID217" s="5">
        <f>$IB$25*(IC217+(1-IC217)*$IB$16)</f>
        <v>252.05322714681438</v>
      </c>
      <c r="IE217" s="13">
        <f>ID217*($IB$6+ACUTE_MARGIN)</f>
        <v>254573.7594182825</v>
      </c>
      <c r="IF217" s="13">
        <f>IF(IB217=1,$IB$31,$IB$32)</f>
        <v>152734.9994534971</v>
      </c>
      <c r="IG217" s="13">
        <f>IE217-IF217</f>
        <v>101838.75996478542</v>
      </c>
      <c r="IH217" s="13">
        <f>IH216+IG217</f>
        <v>13646393.835281212</v>
      </c>
      <c r="II217">
        <f>IF(IH217=MAX($IH$83:$IH$483),$A217,0)</f>
        <v>0</v>
      </c>
      <c r="IJ217">
        <f>IF(IE217&lt;IF217,$A217,B_MAX+1)</f>
        <v>401.0</v>
      </c>
      <c r="IK217" s="13">
        <f>IF(IB217=1,$IB$35,$IB$36)</f>
        <v>0</v>
      </c>
      <c r="IL217" s="13">
        <f>OCC_DAYS*$IB$41*R_NF_2023-ID217*MCD_SHARE_FREED*R_WAIT_2023</f>
        <v>37367.159242427646</v>
      </c>
      <c r="IM217">
        <f>IF($A217&lt;=$IB$45,1,0)</f>
        <v>1</v>
      </c>
      <c r="JB217">
        <f>IF($JB$31&lt;=$JB$32,IF($A217&lt;=$JB$7,1,2),IF($A217&lt;=RUNG_BEDS_2,2,1))</f>
        <v>1</v>
      </c>
      <c r="JC217" s="5">
        <f>MIN(1,MAX(0,$JB$26-($A217-1)))</f>
        <v>1</v>
      </c>
      <c r="JD217" s="5">
        <f>$JB$25*(JC217+(1-JC217)*$JB$16)</f>
        <v>252.05322714681438</v>
      </c>
      <c r="JE217" s="13">
        <f>JD217*($JB$6+ACUTE_MARGIN)</f>
        <v>254573.7594182825</v>
      </c>
      <c r="JF217" s="13">
        <f>IF(JB217=1,$JB$31,$JB$32)</f>
        <v>152394.16214437486</v>
      </c>
      <c r="JG217" s="13">
        <f>JE217-JF217</f>
        <v>102179.59727390765</v>
      </c>
      <c r="JH217" s="13">
        <f>JH216+JG217</f>
        <v>13692066.03470367</v>
      </c>
      <c r="JI217">
        <f>IF(JH217=MAX($JH$83:$JH$483),$A217,0)</f>
        <v>0</v>
      </c>
      <c r="JJ217">
        <f>IF(JE217&lt;JF217,$A217,B_MAX+1)</f>
        <v>401.0</v>
      </c>
      <c r="JK217" s="13">
        <f>IF(JB217=1,$JB$35,$JB$36)</f>
        <v>0</v>
      </c>
      <c r="JL217" s="13">
        <f>OCC_DAYS*$JB$41*R_NF_2023-JD217*MCD_SHARE_FREED*R_WAIT_2023</f>
        <v>37367.159242427646</v>
      </c>
      <c r="JM217">
        <f>IF($A217&lt;=$JB$45,1,0)</f>
        <v>1</v>
      </c>
      <c r="KB217">
        <f>IF($KB$31&lt;=$KB$32,IF($A217&lt;=$KB$7,1,2),IF($A217&lt;=RUNG_BEDS_2,2,1))</f>
        <v>1</v>
      </c>
      <c r="KC217" s="5">
        <f>MIN(1,MAX(0,$KB$26-($A217-1)))</f>
        <v>1</v>
      </c>
      <c r="KD217" s="5">
        <f>$KB$25*(KC217+(1-KC217)*$KB$16)</f>
        <v>126.02661357340719</v>
      </c>
      <c r="KE217" s="13">
        <f>KD217*($KB$6+ACUTE_MARGIN)</f>
        <v>127286.87970914126</v>
      </c>
      <c r="KF217" s="13">
        <f>IF(KB217=1,$KB$31,$KB$32)</f>
        <v>152394.16214437486</v>
      </c>
      <c r="KG217" s="13">
        <f>KE217-KF217</f>
        <v>-25107.282435233603</v>
      </c>
      <c r="KH217" s="13">
        <f>KH216+KG217</f>
        <v>-3364375.846321312</v>
      </c>
      <c r="KI217">
        <f>IF(KH217=MAX($KH$83:$KH$483),$A217,0)</f>
        <v>0</v>
      </c>
      <c r="KJ217">
        <f>IF(KE217&lt;KF217,$A217,B_MAX+1)</f>
        <v>134</v>
      </c>
      <c r="KK217" s="13">
        <f>IF(KB217=1,$KB$35,$KB$36)</f>
        <v>0</v>
      </c>
      <c r="KL217" s="13">
        <f>OCC_DAYS*$KB$41*R_NF_2023-KD217*MCD_SHARE_FREED*R_WAIT_2023</f>
        <v>94673.82103225985</v>
      </c>
      <c r="KM217">
        <f>IF($A217&lt;=$KB$45,1,0)</f>
        <v>0</v>
      </c>
      <c r="LB217">
        <f>IF($LB$31&lt;=$LB$32,IF($A217&lt;=$LB$7,1,2),IF($A217&lt;=RUNG_BEDS_2,2,1))</f>
        <v>1</v>
      </c>
      <c r="LC217" s="5">
        <f>MIN(1,MAX(0,$LB$26-($A217-1)))</f>
        <v>1</v>
      </c>
      <c r="LD217" s="5">
        <f>$LB$25*(LC217+(1-LC217)*$LB$16)</f>
        <v>84.01774238227146</v>
      </c>
      <c r="LE217" s="13">
        <f>LD217*($LB$6+ACUTE_MARGIN)</f>
        <v>84857.91980609419</v>
      </c>
      <c r="LF217" s="13">
        <f>IF(LB217=1,$LB$31,$LB$32)</f>
        <v>152394.16214437486</v>
      </c>
      <c r="LG217" s="13">
        <f>LE217-LF217</f>
        <v>-67536.24233828067</v>
      </c>
      <c r="LH217" s="13">
        <f>LH216+LG217</f>
        <v>-9049856.47332964</v>
      </c>
      <c r="LI217">
        <f>IF(LH217=MAX($LH$83:$LH$483),$A217,0)</f>
        <v>0</v>
      </c>
      <c r="LJ217">
        <f>IF(LE217&lt;LF217,$A217,B_MAX+1)</f>
        <v>134</v>
      </c>
      <c r="LK217" s="13">
        <f>IF(LB217=1,$LB$35,$LB$36)</f>
        <v>0</v>
      </c>
      <c r="LL217" s="13">
        <f>OCC_DAYS*$LB$41*R_NF_2023-LD217*MCD_SHARE_FREED*R_WAIT_2023</f>
        <v>113776.04162887059</v>
      </c>
      <c r="LM217">
        <f>IF($A217&lt;=$LB$45,1,0)</f>
        <v>0</v>
      </c>
      <c r="MB217">
        <f>IF($MB$31&lt;=$MB$32,IF($A217&lt;=$MB$7,1,2),IF($A217&lt;=RUNG_BEDS_2,2,1))</f>
        <v>1</v>
      </c>
      <c r="MC217" s="5">
        <f>MIN(1,MAX(0,$MB$26-($A217-1)))</f>
        <v>1</v>
      </c>
      <c r="MD217" s="5">
        <f>$MB$25*(MC217+(1-MC217)*$MB$16)</f>
        <v>213.44610951008647</v>
      </c>
      <c r="ME217" s="13">
        <f>MD217*($MB$6+ACUTE_MARGIN)</f>
        <v>215580.57060518733</v>
      </c>
      <c r="MF217" s="13">
        <f>IF(MB217=1,$MB$31,$MB$32)</f>
        <v>152394.16214437486</v>
      </c>
      <c r="MG217" s="13">
        <f>ME217-MF217</f>
        <v>63186.40846081247</v>
      </c>
      <c r="MH217" s="13">
        <f>MH216+MG217</f>
        <v>8466978.733748887</v>
      </c>
      <c r="MI217">
        <f>IF(MH217=MAX($MH$83:$MH$483),$A217,0)</f>
        <v>0</v>
      </c>
      <c r="MJ217">
        <f>IF(ME217&lt;MF217,$A217,B_MAX+1)</f>
        <v>401.0</v>
      </c>
      <c r="MK217" s="13">
        <f>IF(MB217=1,$MB$35,$MB$36)</f>
        <v>0</v>
      </c>
      <c r="ML217" s="13">
        <f>OCC_DAYS*$MB$41*R_NF_2023-MD217*MCD_SHARE_FREED*R_WAIT_2023</f>
        <v>54922.538779778624</v>
      </c>
      <c r="MM217">
        <f>IF($A217&lt;=$MB$45,1,0)</f>
        <v>1</v>
      </c>
      <c r="NB217">
        <f>IF($NB$31&lt;=$NB$32,IF($A217&lt;=$NB$7,1,2),IF($A217&lt;=RUNG_BEDS_2,2,1))</f>
        <v>1</v>
      </c>
      <c r="NC217" s="5">
        <f>MIN(1,MAX(0,$NB$26-($A217-1)))</f>
        <v>1</v>
      </c>
      <c r="ND217" s="5">
        <f>$NB$25*(NC217+(1-NC217)*$NB$16)</f>
        <v>252.05322714681438</v>
      </c>
      <c r="NE217" s="13">
        <f>ND217*($NB$6+ACUTE_MARGIN)</f>
        <v>254573.7594182825</v>
      </c>
      <c r="NF217" s="13">
        <f>IF(NB217=1,$NB$31,$NB$32)</f>
        <v>152394.16214437486</v>
      </c>
      <c r="NG217" s="13">
        <f>NE217-NF217</f>
        <v>102179.59727390765</v>
      </c>
      <c r="NH217" s="13">
        <f>NH216+NG217</f>
        <v>13692066.03470367</v>
      </c>
      <c r="NI217">
        <f>IF(NH217=MAX($NH$83:$NH$483),$A217,0)</f>
        <v>0</v>
      </c>
      <c r="NJ217">
        <f>IF(NE217&lt;NF217,$A217,B_MAX+1)</f>
        <v>401.0</v>
      </c>
      <c r="NK217" s="13">
        <f>IF(NB217=1,$NB$35,$NB$36)</f>
        <v>0</v>
      </c>
      <c r="NL217" s="13">
        <f>OCC_DAYS*$NB$41*R_NF_2023-ND217*MCD_SHARE_FREED*R_WAIT_2023</f>
        <v>37367.159242427646</v>
      </c>
      <c r="NM217">
        <f>IF($A217&lt;=$NB$45,1,0)</f>
        <v>1</v>
      </c>
      <c r="OB217">
        <f>IF($OB$31&lt;=$OB$32,IF($A217&lt;=$OB$7,1,2),IF($A217&lt;=RUNG_BEDS_2,2,1))</f>
        <v>1</v>
      </c>
      <c r="OC217" s="5">
        <f>MIN(1,MAX(0,$OB$26-($A217-1)))</f>
        <v>1</v>
      </c>
      <c r="OD217" s="5">
        <f>$OB$25*(OC217+(1-OC217)*$OB$16)</f>
        <v>252.05322714681438</v>
      </c>
      <c r="OE217" s="13">
        <f>OD217*($OB$6+ACUTE_MARGIN)</f>
        <v>254573.7594182825</v>
      </c>
      <c r="OF217" s="13">
        <f>IF(OB217=1,$OB$31,$OB$32)</f>
        <v>152394.16214437486</v>
      </c>
      <c r="OG217" s="13">
        <f>OE217-OF217</f>
        <v>102179.59727390765</v>
      </c>
      <c r="OH217" s="13">
        <f>OH216+OG217</f>
        <v>13692066.03470367</v>
      </c>
      <c r="OI217">
        <f>IF(OH217=MAX($OH$83:$OH$483),$A217,0)</f>
        <v>0</v>
      </c>
      <c r="OJ217">
        <f>IF(OE217&lt;OF217,$A217,B_MAX+1)</f>
        <v>401.0</v>
      </c>
      <c r="OK217" s="13">
        <f>IF(OB217=1,$OB$35,$OB$36)</f>
        <v>0</v>
      </c>
      <c r="OL217" s="13">
        <f>OCC_DAYS*$OB$41*R_NF_2023-OD217*MCD_SHARE_FREED*R_WAIT_2023</f>
        <v>37367.159242427646</v>
      </c>
      <c r="OM217">
        <f>IF($A217&lt;=$OB$45,1,0)</f>
        <v>1</v>
      </c>
    </row>
    <row r="218">
      <c r="A218" t="n">
        <v>135</v>
      </c>
      <c r="B218">
        <f>IF($B$31&lt;=$B$32,IF($A218&lt;=$B$7,1,2),IF($A218&lt;=RUNG_BEDS_2,2,1))</f>
        <v>1</v>
      </c>
      <c r="C218" s="5">
        <f>MIN(1,MAX(0,$B$26-($A218-1)))</f>
        <v>1</v>
      </c>
      <c r="D218" s="5">
        <f>$B$25*(C218+(1-C218)*$B$16)</f>
        <v>252.05322714681438</v>
      </c>
      <c r="E218" s="13">
        <f>D218*($B$6+ACUTE_MARGIN)</f>
        <v>254573.7594182825</v>
      </c>
      <c r="F218" s="13">
        <f>IF(B218=1,$B$31,$B$32)</f>
        <v>152394.16214437486</v>
      </c>
      <c r="G218" s="13">
        <f>E218-F218</f>
        <v>102179.59727390765</v>
      </c>
      <c r="H218" s="13">
        <f>H217+G218</f>
        <v>13794245.631977579</v>
      </c>
      <c r="I218">
        <f>IF(H218=MAX($H$83:$H$483),$A218,0)</f>
        <v>0</v>
      </c>
      <c r="J218">
        <f>IF(E218&lt;F218,$A218,B_MAX+1)</f>
        <v>401.0</v>
      </c>
      <c r="K218" s="13">
        <f>IF(B218=1,$B$35,$B$36)</f>
        <v>0</v>
      </c>
      <c r="L218" s="13">
        <f>OCC_DAYS*$B$41*R_NF_2023-D218*MCD_SHARE_FREED*R_WAIT_2023</f>
        <v>37367.159242427646</v>
      </c>
      <c r="M218">
        <f>IF($A218&lt;=$B$45,1,0)</f>
        <v>1</v>
      </c>
      <c r="AB218">
        <f>IF($AB$31&lt;=$AB$32,IF($A218&lt;=$AB$7,1,2),IF($A218&lt;=RUNG_BEDS_2,2,1))</f>
        <v>1</v>
      </c>
      <c r="AC218" s="5">
        <f>MIN(1,MAX(0,$AB$26-($A218-1)))</f>
        <v>1</v>
      </c>
      <c r="AD218" s="5">
        <f>$AB$25*(AC218+(1-AC218)*$AB$16)</f>
        <v>252.05322714681438</v>
      </c>
      <c r="AE218" s="13">
        <f>AD218*($AB$6+ACUTE_MARGIN)</f>
        <v>138629.2749307479</v>
      </c>
      <c r="AF218" s="13">
        <f>IF(AB218=1,$AB$31,$AB$32)</f>
        <v>152394.16214437486</v>
      </c>
      <c r="AG218" s="13">
        <f>AE218-AF218</f>
        <v>-13764.887213626964</v>
      </c>
      <c r="AH218" s="13">
        <f>AH217+AG218</f>
        <v>-1858259.7738396367</v>
      </c>
      <c r="AI218">
        <f>IF(AH218=MAX($AH$83:$AH$483),$A218,0)</f>
        <v>0</v>
      </c>
      <c r="AJ218">
        <f>IF(AE218&lt;AF218,$A218,B_MAX+1)</f>
        <v>135</v>
      </c>
      <c r="AK218" s="13">
        <f>IF(AB218=1,$AB$35,$AB$36)</f>
        <v>0</v>
      </c>
      <c r="AL218" s="13">
        <f>OCC_DAYS*$AB$41*R_NF_2023-AD218*MCD_SHARE_FREED*R_WAIT_2023</f>
        <v>37367.159242427646</v>
      </c>
      <c r="AM218">
        <f>IF($A218&lt;=$AB$45,1,0)</f>
        <v>0</v>
      </c>
      <c r="BB218">
        <f>IF($BB$31&lt;=$BB$32,IF($A218&lt;=$BB$7,1,2),IF($A218&lt;=RUNG_BEDS_2,2,1))</f>
        <v>1</v>
      </c>
      <c r="BC218" s="5">
        <f>MIN(1,MAX(0,$BB$26-($A218-1)))</f>
        <v>1</v>
      </c>
      <c r="BD218" s="5">
        <f>$BB$25*(BC218+(1-BC218)*$BB$16)</f>
        <v>252.05322714681438</v>
      </c>
      <c r="BE218" s="13">
        <f>BD218*($BB$6+ACUTE_MARGIN)</f>
        <v>370518.24390581716</v>
      </c>
      <c r="BF218" s="13">
        <f>IF(BB218=1,$BB$31,$BB$32)</f>
        <v>152394.16214437486</v>
      </c>
      <c r="BG218" s="13">
        <f>BE218-BF218</f>
        <v>218124.0817614423</v>
      </c>
      <c r="BH218" s="13">
        <f>BH217+BG218</f>
        <v>29446751.03779469</v>
      </c>
      <c r="BI218">
        <f>IF(BH218=MAX($BH$83:$BH$483),$A218,0)</f>
        <v>0</v>
      </c>
      <c r="BJ218">
        <f>IF(BE218&lt;BF218,$A218,B_MAX+1)</f>
        <v>401.0</v>
      </c>
      <c r="BK218" s="13">
        <f>IF(BB218=1,$BB$35,$BB$36)</f>
        <v>0</v>
      </c>
      <c r="BL218" s="13">
        <f>OCC_DAYS*$BB$41*R_NF_2023-BD218*MCD_SHARE_FREED*R_WAIT_2023</f>
        <v>37367.159242427646</v>
      </c>
      <c r="BM218">
        <f>IF($A218&lt;=$BB$45,1,0)</f>
        <v>1</v>
      </c>
      <c r="CB218">
        <f>IF($CB$31&lt;=$CB$32,IF($A218&lt;=$CB$7,1,2),IF($A218&lt;=RUNG_BEDS_2,2,1))</f>
        <v>2</v>
      </c>
      <c r="CC218" s="5">
        <f>MIN(1,MAX(0,$CB$26-($A218-1)))</f>
        <v>1</v>
      </c>
      <c r="CD218" s="5">
        <f>$CB$25*(CC218+(1-CC218)*$CB$16)</f>
        <v>252.05322714681438</v>
      </c>
      <c r="CE218" s="13">
        <f>CD218*($CB$6+ACUTE_MARGIN)</f>
        <v>254573.7594182825</v>
      </c>
      <c r="CF218" s="13">
        <f>IF(CB218=1,$CB$31,$CB$32)</f>
        <v>160718.36940738867</v>
      </c>
      <c r="CG218" s="13">
        <f>CE218-CF218</f>
        <v>93855.39001089384</v>
      </c>
      <c r="CH218" s="13">
        <f>CH217+CG218</f>
        <v>12670477.651470665</v>
      </c>
      <c r="CI218">
        <f>IF(CH218=MAX($CH$83:$CH$483),$A218,0)</f>
        <v>0</v>
      </c>
      <c r="CJ218">
        <f>IF(CE218&lt;CF218,$A218,B_MAX+1)</f>
        <v>401.0</v>
      </c>
      <c r="CK218" s="13">
        <f>IF(CB218=1,$CB$35,$CB$36)</f>
        <v>1560.1194073886782</v>
      </c>
      <c r="CL218" s="13">
        <f>OCC_DAYS*$CB$41*R_NF_2023-CD218*MCD_SHARE_FREED*R_WAIT_2023</f>
        <v>37367.159242427646</v>
      </c>
      <c r="CM218">
        <f>IF($A218&lt;=$CB$45,1,0)</f>
        <v>1</v>
      </c>
      <c r="DB218">
        <f>IF($DB$31&lt;=$DB$32,IF($A218&lt;=$DB$7,1,2),IF($A218&lt;=RUNG_BEDS_2,2,1))</f>
        <v>1</v>
      </c>
      <c r="DC218" s="5">
        <f>MIN(1,MAX(0,$DB$26-($A218-1)))</f>
        <v>1</v>
      </c>
      <c r="DD218" s="5">
        <f>$DB$25*(DC218+(1-DC218)*$DB$16)</f>
        <v>252.05322714681438</v>
      </c>
      <c r="DE218" s="13">
        <f>DD218*($DB$6+ACUTE_MARGIN)</f>
        <v>254573.7594182825</v>
      </c>
      <c r="DF218" s="13">
        <f>IF(DB218=1,$DB$31,$DB$32)</f>
        <v>152394.16214437486</v>
      </c>
      <c r="DG218" s="13">
        <f>DE218-DF218</f>
        <v>102179.59727390765</v>
      </c>
      <c r="DH218" s="13">
        <f>DH217+DG218</f>
        <v>13794245.631977579</v>
      </c>
      <c r="DI218">
        <f>IF(DH218=MAX($DH$83:$DH$483),$A218,0)</f>
        <v>0</v>
      </c>
      <c r="DJ218">
        <f>IF(DE218&lt;DF218,$A218,B_MAX+1)</f>
        <v>401.0</v>
      </c>
      <c r="DK218" s="13">
        <f>IF(DB218=1,$DB$35,$DB$36)</f>
        <v>0</v>
      </c>
      <c r="DL218" s="13">
        <f>OCC_DAYS*$DB$41*R_NF_2023-DD218*MCD_SHARE_FREED*R_WAIT_2023</f>
        <v>37367.159242427646</v>
      </c>
      <c r="DM218">
        <f>IF($A218&lt;=$DB$45,1,0)</f>
        <v>1</v>
      </c>
      <c r="EB218">
        <f>IF($EB$31&lt;=$EB$32,IF($A218&lt;=$EB$7,1,2),IF($A218&lt;=RUNG_BEDS_2,2,1))</f>
        <v>1</v>
      </c>
      <c r="EC218" s="5">
        <f>MIN(1,MAX(0,$EB$26-($A218-1)))</f>
        <v>1</v>
      </c>
      <c r="ED218" s="5">
        <f>$EB$25*(EC218+(1-EC218)*$EB$16)</f>
        <v>252.05322714681438</v>
      </c>
      <c r="EE218" s="13">
        <f>ED218*($EB$6+ACUTE_MARGIN)</f>
        <v>254573.7594182825</v>
      </c>
      <c r="EF218" s="13">
        <f>IF(EB218=1,$EB$31,$EB$32)</f>
        <v>152394.16214437486</v>
      </c>
      <c r="EG218" s="13">
        <f>EE218-EF218</f>
        <v>102179.59727390765</v>
      </c>
      <c r="EH218" s="13">
        <f>EH217+EG218</f>
        <v>13794245.631977579</v>
      </c>
      <c r="EI218">
        <f>IF(EH218=MAX($EH$83:$EH$483),$A218,0)</f>
        <v>0</v>
      </c>
      <c r="EJ218">
        <f>IF(EE218&lt;EF218,$A218,B_MAX+1)</f>
        <v>401.0</v>
      </c>
      <c r="EK218" s="13">
        <f>IF(EB218=1,$EB$35,$EB$36)</f>
        <v>0</v>
      </c>
      <c r="EL218" s="13">
        <f>OCC_DAYS*$EB$41*R_NF_2023-ED218*MCD_SHARE_FREED*R_WAIT_2023</f>
        <v>-63953.16263896705</v>
      </c>
      <c r="EM218">
        <f>IF($A218&lt;=$EB$45,1,0)</f>
        <v>1</v>
      </c>
      <c r="FB218">
        <f>IF($FB$31&lt;=$FB$32,IF($A218&lt;=$FB$7,1,2),IF($A218&lt;=RUNG_BEDS_2,2,1))</f>
        <v>1</v>
      </c>
      <c r="FC218" s="5">
        <f>MIN(1,MAX(0,$FB$26-($A218-1)))</f>
        <v>1</v>
      </c>
      <c r="FD218" s="5">
        <f>$FB$25*(FC218+(1-FC218)*$FB$16)</f>
        <v>252.05322714681438</v>
      </c>
      <c r="FE218" s="13">
        <f>FD218*($FB$6+ACUTE_MARGIN)</f>
        <v>254573.7594182825</v>
      </c>
      <c r="FF218" s="13">
        <f>IF(FB218=1,$FB$31,$FB$32)</f>
        <v>156636.04979437485</v>
      </c>
      <c r="FG218" s="13">
        <f>FE218-FF218</f>
        <v>97937.70962390766</v>
      </c>
      <c r="FH218" s="13">
        <f>FH217+FG218</f>
        <v>13221590.799227491</v>
      </c>
      <c r="FI218">
        <f>IF(FH218=MAX($FH$83:$FH$483),$A218,0)</f>
        <v>0</v>
      </c>
      <c r="FJ218">
        <f>IF(FE218&lt;FF218,$A218,B_MAX+1)</f>
        <v>401.0</v>
      </c>
      <c r="FK218" s="13">
        <f>IF(FB218=1,$FB$35,$FB$36)</f>
        <v>0</v>
      </c>
      <c r="FL218" s="13">
        <f>OCC_DAYS*$FB$41*R_NF_2023-FD218*MCD_SHARE_FREED*R_WAIT_2023</f>
        <v>37367.159242427646</v>
      </c>
      <c r="FM218">
        <f>IF($A218&lt;=$FB$45,1,0)</f>
        <v>1</v>
      </c>
      <c r="GB218">
        <f>IF($GB$31&lt;=$GB$32,IF($A218&lt;=$GB$7,1,2),IF($A218&lt;=RUNG_BEDS_2,2,1))</f>
        <v>1</v>
      </c>
      <c r="GC218" s="5">
        <f>MIN(1,MAX(0,$GB$26-($A218-1)))</f>
        <v>1</v>
      </c>
      <c r="GD218" s="5">
        <f>$GB$25*(GC218+(1-GC218)*$GB$16)</f>
        <v>252.05322714681438</v>
      </c>
      <c r="GE218" s="13">
        <f>GD218*($GB$6+ACUTE_MARGIN)</f>
        <v>254573.7594182825</v>
      </c>
      <c r="GF218" s="13">
        <f>IF(GB218=1,$GB$31,$GB$32)</f>
        <v>152394.16214437486</v>
      </c>
      <c r="GG218" s="13">
        <f>GE218-GF218</f>
        <v>102179.59727390765</v>
      </c>
      <c r="GH218" s="13">
        <f>GH217+GG218</f>
        <v>13794245.631977579</v>
      </c>
      <c r="GI218">
        <f>IF(GH218=MAX($GH$83:$GH$483),$A218,0)</f>
        <v>0</v>
      </c>
      <c r="GJ218">
        <f>IF(GE218&lt;GF218,$A218,B_MAX+1)</f>
        <v>401.0</v>
      </c>
      <c r="GK218" s="13">
        <f>IF(GB218=1,$GB$35,$GB$36)</f>
        <v>0</v>
      </c>
      <c r="GL218" s="13">
        <f>OCC_DAYS*$GB$41*R_NF_2023-GD218*MCD_SHARE_FREED*R_WAIT_2023</f>
        <v>37367.159242427646</v>
      </c>
      <c r="GM218">
        <f>IF($A218&lt;=$GB$45,1,0)</f>
        <v>1</v>
      </c>
      <c r="HB218">
        <f>IF($HB$31&lt;=$HB$32,IF($A218&lt;=$HB$7,1,2),IF($A218&lt;=RUNG_BEDS_2,2,1))</f>
        <v>1</v>
      </c>
      <c r="HC218" s="5">
        <f>MIN(1,MAX(0,$HB$26-($A218-1)))</f>
        <v>1</v>
      </c>
      <c r="HD218" s="5">
        <f>$HB$25*(HC218+(1-HC218)*$HB$16)</f>
        <v>252.05322714681438</v>
      </c>
      <c r="HE218" s="13">
        <f>HD218*($HB$6+ACUTE_MARGIN)</f>
        <v>254573.7594182825</v>
      </c>
      <c r="HF218" s="13">
        <f>IF(HB218=1,$HB$31,$HB$32)</f>
        <v>152456.2970814058</v>
      </c>
      <c r="HG218" s="13">
        <f>HE218-HF218</f>
        <v>102117.46233687672</v>
      </c>
      <c r="HH218" s="13">
        <f>HH217+HG218</f>
        <v>13785857.415478382</v>
      </c>
      <c r="HI218">
        <f>IF(HH218=MAX($HH$83:$HH$483),$A218,0)</f>
        <v>0</v>
      </c>
      <c r="HJ218">
        <f>IF(HE218&lt;HF218,$A218,B_MAX+1)</f>
        <v>401.0</v>
      </c>
      <c r="HK218" s="13">
        <f>IF(HB218=1,$HB$35,$HB$36)</f>
        <v>0</v>
      </c>
      <c r="HL218" s="13">
        <f>OCC_DAYS*$HB$41*R_NF_2023-HD218*MCD_SHARE_FREED*R_WAIT_2023</f>
        <v>37367.159242427646</v>
      </c>
      <c r="HM218">
        <f>IF($A218&lt;=$HB$45,1,0)</f>
        <v>1</v>
      </c>
      <c r="IB218">
        <f>IF($IB$31&lt;=$IB$32,IF($A218&lt;=$IB$7,1,2),IF($A218&lt;=RUNG_BEDS_2,2,1))</f>
        <v>1</v>
      </c>
      <c r="IC218" s="5">
        <f>MIN(1,MAX(0,$IB$26-($A218-1)))</f>
        <v>1</v>
      </c>
      <c r="ID218" s="5">
        <f>$IB$25*(IC218+(1-IC218)*$IB$16)</f>
        <v>252.05322714681438</v>
      </c>
      <c r="IE218" s="13">
        <f>ID218*($IB$6+ACUTE_MARGIN)</f>
        <v>254573.7594182825</v>
      </c>
      <c r="IF218" s="13">
        <f>IF(IB218=1,$IB$31,$IB$32)</f>
        <v>152734.9994534971</v>
      </c>
      <c r="IG218" s="13">
        <f>IE218-IF218</f>
        <v>101838.75996478542</v>
      </c>
      <c r="IH218" s="13">
        <f>IH217+IG218</f>
        <v>13748232.595245996</v>
      </c>
      <c r="II218">
        <f>IF(IH218=MAX($IH$83:$IH$483),$A218,0)</f>
        <v>0</v>
      </c>
      <c r="IJ218">
        <f>IF(IE218&lt;IF218,$A218,B_MAX+1)</f>
        <v>401.0</v>
      </c>
      <c r="IK218" s="13">
        <f>IF(IB218=1,$IB$35,$IB$36)</f>
        <v>0</v>
      </c>
      <c r="IL218" s="13">
        <f>OCC_DAYS*$IB$41*R_NF_2023-ID218*MCD_SHARE_FREED*R_WAIT_2023</f>
        <v>37367.159242427646</v>
      </c>
      <c r="IM218">
        <f>IF($A218&lt;=$IB$45,1,0)</f>
        <v>1</v>
      </c>
      <c r="JB218">
        <f>IF($JB$31&lt;=$JB$32,IF($A218&lt;=$JB$7,1,2),IF($A218&lt;=RUNG_BEDS_2,2,1))</f>
        <v>1</v>
      </c>
      <c r="JC218" s="5">
        <f>MIN(1,MAX(0,$JB$26-($A218-1)))</f>
        <v>1</v>
      </c>
      <c r="JD218" s="5">
        <f>$JB$25*(JC218+(1-JC218)*$JB$16)</f>
        <v>252.05322714681438</v>
      </c>
      <c r="JE218" s="13">
        <f>JD218*($JB$6+ACUTE_MARGIN)</f>
        <v>254573.7594182825</v>
      </c>
      <c r="JF218" s="13">
        <f>IF(JB218=1,$JB$31,$JB$32)</f>
        <v>152394.16214437486</v>
      </c>
      <c r="JG218" s="13">
        <f>JE218-JF218</f>
        <v>102179.59727390765</v>
      </c>
      <c r="JH218" s="13">
        <f>JH217+JG218</f>
        <v>13794245.631977579</v>
      </c>
      <c r="JI218">
        <f>IF(JH218=MAX($JH$83:$JH$483),$A218,0)</f>
        <v>0</v>
      </c>
      <c r="JJ218">
        <f>IF(JE218&lt;JF218,$A218,B_MAX+1)</f>
        <v>401.0</v>
      </c>
      <c r="JK218" s="13">
        <f>IF(JB218=1,$JB$35,$JB$36)</f>
        <v>0</v>
      </c>
      <c r="JL218" s="13">
        <f>OCC_DAYS*$JB$41*R_NF_2023-JD218*MCD_SHARE_FREED*R_WAIT_2023</f>
        <v>37367.159242427646</v>
      </c>
      <c r="JM218">
        <f>IF($A218&lt;=$JB$45,1,0)</f>
        <v>1</v>
      </c>
      <c r="KB218">
        <f>IF($KB$31&lt;=$KB$32,IF($A218&lt;=$KB$7,1,2),IF($A218&lt;=RUNG_BEDS_2,2,1))</f>
        <v>1</v>
      </c>
      <c r="KC218" s="5">
        <f>MIN(1,MAX(0,$KB$26-($A218-1)))</f>
        <v>1</v>
      </c>
      <c r="KD218" s="5">
        <f>$KB$25*(KC218+(1-KC218)*$KB$16)</f>
        <v>126.02661357340719</v>
      </c>
      <c r="KE218" s="13">
        <f>KD218*($KB$6+ACUTE_MARGIN)</f>
        <v>127286.87970914126</v>
      </c>
      <c r="KF218" s="13">
        <f>IF(KB218=1,$KB$31,$KB$32)</f>
        <v>152394.16214437486</v>
      </c>
      <c r="KG218" s="13">
        <f>KE218-KF218</f>
        <v>-25107.282435233603</v>
      </c>
      <c r="KH218" s="13">
        <f>KH217+KG218</f>
        <v>-3389483.1287565455</v>
      </c>
      <c r="KI218">
        <f>IF(KH218=MAX($KH$83:$KH$483),$A218,0)</f>
        <v>0</v>
      </c>
      <c r="KJ218">
        <f>IF(KE218&lt;KF218,$A218,B_MAX+1)</f>
        <v>135</v>
      </c>
      <c r="KK218" s="13">
        <f>IF(KB218=1,$KB$35,$KB$36)</f>
        <v>0</v>
      </c>
      <c r="KL218" s="13">
        <f>OCC_DAYS*$KB$41*R_NF_2023-KD218*MCD_SHARE_FREED*R_WAIT_2023</f>
        <v>94673.82103225985</v>
      </c>
      <c r="KM218">
        <f>IF($A218&lt;=$KB$45,1,0)</f>
        <v>0</v>
      </c>
      <c r="LB218">
        <f>IF($LB$31&lt;=$LB$32,IF($A218&lt;=$LB$7,1,2),IF($A218&lt;=RUNG_BEDS_2,2,1))</f>
        <v>1</v>
      </c>
      <c r="LC218" s="5">
        <f>MIN(1,MAX(0,$LB$26-($A218-1)))</f>
        <v>1</v>
      </c>
      <c r="LD218" s="5">
        <f>$LB$25*(LC218+(1-LC218)*$LB$16)</f>
        <v>84.01774238227146</v>
      </c>
      <c r="LE218" s="13">
        <f>LD218*($LB$6+ACUTE_MARGIN)</f>
        <v>84857.91980609419</v>
      </c>
      <c r="LF218" s="13">
        <f>IF(LB218=1,$LB$31,$LB$32)</f>
        <v>152394.16214437486</v>
      </c>
      <c r="LG218" s="13">
        <f>LE218-LF218</f>
        <v>-67536.24233828067</v>
      </c>
      <c r="LH218" s="13">
        <f>LH217+LG218</f>
        <v>-9117392.715667922</v>
      </c>
      <c r="LI218">
        <f>IF(LH218=MAX($LH$83:$LH$483),$A218,0)</f>
        <v>0</v>
      </c>
      <c r="LJ218">
        <f>IF(LE218&lt;LF218,$A218,B_MAX+1)</f>
        <v>135</v>
      </c>
      <c r="LK218" s="13">
        <f>IF(LB218=1,$LB$35,$LB$36)</f>
        <v>0</v>
      </c>
      <c r="LL218" s="13">
        <f>OCC_DAYS*$LB$41*R_NF_2023-LD218*MCD_SHARE_FREED*R_WAIT_2023</f>
        <v>113776.04162887059</v>
      </c>
      <c r="LM218">
        <f>IF($A218&lt;=$LB$45,1,0)</f>
        <v>0</v>
      </c>
      <c r="MB218">
        <f>IF($MB$31&lt;=$MB$32,IF($A218&lt;=$MB$7,1,2),IF($A218&lt;=RUNG_BEDS_2,2,1))</f>
        <v>1</v>
      </c>
      <c r="MC218" s="5">
        <f>MIN(1,MAX(0,$MB$26-($A218-1)))</f>
        <v>1</v>
      </c>
      <c r="MD218" s="5">
        <f>$MB$25*(MC218+(1-MC218)*$MB$16)</f>
        <v>213.44610951008647</v>
      </c>
      <c r="ME218" s="13">
        <f>MD218*($MB$6+ACUTE_MARGIN)</f>
        <v>215580.57060518733</v>
      </c>
      <c r="MF218" s="13">
        <f>IF(MB218=1,$MB$31,$MB$32)</f>
        <v>152394.16214437486</v>
      </c>
      <c r="MG218" s="13">
        <f>ME218-MF218</f>
        <v>63186.40846081247</v>
      </c>
      <c r="MH218" s="13">
        <f>MH217+MG218</f>
        <v>8530165.1422097</v>
      </c>
      <c r="MI218">
        <f>IF(MH218=MAX($MH$83:$MH$483),$A218,0)</f>
        <v>0</v>
      </c>
      <c r="MJ218">
        <f>IF(ME218&lt;MF218,$A218,B_MAX+1)</f>
        <v>401.0</v>
      </c>
      <c r="MK218" s="13">
        <f>IF(MB218=1,$MB$35,$MB$36)</f>
        <v>0</v>
      </c>
      <c r="ML218" s="13">
        <f>OCC_DAYS*$MB$41*R_NF_2023-MD218*MCD_SHARE_FREED*R_WAIT_2023</f>
        <v>54922.538779778624</v>
      </c>
      <c r="MM218">
        <f>IF($A218&lt;=$MB$45,1,0)</f>
        <v>1</v>
      </c>
      <c r="NB218">
        <f>IF($NB$31&lt;=$NB$32,IF($A218&lt;=$NB$7,1,2),IF($A218&lt;=RUNG_BEDS_2,2,1))</f>
        <v>1</v>
      </c>
      <c r="NC218" s="5">
        <f>MIN(1,MAX(0,$NB$26-($A218-1)))</f>
        <v>1</v>
      </c>
      <c r="ND218" s="5">
        <f>$NB$25*(NC218+(1-NC218)*$NB$16)</f>
        <v>252.05322714681438</v>
      </c>
      <c r="NE218" s="13">
        <f>ND218*($NB$6+ACUTE_MARGIN)</f>
        <v>254573.7594182825</v>
      </c>
      <c r="NF218" s="13">
        <f>IF(NB218=1,$NB$31,$NB$32)</f>
        <v>152394.16214437486</v>
      </c>
      <c r="NG218" s="13">
        <f>NE218-NF218</f>
        <v>102179.59727390765</v>
      </c>
      <c r="NH218" s="13">
        <f>NH217+NG218</f>
        <v>13794245.631977579</v>
      </c>
      <c r="NI218">
        <f>IF(NH218=MAX($NH$83:$NH$483),$A218,0)</f>
        <v>0</v>
      </c>
      <c r="NJ218">
        <f>IF(NE218&lt;NF218,$A218,B_MAX+1)</f>
        <v>401.0</v>
      </c>
      <c r="NK218" s="13">
        <f>IF(NB218=1,$NB$35,$NB$36)</f>
        <v>0</v>
      </c>
      <c r="NL218" s="13">
        <f>OCC_DAYS*$NB$41*R_NF_2023-ND218*MCD_SHARE_FREED*R_WAIT_2023</f>
        <v>37367.159242427646</v>
      </c>
      <c r="NM218">
        <f>IF($A218&lt;=$NB$45,1,0)</f>
        <v>1</v>
      </c>
      <c r="OB218">
        <f>IF($OB$31&lt;=$OB$32,IF($A218&lt;=$OB$7,1,2),IF($A218&lt;=RUNG_BEDS_2,2,1))</f>
        <v>1</v>
      </c>
      <c r="OC218" s="5">
        <f>MIN(1,MAX(0,$OB$26-($A218-1)))</f>
        <v>1</v>
      </c>
      <c r="OD218" s="5">
        <f>$OB$25*(OC218+(1-OC218)*$OB$16)</f>
        <v>252.05322714681438</v>
      </c>
      <c r="OE218" s="13">
        <f>OD218*($OB$6+ACUTE_MARGIN)</f>
        <v>254573.7594182825</v>
      </c>
      <c r="OF218" s="13">
        <f>IF(OB218=1,$OB$31,$OB$32)</f>
        <v>152394.16214437486</v>
      </c>
      <c r="OG218" s="13">
        <f>OE218-OF218</f>
        <v>102179.59727390765</v>
      </c>
      <c r="OH218" s="13">
        <f>OH217+OG218</f>
        <v>13794245.631977579</v>
      </c>
      <c r="OI218">
        <f>IF(OH218=MAX($OH$83:$OH$483),$A218,0)</f>
        <v>0</v>
      </c>
      <c r="OJ218">
        <f>IF(OE218&lt;OF218,$A218,B_MAX+1)</f>
        <v>401.0</v>
      </c>
      <c r="OK218" s="13">
        <f>IF(OB218=1,$OB$35,$OB$36)</f>
        <v>0</v>
      </c>
      <c r="OL218" s="13">
        <f>OCC_DAYS*$OB$41*R_NF_2023-OD218*MCD_SHARE_FREED*R_WAIT_2023</f>
        <v>37367.159242427646</v>
      </c>
      <c r="OM218">
        <f>IF($A218&lt;=$OB$45,1,0)</f>
        <v>1</v>
      </c>
    </row>
    <row r="219">
      <c r="A219" t="n">
        <v>136</v>
      </c>
      <c r="B219">
        <f>IF($B$31&lt;=$B$32,IF($A219&lt;=$B$7,1,2),IF($A219&lt;=RUNG_BEDS_2,2,1))</f>
        <v>1</v>
      </c>
      <c r="C219" s="5">
        <f>MIN(1,MAX(0,$B$26-($A219-1)))</f>
        <v>1</v>
      </c>
      <c r="D219" s="5">
        <f>$B$25*(C219+(1-C219)*$B$16)</f>
        <v>252.05322714681438</v>
      </c>
      <c r="E219" s="13">
        <f>D219*($B$6+ACUTE_MARGIN)</f>
        <v>254573.7594182825</v>
      </c>
      <c r="F219" s="13">
        <f>IF(B219=1,$B$31,$B$32)</f>
        <v>152394.16214437486</v>
      </c>
      <c r="G219" s="13">
        <f>E219-F219</f>
        <v>102179.59727390765</v>
      </c>
      <c r="H219" s="13">
        <f>H218+G219</f>
        <v>13896425.229251487</v>
      </c>
      <c r="I219">
        <f>IF(H219=MAX($H$83:$H$483),$A219,0)</f>
        <v>0</v>
      </c>
      <c r="J219">
        <f>IF(E219&lt;F219,$A219,B_MAX+1)</f>
        <v>401.0</v>
      </c>
      <c r="K219" s="13">
        <f>IF(B219=1,$B$35,$B$36)</f>
        <v>0</v>
      </c>
      <c r="L219" s="13">
        <f>OCC_DAYS*$B$41*R_NF_2023-D219*MCD_SHARE_FREED*R_WAIT_2023</f>
        <v>37367.159242427646</v>
      </c>
      <c r="M219">
        <f>IF($A219&lt;=$B$45,1,0)</f>
        <v>1</v>
      </c>
      <c r="AB219">
        <f>IF($AB$31&lt;=$AB$32,IF($A219&lt;=$AB$7,1,2),IF($A219&lt;=RUNG_BEDS_2,2,1))</f>
        <v>1</v>
      </c>
      <c r="AC219" s="5">
        <f>MIN(1,MAX(0,$AB$26-($A219-1)))</f>
        <v>1</v>
      </c>
      <c r="AD219" s="5">
        <f>$AB$25*(AC219+(1-AC219)*$AB$16)</f>
        <v>252.05322714681438</v>
      </c>
      <c r="AE219" s="13">
        <f>AD219*($AB$6+ACUTE_MARGIN)</f>
        <v>138629.2749307479</v>
      </c>
      <c r="AF219" s="13">
        <f>IF(AB219=1,$AB$31,$AB$32)</f>
        <v>152394.16214437486</v>
      </c>
      <c r="AG219" s="13">
        <f>AE219-AF219</f>
        <v>-13764.887213626964</v>
      </c>
      <c r="AH219" s="13">
        <f>AH218+AG219</f>
        <v>-1872024.6610532636</v>
      </c>
      <c r="AI219">
        <f>IF(AH219=MAX($AH$83:$AH$483),$A219,0)</f>
        <v>0</v>
      </c>
      <c r="AJ219">
        <f>IF(AE219&lt;AF219,$A219,B_MAX+1)</f>
        <v>136</v>
      </c>
      <c r="AK219" s="13">
        <f>IF(AB219=1,$AB$35,$AB$36)</f>
        <v>0</v>
      </c>
      <c r="AL219" s="13">
        <f>OCC_DAYS*$AB$41*R_NF_2023-AD219*MCD_SHARE_FREED*R_WAIT_2023</f>
        <v>37367.159242427646</v>
      </c>
      <c r="AM219">
        <f>IF($A219&lt;=$AB$45,1,0)</f>
        <v>0</v>
      </c>
      <c r="BB219">
        <f>IF($BB$31&lt;=$BB$32,IF($A219&lt;=$BB$7,1,2),IF($A219&lt;=RUNG_BEDS_2,2,1))</f>
        <v>1</v>
      </c>
      <c r="BC219" s="5">
        <f>MIN(1,MAX(0,$BB$26-($A219-1)))</f>
        <v>1</v>
      </c>
      <c r="BD219" s="5">
        <f>$BB$25*(BC219+(1-BC219)*$BB$16)</f>
        <v>252.05322714681438</v>
      </c>
      <c r="BE219" s="13">
        <f>BD219*($BB$6+ACUTE_MARGIN)</f>
        <v>370518.24390581716</v>
      </c>
      <c r="BF219" s="13">
        <f>IF(BB219=1,$BB$31,$BB$32)</f>
        <v>152394.16214437486</v>
      </c>
      <c r="BG219" s="13">
        <f>BE219-BF219</f>
        <v>218124.0817614423</v>
      </c>
      <c r="BH219" s="13">
        <f>BH218+BG219</f>
        <v>29664875.119556133</v>
      </c>
      <c r="BI219">
        <f>IF(BH219=MAX($BH$83:$BH$483),$A219,0)</f>
        <v>0</v>
      </c>
      <c r="BJ219">
        <f>IF(BE219&lt;BF219,$A219,B_MAX+1)</f>
        <v>401.0</v>
      </c>
      <c r="BK219" s="13">
        <f>IF(BB219=1,$BB$35,$BB$36)</f>
        <v>0</v>
      </c>
      <c r="BL219" s="13">
        <f>OCC_DAYS*$BB$41*R_NF_2023-BD219*MCD_SHARE_FREED*R_WAIT_2023</f>
        <v>37367.159242427646</v>
      </c>
      <c r="BM219">
        <f>IF($A219&lt;=$BB$45,1,0)</f>
        <v>1</v>
      </c>
      <c r="CB219">
        <f>IF($CB$31&lt;=$CB$32,IF($A219&lt;=$CB$7,1,2),IF($A219&lt;=RUNG_BEDS_2,2,1))</f>
        <v>2</v>
      </c>
      <c r="CC219" s="5">
        <f>MIN(1,MAX(0,$CB$26-($A219-1)))</f>
        <v>1</v>
      </c>
      <c r="CD219" s="5">
        <f>$CB$25*(CC219+(1-CC219)*$CB$16)</f>
        <v>252.05322714681438</v>
      </c>
      <c r="CE219" s="13">
        <f>CD219*($CB$6+ACUTE_MARGIN)</f>
        <v>254573.7594182825</v>
      </c>
      <c r="CF219" s="13">
        <f>IF(CB219=1,$CB$31,$CB$32)</f>
        <v>160718.36940738867</v>
      </c>
      <c r="CG219" s="13">
        <f>CE219-CF219</f>
        <v>93855.39001089384</v>
      </c>
      <c r="CH219" s="13">
        <f>CH218+CG219</f>
        <v>12764333.041481558</v>
      </c>
      <c r="CI219">
        <f>IF(CH219=MAX($CH$83:$CH$483),$A219,0)</f>
        <v>0</v>
      </c>
      <c r="CJ219">
        <f>IF(CE219&lt;CF219,$A219,B_MAX+1)</f>
        <v>401.0</v>
      </c>
      <c r="CK219" s="13">
        <f>IF(CB219=1,$CB$35,$CB$36)</f>
        <v>1560.1194073886782</v>
      </c>
      <c r="CL219" s="13">
        <f>OCC_DAYS*$CB$41*R_NF_2023-CD219*MCD_SHARE_FREED*R_WAIT_2023</f>
        <v>37367.159242427646</v>
      </c>
      <c r="CM219">
        <f>IF($A219&lt;=$CB$45,1,0)</f>
        <v>1</v>
      </c>
      <c r="DB219">
        <f>IF($DB$31&lt;=$DB$32,IF($A219&lt;=$DB$7,1,2),IF($A219&lt;=RUNG_BEDS_2,2,1))</f>
        <v>1</v>
      </c>
      <c r="DC219" s="5">
        <f>MIN(1,MAX(0,$DB$26-($A219-1)))</f>
        <v>1</v>
      </c>
      <c r="DD219" s="5">
        <f>$DB$25*(DC219+(1-DC219)*$DB$16)</f>
        <v>252.05322714681438</v>
      </c>
      <c r="DE219" s="13">
        <f>DD219*($DB$6+ACUTE_MARGIN)</f>
        <v>254573.7594182825</v>
      </c>
      <c r="DF219" s="13">
        <f>IF(DB219=1,$DB$31,$DB$32)</f>
        <v>152394.16214437486</v>
      </c>
      <c r="DG219" s="13">
        <f>DE219-DF219</f>
        <v>102179.59727390765</v>
      </c>
      <c r="DH219" s="13">
        <f>DH218+DG219</f>
        <v>13896425.229251487</v>
      </c>
      <c r="DI219">
        <f>IF(DH219=MAX($DH$83:$DH$483),$A219,0)</f>
        <v>0</v>
      </c>
      <c r="DJ219">
        <f>IF(DE219&lt;DF219,$A219,B_MAX+1)</f>
        <v>401.0</v>
      </c>
      <c r="DK219" s="13">
        <f>IF(DB219=1,$DB$35,$DB$36)</f>
        <v>0</v>
      </c>
      <c r="DL219" s="13">
        <f>OCC_DAYS*$DB$41*R_NF_2023-DD219*MCD_SHARE_FREED*R_WAIT_2023</f>
        <v>37367.159242427646</v>
      </c>
      <c r="DM219">
        <f>IF($A219&lt;=$DB$45,1,0)</f>
        <v>1</v>
      </c>
      <c r="EB219">
        <f>IF($EB$31&lt;=$EB$32,IF($A219&lt;=$EB$7,1,2),IF($A219&lt;=RUNG_BEDS_2,2,1))</f>
        <v>1</v>
      </c>
      <c r="EC219" s="5">
        <f>MIN(1,MAX(0,$EB$26-($A219-1)))</f>
        <v>1</v>
      </c>
      <c r="ED219" s="5">
        <f>$EB$25*(EC219+(1-EC219)*$EB$16)</f>
        <v>252.05322714681438</v>
      </c>
      <c r="EE219" s="13">
        <f>ED219*($EB$6+ACUTE_MARGIN)</f>
        <v>254573.7594182825</v>
      </c>
      <c r="EF219" s="13">
        <f>IF(EB219=1,$EB$31,$EB$32)</f>
        <v>152394.16214437486</v>
      </c>
      <c r="EG219" s="13">
        <f>EE219-EF219</f>
        <v>102179.59727390765</v>
      </c>
      <c r="EH219" s="13">
        <f>EH218+EG219</f>
        <v>13896425.229251487</v>
      </c>
      <c r="EI219">
        <f>IF(EH219=MAX($EH$83:$EH$483),$A219,0)</f>
        <v>0</v>
      </c>
      <c r="EJ219">
        <f>IF(EE219&lt;EF219,$A219,B_MAX+1)</f>
        <v>401.0</v>
      </c>
      <c r="EK219" s="13">
        <f>IF(EB219=1,$EB$35,$EB$36)</f>
        <v>0</v>
      </c>
      <c r="EL219" s="13">
        <f>OCC_DAYS*$EB$41*R_NF_2023-ED219*MCD_SHARE_FREED*R_WAIT_2023</f>
        <v>-63953.16263896705</v>
      </c>
      <c r="EM219">
        <f>IF($A219&lt;=$EB$45,1,0)</f>
        <v>1</v>
      </c>
      <c r="FB219">
        <f>IF($FB$31&lt;=$FB$32,IF($A219&lt;=$FB$7,1,2),IF($A219&lt;=RUNG_BEDS_2,2,1))</f>
        <v>1</v>
      </c>
      <c r="FC219" s="5">
        <f>MIN(1,MAX(0,$FB$26-($A219-1)))</f>
        <v>1</v>
      </c>
      <c r="FD219" s="5">
        <f>$FB$25*(FC219+(1-FC219)*$FB$16)</f>
        <v>252.05322714681438</v>
      </c>
      <c r="FE219" s="13">
        <f>FD219*($FB$6+ACUTE_MARGIN)</f>
        <v>254573.7594182825</v>
      </c>
      <c r="FF219" s="13">
        <f>IF(FB219=1,$FB$31,$FB$32)</f>
        <v>156636.04979437485</v>
      </c>
      <c r="FG219" s="13">
        <f>FE219-FF219</f>
        <v>97937.70962390766</v>
      </c>
      <c r="FH219" s="13">
        <f>FH218+FG219</f>
        <v>13319528.508851398</v>
      </c>
      <c r="FI219">
        <f>IF(FH219=MAX($FH$83:$FH$483),$A219,0)</f>
        <v>0</v>
      </c>
      <c r="FJ219">
        <f>IF(FE219&lt;FF219,$A219,B_MAX+1)</f>
        <v>401.0</v>
      </c>
      <c r="FK219" s="13">
        <f>IF(FB219=1,$FB$35,$FB$36)</f>
        <v>0</v>
      </c>
      <c r="FL219" s="13">
        <f>OCC_DAYS*$FB$41*R_NF_2023-FD219*MCD_SHARE_FREED*R_WAIT_2023</f>
        <v>37367.159242427646</v>
      </c>
      <c r="FM219">
        <f>IF($A219&lt;=$FB$45,1,0)</f>
        <v>1</v>
      </c>
      <c r="GB219">
        <f>IF($GB$31&lt;=$GB$32,IF($A219&lt;=$GB$7,1,2),IF($A219&lt;=RUNG_BEDS_2,2,1))</f>
        <v>1</v>
      </c>
      <c r="GC219" s="5">
        <f>MIN(1,MAX(0,$GB$26-($A219-1)))</f>
        <v>1</v>
      </c>
      <c r="GD219" s="5">
        <f>$GB$25*(GC219+(1-GC219)*$GB$16)</f>
        <v>252.05322714681438</v>
      </c>
      <c r="GE219" s="13">
        <f>GD219*($GB$6+ACUTE_MARGIN)</f>
        <v>254573.7594182825</v>
      </c>
      <c r="GF219" s="13">
        <f>IF(GB219=1,$GB$31,$GB$32)</f>
        <v>152394.16214437486</v>
      </c>
      <c r="GG219" s="13">
        <f>GE219-GF219</f>
        <v>102179.59727390765</v>
      </c>
      <c r="GH219" s="13">
        <f>GH218+GG219</f>
        <v>13896425.229251487</v>
      </c>
      <c r="GI219">
        <f>IF(GH219=MAX($GH$83:$GH$483),$A219,0)</f>
        <v>0</v>
      </c>
      <c r="GJ219">
        <f>IF(GE219&lt;GF219,$A219,B_MAX+1)</f>
        <v>401.0</v>
      </c>
      <c r="GK219" s="13">
        <f>IF(GB219=1,$GB$35,$GB$36)</f>
        <v>0</v>
      </c>
      <c r="GL219" s="13">
        <f>OCC_DAYS*$GB$41*R_NF_2023-GD219*MCD_SHARE_FREED*R_WAIT_2023</f>
        <v>37367.159242427646</v>
      </c>
      <c r="GM219">
        <f>IF($A219&lt;=$GB$45,1,0)</f>
        <v>1</v>
      </c>
      <c r="HB219">
        <f>IF($HB$31&lt;=$HB$32,IF($A219&lt;=$HB$7,1,2),IF($A219&lt;=RUNG_BEDS_2,2,1))</f>
        <v>1</v>
      </c>
      <c r="HC219" s="5">
        <f>MIN(1,MAX(0,$HB$26-($A219-1)))</f>
        <v>1</v>
      </c>
      <c r="HD219" s="5">
        <f>$HB$25*(HC219+(1-HC219)*$HB$16)</f>
        <v>252.05322714681438</v>
      </c>
      <c r="HE219" s="13">
        <f>HD219*($HB$6+ACUTE_MARGIN)</f>
        <v>254573.7594182825</v>
      </c>
      <c r="HF219" s="13">
        <f>IF(HB219=1,$HB$31,$HB$32)</f>
        <v>152456.2970814058</v>
      </c>
      <c r="HG219" s="13">
        <f>HE219-HF219</f>
        <v>102117.46233687672</v>
      </c>
      <c r="HH219" s="13">
        <f>HH218+HG219</f>
        <v>13887974.87781526</v>
      </c>
      <c r="HI219">
        <f>IF(HH219=MAX($HH$83:$HH$483),$A219,0)</f>
        <v>0</v>
      </c>
      <c r="HJ219">
        <f>IF(HE219&lt;HF219,$A219,B_MAX+1)</f>
        <v>401.0</v>
      </c>
      <c r="HK219" s="13">
        <f>IF(HB219=1,$HB$35,$HB$36)</f>
        <v>0</v>
      </c>
      <c r="HL219" s="13">
        <f>OCC_DAYS*$HB$41*R_NF_2023-HD219*MCD_SHARE_FREED*R_WAIT_2023</f>
        <v>37367.159242427646</v>
      </c>
      <c r="HM219">
        <f>IF($A219&lt;=$HB$45,1,0)</f>
        <v>1</v>
      </c>
      <c r="IB219">
        <f>IF($IB$31&lt;=$IB$32,IF($A219&lt;=$IB$7,1,2),IF($A219&lt;=RUNG_BEDS_2,2,1))</f>
        <v>1</v>
      </c>
      <c r="IC219" s="5">
        <f>MIN(1,MAX(0,$IB$26-($A219-1)))</f>
        <v>1</v>
      </c>
      <c r="ID219" s="5">
        <f>$IB$25*(IC219+(1-IC219)*$IB$16)</f>
        <v>252.05322714681438</v>
      </c>
      <c r="IE219" s="13">
        <f>ID219*($IB$6+ACUTE_MARGIN)</f>
        <v>254573.7594182825</v>
      </c>
      <c r="IF219" s="13">
        <f>IF(IB219=1,$IB$31,$IB$32)</f>
        <v>152734.9994534971</v>
      </c>
      <c r="IG219" s="13">
        <f>IE219-IF219</f>
        <v>101838.75996478542</v>
      </c>
      <c r="IH219" s="13">
        <f>IH218+IG219</f>
        <v>13850071.355210781</v>
      </c>
      <c r="II219">
        <f>IF(IH219=MAX($IH$83:$IH$483),$A219,0)</f>
        <v>0</v>
      </c>
      <c r="IJ219">
        <f>IF(IE219&lt;IF219,$A219,B_MAX+1)</f>
        <v>401.0</v>
      </c>
      <c r="IK219" s="13">
        <f>IF(IB219=1,$IB$35,$IB$36)</f>
        <v>0</v>
      </c>
      <c r="IL219" s="13">
        <f>OCC_DAYS*$IB$41*R_NF_2023-ID219*MCD_SHARE_FREED*R_WAIT_2023</f>
        <v>37367.159242427646</v>
      </c>
      <c r="IM219">
        <f>IF($A219&lt;=$IB$45,1,0)</f>
        <v>1</v>
      </c>
      <c r="JB219">
        <f>IF($JB$31&lt;=$JB$32,IF($A219&lt;=$JB$7,1,2),IF($A219&lt;=RUNG_BEDS_2,2,1))</f>
        <v>1</v>
      </c>
      <c r="JC219" s="5">
        <f>MIN(1,MAX(0,$JB$26-($A219-1)))</f>
        <v>1</v>
      </c>
      <c r="JD219" s="5">
        <f>$JB$25*(JC219+(1-JC219)*$JB$16)</f>
        <v>252.05322714681438</v>
      </c>
      <c r="JE219" s="13">
        <f>JD219*($JB$6+ACUTE_MARGIN)</f>
        <v>254573.7594182825</v>
      </c>
      <c r="JF219" s="13">
        <f>IF(JB219=1,$JB$31,$JB$32)</f>
        <v>152394.16214437486</v>
      </c>
      <c r="JG219" s="13">
        <f>JE219-JF219</f>
        <v>102179.59727390765</v>
      </c>
      <c r="JH219" s="13">
        <f>JH218+JG219</f>
        <v>13896425.229251487</v>
      </c>
      <c r="JI219">
        <f>IF(JH219=MAX($JH$83:$JH$483),$A219,0)</f>
        <v>0</v>
      </c>
      <c r="JJ219">
        <f>IF(JE219&lt;JF219,$A219,B_MAX+1)</f>
        <v>401.0</v>
      </c>
      <c r="JK219" s="13">
        <f>IF(JB219=1,$JB$35,$JB$36)</f>
        <v>0</v>
      </c>
      <c r="JL219" s="13">
        <f>OCC_DAYS*$JB$41*R_NF_2023-JD219*MCD_SHARE_FREED*R_WAIT_2023</f>
        <v>37367.159242427646</v>
      </c>
      <c r="JM219">
        <f>IF($A219&lt;=$JB$45,1,0)</f>
        <v>1</v>
      </c>
      <c r="KB219">
        <f>IF($KB$31&lt;=$KB$32,IF($A219&lt;=$KB$7,1,2),IF($A219&lt;=RUNG_BEDS_2,2,1))</f>
        <v>1</v>
      </c>
      <c r="KC219" s="5">
        <f>MIN(1,MAX(0,$KB$26-($A219-1)))</f>
        <v>1</v>
      </c>
      <c r="KD219" s="5">
        <f>$KB$25*(KC219+(1-KC219)*$KB$16)</f>
        <v>126.02661357340719</v>
      </c>
      <c r="KE219" s="13">
        <f>KD219*($KB$6+ACUTE_MARGIN)</f>
        <v>127286.87970914126</v>
      </c>
      <c r="KF219" s="13">
        <f>IF(KB219=1,$KB$31,$KB$32)</f>
        <v>152394.16214437486</v>
      </c>
      <c r="KG219" s="13">
        <f>KE219-KF219</f>
        <v>-25107.282435233603</v>
      </c>
      <c r="KH219" s="13">
        <f>KH218+KG219</f>
        <v>-3414590.411191779</v>
      </c>
      <c r="KI219">
        <f>IF(KH219=MAX($KH$83:$KH$483),$A219,0)</f>
        <v>0</v>
      </c>
      <c r="KJ219">
        <f>IF(KE219&lt;KF219,$A219,B_MAX+1)</f>
        <v>136</v>
      </c>
      <c r="KK219" s="13">
        <f>IF(KB219=1,$KB$35,$KB$36)</f>
        <v>0</v>
      </c>
      <c r="KL219" s="13">
        <f>OCC_DAYS*$KB$41*R_NF_2023-KD219*MCD_SHARE_FREED*R_WAIT_2023</f>
        <v>94673.82103225985</v>
      </c>
      <c r="KM219">
        <f>IF($A219&lt;=$KB$45,1,0)</f>
        <v>0</v>
      </c>
      <c r="LB219">
        <f>IF($LB$31&lt;=$LB$32,IF($A219&lt;=$LB$7,1,2),IF($A219&lt;=RUNG_BEDS_2,2,1))</f>
        <v>1</v>
      </c>
      <c r="LC219" s="5">
        <f>MIN(1,MAX(0,$LB$26-($A219-1)))</f>
        <v>1</v>
      </c>
      <c r="LD219" s="5">
        <f>$LB$25*(LC219+(1-LC219)*$LB$16)</f>
        <v>84.01774238227146</v>
      </c>
      <c r="LE219" s="13">
        <f>LD219*($LB$6+ACUTE_MARGIN)</f>
        <v>84857.91980609419</v>
      </c>
      <c r="LF219" s="13">
        <f>IF(LB219=1,$LB$31,$LB$32)</f>
        <v>152394.16214437486</v>
      </c>
      <c r="LG219" s="13">
        <f>LE219-LF219</f>
        <v>-67536.24233828067</v>
      </c>
      <c r="LH219" s="13">
        <f>LH218+LG219</f>
        <v>-9184928.958006203</v>
      </c>
      <c r="LI219">
        <f>IF(LH219=MAX($LH$83:$LH$483),$A219,0)</f>
        <v>0</v>
      </c>
      <c r="LJ219">
        <f>IF(LE219&lt;LF219,$A219,B_MAX+1)</f>
        <v>136</v>
      </c>
      <c r="LK219" s="13">
        <f>IF(LB219=1,$LB$35,$LB$36)</f>
        <v>0</v>
      </c>
      <c r="LL219" s="13">
        <f>OCC_DAYS*$LB$41*R_NF_2023-LD219*MCD_SHARE_FREED*R_WAIT_2023</f>
        <v>113776.04162887059</v>
      </c>
      <c r="LM219">
        <f>IF($A219&lt;=$LB$45,1,0)</f>
        <v>0</v>
      </c>
      <c r="MB219">
        <f>IF($MB$31&lt;=$MB$32,IF($A219&lt;=$MB$7,1,2),IF($A219&lt;=RUNG_BEDS_2,2,1))</f>
        <v>1</v>
      </c>
      <c r="MC219" s="5">
        <f>MIN(1,MAX(0,$MB$26-($A219-1)))</f>
        <v>1</v>
      </c>
      <c r="MD219" s="5">
        <f>$MB$25*(MC219+(1-MC219)*$MB$16)</f>
        <v>213.44610951008647</v>
      </c>
      <c r="ME219" s="13">
        <f>MD219*($MB$6+ACUTE_MARGIN)</f>
        <v>215580.57060518733</v>
      </c>
      <c r="MF219" s="13">
        <f>IF(MB219=1,$MB$31,$MB$32)</f>
        <v>152394.16214437486</v>
      </c>
      <c r="MG219" s="13">
        <f>ME219-MF219</f>
        <v>63186.40846081247</v>
      </c>
      <c r="MH219" s="13">
        <f>MH218+MG219</f>
        <v>8593351.550670512</v>
      </c>
      <c r="MI219">
        <f>IF(MH219=MAX($MH$83:$MH$483),$A219,0)</f>
        <v>0</v>
      </c>
      <c r="MJ219">
        <f>IF(ME219&lt;MF219,$A219,B_MAX+1)</f>
        <v>401.0</v>
      </c>
      <c r="MK219" s="13">
        <f>IF(MB219=1,$MB$35,$MB$36)</f>
        <v>0</v>
      </c>
      <c r="ML219" s="13">
        <f>OCC_DAYS*$MB$41*R_NF_2023-MD219*MCD_SHARE_FREED*R_WAIT_2023</f>
        <v>54922.538779778624</v>
      </c>
      <c r="MM219">
        <f>IF($A219&lt;=$MB$45,1,0)</f>
        <v>1</v>
      </c>
      <c r="NB219">
        <f>IF($NB$31&lt;=$NB$32,IF($A219&lt;=$NB$7,1,2),IF($A219&lt;=RUNG_BEDS_2,2,1))</f>
        <v>1</v>
      </c>
      <c r="NC219" s="5">
        <f>MIN(1,MAX(0,$NB$26-($A219-1)))</f>
        <v>1</v>
      </c>
      <c r="ND219" s="5">
        <f>$NB$25*(NC219+(1-NC219)*$NB$16)</f>
        <v>252.05322714681438</v>
      </c>
      <c r="NE219" s="13">
        <f>ND219*($NB$6+ACUTE_MARGIN)</f>
        <v>254573.7594182825</v>
      </c>
      <c r="NF219" s="13">
        <f>IF(NB219=1,$NB$31,$NB$32)</f>
        <v>152394.16214437486</v>
      </c>
      <c r="NG219" s="13">
        <f>NE219-NF219</f>
        <v>102179.59727390765</v>
      </c>
      <c r="NH219" s="13">
        <f>NH218+NG219</f>
        <v>13896425.229251487</v>
      </c>
      <c r="NI219">
        <f>IF(NH219=MAX($NH$83:$NH$483),$A219,0)</f>
        <v>0</v>
      </c>
      <c r="NJ219">
        <f>IF(NE219&lt;NF219,$A219,B_MAX+1)</f>
        <v>401.0</v>
      </c>
      <c r="NK219" s="13">
        <f>IF(NB219=1,$NB$35,$NB$36)</f>
        <v>0</v>
      </c>
      <c r="NL219" s="13">
        <f>OCC_DAYS*$NB$41*R_NF_2023-ND219*MCD_SHARE_FREED*R_WAIT_2023</f>
        <v>37367.159242427646</v>
      </c>
      <c r="NM219">
        <f>IF($A219&lt;=$NB$45,1,0)</f>
        <v>1</v>
      </c>
      <c r="OB219">
        <f>IF($OB$31&lt;=$OB$32,IF($A219&lt;=$OB$7,1,2),IF($A219&lt;=RUNG_BEDS_2,2,1))</f>
        <v>1</v>
      </c>
      <c r="OC219" s="5">
        <f>MIN(1,MAX(0,$OB$26-($A219-1)))</f>
        <v>1</v>
      </c>
      <c r="OD219" s="5">
        <f>$OB$25*(OC219+(1-OC219)*$OB$16)</f>
        <v>252.05322714681438</v>
      </c>
      <c r="OE219" s="13">
        <f>OD219*($OB$6+ACUTE_MARGIN)</f>
        <v>254573.7594182825</v>
      </c>
      <c r="OF219" s="13">
        <f>IF(OB219=1,$OB$31,$OB$32)</f>
        <v>152394.16214437486</v>
      </c>
      <c r="OG219" s="13">
        <f>OE219-OF219</f>
        <v>102179.59727390765</v>
      </c>
      <c r="OH219" s="13">
        <f>OH218+OG219</f>
        <v>13896425.229251487</v>
      </c>
      <c r="OI219">
        <f>IF(OH219=MAX($OH$83:$OH$483),$A219,0)</f>
        <v>0</v>
      </c>
      <c r="OJ219">
        <f>IF(OE219&lt;OF219,$A219,B_MAX+1)</f>
        <v>401.0</v>
      </c>
      <c r="OK219" s="13">
        <f>IF(OB219=1,$OB$35,$OB$36)</f>
        <v>0</v>
      </c>
      <c r="OL219" s="13">
        <f>OCC_DAYS*$OB$41*R_NF_2023-OD219*MCD_SHARE_FREED*R_WAIT_2023</f>
        <v>37367.159242427646</v>
      </c>
      <c r="OM219">
        <f>IF($A219&lt;=$OB$45,1,0)</f>
        <v>1</v>
      </c>
    </row>
    <row r="220">
      <c r="A220" t="n">
        <v>137</v>
      </c>
      <c r="B220">
        <f>IF($B$31&lt;=$B$32,IF($A220&lt;=$B$7,1,2),IF($A220&lt;=RUNG_BEDS_2,2,1))</f>
        <v>1</v>
      </c>
      <c r="C220" s="5">
        <f>MIN(1,MAX(0,$B$26-($A220-1)))</f>
        <v>1</v>
      </c>
      <c r="D220" s="5">
        <f>$B$25*(C220+(1-C220)*$B$16)</f>
        <v>252.05322714681438</v>
      </c>
      <c r="E220" s="13">
        <f>D220*($B$6+ACUTE_MARGIN)</f>
        <v>254573.7594182825</v>
      </c>
      <c r="F220" s="13">
        <f>IF(B220=1,$B$31,$B$32)</f>
        <v>152394.16214437486</v>
      </c>
      <c r="G220" s="13">
        <f>E220-F220</f>
        <v>102179.59727390765</v>
      </c>
      <c r="H220" s="13">
        <f>H219+G220</f>
        <v>13998604.826525396</v>
      </c>
      <c r="I220">
        <f>IF(H220=MAX($H$83:$H$483),$A220,0)</f>
        <v>0</v>
      </c>
      <c r="J220">
        <f>IF(E220&lt;F220,$A220,B_MAX+1)</f>
        <v>401.0</v>
      </c>
      <c r="K220" s="13">
        <f>IF(B220=1,$B$35,$B$36)</f>
        <v>0</v>
      </c>
      <c r="L220" s="13">
        <f>OCC_DAYS*$B$41*R_NF_2023-D220*MCD_SHARE_FREED*R_WAIT_2023</f>
        <v>37367.159242427646</v>
      </c>
      <c r="M220">
        <f>IF($A220&lt;=$B$45,1,0)</f>
        <v>1</v>
      </c>
      <c r="AB220">
        <f>IF($AB$31&lt;=$AB$32,IF($A220&lt;=$AB$7,1,2),IF($A220&lt;=RUNG_BEDS_2,2,1))</f>
        <v>1</v>
      </c>
      <c r="AC220" s="5">
        <f>MIN(1,MAX(0,$AB$26-($A220-1)))</f>
        <v>1</v>
      </c>
      <c r="AD220" s="5">
        <f>$AB$25*(AC220+(1-AC220)*$AB$16)</f>
        <v>252.05322714681438</v>
      </c>
      <c r="AE220" s="13">
        <f>AD220*($AB$6+ACUTE_MARGIN)</f>
        <v>138629.2749307479</v>
      </c>
      <c r="AF220" s="13">
        <f>IF(AB220=1,$AB$31,$AB$32)</f>
        <v>152394.16214437486</v>
      </c>
      <c r="AG220" s="13">
        <f>AE220-AF220</f>
        <v>-13764.887213626964</v>
      </c>
      <c r="AH220" s="13">
        <f>AH219+AG220</f>
        <v>-1885789.5482668905</v>
      </c>
      <c r="AI220">
        <f>IF(AH220=MAX($AH$83:$AH$483),$A220,0)</f>
        <v>0</v>
      </c>
      <c r="AJ220">
        <f>IF(AE220&lt;AF220,$A220,B_MAX+1)</f>
        <v>137</v>
      </c>
      <c r="AK220" s="13">
        <f>IF(AB220=1,$AB$35,$AB$36)</f>
        <v>0</v>
      </c>
      <c r="AL220" s="13">
        <f>OCC_DAYS*$AB$41*R_NF_2023-AD220*MCD_SHARE_FREED*R_WAIT_2023</f>
        <v>37367.159242427646</v>
      </c>
      <c r="AM220">
        <f>IF($A220&lt;=$AB$45,1,0)</f>
        <v>0</v>
      </c>
      <c r="BB220">
        <f>IF($BB$31&lt;=$BB$32,IF($A220&lt;=$BB$7,1,2),IF($A220&lt;=RUNG_BEDS_2,2,1))</f>
        <v>1</v>
      </c>
      <c r="BC220" s="5">
        <f>MIN(1,MAX(0,$BB$26-($A220-1)))</f>
        <v>1</v>
      </c>
      <c r="BD220" s="5">
        <f>$BB$25*(BC220+(1-BC220)*$BB$16)</f>
        <v>252.05322714681438</v>
      </c>
      <c r="BE220" s="13">
        <f>BD220*($BB$6+ACUTE_MARGIN)</f>
        <v>370518.24390581716</v>
      </c>
      <c r="BF220" s="13">
        <f>IF(BB220=1,$BB$31,$BB$32)</f>
        <v>152394.16214437486</v>
      </c>
      <c r="BG220" s="13">
        <f>BE220-BF220</f>
        <v>218124.0817614423</v>
      </c>
      <c r="BH220" s="13">
        <f>BH219+BG220</f>
        <v>29882999.201317575</v>
      </c>
      <c r="BI220">
        <f>IF(BH220=MAX($BH$83:$BH$483),$A220,0)</f>
        <v>0</v>
      </c>
      <c r="BJ220">
        <f>IF(BE220&lt;BF220,$A220,B_MAX+1)</f>
        <v>401.0</v>
      </c>
      <c r="BK220" s="13">
        <f>IF(BB220=1,$BB$35,$BB$36)</f>
        <v>0</v>
      </c>
      <c r="BL220" s="13">
        <f>OCC_DAYS*$BB$41*R_NF_2023-BD220*MCD_SHARE_FREED*R_WAIT_2023</f>
        <v>37367.159242427646</v>
      </c>
      <c r="BM220">
        <f>IF($A220&lt;=$BB$45,1,0)</f>
        <v>1</v>
      </c>
      <c r="CB220">
        <f>IF($CB$31&lt;=$CB$32,IF($A220&lt;=$CB$7,1,2),IF($A220&lt;=RUNG_BEDS_2,2,1))</f>
        <v>2</v>
      </c>
      <c r="CC220" s="5">
        <f>MIN(1,MAX(0,$CB$26-($A220-1)))</f>
        <v>1</v>
      </c>
      <c r="CD220" s="5">
        <f>$CB$25*(CC220+(1-CC220)*$CB$16)</f>
        <v>252.05322714681438</v>
      </c>
      <c r="CE220" s="13">
        <f>CD220*($CB$6+ACUTE_MARGIN)</f>
        <v>254573.7594182825</v>
      </c>
      <c r="CF220" s="13">
        <f>IF(CB220=1,$CB$31,$CB$32)</f>
        <v>160718.36940738867</v>
      </c>
      <c r="CG220" s="13">
        <f>CE220-CF220</f>
        <v>93855.39001089384</v>
      </c>
      <c r="CH220" s="13">
        <f>CH219+CG220</f>
        <v>12858188.431492452</v>
      </c>
      <c r="CI220">
        <f>IF(CH220=MAX($CH$83:$CH$483),$A220,0)</f>
        <v>0</v>
      </c>
      <c r="CJ220">
        <f>IF(CE220&lt;CF220,$A220,B_MAX+1)</f>
        <v>401.0</v>
      </c>
      <c r="CK220" s="13">
        <f>IF(CB220=1,$CB$35,$CB$36)</f>
        <v>1560.1194073886782</v>
      </c>
      <c r="CL220" s="13">
        <f>OCC_DAYS*$CB$41*R_NF_2023-CD220*MCD_SHARE_FREED*R_WAIT_2023</f>
        <v>37367.159242427646</v>
      </c>
      <c r="CM220">
        <f>IF($A220&lt;=$CB$45,1,0)</f>
        <v>1</v>
      </c>
      <c r="DB220">
        <f>IF($DB$31&lt;=$DB$32,IF($A220&lt;=$DB$7,1,2),IF($A220&lt;=RUNG_BEDS_2,2,1))</f>
        <v>1</v>
      </c>
      <c r="DC220" s="5">
        <f>MIN(1,MAX(0,$DB$26-($A220-1)))</f>
        <v>1</v>
      </c>
      <c r="DD220" s="5">
        <f>$DB$25*(DC220+(1-DC220)*$DB$16)</f>
        <v>252.05322714681438</v>
      </c>
      <c r="DE220" s="13">
        <f>DD220*($DB$6+ACUTE_MARGIN)</f>
        <v>254573.7594182825</v>
      </c>
      <c r="DF220" s="13">
        <f>IF(DB220=1,$DB$31,$DB$32)</f>
        <v>152394.16214437486</v>
      </c>
      <c r="DG220" s="13">
        <f>DE220-DF220</f>
        <v>102179.59727390765</v>
      </c>
      <c r="DH220" s="13">
        <f>DH219+DG220</f>
        <v>13998604.826525396</v>
      </c>
      <c r="DI220">
        <f>IF(DH220=MAX($DH$83:$DH$483),$A220,0)</f>
        <v>0</v>
      </c>
      <c r="DJ220">
        <f>IF(DE220&lt;DF220,$A220,B_MAX+1)</f>
        <v>401.0</v>
      </c>
      <c r="DK220" s="13">
        <f>IF(DB220=1,$DB$35,$DB$36)</f>
        <v>0</v>
      </c>
      <c r="DL220" s="13">
        <f>OCC_DAYS*$DB$41*R_NF_2023-DD220*MCD_SHARE_FREED*R_WAIT_2023</f>
        <v>37367.159242427646</v>
      </c>
      <c r="DM220">
        <f>IF($A220&lt;=$DB$45,1,0)</f>
        <v>1</v>
      </c>
      <c r="EB220">
        <f>IF($EB$31&lt;=$EB$32,IF($A220&lt;=$EB$7,1,2),IF($A220&lt;=RUNG_BEDS_2,2,1))</f>
        <v>1</v>
      </c>
      <c r="EC220" s="5">
        <f>MIN(1,MAX(0,$EB$26-($A220-1)))</f>
        <v>1</v>
      </c>
      <c r="ED220" s="5">
        <f>$EB$25*(EC220+(1-EC220)*$EB$16)</f>
        <v>252.05322714681438</v>
      </c>
      <c r="EE220" s="13">
        <f>ED220*($EB$6+ACUTE_MARGIN)</f>
        <v>254573.7594182825</v>
      </c>
      <c r="EF220" s="13">
        <f>IF(EB220=1,$EB$31,$EB$32)</f>
        <v>152394.16214437486</v>
      </c>
      <c r="EG220" s="13">
        <f>EE220-EF220</f>
        <v>102179.59727390765</v>
      </c>
      <c r="EH220" s="13">
        <f>EH219+EG220</f>
        <v>13998604.826525396</v>
      </c>
      <c r="EI220">
        <f>IF(EH220=MAX($EH$83:$EH$483),$A220,0)</f>
        <v>0</v>
      </c>
      <c r="EJ220">
        <f>IF(EE220&lt;EF220,$A220,B_MAX+1)</f>
        <v>401.0</v>
      </c>
      <c r="EK220" s="13">
        <f>IF(EB220=1,$EB$35,$EB$36)</f>
        <v>0</v>
      </c>
      <c r="EL220" s="13">
        <f>OCC_DAYS*$EB$41*R_NF_2023-ED220*MCD_SHARE_FREED*R_WAIT_2023</f>
        <v>-63953.16263896705</v>
      </c>
      <c r="EM220">
        <f>IF($A220&lt;=$EB$45,1,0)</f>
        <v>1</v>
      </c>
      <c r="FB220">
        <f>IF($FB$31&lt;=$FB$32,IF($A220&lt;=$FB$7,1,2),IF($A220&lt;=RUNG_BEDS_2,2,1))</f>
        <v>1</v>
      </c>
      <c r="FC220" s="5">
        <f>MIN(1,MAX(0,$FB$26-($A220-1)))</f>
        <v>1</v>
      </c>
      <c r="FD220" s="5">
        <f>$FB$25*(FC220+(1-FC220)*$FB$16)</f>
        <v>252.05322714681438</v>
      </c>
      <c r="FE220" s="13">
        <f>FD220*($FB$6+ACUTE_MARGIN)</f>
        <v>254573.7594182825</v>
      </c>
      <c r="FF220" s="13">
        <f>IF(FB220=1,$FB$31,$FB$32)</f>
        <v>156636.04979437485</v>
      </c>
      <c r="FG220" s="13">
        <f>FE220-FF220</f>
        <v>97937.70962390766</v>
      </c>
      <c r="FH220" s="13">
        <f>FH219+FG220</f>
        <v>13417466.218475305</v>
      </c>
      <c r="FI220">
        <f>IF(FH220=MAX($FH$83:$FH$483),$A220,0)</f>
        <v>0</v>
      </c>
      <c r="FJ220">
        <f>IF(FE220&lt;FF220,$A220,B_MAX+1)</f>
        <v>401.0</v>
      </c>
      <c r="FK220" s="13">
        <f>IF(FB220=1,$FB$35,$FB$36)</f>
        <v>0</v>
      </c>
      <c r="FL220" s="13">
        <f>OCC_DAYS*$FB$41*R_NF_2023-FD220*MCD_SHARE_FREED*R_WAIT_2023</f>
        <v>37367.159242427646</v>
      </c>
      <c r="FM220">
        <f>IF($A220&lt;=$FB$45,1,0)</f>
        <v>1</v>
      </c>
      <c r="GB220">
        <f>IF($GB$31&lt;=$GB$32,IF($A220&lt;=$GB$7,1,2),IF($A220&lt;=RUNG_BEDS_2,2,1))</f>
        <v>1</v>
      </c>
      <c r="GC220" s="5">
        <f>MIN(1,MAX(0,$GB$26-($A220-1)))</f>
        <v>1</v>
      </c>
      <c r="GD220" s="5">
        <f>$GB$25*(GC220+(1-GC220)*$GB$16)</f>
        <v>252.05322714681438</v>
      </c>
      <c r="GE220" s="13">
        <f>GD220*($GB$6+ACUTE_MARGIN)</f>
        <v>254573.7594182825</v>
      </c>
      <c r="GF220" s="13">
        <f>IF(GB220=1,$GB$31,$GB$32)</f>
        <v>152394.16214437486</v>
      </c>
      <c r="GG220" s="13">
        <f>GE220-GF220</f>
        <v>102179.59727390765</v>
      </c>
      <c r="GH220" s="13">
        <f>GH219+GG220</f>
        <v>13998604.826525396</v>
      </c>
      <c r="GI220">
        <f>IF(GH220=MAX($GH$83:$GH$483),$A220,0)</f>
        <v>0</v>
      </c>
      <c r="GJ220">
        <f>IF(GE220&lt;GF220,$A220,B_MAX+1)</f>
        <v>401.0</v>
      </c>
      <c r="GK220" s="13">
        <f>IF(GB220=1,$GB$35,$GB$36)</f>
        <v>0</v>
      </c>
      <c r="GL220" s="13">
        <f>OCC_DAYS*$GB$41*R_NF_2023-GD220*MCD_SHARE_FREED*R_WAIT_2023</f>
        <v>37367.159242427646</v>
      </c>
      <c r="GM220">
        <f>IF($A220&lt;=$GB$45,1,0)</f>
        <v>1</v>
      </c>
      <c r="HB220">
        <f>IF($HB$31&lt;=$HB$32,IF($A220&lt;=$HB$7,1,2),IF($A220&lt;=RUNG_BEDS_2,2,1))</f>
        <v>1</v>
      </c>
      <c r="HC220" s="5">
        <f>MIN(1,MAX(0,$HB$26-($A220-1)))</f>
        <v>1</v>
      </c>
      <c r="HD220" s="5">
        <f>$HB$25*(HC220+(1-HC220)*$HB$16)</f>
        <v>252.05322714681438</v>
      </c>
      <c r="HE220" s="13">
        <f>HD220*($HB$6+ACUTE_MARGIN)</f>
        <v>254573.7594182825</v>
      </c>
      <c r="HF220" s="13">
        <f>IF(HB220=1,$HB$31,$HB$32)</f>
        <v>152456.2970814058</v>
      </c>
      <c r="HG220" s="13">
        <f>HE220-HF220</f>
        <v>102117.46233687672</v>
      </c>
      <c r="HH220" s="13">
        <f>HH219+HG220</f>
        <v>13990092.340152137</v>
      </c>
      <c r="HI220">
        <f>IF(HH220=MAX($HH$83:$HH$483),$A220,0)</f>
        <v>0</v>
      </c>
      <c r="HJ220">
        <f>IF(HE220&lt;HF220,$A220,B_MAX+1)</f>
        <v>401.0</v>
      </c>
      <c r="HK220" s="13">
        <f>IF(HB220=1,$HB$35,$HB$36)</f>
        <v>0</v>
      </c>
      <c r="HL220" s="13">
        <f>OCC_DAYS*$HB$41*R_NF_2023-HD220*MCD_SHARE_FREED*R_WAIT_2023</f>
        <v>37367.159242427646</v>
      </c>
      <c r="HM220">
        <f>IF($A220&lt;=$HB$45,1,0)</f>
        <v>1</v>
      </c>
      <c r="IB220">
        <f>IF($IB$31&lt;=$IB$32,IF($A220&lt;=$IB$7,1,2),IF($A220&lt;=RUNG_BEDS_2,2,1))</f>
        <v>1</v>
      </c>
      <c r="IC220" s="5">
        <f>MIN(1,MAX(0,$IB$26-($A220-1)))</f>
        <v>1</v>
      </c>
      <c r="ID220" s="5">
        <f>$IB$25*(IC220+(1-IC220)*$IB$16)</f>
        <v>252.05322714681438</v>
      </c>
      <c r="IE220" s="13">
        <f>ID220*($IB$6+ACUTE_MARGIN)</f>
        <v>254573.7594182825</v>
      </c>
      <c r="IF220" s="13">
        <f>IF(IB220=1,$IB$31,$IB$32)</f>
        <v>152734.9994534971</v>
      </c>
      <c r="IG220" s="13">
        <f>IE220-IF220</f>
        <v>101838.75996478542</v>
      </c>
      <c r="IH220" s="13">
        <f>IH219+IG220</f>
        <v>13951910.115175566</v>
      </c>
      <c r="II220">
        <f>IF(IH220=MAX($IH$83:$IH$483),$A220,0)</f>
        <v>0</v>
      </c>
      <c r="IJ220">
        <f>IF(IE220&lt;IF220,$A220,B_MAX+1)</f>
        <v>401.0</v>
      </c>
      <c r="IK220" s="13">
        <f>IF(IB220=1,$IB$35,$IB$36)</f>
        <v>0</v>
      </c>
      <c r="IL220" s="13">
        <f>OCC_DAYS*$IB$41*R_NF_2023-ID220*MCD_SHARE_FREED*R_WAIT_2023</f>
        <v>37367.159242427646</v>
      </c>
      <c r="IM220">
        <f>IF($A220&lt;=$IB$45,1,0)</f>
        <v>1</v>
      </c>
      <c r="JB220">
        <f>IF($JB$31&lt;=$JB$32,IF($A220&lt;=$JB$7,1,2),IF($A220&lt;=RUNG_BEDS_2,2,1))</f>
        <v>1</v>
      </c>
      <c r="JC220" s="5">
        <f>MIN(1,MAX(0,$JB$26-($A220-1)))</f>
        <v>1</v>
      </c>
      <c r="JD220" s="5">
        <f>$JB$25*(JC220+(1-JC220)*$JB$16)</f>
        <v>252.05322714681438</v>
      </c>
      <c r="JE220" s="13">
        <f>JD220*($JB$6+ACUTE_MARGIN)</f>
        <v>254573.7594182825</v>
      </c>
      <c r="JF220" s="13">
        <f>IF(JB220=1,$JB$31,$JB$32)</f>
        <v>152394.16214437486</v>
      </c>
      <c r="JG220" s="13">
        <f>JE220-JF220</f>
        <v>102179.59727390765</v>
      </c>
      <c r="JH220" s="13">
        <f>JH219+JG220</f>
        <v>13998604.826525396</v>
      </c>
      <c r="JI220">
        <f>IF(JH220=MAX($JH$83:$JH$483),$A220,0)</f>
        <v>0</v>
      </c>
      <c r="JJ220">
        <f>IF(JE220&lt;JF220,$A220,B_MAX+1)</f>
        <v>401.0</v>
      </c>
      <c r="JK220" s="13">
        <f>IF(JB220=1,$JB$35,$JB$36)</f>
        <v>0</v>
      </c>
      <c r="JL220" s="13">
        <f>OCC_DAYS*$JB$41*R_NF_2023-JD220*MCD_SHARE_FREED*R_WAIT_2023</f>
        <v>37367.159242427646</v>
      </c>
      <c r="JM220">
        <f>IF($A220&lt;=$JB$45,1,0)</f>
        <v>1</v>
      </c>
      <c r="KB220">
        <f>IF($KB$31&lt;=$KB$32,IF($A220&lt;=$KB$7,1,2),IF($A220&lt;=RUNG_BEDS_2,2,1))</f>
        <v>1</v>
      </c>
      <c r="KC220" s="5">
        <f>MIN(1,MAX(0,$KB$26-($A220-1)))</f>
        <v>1</v>
      </c>
      <c r="KD220" s="5">
        <f>$KB$25*(KC220+(1-KC220)*$KB$16)</f>
        <v>126.02661357340719</v>
      </c>
      <c r="KE220" s="13">
        <f>KD220*($KB$6+ACUTE_MARGIN)</f>
        <v>127286.87970914126</v>
      </c>
      <c r="KF220" s="13">
        <f>IF(KB220=1,$KB$31,$KB$32)</f>
        <v>152394.16214437486</v>
      </c>
      <c r="KG220" s="13">
        <f>KE220-KF220</f>
        <v>-25107.282435233603</v>
      </c>
      <c r="KH220" s="13">
        <f>KH219+KG220</f>
        <v>-3439697.693627013</v>
      </c>
      <c r="KI220">
        <f>IF(KH220=MAX($KH$83:$KH$483),$A220,0)</f>
        <v>0</v>
      </c>
      <c r="KJ220">
        <f>IF(KE220&lt;KF220,$A220,B_MAX+1)</f>
        <v>137</v>
      </c>
      <c r="KK220" s="13">
        <f>IF(KB220=1,$KB$35,$KB$36)</f>
        <v>0</v>
      </c>
      <c r="KL220" s="13">
        <f>OCC_DAYS*$KB$41*R_NF_2023-KD220*MCD_SHARE_FREED*R_WAIT_2023</f>
        <v>94673.82103225985</v>
      </c>
      <c r="KM220">
        <f>IF($A220&lt;=$KB$45,1,0)</f>
        <v>0</v>
      </c>
      <c r="LB220">
        <f>IF($LB$31&lt;=$LB$32,IF($A220&lt;=$LB$7,1,2),IF($A220&lt;=RUNG_BEDS_2,2,1))</f>
        <v>1</v>
      </c>
      <c r="LC220" s="5">
        <f>MIN(1,MAX(0,$LB$26-($A220-1)))</f>
        <v>1</v>
      </c>
      <c r="LD220" s="5">
        <f>$LB$25*(LC220+(1-LC220)*$LB$16)</f>
        <v>84.01774238227146</v>
      </c>
      <c r="LE220" s="13">
        <f>LD220*($LB$6+ACUTE_MARGIN)</f>
        <v>84857.91980609419</v>
      </c>
      <c r="LF220" s="13">
        <f>IF(LB220=1,$LB$31,$LB$32)</f>
        <v>152394.16214437486</v>
      </c>
      <c r="LG220" s="13">
        <f>LE220-LF220</f>
        <v>-67536.24233828067</v>
      </c>
      <c r="LH220" s="13">
        <f>LH219+LG220</f>
        <v>-9252465.200344484</v>
      </c>
      <c r="LI220">
        <f>IF(LH220=MAX($LH$83:$LH$483),$A220,0)</f>
        <v>0</v>
      </c>
      <c r="LJ220">
        <f>IF(LE220&lt;LF220,$A220,B_MAX+1)</f>
        <v>137</v>
      </c>
      <c r="LK220" s="13">
        <f>IF(LB220=1,$LB$35,$LB$36)</f>
        <v>0</v>
      </c>
      <c r="LL220" s="13">
        <f>OCC_DAYS*$LB$41*R_NF_2023-LD220*MCD_SHARE_FREED*R_WAIT_2023</f>
        <v>113776.04162887059</v>
      </c>
      <c r="LM220">
        <f>IF($A220&lt;=$LB$45,1,0)</f>
        <v>0</v>
      </c>
      <c r="MB220">
        <f>IF($MB$31&lt;=$MB$32,IF($A220&lt;=$MB$7,1,2),IF($A220&lt;=RUNG_BEDS_2,2,1))</f>
        <v>1</v>
      </c>
      <c r="MC220" s="5">
        <f>MIN(1,MAX(0,$MB$26-($A220-1)))</f>
        <v>1</v>
      </c>
      <c r="MD220" s="5">
        <f>$MB$25*(MC220+(1-MC220)*$MB$16)</f>
        <v>213.44610951008647</v>
      </c>
      <c r="ME220" s="13">
        <f>MD220*($MB$6+ACUTE_MARGIN)</f>
        <v>215580.57060518733</v>
      </c>
      <c r="MF220" s="13">
        <f>IF(MB220=1,$MB$31,$MB$32)</f>
        <v>152394.16214437486</v>
      </c>
      <c r="MG220" s="13">
        <f>ME220-MF220</f>
        <v>63186.40846081247</v>
      </c>
      <c r="MH220" s="13">
        <f>MH219+MG220</f>
        <v>8656537.959131325</v>
      </c>
      <c r="MI220">
        <f>IF(MH220=MAX($MH$83:$MH$483),$A220,0)</f>
        <v>0</v>
      </c>
      <c r="MJ220">
        <f>IF(ME220&lt;MF220,$A220,B_MAX+1)</f>
        <v>401.0</v>
      </c>
      <c r="MK220" s="13">
        <f>IF(MB220=1,$MB$35,$MB$36)</f>
        <v>0</v>
      </c>
      <c r="ML220" s="13">
        <f>OCC_DAYS*$MB$41*R_NF_2023-MD220*MCD_SHARE_FREED*R_WAIT_2023</f>
        <v>54922.538779778624</v>
      </c>
      <c r="MM220">
        <f>IF($A220&lt;=$MB$45,1,0)</f>
        <v>1</v>
      </c>
      <c r="NB220">
        <f>IF($NB$31&lt;=$NB$32,IF($A220&lt;=$NB$7,1,2),IF($A220&lt;=RUNG_BEDS_2,2,1))</f>
        <v>1</v>
      </c>
      <c r="NC220" s="5">
        <f>MIN(1,MAX(0,$NB$26-($A220-1)))</f>
        <v>1</v>
      </c>
      <c r="ND220" s="5">
        <f>$NB$25*(NC220+(1-NC220)*$NB$16)</f>
        <v>252.05322714681438</v>
      </c>
      <c r="NE220" s="13">
        <f>ND220*($NB$6+ACUTE_MARGIN)</f>
        <v>254573.7594182825</v>
      </c>
      <c r="NF220" s="13">
        <f>IF(NB220=1,$NB$31,$NB$32)</f>
        <v>152394.16214437486</v>
      </c>
      <c r="NG220" s="13">
        <f>NE220-NF220</f>
        <v>102179.59727390765</v>
      </c>
      <c r="NH220" s="13">
        <f>NH219+NG220</f>
        <v>13998604.826525396</v>
      </c>
      <c r="NI220">
        <f>IF(NH220=MAX($NH$83:$NH$483),$A220,0)</f>
        <v>0</v>
      </c>
      <c r="NJ220">
        <f>IF(NE220&lt;NF220,$A220,B_MAX+1)</f>
        <v>401.0</v>
      </c>
      <c r="NK220" s="13">
        <f>IF(NB220=1,$NB$35,$NB$36)</f>
        <v>0</v>
      </c>
      <c r="NL220" s="13">
        <f>OCC_DAYS*$NB$41*R_NF_2023-ND220*MCD_SHARE_FREED*R_WAIT_2023</f>
        <v>37367.159242427646</v>
      </c>
      <c r="NM220">
        <f>IF($A220&lt;=$NB$45,1,0)</f>
        <v>1</v>
      </c>
      <c r="OB220">
        <f>IF($OB$31&lt;=$OB$32,IF($A220&lt;=$OB$7,1,2),IF($A220&lt;=RUNG_BEDS_2,2,1))</f>
        <v>1</v>
      </c>
      <c r="OC220" s="5">
        <f>MIN(1,MAX(0,$OB$26-($A220-1)))</f>
        <v>1</v>
      </c>
      <c r="OD220" s="5">
        <f>$OB$25*(OC220+(1-OC220)*$OB$16)</f>
        <v>252.05322714681438</v>
      </c>
      <c r="OE220" s="13">
        <f>OD220*($OB$6+ACUTE_MARGIN)</f>
        <v>254573.7594182825</v>
      </c>
      <c r="OF220" s="13">
        <f>IF(OB220=1,$OB$31,$OB$32)</f>
        <v>152394.16214437486</v>
      </c>
      <c r="OG220" s="13">
        <f>OE220-OF220</f>
        <v>102179.59727390765</v>
      </c>
      <c r="OH220" s="13">
        <f>OH219+OG220</f>
        <v>13998604.826525396</v>
      </c>
      <c r="OI220">
        <f>IF(OH220=MAX($OH$83:$OH$483),$A220,0)</f>
        <v>0</v>
      </c>
      <c r="OJ220">
        <f>IF(OE220&lt;OF220,$A220,B_MAX+1)</f>
        <v>401.0</v>
      </c>
      <c r="OK220" s="13">
        <f>IF(OB220=1,$OB$35,$OB$36)</f>
        <v>0</v>
      </c>
      <c r="OL220" s="13">
        <f>OCC_DAYS*$OB$41*R_NF_2023-OD220*MCD_SHARE_FREED*R_WAIT_2023</f>
        <v>37367.159242427646</v>
      </c>
      <c r="OM220">
        <f>IF($A220&lt;=$OB$45,1,0)</f>
        <v>1</v>
      </c>
    </row>
    <row r="221">
      <c r="A221" t="n">
        <v>138</v>
      </c>
      <c r="B221">
        <f>IF($B$31&lt;=$B$32,IF($A221&lt;=$B$7,1,2),IF($A221&lt;=RUNG_BEDS_2,2,1))</f>
        <v>1</v>
      </c>
      <c r="C221" s="5">
        <f>MIN(1,MAX(0,$B$26-($A221-1)))</f>
        <v>1</v>
      </c>
      <c r="D221" s="5">
        <f>$B$25*(C221+(1-C221)*$B$16)</f>
        <v>252.05322714681438</v>
      </c>
      <c r="E221" s="13">
        <f>D221*($B$6+ACUTE_MARGIN)</f>
        <v>254573.7594182825</v>
      </c>
      <c r="F221" s="13">
        <f>IF(B221=1,$B$31,$B$32)</f>
        <v>152394.16214437486</v>
      </c>
      <c r="G221" s="13">
        <f>E221-F221</f>
        <v>102179.59727390765</v>
      </c>
      <c r="H221" s="13">
        <f>H220+G221</f>
        <v>14100784.423799304</v>
      </c>
      <c r="I221">
        <f>IF(H221=MAX($H$83:$H$483),$A221,0)</f>
        <v>0</v>
      </c>
      <c r="J221">
        <f>IF(E221&lt;F221,$A221,B_MAX+1)</f>
        <v>401.0</v>
      </c>
      <c r="K221" s="13">
        <f>IF(B221=1,$B$35,$B$36)</f>
        <v>0</v>
      </c>
      <c r="L221" s="13">
        <f>OCC_DAYS*$B$41*R_NF_2023-D221*MCD_SHARE_FREED*R_WAIT_2023</f>
        <v>37367.159242427646</v>
      </c>
      <c r="M221">
        <f>IF($A221&lt;=$B$45,1,0)</f>
        <v>1</v>
      </c>
      <c r="AB221">
        <f>IF($AB$31&lt;=$AB$32,IF($A221&lt;=$AB$7,1,2),IF($A221&lt;=RUNG_BEDS_2,2,1))</f>
        <v>1</v>
      </c>
      <c r="AC221" s="5">
        <f>MIN(1,MAX(0,$AB$26-($A221-1)))</f>
        <v>1</v>
      </c>
      <c r="AD221" s="5">
        <f>$AB$25*(AC221+(1-AC221)*$AB$16)</f>
        <v>252.05322714681438</v>
      </c>
      <c r="AE221" s="13">
        <f>AD221*($AB$6+ACUTE_MARGIN)</f>
        <v>138629.2749307479</v>
      </c>
      <c r="AF221" s="13">
        <f>IF(AB221=1,$AB$31,$AB$32)</f>
        <v>152394.16214437486</v>
      </c>
      <c r="AG221" s="13">
        <f>AE221-AF221</f>
        <v>-13764.887213626964</v>
      </c>
      <c r="AH221" s="13">
        <f>AH220+AG221</f>
        <v>-1899554.4354805173</v>
      </c>
      <c r="AI221">
        <f>IF(AH221=MAX($AH$83:$AH$483),$A221,0)</f>
        <v>0</v>
      </c>
      <c r="AJ221">
        <f>IF(AE221&lt;AF221,$A221,B_MAX+1)</f>
        <v>138</v>
      </c>
      <c r="AK221" s="13">
        <f>IF(AB221=1,$AB$35,$AB$36)</f>
        <v>0</v>
      </c>
      <c r="AL221" s="13">
        <f>OCC_DAYS*$AB$41*R_NF_2023-AD221*MCD_SHARE_FREED*R_WAIT_2023</f>
        <v>37367.159242427646</v>
      </c>
      <c r="AM221">
        <f>IF($A221&lt;=$AB$45,1,0)</f>
        <v>0</v>
      </c>
      <c r="BB221">
        <f>IF($BB$31&lt;=$BB$32,IF($A221&lt;=$BB$7,1,2),IF($A221&lt;=RUNG_BEDS_2,2,1))</f>
        <v>1</v>
      </c>
      <c r="BC221" s="5">
        <f>MIN(1,MAX(0,$BB$26-($A221-1)))</f>
        <v>1</v>
      </c>
      <c r="BD221" s="5">
        <f>$BB$25*(BC221+(1-BC221)*$BB$16)</f>
        <v>252.05322714681438</v>
      </c>
      <c r="BE221" s="13">
        <f>BD221*($BB$6+ACUTE_MARGIN)</f>
        <v>370518.24390581716</v>
      </c>
      <c r="BF221" s="13">
        <f>IF(BB221=1,$BB$31,$BB$32)</f>
        <v>152394.16214437486</v>
      </c>
      <c r="BG221" s="13">
        <f>BE221-BF221</f>
        <v>218124.0817614423</v>
      </c>
      <c r="BH221" s="13">
        <f>BH220+BG221</f>
        <v>30101123.283079017</v>
      </c>
      <c r="BI221">
        <f>IF(BH221=MAX($BH$83:$BH$483),$A221,0)</f>
        <v>0</v>
      </c>
      <c r="BJ221">
        <f>IF(BE221&lt;BF221,$A221,B_MAX+1)</f>
        <v>401.0</v>
      </c>
      <c r="BK221" s="13">
        <f>IF(BB221=1,$BB$35,$BB$36)</f>
        <v>0</v>
      </c>
      <c r="BL221" s="13">
        <f>OCC_DAYS*$BB$41*R_NF_2023-BD221*MCD_SHARE_FREED*R_WAIT_2023</f>
        <v>37367.159242427646</v>
      </c>
      <c r="BM221">
        <f>IF($A221&lt;=$BB$45,1,0)</f>
        <v>1</v>
      </c>
      <c r="CB221">
        <f>IF($CB$31&lt;=$CB$32,IF($A221&lt;=$CB$7,1,2),IF($A221&lt;=RUNG_BEDS_2,2,1))</f>
        <v>2</v>
      </c>
      <c r="CC221" s="5">
        <f>MIN(1,MAX(0,$CB$26-($A221-1)))</f>
        <v>1</v>
      </c>
      <c r="CD221" s="5">
        <f>$CB$25*(CC221+(1-CC221)*$CB$16)</f>
        <v>252.05322714681438</v>
      </c>
      <c r="CE221" s="13">
        <f>CD221*($CB$6+ACUTE_MARGIN)</f>
        <v>254573.7594182825</v>
      </c>
      <c r="CF221" s="13">
        <f>IF(CB221=1,$CB$31,$CB$32)</f>
        <v>160718.36940738867</v>
      </c>
      <c r="CG221" s="13">
        <f>CE221-CF221</f>
        <v>93855.39001089384</v>
      </c>
      <c r="CH221" s="13">
        <f>CH220+CG221</f>
        <v>12952043.821503345</v>
      </c>
      <c r="CI221">
        <f>IF(CH221=MAX($CH$83:$CH$483),$A221,0)</f>
        <v>0</v>
      </c>
      <c r="CJ221">
        <f>IF(CE221&lt;CF221,$A221,B_MAX+1)</f>
        <v>401.0</v>
      </c>
      <c r="CK221" s="13">
        <f>IF(CB221=1,$CB$35,$CB$36)</f>
        <v>1560.1194073886782</v>
      </c>
      <c r="CL221" s="13">
        <f>OCC_DAYS*$CB$41*R_NF_2023-CD221*MCD_SHARE_FREED*R_WAIT_2023</f>
        <v>37367.159242427646</v>
      </c>
      <c r="CM221">
        <f>IF($A221&lt;=$CB$45,1,0)</f>
        <v>1</v>
      </c>
      <c r="DB221">
        <f>IF($DB$31&lt;=$DB$32,IF($A221&lt;=$DB$7,1,2),IF($A221&lt;=RUNG_BEDS_2,2,1))</f>
        <v>1</v>
      </c>
      <c r="DC221" s="5">
        <f>MIN(1,MAX(0,$DB$26-($A221-1)))</f>
        <v>1</v>
      </c>
      <c r="DD221" s="5">
        <f>$DB$25*(DC221+(1-DC221)*$DB$16)</f>
        <v>252.05322714681438</v>
      </c>
      <c r="DE221" s="13">
        <f>DD221*($DB$6+ACUTE_MARGIN)</f>
        <v>254573.7594182825</v>
      </c>
      <c r="DF221" s="13">
        <f>IF(DB221=1,$DB$31,$DB$32)</f>
        <v>152394.16214437486</v>
      </c>
      <c r="DG221" s="13">
        <f>DE221-DF221</f>
        <v>102179.59727390765</v>
      </c>
      <c r="DH221" s="13">
        <f>DH220+DG221</f>
        <v>14100784.423799304</v>
      </c>
      <c r="DI221">
        <f>IF(DH221=MAX($DH$83:$DH$483),$A221,0)</f>
        <v>0</v>
      </c>
      <c r="DJ221">
        <f>IF(DE221&lt;DF221,$A221,B_MAX+1)</f>
        <v>401.0</v>
      </c>
      <c r="DK221" s="13">
        <f>IF(DB221=1,$DB$35,$DB$36)</f>
        <v>0</v>
      </c>
      <c r="DL221" s="13">
        <f>OCC_DAYS*$DB$41*R_NF_2023-DD221*MCD_SHARE_FREED*R_WAIT_2023</f>
        <v>37367.159242427646</v>
      </c>
      <c r="DM221">
        <f>IF($A221&lt;=$DB$45,1,0)</f>
        <v>1</v>
      </c>
      <c r="EB221">
        <f>IF($EB$31&lt;=$EB$32,IF($A221&lt;=$EB$7,1,2),IF($A221&lt;=RUNG_BEDS_2,2,1))</f>
        <v>1</v>
      </c>
      <c r="EC221" s="5">
        <f>MIN(1,MAX(0,$EB$26-($A221-1)))</f>
        <v>1</v>
      </c>
      <c r="ED221" s="5">
        <f>$EB$25*(EC221+(1-EC221)*$EB$16)</f>
        <v>252.05322714681438</v>
      </c>
      <c r="EE221" s="13">
        <f>ED221*($EB$6+ACUTE_MARGIN)</f>
        <v>254573.7594182825</v>
      </c>
      <c r="EF221" s="13">
        <f>IF(EB221=1,$EB$31,$EB$32)</f>
        <v>152394.16214437486</v>
      </c>
      <c r="EG221" s="13">
        <f>EE221-EF221</f>
        <v>102179.59727390765</v>
      </c>
      <c r="EH221" s="13">
        <f>EH220+EG221</f>
        <v>14100784.423799304</v>
      </c>
      <c r="EI221">
        <f>IF(EH221=MAX($EH$83:$EH$483),$A221,0)</f>
        <v>0</v>
      </c>
      <c r="EJ221">
        <f>IF(EE221&lt;EF221,$A221,B_MAX+1)</f>
        <v>401.0</v>
      </c>
      <c r="EK221" s="13">
        <f>IF(EB221=1,$EB$35,$EB$36)</f>
        <v>0</v>
      </c>
      <c r="EL221" s="13">
        <f>OCC_DAYS*$EB$41*R_NF_2023-ED221*MCD_SHARE_FREED*R_WAIT_2023</f>
        <v>-63953.16263896705</v>
      </c>
      <c r="EM221">
        <f>IF($A221&lt;=$EB$45,1,0)</f>
        <v>1</v>
      </c>
      <c r="FB221">
        <f>IF($FB$31&lt;=$FB$32,IF($A221&lt;=$FB$7,1,2),IF($A221&lt;=RUNG_BEDS_2,2,1))</f>
        <v>1</v>
      </c>
      <c r="FC221" s="5">
        <f>MIN(1,MAX(0,$FB$26-($A221-1)))</f>
        <v>1</v>
      </c>
      <c r="FD221" s="5">
        <f>$FB$25*(FC221+(1-FC221)*$FB$16)</f>
        <v>252.05322714681438</v>
      </c>
      <c r="FE221" s="13">
        <f>FD221*($FB$6+ACUTE_MARGIN)</f>
        <v>254573.7594182825</v>
      </c>
      <c r="FF221" s="13">
        <f>IF(FB221=1,$FB$31,$FB$32)</f>
        <v>156636.04979437485</v>
      </c>
      <c r="FG221" s="13">
        <f>FE221-FF221</f>
        <v>97937.70962390766</v>
      </c>
      <c r="FH221" s="13">
        <f>FH220+FG221</f>
        <v>13515403.928099211</v>
      </c>
      <c r="FI221">
        <f>IF(FH221=MAX($FH$83:$FH$483),$A221,0)</f>
        <v>0</v>
      </c>
      <c r="FJ221">
        <f>IF(FE221&lt;FF221,$A221,B_MAX+1)</f>
        <v>401.0</v>
      </c>
      <c r="FK221" s="13">
        <f>IF(FB221=1,$FB$35,$FB$36)</f>
        <v>0</v>
      </c>
      <c r="FL221" s="13">
        <f>OCC_DAYS*$FB$41*R_NF_2023-FD221*MCD_SHARE_FREED*R_WAIT_2023</f>
        <v>37367.159242427646</v>
      </c>
      <c r="FM221">
        <f>IF($A221&lt;=$FB$45,1,0)</f>
        <v>1</v>
      </c>
      <c r="GB221">
        <f>IF($GB$31&lt;=$GB$32,IF($A221&lt;=$GB$7,1,2),IF($A221&lt;=RUNG_BEDS_2,2,1))</f>
        <v>1</v>
      </c>
      <c r="GC221" s="5">
        <f>MIN(1,MAX(0,$GB$26-($A221-1)))</f>
        <v>1</v>
      </c>
      <c r="GD221" s="5">
        <f>$GB$25*(GC221+(1-GC221)*$GB$16)</f>
        <v>252.05322714681438</v>
      </c>
      <c r="GE221" s="13">
        <f>GD221*($GB$6+ACUTE_MARGIN)</f>
        <v>254573.7594182825</v>
      </c>
      <c r="GF221" s="13">
        <f>IF(GB221=1,$GB$31,$GB$32)</f>
        <v>152394.16214437486</v>
      </c>
      <c r="GG221" s="13">
        <f>GE221-GF221</f>
        <v>102179.59727390765</v>
      </c>
      <c r="GH221" s="13">
        <f>GH220+GG221</f>
        <v>14100784.423799304</v>
      </c>
      <c r="GI221">
        <f>IF(GH221=MAX($GH$83:$GH$483),$A221,0)</f>
        <v>0</v>
      </c>
      <c r="GJ221">
        <f>IF(GE221&lt;GF221,$A221,B_MAX+1)</f>
        <v>401.0</v>
      </c>
      <c r="GK221" s="13">
        <f>IF(GB221=1,$GB$35,$GB$36)</f>
        <v>0</v>
      </c>
      <c r="GL221" s="13">
        <f>OCC_DAYS*$GB$41*R_NF_2023-GD221*MCD_SHARE_FREED*R_WAIT_2023</f>
        <v>37367.159242427646</v>
      </c>
      <c r="GM221">
        <f>IF($A221&lt;=$GB$45,1,0)</f>
        <v>1</v>
      </c>
      <c r="HB221">
        <f>IF($HB$31&lt;=$HB$32,IF($A221&lt;=$HB$7,1,2),IF($A221&lt;=RUNG_BEDS_2,2,1))</f>
        <v>1</v>
      </c>
      <c r="HC221" s="5">
        <f>MIN(1,MAX(0,$HB$26-($A221-1)))</f>
        <v>1</v>
      </c>
      <c r="HD221" s="5">
        <f>$HB$25*(HC221+(1-HC221)*$HB$16)</f>
        <v>252.05322714681438</v>
      </c>
      <c r="HE221" s="13">
        <f>HD221*($HB$6+ACUTE_MARGIN)</f>
        <v>254573.7594182825</v>
      </c>
      <c r="HF221" s="13">
        <f>IF(HB221=1,$HB$31,$HB$32)</f>
        <v>152456.2970814058</v>
      </c>
      <c r="HG221" s="13">
        <f>HE221-HF221</f>
        <v>102117.46233687672</v>
      </c>
      <c r="HH221" s="13">
        <f>HH220+HG221</f>
        <v>14092209.802489014</v>
      </c>
      <c r="HI221">
        <f>IF(HH221=MAX($HH$83:$HH$483),$A221,0)</f>
        <v>0</v>
      </c>
      <c r="HJ221">
        <f>IF(HE221&lt;HF221,$A221,B_MAX+1)</f>
        <v>401.0</v>
      </c>
      <c r="HK221" s="13">
        <f>IF(HB221=1,$HB$35,$HB$36)</f>
        <v>0</v>
      </c>
      <c r="HL221" s="13">
        <f>OCC_DAYS*$HB$41*R_NF_2023-HD221*MCD_SHARE_FREED*R_WAIT_2023</f>
        <v>37367.159242427646</v>
      </c>
      <c r="HM221">
        <f>IF($A221&lt;=$HB$45,1,0)</f>
        <v>1</v>
      </c>
      <c r="IB221">
        <f>IF($IB$31&lt;=$IB$32,IF($A221&lt;=$IB$7,1,2),IF($A221&lt;=RUNG_BEDS_2,2,1))</f>
        <v>1</v>
      </c>
      <c r="IC221" s="5">
        <f>MIN(1,MAX(0,$IB$26-($A221-1)))</f>
        <v>1</v>
      </c>
      <c r="ID221" s="5">
        <f>$IB$25*(IC221+(1-IC221)*$IB$16)</f>
        <v>252.05322714681438</v>
      </c>
      <c r="IE221" s="13">
        <f>ID221*($IB$6+ACUTE_MARGIN)</f>
        <v>254573.7594182825</v>
      </c>
      <c r="IF221" s="13">
        <f>IF(IB221=1,$IB$31,$IB$32)</f>
        <v>152734.9994534971</v>
      </c>
      <c r="IG221" s="13">
        <f>IE221-IF221</f>
        <v>101838.75996478542</v>
      </c>
      <c r="IH221" s="13">
        <f>IH220+IG221</f>
        <v>14053748.87514035</v>
      </c>
      <c r="II221">
        <f>IF(IH221=MAX($IH$83:$IH$483),$A221,0)</f>
        <v>0</v>
      </c>
      <c r="IJ221">
        <f>IF(IE221&lt;IF221,$A221,B_MAX+1)</f>
        <v>401.0</v>
      </c>
      <c r="IK221" s="13">
        <f>IF(IB221=1,$IB$35,$IB$36)</f>
        <v>0</v>
      </c>
      <c r="IL221" s="13">
        <f>OCC_DAYS*$IB$41*R_NF_2023-ID221*MCD_SHARE_FREED*R_WAIT_2023</f>
        <v>37367.159242427646</v>
      </c>
      <c r="IM221">
        <f>IF($A221&lt;=$IB$45,1,0)</f>
        <v>1</v>
      </c>
      <c r="JB221">
        <f>IF($JB$31&lt;=$JB$32,IF($A221&lt;=$JB$7,1,2),IF($A221&lt;=RUNG_BEDS_2,2,1))</f>
        <v>1</v>
      </c>
      <c r="JC221" s="5">
        <f>MIN(1,MAX(0,$JB$26-($A221-1)))</f>
        <v>1</v>
      </c>
      <c r="JD221" s="5">
        <f>$JB$25*(JC221+(1-JC221)*$JB$16)</f>
        <v>252.05322714681438</v>
      </c>
      <c r="JE221" s="13">
        <f>JD221*($JB$6+ACUTE_MARGIN)</f>
        <v>254573.7594182825</v>
      </c>
      <c r="JF221" s="13">
        <f>IF(JB221=1,$JB$31,$JB$32)</f>
        <v>152394.16214437486</v>
      </c>
      <c r="JG221" s="13">
        <f>JE221-JF221</f>
        <v>102179.59727390765</v>
      </c>
      <c r="JH221" s="13">
        <f>JH220+JG221</f>
        <v>14100784.423799304</v>
      </c>
      <c r="JI221">
        <f>IF(JH221=MAX($JH$83:$JH$483),$A221,0)</f>
        <v>0</v>
      </c>
      <c r="JJ221">
        <f>IF(JE221&lt;JF221,$A221,B_MAX+1)</f>
        <v>401.0</v>
      </c>
      <c r="JK221" s="13">
        <f>IF(JB221=1,$JB$35,$JB$36)</f>
        <v>0</v>
      </c>
      <c r="JL221" s="13">
        <f>OCC_DAYS*$JB$41*R_NF_2023-JD221*MCD_SHARE_FREED*R_WAIT_2023</f>
        <v>37367.159242427646</v>
      </c>
      <c r="JM221">
        <f>IF($A221&lt;=$JB$45,1,0)</f>
        <v>1</v>
      </c>
      <c r="KB221">
        <f>IF($KB$31&lt;=$KB$32,IF($A221&lt;=$KB$7,1,2),IF($A221&lt;=RUNG_BEDS_2,2,1))</f>
        <v>1</v>
      </c>
      <c r="KC221" s="5">
        <f>MIN(1,MAX(0,$KB$26-($A221-1)))</f>
        <v>1</v>
      </c>
      <c r="KD221" s="5">
        <f>$KB$25*(KC221+(1-KC221)*$KB$16)</f>
        <v>126.02661357340719</v>
      </c>
      <c r="KE221" s="13">
        <f>KD221*($KB$6+ACUTE_MARGIN)</f>
        <v>127286.87970914126</v>
      </c>
      <c r="KF221" s="13">
        <f>IF(KB221=1,$KB$31,$KB$32)</f>
        <v>152394.16214437486</v>
      </c>
      <c r="KG221" s="13">
        <f>KE221-KF221</f>
        <v>-25107.282435233603</v>
      </c>
      <c r="KH221" s="13">
        <f>KH220+KG221</f>
        <v>-3464804.9760622466</v>
      </c>
      <c r="KI221">
        <f>IF(KH221=MAX($KH$83:$KH$483),$A221,0)</f>
        <v>0</v>
      </c>
      <c r="KJ221">
        <f>IF(KE221&lt;KF221,$A221,B_MAX+1)</f>
        <v>138</v>
      </c>
      <c r="KK221" s="13">
        <f>IF(KB221=1,$KB$35,$KB$36)</f>
        <v>0</v>
      </c>
      <c r="KL221" s="13">
        <f>OCC_DAYS*$KB$41*R_NF_2023-KD221*MCD_SHARE_FREED*R_WAIT_2023</f>
        <v>94673.82103225985</v>
      </c>
      <c r="KM221">
        <f>IF($A221&lt;=$KB$45,1,0)</f>
        <v>0</v>
      </c>
      <c r="LB221">
        <f>IF($LB$31&lt;=$LB$32,IF($A221&lt;=$LB$7,1,2),IF($A221&lt;=RUNG_BEDS_2,2,1))</f>
        <v>1</v>
      </c>
      <c r="LC221" s="5">
        <f>MIN(1,MAX(0,$LB$26-($A221-1)))</f>
        <v>1</v>
      </c>
      <c r="LD221" s="5">
        <f>$LB$25*(LC221+(1-LC221)*$LB$16)</f>
        <v>84.01774238227146</v>
      </c>
      <c r="LE221" s="13">
        <f>LD221*($LB$6+ACUTE_MARGIN)</f>
        <v>84857.91980609419</v>
      </c>
      <c r="LF221" s="13">
        <f>IF(LB221=1,$LB$31,$LB$32)</f>
        <v>152394.16214437486</v>
      </c>
      <c r="LG221" s="13">
        <f>LE221-LF221</f>
        <v>-67536.24233828067</v>
      </c>
      <c r="LH221" s="13">
        <f>LH220+LG221</f>
        <v>-9320001.442682765</v>
      </c>
      <c r="LI221">
        <f>IF(LH221=MAX($LH$83:$LH$483),$A221,0)</f>
        <v>0</v>
      </c>
      <c r="LJ221">
        <f>IF(LE221&lt;LF221,$A221,B_MAX+1)</f>
        <v>138</v>
      </c>
      <c r="LK221" s="13">
        <f>IF(LB221=1,$LB$35,$LB$36)</f>
        <v>0</v>
      </c>
      <c r="LL221" s="13">
        <f>OCC_DAYS*$LB$41*R_NF_2023-LD221*MCD_SHARE_FREED*R_WAIT_2023</f>
        <v>113776.04162887059</v>
      </c>
      <c r="LM221">
        <f>IF($A221&lt;=$LB$45,1,0)</f>
        <v>0</v>
      </c>
      <c r="MB221">
        <f>IF($MB$31&lt;=$MB$32,IF($A221&lt;=$MB$7,1,2),IF($A221&lt;=RUNG_BEDS_2,2,1))</f>
        <v>1</v>
      </c>
      <c r="MC221" s="5">
        <f>MIN(1,MAX(0,$MB$26-($A221-1)))</f>
        <v>1</v>
      </c>
      <c r="MD221" s="5">
        <f>$MB$25*(MC221+(1-MC221)*$MB$16)</f>
        <v>213.44610951008647</v>
      </c>
      <c r="ME221" s="13">
        <f>MD221*($MB$6+ACUTE_MARGIN)</f>
        <v>215580.57060518733</v>
      </c>
      <c r="MF221" s="13">
        <f>IF(MB221=1,$MB$31,$MB$32)</f>
        <v>152394.16214437486</v>
      </c>
      <c r="MG221" s="13">
        <f>ME221-MF221</f>
        <v>63186.40846081247</v>
      </c>
      <c r="MH221" s="13">
        <f>MH220+MG221</f>
        <v>8719724.367592137</v>
      </c>
      <c r="MI221">
        <f>IF(MH221=MAX($MH$83:$MH$483),$A221,0)</f>
        <v>0</v>
      </c>
      <c r="MJ221">
        <f>IF(ME221&lt;MF221,$A221,B_MAX+1)</f>
        <v>401.0</v>
      </c>
      <c r="MK221" s="13">
        <f>IF(MB221=1,$MB$35,$MB$36)</f>
        <v>0</v>
      </c>
      <c r="ML221" s="13">
        <f>OCC_DAYS*$MB$41*R_NF_2023-MD221*MCD_SHARE_FREED*R_WAIT_2023</f>
        <v>54922.538779778624</v>
      </c>
      <c r="MM221">
        <f>IF($A221&lt;=$MB$45,1,0)</f>
        <v>1</v>
      </c>
      <c r="NB221">
        <f>IF($NB$31&lt;=$NB$32,IF($A221&lt;=$NB$7,1,2),IF($A221&lt;=RUNG_BEDS_2,2,1))</f>
        <v>1</v>
      </c>
      <c r="NC221" s="5">
        <f>MIN(1,MAX(0,$NB$26-($A221-1)))</f>
        <v>1</v>
      </c>
      <c r="ND221" s="5">
        <f>$NB$25*(NC221+(1-NC221)*$NB$16)</f>
        <v>252.05322714681438</v>
      </c>
      <c r="NE221" s="13">
        <f>ND221*($NB$6+ACUTE_MARGIN)</f>
        <v>254573.7594182825</v>
      </c>
      <c r="NF221" s="13">
        <f>IF(NB221=1,$NB$31,$NB$32)</f>
        <v>152394.16214437486</v>
      </c>
      <c r="NG221" s="13">
        <f>NE221-NF221</f>
        <v>102179.59727390765</v>
      </c>
      <c r="NH221" s="13">
        <f>NH220+NG221</f>
        <v>14100784.423799304</v>
      </c>
      <c r="NI221">
        <f>IF(NH221=MAX($NH$83:$NH$483),$A221,0)</f>
        <v>0</v>
      </c>
      <c r="NJ221">
        <f>IF(NE221&lt;NF221,$A221,B_MAX+1)</f>
        <v>401.0</v>
      </c>
      <c r="NK221" s="13">
        <f>IF(NB221=1,$NB$35,$NB$36)</f>
        <v>0</v>
      </c>
      <c r="NL221" s="13">
        <f>OCC_DAYS*$NB$41*R_NF_2023-ND221*MCD_SHARE_FREED*R_WAIT_2023</f>
        <v>37367.159242427646</v>
      </c>
      <c r="NM221">
        <f>IF($A221&lt;=$NB$45,1,0)</f>
        <v>1</v>
      </c>
      <c r="OB221">
        <f>IF($OB$31&lt;=$OB$32,IF($A221&lt;=$OB$7,1,2),IF($A221&lt;=RUNG_BEDS_2,2,1))</f>
        <v>1</v>
      </c>
      <c r="OC221" s="5">
        <f>MIN(1,MAX(0,$OB$26-($A221-1)))</f>
        <v>1</v>
      </c>
      <c r="OD221" s="5">
        <f>$OB$25*(OC221+(1-OC221)*$OB$16)</f>
        <v>252.05322714681438</v>
      </c>
      <c r="OE221" s="13">
        <f>OD221*($OB$6+ACUTE_MARGIN)</f>
        <v>254573.7594182825</v>
      </c>
      <c r="OF221" s="13">
        <f>IF(OB221=1,$OB$31,$OB$32)</f>
        <v>152394.16214437486</v>
      </c>
      <c r="OG221" s="13">
        <f>OE221-OF221</f>
        <v>102179.59727390765</v>
      </c>
      <c r="OH221" s="13">
        <f>OH220+OG221</f>
        <v>14100784.423799304</v>
      </c>
      <c r="OI221">
        <f>IF(OH221=MAX($OH$83:$OH$483),$A221,0)</f>
        <v>0</v>
      </c>
      <c r="OJ221">
        <f>IF(OE221&lt;OF221,$A221,B_MAX+1)</f>
        <v>401.0</v>
      </c>
      <c r="OK221" s="13">
        <f>IF(OB221=1,$OB$35,$OB$36)</f>
        <v>0</v>
      </c>
      <c r="OL221" s="13">
        <f>OCC_DAYS*$OB$41*R_NF_2023-OD221*MCD_SHARE_FREED*R_WAIT_2023</f>
        <v>37367.159242427646</v>
      </c>
      <c r="OM221">
        <f>IF($A221&lt;=$OB$45,1,0)</f>
        <v>1</v>
      </c>
    </row>
    <row r="222">
      <c r="A222" t="n">
        <v>139</v>
      </c>
      <c r="B222">
        <f>IF($B$31&lt;=$B$32,IF($A222&lt;=$B$7,1,2),IF($A222&lt;=RUNG_BEDS_2,2,1))</f>
        <v>1</v>
      </c>
      <c r="C222" s="5">
        <f>MIN(1,MAX(0,$B$26-($A222-1)))</f>
        <v>1</v>
      </c>
      <c r="D222" s="5">
        <f>$B$25*(C222+(1-C222)*$B$16)</f>
        <v>252.05322714681438</v>
      </c>
      <c r="E222" s="13">
        <f>D222*($B$6+ACUTE_MARGIN)</f>
        <v>254573.7594182825</v>
      </c>
      <c r="F222" s="13">
        <f>IF(B222=1,$B$31,$B$32)</f>
        <v>152394.16214437486</v>
      </c>
      <c r="G222" s="13">
        <f>E222-F222</f>
        <v>102179.59727390765</v>
      </c>
      <c r="H222" s="13">
        <f>H221+G222</f>
        <v>14202964.021073213</v>
      </c>
      <c r="I222">
        <f>IF(H222=MAX($H$83:$H$483),$A222,0)</f>
        <v>0</v>
      </c>
      <c r="J222">
        <f>IF(E222&lt;F222,$A222,B_MAX+1)</f>
        <v>401.0</v>
      </c>
      <c r="K222" s="13">
        <f>IF(B222=1,$B$35,$B$36)</f>
        <v>0</v>
      </c>
      <c r="L222" s="13">
        <f>OCC_DAYS*$B$41*R_NF_2023-D222*MCD_SHARE_FREED*R_WAIT_2023</f>
        <v>37367.159242427646</v>
      </c>
      <c r="M222">
        <f>IF($A222&lt;=$B$45,1,0)</f>
        <v>1</v>
      </c>
      <c r="AB222">
        <f>IF($AB$31&lt;=$AB$32,IF($A222&lt;=$AB$7,1,2),IF($A222&lt;=RUNG_BEDS_2,2,1))</f>
        <v>1</v>
      </c>
      <c r="AC222" s="5">
        <f>MIN(1,MAX(0,$AB$26-($A222-1)))</f>
        <v>1</v>
      </c>
      <c r="AD222" s="5">
        <f>$AB$25*(AC222+(1-AC222)*$AB$16)</f>
        <v>252.05322714681438</v>
      </c>
      <c r="AE222" s="13">
        <f>AD222*($AB$6+ACUTE_MARGIN)</f>
        <v>138629.2749307479</v>
      </c>
      <c r="AF222" s="13">
        <f>IF(AB222=1,$AB$31,$AB$32)</f>
        <v>152394.16214437486</v>
      </c>
      <c r="AG222" s="13">
        <f>AE222-AF222</f>
        <v>-13764.887213626964</v>
      </c>
      <c r="AH222" s="13">
        <f>AH221+AG222</f>
        <v>-1913319.3226941442</v>
      </c>
      <c r="AI222">
        <f>IF(AH222=MAX($AH$83:$AH$483),$A222,0)</f>
        <v>0</v>
      </c>
      <c r="AJ222">
        <f>IF(AE222&lt;AF222,$A222,B_MAX+1)</f>
        <v>139</v>
      </c>
      <c r="AK222" s="13">
        <f>IF(AB222=1,$AB$35,$AB$36)</f>
        <v>0</v>
      </c>
      <c r="AL222" s="13">
        <f>OCC_DAYS*$AB$41*R_NF_2023-AD222*MCD_SHARE_FREED*R_WAIT_2023</f>
        <v>37367.159242427646</v>
      </c>
      <c r="AM222">
        <f>IF($A222&lt;=$AB$45,1,0)</f>
        <v>0</v>
      </c>
      <c r="BB222">
        <f>IF($BB$31&lt;=$BB$32,IF($A222&lt;=$BB$7,1,2),IF($A222&lt;=RUNG_BEDS_2,2,1))</f>
        <v>1</v>
      </c>
      <c r="BC222" s="5">
        <f>MIN(1,MAX(0,$BB$26-($A222-1)))</f>
        <v>1</v>
      </c>
      <c r="BD222" s="5">
        <f>$BB$25*(BC222+(1-BC222)*$BB$16)</f>
        <v>252.05322714681438</v>
      </c>
      <c r="BE222" s="13">
        <f>BD222*($BB$6+ACUTE_MARGIN)</f>
        <v>370518.24390581716</v>
      </c>
      <c r="BF222" s="13">
        <f>IF(BB222=1,$BB$31,$BB$32)</f>
        <v>152394.16214437486</v>
      </c>
      <c r="BG222" s="13">
        <f>BE222-BF222</f>
        <v>218124.0817614423</v>
      </c>
      <c r="BH222" s="13">
        <f>BH221+BG222</f>
        <v>30319247.36484046</v>
      </c>
      <c r="BI222">
        <f>IF(BH222=MAX($BH$83:$BH$483),$A222,0)</f>
        <v>0</v>
      </c>
      <c r="BJ222">
        <f>IF(BE222&lt;BF222,$A222,B_MAX+1)</f>
        <v>401.0</v>
      </c>
      <c r="BK222" s="13">
        <f>IF(BB222=1,$BB$35,$BB$36)</f>
        <v>0</v>
      </c>
      <c r="BL222" s="13">
        <f>OCC_DAYS*$BB$41*R_NF_2023-BD222*MCD_SHARE_FREED*R_WAIT_2023</f>
        <v>37367.159242427646</v>
      </c>
      <c r="BM222">
        <f>IF($A222&lt;=$BB$45,1,0)</f>
        <v>1</v>
      </c>
      <c r="CB222">
        <f>IF($CB$31&lt;=$CB$32,IF($A222&lt;=$CB$7,1,2),IF($A222&lt;=RUNG_BEDS_2,2,1))</f>
        <v>2</v>
      </c>
      <c r="CC222" s="5">
        <f>MIN(1,MAX(0,$CB$26-($A222-1)))</f>
        <v>1</v>
      </c>
      <c r="CD222" s="5">
        <f>$CB$25*(CC222+(1-CC222)*$CB$16)</f>
        <v>252.05322714681438</v>
      </c>
      <c r="CE222" s="13">
        <f>CD222*($CB$6+ACUTE_MARGIN)</f>
        <v>254573.7594182825</v>
      </c>
      <c r="CF222" s="13">
        <f>IF(CB222=1,$CB$31,$CB$32)</f>
        <v>160718.36940738867</v>
      </c>
      <c r="CG222" s="13">
        <f>CE222-CF222</f>
        <v>93855.39001089384</v>
      </c>
      <c r="CH222" s="13">
        <f>CH221+CG222</f>
        <v>13045899.211514238</v>
      </c>
      <c r="CI222">
        <f>IF(CH222=MAX($CH$83:$CH$483),$A222,0)</f>
        <v>0</v>
      </c>
      <c r="CJ222">
        <f>IF(CE222&lt;CF222,$A222,B_MAX+1)</f>
        <v>401.0</v>
      </c>
      <c r="CK222" s="13">
        <f>IF(CB222=1,$CB$35,$CB$36)</f>
        <v>1560.1194073886782</v>
      </c>
      <c r="CL222" s="13">
        <f>OCC_DAYS*$CB$41*R_NF_2023-CD222*MCD_SHARE_FREED*R_WAIT_2023</f>
        <v>37367.159242427646</v>
      </c>
      <c r="CM222">
        <f>IF($A222&lt;=$CB$45,1,0)</f>
        <v>1</v>
      </c>
      <c r="DB222">
        <f>IF($DB$31&lt;=$DB$32,IF($A222&lt;=$DB$7,1,2),IF($A222&lt;=RUNG_BEDS_2,2,1))</f>
        <v>1</v>
      </c>
      <c r="DC222" s="5">
        <f>MIN(1,MAX(0,$DB$26-($A222-1)))</f>
        <v>1</v>
      </c>
      <c r="DD222" s="5">
        <f>$DB$25*(DC222+(1-DC222)*$DB$16)</f>
        <v>252.05322714681438</v>
      </c>
      <c r="DE222" s="13">
        <f>DD222*($DB$6+ACUTE_MARGIN)</f>
        <v>254573.7594182825</v>
      </c>
      <c r="DF222" s="13">
        <f>IF(DB222=1,$DB$31,$DB$32)</f>
        <v>152394.16214437486</v>
      </c>
      <c r="DG222" s="13">
        <f>DE222-DF222</f>
        <v>102179.59727390765</v>
      </c>
      <c r="DH222" s="13">
        <f>DH221+DG222</f>
        <v>14202964.021073213</v>
      </c>
      <c r="DI222">
        <f>IF(DH222=MAX($DH$83:$DH$483),$A222,0)</f>
        <v>0</v>
      </c>
      <c r="DJ222">
        <f>IF(DE222&lt;DF222,$A222,B_MAX+1)</f>
        <v>401.0</v>
      </c>
      <c r="DK222" s="13">
        <f>IF(DB222=1,$DB$35,$DB$36)</f>
        <v>0</v>
      </c>
      <c r="DL222" s="13">
        <f>OCC_DAYS*$DB$41*R_NF_2023-DD222*MCD_SHARE_FREED*R_WAIT_2023</f>
        <v>37367.159242427646</v>
      </c>
      <c r="DM222">
        <f>IF($A222&lt;=$DB$45,1,0)</f>
        <v>1</v>
      </c>
      <c r="EB222">
        <f>IF($EB$31&lt;=$EB$32,IF($A222&lt;=$EB$7,1,2),IF($A222&lt;=RUNG_BEDS_2,2,1))</f>
        <v>1</v>
      </c>
      <c r="EC222" s="5">
        <f>MIN(1,MAX(0,$EB$26-($A222-1)))</f>
        <v>1</v>
      </c>
      <c r="ED222" s="5">
        <f>$EB$25*(EC222+(1-EC222)*$EB$16)</f>
        <v>252.05322714681438</v>
      </c>
      <c r="EE222" s="13">
        <f>ED222*($EB$6+ACUTE_MARGIN)</f>
        <v>254573.7594182825</v>
      </c>
      <c r="EF222" s="13">
        <f>IF(EB222=1,$EB$31,$EB$32)</f>
        <v>152394.16214437486</v>
      </c>
      <c r="EG222" s="13">
        <f>EE222-EF222</f>
        <v>102179.59727390765</v>
      </c>
      <c r="EH222" s="13">
        <f>EH221+EG222</f>
        <v>14202964.021073213</v>
      </c>
      <c r="EI222">
        <f>IF(EH222=MAX($EH$83:$EH$483),$A222,0)</f>
        <v>0</v>
      </c>
      <c r="EJ222">
        <f>IF(EE222&lt;EF222,$A222,B_MAX+1)</f>
        <v>401.0</v>
      </c>
      <c r="EK222" s="13">
        <f>IF(EB222=1,$EB$35,$EB$36)</f>
        <v>0</v>
      </c>
      <c r="EL222" s="13">
        <f>OCC_DAYS*$EB$41*R_NF_2023-ED222*MCD_SHARE_FREED*R_WAIT_2023</f>
        <v>-63953.16263896705</v>
      </c>
      <c r="EM222">
        <f>IF($A222&lt;=$EB$45,1,0)</f>
        <v>1</v>
      </c>
      <c r="FB222">
        <f>IF($FB$31&lt;=$FB$32,IF($A222&lt;=$FB$7,1,2),IF($A222&lt;=RUNG_BEDS_2,2,1))</f>
        <v>1</v>
      </c>
      <c r="FC222" s="5">
        <f>MIN(1,MAX(0,$FB$26-($A222-1)))</f>
        <v>1</v>
      </c>
      <c r="FD222" s="5">
        <f>$FB$25*(FC222+(1-FC222)*$FB$16)</f>
        <v>252.05322714681438</v>
      </c>
      <c r="FE222" s="13">
        <f>FD222*($FB$6+ACUTE_MARGIN)</f>
        <v>254573.7594182825</v>
      </c>
      <c r="FF222" s="13">
        <f>IF(FB222=1,$FB$31,$FB$32)</f>
        <v>156636.04979437485</v>
      </c>
      <c r="FG222" s="13">
        <f>FE222-FF222</f>
        <v>97937.70962390766</v>
      </c>
      <c r="FH222" s="13">
        <f>FH221+FG222</f>
        <v>13613341.637723118</v>
      </c>
      <c r="FI222">
        <f>IF(FH222=MAX($FH$83:$FH$483),$A222,0)</f>
        <v>0</v>
      </c>
      <c r="FJ222">
        <f>IF(FE222&lt;FF222,$A222,B_MAX+1)</f>
        <v>401.0</v>
      </c>
      <c r="FK222" s="13">
        <f>IF(FB222=1,$FB$35,$FB$36)</f>
        <v>0</v>
      </c>
      <c r="FL222" s="13">
        <f>OCC_DAYS*$FB$41*R_NF_2023-FD222*MCD_SHARE_FREED*R_WAIT_2023</f>
        <v>37367.159242427646</v>
      </c>
      <c r="FM222">
        <f>IF($A222&lt;=$FB$45,1,0)</f>
        <v>1</v>
      </c>
      <c r="GB222">
        <f>IF($GB$31&lt;=$GB$32,IF($A222&lt;=$GB$7,1,2),IF($A222&lt;=RUNG_BEDS_2,2,1))</f>
        <v>1</v>
      </c>
      <c r="GC222" s="5">
        <f>MIN(1,MAX(0,$GB$26-($A222-1)))</f>
        <v>1</v>
      </c>
      <c r="GD222" s="5">
        <f>$GB$25*(GC222+(1-GC222)*$GB$16)</f>
        <v>252.05322714681438</v>
      </c>
      <c r="GE222" s="13">
        <f>GD222*($GB$6+ACUTE_MARGIN)</f>
        <v>254573.7594182825</v>
      </c>
      <c r="GF222" s="13">
        <f>IF(GB222=1,$GB$31,$GB$32)</f>
        <v>152394.16214437486</v>
      </c>
      <c r="GG222" s="13">
        <f>GE222-GF222</f>
        <v>102179.59727390765</v>
      </c>
      <c r="GH222" s="13">
        <f>GH221+GG222</f>
        <v>14202964.021073213</v>
      </c>
      <c r="GI222">
        <f>IF(GH222=MAX($GH$83:$GH$483),$A222,0)</f>
        <v>0</v>
      </c>
      <c r="GJ222">
        <f>IF(GE222&lt;GF222,$A222,B_MAX+1)</f>
        <v>401.0</v>
      </c>
      <c r="GK222" s="13">
        <f>IF(GB222=1,$GB$35,$GB$36)</f>
        <v>0</v>
      </c>
      <c r="GL222" s="13">
        <f>OCC_DAYS*$GB$41*R_NF_2023-GD222*MCD_SHARE_FREED*R_WAIT_2023</f>
        <v>37367.159242427646</v>
      </c>
      <c r="GM222">
        <f>IF($A222&lt;=$GB$45,1,0)</f>
        <v>1</v>
      </c>
      <c r="HB222">
        <f>IF($HB$31&lt;=$HB$32,IF($A222&lt;=$HB$7,1,2),IF($A222&lt;=RUNG_BEDS_2,2,1))</f>
        <v>1</v>
      </c>
      <c r="HC222" s="5">
        <f>MIN(1,MAX(0,$HB$26-($A222-1)))</f>
        <v>1</v>
      </c>
      <c r="HD222" s="5">
        <f>$HB$25*(HC222+(1-HC222)*$HB$16)</f>
        <v>252.05322714681438</v>
      </c>
      <c r="HE222" s="13">
        <f>HD222*($HB$6+ACUTE_MARGIN)</f>
        <v>254573.7594182825</v>
      </c>
      <c r="HF222" s="13">
        <f>IF(HB222=1,$HB$31,$HB$32)</f>
        <v>152456.2970814058</v>
      </c>
      <c r="HG222" s="13">
        <f>HE222-HF222</f>
        <v>102117.46233687672</v>
      </c>
      <c r="HH222" s="13">
        <f>HH221+HG222</f>
        <v>14194327.264825892</v>
      </c>
      <c r="HI222">
        <f>IF(HH222=MAX($HH$83:$HH$483),$A222,0)</f>
        <v>0</v>
      </c>
      <c r="HJ222">
        <f>IF(HE222&lt;HF222,$A222,B_MAX+1)</f>
        <v>401.0</v>
      </c>
      <c r="HK222" s="13">
        <f>IF(HB222=1,$HB$35,$HB$36)</f>
        <v>0</v>
      </c>
      <c r="HL222" s="13">
        <f>OCC_DAYS*$HB$41*R_NF_2023-HD222*MCD_SHARE_FREED*R_WAIT_2023</f>
        <v>37367.159242427646</v>
      </c>
      <c r="HM222">
        <f>IF($A222&lt;=$HB$45,1,0)</f>
        <v>1</v>
      </c>
      <c r="IB222">
        <f>IF($IB$31&lt;=$IB$32,IF($A222&lt;=$IB$7,1,2),IF($A222&lt;=RUNG_BEDS_2,2,1))</f>
        <v>1</v>
      </c>
      <c r="IC222" s="5">
        <f>MIN(1,MAX(0,$IB$26-($A222-1)))</f>
        <v>1</v>
      </c>
      <c r="ID222" s="5">
        <f>$IB$25*(IC222+(1-IC222)*$IB$16)</f>
        <v>252.05322714681438</v>
      </c>
      <c r="IE222" s="13">
        <f>ID222*($IB$6+ACUTE_MARGIN)</f>
        <v>254573.7594182825</v>
      </c>
      <c r="IF222" s="13">
        <f>IF(IB222=1,$IB$31,$IB$32)</f>
        <v>152734.9994534971</v>
      </c>
      <c r="IG222" s="13">
        <f>IE222-IF222</f>
        <v>101838.75996478542</v>
      </c>
      <c r="IH222" s="13">
        <f>IH221+IG222</f>
        <v>14155587.635105135</v>
      </c>
      <c r="II222">
        <f>IF(IH222=MAX($IH$83:$IH$483),$A222,0)</f>
        <v>0</v>
      </c>
      <c r="IJ222">
        <f>IF(IE222&lt;IF222,$A222,B_MAX+1)</f>
        <v>401.0</v>
      </c>
      <c r="IK222" s="13">
        <f>IF(IB222=1,$IB$35,$IB$36)</f>
        <v>0</v>
      </c>
      <c r="IL222" s="13">
        <f>OCC_DAYS*$IB$41*R_NF_2023-ID222*MCD_SHARE_FREED*R_WAIT_2023</f>
        <v>37367.159242427646</v>
      </c>
      <c r="IM222">
        <f>IF($A222&lt;=$IB$45,1,0)</f>
        <v>1</v>
      </c>
      <c r="JB222">
        <f>IF($JB$31&lt;=$JB$32,IF($A222&lt;=$JB$7,1,2),IF($A222&lt;=RUNG_BEDS_2,2,1))</f>
        <v>1</v>
      </c>
      <c r="JC222" s="5">
        <f>MIN(1,MAX(0,$JB$26-($A222-1)))</f>
        <v>1</v>
      </c>
      <c r="JD222" s="5">
        <f>$JB$25*(JC222+(1-JC222)*$JB$16)</f>
        <v>252.05322714681438</v>
      </c>
      <c r="JE222" s="13">
        <f>JD222*($JB$6+ACUTE_MARGIN)</f>
        <v>254573.7594182825</v>
      </c>
      <c r="JF222" s="13">
        <f>IF(JB222=1,$JB$31,$JB$32)</f>
        <v>152394.16214437486</v>
      </c>
      <c r="JG222" s="13">
        <f>JE222-JF222</f>
        <v>102179.59727390765</v>
      </c>
      <c r="JH222" s="13">
        <f>JH221+JG222</f>
        <v>14202964.021073213</v>
      </c>
      <c r="JI222">
        <f>IF(JH222=MAX($JH$83:$JH$483),$A222,0)</f>
        <v>0</v>
      </c>
      <c r="JJ222">
        <f>IF(JE222&lt;JF222,$A222,B_MAX+1)</f>
        <v>401.0</v>
      </c>
      <c r="JK222" s="13">
        <f>IF(JB222=1,$JB$35,$JB$36)</f>
        <v>0</v>
      </c>
      <c r="JL222" s="13">
        <f>OCC_DAYS*$JB$41*R_NF_2023-JD222*MCD_SHARE_FREED*R_WAIT_2023</f>
        <v>37367.159242427646</v>
      </c>
      <c r="JM222">
        <f>IF($A222&lt;=$JB$45,1,0)</f>
        <v>1</v>
      </c>
      <c r="KB222">
        <f>IF($KB$31&lt;=$KB$32,IF($A222&lt;=$KB$7,1,2),IF($A222&lt;=RUNG_BEDS_2,2,1))</f>
        <v>1</v>
      </c>
      <c r="KC222" s="5">
        <f>MIN(1,MAX(0,$KB$26-($A222-1)))</f>
        <v>1</v>
      </c>
      <c r="KD222" s="5">
        <f>$KB$25*(KC222+(1-KC222)*$KB$16)</f>
        <v>126.02661357340719</v>
      </c>
      <c r="KE222" s="13">
        <f>KD222*($KB$6+ACUTE_MARGIN)</f>
        <v>127286.87970914126</v>
      </c>
      <c r="KF222" s="13">
        <f>IF(KB222=1,$KB$31,$KB$32)</f>
        <v>152394.16214437486</v>
      </c>
      <c r="KG222" s="13">
        <f>KE222-KF222</f>
        <v>-25107.282435233603</v>
      </c>
      <c r="KH222" s="13">
        <f>KH221+KG222</f>
        <v>-3489912.2584974803</v>
      </c>
      <c r="KI222">
        <f>IF(KH222=MAX($KH$83:$KH$483),$A222,0)</f>
        <v>0</v>
      </c>
      <c r="KJ222">
        <f>IF(KE222&lt;KF222,$A222,B_MAX+1)</f>
        <v>139</v>
      </c>
      <c r="KK222" s="13">
        <f>IF(KB222=1,$KB$35,$KB$36)</f>
        <v>0</v>
      </c>
      <c r="KL222" s="13">
        <f>OCC_DAYS*$KB$41*R_NF_2023-KD222*MCD_SHARE_FREED*R_WAIT_2023</f>
        <v>94673.82103225985</v>
      </c>
      <c r="KM222">
        <f>IF($A222&lt;=$KB$45,1,0)</f>
        <v>0</v>
      </c>
      <c r="LB222">
        <f>IF($LB$31&lt;=$LB$32,IF($A222&lt;=$LB$7,1,2),IF($A222&lt;=RUNG_BEDS_2,2,1))</f>
        <v>1</v>
      </c>
      <c r="LC222" s="5">
        <f>MIN(1,MAX(0,$LB$26-($A222-1)))</f>
        <v>1</v>
      </c>
      <c r="LD222" s="5">
        <f>$LB$25*(LC222+(1-LC222)*$LB$16)</f>
        <v>84.01774238227146</v>
      </c>
      <c r="LE222" s="13">
        <f>LD222*($LB$6+ACUTE_MARGIN)</f>
        <v>84857.91980609419</v>
      </c>
      <c r="LF222" s="13">
        <f>IF(LB222=1,$LB$31,$LB$32)</f>
        <v>152394.16214437486</v>
      </c>
      <c r="LG222" s="13">
        <f>LE222-LF222</f>
        <v>-67536.24233828067</v>
      </c>
      <c r="LH222" s="13">
        <f>LH221+LG222</f>
        <v>-9387537.685021047</v>
      </c>
      <c r="LI222">
        <f>IF(LH222=MAX($LH$83:$LH$483),$A222,0)</f>
        <v>0</v>
      </c>
      <c r="LJ222">
        <f>IF(LE222&lt;LF222,$A222,B_MAX+1)</f>
        <v>139</v>
      </c>
      <c r="LK222" s="13">
        <f>IF(LB222=1,$LB$35,$LB$36)</f>
        <v>0</v>
      </c>
      <c r="LL222" s="13">
        <f>OCC_DAYS*$LB$41*R_NF_2023-LD222*MCD_SHARE_FREED*R_WAIT_2023</f>
        <v>113776.04162887059</v>
      </c>
      <c r="LM222">
        <f>IF($A222&lt;=$LB$45,1,0)</f>
        <v>0</v>
      </c>
      <c r="MB222">
        <f>IF($MB$31&lt;=$MB$32,IF($A222&lt;=$MB$7,1,2),IF($A222&lt;=RUNG_BEDS_2,2,1))</f>
        <v>1</v>
      </c>
      <c r="MC222" s="5">
        <f>MIN(1,MAX(0,$MB$26-($A222-1)))</f>
        <v>1</v>
      </c>
      <c r="MD222" s="5">
        <f>$MB$25*(MC222+(1-MC222)*$MB$16)</f>
        <v>213.44610951008647</v>
      </c>
      <c r="ME222" s="13">
        <f>MD222*($MB$6+ACUTE_MARGIN)</f>
        <v>215580.57060518733</v>
      </c>
      <c r="MF222" s="13">
        <f>IF(MB222=1,$MB$31,$MB$32)</f>
        <v>152394.16214437486</v>
      </c>
      <c r="MG222" s="13">
        <f>ME222-MF222</f>
        <v>63186.40846081247</v>
      </c>
      <c r="MH222" s="13">
        <f>MH221+MG222</f>
        <v>8782910.77605295</v>
      </c>
      <c r="MI222">
        <f>IF(MH222=MAX($MH$83:$MH$483),$A222,0)</f>
        <v>0</v>
      </c>
      <c r="MJ222">
        <f>IF(ME222&lt;MF222,$A222,B_MAX+1)</f>
        <v>401.0</v>
      </c>
      <c r="MK222" s="13">
        <f>IF(MB222=1,$MB$35,$MB$36)</f>
        <v>0</v>
      </c>
      <c r="ML222" s="13">
        <f>OCC_DAYS*$MB$41*R_NF_2023-MD222*MCD_SHARE_FREED*R_WAIT_2023</f>
        <v>54922.538779778624</v>
      </c>
      <c r="MM222">
        <f>IF($A222&lt;=$MB$45,1,0)</f>
        <v>1</v>
      </c>
      <c r="NB222">
        <f>IF($NB$31&lt;=$NB$32,IF($A222&lt;=$NB$7,1,2),IF($A222&lt;=RUNG_BEDS_2,2,1))</f>
        <v>1</v>
      </c>
      <c r="NC222" s="5">
        <f>MIN(1,MAX(0,$NB$26-($A222-1)))</f>
        <v>1</v>
      </c>
      <c r="ND222" s="5">
        <f>$NB$25*(NC222+(1-NC222)*$NB$16)</f>
        <v>252.05322714681438</v>
      </c>
      <c r="NE222" s="13">
        <f>ND222*($NB$6+ACUTE_MARGIN)</f>
        <v>254573.7594182825</v>
      </c>
      <c r="NF222" s="13">
        <f>IF(NB222=1,$NB$31,$NB$32)</f>
        <v>152394.16214437486</v>
      </c>
      <c r="NG222" s="13">
        <f>NE222-NF222</f>
        <v>102179.59727390765</v>
      </c>
      <c r="NH222" s="13">
        <f>NH221+NG222</f>
        <v>14202964.021073213</v>
      </c>
      <c r="NI222">
        <f>IF(NH222=MAX($NH$83:$NH$483),$A222,0)</f>
        <v>0</v>
      </c>
      <c r="NJ222">
        <f>IF(NE222&lt;NF222,$A222,B_MAX+1)</f>
        <v>401.0</v>
      </c>
      <c r="NK222" s="13">
        <f>IF(NB222=1,$NB$35,$NB$36)</f>
        <v>0</v>
      </c>
      <c r="NL222" s="13">
        <f>OCC_DAYS*$NB$41*R_NF_2023-ND222*MCD_SHARE_FREED*R_WAIT_2023</f>
        <v>37367.159242427646</v>
      </c>
      <c r="NM222">
        <f>IF($A222&lt;=$NB$45,1,0)</f>
        <v>1</v>
      </c>
      <c r="OB222">
        <f>IF($OB$31&lt;=$OB$32,IF($A222&lt;=$OB$7,1,2),IF($A222&lt;=RUNG_BEDS_2,2,1))</f>
        <v>1</v>
      </c>
      <c r="OC222" s="5">
        <f>MIN(1,MAX(0,$OB$26-($A222-1)))</f>
        <v>1</v>
      </c>
      <c r="OD222" s="5">
        <f>$OB$25*(OC222+(1-OC222)*$OB$16)</f>
        <v>252.05322714681438</v>
      </c>
      <c r="OE222" s="13">
        <f>OD222*($OB$6+ACUTE_MARGIN)</f>
        <v>254573.7594182825</v>
      </c>
      <c r="OF222" s="13">
        <f>IF(OB222=1,$OB$31,$OB$32)</f>
        <v>152394.16214437486</v>
      </c>
      <c r="OG222" s="13">
        <f>OE222-OF222</f>
        <v>102179.59727390765</v>
      </c>
      <c r="OH222" s="13">
        <f>OH221+OG222</f>
        <v>14202964.021073213</v>
      </c>
      <c r="OI222">
        <f>IF(OH222=MAX($OH$83:$OH$483),$A222,0)</f>
        <v>0</v>
      </c>
      <c r="OJ222">
        <f>IF(OE222&lt;OF222,$A222,B_MAX+1)</f>
        <v>401.0</v>
      </c>
      <c r="OK222" s="13">
        <f>IF(OB222=1,$OB$35,$OB$36)</f>
        <v>0</v>
      </c>
      <c r="OL222" s="13">
        <f>OCC_DAYS*$OB$41*R_NF_2023-OD222*MCD_SHARE_FREED*R_WAIT_2023</f>
        <v>37367.159242427646</v>
      </c>
      <c r="OM222">
        <f>IF($A222&lt;=$OB$45,1,0)</f>
        <v>1</v>
      </c>
    </row>
    <row r="223">
      <c r="A223" t="n">
        <v>140</v>
      </c>
      <c r="B223">
        <f>IF($B$31&lt;=$B$32,IF($A223&lt;=$B$7,1,2),IF($A223&lt;=RUNG_BEDS_2,2,1))</f>
        <v>1</v>
      </c>
      <c r="C223" s="5">
        <f>MIN(1,MAX(0,$B$26-($A223-1)))</f>
        <v>1</v>
      </c>
      <c r="D223" s="5">
        <f>$B$25*(C223+(1-C223)*$B$16)</f>
        <v>252.05322714681438</v>
      </c>
      <c r="E223" s="13">
        <f>D223*($B$6+ACUTE_MARGIN)</f>
        <v>254573.7594182825</v>
      </c>
      <c r="F223" s="13">
        <f>IF(B223=1,$B$31,$B$32)</f>
        <v>152394.16214437486</v>
      </c>
      <c r="G223" s="13">
        <f>E223-F223</f>
        <v>102179.59727390765</v>
      </c>
      <c r="H223" s="13">
        <f>H222+G223</f>
        <v>14305143.618347121</v>
      </c>
      <c r="I223">
        <f>IF(H223=MAX($H$83:$H$483),$A223,0)</f>
        <v>0</v>
      </c>
      <c r="J223">
        <f>IF(E223&lt;F223,$A223,B_MAX+1)</f>
        <v>401.0</v>
      </c>
      <c r="K223" s="13">
        <f>IF(B223=1,$B$35,$B$36)</f>
        <v>0</v>
      </c>
      <c r="L223" s="13">
        <f>OCC_DAYS*$B$41*R_NF_2023-D223*MCD_SHARE_FREED*R_WAIT_2023</f>
        <v>37367.159242427646</v>
      </c>
      <c r="M223">
        <f>IF($A223&lt;=$B$45,1,0)</f>
        <v>1</v>
      </c>
      <c r="AB223">
        <f>IF($AB$31&lt;=$AB$32,IF($A223&lt;=$AB$7,1,2),IF($A223&lt;=RUNG_BEDS_2,2,1))</f>
        <v>1</v>
      </c>
      <c r="AC223" s="5">
        <f>MIN(1,MAX(0,$AB$26-($A223-1)))</f>
        <v>1</v>
      </c>
      <c r="AD223" s="5">
        <f>$AB$25*(AC223+(1-AC223)*$AB$16)</f>
        <v>252.05322714681438</v>
      </c>
      <c r="AE223" s="13">
        <f>AD223*($AB$6+ACUTE_MARGIN)</f>
        <v>138629.2749307479</v>
      </c>
      <c r="AF223" s="13">
        <f>IF(AB223=1,$AB$31,$AB$32)</f>
        <v>152394.16214437486</v>
      </c>
      <c r="AG223" s="13">
        <f>AE223-AF223</f>
        <v>-13764.887213626964</v>
      </c>
      <c r="AH223" s="13">
        <f>AH222+AG223</f>
        <v>-1927084.209907771</v>
      </c>
      <c r="AI223">
        <f>IF(AH223=MAX($AH$83:$AH$483),$A223,0)</f>
        <v>0</v>
      </c>
      <c r="AJ223">
        <f>IF(AE223&lt;AF223,$A223,B_MAX+1)</f>
        <v>140</v>
      </c>
      <c r="AK223" s="13">
        <f>IF(AB223=1,$AB$35,$AB$36)</f>
        <v>0</v>
      </c>
      <c r="AL223" s="13">
        <f>OCC_DAYS*$AB$41*R_NF_2023-AD223*MCD_SHARE_FREED*R_WAIT_2023</f>
        <v>37367.159242427646</v>
      </c>
      <c r="AM223">
        <f>IF($A223&lt;=$AB$45,1,0)</f>
        <v>0</v>
      </c>
      <c r="BB223">
        <f>IF($BB$31&lt;=$BB$32,IF($A223&lt;=$BB$7,1,2),IF($A223&lt;=RUNG_BEDS_2,2,1))</f>
        <v>1</v>
      </c>
      <c r="BC223" s="5">
        <f>MIN(1,MAX(0,$BB$26-($A223-1)))</f>
        <v>1</v>
      </c>
      <c r="BD223" s="5">
        <f>$BB$25*(BC223+(1-BC223)*$BB$16)</f>
        <v>252.05322714681438</v>
      </c>
      <c r="BE223" s="13">
        <f>BD223*($BB$6+ACUTE_MARGIN)</f>
        <v>370518.24390581716</v>
      </c>
      <c r="BF223" s="13">
        <f>IF(BB223=1,$BB$31,$BB$32)</f>
        <v>152394.16214437486</v>
      </c>
      <c r="BG223" s="13">
        <f>BE223-BF223</f>
        <v>218124.0817614423</v>
      </c>
      <c r="BH223" s="13">
        <f>BH222+BG223</f>
        <v>30537371.4466019</v>
      </c>
      <c r="BI223">
        <f>IF(BH223=MAX($BH$83:$BH$483),$A223,0)</f>
        <v>0</v>
      </c>
      <c r="BJ223">
        <f>IF(BE223&lt;BF223,$A223,B_MAX+1)</f>
        <v>401.0</v>
      </c>
      <c r="BK223" s="13">
        <f>IF(BB223=1,$BB$35,$BB$36)</f>
        <v>0</v>
      </c>
      <c r="BL223" s="13">
        <f>OCC_DAYS*$BB$41*R_NF_2023-BD223*MCD_SHARE_FREED*R_WAIT_2023</f>
        <v>37367.159242427646</v>
      </c>
      <c r="BM223">
        <f>IF($A223&lt;=$BB$45,1,0)</f>
        <v>1</v>
      </c>
      <c r="CB223">
        <f>IF($CB$31&lt;=$CB$32,IF($A223&lt;=$CB$7,1,2),IF($A223&lt;=RUNG_BEDS_2,2,1))</f>
        <v>2</v>
      </c>
      <c r="CC223" s="5">
        <f>MIN(1,MAX(0,$CB$26-($A223-1)))</f>
        <v>1</v>
      </c>
      <c r="CD223" s="5">
        <f>$CB$25*(CC223+(1-CC223)*$CB$16)</f>
        <v>252.05322714681438</v>
      </c>
      <c r="CE223" s="13">
        <f>CD223*($CB$6+ACUTE_MARGIN)</f>
        <v>254573.7594182825</v>
      </c>
      <c r="CF223" s="13">
        <f>IF(CB223=1,$CB$31,$CB$32)</f>
        <v>160718.36940738867</v>
      </c>
      <c r="CG223" s="13">
        <f>CE223-CF223</f>
        <v>93855.39001089384</v>
      </c>
      <c r="CH223" s="13">
        <f>CH222+CG223</f>
        <v>13139754.601525132</v>
      </c>
      <c r="CI223">
        <f>IF(CH223=MAX($CH$83:$CH$483),$A223,0)</f>
        <v>0</v>
      </c>
      <c r="CJ223">
        <f>IF(CE223&lt;CF223,$A223,B_MAX+1)</f>
        <v>401.0</v>
      </c>
      <c r="CK223" s="13">
        <f>IF(CB223=1,$CB$35,$CB$36)</f>
        <v>1560.1194073886782</v>
      </c>
      <c r="CL223" s="13">
        <f>OCC_DAYS*$CB$41*R_NF_2023-CD223*MCD_SHARE_FREED*R_WAIT_2023</f>
        <v>37367.159242427646</v>
      </c>
      <c r="CM223">
        <f>IF($A223&lt;=$CB$45,1,0)</f>
        <v>1</v>
      </c>
      <c r="DB223">
        <f>IF($DB$31&lt;=$DB$32,IF($A223&lt;=$DB$7,1,2),IF($A223&lt;=RUNG_BEDS_2,2,1))</f>
        <v>1</v>
      </c>
      <c r="DC223" s="5">
        <f>MIN(1,MAX(0,$DB$26-($A223-1)))</f>
        <v>1</v>
      </c>
      <c r="DD223" s="5">
        <f>$DB$25*(DC223+(1-DC223)*$DB$16)</f>
        <v>252.05322714681438</v>
      </c>
      <c r="DE223" s="13">
        <f>DD223*($DB$6+ACUTE_MARGIN)</f>
        <v>254573.7594182825</v>
      </c>
      <c r="DF223" s="13">
        <f>IF(DB223=1,$DB$31,$DB$32)</f>
        <v>152394.16214437486</v>
      </c>
      <c r="DG223" s="13">
        <f>DE223-DF223</f>
        <v>102179.59727390765</v>
      </c>
      <c r="DH223" s="13">
        <f>DH222+DG223</f>
        <v>14305143.618347121</v>
      </c>
      <c r="DI223">
        <f>IF(DH223=MAX($DH$83:$DH$483),$A223,0)</f>
        <v>0</v>
      </c>
      <c r="DJ223">
        <f>IF(DE223&lt;DF223,$A223,B_MAX+1)</f>
        <v>401.0</v>
      </c>
      <c r="DK223" s="13">
        <f>IF(DB223=1,$DB$35,$DB$36)</f>
        <v>0</v>
      </c>
      <c r="DL223" s="13">
        <f>OCC_DAYS*$DB$41*R_NF_2023-DD223*MCD_SHARE_FREED*R_WAIT_2023</f>
        <v>37367.159242427646</v>
      </c>
      <c r="DM223">
        <f>IF($A223&lt;=$DB$45,1,0)</f>
        <v>1</v>
      </c>
      <c r="EB223">
        <f>IF($EB$31&lt;=$EB$32,IF($A223&lt;=$EB$7,1,2),IF($A223&lt;=RUNG_BEDS_2,2,1))</f>
        <v>1</v>
      </c>
      <c r="EC223" s="5">
        <f>MIN(1,MAX(0,$EB$26-($A223-1)))</f>
        <v>1</v>
      </c>
      <c r="ED223" s="5">
        <f>$EB$25*(EC223+(1-EC223)*$EB$16)</f>
        <v>252.05322714681438</v>
      </c>
      <c r="EE223" s="13">
        <f>ED223*($EB$6+ACUTE_MARGIN)</f>
        <v>254573.7594182825</v>
      </c>
      <c r="EF223" s="13">
        <f>IF(EB223=1,$EB$31,$EB$32)</f>
        <v>152394.16214437486</v>
      </c>
      <c r="EG223" s="13">
        <f>EE223-EF223</f>
        <v>102179.59727390765</v>
      </c>
      <c r="EH223" s="13">
        <f>EH222+EG223</f>
        <v>14305143.618347121</v>
      </c>
      <c r="EI223">
        <f>IF(EH223=MAX($EH$83:$EH$483),$A223,0)</f>
        <v>0</v>
      </c>
      <c r="EJ223">
        <f>IF(EE223&lt;EF223,$A223,B_MAX+1)</f>
        <v>401.0</v>
      </c>
      <c r="EK223" s="13">
        <f>IF(EB223=1,$EB$35,$EB$36)</f>
        <v>0</v>
      </c>
      <c r="EL223" s="13">
        <f>OCC_DAYS*$EB$41*R_NF_2023-ED223*MCD_SHARE_FREED*R_WAIT_2023</f>
        <v>-63953.16263896705</v>
      </c>
      <c r="EM223">
        <f>IF($A223&lt;=$EB$45,1,0)</f>
        <v>1</v>
      </c>
      <c r="FB223">
        <f>IF($FB$31&lt;=$FB$32,IF($A223&lt;=$FB$7,1,2),IF($A223&lt;=RUNG_BEDS_2,2,1))</f>
        <v>1</v>
      </c>
      <c r="FC223" s="5">
        <f>MIN(1,MAX(0,$FB$26-($A223-1)))</f>
        <v>1</v>
      </c>
      <c r="FD223" s="5">
        <f>$FB$25*(FC223+(1-FC223)*$FB$16)</f>
        <v>252.05322714681438</v>
      </c>
      <c r="FE223" s="13">
        <f>FD223*($FB$6+ACUTE_MARGIN)</f>
        <v>254573.7594182825</v>
      </c>
      <c r="FF223" s="13">
        <f>IF(FB223=1,$FB$31,$FB$32)</f>
        <v>156636.04979437485</v>
      </c>
      <c r="FG223" s="13">
        <f>FE223-FF223</f>
        <v>97937.70962390766</v>
      </c>
      <c r="FH223" s="13">
        <f>FH222+FG223</f>
        <v>13711279.347347025</v>
      </c>
      <c r="FI223">
        <f>IF(FH223=MAX($FH$83:$FH$483),$A223,0)</f>
        <v>0</v>
      </c>
      <c r="FJ223">
        <f>IF(FE223&lt;FF223,$A223,B_MAX+1)</f>
        <v>401.0</v>
      </c>
      <c r="FK223" s="13">
        <f>IF(FB223=1,$FB$35,$FB$36)</f>
        <v>0</v>
      </c>
      <c r="FL223" s="13">
        <f>OCC_DAYS*$FB$41*R_NF_2023-FD223*MCD_SHARE_FREED*R_WAIT_2023</f>
        <v>37367.159242427646</v>
      </c>
      <c r="FM223">
        <f>IF($A223&lt;=$FB$45,1,0)</f>
        <v>1</v>
      </c>
      <c r="GB223">
        <f>IF($GB$31&lt;=$GB$32,IF($A223&lt;=$GB$7,1,2),IF($A223&lt;=RUNG_BEDS_2,2,1))</f>
        <v>1</v>
      </c>
      <c r="GC223" s="5">
        <f>MIN(1,MAX(0,$GB$26-($A223-1)))</f>
        <v>1</v>
      </c>
      <c r="GD223" s="5">
        <f>$GB$25*(GC223+(1-GC223)*$GB$16)</f>
        <v>252.05322714681438</v>
      </c>
      <c r="GE223" s="13">
        <f>GD223*($GB$6+ACUTE_MARGIN)</f>
        <v>254573.7594182825</v>
      </c>
      <c r="GF223" s="13">
        <f>IF(GB223=1,$GB$31,$GB$32)</f>
        <v>152394.16214437486</v>
      </c>
      <c r="GG223" s="13">
        <f>GE223-GF223</f>
        <v>102179.59727390765</v>
      </c>
      <c r="GH223" s="13">
        <f>GH222+GG223</f>
        <v>14305143.618347121</v>
      </c>
      <c r="GI223">
        <f>IF(GH223=MAX($GH$83:$GH$483),$A223,0)</f>
        <v>0</v>
      </c>
      <c r="GJ223">
        <f>IF(GE223&lt;GF223,$A223,B_MAX+1)</f>
        <v>401.0</v>
      </c>
      <c r="GK223" s="13">
        <f>IF(GB223=1,$GB$35,$GB$36)</f>
        <v>0</v>
      </c>
      <c r="GL223" s="13">
        <f>OCC_DAYS*$GB$41*R_NF_2023-GD223*MCD_SHARE_FREED*R_WAIT_2023</f>
        <v>37367.159242427646</v>
      </c>
      <c r="GM223">
        <f>IF($A223&lt;=$GB$45,1,0)</f>
        <v>1</v>
      </c>
      <c r="HB223">
        <f>IF($HB$31&lt;=$HB$32,IF($A223&lt;=$HB$7,1,2),IF($A223&lt;=RUNG_BEDS_2,2,1))</f>
        <v>1</v>
      </c>
      <c r="HC223" s="5">
        <f>MIN(1,MAX(0,$HB$26-($A223-1)))</f>
        <v>1</v>
      </c>
      <c r="HD223" s="5">
        <f>$HB$25*(HC223+(1-HC223)*$HB$16)</f>
        <v>252.05322714681438</v>
      </c>
      <c r="HE223" s="13">
        <f>HD223*($HB$6+ACUTE_MARGIN)</f>
        <v>254573.7594182825</v>
      </c>
      <c r="HF223" s="13">
        <f>IF(HB223=1,$HB$31,$HB$32)</f>
        <v>152456.2970814058</v>
      </c>
      <c r="HG223" s="13">
        <f>HE223-HF223</f>
        <v>102117.46233687672</v>
      </c>
      <c r="HH223" s="13">
        <f>HH222+HG223</f>
        <v>14296444.727162769</v>
      </c>
      <c r="HI223">
        <f>IF(HH223=MAX($HH$83:$HH$483),$A223,0)</f>
        <v>0</v>
      </c>
      <c r="HJ223">
        <f>IF(HE223&lt;HF223,$A223,B_MAX+1)</f>
        <v>401.0</v>
      </c>
      <c r="HK223" s="13">
        <f>IF(HB223=1,$HB$35,$HB$36)</f>
        <v>0</v>
      </c>
      <c r="HL223" s="13">
        <f>OCC_DAYS*$HB$41*R_NF_2023-HD223*MCD_SHARE_FREED*R_WAIT_2023</f>
        <v>37367.159242427646</v>
      </c>
      <c r="HM223">
        <f>IF($A223&lt;=$HB$45,1,0)</f>
        <v>1</v>
      </c>
      <c r="IB223">
        <f>IF($IB$31&lt;=$IB$32,IF($A223&lt;=$IB$7,1,2),IF($A223&lt;=RUNG_BEDS_2,2,1))</f>
        <v>1</v>
      </c>
      <c r="IC223" s="5">
        <f>MIN(1,MAX(0,$IB$26-($A223-1)))</f>
        <v>1</v>
      </c>
      <c r="ID223" s="5">
        <f>$IB$25*(IC223+(1-IC223)*$IB$16)</f>
        <v>252.05322714681438</v>
      </c>
      <c r="IE223" s="13">
        <f>ID223*($IB$6+ACUTE_MARGIN)</f>
        <v>254573.7594182825</v>
      </c>
      <c r="IF223" s="13">
        <f>IF(IB223=1,$IB$31,$IB$32)</f>
        <v>152734.9994534971</v>
      </c>
      <c r="IG223" s="13">
        <f>IE223-IF223</f>
        <v>101838.75996478542</v>
      </c>
      <c r="IH223" s="13">
        <f>IH222+IG223</f>
        <v>14257426.39506992</v>
      </c>
      <c r="II223">
        <f>IF(IH223=MAX($IH$83:$IH$483),$A223,0)</f>
        <v>0</v>
      </c>
      <c r="IJ223">
        <f>IF(IE223&lt;IF223,$A223,B_MAX+1)</f>
        <v>401.0</v>
      </c>
      <c r="IK223" s="13">
        <f>IF(IB223=1,$IB$35,$IB$36)</f>
        <v>0</v>
      </c>
      <c r="IL223" s="13">
        <f>OCC_DAYS*$IB$41*R_NF_2023-ID223*MCD_SHARE_FREED*R_WAIT_2023</f>
        <v>37367.159242427646</v>
      </c>
      <c r="IM223">
        <f>IF($A223&lt;=$IB$45,1,0)</f>
        <v>1</v>
      </c>
      <c r="JB223">
        <f>IF($JB$31&lt;=$JB$32,IF($A223&lt;=$JB$7,1,2),IF($A223&lt;=RUNG_BEDS_2,2,1))</f>
        <v>1</v>
      </c>
      <c r="JC223" s="5">
        <f>MIN(1,MAX(0,$JB$26-($A223-1)))</f>
        <v>1</v>
      </c>
      <c r="JD223" s="5">
        <f>$JB$25*(JC223+(1-JC223)*$JB$16)</f>
        <v>252.05322714681438</v>
      </c>
      <c r="JE223" s="13">
        <f>JD223*($JB$6+ACUTE_MARGIN)</f>
        <v>254573.7594182825</v>
      </c>
      <c r="JF223" s="13">
        <f>IF(JB223=1,$JB$31,$JB$32)</f>
        <v>152394.16214437486</v>
      </c>
      <c r="JG223" s="13">
        <f>JE223-JF223</f>
        <v>102179.59727390765</v>
      </c>
      <c r="JH223" s="13">
        <f>JH222+JG223</f>
        <v>14305143.618347121</v>
      </c>
      <c r="JI223">
        <f>IF(JH223=MAX($JH$83:$JH$483),$A223,0)</f>
        <v>0</v>
      </c>
      <c r="JJ223">
        <f>IF(JE223&lt;JF223,$A223,B_MAX+1)</f>
        <v>401.0</v>
      </c>
      <c r="JK223" s="13">
        <f>IF(JB223=1,$JB$35,$JB$36)</f>
        <v>0</v>
      </c>
      <c r="JL223" s="13">
        <f>OCC_DAYS*$JB$41*R_NF_2023-JD223*MCD_SHARE_FREED*R_WAIT_2023</f>
        <v>37367.159242427646</v>
      </c>
      <c r="JM223">
        <f>IF($A223&lt;=$JB$45,1,0)</f>
        <v>1</v>
      </c>
      <c r="KB223">
        <f>IF($KB$31&lt;=$KB$32,IF($A223&lt;=$KB$7,1,2),IF($A223&lt;=RUNG_BEDS_2,2,1))</f>
        <v>1</v>
      </c>
      <c r="KC223" s="5">
        <f>MIN(1,MAX(0,$KB$26-($A223-1)))</f>
        <v>1</v>
      </c>
      <c r="KD223" s="5">
        <f>$KB$25*(KC223+(1-KC223)*$KB$16)</f>
        <v>126.02661357340719</v>
      </c>
      <c r="KE223" s="13">
        <f>KD223*($KB$6+ACUTE_MARGIN)</f>
        <v>127286.87970914126</v>
      </c>
      <c r="KF223" s="13">
        <f>IF(KB223=1,$KB$31,$KB$32)</f>
        <v>152394.16214437486</v>
      </c>
      <c r="KG223" s="13">
        <f>KE223-KF223</f>
        <v>-25107.282435233603</v>
      </c>
      <c r="KH223" s="13">
        <f>KH222+KG223</f>
        <v>-3515019.540932714</v>
      </c>
      <c r="KI223">
        <f>IF(KH223=MAX($KH$83:$KH$483),$A223,0)</f>
        <v>0</v>
      </c>
      <c r="KJ223">
        <f>IF(KE223&lt;KF223,$A223,B_MAX+1)</f>
        <v>140</v>
      </c>
      <c r="KK223" s="13">
        <f>IF(KB223=1,$KB$35,$KB$36)</f>
        <v>0</v>
      </c>
      <c r="KL223" s="13">
        <f>OCC_DAYS*$KB$41*R_NF_2023-KD223*MCD_SHARE_FREED*R_WAIT_2023</f>
        <v>94673.82103225985</v>
      </c>
      <c r="KM223">
        <f>IF($A223&lt;=$KB$45,1,0)</f>
        <v>0</v>
      </c>
      <c r="LB223">
        <f>IF($LB$31&lt;=$LB$32,IF($A223&lt;=$LB$7,1,2),IF($A223&lt;=RUNG_BEDS_2,2,1))</f>
        <v>1</v>
      </c>
      <c r="LC223" s="5">
        <f>MIN(1,MAX(0,$LB$26-($A223-1)))</f>
        <v>1</v>
      </c>
      <c r="LD223" s="5">
        <f>$LB$25*(LC223+(1-LC223)*$LB$16)</f>
        <v>84.01774238227146</v>
      </c>
      <c r="LE223" s="13">
        <f>LD223*($LB$6+ACUTE_MARGIN)</f>
        <v>84857.91980609419</v>
      </c>
      <c r="LF223" s="13">
        <f>IF(LB223=1,$LB$31,$LB$32)</f>
        <v>152394.16214437486</v>
      </c>
      <c r="LG223" s="13">
        <f>LE223-LF223</f>
        <v>-67536.24233828067</v>
      </c>
      <c r="LH223" s="13">
        <f>LH222+LG223</f>
        <v>-9455073.927359328</v>
      </c>
      <c r="LI223">
        <f>IF(LH223=MAX($LH$83:$LH$483),$A223,0)</f>
        <v>0</v>
      </c>
      <c r="LJ223">
        <f>IF(LE223&lt;LF223,$A223,B_MAX+1)</f>
        <v>140</v>
      </c>
      <c r="LK223" s="13">
        <f>IF(LB223=1,$LB$35,$LB$36)</f>
        <v>0</v>
      </c>
      <c r="LL223" s="13">
        <f>OCC_DAYS*$LB$41*R_NF_2023-LD223*MCD_SHARE_FREED*R_WAIT_2023</f>
        <v>113776.04162887059</v>
      </c>
      <c r="LM223">
        <f>IF($A223&lt;=$LB$45,1,0)</f>
        <v>0</v>
      </c>
      <c r="MB223">
        <f>IF($MB$31&lt;=$MB$32,IF($A223&lt;=$MB$7,1,2),IF($A223&lt;=RUNG_BEDS_2,2,1))</f>
        <v>1</v>
      </c>
      <c r="MC223" s="5">
        <f>MIN(1,MAX(0,$MB$26-($A223-1)))</f>
        <v>1</v>
      </c>
      <c r="MD223" s="5">
        <f>$MB$25*(MC223+(1-MC223)*$MB$16)</f>
        <v>213.44610951008647</v>
      </c>
      <c r="ME223" s="13">
        <f>MD223*($MB$6+ACUTE_MARGIN)</f>
        <v>215580.57060518733</v>
      </c>
      <c r="MF223" s="13">
        <f>IF(MB223=1,$MB$31,$MB$32)</f>
        <v>152394.16214437486</v>
      </c>
      <c r="MG223" s="13">
        <f>ME223-MF223</f>
        <v>63186.40846081247</v>
      </c>
      <c r="MH223" s="13">
        <f>MH222+MG223</f>
        <v>8846097.184513763</v>
      </c>
      <c r="MI223">
        <f>IF(MH223=MAX($MH$83:$MH$483),$A223,0)</f>
        <v>0</v>
      </c>
      <c r="MJ223">
        <f>IF(ME223&lt;MF223,$A223,B_MAX+1)</f>
        <v>401.0</v>
      </c>
      <c r="MK223" s="13">
        <f>IF(MB223=1,$MB$35,$MB$36)</f>
        <v>0</v>
      </c>
      <c r="ML223" s="13">
        <f>OCC_DAYS*$MB$41*R_NF_2023-MD223*MCD_SHARE_FREED*R_WAIT_2023</f>
        <v>54922.538779778624</v>
      </c>
      <c r="MM223">
        <f>IF($A223&lt;=$MB$45,1,0)</f>
        <v>1</v>
      </c>
      <c r="NB223">
        <f>IF($NB$31&lt;=$NB$32,IF($A223&lt;=$NB$7,1,2),IF($A223&lt;=RUNG_BEDS_2,2,1))</f>
        <v>1</v>
      </c>
      <c r="NC223" s="5">
        <f>MIN(1,MAX(0,$NB$26-($A223-1)))</f>
        <v>1</v>
      </c>
      <c r="ND223" s="5">
        <f>$NB$25*(NC223+(1-NC223)*$NB$16)</f>
        <v>252.05322714681438</v>
      </c>
      <c r="NE223" s="13">
        <f>ND223*($NB$6+ACUTE_MARGIN)</f>
        <v>254573.7594182825</v>
      </c>
      <c r="NF223" s="13">
        <f>IF(NB223=1,$NB$31,$NB$32)</f>
        <v>152394.16214437486</v>
      </c>
      <c r="NG223" s="13">
        <f>NE223-NF223</f>
        <v>102179.59727390765</v>
      </c>
      <c r="NH223" s="13">
        <f>NH222+NG223</f>
        <v>14305143.618347121</v>
      </c>
      <c r="NI223">
        <f>IF(NH223=MAX($NH$83:$NH$483),$A223,0)</f>
        <v>0</v>
      </c>
      <c r="NJ223">
        <f>IF(NE223&lt;NF223,$A223,B_MAX+1)</f>
        <v>401.0</v>
      </c>
      <c r="NK223" s="13">
        <f>IF(NB223=1,$NB$35,$NB$36)</f>
        <v>0</v>
      </c>
      <c r="NL223" s="13">
        <f>OCC_DAYS*$NB$41*R_NF_2023-ND223*MCD_SHARE_FREED*R_WAIT_2023</f>
        <v>37367.159242427646</v>
      </c>
      <c r="NM223">
        <f>IF($A223&lt;=$NB$45,1,0)</f>
        <v>1</v>
      </c>
      <c r="OB223">
        <f>IF($OB$31&lt;=$OB$32,IF($A223&lt;=$OB$7,1,2),IF($A223&lt;=RUNG_BEDS_2,2,1))</f>
        <v>1</v>
      </c>
      <c r="OC223" s="5">
        <f>MIN(1,MAX(0,$OB$26-($A223-1)))</f>
        <v>1</v>
      </c>
      <c r="OD223" s="5">
        <f>$OB$25*(OC223+(1-OC223)*$OB$16)</f>
        <v>252.05322714681438</v>
      </c>
      <c r="OE223" s="13">
        <f>OD223*($OB$6+ACUTE_MARGIN)</f>
        <v>254573.7594182825</v>
      </c>
      <c r="OF223" s="13">
        <f>IF(OB223=1,$OB$31,$OB$32)</f>
        <v>152394.16214437486</v>
      </c>
      <c r="OG223" s="13">
        <f>OE223-OF223</f>
        <v>102179.59727390765</v>
      </c>
      <c r="OH223" s="13">
        <f>OH222+OG223</f>
        <v>14305143.618347121</v>
      </c>
      <c r="OI223">
        <f>IF(OH223=MAX($OH$83:$OH$483),$A223,0)</f>
        <v>0</v>
      </c>
      <c r="OJ223">
        <f>IF(OE223&lt;OF223,$A223,B_MAX+1)</f>
        <v>401.0</v>
      </c>
      <c r="OK223" s="13">
        <f>IF(OB223=1,$OB$35,$OB$36)</f>
        <v>0</v>
      </c>
      <c r="OL223" s="13">
        <f>OCC_DAYS*$OB$41*R_NF_2023-OD223*MCD_SHARE_FREED*R_WAIT_2023</f>
        <v>37367.159242427646</v>
      </c>
      <c r="OM223">
        <f>IF($A223&lt;=$OB$45,1,0)</f>
        <v>1</v>
      </c>
    </row>
    <row r="224">
      <c r="A224" t="n">
        <v>141</v>
      </c>
      <c r="B224">
        <f>IF($B$31&lt;=$B$32,IF($A224&lt;=$B$7,1,2),IF($A224&lt;=RUNG_BEDS_2,2,1))</f>
        <v>1</v>
      </c>
      <c r="C224" s="5">
        <f>MIN(1,MAX(0,$B$26-($A224-1)))</f>
        <v>1</v>
      </c>
      <c r="D224" s="5">
        <f>$B$25*(C224+(1-C224)*$B$16)</f>
        <v>252.05322714681438</v>
      </c>
      <c r="E224" s="13">
        <f>D224*($B$6+ACUTE_MARGIN)</f>
        <v>254573.7594182825</v>
      </c>
      <c r="F224" s="13">
        <f>IF(B224=1,$B$31,$B$32)</f>
        <v>152394.16214437486</v>
      </c>
      <c r="G224" s="13">
        <f>E224-F224</f>
        <v>102179.59727390765</v>
      </c>
      <c r="H224" s="13">
        <f>H223+G224</f>
        <v>14407323.21562103</v>
      </c>
      <c r="I224">
        <f>IF(H224=MAX($H$83:$H$483),$A224,0)</f>
        <v>0</v>
      </c>
      <c r="J224">
        <f>IF(E224&lt;F224,$A224,B_MAX+1)</f>
        <v>401.0</v>
      </c>
      <c r="K224" s="13">
        <f>IF(B224=1,$B$35,$B$36)</f>
        <v>0</v>
      </c>
      <c r="L224" s="13">
        <f>OCC_DAYS*$B$41*R_NF_2023-D224*MCD_SHARE_FREED*R_WAIT_2023</f>
        <v>37367.159242427646</v>
      </c>
      <c r="M224">
        <f>IF($A224&lt;=$B$45,1,0)</f>
        <v>1</v>
      </c>
      <c r="AB224">
        <f>IF($AB$31&lt;=$AB$32,IF($A224&lt;=$AB$7,1,2),IF($A224&lt;=RUNG_BEDS_2,2,1))</f>
        <v>1</v>
      </c>
      <c r="AC224" s="5">
        <f>MIN(1,MAX(0,$AB$26-($A224-1)))</f>
        <v>1</v>
      </c>
      <c r="AD224" s="5">
        <f>$AB$25*(AC224+(1-AC224)*$AB$16)</f>
        <v>252.05322714681438</v>
      </c>
      <c r="AE224" s="13">
        <f>AD224*($AB$6+ACUTE_MARGIN)</f>
        <v>138629.2749307479</v>
      </c>
      <c r="AF224" s="13">
        <f>IF(AB224=1,$AB$31,$AB$32)</f>
        <v>152394.16214437486</v>
      </c>
      <c r="AG224" s="13">
        <f>AE224-AF224</f>
        <v>-13764.887213626964</v>
      </c>
      <c r="AH224" s="13">
        <f>AH223+AG224</f>
        <v>-1940849.097121398</v>
      </c>
      <c r="AI224">
        <f>IF(AH224=MAX($AH$83:$AH$483),$A224,0)</f>
        <v>0</v>
      </c>
      <c r="AJ224">
        <f>IF(AE224&lt;AF224,$A224,B_MAX+1)</f>
        <v>141</v>
      </c>
      <c r="AK224" s="13">
        <f>IF(AB224=1,$AB$35,$AB$36)</f>
        <v>0</v>
      </c>
      <c r="AL224" s="13">
        <f>OCC_DAYS*$AB$41*R_NF_2023-AD224*MCD_SHARE_FREED*R_WAIT_2023</f>
        <v>37367.159242427646</v>
      </c>
      <c r="AM224">
        <f>IF($A224&lt;=$AB$45,1,0)</f>
        <v>0</v>
      </c>
      <c r="BB224">
        <f>IF($BB$31&lt;=$BB$32,IF($A224&lt;=$BB$7,1,2),IF($A224&lt;=RUNG_BEDS_2,2,1))</f>
        <v>1</v>
      </c>
      <c r="BC224" s="5">
        <f>MIN(1,MAX(0,$BB$26-($A224-1)))</f>
        <v>1</v>
      </c>
      <c r="BD224" s="5">
        <f>$BB$25*(BC224+(1-BC224)*$BB$16)</f>
        <v>252.05322714681438</v>
      </c>
      <c r="BE224" s="13">
        <f>BD224*($BB$6+ACUTE_MARGIN)</f>
        <v>370518.24390581716</v>
      </c>
      <c r="BF224" s="13">
        <f>IF(BB224=1,$BB$31,$BB$32)</f>
        <v>152394.16214437486</v>
      </c>
      <c r="BG224" s="13">
        <f>BE224-BF224</f>
        <v>218124.0817614423</v>
      </c>
      <c r="BH224" s="13">
        <f>BH223+BG224</f>
        <v>30755495.528363343</v>
      </c>
      <c r="BI224">
        <f>IF(BH224=MAX($BH$83:$BH$483),$A224,0)</f>
        <v>0</v>
      </c>
      <c r="BJ224">
        <f>IF(BE224&lt;BF224,$A224,B_MAX+1)</f>
        <v>401.0</v>
      </c>
      <c r="BK224" s="13">
        <f>IF(BB224=1,$BB$35,$BB$36)</f>
        <v>0</v>
      </c>
      <c r="BL224" s="13">
        <f>OCC_DAYS*$BB$41*R_NF_2023-BD224*MCD_SHARE_FREED*R_WAIT_2023</f>
        <v>37367.159242427646</v>
      </c>
      <c r="BM224">
        <f>IF($A224&lt;=$BB$45,1,0)</f>
        <v>1</v>
      </c>
      <c r="CB224">
        <f>IF($CB$31&lt;=$CB$32,IF($A224&lt;=$CB$7,1,2),IF($A224&lt;=RUNG_BEDS_2,2,1))</f>
        <v>2</v>
      </c>
      <c r="CC224" s="5">
        <f>MIN(1,MAX(0,$CB$26-($A224-1)))</f>
        <v>1</v>
      </c>
      <c r="CD224" s="5">
        <f>$CB$25*(CC224+(1-CC224)*$CB$16)</f>
        <v>252.05322714681438</v>
      </c>
      <c r="CE224" s="13">
        <f>CD224*($CB$6+ACUTE_MARGIN)</f>
        <v>254573.7594182825</v>
      </c>
      <c r="CF224" s="13">
        <f>IF(CB224=1,$CB$31,$CB$32)</f>
        <v>160718.36940738867</v>
      </c>
      <c r="CG224" s="13">
        <f>CE224-CF224</f>
        <v>93855.39001089384</v>
      </c>
      <c r="CH224" s="13">
        <f>CH223+CG224</f>
        <v>13233609.991536025</v>
      </c>
      <c r="CI224">
        <f>IF(CH224=MAX($CH$83:$CH$483),$A224,0)</f>
        <v>0</v>
      </c>
      <c r="CJ224">
        <f>IF(CE224&lt;CF224,$A224,B_MAX+1)</f>
        <v>401.0</v>
      </c>
      <c r="CK224" s="13">
        <f>IF(CB224=1,$CB$35,$CB$36)</f>
        <v>1560.1194073886782</v>
      </c>
      <c r="CL224" s="13">
        <f>OCC_DAYS*$CB$41*R_NF_2023-CD224*MCD_SHARE_FREED*R_WAIT_2023</f>
        <v>37367.159242427646</v>
      </c>
      <c r="CM224">
        <f>IF($A224&lt;=$CB$45,1,0)</f>
        <v>1</v>
      </c>
      <c r="DB224">
        <f>IF($DB$31&lt;=$DB$32,IF($A224&lt;=$DB$7,1,2),IF($A224&lt;=RUNG_BEDS_2,2,1))</f>
        <v>1</v>
      </c>
      <c r="DC224" s="5">
        <f>MIN(1,MAX(0,$DB$26-($A224-1)))</f>
        <v>1</v>
      </c>
      <c r="DD224" s="5">
        <f>$DB$25*(DC224+(1-DC224)*$DB$16)</f>
        <v>252.05322714681438</v>
      </c>
      <c r="DE224" s="13">
        <f>DD224*($DB$6+ACUTE_MARGIN)</f>
        <v>254573.7594182825</v>
      </c>
      <c r="DF224" s="13">
        <f>IF(DB224=1,$DB$31,$DB$32)</f>
        <v>152394.16214437486</v>
      </c>
      <c r="DG224" s="13">
        <f>DE224-DF224</f>
        <v>102179.59727390765</v>
      </c>
      <c r="DH224" s="13">
        <f>DH223+DG224</f>
        <v>14407323.21562103</v>
      </c>
      <c r="DI224">
        <f>IF(DH224=MAX($DH$83:$DH$483),$A224,0)</f>
        <v>0</v>
      </c>
      <c r="DJ224">
        <f>IF(DE224&lt;DF224,$A224,B_MAX+1)</f>
        <v>401.0</v>
      </c>
      <c r="DK224" s="13">
        <f>IF(DB224=1,$DB$35,$DB$36)</f>
        <v>0</v>
      </c>
      <c r="DL224" s="13">
        <f>OCC_DAYS*$DB$41*R_NF_2023-DD224*MCD_SHARE_FREED*R_WAIT_2023</f>
        <v>37367.159242427646</v>
      </c>
      <c r="DM224">
        <f>IF($A224&lt;=$DB$45,1,0)</f>
        <v>1</v>
      </c>
      <c r="EB224">
        <f>IF($EB$31&lt;=$EB$32,IF($A224&lt;=$EB$7,1,2),IF($A224&lt;=RUNG_BEDS_2,2,1))</f>
        <v>1</v>
      </c>
      <c r="EC224" s="5">
        <f>MIN(1,MAX(0,$EB$26-($A224-1)))</f>
        <v>1</v>
      </c>
      <c r="ED224" s="5">
        <f>$EB$25*(EC224+(1-EC224)*$EB$16)</f>
        <v>252.05322714681438</v>
      </c>
      <c r="EE224" s="13">
        <f>ED224*($EB$6+ACUTE_MARGIN)</f>
        <v>254573.7594182825</v>
      </c>
      <c r="EF224" s="13">
        <f>IF(EB224=1,$EB$31,$EB$32)</f>
        <v>152394.16214437486</v>
      </c>
      <c r="EG224" s="13">
        <f>EE224-EF224</f>
        <v>102179.59727390765</v>
      </c>
      <c r="EH224" s="13">
        <f>EH223+EG224</f>
        <v>14407323.21562103</v>
      </c>
      <c r="EI224">
        <f>IF(EH224=MAX($EH$83:$EH$483),$A224,0)</f>
        <v>0</v>
      </c>
      <c r="EJ224">
        <f>IF(EE224&lt;EF224,$A224,B_MAX+1)</f>
        <v>401.0</v>
      </c>
      <c r="EK224" s="13">
        <f>IF(EB224=1,$EB$35,$EB$36)</f>
        <v>0</v>
      </c>
      <c r="EL224" s="13">
        <f>OCC_DAYS*$EB$41*R_NF_2023-ED224*MCD_SHARE_FREED*R_WAIT_2023</f>
        <v>-63953.16263896705</v>
      </c>
      <c r="EM224">
        <f>IF($A224&lt;=$EB$45,1,0)</f>
        <v>1</v>
      </c>
      <c r="FB224">
        <f>IF($FB$31&lt;=$FB$32,IF($A224&lt;=$FB$7,1,2),IF($A224&lt;=RUNG_BEDS_2,2,1))</f>
        <v>1</v>
      </c>
      <c r="FC224" s="5">
        <f>MIN(1,MAX(0,$FB$26-($A224-1)))</f>
        <v>1</v>
      </c>
      <c r="FD224" s="5">
        <f>$FB$25*(FC224+(1-FC224)*$FB$16)</f>
        <v>252.05322714681438</v>
      </c>
      <c r="FE224" s="13">
        <f>FD224*($FB$6+ACUTE_MARGIN)</f>
        <v>254573.7594182825</v>
      </c>
      <c r="FF224" s="13">
        <f>IF(FB224=1,$FB$31,$FB$32)</f>
        <v>156636.04979437485</v>
      </c>
      <c r="FG224" s="13">
        <f>FE224-FF224</f>
        <v>97937.70962390766</v>
      </c>
      <c r="FH224" s="13">
        <f>FH223+FG224</f>
        <v>13809217.056970932</v>
      </c>
      <c r="FI224">
        <f>IF(FH224=MAX($FH$83:$FH$483),$A224,0)</f>
        <v>0</v>
      </c>
      <c r="FJ224">
        <f>IF(FE224&lt;FF224,$A224,B_MAX+1)</f>
        <v>401.0</v>
      </c>
      <c r="FK224" s="13">
        <f>IF(FB224=1,$FB$35,$FB$36)</f>
        <v>0</v>
      </c>
      <c r="FL224" s="13">
        <f>OCC_DAYS*$FB$41*R_NF_2023-FD224*MCD_SHARE_FREED*R_WAIT_2023</f>
        <v>37367.159242427646</v>
      </c>
      <c r="FM224">
        <f>IF($A224&lt;=$FB$45,1,0)</f>
        <v>1</v>
      </c>
      <c r="GB224">
        <f>IF($GB$31&lt;=$GB$32,IF($A224&lt;=$GB$7,1,2),IF($A224&lt;=RUNG_BEDS_2,2,1))</f>
        <v>1</v>
      </c>
      <c r="GC224" s="5">
        <f>MIN(1,MAX(0,$GB$26-($A224-1)))</f>
        <v>1</v>
      </c>
      <c r="GD224" s="5">
        <f>$GB$25*(GC224+(1-GC224)*$GB$16)</f>
        <v>252.05322714681438</v>
      </c>
      <c r="GE224" s="13">
        <f>GD224*($GB$6+ACUTE_MARGIN)</f>
        <v>254573.7594182825</v>
      </c>
      <c r="GF224" s="13">
        <f>IF(GB224=1,$GB$31,$GB$32)</f>
        <v>152394.16214437486</v>
      </c>
      <c r="GG224" s="13">
        <f>GE224-GF224</f>
        <v>102179.59727390765</v>
      </c>
      <c r="GH224" s="13">
        <f>GH223+GG224</f>
        <v>14407323.21562103</v>
      </c>
      <c r="GI224">
        <f>IF(GH224=MAX($GH$83:$GH$483),$A224,0)</f>
        <v>0</v>
      </c>
      <c r="GJ224">
        <f>IF(GE224&lt;GF224,$A224,B_MAX+1)</f>
        <v>401.0</v>
      </c>
      <c r="GK224" s="13">
        <f>IF(GB224=1,$GB$35,$GB$36)</f>
        <v>0</v>
      </c>
      <c r="GL224" s="13">
        <f>OCC_DAYS*$GB$41*R_NF_2023-GD224*MCD_SHARE_FREED*R_WAIT_2023</f>
        <v>37367.159242427646</v>
      </c>
      <c r="GM224">
        <f>IF($A224&lt;=$GB$45,1,0)</f>
        <v>1</v>
      </c>
      <c r="HB224">
        <f>IF($HB$31&lt;=$HB$32,IF($A224&lt;=$HB$7,1,2),IF($A224&lt;=RUNG_BEDS_2,2,1))</f>
        <v>1</v>
      </c>
      <c r="HC224" s="5">
        <f>MIN(1,MAX(0,$HB$26-($A224-1)))</f>
        <v>1</v>
      </c>
      <c r="HD224" s="5">
        <f>$HB$25*(HC224+(1-HC224)*$HB$16)</f>
        <v>252.05322714681438</v>
      </c>
      <c r="HE224" s="13">
        <f>HD224*($HB$6+ACUTE_MARGIN)</f>
        <v>254573.7594182825</v>
      </c>
      <c r="HF224" s="13">
        <f>IF(HB224=1,$HB$31,$HB$32)</f>
        <v>152456.2970814058</v>
      </c>
      <c r="HG224" s="13">
        <f>HE224-HF224</f>
        <v>102117.46233687672</v>
      </c>
      <c r="HH224" s="13">
        <f>HH223+HG224</f>
        <v>14398562.189499646</v>
      </c>
      <c r="HI224">
        <f>IF(HH224=MAX($HH$83:$HH$483),$A224,0)</f>
        <v>0</v>
      </c>
      <c r="HJ224">
        <f>IF(HE224&lt;HF224,$A224,B_MAX+1)</f>
        <v>401.0</v>
      </c>
      <c r="HK224" s="13">
        <f>IF(HB224=1,$HB$35,$HB$36)</f>
        <v>0</v>
      </c>
      <c r="HL224" s="13">
        <f>OCC_DAYS*$HB$41*R_NF_2023-HD224*MCD_SHARE_FREED*R_WAIT_2023</f>
        <v>37367.159242427646</v>
      </c>
      <c r="HM224">
        <f>IF($A224&lt;=$HB$45,1,0)</f>
        <v>1</v>
      </c>
      <c r="IB224">
        <f>IF($IB$31&lt;=$IB$32,IF($A224&lt;=$IB$7,1,2),IF($A224&lt;=RUNG_BEDS_2,2,1))</f>
        <v>1</v>
      </c>
      <c r="IC224" s="5">
        <f>MIN(1,MAX(0,$IB$26-($A224-1)))</f>
        <v>1</v>
      </c>
      <c r="ID224" s="5">
        <f>$IB$25*(IC224+(1-IC224)*$IB$16)</f>
        <v>252.05322714681438</v>
      </c>
      <c r="IE224" s="13">
        <f>ID224*($IB$6+ACUTE_MARGIN)</f>
        <v>254573.7594182825</v>
      </c>
      <c r="IF224" s="13">
        <f>IF(IB224=1,$IB$31,$IB$32)</f>
        <v>152734.9994534971</v>
      </c>
      <c r="IG224" s="13">
        <f>IE224-IF224</f>
        <v>101838.75996478542</v>
      </c>
      <c r="IH224" s="13">
        <f>IH223+IG224</f>
        <v>14359265.155034704</v>
      </c>
      <c r="II224">
        <f>IF(IH224=MAX($IH$83:$IH$483),$A224,0)</f>
        <v>0</v>
      </c>
      <c r="IJ224">
        <f>IF(IE224&lt;IF224,$A224,B_MAX+1)</f>
        <v>401.0</v>
      </c>
      <c r="IK224" s="13">
        <f>IF(IB224=1,$IB$35,$IB$36)</f>
        <v>0</v>
      </c>
      <c r="IL224" s="13">
        <f>OCC_DAYS*$IB$41*R_NF_2023-ID224*MCD_SHARE_FREED*R_WAIT_2023</f>
        <v>37367.159242427646</v>
      </c>
      <c r="IM224">
        <f>IF($A224&lt;=$IB$45,1,0)</f>
        <v>1</v>
      </c>
      <c r="JB224">
        <f>IF($JB$31&lt;=$JB$32,IF($A224&lt;=$JB$7,1,2),IF($A224&lt;=RUNG_BEDS_2,2,1))</f>
        <v>1</v>
      </c>
      <c r="JC224" s="5">
        <f>MIN(1,MAX(0,$JB$26-($A224-1)))</f>
        <v>1</v>
      </c>
      <c r="JD224" s="5">
        <f>$JB$25*(JC224+(1-JC224)*$JB$16)</f>
        <v>252.05322714681438</v>
      </c>
      <c r="JE224" s="13">
        <f>JD224*($JB$6+ACUTE_MARGIN)</f>
        <v>254573.7594182825</v>
      </c>
      <c r="JF224" s="13">
        <f>IF(JB224=1,$JB$31,$JB$32)</f>
        <v>152394.16214437486</v>
      </c>
      <c r="JG224" s="13">
        <f>JE224-JF224</f>
        <v>102179.59727390765</v>
      </c>
      <c r="JH224" s="13">
        <f>JH223+JG224</f>
        <v>14407323.21562103</v>
      </c>
      <c r="JI224">
        <f>IF(JH224=MAX($JH$83:$JH$483),$A224,0)</f>
        <v>0</v>
      </c>
      <c r="JJ224">
        <f>IF(JE224&lt;JF224,$A224,B_MAX+1)</f>
        <v>401.0</v>
      </c>
      <c r="JK224" s="13">
        <f>IF(JB224=1,$JB$35,$JB$36)</f>
        <v>0</v>
      </c>
      <c r="JL224" s="13">
        <f>OCC_DAYS*$JB$41*R_NF_2023-JD224*MCD_SHARE_FREED*R_WAIT_2023</f>
        <v>37367.159242427646</v>
      </c>
      <c r="JM224">
        <f>IF($A224&lt;=$JB$45,1,0)</f>
        <v>1</v>
      </c>
      <c r="KB224">
        <f>IF($KB$31&lt;=$KB$32,IF($A224&lt;=$KB$7,1,2),IF($A224&lt;=RUNG_BEDS_2,2,1))</f>
        <v>1</v>
      </c>
      <c r="KC224" s="5">
        <f>MIN(1,MAX(0,$KB$26-($A224-1)))</f>
        <v>1</v>
      </c>
      <c r="KD224" s="5">
        <f>$KB$25*(KC224+(1-KC224)*$KB$16)</f>
        <v>126.02661357340719</v>
      </c>
      <c r="KE224" s="13">
        <f>KD224*($KB$6+ACUTE_MARGIN)</f>
        <v>127286.87970914126</v>
      </c>
      <c r="KF224" s="13">
        <f>IF(KB224=1,$KB$31,$KB$32)</f>
        <v>152394.16214437486</v>
      </c>
      <c r="KG224" s="13">
        <f>KE224-KF224</f>
        <v>-25107.282435233603</v>
      </c>
      <c r="KH224" s="13">
        <f>KH223+KG224</f>
        <v>-3540126.8233679477</v>
      </c>
      <c r="KI224">
        <f>IF(KH224=MAX($KH$83:$KH$483),$A224,0)</f>
        <v>0</v>
      </c>
      <c r="KJ224">
        <f>IF(KE224&lt;KF224,$A224,B_MAX+1)</f>
        <v>141</v>
      </c>
      <c r="KK224" s="13">
        <f>IF(KB224=1,$KB$35,$KB$36)</f>
        <v>0</v>
      </c>
      <c r="KL224" s="13">
        <f>OCC_DAYS*$KB$41*R_NF_2023-KD224*MCD_SHARE_FREED*R_WAIT_2023</f>
        <v>94673.82103225985</v>
      </c>
      <c r="KM224">
        <f>IF($A224&lt;=$KB$45,1,0)</f>
        <v>0</v>
      </c>
      <c r="LB224">
        <f>IF($LB$31&lt;=$LB$32,IF($A224&lt;=$LB$7,1,2),IF($A224&lt;=RUNG_BEDS_2,2,1))</f>
        <v>1</v>
      </c>
      <c r="LC224" s="5">
        <f>MIN(1,MAX(0,$LB$26-($A224-1)))</f>
        <v>1</v>
      </c>
      <c r="LD224" s="5">
        <f>$LB$25*(LC224+(1-LC224)*$LB$16)</f>
        <v>84.01774238227146</v>
      </c>
      <c r="LE224" s="13">
        <f>LD224*($LB$6+ACUTE_MARGIN)</f>
        <v>84857.91980609419</v>
      </c>
      <c r="LF224" s="13">
        <f>IF(LB224=1,$LB$31,$LB$32)</f>
        <v>152394.16214437486</v>
      </c>
      <c r="LG224" s="13">
        <f>LE224-LF224</f>
        <v>-67536.24233828067</v>
      </c>
      <c r="LH224" s="13">
        <f>LH223+LG224</f>
        <v>-9522610.169697609</v>
      </c>
      <c r="LI224">
        <f>IF(LH224=MAX($LH$83:$LH$483),$A224,0)</f>
        <v>0</v>
      </c>
      <c r="LJ224">
        <f>IF(LE224&lt;LF224,$A224,B_MAX+1)</f>
        <v>141</v>
      </c>
      <c r="LK224" s="13">
        <f>IF(LB224=1,$LB$35,$LB$36)</f>
        <v>0</v>
      </c>
      <c r="LL224" s="13">
        <f>OCC_DAYS*$LB$41*R_NF_2023-LD224*MCD_SHARE_FREED*R_WAIT_2023</f>
        <v>113776.04162887059</v>
      </c>
      <c r="LM224">
        <f>IF($A224&lt;=$LB$45,1,0)</f>
        <v>0</v>
      </c>
      <c r="MB224">
        <f>IF($MB$31&lt;=$MB$32,IF($A224&lt;=$MB$7,1,2),IF($A224&lt;=RUNG_BEDS_2,2,1))</f>
        <v>1</v>
      </c>
      <c r="MC224" s="5">
        <f>MIN(1,MAX(0,$MB$26-($A224-1)))</f>
        <v>1</v>
      </c>
      <c r="MD224" s="5">
        <f>$MB$25*(MC224+(1-MC224)*$MB$16)</f>
        <v>213.44610951008647</v>
      </c>
      <c r="ME224" s="13">
        <f>MD224*($MB$6+ACUTE_MARGIN)</f>
        <v>215580.57060518733</v>
      </c>
      <c r="MF224" s="13">
        <f>IF(MB224=1,$MB$31,$MB$32)</f>
        <v>152394.16214437486</v>
      </c>
      <c r="MG224" s="13">
        <f>ME224-MF224</f>
        <v>63186.40846081247</v>
      </c>
      <c r="MH224" s="13">
        <f>MH223+MG224</f>
        <v>8909283.592974575</v>
      </c>
      <c r="MI224">
        <f>IF(MH224=MAX($MH$83:$MH$483),$A224,0)</f>
        <v>0</v>
      </c>
      <c r="MJ224">
        <f>IF(ME224&lt;MF224,$A224,B_MAX+1)</f>
        <v>401.0</v>
      </c>
      <c r="MK224" s="13">
        <f>IF(MB224=1,$MB$35,$MB$36)</f>
        <v>0</v>
      </c>
      <c r="ML224" s="13">
        <f>OCC_DAYS*$MB$41*R_NF_2023-MD224*MCD_SHARE_FREED*R_WAIT_2023</f>
        <v>54922.538779778624</v>
      </c>
      <c r="MM224">
        <f>IF($A224&lt;=$MB$45,1,0)</f>
        <v>1</v>
      </c>
      <c r="NB224">
        <f>IF($NB$31&lt;=$NB$32,IF($A224&lt;=$NB$7,1,2),IF($A224&lt;=RUNG_BEDS_2,2,1))</f>
        <v>1</v>
      </c>
      <c r="NC224" s="5">
        <f>MIN(1,MAX(0,$NB$26-($A224-1)))</f>
        <v>1</v>
      </c>
      <c r="ND224" s="5">
        <f>$NB$25*(NC224+(1-NC224)*$NB$16)</f>
        <v>252.05322714681438</v>
      </c>
      <c r="NE224" s="13">
        <f>ND224*($NB$6+ACUTE_MARGIN)</f>
        <v>254573.7594182825</v>
      </c>
      <c r="NF224" s="13">
        <f>IF(NB224=1,$NB$31,$NB$32)</f>
        <v>152394.16214437486</v>
      </c>
      <c r="NG224" s="13">
        <f>NE224-NF224</f>
        <v>102179.59727390765</v>
      </c>
      <c r="NH224" s="13">
        <f>NH223+NG224</f>
        <v>14407323.21562103</v>
      </c>
      <c r="NI224">
        <f>IF(NH224=MAX($NH$83:$NH$483),$A224,0)</f>
        <v>0</v>
      </c>
      <c r="NJ224">
        <f>IF(NE224&lt;NF224,$A224,B_MAX+1)</f>
        <v>401.0</v>
      </c>
      <c r="NK224" s="13">
        <f>IF(NB224=1,$NB$35,$NB$36)</f>
        <v>0</v>
      </c>
      <c r="NL224" s="13">
        <f>OCC_DAYS*$NB$41*R_NF_2023-ND224*MCD_SHARE_FREED*R_WAIT_2023</f>
        <v>37367.159242427646</v>
      </c>
      <c r="NM224">
        <f>IF($A224&lt;=$NB$45,1,0)</f>
        <v>1</v>
      </c>
      <c r="OB224">
        <f>IF($OB$31&lt;=$OB$32,IF($A224&lt;=$OB$7,1,2),IF($A224&lt;=RUNG_BEDS_2,2,1))</f>
        <v>1</v>
      </c>
      <c r="OC224" s="5">
        <f>MIN(1,MAX(0,$OB$26-($A224-1)))</f>
        <v>1</v>
      </c>
      <c r="OD224" s="5">
        <f>$OB$25*(OC224+(1-OC224)*$OB$16)</f>
        <v>252.05322714681438</v>
      </c>
      <c r="OE224" s="13">
        <f>OD224*($OB$6+ACUTE_MARGIN)</f>
        <v>254573.7594182825</v>
      </c>
      <c r="OF224" s="13">
        <f>IF(OB224=1,$OB$31,$OB$32)</f>
        <v>152394.16214437486</v>
      </c>
      <c r="OG224" s="13">
        <f>OE224-OF224</f>
        <v>102179.59727390765</v>
      </c>
      <c r="OH224" s="13">
        <f>OH223+OG224</f>
        <v>14407323.21562103</v>
      </c>
      <c r="OI224">
        <f>IF(OH224=MAX($OH$83:$OH$483),$A224,0)</f>
        <v>0</v>
      </c>
      <c r="OJ224">
        <f>IF(OE224&lt;OF224,$A224,B_MAX+1)</f>
        <v>401.0</v>
      </c>
      <c r="OK224" s="13">
        <f>IF(OB224=1,$OB$35,$OB$36)</f>
        <v>0</v>
      </c>
      <c r="OL224" s="13">
        <f>OCC_DAYS*$OB$41*R_NF_2023-OD224*MCD_SHARE_FREED*R_WAIT_2023</f>
        <v>37367.159242427646</v>
      </c>
      <c r="OM224">
        <f>IF($A224&lt;=$OB$45,1,0)</f>
        <v>1</v>
      </c>
    </row>
    <row r="225">
      <c r="A225" t="n">
        <v>142</v>
      </c>
      <c r="B225">
        <f>IF($B$31&lt;=$B$32,IF($A225&lt;=$B$7,1,2),IF($A225&lt;=RUNG_BEDS_2,2,1))</f>
        <v>1</v>
      </c>
      <c r="C225" s="5">
        <f>MIN(1,MAX(0,$B$26-($A225-1)))</f>
        <v>1</v>
      </c>
      <c r="D225" s="5">
        <f>$B$25*(C225+(1-C225)*$B$16)</f>
        <v>252.05322714681438</v>
      </c>
      <c r="E225" s="13">
        <f>D225*($B$6+ACUTE_MARGIN)</f>
        <v>254573.7594182825</v>
      </c>
      <c r="F225" s="13">
        <f>IF(B225=1,$B$31,$B$32)</f>
        <v>152394.16214437486</v>
      </c>
      <c r="G225" s="13">
        <f>E225-F225</f>
        <v>102179.59727390765</v>
      </c>
      <c r="H225" s="13">
        <f>H224+G225</f>
        <v>14509502.812894939</v>
      </c>
      <c r="I225">
        <f>IF(H225=MAX($H$83:$H$483),$A225,0)</f>
        <v>0</v>
      </c>
      <c r="J225">
        <f>IF(E225&lt;F225,$A225,B_MAX+1)</f>
        <v>401.0</v>
      </c>
      <c r="K225" s="13">
        <f>IF(B225=1,$B$35,$B$36)</f>
        <v>0</v>
      </c>
      <c r="L225" s="13">
        <f>OCC_DAYS*$B$41*R_NF_2023-D225*MCD_SHARE_FREED*R_WAIT_2023</f>
        <v>37367.159242427646</v>
      </c>
      <c r="M225">
        <f>IF($A225&lt;=$B$45,1,0)</f>
        <v>1</v>
      </c>
      <c r="AB225">
        <f>IF($AB$31&lt;=$AB$32,IF($A225&lt;=$AB$7,1,2),IF($A225&lt;=RUNG_BEDS_2,2,1))</f>
        <v>1</v>
      </c>
      <c r="AC225" s="5">
        <f>MIN(1,MAX(0,$AB$26-($A225-1)))</f>
        <v>1</v>
      </c>
      <c r="AD225" s="5">
        <f>$AB$25*(AC225+(1-AC225)*$AB$16)</f>
        <v>252.05322714681438</v>
      </c>
      <c r="AE225" s="13">
        <f>AD225*($AB$6+ACUTE_MARGIN)</f>
        <v>138629.2749307479</v>
      </c>
      <c r="AF225" s="13">
        <f>IF(AB225=1,$AB$31,$AB$32)</f>
        <v>152394.16214437486</v>
      </c>
      <c r="AG225" s="13">
        <f>AE225-AF225</f>
        <v>-13764.887213626964</v>
      </c>
      <c r="AH225" s="13">
        <f>AH224+AG225</f>
        <v>-1954613.9843350248</v>
      </c>
      <c r="AI225">
        <f>IF(AH225=MAX($AH$83:$AH$483),$A225,0)</f>
        <v>0</v>
      </c>
      <c r="AJ225">
        <f>IF(AE225&lt;AF225,$A225,B_MAX+1)</f>
        <v>142</v>
      </c>
      <c r="AK225" s="13">
        <f>IF(AB225=1,$AB$35,$AB$36)</f>
        <v>0</v>
      </c>
      <c r="AL225" s="13">
        <f>OCC_DAYS*$AB$41*R_NF_2023-AD225*MCD_SHARE_FREED*R_WAIT_2023</f>
        <v>37367.159242427646</v>
      </c>
      <c r="AM225">
        <f>IF($A225&lt;=$AB$45,1,0)</f>
        <v>0</v>
      </c>
      <c r="BB225">
        <f>IF($BB$31&lt;=$BB$32,IF($A225&lt;=$BB$7,1,2),IF($A225&lt;=RUNG_BEDS_2,2,1))</f>
        <v>1</v>
      </c>
      <c r="BC225" s="5">
        <f>MIN(1,MAX(0,$BB$26-($A225-1)))</f>
        <v>1</v>
      </c>
      <c r="BD225" s="5">
        <f>$BB$25*(BC225+(1-BC225)*$BB$16)</f>
        <v>252.05322714681438</v>
      </c>
      <c r="BE225" s="13">
        <f>BD225*($BB$6+ACUTE_MARGIN)</f>
        <v>370518.24390581716</v>
      </c>
      <c r="BF225" s="13">
        <f>IF(BB225=1,$BB$31,$BB$32)</f>
        <v>152394.16214437486</v>
      </c>
      <c r="BG225" s="13">
        <f>BE225-BF225</f>
        <v>218124.0817614423</v>
      </c>
      <c r="BH225" s="13">
        <f>BH224+BG225</f>
        <v>30973619.610124785</v>
      </c>
      <c r="BI225">
        <f>IF(BH225=MAX($BH$83:$BH$483),$A225,0)</f>
        <v>0</v>
      </c>
      <c r="BJ225">
        <f>IF(BE225&lt;BF225,$A225,B_MAX+1)</f>
        <v>401.0</v>
      </c>
      <c r="BK225" s="13">
        <f>IF(BB225=1,$BB$35,$BB$36)</f>
        <v>0</v>
      </c>
      <c r="BL225" s="13">
        <f>OCC_DAYS*$BB$41*R_NF_2023-BD225*MCD_SHARE_FREED*R_WAIT_2023</f>
        <v>37367.159242427646</v>
      </c>
      <c r="BM225">
        <f>IF($A225&lt;=$BB$45,1,0)</f>
        <v>1</v>
      </c>
      <c r="CB225">
        <f>IF($CB$31&lt;=$CB$32,IF($A225&lt;=$CB$7,1,2),IF($A225&lt;=RUNG_BEDS_2,2,1))</f>
        <v>2</v>
      </c>
      <c r="CC225" s="5">
        <f>MIN(1,MAX(0,$CB$26-($A225-1)))</f>
        <v>1</v>
      </c>
      <c r="CD225" s="5">
        <f>$CB$25*(CC225+(1-CC225)*$CB$16)</f>
        <v>252.05322714681438</v>
      </c>
      <c r="CE225" s="13">
        <f>CD225*($CB$6+ACUTE_MARGIN)</f>
        <v>254573.7594182825</v>
      </c>
      <c r="CF225" s="13">
        <f>IF(CB225=1,$CB$31,$CB$32)</f>
        <v>160718.36940738867</v>
      </c>
      <c r="CG225" s="13">
        <f>CE225-CF225</f>
        <v>93855.39001089384</v>
      </c>
      <c r="CH225" s="13">
        <f>CH224+CG225</f>
        <v>13327465.381546918</v>
      </c>
      <c r="CI225">
        <f>IF(CH225=MAX($CH$83:$CH$483),$A225,0)</f>
        <v>0</v>
      </c>
      <c r="CJ225">
        <f>IF(CE225&lt;CF225,$A225,B_MAX+1)</f>
        <v>401.0</v>
      </c>
      <c r="CK225" s="13">
        <f>IF(CB225=1,$CB$35,$CB$36)</f>
        <v>1560.1194073886782</v>
      </c>
      <c r="CL225" s="13">
        <f>OCC_DAYS*$CB$41*R_NF_2023-CD225*MCD_SHARE_FREED*R_WAIT_2023</f>
        <v>37367.159242427646</v>
      </c>
      <c r="CM225">
        <f>IF($A225&lt;=$CB$45,1,0)</f>
        <v>1</v>
      </c>
      <c r="DB225">
        <f>IF($DB$31&lt;=$DB$32,IF($A225&lt;=$DB$7,1,2),IF($A225&lt;=RUNG_BEDS_2,2,1))</f>
        <v>1</v>
      </c>
      <c r="DC225" s="5">
        <f>MIN(1,MAX(0,$DB$26-($A225-1)))</f>
        <v>1</v>
      </c>
      <c r="DD225" s="5">
        <f>$DB$25*(DC225+(1-DC225)*$DB$16)</f>
        <v>252.05322714681438</v>
      </c>
      <c r="DE225" s="13">
        <f>DD225*($DB$6+ACUTE_MARGIN)</f>
        <v>254573.7594182825</v>
      </c>
      <c r="DF225" s="13">
        <f>IF(DB225=1,$DB$31,$DB$32)</f>
        <v>152394.16214437486</v>
      </c>
      <c r="DG225" s="13">
        <f>DE225-DF225</f>
        <v>102179.59727390765</v>
      </c>
      <c r="DH225" s="13">
        <f>DH224+DG225</f>
        <v>14509502.812894939</v>
      </c>
      <c r="DI225">
        <f>IF(DH225=MAX($DH$83:$DH$483),$A225,0)</f>
        <v>0</v>
      </c>
      <c r="DJ225">
        <f>IF(DE225&lt;DF225,$A225,B_MAX+1)</f>
        <v>401.0</v>
      </c>
      <c r="DK225" s="13">
        <f>IF(DB225=1,$DB$35,$DB$36)</f>
        <v>0</v>
      </c>
      <c r="DL225" s="13">
        <f>OCC_DAYS*$DB$41*R_NF_2023-DD225*MCD_SHARE_FREED*R_WAIT_2023</f>
        <v>37367.159242427646</v>
      </c>
      <c r="DM225">
        <f>IF($A225&lt;=$DB$45,1,0)</f>
        <v>1</v>
      </c>
      <c r="EB225">
        <f>IF($EB$31&lt;=$EB$32,IF($A225&lt;=$EB$7,1,2),IF($A225&lt;=RUNG_BEDS_2,2,1))</f>
        <v>1</v>
      </c>
      <c r="EC225" s="5">
        <f>MIN(1,MAX(0,$EB$26-($A225-1)))</f>
        <v>1</v>
      </c>
      <c r="ED225" s="5">
        <f>$EB$25*(EC225+(1-EC225)*$EB$16)</f>
        <v>252.05322714681438</v>
      </c>
      <c r="EE225" s="13">
        <f>ED225*($EB$6+ACUTE_MARGIN)</f>
        <v>254573.7594182825</v>
      </c>
      <c r="EF225" s="13">
        <f>IF(EB225=1,$EB$31,$EB$32)</f>
        <v>152394.16214437486</v>
      </c>
      <c r="EG225" s="13">
        <f>EE225-EF225</f>
        <v>102179.59727390765</v>
      </c>
      <c r="EH225" s="13">
        <f>EH224+EG225</f>
        <v>14509502.812894939</v>
      </c>
      <c r="EI225">
        <f>IF(EH225=MAX($EH$83:$EH$483),$A225,0)</f>
        <v>0</v>
      </c>
      <c r="EJ225">
        <f>IF(EE225&lt;EF225,$A225,B_MAX+1)</f>
        <v>401.0</v>
      </c>
      <c r="EK225" s="13">
        <f>IF(EB225=1,$EB$35,$EB$36)</f>
        <v>0</v>
      </c>
      <c r="EL225" s="13">
        <f>OCC_DAYS*$EB$41*R_NF_2023-ED225*MCD_SHARE_FREED*R_WAIT_2023</f>
        <v>-63953.16263896705</v>
      </c>
      <c r="EM225">
        <f>IF($A225&lt;=$EB$45,1,0)</f>
        <v>1</v>
      </c>
      <c r="FB225">
        <f>IF($FB$31&lt;=$FB$32,IF($A225&lt;=$FB$7,1,2),IF($A225&lt;=RUNG_BEDS_2,2,1))</f>
        <v>1</v>
      </c>
      <c r="FC225" s="5">
        <f>MIN(1,MAX(0,$FB$26-($A225-1)))</f>
        <v>1</v>
      </c>
      <c r="FD225" s="5">
        <f>$FB$25*(FC225+(1-FC225)*$FB$16)</f>
        <v>252.05322714681438</v>
      </c>
      <c r="FE225" s="13">
        <f>FD225*($FB$6+ACUTE_MARGIN)</f>
        <v>254573.7594182825</v>
      </c>
      <c r="FF225" s="13">
        <f>IF(FB225=1,$FB$31,$FB$32)</f>
        <v>156636.04979437485</v>
      </c>
      <c r="FG225" s="13">
        <f>FE225-FF225</f>
        <v>97937.70962390766</v>
      </c>
      <c r="FH225" s="13">
        <f>FH224+FG225</f>
        <v>13907154.766594838</v>
      </c>
      <c r="FI225">
        <f>IF(FH225=MAX($FH$83:$FH$483),$A225,0)</f>
        <v>0</v>
      </c>
      <c r="FJ225">
        <f>IF(FE225&lt;FF225,$A225,B_MAX+1)</f>
        <v>401.0</v>
      </c>
      <c r="FK225" s="13">
        <f>IF(FB225=1,$FB$35,$FB$36)</f>
        <v>0</v>
      </c>
      <c r="FL225" s="13">
        <f>OCC_DAYS*$FB$41*R_NF_2023-FD225*MCD_SHARE_FREED*R_WAIT_2023</f>
        <v>37367.159242427646</v>
      </c>
      <c r="FM225">
        <f>IF($A225&lt;=$FB$45,1,0)</f>
        <v>1</v>
      </c>
      <c r="GB225">
        <f>IF($GB$31&lt;=$GB$32,IF($A225&lt;=$GB$7,1,2),IF($A225&lt;=RUNG_BEDS_2,2,1))</f>
        <v>1</v>
      </c>
      <c r="GC225" s="5">
        <f>MIN(1,MAX(0,$GB$26-($A225-1)))</f>
        <v>1</v>
      </c>
      <c r="GD225" s="5">
        <f>$GB$25*(GC225+(1-GC225)*$GB$16)</f>
        <v>252.05322714681438</v>
      </c>
      <c r="GE225" s="13">
        <f>GD225*($GB$6+ACUTE_MARGIN)</f>
        <v>254573.7594182825</v>
      </c>
      <c r="GF225" s="13">
        <f>IF(GB225=1,$GB$31,$GB$32)</f>
        <v>152394.16214437486</v>
      </c>
      <c r="GG225" s="13">
        <f>GE225-GF225</f>
        <v>102179.59727390765</v>
      </c>
      <c r="GH225" s="13">
        <f>GH224+GG225</f>
        <v>14509502.812894939</v>
      </c>
      <c r="GI225">
        <f>IF(GH225=MAX($GH$83:$GH$483),$A225,0)</f>
        <v>0</v>
      </c>
      <c r="GJ225">
        <f>IF(GE225&lt;GF225,$A225,B_MAX+1)</f>
        <v>401.0</v>
      </c>
      <c r="GK225" s="13">
        <f>IF(GB225=1,$GB$35,$GB$36)</f>
        <v>0</v>
      </c>
      <c r="GL225" s="13">
        <f>OCC_DAYS*$GB$41*R_NF_2023-GD225*MCD_SHARE_FREED*R_WAIT_2023</f>
        <v>37367.159242427646</v>
      </c>
      <c r="GM225">
        <f>IF($A225&lt;=$GB$45,1,0)</f>
        <v>1</v>
      </c>
      <c r="HB225">
        <f>IF($HB$31&lt;=$HB$32,IF($A225&lt;=$HB$7,1,2),IF($A225&lt;=RUNG_BEDS_2,2,1))</f>
        <v>1</v>
      </c>
      <c r="HC225" s="5">
        <f>MIN(1,MAX(0,$HB$26-($A225-1)))</f>
        <v>1</v>
      </c>
      <c r="HD225" s="5">
        <f>$HB$25*(HC225+(1-HC225)*$HB$16)</f>
        <v>252.05322714681438</v>
      </c>
      <c r="HE225" s="13">
        <f>HD225*($HB$6+ACUTE_MARGIN)</f>
        <v>254573.7594182825</v>
      </c>
      <c r="HF225" s="13">
        <f>IF(HB225=1,$HB$31,$HB$32)</f>
        <v>152456.2970814058</v>
      </c>
      <c r="HG225" s="13">
        <f>HE225-HF225</f>
        <v>102117.46233687672</v>
      </c>
      <c r="HH225" s="13">
        <f>HH224+HG225</f>
        <v>14500679.651836524</v>
      </c>
      <c r="HI225">
        <f>IF(HH225=MAX($HH$83:$HH$483),$A225,0)</f>
        <v>0</v>
      </c>
      <c r="HJ225">
        <f>IF(HE225&lt;HF225,$A225,B_MAX+1)</f>
        <v>401.0</v>
      </c>
      <c r="HK225" s="13">
        <f>IF(HB225=1,$HB$35,$HB$36)</f>
        <v>0</v>
      </c>
      <c r="HL225" s="13">
        <f>OCC_DAYS*$HB$41*R_NF_2023-HD225*MCD_SHARE_FREED*R_WAIT_2023</f>
        <v>37367.159242427646</v>
      </c>
      <c r="HM225">
        <f>IF($A225&lt;=$HB$45,1,0)</f>
        <v>1</v>
      </c>
      <c r="IB225">
        <f>IF($IB$31&lt;=$IB$32,IF($A225&lt;=$IB$7,1,2),IF($A225&lt;=RUNG_BEDS_2,2,1))</f>
        <v>1</v>
      </c>
      <c r="IC225" s="5">
        <f>MIN(1,MAX(0,$IB$26-($A225-1)))</f>
        <v>1</v>
      </c>
      <c r="ID225" s="5">
        <f>$IB$25*(IC225+(1-IC225)*$IB$16)</f>
        <v>252.05322714681438</v>
      </c>
      <c r="IE225" s="13">
        <f>ID225*($IB$6+ACUTE_MARGIN)</f>
        <v>254573.7594182825</v>
      </c>
      <c r="IF225" s="13">
        <f>IF(IB225=1,$IB$31,$IB$32)</f>
        <v>152734.9994534971</v>
      </c>
      <c r="IG225" s="13">
        <f>IE225-IF225</f>
        <v>101838.75996478542</v>
      </c>
      <c r="IH225" s="13">
        <f>IH224+IG225</f>
        <v>14461103.914999489</v>
      </c>
      <c r="II225">
        <f>IF(IH225=MAX($IH$83:$IH$483),$A225,0)</f>
        <v>0</v>
      </c>
      <c r="IJ225">
        <f>IF(IE225&lt;IF225,$A225,B_MAX+1)</f>
        <v>401.0</v>
      </c>
      <c r="IK225" s="13">
        <f>IF(IB225=1,$IB$35,$IB$36)</f>
        <v>0</v>
      </c>
      <c r="IL225" s="13">
        <f>OCC_DAYS*$IB$41*R_NF_2023-ID225*MCD_SHARE_FREED*R_WAIT_2023</f>
        <v>37367.159242427646</v>
      </c>
      <c r="IM225">
        <f>IF($A225&lt;=$IB$45,1,0)</f>
        <v>1</v>
      </c>
      <c r="JB225">
        <f>IF($JB$31&lt;=$JB$32,IF($A225&lt;=$JB$7,1,2),IF($A225&lt;=RUNG_BEDS_2,2,1))</f>
        <v>1</v>
      </c>
      <c r="JC225" s="5">
        <f>MIN(1,MAX(0,$JB$26-($A225-1)))</f>
        <v>1</v>
      </c>
      <c r="JD225" s="5">
        <f>$JB$25*(JC225+(1-JC225)*$JB$16)</f>
        <v>252.05322714681438</v>
      </c>
      <c r="JE225" s="13">
        <f>JD225*($JB$6+ACUTE_MARGIN)</f>
        <v>254573.7594182825</v>
      </c>
      <c r="JF225" s="13">
        <f>IF(JB225=1,$JB$31,$JB$32)</f>
        <v>152394.16214437486</v>
      </c>
      <c r="JG225" s="13">
        <f>JE225-JF225</f>
        <v>102179.59727390765</v>
      </c>
      <c r="JH225" s="13">
        <f>JH224+JG225</f>
        <v>14509502.812894939</v>
      </c>
      <c r="JI225">
        <f>IF(JH225=MAX($JH$83:$JH$483),$A225,0)</f>
        <v>0</v>
      </c>
      <c r="JJ225">
        <f>IF(JE225&lt;JF225,$A225,B_MAX+1)</f>
        <v>401.0</v>
      </c>
      <c r="JK225" s="13">
        <f>IF(JB225=1,$JB$35,$JB$36)</f>
        <v>0</v>
      </c>
      <c r="JL225" s="13">
        <f>OCC_DAYS*$JB$41*R_NF_2023-JD225*MCD_SHARE_FREED*R_WAIT_2023</f>
        <v>37367.159242427646</v>
      </c>
      <c r="JM225">
        <f>IF($A225&lt;=$JB$45,1,0)</f>
        <v>1</v>
      </c>
      <c r="KB225">
        <f>IF($KB$31&lt;=$KB$32,IF($A225&lt;=$KB$7,1,2),IF($A225&lt;=RUNG_BEDS_2,2,1))</f>
        <v>1</v>
      </c>
      <c r="KC225" s="5">
        <f>MIN(1,MAX(0,$KB$26-($A225-1)))</f>
        <v>1</v>
      </c>
      <c r="KD225" s="5">
        <f>$KB$25*(KC225+(1-KC225)*$KB$16)</f>
        <v>126.02661357340719</v>
      </c>
      <c r="KE225" s="13">
        <f>KD225*($KB$6+ACUTE_MARGIN)</f>
        <v>127286.87970914126</v>
      </c>
      <c r="KF225" s="13">
        <f>IF(KB225=1,$KB$31,$KB$32)</f>
        <v>152394.16214437486</v>
      </c>
      <c r="KG225" s="13">
        <f>KE225-KF225</f>
        <v>-25107.282435233603</v>
      </c>
      <c r="KH225" s="13">
        <f>KH224+KG225</f>
        <v>-3565234.1058031814</v>
      </c>
      <c r="KI225">
        <f>IF(KH225=MAX($KH$83:$KH$483),$A225,0)</f>
        <v>0</v>
      </c>
      <c r="KJ225">
        <f>IF(KE225&lt;KF225,$A225,B_MAX+1)</f>
        <v>142</v>
      </c>
      <c r="KK225" s="13">
        <f>IF(KB225=1,$KB$35,$KB$36)</f>
        <v>0</v>
      </c>
      <c r="KL225" s="13">
        <f>OCC_DAYS*$KB$41*R_NF_2023-KD225*MCD_SHARE_FREED*R_WAIT_2023</f>
        <v>94673.82103225985</v>
      </c>
      <c r="KM225">
        <f>IF($A225&lt;=$KB$45,1,0)</f>
        <v>0</v>
      </c>
      <c r="LB225">
        <f>IF($LB$31&lt;=$LB$32,IF($A225&lt;=$LB$7,1,2),IF($A225&lt;=RUNG_BEDS_2,2,1))</f>
        <v>1</v>
      </c>
      <c r="LC225" s="5">
        <f>MIN(1,MAX(0,$LB$26-($A225-1)))</f>
        <v>1</v>
      </c>
      <c r="LD225" s="5">
        <f>$LB$25*(LC225+(1-LC225)*$LB$16)</f>
        <v>84.01774238227146</v>
      </c>
      <c r="LE225" s="13">
        <f>LD225*($LB$6+ACUTE_MARGIN)</f>
        <v>84857.91980609419</v>
      </c>
      <c r="LF225" s="13">
        <f>IF(LB225=1,$LB$31,$LB$32)</f>
        <v>152394.16214437486</v>
      </c>
      <c r="LG225" s="13">
        <f>LE225-LF225</f>
        <v>-67536.24233828067</v>
      </c>
      <c r="LH225" s="13">
        <f>LH224+LG225</f>
        <v>-9590146.41203589</v>
      </c>
      <c r="LI225">
        <f>IF(LH225=MAX($LH$83:$LH$483),$A225,0)</f>
        <v>0</v>
      </c>
      <c r="LJ225">
        <f>IF(LE225&lt;LF225,$A225,B_MAX+1)</f>
        <v>142</v>
      </c>
      <c r="LK225" s="13">
        <f>IF(LB225=1,$LB$35,$LB$36)</f>
        <v>0</v>
      </c>
      <c r="LL225" s="13">
        <f>OCC_DAYS*$LB$41*R_NF_2023-LD225*MCD_SHARE_FREED*R_WAIT_2023</f>
        <v>113776.04162887059</v>
      </c>
      <c r="LM225">
        <f>IF($A225&lt;=$LB$45,1,0)</f>
        <v>0</v>
      </c>
      <c r="MB225">
        <f>IF($MB$31&lt;=$MB$32,IF($A225&lt;=$MB$7,1,2),IF($A225&lt;=RUNG_BEDS_2,2,1))</f>
        <v>1</v>
      </c>
      <c r="MC225" s="5">
        <f>MIN(1,MAX(0,$MB$26-($A225-1)))</f>
        <v>1</v>
      </c>
      <c r="MD225" s="5">
        <f>$MB$25*(MC225+(1-MC225)*$MB$16)</f>
        <v>213.44610951008647</v>
      </c>
      <c r="ME225" s="13">
        <f>MD225*($MB$6+ACUTE_MARGIN)</f>
        <v>215580.57060518733</v>
      </c>
      <c r="MF225" s="13">
        <f>IF(MB225=1,$MB$31,$MB$32)</f>
        <v>152394.16214437486</v>
      </c>
      <c r="MG225" s="13">
        <f>ME225-MF225</f>
        <v>63186.40846081247</v>
      </c>
      <c r="MH225" s="13">
        <f>MH224+MG225</f>
        <v>8972470.001435388</v>
      </c>
      <c r="MI225">
        <f>IF(MH225=MAX($MH$83:$MH$483),$A225,0)</f>
        <v>0</v>
      </c>
      <c r="MJ225">
        <f>IF(ME225&lt;MF225,$A225,B_MAX+1)</f>
        <v>401.0</v>
      </c>
      <c r="MK225" s="13">
        <f>IF(MB225=1,$MB$35,$MB$36)</f>
        <v>0</v>
      </c>
      <c r="ML225" s="13">
        <f>OCC_DAYS*$MB$41*R_NF_2023-MD225*MCD_SHARE_FREED*R_WAIT_2023</f>
        <v>54922.538779778624</v>
      </c>
      <c r="MM225">
        <f>IF($A225&lt;=$MB$45,1,0)</f>
        <v>1</v>
      </c>
      <c r="NB225">
        <f>IF($NB$31&lt;=$NB$32,IF($A225&lt;=$NB$7,1,2),IF($A225&lt;=RUNG_BEDS_2,2,1))</f>
        <v>1</v>
      </c>
      <c r="NC225" s="5">
        <f>MIN(1,MAX(0,$NB$26-($A225-1)))</f>
        <v>1</v>
      </c>
      <c r="ND225" s="5">
        <f>$NB$25*(NC225+(1-NC225)*$NB$16)</f>
        <v>252.05322714681438</v>
      </c>
      <c r="NE225" s="13">
        <f>ND225*($NB$6+ACUTE_MARGIN)</f>
        <v>254573.7594182825</v>
      </c>
      <c r="NF225" s="13">
        <f>IF(NB225=1,$NB$31,$NB$32)</f>
        <v>152394.16214437486</v>
      </c>
      <c r="NG225" s="13">
        <f>NE225-NF225</f>
        <v>102179.59727390765</v>
      </c>
      <c r="NH225" s="13">
        <f>NH224+NG225</f>
        <v>14509502.812894939</v>
      </c>
      <c r="NI225">
        <f>IF(NH225=MAX($NH$83:$NH$483),$A225,0)</f>
        <v>0</v>
      </c>
      <c r="NJ225">
        <f>IF(NE225&lt;NF225,$A225,B_MAX+1)</f>
        <v>401.0</v>
      </c>
      <c r="NK225" s="13">
        <f>IF(NB225=1,$NB$35,$NB$36)</f>
        <v>0</v>
      </c>
      <c r="NL225" s="13">
        <f>OCC_DAYS*$NB$41*R_NF_2023-ND225*MCD_SHARE_FREED*R_WAIT_2023</f>
        <v>37367.159242427646</v>
      </c>
      <c r="NM225">
        <f>IF($A225&lt;=$NB$45,1,0)</f>
        <v>1</v>
      </c>
      <c r="OB225">
        <f>IF($OB$31&lt;=$OB$32,IF($A225&lt;=$OB$7,1,2),IF($A225&lt;=RUNG_BEDS_2,2,1))</f>
        <v>1</v>
      </c>
      <c r="OC225" s="5">
        <f>MIN(1,MAX(0,$OB$26-($A225-1)))</f>
        <v>1</v>
      </c>
      <c r="OD225" s="5">
        <f>$OB$25*(OC225+(1-OC225)*$OB$16)</f>
        <v>252.05322714681438</v>
      </c>
      <c r="OE225" s="13">
        <f>OD225*($OB$6+ACUTE_MARGIN)</f>
        <v>254573.7594182825</v>
      </c>
      <c r="OF225" s="13">
        <f>IF(OB225=1,$OB$31,$OB$32)</f>
        <v>152394.16214437486</v>
      </c>
      <c r="OG225" s="13">
        <f>OE225-OF225</f>
        <v>102179.59727390765</v>
      </c>
      <c r="OH225" s="13">
        <f>OH224+OG225</f>
        <v>14509502.812894939</v>
      </c>
      <c r="OI225">
        <f>IF(OH225=MAX($OH$83:$OH$483),$A225,0)</f>
        <v>0</v>
      </c>
      <c r="OJ225">
        <f>IF(OE225&lt;OF225,$A225,B_MAX+1)</f>
        <v>401.0</v>
      </c>
      <c r="OK225" s="13">
        <f>IF(OB225=1,$OB$35,$OB$36)</f>
        <v>0</v>
      </c>
      <c r="OL225" s="13">
        <f>OCC_DAYS*$OB$41*R_NF_2023-OD225*MCD_SHARE_FREED*R_WAIT_2023</f>
        <v>37367.159242427646</v>
      </c>
      <c r="OM225">
        <f>IF($A225&lt;=$OB$45,1,0)</f>
        <v>1</v>
      </c>
    </row>
    <row r="226">
      <c r="A226" t="n">
        <v>143</v>
      </c>
      <c r="B226">
        <f>IF($B$31&lt;=$B$32,IF($A226&lt;=$B$7,1,2),IF($A226&lt;=RUNG_BEDS_2,2,1))</f>
        <v>1</v>
      </c>
      <c r="C226" s="5">
        <f>MIN(1,MAX(0,$B$26-($A226-1)))</f>
        <v>1</v>
      </c>
      <c r="D226" s="5">
        <f>$B$25*(C226+(1-C226)*$B$16)</f>
        <v>252.05322714681438</v>
      </c>
      <c r="E226" s="13">
        <f>D226*($B$6+ACUTE_MARGIN)</f>
        <v>254573.7594182825</v>
      </c>
      <c r="F226" s="13">
        <f>IF(B226=1,$B$31,$B$32)</f>
        <v>152394.16214437486</v>
      </c>
      <c r="G226" s="13">
        <f>E226-F226</f>
        <v>102179.59727390765</v>
      </c>
      <c r="H226" s="13">
        <f>H225+G226</f>
        <v>14611682.410168847</v>
      </c>
      <c r="I226">
        <f>IF(H226=MAX($H$83:$H$483),$A226,0)</f>
        <v>0</v>
      </c>
      <c r="J226">
        <f>IF(E226&lt;F226,$A226,B_MAX+1)</f>
        <v>401.0</v>
      </c>
      <c r="K226" s="13">
        <f>IF(B226=1,$B$35,$B$36)</f>
        <v>0</v>
      </c>
      <c r="L226" s="13">
        <f>OCC_DAYS*$B$41*R_NF_2023-D226*MCD_SHARE_FREED*R_WAIT_2023</f>
        <v>37367.159242427646</v>
      </c>
      <c r="M226">
        <f>IF($A226&lt;=$B$45,1,0)</f>
        <v>1</v>
      </c>
      <c r="AB226">
        <f>IF($AB$31&lt;=$AB$32,IF($A226&lt;=$AB$7,1,2),IF($A226&lt;=RUNG_BEDS_2,2,1))</f>
        <v>1</v>
      </c>
      <c r="AC226" s="5">
        <f>MIN(1,MAX(0,$AB$26-($A226-1)))</f>
        <v>1</v>
      </c>
      <c r="AD226" s="5">
        <f>$AB$25*(AC226+(1-AC226)*$AB$16)</f>
        <v>252.05322714681438</v>
      </c>
      <c r="AE226" s="13">
        <f>AD226*($AB$6+ACUTE_MARGIN)</f>
        <v>138629.2749307479</v>
      </c>
      <c r="AF226" s="13">
        <f>IF(AB226=1,$AB$31,$AB$32)</f>
        <v>152394.16214437486</v>
      </c>
      <c r="AG226" s="13">
        <f>AE226-AF226</f>
        <v>-13764.887213626964</v>
      </c>
      <c r="AH226" s="13">
        <f>AH225+AG226</f>
        <v>-1968378.8715486517</v>
      </c>
      <c r="AI226">
        <f>IF(AH226=MAX($AH$83:$AH$483),$A226,0)</f>
        <v>0</v>
      </c>
      <c r="AJ226">
        <f>IF(AE226&lt;AF226,$A226,B_MAX+1)</f>
        <v>143</v>
      </c>
      <c r="AK226" s="13">
        <f>IF(AB226=1,$AB$35,$AB$36)</f>
        <v>0</v>
      </c>
      <c r="AL226" s="13">
        <f>OCC_DAYS*$AB$41*R_NF_2023-AD226*MCD_SHARE_FREED*R_WAIT_2023</f>
        <v>37367.159242427646</v>
      </c>
      <c r="AM226">
        <f>IF($A226&lt;=$AB$45,1,0)</f>
        <v>0</v>
      </c>
      <c r="BB226">
        <f>IF($BB$31&lt;=$BB$32,IF($A226&lt;=$BB$7,1,2),IF($A226&lt;=RUNG_BEDS_2,2,1))</f>
        <v>1</v>
      </c>
      <c r="BC226" s="5">
        <f>MIN(1,MAX(0,$BB$26-($A226-1)))</f>
        <v>1</v>
      </c>
      <c r="BD226" s="5">
        <f>$BB$25*(BC226+(1-BC226)*$BB$16)</f>
        <v>252.05322714681438</v>
      </c>
      <c r="BE226" s="13">
        <f>BD226*($BB$6+ACUTE_MARGIN)</f>
        <v>370518.24390581716</v>
      </c>
      <c r="BF226" s="13">
        <f>IF(BB226=1,$BB$31,$BB$32)</f>
        <v>152394.16214437486</v>
      </c>
      <c r="BG226" s="13">
        <f>BE226-BF226</f>
        <v>218124.0817614423</v>
      </c>
      <c r="BH226" s="13">
        <f>BH225+BG226</f>
        <v>31191743.691886228</v>
      </c>
      <c r="BI226">
        <f>IF(BH226=MAX($BH$83:$BH$483),$A226,0)</f>
        <v>0</v>
      </c>
      <c r="BJ226">
        <f>IF(BE226&lt;BF226,$A226,B_MAX+1)</f>
        <v>401.0</v>
      </c>
      <c r="BK226" s="13">
        <f>IF(BB226=1,$BB$35,$BB$36)</f>
        <v>0</v>
      </c>
      <c r="BL226" s="13">
        <f>OCC_DAYS*$BB$41*R_NF_2023-BD226*MCD_SHARE_FREED*R_WAIT_2023</f>
        <v>37367.159242427646</v>
      </c>
      <c r="BM226">
        <f>IF($A226&lt;=$BB$45,1,0)</f>
        <v>1</v>
      </c>
      <c r="CB226">
        <f>IF($CB$31&lt;=$CB$32,IF($A226&lt;=$CB$7,1,2),IF($A226&lt;=RUNG_BEDS_2,2,1))</f>
        <v>2</v>
      </c>
      <c r="CC226" s="5">
        <f>MIN(1,MAX(0,$CB$26-($A226-1)))</f>
        <v>1</v>
      </c>
      <c r="CD226" s="5">
        <f>$CB$25*(CC226+(1-CC226)*$CB$16)</f>
        <v>252.05322714681438</v>
      </c>
      <c r="CE226" s="13">
        <f>CD226*($CB$6+ACUTE_MARGIN)</f>
        <v>254573.7594182825</v>
      </c>
      <c r="CF226" s="13">
        <f>IF(CB226=1,$CB$31,$CB$32)</f>
        <v>160718.36940738867</v>
      </c>
      <c r="CG226" s="13">
        <f>CE226-CF226</f>
        <v>93855.39001089384</v>
      </c>
      <c r="CH226" s="13">
        <f>CH225+CG226</f>
        <v>13421320.771557812</v>
      </c>
      <c r="CI226">
        <f>IF(CH226=MAX($CH$83:$CH$483),$A226,0)</f>
        <v>0</v>
      </c>
      <c r="CJ226">
        <f>IF(CE226&lt;CF226,$A226,B_MAX+1)</f>
        <v>401.0</v>
      </c>
      <c r="CK226" s="13">
        <f>IF(CB226=1,$CB$35,$CB$36)</f>
        <v>1560.1194073886782</v>
      </c>
      <c r="CL226" s="13">
        <f>OCC_DAYS*$CB$41*R_NF_2023-CD226*MCD_SHARE_FREED*R_WAIT_2023</f>
        <v>37367.159242427646</v>
      </c>
      <c r="CM226">
        <f>IF($A226&lt;=$CB$45,1,0)</f>
        <v>1</v>
      </c>
      <c r="DB226">
        <f>IF($DB$31&lt;=$DB$32,IF($A226&lt;=$DB$7,1,2),IF($A226&lt;=RUNG_BEDS_2,2,1))</f>
        <v>1</v>
      </c>
      <c r="DC226" s="5">
        <f>MIN(1,MAX(0,$DB$26-($A226-1)))</f>
        <v>1</v>
      </c>
      <c r="DD226" s="5">
        <f>$DB$25*(DC226+(1-DC226)*$DB$16)</f>
        <v>252.05322714681438</v>
      </c>
      <c r="DE226" s="13">
        <f>DD226*($DB$6+ACUTE_MARGIN)</f>
        <v>254573.7594182825</v>
      </c>
      <c r="DF226" s="13">
        <f>IF(DB226=1,$DB$31,$DB$32)</f>
        <v>152394.16214437486</v>
      </c>
      <c r="DG226" s="13">
        <f>DE226-DF226</f>
        <v>102179.59727390765</v>
      </c>
      <c r="DH226" s="13">
        <f>DH225+DG226</f>
        <v>14611682.410168847</v>
      </c>
      <c r="DI226">
        <f>IF(DH226=MAX($DH$83:$DH$483),$A226,0)</f>
        <v>0</v>
      </c>
      <c r="DJ226">
        <f>IF(DE226&lt;DF226,$A226,B_MAX+1)</f>
        <v>401.0</v>
      </c>
      <c r="DK226" s="13">
        <f>IF(DB226=1,$DB$35,$DB$36)</f>
        <v>0</v>
      </c>
      <c r="DL226" s="13">
        <f>OCC_DAYS*$DB$41*R_NF_2023-DD226*MCD_SHARE_FREED*R_WAIT_2023</f>
        <v>37367.159242427646</v>
      </c>
      <c r="DM226">
        <f>IF($A226&lt;=$DB$45,1,0)</f>
        <v>1</v>
      </c>
      <c r="EB226">
        <f>IF($EB$31&lt;=$EB$32,IF($A226&lt;=$EB$7,1,2),IF($A226&lt;=RUNG_BEDS_2,2,1))</f>
        <v>1</v>
      </c>
      <c r="EC226" s="5">
        <f>MIN(1,MAX(0,$EB$26-($A226-1)))</f>
        <v>1</v>
      </c>
      <c r="ED226" s="5">
        <f>$EB$25*(EC226+(1-EC226)*$EB$16)</f>
        <v>252.05322714681438</v>
      </c>
      <c r="EE226" s="13">
        <f>ED226*($EB$6+ACUTE_MARGIN)</f>
        <v>254573.7594182825</v>
      </c>
      <c r="EF226" s="13">
        <f>IF(EB226=1,$EB$31,$EB$32)</f>
        <v>152394.16214437486</v>
      </c>
      <c r="EG226" s="13">
        <f>EE226-EF226</f>
        <v>102179.59727390765</v>
      </c>
      <c r="EH226" s="13">
        <f>EH225+EG226</f>
        <v>14611682.410168847</v>
      </c>
      <c r="EI226">
        <f>IF(EH226=MAX($EH$83:$EH$483),$A226,0)</f>
        <v>0</v>
      </c>
      <c r="EJ226">
        <f>IF(EE226&lt;EF226,$A226,B_MAX+1)</f>
        <v>401.0</v>
      </c>
      <c r="EK226" s="13">
        <f>IF(EB226=1,$EB$35,$EB$36)</f>
        <v>0</v>
      </c>
      <c r="EL226" s="13">
        <f>OCC_DAYS*$EB$41*R_NF_2023-ED226*MCD_SHARE_FREED*R_WAIT_2023</f>
        <v>-63953.16263896705</v>
      </c>
      <c r="EM226">
        <f>IF($A226&lt;=$EB$45,1,0)</f>
        <v>1</v>
      </c>
      <c r="FB226">
        <f>IF($FB$31&lt;=$FB$32,IF($A226&lt;=$FB$7,1,2),IF($A226&lt;=RUNG_BEDS_2,2,1))</f>
        <v>1</v>
      </c>
      <c r="FC226" s="5">
        <f>MIN(1,MAX(0,$FB$26-($A226-1)))</f>
        <v>1</v>
      </c>
      <c r="FD226" s="5">
        <f>$FB$25*(FC226+(1-FC226)*$FB$16)</f>
        <v>252.05322714681438</v>
      </c>
      <c r="FE226" s="13">
        <f>FD226*($FB$6+ACUTE_MARGIN)</f>
        <v>254573.7594182825</v>
      </c>
      <c r="FF226" s="13">
        <f>IF(FB226=1,$FB$31,$FB$32)</f>
        <v>156636.04979437485</v>
      </c>
      <c r="FG226" s="13">
        <f>FE226-FF226</f>
        <v>97937.70962390766</v>
      </c>
      <c r="FH226" s="13">
        <f>FH225+FG226</f>
        <v>14005092.476218745</v>
      </c>
      <c r="FI226">
        <f>IF(FH226=MAX($FH$83:$FH$483),$A226,0)</f>
        <v>0</v>
      </c>
      <c r="FJ226">
        <f>IF(FE226&lt;FF226,$A226,B_MAX+1)</f>
        <v>401.0</v>
      </c>
      <c r="FK226" s="13">
        <f>IF(FB226=1,$FB$35,$FB$36)</f>
        <v>0</v>
      </c>
      <c r="FL226" s="13">
        <f>OCC_DAYS*$FB$41*R_NF_2023-FD226*MCD_SHARE_FREED*R_WAIT_2023</f>
        <v>37367.159242427646</v>
      </c>
      <c r="FM226">
        <f>IF($A226&lt;=$FB$45,1,0)</f>
        <v>1</v>
      </c>
      <c r="GB226">
        <f>IF($GB$31&lt;=$GB$32,IF($A226&lt;=$GB$7,1,2),IF($A226&lt;=RUNG_BEDS_2,2,1))</f>
        <v>1</v>
      </c>
      <c r="GC226" s="5">
        <f>MIN(1,MAX(0,$GB$26-($A226-1)))</f>
        <v>1</v>
      </c>
      <c r="GD226" s="5">
        <f>$GB$25*(GC226+(1-GC226)*$GB$16)</f>
        <v>252.05322714681438</v>
      </c>
      <c r="GE226" s="13">
        <f>GD226*($GB$6+ACUTE_MARGIN)</f>
        <v>254573.7594182825</v>
      </c>
      <c r="GF226" s="13">
        <f>IF(GB226=1,$GB$31,$GB$32)</f>
        <v>152394.16214437486</v>
      </c>
      <c r="GG226" s="13">
        <f>GE226-GF226</f>
        <v>102179.59727390765</v>
      </c>
      <c r="GH226" s="13">
        <f>GH225+GG226</f>
        <v>14611682.410168847</v>
      </c>
      <c r="GI226">
        <f>IF(GH226=MAX($GH$83:$GH$483),$A226,0)</f>
        <v>0</v>
      </c>
      <c r="GJ226">
        <f>IF(GE226&lt;GF226,$A226,B_MAX+1)</f>
        <v>401.0</v>
      </c>
      <c r="GK226" s="13">
        <f>IF(GB226=1,$GB$35,$GB$36)</f>
        <v>0</v>
      </c>
      <c r="GL226" s="13">
        <f>OCC_DAYS*$GB$41*R_NF_2023-GD226*MCD_SHARE_FREED*R_WAIT_2023</f>
        <v>37367.159242427646</v>
      </c>
      <c r="GM226">
        <f>IF($A226&lt;=$GB$45,1,0)</f>
        <v>1</v>
      </c>
      <c r="HB226">
        <f>IF($HB$31&lt;=$HB$32,IF($A226&lt;=$HB$7,1,2),IF($A226&lt;=RUNG_BEDS_2,2,1))</f>
        <v>1</v>
      </c>
      <c r="HC226" s="5">
        <f>MIN(1,MAX(0,$HB$26-($A226-1)))</f>
        <v>1</v>
      </c>
      <c r="HD226" s="5">
        <f>$HB$25*(HC226+(1-HC226)*$HB$16)</f>
        <v>252.05322714681438</v>
      </c>
      <c r="HE226" s="13">
        <f>HD226*($HB$6+ACUTE_MARGIN)</f>
        <v>254573.7594182825</v>
      </c>
      <c r="HF226" s="13">
        <f>IF(HB226=1,$HB$31,$HB$32)</f>
        <v>152456.2970814058</v>
      </c>
      <c r="HG226" s="13">
        <f>HE226-HF226</f>
        <v>102117.46233687672</v>
      </c>
      <c r="HH226" s="13">
        <f>HH225+HG226</f>
        <v>14602797.114173401</v>
      </c>
      <c r="HI226">
        <f>IF(HH226=MAX($HH$83:$HH$483),$A226,0)</f>
        <v>0</v>
      </c>
      <c r="HJ226">
        <f>IF(HE226&lt;HF226,$A226,B_MAX+1)</f>
        <v>401.0</v>
      </c>
      <c r="HK226" s="13">
        <f>IF(HB226=1,$HB$35,$HB$36)</f>
        <v>0</v>
      </c>
      <c r="HL226" s="13">
        <f>OCC_DAYS*$HB$41*R_NF_2023-HD226*MCD_SHARE_FREED*R_WAIT_2023</f>
        <v>37367.159242427646</v>
      </c>
      <c r="HM226">
        <f>IF($A226&lt;=$HB$45,1,0)</f>
        <v>1</v>
      </c>
      <c r="IB226">
        <f>IF($IB$31&lt;=$IB$32,IF($A226&lt;=$IB$7,1,2),IF($A226&lt;=RUNG_BEDS_2,2,1))</f>
        <v>1</v>
      </c>
      <c r="IC226" s="5">
        <f>MIN(1,MAX(0,$IB$26-($A226-1)))</f>
        <v>1</v>
      </c>
      <c r="ID226" s="5">
        <f>$IB$25*(IC226+(1-IC226)*$IB$16)</f>
        <v>252.05322714681438</v>
      </c>
      <c r="IE226" s="13">
        <f>ID226*($IB$6+ACUTE_MARGIN)</f>
        <v>254573.7594182825</v>
      </c>
      <c r="IF226" s="13">
        <f>IF(IB226=1,$IB$31,$IB$32)</f>
        <v>152734.9994534971</v>
      </c>
      <c r="IG226" s="13">
        <f>IE226-IF226</f>
        <v>101838.75996478542</v>
      </c>
      <c r="IH226" s="13">
        <f>IH225+IG226</f>
        <v>14562942.674964273</v>
      </c>
      <c r="II226">
        <f>IF(IH226=MAX($IH$83:$IH$483),$A226,0)</f>
        <v>0</v>
      </c>
      <c r="IJ226">
        <f>IF(IE226&lt;IF226,$A226,B_MAX+1)</f>
        <v>401.0</v>
      </c>
      <c r="IK226" s="13">
        <f>IF(IB226=1,$IB$35,$IB$36)</f>
        <v>0</v>
      </c>
      <c r="IL226" s="13">
        <f>OCC_DAYS*$IB$41*R_NF_2023-ID226*MCD_SHARE_FREED*R_WAIT_2023</f>
        <v>37367.159242427646</v>
      </c>
      <c r="IM226">
        <f>IF($A226&lt;=$IB$45,1,0)</f>
        <v>1</v>
      </c>
      <c r="JB226">
        <f>IF($JB$31&lt;=$JB$32,IF($A226&lt;=$JB$7,1,2),IF($A226&lt;=RUNG_BEDS_2,2,1))</f>
        <v>1</v>
      </c>
      <c r="JC226" s="5">
        <f>MIN(1,MAX(0,$JB$26-($A226-1)))</f>
        <v>1</v>
      </c>
      <c r="JD226" s="5">
        <f>$JB$25*(JC226+(1-JC226)*$JB$16)</f>
        <v>252.05322714681438</v>
      </c>
      <c r="JE226" s="13">
        <f>JD226*($JB$6+ACUTE_MARGIN)</f>
        <v>254573.7594182825</v>
      </c>
      <c r="JF226" s="13">
        <f>IF(JB226=1,$JB$31,$JB$32)</f>
        <v>152394.16214437486</v>
      </c>
      <c r="JG226" s="13">
        <f>JE226-JF226</f>
        <v>102179.59727390765</v>
      </c>
      <c r="JH226" s="13">
        <f>JH225+JG226</f>
        <v>14611682.410168847</v>
      </c>
      <c r="JI226">
        <f>IF(JH226=MAX($JH$83:$JH$483),$A226,0)</f>
        <v>0</v>
      </c>
      <c r="JJ226">
        <f>IF(JE226&lt;JF226,$A226,B_MAX+1)</f>
        <v>401.0</v>
      </c>
      <c r="JK226" s="13">
        <f>IF(JB226=1,$JB$35,$JB$36)</f>
        <v>0</v>
      </c>
      <c r="JL226" s="13">
        <f>OCC_DAYS*$JB$41*R_NF_2023-JD226*MCD_SHARE_FREED*R_WAIT_2023</f>
        <v>37367.159242427646</v>
      </c>
      <c r="JM226">
        <f>IF($A226&lt;=$JB$45,1,0)</f>
        <v>1</v>
      </c>
      <c r="KB226">
        <f>IF($KB$31&lt;=$KB$32,IF($A226&lt;=$KB$7,1,2),IF($A226&lt;=RUNG_BEDS_2,2,1))</f>
        <v>1</v>
      </c>
      <c r="KC226" s="5">
        <f>MIN(1,MAX(0,$KB$26-($A226-1)))</f>
        <v>1</v>
      </c>
      <c r="KD226" s="5">
        <f>$KB$25*(KC226+(1-KC226)*$KB$16)</f>
        <v>126.02661357340719</v>
      </c>
      <c r="KE226" s="13">
        <f>KD226*($KB$6+ACUTE_MARGIN)</f>
        <v>127286.87970914126</v>
      </c>
      <c r="KF226" s="13">
        <f>IF(KB226=1,$KB$31,$KB$32)</f>
        <v>152394.16214437486</v>
      </c>
      <c r="KG226" s="13">
        <f>KE226-KF226</f>
        <v>-25107.282435233603</v>
      </c>
      <c r="KH226" s="13">
        <f>KH225+KG226</f>
        <v>-3590341.388238415</v>
      </c>
      <c r="KI226">
        <f>IF(KH226=MAX($KH$83:$KH$483),$A226,0)</f>
        <v>0</v>
      </c>
      <c r="KJ226">
        <f>IF(KE226&lt;KF226,$A226,B_MAX+1)</f>
        <v>143</v>
      </c>
      <c r="KK226" s="13">
        <f>IF(KB226=1,$KB$35,$KB$36)</f>
        <v>0</v>
      </c>
      <c r="KL226" s="13">
        <f>OCC_DAYS*$KB$41*R_NF_2023-KD226*MCD_SHARE_FREED*R_WAIT_2023</f>
        <v>94673.82103225985</v>
      </c>
      <c r="KM226">
        <f>IF($A226&lt;=$KB$45,1,0)</f>
        <v>0</v>
      </c>
      <c r="LB226">
        <f>IF($LB$31&lt;=$LB$32,IF($A226&lt;=$LB$7,1,2),IF($A226&lt;=RUNG_BEDS_2,2,1))</f>
        <v>1</v>
      </c>
      <c r="LC226" s="5">
        <f>MIN(1,MAX(0,$LB$26-($A226-1)))</f>
        <v>1</v>
      </c>
      <c r="LD226" s="5">
        <f>$LB$25*(LC226+(1-LC226)*$LB$16)</f>
        <v>84.01774238227146</v>
      </c>
      <c r="LE226" s="13">
        <f>LD226*($LB$6+ACUTE_MARGIN)</f>
        <v>84857.91980609419</v>
      </c>
      <c r="LF226" s="13">
        <f>IF(LB226=1,$LB$31,$LB$32)</f>
        <v>152394.16214437486</v>
      </c>
      <c r="LG226" s="13">
        <f>LE226-LF226</f>
        <v>-67536.24233828067</v>
      </c>
      <c r="LH226" s="13">
        <f>LH225+LG226</f>
        <v>-9657682.654374171</v>
      </c>
      <c r="LI226">
        <f>IF(LH226=MAX($LH$83:$LH$483),$A226,0)</f>
        <v>0</v>
      </c>
      <c r="LJ226">
        <f>IF(LE226&lt;LF226,$A226,B_MAX+1)</f>
        <v>143</v>
      </c>
      <c r="LK226" s="13">
        <f>IF(LB226=1,$LB$35,$LB$36)</f>
        <v>0</v>
      </c>
      <c r="LL226" s="13">
        <f>OCC_DAYS*$LB$41*R_NF_2023-LD226*MCD_SHARE_FREED*R_WAIT_2023</f>
        <v>113776.04162887059</v>
      </c>
      <c r="LM226">
        <f>IF($A226&lt;=$LB$45,1,0)</f>
        <v>0</v>
      </c>
      <c r="MB226">
        <f>IF($MB$31&lt;=$MB$32,IF($A226&lt;=$MB$7,1,2),IF($A226&lt;=RUNG_BEDS_2,2,1))</f>
        <v>1</v>
      </c>
      <c r="MC226" s="5">
        <f>MIN(1,MAX(0,$MB$26-($A226-1)))</f>
        <v>1</v>
      </c>
      <c r="MD226" s="5">
        <f>$MB$25*(MC226+(1-MC226)*$MB$16)</f>
        <v>213.44610951008647</v>
      </c>
      <c r="ME226" s="13">
        <f>MD226*($MB$6+ACUTE_MARGIN)</f>
        <v>215580.57060518733</v>
      </c>
      <c r="MF226" s="13">
        <f>IF(MB226=1,$MB$31,$MB$32)</f>
        <v>152394.16214437486</v>
      </c>
      <c r="MG226" s="13">
        <f>ME226-MF226</f>
        <v>63186.40846081247</v>
      </c>
      <c r="MH226" s="13">
        <f>MH225+MG226</f>
        <v>9035656.4098962</v>
      </c>
      <c r="MI226">
        <f>IF(MH226=MAX($MH$83:$MH$483),$A226,0)</f>
        <v>0</v>
      </c>
      <c r="MJ226">
        <f>IF(ME226&lt;MF226,$A226,B_MAX+1)</f>
        <v>401.0</v>
      </c>
      <c r="MK226" s="13">
        <f>IF(MB226=1,$MB$35,$MB$36)</f>
        <v>0</v>
      </c>
      <c r="ML226" s="13">
        <f>OCC_DAYS*$MB$41*R_NF_2023-MD226*MCD_SHARE_FREED*R_WAIT_2023</f>
        <v>54922.538779778624</v>
      </c>
      <c r="MM226">
        <f>IF($A226&lt;=$MB$45,1,0)</f>
        <v>1</v>
      </c>
      <c r="NB226">
        <f>IF($NB$31&lt;=$NB$32,IF($A226&lt;=$NB$7,1,2),IF($A226&lt;=RUNG_BEDS_2,2,1))</f>
        <v>1</v>
      </c>
      <c r="NC226" s="5">
        <f>MIN(1,MAX(0,$NB$26-($A226-1)))</f>
        <v>1</v>
      </c>
      <c r="ND226" s="5">
        <f>$NB$25*(NC226+(1-NC226)*$NB$16)</f>
        <v>252.05322714681438</v>
      </c>
      <c r="NE226" s="13">
        <f>ND226*($NB$6+ACUTE_MARGIN)</f>
        <v>254573.7594182825</v>
      </c>
      <c r="NF226" s="13">
        <f>IF(NB226=1,$NB$31,$NB$32)</f>
        <v>152394.16214437486</v>
      </c>
      <c r="NG226" s="13">
        <f>NE226-NF226</f>
        <v>102179.59727390765</v>
      </c>
      <c r="NH226" s="13">
        <f>NH225+NG226</f>
        <v>14611682.410168847</v>
      </c>
      <c r="NI226">
        <f>IF(NH226=MAX($NH$83:$NH$483),$A226,0)</f>
        <v>0</v>
      </c>
      <c r="NJ226">
        <f>IF(NE226&lt;NF226,$A226,B_MAX+1)</f>
        <v>401.0</v>
      </c>
      <c r="NK226" s="13">
        <f>IF(NB226=1,$NB$35,$NB$36)</f>
        <v>0</v>
      </c>
      <c r="NL226" s="13">
        <f>OCC_DAYS*$NB$41*R_NF_2023-ND226*MCD_SHARE_FREED*R_WAIT_2023</f>
        <v>37367.159242427646</v>
      </c>
      <c r="NM226">
        <f>IF($A226&lt;=$NB$45,1,0)</f>
        <v>1</v>
      </c>
      <c r="OB226">
        <f>IF($OB$31&lt;=$OB$32,IF($A226&lt;=$OB$7,1,2),IF($A226&lt;=RUNG_BEDS_2,2,1))</f>
        <v>1</v>
      </c>
      <c r="OC226" s="5">
        <f>MIN(1,MAX(0,$OB$26-($A226-1)))</f>
        <v>1</v>
      </c>
      <c r="OD226" s="5">
        <f>$OB$25*(OC226+(1-OC226)*$OB$16)</f>
        <v>252.05322714681438</v>
      </c>
      <c r="OE226" s="13">
        <f>OD226*($OB$6+ACUTE_MARGIN)</f>
        <v>254573.7594182825</v>
      </c>
      <c r="OF226" s="13">
        <f>IF(OB226=1,$OB$31,$OB$32)</f>
        <v>152394.16214437486</v>
      </c>
      <c r="OG226" s="13">
        <f>OE226-OF226</f>
        <v>102179.59727390765</v>
      </c>
      <c r="OH226" s="13">
        <f>OH225+OG226</f>
        <v>14611682.410168847</v>
      </c>
      <c r="OI226">
        <f>IF(OH226=MAX($OH$83:$OH$483),$A226,0)</f>
        <v>0</v>
      </c>
      <c r="OJ226">
        <f>IF(OE226&lt;OF226,$A226,B_MAX+1)</f>
        <v>401.0</v>
      </c>
      <c r="OK226" s="13">
        <f>IF(OB226=1,$OB$35,$OB$36)</f>
        <v>0</v>
      </c>
      <c r="OL226" s="13">
        <f>OCC_DAYS*$OB$41*R_NF_2023-OD226*MCD_SHARE_FREED*R_WAIT_2023</f>
        <v>37367.159242427646</v>
      </c>
      <c r="OM226">
        <f>IF($A226&lt;=$OB$45,1,0)</f>
        <v>1</v>
      </c>
    </row>
    <row r="227">
      <c r="A227" t="n">
        <v>144</v>
      </c>
      <c r="B227">
        <f>IF($B$31&lt;=$B$32,IF($A227&lt;=$B$7,1,2),IF($A227&lt;=RUNG_BEDS_2,2,1))</f>
        <v>1</v>
      </c>
      <c r="C227" s="5">
        <f>MIN(1,MAX(0,$B$26-($A227-1)))</f>
        <v>1</v>
      </c>
      <c r="D227" s="5">
        <f>$B$25*(C227+(1-C227)*$B$16)</f>
        <v>252.05322714681438</v>
      </c>
      <c r="E227" s="13">
        <f>D227*($B$6+ACUTE_MARGIN)</f>
        <v>254573.7594182825</v>
      </c>
      <c r="F227" s="13">
        <f>IF(B227=1,$B$31,$B$32)</f>
        <v>152394.16214437486</v>
      </c>
      <c r="G227" s="13">
        <f>E227-F227</f>
        <v>102179.59727390765</v>
      </c>
      <c r="H227" s="13">
        <f>H226+G227</f>
        <v>14713862.007442756</v>
      </c>
      <c r="I227">
        <f>IF(H227=MAX($H$83:$H$483),$A227,0)</f>
        <v>0</v>
      </c>
      <c r="J227">
        <f>IF(E227&lt;F227,$A227,B_MAX+1)</f>
        <v>401.0</v>
      </c>
      <c r="K227" s="13">
        <f>IF(B227=1,$B$35,$B$36)</f>
        <v>0</v>
      </c>
      <c r="L227" s="13">
        <f>OCC_DAYS*$B$41*R_NF_2023-D227*MCD_SHARE_FREED*R_WAIT_2023</f>
        <v>37367.159242427646</v>
      </c>
      <c r="M227">
        <f>IF($A227&lt;=$B$45,1,0)</f>
        <v>1</v>
      </c>
      <c r="AB227">
        <f>IF($AB$31&lt;=$AB$32,IF($A227&lt;=$AB$7,1,2),IF($A227&lt;=RUNG_BEDS_2,2,1))</f>
        <v>1</v>
      </c>
      <c r="AC227" s="5">
        <f>MIN(1,MAX(0,$AB$26-($A227-1)))</f>
        <v>1</v>
      </c>
      <c r="AD227" s="5">
        <f>$AB$25*(AC227+(1-AC227)*$AB$16)</f>
        <v>252.05322714681438</v>
      </c>
      <c r="AE227" s="13">
        <f>AD227*($AB$6+ACUTE_MARGIN)</f>
        <v>138629.2749307479</v>
      </c>
      <c r="AF227" s="13">
        <f>IF(AB227=1,$AB$31,$AB$32)</f>
        <v>152394.16214437486</v>
      </c>
      <c r="AG227" s="13">
        <f>AE227-AF227</f>
        <v>-13764.887213626964</v>
      </c>
      <c r="AH227" s="13">
        <f>AH226+AG227</f>
        <v>-1982143.7587622786</v>
      </c>
      <c r="AI227">
        <f>IF(AH227=MAX($AH$83:$AH$483),$A227,0)</f>
        <v>0</v>
      </c>
      <c r="AJ227">
        <f>IF(AE227&lt;AF227,$A227,B_MAX+1)</f>
        <v>144</v>
      </c>
      <c r="AK227" s="13">
        <f>IF(AB227=1,$AB$35,$AB$36)</f>
        <v>0</v>
      </c>
      <c r="AL227" s="13">
        <f>OCC_DAYS*$AB$41*R_NF_2023-AD227*MCD_SHARE_FREED*R_WAIT_2023</f>
        <v>37367.159242427646</v>
      </c>
      <c r="AM227">
        <f>IF($A227&lt;=$AB$45,1,0)</f>
        <v>0</v>
      </c>
      <c r="BB227">
        <f>IF($BB$31&lt;=$BB$32,IF($A227&lt;=$BB$7,1,2),IF($A227&lt;=RUNG_BEDS_2,2,1))</f>
        <v>1</v>
      </c>
      <c r="BC227" s="5">
        <f>MIN(1,MAX(0,$BB$26-($A227-1)))</f>
        <v>1</v>
      </c>
      <c r="BD227" s="5">
        <f>$BB$25*(BC227+(1-BC227)*$BB$16)</f>
        <v>252.05322714681438</v>
      </c>
      <c r="BE227" s="13">
        <f>BD227*($BB$6+ACUTE_MARGIN)</f>
        <v>370518.24390581716</v>
      </c>
      <c r="BF227" s="13">
        <f>IF(BB227=1,$BB$31,$BB$32)</f>
        <v>152394.16214437486</v>
      </c>
      <c r="BG227" s="13">
        <f>BE227-BF227</f>
        <v>218124.0817614423</v>
      </c>
      <c r="BH227" s="13">
        <f>BH226+BG227</f>
        <v>31409867.77364767</v>
      </c>
      <c r="BI227">
        <f>IF(BH227=MAX($BH$83:$BH$483),$A227,0)</f>
        <v>0</v>
      </c>
      <c r="BJ227">
        <f>IF(BE227&lt;BF227,$A227,B_MAX+1)</f>
        <v>401.0</v>
      </c>
      <c r="BK227" s="13">
        <f>IF(BB227=1,$BB$35,$BB$36)</f>
        <v>0</v>
      </c>
      <c r="BL227" s="13">
        <f>OCC_DAYS*$BB$41*R_NF_2023-BD227*MCD_SHARE_FREED*R_WAIT_2023</f>
        <v>37367.159242427646</v>
      </c>
      <c r="BM227">
        <f>IF($A227&lt;=$BB$45,1,0)</f>
        <v>1</v>
      </c>
      <c r="CB227">
        <f>IF($CB$31&lt;=$CB$32,IF($A227&lt;=$CB$7,1,2),IF($A227&lt;=RUNG_BEDS_2,2,1))</f>
        <v>2</v>
      </c>
      <c r="CC227" s="5">
        <f>MIN(1,MAX(0,$CB$26-($A227-1)))</f>
        <v>1</v>
      </c>
      <c r="CD227" s="5">
        <f>$CB$25*(CC227+(1-CC227)*$CB$16)</f>
        <v>252.05322714681438</v>
      </c>
      <c r="CE227" s="13">
        <f>CD227*($CB$6+ACUTE_MARGIN)</f>
        <v>254573.7594182825</v>
      </c>
      <c r="CF227" s="13">
        <f>IF(CB227=1,$CB$31,$CB$32)</f>
        <v>160718.36940738867</v>
      </c>
      <c r="CG227" s="13">
        <f>CE227-CF227</f>
        <v>93855.39001089384</v>
      </c>
      <c r="CH227" s="13">
        <f>CH226+CG227</f>
        <v>13515176.161568705</v>
      </c>
      <c r="CI227">
        <f>IF(CH227=MAX($CH$83:$CH$483),$A227,0)</f>
        <v>0</v>
      </c>
      <c r="CJ227">
        <f>IF(CE227&lt;CF227,$A227,B_MAX+1)</f>
        <v>401.0</v>
      </c>
      <c r="CK227" s="13">
        <f>IF(CB227=1,$CB$35,$CB$36)</f>
        <v>1560.1194073886782</v>
      </c>
      <c r="CL227" s="13">
        <f>OCC_DAYS*$CB$41*R_NF_2023-CD227*MCD_SHARE_FREED*R_WAIT_2023</f>
        <v>37367.159242427646</v>
      </c>
      <c r="CM227">
        <f>IF($A227&lt;=$CB$45,1,0)</f>
        <v>1</v>
      </c>
      <c r="DB227">
        <f>IF($DB$31&lt;=$DB$32,IF($A227&lt;=$DB$7,1,2),IF($A227&lt;=RUNG_BEDS_2,2,1))</f>
        <v>1</v>
      </c>
      <c r="DC227" s="5">
        <f>MIN(1,MAX(0,$DB$26-($A227-1)))</f>
        <v>1</v>
      </c>
      <c r="DD227" s="5">
        <f>$DB$25*(DC227+(1-DC227)*$DB$16)</f>
        <v>252.05322714681438</v>
      </c>
      <c r="DE227" s="13">
        <f>DD227*($DB$6+ACUTE_MARGIN)</f>
        <v>254573.7594182825</v>
      </c>
      <c r="DF227" s="13">
        <f>IF(DB227=1,$DB$31,$DB$32)</f>
        <v>152394.16214437486</v>
      </c>
      <c r="DG227" s="13">
        <f>DE227-DF227</f>
        <v>102179.59727390765</v>
      </c>
      <c r="DH227" s="13">
        <f>DH226+DG227</f>
        <v>14713862.007442756</v>
      </c>
      <c r="DI227">
        <f>IF(DH227=MAX($DH$83:$DH$483),$A227,0)</f>
        <v>0</v>
      </c>
      <c r="DJ227">
        <f>IF(DE227&lt;DF227,$A227,B_MAX+1)</f>
        <v>401.0</v>
      </c>
      <c r="DK227" s="13">
        <f>IF(DB227=1,$DB$35,$DB$36)</f>
        <v>0</v>
      </c>
      <c r="DL227" s="13">
        <f>OCC_DAYS*$DB$41*R_NF_2023-DD227*MCD_SHARE_FREED*R_WAIT_2023</f>
        <v>37367.159242427646</v>
      </c>
      <c r="DM227">
        <f>IF($A227&lt;=$DB$45,1,0)</f>
        <v>1</v>
      </c>
      <c r="EB227">
        <f>IF($EB$31&lt;=$EB$32,IF($A227&lt;=$EB$7,1,2),IF($A227&lt;=RUNG_BEDS_2,2,1))</f>
        <v>1</v>
      </c>
      <c r="EC227" s="5">
        <f>MIN(1,MAX(0,$EB$26-($A227-1)))</f>
        <v>1</v>
      </c>
      <c r="ED227" s="5">
        <f>$EB$25*(EC227+(1-EC227)*$EB$16)</f>
        <v>252.05322714681438</v>
      </c>
      <c r="EE227" s="13">
        <f>ED227*($EB$6+ACUTE_MARGIN)</f>
        <v>254573.7594182825</v>
      </c>
      <c r="EF227" s="13">
        <f>IF(EB227=1,$EB$31,$EB$32)</f>
        <v>152394.16214437486</v>
      </c>
      <c r="EG227" s="13">
        <f>EE227-EF227</f>
        <v>102179.59727390765</v>
      </c>
      <c r="EH227" s="13">
        <f>EH226+EG227</f>
        <v>14713862.007442756</v>
      </c>
      <c r="EI227">
        <f>IF(EH227=MAX($EH$83:$EH$483),$A227,0)</f>
        <v>0</v>
      </c>
      <c r="EJ227">
        <f>IF(EE227&lt;EF227,$A227,B_MAX+1)</f>
        <v>401.0</v>
      </c>
      <c r="EK227" s="13">
        <f>IF(EB227=1,$EB$35,$EB$36)</f>
        <v>0</v>
      </c>
      <c r="EL227" s="13">
        <f>OCC_DAYS*$EB$41*R_NF_2023-ED227*MCD_SHARE_FREED*R_WAIT_2023</f>
        <v>-63953.16263896705</v>
      </c>
      <c r="EM227">
        <f>IF($A227&lt;=$EB$45,1,0)</f>
        <v>1</v>
      </c>
      <c r="FB227">
        <f>IF($FB$31&lt;=$FB$32,IF($A227&lt;=$FB$7,1,2),IF($A227&lt;=RUNG_BEDS_2,2,1))</f>
        <v>1</v>
      </c>
      <c r="FC227" s="5">
        <f>MIN(1,MAX(0,$FB$26-($A227-1)))</f>
        <v>1</v>
      </c>
      <c r="FD227" s="5">
        <f>$FB$25*(FC227+(1-FC227)*$FB$16)</f>
        <v>252.05322714681438</v>
      </c>
      <c r="FE227" s="13">
        <f>FD227*($FB$6+ACUTE_MARGIN)</f>
        <v>254573.7594182825</v>
      </c>
      <c r="FF227" s="13">
        <f>IF(FB227=1,$FB$31,$FB$32)</f>
        <v>156636.04979437485</v>
      </c>
      <c r="FG227" s="13">
        <f>FE227-FF227</f>
        <v>97937.70962390766</v>
      </c>
      <c r="FH227" s="13">
        <f>FH226+FG227</f>
        <v>14103030.185842652</v>
      </c>
      <c r="FI227">
        <f>IF(FH227=MAX($FH$83:$FH$483),$A227,0)</f>
        <v>0</v>
      </c>
      <c r="FJ227">
        <f>IF(FE227&lt;FF227,$A227,B_MAX+1)</f>
        <v>401.0</v>
      </c>
      <c r="FK227" s="13">
        <f>IF(FB227=1,$FB$35,$FB$36)</f>
        <v>0</v>
      </c>
      <c r="FL227" s="13">
        <f>OCC_DAYS*$FB$41*R_NF_2023-FD227*MCD_SHARE_FREED*R_WAIT_2023</f>
        <v>37367.159242427646</v>
      </c>
      <c r="FM227">
        <f>IF($A227&lt;=$FB$45,1,0)</f>
        <v>1</v>
      </c>
      <c r="GB227">
        <f>IF($GB$31&lt;=$GB$32,IF($A227&lt;=$GB$7,1,2),IF($A227&lt;=RUNG_BEDS_2,2,1))</f>
        <v>1</v>
      </c>
      <c r="GC227" s="5">
        <f>MIN(1,MAX(0,$GB$26-($A227-1)))</f>
        <v>1</v>
      </c>
      <c r="GD227" s="5">
        <f>$GB$25*(GC227+(1-GC227)*$GB$16)</f>
        <v>252.05322714681438</v>
      </c>
      <c r="GE227" s="13">
        <f>GD227*($GB$6+ACUTE_MARGIN)</f>
        <v>254573.7594182825</v>
      </c>
      <c r="GF227" s="13">
        <f>IF(GB227=1,$GB$31,$GB$32)</f>
        <v>152394.16214437486</v>
      </c>
      <c r="GG227" s="13">
        <f>GE227-GF227</f>
        <v>102179.59727390765</v>
      </c>
      <c r="GH227" s="13">
        <f>GH226+GG227</f>
        <v>14713862.007442756</v>
      </c>
      <c r="GI227">
        <f>IF(GH227=MAX($GH$83:$GH$483),$A227,0)</f>
        <v>0</v>
      </c>
      <c r="GJ227">
        <f>IF(GE227&lt;GF227,$A227,B_MAX+1)</f>
        <v>401.0</v>
      </c>
      <c r="GK227" s="13">
        <f>IF(GB227=1,$GB$35,$GB$36)</f>
        <v>0</v>
      </c>
      <c r="GL227" s="13">
        <f>OCC_DAYS*$GB$41*R_NF_2023-GD227*MCD_SHARE_FREED*R_WAIT_2023</f>
        <v>37367.159242427646</v>
      </c>
      <c r="GM227">
        <f>IF($A227&lt;=$GB$45,1,0)</f>
        <v>1</v>
      </c>
      <c r="HB227">
        <f>IF($HB$31&lt;=$HB$32,IF($A227&lt;=$HB$7,1,2),IF($A227&lt;=RUNG_BEDS_2,2,1))</f>
        <v>1</v>
      </c>
      <c r="HC227" s="5">
        <f>MIN(1,MAX(0,$HB$26-($A227-1)))</f>
        <v>1</v>
      </c>
      <c r="HD227" s="5">
        <f>$HB$25*(HC227+(1-HC227)*$HB$16)</f>
        <v>252.05322714681438</v>
      </c>
      <c r="HE227" s="13">
        <f>HD227*($HB$6+ACUTE_MARGIN)</f>
        <v>254573.7594182825</v>
      </c>
      <c r="HF227" s="13">
        <f>IF(HB227=1,$HB$31,$HB$32)</f>
        <v>152456.2970814058</v>
      </c>
      <c r="HG227" s="13">
        <f>HE227-HF227</f>
        <v>102117.46233687672</v>
      </c>
      <c r="HH227" s="13">
        <f>HH226+HG227</f>
        <v>14704914.576510279</v>
      </c>
      <c r="HI227">
        <f>IF(HH227=MAX($HH$83:$HH$483),$A227,0)</f>
        <v>0</v>
      </c>
      <c r="HJ227">
        <f>IF(HE227&lt;HF227,$A227,B_MAX+1)</f>
        <v>401.0</v>
      </c>
      <c r="HK227" s="13">
        <f>IF(HB227=1,$HB$35,$HB$36)</f>
        <v>0</v>
      </c>
      <c r="HL227" s="13">
        <f>OCC_DAYS*$HB$41*R_NF_2023-HD227*MCD_SHARE_FREED*R_WAIT_2023</f>
        <v>37367.159242427646</v>
      </c>
      <c r="HM227">
        <f>IF($A227&lt;=$HB$45,1,0)</f>
        <v>1</v>
      </c>
      <c r="IB227">
        <f>IF($IB$31&lt;=$IB$32,IF($A227&lt;=$IB$7,1,2),IF($A227&lt;=RUNG_BEDS_2,2,1))</f>
        <v>1</v>
      </c>
      <c r="IC227" s="5">
        <f>MIN(1,MAX(0,$IB$26-($A227-1)))</f>
        <v>1</v>
      </c>
      <c r="ID227" s="5">
        <f>$IB$25*(IC227+(1-IC227)*$IB$16)</f>
        <v>252.05322714681438</v>
      </c>
      <c r="IE227" s="13">
        <f>ID227*($IB$6+ACUTE_MARGIN)</f>
        <v>254573.7594182825</v>
      </c>
      <c r="IF227" s="13">
        <f>IF(IB227=1,$IB$31,$IB$32)</f>
        <v>152734.9994534971</v>
      </c>
      <c r="IG227" s="13">
        <f>IE227-IF227</f>
        <v>101838.75996478542</v>
      </c>
      <c r="IH227" s="13">
        <f>IH226+IG227</f>
        <v>14664781.434929058</v>
      </c>
      <c r="II227">
        <f>IF(IH227=MAX($IH$83:$IH$483),$A227,0)</f>
        <v>0</v>
      </c>
      <c r="IJ227">
        <f>IF(IE227&lt;IF227,$A227,B_MAX+1)</f>
        <v>401.0</v>
      </c>
      <c r="IK227" s="13">
        <f>IF(IB227=1,$IB$35,$IB$36)</f>
        <v>0</v>
      </c>
      <c r="IL227" s="13">
        <f>OCC_DAYS*$IB$41*R_NF_2023-ID227*MCD_SHARE_FREED*R_WAIT_2023</f>
        <v>37367.159242427646</v>
      </c>
      <c r="IM227">
        <f>IF($A227&lt;=$IB$45,1,0)</f>
        <v>1</v>
      </c>
      <c r="JB227">
        <f>IF($JB$31&lt;=$JB$32,IF($A227&lt;=$JB$7,1,2),IF($A227&lt;=RUNG_BEDS_2,2,1))</f>
        <v>1</v>
      </c>
      <c r="JC227" s="5">
        <f>MIN(1,MAX(0,$JB$26-($A227-1)))</f>
        <v>1</v>
      </c>
      <c r="JD227" s="5">
        <f>$JB$25*(JC227+(1-JC227)*$JB$16)</f>
        <v>252.05322714681438</v>
      </c>
      <c r="JE227" s="13">
        <f>JD227*($JB$6+ACUTE_MARGIN)</f>
        <v>254573.7594182825</v>
      </c>
      <c r="JF227" s="13">
        <f>IF(JB227=1,$JB$31,$JB$32)</f>
        <v>152394.16214437486</v>
      </c>
      <c r="JG227" s="13">
        <f>JE227-JF227</f>
        <v>102179.59727390765</v>
      </c>
      <c r="JH227" s="13">
        <f>JH226+JG227</f>
        <v>14713862.007442756</v>
      </c>
      <c r="JI227">
        <f>IF(JH227=MAX($JH$83:$JH$483),$A227,0)</f>
        <v>0</v>
      </c>
      <c r="JJ227">
        <f>IF(JE227&lt;JF227,$A227,B_MAX+1)</f>
        <v>401.0</v>
      </c>
      <c r="JK227" s="13">
        <f>IF(JB227=1,$JB$35,$JB$36)</f>
        <v>0</v>
      </c>
      <c r="JL227" s="13">
        <f>OCC_DAYS*$JB$41*R_NF_2023-JD227*MCD_SHARE_FREED*R_WAIT_2023</f>
        <v>37367.159242427646</v>
      </c>
      <c r="JM227">
        <f>IF($A227&lt;=$JB$45,1,0)</f>
        <v>1</v>
      </c>
      <c r="KB227">
        <f>IF($KB$31&lt;=$KB$32,IF($A227&lt;=$KB$7,1,2),IF($A227&lt;=RUNG_BEDS_2,2,1))</f>
        <v>1</v>
      </c>
      <c r="KC227" s="5">
        <f>MIN(1,MAX(0,$KB$26-($A227-1)))</f>
        <v>1</v>
      </c>
      <c r="KD227" s="5">
        <f>$KB$25*(KC227+(1-KC227)*$KB$16)</f>
        <v>126.02661357340719</v>
      </c>
      <c r="KE227" s="13">
        <f>KD227*($KB$6+ACUTE_MARGIN)</f>
        <v>127286.87970914126</v>
      </c>
      <c r="KF227" s="13">
        <f>IF(KB227=1,$KB$31,$KB$32)</f>
        <v>152394.16214437486</v>
      </c>
      <c r="KG227" s="13">
        <f>KE227-KF227</f>
        <v>-25107.282435233603</v>
      </c>
      <c r="KH227" s="13">
        <f>KH226+KG227</f>
        <v>-3615448.670673649</v>
      </c>
      <c r="KI227">
        <f>IF(KH227=MAX($KH$83:$KH$483),$A227,0)</f>
        <v>0</v>
      </c>
      <c r="KJ227">
        <f>IF(KE227&lt;KF227,$A227,B_MAX+1)</f>
        <v>144</v>
      </c>
      <c r="KK227" s="13">
        <f>IF(KB227=1,$KB$35,$KB$36)</f>
        <v>0</v>
      </c>
      <c r="KL227" s="13">
        <f>OCC_DAYS*$KB$41*R_NF_2023-KD227*MCD_SHARE_FREED*R_WAIT_2023</f>
        <v>94673.82103225985</v>
      </c>
      <c r="KM227">
        <f>IF($A227&lt;=$KB$45,1,0)</f>
        <v>0</v>
      </c>
      <c r="LB227">
        <f>IF($LB$31&lt;=$LB$32,IF($A227&lt;=$LB$7,1,2),IF($A227&lt;=RUNG_BEDS_2,2,1))</f>
        <v>1</v>
      </c>
      <c r="LC227" s="5">
        <f>MIN(1,MAX(0,$LB$26-($A227-1)))</f>
        <v>1</v>
      </c>
      <c r="LD227" s="5">
        <f>$LB$25*(LC227+(1-LC227)*$LB$16)</f>
        <v>84.01774238227146</v>
      </c>
      <c r="LE227" s="13">
        <f>LD227*($LB$6+ACUTE_MARGIN)</f>
        <v>84857.91980609419</v>
      </c>
      <c r="LF227" s="13">
        <f>IF(LB227=1,$LB$31,$LB$32)</f>
        <v>152394.16214437486</v>
      </c>
      <c r="LG227" s="13">
        <f>LE227-LF227</f>
        <v>-67536.24233828067</v>
      </c>
      <c r="LH227" s="13">
        <f>LH226+LG227</f>
        <v>-9725218.896712452</v>
      </c>
      <c r="LI227">
        <f>IF(LH227=MAX($LH$83:$LH$483),$A227,0)</f>
        <v>0</v>
      </c>
      <c r="LJ227">
        <f>IF(LE227&lt;LF227,$A227,B_MAX+1)</f>
        <v>144</v>
      </c>
      <c r="LK227" s="13">
        <f>IF(LB227=1,$LB$35,$LB$36)</f>
        <v>0</v>
      </c>
      <c r="LL227" s="13">
        <f>OCC_DAYS*$LB$41*R_NF_2023-LD227*MCD_SHARE_FREED*R_WAIT_2023</f>
        <v>113776.04162887059</v>
      </c>
      <c r="LM227">
        <f>IF($A227&lt;=$LB$45,1,0)</f>
        <v>0</v>
      </c>
      <c r="MB227">
        <f>IF($MB$31&lt;=$MB$32,IF($A227&lt;=$MB$7,1,2),IF($A227&lt;=RUNG_BEDS_2,2,1))</f>
        <v>1</v>
      </c>
      <c r="MC227" s="5">
        <f>MIN(1,MAX(0,$MB$26-($A227-1)))</f>
        <v>1</v>
      </c>
      <c r="MD227" s="5">
        <f>$MB$25*(MC227+(1-MC227)*$MB$16)</f>
        <v>213.44610951008647</v>
      </c>
      <c r="ME227" s="13">
        <f>MD227*($MB$6+ACUTE_MARGIN)</f>
        <v>215580.57060518733</v>
      </c>
      <c r="MF227" s="13">
        <f>IF(MB227=1,$MB$31,$MB$32)</f>
        <v>152394.16214437486</v>
      </c>
      <c r="MG227" s="13">
        <f>ME227-MF227</f>
        <v>63186.40846081247</v>
      </c>
      <c r="MH227" s="13">
        <f>MH226+MG227</f>
        <v>9098842.818357013</v>
      </c>
      <c r="MI227">
        <f>IF(MH227=MAX($MH$83:$MH$483),$A227,0)</f>
        <v>0</v>
      </c>
      <c r="MJ227">
        <f>IF(ME227&lt;MF227,$A227,B_MAX+1)</f>
        <v>401.0</v>
      </c>
      <c r="MK227" s="13">
        <f>IF(MB227=1,$MB$35,$MB$36)</f>
        <v>0</v>
      </c>
      <c r="ML227" s="13">
        <f>OCC_DAYS*$MB$41*R_NF_2023-MD227*MCD_SHARE_FREED*R_WAIT_2023</f>
        <v>54922.538779778624</v>
      </c>
      <c r="MM227">
        <f>IF($A227&lt;=$MB$45,1,0)</f>
        <v>1</v>
      </c>
      <c r="NB227">
        <f>IF($NB$31&lt;=$NB$32,IF($A227&lt;=$NB$7,1,2),IF($A227&lt;=RUNG_BEDS_2,2,1))</f>
        <v>1</v>
      </c>
      <c r="NC227" s="5">
        <f>MIN(1,MAX(0,$NB$26-($A227-1)))</f>
        <v>1</v>
      </c>
      <c r="ND227" s="5">
        <f>$NB$25*(NC227+(1-NC227)*$NB$16)</f>
        <v>252.05322714681438</v>
      </c>
      <c r="NE227" s="13">
        <f>ND227*($NB$6+ACUTE_MARGIN)</f>
        <v>254573.7594182825</v>
      </c>
      <c r="NF227" s="13">
        <f>IF(NB227=1,$NB$31,$NB$32)</f>
        <v>152394.16214437486</v>
      </c>
      <c r="NG227" s="13">
        <f>NE227-NF227</f>
        <v>102179.59727390765</v>
      </c>
      <c r="NH227" s="13">
        <f>NH226+NG227</f>
        <v>14713862.007442756</v>
      </c>
      <c r="NI227">
        <f>IF(NH227=MAX($NH$83:$NH$483),$A227,0)</f>
        <v>0</v>
      </c>
      <c r="NJ227">
        <f>IF(NE227&lt;NF227,$A227,B_MAX+1)</f>
        <v>401.0</v>
      </c>
      <c r="NK227" s="13">
        <f>IF(NB227=1,$NB$35,$NB$36)</f>
        <v>0</v>
      </c>
      <c r="NL227" s="13">
        <f>OCC_DAYS*$NB$41*R_NF_2023-ND227*MCD_SHARE_FREED*R_WAIT_2023</f>
        <v>37367.159242427646</v>
      </c>
      <c r="NM227">
        <f>IF($A227&lt;=$NB$45,1,0)</f>
        <v>1</v>
      </c>
      <c r="OB227">
        <f>IF($OB$31&lt;=$OB$32,IF($A227&lt;=$OB$7,1,2),IF($A227&lt;=RUNG_BEDS_2,2,1))</f>
        <v>1</v>
      </c>
      <c r="OC227" s="5">
        <f>MIN(1,MAX(0,$OB$26-($A227-1)))</f>
        <v>1</v>
      </c>
      <c r="OD227" s="5">
        <f>$OB$25*(OC227+(1-OC227)*$OB$16)</f>
        <v>252.05322714681438</v>
      </c>
      <c r="OE227" s="13">
        <f>OD227*($OB$6+ACUTE_MARGIN)</f>
        <v>254573.7594182825</v>
      </c>
      <c r="OF227" s="13">
        <f>IF(OB227=1,$OB$31,$OB$32)</f>
        <v>152394.16214437486</v>
      </c>
      <c r="OG227" s="13">
        <f>OE227-OF227</f>
        <v>102179.59727390765</v>
      </c>
      <c r="OH227" s="13">
        <f>OH226+OG227</f>
        <v>14713862.007442756</v>
      </c>
      <c r="OI227">
        <f>IF(OH227=MAX($OH$83:$OH$483),$A227,0)</f>
        <v>0</v>
      </c>
      <c r="OJ227">
        <f>IF(OE227&lt;OF227,$A227,B_MAX+1)</f>
        <v>401.0</v>
      </c>
      <c r="OK227" s="13">
        <f>IF(OB227=1,$OB$35,$OB$36)</f>
        <v>0</v>
      </c>
      <c r="OL227" s="13">
        <f>OCC_DAYS*$OB$41*R_NF_2023-OD227*MCD_SHARE_FREED*R_WAIT_2023</f>
        <v>37367.159242427646</v>
      </c>
      <c r="OM227">
        <f>IF($A227&lt;=$OB$45,1,0)</f>
        <v>1</v>
      </c>
    </row>
    <row r="228">
      <c r="A228" t="n">
        <v>145</v>
      </c>
      <c r="B228">
        <f>IF($B$31&lt;=$B$32,IF($A228&lt;=$B$7,1,2),IF($A228&lt;=RUNG_BEDS_2,2,1))</f>
        <v>1</v>
      </c>
      <c r="C228" s="5">
        <f>MIN(1,MAX(0,$B$26-($A228-1)))</f>
        <v>1</v>
      </c>
      <c r="D228" s="5">
        <f>$B$25*(C228+(1-C228)*$B$16)</f>
        <v>252.05322714681438</v>
      </c>
      <c r="E228" s="13">
        <f>D228*($B$6+ACUTE_MARGIN)</f>
        <v>254573.7594182825</v>
      </c>
      <c r="F228" s="13">
        <f>IF(B228=1,$B$31,$B$32)</f>
        <v>152394.16214437486</v>
      </c>
      <c r="G228" s="13">
        <f>E228-F228</f>
        <v>102179.59727390765</v>
      </c>
      <c r="H228" s="13">
        <f>H227+G228</f>
        <v>14816041.604716664</v>
      </c>
      <c r="I228">
        <f>IF(H228=MAX($H$83:$H$483),$A228,0)</f>
        <v>0</v>
      </c>
      <c r="J228">
        <f>IF(E228&lt;F228,$A228,B_MAX+1)</f>
        <v>401.0</v>
      </c>
      <c r="K228" s="13">
        <f>IF(B228=1,$B$35,$B$36)</f>
        <v>0</v>
      </c>
      <c r="L228" s="13">
        <f>OCC_DAYS*$B$41*R_NF_2023-D228*MCD_SHARE_FREED*R_WAIT_2023</f>
        <v>37367.159242427646</v>
      </c>
      <c r="M228">
        <f>IF($A228&lt;=$B$45,1,0)</f>
        <v>1</v>
      </c>
      <c r="AB228">
        <f>IF($AB$31&lt;=$AB$32,IF($A228&lt;=$AB$7,1,2),IF($A228&lt;=RUNG_BEDS_2,2,1))</f>
        <v>1</v>
      </c>
      <c r="AC228" s="5">
        <f>MIN(1,MAX(0,$AB$26-($A228-1)))</f>
        <v>1</v>
      </c>
      <c r="AD228" s="5">
        <f>$AB$25*(AC228+(1-AC228)*$AB$16)</f>
        <v>252.05322714681438</v>
      </c>
      <c r="AE228" s="13">
        <f>AD228*($AB$6+ACUTE_MARGIN)</f>
        <v>138629.2749307479</v>
      </c>
      <c r="AF228" s="13">
        <f>IF(AB228=1,$AB$31,$AB$32)</f>
        <v>152394.16214437486</v>
      </c>
      <c r="AG228" s="13">
        <f>AE228-AF228</f>
        <v>-13764.887213626964</v>
      </c>
      <c r="AH228" s="13">
        <f>AH227+AG228</f>
        <v>-1995908.6459759055</v>
      </c>
      <c r="AI228">
        <f>IF(AH228=MAX($AH$83:$AH$483),$A228,0)</f>
        <v>0</v>
      </c>
      <c r="AJ228">
        <f>IF(AE228&lt;AF228,$A228,B_MAX+1)</f>
        <v>145</v>
      </c>
      <c r="AK228" s="13">
        <f>IF(AB228=1,$AB$35,$AB$36)</f>
        <v>0</v>
      </c>
      <c r="AL228" s="13">
        <f>OCC_DAYS*$AB$41*R_NF_2023-AD228*MCD_SHARE_FREED*R_WAIT_2023</f>
        <v>37367.159242427646</v>
      </c>
      <c r="AM228">
        <f>IF($A228&lt;=$AB$45,1,0)</f>
        <v>0</v>
      </c>
      <c r="BB228">
        <f>IF($BB$31&lt;=$BB$32,IF($A228&lt;=$BB$7,1,2),IF($A228&lt;=RUNG_BEDS_2,2,1))</f>
        <v>1</v>
      </c>
      <c r="BC228" s="5">
        <f>MIN(1,MAX(0,$BB$26-($A228-1)))</f>
        <v>1</v>
      </c>
      <c r="BD228" s="5">
        <f>$BB$25*(BC228+(1-BC228)*$BB$16)</f>
        <v>252.05322714681438</v>
      </c>
      <c r="BE228" s="13">
        <f>BD228*($BB$6+ACUTE_MARGIN)</f>
        <v>370518.24390581716</v>
      </c>
      <c r="BF228" s="13">
        <f>IF(BB228=1,$BB$31,$BB$32)</f>
        <v>152394.16214437486</v>
      </c>
      <c r="BG228" s="13">
        <f>BE228-BF228</f>
        <v>218124.0817614423</v>
      </c>
      <c r="BH228" s="13">
        <f>BH227+BG228</f>
        <v>31627991.85540911</v>
      </c>
      <c r="BI228">
        <f>IF(BH228=MAX($BH$83:$BH$483),$A228,0)</f>
        <v>0</v>
      </c>
      <c r="BJ228">
        <f>IF(BE228&lt;BF228,$A228,B_MAX+1)</f>
        <v>401.0</v>
      </c>
      <c r="BK228" s="13">
        <f>IF(BB228=1,$BB$35,$BB$36)</f>
        <v>0</v>
      </c>
      <c r="BL228" s="13">
        <f>OCC_DAYS*$BB$41*R_NF_2023-BD228*MCD_SHARE_FREED*R_WAIT_2023</f>
        <v>37367.159242427646</v>
      </c>
      <c r="BM228">
        <f>IF($A228&lt;=$BB$45,1,0)</f>
        <v>1</v>
      </c>
      <c r="CB228">
        <f>IF($CB$31&lt;=$CB$32,IF($A228&lt;=$CB$7,1,2),IF($A228&lt;=RUNG_BEDS_2,2,1))</f>
        <v>2</v>
      </c>
      <c r="CC228" s="5">
        <f>MIN(1,MAX(0,$CB$26-($A228-1)))</f>
        <v>1</v>
      </c>
      <c r="CD228" s="5">
        <f>$CB$25*(CC228+(1-CC228)*$CB$16)</f>
        <v>252.05322714681438</v>
      </c>
      <c r="CE228" s="13">
        <f>CD228*($CB$6+ACUTE_MARGIN)</f>
        <v>254573.7594182825</v>
      </c>
      <c r="CF228" s="13">
        <f>IF(CB228=1,$CB$31,$CB$32)</f>
        <v>160718.36940738867</v>
      </c>
      <c r="CG228" s="13">
        <f>CE228-CF228</f>
        <v>93855.39001089384</v>
      </c>
      <c r="CH228" s="13">
        <f>CH227+CG228</f>
        <v>13609031.551579598</v>
      </c>
      <c r="CI228">
        <f>IF(CH228=MAX($CH$83:$CH$483),$A228,0)</f>
        <v>0</v>
      </c>
      <c r="CJ228">
        <f>IF(CE228&lt;CF228,$A228,B_MAX+1)</f>
        <v>401.0</v>
      </c>
      <c r="CK228" s="13">
        <f>IF(CB228=1,$CB$35,$CB$36)</f>
        <v>1560.1194073886782</v>
      </c>
      <c r="CL228" s="13">
        <f>OCC_DAYS*$CB$41*R_NF_2023-CD228*MCD_SHARE_FREED*R_WAIT_2023</f>
        <v>37367.159242427646</v>
      </c>
      <c r="CM228">
        <f>IF($A228&lt;=$CB$45,1,0)</f>
        <v>1</v>
      </c>
      <c r="DB228">
        <f>IF($DB$31&lt;=$DB$32,IF($A228&lt;=$DB$7,1,2),IF($A228&lt;=RUNG_BEDS_2,2,1))</f>
        <v>1</v>
      </c>
      <c r="DC228" s="5">
        <f>MIN(1,MAX(0,$DB$26-($A228-1)))</f>
        <v>1</v>
      </c>
      <c r="DD228" s="5">
        <f>$DB$25*(DC228+(1-DC228)*$DB$16)</f>
        <v>252.05322714681438</v>
      </c>
      <c r="DE228" s="13">
        <f>DD228*($DB$6+ACUTE_MARGIN)</f>
        <v>254573.7594182825</v>
      </c>
      <c r="DF228" s="13">
        <f>IF(DB228=1,$DB$31,$DB$32)</f>
        <v>152394.16214437486</v>
      </c>
      <c r="DG228" s="13">
        <f>DE228-DF228</f>
        <v>102179.59727390765</v>
      </c>
      <c r="DH228" s="13">
        <f>DH227+DG228</f>
        <v>14816041.604716664</v>
      </c>
      <c r="DI228">
        <f>IF(DH228=MAX($DH$83:$DH$483),$A228,0)</f>
        <v>0</v>
      </c>
      <c r="DJ228">
        <f>IF(DE228&lt;DF228,$A228,B_MAX+1)</f>
        <v>401.0</v>
      </c>
      <c r="DK228" s="13">
        <f>IF(DB228=1,$DB$35,$DB$36)</f>
        <v>0</v>
      </c>
      <c r="DL228" s="13">
        <f>OCC_DAYS*$DB$41*R_NF_2023-DD228*MCD_SHARE_FREED*R_WAIT_2023</f>
        <v>37367.159242427646</v>
      </c>
      <c r="DM228">
        <f>IF($A228&lt;=$DB$45,1,0)</f>
        <v>1</v>
      </c>
      <c r="EB228">
        <f>IF($EB$31&lt;=$EB$32,IF($A228&lt;=$EB$7,1,2),IF($A228&lt;=RUNG_BEDS_2,2,1))</f>
        <v>1</v>
      </c>
      <c r="EC228" s="5">
        <f>MIN(1,MAX(0,$EB$26-($A228-1)))</f>
        <v>1</v>
      </c>
      <c r="ED228" s="5">
        <f>$EB$25*(EC228+(1-EC228)*$EB$16)</f>
        <v>252.05322714681438</v>
      </c>
      <c r="EE228" s="13">
        <f>ED228*($EB$6+ACUTE_MARGIN)</f>
        <v>254573.7594182825</v>
      </c>
      <c r="EF228" s="13">
        <f>IF(EB228=1,$EB$31,$EB$32)</f>
        <v>152394.16214437486</v>
      </c>
      <c r="EG228" s="13">
        <f>EE228-EF228</f>
        <v>102179.59727390765</v>
      </c>
      <c r="EH228" s="13">
        <f>EH227+EG228</f>
        <v>14816041.604716664</v>
      </c>
      <c r="EI228">
        <f>IF(EH228=MAX($EH$83:$EH$483),$A228,0)</f>
        <v>0</v>
      </c>
      <c r="EJ228">
        <f>IF(EE228&lt;EF228,$A228,B_MAX+1)</f>
        <v>401.0</v>
      </c>
      <c r="EK228" s="13">
        <f>IF(EB228=1,$EB$35,$EB$36)</f>
        <v>0</v>
      </c>
      <c r="EL228" s="13">
        <f>OCC_DAYS*$EB$41*R_NF_2023-ED228*MCD_SHARE_FREED*R_WAIT_2023</f>
        <v>-63953.16263896705</v>
      </c>
      <c r="EM228">
        <f>IF($A228&lt;=$EB$45,1,0)</f>
        <v>1</v>
      </c>
      <c r="FB228">
        <f>IF($FB$31&lt;=$FB$32,IF($A228&lt;=$FB$7,1,2),IF($A228&lt;=RUNG_BEDS_2,2,1))</f>
        <v>1</v>
      </c>
      <c r="FC228" s="5">
        <f>MIN(1,MAX(0,$FB$26-($A228-1)))</f>
        <v>1</v>
      </c>
      <c r="FD228" s="5">
        <f>$FB$25*(FC228+(1-FC228)*$FB$16)</f>
        <v>252.05322714681438</v>
      </c>
      <c r="FE228" s="13">
        <f>FD228*($FB$6+ACUTE_MARGIN)</f>
        <v>254573.7594182825</v>
      </c>
      <c r="FF228" s="13">
        <f>IF(FB228=1,$FB$31,$FB$32)</f>
        <v>156636.04979437485</v>
      </c>
      <c r="FG228" s="13">
        <f>FE228-FF228</f>
        <v>97937.70962390766</v>
      </c>
      <c r="FH228" s="13">
        <f>FH227+FG228</f>
        <v>14200967.895466559</v>
      </c>
      <c r="FI228">
        <f>IF(FH228=MAX($FH$83:$FH$483),$A228,0)</f>
        <v>0</v>
      </c>
      <c r="FJ228">
        <f>IF(FE228&lt;FF228,$A228,B_MAX+1)</f>
        <v>401.0</v>
      </c>
      <c r="FK228" s="13">
        <f>IF(FB228=1,$FB$35,$FB$36)</f>
        <v>0</v>
      </c>
      <c r="FL228" s="13">
        <f>OCC_DAYS*$FB$41*R_NF_2023-FD228*MCD_SHARE_FREED*R_WAIT_2023</f>
        <v>37367.159242427646</v>
      </c>
      <c r="FM228">
        <f>IF($A228&lt;=$FB$45,1,0)</f>
        <v>1</v>
      </c>
      <c r="GB228">
        <f>IF($GB$31&lt;=$GB$32,IF($A228&lt;=$GB$7,1,2),IF($A228&lt;=RUNG_BEDS_2,2,1))</f>
        <v>1</v>
      </c>
      <c r="GC228" s="5">
        <f>MIN(1,MAX(0,$GB$26-($A228-1)))</f>
        <v>1</v>
      </c>
      <c r="GD228" s="5">
        <f>$GB$25*(GC228+(1-GC228)*$GB$16)</f>
        <v>252.05322714681438</v>
      </c>
      <c r="GE228" s="13">
        <f>GD228*($GB$6+ACUTE_MARGIN)</f>
        <v>254573.7594182825</v>
      </c>
      <c r="GF228" s="13">
        <f>IF(GB228=1,$GB$31,$GB$32)</f>
        <v>152394.16214437486</v>
      </c>
      <c r="GG228" s="13">
        <f>GE228-GF228</f>
        <v>102179.59727390765</v>
      </c>
      <c r="GH228" s="13">
        <f>GH227+GG228</f>
        <v>14816041.604716664</v>
      </c>
      <c r="GI228">
        <f>IF(GH228=MAX($GH$83:$GH$483),$A228,0)</f>
        <v>0</v>
      </c>
      <c r="GJ228">
        <f>IF(GE228&lt;GF228,$A228,B_MAX+1)</f>
        <v>401.0</v>
      </c>
      <c r="GK228" s="13">
        <f>IF(GB228=1,$GB$35,$GB$36)</f>
        <v>0</v>
      </c>
      <c r="GL228" s="13">
        <f>OCC_DAYS*$GB$41*R_NF_2023-GD228*MCD_SHARE_FREED*R_WAIT_2023</f>
        <v>37367.159242427646</v>
      </c>
      <c r="GM228">
        <f>IF($A228&lt;=$GB$45,1,0)</f>
        <v>1</v>
      </c>
      <c r="HB228">
        <f>IF($HB$31&lt;=$HB$32,IF($A228&lt;=$HB$7,1,2),IF($A228&lt;=RUNG_BEDS_2,2,1))</f>
        <v>1</v>
      </c>
      <c r="HC228" s="5">
        <f>MIN(1,MAX(0,$HB$26-($A228-1)))</f>
        <v>1</v>
      </c>
      <c r="HD228" s="5">
        <f>$HB$25*(HC228+(1-HC228)*$HB$16)</f>
        <v>252.05322714681438</v>
      </c>
      <c r="HE228" s="13">
        <f>HD228*($HB$6+ACUTE_MARGIN)</f>
        <v>254573.7594182825</v>
      </c>
      <c r="HF228" s="13">
        <f>IF(HB228=1,$HB$31,$HB$32)</f>
        <v>152456.2970814058</v>
      </c>
      <c r="HG228" s="13">
        <f>HE228-HF228</f>
        <v>102117.46233687672</v>
      </c>
      <c r="HH228" s="13">
        <f>HH227+HG228</f>
        <v>14807032.038847156</v>
      </c>
      <c r="HI228">
        <f>IF(HH228=MAX($HH$83:$HH$483),$A228,0)</f>
        <v>0</v>
      </c>
      <c r="HJ228">
        <f>IF(HE228&lt;HF228,$A228,B_MAX+1)</f>
        <v>401.0</v>
      </c>
      <c r="HK228" s="13">
        <f>IF(HB228=1,$HB$35,$HB$36)</f>
        <v>0</v>
      </c>
      <c r="HL228" s="13">
        <f>OCC_DAYS*$HB$41*R_NF_2023-HD228*MCD_SHARE_FREED*R_WAIT_2023</f>
        <v>37367.159242427646</v>
      </c>
      <c r="HM228">
        <f>IF($A228&lt;=$HB$45,1,0)</f>
        <v>1</v>
      </c>
      <c r="IB228">
        <f>IF($IB$31&lt;=$IB$32,IF($A228&lt;=$IB$7,1,2),IF($A228&lt;=RUNG_BEDS_2,2,1))</f>
        <v>1</v>
      </c>
      <c r="IC228" s="5">
        <f>MIN(1,MAX(0,$IB$26-($A228-1)))</f>
        <v>1</v>
      </c>
      <c r="ID228" s="5">
        <f>$IB$25*(IC228+(1-IC228)*$IB$16)</f>
        <v>252.05322714681438</v>
      </c>
      <c r="IE228" s="13">
        <f>ID228*($IB$6+ACUTE_MARGIN)</f>
        <v>254573.7594182825</v>
      </c>
      <c r="IF228" s="13">
        <f>IF(IB228=1,$IB$31,$IB$32)</f>
        <v>152734.9994534971</v>
      </c>
      <c r="IG228" s="13">
        <f>IE228-IF228</f>
        <v>101838.75996478542</v>
      </c>
      <c r="IH228" s="13">
        <f>IH227+IG228</f>
        <v>14766620.194893843</v>
      </c>
      <c r="II228">
        <f>IF(IH228=MAX($IH$83:$IH$483),$A228,0)</f>
        <v>0</v>
      </c>
      <c r="IJ228">
        <f>IF(IE228&lt;IF228,$A228,B_MAX+1)</f>
        <v>401.0</v>
      </c>
      <c r="IK228" s="13">
        <f>IF(IB228=1,$IB$35,$IB$36)</f>
        <v>0</v>
      </c>
      <c r="IL228" s="13">
        <f>OCC_DAYS*$IB$41*R_NF_2023-ID228*MCD_SHARE_FREED*R_WAIT_2023</f>
        <v>37367.159242427646</v>
      </c>
      <c r="IM228">
        <f>IF($A228&lt;=$IB$45,1,0)</f>
        <v>1</v>
      </c>
      <c r="JB228">
        <f>IF($JB$31&lt;=$JB$32,IF($A228&lt;=$JB$7,1,2),IF($A228&lt;=RUNG_BEDS_2,2,1))</f>
        <v>1</v>
      </c>
      <c r="JC228" s="5">
        <f>MIN(1,MAX(0,$JB$26-($A228-1)))</f>
        <v>1</v>
      </c>
      <c r="JD228" s="5">
        <f>$JB$25*(JC228+(1-JC228)*$JB$16)</f>
        <v>252.05322714681438</v>
      </c>
      <c r="JE228" s="13">
        <f>JD228*($JB$6+ACUTE_MARGIN)</f>
        <v>254573.7594182825</v>
      </c>
      <c r="JF228" s="13">
        <f>IF(JB228=1,$JB$31,$JB$32)</f>
        <v>152394.16214437486</v>
      </c>
      <c r="JG228" s="13">
        <f>JE228-JF228</f>
        <v>102179.59727390765</v>
      </c>
      <c r="JH228" s="13">
        <f>JH227+JG228</f>
        <v>14816041.604716664</v>
      </c>
      <c r="JI228">
        <f>IF(JH228=MAX($JH$83:$JH$483),$A228,0)</f>
        <v>0</v>
      </c>
      <c r="JJ228">
        <f>IF(JE228&lt;JF228,$A228,B_MAX+1)</f>
        <v>401.0</v>
      </c>
      <c r="JK228" s="13">
        <f>IF(JB228=1,$JB$35,$JB$36)</f>
        <v>0</v>
      </c>
      <c r="JL228" s="13">
        <f>OCC_DAYS*$JB$41*R_NF_2023-JD228*MCD_SHARE_FREED*R_WAIT_2023</f>
        <v>37367.159242427646</v>
      </c>
      <c r="JM228">
        <f>IF($A228&lt;=$JB$45,1,0)</f>
        <v>1</v>
      </c>
      <c r="KB228">
        <f>IF($KB$31&lt;=$KB$32,IF($A228&lt;=$KB$7,1,2),IF($A228&lt;=RUNG_BEDS_2,2,1))</f>
        <v>1</v>
      </c>
      <c r="KC228" s="5">
        <f>MIN(1,MAX(0,$KB$26-($A228-1)))</f>
        <v>1</v>
      </c>
      <c r="KD228" s="5">
        <f>$KB$25*(KC228+(1-KC228)*$KB$16)</f>
        <v>126.02661357340719</v>
      </c>
      <c r="KE228" s="13">
        <f>KD228*($KB$6+ACUTE_MARGIN)</f>
        <v>127286.87970914126</v>
      </c>
      <c r="KF228" s="13">
        <f>IF(KB228=1,$KB$31,$KB$32)</f>
        <v>152394.16214437486</v>
      </c>
      <c r="KG228" s="13">
        <f>KE228-KF228</f>
        <v>-25107.282435233603</v>
      </c>
      <c r="KH228" s="13">
        <f>KH227+KG228</f>
        <v>-3640555.9531088825</v>
      </c>
      <c r="KI228">
        <f>IF(KH228=MAX($KH$83:$KH$483),$A228,0)</f>
        <v>0</v>
      </c>
      <c r="KJ228">
        <f>IF(KE228&lt;KF228,$A228,B_MAX+1)</f>
        <v>145</v>
      </c>
      <c r="KK228" s="13">
        <f>IF(KB228=1,$KB$35,$KB$36)</f>
        <v>0</v>
      </c>
      <c r="KL228" s="13">
        <f>OCC_DAYS*$KB$41*R_NF_2023-KD228*MCD_SHARE_FREED*R_WAIT_2023</f>
        <v>94673.82103225985</v>
      </c>
      <c r="KM228">
        <f>IF($A228&lt;=$KB$45,1,0)</f>
        <v>0</v>
      </c>
      <c r="LB228">
        <f>IF($LB$31&lt;=$LB$32,IF($A228&lt;=$LB$7,1,2),IF($A228&lt;=RUNG_BEDS_2,2,1))</f>
        <v>1</v>
      </c>
      <c r="LC228" s="5">
        <f>MIN(1,MAX(0,$LB$26-($A228-1)))</f>
        <v>1</v>
      </c>
      <c r="LD228" s="5">
        <f>$LB$25*(LC228+(1-LC228)*$LB$16)</f>
        <v>84.01774238227146</v>
      </c>
      <c r="LE228" s="13">
        <f>LD228*($LB$6+ACUTE_MARGIN)</f>
        <v>84857.91980609419</v>
      </c>
      <c r="LF228" s="13">
        <f>IF(LB228=1,$LB$31,$LB$32)</f>
        <v>152394.16214437486</v>
      </c>
      <c r="LG228" s="13">
        <f>LE228-LF228</f>
        <v>-67536.24233828067</v>
      </c>
      <c r="LH228" s="13">
        <f>LH227+LG228</f>
        <v>-9792755.139050733</v>
      </c>
      <c r="LI228">
        <f>IF(LH228=MAX($LH$83:$LH$483),$A228,0)</f>
        <v>0</v>
      </c>
      <c r="LJ228">
        <f>IF(LE228&lt;LF228,$A228,B_MAX+1)</f>
        <v>145</v>
      </c>
      <c r="LK228" s="13">
        <f>IF(LB228=1,$LB$35,$LB$36)</f>
        <v>0</v>
      </c>
      <c r="LL228" s="13">
        <f>OCC_DAYS*$LB$41*R_NF_2023-LD228*MCD_SHARE_FREED*R_WAIT_2023</f>
        <v>113776.04162887059</v>
      </c>
      <c r="LM228">
        <f>IF($A228&lt;=$LB$45,1,0)</f>
        <v>0</v>
      </c>
      <c r="MB228">
        <f>IF($MB$31&lt;=$MB$32,IF($A228&lt;=$MB$7,1,2),IF($A228&lt;=RUNG_BEDS_2,2,1))</f>
        <v>1</v>
      </c>
      <c r="MC228" s="5">
        <f>MIN(1,MAX(0,$MB$26-($A228-1)))</f>
        <v>1</v>
      </c>
      <c r="MD228" s="5">
        <f>$MB$25*(MC228+(1-MC228)*$MB$16)</f>
        <v>213.44610951008647</v>
      </c>
      <c r="ME228" s="13">
        <f>MD228*($MB$6+ACUTE_MARGIN)</f>
        <v>215580.57060518733</v>
      </c>
      <c r="MF228" s="13">
        <f>IF(MB228=1,$MB$31,$MB$32)</f>
        <v>152394.16214437486</v>
      </c>
      <c r="MG228" s="13">
        <f>ME228-MF228</f>
        <v>63186.40846081247</v>
      </c>
      <c r="MH228" s="13">
        <f>MH227+MG228</f>
        <v>9162029.226817826</v>
      </c>
      <c r="MI228">
        <f>IF(MH228=MAX($MH$83:$MH$483),$A228,0)</f>
        <v>0</v>
      </c>
      <c r="MJ228">
        <f>IF(ME228&lt;MF228,$A228,B_MAX+1)</f>
        <v>401.0</v>
      </c>
      <c r="MK228" s="13">
        <f>IF(MB228=1,$MB$35,$MB$36)</f>
        <v>0</v>
      </c>
      <c r="ML228" s="13">
        <f>OCC_DAYS*$MB$41*R_NF_2023-MD228*MCD_SHARE_FREED*R_WAIT_2023</f>
        <v>54922.538779778624</v>
      </c>
      <c r="MM228">
        <f>IF($A228&lt;=$MB$45,1,0)</f>
        <v>1</v>
      </c>
      <c r="NB228">
        <f>IF($NB$31&lt;=$NB$32,IF($A228&lt;=$NB$7,1,2),IF($A228&lt;=RUNG_BEDS_2,2,1))</f>
        <v>1</v>
      </c>
      <c r="NC228" s="5">
        <f>MIN(1,MAX(0,$NB$26-($A228-1)))</f>
        <v>1</v>
      </c>
      <c r="ND228" s="5">
        <f>$NB$25*(NC228+(1-NC228)*$NB$16)</f>
        <v>252.05322714681438</v>
      </c>
      <c r="NE228" s="13">
        <f>ND228*($NB$6+ACUTE_MARGIN)</f>
        <v>254573.7594182825</v>
      </c>
      <c r="NF228" s="13">
        <f>IF(NB228=1,$NB$31,$NB$32)</f>
        <v>152394.16214437486</v>
      </c>
      <c r="NG228" s="13">
        <f>NE228-NF228</f>
        <v>102179.59727390765</v>
      </c>
      <c r="NH228" s="13">
        <f>NH227+NG228</f>
        <v>14816041.604716664</v>
      </c>
      <c r="NI228">
        <f>IF(NH228=MAX($NH$83:$NH$483),$A228,0)</f>
        <v>0</v>
      </c>
      <c r="NJ228">
        <f>IF(NE228&lt;NF228,$A228,B_MAX+1)</f>
        <v>401.0</v>
      </c>
      <c r="NK228" s="13">
        <f>IF(NB228=1,$NB$35,$NB$36)</f>
        <v>0</v>
      </c>
      <c r="NL228" s="13">
        <f>OCC_DAYS*$NB$41*R_NF_2023-ND228*MCD_SHARE_FREED*R_WAIT_2023</f>
        <v>37367.159242427646</v>
      </c>
      <c r="NM228">
        <f>IF($A228&lt;=$NB$45,1,0)</f>
        <v>1</v>
      </c>
      <c r="OB228">
        <f>IF($OB$31&lt;=$OB$32,IF($A228&lt;=$OB$7,1,2),IF($A228&lt;=RUNG_BEDS_2,2,1))</f>
        <v>1</v>
      </c>
      <c r="OC228" s="5">
        <f>MIN(1,MAX(0,$OB$26-($A228-1)))</f>
        <v>1</v>
      </c>
      <c r="OD228" s="5">
        <f>$OB$25*(OC228+(1-OC228)*$OB$16)</f>
        <v>252.05322714681438</v>
      </c>
      <c r="OE228" s="13">
        <f>OD228*($OB$6+ACUTE_MARGIN)</f>
        <v>254573.7594182825</v>
      </c>
      <c r="OF228" s="13">
        <f>IF(OB228=1,$OB$31,$OB$32)</f>
        <v>152394.16214437486</v>
      </c>
      <c r="OG228" s="13">
        <f>OE228-OF228</f>
        <v>102179.59727390765</v>
      </c>
      <c r="OH228" s="13">
        <f>OH227+OG228</f>
        <v>14816041.604716664</v>
      </c>
      <c r="OI228">
        <f>IF(OH228=MAX($OH$83:$OH$483),$A228,0)</f>
        <v>0</v>
      </c>
      <c r="OJ228">
        <f>IF(OE228&lt;OF228,$A228,B_MAX+1)</f>
        <v>401.0</v>
      </c>
      <c r="OK228" s="13">
        <f>IF(OB228=1,$OB$35,$OB$36)</f>
        <v>0</v>
      </c>
      <c r="OL228" s="13">
        <f>OCC_DAYS*$OB$41*R_NF_2023-OD228*MCD_SHARE_FREED*R_WAIT_2023</f>
        <v>37367.159242427646</v>
      </c>
      <c r="OM228">
        <f>IF($A228&lt;=$OB$45,1,0)</f>
        <v>1</v>
      </c>
    </row>
    <row r="229">
      <c r="A229" t="n">
        <v>146</v>
      </c>
      <c r="B229">
        <f>IF($B$31&lt;=$B$32,IF($A229&lt;=$B$7,1,2),IF($A229&lt;=RUNG_BEDS_2,2,1))</f>
        <v>1</v>
      </c>
      <c r="C229" s="5">
        <f>MIN(1,MAX(0,$B$26-($A229-1)))</f>
        <v>1</v>
      </c>
      <c r="D229" s="5">
        <f>$B$25*(C229+(1-C229)*$B$16)</f>
        <v>252.05322714681438</v>
      </c>
      <c r="E229" s="13">
        <f>D229*($B$6+ACUTE_MARGIN)</f>
        <v>254573.7594182825</v>
      </c>
      <c r="F229" s="13">
        <f>IF(B229=1,$B$31,$B$32)</f>
        <v>152394.16214437486</v>
      </c>
      <c r="G229" s="13">
        <f>E229-F229</f>
        <v>102179.59727390765</v>
      </c>
      <c r="H229" s="13">
        <f>H228+G229</f>
        <v>14918221.201990573</v>
      </c>
      <c r="I229">
        <f>IF(H229=MAX($H$83:$H$483),$A229,0)</f>
        <v>0</v>
      </c>
      <c r="J229">
        <f>IF(E229&lt;F229,$A229,B_MAX+1)</f>
        <v>401.0</v>
      </c>
      <c r="K229" s="13">
        <f>IF(B229=1,$B$35,$B$36)</f>
        <v>0</v>
      </c>
      <c r="L229" s="13">
        <f>OCC_DAYS*$B$41*R_NF_2023-D229*MCD_SHARE_FREED*R_WAIT_2023</f>
        <v>37367.159242427646</v>
      </c>
      <c r="M229">
        <f>IF($A229&lt;=$B$45,1,0)</f>
        <v>1</v>
      </c>
      <c r="AB229">
        <f>IF($AB$31&lt;=$AB$32,IF($A229&lt;=$AB$7,1,2),IF($A229&lt;=RUNG_BEDS_2,2,1))</f>
        <v>1</v>
      </c>
      <c r="AC229" s="5">
        <f>MIN(1,MAX(0,$AB$26-($A229-1)))</f>
        <v>1</v>
      </c>
      <c r="AD229" s="5">
        <f>$AB$25*(AC229+(1-AC229)*$AB$16)</f>
        <v>252.05322714681438</v>
      </c>
      <c r="AE229" s="13">
        <f>AD229*($AB$6+ACUTE_MARGIN)</f>
        <v>138629.2749307479</v>
      </c>
      <c r="AF229" s="13">
        <f>IF(AB229=1,$AB$31,$AB$32)</f>
        <v>152394.16214437486</v>
      </c>
      <c r="AG229" s="13">
        <f>AE229-AF229</f>
        <v>-13764.887213626964</v>
      </c>
      <c r="AH229" s="13">
        <f>AH228+AG229</f>
        <v>-2009673.5331895323</v>
      </c>
      <c r="AI229">
        <f>IF(AH229=MAX($AH$83:$AH$483),$A229,0)</f>
        <v>0</v>
      </c>
      <c r="AJ229">
        <f>IF(AE229&lt;AF229,$A229,B_MAX+1)</f>
        <v>146</v>
      </c>
      <c r="AK229" s="13">
        <f>IF(AB229=1,$AB$35,$AB$36)</f>
        <v>0</v>
      </c>
      <c r="AL229" s="13">
        <f>OCC_DAYS*$AB$41*R_NF_2023-AD229*MCD_SHARE_FREED*R_WAIT_2023</f>
        <v>37367.159242427646</v>
      </c>
      <c r="AM229">
        <f>IF($A229&lt;=$AB$45,1,0)</f>
        <v>0</v>
      </c>
      <c r="BB229">
        <f>IF($BB$31&lt;=$BB$32,IF($A229&lt;=$BB$7,1,2),IF($A229&lt;=RUNG_BEDS_2,2,1))</f>
        <v>1</v>
      </c>
      <c r="BC229" s="5">
        <f>MIN(1,MAX(0,$BB$26-($A229-1)))</f>
        <v>1</v>
      </c>
      <c r="BD229" s="5">
        <f>$BB$25*(BC229+(1-BC229)*$BB$16)</f>
        <v>252.05322714681438</v>
      </c>
      <c r="BE229" s="13">
        <f>BD229*($BB$6+ACUTE_MARGIN)</f>
        <v>370518.24390581716</v>
      </c>
      <c r="BF229" s="13">
        <f>IF(BB229=1,$BB$31,$BB$32)</f>
        <v>152394.16214437486</v>
      </c>
      <c r="BG229" s="13">
        <f>BE229-BF229</f>
        <v>218124.0817614423</v>
      </c>
      <c r="BH229" s="13">
        <f>BH228+BG229</f>
        <v>31846115.937170554</v>
      </c>
      <c r="BI229">
        <f>IF(BH229=MAX($BH$83:$BH$483),$A229,0)</f>
        <v>0</v>
      </c>
      <c r="BJ229">
        <f>IF(BE229&lt;BF229,$A229,B_MAX+1)</f>
        <v>401.0</v>
      </c>
      <c r="BK229" s="13">
        <f>IF(BB229=1,$BB$35,$BB$36)</f>
        <v>0</v>
      </c>
      <c r="BL229" s="13">
        <f>OCC_DAYS*$BB$41*R_NF_2023-BD229*MCD_SHARE_FREED*R_WAIT_2023</f>
        <v>37367.159242427646</v>
      </c>
      <c r="BM229">
        <f>IF($A229&lt;=$BB$45,1,0)</f>
        <v>1</v>
      </c>
      <c r="CB229">
        <f>IF($CB$31&lt;=$CB$32,IF($A229&lt;=$CB$7,1,2),IF($A229&lt;=RUNG_BEDS_2,2,1))</f>
        <v>2</v>
      </c>
      <c r="CC229" s="5">
        <f>MIN(1,MAX(0,$CB$26-($A229-1)))</f>
        <v>1</v>
      </c>
      <c r="CD229" s="5">
        <f>$CB$25*(CC229+(1-CC229)*$CB$16)</f>
        <v>252.05322714681438</v>
      </c>
      <c r="CE229" s="13">
        <f>CD229*($CB$6+ACUTE_MARGIN)</f>
        <v>254573.7594182825</v>
      </c>
      <c r="CF229" s="13">
        <f>IF(CB229=1,$CB$31,$CB$32)</f>
        <v>160718.36940738867</v>
      </c>
      <c r="CG229" s="13">
        <f>CE229-CF229</f>
        <v>93855.39001089384</v>
      </c>
      <c r="CH229" s="13">
        <f>CH228+CG229</f>
        <v>13702886.941590492</v>
      </c>
      <c r="CI229">
        <f>IF(CH229=MAX($CH$83:$CH$483),$A229,0)</f>
        <v>0</v>
      </c>
      <c r="CJ229">
        <f>IF(CE229&lt;CF229,$A229,B_MAX+1)</f>
        <v>401.0</v>
      </c>
      <c r="CK229" s="13">
        <f>IF(CB229=1,$CB$35,$CB$36)</f>
        <v>1560.1194073886782</v>
      </c>
      <c r="CL229" s="13">
        <f>OCC_DAYS*$CB$41*R_NF_2023-CD229*MCD_SHARE_FREED*R_WAIT_2023</f>
        <v>37367.159242427646</v>
      </c>
      <c r="CM229">
        <f>IF($A229&lt;=$CB$45,1,0)</f>
        <v>1</v>
      </c>
      <c r="DB229">
        <f>IF($DB$31&lt;=$DB$32,IF($A229&lt;=$DB$7,1,2),IF($A229&lt;=RUNG_BEDS_2,2,1))</f>
        <v>1</v>
      </c>
      <c r="DC229" s="5">
        <f>MIN(1,MAX(0,$DB$26-($A229-1)))</f>
        <v>1</v>
      </c>
      <c r="DD229" s="5">
        <f>$DB$25*(DC229+(1-DC229)*$DB$16)</f>
        <v>252.05322714681438</v>
      </c>
      <c r="DE229" s="13">
        <f>DD229*($DB$6+ACUTE_MARGIN)</f>
        <v>254573.7594182825</v>
      </c>
      <c r="DF229" s="13">
        <f>IF(DB229=1,$DB$31,$DB$32)</f>
        <v>152394.16214437486</v>
      </c>
      <c r="DG229" s="13">
        <f>DE229-DF229</f>
        <v>102179.59727390765</v>
      </c>
      <c r="DH229" s="13">
        <f>DH228+DG229</f>
        <v>14918221.201990573</v>
      </c>
      <c r="DI229">
        <f>IF(DH229=MAX($DH$83:$DH$483),$A229,0)</f>
        <v>0</v>
      </c>
      <c r="DJ229">
        <f>IF(DE229&lt;DF229,$A229,B_MAX+1)</f>
        <v>401.0</v>
      </c>
      <c r="DK229" s="13">
        <f>IF(DB229=1,$DB$35,$DB$36)</f>
        <v>0</v>
      </c>
      <c r="DL229" s="13">
        <f>OCC_DAYS*$DB$41*R_NF_2023-DD229*MCD_SHARE_FREED*R_WAIT_2023</f>
        <v>37367.159242427646</v>
      </c>
      <c r="DM229">
        <f>IF($A229&lt;=$DB$45,1,0)</f>
        <v>1</v>
      </c>
      <c r="EB229">
        <f>IF($EB$31&lt;=$EB$32,IF($A229&lt;=$EB$7,1,2),IF($A229&lt;=RUNG_BEDS_2,2,1))</f>
        <v>1</v>
      </c>
      <c r="EC229" s="5">
        <f>MIN(1,MAX(0,$EB$26-($A229-1)))</f>
        <v>1</v>
      </c>
      <c r="ED229" s="5">
        <f>$EB$25*(EC229+(1-EC229)*$EB$16)</f>
        <v>252.05322714681438</v>
      </c>
      <c r="EE229" s="13">
        <f>ED229*($EB$6+ACUTE_MARGIN)</f>
        <v>254573.7594182825</v>
      </c>
      <c r="EF229" s="13">
        <f>IF(EB229=1,$EB$31,$EB$32)</f>
        <v>152394.16214437486</v>
      </c>
      <c r="EG229" s="13">
        <f>EE229-EF229</f>
        <v>102179.59727390765</v>
      </c>
      <c r="EH229" s="13">
        <f>EH228+EG229</f>
        <v>14918221.201990573</v>
      </c>
      <c r="EI229">
        <f>IF(EH229=MAX($EH$83:$EH$483),$A229,0)</f>
        <v>0</v>
      </c>
      <c r="EJ229">
        <f>IF(EE229&lt;EF229,$A229,B_MAX+1)</f>
        <v>401.0</v>
      </c>
      <c r="EK229" s="13">
        <f>IF(EB229=1,$EB$35,$EB$36)</f>
        <v>0</v>
      </c>
      <c r="EL229" s="13">
        <f>OCC_DAYS*$EB$41*R_NF_2023-ED229*MCD_SHARE_FREED*R_WAIT_2023</f>
        <v>-63953.16263896705</v>
      </c>
      <c r="EM229">
        <f>IF($A229&lt;=$EB$45,1,0)</f>
        <v>1</v>
      </c>
      <c r="FB229">
        <f>IF($FB$31&lt;=$FB$32,IF($A229&lt;=$FB$7,1,2),IF($A229&lt;=RUNG_BEDS_2,2,1))</f>
        <v>1</v>
      </c>
      <c r="FC229" s="5">
        <f>MIN(1,MAX(0,$FB$26-($A229-1)))</f>
        <v>1</v>
      </c>
      <c r="FD229" s="5">
        <f>$FB$25*(FC229+(1-FC229)*$FB$16)</f>
        <v>252.05322714681438</v>
      </c>
      <c r="FE229" s="13">
        <f>FD229*($FB$6+ACUTE_MARGIN)</f>
        <v>254573.7594182825</v>
      </c>
      <c r="FF229" s="13">
        <f>IF(FB229=1,$FB$31,$FB$32)</f>
        <v>156636.04979437485</v>
      </c>
      <c r="FG229" s="13">
        <f>FE229-FF229</f>
        <v>97937.70962390766</v>
      </c>
      <c r="FH229" s="13">
        <f>FH228+FG229</f>
        <v>14298905.605090465</v>
      </c>
      <c r="FI229">
        <f>IF(FH229=MAX($FH$83:$FH$483),$A229,0)</f>
        <v>0</v>
      </c>
      <c r="FJ229">
        <f>IF(FE229&lt;FF229,$A229,B_MAX+1)</f>
        <v>401.0</v>
      </c>
      <c r="FK229" s="13">
        <f>IF(FB229=1,$FB$35,$FB$36)</f>
        <v>0</v>
      </c>
      <c r="FL229" s="13">
        <f>OCC_DAYS*$FB$41*R_NF_2023-FD229*MCD_SHARE_FREED*R_WAIT_2023</f>
        <v>37367.159242427646</v>
      </c>
      <c r="FM229">
        <f>IF($A229&lt;=$FB$45,1,0)</f>
        <v>1</v>
      </c>
      <c r="GB229">
        <f>IF($GB$31&lt;=$GB$32,IF($A229&lt;=$GB$7,1,2),IF($A229&lt;=RUNG_BEDS_2,2,1))</f>
        <v>1</v>
      </c>
      <c r="GC229" s="5">
        <f>MIN(1,MAX(0,$GB$26-($A229-1)))</f>
        <v>1</v>
      </c>
      <c r="GD229" s="5">
        <f>$GB$25*(GC229+(1-GC229)*$GB$16)</f>
        <v>252.05322714681438</v>
      </c>
      <c r="GE229" s="13">
        <f>GD229*($GB$6+ACUTE_MARGIN)</f>
        <v>254573.7594182825</v>
      </c>
      <c r="GF229" s="13">
        <f>IF(GB229=1,$GB$31,$GB$32)</f>
        <v>152394.16214437486</v>
      </c>
      <c r="GG229" s="13">
        <f>GE229-GF229</f>
        <v>102179.59727390765</v>
      </c>
      <c r="GH229" s="13">
        <f>GH228+GG229</f>
        <v>14918221.201990573</v>
      </c>
      <c r="GI229">
        <f>IF(GH229=MAX($GH$83:$GH$483),$A229,0)</f>
        <v>0</v>
      </c>
      <c r="GJ229">
        <f>IF(GE229&lt;GF229,$A229,B_MAX+1)</f>
        <v>401.0</v>
      </c>
      <c r="GK229" s="13">
        <f>IF(GB229=1,$GB$35,$GB$36)</f>
        <v>0</v>
      </c>
      <c r="GL229" s="13">
        <f>OCC_DAYS*$GB$41*R_NF_2023-GD229*MCD_SHARE_FREED*R_WAIT_2023</f>
        <v>37367.159242427646</v>
      </c>
      <c r="GM229">
        <f>IF($A229&lt;=$GB$45,1,0)</f>
        <v>1</v>
      </c>
      <c r="HB229">
        <f>IF($HB$31&lt;=$HB$32,IF($A229&lt;=$HB$7,1,2),IF($A229&lt;=RUNG_BEDS_2,2,1))</f>
        <v>1</v>
      </c>
      <c r="HC229" s="5">
        <f>MIN(1,MAX(0,$HB$26-($A229-1)))</f>
        <v>1</v>
      </c>
      <c r="HD229" s="5">
        <f>$HB$25*(HC229+(1-HC229)*$HB$16)</f>
        <v>252.05322714681438</v>
      </c>
      <c r="HE229" s="13">
        <f>HD229*($HB$6+ACUTE_MARGIN)</f>
        <v>254573.7594182825</v>
      </c>
      <c r="HF229" s="13">
        <f>IF(HB229=1,$HB$31,$HB$32)</f>
        <v>152456.2970814058</v>
      </c>
      <c r="HG229" s="13">
        <f>HE229-HF229</f>
        <v>102117.46233687672</v>
      </c>
      <c r="HH229" s="13">
        <f>HH228+HG229</f>
        <v>14909149.501184033</v>
      </c>
      <c r="HI229">
        <f>IF(HH229=MAX($HH$83:$HH$483),$A229,0)</f>
        <v>0</v>
      </c>
      <c r="HJ229">
        <f>IF(HE229&lt;HF229,$A229,B_MAX+1)</f>
        <v>401.0</v>
      </c>
      <c r="HK229" s="13">
        <f>IF(HB229=1,$HB$35,$HB$36)</f>
        <v>0</v>
      </c>
      <c r="HL229" s="13">
        <f>OCC_DAYS*$HB$41*R_NF_2023-HD229*MCD_SHARE_FREED*R_WAIT_2023</f>
        <v>37367.159242427646</v>
      </c>
      <c r="HM229">
        <f>IF($A229&lt;=$HB$45,1,0)</f>
        <v>1</v>
      </c>
      <c r="IB229">
        <f>IF($IB$31&lt;=$IB$32,IF($A229&lt;=$IB$7,1,2),IF($A229&lt;=RUNG_BEDS_2,2,1))</f>
        <v>1</v>
      </c>
      <c r="IC229" s="5">
        <f>MIN(1,MAX(0,$IB$26-($A229-1)))</f>
        <v>1</v>
      </c>
      <c r="ID229" s="5">
        <f>$IB$25*(IC229+(1-IC229)*$IB$16)</f>
        <v>252.05322714681438</v>
      </c>
      <c r="IE229" s="13">
        <f>ID229*($IB$6+ACUTE_MARGIN)</f>
        <v>254573.7594182825</v>
      </c>
      <c r="IF229" s="13">
        <f>IF(IB229=1,$IB$31,$IB$32)</f>
        <v>152734.9994534971</v>
      </c>
      <c r="IG229" s="13">
        <f>IE229-IF229</f>
        <v>101838.75996478542</v>
      </c>
      <c r="IH229" s="13">
        <f>IH228+IG229</f>
        <v>14868458.954858627</v>
      </c>
      <c r="II229">
        <f>IF(IH229=MAX($IH$83:$IH$483),$A229,0)</f>
        <v>0</v>
      </c>
      <c r="IJ229">
        <f>IF(IE229&lt;IF229,$A229,B_MAX+1)</f>
        <v>401.0</v>
      </c>
      <c r="IK229" s="13">
        <f>IF(IB229=1,$IB$35,$IB$36)</f>
        <v>0</v>
      </c>
      <c r="IL229" s="13">
        <f>OCC_DAYS*$IB$41*R_NF_2023-ID229*MCD_SHARE_FREED*R_WAIT_2023</f>
        <v>37367.159242427646</v>
      </c>
      <c r="IM229">
        <f>IF($A229&lt;=$IB$45,1,0)</f>
        <v>1</v>
      </c>
      <c r="JB229">
        <f>IF($JB$31&lt;=$JB$32,IF($A229&lt;=$JB$7,1,2),IF($A229&lt;=RUNG_BEDS_2,2,1))</f>
        <v>1</v>
      </c>
      <c r="JC229" s="5">
        <f>MIN(1,MAX(0,$JB$26-($A229-1)))</f>
        <v>1</v>
      </c>
      <c r="JD229" s="5">
        <f>$JB$25*(JC229+(1-JC229)*$JB$16)</f>
        <v>252.05322714681438</v>
      </c>
      <c r="JE229" s="13">
        <f>JD229*($JB$6+ACUTE_MARGIN)</f>
        <v>254573.7594182825</v>
      </c>
      <c r="JF229" s="13">
        <f>IF(JB229=1,$JB$31,$JB$32)</f>
        <v>152394.16214437486</v>
      </c>
      <c r="JG229" s="13">
        <f>JE229-JF229</f>
        <v>102179.59727390765</v>
      </c>
      <c r="JH229" s="13">
        <f>JH228+JG229</f>
        <v>14918221.201990573</v>
      </c>
      <c r="JI229">
        <f>IF(JH229=MAX($JH$83:$JH$483),$A229,0)</f>
        <v>0</v>
      </c>
      <c r="JJ229">
        <f>IF(JE229&lt;JF229,$A229,B_MAX+1)</f>
        <v>401.0</v>
      </c>
      <c r="JK229" s="13">
        <f>IF(JB229=1,$JB$35,$JB$36)</f>
        <v>0</v>
      </c>
      <c r="JL229" s="13">
        <f>OCC_DAYS*$JB$41*R_NF_2023-JD229*MCD_SHARE_FREED*R_WAIT_2023</f>
        <v>37367.159242427646</v>
      </c>
      <c r="JM229">
        <f>IF($A229&lt;=$JB$45,1,0)</f>
        <v>1</v>
      </c>
      <c r="KB229">
        <f>IF($KB$31&lt;=$KB$32,IF($A229&lt;=$KB$7,1,2),IF($A229&lt;=RUNG_BEDS_2,2,1))</f>
        <v>1</v>
      </c>
      <c r="KC229" s="5">
        <f>MIN(1,MAX(0,$KB$26-($A229-1)))</f>
        <v>1</v>
      </c>
      <c r="KD229" s="5">
        <f>$KB$25*(KC229+(1-KC229)*$KB$16)</f>
        <v>126.02661357340719</v>
      </c>
      <c r="KE229" s="13">
        <f>KD229*($KB$6+ACUTE_MARGIN)</f>
        <v>127286.87970914126</v>
      </c>
      <c r="KF229" s="13">
        <f>IF(KB229=1,$KB$31,$KB$32)</f>
        <v>152394.16214437486</v>
      </c>
      <c r="KG229" s="13">
        <f>KE229-KF229</f>
        <v>-25107.282435233603</v>
      </c>
      <c r="KH229" s="13">
        <f>KH228+KG229</f>
        <v>-3665663.2355441162</v>
      </c>
      <c r="KI229">
        <f>IF(KH229=MAX($KH$83:$KH$483),$A229,0)</f>
        <v>0</v>
      </c>
      <c r="KJ229">
        <f>IF(KE229&lt;KF229,$A229,B_MAX+1)</f>
        <v>146</v>
      </c>
      <c r="KK229" s="13">
        <f>IF(KB229=1,$KB$35,$KB$36)</f>
        <v>0</v>
      </c>
      <c r="KL229" s="13">
        <f>OCC_DAYS*$KB$41*R_NF_2023-KD229*MCD_SHARE_FREED*R_WAIT_2023</f>
        <v>94673.82103225985</v>
      </c>
      <c r="KM229">
        <f>IF($A229&lt;=$KB$45,1,0)</f>
        <v>0</v>
      </c>
      <c r="LB229">
        <f>IF($LB$31&lt;=$LB$32,IF($A229&lt;=$LB$7,1,2),IF($A229&lt;=RUNG_BEDS_2,2,1))</f>
        <v>1</v>
      </c>
      <c r="LC229" s="5">
        <f>MIN(1,MAX(0,$LB$26-($A229-1)))</f>
        <v>1</v>
      </c>
      <c r="LD229" s="5">
        <f>$LB$25*(LC229+(1-LC229)*$LB$16)</f>
        <v>84.01774238227146</v>
      </c>
      <c r="LE229" s="13">
        <f>LD229*($LB$6+ACUTE_MARGIN)</f>
        <v>84857.91980609419</v>
      </c>
      <c r="LF229" s="13">
        <f>IF(LB229=1,$LB$31,$LB$32)</f>
        <v>152394.16214437486</v>
      </c>
      <c r="LG229" s="13">
        <f>LE229-LF229</f>
        <v>-67536.24233828067</v>
      </c>
      <c r="LH229" s="13">
        <f>LH228+LG229</f>
        <v>-9860291.381389014</v>
      </c>
      <c r="LI229">
        <f>IF(LH229=MAX($LH$83:$LH$483),$A229,0)</f>
        <v>0</v>
      </c>
      <c r="LJ229">
        <f>IF(LE229&lt;LF229,$A229,B_MAX+1)</f>
        <v>146</v>
      </c>
      <c r="LK229" s="13">
        <f>IF(LB229=1,$LB$35,$LB$36)</f>
        <v>0</v>
      </c>
      <c r="LL229" s="13">
        <f>OCC_DAYS*$LB$41*R_NF_2023-LD229*MCD_SHARE_FREED*R_WAIT_2023</f>
        <v>113776.04162887059</v>
      </c>
      <c r="LM229">
        <f>IF($A229&lt;=$LB$45,1,0)</f>
        <v>0</v>
      </c>
      <c r="MB229">
        <f>IF($MB$31&lt;=$MB$32,IF($A229&lt;=$MB$7,1,2),IF($A229&lt;=RUNG_BEDS_2,2,1))</f>
        <v>1</v>
      </c>
      <c r="MC229" s="5">
        <f>MIN(1,MAX(0,$MB$26-($A229-1)))</f>
        <v>1</v>
      </c>
      <c r="MD229" s="5">
        <f>$MB$25*(MC229+(1-MC229)*$MB$16)</f>
        <v>213.44610951008647</v>
      </c>
      <c r="ME229" s="13">
        <f>MD229*($MB$6+ACUTE_MARGIN)</f>
        <v>215580.57060518733</v>
      </c>
      <c r="MF229" s="13">
        <f>IF(MB229=1,$MB$31,$MB$32)</f>
        <v>152394.16214437486</v>
      </c>
      <c r="MG229" s="13">
        <f>ME229-MF229</f>
        <v>63186.40846081247</v>
      </c>
      <c r="MH229" s="13">
        <f>MH228+MG229</f>
        <v>9225215.635278638</v>
      </c>
      <c r="MI229">
        <f>IF(MH229=MAX($MH$83:$MH$483),$A229,0)</f>
        <v>0</v>
      </c>
      <c r="MJ229">
        <f>IF(ME229&lt;MF229,$A229,B_MAX+1)</f>
        <v>401.0</v>
      </c>
      <c r="MK229" s="13">
        <f>IF(MB229=1,$MB$35,$MB$36)</f>
        <v>0</v>
      </c>
      <c r="ML229" s="13">
        <f>OCC_DAYS*$MB$41*R_NF_2023-MD229*MCD_SHARE_FREED*R_WAIT_2023</f>
        <v>54922.538779778624</v>
      </c>
      <c r="MM229">
        <f>IF($A229&lt;=$MB$45,1,0)</f>
        <v>1</v>
      </c>
      <c r="NB229">
        <f>IF($NB$31&lt;=$NB$32,IF($A229&lt;=$NB$7,1,2),IF($A229&lt;=RUNG_BEDS_2,2,1))</f>
        <v>1</v>
      </c>
      <c r="NC229" s="5">
        <f>MIN(1,MAX(0,$NB$26-($A229-1)))</f>
        <v>1</v>
      </c>
      <c r="ND229" s="5">
        <f>$NB$25*(NC229+(1-NC229)*$NB$16)</f>
        <v>252.05322714681438</v>
      </c>
      <c r="NE229" s="13">
        <f>ND229*($NB$6+ACUTE_MARGIN)</f>
        <v>254573.7594182825</v>
      </c>
      <c r="NF229" s="13">
        <f>IF(NB229=1,$NB$31,$NB$32)</f>
        <v>152394.16214437486</v>
      </c>
      <c r="NG229" s="13">
        <f>NE229-NF229</f>
        <v>102179.59727390765</v>
      </c>
      <c r="NH229" s="13">
        <f>NH228+NG229</f>
        <v>14918221.201990573</v>
      </c>
      <c r="NI229">
        <f>IF(NH229=MAX($NH$83:$NH$483),$A229,0)</f>
        <v>0</v>
      </c>
      <c r="NJ229">
        <f>IF(NE229&lt;NF229,$A229,B_MAX+1)</f>
        <v>401.0</v>
      </c>
      <c r="NK229" s="13">
        <f>IF(NB229=1,$NB$35,$NB$36)</f>
        <v>0</v>
      </c>
      <c r="NL229" s="13">
        <f>OCC_DAYS*$NB$41*R_NF_2023-ND229*MCD_SHARE_FREED*R_WAIT_2023</f>
        <v>37367.159242427646</v>
      </c>
      <c r="NM229">
        <f>IF($A229&lt;=$NB$45,1,0)</f>
        <v>1</v>
      </c>
      <c r="OB229">
        <f>IF($OB$31&lt;=$OB$32,IF($A229&lt;=$OB$7,1,2),IF($A229&lt;=RUNG_BEDS_2,2,1))</f>
        <v>1</v>
      </c>
      <c r="OC229" s="5">
        <f>MIN(1,MAX(0,$OB$26-($A229-1)))</f>
        <v>1</v>
      </c>
      <c r="OD229" s="5">
        <f>$OB$25*(OC229+(1-OC229)*$OB$16)</f>
        <v>252.05322714681438</v>
      </c>
      <c r="OE229" s="13">
        <f>OD229*($OB$6+ACUTE_MARGIN)</f>
        <v>254573.7594182825</v>
      </c>
      <c r="OF229" s="13">
        <f>IF(OB229=1,$OB$31,$OB$32)</f>
        <v>152394.16214437486</v>
      </c>
      <c r="OG229" s="13">
        <f>OE229-OF229</f>
        <v>102179.59727390765</v>
      </c>
      <c r="OH229" s="13">
        <f>OH228+OG229</f>
        <v>14918221.201990573</v>
      </c>
      <c r="OI229">
        <f>IF(OH229=MAX($OH$83:$OH$483),$A229,0)</f>
        <v>0</v>
      </c>
      <c r="OJ229">
        <f>IF(OE229&lt;OF229,$A229,B_MAX+1)</f>
        <v>401.0</v>
      </c>
      <c r="OK229" s="13">
        <f>IF(OB229=1,$OB$35,$OB$36)</f>
        <v>0</v>
      </c>
      <c r="OL229" s="13">
        <f>OCC_DAYS*$OB$41*R_NF_2023-OD229*MCD_SHARE_FREED*R_WAIT_2023</f>
        <v>37367.159242427646</v>
      </c>
      <c r="OM229">
        <f>IF($A229&lt;=$OB$45,1,0)</f>
        <v>1</v>
      </c>
    </row>
    <row r="230">
      <c r="A230" t="n">
        <v>147</v>
      </c>
      <c r="B230">
        <f>IF($B$31&lt;=$B$32,IF($A230&lt;=$B$7,1,2),IF($A230&lt;=RUNG_BEDS_2,2,1))</f>
        <v>1</v>
      </c>
      <c r="C230" s="5">
        <f>MIN(1,MAX(0,$B$26-($A230-1)))</f>
        <v>1</v>
      </c>
      <c r="D230" s="5">
        <f>$B$25*(C230+(1-C230)*$B$16)</f>
        <v>252.05322714681438</v>
      </c>
      <c r="E230" s="13">
        <f>D230*($B$6+ACUTE_MARGIN)</f>
        <v>254573.7594182825</v>
      </c>
      <c r="F230" s="13">
        <f>IF(B230=1,$B$31,$B$32)</f>
        <v>152394.16214437486</v>
      </c>
      <c r="G230" s="13">
        <f>E230-F230</f>
        <v>102179.59727390765</v>
      </c>
      <c r="H230" s="13">
        <f>H229+G230</f>
        <v>15020400.799264481</v>
      </c>
      <c r="I230">
        <f>IF(H230=MAX($H$83:$H$483),$A230,0)</f>
        <v>0</v>
      </c>
      <c r="J230">
        <f>IF(E230&lt;F230,$A230,B_MAX+1)</f>
        <v>401.0</v>
      </c>
      <c r="K230" s="13">
        <f>IF(B230=1,$B$35,$B$36)</f>
        <v>0</v>
      </c>
      <c r="L230" s="13">
        <f>OCC_DAYS*$B$41*R_NF_2023-D230*MCD_SHARE_FREED*R_WAIT_2023</f>
        <v>37367.159242427646</v>
      </c>
      <c r="M230">
        <f>IF($A230&lt;=$B$45,1,0)</f>
        <v>1</v>
      </c>
      <c r="AB230">
        <f>IF($AB$31&lt;=$AB$32,IF($A230&lt;=$AB$7,1,2),IF($A230&lt;=RUNG_BEDS_2,2,1))</f>
        <v>1</v>
      </c>
      <c r="AC230" s="5">
        <f>MIN(1,MAX(0,$AB$26-($A230-1)))</f>
        <v>1</v>
      </c>
      <c r="AD230" s="5">
        <f>$AB$25*(AC230+(1-AC230)*$AB$16)</f>
        <v>252.05322714681438</v>
      </c>
      <c r="AE230" s="13">
        <f>AD230*($AB$6+ACUTE_MARGIN)</f>
        <v>138629.2749307479</v>
      </c>
      <c r="AF230" s="13">
        <f>IF(AB230=1,$AB$31,$AB$32)</f>
        <v>152394.16214437486</v>
      </c>
      <c r="AG230" s="13">
        <f>AE230-AF230</f>
        <v>-13764.887213626964</v>
      </c>
      <c r="AH230" s="13">
        <f>AH229+AG230</f>
        <v>-2023438.4204031592</v>
      </c>
      <c r="AI230">
        <f>IF(AH230=MAX($AH$83:$AH$483),$A230,0)</f>
        <v>0</v>
      </c>
      <c r="AJ230">
        <f>IF(AE230&lt;AF230,$A230,B_MAX+1)</f>
        <v>147</v>
      </c>
      <c r="AK230" s="13">
        <f>IF(AB230=1,$AB$35,$AB$36)</f>
        <v>0</v>
      </c>
      <c r="AL230" s="13">
        <f>OCC_DAYS*$AB$41*R_NF_2023-AD230*MCD_SHARE_FREED*R_WAIT_2023</f>
        <v>37367.159242427646</v>
      </c>
      <c r="AM230">
        <f>IF($A230&lt;=$AB$45,1,0)</f>
        <v>0</v>
      </c>
      <c r="BB230">
        <f>IF($BB$31&lt;=$BB$32,IF($A230&lt;=$BB$7,1,2),IF($A230&lt;=RUNG_BEDS_2,2,1))</f>
        <v>1</v>
      </c>
      <c r="BC230" s="5">
        <f>MIN(1,MAX(0,$BB$26-($A230-1)))</f>
        <v>1</v>
      </c>
      <c r="BD230" s="5">
        <f>$BB$25*(BC230+(1-BC230)*$BB$16)</f>
        <v>252.05322714681438</v>
      </c>
      <c r="BE230" s="13">
        <f>BD230*($BB$6+ACUTE_MARGIN)</f>
        <v>370518.24390581716</v>
      </c>
      <c r="BF230" s="13">
        <f>IF(BB230=1,$BB$31,$BB$32)</f>
        <v>152394.16214437486</v>
      </c>
      <c r="BG230" s="13">
        <f>BE230-BF230</f>
        <v>218124.0817614423</v>
      </c>
      <c r="BH230" s="13">
        <f>BH229+BG230</f>
        <v>32064240.018931996</v>
      </c>
      <c r="BI230">
        <f>IF(BH230=MAX($BH$83:$BH$483),$A230,0)</f>
        <v>0</v>
      </c>
      <c r="BJ230">
        <f>IF(BE230&lt;BF230,$A230,B_MAX+1)</f>
        <v>401.0</v>
      </c>
      <c r="BK230" s="13">
        <f>IF(BB230=1,$BB$35,$BB$36)</f>
        <v>0</v>
      </c>
      <c r="BL230" s="13">
        <f>OCC_DAYS*$BB$41*R_NF_2023-BD230*MCD_SHARE_FREED*R_WAIT_2023</f>
        <v>37367.159242427646</v>
      </c>
      <c r="BM230">
        <f>IF($A230&lt;=$BB$45,1,0)</f>
        <v>1</v>
      </c>
      <c r="CB230">
        <f>IF($CB$31&lt;=$CB$32,IF($A230&lt;=$CB$7,1,2),IF($A230&lt;=RUNG_BEDS_2,2,1))</f>
        <v>2</v>
      </c>
      <c r="CC230" s="5">
        <f>MIN(1,MAX(0,$CB$26-($A230-1)))</f>
        <v>1</v>
      </c>
      <c r="CD230" s="5">
        <f>$CB$25*(CC230+(1-CC230)*$CB$16)</f>
        <v>252.05322714681438</v>
      </c>
      <c r="CE230" s="13">
        <f>CD230*($CB$6+ACUTE_MARGIN)</f>
        <v>254573.7594182825</v>
      </c>
      <c r="CF230" s="13">
        <f>IF(CB230=1,$CB$31,$CB$32)</f>
        <v>160718.36940738867</v>
      </c>
      <c r="CG230" s="13">
        <f>CE230-CF230</f>
        <v>93855.39001089384</v>
      </c>
      <c r="CH230" s="13">
        <f>CH229+CG230</f>
        <v>13796742.331601385</v>
      </c>
      <c r="CI230">
        <f>IF(CH230=MAX($CH$83:$CH$483),$A230,0)</f>
        <v>0</v>
      </c>
      <c r="CJ230">
        <f>IF(CE230&lt;CF230,$A230,B_MAX+1)</f>
        <v>401.0</v>
      </c>
      <c r="CK230" s="13">
        <f>IF(CB230=1,$CB$35,$CB$36)</f>
        <v>1560.1194073886782</v>
      </c>
      <c r="CL230" s="13">
        <f>OCC_DAYS*$CB$41*R_NF_2023-CD230*MCD_SHARE_FREED*R_WAIT_2023</f>
        <v>37367.159242427646</v>
      </c>
      <c r="CM230">
        <f>IF($A230&lt;=$CB$45,1,0)</f>
        <v>1</v>
      </c>
      <c r="DB230">
        <f>IF($DB$31&lt;=$DB$32,IF($A230&lt;=$DB$7,1,2),IF($A230&lt;=RUNG_BEDS_2,2,1))</f>
        <v>1</v>
      </c>
      <c r="DC230" s="5">
        <f>MIN(1,MAX(0,$DB$26-($A230-1)))</f>
        <v>1</v>
      </c>
      <c r="DD230" s="5">
        <f>$DB$25*(DC230+(1-DC230)*$DB$16)</f>
        <v>252.05322714681438</v>
      </c>
      <c r="DE230" s="13">
        <f>DD230*($DB$6+ACUTE_MARGIN)</f>
        <v>254573.7594182825</v>
      </c>
      <c r="DF230" s="13">
        <f>IF(DB230=1,$DB$31,$DB$32)</f>
        <v>152394.16214437486</v>
      </c>
      <c r="DG230" s="13">
        <f>DE230-DF230</f>
        <v>102179.59727390765</v>
      </c>
      <c r="DH230" s="13">
        <f>DH229+DG230</f>
        <v>15020400.799264481</v>
      </c>
      <c r="DI230">
        <f>IF(DH230=MAX($DH$83:$DH$483),$A230,0)</f>
        <v>0</v>
      </c>
      <c r="DJ230">
        <f>IF(DE230&lt;DF230,$A230,B_MAX+1)</f>
        <v>401.0</v>
      </c>
      <c r="DK230" s="13">
        <f>IF(DB230=1,$DB$35,$DB$36)</f>
        <v>0</v>
      </c>
      <c r="DL230" s="13">
        <f>OCC_DAYS*$DB$41*R_NF_2023-DD230*MCD_SHARE_FREED*R_WAIT_2023</f>
        <v>37367.159242427646</v>
      </c>
      <c r="DM230">
        <f>IF($A230&lt;=$DB$45,1,0)</f>
        <v>1</v>
      </c>
      <c r="EB230">
        <f>IF($EB$31&lt;=$EB$32,IF($A230&lt;=$EB$7,1,2),IF($A230&lt;=RUNG_BEDS_2,2,1))</f>
        <v>1</v>
      </c>
      <c r="EC230" s="5">
        <f>MIN(1,MAX(0,$EB$26-($A230-1)))</f>
        <v>1</v>
      </c>
      <c r="ED230" s="5">
        <f>$EB$25*(EC230+(1-EC230)*$EB$16)</f>
        <v>252.05322714681438</v>
      </c>
      <c r="EE230" s="13">
        <f>ED230*($EB$6+ACUTE_MARGIN)</f>
        <v>254573.7594182825</v>
      </c>
      <c r="EF230" s="13">
        <f>IF(EB230=1,$EB$31,$EB$32)</f>
        <v>152394.16214437486</v>
      </c>
      <c r="EG230" s="13">
        <f>EE230-EF230</f>
        <v>102179.59727390765</v>
      </c>
      <c r="EH230" s="13">
        <f>EH229+EG230</f>
        <v>15020400.799264481</v>
      </c>
      <c r="EI230">
        <f>IF(EH230=MAX($EH$83:$EH$483),$A230,0)</f>
        <v>0</v>
      </c>
      <c r="EJ230">
        <f>IF(EE230&lt;EF230,$A230,B_MAX+1)</f>
        <v>401.0</v>
      </c>
      <c r="EK230" s="13">
        <f>IF(EB230=1,$EB$35,$EB$36)</f>
        <v>0</v>
      </c>
      <c r="EL230" s="13">
        <f>OCC_DAYS*$EB$41*R_NF_2023-ED230*MCD_SHARE_FREED*R_WAIT_2023</f>
        <v>-63953.16263896705</v>
      </c>
      <c r="EM230">
        <f>IF($A230&lt;=$EB$45,1,0)</f>
        <v>1</v>
      </c>
      <c r="FB230">
        <f>IF($FB$31&lt;=$FB$32,IF($A230&lt;=$FB$7,1,2),IF($A230&lt;=RUNG_BEDS_2,2,1))</f>
        <v>1</v>
      </c>
      <c r="FC230" s="5">
        <f>MIN(1,MAX(0,$FB$26-($A230-1)))</f>
        <v>1</v>
      </c>
      <c r="FD230" s="5">
        <f>$FB$25*(FC230+(1-FC230)*$FB$16)</f>
        <v>252.05322714681438</v>
      </c>
      <c r="FE230" s="13">
        <f>FD230*($FB$6+ACUTE_MARGIN)</f>
        <v>254573.7594182825</v>
      </c>
      <c r="FF230" s="13">
        <f>IF(FB230=1,$FB$31,$FB$32)</f>
        <v>156636.04979437485</v>
      </c>
      <c r="FG230" s="13">
        <f>FE230-FF230</f>
        <v>97937.70962390766</v>
      </c>
      <c r="FH230" s="13">
        <f>FH229+FG230</f>
        <v>14396843.314714372</v>
      </c>
      <c r="FI230">
        <f>IF(FH230=MAX($FH$83:$FH$483),$A230,0)</f>
        <v>0</v>
      </c>
      <c r="FJ230">
        <f>IF(FE230&lt;FF230,$A230,B_MAX+1)</f>
        <v>401.0</v>
      </c>
      <c r="FK230" s="13">
        <f>IF(FB230=1,$FB$35,$FB$36)</f>
        <v>0</v>
      </c>
      <c r="FL230" s="13">
        <f>OCC_DAYS*$FB$41*R_NF_2023-FD230*MCD_SHARE_FREED*R_WAIT_2023</f>
        <v>37367.159242427646</v>
      </c>
      <c r="FM230">
        <f>IF($A230&lt;=$FB$45,1,0)</f>
        <v>1</v>
      </c>
      <c r="GB230">
        <f>IF($GB$31&lt;=$GB$32,IF($A230&lt;=$GB$7,1,2),IF($A230&lt;=RUNG_BEDS_2,2,1))</f>
        <v>1</v>
      </c>
      <c r="GC230" s="5">
        <f>MIN(1,MAX(0,$GB$26-($A230-1)))</f>
        <v>1</v>
      </c>
      <c r="GD230" s="5">
        <f>$GB$25*(GC230+(1-GC230)*$GB$16)</f>
        <v>252.05322714681438</v>
      </c>
      <c r="GE230" s="13">
        <f>GD230*($GB$6+ACUTE_MARGIN)</f>
        <v>254573.7594182825</v>
      </c>
      <c r="GF230" s="13">
        <f>IF(GB230=1,$GB$31,$GB$32)</f>
        <v>152394.16214437486</v>
      </c>
      <c r="GG230" s="13">
        <f>GE230-GF230</f>
        <v>102179.59727390765</v>
      </c>
      <c r="GH230" s="13">
        <f>GH229+GG230</f>
        <v>15020400.799264481</v>
      </c>
      <c r="GI230">
        <f>IF(GH230=MAX($GH$83:$GH$483),$A230,0)</f>
        <v>0</v>
      </c>
      <c r="GJ230">
        <f>IF(GE230&lt;GF230,$A230,B_MAX+1)</f>
        <v>401.0</v>
      </c>
      <c r="GK230" s="13">
        <f>IF(GB230=1,$GB$35,$GB$36)</f>
        <v>0</v>
      </c>
      <c r="GL230" s="13">
        <f>OCC_DAYS*$GB$41*R_NF_2023-GD230*MCD_SHARE_FREED*R_WAIT_2023</f>
        <v>37367.159242427646</v>
      </c>
      <c r="GM230">
        <f>IF($A230&lt;=$GB$45,1,0)</f>
        <v>1</v>
      </c>
      <c r="HB230">
        <f>IF($HB$31&lt;=$HB$32,IF($A230&lt;=$HB$7,1,2),IF($A230&lt;=RUNG_BEDS_2,2,1))</f>
        <v>1</v>
      </c>
      <c r="HC230" s="5">
        <f>MIN(1,MAX(0,$HB$26-($A230-1)))</f>
        <v>1</v>
      </c>
      <c r="HD230" s="5">
        <f>$HB$25*(HC230+(1-HC230)*$HB$16)</f>
        <v>252.05322714681438</v>
      </c>
      <c r="HE230" s="13">
        <f>HD230*($HB$6+ACUTE_MARGIN)</f>
        <v>254573.7594182825</v>
      </c>
      <c r="HF230" s="13">
        <f>IF(HB230=1,$HB$31,$HB$32)</f>
        <v>152456.2970814058</v>
      </c>
      <c r="HG230" s="13">
        <f>HE230-HF230</f>
        <v>102117.46233687672</v>
      </c>
      <c r="HH230" s="13">
        <f>HH229+HG230</f>
        <v>15011266.96352091</v>
      </c>
      <c r="HI230">
        <f>IF(HH230=MAX($HH$83:$HH$483),$A230,0)</f>
        <v>0</v>
      </c>
      <c r="HJ230">
        <f>IF(HE230&lt;HF230,$A230,B_MAX+1)</f>
        <v>401.0</v>
      </c>
      <c r="HK230" s="13">
        <f>IF(HB230=1,$HB$35,$HB$36)</f>
        <v>0</v>
      </c>
      <c r="HL230" s="13">
        <f>OCC_DAYS*$HB$41*R_NF_2023-HD230*MCD_SHARE_FREED*R_WAIT_2023</f>
        <v>37367.159242427646</v>
      </c>
      <c r="HM230">
        <f>IF($A230&lt;=$HB$45,1,0)</f>
        <v>1</v>
      </c>
      <c r="IB230">
        <f>IF($IB$31&lt;=$IB$32,IF($A230&lt;=$IB$7,1,2),IF($A230&lt;=RUNG_BEDS_2,2,1))</f>
        <v>1</v>
      </c>
      <c r="IC230" s="5">
        <f>MIN(1,MAX(0,$IB$26-($A230-1)))</f>
        <v>1</v>
      </c>
      <c r="ID230" s="5">
        <f>$IB$25*(IC230+(1-IC230)*$IB$16)</f>
        <v>252.05322714681438</v>
      </c>
      <c r="IE230" s="13">
        <f>ID230*($IB$6+ACUTE_MARGIN)</f>
        <v>254573.7594182825</v>
      </c>
      <c r="IF230" s="13">
        <f>IF(IB230=1,$IB$31,$IB$32)</f>
        <v>152734.9994534971</v>
      </c>
      <c r="IG230" s="13">
        <f>IE230-IF230</f>
        <v>101838.75996478542</v>
      </c>
      <c r="IH230" s="13">
        <f>IH229+IG230</f>
        <v>14970297.714823412</v>
      </c>
      <c r="II230">
        <f>IF(IH230=MAX($IH$83:$IH$483),$A230,0)</f>
        <v>0</v>
      </c>
      <c r="IJ230">
        <f>IF(IE230&lt;IF230,$A230,B_MAX+1)</f>
        <v>401.0</v>
      </c>
      <c r="IK230" s="13">
        <f>IF(IB230=1,$IB$35,$IB$36)</f>
        <v>0</v>
      </c>
      <c r="IL230" s="13">
        <f>OCC_DAYS*$IB$41*R_NF_2023-ID230*MCD_SHARE_FREED*R_WAIT_2023</f>
        <v>37367.159242427646</v>
      </c>
      <c r="IM230">
        <f>IF($A230&lt;=$IB$45,1,0)</f>
        <v>1</v>
      </c>
      <c r="JB230">
        <f>IF($JB$31&lt;=$JB$32,IF($A230&lt;=$JB$7,1,2),IF($A230&lt;=RUNG_BEDS_2,2,1))</f>
        <v>1</v>
      </c>
      <c r="JC230" s="5">
        <f>MIN(1,MAX(0,$JB$26-($A230-1)))</f>
        <v>1</v>
      </c>
      <c r="JD230" s="5">
        <f>$JB$25*(JC230+(1-JC230)*$JB$16)</f>
        <v>252.05322714681438</v>
      </c>
      <c r="JE230" s="13">
        <f>JD230*($JB$6+ACUTE_MARGIN)</f>
        <v>254573.7594182825</v>
      </c>
      <c r="JF230" s="13">
        <f>IF(JB230=1,$JB$31,$JB$32)</f>
        <v>152394.16214437486</v>
      </c>
      <c r="JG230" s="13">
        <f>JE230-JF230</f>
        <v>102179.59727390765</v>
      </c>
      <c r="JH230" s="13">
        <f>JH229+JG230</f>
        <v>15020400.799264481</v>
      </c>
      <c r="JI230">
        <f>IF(JH230=MAX($JH$83:$JH$483),$A230,0)</f>
        <v>0</v>
      </c>
      <c r="JJ230">
        <f>IF(JE230&lt;JF230,$A230,B_MAX+1)</f>
        <v>401.0</v>
      </c>
      <c r="JK230" s="13">
        <f>IF(JB230=1,$JB$35,$JB$36)</f>
        <v>0</v>
      </c>
      <c r="JL230" s="13">
        <f>OCC_DAYS*$JB$41*R_NF_2023-JD230*MCD_SHARE_FREED*R_WAIT_2023</f>
        <v>37367.159242427646</v>
      </c>
      <c r="JM230">
        <f>IF($A230&lt;=$JB$45,1,0)</f>
        <v>1</v>
      </c>
      <c r="KB230">
        <f>IF($KB$31&lt;=$KB$32,IF($A230&lt;=$KB$7,1,2),IF($A230&lt;=RUNG_BEDS_2,2,1))</f>
        <v>1</v>
      </c>
      <c r="KC230" s="5">
        <f>MIN(1,MAX(0,$KB$26-($A230-1)))</f>
        <v>1</v>
      </c>
      <c r="KD230" s="5">
        <f>$KB$25*(KC230+(1-KC230)*$KB$16)</f>
        <v>126.02661357340719</v>
      </c>
      <c r="KE230" s="13">
        <f>KD230*($KB$6+ACUTE_MARGIN)</f>
        <v>127286.87970914126</v>
      </c>
      <c r="KF230" s="13">
        <f>IF(KB230=1,$KB$31,$KB$32)</f>
        <v>152394.16214437486</v>
      </c>
      <c r="KG230" s="13">
        <f>KE230-KF230</f>
        <v>-25107.282435233603</v>
      </c>
      <c r="KH230" s="13">
        <f>KH229+KG230</f>
        <v>-3690770.51797935</v>
      </c>
      <c r="KI230">
        <f>IF(KH230=MAX($KH$83:$KH$483),$A230,0)</f>
        <v>0</v>
      </c>
      <c r="KJ230">
        <f>IF(KE230&lt;KF230,$A230,B_MAX+1)</f>
        <v>147</v>
      </c>
      <c r="KK230" s="13">
        <f>IF(KB230=1,$KB$35,$KB$36)</f>
        <v>0</v>
      </c>
      <c r="KL230" s="13">
        <f>OCC_DAYS*$KB$41*R_NF_2023-KD230*MCD_SHARE_FREED*R_WAIT_2023</f>
        <v>94673.82103225985</v>
      </c>
      <c r="KM230">
        <f>IF($A230&lt;=$KB$45,1,0)</f>
        <v>0</v>
      </c>
      <c r="LB230">
        <f>IF($LB$31&lt;=$LB$32,IF($A230&lt;=$LB$7,1,2),IF($A230&lt;=RUNG_BEDS_2,2,1))</f>
        <v>1</v>
      </c>
      <c r="LC230" s="5">
        <f>MIN(1,MAX(0,$LB$26-($A230-1)))</f>
        <v>1</v>
      </c>
      <c r="LD230" s="5">
        <f>$LB$25*(LC230+(1-LC230)*$LB$16)</f>
        <v>84.01774238227146</v>
      </c>
      <c r="LE230" s="13">
        <f>LD230*($LB$6+ACUTE_MARGIN)</f>
        <v>84857.91980609419</v>
      </c>
      <c r="LF230" s="13">
        <f>IF(LB230=1,$LB$31,$LB$32)</f>
        <v>152394.16214437486</v>
      </c>
      <c r="LG230" s="13">
        <f>LE230-LF230</f>
        <v>-67536.24233828067</v>
      </c>
      <c r="LH230" s="13">
        <f>LH229+LG230</f>
        <v>-9927827.623727296</v>
      </c>
      <c r="LI230">
        <f>IF(LH230=MAX($LH$83:$LH$483),$A230,0)</f>
        <v>0</v>
      </c>
      <c r="LJ230">
        <f>IF(LE230&lt;LF230,$A230,B_MAX+1)</f>
        <v>147</v>
      </c>
      <c r="LK230" s="13">
        <f>IF(LB230=1,$LB$35,$LB$36)</f>
        <v>0</v>
      </c>
      <c r="LL230" s="13">
        <f>OCC_DAYS*$LB$41*R_NF_2023-LD230*MCD_SHARE_FREED*R_WAIT_2023</f>
        <v>113776.04162887059</v>
      </c>
      <c r="LM230">
        <f>IF($A230&lt;=$LB$45,1,0)</f>
        <v>0</v>
      </c>
      <c r="MB230">
        <f>IF($MB$31&lt;=$MB$32,IF($A230&lt;=$MB$7,1,2),IF($A230&lt;=RUNG_BEDS_2,2,1))</f>
        <v>1</v>
      </c>
      <c r="MC230" s="5">
        <f>MIN(1,MAX(0,$MB$26-($A230-1)))</f>
        <v>1</v>
      </c>
      <c r="MD230" s="5">
        <f>$MB$25*(MC230+(1-MC230)*$MB$16)</f>
        <v>213.44610951008647</v>
      </c>
      <c r="ME230" s="13">
        <f>MD230*($MB$6+ACUTE_MARGIN)</f>
        <v>215580.57060518733</v>
      </c>
      <c r="MF230" s="13">
        <f>IF(MB230=1,$MB$31,$MB$32)</f>
        <v>152394.16214437486</v>
      </c>
      <c r="MG230" s="13">
        <f>ME230-MF230</f>
        <v>63186.40846081247</v>
      </c>
      <c r="MH230" s="13">
        <f>MH229+MG230</f>
        <v>9288402.043739451</v>
      </c>
      <c r="MI230">
        <f>IF(MH230=MAX($MH$83:$MH$483),$A230,0)</f>
        <v>0</v>
      </c>
      <c r="MJ230">
        <f>IF(ME230&lt;MF230,$A230,B_MAX+1)</f>
        <v>401.0</v>
      </c>
      <c r="MK230" s="13">
        <f>IF(MB230=1,$MB$35,$MB$36)</f>
        <v>0</v>
      </c>
      <c r="ML230" s="13">
        <f>OCC_DAYS*$MB$41*R_NF_2023-MD230*MCD_SHARE_FREED*R_WAIT_2023</f>
        <v>54922.538779778624</v>
      </c>
      <c r="MM230">
        <f>IF($A230&lt;=$MB$45,1,0)</f>
        <v>1</v>
      </c>
      <c r="NB230">
        <f>IF($NB$31&lt;=$NB$32,IF($A230&lt;=$NB$7,1,2),IF($A230&lt;=RUNG_BEDS_2,2,1))</f>
        <v>1</v>
      </c>
      <c r="NC230" s="5">
        <f>MIN(1,MAX(0,$NB$26-($A230-1)))</f>
        <v>1</v>
      </c>
      <c r="ND230" s="5">
        <f>$NB$25*(NC230+(1-NC230)*$NB$16)</f>
        <v>252.05322714681438</v>
      </c>
      <c r="NE230" s="13">
        <f>ND230*($NB$6+ACUTE_MARGIN)</f>
        <v>254573.7594182825</v>
      </c>
      <c r="NF230" s="13">
        <f>IF(NB230=1,$NB$31,$NB$32)</f>
        <v>152394.16214437486</v>
      </c>
      <c r="NG230" s="13">
        <f>NE230-NF230</f>
        <v>102179.59727390765</v>
      </c>
      <c r="NH230" s="13">
        <f>NH229+NG230</f>
        <v>15020400.799264481</v>
      </c>
      <c r="NI230">
        <f>IF(NH230=MAX($NH$83:$NH$483),$A230,0)</f>
        <v>0</v>
      </c>
      <c r="NJ230">
        <f>IF(NE230&lt;NF230,$A230,B_MAX+1)</f>
        <v>401.0</v>
      </c>
      <c r="NK230" s="13">
        <f>IF(NB230=1,$NB$35,$NB$36)</f>
        <v>0</v>
      </c>
      <c r="NL230" s="13">
        <f>OCC_DAYS*$NB$41*R_NF_2023-ND230*MCD_SHARE_FREED*R_WAIT_2023</f>
        <v>37367.159242427646</v>
      </c>
      <c r="NM230">
        <f>IF($A230&lt;=$NB$45,1,0)</f>
        <v>1</v>
      </c>
      <c r="OB230">
        <f>IF($OB$31&lt;=$OB$32,IF($A230&lt;=$OB$7,1,2),IF($A230&lt;=RUNG_BEDS_2,2,1))</f>
        <v>1</v>
      </c>
      <c r="OC230" s="5">
        <f>MIN(1,MAX(0,$OB$26-($A230-1)))</f>
        <v>1</v>
      </c>
      <c r="OD230" s="5">
        <f>$OB$25*(OC230+(1-OC230)*$OB$16)</f>
        <v>252.05322714681438</v>
      </c>
      <c r="OE230" s="13">
        <f>OD230*($OB$6+ACUTE_MARGIN)</f>
        <v>254573.7594182825</v>
      </c>
      <c r="OF230" s="13">
        <f>IF(OB230=1,$OB$31,$OB$32)</f>
        <v>152394.16214437486</v>
      </c>
      <c r="OG230" s="13">
        <f>OE230-OF230</f>
        <v>102179.59727390765</v>
      </c>
      <c r="OH230" s="13">
        <f>OH229+OG230</f>
        <v>15020400.799264481</v>
      </c>
      <c r="OI230">
        <f>IF(OH230=MAX($OH$83:$OH$483),$A230,0)</f>
        <v>0</v>
      </c>
      <c r="OJ230">
        <f>IF(OE230&lt;OF230,$A230,B_MAX+1)</f>
        <v>401.0</v>
      </c>
      <c r="OK230" s="13">
        <f>IF(OB230=1,$OB$35,$OB$36)</f>
        <v>0</v>
      </c>
      <c r="OL230" s="13">
        <f>OCC_DAYS*$OB$41*R_NF_2023-OD230*MCD_SHARE_FREED*R_WAIT_2023</f>
        <v>37367.159242427646</v>
      </c>
      <c r="OM230">
        <f>IF($A230&lt;=$OB$45,1,0)</f>
        <v>1</v>
      </c>
    </row>
    <row r="231">
      <c r="A231" t="n">
        <v>148</v>
      </c>
      <c r="B231">
        <f>IF($B$31&lt;=$B$32,IF($A231&lt;=$B$7,1,2),IF($A231&lt;=RUNG_BEDS_2,2,1))</f>
        <v>1</v>
      </c>
      <c r="C231" s="5">
        <f>MIN(1,MAX(0,$B$26-($A231-1)))</f>
        <v>1</v>
      </c>
      <c r="D231" s="5">
        <f>$B$25*(C231+(1-C231)*$B$16)</f>
        <v>252.05322714681438</v>
      </c>
      <c r="E231" s="13">
        <f>D231*($B$6+ACUTE_MARGIN)</f>
        <v>254573.7594182825</v>
      </c>
      <c r="F231" s="13">
        <f>IF(B231=1,$B$31,$B$32)</f>
        <v>152394.16214437486</v>
      </c>
      <c r="G231" s="13">
        <f>E231-F231</f>
        <v>102179.59727390765</v>
      </c>
      <c r="H231" s="13">
        <f>H230+G231</f>
        <v>15122580.39653839</v>
      </c>
      <c r="I231">
        <f>IF(H231=MAX($H$83:$H$483),$A231,0)</f>
        <v>0</v>
      </c>
      <c r="J231">
        <f>IF(E231&lt;F231,$A231,B_MAX+1)</f>
        <v>401.0</v>
      </c>
      <c r="K231" s="13">
        <f>IF(B231=1,$B$35,$B$36)</f>
        <v>0</v>
      </c>
      <c r="L231" s="13">
        <f>OCC_DAYS*$B$41*R_NF_2023-D231*MCD_SHARE_FREED*R_WAIT_2023</f>
        <v>37367.159242427646</v>
      </c>
      <c r="M231">
        <f>IF($A231&lt;=$B$45,1,0)</f>
        <v>1</v>
      </c>
      <c r="AB231">
        <f>IF($AB$31&lt;=$AB$32,IF($A231&lt;=$AB$7,1,2),IF($A231&lt;=RUNG_BEDS_2,2,1))</f>
        <v>1</v>
      </c>
      <c r="AC231" s="5">
        <f>MIN(1,MAX(0,$AB$26-($A231-1)))</f>
        <v>1</v>
      </c>
      <c r="AD231" s="5">
        <f>$AB$25*(AC231+(1-AC231)*$AB$16)</f>
        <v>252.05322714681438</v>
      </c>
      <c r="AE231" s="13">
        <f>AD231*($AB$6+ACUTE_MARGIN)</f>
        <v>138629.2749307479</v>
      </c>
      <c r="AF231" s="13">
        <f>IF(AB231=1,$AB$31,$AB$32)</f>
        <v>152394.16214437486</v>
      </c>
      <c r="AG231" s="13">
        <f>AE231-AF231</f>
        <v>-13764.887213626964</v>
      </c>
      <c r="AH231" s="13">
        <f>AH230+AG231</f>
        <v>-2037203.307616786</v>
      </c>
      <c r="AI231">
        <f>IF(AH231=MAX($AH$83:$AH$483),$A231,0)</f>
        <v>0</v>
      </c>
      <c r="AJ231">
        <f>IF(AE231&lt;AF231,$A231,B_MAX+1)</f>
        <v>148</v>
      </c>
      <c r="AK231" s="13">
        <f>IF(AB231=1,$AB$35,$AB$36)</f>
        <v>0</v>
      </c>
      <c r="AL231" s="13">
        <f>OCC_DAYS*$AB$41*R_NF_2023-AD231*MCD_SHARE_FREED*R_WAIT_2023</f>
        <v>37367.159242427646</v>
      </c>
      <c r="AM231">
        <f>IF($A231&lt;=$AB$45,1,0)</f>
        <v>0</v>
      </c>
      <c r="BB231">
        <f>IF($BB$31&lt;=$BB$32,IF($A231&lt;=$BB$7,1,2),IF($A231&lt;=RUNG_BEDS_2,2,1))</f>
        <v>1</v>
      </c>
      <c r="BC231" s="5">
        <f>MIN(1,MAX(0,$BB$26-($A231-1)))</f>
        <v>1</v>
      </c>
      <c r="BD231" s="5">
        <f>$BB$25*(BC231+(1-BC231)*$BB$16)</f>
        <v>252.05322714681438</v>
      </c>
      <c r="BE231" s="13">
        <f>BD231*($BB$6+ACUTE_MARGIN)</f>
        <v>370518.24390581716</v>
      </c>
      <c r="BF231" s="13">
        <f>IF(BB231=1,$BB$31,$BB$32)</f>
        <v>152394.16214437486</v>
      </c>
      <c r="BG231" s="13">
        <f>BE231-BF231</f>
        <v>218124.0817614423</v>
      </c>
      <c r="BH231" s="13">
        <f>BH230+BG231</f>
        <v>32282364.10069344</v>
      </c>
      <c r="BI231">
        <f>IF(BH231=MAX($BH$83:$BH$483),$A231,0)</f>
        <v>0</v>
      </c>
      <c r="BJ231">
        <f>IF(BE231&lt;BF231,$A231,B_MAX+1)</f>
        <v>401.0</v>
      </c>
      <c r="BK231" s="13">
        <f>IF(BB231=1,$BB$35,$BB$36)</f>
        <v>0</v>
      </c>
      <c r="BL231" s="13">
        <f>OCC_DAYS*$BB$41*R_NF_2023-BD231*MCD_SHARE_FREED*R_WAIT_2023</f>
        <v>37367.159242427646</v>
      </c>
      <c r="BM231">
        <f>IF($A231&lt;=$BB$45,1,0)</f>
        <v>1</v>
      </c>
      <c r="CB231">
        <f>IF($CB$31&lt;=$CB$32,IF($A231&lt;=$CB$7,1,2),IF($A231&lt;=RUNG_BEDS_2,2,1))</f>
        <v>2</v>
      </c>
      <c r="CC231" s="5">
        <f>MIN(1,MAX(0,$CB$26-($A231-1)))</f>
        <v>1</v>
      </c>
      <c r="CD231" s="5">
        <f>$CB$25*(CC231+(1-CC231)*$CB$16)</f>
        <v>252.05322714681438</v>
      </c>
      <c r="CE231" s="13">
        <f>CD231*($CB$6+ACUTE_MARGIN)</f>
        <v>254573.7594182825</v>
      </c>
      <c r="CF231" s="13">
        <f>IF(CB231=1,$CB$31,$CB$32)</f>
        <v>160718.36940738867</v>
      </c>
      <c r="CG231" s="13">
        <f>CE231-CF231</f>
        <v>93855.39001089384</v>
      </c>
      <c r="CH231" s="13">
        <f>CH230+CG231</f>
        <v>13890597.721612278</v>
      </c>
      <c r="CI231">
        <f>IF(CH231=MAX($CH$83:$CH$483),$A231,0)</f>
        <v>0</v>
      </c>
      <c r="CJ231">
        <f>IF(CE231&lt;CF231,$A231,B_MAX+1)</f>
        <v>401.0</v>
      </c>
      <c r="CK231" s="13">
        <f>IF(CB231=1,$CB$35,$CB$36)</f>
        <v>1560.1194073886782</v>
      </c>
      <c r="CL231" s="13">
        <f>OCC_DAYS*$CB$41*R_NF_2023-CD231*MCD_SHARE_FREED*R_WAIT_2023</f>
        <v>37367.159242427646</v>
      </c>
      <c r="CM231">
        <f>IF($A231&lt;=$CB$45,1,0)</f>
        <v>1</v>
      </c>
      <c r="DB231">
        <f>IF($DB$31&lt;=$DB$32,IF($A231&lt;=$DB$7,1,2),IF($A231&lt;=RUNG_BEDS_2,2,1))</f>
        <v>1</v>
      </c>
      <c r="DC231" s="5">
        <f>MIN(1,MAX(0,$DB$26-($A231-1)))</f>
        <v>1</v>
      </c>
      <c r="DD231" s="5">
        <f>$DB$25*(DC231+(1-DC231)*$DB$16)</f>
        <v>252.05322714681438</v>
      </c>
      <c r="DE231" s="13">
        <f>DD231*($DB$6+ACUTE_MARGIN)</f>
        <v>254573.7594182825</v>
      </c>
      <c r="DF231" s="13">
        <f>IF(DB231=1,$DB$31,$DB$32)</f>
        <v>152394.16214437486</v>
      </c>
      <c r="DG231" s="13">
        <f>DE231-DF231</f>
        <v>102179.59727390765</v>
      </c>
      <c r="DH231" s="13">
        <f>DH230+DG231</f>
        <v>15122580.39653839</v>
      </c>
      <c r="DI231">
        <f>IF(DH231=MAX($DH$83:$DH$483),$A231,0)</f>
        <v>0</v>
      </c>
      <c r="DJ231">
        <f>IF(DE231&lt;DF231,$A231,B_MAX+1)</f>
        <v>401.0</v>
      </c>
      <c r="DK231" s="13">
        <f>IF(DB231=1,$DB$35,$DB$36)</f>
        <v>0</v>
      </c>
      <c r="DL231" s="13">
        <f>OCC_DAYS*$DB$41*R_NF_2023-DD231*MCD_SHARE_FREED*R_WAIT_2023</f>
        <v>37367.159242427646</v>
      </c>
      <c r="DM231">
        <f>IF($A231&lt;=$DB$45,1,0)</f>
        <v>1</v>
      </c>
      <c r="EB231">
        <f>IF($EB$31&lt;=$EB$32,IF($A231&lt;=$EB$7,1,2),IF($A231&lt;=RUNG_BEDS_2,2,1))</f>
        <v>1</v>
      </c>
      <c r="EC231" s="5">
        <f>MIN(1,MAX(0,$EB$26-($A231-1)))</f>
        <v>1</v>
      </c>
      <c r="ED231" s="5">
        <f>$EB$25*(EC231+(1-EC231)*$EB$16)</f>
        <v>252.05322714681438</v>
      </c>
      <c r="EE231" s="13">
        <f>ED231*($EB$6+ACUTE_MARGIN)</f>
        <v>254573.7594182825</v>
      </c>
      <c r="EF231" s="13">
        <f>IF(EB231=1,$EB$31,$EB$32)</f>
        <v>152394.16214437486</v>
      </c>
      <c r="EG231" s="13">
        <f>EE231-EF231</f>
        <v>102179.59727390765</v>
      </c>
      <c r="EH231" s="13">
        <f>EH230+EG231</f>
        <v>15122580.39653839</v>
      </c>
      <c r="EI231">
        <f>IF(EH231=MAX($EH$83:$EH$483),$A231,0)</f>
        <v>0</v>
      </c>
      <c r="EJ231">
        <f>IF(EE231&lt;EF231,$A231,B_MAX+1)</f>
        <v>401.0</v>
      </c>
      <c r="EK231" s="13">
        <f>IF(EB231=1,$EB$35,$EB$36)</f>
        <v>0</v>
      </c>
      <c r="EL231" s="13">
        <f>OCC_DAYS*$EB$41*R_NF_2023-ED231*MCD_SHARE_FREED*R_WAIT_2023</f>
        <v>-63953.16263896705</v>
      </c>
      <c r="EM231">
        <f>IF($A231&lt;=$EB$45,1,0)</f>
        <v>1</v>
      </c>
      <c r="FB231">
        <f>IF($FB$31&lt;=$FB$32,IF($A231&lt;=$FB$7,1,2),IF($A231&lt;=RUNG_BEDS_2,2,1))</f>
        <v>1</v>
      </c>
      <c r="FC231" s="5">
        <f>MIN(1,MAX(0,$FB$26-($A231-1)))</f>
        <v>1</v>
      </c>
      <c r="FD231" s="5">
        <f>$FB$25*(FC231+(1-FC231)*$FB$16)</f>
        <v>252.05322714681438</v>
      </c>
      <c r="FE231" s="13">
        <f>FD231*($FB$6+ACUTE_MARGIN)</f>
        <v>254573.7594182825</v>
      </c>
      <c r="FF231" s="13">
        <f>IF(FB231=1,$FB$31,$FB$32)</f>
        <v>156636.04979437485</v>
      </c>
      <c r="FG231" s="13">
        <f>FE231-FF231</f>
        <v>97937.70962390766</v>
      </c>
      <c r="FH231" s="13">
        <f>FH230+FG231</f>
        <v>14494781.024338279</v>
      </c>
      <c r="FI231">
        <f>IF(FH231=MAX($FH$83:$FH$483),$A231,0)</f>
        <v>0</v>
      </c>
      <c r="FJ231">
        <f>IF(FE231&lt;FF231,$A231,B_MAX+1)</f>
        <v>401.0</v>
      </c>
      <c r="FK231" s="13">
        <f>IF(FB231=1,$FB$35,$FB$36)</f>
        <v>0</v>
      </c>
      <c r="FL231" s="13">
        <f>OCC_DAYS*$FB$41*R_NF_2023-FD231*MCD_SHARE_FREED*R_WAIT_2023</f>
        <v>37367.159242427646</v>
      </c>
      <c r="FM231">
        <f>IF($A231&lt;=$FB$45,1,0)</f>
        <v>1</v>
      </c>
      <c r="GB231">
        <f>IF($GB$31&lt;=$GB$32,IF($A231&lt;=$GB$7,1,2),IF($A231&lt;=RUNG_BEDS_2,2,1))</f>
        <v>1</v>
      </c>
      <c r="GC231" s="5">
        <f>MIN(1,MAX(0,$GB$26-($A231-1)))</f>
        <v>1</v>
      </c>
      <c r="GD231" s="5">
        <f>$GB$25*(GC231+(1-GC231)*$GB$16)</f>
        <v>252.05322714681438</v>
      </c>
      <c r="GE231" s="13">
        <f>GD231*($GB$6+ACUTE_MARGIN)</f>
        <v>254573.7594182825</v>
      </c>
      <c r="GF231" s="13">
        <f>IF(GB231=1,$GB$31,$GB$32)</f>
        <v>152394.16214437486</v>
      </c>
      <c r="GG231" s="13">
        <f>GE231-GF231</f>
        <v>102179.59727390765</v>
      </c>
      <c r="GH231" s="13">
        <f>GH230+GG231</f>
        <v>15122580.39653839</v>
      </c>
      <c r="GI231">
        <f>IF(GH231=MAX($GH$83:$GH$483),$A231,0)</f>
        <v>0</v>
      </c>
      <c r="GJ231">
        <f>IF(GE231&lt;GF231,$A231,B_MAX+1)</f>
        <v>401.0</v>
      </c>
      <c r="GK231" s="13">
        <f>IF(GB231=1,$GB$35,$GB$36)</f>
        <v>0</v>
      </c>
      <c r="GL231" s="13">
        <f>OCC_DAYS*$GB$41*R_NF_2023-GD231*MCD_SHARE_FREED*R_WAIT_2023</f>
        <v>37367.159242427646</v>
      </c>
      <c r="GM231">
        <f>IF($A231&lt;=$GB$45,1,0)</f>
        <v>1</v>
      </c>
      <c r="HB231">
        <f>IF($HB$31&lt;=$HB$32,IF($A231&lt;=$HB$7,1,2),IF($A231&lt;=RUNG_BEDS_2,2,1))</f>
        <v>1</v>
      </c>
      <c r="HC231" s="5">
        <f>MIN(1,MAX(0,$HB$26-($A231-1)))</f>
        <v>1</v>
      </c>
      <c r="HD231" s="5">
        <f>$HB$25*(HC231+(1-HC231)*$HB$16)</f>
        <v>252.05322714681438</v>
      </c>
      <c r="HE231" s="13">
        <f>HD231*($HB$6+ACUTE_MARGIN)</f>
        <v>254573.7594182825</v>
      </c>
      <c r="HF231" s="13">
        <f>IF(HB231=1,$HB$31,$HB$32)</f>
        <v>152456.2970814058</v>
      </c>
      <c r="HG231" s="13">
        <f>HE231-HF231</f>
        <v>102117.46233687672</v>
      </c>
      <c r="HH231" s="13">
        <f>HH230+HG231</f>
        <v>15113384.425857788</v>
      </c>
      <c r="HI231">
        <f>IF(HH231=MAX($HH$83:$HH$483),$A231,0)</f>
        <v>0</v>
      </c>
      <c r="HJ231">
        <f>IF(HE231&lt;HF231,$A231,B_MAX+1)</f>
        <v>401.0</v>
      </c>
      <c r="HK231" s="13">
        <f>IF(HB231=1,$HB$35,$HB$36)</f>
        <v>0</v>
      </c>
      <c r="HL231" s="13">
        <f>OCC_DAYS*$HB$41*R_NF_2023-HD231*MCD_SHARE_FREED*R_WAIT_2023</f>
        <v>37367.159242427646</v>
      </c>
      <c r="HM231">
        <f>IF($A231&lt;=$HB$45,1,0)</f>
        <v>1</v>
      </c>
      <c r="IB231">
        <f>IF($IB$31&lt;=$IB$32,IF($A231&lt;=$IB$7,1,2),IF($A231&lt;=RUNG_BEDS_2,2,1))</f>
        <v>1</v>
      </c>
      <c r="IC231" s="5">
        <f>MIN(1,MAX(0,$IB$26-($A231-1)))</f>
        <v>1</v>
      </c>
      <c r="ID231" s="5">
        <f>$IB$25*(IC231+(1-IC231)*$IB$16)</f>
        <v>252.05322714681438</v>
      </c>
      <c r="IE231" s="13">
        <f>ID231*($IB$6+ACUTE_MARGIN)</f>
        <v>254573.7594182825</v>
      </c>
      <c r="IF231" s="13">
        <f>IF(IB231=1,$IB$31,$IB$32)</f>
        <v>152734.9994534971</v>
      </c>
      <c r="IG231" s="13">
        <f>IE231-IF231</f>
        <v>101838.75996478542</v>
      </c>
      <c r="IH231" s="13">
        <f>IH230+IG231</f>
        <v>15072136.474788196</v>
      </c>
      <c r="II231">
        <f>IF(IH231=MAX($IH$83:$IH$483),$A231,0)</f>
        <v>0</v>
      </c>
      <c r="IJ231">
        <f>IF(IE231&lt;IF231,$A231,B_MAX+1)</f>
        <v>401.0</v>
      </c>
      <c r="IK231" s="13">
        <f>IF(IB231=1,$IB$35,$IB$36)</f>
        <v>0</v>
      </c>
      <c r="IL231" s="13">
        <f>OCC_DAYS*$IB$41*R_NF_2023-ID231*MCD_SHARE_FREED*R_WAIT_2023</f>
        <v>37367.159242427646</v>
      </c>
      <c r="IM231">
        <f>IF($A231&lt;=$IB$45,1,0)</f>
        <v>1</v>
      </c>
      <c r="JB231">
        <f>IF($JB$31&lt;=$JB$32,IF($A231&lt;=$JB$7,1,2),IF($A231&lt;=RUNG_BEDS_2,2,1))</f>
        <v>1</v>
      </c>
      <c r="JC231" s="5">
        <f>MIN(1,MAX(0,$JB$26-($A231-1)))</f>
        <v>1</v>
      </c>
      <c r="JD231" s="5">
        <f>$JB$25*(JC231+(1-JC231)*$JB$16)</f>
        <v>252.05322714681438</v>
      </c>
      <c r="JE231" s="13">
        <f>JD231*($JB$6+ACUTE_MARGIN)</f>
        <v>254573.7594182825</v>
      </c>
      <c r="JF231" s="13">
        <f>IF(JB231=1,$JB$31,$JB$32)</f>
        <v>152394.16214437486</v>
      </c>
      <c r="JG231" s="13">
        <f>JE231-JF231</f>
        <v>102179.59727390765</v>
      </c>
      <c r="JH231" s="13">
        <f>JH230+JG231</f>
        <v>15122580.39653839</v>
      </c>
      <c r="JI231">
        <f>IF(JH231=MAX($JH$83:$JH$483),$A231,0)</f>
        <v>0</v>
      </c>
      <c r="JJ231">
        <f>IF(JE231&lt;JF231,$A231,B_MAX+1)</f>
        <v>401.0</v>
      </c>
      <c r="JK231" s="13">
        <f>IF(JB231=1,$JB$35,$JB$36)</f>
        <v>0</v>
      </c>
      <c r="JL231" s="13">
        <f>OCC_DAYS*$JB$41*R_NF_2023-JD231*MCD_SHARE_FREED*R_WAIT_2023</f>
        <v>37367.159242427646</v>
      </c>
      <c r="JM231">
        <f>IF($A231&lt;=$JB$45,1,0)</f>
        <v>1</v>
      </c>
      <c r="KB231">
        <f>IF($KB$31&lt;=$KB$32,IF($A231&lt;=$KB$7,1,2),IF($A231&lt;=RUNG_BEDS_2,2,1))</f>
        <v>1</v>
      </c>
      <c r="KC231" s="5">
        <f>MIN(1,MAX(0,$KB$26-($A231-1)))</f>
        <v>1</v>
      </c>
      <c r="KD231" s="5">
        <f>$KB$25*(KC231+(1-KC231)*$KB$16)</f>
        <v>126.02661357340719</v>
      </c>
      <c r="KE231" s="13">
        <f>KD231*($KB$6+ACUTE_MARGIN)</f>
        <v>127286.87970914126</v>
      </c>
      <c r="KF231" s="13">
        <f>IF(KB231=1,$KB$31,$KB$32)</f>
        <v>152394.16214437486</v>
      </c>
      <c r="KG231" s="13">
        <f>KE231-KF231</f>
        <v>-25107.282435233603</v>
      </c>
      <c r="KH231" s="13">
        <f>KH230+KG231</f>
        <v>-3715877.8004145836</v>
      </c>
      <c r="KI231">
        <f>IF(KH231=MAX($KH$83:$KH$483),$A231,0)</f>
        <v>0</v>
      </c>
      <c r="KJ231">
        <f>IF(KE231&lt;KF231,$A231,B_MAX+1)</f>
        <v>148</v>
      </c>
      <c r="KK231" s="13">
        <f>IF(KB231=1,$KB$35,$KB$36)</f>
        <v>0</v>
      </c>
      <c r="KL231" s="13">
        <f>OCC_DAYS*$KB$41*R_NF_2023-KD231*MCD_SHARE_FREED*R_WAIT_2023</f>
        <v>94673.82103225985</v>
      </c>
      <c r="KM231">
        <f>IF($A231&lt;=$KB$45,1,0)</f>
        <v>0</v>
      </c>
      <c r="LB231">
        <f>IF($LB$31&lt;=$LB$32,IF($A231&lt;=$LB$7,1,2),IF($A231&lt;=RUNG_BEDS_2,2,1))</f>
        <v>1</v>
      </c>
      <c r="LC231" s="5">
        <f>MIN(1,MAX(0,$LB$26-($A231-1)))</f>
        <v>1</v>
      </c>
      <c r="LD231" s="5">
        <f>$LB$25*(LC231+(1-LC231)*$LB$16)</f>
        <v>84.01774238227146</v>
      </c>
      <c r="LE231" s="13">
        <f>LD231*($LB$6+ACUTE_MARGIN)</f>
        <v>84857.91980609419</v>
      </c>
      <c r="LF231" s="13">
        <f>IF(LB231=1,$LB$31,$LB$32)</f>
        <v>152394.16214437486</v>
      </c>
      <c r="LG231" s="13">
        <f>LE231-LF231</f>
        <v>-67536.24233828067</v>
      </c>
      <c r="LH231" s="13">
        <f>LH230+LG231</f>
        <v>-9995363.866065577</v>
      </c>
      <c r="LI231">
        <f>IF(LH231=MAX($LH$83:$LH$483),$A231,0)</f>
        <v>0</v>
      </c>
      <c r="LJ231">
        <f>IF(LE231&lt;LF231,$A231,B_MAX+1)</f>
        <v>148</v>
      </c>
      <c r="LK231" s="13">
        <f>IF(LB231=1,$LB$35,$LB$36)</f>
        <v>0</v>
      </c>
      <c r="LL231" s="13">
        <f>OCC_DAYS*$LB$41*R_NF_2023-LD231*MCD_SHARE_FREED*R_WAIT_2023</f>
        <v>113776.04162887059</v>
      </c>
      <c r="LM231">
        <f>IF($A231&lt;=$LB$45,1,0)</f>
        <v>0</v>
      </c>
      <c r="MB231">
        <f>IF($MB$31&lt;=$MB$32,IF($A231&lt;=$MB$7,1,2),IF($A231&lt;=RUNG_BEDS_2,2,1))</f>
        <v>1</v>
      </c>
      <c r="MC231" s="5">
        <f>MIN(1,MAX(0,$MB$26-($A231-1)))</f>
        <v>1</v>
      </c>
      <c r="MD231" s="5">
        <f>$MB$25*(MC231+(1-MC231)*$MB$16)</f>
        <v>213.44610951008647</v>
      </c>
      <c r="ME231" s="13">
        <f>MD231*($MB$6+ACUTE_MARGIN)</f>
        <v>215580.57060518733</v>
      </c>
      <c r="MF231" s="13">
        <f>IF(MB231=1,$MB$31,$MB$32)</f>
        <v>152394.16214437486</v>
      </c>
      <c r="MG231" s="13">
        <f>ME231-MF231</f>
        <v>63186.40846081247</v>
      </c>
      <c r="MH231" s="13">
        <f>MH230+MG231</f>
        <v>9351588.452200264</v>
      </c>
      <c r="MI231">
        <f>IF(MH231=MAX($MH$83:$MH$483),$A231,0)</f>
        <v>0</v>
      </c>
      <c r="MJ231">
        <f>IF(ME231&lt;MF231,$A231,B_MAX+1)</f>
        <v>401.0</v>
      </c>
      <c r="MK231" s="13">
        <f>IF(MB231=1,$MB$35,$MB$36)</f>
        <v>0</v>
      </c>
      <c r="ML231" s="13">
        <f>OCC_DAYS*$MB$41*R_NF_2023-MD231*MCD_SHARE_FREED*R_WAIT_2023</f>
        <v>54922.538779778624</v>
      </c>
      <c r="MM231">
        <f>IF($A231&lt;=$MB$45,1,0)</f>
        <v>1</v>
      </c>
      <c r="NB231">
        <f>IF($NB$31&lt;=$NB$32,IF($A231&lt;=$NB$7,1,2),IF($A231&lt;=RUNG_BEDS_2,2,1))</f>
        <v>1</v>
      </c>
      <c r="NC231" s="5">
        <f>MIN(1,MAX(0,$NB$26-($A231-1)))</f>
        <v>1</v>
      </c>
      <c r="ND231" s="5">
        <f>$NB$25*(NC231+(1-NC231)*$NB$16)</f>
        <v>252.05322714681438</v>
      </c>
      <c r="NE231" s="13">
        <f>ND231*($NB$6+ACUTE_MARGIN)</f>
        <v>254573.7594182825</v>
      </c>
      <c r="NF231" s="13">
        <f>IF(NB231=1,$NB$31,$NB$32)</f>
        <v>152394.16214437486</v>
      </c>
      <c r="NG231" s="13">
        <f>NE231-NF231</f>
        <v>102179.59727390765</v>
      </c>
      <c r="NH231" s="13">
        <f>NH230+NG231</f>
        <v>15122580.39653839</v>
      </c>
      <c r="NI231">
        <f>IF(NH231=MAX($NH$83:$NH$483),$A231,0)</f>
        <v>0</v>
      </c>
      <c r="NJ231">
        <f>IF(NE231&lt;NF231,$A231,B_MAX+1)</f>
        <v>401.0</v>
      </c>
      <c r="NK231" s="13">
        <f>IF(NB231=1,$NB$35,$NB$36)</f>
        <v>0</v>
      </c>
      <c r="NL231" s="13">
        <f>OCC_DAYS*$NB$41*R_NF_2023-ND231*MCD_SHARE_FREED*R_WAIT_2023</f>
        <v>37367.159242427646</v>
      </c>
      <c r="NM231">
        <f>IF($A231&lt;=$NB$45,1,0)</f>
        <v>1</v>
      </c>
      <c r="OB231">
        <f>IF($OB$31&lt;=$OB$32,IF($A231&lt;=$OB$7,1,2),IF($A231&lt;=RUNG_BEDS_2,2,1))</f>
        <v>1</v>
      </c>
      <c r="OC231" s="5">
        <f>MIN(1,MAX(0,$OB$26-($A231-1)))</f>
        <v>1</v>
      </c>
      <c r="OD231" s="5">
        <f>$OB$25*(OC231+(1-OC231)*$OB$16)</f>
        <v>252.05322714681438</v>
      </c>
      <c r="OE231" s="13">
        <f>OD231*($OB$6+ACUTE_MARGIN)</f>
        <v>254573.7594182825</v>
      </c>
      <c r="OF231" s="13">
        <f>IF(OB231=1,$OB$31,$OB$32)</f>
        <v>152394.16214437486</v>
      </c>
      <c r="OG231" s="13">
        <f>OE231-OF231</f>
        <v>102179.59727390765</v>
      </c>
      <c r="OH231" s="13">
        <f>OH230+OG231</f>
        <v>15122580.39653839</v>
      </c>
      <c r="OI231">
        <f>IF(OH231=MAX($OH$83:$OH$483),$A231,0)</f>
        <v>0</v>
      </c>
      <c r="OJ231">
        <f>IF(OE231&lt;OF231,$A231,B_MAX+1)</f>
        <v>401.0</v>
      </c>
      <c r="OK231" s="13">
        <f>IF(OB231=1,$OB$35,$OB$36)</f>
        <v>0</v>
      </c>
      <c r="OL231" s="13">
        <f>OCC_DAYS*$OB$41*R_NF_2023-OD231*MCD_SHARE_FREED*R_WAIT_2023</f>
        <v>37367.159242427646</v>
      </c>
      <c r="OM231">
        <f>IF($A231&lt;=$OB$45,1,0)</f>
        <v>1</v>
      </c>
    </row>
    <row r="232">
      <c r="A232" t="n">
        <v>149</v>
      </c>
      <c r="B232">
        <f>IF($B$31&lt;=$B$32,IF($A232&lt;=$B$7,1,2),IF($A232&lt;=RUNG_BEDS_2,2,1))</f>
        <v>1</v>
      </c>
      <c r="C232" s="5">
        <f>MIN(1,MAX(0,$B$26-($A232-1)))</f>
        <v>1</v>
      </c>
      <c r="D232" s="5">
        <f>$B$25*(C232+(1-C232)*$B$16)</f>
        <v>252.05322714681438</v>
      </c>
      <c r="E232" s="13">
        <f>D232*($B$6+ACUTE_MARGIN)</f>
        <v>254573.7594182825</v>
      </c>
      <c r="F232" s="13">
        <f>IF(B232=1,$B$31,$B$32)</f>
        <v>152394.16214437486</v>
      </c>
      <c r="G232" s="13">
        <f>E232-F232</f>
        <v>102179.59727390765</v>
      </c>
      <c r="H232" s="13">
        <f>H231+G232</f>
        <v>15224759.993812298</v>
      </c>
      <c r="I232">
        <f>IF(H232=MAX($H$83:$H$483),$A232,0)</f>
        <v>0</v>
      </c>
      <c r="J232">
        <f>IF(E232&lt;F232,$A232,B_MAX+1)</f>
        <v>401.0</v>
      </c>
      <c r="K232" s="13">
        <f>IF(B232=1,$B$35,$B$36)</f>
        <v>0</v>
      </c>
      <c r="L232" s="13">
        <f>OCC_DAYS*$B$41*R_NF_2023-D232*MCD_SHARE_FREED*R_WAIT_2023</f>
        <v>37367.159242427646</v>
      </c>
      <c r="M232">
        <f>IF($A232&lt;=$B$45,1,0)</f>
        <v>1</v>
      </c>
      <c r="AB232">
        <f>IF($AB$31&lt;=$AB$32,IF($A232&lt;=$AB$7,1,2),IF($A232&lt;=RUNG_BEDS_2,2,1))</f>
        <v>1</v>
      </c>
      <c r="AC232" s="5">
        <f>MIN(1,MAX(0,$AB$26-($A232-1)))</f>
        <v>1</v>
      </c>
      <c r="AD232" s="5">
        <f>$AB$25*(AC232+(1-AC232)*$AB$16)</f>
        <v>252.05322714681438</v>
      </c>
      <c r="AE232" s="13">
        <f>AD232*($AB$6+ACUTE_MARGIN)</f>
        <v>138629.2749307479</v>
      </c>
      <c r="AF232" s="13">
        <f>IF(AB232=1,$AB$31,$AB$32)</f>
        <v>152394.16214437486</v>
      </c>
      <c r="AG232" s="13">
        <f>AE232-AF232</f>
        <v>-13764.887213626964</v>
      </c>
      <c r="AH232" s="13">
        <f>AH231+AG232</f>
        <v>-2050968.194830413</v>
      </c>
      <c r="AI232">
        <f>IF(AH232=MAX($AH$83:$AH$483),$A232,0)</f>
        <v>0</v>
      </c>
      <c r="AJ232">
        <f>IF(AE232&lt;AF232,$A232,B_MAX+1)</f>
        <v>149</v>
      </c>
      <c r="AK232" s="13">
        <f>IF(AB232=1,$AB$35,$AB$36)</f>
        <v>0</v>
      </c>
      <c r="AL232" s="13">
        <f>OCC_DAYS*$AB$41*R_NF_2023-AD232*MCD_SHARE_FREED*R_WAIT_2023</f>
        <v>37367.159242427646</v>
      </c>
      <c r="AM232">
        <f>IF($A232&lt;=$AB$45,1,0)</f>
        <v>0</v>
      </c>
      <c r="BB232">
        <f>IF($BB$31&lt;=$BB$32,IF($A232&lt;=$BB$7,1,2),IF($A232&lt;=RUNG_BEDS_2,2,1))</f>
        <v>1</v>
      </c>
      <c r="BC232" s="5">
        <f>MIN(1,MAX(0,$BB$26-($A232-1)))</f>
        <v>1</v>
      </c>
      <c r="BD232" s="5">
        <f>$BB$25*(BC232+(1-BC232)*$BB$16)</f>
        <v>252.05322714681438</v>
      </c>
      <c r="BE232" s="13">
        <f>BD232*($BB$6+ACUTE_MARGIN)</f>
        <v>370518.24390581716</v>
      </c>
      <c r="BF232" s="13">
        <f>IF(BB232=1,$BB$31,$BB$32)</f>
        <v>152394.16214437486</v>
      </c>
      <c r="BG232" s="13">
        <f>BE232-BF232</f>
        <v>218124.0817614423</v>
      </c>
      <c r="BH232" s="13">
        <f>BH231+BG232</f>
        <v>32500488.18245488</v>
      </c>
      <c r="BI232">
        <f>IF(BH232=MAX($BH$83:$BH$483),$A232,0)</f>
        <v>0</v>
      </c>
      <c r="BJ232">
        <f>IF(BE232&lt;BF232,$A232,B_MAX+1)</f>
        <v>401.0</v>
      </c>
      <c r="BK232" s="13">
        <f>IF(BB232=1,$BB$35,$BB$36)</f>
        <v>0</v>
      </c>
      <c r="BL232" s="13">
        <f>OCC_DAYS*$BB$41*R_NF_2023-BD232*MCD_SHARE_FREED*R_WAIT_2023</f>
        <v>37367.159242427646</v>
      </c>
      <c r="BM232">
        <f>IF($A232&lt;=$BB$45,1,0)</f>
        <v>1</v>
      </c>
      <c r="CB232">
        <f>IF($CB$31&lt;=$CB$32,IF($A232&lt;=$CB$7,1,2),IF($A232&lt;=RUNG_BEDS_2,2,1))</f>
        <v>2</v>
      </c>
      <c r="CC232" s="5">
        <f>MIN(1,MAX(0,$CB$26-($A232-1)))</f>
        <v>1</v>
      </c>
      <c r="CD232" s="5">
        <f>$CB$25*(CC232+(1-CC232)*$CB$16)</f>
        <v>252.05322714681438</v>
      </c>
      <c r="CE232" s="13">
        <f>CD232*($CB$6+ACUTE_MARGIN)</f>
        <v>254573.7594182825</v>
      </c>
      <c r="CF232" s="13">
        <f>IF(CB232=1,$CB$31,$CB$32)</f>
        <v>160718.36940738867</v>
      </c>
      <c r="CG232" s="13">
        <f>CE232-CF232</f>
        <v>93855.39001089384</v>
      </c>
      <c r="CH232" s="13">
        <f>CH231+CG232</f>
        <v>13984453.111623172</v>
      </c>
      <c r="CI232">
        <f>IF(CH232=MAX($CH$83:$CH$483),$A232,0)</f>
        <v>0</v>
      </c>
      <c r="CJ232">
        <f>IF(CE232&lt;CF232,$A232,B_MAX+1)</f>
        <v>401.0</v>
      </c>
      <c r="CK232" s="13">
        <f>IF(CB232=1,$CB$35,$CB$36)</f>
        <v>1560.1194073886782</v>
      </c>
      <c r="CL232" s="13">
        <f>OCC_DAYS*$CB$41*R_NF_2023-CD232*MCD_SHARE_FREED*R_WAIT_2023</f>
        <v>37367.159242427646</v>
      </c>
      <c r="CM232">
        <f>IF($A232&lt;=$CB$45,1,0)</f>
        <v>1</v>
      </c>
      <c r="DB232">
        <f>IF($DB$31&lt;=$DB$32,IF($A232&lt;=$DB$7,1,2),IF($A232&lt;=RUNG_BEDS_2,2,1))</f>
        <v>1</v>
      </c>
      <c r="DC232" s="5">
        <f>MIN(1,MAX(0,$DB$26-($A232-1)))</f>
        <v>1</v>
      </c>
      <c r="DD232" s="5">
        <f>$DB$25*(DC232+(1-DC232)*$DB$16)</f>
        <v>252.05322714681438</v>
      </c>
      <c r="DE232" s="13">
        <f>DD232*($DB$6+ACUTE_MARGIN)</f>
        <v>254573.7594182825</v>
      </c>
      <c r="DF232" s="13">
        <f>IF(DB232=1,$DB$31,$DB$32)</f>
        <v>152394.16214437486</v>
      </c>
      <c r="DG232" s="13">
        <f>DE232-DF232</f>
        <v>102179.59727390765</v>
      </c>
      <c r="DH232" s="13">
        <f>DH231+DG232</f>
        <v>15224759.993812298</v>
      </c>
      <c r="DI232">
        <f>IF(DH232=MAX($DH$83:$DH$483),$A232,0)</f>
        <v>0</v>
      </c>
      <c r="DJ232">
        <f>IF(DE232&lt;DF232,$A232,B_MAX+1)</f>
        <v>401.0</v>
      </c>
      <c r="DK232" s="13">
        <f>IF(DB232=1,$DB$35,$DB$36)</f>
        <v>0</v>
      </c>
      <c r="DL232" s="13">
        <f>OCC_DAYS*$DB$41*R_NF_2023-DD232*MCD_SHARE_FREED*R_WAIT_2023</f>
        <v>37367.159242427646</v>
      </c>
      <c r="DM232">
        <f>IF($A232&lt;=$DB$45,1,0)</f>
        <v>1</v>
      </c>
      <c r="EB232">
        <f>IF($EB$31&lt;=$EB$32,IF($A232&lt;=$EB$7,1,2),IF($A232&lt;=RUNG_BEDS_2,2,1))</f>
        <v>1</v>
      </c>
      <c r="EC232" s="5">
        <f>MIN(1,MAX(0,$EB$26-($A232-1)))</f>
        <v>1</v>
      </c>
      <c r="ED232" s="5">
        <f>$EB$25*(EC232+(1-EC232)*$EB$16)</f>
        <v>252.05322714681438</v>
      </c>
      <c r="EE232" s="13">
        <f>ED232*($EB$6+ACUTE_MARGIN)</f>
        <v>254573.7594182825</v>
      </c>
      <c r="EF232" s="13">
        <f>IF(EB232=1,$EB$31,$EB$32)</f>
        <v>152394.16214437486</v>
      </c>
      <c r="EG232" s="13">
        <f>EE232-EF232</f>
        <v>102179.59727390765</v>
      </c>
      <c r="EH232" s="13">
        <f>EH231+EG232</f>
        <v>15224759.993812298</v>
      </c>
      <c r="EI232">
        <f>IF(EH232=MAX($EH$83:$EH$483),$A232,0)</f>
        <v>0</v>
      </c>
      <c r="EJ232">
        <f>IF(EE232&lt;EF232,$A232,B_MAX+1)</f>
        <v>401.0</v>
      </c>
      <c r="EK232" s="13">
        <f>IF(EB232=1,$EB$35,$EB$36)</f>
        <v>0</v>
      </c>
      <c r="EL232" s="13">
        <f>OCC_DAYS*$EB$41*R_NF_2023-ED232*MCD_SHARE_FREED*R_WAIT_2023</f>
        <v>-63953.16263896705</v>
      </c>
      <c r="EM232">
        <f>IF($A232&lt;=$EB$45,1,0)</f>
        <v>1</v>
      </c>
      <c r="FB232">
        <f>IF($FB$31&lt;=$FB$32,IF($A232&lt;=$FB$7,1,2),IF($A232&lt;=RUNG_BEDS_2,2,1))</f>
        <v>1</v>
      </c>
      <c r="FC232" s="5">
        <f>MIN(1,MAX(0,$FB$26-($A232-1)))</f>
        <v>1</v>
      </c>
      <c r="FD232" s="5">
        <f>$FB$25*(FC232+(1-FC232)*$FB$16)</f>
        <v>252.05322714681438</v>
      </c>
      <c r="FE232" s="13">
        <f>FD232*($FB$6+ACUTE_MARGIN)</f>
        <v>254573.7594182825</v>
      </c>
      <c r="FF232" s="13">
        <f>IF(FB232=1,$FB$31,$FB$32)</f>
        <v>156636.04979437485</v>
      </c>
      <c r="FG232" s="13">
        <f>FE232-FF232</f>
        <v>97937.70962390766</v>
      </c>
      <c r="FH232" s="13">
        <f>FH231+FG232</f>
        <v>14592718.733962186</v>
      </c>
      <c r="FI232">
        <f>IF(FH232=MAX($FH$83:$FH$483),$A232,0)</f>
        <v>0</v>
      </c>
      <c r="FJ232">
        <f>IF(FE232&lt;FF232,$A232,B_MAX+1)</f>
        <v>401.0</v>
      </c>
      <c r="FK232" s="13">
        <f>IF(FB232=1,$FB$35,$FB$36)</f>
        <v>0</v>
      </c>
      <c r="FL232" s="13">
        <f>OCC_DAYS*$FB$41*R_NF_2023-FD232*MCD_SHARE_FREED*R_WAIT_2023</f>
        <v>37367.159242427646</v>
      </c>
      <c r="FM232">
        <f>IF($A232&lt;=$FB$45,1,0)</f>
        <v>1</v>
      </c>
      <c r="GB232">
        <f>IF($GB$31&lt;=$GB$32,IF($A232&lt;=$GB$7,1,2),IF($A232&lt;=RUNG_BEDS_2,2,1))</f>
        <v>1</v>
      </c>
      <c r="GC232" s="5">
        <f>MIN(1,MAX(0,$GB$26-($A232-1)))</f>
        <v>1</v>
      </c>
      <c r="GD232" s="5">
        <f>$GB$25*(GC232+(1-GC232)*$GB$16)</f>
        <v>252.05322714681438</v>
      </c>
      <c r="GE232" s="13">
        <f>GD232*($GB$6+ACUTE_MARGIN)</f>
        <v>254573.7594182825</v>
      </c>
      <c r="GF232" s="13">
        <f>IF(GB232=1,$GB$31,$GB$32)</f>
        <v>152394.16214437486</v>
      </c>
      <c r="GG232" s="13">
        <f>GE232-GF232</f>
        <v>102179.59727390765</v>
      </c>
      <c r="GH232" s="13">
        <f>GH231+GG232</f>
        <v>15224759.993812298</v>
      </c>
      <c r="GI232">
        <f>IF(GH232=MAX($GH$83:$GH$483),$A232,0)</f>
        <v>0</v>
      </c>
      <c r="GJ232">
        <f>IF(GE232&lt;GF232,$A232,B_MAX+1)</f>
        <v>401.0</v>
      </c>
      <c r="GK232" s="13">
        <f>IF(GB232=1,$GB$35,$GB$36)</f>
        <v>0</v>
      </c>
      <c r="GL232" s="13">
        <f>OCC_DAYS*$GB$41*R_NF_2023-GD232*MCD_SHARE_FREED*R_WAIT_2023</f>
        <v>37367.159242427646</v>
      </c>
      <c r="GM232">
        <f>IF($A232&lt;=$GB$45,1,0)</f>
        <v>1</v>
      </c>
      <c r="HB232">
        <f>IF($HB$31&lt;=$HB$32,IF($A232&lt;=$HB$7,1,2),IF($A232&lt;=RUNG_BEDS_2,2,1))</f>
        <v>1</v>
      </c>
      <c r="HC232" s="5">
        <f>MIN(1,MAX(0,$HB$26-($A232-1)))</f>
        <v>1</v>
      </c>
      <c r="HD232" s="5">
        <f>$HB$25*(HC232+(1-HC232)*$HB$16)</f>
        <v>252.05322714681438</v>
      </c>
      <c r="HE232" s="13">
        <f>HD232*($HB$6+ACUTE_MARGIN)</f>
        <v>254573.7594182825</v>
      </c>
      <c r="HF232" s="13">
        <f>IF(HB232=1,$HB$31,$HB$32)</f>
        <v>152456.2970814058</v>
      </c>
      <c r="HG232" s="13">
        <f>HE232-HF232</f>
        <v>102117.46233687672</v>
      </c>
      <c r="HH232" s="13">
        <f>HH231+HG232</f>
        <v>15215501.888194665</v>
      </c>
      <c r="HI232">
        <f>IF(HH232=MAX($HH$83:$HH$483),$A232,0)</f>
        <v>0</v>
      </c>
      <c r="HJ232">
        <f>IF(HE232&lt;HF232,$A232,B_MAX+1)</f>
        <v>401.0</v>
      </c>
      <c r="HK232" s="13">
        <f>IF(HB232=1,$HB$35,$HB$36)</f>
        <v>0</v>
      </c>
      <c r="HL232" s="13">
        <f>OCC_DAYS*$HB$41*R_NF_2023-HD232*MCD_SHARE_FREED*R_WAIT_2023</f>
        <v>37367.159242427646</v>
      </c>
      <c r="HM232">
        <f>IF($A232&lt;=$HB$45,1,0)</f>
        <v>1</v>
      </c>
      <c r="IB232">
        <f>IF($IB$31&lt;=$IB$32,IF($A232&lt;=$IB$7,1,2),IF($A232&lt;=RUNG_BEDS_2,2,1))</f>
        <v>1</v>
      </c>
      <c r="IC232" s="5">
        <f>MIN(1,MAX(0,$IB$26-($A232-1)))</f>
        <v>1</v>
      </c>
      <c r="ID232" s="5">
        <f>$IB$25*(IC232+(1-IC232)*$IB$16)</f>
        <v>252.05322714681438</v>
      </c>
      <c r="IE232" s="13">
        <f>ID232*($IB$6+ACUTE_MARGIN)</f>
        <v>254573.7594182825</v>
      </c>
      <c r="IF232" s="13">
        <f>IF(IB232=1,$IB$31,$IB$32)</f>
        <v>152734.9994534971</v>
      </c>
      <c r="IG232" s="13">
        <f>IE232-IF232</f>
        <v>101838.75996478542</v>
      </c>
      <c r="IH232" s="13">
        <f>IH231+IG232</f>
        <v>15173975.234752981</v>
      </c>
      <c r="II232">
        <f>IF(IH232=MAX($IH$83:$IH$483),$A232,0)</f>
        <v>0</v>
      </c>
      <c r="IJ232">
        <f>IF(IE232&lt;IF232,$A232,B_MAX+1)</f>
        <v>401.0</v>
      </c>
      <c r="IK232" s="13">
        <f>IF(IB232=1,$IB$35,$IB$36)</f>
        <v>0</v>
      </c>
      <c r="IL232" s="13">
        <f>OCC_DAYS*$IB$41*R_NF_2023-ID232*MCD_SHARE_FREED*R_WAIT_2023</f>
        <v>37367.159242427646</v>
      </c>
      <c r="IM232">
        <f>IF($A232&lt;=$IB$45,1,0)</f>
        <v>1</v>
      </c>
      <c r="JB232">
        <f>IF($JB$31&lt;=$JB$32,IF($A232&lt;=$JB$7,1,2),IF($A232&lt;=RUNG_BEDS_2,2,1))</f>
        <v>1</v>
      </c>
      <c r="JC232" s="5">
        <f>MIN(1,MAX(0,$JB$26-($A232-1)))</f>
        <v>1</v>
      </c>
      <c r="JD232" s="5">
        <f>$JB$25*(JC232+(1-JC232)*$JB$16)</f>
        <v>252.05322714681438</v>
      </c>
      <c r="JE232" s="13">
        <f>JD232*($JB$6+ACUTE_MARGIN)</f>
        <v>254573.7594182825</v>
      </c>
      <c r="JF232" s="13">
        <f>IF(JB232=1,$JB$31,$JB$32)</f>
        <v>152394.16214437486</v>
      </c>
      <c r="JG232" s="13">
        <f>JE232-JF232</f>
        <v>102179.59727390765</v>
      </c>
      <c r="JH232" s="13">
        <f>JH231+JG232</f>
        <v>15224759.993812298</v>
      </c>
      <c r="JI232">
        <f>IF(JH232=MAX($JH$83:$JH$483),$A232,0)</f>
        <v>0</v>
      </c>
      <c r="JJ232">
        <f>IF(JE232&lt;JF232,$A232,B_MAX+1)</f>
        <v>401.0</v>
      </c>
      <c r="JK232" s="13">
        <f>IF(JB232=1,$JB$35,$JB$36)</f>
        <v>0</v>
      </c>
      <c r="JL232" s="13">
        <f>OCC_DAYS*$JB$41*R_NF_2023-JD232*MCD_SHARE_FREED*R_WAIT_2023</f>
        <v>37367.159242427646</v>
      </c>
      <c r="JM232">
        <f>IF($A232&lt;=$JB$45,1,0)</f>
        <v>1</v>
      </c>
      <c r="KB232">
        <f>IF($KB$31&lt;=$KB$32,IF($A232&lt;=$KB$7,1,2),IF($A232&lt;=RUNG_BEDS_2,2,1))</f>
        <v>1</v>
      </c>
      <c r="KC232" s="5">
        <f>MIN(1,MAX(0,$KB$26-($A232-1)))</f>
        <v>1</v>
      </c>
      <c r="KD232" s="5">
        <f>$KB$25*(KC232+(1-KC232)*$KB$16)</f>
        <v>126.02661357340719</v>
      </c>
      <c r="KE232" s="13">
        <f>KD232*($KB$6+ACUTE_MARGIN)</f>
        <v>127286.87970914126</v>
      </c>
      <c r="KF232" s="13">
        <f>IF(KB232=1,$KB$31,$KB$32)</f>
        <v>152394.16214437486</v>
      </c>
      <c r="KG232" s="13">
        <f>KE232-KF232</f>
        <v>-25107.282435233603</v>
      </c>
      <c r="KH232" s="13">
        <f>KH231+KG232</f>
        <v>-3740985.0828498174</v>
      </c>
      <c r="KI232">
        <f>IF(KH232=MAX($KH$83:$KH$483),$A232,0)</f>
        <v>0</v>
      </c>
      <c r="KJ232">
        <f>IF(KE232&lt;KF232,$A232,B_MAX+1)</f>
        <v>149</v>
      </c>
      <c r="KK232" s="13">
        <f>IF(KB232=1,$KB$35,$KB$36)</f>
        <v>0</v>
      </c>
      <c r="KL232" s="13">
        <f>OCC_DAYS*$KB$41*R_NF_2023-KD232*MCD_SHARE_FREED*R_WAIT_2023</f>
        <v>94673.82103225985</v>
      </c>
      <c r="KM232">
        <f>IF($A232&lt;=$KB$45,1,0)</f>
        <v>0</v>
      </c>
      <c r="LB232">
        <f>IF($LB$31&lt;=$LB$32,IF($A232&lt;=$LB$7,1,2),IF($A232&lt;=RUNG_BEDS_2,2,1))</f>
        <v>1</v>
      </c>
      <c r="LC232" s="5">
        <f>MIN(1,MAX(0,$LB$26-($A232-1)))</f>
        <v>1</v>
      </c>
      <c r="LD232" s="5">
        <f>$LB$25*(LC232+(1-LC232)*$LB$16)</f>
        <v>84.01774238227146</v>
      </c>
      <c r="LE232" s="13">
        <f>LD232*($LB$6+ACUTE_MARGIN)</f>
        <v>84857.91980609419</v>
      </c>
      <c r="LF232" s="13">
        <f>IF(LB232=1,$LB$31,$LB$32)</f>
        <v>152394.16214437486</v>
      </c>
      <c r="LG232" s="13">
        <f>LE232-LF232</f>
        <v>-67536.24233828067</v>
      </c>
      <c r="LH232" s="13">
        <f>LH231+LG232</f>
        <v>-10062900.108403858</v>
      </c>
      <c r="LI232">
        <f>IF(LH232=MAX($LH$83:$LH$483),$A232,0)</f>
        <v>0</v>
      </c>
      <c r="LJ232">
        <f>IF(LE232&lt;LF232,$A232,B_MAX+1)</f>
        <v>149</v>
      </c>
      <c r="LK232" s="13">
        <f>IF(LB232=1,$LB$35,$LB$36)</f>
        <v>0</v>
      </c>
      <c r="LL232" s="13">
        <f>OCC_DAYS*$LB$41*R_NF_2023-LD232*MCD_SHARE_FREED*R_WAIT_2023</f>
        <v>113776.04162887059</v>
      </c>
      <c r="LM232">
        <f>IF($A232&lt;=$LB$45,1,0)</f>
        <v>0</v>
      </c>
      <c r="MB232">
        <f>IF($MB$31&lt;=$MB$32,IF($A232&lt;=$MB$7,1,2),IF($A232&lt;=RUNG_BEDS_2,2,1))</f>
        <v>1</v>
      </c>
      <c r="MC232" s="5">
        <f>MIN(1,MAX(0,$MB$26-($A232-1)))</f>
        <v>1</v>
      </c>
      <c r="MD232" s="5">
        <f>$MB$25*(MC232+(1-MC232)*$MB$16)</f>
        <v>213.44610951008647</v>
      </c>
      <c r="ME232" s="13">
        <f>MD232*($MB$6+ACUTE_MARGIN)</f>
        <v>215580.57060518733</v>
      </c>
      <c r="MF232" s="13">
        <f>IF(MB232=1,$MB$31,$MB$32)</f>
        <v>152394.16214437486</v>
      </c>
      <c r="MG232" s="13">
        <f>ME232-MF232</f>
        <v>63186.40846081247</v>
      </c>
      <c r="MH232" s="13">
        <f>MH231+MG232</f>
        <v>9414774.860661076</v>
      </c>
      <c r="MI232">
        <f>IF(MH232=MAX($MH$83:$MH$483),$A232,0)</f>
        <v>0</v>
      </c>
      <c r="MJ232">
        <f>IF(ME232&lt;MF232,$A232,B_MAX+1)</f>
        <v>401.0</v>
      </c>
      <c r="MK232" s="13">
        <f>IF(MB232=1,$MB$35,$MB$36)</f>
        <v>0</v>
      </c>
      <c r="ML232" s="13">
        <f>OCC_DAYS*$MB$41*R_NF_2023-MD232*MCD_SHARE_FREED*R_WAIT_2023</f>
        <v>54922.538779778624</v>
      </c>
      <c r="MM232">
        <f>IF($A232&lt;=$MB$45,1,0)</f>
        <v>1</v>
      </c>
      <c r="NB232">
        <f>IF($NB$31&lt;=$NB$32,IF($A232&lt;=$NB$7,1,2),IF($A232&lt;=RUNG_BEDS_2,2,1))</f>
        <v>1</v>
      </c>
      <c r="NC232" s="5">
        <f>MIN(1,MAX(0,$NB$26-($A232-1)))</f>
        <v>1</v>
      </c>
      <c r="ND232" s="5">
        <f>$NB$25*(NC232+(1-NC232)*$NB$16)</f>
        <v>252.05322714681438</v>
      </c>
      <c r="NE232" s="13">
        <f>ND232*($NB$6+ACUTE_MARGIN)</f>
        <v>254573.7594182825</v>
      </c>
      <c r="NF232" s="13">
        <f>IF(NB232=1,$NB$31,$NB$32)</f>
        <v>152394.16214437486</v>
      </c>
      <c r="NG232" s="13">
        <f>NE232-NF232</f>
        <v>102179.59727390765</v>
      </c>
      <c r="NH232" s="13">
        <f>NH231+NG232</f>
        <v>15224759.993812298</v>
      </c>
      <c r="NI232">
        <f>IF(NH232=MAX($NH$83:$NH$483),$A232,0)</f>
        <v>0</v>
      </c>
      <c r="NJ232">
        <f>IF(NE232&lt;NF232,$A232,B_MAX+1)</f>
        <v>401.0</v>
      </c>
      <c r="NK232" s="13">
        <f>IF(NB232=1,$NB$35,$NB$36)</f>
        <v>0</v>
      </c>
      <c r="NL232" s="13">
        <f>OCC_DAYS*$NB$41*R_NF_2023-ND232*MCD_SHARE_FREED*R_WAIT_2023</f>
        <v>37367.159242427646</v>
      </c>
      <c r="NM232">
        <f>IF($A232&lt;=$NB$45,1,0)</f>
        <v>1</v>
      </c>
      <c r="OB232">
        <f>IF($OB$31&lt;=$OB$32,IF($A232&lt;=$OB$7,1,2),IF($A232&lt;=RUNG_BEDS_2,2,1))</f>
        <v>1</v>
      </c>
      <c r="OC232" s="5">
        <f>MIN(1,MAX(0,$OB$26-($A232-1)))</f>
        <v>1</v>
      </c>
      <c r="OD232" s="5">
        <f>$OB$25*(OC232+(1-OC232)*$OB$16)</f>
        <v>252.05322714681438</v>
      </c>
      <c r="OE232" s="13">
        <f>OD232*($OB$6+ACUTE_MARGIN)</f>
        <v>254573.7594182825</v>
      </c>
      <c r="OF232" s="13">
        <f>IF(OB232=1,$OB$31,$OB$32)</f>
        <v>152394.16214437486</v>
      </c>
      <c r="OG232" s="13">
        <f>OE232-OF232</f>
        <v>102179.59727390765</v>
      </c>
      <c r="OH232" s="13">
        <f>OH231+OG232</f>
        <v>15224759.993812298</v>
      </c>
      <c r="OI232">
        <f>IF(OH232=MAX($OH$83:$OH$483),$A232,0)</f>
        <v>0</v>
      </c>
      <c r="OJ232">
        <f>IF(OE232&lt;OF232,$A232,B_MAX+1)</f>
        <v>401.0</v>
      </c>
      <c r="OK232" s="13">
        <f>IF(OB232=1,$OB$35,$OB$36)</f>
        <v>0</v>
      </c>
      <c r="OL232" s="13">
        <f>OCC_DAYS*$OB$41*R_NF_2023-OD232*MCD_SHARE_FREED*R_WAIT_2023</f>
        <v>37367.159242427646</v>
      </c>
      <c r="OM232">
        <f>IF($A232&lt;=$OB$45,1,0)</f>
        <v>1</v>
      </c>
    </row>
    <row r="233">
      <c r="A233" t="n">
        <v>150</v>
      </c>
      <c r="B233">
        <f>IF($B$31&lt;=$B$32,IF($A233&lt;=$B$7,1,2),IF($A233&lt;=RUNG_BEDS_2,2,1))</f>
        <v>1</v>
      </c>
      <c r="C233" s="5">
        <f>MIN(1,MAX(0,$B$26-($A233-1)))</f>
        <v>1</v>
      </c>
      <c r="D233" s="5">
        <f>$B$25*(C233+(1-C233)*$B$16)</f>
        <v>252.05322714681438</v>
      </c>
      <c r="E233" s="13">
        <f>D233*($B$6+ACUTE_MARGIN)</f>
        <v>254573.7594182825</v>
      </c>
      <c r="F233" s="13">
        <f>IF(B233=1,$B$31,$B$32)</f>
        <v>152394.16214437486</v>
      </c>
      <c r="G233" s="13">
        <f>E233-F233</f>
        <v>102179.59727390765</v>
      </c>
      <c r="H233" s="13">
        <f>H232+G233</f>
        <v>15326939.591086207</v>
      </c>
      <c r="I233">
        <f>IF(H233=MAX($H$83:$H$483),$A233,0)</f>
        <v>150</v>
      </c>
      <c r="J233">
        <f>IF(E233&lt;F233,$A233,B_MAX+1)</f>
        <v>401.0</v>
      </c>
      <c r="K233" s="13">
        <f>IF(B233=1,$B$35,$B$36)</f>
        <v>0</v>
      </c>
      <c r="L233" s="13">
        <f>OCC_DAYS*$B$41*R_NF_2023-D233*MCD_SHARE_FREED*R_WAIT_2023</f>
        <v>37367.159242427646</v>
      </c>
      <c r="M233">
        <f>IF($A233&lt;=$B$45,1,0)</f>
        <v>1</v>
      </c>
      <c r="AB233">
        <f>IF($AB$31&lt;=$AB$32,IF($A233&lt;=$AB$7,1,2),IF($A233&lt;=RUNG_BEDS_2,2,1))</f>
        <v>1</v>
      </c>
      <c r="AC233" s="5">
        <f>MIN(1,MAX(0,$AB$26-($A233-1)))</f>
        <v>1</v>
      </c>
      <c r="AD233" s="5">
        <f>$AB$25*(AC233+(1-AC233)*$AB$16)</f>
        <v>252.05322714681438</v>
      </c>
      <c r="AE233" s="13">
        <f>AD233*($AB$6+ACUTE_MARGIN)</f>
        <v>138629.2749307479</v>
      </c>
      <c r="AF233" s="13">
        <f>IF(AB233=1,$AB$31,$AB$32)</f>
        <v>152394.16214437486</v>
      </c>
      <c r="AG233" s="13">
        <f>AE233-AF233</f>
        <v>-13764.887213626964</v>
      </c>
      <c r="AH233" s="13">
        <f>AH232+AG233</f>
        <v>-2064733.0820440399</v>
      </c>
      <c r="AI233">
        <f>IF(AH233=MAX($AH$83:$AH$483),$A233,0)</f>
        <v>0</v>
      </c>
      <c r="AJ233">
        <f>IF(AE233&lt;AF233,$A233,B_MAX+1)</f>
        <v>150</v>
      </c>
      <c r="AK233" s="13">
        <f>IF(AB233=1,$AB$35,$AB$36)</f>
        <v>0</v>
      </c>
      <c r="AL233" s="13">
        <f>OCC_DAYS*$AB$41*R_NF_2023-AD233*MCD_SHARE_FREED*R_WAIT_2023</f>
        <v>37367.159242427646</v>
      </c>
      <c r="AM233">
        <f>IF($A233&lt;=$AB$45,1,0)</f>
        <v>0</v>
      </c>
      <c r="BB233">
        <f>IF($BB$31&lt;=$BB$32,IF($A233&lt;=$BB$7,1,2),IF($A233&lt;=RUNG_BEDS_2,2,1))</f>
        <v>1</v>
      </c>
      <c r="BC233" s="5">
        <f>MIN(1,MAX(0,$BB$26-($A233-1)))</f>
        <v>1</v>
      </c>
      <c r="BD233" s="5">
        <f>$BB$25*(BC233+(1-BC233)*$BB$16)</f>
        <v>252.05322714681438</v>
      </c>
      <c r="BE233" s="13">
        <f>BD233*($BB$6+ACUTE_MARGIN)</f>
        <v>370518.24390581716</v>
      </c>
      <c r="BF233" s="13">
        <f>IF(BB233=1,$BB$31,$BB$32)</f>
        <v>152394.16214437486</v>
      </c>
      <c r="BG233" s="13">
        <f>BE233-BF233</f>
        <v>218124.0817614423</v>
      </c>
      <c r="BH233" s="13">
        <f>BH232+BG233</f>
        <v>32718612.264216322</v>
      </c>
      <c r="BI233">
        <f>IF(BH233=MAX($BH$83:$BH$483),$A233,0)</f>
        <v>150</v>
      </c>
      <c r="BJ233">
        <f>IF(BE233&lt;BF233,$A233,B_MAX+1)</f>
        <v>401.0</v>
      </c>
      <c r="BK233" s="13">
        <f>IF(BB233=1,$BB$35,$BB$36)</f>
        <v>0</v>
      </c>
      <c r="BL233" s="13">
        <f>OCC_DAYS*$BB$41*R_NF_2023-BD233*MCD_SHARE_FREED*R_WAIT_2023</f>
        <v>37367.159242427646</v>
      </c>
      <c r="BM233">
        <f>IF($A233&lt;=$BB$45,1,0)</f>
        <v>1</v>
      </c>
      <c r="CB233">
        <f>IF($CB$31&lt;=$CB$32,IF($A233&lt;=$CB$7,1,2),IF($A233&lt;=RUNG_BEDS_2,2,1))</f>
        <v>2</v>
      </c>
      <c r="CC233" s="5">
        <f>MIN(1,MAX(0,$CB$26-($A233-1)))</f>
        <v>1</v>
      </c>
      <c r="CD233" s="5">
        <f>$CB$25*(CC233+(1-CC233)*$CB$16)</f>
        <v>252.05322714681438</v>
      </c>
      <c r="CE233" s="13">
        <f>CD233*($CB$6+ACUTE_MARGIN)</f>
        <v>254573.7594182825</v>
      </c>
      <c r="CF233" s="13">
        <f>IF(CB233=1,$CB$31,$CB$32)</f>
        <v>160718.36940738867</v>
      </c>
      <c r="CG233" s="13">
        <f>CE233-CF233</f>
        <v>93855.39001089384</v>
      </c>
      <c r="CH233" s="13">
        <f>CH232+CG233</f>
        <v>14078308.501634065</v>
      </c>
      <c r="CI233">
        <f>IF(CH233=MAX($CH$83:$CH$483),$A233,0)</f>
        <v>150</v>
      </c>
      <c r="CJ233">
        <f>IF(CE233&lt;CF233,$A233,B_MAX+1)</f>
        <v>401.0</v>
      </c>
      <c r="CK233" s="13">
        <f>IF(CB233=1,$CB$35,$CB$36)</f>
        <v>1560.1194073886782</v>
      </c>
      <c r="CL233" s="13">
        <f>OCC_DAYS*$CB$41*R_NF_2023-CD233*MCD_SHARE_FREED*R_WAIT_2023</f>
        <v>37367.159242427646</v>
      </c>
      <c r="CM233">
        <f>IF($A233&lt;=$CB$45,1,0)</f>
        <v>1</v>
      </c>
      <c r="DB233">
        <f>IF($DB$31&lt;=$DB$32,IF($A233&lt;=$DB$7,1,2),IF($A233&lt;=RUNG_BEDS_2,2,1))</f>
        <v>1</v>
      </c>
      <c r="DC233" s="5">
        <f>MIN(1,MAX(0,$DB$26-($A233-1)))</f>
        <v>1</v>
      </c>
      <c r="DD233" s="5">
        <f>$DB$25*(DC233+(1-DC233)*$DB$16)</f>
        <v>252.05322714681438</v>
      </c>
      <c r="DE233" s="13">
        <f>DD233*($DB$6+ACUTE_MARGIN)</f>
        <v>254573.7594182825</v>
      </c>
      <c r="DF233" s="13">
        <f>IF(DB233=1,$DB$31,$DB$32)</f>
        <v>152394.16214437486</v>
      </c>
      <c r="DG233" s="13">
        <f>DE233-DF233</f>
        <v>102179.59727390765</v>
      </c>
      <c r="DH233" s="13">
        <f>DH232+DG233</f>
        <v>15326939.591086207</v>
      </c>
      <c r="DI233">
        <f>IF(DH233=MAX($DH$83:$DH$483),$A233,0)</f>
        <v>150</v>
      </c>
      <c r="DJ233">
        <f>IF(DE233&lt;DF233,$A233,B_MAX+1)</f>
        <v>401.0</v>
      </c>
      <c r="DK233" s="13">
        <f>IF(DB233=1,$DB$35,$DB$36)</f>
        <v>0</v>
      </c>
      <c r="DL233" s="13">
        <f>OCC_DAYS*$DB$41*R_NF_2023-DD233*MCD_SHARE_FREED*R_WAIT_2023</f>
        <v>37367.159242427646</v>
      </c>
      <c r="DM233">
        <f>IF($A233&lt;=$DB$45,1,0)</f>
        <v>1</v>
      </c>
      <c r="EB233">
        <f>IF($EB$31&lt;=$EB$32,IF($A233&lt;=$EB$7,1,2),IF($A233&lt;=RUNG_BEDS_2,2,1))</f>
        <v>1</v>
      </c>
      <c r="EC233" s="5">
        <f>MIN(1,MAX(0,$EB$26-($A233-1)))</f>
        <v>1</v>
      </c>
      <c r="ED233" s="5">
        <f>$EB$25*(EC233+(1-EC233)*$EB$16)</f>
        <v>252.05322714681438</v>
      </c>
      <c r="EE233" s="13">
        <f>ED233*($EB$6+ACUTE_MARGIN)</f>
        <v>254573.7594182825</v>
      </c>
      <c r="EF233" s="13">
        <f>IF(EB233=1,$EB$31,$EB$32)</f>
        <v>152394.16214437486</v>
      </c>
      <c r="EG233" s="13">
        <f>EE233-EF233</f>
        <v>102179.59727390765</v>
      </c>
      <c r="EH233" s="13">
        <f>EH232+EG233</f>
        <v>15326939.591086207</v>
      </c>
      <c r="EI233">
        <f>IF(EH233=MAX($EH$83:$EH$483),$A233,0)</f>
        <v>150</v>
      </c>
      <c r="EJ233">
        <f>IF(EE233&lt;EF233,$A233,B_MAX+1)</f>
        <v>401.0</v>
      </c>
      <c r="EK233" s="13">
        <f>IF(EB233=1,$EB$35,$EB$36)</f>
        <v>0</v>
      </c>
      <c r="EL233" s="13">
        <f>OCC_DAYS*$EB$41*R_NF_2023-ED233*MCD_SHARE_FREED*R_WAIT_2023</f>
        <v>-63953.16263896705</v>
      </c>
      <c r="EM233">
        <f>IF($A233&lt;=$EB$45,1,0)</f>
        <v>1</v>
      </c>
      <c r="FB233">
        <f>IF($FB$31&lt;=$FB$32,IF($A233&lt;=$FB$7,1,2),IF($A233&lt;=RUNG_BEDS_2,2,1))</f>
        <v>1</v>
      </c>
      <c r="FC233" s="5">
        <f>MIN(1,MAX(0,$FB$26-($A233-1)))</f>
        <v>1</v>
      </c>
      <c r="FD233" s="5">
        <f>$FB$25*(FC233+(1-FC233)*$FB$16)</f>
        <v>252.05322714681438</v>
      </c>
      <c r="FE233" s="13">
        <f>FD233*($FB$6+ACUTE_MARGIN)</f>
        <v>254573.7594182825</v>
      </c>
      <c r="FF233" s="13">
        <f>IF(FB233=1,$FB$31,$FB$32)</f>
        <v>156636.04979437485</v>
      </c>
      <c r="FG233" s="13">
        <f>FE233-FF233</f>
        <v>97937.70962390766</v>
      </c>
      <c r="FH233" s="13">
        <f>FH232+FG233</f>
        <v>14690656.443586092</v>
      </c>
      <c r="FI233">
        <f>IF(FH233=MAX($FH$83:$FH$483),$A233,0)</f>
        <v>150</v>
      </c>
      <c r="FJ233">
        <f>IF(FE233&lt;FF233,$A233,B_MAX+1)</f>
        <v>401.0</v>
      </c>
      <c r="FK233" s="13">
        <f>IF(FB233=1,$FB$35,$FB$36)</f>
        <v>0</v>
      </c>
      <c r="FL233" s="13">
        <f>OCC_DAYS*$FB$41*R_NF_2023-FD233*MCD_SHARE_FREED*R_WAIT_2023</f>
        <v>37367.159242427646</v>
      </c>
      <c r="FM233">
        <f>IF($A233&lt;=$FB$45,1,0)</f>
        <v>1</v>
      </c>
      <c r="GB233">
        <f>IF($GB$31&lt;=$GB$32,IF($A233&lt;=$GB$7,1,2),IF($A233&lt;=RUNG_BEDS_2,2,1))</f>
        <v>1</v>
      </c>
      <c r="GC233" s="5">
        <f>MIN(1,MAX(0,$GB$26-($A233-1)))</f>
        <v>1</v>
      </c>
      <c r="GD233" s="5">
        <f>$GB$25*(GC233+(1-GC233)*$GB$16)</f>
        <v>252.05322714681438</v>
      </c>
      <c r="GE233" s="13">
        <f>GD233*($GB$6+ACUTE_MARGIN)</f>
        <v>254573.7594182825</v>
      </c>
      <c r="GF233" s="13">
        <f>IF(GB233=1,$GB$31,$GB$32)</f>
        <v>152394.16214437486</v>
      </c>
      <c r="GG233" s="13">
        <f>GE233-GF233</f>
        <v>102179.59727390765</v>
      </c>
      <c r="GH233" s="13">
        <f>GH232+GG233</f>
        <v>15326939.591086207</v>
      </c>
      <c r="GI233">
        <f>IF(GH233=MAX($GH$83:$GH$483),$A233,0)</f>
        <v>150</v>
      </c>
      <c r="GJ233">
        <f>IF(GE233&lt;GF233,$A233,B_MAX+1)</f>
        <v>401.0</v>
      </c>
      <c r="GK233" s="13">
        <f>IF(GB233=1,$GB$35,$GB$36)</f>
        <v>0</v>
      </c>
      <c r="GL233" s="13">
        <f>OCC_DAYS*$GB$41*R_NF_2023-GD233*MCD_SHARE_FREED*R_WAIT_2023</f>
        <v>37367.159242427646</v>
      </c>
      <c r="GM233">
        <f>IF($A233&lt;=$GB$45,1,0)</f>
        <v>1</v>
      </c>
      <c r="HB233">
        <f>IF($HB$31&lt;=$HB$32,IF($A233&lt;=$HB$7,1,2),IF($A233&lt;=RUNG_BEDS_2,2,1))</f>
        <v>1</v>
      </c>
      <c r="HC233" s="5">
        <f>MIN(1,MAX(0,$HB$26-($A233-1)))</f>
        <v>1</v>
      </c>
      <c r="HD233" s="5">
        <f>$HB$25*(HC233+(1-HC233)*$HB$16)</f>
        <v>252.05322714681438</v>
      </c>
      <c r="HE233" s="13">
        <f>HD233*($HB$6+ACUTE_MARGIN)</f>
        <v>254573.7594182825</v>
      </c>
      <c r="HF233" s="13">
        <f>IF(HB233=1,$HB$31,$HB$32)</f>
        <v>152456.2970814058</v>
      </c>
      <c r="HG233" s="13">
        <f>HE233-HF233</f>
        <v>102117.46233687672</v>
      </c>
      <c r="HH233" s="13">
        <f>HH232+HG233</f>
        <v>15317619.350531543</v>
      </c>
      <c r="HI233">
        <f>IF(HH233=MAX($HH$83:$HH$483),$A233,0)</f>
        <v>150</v>
      </c>
      <c r="HJ233">
        <f>IF(HE233&lt;HF233,$A233,B_MAX+1)</f>
        <v>401.0</v>
      </c>
      <c r="HK233" s="13">
        <f>IF(HB233=1,$HB$35,$HB$36)</f>
        <v>0</v>
      </c>
      <c r="HL233" s="13">
        <f>OCC_DAYS*$HB$41*R_NF_2023-HD233*MCD_SHARE_FREED*R_WAIT_2023</f>
        <v>37367.159242427646</v>
      </c>
      <c r="HM233">
        <f>IF($A233&lt;=$HB$45,1,0)</f>
        <v>1</v>
      </c>
      <c r="IB233">
        <f>IF($IB$31&lt;=$IB$32,IF($A233&lt;=$IB$7,1,2),IF($A233&lt;=RUNG_BEDS_2,2,1))</f>
        <v>1</v>
      </c>
      <c r="IC233" s="5">
        <f>MIN(1,MAX(0,$IB$26-($A233-1)))</f>
        <v>1</v>
      </c>
      <c r="ID233" s="5">
        <f>$IB$25*(IC233+(1-IC233)*$IB$16)</f>
        <v>252.05322714681438</v>
      </c>
      <c r="IE233" s="13">
        <f>ID233*($IB$6+ACUTE_MARGIN)</f>
        <v>254573.7594182825</v>
      </c>
      <c r="IF233" s="13">
        <f>IF(IB233=1,$IB$31,$IB$32)</f>
        <v>152734.9994534971</v>
      </c>
      <c r="IG233" s="13">
        <f>IE233-IF233</f>
        <v>101838.75996478542</v>
      </c>
      <c r="IH233" s="13">
        <f>IH232+IG233</f>
        <v>15275813.994717766</v>
      </c>
      <c r="II233">
        <f>IF(IH233=MAX($IH$83:$IH$483),$A233,0)</f>
        <v>150</v>
      </c>
      <c r="IJ233">
        <f>IF(IE233&lt;IF233,$A233,B_MAX+1)</f>
        <v>401.0</v>
      </c>
      <c r="IK233" s="13">
        <f>IF(IB233=1,$IB$35,$IB$36)</f>
        <v>0</v>
      </c>
      <c r="IL233" s="13">
        <f>OCC_DAYS*$IB$41*R_NF_2023-ID233*MCD_SHARE_FREED*R_WAIT_2023</f>
        <v>37367.159242427646</v>
      </c>
      <c r="IM233">
        <f>IF($A233&lt;=$IB$45,1,0)</f>
        <v>1</v>
      </c>
      <c r="JB233">
        <f>IF($JB$31&lt;=$JB$32,IF($A233&lt;=$JB$7,1,2),IF($A233&lt;=RUNG_BEDS_2,2,1))</f>
        <v>1</v>
      </c>
      <c r="JC233" s="5">
        <f>MIN(1,MAX(0,$JB$26-($A233-1)))</f>
        <v>1</v>
      </c>
      <c r="JD233" s="5">
        <f>$JB$25*(JC233+(1-JC233)*$JB$16)</f>
        <v>252.05322714681438</v>
      </c>
      <c r="JE233" s="13">
        <f>JD233*($JB$6+ACUTE_MARGIN)</f>
        <v>254573.7594182825</v>
      </c>
      <c r="JF233" s="13">
        <f>IF(JB233=1,$JB$31,$JB$32)</f>
        <v>152394.16214437486</v>
      </c>
      <c r="JG233" s="13">
        <f>JE233-JF233</f>
        <v>102179.59727390765</v>
      </c>
      <c r="JH233" s="13">
        <f>JH232+JG233</f>
        <v>15326939.591086207</v>
      </c>
      <c r="JI233">
        <f>IF(JH233=MAX($JH$83:$JH$483),$A233,0)</f>
        <v>150</v>
      </c>
      <c r="JJ233">
        <f>IF(JE233&lt;JF233,$A233,B_MAX+1)</f>
        <v>401.0</v>
      </c>
      <c r="JK233" s="13">
        <f>IF(JB233=1,$JB$35,$JB$36)</f>
        <v>0</v>
      </c>
      <c r="JL233" s="13">
        <f>OCC_DAYS*$JB$41*R_NF_2023-JD233*MCD_SHARE_FREED*R_WAIT_2023</f>
        <v>37367.159242427646</v>
      </c>
      <c r="JM233">
        <f>IF($A233&lt;=$JB$45,1,0)</f>
        <v>1</v>
      </c>
      <c r="KB233">
        <f>IF($KB$31&lt;=$KB$32,IF($A233&lt;=$KB$7,1,2),IF($A233&lt;=RUNG_BEDS_2,2,1))</f>
        <v>1</v>
      </c>
      <c r="KC233" s="5">
        <f>MIN(1,MAX(0,$KB$26-($A233-1)))</f>
        <v>1</v>
      </c>
      <c r="KD233" s="5">
        <f>$KB$25*(KC233+(1-KC233)*$KB$16)</f>
        <v>126.02661357340719</v>
      </c>
      <c r="KE233" s="13">
        <f>KD233*($KB$6+ACUTE_MARGIN)</f>
        <v>127286.87970914126</v>
      </c>
      <c r="KF233" s="13">
        <f>IF(KB233=1,$KB$31,$KB$32)</f>
        <v>152394.16214437486</v>
      </c>
      <c r="KG233" s="13">
        <f>KE233-KF233</f>
        <v>-25107.282435233603</v>
      </c>
      <c r="KH233" s="13">
        <f>KH232+KG233</f>
        <v>-3766092.365285051</v>
      </c>
      <c r="KI233">
        <f>IF(KH233=MAX($KH$83:$KH$483),$A233,0)</f>
        <v>0</v>
      </c>
      <c r="KJ233">
        <f>IF(KE233&lt;KF233,$A233,B_MAX+1)</f>
        <v>150</v>
      </c>
      <c r="KK233" s="13">
        <f>IF(KB233=1,$KB$35,$KB$36)</f>
        <v>0</v>
      </c>
      <c r="KL233" s="13">
        <f>OCC_DAYS*$KB$41*R_NF_2023-KD233*MCD_SHARE_FREED*R_WAIT_2023</f>
        <v>94673.82103225985</v>
      </c>
      <c r="KM233">
        <f>IF($A233&lt;=$KB$45,1,0)</f>
        <v>0</v>
      </c>
      <c r="LB233">
        <f>IF($LB$31&lt;=$LB$32,IF($A233&lt;=$LB$7,1,2),IF($A233&lt;=RUNG_BEDS_2,2,1))</f>
        <v>1</v>
      </c>
      <c r="LC233" s="5">
        <f>MIN(1,MAX(0,$LB$26-($A233-1)))</f>
        <v>1</v>
      </c>
      <c r="LD233" s="5">
        <f>$LB$25*(LC233+(1-LC233)*$LB$16)</f>
        <v>84.01774238227146</v>
      </c>
      <c r="LE233" s="13">
        <f>LD233*($LB$6+ACUTE_MARGIN)</f>
        <v>84857.91980609419</v>
      </c>
      <c r="LF233" s="13">
        <f>IF(LB233=1,$LB$31,$LB$32)</f>
        <v>152394.16214437486</v>
      </c>
      <c r="LG233" s="13">
        <f>LE233-LF233</f>
        <v>-67536.24233828067</v>
      </c>
      <c r="LH233" s="13">
        <f>LH232+LG233</f>
        <v>-10130436.350742139</v>
      </c>
      <c r="LI233">
        <f>IF(LH233=MAX($LH$83:$LH$483),$A233,0)</f>
        <v>0</v>
      </c>
      <c r="LJ233">
        <f>IF(LE233&lt;LF233,$A233,B_MAX+1)</f>
        <v>150</v>
      </c>
      <c r="LK233" s="13">
        <f>IF(LB233=1,$LB$35,$LB$36)</f>
        <v>0</v>
      </c>
      <c r="LL233" s="13">
        <f>OCC_DAYS*$LB$41*R_NF_2023-LD233*MCD_SHARE_FREED*R_WAIT_2023</f>
        <v>113776.04162887059</v>
      </c>
      <c r="LM233">
        <f>IF($A233&lt;=$LB$45,1,0)</f>
        <v>0</v>
      </c>
      <c r="MB233">
        <f>IF($MB$31&lt;=$MB$32,IF($A233&lt;=$MB$7,1,2),IF($A233&lt;=RUNG_BEDS_2,2,1))</f>
        <v>1</v>
      </c>
      <c r="MC233" s="5">
        <f>MIN(1,MAX(0,$MB$26-($A233-1)))</f>
        <v>1</v>
      </c>
      <c r="MD233" s="5">
        <f>$MB$25*(MC233+(1-MC233)*$MB$16)</f>
        <v>213.44610951008647</v>
      </c>
      <c r="ME233" s="13">
        <f>MD233*($MB$6+ACUTE_MARGIN)</f>
        <v>215580.57060518733</v>
      </c>
      <c r="MF233" s="13">
        <f>IF(MB233=1,$MB$31,$MB$32)</f>
        <v>152394.16214437486</v>
      </c>
      <c r="MG233" s="13">
        <f>ME233-MF233</f>
        <v>63186.40846081247</v>
      </c>
      <c r="MH233" s="13">
        <f>MH232+MG233</f>
        <v>9477961.269121889</v>
      </c>
      <c r="MI233">
        <f>IF(MH233=MAX($MH$83:$MH$483),$A233,0)</f>
        <v>150</v>
      </c>
      <c r="MJ233">
        <f>IF(ME233&lt;MF233,$A233,B_MAX+1)</f>
        <v>401.0</v>
      </c>
      <c r="MK233" s="13">
        <f>IF(MB233=1,$MB$35,$MB$36)</f>
        <v>0</v>
      </c>
      <c r="ML233" s="13">
        <f>OCC_DAYS*$MB$41*R_NF_2023-MD233*MCD_SHARE_FREED*R_WAIT_2023</f>
        <v>54922.538779778624</v>
      </c>
      <c r="MM233">
        <f>IF($A233&lt;=$MB$45,1,0)</f>
        <v>1</v>
      </c>
      <c r="NB233">
        <f>IF($NB$31&lt;=$NB$32,IF($A233&lt;=$NB$7,1,2),IF($A233&lt;=RUNG_BEDS_2,2,1))</f>
        <v>1</v>
      </c>
      <c r="NC233" s="5">
        <f>MIN(1,MAX(0,$NB$26-($A233-1)))</f>
        <v>1</v>
      </c>
      <c r="ND233" s="5">
        <f>$NB$25*(NC233+(1-NC233)*$NB$16)</f>
        <v>252.05322714681438</v>
      </c>
      <c r="NE233" s="13">
        <f>ND233*($NB$6+ACUTE_MARGIN)</f>
        <v>254573.7594182825</v>
      </c>
      <c r="NF233" s="13">
        <f>IF(NB233=1,$NB$31,$NB$32)</f>
        <v>152394.16214437486</v>
      </c>
      <c r="NG233" s="13">
        <f>NE233-NF233</f>
        <v>102179.59727390765</v>
      </c>
      <c r="NH233" s="13">
        <f>NH232+NG233</f>
        <v>15326939.591086207</v>
      </c>
      <c r="NI233">
        <f>IF(NH233=MAX($NH$83:$NH$483),$A233,0)</f>
        <v>150</v>
      </c>
      <c r="NJ233">
        <f>IF(NE233&lt;NF233,$A233,B_MAX+1)</f>
        <v>401.0</v>
      </c>
      <c r="NK233" s="13">
        <f>IF(NB233=1,$NB$35,$NB$36)</f>
        <v>0</v>
      </c>
      <c r="NL233" s="13">
        <f>OCC_DAYS*$NB$41*R_NF_2023-ND233*MCD_SHARE_FREED*R_WAIT_2023</f>
        <v>37367.159242427646</v>
      </c>
      <c r="NM233">
        <f>IF($A233&lt;=$NB$45,1,0)</f>
        <v>1</v>
      </c>
      <c r="OB233">
        <f>IF($OB$31&lt;=$OB$32,IF($A233&lt;=$OB$7,1,2),IF($A233&lt;=RUNG_BEDS_2,2,1))</f>
        <v>1</v>
      </c>
      <c r="OC233" s="5">
        <f>MIN(1,MAX(0,$OB$26-($A233-1)))</f>
        <v>1</v>
      </c>
      <c r="OD233" s="5">
        <f>$OB$25*(OC233+(1-OC233)*$OB$16)</f>
        <v>252.05322714681438</v>
      </c>
      <c r="OE233" s="13">
        <f>OD233*($OB$6+ACUTE_MARGIN)</f>
        <v>254573.7594182825</v>
      </c>
      <c r="OF233" s="13">
        <f>IF(OB233=1,$OB$31,$OB$32)</f>
        <v>152394.16214437486</v>
      </c>
      <c r="OG233" s="13">
        <f>OE233-OF233</f>
        <v>102179.59727390765</v>
      </c>
      <c r="OH233" s="13">
        <f>OH232+OG233</f>
        <v>15326939.591086207</v>
      </c>
      <c r="OI233">
        <f>IF(OH233=MAX($OH$83:$OH$483),$A233,0)</f>
        <v>150</v>
      </c>
      <c r="OJ233">
        <f>IF(OE233&lt;OF233,$A233,B_MAX+1)</f>
        <v>401.0</v>
      </c>
      <c r="OK233" s="13">
        <f>IF(OB233=1,$OB$35,$OB$36)</f>
        <v>0</v>
      </c>
      <c r="OL233" s="13">
        <f>OCC_DAYS*$OB$41*R_NF_2023-OD233*MCD_SHARE_FREED*R_WAIT_2023</f>
        <v>37367.159242427646</v>
      </c>
      <c r="OM233">
        <f>IF($A233&lt;=$OB$45,1,0)</f>
        <v>1</v>
      </c>
    </row>
    <row r="234">
      <c r="A234" t="n">
        <v>151</v>
      </c>
      <c r="B234">
        <f>IF($B$31&lt;=$B$32,IF($A234&lt;=$B$7,1,2),IF($A234&lt;=RUNG_BEDS_2,2,1))</f>
        <v>1</v>
      </c>
      <c r="C234" s="5">
        <f>MIN(1,MAX(0,$B$26-($A234-1)))</f>
        <v>0.16854335508858753</v>
      </c>
      <c r="D234" s="5">
        <f>$B$25*(C234+(1-C234)*$B$16)</f>
        <v>42.48189656422995</v>
      </c>
      <c r="E234" s="13">
        <f>D234*($B$6+ACUTE_MARGIN)</f>
        <v>42906.71552987225</v>
      </c>
      <c r="F234" s="13">
        <f>IF(B234=1,$B$31,$B$32)</f>
        <v>152394.16214437486</v>
      </c>
      <c r="G234" s="13">
        <f>E234-F234</f>
        <v>-109487.44661450261</v>
      </c>
      <c r="H234" s="13">
        <f>H233+G234</f>
        <v>15217452.144471705</v>
      </c>
      <c r="I234">
        <f>IF(H234=MAX($H$83:$H$483),$A234,0)</f>
        <v>0</v>
      </c>
      <c r="J234">
        <f>IF(E234&lt;F234,$A234,B_MAX+1)</f>
        <v>151</v>
      </c>
      <c r="K234" s="13">
        <f>IF(B234=1,$B$35,$B$36)</f>
        <v>0</v>
      </c>
      <c r="L234" s="13">
        <f>OCC_DAYS*$B$41*R_NF_2023-D234*MCD_SHARE_FREED*R_WAIT_2023</f>
        <v>132663.1687281215</v>
      </c>
      <c r="M234">
        <f>IF($A234&lt;=$B$45,1,0)</f>
        <v>0</v>
      </c>
      <c r="AB234">
        <f>IF($AB$31&lt;=$AB$32,IF($A234&lt;=$AB$7,1,2),IF($A234&lt;=RUNG_BEDS_2,2,1))</f>
        <v>1</v>
      </c>
      <c r="AC234" s="5">
        <f>MIN(1,MAX(0,$AB$26-($A234-1)))</f>
        <v>0.16854335508858753</v>
      </c>
      <c r="AD234" s="5">
        <f>$AB$25*(AC234+(1-AC234)*$AB$16)</f>
        <v>42.48189656422995</v>
      </c>
      <c r="AE234" s="13">
        <f>AD234*($AB$6+ACUTE_MARGIN)</f>
        <v>23365.04311032647</v>
      </c>
      <c r="AF234" s="13">
        <f>IF(AB234=1,$AB$31,$AB$32)</f>
        <v>152394.16214437486</v>
      </c>
      <c r="AG234" s="13">
        <f>AE234-AF234</f>
        <v>-129029.11903404839</v>
      </c>
      <c r="AH234" s="13">
        <f>AH233+AG234</f>
        <v>-2193762.201078088</v>
      </c>
      <c r="AI234">
        <f>IF(AH234=MAX($AH$83:$AH$483),$A234,0)</f>
        <v>0</v>
      </c>
      <c r="AJ234">
        <f>IF(AE234&lt;AF234,$A234,B_MAX+1)</f>
        <v>151</v>
      </c>
      <c r="AK234" s="13">
        <f>IF(AB234=1,$AB$35,$AB$36)</f>
        <v>0</v>
      </c>
      <c r="AL234" s="13">
        <f>OCC_DAYS*$AB$41*R_NF_2023-AD234*MCD_SHARE_FREED*R_WAIT_2023</f>
        <v>132663.1687281215</v>
      </c>
      <c r="AM234">
        <f>IF($A234&lt;=$AB$45,1,0)</f>
        <v>0</v>
      </c>
      <c r="BB234">
        <f>IF($BB$31&lt;=$BB$32,IF($A234&lt;=$BB$7,1,2),IF($A234&lt;=RUNG_BEDS_2,2,1))</f>
        <v>1</v>
      </c>
      <c r="BC234" s="5">
        <f>MIN(1,MAX(0,$BB$26-($A234-1)))</f>
        <v>0.16854335508858753</v>
      </c>
      <c r="BD234" s="5">
        <f>$BB$25*(BC234+(1-BC234)*$BB$16)</f>
        <v>42.48189656422995</v>
      </c>
      <c r="BE234" s="13">
        <f>BD234*($BB$6+ACUTE_MARGIN)</f>
        <v>62448.38794941802</v>
      </c>
      <c r="BF234" s="13">
        <f>IF(BB234=1,$BB$31,$BB$32)</f>
        <v>152394.16214437486</v>
      </c>
      <c r="BG234" s="13">
        <f>BE234-BF234</f>
        <v>-89945.77419495684</v>
      </c>
      <c r="BH234" s="13">
        <f>BH233+BG234</f>
        <v>32628666.490021367</v>
      </c>
      <c r="BI234">
        <f>IF(BH234=MAX($BH$83:$BH$483),$A234,0)</f>
        <v>0</v>
      </c>
      <c r="BJ234">
        <f>IF(BE234&lt;BF234,$A234,B_MAX+1)</f>
        <v>151</v>
      </c>
      <c r="BK234" s="13">
        <f>IF(BB234=1,$BB$35,$BB$36)</f>
        <v>0</v>
      </c>
      <c r="BL234" s="13">
        <f>OCC_DAYS*$BB$41*R_NF_2023-BD234*MCD_SHARE_FREED*R_WAIT_2023</f>
        <v>132663.1687281215</v>
      </c>
      <c r="BM234">
        <f>IF($A234&lt;=$BB$45,1,0)</f>
        <v>0</v>
      </c>
      <c r="CB234">
        <f>IF($CB$31&lt;=$CB$32,IF($A234&lt;=$CB$7,1,2),IF($A234&lt;=RUNG_BEDS_2,2,1))</f>
        <v>2</v>
      </c>
      <c r="CC234" s="5">
        <f>MIN(1,MAX(0,$CB$26-($A234-1)))</f>
        <v>0.16854335508858753</v>
      </c>
      <c r="CD234" s="5">
        <f>$CB$25*(CC234+(1-CC234)*$CB$16)</f>
        <v>42.48189656422995</v>
      </c>
      <c r="CE234" s="13">
        <f>CD234*($CB$6+ACUTE_MARGIN)</f>
        <v>42906.71552987225</v>
      </c>
      <c r="CF234" s="13">
        <f>IF(CB234=1,$CB$31,$CB$32)</f>
        <v>160718.36940738867</v>
      </c>
      <c r="CG234" s="13">
        <f>CE234-CF234</f>
        <v>-117811.65387751642</v>
      </c>
      <c r="CH234" s="13">
        <f>CH233+CG234</f>
        <v>13960496.847756548</v>
      </c>
      <c r="CI234">
        <f>IF(CH234=MAX($CH$83:$CH$483),$A234,0)</f>
        <v>0</v>
      </c>
      <c r="CJ234">
        <f>IF(CE234&lt;CF234,$A234,B_MAX+1)</f>
        <v>151</v>
      </c>
      <c r="CK234" s="13">
        <f>IF(CB234=1,$CB$35,$CB$36)</f>
        <v>1560.1194073886782</v>
      </c>
      <c r="CL234" s="13">
        <f>OCC_DAYS*$CB$41*R_NF_2023-CD234*MCD_SHARE_FREED*R_WAIT_2023</f>
        <v>132663.1687281215</v>
      </c>
      <c r="CM234">
        <f>IF($A234&lt;=$CB$45,1,0)</f>
        <v>0</v>
      </c>
      <c r="DB234">
        <f>IF($DB$31&lt;=$DB$32,IF($A234&lt;=$DB$7,1,2),IF($A234&lt;=RUNG_BEDS_2,2,1))</f>
        <v>1</v>
      </c>
      <c r="DC234" s="5">
        <f>MIN(1,MAX(0,$DB$26-($A234-1)))</f>
        <v>0.16854335508858753</v>
      </c>
      <c r="DD234" s="5">
        <f>$DB$25*(DC234+(1-DC234)*$DB$16)</f>
        <v>42.48189656422995</v>
      </c>
      <c r="DE234" s="13">
        <f>DD234*($DB$6+ACUTE_MARGIN)</f>
        <v>42906.71552987225</v>
      </c>
      <c r="DF234" s="13">
        <f>IF(DB234=1,$DB$31,$DB$32)</f>
        <v>152394.16214437486</v>
      </c>
      <c r="DG234" s="13">
        <f>DE234-DF234</f>
        <v>-109487.44661450261</v>
      </c>
      <c r="DH234" s="13">
        <f>DH233+DG234</f>
        <v>15217452.144471705</v>
      </c>
      <c r="DI234">
        <f>IF(DH234=MAX($DH$83:$DH$483),$A234,0)</f>
        <v>0</v>
      </c>
      <c r="DJ234">
        <f>IF(DE234&lt;DF234,$A234,B_MAX+1)</f>
        <v>151</v>
      </c>
      <c r="DK234" s="13">
        <f>IF(DB234=1,$DB$35,$DB$36)</f>
        <v>0</v>
      </c>
      <c r="DL234" s="13">
        <f>OCC_DAYS*$DB$41*R_NF_2023-DD234*MCD_SHARE_FREED*R_WAIT_2023</f>
        <v>132663.1687281215</v>
      </c>
      <c r="DM234">
        <f>IF($A234&lt;=$DB$45,1,0)</f>
        <v>0</v>
      </c>
      <c r="EB234">
        <f>IF($EB$31&lt;=$EB$32,IF($A234&lt;=$EB$7,1,2),IF($A234&lt;=RUNG_BEDS_2,2,1))</f>
        <v>1</v>
      </c>
      <c r="EC234" s="5">
        <f>MIN(1,MAX(0,$EB$26-($A234-1)))</f>
        <v>0.16854335508858753</v>
      </c>
      <c r="ED234" s="5">
        <f>$EB$25*(EC234+(1-EC234)*$EB$16)</f>
        <v>42.48189656422995</v>
      </c>
      <c r="EE234" s="13">
        <f>ED234*($EB$6+ACUTE_MARGIN)</f>
        <v>42906.71552987225</v>
      </c>
      <c r="EF234" s="13">
        <f>IF(EB234=1,$EB$31,$EB$32)</f>
        <v>152394.16214437486</v>
      </c>
      <c r="EG234" s="13">
        <f>EE234-EF234</f>
        <v>-109487.44661450261</v>
      </c>
      <c r="EH234" s="13">
        <f>EH233+EG234</f>
        <v>15217452.144471705</v>
      </c>
      <c r="EI234">
        <f>IF(EH234=MAX($EH$83:$EH$483),$A234,0)</f>
        <v>0</v>
      </c>
      <c r="EJ234">
        <f>IF(EE234&lt;EF234,$A234,B_MAX+1)</f>
        <v>151</v>
      </c>
      <c r="EK234" s="13">
        <f>IF(EB234=1,$EB$35,$EB$36)</f>
        <v>0</v>
      </c>
      <c r="EL234" s="13">
        <f>OCC_DAYS*$EB$41*R_NF_2023-ED234*MCD_SHARE_FREED*R_WAIT_2023</f>
        <v>31342.846846726792</v>
      </c>
      <c r="EM234">
        <f>IF($A234&lt;=$EB$45,1,0)</f>
        <v>0</v>
      </c>
      <c r="FB234">
        <f>IF($FB$31&lt;=$FB$32,IF($A234&lt;=$FB$7,1,2),IF($A234&lt;=RUNG_BEDS_2,2,1))</f>
        <v>1</v>
      </c>
      <c r="FC234" s="5">
        <f>MIN(1,MAX(0,$FB$26-($A234-1)))</f>
        <v>0.16854335508858753</v>
      </c>
      <c r="FD234" s="5">
        <f>$FB$25*(FC234+(1-FC234)*$FB$16)</f>
        <v>42.48189656422995</v>
      </c>
      <c r="FE234" s="13">
        <f>FD234*($FB$6+ACUTE_MARGIN)</f>
        <v>42906.71552987225</v>
      </c>
      <c r="FF234" s="13">
        <f>IF(FB234=1,$FB$31,$FB$32)</f>
        <v>156636.04979437485</v>
      </c>
      <c r="FG234" s="13">
        <f>FE234-FF234</f>
        <v>-113729.3342645026</v>
      </c>
      <c r="FH234" s="13">
        <f>FH233+FG234</f>
        <v>14576927.10932159</v>
      </c>
      <c r="FI234">
        <f>IF(FH234=MAX($FH$83:$FH$483),$A234,0)</f>
        <v>0</v>
      </c>
      <c r="FJ234">
        <f>IF(FE234&lt;FF234,$A234,B_MAX+1)</f>
        <v>151</v>
      </c>
      <c r="FK234" s="13">
        <f>IF(FB234=1,$FB$35,$FB$36)</f>
        <v>0</v>
      </c>
      <c r="FL234" s="13">
        <f>OCC_DAYS*$FB$41*R_NF_2023-FD234*MCD_SHARE_FREED*R_WAIT_2023</f>
        <v>132663.1687281215</v>
      </c>
      <c r="FM234">
        <f>IF($A234&lt;=$FB$45,1,0)</f>
        <v>0</v>
      </c>
      <c r="GB234">
        <f>IF($GB$31&lt;=$GB$32,IF($A234&lt;=$GB$7,1,2),IF($A234&lt;=RUNG_BEDS_2,2,1))</f>
        <v>1</v>
      </c>
      <c r="GC234" s="5">
        <f>MIN(1,MAX(0,$GB$26-($A234-1)))</f>
        <v>0.16854335508858753</v>
      </c>
      <c r="GD234" s="5">
        <f>$GB$25*(GC234+(1-GC234)*$GB$16)</f>
        <v>42.48189656422995</v>
      </c>
      <c r="GE234" s="13">
        <f>GD234*($GB$6+ACUTE_MARGIN)</f>
        <v>42906.71552987225</v>
      </c>
      <c r="GF234" s="13">
        <f>IF(GB234=1,$GB$31,$GB$32)</f>
        <v>152394.16214437486</v>
      </c>
      <c r="GG234" s="13">
        <f>GE234-GF234</f>
        <v>-109487.44661450261</v>
      </c>
      <c r="GH234" s="13">
        <f>GH233+GG234</f>
        <v>15217452.144471705</v>
      </c>
      <c r="GI234">
        <f>IF(GH234=MAX($GH$83:$GH$483),$A234,0)</f>
        <v>0</v>
      </c>
      <c r="GJ234">
        <f>IF(GE234&lt;GF234,$A234,B_MAX+1)</f>
        <v>151</v>
      </c>
      <c r="GK234" s="13">
        <f>IF(GB234=1,$GB$35,$GB$36)</f>
        <v>0</v>
      </c>
      <c r="GL234" s="13">
        <f>OCC_DAYS*$GB$41*R_NF_2023-GD234*MCD_SHARE_FREED*R_WAIT_2023</f>
        <v>132663.1687281215</v>
      </c>
      <c r="GM234">
        <f>IF($A234&lt;=$GB$45,1,0)</f>
        <v>0</v>
      </c>
      <c r="HB234">
        <f>IF($HB$31&lt;=$HB$32,IF($A234&lt;=$HB$7,1,2),IF($A234&lt;=RUNG_BEDS_2,2,1))</f>
        <v>1</v>
      </c>
      <c r="HC234" s="5">
        <f>MIN(1,MAX(0,$HB$26-($A234-1)))</f>
        <v>0.16854335508858753</v>
      </c>
      <c r="HD234" s="5">
        <f>$HB$25*(HC234+(1-HC234)*$HB$16)</f>
        <v>42.48189656422995</v>
      </c>
      <c r="HE234" s="13">
        <f>HD234*($HB$6+ACUTE_MARGIN)</f>
        <v>42906.71552987225</v>
      </c>
      <c r="HF234" s="13">
        <f>IF(HB234=1,$HB$31,$HB$32)</f>
        <v>152456.2970814058</v>
      </c>
      <c r="HG234" s="13">
        <f>HE234-HF234</f>
        <v>-109549.58155153354</v>
      </c>
      <c r="HH234" s="13">
        <f>HH233+HG234</f>
        <v>15208069.76898001</v>
      </c>
      <c r="HI234">
        <f>IF(HH234=MAX($HH$83:$HH$483),$A234,0)</f>
        <v>0</v>
      </c>
      <c r="HJ234">
        <f>IF(HE234&lt;HF234,$A234,B_MAX+1)</f>
        <v>151</v>
      </c>
      <c r="HK234" s="13">
        <f>IF(HB234=1,$HB$35,$HB$36)</f>
        <v>0</v>
      </c>
      <c r="HL234" s="13">
        <f>OCC_DAYS*$HB$41*R_NF_2023-HD234*MCD_SHARE_FREED*R_WAIT_2023</f>
        <v>132663.1687281215</v>
      </c>
      <c r="HM234">
        <f>IF($A234&lt;=$HB$45,1,0)</f>
        <v>0</v>
      </c>
      <c r="IB234">
        <f>IF($IB$31&lt;=$IB$32,IF($A234&lt;=$IB$7,1,2),IF($A234&lt;=RUNG_BEDS_2,2,1))</f>
        <v>1</v>
      </c>
      <c r="IC234" s="5">
        <f>MIN(1,MAX(0,$IB$26-($A234-1)))</f>
        <v>0.16854335508858753</v>
      </c>
      <c r="ID234" s="5">
        <f>$IB$25*(IC234+(1-IC234)*$IB$16)</f>
        <v>42.48189656422995</v>
      </c>
      <c r="IE234" s="13">
        <f>ID234*($IB$6+ACUTE_MARGIN)</f>
        <v>42906.71552987225</v>
      </c>
      <c r="IF234" s="13">
        <f>IF(IB234=1,$IB$31,$IB$32)</f>
        <v>152734.9994534971</v>
      </c>
      <c r="IG234" s="13">
        <f>IE234-IF234</f>
        <v>-109828.28392362484</v>
      </c>
      <c r="IH234" s="13">
        <f>IH233+IG234</f>
        <v>15165985.710794142</v>
      </c>
      <c r="II234">
        <f>IF(IH234=MAX($IH$83:$IH$483),$A234,0)</f>
        <v>0</v>
      </c>
      <c r="IJ234">
        <f>IF(IE234&lt;IF234,$A234,B_MAX+1)</f>
        <v>151</v>
      </c>
      <c r="IK234" s="13">
        <f>IF(IB234=1,$IB$35,$IB$36)</f>
        <v>0</v>
      </c>
      <c r="IL234" s="13">
        <f>OCC_DAYS*$IB$41*R_NF_2023-ID234*MCD_SHARE_FREED*R_WAIT_2023</f>
        <v>132663.1687281215</v>
      </c>
      <c r="IM234">
        <f>IF($A234&lt;=$IB$45,1,0)</f>
        <v>0</v>
      </c>
      <c r="JB234">
        <f>IF($JB$31&lt;=$JB$32,IF($A234&lt;=$JB$7,1,2),IF($A234&lt;=RUNG_BEDS_2,2,1))</f>
        <v>1</v>
      </c>
      <c r="JC234" s="5">
        <f>MIN(1,MAX(0,$JB$26-($A234-1)))</f>
        <v>0.16854335508858753</v>
      </c>
      <c r="JD234" s="5">
        <f>$JB$25*(JC234+(1-JC234)*$JB$16)</f>
        <v>42.48189656422995</v>
      </c>
      <c r="JE234" s="13">
        <f>JD234*($JB$6+ACUTE_MARGIN)</f>
        <v>42906.71552987225</v>
      </c>
      <c r="JF234" s="13">
        <f>IF(JB234=1,$JB$31,$JB$32)</f>
        <v>152394.16214437486</v>
      </c>
      <c r="JG234" s="13">
        <f>JE234-JF234</f>
        <v>-109487.44661450261</v>
      </c>
      <c r="JH234" s="13">
        <f>JH233+JG234</f>
        <v>15217452.144471705</v>
      </c>
      <c r="JI234">
        <f>IF(JH234=MAX($JH$83:$JH$483),$A234,0)</f>
        <v>0</v>
      </c>
      <c r="JJ234">
        <f>IF(JE234&lt;JF234,$A234,B_MAX+1)</f>
        <v>151</v>
      </c>
      <c r="JK234" s="13">
        <f>IF(JB234=1,$JB$35,$JB$36)</f>
        <v>0</v>
      </c>
      <c r="JL234" s="13">
        <f>OCC_DAYS*$JB$41*R_NF_2023-JD234*MCD_SHARE_FREED*R_WAIT_2023</f>
        <v>132663.1687281215</v>
      </c>
      <c r="JM234">
        <f>IF($A234&lt;=$JB$45,1,0)</f>
        <v>0</v>
      </c>
      <c r="KB234">
        <f>IF($KB$31&lt;=$KB$32,IF($A234&lt;=$KB$7,1,2),IF($A234&lt;=RUNG_BEDS_2,2,1))</f>
        <v>1</v>
      </c>
      <c r="KC234" s="5">
        <f>MIN(1,MAX(0,$KB$26-($A234-1)))</f>
        <v>1</v>
      </c>
      <c r="KD234" s="5">
        <f>$KB$25*(KC234+(1-KC234)*$KB$16)</f>
        <v>126.02661357340719</v>
      </c>
      <c r="KE234" s="13">
        <f>KD234*($KB$6+ACUTE_MARGIN)</f>
        <v>127286.87970914126</v>
      </c>
      <c r="KF234" s="13">
        <f>IF(KB234=1,$KB$31,$KB$32)</f>
        <v>152394.16214437486</v>
      </c>
      <c r="KG234" s="13">
        <f>KE234-KF234</f>
        <v>-25107.282435233603</v>
      </c>
      <c r="KH234" s="13">
        <f>KH233+KG234</f>
        <v>-3791199.6477202848</v>
      </c>
      <c r="KI234">
        <f>IF(KH234=MAX($KH$83:$KH$483),$A234,0)</f>
        <v>0</v>
      </c>
      <c r="KJ234">
        <f>IF(KE234&lt;KF234,$A234,B_MAX+1)</f>
        <v>151</v>
      </c>
      <c r="KK234" s="13">
        <f>IF(KB234=1,$KB$35,$KB$36)</f>
        <v>0</v>
      </c>
      <c r="KL234" s="13">
        <f>OCC_DAYS*$KB$41*R_NF_2023-KD234*MCD_SHARE_FREED*R_WAIT_2023</f>
        <v>94673.82103225985</v>
      </c>
      <c r="KM234">
        <f>IF($A234&lt;=$KB$45,1,0)</f>
        <v>0</v>
      </c>
      <c r="LB234">
        <f>IF($LB$31&lt;=$LB$32,IF($A234&lt;=$LB$7,1,2),IF($A234&lt;=RUNG_BEDS_2,2,1))</f>
        <v>1</v>
      </c>
      <c r="LC234" s="5">
        <f>MIN(1,MAX(0,$LB$26-($A234-1)))</f>
        <v>1</v>
      </c>
      <c r="LD234" s="5">
        <f>$LB$25*(LC234+(1-LC234)*$LB$16)</f>
        <v>84.01774238227146</v>
      </c>
      <c r="LE234" s="13">
        <f>LD234*($LB$6+ACUTE_MARGIN)</f>
        <v>84857.91980609419</v>
      </c>
      <c r="LF234" s="13">
        <f>IF(LB234=1,$LB$31,$LB$32)</f>
        <v>152394.16214437486</v>
      </c>
      <c r="LG234" s="13">
        <f>LE234-LF234</f>
        <v>-67536.24233828067</v>
      </c>
      <c r="LH234" s="13">
        <f>LH233+LG234</f>
        <v>-10197972.59308042</v>
      </c>
      <c r="LI234">
        <f>IF(LH234=MAX($LH$83:$LH$483),$A234,0)</f>
        <v>0</v>
      </c>
      <c r="LJ234">
        <f>IF(LE234&lt;LF234,$A234,B_MAX+1)</f>
        <v>151</v>
      </c>
      <c r="LK234" s="13">
        <f>IF(LB234=1,$LB$35,$LB$36)</f>
        <v>0</v>
      </c>
      <c r="LL234" s="13">
        <f>OCC_DAYS*$LB$41*R_NF_2023-LD234*MCD_SHARE_FREED*R_WAIT_2023</f>
        <v>113776.04162887059</v>
      </c>
      <c r="LM234">
        <f>IF($A234&lt;=$LB$45,1,0)</f>
        <v>0</v>
      </c>
      <c r="MB234">
        <f>IF($MB$31&lt;=$MB$32,IF($A234&lt;=$MB$7,1,2),IF($A234&lt;=RUNG_BEDS_2,2,1))</f>
        <v>1</v>
      </c>
      <c r="MC234" s="5">
        <f>MIN(1,MAX(0,$MB$26-($A234-1)))</f>
        <v>0.021379364953673985</v>
      </c>
      <c r="MD234" s="5">
        <f>$MB$25*(MC234+(1-MC234)*$MB$16)</f>
        <v>4.5633422731580024</v>
      </c>
      <c r="ME234" s="13">
        <f>MD234*($MB$6+ACUTE_MARGIN)</f>
        <v>4608.975695889582</v>
      </c>
      <c r="MF234" s="13">
        <f>IF(MB234=1,$MB$31,$MB$32)</f>
        <v>152394.16214437486</v>
      </c>
      <c r="MG234" s="13">
        <f>ME234-MF234</f>
        <v>-147785.18644848527</v>
      </c>
      <c r="MH234" s="13">
        <f>MH233+MG234</f>
        <v>9330176.082673404</v>
      </c>
      <c r="MI234">
        <f>IF(MH234=MAX($MH$83:$MH$483),$A234,0)</f>
        <v>0</v>
      </c>
      <c r="MJ234">
        <f>IF(ME234&lt;MF234,$A234,B_MAX+1)</f>
        <v>151</v>
      </c>
      <c r="MK234" s="13">
        <f>IF(MB234=1,$MB$35,$MB$36)</f>
        <v>0</v>
      </c>
      <c r="ML234" s="13">
        <f>OCC_DAYS*$MB$41*R_NF_2023-MD234*MCD_SHARE_FREED*R_WAIT_2023</f>
        <v>149905.44561475815</v>
      </c>
      <c r="MM234">
        <f>IF($A234&lt;=$MB$45,1,0)</f>
        <v>0</v>
      </c>
      <c r="NB234">
        <f>IF($NB$31&lt;=$NB$32,IF($A234&lt;=$NB$7,1,2),IF($A234&lt;=RUNG_BEDS_2,2,1))</f>
        <v>1</v>
      </c>
      <c r="NC234" s="5">
        <f>MIN(1,MAX(0,$NB$26-($A234-1)))</f>
        <v>0.16854335508858753</v>
      </c>
      <c r="ND234" s="5">
        <f>$NB$25*(NC234+(1-NC234)*$NB$16)</f>
        <v>94.87472920987605</v>
      </c>
      <c r="NE234" s="13">
        <f>ND234*($NB$6+ACUTE_MARGIN)</f>
        <v>95823.47650197482</v>
      </c>
      <c r="NF234" s="13">
        <f>IF(NB234=1,$NB$31,$NB$32)</f>
        <v>152394.16214437486</v>
      </c>
      <c r="NG234" s="13">
        <f>NE234-NF234</f>
        <v>-56570.68564240004</v>
      </c>
      <c r="NH234" s="13">
        <f>NH233+NG234</f>
        <v>15270368.905443806</v>
      </c>
      <c r="NI234">
        <f>IF(NH234=MAX($NH$83:$NH$483),$A234,0)</f>
        <v>0</v>
      </c>
      <c r="NJ234">
        <f>IF(NE234&lt;NF234,$A234,B_MAX+1)</f>
        <v>151</v>
      </c>
      <c r="NK234" s="13">
        <f>IF(NB234=1,$NB$35,$NB$36)</f>
        <v>0</v>
      </c>
      <c r="NL234" s="13">
        <f>OCC_DAYS*$NB$41*R_NF_2023-ND234*MCD_SHARE_FREED*R_WAIT_2023</f>
        <v>108839.16635669803</v>
      </c>
      <c r="NM234">
        <f>IF($A234&lt;=$NB$45,1,0)</f>
        <v>0</v>
      </c>
      <c r="OB234">
        <f>IF($OB$31&lt;=$OB$32,IF($A234&lt;=$OB$7,1,2),IF($A234&lt;=RUNG_BEDS_2,2,1))</f>
        <v>1</v>
      </c>
      <c r="OC234" s="5">
        <f>MIN(1,MAX(0,$OB$26-($A234-1)))</f>
        <v>0.16854335508858753</v>
      </c>
      <c r="OD234" s="5">
        <f>$OB$25*(OC234+(1-OC234)*$OB$16)</f>
        <v>147.26756185552216</v>
      </c>
      <c r="OE234" s="13">
        <f>OD234*($OB$6+ACUTE_MARGIN)</f>
        <v>148740.23747407738</v>
      </c>
      <c r="OF234" s="13">
        <f>IF(OB234=1,$OB$31,$OB$32)</f>
        <v>152394.16214437486</v>
      </c>
      <c r="OG234" s="13">
        <f>OE234-OF234</f>
        <v>-3653.924670297478</v>
      </c>
      <c r="OH234" s="13">
        <f>OH233+OG234</f>
        <v>15323285.66641591</v>
      </c>
      <c r="OI234">
        <f>IF(OH234=MAX($OH$83:$OH$483),$A234,0)</f>
        <v>0</v>
      </c>
      <c r="OJ234">
        <f>IF(OE234&lt;OF234,$A234,B_MAX+1)</f>
        <v>151</v>
      </c>
      <c r="OK234" s="13">
        <f>IF(OB234=1,$OB$35,$OB$36)</f>
        <v>0</v>
      </c>
      <c r="OL234" s="13">
        <f>OCC_DAYS*$OB$41*R_NF_2023-OD234*MCD_SHARE_FREED*R_WAIT_2023</f>
        <v>85015.16398527457</v>
      </c>
      <c r="OM234">
        <f>IF($A234&lt;=$OB$45,1,0)</f>
        <v>0</v>
      </c>
    </row>
    <row r="235">
      <c r="A235" t="n">
        <v>152</v>
      </c>
      <c r="B235">
        <f>IF($B$31&lt;=$B$32,IF($A235&lt;=$B$7,1,2),IF($A235&lt;=RUNG_BEDS_2,2,1))</f>
        <v>1</v>
      </c>
      <c r="C235" s="5">
        <f>MIN(1,MAX(0,$B$26-($A235-1)))</f>
        <v>0</v>
      </c>
      <c r="D235" s="5">
        <f>$B$25*(C235+(1-C235)*$B$16)</f>
        <v>0.0</v>
      </c>
      <c r="E235" s="13">
        <f>D235*($B$6+ACUTE_MARGIN)</f>
        <v>0.0</v>
      </c>
      <c r="F235" s="13">
        <f>IF(B235=1,$B$31,$B$32)</f>
        <v>152394.16214437486</v>
      </c>
      <c r="G235" s="13">
        <f>E235-F235</f>
        <v>-152394.16214437486</v>
      </c>
      <c r="H235" s="13">
        <f>H234+G235</f>
        <v>15065057.98232733</v>
      </c>
      <c r="I235">
        <f>IF(H235=MAX($H$83:$H$483),$A235,0)</f>
        <v>0</v>
      </c>
      <c r="J235">
        <f>IF(E235&lt;F235,$A235,B_MAX+1)</f>
        <v>152</v>
      </c>
      <c r="K235" s="13">
        <f>IF(B235=1,$B$35,$B$36)</f>
        <v>0</v>
      </c>
      <c r="L235" s="13">
        <f>OCC_DAYS*$B$41*R_NF_2023-D235*MCD_SHARE_FREED*R_WAIT_2023</f>
        <v>151980.48282209205</v>
      </c>
      <c r="M235">
        <f>IF($A235&lt;=$B$45,1,0)</f>
        <v>0</v>
      </c>
      <c r="AB235">
        <f>IF($AB$31&lt;=$AB$32,IF($A235&lt;=$AB$7,1,2),IF($A235&lt;=RUNG_BEDS_2,2,1))</f>
        <v>1</v>
      </c>
      <c r="AC235" s="5">
        <f>MIN(1,MAX(0,$AB$26-($A235-1)))</f>
        <v>0</v>
      </c>
      <c r="AD235" s="5">
        <f>$AB$25*(AC235+(1-AC235)*$AB$16)</f>
        <v>0.0</v>
      </c>
      <c r="AE235" s="13">
        <f>AD235*($AB$6+ACUTE_MARGIN)</f>
        <v>0.0</v>
      </c>
      <c r="AF235" s="13">
        <f>IF(AB235=1,$AB$31,$AB$32)</f>
        <v>152394.16214437486</v>
      </c>
      <c r="AG235" s="13">
        <f>AE235-AF235</f>
        <v>-152394.16214437486</v>
      </c>
      <c r="AH235" s="13">
        <f>AH234+AG235</f>
        <v>-2346156.363222463</v>
      </c>
      <c r="AI235">
        <f>IF(AH235=MAX($AH$83:$AH$483),$A235,0)</f>
        <v>0</v>
      </c>
      <c r="AJ235">
        <f>IF(AE235&lt;AF235,$A235,B_MAX+1)</f>
        <v>152</v>
      </c>
      <c r="AK235" s="13">
        <f>IF(AB235=1,$AB$35,$AB$36)</f>
        <v>0</v>
      </c>
      <c r="AL235" s="13">
        <f>OCC_DAYS*$AB$41*R_NF_2023-AD235*MCD_SHARE_FREED*R_WAIT_2023</f>
        <v>151980.48282209205</v>
      </c>
      <c r="AM235">
        <f>IF($A235&lt;=$AB$45,1,0)</f>
        <v>0</v>
      </c>
      <c r="BB235">
        <f>IF($BB$31&lt;=$BB$32,IF($A235&lt;=$BB$7,1,2),IF($A235&lt;=RUNG_BEDS_2,2,1))</f>
        <v>1</v>
      </c>
      <c r="BC235" s="5">
        <f>MIN(1,MAX(0,$BB$26-($A235-1)))</f>
        <v>0</v>
      </c>
      <c r="BD235" s="5">
        <f>$BB$25*(BC235+(1-BC235)*$BB$16)</f>
        <v>0.0</v>
      </c>
      <c r="BE235" s="13">
        <f>BD235*($BB$6+ACUTE_MARGIN)</f>
        <v>0.0</v>
      </c>
      <c r="BF235" s="13">
        <f>IF(BB235=1,$BB$31,$BB$32)</f>
        <v>152394.16214437486</v>
      </c>
      <c r="BG235" s="13">
        <f>BE235-BF235</f>
        <v>-152394.16214437486</v>
      </c>
      <c r="BH235" s="13">
        <f>BH234+BG235</f>
        <v>32476272.327876993</v>
      </c>
      <c r="BI235">
        <f>IF(BH235=MAX($BH$83:$BH$483),$A235,0)</f>
        <v>0</v>
      </c>
      <c r="BJ235">
        <f>IF(BE235&lt;BF235,$A235,B_MAX+1)</f>
        <v>152</v>
      </c>
      <c r="BK235" s="13">
        <f>IF(BB235=1,$BB$35,$BB$36)</f>
        <v>0</v>
      </c>
      <c r="BL235" s="13">
        <f>OCC_DAYS*$BB$41*R_NF_2023-BD235*MCD_SHARE_FREED*R_WAIT_2023</f>
        <v>151980.48282209205</v>
      </c>
      <c r="BM235">
        <f>IF($A235&lt;=$BB$45,1,0)</f>
        <v>0</v>
      </c>
      <c r="CB235">
        <f>IF($CB$31&lt;=$CB$32,IF($A235&lt;=$CB$7,1,2),IF($A235&lt;=RUNG_BEDS_2,2,1))</f>
        <v>2</v>
      </c>
      <c r="CC235" s="5">
        <f>MIN(1,MAX(0,$CB$26-($A235-1)))</f>
        <v>0</v>
      </c>
      <c r="CD235" s="5">
        <f>$CB$25*(CC235+(1-CC235)*$CB$16)</f>
        <v>0.0</v>
      </c>
      <c r="CE235" s="13">
        <f>CD235*($CB$6+ACUTE_MARGIN)</f>
        <v>0.0</v>
      </c>
      <c r="CF235" s="13">
        <f>IF(CB235=1,$CB$31,$CB$32)</f>
        <v>160718.36940738867</v>
      </c>
      <c r="CG235" s="13">
        <f>CE235-CF235</f>
        <v>-160718.36940738867</v>
      </c>
      <c r="CH235" s="13">
        <f>CH234+CG235</f>
        <v>13799778.478349159</v>
      </c>
      <c r="CI235">
        <f>IF(CH235=MAX($CH$83:$CH$483),$A235,0)</f>
        <v>0</v>
      </c>
      <c r="CJ235">
        <f>IF(CE235&lt;CF235,$A235,B_MAX+1)</f>
        <v>152</v>
      </c>
      <c r="CK235" s="13">
        <f>IF(CB235=1,$CB$35,$CB$36)</f>
        <v>1560.1194073886782</v>
      </c>
      <c r="CL235" s="13">
        <f>OCC_DAYS*$CB$41*R_NF_2023-CD235*MCD_SHARE_FREED*R_WAIT_2023</f>
        <v>151980.48282209205</v>
      </c>
      <c r="CM235">
        <f>IF($A235&lt;=$CB$45,1,0)</f>
        <v>0</v>
      </c>
      <c r="DB235">
        <f>IF($DB$31&lt;=$DB$32,IF($A235&lt;=$DB$7,1,2),IF($A235&lt;=RUNG_BEDS_2,2,1))</f>
        <v>1</v>
      </c>
      <c r="DC235" s="5">
        <f>MIN(1,MAX(0,$DB$26-($A235-1)))</f>
        <v>0</v>
      </c>
      <c r="DD235" s="5">
        <f>$DB$25*(DC235+(1-DC235)*$DB$16)</f>
        <v>0.0</v>
      </c>
      <c r="DE235" s="13">
        <f>DD235*($DB$6+ACUTE_MARGIN)</f>
        <v>0.0</v>
      </c>
      <c r="DF235" s="13">
        <f>IF(DB235=1,$DB$31,$DB$32)</f>
        <v>152394.16214437486</v>
      </c>
      <c r="DG235" s="13">
        <f>DE235-DF235</f>
        <v>-152394.16214437486</v>
      </c>
      <c r="DH235" s="13">
        <f>DH234+DG235</f>
        <v>15065057.98232733</v>
      </c>
      <c r="DI235">
        <f>IF(DH235=MAX($DH$83:$DH$483),$A235,0)</f>
        <v>0</v>
      </c>
      <c r="DJ235">
        <f>IF(DE235&lt;DF235,$A235,B_MAX+1)</f>
        <v>152</v>
      </c>
      <c r="DK235" s="13">
        <f>IF(DB235=1,$DB$35,$DB$36)</f>
        <v>0</v>
      </c>
      <c r="DL235" s="13">
        <f>OCC_DAYS*$DB$41*R_NF_2023-DD235*MCD_SHARE_FREED*R_WAIT_2023</f>
        <v>151980.48282209205</v>
      </c>
      <c r="DM235">
        <f>IF($A235&lt;=$DB$45,1,0)</f>
        <v>0</v>
      </c>
      <c r="EB235">
        <f>IF($EB$31&lt;=$EB$32,IF($A235&lt;=$EB$7,1,2),IF($A235&lt;=RUNG_BEDS_2,2,1))</f>
        <v>1</v>
      </c>
      <c r="EC235" s="5">
        <f>MIN(1,MAX(0,$EB$26-($A235-1)))</f>
        <v>0</v>
      </c>
      <c r="ED235" s="5">
        <f>$EB$25*(EC235+(1-EC235)*$EB$16)</f>
        <v>0.0</v>
      </c>
      <c r="EE235" s="13">
        <f>ED235*($EB$6+ACUTE_MARGIN)</f>
        <v>0.0</v>
      </c>
      <c r="EF235" s="13">
        <f>IF(EB235=1,$EB$31,$EB$32)</f>
        <v>152394.16214437486</v>
      </c>
      <c r="EG235" s="13">
        <f>EE235-EF235</f>
        <v>-152394.16214437486</v>
      </c>
      <c r="EH235" s="13">
        <f>EH234+EG235</f>
        <v>15065057.98232733</v>
      </c>
      <c r="EI235">
        <f>IF(EH235=MAX($EH$83:$EH$483),$A235,0)</f>
        <v>0</v>
      </c>
      <c r="EJ235">
        <f>IF(EE235&lt;EF235,$A235,B_MAX+1)</f>
        <v>152</v>
      </c>
      <c r="EK235" s="13">
        <f>IF(EB235=1,$EB$35,$EB$36)</f>
        <v>0</v>
      </c>
      <c r="EL235" s="13">
        <f>OCC_DAYS*$EB$41*R_NF_2023-ED235*MCD_SHARE_FREED*R_WAIT_2023</f>
        <v>50660.16094069735</v>
      </c>
      <c r="EM235">
        <f>IF($A235&lt;=$EB$45,1,0)</f>
        <v>0</v>
      </c>
      <c r="FB235">
        <f>IF($FB$31&lt;=$FB$32,IF($A235&lt;=$FB$7,1,2),IF($A235&lt;=RUNG_BEDS_2,2,1))</f>
        <v>1</v>
      </c>
      <c r="FC235" s="5">
        <f>MIN(1,MAX(0,$FB$26-($A235-1)))</f>
        <v>0</v>
      </c>
      <c r="FD235" s="5">
        <f>$FB$25*(FC235+(1-FC235)*$FB$16)</f>
        <v>0.0</v>
      </c>
      <c r="FE235" s="13">
        <f>FD235*($FB$6+ACUTE_MARGIN)</f>
        <v>0.0</v>
      </c>
      <c r="FF235" s="13">
        <f>IF(FB235=1,$FB$31,$FB$32)</f>
        <v>156636.04979437485</v>
      </c>
      <c r="FG235" s="13">
        <f>FE235-FF235</f>
        <v>-156636.04979437485</v>
      </c>
      <c r="FH235" s="13">
        <f>FH234+FG235</f>
        <v>14420291.059527216</v>
      </c>
      <c r="FI235">
        <f>IF(FH235=MAX($FH$83:$FH$483),$A235,0)</f>
        <v>0</v>
      </c>
      <c r="FJ235">
        <f>IF(FE235&lt;FF235,$A235,B_MAX+1)</f>
        <v>152</v>
      </c>
      <c r="FK235" s="13">
        <f>IF(FB235=1,$FB$35,$FB$36)</f>
        <v>0</v>
      </c>
      <c r="FL235" s="13">
        <f>OCC_DAYS*$FB$41*R_NF_2023-FD235*MCD_SHARE_FREED*R_WAIT_2023</f>
        <v>151980.48282209205</v>
      </c>
      <c r="FM235">
        <f>IF($A235&lt;=$FB$45,1,0)</f>
        <v>0</v>
      </c>
      <c r="GB235">
        <f>IF($GB$31&lt;=$GB$32,IF($A235&lt;=$GB$7,1,2),IF($A235&lt;=RUNG_BEDS_2,2,1))</f>
        <v>1</v>
      </c>
      <c r="GC235" s="5">
        <f>MIN(1,MAX(0,$GB$26-($A235-1)))</f>
        <v>0</v>
      </c>
      <c r="GD235" s="5">
        <f>$GB$25*(GC235+(1-GC235)*$GB$16)</f>
        <v>0.0</v>
      </c>
      <c r="GE235" s="13">
        <f>GD235*($GB$6+ACUTE_MARGIN)</f>
        <v>0.0</v>
      </c>
      <c r="GF235" s="13">
        <f>IF(GB235=1,$GB$31,$GB$32)</f>
        <v>152394.16214437486</v>
      </c>
      <c r="GG235" s="13">
        <f>GE235-GF235</f>
        <v>-152394.16214437486</v>
      </c>
      <c r="GH235" s="13">
        <f>GH234+GG235</f>
        <v>15065057.98232733</v>
      </c>
      <c r="GI235">
        <f>IF(GH235=MAX($GH$83:$GH$483),$A235,0)</f>
        <v>0</v>
      </c>
      <c r="GJ235">
        <f>IF(GE235&lt;GF235,$A235,B_MAX+1)</f>
        <v>152</v>
      </c>
      <c r="GK235" s="13">
        <f>IF(GB235=1,$GB$35,$GB$36)</f>
        <v>0</v>
      </c>
      <c r="GL235" s="13">
        <f>OCC_DAYS*$GB$41*R_NF_2023-GD235*MCD_SHARE_FREED*R_WAIT_2023</f>
        <v>151980.48282209205</v>
      </c>
      <c r="GM235">
        <f>IF($A235&lt;=$GB$45,1,0)</f>
        <v>0</v>
      </c>
      <c r="HB235">
        <f>IF($HB$31&lt;=$HB$32,IF($A235&lt;=$HB$7,1,2),IF($A235&lt;=RUNG_BEDS_2,2,1))</f>
        <v>1</v>
      </c>
      <c r="HC235" s="5">
        <f>MIN(1,MAX(0,$HB$26-($A235-1)))</f>
        <v>0</v>
      </c>
      <c r="HD235" s="5">
        <f>$HB$25*(HC235+(1-HC235)*$HB$16)</f>
        <v>0.0</v>
      </c>
      <c r="HE235" s="13">
        <f>HD235*($HB$6+ACUTE_MARGIN)</f>
        <v>0.0</v>
      </c>
      <c r="HF235" s="13">
        <f>IF(HB235=1,$HB$31,$HB$32)</f>
        <v>152456.2970814058</v>
      </c>
      <c r="HG235" s="13">
        <f>HE235-HF235</f>
        <v>-152456.2970814058</v>
      </c>
      <c r="HH235" s="13">
        <f>HH234+HG235</f>
        <v>15055613.471898604</v>
      </c>
      <c r="HI235">
        <f>IF(HH235=MAX($HH$83:$HH$483),$A235,0)</f>
        <v>0</v>
      </c>
      <c r="HJ235">
        <f>IF(HE235&lt;HF235,$A235,B_MAX+1)</f>
        <v>152</v>
      </c>
      <c r="HK235" s="13">
        <f>IF(HB235=1,$HB$35,$HB$36)</f>
        <v>0</v>
      </c>
      <c r="HL235" s="13">
        <f>OCC_DAYS*$HB$41*R_NF_2023-HD235*MCD_SHARE_FREED*R_WAIT_2023</f>
        <v>151980.48282209205</v>
      </c>
      <c r="HM235">
        <f>IF($A235&lt;=$HB$45,1,0)</f>
        <v>0</v>
      </c>
      <c r="IB235">
        <f>IF($IB$31&lt;=$IB$32,IF($A235&lt;=$IB$7,1,2),IF($A235&lt;=RUNG_BEDS_2,2,1))</f>
        <v>1</v>
      </c>
      <c r="IC235" s="5">
        <f>MIN(1,MAX(0,$IB$26-($A235-1)))</f>
        <v>0</v>
      </c>
      <c r="ID235" s="5">
        <f>$IB$25*(IC235+(1-IC235)*$IB$16)</f>
        <v>0.0</v>
      </c>
      <c r="IE235" s="13">
        <f>ID235*($IB$6+ACUTE_MARGIN)</f>
        <v>0.0</v>
      </c>
      <c r="IF235" s="13">
        <f>IF(IB235=1,$IB$31,$IB$32)</f>
        <v>152734.9994534971</v>
      </c>
      <c r="IG235" s="13">
        <f>IE235-IF235</f>
        <v>-152734.9994534971</v>
      </c>
      <c r="IH235" s="13">
        <f>IH234+IG235</f>
        <v>15013250.711340645</v>
      </c>
      <c r="II235">
        <f>IF(IH235=MAX($IH$83:$IH$483),$A235,0)</f>
        <v>0</v>
      </c>
      <c r="IJ235">
        <f>IF(IE235&lt;IF235,$A235,B_MAX+1)</f>
        <v>152</v>
      </c>
      <c r="IK235" s="13">
        <f>IF(IB235=1,$IB$35,$IB$36)</f>
        <v>0</v>
      </c>
      <c r="IL235" s="13">
        <f>OCC_DAYS*$IB$41*R_NF_2023-ID235*MCD_SHARE_FREED*R_WAIT_2023</f>
        <v>151980.48282209205</v>
      </c>
      <c r="IM235">
        <f>IF($A235&lt;=$IB$45,1,0)</f>
        <v>0</v>
      </c>
      <c r="JB235">
        <f>IF($JB$31&lt;=$JB$32,IF($A235&lt;=$JB$7,1,2),IF($A235&lt;=RUNG_BEDS_2,2,1))</f>
        <v>1</v>
      </c>
      <c r="JC235" s="5">
        <f>MIN(1,MAX(0,$JB$26-($A235-1)))</f>
        <v>0</v>
      </c>
      <c r="JD235" s="5">
        <f>$JB$25*(JC235+(1-JC235)*$JB$16)</f>
        <v>0.0</v>
      </c>
      <c r="JE235" s="13">
        <f>JD235*($JB$6+ACUTE_MARGIN)</f>
        <v>0.0</v>
      </c>
      <c r="JF235" s="13">
        <f>IF(JB235=1,$JB$31,$JB$32)</f>
        <v>152394.16214437486</v>
      </c>
      <c r="JG235" s="13">
        <f>JE235-JF235</f>
        <v>-152394.16214437486</v>
      </c>
      <c r="JH235" s="13">
        <f>JH234+JG235</f>
        <v>15065057.98232733</v>
      </c>
      <c r="JI235">
        <f>IF(JH235=MAX($JH$83:$JH$483),$A235,0)</f>
        <v>0</v>
      </c>
      <c r="JJ235">
        <f>IF(JE235&lt;JF235,$A235,B_MAX+1)</f>
        <v>152</v>
      </c>
      <c r="JK235" s="13">
        <f>IF(JB235=1,$JB$35,$JB$36)</f>
        <v>0</v>
      </c>
      <c r="JL235" s="13">
        <f>OCC_DAYS*$JB$41*R_NF_2023-JD235*MCD_SHARE_FREED*R_WAIT_2023</f>
        <v>151980.48282209205</v>
      </c>
      <c r="JM235">
        <f>IF($A235&lt;=$JB$45,1,0)</f>
        <v>0</v>
      </c>
      <c r="KB235">
        <f>IF($KB$31&lt;=$KB$32,IF($A235&lt;=$KB$7,1,2),IF($A235&lt;=RUNG_BEDS_2,2,1))</f>
        <v>1</v>
      </c>
      <c r="KC235" s="5">
        <f>MIN(1,MAX(0,$KB$26-($A235-1)))</f>
        <v>1</v>
      </c>
      <c r="KD235" s="5">
        <f>$KB$25*(KC235+(1-KC235)*$KB$16)</f>
        <v>126.02661357340719</v>
      </c>
      <c r="KE235" s="13">
        <f>KD235*($KB$6+ACUTE_MARGIN)</f>
        <v>127286.87970914126</v>
      </c>
      <c r="KF235" s="13">
        <f>IF(KB235=1,$KB$31,$KB$32)</f>
        <v>152394.16214437486</v>
      </c>
      <c r="KG235" s="13">
        <f>KE235-KF235</f>
        <v>-25107.282435233603</v>
      </c>
      <c r="KH235" s="13">
        <f>KH234+KG235</f>
        <v>-3816306.9301555185</v>
      </c>
      <c r="KI235">
        <f>IF(KH235=MAX($KH$83:$KH$483),$A235,0)</f>
        <v>0</v>
      </c>
      <c r="KJ235">
        <f>IF(KE235&lt;KF235,$A235,B_MAX+1)</f>
        <v>152</v>
      </c>
      <c r="KK235" s="13">
        <f>IF(KB235=1,$KB$35,$KB$36)</f>
        <v>0</v>
      </c>
      <c r="KL235" s="13">
        <f>OCC_DAYS*$KB$41*R_NF_2023-KD235*MCD_SHARE_FREED*R_WAIT_2023</f>
        <v>94673.82103225985</v>
      </c>
      <c r="KM235">
        <f>IF($A235&lt;=$KB$45,1,0)</f>
        <v>0</v>
      </c>
      <c r="LB235">
        <f>IF($LB$31&lt;=$LB$32,IF($A235&lt;=$LB$7,1,2),IF($A235&lt;=RUNG_BEDS_2,2,1))</f>
        <v>1</v>
      </c>
      <c r="LC235" s="5">
        <f>MIN(1,MAX(0,$LB$26-($A235-1)))</f>
        <v>1</v>
      </c>
      <c r="LD235" s="5">
        <f>$LB$25*(LC235+(1-LC235)*$LB$16)</f>
        <v>84.01774238227146</v>
      </c>
      <c r="LE235" s="13">
        <f>LD235*($LB$6+ACUTE_MARGIN)</f>
        <v>84857.91980609419</v>
      </c>
      <c r="LF235" s="13">
        <f>IF(LB235=1,$LB$31,$LB$32)</f>
        <v>152394.16214437486</v>
      </c>
      <c r="LG235" s="13">
        <f>LE235-LF235</f>
        <v>-67536.24233828067</v>
      </c>
      <c r="LH235" s="13">
        <f>LH234+LG235</f>
        <v>-10265508.835418701</v>
      </c>
      <c r="LI235">
        <f>IF(LH235=MAX($LH$83:$LH$483),$A235,0)</f>
        <v>0</v>
      </c>
      <c r="LJ235">
        <f>IF(LE235&lt;LF235,$A235,B_MAX+1)</f>
        <v>152</v>
      </c>
      <c r="LK235" s="13">
        <f>IF(LB235=1,$LB$35,$LB$36)</f>
        <v>0</v>
      </c>
      <c r="LL235" s="13">
        <f>OCC_DAYS*$LB$41*R_NF_2023-LD235*MCD_SHARE_FREED*R_WAIT_2023</f>
        <v>113776.04162887059</v>
      </c>
      <c r="LM235">
        <f>IF($A235&lt;=$LB$45,1,0)</f>
        <v>0</v>
      </c>
      <c r="MB235">
        <f>IF($MB$31&lt;=$MB$32,IF($A235&lt;=$MB$7,1,2),IF($A235&lt;=RUNG_BEDS_2,2,1))</f>
        <v>1</v>
      </c>
      <c r="MC235" s="5">
        <f>MIN(1,MAX(0,$MB$26-($A235-1)))</f>
        <v>0</v>
      </c>
      <c r="MD235" s="5">
        <f>$MB$25*(MC235+(1-MC235)*$MB$16)</f>
        <v>0.0</v>
      </c>
      <c r="ME235" s="13">
        <f>MD235*($MB$6+ACUTE_MARGIN)</f>
        <v>0.0</v>
      </c>
      <c r="MF235" s="13">
        <f>IF(MB235=1,$MB$31,$MB$32)</f>
        <v>152394.16214437486</v>
      </c>
      <c r="MG235" s="13">
        <f>ME235-MF235</f>
        <v>-152394.16214437486</v>
      </c>
      <c r="MH235" s="13">
        <f>MH234+MG235</f>
        <v>9177781.92052903</v>
      </c>
      <c r="MI235">
        <f>IF(MH235=MAX($MH$83:$MH$483),$A235,0)</f>
        <v>0</v>
      </c>
      <c r="MJ235">
        <f>IF(ME235&lt;MF235,$A235,B_MAX+1)</f>
        <v>152</v>
      </c>
      <c r="MK235" s="13">
        <f>IF(MB235=1,$MB$35,$MB$36)</f>
        <v>0</v>
      </c>
      <c r="ML235" s="13">
        <f>OCC_DAYS*$MB$41*R_NF_2023-MD235*MCD_SHARE_FREED*R_WAIT_2023</f>
        <v>151980.48282209205</v>
      </c>
      <c r="MM235">
        <f>IF($A235&lt;=$MB$45,1,0)</f>
        <v>0</v>
      </c>
      <c r="NB235">
        <f>IF($NB$31&lt;=$NB$32,IF($A235&lt;=$NB$7,1,2),IF($A235&lt;=RUNG_BEDS_2,2,1))</f>
        <v>1</v>
      </c>
      <c r="NC235" s="5">
        <f>MIN(1,MAX(0,$NB$26-($A235-1)))</f>
        <v>0</v>
      </c>
      <c r="ND235" s="5">
        <f>$NB$25*(NC235+(1-NC235)*$NB$16)</f>
        <v>63.013306786703595</v>
      </c>
      <c r="NE235" s="13">
        <f>ND235*($NB$6+ACUTE_MARGIN)</f>
        <v>63643.43985457063</v>
      </c>
      <c r="NF235" s="13">
        <f>IF(NB235=1,$NB$31,$NB$32)</f>
        <v>152394.16214437486</v>
      </c>
      <c r="NG235" s="13">
        <f>NE235-NF235</f>
        <v>-88750.72228980422</v>
      </c>
      <c r="NH235" s="13">
        <f>NH234+NG235</f>
        <v>15181618.183154002</v>
      </c>
      <c r="NI235">
        <f>IF(NH235=MAX($NH$83:$NH$483),$A235,0)</f>
        <v>0</v>
      </c>
      <c r="NJ235">
        <f>IF(NE235&lt;NF235,$A235,B_MAX+1)</f>
        <v>152</v>
      </c>
      <c r="NK235" s="13">
        <f>IF(NB235=1,$NB$35,$NB$36)</f>
        <v>0</v>
      </c>
      <c r="NL235" s="13">
        <f>OCC_DAYS*$NB$41*R_NF_2023-ND235*MCD_SHARE_FREED*R_WAIT_2023</f>
        <v>123327.15192717595</v>
      </c>
      <c r="NM235">
        <f>IF($A235&lt;=$NB$45,1,0)</f>
        <v>0</v>
      </c>
      <c r="OB235">
        <f>IF($OB$31&lt;=$OB$32,IF($A235&lt;=$OB$7,1,2),IF($A235&lt;=RUNG_BEDS_2,2,1))</f>
        <v>1</v>
      </c>
      <c r="OC235" s="5">
        <f>MIN(1,MAX(0,$OB$26-($A235-1)))</f>
        <v>0</v>
      </c>
      <c r="OD235" s="5">
        <f>$OB$25*(OC235+(1-OC235)*$OB$16)</f>
        <v>126.02661357340719</v>
      </c>
      <c r="OE235" s="13">
        <f>OD235*($OB$6+ACUTE_MARGIN)</f>
        <v>127286.87970914126</v>
      </c>
      <c r="OF235" s="13">
        <f>IF(OB235=1,$OB$31,$OB$32)</f>
        <v>152394.16214437486</v>
      </c>
      <c r="OG235" s="13">
        <f>OE235-OF235</f>
        <v>-25107.282435233603</v>
      </c>
      <c r="OH235" s="13">
        <f>OH234+OG235</f>
        <v>15298178.383980677</v>
      </c>
      <c r="OI235">
        <f>IF(OH235=MAX($OH$83:$OH$483),$A235,0)</f>
        <v>0</v>
      </c>
      <c r="OJ235">
        <f>IF(OE235&lt;OF235,$A235,B_MAX+1)</f>
        <v>152</v>
      </c>
      <c r="OK235" s="13">
        <f>IF(OB235=1,$OB$35,$OB$36)</f>
        <v>0</v>
      </c>
      <c r="OL235" s="13">
        <f>OCC_DAYS*$OB$41*R_NF_2023-OD235*MCD_SHARE_FREED*R_WAIT_2023</f>
        <v>94673.82103225985</v>
      </c>
      <c r="OM235">
        <f>IF($A235&lt;=$OB$45,1,0)</f>
        <v>0</v>
      </c>
    </row>
    <row r="236">
      <c r="A236" t="n">
        <v>153</v>
      </c>
      <c r="B236">
        <f>IF($B$31&lt;=$B$32,IF($A236&lt;=$B$7,1,2),IF($A236&lt;=RUNG_BEDS_2,2,1))</f>
        <v>1</v>
      </c>
      <c r="C236" s="5">
        <f>MIN(1,MAX(0,$B$26-($A236-1)))</f>
        <v>0</v>
      </c>
      <c r="D236" s="5">
        <f>$B$25*(C236+(1-C236)*$B$16)</f>
        <v>0.0</v>
      </c>
      <c r="E236" s="13">
        <f>D236*($B$6+ACUTE_MARGIN)</f>
        <v>0.0</v>
      </c>
      <c r="F236" s="13">
        <f>IF(B236=1,$B$31,$B$32)</f>
        <v>152394.16214437486</v>
      </c>
      <c r="G236" s="13">
        <f>E236-F236</f>
        <v>-152394.16214437486</v>
      </c>
      <c r="H236" s="13">
        <f>H235+G236</f>
        <v>14912663.820182957</v>
      </c>
      <c r="I236">
        <f>IF(H236=MAX($H$83:$H$483),$A236,0)</f>
        <v>0</v>
      </c>
      <c r="J236">
        <f>IF(E236&lt;F236,$A236,B_MAX+1)</f>
        <v>153</v>
      </c>
      <c r="K236" s="13">
        <f>IF(B236=1,$B$35,$B$36)</f>
        <v>0</v>
      </c>
      <c r="L236" s="13">
        <f>OCC_DAYS*$B$41*R_NF_2023-D236*MCD_SHARE_FREED*R_WAIT_2023</f>
        <v>151980.48282209205</v>
      </c>
      <c r="M236">
        <f>IF($A236&lt;=$B$45,1,0)</f>
        <v>0</v>
      </c>
      <c r="AB236">
        <f>IF($AB$31&lt;=$AB$32,IF($A236&lt;=$AB$7,1,2),IF($A236&lt;=RUNG_BEDS_2,2,1))</f>
        <v>1</v>
      </c>
      <c r="AC236" s="5">
        <f>MIN(1,MAX(0,$AB$26-($A236-1)))</f>
        <v>0</v>
      </c>
      <c r="AD236" s="5">
        <f>$AB$25*(AC236+(1-AC236)*$AB$16)</f>
        <v>0.0</v>
      </c>
      <c r="AE236" s="13">
        <f>AD236*($AB$6+ACUTE_MARGIN)</f>
        <v>0.0</v>
      </c>
      <c r="AF236" s="13">
        <f>IF(AB236=1,$AB$31,$AB$32)</f>
        <v>152394.16214437486</v>
      </c>
      <c r="AG236" s="13">
        <f>AE236-AF236</f>
        <v>-152394.16214437486</v>
      </c>
      <c r="AH236" s="13">
        <f>AH235+AG236</f>
        <v>-2498550.525366838</v>
      </c>
      <c r="AI236">
        <f>IF(AH236=MAX($AH$83:$AH$483),$A236,0)</f>
        <v>0</v>
      </c>
      <c r="AJ236">
        <f>IF(AE236&lt;AF236,$A236,B_MAX+1)</f>
        <v>153</v>
      </c>
      <c r="AK236" s="13">
        <f>IF(AB236=1,$AB$35,$AB$36)</f>
        <v>0</v>
      </c>
      <c r="AL236" s="13">
        <f>OCC_DAYS*$AB$41*R_NF_2023-AD236*MCD_SHARE_FREED*R_WAIT_2023</f>
        <v>151980.48282209205</v>
      </c>
      <c r="AM236">
        <f>IF($A236&lt;=$AB$45,1,0)</f>
        <v>0</v>
      </c>
      <c r="BB236">
        <f>IF($BB$31&lt;=$BB$32,IF($A236&lt;=$BB$7,1,2),IF($A236&lt;=RUNG_BEDS_2,2,1))</f>
        <v>1</v>
      </c>
      <c r="BC236" s="5">
        <f>MIN(1,MAX(0,$BB$26-($A236-1)))</f>
        <v>0</v>
      </c>
      <c r="BD236" s="5">
        <f>$BB$25*(BC236+(1-BC236)*$BB$16)</f>
        <v>0.0</v>
      </c>
      <c r="BE236" s="13">
        <f>BD236*($BB$6+ACUTE_MARGIN)</f>
        <v>0.0</v>
      </c>
      <c r="BF236" s="13">
        <f>IF(BB236=1,$BB$31,$BB$32)</f>
        <v>152394.16214437486</v>
      </c>
      <c r="BG236" s="13">
        <f>BE236-BF236</f>
        <v>-152394.16214437486</v>
      </c>
      <c r="BH236" s="13">
        <f>BH235+BG236</f>
        <v>32323878.16573262</v>
      </c>
      <c r="BI236">
        <f>IF(BH236=MAX($BH$83:$BH$483),$A236,0)</f>
        <v>0</v>
      </c>
      <c r="BJ236">
        <f>IF(BE236&lt;BF236,$A236,B_MAX+1)</f>
        <v>153</v>
      </c>
      <c r="BK236" s="13">
        <f>IF(BB236=1,$BB$35,$BB$36)</f>
        <v>0</v>
      </c>
      <c r="BL236" s="13">
        <f>OCC_DAYS*$BB$41*R_NF_2023-BD236*MCD_SHARE_FREED*R_WAIT_2023</f>
        <v>151980.48282209205</v>
      </c>
      <c r="BM236">
        <f>IF($A236&lt;=$BB$45,1,0)</f>
        <v>0</v>
      </c>
      <c r="CB236">
        <f>IF($CB$31&lt;=$CB$32,IF($A236&lt;=$CB$7,1,2),IF($A236&lt;=RUNG_BEDS_2,2,1))</f>
        <v>2</v>
      </c>
      <c r="CC236" s="5">
        <f>MIN(1,MAX(0,$CB$26-($A236-1)))</f>
        <v>0</v>
      </c>
      <c r="CD236" s="5">
        <f>$CB$25*(CC236+(1-CC236)*$CB$16)</f>
        <v>0.0</v>
      </c>
      <c r="CE236" s="13">
        <f>CD236*($CB$6+ACUTE_MARGIN)</f>
        <v>0.0</v>
      </c>
      <c r="CF236" s="13">
        <f>IF(CB236=1,$CB$31,$CB$32)</f>
        <v>160718.36940738867</v>
      </c>
      <c r="CG236" s="13">
        <f>CE236-CF236</f>
        <v>-160718.36940738867</v>
      </c>
      <c r="CH236" s="13">
        <f>CH235+CG236</f>
        <v>13639060.10894177</v>
      </c>
      <c r="CI236">
        <f>IF(CH236=MAX($CH$83:$CH$483),$A236,0)</f>
        <v>0</v>
      </c>
      <c r="CJ236">
        <f>IF(CE236&lt;CF236,$A236,B_MAX+1)</f>
        <v>153</v>
      </c>
      <c r="CK236" s="13">
        <f>IF(CB236=1,$CB$35,$CB$36)</f>
        <v>1560.1194073886782</v>
      </c>
      <c r="CL236" s="13">
        <f>OCC_DAYS*$CB$41*R_NF_2023-CD236*MCD_SHARE_FREED*R_WAIT_2023</f>
        <v>151980.48282209205</v>
      </c>
      <c r="CM236">
        <f>IF($A236&lt;=$CB$45,1,0)</f>
        <v>0</v>
      </c>
      <c r="DB236">
        <f>IF($DB$31&lt;=$DB$32,IF($A236&lt;=$DB$7,1,2),IF($A236&lt;=RUNG_BEDS_2,2,1))</f>
        <v>1</v>
      </c>
      <c r="DC236" s="5">
        <f>MIN(1,MAX(0,$DB$26-($A236-1)))</f>
        <v>0</v>
      </c>
      <c r="DD236" s="5">
        <f>$DB$25*(DC236+(1-DC236)*$DB$16)</f>
        <v>0.0</v>
      </c>
      <c r="DE236" s="13">
        <f>DD236*($DB$6+ACUTE_MARGIN)</f>
        <v>0.0</v>
      </c>
      <c r="DF236" s="13">
        <f>IF(DB236=1,$DB$31,$DB$32)</f>
        <v>152394.16214437486</v>
      </c>
      <c r="DG236" s="13">
        <f>DE236-DF236</f>
        <v>-152394.16214437486</v>
      </c>
      <c r="DH236" s="13">
        <f>DH235+DG236</f>
        <v>14912663.820182957</v>
      </c>
      <c r="DI236">
        <f>IF(DH236=MAX($DH$83:$DH$483),$A236,0)</f>
        <v>0</v>
      </c>
      <c r="DJ236">
        <f>IF(DE236&lt;DF236,$A236,B_MAX+1)</f>
        <v>153</v>
      </c>
      <c r="DK236" s="13">
        <f>IF(DB236=1,$DB$35,$DB$36)</f>
        <v>0</v>
      </c>
      <c r="DL236" s="13">
        <f>OCC_DAYS*$DB$41*R_NF_2023-DD236*MCD_SHARE_FREED*R_WAIT_2023</f>
        <v>151980.48282209205</v>
      </c>
      <c r="DM236">
        <f>IF($A236&lt;=$DB$45,1,0)</f>
        <v>0</v>
      </c>
      <c r="EB236">
        <f>IF($EB$31&lt;=$EB$32,IF($A236&lt;=$EB$7,1,2),IF($A236&lt;=RUNG_BEDS_2,2,1))</f>
        <v>1</v>
      </c>
      <c r="EC236" s="5">
        <f>MIN(1,MAX(0,$EB$26-($A236-1)))</f>
        <v>0</v>
      </c>
      <c r="ED236" s="5">
        <f>$EB$25*(EC236+(1-EC236)*$EB$16)</f>
        <v>0.0</v>
      </c>
      <c r="EE236" s="13">
        <f>ED236*($EB$6+ACUTE_MARGIN)</f>
        <v>0.0</v>
      </c>
      <c r="EF236" s="13">
        <f>IF(EB236=1,$EB$31,$EB$32)</f>
        <v>152394.16214437486</v>
      </c>
      <c r="EG236" s="13">
        <f>EE236-EF236</f>
        <v>-152394.16214437486</v>
      </c>
      <c r="EH236" s="13">
        <f>EH235+EG236</f>
        <v>14912663.820182957</v>
      </c>
      <c r="EI236">
        <f>IF(EH236=MAX($EH$83:$EH$483),$A236,0)</f>
        <v>0</v>
      </c>
      <c r="EJ236">
        <f>IF(EE236&lt;EF236,$A236,B_MAX+1)</f>
        <v>153</v>
      </c>
      <c r="EK236" s="13">
        <f>IF(EB236=1,$EB$35,$EB$36)</f>
        <v>0</v>
      </c>
      <c r="EL236" s="13">
        <f>OCC_DAYS*$EB$41*R_NF_2023-ED236*MCD_SHARE_FREED*R_WAIT_2023</f>
        <v>50660.16094069735</v>
      </c>
      <c r="EM236">
        <f>IF($A236&lt;=$EB$45,1,0)</f>
        <v>0</v>
      </c>
      <c r="FB236">
        <f>IF($FB$31&lt;=$FB$32,IF($A236&lt;=$FB$7,1,2),IF($A236&lt;=RUNG_BEDS_2,2,1))</f>
        <v>1</v>
      </c>
      <c r="FC236" s="5">
        <f>MIN(1,MAX(0,$FB$26-($A236-1)))</f>
        <v>0</v>
      </c>
      <c r="FD236" s="5">
        <f>$FB$25*(FC236+(1-FC236)*$FB$16)</f>
        <v>0.0</v>
      </c>
      <c r="FE236" s="13">
        <f>FD236*($FB$6+ACUTE_MARGIN)</f>
        <v>0.0</v>
      </c>
      <c r="FF236" s="13">
        <f>IF(FB236=1,$FB$31,$FB$32)</f>
        <v>156636.04979437485</v>
      </c>
      <c r="FG236" s="13">
        <f>FE236-FF236</f>
        <v>-156636.04979437485</v>
      </c>
      <c r="FH236" s="13">
        <f>FH235+FG236</f>
        <v>14263655.009732842</v>
      </c>
      <c r="FI236">
        <f>IF(FH236=MAX($FH$83:$FH$483),$A236,0)</f>
        <v>0</v>
      </c>
      <c r="FJ236">
        <f>IF(FE236&lt;FF236,$A236,B_MAX+1)</f>
        <v>153</v>
      </c>
      <c r="FK236" s="13">
        <f>IF(FB236=1,$FB$35,$FB$36)</f>
        <v>0</v>
      </c>
      <c r="FL236" s="13">
        <f>OCC_DAYS*$FB$41*R_NF_2023-FD236*MCD_SHARE_FREED*R_WAIT_2023</f>
        <v>151980.48282209205</v>
      </c>
      <c r="FM236">
        <f>IF($A236&lt;=$FB$45,1,0)</f>
        <v>0</v>
      </c>
      <c r="GB236">
        <f>IF($GB$31&lt;=$GB$32,IF($A236&lt;=$GB$7,1,2),IF($A236&lt;=RUNG_BEDS_2,2,1))</f>
        <v>1</v>
      </c>
      <c r="GC236" s="5">
        <f>MIN(1,MAX(0,$GB$26-($A236-1)))</f>
        <v>0</v>
      </c>
      <c r="GD236" s="5">
        <f>$GB$25*(GC236+(1-GC236)*$GB$16)</f>
        <v>0.0</v>
      </c>
      <c r="GE236" s="13">
        <f>GD236*($GB$6+ACUTE_MARGIN)</f>
        <v>0.0</v>
      </c>
      <c r="GF236" s="13">
        <f>IF(GB236=1,$GB$31,$GB$32)</f>
        <v>152394.16214437486</v>
      </c>
      <c r="GG236" s="13">
        <f>GE236-GF236</f>
        <v>-152394.16214437486</v>
      </c>
      <c r="GH236" s="13">
        <f>GH235+GG236</f>
        <v>14912663.820182957</v>
      </c>
      <c r="GI236">
        <f>IF(GH236=MAX($GH$83:$GH$483),$A236,0)</f>
        <v>0</v>
      </c>
      <c r="GJ236">
        <f>IF(GE236&lt;GF236,$A236,B_MAX+1)</f>
        <v>153</v>
      </c>
      <c r="GK236" s="13">
        <f>IF(GB236=1,$GB$35,$GB$36)</f>
        <v>0</v>
      </c>
      <c r="GL236" s="13">
        <f>OCC_DAYS*$GB$41*R_NF_2023-GD236*MCD_SHARE_FREED*R_WAIT_2023</f>
        <v>151980.48282209205</v>
      </c>
      <c r="GM236">
        <f>IF($A236&lt;=$GB$45,1,0)</f>
        <v>0</v>
      </c>
      <c r="HB236">
        <f>IF($HB$31&lt;=$HB$32,IF($A236&lt;=$HB$7,1,2),IF($A236&lt;=RUNG_BEDS_2,2,1))</f>
        <v>1</v>
      </c>
      <c r="HC236" s="5">
        <f>MIN(1,MAX(0,$HB$26-($A236-1)))</f>
        <v>0</v>
      </c>
      <c r="HD236" s="5">
        <f>$HB$25*(HC236+(1-HC236)*$HB$16)</f>
        <v>0.0</v>
      </c>
      <c r="HE236" s="13">
        <f>HD236*($HB$6+ACUTE_MARGIN)</f>
        <v>0.0</v>
      </c>
      <c r="HF236" s="13">
        <f>IF(HB236=1,$HB$31,$HB$32)</f>
        <v>152456.2970814058</v>
      </c>
      <c r="HG236" s="13">
        <f>HE236-HF236</f>
        <v>-152456.2970814058</v>
      </c>
      <c r="HH236" s="13">
        <f>HH235+HG236</f>
        <v>14903157.174817199</v>
      </c>
      <c r="HI236">
        <f>IF(HH236=MAX($HH$83:$HH$483),$A236,0)</f>
        <v>0</v>
      </c>
      <c r="HJ236">
        <f>IF(HE236&lt;HF236,$A236,B_MAX+1)</f>
        <v>153</v>
      </c>
      <c r="HK236" s="13">
        <f>IF(HB236=1,$HB$35,$HB$36)</f>
        <v>0</v>
      </c>
      <c r="HL236" s="13">
        <f>OCC_DAYS*$HB$41*R_NF_2023-HD236*MCD_SHARE_FREED*R_WAIT_2023</f>
        <v>151980.48282209205</v>
      </c>
      <c r="HM236">
        <f>IF($A236&lt;=$HB$45,1,0)</f>
        <v>0</v>
      </c>
      <c r="IB236">
        <f>IF($IB$31&lt;=$IB$32,IF($A236&lt;=$IB$7,1,2),IF($A236&lt;=RUNG_BEDS_2,2,1))</f>
        <v>1</v>
      </c>
      <c r="IC236" s="5">
        <f>MIN(1,MAX(0,$IB$26-($A236-1)))</f>
        <v>0</v>
      </c>
      <c r="ID236" s="5">
        <f>$IB$25*(IC236+(1-IC236)*$IB$16)</f>
        <v>0.0</v>
      </c>
      <c r="IE236" s="13">
        <f>ID236*($IB$6+ACUTE_MARGIN)</f>
        <v>0.0</v>
      </c>
      <c r="IF236" s="13">
        <f>IF(IB236=1,$IB$31,$IB$32)</f>
        <v>152734.9994534971</v>
      </c>
      <c r="IG236" s="13">
        <f>IE236-IF236</f>
        <v>-152734.9994534971</v>
      </c>
      <c r="IH236" s="13">
        <f>IH235+IG236</f>
        <v>14860515.71188715</v>
      </c>
      <c r="II236">
        <f>IF(IH236=MAX($IH$83:$IH$483),$A236,0)</f>
        <v>0</v>
      </c>
      <c r="IJ236">
        <f>IF(IE236&lt;IF236,$A236,B_MAX+1)</f>
        <v>153</v>
      </c>
      <c r="IK236" s="13">
        <f>IF(IB236=1,$IB$35,$IB$36)</f>
        <v>0</v>
      </c>
      <c r="IL236" s="13">
        <f>OCC_DAYS*$IB$41*R_NF_2023-ID236*MCD_SHARE_FREED*R_WAIT_2023</f>
        <v>151980.48282209205</v>
      </c>
      <c r="IM236">
        <f>IF($A236&lt;=$IB$45,1,0)</f>
        <v>0</v>
      </c>
      <c r="JB236">
        <f>IF($JB$31&lt;=$JB$32,IF($A236&lt;=$JB$7,1,2),IF($A236&lt;=RUNG_BEDS_2,2,1))</f>
        <v>1</v>
      </c>
      <c r="JC236" s="5">
        <f>MIN(1,MAX(0,$JB$26-($A236-1)))</f>
        <v>0</v>
      </c>
      <c r="JD236" s="5">
        <f>$JB$25*(JC236+(1-JC236)*$JB$16)</f>
        <v>0.0</v>
      </c>
      <c r="JE236" s="13">
        <f>JD236*($JB$6+ACUTE_MARGIN)</f>
        <v>0.0</v>
      </c>
      <c r="JF236" s="13">
        <f>IF(JB236=1,$JB$31,$JB$32)</f>
        <v>152394.16214437486</v>
      </c>
      <c r="JG236" s="13">
        <f>JE236-JF236</f>
        <v>-152394.16214437486</v>
      </c>
      <c r="JH236" s="13">
        <f>JH235+JG236</f>
        <v>14912663.820182957</v>
      </c>
      <c r="JI236">
        <f>IF(JH236=MAX($JH$83:$JH$483),$A236,0)</f>
        <v>0</v>
      </c>
      <c r="JJ236">
        <f>IF(JE236&lt;JF236,$A236,B_MAX+1)</f>
        <v>153</v>
      </c>
      <c r="JK236" s="13">
        <f>IF(JB236=1,$JB$35,$JB$36)</f>
        <v>0</v>
      </c>
      <c r="JL236" s="13">
        <f>OCC_DAYS*$JB$41*R_NF_2023-JD236*MCD_SHARE_FREED*R_WAIT_2023</f>
        <v>151980.48282209205</v>
      </c>
      <c r="JM236">
        <f>IF($A236&lt;=$JB$45,1,0)</f>
        <v>0</v>
      </c>
      <c r="KB236">
        <f>IF($KB$31&lt;=$KB$32,IF($A236&lt;=$KB$7,1,2),IF($A236&lt;=RUNG_BEDS_2,2,1))</f>
        <v>1</v>
      </c>
      <c r="KC236" s="5">
        <f>MIN(1,MAX(0,$KB$26-($A236-1)))</f>
        <v>1</v>
      </c>
      <c r="KD236" s="5">
        <f>$KB$25*(KC236+(1-KC236)*$KB$16)</f>
        <v>126.02661357340719</v>
      </c>
      <c r="KE236" s="13">
        <f>KD236*($KB$6+ACUTE_MARGIN)</f>
        <v>127286.87970914126</v>
      </c>
      <c r="KF236" s="13">
        <f>IF(KB236=1,$KB$31,$KB$32)</f>
        <v>152394.16214437486</v>
      </c>
      <c r="KG236" s="13">
        <f>KE236-KF236</f>
        <v>-25107.282435233603</v>
      </c>
      <c r="KH236" s="13">
        <f>KH235+KG236</f>
        <v>-3841414.212590752</v>
      </c>
      <c r="KI236">
        <f>IF(KH236=MAX($KH$83:$KH$483),$A236,0)</f>
        <v>0</v>
      </c>
      <c r="KJ236">
        <f>IF(KE236&lt;KF236,$A236,B_MAX+1)</f>
        <v>153</v>
      </c>
      <c r="KK236" s="13">
        <f>IF(KB236=1,$KB$35,$KB$36)</f>
        <v>0</v>
      </c>
      <c r="KL236" s="13">
        <f>OCC_DAYS*$KB$41*R_NF_2023-KD236*MCD_SHARE_FREED*R_WAIT_2023</f>
        <v>94673.82103225985</v>
      </c>
      <c r="KM236">
        <f>IF($A236&lt;=$KB$45,1,0)</f>
        <v>0</v>
      </c>
      <c r="LB236">
        <f>IF($LB$31&lt;=$LB$32,IF($A236&lt;=$LB$7,1,2),IF($A236&lt;=RUNG_BEDS_2,2,1))</f>
        <v>1</v>
      </c>
      <c r="LC236" s="5">
        <f>MIN(1,MAX(0,$LB$26-($A236-1)))</f>
        <v>1</v>
      </c>
      <c r="LD236" s="5">
        <f>$LB$25*(LC236+(1-LC236)*$LB$16)</f>
        <v>84.01774238227146</v>
      </c>
      <c r="LE236" s="13">
        <f>LD236*($LB$6+ACUTE_MARGIN)</f>
        <v>84857.91980609419</v>
      </c>
      <c r="LF236" s="13">
        <f>IF(LB236=1,$LB$31,$LB$32)</f>
        <v>152394.16214437486</v>
      </c>
      <c r="LG236" s="13">
        <f>LE236-LF236</f>
        <v>-67536.24233828067</v>
      </c>
      <c r="LH236" s="13">
        <f>LH235+LG236</f>
        <v>-10333045.077756982</v>
      </c>
      <c r="LI236">
        <f>IF(LH236=MAX($LH$83:$LH$483),$A236,0)</f>
        <v>0</v>
      </c>
      <c r="LJ236">
        <f>IF(LE236&lt;LF236,$A236,B_MAX+1)</f>
        <v>153</v>
      </c>
      <c r="LK236" s="13">
        <f>IF(LB236=1,$LB$35,$LB$36)</f>
        <v>0</v>
      </c>
      <c r="LL236" s="13">
        <f>OCC_DAYS*$LB$41*R_NF_2023-LD236*MCD_SHARE_FREED*R_WAIT_2023</f>
        <v>113776.04162887059</v>
      </c>
      <c r="LM236">
        <f>IF($A236&lt;=$LB$45,1,0)</f>
        <v>0</v>
      </c>
      <c r="MB236">
        <f>IF($MB$31&lt;=$MB$32,IF($A236&lt;=$MB$7,1,2),IF($A236&lt;=RUNG_BEDS_2,2,1))</f>
        <v>1</v>
      </c>
      <c r="MC236" s="5">
        <f>MIN(1,MAX(0,$MB$26-($A236-1)))</f>
        <v>0</v>
      </c>
      <c r="MD236" s="5">
        <f>$MB$25*(MC236+(1-MC236)*$MB$16)</f>
        <v>0.0</v>
      </c>
      <c r="ME236" s="13">
        <f>MD236*($MB$6+ACUTE_MARGIN)</f>
        <v>0.0</v>
      </c>
      <c r="MF236" s="13">
        <f>IF(MB236=1,$MB$31,$MB$32)</f>
        <v>152394.16214437486</v>
      </c>
      <c r="MG236" s="13">
        <f>ME236-MF236</f>
        <v>-152394.16214437486</v>
      </c>
      <c r="MH236" s="13">
        <f>MH235+MG236</f>
        <v>9025387.758384656</v>
      </c>
      <c r="MI236">
        <f>IF(MH236=MAX($MH$83:$MH$483),$A236,0)</f>
        <v>0</v>
      </c>
      <c r="MJ236">
        <f>IF(ME236&lt;MF236,$A236,B_MAX+1)</f>
        <v>153</v>
      </c>
      <c r="MK236" s="13">
        <f>IF(MB236=1,$MB$35,$MB$36)</f>
        <v>0</v>
      </c>
      <c r="ML236" s="13">
        <f>OCC_DAYS*$MB$41*R_NF_2023-MD236*MCD_SHARE_FREED*R_WAIT_2023</f>
        <v>151980.48282209205</v>
      </c>
      <c r="MM236">
        <f>IF($A236&lt;=$MB$45,1,0)</f>
        <v>0</v>
      </c>
      <c r="NB236">
        <f>IF($NB$31&lt;=$NB$32,IF($A236&lt;=$NB$7,1,2),IF($A236&lt;=RUNG_BEDS_2,2,1))</f>
        <v>1</v>
      </c>
      <c r="NC236" s="5">
        <f>MIN(1,MAX(0,$NB$26-($A236-1)))</f>
        <v>0</v>
      </c>
      <c r="ND236" s="5">
        <f>$NB$25*(NC236+(1-NC236)*$NB$16)</f>
        <v>63.013306786703595</v>
      </c>
      <c r="NE236" s="13">
        <f>ND236*($NB$6+ACUTE_MARGIN)</f>
        <v>63643.43985457063</v>
      </c>
      <c r="NF236" s="13">
        <f>IF(NB236=1,$NB$31,$NB$32)</f>
        <v>152394.16214437486</v>
      </c>
      <c r="NG236" s="13">
        <f>NE236-NF236</f>
        <v>-88750.72228980422</v>
      </c>
      <c r="NH236" s="13">
        <f>NH235+NG236</f>
        <v>15092867.460864197</v>
      </c>
      <c r="NI236">
        <f>IF(NH236=MAX($NH$83:$NH$483),$A236,0)</f>
        <v>0</v>
      </c>
      <c r="NJ236">
        <f>IF(NE236&lt;NF236,$A236,B_MAX+1)</f>
        <v>153</v>
      </c>
      <c r="NK236" s="13">
        <f>IF(NB236=1,$NB$35,$NB$36)</f>
        <v>0</v>
      </c>
      <c r="NL236" s="13">
        <f>OCC_DAYS*$NB$41*R_NF_2023-ND236*MCD_SHARE_FREED*R_WAIT_2023</f>
        <v>123327.15192717595</v>
      </c>
      <c r="NM236">
        <f>IF($A236&lt;=$NB$45,1,0)</f>
        <v>0</v>
      </c>
      <c r="OB236">
        <f>IF($OB$31&lt;=$OB$32,IF($A236&lt;=$OB$7,1,2),IF($A236&lt;=RUNG_BEDS_2,2,1))</f>
        <v>1</v>
      </c>
      <c r="OC236" s="5">
        <f>MIN(1,MAX(0,$OB$26-($A236-1)))</f>
        <v>0</v>
      </c>
      <c r="OD236" s="5">
        <f>$OB$25*(OC236+(1-OC236)*$OB$16)</f>
        <v>126.02661357340719</v>
      </c>
      <c r="OE236" s="13">
        <f>OD236*($OB$6+ACUTE_MARGIN)</f>
        <v>127286.87970914126</v>
      </c>
      <c r="OF236" s="13">
        <f>IF(OB236=1,$OB$31,$OB$32)</f>
        <v>152394.16214437486</v>
      </c>
      <c r="OG236" s="13">
        <f>OE236-OF236</f>
        <v>-25107.282435233603</v>
      </c>
      <c r="OH236" s="13">
        <f>OH235+OG236</f>
        <v>15273071.101545444</v>
      </c>
      <c r="OI236">
        <f>IF(OH236=MAX($OH$83:$OH$483),$A236,0)</f>
        <v>0</v>
      </c>
      <c r="OJ236">
        <f>IF(OE236&lt;OF236,$A236,B_MAX+1)</f>
        <v>153</v>
      </c>
      <c r="OK236" s="13">
        <f>IF(OB236=1,$OB$35,$OB$36)</f>
        <v>0</v>
      </c>
      <c r="OL236" s="13">
        <f>OCC_DAYS*$OB$41*R_NF_2023-OD236*MCD_SHARE_FREED*R_WAIT_2023</f>
        <v>94673.82103225985</v>
      </c>
      <c r="OM236">
        <f>IF($A236&lt;=$OB$45,1,0)</f>
        <v>0</v>
      </c>
    </row>
    <row r="237">
      <c r="A237" t="n">
        <v>154</v>
      </c>
      <c r="B237">
        <f>IF($B$31&lt;=$B$32,IF($A237&lt;=$B$7,1,2),IF($A237&lt;=RUNG_BEDS_2,2,1))</f>
        <v>1</v>
      </c>
      <c r="C237" s="5">
        <f>MIN(1,MAX(0,$B$26-($A237-1)))</f>
        <v>0</v>
      </c>
      <c r="D237" s="5">
        <f>$B$25*(C237+(1-C237)*$B$16)</f>
        <v>0.0</v>
      </c>
      <c r="E237" s="13">
        <f>D237*($B$6+ACUTE_MARGIN)</f>
        <v>0.0</v>
      </c>
      <c r="F237" s="13">
        <f>IF(B237=1,$B$31,$B$32)</f>
        <v>152394.16214437486</v>
      </c>
      <c r="G237" s="13">
        <f>E237-F237</f>
        <v>-152394.16214437486</v>
      </c>
      <c r="H237" s="13">
        <f>H236+G237</f>
        <v>14760269.658038583</v>
      </c>
      <c r="I237">
        <f>IF(H237=MAX($H$83:$H$483),$A237,0)</f>
        <v>0</v>
      </c>
      <c r="J237">
        <f>IF(E237&lt;F237,$A237,B_MAX+1)</f>
        <v>154</v>
      </c>
      <c r="K237" s="13">
        <f>IF(B237=1,$B$35,$B$36)</f>
        <v>0</v>
      </c>
      <c r="L237" s="13">
        <f>OCC_DAYS*$B$41*R_NF_2023-D237*MCD_SHARE_FREED*R_WAIT_2023</f>
        <v>151980.48282209205</v>
      </c>
      <c r="M237">
        <f>IF($A237&lt;=$B$45,1,0)</f>
        <v>0</v>
      </c>
      <c r="AB237">
        <f>IF($AB$31&lt;=$AB$32,IF($A237&lt;=$AB$7,1,2),IF($A237&lt;=RUNG_BEDS_2,2,1))</f>
        <v>1</v>
      </c>
      <c r="AC237" s="5">
        <f>MIN(1,MAX(0,$AB$26-($A237-1)))</f>
        <v>0</v>
      </c>
      <c r="AD237" s="5">
        <f>$AB$25*(AC237+(1-AC237)*$AB$16)</f>
        <v>0.0</v>
      </c>
      <c r="AE237" s="13">
        <f>AD237*($AB$6+ACUTE_MARGIN)</f>
        <v>0.0</v>
      </c>
      <c r="AF237" s="13">
        <f>IF(AB237=1,$AB$31,$AB$32)</f>
        <v>152394.16214437486</v>
      </c>
      <c r="AG237" s="13">
        <f>AE237-AF237</f>
        <v>-152394.16214437486</v>
      </c>
      <c r="AH237" s="13">
        <f>AH236+AG237</f>
        <v>-2650944.687511213</v>
      </c>
      <c r="AI237">
        <f>IF(AH237=MAX($AH$83:$AH$483),$A237,0)</f>
        <v>0</v>
      </c>
      <c r="AJ237">
        <f>IF(AE237&lt;AF237,$A237,B_MAX+1)</f>
        <v>154</v>
      </c>
      <c r="AK237" s="13">
        <f>IF(AB237=1,$AB$35,$AB$36)</f>
        <v>0</v>
      </c>
      <c r="AL237" s="13">
        <f>OCC_DAYS*$AB$41*R_NF_2023-AD237*MCD_SHARE_FREED*R_WAIT_2023</f>
        <v>151980.48282209205</v>
      </c>
      <c r="AM237">
        <f>IF($A237&lt;=$AB$45,1,0)</f>
        <v>0</v>
      </c>
      <c r="BB237">
        <f>IF($BB$31&lt;=$BB$32,IF($A237&lt;=$BB$7,1,2),IF($A237&lt;=RUNG_BEDS_2,2,1))</f>
        <v>1</v>
      </c>
      <c r="BC237" s="5">
        <f>MIN(1,MAX(0,$BB$26-($A237-1)))</f>
        <v>0</v>
      </c>
      <c r="BD237" s="5">
        <f>$BB$25*(BC237+(1-BC237)*$BB$16)</f>
        <v>0.0</v>
      </c>
      <c r="BE237" s="13">
        <f>BD237*($BB$6+ACUTE_MARGIN)</f>
        <v>0.0</v>
      </c>
      <c r="BF237" s="13">
        <f>IF(BB237=1,$BB$31,$BB$32)</f>
        <v>152394.16214437486</v>
      </c>
      <c r="BG237" s="13">
        <f>BE237-BF237</f>
        <v>-152394.16214437486</v>
      </c>
      <c r="BH237" s="13">
        <f>BH236+BG237</f>
        <v>32171484.003588244</v>
      </c>
      <c r="BI237">
        <f>IF(BH237=MAX($BH$83:$BH$483),$A237,0)</f>
        <v>0</v>
      </c>
      <c r="BJ237">
        <f>IF(BE237&lt;BF237,$A237,B_MAX+1)</f>
        <v>154</v>
      </c>
      <c r="BK237" s="13">
        <f>IF(BB237=1,$BB$35,$BB$36)</f>
        <v>0</v>
      </c>
      <c r="BL237" s="13">
        <f>OCC_DAYS*$BB$41*R_NF_2023-BD237*MCD_SHARE_FREED*R_WAIT_2023</f>
        <v>151980.48282209205</v>
      </c>
      <c r="BM237">
        <f>IF($A237&lt;=$BB$45,1,0)</f>
        <v>0</v>
      </c>
      <c r="CB237">
        <f>IF($CB$31&lt;=$CB$32,IF($A237&lt;=$CB$7,1,2),IF($A237&lt;=RUNG_BEDS_2,2,1))</f>
        <v>2</v>
      </c>
      <c r="CC237" s="5">
        <f>MIN(1,MAX(0,$CB$26-($A237-1)))</f>
        <v>0</v>
      </c>
      <c r="CD237" s="5">
        <f>$CB$25*(CC237+(1-CC237)*$CB$16)</f>
        <v>0.0</v>
      </c>
      <c r="CE237" s="13">
        <f>CD237*($CB$6+ACUTE_MARGIN)</f>
        <v>0.0</v>
      </c>
      <c r="CF237" s="13">
        <f>IF(CB237=1,$CB$31,$CB$32)</f>
        <v>160718.36940738867</v>
      </c>
      <c r="CG237" s="13">
        <f>CE237-CF237</f>
        <v>-160718.36940738867</v>
      </c>
      <c r="CH237" s="13">
        <f>CH236+CG237</f>
        <v>13478341.73953438</v>
      </c>
      <c r="CI237">
        <f>IF(CH237=MAX($CH$83:$CH$483),$A237,0)</f>
        <v>0</v>
      </c>
      <c r="CJ237">
        <f>IF(CE237&lt;CF237,$A237,B_MAX+1)</f>
        <v>154</v>
      </c>
      <c r="CK237" s="13">
        <f>IF(CB237=1,$CB$35,$CB$36)</f>
        <v>1560.1194073886782</v>
      </c>
      <c r="CL237" s="13">
        <f>OCC_DAYS*$CB$41*R_NF_2023-CD237*MCD_SHARE_FREED*R_WAIT_2023</f>
        <v>151980.48282209205</v>
      </c>
      <c r="CM237">
        <f>IF($A237&lt;=$CB$45,1,0)</f>
        <v>0</v>
      </c>
      <c r="DB237">
        <f>IF($DB$31&lt;=$DB$32,IF($A237&lt;=$DB$7,1,2),IF($A237&lt;=RUNG_BEDS_2,2,1))</f>
        <v>1</v>
      </c>
      <c r="DC237" s="5">
        <f>MIN(1,MAX(0,$DB$26-($A237-1)))</f>
        <v>0</v>
      </c>
      <c r="DD237" s="5">
        <f>$DB$25*(DC237+(1-DC237)*$DB$16)</f>
        <v>0.0</v>
      </c>
      <c r="DE237" s="13">
        <f>DD237*($DB$6+ACUTE_MARGIN)</f>
        <v>0.0</v>
      </c>
      <c r="DF237" s="13">
        <f>IF(DB237=1,$DB$31,$DB$32)</f>
        <v>152394.16214437486</v>
      </c>
      <c r="DG237" s="13">
        <f>DE237-DF237</f>
        <v>-152394.16214437486</v>
      </c>
      <c r="DH237" s="13">
        <f>DH236+DG237</f>
        <v>14760269.658038583</v>
      </c>
      <c r="DI237">
        <f>IF(DH237=MAX($DH$83:$DH$483),$A237,0)</f>
        <v>0</v>
      </c>
      <c r="DJ237">
        <f>IF(DE237&lt;DF237,$A237,B_MAX+1)</f>
        <v>154</v>
      </c>
      <c r="DK237" s="13">
        <f>IF(DB237=1,$DB$35,$DB$36)</f>
        <v>0</v>
      </c>
      <c r="DL237" s="13">
        <f>OCC_DAYS*$DB$41*R_NF_2023-DD237*MCD_SHARE_FREED*R_WAIT_2023</f>
        <v>151980.48282209205</v>
      </c>
      <c r="DM237">
        <f>IF($A237&lt;=$DB$45,1,0)</f>
        <v>0</v>
      </c>
      <c r="EB237">
        <f>IF($EB$31&lt;=$EB$32,IF($A237&lt;=$EB$7,1,2),IF($A237&lt;=RUNG_BEDS_2,2,1))</f>
        <v>1</v>
      </c>
      <c r="EC237" s="5">
        <f>MIN(1,MAX(0,$EB$26-($A237-1)))</f>
        <v>0</v>
      </c>
      <c r="ED237" s="5">
        <f>$EB$25*(EC237+(1-EC237)*$EB$16)</f>
        <v>0.0</v>
      </c>
      <c r="EE237" s="13">
        <f>ED237*($EB$6+ACUTE_MARGIN)</f>
        <v>0.0</v>
      </c>
      <c r="EF237" s="13">
        <f>IF(EB237=1,$EB$31,$EB$32)</f>
        <v>152394.16214437486</v>
      </c>
      <c r="EG237" s="13">
        <f>EE237-EF237</f>
        <v>-152394.16214437486</v>
      </c>
      <c r="EH237" s="13">
        <f>EH236+EG237</f>
        <v>14760269.658038583</v>
      </c>
      <c r="EI237">
        <f>IF(EH237=MAX($EH$83:$EH$483),$A237,0)</f>
        <v>0</v>
      </c>
      <c r="EJ237">
        <f>IF(EE237&lt;EF237,$A237,B_MAX+1)</f>
        <v>154</v>
      </c>
      <c r="EK237" s="13">
        <f>IF(EB237=1,$EB$35,$EB$36)</f>
        <v>0</v>
      </c>
      <c r="EL237" s="13">
        <f>OCC_DAYS*$EB$41*R_NF_2023-ED237*MCD_SHARE_FREED*R_WAIT_2023</f>
        <v>50660.16094069735</v>
      </c>
      <c r="EM237">
        <f>IF($A237&lt;=$EB$45,1,0)</f>
        <v>0</v>
      </c>
      <c r="FB237">
        <f>IF($FB$31&lt;=$FB$32,IF($A237&lt;=$FB$7,1,2),IF($A237&lt;=RUNG_BEDS_2,2,1))</f>
        <v>1</v>
      </c>
      <c r="FC237" s="5">
        <f>MIN(1,MAX(0,$FB$26-($A237-1)))</f>
        <v>0</v>
      </c>
      <c r="FD237" s="5">
        <f>$FB$25*(FC237+(1-FC237)*$FB$16)</f>
        <v>0.0</v>
      </c>
      <c r="FE237" s="13">
        <f>FD237*($FB$6+ACUTE_MARGIN)</f>
        <v>0.0</v>
      </c>
      <c r="FF237" s="13">
        <f>IF(FB237=1,$FB$31,$FB$32)</f>
        <v>156636.04979437485</v>
      </c>
      <c r="FG237" s="13">
        <f>FE237-FF237</f>
        <v>-156636.04979437485</v>
      </c>
      <c r="FH237" s="13">
        <f>FH236+FG237</f>
        <v>14107018.959938468</v>
      </c>
      <c r="FI237">
        <f>IF(FH237=MAX($FH$83:$FH$483),$A237,0)</f>
        <v>0</v>
      </c>
      <c r="FJ237">
        <f>IF(FE237&lt;FF237,$A237,B_MAX+1)</f>
        <v>154</v>
      </c>
      <c r="FK237" s="13">
        <f>IF(FB237=1,$FB$35,$FB$36)</f>
        <v>0</v>
      </c>
      <c r="FL237" s="13">
        <f>OCC_DAYS*$FB$41*R_NF_2023-FD237*MCD_SHARE_FREED*R_WAIT_2023</f>
        <v>151980.48282209205</v>
      </c>
      <c r="FM237">
        <f>IF($A237&lt;=$FB$45,1,0)</f>
        <v>0</v>
      </c>
      <c r="GB237">
        <f>IF($GB$31&lt;=$GB$32,IF($A237&lt;=$GB$7,1,2),IF($A237&lt;=RUNG_BEDS_2,2,1))</f>
        <v>1</v>
      </c>
      <c r="GC237" s="5">
        <f>MIN(1,MAX(0,$GB$26-($A237-1)))</f>
        <v>0</v>
      </c>
      <c r="GD237" s="5">
        <f>$GB$25*(GC237+(1-GC237)*$GB$16)</f>
        <v>0.0</v>
      </c>
      <c r="GE237" s="13">
        <f>GD237*($GB$6+ACUTE_MARGIN)</f>
        <v>0.0</v>
      </c>
      <c r="GF237" s="13">
        <f>IF(GB237=1,$GB$31,$GB$32)</f>
        <v>152394.16214437486</v>
      </c>
      <c r="GG237" s="13">
        <f>GE237-GF237</f>
        <v>-152394.16214437486</v>
      </c>
      <c r="GH237" s="13">
        <f>GH236+GG237</f>
        <v>14760269.658038583</v>
      </c>
      <c r="GI237">
        <f>IF(GH237=MAX($GH$83:$GH$483),$A237,0)</f>
        <v>0</v>
      </c>
      <c r="GJ237">
        <f>IF(GE237&lt;GF237,$A237,B_MAX+1)</f>
        <v>154</v>
      </c>
      <c r="GK237" s="13">
        <f>IF(GB237=1,$GB$35,$GB$36)</f>
        <v>0</v>
      </c>
      <c r="GL237" s="13">
        <f>OCC_DAYS*$GB$41*R_NF_2023-GD237*MCD_SHARE_FREED*R_WAIT_2023</f>
        <v>151980.48282209205</v>
      </c>
      <c r="GM237">
        <f>IF($A237&lt;=$GB$45,1,0)</f>
        <v>0</v>
      </c>
      <c r="HB237">
        <f>IF($HB$31&lt;=$HB$32,IF($A237&lt;=$HB$7,1,2),IF($A237&lt;=RUNG_BEDS_2,2,1))</f>
        <v>1</v>
      </c>
      <c r="HC237" s="5">
        <f>MIN(1,MAX(0,$HB$26-($A237-1)))</f>
        <v>0</v>
      </c>
      <c r="HD237" s="5">
        <f>$HB$25*(HC237+(1-HC237)*$HB$16)</f>
        <v>0.0</v>
      </c>
      <c r="HE237" s="13">
        <f>HD237*($HB$6+ACUTE_MARGIN)</f>
        <v>0.0</v>
      </c>
      <c r="HF237" s="13">
        <f>IF(HB237=1,$HB$31,$HB$32)</f>
        <v>152456.2970814058</v>
      </c>
      <c r="HG237" s="13">
        <f>HE237-HF237</f>
        <v>-152456.2970814058</v>
      </c>
      <c r="HH237" s="13">
        <f>HH236+HG237</f>
        <v>14750700.877735794</v>
      </c>
      <c r="HI237">
        <f>IF(HH237=MAX($HH$83:$HH$483),$A237,0)</f>
        <v>0</v>
      </c>
      <c r="HJ237">
        <f>IF(HE237&lt;HF237,$A237,B_MAX+1)</f>
        <v>154</v>
      </c>
      <c r="HK237" s="13">
        <f>IF(HB237=1,$HB$35,$HB$36)</f>
        <v>0</v>
      </c>
      <c r="HL237" s="13">
        <f>OCC_DAYS*$HB$41*R_NF_2023-HD237*MCD_SHARE_FREED*R_WAIT_2023</f>
        <v>151980.48282209205</v>
      </c>
      <c r="HM237">
        <f>IF($A237&lt;=$HB$45,1,0)</f>
        <v>0</v>
      </c>
      <c r="IB237">
        <f>IF($IB$31&lt;=$IB$32,IF($A237&lt;=$IB$7,1,2),IF($A237&lt;=RUNG_BEDS_2,2,1))</f>
        <v>1</v>
      </c>
      <c r="IC237" s="5">
        <f>MIN(1,MAX(0,$IB$26-($A237-1)))</f>
        <v>0</v>
      </c>
      <c r="ID237" s="5">
        <f>$IB$25*(IC237+(1-IC237)*$IB$16)</f>
        <v>0.0</v>
      </c>
      <c r="IE237" s="13">
        <f>ID237*($IB$6+ACUTE_MARGIN)</f>
        <v>0.0</v>
      </c>
      <c r="IF237" s="13">
        <f>IF(IB237=1,$IB$31,$IB$32)</f>
        <v>152734.9994534971</v>
      </c>
      <c r="IG237" s="13">
        <f>IE237-IF237</f>
        <v>-152734.9994534971</v>
      </c>
      <c r="IH237" s="13">
        <f>IH236+IG237</f>
        <v>14707780.712433653</v>
      </c>
      <c r="II237">
        <f>IF(IH237=MAX($IH$83:$IH$483),$A237,0)</f>
        <v>0</v>
      </c>
      <c r="IJ237">
        <f>IF(IE237&lt;IF237,$A237,B_MAX+1)</f>
        <v>154</v>
      </c>
      <c r="IK237" s="13">
        <f>IF(IB237=1,$IB$35,$IB$36)</f>
        <v>0</v>
      </c>
      <c r="IL237" s="13">
        <f>OCC_DAYS*$IB$41*R_NF_2023-ID237*MCD_SHARE_FREED*R_WAIT_2023</f>
        <v>151980.48282209205</v>
      </c>
      <c r="IM237">
        <f>IF($A237&lt;=$IB$45,1,0)</f>
        <v>0</v>
      </c>
      <c r="JB237">
        <f>IF($JB$31&lt;=$JB$32,IF($A237&lt;=$JB$7,1,2),IF($A237&lt;=RUNG_BEDS_2,2,1))</f>
        <v>1</v>
      </c>
      <c r="JC237" s="5">
        <f>MIN(1,MAX(0,$JB$26-($A237-1)))</f>
        <v>0</v>
      </c>
      <c r="JD237" s="5">
        <f>$JB$25*(JC237+(1-JC237)*$JB$16)</f>
        <v>0.0</v>
      </c>
      <c r="JE237" s="13">
        <f>JD237*($JB$6+ACUTE_MARGIN)</f>
        <v>0.0</v>
      </c>
      <c r="JF237" s="13">
        <f>IF(JB237=1,$JB$31,$JB$32)</f>
        <v>152394.16214437486</v>
      </c>
      <c r="JG237" s="13">
        <f>JE237-JF237</f>
        <v>-152394.16214437486</v>
      </c>
      <c r="JH237" s="13">
        <f>JH236+JG237</f>
        <v>14760269.658038583</v>
      </c>
      <c r="JI237">
        <f>IF(JH237=MAX($JH$83:$JH$483),$A237,0)</f>
        <v>0</v>
      </c>
      <c r="JJ237">
        <f>IF(JE237&lt;JF237,$A237,B_MAX+1)</f>
        <v>154</v>
      </c>
      <c r="JK237" s="13">
        <f>IF(JB237=1,$JB$35,$JB$36)</f>
        <v>0</v>
      </c>
      <c r="JL237" s="13">
        <f>OCC_DAYS*$JB$41*R_NF_2023-JD237*MCD_SHARE_FREED*R_WAIT_2023</f>
        <v>151980.48282209205</v>
      </c>
      <c r="JM237">
        <f>IF($A237&lt;=$JB$45,1,0)</f>
        <v>0</v>
      </c>
      <c r="KB237">
        <f>IF($KB$31&lt;=$KB$32,IF($A237&lt;=$KB$7,1,2),IF($A237&lt;=RUNG_BEDS_2,2,1))</f>
        <v>1</v>
      </c>
      <c r="KC237" s="5">
        <f>MIN(1,MAX(0,$KB$26-($A237-1)))</f>
        <v>1</v>
      </c>
      <c r="KD237" s="5">
        <f>$KB$25*(KC237+(1-KC237)*$KB$16)</f>
        <v>126.02661357340719</v>
      </c>
      <c r="KE237" s="13">
        <f>KD237*($KB$6+ACUTE_MARGIN)</f>
        <v>127286.87970914126</v>
      </c>
      <c r="KF237" s="13">
        <f>IF(KB237=1,$KB$31,$KB$32)</f>
        <v>152394.16214437486</v>
      </c>
      <c r="KG237" s="13">
        <f>KE237-KF237</f>
        <v>-25107.282435233603</v>
      </c>
      <c r="KH237" s="13">
        <f>KH236+KG237</f>
        <v>-3866521.495025986</v>
      </c>
      <c r="KI237">
        <f>IF(KH237=MAX($KH$83:$KH$483),$A237,0)</f>
        <v>0</v>
      </c>
      <c r="KJ237">
        <f>IF(KE237&lt;KF237,$A237,B_MAX+1)</f>
        <v>154</v>
      </c>
      <c r="KK237" s="13">
        <f>IF(KB237=1,$KB$35,$KB$36)</f>
        <v>0</v>
      </c>
      <c r="KL237" s="13">
        <f>OCC_DAYS*$KB$41*R_NF_2023-KD237*MCD_SHARE_FREED*R_WAIT_2023</f>
        <v>94673.82103225985</v>
      </c>
      <c r="KM237">
        <f>IF($A237&lt;=$KB$45,1,0)</f>
        <v>0</v>
      </c>
      <c r="LB237">
        <f>IF($LB$31&lt;=$LB$32,IF($A237&lt;=$LB$7,1,2),IF($A237&lt;=RUNG_BEDS_2,2,1))</f>
        <v>1</v>
      </c>
      <c r="LC237" s="5">
        <f>MIN(1,MAX(0,$LB$26-($A237-1)))</f>
        <v>1</v>
      </c>
      <c r="LD237" s="5">
        <f>$LB$25*(LC237+(1-LC237)*$LB$16)</f>
        <v>84.01774238227146</v>
      </c>
      <c r="LE237" s="13">
        <f>LD237*($LB$6+ACUTE_MARGIN)</f>
        <v>84857.91980609419</v>
      </c>
      <c r="LF237" s="13">
        <f>IF(LB237=1,$LB$31,$LB$32)</f>
        <v>152394.16214437486</v>
      </c>
      <c r="LG237" s="13">
        <f>LE237-LF237</f>
        <v>-67536.24233828067</v>
      </c>
      <c r="LH237" s="13">
        <f>LH236+LG237</f>
        <v>-10400581.320095263</v>
      </c>
      <c r="LI237">
        <f>IF(LH237=MAX($LH$83:$LH$483),$A237,0)</f>
        <v>0</v>
      </c>
      <c r="LJ237">
        <f>IF(LE237&lt;LF237,$A237,B_MAX+1)</f>
        <v>154</v>
      </c>
      <c r="LK237" s="13">
        <f>IF(LB237=1,$LB$35,$LB$36)</f>
        <v>0</v>
      </c>
      <c r="LL237" s="13">
        <f>OCC_DAYS*$LB$41*R_NF_2023-LD237*MCD_SHARE_FREED*R_WAIT_2023</f>
        <v>113776.04162887059</v>
      </c>
      <c r="LM237">
        <f>IF($A237&lt;=$LB$45,1,0)</f>
        <v>0</v>
      </c>
      <c r="MB237">
        <f>IF($MB$31&lt;=$MB$32,IF($A237&lt;=$MB$7,1,2),IF($A237&lt;=RUNG_BEDS_2,2,1))</f>
        <v>1</v>
      </c>
      <c r="MC237" s="5">
        <f>MIN(1,MAX(0,$MB$26-($A237-1)))</f>
        <v>0</v>
      </c>
      <c r="MD237" s="5">
        <f>$MB$25*(MC237+(1-MC237)*$MB$16)</f>
        <v>0.0</v>
      </c>
      <c r="ME237" s="13">
        <f>MD237*($MB$6+ACUTE_MARGIN)</f>
        <v>0.0</v>
      </c>
      <c r="MF237" s="13">
        <f>IF(MB237=1,$MB$31,$MB$32)</f>
        <v>152394.16214437486</v>
      </c>
      <c r="MG237" s="13">
        <f>ME237-MF237</f>
        <v>-152394.16214437486</v>
      </c>
      <c r="MH237" s="13">
        <f>MH236+MG237</f>
        <v>8872993.596240282</v>
      </c>
      <c r="MI237">
        <f>IF(MH237=MAX($MH$83:$MH$483),$A237,0)</f>
        <v>0</v>
      </c>
      <c r="MJ237">
        <f>IF(ME237&lt;MF237,$A237,B_MAX+1)</f>
        <v>154</v>
      </c>
      <c r="MK237" s="13">
        <f>IF(MB237=1,$MB$35,$MB$36)</f>
        <v>0</v>
      </c>
      <c r="ML237" s="13">
        <f>OCC_DAYS*$MB$41*R_NF_2023-MD237*MCD_SHARE_FREED*R_WAIT_2023</f>
        <v>151980.48282209205</v>
      </c>
      <c r="MM237">
        <f>IF($A237&lt;=$MB$45,1,0)</f>
        <v>0</v>
      </c>
      <c r="NB237">
        <f>IF($NB$31&lt;=$NB$32,IF($A237&lt;=$NB$7,1,2),IF($A237&lt;=RUNG_BEDS_2,2,1))</f>
        <v>1</v>
      </c>
      <c r="NC237" s="5">
        <f>MIN(1,MAX(0,$NB$26-($A237-1)))</f>
        <v>0</v>
      </c>
      <c r="ND237" s="5">
        <f>$NB$25*(NC237+(1-NC237)*$NB$16)</f>
        <v>63.013306786703595</v>
      </c>
      <c r="NE237" s="13">
        <f>ND237*($NB$6+ACUTE_MARGIN)</f>
        <v>63643.43985457063</v>
      </c>
      <c r="NF237" s="13">
        <f>IF(NB237=1,$NB$31,$NB$32)</f>
        <v>152394.16214437486</v>
      </c>
      <c r="NG237" s="13">
        <f>NE237-NF237</f>
        <v>-88750.72228980422</v>
      </c>
      <c r="NH237" s="13">
        <f>NH236+NG237</f>
        <v>15004116.738574393</v>
      </c>
      <c r="NI237">
        <f>IF(NH237=MAX($NH$83:$NH$483),$A237,0)</f>
        <v>0</v>
      </c>
      <c r="NJ237">
        <f>IF(NE237&lt;NF237,$A237,B_MAX+1)</f>
        <v>154</v>
      </c>
      <c r="NK237" s="13">
        <f>IF(NB237=1,$NB$35,$NB$36)</f>
        <v>0</v>
      </c>
      <c r="NL237" s="13">
        <f>OCC_DAYS*$NB$41*R_NF_2023-ND237*MCD_SHARE_FREED*R_WAIT_2023</f>
        <v>123327.15192717595</v>
      </c>
      <c r="NM237">
        <f>IF($A237&lt;=$NB$45,1,0)</f>
        <v>0</v>
      </c>
      <c r="OB237">
        <f>IF($OB$31&lt;=$OB$32,IF($A237&lt;=$OB$7,1,2),IF($A237&lt;=RUNG_BEDS_2,2,1))</f>
        <v>1</v>
      </c>
      <c r="OC237" s="5">
        <f>MIN(1,MAX(0,$OB$26-($A237-1)))</f>
        <v>0</v>
      </c>
      <c r="OD237" s="5">
        <f>$OB$25*(OC237+(1-OC237)*$OB$16)</f>
        <v>126.02661357340719</v>
      </c>
      <c r="OE237" s="13">
        <f>OD237*($OB$6+ACUTE_MARGIN)</f>
        <v>127286.87970914126</v>
      </c>
      <c r="OF237" s="13">
        <f>IF(OB237=1,$OB$31,$OB$32)</f>
        <v>152394.16214437486</v>
      </c>
      <c r="OG237" s="13">
        <f>OE237-OF237</f>
        <v>-25107.282435233603</v>
      </c>
      <c r="OH237" s="13">
        <f>OH236+OG237</f>
        <v>15247963.819110211</v>
      </c>
      <c r="OI237">
        <f>IF(OH237=MAX($OH$83:$OH$483),$A237,0)</f>
        <v>0</v>
      </c>
      <c r="OJ237">
        <f>IF(OE237&lt;OF237,$A237,B_MAX+1)</f>
        <v>154</v>
      </c>
      <c r="OK237" s="13">
        <f>IF(OB237=1,$OB$35,$OB$36)</f>
        <v>0</v>
      </c>
      <c r="OL237" s="13">
        <f>OCC_DAYS*$OB$41*R_NF_2023-OD237*MCD_SHARE_FREED*R_WAIT_2023</f>
        <v>94673.82103225985</v>
      </c>
      <c r="OM237">
        <f>IF($A237&lt;=$OB$45,1,0)</f>
        <v>0</v>
      </c>
    </row>
    <row r="238">
      <c r="A238" t="n">
        <v>155</v>
      </c>
      <c r="B238">
        <f>IF($B$31&lt;=$B$32,IF($A238&lt;=$B$7,1,2),IF($A238&lt;=RUNG_BEDS_2,2,1))</f>
        <v>1</v>
      </c>
      <c r="C238" s="5">
        <f>MIN(1,MAX(0,$B$26-($A238-1)))</f>
        <v>0</v>
      </c>
      <c r="D238" s="5">
        <f>$B$25*(C238+(1-C238)*$B$16)</f>
        <v>0.0</v>
      </c>
      <c r="E238" s="13">
        <f>D238*($B$6+ACUTE_MARGIN)</f>
        <v>0.0</v>
      </c>
      <c r="F238" s="13">
        <f>IF(B238=1,$B$31,$B$32)</f>
        <v>152394.16214437486</v>
      </c>
      <c r="G238" s="13">
        <f>E238-F238</f>
        <v>-152394.16214437486</v>
      </c>
      <c r="H238" s="13">
        <f>H237+G238</f>
        <v>14607875.495894209</v>
      </c>
      <c r="I238">
        <f>IF(H238=MAX($H$83:$H$483),$A238,0)</f>
        <v>0</v>
      </c>
      <c r="J238">
        <f>IF(E238&lt;F238,$A238,B_MAX+1)</f>
        <v>155</v>
      </c>
      <c r="K238" s="13">
        <f>IF(B238=1,$B$35,$B$36)</f>
        <v>0</v>
      </c>
      <c r="L238" s="13">
        <f>OCC_DAYS*$B$41*R_NF_2023-D238*MCD_SHARE_FREED*R_WAIT_2023</f>
        <v>151980.48282209205</v>
      </c>
      <c r="M238">
        <f>IF($A238&lt;=$B$45,1,0)</f>
        <v>0</v>
      </c>
      <c r="AB238">
        <f>IF($AB$31&lt;=$AB$32,IF($A238&lt;=$AB$7,1,2),IF($A238&lt;=RUNG_BEDS_2,2,1))</f>
        <v>1</v>
      </c>
      <c r="AC238" s="5">
        <f>MIN(1,MAX(0,$AB$26-($A238-1)))</f>
        <v>0</v>
      </c>
      <c r="AD238" s="5">
        <f>$AB$25*(AC238+(1-AC238)*$AB$16)</f>
        <v>0.0</v>
      </c>
      <c r="AE238" s="13">
        <f>AD238*($AB$6+ACUTE_MARGIN)</f>
        <v>0.0</v>
      </c>
      <c r="AF238" s="13">
        <f>IF(AB238=1,$AB$31,$AB$32)</f>
        <v>152394.16214437486</v>
      </c>
      <c r="AG238" s="13">
        <f>AE238-AF238</f>
        <v>-152394.16214437486</v>
      </c>
      <c r="AH238" s="13">
        <f>AH237+AG238</f>
        <v>-2803338.849655588</v>
      </c>
      <c r="AI238">
        <f>IF(AH238=MAX($AH$83:$AH$483),$A238,0)</f>
        <v>0</v>
      </c>
      <c r="AJ238">
        <f>IF(AE238&lt;AF238,$A238,B_MAX+1)</f>
        <v>155</v>
      </c>
      <c r="AK238" s="13">
        <f>IF(AB238=1,$AB$35,$AB$36)</f>
        <v>0</v>
      </c>
      <c r="AL238" s="13">
        <f>OCC_DAYS*$AB$41*R_NF_2023-AD238*MCD_SHARE_FREED*R_WAIT_2023</f>
        <v>151980.48282209205</v>
      </c>
      <c r="AM238">
        <f>IF($A238&lt;=$AB$45,1,0)</f>
        <v>0</v>
      </c>
      <c r="BB238">
        <f>IF($BB$31&lt;=$BB$32,IF($A238&lt;=$BB$7,1,2),IF($A238&lt;=RUNG_BEDS_2,2,1))</f>
        <v>1</v>
      </c>
      <c r="BC238" s="5">
        <f>MIN(1,MAX(0,$BB$26-($A238-1)))</f>
        <v>0</v>
      </c>
      <c r="BD238" s="5">
        <f>$BB$25*(BC238+(1-BC238)*$BB$16)</f>
        <v>0.0</v>
      </c>
      <c r="BE238" s="13">
        <f>BD238*($BB$6+ACUTE_MARGIN)</f>
        <v>0.0</v>
      </c>
      <c r="BF238" s="13">
        <f>IF(BB238=1,$BB$31,$BB$32)</f>
        <v>152394.16214437486</v>
      </c>
      <c r="BG238" s="13">
        <f>BE238-BF238</f>
        <v>-152394.16214437486</v>
      </c>
      <c r="BH238" s="13">
        <f>BH237+BG238</f>
        <v>32019089.84144387</v>
      </c>
      <c r="BI238">
        <f>IF(BH238=MAX($BH$83:$BH$483),$A238,0)</f>
        <v>0</v>
      </c>
      <c r="BJ238">
        <f>IF(BE238&lt;BF238,$A238,B_MAX+1)</f>
        <v>155</v>
      </c>
      <c r="BK238" s="13">
        <f>IF(BB238=1,$BB$35,$BB$36)</f>
        <v>0</v>
      </c>
      <c r="BL238" s="13">
        <f>OCC_DAYS*$BB$41*R_NF_2023-BD238*MCD_SHARE_FREED*R_WAIT_2023</f>
        <v>151980.48282209205</v>
      </c>
      <c r="BM238">
        <f>IF($A238&lt;=$BB$45,1,0)</f>
        <v>0</v>
      </c>
      <c r="CB238">
        <f>IF($CB$31&lt;=$CB$32,IF($A238&lt;=$CB$7,1,2),IF($A238&lt;=RUNG_BEDS_2,2,1))</f>
        <v>2</v>
      </c>
      <c r="CC238" s="5">
        <f>MIN(1,MAX(0,$CB$26-($A238-1)))</f>
        <v>0</v>
      </c>
      <c r="CD238" s="5">
        <f>$CB$25*(CC238+(1-CC238)*$CB$16)</f>
        <v>0.0</v>
      </c>
      <c r="CE238" s="13">
        <f>CD238*($CB$6+ACUTE_MARGIN)</f>
        <v>0.0</v>
      </c>
      <c r="CF238" s="13">
        <f>IF(CB238=1,$CB$31,$CB$32)</f>
        <v>160718.36940738867</v>
      </c>
      <c r="CG238" s="13">
        <f>CE238-CF238</f>
        <v>-160718.36940738867</v>
      </c>
      <c r="CH238" s="13">
        <f>CH237+CG238</f>
        <v>13317623.37012699</v>
      </c>
      <c r="CI238">
        <f>IF(CH238=MAX($CH$83:$CH$483),$A238,0)</f>
        <v>0</v>
      </c>
      <c r="CJ238">
        <f>IF(CE238&lt;CF238,$A238,B_MAX+1)</f>
        <v>155</v>
      </c>
      <c r="CK238" s="13">
        <f>IF(CB238=1,$CB$35,$CB$36)</f>
        <v>1560.1194073886782</v>
      </c>
      <c r="CL238" s="13">
        <f>OCC_DAYS*$CB$41*R_NF_2023-CD238*MCD_SHARE_FREED*R_WAIT_2023</f>
        <v>151980.48282209205</v>
      </c>
      <c r="CM238">
        <f>IF($A238&lt;=$CB$45,1,0)</f>
        <v>0</v>
      </c>
      <c r="DB238">
        <f>IF($DB$31&lt;=$DB$32,IF($A238&lt;=$DB$7,1,2),IF($A238&lt;=RUNG_BEDS_2,2,1))</f>
        <v>1</v>
      </c>
      <c r="DC238" s="5">
        <f>MIN(1,MAX(0,$DB$26-($A238-1)))</f>
        <v>0</v>
      </c>
      <c r="DD238" s="5">
        <f>$DB$25*(DC238+(1-DC238)*$DB$16)</f>
        <v>0.0</v>
      </c>
      <c r="DE238" s="13">
        <f>DD238*($DB$6+ACUTE_MARGIN)</f>
        <v>0.0</v>
      </c>
      <c r="DF238" s="13">
        <f>IF(DB238=1,$DB$31,$DB$32)</f>
        <v>152394.16214437486</v>
      </c>
      <c r="DG238" s="13">
        <f>DE238-DF238</f>
        <v>-152394.16214437486</v>
      </c>
      <c r="DH238" s="13">
        <f>DH237+DG238</f>
        <v>14607875.495894209</v>
      </c>
      <c r="DI238">
        <f>IF(DH238=MAX($DH$83:$DH$483),$A238,0)</f>
        <v>0</v>
      </c>
      <c r="DJ238">
        <f>IF(DE238&lt;DF238,$A238,B_MAX+1)</f>
        <v>155</v>
      </c>
      <c r="DK238" s="13">
        <f>IF(DB238=1,$DB$35,$DB$36)</f>
        <v>0</v>
      </c>
      <c r="DL238" s="13">
        <f>OCC_DAYS*$DB$41*R_NF_2023-DD238*MCD_SHARE_FREED*R_WAIT_2023</f>
        <v>151980.48282209205</v>
      </c>
      <c r="DM238">
        <f>IF($A238&lt;=$DB$45,1,0)</f>
        <v>0</v>
      </c>
      <c r="EB238">
        <f>IF($EB$31&lt;=$EB$32,IF($A238&lt;=$EB$7,1,2),IF($A238&lt;=RUNG_BEDS_2,2,1))</f>
        <v>1</v>
      </c>
      <c r="EC238" s="5">
        <f>MIN(1,MAX(0,$EB$26-($A238-1)))</f>
        <v>0</v>
      </c>
      <c r="ED238" s="5">
        <f>$EB$25*(EC238+(1-EC238)*$EB$16)</f>
        <v>0.0</v>
      </c>
      <c r="EE238" s="13">
        <f>ED238*($EB$6+ACUTE_MARGIN)</f>
        <v>0.0</v>
      </c>
      <c r="EF238" s="13">
        <f>IF(EB238=1,$EB$31,$EB$32)</f>
        <v>152394.16214437486</v>
      </c>
      <c r="EG238" s="13">
        <f>EE238-EF238</f>
        <v>-152394.16214437486</v>
      </c>
      <c r="EH238" s="13">
        <f>EH237+EG238</f>
        <v>14607875.495894209</v>
      </c>
      <c r="EI238">
        <f>IF(EH238=MAX($EH$83:$EH$483),$A238,0)</f>
        <v>0</v>
      </c>
      <c r="EJ238">
        <f>IF(EE238&lt;EF238,$A238,B_MAX+1)</f>
        <v>155</v>
      </c>
      <c r="EK238" s="13">
        <f>IF(EB238=1,$EB$35,$EB$36)</f>
        <v>0</v>
      </c>
      <c r="EL238" s="13">
        <f>OCC_DAYS*$EB$41*R_NF_2023-ED238*MCD_SHARE_FREED*R_WAIT_2023</f>
        <v>50660.16094069735</v>
      </c>
      <c r="EM238">
        <f>IF($A238&lt;=$EB$45,1,0)</f>
        <v>0</v>
      </c>
      <c r="FB238">
        <f>IF($FB$31&lt;=$FB$32,IF($A238&lt;=$FB$7,1,2),IF($A238&lt;=RUNG_BEDS_2,2,1))</f>
        <v>1</v>
      </c>
      <c r="FC238" s="5">
        <f>MIN(1,MAX(0,$FB$26-($A238-1)))</f>
        <v>0</v>
      </c>
      <c r="FD238" s="5">
        <f>$FB$25*(FC238+(1-FC238)*$FB$16)</f>
        <v>0.0</v>
      </c>
      <c r="FE238" s="13">
        <f>FD238*($FB$6+ACUTE_MARGIN)</f>
        <v>0.0</v>
      </c>
      <c r="FF238" s="13">
        <f>IF(FB238=1,$FB$31,$FB$32)</f>
        <v>156636.04979437485</v>
      </c>
      <c r="FG238" s="13">
        <f>FE238-FF238</f>
        <v>-156636.04979437485</v>
      </c>
      <c r="FH238" s="13">
        <f>FH237+FG238</f>
        <v>13950382.910144094</v>
      </c>
      <c r="FI238">
        <f>IF(FH238=MAX($FH$83:$FH$483),$A238,0)</f>
        <v>0</v>
      </c>
      <c r="FJ238">
        <f>IF(FE238&lt;FF238,$A238,B_MAX+1)</f>
        <v>155</v>
      </c>
      <c r="FK238" s="13">
        <f>IF(FB238=1,$FB$35,$FB$36)</f>
        <v>0</v>
      </c>
      <c r="FL238" s="13">
        <f>OCC_DAYS*$FB$41*R_NF_2023-FD238*MCD_SHARE_FREED*R_WAIT_2023</f>
        <v>151980.48282209205</v>
      </c>
      <c r="FM238">
        <f>IF($A238&lt;=$FB$45,1,0)</f>
        <v>0</v>
      </c>
      <c r="GB238">
        <f>IF($GB$31&lt;=$GB$32,IF($A238&lt;=$GB$7,1,2),IF($A238&lt;=RUNG_BEDS_2,2,1))</f>
        <v>1</v>
      </c>
      <c r="GC238" s="5">
        <f>MIN(1,MAX(0,$GB$26-($A238-1)))</f>
        <v>0</v>
      </c>
      <c r="GD238" s="5">
        <f>$GB$25*(GC238+(1-GC238)*$GB$16)</f>
        <v>0.0</v>
      </c>
      <c r="GE238" s="13">
        <f>GD238*($GB$6+ACUTE_MARGIN)</f>
        <v>0.0</v>
      </c>
      <c r="GF238" s="13">
        <f>IF(GB238=1,$GB$31,$GB$32)</f>
        <v>152394.16214437486</v>
      </c>
      <c r="GG238" s="13">
        <f>GE238-GF238</f>
        <v>-152394.16214437486</v>
      </c>
      <c r="GH238" s="13">
        <f>GH237+GG238</f>
        <v>14607875.495894209</v>
      </c>
      <c r="GI238">
        <f>IF(GH238=MAX($GH$83:$GH$483),$A238,0)</f>
        <v>0</v>
      </c>
      <c r="GJ238">
        <f>IF(GE238&lt;GF238,$A238,B_MAX+1)</f>
        <v>155</v>
      </c>
      <c r="GK238" s="13">
        <f>IF(GB238=1,$GB$35,$GB$36)</f>
        <v>0</v>
      </c>
      <c r="GL238" s="13">
        <f>OCC_DAYS*$GB$41*R_NF_2023-GD238*MCD_SHARE_FREED*R_WAIT_2023</f>
        <v>151980.48282209205</v>
      </c>
      <c r="GM238">
        <f>IF($A238&lt;=$GB$45,1,0)</f>
        <v>0</v>
      </c>
      <c r="HB238">
        <f>IF($HB$31&lt;=$HB$32,IF($A238&lt;=$HB$7,1,2),IF($A238&lt;=RUNG_BEDS_2,2,1))</f>
        <v>1</v>
      </c>
      <c r="HC238" s="5">
        <f>MIN(1,MAX(0,$HB$26-($A238-1)))</f>
        <v>0</v>
      </c>
      <c r="HD238" s="5">
        <f>$HB$25*(HC238+(1-HC238)*$HB$16)</f>
        <v>0.0</v>
      </c>
      <c r="HE238" s="13">
        <f>HD238*($HB$6+ACUTE_MARGIN)</f>
        <v>0.0</v>
      </c>
      <c r="HF238" s="13">
        <f>IF(HB238=1,$HB$31,$HB$32)</f>
        <v>152456.2970814058</v>
      </c>
      <c r="HG238" s="13">
        <f>HE238-HF238</f>
        <v>-152456.2970814058</v>
      </c>
      <c r="HH238" s="13">
        <f>HH237+HG238</f>
        <v>14598244.580654388</v>
      </c>
      <c r="HI238">
        <f>IF(HH238=MAX($HH$83:$HH$483),$A238,0)</f>
        <v>0</v>
      </c>
      <c r="HJ238">
        <f>IF(HE238&lt;HF238,$A238,B_MAX+1)</f>
        <v>155</v>
      </c>
      <c r="HK238" s="13">
        <f>IF(HB238=1,$HB$35,$HB$36)</f>
        <v>0</v>
      </c>
      <c r="HL238" s="13">
        <f>OCC_DAYS*$HB$41*R_NF_2023-HD238*MCD_SHARE_FREED*R_WAIT_2023</f>
        <v>151980.48282209205</v>
      </c>
      <c r="HM238">
        <f>IF($A238&lt;=$HB$45,1,0)</f>
        <v>0</v>
      </c>
      <c r="IB238">
        <f>IF($IB$31&lt;=$IB$32,IF($A238&lt;=$IB$7,1,2),IF($A238&lt;=RUNG_BEDS_2,2,1))</f>
        <v>1</v>
      </c>
      <c r="IC238" s="5">
        <f>MIN(1,MAX(0,$IB$26-($A238-1)))</f>
        <v>0</v>
      </c>
      <c r="ID238" s="5">
        <f>$IB$25*(IC238+(1-IC238)*$IB$16)</f>
        <v>0.0</v>
      </c>
      <c r="IE238" s="13">
        <f>ID238*($IB$6+ACUTE_MARGIN)</f>
        <v>0.0</v>
      </c>
      <c r="IF238" s="13">
        <f>IF(IB238=1,$IB$31,$IB$32)</f>
        <v>152734.9994534971</v>
      </c>
      <c r="IG238" s="13">
        <f>IE238-IF238</f>
        <v>-152734.9994534971</v>
      </c>
      <c r="IH238" s="13">
        <f>IH237+IG238</f>
        <v>14555045.712980157</v>
      </c>
      <c r="II238">
        <f>IF(IH238=MAX($IH$83:$IH$483),$A238,0)</f>
        <v>0</v>
      </c>
      <c r="IJ238">
        <f>IF(IE238&lt;IF238,$A238,B_MAX+1)</f>
        <v>155</v>
      </c>
      <c r="IK238" s="13">
        <f>IF(IB238=1,$IB$35,$IB$36)</f>
        <v>0</v>
      </c>
      <c r="IL238" s="13">
        <f>OCC_DAYS*$IB$41*R_NF_2023-ID238*MCD_SHARE_FREED*R_WAIT_2023</f>
        <v>151980.48282209205</v>
      </c>
      <c r="IM238">
        <f>IF($A238&lt;=$IB$45,1,0)</f>
        <v>0</v>
      </c>
      <c r="JB238">
        <f>IF($JB$31&lt;=$JB$32,IF($A238&lt;=$JB$7,1,2),IF($A238&lt;=RUNG_BEDS_2,2,1))</f>
        <v>1</v>
      </c>
      <c r="JC238" s="5">
        <f>MIN(1,MAX(0,$JB$26-($A238-1)))</f>
        <v>0</v>
      </c>
      <c r="JD238" s="5">
        <f>$JB$25*(JC238+(1-JC238)*$JB$16)</f>
        <v>0.0</v>
      </c>
      <c r="JE238" s="13">
        <f>JD238*($JB$6+ACUTE_MARGIN)</f>
        <v>0.0</v>
      </c>
      <c r="JF238" s="13">
        <f>IF(JB238=1,$JB$31,$JB$32)</f>
        <v>152394.16214437486</v>
      </c>
      <c r="JG238" s="13">
        <f>JE238-JF238</f>
        <v>-152394.16214437486</v>
      </c>
      <c r="JH238" s="13">
        <f>JH237+JG238</f>
        <v>14607875.495894209</v>
      </c>
      <c r="JI238">
        <f>IF(JH238=MAX($JH$83:$JH$483),$A238,0)</f>
        <v>0</v>
      </c>
      <c r="JJ238">
        <f>IF(JE238&lt;JF238,$A238,B_MAX+1)</f>
        <v>155</v>
      </c>
      <c r="JK238" s="13">
        <f>IF(JB238=1,$JB$35,$JB$36)</f>
        <v>0</v>
      </c>
      <c r="JL238" s="13">
        <f>OCC_DAYS*$JB$41*R_NF_2023-JD238*MCD_SHARE_FREED*R_WAIT_2023</f>
        <v>151980.48282209205</v>
      </c>
      <c r="JM238">
        <f>IF($A238&lt;=$JB$45,1,0)</f>
        <v>0</v>
      </c>
      <c r="KB238">
        <f>IF($KB$31&lt;=$KB$32,IF($A238&lt;=$KB$7,1,2),IF($A238&lt;=RUNG_BEDS_2,2,1))</f>
        <v>1</v>
      </c>
      <c r="KC238" s="5">
        <f>MIN(1,MAX(0,$KB$26-($A238-1)))</f>
        <v>1</v>
      </c>
      <c r="KD238" s="5">
        <f>$KB$25*(KC238+(1-KC238)*$KB$16)</f>
        <v>126.02661357340719</v>
      </c>
      <c r="KE238" s="13">
        <f>KD238*($KB$6+ACUTE_MARGIN)</f>
        <v>127286.87970914126</v>
      </c>
      <c r="KF238" s="13">
        <f>IF(KB238=1,$KB$31,$KB$32)</f>
        <v>152394.16214437486</v>
      </c>
      <c r="KG238" s="13">
        <f>KE238-KF238</f>
        <v>-25107.282435233603</v>
      </c>
      <c r="KH238" s="13">
        <f>KH237+KG238</f>
        <v>-3891628.7774612196</v>
      </c>
      <c r="KI238">
        <f>IF(KH238=MAX($KH$83:$KH$483),$A238,0)</f>
        <v>0</v>
      </c>
      <c r="KJ238">
        <f>IF(KE238&lt;KF238,$A238,B_MAX+1)</f>
        <v>155</v>
      </c>
      <c r="KK238" s="13">
        <f>IF(KB238=1,$KB$35,$KB$36)</f>
        <v>0</v>
      </c>
      <c r="KL238" s="13">
        <f>OCC_DAYS*$KB$41*R_NF_2023-KD238*MCD_SHARE_FREED*R_WAIT_2023</f>
        <v>94673.82103225985</v>
      </c>
      <c r="KM238">
        <f>IF($A238&lt;=$KB$45,1,0)</f>
        <v>0</v>
      </c>
      <c r="LB238">
        <f>IF($LB$31&lt;=$LB$32,IF($A238&lt;=$LB$7,1,2),IF($A238&lt;=RUNG_BEDS_2,2,1))</f>
        <v>1</v>
      </c>
      <c r="LC238" s="5">
        <f>MIN(1,MAX(0,$LB$26-($A238-1)))</f>
        <v>1</v>
      </c>
      <c r="LD238" s="5">
        <f>$LB$25*(LC238+(1-LC238)*$LB$16)</f>
        <v>84.01774238227146</v>
      </c>
      <c r="LE238" s="13">
        <f>LD238*($LB$6+ACUTE_MARGIN)</f>
        <v>84857.91980609419</v>
      </c>
      <c r="LF238" s="13">
        <f>IF(LB238=1,$LB$31,$LB$32)</f>
        <v>152394.16214437486</v>
      </c>
      <c r="LG238" s="13">
        <f>LE238-LF238</f>
        <v>-67536.24233828067</v>
      </c>
      <c r="LH238" s="13">
        <f>LH237+LG238</f>
        <v>-10468117.562433545</v>
      </c>
      <c r="LI238">
        <f>IF(LH238=MAX($LH$83:$LH$483),$A238,0)</f>
        <v>0</v>
      </c>
      <c r="LJ238">
        <f>IF(LE238&lt;LF238,$A238,B_MAX+1)</f>
        <v>155</v>
      </c>
      <c r="LK238" s="13">
        <f>IF(LB238=1,$LB$35,$LB$36)</f>
        <v>0</v>
      </c>
      <c r="LL238" s="13">
        <f>OCC_DAYS*$LB$41*R_NF_2023-LD238*MCD_SHARE_FREED*R_WAIT_2023</f>
        <v>113776.04162887059</v>
      </c>
      <c r="LM238">
        <f>IF($A238&lt;=$LB$45,1,0)</f>
        <v>0</v>
      </c>
      <c r="MB238">
        <f>IF($MB$31&lt;=$MB$32,IF($A238&lt;=$MB$7,1,2),IF($A238&lt;=RUNG_BEDS_2,2,1))</f>
        <v>1</v>
      </c>
      <c r="MC238" s="5">
        <f>MIN(1,MAX(0,$MB$26-($A238-1)))</f>
        <v>0</v>
      </c>
      <c r="MD238" s="5">
        <f>$MB$25*(MC238+(1-MC238)*$MB$16)</f>
        <v>0.0</v>
      </c>
      <c r="ME238" s="13">
        <f>MD238*($MB$6+ACUTE_MARGIN)</f>
        <v>0.0</v>
      </c>
      <c r="MF238" s="13">
        <f>IF(MB238=1,$MB$31,$MB$32)</f>
        <v>152394.16214437486</v>
      </c>
      <c r="MG238" s="13">
        <f>ME238-MF238</f>
        <v>-152394.16214437486</v>
      </c>
      <c r="MH238" s="13">
        <f>MH237+MG238</f>
        <v>8720599.434095908</v>
      </c>
      <c r="MI238">
        <f>IF(MH238=MAX($MH$83:$MH$483),$A238,0)</f>
        <v>0</v>
      </c>
      <c r="MJ238">
        <f>IF(ME238&lt;MF238,$A238,B_MAX+1)</f>
        <v>155</v>
      </c>
      <c r="MK238" s="13">
        <f>IF(MB238=1,$MB$35,$MB$36)</f>
        <v>0</v>
      </c>
      <c r="ML238" s="13">
        <f>OCC_DAYS*$MB$41*R_NF_2023-MD238*MCD_SHARE_FREED*R_WAIT_2023</f>
        <v>151980.48282209205</v>
      </c>
      <c r="MM238">
        <f>IF($A238&lt;=$MB$45,1,0)</f>
        <v>0</v>
      </c>
      <c r="NB238">
        <f>IF($NB$31&lt;=$NB$32,IF($A238&lt;=$NB$7,1,2),IF($A238&lt;=RUNG_BEDS_2,2,1))</f>
        <v>1</v>
      </c>
      <c r="NC238" s="5">
        <f>MIN(1,MAX(0,$NB$26-($A238-1)))</f>
        <v>0</v>
      </c>
      <c r="ND238" s="5">
        <f>$NB$25*(NC238+(1-NC238)*$NB$16)</f>
        <v>63.013306786703595</v>
      </c>
      <c r="NE238" s="13">
        <f>ND238*($NB$6+ACUTE_MARGIN)</f>
        <v>63643.43985457063</v>
      </c>
      <c r="NF238" s="13">
        <f>IF(NB238=1,$NB$31,$NB$32)</f>
        <v>152394.16214437486</v>
      </c>
      <c r="NG238" s="13">
        <f>NE238-NF238</f>
        <v>-88750.72228980422</v>
      </c>
      <c r="NH238" s="13">
        <f>NH237+NG238</f>
        <v>14915366.016284589</v>
      </c>
      <c r="NI238">
        <f>IF(NH238=MAX($NH$83:$NH$483),$A238,0)</f>
        <v>0</v>
      </c>
      <c r="NJ238">
        <f>IF(NE238&lt;NF238,$A238,B_MAX+1)</f>
        <v>155</v>
      </c>
      <c r="NK238" s="13">
        <f>IF(NB238=1,$NB$35,$NB$36)</f>
        <v>0</v>
      </c>
      <c r="NL238" s="13">
        <f>OCC_DAYS*$NB$41*R_NF_2023-ND238*MCD_SHARE_FREED*R_WAIT_2023</f>
        <v>123327.15192717595</v>
      </c>
      <c r="NM238">
        <f>IF($A238&lt;=$NB$45,1,0)</f>
        <v>0</v>
      </c>
      <c r="OB238">
        <f>IF($OB$31&lt;=$OB$32,IF($A238&lt;=$OB$7,1,2),IF($A238&lt;=RUNG_BEDS_2,2,1))</f>
        <v>1</v>
      </c>
      <c r="OC238" s="5">
        <f>MIN(1,MAX(0,$OB$26-($A238-1)))</f>
        <v>0</v>
      </c>
      <c r="OD238" s="5">
        <f>$OB$25*(OC238+(1-OC238)*$OB$16)</f>
        <v>126.02661357340719</v>
      </c>
      <c r="OE238" s="13">
        <f>OD238*($OB$6+ACUTE_MARGIN)</f>
        <v>127286.87970914126</v>
      </c>
      <c r="OF238" s="13">
        <f>IF(OB238=1,$OB$31,$OB$32)</f>
        <v>152394.16214437486</v>
      </c>
      <c r="OG238" s="13">
        <f>OE238-OF238</f>
        <v>-25107.282435233603</v>
      </c>
      <c r="OH238" s="13">
        <f>OH237+OG238</f>
        <v>15222856.536674978</v>
      </c>
      <c r="OI238">
        <f>IF(OH238=MAX($OH$83:$OH$483),$A238,0)</f>
        <v>0</v>
      </c>
      <c r="OJ238">
        <f>IF(OE238&lt;OF238,$A238,B_MAX+1)</f>
        <v>155</v>
      </c>
      <c r="OK238" s="13">
        <f>IF(OB238=1,$OB$35,$OB$36)</f>
        <v>0</v>
      </c>
      <c r="OL238" s="13">
        <f>OCC_DAYS*$OB$41*R_NF_2023-OD238*MCD_SHARE_FREED*R_WAIT_2023</f>
        <v>94673.82103225985</v>
      </c>
      <c r="OM238">
        <f>IF($A238&lt;=$OB$45,1,0)</f>
        <v>0</v>
      </c>
    </row>
    <row r="239">
      <c r="A239" t="n">
        <v>156</v>
      </c>
      <c r="B239">
        <f>IF($B$31&lt;=$B$32,IF($A239&lt;=$B$7,1,2),IF($A239&lt;=RUNG_BEDS_2,2,1))</f>
        <v>1</v>
      </c>
      <c r="C239" s="5">
        <f>MIN(1,MAX(0,$B$26-($A239-1)))</f>
        <v>0</v>
      </c>
      <c r="D239" s="5">
        <f>$B$25*(C239+(1-C239)*$B$16)</f>
        <v>0.0</v>
      </c>
      <c r="E239" s="13">
        <f>D239*($B$6+ACUTE_MARGIN)</f>
        <v>0.0</v>
      </c>
      <c r="F239" s="13">
        <f>IF(B239=1,$B$31,$B$32)</f>
        <v>152394.16214437486</v>
      </c>
      <c r="G239" s="13">
        <f>E239-F239</f>
        <v>-152394.16214437486</v>
      </c>
      <c r="H239" s="13">
        <f>H238+G239</f>
        <v>14455481.333749834</v>
      </c>
      <c r="I239">
        <f>IF(H239=MAX($H$83:$H$483),$A239,0)</f>
        <v>0</v>
      </c>
      <c r="J239">
        <f>IF(E239&lt;F239,$A239,B_MAX+1)</f>
        <v>156</v>
      </c>
      <c r="K239" s="13">
        <f>IF(B239=1,$B$35,$B$36)</f>
        <v>0</v>
      </c>
      <c r="L239" s="13">
        <f>OCC_DAYS*$B$41*R_NF_2023-D239*MCD_SHARE_FREED*R_WAIT_2023</f>
        <v>151980.48282209205</v>
      </c>
      <c r="M239">
        <f>IF($A239&lt;=$B$45,1,0)</f>
        <v>0</v>
      </c>
      <c r="AB239">
        <f>IF($AB$31&lt;=$AB$32,IF($A239&lt;=$AB$7,1,2),IF($A239&lt;=RUNG_BEDS_2,2,1))</f>
        <v>1</v>
      </c>
      <c r="AC239" s="5">
        <f>MIN(1,MAX(0,$AB$26-($A239-1)))</f>
        <v>0</v>
      </c>
      <c r="AD239" s="5">
        <f>$AB$25*(AC239+(1-AC239)*$AB$16)</f>
        <v>0.0</v>
      </c>
      <c r="AE239" s="13">
        <f>AD239*($AB$6+ACUTE_MARGIN)</f>
        <v>0.0</v>
      </c>
      <c r="AF239" s="13">
        <f>IF(AB239=1,$AB$31,$AB$32)</f>
        <v>152394.16214437486</v>
      </c>
      <c r="AG239" s="13">
        <f>AE239-AF239</f>
        <v>-152394.16214437486</v>
      </c>
      <c r="AH239" s="13">
        <f>AH238+AG239</f>
        <v>-2955733.011799963</v>
      </c>
      <c r="AI239">
        <f>IF(AH239=MAX($AH$83:$AH$483),$A239,0)</f>
        <v>0</v>
      </c>
      <c r="AJ239">
        <f>IF(AE239&lt;AF239,$A239,B_MAX+1)</f>
        <v>156</v>
      </c>
      <c r="AK239" s="13">
        <f>IF(AB239=1,$AB$35,$AB$36)</f>
        <v>0</v>
      </c>
      <c r="AL239" s="13">
        <f>OCC_DAYS*$AB$41*R_NF_2023-AD239*MCD_SHARE_FREED*R_WAIT_2023</f>
        <v>151980.48282209205</v>
      </c>
      <c r="AM239">
        <f>IF($A239&lt;=$AB$45,1,0)</f>
        <v>0</v>
      </c>
      <c r="BB239">
        <f>IF($BB$31&lt;=$BB$32,IF($A239&lt;=$BB$7,1,2),IF($A239&lt;=RUNG_BEDS_2,2,1))</f>
        <v>1</v>
      </c>
      <c r="BC239" s="5">
        <f>MIN(1,MAX(0,$BB$26-($A239-1)))</f>
        <v>0</v>
      </c>
      <c r="BD239" s="5">
        <f>$BB$25*(BC239+(1-BC239)*$BB$16)</f>
        <v>0.0</v>
      </c>
      <c r="BE239" s="13">
        <f>BD239*($BB$6+ACUTE_MARGIN)</f>
        <v>0.0</v>
      </c>
      <c r="BF239" s="13">
        <f>IF(BB239=1,$BB$31,$BB$32)</f>
        <v>152394.16214437486</v>
      </c>
      <c r="BG239" s="13">
        <f>BE239-BF239</f>
        <v>-152394.16214437486</v>
      </c>
      <c r="BH239" s="13">
        <f>BH238+BG239</f>
        <v>31866695.679299496</v>
      </c>
      <c r="BI239">
        <f>IF(BH239=MAX($BH$83:$BH$483),$A239,0)</f>
        <v>0</v>
      </c>
      <c r="BJ239">
        <f>IF(BE239&lt;BF239,$A239,B_MAX+1)</f>
        <v>156</v>
      </c>
      <c r="BK239" s="13">
        <f>IF(BB239=1,$BB$35,$BB$36)</f>
        <v>0</v>
      </c>
      <c r="BL239" s="13">
        <f>OCC_DAYS*$BB$41*R_NF_2023-BD239*MCD_SHARE_FREED*R_WAIT_2023</f>
        <v>151980.48282209205</v>
      </c>
      <c r="BM239">
        <f>IF($A239&lt;=$BB$45,1,0)</f>
        <v>0</v>
      </c>
      <c r="CB239">
        <f>IF($CB$31&lt;=$CB$32,IF($A239&lt;=$CB$7,1,2),IF($A239&lt;=RUNG_BEDS_2,2,1))</f>
        <v>2</v>
      </c>
      <c r="CC239" s="5">
        <f>MIN(1,MAX(0,$CB$26-($A239-1)))</f>
        <v>0</v>
      </c>
      <c r="CD239" s="5">
        <f>$CB$25*(CC239+(1-CC239)*$CB$16)</f>
        <v>0.0</v>
      </c>
      <c r="CE239" s="13">
        <f>CD239*($CB$6+ACUTE_MARGIN)</f>
        <v>0.0</v>
      </c>
      <c r="CF239" s="13">
        <f>IF(CB239=1,$CB$31,$CB$32)</f>
        <v>160718.36940738867</v>
      </c>
      <c r="CG239" s="13">
        <f>CE239-CF239</f>
        <v>-160718.36940738867</v>
      </c>
      <c r="CH239" s="13">
        <f>CH238+CG239</f>
        <v>13156905.000719601</v>
      </c>
      <c r="CI239">
        <f>IF(CH239=MAX($CH$83:$CH$483),$A239,0)</f>
        <v>0</v>
      </c>
      <c r="CJ239">
        <f>IF(CE239&lt;CF239,$A239,B_MAX+1)</f>
        <v>156</v>
      </c>
      <c r="CK239" s="13">
        <f>IF(CB239=1,$CB$35,$CB$36)</f>
        <v>1560.1194073886782</v>
      </c>
      <c r="CL239" s="13">
        <f>OCC_DAYS*$CB$41*R_NF_2023-CD239*MCD_SHARE_FREED*R_WAIT_2023</f>
        <v>151980.48282209205</v>
      </c>
      <c r="CM239">
        <f>IF($A239&lt;=$CB$45,1,0)</f>
        <v>0</v>
      </c>
      <c r="DB239">
        <f>IF($DB$31&lt;=$DB$32,IF($A239&lt;=$DB$7,1,2),IF($A239&lt;=RUNG_BEDS_2,2,1))</f>
        <v>1</v>
      </c>
      <c r="DC239" s="5">
        <f>MIN(1,MAX(0,$DB$26-($A239-1)))</f>
        <v>0</v>
      </c>
      <c r="DD239" s="5">
        <f>$DB$25*(DC239+(1-DC239)*$DB$16)</f>
        <v>0.0</v>
      </c>
      <c r="DE239" s="13">
        <f>DD239*($DB$6+ACUTE_MARGIN)</f>
        <v>0.0</v>
      </c>
      <c r="DF239" s="13">
        <f>IF(DB239=1,$DB$31,$DB$32)</f>
        <v>152394.16214437486</v>
      </c>
      <c r="DG239" s="13">
        <f>DE239-DF239</f>
        <v>-152394.16214437486</v>
      </c>
      <c r="DH239" s="13">
        <f>DH238+DG239</f>
        <v>14455481.333749834</v>
      </c>
      <c r="DI239">
        <f>IF(DH239=MAX($DH$83:$DH$483),$A239,0)</f>
        <v>0</v>
      </c>
      <c r="DJ239">
        <f>IF(DE239&lt;DF239,$A239,B_MAX+1)</f>
        <v>156</v>
      </c>
      <c r="DK239" s="13">
        <f>IF(DB239=1,$DB$35,$DB$36)</f>
        <v>0</v>
      </c>
      <c r="DL239" s="13">
        <f>OCC_DAYS*$DB$41*R_NF_2023-DD239*MCD_SHARE_FREED*R_WAIT_2023</f>
        <v>151980.48282209205</v>
      </c>
      <c r="DM239">
        <f>IF($A239&lt;=$DB$45,1,0)</f>
        <v>0</v>
      </c>
      <c r="EB239">
        <f>IF($EB$31&lt;=$EB$32,IF($A239&lt;=$EB$7,1,2),IF($A239&lt;=RUNG_BEDS_2,2,1))</f>
        <v>1</v>
      </c>
      <c r="EC239" s="5">
        <f>MIN(1,MAX(0,$EB$26-($A239-1)))</f>
        <v>0</v>
      </c>
      <c r="ED239" s="5">
        <f>$EB$25*(EC239+(1-EC239)*$EB$16)</f>
        <v>0.0</v>
      </c>
      <c r="EE239" s="13">
        <f>ED239*($EB$6+ACUTE_MARGIN)</f>
        <v>0.0</v>
      </c>
      <c r="EF239" s="13">
        <f>IF(EB239=1,$EB$31,$EB$32)</f>
        <v>152394.16214437486</v>
      </c>
      <c r="EG239" s="13">
        <f>EE239-EF239</f>
        <v>-152394.16214437486</v>
      </c>
      <c r="EH239" s="13">
        <f>EH238+EG239</f>
        <v>14455481.333749834</v>
      </c>
      <c r="EI239">
        <f>IF(EH239=MAX($EH$83:$EH$483),$A239,0)</f>
        <v>0</v>
      </c>
      <c r="EJ239">
        <f>IF(EE239&lt;EF239,$A239,B_MAX+1)</f>
        <v>156</v>
      </c>
      <c r="EK239" s="13">
        <f>IF(EB239=1,$EB$35,$EB$36)</f>
        <v>0</v>
      </c>
      <c r="EL239" s="13">
        <f>OCC_DAYS*$EB$41*R_NF_2023-ED239*MCD_SHARE_FREED*R_WAIT_2023</f>
        <v>50660.16094069735</v>
      </c>
      <c r="EM239">
        <f>IF($A239&lt;=$EB$45,1,0)</f>
        <v>0</v>
      </c>
      <c r="FB239">
        <f>IF($FB$31&lt;=$FB$32,IF($A239&lt;=$FB$7,1,2),IF($A239&lt;=RUNG_BEDS_2,2,1))</f>
        <v>1</v>
      </c>
      <c r="FC239" s="5">
        <f>MIN(1,MAX(0,$FB$26-($A239-1)))</f>
        <v>0</v>
      </c>
      <c r="FD239" s="5">
        <f>$FB$25*(FC239+(1-FC239)*$FB$16)</f>
        <v>0.0</v>
      </c>
      <c r="FE239" s="13">
        <f>FD239*($FB$6+ACUTE_MARGIN)</f>
        <v>0.0</v>
      </c>
      <c r="FF239" s="13">
        <f>IF(FB239=1,$FB$31,$FB$32)</f>
        <v>156636.04979437485</v>
      </c>
      <c r="FG239" s="13">
        <f>FE239-FF239</f>
        <v>-156636.04979437485</v>
      </c>
      <c r="FH239" s="13">
        <f>FH238+FG239</f>
        <v>13793746.86034972</v>
      </c>
      <c r="FI239">
        <f>IF(FH239=MAX($FH$83:$FH$483),$A239,0)</f>
        <v>0</v>
      </c>
      <c r="FJ239">
        <f>IF(FE239&lt;FF239,$A239,B_MAX+1)</f>
        <v>156</v>
      </c>
      <c r="FK239" s="13">
        <f>IF(FB239=1,$FB$35,$FB$36)</f>
        <v>0</v>
      </c>
      <c r="FL239" s="13">
        <f>OCC_DAYS*$FB$41*R_NF_2023-FD239*MCD_SHARE_FREED*R_WAIT_2023</f>
        <v>151980.48282209205</v>
      </c>
      <c r="FM239">
        <f>IF($A239&lt;=$FB$45,1,0)</f>
        <v>0</v>
      </c>
      <c r="GB239">
        <f>IF($GB$31&lt;=$GB$32,IF($A239&lt;=$GB$7,1,2),IF($A239&lt;=RUNG_BEDS_2,2,1))</f>
        <v>1</v>
      </c>
      <c r="GC239" s="5">
        <f>MIN(1,MAX(0,$GB$26-($A239-1)))</f>
        <v>0</v>
      </c>
      <c r="GD239" s="5">
        <f>$GB$25*(GC239+(1-GC239)*$GB$16)</f>
        <v>0.0</v>
      </c>
      <c r="GE239" s="13">
        <f>GD239*($GB$6+ACUTE_MARGIN)</f>
        <v>0.0</v>
      </c>
      <c r="GF239" s="13">
        <f>IF(GB239=1,$GB$31,$GB$32)</f>
        <v>152394.16214437486</v>
      </c>
      <c r="GG239" s="13">
        <f>GE239-GF239</f>
        <v>-152394.16214437486</v>
      </c>
      <c r="GH239" s="13">
        <f>GH238+GG239</f>
        <v>14455481.333749834</v>
      </c>
      <c r="GI239">
        <f>IF(GH239=MAX($GH$83:$GH$483),$A239,0)</f>
        <v>0</v>
      </c>
      <c r="GJ239">
        <f>IF(GE239&lt;GF239,$A239,B_MAX+1)</f>
        <v>156</v>
      </c>
      <c r="GK239" s="13">
        <f>IF(GB239=1,$GB$35,$GB$36)</f>
        <v>0</v>
      </c>
      <c r="GL239" s="13">
        <f>OCC_DAYS*$GB$41*R_NF_2023-GD239*MCD_SHARE_FREED*R_WAIT_2023</f>
        <v>151980.48282209205</v>
      </c>
      <c r="GM239">
        <f>IF($A239&lt;=$GB$45,1,0)</f>
        <v>0</v>
      </c>
      <c r="HB239">
        <f>IF($HB$31&lt;=$HB$32,IF($A239&lt;=$HB$7,1,2),IF($A239&lt;=RUNG_BEDS_2,2,1))</f>
        <v>1</v>
      </c>
      <c r="HC239" s="5">
        <f>MIN(1,MAX(0,$HB$26-($A239-1)))</f>
        <v>0</v>
      </c>
      <c r="HD239" s="5">
        <f>$HB$25*(HC239+(1-HC239)*$HB$16)</f>
        <v>0.0</v>
      </c>
      <c r="HE239" s="13">
        <f>HD239*($HB$6+ACUTE_MARGIN)</f>
        <v>0.0</v>
      </c>
      <c r="HF239" s="13">
        <f>IF(HB239=1,$HB$31,$HB$32)</f>
        <v>152456.2970814058</v>
      </c>
      <c r="HG239" s="13">
        <f>HE239-HF239</f>
        <v>-152456.2970814058</v>
      </c>
      <c r="HH239" s="13">
        <f>HH238+HG239</f>
        <v>14445788.283572983</v>
      </c>
      <c r="HI239">
        <f>IF(HH239=MAX($HH$83:$HH$483),$A239,0)</f>
        <v>0</v>
      </c>
      <c r="HJ239">
        <f>IF(HE239&lt;HF239,$A239,B_MAX+1)</f>
        <v>156</v>
      </c>
      <c r="HK239" s="13">
        <f>IF(HB239=1,$HB$35,$HB$36)</f>
        <v>0</v>
      </c>
      <c r="HL239" s="13">
        <f>OCC_DAYS*$HB$41*R_NF_2023-HD239*MCD_SHARE_FREED*R_WAIT_2023</f>
        <v>151980.48282209205</v>
      </c>
      <c r="HM239">
        <f>IF($A239&lt;=$HB$45,1,0)</f>
        <v>0</v>
      </c>
      <c r="IB239">
        <f>IF($IB$31&lt;=$IB$32,IF($A239&lt;=$IB$7,1,2),IF($A239&lt;=RUNG_BEDS_2,2,1))</f>
        <v>1</v>
      </c>
      <c r="IC239" s="5">
        <f>MIN(1,MAX(0,$IB$26-($A239-1)))</f>
        <v>0</v>
      </c>
      <c r="ID239" s="5">
        <f>$IB$25*(IC239+(1-IC239)*$IB$16)</f>
        <v>0.0</v>
      </c>
      <c r="IE239" s="13">
        <f>ID239*($IB$6+ACUTE_MARGIN)</f>
        <v>0.0</v>
      </c>
      <c r="IF239" s="13">
        <f>IF(IB239=1,$IB$31,$IB$32)</f>
        <v>152734.9994534971</v>
      </c>
      <c r="IG239" s="13">
        <f>IE239-IF239</f>
        <v>-152734.9994534971</v>
      </c>
      <c r="IH239" s="13">
        <f>IH238+IG239</f>
        <v>14402310.71352666</v>
      </c>
      <c r="II239">
        <f>IF(IH239=MAX($IH$83:$IH$483),$A239,0)</f>
        <v>0</v>
      </c>
      <c r="IJ239">
        <f>IF(IE239&lt;IF239,$A239,B_MAX+1)</f>
        <v>156</v>
      </c>
      <c r="IK239" s="13">
        <f>IF(IB239=1,$IB$35,$IB$36)</f>
        <v>0</v>
      </c>
      <c r="IL239" s="13">
        <f>OCC_DAYS*$IB$41*R_NF_2023-ID239*MCD_SHARE_FREED*R_WAIT_2023</f>
        <v>151980.48282209205</v>
      </c>
      <c r="IM239">
        <f>IF($A239&lt;=$IB$45,1,0)</f>
        <v>0</v>
      </c>
      <c r="JB239">
        <f>IF($JB$31&lt;=$JB$32,IF($A239&lt;=$JB$7,1,2),IF($A239&lt;=RUNG_BEDS_2,2,1))</f>
        <v>1</v>
      </c>
      <c r="JC239" s="5">
        <f>MIN(1,MAX(0,$JB$26-($A239-1)))</f>
        <v>0</v>
      </c>
      <c r="JD239" s="5">
        <f>$JB$25*(JC239+(1-JC239)*$JB$16)</f>
        <v>0.0</v>
      </c>
      <c r="JE239" s="13">
        <f>JD239*($JB$6+ACUTE_MARGIN)</f>
        <v>0.0</v>
      </c>
      <c r="JF239" s="13">
        <f>IF(JB239=1,$JB$31,$JB$32)</f>
        <v>152394.16214437486</v>
      </c>
      <c r="JG239" s="13">
        <f>JE239-JF239</f>
        <v>-152394.16214437486</v>
      </c>
      <c r="JH239" s="13">
        <f>JH238+JG239</f>
        <v>14455481.333749834</v>
      </c>
      <c r="JI239">
        <f>IF(JH239=MAX($JH$83:$JH$483),$A239,0)</f>
        <v>0</v>
      </c>
      <c r="JJ239">
        <f>IF(JE239&lt;JF239,$A239,B_MAX+1)</f>
        <v>156</v>
      </c>
      <c r="JK239" s="13">
        <f>IF(JB239=1,$JB$35,$JB$36)</f>
        <v>0</v>
      </c>
      <c r="JL239" s="13">
        <f>OCC_DAYS*$JB$41*R_NF_2023-JD239*MCD_SHARE_FREED*R_WAIT_2023</f>
        <v>151980.48282209205</v>
      </c>
      <c r="JM239">
        <f>IF($A239&lt;=$JB$45,1,0)</f>
        <v>0</v>
      </c>
      <c r="KB239">
        <f>IF($KB$31&lt;=$KB$32,IF($A239&lt;=$KB$7,1,2),IF($A239&lt;=RUNG_BEDS_2,2,1))</f>
        <v>1</v>
      </c>
      <c r="KC239" s="5">
        <f>MIN(1,MAX(0,$KB$26-($A239-1)))</f>
        <v>1</v>
      </c>
      <c r="KD239" s="5">
        <f>$KB$25*(KC239+(1-KC239)*$KB$16)</f>
        <v>126.02661357340719</v>
      </c>
      <c r="KE239" s="13">
        <f>KD239*($KB$6+ACUTE_MARGIN)</f>
        <v>127286.87970914126</v>
      </c>
      <c r="KF239" s="13">
        <f>IF(KB239=1,$KB$31,$KB$32)</f>
        <v>152394.16214437486</v>
      </c>
      <c r="KG239" s="13">
        <f>KE239-KF239</f>
        <v>-25107.282435233603</v>
      </c>
      <c r="KH239" s="13">
        <f>KH238+KG239</f>
        <v>-3916736.0598964533</v>
      </c>
      <c r="KI239">
        <f>IF(KH239=MAX($KH$83:$KH$483),$A239,0)</f>
        <v>0</v>
      </c>
      <c r="KJ239">
        <f>IF(KE239&lt;KF239,$A239,B_MAX+1)</f>
        <v>156</v>
      </c>
      <c r="KK239" s="13">
        <f>IF(KB239=1,$KB$35,$KB$36)</f>
        <v>0</v>
      </c>
      <c r="KL239" s="13">
        <f>OCC_DAYS*$KB$41*R_NF_2023-KD239*MCD_SHARE_FREED*R_WAIT_2023</f>
        <v>94673.82103225985</v>
      </c>
      <c r="KM239">
        <f>IF($A239&lt;=$KB$45,1,0)</f>
        <v>0</v>
      </c>
      <c r="LB239">
        <f>IF($LB$31&lt;=$LB$32,IF($A239&lt;=$LB$7,1,2),IF($A239&lt;=RUNG_BEDS_2,2,1))</f>
        <v>1</v>
      </c>
      <c r="LC239" s="5">
        <f>MIN(1,MAX(0,$LB$26-($A239-1)))</f>
        <v>1</v>
      </c>
      <c r="LD239" s="5">
        <f>$LB$25*(LC239+(1-LC239)*$LB$16)</f>
        <v>84.01774238227146</v>
      </c>
      <c r="LE239" s="13">
        <f>LD239*($LB$6+ACUTE_MARGIN)</f>
        <v>84857.91980609419</v>
      </c>
      <c r="LF239" s="13">
        <f>IF(LB239=1,$LB$31,$LB$32)</f>
        <v>152394.16214437486</v>
      </c>
      <c r="LG239" s="13">
        <f>LE239-LF239</f>
        <v>-67536.24233828067</v>
      </c>
      <c r="LH239" s="13">
        <f>LH238+LG239</f>
        <v>-10535653.804771826</v>
      </c>
      <c r="LI239">
        <f>IF(LH239=MAX($LH$83:$LH$483),$A239,0)</f>
        <v>0</v>
      </c>
      <c r="LJ239">
        <f>IF(LE239&lt;LF239,$A239,B_MAX+1)</f>
        <v>156</v>
      </c>
      <c r="LK239" s="13">
        <f>IF(LB239=1,$LB$35,$LB$36)</f>
        <v>0</v>
      </c>
      <c r="LL239" s="13">
        <f>OCC_DAYS*$LB$41*R_NF_2023-LD239*MCD_SHARE_FREED*R_WAIT_2023</f>
        <v>113776.04162887059</v>
      </c>
      <c r="LM239">
        <f>IF($A239&lt;=$LB$45,1,0)</f>
        <v>0</v>
      </c>
      <c r="MB239">
        <f>IF($MB$31&lt;=$MB$32,IF($A239&lt;=$MB$7,1,2),IF($A239&lt;=RUNG_BEDS_2,2,1))</f>
        <v>1</v>
      </c>
      <c r="MC239" s="5">
        <f>MIN(1,MAX(0,$MB$26-($A239-1)))</f>
        <v>0</v>
      </c>
      <c r="MD239" s="5">
        <f>$MB$25*(MC239+(1-MC239)*$MB$16)</f>
        <v>0.0</v>
      </c>
      <c r="ME239" s="13">
        <f>MD239*($MB$6+ACUTE_MARGIN)</f>
        <v>0.0</v>
      </c>
      <c r="MF239" s="13">
        <f>IF(MB239=1,$MB$31,$MB$32)</f>
        <v>152394.16214437486</v>
      </c>
      <c r="MG239" s="13">
        <f>ME239-MF239</f>
        <v>-152394.16214437486</v>
      </c>
      <c r="MH239" s="13">
        <f>MH238+MG239</f>
        <v>8568205.271951534</v>
      </c>
      <c r="MI239">
        <f>IF(MH239=MAX($MH$83:$MH$483),$A239,0)</f>
        <v>0</v>
      </c>
      <c r="MJ239">
        <f>IF(ME239&lt;MF239,$A239,B_MAX+1)</f>
        <v>156</v>
      </c>
      <c r="MK239" s="13">
        <f>IF(MB239=1,$MB$35,$MB$36)</f>
        <v>0</v>
      </c>
      <c r="ML239" s="13">
        <f>OCC_DAYS*$MB$41*R_NF_2023-MD239*MCD_SHARE_FREED*R_WAIT_2023</f>
        <v>151980.48282209205</v>
      </c>
      <c r="MM239">
        <f>IF($A239&lt;=$MB$45,1,0)</f>
        <v>0</v>
      </c>
      <c r="NB239">
        <f>IF($NB$31&lt;=$NB$32,IF($A239&lt;=$NB$7,1,2),IF($A239&lt;=RUNG_BEDS_2,2,1))</f>
        <v>1</v>
      </c>
      <c r="NC239" s="5">
        <f>MIN(1,MAX(0,$NB$26-($A239-1)))</f>
        <v>0</v>
      </c>
      <c r="ND239" s="5">
        <f>$NB$25*(NC239+(1-NC239)*$NB$16)</f>
        <v>63.013306786703595</v>
      </c>
      <c r="NE239" s="13">
        <f>ND239*($NB$6+ACUTE_MARGIN)</f>
        <v>63643.43985457063</v>
      </c>
      <c r="NF239" s="13">
        <f>IF(NB239=1,$NB$31,$NB$32)</f>
        <v>152394.16214437486</v>
      </c>
      <c r="NG239" s="13">
        <f>NE239-NF239</f>
        <v>-88750.72228980422</v>
      </c>
      <c r="NH239" s="13">
        <f>NH238+NG239</f>
        <v>14826615.293994784</v>
      </c>
      <c r="NI239">
        <f>IF(NH239=MAX($NH$83:$NH$483),$A239,0)</f>
        <v>0</v>
      </c>
      <c r="NJ239">
        <f>IF(NE239&lt;NF239,$A239,B_MAX+1)</f>
        <v>156</v>
      </c>
      <c r="NK239" s="13">
        <f>IF(NB239=1,$NB$35,$NB$36)</f>
        <v>0</v>
      </c>
      <c r="NL239" s="13">
        <f>OCC_DAYS*$NB$41*R_NF_2023-ND239*MCD_SHARE_FREED*R_WAIT_2023</f>
        <v>123327.15192717595</v>
      </c>
      <c r="NM239">
        <f>IF($A239&lt;=$NB$45,1,0)</f>
        <v>0</v>
      </c>
      <c r="OB239">
        <f>IF($OB$31&lt;=$OB$32,IF($A239&lt;=$OB$7,1,2),IF($A239&lt;=RUNG_BEDS_2,2,1))</f>
        <v>1</v>
      </c>
      <c r="OC239" s="5">
        <f>MIN(1,MAX(0,$OB$26-($A239-1)))</f>
        <v>0</v>
      </c>
      <c r="OD239" s="5">
        <f>$OB$25*(OC239+(1-OC239)*$OB$16)</f>
        <v>126.02661357340719</v>
      </c>
      <c r="OE239" s="13">
        <f>OD239*($OB$6+ACUTE_MARGIN)</f>
        <v>127286.87970914126</v>
      </c>
      <c r="OF239" s="13">
        <f>IF(OB239=1,$OB$31,$OB$32)</f>
        <v>152394.16214437486</v>
      </c>
      <c r="OG239" s="13">
        <f>OE239-OF239</f>
        <v>-25107.282435233603</v>
      </c>
      <c r="OH239" s="13">
        <f>OH238+OG239</f>
        <v>15197749.254239745</v>
      </c>
      <c r="OI239">
        <f>IF(OH239=MAX($OH$83:$OH$483),$A239,0)</f>
        <v>0</v>
      </c>
      <c r="OJ239">
        <f>IF(OE239&lt;OF239,$A239,B_MAX+1)</f>
        <v>156</v>
      </c>
      <c r="OK239" s="13">
        <f>IF(OB239=1,$OB$35,$OB$36)</f>
        <v>0</v>
      </c>
      <c r="OL239" s="13">
        <f>OCC_DAYS*$OB$41*R_NF_2023-OD239*MCD_SHARE_FREED*R_WAIT_2023</f>
        <v>94673.82103225985</v>
      </c>
      <c r="OM239">
        <f>IF($A239&lt;=$OB$45,1,0)</f>
        <v>0</v>
      </c>
    </row>
    <row r="240">
      <c r="A240" t="n">
        <v>157</v>
      </c>
      <c r="B240">
        <f>IF($B$31&lt;=$B$32,IF($A240&lt;=$B$7,1,2),IF($A240&lt;=RUNG_BEDS_2,2,1))</f>
        <v>1</v>
      </c>
      <c r="C240" s="5">
        <f>MIN(1,MAX(0,$B$26-($A240-1)))</f>
        <v>0</v>
      </c>
      <c r="D240" s="5">
        <f>$B$25*(C240+(1-C240)*$B$16)</f>
        <v>0.0</v>
      </c>
      <c r="E240" s="13">
        <f>D240*($B$6+ACUTE_MARGIN)</f>
        <v>0.0</v>
      </c>
      <c r="F240" s="13">
        <f>IF(B240=1,$B$31,$B$32)</f>
        <v>152394.16214437486</v>
      </c>
      <c r="G240" s="13">
        <f>E240-F240</f>
        <v>-152394.16214437486</v>
      </c>
      <c r="H240" s="13">
        <f>H239+G240</f>
        <v>14303087.17160546</v>
      </c>
      <c r="I240">
        <f>IF(H240=MAX($H$83:$H$483),$A240,0)</f>
        <v>0</v>
      </c>
      <c r="J240">
        <f>IF(E240&lt;F240,$A240,B_MAX+1)</f>
        <v>157</v>
      </c>
      <c r="K240" s="13">
        <f>IF(B240=1,$B$35,$B$36)</f>
        <v>0</v>
      </c>
      <c r="L240" s="13">
        <f>OCC_DAYS*$B$41*R_NF_2023-D240*MCD_SHARE_FREED*R_WAIT_2023</f>
        <v>151980.48282209205</v>
      </c>
      <c r="M240">
        <f>IF($A240&lt;=$B$45,1,0)</f>
        <v>0</v>
      </c>
      <c r="AB240">
        <f>IF($AB$31&lt;=$AB$32,IF($A240&lt;=$AB$7,1,2),IF($A240&lt;=RUNG_BEDS_2,2,1))</f>
        <v>1</v>
      </c>
      <c r="AC240" s="5">
        <f>MIN(1,MAX(0,$AB$26-($A240-1)))</f>
        <v>0</v>
      </c>
      <c r="AD240" s="5">
        <f>$AB$25*(AC240+(1-AC240)*$AB$16)</f>
        <v>0.0</v>
      </c>
      <c r="AE240" s="13">
        <f>AD240*($AB$6+ACUTE_MARGIN)</f>
        <v>0.0</v>
      </c>
      <c r="AF240" s="13">
        <f>IF(AB240=1,$AB$31,$AB$32)</f>
        <v>152394.16214437486</v>
      </c>
      <c r="AG240" s="13">
        <f>AE240-AF240</f>
        <v>-152394.16214437486</v>
      </c>
      <c r="AH240" s="13">
        <f>AH239+AG240</f>
        <v>-3108127.173944338</v>
      </c>
      <c r="AI240">
        <f>IF(AH240=MAX($AH$83:$AH$483),$A240,0)</f>
        <v>0</v>
      </c>
      <c r="AJ240">
        <f>IF(AE240&lt;AF240,$A240,B_MAX+1)</f>
        <v>157</v>
      </c>
      <c r="AK240" s="13">
        <f>IF(AB240=1,$AB$35,$AB$36)</f>
        <v>0</v>
      </c>
      <c r="AL240" s="13">
        <f>OCC_DAYS*$AB$41*R_NF_2023-AD240*MCD_SHARE_FREED*R_WAIT_2023</f>
        <v>151980.48282209205</v>
      </c>
      <c r="AM240">
        <f>IF($A240&lt;=$AB$45,1,0)</f>
        <v>0</v>
      </c>
      <c r="BB240">
        <f>IF($BB$31&lt;=$BB$32,IF($A240&lt;=$BB$7,1,2),IF($A240&lt;=RUNG_BEDS_2,2,1))</f>
        <v>1</v>
      </c>
      <c r="BC240" s="5">
        <f>MIN(1,MAX(0,$BB$26-($A240-1)))</f>
        <v>0</v>
      </c>
      <c r="BD240" s="5">
        <f>$BB$25*(BC240+(1-BC240)*$BB$16)</f>
        <v>0.0</v>
      </c>
      <c r="BE240" s="13">
        <f>BD240*($BB$6+ACUTE_MARGIN)</f>
        <v>0.0</v>
      </c>
      <c r="BF240" s="13">
        <f>IF(BB240=1,$BB$31,$BB$32)</f>
        <v>152394.16214437486</v>
      </c>
      <c r="BG240" s="13">
        <f>BE240-BF240</f>
        <v>-152394.16214437486</v>
      </c>
      <c r="BH240" s="13">
        <f>BH239+BG240</f>
        <v>31714301.517155122</v>
      </c>
      <c r="BI240">
        <f>IF(BH240=MAX($BH$83:$BH$483),$A240,0)</f>
        <v>0</v>
      </c>
      <c r="BJ240">
        <f>IF(BE240&lt;BF240,$A240,B_MAX+1)</f>
        <v>157</v>
      </c>
      <c r="BK240" s="13">
        <f>IF(BB240=1,$BB$35,$BB$36)</f>
        <v>0</v>
      </c>
      <c r="BL240" s="13">
        <f>OCC_DAYS*$BB$41*R_NF_2023-BD240*MCD_SHARE_FREED*R_WAIT_2023</f>
        <v>151980.48282209205</v>
      </c>
      <c r="BM240">
        <f>IF($A240&lt;=$BB$45,1,0)</f>
        <v>0</v>
      </c>
      <c r="CB240">
        <f>IF($CB$31&lt;=$CB$32,IF($A240&lt;=$CB$7,1,2),IF($A240&lt;=RUNG_BEDS_2,2,1))</f>
        <v>2</v>
      </c>
      <c r="CC240" s="5">
        <f>MIN(1,MAX(0,$CB$26-($A240-1)))</f>
        <v>0</v>
      </c>
      <c r="CD240" s="5">
        <f>$CB$25*(CC240+(1-CC240)*$CB$16)</f>
        <v>0.0</v>
      </c>
      <c r="CE240" s="13">
        <f>CD240*($CB$6+ACUTE_MARGIN)</f>
        <v>0.0</v>
      </c>
      <c r="CF240" s="13">
        <f>IF(CB240=1,$CB$31,$CB$32)</f>
        <v>160718.36940738867</v>
      </c>
      <c r="CG240" s="13">
        <f>CE240-CF240</f>
        <v>-160718.36940738867</v>
      </c>
      <c r="CH240" s="13">
        <f>CH239+CG240</f>
        <v>12996186.631312212</v>
      </c>
      <c r="CI240">
        <f>IF(CH240=MAX($CH$83:$CH$483),$A240,0)</f>
        <v>0</v>
      </c>
      <c r="CJ240">
        <f>IF(CE240&lt;CF240,$A240,B_MAX+1)</f>
        <v>157</v>
      </c>
      <c r="CK240" s="13">
        <f>IF(CB240=1,$CB$35,$CB$36)</f>
        <v>1560.1194073886782</v>
      </c>
      <c r="CL240" s="13">
        <f>OCC_DAYS*$CB$41*R_NF_2023-CD240*MCD_SHARE_FREED*R_WAIT_2023</f>
        <v>151980.48282209205</v>
      </c>
      <c r="CM240">
        <f>IF($A240&lt;=$CB$45,1,0)</f>
        <v>0</v>
      </c>
      <c r="DB240">
        <f>IF($DB$31&lt;=$DB$32,IF($A240&lt;=$DB$7,1,2),IF($A240&lt;=RUNG_BEDS_2,2,1))</f>
        <v>1</v>
      </c>
      <c r="DC240" s="5">
        <f>MIN(1,MAX(0,$DB$26-($A240-1)))</f>
        <v>0</v>
      </c>
      <c r="DD240" s="5">
        <f>$DB$25*(DC240+(1-DC240)*$DB$16)</f>
        <v>0.0</v>
      </c>
      <c r="DE240" s="13">
        <f>DD240*($DB$6+ACUTE_MARGIN)</f>
        <v>0.0</v>
      </c>
      <c r="DF240" s="13">
        <f>IF(DB240=1,$DB$31,$DB$32)</f>
        <v>152394.16214437486</v>
      </c>
      <c r="DG240" s="13">
        <f>DE240-DF240</f>
        <v>-152394.16214437486</v>
      </c>
      <c r="DH240" s="13">
        <f>DH239+DG240</f>
        <v>14303087.17160546</v>
      </c>
      <c r="DI240">
        <f>IF(DH240=MAX($DH$83:$DH$483),$A240,0)</f>
        <v>0</v>
      </c>
      <c r="DJ240">
        <f>IF(DE240&lt;DF240,$A240,B_MAX+1)</f>
        <v>157</v>
      </c>
      <c r="DK240" s="13">
        <f>IF(DB240=1,$DB$35,$DB$36)</f>
        <v>0</v>
      </c>
      <c r="DL240" s="13">
        <f>OCC_DAYS*$DB$41*R_NF_2023-DD240*MCD_SHARE_FREED*R_WAIT_2023</f>
        <v>151980.48282209205</v>
      </c>
      <c r="DM240">
        <f>IF($A240&lt;=$DB$45,1,0)</f>
        <v>0</v>
      </c>
      <c r="EB240">
        <f>IF($EB$31&lt;=$EB$32,IF($A240&lt;=$EB$7,1,2),IF($A240&lt;=RUNG_BEDS_2,2,1))</f>
        <v>1</v>
      </c>
      <c r="EC240" s="5">
        <f>MIN(1,MAX(0,$EB$26-($A240-1)))</f>
        <v>0</v>
      </c>
      <c r="ED240" s="5">
        <f>$EB$25*(EC240+(1-EC240)*$EB$16)</f>
        <v>0.0</v>
      </c>
      <c r="EE240" s="13">
        <f>ED240*($EB$6+ACUTE_MARGIN)</f>
        <v>0.0</v>
      </c>
      <c r="EF240" s="13">
        <f>IF(EB240=1,$EB$31,$EB$32)</f>
        <v>152394.16214437486</v>
      </c>
      <c r="EG240" s="13">
        <f>EE240-EF240</f>
        <v>-152394.16214437486</v>
      </c>
      <c r="EH240" s="13">
        <f>EH239+EG240</f>
        <v>14303087.17160546</v>
      </c>
      <c r="EI240">
        <f>IF(EH240=MAX($EH$83:$EH$483),$A240,0)</f>
        <v>0</v>
      </c>
      <c r="EJ240">
        <f>IF(EE240&lt;EF240,$A240,B_MAX+1)</f>
        <v>157</v>
      </c>
      <c r="EK240" s="13">
        <f>IF(EB240=1,$EB$35,$EB$36)</f>
        <v>0</v>
      </c>
      <c r="EL240" s="13">
        <f>OCC_DAYS*$EB$41*R_NF_2023-ED240*MCD_SHARE_FREED*R_WAIT_2023</f>
        <v>50660.16094069735</v>
      </c>
      <c r="EM240">
        <f>IF($A240&lt;=$EB$45,1,0)</f>
        <v>0</v>
      </c>
      <c r="FB240">
        <f>IF($FB$31&lt;=$FB$32,IF($A240&lt;=$FB$7,1,2),IF($A240&lt;=RUNG_BEDS_2,2,1))</f>
        <v>1</v>
      </c>
      <c r="FC240" s="5">
        <f>MIN(1,MAX(0,$FB$26-($A240-1)))</f>
        <v>0</v>
      </c>
      <c r="FD240" s="5">
        <f>$FB$25*(FC240+(1-FC240)*$FB$16)</f>
        <v>0.0</v>
      </c>
      <c r="FE240" s="13">
        <f>FD240*($FB$6+ACUTE_MARGIN)</f>
        <v>0.0</v>
      </c>
      <c r="FF240" s="13">
        <f>IF(FB240=1,$FB$31,$FB$32)</f>
        <v>156636.04979437485</v>
      </c>
      <c r="FG240" s="13">
        <f>FE240-FF240</f>
        <v>-156636.04979437485</v>
      </c>
      <c r="FH240" s="13">
        <f>FH239+FG240</f>
        <v>13637110.810555346</v>
      </c>
      <c r="FI240">
        <f>IF(FH240=MAX($FH$83:$FH$483),$A240,0)</f>
        <v>0</v>
      </c>
      <c r="FJ240">
        <f>IF(FE240&lt;FF240,$A240,B_MAX+1)</f>
        <v>157</v>
      </c>
      <c r="FK240" s="13">
        <f>IF(FB240=1,$FB$35,$FB$36)</f>
        <v>0</v>
      </c>
      <c r="FL240" s="13">
        <f>OCC_DAYS*$FB$41*R_NF_2023-FD240*MCD_SHARE_FREED*R_WAIT_2023</f>
        <v>151980.48282209205</v>
      </c>
      <c r="FM240">
        <f>IF($A240&lt;=$FB$45,1,0)</f>
        <v>0</v>
      </c>
      <c r="GB240">
        <f>IF($GB$31&lt;=$GB$32,IF($A240&lt;=$GB$7,1,2),IF($A240&lt;=RUNG_BEDS_2,2,1))</f>
        <v>1</v>
      </c>
      <c r="GC240" s="5">
        <f>MIN(1,MAX(0,$GB$26-($A240-1)))</f>
        <v>0</v>
      </c>
      <c r="GD240" s="5">
        <f>$GB$25*(GC240+(1-GC240)*$GB$16)</f>
        <v>0.0</v>
      </c>
      <c r="GE240" s="13">
        <f>GD240*($GB$6+ACUTE_MARGIN)</f>
        <v>0.0</v>
      </c>
      <c r="GF240" s="13">
        <f>IF(GB240=1,$GB$31,$GB$32)</f>
        <v>152394.16214437486</v>
      </c>
      <c r="GG240" s="13">
        <f>GE240-GF240</f>
        <v>-152394.16214437486</v>
      </c>
      <c r="GH240" s="13">
        <f>GH239+GG240</f>
        <v>14303087.17160546</v>
      </c>
      <c r="GI240">
        <f>IF(GH240=MAX($GH$83:$GH$483),$A240,0)</f>
        <v>0</v>
      </c>
      <c r="GJ240">
        <f>IF(GE240&lt;GF240,$A240,B_MAX+1)</f>
        <v>157</v>
      </c>
      <c r="GK240" s="13">
        <f>IF(GB240=1,$GB$35,$GB$36)</f>
        <v>0</v>
      </c>
      <c r="GL240" s="13">
        <f>OCC_DAYS*$GB$41*R_NF_2023-GD240*MCD_SHARE_FREED*R_WAIT_2023</f>
        <v>151980.48282209205</v>
      </c>
      <c r="GM240">
        <f>IF($A240&lt;=$GB$45,1,0)</f>
        <v>0</v>
      </c>
      <c r="HB240">
        <f>IF($HB$31&lt;=$HB$32,IF($A240&lt;=$HB$7,1,2),IF($A240&lt;=RUNG_BEDS_2,2,1))</f>
        <v>1</v>
      </c>
      <c r="HC240" s="5">
        <f>MIN(1,MAX(0,$HB$26-($A240-1)))</f>
        <v>0</v>
      </c>
      <c r="HD240" s="5">
        <f>$HB$25*(HC240+(1-HC240)*$HB$16)</f>
        <v>0.0</v>
      </c>
      <c r="HE240" s="13">
        <f>HD240*($HB$6+ACUTE_MARGIN)</f>
        <v>0.0</v>
      </c>
      <c r="HF240" s="13">
        <f>IF(HB240=1,$HB$31,$HB$32)</f>
        <v>152456.2970814058</v>
      </c>
      <c r="HG240" s="13">
        <f>HE240-HF240</f>
        <v>-152456.2970814058</v>
      </c>
      <c r="HH240" s="13">
        <f>HH239+HG240</f>
        <v>14293331.986491578</v>
      </c>
      <c r="HI240">
        <f>IF(HH240=MAX($HH$83:$HH$483),$A240,0)</f>
        <v>0</v>
      </c>
      <c r="HJ240">
        <f>IF(HE240&lt;HF240,$A240,B_MAX+1)</f>
        <v>157</v>
      </c>
      <c r="HK240" s="13">
        <f>IF(HB240=1,$HB$35,$HB$36)</f>
        <v>0</v>
      </c>
      <c r="HL240" s="13">
        <f>OCC_DAYS*$HB$41*R_NF_2023-HD240*MCD_SHARE_FREED*R_WAIT_2023</f>
        <v>151980.48282209205</v>
      </c>
      <c r="HM240">
        <f>IF($A240&lt;=$HB$45,1,0)</f>
        <v>0</v>
      </c>
      <c r="IB240">
        <f>IF($IB$31&lt;=$IB$32,IF($A240&lt;=$IB$7,1,2),IF($A240&lt;=RUNG_BEDS_2,2,1))</f>
        <v>1</v>
      </c>
      <c r="IC240" s="5">
        <f>MIN(1,MAX(0,$IB$26-($A240-1)))</f>
        <v>0</v>
      </c>
      <c r="ID240" s="5">
        <f>$IB$25*(IC240+(1-IC240)*$IB$16)</f>
        <v>0.0</v>
      </c>
      <c r="IE240" s="13">
        <f>ID240*($IB$6+ACUTE_MARGIN)</f>
        <v>0.0</v>
      </c>
      <c r="IF240" s="13">
        <f>IF(IB240=1,$IB$31,$IB$32)</f>
        <v>152734.9994534971</v>
      </c>
      <c r="IG240" s="13">
        <f>IE240-IF240</f>
        <v>-152734.9994534971</v>
      </c>
      <c r="IH240" s="13">
        <f>IH239+IG240</f>
        <v>14249575.714073164</v>
      </c>
      <c r="II240">
        <f>IF(IH240=MAX($IH$83:$IH$483),$A240,0)</f>
        <v>0</v>
      </c>
      <c r="IJ240">
        <f>IF(IE240&lt;IF240,$A240,B_MAX+1)</f>
        <v>157</v>
      </c>
      <c r="IK240" s="13">
        <f>IF(IB240=1,$IB$35,$IB$36)</f>
        <v>0</v>
      </c>
      <c r="IL240" s="13">
        <f>OCC_DAYS*$IB$41*R_NF_2023-ID240*MCD_SHARE_FREED*R_WAIT_2023</f>
        <v>151980.48282209205</v>
      </c>
      <c r="IM240">
        <f>IF($A240&lt;=$IB$45,1,0)</f>
        <v>0</v>
      </c>
      <c r="JB240">
        <f>IF($JB$31&lt;=$JB$32,IF($A240&lt;=$JB$7,1,2),IF($A240&lt;=RUNG_BEDS_2,2,1))</f>
        <v>1</v>
      </c>
      <c r="JC240" s="5">
        <f>MIN(1,MAX(0,$JB$26-($A240-1)))</f>
        <v>0</v>
      </c>
      <c r="JD240" s="5">
        <f>$JB$25*(JC240+(1-JC240)*$JB$16)</f>
        <v>0.0</v>
      </c>
      <c r="JE240" s="13">
        <f>JD240*($JB$6+ACUTE_MARGIN)</f>
        <v>0.0</v>
      </c>
      <c r="JF240" s="13">
        <f>IF(JB240=1,$JB$31,$JB$32)</f>
        <v>152394.16214437486</v>
      </c>
      <c r="JG240" s="13">
        <f>JE240-JF240</f>
        <v>-152394.16214437486</v>
      </c>
      <c r="JH240" s="13">
        <f>JH239+JG240</f>
        <v>14303087.17160546</v>
      </c>
      <c r="JI240">
        <f>IF(JH240=MAX($JH$83:$JH$483),$A240,0)</f>
        <v>0</v>
      </c>
      <c r="JJ240">
        <f>IF(JE240&lt;JF240,$A240,B_MAX+1)</f>
        <v>157</v>
      </c>
      <c r="JK240" s="13">
        <f>IF(JB240=1,$JB$35,$JB$36)</f>
        <v>0</v>
      </c>
      <c r="JL240" s="13">
        <f>OCC_DAYS*$JB$41*R_NF_2023-JD240*MCD_SHARE_FREED*R_WAIT_2023</f>
        <v>151980.48282209205</v>
      </c>
      <c r="JM240">
        <f>IF($A240&lt;=$JB$45,1,0)</f>
        <v>0</v>
      </c>
      <c r="KB240">
        <f>IF($KB$31&lt;=$KB$32,IF($A240&lt;=$KB$7,1,2),IF($A240&lt;=RUNG_BEDS_2,2,1))</f>
        <v>1</v>
      </c>
      <c r="KC240" s="5">
        <f>MIN(1,MAX(0,$KB$26-($A240-1)))</f>
        <v>1</v>
      </c>
      <c r="KD240" s="5">
        <f>$KB$25*(KC240+(1-KC240)*$KB$16)</f>
        <v>126.02661357340719</v>
      </c>
      <c r="KE240" s="13">
        <f>KD240*($KB$6+ACUTE_MARGIN)</f>
        <v>127286.87970914126</v>
      </c>
      <c r="KF240" s="13">
        <f>IF(KB240=1,$KB$31,$KB$32)</f>
        <v>152394.16214437486</v>
      </c>
      <c r="KG240" s="13">
        <f>KE240-KF240</f>
        <v>-25107.282435233603</v>
      </c>
      <c r="KH240" s="13">
        <f>KH239+KG240</f>
        <v>-3941843.342331687</v>
      </c>
      <c r="KI240">
        <f>IF(KH240=MAX($KH$83:$KH$483),$A240,0)</f>
        <v>0</v>
      </c>
      <c r="KJ240">
        <f>IF(KE240&lt;KF240,$A240,B_MAX+1)</f>
        <v>157</v>
      </c>
      <c r="KK240" s="13">
        <f>IF(KB240=1,$KB$35,$KB$36)</f>
        <v>0</v>
      </c>
      <c r="KL240" s="13">
        <f>OCC_DAYS*$KB$41*R_NF_2023-KD240*MCD_SHARE_FREED*R_WAIT_2023</f>
        <v>94673.82103225985</v>
      </c>
      <c r="KM240">
        <f>IF($A240&lt;=$KB$45,1,0)</f>
        <v>0</v>
      </c>
      <c r="LB240">
        <f>IF($LB$31&lt;=$LB$32,IF($A240&lt;=$LB$7,1,2),IF($A240&lt;=RUNG_BEDS_2,2,1))</f>
        <v>1</v>
      </c>
      <c r="LC240" s="5">
        <f>MIN(1,MAX(0,$LB$26-($A240-1)))</f>
        <v>1</v>
      </c>
      <c r="LD240" s="5">
        <f>$LB$25*(LC240+(1-LC240)*$LB$16)</f>
        <v>84.01774238227146</v>
      </c>
      <c r="LE240" s="13">
        <f>LD240*($LB$6+ACUTE_MARGIN)</f>
        <v>84857.91980609419</v>
      </c>
      <c r="LF240" s="13">
        <f>IF(LB240=1,$LB$31,$LB$32)</f>
        <v>152394.16214437486</v>
      </c>
      <c r="LG240" s="13">
        <f>LE240-LF240</f>
        <v>-67536.24233828067</v>
      </c>
      <c r="LH240" s="13">
        <f>LH239+LG240</f>
        <v>-10603190.047110107</v>
      </c>
      <c r="LI240">
        <f>IF(LH240=MAX($LH$83:$LH$483),$A240,0)</f>
        <v>0</v>
      </c>
      <c r="LJ240">
        <f>IF(LE240&lt;LF240,$A240,B_MAX+1)</f>
        <v>157</v>
      </c>
      <c r="LK240" s="13">
        <f>IF(LB240=1,$LB$35,$LB$36)</f>
        <v>0</v>
      </c>
      <c r="LL240" s="13">
        <f>OCC_DAYS*$LB$41*R_NF_2023-LD240*MCD_SHARE_FREED*R_WAIT_2023</f>
        <v>113776.04162887059</v>
      </c>
      <c r="LM240">
        <f>IF($A240&lt;=$LB$45,1,0)</f>
        <v>0</v>
      </c>
      <c r="MB240">
        <f>IF($MB$31&lt;=$MB$32,IF($A240&lt;=$MB$7,1,2),IF($A240&lt;=RUNG_BEDS_2,2,1))</f>
        <v>1</v>
      </c>
      <c r="MC240" s="5">
        <f>MIN(1,MAX(0,$MB$26-($A240-1)))</f>
        <v>0</v>
      </c>
      <c r="MD240" s="5">
        <f>$MB$25*(MC240+(1-MC240)*$MB$16)</f>
        <v>0.0</v>
      </c>
      <c r="ME240" s="13">
        <f>MD240*($MB$6+ACUTE_MARGIN)</f>
        <v>0.0</v>
      </c>
      <c r="MF240" s="13">
        <f>IF(MB240=1,$MB$31,$MB$32)</f>
        <v>152394.16214437486</v>
      </c>
      <c r="MG240" s="13">
        <f>ME240-MF240</f>
        <v>-152394.16214437486</v>
      </c>
      <c r="MH240" s="13">
        <f>MH239+MG240</f>
        <v>8415811.10980716</v>
      </c>
      <c r="MI240">
        <f>IF(MH240=MAX($MH$83:$MH$483),$A240,0)</f>
        <v>0</v>
      </c>
      <c r="MJ240">
        <f>IF(ME240&lt;MF240,$A240,B_MAX+1)</f>
        <v>157</v>
      </c>
      <c r="MK240" s="13">
        <f>IF(MB240=1,$MB$35,$MB$36)</f>
        <v>0</v>
      </c>
      <c r="ML240" s="13">
        <f>OCC_DAYS*$MB$41*R_NF_2023-MD240*MCD_SHARE_FREED*R_WAIT_2023</f>
        <v>151980.48282209205</v>
      </c>
      <c r="MM240">
        <f>IF($A240&lt;=$MB$45,1,0)</f>
        <v>0</v>
      </c>
      <c r="NB240">
        <f>IF($NB$31&lt;=$NB$32,IF($A240&lt;=$NB$7,1,2),IF($A240&lt;=RUNG_BEDS_2,2,1))</f>
        <v>1</v>
      </c>
      <c r="NC240" s="5">
        <f>MIN(1,MAX(0,$NB$26-($A240-1)))</f>
        <v>0</v>
      </c>
      <c r="ND240" s="5">
        <f>$NB$25*(NC240+(1-NC240)*$NB$16)</f>
        <v>63.013306786703595</v>
      </c>
      <c r="NE240" s="13">
        <f>ND240*($NB$6+ACUTE_MARGIN)</f>
        <v>63643.43985457063</v>
      </c>
      <c r="NF240" s="13">
        <f>IF(NB240=1,$NB$31,$NB$32)</f>
        <v>152394.16214437486</v>
      </c>
      <c r="NG240" s="13">
        <f>NE240-NF240</f>
        <v>-88750.72228980422</v>
      </c>
      <c r="NH240" s="13">
        <f>NH239+NG240</f>
        <v>14737864.57170498</v>
      </c>
      <c r="NI240">
        <f>IF(NH240=MAX($NH$83:$NH$483),$A240,0)</f>
        <v>0</v>
      </c>
      <c r="NJ240">
        <f>IF(NE240&lt;NF240,$A240,B_MAX+1)</f>
        <v>157</v>
      </c>
      <c r="NK240" s="13">
        <f>IF(NB240=1,$NB$35,$NB$36)</f>
        <v>0</v>
      </c>
      <c r="NL240" s="13">
        <f>OCC_DAYS*$NB$41*R_NF_2023-ND240*MCD_SHARE_FREED*R_WAIT_2023</f>
        <v>123327.15192717595</v>
      </c>
      <c r="NM240">
        <f>IF($A240&lt;=$NB$45,1,0)</f>
        <v>0</v>
      </c>
      <c r="OB240">
        <f>IF($OB$31&lt;=$OB$32,IF($A240&lt;=$OB$7,1,2),IF($A240&lt;=RUNG_BEDS_2,2,1))</f>
        <v>1</v>
      </c>
      <c r="OC240" s="5">
        <f>MIN(1,MAX(0,$OB$26-($A240-1)))</f>
        <v>0</v>
      </c>
      <c r="OD240" s="5">
        <f>$OB$25*(OC240+(1-OC240)*$OB$16)</f>
        <v>126.02661357340719</v>
      </c>
      <c r="OE240" s="13">
        <f>OD240*($OB$6+ACUTE_MARGIN)</f>
        <v>127286.87970914126</v>
      </c>
      <c r="OF240" s="13">
        <f>IF(OB240=1,$OB$31,$OB$32)</f>
        <v>152394.16214437486</v>
      </c>
      <c r="OG240" s="13">
        <f>OE240-OF240</f>
        <v>-25107.282435233603</v>
      </c>
      <c r="OH240" s="13">
        <f>OH239+OG240</f>
        <v>15172641.971804513</v>
      </c>
      <c r="OI240">
        <f>IF(OH240=MAX($OH$83:$OH$483),$A240,0)</f>
        <v>0</v>
      </c>
      <c r="OJ240">
        <f>IF(OE240&lt;OF240,$A240,B_MAX+1)</f>
        <v>157</v>
      </c>
      <c r="OK240" s="13">
        <f>IF(OB240=1,$OB$35,$OB$36)</f>
        <v>0</v>
      </c>
      <c r="OL240" s="13">
        <f>OCC_DAYS*$OB$41*R_NF_2023-OD240*MCD_SHARE_FREED*R_WAIT_2023</f>
        <v>94673.82103225985</v>
      </c>
      <c r="OM240">
        <f>IF($A240&lt;=$OB$45,1,0)</f>
        <v>0</v>
      </c>
    </row>
    <row r="241">
      <c r="A241" t="n">
        <v>158</v>
      </c>
      <c r="B241">
        <f>IF($B$31&lt;=$B$32,IF($A241&lt;=$B$7,1,2),IF($A241&lt;=RUNG_BEDS_2,2,1))</f>
        <v>1</v>
      </c>
      <c r="C241" s="5">
        <f>MIN(1,MAX(0,$B$26-($A241-1)))</f>
        <v>0</v>
      </c>
      <c r="D241" s="5">
        <f>$B$25*(C241+(1-C241)*$B$16)</f>
        <v>0.0</v>
      </c>
      <c r="E241" s="13">
        <f>D241*($B$6+ACUTE_MARGIN)</f>
        <v>0.0</v>
      </c>
      <c r="F241" s="13">
        <f>IF(B241=1,$B$31,$B$32)</f>
        <v>152394.16214437486</v>
      </c>
      <c r="G241" s="13">
        <f>E241-F241</f>
        <v>-152394.16214437486</v>
      </c>
      <c r="H241" s="13">
        <f>H240+G241</f>
        <v>14150693.009461086</v>
      </c>
      <c r="I241">
        <f>IF(H241=MAX($H$83:$H$483),$A241,0)</f>
        <v>0</v>
      </c>
      <c r="J241">
        <f>IF(E241&lt;F241,$A241,B_MAX+1)</f>
        <v>158</v>
      </c>
      <c r="K241" s="13">
        <f>IF(B241=1,$B$35,$B$36)</f>
        <v>0</v>
      </c>
      <c r="L241" s="13">
        <f>OCC_DAYS*$B$41*R_NF_2023-D241*MCD_SHARE_FREED*R_WAIT_2023</f>
        <v>151980.48282209205</v>
      </c>
      <c r="M241">
        <f>IF($A241&lt;=$B$45,1,0)</f>
        <v>0</v>
      </c>
      <c r="AB241">
        <f>IF($AB$31&lt;=$AB$32,IF($A241&lt;=$AB$7,1,2),IF($A241&lt;=RUNG_BEDS_2,2,1))</f>
        <v>1</v>
      </c>
      <c r="AC241" s="5">
        <f>MIN(1,MAX(0,$AB$26-($A241-1)))</f>
        <v>0</v>
      </c>
      <c r="AD241" s="5">
        <f>$AB$25*(AC241+(1-AC241)*$AB$16)</f>
        <v>0.0</v>
      </c>
      <c r="AE241" s="13">
        <f>AD241*($AB$6+ACUTE_MARGIN)</f>
        <v>0.0</v>
      </c>
      <c r="AF241" s="13">
        <f>IF(AB241=1,$AB$31,$AB$32)</f>
        <v>152394.16214437486</v>
      </c>
      <c r="AG241" s="13">
        <f>AE241-AF241</f>
        <v>-152394.16214437486</v>
      </c>
      <c r="AH241" s="13">
        <f>AH240+AG241</f>
        <v>-3260521.3360887133</v>
      </c>
      <c r="AI241">
        <f>IF(AH241=MAX($AH$83:$AH$483),$A241,0)</f>
        <v>0</v>
      </c>
      <c r="AJ241">
        <f>IF(AE241&lt;AF241,$A241,B_MAX+1)</f>
        <v>158</v>
      </c>
      <c r="AK241" s="13">
        <f>IF(AB241=1,$AB$35,$AB$36)</f>
        <v>0</v>
      </c>
      <c r="AL241" s="13">
        <f>OCC_DAYS*$AB$41*R_NF_2023-AD241*MCD_SHARE_FREED*R_WAIT_2023</f>
        <v>151980.48282209205</v>
      </c>
      <c r="AM241">
        <f>IF($A241&lt;=$AB$45,1,0)</f>
        <v>0</v>
      </c>
      <c r="BB241">
        <f>IF($BB$31&lt;=$BB$32,IF($A241&lt;=$BB$7,1,2),IF($A241&lt;=RUNG_BEDS_2,2,1))</f>
        <v>1</v>
      </c>
      <c r="BC241" s="5">
        <f>MIN(1,MAX(0,$BB$26-($A241-1)))</f>
        <v>0</v>
      </c>
      <c r="BD241" s="5">
        <f>$BB$25*(BC241+(1-BC241)*$BB$16)</f>
        <v>0.0</v>
      </c>
      <c r="BE241" s="13">
        <f>BD241*($BB$6+ACUTE_MARGIN)</f>
        <v>0.0</v>
      </c>
      <c r="BF241" s="13">
        <f>IF(BB241=1,$BB$31,$BB$32)</f>
        <v>152394.16214437486</v>
      </c>
      <c r="BG241" s="13">
        <f>BE241-BF241</f>
        <v>-152394.16214437486</v>
      </c>
      <c r="BH241" s="13">
        <f>BH240+BG241</f>
        <v>31561907.355010748</v>
      </c>
      <c r="BI241">
        <f>IF(BH241=MAX($BH$83:$BH$483),$A241,0)</f>
        <v>0</v>
      </c>
      <c r="BJ241">
        <f>IF(BE241&lt;BF241,$A241,B_MAX+1)</f>
        <v>158</v>
      </c>
      <c r="BK241" s="13">
        <f>IF(BB241=1,$BB$35,$BB$36)</f>
        <v>0</v>
      </c>
      <c r="BL241" s="13">
        <f>OCC_DAYS*$BB$41*R_NF_2023-BD241*MCD_SHARE_FREED*R_WAIT_2023</f>
        <v>151980.48282209205</v>
      </c>
      <c r="BM241">
        <f>IF($A241&lt;=$BB$45,1,0)</f>
        <v>0</v>
      </c>
      <c r="CB241">
        <f>IF($CB$31&lt;=$CB$32,IF($A241&lt;=$CB$7,1,2),IF($A241&lt;=RUNG_BEDS_2,2,1))</f>
        <v>2</v>
      </c>
      <c r="CC241" s="5">
        <f>MIN(1,MAX(0,$CB$26-($A241-1)))</f>
        <v>0</v>
      </c>
      <c r="CD241" s="5">
        <f>$CB$25*(CC241+(1-CC241)*$CB$16)</f>
        <v>0.0</v>
      </c>
      <c r="CE241" s="13">
        <f>CD241*($CB$6+ACUTE_MARGIN)</f>
        <v>0.0</v>
      </c>
      <c r="CF241" s="13">
        <f>IF(CB241=1,$CB$31,$CB$32)</f>
        <v>160718.36940738867</v>
      </c>
      <c r="CG241" s="13">
        <f>CE241-CF241</f>
        <v>-160718.36940738867</v>
      </c>
      <c r="CH241" s="13">
        <f>CH240+CG241</f>
        <v>12835468.261904823</v>
      </c>
      <c r="CI241">
        <f>IF(CH241=MAX($CH$83:$CH$483),$A241,0)</f>
        <v>0</v>
      </c>
      <c r="CJ241">
        <f>IF(CE241&lt;CF241,$A241,B_MAX+1)</f>
        <v>158</v>
      </c>
      <c r="CK241" s="13">
        <f>IF(CB241=1,$CB$35,$CB$36)</f>
        <v>1560.1194073886782</v>
      </c>
      <c r="CL241" s="13">
        <f>OCC_DAYS*$CB$41*R_NF_2023-CD241*MCD_SHARE_FREED*R_WAIT_2023</f>
        <v>151980.48282209205</v>
      </c>
      <c r="CM241">
        <f>IF($A241&lt;=$CB$45,1,0)</f>
        <v>0</v>
      </c>
      <c r="DB241">
        <f>IF($DB$31&lt;=$DB$32,IF($A241&lt;=$DB$7,1,2),IF($A241&lt;=RUNG_BEDS_2,2,1))</f>
        <v>1</v>
      </c>
      <c r="DC241" s="5">
        <f>MIN(1,MAX(0,$DB$26-($A241-1)))</f>
        <v>0</v>
      </c>
      <c r="DD241" s="5">
        <f>$DB$25*(DC241+(1-DC241)*$DB$16)</f>
        <v>0.0</v>
      </c>
      <c r="DE241" s="13">
        <f>DD241*($DB$6+ACUTE_MARGIN)</f>
        <v>0.0</v>
      </c>
      <c r="DF241" s="13">
        <f>IF(DB241=1,$DB$31,$DB$32)</f>
        <v>152394.16214437486</v>
      </c>
      <c r="DG241" s="13">
        <f>DE241-DF241</f>
        <v>-152394.16214437486</v>
      </c>
      <c r="DH241" s="13">
        <f>DH240+DG241</f>
        <v>14150693.009461086</v>
      </c>
      <c r="DI241">
        <f>IF(DH241=MAX($DH$83:$DH$483),$A241,0)</f>
        <v>0</v>
      </c>
      <c r="DJ241">
        <f>IF(DE241&lt;DF241,$A241,B_MAX+1)</f>
        <v>158</v>
      </c>
      <c r="DK241" s="13">
        <f>IF(DB241=1,$DB$35,$DB$36)</f>
        <v>0</v>
      </c>
      <c r="DL241" s="13">
        <f>OCC_DAYS*$DB$41*R_NF_2023-DD241*MCD_SHARE_FREED*R_WAIT_2023</f>
        <v>151980.48282209205</v>
      </c>
      <c r="DM241">
        <f>IF($A241&lt;=$DB$45,1,0)</f>
        <v>0</v>
      </c>
      <c r="EB241">
        <f>IF($EB$31&lt;=$EB$32,IF($A241&lt;=$EB$7,1,2),IF($A241&lt;=RUNG_BEDS_2,2,1))</f>
        <v>1</v>
      </c>
      <c r="EC241" s="5">
        <f>MIN(1,MAX(0,$EB$26-($A241-1)))</f>
        <v>0</v>
      </c>
      <c r="ED241" s="5">
        <f>$EB$25*(EC241+(1-EC241)*$EB$16)</f>
        <v>0.0</v>
      </c>
      <c r="EE241" s="13">
        <f>ED241*($EB$6+ACUTE_MARGIN)</f>
        <v>0.0</v>
      </c>
      <c r="EF241" s="13">
        <f>IF(EB241=1,$EB$31,$EB$32)</f>
        <v>152394.16214437486</v>
      </c>
      <c r="EG241" s="13">
        <f>EE241-EF241</f>
        <v>-152394.16214437486</v>
      </c>
      <c r="EH241" s="13">
        <f>EH240+EG241</f>
        <v>14150693.009461086</v>
      </c>
      <c r="EI241">
        <f>IF(EH241=MAX($EH$83:$EH$483),$A241,0)</f>
        <v>0</v>
      </c>
      <c r="EJ241">
        <f>IF(EE241&lt;EF241,$A241,B_MAX+1)</f>
        <v>158</v>
      </c>
      <c r="EK241" s="13">
        <f>IF(EB241=1,$EB$35,$EB$36)</f>
        <v>0</v>
      </c>
      <c r="EL241" s="13">
        <f>OCC_DAYS*$EB$41*R_NF_2023-ED241*MCD_SHARE_FREED*R_WAIT_2023</f>
        <v>50660.16094069735</v>
      </c>
      <c r="EM241">
        <f>IF($A241&lt;=$EB$45,1,0)</f>
        <v>0</v>
      </c>
      <c r="FB241">
        <f>IF($FB$31&lt;=$FB$32,IF($A241&lt;=$FB$7,1,2),IF($A241&lt;=RUNG_BEDS_2,2,1))</f>
        <v>1</v>
      </c>
      <c r="FC241" s="5">
        <f>MIN(1,MAX(0,$FB$26-($A241-1)))</f>
        <v>0</v>
      </c>
      <c r="FD241" s="5">
        <f>$FB$25*(FC241+(1-FC241)*$FB$16)</f>
        <v>0.0</v>
      </c>
      <c r="FE241" s="13">
        <f>FD241*($FB$6+ACUTE_MARGIN)</f>
        <v>0.0</v>
      </c>
      <c r="FF241" s="13">
        <f>IF(FB241=1,$FB$31,$FB$32)</f>
        <v>156636.04979437485</v>
      </c>
      <c r="FG241" s="13">
        <f>FE241-FF241</f>
        <v>-156636.04979437485</v>
      </c>
      <c r="FH241" s="13">
        <f>FH240+FG241</f>
        <v>13480474.760760972</v>
      </c>
      <c r="FI241">
        <f>IF(FH241=MAX($FH$83:$FH$483),$A241,0)</f>
        <v>0</v>
      </c>
      <c r="FJ241">
        <f>IF(FE241&lt;FF241,$A241,B_MAX+1)</f>
        <v>158</v>
      </c>
      <c r="FK241" s="13">
        <f>IF(FB241=1,$FB$35,$FB$36)</f>
        <v>0</v>
      </c>
      <c r="FL241" s="13">
        <f>OCC_DAYS*$FB$41*R_NF_2023-FD241*MCD_SHARE_FREED*R_WAIT_2023</f>
        <v>151980.48282209205</v>
      </c>
      <c r="FM241">
        <f>IF($A241&lt;=$FB$45,1,0)</f>
        <v>0</v>
      </c>
      <c r="GB241">
        <f>IF($GB$31&lt;=$GB$32,IF($A241&lt;=$GB$7,1,2),IF($A241&lt;=RUNG_BEDS_2,2,1))</f>
        <v>1</v>
      </c>
      <c r="GC241" s="5">
        <f>MIN(1,MAX(0,$GB$26-($A241-1)))</f>
        <v>0</v>
      </c>
      <c r="GD241" s="5">
        <f>$GB$25*(GC241+(1-GC241)*$GB$16)</f>
        <v>0.0</v>
      </c>
      <c r="GE241" s="13">
        <f>GD241*($GB$6+ACUTE_MARGIN)</f>
        <v>0.0</v>
      </c>
      <c r="GF241" s="13">
        <f>IF(GB241=1,$GB$31,$GB$32)</f>
        <v>152394.16214437486</v>
      </c>
      <c r="GG241" s="13">
        <f>GE241-GF241</f>
        <v>-152394.16214437486</v>
      </c>
      <c r="GH241" s="13">
        <f>GH240+GG241</f>
        <v>14150693.009461086</v>
      </c>
      <c r="GI241">
        <f>IF(GH241=MAX($GH$83:$GH$483),$A241,0)</f>
        <v>0</v>
      </c>
      <c r="GJ241">
        <f>IF(GE241&lt;GF241,$A241,B_MAX+1)</f>
        <v>158</v>
      </c>
      <c r="GK241" s="13">
        <f>IF(GB241=1,$GB$35,$GB$36)</f>
        <v>0</v>
      </c>
      <c r="GL241" s="13">
        <f>OCC_DAYS*$GB$41*R_NF_2023-GD241*MCD_SHARE_FREED*R_WAIT_2023</f>
        <v>151980.48282209205</v>
      </c>
      <c r="GM241">
        <f>IF($A241&lt;=$GB$45,1,0)</f>
        <v>0</v>
      </c>
      <c r="HB241">
        <f>IF($HB$31&lt;=$HB$32,IF($A241&lt;=$HB$7,1,2),IF($A241&lt;=RUNG_BEDS_2,2,1))</f>
        <v>1</v>
      </c>
      <c r="HC241" s="5">
        <f>MIN(1,MAX(0,$HB$26-($A241-1)))</f>
        <v>0</v>
      </c>
      <c r="HD241" s="5">
        <f>$HB$25*(HC241+(1-HC241)*$HB$16)</f>
        <v>0.0</v>
      </c>
      <c r="HE241" s="13">
        <f>HD241*($HB$6+ACUTE_MARGIN)</f>
        <v>0.0</v>
      </c>
      <c r="HF241" s="13">
        <f>IF(HB241=1,$HB$31,$HB$32)</f>
        <v>152456.2970814058</v>
      </c>
      <c r="HG241" s="13">
        <f>HE241-HF241</f>
        <v>-152456.2970814058</v>
      </c>
      <c r="HH241" s="13">
        <f>HH240+HG241</f>
        <v>14140875.689410172</v>
      </c>
      <c r="HI241">
        <f>IF(HH241=MAX($HH$83:$HH$483),$A241,0)</f>
        <v>0</v>
      </c>
      <c r="HJ241">
        <f>IF(HE241&lt;HF241,$A241,B_MAX+1)</f>
        <v>158</v>
      </c>
      <c r="HK241" s="13">
        <f>IF(HB241=1,$HB$35,$HB$36)</f>
        <v>0</v>
      </c>
      <c r="HL241" s="13">
        <f>OCC_DAYS*$HB$41*R_NF_2023-HD241*MCD_SHARE_FREED*R_WAIT_2023</f>
        <v>151980.48282209205</v>
      </c>
      <c r="HM241">
        <f>IF($A241&lt;=$HB$45,1,0)</f>
        <v>0</v>
      </c>
      <c r="IB241">
        <f>IF($IB$31&lt;=$IB$32,IF($A241&lt;=$IB$7,1,2),IF($A241&lt;=RUNG_BEDS_2,2,1))</f>
        <v>1</v>
      </c>
      <c r="IC241" s="5">
        <f>MIN(1,MAX(0,$IB$26-($A241-1)))</f>
        <v>0</v>
      </c>
      <c r="ID241" s="5">
        <f>$IB$25*(IC241+(1-IC241)*$IB$16)</f>
        <v>0.0</v>
      </c>
      <c r="IE241" s="13">
        <f>ID241*($IB$6+ACUTE_MARGIN)</f>
        <v>0.0</v>
      </c>
      <c r="IF241" s="13">
        <f>IF(IB241=1,$IB$31,$IB$32)</f>
        <v>152734.9994534971</v>
      </c>
      <c r="IG241" s="13">
        <f>IE241-IF241</f>
        <v>-152734.9994534971</v>
      </c>
      <c r="IH241" s="13">
        <f>IH240+IG241</f>
        <v>14096840.714619668</v>
      </c>
      <c r="II241">
        <f>IF(IH241=MAX($IH$83:$IH$483),$A241,0)</f>
        <v>0</v>
      </c>
      <c r="IJ241">
        <f>IF(IE241&lt;IF241,$A241,B_MAX+1)</f>
        <v>158</v>
      </c>
      <c r="IK241" s="13">
        <f>IF(IB241=1,$IB$35,$IB$36)</f>
        <v>0</v>
      </c>
      <c r="IL241" s="13">
        <f>OCC_DAYS*$IB$41*R_NF_2023-ID241*MCD_SHARE_FREED*R_WAIT_2023</f>
        <v>151980.48282209205</v>
      </c>
      <c r="IM241">
        <f>IF($A241&lt;=$IB$45,1,0)</f>
        <v>0</v>
      </c>
      <c r="JB241">
        <f>IF($JB$31&lt;=$JB$32,IF($A241&lt;=$JB$7,1,2),IF($A241&lt;=RUNG_BEDS_2,2,1))</f>
        <v>1</v>
      </c>
      <c r="JC241" s="5">
        <f>MIN(1,MAX(0,$JB$26-($A241-1)))</f>
        <v>0</v>
      </c>
      <c r="JD241" s="5">
        <f>$JB$25*(JC241+(1-JC241)*$JB$16)</f>
        <v>0.0</v>
      </c>
      <c r="JE241" s="13">
        <f>JD241*($JB$6+ACUTE_MARGIN)</f>
        <v>0.0</v>
      </c>
      <c r="JF241" s="13">
        <f>IF(JB241=1,$JB$31,$JB$32)</f>
        <v>152394.16214437486</v>
      </c>
      <c r="JG241" s="13">
        <f>JE241-JF241</f>
        <v>-152394.16214437486</v>
      </c>
      <c r="JH241" s="13">
        <f>JH240+JG241</f>
        <v>14150693.009461086</v>
      </c>
      <c r="JI241">
        <f>IF(JH241=MAX($JH$83:$JH$483),$A241,0)</f>
        <v>0</v>
      </c>
      <c r="JJ241">
        <f>IF(JE241&lt;JF241,$A241,B_MAX+1)</f>
        <v>158</v>
      </c>
      <c r="JK241" s="13">
        <f>IF(JB241=1,$JB$35,$JB$36)</f>
        <v>0</v>
      </c>
      <c r="JL241" s="13">
        <f>OCC_DAYS*$JB$41*R_NF_2023-JD241*MCD_SHARE_FREED*R_WAIT_2023</f>
        <v>151980.48282209205</v>
      </c>
      <c r="JM241">
        <f>IF($A241&lt;=$JB$45,1,0)</f>
        <v>0</v>
      </c>
      <c r="KB241">
        <f>IF($KB$31&lt;=$KB$32,IF($A241&lt;=$KB$7,1,2),IF($A241&lt;=RUNG_BEDS_2,2,1))</f>
        <v>1</v>
      </c>
      <c r="KC241" s="5">
        <f>MIN(1,MAX(0,$KB$26-($A241-1)))</f>
        <v>1</v>
      </c>
      <c r="KD241" s="5">
        <f>$KB$25*(KC241+(1-KC241)*$KB$16)</f>
        <v>126.02661357340719</v>
      </c>
      <c r="KE241" s="13">
        <f>KD241*($KB$6+ACUTE_MARGIN)</f>
        <v>127286.87970914126</v>
      </c>
      <c r="KF241" s="13">
        <f>IF(KB241=1,$KB$31,$KB$32)</f>
        <v>152394.16214437486</v>
      </c>
      <c r="KG241" s="13">
        <f>KE241-KF241</f>
        <v>-25107.282435233603</v>
      </c>
      <c r="KH241" s="13">
        <f>KH240+KG241</f>
        <v>-3966950.6247669207</v>
      </c>
      <c r="KI241">
        <f>IF(KH241=MAX($KH$83:$KH$483),$A241,0)</f>
        <v>0</v>
      </c>
      <c r="KJ241">
        <f>IF(KE241&lt;KF241,$A241,B_MAX+1)</f>
        <v>158</v>
      </c>
      <c r="KK241" s="13">
        <f>IF(KB241=1,$KB$35,$KB$36)</f>
        <v>0</v>
      </c>
      <c r="KL241" s="13">
        <f>OCC_DAYS*$KB$41*R_NF_2023-KD241*MCD_SHARE_FREED*R_WAIT_2023</f>
        <v>94673.82103225985</v>
      </c>
      <c r="KM241">
        <f>IF($A241&lt;=$KB$45,1,0)</f>
        <v>0</v>
      </c>
      <c r="LB241">
        <f>IF($LB$31&lt;=$LB$32,IF($A241&lt;=$LB$7,1,2),IF($A241&lt;=RUNG_BEDS_2,2,1))</f>
        <v>1</v>
      </c>
      <c r="LC241" s="5">
        <f>MIN(1,MAX(0,$LB$26-($A241-1)))</f>
        <v>1</v>
      </c>
      <c r="LD241" s="5">
        <f>$LB$25*(LC241+(1-LC241)*$LB$16)</f>
        <v>84.01774238227146</v>
      </c>
      <c r="LE241" s="13">
        <f>LD241*($LB$6+ACUTE_MARGIN)</f>
        <v>84857.91980609419</v>
      </c>
      <c r="LF241" s="13">
        <f>IF(LB241=1,$LB$31,$LB$32)</f>
        <v>152394.16214437486</v>
      </c>
      <c r="LG241" s="13">
        <f>LE241-LF241</f>
        <v>-67536.24233828067</v>
      </c>
      <c r="LH241" s="13">
        <f>LH240+LG241</f>
        <v>-10670726.289448388</v>
      </c>
      <c r="LI241">
        <f>IF(LH241=MAX($LH$83:$LH$483),$A241,0)</f>
        <v>0</v>
      </c>
      <c r="LJ241">
        <f>IF(LE241&lt;LF241,$A241,B_MAX+1)</f>
        <v>158</v>
      </c>
      <c r="LK241" s="13">
        <f>IF(LB241=1,$LB$35,$LB$36)</f>
        <v>0</v>
      </c>
      <c r="LL241" s="13">
        <f>OCC_DAYS*$LB$41*R_NF_2023-LD241*MCD_SHARE_FREED*R_WAIT_2023</f>
        <v>113776.04162887059</v>
      </c>
      <c r="LM241">
        <f>IF($A241&lt;=$LB$45,1,0)</f>
        <v>0</v>
      </c>
      <c r="MB241">
        <f>IF($MB$31&lt;=$MB$32,IF($A241&lt;=$MB$7,1,2),IF($A241&lt;=RUNG_BEDS_2,2,1))</f>
        <v>1</v>
      </c>
      <c r="MC241" s="5">
        <f>MIN(1,MAX(0,$MB$26-($A241-1)))</f>
        <v>0</v>
      </c>
      <c r="MD241" s="5">
        <f>$MB$25*(MC241+(1-MC241)*$MB$16)</f>
        <v>0.0</v>
      </c>
      <c r="ME241" s="13">
        <f>MD241*($MB$6+ACUTE_MARGIN)</f>
        <v>0.0</v>
      </c>
      <c r="MF241" s="13">
        <f>IF(MB241=1,$MB$31,$MB$32)</f>
        <v>152394.16214437486</v>
      </c>
      <c r="MG241" s="13">
        <f>ME241-MF241</f>
        <v>-152394.16214437486</v>
      </c>
      <c r="MH241" s="13">
        <f>MH240+MG241</f>
        <v>8263416.947662785</v>
      </c>
      <c r="MI241">
        <f>IF(MH241=MAX($MH$83:$MH$483),$A241,0)</f>
        <v>0</v>
      </c>
      <c r="MJ241">
        <f>IF(ME241&lt;MF241,$A241,B_MAX+1)</f>
        <v>158</v>
      </c>
      <c r="MK241" s="13">
        <f>IF(MB241=1,$MB$35,$MB$36)</f>
        <v>0</v>
      </c>
      <c r="ML241" s="13">
        <f>OCC_DAYS*$MB$41*R_NF_2023-MD241*MCD_SHARE_FREED*R_WAIT_2023</f>
        <v>151980.48282209205</v>
      </c>
      <c r="MM241">
        <f>IF($A241&lt;=$MB$45,1,0)</f>
        <v>0</v>
      </c>
      <c r="NB241">
        <f>IF($NB$31&lt;=$NB$32,IF($A241&lt;=$NB$7,1,2),IF($A241&lt;=RUNG_BEDS_2,2,1))</f>
        <v>1</v>
      </c>
      <c r="NC241" s="5">
        <f>MIN(1,MAX(0,$NB$26-($A241-1)))</f>
        <v>0</v>
      </c>
      <c r="ND241" s="5">
        <f>$NB$25*(NC241+(1-NC241)*$NB$16)</f>
        <v>63.013306786703595</v>
      </c>
      <c r="NE241" s="13">
        <f>ND241*($NB$6+ACUTE_MARGIN)</f>
        <v>63643.43985457063</v>
      </c>
      <c r="NF241" s="13">
        <f>IF(NB241=1,$NB$31,$NB$32)</f>
        <v>152394.16214437486</v>
      </c>
      <c r="NG241" s="13">
        <f>NE241-NF241</f>
        <v>-88750.72228980422</v>
      </c>
      <c r="NH241" s="13">
        <f>NH240+NG241</f>
        <v>14649113.849415176</v>
      </c>
      <c r="NI241">
        <f>IF(NH241=MAX($NH$83:$NH$483),$A241,0)</f>
        <v>0</v>
      </c>
      <c r="NJ241">
        <f>IF(NE241&lt;NF241,$A241,B_MAX+1)</f>
        <v>158</v>
      </c>
      <c r="NK241" s="13">
        <f>IF(NB241=1,$NB$35,$NB$36)</f>
        <v>0</v>
      </c>
      <c r="NL241" s="13">
        <f>OCC_DAYS*$NB$41*R_NF_2023-ND241*MCD_SHARE_FREED*R_WAIT_2023</f>
        <v>123327.15192717595</v>
      </c>
      <c r="NM241">
        <f>IF($A241&lt;=$NB$45,1,0)</f>
        <v>0</v>
      </c>
      <c r="OB241">
        <f>IF($OB$31&lt;=$OB$32,IF($A241&lt;=$OB$7,1,2),IF($A241&lt;=RUNG_BEDS_2,2,1))</f>
        <v>1</v>
      </c>
      <c r="OC241" s="5">
        <f>MIN(1,MAX(0,$OB$26-($A241-1)))</f>
        <v>0</v>
      </c>
      <c r="OD241" s="5">
        <f>$OB$25*(OC241+(1-OC241)*$OB$16)</f>
        <v>126.02661357340719</v>
      </c>
      <c r="OE241" s="13">
        <f>OD241*($OB$6+ACUTE_MARGIN)</f>
        <v>127286.87970914126</v>
      </c>
      <c r="OF241" s="13">
        <f>IF(OB241=1,$OB$31,$OB$32)</f>
        <v>152394.16214437486</v>
      </c>
      <c r="OG241" s="13">
        <f>OE241-OF241</f>
        <v>-25107.282435233603</v>
      </c>
      <c r="OH241" s="13">
        <f>OH240+OG241</f>
        <v>15147534.68936928</v>
      </c>
      <c r="OI241">
        <f>IF(OH241=MAX($OH$83:$OH$483),$A241,0)</f>
        <v>0</v>
      </c>
      <c r="OJ241">
        <f>IF(OE241&lt;OF241,$A241,B_MAX+1)</f>
        <v>158</v>
      </c>
      <c r="OK241" s="13">
        <f>IF(OB241=1,$OB$35,$OB$36)</f>
        <v>0</v>
      </c>
      <c r="OL241" s="13">
        <f>OCC_DAYS*$OB$41*R_NF_2023-OD241*MCD_SHARE_FREED*R_WAIT_2023</f>
        <v>94673.82103225985</v>
      </c>
      <c r="OM241">
        <f>IF($A241&lt;=$OB$45,1,0)</f>
        <v>0</v>
      </c>
    </row>
    <row r="242">
      <c r="A242" t="n">
        <v>159</v>
      </c>
      <c r="B242">
        <f>IF($B$31&lt;=$B$32,IF($A242&lt;=$B$7,1,2),IF($A242&lt;=RUNG_BEDS_2,2,1))</f>
        <v>1</v>
      </c>
      <c r="C242" s="5">
        <f>MIN(1,MAX(0,$B$26-($A242-1)))</f>
        <v>0</v>
      </c>
      <c r="D242" s="5">
        <f>$B$25*(C242+(1-C242)*$B$16)</f>
        <v>0.0</v>
      </c>
      <c r="E242" s="13">
        <f>D242*($B$6+ACUTE_MARGIN)</f>
        <v>0.0</v>
      </c>
      <c r="F242" s="13">
        <f>IF(B242=1,$B$31,$B$32)</f>
        <v>152394.16214437486</v>
      </c>
      <c r="G242" s="13">
        <f>E242-F242</f>
        <v>-152394.16214437486</v>
      </c>
      <c r="H242" s="13">
        <f>H241+G242</f>
        <v>13998298.847316712</v>
      </c>
      <c r="I242">
        <f>IF(H242=MAX($H$83:$H$483),$A242,0)</f>
        <v>0</v>
      </c>
      <c r="J242">
        <f>IF(E242&lt;F242,$A242,B_MAX+1)</f>
        <v>159</v>
      </c>
      <c r="K242" s="13">
        <f>IF(B242=1,$B$35,$B$36)</f>
        <v>0</v>
      </c>
      <c r="L242" s="13">
        <f>OCC_DAYS*$B$41*R_NF_2023-D242*MCD_SHARE_FREED*R_WAIT_2023</f>
        <v>151980.48282209205</v>
      </c>
      <c r="M242">
        <f>IF($A242&lt;=$B$45,1,0)</f>
        <v>0</v>
      </c>
      <c r="AB242">
        <f>IF($AB$31&lt;=$AB$32,IF($A242&lt;=$AB$7,1,2),IF($A242&lt;=RUNG_BEDS_2,2,1))</f>
        <v>1</v>
      </c>
      <c r="AC242" s="5">
        <f>MIN(1,MAX(0,$AB$26-($A242-1)))</f>
        <v>0</v>
      </c>
      <c r="AD242" s="5">
        <f>$AB$25*(AC242+(1-AC242)*$AB$16)</f>
        <v>0.0</v>
      </c>
      <c r="AE242" s="13">
        <f>AD242*($AB$6+ACUTE_MARGIN)</f>
        <v>0.0</v>
      </c>
      <c r="AF242" s="13">
        <f>IF(AB242=1,$AB$31,$AB$32)</f>
        <v>152394.16214437486</v>
      </c>
      <c r="AG242" s="13">
        <f>AE242-AF242</f>
        <v>-152394.16214437486</v>
      </c>
      <c r="AH242" s="13">
        <f>AH241+AG242</f>
        <v>-3412915.4982330883</v>
      </c>
      <c r="AI242">
        <f>IF(AH242=MAX($AH$83:$AH$483),$A242,0)</f>
        <v>0</v>
      </c>
      <c r="AJ242">
        <f>IF(AE242&lt;AF242,$A242,B_MAX+1)</f>
        <v>159</v>
      </c>
      <c r="AK242" s="13">
        <f>IF(AB242=1,$AB$35,$AB$36)</f>
        <v>0</v>
      </c>
      <c r="AL242" s="13">
        <f>OCC_DAYS*$AB$41*R_NF_2023-AD242*MCD_SHARE_FREED*R_WAIT_2023</f>
        <v>151980.48282209205</v>
      </c>
      <c r="AM242">
        <f>IF($A242&lt;=$AB$45,1,0)</f>
        <v>0</v>
      </c>
      <c r="BB242">
        <f>IF($BB$31&lt;=$BB$32,IF($A242&lt;=$BB$7,1,2),IF($A242&lt;=RUNG_BEDS_2,2,1))</f>
        <v>1</v>
      </c>
      <c r="BC242" s="5">
        <f>MIN(1,MAX(0,$BB$26-($A242-1)))</f>
        <v>0</v>
      </c>
      <c r="BD242" s="5">
        <f>$BB$25*(BC242+(1-BC242)*$BB$16)</f>
        <v>0.0</v>
      </c>
      <c r="BE242" s="13">
        <f>BD242*($BB$6+ACUTE_MARGIN)</f>
        <v>0.0</v>
      </c>
      <c r="BF242" s="13">
        <f>IF(BB242=1,$BB$31,$BB$32)</f>
        <v>152394.16214437486</v>
      </c>
      <c r="BG242" s="13">
        <f>BE242-BF242</f>
        <v>-152394.16214437486</v>
      </c>
      <c r="BH242" s="13">
        <f>BH241+BG242</f>
        <v>31409513.192866374</v>
      </c>
      <c r="BI242">
        <f>IF(BH242=MAX($BH$83:$BH$483),$A242,0)</f>
        <v>0</v>
      </c>
      <c r="BJ242">
        <f>IF(BE242&lt;BF242,$A242,B_MAX+1)</f>
        <v>159</v>
      </c>
      <c r="BK242" s="13">
        <f>IF(BB242=1,$BB$35,$BB$36)</f>
        <v>0</v>
      </c>
      <c r="BL242" s="13">
        <f>OCC_DAYS*$BB$41*R_NF_2023-BD242*MCD_SHARE_FREED*R_WAIT_2023</f>
        <v>151980.48282209205</v>
      </c>
      <c r="BM242">
        <f>IF($A242&lt;=$BB$45,1,0)</f>
        <v>0</v>
      </c>
      <c r="CB242">
        <f>IF($CB$31&lt;=$CB$32,IF($A242&lt;=$CB$7,1,2),IF($A242&lt;=RUNG_BEDS_2,2,1))</f>
        <v>2</v>
      </c>
      <c r="CC242" s="5">
        <f>MIN(1,MAX(0,$CB$26-($A242-1)))</f>
        <v>0</v>
      </c>
      <c r="CD242" s="5">
        <f>$CB$25*(CC242+(1-CC242)*$CB$16)</f>
        <v>0.0</v>
      </c>
      <c r="CE242" s="13">
        <f>CD242*($CB$6+ACUTE_MARGIN)</f>
        <v>0.0</v>
      </c>
      <c r="CF242" s="13">
        <f>IF(CB242=1,$CB$31,$CB$32)</f>
        <v>160718.36940738867</v>
      </c>
      <c r="CG242" s="13">
        <f>CE242-CF242</f>
        <v>-160718.36940738867</v>
      </c>
      <c r="CH242" s="13">
        <f>CH241+CG242</f>
        <v>12674749.892497433</v>
      </c>
      <c r="CI242">
        <f>IF(CH242=MAX($CH$83:$CH$483),$A242,0)</f>
        <v>0</v>
      </c>
      <c r="CJ242">
        <f>IF(CE242&lt;CF242,$A242,B_MAX+1)</f>
        <v>159</v>
      </c>
      <c r="CK242" s="13">
        <f>IF(CB242=1,$CB$35,$CB$36)</f>
        <v>1560.1194073886782</v>
      </c>
      <c r="CL242" s="13">
        <f>OCC_DAYS*$CB$41*R_NF_2023-CD242*MCD_SHARE_FREED*R_WAIT_2023</f>
        <v>151980.48282209205</v>
      </c>
      <c r="CM242">
        <f>IF($A242&lt;=$CB$45,1,0)</f>
        <v>0</v>
      </c>
      <c r="DB242">
        <f>IF($DB$31&lt;=$DB$32,IF($A242&lt;=$DB$7,1,2),IF($A242&lt;=RUNG_BEDS_2,2,1))</f>
        <v>1</v>
      </c>
      <c r="DC242" s="5">
        <f>MIN(1,MAX(0,$DB$26-($A242-1)))</f>
        <v>0</v>
      </c>
      <c r="DD242" s="5">
        <f>$DB$25*(DC242+(1-DC242)*$DB$16)</f>
        <v>0.0</v>
      </c>
      <c r="DE242" s="13">
        <f>DD242*($DB$6+ACUTE_MARGIN)</f>
        <v>0.0</v>
      </c>
      <c r="DF242" s="13">
        <f>IF(DB242=1,$DB$31,$DB$32)</f>
        <v>152394.16214437486</v>
      </c>
      <c r="DG242" s="13">
        <f>DE242-DF242</f>
        <v>-152394.16214437486</v>
      </c>
      <c r="DH242" s="13">
        <f>DH241+DG242</f>
        <v>13998298.847316712</v>
      </c>
      <c r="DI242">
        <f>IF(DH242=MAX($DH$83:$DH$483),$A242,0)</f>
        <v>0</v>
      </c>
      <c r="DJ242">
        <f>IF(DE242&lt;DF242,$A242,B_MAX+1)</f>
        <v>159</v>
      </c>
      <c r="DK242" s="13">
        <f>IF(DB242=1,$DB$35,$DB$36)</f>
        <v>0</v>
      </c>
      <c r="DL242" s="13">
        <f>OCC_DAYS*$DB$41*R_NF_2023-DD242*MCD_SHARE_FREED*R_WAIT_2023</f>
        <v>151980.48282209205</v>
      </c>
      <c r="DM242">
        <f>IF($A242&lt;=$DB$45,1,0)</f>
        <v>0</v>
      </c>
      <c r="EB242">
        <f>IF($EB$31&lt;=$EB$32,IF($A242&lt;=$EB$7,1,2),IF($A242&lt;=RUNG_BEDS_2,2,1))</f>
        <v>1</v>
      </c>
      <c r="EC242" s="5">
        <f>MIN(1,MAX(0,$EB$26-($A242-1)))</f>
        <v>0</v>
      </c>
      <c r="ED242" s="5">
        <f>$EB$25*(EC242+(1-EC242)*$EB$16)</f>
        <v>0.0</v>
      </c>
      <c r="EE242" s="13">
        <f>ED242*($EB$6+ACUTE_MARGIN)</f>
        <v>0.0</v>
      </c>
      <c r="EF242" s="13">
        <f>IF(EB242=1,$EB$31,$EB$32)</f>
        <v>152394.16214437486</v>
      </c>
      <c r="EG242" s="13">
        <f>EE242-EF242</f>
        <v>-152394.16214437486</v>
      </c>
      <c r="EH242" s="13">
        <f>EH241+EG242</f>
        <v>13998298.847316712</v>
      </c>
      <c r="EI242">
        <f>IF(EH242=MAX($EH$83:$EH$483),$A242,0)</f>
        <v>0</v>
      </c>
      <c r="EJ242">
        <f>IF(EE242&lt;EF242,$A242,B_MAX+1)</f>
        <v>159</v>
      </c>
      <c r="EK242" s="13">
        <f>IF(EB242=1,$EB$35,$EB$36)</f>
        <v>0</v>
      </c>
      <c r="EL242" s="13">
        <f>OCC_DAYS*$EB$41*R_NF_2023-ED242*MCD_SHARE_FREED*R_WAIT_2023</f>
        <v>50660.16094069735</v>
      </c>
      <c r="EM242">
        <f>IF($A242&lt;=$EB$45,1,0)</f>
        <v>0</v>
      </c>
      <c r="FB242">
        <f>IF($FB$31&lt;=$FB$32,IF($A242&lt;=$FB$7,1,2),IF($A242&lt;=RUNG_BEDS_2,2,1))</f>
        <v>1</v>
      </c>
      <c r="FC242" s="5">
        <f>MIN(1,MAX(0,$FB$26-($A242-1)))</f>
        <v>0</v>
      </c>
      <c r="FD242" s="5">
        <f>$FB$25*(FC242+(1-FC242)*$FB$16)</f>
        <v>0.0</v>
      </c>
      <c r="FE242" s="13">
        <f>FD242*($FB$6+ACUTE_MARGIN)</f>
        <v>0.0</v>
      </c>
      <c r="FF242" s="13">
        <f>IF(FB242=1,$FB$31,$FB$32)</f>
        <v>156636.04979437485</v>
      </c>
      <c r="FG242" s="13">
        <f>FE242-FF242</f>
        <v>-156636.04979437485</v>
      </c>
      <c r="FH242" s="13">
        <f>FH241+FG242</f>
        <v>13323838.710966598</v>
      </c>
      <c r="FI242">
        <f>IF(FH242=MAX($FH$83:$FH$483),$A242,0)</f>
        <v>0</v>
      </c>
      <c r="FJ242">
        <f>IF(FE242&lt;FF242,$A242,B_MAX+1)</f>
        <v>159</v>
      </c>
      <c r="FK242" s="13">
        <f>IF(FB242=1,$FB$35,$FB$36)</f>
        <v>0</v>
      </c>
      <c r="FL242" s="13">
        <f>OCC_DAYS*$FB$41*R_NF_2023-FD242*MCD_SHARE_FREED*R_WAIT_2023</f>
        <v>151980.48282209205</v>
      </c>
      <c r="FM242">
        <f>IF($A242&lt;=$FB$45,1,0)</f>
        <v>0</v>
      </c>
      <c r="GB242">
        <f>IF($GB$31&lt;=$GB$32,IF($A242&lt;=$GB$7,1,2),IF($A242&lt;=RUNG_BEDS_2,2,1))</f>
        <v>1</v>
      </c>
      <c r="GC242" s="5">
        <f>MIN(1,MAX(0,$GB$26-($A242-1)))</f>
        <v>0</v>
      </c>
      <c r="GD242" s="5">
        <f>$GB$25*(GC242+(1-GC242)*$GB$16)</f>
        <v>0.0</v>
      </c>
      <c r="GE242" s="13">
        <f>GD242*($GB$6+ACUTE_MARGIN)</f>
        <v>0.0</v>
      </c>
      <c r="GF242" s="13">
        <f>IF(GB242=1,$GB$31,$GB$32)</f>
        <v>152394.16214437486</v>
      </c>
      <c r="GG242" s="13">
        <f>GE242-GF242</f>
        <v>-152394.16214437486</v>
      </c>
      <c r="GH242" s="13">
        <f>GH241+GG242</f>
        <v>13998298.847316712</v>
      </c>
      <c r="GI242">
        <f>IF(GH242=MAX($GH$83:$GH$483),$A242,0)</f>
        <v>0</v>
      </c>
      <c r="GJ242">
        <f>IF(GE242&lt;GF242,$A242,B_MAX+1)</f>
        <v>159</v>
      </c>
      <c r="GK242" s="13">
        <f>IF(GB242=1,$GB$35,$GB$36)</f>
        <v>0</v>
      </c>
      <c r="GL242" s="13">
        <f>OCC_DAYS*$GB$41*R_NF_2023-GD242*MCD_SHARE_FREED*R_WAIT_2023</f>
        <v>151980.48282209205</v>
      </c>
      <c r="GM242">
        <f>IF($A242&lt;=$GB$45,1,0)</f>
        <v>0</v>
      </c>
      <c r="HB242">
        <f>IF($HB$31&lt;=$HB$32,IF($A242&lt;=$HB$7,1,2),IF($A242&lt;=RUNG_BEDS_2,2,1))</f>
        <v>1</v>
      </c>
      <c r="HC242" s="5">
        <f>MIN(1,MAX(0,$HB$26-($A242-1)))</f>
        <v>0</v>
      </c>
      <c r="HD242" s="5">
        <f>$HB$25*(HC242+(1-HC242)*$HB$16)</f>
        <v>0.0</v>
      </c>
      <c r="HE242" s="13">
        <f>HD242*($HB$6+ACUTE_MARGIN)</f>
        <v>0.0</v>
      </c>
      <c r="HF242" s="13">
        <f>IF(HB242=1,$HB$31,$HB$32)</f>
        <v>152456.2970814058</v>
      </c>
      <c r="HG242" s="13">
        <f>HE242-HF242</f>
        <v>-152456.2970814058</v>
      </c>
      <c r="HH242" s="13">
        <f>HH241+HG242</f>
        <v>13988419.392328767</v>
      </c>
      <c r="HI242">
        <f>IF(HH242=MAX($HH$83:$HH$483),$A242,0)</f>
        <v>0</v>
      </c>
      <c r="HJ242">
        <f>IF(HE242&lt;HF242,$A242,B_MAX+1)</f>
        <v>159</v>
      </c>
      <c r="HK242" s="13">
        <f>IF(HB242=1,$HB$35,$HB$36)</f>
        <v>0</v>
      </c>
      <c r="HL242" s="13">
        <f>OCC_DAYS*$HB$41*R_NF_2023-HD242*MCD_SHARE_FREED*R_WAIT_2023</f>
        <v>151980.48282209205</v>
      </c>
      <c r="HM242">
        <f>IF($A242&lt;=$HB$45,1,0)</f>
        <v>0</v>
      </c>
      <c r="IB242">
        <f>IF($IB$31&lt;=$IB$32,IF($A242&lt;=$IB$7,1,2),IF($A242&lt;=RUNG_BEDS_2,2,1))</f>
        <v>1</v>
      </c>
      <c r="IC242" s="5">
        <f>MIN(1,MAX(0,$IB$26-($A242-1)))</f>
        <v>0</v>
      </c>
      <c r="ID242" s="5">
        <f>$IB$25*(IC242+(1-IC242)*$IB$16)</f>
        <v>0.0</v>
      </c>
      <c r="IE242" s="13">
        <f>ID242*($IB$6+ACUTE_MARGIN)</f>
        <v>0.0</v>
      </c>
      <c r="IF242" s="13">
        <f>IF(IB242=1,$IB$31,$IB$32)</f>
        <v>152734.9994534971</v>
      </c>
      <c r="IG242" s="13">
        <f>IE242-IF242</f>
        <v>-152734.9994534971</v>
      </c>
      <c r="IH242" s="13">
        <f>IH241+IG242</f>
        <v>13944105.715166172</v>
      </c>
      <c r="II242">
        <f>IF(IH242=MAX($IH$83:$IH$483),$A242,0)</f>
        <v>0</v>
      </c>
      <c r="IJ242">
        <f>IF(IE242&lt;IF242,$A242,B_MAX+1)</f>
        <v>159</v>
      </c>
      <c r="IK242" s="13">
        <f>IF(IB242=1,$IB$35,$IB$36)</f>
        <v>0</v>
      </c>
      <c r="IL242" s="13">
        <f>OCC_DAYS*$IB$41*R_NF_2023-ID242*MCD_SHARE_FREED*R_WAIT_2023</f>
        <v>151980.48282209205</v>
      </c>
      <c r="IM242">
        <f>IF($A242&lt;=$IB$45,1,0)</f>
        <v>0</v>
      </c>
      <c r="JB242">
        <f>IF($JB$31&lt;=$JB$32,IF($A242&lt;=$JB$7,1,2),IF($A242&lt;=RUNG_BEDS_2,2,1))</f>
        <v>1</v>
      </c>
      <c r="JC242" s="5">
        <f>MIN(1,MAX(0,$JB$26-($A242-1)))</f>
        <v>0</v>
      </c>
      <c r="JD242" s="5">
        <f>$JB$25*(JC242+(1-JC242)*$JB$16)</f>
        <v>0.0</v>
      </c>
      <c r="JE242" s="13">
        <f>JD242*($JB$6+ACUTE_MARGIN)</f>
        <v>0.0</v>
      </c>
      <c r="JF242" s="13">
        <f>IF(JB242=1,$JB$31,$JB$32)</f>
        <v>152394.16214437486</v>
      </c>
      <c r="JG242" s="13">
        <f>JE242-JF242</f>
        <v>-152394.16214437486</v>
      </c>
      <c r="JH242" s="13">
        <f>JH241+JG242</f>
        <v>13998298.847316712</v>
      </c>
      <c r="JI242">
        <f>IF(JH242=MAX($JH$83:$JH$483),$A242,0)</f>
        <v>0</v>
      </c>
      <c r="JJ242">
        <f>IF(JE242&lt;JF242,$A242,B_MAX+1)</f>
        <v>159</v>
      </c>
      <c r="JK242" s="13">
        <f>IF(JB242=1,$JB$35,$JB$36)</f>
        <v>0</v>
      </c>
      <c r="JL242" s="13">
        <f>OCC_DAYS*$JB$41*R_NF_2023-JD242*MCD_SHARE_FREED*R_WAIT_2023</f>
        <v>151980.48282209205</v>
      </c>
      <c r="JM242">
        <f>IF($A242&lt;=$JB$45,1,0)</f>
        <v>0</v>
      </c>
      <c r="KB242">
        <f>IF($KB$31&lt;=$KB$32,IF($A242&lt;=$KB$7,1,2),IF($A242&lt;=RUNG_BEDS_2,2,1))</f>
        <v>1</v>
      </c>
      <c r="KC242" s="5">
        <f>MIN(1,MAX(0,$KB$26-($A242-1)))</f>
        <v>1</v>
      </c>
      <c r="KD242" s="5">
        <f>$KB$25*(KC242+(1-KC242)*$KB$16)</f>
        <v>126.02661357340719</v>
      </c>
      <c r="KE242" s="13">
        <f>KD242*($KB$6+ACUTE_MARGIN)</f>
        <v>127286.87970914126</v>
      </c>
      <c r="KF242" s="13">
        <f>IF(KB242=1,$KB$31,$KB$32)</f>
        <v>152394.16214437486</v>
      </c>
      <c r="KG242" s="13">
        <f>KE242-KF242</f>
        <v>-25107.282435233603</v>
      </c>
      <c r="KH242" s="13">
        <f>KH241+KG242</f>
        <v>-3992057.9072021544</v>
      </c>
      <c r="KI242">
        <f>IF(KH242=MAX($KH$83:$KH$483),$A242,0)</f>
        <v>0</v>
      </c>
      <c r="KJ242">
        <f>IF(KE242&lt;KF242,$A242,B_MAX+1)</f>
        <v>159</v>
      </c>
      <c r="KK242" s="13">
        <f>IF(KB242=1,$KB$35,$KB$36)</f>
        <v>0</v>
      </c>
      <c r="KL242" s="13">
        <f>OCC_DAYS*$KB$41*R_NF_2023-KD242*MCD_SHARE_FREED*R_WAIT_2023</f>
        <v>94673.82103225985</v>
      </c>
      <c r="KM242">
        <f>IF($A242&lt;=$KB$45,1,0)</f>
        <v>0</v>
      </c>
      <c r="LB242">
        <f>IF($LB$31&lt;=$LB$32,IF($A242&lt;=$LB$7,1,2),IF($A242&lt;=RUNG_BEDS_2,2,1))</f>
        <v>1</v>
      </c>
      <c r="LC242" s="5">
        <f>MIN(1,MAX(0,$LB$26-($A242-1)))</f>
        <v>1</v>
      </c>
      <c r="LD242" s="5">
        <f>$LB$25*(LC242+(1-LC242)*$LB$16)</f>
        <v>84.01774238227146</v>
      </c>
      <c r="LE242" s="13">
        <f>LD242*($LB$6+ACUTE_MARGIN)</f>
        <v>84857.91980609419</v>
      </c>
      <c r="LF242" s="13">
        <f>IF(LB242=1,$LB$31,$LB$32)</f>
        <v>152394.16214437486</v>
      </c>
      <c r="LG242" s="13">
        <f>LE242-LF242</f>
        <v>-67536.24233828067</v>
      </c>
      <c r="LH242" s="13">
        <f>LH241+LG242</f>
        <v>-10738262.531786669</v>
      </c>
      <c r="LI242">
        <f>IF(LH242=MAX($LH$83:$LH$483),$A242,0)</f>
        <v>0</v>
      </c>
      <c r="LJ242">
        <f>IF(LE242&lt;LF242,$A242,B_MAX+1)</f>
        <v>159</v>
      </c>
      <c r="LK242" s="13">
        <f>IF(LB242=1,$LB$35,$LB$36)</f>
        <v>0</v>
      </c>
      <c r="LL242" s="13">
        <f>OCC_DAYS*$LB$41*R_NF_2023-LD242*MCD_SHARE_FREED*R_WAIT_2023</f>
        <v>113776.04162887059</v>
      </c>
      <c r="LM242">
        <f>IF($A242&lt;=$LB$45,1,0)</f>
        <v>0</v>
      </c>
      <c r="MB242">
        <f>IF($MB$31&lt;=$MB$32,IF($A242&lt;=$MB$7,1,2),IF($A242&lt;=RUNG_BEDS_2,2,1))</f>
        <v>1</v>
      </c>
      <c r="MC242" s="5">
        <f>MIN(1,MAX(0,$MB$26-($A242-1)))</f>
        <v>0</v>
      </c>
      <c r="MD242" s="5">
        <f>$MB$25*(MC242+(1-MC242)*$MB$16)</f>
        <v>0.0</v>
      </c>
      <c r="ME242" s="13">
        <f>MD242*($MB$6+ACUTE_MARGIN)</f>
        <v>0.0</v>
      </c>
      <c r="MF242" s="13">
        <f>IF(MB242=1,$MB$31,$MB$32)</f>
        <v>152394.16214437486</v>
      </c>
      <c r="MG242" s="13">
        <f>ME242-MF242</f>
        <v>-152394.16214437486</v>
      </c>
      <c r="MH242" s="13">
        <f>MH241+MG242</f>
        <v>8111022.78551841</v>
      </c>
      <c r="MI242">
        <f>IF(MH242=MAX($MH$83:$MH$483),$A242,0)</f>
        <v>0</v>
      </c>
      <c r="MJ242">
        <f>IF(ME242&lt;MF242,$A242,B_MAX+1)</f>
        <v>159</v>
      </c>
      <c r="MK242" s="13">
        <f>IF(MB242=1,$MB$35,$MB$36)</f>
        <v>0</v>
      </c>
      <c r="ML242" s="13">
        <f>OCC_DAYS*$MB$41*R_NF_2023-MD242*MCD_SHARE_FREED*R_WAIT_2023</f>
        <v>151980.48282209205</v>
      </c>
      <c r="MM242">
        <f>IF($A242&lt;=$MB$45,1,0)</f>
        <v>0</v>
      </c>
      <c r="NB242">
        <f>IF($NB$31&lt;=$NB$32,IF($A242&lt;=$NB$7,1,2),IF($A242&lt;=RUNG_BEDS_2,2,1))</f>
        <v>1</v>
      </c>
      <c r="NC242" s="5">
        <f>MIN(1,MAX(0,$NB$26-($A242-1)))</f>
        <v>0</v>
      </c>
      <c r="ND242" s="5">
        <f>$NB$25*(NC242+(1-NC242)*$NB$16)</f>
        <v>63.013306786703595</v>
      </c>
      <c r="NE242" s="13">
        <f>ND242*($NB$6+ACUTE_MARGIN)</f>
        <v>63643.43985457063</v>
      </c>
      <c r="NF242" s="13">
        <f>IF(NB242=1,$NB$31,$NB$32)</f>
        <v>152394.16214437486</v>
      </c>
      <c r="NG242" s="13">
        <f>NE242-NF242</f>
        <v>-88750.72228980422</v>
      </c>
      <c r="NH242" s="13">
        <f>NH241+NG242</f>
        <v>14560363.127125371</v>
      </c>
      <c r="NI242">
        <f>IF(NH242=MAX($NH$83:$NH$483),$A242,0)</f>
        <v>0</v>
      </c>
      <c r="NJ242">
        <f>IF(NE242&lt;NF242,$A242,B_MAX+1)</f>
        <v>159</v>
      </c>
      <c r="NK242" s="13">
        <f>IF(NB242=1,$NB$35,$NB$36)</f>
        <v>0</v>
      </c>
      <c r="NL242" s="13">
        <f>OCC_DAYS*$NB$41*R_NF_2023-ND242*MCD_SHARE_FREED*R_WAIT_2023</f>
        <v>123327.15192717595</v>
      </c>
      <c r="NM242">
        <f>IF($A242&lt;=$NB$45,1,0)</f>
        <v>0</v>
      </c>
      <c r="OB242">
        <f>IF($OB$31&lt;=$OB$32,IF($A242&lt;=$OB$7,1,2),IF($A242&lt;=RUNG_BEDS_2,2,1))</f>
        <v>1</v>
      </c>
      <c r="OC242" s="5">
        <f>MIN(1,MAX(0,$OB$26-($A242-1)))</f>
        <v>0</v>
      </c>
      <c r="OD242" s="5">
        <f>$OB$25*(OC242+(1-OC242)*$OB$16)</f>
        <v>126.02661357340719</v>
      </c>
      <c r="OE242" s="13">
        <f>OD242*($OB$6+ACUTE_MARGIN)</f>
        <v>127286.87970914126</v>
      </c>
      <c r="OF242" s="13">
        <f>IF(OB242=1,$OB$31,$OB$32)</f>
        <v>152394.16214437486</v>
      </c>
      <c r="OG242" s="13">
        <f>OE242-OF242</f>
        <v>-25107.282435233603</v>
      </c>
      <c r="OH242" s="13">
        <f>OH241+OG242</f>
        <v>15122427.406934047</v>
      </c>
      <c r="OI242">
        <f>IF(OH242=MAX($OH$83:$OH$483),$A242,0)</f>
        <v>0</v>
      </c>
      <c r="OJ242">
        <f>IF(OE242&lt;OF242,$A242,B_MAX+1)</f>
        <v>159</v>
      </c>
      <c r="OK242" s="13">
        <f>IF(OB242=1,$OB$35,$OB$36)</f>
        <v>0</v>
      </c>
      <c r="OL242" s="13">
        <f>OCC_DAYS*$OB$41*R_NF_2023-OD242*MCD_SHARE_FREED*R_WAIT_2023</f>
        <v>94673.82103225985</v>
      </c>
      <c r="OM242">
        <f>IF($A242&lt;=$OB$45,1,0)</f>
        <v>0</v>
      </c>
    </row>
    <row r="243">
      <c r="A243" t="n">
        <v>160</v>
      </c>
      <c r="B243">
        <f>IF($B$31&lt;=$B$32,IF($A243&lt;=$B$7,1,2),IF($A243&lt;=RUNG_BEDS_2,2,1))</f>
        <v>1</v>
      </c>
      <c r="C243" s="5">
        <f>MIN(1,MAX(0,$B$26-($A243-1)))</f>
        <v>0</v>
      </c>
      <c r="D243" s="5">
        <f>$B$25*(C243+(1-C243)*$B$16)</f>
        <v>0.0</v>
      </c>
      <c r="E243" s="13">
        <f>D243*($B$6+ACUTE_MARGIN)</f>
        <v>0.0</v>
      </c>
      <c r="F243" s="13">
        <f>IF(B243=1,$B$31,$B$32)</f>
        <v>152394.16214437486</v>
      </c>
      <c r="G243" s="13">
        <f>E243-F243</f>
        <v>-152394.16214437486</v>
      </c>
      <c r="H243" s="13">
        <f>H242+G243</f>
        <v>13845904.685172338</v>
      </c>
      <c r="I243">
        <f>IF(H243=MAX($H$83:$H$483),$A243,0)</f>
        <v>0</v>
      </c>
      <c r="J243">
        <f>IF(E243&lt;F243,$A243,B_MAX+1)</f>
        <v>160</v>
      </c>
      <c r="K243" s="13">
        <f>IF(B243=1,$B$35,$B$36)</f>
        <v>0</v>
      </c>
      <c r="L243" s="13">
        <f>OCC_DAYS*$B$41*R_NF_2023-D243*MCD_SHARE_FREED*R_WAIT_2023</f>
        <v>151980.48282209205</v>
      </c>
      <c r="M243">
        <f>IF($A243&lt;=$B$45,1,0)</f>
        <v>0</v>
      </c>
      <c r="AB243">
        <f>IF($AB$31&lt;=$AB$32,IF($A243&lt;=$AB$7,1,2),IF($A243&lt;=RUNG_BEDS_2,2,1))</f>
        <v>1</v>
      </c>
      <c r="AC243" s="5">
        <f>MIN(1,MAX(0,$AB$26-($A243-1)))</f>
        <v>0</v>
      </c>
      <c r="AD243" s="5">
        <f>$AB$25*(AC243+(1-AC243)*$AB$16)</f>
        <v>0.0</v>
      </c>
      <c r="AE243" s="13">
        <f>AD243*($AB$6+ACUTE_MARGIN)</f>
        <v>0.0</v>
      </c>
      <c r="AF243" s="13">
        <f>IF(AB243=1,$AB$31,$AB$32)</f>
        <v>152394.16214437486</v>
      </c>
      <c r="AG243" s="13">
        <f>AE243-AF243</f>
        <v>-152394.16214437486</v>
      </c>
      <c r="AH243" s="13">
        <f>AH242+AG243</f>
        <v>-3565309.6603774633</v>
      </c>
      <c r="AI243">
        <f>IF(AH243=MAX($AH$83:$AH$483),$A243,0)</f>
        <v>0</v>
      </c>
      <c r="AJ243">
        <f>IF(AE243&lt;AF243,$A243,B_MAX+1)</f>
        <v>160</v>
      </c>
      <c r="AK243" s="13">
        <f>IF(AB243=1,$AB$35,$AB$36)</f>
        <v>0</v>
      </c>
      <c r="AL243" s="13">
        <f>OCC_DAYS*$AB$41*R_NF_2023-AD243*MCD_SHARE_FREED*R_WAIT_2023</f>
        <v>151980.48282209205</v>
      </c>
      <c r="AM243">
        <f>IF($A243&lt;=$AB$45,1,0)</f>
        <v>0</v>
      </c>
      <c r="BB243">
        <f>IF($BB$31&lt;=$BB$32,IF($A243&lt;=$BB$7,1,2),IF($A243&lt;=RUNG_BEDS_2,2,1))</f>
        <v>1</v>
      </c>
      <c r="BC243" s="5">
        <f>MIN(1,MAX(0,$BB$26-($A243-1)))</f>
        <v>0</v>
      </c>
      <c r="BD243" s="5">
        <f>$BB$25*(BC243+(1-BC243)*$BB$16)</f>
        <v>0.0</v>
      </c>
      <c r="BE243" s="13">
        <f>BD243*($BB$6+ACUTE_MARGIN)</f>
        <v>0.0</v>
      </c>
      <c r="BF243" s="13">
        <f>IF(BB243=1,$BB$31,$BB$32)</f>
        <v>152394.16214437486</v>
      </c>
      <c r="BG243" s="13">
        <f>BE243-BF243</f>
        <v>-152394.16214437486</v>
      </c>
      <c r="BH243" s="13">
        <f>BH242+BG243</f>
        <v>31257119.030722</v>
      </c>
      <c r="BI243">
        <f>IF(BH243=MAX($BH$83:$BH$483),$A243,0)</f>
        <v>0</v>
      </c>
      <c r="BJ243">
        <f>IF(BE243&lt;BF243,$A243,B_MAX+1)</f>
        <v>160</v>
      </c>
      <c r="BK243" s="13">
        <f>IF(BB243=1,$BB$35,$BB$36)</f>
        <v>0</v>
      </c>
      <c r="BL243" s="13">
        <f>OCC_DAYS*$BB$41*R_NF_2023-BD243*MCD_SHARE_FREED*R_WAIT_2023</f>
        <v>151980.48282209205</v>
      </c>
      <c r="BM243">
        <f>IF($A243&lt;=$BB$45,1,0)</f>
        <v>0</v>
      </c>
      <c r="CB243">
        <f>IF($CB$31&lt;=$CB$32,IF($A243&lt;=$CB$7,1,2),IF($A243&lt;=RUNG_BEDS_2,2,1))</f>
        <v>2</v>
      </c>
      <c r="CC243" s="5">
        <f>MIN(1,MAX(0,$CB$26-($A243-1)))</f>
        <v>0</v>
      </c>
      <c r="CD243" s="5">
        <f>$CB$25*(CC243+(1-CC243)*$CB$16)</f>
        <v>0.0</v>
      </c>
      <c r="CE243" s="13">
        <f>CD243*($CB$6+ACUTE_MARGIN)</f>
        <v>0.0</v>
      </c>
      <c r="CF243" s="13">
        <f>IF(CB243=1,$CB$31,$CB$32)</f>
        <v>160718.36940738867</v>
      </c>
      <c r="CG243" s="13">
        <f>CE243-CF243</f>
        <v>-160718.36940738867</v>
      </c>
      <c r="CH243" s="13">
        <f>CH242+CG243</f>
        <v>12514031.523090044</v>
      </c>
      <c r="CI243">
        <f>IF(CH243=MAX($CH$83:$CH$483),$A243,0)</f>
        <v>0</v>
      </c>
      <c r="CJ243">
        <f>IF(CE243&lt;CF243,$A243,B_MAX+1)</f>
        <v>160</v>
      </c>
      <c r="CK243" s="13">
        <f>IF(CB243=1,$CB$35,$CB$36)</f>
        <v>1560.1194073886782</v>
      </c>
      <c r="CL243" s="13">
        <f>OCC_DAYS*$CB$41*R_NF_2023-CD243*MCD_SHARE_FREED*R_WAIT_2023</f>
        <v>151980.48282209205</v>
      </c>
      <c r="CM243">
        <f>IF($A243&lt;=$CB$45,1,0)</f>
        <v>0</v>
      </c>
      <c r="DB243">
        <f>IF($DB$31&lt;=$DB$32,IF($A243&lt;=$DB$7,1,2),IF($A243&lt;=RUNG_BEDS_2,2,1))</f>
        <v>1</v>
      </c>
      <c r="DC243" s="5">
        <f>MIN(1,MAX(0,$DB$26-($A243-1)))</f>
        <v>0</v>
      </c>
      <c r="DD243" s="5">
        <f>$DB$25*(DC243+(1-DC243)*$DB$16)</f>
        <v>0.0</v>
      </c>
      <c r="DE243" s="13">
        <f>DD243*($DB$6+ACUTE_MARGIN)</f>
        <v>0.0</v>
      </c>
      <c r="DF243" s="13">
        <f>IF(DB243=1,$DB$31,$DB$32)</f>
        <v>152394.16214437486</v>
      </c>
      <c r="DG243" s="13">
        <f>DE243-DF243</f>
        <v>-152394.16214437486</v>
      </c>
      <c r="DH243" s="13">
        <f>DH242+DG243</f>
        <v>13845904.685172338</v>
      </c>
      <c r="DI243">
        <f>IF(DH243=MAX($DH$83:$DH$483),$A243,0)</f>
        <v>0</v>
      </c>
      <c r="DJ243">
        <f>IF(DE243&lt;DF243,$A243,B_MAX+1)</f>
        <v>160</v>
      </c>
      <c r="DK243" s="13">
        <f>IF(DB243=1,$DB$35,$DB$36)</f>
        <v>0</v>
      </c>
      <c r="DL243" s="13">
        <f>OCC_DAYS*$DB$41*R_NF_2023-DD243*MCD_SHARE_FREED*R_WAIT_2023</f>
        <v>151980.48282209205</v>
      </c>
      <c r="DM243">
        <f>IF($A243&lt;=$DB$45,1,0)</f>
        <v>0</v>
      </c>
      <c r="EB243">
        <f>IF($EB$31&lt;=$EB$32,IF($A243&lt;=$EB$7,1,2),IF($A243&lt;=RUNG_BEDS_2,2,1))</f>
        <v>1</v>
      </c>
      <c r="EC243" s="5">
        <f>MIN(1,MAX(0,$EB$26-($A243-1)))</f>
        <v>0</v>
      </c>
      <c r="ED243" s="5">
        <f>$EB$25*(EC243+(1-EC243)*$EB$16)</f>
        <v>0.0</v>
      </c>
      <c r="EE243" s="13">
        <f>ED243*($EB$6+ACUTE_MARGIN)</f>
        <v>0.0</v>
      </c>
      <c r="EF243" s="13">
        <f>IF(EB243=1,$EB$31,$EB$32)</f>
        <v>152394.16214437486</v>
      </c>
      <c r="EG243" s="13">
        <f>EE243-EF243</f>
        <v>-152394.16214437486</v>
      </c>
      <c r="EH243" s="13">
        <f>EH242+EG243</f>
        <v>13845904.685172338</v>
      </c>
      <c r="EI243">
        <f>IF(EH243=MAX($EH$83:$EH$483),$A243,0)</f>
        <v>0</v>
      </c>
      <c r="EJ243">
        <f>IF(EE243&lt;EF243,$A243,B_MAX+1)</f>
        <v>160</v>
      </c>
      <c r="EK243" s="13">
        <f>IF(EB243=1,$EB$35,$EB$36)</f>
        <v>0</v>
      </c>
      <c r="EL243" s="13">
        <f>OCC_DAYS*$EB$41*R_NF_2023-ED243*MCD_SHARE_FREED*R_WAIT_2023</f>
        <v>50660.16094069735</v>
      </c>
      <c r="EM243">
        <f>IF($A243&lt;=$EB$45,1,0)</f>
        <v>0</v>
      </c>
      <c r="FB243">
        <f>IF($FB$31&lt;=$FB$32,IF($A243&lt;=$FB$7,1,2),IF($A243&lt;=RUNG_BEDS_2,2,1))</f>
        <v>1</v>
      </c>
      <c r="FC243" s="5">
        <f>MIN(1,MAX(0,$FB$26-($A243-1)))</f>
        <v>0</v>
      </c>
      <c r="FD243" s="5">
        <f>$FB$25*(FC243+(1-FC243)*$FB$16)</f>
        <v>0.0</v>
      </c>
      <c r="FE243" s="13">
        <f>FD243*($FB$6+ACUTE_MARGIN)</f>
        <v>0.0</v>
      </c>
      <c r="FF243" s="13">
        <f>IF(FB243=1,$FB$31,$FB$32)</f>
        <v>156636.04979437485</v>
      </c>
      <c r="FG243" s="13">
        <f>FE243-FF243</f>
        <v>-156636.04979437485</v>
      </c>
      <c r="FH243" s="13">
        <f>FH242+FG243</f>
        <v>13167202.661172224</v>
      </c>
      <c r="FI243">
        <f>IF(FH243=MAX($FH$83:$FH$483),$A243,0)</f>
        <v>0</v>
      </c>
      <c r="FJ243">
        <f>IF(FE243&lt;FF243,$A243,B_MAX+1)</f>
        <v>160</v>
      </c>
      <c r="FK243" s="13">
        <f>IF(FB243=1,$FB$35,$FB$36)</f>
        <v>0</v>
      </c>
      <c r="FL243" s="13">
        <f>OCC_DAYS*$FB$41*R_NF_2023-FD243*MCD_SHARE_FREED*R_WAIT_2023</f>
        <v>151980.48282209205</v>
      </c>
      <c r="FM243">
        <f>IF($A243&lt;=$FB$45,1,0)</f>
        <v>0</v>
      </c>
      <c r="GB243">
        <f>IF($GB$31&lt;=$GB$32,IF($A243&lt;=$GB$7,1,2),IF($A243&lt;=RUNG_BEDS_2,2,1))</f>
        <v>1</v>
      </c>
      <c r="GC243" s="5">
        <f>MIN(1,MAX(0,$GB$26-($A243-1)))</f>
        <v>0</v>
      </c>
      <c r="GD243" s="5">
        <f>$GB$25*(GC243+(1-GC243)*$GB$16)</f>
        <v>0.0</v>
      </c>
      <c r="GE243" s="13">
        <f>GD243*($GB$6+ACUTE_MARGIN)</f>
        <v>0.0</v>
      </c>
      <c r="GF243" s="13">
        <f>IF(GB243=1,$GB$31,$GB$32)</f>
        <v>152394.16214437486</v>
      </c>
      <c r="GG243" s="13">
        <f>GE243-GF243</f>
        <v>-152394.16214437486</v>
      </c>
      <c r="GH243" s="13">
        <f>GH242+GG243</f>
        <v>13845904.685172338</v>
      </c>
      <c r="GI243">
        <f>IF(GH243=MAX($GH$83:$GH$483),$A243,0)</f>
        <v>0</v>
      </c>
      <c r="GJ243">
        <f>IF(GE243&lt;GF243,$A243,B_MAX+1)</f>
        <v>160</v>
      </c>
      <c r="GK243" s="13">
        <f>IF(GB243=1,$GB$35,$GB$36)</f>
        <v>0</v>
      </c>
      <c r="GL243" s="13">
        <f>OCC_DAYS*$GB$41*R_NF_2023-GD243*MCD_SHARE_FREED*R_WAIT_2023</f>
        <v>151980.48282209205</v>
      </c>
      <c r="GM243">
        <f>IF($A243&lt;=$GB$45,1,0)</f>
        <v>0</v>
      </c>
      <c r="HB243">
        <f>IF($HB$31&lt;=$HB$32,IF($A243&lt;=$HB$7,1,2),IF($A243&lt;=RUNG_BEDS_2,2,1))</f>
        <v>1</v>
      </c>
      <c r="HC243" s="5">
        <f>MIN(1,MAX(0,$HB$26-($A243-1)))</f>
        <v>0</v>
      </c>
      <c r="HD243" s="5">
        <f>$HB$25*(HC243+(1-HC243)*$HB$16)</f>
        <v>0.0</v>
      </c>
      <c r="HE243" s="13">
        <f>HD243*($HB$6+ACUTE_MARGIN)</f>
        <v>0.0</v>
      </c>
      <c r="HF243" s="13">
        <f>IF(HB243=1,$HB$31,$HB$32)</f>
        <v>152456.2970814058</v>
      </c>
      <c r="HG243" s="13">
        <f>HE243-HF243</f>
        <v>-152456.2970814058</v>
      </c>
      <c r="HH243" s="13">
        <f>HH242+HG243</f>
        <v>13835963.095247362</v>
      </c>
      <c r="HI243">
        <f>IF(HH243=MAX($HH$83:$HH$483),$A243,0)</f>
        <v>0</v>
      </c>
      <c r="HJ243">
        <f>IF(HE243&lt;HF243,$A243,B_MAX+1)</f>
        <v>160</v>
      </c>
      <c r="HK243" s="13">
        <f>IF(HB243=1,$HB$35,$HB$36)</f>
        <v>0</v>
      </c>
      <c r="HL243" s="13">
        <f>OCC_DAYS*$HB$41*R_NF_2023-HD243*MCD_SHARE_FREED*R_WAIT_2023</f>
        <v>151980.48282209205</v>
      </c>
      <c r="HM243">
        <f>IF($A243&lt;=$HB$45,1,0)</f>
        <v>0</v>
      </c>
      <c r="IB243">
        <f>IF($IB$31&lt;=$IB$32,IF($A243&lt;=$IB$7,1,2),IF($A243&lt;=RUNG_BEDS_2,2,1))</f>
        <v>1</v>
      </c>
      <c r="IC243" s="5">
        <f>MIN(1,MAX(0,$IB$26-($A243-1)))</f>
        <v>0</v>
      </c>
      <c r="ID243" s="5">
        <f>$IB$25*(IC243+(1-IC243)*$IB$16)</f>
        <v>0.0</v>
      </c>
      <c r="IE243" s="13">
        <f>ID243*($IB$6+ACUTE_MARGIN)</f>
        <v>0.0</v>
      </c>
      <c r="IF243" s="13">
        <f>IF(IB243=1,$IB$31,$IB$32)</f>
        <v>152734.9994534971</v>
      </c>
      <c r="IG243" s="13">
        <f>IE243-IF243</f>
        <v>-152734.9994534971</v>
      </c>
      <c r="IH243" s="13">
        <f>IH242+IG243</f>
        <v>13791370.715712676</v>
      </c>
      <c r="II243">
        <f>IF(IH243=MAX($IH$83:$IH$483),$A243,0)</f>
        <v>0</v>
      </c>
      <c r="IJ243">
        <f>IF(IE243&lt;IF243,$A243,B_MAX+1)</f>
        <v>160</v>
      </c>
      <c r="IK243" s="13">
        <f>IF(IB243=1,$IB$35,$IB$36)</f>
        <v>0</v>
      </c>
      <c r="IL243" s="13">
        <f>OCC_DAYS*$IB$41*R_NF_2023-ID243*MCD_SHARE_FREED*R_WAIT_2023</f>
        <v>151980.48282209205</v>
      </c>
      <c r="IM243">
        <f>IF($A243&lt;=$IB$45,1,0)</f>
        <v>0</v>
      </c>
      <c r="JB243">
        <f>IF($JB$31&lt;=$JB$32,IF($A243&lt;=$JB$7,1,2),IF($A243&lt;=RUNG_BEDS_2,2,1))</f>
        <v>1</v>
      </c>
      <c r="JC243" s="5">
        <f>MIN(1,MAX(0,$JB$26-($A243-1)))</f>
        <v>0</v>
      </c>
      <c r="JD243" s="5">
        <f>$JB$25*(JC243+(1-JC243)*$JB$16)</f>
        <v>0.0</v>
      </c>
      <c r="JE243" s="13">
        <f>JD243*($JB$6+ACUTE_MARGIN)</f>
        <v>0.0</v>
      </c>
      <c r="JF243" s="13">
        <f>IF(JB243=1,$JB$31,$JB$32)</f>
        <v>152394.16214437486</v>
      </c>
      <c r="JG243" s="13">
        <f>JE243-JF243</f>
        <v>-152394.16214437486</v>
      </c>
      <c r="JH243" s="13">
        <f>JH242+JG243</f>
        <v>13845904.685172338</v>
      </c>
      <c r="JI243">
        <f>IF(JH243=MAX($JH$83:$JH$483),$A243,0)</f>
        <v>0</v>
      </c>
      <c r="JJ243">
        <f>IF(JE243&lt;JF243,$A243,B_MAX+1)</f>
        <v>160</v>
      </c>
      <c r="JK243" s="13">
        <f>IF(JB243=1,$JB$35,$JB$36)</f>
        <v>0</v>
      </c>
      <c r="JL243" s="13">
        <f>OCC_DAYS*$JB$41*R_NF_2023-JD243*MCD_SHARE_FREED*R_WAIT_2023</f>
        <v>151980.48282209205</v>
      </c>
      <c r="JM243">
        <f>IF($A243&lt;=$JB$45,1,0)</f>
        <v>0</v>
      </c>
      <c r="KB243">
        <f>IF($KB$31&lt;=$KB$32,IF($A243&lt;=$KB$7,1,2),IF($A243&lt;=RUNG_BEDS_2,2,1))</f>
        <v>1</v>
      </c>
      <c r="KC243" s="5">
        <f>MIN(1,MAX(0,$KB$26-($A243-1)))</f>
        <v>1</v>
      </c>
      <c r="KD243" s="5">
        <f>$KB$25*(KC243+(1-KC243)*$KB$16)</f>
        <v>126.02661357340719</v>
      </c>
      <c r="KE243" s="13">
        <f>KD243*($KB$6+ACUTE_MARGIN)</f>
        <v>127286.87970914126</v>
      </c>
      <c r="KF243" s="13">
        <f>IF(KB243=1,$KB$31,$KB$32)</f>
        <v>152394.16214437486</v>
      </c>
      <c r="KG243" s="13">
        <f>KE243-KF243</f>
        <v>-25107.282435233603</v>
      </c>
      <c r="KH243" s="13">
        <f>KH242+KG243</f>
        <v>-4017165.189637388</v>
      </c>
      <c r="KI243">
        <f>IF(KH243=MAX($KH$83:$KH$483),$A243,0)</f>
        <v>0</v>
      </c>
      <c r="KJ243">
        <f>IF(KE243&lt;KF243,$A243,B_MAX+1)</f>
        <v>160</v>
      </c>
      <c r="KK243" s="13">
        <f>IF(KB243=1,$KB$35,$KB$36)</f>
        <v>0</v>
      </c>
      <c r="KL243" s="13">
        <f>OCC_DAYS*$KB$41*R_NF_2023-KD243*MCD_SHARE_FREED*R_WAIT_2023</f>
        <v>94673.82103225985</v>
      </c>
      <c r="KM243">
        <f>IF($A243&lt;=$KB$45,1,0)</f>
        <v>0</v>
      </c>
      <c r="LB243">
        <f>IF($LB$31&lt;=$LB$32,IF($A243&lt;=$LB$7,1,2),IF($A243&lt;=RUNG_BEDS_2,2,1))</f>
        <v>1</v>
      </c>
      <c r="LC243" s="5">
        <f>MIN(1,MAX(0,$LB$26-($A243-1)))</f>
        <v>1</v>
      </c>
      <c r="LD243" s="5">
        <f>$LB$25*(LC243+(1-LC243)*$LB$16)</f>
        <v>84.01774238227146</v>
      </c>
      <c r="LE243" s="13">
        <f>LD243*($LB$6+ACUTE_MARGIN)</f>
        <v>84857.91980609419</v>
      </c>
      <c r="LF243" s="13">
        <f>IF(LB243=1,$LB$31,$LB$32)</f>
        <v>152394.16214437486</v>
      </c>
      <c r="LG243" s="13">
        <f>LE243-LF243</f>
        <v>-67536.24233828067</v>
      </c>
      <c r="LH243" s="13">
        <f>LH242+LG243</f>
        <v>-10805798.77412495</v>
      </c>
      <c r="LI243">
        <f>IF(LH243=MAX($LH$83:$LH$483),$A243,0)</f>
        <v>0</v>
      </c>
      <c r="LJ243">
        <f>IF(LE243&lt;LF243,$A243,B_MAX+1)</f>
        <v>160</v>
      </c>
      <c r="LK243" s="13">
        <f>IF(LB243=1,$LB$35,$LB$36)</f>
        <v>0</v>
      </c>
      <c r="LL243" s="13">
        <f>OCC_DAYS*$LB$41*R_NF_2023-LD243*MCD_SHARE_FREED*R_WAIT_2023</f>
        <v>113776.04162887059</v>
      </c>
      <c r="LM243">
        <f>IF($A243&lt;=$LB$45,1,0)</f>
        <v>0</v>
      </c>
      <c r="MB243">
        <f>IF($MB$31&lt;=$MB$32,IF($A243&lt;=$MB$7,1,2),IF($A243&lt;=RUNG_BEDS_2,2,1))</f>
        <v>1</v>
      </c>
      <c r="MC243" s="5">
        <f>MIN(1,MAX(0,$MB$26-($A243-1)))</f>
        <v>0</v>
      </c>
      <c r="MD243" s="5">
        <f>$MB$25*(MC243+(1-MC243)*$MB$16)</f>
        <v>0.0</v>
      </c>
      <c r="ME243" s="13">
        <f>MD243*($MB$6+ACUTE_MARGIN)</f>
        <v>0.0</v>
      </c>
      <c r="MF243" s="13">
        <f>IF(MB243=1,$MB$31,$MB$32)</f>
        <v>152394.16214437486</v>
      </c>
      <c r="MG243" s="13">
        <f>ME243-MF243</f>
        <v>-152394.16214437486</v>
      </c>
      <c r="MH243" s="13">
        <f>MH242+MG243</f>
        <v>7958628.623374035</v>
      </c>
      <c r="MI243">
        <f>IF(MH243=MAX($MH$83:$MH$483),$A243,0)</f>
        <v>0</v>
      </c>
      <c r="MJ243">
        <f>IF(ME243&lt;MF243,$A243,B_MAX+1)</f>
        <v>160</v>
      </c>
      <c r="MK243" s="13">
        <f>IF(MB243=1,$MB$35,$MB$36)</f>
        <v>0</v>
      </c>
      <c r="ML243" s="13">
        <f>OCC_DAYS*$MB$41*R_NF_2023-MD243*MCD_SHARE_FREED*R_WAIT_2023</f>
        <v>151980.48282209205</v>
      </c>
      <c r="MM243">
        <f>IF($A243&lt;=$MB$45,1,0)</f>
        <v>0</v>
      </c>
      <c r="NB243">
        <f>IF($NB$31&lt;=$NB$32,IF($A243&lt;=$NB$7,1,2),IF($A243&lt;=RUNG_BEDS_2,2,1))</f>
        <v>1</v>
      </c>
      <c r="NC243" s="5">
        <f>MIN(1,MAX(0,$NB$26-($A243-1)))</f>
        <v>0</v>
      </c>
      <c r="ND243" s="5">
        <f>$NB$25*(NC243+(1-NC243)*$NB$16)</f>
        <v>63.013306786703595</v>
      </c>
      <c r="NE243" s="13">
        <f>ND243*($NB$6+ACUTE_MARGIN)</f>
        <v>63643.43985457063</v>
      </c>
      <c r="NF243" s="13">
        <f>IF(NB243=1,$NB$31,$NB$32)</f>
        <v>152394.16214437486</v>
      </c>
      <c r="NG243" s="13">
        <f>NE243-NF243</f>
        <v>-88750.72228980422</v>
      </c>
      <c r="NH243" s="13">
        <f>NH242+NG243</f>
        <v>14471612.404835567</v>
      </c>
      <c r="NI243">
        <f>IF(NH243=MAX($NH$83:$NH$483),$A243,0)</f>
        <v>0</v>
      </c>
      <c r="NJ243">
        <f>IF(NE243&lt;NF243,$A243,B_MAX+1)</f>
        <v>160</v>
      </c>
      <c r="NK243" s="13">
        <f>IF(NB243=1,$NB$35,$NB$36)</f>
        <v>0</v>
      </c>
      <c r="NL243" s="13">
        <f>OCC_DAYS*$NB$41*R_NF_2023-ND243*MCD_SHARE_FREED*R_WAIT_2023</f>
        <v>123327.15192717595</v>
      </c>
      <c r="NM243">
        <f>IF($A243&lt;=$NB$45,1,0)</f>
        <v>0</v>
      </c>
      <c r="OB243">
        <f>IF($OB$31&lt;=$OB$32,IF($A243&lt;=$OB$7,1,2),IF($A243&lt;=RUNG_BEDS_2,2,1))</f>
        <v>1</v>
      </c>
      <c r="OC243" s="5">
        <f>MIN(1,MAX(0,$OB$26-($A243-1)))</f>
        <v>0</v>
      </c>
      <c r="OD243" s="5">
        <f>$OB$25*(OC243+(1-OC243)*$OB$16)</f>
        <v>126.02661357340719</v>
      </c>
      <c r="OE243" s="13">
        <f>OD243*($OB$6+ACUTE_MARGIN)</f>
        <v>127286.87970914126</v>
      </c>
      <c r="OF243" s="13">
        <f>IF(OB243=1,$OB$31,$OB$32)</f>
        <v>152394.16214437486</v>
      </c>
      <c r="OG243" s="13">
        <f>OE243-OF243</f>
        <v>-25107.282435233603</v>
      </c>
      <c r="OH243" s="13">
        <f>OH242+OG243</f>
        <v>15097320.124498814</v>
      </c>
      <c r="OI243">
        <f>IF(OH243=MAX($OH$83:$OH$483),$A243,0)</f>
        <v>0</v>
      </c>
      <c r="OJ243">
        <f>IF(OE243&lt;OF243,$A243,B_MAX+1)</f>
        <v>160</v>
      </c>
      <c r="OK243" s="13">
        <f>IF(OB243=1,$OB$35,$OB$36)</f>
        <v>0</v>
      </c>
      <c r="OL243" s="13">
        <f>OCC_DAYS*$OB$41*R_NF_2023-OD243*MCD_SHARE_FREED*R_WAIT_2023</f>
        <v>94673.82103225985</v>
      </c>
      <c r="OM243">
        <f>IF($A243&lt;=$OB$45,1,0)</f>
        <v>0</v>
      </c>
    </row>
    <row r="244">
      <c r="A244" t="n">
        <v>161</v>
      </c>
      <c r="B244">
        <f>IF($B$31&lt;=$B$32,IF($A244&lt;=$B$7,1,2),IF($A244&lt;=RUNG_BEDS_2,2,1))</f>
        <v>1</v>
      </c>
      <c r="C244" s="5">
        <f>MIN(1,MAX(0,$B$26-($A244-1)))</f>
        <v>0</v>
      </c>
      <c r="D244" s="5">
        <f>$B$25*(C244+(1-C244)*$B$16)</f>
        <v>0.0</v>
      </c>
      <c r="E244" s="13">
        <f>D244*($B$6+ACUTE_MARGIN)</f>
        <v>0.0</v>
      </c>
      <c r="F244" s="13">
        <f>IF(B244=1,$B$31,$B$32)</f>
        <v>152394.16214437486</v>
      </c>
      <c r="G244" s="13">
        <f>E244-F244</f>
        <v>-152394.16214437486</v>
      </c>
      <c r="H244" s="13">
        <f>H243+G244</f>
        <v>13693510.523027964</v>
      </c>
      <c r="I244">
        <f>IF(H244=MAX($H$83:$H$483),$A244,0)</f>
        <v>0</v>
      </c>
      <c r="J244">
        <f>IF(E244&lt;F244,$A244,B_MAX+1)</f>
        <v>161</v>
      </c>
      <c r="K244" s="13">
        <f>IF(B244=1,$B$35,$B$36)</f>
        <v>0</v>
      </c>
      <c r="L244" s="13">
        <f>OCC_DAYS*$B$41*R_NF_2023-D244*MCD_SHARE_FREED*R_WAIT_2023</f>
        <v>151980.48282209205</v>
      </c>
      <c r="M244">
        <f>IF($A244&lt;=$B$45,1,0)</f>
        <v>0</v>
      </c>
      <c r="AB244">
        <f>IF($AB$31&lt;=$AB$32,IF($A244&lt;=$AB$7,1,2),IF($A244&lt;=RUNG_BEDS_2,2,1))</f>
        <v>1</v>
      </c>
      <c r="AC244" s="5">
        <f>MIN(1,MAX(0,$AB$26-($A244-1)))</f>
        <v>0</v>
      </c>
      <c r="AD244" s="5">
        <f>$AB$25*(AC244+(1-AC244)*$AB$16)</f>
        <v>0.0</v>
      </c>
      <c r="AE244" s="13">
        <f>AD244*($AB$6+ACUTE_MARGIN)</f>
        <v>0.0</v>
      </c>
      <c r="AF244" s="13">
        <f>IF(AB244=1,$AB$31,$AB$32)</f>
        <v>152394.16214437486</v>
      </c>
      <c r="AG244" s="13">
        <f>AE244-AF244</f>
        <v>-152394.16214437486</v>
      </c>
      <c r="AH244" s="13">
        <f>AH243+AG244</f>
        <v>-3717703.8225218384</v>
      </c>
      <c r="AI244">
        <f>IF(AH244=MAX($AH$83:$AH$483),$A244,0)</f>
        <v>0</v>
      </c>
      <c r="AJ244">
        <f>IF(AE244&lt;AF244,$A244,B_MAX+1)</f>
        <v>161</v>
      </c>
      <c r="AK244" s="13">
        <f>IF(AB244=1,$AB$35,$AB$36)</f>
        <v>0</v>
      </c>
      <c r="AL244" s="13">
        <f>OCC_DAYS*$AB$41*R_NF_2023-AD244*MCD_SHARE_FREED*R_WAIT_2023</f>
        <v>151980.48282209205</v>
      </c>
      <c r="AM244">
        <f>IF($A244&lt;=$AB$45,1,0)</f>
        <v>0</v>
      </c>
      <c r="BB244">
        <f>IF($BB$31&lt;=$BB$32,IF($A244&lt;=$BB$7,1,2),IF($A244&lt;=RUNG_BEDS_2,2,1))</f>
        <v>1</v>
      </c>
      <c r="BC244" s="5">
        <f>MIN(1,MAX(0,$BB$26-($A244-1)))</f>
        <v>0</v>
      </c>
      <c r="BD244" s="5">
        <f>$BB$25*(BC244+(1-BC244)*$BB$16)</f>
        <v>0.0</v>
      </c>
      <c r="BE244" s="13">
        <f>BD244*($BB$6+ACUTE_MARGIN)</f>
        <v>0.0</v>
      </c>
      <c r="BF244" s="13">
        <f>IF(BB244=1,$BB$31,$BB$32)</f>
        <v>152394.16214437486</v>
      </c>
      <c r="BG244" s="13">
        <f>BE244-BF244</f>
        <v>-152394.16214437486</v>
      </c>
      <c r="BH244" s="13">
        <f>BH243+BG244</f>
        <v>31104724.868577626</v>
      </c>
      <c r="BI244">
        <f>IF(BH244=MAX($BH$83:$BH$483),$A244,0)</f>
        <v>0</v>
      </c>
      <c r="BJ244">
        <f>IF(BE244&lt;BF244,$A244,B_MAX+1)</f>
        <v>161</v>
      </c>
      <c r="BK244" s="13">
        <f>IF(BB244=1,$BB$35,$BB$36)</f>
        <v>0</v>
      </c>
      <c r="BL244" s="13">
        <f>OCC_DAYS*$BB$41*R_NF_2023-BD244*MCD_SHARE_FREED*R_WAIT_2023</f>
        <v>151980.48282209205</v>
      </c>
      <c r="BM244">
        <f>IF($A244&lt;=$BB$45,1,0)</f>
        <v>0</v>
      </c>
      <c r="CB244">
        <f>IF($CB$31&lt;=$CB$32,IF($A244&lt;=$CB$7,1,2),IF($A244&lt;=RUNG_BEDS_2,2,1))</f>
        <v>2</v>
      </c>
      <c r="CC244" s="5">
        <f>MIN(1,MAX(0,$CB$26-($A244-1)))</f>
        <v>0</v>
      </c>
      <c r="CD244" s="5">
        <f>$CB$25*(CC244+(1-CC244)*$CB$16)</f>
        <v>0.0</v>
      </c>
      <c r="CE244" s="13">
        <f>CD244*($CB$6+ACUTE_MARGIN)</f>
        <v>0.0</v>
      </c>
      <c r="CF244" s="13">
        <f>IF(CB244=1,$CB$31,$CB$32)</f>
        <v>160718.36940738867</v>
      </c>
      <c r="CG244" s="13">
        <f>CE244-CF244</f>
        <v>-160718.36940738867</v>
      </c>
      <c r="CH244" s="13">
        <f>CH243+CG244</f>
        <v>12353313.153682655</v>
      </c>
      <c r="CI244">
        <f>IF(CH244=MAX($CH$83:$CH$483),$A244,0)</f>
        <v>0</v>
      </c>
      <c r="CJ244">
        <f>IF(CE244&lt;CF244,$A244,B_MAX+1)</f>
        <v>161</v>
      </c>
      <c r="CK244" s="13">
        <f>IF(CB244=1,$CB$35,$CB$36)</f>
        <v>1560.1194073886782</v>
      </c>
      <c r="CL244" s="13">
        <f>OCC_DAYS*$CB$41*R_NF_2023-CD244*MCD_SHARE_FREED*R_WAIT_2023</f>
        <v>151980.48282209205</v>
      </c>
      <c r="CM244">
        <f>IF($A244&lt;=$CB$45,1,0)</f>
        <v>0</v>
      </c>
      <c r="DB244">
        <f>IF($DB$31&lt;=$DB$32,IF($A244&lt;=$DB$7,1,2),IF($A244&lt;=RUNG_BEDS_2,2,1))</f>
        <v>1</v>
      </c>
      <c r="DC244" s="5">
        <f>MIN(1,MAX(0,$DB$26-($A244-1)))</f>
        <v>0</v>
      </c>
      <c r="DD244" s="5">
        <f>$DB$25*(DC244+(1-DC244)*$DB$16)</f>
        <v>0.0</v>
      </c>
      <c r="DE244" s="13">
        <f>DD244*($DB$6+ACUTE_MARGIN)</f>
        <v>0.0</v>
      </c>
      <c r="DF244" s="13">
        <f>IF(DB244=1,$DB$31,$DB$32)</f>
        <v>152394.16214437486</v>
      </c>
      <c r="DG244" s="13">
        <f>DE244-DF244</f>
        <v>-152394.16214437486</v>
      </c>
      <c r="DH244" s="13">
        <f>DH243+DG244</f>
        <v>13693510.523027964</v>
      </c>
      <c r="DI244">
        <f>IF(DH244=MAX($DH$83:$DH$483),$A244,0)</f>
        <v>0</v>
      </c>
      <c r="DJ244">
        <f>IF(DE244&lt;DF244,$A244,B_MAX+1)</f>
        <v>161</v>
      </c>
      <c r="DK244" s="13">
        <f>IF(DB244=1,$DB$35,$DB$36)</f>
        <v>0</v>
      </c>
      <c r="DL244" s="13">
        <f>OCC_DAYS*$DB$41*R_NF_2023-DD244*MCD_SHARE_FREED*R_WAIT_2023</f>
        <v>151980.48282209205</v>
      </c>
      <c r="DM244">
        <f>IF($A244&lt;=$DB$45,1,0)</f>
        <v>0</v>
      </c>
      <c r="EB244">
        <f>IF($EB$31&lt;=$EB$32,IF($A244&lt;=$EB$7,1,2),IF($A244&lt;=RUNG_BEDS_2,2,1))</f>
        <v>1</v>
      </c>
      <c r="EC244" s="5">
        <f>MIN(1,MAX(0,$EB$26-($A244-1)))</f>
        <v>0</v>
      </c>
      <c r="ED244" s="5">
        <f>$EB$25*(EC244+(1-EC244)*$EB$16)</f>
        <v>0.0</v>
      </c>
      <c r="EE244" s="13">
        <f>ED244*($EB$6+ACUTE_MARGIN)</f>
        <v>0.0</v>
      </c>
      <c r="EF244" s="13">
        <f>IF(EB244=1,$EB$31,$EB$32)</f>
        <v>152394.16214437486</v>
      </c>
      <c r="EG244" s="13">
        <f>EE244-EF244</f>
        <v>-152394.16214437486</v>
      </c>
      <c r="EH244" s="13">
        <f>EH243+EG244</f>
        <v>13693510.523027964</v>
      </c>
      <c r="EI244">
        <f>IF(EH244=MAX($EH$83:$EH$483),$A244,0)</f>
        <v>0</v>
      </c>
      <c r="EJ244">
        <f>IF(EE244&lt;EF244,$A244,B_MAX+1)</f>
        <v>161</v>
      </c>
      <c r="EK244" s="13">
        <f>IF(EB244=1,$EB$35,$EB$36)</f>
        <v>0</v>
      </c>
      <c r="EL244" s="13">
        <f>OCC_DAYS*$EB$41*R_NF_2023-ED244*MCD_SHARE_FREED*R_WAIT_2023</f>
        <v>50660.16094069735</v>
      </c>
      <c r="EM244">
        <f>IF($A244&lt;=$EB$45,1,0)</f>
        <v>0</v>
      </c>
      <c r="FB244">
        <f>IF($FB$31&lt;=$FB$32,IF($A244&lt;=$FB$7,1,2),IF($A244&lt;=RUNG_BEDS_2,2,1))</f>
        <v>1</v>
      </c>
      <c r="FC244" s="5">
        <f>MIN(1,MAX(0,$FB$26-($A244-1)))</f>
        <v>0</v>
      </c>
      <c r="FD244" s="5">
        <f>$FB$25*(FC244+(1-FC244)*$FB$16)</f>
        <v>0.0</v>
      </c>
      <c r="FE244" s="13">
        <f>FD244*($FB$6+ACUTE_MARGIN)</f>
        <v>0.0</v>
      </c>
      <c r="FF244" s="13">
        <f>IF(FB244=1,$FB$31,$FB$32)</f>
        <v>156636.04979437485</v>
      </c>
      <c r="FG244" s="13">
        <f>FE244-FF244</f>
        <v>-156636.04979437485</v>
      </c>
      <c r="FH244" s="13">
        <f>FH243+FG244</f>
        <v>13010566.61137785</v>
      </c>
      <c r="FI244">
        <f>IF(FH244=MAX($FH$83:$FH$483),$A244,0)</f>
        <v>0</v>
      </c>
      <c r="FJ244">
        <f>IF(FE244&lt;FF244,$A244,B_MAX+1)</f>
        <v>161</v>
      </c>
      <c r="FK244" s="13">
        <f>IF(FB244=1,$FB$35,$FB$36)</f>
        <v>0</v>
      </c>
      <c r="FL244" s="13">
        <f>OCC_DAYS*$FB$41*R_NF_2023-FD244*MCD_SHARE_FREED*R_WAIT_2023</f>
        <v>151980.48282209205</v>
      </c>
      <c r="FM244">
        <f>IF($A244&lt;=$FB$45,1,0)</f>
        <v>0</v>
      </c>
      <c r="GB244">
        <f>IF($GB$31&lt;=$GB$32,IF($A244&lt;=$GB$7,1,2),IF($A244&lt;=RUNG_BEDS_2,2,1))</f>
        <v>1</v>
      </c>
      <c r="GC244" s="5">
        <f>MIN(1,MAX(0,$GB$26-($A244-1)))</f>
        <v>0</v>
      </c>
      <c r="GD244" s="5">
        <f>$GB$25*(GC244+(1-GC244)*$GB$16)</f>
        <v>0.0</v>
      </c>
      <c r="GE244" s="13">
        <f>GD244*($GB$6+ACUTE_MARGIN)</f>
        <v>0.0</v>
      </c>
      <c r="GF244" s="13">
        <f>IF(GB244=1,$GB$31,$GB$32)</f>
        <v>152394.16214437486</v>
      </c>
      <c r="GG244" s="13">
        <f>GE244-GF244</f>
        <v>-152394.16214437486</v>
      </c>
      <c r="GH244" s="13">
        <f>GH243+GG244</f>
        <v>13693510.523027964</v>
      </c>
      <c r="GI244">
        <f>IF(GH244=MAX($GH$83:$GH$483),$A244,0)</f>
        <v>0</v>
      </c>
      <c r="GJ244">
        <f>IF(GE244&lt;GF244,$A244,B_MAX+1)</f>
        <v>161</v>
      </c>
      <c r="GK244" s="13">
        <f>IF(GB244=1,$GB$35,$GB$36)</f>
        <v>0</v>
      </c>
      <c r="GL244" s="13">
        <f>OCC_DAYS*$GB$41*R_NF_2023-GD244*MCD_SHARE_FREED*R_WAIT_2023</f>
        <v>151980.48282209205</v>
      </c>
      <c r="GM244">
        <f>IF($A244&lt;=$GB$45,1,0)</f>
        <v>0</v>
      </c>
      <c r="HB244">
        <f>IF($HB$31&lt;=$HB$32,IF($A244&lt;=$HB$7,1,2),IF($A244&lt;=RUNG_BEDS_2,2,1))</f>
        <v>1</v>
      </c>
      <c r="HC244" s="5">
        <f>MIN(1,MAX(0,$HB$26-($A244-1)))</f>
        <v>0</v>
      </c>
      <c r="HD244" s="5">
        <f>$HB$25*(HC244+(1-HC244)*$HB$16)</f>
        <v>0.0</v>
      </c>
      <c r="HE244" s="13">
        <f>HD244*($HB$6+ACUTE_MARGIN)</f>
        <v>0.0</v>
      </c>
      <c r="HF244" s="13">
        <f>IF(HB244=1,$HB$31,$HB$32)</f>
        <v>152456.2970814058</v>
      </c>
      <c r="HG244" s="13">
        <f>HE244-HF244</f>
        <v>-152456.2970814058</v>
      </c>
      <c r="HH244" s="13">
        <f>HH243+HG244</f>
        <v>13683506.798165957</v>
      </c>
      <c r="HI244">
        <f>IF(HH244=MAX($HH$83:$HH$483),$A244,0)</f>
        <v>0</v>
      </c>
      <c r="HJ244">
        <f>IF(HE244&lt;HF244,$A244,B_MAX+1)</f>
        <v>161</v>
      </c>
      <c r="HK244" s="13">
        <f>IF(HB244=1,$HB$35,$HB$36)</f>
        <v>0</v>
      </c>
      <c r="HL244" s="13">
        <f>OCC_DAYS*$HB$41*R_NF_2023-HD244*MCD_SHARE_FREED*R_WAIT_2023</f>
        <v>151980.48282209205</v>
      </c>
      <c r="HM244">
        <f>IF($A244&lt;=$HB$45,1,0)</f>
        <v>0</v>
      </c>
      <c r="IB244">
        <f>IF($IB$31&lt;=$IB$32,IF($A244&lt;=$IB$7,1,2),IF($A244&lt;=RUNG_BEDS_2,2,1))</f>
        <v>1</v>
      </c>
      <c r="IC244" s="5">
        <f>MIN(1,MAX(0,$IB$26-($A244-1)))</f>
        <v>0</v>
      </c>
      <c r="ID244" s="5">
        <f>$IB$25*(IC244+(1-IC244)*$IB$16)</f>
        <v>0.0</v>
      </c>
      <c r="IE244" s="13">
        <f>ID244*($IB$6+ACUTE_MARGIN)</f>
        <v>0.0</v>
      </c>
      <c r="IF244" s="13">
        <f>IF(IB244=1,$IB$31,$IB$32)</f>
        <v>152734.9994534971</v>
      </c>
      <c r="IG244" s="13">
        <f>IE244-IF244</f>
        <v>-152734.9994534971</v>
      </c>
      <c r="IH244" s="13">
        <f>IH243+IG244</f>
        <v>13638635.71625918</v>
      </c>
      <c r="II244">
        <f>IF(IH244=MAX($IH$83:$IH$483),$A244,0)</f>
        <v>0</v>
      </c>
      <c r="IJ244">
        <f>IF(IE244&lt;IF244,$A244,B_MAX+1)</f>
        <v>161</v>
      </c>
      <c r="IK244" s="13">
        <f>IF(IB244=1,$IB$35,$IB$36)</f>
        <v>0</v>
      </c>
      <c r="IL244" s="13">
        <f>OCC_DAYS*$IB$41*R_NF_2023-ID244*MCD_SHARE_FREED*R_WAIT_2023</f>
        <v>151980.48282209205</v>
      </c>
      <c r="IM244">
        <f>IF($A244&lt;=$IB$45,1,0)</f>
        <v>0</v>
      </c>
      <c r="JB244">
        <f>IF($JB$31&lt;=$JB$32,IF($A244&lt;=$JB$7,1,2),IF($A244&lt;=RUNG_BEDS_2,2,1))</f>
        <v>1</v>
      </c>
      <c r="JC244" s="5">
        <f>MIN(1,MAX(0,$JB$26-($A244-1)))</f>
        <v>0</v>
      </c>
      <c r="JD244" s="5">
        <f>$JB$25*(JC244+(1-JC244)*$JB$16)</f>
        <v>0.0</v>
      </c>
      <c r="JE244" s="13">
        <f>JD244*($JB$6+ACUTE_MARGIN)</f>
        <v>0.0</v>
      </c>
      <c r="JF244" s="13">
        <f>IF(JB244=1,$JB$31,$JB$32)</f>
        <v>152394.16214437486</v>
      </c>
      <c r="JG244" s="13">
        <f>JE244-JF244</f>
        <v>-152394.16214437486</v>
      </c>
      <c r="JH244" s="13">
        <f>JH243+JG244</f>
        <v>13693510.523027964</v>
      </c>
      <c r="JI244">
        <f>IF(JH244=MAX($JH$83:$JH$483),$A244,0)</f>
        <v>0</v>
      </c>
      <c r="JJ244">
        <f>IF(JE244&lt;JF244,$A244,B_MAX+1)</f>
        <v>161</v>
      </c>
      <c r="JK244" s="13">
        <f>IF(JB244=1,$JB$35,$JB$36)</f>
        <v>0</v>
      </c>
      <c r="JL244" s="13">
        <f>OCC_DAYS*$JB$41*R_NF_2023-JD244*MCD_SHARE_FREED*R_WAIT_2023</f>
        <v>151980.48282209205</v>
      </c>
      <c r="JM244">
        <f>IF($A244&lt;=$JB$45,1,0)</f>
        <v>0</v>
      </c>
      <c r="KB244">
        <f>IF($KB$31&lt;=$KB$32,IF($A244&lt;=$KB$7,1,2),IF($A244&lt;=RUNG_BEDS_2,2,1))</f>
        <v>1</v>
      </c>
      <c r="KC244" s="5">
        <f>MIN(1,MAX(0,$KB$26-($A244-1)))</f>
        <v>1</v>
      </c>
      <c r="KD244" s="5">
        <f>$KB$25*(KC244+(1-KC244)*$KB$16)</f>
        <v>126.02661357340719</v>
      </c>
      <c r="KE244" s="13">
        <f>KD244*($KB$6+ACUTE_MARGIN)</f>
        <v>127286.87970914126</v>
      </c>
      <c r="KF244" s="13">
        <f>IF(KB244=1,$KB$31,$KB$32)</f>
        <v>152394.16214437486</v>
      </c>
      <c r="KG244" s="13">
        <f>KE244-KF244</f>
        <v>-25107.282435233603</v>
      </c>
      <c r="KH244" s="13">
        <f>KH243+KG244</f>
        <v>-4042272.472072622</v>
      </c>
      <c r="KI244">
        <f>IF(KH244=MAX($KH$83:$KH$483),$A244,0)</f>
        <v>0</v>
      </c>
      <c r="KJ244">
        <f>IF(KE244&lt;KF244,$A244,B_MAX+1)</f>
        <v>161</v>
      </c>
      <c r="KK244" s="13">
        <f>IF(KB244=1,$KB$35,$KB$36)</f>
        <v>0</v>
      </c>
      <c r="KL244" s="13">
        <f>OCC_DAYS*$KB$41*R_NF_2023-KD244*MCD_SHARE_FREED*R_WAIT_2023</f>
        <v>94673.82103225985</v>
      </c>
      <c r="KM244">
        <f>IF($A244&lt;=$KB$45,1,0)</f>
        <v>0</v>
      </c>
      <c r="LB244">
        <f>IF($LB$31&lt;=$LB$32,IF($A244&lt;=$LB$7,1,2),IF($A244&lt;=RUNG_BEDS_2,2,1))</f>
        <v>1</v>
      </c>
      <c r="LC244" s="5">
        <f>MIN(1,MAX(0,$LB$26-($A244-1)))</f>
        <v>1</v>
      </c>
      <c r="LD244" s="5">
        <f>$LB$25*(LC244+(1-LC244)*$LB$16)</f>
        <v>84.01774238227146</v>
      </c>
      <c r="LE244" s="13">
        <f>LD244*($LB$6+ACUTE_MARGIN)</f>
        <v>84857.91980609419</v>
      </c>
      <c r="LF244" s="13">
        <f>IF(LB244=1,$LB$31,$LB$32)</f>
        <v>152394.16214437486</v>
      </c>
      <c r="LG244" s="13">
        <f>LE244-LF244</f>
        <v>-67536.24233828067</v>
      </c>
      <c r="LH244" s="13">
        <f>LH243+LG244</f>
        <v>-10873335.016463231</v>
      </c>
      <c r="LI244">
        <f>IF(LH244=MAX($LH$83:$LH$483),$A244,0)</f>
        <v>0</v>
      </c>
      <c r="LJ244">
        <f>IF(LE244&lt;LF244,$A244,B_MAX+1)</f>
        <v>161</v>
      </c>
      <c r="LK244" s="13">
        <f>IF(LB244=1,$LB$35,$LB$36)</f>
        <v>0</v>
      </c>
      <c r="LL244" s="13">
        <f>OCC_DAYS*$LB$41*R_NF_2023-LD244*MCD_SHARE_FREED*R_WAIT_2023</f>
        <v>113776.04162887059</v>
      </c>
      <c r="LM244">
        <f>IF($A244&lt;=$LB$45,1,0)</f>
        <v>0</v>
      </c>
      <c r="MB244">
        <f>IF($MB$31&lt;=$MB$32,IF($A244&lt;=$MB$7,1,2),IF($A244&lt;=RUNG_BEDS_2,2,1))</f>
        <v>1</v>
      </c>
      <c r="MC244" s="5">
        <f>MIN(1,MAX(0,$MB$26-($A244-1)))</f>
        <v>0</v>
      </c>
      <c r="MD244" s="5">
        <f>$MB$25*(MC244+(1-MC244)*$MB$16)</f>
        <v>0.0</v>
      </c>
      <c r="ME244" s="13">
        <f>MD244*($MB$6+ACUTE_MARGIN)</f>
        <v>0.0</v>
      </c>
      <c r="MF244" s="13">
        <f>IF(MB244=1,$MB$31,$MB$32)</f>
        <v>152394.16214437486</v>
      </c>
      <c r="MG244" s="13">
        <f>ME244-MF244</f>
        <v>-152394.16214437486</v>
      </c>
      <c r="MH244" s="13">
        <f>MH243+MG244</f>
        <v>7806234.46122966</v>
      </c>
      <c r="MI244">
        <f>IF(MH244=MAX($MH$83:$MH$483),$A244,0)</f>
        <v>0</v>
      </c>
      <c r="MJ244">
        <f>IF(ME244&lt;MF244,$A244,B_MAX+1)</f>
        <v>161</v>
      </c>
      <c r="MK244" s="13">
        <f>IF(MB244=1,$MB$35,$MB$36)</f>
        <v>0</v>
      </c>
      <c r="ML244" s="13">
        <f>OCC_DAYS*$MB$41*R_NF_2023-MD244*MCD_SHARE_FREED*R_WAIT_2023</f>
        <v>151980.48282209205</v>
      </c>
      <c r="MM244">
        <f>IF($A244&lt;=$MB$45,1,0)</f>
        <v>0</v>
      </c>
      <c r="NB244">
        <f>IF($NB$31&lt;=$NB$32,IF($A244&lt;=$NB$7,1,2),IF($A244&lt;=RUNG_BEDS_2,2,1))</f>
        <v>1</v>
      </c>
      <c r="NC244" s="5">
        <f>MIN(1,MAX(0,$NB$26-($A244-1)))</f>
        <v>0</v>
      </c>
      <c r="ND244" s="5">
        <f>$NB$25*(NC244+(1-NC244)*$NB$16)</f>
        <v>63.013306786703595</v>
      </c>
      <c r="NE244" s="13">
        <f>ND244*($NB$6+ACUTE_MARGIN)</f>
        <v>63643.43985457063</v>
      </c>
      <c r="NF244" s="13">
        <f>IF(NB244=1,$NB$31,$NB$32)</f>
        <v>152394.16214437486</v>
      </c>
      <c r="NG244" s="13">
        <f>NE244-NF244</f>
        <v>-88750.72228980422</v>
      </c>
      <c r="NH244" s="13">
        <f>NH243+NG244</f>
        <v>14382861.682545763</v>
      </c>
      <c r="NI244">
        <f>IF(NH244=MAX($NH$83:$NH$483),$A244,0)</f>
        <v>0</v>
      </c>
      <c r="NJ244">
        <f>IF(NE244&lt;NF244,$A244,B_MAX+1)</f>
        <v>161</v>
      </c>
      <c r="NK244" s="13">
        <f>IF(NB244=1,$NB$35,$NB$36)</f>
        <v>0</v>
      </c>
      <c r="NL244" s="13">
        <f>OCC_DAYS*$NB$41*R_NF_2023-ND244*MCD_SHARE_FREED*R_WAIT_2023</f>
        <v>123327.15192717595</v>
      </c>
      <c r="NM244">
        <f>IF($A244&lt;=$NB$45,1,0)</f>
        <v>0</v>
      </c>
      <c r="OB244">
        <f>IF($OB$31&lt;=$OB$32,IF($A244&lt;=$OB$7,1,2),IF($A244&lt;=RUNG_BEDS_2,2,1))</f>
        <v>1</v>
      </c>
      <c r="OC244" s="5">
        <f>MIN(1,MAX(0,$OB$26-($A244-1)))</f>
        <v>0</v>
      </c>
      <c r="OD244" s="5">
        <f>$OB$25*(OC244+(1-OC244)*$OB$16)</f>
        <v>126.02661357340719</v>
      </c>
      <c r="OE244" s="13">
        <f>OD244*($OB$6+ACUTE_MARGIN)</f>
        <v>127286.87970914126</v>
      </c>
      <c r="OF244" s="13">
        <f>IF(OB244=1,$OB$31,$OB$32)</f>
        <v>152394.16214437486</v>
      </c>
      <c r="OG244" s="13">
        <f>OE244-OF244</f>
        <v>-25107.282435233603</v>
      </c>
      <c r="OH244" s="13">
        <f>OH243+OG244</f>
        <v>15072212.842063582</v>
      </c>
      <c r="OI244">
        <f>IF(OH244=MAX($OH$83:$OH$483),$A244,0)</f>
        <v>0</v>
      </c>
      <c r="OJ244">
        <f>IF(OE244&lt;OF244,$A244,B_MAX+1)</f>
        <v>161</v>
      </c>
      <c r="OK244" s="13">
        <f>IF(OB244=1,$OB$35,$OB$36)</f>
        <v>0</v>
      </c>
      <c r="OL244" s="13">
        <f>OCC_DAYS*$OB$41*R_NF_2023-OD244*MCD_SHARE_FREED*R_WAIT_2023</f>
        <v>94673.82103225985</v>
      </c>
      <c r="OM244">
        <f>IF($A244&lt;=$OB$45,1,0)</f>
        <v>0</v>
      </c>
    </row>
    <row r="245">
      <c r="A245" t="n">
        <v>162</v>
      </c>
      <c r="B245">
        <f>IF($B$31&lt;=$B$32,IF($A245&lt;=$B$7,1,2),IF($A245&lt;=RUNG_BEDS_2,2,1))</f>
        <v>1</v>
      </c>
      <c r="C245" s="5">
        <f>MIN(1,MAX(0,$B$26-($A245-1)))</f>
        <v>0</v>
      </c>
      <c r="D245" s="5">
        <f>$B$25*(C245+(1-C245)*$B$16)</f>
        <v>0.0</v>
      </c>
      <c r="E245" s="13">
        <f>D245*($B$6+ACUTE_MARGIN)</f>
        <v>0.0</v>
      </c>
      <c r="F245" s="13">
        <f>IF(B245=1,$B$31,$B$32)</f>
        <v>152394.16214437486</v>
      </c>
      <c r="G245" s="13">
        <f>E245-F245</f>
        <v>-152394.16214437486</v>
      </c>
      <c r="H245" s="13">
        <f>H244+G245</f>
        <v>13541116.36088359</v>
      </c>
      <c r="I245">
        <f>IF(H245=MAX($H$83:$H$483),$A245,0)</f>
        <v>0</v>
      </c>
      <c r="J245">
        <f>IF(E245&lt;F245,$A245,B_MAX+1)</f>
        <v>162</v>
      </c>
      <c r="K245" s="13">
        <f>IF(B245=1,$B$35,$B$36)</f>
        <v>0</v>
      </c>
      <c r="L245" s="13">
        <f>OCC_DAYS*$B$41*R_NF_2023-D245*MCD_SHARE_FREED*R_WAIT_2023</f>
        <v>151980.48282209205</v>
      </c>
      <c r="M245">
        <f>IF($A245&lt;=$B$45,1,0)</f>
        <v>0</v>
      </c>
      <c r="AB245">
        <f>IF($AB$31&lt;=$AB$32,IF($A245&lt;=$AB$7,1,2),IF($A245&lt;=RUNG_BEDS_2,2,1))</f>
        <v>1</v>
      </c>
      <c r="AC245" s="5">
        <f>MIN(1,MAX(0,$AB$26-($A245-1)))</f>
        <v>0</v>
      </c>
      <c r="AD245" s="5">
        <f>$AB$25*(AC245+(1-AC245)*$AB$16)</f>
        <v>0.0</v>
      </c>
      <c r="AE245" s="13">
        <f>AD245*($AB$6+ACUTE_MARGIN)</f>
        <v>0.0</v>
      </c>
      <c r="AF245" s="13">
        <f>IF(AB245=1,$AB$31,$AB$32)</f>
        <v>152394.16214437486</v>
      </c>
      <c r="AG245" s="13">
        <f>AE245-AF245</f>
        <v>-152394.16214437486</v>
      </c>
      <c r="AH245" s="13">
        <f>AH244+AG245</f>
        <v>-3870097.9846662134</v>
      </c>
      <c r="AI245">
        <f>IF(AH245=MAX($AH$83:$AH$483),$A245,0)</f>
        <v>0</v>
      </c>
      <c r="AJ245">
        <f>IF(AE245&lt;AF245,$A245,B_MAX+1)</f>
        <v>162</v>
      </c>
      <c r="AK245" s="13">
        <f>IF(AB245=1,$AB$35,$AB$36)</f>
        <v>0</v>
      </c>
      <c r="AL245" s="13">
        <f>OCC_DAYS*$AB$41*R_NF_2023-AD245*MCD_SHARE_FREED*R_WAIT_2023</f>
        <v>151980.48282209205</v>
      </c>
      <c r="AM245">
        <f>IF($A245&lt;=$AB$45,1,0)</f>
        <v>0</v>
      </c>
      <c r="BB245">
        <f>IF($BB$31&lt;=$BB$32,IF($A245&lt;=$BB$7,1,2),IF($A245&lt;=RUNG_BEDS_2,2,1))</f>
        <v>1</v>
      </c>
      <c r="BC245" s="5">
        <f>MIN(1,MAX(0,$BB$26-($A245-1)))</f>
        <v>0</v>
      </c>
      <c r="BD245" s="5">
        <f>$BB$25*(BC245+(1-BC245)*$BB$16)</f>
        <v>0.0</v>
      </c>
      <c r="BE245" s="13">
        <f>BD245*($BB$6+ACUTE_MARGIN)</f>
        <v>0.0</v>
      </c>
      <c r="BF245" s="13">
        <f>IF(BB245=1,$BB$31,$BB$32)</f>
        <v>152394.16214437486</v>
      </c>
      <c r="BG245" s="13">
        <f>BE245-BF245</f>
        <v>-152394.16214437486</v>
      </c>
      <c r="BH245" s="13">
        <f>BH244+BG245</f>
        <v>30952330.70643325</v>
      </c>
      <c r="BI245">
        <f>IF(BH245=MAX($BH$83:$BH$483),$A245,0)</f>
        <v>0</v>
      </c>
      <c r="BJ245">
        <f>IF(BE245&lt;BF245,$A245,B_MAX+1)</f>
        <v>162</v>
      </c>
      <c r="BK245" s="13">
        <f>IF(BB245=1,$BB$35,$BB$36)</f>
        <v>0</v>
      </c>
      <c r="BL245" s="13">
        <f>OCC_DAYS*$BB$41*R_NF_2023-BD245*MCD_SHARE_FREED*R_WAIT_2023</f>
        <v>151980.48282209205</v>
      </c>
      <c r="BM245">
        <f>IF($A245&lt;=$BB$45,1,0)</f>
        <v>0</v>
      </c>
      <c r="CB245">
        <f>IF($CB$31&lt;=$CB$32,IF($A245&lt;=$CB$7,1,2),IF($A245&lt;=RUNG_BEDS_2,2,1))</f>
        <v>2</v>
      </c>
      <c r="CC245" s="5">
        <f>MIN(1,MAX(0,$CB$26-($A245-1)))</f>
        <v>0</v>
      </c>
      <c r="CD245" s="5">
        <f>$CB$25*(CC245+(1-CC245)*$CB$16)</f>
        <v>0.0</v>
      </c>
      <c r="CE245" s="13">
        <f>CD245*($CB$6+ACUTE_MARGIN)</f>
        <v>0.0</v>
      </c>
      <c r="CF245" s="13">
        <f>IF(CB245=1,$CB$31,$CB$32)</f>
        <v>160718.36940738867</v>
      </c>
      <c r="CG245" s="13">
        <f>CE245-CF245</f>
        <v>-160718.36940738867</v>
      </c>
      <c r="CH245" s="13">
        <f>CH244+CG245</f>
        <v>12192594.784275265</v>
      </c>
      <c r="CI245">
        <f>IF(CH245=MAX($CH$83:$CH$483),$A245,0)</f>
        <v>0</v>
      </c>
      <c r="CJ245">
        <f>IF(CE245&lt;CF245,$A245,B_MAX+1)</f>
        <v>162</v>
      </c>
      <c r="CK245" s="13">
        <f>IF(CB245=1,$CB$35,$CB$36)</f>
        <v>1560.1194073886782</v>
      </c>
      <c r="CL245" s="13">
        <f>OCC_DAYS*$CB$41*R_NF_2023-CD245*MCD_SHARE_FREED*R_WAIT_2023</f>
        <v>151980.48282209205</v>
      </c>
      <c r="CM245">
        <f>IF($A245&lt;=$CB$45,1,0)</f>
        <v>0</v>
      </c>
      <c r="DB245">
        <f>IF($DB$31&lt;=$DB$32,IF($A245&lt;=$DB$7,1,2),IF($A245&lt;=RUNG_BEDS_2,2,1))</f>
        <v>1</v>
      </c>
      <c r="DC245" s="5">
        <f>MIN(1,MAX(0,$DB$26-($A245-1)))</f>
        <v>0</v>
      </c>
      <c r="DD245" s="5">
        <f>$DB$25*(DC245+(1-DC245)*$DB$16)</f>
        <v>0.0</v>
      </c>
      <c r="DE245" s="13">
        <f>DD245*($DB$6+ACUTE_MARGIN)</f>
        <v>0.0</v>
      </c>
      <c r="DF245" s="13">
        <f>IF(DB245=1,$DB$31,$DB$32)</f>
        <v>152394.16214437486</v>
      </c>
      <c r="DG245" s="13">
        <f>DE245-DF245</f>
        <v>-152394.16214437486</v>
      </c>
      <c r="DH245" s="13">
        <f>DH244+DG245</f>
        <v>13541116.36088359</v>
      </c>
      <c r="DI245">
        <f>IF(DH245=MAX($DH$83:$DH$483),$A245,0)</f>
        <v>0</v>
      </c>
      <c r="DJ245">
        <f>IF(DE245&lt;DF245,$A245,B_MAX+1)</f>
        <v>162</v>
      </c>
      <c r="DK245" s="13">
        <f>IF(DB245=1,$DB$35,$DB$36)</f>
        <v>0</v>
      </c>
      <c r="DL245" s="13">
        <f>OCC_DAYS*$DB$41*R_NF_2023-DD245*MCD_SHARE_FREED*R_WAIT_2023</f>
        <v>151980.48282209205</v>
      </c>
      <c r="DM245">
        <f>IF($A245&lt;=$DB$45,1,0)</f>
        <v>0</v>
      </c>
      <c r="EB245">
        <f>IF($EB$31&lt;=$EB$32,IF($A245&lt;=$EB$7,1,2),IF($A245&lt;=RUNG_BEDS_2,2,1))</f>
        <v>1</v>
      </c>
      <c r="EC245" s="5">
        <f>MIN(1,MAX(0,$EB$26-($A245-1)))</f>
        <v>0</v>
      </c>
      <c r="ED245" s="5">
        <f>$EB$25*(EC245+(1-EC245)*$EB$16)</f>
        <v>0.0</v>
      </c>
      <c r="EE245" s="13">
        <f>ED245*($EB$6+ACUTE_MARGIN)</f>
        <v>0.0</v>
      </c>
      <c r="EF245" s="13">
        <f>IF(EB245=1,$EB$31,$EB$32)</f>
        <v>152394.16214437486</v>
      </c>
      <c r="EG245" s="13">
        <f>EE245-EF245</f>
        <v>-152394.16214437486</v>
      </c>
      <c r="EH245" s="13">
        <f>EH244+EG245</f>
        <v>13541116.36088359</v>
      </c>
      <c r="EI245">
        <f>IF(EH245=MAX($EH$83:$EH$483),$A245,0)</f>
        <v>0</v>
      </c>
      <c r="EJ245">
        <f>IF(EE245&lt;EF245,$A245,B_MAX+1)</f>
        <v>162</v>
      </c>
      <c r="EK245" s="13">
        <f>IF(EB245=1,$EB$35,$EB$36)</f>
        <v>0</v>
      </c>
      <c r="EL245" s="13">
        <f>OCC_DAYS*$EB$41*R_NF_2023-ED245*MCD_SHARE_FREED*R_WAIT_2023</f>
        <v>50660.16094069735</v>
      </c>
      <c r="EM245">
        <f>IF($A245&lt;=$EB$45,1,0)</f>
        <v>0</v>
      </c>
      <c r="FB245">
        <f>IF($FB$31&lt;=$FB$32,IF($A245&lt;=$FB$7,1,2),IF($A245&lt;=RUNG_BEDS_2,2,1))</f>
        <v>1</v>
      </c>
      <c r="FC245" s="5">
        <f>MIN(1,MAX(0,$FB$26-($A245-1)))</f>
        <v>0</v>
      </c>
      <c r="FD245" s="5">
        <f>$FB$25*(FC245+(1-FC245)*$FB$16)</f>
        <v>0.0</v>
      </c>
      <c r="FE245" s="13">
        <f>FD245*($FB$6+ACUTE_MARGIN)</f>
        <v>0.0</v>
      </c>
      <c r="FF245" s="13">
        <f>IF(FB245=1,$FB$31,$FB$32)</f>
        <v>156636.04979437485</v>
      </c>
      <c r="FG245" s="13">
        <f>FE245-FF245</f>
        <v>-156636.04979437485</v>
      </c>
      <c r="FH245" s="13">
        <f>FH244+FG245</f>
        <v>12853930.561583476</v>
      </c>
      <c r="FI245">
        <f>IF(FH245=MAX($FH$83:$FH$483),$A245,0)</f>
        <v>0</v>
      </c>
      <c r="FJ245">
        <f>IF(FE245&lt;FF245,$A245,B_MAX+1)</f>
        <v>162</v>
      </c>
      <c r="FK245" s="13">
        <f>IF(FB245=1,$FB$35,$FB$36)</f>
        <v>0</v>
      </c>
      <c r="FL245" s="13">
        <f>OCC_DAYS*$FB$41*R_NF_2023-FD245*MCD_SHARE_FREED*R_WAIT_2023</f>
        <v>151980.48282209205</v>
      </c>
      <c r="FM245">
        <f>IF($A245&lt;=$FB$45,1,0)</f>
        <v>0</v>
      </c>
      <c r="GB245">
        <f>IF($GB$31&lt;=$GB$32,IF($A245&lt;=$GB$7,1,2),IF($A245&lt;=RUNG_BEDS_2,2,1))</f>
        <v>1</v>
      </c>
      <c r="GC245" s="5">
        <f>MIN(1,MAX(0,$GB$26-($A245-1)))</f>
        <v>0</v>
      </c>
      <c r="GD245" s="5">
        <f>$GB$25*(GC245+(1-GC245)*$GB$16)</f>
        <v>0.0</v>
      </c>
      <c r="GE245" s="13">
        <f>GD245*($GB$6+ACUTE_MARGIN)</f>
        <v>0.0</v>
      </c>
      <c r="GF245" s="13">
        <f>IF(GB245=1,$GB$31,$GB$32)</f>
        <v>152394.16214437486</v>
      </c>
      <c r="GG245" s="13">
        <f>GE245-GF245</f>
        <v>-152394.16214437486</v>
      </c>
      <c r="GH245" s="13">
        <f>GH244+GG245</f>
        <v>13541116.36088359</v>
      </c>
      <c r="GI245">
        <f>IF(GH245=MAX($GH$83:$GH$483),$A245,0)</f>
        <v>0</v>
      </c>
      <c r="GJ245">
        <f>IF(GE245&lt;GF245,$A245,B_MAX+1)</f>
        <v>162</v>
      </c>
      <c r="GK245" s="13">
        <f>IF(GB245=1,$GB$35,$GB$36)</f>
        <v>0</v>
      </c>
      <c r="GL245" s="13">
        <f>OCC_DAYS*$GB$41*R_NF_2023-GD245*MCD_SHARE_FREED*R_WAIT_2023</f>
        <v>151980.48282209205</v>
      </c>
      <c r="GM245">
        <f>IF($A245&lt;=$GB$45,1,0)</f>
        <v>0</v>
      </c>
      <c r="HB245">
        <f>IF($HB$31&lt;=$HB$32,IF($A245&lt;=$HB$7,1,2),IF($A245&lt;=RUNG_BEDS_2,2,1))</f>
        <v>1</v>
      </c>
      <c r="HC245" s="5">
        <f>MIN(1,MAX(0,$HB$26-($A245-1)))</f>
        <v>0</v>
      </c>
      <c r="HD245" s="5">
        <f>$HB$25*(HC245+(1-HC245)*$HB$16)</f>
        <v>0.0</v>
      </c>
      <c r="HE245" s="13">
        <f>HD245*($HB$6+ACUTE_MARGIN)</f>
        <v>0.0</v>
      </c>
      <c r="HF245" s="13">
        <f>IF(HB245=1,$HB$31,$HB$32)</f>
        <v>152456.2970814058</v>
      </c>
      <c r="HG245" s="13">
        <f>HE245-HF245</f>
        <v>-152456.2970814058</v>
      </c>
      <c r="HH245" s="13">
        <f>HH244+HG245</f>
        <v>13531050.501084551</v>
      </c>
      <c r="HI245">
        <f>IF(HH245=MAX($HH$83:$HH$483),$A245,0)</f>
        <v>0</v>
      </c>
      <c r="HJ245">
        <f>IF(HE245&lt;HF245,$A245,B_MAX+1)</f>
        <v>162</v>
      </c>
      <c r="HK245" s="13">
        <f>IF(HB245=1,$HB$35,$HB$36)</f>
        <v>0</v>
      </c>
      <c r="HL245" s="13">
        <f>OCC_DAYS*$HB$41*R_NF_2023-HD245*MCD_SHARE_FREED*R_WAIT_2023</f>
        <v>151980.48282209205</v>
      </c>
      <c r="HM245">
        <f>IF($A245&lt;=$HB$45,1,0)</f>
        <v>0</v>
      </c>
      <c r="IB245">
        <f>IF($IB$31&lt;=$IB$32,IF($A245&lt;=$IB$7,1,2),IF($A245&lt;=RUNG_BEDS_2,2,1))</f>
        <v>1</v>
      </c>
      <c r="IC245" s="5">
        <f>MIN(1,MAX(0,$IB$26-($A245-1)))</f>
        <v>0</v>
      </c>
      <c r="ID245" s="5">
        <f>$IB$25*(IC245+(1-IC245)*$IB$16)</f>
        <v>0.0</v>
      </c>
      <c r="IE245" s="13">
        <f>ID245*($IB$6+ACUTE_MARGIN)</f>
        <v>0.0</v>
      </c>
      <c r="IF245" s="13">
        <f>IF(IB245=1,$IB$31,$IB$32)</f>
        <v>152734.9994534971</v>
      </c>
      <c r="IG245" s="13">
        <f>IE245-IF245</f>
        <v>-152734.9994534971</v>
      </c>
      <c r="IH245" s="13">
        <f>IH244+IG245</f>
        <v>13485900.716805683</v>
      </c>
      <c r="II245">
        <f>IF(IH245=MAX($IH$83:$IH$483),$A245,0)</f>
        <v>0</v>
      </c>
      <c r="IJ245">
        <f>IF(IE245&lt;IF245,$A245,B_MAX+1)</f>
        <v>162</v>
      </c>
      <c r="IK245" s="13">
        <f>IF(IB245=1,$IB$35,$IB$36)</f>
        <v>0</v>
      </c>
      <c r="IL245" s="13">
        <f>OCC_DAYS*$IB$41*R_NF_2023-ID245*MCD_SHARE_FREED*R_WAIT_2023</f>
        <v>151980.48282209205</v>
      </c>
      <c r="IM245">
        <f>IF($A245&lt;=$IB$45,1,0)</f>
        <v>0</v>
      </c>
      <c r="JB245">
        <f>IF($JB$31&lt;=$JB$32,IF($A245&lt;=$JB$7,1,2),IF($A245&lt;=RUNG_BEDS_2,2,1))</f>
        <v>1</v>
      </c>
      <c r="JC245" s="5">
        <f>MIN(1,MAX(0,$JB$26-($A245-1)))</f>
        <v>0</v>
      </c>
      <c r="JD245" s="5">
        <f>$JB$25*(JC245+(1-JC245)*$JB$16)</f>
        <v>0.0</v>
      </c>
      <c r="JE245" s="13">
        <f>JD245*($JB$6+ACUTE_MARGIN)</f>
        <v>0.0</v>
      </c>
      <c r="JF245" s="13">
        <f>IF(JB245=1,$JB$31,$JB$32)</f>
        <v>152394.16214437486</v>
      </c>
      <c r="JG245" s="13">
        <f>JE245-JF245</f>
        <v>-152394.16214437486</v>
      </c>
      <c r="JH245" s="13">
        <f>JH244+JG245</f>
        <v>13541116.36088359</v>
      </c>
      <c r="JI245">
        <f>IF(JH245=MAX($JH$83:$JH$483),$A245,0)</f>
        <v>0</v>
      </c>
      <c r="JJ245">
        <f>IF(JE245&lt;JF245,$A245,B_MAX+1)</f>
        <v>162</v>
      </c>
      <c r="JK245" s="13">
        <f>IF(JB245=1,$JB$35,$JB$36)</f>
        <v>0</v>
      </c>
      <c r="JL245" s="13">
        <f>OCC_DAYS*$JB$41*R_NF_2023-JD245*MCD_SHARE_FREED*R_WAIT_2023</f>
        <v>151980.48282209205</v>
      </c>
      <c r="JM245">
        <f>IF($A245&lt;=$JB$45,1,0)</f>
        <v>0</v>
      </c>
      <c r="KB245">
        <f>IF($KB$31&lt;=$KB$32,IF($A245&lt;=$KB$7,1,2),IF($A245&lt;=RUNG_BEDS_2,2,1))</f>
        <v>1</v>
      </c>
      <c r="KC245" s="5">
        <f>MIN(1,MAX(0,$KB$26-($A245-1)))</f>
        <v>1</v>
      </c>
      <c r="KD245" s="5">
        <f>$KB$25*(KC245+(1-KC245)*$KB$16)</f>
        <v>126.02661357340719</v>
      </c>
      <c r="KE245" s="13">
        <f>KD245*($KB$6+ACUTE_MARGIN)</f>
        <v>127286.87970914126</v>
      </c>
      <c r="KF245" s="13">
        <f>IF(KB245=1,$KB$31,$KB$32)</f>
        <v>152394.16214437486</v>
      </c>
      <c r="KG245" s="13">
        <f>KE245-KF245</f>
        <v>-25107.282435233603</v>
      </c>
      <c r="KH245" s="13">
        <f>KH244+KG245</f>
        <v>-4067379.7545078555</v>
      </c>
      <c r="KI245">
        <f>IF(KH245=MAX($KH$83:$KH$483),$A245,0)</f>
        <v>0</v>
      </c>
      <c r="KJ245">
        <f>IF(KE245&lt;KF245,$A245,B_MAX+1)</f>
        <v>162</v>
      </c>
      <c r="KK245" s="13">
        <f>IF(KB245=1,$KB$35,$KB$36)</f>
        <v>0</v>
      </c>
      <c r="KL245" s="13">
        <f>OCC_DAYS*$KB$41*R_NF_2023-KD245*MCD_SHARE_FREED*R_WAIT_2023</f>
        <v>94673.82103225985</v>
      </c>
      <c r="KM245">
        <f>IF($A245&lt;=$KB$45,1,0)</f>
        <v>0</v>
      </c>
      <c r="LB245">
        <f>IF($LB$31&lt;=$LB$32,IF($A245&lt;=$LB$7,1,2),IF($A245&lt;=RUNG_BEDS_2,2,1))</f>
        <v>1</v>
      </c>
      <c r="LC245" s="5">
        <f>MIN(1,MAX(0,$LB$26-($A245-1)))</f>
        <v>1</v>
      </c>
      <c r="LD245" s="5">
        <f>$LB$25*(LC245+(1-LC245)*$LB$16)</f>
        <v>84.01774238227146</v>
      </c>
      <c r="LE245" s="13">
        <f>LD245*($LB$6+ACUTE_MARGIN)</f>
        <v>84857.91980609419</v>
      </c>
      <c r="LF245" s="13">
        <f>IF(LB245=1,$LB$31,$LB$32)</f>
        <v>152394.16214437486</v>
      </c>
      <c r="LG245" s="13">
        <f>LE245-LF245</f>
        <v>-67536.24233828067</v>
      </c>
      <c r="LH245" s="13">
        <f>LH244+LG245</f>
        <v>-10940871.258801512</v>
      </c>
      <c r="LI245">
        <f>IF(LH245=MAX($LH$83:$LH$483),$A245,0)</f>
        <v>0</v>
      </c>
      <c r="LJ245">
        <f>IF(LE245&lt;LF245,$A245,B_MAX+1)</f>
        <v>162</v>
      </c>
      <c r="LK245" s="13">
        <f>IF(LB245=1,$LB$35,$LB$36)</f>
        <v>0</v>
      </c>
      <c r="LL245" s="13">
        <f>OCC_DAYS*$LB$41*R_NF_2023-LD245*MCD_SHARE_FREED*R_WAIT_2023</f>
        <v>113776.04162887059</v>
      </c>
      <c r="LM245">
        <f>IF($A245&lt;=$LB$45,1,0)</f>
        <v>0</v>
      </c>
      <c r="MB245">
        <f>IF($MB$31&lt;=$MB$32,IF($A245&lt;=$MB$7,1,2),IF($A245&lt;=RUNG_BEDS_2,2,1))</f>
        <v>1</v>
      </c>
      <c r="MC245" s="5">
        <f>MIN(1,MAX(0,$MB$26-($A245-1)))</f>
        <v>0</v>
      </c>
      <c r="MD245" s="5">
        <f>$MB$25*(MC245+(1-MC245)*$MB$16)</f>
        <v>0.0</v>
      </c>
      <c r="ME245" s="13">
        <f>MD245*($MB$6+ACUTE_MARGIN)</f>
        <v>0.0</v>
      </c>
      <c r="MF245" s="13">
        <f>IF(MB245=1,$MB$31,$MB$32)</f>
        <v>152394.16214437486</v>
      </c>
      <c r="MG245" s="13">
        <f>ME245-MF245</f>
        <v>-152394.16214437486</v>
      </c>
      <c r="MH245" s="13">
        <f>MH244+MG245</f>
        <v>7653840.299085285</v>
      </c>
      <c r="MI245">
        <f>IF(MH245=MAX($MH$83:$MH$483),$A245,0)</f>
        <v>0</v>
      </c>
      <c r="MJ245">
        <f>IF(ME245&lt;MF245,$A245,B_MAX+1)</f>
        <v>162</v>
      </c>
      <c r="MK245" s="13">
        <f>IF(MB245=1,$MB$35,$MB$36)</f>
        <v>0</v>
      </c>
      <c r="ML245" s="13">
        <f>OCC_DAYS*$MB$41*R_NF_2023-MD245*MCD_SHARE_FREED*R_WAIT_2023</f>
        <v>151980.48282209205</v>
      </c>
      <c r="MM245">
        <f>IF($A245&lt;=$MB$45,1,0)</f>
        <v>0</v>
      </c>
      <c r="NB245">
        <f>IF($NB$31&lt;=$NB$32,IF($A245&lt;=$NB$7,1,2),IF($A245&lt;=RUNG_BEDS_2,2,1))</f>
        <v>1</v>
      </c>
      <c r="NC245" s="5">
        <f>MIN(1,MAX(0,$NB$26-($A245-1)))</f>
        <v>0</v>
      </c>
      <c r="ND245" s="5">
        <f>$NB$25*(NC245+(1-NC245)*$NB$16)</f>
        <v>63.013306786703595</v>
      </c>
      <c r="NE245" s="13">
        <f>ND245*($NB$6+ACUTE_MARGIN)</f>
        <v>63643.43985457063</v>
      </c>
      <c r="NF245" s="13">
        <f>IF(NB245=1,$NB$31,$NB$32)</f>
        <v>152394.16214437486</v>
      </c>
      <c r="NG245" s="13">
        <f>NE245-NF245</f>
        <v>-88750.72228980422</v>
      </c>
      <c r="NH245" s="13">
        <f>NH244+NG245</f>
        <v>14294110.960255958</v>
      </c>
      <c r="NI245">
        <f>IF(NH245=MAX($NH$83:$NH$483),$A245,0)</f>
        <v>0</v>
      </c>
      <c r="NJ245">
        <f>IF(NE245&lt;NF245,$A245,B_MAX+1)</f>
        <v>162</v>
      </c>
      <c r="NK245" s="13">
        <f>IF(NB245=1,$NB$35,$NB$36)</f>
        <v>0</v>
      </c>
      <c r="NL245" s="13">
        <f>OCC_DAYS*$NB$41*R_NF_2023-ND245*MCD_SHARE_FREED*R_WAIT_2023</f>
        <v>123327.15192717595</v>
      </c>
      <c r="NM245">
        <f>IF($A245&lt;=$NB$45,1,0)</f>
        <v>0</v>
      </c>
      <c r="OB245">
        <f>IF($OB$31&lt;=$OB$32,IF($A245&lt;=$OB$7,1,2),IF($A245&lt;=RUNG_BEDS_2,2,1))</f>
        <v>1</v>
      </c>
      <c r="OC245" s="5">
        <f>MIN(1,MAX(0,$OB$26-($A245-1)))</f>
        <v>0</v>
      </c>
      <c r="OD245" s="5">
        <f>$OB$25*(OC245+(1-OC245)*$OB$16)</f>
        <v>126.02661357340719</v>
      </c>
      <c r="OE245" s="13">
        <f>OD245*($OB$6+ACUTE_MARGIN)</f>
        <v>127286.87970914126</v>
      </c>
      <c r="OF245" s="13">
        <f>IF(OB245=1,$OB$31,$OB$32)</f>
        <v>152394.16214437486</v>
      </c>
      <c r="OG245" s="13">
        <f>OE245-OF245</f>
        <v>-25107.282435233603</v>
      </c>
      <c r="OH245" s="13">
        <f>OH244+OG245</f>
        <v>15047105.559628349</v>
      </c>
      <c r="OI245">
        <f>IF(OH245=MAX($OH$83:$OH$483),$A245,0)</f>
        <v>0</v>
      </c>
      <c r="OJ245">
        <f>IF(OE245&lt;OF245,$A245,B_MAX+1)</f>
        <v>162</v>
      </c>
      <c r="OK245" s="13">
        <f>IF(OB245=1,$OB$35,$OB$36)</f>
        <v>0</v>
      </c>
      <c r="OL245" s="13">
        <f>OCC_DAYS*$OB$41*R_NF_2023-OD245*MCD_SHARE_FREED*R_WAIT_2023</f>
        <v>94673.82103225985</v>
      </c>
      <c r="OM245">
        <f>IF($A245&lt;=$OB$45,1,0)</f>
        <v>0</v>
      </c>
    </row>
    <row r="246">
      <c r="A246" t="n">
        <v>163</v>
      </c>
      <c r="B246">
        <f>IF($B$31&lt;=$B$32,IF($A246&lt;=$B$7,1,2),IF($A246&lt;=RUNG_BEDS_2,2,1))</f>
        <v>1</v>
      </c>
      <c r="C246" s="5">
        <f>MIN(1,MAX(0,$B$26-($A246-1)))</f>
        <v>0</v>
      </c>
      <c r="D246" s="5">
        <f>$B$25*(C246+(1-C246)*$B$16)</f>
        <v>0.0</v>
      </c>
      <c r="E246" s="13">
        <f>D246*($B$6+ACUTE_MARGIN)</f>
        <v>0.0</v>
      </c>
      <c r="F246" s="13">
        <f>IF(B246=1,$B$31,$B$32)</f>
        <v>152394.16214437486</v>
      </c>
      <c r="G246" s="13">
        <f>E246-F246</f>
        <v>-152394.16214437486</v>
      </c>
      <c r="H246" s="13">
        <f>H245+G246</f>
        <v>13388722.198739216</v>
      </c>
      <c r="I246">
        <f>IF(H246=MAX($H$83:$H$483),$A246,0)</f>
        <v>0</v>
      </c>
      <c r="J246">
        <f>IF(E246&lt;F246,$A246,B_MAX+1)</f>
        <v>163</v>
      </c>
      <c r="K246" s="13">
        <f>IF(B246=1,$B$35,$B$36)</f>
        <v>0</v>
      </c>
      <c r="L246" s="13">
        <f>OCC_DAYS*$B$41*R_NF_2023-D246*MCD_SHARE_FREED*R_WAIT_2023</f>
        <v>151980.48282209205</v>
      </c>
      <c r="M246">
        <f>IF($A246&lt;=$B$45,1,0)</f>
        <v>0</v>
      </c>
      <c r="AB246">
        <f>IF($AB$31&lt;=$AB$32,IF($A246&lt;=$AB$7,1,2),IF($A246&lt;=RUNG_BEDS_2,2,1))</f>
        <v>1</v>
      </c>
      <c r="AC246" s="5">
        <f>MIN(1,MAX(0,$AB$26-($A246-1)))</f>
        <v>0</v>
      </c>
      <c r="AD246" s="5">
        <f>$AB$25*(AC246+(1-AC246)*$AB$16)</f>
        <v>0.0</v>
      </c>
      <c r="AE246" s="13">
        <f>AD246*($AB$6+ACUTE_MARGIN)</f>
        <v>0.0</v>
      </c>
      <c r="AF246" s="13">
        <f>IF(AB246=1,$AB$31,$AB$32)</f>
        <v>152394.16214437486</v>
      </c>
      <c r="AG246" s="13">
        <f>AE246-AF246</f>
        <v>-152394.16214437486</v>
      </c>
      <c r="AH246" s="13">
        <f>AH245+AG246</f>
        <v>-4022492.1468105884</v>
      </c>
      <c r="AI246">
        <f>IF(AH246=MAX($AH$83:$AH$483),$A246,0)</f>
        <v>0</v>
      </c>
      <c r="AJ246">
        <f>IF(AE246&lt;AF246,$A246,B_MAX+1)</f>
        <v>163</v>
      </c>
      <c r="AK246" s="13">
        <f>IF(AB246=1,$AB$35,$AB$36)</f>
        <v>0</v>
      </c>
      <c r="AL246" s="13">
        <f>OCC_DAYS*$AB$41*R_NF_2023-AD246*MCD_SHARE_FREED*R_WAIT_2023</f>
        <v>151980.48282209205</v>
      </c>
      <c r="AM246">
        <f>IF($A246&lt;=$AB$45,1,0)</f>
        <v>0</v>
      </c>
      <c r="BB246">
        <f>IF($BB$31&lt;=$BB$32,IF($A246&lt;=$BB$7,1,2),IF($A246&lt;=RUNG_BEDS_2,2,1))</f>
        <v>1</v>
      </c>
      <c r="BC246" s="5">
        <f>MIN(1,MAX(0,$BB$26-($A246-1)))</f>
        <v>0</v>
      </c>
      <c r="BD246" s="5">
        <f>$BB$25*(BC246+(1-BC246)*$BB$16)</f>
        <v>0.0</v>
      </c>
      <c r="BE246" s="13">
        <f>BD246*($BB$6+ACUTE_MARGIN)</f>
        <v>0.0</v>
      </c>
      <c r="BF246" s="13">
        <f>IF(BB246=1,$BB$31,$BB$32)</f>
        <v>152394.16214437486</v>
      </c>
      <c r="BG246" s="13">
        <f>BE246-BF246</f>
        <v>-152394.16214437486</v>
      </c>
      <c r="BH246" s="13">
        <f>BH245+BG246</f>
        <v>30799936.544288877</v>
      </c>
      <c r="BI246">
        <f>IF(BH246=MAX($BH$83:$BH$483),$A246,0)</f>
        <v>0</v>
      </c>
      <c r="BJ246">
        <f>IF(BE246&lt;BF246,$A246,B_MAX+1)</f>
        <v>163</v>
      </c>
      <c r="BK246" s="13">
        <f>IF(BB246=1,$BB$35,$BB$36)</f>
        <v>0</v>
      </c>
      <c r="BL246" s="13">
        <f>OCC_DAYS*$BB$41*R_NF_2023-BD246*MCD_SHARE_FREED*R_WAIT_2023</f>
        <v>151980.48282209205</v>
      </c>
      <c r="BM246">
        <f>IF($A246&lt;=$BB$45,1,0)</f>
        <v>0</v>
      </c>
      <c r="CB246">
        <f>IF($CB$31&lt;=$CB$32,IF($A246&lt;=$CB$7,1,2),IF($A246&lt;=RUNG_BEDS_2,2,1))</f>
        <v>2</v>
      </c>
      <c r="CC246" s="5">
        <f>MIN(1,MAX(0,$CB$26-($A246-1)))</f>
        <v>0</v>
      </c>
      <c r="CD246" s="5">
        <f>$CB$25*(CC246+(1-CC246)*$CB$16)</f>
        <v>0.0</v>
      </c>
      <c r="CE246" s="13">
        <f>CD246*($CB$6+ACUTE_MARGIN)</f>
        <v>0.0</v>
      </c>
      <c r="CF246" s="13">
        <f>IF(CB246=1,$CB$31,$CB$32)</f>
        <v>160718.36940738867</v>
      </c>
      <c r="CG246" s="13">
        <f>CE246-CF246</f>
        <v>-160718.36940738867</v>
      </c>
      <c r="CH246" s="13">
        <f>CH245+CG246</f>
        <v>12031876.414867876</v>
      </c>
      <c r="CI246">
        <f>IF(CH246=MAX($CH$83:$CH$483),$A246,0)</f>
        <v>0</v>
      </c>
      <c r="CJ246">
        <f>IF(CE246&lt;CF246,$A246,B_MAX+1)</f>
        <v>163</v>
      </c>
      <c r="CK246" s="13">
        <f>IF(CB246=1,$CB$35,$CB$36)</f>
        <v>1560.1194073886782</v>
      </c>
      <c r="CL246" s="13">
        <f>OCC_DAYS*$CB$41*R_NF_2023-CD246*MCD_SHARE_FREED*R_WAIT_2023</f>
        <v>151980.48282209205</v>
      </c>
      <c r="CM246">
        <f>IF($A246&lt;=$CB$45,1,0)</f>
        <v>0</v>
      </c>
      <c r="DB246">
        <f>IF($DB$31&lt;=$DB$32,IF($A246&lt;=$DB$7,1,2),IF($A246&lt;=RUNG_BEDS_2,2,1))</f>
        <v>1</v>
      </c>
      <c r="DC246" s="5">
        <f>MIN(1,MAX(0,$DB$26-($A246-1)))</f>
        <v>0</v>
      </c>
      <c r="DD246" s="5">
        <f>$DB$25*(DC246+(1-DC246)*$DB$16)</f>
        <v>0.0</v>
      </c>
      <c r="DE246" s="13">
        <f>DD246*($DB$6+ACUTE_MARGIN)</f>
        <v>0.0</v>
      </c>
      <c r="DF246" s="13">
        <f>IF(DB246=1,$DB$31,$DB$32)</f>
        <v>152394.16214437486</v>
      </c>
      <c r="DG246" s="13">
        <f>DE246-DF246</f>
        <v>-152394.16214437486</v>
      </c>
      <c r="DH246" s="13">
        <f>DH245+DG246</f>
        <v>13388722.198739216</v>
      </c>
      <c r="DI246">
        <f>IF(DH246=MAX($DH$83:$DH$483),$A246,0)</f>
        <v>0</v>
      </c>
      <c r="DJ246">
        <f>IF(DE246&lt;DF246,$A246,B_MAX+1)</f>
        <v>163</v>
      </c>
      <c r="DK246" s="13">
        <f>IF(DB246=1,$DB$35,$DB$36)</f>
        <v>0</v>
      </c>
      <c r="DL246" s="13">
        <f>OCC_DAYS*$DB$41*R_NF_2023-DD246*MCD_SHARE_FREED*R_WAIT_2023</f>
        <v>151980.48282209205</v>
      </c>
      <c r="DM246">
        <f>IF($A246&lt;=$DB$45,1,0)</f>
        <v>0</v>
      </c>
      <c r="EB246">
        <f>IF($EB$31&lt;=$EB$32,IF($A246&lt;=$EB$7,1,2),IF($A246&lt;=RUNG_BEDS_2,2,1))</f>
        <v>1</v>
      </c>
      <c r="EC246" s="5">
        <f>MIN(1,MAX(0,$EB$26-($A246-1)))</f>
        <v>0</v>
      </c>
      <c r="ED246" s="5">
        <f>$EB$25*(EC246+(1-EC246)*$EB$16)</f>
        <v>0.0</v>
      </c>
      <c r="EE246" s="13">
        <f>ED246*($EB$6+ACUTE_MARGIN)</f>
        <v>0.0</v>
      </c>
      <c r="EF246" s="13">
        <f>IF(EB246=1,$EB$31,$EB$32)</f>
        <v>152394.16214437486</v>
      </c>
      <c r="EG246" s="13">
        <f>EE246-EF246</f>
        <v>-152394.16214437486</v>
      </c>
      <c r="EH246" s="13">
        <f>EH245+EG246</f>
        <v>13388722.198739216</v>
      </c>
      <c r="EI246">
        <f>IF(EH246=MAX($EH$83:$EH$483),$A246,0)</f>
        <v>0</v>
      </c>
      <c r="EJ246">
        <f>IF(EE246&lt;EF246,$A246,B_MAX+1)</f>
        <v>163</v>
      </c>
      <c r="EK246" s="13">
        <f>IF(EB246=1,$EB$35,$EB$36)</f>
        <v>0</v>
      </c>
      <c r="EL246" s="13">
        <f>OCC_DAYS*$EB$41*R_NF_2023-ED246*MCD_SHARE_FREED*R_WAIT_2023</f>
        <v>50660.16094069735</v>
      </c>
      <c r="EM246">
        <f>IF($A246&lt;=$EB$45,1,0)</f>
        <v>0</v>
      </c>
      <c r="FB246">
        <f>IF($FB$31&lt;=$FB$32,IF($A246&lt;=$FB$7,1,2),IF($A246&lt;=RUNG_BEDS_2,2,1))</f>
        <v>1</v>
      </c>
      <c r="FC246" s="5">
        <f>MIN(1,MAX(0,$FB$26-($A246-1)))</f>
        <v>0</v>
      </c>
      <c r="FD246" s="5">
        <f>$FB$25*(FC246+(1-FC246)*$FB$16)</f>
        <v>0.0</v>
      </c>
      <c r="FE246" s="13">
        <f>FD246*($FB$6+ACUTE_MARGIN)</f>
        <v>0.0</v>
      </c>
      <c r="FF246" s="13">
        <f>IF(FB246=1,$FB$31,$FB$32)</f>
        <v>156636.04979437485</v>
      </c>
      <c r="FG246" s="13">
        <f>FE246-FF246</f>
        <v>-156636.04979437485</v>
      </c>
      <c r="FH246" s="13">
        <f>FH245+FG246</f>
        <v>12697294.511789102</v>
      </c>
      <c r="FI246">
        <f>IF(FH246=MAX($FH$83:$FH$483),$A246,0)</f>
        <v>0</v>
      </c>
      <c r="FJ246">
        <f>IF(FE246&lt;FF246,$A246,B_MAX+1)</f>
        <v>163</v>
      </c>
      <c r="FK246" s="13">
        <f>IF(FB246=1,$FB$35,$FB$36)</f>
        <v>0</v>
      </c>
      <c r="FL246" s="13">
        <f>OCC_DAYS*$FB$41*R_NF_2023-FD246*MCD_SHARE_FREED*R_WAIT_2023</f>
        <v>151980.48282209205</v>
      </c>
      <c r="FM246">
        <f>IF($A246&lt;=$FB$45,1,0)</f>
        <v>0</v>
      </c>
      <c r="GB246">
        <f>IF($GB$31&lt;=$GB$32,IF($A246&lt;=$GB$7,1,2),IF($A246&lt;=RUNG_BEDS_2,2,1))</f>
        <v>1</v>
      </c>
      <c r="GC246" s="5">
        <f>MIN(1,MAX(0,$GB$26-($A246-1)))</f>
        <v>0</v>
      </c>
      <c r="GD246" s="5">
        <f>$GB$25*(GC246+(1-GC246)*$GB$16)</f>
        <v>0.0</v>
      </c>
      <c r="GE246" s="13">
        <f>GD246*($GB$6+ACUTE_MARGIN)</f>
        <v>0.0</v>
      </c>
      <c r="GF246" s="13">
        <f>IF(GB246=1,$GB$31,$GB$32)</f>
        <v>152394.16214437486</v>
      </c>
      <c r="GG246" s="13">
        <f>GE246-GF246</f>
        <v>-152394.16214437486</v>
      </c>
      <c r="GH246" s="13">
        <f>GH245+GG246</f>
        <v>13388722.198739216</v>
      </c>
      <c r="GI246">
        <f>IF(GH246=MAX($GH$83:$GH$483),$A246,0)</f>
        <v>0</v>
      </c>
      <c r="GJ246">
        <f>IF(GE246&lt;GF246,$A246,B_MAX+1)</f>
        <v>163</v>
      </c>
      <c r="GK246" s="13">
        <f>IF(GB246=1,$GB$35,$GB$36)</f>
        <v>0</v>
      </c>
      <c r="GL246" s="13">
        <f>OCC_DAYS*$GB$41*R_NF_2023-GD246*MCD_SHARE_FREED*R_WAIT_2023</f>
        <v>151980.48282209205</v>
      </c>
      <c r="GM246">
        <f>IF($A246&lt;=$GB$45,1,0)</f>
        <v>0</v>
      </c>
      <c r="HB246">
        <f>IF($HB$31&lt;=$HB$32,IF($A246&lt;=$HB$7,1,2),IF($A246&lt;=RUNG_BEDS_2,2,1))</f>
        <v>1</v>
      </c>
      <c r="HC246" s="5">
        <f>MIN(1,MAX(0,$HB$26-($A246-1)))</f>
        <v>0</v>
      </c>
      <c r="HD246" s="5">
        <f>$HB$25*(HC246+(1-HC246)*$HB$16)</f>
        <v>0.0</v>
      </c>
      <c r="HE246" s="13">
        <f>HD246*($HB$6+ACUTE_MARGIN)</f>
        <v>0.0</v>
      </c>
      <c r="HF246" s="13">
        <f>IF(HB246=1,$HB$31,$HB$32)</f>
        <v>152456.2970814058</v>
      </c>
      <c r="HG246" s="13">
        <f>HE246-HF246</f>
        <v>-152456.2970814058</v>
      </c>
      <c r="HH246" s="13">
        <f>HH245+HG246</f>
        <v>13378594.204003146</v>
      </c>
      <c r="HI246">
        <f>IF(HH246=MAX($HH$83:$HH$483),$A246,0)</f>
        <v>0</v>
      </c>
      <c r="HJ246">
        <f>IF(HE246&lt;HF246,$A246,B_MAX+1)</f>
        <v>163</v>
      </c>
      <c r="HK246" s="13">
        <f>IF(HB246=1,$HB$35,$HB$36)</f>
        <v>0</v>
      </c>
      <c r="HL246" s="13">
        <f>OCC_DAYS*$HB$41*R_NF_2023-HD246*MCD_SHARE_FREED*R_WAIT_2023</f>
        <v>151980.48282209205</v>
      </c>
      <c r="HM246">
        <f>IF($A246&lt;=$HB$45,1,0)</f>
        <v>0</v>
      </c>
      <c r="IB246">
        <f>IF($IB$31&lt;=$IB$32,IF($A246&lt;=$IB$7,1,2),IF($A246&lt;=RUNG_BEDS_2,2,1))</f>
        <v>1</v>
      </c>
      <c r="IC246" s="5">
        <f>MIN(1,MAX(0,$IB$26-($A246-1)))</f>
        <v>0</v>
      </c>
      <c r="ID246" s="5">
        <f>$IB$25*(IC246+(1-IC246)*$IB$16)</f>
        <v>0.0</v>
      </c>
      <c r="IE246" s="13">
        <f>ID246*($IB$6+ACUTE_MARGIN)</f>
        <v>0.0</v>
      </c>
      <c r="IF246" s="13">
        <f>IF(IB246=1,$IB$31,$IB$32)</f>
        <v>152734.9994534971</v>
      </c>
      <c r="IG246" s="13">
        <f>IE246-IF246</f>
        <v>-152734.9994534971</v>
      </c>
      <c r="IH246" s="13">
        <f>IH245+IG246</f>
        <v>13333165.717352187</v>
      </c>
      <c r="II246">
        <f>IF(IH246=MAX($IH$83:$IH$483),$A246,0)</f>
        <v>0</v>
      </c>
      <c r="IJ246">
        <f>IF(IE246&lt;IF246,$A246,B_MAX+1)</f>
        <v>163</v>
      </c>
      <c r="IK246" s="13">
        <f>IF(IB246=1,$IB$35,$IB$36)</f>
        <v>0</v>
      </c>
      <c r="IL246" s="13">
        <f>OCC_DAYS*$IB$41*R_NF_2023-ID246*MCD_SHARE_FREED*R_WAIT_2023</f>
        <v>151980.48282209205</v>
      </c>
      <c r="IM246">
        <f>IF($A246&lt;=$IB$45,1,0)</f>
        <v>0</v>
      </c>
      <c r="JB246">
        <f>IF($JB$31&lt;=$JB$32,IF($A246&lt;=$JB$7,1,2),IF($A246&lt;=RUNG_BEDS_2,2,1))</f>
        <v>1</v>
      </c>
      <c r="JC246" s="5">
        <f>MIN(1,MAX(0,$JB$26-($A246-1)))</f>
        <v>0</v>
      </c>
      <c r="JD246" s="5">
        <f>$JB$25*(JC246+(1-JC246)*$JB$16)</f>
        <v>0.0</v>
      </c>
      <c r="JE246" s="13">
        <f>JD246*($JB$6+ACUTE_MARGIN)</f>
        <v>0.0</v>
      </c>
      <c r="JF246" s="13">
        <f>IF(JB246=1,$JB$31,$JB$32)</f>
        <v>152394.16214437486</v>
      </c>
      <c r="JG246" s="13">
        <f>JE246-JF246</f>
        <v>-152394.16214437486</v>
      </c>
      <c r="JH246" s="13">
        <f>JH245+JG246</f>
        <v>13388722.198739216</v>
      </c>
      <c r="JI246">
        <f>IF(JH246=MAX($JH$83:$JH$483),$A246,0)</f>
        <v>0</v>
      </c>
      <c r="JJ246">
        <f>IF(JE246&lt;JF246,$A246,B_MAX+1)</f>
        <v>163</v>
      </c>
      <c r="JK246" s="13">
        <f>IF(JB246=1,$JB$35,$JB$36)</f>
        <v>0</v>
      </c>
      <c r="JL246" s="13">
        <f>OCC_DAYS*$JB$41*R_NF_2023-JD246*MCD_SHARE_FREED*R_WAIT_2023</f>
        <v>151980.48282209205</v>
      </c>
      <c r="JM246">
        <f>IF($A246&lt;=$JB$45,1,0)</f>
        <v>0</v>
      </c>
      <c r="KB246">
        <f>IF($KB$31&lt;=$KB$32,IF($A246&lt;=$KB$7,1,2),IF($A246&lt;=RUNG_BEDS_2,2,1))</f>
        <v>1</v>
      </c>
      <c r="KC246" s="5">
        <f>MIN(1,MAX(0,$KB$26-($A246-1)))</f>
        <v>1</v>
      </c>
      <c r="KD246" s="5">
        <f>$KB$25*(KC246+(1-KC246)*$KB$16)</f>
        <v>126.02661357340719</v>
      </c>
      <c r="KE246" s="13">
        <f>KD246*($KB$6+ACUTE_MARGIN)</f>
        <v>127286.87970914126</v>
      </c>
      <c r="KF246" s="13">
        <f>IF(KB246=1,$KB$31,$KB$32)</f>
        <v>152394.16214437486</v>
      </c>
      <c r="KG246" s="13">
        <f>KE246-KF246</f>
        <v>-25107.282435233603</v>
      </c>
      <c r="KH246" s="13">
        <f>KH245+KG246</f>
        <v>-4092487.036943089</v>
      </c>
      <c r="KI246">
        <f>IF(KH246=MAX($KH$83:$KH$483),$A246,0)</f>
        <v>0</v>
      </c>
      <c r="KJ246">
        <f>IF(KE246&lt;KF246,$A246,B_MAX+1)</f>
        <v>163</v>
      </c>
      <c r="KK246" s="13">
        <f>IF(KB246=1,$KB$35,$KB$36)</f>
        <v>0</v>
      </c>
      <c r="KL246" s="13">
        <f>OCC_DAYS*$KB$41*R_NF_2023-KD246*MCD_SHARE_FREED*R_WAIT_2023</f>
        <v>94673.82103225985</v>
      </c>
      <c r="KM246">
        <f>IF($A246&lt;=$KB$45,1,0)</f>
        <v>0</v>
      </c>
      <c r="LB246">
        <f>IF($LB$31&lt;=$LB$32,IF($A246&lt;=$LB$7,1,2),IF($A246&lt;=RUNG_BEDS_2,2,1))</f>
        <v>1</v>
      </c>
      <c r="LC246" s="5">
        <f>MIN(1,MAX(0,$LB$26-($A246-1)))</f>
        <v>1</v>
      </c>
      <c r="LD246" s="5">
        <f>$LB$25*(LC246+(1-LC246)*$LB$16)</f>
        <v>84.01774238227146</v>
      </c>
      <c r="LE246" s="13">
        <f>LD246*($LB$6+ACUTE_MARGIN)</f>
        <v>84857.91980609419</v>
      </c>
      <c r="LF246" s="13">
        <f>IF(LB246=1,$LB$31,$LB$32)</f>
        <v>152394.16214437486</v>
      </c>
      <c r="LG246" s="13">
        <f>LE246-LF246</f>
        <v>-67536.24233828067</v>
      </c>
      <c r="LH246" s="13">
        <f>LH245+LG246</f>
        <v>-11008407.501139794</v>
      </c>
      <c r="LI246">
        <f>IF(LH246=MAX($LH$83:$LH$483),$A246,0)</f>
        <v>0</v>
      </c>
      <c r="LJ246">
        <f>IF(LE246&lt;LF246,$A246,B_MAX+1)</f>
        <v>163</v>
      </c>
      <c r="LK246" s="13">
        <f>IF(LB246=1,$LB$35,$LB$36)</f>
        <v>0</v>
      </c>
      <c r="LL246" s="13">
        <f>OCC_DAYS*$LB$41*R_NF_2023-LD246*MCD_SHARE_FREED*R_WAIT_2023</f>
        <v>113776.04162887059</v>
      </c>
      <c r="LM246">
        <f>IF($A246&lt;=$LB$45,1,0)</f>
        <v>0</v>
      </c>
      <c r="MB246">
        <f>IF($MB$31&lt;=$MB$32,IF($A246&lt;=$MB$7,1,2),IF($A246&lt;=RUNG_BEDS_2,2,1))</f>
        <v>1</v>
      </c>
      <c r="MC246" s="5">
        <f>MIN(1,MAX(0,$MB$26-($A246-1)))</f>
        <v>0</v>
      </c>
      <c r="MD246" s="5">
        <f>$MB$25*(MC246+(1-MC246)*$MB$16)</f>
        <v>0.0</v>
      </c>
      <c r="ME246" s="13">
        <f>MD246*($MB$6+ACUTE_MARGIN)</f>
        <v>0.0</v>
      </c>
      <c r="MF246" s="13">
        <f>IF(MB246=1,$MB$31,$MB$32)</f>
        <v>152394.16214437486</v>
      </c>
      <c r="MG246" s="13">
        <f>ME246-MF246</f>
        <v>-152394.16214437486</v>
      </c>
      <c r="MH246" s="13">
        <f>MH245+MG246</f>
        <v>7501446.13694091</v>
      </c>
      <c r="MI246">
        <f>IF(MH246=MAX($MH$83:$MH$483),$A246,0)</f>
        <v>0</v>
      </c>
      <c r="MJ246">
        <f>IF(ME246&lt;MF246,$A246,B_MAX+1)</f>
        <v>163</v>
      </c>
      <c r="MK246" s="13">
        <f>IF(MB246=1,$MB$35,$MB$36)</f>
        <v>0</v>
      </c>
      <c r="ML246" s="13">
        <f>OCC_DAYS*$MB$41*R_NF_2023-MD246*MCD_SHARE_FREED*R_WAIT_2023</f>
        <v>151980.48282209205</v>
      </c>
      <c r="MM246">
        <f>IF($A246&lt;=$MB$45,1,0)</f>
        <v>0</v>
      </c>
      <c r="NB246">
        <f>IF($NB$31&lt;=$NB$32,IF($A246&lt;=$NB$7,1,2),IF($A246&lt;=RUNG_BEDS_2,2,1))</f>
        <v>1</v>
      </c>
      <c r="NC246" s="5">
        <f>MIN(1,MAX(0,$NB$26-($A246-1)))</f>
        <v>0</v>
      </c>
      <c r="ND246" s="5">
        <f>$NB$25*(NC246+(1-NC246)*$NB$16)</f>
        <v>63.013306786703595</v>
      </c>
      <c r="NE246" s="13">
        <f>ND246*($NB$6+ACUTE_MARGIN)</f>
        <v>63643.43985457063</v>
      </c>
      <c r="NF246" s="13">
        <f>IF(NB246=1,$NB$31,$NB$32)</f>
        <v>152394.16214437486</v>
      </c>
      <c r="NG246" s="13">
        <f>NE246-NF246</f>
        <v>-88750.72228980422</v>
      </c>
      <c r="NH246" s="13">
        <f>NH245+NG246</f>
        <v>14205360.237966154</v>
      </c>
      <c r="NI246">
        <f>IF(NH246=MAX($NH$83:$NH$483),$A246,0)</f>
        <v>0</v>
      </c>
      <c r="NJ246">
        <f>IF(NE246&lt;NF246,$A246,B_MAX+1)</f>
        <v>163</v>
      </c>
      <c r="NK246" s="13">
        <f>IF(NB246=1,$NB$35,$NB$36)</f>
        <v>0</v>
      </c>
      <c r="NL246" s="13">
        <f>OCC_DAYS*$NB$41*R_NF_2023-ND246*MCD_SHARE_FREED*R_WAIT_2023</f>
        <v>123327.15192717595</v>
      </c>
      <c r="NM246">
        <f>IF($A246&lt;=$NB$45,1,0)</f>
        <v>0</v>
      </c>
      <c r="OB246">
        <f>IF($OB$31&lt;=$OB$32,IF($A246&lt;=$OB$7,1,2),IF($A246&lt;=RUNG_BEDS_2,2,1))</f>
        <v>1</v>
      </c>
      <c r="OC246" s="5">
        <f>MIN(1,MAX(0,$OB$26-($A246-1)))</f>
        <v>0</v>
      </c>
      <c r="OD246" s="5">
        <f>$OB$25*(OC246+(1-OC246)*$OB$16)</f>
        <v>126.02661357340719</v>
      </c>
      <c r="OE246" s="13">
        <f>OD246*($OB$6+ACUTE_MARGIN)</f>
        <v>127286.87970914126</v>
      </c>
      <c r="OF246" s="13">
        <f>IF(OB246=1,$OB$31,$OB$32)</f>
        <v>152394.16214437486</v>
      </c>
      <c r="OG246" s="13">
        <f>OE246-OF246</f>
        <v>-25107.282435233603</v>
      </c>
      <c r="OH246" s="13">
        <f>OH245+OG246</f>
        <v>15021998.277193116</v>
      </c>
      <c r="OI246">
        <f>IF(OH246=MAX($OH$83:$OH$483),$A246,0)</f>
        <v>0</v>
      </c>
      <c r="OJ246">
        <f>IF(OE246&lt;OF246,$A246,B_MAX+1)</f>
        <v>163</v>
      </c>
      <c r="OK246" s="13">
        <f>IF(OB246=1,$OB$35,$OB$36)</f>
        <v>0</v>
      </c>
      <c r="OL246" s="13">
        <f>OCC_DAYS*$OB$41*R_NF_2023-OD246*MCD_SHARE_FREED*R_WAIT_2023</f>
        <v>94673.82103225985</v>
      </c>
      <c r="OM246">
        <f>IF($A246&lt;=$OB$45,1,0)</f>
        <v>0</v>
      </c>
    </row>
    <row r="247">
      <c r="A247" t="n">
        <v>164</v>
      </c>
      <c r="B247">
        <f>IF($B$31&lt;=$B$32,IF($A247&lt;=$B$7,1,2),IF($A247&lt;=RUNG_BEDS_2,2,1))</f>
        <v>1</v>
      </c>
      <c r="C247" s="5">
        <f>MIN(1,MAX(0,$B$26-($A247-1)))</f>
        <v>0</v>
      </c>
      <c r="D247" s="5">
        <f>$B$25*(C247+(1-C247)*$B$16)</f>
        <v>0.0</v>
      </c>
      <c r="E247" s="13">
        <f>D247*($B$6+ACUTE_MARGIN)</f>
        <v>0.0</v>
      </c>
      <c r="F247" s="13">
        <f>IF(B247=1,$B$31,$B$32)</f>
        <v>152394.16214437486</v>
      </c>
      <c r="G247" s="13">
        <f>E247-F247</f>
        <v>-152394.16214437486</v>
      </c>
      <c r="H247" s="13">
        <f>H246+G247</f>
        <v>13236328.036594842</v>
      </c>
      <c r="I247">
        <f>IF(H247=MAX($H$83:$H$483),$A247,0)</f>
        <v>0</v>
      </c>
      <c r="J247">
        <f>IF(E247&lt;F247,$A247,B_MAX+1)</f>
        <v>164</v>
      </c>
      <c r="K247" s="13">
        <f>IF(B247=1,$B$35,$B$36)</f>
        <v>0</v>
      </c>
      <c r="L247" s="13">
        <f>OCC_DAYS*$B$41*R_NF_2023-D247*MCD_SHARE_FREED*R_WAIT_2023</f>
        <v>151980.48282209205</v>
      </c>
      <c r="M247">
        <f>IF($A247&lt;=$B$45,1,0)</f>
        <v>0</v>
      </c>
      <c r="AB247">
        <f>IF($AB$31&lt;=$AB$32,IF($A247&lt;=$AB$7,1,2),IF($A247&lt;=RUNG_BEDS_2,2,1))</f>
        <v>1</v>
      </c>
      <c r="AC247" s="5">
        <f>MIN(1,MAX(0,$AB$26-($A247-1)))</f>
        <v>0</v>
      </c>
      <c r="AD247" s="5">
        <f>$AB$25*(AC247+(1-AC247)*$AB$16)</f>
        <v>0.0</v>
      </c>
      <c r="AE247" s="13">
        <f>AD247*($AB$6+ACUTE_MARGIN)</f>
        <v>0.0</v>
      </c>
      <c r="AF247" s="13">
        <f>IF(AB247=1,$AB$31,$AB$32)</f>
        <v>152394.16214437486</v>
      </c>
      <c r="AG247" s="13">
        <f>AE247-AF247</f>
        <v>-152394.16214437486</v>
      </c>
      <c r="AH247" s="13">
        <f>AH246+AG247</f>
        <v>-4174886.3089549635</v>
      </c>
      <c r="AI247">
        <f>IF(AH247=MAX($AH$83:$AH$483),$A247,0)</f>
        <v>0</v>
      </c>
      <c r="AJ247">
        <f>IF(AE247&lt;AF247,$A247,B_MAX+1)</f>
        <v>164</v>
      </c>
      <c r="AK247" s="13">
        <f>IF(AB247=1,$AB$35,$AB$36)</f>
        <v>0</v>
      </c>
      <c r="AL247" s="13">
        <f>OCC_DAYS*$AB$41*R_NF_2023-AD247*MCD_SHARE_FREED*R_WAIT_2023</f>
        <v>151980.48282209205</v>
      </c>
      <c r="AM247">
        <f>IF($A247&lt;=$AB$45,1,0)</f>
        <v>0</v>
      </c>
      <c r="BB247">
        <f>IF($BB$31&lt;=$BB$32,IF($A247&lt;=$BB$7,1,2),IF($A247&lt;=RUNG_BEDS_2,2,1))</f>
        <v>1</v>
      </c>
      <c r="BC247" s="5">
        <f>MIN(1,MAX(0,$BB$26-($A247-1)))</f>
        <v>0</v>
      </c>
      <c r="BD247" s="5">
        <f>$BB$25*(BC247+(1-BC247)*$BB$16)</f>
        <v>0.0</v>
      </c>
      <c r="BE247" s="13">
        <f>BD247*($BB$6+ACUTE_MARGIN)</f>
        <v>0.0</v>
      </c>
      <c r="BF247" s="13">
        <f>IF(BB247=1,$BB$31,$BB$32)</f>
        <v>152394.16214437486</v>
      </c>
      <c r="BG247" s="13">
        <f>BE247-BF247</f>
        <v>-152394.16214437486</v>
      </c>
      <c r="BH247" s="13">
        <f>BH246+BG247</f>
        <v>30647542.382144503</v>
      </c>
      <c r="BI247">
        <f>IF(BH247=MAX($BH$83:$BH$483),$A247,0)</f>
        <v>0</v>
      </c>
      <c r="BJ247">
        <f>IF(BE247&lt;BF247,$A247,B_MAX+1)</f>
        <v>164</v>
      </c>
      <c r="BK247" s="13">
        <f>IF(BB247=1,$BB$35,$BB$36)</f>
        <v>0</v>
      </c>
      <c r="BL247" s="13">
        <f>OCC_DAYS*$BB$41*R_NF_2023-BD247*MCD_SHARE_FREED*R_WAIT_2023</f>
        <v>151980.48282209205</v>
      </c>
      <c r="BM247">
        <f>IF($A247&lt;=$BB$45,1,0)</f>
        <v>0</v>
      </c>
      <c r="CB247">
        <f>IF($CB$31&lt;=$CB$32,IF($A247&lt;=$CB$7,1,2),IF($A247&lt;=RUNG_BEDS_2,2,1))</f>
        <v>2</v>
      </c>
      <c r="CC247" s="5">
        <f>MIN(1,MAX(0,$CB$26-($A247-1)))</f>
        <v>0</v>
      </c>
      <c r="CD247" s="5">
        <f>$CB$25*(CC247+(1-CC247)*$CB$16)</f>
        <v>0.0</v>
      </c>
      <c r="CE247" s="13">
        <f>CD247*($CB$6+ACUTE_MARGIN)</f>
        <v>0.0</v>
      </c>
      <c r="CF247" s="13">
        <f>IF(CB247=1,$CB$31,$CB$32)</f>
        <v>160718.36940738867</v>
      </c>
      <c r="CG247" s="13">
        <f>CE247-CF247</f>
        <v>-160718.36940738867</v>
      </c>
      <c r="CH247" s="13">
        <f>CH246+CG247</f>
        <v>11871158.045460487</v>
      </c>
      <c r="CI247">
        <f>IF(CH247=MAX($CH$83:$CH$483),$A247,0)</f>
        <v>0</v>
      </c>
      <c r="CJ247">
        <f>IF(CE247&lt;CF247,$A247,B_MAX+1)</f>
        <v>164</v>
      </c>
      <c r="CK247" s="13">
        <f>IF(CB247=1,$CB$35,$CB$36)</f>
        <v>1560.1194073886782</v>
      </c>
      <c r="CL247" s="13">
        <f>OCC_DAYS*$CB$41*R_NF_2023-CD247*MCD_SHARE_FREED*R_WAIT_2023</f>
        <v>151980.48282209205</v>
      </c>
      <c r="CM247">
        <f>IF($A247&lt;=$CB$45,1,0)</f>
        <v>0</v>
      </c>
      <c r="DB247">
        <f>IF($DB$31&lt;=$DB$32,IF($A247&lt;=$DB$7,1,2),IF($A247&lt;=RUNG_BEDS_2,2,1))</f>
        <v>1</v>
      </c>
      <c r="DC247" s="5">
        <f>MIN(1,MAX(0,$DB$26-($A247-1)))</f>
        <v>0</v>
      </c>
      <c r="DD247" s="5">
        <f>$DB$25*(DC247+(1-DC247)*$DB$16)</f>
        <v>0.0</v>
      </c>
      <c r="DE247" s="13">
        <f>DD247*($DB$6+ACUTE_MARGIN)</f>
        <v>0.0</v>
      </c>
      <c r="DF247" s="13">
        <f>IF(DB247=1,$DB$31,$DB$32)</f>
        <v>152394.16214437486</v>
      </c>
      <c r="DG247" s="13">
        <f>DE247-DF247</f>
        <v>-152394.16214437486</v>
      </c>
      <c r="DH247" s="13">
        <f>DH246+DG247</f>
        <v>13236328.036594842</v>
      </c>
      <c r="DI247">
        <f>IF(DH247=MAX($DH$83:$DH$483),$A247,0)</f>
        <v>0</v>
      </c>
      <c r="DJ247">
        <f>IF(DE247&lt;DF247,$A247,B_MAX+1)</f>
        <v>164</v>
      </c>
      <c r="DK247" s="13">
        <f>IF(DB247=1,$DB$35,$DB$36)</f>
        <v>0</v>
      </c>
      <c r="DL247" s="13">
        <f>OCC_DAYS*$DB$41*R_NF_2023-DD247*MCD_SHARE_FREED*R_WAIT_2023</f>
        <v>151980.48282209205</v>
      </c>
      <c r="DM247">
        <f>IF($A247&lt;=$DB$45,1,0)</f>
        <v>0</v>
      </c>
      <c r="EB247">
        <f>IF($EB$31&lt;=$EB$32,IF($A247&lt;=$EB$7,1,2),IF($A247&lt;=RUNG_BEDS_2,2,1))</f>
        <v>1</v>
      </c>
      <c r="EC247" s="5">
        <f>MIN(1,MAX(0,$EB$26-($A247-1)))</f>
        <v>0</v>
      </c>
      <c r="ED247" s="5">
        <f>$EB$25*(EC247+(1-EC247)*$EB$16)</f>
        <v>0.0</v>
      </c>
      <c r="EE247" s="13">
        <f>ED247*($EB$6+ACUTE_MARGIN)</f>
        <v>0.0</v>
      </c>
      <c r="EF247" s="13">
        <f>IF(EB247=1,$EB$31,$EB$32)</f>
        <v>152394.16214437486</v>
      </c>
      <c r="EG247" s="13">
        <f>EE247-EF247</f>
        <v>-152394.16214437486</v>
      </c>
      <c r="EH247" s="13">
        <f>EH246+EG247</f>
        <v>13236328.036594842</v>
      </c>
      <c r="EI247">
        <f>IF(EH247=MAX($EH$83:$EH$483),$A247,0)</f>
        <v>0</v>
      </c>
      <c r="EJ247">
        <f>IF(EE247&lt;EF247,$A247,B_MAX+1)</f>
        <v>164</v>
      </c>
      <c r="EK247" s="13">
        <f>IF(EB247=1,$EB$35,$EB$36)</f>
        <v>0</v>
      </c>
      <c r="EL247" s="13">
        <f>OCC_DAYS*$EB$41*R_NF_2023-ED247*MCD_SHARE_FREED*R_WAIT_2023</f>
        <v>50660.16094069735</v>
      </c>
      <c r="EM247">
        <f>IF($A247&lt;=$EB$45,1,0)</f>
        <v>0</v>
      </c>
      <c r="FB247">
        <f>IF($FB$31&lt;=$FB$32,IF($A247&lt;=$FB$7,1,2),IF($A247&lt;=RUNG_BEDS_2,2,1))</f>
        <v>1</v>
      </c>
      <c r="FC247" s="5">
        <f>MIN(1,MAX(0,$FB$26-($A247-1)))</f>
        <v>0</v>
      </c>
      <c r="FD247" s="5">
        <f>$FB$25*(FC247+(1-FC247)*$FB$16)</f>
        <v>0.0</v>
      </c>
      <c r="FE247" s="13">
        <f>FD247*($FB$6+ACUTE_MARGIN)</f>
        <v>0.0</v>
      </c>
      <c r="FF247" s="13">
        <f>IF(FB247=1,$FB$31,$FB$32)</f>
        <v>156636.04979437485</v>
      </c>
      <c r="FG247" s="13">
        <f>FE247-FF247</f>
        <v>-156636.04979437485</v>
      </c>
      <c r="FH247" s="13">
        <f>FH246+FG247</f>
        <v>12540658.461994728</v>
      </c>
      <c r="FI247">
        <f>IF(FH247=MAX($FH$83:$FH$483),$A247,0)</f>
        <v>0</v>
      </c>
      <c r="FJ247">
        <f>IF(FE247&lt;FF247,$A247,B_MAX+1)</f>
        <v>164</v>
      </c>
      <c r="FK247" s="13">
        <f>IF(FB247=1,$FB$35,$FB$36)</f>
        <v>0</v>
      </c>
      <c r="FL247" s="13">
        <f>OCC_DAYS*$FB$41*R_NF_2023-FD247*MCD_SHARE_FREED*R_WAIT_2023</f>
        <v>151980.48282209205</v>
      </c>
      <c r="FM247">
        <f>IF($A247&lt;=$FB$45,1,0)</f>
        <v>0</v>
      </c>
      <c r="GB247">
        <f>IF($GB$31&lt;=$GB$32,IF($A247&lt;=$GB$7,1,2),IF($A247&lt;=RUNG_BEDS_2,2,1))</f>
        <v>1</v>
      </c>
      <c r="GC247" s="5">
        <f>MIN(1,MAX(0,$GB$26-($A247-1)))</f>
        <v>0</v>
      </c>
      <c r="GD247" s="5">
        <f>$GB$25*(GC247+(1-GC247)*$GB$16)</f>
        <v>0.0</v>
      </c>
      <c r="GE247" s="13">
        <f>GD247*($GB$6+ACUTE_MARGIN)</f>
        <v>0.0</v>
      </c>
      <c r="GF247" s="13">
        <f>IF(GB247=1,$GB$31,$GB$32)</f>
        <v>152394.16214437486</v>
      </c>
      <c r="GG247" s="13">
        <f>GE247-GF247</f>
        <v>-152394.16214437486</v>
      </c>
      <c r="GH247" s="13">
        <f>GH246+GG247</f>
        <v>13236328.036594842</v>
      </c>
      <c r="GI247">
        <f>IF(GH247=MAX($GH$83:$GH$483),$A247,0)</f>
        <v>0</v>
      </c>
      <c r="GJ247">
        <f>IF(GE247&lt;GF247,$A247,B_MAX+1)</f>
        <v>164</v>
      </c>
      <c r="GK247" s="13">
        <f>IF(GB247=1,$GB$35,$GB$36)</f>
        <v>0</v>
      </c>
      <c r="GL247" s="13">
        <f>OCC_DAYS*$GB$41*R_NF_2023-GD247*MCD_SHARE_FREED*R_WAIT_2023</f>
        <v>151980.48282209205</v>
      </c>
      <c r="GM247">
        <f>IF($A247&lt;=$GB$45,1,0)</f>
        <v>0</v>
      </c>
      <c r="HB247">
        <f>IF($HB$31&lt;=$HB$32,IF($A247&lt;=$HB$7,1,2),IF($A247&lt;=RUNG_BEDS_2,2,1))</f>
        <v>1</v>
      </c>
      <c r="HC247" s="5">
        <f>MIN(1,MAX(0,$HB$26-($A247-1)))</f>
        <v>0</v>
      </c>
      <c r="HD247" s="5">
        <f>$HB$25*(HC247+(1-HC247)*$HB$16)</f>
        <v>0.0</v>
      </c>
      <c r="HE247" s="13">
        <f>HD247*($HB$6+ACUTE_MARGIN)</f>
        <v>0.0</v>
      </c>
      <c r="HF247" s="13">
        <f>IF(HB247=1,$HB$31,$HB$32)</f>
        <v>152456.2970814058</v>
      </c>
      <c r="HG247" s="13">
        <f>HE247-HF247</f>
        <v>-152456.2970814058</v>
      </c>
      <c r="HH247" s="13">
        <f>HH246+HG247</f>
        <v>13226137.90692174</v>
      </c>
      <c r="HI247">
        <f>IF(HH247=MAX($HH$83:$HH$483),$A247,0)</f>
        <v>0</v>
      </c>
      <c r="HJ247">
        <f>IF(HE247&lt;HF247,$A247,B_MAX+1)</f>
        <v>164</v>
      </c>
      <c r="HK247" s="13">
        <f>IF(HB247=1,$HB$35,$HB$36)</f>
        <v>0</v>
      </c>
      <c r="HL247" s="13">
        <f>OCC_DAYS*$HB$41*R_NF_2023-HD247*MCD_SHARE_FREED*R_WAIT_2023</f>
        <v>151980.48282209205</v>
      </c>
      <c r="HM247">
        <f>IF($A247&lt;=$HB$45,1,0)</f>
        <v>0</v>
      </c>
      <c r="IB247">
        <f>IF($IB$31&lt;=$IB$32,IF($A247&lt;=$IB$7,1,2),IF($A247&lt;=RUNG_BEDS_2,2,1))</f>
        <v>1</v>
      </c>
      <c r="IC247" s="5">
        <f>MIN(1,MAX(0,$IB$26-($A247-1)))</f>
        <v>0</v>
      </c>
      <c r="ID247" s="5">
        <f>$IB$25*(IC247+(1-IC247)*$IB$16)</f>
        <v>0.0</v>
      </c>
      <c r="IE247" s="13">
        <f>ID247*($IB$6+ACUTE_MARGIN)</f>
        <v>0.0</v>
      </c>
      <c r="IF247" s="13">
        <f>IF(IB247=1,$IB$31,$IB$32)</f>
        <v>152734.9994534971</v>
      </c>
      <c r="IG247" s="13">
        <f>IE247-IF247</f>
        <v>-152734.9994534971</v>
      </c>
      <c r="IH247" s="13">
        <f>IH246+IG247</f>
        <v>13180430.717898691</v>
      </c>
      <c r="II247">
        <f>IF(IH247=MAX($IH$83:$IH$483),$A247,0)</f>
        <v>0</v>
      </c>
      <c r="IJ247">
        <f>IF(IE247&lt;IF247,$A247,B_MAX+1)</f>
        <v>164</v>
      </c>
      <c r="IK247" s="13">
        <f>IF(IB247=1,$IB$35,$IB$36)</f>
        <v>0</v>
      </c>
      <c r="IL247" s="13">
        <f>OCC_DAYS*$IB$41*R_NF_2023-ID247*MCD_SHARE_FREED*R_WAIT_2023</f>
        <v>151980.48282209205</v>
      </c>
      <c r="IM247">
        <f>IF($A247&lt;=$IB$45,1,0)</f>
        <v>0</v>
      </c>
      <c r="JB247">
        <f>IF($JB$31&lt;=$JB$32,IF($A247&lt;=$JB$7,1,2),IF($A247&lt;=RUNG_BEDS_2,2,1))</f>
        <v>1</v>
      </c>
      <c r="JC247" s="5">
        <f>MIN(1,MAX(0,$JB$26-($A247-1)))</f>
        <v>0</v>
      </c>
      <c r="JD247" s="5">
        <f>$JB$25*(JC247+(1-JC247)*$JB$16)</f>
        <v>0.0</v>
      </c>
      <c r="JE247" s="13">
        <f>JD247*($JB$6+ACUTE_MARGIN)</f>
        <v>0.0</v>
      </c>
      <c r="JF247" s="13">
        <f>IF(JB247=1,$JB$31,$JB$32)</f>
        <v>152394.16214437486</v>
      </c>
      <c r="JG247" s="13">
        <f>JE247-JF247</f>
        <v>-152394.16214437486</v>
      </c>
      <c r="JH247" s="13">
        <f>JH246+JG247</f>
        <v>13236328.036594842</v>
      </c>
      <c r="JI247">
        <f>IF(JH247=MAX($JH$83:$JH$483),$A247,0)</f>
        <v>0</v>
      </c>
      <c r="JJ247">
        <f>IF(JE247&lt;JF247,$A247,B_MAX+1)</f>
        <v>164</v>
      </c>
      <c r="JK247" s="13">
        <f>IF(JB247=1,$JB$35,$JB$36)</f>
        <v>0</v>
      </c>
      <c r="JL247" s="13">
        <f>OCC_DAYS*$JB$41*R_NF_2023-JD247*MCD_SHARE_FREED*R_WAIT_2023</f>
        <v>151980.48282209205</v>
      </c>
      <c r="JM247">
        <f>IF($A247&lt;=$JB$45,1,0)</f>
        <v>0</v>
      </c>
      <c r="KB247">
        <f>IF($KB$31&lt;=$KB$32,IF($A247&lt;=$KB$7,1,2),IF($A247&lt;=RUNG_BEDS_2,2,1))</f>
        <v>1</v>
      </c>
      <c r="KC247" s="5">
        <f>MIN(1,MAX(0,$KB$26-($A247-1)))</f>
        <v>1</v>
      </c>
      <c r="KD247" s="5">
        <f>$KB$25*(KC247+(1-KC247)*$KB$16)</f>
        <v>126.02661357340719</v>
      </c>
      <c r="KE247" s="13">
        <f>KD247*($KB$6+ACUTE_MARGIN)</f>
        <v>127286.87970914126</v>
      </c>
      <c r="KF247" s="13">
        <f>IF(KB247=1,$KB$31,$KB$32)</f>
        <v>152394.16214437486</v>
      </c>
      <c r="KG247" s="13">
        <f>KE247-KF247</f>
        <v>-25107.282435233603</v>
      </c>
      <c r="KH247" s="13">
        <f>KH246+KG247</f>
        <v>-4117594.319378323</v>
      </c>
      <c r="KI247">
        <f>IF(KH247=MAX($KH$83:$KH$483),$A247,0)</f>
        <v>0</v>
      </c>
      <c r="KJ247">
        <f>IF(KE247&lt;KF247,$A247,B_MAX+1)</f>
        <v>164</v>
      </c>
      <c r="KK247" s="13">
        <f>IF(KB247=1,$KB$35,$KB$36)</f>
        <v>0</v>
      </c>
      <c r="KL247" s="13">
        <f>OCC_DAYS*$KB$41*R_NF_2023-KD247*MCD_SHARE_FREED*R_WAIT_2023</f>
        <v>94673.82103225985</v>
      </c>
      <c r="KM247">
        <f>IF($A247&lt;=$KB$45,1,0)</f>
        <v>0</v>
      </c>
      <c r="LB247">
        <f>IF($LB$31&lt;=$LB$32,IF($A247&lt;=$LB$7,1,2),IF($A247&lt;=RUNG_BEDS_2,2,1))</f>
        <v>1</v>
      </c>
      <c r="LC247" s="5">
        <f>MIN(1,MAX(0,$LB$26-($A247-1)))</f>
        <v>1</v>
      </c>
      <c r="LD247" s="5">
        <f>$LB$25*(LC247+(1-LC247)*$LB$16)</f>
        <v>84.01774238227146</v>
      </c>
      <c r="LE247" s="13">
        <f>LD247*($LB$6+ACUTE_MARGIN)</f>
        <v>84857.91980609419</v>
      </c>
      <c r="LF247" s="13">
        <f>IF(LB247=1,$LB$31,$LB$32)</f>
        <v>152394.16214437486</v>
      </c>
      <c r="LG247" s="13">
        <f>LE247-LF247</f>
        <v>-67536.24233828067</v>
      </c>
      <c r="LH247" s="13">
        <f>LH246+LG247</f>
        <v>-11075943.743478075</v>
      </c>
      <c r="LI247">
        <f>IF(LH247=MAX($LH$83:$LH$483),$A247,0)</f>
        <v>0</v>
      </c>
      <c r="LJ247">
        <f>IF(LE247&lt;LF247,$A247,B_MAX+1)</f>
        <v>164</v>
      </c>
      <c r="LK247" s="13">
        <f>IF(LB247=1,$LB$35,$LB$36)</f>
        <v>0</v>
      </c>
      <c r="LL247" s="13">
        <f>OCC_DAYS*$LB$41*R_NF_2023-LD247*MCD_SHARE_FREED*R_WAIT_2023</f>
        <v>113776.04162887059</v>
      </c>
      <c r="LM247">
        <f>IF($A247&lt;=$LB$45,1,0)</f>
        <v>0</v>
      </c>
      <c r="MB247">
        <f>IF($MB$31&lt;=$MB$32,IF($A247&lt;=$MB$7,1,2),IF($A247&lt;=RUNG_BEDS_2,2,1))</f>
        <v>1</v>
      </c>
      <c r="MC247" s="5">
        <f>MIN(1,MAX(0,$MB$26-($A247-1)))</f>
        <v>0</v>
      </c>
      <c r="MD247" s="5">
        <f>$MB$25*(MC247+(1-MC247)*$MB$16)</f>
        <v>0.0</v>
      </c>
      <c r="ME247" s="13">
        <f>MD247*($MB$6+ACUTE_MARGIN)</f>
        <v>0.0</v>
      </c>
      <c r="MF247" s="13">
        <f>IF(MB247=1,$MB$31,$MB$32)</f>
        <v>152394.16214437486</v>
      </c>
      <c r="MG247" s="13">
        <f>ME247-MF247</f>
        <v>-152394.16214437486</v>
      </c>
      <c r="MH247" s="13">
        <f>MH246+MG247</f>
        <v>7349051.9747965345</v>
      </c>
      <c r="MI247">
        <f>IF(MH247=MAX($MH$83:$MH$483),$A247,0)</f>
        <v>0</v>
      </c>
      <c r="MJ247">
        <f>IF(ME247&lt;MF247,$A247,B_MAX+1)</f>
        <v>164</v>
      </c>
      <c r="MK247" s="13">
        <f>IF(MB247=1,$MB$35,$MB$36)</f>
        <v>0</v>
      </c>
      <c r="ML247" s="13">
        <f>OCC_DAYS*$MB$41*R_NF_2023-MD247*MCD_SHARE_FREED*R_WAIT_2023</f>
        <v>151980.48282209205</v>
      </c>
      <c r="MM247">
        <f>IF($A247&lt;=$MB$45,1,0)</f>
        <v>0</v>
      </c>
      <c r="NB247">
        <f>IF($NB$31&lt;=$NB$32,IF($A247&lt;=$NB$7,1,2),IF($A247&lt;=RUNG_BEDS_2,2,1))</f>
        <v>1</v>
      </c>
      <c r="NC247" s="5">
        <f>MIN(1,MAX(0,$NB$26-($A247-1)))</f>
        <v>0</v>
      </c>
      <c r="ND247" s="5">
        <f>$NB$25*(NC247+(1-NC247)*$NB$16)</f>
        <v>63.013306786703595</v>
      </c>
      <c r="NE247" s="13">
        <f>ND247*($NB$6+ACUTE_MARGIN)</f>
        <v>63643.43985457063</v>
      </c>
      <c r="NF247" s="13">
        <f>IF(NB247=1,$NB$31,$NB$32)</f>
        <v>152394.16214437486</v>
      </c>
      <c r="NG247" s="13">
        <f>NE247-NF247</f>
        <v>-88750.72228980422</v>
      </c>
      <c r="NH247" s="13">
        <f>NH246+NG247</f>
        <v>14116609.51567635</v>
      </c>
      <c r="NI247">
        <f>IF(NH247=MAX($NH$83:$NH$483),$A247,0)</f>
        <v>0</v>
      </c>
      <c r="NJ247">
        <f>IF(NE247&lt;NF247,$A247,B_MAX+1)</f>
        <v>164</v>
      </c>
      <c r="NK247" s="13">
        <f>IF(NB247=1,$NB$35,$NB$36)</f>
        <v>0</v>
      </c>
      <c r="NL247" s="13">
        <f>OCC_DAYS*$NB$41*R_NF_2023-ND247*MCD_SHARE_FREED*R_WAIT_2023</f>
        <v>123327.15192717595</v>
      </c>
      <c r="NM247">
        <f>IF($A247&lt;=$NB$45,1,0)</f>
        <v>0</v>
      </c>
      <c r="OB247">
        <f>IF($OB$31&lt;=$OB$32,IF($A247&lt;=$OB$7,1,2),IF($A247&lt;=RUNG_BEDS_2,2,1))</f>
        <v>1</v>
      </c>
      <c r="OC247" s="5">
        <f>MIN(1,MAX(0,$OB$26-($A247-1)))</f>
        <v>0</v>
      </c>
      <c r="OD247" s="5">
        <f>$OB$25*(OC247+(1-OC247)*$OB$16)</f>
        <v>126.02661357340719</v>
      </c>
      <c r="OE247" s="13">
        <f>OD247*($OB$6+ACUTE_MARGIN)</f>
        <v>127286.87970914126</v>
      </c>
      <c r="OF247" s="13">
        <f>IF(OB247=1,$OB$31,$OB$32)</f>
        <v>152394.16214437486</v>
      </c>
      <c r="OG247" s="13">
        <f>OE247-OF247</f>
        <v>-25107.282435233603</v>
      </c>
      <c r="OH247" s="13">
        <f>OH246+OG247</f>
        <v>14996890.994757883</v>
      </c>
      <c r="OI247">
        <f>IF(OH247=MAX($OH$83:$OH$483),$A247,0)</f>
        <v>0</v>
      </c>
      <c r="OJ247">
        <f>IF(OE247&lt;OF247,$A247,B_MAX+1)</f>
        <v>164</v>
      </c>
      <c r="OK247" s="13">
        <f>IF(OB247=1,$OB$35,$OB$36)</f>
        <v>0</v>
      </c>
      <c r="OL247" s="13">
        <f>OCC_DAYS*$OB$41*R_NF_2023-OD247*MCD_SHARE_FREED*R_WAIT_2023</f>
        <v>94673.82103225985</v>
      </c>
      <c r="OM247">
        <f>IF($A247&lt;=$OB$45,1,0)</f>
        <v>0</v>
      </c>
    </row>
    <row r="248">
      <c r="A248" t="n">
        <v>165</v>
      </c>
      <c r="B248">
        <f>IF($B$31&lt;=$B$32,IF($A248&lt;=$B$7,1,2),IF($A248&lt;=RUNG_BEDS_2,2,1))</f>
        <v>1</v>
      </c>
      <c r="C248" s="5">
        <f>MIN(1,MAX(0,$B$26-($A248-1)))</f>
        <v>0</v>
      </c>
      <c r="D248" s="5">
        <f>$B$25*(C248+(1-C248)*$B$16)</f>
        <v>0.0</v>
      </c>
      <c r="E248" s="13">
        <f>D248*($B$6+ACUTE_MARGIN)</f>
        <v>0.0</v>
      </c>
      <c r="F248" s="13">
        <f>IF(B248=1,$B$31,$B$32)</f>
        <v>152394.16214437486</v>
      </c>
      <c r="G248" s="13">
        <f>E248-F248</f>
        <v>-152394.16214437486</v>
      </c>
      <c r="H248" s="13">
        <f>H247+G248</f>
        <v>13083933.874450468</v>
      </c>
      <c r="I248">
        <f>IF(H248=MAX($H$83:$H$483),$A248,0)</f>
        <v>0</v>
      </c>
      <c r="J248">
        <f>IF(E248&lt;F248,$A248,B_MAX+1)</f>
        <v>165</v>
      </c>
      <c r="K248" s="13">
        <f>IF(B248=1,$B$35,$B$36)</f>
        <v>0</v>
      </c>
      <c r="L248" s="13">
        <f>OCC_DAYS*$B$41*R_NF_2023-D248*MCD_SHARE_FREED*R_WAIT_2023</f>
        <v>151980.48282209205</v>
      </c>
      <c r="M248">
        <f>IF($A248&lt;=$B$45,1,0)</f>
        <v>0</v>
      </c>
      <c r="AB248">
        <f>IF($AB$31&lt;=$AB$32,IF($A248&lt;=$AB$7,1,2),IF($A248&lt;=RUNG_BEDS_2,2,1))</f>
        <v>1</v>
      </c>
      <c r="AC248" s="5">
        <f>MIN(1,MAX(0,$AB$26-($A248-1)))</f>
        <v>0</v>
      </c>
      <c r="AD248" s="5">
        <f>$AB$25*(AC248+(1-AC248)*$AB$16)</f>
        <v>0.0</v>
      </c>
      <c r="AE248" s="13">
        <f>AD248*($AB$6+ACUTE_MARGIN)</f>
        <v>0.0</v>
      </c>
      <c r="AF248" s="13">
        <f>IF(AB248=1,$AB$31,$AB$32)</f>
        <v>152394.16214437486</v>
      </c>
      <c r="AG248" s="13">
        <f>AE248-AF248</f>
        <v>-152394.16214437486</v>
      </c>
      <c r="AH248" s="13">
        <f>AH247+AG248</f>
        <v>-4327280.4710993385</v>
      </c>
      <c r="AI248">
        <f>IF(AH248=MAX($AH$83:$AH$483),$A248,0)</f>
        <v>0</v>
      </c>
      <c r="AJ248">
        <f>IF(AE248&lt;AF248,$A248,B_MAX+1)</f>
        <v>165</v>
      </c>
      <c r="AK248" s="13">
        <f>IF(AB248=1,$AB$35,$AB$36)</f>
        <v>0</v>
      </c>
      <c r="AL248" s="13">
        <f>OCC_DAYS*$AB$41*R_NF_2023-AD248*MCD_SHARE_FREED*R_WAIT_2023</f>
        <v>151980.48282209205</v>
      </c>
      <c r="AM248">
        <f>IF($A248&lt;=$AB$45,1,0)</f>
        <v>0</v>
      </c>
      <c r="BB248">
        <f>IF($BB$31&lt;=$BB$32,IF($A248&lt;=$BB$7,1,2),IF($A248&lt;=RUNG_BEDS_2,2,1))</f>
        <v>1</v>
      </c>
      <c r="BC248" s="5">
        <f>MIN(1,MAX(0,$BB$26-($A248-1)))</f>
        <v>0</v>
      </c>
      <c r="BD248" s="5">
        <f>$BB$25*(BC248+(1-BC248)*$BB$16)</f>
        <v>0.0</v>
      </c>
      <c r="BE248" s="13">
        <f>BD248*($BB$6+ACUTE_MARGIN)</f>
        <v>0.0</v>
      </c>
      <c r="BF248" s="13">
        <f>IF(BB248=1,$BB$31,$BB$32)</f>
        <v>152394.16214437486</v>
      </c>
      <c r="BG248" s="13">
        <f>BE248-BF248</f>
        <v>-152394.16214437486</v>
      </c>
      <c r="BH248" s="13">
        <f>BH247+BG248</f>
        <v>30495148.22000013</v>
      </c>
      <c r="BI248">
        <f>IF(BH248=MAX($BH$83:$BH$483),$A248,0)</f>
        <v>0</v>
      </c>
      <c r="BJ248">
        <f>IF(BE248&lt;BF248,$A248,B_MAX+1)</f>
        <v>165</v>
      </c>
      <c r="BK248" s="13">
        <f>IF(BB248=1,$BB$35,$BB$36)</f>
        <v>0</v>
      </c>
      <c r="BL248" s="13">
        <f>OCC_DAYS*$BB$41*R_NF_2023-BD248*MCD_SHARE_FREED*R_WAIT_2023</f>
        <v>151980.48282209205</v>
      </c>
      <c r="BM248">
        <f>IF($A248&lt;=$BB$45,1,0)</f>
        <v>0</v>
      </c>
      <c r="CB248">
        <f>IF($CB$31&lt;=$CB$32,IF($A248&lt;=$CB$7,1,2),IF($A248&lt;=RUNG_BEDS_2,2,1))</f>
        <v>2</v>
      </c>
      <c r="CC248" s="5">
        <f>MIN(1,MAX(0,$CB$26-($A248-1)))</f>
        <v>0</v>
      </c>
      <c r="CD248" s="5">
        <f>$CB$25*(CC248+(1-CC248)*$CB$16)</f>
        <v>0.0</v>
      </c>
      <c r="CE248" s="13">
        <f>CD248*($CB$6+ACUTE_MARGIN)</f>
        <v>0.0</v>
      </c>
      <c r="CF248" s="13">
        <f>IF(CB248=1,$CB$31,$CB$32)</f>
        <v>160718.36940738867</v>
      </c>
      <c r="CG248" s="13">
        <f>CE248-CF248</f>
        <v>-160718.36940738867</v>
      </c>
      <c r="CH248" s="13">
        <f>CH247+CG248</f>
        <v>11710439.676053097</v>
      </c>
      <c r="CI248">
        <f>IF(CH248=MAX($CH$83:$CH$483),$A248,0)</f>
        <v>0</v>
      </c>
      <c r="CJ248">
        <f>IF(CE248&lt;CF248,$A248,B_MAX+1)</f>
        <v>165</v>
      </c>
      <c r="CK248" s="13">
        <f>IF(CB248=1,$CB$35,$CB$36)</f>
        <v>1560.1194073886782</v>
      </c>
      <c r="CL248" s="13">
        <f>OCC_DAYS*$CB$41*R_NF_2023-CD248*MCD_SHARE_FREED*R_WAIT_2023</f>
        <v>151980.48282209205</v>
      </c>
      <c r="CM248">
        <f>IF($A248&lt;=$CB$45,1,0)</f>
        <v>0</v>
      </c>
      <c r="DB248">
        <f>IF($DB$31&lt;=$DB$32,IF($A248&lt;=$DB$7,1,2),IF($A248&lt;=RUNG_BEDS_2,2,1))</f>
        <v>1</v>
      </c>
      <c r="DC248" s="5">
        <f>MIN(1,MAX(0,$DB$26-($A248-1)))</f>
        <v>0</v>
      </c>
      <c r="DD248" s="5">
        <f>$DB$25*(DC248+(1-DC248)*$DB$16)</f>
        <v>0.0</v>
      </c>
      <c r="DE248" s="13">
        <f>DD248*($DB$6+ACUTE_MARGIN)</f>
        <v>0.0</v>
      </c>
      <c r="DF248" s="13">
        <f>IF(DB248=1,$DB$31,$DB$32)</f>
        <v>152394.16214437486</v>
      </c>
      <c r="DG248" s="13">
        <f>DE248-DF248</f>
        <v>-152394.16214437486</v>
      </c>
      <c r="DH248" s="13">
        <f>DH247+DG248</f>
        <v>13083933.874450468</v>
      </c>
      <c r="DI248">
        <f>IF(DH248=MAX($DH$83:$DH$483),$A248,0)</f>
        <v>0</v>
      </c>
      <c r="DJ248">
        <f>IF(DE248&lt;DF248,$A248,B_MAX+1)</f>
        <v>165</v>
      </c>
      <c r="DK248" s="13">
        <f>IF(DB248=1,$DB$35,$DB$36)</f>
        <v>0</v>
      </c>
      <c r="DL248" s="13">
        <f>OCC_DAYS*$DB$41*R_NF_2023-DD248*MCD_SHARE_FREED*R_WAIT_2023</f>
        <v>151980.48282209205</v>
      </c>
      <c r="DM248">
        <f>IF($A248&lt;=$DB$45,1,0)</f>
        <v>0</v>
      </c>
      <c r="EB248">
        <f>IF($EB$31&lt;=$EB$32,IF($A248&lt;=$EB$7,1,2),IF($A248&lt;=RUNG_BEDS_2,2,1))</f>
        <v>1</v>
      </c>
      <c r="EC248" s="5">
        <f>MIN(1,MAX(0,$EB$26-($A248-1)))</f>
        <v>0</v>
      </c>
      <c r="ED248" s="5">
        <f>$EB$25*(EC248+(1-EC248)*$EB$16)</f>
        <v>0.0</v>
      </c>
      <c r="EE248" s="13">
        <f>ED248*($EB$6+ACUTE_MARGIN)</f>
        <v>0.0</v>
      </c>
      <c r="EF248" s="13">
        <f>IF(EB248=1,$EB$31,$EB$32)</f>
        <v>152394.16214437486</v>
      </c>
      <c r="EG248" s="13">
        <f>EE248-EF248</f>
        <v>-152394.16214437486</v>
      </c>
      <c r="EH248" s="13">
        <f>EH247+EG248</f>
        <v>13083933.874450468</v>
      </c>
      <c r="EI248">
        <f>IF(EH248=MAX($EH$83:$EH$483),$A248,0)</f>
        <v>0</v>
      </c>
      <c r="EJ248">
        <f>IF(EE248&lt;EF248,$A248,B_MAX+1)</f>
        <v>165</v>
      </c>
      <c r="EK248" s="13">
        <f>IF(EB248=1,$EB$35,$EB$36)</f>
        <v>0</v>
      </c>
      <c r="EL248" s="13">
        <f>OCC_DAYS*$EB$41*R_NF_2023-ED248*MCD_SHARE_FREED*R_WAIT_2023</f>
        <v>50660.16094069735</v>
      </c>
      <c r="EM248">
        <f>IF($A248&lt;=$EB$45,1,0)</f>
        <v>0</v>
      </c>
      <c r="FB248">
        <f>IF($FB$31&lt;=$FB$32,IF($A248&lt;=$FB$7,1,2),IF($A248&lt;=RUNG_BEDS_2,2,1))</f>
        <v>1</v>
      </c>
      <c r="FC248" s="5">
        <f>MIN(1,MAX(0,$FB$26-($A248-1)))</f>
        <v>0</v>
      </c>
      <c r="FD248" s="5">
        <f>$FB$25*(FC248+(1-FC248)*$FB$16)</f>
        <v>0.0</v>
      </c>
      <c r="FE248" s="13">
        <f>FD248*($FB$6+ACUTE_MARGIN)</f>
        <v>0.0</v>
      </c>
      <c r="FF248" s="13">
        <f>IF(FB248=1,$FB$31,$FB$32)</f>
        <v>156636.04979437485</v>
      </c>
      <c r="FG248" s="13">
        <f>FE248-FF248</f>
        <v>-156636.04979437485</v>
      </c>
      <c r="FH248" s="13">
        <f>FH247+FG248</f>
        <v>12384022.412200354</v>
      </c>
      <c r="FI248">
        <f>IF(FH248=MAX($FH$83:$FH$483),$A248,0)</f>
        <v>0</v>
      </c>
      <c r="FJ248">
        <f>IF(FE248&lt;FF248,$A248,B_MAX+1)</f>
        <v>165</v>
      </c>
      <c r="FK248" s="13">
        <f>IF(FB248=1,$FB$35,$FB$36)</f>
        <v>0</v>
      </c>
      <c r="FL248" s="13">
        <f>OCC_DAYS*$FB$41*R_NF_2023-FD248*MCD_SHARE_FREED*R_WAIT_2023</f>
        <v>151980.48282209205</v>
      </c>
      <c r="FM248">
        <f>IF($A248&lt;=$FB$45,1,0)</f>
        <v>0</v>
      </c>
      <c r="GB248">
        <f>IF($GB$31&lt;=$GB$32,IF($A248&lt;=$GB$7,1,2),IF($A248&lt;=RUNG_BEDS_2,2,1))</f>
        <v>1</v>
      </c>
      <c r="GC248" s="5">
        <f>MIN(1,MAX(0,$GB$26-($A248-1)))</f>
        <v>0</v>
      </c>
      <c r="GD248" s="5">
        <f>$GB$25*(GC248+(1-GC248)*$GB$16)</f>
        <v>0.0</v>
      </c>
      <c r="GE248" s="13">
        <f>GD248*($GB$6+ACUTE_MARGIN)</f>
        <v>0.0</v>
      </c>
      <c r="GF248" s="13">
        <f>IF(GB248=1,$GB$31,$GB$32)</f>
        <v>152394.16214437486</v>
      </c>
      <c r="GG248" s="13">
        <f>GE248-GF248</f>
        <v>-152394.16214437486</v>
      </c>
      <c r="GH248" s="13">
        <f>GH247+GG248</f>
        <v>13083933.874450468</v>
      </c>
      <c r="GI248">
        <f>IF(GH248=MAX($GH$83:$GH$483),$A248,0)</f>
        <v>0</v>
      </c>
      <c r="GJ248">
        <f>IF(GE248&lt;GF248,$A248,B_MAX+1)</f>
        <v>165</v>
      </c>
      <c r="GK248" s="13">
        <f>IF(GB248=1,$GB$35,$GB$36)</f>
        <v>0</v>
      </c>
      <c r="GL248" s="13">
        <f>OCC_DAYS*$GB$41*R_NF_2023-GD248*MCD_SHARE_FREED*R_WAIT_2023</f>
        <v>151980.48282209205</v>
      </c>
      <c r="GM248">
        <f>IF($A248&lt;=$GB$45,1,0)</f>
        <v>0</v>
      </c>
      <c r="HB248">
        <f>IF($HB$31&lt;=$HB$32,IF($A248&lt;=$HB$7,1,2),IF($A248&lt;=RUNG_BEDS_2,2,1))</f>
        <v>1</v>
      </c>
      <c r="HC248" s="5">
        <f>MIN(1,MAX(0,$HB$26-($A248-1)))</f>
        <v>0</v>
      </c>
      <c r="HD248" s="5">
        <f>$HB$25*(HC248+(1-HC248)*$HB$16)</f>
        <v>0.0</v>
      </c>
      <c r="HE248" s="13">
        <f>HD248*($HB$6+ACUTE_MARGIN)</f>
        <v>0.0</v>
      </c>
      <c r="HF248" s="13">
        <f>IF(HB248=1,$HB$31,$HB$32)</f>
        <v>152456.2970814058</v>
      </c>
      <c r="HG248" s="13">
        <f>HE248-HF248</f>
        <v>-152456.2970814058</v>
      </c>
      <c r="HH248" s="13">
        <f>HH247+HG248</f>
        <v>13073681.609840335</v>
      </c>
      <c r="HI248">
        <f>IF(HH248=MAX($HH$83:$HH$483),$A248,0)</f>
        <v>0</v>
      </c>
      <c r="HJ248">
        <f>IF(HE248&lt;HF248,$A248,B_MAX+1)</f>
        <v>165</v>
      </c>
      <c r="HK248" s="13">
        <f>IF(HB248=1,$HB$35,$HB$36)</f>
        <v>0</v>
      </c>
      <c r="HL248" s="13">
        <f>OCC_DAYS*$HB$41*R_NF_2023-HD248*MCD_SHARE_FREED*R_WAIT_2023</f>
        <v>151980.48282209205</v>
      </c>
      <c r="HM248">
        <f>IF($A248&lt;=$HB$45,1,0)</f>
        <v>0</v>
      </c>
      <c r="IB248">
        <f>IF($IB$31&lt;=$IB$32,IF($A248&lt;=$IB$7,1,2),IF($A248&lt;=RUNG_BEDS_2,2,1))</f>
        <v>1</v>
      </c>
      <c r="IC248" s="5">
        <f>MIN(1,MAX(0,$IB$26-($A248-1)))</f>
        <v>0</v>
      </c>
      <c r="ID248" s="5">
        <f>$IB$25*(IC248+(1-IC248)*$IB$16)</f>
        <v>0.0</v>
      </c>
      <c r="IE248" s="13">
        <f>ID248*($IB$6+ACUTE_MARGIN)</f>
        <v>0.0</v>
      </c>
      <c r="IF248" s="13">
        <f>IF(IB248=1,$IB$31,$IB$32)</f>
        <v>152734.9994534971</v>
      </c>
      <c r="IG248" s="13">
        <f>IE248-IF248</f>
        <v>-152734.9994534971</v>
      </c>
      <c r="IH248" s="13">
        <f>IH247+IG248</f>
        <v>13027695.718445195</v>
      </c>
      <c r="II248">
        <f>IF(IH248=MAX($IH$83:$IH$483),$A248,0)</f>
        <v>0</v>
      </c>
      <c r="IJ248">
        <f>IF(IE248&lt;IF248,$A248,B_MAX+1)</f>
        <v>165</v>
      </c>
      <c r="IK248" s="13">
        <f>IF(IB248=1,$IB$35,$IB$36)</f>
        <v>0</v>
      </c>
      <c r="IL248" s="13">
        <f>OCC_DAYS*$IB$41*R_NF_2023-ID248*MCD_SHARE_FREED*R_WAIT_2023</f>
        <v>151980.48282209205</v>
      </c>
      <c r="IM248">
        <f>IF($A248&lt;=$IB$45,1,0)</f>
        <v>0</v>
      </c>
      <c r="JB248">
        <f>IF($JB$31&lt;=$JB$32,IF($A248&lt;=$JB$7,1,2),IF($A248&lt;=RUNG_BEDS_2,2,1))</f>
        <v>1</v>
      </c>
      <c r="JC248" s="5">
        <f>MIN(1,MAX(0,$JB$26-($A248-1)))</f>
        <v>0</v>
      </c>
      <c r="JD248" s="5">
        <f>$JB$25*(JC248+(1-JC248)*$JB$16)</f>
        <v>0.0</v>
      </c>
      <c r="JE248" s="13">
        <f>JD248*($JB$6+ACUTE_MARGIN)</f>
        <v>0.0</v>
      </c>
      <c r="JF248" s="13">
        <f>IF(JB248=1,$JB$31,$JB$32)</f>
        <v>152394.16214437486</v>
      </c>
      <c r="JG248" s="13">
        <f>JE248-JF248</f>
        <v>-152394.16214437486</v>
      </c>
      <c r="JH248" s="13">
        <f>JH247+JG248</f>
        <v>13083933.874450468</v>
      </c>
      <c r="JI248">
        <f>IF(JH248=MAX($JH$83:$JH$483),$A248,0)</f>
        <v>0</v>
      </c>
      <c r="JJ248">
        <f>IF(JE248&lt;JF248,$A248,B_MAX+1)</f>
        <v>165</v>
      </c>
      <c r="JK248" s="13">
        <f>IF(JB248=1,$JB$35,$JB$36)</f>
        <v>0</v>
      </c>
      <c r="JL248" s="13">
        <f>OCC_DAYS*$JB$41*R_NF_2023-JD248*MCD_SHARE_FREED*R_WAIT_2023</f>
        <v>151980.48282209205</v>
      </c>
      <c r="JM248">
        <f>IF($A248&lt;=$JB$45,1,0)</f>
        <v>0</v>
      </c>
      <c r="KB248">
        <f>IF($KB$31&lt;=$KB$32,IF($A248&lt;=$KB$7,1,2),IF($A248&lt;=RUNG_BEDS_2,2,1))</f>
        <v>1</v>
      </c>
      <c r="KC248" s="5">
        <f>MIN(1,MAX(0,$KB$26-($A248-1)))</f>
        <v>1</v>
      </c>
      <c r="KD248" s="5">
        <f>$KB$25*(KC248+(1-KC248)*$KB$16)</f>
        <v>126.02661357340719</v>
      </c>
      <c r="KE248" s="13">
        <f>KD248*($KB$6+ACUTE_MARGIN)</f>
        <v>127286.87970914126</v>
      </c>
      <c r="KF248" s="13">
        <f>IF(KB248=1,$KB$31,$KB$32)</f>
        <v>152394.16214437486</v>
      </c>
      <c r="KG248" s="13">
        <f>KE248-KF248</f>
        <v>-25107.282435233603</v>
      </c>
      <c r="KH248" s="13">
        <f>KH247+KG248</f>
        <v>-4142701.6018135566</v>
      </c>
      <c r="KI248">
        <f>IF(KH248=MAX($KH$83:$KH$483),$A248,0)</f>
        <v>0</v>
      </c>
      <c r="KJ248">
        <f>IF(KE248&lt;KF248,$A248,B_MAX+1)</f>
        <v>165</v>
      </c>
      <c r="KK248" s="13">
        <f>IF(KB248=1,$KB$35,$KB$36)</f>
        <v>0</v>
      </c>
      <c r="KL248" s="13">
        <f>OCC_DAYS*$KB$41*R_NF_2023-KD248*MCD_SHARE_FREED*R_WAIT_2023</f>
        <v>94673.82103225985</v>
      </c>
      <c r="KM248">
        <f>IF($A248&lt;=$KB$45,1,0)</f>
        <v>0</v>
      </c>
      <c r="LB248">
        <f>IF($LB$31&lt;=$LB$32,IF($A248&lt;=$LB$7,1,2),IF($A248&lt;=RUNG_BEDS_2,2,1))</f>
        <v>1</v>
      </c>
      <c r="LC248" s="5">
        <f>MIN(1,MAX(0,$LB$26-($A248-1)))</f>
        <v>1</v>
      </c>
      <c r="LD248" s="5">
        <f>$LB$25*(LC248+(1-LC248)*$LB$16)</f>
        <v>84.01774238227146</v>
      </c>
      <c r="LE248" s="13">
        <f>LD248*($LB$6+ACUTE_MARGIN)</f>
        <v>84857.91980609419</v>
      </c>
      <c r="LF248" s="13">
        <f>IF(LB248=1,$LB$31,$LB$32)</f>
        <v>152394.16214437486</v>
      </c>
      <c r="LG248" s="13">
        <f>LE248-LF248</f>
        <v>-67536.24233828067</v>
      </c>
      <c r="LH248" s="13">
        <f>LH247+LG248</f>
        <v>-11143479.985816356</v>
      </c>
      <c r="LI248">
        <f>IF(LH248=MAX($LH$83:$LH$483),$A248,0)</f>
        <v>0</v>
      </c>
      <c r="LJ248">
        <f>IF(LE248&lt;LF248,$A248,B_MAX+1)</f>
        <v>165</v>
      </c>
      <c r="LK248" s="13">
        <f>IF(LB248=1,$LB$35,$LB$36)</f>
        <v>0</v>
      </c>
      <c r="LL248" s="13">
        <f>OCC_DAYS*$LB$41*R_NF_2023-LD248*MCD_SHARE_FREED*R_WAIT_2023</f>
        <v>113776.04162887059</v>
      </c>
      <c r="LM248">
        <f>IF($A248&lt;=$LB$45,1,0)</f>
        <v>0</v>
      </c>
      <c r="MB248">
        <f>IF($MB$31&lt;=$MB$32,IF($A248&lt;=$MB$7,1,2),IF($A248&lt;=RUNG_BEDS_2,2,1))</f>
        <v>1</v>
      </c>
      <c r="MC248" s="5">
        <f>MIN(1,MAX(0,$MB$26-($A248-1)))</f>
        <v>0</v>
      </c>
      <c r="MD248" s="5">
        <f>$MB$25*(MC248+(1-MC248)*$MB$16)</f>
        <v>0.0</v>
      </c>
      <c r="ME248" s="13">
        <f>MD248*($MB$6+ACUTE_MARGIN)</f>
        <v>0.0</v>
      </c>
      <c r="MF248" s="13">
        <f>IF(MB248=1,$MB$31,$MB$32)</f>
        <v>152394.16214437486</v>
      </c>
      <c r="MG248" s="13">
        <f>ME248-MF248</f>
        <v>-152394.16214437486</v>
      </c>
      <c r="MH248" s="13">
        <f>MH247+MG248</f>
        <v>7196657.8126521595</v>
      </c>
      <c r="MI248">
        <f>IF(MH248=MAX($MH$83:$MH$483),$A248,0)</f>
        <v>0</v>
      </c>
      <c r="MJ248">
        <f>IF(ME248&lt;MF248,$A248,B_MAX+1)</f>
        <v>165</v>
      </c>
      <c r="MK248" s="13">
        <f>IF(MB248=1,$MB$35,$MB$36)</f>
        <v>0</v>
      </c>
      <c r="ML248" s="13">
        <f>OCC_DAYS*$MB$41*R_NF_2023-MD248*MCD_SHARE_FREED*R_WAIT_2023</f>
        <v>151980.48282209205</v>
      </c>
      <c r="MM248">
        <f>IF($A248&lt;=$MB$45,1,0)</f>
        <v>0</v>
      </c>
      <c r="NB248">
        <f>IF($NB$31&lt;=$NB$32,IF($A248&lt;=$NB$7,1,2),IF($A248&lt;=RUNG_BEDS_2,2,1))</f>
        <v>1</v>
      </c>
      <c r="NC248" s="5">
        <f>MIN(1,MAX(0,$NB$26-($A248-1)))</f>
        <v>0</v>
      </c>
      <c r="ND248" s="5">
        <f>$NB$25*(NC248+(1-NC248)*$NB$16)</f>
        <v>63.013306786703595</v>
      </c>
      <c r="NE248" s="13">
        <f>ND248*($NB$6+ACUTE_MARGIN)</f>
        <v>63643.43985457063</v>
      </c>
      <c r="NF248" s="13">
        <f>IF(NB248=1,$NB$31,$NB$32)</f>
        <v>152394.16214437486</v>
      </c>
      <c r="NG248" s="13">
        <f>NE248-NF248</f>
        <v>-88750.72228980422</v>
      </c>
      <c r="NH248" s="13">
        <f>NH247+NG248</f>
        <v>14027858.793386545</v>
      </c>
      <c r="NI248">
        <f>IF(NH248=MAX($NH$83:$NH$483),$A248,0)</f>
        <v>0</v>
      </c>
      <c r="NJ248">
        <f>IF(NE248&lt;NF248,$A248,B_MAX+1)</f>
        <v>165</v>
      </c>
      <c r="NK248" s="13">
        <f>IF(NB248=1,$NB$35,$NB$36)</f>
        <v>0</v>
      </c>
      <c r="NL248" s="13">
        <f>OCC_DAYS*$NB$41*R_NF_2023-ND248*MCD_SHARE_FREED*R_WAIT_2023</f>
        <v>123327.15192717595</v>
      </c>
      <c r="NM248">
        <f>IF($A248&lt;=$NB$45,1,0)</f>
        <v>0</v>
      </c>
      <c r="OB248">
        <f>IF($OB$31&lt;=$OB$32,IF($A248&lt;=$OB$7,1,2),IF($A248&lt;=RUNG_BEDS_2,2,1))</f>
        <v>1</v>
      </c>
      <c r="OC248" s="5">
        <f>MIN(1,MAX(0,$OB$26-($A248-1)))</f>
        <v>0</v>
      </c>
      <c r="OD248" s="5">
        <f>$OB$25*(OC248+(1-OC248)*$OB$16)</f>
        <v>126.02661357340719</v>
      </c>
      <c r="OE248" s="13">
        <f>OD248*($OB$6+ACUTE_MARGIN)</f>
        <v>127286.87970914126</v>
      </c>
      <c r="OF248" s="13">
        <f>IF(OB248=1,$OB$31,$OB$32)</f>
        <v>152394.16214437486</v>
      </c>
      <c r="OG248" s="13">
        <f>OE248-OF248</f>
        <v>-25107.282435233603</v>
      </c>
      <c r="OH248" s="13">
        <f>OH247+OG248</f>
        <v>14971783.71232265</v>
      </c>
      <c r="OI248">
        <f>IF(OH248=MAX($OH$83:$OH$483),$A248,0)</f>
        <v>0</v>
      </c>
      <c r="OJ248">
        <f>IF(OE248&lt;OF248,$A248,B_MAX+1)</f>
        <v>165</v>
      </c>
      <c r="OK248" s="13">
        <f>IF(OB248=1,$OB$35,$OB$36)</f>
        <v>0</v>
      </c>
      <c r="OL248" s="13">
        <f>OCC_DAYS*$OB$41*R_NF_2023-OD248*MCD_SHARE_FREED*R_WAIT_2023</f>
        <v>94673.82103225985</v>
      </c>
      <c r="OM248">
        <f>IF($A248&lt;=$OB$45,1,0)</f>
        <v>0</v>
      </c>
    </row>
    <row r="249">
      <c r="A249" t="n">
        <v>166</v>
      </c>
      <c r="B249">
        <f>IF($B$31&lt;=$B$32,IF($A249&lt;=$B$7,1,2),IF($A249&lt;=RUNG_BEDS_2,2,1))</f>
        <v>1</v>
      </c>
      <c r="C249" s="5">
        <f>MIN(1,MAX(0,$B$26-($A249-1)))</f>
        <v>0</v>
      </c>
      <c r="D249" s="5">
        <f>$B$25*(C249+(1-C249)*$B$16)</f>
        <v>0.0</v>
      </c>
      <c r="E249" s="13">
        <f>D249*($B$6+ACUTE_MARGIN)</f>
        <v>0.0</v>
      </c>
      <c r="F249" s="13">
        <f>IF(B249=1,$B$31,$B$32)</f>
        <v>152394.16214437486</v>
      </c>
      <c r="G249" s="13">
        <f>E249-F249</f>
        <v>-152394.16214437486</v>
      </c>
      <c r="H249" s="13">
        <f>H248+G249</f>
        <v>12931539.712306093</v>
      </c>
      <c r="I249">
        <f>IF(H249=MAX($H$83:$H$483),$A249,0)</f>
        <v>0</v>
      </c>
      <c r="J249">
        <f>IF(E249&lt;F249,$A249,B_MAX+1)</f>
        <v>166</v>
      </c>
      <c r="K249" s="13">
        <f>IF(B249=1,$B$35,$B$36)</f>
        <v>0</v>
      </c>
      <c r="L249" s="13">
        <f>OCC_DAYS*$B$41*R_NF_2023-D249*MCD_SHARE_FREED*R_WAIT_2023</f>
        <v>151980.48282209205</v>
      </c>
      <c r="M249">
        <f>IF($A249&lt;=$B$45,1,0)</f>
        <v>0</v>
      </c>
      <c r="AB249">
        <f>IF($AB$31&lt;=$AB$32,IF($A249&lt;=$AB$7,1,2),IF($A249&lt;=RUNG_BEDS_2,2,1))</f>
        <v>1</v>
      </c>
      <c r="AC249" s="5">
        <f>MIN(1,MAX(0,$AB$26-($A249-1)))</f>
        <v>0</v>
      </c>
      <c r="AD249" s="5">
        <f>$AB$25*(AC249+(1-AC249)*$AB$16)</f>
        <v>0.0</v>
      </c>
      <c r="AE249" s="13">
        <f>AD249*($AB$6+ACUTE_MARGIN)</f>
        <v>0.0</v>
      </c>
      <c r="AF249" s="13">
        <f>IF(AB249=1,$AB$31,$AB$32)</f>
        <v>152394.16214437486</v>
      </c>
      <c r="AG249" s="13">
        <f>AE249-AF249</f>
        <v>-152394.16214437486</v>
      </c>
      <c r="AH249" s="13">
        <f>AH248+AG249</f>
        <v>-4479674.6332437135</v>
      </c>
      <c r="AI249">
        <f>IF(AH249=MAX($AH$83:$AH$483),$A249,0)</f>
        <v>0</v>
      </c>
      <c r="AJ249">
        <f>IF(AE249&lt;AF249,$A249,B_MAX+1)</f>
        <v>166</v>
      </c>
      <c r="AK249" s="13">
        <f>IF(AB249=1,$AB$35,$AB$36)</f>
        <v>0</v>
      </c>
      <c r="AL249" s="13">
        <f>OCC_DAYS*$AB$41*R_NF_2023-AD249*MCD_SHARE_FREED*R_WAIT_2023</f>
        <v>151980.48282209205</v>
      </c>
      <c r="AM249">
        <f>IF($A249&lt;=$AB$45,1,0)</f>
        <v>0</v>
      </c>
      <c r="BB249">
        <f>IF($BB$31&lt;=$BB$32,IF($A249&lt;=$BB$7,1,2),IF($A249&lt;=RUNG_BEDS_2,2,1))</f>
        <v>1</v>
      </c>
      <c r="BC249" s="5">
        <f>MIN(1,MAX(0,$BB$26-($A249-1)))</f>
        <v>0</v>
      </c>
      <c r="BD249" s="5">
        <f>$BB$25*(BC249+(1-BC249)*$BB$16)</f>
        <v>0.0</v>
      </c>
      <c r="BE249" s="13">
        <f>BD249*($BB$6+ACUTE_MARGIN)</f>
        <v>0.0</v>
      </c>
      <c r="BF249" s="13">
        <f>IF(BB249=1,$BB$31,$BB$32)</f>
        <v>152394.16214437486</v>
      </c>
      <c r="BG249" s="13">
        <f>BE249-BF249</f>
        <v>-152394.16214437486</v>
      </c>
      <c r="BH249" s="13">
        <f>BH248+BG249</f>
        <v>30342754.057855755</v>
      </c>
      <c r="BI249">
        <f>IF(BH249=MAX($BH$83:$BH$483),$A249,0)</f>
        <v>0</v>
      </c>
      <c r="BJ249">
        <f>IF(BE249&lt;BF249,$A249,B_MAX+1)</f>
        <v>166</v>
      </c>
      <c r="BK249" s="13">
        <f>IF(BB249=1,$BB$35,$BB$36)</f>
        <v>0</v>
      </c>
      <c r="BL249" s="13">
        <f>OCC_DAYS*$BB$41*R_NF_2023-BD249*MCD_SHARE_FREED*R_WAIT_2023</f>
        <v>151980.48282209205</v>
      </c>
      <c r="BM249">
        <f>IF($A249&lt;=$BB$45,1,0)</f>
        <v>0</v>
      </c>
      <c r="CB249">
        <f>IF($CB$31&lt;=$CB$32,IF($A249&lt;=$CB$7,1,2),IF($A249&lt;=RUNG_BEDS_2,2,1))</f>
        <v>2</v>
      </c>
      <c r="CC249" s="5">
        <f>MIN(1,MAX(0,$CB$26-($A249-1)))</f>
        <v>0</v>
      </c>
      <c r="CD249" s="5">
        <f>$CB$25*(CC249+(1-CC249)*$CB$16)</f>
        <v>0.0</v>
      </c>
      <c r="CE249" s="13">
        <f>CD249*($CB$6+ACUTE_MARGIN)</f>
        <v>0.0</v>
      </c>
      <c r="CF249" s="13">
        <f>IF(CB249=1,$CB$31,$CB$32)</f>
        <v>160718.36940738867</v>
      </c>
      <c r="CG249" s="13">
        <f>CE249-CF249</f>
        <v>-160718.36940738867</v>
      </c>
      <c r="CH249" s="13">
        <f>CH248+CG249</f>
        <v>11549721.306645708</v>
      </c>
      <c r="CI249">
        <f>IF(CH249=MAX($CH$83:$CH$483),$A249,0)</f>
        <v>0</v>
      </c>
      <c r="CJ249">
        <f>IF(CE249&lt;CF249,$A249,B_MAX+1)</f>
        <v>166</v>
      </c>
      <c r="CK249" s="13">
        <f>IF(CB249=1,$CB$35,$CB$36)</f>
        <v>1560.1194073886782</v>
      </c>
      <c r="CL249" s="13">
        <f>OCC_DAYS*$CB$41*R_NF_2023-CD249*MCD_SHARE_FREED*R_WAIT_2023</f>
        <v>151980.48282209205</v>
      </c>
      <c r="CM249">
        <f>IF($A249&lt;=$CB$45,1,0)</f>
        <v>0</v>
      </c>
      <c r="DB249">
        <f>IF($DB$31&lt;=$DB$32,IF($A249&lt;=$DB$7,1,2),IF($A249&lt;=RUNG_BEDS_2,2,1))</f>
        <v>1</v>
      </c>
      <c r="DC249" s="5">
        <f>MIN(1,MAX(0,$DB$26-($A249-1)))</f>
        <v>0</v>
      </c>
      <c r="DD249" s="5">
        <f>$DB$25*(DC249+(1-DC249)*$DB$16)</f>
        <v>0.0</v>
      </c>
      <c r="DE249" s="13">
        <f>DD249*($DB$6+ACUTE_MARGIN)</f>
        <v>0.0</v>
      </c>
      <c r="DF249" s="13">
        <f>IF(DB249=1,$DB$31,$DB$32)</f>
        <v>152394.16214437486</v>
      </c>
      <c r="DG249" s="13">
        <f>DE249-DF249</f>
        <v>-152394.16214437486</v>
      </c>
      <c r="DH249" s="13">
        <f>DH248+DG249</f>
        <v>12931539.712306093</v>
      </c>
      <c r="DI249">
        <f>IF(DH249=MAX($DH$83:$DH$483),$A249,0)</f>
        <v>0</v>
      </c>
      <c r="DJ249">
        <f>IF(DE249&lt;DF249,$A249,B_MAX+1)</f>
        <v>166</v>
      </c>
      <c r="DK249" s="13">
        <f>IF(DB249=1,$DB$35,$DB$36)</f>
        <v>0</v>
      </c>
      <c r="DL249" s="13">
        <f>OCC_DAYS*$DB$41*R_NF_2023-DD249*MCD_SHARE_FREED*R_WAIT_2023</f>
        <v>151980.48282209205</v>
      </c>
      <c r="DM249">
        <f>IF($A249&lt;=$DB$45,1,0)</f>
        <v>0</v>
      </c>
      <c r="EB249">
        <f>IF($EB$31&lt;=$EB$32,IF($A249&lt;=$EB$7,1,2),IF($A249&lt;=RUNG_BEDS_2,2,1))</f>
        <v>1</v>
      </c>
      <c r="EC249" s="5">
        <f>MIN(1,MAX(0,$EB$26-($A249-1)))</f>
        <v>0</v>
      </c>
      <c r="ED249" s="5">
        <f>$EB$25*(EC249+(1-EC249)*$EB$16)</f>
        <v>0.0</v>
      </c>
      <c r="EE249" s="13">
        <f>ED249*($EB$6+ACUTE_MARGIN)</f>
        <v>0.0</v>
      </c>
      <c r="EF249" s="13">
        <f>IF(EB249=1,$EB$31,$EB$32)</f>
        <v>152394.16214437486</v>
      </c>
      <c r="EG249" s="13">
        <f>EE249-EF249</f>
        <v>-152394.16214437486</v>
      </c>
      <c r="EH249" s="13">
        <f>EH248+EG249</f>
        <v>12931539.712306093</v>
      </c>
      <c r="EI249">
        <f>IF(EH249=MAX($EH$83:$EH$483),$A249,0)</f>
        <v>0</v>
      </c>
      <c r="EJ249">
        <f>IF(EE249&lt;EF249,$A249,B_MAX+1)</f>
        <v>166</v>
      </c>
      <c r="EK249" s="13">
        <f>IF(EB249=1,$EB$35,$EB$36)</f>
        <v>0</v>
      </c>
      <c r="EL249" s="13">
        <f>OCC_DAYS*$EB$41*R_NF_2023-ED249*MCD_SHARE_FREED*R_WAIT_2023</f>
        <v>50660.16094069735</v>
      </c>
      <c r="EM249">
        <f>IF($A249&lt;=$EB$45,1,0)</f>
        <v>0</v>
      </c>
      <c r="FB249">
        <f>IF($FB$31&lt;=$FB$32,IF($A249&lt;=$FB$7,1,2),IF($A249&lt;=RUNG_BEDS_2,2,1))</f>
        <v>1</v>
      </c>
      <c r="FC249" s="5">
        <f>MIN(1,MAX(0,$FB$26-($A249-1)))</f>
        <v>0</v>
      </c>
      <c r="FD249" s="5">
        <f>$FB$25*(FC249+(1-FC249)*$FB$16)</f>
        <v>0.0</v>
      </c>
      <c r="FE249" s="13">
        <f>FD249*($FB$6+ACUTE_MARGIN)</f>
        <v>0.0</v>
      </c>
      <c r="FF249" s="13">
        <f>IF(FB249=1,$FB$31,$FB$32)</f>
        <v>156636.04979437485</v>
      </c>
      <c r="FG249" s="13">
        <f>FE249-FF249</f>
        <v>-156636.04979437485</v>
      </c>
      <c r="FH249" s="13">
        <f>FH248+FG249</f>
        <v>12227386.36240598</v>
      </c>
      <c r="FI249">
        <f>IF(FH249=MAX($FH$83:$FH$483),$A249,0)</f>
        <v>0</v>
      </c>
      <c r="FJ249">
        <f>IF(FE249&lt;FF249,$A249,B_MAX+1)</f>
        <v>166</v>
      </c>
      <c r="FK249" s="13">
        <f>IF(FB249=1,$FB$35,$FB$36)</f>
        <v>0</v>
      </c>
      <c r="FL249" s="13">
        <f>OCC_DAYS*$FB$41*R_NF_2023-FD249*MCD_SHARE_FREED*R_WAIT_2023</f>
        <v>151980.48282209205</v>
      </c>
      <c r="FM249">
        <f>IF($A249&lt;=$FB$45,1,0)</f>
        <v>0</v>
      </c>
      <c r="GB249">
        <f>IF($GB$31&lt;=$GB$32,IF($A249&lt;=$GB$7,1,2),IF($A249&lt;=RUNG_BEDS_2,2,1))</f>
        <v>1</v>
      </c>
      <c r="GC249" s="5">
        <f>MIN(1,MAX(0,$GB$26-($A249-1)))</f>
        <v>0</v>
      </c>
      <c r="GD249" s="5">
        <f>$GB$25*(GC249+(1-GC249)*$GB$16)</f>
        <v>0.0</v>
      </c>
      <c r="GE249" s="13">
        <f>GD249*($GB$6+ACUTE_MARGIN)</f>
        <v>0.0</v>
      </c>
      <c r="GF249" s="13">
        <f>IF(GB249=1,$GB$31,$GB$32)</f>
        <v>152394.16214437486</v>
      </c>
      <c r="GG249" s="13">
        <f>GE249-GF249</f>
        <v>-152394.16214437486</v>
      </c>
      <c r="GH249" s="13">
        <f>GH248+GG249</f>
        <v>12931539.712306093</v>
      </c>
      <c r="GI249">
        <f>IF(GH249=MAX($GH$83:$GH$483),$A249,0)</f>
        <v>0</v>
      </c>
      <c r="GJ249">
        <f>IF(GE249&lt;GF249,$A249,B_MAX+1)</f>
        <v>166</v>
      </c>
      <c r="GK249" s="13">
        <f>IF(GB249=1,$GB$35,$GB$36)</f>
        <v>0</v>
      </c>
      <c r="GL249" s="13">
        <f>OCC_DAYS*$GB$41*R_NF_2023-GD249*MCD_SHARE_FREED*R_WAIT_2023</f>
        <v>151980.48282209205</v>
      </c>
      <c r="GM249">
        <f>IF($A249&lt;=$GB$45,1,0)</f>
        <v>0</v>
      </c>
      <c r="HB249">
        <f>IF($HB$31&lt;=$HB$32,IF($A249&lt;=$HB$7,1,2),IF($A249&lt;=RUNG_BEDS_2,2,1))</f>
        <v>1</v>
      </c>
      <c r="HC249" s="5">
        <f>MIN(1,MAX(0,$HB$26-($A249-1)))</f>
        <v>0</v>
      </c>
      <c r="HD249" s="5">
        <f>$HB$25*(HC249+(1-HC249)*$HB$16)</f>
        <v>0.0</v>
      </c>
      <c r="HE249" s="13">
        <f>HD249*($HB$6+ACUTE_MARGIN)</f>
        <v>0.0</v>
      </c>
      <c r="HF249" s="13">
        <f>IF(HB249=1,$HB$31,$HB$32)</f>
        <v>152456.2970814058</v>
      </c>
      <c r="HG249" s="13">
        <f>HE249-HF249</f>
        <v>-152456.2970814058</v>
      </c>
      <c r="HH249" s="13">
        <f>HH248+HG249</f>
        <v>12921225.31275893</v>
      </c>
      <c r="HI249">
        <f>IF(HH249=MAX($HH$83:$HH$483),$A249,0)</f>
        <v>0</v>
      </c>
      <c r="HJ249">
        <f>IF(HE249&lt;HF249,$A249,B_MAX+1)</f>
        <v>166</v>
      </c>
      <c r="HK249" s="13">
        <f>IF(HB249=1,$HB$35,$HB$36)</f>
        <v>0</v>
      </c>
      <c r="HL249" s="13">
        <f>OCC_DAYS*$HB$41*R_NF_2023-HD249*MCD_SHARE_FREED*R_WAIT_2023</f>
        <v>151980.48282209205</v>
      </c>
      <c r="HM249">
        <f>IF($A249&lt;=$HB$45,1,0)</f>
        <v>0</v>
      </c>
      <c r="IB249">
        <f>IF($IB$31&lt;=$IB$32,IF($A249&lt;=$IB$7,1,2),IF($A249&lt;=RUNG_BEDS_2,2,1))</f>
        <v>1</v>
      </c>
      <c r="IC249" s="5">
        <f>MIN(1,MAX(0,$IB$26-($A249-1)))</f>
        <v>0</v>
      </c>
      <c r="ID249" s="5">
        <f>$IB$25*(IC249+(1-IC249)*$IB$16)</f>
        <v>0.0</v>
      </c>
      <c r="IE249" s="13">
        <f>ID249*($IB$6+ACUTE_MARGIN)</f>
        <v>0.0</v>
      </c>
      <c r="IF249" s="13">
        <f>IF(IB249=1,$IB$31,$IB$32)</f>
        <v>152734.9994534971</v>
      </c>
      <c r="IG249" s="13">
        <f>IE249-IF249</f>
        <v>-152734.9994534971</v>
      </c>
      <c r="IH249" s="13">
        <f>IH248+IG249</f>
        <v>12874960.718991699</v>
      </c>
      <c r="II249">
        <f>IF(IH249=MAX($IH$83:$IH$483),$A249,0)</f>
        <v>0</v>
      </c>
      <c r="IJ249">
        <f>IF(IE249&lt;IF249,$A249,B_MAX+1)</f>
        <v>166</v>
      </c>
      <c r="IK249" s="13">
        <f>IF(IB249=1,$IB$35,$IB$36)</f>
        <v>0</v>
      </c>
      <c r="IL249" s="13">
        <f>OCC_DAYS*$IB$41*R_NF_2023-ID249*MCD_SHARE_FREED*R_WAIT_2023</f>
        <v>151980.48282209205</v>
      </c>
      <c r="IM249">
        <f>IF($A249&lt;=$IB$45,1,0)</f>
        <v>0</v>
      </c>
      <c r="JB249">
        <f>IF($JB$31&lt;=$JB$32,IF($A249&lt;=$JB$7,1,2),IF($A249&lt;=RUNG_BEDS_2,2,1))</f>
        <v>1</v>
      </c>
      <c r="JC249" s="5">
        <f>MIN(1,MAX(0,$JB$26-($A249-1)))</f>
        <v>0</v>
      </c>
      <c r="JD249" s="5">
        <f>$JB$25*(JC249+(1-JC249)*$JB$16)</f>
        <v>0.0</v>
      </c>
      <c r="JE249" s="13">
        <f>JD249*($JB$6+ACUTE_MARGIN)</f>
        <v>0.0</v>
      </c>
      <c r="JF249" s="13">
        <f>IF(JB249=1,$JB$31,$JB$32)</f>
        <v>152394.16214437486</v>
      </c>
      <c r="JG249" s="13">
        <f>JE249-JF249</f>
        <v>-152394.16214437486</v>
      </c>
      <c r="JH249" s="13">
        <f>JH248+JG249</f>
        <v>12931539.712306093</v>
      </c>
      <c r="JI249">
        <f>IF(JH249=MAX($JH$83:$JH$483),$A249,0)</f>
        <v>0</v>
      </c>
      <c r="JJ249">
        <f>IF(JE249&lt;JF249,$A249,B_MAX+1)</f>
        <v>166</v>
      </c>
      <c r="JK249" s="13">
        <f>IF(JB249=1,$JB$35,$JB$36)</f>
        <v>0</v>
      </c>
      <c r="JL249" s="13">
        <f>OCC_DAYS*$JB$41*R_NF_2023-JD249*MCD_SHARE_FREED*R_WAIT_2023</f>
        <v>151980.48282209205</v>
      </c>
      <c r="JM249">
        <f>IF($A249&lt;=$JB$45,1,0)</f>
        <v>0</v>
      </c>
      <c r="KB249">
        <f>IF($KB$31&lt;=$KB$32,IF($A249&lt;=$KB$7,1,2),IF($A249&lt;=RUNG_BEDS_2,2,1))</f>
        <v>1</v>
      </c>
      <c r="KC249" s="5">
        <f>MIN(1,MAX(0,$KB$26-($A249-1)))</f>
        <v>1</v>
      </c>
      <c r="KD249" s="5">
        <f>$KB$25*(KC249+(1-KC249)*$KB$16)</f>
        <v>126.02661357340719</v>
      </c>
      <c r="KE249" s="13">
        <f>KD249*($KB$6+ACUTE_MARGIN)</f>
        <v>127286.87970914126</v>
      </c>
      <c r="KF249" s="13">
        <f>IF(KB249=1,$KB$31,$KB$32)</f>
        <v>152394.16214437486</v>
      </c>
      <c r="KG249" s="13">
        <f>KE249-KF249</f>
        <v>-25107.282435233603</v>
      </c>
      <c r="KH249" s="13">
        <f>KH248+KG249</f>
        <v>-4167808.8842487903</v>
      </c>
      <c r="KI249">
        <f>IF(KH249=MAX($KH$83:$KH$483),$A249,0)</f>
        <v>0</v>
      </c>
      <c r="KJ249">
        <f>IF(KE249&lt;KF249,$A249,B_MAX+1)</f>
        <v>166</v>
      </c>
      <c r="KK249" s="13">
        <f>IF(KB249=1,$KB$35,$KB$36)</f>
        <v>0</v>
      </c>
      <c r="KL249" s="13">
        <f>OCC_DAYS*$KB$41*R_NF_2023-KD249*MCD_SHARE_FREED*R_WAIT_2023</f>
        <v>94673.82103225985</v>
      </c>
      <c r="KM249">
        <f>IF($A249&lt;=$KB$45,1,0)</f>
        <v>0</v>
      </c>
      <c r="LB249">
        <f>IF($LB$31&lt;=$LB$32,IF($A249&lt;=$LB$7,1,2),IF($A249&lt;=RUNG_BEDS_2,2,1))</f>
        <v>1</v>
      </c>
      <c r="LC249" s="5">
        <f>MIN(1,MAX(0,$LB$26-($A249-1)))</f>
        <v>1</v>
      </c>
      <c r="LD249" s="5">
        <f>$LB$25*(LC249+(1-LC249)*$LB$16)</f>
        <v>84.01774238227146</v>
      </c>
      <c r="LE249" s="13">
        <f>LD249*($LB$6+ACUTE_MARGIN)</f>
        <v>84857.91980609419</v>
      </c>
      <c r="LF249" s="13">
        <f>IF(LB249=1,$LB$31,$LB$32)</f>
        <v>152394.16214437486</v>
      </c>
      <c r="LG249" s="13">
        <f>LE249-LF249</f>
        <v>-67536.24233828067</v>
      </c>
      <c r="LH249" s="13">
        <f>LH248+LG249</f>
        <v>-11211016.228154637</v>
      </c>
      <c r="LI249">
        <f>IF(LH249=MAX($LH$83:$LH$483),$A249,0)</f>
        <v>0</v>
      </c>
      <c r="LJ249">
        <f>IF(LE249&lt;LF249,$A249,B_MAX+1)</f>
        <v>166</v>
      </c>
      <c r="LK249" s="13">
        <f>IF(LB249=1,$LB$35,$LB$36)</f>
        <v>0</v>
      </c>
      <c r="LL249" s="13">
        <f>OCC_DAYS*$LB$41*R_NF_2023-LD249*MCD_SHARE_FREED*R_WAIT_2023</f>
        <v>113776.04162887059</v>
      </c>
      <c r="LM249">
        <f>IF($A249&lt;=$LB$45,1,0)</f>
        <v>0</v>
      </c>
      <c r="MB249">
        <f>IF($MB$31&lt;=$MB$32,IF($A249&lt;=$MB$7,1,2),IF($A249&lt;=RUNG_BEDS_2,2,1))</f>
        <v>1</v>
      </c>
      <c r="MC249" s="5">
        <f>MIN(1,MAX(0,$MB$26-($A249-1)))</f>
        <v>0</v>
      </c>
      <c r="MD249" s="5">
        <f>$MB$25*(MC249+(1-MC249)*$MB$16)</f>
        <v>0.0</v>
      </c>
      <c r="ME249" s="13">
        <f>MD249*($MB$6+ACUTE_MARGIN)</f>
        <v>0.0</v>
      </c>
      <c r="MF249" s="13">
        <f>IF(MB249=1,$MB$31,$MB$32)</f>
        <v>152394.16214437486</v>
      </c>
      <c r="MG249" s="13">
        <f>ME249-MF249</f>
        <v>-152394.16214437486</v>
      </c>
      <c r="MH249" s="13">
        <f>MH248+MG249</f>
        <v>7044263.650507784</v>
      </c>
      <c r="MI249">
        <f>IF(MH249=MAX($MH$83:$MH$483),$A249,0)</f>
        <v>0</v>
      </c>
      <c r="MJ249">
        <f>IF(ME249&lt;MF249,$A249,B_MAX+1)</f>
        <v>166</v>
      </c>
      <c r="MK249" s="13">
        <f>IF(MB249=1,$MB$35,$MB$36)</f>
        <v>0</v>
      </c>
      <c r="ML249" s="13">
        <f>OCC_DAYS*$MB$41*R_NF_2023-MD249*MCD_SHARE_FREED*R_WAIT_2023</f>
        <v>151980.48282209205</v>
      </c>
      <c r="MM249">
        <f>IF($A249&lt;=$MB$45,1,0)</f>
        <v>0</v>
      </c>
      <c r="NB249">
        <f>IF($NB$31&lt;=$NB$32,IF($A249&lt;=$NB$7,1,2),IF($A249&lt;=RUNG_BEDS_2,2,1))</f>
        <v>1</v>
      </c>
      <c r="NC249" s="5">
        <f>MIN(1,MAX(0,$NB$26-($A249-1)))</f>
        <v>0</v>
      </c>
      <c r="ND249" s="5">
        <f>$NB$25*(NC249+(1-NC249)*$NB$16)</f>
        <v>63.013306786703595</v>
      </c>
      <c r="NE249" s="13">
        <f>ND249*($NB$6+ACUTE_MARGIN)</f>
        <v>63643.43985457063</v>
      </c>
      <c r="NF249" s="13">
        <f>IF(NB249=1,$NB$31,$NB$32)</f>
        <v>152394.16214437486</v>
      </c>
      <c r="NG249" s="13">
        <f>NE249-NF249</f>
        <v>-88750.72228980422</v>
      </c>
      <c r="NH249" s="13">
        <f>NH248+NG249</f>
        <v>13939108.07109674</v>
      </c>
      <c r="NI249">
        <f>IF(NH249=MAX($NH$83:$NH$483),$A249,0)</f>
        <v>0</v>
      </c>
      <c r="NJ249">
        <f>IF(NE249&lt;NF249,$A249,B_MAX+1)</f>
        <v>166</v>
      </c>
      <c r="NK249" s="13">
        <f>IF(NB249=1,$NB$35,$NB$36)</f>
        <v>0</v>
      </c>
      <c r="NL249" s="13">
        <f>OCC_DAYS*$NB$41*R_NF_2023-ND249*MCD_SHARE_FREED*R_WAIT_2023</f>
        <v>123327.15192717595</v>
      </c>
      <c r="NM249">
        <f>IF($A249&lt;=$NB$45,1,0)</f>
        <v>0</v>
      </c>
      <c r="OB249">
        <f>IF($OB$31&lt;=$OB$32,IF($A249&lt;=$OB$7,1,2),IF($A249&lt;=RUNG_BEDS_2,2,1))</f>
        <v>1</v>
      </c>
      <c r="OC249" s="5">
        <f>MIN(1,MAX(0,$OB$26-($A249-1)))</f>
        <v>0</v>
      </c>
      <c r="OD249" s="5">
        <f>$OB$25*(OC249+(1-OC249)*$OB$16)</f>
        <v>126.02661357340719</v>
      </c>
      <c r="OE249" s="13">
        <f>OD249*($OB$6+ACUTE_MARGIN)</f>
        <v>127286.87970914126</v>
      </c>
      <c r="OF249" s="13">
        <f>IF(OB249=1,$OB$31,$OB$32)</f>
        <v>152394.16214437486</v>
      </c>
      <c r="OG249" s="13">
        <f>OE249-OF249</f>
        <v>-25107.282435233603</v>
      </c>
      <c r="OH249" s="13">
        <f>OH248+OG249</f>
        <v>14946676.429887418</v>
      </c>
      <c r="OI249">
        <f>IF(OH249=MAX($OH$83:$OH$483),$A249,0)</f>
        <v>0</v>
      </c>
      <c r="OJ249">
        <f>IF(OE249&lt;OF249,$A249,B_MAX+1)</f>
        <v>166</v>
      </c>
      <c r="OK249" s="13">
        <f>IF(OB249=1,$OB$35,$OB$36)</f>
        <v>0</v>
      </c>
      <c r="OL249" s="13">
        <f>OCC_DAYS*$OB$41*R_NF_2023-OD249*MCD_SHARE_FREED*R_WAIT_2023</f>
        <v>94673.82103225985</v>
      </c>
      <c r="OM249">
        <f>IF($A249&lt;=$OB$45,1,0)</f>
        <v>0</v>
      </c>
    </row>
    <row r="250">
      <c r="A250" t="n">
        <v>167</v>
      </c>
      <c r="B250">
        <f>IF($B$31&lt;=$B$32,IF($A250&lt;=$B$7,1,2),IF($A250&lt;=RUNG_BEDS_2,2,1))</f>
        <v>1</v>
      </c>
      <c r="C250" s="5">
        <f>MIN(1,MAX(0,$B$26-($A250-1)))</f>
        <v>0</v>
      </c>
      <c r="D250" s="5">
        <f>$B$25*(C250+(1-C250)*$B$16)</f>
        <v>0.0</v>
      </c>
      <c r="E250" s="13">
        <f>D250*($B$6+ACUTE_MARGIN)</f>
        <v>0.0</v>
      </c>
      <c r="F250" s="13">
        <f>IF(B250=1,$B$31,$B$32)</f>
        <v>152394.16214437486</v>
      </c>
      <c r="G250" s="13">
        <f>E250-F250</f>
        <v>-152394.16214437486</v>
      </c>
      <c r="H250" s="13">
        <f>H249+G250</f>
        <v>12779145.55016172</v>
      </c>
      <c r="I250">
        <f>IF(H250=MAX($H$83:$H$483),$A250,0)</f>
        <v>0</v>
      </c>
      <c r="J250">
        <f>IF(E250&lt;F250,$A250,B_MAX+1)</f>
        <v>167</v>
      </c>
      <c r="K250" s="13">
        <f>IF(B250=1,$B$35,$B$36)</f>
        <v>0</v>
      </c>
      <c r="L250" s="13">
        <f>OCC_DAYS*$B$41*R_NF_2023-D250*MCD_SHARE_FREED*R_WAIT_2023</f>
        <v>151980.48282209205</v>
      </c>
      <c r="M250">
        <f>IF($A250&lt;=$B$45,1,0)</f>
        <v>0</v>
      </c>
      <c r="AB250">
        <f>IF($AB$31&lt;=$AB$32,IF($A250&lt;=$AB$7,1,2),IF($A250&lt;=RUNG_BEDS_2,2,1))</f>
        <v>1</v>
      </c>
      <c r="AC250" s="5">
        <f>MIN(1,MAX(0,$AB$26-($A250-1)))</f>
        <v>0</v>
      </c>
      <c r="AD250" s="5">
        <f>$AB$25*(AC250+(1-AC250)*$AB$16)</f>
        <v>0.0</v>
      </c>
      <c r="AE250" s="13">
        <f>AD250*($AB$6+ACUTE_MARGIN)</f>
        <v>0.0</v>
      </c>
      <c r="AF250" s="13">
        <f>IF(AB250=1,$AB$31,$AB$32)</f>
        <v>152394.16214437486</v>
      </c>
      <c r="AG250" s="13">
        <f>AE250-AF250</f>
        <v>-152394.16214437486</v>
      </c>
      <c r="AH250" s="13">
        <f>AH249+AG250</f>
        <v>-4632068.795388089</v>
      </c>
      <c r="AI250">
        <f>IF(AH250=MAX($AH$83:$AH$483),$A250,0)</f>
        <v>0</v>
      </c>
      <c r="AJ250">
        <f>IF(AE250&lt;AF250,$A250,B_MAX+1)</f>
        <v>167</v>
      </c>
      <c r="AK250" s="13">
        <f>IF(AB250=1,$AB$35,$AB$36)</f>
        <v>0</v>
      </c>
      <c r="AL250" s="13">
        <f>OCC_DAYS*$AB$41*R_NF_2023-AD250*MCD_SHARE_FREED*R_WAIT_2023</f>
        <v>151980.48282209205</v>
      </c>
      <c r="AM250">
        <f>IF($A250&lt;=$AB$45,1,0)</f>
        <v>0</v>
      </c>
      <c r="BB250">
        <f>IF($BB$31&lt;=$BB$32,IF($A250&lt;=$BB$7,1,2),IF($A250&lt;=RUNG_BEDS_2,2,1))</f>
        <v>1</v>
      </c>
      <c r="BC250" s="5">
        <f>MIN(1,MAX(0,$BB$26-($A250-1)))</f>
        <v>0</v>
      </c>
      <c r="BD250" s="5">
        <f>$BB$25*(BC250+(1-BC250)*$BB$16)</f>
        <v>0.0</v>
      </c>
      <c r="BE250" s="13">
        <f>BD250*($BB$6+ACUTE_MARGIN)</f>
        <v>0.0</v>
      </c>
      <c r="BF250" s="13">
        <f>IF(BB250=1,$BB$31,$BB$32)</f>
        <v>152394.16214437486</v>
      </c>
      <c r="BG250" s="13">
        <f>BE250-BF250</f>
        <v>-152394.16214437486</v>
      </c>
      <c r="BH250" s="13">
        <f>BH249+BG250</f>
        <v>30190359.89571138</v>
      </c>
      <c r="BI250">
        <f>IF(BH250=MAX($BH$83:$BH$483),$A250,0)</f>
        <v>0</v>
      </c>
      <c r="BJ250">
        <f>IF(BE250&lt;BF250,$A250,B_MAX+1)</f>
        <v>167</v>
      </c>
      <c r="BK250" s="13">
        <f>IF(BB250=1,$BB$35,$BB$36)</f>
        <v>0</v>
      </c>
      <c r="BL250" s="13">
        <f>OCC_DAYS*$BB$41*R_NF_2023-BD250*MCD_SHARE_FREED*R_WAIT_2023</f>
        <v>151980.48282209205</v>
      </c>
      <c r="BM250">
        <f>IF($A250&lt;=$BB$45,1,0)</f>
        <v>0</v>
      </c>
      <c r="CB250">
        <f>IF($CB$31&lt;=$CB$32,IF($A250&lt;=$CB$7,1,2),IF($A250&lt;=RUNG_BEDS_2,2,1))</f>
        <v>2</v>
      </c>
      <c r="CC250" s="5">
        <f>MIN(1,MAX(0,$CB$26-($A250-1)))</f>
        <v>0</v>
      </c>
      <c r="CD250" s="5">
        <f>$CB$25*(CC250+(1-CC250)*$CB$16)</f>
        <v>0.0</v>
      </c>
      <c r="CE250" s="13">
        <f>CD250*($CB$6+ACUTE_MARGIN)</f>
        <v>0.0</v>
      </c>
      <c r="CF250" s="13">
        <f>IF(CB250=1,$CB$31,$CB$32)</f>
        <v>160718.36940738867</v>
      </c>
      <c r="CG250" s="13">
        <f>CE250-CF250</f>
        <v>-160718.36940738867</v>
      </c>
      <c r="CH250" s="13">
        <f>CH249+CG250</f>
        <v>11389002.937238319</v>
      </c>
      <c r="CI250">
        <f>IF(CH250=MAX($CH$83:$CH$483),$A250,0)</f>
        <v>0</v>
      </c>
      <c r="CJ250">
        <f>IF(CE250&lt;CF250,$A250,B_MAX+1)</f>
        <v>167</v>
      </c>
      <c r="CK250" s="13">
        <f>IF(CB250=1,$CB$35,$CB$36)</f>
        <v>1560.1194073886782</v>
      </c>
      <c r="CL250" s="13">
        <f>OCC_DAYS*$CB$41*R_NF_2023-CD250*MCD_SHARE_FREED*R_WAIT_2023</f>
        <v>151980.48282209205</v>
      </c>
      <c r="CM250">
        <f>IF($A250&lt;=$CB$45,1,0)</f>
        <v>0</v>
      </c>
      <c r="DB250">
        <f>IF($DB$31&lt;=$DB$32,IF($A250&lt;=$DB$7,1,2),IF($A250&lt;=RUNG_BEDS_2,2,1))</f>
        <v>1</v>
      </c>
      <c r="DC250" s="5">
        <f>MIN(1,MAX(0,$DB$26-($A250-1)))</f>
        <v>0</v>
      </c>
      <c r="DD250" s="5">
        <f>$DB$25*(DC250+(1-DC250)*$DB$16)</f>
        <v>0.0</v>
      </c>
      <c r="DE250" s="13">
        <f>DD250*($DB$6+ACUTE_MARGIN)</f>
        <v>0.0</v>
      </c>
      <c r="DF250" s="13">
        <f>IF(DB250=1,$DB$31,$DB$32)</f>
        <v>152394.16214437486</v>
      </c>
      <c r="DG250" s="13">
        <f>DE250-DF250</f>
        <v>-152394.16214437486</v>
      </c>
      <c r="DH250" s="13">
        <f>DH249+DG250</f>
        <v>12779145.55016172</v>
      </c>
      <c r="DI250">
        <f>IF(DH250=MAX($DH$83:$DH$483),$A250,0)</f>
        <v>0</v>
      </c>
      <c r="DJ250">
        <f>IF(DE250&lt;DF250,$A250,B_MAX+1)</f>
        <v>167</v>
      </c>
      <c r="DK250" s="13">
        <f>IF(DB250=1,$DB$35,$DB$36)</f>
        <v>0</v>
      </c>
      <c r="DL250" s="13">
        <f>OCC_DAYS*$DB$41*R_NF_2023-DD250*MCD_SHARE_FREED*R_WAIT_2023</f>
        <v>151980.48282209205</v>
      </c>
      <c r="DM250">
        <f>IF($A250&lt;=$DB$45,1,0)</f>
        <v>0</v>
      </c>
      <c r="EB250">
        <f>IF($EB$31&lt;=$EB$32,IF($A250&lt;=$EB$7,1,2),IF($A250&lt;=RUNG_BEDS_2,2,1))</f>
        <v>1</v>
      </c>
      <c r="EC250" s="5">
        <f>MIN(1,MAX(0,$EB$26-($A250-1)))</f>
        <v>0</v>
      </c>
      <c r="ED250" s="5">
        <f>$EB$25*(EC250+(1-EC250)*$EB$16)</f>
        <v>0.0</v>
      </c>
      <c r="EE250" s="13">
        <f>ED250*($EB$6+ACUTE_MARGIN)</f>
        <v>0.0</v>
      </c>
      <c r="EF250" s="13">
        <f>IF(EB250=1,$EB$31,$EB$32)</f>
        <v>152394.16214437486</v>
      </c>
      <c r="EG250" s="13">
        <f>EE250-EF250</f>
        <v>-152394.16214437486</v>
      </c>
      <c r="EH250" s="13">
        <f>EH249+EG250</f>
        <v>12779145.55016172</v>
      </c>
      <c r="EI250">
        <f>IF(EH250=MAX($EH$83:$EH$483),$A250,0)</f>
        <v>0</v>
      </c>
      <c r="EJ250">
        <f>IF(EE250&lt;EF250,$A250,B_MAX+1)</f>
        <v>167</v>
      </c>
      <c r="EK250" s="13">
        <f>IF(EB250=1,$EB$35,$EB$36)</f>
        <v>0</v>
      </c>
      <c r="EL250" s="13">
        <f>OCC_DAYS*$EB$41*R_NF_2023-ED250*MCD_SHARE_FREED*R_WAIT_2023</f>
        <v>50660.16094069735</v>
      </c>
      <c r="EM250">
        <f>IF($A250&lt;=$EB$45,1,0)</f>
        <v>0</v>
      </c>
      <c r="FB250">
        <f>IF($FB$31&lt;=$FB$32,IF($A250&lt;=$FB$7,1,2),IF($A250&lt;=RUNG_BEDS_2,2,1))</f>
        <v>1</v>
      </c>
      <c r="FC250" s="5">
        <f>MIN(1,MAX(0,$FB$26-($A250-1)))</f>
        <v>0</v>
      </c>
      <c r="FD250" s="5">
        <f>$FB$25*(FC250+(1-FC250)*$FB$16)</f>
        <v>0.0</v>
      </c>
      <c r="FE250" s="13">
        <f>FD250*($FB$6+ACUTE_MARGIN)</f>
        <v>0.0</v>
      </c>
      <c r="FF250" s="13">
        <f>IF(FB250=1,$FB$31,$FB$32)</f>
        <v>156636.04979437485</v>
      </c>
      <c r="FG250" s="13">
        <f>FE250-FF250</f>
        <v>-156636.04979437485</v>
      </c>
      <c r="FH250" s="13">
        <f>FH249+FG250</f>
        <v>12070750.312611606</v>
      </c>
      <c r="FI250">
        <f>IF(FH250=MAX($FH$83:$FH$483),$A250,0)</f>
        <v>0</v>
      </c>
      <c r="FJ250">
        <f>IF(FE250&lt;FF250,$A250,B_MAX+1)</f>
        <v>167</v>
      </c>
      <c r="FK250" s="13">
        <f>IF(FB250=1,$FB$35,$FB$36)</f>
        <v>0</v>
      </c>
      <c r="FL250" s="13">
        <f>OCC_DAYS*$FB$41*R_NF_2023-FD250*MCD_SHARE_FREED*R_WAIT_2023</f>
        <v>151980.48282209205</v>
      </c>
      <c r="FM250">
        <f>IF($A250&lt;=$FB$45,1,0)</f>
        <v>0</v>
      </c>
      <c r="GB250">
        <f>IF($GB$31&lt;=$GB$32,IF($A250&lt;=$GB$7,1,2),IF($A250&lt;=RUNG_BEDS_2,2,1))</f>
        <v>1</v>
      </c>
      <c r="GC250" s="5">
        <f>MIN(1,MAX(0,$GB$26-($A250-1)))</f>
        <v>0</v>
      </c>
      <c r="GD250" s="5">
        <f>$GB$25*(GC250+(1-GC250)*$GB$16)</f>
        <v>0.0</v>
      </c>
      <c r="GE250" s="13">
        <f>GD250*($GB$6+ACUTE_MARGIN)</f>
        <v>0.0</v>
      </c>
      <c r="GF250" s="13">
        <f>IF(GB250=1,$GB$31,$GB$32)</f>
        <v>152394.16214437486</v>
      </c>
      <c r="GG250" s="13">
        <f>GE250-GF250</f>
        <v>-152394.16214437486</v>
      </c>
      <c r="GH250" s="13">
        <f>GH249+GG250</f>
        <v>12779145.55016172</v>
      </c>
      <c r="GI250">
        <f>IF(GH250=MAX($GH$83:$GH$483),$A250,0)</f>
        <v>0</v>
      </c>
      <c r="GJ250">
        <f>IF(GE250&lt;GF250,$A250,B_MAX+1)</f>
        <v>167</v>
      </c>
      <c r="GK250" s="13">
        <f>IF(GB250=1,$GB$35,$GB$36)</f>
        <v>0</v>
      </c>
      <c r="GL250" s="13">
        <f>OCC_DAYS*$GB$41*R_NF_2023-GD250*MCD_SHARE_FREED*R_WAIT_2023</f>
        <v>151980.48282209205</v>
      </c>
      <c r="GM250">
        <f>IF($A250&lt;=$GB$45,1,0)</f>
        <v>0</v>
      </c>
      <c r="HB250">
        <f>IF($HB$31&lt;=$HB$32,IF($A250&lt;=$HB$7,1,2),IF($A250&lt;=RUNG_BEDS_2,2,1))</f>
        <v>1</v>
      </c>
      <c r="HC250" s="5">
        <f>MIN(1,MAX(0,$HB$26-($A250-1)))</f>
        <v>0</v>
      </c>
      <c r="HD250" s="5">
        <f>$HB$25*(HC250+(1-HC250)*$HB$16)</f>
        <v>0.0</v>
      </c>
      <c r="HE250" s="13">
        <f>HD250*($HB$6+ACUTE_MARGIN)</f>
        <v>0.0</v>
      </c>
      <c r="HF250" s="13">
        <f>IF(HB250=1,$HB$31,$HB$32)</f>
        <v>152456.2970814058</v>
      </c>
      <c r="HG250" s="13">
        <f>HE250-HF250</f>
        <v>-152456.2970814058</v>
      </c>
      <c r="HH250" s="13">
        <f>HH249+HG250</f>
        <v>12768769.015677525</v>
      </c>
      <c r="HI250">
        <f>IF(HH250=MAX($HH$83:$HH$483),$A250,0)</f>
        <v>0</v>
      </c>
      <c r="HJ250">
        <f>IF(HE250&lt;HF250,$A250,B_MAX+1)</f>
        <v>167</v>
      </c>
      <c r="HK250" s="13">
        <f>IF(HB250=1,$HB$35,$HB$36)</f>
        <v>0</v>
      </c>
      <c r="HL250" s="13">
        <f>OCC_DAYS*$HB$41*R_NF_2023-HD250*MCD_SHARE_FREED*R_WAIT_2023</f>
        <v>151980.48282209205</v>
      </c>
      <c r="HM250">
        <f>IF($A250&lt;=$HB$45,1,0)</f>
        <v>0</v>
      </c>
      <c r="IB250">
        <f>IF($IB$31&lt;=$IB$32,IF($A250&lt;=$IB$7,1,2),IF($A250&lt;=RUNG_BEDS_2,2,1))</f>
        <v>1</v>
      </c>
      <c r="IC250" s="5">
        <f>MIN(1,MAX(0,$IB$26-($A250-1)))</f>
        <v>0</v>
      </c>
      <c r="ID250" s="5">
        <f>$IB$25*(IC250+(1-IC250)*$IB$16)</f>
        <v>0.0</v>
      </c>
      <c r="IE250" s="13">
        <f>ID250*($IB$6+ACUTE_MARGIN)</f>
        <v>0.0</v>
      </c>
      <c r="IF250" s="13">
        <f>IF(IB250=1,$IB$31,$IB$32)</f>
        <v>152734.9994534971</v>
      </c>
      <c r="IG250" s="13">
        <f>IE250-IF250</f>
        <v>-152734.9994534971</v>
      </c>
      <c r="IH250" s="13">
        <f>IH249+IG250</f>
        <v>12722225.719538203</v>
      </c>
      <c r="II250">
        <f>IF(IH250=MAX($IH$83:$IH$483),$A250,0)</f>
        <v>0</v>
      </c>
      <c r="IJ250">
        <f>IF(IE250&lt;IF250,$A250,B_MAX+1)</f>
        <v>167</v>
      </c>
      <c r="IK250" s="13">
        <f>IF(IB250=1,$IB$35,$IB$36)</f>
        <v>0</v>
      </c>
      <c r="IL250" s="13">
        <f>OCC_DAYS*$IB$41*R_NF_2023-ID250*MCD_SHARE_FREED*R_WAIT_2023</f>
        <v>151980.48282209205</v>
      </c>
      <c r="IM250">
        <f>IF($A250&lt;=$IB$45,1,0)</f>
        <v>0</v>
      </c>
      <c r="JB250">
        <f>IF($JB$31&lt;=$JB$32,IF($A250&lt;=$JB$7,1,2),IF($A250&lt;=RUNG_BEDS_2,2,1))</f>
        <v>1</v>
      </c>
      <c r="JC250" s="5">
        <f>MIN(1,MAX(0,$JB$26-($A250-1)))</f>
        <v>0</v>
      </c>
      <c r="JD250" s="5">
        <f>$JB$25*(JC250+(1-JC250)*$JB$16)</f>
        <v>0.0</v>
      </c>
      <c r="JE250" s="13">
        <f>JD250*($JB$6+ACUTE_MARGIN)</f>
        <v>0.0</v>
      </c>
      <c r="JF250" s="13">
        <f>IF(JB250=1,$JB$31,$JB$32)</f>
        <v>152394.16214437486</v>
      </c>
      <c r="JG250" s="13">
        <f>JE250-JF250</f>
        <v>-152394.16214437486</v>
      </c>
      <c r="JH250" s="13">
        <f>JH249+JG250</f>
        <v>12779145.55016172</v>
      </c>
      <c r="JI250">
        <f>IF(JH250=MAX($JH$83:$JH$483),$A250,0)</f>
        <v>0</v>
      </c>
      <c r="JJ250">
        <f>IF(JE250&lt;JF250,$A250,B_MAX+1)</f>
        <v>167</v>
      </c>
      <c r="JK250" s="13">
        <f>IF(JB250=1,$JB$35,$JB$36)</f>
        <v>0</v>
      </c>
      <c r="JL250" s="13">
        <f>OCC_DAYS*$JB$41*R_NF_2023-JD250*MCD_SHARE_FREED*R_WAIT_2023</f>
        <v>151980.48282209205</v>
      </c>
      <c r="JM250">
        <f>IF($A250&lt;=$JB$45,1,0)</f>
        <v>0</v>
      </c>
      <c r="KB250">
        <f>IF($KB$31&lt;=$KB$32,IF($A250&lt;=$KB$7,1,2),IF($A250&lt;=RUNG_BEDS_2,2,1))</f>
        <v>1</v>
      </c>
      <c r="KC250" s="5">
        <f>MIN(1,MAX(0,$KB$26-($A250-1)))</f>
        <v>1</v>
      </c>
      <c r="KD250" s="5">
        <f>$KB$25*(KC250+(1-KC250)*$KB$16)</f>
        <v>126.02661357340719</v>
      </c>
      <c r="KE250" s="13">
        <f>KD250*($KB$6+ACUTE_MARGIN)</f>
        <v>127286.87970914126</v>
      </c>
      <c r="KF250" s="13">
        <f>IF(KB250=1,$KB$31,$KB$32)</f>
        <v>152394.16214437486</v>
      </c>
      <c r="KG250" s="13">
        <f>KE250-KF250</f>
        <v>-25107.282435233603</v>
      </c>
      <c r="KH250" s="13">
        <f>KH249+KG250</f>
        <v>-4192916.166684024</v>
      </c>
      <c r="KI250">
        <f>IF(KH250=MAX($KH$83:$KH$483),$A250,0)</f>
        <v>0</v>
      </c>
      <c r="KJ250">
        <f>IF(KE250&lt;KF250,$A250,B_MAX+1)</f>
        <v>167</v>
      </c>
      <c r="KK250" s="13">
        <f>IF(KB250=1,$KB$35,$KB$36)</f>
        <v>0</v>
      </c>
      <c r="KL250" s="13">
        <f>OCC_DAYS*$KB$41*R_NF_2023-KD250*MCD_SHARE_FREED*R_WAIT_2023</f>
        <v>94673.82103225985</v>
      </c>
      <c r="KM250">
        <f>IF($A250&lt;=$KB$45,1,0)</f>
        <v>0</v>
      </c>
      <c r="LB250">
        <f>IF($LB$31&lt;=$LB$32,IF($A250&lt;=$LB$7,1,2),IF($A250&lt;=RUNG_BEDS_2,2,1))</f>
        <v>1</v>
      </c>
      <c r="LC250" s="5">
        <f>MIN(1,MAX(0,$LB$26-($A250-1)))</f>
        <v>1</v>
      </c>
      <c r="LD250" s="5">
        <f>$LB$25*(LC250+(1-LC250)*$LB$16)</f>
        <v>84.01774238227146</v>
      </c>
      <c r="LE250" s="13">
        <f>LD250*($LB$6+ACUTE_MARGIN)</f>
        <v>84857.91980609419</v>
      </c>
      <c r="LF250" s="13">
        <f>IF(LB250=1,$LB$31,$LB$32)</f>
        <v>152394.16214437486</v>
      </c>
      <c r="LG250" s="13">
        <f>LE250-LF250</f>
        <v>-67536.24233828067</v>
      </c>
      <c r="LH250" s="13">
        <f>LH249+LG250</f>
        <v>-11278552.470492918</v>
      </c>
      <c r="LI250">
        <f>IF(LH250=MAX($LH$83:$LH$483),$A250,0)</f>
        <v>0</v>
      </c>
      <c r="LJ250">
        <f>IF(LE250&lt;LF250,$A250,B_MAX+1)</f>
        <v>167</v>
      </c>
      <c r="LK250" s="13">
        <f>IF(LB250=1,$LB$35,$LB$36)</f>
        <v>0</v>
      </c>
      <c r="LL250" s="13">
        <f>OCC_DAYS*$LB$41*R_NF_2023-LD250*MCD_SHARE_FREED*R_WAIT_2023</f>
        <v>113776.04162887059</v>
      </c>
      <c r="LM250">
        <f>IF($A250&lt;=$LB$45,1,0)</f>
        <v>0</v>
      </c>
      <c r="MB250">
        <f>IF($MB$31&lt;=$MB$32,IF($A250&lt;=$MB$7,1,2),IF($A250&lt;=RUNG_BEDS_2,2,1))</f>
        <v>1</v>
      </c>
      <c r="MC250" s="5">
        <f>MIN(1,MAX(0,$MB$26-($A250-1)))</f>
        <v>0</v>
      </c>
      <c r="MD250" s="5">
        <f>$MB$25*(MC250+(1-MC250)*$MB$16)</f>
        <v>0.0</v>
      </c>
      <c r="ME250" s="13">
        <f>MD250*($MB$6+ACUTE_MARGIN)</f>
        <v>0.0</v>
      </c>
      <c r="MF250" s="13">
        <f>IF(MB250=1,$MB$31,$MB$32)</f>
        <v>152394.16214437486</v>
      </c>
      <c r="MG250" s="13">
        <f>ME250-MF250</f>
        <v>-152394.16214437486</v>
      </c>
      <c r="MH250" s="13">
        <f>MH249+MG250</f>
        <v>6891869.488363409</v>
      </c>
      <c r="MI250">
        <f>IF(MH250=MAX($MH$83:$MH$483),$A250,0)</f>
        <v>0</v>
      </c>
      <c r="MJ250">
        <f>IF(ME250&lt;MF250,$A250,B_MAX+1)</f>
        <v>167</v>
      </c>
      <c r="MK250" s="13">
        <f>IF(MB250=1,$MB$35,$MB$36)</f>
        <v>0</v>
      </c>
      <c r="ML250" s="13">
        <f>OCC_DAYS*$MB$41*R_NF_2023-MD250*MCD_SHARE_FREED*R_WAIT_2023</f>
        <v>151980.48282209205</v>
      </c>
      <c r="MM250">
        <f>IF($A250&lt;=$MB$45,1,0)</f>
        <v>0</v>
      </c>
      <c r="NB250">
        <f>IF($NB$31&lt;=$NB$32,IF($A250&lt;=$NB$7,1,2),IF($A250&lt;=RUNG_BEDS_2,2,1))</f>
        <v>1</v>
      </c>
      <c r="NC250" s="5">
        <f>MIN(1,MAX(0,$NB$26-($A250-1)))</f>
        <v>0</v>
      </c>
      <c r="ND250" s="5">
        <f>$NB$25*(NC250+(1-NC250)*$NB$16)</f>
        <v>63.013306786703595</v>
      </c>
      <c r="NE250" s="13">
        <f>ND250*($NB$6+ACUTE_MARGIN)</f>
        <v>63643.43985457063</v>
      </c>
      <c r="NF250" s="13">
        <f>IF(NB250=1,$NB$31,$NB$32)</f>
        <v>152394.16214437486</v>
      </c>
      <c r="NG250" s="13">
        <f>NE250-NF250</f>
        <v>-88750.72228980422</v>
      </c>
      <c r="NH250" s="13">
        <f>NH249+NG250</f>
        <v>13850357.348806936</v>
      </c>
      <c r="NI250">
        <f>IF(NH250=MAX($NH$83:$NH$483),$A250,0)</f>
        <v>0</v>
      </c>
      <c r="NJ250">
        <f>IF(NE250&lt;NF250,$A250,B_MAX+1)</f>
        <v>167</v>
      </c>
      <c r="NK250" s="13">
        <f>IF(NB250=1,$NB$35,$NB$36)</f>
        <v>0</v>
      </c>
      <c r="NL250" s="13">
        <f>OCC_DAYS*$NB$41*R_NF_2023-ND250*MCD_SHARE_FREED*R_WAIT_2023</f>
        <v>123327.15192717595</v>
      </c>
      <c r="NM250">
        <f>IF($A250&lt;=$NB$45,1,0)</f>
        <v>0</v>
      </c>
      <c r="OB250">
        <f>IF($OB$31&lt;=$OB$32,IF($A250&lt;=$OB$7,1,2),IF($A250&lt;=RUNG_BEDS_2,2,1))</f>
        <v>1</v>
      </c>
      <c r="OC250" s="5">
        <f>MIN(1,MAX(0,$OB$26-($A250-1)))</f>
        <v>0</v>
      </c>
      <c r="OD250" s="5">
        <f>$OB$25*(OC250+(1-OC250)*$OB$16)</f>
        <v>126.02661357340719</v>
      </c>
      <c r="OE250" s="13">
        <f>OD250*($OB$6+ACUTE_MARGIN)</f>
        <v>127286.87970914126</v>
      </c>
      <c r="OF250" s="13">
        <f>IF(OB250=1,$OB$31,$OB$32)</f>
        <v>152394.16214437486</v>
      </c>
      <c r="OG250" s="13">
        <f>OE250-OF250</f>
        <v>-25107.282435233603</v>
      </c>
      <c r="OH250" s="13">
        <f>OH249+OG250</f>
        <v>14921569.147452185</v>
      </c>
      <c r="OI250">
        <f>IF(OH250=MAX($OH$83:$OH$483),$A250,0)</f>
        <v>0</v>
      </c>
      <c r="OJ250">
        <f>IF(OE250&lt;OF250,$A250,B_MAX+1)</f>
        <v>167</v>
      </c>
      <c r="OK250" s="13">
        <f>IF(OB250=1,$OB$35,$OB$36)</f>
        <v>0</v>
      </c>
      <c r="OL250" s="13">
        <f>OCC_DAYS*$OB$41*R_NF_2023-OD250*MCD_SHARE_FREED*R_WAIT_2023</f>
        <v>94673.82103225985</v>
      </c>
      <c r="OM250">
        <f>IF($A250&lt;=$OB$45,1,0)</f>
        <v>0</v>
      </c>
    </row>
    <row r="251">
      <c r="A251" t="n">
        <v>168</v>
      </c>
      <c r="B251">
        <f>IF($B$31&lt;=$B$32,IF($A251&lt;=$B$7,1,2),IF($A251&lt;=RUNG_BEDS_2,2,1))</f>
        <v>1</v>
      </c>
      <c r="C251" s="5">
        <f>MIN(1,MAX(0,$B$26-($A251-1)))</f>
        <v>0</v>
      </c>
      <c r="D251" s="5">
        <f>$B$25*(C251+(1-C251)*$B$16)</f>
        <v>0.0</v>
      </c>
      <c r="E251" s="13">
        <f>D251*($B$6+ACUTE_MARGIN)</f>
        <v>0.0</v>
      </c>
      <c r="F251" s="13">
        <f>IF(B251=1,$B$31,$B$32)</f>
        <v>152394.16214437486</v>
      </c>
      <c r="G251" s="13">
        <f>E251-F251</f>
        <v>-152394.16214437486</v>
      </c>
      <c r="H251" s="13">
        <f>H250+G251</f>
        <v>12626751.388017345</v>
      </c>
      <c r="I251">
        <f>IF(H251=MAX($H$83:$H$483),$A251,0)</f>
        <v>0</v>
      </c>
      <c r="J251">
        <f>IF(E251&lt;F251,$A251,B_MAX+1)</f>
        <v>168</v>
      </c>
      <c r="K251" s="13">
        <f>IF(B251=1,$B$35,$B$36)</f>
        <v>0</v>
      </c>
      <c r="L251" s="13">
        <f>OCC_DAYS*$B$41*R_NF_2023-D251*MCD_SHARE_FREED*R_WAIT_2023</f>
        <v>151980.48282209205</v>
      </c>
      <c r="M251">
        <f>IF($A251&lt;=$B$45,1,0)</f>
        <v>0</v>
      </c>
      <c r="AB251">
        <f>IF($AB$31&lt;=$AB$32,IF($A251&lt;=$AB$7,1,2),IF($A251&lt;=RUNG_BEDS_2,2,1))</f>
        <v>1</v>
      </c>
      <c r="AC251" s="5">
        <f>MIN(1,MAX(0,$AB$26-($A251-1)))</f>
        <v>0</v>
      </c>
      <c r="AD251" s="5">
        <f>$AB$25*(AC251+(1-AC251)*$AB$16)</f>
        <v>0.0</v>
      </c>
      <c r="AE251" s="13">
        <f>AD251*($AB$6+ACUTE_MARGIN)</f>
        <v>0.0</v>
      </c>
      <c r="AF251" s="13">
        <f>IF(AB251=1,$AB$31,$AB$32)</f>
        <v>152394.16214437486</v>
      </c>
      <c r="AG251" s="13">
        <f>AE251-AF251</f>
        <v>-152394.16214437486</v>
      </c>
      <c r="AH251" s="13">
        <f>AH250+AG251</f>
        <v>-4784462.957532464</v>
      </c>
      <c r="AI251">
        <f>IF(AH251=MAX($AH$83:$AH$483),$A251,0)</f>
        <v>0</v>
      </c>
      <c r="AJ251">
        <f>IF(AE251&lt;AF251,$A251,B_MAX+1)</f>
        <v>168</v>
      </c>
      <c r="AK251" s="13">
        <f>IF(AB251=1,$AB$35,$AB$36)</f>
        <v>0</v>
      </c>
      <c r="AL251" s="13">
        <f>OCC_DAYS*$AB$41*R_NF_2023-AD251*MCD_SHARE_FREED*R_WAIT_2023</f>
        <v>151980.48282209205</v>
      </c>
      <c r="AM251">
        <f>IF($A251&lt;=$AB$45,1,0)</f>
        <v>0</v>
      </c>
      <c r="BB251">
        <f>IF($BB$31&lt;=$BB$32,IF($A251&lt;=$BB$7,1,2),IF($A251&lt;=RUNG_BEDS_2,2,1))</f>
        <v>1</v>
      </c>
      <c r="BC251" s="5">
        <f>MIN(1,MAX(0,$BB$26-($A251-1)))</f>
        <v>0</v>
      </c>
      <c r="BD251" s="5">
        <f>$BB$25*(BC251+(1-BC251)*$BB$16)</f>
        <v>0.0</v>
      </c>
      <c r="BE251" s="13">
        <f>BD251*($BB$6+ACUTE_MARGIN)</f>
        <v>0.0</v>
      </c>
      <c r="BF251" s="13">
        <f>IF(BB251=1,$BB$31,$BB$32)</f>
        <v>152394.16214437486</v>
      </c>
      <c r="BG251" s="13">
        <f>BE251-BF251</f>
        <v>-152394.16214437486</v>
      </c>
      <c r="BH251" s="13">
        <f>BH250+BG251</f>
        <v>30037965.733567007</v>
      </c>
      <c r="BI251">
        <f>IF(BH251=MAX($BH$83:$BH$483),$A251,0)</f>
        <v>0</v>
      </c>
      <c r="BJ251">
        <f>IF(BE251&lt;BF251,$A251,B_MAX+1)</f>
        <v>168</v>
      </c>
      <c r="BK251" s="13">
        <f>IF(BB251=1,$BB$35,$BB$36)</f>
        <v>0</v>
      </c>
      <c r="BL251" s="13">
        <f>OCC_DAYS*$BB$41*R_NF_2023-BD251*MCD_SHARE_FREED*R_WAIT_2023</f>
        <v>151980.48282209205</v>
      </c>
      <c r="BM251">
        <f>IF($A251&lt;=$BB$45,1,0)</f>
        <v>0</v>
      </c>
      <c r="CB251">
        <f>IF($CB$31&lt;=$CB$32,IF($A251&lt;=$CB$7,1,2),IF($A251&lt;=RUNG_BEDS_2,2,1))</f>
        <v>2</v>
      </c>
      <c r="CC251" s="5">
        <f>MIN(1,MAX(0,$CB$26-($A251-1)))</f>
        <v>0</v>
      </c>
      <c r="CD251" s="5">
        <f>$CB$25*(CC251+(1-CC251)*$CB$16)</f>
        <v>0.0</v>
      </c>
      <c r="CE251" s="13">
        <f>CD251*($CB$6+ACUTE_MARGIN)</f>
        <v>0.0</v>
      </c>
      <c r="CF251" s="13">
        <f>IF(CB251=1,$CB$31,$CB$32)</f>
        <v>160718.36940738867</v>
      </c>
      <c r="CG251" s="13">
        <f>CE251-CF251</f>
        <v>-160718.36940738867</v>
      </c>
      <c r="CH251" s="13">
        <f>CH250+CG251</f>
        <v>11228284.56783093</v>
      </c>
      <c r="CI251">
        <f>IF(CH251=MAX($CH$83:$CH$483),$A251,0)</f>
        <v>0</v>
      </c>
      <c r="CJ251">
        <f>IF(CE251&lt;CF251,$A251,B_MAX+1)</f>
        <v>168</v>
      </c>
      <c r="CK251" s="13">
        <f>IF(CB251=1,$CB$35,$CB$36)</f>
        <v>1560.1194073886782</v>
      </c>
      <c r="CL251" s="13">
        <f>OCC_DAYS*$CB$41*R_NF_2023-CD251*MCD_SHARE_FREED*R_WAIT_2023</f>
        <v>151980.48282209205</v>
      </c>
      <c r="CM251">
        <f>IF($A251&lt;=$CB$45,1,0)</f>
        <v>0</v>
      </c>
      <c r="DB251">
        <f>IF($DB$31&lt;=$DB$32,IF($A251&lt;=$DB$7,1,2),IF($A251&lt;=RUNG_BEDS_2,2,1))</f>
        <v>1</v>
      </c>
      <c r="DC251" s="5">
        <f>MIN(1,MAX(0,$DB$26-($A251-1)))</f>
        <v>0</v>
      </c>
      <c r="DD251" s="5">
        <f>$DB$25*(DC251+(1-DC251)*$DB$16)</f>
        <v>0.0</v>
      </c>
      <c r="DE251" s="13">
        <f>DD251*($DB$6+ACUTE_MARGIN)</f>
        <v>0.0</v>
      </c>
      <c r="DF251" s="13">
        <f>IF(DB251=1,$DB$31,$DB$32)</f>
        <v>152394.16214437486</v>
      </c>
      <c r="DG251" s="13">
        <f>DE251-DF251</f>
        <v>-152394.16214437486</v>
      </c>
      <c r="DH251" s="13">
        <f>DH250+DG251</f>
        <v>12626751.388017345</v>
      </c>
      <c r="DI251">
        <f>IF(DH251=MAX($DH$83:$DH$483),$A251,0)</f>
        <v>0</v>
      </c>
      <c r="DJ251">
        <f>IF(DE251&lt;DF251,$A251,B_MAX+1)</f>
        <v>168</v>
      </c>
      <c r="DK251" s="13">
        <f>IF(DB251=1,$DB$35,$DB$36)</f>
        <v>0</v>
      </c>
      <c r="DL251" s="13">
        <f>OCC_DAYS*$DB$41*R_NF_2023-DD251*MCD_SHARE_FREED*R_WAIT_2023</f>
        <v>151980.48282209205</v>
      </c>
      <c r="DM251">
        <f>IF($A251&lt;=$DB$45,1,0)</f>
        <v>0</v>
      </c>
      <c r="EB251">
        <f>IF($EB$31&lt;=$EB$32,IF($A251&lt;=$EB$7,1,2),IF($A251&lt;=RUNG_BEDS_2,2,1))</f>
        <v>1</v>
      </c>
      <c r="EC251" s="5">
        <f>MIN(1,MAX(0,$EB$26-($A251-1)))</f>
        <v>0</v>
      </c>
      <c r="ED251" s="5">
        <f>$EB$25*(EC251+(1-EC251)*$EB$16)</f>
        <v>0.0</v>
      </c>
      <c r="EE251" s="13">
        <f>ED251*($EB$6+ACUTE_MARGIN)</f>
        <v>0.0</v>
      </c>
      <c r="EF251" s="13">
        <f>IF(EB251=1,$EB$31,$EB$32)</f>
        <v>152394.16214437486</v>
      </c>
      <c r="EG251" s="13">
        <f>EE251-EF251</f>
        <v>-152394.16214437486</v>
      </c>
      <c r="EH251" s="13">
        <f>EH250+EG251</f>
        <v>12626751.388017345</v>
      </c>
      <c r="EI251">
        <f>IF(EH251=MAX($EH$83:$EH$483),$A251,0)</f>
        <v>0</v>
      </c>
      <c r="EJ251">
        <f>IF(EE251&lt;EF251,$A251,B_MAX+1)</f>
        <v>168</v>
      </c>
      <c r="EK251" s="13">
        <f>IF(EB251=1,$EB$35,$EB$36)</f>
        <v>0</v>
      </c>
      <c r="EL251" s="13">
        <f>OCC_DAYS*$EB$41*R_NF_2023-ED251*MCD_SHARE_FREED*R_WAIT_2023</f>
        <v>50660.16094069735</v>
      </c>
      <c r="EM251">
        <f>IF($A251&lt;=$EB$45,1,0)</f>
        <v>0</v>
      </c>
      <c r="FB251">
        <f>IF($FB$31&lt;=$FB$32,IF($A251&lt;=$FB$7,1,2),IF($A251&lt;=RUNG_BEDS_2,2,1))</f>
        <v>1</v>
      </c>
      <c r="FC251" s="5">
        <f>MIN(1,MAX(0,$FB$26-($A251-1)))</f>
        <v>0</v>
      </c>
      <c r="FD251" s="5">
        <f>$FB$25*(FC251+(1-FC251)*$FB$16)</f>
        <v>0.0</v>
      </c>
      <c r="FE251" s="13">
        <f>FD251*($FB$6+ACUTE_MARGIN)</f>
        <v>0.0</v>
      </c>
      <c r="FF251" s="13">
        <f>IF(FB251=1,$FB$31,$FB$32)</f>
        <v>156636.04979437485</v>
      </c>
      <c r="FG251" s="13">
        <f>FE251-FF251</f>
        <v>-156636.04979437485</v>
      </c>
      <c r="FH251" s="13">
        <f>FH250+FG251</f>
        <v>11914114.262817232</v>
      </c>
      <c r="FI251">
        <f>IF(FH251=MAX($FH$83:$FH$483),$A251,0)</f>
        <v>0</v>
      </c>
      <c r="FJ251">
        <f>IF(FE251&lt;FF251,$A251,B_MAX+1)</f>
        <v>168</v>
      </c>
      <c r="FK251" s="13">
        <f>IF(FB251=1,$FB$35,$FB$36)</f>
        <v>0</v>
      </c>
      <c r="FL251" s="13">
        <f>OCC_DAYS*$FB$41*R_NF_2023-FD251*MCD_SHARE_FREED*R_WAIT_2023</f>
        <v>151980.48282209205</v>
      </c>
      <c r="FM251">
        <f>IF($A251&lt;=$FB$45,1,0)</f>
        <v>0</v>
      </c>
      <c r="GB251">
        <f>IF($GB$31&lt;=$GB$32,IF($A251&lt;=$GB$7,1,2),IF($A251&lt;=RUNG_BEDS_2,2,1))</f>
        <v>1</v>
      </c>
      <c r="GC251" s="5">
        <f>MIN(1,MAX(0,$GB$26-($A251-1)))</f>
        <v>0</v>
      </c>
      <c r="GD251" s="5">
        <f>$GB$25*(GC251+(1-GC251)*$GB$16)</f>
        <v>0.0</v>
      </c>
      <c r="GE251" s="13">
        <f>GD251*($GB$6+ACUTE_MARGIN)</f>
        <v>0.0</v>
      </c>
      <c r="GF251" s="13">
        <f>IF(GB251=1,$GB$31,$GB$32)</f>
        <v>152394.16214437486</v>
      </c>
      <c r="GG251" s="13">
        <f>GE251-GF251</f>
        <v>-152394.16214437486</v>
      </c>
      <c r="GH251" s="13">
        <f>GH250+GG251</f>
        <v>12626751.388017345</v>
      </c>
      <c r="GI251">
        <f>IF(GH251=MAX($GH$83:$GH$483),$A251,0)</f>
        <v>0</v>
      </c>
      <c r="GJ251">
        <f>IF(GE251&lt;GF251,$A251,B_MAX+1)</f>
        <v>168</v>
      </c>
      <c r="GK251" s="13">
        <f>IF(GB251=1,$GB$35,$GB$36)</f>
        <v>0</v>
      </c>
      <c r="GL251" s="13">
        <f>OCC_DAYS*$GB$41*R_NF_2023-GD251*MCD_SHARE_FREED*R_WAIT_2023</f>
        <v>151980.48282209205</v>
      </c>
      <c r="GM251">
        <f>IF($A251&lt;=$GB$45,1,0)</f>
        <v>0</v>
      </c>
      <c r="HB251">
        <f>IF($HB$31&lt;=$HB$32,IF($A251&lt;=$HB$7,1,2),IF($A251&lt;=RUNG_BEDS_2,2,1))</f>
        <v>1</v>
      </c>
      <c r="HC251" s="5">
        <f>MIN(1,MAX(0,$HB$26-($A251-1)))</f>
        <v>0</v>
      </c>
      <c r="HD251" s="5">
        <f>$HB$25*(HC251+(1-HC251)*$HB$16)</f>
        <v>0.0</v>
      </c>
      <c r="HE251" s="13">
        <f>HD251*($HB$6+ACUTE_MARGIN)</f>
        <v>0.0</v>
      </c>
      <c r="HF251" s="13">
        <f>IF(HB251=1,$HB$31,$HB$32)</f>
        <v>152456.2970814058</v>
      </c>
      <c r="HG251" s="13">
        <f>HE251-HF251</f>
        <v>-152456.2970814058</v>
      </c>
      <c r="HH251" s="13">
        <f>HH250+HG251</f>
        <v>12616312.71859612</v>
      </c>
      <c r="HI251">
        <f>IF(HH251=MAX($HH$83:$HH$483),$A251,0)</f>
        <v>0</v>
      </c>
      <c r="HJ251">
        <f>IF(HE251&lt;HF251,$A251,B_MAX+1)</f>
        <v>168</v>
      </c>
      <c r="HK251" s="13">
        <f>IF(HB251=1,$HB$35,$HB$36)</f>
        <v>0</v>
      </c>
      <c r="HL251" s="13">
        <f>OCC_DAYS*$HB$41*R_NF_2023-HD251*MCD_SHARE_FREED*R_WAIT_2023</f>
        <v>151980.48282209205</v>
      </c>
      <c r="HM251">
        <f>IF($A251&lt;=$HB$45,1,0)</f>
        <v>0</v>
      </c>
      <c r="IB251">
        <f>IF($IB$31&lt;=$IB$32,IF($A251&lt;=$IB$7,1,2),IF($A251&lt;=RUNG_BEDS_2,2,1))</f>
        <v>1</v>
      </c>
      <c r="IC251" s="5">
        <f>MIN(1,MAX(0,$IB$26-($A251-1)))</f>
        <v>0</v>
      </c>
      <c r="ID251" s="5">
        <f>$IB$25*(IC251+(1-IC251)*$IB$16)</f>
        <v>0.0</v>
      </c>
      <c r="IE251" s="13">
        <f>ID251*($IB$6+ACUTE_MARGIN)</f>
        <v>0.0</v>
      </c>
      <c r="IF251" s="13">
        <f>IF(IB251=1,$IB$31,$IB$32)</f>
        <v>152734.9994534971</v>
      </c>
      <c r="IG251" s="13">
        <f>IE251-IF251</f>
        <v>-152734.9994534971</v>
      </c>
      <c r="IH251" s="13">
        <f>IH250+IG251</f>
        <v>12569490.720084706</v>
      </c>
      <c r="II251">
        <f>IF(IH251=MAX($IH$83:$IH$483),$A251,0)</f>
        <v>0</v>
      </c>
      <c r="IJ251">
        <f>IF(IE251&lt;IF251,$A251,B_MAX+1)</f>
        <v>168</v>
      </c>
      <c r="IK251" s="13">
        <f>IF(IB251=1,$IB$35,$IB$36)</f>
        <v>0</v>
      </c>
      <c r="IL251" s="13">
        <f>OCC_DAYS*$IB$41*R_NF_2023-ID251*MCD_SHARE_FREED*R_WAIT_2023</f>
        <v>151980.48282209205</v>
      </c>
      <c r="IM251">
        <f>IF($A251&lt;=$IB$45,1,0)</f>
        <v>0</v>
      </c>
      <c r="JB251">
        <f>IF($JB$31&lt;=$JB$32,IF($A251&lt;=$JB$7,1,2),IF($A251&lt;=RUNG_BEDS_2,2,1))</f>
        <v>1</v>
      </c>
      <c r="JC251" s="5">
        <f>MIN(1,MAX(0,$JB$26-($A251-1)))</f>
        <v>0</v>
      </c>
      <c r="JD251" s="5">
        <f>$JB$25*(JC251+(1-JC251)*$JB$16)</f>
        <v>0.0</v>
      </c>
      <c r="JE251" s="13">
        <f>JD251*($JB$6+ACUTE_MARGIN)</f>
        <v>0.0</v>
      </c>
      <c r="JF251" s="13">
        <f>IF(JB251=1,$JB$31,$JB$32)</f>
        <v>152394.16214437486</v>
      </c>
      <c r="JG251" s="13">
        <f>JE251-JF251</f>
        <v>-152394.16214437486</v>
      </c>
      <c r="JH251" s="13">
        <f>JH250+JG251</f>
        <v>12626751.388017345</v>
      </c>
      <c r="JI251">
        <f>IF(JH251=MAX($JH$83:$JH$483),$A251,0)</f>
        <v>0</v>
      </c>
      <c r="JJ251">
        <f>IF(JE251&lt;JF251,$A251,B_MAX+1)</f>
        <v>168</v>
      </c>
      <c r="JK251" s="13">
        <f>IF(JB251=1,$JB$35,$JB$36)</f>
        <v>0</v>
      </c>
      <c r="JL251" s="13">
        <f>OCC_DAYS*$JB$41*R_NF_2023-JD251*MCD_SHARE_FREED*R_WAIT_2023</f>
        <v>151980.48282209205</v>
      </c>
      <c r="JM251">
        <f>IF($A251&lt;=$JB$45,1,0)</f>
        <v>0</v>
      </c>
      <c r="KB251">
        <f>IF($KB$31&lt;=$KB$32,IF($A251&lt;=$KB$7,1,2),IF($A251&lt;=RUNG_BEDS_2,2,1))</f>
        <v>1</v>
      </c>
      <c r="KC251" s="5">
        <f>MIN(1,MAX(0,$KB$26-($A251-1)))</f>
        <v>1</v>
      </c>
      <c r="KD251" s="5">
        <f>$KB$25*(KC251+(1-KC251)*$KB$16)</f>
        <v>126.02661357340719</v>
      </c>
      <c r="KE251" s="13">
        <f>KD251*($KB$6+ACUTE_MARGIN)</f>
        <v>127286.87970914126</v>
      </c>
      <c r="KF251" s="13">
        <f>IF(KB251=1,$KB$31,$KB$32)</f>
        <v>152394.16214437486</v>
      </c>
      <c r="KG251" s="13">
        <f>KE251-KF251</f>
        <v>-25107.282435233603</v>
      </c>
      <c r="KH251" s="13">
        <f>KH250+KG251</f>
        <v>-4218023.449119258</v>
      </c>
      <c r="KI251">
        <f>IF(KH251=MAX($KH$83:$KH$483),$A251,0)</f>
        <v>0</v>
      </c>
      <c r="KJ251">
        <f>IF(KE251&lt;KF251,$A251,B_MAX+1)</f>
        <v>168</v>
      </c>
      <c r="KK251" s="13">
        <f>IF(KB251=1,$KB$35,$KB$36)</f>
        <v>0</v>
      </c>
      <c r="KL251" s="13">
        <f>OCC_DAYS*$KB$41*R_NF_2023-KD251*MCD_SHARE_FREED*R_WAIT_2023</f>
        <v>94673.82103225985</v>
      </c>
      <c r="KM251">
        <f>IF($A251&lt;=$KB$45,1,0)</f>
        <v>0</v>
      </c>
      <c r="LB251">
        <f>IF($LB$31&lt;=$LB$32,IF($A251&lt;=$LB$7,1,2),IF($A251&lt;=RUNG_BEDS_2,2,1))</f>
        <v>1</v>
      </c>
      <c r="LC251" s="5">
        <f>MIN(1,MAX(0,$LB$26-($A251-1)))</f>
        <v>1</v>
      </c>
      <c r="LD251" s="5">
        <f>$LB$25*(LC251+(1-LC251)*$LB$16)</f>
        <v>84.01774238227146</v>
      </c>
      <c r="LE251" s="13">
        <f>LD251*($LB$6+ACUTE_MARGIN)</f>
        <v>84857.91980609419</v>
      </c>
      <c r="LF251" s="13">
        <f>IF(LB251=1,$LB$31,$LB$32)</f>
        <v>152394.16214437486</v>
      </c>
      <c r="LG251" s="13">
        <f>LE251-LF251</f>
        <v>-67536.24233828067</v>
      </c>
      <c r="LH251" s="13">
        <f>LH250+LG251</f>
        <v>-11346088.7128312</v>
      </c>
      <c r="LI251">
        <f>IF(LH251=MAX($LH$83:$LH$483),$A251,0)</f>
        <v>0</v>
      </c>
      <c r="LJ251">
        <f>IF(LE251&lt;LF251,$A251,B_MAX+1)</f>
        <v>168</v>
      </c>
      <c r="LK251" s="13">
        <f>IF(LB251=1,$LB$35,$LB$36)</f>
        <v>0</v>
      </c>
      <c r="LL251" s="13">
        <f>OCC_DAYS*$LB$41*R_NF_2023-LD251*MCD_SHARE_FREED*R_WAIT_2023</f>
        <v>113776.04162887059</v>
      </c>
      <c r="LM251">
        <f>IF($A251&lt;=$LB$45,1,0)</f>
        <v>0</v>
      </c>
      <c r="MB251">
        <f>IF($MB$31&lt;=$MB$32,IF($A251&lt;=$MB$7,1,2),IF($A251&lt;=RUNG_BEDS_2,2,1))</f>
        <v>1</v>
      </c>
      <c r="MC251" s="5">
        <f>MIN(1,MAX(0,$MB$26-($A251-1)))</f>
        <v>0</v>
      </c>
      <c r="MD251" s="5">
        <f>$MB$25*(MC251+(1-MC251)*$MB$16)</f>
        <v>0.0</v>
      </c>
      <c r="ME251" s="13">
        <f>MD251*($MB$6+ACUTE_MARGIN)</f>
        <v>0.0</v>
      </c>
      <c r="MF251" s="13">
        <f>IF(MB251=1,$MB$31,$MB$32)</f>
        <v>152394.16214437486</v>
      </c>
      <c r="MG251" s="13">
        <f>ME251-MF251</f>
        <v>-152394.16214437486</v>
      </c>
      <c r="MH251" s="13">
        <f>MH250+MG251</f>
        <v>6739475.326219034</v>
      </c>
      <c r="MI251">
        <f>IF(MH251=MAX($MH$83:$MH$483),$A251,0)</f>
        <v>0</v>
      </c>
      <c r="MJ251">
        <f>IF(ME251&lt;MF251,$A251,B_MAX+1)</f>
        <v>168</v>
      </c>
      <c r="MK251" s="13">
        <f>IF(MB251=1,$MB$35,$MB$36)</f>
        <v>0</v>
      </c>
      <c r="ML251" s="13">
        <f>OCC_DAYS*$MB$41*R_NF_2023-MD251*MCD_SHARE_FREED*R_WAIT_2023</f>
        <v>151980.48282209205</v>
      </c>
      <c r="MM251">
        <f>IF($A251&lt;=$MB$45,1,0)</f>
        <v>0</v>
      </c>
      <c r="NB251">
        <f>IF($NB$31&lt;=$NB$32,IF($A251&lt;=$NB$7,1,2),IF($A251&lt;=RUNG_BEDS_2,2,1))</f>
        <v>1</v>
      </c>
      <c r="NC251" s="5">
        <f>MIN(1,MAX(0,$NB$26-($A251-1)))</f>
        <v>0</v>
      </c>
      <c r="ND251" s="5">
        <f>$NB$25*(NC251+(1-NC251)*$NB$16)</f>
        <v>63.013306786703595</v>
      </c>
      <c r="NE251" s="13">
        <f>ND251*($NB$6+ACUTE_MARGIN)</f>
        <v>63643.43985457063</v>
      </c>
      <c r="NF251" s="13">
        <f>IF(NB251=1,$NB$31,$NB$32)</f>
        <v>152394.16214437486</v>
      </c>
      <c r="NG251" s="13">
        <f>NE251-NF251</f>
        <v>-88750.72228980422</v>
      </c>
      <c r="NH251" s="13">
        <f>NH250+NG251</f>
        <v>13761606.626517132</v>
      </c>
      <c r="NI251">
        <f>IF(NH251=MAX($NH$83:$NH$483),$A251,0)</f>
        <v>0</v>
      </c>
      <c r="NJ251">
        <f>IF(NE251&lt;NF251,$A251,B_MAX+1)</f>
        <v>168</v>
      </c>
      <c r="NK251" s="13">
        <f>IF(NB251=1,$NB$35,$NB$36)</f>
        <v>0</v>
      </c>
      <c r="NL251" s="13">
        <f>OCC_DAYS*$NB$41*R_NF_2023-ND251*MCD_SHARE_FREED*R_WAIT_2023</f>
        <v>123327.15192717595</v>
      </c>
      <c r="NM251">
        <f>IF($A251&lt;=$NB$45,1,0)</f>
        <v>0</v>
      </c>
      <c r="OB251">
        <f>IF($OB$31&lt;=$OB$32,IF($A251&lt;=$OB$7,1,2),IF($A251&lt;=RUNG_BEDS_2,2,1))</f>
        <v>1</v>
      </c>
      <c r="OC251" s="5">
        <f>MIN(1,MAX(0,$OB$26-($A251-1)))</f>
        <v>0</v>
      </c>
      <c r="OD251" s="5">
        <f>$OB$25*(OC251+(1-OC251)*$OB$16)</f>
        <v>126.02661357340719</v>
      </c>
      <c r="OE251" s="13">
        <f>OD251*($OB$6+ACUTE_MARGIN)</f>
        <v>127286.87970914126</v>
      </c>
      <c r="OF251" s="13">
        <f>IF(OB251=1,$OB$31,$OB$32)</f>
        <v>152394.16214437486</v>
      </c>
      <c r="OG251" s="13">
        <f>OE251-OF251</f>
        <v>-25107.282435233603</v>
      </c>
      <c r="OH251" s="13">
        <f>OH250+OG251</f>
        <v>14896461.865016952</v>
      </c>
      <c r="OI251">
        <f>IF(OH251=MAX($OH$83:$OH$483),$A251,0)</f>
        <v>0</v>
      </c>
      <c r="OJ251">
        <f>IF(OE251&lt;OF251,$A251,B_MAX+1)</f>
        <v>168</v>
      </c>
      <c r="OK251" s="13">
        <f>IF(OB251=1,$OB$35,$OB$36)</f>
        <v>0</v>
      </c>
      <c r="OL251" s="13">
        <f>OCC_DAYS*$OB$41*R_NF_2023-OD251*MCD_SHARE_FREED*R_WAIT_2023</f>
        <v>94673.82103225985</v>
      </c>
      <c r="OM251">
        <f>IF($A251&lt;=$OB$45,1,0)</f>
        <v>0</v>
      </c>
    </row>
    <row r="252">
      <c r="A252" t="n">
        <v>169</v>
      </c>
      <c r="B252">
        <f>IF($B$31&lt;=$B$32,IF($A252&lt;=$B$7,1,2),IF($A252&lt;=RUNG_BEDS_2,2,1))</f>
        <v>1</v>
      </c>
      <c r="C252" s="5">
        <f>MIN(1,MAX(0,$B$26-($A252-1)))</f>
        <v>0</v>
      </c>
      <c r="D252" s="5">
        <f>$B$25*(C252+(1-C252)*$B$16)</f>
        <v>0.0</v>
      </c>
      <c r="E252" s="13">
        <f>D252*($B$6+ACUTE_MARGIN)</f>
        <v>0.0</v>
      </c>
      <c r="F252" s="13">
        <f>IF(B252=1,$B$31,$B$32)</f>
        <v>152394.16214437486</v>
      </c>
      <c r="G252" s="13">
        <f>E252-F252</f>
        <v>-152394.16214437486</v>
      </c>
      <c r="H252" s="13">
        <f>H251+G252</f>
        <v>12474357.225872971</v>
      </c>
      <c r="I252">
        <f>IF(H252=MAX($H$83:$H$483),$A252,0)</f>
        <v>0</v>
      </c>
      <c r="J252">
        <f>IF(E252&lt;F252,$A252,B_MAX+1)</f>
        <v>169</v>
      </c>
      <c r="K252" s="13">
        <f>IF(B252=1,$B$35,$B$36)</f>
        <v>0</v>
      </c>
      <c r="L252" s="13">
        <f>OCC_DAYS*$B$41*R_NF_2023-D252*MCD_SHARE_FREED*R_WAIT_2023</f>
        <v>151980.48282209205</v>
      </c>
      <c r="M252">
        <f>IF($A252&lt;=$B$45,1,0)</f>
        <v>0</v>
      </c>
      <c r="AB252">
        <f>IF($AB$31&lt;=$AB$32,IF($A252&lt;=$AB$7,1,2),IF($A252&lt;=RUNG_BEDS_2,2,1))</f>
        <v>1</v>
      </c>
      <c r="AC252" s="5">
        <f>MIN(1,MAX(0,$AB$26-($A252-1)))</f>
        <v>0</v>
      </c>
      <c r="AD252" s="5">
        <f>$AB$25*(AC252+(1-AC252)*$AB$16)</f>
        <v>0.0</v>
      </c>
      <c r="AE252" s="13">
        <f>AD252*($AB$6+ACUTE_MARGIN)</f>
        <v>0.0</v>
      </c>
      <c r="AF252" s="13">
        <f>IF(AB252=1,$AB$31,$AB$32)</f>
        <v>152394.16214437486</v>
      </c>
      <c r="AG252" s="13">
        <f>AE252-AF252</f>
        <v>-152394.16214437486</v>
      </c>
      <c r="AH252" s="13">
        <f>AH251+AG252</f>
        <v>-4936857.119676839</v>
      </c>
      <c r="AI252">
        <f>IF(AH252=MAX($AH$83:$AH$483),$A252,0)</f>
        <v>0</v>
      </c>
      <c r="AJ252">
        <f>IF(AE252&lt;AF252,$A252,B_MAX+1)</f>
        <v>169</v>
      </c>
      <c r="AK252" s="13">
        <f>IF(AB252=1,$AB$35,$AB$36)</f>
        <v>0</v>
      </c>
      <c r="AL252" s="13">
        <f>OCC_DAYS*$AB$41*R_NF_2023-AD252*MCD_SHARE_FREED*R_WAIT_2023</f>
        <v>151980.48282209205</v>
      </c>
      <c r="AM252">
        <f>IF($A252&lt;=$AB$45,1,0)</f>
        <v>0</v>
      </c>
      <c r="BB252">
        <f>IF($BB$31&lt;=$BB$32,IF($A252&lt;=$BB$7,1,2),IF($A252&lt;=RUNG_BEDS_2,2,1))</f>
        <v>1</v>
      </c>
      <c r="BC252" s="5">
        <f>MIN(1,MAX(0,$BB$26-($A252-1)))</f>
        <v>0</v>
      </c>
      <c r="BD252" s="5">
        <f>$BB$25*(BC252+(1-BC252)*$BB$16)</f>
        <v>0.0</v>
      </c>
      <c r="BE252" s="13">
        <f>BD252*($BB$6+ACUTE_MARGIN)</f>
        <v>0.0</v>
      </c>
      <c r="BF252" s="13">
        <f>IF(BB252=1,$BB$31,$BB$32)</f>
        <v>152394.16214437486</v>
      </c>
      <c r="BG252" s="13">
        <f>BE252-BF252</f>
        <v>-152394.16214437486</v>
      </c>
      <c r="BH252" s="13">
        <f>BH251+BG252</f>
        <v>29885571.571422633</v>
      </c>
      <c r="BI252">
        <f>IF(BH252=MAX($BH$83:$BH$483),$A252,0)</f>
        <v>0</v>
      </c>
      <c r="BJ252">
        <f>IF(BE252&lt;BF252,$A252,B_MAX+1)</f>
        <v>169</v>
      </c>
      <c r="BK252" s="13">
        <f>IF(BB252=1,$BB$35,$BB$36)</f>
        <v>0</v>
      </c>
      <c r="BL252" s="13">
        <f>OCC_DAYS*$BB$41*R_NF_2023-BD252*MCD_SHARE_FREED*R_WAIT_2023</f>
        <v>151980.48282209205</v>
      </c>
      <c r="BM252">
        <f>IF($A252&lt;=$BB$45,1,0)</f>
        <v>0</v>
      </c>
      <c r="CB252">
        <f>IF($CB$31&lt;=$CB$32,IF($A252&lt;=$CB$7,1,2),IF($A252&lt;=RUNG_BEDS_2,2,1))</f>
        <v>2</v>
      </c>
      <c r="CC252" s="5">
        <f>MIN(1,MAX(0,$CB$26-($A252-1)))</f>
        <v>0</v>
      </c>
      <c r="CD252" s="5">
        <f>$CB$25*(CC252+(1-CC252)*$CB$16)</f>
        <v>0.0</v>
      </c>
      <c r="CE252" s="13">
        <f>CD252*($CB$6+ACUTE_MARGIN)</f>
        <v>0.0</v>
      </c>
      <c r="CF252" s="13">
        <f>IF(CB252=1,$CB$31,$CB$32)</f>
        <v>160718.36940738867</v>
      </c>
      <c r="CG252" s="13">
        <f>CE252-CF252</f>
        <v>-160718.36940738867</v>
      </c>
      <c r="CH252" s="13">
        <f>CH251+CG252</f>
        <v>11067566.19842354</v>
      </c>
      <c r="CI252">
        <f>IF(CH252=MAX($CH$83:$CH$483),$A252,0)</f>
        <v>0</v>
      </c>
      <c r="CJ252">
        <f>IF(CE252&lt;CF252,$A252,B_MAX+1)</f>
        <v>169</v>
      </c>
      <c r="CK252" s="13">
        <f>IF(CB252=1,$CB$35,$CB$36)</f>
        <v>1560.1194073886782</v>
      </c>
      <c r="CL252" s="13">
        <f>OCC_DAYS*$CB$41*R_NF_2023-CD252*MCD_SHARE_FREED*R_WAIT_2023</f>
        <v>151980.48282209205</v>
      </c>
      <c r="CM252">
        <f>IF($A252&lt;=$CB$45,1,0)</f>
        <v>0</v>
      </c>
      <c r="DB252">
        <f>IF($DB$31&lt;=$DB$32,IF($A252&lt;=$DB$7,1,2),IF($A252&lt;=RUNG_BEDS_2,2,1))</f>
        <v>1</v>
      </c>
      <c r="DC252" s="5">
        <f>MIN(1,MAX(0,$DB$26-($A252-1)))</f>
        <v>0</v>
      </c>
      <c r="DD252" s="5">
        <f>$DB$25*(DC252+(1-DC252)*$DB$16)</f>
        <v>0.0</v>
      </c>
      <c r="DE252" s="13">
        <f>DD252*($DB$6+ACUTE_MARGIN)</f>
        <v>0.0</v>
      </c>
      <c r="DF252" s="13">
        <f>IF(DB252=1,$DB$31,$DB$32)</f>
        <v>152394.16214437486</v>
      </c>
      <c r="DG252" s="13">
        <f>DE252-DF252</f>
        <v>-152394.16214437486</v>
      </c>
      <c r="DH252" s="13">
        <f>DH251+DG252</f>
        <v>12474357.225872971</v>
      </c>
      <c r="DI252">
        <f>IF(DH252=MAX($DH$83:$DH$483),$A252,0)</f>
        <v>0</v>
      </c>
      <c r="DJ252">
        <f>IF(DE252&lt;DF252,$A252,B_MAX+1)</f>
        <v>169</v>
      </c>
      <c r="DK252" s="13">
        <f>IF(DB252=1,$DB$35,$DB$36)</f>
        <v>0</v>
      </c>
      <c r="DL252" s="13">
        <f>OCC_DAYS*$DB$41*R_NF_2023-DD252*MCD_SHARE_FREED*R_WAIT_2023</f>
        <v>151980.48282209205</v>
      </c>
      <c r="DM252">
        <f>IF($A252&lt;=$DB$45,1,0)</f>
        <v>0</v>
      </c>
      <c r="EB252">
        <f>IF($EB$31&lt;=$EB$32,IF($A252&lt;=$EB$7,1,2),IF($A252&lt;=RUNG_BEDS_2,2,1))</f>
        <v>1</v>
      </c>
      <c r="EC252" s="5">
        <f>MIN(1,MAX(0,$EB$26-($A252-1)))</f>
        <v>0</v>
      </c>
      <c r="ED252" s="5">
        <f>$EB$25*(EC252+(1-EC252)*$EB$16)</f>
        <v>0.0</v>
      </c>
      <c r="EE252" s="13">
        <f>ED252*($EB$6+ACUTE_MARGIN)</f>
        <v>0.0</v>
      </c>
      <c r="EF252" s="13">
        <f>IF(EB252=1,$EB$31,$EB$32)</f>
        <v>152394.16214437486</v>
      </c>
      <c r="EG252" s="13">
        <f>EE252-EF252</f>
        <v>-152394.16214437486</v>
      </c>
      <c r="EH252" s="13">
        <f>EH251+EG252</f>
        <v>12474357.225872971</v>
      </c>
      <c r="EI252">
        <f>IF(EH252=MAX($EH$83:$EH$483),$A252,0)</f>
        <v>0</v>
      </c>
      <c r="EJ252">
        <f>IF(EE252&lt;EF252,$A252,B_MAX+1)</f>
        <v>169</v>
      </c>
      <c r="EK252" s="13">
        <f>IF(EB252=1,$EB$35,$EB$36)</f>
        <v>0</v>
      </c>
      <c r="EL252" s="13">
        <f>OCC_DAYS*$EB$41*R_NF_2023-ED252*MCD_SHARE_FREED*R_WAIT_2023</f>
        <v>50660.16094069735</v>
      </c>
      <c r="EM252">
        <f>IF($A252&lt;=$EB$45,1,0)</f>
        <v>0</v>
      </c>
      <c r="FB252">
        <f>IF($FB$31&lt;=$FB$32,IF($A252&lt;=$FB$7,1,2),IF($A252&lt;=RUNG_BEDS_2,2,1))</f>
        <v>1</v>
      </c>
      <c r="FC252" s="5">
        <f>MIN(1,MAX(0,$FB$26-($A252-1)))</f>
        <v>0</v>
      </c>
      <c r="FD252" s="5">
        <f>$FB$25*(FC252+(1-FC252)*$FB$16)</f>
        <v>0.0</v>
      </c>
      <c r="FE252" s="13">
        <f>FD252*($FB$6+ACUTE_MARGIN)</f>
        <v>0.0</v>
      </c>
      <c r="FF252" s="13">
        <f>IF(FB252=1,$FB$31,$FB$32)</f>
        <v>156636.04979437485</v>
      </c>
      <c r="FG252" s="13">
        <f>FE252-FF252</f>
        <v>-156636.04979437485</v>
      </c>
      <c r="FH252" s="13">
        <f>FH251+FG252</f>
        <v>11757478.213022858</v>
      </c>
      <c r="FI252">
        <f>IF(FH252=MAX($FH$83:$FH$483),$A252,0)</f>
        <v>0</v>
      </c>
      <c r="FJ252">
        <f>IF(FE252&lt;FF252,$A252,B_MAX+1)</f>
        <v>169</v>
      </c>
      <c r="FK252" s="13">
        <f>IF(FB252=1,$FB$35,$FB$36)</f>
        <v>0</v>
      </c>
      <c r="FL252" s="13">
        <f>OCC_DAYS*$FB$41*R_NF_2023-FD252*MCD_SHARE_FREED*R_WAIT_2023</f>
        <v>151980.48282209205</v>
      </c>
      <c r="FM252">
        <f>IF($A252&lt;=$FB$45,1,0)</f>
        <v>0</v>
      </c>
      <c r="GB252">
        <f>IF($GB$31&lt;=$GB$32,IF($A252&lt;=$GB$7,1,2),IF($A252&lt;=RUNG_BEDS_2,2,1))</f>
        <v>1</v>
      </c>
      <c r="GC252" s="5">
        <f>MIN(1,MAX(0,$GB$26-($A252-1)))</f>
        <v>0</v>
      </c>
      <c r="GD252" s="5">
        <f>$GB$25*(GC252+(1-GC252)*$GB$16)</f>
        <v>0.0</v>
      </c>
      <c r="GE252" s="13">
        <f>GD252*($GB$6+ACUTE_MARGIN)</f>
        <v>0.0</v>
      </c>
      <c r="GF252" s="13">
        <f>IF(GB252=1,$GB$31,$GB$32)</f>
        <v>152394.16214437486</v>
      </c>
      <c r="GG252" s="13">
        <f>GE252-GF252</f>
        <v>-152394.16214437486</v>
      </c>
      <c r="GH252" s="13">
        <f>GH251+GG252</f>
        <v>12474357.225872971</v>
      </c>
      <c r="GI252">
        <f>IF(GH252=MAX($GH$83:$GH$483),$A252,0)</f>
        <v>0</v>
      </c>
      <c r="GJ252">
        <f>IF(GE252&lt;GF252,$A252,B_MAX+1)</f>
        <v>169</v>
      </c>
      <c r="GK252" s="13">
        <f>IF(GB252=1,$GB$35,$GB$36)</f>
        <v>0</v>
      </c>
      <c r="GL252" s="13">
        <f>OCC_DAYS*$GB$41*R_NF_2023-GD252*MCD_SHARE_FREED*R_WAIT_2023</f>
        <v>151980.48282209205</v>
      </c>
      <c r="GM252">
        <f>IF($A252&lt;=$GB$45,1,0)</f>
        <v>0</v>
      </c>
      <c r="HB252">
        <f>IF($HB$31&lt;=$HB$32,IF($A252&lt;=$HB$7,1,2),IF($A252&lt;=RUNG_BEDS_2,2,1))</f>
        <v>1</v>
      </c>
      <c r="HC252" s="5">
        <f>MIN(1,MAX(0,$HB$26-($A252-1)))</f>
        <v>0</v>
      </c>
      <c r="HD252" s="5">
        <f>$HB$25*(HC252+(1-HC252)*$HB$16)</f>
        <v>0.0</v>
      </c>
      <c r="HE252" s="13">
        <f>HD252*($HB$6+ACUTE_MARGIN)</f>
        <v>0.0</v>
      </c>
      <c r="HF252" s="13">
        <f>IF(HB252=1,$HB$31,$HB$32)</f>
        <v>152456.2970814058</v>
      </c>
      <c r="HG252" s="13">
        <f>HE252-HF252</f>
        <v>-152456.2970814058</v>
      </c>
      <c r="HH252" s="13">
        <f>HH251+HG252</f>
        <v>12463856.421514714</v>
      </c>
      <c r="HI252">
        <f>IF(HH252=MAX($HH$83:$HH$483),$A252,0)</f>
        <v>0</v>
      </c>
      <c r="HJ252">
        <f>IF(HE252&lt;HF252,$A252,B_MAX+1)</f>
        <v>169</v>
      </c>
      <c r="HK252" s="13">
        <f>IF(HB252=1,$HB$35,$HB$36)</f>
        <v>0</v>
      </c>
      <c r="HL252" s="13">
        <f>OCC_DAYS*$HB$41*R_NF_2023-HD252*MCD_SHARE_FREED*R_WAIT_2023</f>
        <v>151980.48282209205</v>
      </c>
      <c r="HM252">
        <f>IF($A252&lt;=$HB$45,1,0)</f>
        <v>0</v>
      </c>
      <c r="IB252">
        <f>IF($IB$31&lt;=$IB$32,IF($A252&lt;=$IB$7,1,2),IF($A252&lt;=RUNG_BEDS_2,2,1))</f>
        <v>1</v>
      </c>
      <c r="IC252" s="5">
        <f>MIN(1,MAX(0,$IB$26-($A252-1)))</f>
        <v>0</v>
      </c>
      <c r="ID252" s="5">
        <f>$IB$25*(IC252+(1-IC252)*$IB$16)</f>
        <v>0.0</v>
      </c>
      <c r="IE252" s="13">
        <f>ID252*($IB$6+ACUTE_MARGIN)</f>
        <v>0.0</v>
      </c>
      <c r="IF252" s="13">
        <f>IF(IB252=1,$IB$31,$IB$32)</f>
        <v>152734.9994534971</v>
      </c>
      <c r="IG252" s="13">
        <f>IE252-IF252</f>
        <v>-152734.9994534971</v>
      </c>
      <c r="IH252" s="13">
        <f>IH251+IG252</f>
        <v>12416755.72063121</v>
      </c>
      <c r="II252">
        <f>IF(IH252=MAX($IH$83:$IH$483),$A252,0)</f>
        <v>0</v>
      </c>
      <c r="IJ252">
        <f>IF(IE252&lt;IF252,$A252,B_MAX+1)</f>
        <v>169</v>
      </c>
      <c r="IK252" s="13">
        <f>IF(IB252=1,$IB$35,$IB$36)</f>
        <v>0</v>
      </c>
      <c r="IL252" s="13">
        <f>OCC_DAYS*$IB$41*R_NF_2023-ID252*MCD_SHARE_FREED*R_WAIT_2023</f>
        <v>151980.48282209205</v>
      </c>
      <c r="IM252">
        <f>IF($A252&lt;=$IB$45,1,0)</f>
        <v>0</v>
      </c>
      <c r="JB252">
        <f>IF($JB$31&lt;=$JB$32,IF($A252&lt;=$JB$7,1,2),IF($A252&lt;=RUNG_BEDS_2,2,1))</f>
        <v>1</v>
      </c>
      <c r="JC252" s="5">
        <f>MIN(1,MAX(0,$JB$26-($A252-1)))</f>
        <v>0</v>
      </c>
      <c r="JD252" s="5">
        <f>$JB$25*(JC252+(1-JC252)*$JB$16)</f>
        <v>0.0</v>
      </c>
      <c r="JE252" s="13">
        <f>JD252*($JB$6+ACUTE_MARGIN)</f>
        <v>0.0</v>
      </c>
      <c r="JF252" s="13">
        <f>IF(JB252=1,$JB$31,$JB$32)</f>
        <v>152394.16214437486</v>
      </c>
      <c r="JG252" s="13">
        <f>JE252-JF252</f>
        <v>-152394.16214437486</v>
      </c>
      <c r="JH252" s="13">
        <f>JH251+JG252</f>
        <v>12474357.225872971</v>
      </c>
      <c r="JI252">
        <f>IF(JH252=MAX($JH$83:$JH$483),$A252,0)</f>
        <v>0</v>
      </c>
      <c r="JJ252">
        <f>IF(JE252&lt;JF252,$A252,B_MAX+1)</f>
        <v>169</v>
      </c>
      <c r="JK252" s="13">
        <f>IF(JB252=1,$JB$35,$JB$36)</f>
        <v>0</v>
      </c>
      <c r="JL252" s="13">
        <f>OCC_DAYS*$JB$41*R_NF_2023-JD252*MCD_SHARE_FREED*R_WAIT_2023</f>
        <v>151980.48282209205</v>
      </c>
      <c r="JM252">
        <f>IF($A252&lt;=$JB$45,1,0)</f>
        <v>0</v>
      </c>
      <c r="KB252">
        <f>IF($KB$31&lt;=$KB$32,IF($A252&lt;=$KB$7,1,2),IF($A252&lt;=RUNG_BEDS_2,2,1))</f>
        <v>1</v>
      </c>
      <c r="KC252" s="5">
        <f>MIN(1,MAX(0,$KB$26-($A252-1)))</f>
        <v>1</v>
      </c>
      <c r="KD252" s="5">
        <f>$KB$25*(KC252+(1-KC252)*$KB$16)</f>
        <v>126.02661357340719</v>
      </c>
      <c r="KE252" s="13">
        <f>KD252*($KB$6+ACUTE_MARGIN)</f>
        <v>127286.87970914126</v>
      </c>
      <c r="KF252" s="13">
        <f>IF(KB252=1,$KB$31,$KB$32)</f>
        <v>152394.16214437486</v>
      </c>
      <c r="KG252" s="13">
        <f>KE252-KF252</f>
        <v>-25107.282435233603</v>
      </c>
      <c r="KH252" s="13">
        <f>KH251+KG252</f>
        <v>-4243130.731554491</v>
      </c>
      <c r="KI252">
        <f>IF(KH252=MAX($KH$83:$KH$483),$A252,0)</f>
        <v>0</v>
      </c>
      <c r="KJ252">
        <f>IF(KE252&lt;KF252,$A252,B_MAX+1)</f>
        <v>169</v>
      </c>
      <c r="KK252" s="13">
        <f>IF(KB252=1,$KB$35,$KB$36)</f>
        <v>0</v>
      </c>
      <c r="KL252" s="13">
        <f>OCC_DAYS*$KB$41*R_NF_2023-KD252*MCD_SHARE_FREED*R_WAIT_2023</f>
        <v>94673.82103225985</v>
      </c>
      <c r="KM252">
        <f>IF($A252&lt;=$KB$45,1,0)</f>
        <v>0</v>
      </c>
      <c r="LB252">
        <f>IF($LB$31&lt;=$LB$32,IF($A252&lt;=$LB$7,1,2),IF($A252&lt;=RUNG_BEDS_2,2,1))</f>
        <v>1</v>
      </c>
      <c r="LC252" s="5">
        <f>MIN(1,MAX(0,$LB$26-($A252-1)))</f>
        <v>1</v>
      </c>
      <c r="LD252" s="5">
        <f>$LB$25*(LC252+(1-LC252)*$LB$16)</f>
        <v>84.01774238227146</v>
      </c>
      <c r="LE252" s="13">
        <f>LD252*($LB$6+ACUTE_MARGIN)</f>
        <v>84857.91980609419</v>
      </c>
      <c r="LF252" s="13">
        <f>IF(LB252=1,$LB$31,$LB$32)</f>
        <v>152394.16214437486</v>
      </c>
      <c r="LG252" s="13">
        <f>LE252-LF252</f>
        <v>-67536.24233828067</v>
      </c>
      <c r="LH252" s="13">
        <f>LH251+LG252</f>
        <v>-11413624.95516948</v>
      </c>
      <c r="LI252">
        <f>IF(LH252=MAX($LH$83:$LH$483),$A252,0)</f>
        <v>0</v>
      </c>
      <c r="LJ252">
        <f>IF(LE252&lt;LF252,$A252,B_MAX+1)</f>
        <v>169</v>
      </c>
      <c r="LK252" s="13">
        <f>IF(LB252=1,$LB$35,$LB$36)</f>
        <v>0</v>
      </c>
      <c r="LL252" s="13">
        <f>OCC_DAYS*$LB$41*R_NF_2023-LD252*MCD_SHARE_FREED*R_WAIT_2023</f>
        <v>113776.04162887059</v>
      </c>
      <c r="LM252">
        <f>IF($A252&lt;=$LB$45,1,0)</f>
        <v>0</v>
      </c>
      <c r="MB252">
        <f>IF($MB$31&lt;=$MB$32,IF($A252&lt;=$MB$7,1,2),IF($A252&lt;=RUNG_BEDS_2,2,1))</f>
        <v>1</v>
      </c>
      <c r="MC252" s="5">
        <f>MIN(1,MAX(0,$MB$26-($A252-1)))</f>
        <v>0</v>
      </c>
      <c r="MD252" s="5">
        <f>$MB$25*(MC252+(1-MC252)*$MB$16)</f>
        <v>0.0</v>
      </c>
      <c r="ME252" s="13">
        <f>MD252*($MB$6+ACUTE_MARGIN)</f>
        <v>0.0</v>
      </c>
      <c r="MF252" s="13">
        <f>IF(MB252=1,$MB$31,$MB$32)</f>
        <v>152394.16214437486</v>
      </c>
      <c r="MG252" s="13">
        <f>ME252-MF252</f>
        <v>-152394.16214437486</v>
      </c>
      <c r="MH252" s="13">
        <f>MH251+MG252</f>
        <v>6587081.164074659</v>
      </c>
      <c r="MI252">
        <f>IF(MH252=MAX($MH$83:$MH$483),$A252,0)</f>
        <v>0</v>
      </c>
      <c r="MJ252">
        <f>IF(ME252&lt;MF252,$A252,B_MAX+1)</f>
        <v>169</v>
      </c>
      <c r="MK252" s="13">
        <f>IF(MB252=1,$MB$35,$MB$36)</f>
        <v>0</v>
      </c>
      <c r="ML252" s="13">
        <f>OCC_DAYS*$MB$41*R_NF_2023-MD252*MCD_SHARE_FREED*R_WAIT_2023</f>
        <v>151980.48282209205</v>
      </c>
      <c r="MM252">
        <f>IF($A252&lt;=$MB$45,1,0)</f>
        <v>0</v>
      </c>
      <c r="NB252">
        <f>IF($NB$31&lt;=$NB$32,IF($A252&lt;=$NB$7,1,2),IF($A252&lt;=RUNG_BEDS_2,2,1))</f>
        <v>1</v>
      </c>
      <c r="NC252" s="5">
        <f>MIN(1,MAX(0,$NB$26-($A252-1)))</f>
        <v>0</v>
      </c>
      <c r="ND252" s="5">
        <f>$NB$25*(NC252+(1-NC252)*$NB$16)</f>
        <v>63.013306786703595</v>
      </c>
      <c r="NE252" s="13">
        <f>ND252*($NB$6+ACUTE_MARGIN)</f>
        <v>63643.43985457063</v>
      </c>
      <c r="NF252" s="13">
        <f>IF(NB252=1,$NB$31,$NB$32)</f>
        <v>152394.16214437486</v>
      </c>
      <c r="NG252" s="13">
        <f>NE252-NF252</f>
        <v>-88750.72228980422</v>
      </c>
      <c r="NH252" s="13">
        <f>NH251+NG252</f>
        <v>13672855.904227328</v>
      </c>
      <c r="NI252">
        <f>IF(NH252=MAX($NH$83:$NH$483),$A252,0)</f>
        <v>0</v>
      </c>
      <c r="NJ252">
        <f>IF(NE252&lt;NF252,$A252,B_MAX+1)</f>
        <v>169</v>
      </c>
      <c r="NK252" s="13">
        <f>IF(NB252=1,$NB$35,$NB$36)</f>
        <v>0</v>
      </c>
      <c r="NL252" s="13">
        <f>OCC_DAYS*$NB$41*R_NF_2023-ND252*MCD_SHARE_FREED*R_WAIT_2023</f>
        <v>123327.15192717595</v>
      </c>
      <c r="NM252">
        <f>IF($A252&lt;=$NB$45,1,0)</f>
        <v>0</v>
      </c>
      <c r="OB252">
        <f>IF($OB$31&lt;=$OB$32,IF($A252&lt;=$OB$7,1,2),IF($A252&lt;=RUNG_BEDS_2,2,1))</f>
        <v>1</v>
      </c>
      <c r="OC252" s="5">
        <f>MIN(1,MAX(0,$OB$26-($A252-1)))</f>
        <v>0</v>
      </c>
      <c r="OD252" s="5">
        <f>$OB$25*(OC252+(1-OC252)*$OB$16)</f>
        <v>126.02661357340719</v>
      </c>
      <c r="OE252" s="13">
        <f>OD252*($OB$6+ACUTE_MARGIN)</f>
        <v>127286.87970914126</v>
      </c>
      <c r="OF252" s="13">
        <f>IF(OB252=1,$OB$31,$OB$32)</f>
        <v>152394.16214437486</v>
      </c>
      <c r="OG252" s="13">
        <f>OE252-OF252</f>
        <v>-25107.282435233603</v>
      </c>
      <c r="OH252" s="13">
        <f>OH251+OG252</f>
        <v>14871354.58258172</v>
      </c>
      <c r="OI252">
        <f>IF(OH252=MAX($OH$83:$OH$483),$A252,0)</f>
        <v>0</v>
      </c>
      <c r="OJ252">
        <f>IF(OE252&lt;OF252,$A252,B_MAX+1)</f>
        <v>169</v>
      </c>
      <c r="OK252" s="13">
        <f>IF(OB252=1,$OB$35,$OB$36)</f>
        <v>0</v>
      </c>
      <c r="OL252" s="13">
        <f>OCC_DAYS*$OB$41*R_NF_2023-OD252*MCD_SHARE_FREED*R_WAIT_2023</f>
        <v>94673.82103225985</v>
      </c>
      <c r="OM252">
        <f>IF($A252&lt;=$OB$45,1,0)</f>
        <v>0</v>
      </c>
    </row>
    <row r="253">
      <c r="A253" t="n">
        <v>170</v>
      </c>
      <c r="B253">
        <f>IF($B$31&lt;=$B$32,IF($A253&lt;=$B$7,1,2),IF($A253&lt;=RUNG_BEDS_2,2,1))</f>
        <v>1</v>
      </c>
      <c r="C253" s="5">
        <f>MIN(1,MAX(0,$B$26-($A253-1)))</f>
        <v>0</v>
      </c>
      <c r="D253" s="5">
        <f>$B$25*(C253+(1-C253)*$B$16)</f>
        <v>0.0</v>
      </c>
      <c r="E253" s="13">
        <f>D253*($B$6+ACUTE_MARGIN)</f>
        <v>0.0</v>
      </c>
      <c r="F253" s="13">
        <f>IF(B253=1,$B$31,$B$32)</f>
        <v>152394.16214437486</v>
      </c>
      <c r="G253" s="13">
        <f>E253-F253</f>
        <v>-152394.16214437486</v>
      </c>
      <c r="H253" s="13">
        <f>H252+G253</f>
        <v>12321963.063728597</v>
      </c>
      <c r="I253">
        <f>IF(H253=MAX($H$83:$H$483),$A253,0)</f>
        <v>0</v>
      </c>
      <c r="J253">
        <f>IF(E253&lt;F253,$A253,B_MAX+1)</f>
        <v>170</v>
      </c>
      <c r="K253" s="13">
        <f>IF(B253=1,$B$35,$B$36)</f>
        <v>0</v>
      </c>
      <c r="L253" s="13">
        <f>OCC_DAYS*$B$41*R_NF_2023-D253*MCD_SHARE_FREED*R_WAIT_2023</f>
        <v>151980.48282209205</v>
      </c>
      <c r="M253">
        <f>IF($A253&lt;=$B$45,1,0)</f>
        <v>0</v>
      </c>
      <c r="AB253">
        <f>IF($AB$31&lt;=$AB$32,IF($A253&lt;=$AB$7,1,2),IF($A253&lt;=RUNG_BEDS_2,2,1))</f>
        <v>1</v>
      </c>
      <c r="AC253" s="5">
        <f>MIN(1,MAX(0,$AB$26-($A253-1)))</f>
        <v>0</v>
      </c>
      <c r="AD253" s="5">
        <f>$AB$25*(AC253+(1-AC253)*$AB$16)</f>
        <v>0.0</v>
      </c>
      <c r="AE253" s="13">
        <f>AD253*($AB$6+ACUTE_MARGIN)</f>
        <v>0.0</v>
      </c>
      <c r="AF253" s="13">
        <f>IF(AB253=1,$AB$31,$AB$32)</f>
        <v>152394.16214437486</v>
      </c>
      <c r="AG253" s="13">
        <f>AE253-AF253</f>
        <v>-152394.16214437486</v>
      </c>
      <c r="AH253" s="13">
        <f>AH252+AG253</f>
        <v>-5089251.281821214</v>
      </c>
      <c r="AI253">
        <f>IF(AH253=MAX($AH$83:$AH$483),$A253,0)</f>
        <v>0</v>
      </c>
      <c r="AJ253">
        <f>IF(AE253&lt;AF253,$A253,B_MAX+1)</f>
        <v>170</v>
      </c>
      <c r="AK253" s="13">
        <f>IF(AB253=1,$AB$35,$AB$36)</f>
        <v>0</v>
      </c>
      <c r="AL253" s="13">
        <f>OCC_DAYS*$AB$41*R_NF_2023-AD253*MCD_SHARE_FREED*R_WAIT_2023</f>
        <v>151980.48282209205</v>
      </c>
      <c r="AM253">
        <f>IF($A253&lt;=$AB$45,1,0)</f>
        <v>0</v>
      </c>
      <c r="BB253">
        <f>IF($BB$31&lt;=$BB$32,IF($A253&lt;=$BB$7,1,2),IF($A253&lt;=RUNG_BEDS_2,2,1))</f>
        <v>1</v>
      </c>
      <c r="BC253" s="5">
        <f>MIN(1,MAX(0,$BB$26-($A253-1)))</f>
        <v>0</v>
      </c>
      <c r="BD253" s="5">
        <f>$BB$25*(BC253+(1-BC253)*$BB$16)</f>
        <v>0.0</v>
      </c>
      <c r="BE253" s="13">
        <f>BD253*($BB$6+ACUTE_MARGIN)</f>
        <v>0.0</v>
      </c>
      <c r="BF253" s="13">
        <f>IF(BB253=1,$BB$31,$BB$32)</f>
        <v>152394.16214437486</v>
      </c>
      <c r="BG253" s="13">
        <f>BE253-BF253</f>
        <v>-152394.16214437486</v>
      </c>
      <c r="BH253" s="13">
        <f>BH252+BG253</f>
        <v>29733177.40927826</v>
      </c>
      <c r="BI253">
        <f>IF(BH253=MAX($BH$83:$BH$483),$A253,0)</f>
        <v>0</v>
      </c>
      <c r="BJ253">
        <f>IF(BE253&lt;BF253,$A253,B_MAX+1)</f>
        <v>170</v>
      </c>
      <c r="BK253" s="13">
        <f>IF(BB253=1,$BB$35,$BB$36)</f>
        <v>0</v>
      </c>
      <c r="BL253" s="13">
        <f>OCC_DAYS*$BB$41*R_NF_2023-BD253*MCD_SHARE_FREED*R_WAIT_2023</f>
        <v>151980.48282209205</v>
      </c>
      <c r="BM253">
        <f>IF($A253&lt;=$BB$45,1,0)</f>
        <v>0</v>
      </c>
      <c r="CB253">
        <f>IF($CB$31&lt;=$CB$32,IF($A253&lt;=$CB$7,1,2),IF($A253&lt;=RUNG_BEDS_2,2,1))</f>
        <v>2</v>
      </c>
      <c r="CC253" s="5">
        <f>MIN(1,MAX(0,$CB$26-($A253-1)))</f>
        <v>0</v>
      </c>
      <c r="CD253" s="5">
        <f>$CB$25*(CC253+(1-CC253)*$CB$16)</f>
        <v>0.0</v>
      </c>
      <c r="CE253" s="13">
        <f>CD253*($CB$6+ACUTE_MARGIN)</f>
        <v>0.0</v>
      </c>
      <c r="CF253" s="13">
        <f>IF(CB253=1,$CB$31,$CB$32)</f>
        <v>160718.36940738867</v>
      </c>
      <c r="CG253" s="13">
        <f>CE253-CF253</f>
        <v>-160718.36940738867</v>
      </c>
      <c r="CH253" s="13">
        <f>CH252+CG253</f>
        <v>10906847.82901615</v>
      </c>
      <c r="CI253">
        <f>IF(CH253=MAX($CH$83:$CH$483),$A253,0)</f>
        <v>0</v>
      </c>
      <c r="CJ253">
        <f>IF(CE253&lt;CF253,$A253,B_MAX+1)</f>
        <v>170</v>
      </c>
      <c r="CK253" s="13">
        <f>IF(CB253=1,$CB$35,$CB$36)</f>
        <v>1560.1194073886782</v>
      </c>
      <c r="CL253" s="13">
        <f>OCC_DAYS*$CB$41*R_NF_2023-CD253*MCD_SHARE_FREED*R_WAIT_2023</f>
        <v>151980.48282209205</v>
      </c>
      <c r="CM253">
        <f>IF($A253&lt;=$CB$45,1,0)</f>
        <v>0</v>
      </c>
      <c r="DB253">
        <f>IF($DB$31&lt;=$DB$32,IF($A253&lt;=$DB$7,1,2),IF($A253&lt;=RUNG_BEDS_2,2,1))</f>
        <v>1</v>
      </c>
      <c r="DC253" s="5">
        <f>MIN(1,MAX(0,$DB$26-($A253-1)))</f>
        <v>0</v>
      </c>
      <c r="DD253" s="5">
        <f>$DB$25*(DC253+(1-DC253)*$DB$16)</f>
        <v>0.0</v>
      </c>
      <c r="DE253" s="13">
        <f>DD253*($DB$6+ACUTE_MARGIN)</f>
        <v>0.0</v>
      </c>
      <c r="DF253" s="13">
        <f>IF(DB253=1,$DB$31,$DB$32)</f>
        <v>152394.16214437486</v>
      </c>
      <c r="DG253" s="13">
        <f>DE253-DF253</f>
        <v>-152394.16214437486</v>
      </c>
      <c r="DH253" s="13">
        <f>DH252+DG253</f>
        <v>12321963.063728597</v>
      </c>
      <c r="DI253">
        <f>IF(DH253=MAX($DH$83:$DH$483),$A253,0)</f>
        <v>0</v>
      </c>
      <c r="DJ253">
        <f>IF(DE253&lt;DF253,$A253,B_MAX+1)</f>
        <v>170</v>
      </c>
      <c r="DK253" s="13">
        <f>IF(DB253=1,$DB$35,$DB$36)</f>
        <v>0</v>
      </c>
      <c r="DL253" s="13">
        <f>OCC_DAYS*$DB$41*R_NF_2023-DD253*MCD_SHARE_FREED*R_WAIT_2023</f>
        <v>151980.48282209205</v>
      </c>
      <c r="DM253">
        <f>IF($A253&lt;=$DB$45,1,0)</f>
        <v>0</v>
      </c>
      <c r="EB253">
        <f>IF($EB$31&lt;=$EB$32,IF($A253&lt;=$EB$7,1,2),IF($A253&lt;=RUNG_BEDS_2,2,1))</f>
        <v>1</v>
      </c>
      <c r="EC253" s="5">
        <f>MIN(1,MAX(0,$EB$26-($A253-1)))</f>
        <v>0</v>
      </c>
      <c r="ED253" s="5">
        <f>$EB$25*(EC253+(1-EC253)*$EB$16)</f>
        <v>0.0</v>
      </c>
      <c r="EE253" s="13">
        <f>ED253*($EB$6+ACUTE_MARGIN)</f>
        <v>0.0</v>
      </c>
      <c r="EF253" s="13">
        <f>IF(EB253=1,$EB$31,$EB$32)</f>
        <v>152394.16214437486</v>
      </c>
      <c r="EG253" s="13">
        <f>EE253-EF253</f>
        <v>-152394.16214437486</v>
      </c>
      <c r="EH253" s="13">
        <f>EH252+EG253</f>
        <v>12321963.063728597</v>
      </c>
      <c r="EI253">
        <f>IF(EH253=MAX($EH$83:$EH$483),$A253,0)</f>
        <v>0</v>
      </c>
      <c r="EJ253">
        <f>IF(EE253&lt;EF253,$A253,B_MAX+1)</f>
        <v>170</v>
      </c>
      <c r="EK253" s="13">
        <f>IF(EB253=1,$EB$35,$EB$36)</f>
        <v>0</v>
      </c>
      <c r="EL253" s="13">
        <f>OCC_DAYS*$EB$41*R_NF_2023-ED253*MCD_SHARE_FREED*R_WAIT_2023</f>
        <v>50660.16094069735</v>
      </c>
      <c r="EM253">
        <f>IF($A253&lt;=$EB$45,1,0)</f>
        <v>0</v>
      </c>
      <c r="FB253">
        <f>IF($FB$31&lt;=$FB$32,IF($A253&lt;=$FB$7,1,2),IF($A253&lt;=RUNG_BEDS_2,2,1))</f>
        <v>1</v>
      </c>
      <c r="FC253" s="5">
        <f>MIN(1,MAX(0,$FB$26-($A253-1)))</f>
        <v>0</v>
      </c>
      <c r="FD253" s="5">
        <f>$FB$25*(FC253+(1-FC253)*$FB$16)</f>
        <v>0.0</v>
      </c>
      <c r="FE253" s="13">
        <f>FD253*($FB$6+ACUTE_MARGIN)</f>
        <v>0.0</v>
      </c>
      <c r="FF253" s="13">
        <f>IF(FB253=1,$FB$31,$FB$32)</f>
        <v>156636.04979437485</v>
      </c>
      <c r="FG253" s="13">
        <f>FE253-FF253</f>
        <v>-156636.04979437485</v>
      </c>
      <c r="FH253" s="13">
        <f>FH252+FG253</f>
        <v>11600842.163228484</v>
      </c>
      <c r="FI253">
        <f>IF(FH253=MAX($FH$83:$FH$483),$A253,0)</f>
        <v>0</v>
      </c>
      <c r="FJ253">
        <f>IF(FE253&lt;FF253,$A253,B_MAX+1)</f>
        <v>170</v>
      </c>
      <c r="FK253" s="13">
        <f>IF(FB253=1,$FB$35,$FB$36)</f>
        <v>0</v>
      </c>
      <c r="FL253" s="13">
        <f>OCC_DAYS*$FB$41*R_NF_2023-FD253*MCD_SHARE_FREED*R_WAIT_2023</f>
        <v>151980.48282209205</v>
      </c>
      <c r="FM253">
        <f>IF($A253&lt;=$FB$45,1,0)</f>
        <v>0</v>
      </c>
      <c r="GB253">
        <f>IF($GB$31&lt;=$GB$32,IF($A253&lt;=$GB$7,1,2),IF($A253&lt;=RUNG_BEDS_2,2,1))</f>
        <v>1</v>
      </c>
      <c r="GC253" s="5">
        <f>MIN(1,MAX(0,$GB$26-($A253-1)))</f>
        <v>0</v>
      </c>
      <c r="GD253" s="5">
        <f>$GB$25*(GC253+(1-GC253)*$GB$16)</f>
        <v>0.0</v>
      </c>
      <c r="GE253" s="13">
        <f>GD253*($GB$6+ACUTE_MARGIN)</f>
        <v>0.0</v>
      </c>
      <c r="GF253" s="13">
        <f>IF(GB253=1,$GB$31,$GB$32)</f>
        <v>152394.16214437486</v>
      </c>
      <c r="GG253" s="13">
        <f>GE253-GF253</f>
        <v>-152394.16214437486</v>
      </c>
      <c r="GH253" s="13">
        <f>GH252+GG253</f>
        <v>12321963.063728597</v>
      </c>
      <c r="GI253">
        <f>IF(GH253=MAX($GH$83:$GH$483),$A253,0)</f>
        <v>0</v>
      </c>
      <c r="GJ253">
        <f>IF(GE253&lt;GF253,$A253,B_MAX+1)</f>
        <v>170</v>
      </c>
      <c r="GK253" s="13">
        <f>IF(GB253=1,$GB$35,$GB$36)</f>
        <v>0</v>
      </c>
      <c r="GL253" s="13">
        <f>OCC_DAYS*$GB$41*R_NF_2023-GD253*MCD_SHARE_FREED*R_WAIT_2023</f>
        <v>151980.48282209205</v>
      </c>
      <c r="GM253">
        <f>IF($A253&lt;=$GB$45,1,0)</f>
        <v>0</v>
      </c>
      <c r="HB253">
        <f>IF($HB$31&lt;=$HB$32,IF($A253&lt;=$HB$7,1,2),IF($A253&lt;=RUNG_BEDS_2,2,1))</f>
        <v>1</v>
      </c>
      <c r="HC253" s="5">
        <f>MIN(1,MAX(0,$HB$26-($A253-1)))</f>
        <v>0</v>
      </c>
      <c r="HD253" s="5">
        <f>$HB$25*(HC253+(1-HC253)*$HB$16)</f>
        <v>0.0</v>
      </c>
      <c r="HE253" s="13">
        <f>HD253*($HB$6+ACUTE_MARGIN)</f>
        <v>0.0</v>
      </c>
      <c r="HF253" s="13">
        <f>IF(HB253=1,$HB$31,$HB$32)</f>
        <v>152456.2970814058</v>
      </c>
      <c r="HG253" s="13">
        <f>HE253-HF253</f>
        <v>-152456.2970814058</v>
      </c>
      <c r="HH253" s="13">
        <f>HH252+HG253</f>
        <v>12311400.124433309</v>
      </c>
      <c r="HI253">
        <f>IF(HH253=MAX($HH$83:$HH$483),$A253,0)</f>
        <v>0</v>
      </c>
      <c r="HJ253">
        <f>IF(HE253&lt;HF253,$A253,B_MAX+1)</f>
        <v>170</v>
      </c>
      <c r="HK253" s="13">
        <f>IF(HB253=1,$HB$35,$HB$36)</f>
        <v>0</v>
      </c>
      <c r="HL253" s="13">
        <f>OCC_DAYS*$HB$41*R_NF_2023-HD253*MCD_SHARE_FREED*R_WAIT_2023</f>
        <v>151980.48282209205</v>
      </c>
      <c r="HM253">
        <f>IF($A253&lt;=$HB$45,1,0)</f>
        <v>0</v>
      </c>
      <c r="IB253">
        <f>IF($IB$31&lt;=$IB$32,IF($A253&lt;=$IB$7,1,2),IF($A253&lt;=RUNG_BEDS_2,2,1))</f>
        <v>1</v>
      </c>
      <c r="IC253" s="5">
        <f>MIN(1,MAX(0,$IB$26-($A253-1)))</f>
        <v>0</v>
      </c>
      <c r="ID253" s="5">
        <f>$IB$25*(IC253+(1-IC253)*$IB$16)</f>
        <v>0.0</v>
      </c>
      <c r="IE253" s="13">
        <f>ID253*($IB$6+ACUTE_MARGIN)</f>
        <v>0.0</v>
      </c>
      <c r="IF253" s="13">
        <f>IF(IB253=1,$IB$31,$IB$32)</f>
        <v>152734.9994534971</v>
      </c>
      <c r="IG253" s="13">
        <f>IE253-IF253</f>
        <v>-152734.9994534971</v>
      </c>
      <c r="IH253" s="13">
        <f>IH252+IG253</f>
        <v>12264020.721177714</v>
      </c>
      <c r="II253">
        <f>IF(IH253=MAX($IH$83:$IH$483),$A253,0)</f>
        <v>0</v>
      </c>
      <c r="IJ253">
        <f>IF(IE253&lt;IF253,$A253,B_MAX+1)</f>
        <v>170</v>
      </c>
      <c r="IK253" s="13">
        <f>IF(IB253=1,$IB$35,$IB$36)</f>
        <v>0</v>
      </c>
      <c r="IL253" s="13">
        <f>OCC_DAYS*$IB$41*R_NF_2023-ID253*MCD_SHARE_FREED*R_WAIT_2023</f>
        <v>151980.48282209205</v>
      </c>
      <c r="IM253">
        <f>IF($A253&lt;=$IB$45,1,0)</f>
        <v>0</v>
      </c>
      <c r="JB253">
        <f>IF($JB$31&lt;=$JB$32,IF($A253&lt;=$JB$7,1,2),IF($A253&lt;=RUNG_BEDS_2,2,1))</f>
        <v>1</v>
      </c>
      <c r="JC253" s="5">
        <f>MIN(1,MAX(0,$JB$26-($A253-1)))</f>
        <v>0</v>
      </c>
      <c r="JD253" s="5">
        <f>$JB$25*(JC253+(1-JC253)*$JB$16)</f>
        <v>0.0</v>
      </c>
      <c r="JE253" s="13">
        <f>JD253*($JB$6+ACUTE_MARGIN)</f>
        <v>0.0</v>
      </c>
      <c r="JF253" s="13">
        <f>IF(JB253=1,$JB$31,$JB$32)</f>
        <v>152394.16214437486</v>
      </c>
      <c r="JG253" s="13">
        <f>JE253-JF253</f>
        <v>-152394.16214437486</v>
      </c>
      <c r="JH253" s="13">
        <f>JH252+JG253</f>
        <v>12321963.063728597</v>
      </c>
      <c r="JI253">
        <f>IF(JH253=MAX($JH$83:$JH$483),$A253,0)</f>
        <v>0</v>
      </c>
      <c r="JJ253">
        <f>IF(JE253&lt;JF253,$A253,B_MAX+1)</f>
        <v>170</v>
      </c>
      <c r="JK253" s="13">
        <f>IF(JB253=1,$JB$35,$JB$36)</f>
        <v>0</v>
      </c>
      <c r="JL253" s="13">
        <f>OCC_DAYS*$JB$41*R_NF_2023-JD253*MCD_SHARE_FREED*R_WAIT_2023</f>
        <v>151980.48282209205</v>
      </c>
      <c r="JM253">
        <f>IF($A253&lt;=$JB$45,1,0)</f>
        <v>0</v>
      </c>
      <c r="KB253">
        <f>IF($KB$31&lt;=$KB$32,IF($A253&lt;=$KB$7,1,2),IF($A253&lt;=RUNG_BEDS_2,2,1))</f>
        <v>1</v>
      </c>
      <c r="KC253" s="5">
        <f>MIN(1,MAX(0,$KB$26-($A253-1)))</f>
        <v>1</v>
      </c>
      <c r="KD253" s="5">
        <f>$KB$25*(KC253+(1-KC253)*$KB$16)</f>
        <v>126.02661357340719</v>
      </c>
      <c r="KE253" s="13">
        <f>KD253*($KB$6+ACUTE_MARGIN)</f>
        <v>127286.87970914126</v>
      </c>
      <c r="KF253" s="13">
        <f>IF(KB253=1,$KB$31,$KB$32)</f>
        <v>152394.16214437486</v>
      </c>
      <c r="KG253" s="13">
        <f>KE253-KF253</f>
        <v>-25107.282435233603</v>
      </c>
      <c r="KH253" s="13">
        <f>KH252+KG253</f>
        <v>-4268238.013989725</v>
      </c>
      <c r="KI253">
        <f>IF(KH253=MAX($KH$83:$KH$483),$A253,0)</f>
        <v>0</v>
      </c>
      <c r="KJ253">
        <f>IF(KE253&lt;KF253,$A253,B_MAX+1)</f>
        <v>170</v>
      </c>
      <c r="KK253" s="13">
        <f>IF(KB253=1,$KB$35,$KB$36)</f>
        <v>0</v>
      </c>
      <c r="KL253" s="13">
        <f>OCC_DAYS*$KB$41*R_NF_2023-KD253*MCD_SHARE_FREED*R_WAIT_2023</f>
        <v>94673.82103225985</v>
      </c>
      <c r="KM253">
        <f>IF($A253&lt;=$KB$45,1,0)</f>
        <v>0</v>
      </c>
      <c r="LB253">
        <f>IF($LB$31&lt;=$LB$32,IF($A253&lt;=$LB$7,1,2),IF($A253&lt;=RUNG_BEDS_2,2,1))</f>
        <v>1</v>
      </c>
      <c r="LC253" s="5">
        <f>MIN(1,MAX(0,$LB$26-($A253-1)))</f>
        <v>1</v>
      </c>
      <c r="LD253" s="5">
        <f>$LB$25*(LC253+(1-LC253)*$LB$16)</f>
        <v>84.01774238227146</v>
      </c>
      <c r="LE253" s="13">
        <f>LD253*($LB$6+ACUTE_MARGIN)</f>
        <v>84857.91980609419</v>
      </c>
      <c r="LF253" s="13">
        <f>IF(LB253=1,$LB$31,$LB$32)</f>
        <v>152394.16214437486</v>
      </c>
      <c r="LG253" s="13">
        <f>LE253-LF253</f>
        <v>-67536.24233828067</v>
      </c>
      <c r="LH253" s="13">
        <f>LH252+LG253</f>
        <v>-11481161.197507761</v>
      </c>
      <c r="LI253">
        <f>IF(LH253=MAX($LH$83:$LH$483),$A253,0)</f>
        <v>0</v>
      </c>
      <c r="LJ253">
        <f>IF(LE253&lt;LF253,$A253,B_MAX+1)</f>
        <v>170</v>
      </c>
      <c r="LK253" s="13">
        <f>IF(LB253=1,$LB$35,$LB$36)</f>
        <v>0</v>
      </c>
      <c r="LL253" s="13">
        <f>OCC_DAYS*$LB$41*R_NF_2023-LD253*MCD_SHARE_FREED*R_WAIT_2023</f>
        <v>113776.04162887059</v>
      </c>
      <c r="LM253">
        <f>IF($A253&lt;=$LB$45,1,0)</f>
        <v>0</v>
      </c>
      <c r="MB253">
        <f>IF($MB$31&lt;=$MB$32,IF($A253&lt;=$MB$7,1,2),IF($A253&lt;=RUNG_BEDS_2,2,1))</f>
        <v>1</v>
      </c>
      <c r="MC253" s="5">
        <f>MIN(1,MAX(0,$MB$26-($A253-1)))</f>
        <v>0</v>
      </c>
      <c r="MD253" s="5">
        <f>$MB$25*(MC253+(1-MC253)*$MB$16)</f>
        <v>0.0</v>
      </c>
      <c r="ME253" s="13">
        <f>MD253*($MB$6+ACUTE_MARGIN)</f>
        <v>0.0</v>
      </c>
      <c r="MF253" s="13">
        <f>IF(MB253=1,$MB$31,$MB$32)</f>
        <v>152394.16214437486</v>
      </c>
      <c r="MG253" s="13">
        <f>ME253-MF253</f>
        <v>-152394.16214437486</v>
      </c>
      <c r="MH253" s="13">
        <f>MH252+MG253</f>
        <v>6434687.001930284</v>
      </c>
      <c r="MI253">
        <f>IF(MH253=MAX($MH$83:$MH$483),$A253,0)</f>
        <v>0</v>
      </c>
      <c r="MJ253">
        <f>IF(ME253&lt;MF253,$A253,B_MAX+1)</f>
        <v>170</v>
      </c>
      <c r="MK253" s="13">
        <f>IF(MB253=1,$MB$35,$MB$36)</f>
        <v>0</v>
      </c>
      <c r="ML253" s="13">
        <f>OCC_DAYS*$MB$41*R_NF_2023-MD253*MCD_SHARE_FREED*R_WAIT_2023</f>
        <v>151980.48282209205</v>
      </c>
      <c r="MM253">
        <f>IF($A253&lt;=$MB$45,1,0)</f>
        <v>0</v>
      </c>
      <c r="NB253">
        <f>IF($NB$31&lt;=$NB$32,IF($A253&lt;=$NB$7,1,2),IF($A253&lt;=RUNG_BEDS_2,2,1))</f>
        <v>1</v>
      </c>
      <c r="NC253" s="5">
        <f>MIN(1,MAX(0,$NB$26-($A253-1)))</f>
        <v>0</v>
      </c>
      <c r="ND253" s="5">
        <f>$NB$25*(NC253+(1-NC253)*$NB$16)</f>
        <v>63.013306786703595</v>
      </c>
      <c r="NE253" s="13">
        <f>ND253*($NB$6+ACUTE_MARGIN)</f>
        <v>63643.43985457063</v>
      </c>
      <c r="NF253" s="13">
        <f>IF(NB253=1,$NB$31,$NB$32)</f>
        <v>152394.16214437486</v>
      </c>
      <c r="NG253" s="13">
        <f>NE253-NF253</f>
        <v>-88750.72228980422</v>
      </c>
      <c r="NH253" s="13">
        <f>NH252+NG253</f>
        <v>13584105.181937523</v>
      </c>
      <c r="NI253">
        <f>IF(NH253=MAX($NH$83:$NH$483),$A253,0)</f>
        <v>0</v>
      </c>
      <c r="NJ253">
        <f>IF(NE253&lt;NF253,$A253,B_MAX+1)</f>
        <v>170</v>
      </c>
      <c r="NK253" s="13">
        <f>IF(NB253=1,$NB$35,$NB$36)</f>
        <v>0</v>
      </c>
      <c r="NL253" s="13">
        <f>OCC_DAYS*$NB$41*R_NF_2023-ND253*MCD_SHARE_FREED*R_WAIT_2023</f>
        <v>123327.15192717595</v>
      </c>
      <c r="NM253">
        <f>IF($A253&lt;=$NB$45,1,0)</f>
        <v>0</v>
      </c>
      <c r="OB253">
        <f>IF($OB$31&lt;=$OB$32,IF($A253&lt;=$OB$7,1,2),IF($A253&lt;=RUNG_BEDS_2,2,1))</f>
        <v>1</v>
      </c>
      <c r="OC253" s="5">
        <f>MIN(1,MAX(0,$OB$26-($A253-1)))</f>
        <v>0</v>
      </c>
      <c r="OD253" s="5">
        <f>$OB$25*(OC253+(1-OC253)*$OB$16)</f>
        <v>126.02661357340719</v>
      </c>
      <c r="OE253" s="13">
        <f>OD253*($OB$6+ACUTE_MARGIN)</f>
        <v>127286.87970914126</v>
      </c>
      <c r="OF253" s="13">
        <f>IF(OB253=1,$OB$31,$OB$32)</f>
        <v>152394.16214437486</v>
      </c>
      <c r="OG253" s="13">
        <f>OE253-OF253</f>
        <v>-25107.282435233603</v>
      </c>
      <c r="OH253" s="13">
        <f>OH252+OG253</f>
        <v>14846247.300146487</v>
      </c>
      <c r="OI253">
        <f>IF(OH253=MAX($OH$83:$OH$483),$A253,0)</f>
        <v>0</v>
      </c>
      <c r="OJ253">
        <f>IF(OE253&lt;OF253,$A253,B_MAX+1)</f>
        <v>170</v>
      </c>
      <c r="OK253" s="13">
        <f>IF(OB253=1,$OB$35,$OB$36)</f>
        <v>0</v>
      </c>
      <c r="OL253" s="13">
        <f>OCC_DAYS*$OB$41*R_NF_2023-OD253*MCD_SHARE_FREED*R_WAIT_2023</f>
        <v>94673.82103225985</v>
      </c>
      <c r="OM253">
        <f>IF($A253&lt;=$OB$45,1,0)</f>
        <v>0</v>
      </c>
    </row>
    <row r="254">
      <c r="A254" t="n">
        <v>171</v>
      </c>
      <c r="B254">
        <f>IF($B$31&lt;=$B$32,IF($A254&lt;=$B$7,1,2),IF($A254&lt;=RUNG_BEDS_2,2,1))</f>
        <v>1</v>
      </c>
      <c r="C254" s="5">
        <f>MIN(1,MAX(0,$B$26-($A254-1)))</f>
        <v>0</v>
      </c>
      <c r="D254" s="5">
        <f>$B$25*(C254+(1-C254)*$B$16)</f>
        <v>0.0</v>
      </c>
      <c r="E254" s="13">
        <f>D254*($B$6+ACUTE_MARGIN)</f>
        <v>0.0</v>
      </c>
      <c r="F254" s="13">
        <f>IF(B254=1,$B$31,$B$32)</f>
        <v>152394.16214437486</v>
      </c>
      <c r="G254" s="13">
        <f>E254-F254</f>
        <v>-152394.16214437486</v>
      </c>
      <c r="H254" s="13">
        <f>H253+G254</f>
        <v>12169568.901584223</v>
      </c>
      <c r="I254">
        <f>IF(H254=MAX($H$83:$H$483),$A254,0)</f>
        <v>0</v>
      </c>
      <c r="J254">
        <f>IF(E254&lt;F254,$A254,B_MAX+1)</f>
        <v>171</v>
      </c>
      <c r="K254" s="13">
        <f>IF(B254=1,$B$35,$B$36)</f>
        <v>0</v>
      </c>
      <c r="L254" s="13">
        <f>OCC_DAYS*$B$41*R_NF_2023-D254*MCD_SHARE_FREED*R_WAIT_2023</f>
        <v>151980.48282209205</v>
      </c>
      <c r="M254">
        <f>IF($A254&lt;=$B$45,1,0)</f>
        <v>0</v>
      </c>
      <c r="AB254">
        <f>IF($AB$31&lt;=$AB$32,IF($A254&lt;=$AB$7,1,2),IF($A254&lt;=RUNG_BEDS_2,2,1))</f>
        <v>1</v>
      </c>
      <c r="AC254" s="5">
        <f>MIN(1,MAX(0,$AB$26-($A254-1)))</f>
        <v>0</v>
      </c>
      <c r="AD254" s="5">
        <f>$AB$25*(AC254+(1-AC254)*$AB$16)</f>
        <v>0.0</v>
      </c>
      <c r="AE254" s="13">
        <f>AD254*($AB$6+ACUTE_MARGIN)</f>
        <v>0.0</v>
      </c>
      <c r="AF254" s="13">
        <f>IF(AB254=1,$AB$31,$AB$32)</f>
        <v>152394.16214437486</v>
      </c>
      <c r="AG254" s="13">
        <f>AE254-AF254</f>
        <v>-152394.16214437486</v>
      </c>
      <c r="AH254" s="13">
        <f>AH253+AG254</f>
        <v>-5241645.443965589</v>
      </c>
      <c r="AI254">
        <f>IF(AH254=MAX($AH$83:$AH$483),$A254,0)</f>
        <v>0</v>
      </c>
      <c r="AJ254">
        <f>IF(AE254&lt;AF254,$A254,B_MAX+1)</f>
        <v>171</v>
      </c>
      <c r="AK254" s="13">
        <f>IF(AB254=1,$AB$35,$AB$36)</f>
        <v>0</v>
      </c>
      <c r="AL254" s="13">
        <f>OCC_DAYS*$AB$41*R_NF_2023-AD254*MCD_SHARE_FREED*R_WAIT_2023</f>
        <v>151980.48282209205</v>
      </c>
      <c r="AM254">
        <f>IF($A254&lt;=$AB$45,1,0)</f>
        <v>0</v>
      </c>
      <c r="BB254">
        <f>IF($BB$31&lt;=$BB$32,IF($A254&lt;=$BB$7,1,2),IF($A254&lt;=RUNG_BEDS_2,2,1))</f>
        <v>1</v>
      </c>
      <c r="BC254" s="5">
        <f>MIN(1,MAX(0,$BB$26-($A254-1)))</f>
        <v>0</v>
      </c>
      <c r="BD254" s="5">
        <f>$BB$25*(BC254+(1-BC254)*$BB$16)</f>
        <v>0.0</v>
      </c>
      <c r="BE254" s="13">
        <f>BD254*($BB$6+ACUTE_MARGIN)</f>
        <v>0.0</v>
      </c>
      <c r="BF254" s="13">
        <f>IF(BB254=1,$BB$31,$BB$32)</f>
        <v>152394.16214437486</v>
      </c>
      <c r="BG254" s="13">
        <f>BE254-BF254</f>
        <v>-152394.16214437486</v>
      </c>
      <c r="BH254" s="13">
        <f>BH253+BG254</f>
        <v>29580783.247133885</v>
      </c>
      <c r="BI254">
        <f>IF(BH254=MAX($BH$83:$BH$483),$A254,0)</f>
        <v>0</v>
      </c>
      <c r="BJ254">
        <f>IF(BE254&lt;BF254,$A254,B_MAX+1)</f>
        <v>171</v>
      </c>
      <c r="BK254" s="13">
        <f>IF(BB254=1,$BB$35,$BB$36)</f>
        <v>0</v>
      </c>
      <c r="BL254" s="13">
        <f>OCC_DAYS*$BB$41*R_NF_2023-BD254*MCD_SHARE_FREED*R_WAIT_2023</f>
        <v>151980.48282209205</v>
      </c>
      <c r="BM254">
        <f>IF($A254&lt;=$BB$45,1,0)</f>
        <v>0</v>
      </c>
      <c r="CB254">
        <f>IF($CB$31&lt;=$CB$32,IF($A254&lt;=$CB$7,1,2),IF($A254&lt;=RUNG_BEDS_2,2,1))</f>
        <v>2</v>
      </c>
      <c r="CC254" s="5">
        <f>MIN(1,MAX(0,$CB$26-($A254-1)))</f>
        <v>0</v>
      </c>
      <c r="CD254" s="5">
        <f>$CB$25*(CC254+(1-CC254)*$CB$16)</f>
        <v>0.0</v>
      </c>
      <c r="CE254" s="13">
        <f>CD254*($CB$6+ACUTE_MARGIN)</f>
        <v>0.0</v>
      </c>
      <c r="CF254" s="13">
        <f>IF(CB254=1,$CB$31,$CB$32)</f>
        <v>160718.36940738867</v>
      </c>
      <c r="CG254" s="13">
        <f>CE254-CF254</f>
        <v>-160718.36940738867</v>
      </c>
      <c r="CH254" s="13">
        <f>CH253+CG254</f>
        <v>10746129.459608762</v>
      </c>
      <c r="CI254">
        <f>IF(CH254=MAX($CH$83:$CH$483),$A254,0)</f>
        <v>0</v>
      </c>
      <c r="CJ254">
        <f>IF(CE254&lt;CF254,$A254,B_MAX+1)</f>
        <v>171</v>
      </c>
      <c r="CK254" s="13">
        <f>IF(CB254=1,$CB$35,$CB$36)</f>
        <v>1560.1194073886782</v>
      </c>
      <c r="CL254" s="13">
        <f>OCC_DAYS*$CB$41*R_NF_2023-CD254*MCD_SHARE_FREED*R_WAIT_2023</f>
        <v>151980.48282209205</v>
      </c>
      <c r="CM254">
        <f>IF($A254&lt;=$CB$45,1,0)</f>
        <v>0</v>
      </c>
      <c r="DB254">
        <f>IF($DB$31&lt;=$DB$32,IF($A254&lt;=$DB$7,1,2),IF($A254&lt;=RUNG_BEDS_2,2,1))</f>
        <v>1</v>
      </c>
      <c r="DC254" s="5">
        <f>MIN(1,MAX(0,$DB$26-($A254-1)))</f>
        <v>0</v>
      </c>
      <c r="DD254" s="5">
        <f>$DB$25*(DC254+(1-DC254)*$DB$16)</f>
        <v>0.0</v>
      </c>
      <c r="DE254" s="13">
        <f>DD254*($DB$6+ACUTE_MARGIN)</f>
        <v>0.0</v>
      </c>
      <c r="DF254" s="13">
        <f>IF(DB254=1,$DB$31,$DB$32)</f>
        <v>152394.16214437486</v>
      </c>
      <c r="DG254" s="13">
        <f>DE254-DF254</f>
        <v>-152394.16214437486</v>
      </c>
      <c r="DH254" s="13">
        <f>DH253+DG254</f>
        <v>12169568.901584223</v>
      </c>
      <c r="DI254">
        <f>IF(DH254=MAX($DH$83:$DH$483),$A254,0)</f>
        <v>0</v>
      </c>
      <c r="DJ254">
        <f>IF(DE254&lt;DF254,$A254,B_MAX+1)</f>
        <v>171</v>
      </c>
      <c r="DK254" s="13">
        <f>IF(DB254=1,$DB$35,$DB$36)</f>
        <v>0</v>
      </c>
      <c r="DL254" s="13">
        <f>OCC_DAYS*$DB$41*R_NF_2023-DD254*MCD_SHARE_FREED*R_WAIT_2023</f>
        <v>151980.48282209205</v>
      </c>
      <c r="DM254">
        <f>IF($A254&lt;=$DB$45,1,0)</f>
        <v>0</v>
      </c>
      <c r="EB254">
        <f>IF($EB$31&lt;=$EB$32,IF($A254&lt;=$EB$7,1,2),IF($A254&lt;=RUNG_BEDS_2,2,1))</f>
        <v>1</v>
      </c>
      <c r="EC254" s="5">
        <f>MIN(1,MAX(0,$EB$26-($A254-1)))</f>
        <v>0</v>
      </c>
      <c r="ED254" s="5">
        <f>$EB$25*(EC254+(1-EC254)*$EB$16)</f>
        <v>0.0</v>
      </c>
      <c r="EE254" s="13">
        <f>ED254*($EB$6+ACUTE_MARGIN)</f>
        <v>0.0</v>
      </c>
      <c r="EF254" s="13">
        <f>IF(EB254=1,$EB$31,$EB$32)</f>
        <v>152394.16214437486</v>
      </c>
      <c r="EG254" s="13">
        <f>EE254-EF254</f>
        <v>-152394.16214437486</v>
      </c>
      <c r="EH254" s="13">
        <f>EH253+EG254</f>
        <v>12169568.901584223</v>
      </c>
      <c r="EI254">
        <f>IF(EH254=MAX($EH$83:$EH$483),$A254,0)</f>
        <v>0</v>
      </c>
      <c r="EJ254">
        <f>IF(EE254&lt;EF254,$A254,B_MAX+1)</f>
        <v>171</v>
      </c>
      <c r="EK254" s="13">
        <f>IF(EB254=1,$EB$35,$EB$36)</f>
        <v>0</v>
      </c>
      <c r="EL254" s="13">
        <f>OCC_DAYS*$EB$41*R_NF_2023-ED254*MCD_SHARE_FREED*R_WAIT_2023</f>
        <v>50660.16094069735</v>
      </c>
      <c r="EM254">
        <f>IF($A254&lt;=$EB$45,1,0)</f>
        <v>0</v>
      </c>
      <c r="FB254">
        <f>IF($FB$31&lt;=$FB$32,IF($A254&lt;=$FB$7,1,2),IF($A254&lt;=RUNG_BEDS_2,2,1))</f>
        <v>1</v>
      </c>
      <c r="FC254" s="5">
        <f>MIN(1,MAX(0,$FB$26-($A254-1)))</f>
        <v>0</v>
      </c>
      <c r="FD254" s="5">
        <f>$FB$25*(FC254+(1-FC254)*$FB$16)</f>
        <v>0.0</v>
      </c>
      <c r="FE254" s="13">
        <f>FD254*($FB$6+ACUTE_MARGIN)</f>
        <v>0.0</v>
      </c>
      <c r="FF254" s="13">
        <f>IF(FB254=1,$FB$31,$FB$32)</f>
        <v>156636.04979437485</v>
      </c>
      <c r="FG254" s="13">
        <f>FE254-FF254</f>
        <v>-156636.04979437485</v>
      </c>
      <c r="FH254" s="13">
        <f>FH253+FG254</f>
        <v>11444206.11343411</v>
      </c>
      <c r="FI254">
        <f>IF(FH254=MAX($FH$83:$FH$483),$A254,0)</f>
        <v>0</v>
      </c>
      <c r="FJ254">
        <f>IF(FE254&lt;FF254,$A254,B_MAX+1)</f>
        <v>171</v>
      </c>
      <c r="FK254" s="13">
        <f>IF(FB254=1,$FB$35,$FB$36)</f>
        <v>0</v>
      </c>
      <c r="FL254" s="13">
        <f>OCC_DAYS*$FB$41*R_NF_2023-FD254*MCD_SHARE_FREED*R_WAIT_2023</f>
        <v>151980.48282209205</v>
      </c>
      <c r="FM254">
        <f>IF($A254&lt;=$FB$45,1,0)</f>
        <v>0</v>
      </c>
      <c r="GB254">
        <f>IF($GB$31&lt;=$GB$32,IF($A254&lt;=$GB$7,1,2),IF($A254&lt;=RUNG_BEDS_2,2,1))</f>
        <v>1</v>
      </c>
      <c r="GC254" s="5">
        <f>MIN(1,MAX(0,$GB$26-($A254-1)))</f>
        <v>0</v>
      </c>
      <c r="GD254" s="5">
        <f>$GB$25*(GC254+(1-GC254)*$GB$16)</f>
        <v>0.0</v>
      </c>
      <c r="GE254" s="13">
        <f>GD254*($GB$6+ACUTE_MARGIN)</f>
        <v>0.0</v>
      </c>
      <c r="GF254" s="13">
        <f>IF(GB254=1,$GB$31,$GB$32)</f>
        <v>152394.16214437486</v>
      </c>
      <c r="GG254" s="13">
        <f>GE254-GF254</f>
        <v>-152394.16214437486</v>
      </c>
      <c r="GH254" s="13">
        <f>GH253+GG254</f>
        <v>12169568.901584223</v>
      </c>
      <c r="GI254">
        <f>IF(GH254=MAX($GH$83:$GH$483),$A254,0)</f>
        <v>0</v>
      </c>
      <c r="GJ254">
        <f>IF(GE254&lt;GF254,$A254,B_MAX+1)</f>
        <v>171</v>
      </c>
      <c r="GK254" s="13">
        <f>IF(GB254=1,$GB$35,$GB$36)</f>
        <v>0</v>
      </c>
      <c r="GL254" s="13">
        <f>OCC_DAYS*$GB$41*R_NF_2023-GD254*MCD_SHARE_FREED*R_WAIT_2023</f>
        <v>151980.48282209205</v>
      </c>
      <c r="GM254">
        <f>IF($A254&lt;=$GB$45,1,0)</f>
        <v>0</v>
      </c>
      <c r="HB254">
        <f>IF($HB$31&lt;=$HB$32,IF($A254&lt;=$HB$7,1,2),IF($A254&lt;=RUNG_BEDS_2,2,1))</f>
        <v>1</v>
      </c>
      <c r="HC254" s="5">
        <f>MIN(1,MAX(0,$HB$26-($A254-1)))</f>
        <v>0</v>
      </c>
      <c r="HD254" s="5">
        <f>$HB$25*(HC254+(1-HC254)*$HB$16)</f>
        <v>0.0</v>
      </c>
      <c r="HE254" s="13">
        <f>HD254*($HB$6+ACUTE_MARGIN)</f>
        <v>0.0</v>
      </c>
      <c r="HF254" s="13">
        <f>IF(HB254=1,$HB$31,$HB$32)</f>
        <v>152456.2970814058</v>
      </c>
      <c r="HG254" s="13">
        <f>HE254-HF254</f>
        <v>-152456.2970814058</v>
      </c>
      <c r="HH254" s="13">
        <f>HH253+HG254</f>
        <v>12158943.827351904</v>
      </c>
      <c r="HI254">
        <f>IF(HH254=MAX($HH$83:$HH$483),$A254,0)</f>
        <v>0</v>
      </c>
      <c r="HJ254">
        <f>IF(HE254&lt;HF254,$A254,B_MAX+1)</f>
        <v>171</v>
      </c>
      <c r="HK254" s="13">
        <f>IF(HB254=1,$HB$35,$HB$36)</f>
        <v>0</v>
      </c>
      <c r="HL254" s="13">
        <f>OCC_DAYS*$HB$41*R_NF_2023-HD254*MCD_SHARE_FREED*R_WAIT_2023</f>
        <v>151980.48282209205</v>
      </c>
      <c r="HM254">
        <f>IF($A254&lt;=$HB$45,1,0)</f>
        <v>0</v>
      </c>
      <c r="IB254">
        <f>IF($IB$31&lt;=$IB$32,IF($A254&lt;=$IB$7,1,2),IF($A254&lt;=RUNG_BEDS_2,2,1))</f>
        <v>1</v>
      </c>
      <c r="IC254" s="5">
        <f>MIN(1,MAX(0,$IB$26-($A254-1)))</f>
        <v>0</v>
      </c>
      <c r="ID254" s="5">
        <f>$IB$25*(IC254+(1-IC254)*$IB$16)</f>
        <v>0.0</v>
      </c>
      <c r="IE254" s="13">
        <f>ID254*($IB$6+ACUTE_MARGIN)</f>
        <v>0.0</v>
      </c>
      <c r="IF254" s="13">
        <f>IF(IB254=1,$IB$31,$IB$32)</f>
        <v>152734.9994534971</v>
      </c>
      <c r="IG254" s="13">
        <f>IE254-IF254</f>
        <v>-152734.9994534971</v>
      </c>
      <c r="IH254" s="13">
        <f>IH253+IG254</f>
        <v>12111285.721724218</v>
      </c>
      <c r="II254">
        <f>IF(IH254=MAX($IH$83:$IH$483),$A254,0)</f>
        <v>0</v>
      </c>
      <c r="IJ254">
        <f>IF(IE254&lt;IF254,$A254,B_MAX+1)</f>
        <v>171</v>
      </c>
      <c r="IK254" s="13">
        <f>IF(IB254=1,$IB$35,$IB$36)</f>
        <v>0</v>
      </c>
      <c r="IL254" s="13">
        <f>OCC_DAYS*$IB$41*R_NF_2023-ID254*MCD_SHARE_FREED*R_WAIT_2023</f>
        <v>151980.48282209205</v>
      </c>
      <c r="IM254">
        <f>IF($A254&lt;=$IB$45,1,0)</f>
        <v>0</v>
      </c>
      <c r="JB254">
        <f>IF($JB$31&lt;=$JB$32,IF($A254&lt;=$JB$7,1,2),IF($A254&lt;=RUNG_BEDS_2,2,1))</f>
        <v>1</v>
      </c>
      <c r="JC254" s="5">
        <f>MIN(1,MAX(0,$JB$26-($A254-1)))</f>
        <v>0</v>
      </c>
      <c r="JD254" s="5">
        <f>$JB$25*(JC254+(1-JC254)*$JB$16)</f>
        <v>0.0</v>
      </c>
      <c r="JE254" s="13">
        <f>JD254*($JB$6+ACUTE_MARGIN)</f>
        <v>0.0</v>
      </c>
      <c r="JF254" s="13">
        <f>IF(JB254=1,$JB$31,$JB$32)</f>
        <v>152394.16214437486</v>
      </c>
      <c r="JG254" s="13">
        <f>JE254-JF254</f>
        <v>-152394.16214437486</v>
      </c>
      <c r="JH254" s="13">
        <f>JH253+JG254</f>
        <v>12169568.901584223</v>
      </c>
      <c r="JI254">
        <f>IF(JH254=MAX($JH$83:$JH$483),$A254,0)</f>
        <v>0</v>
      </c>
      <c r="JJ254">
        <f>IF(JE254&lt;JF254,$A254,B_MAX+1)</f>
        <v>171</v>
      </c>
      <c r="JK254" s="13">
        <f>IF(JB254=1,$JB$35,$JB$36)</f>
        <v>0</v>
      </c>
      <c r="JL254" s="13">
        <f>OCC_DAYS*$JB$41*R_NF_2023-JD254*MCD_SHARE_FREED*R_WAIT_2023</f>
        <v>151980.48282209205</v>
      </c>
      <c r="JM254">
        <f>IF($A254&lt;=$JB$45,1,0)</f>
        <v>0</v>
      </c>
      <c r="KB254">
        <f>IF($KB$31&lt;=$KB$32,IF($A254&lt;=$KB$7,1,2),IF($A254&lt;=RUNG_BEDS_2,2,1))</f>
        <v>1</v>
      </c>
      <c r="KC254" s="5">
        <f>MIN(1,MAX(0,$KB$26-($A254-1)))</f>
        <v>1</v>
      </c>
      <c r="KD254" s="5">
        <f>$KB$25*(KC254+(1-KC254)*$KB$16)</f>
        <v>126.02661357340719</v>
      </c>
      <c r="KE254" s="13">
        <f>KD254*($KB$6+ACUTE_MARGIN)</f>
        <v>127286.87970914126</v>
      </c>
      <c r="KF254" s="13">
        <f>IF(KB254=1,$KB$31,$KB$32)</f>
        <v>152394.16214437486</v>
      </c>
      <c r="KG254" s="13">
        <f>KE254-KF254</f>
        <v>-25107.282435233603</v>
      </c>
      <c r="KH254" s="13">
        <f>KH253+KG254</f>
        <v>-4293345.296424959</v>
      </c>
      <c r="KI254">
        <f>IF(KH254=MAX($KH$83:$KH$483),$A254,0)</f>
        <v>0</v>
      </c>
      <c r="KJ254">
        <f>IF(KE254&lt;KF254,$A254,B_MAX+1)</f>
        <v>171</v>
      </c>
      <c r="KK254" s="13">
        <f>IF(KB254=1,$KB$35,$KB$36)</f>
        <v>0</v>
      </c>
      <c r="KL254" s="13">
        <f>OCC_DAYS*$KB$41*R_NF_2023-KD254*MCD_SHARE_FREED*R_WAIT_2023</f>
        <v>94673.82103225985</v>
      </c>
      <c r="KM254">
        <f>IF($A254&lt;=$KB$45,1,0)</f>
        <v>0</v>
      </c>
      <c r="LB254">
        <f>IF($LB$31&lt;=$LB$32,IF($A254&lt;=$LB$7,1,2),IF($A254&lt;=RUNG_BEDS_2,2,1))</f>
        <v>1</v>
      </c>
      <c r="LC254" s="5">
        <f>MIN(1,MAX(0,$LB$26-($A254-1)))</f>
        <v>1</v>
      </c>
      <c r="LD254" s="5">
        <f>$LB$25*(LC254+(1-LC254)*$LB$16)</f>
        <v>84.01774238227146</v>
      </c>
      <c r="LE254" s="13">
        <f>LD254*($LB$6+ACUTE_MARGIN)</f>
        <v>84857.91980609419</v>
      </c>
      <c r="LF254" s="13">
        <f>IF(LB254=1,$LB$31,$LB$32)</f>
        <v>152394.16214437486</v>
      </c>
      <c r="LG254" s="13">
        <f>LE254-LF254</f>
        <v>-67536.24233828067</v>
      </c>
      <c r="LH254" s="13">
        <f>LH253+LG254</f>
        <v>-11548697.439846043</v>
      </c>
      <c r="LI254">
        <f>IF(LH254=MAX($LH$83:$LH$483),$A254,0)</f>
        <v>0</v>
      </c>
      <c r="LJ254">
        <f>IF(LE254&lt;LF254,$A254,B_MAX+1)</f>
        <v>171</v>
      </c>
      <c r="LK254" s="13">
        <f>IF(LB254=1,$LB$35,$LB$36)</f>
        <v>0</v>
      </c>
      <c r="LL254" s="13">
        <f>OCC_DAYS*$LB$41*R_NF_2023-LD254*MCD_SHARE_FREED*R_WAIT_2023</f>
        <v>113776.04162887059</v>
      </c>
      <c r="LM254">
        <f>IF($A254&lt;=$LB$45,1,0)</f>
        <v>0</v>
      </c>
      <c r="MB254">
        <f>IF($MB$31&lt;=$MB$32,IF($A254&lt;=$MB$7,1,2),IF($A254&lt;=RUNG_BEDS_2,2,1))</f>
        <v>1</v>
      </c>
      <c r="MC254" s="5">
        <f>MIN(1,MAX(0,$MB$26-($A254-1)))</f>
        <v>0</v>
      </c>
      <c r="MD254" s="5">
        <f>$MB$25*(MC254+(1-MC254)*$MB$16)</f>
        <v>0.0</v>
      </c>
      <c r="ME254" s="13">
        <f>MD254*($MB$6+ACUTE_MARGIN)</f>
        <v>0.0</v>
      </c>
      <c r="MF254" s="13">
        <f>IF(MB254=1,$MB$31,$MB$32)</f>
        <v>152394.16214437486</v>
      </c>
      <c r="MG254" s="13">
        <f>ME254-MF254</f>
        <v>-152394.16214437486</v>
      </c>
      <c r="MH254" s="13">
        <f>MH253+MG254</f>
        <v>6282292.839785909</v>
      </c>
      <c r="MI254">
        <f>IF(MH254=MAX($MH$83:$MH$483),$A254,0)</f>
        <v>0</v>
      </c>
      <c r="MJ254">
        <f>IF(ME254&lt;MF254,$A254,B_MAX+1)</f>
        <v>171</v>
      </c>
      <c r="MK254" s="13">
        <f>IF(MB254=1,$MB$35,$MB$36)</f>
        <v>0</v>
      </c>
      <c r="ML254" s="13">
        <f>OCC_DAYS*$MB$41*R_NF_2023-MD254*MCD_SHARE_FREED*R_WAIT_2023</f>
        <v>151980.48282209205</v>
      </c>
      <c r="MM254">
        <f>IF($A254&lt;=$MB$45,1,0)</f>
        <v>0</v>
      </c>
      <c r="NB254">
        <f>IF($NB$31&lt;=$NB$32,IF($A254&lt;=$NB$7,1,2),IF($A254&lt;=RUNG_BEDS_2,2,1))</f>
        <v>1</v>
      </c>
      <c r="NC254" s="5">
        <f>MIN(1,MAX(0,$NB$26-($A254-1)))</f>
        <v>0</v>
      </c>
      <c r="ND254" s="5">
        <f>$NB$25*(NC254+(1-NC254)*$NB$16)</f>
        <v>63.013306786703595</v>
      </c>
      <c r="NE254" s="13">
        <f>ND254*($NB$6+ACUTE_MARGIN)</f>
        <v>63643.43985457063</v>
      </c>
      <c r="NF254" s="13">
        <f>IF(NB254=1,$NB$31,$NB$32)</f>
        <v>152394.16214437486</v>
      </c>
      <c r="NG254" s="13">
        <f>NE254-NF254</f>
        <v>-88750.72228980422</v>
      </c>
      <c r="NH254" s="13">
        <f>NH253+NG254</f>
        <v>13495354.459647719</v>
      </c>
      <c r="NI254">
        <f>IF(NH254=MAX($NH$83:$NH$483),$A254,0)</f>
        <v>0</v>
      </c>
      <c r="NJ254">
        <f>IF(NE254&lt;NF254,$A254,B_MAX+1)</f>
        <v>171</v>
      </c>
      <c r="NK254" s="13">
        <f>IF(NB254=1,$NB$35,$NB$36)</f>
        <v>0</v>
      </c>
      <c r="NL254" s="13">
        <f>OCC_DAYS*$NB$41*R_NF_2023-ND254*MCD_SHARE_FREED*R_WAIT_2023</f>
        <v>123327.15192717595</v>
      </c>
      <c r="NM254">
        <f>IF($A254&lt;=$NB$45,1,0)</f>
        <v>0</v>
      </c>
      <c r="OB254">
        <f>IF($OB$31&lt;=$OB$32,IF($A254&lt;=$OB$7,1,2),IF($A254&lt;=RUNG_BEDS_2,2,1))</f>
        <v>1</v>
      </c>
      <c r="OC254" s="5">
        <f>MIN(1,MAX(0,$OB$26-($A254-1)))</f>
        <v>0</v>
      </c>
      <c r="OD254" s="5">
        <f>$OB$25*(OC254+(1-OC254)*$OB$16)</f>
        <v>126.02661357340719</v>
      </c>
      <c r="OE254" s="13">
        <f>OD254*($OB$6+ACUTE_MARGIN)</f>
        <v>127286.87970914126</v>
      </c>
      <c r="OF254" s="13">
        <f>IF(OB254=1,$OB$31,$OB$32)</f>
        <v>152394.16214437486</v>
      </c>
      <c r="OG254" s="13">
        <f>OE254-OF254</f>
        <v>-25107.282435233603</v>
      </c>
      <c r="OH254" s="13">
        <f>OH253+OG254</f>
        <v>14821140.017711254</v>
      </c>
      <c r="OI254">
        <f>IF(OH254=MAX($OH$83:$OH$483),$A254,0)</f>
        <v>0</v>
      </c>
      <c r="OJ254">
        <f>IF(OE254&lt;OF254,$A254,B_MAX+1)</f>
        <v>171</v>
      </c>
      <c r="OK254" s="13">
        <f>IF(OB254=1,$OB$35,$OB$36)</f>
        <v>0</v>
      </c>
      <c r="OL254" s="13">
        <f>OCC_DAYS*$OB$41*R_NF_2023-OD254*MCD_SHARE_FREED*R_WAIT_2023</f>
        <v>94673.82103225985</v>
      </c>
      <c r="OM254">
        <f>IF($A254&lt;=$OB$45,1,0)</f>
        <v>0</v>
      </c>
    </row>
    <row r="255">
      <c r="A255" t="n">
        <v>172</v>
      </c>
      <c r="B255">
        <f>IF($B$31&lt;=$B$32,IF($A255&lt;=$B$7,1,2),IF($A255&lt;=RUNG_BEDS_2,2,1))</f>
        <v>1</v>
      </c>
      <c r="C255" s="5">
        <f>MIN(1,MAX(0,$B$26-($A255-1)))</f>
        <v>0</v>
      </c>
      <c r="D255" s="5">
        <f>$B$25*(C255+(1-C255)*$B$16)</f>
        <v>0.0</v>
      </c>
      <c r="E255" s="13">
        <f>D255*($B$6+ACUTE_MARGIN)</f>
        <v>0.0</v>
      </c>
      <c r="F255" s="13">
        <f>IF(B255=1,$B$31,$B$32)</f>
        <v>152394.16214437486</v>
      </c>
      <c r="G255" s="13">
        <f>E255-F255</f>
        <v>-152394.16214437486</v>
      </c>
      <c r="H255" s="13">
        <f>H254+G255</f>
        <v>12017174.739439849</v>
      </c>
      <c r="I255">
        <f>IF(H255=MAX($H$83:$H$483),$A255,0)</f>
        <v>0</v>
      </c>
      <c r="J255">
        <f>IF(E255&lt;F255,$A255,B_MAX+1)</f>
        <v>172</v>
      </c>
      <c r="K255" s="13">
        <f>IF(B255=1,$B$35,$B$36)</f>
        <v>0</v>
      </c>
      <c r="L255" s="13">
        <f>OCC_DAYS*$B$41*R_NF_2023-D255*MCD_SHARE_FREED*R_WAIT_2023</f>
        <v>151980.48282209205</v>
      </c>
      <c r="M255">
        <f>IF($A255&lt;=$B$45,1,0)</f>
        <v>0</v>
      </c>
      <c r="AB255">
        <f>IF($AB$31&lt;=$AB$32,IF($A255&lt;=$AB$7,1,2),IF($A255&lt;=RUNG_BEDS_2,2,1))</f>
        <v>1</v>
      </c>
      <c r="AC255" s="5">
        <f>MIN(1,MAX(0,$AB$26-($A255-1)))</f>
        <v>0</v>
      </c>
      <c r="AD255" s="5">
        <f>$AB$25*(AC255+(1-AC255)*$AB$16)</f>
        <v>0.0</v>
      </c>
      <c r="AE255" s="13">
        <f>AD255*($AB$6+ACUTE_MARGIN)</f>
        <v>0.0</v>
      </c>
      <c r="AF255" s="13">
        <f>IF(AB255=1,$AB$31,$AB$32)</f>
        <v>152394.16214437486</v>
      </c>
      <c r="AG255" s="13">
        <f>AE255-AF255</f>
        <v>-152394.16214437486</v>
      </c>
      <c r="AH255" s="13">
        <f>AH254+AG255</f>
        <v>-5394039.606109964</v>
      </c>
      <c r="AI255">
        <f>IF(AH255=MAX($AH$83:$AH$483),$A255,0)</f>
        <v>0</v>
      </c>
      <c r="AJ255">
        <f>IF(AE255&lt;AF255,$A255,B_MAX+1)</f>
        <v>172</v>
      </c>
      <c r="AK255" s="13">
        <f>IF(AB255=1,$AB$35,$AB$36)</f>
        <v>0</v>
      </c>
      <c r="AL255" s="13">
        <f>OCC_DAYS*$AB$41*R_NF_2023-AD255*MCD_SHARE_FREED*R_WAIT_2023</f>
        <v>151980.48282209205</v>
      </c>
      <c r="AM255">
        <f>IF($A255&lt;=$AB$45,1,0)</f>
        <v>0</v>
      </c>
      <c r="BB255">
        <f>IF($BB$31&lt;=$BB$32,IF($A255&lt;=$BB$7,1,2),IF($A255&lt;=RUNG_BEDS_2,2,1))</f>
        <v>1</v>
      </c>
      <c r="BC255" s="5">
        <f>MIN(1,MAX(0,$BB$26-($A255-1)))</f>
        <v>0</v>
      </c>
      <c r="BD255" s="5">
        <f>$BB$25*(BC255+(1-BC255)*$BB$16)</f>
        <v>0.0</v>
      </c>
      <c r="BE255" s="13">
        <f>BD255*($BB$6+ACUTE_MARGIN)</f>
        <v>0.0</v>
      </c>
      <c r="BF255" s="13">
        <f>IF(BB255=1,$BB$31,$BB$32)</f>
        <v>152394.16214437486</v>
      </c>
      <c r="BG255" s="13">
        <f>BE255-BF255</f>
        <v>-152394.16214437486</v>
      </c>
      <c r="BH255" s="13">
        <f>BH254+BG255</f>
        <v>29428389.08498951</v>
      </c>
      <c r="BI255">
        <f>IF(BH255=MAX($BH$83:$BH$483),$A255,0)</f>
        <v>0</v>
      </c>
      <c r="BJ255">
        <f>IF(BE255&lt;BF255,$A255,B_MAX+1)</f>
        <v>172</v>
      </c>
      <c r="BK255" s="13">
        <f>IF(BB255=1,$BB$35,$BB$36)</f>
        <v>0</v>
      </c>
      <c r="BL255" s="13">
        <f>OCC_DAYS*$BB$41*R_NF_2023-BD255*MCD_SHARE_FREED*R_WAIT_2023</f>
        <v>151980.48282209205</v>
      </c>
      <c r="BM255">
        <f>IF($A255&lt;=$BB$45,1,0)</f>
        <v>0</v>
      </c>
      <c r="CB255">
        <f>IF($CB$31&lt;=$CB$32,IF($A255&lt;=$CB$7,1,2),IF($A255&lt;=RUNG_BEDS_2,2,1))</f>
        <v>2</v>
      </c>
      <c r="CC255" s="5">
        <f>MIN(1,MAX(0,$CB$26-($A255-1)))</f>
        <v>0</v>
      </c>
      <c r="CD255" s="5">
        <f>$CB$25*(CC255+(1-CC255)*$CB$16)</f>
        <v>0.0</v>
      </c>
      <c r="CE255" s="13">
        <f>CD255*($CB$6+ACUTE_MARGIN)</f>
        <v>0.0</v>
      </c>
      <c r="CF255" s="13">
        <f>IF(CB255=1,$CB$31,$CB$32)</f>
        <v>160718.36940738867</v>
      </c>
      <c r="CG255" s="13">
        <f>CE255-CF255</f>
        <v>-160718.36940738867</v>
      </c>
      <c r="CH255" s="13">
        <f>CH254+CG255</f>
        <v>10585411.090201372</v>
      </c>
      <c r="CI255">
        <f>IF(CH255=MAX($CH$83:$CH$483),$A255,0)</f>
        <v>0</v>
      </c>
      <c r="CJ255">
        <f>IF(CE255&lt;CF255,$A255,B_MAX+1)</f>
        <v>172</v>
      </c>
      <c r="CK255" s="13">
        <f>IF(CB255=1,$CB$35,$CB$36)</f>
        <v>1560.1194073886782</v>
      </c>
      <c r="CL255" s="13">
        <f>OCC_DAYS*$CB$41*R_NF_2023-CD255*MCD_SHARE_FREED*R_WAIT_2023</f>
        <v>151980.48282209205</v>
      </c>
      <c r="CM255">
        <f>IF($A255&lt;=$CB$45,1,0)</f>
        <v>0</v>
      </c>
      <c r="DB255">
        <f>IF($DB$31&lt;=$DB$32,IF($A255&lt;=$DB$7,1,2),IF($A255&lt;=RUNG_BEDS_2,2,1))</f>
        <v>1</v>
      </c>
      <c r="DC255" s="5">
        <f>MIN(1,MAX(0,$DB$26-($A255-1)))</f>
        <v>0</v>
      </c>
      <c r="DD255" s="5">
        <f>$DB$25*(DC255+(1-DC255)*$DB$16)</f>
        <v>0.0</v>
      </c>
      <c r="DE255" s="13">
        <f>DD255*($DB$6+ACUTE_MARGIN)</f>
        <v>0.0</v>
      </c>
      <c r="DF255" s="13">
        <f>IF(DB255=1,$DB$31,$DB$32)</f>
        <v>152394.16214437486</v>
      </c>
      <c r="DG255" s="13">
        <f>DE255-DF255</f>
        <v>-152394.16214437486</v>
      </c>
      <c r="DH255" s="13">
        <f>DH254+DG255</f>
        <v>12017174.739439849</v>
      </c>
      <c r="DI255">
        <f>IF(DH255=MAX($DH$83:$DH$483),$A255,0)</f>
        <v>0</v>
      </c>
      <c r="DJ255">
        <f>IF(DE255&lt;DF255,$A255,B_MAX+1)</f>
        <v>172</v>
      </c>
      <c r="DK255" s="13">
        <f>IF(DB255=1,$DB$35,$DB$36)</f>
        <v>0</v>
      </c>
      <c r="DL255" s="13">
        <f>OCC_DAYS*$DB$41*R_NF_2023-DD255*MCD_SHARE_FREED*R_WAIT_2023</f>
        <v>151980.48282209205</v>
      </c>
      <c r="DM255">
        <f>IF($A255&lt;=$DB$45,1,0)</f>
        <v>0</v>
      </c>
      <c r="EB255">
        <f>IF($EB$31&lt;=$EB$32,IF($A255&lt;=$EB$7,1,2),IF($A255&lt;=RUNG_BEDS_2,2,1))</f>
        <v>1</v>
      </c>
      <c r="EC255" s="5">
        <f>MIN(1,MAX(0,$EB$26-($A255-1)))</f>
        <v>0</v>
      </c>
      <c r="ED255" s="5">
        <f>$EB$25*(EC255+(1-EC255)*$EB$16)</f>
        <v>0.0</v>
      </c>
      <c r="EE255" s="13">
        <f>ED255*($EB$6+ACUTE_MARGIN)</f>
        <v>0.0</v>
      </c>
      <c r="EF255" s="13">
        <f>IF(EB255=1,$EB$31,$EB$32)</f>
        <v>152394.16214437486</v>
      </c>
      <c r="EG255" s="13">
        <f>EE255-EF255</f>
        <v>-152394.16214437486</v>
      </c>
      <c r="EH255" s="13">
        <f>EH254+EG255</f>
        <v>12017174.739439849</v>
      </c>
      <c r="EI255">
        <f>IF(EH255=MAX($EH$83:$EH$483),$A255,0)</f>
        <v>0</v>
      </c>
      <c r="EJ255">
        <f>IF(EE255&lt;EF255,$A255,B_MAX+1)</f>
        <v>172</v>
      </c>
      <c r="EK255" s="13">
        <f>IF(EB255=1,$EB$35,$EB$36)</f>
        <v>0</v>
      </c>
      <c r="EL255" s="13">
        <f>OCC_DAYS*$EB$41*R_NF_2023-ED255*MCD_SHARE_FREED*R_WAIT_2023</f>
        <v>50660.16094069735</v>
      </c>
      <c r="EM255">
        <f>IF($A255&lt;=$EB$45,1,0)</f>
        <v>0</v>
      </c>
      <c r="FB255">
        <f>IF($FB$31&lt;=$FB$32,IF($A255&lt;=$FB$7,1,2),IF($A255&lt;=RUNG_BEDS_2,2,1))</f>
        <v>1</v>
      </c>
      <c r="FC255" s="5">
        <f>MIN(1,MAX(0,$FB$26-($A255-1)))</f>
        <v>0</v>
      </c>
      <c r="FD255" s="5">
        <f>$FB$25*(FC255+(1-FC255)*$FB$16)</f>
        <v>0.0</v>
      </c>
      <c r="FE255" s="13">
        <f>FD255*($FB$6+ACUTE_MARGIN)</f>
        <v>0.0</v>
      </c>
      <c r="FF255" s="13">
        <f>IF(FB255=1,$FB$31,$FB$32)</f>
        <v>156636.04979437485</v>
      </c>
      <c r="FG255" s="13">
        <f>FE255-FF255</f>
        <v>-156636.04979437485</v>
      </c>
      <c r="FH255" s="13">
        <f>FH254+FG255</f>
        <v>11287570.063639736</v>
      </c>
      <c r="FI255">
        <f>IF(FH255=MAX($FH$83:$FH$483),$A255,0)</f>
        <v>0</v>
      </c>
      <c r="FJ255">
        <f>IF(FE255&lt;FF255,$A255,B_MAX+1)</f>
        <v>172</v>
      </c>
      <c r="FK255" s="13">
        <f>IF(FB255=1,$FB$35,$FB$36)</f>
        <v>0</v>
      </c>
      <c r="FL255" s="13">
        <f>OCC_DAYS*$FB$41*R_NF_2023-FD255*MCD_SHARE_FREED*R_WAIT_2023</f>
        <v>151980.48282209205</v>
      </c>
      <c r="FM255">
        <f>IF($A255&lt;=$FB$45,1,0)</f>
        <v>0</v>
      </c>
      <c r="GB255">
        <f>IF($GB$31&lt;=$GB$32,IF($A255&lt;=$GB$7,1,2),IF($A255&lt;=RUNG_BEDS_2,2,1))</f>
        <v>1</v>
      </c>
      <c r="GC255" s="5">
        <f>MIN(1,MAX(0,$GB$26-($A255-1)))</f>
        <v>0</v>
      </c>
      <c r="GD255" s="5">
        <f>$GB$25*(GC255+(1-GC255)*$GB$16)</f>
        <v>0.0</v>
      </c>
      <c r="GE255" s="13">
        <f>GD255*($GB$6+ACUTE_MARGIN)</f>
        <v>0.0</v>
      </c>
      <c r="GF255" s="13">
        <f>IF(GB255=1,$GB$31,$GB$32)</f>
        <v>152394.16214437486</v>
      </c>
      <c r="GG255" s="13">
        <f>GE255-GF255</f>
        <v>-152394.16214437486</v>
      </c>
      <c r="GH255" s="13">
        <f>GH254+GG255</f>
        <v>12017174.739439849</v>
      </c>
      <c r="GI255">
        <f>IF(GH255=MAX($GH$83:$GH$483),$A255,0)</f>
        <v>0</v>
      </c>
      <c r="GJ255">
        <f>IF(GE255&lt;GF255,$A255,B_MAX+1)</f>
        <v>172</v>
      </c>
      <c r="GK255" s="13">
        <f>IF(GB255=1,$GB$35,$GB$36)</f>
        <v>0</v>
      </c>
      <c r="GL255" s="13">
        <f>OCC_DAYS*$GB$41*R_NF_2023-GD255*MCD_SHARE_FREED*R_WAIT_2023</f>
        <v>151980.48282209205</v>
      </c>
      <c r="GM255">
        <f>IF($A255&lt;=$GB$45,1,0)</f>
        <v>0</v>
      </c>
      <c r="HB255">
        <f>IF($HB$31&lt;=$HB$32,IF($A255&lt;=$HB$7,1,2),IF($A255&lt;=RUNG_BEDS_2,2,1))</f>
        <v>1</v>
      </c>
      <c r="HC255" s="5">
        <f>MIN(1,MAX(0,$HB$26-($A255-1)))</f>
        <v>0</v>
      </c>
      <c r="HD255" s="5">
        <f>$HB$25*(HC255+(1-HC255)*$HB$16)</f>
        <v>0.0</v>
      </c>
      <c r="HE255" s="13">
        <f>HD255*($HB$6+ACUTE_MARGIN)</f>
        <v>0.0</v>
      </c>
      <c r="HF255" s="13">
        <f>IF(HB255=1,$HB$31,$HB$32)</f>
        <v>152456.2970814058</v>
      </c>
      <c r="HG255" s="13">
        <f>HE255-HF255</f>
        <v>-152456.2970814058</v>
      </c>
      <c r="HH255" s="13">
        <f>HH254+HG255</f>
        <v>12006487.530270498</v>
      </c>
      <c r="HI255">
        <f>IF(HH255=MAX($HH$83:$HH$483),$A255,0)</f>
        <v>0</v>
      </c>
      <c r="HJ255">
        <f>IF(HE255&lt;HF255,$A255,B_MAX+1)</f>
        <v>172</v>
      </c>
      <c r="HK255" s="13">
        <f>IF(HB255=1,$HB$35,$HB$36)</f>
        <v>0</v>
      </c>
      <c r="HL255" s="13">
        <f>OCC_DAYS*$HB$41*R_NF_2023-HD255*MCD_SHARE_FREED*R_WAIT_2023</f>
        <v>151980.48282209205</v>
      </c>
      <c r="HM255">
        <f>IF($A255&lt;=$HB$45,1,0)</f>
        <v>0</v>
      </c>
      <c r="IB255">
        <f>IF($IB$31&lt;=$IB$32,IF($A255&lt;=$IB$7,1,2),IF($A255&lt;=RUNG_BEDS_2,2,1))</f>
        <v>1</v>
      </c>
      <c r="IC255" s="5">
        <f>MIN(1,MAX(0,$IB$26-($A255-1)))</f>
        <v>0</v>
      </c>
      <c r="ID255" s="5">
        <f>$IB$25*(IC255+(1-IC255)*$IB$16)</f>
        <v>0.0</v>
      </c>
      <c r="IE255" s="13">
        <f>ID255*($IB$6+ACUTE_MARGIN)</f>
        <v>0.0</v>
      </c>
      <c r="IF255" s="13">
        <f>IF(IB255=1,$IB$31,$IB$32)</f>
        <v>152734.9994534971</v>
      </c>
      <c r="IG255" s="13">
        <f>IE255-IF255</f>
        <v>-152734.9994534971</v>
      </c>
      <c r="IH255" s="13">
        <f>IH254+IG255</f>
        <v>11958550.722270722</v>
      </c>
      <c r="II255">
        <f>IF(IH255=MAX($IH$83:$IH$483),$A255,0)</f>
        <v>0</v>
      </c>
      <c r="IJ255">
        <f>IF(IE255&lt;IF255,$A255,B_MAX+1)</f>
        <v>172</v>
      </c>
      <c r="IK255" s="13">
        <f>IF(IB255=1,$IB$35,$IB$36)</f>
        <v>0</v>
      </c>
      <c r="IL255" s="13">
        <f>OCC_DAYS*$IB$41*R_NF_2023-ID255*MCD_SHARE_FREED*R_WAIT_2023</f>
        <v>151980.48282209205</v>
      </c>
      <c r="IM255">
        <f>IF($A255&lt;=$IB$45,1,0)</f>
        <v>0</v>
      </c>
      <c r="JB255">
        <f>IF($JB$31&lt;=$JB$32,IF($A255&lt;=$JB$7,1,2),IF($A255&lt;=RUNG_BEDS_2,2,1))</f>
        <v>1</v>
      </c>
      <c r="JC255" s="5">
        <f>MIN(1,MAX(0,$JB$26-($A255-1)))</f>
        <v>0</v>
      </c>
      <c r="JD255" s="5">
        <f>$JB$25*(JC255+(1-JC255)*$JB$16)</f>
        <v>0.0</v>
      </c>
      <c r="JE255" s="13">
        <f>JD255*($JB$6+ACUTE_MARGIN)</f>
        <v>0.0</v>
      </c>
      <c r="JF255" s="13">
        <f>IF(JB255=1,$JB$31,$JB$32)</f>
        <v>152394.16214437486</v>
      </c>
      <c r="JG255" s="13">
        <f>JE255-JF255</f>
        <v>-152394.16214437486</v>
      </c>
      <c r="JH255" s="13">
        <f>JH254+JG255</f>
        <v>12017174.739439849</v>
      </c>
      <c r="JI255">
        <f>IF(JH255=MAX($JH$83:$JH$483),$A255,0)</f>
        <v>0</v>
      </c>
      <c r="JJ255">
        <f>IF(JE255&lt;JF255,$A255,B_MAX+1)</f>
        <v>172</v>
      </c>
      <c r="JK255" s="13">
        <f>IF(JB255=1,$JB$35,$JB$36)</f>
        <v>0</v>
      </c>
      <c r="JL255" s="13">
        <f>OCC_DAYS*$JB$41*R_NF_2023-JD255*MCD_SHARE_FREED*R_WAIT_2023</f>
        <v>151980.48282209205</v>
      </c>
      <c r="JM255">
        <f>IF($A255&lt;=$JB$45,1,0)</f>
        <v>0</v>
      </c>
      <c r="KB255">
        <f>IF($KB$31&lt;=$KB$32,IF($A255&lt;=$KB$7,1,2),IF($A255&lt;=RUNG_BEDS_2,2,1))</f>
        <v>1</v>
      </c>
      <c r="KC255" s="5">
        <f>MIN(1,MAX(0,$KB$26-($A255-1)))</f>
        <v>1</v>
      </c>
      <c r="KD255" s="5">
        <f>$KB$25*(KC255+(1-KC255)*$KB$16)</f>
        <v>126.02661357340719</v>
      </c>
      <c r="KE255" s="13">
        <f>KD255*($KB$6+ACUTE_MARGIN)</f>
        <v>127286.87970914126</v>
      </c>
      <c r="KF255" s="13">
        <f>IF(KB255=1,$KB$31,$KB$32)</f>
        <v>152394.16214437486</v>
      </c>
      <c r="KG255" s="13">
        <f>KE255-KF255</f>
        <v>-25107.282435233603</v>
      </c>
      <c r="KH255" s="13">
        <f>KH254+KG255</f>
        <v>-4318452.578860193</v>
      </c>
      <c r="KI255">
        <f>IF(KH255=MAX($KH$83:$KH$483),$A255,0)</f>
        <v>0</v>
      </c>
      <c r="KJ255">
        <f>IF(KE255&lt;KF255,$A255,B_MAX+1)</f>
        <v>172</v>
      </c>
      <c r="KK255" s="13">
        <f>IF(KB255=1,$KB$35,$KB$36)</f>
        <v>0</v>
      </c>
      <c r="KL255" s="13">
        <f>OCC_DAYS*$KB$41*R_NF_2023-KD255*MCD_SHARE_FREED*R_WAIT_2023</f>
        <v>94673.82103225985</v>
      </c>
      <c r="KM255">
        <f>IF($A255&lt;=$KB$45,1,0)</f>
        <v>0</v>
      </c>
      <c r="LB255">
        <f>IF($LB$31&lt;=$LB$32,IF($A255&lt;=$LB$7,1,2),IF($A255&lt;=RUNG_BEDS_2,2,1))</f>
        <v>1</v>
      </c>
      <c r="LC255" s="5">
        <f>MIN(1,MAX(0,$LB$26-($A255-1)))</f>
        <v>1</v>
      </c>
      <c r="LD255" s="5">
        <f>$LB$25*(LC255+(1-LC255)*$LB$16)</f>
        <v>84.01774238227146</v>
      </c>
      <c r="LE255" s="13">
        <f>LD255*($LB$6+ACUTE_MARGIN)</f>
        <v>84857.91980609419</v>
      </c>
      <c r="LF255" s="13">
        <f>IF(LB255=1,$LB$31,$LB$32)</f>
        <v>152394.16214437486</v>
      </c>
      <c r="LG255" s="13">
        <f>LE255-LF255</f>
        <v>-67536.24233828067</v>
      </c>
      <c r="LH255" s="13">
        <f>LH254+LG255</f>
        <v>-11616233.682184324</v>
      </c>
      <c r="LI255">
        <f>IF(LH255=MAX($LH$83:$LH$483),$A255,0)</f>
        <v>0</v>
      </c>
      <c r="LJ255">
        <f>IF(LE255&lt;LF255,$A255,B_MAX+1)</f>
        <v>172</v>
      </c>
      <c r="LK255" s="13">
        <f>IF(LB255=1,$LB$35,$LB$36)</f>
        <v>0</v>
      </c>
      <c r="LL255" s="13">
        <f>OCC_DAYS*$LB$41*R_NF_2023-LD255*MCD_SHARE_FREED*R_WAIT_2023</f>
        <v>113776.04162887059</v>
      </c>
      <c r="LM255">
        <f>IF($A255&lt;=$LB$45,1,0)</f>
        <v>0</v>
      </c>
      <c r="MB255">
        <f>IF($MB$31&lt;=$MB$32,IF($A255&lt;=$MB$7,1,2),IF($A255&lt;=RUNG_BEDS_2,2,1))</f>
        <v>1</v>
      </c>
      <c r="MC255" s="5">
        <f>MIN(1,MAX(0,$MB$26-($A255-1)))</f>
        <v>0</v>
      </c>
      <c r="MD255" s="5">
        <f>$MB$25*(MC255+(1-MC255)*$MB$16)</f>
        <v>0.0</v>
      </c>
      <c r="ME255" s="13">
        <f>MD255*($MB$6+ACUTE_MARGIN)</f>
        <v>0.0</v>
      </c>
      <c r="MF255" s="13">
        <f>IF(MB255=1,$MB$31,$MB$32)</f>
        <v>152394.16214437486</v>
      </c>
      <c r="MG255" s="13">
        <f>ME255-MF255</f>
        <v>-152394.16214437486</v>
      </c>
      <c r="MH255" s="13">
        <f>MH254+MG255</f>
        <v>6129898.677641534</v>
      </c>
      <c r="MI255">
        <f>IF(MH255=MAX($MH$83:$MH$483),$A255,0)</f>
        <v>0</v>
      </c>
      <c r="MJ255">
        <f>IF(ME255&lt;MF255,$A255,B_MAX+1)</f>
        <v>172</v>
      </c>
      <c r="MK255" s="13">
        <f>IF(MB255=1,$MB$35,$MB$36)</f>
        <v>0</v>
      </c>
      <c r="ML255" s="13">
        <f>OCC_DAYS*$MB$41*R_NF_2023-MD255*MCD_SHARE_FREED*R_WAIT_2023</f>
        <v>151980.48282209205</v>
      </c>
      <c r="MM255">
        <f>IF($A255&lt;=$MB$45,1,0)</f>
        <v>0</v>
      </c>
      <c r="NB255">
        <f>IF($NB$31&lt;=$NB$32,IF($A255&lt;=$NB$7,1,2),IF($A255&lt;=RUNG_BEDS_2,2,1))</f>
        <v>1</v>
      </c>
      <c r="NC255" s="5">
        <f>MIN(1,MAX(0,$NB$26-($A255-1)))</f>
        <v>0</v>
      </c>
      <c r="ND255" s="5">
        <f>$NB$25*(NC255+(1-NC255)*$NB$16)</f>
        <v>63.013306786703595</v>
      </c>
      <c r="NE255" s="13">
        <f>ND255*($NB$6+ACUTE_MARGIN)</f>
        <v>63643.43985457063</v>
      </c>
      <c r="NF255" s="13">
        <f>IF(NB255=1,$NB$31,$NB$32)</f>
        <v>152394.16214437486</v>
      </c>
      <c r="NG255" s="13">
        <f>NE255-NF255</f>
        <v>-88750.72228980422</v>
      </c>
      <c r="NH255" s="13">
        <f>NH254+NG255</f>
        <v>13406603.737357914</v>
      </c>
      <c r="NI255">
        <f>IF(NH255=MAX($NH$83:$NH$483),$A255,0)</f>
        <v>0</v>
      </c>
      <c r="NJ255">
        <f>IF(NE255&lt;NF255,$A255,B_MAX+1)</f>
        <v>172</v>
      </c>
      <c r="NK255" s="13">
        <f>IF(NB255=1,$NB$35,$NB$36)</f>
        <v>0</v>
      </c>
      <c r="NL255" s="13">
        <f>OCC_DAYS*$NB$41*R_NF_2023-ND255*MCD_SHARE_FREED*R_WAIT_2023</f>
        <v>123327.15192717595</v>
      </c>
      <c r="NM255">
        <f>IF($A255&lt;=$NB$45,1,0)</f>
        <v>0</v>
      </c>
      <c r="OB255">
        <f>IF($OB$31&lt;=$OB$32,IF($A255&lt;=$OB$7,1,2),IF($A255&lt;=RUNG_BEDS_2,2,1))</f>
        <v>1</v>
      </c>
      <c r="OC255" s="5">
        <f>MIN(1,MAX(0,$OB$26-($A255-1)))</f>
        <v>0</v>
      </c>
      <c r="OD255" s="5">
        <f>$OB$25*(OC255+(1-OC255)*$OB$16)</f>
        <v>126.02661357340719</v>
      </c>
      <c r="OE255" s="13">
        <f>OD255*($OB$6+ACUTE_MARGIN)</f>
        <v>127286.87970914126</v>
      </c>
      <c r="OF255" s="13">
        <f>IF(OB255=1,$OB$31,$OB$32)</f>
        <v>152394.16214437486</v>
      </c>
      <c r="OG255" s="13">
        <f>OE255-OF255</f>
        <v>-25107.282435233603</v>
      </c>
      <c r="OH255" s="13">
        <f>OH254+OG255</f>
        <v>14796032.735276021</v>
      </c>
      <c r="OI255">
        <f>IF(OH255=MAX($OH$83:$OH$483),$A255,0)</f>
        <v>0</v>
      </c>
      <c r="OJ255">
        <f>IF(OE255&lt;OF255,$A255,B_MAX+1)</f>
        <v>172</v>
      </c>
      <c r="OK255" s="13">
        <f>IF(OB255=1,$OB$35,$OB$36)</f>
        <v>0</v>
      </c>
      <c r="OL255" s="13">
        <f>OCC_DAYS*$OB$41*R_NF_2023-OD255*MCD_SHARE_FREED*R_WAIT_2023</f>
        <v>94673.82103225985</v>
      </c>
      <c r="OM255">
        <f>IF($A255&lt;=$OB$45,1,0)</f>
        <v>0</v>
      </c>
    </row>
    <row r="256">
      <c r="A256" t="n">
        <v>173</v>
      </c>
      <c r="B256">
        <f>IF($B$31&lt;=$B$32,IF($A256&lt;=$B$7,1,2),IF($A256&lt;=RUNG_BEDS_2,2,1))</f>
        <v>1</v>
      </c>
      <c r="C256" s="5">
        <f>MIN(1,MAX(0,$B$26-($A256-1)))</f>
        <v>0</v>
      </c>
      <c r="D256" s="5">
        <f>$B$25*(C256+(1-C256)*$B$16)</f>
        <v>0.0</v>
      </c>
      <c r="E256" s="13">
        <f>D256*($B$6+ACUTE_MARGIN)</f>
        <v>0.0</v>
      </c>
      <c r="F256" s="13">
        <f>IF(B256=1,$B$31,$B$32)</f>
        <v>152394.16214437486</v>
      </c>
      <c r="G256" s="13">
        <f>E256-F256</f>
        <v>-152394.16214437486</v>
      </c>
      <c r="H256" s="13">
        <f>H255+G256</f>
        <v>11864780.577295475</v>
      </c>
      <c r="I256">
        <f>IF(H256=MAX($H$83:$H$483),$A256,0)</f>
        <v>0</v>
      </c>
      <c r="J256">
        <f>IF(E256&lt;F256,$A256,B_MAX+1)</f>
        <v>173</v>
      </c>
      <c r="K256" s="13">
        <f>IF(B256=1,$B$35,$B$36)</f>
        <v>0</v>
      </c>
      <c r="L256" s="13">
        <f>OCC_DAYS*$B$41*R_NF_2023-D256*MCD_SHARE_FREED*R_WAIT_2023</f>
        <v>151980.48282209205</v>
      </c>
      <c r="M256">
        <f>IF($A256&lt;=$B$45,1,0)</f>
        <v>0</v>
      </c>
      <c r="AB256">
        <f>IF($AB$31&lt;=$AB$32,IF($A256&lt;=$AB$7,1,2),IF($A256&lt;=RUNG_BEDS_2,2,1))</f>
        <v>1</v>
      </c>
      <c r="AC256" s="5">
        <f>MIN(1,MAX(0,$AB$26-($A256-1)))</f>
        <v>0</v>
      </c>
      <c r="AD256" s="5">
        <f>$AB$25*(AC256+(1-AC256)*$AB$16)</f>
        <v>0.0</v>
      </c>
      <c r="AE256" s="13">
        <f>AD256*($AB$6+ACUTE_MARGIN)</f>
        <v>0.0</v>
      </c>
      <c r="AF256" s="13">
        <f>IF(AB256=1,$AB$31,$AB$32)</f>
        <v>152394.16214437486</v>
      </c>
      <c r="AG256" s="13">
        <f>AE256-AF256</f>
        <v>-152394.16214437486</v>
      </c>
      <c r="AH256" s="13">
        <f>AH255+AG256</f>
        <v>-5546433.768254339</v>
      </c>
      <c r="AI256">
        <f>IF(AH256=MAX($AH$83:$AH$483),$A256,0)</f>
        <v>0</v>
      </c>
      <c r="AJ256">
        <f>IF(AE256&lt;AF256,$A256,B_MAX+1)</f>
        <v>173</v>
      </c>
      <c r="AK256" s="13">
        <f>IF(AB256=1,$AB$35,$AB$36)</f>
        <v>0</v>
      </c>
      <c r="AL256" s="13">
        <f>OCC_DAYS*$AB$41*R_NF_2023-AD256*MCD_SHARE_FREED*R_WAIT_2023</f>
        <v>151980.48282209205</v>
      </c>
      <c r="AM256">
        <f>IF($A256&lt;=$AB$45,1,0)</f>
        <v>0</v>
      </c>
      <c r="BB256">
        <f>IF($BB$31&lt;=$BB$32,IF($A256&lt;=$BB$7,1,2),IF($A256&lt;=RUNG_BEDS_2,2,1))</f>
        <v>1</v>
      </c>
      <c r="BC256" s="5">
        <f>MIN(1,MAX(0,$BB$26-($A256-1)))</f>
        <v>0</v>
      </c>
      <c r="BD256" s="5">
        <f>$BB$25*(BC256+(1-BC256)*$BB$16)</f>
        <v>0.0</v>
      </c>
      <c r="BE256" s="13">
        <f>BD256*($BB$6+ACUTE_MARGIN)</f>
        <v>0.0</v>
      </c>
      <c r="BF256" s="13">
        <f>IF(BB256=1,$BB$31,$BB$32)</f>
        <v>152394.16214437486</v>
      </c>
      <c r="BG256" s="13">
        <f>BE256-BF256</f>
        <v>-152394.16214437486</v>
      </c>
      <c r="BH256" s="13">
        <f>BH255+BG256</f>
        <v>29275994.922845136</v>
      </c>
      <c r="BI256">
        <f>IF(BH256=MAX($BH$83:$BH$483),$A256,0)</f>
        <v>0</v>
      </c>
      <c r="BJ256">
        <f>IF(BE256&lt;BF256,$A256,B_MAX+1)</f>
        <v>173</v>
      </c>
      <c r="BK256" s="13">
        <f>IF(BB256=1,$BB$35,$BB$36)</f>
        <v>0</v>
      </c>
      <c r="BL256" s="13">
        <f>OCC_DAYS*$BB$41*R_NF_2023-BD256*MCD_SHARE_FREED*R_WAIT_2023</f>
        <v>151980.48282209205</v>
      </c>
      <c r="BM256">
        <f>IF($A256&lt;=$BB$45,1,0)</f>
        <v>0</v>
      </c>
      <c r="CB256">
        <f>IF($CB$31&lt;=$CB$32,IF($A256&lt;=$CB$7,1,2),IF($A256&lt;=RUNG_BEDS_2,2,1))</f>
        <v>2</v>
      </c>
      <c r="CC256" s="5">
        <f>MIN(1,MAX(0,$CB$26-($A256-1)))</f>
        <v>0</v>
      </c>
      <c r="CD256" s="5">
        <f>$CB$25*(CC256+(1-CC256)*$CB$16)</f>
        <v>0.0</v>
      </c>
      <c r="CE256" s="13">
        <f>CD256*($CB$6+ACUTE_MARGIN)</f>
        <v>0.0</v>
      </c>
      <c r="CF256" s="13">
        <f>IF(CB256=1,$CB$31,$CB$32)</f>
        <v>160718.36940738867</v>
      </c>
      <c r="CG256" s="13">
        <f>CE256-CF256</f>
        <v>-160718.36940738867</v>
      </c>
      <c r="CH256" s="13">
        <f>CH255+CG256</f>
        <v>10424692.720793983</v>
      </c>
      <c r="CI256">
        <f>IF(CH256=MAX($CH$83:$CH$483),$A256,0)</f>
        <v>0</v>
      </c>
      <c r="CJ256">
        <f>IF(CE256&lt;CF256,$A256,B_MAX+1)</f>
        <v>173</v>
      </c>
      <c r="CK256" s="13">
        <f>IF(CB256=1,$CB$35,$CB$36)</f>
        <v>1560.1194073886782</v>
      </c>
      <c r="CL256" s="13">
        <f>OCC_DAYS*$CB$41*R_NF_2023-CD256*MCD_SHARE_FREED*R_WAIT_2023</f>
        <v>151980.48282209205</v>
      </c>
      <c r="CM256">
        <f>IF($A256&lt;=$CB$45,1,0)</f>
        <v>0</v>
      </c>
      <c r="DB256">
        <f>IF($DB$31&lt;=$DB$32,IF($A256&lt;=$DB$7,1,2),IF($A256&lt;=RUNG_BEDS_2,2,1))</f>
        <v>1</v>
      </c>
      <c r="DC256" s="5">
        <f>MIN(1,MAX(0,$DB$26-($A256-1)))</f>
        <v>0</v>
      </c>
      <c r="DD256" s="5">
        <f>$DB$25*(DC256+(1-DC256)*$DB$16)</f>
        <v>0.0</v>
      </c>
      <c r="DE256" s="13">
        <f>DD256*($DB$6+ACUTE_MARGIN)</f>
        <v>0.0</v>
      </c>
      <c r="DF256" s="13">
        <f>IF(DB256=1,$DB$31,$DB$32)</f>
        <v>152394.16214437486</v>
      </c>
      <c r="DG256" s="13">
        <f>DE256-DF256</f>
        <v>-152394.16214437486</v>
      </c>
      <c r="DH256" s="13">
        <f>DH255+DG256</f>
        <v>11864780.577295475</v>
      </c>
      <c r="DI256">
        <f>IF(DH256=MAX($DH$83:$DH$483),$A256,0)</f>
        <v>0</v>
      </c>
      <c r="DJ256">
        <f>IF(DE256&lt;DF256,$A256,B_MAX+1)</f>
        <v>173</v>
      </c>
      <c r="DK256" s="13">
        <f>IF(DB256=1,$DB$35,$DB$36)</f>
        <v>0</v>
      </c>
      <c r="DL256" s="13">
        <f>OCC_DAYS*$DB$41*R_NF_2023-DD256*MCD_SHARE_FREED*R_WAIT_2023</f>
        <v>151980.48282209205</v>
      </c>
      <c r="DM256">
        <f>IF($A256&lt;=$DB$45,1,0)</f>
        <v>0</v>
      </c>
      <c r="EB256">
        <f>IF($EB$31&lt;=$EB$32,IF($A256&lt;=$EB$7,1,2),IF($A256&lt;=RUNG_BEDS_2,2,1))</f>
        <v>1</v>
      </c>
      <c r="EC256" s="5">
        <f>MIN(1,MAX(0,$EB$26-($A256-1)))</f>
        <v>0</v>
      </c>
      <c r="ED256" s="5">
        <f>$EB$25*(EC256+(1-EC256)*$EB$16)</f>
        <v>0.0</v>
      </c>
      <c r="EE256" s="13">
        <f>ED256*($EB$6+ACUTE_MARGIN)</f>
        <v>0.0</v>
      </c>
      <c r="EF256" s="13">
        <f>IF(EB256=1,$EB$31,$EB$32)</f>
        <v>152394.16214437486</v>
      </c>
      <c r="EG256" s="13">
        <f>EE256-EF256</f>
        <v>-152394.16214437486</v>
      </c>
      <c r="EH256" s="13">
        <f>EH255+EG256</f>
        <v>11864780.577295475</v>
      </c>
      <c r="EI256">
        <f>IF(EH256=MAX($EH$83:$EH$483),$A256,0)</f>
        <v>0</v>
      </c>
      <c r="EJ256">
        <f>IF(EE256&lt;EF256,$A256,B_MAX+1)</f>
        <v>173</v>
      </c>
      <c r="EK256" s="13">
        <f>IF(EB256=1,$EB$35,$EB$36)</f>
        <v>0</v>
      </c>
      <c r="EL256" s="13">
        <f>OCC_DAYS*$EB$41*R_NF_2023-ED256*MCD_SHARE_FREED*R_WAIT_2023</f>
        <v>50660.16094069735</v>
      </c>
      <c r="EM256">
        <f>IF($A256&lt;=$EB$45,1,0)</f>
        <v>0</v>
      </c>
      <c r="FB256">
        <f>IF($FB$31&lt;=$FB$32,IF($A256&lt;=$FB$7,1,2),IF($A256&lt;=RUNG_BEDS_2,2,1))</f>
        <v>1</v>
      </c>
      <c r="FC256" s="5">
        <f>MIN(1,MAX(0,$FB$26-($A256-1)))</f>
        <v>0</v>
      </c>
      <c r="FD256" s="5">
        <f>$FB$25*(FC256+(1-FC256)*$FB$16)</f>
        <v>0.0</v>
      </c>
      <c r="FE256" s="13">
        <f>FD256*($FB$6+ACUTE_MARGIN)</f>
        <v>0.0</v>
      </c>
      <c r="FF256" s="13">
        <f>IF(FB256=1,$FB$31,$FB$32)</f>
        <v>156636.04979437485</v>
      </c>
      <c r="FG256" s="13">
        <f>FE256-FF256</f>
        <v>-156636.04979437485</v>
      </c>
      <c r="FH256" s="13">
        <f>FH255+FG256</f>
        <v>11130934.013845362</v>
      </c>
      <c r="FI256">
        <f>IF(FH256=MAX($FH$83:$FH$483),$A256,0)</f>
        <v>0</v>
      </c>
      <c r="FJ256">
        <f>IF(FE256&lt;FF256,$A256,B_MAX+1)</f>
        <v>173</v>
      </c>
      <c r="FK256" s="13">
        <f>IF(FB256=1,$FB$35,$FB$36)</f>
        <v>0</v>
      </c>
      <c r="FL256" s="13">
        <f>OCC_DAYS*$FB$41*R_NF_2023-FD256*MCD_SHARE_FREED*R_WAIT_2023</f>
        <v>151980.48282209205</v>
      </c>
      <c r="FM256">
        <f>IF($A256&lt;=$FB$45,1,0)</f>
        <v>0</v>
      </c>
      <c r="GB256">
        <f>IF($GB$31&lt;=$GB$32,IF($A256&lt;=$GB$7,1,2),IF($A256&lt;=RUNG_BEDS_2,2,1))</f>
        <v>1</v>
      </c>
      <c r="GC256" s="5">
        <f>MIN(1,MAX(0,$GB$26-($A256-1)))</f>
        <v>0</v>
      </c>
      <c r="GD256" s="5">
        <f>$GB$25*(GC256+(1-GC256)*$GB$16)</f>
        <v>0.0</v>
      </c>
      <c r="GE256" s="13">
        <f>GD256*($GB$6+ACUTE_MARGIN)</f>
        <v>0.0</v>
      </c>
      <c r="GF256" s="13">
        <f>IF(GB256=1,$GB$31,$GB$32)</f>
        <v>152394.16214437486</v>
      </c>
      <c r="GG256" s="13">
        <f>GE256-GF256</f>
        <v>-152394.16214437486</v>
      </c>
      <c r="GH256" s="13">
        <f>GH255+GG256</f>
        <v>11864780.577295475</v>
      </c>
      <c r="GI256">
        <f>IF(GH256=MAX($GH$83:$GH$483),$A256,0)</f>
        <v>0</v>
      </c>
      <c r="GJ256">
        <f>IF(GE256&lt;GF256,$A256,B_MAX+1)</f>
        <v>173</v>
      </c>
      <c r="GK256" s="13">
        <f>IF(GB256=1,$GB$35,$GB$36)</f>
        <v>0</v>
      </c>
      <c r="GL256" s="13">
        <f>OCC_DAYS*$GB$41*R_NF_2023-GD256*MCD_SHARE_FREED*R_WAIT_2023</f>
        <v>151980.48282209205</v>
      </c>
      <c r="GM256">
        <f>IF($A256&lt;=$GB$45,1,0)</f>
        <v>0</v>
      </c>
      <c r="HB256">
        <f>IF($HB$31&lt;=$HB$32,IF($A256&lt;=$HB$7,1,2),IF($A256&lt;=RUNG_BEDS_2,2,1))</f>
        <v>1</v>
      </c>
      <c r="HC256" s="5">
        <f>MIN(1,MAX(0,$HB$26-($A256-1)))</f>
        <v>0</v>
      </c>
      <c r="HD256" s="5">
        <f>$HB$25*(HC256+(1-HC256)*$HB$16)</f>
        <v>0.0</v>
      </c>
      <c r="HE256" s="13">
        <f>HD256*($HB$6+ACUTE_MARGIN)</f>
        <v>0.0</v>
      </c>
      <c r="HF256" s="13">
        <f>IF(HB256=1,$HB$31,$HB$32)</f>
        <v>152456.2970814058</v>
      </c>
      <c r="HG256" s="13">
        <f>HE256-HF256</f>
        <v>-152456.2970814058</v>
      </c>
      <c r="HH256" s="13">
        <f>HH255+HG256</f>
        <v>11854031.233189093</v>
      </c>
      <c r="HI256">
        <f>IF(HH256=MAX($HH$83:$HH$483),$A256,0)</f>
        <v>0</v>
      </c>
      <c r="HJ256">
        <f>IF(HE256&lt;HF256,$A256,B_MAX+1)</f>
        <v>173</v>
      </c>
      <c r="HK256" s="13">
        <f>IF(HB256=1,$HB$35,$HB$36)</f>
        <v>0</v>
      </c>
      <c r="HL256" s="13">
        <f>OCC_DAYS*$HB$41*R_NF_2023-HD256*MCD_SHARE_FREED*R_WAIT_2023</f>
        <v>151980.48282209205</v>
      </c>
      <c r="HM256">
        <f>IF($A256&lt;=$HB$45,1,0)</f>
        <v>0</v>
      </c>
      <c r="IB256">
        <f>IF($IB$31&lt;=$IB$32,IF($A256&lt;=$IB$7,1,2),IF($A256&lt;=RUNG_BEDS_2,2,1))</f>
        <v>1</v>
      </c>
      <c r="IC256" s="5">
        <f>MIN(1,MAX(0,$IB$26-($A256-1)))</f>
        <v>0</v>
      </c>
      <c r="ID256" s="5">
        <f>$IB$25*(IC256+(1-IC256)*$IB$16)</f>
        <v>0.0</v>
      </c>
      <c r="IE256" s="13">
        <f>ID256*($IB$6+ACUTE_MARGIN)</f>
        <v>0.0</v>
      </c>
      <c r="IF256" s="13">
        <f>IF(IB256=1,$IB$31,$IB$32)</f>
        <v>152734.9994534971</v>
      </c>
      <c r="IG256" s="13">
        <f>IE256-IF256</f>
        <v>-152734.9994534971</v>
      </c>
      <c r="IH256" s="13">
        <f>IH255+IG256</f>
        <v>11805815.722817225</v>
      </c>
      <c r="II256">
        <f>IF(IH256=MAX($IH$83:$IH$483),$A256,0)</f>
        <v>0</v>
      </c>
      <c r="IJ256">
        <f>IF(IE256&lt;IF256,$A256,B_MAX+1)</f>
        <v>173</v>
      </c>
      <c r="IK256" s="13">
        <f>IF(IB256=1,$IB$35,$IB$36)</f>
        <v>0</v>
      </c>
      <c r="IL256" s="13">
        <f>OCC_DAYS*$IB$41*R_NF_2023-ID256*MCD_SHARE_FREED*R_WAIT_2023</f>
        <v>151980.48282209205</v>
      </c>
      <c r="IM256">
        <f>IF($A256&lt;=$IB$45,1,0)</f>
        <v>0</v>
      </c>
      <c r="JB256">
        <f>IF($JB$31&lt;=$JB$32,IF($A256&lt;=$JB$7,1,2),IF($A256&lt;=RUNG_BEDS_2,2,1))</f>
        <v>1</v>
      </c>
      <c r="JC256" s="5">
        <f>MIN(1,MAX(0,$JB$26-($A256-1)))</f>
        <v>0</v>
      </c>
      <c r="JD256" s="5">
        <f>$JB$25*(JC256+(1-JC256)*$JB$16)</f>
        <v>0.0</v>
      </c>
      <c r="JE256" s="13">
        <f>JD256*($JB$6+ACUTE_MARGIN)</f>
        <v>0.0</v>
      </c>
      <c r="JF256" s="13">
        <f>IF(JB256=1,$JB$31,$JB$32)</f>
        <v>152394.16214437486</v>
      </c>
      <c r="JG256" s="13">
        <f>JE256-JF256</f>
        <v>-152394.16214437486</v>
      </c>
      <c r="JH256" s="13">
        <f>JH255+JG256</f>
        <v>11864780.577295475</v>
      </c>
      <c r="JI256">
        <f>IF(JH256=MAX($JH$83:$JH$483),$A256,0)</f>
        <v>0</v>
      </c>
      <c r="JJ256">
        <f>IF(JE256&lt;JF256,$A256,B_MAX+1)</f>
        <v>173</v>
      </c>
      <c r="JK256" s="13">
        <f>IF(JB256=1,$JB$35,$JB$36)</f>
        <v>0</v>
      </c>
      <c r="JL256" s="13">
        <f>OCC_DAYS*$JB$41*R_NF_2023-JD256*MCD_SHARE_FREED*R_WAIT_2023</f>
        <v>151980.48282209205</v>
      </c>
      <c r="JM256">
        <f>IF($A256&lt;=$JB$45,1,0)</f>
        <v>0</v>
      </c>
      <c r="KB256">
        <f>IF($KB$31&lt;=$KB$32,IF($A256&lt;=$KB$7,1,2),IF($A256&lt;=RUNG_BEDS_2,2,1))</f>
        <v>1</v>
      </c>
      <c r="KC256" s="5">
        <f>MIN(1,MAX(0,$KB$26-($A256-1)))</f>
        <v>1</v>
      </c>
      <c r="KD256" s="5">
        <f>$KB$25*(KC256+(1-KC256)*$KB$16)</f>
        <v>126.02661357340719</v>
      </c>
      <c r="KE256" s="13">
        <f>KD256*($KB$6+ACUTE_MARGIN)</f>
        <v>127286.87970914126</v>
      </c>
      <c r="KF256" s="13">
        <f>IF(KB256=1,$KB$31,$KB$32)</f>
        <v>152394.16214437486</v>
      </c>
      <c r="KG256" s="13">
        <f>KE256-KF256</f>
        <v>-25107.282435233603</v>
      </c>
      <c r="KH256" s="13">
        <f>KH255+KG256</f>
        <v>-4343559.861295426</v>
      </c>
      <c r="KI256">
        <f>IF(KH256=MAX($KH$83:$KH$483),$A256,0)</f>
        <v>0</v>
      </c>
      <c r="KJ256">
        <f>IF(KE256&lt;KF256,$A256,B_MAX+1)</f>
        <v>173</v>
      </c>
      <c r="KK256" s="13">
        <f>IF(KB256=1,$KB$35,$KB$36)</f>
        <v>0</v>
      </c>
      <c r="KL256" s="13">
        <f>OCC_DAYS*$KB$41*R_NF_2023-KD256*MCD_SHARE_FREED*R_WAIT_2023</f>
        <v>94673.82103225985</v>
      </c>
      <c r="KM256">
        <f>IF($A256&lt;=$KB$45,1,0)</f>
        <v>0</v>
      </c>
      <c r="LB256">
        <f>IF($LB$31&lt;=$LB$32,IF($A256&lt;=$LB$7,1,2),IF($A256&lt;=RUNG_BEDS_2,2,1))</f>
        <v>1</v>
      </c>
      <c r="LC256" s="5">
        <f>MIN(1,MAX(0,$LB$26-($A256-1)))</f>
        <v>1</v>
      </c>
      <c r="LD256" s="5">
        <f>$LB$25*(LC256+(1-LC256)*$LB$16)</f>
        <v>84.01774238227146</v>
      </c>
      <c r="LE256" s="13">
        <f>LD256*($LB$6+ACUTE_MARGIN)</f>
        <v>84857.91980609419</v>
      </c>
      <c r="LF256" s="13">
        <f>IF(LB256=1,$LB$31,$LB$32)</f>
        <v>152394.16214437486</v>
      </c>
      <c r="LG256" s="13">
        <f>LE256-LF256</f>
        <v>-67536.24233828067</v>
      </c>
      <c r="LH256" s="13">
        <f>LH255+LG256</f>
        <v>-11683769.924522605</v>
      </c>
      <c r="LI256">
        <f>IF(LH256=MAX($LH$83:$LH$483),$A256,0)</f>
        <v>0</v>
      </c>
      <c r="LJ256">
        <f>IF(LE256&lt;LF256,$A256,B_MAX+1)</f>
        <v>173</v>
      </c>
      <c r="LK256" s="13">
        <f>IF(LB256=1,$LB$35,$LB$36)</f>
        <v>0</v>
      </c>
      <c r="LL256" s="13">
        <f>OCC_DAYS*$LB$41*R_NF_2023-LD256*MCD_SHARE_FREED*R_WAIT_2023</f>
        <v>113776.04162887059</v>
      </c>
      <c r="LM256">
        <f>IF($A256&lt;=$LB$45,1,0)</f>
        <v>0</v>
      </c>
      <c r="MB256">
        <f>IF($MB$31&lt;=$MB$32,IF($A256&lt;=$MB$7,1,2),IF($A256&lt;=RUNG_BEDS_2,2,1))</f>
        <v>1</v>
      </c>
      <c r="MC256" s="5">
        <f>MIN(1,MAX(0,$MB$26-($A256-1)))</f>
        <v>0</v>
      </c>
      <c r="MD256" s="5">
        <f>$MB$25*(MC256+(1-MC256)*$MB$16)</f>
        <v>0.0</v>
      </c>
      <c r="ME256" s="13">
        <f>MD256*($MB$6+ACUTE_MARGIN)</f>
        <v>0.0</v>
      </c>
      <c r="MF256" s="13">
        <f>IF(MB256=1,$MB$31,$MB$32)</f>
        <v>152394.16214437486</v>
      </c>
      <c r="MG256" s="13">
        <f>ME256-MF256</f>
        <v>-152394.16214437486</v>
      </c>
      <c r="MH256" s="13">
        <f>MH255+MG256</f>
        <v>5977504.515497159</v>
      </c>
      <c r="MI256">
        <f>IF(MH256=MAX($MH$83:$MH$483),$A256,0)</f>
        <v>0</v>
      </c>
      <c r="MJ256">
        <f>IF(ME256&lt;MF256,$A256,B_MAX+1)</f>
        <v>173</v>
      </c>
      <c r="MK256" s="13">
        <f>IF(MB256=1,$MB$35,$MB$36)</f>
        <v>0</v>
      </c>
      <c r="ML256" s="13">
        <f>OCC_DAYS*$MB$41*R_NF_2023-MD256*MCD_SHARE_FREED*R_WAIT_2023</f>
        <v>151980.48282209205</v>
      </c>
      <c r="MM256">
        <f>IF($A256&lt;=$MB$45,1,0)</f>
        <v>0</v>
      </c>
      <c r="NB256">
        <f>IF($NB$31&lt;=$NB$32,IF($A256&lt;=$NB$7,1,2),IF($A256&lt;=RUNG_BEDS_2,2,1))</f>
        <v>1</v>
      </c>
      <c r="NC256" s="5">
        <f>MIN(1,MAX(0,$NB$26-($A256-1)))</f>
        <v>0</v>
      </c>
      <c r="ND256" s="5">
        <f>$NB$25*(NC256+(1-NC256)*$NB$16)</f>
        <v>63.013306786703595</v>
      </c>
      <c r="NE256" s="13">
        <f>ND256*($NB$6+ACUTE_MARGIN)</f>
        <v>63643.43985457063</v>
      </c>
      <c r="NF256" s="13">
        <f>IF(NB256=1,$NB$31,$NB$32)</f>
        <v>152394.16214437486</v>
      </c>
      <c r="NG256" s="13">
        <f>NE256-NF256</f>
        <v>-88750.72228980422</v>
      </c>
      <c r="NH256" s="13">
        <f>NH255+NG256</f>
        <v>13317853.01506811</v>
      </c>
      <c r="NI256">
        <f>IF(NH256=MAX($NH$83:$NH$483),$A256,0)</f>
        <v>0</v>
      </c>
      <c r="NJ256">
        <f>IF(NE256&lt;NF256,$A256,B_MAX+1)</f>
        <v>173</v>
      </c>
      <c r="NK256" s="13">
        <f>IF(NB256=1,$NB$35,$NB$36)</f>
        <v>0</v>
      </c>
      <c r="NL256" s="13">
        <f>OCC_DAYS*$NB$41*R_NF_2023-ND256*MCD_SHARE_FREED*R_WAIT_2023</f>
        <v>123327.15192717595</v>
      </c>
      <c r="NM256">
        <f>IF($A256&lt;=$NB$45,1,0)</f>
        <v>0</v>
      </c>
      <c r="OB256">
        <f>IF($OB$31&lt;=$OB$32,IF($A256&lt;=$OB$7,1,2),IF($A256&lt;=RUNG_BEDS_2,2,1))</f>
        <v>1</v>
      </c>
      <c r="OC256" s="5">
        <f>MIN(1,MAX(0,$OB$26-($A256-1)))</f>
        <v>0</v>
      </c>
      <c r="OD256" s="5">
        <f>$OB$25*(OC256+(1-OC256)*$OB$16)</f>
        <v>126.02661357340719</v>
      </c>
      <c r="OE256" s="13">
        <f>OD256*($OB$6+ACUTE_MARGIN)</f>
        <v>127286.87970914126</v>
      </c>
      <c r="OF256" s="13">
        <f>IF(OB256=1,$OB$31,$OB$32)</f>
        <v>152394.16214437486</v>
      </c>
      <c r="OG256" s="13">
        <f>OE256-OF256</f>
        <v>-25107.282435233603</v>
      </c>
      <c r="OH256" s="13">
        <f>OH255+OG256</f>
        <v>14770925.452840788</v>
      </c>
      <c r="OI256">
        <f>IF(OH256=MAX($OH$83:$OH$483),$A256,0)</f>
        <v>0</v>
      </c>
      <c r="OJ256">
        <f>IF(OE256&lt;OF256,$A256,B_MAX+1)</f>
        <v>173</v>
      </c>
      <c r="OK256" s="13">
        <f>IF(OB256=1,$OB$35,$OB$36)</f>
        <v>0</v>
      </c>
      <c r="OL256" s="13">
        <f>OCC_DAYS*$OB$41*R_NF_2023-OD256*MCD_SHARE_FREED*R_WAIT_2023</f>
        <v>94673.82103225985</v>
      </c>
      <c r="OM256">
        <f>IF($A256&lt;=$OB$45,1,0)</f>
        <v>0</v>
      </c>
    </row>
    <row r="257">
      <c r="A257" t="n">
        <v>174</v>
      </c>
      <c r="B257">
        <f>IF($B$31&lt;=$B$32,IF($A257&lt;=$B$7,1,2),IF($A257&lt;=RUNG_BEDS_2,2,1))</f>
        <v>1</v>
      </c>
      <c r="C257" s="5">
        <f>MIN(1,MAX(0,$B$26-($A257-1)))</f>
        <v>0</v>
      </c>
      <c r="D257" s="5">
        <f>$B$25*(C257+(1-C257)*$B$16)</f>
        <v>0.0</v>
      </c>
      <c r="E257" s="13">
        <f>D257*($B$6+ACUTE_MARGIN)</f>
        <v>0.0</v>
      </c>
      <c r="F257" s="13">
        <f>IF(B257=1,$B$31,$B$32)</f>
        <v>152394.16214437486</v>
      </c>
      <c r="G257" s="13">
        <f>E257-F257</f>
        <v>-152394.16214437486</v>
      </c>
      <c r="H257" s="13">
        <f>H256+G257</f>
        <v>11712386.4151511</v>
      </c>
      <c r="I257">
        <f>IF(H257=MAX($H$83:$H$483),$A257,0)</f>
        <v>0</v>
      </c>
      <c r="J257">
        <f>IF(E257&lt;F257,$A257,B_MAX+1)</f>
        <v>174</v>
      </c>
      <c r="K257" s="13">
        <f>IF(B257=1,$B$35,$B$36)</f>
        <v>0</v>
      </c>
      <c r="L257" s="13">
        <f>OCC_DAYS*$B$41*R_NF_2023-D257*MCD_SHARE_FREED*R_WAIT_2023</f>
        <v>151980.48282209205</v>
      </c>
      <c r="M257">
        <f>IF($A257&lt;=$B$45,1,0)</f>
        <v>0</v>
      </c>
      <c r="AB257">
        <f>IF($AB$31&lt;=$AB$32,IF($A257&lt;=$AB$7,1,2),IF($A257&lt;=RUNG_BEDS_2,2,1))</f>
        <v>1</v>
      </c>
      <c r="AC257" s="5">
        <f>MIN(1,MAX(0,$AB$26-($A257-1)))</f>
        <v>0</v>
      </c>
      <c r="AD257" s="5">
        <f>$AB$25*(AC257+(1-AC257)*$AB$16)</f>
        <v>0.0</v>
      </c>
      <c r="AE257" s="13">
        <f>AD257*($AB$6+ACUTE_MARGIN)</f>
        <v>0.0</v>
      </c>
      <c r="AF257" s="13">
        <f>IF(AB257=1,$AB$31,$AB$32)</f>
        <v>152394.16214437486</v>
      </c>
      <c r="AG257" s="13">
        <f>AE257-AF257</f>
        <v>-152394.16214437486</v>
      </c>
      <c r="AH257" s="13">
        <f>AH256+AG257</f>
        <v>-5698827.930398714</v>
      </c>
      <c r="AI257">
        <f>IF(AH257=MAX($AH$83:$AH$483),$A257,0)</f>
        <v>0</v>
      </c>
      <c r="AJ257">
        <f>IF(AE257&lt;AF257,$A257,B_MAX+1)</f>
        <v>174</v>
      </c>
      <c r="AK257" s="13">
        <f>IF(AB257=1,$AB$35,$AB$36)</f>
        <v>0</v>
      </c>
      <c r="AL257" s="13">
        <f>OCC_DAYS*$AB$41*R_NF_2023-AD257*MCD_SHARE_FREED*R_WAIT_2023</f>
        <v>151980.48282209205</v>
      </c>
      <c r="AM257">
        <f>IF($A257&lt;=$AB$45,1,0)</f>
        <v>0</v>
      </c>
      <c r="BB257">
        <f>IF($BB$31&lt;=$BB$32,IF($A257&lt;=$BB$7,1,2),IF($A257&lt;=RUNG_BEDS_2,2,1))</f>
        <v>1</v>
      </c>
      <c r="BC257" s="5">
        <f>MIN(1,MAX(0,$BB$26-($A257-1)))</f>
        <v>0</v>
      </c>
      <c r="BD257" s="5">
        <f>$BB$25*(BC257+(1-BC257)*$BB$16)</f>
        <v>0.0</v>
      </c>
      <c r="BE257" s="13">
        <f>BD257*($BB$6+ACUTE_MARGIN)</f>
        <v>0.0</v>
      </c>
      <c r="BF257" s="13">
        <f>IF(BB257=1,$BB$31,$BB$32)</f>
        <v>152394.16214437486</v>
      </c>
      <c r="BG257" s="13">
        <f>BE257-BF257</f>
        <v>-152394.16214437486</v>
      </c>
      <c r="BH257" s="13">
        <f>BH256+BG257</f>
        <v>29123600.760700762</v>
      </c>
      <c r="BI257">
        <f>IF(BH257=MAX($BH$83:$BH$483),$A257,0)</f>
        <v>0</v>
      </c>
      <c r="BJ257">
        <f>IF(BE257&lt;BF257,$A257,B_MAX+1)</f>
        <v>174</v>
      </c>
      <c r="BK257" s="13">
        <f>IF(BB257=1,$BB$35,$BB$36)</f>
        <v>0</v>
      </c>
      <c r="BL257" s="13">
        <f>OCC_DAYS*$BB$41*R_NF_2023-BD257*MCD_SHARE_FREED*R_WAIT_2023</f>
        <v>151980.48282209205</v>
      </c>
      <c r="BM257">
        <f>IF($A257&lt;=$BB$45,1,0)</f>
        <v>0</v>
      </c>
      <c r="CB257">
        <f>IF($CB$31&lt;=$CB$32,IF($A257&lt;=$CB$7,1,2),IF($A257&lt;=RUNG_BEDS_2,2,1))</f>
        <v>2</v>
      </c>
      <c r="CC257" s="5">
        <f>MIN(1,MAX(0,$CB$26-($A257-1)))</f>
        <v>0</v>
      </c>
      <c r="CD257" s="5">
        <f>$CB$25*(CC257+(1-CC257)*$CB$16)</f>
        <v>0.0</v>
      </c>
      <c r="CE257" s="13">
        <f>CD257*($CB$6+ACUTE_MARGIN)</f>
        <v>0.0</v>
      </c>
      <c r="CF257" s="13">
        <f>IF(CB257=1,$CB$31,$CB$32)</f>
        <v>160718.36940738867</v>
      </c>
      <c r="CG257" s="13">
        <f>CE257-CF257</f>
        <v>-160718.36940738867</v>
      </c>
      <c r="CH257" s="13">
        <f>CH256+CG257</f>
        <v>10263974.351386594</v>
      </c>
      <c r="CI257">
        <f>IF(CH257=MAX($CH$83:$CH$483),$A257,0)</f>
        <v>0</v>
      </c>
      <c r="CJ257">
        <f>IF(CE257&lt;CF257,$A257,B_MAX+1)</f>
        <v>174</v>
      </c>
      <c r="CK257" s="13">
        <f>IF(CB257=1,$CB$35,$CB$36)</f>
        <v>1560.1194073886782</v>
      </c>
      <c r="CL257" s="13">
        <f>OCC_DAYS*$CB$41*R_NF_2023-CD257*MCD_SHARE_FREED*R_WAIT_2023</f>
        <v>151980.48282209205</v>
      </c>
      <c r="CM257">
        <f>IF($A257&lt;=$CB$45,1,0)</f>
        <v>0</v>
      </c>
      <c r="DB257">
        <f>IF($DB$31&lt;=$DB$32,IF($A257&lt;=$DB$7,1,2),IF($A257&lt;=RUNG_BEDS_2,2,1))</f>
        <v>1</v>
      </c>
      <c r="DC257" s="5">
        <f>MIN(1,MAX(0,$DB$26-($A257-1)))</f>
        <v>0</v>
      </c>
      <c r="DD257" s="5">
        <f>$DB$25*(DC257+(1-DC257)*$DB$16)</f>
        <v>0.0</v>
      </c>
      <c r="DE257" s="13">
        <f>DD257*($DB$6+ACUTE_MARGIN)</f>
        <v>0.0</v>
      </c>
      <c r="DF257" s="13">
        <f>IF(DB257=1,$DB$31,$DB$32)</f>
        <v>152394.16214437486</v>
      </c>
      <c r="DG257" s="13">
        <f>DE257-DF257</f>
        <v>-152394.16214437486</v>
      </c>
      <c r="DH257" s="13">
        <f>DH256+DG257</f>
        <v>11712386.4151511</v>
      </c>
      <c r="DI257">
        <f>IF(DH257=MAX($DH$83:$DH$483),$A257,0)</f>
        <v>0</v>
      </c>
      <c r="DJ257">
        <f>IF(DE257&lt;DF257,$A257,B_MAX+1)</f>
        <v>174</v>
      </c>
      <c r="DK257" s="13">
        <f>IF(DB257=1,$DB$35,$DB$36)</f>
        <v>0</v>
      </c>
      <c r="DL257" s="13">
        <f>OCC_DAYS*$DB$41*R_NF_2023-DD257*MCD_SHARE_FREED*R_WAIT_2023</f>
        <v>151980.48282209205</v>
      </c>
      <c r="DM257">
        <f>IF($A257&lt;=$DB$45,1,0)</f>
        <v>0</v>
      </c>
      <c r="EB257">
        <f>IF($EB$31&lt;=$EB$32,IF($A257&lt;=$EB$7,1,2),IF($A257&lt;=RUNG_BEDS_2,2,1))</f>
        <v>1</v>
      </c>
      <c r="EC257" s="5">
        <f>MIN(1,MAX(0,$EB$26-($A257-1)))</f>
        <v>0</v>
      </c>
      <c r="ED257" s="5">
        <f>$EB$25*(EC257+(1-EC257)*$EB$16)</f>
        <v>0.0</v>
      </c>
      <c r="EE257" s="13">
        <f>ED257*($EB$6+ACUTE_MARGIN)</f>
        <v>0.0</v>
      </c>
      <c r="EF257" s="13">
        <f>IF(EB257=1,$EB$31,$EB$32)</f>
        <v>152394.16214437486</v>
      </c>
      <c r="EG257" s="13">
        <f>EE257-EF257</f>
        <v>-152394.16214437486</v>
      </c>
      <c r="EH257" s="13">
        <f>EH256+EG257</f>
        <v>11712386.4151511</v>
      </c>
      <c r="EI257">
        <f>IF(EH257=MAX($EH$83:$EH$483),$A257,0)</f>
        <v>0</v>
      </c>
      <c r="EJ257">
        <f>IF(EE257&lt;EF257,$A257,B_MAX+1)</f>
        <v>174</v>
      </c>
      <c r="EK257" s="13">
        <f>IF(EB257=1,$EB$35,$EB$36)</f>
        <v>0</v>
      </c>
      <c r="EL257" s="13">
        <f>OCC_DAYS*$EB$41*R_NF_2023-ED257*MCD_SHARE_FREED*R_WAIT_2023</f>
        <v>50660.16094069735</v>
      </c>
      <c r="EM257">
        <f>IF($A257&lt;=$EB$45,1,0)</f>
        <v>0</v>
      </c>
      <c r="FB257">
        <f>IF($FB$31&lt;=$FB$32,IF($A257&lt;=$FB$7,1,2),IF($A257&lt;=RUNG_BEDS_2,2,1))</f>
        <v>1</v>
      </c>
      <c r="FC257" s="5">
        <f>MIN(1,MAX(0,$FB$26-($A257-1)))</f>
        <v>0</v>
      </c>
      <c r="FD257" s="5">
        <f>$FB$25*(FC257+(1-FC257)*$FB$16)</f>
        <v>0.0</v>
      </c>
      <c r="FE257" s="13">
        <f>FD257*($FB$6+ACUTE_MARGIN)</f>
        <v>0.0</v>
      </c>
      <c r="FF257" s="13">
        <f>IF(FB257=1,$FB$31,$FB$32)</f>
        <v>156636.04979437485</v>
      </c>
      <c r="FG257" s="13">
        <f>FE257-FF257</f>
        <v>-156636.04979437485</v>
      </c>
      <c r="FH257" s="13">
        <f>FH256+FG257</f>
        <v>10974297.964050988</v>
      </c>
      <c r="FI257">
        <f>IF(FH257=MAX($FH$83:$FH$483),$A257,0)</f>
        <v>0</v>
      </c>
      <c r="FJ257">
        <f>IF(FE257&lt;FF257,$A257,B_MAX+1)</f>
        <v>174</v>
      </c>
      <c r="FK257" s="13">
        <f>IF(FB257=1,$FB$35,$FB$36)</f>
        <v>0</v>
      </c>
      <c r="FL257" s="13">
        <f>OCC_DAYS*$FB$41*R_NF_2023-FD257*MCD_SHARE_FREED*R_WAIT_2023</f>
        <v>151980.48282209205</v>
      </c>
      <c r="FM257">
        <f>IF($A257&lt;=$FB$45,1,0)</f>
        <v>0</v>
      </c>
      <c r="GB257">
        <f>IF($GB$31&lt;=$GB$32,IF($A257&lt;=$GB$7,1,2),IF($A257&lt;=RUNG_BEDS_2,2,1))</f>
        <v>1</v>
      </c>
      <c r="GC257" s="5">
        <f>MIN(1,MAX(0,$GB$26-($A257-1)))</f>
        <v>0</v>
      </c>
      <c r="GD257" s="5">
        <f>$GB$25*(GC257+(1-GC257)*$GB$16)</f>
        <v>0.0</v>
      </c>
      <c r="GE257" s="13">
        <f>GD257*($GB$6+ACUTE_MARGIN)</f>
        <v>0.0</v>
      </c>
      <c r="GF257" s="13">
        <f>IF(GB257=1,$GB$31,$GB$32)</f>
        <v>152394.16214437486</v>
      </c>
      <c r="GG257" s="13">
        <f>GE257-GF257</f>
        <v>-152394.16214437486</v>
      </c>
      <c r="GH257" s="13">
        <f>GH256+GG257</f>
        <v>11712386.4151511</v>
      </c>
      <c r="GI257">
        <f>IF(GH257=MAX($GH$83:$GH$483),$A257,0)</f>
        <v>0</v>
      </c>
      <c r="GJ257">
        <f>IF(GE257&lt;GF257,$A257,B_MAX+1)</f>
        <v>174</v>
      </c>
      <c r="GK257" s="13">
        <f>IF(GB257=1,$GB$35,$GB$36)</f>
        <v>0</v>
      </c>
      <c r="GL257" s="13">
        <f>OCC_DAYS*$GB$41*R_NF_2023-GD257*MCD_SHARE_FREED*R_WAIT_2023</f>
        <v>151980.48282209205</v>
      </c>
      <c r="GM257">
        <f>IF($A257&lt;=$GB$45,1,0)</f>
        <v>0</v>
      </c>
      <c r="HB257">
        <f>IF($HB$31&lt;=$HB$32,IF($A257&lt;=$HB$7,1,2),IF($A257&lt;=RUNG_BEDS_2,2,1))</f>
        <v>1</v>
      </c>
      <c r="HC257" s="5">
        <f>MIN(1,MAX(0,$HB$26-($A257-1)))</f>
        <v>0</v>
      </c>
      <c r="HD257" s="5">
        <f>$HB$25*(HC257+(1-HC257)*$HB$16)</f>
        <v>0.0</v>
      </c>
      <c r="HE257" s="13">
        <f>HD257*($HB$6+ACUTE_MARGIN)</f>
        <v>0.0</v>
      </c>
      <c r="HF257" s="13">
        <f>IF(HB257=1,$HB$31,$HB$32)</f>
        <v>152456.2970814058</v>
      </c>
      <c r="HG257" s="13">
        <f>HE257-HF257</f>
        <v>-152456.2970814058</v>
      </c>
      <c r="HH257" s="13">
        <f>HH256+HG257</f>
        <v>11701574.936107688</v>
      </c>
      <c r="HI257">
        <f>IF(HH257=MAX($HH$83:$HH$483),$A257,0)</f>
        <v>0</v>
      </c>
      <c r="HJ257">
        <f>IF(HE257&lt;HF257,$A257,B_MAX+1)</f>
        <v>174</v>
      </c>
      <c r="HK257" s="13">
        <f>IF(HB257=1,$HB$35,$HB$36)</f>
        <v>0</v>
      </c>
      <c r="HL257" s="13">
        <f>OCC_DAYS*$HB$41*R_NF_2023-HD257*MCD_SHARE_FREED*R_WAIT_2023</f>
        <v>151980.48282209205</v>
      </c>
      <c r="HM257">
        <f>IF($A257&lt;=$HB$45,1,0)</f>
        <v>0</v>
      </c>
      <c r="IB257">
        <f>IF($IB$31&lt;=$IB$32,IF($A257&lt;=$IB$7,1,2),IF($A257&lt;=RUNG_BEDS_2,2,1))</f>
        <v>1</v>
      </c>
      <c r="IC257" s="5">
        <f>MIN(1,MAX(0,$IB$26-($A257-1)))</f>
        <v>0</v>
      </c>
      <c r="ID257" s="5">
        <f>$IB$25*(IC257+(1-IC257)*$IB$16)</f>
        <v>0.0</v>
      </c>
      <c r="IE257" s="13">
        <f>ID257*($IB$6+ACUTE_MARGIN)</f>
        <v>0.0</v>
      </c>
      <c r="IF257" s="13">
        <f>IF(IB257=1,$IB$31,$IB$32)</f>
        <v>152734.9994534971</v>
      </c>
      <c r="IG257" s="13">
        <f>IE257-IF257</f>
        <v>-152734.9994534971</v>
      </c>
      <c r="IH257" s="13">
        <f>IH256+IG257</f>
        <v>11653080.72336373</v>
      </c>
      <c r="II257">
        <f>IF(IH257=MAX($IH$83:$IH$483),$A257,0)</f>
        <v>0</v>
      </c>
      <c r="IJ257">
        <f>IF(IE257&lt;IF257,$A257,B_MAX+1)</f>
        <v>174</v>
      </c>
      <c r="IK257" s="13">
        <f>IF(IB257=1,$IB$35,$IB$36)</f>
        <v>0</v>
      </c>
      <c r="IL257" s="13">
        <f>OCC_DAYS*$IB$41*R_NF_2023-ID257*MCD_SHARE_FREED*R_WAIT_2023</f>
        <v>151980.48282209205</v>
      </c>
      <c r="IM257">
        <f>IF($A257&lt;=$IB$45,1,0)</f>
        <v>0</v>
      </c>
      <c r="JB257">
        <f>IF($JB$31&lt;=$JB$32,IF($A257&lt;=$JB$7,1,2),IF($A257&lt;=RUNG_BEDS_2,2,1))</f>
        <v>1</v>
      </c>
      <c r="JC257" s="5">
        <f>MIN(1,MAX(0,$JB$26-($A257-1)))</f>
        <v>0</v>
      </c>
      <c r="JD257" s="5">
        <f>$JB$25*(JC257+(1-JC257)*$JB$16)</f>
        <v>0.0</v>
      </c>
      <c r="JE257" s="13">
        <f>JD257*($JB$6+ACUTE_MARGIN)</f>
        <v>0.0</v>
      </c>
      <c r="JF257" s="13">
        <f>IF(JB257=1,$JB$31,$JB$32)</f>
        <v>152394.16214437486</v>
      </c>
      <c r="JG257" s="13">
        <f>JE257-JF257</f>
        <v>-152394.16214437486</v>
      </c>
      <c r="JH257" s="13">
        <f>JH256+JG257</f>
        <v>11712386.4151511</v>
      </c>
      <c r="JI257">
        <f>IF(JH257=MAX($JH$83:$JH$483),$A257,0)</f>
        <v>0</v>
      </c>
      <c r="JJ257">
        <f>IF(JE257&lt;JF257,$A257,B_MAX+1)</f>
        <v>174</v>
      </c>
      <c r="JK257" s="13">
        <f>IF(JB257=1,$JB$35,$JB$36)</f>
        <v>0</v>
      </c>
      <c r="JL257" s="13">
        <f>OCC_DAYS*$JB$41*R_NF_2023-JD257*MCD_SHARE_FREED*R_WAIT_2023</f>
        <v>151980.48282209205</v>
      </c>
      <c r="JM257">
        <f>IF($A257&lt;=$JB$45,1,0)</f>
        <v>0</v>
      </c>
      <c r="KB257">
        <f>IF($KB$31&lt;=$KB$32,IF($A257&lt;=$KB$7,1,2),IF($A257&lt;=RUNG_BEDS_2,2,1))</f>
        <v>1</v>
      </c>
      <c r="KC257" s="5">
        <f>MIN(1,MAX(0,$KB$26-($A257-1)))</f>
        <v>1</v>
      </c>
      <c r="KD257" s="5">
        <f>$KB$25*(KC257+(1-KC257)*$KB$16)</f>
        <v>126.02661357340719</v>
      </c>
      <c r="KE257" s="13">
        <f>KD257*($KB$6+ACUTE_MARGIN)</f>
        <v>127286.87970914126</v>
      </c>
      <c r="KF257" s="13">
        <f>IF(KB257=1,$KB$31,$KB$32)</f>
        <v>152394.16214437486</v>
      </c>
      <c r="KG257" s="13">
        <f>KE257-KF257</f>
        <v>-25107.282435233603</v>
      </c>
      <c r="KH257" s="13">
        <f>KH256+KG257</f>
        <v>-4368667.14373066</v>
      </c>
      <c r="KI257">
        <f>IF(KH257=MAX($KH$83:$KH$483),$A257,0)</f>
        <v>0</v>
      </c>
      <c r="KJ257">
        <f>IF(KE257&lt;KF257,$A257,B_MAX+1)</f>
        <v>174</v>
      </c>
      <c r="KK257" s="13">
        <f>IF(KB257=1,$KB$35,$KB$36)</f>
        <v>0</v>
      </c>
      <c r="KL257" s="13">
        <f>OCC_DAYS*$KB$41*R_NF_2023-KD257*MCD_SHARE_FREED*R_WAIT_2023</f>
        <v>94673.82103225985</v>
      </c>
      <c r="KM257">
        <f>IF($A257&lt;=$KB$45,1,0)</f>
        <v>0</v>
      </c>
      <c r="LB257">
        <f>IF($LB$31&lt;=$LB$32,IF($A257&lt;=$LB$7,1,2),IF($A257&lt;=RUNG_BEDS_2,2,1))</f>
        <v>1</v>
      </c>
      <c r="LC257" s="5">
        <f>MIN(1,MAX(0,$LB$26-($A257-1)))</f>
        <v>1</v>
      </c>
      <c r="LD257" s="5">
        <f>$LB$25*(LC257+(1-LC257)*$LB$16)</f>
        <v>84.01774238227146</v>
      </c>
      <c r="LE257" s="13">
        <f>LD257*($LB$6+ACUTE_MARGIN)</f>
        <v>84857.91980609419</v>
      </c>
      <c r="LF257" s="13">
        <f>IF(LB257=1,$LB$31,$LB$32)</f>
        <v>152394.16214437486</v>
      </c>
      <c r="LG257" s="13">
        <f>LE257-LF257</f>
        <v>-67536.24233828067</v>
      </c>
      <c r="LH257" s="13">
        <f>LH256+LG257</f>
        <v>-11751306.166860886</v>
      </c>
      <c r="LI257">
        <f>IF(LH257=MAX($LH$83:$LH$483),$A257,0)</f>
        <v>0</v>
      </c>
      <c r="LJ257">
        <f>IF(LE257&lt;LF257,$A257,B_MAX+1)</f>
        <v>174</v>
      </c>
      <c r="LK257" s="13">
        <f>IF(LB257=1,$LB$35,$LB$36)</f>
        <v>0</v>
      </c>
      <c r="LL257" s="13">
        <f>OCC_DAYS*$LB$41*R_NF_2023-LD257*MCD_SHARE_FREED*R_WAIT_2023</f>
        <v>113776.04162887059</v>
      </c>
      <c r="LM257">
        <f>IF($A257&lt;=$LB$45,1,0)</f>
        <v>0</v>
      </c>
      <c r="MB257">
        <f>IF($MB$31&lt;=$MB$32,IF($A257&lt;=$MB$7,1,2),IF($A257&lt;=RUNG_BEDS_2,2,1))</f>
        <v>1</v>
      </c>
      <c r="MC257" s="5">
        <f>MIN(1,MAX(0,$MB$26-($A257-1)))</f>
        <v>0</v>
      </c>
      <c r="MD257" s="5">
        <f>$MB$25*(MC257+(1-MC257)*$MB$16)</f>
        <v>0.0</v>
      </c>
      <c r="ME257" s="13">
        <f>MD257*($MB$6+ACUTE_MARGIN)</f>
        <v>0.0</v>
      </c>
      <c r="MF257" s="13">
        <f>IF(MB257=1,$MB$31,$MB$32)</f>
        <v>152394.16214437486</v>
      </c>
      <c r="MG257" s="13">
        <f>ME257-MF257</f>
        <v>-152394.16214437486</v>
      </c>
      <c r="MH257" s="13">
        <f>MH256+MG257</f>
        <v>5825110.353352784</v>
      </c>
      <c r="MI257">
        <f>IF(MH257=MAX($MH$83:$MH$483),$A257,0)</f>
        <v>0</v>
      </c>
      <c r="MJ257">
        <f>IF(ME257&lt;MF257,$A257,B_MAX+1)</f>
        <v>174</v>
      </c>
      <c r="MK257" s="13">
        <f>IF(MB257=1,$MB$35,$MB$36)</f>
        <v>0</v>
      </c>
      <c r="ML257" s="13">
        <f>OCC_DAYS*$MB$41*R_NF_2023-MD257*MCD_SHARE_FREED*R_WAIT_2023</f>
        <v>151980.48282209205</v>
      </c>
      <c r="MM257">
        <f>IF($A257&lt;=$MB$45,1,0)</f>
        <v>0</v>
      </c>
      <c r="NB257">
        <f>IF($NB$31&lt;=$NB$32,IF($A257&lt;=$NB$7,1,2),IF($A257&lt;=RUNG_BEDS_2,2,1))</f>
        <v>1</v>
      </c>
      <c r="NC257" s="5">
        <f>MIN(1,MAX(0,$NB$26-($A257-1)))</f>
        <v>0</v>
      </c>
      <c r="ND257" s="5">
        <f>$NB$25*(NC257+(1-NC257)*$NB$16)</f>
        <v>63.013306786703595</v>
      </c>
      <c r="NE257" s="13">
        <f>ND257*($NB$6+ACUTE_MARGIN)</f>
        <v>63643.43985457063</v>
      </c>
      <c r="NF257" s="13">
        <f>IF(NB257=1,$NB$31,$NB$32)</f>
        <v>152394.16214437486</v>
      </c>
      <c r="NG257" s="13">
        <f>NE257-NF257</f>
        <v>-88750.72228980422</v>
      </c>
      <c r="NH257" s="13">
        <f>NH256+NG257</f>
        <v>13229102.292778306</v>
      </c>
      <c r="NI257">
        <f>IF(NH257=MAX($NH$83:$NH$483),$A257,0)</f>
        <v>0</v>
      </c>
      <c r="NJ257">
        <f>IF(NE257&lt;NF257,$A257,B_MAX+1)</f>
        <v>174</v>
      </c>
      <c r="NK257" s="13">
        <f>IF(NB257=1,$NB$35,$NB$36)</f>
        <v>0</v>
      </c>
      <c r="NL257" s="13">
        <f>OCC_DAYS*$NB$41*R_NF_2023-ND257*MCD_SHARE_FREED*R_WAIT_2023</f>
        <v>123327.15192717595</v>
      </c>
      <c r="NM257">
        <f>IF($A257&lt;=$NB$45,1,0)</f>
        <v>0</v>
      </c>
      <c r="OB257">
        <f>IF($OB$31&lt;=$OB$32,IF($A257&lt;=$OB$7,1,2),IF($A257&lt;=RUNG_BEDS_2,2,1))</f>
        <v>1</v>
      </c>
      <c r="OC257" s="5">
        <f>MIN(1,MAX(0,$OB$26-($A257-1)))</f>
        <v>0</v>
      </c>
      <c r="OD257" s="5">
        <f>$OB$25*(OC257+(1-OC257)*$OB$16)</f>
        <v>126.02661357340719</v>
      </c>
      <c r="OE257" s="13">
        <f>OD257*($OB$6+ACUTE_MARGIN)</f>
        <v>127286.87970914126</v>
      </c>
      <c r="OF257" s="13">
        <f>IF(OB257=1,$OB$31,$OB$32)</f>
        <v>152394.16214437486</v>
      </c>
      <c r="OG257" s="13">
        <f>OE257-OF257</f>
        <v>-25107.282435233603</v>
      </c>
      <c r="OH257" s="13">
        <f>OH256+OG257</f>
        <v>14745818.170405556</v>
      </c>
      <c r="OI257">
        <f>IF(OH257=MAX($OH$83:$OH$483),$A257,0)</f>
        <v>0</v>
      </c>
      <c r="OJ257">
        <f>IF(OE257&lt;OF257,$A257,B_MAX+1)</f>
        <v>174</v>
      </c>
      <c r="OK257" s="13">
        <f>IF(OB257=1,$OB$35,$OB$36)</f>
        <v>0</v>
      </c>
      <c r="OL257" s="13">
        <f>OCC_DAYS*$OB$41*R_NF_2023-OD257*MCD_SHARE_FREED*R_WAIT_2023</f>
        <v>94673.82103225985</v>
      </c>
      <c r="OM257">
        <f>IF($A257&lt;=$OB$45,1,0)</f>
        <v>0</v>
      </c>
    </row>
    <row r="258">
      <c r="A258" t="n">
        <v>175</v>
      </c>
      <c r="B258">
        <f>IF($B$31&lt;=$B$32,IF($A258&lt;=$B$7,1,2),IF($A258&lt;=RUNG_BEDS_2,2,1))</f>
        <v>1</v>
      </c>
      <c r="C258" s="5">
        <f>MIN(1,MAX(0,$B$26-($A258-1)))</f>
        <v>0</v>
      </c>
      <c r="D258" s="5">
        <f>$B$25*(C258+(1-C258)*$B$16)</f>
        <v>0.0</v>
      </c>
      <c r="E258" s="13">
        <f>D258*($B$6+ACUTE_MARGIN)</f>
        <v>0.0</v>
      </c>
      <c r="F258" s="13">
        <f>IF(B258=1,$B$31,$B$32)</f>
        <v>152394.16214437486</v>
      </c>
      <c r="G258" s="13">
        <f>E258-F258</f>
        <v>-152394.16214437486</v>
      </c>
      <c r="H258" s="13">
        <f>H257+G258</f>
        <v>11559992.253006727</v>
      </c>
      <c r="I258">
        <f>IF(H258=MAX($H$83:$H$483),$A258,0)</f>
        <v>0</v>
      </c>
      <c r="J258">
        <f>IF(E258&lt;F258,$A258,B_MAX+1)</f>
        <v>175</v>
      </c>
      <c r="K258" s="13">
        <f>IF(B258=1,$B$35,$B$36)</f>
        <v>0</v>
      </c>
      <c r="L258" s="13">
        <f>OCC_DAYS*$B$41*R_NF_2023-D258*MCD_SHARE_FREED*R_WAIT_2023</f>
        <v>151980.48282209205</v>
      </c>
      <c r="M258">
        <f>IF($A258&lt;=$B$45,1,0)</f>
        <v>0</v>
      </c>
      <c r="AB258">
        <f>IF($AB$31&lt;=$AB$32,IF($A258&lt;=$AB$7,1,2),IF($A258&lt;=RUNG_BEDS_2,2,1))</f>
        <v>1</v>
      </c>
      <c r="AC258" s="5">
        <f>MIN(1,MAX(0,$AB$26-($A258-1)))</f>
        <v>0</v>
      </c>
      <c r="AD258" s="5">
        <f>$AB$25*(AC258+(1-AC258)*$AB$16)</f>
        <v>0.0</v>
      </c>
      <c r="AE258" s="13">
        <f>AD258*($AB$6+ACUTE_MARGIN)</f>
        <v>0.0</v>
      </c>
      <c r="AF258" s="13">
        <f>IF(AB258=1,$AB$31,$AB$32)</f>
        <v>152394.16214437486</v>
      </c>
      <c r="AG258" s="13">
        <f>AE258-AF258</f>
        <v>-152394.16214437486</v>
      </c>
      <c r="AH258" s="13">
        <f>AH257+AG258</f>
        <v>-5851222.092543089</v>
      </c>
      <c r="AI258">
        <f>IF(AH258=MAX($AH$83:$AH$483),$A258,0)</f>
        <v>0</v>
      </c>
      <c r="AJ258">
        <f>IF(AE258&lt;AF258,$A258,B_MAX+1)</f>
        <v>175</v>
      </c>
      <c r="AK258" s="13">
        <f>IF(AB258=1,$AB$35,$AB$36)</f>
        <v>0</v>
      </c>
      <c r="AL258" s="13">
        <f>OCC_DAYS*$AB$41*R_NF_2023-AD258*MCD_SHARE_FREED*R_WAIT_2023</f>
        <v>151980.48282209205</v>
      </c>
      <c r="AM258">
        <f>IF($A258&lt;=$AB$45,1,0)</f>
        <v>0</v>
      </c>
      <c r="BB258">
        <f>IF($BB$31&lt;=$BB$32,IF($A258&lt;=$BB$7,1,2),IF($A258&lt;=RUNG_BEDS_2,2,1))</f>
        <v>1</v>
      </c>
      <c r="BC258" s="5">
        <f>MIN(1,MAX(0,$BB$26-($A258-1)))</f>
        <v>0</v>
      </c>
      <c r="BD258" s="5">
        <f>$BB$25*(BC258+(1-BC258)*$BB$16)</f>
        <v>0.0</v>
      </c>
      <c r="BE258" s="13">
        <f>BD258*($BB$6+ACUTE_MARGIN)</f>
        <v>0.0</v>
      </c>
      <c r="BF258" s="13">
        <f>IF(BB258=1,$BB$31,$BB$32)</f>
        <v>152394.16214437486</v>
      </c>
      <c r="BG258" s="13">
        <f>BE258-BF258</f>
        <v>-152394.16214437486</v>
      </c>
      <c r="BH258" s="13">
        <f>BH257+BG258</f>
        <v>28971206.59855639</v>
      </c>
      <c r="BI258">
        <f>IF(BH258=MAX($BH$83:$BH$483),$A258,0)</f>
        <v>0</v>
      </c>
      <c r="BJ258">
        <f>IF(BE258&lt;BF258,$A258,B_MAX+1)</f>
        <v>175</v>
      </c>
      <c r="BK258" s="13">
        <f>IF(BB258=1,$BB$35,$BB$36)</f>
        <v>0</v>
      </c>
      <c r="BL258" s="13">
        <f>OCC_DAYS*$BB$41*R_NF_2023-BD258*MCD_SHARE_FREED*R_WAIT_2023</f>
        <v>151980.48282209205</v>
      </c>
      <c r="BM258">
        <f>IF($A258&lt;=$BB$45,1,0)</f>
        <v>0</v>
      </c>
      <c r="CB258">
        <f>IF($CB$31&lt;=$CB$32,IF($A258&lt;=$CB$7,1,2),IF($A258&lt;=RUNG_BEDS_2,2,1))</f>
        <v>2</v>
      </c>
      <c r="CC258" s="5">
        <f>MIN(1,MAX(0,$CB$26-($A258-1)))</f>
        <v>0</v>
      </c>
      <c r="CD258" s="5">
        <f>$CB$25*(CC258+(1-CC258)*$CB$16)</f>
        <v>0.0</v>
      </c>
      <c r="CE258" s="13">
        <f>CD258*($CB$6+ACUTE_MARGIN)</f>
        <v>0.0</v>
      </c>
      <c r="CF258" s="13">
        <f>IF(CB258=1,$CB$31,$CB$32)</f>
        <v>160718.36940738867</v>
      </c>
      <c r="CG258" s="13">
        <f>CE258-CF258</f>
        <v>-160718.36940738867</v>
      </c>
      <c r="CH258" s="13">
        <f>CH257+CG258</f>
        <v>10103255.981979204</v>
      </c>
      <c r="CI258">
        <f>IF(CH258=MAX($CH$83:$CH$483),$A258,0)</f>
        <v>0</v>
      </c>
      <c r="CJ258">
        <f>IF(CE258&lt;CF258,$A258,B_MAX+1)</f>
        <v>175</v>
      </c>
      <c r="CK258" s="13">
        <f>IF(CB258=1,$CB$35,$CB$36)</f>
        <v>1560.1194073886782</v>
      </c>
      <c r="CL258" s="13">
        <f>OCC_DAYS*$CB$41*R_NF_2023-CD258*MCD_SHARE_FREED*R_WAIT_2023</f>
        <v>151980.48282209205</v>
      </c>
      <c r="CM258">
        <f>IF($A258&lt;=$CB$45,1,0)</f>
        <v>0</v>
      </c>
      <c r="DB258">
        <f>IF($DB$31&lt;=$DB$32,IF($A258&lt;=$DB$7,1,2),IF($A258&lt;=RUNG_BEDS_2,2,1))</f>
        <v>1</v>
      </c>
      <c r="DC258" s="5">
        <f>MIN(1,MAX(0,$DB$26-($A258-1)))</f>
        <v>0</v>
      </c>
      <c r="DD258" s="5">
        <f>$DB$25*(DC258+(1-DC258)*$DB$16)</f>
        <v>0.0</v>
      </c>
      <c r="DE258" s="13">
        <f>DD258*($DB$6+ACUTE_MARGIN)</f>
        <v>0.0</v>
      </c>
      <c r="DF258" s="13">
        <f>IF(DB258=1,$DB$31,$DB$32)</f>
        <v>152394.16214437486</v>
      </c>
      <c r="DG258" s="13">
        <f>DE258-DF258</f>
        <v>-152394.16214437486</v>
      </c>
      <c r="DH258" s="13">
        <f>DH257+DG258</f>
        <v>11559992.253006727</v>
      </c>
      <c r="DI258">
        <f>IF(DH258=MAX($DH$83:$DH$483),$A258,0)</f>
        <v>0</v>
      </c>
      <c r="DJ258">
        <f>IF(DE258&lt;DF258,$A258,B_MAX+1)</f>
        <v>175</v>
      </c>
      <c r="DK258" s="13">
        <f>IF(DB258=1,$DB$35,$DB$36)</f>
        <v>0</v>
      </c>
      <c r="DL258" s="13">
        <f>OCC_DAYS*$DB$41*R_NF_2023-DD258*MCD_SHARE_FREED*R_WAIT_2023</f>
        <v>151980.48282209205</v>
      </c>
      <c r="DM258">
        <f>IF($A258&lt;=$DB$45,1,0)</f>
        <v>0</v>
      </c>
      <c r="EB258">
        <f>IF($EB$31&lt;=$EB$32,IF($A258&lt;=$EB$7,1,2),IF($A258&lt;=RUNG_BEDS_2,2,1))</f>
        <v>1</v>
      </c>
      <c r="EC258" s="5">
        <f>MIN(1,MAX(0,$EB$26-($A258-1)))</f>
        <v>0</v>
      </c>
      <c r="ED258" s="5">
        <f>$EB$25*(EC258+(1-EC258)*$EB$16)</f>
        <v>0.0</v>
      </c>
      <c r="EE258" s="13">
        <f>ED258*($EB$6+ACUTE_MARGIN)</f>
        <v>0.0</v>
      </c>
      <c r="EF258" s="13">
        <f>IF(EB258=1,$EB$31,$EB$32)</f>
        <v>152394.16214437486</v>
      </c>
      <c r="EG258" s="13">
        <f>EE258-EF258</f>
        <v>-152394.16214437486</v>
      </c>
      <c r="EH258" s="13">
        <f>EH257+EG258</f>
        <v>11559992.253006727</v>
      </c>
      <c r="EI258">
        <f>IF(EH258=MAX($EH$83:$EH$483),$A258,0)</f>
        <v>0</v>
      </c>
      <c r="EJ258">
        <f>IF(EE258&lt;EF258,$A258,B_MAX+1)</f>
        <v>175</v>
      </c>
      <c r="EK258" s="13">
        <f>IF(EB258=1,$EB$35,$EB$36)</f>
        <v>0</v>
      </c>
      <c r="EL258" s="13">
        <f>OCC_DAYS*$EB$41*R_NF_2023-ED258*MCD_SHARE_FREED*R_WAIT_2023</f>
        <v>50660.16094069735</v>
      </c>
      <c r="EM258">
        <f>IF($A258&lt;=$EB$45,1,0)</f>
        <v>0</v>
      </c>
      <c r="FB258">
        <f>IF($FB$31&lt;=$FB$32,IF($A258&lt;=$FB$7,1,2),IF($A258&lt;=RUNG_BEDS_2,2,1))</f>
        <v>1</v>
      </c>
      <c r="FC258" s="5">
        <f>MIN(1,MAX(0,$FB$26-($A258-1)))</f>
        <v>0</v>
      </c>
      <c r="FD258" s="5">
        <f>$FB$25*(FC258+(1-FC258)*$FB$16)</f>
        <v>0.0</v>
      </c>
      <c r="FE258" s="13">
        <f>FD258*($FB$6+ACUTE_MARGIN)</f>
        <v>0.0</v>
      </c>
      <c r="FF258" s="13">
        <f>IF(FB258=1,$FB$31,$FB$32)</f>
        <v>156636.04979437485</v>
      </c>
      <c r="FG258" s="13">
        <f>FE258-FF258</f>
        <v>-156636.04979437485</v>
      </c>
      <c r="FH258" s="13">
        <f>FH257+FG258</f>
        <v>10817661.914256614</v>
      </c>
      <c r="FI258">
        <f>IF(FH258=MAX($FH$83:$FH$483),$A258,0)</f>
        <v>0</v>
      </c>
      <c r="FJ258">
        <f>IF(FE258&lt;FF258,$A258,B_MAX+1)</f>
        <v>175</v>
      </c>
      <c r="FK258" s="13">
        <f>IF(FB258=1,$FB$35,$FB$36)</f>
        <v>0</v>
      </c>
      <c r="FL258" s="13">
        <f>OCC_DAYS*$FB$41*R_NF_2023-FD258*MCD_SHARE_FREED*R_WAIT_2023</f>
        <v>151980.48282209205</v>
      </c>
      <c r="FM258">
        <f>IF($A258&lt;=$FB$45,1,0)</f>
        <v>0</v>
      </c>
      <c r="GB258">
        <f>IF($GB$31&lt;=$GB$32,IF($A258&lt;=$GB$7,1,2),IF($A258&lt;=RUNG_BEDS_2,2,1))</f>
        <v>1</v>
      </c>
      <c r="GC258" s="5">
        <f>MIN(1,MAX(0,$GB$26-($A258-1)))</f>
        <v>0</v>
      </c>
      <c r="GD258" s="5">
        <f>$GB$25*(GC258+(1-GC258)*$GB$16)</f>
        <v>0.0</v>
      </c>
      <c r="GE258" s="13">
        <f>GD258*($GB$6+ACUTE_MARGIN)</f>
        <v>0.0</v>
      </c>
      <c r="GF258" s="13">
        <f>IF(GB258=1,$GB$31,$GB$32)</f>
        <v>152394.16214437486</v>
      </c>
      <c r="GG258" s="13">
        <f>GE258-GF258</f>
        <v>-152394.16214437486</v>
      </c>
      <c r="GH258" s="13">
        <f>GH257+GG258</f>
        <v>11559992.253006727</v>
      </c>
      <c r="GI258">
        <f>IF(GH258=MAX($GH$83:$GH$483),$A258,0)</f>
        <v>0</v>
      </c>
      <c r="GJ258">
        <f>IF(GE258&lt;GF258,$A258,B_MAX+1)</f>
        <v>175</v>
      </c>
      <c r="GK258" s="13">
        <f>IF(GB258=1,$GB$35,$GB$36)</f>
        <v>0</v>
      </c>
      <c r="GL258" s="13">
        <f>OCC_DAYS*$GB$41*R_NF_2023-GD258*MCD_SHARE_FREED*R_WAIT_2023</f>
        <v>151980.48282209205</v>
      </c>
      <c r="GM258">
        <f>IF($A258&lt;=$GB$45,1,0)</f>
        <v>0</v>
      </c>
      <c r="HB258">
        <f>IF($HB$31&lt;=$HB$32,IF($A258&lt;=$HB$7,1,2),IF($A258&lt;=RUNG_BEDS_2,2,1))</f>
        <v>1</v>
      </c>
      <c r="HC258" s="5">
        <f>MIN(1,MAX(0,$HB$26-($A258-1)))</f>
        <v>0</v>
      </c>
      <c r="HD258" s="5">
        <f>$HB$25*(HC258+(1-HC258)*$HB$16)</f>
        <v>0.0</v>
      </c>
      <c r="HE258" s="13">
        <f>HD258*($HB$6+ACUTE_MARGIN)</f>
        <v>0.0</v>
      </c>
      <c r="HF258" s="13">
        <f>IF(HB258=1,$HB$31,$HB$32)</f>
        <v>152456.2970814058</v>
      </c>
      <c r="HG258" s="13">
        <f>HE258-HF258</f>
        <v>-152456.2970814058</v>
      </c>
      <c r="HH258" s="13">
        <f>HH257+HG258</f>
        <v>11549118.639026282</v>
      </c>
      <c r="HI258">
        <f>IF(HH258=MAX($HH$83:$HH$483),$A258,0)</f>
        <v>0</v>
      </c>
      <c r="HJ258">
        <f>IF(HE258&lt;HF258,$A258,B_MAX+1)</f>
        <v>175</v>
      </c>
      <c r="HK258" s="13">
        <f>IF(HB258=1,$HB$35,$HB$36)</f>
        <v>0</v>
      </c>
      <c r="HL258" s="13">
        <f>OCC_DAYS*$HB$41*R_NF_2023-HD258*MCD_SHARE_FREED*R_WAIT_2023</f>
        <v>151980.48282209205</v>
      </c>
      <c r="HM258">
        <f>IF($A258&lt;=$HB$45,1,0)</f>
        <v>0</v>
      </c>
      <c r="IB258">
        <f>IF($IB$31&lt;=$IB$32,IF($A258&lt;=$IB$7,1,2),IF($A258&lt;=RUNG_BEDS_2,2,1))</f>
        <v>1</v>
      </c>
      <c r="IC258" s="5">
        <f>MIN(1,MAX(0,$IB$26-($A258-1)))</f>
        <v>0</v>
      </c>
      <c r="ID258" s="5">
        <f>$IB$25*(IC258+(1-IC258)*$IB$16)</f>
        <v>0.0</v>
      </c>
      <c r="IE258" s="13">
        <f>ID258*($IB$6+ACUTE_MARGIN)</f>
        <v>0.0</v>
      </c>
      <c r="IF258" s="13">
        <f>IF(IB258=1,$IB$31,$IB$32)</f>
        <v>152734.9994534971</v>
      </c>
      <c r="IG258" s="13">
        <f>IE258-IF258</f>
        <v>-152734.9994534971</v>
      </c>
      <c r="IH258" s="13">
        <f>IH257+IG258</f>
        <v>11500345.723910233</v>
      </c>
      <c r="II258">
        <f>IF(IH258=MAX($IH$83:$IH$483),$A258,0)</f>
        <v>0</v>
      </c>
      <c r="IJ258">
        <f>IF(IE258&lt;IF258,$A258,B_MAX+1)</f>
        <v>175</v>
      </c>
      <c r="IK258" s="13">
        <f>IF(IB258=1,$IB$35,$IB$36)</f>
        <v>0</v>
      </c>
      <c r="IL258" s="13">
        <f>OCC_DAYS*$IB$41*R_NF_2023-ID258*MCD_SHARE_FREED*R_WAIT_2023</f>
        <v>151980.48282209205</v>
      </c>
      <c r="IM258">
        <f>IF($A258&lt;=$IB$45,1,0)</f>
        <v>0</v>
      </c>
      <c r="JB258">
        <f>IF($JB$31&lt;=$JB$32,IF($A258&lt;=$JB$7,1,2),IF($A258&lt;=RUNG_BEDS_2,2,1))</f>
        <v>1</v>
      </c>
      <c r="JC258" s="5">
        <f>MIN(1,MAX(0,$JB$26-($A258-1)))</f>
        <v>0</v>
      </c>
      <c r="JD258" s="5">
        <f>$JB$25*(JC258+(1-JC258)*$JB$16)</f>
        <v>0.0</v>
      </c>
      <c r="JE258" s="13">
        <f>JD258*($JB$6+ACUTE_MARGIN)</f>
        <v>0.0</v>
      </c>
      <c r="JF258" s="13">
        <f>IF(JB258=1,$JB$31,$JB$32)</f>
        <v>152394.16214437486</v>
      </c>
      <c r="JG258" s="13">
        <f>JE258-JF258</f>
        <v>-152394.16214437486</v>
      </c>
      <c r="JH258" s="13">
        <f>JH257+JG258</f>
        <v>11559992.253006727</v>
      </c>
      <c r="JI258">
        <f>IF(JH258=MAX($JH$83:$JH$483),$A258,0)</f>
        <v>0</v>
      </c>
      <c r="JJ258">
        <f>IF(JE258&lt;JF258,$A258,B_MAX+1)</f>
        <v>175</v>
      </c>
      <c r="JK258" s="13">
        <f>IF(JB258=1,$JB$35,$JB$36)</f>
        <v>0</v>
      </c>
      <c r="JL258" s="13">
        <f>OCC_DAYS*$JB$41*R_NF_2023-JD258*MCD_SHARE_FREED*R_WAIT_2023</f>
        <v>151980.48282209205</v>
      </c>
      <c r="JM258">
        <f>IF($A258&lt;=$JB$45,1,0)</f>
        <v>0</v>
      </c>
      <c r="KB258">
        <f>IF($KB$31&lt;=$KB$32,IF($A258&lt;=$KB$7,1,2),IF($A258&lt;=RUNG_BEDS_2,2,1))</f>
        <v>1</v>
      </c>
      <c r="KC258" s="5">
        <f>MIN(1,MAX(0,$KB$26-($A258-1)))</f>
        <v>1</v>
      </c>
      <c r="KD258" s="5">
        <f>$KB$25*(KC258+(1-KC258)*$KB$16)</f>
        <v>126.02661357340719</v>
      </c>
      <c r="KE258" s="13">
        <f>KD258*($KB$6+ACUTE_MARGIN)</f>
        <v>127286.87970914126</v>
      </c>
      <c r="KF258" s="13">
        <f>IF(KB258=1,$KB$31,$KB$32)</f>
        <v>152394.16214437486</v>
      </c>
      <c r="KG258" s="13">
        <f>KE258-KF258</f>
        <v>-25107.282435233603</v>
      </c>
      <c r="KH258" s="13">
        <f>KH257+KG258</f>
        <v>-4393774.426165894</v>
      </c>
      <c r="KI258">
        <f>IF(KH258=MAX($KH$83:$KH$483),$A258,0)</f>
        <v>0</v>
      </c>
      <c r="KJ258">
        <f>IF(KE258&lt;KF258,$A258,B_MAX+1)</f>
        <v>175</v>
      </c>
      <c r="KK258" s="13">
        <f>IF(KB258=1,$KB$35,$KB$36)</f>
        <v>0</v>
      </c>
      <c r="KL258" s="13">
        <f>OCC_DAYS*$KB$41*R_NF_2023-KD258*MCD_SHARE_FREED*R_WAIT_2023</f>
        <v>94673.82103225985</v>
      </c>
      <c r="KM258">
        <f>IF($A258&lt;=$KB$45,1,0)</f>
        <v>0</v>
      </c>
      <c r="LB258">
        <f>IF($LB$31&lt;=$LB$32,IF($A258&lt;=$LB$7,1,2),IF($A258&lt;=RUNG_BEDS_2,2,1))</f>
        <v>1</v>
      </c>
      <c r="LC258" s="5">
        <f>MIN(1,MAX(0,$LB$26-($A258-1)))</f>
        <v>1</v>
      </c>
      <c r="LD258" s="5">
        <f>$LB$25*(LC258+(1-LC258)*$LB$16)</f>
        <v>84.01774238227146</v>
      </c>
      <c r="LE258" s="13">
        <f>LD258*($LB$6+ACUTE_MARGIN)</f>
        <v>84857.91980609419</v>
      </c>
      <c r="LF258" s="13">
        <f>IF(LB258=1,$LB$31,$LB$32)</f>
        <v>152394.16214437486</v>
      </c>
      <c r="LG258" s="13">
        <f>LE258-LF258</f>
        <v>-67536.24233828067</v>
      </c>
      <c r="LH258" s="13">
        <f>LH257+LG258</f>
        <v>-11818842.409199167</v>
      </c>
      <c r="LI258">
        <f>IF(LH258=MAX($LH$83:$LH$483),$A258,0)</f>
        <v>0</v>
      </c>
      <c r="LJ258">
        <f>IF(LE258&lt;LF258,$A258,B_MAX+1)</f>
        <v>175</v>
      </c>
      <c r="LK258" s="13">
        <f>IF(LB258=1,$LB$35,$LB$36)</f>
        <v>0</v>
      </c>
      <c r="LL258" s="13">
        <f>OCC_DAYS*$LB$41*R_NF_2023-LD258*MCD_SHARE_FREED*R_WAIT_2023</f>
        <v>113776.04162887059</v>
      </c>
      <c r="LM258">
        <f>IF($A258&lt;=$LB$45,1,0)</f>
        <v>0</v>
      </c>
      <c r="MB258">
        <f>IF($MB$31&lt;=$MB$32,IF($A258&lt;=$MB$7,1,2),IF($A258&lt;=RUNG_BEDS_2,2,1))</f>
        <v>1</v>
      </c>
      <c r="MC258" s="5">
        <f>MIN(1,MAX(0,$MB$26-($A258-1)))</f>
        <v>0</v>
      </c>
      <c r="MD258" s="5">
        <f>$MB$25*(MC258+(1-MC258)*$MB$16)</f>
        <v>0.0</v>
      </c>
      <c r="ME258" s="13">
        <f>MD258*($MB$6+ACUTE_MARGIN)</f>
        <v>0.0</v>
      </c>
      <c r="MF258" s="13">
        <f>IF(MB258=1,$MB$31,$MB$32)</f>
        <v>152394.16214437486</v>
      </c>
      <c r="MG258" s="13">
        <f>ME258-MF258</f>
        <v>-152394.16214437486</v>
      </c>
      <c r="MH258" s="13">
        <f>MH257+MG258</f>
        <v>5672716.191208409</v>
      </c>
      <c r="MI258">
        <f>IF(MH258=MAX($MH$83:$MH$483),$A258,0)</f>
        <v>0</v>
      </c>
      <c r="MJ258">
        <f>IF(ME258&lt;MF258,$A258,B_MAX+1)</f>
        <v>175</v>
      </c>
      <c r="MK258" s="13">
        <f>IF(MB258=1,$MB$35,$MB$36)</f>
        <v>0</v>
      </c>
      <c r="ML258" s="13">
        <f>OCC_DAYS*$MB$41*R_NF_2023-MD258*MCD_SHARE_FREED*R_WAIT_2023</f>
        <v>151980.48282209205</v>
      </c>
      <c r="MM258">
        <f>IF($A258&lt;=$MB$45,1,0)</f>
        <v>0</v>
      </c>
      <c r="NB258">
        <f>IF($NB$31&lt;=$NB$32,IF($A258&lt;=$NB$7,1,2),IF($A258&lt;=RUNG_BEDS_2,2,1))</f>
        <v>1</v>
      </c>
      <c r="NC258" s="5">
        <f>MIN(1,MAX(0,$NB$26-($A258-1)))</f>
        <v>0</v>
      </c>
      <c r="ND258" s="5">
        <f>$NB$25*(NC258+(1-NC258)*$NB$16)</f>
        <v>63.013306786703595</v>
      </c>
      <c r="NE258" s="13">
        <f>ND258*($NB$6+ACUTE_MARGIN)</f>
        <v>63643.43985457063</v>
      </c>
      <c r="NF258" s="13">
        <f>IF(NB258=1,$NB$31,$NB$32)</f>
        <v>152394.16214437486</v>
      </c>
      <c r="NG258" s="13">
        <f>NE258-NF258</f>
        <v>-88750.72228980422</v>
      </c>
      <c r="NH258" s="13">
        <f>NH257+NG258</f>
        <v>13140351.570488501</v>
      </c>
      <c r="NI258">
        <f>IF(NH258=MAX($NH$83:$NH$483),$A258,0)</f>
        <v>0</v>
      </c>
      <c r="NJ258">
        <f>IF(NE258&lt;NF258,$A258,B_MAX+1)</f>
        <v>175</v>
      </c>
      <c r="NK258" s="13">
        <f>IF(NB258=1,$NB$35,$NB$36)</f>
        <v>0</v>
      </c>
      <c r="NL258" s="13">
        <f>OCC_DAYS*$NB$41*R_NF_2023-ND258*MCD_SHARE_FREED*R_WAIT_2023</f>
        <v>123327.15192717595</v>
      </c>
      <c r="NM258">
        <f>IF($A258&lt;=$NB$45,1,0)</f>
        <v>0</v>
      </c>
      <c r="OB258">
        <f>IF($OB$31&lt;=$OB$32,IF($A258&lt;=$OB$7,1,2),IF($A258&lt;=RUNG_BEDS_2,2,1))</f>
        <v>1</v>
      </c>
      <c r="OC258" s="5">
        <f>MIN(1,MAX(0,$OB$26-($A258-1)))</f>
        <v>0</v>
      </c>
      <c r="OD258" s="5">
        <f>$OB$25*(OC258+(1-OC258)*$OB$16)</f>
        <v>126.02661357340719</v>
      </c>
      <c r="OE258" s="13">
        <f>OD258*($OB$6+ACUTE_MARGIN)</f>
        <v>127286.87970914126</v>
      </c>
      <c r="OF258" s="13">
        <f>IF(OB258=1,$OB$31,$OB$32)</f>
        <v>152394.16214437486</v>
      </c>
      <c r="OG258" s="13">
        <f>OE258-OF258</f>
        <v>-25107.282435233603</v>
      </c>
      <c r="OH258" s="13">
        <f>OH257+OG258</f>
        <v>14720710.887970323</v>
      </c>
      <c r="OI258">
        <f>IF(OH258=MAX($OH$83:$OH$483),$A258,0)</f>
        <v>0</v>
      </c>
      <c r="OJ258">
        <f>IF(OE258&lt;OF258,$A258,B_MAX+1)</f>
        <v>175</v>
      </c>
      <c r="OK258" s="13">
        <f>IF(OB258=1,$OB$35,$OB$36)</f>
        <v>0</v>
      </c>
      <c r="OL258" s="13">
        <f>OCC_DAYS*$OB$41*R_NF_2023-OD258*MCD_SHARE_FREED*R_WAIT_2023</f>
        <v>94673.82103225985</v>
      </c>
      <c r="OM258">
        <f>IF($A258&lt;=$OB$45,1,0)</f>
        <v>0</v>
      </c>
    </row>
    <row r="259">
      <c r="A259" t="n">
        <v>176</v>
      </c>
      <c r="B259">
        <f>IF($B$31&lt;=$B$32,IF($A259&lt;=$B$7,1,2),IF($A259&lt;=RUNG_BEDS_2,2,1))</f>
        <v>1</v>
      </c>
      <c r="C259" s="5">
        <f>MIN(1,MAX(0,$B$26-($A259-1)))</f>
        <v>0</v>
      </c>
      <c r="D259" s="5">
        <f>$B$25*(C259+(1-C259)*$B$16)</f>
        <v>0.0</v>
      </c>
      <c r="E259" s="13">
        <f>D259*($B$6+ACUTE_MARGIN)</f>
        <v>0.0</v>
      </c>
      <c r="F259" s="13">
        <f>IF(B259=1,$B$31,$B$32)</f>
        <v>152394.16214437486</v>
      </c>
      <c r="G259" s="13">
        <f>E259-F259</f>
        <v>-152394.16214437486</v>
      </c>
      <c r="H259" s="13">
        <f>H258+G259</f>
        <v>11407598.090862352</v>
      </c>
      <c r="I259">
        <f>IF(H259=MAX($H$83:$H$483),$A259,0)</f>
        <v>0</v>
      </c>
      <c r="J259">
        <f>IF(E259&lt;F259,$A259,B_MAX+1)</f>
        <v>176</v>
      </c>
      <c r="K259" s="13">
        <f>IF(B259=1,$B$35,$B$36)</f>
        <v>0</v>
      </c>
      <c r="L259" s="13">
        <f>OCC_DAYS*$B$41*R_NF_2023-D259*MCD_SHARE_FREED*R_WAIT_2023</f>
        <v>151980.48282209205</v>
      </c>
      <c r="M259">
        <f>IF($A259&lt;=$B$45,1,0)</f>
        <v>0</v>
      </c>
      <c r="AB259">
        <f>IF($AB$31&lt;=$AB$32,IF($A259&lt;=$AB$7,1,2),IF($A259&lt;=RUNG_BEDS_2,2,1))</f>
        <v>1</v>
      </c>
      <c r="AC259" s="5">
        <f>MIN(1,MAX(0,$AB$26-($A259-1)))</f>
        <v>0</v>
      </c>
      <c r="AD259" s="5">
        <f>$AB$25*(AC259+(1-AC259)*$AB$16)</f>
        <v>0.0</v>
      </c>
      <c r="AE259" s="13">
        <f>AD259*($AB$6+ACUTE_MARGIN)</f>
        <v>0.0</v>
      </c>
      <c r="AF259" s="13">
        <f>IF(AB259=1,$AB$31,$AB$32)</f>
        <v>152394.16214437486</v>
      </c>
      <c r="AG259" s="13">
        <f>AE259-AF259</f>
        <v>-152394.16214437486</v>
      </c>
      <c r="AH259" s="13">
        <f>AH258+AG259</f>
        <v>-6003616.254687464</v>
      </c>
      <c r="AI259">
        <f>IF(AH259=MAX($AH$83:$AH$483),$A259,0)</f>
        <v>0</v>
      </c>
      <c r="AJ259">
        <f>IF(AE259&lt;AF259,$A259,B_MAX+1)</f>
        <v>176</v>
      </c>
      <c r="AK259" s="13">
        <f>IF(AB259=1,$AB$35,$AB$36)</f>
        <v>0</v>
      </c>
      <c r="AL259" s="13">
        <f>OCC_DAYS*$AB$41*R_NF_2023-AD259*MCD_SHARE_FREED*R_WAIT_2023</f>
        <v>151980.48282209205</v>
      </c>
      <c r="AM259">
        <f>IF($A259&lt;=$AB$45,1,0)</f>
        <v>0</v>
      </c>
      <c r="BB259">
        <f>IF($BB$31&lt;=$BB$32,IF($A259&lt;=$BB$7,1,2),IF($A259&lt;=RUNG_BEDS_2,2,1))</f>
        <v>1</v>
      </c>
      <c r="BC259" s="5">
        <f>MIN(1,MAX(0,$BB$26-($A259-1)))</f>
        <v>0</v>
      </c>
      <c r="BD259" s="5">
        <f>$BB$25*(BC259+(1-BC259)*$BB$16)</f>
        <v>0.0</v>
      </c>
      <c r="BE259" s="13">
        <f>BD259*($BB$6+ACUTE_MARGIN)</f>
        <v>0.0</v>
      </c>
      <c r="BF259" s="13">
        <f>IF(BB259=1,$BB$31,$BB$32)</f>
        <v>152394.16214437486</v>
      </c>
      <c r="BG259" s="13">
        <f>BE259-BF259</f>
        <v>-152394.16214437486</v>
      </c>
      <c r="BH259" s="13">
        <f>BH258+BG259</f>
        <v>28818812.436412014</v>
      </c>
      <c r="BI259">
        <f>IF(BH259=MAX($BH$83:$BH$483),$A259,0)</f>
        <v>0</v>
      </c>
      <c r="BJ259">
        <f>IF(BE259&lt;BF259,$A259,B_MAX+1)</f>
        <v>176</v>
      </c>
      <c r="BK259" s="13">
        <f>IF(BB259=1,$BB$35,$BB$36)</f>
        <v>0</v>
      </c>
      <c r="BL259" s="13">
        <f>OCC_DAYS*$BB$41*R_NF_2023-BD259*MCD_SHARE_FREED*R_WAIT_2023</f>
        <v>151980.48282209205</v>
      </c>
      <c r="BM259">
        <f>IF($A259&lt;=$BB$45,1,0)</f>
        <v>0</v>
      </c>
      <c r="CB259">
        <f>IF($CB$31&lt;=$CB$32,IF($A259&lt;=$CB$7,1,2),IF($A259&lt;=RUNG_BEDS_2,2,1))</f>
        <v>2</v>
      </c>
      <c r="CC259" s="5">
        <f>MIN(1,MAX(0,$CB$26-($A259-1)))</f>
        <v>0</v>
      </c>
      <c r="CD259" s="5">
        <f>$CB$25*(CC259+(1-CC259)*$CB$16)</f>
        <v>0.0</v>
      </c>
      <c r="CE259" s="13">
        <f>CD259*($CB$6+ACUTE_MARGIN)</f>
        <v>0.0</v>
      </c>
      <c r="CF259" s="13">
        <f>IF(CB259=1,$CB$31,$CB$32)</f>
        <v>160718.36940738867</v>
      </c>
      <c r="CG259" s="13">
        <f>CE259-CF259</f>
        <v>-160718.36940738867</v>
      </c>
      <c r="CH259" s="13">
        <f>CH258+CG259</f>
        <v>9942537.612571815</v>
      </c>
      <c r="CI259">
        <f>IF(CH259=MAX($CH$83:$CH$483),$A259,0)</f>
        <v>0</v>
      </c>
      <c r="CJ259">
        <f>IF(CE259&lt;CF259,$A259,B_MAX+1)</f>
        <v>176</v>
      </c>
      <c r="CK259" s="13">
        <f>IF(CB259=1,$CB$35,$CB$36)</f>
        <v>1560.1194073886782</v>
      </c>
      <c r="CL259" s="13">
        <f>OCC_DAYS*$CB$41*R_NF_2023-CD259*MCD_SHARE_FREED*R_WAIT_2023</f>
        <v>151980.48282209205</v>
      </c>
      <c r="CM259">
        <f>IF($A259&lt;=$CB$45,1,0)</f>
        <v>0</v>
      </c>
      <c r="DB259">
        <f>IF($DB$31&lt;=$DB$32,IF($A259&lt;=$DB$7,1,2),IF($A259&lt;=RUNG_BEDS_2,2,1))</f>
        <v>1</v>
      </c>
      <c r="DC259" s="5">
        <f>MIN(1,MAX(0,$DB$26-($A259-1)))</f>
        <v>0</v>
      </c>
      <c r="DD259" s="5">
        <f>$DB$25*(DC259+(1-DC259)*$DB$16)</f>
        <v>0.0</v>
      </c>
      <c r="DE259" s="13">
        <f>DD259*($DB$6+ACUTE_MARGIN)</f>
        <v>0.0</v>
      </c>
      <c r="DF259" s="13">
        <f>IF(DB259=1,$DB$31,$DB$32)</f>
        <v>152394.16214437486</v>
      </c>
      <c r="DG259" s="13">
        <f>DE259-DF259</f>
        <v>-152394.16214437486</v>
      </c>
      <c r="DH259" s="13">
        <f>DH258+DG259</f>
        <v>11407598.090862352</v>
      </c>
      <c r="DI259">
        <f>IF(DH259=MAX($DH$83:$DH$483),$A259,0)</f>
        <v>0</v>
      </c>
      <c r="DJ259">
        <f>IF(DE259&lt;DF259,$A259,B_MAX+1)</f>
        <v>176</v>
      </c>
      <c r="DK259" s="13">
        <f>IF(DB259=1,$DB$35,$DB$36)</f>
        <v>0</v>
      </c>
      <c r="DL259" s="13">
        <f>OCC_DAYS*$DB$41*R_NF_2023-DD259*MCD_SHARE_FREED*R_WAIT_2023</f>
        <v>151980.48282209205</v>
      </c>
      <c r="DM259">
        <f>IF($A259&lt;=$DB$45,1,0)</f>
        <v>0</v>
      </c>
      <c r="EB259">
        <f>IF($EB$31&lt;=$EB$32,IF($A259&lt;=$EB$7,1,2),IF($A259&lt;=RUNG_BEDS_2,2,1))</f>
        <v>1</v>
      </c>
      <c r="EC259" s="5">
        <f>MIN(1,MAX(0,$EB$26-($A259-1)))</f>
        <v>0</v>
      </c>
      <c r="ED259" s="5">
        <f>$EB$25*(EC259+(1-EC259)*$EB$16)</f>
        <v>0.0</v>
      </c>
      <c r="EE259" s="13">
        <f>ED259*($EB$6+ACUTE_MARGIN)</f>
        <v>0.0</v>
      </c>
      <c r="EF259" s="13">
        <f>IF(EB259=1,$EB$31,$EB$32)</f>
        <v>152394.16214437486</v>
      </c>
      <c r="EG259" s="13">
        <f>EE259-EF259</f>
        <v>-152394.16214437486</v>
      </c>
      <c r="EH259" s="13">
        <f>EH258+EG259</f>
        <v>11407598.090862352</v>
      </c>
      <c r="EI259">
        <f>IF(EH259=MAX($EH$83:$EH$483),$A259,0)</f>
        <v>0</v>
      </c>
      <c r="EJ259">
        <f>IF(EE259&lt;EF259,$A259,B_MAX+1)</f>
        <v>176</v>
      </c>
      <c r="EK259" s="13">
        <f>IF(EB259=1,$EB$35,$EB$36)</f>
        <v>0</v>
      </c>
      <c r="EL259" s="13">
        <f>OCC_DAYS*$EB$41*R_NF_2023-ED259*MCD_SHARE_FREED*R_WAIT_2023</f>
        <v>50660.16094069735</v>
      </c>
      <c r="EM259">
        <f>IF($A259&lt;=$EB$45,1,0)</f>
        <v>0</v>
      </c>
      <c r="FB259">
        <f>IF($FB$31&lt;=$FB$32,IF($A259&lt;=$FB$7,1,2),IF($A259&lt;=RUNG_BEDS_2,2,1))</f>
        <v>1</v>
      </c>
      <c r="FC259" s="5">
        <f>MIN(1,MAX(0,$FB$26-($A259-1)))</f>
        <v>0</v>
      </c>
      <c r="FD259" s="5">
        <f>$FB$25*(FC259+(1-FC259)*$FB$16)</f>
        <v>0.0</v>
      </c>
      <c r="FE259" s="13">
        <f>FD259*($FB$6+ACUTE_MARGIN)</f>
        <v>0.0</v>
      </c>
      <c r="FF259" s="13">
        <f>IF(FB259=1,$FB$31,$FB$32)</f>
        <v>156636.04979437485</v>
      </c>
      <c r="FG259" s="13">
        <f>FE259-FF259</f>
        <v>-156636.04979437485</v>
      </c>
      <c r="FH259" s="13">
        <f>FH258+FG259</f>
        <v>10661025.86446224</v>
      </c>
      <c r="FI259">
        <f>IF(FH259=MAX($FH$83:$FH$483),$A259,0)</f>
        <v>0</v>
      </c>
      <c r="FJ259">
        <f>IF(FE259&lt;FF259,$A259,B_MAX+1)</f>
        <v>176</v>
      </c>
      <c r="FK259" s="13">
        <f>IF(FB259=1,$FB$35,$FB$36)</f>
        <v>0</v>
      </c>
      <c r="FL259" s="13">
        <f>OCC_DAYS*$FB$41*R_NF_2023-FD259*MCD_SHARE_FREED*R_WAIT_2023</f>
        <v>151980.48282209205</v>
      </c>
      <c r="FM259">
        <f>IF($A259&lt;=$FB$45,1,0)</f>
        <v>0</v>
      </c>
      <c r="GB259">
        <f>IF($GB$31&lt;=$GB$32,IF($A259&lt;=$GB$7,1,2),IF($A259&lt;=RUNG_BEDS_2,2,1))</f>
        <v>1</v>
      </c>
      <c r="GC259" s="5">
        <f>MIN(1,MAX(0,$GB$26-($A259-1)))</f>
        <v>0</v>
      </c>
      <c r="GD259" s="5">
        <f>$GB$25*(GC259+(1-GC259)*$GB$16)</f>
        <v>0.0</v>
      </c>
      <c r="GE259" s="13">
        <f>GD259*($GB$6+ACUTE_MARGIN)</f>
        <v>0.0</v>
      </c>
      <c r="GF259" s="13">
        <f>IF(GB259=1,$GB$31,$GB$32)</f>
        <v>152394.16214437486</v>
      </c>
      <c r="GG259" s="13">
        <f>GE259-GF259</f>
        <v>-152394.16214437486</v>
      </c>
      <c r="GH259" s="13">
        <f>GH258+GG259</f>
        <v>11407598.090862352</v>
      </c>
      <c r="GI259">
        <f>IF(GH259=MAX($GH$83:$GH$483),$A259,0)</f>
        <v>0</v>
      </c>
      <c r="GJ259">
        <f>IF(GE259&lt;GF259,$A259,B_MAX+1)</f>
        <v>176</v>
      </c>
      <c r="GK259" s="13">
        <f>IF(GB259=1,$GB$35,$GB$36)</f>
        <v>0</v>
      </c>
      <c r="GL259" s="13">
        <f>OCC_DAYS*$GB$41*R_NF_2023-GD259*MCD_SHARE_FREED*R_WAIT_2023</f>
        <v>151980.48282209205</v>
      </c>
      <c r="GM259">
        <f>IF($A259&lt;=$GB$45,1,0)</f>
        <v>0</v>
      </c>
      <c r="HB259">
        <f>IF($HB$31&lt;=$HB$32,IF($A259&lt;=$HB$7,1,2),IF($A259&lt;=RUNG_BEDS_2,2,1))</f>
        <v>1</v>
      </c>
      <c r="HC259" s="5">
        <f>MIN(1,MAX(0,$HB$26-($A259-1)))</f>
        <v>0</v>
      </c>
      <c r="HD259" s="5">
        <f>$HB$25*(HC259+(1-HC259)*$HB$16)</f>
        <v>0.0</v>
      </c>
      <c r="HE259" s="13">
        <f>HD259*($HB$6+ACUTE_MARGIN)</f>
        <v>0.0</v>
      </c>
      <c r="HF259" s="13">
        <f>IF(HB259=1,$HB$31,$HB$32)</f>
        <v>152456.2970814058</v>
      </c>
      <c r="HG259" s="13">
        <f>HE259-HF259</f>
        <v>-152456.2970814058</v>
      </c>
      <c r="HH259" s="13">
        <f>HH258+HG259</f>
        <v>11396662.341944877</v>
      </c>
      <c r="HI259">
        <f>IF(HH259=MAX($HH$83:$HH$483),$A259,0)</f>
        <v>0</v>
      </c>
      <c r="HJ259">
        <f>IF(HE259&lt;HF259,$A259,B_MAX+1)</f>
        <v>176</v>
      </c>
      <c r="HK259" s="13">
        <f>IF(HB259=1,$HB$35,$HB$36)</f>
        <v>0</v>
      </c>
      <c r="HL259" s="13">
        <f>OCC_DAYS*$HB$41*R_NF_2023-HD259*MCD_SHARE_FREED*R_WAIT_2023</f>
        <v>151980.48282209205</v>
      </c>
      <c r="HM259">
        <f>IF($A259&lt;=$HB$45,1,0)</f>
        <v>0</v>
      </c>
      <c r="IB259">
        <f>IF($IB$31&lt;=$IB$32,IF($A259&lt;=$IB$7,1,2),IF($A259&lt;=RUNG_BEDS_2,2,1))</f>
        <v>1</v>
      </c>
      <c r="IC259" s="5">
        <f>MIN(1,MAX(0,$IB$26-($A259-1)))</f>
        <v>0</v>
      </c>
      <c r="ID259" s="5">
        <f>$IB$25*(IC259+(1-IC259)*$IB$16)</f>
        <v>0.0</v>
      </c>
      <c r="IE259" s="13">
        <f>ID259*($IB$6+ACUTE_MARGIN)</f>
        <v>0.0</v>
      </c>
      <c r="IF259" s="13">
        <f>IF(IB259=1,$IB$31,$IB$32)</f>
        <v>152734.9994534971</v>
      </c>
      <c r="IG259" s="13">
        <f>IE259-IF259</f>
        <v>-152734.9994534971</v>
      </c>
      <c r="IH259" s="13">
        <f>IH258+IG259</f>
        <v>11347610.724456737</v>
      </c>
      <c r="II259">
        <f>IF(IH259=MAX($IH$83:$IH$483),$A259,0)</f>
        <v>0</v>
      </c>
      <c r="IJ259">
        <f>IF(IE259&lt;IF259,$A259,B_MAX+1)</f>
        <v>176</v>
      </c>
      <c r="IK259" s="13">
        <f>IF(IB259=1,$IB$35,$IB$36)</f>
        <v>0</v>
      </c>
      <c r="IL259" s="13">
        <f>OCC_DAYS*$IB$41*R_NF_2023-ID259*MCD_SHARE_FREED*R_WAIT_2023</f>
        <v>151980.48282209205</v>
      </c>
      <c r="IM259">
        <f>IF($A259&lt;=$IB$45,1,0)</f>
        <v>0</v>
      </c>
      <c r="JB259">
        <f>IF($JB$31&lt;=$JB$32,IF($A259&lt;=$JB$7,1,2),IF($A259&lt;=RUNG_BEDS_2,2,1))</f>
        <v>1</v>
      </c>
      <c r="JC259" s="5">
        <f>MIN(1,MAX(0,$JB$26-($A259-1)))</f>
        <v>0</v>
      </c>
      <c r="JD259" s="5">
        <f>$JB$25*(JC259+(1-JC259)*$JB$16)</f>
        <v>0.0</v>
      </c>
      <c r="JE259" s="13">
        <f>JD259*($JB$6+ACUTE_MARGIN)</f>
        <v>0.0</v>
      </c>
      <c r="JF259" s="13">
        <f>IF(JB259=1,$JB$31,$JB$32)</f>
        <v>152394.16214437486</v>
      </c>
      <c r="JG259" s="13">
        <f>JE259-JF259</f>
        <v>-152394.16214437486</v>
      </c>
      <c r="JH259" s="13">
        <f>JH258+JG259</f>
        <v>11407598.090862352</v>
      </c>
      <c r="JI259">
        <f>IF(JH259=MAX($JH$83:$JH$483),$A259,0)</f>
        <v>0</v>
      </c>
      <c r="JJ259">
        <f>IF(JE259&lt;JF259,$A259,B_MAX+1)</f>
        <v>176</v>
      </c>
      <c r="JK259" s="13">
        <f>IF(JB259=1,$JB$35,$JB$36)</f>
        <v>0</v>
      </c>
      <c r="JL259" s="13">
        <f>OCC_DAYS*$JB$41*R_NF_2023-JD259*MCD_SHARE_FREED*R_WAIT_2023</f>
        <v>151980.48282209205</v>
      </c>
      <c r="JM259">
        <f>IF($A259&lt;=$JB$45,1,0)</f>
        <v>0</v>
      </c>
      <c r="KB259">
        <f>IF($KB$31&lt;=$KB$32,IF($A259&lt;=$KB$7,1,2),IF($A259&lt;=RUNG_BEDS_2,2,1))</f>
        <v>1</v>
      </c>
      <c r="KC259" s="5">
        <f>MIN(1,MAX(0,$KB$26-($A259-1)))</f>
        <v>1</v>
      </c>
      <c r="KD259" s="5">
        <f>$KB$25*(KC259+(1-KC259)*$KB$16)</f>
        <v>126.02661357340719</v>
      </c>
      <c r="KE259" s="13">
        <f>KD259*($KB$6+ACUTE_MARGIN)</f>
        <v>127286.87970914126</v>
      </c>
      <c r="KF259" s="13">
        <f>IF(KB259=1,$KB$31,$KB$32)</f>
        <v>152394.16214437486</v>
      </c>
      <c r="KG259" s="13">
        <f>KE259-KF259</f>
        <v>-25107.282435233603</v>
      </c>
      <c r="KH259" s="13">
        <f>KH258+KG259</f>
        <v>-4418881.708601127</v>
      </c>
      <c r="KI259">
        <f>IF(KH259=MAX($KH$83:$KH$483),$A259,0)</f>
        <v>0</v>
      </c>
      <c r="KJ259">
        <f>IF(KE259&lt;KF259,$A259,B_MAX+1)</f>
        <v>176</v>
      </c>
      <c r="KK259" s="13">
        <f>IF(KB259=1,$KB$35,$KB$36)</f>
        <v>0</v>
      </c>
      <c r="KL259" s="13">
        <f>OCC_DAYS*$KB$41*R_NF_2023-KD259*MCD_SHARE_FREED*R_WAIT_2023</f>
        <v>94673.82103225985</v>
      </c>
      <c r="KM259">
        <f>IF($A259&lt;=$KB$45,1,0)</f>
        <v>0</v>
      </c>
      <c r="LB259">
        <f>IF($LB$31&lt;=$LB$32,IF($A259&lt;=$LB$7,1,2),IF($A259&lt;=RUNG_BEDS_2,2,1))</f>
        <v>1</v>
      </c>
      <c r="LC259" s="5">
        <f>MIN(1,MAX(0,$LB$26-($A259-1)))</f>
        <v>1</v>
      </c>
      <c r="LD259" s="5">
        <f>$LB$25*(LC259+(1-LC259)*$LB$16)</f>
        <v>84.01774238227146</v>
      </c>
      <c r="LE259" s="13">
        <f>LD259*($LB$6+ACUTE_MARGIN)</f>
        <v>84857.91980609419</v>
      </c>
      <c r="LF259" s="13">
        <f>IF(LB259=1,$LB$31,$LB$32)</f>
        <v>152394.16214437486</v>
      </c>
      <c r="LG259" s="13">
        <f>LE259-LF259</f>
        <v>-67536.24233828067</v>
      </c>
      <c r="LH259" s="13">
        <f>LH258+LG259</f>
        <v>-11886378.651537448</v>
      </c>
      <c r="LI259">
        <f>IF(LH259=MAX($LH$83:$LH$483),$A259,0)</f>
        <v>0</v>
      </c>
      <c r="LJ259">
        <f>IF(LE259&lt;LF259,$A259,B_MAX+1)</f>
        <v>176</v>
      </c>
      <c r="LK259" s="13">
        <f>IF(LB259=1,$LB$35,$LB$36)</f>
        <v>0</v>
      </c>
      <c r="LL259" s="13">
        <f>OCC_DAYS*$LB$41*R_NF_2023-LD259*MCD_SHARE_FREED*R_WAIT_2023</f>
        <v>113776.04162887059</v>
      </c>
      <c r="LM259">
        <f>IF($A259&lt;=$LB$45,1,0)</f>
        <v>0</v>
      </c>
      <c r="MB259">
        <f>IF($MB$31&lt;=$MB$32,IF($A259&lt;=$MB$7,1,2),IF($A259&lt;=RUNG_BEDS_2,2,1))</f>
        <v>1</v>
      </c>
      <c r="MC259" s="5">
        <f>MIN(1,MAX(0,$MB$26-($A259-1)))</f>
        <v>0</v>
      </c>
      <c r="MD259" s="5">
        <f>$MB$25*(MC259+(1-MC259)*$MB$16)</f>
        <v>0.0</v>
      </c>
      <c r="ME259" s="13">
        <f>MD259*($MB$6+ACUTE_MARGIN)</f>
        <v>0.0</v>
      </c>
      <c r="MF259" s="13">
        <f>IF(MB259=1,$MB$31,$MB$32)</f>
        <v>152394.16214437486</v>
      </c>
      <c r="MG259" s="13">
        <f>ME259-MF259</f>
        <v>-152394.16214437486</v>
      </c>
      <c r="MH259" s="13">
        <f>MH258+MG259</f>
        <v>5520322.029064034</v>
      </c>
      <c r="MI259">
        <f>IF(MH259=MAX($MH$83:$MH$483),$A259,0)</f>
        <v>0</v>
      </c>
      <c r="MJ259">
        <f>IF(ME259&lt;MF259,$A259,B_MAX+1)</f>
        <v>176</v>
      </c>
      <c r="MK259" s="13">
        <f>IF(MB259=1,$MB$35,$MB$36)</f>
        <v>0</v>
      </c>
      <c r="ML259" s="13">
        <f>OCC_DAYS*$MB$41*R_NF_2023-MD259*MCD_SHARE_FREED*R_WAIT_2023</f>
        <v>151980.48282209205</v>
      </c>
      <c r="MM259">
        <f>IF($A259&lt;=$MB$45,1,0)</f>
        <v>0</v>
      </c>
      <c r="NB259">
        <f>IF($NB$31&lt;=$NB$32,IF($A259&lt;=$NB$7,1,2),IF($A259&lt;=RUNG_BEDS_2,2,1))</f>
        <v>1</v>
      </c>
      <c r="NC259" s="5">
        <f>MIN(1,MAX(0,$NB$26-($A259-1)))</f>
        <v>0</v>
      </c>
      <c r="ND259" s="5">
        <f>$NB$25*(NC259+(1-NC259)*$NB$16)</f>
        <v>63.013306786703595</v>
      </c>
      <c r="NE259" s="13">
        <f>ND259*($NB$6+ACUTE_MARGIN)</f>
        <v>63643.43985457063</v>
      </c>
      <c r="NF259" s="13">
        <f>IF(NB259=1,$NB$31,$NB$32)</f>
        <v>152394.16214437486</v>
      </c>
      <c r="NG259" s="13">
        <f>NE259-NF259</f>
        <v>-88750.72228980422</v>
      </c>
      <c r="NH259" s="13">
        <f>NH258+NG259</f>
        <v>13051600.848198697</v>
      </c>
      <c r="NI259">
        <f>IF(NH259=MAX($NH$83:$NH$483),$A259,0)</f>
        <v>0</v>
      </c>
      <c r="NJ259">
        <f>IF(NE259&lt;NF259,$A259,B_MAX+1)</f>
        <v>176</v>
      </c>
      <c r="NK259" s="13">
        <f>IF(NB259=1,$NB$35,$NB$36)</f>
        <v>0</v>
      </c>
      <c r="NL259" s="13">
        <f>OCC_DAYS*$NB$41*R_NF_2023-ND259*MCD_SHARE_FREED*R_WAIT_2023</f>
        <v>123327.15192717595</v>
      </c>
      <c r="NM259">
        <f>IF($A259&lt;=$NB$45,1,0)</f>
        <v>0</v>
      </c>
      <c r="OB259">
        <f>IF($OB$31&lt;=$OB$32,IF($A259&lt;=$OB$7,1,2),IF($A259&lt;=RUNG_BEDS_2,2,1))</f>
        <v>1</v>
      </c>
      <c r="OC259" s="5">
        <f>MIN(1,MAX(0,$OB$26-($A259-1)))</f>
        <v>0</v>
      </c>
      <c r="OD259" s="5">
        <f>$OB$25*(OC259+(1-OC259)*$OB$16)</f>
        <v>126.02661357340719</v>
      </c>
      <c r="OE259" s="13">
        <f>OD259*($OB$6+ACUTE_MARGIN)</f>
        <v>127286.87970914126</v>
      </c>
      <c r="OF259" s="13">
        <f>IF(OB259=1,$OB$31,$OB$32)</f>
        <v>152394.16214437486</v>
      </c>
      <c r="OG259" s="13">
        <f>OE259-OF259</f>
        <v>-25107.282435233603</v>
      </c>
      <c r="OH259" s="13">
        <f>OH258+OG259</f>
        <v>14695603.60553509</v>
      </c>
      <c r="OI259">
        <f>IF(OH259=MAX($OH$83:$OH$483),$A259,0)</f>
        <v>0</v>
      </c>
      <c r="OJ259">
        <f>IF(OE259&lt;OF259,$A259,B_MAX+1)</f>
        <v>176</v>
      </c>
      <c r="OK259" s="13">
        <f>IF(OB259=1,$OB$35,$OB$36)</f>
        <v>0</v>
      </c>
      <c r="OL259" s="13">
        <f>OCC_DAYS*$OB$41*R_NF_2023-OD259*MCD_SHARE_FREED*R_WAIT_2023</f>
        <v>94673.82103225985</v>
      </c>
      <c r="OM259">
        <f>IF($A259&lt;=$OB$45,1,0)</f>
        <v>0</v>
      </c>
    </row>
    <row r="260">
      <c r="A260" t="n">
        <v>177</v>
      </c>
      <c r="B260">
        <f>IF($B$31&lt;=$B$32,IF($A260&lt;=$B$7,1,2),IF($A260&lt;=RUNG_BEDS_2,2,1))</f>
        <v>1</v>
      </c>
      <c r="C260" s="5">
        <f>MIN(1,MAX(0,$B$26-($A260-1)))</f>
        <v>0</v>
      </c>
      <c r="D260" s="5">
        <f>$B$25*(C260+(1-C260)*$B$16)</f>
        <v>0.0</v>
      </c>
      <c r="E260" s="13">
        <f>D260*($B$6+ACUTE_MARGIN)</f>
        <v>0.0</v>
      </c>
      <c r="F260" s="13">
        <f>IF(B260=1,$B$31,$B$32)</f>
        <v>152394.16214437486</v>
      </c>
      <c r="G260" s="13">
        <f>E260-F260</f>
        <v>-152394.16214437486</v>
      </c>
      <c r="H260" s="13">
        <f>H259+G260</f>
        <v>11255203.928717978</v>
      </c>
      <c r="I260">
        <f>IF(H260=MAX($H$83:$H$483),$A260,0)</f>
        <v>0</v>
      </c>
      <c r="J260">
        <f>IF(E260&lt;F260,$A260,B_MAX+1)</f>
        <v>177</v>
      </c>
      <c r="K260" s="13">
        <f>IF(B260=1,$B$35,$B$36)</f>
        <v>0</v>
      </c>
      <c r="L260" s="13">
        <f>OCC_DAYS*$B$41*R_NF_2023-D260*MCD_SHARE_FREED*R_WAIT_2023</f>
        <v>151980.48282209205</v>
      </c>
      <c r="M260">
        <f>IF($A260&lt;=$B$45,1,0)</f>
        <v>0</v>
      </c>
      <c r="AB260">
        <f>IF($AB$31&lt;=$AB$32,IF($A260&lt;=$AB$7,1,2),IF($A260&lt;=RUNG_BEDS_2,2,1))</f>
        <v>1</v>
      </c>
      <c r="AC260" s="5">
        <f>MIN(1,MAX(0,$AB$26-($A260-1)))</f>
        <v>0</v>
      </c>
      <c r="AD260" s="5">
        <f>$AB$25*(AC260+(1-AC260)*$AB$16)</f>
        <v>0.0</v>
      </c>
      <c r="AE260" s="13">
        <f>AD260*($AB$6+ACUTE_MARGIN)</f>
        <v>0.0</v>
      </c>
      <c r="AF260" s="13">
        <f>IF(AB260=1,$AB$31,$AB$32)</f>
        <v>152394.16214437486</v>
      </c>
      <c r="AG260" s="13">
        <f>AE260-AF260</f>
        <v>-152394.16214437486</v>
      </c>
      <c r="AH260" s="13">
        <f>AH259+AG260</f>
        <v>-6156010.416831839</v>
      </c>
      <c r="AI260">
        <f>IF(AH260=MAX($AH$83:$AH$483),$A260,0)</f>
        <v>0</v>
      </c>
      <c r="AJ260">
        <f>IF(AE260&lt;AF260,$A260,B_MAX+1)</f>
        <v>177</v>
      </c>
      <c r="AK260" s="13">
        <f>IF(AB260=1,$AB$35,$AB$36)</f>
        <v>0</v>
      </c>
      <c r="AL260" s="13">
        <f>OCC_DAYS*$AB$41*R_NF_2023-AD260*MCD_SHARE_FREED*R_WAIT_2023</f>
        <v>151980.48282209205</v>
      </c>
      <c r="AM260">
        <f>IF($A260&lt;=$AB$45,1,0)</f>
        <v>0</v>
      </c>
      <c r="BB260">
        <f>IF($BB$31&lt;=$BB$32,IF($A260&lt;=$BB$7,1,2),IF($A260&lt;=RUNG_BEDS_2,2,1))</f>
        <v>1</v>
      </c>
      <c r="BC260" s="5">
        <f>MIN(1,MAX(0,$BB$26-($A260-1)))</f>
        <v>0</v>
      </c>
      <c r="BD260" s="5">
        <f>$BB$25*(BC260+(1-BC260)*$BB$16)</f>
        <v>0.0</v>
      </c>
      <c r="BE260" s="13">
        <f>BD260*($BB$6+ACUTE_MARGIN)</f>
        <v>0.0</v>
      </c>
      <c r="BF260" s="13">
        <f>IF(BB260=1,$BB$31,$BB$32)</f>
        <v>152394.16214437486</v>
      </c>
      <c r="BG260" s="13">
        <f>BE260-BF260</f>
        <v>-152394.16214437486</v>
      </c>
      <c r="BH260" s="13">
        <f>BH259+BG260</f>
        <v>28666418.27426764</v>
      </c>
      <c r="BI260">
        <f>IF(BH260=MAX($BH$83:$BH$483),$A260,0)</f>
        <v>0</v>
      </c>
      <c r="BJ260">
        <f>IF(BE260&lt;BF260,$A260,B_MAX+1)</f>
        <v>177</v>
      </c>
      <c r="BK260" s="13">
        <f>IF(BB260=1,$BB$35,$BB$36)</f>
        <v>0</v>
      </c>
      <c r="BL260" s="13">
        <f>OCC_DAYS*$BB$41*R_NF_2023-BD260*MCD_SHARE_FREED*R_WAIT_2023</f>
        <v>151980.48282209205</v>
      </c>
      <c r="BM260">
        <f>IF($A260&lt;=$BB$45,1,0)</f>
        <v>0</v>
      </c>
      <c r="CB260">
        <f>IF($CB$31&lt;=$CB$32,IF($A260&lt;=$CB$7,1,2),IF($A260&lt;=RUNG_BEDS_2,2,1))</f>
        <v>2</v>
      </c>
      <c r="CC260" s="5">
        <f>MIN(1,MAX(0,$CB$26-($A260-1)))</f>
        <v>0</v>
      </c>
      <c r="CD260" s="5">
        <f>$CB$25*(CC260+(1-CC260)*$CB$16)</f>
        <v>0.0</v>
      </c>
      <c r="CE260" s="13">
        <f>CD260*($CB$6+ACUTE_MARGIN)</f>
        <v>0.0</v>
      </c>
      <c r="CF260" s="13">
        <f>IF(CB260=1,$CB$31,$CB$32)</f>
        <v>160718.36940738867</v>
      </c>
      <c r="CG260" s="13">
        <f>CE260-CF260</f>
        <v>-160718.36940738867</v>
      </c>
      <c r="CH260" s="13">
        <f>CH259+CG260</f>
        <v>9781819.243164426</v>
      </c>
      <c r="CI260">
        <f>IF(CH260=MAX($CH$83:$CH$483),$A260,0)</f>
        <v>0</v>
      </c>
      <c r="CJ260">
        <f>IF(CE260&lt;CF260,$A260,B_MAX+1)</f>
        <v>177</v>
      </c>
      <c r="CK260" s="13">
        <f>IF(CB260=1,$CB$35,$CB$36)</f>
        <v>1560.1194073886782</v>
      </c>
      <c r="CL260" s="13">
        <f>OCC_DAYS*$CB$41*R_NF_2023-CD260*MCD_SHARE_FREED*R_WAIT_2023</f>
        <v>151980.48282209205</v>
      </c>
      <c r="CM260">
        <f>IF($A260&lt;=$CB$45,1,0)</f>
        <v>0</v>
      </c>
      <c r="DB260">
        <f>IF($DB$31&lt;=$DB$32,IF($A260&lt;=$DB$7,1,2),IF($A260&lt;=RUNG_BEDS_2,2,1))</f>
        <v>1</v>
      </c>
      <c r="DC260" s="5">
        <f>MIN(1,MAX(0,$DB$26-($A260-1)))</f>
        <v>0</v>
      </c>
      <c r="DD260" s="5">
        <f>$DB$25*(DC260+(1-DC260)*$DB$16)</f>
        <v>0.0</v>
      </c>
      <c r="DE260" s="13">
        <f>DD260*($DB$6+ACUTE_MARGIN)</f>
        <v>0.0</v>
      </c>
      <c r="DF260" s="13">
        <f>IF(DB260=1,$DB$31,$DB$32)</f>
        <v>152394.16214437486</v>
      </c>
      <c r="DG260" s="13">
        <f>DE260-DF260</f>
        <v>-152394.16214437486</v>
      </c>
      <c r="DH260" s="13">
        <f>DH259+DG260</f>
        <v>11255203.928717978</v>
      </c>
      <c r="DI260">
        <f>IF(DH260=MAX($DH$83:$DH$483),$A260,0)</f>
        <v>0</v>
      </c>
      <c r="DJ260">
        <f>IF(DE260&lt;DF260,$A260,B_MAX+1)</f>
        <v>177</v>
      </c>
      <c r="DK260" s="13">
        <f>IF(DB260=1,$DB$35,$DB$36)</f>
        <v>0</v>
      </c>
      <c r="DL260" s="13">
        <f>OCC_DAYS*$DB$41*R_NF_2023-DD260*MCD_SHARE_FREED*R_WAIT_2023</f>
        <v>151980.48282209205</v>
      </c>
      <c r="DM260">
        <f>IF($A260&lt;=$DB$45,1,0)</f>
        <v>0</v>
      </c>
      <c r="EB260">
        <f>IF($EB$31&lt;=$EB$32,IF($A260&lt;=$EB$7,1,2),IF($A260&lt;=RUNG_BEDS_2,2,1))</f>
        <v>1</v>
      </c>
      <c r="EC260" s="5">
        <f>MIN(1,MAX(0,$EB$26-($A260-1)))</f>
        <v>0</v>
      </c>
      <c r="ED260" s="5">
        <f>$EB$25*(EC260+(1-EC260)*$EB$16)</f>
        <v>0.0</v>
      </c>
      <c r="EE260" s="13">
        <f>ED260*($EB$6+ACUTE_MARGIN)</f>
        <v>0.0</v>
      </c>
      <c r="EF260" s="13">
        <f>IF(EB260=1,$EB$31,$EB$32)</f>
        <v>152394.16214437486</v>
      </c>
      <c r="EG260" s="13">
        <f>EE260-EF260</f>
        <v>-152394.16214437486</v>
      </c>
      <c r="EH260" s="13">
        <f>EH259+EG260</f>
        <v>11255203.928717978</v>
      </c>
      <c r="EI260">
        <f>IF(EH260=MAX($EH$83:$EH$483),$A260,0)</f>
        <v>0</v>
      </c>
      <c r="EJ260">
        <f>IF(EE260&lt;EF260,$A260,B_MAX+1)</f>
        <v>177</v>
      </c>
      <c r="EK260" s="13">
        <f>IF(EB260=1,$EB$35,$EB$36)</f>
        <v>0</v>
      </c>
      <c r="EL260" s="13">
        <f>OCC_DAYS*$EB$41*R_NF_2023-ED260*MCD_SHARE_FREED*R_WAIT_2023</f>
        <v>50660.16094069735</v>
      </c>
      <c r="EM260">
        <f>IF($A260&lt;=$EB$45,1,0)</f>
        <v>0</v>
      </c>
      <c r="FB260">
        <f>IF($FB$31&lt;=$FB$32,IF($A260&lt;=$FB$7,1,2),IF($A260&lt;=RUNG_BEDS_2,2,1))</f>
        <v>1</v>
      </c>
      <c r="FC260" s="5">
        <f>MIN(1,MAX(0,$FB$26-($A260-1)))</f>
        <v>0</v>
      </c>
      <c r="FD260" s="5">
        <f>$FB$25*(FC260+(1-FC260)*$FB$16)</f>
        <v>0.0</v>
      </c>
      <c r="FE260" s="13">
        <f>FD260*($FB$6+ACUTE_MARGIN)</f>
        <v>0.0</v>
      </c>
      <c r="FF260" s="13">
        <f>IF(FB260=1,$FB$31,$FB$32)</f>
        <v>156636.04979437485</v>
      </c>
      <c r="FG260" s="13">
        <f>FE260-FF260</f>
        <v>-156636.04979437485</v>
      </c>
      <c r="FH260" s="13">
        <f>FH259+FG260</f>
        <v>10504389.814667866</v>
      </c>
      <c r="FI260">
        <f>IF(FH260=MAX($FH$83:$FH$483),$A260,0)</f>
        <v>0</v>
      </c>
      <c r="FJ260">
        <f>IF(FE260&lt;FF260,$A260,B_MAX+1)</f>
        <v>177</v>
      </c>
      <c r="FK260" s="13">
        <f>IF(FB260=1,$FB$35,$FB$36)</f>
        <v>0</v>
      </c>
      <c r="FL260" s="13">
        <f>OCC_DAYS*$FB$41*R_NF_2023-FD260*MCD_SHARE_FREED*R_WAIT_2023</f>
        <v>151980.48282209205</v>
      </c>
      <c r="FM260">
        <f>IF($A260&lt;=$FB$45,1,0)</f>
        <v>0</v>
      </c>
      <c r="GB260">
        <f>IF($GB$31&lt;=$GB$32,IF($A260&lt;=$GB$7,1,2),IF($A260&lt;=RUNG_BEDS_2,2,1))</f>
        <v>1</v>
      </c>
      <c r="GC260" s="5">
        <f>MIN(1,MAX(0,$GB$26-($A260-1)))</f>
        <v>0</v>
      </c>
      <c r="GD260" s="5">
        <f>$GB$25*(GC260+(1-GC260)*$GB$16)</f>
        <v>0.0</v>
      </c>
      <c r="GE260" s="13">
        <f>GD260*($GB$6+ACUTE_MARGIN)</f>
        <v>0.0</v>
      </c>
      <c r="GF260" s="13">
        <f>IF(GB260=1,$GB$31,$GB$32)</f>
        <v>152394.16214437486</v>
      </c>
      <c r="GG260" s="13">
        <f>GE260-GF260</f>
        <v>-152394.16214437486</v>
      </c>
      <c r="GH260" s="13">
        <f>GH259+GG260</f>
        <v>11255203.928717978</v>
      </c>
      <c r="GI260">
        <f>IF(GH260=MAX($GH$83:$GH$483),$A260,0)</f>
        <v>0</v>
      </c>
      <c r="GJ260">
        <f>IF(GE260&lt;GF260,$A260,B_MAX+1)</f>
        <v>177</v>
      </c>
      <c r="GK260" s="13">
        <f>IF(GB260=1,$GB$35,$GB$36)</f>
        <v>0</v>
      </c>
      <c r="GL260" s="13">
        <f>OCC_DAYS*$GB$41*R_NF_2023-GD260*MCD_SHARE_FREED*R_WAIT_2023</f>
        <v>151980.48282209205</v>
      </c>
      <c r="GM260">
        <f>IF($A260&lt;=$GB$45,1,0)</f>
        <v>0</v>
      </c>
      <c r="HB260">
        <f>IF($HB$31&lt;=$HB$32,IF($A260&lt;=$HB$7,1,2),IF($A260&lt;=RUNG_BEDS_2,2,1))</f>
        <v>1</v>
      </c>
      <c r="HC260" s="5">
        <f>MIN(1,MAX(0,$HB$26-($A260-1)))</f>
        <v>0</v>
      </c>
      <c r="HD260" s="5">
        <f>$HB$25*(HC260+(1-HC260)*$HB$16)</f>
        <v>0.0</v>
      </c>
      <c r="HE260" s="13">
        <f>HD260*($HB$6+ACUTE_MARGIN)</f>
        <v>0.0</v>
      </c>
      <c r="HF260" s="13">
        <f>IF(HB260=1,$HB$31,$HB$32)</f>
        <v>152456.2970814058</v>
      </c>
      <c r="HG260" s="13">
        <f>HE260-HF260</f>
        <v>-152456.2970814058</v>
      </c>
      <c r="HH260" s="13">
        <f>HH259+HG260</f>
        <v>11244206.044863472</v>
      </c>
      <c r="HI260">
        <f>IF(HH260=MAX($HH$83:$HH$483),$A260,0)</f>
        <v>0</v>
      </c>
      <c r="HJ260">
        <f>IF(HE260&lt;HF260,$A260,B_MAX+1)</f>
        <v>177</v>
      </c>
      <c r="HK260" s="13">
        <f>IF(HB260=1,$HB$35,$HB$36)</f>
        <v>0</v>
      </c>
      <c r="HL260" s="13">
        <f>OCC_DAYS*$HB$41*R_NF_2023-HD260*MCD_SHARE_FREED*R_WAIT_2023</f>
        <v>151980.48282209205</v>
      </c>
      <c r="HM260">
        <f>IF($A260&lt;=$HB$45,1,0)</f>
        <v>0</v>
      </c>
      <c r="IB260">
        <f>IF($IB$31&lt;=$IB$32,IF($A260&lt;=$IB$7,1,2),IF($A260&lt;=RUNG_BEDS_2,2,1))</f>
        <v>1</v>
      </c>
      <c r="IC260" s="5">
        <f>MIN(1,MAX(0,$IB$26-($A260-1)))</f>
        <v>0</v>
      </c>
      <c r="ID260" s="5">
        <f>$IB$25*(IC260+(1-IC260)*$IB$16)</f>
        <v>0.0</v>
      </c>
      <c r="IE260" s="13">
        <f>ID260*($IB$6+ACUTE_MARGIN)</f>
        <v>0.0</v>
      </c>
      <c r="IF260" s="13">
        <f>IF(IB260=1,$IB$31,$IB$32)</f>
        <v>152734.9994534971</v>
      </c>
      <c r="IG260" s="13">
        <f>IE260-IF260</f>
        <v>-152734.9994534971</v>
      </c>
      <c r="IH260" s="13">
        <f>IH259+IG260</f>
        <v>11194875.72500324</v>
      </c>
      <c r="II260">
        <f>IF(IH260=MAX($IH$83:$IH$483),$A260,0)</f>
        <v>0</v>
      </c>
      <c r="IJ260">
        <f>IF(IE260&lt;IF260,$A260,B_MAX+1)</f>
        <v>177</v>
      </c>
      <c r="IK260" s="13">
        <f>IF(IB260=1,$IB$35,$IB$36)</f>
        <v>0</v>
      </c>
      <c r="IL260" s="13">
        <f>OCC_DAYS*$IB$41*R_NF_2023-ID260*MCD_SHARE_FREED*R_WAIT_2023</f>
        <v>151980.48282209205</v>
      </c>
      <c r="IM260">
        <f>IF($A260&lt;=$IB$45,1,0)</f>
        <v>0</v>
      </c>
      <c r="JB260">
        <f>IF($JB$31&lt;=$JB$32,IF($A260&lt;=$JB$7,1,2),IF($A260&lt;=RUNG_BEDS_2,2,1))</f>
        <v>1</v>
      </c>
      <c r="JC260" s="5">
        <f>MIN(1,MAX(0,$JB$26-($A260-1)))</f>
        <v>0</v>
      </c>
      <c r="JD260" s="5">
        <f>$JB$25*(JC260+(1-JC260)*$JB$16)</f>
        <v>0.0</v>
      </c>
      <c r="JE260" s="13">
        <f>JD260*($JB$6+ACUTE_MARGIN)</f>
        <v>0.0</v>
      </c>
      <c r="JF260" s="13">
        <f>IF(JB260=1,$JB$31,$JB$32)</f>
        <v>152394.16214437486</v>
      </c>
      <c r="JG260" s="13">
        <f>JE260-JF260</f>
        <v>-152394.16214437486</v>
      </c>
      <c r="JH260" s="13">
        <f>JH259+JG260</f>
        <v>11255203.928717978</v>
      </c>
      <c r="JI260">
        <f>IF(JH260=MAX($JH$83:$JH$483),$A260,0)</f>
        <v>0</v>
      </c>
      <c r="JJ260">
        <f>IF(JE260&lt;JF260,$A260,B_MAX+1)</f>
        <v>177</v>
      </c>
      <c r="JK260" s="13">
        <f>IF(JB260=1,$JB$35,$JB$36)</f>
        <v>0</v>
      </c>
      <c r="JL260" s="13">
        <f>OCC_DAYS*$JB$41*R_NF_2023-JD260*MCD_SHARE_FREED*R_WAIT_2023</f>
        <v>151980.48282209205</v>
      </c>
      <c r="JM260">
        <f>IF($A260&lt;=$JB$45,1,0)</f>
        <v>0</v>
      </c>
      <c r="KB260">
        <f>IF($KB$31&lt;=$KB$32,IF($A260&lt;=$KB$7,1,2),IF($A260&lt;=RUNG_BEDS_2,2,1))</f>
        <v>1</v>
      </c>
      <c r="KC260" s="5">
        <f>MIN(1,MAX(0,$KB$26-($A260-1)))</f>
        <v>1</v>
      </c>
      <c r="KD260" s="5">
        <f>$KB$25*(KC260+(1-KC260)*$KB$16)</f>
        <v>126.02661357340719</v>
      </c>
      <c r="KE260" s="13">
        <f>KD260*($KB$6+ACUTE_MARGIN)</f>
        <v>127286.87970914126</v>
      </c>
      <c r="KF260" s="13">
        <f>IF(KB260=1,$KB$31,$KB$32)</f>
        <v>152394.16214437486</v>
      </c>
      <c r="KG260" s="13">
        <f>KE260-KF260</f>
        <v>-25107.282435233603</v>
      </c>
      <c r="KH260" s="13">
        <f>KH259+KG260</f>
        <v>-4443988.991036361</v>
      </c>
      <c r="KI260">
        <f>IF(KH260=MAX($KH$83:$KH$483),$A260,0)</f>
        <v>0</v>
      </c>
      <c r="KJ260">
        <f>IF(KE260&lt;KF260,$A260,B_MAX+1)</f>
        <v>177</v>
      </c>
      <c r="KK260" s="13">
        <f>IF(KB260=1,$KB$35,$KB$36)</f>
        <v>0</v>
      </c>
      <c r="KL260" s="13">
        <f>OCC_DAYS*$KB$41*R_NF_2023-KD260*MCD_SHARE_FREED*R_WAIT_2023</f>
        <v>94673.82103225985</v>
      </c>
      <c r="KM260">
        <f>IF($A260&lt;=$KB$45,1,0)</f>
        <v>0</v>
      </c>
      <c r="LB260">
        <f>IF($LB$31&lt;=$LB$32,IF($A260&lt;=$LB$7,1,2),IF($A260&lt;=RUNG_BEDS_2,2,1))</f>
        <v>1</v>
      </c>
      <c r="LC260" s="5">
        <f>MIN(1,MAX(0,$LB$26-($A260-1)))</f>
        <v>1</v>
      </c>
      <c r="LD260" s="5">
        <f>$LB$25*(LC260+(1-LC260)*$LB$16)</f>
        <v>84.01774238227146</v>
      </c>
      <c r="LE260" s="13">
        <f>LD260*($LB$6+ACUTE_MARGIN)</f>
        <v>84857.91980609419</v>
      </c>
      <c r="LF260" s="13">
        <f>IF(LB260=1,$LB$31,$LB$32)</f>
        <v>152394.16214437486</v>
      </c>
      <c r="LG260" s="13">
        <f>LE260-LF260</f>
        <v>-67536.24233828067</v>
      </c>
      <c r="LH260" s="13">
        <f>LH259+LG260</f>
        <v>-11953914.89387573</v>
      </c>
      <c r="LI260">
        <f>IF(LH260=MAX($LH$83:$LH$483),$A260,0)</f>
        <v>0</v>
      </c>
      <c r="LJ260">
        <f>IF(LE260&lt;LF260,$A260,B_MAX+1)</f>
        <v>177</v>
      </c>
      <c r="LK260" s="13">
        <f>IF(LB260=1,$LB$35,$LB$36)</f>
        <v>0</v>
      </c>
      <c r="LL260" s="13">
        <f>OCC_DAYS*$LB$41*R_NF_2023-LD260*MCD_SHARE_FREED*R_WAIT_2023</f>
        <v>113776.04162887059</v>
      </c>
      <c r="LM260">
        <f>IF($A260&lt;=$LB$45,1,0)</f>
        <v>0</v>
      </c>
      <c r="MB260">
        <f>IF($MB$31&lt;=$MB$32,IF($A260&lt;=$MB$7,1,2),IF($A260&lt;=RUNG_BEDS_2,2,1))</f>
        <v>1</v>
      </c>
      <c r="MC260" s="5">
        <f>MIN(1,MAX(0,$MB$26-($A260-1)))</f>
        <v>0</v>
      </c>
      <c r="MD260" s="5">
        <f>$MB$25*(MC260+(1-MC260)*$MB$16)</f>
        <v>0.0</v>
      </c>
      <c r="ME260" s="13">
        <f>MD260*($MB$6+ACUTE_MARGIN)</f>
        <v>0.0</v>
      </c>
      <c r="MF260" s="13">
        <f>IF(MB260=1,$MB$31,$MB$32)</f>
        <v>152394.16214437486</v>
      </c>
      <c r="MG260" s="13">
        <f>ME260-MF260</f>
        <v>-152394.16214437486</v>
      </c>
      <c r="MH260" s="13">
        <f>MH259+MG260</f>
        <v>5367927.866919659</v>
      </c>
      <c r="MI260">
        <f>IF(MH260=MAX($MH$83:$MH$483),$A260,0)</f>
        <v>0</v>
      </c>
      <c r="MJ260">
        <f>IF(ME260&lt;MF260,$A260,B_MAX+1)</f>
        <v>177</v>
      </c>
      <c r="MK260" s="13">
        <f>IF(MB260=1,$MB$35,$MB$36)</f>
        <v>0</v>
      </c>
      <c r="ML260" s="13">
        <f>OCC_DAYS*$MB$41*R_NF_2023-MD260*MCD_SHARE_FREED*R_WAIT_2023</f>
        <v>151980.48282209205</v>
      </c>
      <c r="MM260">
        <f>IF($A260&lt;=$MB$45,1,0)</f>
        <v>0</v>
      </c>
      <c r="NB260">
        <f>IF($NB$31&lt;=$NB$32,IF($A260&lt;=$NB$7,1,2),IF($A260&lt;=RUNG_BEDS_2,2,1))</f>
        <v>1</v>
      </c>
      <c r="NC260" s="5">
        <f>MIN(1,MAX(0,$NB$26-($A260-1)))</f>
        <v>0</v>
      </c>
      <c r="ND260" s="5">
        <f>$NB$25*(NC260+(1-NC260)*$NB$16)</f>
        <v>63.013306786703595</v>
      </c>
      <c r="NE260" s="13">
        <f>ND260*($NB$6+ACUTE_MARGIN)</f>
        <v>63643.43985457063</v>
      </c>
      <c r="NF260" s="13">
        <f>IF(NB260=1,$NB$31,$NB$32)</f>
        <v>152394.16214437486</v>
      </c>
      <c r="NG260" s="13">
        <f>NE260-NF260</f>
        <v>-88750.72228980422</v>
      </c>
      <c r="NH260" s="13">
        <f>NH259+NG260</f>
        <v>12962850.125908893</v>
      </c>
      <c r="NI260">
        <f>IF(NH260=MAX($NH$83:$NH$483),$A260,0)</f>
        <v>0</v>
      </c>
      <c r="NJ260">
        <f>IF(NE260&lt;NF260,$A260,B_MAX+1)</f>
        <v>177</v>
      </c>
      <c r="NK260" s="13">
        <f>IF(NB260=1,$NB$35,$NB$36)</f>
        <v>0</v>
      </c>
      <c r="NL260" s="13">
        <f>OCC_DAYS*$NB$41*R_NF_2023-ND260*MCD_SHARE_FREED*R_WAIT_2023</f>
        <v>123327.15192717595</v>
      </c>
      <c r="NM260">
        <f>IF($A260&lt;=$NB$45,1,0)</f>
        <v>0</v>
      </c>
      <c r="OB260">
        <f>IF($OB$31&lt;=$OB$32,IF($A260&lt;=$OB$7,1,2),IF($A260&lt;=RUNG_BEDS_2,2,1))</f>
        <v>1</v>
      </c>
      <c r="OC260" s="5">
        <f>MIN(1,MAX(0,$OB$26-($A260-1)))</f>
        <v>0</v>
      </c>
      <c r="OD260" s="5">
        <f>$OB$25*(OC260+(1-OC260)*$OB$16)</f>
        <v>126.02661357340719</v>
      </c>
      <c r="OE260" s="13">
        <f>OD260*($OB$6+ACUTE_MARGIN)</f>
        <v>127286.87970914126</v>
      </c>
      <c r="OF260" s="13">
        <f>IF(OB260=1,$OB$31,$OB$32)</f>
        <v>152394.16214437486</v>
      </c>
      <c r="OG260" s="13">
        <f>OE260-OF260</f>
        <v>-25107.282435233603</v>
      </c>
      <c r="OH260" s="13">
        <f>OH259+OG260</f>
        <v>14670496.323099857</v>
      </c>
      <c r="OI260">
        <f>IF(OH260=MAX($OH$83:$OH$483),$A260,0)</f>
        <v>0</v>
      </c>
      <c r="OJ260">
        <f>IF(OE260&lt;OF260,$A260,B_MAX+1)</f>
        <v>177</v>
      </c>
      <c r="OK260" s="13">
        <f>IF(OB260=1,$OB$35,$OB$36)</f>
        <v>0</v>
      </c>
      <c r="OL260" s="13">
        <f>OCC_DAYS*$OB$41*R_NF_2023-OD260*MCD_SHARE_FREED*R_WAIT_2023</f>
        <v>94673.82103225985</v>
      </c>
      <c r="OM260">
        <f>IF($A260&lt;=$OB$45,1,0)</f>
        <v>0</v>
      </c>
    </row>
    <row r="261">
      <c r="A261" t="n">
        <v>178</v>
      </c>
      <c r="B261">
        <f>IF($B$31&lt;=$B$32,IF($A261&lt;=$B$7,1,2),IF($A261&lt;=RUNG_BEDS_2,2,1))</f>
        <v>1</v>
      </c>
      <c r="C261" s="5">
        <f>MIN(1,MAX(0,$B$26-($A261-1)))</f>
        <v>0</v>
      </c>
      <c r="D261" s="5">
        <f>$B$25*(C261+(1-C261)*$B$16)</f>
        <v>0.0</v>
      </c>
      <c r="E261" s="13">
        <f>D261*($B$6+ACUTE_MARGIN)</f>
        <v>0.0</v>
      </c>
      <c r="F261" s="13">
        <f>IF(B261=1,$B$31,$B$32)</f>
        <v>152394.16214437486</v>
      </c>
      <c r="G261" s="13">
        <f>E261-F261</f>
        <v>-152394.16214437486</v>
      </c>
      <c r="H261" s="13">
        <f>H260+G261</f>
        <v>11102809.766573604</v>
      </c>
      <c r="I261">
        <f>IF(H261=MAX($H$83:$H$483),$A261,0)</f>
        <v>0</v>
      </c>
      <c r="J261">
        <f>IF(E261&lt;F261,$A261,B_MAX+1)</f>
        <v>178</v>
      </c>
      <c r="K261" s="13">
        <f>IF(B261=1,$B$35,$B$36)</f>
        <v>0</v>
      </c>
      <c r="L261" s="13">
        <f>OCC_DAYS*$B$41*R_NF_2023-D261*MCD_SHARE_FREED*R_WAIT_2023</f>
        <v>151980.48282209205</v>
      </c>
      <c r="M261">
        <f>IF($A261&lt;=$B$45,1,0)</f>
        <v>0</v>
      </c>
      <c r="AB261">
        <f>IF($AB$31&lt;=$AB$32,IF($A261&lt;=$AB$7,1,2),IF($A261&lt;=RUNG_BEDS_2,2,1))</f>
        <v>1</v>
      </c>
      <c r="AC261" s="5">
        <f>MIN(1,MAX(0,$AB$26-($A261-1)))</f>
        <v>0</v>
      </c>
      <c r="AD261" s="5">
        <f>$AB$25*(AC261+(1-AC261)*$AB$16)</f>
        <v>0.0</v>
      </c>
      <c r="AE261" s="13">
        <f>AD261*($AB$6+ACUTE_MARGIN)</f>
        <v>0.0</v>
      </c>
      <c r="AF261" s="13">
        <f>IF(AB261=1,$AB$31,$AB$32)</f>
        <v>152394.16214437486</v>
      </c>
      <c r="AG261" s="13">
        <f>AE261-AF261</f>
        <v>-152394.16214437486</v>
      </c>
      <c r="AH261" s="13">
        <f>AH260+AG261</f>
        <v>-6308404.578976214</v>
      </c>
      <c r="AI261">
        <f>IF(AH261=MAX($AH$83:$AH$483),$A261,0)</f>
        <v>0</v>
      </c>
      <c r="AJ261">
        <f>IF(AE261&lt;AF261,$A261,B_MAX+1)</f>
        <v>178</v>
      </c>
      <c r="AK261" s="13">
        <f>IF(AB261=1,$AB$35,$AB$36)</f>
        <v>0</v>
      </c>
      <c r="AL261" s="13">
        <f>OCC_DAYS*$AB$41*R_NF_2023-AD261*MCD_SHARE_FREED*R_WAIT_2023</f>
        <v>151980.48282209205</v>
      </c>
      <c r="AM261">
        <f>IF($A261&lt;=$AB$45,1,0)</f>
        <v>0</v>
      </c>
      <c r="BB261">
        <f>IF($BB$31&lt;=$BB$32,IF($A261&lt;=$BB$7,1,2),IF($A261&lt;=RUNG_BEDS_2,2,1))</f>
        <v>1</v>
      </c>
      <c r="BC261" s="5">
        <f>MIN(1,MAX(0,$BB$26-($A261-1)))</f>
        <v>0</v>
      </c>
      <c r="BD261" s="5">
        <f>$BB$25*(BC261+(1-BC261)*$BB$16)</f>
        <v>0.0</v>
      </c>
      <c r="BE261" s="13">
        <f>BD261*($BB$6+ACUTE_MARGIN)</f>
        <v>0.0</v>
      </c>
      <c r="BF261" s="13">
        <f>IF(BB261=1,$BB$31,$BB$32)</f>
        <v>152394.16214437486</v>
      </c>
      <c r="BG261" s="13">
        <f>BE261-BF261</f>
        <v>-152394.16214437486</v>
      </c>
      <c r="BH261" s="13">
        <f>BH260+BG261</f>
        <v>28514024.112123266</v>
      </c>
      <c r="BI261">
        <f>IF(BH261=MAX($BH$83:$BH$483),$A261,0)</f>
        <v>0</v>
      </c>
      <c r="BJ261">
        <f>IF(BE261&lt;BF261,$A261,B_MAX+1)</f>
        <v>178</v>
      </c>
      <c r="BK261" s="13">
        <f>IF(BB261=1,$BB$35,$BB$36)</f>
        <v>0</v>
      </c>
      <c r="BL261" s="13">
        <f>OCC_DAYS*$BB$41*R_NF_2023-BD261*MCD_SHARE_FREED*R_WAIT_2023</f>
        <v>151980.48282209205</v>
      </c>
      <c r="BM261">
        <f>IF($A261&lt;=$BB$45,1,0)</f>
        <v>0</v>
      </c>
      <c r="CB261">
        <f>IF($CB$31&lt;=$CB$32,IF($A261&lt;=$CB$7,1,2),IF($A261&lt;=RUNG_BEDS_2,2,1))</f>
        <v>2</v>
      </c>
      <c r="CC261" s="5">
        <f>MIN(1,MAX(0,$CB$26-($A261-1)))</f>
        <v>0</v>
      </c>
      <c r="CD261" s="5">
        <f>$CB$25*(CC261+(1-CC261)*$CB$16)</f>
        <v>0.0</v>
      </c>
      <c r="CE261" s="13">
        <f>CD261*($CB$6+ACUTE_MARGIN)</f>
        <v>0.0</v>
      </c>
      <c r="CF261" s="13">
        <f>IF(CB261=1,$CB$31,$CB$32)</f>
        <v>160718.36940738867</v>
      </c>
      <c r="CG261" s="13">
        <f>CE261-CF261</f>
        <v>-160718.36940738867</v>
      </c>
      <c r="CH261" s="13">
        <f>CH260+CG261</f>
        <v>9621100.873757036</v>
      </c>
      <c r="CI261">
        <f>IF(CH261=MAX($CH$83:$CH$483),$A261,0)</f>
        <v>0</v>
      </c>
      <c r="CJ261">
        <f>IF(CE261&lt;CF261,$A261,B_MAX+1)</f>
        <v>178</v>
      </c>
      <c r="CK261" s="13">
        <f>IF(CB261=1,$CB$35,$CB$36)</f>
        <v>1560.1194073886782</v>
      </c>
      <c r="CL261" s="13">
        <f>OCC_DAYS*$CB$41*R_NF_2023-CD261*MCD_SHARE_FREED*R_WAIT_2023</f>
        <v>151980.48282209205</v>
      </c>
      <c r="CM261">
        <f>IF($A261&lt;=$CB$45,1,0)</f>
        <v>0</v>
      </c>
      <c r="DB261">
        <f>IF($DB$31&lt;=$DB$32,IF($A261&lt;=$DB$7,1,2),IF($A261&lt;=RUNG_BEDS_2,2,1))</f>
        <v>1</v>
      </c>
      <c r="DC261" s="5">
        <f>MIN(1,MAX(0,$DB$26-($A261-1)))</f>
        <v>0</v>
      </c>
      <c r="DD261" s="5">
        <f>$DB$25*(DC261+(1-DC261)*$DB$16)</f>
        <v>0.0</v>
      </c>
      <c r="DE261" s="13">
        <f>DD261*($DB$6+ACUTE_MARGIN)</f>
        <v>0.0</v>
      </c>
      <c r="DF261" s="13">
        <f>IF(DB261=1,$DB$31,$DB$32)</f>
        <v>152394.16214437486</v>
      </c>
      <c r="DG261" s="13">
        <f>DE261-DF261</f>
        <v>-152394.16214437486</v>
      </c>
      <c r="DH261" s="13">
        <f>DH260+DG261</f>
        <v>11102809.766573604</v>
      </c>
      <c r="DI261">
        <f>IF(DH261=MAX($DH$83:$DH$483),$A261,0)</f>
        <v>0</v>
      </c>
      <c r="DJ261">
        <f>IF(DE261&lt;DF261,$A261,B_MAX+1)</f>
        <v>178</v>
      </c>
      <c r="DK261" s="13">
        <f>IF(DB261=1,$DB$35,$DB$36)</f>
        <v>0</v>
      </c>
      <c r="DL261" s="13">
        <f>OCC_DAYS*$DB$41*R_NF_2023-DD261*MCD_SHARE_FREED*R_WAIT_2023</f>
        <v>151980.48282209205</v>
      </c>
      <c r="DM261">
        <f>IF($A261&lt;=$DB$45,1,0)</f>
        <v>0</v>
      </c>
      <c r="EB261">
        <f>IF($EB$31&lt;=$EB$32,IF($A261&lt;=$EB$7,1,2),IF($A261&lt;=RUNG_BEDS_2,2,1))</f>
        <v>1</v>
      </c>
      <c r="EC261" s="5">
        <f>MIN(1,MAX(0,$EB$26-($A261-1)))</f>
        <v>0</v>
      </c>
      <c r="ED261" s="5">
        <f>$EB$25*(EC261+(1-EC261)*$EB$16)</f>
        <v>0.0</v>
      </c>
      <c r="EE261" s="13">
        <f>ED261*($EB$6+ACUTE_MARGIN)</f>
        <v>0.0</v>
      </c>
      <c r="EF261" s="13">
        <f>IF(EB261=1,$EB$31,$EB$32)</f>
        <v>152394.16214437486</v>
      </c>
      <c r="EG261" s="13">
        <f>EE261-EF261</f>
        <v>-152394.16214437486</v>
      </c>
      <c r="EH261" s="13">
        <f>EH260+EG261</f>
        <v>11102809.766573604</v>
      </c>
      <c r="EI261">
        <f>IF(EH261=MAX($EH$83:$EH$483),$A261,0)</f>
        <v>0</v>
      </c>
      <c r="EJ261">
        <f>IF(EE261&lt;EF261,$A261,B_MAX+1)</f>
        <v>178</v>
      </c>
      <c r="EK261" s="13">
        <f>IF(EB261=1,$EB$35,$EB$36)</f>
        <v>0</v>
      </c>
      <c r="EL261" s="13">
        <f>OCC_DAYS*$EB$41*R_NF_2023-ED261*MCD_SHARE_FREED*R_WAIT_2023</f>
        <v>50660.16094069735</v>
      </c>
      <c r="EM261">
        <f>IF($A261&lt;=$EB$45,1,0)</f>
        <v>0</v>
      </c>
      <c r="FB261">
        <f>IF($FB$31&lt;=$FB$32,IF($A261&lt;=$FB$7,1,2),IF($A261&lt;=RUNG_BEDS_2,2,1))</f>
        <v>1</v>
      </c>
      <c r="FC261" s="5">
        <f>MIN(1,MAX(0,$FB$26-($A261-1)))</f>
        <v>0</v>
      </c>
      <c r="FD261" s="5">
        <f>$FB$25*(FC261+(1-FC261)*$FB$16)</f>
        <v>0.0</v>
      </c>
      <c r="FE261" s="13">
        <f>FD261*($FB$6+ACUTE_MARGIN)</f>
        <v>0.0</v>
      </c>
      <c r="FF261" s="13">
        <f>IF(FB261=1,$FB$31,$FB$32)</f>
        <v>156636.04979437485</v>
      </c>
      <c r="FG261" s="13">
        <f>FE261-FF261</f>
        <v>-156636.04979437485</v>
      </c>
      <c r="FH261" s="13">
        <f>FH260+FG261</f>
        <v>10347753.764873492</v>
      </c>
      <c r="FI261">
        <f>IF(FH261=MAX($FH$83:$FH$483),$A261,0)</f>
        <v>0</v>
      </c>
      <c r="FJ261">
        <f>IF(FE261&lt;FF261,$A261,B_MAX+1)</f>
        <v>178</v>
      </c>
      <c r="FK261" s="13">
        <f>IF(FB261=1,$FB$35,$FB$36)</f>
        <v>0</v>
      </c>
      <c r="FL261" s="13">
        <f>OCC_DAYS*$FB$41*R_NF_2023-FD261*MCD_SHARE_FREED*R_WAIT_2023</f>
        <v>151980.48282209205</v>
      </c>
      <c r="FM261">
        <f>IF($A261&lt;=$FB$45,1,0)</f>
        <v>0</v>
      </c>
      <c r="GB261">
        <f>IF($GB$31&lt;=$GB$32,IF($A261&lt;=$GB$7,1,2),IF($A261&lt;=RUNG_BEDS_2,2,1))</f>
        <v>1</v>
      </c>
      <c r="GC261" s="5">
        <f>MIN(1,MAX(0,$GB$26-($A261-1)))</f>
        <v>0</v>
      </c>
      <c r="GD261" s="5">
        <f>$GB$25*(GC261+(1-GC261)*$GB$16)</f>
        <v>0.0</v>
      </c>
      <c r="GE261" s="13">
        <f>GD261*($GB$6+ACUTE_MARGIN)</f>
        <v>0.0</v>
      </c>
      <c r="GF261" s="13">
        <f>IF(GB261=1,$GB$31,$GB$32)</f>
        <v>152394.16214437486</v>
      </c>
      <c r="GG261" s="13">
        <f>GE261-GF261</f>
        <v>-152394.16214437486</v>
      </c>
      <c r="GH261" s="13">
        <f>GH260+GG261</f>
        <v>11102809.766573604</v>
      </c>
      <c r="GI261">
        <f>IF(GH261=MAX($GH$83:$GH$483),$A261,0)</f>
        <v>0</v>
      </c>
      <c r="GJ261">
        <f>IF(GE261&lt;GF261,$A261,B_MAX+1)</f>
        <v>178</v>
      </c>
      <c r="GK261" s="13">
        <f>IF(GB261=1,$GB$35,$GB$36)</f>
        <v>0</v>
      </c>
      <c r="GL261" s="13">
        <f>OCC_DAYS*$GB$41*R_NF_2023-GD261*MCD_SHARE_FREED*R_WAIT_2023</f>
        <v>151980.48282209205</v>
      </c>
      <c r="GM261">
        <f>IF($A261&lt;=$GB$45,1,0)</f>
        <v>0</v>
      </c>
      <c r="HB261">
        <f>IF($HB$31&lt;=$HB$32,IF($A261&lt;=$HB$7,1,2),IF($A261&lt;=RUNG_BEDS_2,2,1))</f>
        <v>1</v>
      </c>
      <c r="HC261" s="5">
        <f>MIN(1,MAX(0,$HB$26-($A261-1)))</f>
        <v>0</v>
      </c>
      <c r="HD261" s="5">
        <f>$HB$25*(HC261+(1-HC261)*$HB$16)</f>
        <v>0.0</v>
      </c>
      <c r="HE261" s="13">
        <f>HD261*($HB$6+ACUTE_MARGIN)</f>
        <v>0.0</v>
      </c>
      <c r="HF261" s="13">
        <f>IF(HB261=1,$HB$31,$HB$32)</f>
        <v>152456.2970814058</v>
      </c>
      <c r="HG261" s="13">
        <f>HE261-HF261</f>
        <v>-152456.2970814058</v>
      </c>
      <c r="HH261" s="13">
        <f>HH260+HG261</f>
        <v>11091749.747782066</v>
      </c>
      <c r="HI261">
        <f>IF(HH261=MAX($HH$83:$HH$483),$A261,0)</f>
        <v>0</v>
      </c>
      <c r="HJ261">
        <f>IF(HE261&lt;HF261,$A261,B_MAX+1)</f>
        <v>178</v>
      </c>
      <c r="HK261" s="13">
        <f>IF(HB261=1,$HB$35,$HB$36)</f>
        <v>0</v>
      </c>
      <c r="HL261" s="13">
        <f>OCC_DAYS*$HB$41*R_NF_2023-HD261*MCD_SHARE_FREED*R_WAIT_2023</f>
        <v>151980.48282209205</v>
      </c>
      <c r="HM261">
        <f>IF($A261&lt;=$HB$45,1,0)</f>
        <v>0</v>
      </c>
      <c r="IB261">
        <f>IF($IB$31&lt;=$IB$32,IF($A261&lt;=$IB$7,1,2),IF($A261&lt;=RUNG_BEDS_2,2,1))</f>
        <v>1</v>
      </c>
      <c r="IC261" s="5">
        <f>MIN(1,MAX(0,$IB$26-($A261-1)))</f>
        <v>0</v>
      </c>
      <c r="ID261" s="5">
        <f>$IB$25*(IC261+(1-IC261)*$IB$16)</f>
        <v>0.0</v>
      </c>
      <c r="IE261" s="13">
        <f>ID261*($IB$6+ACUTE_MARGIN)</f>
        <v>0.0</v>
      </c>
      <c r="IF261" s="13">
        <f>IF(IB261=1,$IB$31,$IB$32)</f>
        <v>152734.9994534971</v>
      </c>
      <c r="IG261" s="13">
        <f>IE261-IF261</f>
        <v>-152734.9994534971</v>
      </c>
      <c r="IH261" s="13">
        <f>IH260+IG261</f>
        <v>11042140.725549744</v>
      </c>
      <c r="II261">
        <f>IF(IH261=MAX($IH$83:$IH$483),$A261,0)</f>
        <v>0</v>
      </c>
      <c r="IJ261">
        <f>IF(IE261&lt;IF261,$A261,B_MAX+1)</f>
        <v>178</v>
      </c>
      <c r="IK261" s="13">
        <f>IF(IB261=1,$IB$35,$IB$36)</f>
        <v>0</v>
      </c>
      <c r="IL261" s="13">
        <f>OCC_DAYS*$IB$41*R_NF_2023-ID261*MCD_SHARE_FREED*R_WAIT_2023</f>
        <v>151980.48282209205</v>
      </c>
      <c r="IM261">
        <f>IF($A261&lt;=$IB$45,1,0)</f>
        <v>0</v>
      </c>
      <c r="JB261">
        <f>IF($JB$31&lt;=$JB$32,IF($A261&lt;=$JB$7,1,2),IF($A261&lt;=RUNG_BEDS_2,2,1))</f>
        <v>1</v>
      </c>
      <c r="JC261" s="5">
        <f>MIN(1,MAX(0,$JB$26-($A261-1)))</f>
        <v>0</v>
      </c>
      <c r="JD261" s="5">
        <f>$JB$25*(JC261+(1-JC261)*$JB$16)</f>
        <v>0.0</v>
      </c>
      <c r="JE261" s="13">
        <f>JD261*($JB$6+ACUTE_MARGIN)</f>
        <v>0.0</v>
      </c>
      <c r="JF261" s="13">
        <f>IF(JB261=1,$JB$31,$JB$32)</f>
        <v>152394.16214437486</v>
      </c>
      <c r="JG261" s="13">
        <f>JE261-JF261</f>
        <v>-152394.16214437486</v>
      </c>
      <c r="JH261" s="13">
        <f>JH260+JG261</f>
        <v>11102809.766573604</v>
      </c>
      <c r="JI261">
        <f>IF(JH261=MAX($JH$83:$JH$483),$A261,0)</f>
        <v>0</v>
      </c>
      <c r="JJ261">
        <f>IF(JE261&lt;JF261,$A261,B_MAX+1)</f>
        <v>178</v>
      </c>
      <c r="JK261" s="13">
        <f>IF(JB261=1,$JB$35,$JB$36)</f>
        <v>0</v>
      </c>
      <c r="JL261" s="13">
        <f>OCC_DAYS*$JB$41*R_NF_2023-JD261*MCD_SHARE_FREED*R_WAIT_2023</f>
        <v>151980.48282209205</v>
      </c>
      <c r="JM261">
        <f>IF($A261&lt;=$JB$45,1,0)</f>
        <v>0</v>
      </c>
      <c r="KB261">
        <f>IF($KB$31&lt;=$KB$32,IF($A261&lt;=$KB$7,1,2),IF($A261&lt;=RUNG_BEDS_2,2,1))</f>
        <v>1</v>
      </c>
      <c r="KC261" s="5">
        <f>MIN(1,MAX(0,$KB$26-($A261-1)))</f>
        <v>1</v>
      </c>
      <c r="KD261" s="5">
        <f>$KB$25*(KC261+(1-KC261)*$KB$16)</f>
        <v>126.02661357340719</v>
      </c>
      <c r="KE261" s="13">
        <f>KD261*($KB$6+ACUTE_MARGIN)</f>
        <v>127286.87970914126</v>
      </c>
      <c r="KF261" s="13">
        <f>IF(KB261=1,$KB$31,$KB$32)</f>
        <v>152394.16214437486</v>
      </c>
      <c r="KG261" s="13">
        <f>KE261-KF261</f>
        <v>-25107.282435233603</v>
      </c>
      <c r="KH261" s="13">
        <f>KH260+KG261</f>
        <v>-4469096.273471595</v>
      </c>
      <c r="KI261">
        <f>IF(KH261=MAX($KH$83:$KH$483),$A261,0)</f>
        <v>0</v>
      </c>
      <c r="KJ261">
        <f>IF(KE261&lt;KF261,$A261,B_MAX+1)</f>
        <v>178</v>
      </c>
      <c r="KK261" s="13">
        <f>IF(KB261=1,$KB$35,$KB$36)</f>
        <v>0</v>
      </c>
      <c r="KL261" s="13">
        <f>OCC_DAYS*$KB$41*R_NF_2023-KD261*MCD_SHARE_FREED*R_WAIT_2023</f>
        <v>94673.82103225985</v>
      </c>
      <c r="KM261">
        <f>IF($A261&lt;=$KB$45,1,0)</f>
        <v>0</v>
      </c>
      <c r="LB261">
        <f>IF($LB$31&lt;=$LB$32,IF($A261&lt;=$LB$7,1,2),IF($A261&lt;=RUNG_BEDS_2,2,1))</f>
        <v>1</v>
      </c>
      <c r="LC261" s="5">
        <f>MIN(1,MAX(0,$LB$26-($A261-1)))</f>
        <v>1</v>
      </c>
      <c r="LD261" s="5">
        <f>$LB$25*(LC261+(1-LC261)*$LB$16)</f>
        <v>84.01774238227146</v>
      </c>
      <c r="LE261" s="13">
        <f>LD261*($LB$6+ACUTE_MARGIN)</f>
        <v>84857.91980609419</v>
      </c>
      <c r="LF261" s="13">
        <f>IF(LB261=1,$LB$31,$LB$32)</f>
        <v>152394.16214437486</v>
      </c>
      <c r="LG261" s="13">
        <f>LE261-LF261</f>
        <v>-67536.24233828067</v>
      </c>
      <c r="LH261" s="13">
        <f>LH260+LG261</f>
        <v>-12021451.13621401</v>
      </c>
      <c r="LI261">
        <f>IF(LH261=MAX($LH$83:$LH$483),$A261,0)</f>
        <v>0</v>
      </c>
      <c r="LJ261">
        <f>IF(LE261&lt;LF261,$A261,B_MAX+1)</f>
        <v>178</v>
      </c>
      <c r="LK261" s="13">
        <f>IF(LB261=1,$LB$35,$LB$36)</f>
        <v>0</v>
      </c>
      <c r="LL261" s="13">
        <f>OCC_DAYS*$LB$41*R_NF_2023-LD261*MCD_SHARE_FREED*R_WAIT_2023</f>
        <v>113776.04162887059</v>
      </c>
      <c r="LM261">
        <f>IF($A261&lt;=$LB$45,1,0)</f>
        <v>0</v>
      </c>
      <c r="MB261">
        <f>IF($MB$31&lt;=$MB$32,IF($A261&lt;=$MB$7,1,2),IF($A261&lt;=RUNG_BEDS_2,2,1))</f>
        <v>1</v>
      </c>
      <c r="MC261" s="5">
        <f>MIN(1,MAX(0,$MB$26-($A261-1)))</f>
        <v>0</v>
      </c>
      <c r="MD261" s="5">
        <f>$MB$25*(MC261+(1-MC261)*$MB$16)</f>
        <v>0.0</v>
      </c>
      <c r="ME261" s="13">
        <f>MD261*($MB$6+ACUTE_MARGIN)</f>
        <v>0.0</v>
      </c>
      <c r="MF261" s="13">
        <f>IF(MB261=1,$MB$31,$MB$32)</f>
        <v>152394.16214437486</v>
      </c>
      <c r="MG261" s="13">
        <f>ME261-MF261</f>
        <v>-152394.16214437486</v>
      </c>
      <c r="MH261" s="13">
        <f>MH260+MG261</f>
        <v>5215533.704775284</v>
      </c>
      <c r="MI261">
        <f>IF(MH261=MAX($MH$83:$MH$483),$A261,0)</f>
        <v>0</v>
      </c>
      <c r="MJ261">
        <f>IF(ME261&lt;MF261,$A261,B_MAX+1)</f>
        <v>178</v>
      </c>
      <c r="MK261" s="13">
        <f>IF(MB261=1,$MB$35,$MB$36)</f>
        <v>0</v>
      </c>
      <c r="ML261" s="13">
        <f>OCC_DAYS*$MB$41*R_NF_2023-MD261*MCD_SHARE_FREED*R_WAIT_2023</f>
        <v>151980.48282209205</v>
      </c>
      <c r="MM261">
        <f>IF($A261&lt;=$MB$45,1,0)</f>
        <v>0</v>
      </c>
      <c r="NB261">
        <f>IF($NB$31&lt;=$NB$32,IF($A261&lt;=$NB$7,1,2),IF($A261&lt;=RUNG_BEDS_2,2,1))</f>
        <v>1</v>
      </c>
      <c r="NC261" s="5">
        <f>MIN(1,MAX(0,$NB$26-($A261-1)))</f>
        <v>0</v>
      </c>
      <c r="ND261" s="5">
        <f>$NB$25*(NC261+(1-NC261)*$NB$16)</f>
        <v>63.013306786703595</v>
      </c>
      <c r="NE261" s="13">
        <f>ND261*($NB$6+ACUTE_MARGIN)</f>
        <v>63643.43985457063</v>
      </c>
      <c r="NF261" s="13">
        <f>IF(NB261=1,$NB$31,$NB$32)</f>
        <v>152394.16214437486</v>
      </c>
      <c r="NG261" s="13">
        <f>NE261-NF261</f>
        <v>-88750.72228980422</v>
      </c>
      <c r="NH261" s="13">
        <f>NH260+NG261</f>
        <v>12874099.403619088</v>
      </c>
      <c r="NI261">
        <f>IF(NH261=MAX($NH$83:$NH$483),$A261,0)</f>
        <v>0</v>
      </c>
      <c r="NJ261">
        <f>IF(NE261&lt;NF261,$A261,B_MAX+1)</f>
        <v>178</v>
      </c>
      <c r="NK261" s="13">
        <f>IF(NB261=1,$NB$35,$NB$36)</f>
        <v>0</v>
      </c>
      <c r="NL261" s="13">
        <f>OCC_DAYS*$NB$41*R_NF_2023-ND261*MCD_SHARE_FREED*R_WAIT_2023</f>
        <v>123327.15192717595</v>
      </c>
      <c r="NM261">
        <f>IF($A261&lt;=$NB$45,1,0)</f>
        <v>0</v>
      </c>
      <c r="OB261">
        <f>IF($OB$31&lt;=$OB$32,IF($A261&lt;=$OB$7,1,2),IF($A261&lt;=RUNG_BEDS_2,2,1))</f>
        <v>1</v>
      </c>
      <c r="OC261" s="5">
        <f>MIN(1,MAX(0,$OB$26-($A261-1)))</f>
        <v>0</v>
      </c>
      <c r="OD261" s="5">
        <f>$OB$25*(OC261+(1-OC261)*$OB$16)</f>
        <v>126.02661357340719</v>
      </c>
      <c r="OE261" s="13">
        <f>OD261*($OB$6+ACUTE_MARGIN)</f>
        <v>127286.87970914126</v>
      </c>
      <c r="OF261" s="13">
        <f>IF(OB261=1,$OB$31,$OB$32)</f>
        <v>152394.16214437486</v>
      </c>
      <c r="OG261" s="13">
        <f>OE261-OF261</f>
        <v>-25107.282435233603</v>
      </c>
      <c r="OH261" s="13">
        <f>OH260+OG261</f>
        <v>14645389.040664624</v>
      </c>
      <c r="OI261">
        <f>IF(OH261=MAX($OH$83:$OH$483),$A261,0)</f>
        <v>0</v>
      </c>
      <c r="OJ261">
        <f>IF(OE261&lt;OF261,$A261,B_MAX+1)</f>
        <v>178</v>
      </c>
      <c r="OK261" s="13">
        <f>IF(OB261=1,$OB$35,$OB$36)</f>
        <v>0</v>
      </c>
      <c r="OL261" s="13">
        <f>OCC_DAYS*$OB$41*R_NF_2023-OD261*MCD_SHARE_FREED*R_WAIT_2023</f>
        <v>94673.82103225985</v>
      </c>
      <c r="OM261">
        <f>IF($A261&lt;=$OB$45,1,0)</f>
        <v>0</v>
      </c>
    </row>
    <row r="262">
      <c r="A262" t="n">
        <v>179</v>
      </c>
      <c r="B262">
        <f>IF($B$31&lt;=$B$32,IF($A262&lt;=$B$7,1,2),IF($A262&lt;=RUNG_BEDS_2,2,1))</f>
        <v>1</v>
      </c>
      <c r="C262" s="5">
        <f>MIN(1,MAX(0,$B$26-($A262-1)))</f>
        <v>0</v>
      </c>
      <c r="D262" s="5">
        <f>$B$25*(C262+(1-C262)*$B$16)</f>
        <v>0.0</v>
      </c>
      <c r="E262" s="13">
        <f>D262*($B$6+ACUTE_MARGIN)</f>
        <v>0.0</v>
      </c>
      <c r="F262" s="13">
        <f>IF(B262=1,$B$31,$B$32)</f>
        <v>152394.16214437486</v>
      </c>
      <c r="G262" s="13">
        <f>E262-F262</f>
        <v>-152394.16214437486</v>
      </c>
      <c r="H262" s="13">
        <f>H261+G262</f>
        <v>10950415.60442923</v>
      </c>
      <c r="I262">
        <f>IF(H262=MAX($H$83:$H$483),$A262,0)</f>
        <v>0</v>
      </c>
      <c r="J262">
        <f>IF(E262&lt;F262,$A262,B_MAX+1)</f>
        <v>179</v>
      </c>
      <c r="K262" s="13">
        <f>IF(B262=1,$B$35,$B$36)</f>
        <v>0</v>
      </c>
      <c r="L262" s="13">
        <f>OCC_DAYS*$B$41*R_NF_2023-D262*MCD_SHARE_FREED*R_WAIT_2023</f>
        <v>151980.48282209205</v>
      </c>
      <c r="M262">
        <f>IF($A262&lt;=$B$45,1,0)</f>
        <v>0</v>
      </c>
      <c r="AB262">
        <f>IF($AB$31&lt;=$AB$32,IF($A262&lt;=$AB$7,1,2),IF($A262&lt;=RUNG_BEDS_2,2,1))</f>
        <v>1</v>
      </c>
      <c r="AC262" s="5">
        <f>MIN(1,MAX(0,$AB$26-($A262-1)))</f>
        <v>0</v>
      </c>
      <c r="AD262" s="5">
        <f>$AB$25*(AC262+(1-AC262)*$AB$16)</f>
        <v>0.0</v>
      </c>
      <c r="AE262" s="13">
        <f>AD262*($AB$6+ACUTE_MARGIN)</f>
        <v>0.0</v>
      </c>
      <c r="AF262" s="13">
        <f>IF(AB262=1,$AB$31,$AB$32)</f>
        <v>152394.16214437486</v>
      </c>
      <c r="AG262" s="13">
        <f>AE262-AF262</f>
        <v>-152394.16214437486</v>
      </c>
      <c r="AH262" s="13">
        <f>AH261+AG262</f>
        <v>-6460798.741120589</v>
      </c>
      <c r="AI262">
        <f>IF(AH262=MAX($AH$83:$AH$483),$A262,0)</f>
        <v>0</v>
      </c>
      <c r="AJ262">
        <f>IF(AE262&lt;AF262,$A262,B_MAX+1)</f>
        <v>179</v>
      </c>
      <c r="AK262" s="13">
        <f>IF(AB262=1,$AB$35,$AB$36)</f>
        <v>0</v>
      </c>
      <c r="AL262" s="13">
        <f>OCC_DAYS*$AB$41*R_NF_2023-AD262*MCD_SHARE_FREED*R_WAIT_2023</f>
        <v>151980.48282209205</v>
      </c>
      <c r="AM262">
        <f>IF($A262&lt;=$AB$45,1,0)</f>
        <v>0</v>
      </c>
      <c r="BB262">
        <f>IF($BB$31&lt;=$BB$32,IF($A262&lt;=$BB$7,1,2),IF($A262&lt;=RUNG_BEDS_2,2,1))</f>
        <v>1</v>
      </c>
      <c r="BC262" s="5">
        <f>MIN(1,MAX(0,$BB$26-($A262-1)))</f>
        <v>0</v>
      </c>
      <c r="BD262" s="5">
        <f>$BB$25*(BC262+(1-BC262)*$BB$16)</f>
        <v>0.0</v>
      </c>
      <c r="BE262" s="13">
        <f>BD262*($BB$6+ACUTE_MARGIN)</f>
        <v>0.0</v>
      </c>
      <c r="BF262" s="13">
        <f>IF(BB262=1,$BB$31,$BB$32)</f>
        <v>152394.16214437486</v>
      </c>
      <c r="BG262" s="13">
        <f>BE262-BF262</f>
        <v>-152394.16214437486</v>
      </c>
      <c r="BH262" s="13">
        <f>BH261+BG262</f>
        <v>28361629.94997889</v>
      </c>
      <c r="BI262">
        <f>IF(BH262=MAX($BH$83:$BH$483),$A262,0)</f>
        <v>0</v>
      </c>
      <c r="BJ262">
        <f>IF(BE262&lt;BF262,$A262,B_MAX+1)</f>
        <v>179</v>
      </c>
      <c r="BK262" s="13">
        <f>IF(BB262=1,$BB$35,$BB$36)</f>
        <v>0</v>
      </c>
      <c r="BL262" s="13">
        <f>OCC_DAYS*$BB$41*R_NF_2023-BD262*MCD_SHARE_FREED*R_WAIT_2023</f>
        <v>151980.48282209205</v>
      </c>
      <c r="BM262">
        <f>IF($A262&lt;=$BB$45,1,0)</f>
        <v>0</v>
      </c>
      <c r="CB262">
        <f>IF($CB$31&lt;=$CB$32,IF($A262&lt;=$CB$7,1,2),IF($A262&lt;=RUNG_BEDS_2,2,1))</f>
        <v>2</v>
      </c>
      <c r="CC262" s="5">
        <f>MIN(1,MAX(0,$CB$26-($A262-1)))</f>
        <v>0</v>
      </c>
      <c r="CD262" s="5">
        <f>$CB$25*(CC262+(1-CC262)*$CB$16)</f>
        <v>0.0</v>
      </c>
      <c r="CE262" s="13">
        <f>CD262*($CB$6+ACUTE_MARGIN)</f>
        <v>0.0</v>
      </c>
      <c r="CF262" s="13">
        <f>IF(CB262=1,$CB$31,$CB$32)</f>
        <v>160718.36940738867</v>
      </c>
      <c r="CG262" s="13">
        <f>CE262-CF262</f>
        <v>-160718.36940738867</v>
      </c>
      <c r="CH262" s="13">
        <f>CH261+CG262</f>
        <v>9460382.504349647</v>
      </c>
      <c r="CI262">
        <f>IF(CH262=MAX($CH$83:$CH$483),$A262,0)</f>
        <v>0</v>
      </c>
      <c r="CJ262">
        <f>IF(CE262&lt;CF262,$A262,B_MAX+1)</f>
        <v>179</v>
      </c>
      <c r="CK262" s="13">
        <f>IF(CB262=1,$CB$35,$CB$36)</f>
        <v>1560.1194073886782</v>
      </c>
      <c r="CL262" s="13">
        <f>OCC_DAYS*$CB$41*R_NF_2023-CD262*MCD_SHARE_FREED*R_WAIT_2023</f>
        <v>151980.48282209205</v>
      </c>
      <c r="CM262">
        <f>IF($A262&lt;=$CB$45,1,0)</f>
        <v>0</v>
      </c>
      <c r="DB262">
        <f>IF($DB$31&lt;=$DB$32,IF($A262&lt;=$DB$7,1,2),IF($A262&lt;=RUNG_BEDS_2,2,1))</f>
        <v>1</v>
      </c>
      <c r="DC262" s="5">
        <f>MIN(1,MAX(0,$DB$26-($A262-1)))</f>
        <v>0</v>
      </c>
      <c r="DD262" s="5">
        <f>$DB$25*(DC262+(1-DC262)*$DB$16)</f>
        <v>0.0</v>
      </c>
      <c r="DE262" s="13">
        <f>DD262*($DB$6+ACUTE_MARGIN)</f>
        <v>0.0</v>
      </c>
      <c r="DF262" s="13">
        <f>IF(DB262=1,$DB$31,$DB$32)</f>
        <v>152394.16214437486</v>
      </c>
      <c r="DG262" s="13">
        <f>DE262-DF262</f>
        <v>-152394.16214437486</v>
      </c>
      <c r="DH262" s="13">
        <f>DH261+DG262</f>
        <v>10950415.60442923</v>
      </c>
      <c r="DI262">
        <f>IF(DH262=MAX($DH$83:$DH$483),$A262,0)</f>
        <v>0</v>
      </c>
      <c r="DJ262">
        <f>IF(DE262&lt;DF262,$A262,B_MAX+1)</f>
        <v>179</v>
      </c>
      <c r="DK262" s="13">
        <f>IF(DB262=1,$DB$35,$DB$36)</f>
        <v>0</v>
      </c>
      <c r="DL262" s="13">
        <f>OCC_DAYS*$DB$41*R_NF_2023-DD262*MCD_SHARE_FREED*R_WAIT_2023</f>
        <v>151980.48282209205</v>
      </c>
      <c r="DM262">
        <f>IF($A262&lt;=$DB$45,1,0)</f>
        <v>0</v>
      </c>
      <c r="EB262">
        <f>IF($EB$31&lt;=$EB$32,IF($A262&lt;=$EB$7,1,2),IF($A262&lt;=RUNG_BEDS_2,2,1))</f>
        <v>1</v>
      </c>
      <c r="EC262" s="5">
        <f>MIN(1,MAX(0,$EB$26-($A262-1)))</f>
        <v>0</v>
      </c>
      <c r="ED262" s="5">
        <f>$EB$25*(EC262+(1-EC262)*$EB$16)</f>
        <v>0.0</v>
      </c>
      <c r="EE262" s="13">
        <f>ED262*($EB$6+ACUTE_MARGIN)</f>
        <v>0.0</v>
      </c>
      <c r="EF262" s="13">
        <f>IF(EB262=1,$EB$31,$EB$32)</f>
        <v>152394.16214437486</v>
      </c>
      <c r="EG262" s="13">
        <f>EE262-EF262</f>
        <v>-152394.16214437486</v>
      </c>
      <c r="EH262" s="13">
        <f>EH261+EG262</f>
        <v>10950415.60442923</v>
      </c>
      <c r="EI262">
        <f>IF(EH262=MAX($EH$83:$EH$483),$A262,0)</f>
        <v>0</v>
      </c>
      <c r="EJ262">
        <f>IF(EE262&lt;EF262,$A262,B_MAX+1)</f>
        <v>179</v>
      </c>
      <c r="EK262" s="13">
        <f>IF(EB262=1,$EB$35,$EB$36)</f>
        <v>0</v>
      </c>
      <c r="EL262" s="13">
        <f>OCC_DAYS*$EB$41*R_NF_2023-ED262*MCD_SHARE_FREED*R_WAIT_2023</f>
        <v>50660.16094069735</v>
      </c>
      <c r="EM262">
        <f>IF($A262&lt;=$EB$45,1,0)</f>
        <v>0</v>
      </c>
      <c r="FB262">
        <f>IF($FB$31&lt;=$FB$32,IF($A262&lt;=$FB$7,1,2),IF($A262&lt;=RUNG_BEDS_2,2,1))</f>
        <v>1</v>
      </c>
      <c r="FC262" s="5">
        <f>MIN(1,MAX(0,$FB$26-($A262-1)))</f>
        <v>0</v>
      </c>
      <c r="FD262" s="5">
        <f>$FB$25*(FC262+(1-FC262)*$FB$16)</f>
        <v>0.0</v>
      </c>
      <c r="FE262" s="13">
        <f>FD262*($FB$6+ACUTE_MARGIN)</f>
        <v>0.0</v>
      </c>
      <c r="FF262" s="13">
        <f>IF(FB262=1,$FB$31,$FB$32)</f>
        <v>156636.04979437485</v>
      </c>
      <c r="FG262" s="13">
        <f>FE262-FF262</f>
        <v>-156636.04979437485</v>
      </c>
      <c r="FH262" s="13">
        <f>FH261+FG262</f>
        <v>10191117.715079118</v>
      </c>
      <c r="FI262">
        <f>IF(FH262=MAX($FH$83:$FH$483),$A262,0)</f>
        <v>0</v>
      </c>
      <c r="FJ262">
        <f>IF(FE262&lt;FF262,$A262,B_MAX+1)</f>
        <v>179</v>
      </c>
      <c r="FK262" s="13">
        <f>IF(FB262=1,$FB$35,$FB$36)</f>
        <v>0</v>
      </c>
      <c r="FL262" s="13">
        <f>OCC_DAYS*$FB$41*R_NF_2023-FD262*MCD_SHARE_FREED*R_WAIT_2023</f>
        <v>151980.48282209205</v>
      </c>
      <c r="FM262">
        <f>IF($A262&lt;=$FB$45,1,0)</f>
        <v>0</v>
      </c>
      <c r="GB262">
        <f>IF($GB$31&lt;=$GB$32,IF($A262&lt;=$GB$7,1,2),IF($A262&lt;=RUNG_BEDS_2,2,1))</f>
        <v>1</v>
      </c>
      <c r="GC262" s="5">
        <f>MIN(1,MAX(0,$GB$26-($A262-1)))</f>
        <v>0</v>
      </c>
      <c r="GD262" s="5">
        <f>$GB$25*(GC262+(1-GC262)*$GB$16)</f>
        <v>0.0</v>
      </c>
      <c r="GE262" s="13">
        <f>GD262*($GB$6+ACUTE_MARGIN)</f>
        <v>0.0</v>
      </c>
      <c r="GF262" s="13">
        <f>IF(GB262=1,$GB$31,$GB$32)</f>
        <v>152394.16214437486</v>
      </c>
      <c r="GG262" s="13">
        <f>GE262-GF262</f>
        <v>-152394.16214437486</v>
      </c>
      <c r="GH262" s="13">
        <f>GH261+GG262</f>
        <v>10950415.60442923</v>
      </c>
      <c r="GI262">
        <f>IF(GH262=MAX($GH$83:$GH$483),$A262,0)</f>
        <v>0</v>
      </c>
      <c r="GJ262">
        <f>IF(GE262&lt;GF262,$A262,B_MAX+1)</f>
        <v>179</v>
      </c>
      <c r="GK262" s="13">
        <f>IF(GB262=1,$GB$35,$GB$36)</f>
        <v>0</v>
      </c>
      <c r="GL262" s="13">
        <f>OCC_DAYS*$GB$41*R_NF_2023-GD262*MCD_SHARE_FREED*R_WAIT_2023</f>
        <v>151980.48282209205</v>
      </c>
      <c r="GM262">
        <f>IF($A262&lt;=$GB$45,1,0)</f>
        <v>0</v>
      </c>
      <c r="HB262">
        <f>IF($HB$31&lt;=$HB$32,IF($A262&lt;=$HB$7,1,2),IF($A262&lt;=RUNG_BEDS_2,2,1))</f>
        <v>1</v>
      </c>
      <c r="HC262" s="5">
        <f>MIN(1,MAX(0,$HB$26-($A262-1)))</f>
        <v>0</v>
      </c>
      <c r="HD262" s="5">
        <f>$HB$25*(HC262+(1-HC262)*$HB$16)</f>
        <v>0.0</v>
      </c>
      <c r="HE262" s="13">
        <f>HD262*($HB$6+ACUTE_MARGIN)</f>
        <v>0.0</v>
      </c>
      <c r="HF262" s="13">
        <f>IF(HB262=1,$HB$31,$HB$32)</f>
        <v>152456.2970814058</v>
      </c>
      <c r="HG262" s="13">
        <f>HE262-HF262</f>
        <v>-152456.2970814058</v>
      </c>
      <c r="HH262" s="13">
        <f>HH261+HG262</f>
        <v>10939293.450700661</v>
      </c>
      <c r="HI262">
        <f>IF(HH262=MAX($HH$83:$HH$483),$A262,0)</f>
        <v>0</v>
      </c>
      <c r="HJ262">
        <f>IF(HE262&lt;HF262,$A262,B_MAX+1)</f>
        <v>179</v>
      </c>
      <c r="HK262" s="13">
        <f>IF(HB262=1,$HB$35,$HB$36)</f>
        <v>0</v>
      </c>
      <c r="HL262" s="13">
        <f>OCC_DAYS*$HB$41*R_NF_2023-HD262*MCD_SHARE_FREED*R_WAIT_2023</f>
        <v>151980.48282209205</v>
      </c>
      <c r="HM262">
        <f>IF($A262&lt;=$HB$45,1,0)</f>
        <v>0</v>
      </c>
      <c r="IB262">
        <f>IF($IB$31&lt;=$IB$32,IF($A262&lt;=$IB$7,1,2),IF($A262&lt;=RUNG_BEDS_2,2,1))</f>
        <v>1</v>
      </c>
      <c r="IC262" s="5">
        <f>MIN(1,MAX(0,$IB$26-($A262-1)))</f>
        <v>0</v>
      </c>
      <c r="ID262" s="5">
        <f>$IB$25*(IC262+(1-IC262)*$IB$16)</f>
        <v>0.0</v>
      </c>
      <c r="IE262" s="13">
        <f>ID262*($IB$6+ACUTE_MARGIN)</f>
        <v>0.0</v>
      </c>
      <c r="IF262" s="13">
        <f>IF(IB262=1,$IB$31,$IB$32)</f>
        <v>152734.9994534971</v>
      </c>
      <c r="IG262" s="13">
        <f>IE262-IF262</f>
        <v>-152734.9994534971</v>
      </c>
      <c r="IH262" s="13">
        <f>IH261+IG262</f>
        <v>10889405.726096248</v>
      </c>
      <c r="II262">
        <f>IF(IH262=MAX($IH$83:$IH$483),$A262,0)</f>
        <v>0</v>
      </c>
      <c r="IJ262">
        <f>IF(IE262&lt;IF262,$A262,B_MAX+1)</f>
        <v>179</v>
      </c>
      <c r="IK262" s="13">
        <f>IF(IB262=1,$IB$35,$IB$36)</f>
        <v>0</v>
      </c>
      <c r="IL262" s="13">
        <f>OCC_DAYS*$IB$41*R_NF_2023-ID262*MCD_SHARE_FREED*R_WAIT_2023</f>
        <v>151980.48282209205</v>
      </c>
      <c r="IM262">
        <f>IF($A262&lt;=$IB$45,1,0)</f>
        <v>0</v>
      </c>
      <c r="JB262">
        <f>IF($JB$31&lt;=$JB$32,IF($A262&lt;=$JB$7,1,2),IF($A262&lt;=RUNG_BEDS_2,2,1))</f>
        <v>1</v>
      </c>
      <c r="JC262" s="5">
        <f>MIN(1,MAX(0,$JB$26-($A262-1)))</f>
        <v>0</v>
      </c>
      <c r="JD262" s="5">
        <f>$JB$25*(JC262+(1-JC262)*$JB$16)</f>
        <v>0.0</v>
      </c>
      <c r="JE262" s="13">
        <f>JD262*($JB$6+ACUTE_MARGIN)</f>
        <v>0.0</v>
      </c>
      <c r="JF262" s="13">
        <f>IF(JB262=1,$JB$31,$JB$32)</f>
        <v>152394.16214437486</v>
      </c>
      <c r="JG262" s="13">
        <f>JE262-JF262</f>
        <v>-152394.16214437486</v>
      </c>
      <c r="JH262" s="13">
        <f>JH261+JG262</f>
        <v>10950415.60442923</v>
      </c>
      <c r="JI262">
        <f>IF(JH262=MAX($JH$83:$JH$483),$A262,0)</f>
        <v>0</v>
      </c>
      <c r="JJ262">
        <f>IF(JE262&lt;JF262,$A262,B_MAX+1)</f>
        <v>179</v>
      </c>
      <c r="JK262" s="13">
        <f>IF(JB262=1,$JB$35,$JB$36)</f>
        <v>0</v>
      </c>
      <c r="JL262" s="13">
        <f>OCC_DAYS*$JB$41*R_NF_2023-JD262*MCD_SHARE_FREED*R_WAIT_2023</f>
        <v>151980.48282209205</v>
      </c>
      <c r="JM262">
        <f>IF($A262&lt;=$JB$45,1,0)</f>
        <v>0</v>
      </c>
      <c r="KB262">
        <f>IF($KB$31&lt;=$KB$32,IF($A262&lt;=$KB$7,1,2),IF($A262&lt;=RUNG_BEDS_2,2,1))</f>
        <v>1</v>
      </c>
      <c r="KC262" s="5">
        <f>MIN(1,MAX(0,$KB$26-($A262-1)))</f>
        <v>1</v>
      </c>
      <c r="KD262" s="5">
        <f>$KB$25*(KC262+(1-KC262)*$KB$16)</f>
        <v>126.02661357340719</v>
      </c>
      <c r="KE262" s="13">
        <f>KD262*($KB$6+ACUTE_MARGIN)</f>
        <v>127286.87970914126</v>
      </c>
      <c r="KF262" s="13">
        <f>IF(KB262=1,$KB$31,$KB$32)</f>
        <v>152394.16214437486</v>
      </c>
      <c r="KG262" s="13">
        <f>KE262-KF262</f>
        <v>-25107.282435233603</v>
      </c>
      <c r="KH262" s="13">
        <f>KH261+KG262</f>
        <v>-4494203.5559068285</v>
      </c>
      <c r="KI262">
        <f>IF(KH262=MAX($KH$83:$KH$483),$A262,0)</f>
        <v>0</v>
      </c>
      <c r="KJ262">
        <f>IF(KE262&lt;KF262,$A262,B_MAX+1)</f>
        <v>179</v>
      </c>
      <c r="KK262" s="13">
        <f>IF(KB262=1,$KB$35,$KB$36)</f>
        <v>0</v>
      </c>
      <c r="KL262" s="13">
        <f>OCC_DAYS*$KB$41*R_NF_2023-KD262*MCD_SHARE_FREED*R_WAIT_2023</f>
        <v>94673.82103225985</v>
      </c>
      <c r="KM262">
        <f>IF($A262&lt;=$KB$45,1,0)</f>
        <v>0</v>
      </c>
      <c r="LB262">
        <f>IF($LB$31&lt;=$LB$32,IF($A262&lt;=$LB$7,1,2),IF($A262&lt;=RUNG_BEDS_2,2,1))</f>
        <v>1</v>
      </c>
      <c r="LC262" s="5">
        <f>MIN(1,MAX(0,$LB$26-($A262-1)))</f>
        <v>1</v>
      </c>
      <c r="LD262" s="5">
        <f>$LB$25*(LC262+(1-LC262)*$LB$16)</f>
        <v>84.01774238227146</v>
      </c>
      <c r="LE262" s="13">
        <f>LD262*($LB$6+ACUTE_MARGIN)</f>
        <v>84857.91980609419</v>
      </c>
      <c r="LF262" s="13">
        <f>IF(LB262=1,$LB$31,$LB$32)</f>
        <v>152394.16214437486</v>
      </c>
      <c r="LG262" s="13">
        <f>LE262-LF262</f>
        <v>-67536.24233828067</v>
      </c>
      <c r="LH262" s="13">
        <f>LH261+LG262</f>
        <v>-12088987.378552292</v>
      </c>
      <c r="LI262">
        <f>IF(LH262=MAX($LH$83:$LH$483),$A262,0)</f>
        <v>0</v>
      </c>
      <c r="LJ262">
        <f>IF(LE262&lt;LF262,$A262,B_MAX+1)</f>
        <v>179</v>
      </c>
      <c r="LK262" s="13">
        <f>IF(LB262=1,$LB$35,$LB$36)</f>
        <v>0</v>
      </c>
      <c r="LL262" s="13">
        <f>OCC_DAYS*$LB$41*R_NF_2023-LD262*MCD_SHARE_FREED*R_WAIT_2023</f>
        <v>113776.04162887059</v>
      </c>
      <c r="LM262">
        <f>IF($A262&lt;=$LB$45,1,0)</f>
        <v>0</v>
      </c>
      <c r="MB262">
        <f>IF($MB$31&lt;=$MB$32,IF($A262&lt;=$MB$7,1,2),IF($A262&lt;=RUNG_BEDS_2,2,1))</f>
        <v>1</v>
      </c>
      <c r="MC262" s="5">
        <f>MIN(1,MAX(0,$MB$26-($A262-1)))</f>
        <v>0</v>
      </c>
      <c r="MD262" s="5">
        <f>$MB$25*(MC262+(1-MC262)*$MB$16)</f>
        <v>0.0</v>
      </c>
      <c r="ME262" s="13">
        <f>MD262*($MB$6+ACUTE_MARGIN)</f>
        <v>0.0</v>
      </c>
      <c r="MF262" s="13">
        <f>IF(MB262=1,$MB$31,$MB$32)</f>
        <v>152394.16214437486</v>
      </c>
      <c r="MG262" s="13">
        <f>ME262-MF262</f>
        <v>-152394.16214437486</v>
      </c>
      <c r="MH262" s="13">
        <f>MH261+MG262</f>
        <v>5063139.542630909</v>
      </c>
      <c r="MI262">
        <f>IF(MH262=MAX($MH$83:$MH$483),$A262,0)</f>
        <v>0</v>
      </c>
      <c r="MJ262">
        <f>IF(ME262&lt;MF262,$A262,B_MAX+1)</f>
        <v>179</v>
      </c>
      <c r="MK262" s="13">
        <f>IF(MB262=1,$MB$35,$MB$36)</f>
        <v>0</v>
      </c>
      <c r="ML262" s="13">
        <f>OCC_DAYS*$MB$41*R_NF_2023-MD262*MCD_SHARE_FREED*R_WAIT_2023</f>
        <v>151980.48282209205</v>
      </c>
      <c r="MM262">
        <f>IF($A262&lt;=$MB$45,1,0)</f>
        <v>0</v>
      </c>
      <c r="NB262">
        <f>IF($NB$31&lt;=$NB$32,IF($A262&lt;=$NB$7,1,2),IF($A262&lt;=RUNG_BEDS_2,2,1))</f>
        <v>1</v>
      </c>
      <c r="NC262" s="5">
        <f>MIN(1,MAX(0,$NB$26-($A262-1)))</f>
        <v>0</v>
      </c>
      <c r="ND262" s="5">
        <f>$NB$25*(NC262+(1-NC262)*$NB$16)</f>
        <v>63.013306786703595</v>
      </c>
      <c r="NE262" s="13">
        <f>ND262*($NB$6+ACUTE_MARGIN)</f>
        <v>63643.43985457063</v>
      </c>
      <c r="NF262" s="13">
        <f>IF(NB262=1,$NB$31,$NB$32)</f>
        <v>152394.16214437486</v>
      </c>
      <c r="NG262" s="13">
        <f>NE262-NF262</f>
        <v>-88750.72228980422</v>
      </c>
      <c r="NH262" s="13">
        <f>NH261+NG262</f>
        <v>12785348.681329284</v>
      </c>
      <c r="NI262">
        <f>IF(NH262=MAX($NH$83:$NH$483),$A262,0)</f>
        <v>0</v>
      </c>
      <c r="NJ262">
        <f>IF(NE262&lt;NF262,$A262,B_MAX+1)</f>
        <v>179</v>
      </c>
      <c r="NK262" s="13">
        <f>IF(NB262=1,$NB$35,$NB$36)</f>
        <v>0</v>
      </c>
      <c r="NL262" s="13">
        <f>OCC_DAYS*$NB$41*R_NF_2023-ND262*MCD_SHARE_FREED*R_WAIT_2023</f>
        <v>123327.15192717595</v>
      </c>
      <c r="NM262">
        <f>IF($A262&lt;=$NB$45,1,0)</f>
        <v>0</v>
      </c>
      <c r="OB262">
        <f>IF($OB$31&lt;=$OB$32,IF($A262&lt;=$OB$7,1,2),IF($A262&lt;=RUNG_BEDS_2,2,1))</f>
        <v>1</v>
      </c>
      <c r="OC262" s="5">
        <f>MIN(1,MAX(0,$OB$26-($A262-1)))</f>
        <v>0</v>
      </c>
      <c r="OD262" s="5">
        <f>$OB$25*(OC262+(1-OC262)*$OB$16)</f>
        <v>126.02661357340719</v>
      </c>
      <c r="OE262" s="13">
        <f>OD262*($OB$6+ACUTE_MARGIN)</f>
        <v>127286.87970914126</v>
      </c>
      <c r="OF262" s="13">
        <f>IF(OB262=1,$OB$31,$OB$32)</f>
        <v>152394.16214437486</v>
      </c>
      <c r="OG262" s="13">
        <f>OE262-OF262</f>
        <v>-25107.282435233603</v>
      </c>
      <c r="OH262" s="13">
        <f>OH261+OG262</f>
        <v>14620281.758229392</v>
      </c>
      <c r="OI262">
        <f>IF(OH262=MAX($OH$83:$OH$483),$A262,0)</f>
        <v>0</v>
      </c>
      <c r="OJ262">
        <f>IF(OE262&lt;OF262,$A262,B_MAX+1)</f>
        <v>179</v>
      </c>
      <c r="OK262" s="13">
        <f>IF(OB262=1,$OB$35,$OB$36)</f>
        <v>0</v>
      </c>
      <c r="OL262" s="13">
        <f>OCC_DAYS*$OB$41*R_NF_2023-OD262*MCD_SHARE_FREED*R_WAIT_2023</f>
        <v>94673.82103225985</v>
      </c>
      <c r="OM262">
        <f>IF($A262&lt;=$OB$45,1,0)</f>
        <v>0</v>
      </c>
    </row>
    <row r="263">
      <c r="A263" t="n">
        <v>180</v>
      </c>
      <c r="B263">
        <f>IF($B$31&lt;=$B$32,IF($A263&lt;=$B$7,1,2),IF($A263&lt;=RUNG_BEDS_2,2,1))</f>
        <v>1</v>
      </c>
      <c r="C263" s="5">
        <f>MIN(1,MAX(0,$B$26-($A263-1)))</f>
        <v>0</v>
      </c>
      <c r="D263" s="5">
        <f>$B$25*(C263+(1-C263)*$B$16)</f>
        <v>0.0</v>
      </c>
      <c r="E263" s="13">
        <f>D263*($B$6+ACUTE_MARGIN)</f>
        <v>0.0</v>
      </c>
      <c r="F263" s="13">
        <f>IF(B263=1,$B$31,$B$32)</f>
        <v>152394.16214437486</v>
      </c>
      <c r="G263" s="13">
        <f>E263-F263</f>
        <v>-152394.16214437486</v>
      </c>
      <c r="H263" s="13">
        <f>H262+G263</f>
        <v>10798021.442284856</v>
      </c>
      <c r="I263">
        <f>IF(H263=MAX($H$83:$H$483),$A263,0)</f>
        <v>0</v>
      </c>
      <c r="J263">
        <f>IF(E263&lt;F263,$A263,B_MAX+1)</f>
        <v>180</v>
      </c>
      <c r="K263" s="13">
        <f>IF(B263=1,$B$35,$B$36)</f>
        <v>0</v>
      </c>
      <c r="L263" s="13">
        <f>OCC_DAYS*$B$41*R_NF_2023-D263*MCD_SHARE_FREED*R_WAIT_2023</f>
        <v>151980.48282209205</v>
      </c>
      <c r="M263">
        <f>IF($A263&lt;=$B$45,1,0)</f>
        <v>0</v>
      </c>
      <c r="AB263">
        <f>IF($AB$31&lt;=$AB$32,IF($A263&lt;=$AB$7,1,2),IF($A263&lt;=RUNG_BEDS_2,2,1))</f>
        <v>1</v>
      </c>
      <c r="AC263" s="5">
        <f>MIN(1,MAX(0,$AB$26-($A263-1)))</f>
        <v>0</v>
      </c>
      <c r="AD263" s="5">
        <f>$AB$25*(AC263+(1-AC263)*$AB$16)</f>
        <v>0.0</v>
      </c>
      <c r="AE263" s="13">
        <f>AD263*($AB$6+ACUTE_MARGIN)</f>
        <v>0.0</v>
      </c>
      <c r="AF263" s="13">
        <f>IF(AB263=1,$AB$31,$AB$32)</f>
        <v>152394.16214437486</v>
      </c>
      <c r="AG263" s="13">
        <f>AE263-AF263</f>
        <v>-152394.16214437486</v>
      </c>
      <c r="AH263" s="13">
        <f>AH262+AG263</f>
        <v>-6613192.903264964</v>
      </c>
      <c r="AI263">
        <f>IF(AH263=MAX($AH$83:$AH$483),$A263,0)</f>
        <v>0</v>
      </c>
      <c r="AJ263">
        <f>IF(AE263&lt;AF263,$A263,B_MAX+1)</f>
        <v>180</v>
      </c>
      <c r="AK263" s="13">
        <f>IF(AB263=1,$AB$35,$AB$36)</f>
        <v>0</v>
      </c>
      <c r="AL263" s="13">
        <f>OCC_DAYS*$AB$41*R_NF_2023-AD263*MCD_SHARE_FREED*R_WAIT_2023</f>
        <v>151980.48282209205</v>
      </c>
      <c r="AM263">
        <f>IF($A263&lt;=$AB$45,1,0)</f>
        <v>0</v>
      </c>
      <c r="BB263">
        <f>IF($BB$31&lt;=$BB$32,IF($A263&lt;=$BB$7,1,2),IF($A263&lt;=RUNG_BEDS_2,2,1))</f>
        <v>1</v>
      </c>
      <c r="BC263" s="5">
        <f>MIN(1,MAX(0,$BB$26-($A263-1)))</f>
        <v>0</v>
      </c>
      <c r="BD263" s="5">
        <f>$BB$25*(BC263+(1-BC263)*$BB$16)</f>
        <v>0.0</v>
      </c>
      <c r="BE263" s="13">
        <f>BD263*($BB$6+ACUTE_MARGIN)</f>
        <v>0.0</v>
      </c>
      <c r="BF263" s="13">
        <f>IF(BB263=1,$BB$31,$BB$32)</f>
        <v>152394.16214437486</v>
      </c>
      <c r="BG263" s="13">
        <f>BE263-BF263</f>
        <v>-152394.16214437486</v>
      </c>
      <c r="BH263" s="13">
        <f>BH262+BG263</f>
        <v>28209235.787834518</v>
      </c>
      <c r="BI263">
        <f>IF(BH263=MAX($BH$83:$BH$483),$A263,0)</f>
        <v>0</v>
      </c>
      <c r="BJ263">
        <f>IF(BE263&lt;BF263,$A263,B_MAX+1)</f>
        <v>180</v>
      </c>
      <c r="BK263" s="13">
        <f>IF(BB263=1,$BB$35,$BB$36)</f>
        <v>0</v>
      </c>
      <c r="BL263" s="13">
        <f>OCC_DAYS*$BB$41*R_NF_2023-BD263*MCD_SHARE_FREED*R_WAIT_2023</f>
        <v>151980.48282209205</v>
      </c>
      <c r="BM263">
        <f>IF($A263&lt;=$BB$45,1,0)</f>
        <v>0</v>
      </c>
      <c r="CB263">
        <f>IF($CB$31&lt;=$CB$32,IF($A263&lt;=$CB$7,1,2),IF($A263&lt;=RUNG_BEDS_2,2,1))</f>
        <v>2</v>
      </c>
      <c r="CC263" s="5">
        <f>MIN(1,MAX(0,$CB$26-($A263-1)))</f>
        <v>0</v>
      </c>
      <c r="CD263" s="5">
        <f>$CB$25*(CC263+(1-CC263)*$CB$16)</f>
        <v>0.0</v>
      </c>
      <c r="CE263" s="13">
        <f>CD263*($CB$6+ACUTE_MARGIN)</f>
        <v>0.0</v>
      </c>
      <c r="CF263" s="13">
        <f>IF(CB263=1,$CB$31,$CB$32)</f>
        <v>160718.36940738867</v>
      </c>
      <c r="CG263" s="13">
        <f>CE263-CF263</f>
        <v>-160718.36940738867</v>
      </c>
      <c r="CH263" s="13">
        <f>CH262+CG263</f>
        <v>9299664.134942258</v>
      </c>
      <c r="CI263">
        <f>IF(CH263=MAX($CH$83:$CH$483),$A263,0)</f>
        <v>0</v>
      </c>
      <c r="CJ263">
        <f>IF(CE263&lt;CF263,$A263,B_MAX+1)</f>
        <v>180</v>
      </c>
      <c r="CK263" s="13">
        <f>IF(CB263=1,$CB$35,$CB$36)</f>
        <v>1560.1194073886782</v>
      </c>
      <c r="CL263" s="13">
        <f>OCC_DAYS*$CB$41*R_NF_2023-CD263*MCD_SHARE_FREED*R_WAIT_2023</f>
        <v>151980.48282209205</v>
      </c>
      <c r="CM263">
        <f>IF($A263&lt;=$CB$45,1,0)</f>
        <v>0</v>
      </c>
      <c r="DB263">
        <f>IF($DB$31&lt;=$DB$32,IF($A263&lt;=$DB$7,1,2),IF($A263&lt;=RUNG_BEDS_2,2,1))</f>
        <v>1</v>
      </c>
      <c r="DC263" s="5">
        <f>MIN(1,MAX(0,$DB$26-($A263-1)))</f>
        <v>0</v>
      </c>
      <c r="DD263" s="5">
        <f>$DB$25*(DC263+(1-DC263)*$DB$16)</f>
        <v>0.0</v>
      </c>
      <c r="DE263" s="13">
        <f>DD263*($DB$6+ACUTE_MARGIN)</f>
        <v>0.0</v>
      </c>
      <c r="DF263" s="13">
        <f>IF(DB263=1,$DB$31,$DB$32)</f>
        <v>152394.16214437486</v>
      </c>
      <c r="DG263" s="13">
        <f>DE263-DF263</f>
        <v>-152394.16214437486</v>
      </c>
      <c r="DH263" s="13">
        <f>DH262+DG263</f>
        <v>10798021.442284856</v>
      </c>
      <c r="DI263">
        <f>IF(DH263=MAX($DH$83:$DH$483),$A263,0)</f>
        <v>0</v>
      </c>
      <c r="DJ263">
        <f>IF(DE263&lt;DF263,$A263,B_MAX+1)</f>
        <v>180</v>
      </c>
      <c r="DK263" s="13">
        <f>IF(DB263=1,$DB$35,$DB$36)</f>
        <v>0</v>
      </c>
      <c r="DL263" s="13">
        <f>OCC_DAYS*$DB$41*R_NF_2023-DD263*MCD_SHARE_FREED*R_WAIT_2023</f>
        <v>151980.48282209205</v>
      </c>
      <c r="DM263">
        <f>IF($A263&lt;=$DB$45,1,0)</f>
        <v>0</v>
      </c>
      <c r="EB263">
        <f>IF($EB$31&lt;=$EB$32,IF($A263&lt;=$EB$7,1,2),IF($A263&lt;=RUNG_BEDS_2,2,1))</f>
        <v>1</v>
      </c>
      <c r="EC263" s="5">
        <f>MIN(1,MAX(0,$EB$26-($A263-1)))</f>
        <v>0</v>
      </c>
      <c r="ED263" s="5">
        <f>$EB$25*(EC263+(1-EC263)*$EB$16)</f>
        <v>0.0</v>
      </c>
      <c r="EE263" s="13">
        <f>ED263*($EB$6+ACUTE_MARGIN)</f>
        <v>0.0</v>
      </c>
      <c r="EF263" s="13">
        <f>IF(EB263=1,$EB$31,$EB$32)</f>
        <v>152394.16214437486</v>
      </c>
      <c r="EG263" s="13">
        <f>EE263-EF263</f>
        <v>-152394.16214437486</v>
      </c>
      <c r="EH263" s="13">
        <f>EH262+EG263</f>
        <v>10798021.442284856</v>
      </c>
      <c r="EI263">
        <f>IF(EH263=MAX($EH$83:$EH$483),$A263,0)</f>
        <v>0</v>
      </c>
      <c r="EJ263">
        <f>IF(EE263&lt;EF263,$A263,B_MAX+1)</f>
        <v>180</v>
      </c>
      <c r="EK263" s="13">
        <f>IF(EB263=1,$EB$35,$EB$36)</f>
        <v>0</v>
      </c>
      <c r="EL263" s="13">
        <f>OCC_DAYS*$EB$41*R_NF_2023-ED263*MCD_SHARE_FREED*R_WAIT_2023</f>
        <v>50660.16094069735</v>
      </c>
      <c r="EM263">
        <f>IF($A263&lt;=$EB$45,1,0)</f>
        <v>0</v>
      </c>
      <c r="FB263">
        <f>IF($FB$31&lt;=$FB$32,IF($A263&lt;=$FB$7,1,2),IF($A263&lt;=RUNG_BEDS_2,2,1))</f>
        <v>1</v>
      </c>
      <c r="FC263" s="5">
        <f>MIN(1,MAX(0,$FB$26-($A263-1)))</f>
        <v>0</v>
      </c>
      <c r="FD263" s="5">
        <f>$FB$25*(FC263+(1-FC263)*$FB$16)</f>
        <v>0.0</v>
      </c>
      <c r="FE263" s="13">
        <f>FD263*($FB$6+ACUTE_MARGIN)</f>
        <v>0.0</v>
      </c>
      <c r="FF263" s="13">
        <f>IF(FB263=1,$FB$31,$FB$32)</f>
        <v>156636.04979437485</v>
      </c>
      <c r="FG263" s="13">
        <f>FE263-FF263</f>
        <v>-156636.04979437485</v>
      </c>
      <c r="FH263" s="13">
        <f>FH262+FG263</f>
        <v>10034481.665284744</v>
      </c>
      <c r="FI263">
        <f>IF(FH263=MAX($FH$83:$FH$483),$A263,0)</f>
        <v>0</v>
      </c>
      <c r="FJ263">
        <f>IF(FE263&lt;FF263,$A263,B_MAX+1)</f>
        <v>180</v>
      </c>
      <c r="FK263" s="13">
        <f>IF(FB263=1,$FB$35,$FB$36)</f>
        <v>0</v>
      </c>
      <c r="FL263" s="13">
        <f>OCC_DAYS*$FB$41*R_NF_2023-FD263*MCD_SHARE_FREED*R_WAIT_2023</f>
        <v>151980.48282209205</v>
      </c>
      <c r="FM263">
        <f>IF($A263&lt;=$FB$45,1,0)</f>
        <v>0</v>
      </c>
      <c r="GB263">
        <f>IF($GB$31&lt;=$GB$32,IF($A263&lt;=$GB$7,1,2),IF($A263&lt;=RUNG_BEDS_2,2,1))</f>
        <v>1</v>
      </c>
      <c r="GC263" s="5">
        <f>MIN(1,MAX(0,$GB$26-($A263-1)))</f>
        <v>0</v>
      </c>
      <c r="GD263" s="5">
        <f>$GB$25*(GC263+(1-GC263)*$GB$16)</f>
        <v>0.0</v>
      </c>
      <c r="GE263" s="13">
        <f>GD263*($GB$6+ACUTE_MARGIN)</f>
        <v>0.0</v>
      </c>
      <c r="GF263" s="13">
        <f>IF(GB263=1,$GB$31,$GB$32)</f>
        <v>152394.16214437486</v>
      </c>
      <c r="GG263" s="13">
        <f>GE263-GF263</f>
        <v>-152394.16214437486</v>
      </c>
      <c r="GH263" s="13">
        <f>GH262+GG263</f>
        <v>10798021.442284856</v>
      </c>
      <c r="GI263">
        <f>IF(GH263=MAX($GH$83:$GH$483),$A263,0)</f>
        <v>0</v>
      </c>
      <c r="GJ263">
        <f>IF(GE263&lt;GF263,$A263,B_MAX+1)</f>
        <v>180</v>
      </c>
      <c r="GK263" s="13">
        <f>IF(GB263=1,$GB$35,$GB$36)</f>
        <v>0</v>
      </c>
      <c r="GL263" s="13">
        <f>OCC_DAYS*$GB$41*R_NF_2023-GD263*MCD_SHARE_FREED*R_WAIT_2023</f>
        <v>151980.48282209205</v>
      </c>
      <c r="GM263">
        <f>IF($A263&lt;=$GB$45,1,0)</f>
        <v>0</v>
      </c>
      <c r="HB263">
        <f>IF($HB$31&lt;=$HB$32,IF($A263&lt;=$HB$7,1,2),IF($A263&lt;=RUNG_BEDS_2,2,1))</f>
        <v>1</v>
      </c>
      <c r="HC263" s="5">
        <f>MIN(1,MAX(0,$HB$26-($A263-1)))</f>
        <v>0</v>
      </c>
      <c r="HD263" s="5">
        <f>$HB$25*(HC263+(1-HC263)*$HB$16)</f>
        <v>0.0</v>
      </c>
      <c r="HE263" s="13">
        <f>HD263*($HB$6+ACUTE_MARGIN)</f>
        <v>0.0</v>
      </c>
      <c r="HF263" s="13">
        <f>IF(HB263=1,$HB$31,$HB$32)</f>
        <v>152456.2970814058</v>
      </c>
      <c r="HG263" s="13">
        <f>HE263-HF263</f>
        <v>-152456.2970814058</v>
      </c>
      <c r="HH263" s="13">
        <f>HH262+HG263</f>
        <v>10786837.153619256</v>
      </c>
      <c r="HI263">
        <f>IF(HH263=MAX($HH$83:$HH$483),$A263,0)</f>
        <v>0</v>
      </c>
      <c r="HJ263">
        <f>IF(HE263&lt;HF263,$A263,B_MAX+1)</f>
        <v>180</v>
      </c>
      <c r="HK263" s="13">
        <f>IF(HB263=1,$HB$35,$HB$36)</f>
        <v>0</v>
      </c>
      <c r="HL263" s="13">
        <f>OCC_DAYS*$HB$41*R_NF_2023-HD263*MCD_SHARE_FREED*R_WAIT_2023</f>
        <v>151980.48282209205</v>
      </c>
      <c r="HM263">
        <f>IF($A263&lt;=$HB$45,1,0)</f>
        <v>0</v>
      </c>
      <c r="IB263">
        <f>IF($IB$31&lt;=$IB$32,IF($A263&lt;=$IB$7,1,2),IF($A263&lt;=RUNG_BEDS_2,2,1))</f>
        <v>1</v>
      </c>
      <c r="IC263" s="5">
        <f>MIN(1,MAX(0,$IB$26-($A263-1)))</f>
        <v>0</v>
      </c>
      <c r="ID263" s="5">
        <f>$IB$25*(IC263+(1-IC263)*$IB$16)</f>
        <v>0.0</v>
      </c>
      <c r="IE263" s="13">
        <f>ID263*($IB$6+ACUTE_MARGIN)</f>
        <v>0.0</v>
      </c>
      <c r="IF263" s="13">
        <f>IF(IB263=1,$IB$31,$IB$32)</f>
        <v>152734.9994534971</v>
      </c>
      <c r="IG263" s="13">
        <f>IE263-IF263</f>
        <v>-152734.9994534971</v>
      </c>
      <c r="IH263" s="13">
        <f>IH262+IG263</f>
        <v>10736670.726642752</v>
      </c>
      <c r="II263">
        <f>IF(IH263=MAX($IH$83:$IH$483),$A263,0)</f>
        <v>0</v>
      </c>
      <c r="IJ263">
        <f>IF(IE263&lt;IF263,$A263,B_MAX+1)</f>
        <v>180</v>
      </c>
      <c r="IK263" s="13">
        <f>IF(IB263=1,$IB$35,$IB$36)</f>
        <v>0</v>
      </c>
      <c r="IL263" s="13">
        <f>OCC_DAYS*$IB$41*R_NF_2023-ID263*MCD_SHARE_FREED*R_WAIT_2023</f>
        <v>151980.48282209205</v>
      </c>
      <c r="IM263">
        <f>IF($A263&lt;=$IB$45,1,0)</f>
        <v>0</v>
      </c>
      <c r="JB263">
        <f>IF($JB$31&lt;=$JB$32,IF($A263&lt;=$JB$7,1,2),IF($A263&lt;=RUNG_BEDS_2,2,1))</f>
        <v>1</v>
      </c>
      <c r="JC263" s="5">
        <f>MIN(1,MAX(0,$JB$26-($A263-1)))</f>
        <v>0</v>
      </c>
      <c r="JD263" s="5">
        <f>$JB$25*(JC263+(1-JC263)*$JB$16)</f>
        <v>0.0</v>
      </c>
      <c r="JE263" s="13">
        <f>JD263*($JB$6+ACUTE_MARGIN)</f>
        <v>0.0</v>
      </c>
      <c r="JF263" s="13">
        <f>IF(JB263=1,$JB$31,$JB$32)</f>
        <v>152394.16214437486</v>
      </c>
      <c r="JG263" s="13">
        <f>JE263-JF263</f>
        <v>-152394.16214437486</v>
      </c>
      <c r="JH263" s="13">
        <f>JH262+JG263</f>
        <v>10798021.442284856</v>
      </c>
      <c r="JI263">
        <f>IF(JH263=MAX($JH$83:$JH$483),$A263,0)</f>
        <v>0</v>
      </c>
      <c r="JJ263">
        <f>IF(JE263&lt;JF263,$A263,B_MAX+1)</f>
        <v>180</v>
      </c>
      <c r="JK263" s="13">
        <f>IF(JB263=1,$JB$35,$JB$36)</f>
        <v>0</v>
      </c>
      <c r="JL263" s="13">
        <f>OCC_DAYS*$JB$41*R_NF_2023-JD263*MCD_SHARE_FREED*R_WAIT_2023</f>
        <v>151980.48282209205</v>
      </c>
      <c r="JM263">
        <f>IF($A263&lt;=$JB$45,1,0)</f>
        <v>0</v>
      </c>
      <c r="KB263">
        <f>IF($KB$31&lt;=$KB$32,IF($A263&lt;=$KB$7,1,2),IF($A263&lt;=RUNG_BEDS_2,2,1))</f>
        <v>1</v>
      </c>
      <c r="KC263" s="5">
        <f>MIN(1,MAX(0,$KB$26-($A263-1)))</f>
        <v>1</v>
      </c>
      <c r="KD263" s="5">
        <f>$KB$25*(KC263+(1-KC263)*$KB$16)</f>
        <v>126.02661357340719</v>
      </c>
      <c r="KE263" s="13">
        <f>KD263*($KB$6+ACUTE_MARGIN)</f>
        <v>127286.87970914126</v>
      </c>
      <c r="KF263" s="13">
        <f>IF(KB263=1,$KB$31,$KB$32)</f>
        <v>152394.16214437486</v>
      </c>
      <c r="KG263" s="13">
        <f>KE263-KF263</f>
        <v>-25107.282435233603</v>
      </c>
      <c r="KH263" s="13">
        <f>KH262+KG263</f>
        <v>-4519310.838342062</v>
      </c>
      <c r="KI263">
        <f>IF(KH263=MAX($KH$83:$KH$483),$A263,0)</f>
        <v>0</v>
      </c>
      <c r="KJ263">
        <f>IF(KE263&lt;KF263,$A263,B_MAX+1)</f>
        <v>180</v>
      </c>
      <c r="KK263" s="13">
        <f>IF(KB263=1,$KB$35,$KB$36)</f>
        <v>0</v>
      </c>
      <c r="KL263" s="13">
        <f>OCC_DAYS*$KB$41*R_NF_2023-KD263*MCD_SHARE_FREED*R_WAIT_2023</f>
        <v>94673.82103225985</v>
      </c>
      <c r="KM263">
        <f>IF($A263&lt;=$KB$45,1,0)</f>
        <v>0</v>
      </c>
      <c r="LB263">
        <f>IF($LB$31&lt;=$LB$32,IF($A263&lt;=$LB$7,1,2),IF($A263&lt;=RUNG_BEDS_2,2,1))</f>
        <v>1</v>
      </c>
      <c r="LC263" s="5">
        <f>MIN(1,MAX(0,$LB$26-($A263-1)))</f>
        <v>1</v>
      </c>
      <c r="LD263" s="5">
        <f>$LB$25*(LC263+(1-LC263)*$LB$16)</f>
        <v>84.01774238227146</v>
      </c>
      <c r="LE263" s="13">
        <f>LD263*($LB$6+ACUTE_MARGIN)</f>
        <v>84857.91980609419</v>
      </c>
      <c r="LF263" s="13">
        <f>IF(LB263=1,$LB$31,$LB$32)</f>
        <v>152394.16214437486</v>
      </c>
      <c r="LG263" s="13">
        <f>LE263-LF263</f>
        <v>-67536.24233828067</v>
      </c>
      <c r="LH263" s="13">
        <f>LH262+LG263</f>
        <v>-12156523.620890573</v>
      </c>
      <c r="LI263">
        <f>IF(LH263=MAX($LH$83:$LH$483),$A263,0)</f>
        <v>0</v>
      </c>
      <c r="LJ263">
        <f>IF(LE263&lt;LF263,$A263,B_MAX+1)</f>
        <v>180</v>
      </c>
      <c r="LK263" s="13">
        <f>IF(LB263=1,$LB$35,$LB$36)</f>
        <v>0</v>
      </c>
      <c r="LL263" s="13">
        <f>OCC_DAYS*$LB$41*R_NF_2023-LD263*MCD_SHARE_FREED*R_WAIT_2023</f>
        <v>113776.04162887059</v>
      </c>
      <c r="LM263">
        <f>IF($A263&lt;=$LB$45,1,0)</f>
        <v>0</v>
      </c>
      <c r="MB263">
        <f>IF($MB$31&lt;=$MB$32,IF($A263&lt;=$MB$7,1,2),IF($A263&lt;=RUNG_BEDS_2,2,1))</f>
        <v>1</v>
      </c>
      <c r="MC263" s="5">
        <f>MIN(1,MAX(0,$MB$26-($A263-1)))</f>
        <v>0</v>
      </c>
      <c r="MD263" s="5">
        <f>$MB$25*(MC263+(1-MC263)*$MB$16)</f>
        <v>0.0</v>
      </c>
      <c r="ME263" s="13">
        <f>MD263*($MB$6+ACUTE_MARGIN)</f>
        <v>0.0</v>
      </c>
      <c r="MF263" s="13">
        <f>IF(MB263=1,$MB$31,$MB$32)</f>
        <v>152394.16214437486</v>
      </c>
      <c r="MG263" s="13">
        <f>ME263-MF263</f>
        <v>-152394.16214437486</v>
      </c>
      <c r="MH263" s="13">
        <f>MH262+MG263</f>
        <v>4910745.380486534</v>
      </c>
      <c r="MI263">
        <f>IF(MH263=MAX($MH$83:$MH$483),$A263,0)</f>
        <v>0</v>
      </c>
      <c r="MJ263">
        <f>IF(ME263&lt;MF263,$A263,B_MAX+1)</f>
        <v>180</v>
      </c>
      <c r="MK263" s="13">
        <f>IF(MB263=1,$MB$35,$MB$36)</f>
        <v>0</v>
      </c>
      <c r="ML263" s="13">
        <f>OCC_DAYS*$MB$41*R_NF_2023-MD263*MCD_SHARE_FREED*R_WAIT_2023</f>
        <v>151980.48282209205</v>
      </c>
      <c r="MM263">
        <f>IF($A263&lt;=$MB$45,1,0)</f>
        <v>0</v>
      </c>
      <c r="NB263">
        <f>IF($NB$31&lt;=$NB$32,IF($A263&lt;=$NB$7,1,2),IF($A263&lt;=RUNG_BEDS_2,2,1))</f>
        <v>1</v>
      </c>
      <c r="NC263" s="5">
        <f>MIN(1,MAX(0,$NB$26-($A263-1)))</f>
        <v>0</v>
      </c>
      <c r="ND263" s="5">
        <f>$NB$25*(NC263+(1-NC263)*$NB$16)</f>
        <v>63.013306786703595</v>
      </c>
      <c r="NE263" s="13">
        <f>ND263*($NB$6+ACUTE_MARGIN)</f>
        <v>63643.43985457063</v>
      </c>
      <c r="NF263" s="13">
        <f>IF(NB263=1,$NB$31,$NB$32)</f>
        <v>152394.16214437486</v>
      </c>
      <c r="NG263" s="13">
        <f>NE263-NF263</f>
        <v>-88750.72228980422</v>
      </c>
      <c r="NH263" s="13">
        <f>NH262+NG263</f>
        <v>12696597.95903948</v>
      </c>
      <c r="NI263">
        <f>IF(NH263=MAX($NH$83:$NH$483),$A263,0)</f>
        <v>0</v>
      </c>
      <c r="NJ263">
        <f>IF(NE263&lt;NF263,$A263,B_MAX+1)</f>
        <v>180</v>
      </c>
      <c r="NK263" s="13">
        <f>IF(NB263=1,$NB$35,$NB$36)</f>
        <v>0</v>
      </c>
      <c r="NL263" s="13">
        <f>OCC_DAYS*$NB$41*R_NF_2023-ND263*MCD_SHARE_FREED*R_WAIT_2023</f>
        <v>123327.15192717595</v>
      </c>
      <c r="NM263">
        <f>IF($A263&lt;=$NB$45,1,0)</f>
        <v>0</v>
      </c>
      <c r="OB263">
        <f>IF($OB$31&lt;=$OB$32,IF($A263&lt;=$OB$7,1,2),IF($A263&lt;=RUNG_BEDS_2,2,1))</f>
        <v>1</v>
      </c>
      <c r="OC263" s="5">
        <f>MIN(1,MAX(0,$OB$26-($A263-1)))</f>
        <v>0</v>
      </c>
      <c r="OD263" s="5">
        <f>$OB$25*(OC263+(1-OC263)*$OB$16)</f>
        <v>126.02661357340719</v>
      </c>
      <c r="OE263" s="13">
        <f>OD263*($OB$6+ACUTE_MARGIN)</f>
        <v>127286.87970914126</v>
      </c>
      <c r="OF263" s="13">
        <f>IF(OB263=1,$OB$31,$OB$32)</f>
        <v>152394.16214437486</v>
      </c>
      <c r="OG263" s="13">
        <f>OE263-OF263</f>
        <v>-25107.282435233603</v>
      </c>
      <c r="OH263" s="13">
        <f>OH262+OG263</f>
        <v>14595174.475794159</v>
      </c>
      <c r="OI263">
        <f>IF(OH263=MAX($OH$83:$OH$483),$A263,0)</f>
        <v>0</v>
      </c>
      <c r="OJ263">
        <f>IF(OE263&lt;OF263,$A263,B_MAX+1)</f>
        <v>180</v>
      </c>
      <c r="OK263" s="13">
        <f>IF(OB263=1,$OB$35,$OB$36)</f>
        <v>0</v>
      </c>
      <c r="OL263" s="13">
        <f>OCC_DAYS*$OB$41*R_NF_2023-OD263*MCD_SHARE_FREED*R_WAIT_2023</f>
        <v>94673.82103225985</v>
      </c>
      <c r="OM263">
        <f>IF($A263&lt;=$OB$45,1,0)</f>
        <v>0</v>
      </c>
    </row>
    <row r="264">
      <c r="A264" t="n">
        <v>181</v>
      </c>
      <c r="B264">
        <f>IF($B$31&lt;=$B$32,IF($A264&lt;=$B$7,1,2),IF($A264&lt;=RUNG_BEDS_2,2,1))</f>
        <v>1</v>
      </c>
      <c r="C264" s="5">
        <f>MIN(1,MAX(0,$B$26-($A264-1)))</f>
        <v>0</v>
      </c>
      <c r="D264" s="5">
        <f>$B$25*(C264+(1-C264)*$B$16)</f>
        <v>0.0</v>
      </c>
      <c r="E264" s="13">
        <f>D264*($B$6+ACUTE_MARGIN)</f>
        <v>0.0</v>
      </c>
      <c r="F264" s="13">
        <f>IF(B264=1,$B$31,$B$32)</f>
        <v>152394.16214437486</v>
      </c>
      <c r="G264" s="13">
        <f>E264-F264</f>
        <v>-152394.16214437486</v>
      </c>
      <c r="H264" s="13">
        <f>H263+G264</f>
        <v>10645627.280140482</v>
      </c>
      <c r="I264">
        <f>IF(H264=MAX($H$83:$H$483),$A264,0)</f>
        <v>0</v>
      </c>
      <c r="J264">
        <f>IF(E264&lt;F264,$A264,B_MAX+1)</f>
        <v>181</v>
      </c>
      <c r="K264" s="13">
        <f>IF(B264=1,$B$35,$B$36)</f>
        <v>0</v>
      </c>
      <c r="L264" s="13">
        <f>OCC_DAYS*$B$41*R_NF_2023-D264*MCD_SHARE_FREED*R_WAIT_2023</f>
        <v>151980.48282209205</v>
      </c>
      <c r="M264">
        <f>IF($A264&lt;=$B$45,1,0)</f>
        <v>0</v>
      </c>
      <c r="AB264">
        <f>IF($AB$31&lt;=$AB$32,IF($A264&lt;=$AB$7,1,2),IF($A264&lt;=RUNG_BEDS_2,2,1))</f>
        <v>1</v>
      </c>
      <c r="AC264" s="5">
        <f>MIN(1,MAX(0,$AB$26-($A264-1)))</f>
        <v>0</v>
      </c>
      <c r="AD264" s="5">
        <f>$AB$25*(AC264+(1-AC264)*$AB$16)</f>
        <v>0.0</v>
      </c>
      <c r="AE264" s="13">
        <f>AD264*($AB$6+ACUTE_MARGIN)</f>
        <v>0.0</v>
      </c>
      <c r="AF264" s="13">
        <f>IF(AB264=1,$AB$31,$AB$32)</f>
        <v>152394.16214437486</v>
      </c>
      <c r="AG264" s="13">
        <f>AE264-AF264</f>
        <v>-152394.16214437486</v>
      </c>
      <c r="AH264" s="13">
        <f>AH263+AG264</f>
        <v>-6765587.065409339</v>
      </c>
      <c r="AI264">
        <f>IF(AH264=MAX($AH$83:$AH$483),$A264,0)</f>
        <v>0</v>
      </c>
      <c r="AJ264">
        <f>IF(AE264&lt;AF264,$A264,B_MAX+1)</f>
        <v>181</v>
      </c>
      <c r="AK264" s="13">
        <f>IF(AB264=1,$AB$35,$AB$36)</f>
        <v>0</v>
      </c>
      <c r="AL264" s="13">
        <f>OCC_DAYS*$AB$41*R_NF_2023-AD264*MCD_SHARE_FREED*R_WAIT_2023</f>
        <v>151980.48282209205</v>
      </c>
      <c r="AM264">
        <f>IF($A264&lt;=$AB$45,1,0)</f>
        <v>0</v>
      </c>
      <c r="BB264">
        <f>IF($BB$31&lt;=$BB$32,IF($A264&lt;=$BB$7,1,2),IF($A264&lt;=RUNG_BEDS_2,2,1))</f>
        <v>1</v>
      </c>
      <c r="BC264" s="5">
        <f>MIN(1,MAX(0,$BB$26-($A264-1)))</f>
        <v>0</v>
      </c>
      <c r="BD264" s="5">
        <f>$BB$25*(BC264+(1-BC264)*$BB$16)</f>
        <v>0.0</v>
      </c>
      <c r="BE264" s="13">
        <f>BD264*($BB$6+ACUTE_MARGIN)</f>
        <v>0.0</v>
      </c>
      <c r="BF264" s="13">
        <f>IF(BB264=1,$BB$31,$BB$32)</f>
        <v>152394.16214437486</v>
      </c>
      <c r="BG264" s="13">
        <f>BE264-BF264</f>
        <v>-152394.16214437486</v>
      </c>
      <c r="BH264" s="13">
        <f>BH263+BG264</f>
        <v>28056841.625690144</v>
      </c>
      <c r="BI264">
        <f>IF(BH264=MAX($BH$83:$BH$483),$A264,0)</f>
        <v>0</v>
      </c>
      <c r="BJ264">
        <f>IF(BE264&lt;BF264,$A264,B_MAX+1)</f>
        <v>181</v>
      </c>
      <c r="BK264" s="13">
        <f>IF(BB264=1,$BB$35,$BB$36)</f>
        <v>0</v>
      </c>
      <c r="BL264" s="13">
        <f>OCC_DAYS*$BB$41*R_NF_2023-BD264*MCD_SHARE_FREED*R_WAIT_2023</f>
        <v>151980.48282209205</v>
      </c>
      <c r="BM264">
        <f>IF($A264&lt;=$BB$45,1,0)</f>
        <v>0</v>
      </c>
      <c r="CB264">
        <f>IF($CB$31&lt;=$CB$32,IF($A264&lt;=$CB$7,1,2),IF($A264&lt;=RUNG_BEDS_2,2,1))</f>
        <v>2</v>
      </c>
      <c r="CC264" s="5">
        <f>MIN(1,MAX(0,$CB$26-($A264-1)))</f>
        <v>0</v>
      </c>
      <c r="CD264" s="5">
        <f>$CB$25*(CC264+(1-CC264)*$CB$16)</f>
        <v>0.0</v>
      </c>
      <c r="CE264" s="13">
        <f>CD264*($CB$6+ACUTE_MARGIN)</f>
        <v>0.0</v>
      </c>
      <c r="CF264" s="13">
        <f>IF(CB264=1,$CB$31,$CB$32)</f>
        <v>160718.36940738867</v>
      </c>
      <c r="CG264" s="13">
        <f>CE264-CF264</f>
        <v>-160718.36940738867</v>
      </c>
      <c r="CH264" s="13">
        <f>CH263+CG264</f>
        <v>9138945.765534868</v>
      </c>
      <c r="CI264">
        <f>IF(CH264=MAX($CH$83:$CH$483),$A264,0)</f>
        <v>0</v>
      </c>
      <c r="CJ264">
        <f>IF(CE264&lt;CF264,$A264,B_MAX+1)</f>
        <v>181</v>
      </c>
      <c r="CK264" s="13">
        <f>IF(CB264=1,$CB$35,$CB$36)</f>
        <v>1560.1194073886782</v>
      </c>
      <c r="CL264" s="13">
        <f>OCC_DAYS*$CB$41*R_NF_2023-CD264*MCD_SHARE_FREED*R_WAIT_2023</f>
        <v>151980.48282209205</v>
      </c>
      <c r="CM264">
        <f>IF($A264&lt;=$CB$45,1,0)</f>
        <v>0</v>
      </c>
      <c r="DB264">
        <f>IF($DB$31&lt;=$DB$32,IF($A264&lt;=$DB$7,1,2),IF($A264&lt;=RUNG_BEDS_2,2,1))</f>
        <v>1</v>
      </c>
      <c r="DC264" s="5">
        <f>MIN(1,MAX(0,$DB$26-($A264-1)))</f>
        <v>0</v>
      </c>
      <c r="DD264" s="5">
        <f>$DB$25*(DC264+(1-DC264)*$DB$16)</f>
        <v>0.0</v>
      </c>
      <c r="DE264" s="13">
        <f>DD264*($DB$6+ACUTE_MARGIN)</f>
        <v>0.0</v>
      </c>
      <c r="DF264" s="13">
        <f>IF(DB264=1,$DB$31,$DB$32)</f>
        <v>152394.16214437486</v>
      </c>
      <c r="DG264" s="13">
        <f>DE264-DF264</f>
        <v>-152394.16214437486</v>
      </c>
      <c r="DH264" s="13">
        <f>DH263+DG264</f>
        <v>10645627.280140482</v>
      </c>
      <c r="DI264">
        <f>IF(DH264=MAX($DH$83:$DH$483),$A264,0)</f>
        <v>0</v>
      </c>
      <c r="DJ264">
        <f>IF(DE264&lt;DF264,$A264,B_MAX+1)</f>
        <v>181</v>
      </c>
      <c r="DK264" s="13">
        <f>IF(DB264=1,$DB$35,$DB$36)</f>
        <v>0</v>
      </c>
      <c r="DL264" s="13">
        <f>OCC_DAYS*$DB$41*R_NF_2023-DD264*MCD_SHARE_FREED*R_WAIT_2023</f>
        <v>151980.48282209205</v>
      </c>
      <c r="DM264">
        <f>IF($A264&lt;=$DB$45,1,0)</f>
        <v>0</v>
      </c>
      <c r="EB264">
        <f>IF($EB$31&lt;=$EB$32,IF($A264&lt;=$EB$7,1,2),IF($A264&lt;=RUNG_BEDS_2,2,1))</f>
        <v>1</v>
      </c>
      <c r="EC264" s="5">
        <f>MIN(1,MAX(0,$EB$26-($A264-1)))</f>
        <v>0</v>
      </c>
      <c r="ED264" s="5">
        <f>$EB$25*(EC264+(1-EC264)*$EB$16)</f>
        <v>0.0</v>
      </c>
      <c r="EE264" s="13">
        <f>ED264*($EB$6+ACUTE_MARGIN)</f>
        <v>0.0</v>
      </c>
      <c r="EF264" s="13">
        <f>IF(EB264=1,$EB$31,$EB$32)</f>
        <v>152394.16214437486</v>
      </c>
      <c r="EG264" s="13">
        <f>EE264-EF264</f>
        <v>-152394.16214437486</v>
      </c>
      <c r="EH264" s="13">
        <f>EH263+EG264</f>
        <v>10645627.280140482</v>
      </c>
      <c r="EI264">
        <f>IF(EH264=MAX($EH$83:$EH$483),$A264,0)</f>
        <v>0</v>
      </c>
      <c r="EJ264">
        <f>IF(EE264&lt;EF264,$A264,B_MAX+1)</f>
        <v>181</v>
      </c>
      <c r="EK264" s="13">
        <f>IF(EB264=1,$EB$35,$EB$36)</f>
        <v>0</v>
      </c>
      <c r="EL264" s="13">
        <f>OCC_DAYS*$EB$41*R_NF_2023-ED264*MCD_SHARE_FREED*R_WAIT_2023</f>
        <v>50660.16094069735</v>
      </c>
      <c r="EM264">
        <f>IF($A264&lt;=$EB$45,1,0)</f>
        <v>0</v>
      </c>
      <c r="FB264">
        <f>IF($FB$31&lt;=$FB$32,IF($A264&lt;=$FB$7,1,2),IF($A264&lt;=RUNG_BEDS_2,2,1))</f>
        <v>1</v>
      </c>
      <c r="FC264" s="5">
        <f>MIN(1,MAX(0,$FB$26-($A264-1)))</f>
        <v>0</v>
      </c>
      <c r="FD264" s="5">
        <f>$FB$25*(FC264+(1-FC264)*$FB$16)</f>
        <v>0.0</v>
      </c>
      <c r="FE264" s="13">
        <f>FD264*($FB$6+ACUTE_MARGIN)</f>
        <v>0.0</v>
      </c>
      <c r="FF264" s="13">
        <f>IF(FB264=1,$FB$31,$FB$32)</f>
        <v>156636.04979437485</v>
      </c>
      <c r="FG264" s="13">
        <f>FE264-FF264</f>
        <v>-156636.04979437485</v>
      </c>
      <c r="FH264" s="13">
        <f>FH263+FG264</f>
        <v>9877845.61549037</v>
      </c>
      <c r="FI264">
        <f>IF(FH264=MAX($FH$83:$FH$483),$A264,0)</f>
        <v>0</v>
      </c>
      <c r="FJ264">
        <f>IF(FE264&lt;FF264,$A264,B_MAX+1)</f>
        <v>181</v>
      </c>
      <c r="FK264" s="13">
        <f>IF(FB264=1,$FB$35,$FB$36)</f>
        <v>0</v>
      </c>
      <c r="FL264" s="13">
        <f>OCC_DAYS*$FB$41*R_NF_2023-FD264*MCD_SHARE_FREED*R_WAIT_2023</f>
        <v>151980.48282209205</v>
      </c>
      <c r="FM264">
        <f>IF($A264&lt;=$FB$45,1,0)</f>
        <v>0</v>
      </c>
      <c r="GB264">
        <f>IF($GB$31&lt;=$GB$32,IF($A264&lt;=$GB$7,1,2),IF($A264&lt;=RUNG_BEDS_2,2,1))</f>
        <v>1</v>
      </c>
      <c r="GC264" s="5">
        <f>MIN(1,MAX(0,$GB$26-($A264-1)))</f>
        <v>0</v>
      </c>
      <c r="GD264" s="5">
        <f>$GB$25*(GC264+(1-GC264)*$GB$16)</f>
        <v>0.0</v>
      </c>
      <c r="GE264" s="13">
        <f>GD264*($GB$6+ACUTE_MARGIN)</f>
        <v>0.0</v>
      </c>
      <c r="GF264" s="13">
        <f>IF(GB264=1,$GB$31,$GB$32)</f>
        <v>152394.16214437486</v>
      </c>
      <c r="GG264" s="13">
        <f>GE264-GF264</f>
        <v>-152394.16214437486</v>
      </c>
      <c r="GH264" s="13">
        <f>GH263+GG264</f>
        <v>10645627.280140482</v>
      </c>
      <c r="GI264">
        <f>IF(GH264=MAX($GH$83:$GH$483),$A264,0)</f>
        <v>0</v>
      </c>
      <c r="GJ264">
        <f>IF(GE264&lt;GF264,$A264,B_MAX+1)</f>
        <v>181</v>
      </c>
      <c r="GK264" s="13">
        <f>IF(GB264=1,$GB$35,$GB$36)</f>
        <v>0</v>
      </c>
      <c r="GL264" s="13">
        <f>OCC_DAYS*$GB$41*R_NF_2023-GD264*MCD_SHARE_FREED*R_WAIT_2023</f>
        <v>151980.48282209205</v>
      </c>
      <c r="GM264">
        <f>IF($A264&lt;=$GB$45,1,0)</f>
        <v>0</v>
      </c>
      <c r="HB264">
        <f>IF($HB$31&lt;=$HB$32,IF($A264&lt;=$HB$7,1,2),IF($A264&lt;=RUNG_BEDS_2,2,1))</f>
        <v>1</v>
      </c>
      <c r="HC264" s="5">
        <f>MIN(1,MAX(0,$HB$26-($A264-1)))</f>
        <v>0</v>
      </c>
      <c r="HD264" s="5">
        <f>$HB$25*(HC264+(1-HC264)*$HB$16)</f>
        <v>0.0</v>
      </c>
      <c r="HE264" s="13">
        <f>HD264*($HB$6+ACUTE_MARGIN)</f>
        <v>0.0</v>
      </c>
      <c r="HF264" s="13">
        <f>IF(HB264=1,$HB$31,$HB$32)</f>
        <v>152456.2970814058</v>
      </c>
      <c r="HG264" s="13">
        <f>HE264-HF264</f>
        <v>-152456.2970814058</v>
      </c>
      <c r="HH264" s="13">
        <f>HH263+HG264</f>
        <v>10634380.85653785</v>
      </c>
      <c r="HI264">
        <f>IF(HH264=MAX($HH$83:$HH$483),$A264,0)</f>
        <v>0</v>
      </c>
      <c r="HJ264">
        <f>IF(HE264&lt;HF264,$A264,B_MAX+1)</f>
        <v>181</v>
      </c>
      <c r="HK264" s="13">
        <f>IF(HB264=1,$HB$35,$HB$36)</f>
        <v>0</v>
      </c>
      <c r="HL264" s="13">
        <f>OCC_DAYS*$HB$41*R_NF_2023-HD264*MCD_SHARE_FREED*R_WAIT_2023</f>
        <v>151980.48282209205</v>
      </c>
      <c r="HM264">
        <f>IF($A264&lt;=$HB$45,1,0)</f>
        <v>0</v>
      </c>
      <c r="IB264">
        <f>IF($IB$31&lt;=$IB$32,IF($A264&lt;=$IB$7,1,2),IF($A264&lt;=RUNG_BEDS_2,2,1))</f>
        <v>1</v>
      </c>
      <c r="IC264" s="5">
        <f>MIN(1,MAX(0,$IB$26-($A264-1)))</f>
        <v>0</v>
      </c>
      <c r="ID264" s="5">
        <f>$IB$25*(IC264+(1-IC264)*$IB$16)</f>
        <v>0.0</v>
      </c>
      <c r="IE264" s="13">
        <f>ID264*($IB$6+ACUTE_MARGIN)</f>
        <v>0.0</v>
      </c>
      <c r="IF264" s="13">
        <f>IF(IB264=1,$IB$31,$IB$32)</f>
        <v>152734.9994534971</v>
      </c>
      <c r="IG264" s="13">
        <f>IE264-IF264</f>
        <v>-152734.9994534971</v>
      </c>
      <c r="IH264" s="13">
        <f>IH263+IG264</f>
        <v>10583935.727189256</v>
      </c>
      <c r="II264">
        <f>IF(IH264=MAX($IH$83:$IH$483),$A264,0)</f>
        <v>0</v>
      </c>
      <c r="IJ264">
        <f>IF(IE264&lt;IF264,$A264,B_MAX+1)</f>
        <v>181</v>
      </c>
      <c r="IK264" s="13">
        <f>IF(IB264=1,$IB$35,$IB$36)</f>
        <v>0</v>
      </c>
      <c r="IL264" s="13">
        <f>OCC_DAYS*$IB$41*R_NF_2023-ID264*MCD_SHARE_FREED*R_WAIT_2023</f>
        <v>151980.48282209205</v>
      </c>
      <c r="IM264">
        <f>IF($A264&lt;=$IB$45,1,0)</f>
        <v>0</v>
      </c>
      <c r="JB264">
        <f>IF($JB$31&lt;=$JB$32,IF($A264&lt;=$JB$7,1,2),IF($A264&lt;=RUNG_BEDS_2,2,1))</f>
        <v>1</v>
      </c>
      <c r="JC264" s="5">
        <f>MIN(1,MAX(0,$JB$26-($A264-1)))</f>
        <v>0</v>
      </c>
      <c r="JD264" s="5">
        <f>$JB$25*(JC264+(1-JC264)*$JB$16)</f>
        <v>0.0</v>
      </c>
      <c r="JE264" s="13">
        <f>JD264*($JB$6+ACUTE_MARGIN)</f>
        <v>0.0</v>
      </c>
      <c r="JF264" s="13">
        <f>IF(JB264=1,$JB$31,$JB$32)</f>
        <v>152394.16214437486</v>
      </c>
      <c r="JG264" s="13">
        <f>JE264-JF264</f>
        <v>-152394.16214437486</v>
      </c>
      <c r="JH264" s="13">
        <f>JH263+JG264</f>
        <v>10645627.280140482</v>
      </c>
      <c r="JI264">
        <f>IF(JH264=MAX($JH$83:$JH$483),$A264,0)</f>
        <v>0</v>
      </c>
      <c r="JJ264">
        <f>IF(JE264&lt;JF264,$A264,B_MAX+1)</f>
        <v>181</v>
      </c>
      <c r="JK264" s="13">
        <f>IF(JB264=1,$JB$35,$JB$36)</f>
        <v>0</v>
      </c>
      <c r="JL264" s="13">
        <f>OCC_DAYS*$JB$41*R_NF_2023-JD264*MCD_SHARE_FREED*R_WAIT_2023</f>
        <v>151980.48282209205</v>
      </c>
      <c r="JM264">
        <f>IF($A264&lt;=$JB$45,1,0)</f>
        <v>0</v>
      </c>
      <c r="KB264">
        <f>IF($KB$31&lt;=$KB$32,IF($A264&lt;=$KB$7,1,2),IF($A264&lt;=RUNG_BEDS_2,2,1))</f>
        <v>1</v>
      </c>
      <c r="KC264" s="5">
        <f>MIN(1,MAX(0,$KB$26-($A264-1)))</f>
        <v>1</v>
      </c>
      <c r="KD264" s="5">
        <f>$KB$25*(KC264+(1-KC264)*$KB$16)</f>
        <v>126.02661357340719</v>
      </c>
      <c r="KE264" s="13">
        <f>KD264*($KB$6+ACUTE_MARGIN)</f>
        <v>127286.87970914126</v>
      </c>
      <c r="KF264" s="13">
        <f>IF(KB264=1,$KB$31,$KB$32)</f>
        <v>152394.16214437486</v>
      </c>
      <c r="KG264" s="13">
        <f>KE264-KF264</f>
        <v>-25107.282435233603</v>
      </c>
      <c r="KH264" s="13">
        <f>KH263+KG264</f>
        <v>-4544418.120777296</v>
      </c>
      <c r="KI264">
        <f>IF(KH264=MAX($KH$83:$KH$483),$A264,0)</f>
        <v>0</v>
      </c>
      <c r="KJ264">
        <f>IF(KE264&lt;KF264,$A264,B_MAX+1)</f>
        <v>181</v>
      </c>
      <c r="KK264" s="13">
        <f>IF(KB264=1,$KB$35,$KB$36)</f>
        <v>0</v>
      </c>
      <c r="KL264" s="13">
        <f>OCC_DAYS*$KB$41*R_NF_2023-KD264*MCD_SHARE_FREED*R_WAIT_2023</f>
        <v>94673.82103225985</v>
      </c>
      <c r="KM264">
        <f>IF($A264&lt;=$KB$45,1,0)</f>
        <v>0</v>
      </c>
      <c r="LB264">
        <f>IF($LB$31&lt;=$LB$32,IF($A264&lt;=$LB$7,1,2),IF($A264&lt;=RUNG_BEDS_2,2,1))</f>
        <v>1</v>
      </c>
      <c r="LC264" s="5">
        <f>MIN(1,MAX(0,$LB$26-($A264-1)))</f>
        <v>1</v>
      </c>
      <c r="LD264" s="5">
        <f>$LB$25*(LC264+(1-LC264)*$LB$16)</f>
        <v>84.01774238227146</v>
      </c>
      <c r="LE264" s="13">
        <f>LD264*($LB$6+ACUTE_MARGIN)</f>
        <v>84857.91980609419</v>
      </c>
      <c r="LF264" s="13">
        <f>IF(LB264=1,$LB$31,$LB$32)</f>
        <v>152394.16214437486</v>
      </c>
      <c r="LG264" s="13">
        <f>LE264-LF264</f>
        <v>-67536.24233828067</v>
      </c>
      <c r="LH264" s="13">
        <f>LH263+LG264</f>
        <v>-12224059.863228854</v>
      </c>
      <c r="LI264">
        <f>IF(LH264=MAX($LH$83:$LH$483),$A264,0)</f>
        <v>0</v>
      </c>
      <c r="LJ264">
        <f>IF(LE264&lt;LF264,$A264,B_MAX+1)</f>
        <v>181</v>
      </c>
      <c r="LK264" s="13">
        <f>IF(LB264=1,$LB$35,$LB$36)</f>
        <v>0</v>
      </c>
      <c r="LL264" s="13">
        <f>OCC_DAYS*$LB$41*R_NF_2023-LD264*MCD_SHARE_FREED*R_WAIT_2023</f>
        <v>113776.04162887059</v>
      </c>
      <c r="LM264">
        <f>IF($A264&lt;=$LB$45,1,0)</f>
        <v>0</v>
      </c>
      <c r="MB264">
        <f>IF($MB$31&lt;=$MB$32,IF($A264&lt;=$MB$7,1,2),IF($A264&lt;=RUNG_BEDS_2,2,1))</f>
        <v>1</v>
      </c>
      <c r="MC264" s="5">
        <f>MIN(1,MAX(0,$MB$26-($A264-1)))</f>
        <v>0</v>
      </c>
      <c r="MD264" s="5">
        <f>$MB$25*(MC264+(1-MC264)*$MB$16)</f>
        <v>0.0</v>
      </c>
      <c r="ME264" s="13">
        <f>MD264*($MB$6+ACUTE_MARGIN)</f>
        <v>0.0</v>
      </c>
      <c r="MF264" s="13">
        <f>IF(MB264=1,$MB$31,$MB$32)</f>
        <v>152394.16214437486</v>
      </c>
      <c r="MG264" s="13">
        <f>ME264-MF264</f>
        <v>-152394.16214437486</v>
      </c>
      <c r="MH264" s="13">
        <f>MH263+MG264</f>
        <v>4758351.218342159</v>
      </c>
      <c r="MI264">
        <f>IF(MH264=MAX($MH$83:$MH$483),$A264,0)</f>
        <v>0</v>
      </c>
      <c r="MJ264">
        <f>IF(ME264&lt;MF264,$A264,B_MAX+1)</f>
        <v>181</v>
      </c>
      <c r="MK264" s="13">
        <f>IF(MB264=1,$MB$35,$MB$36)</f>
        <v>0</v>
      </c>
      <c r="ML264" s="13">
        <f>OCC_DAYS*$MB$41*R_NF_2023-MD264*MCD_SHARE_FREED*R_WAIT_2023</f>
        <v>151980.48282209205</v>
      </c>
      <c r="MM264">
        <f>IF($A264&lt;=$MB$45,1,0)</f>
        <v>0</v>
      </c>
      <c r="NB264">
        <f>IF($NB$31&lt;=$NB$32,IF($A264&lt;=$NB$7,1,2),IF($A264&lt;=RUNG_BEDS_2,2,1))</f>
        <v>1</v>
      </c>
      <c r="NC264" s="5">
        <f>MIN(1,MAX(0,$NB$26-($A264-1)))</f>
        <v>0</v>
      </c>
      <c r="ND264" s="5">
        <f>$NB$25*(NC264+(1-NC264)*$NB$16)</f>
        <v>63.013306786703595</v>
      </c>
      <c r="NE264" s="13">
        <f>ND264*($NB$6+ACUTE_MARGIN)</f>
        <v>63643.43985457063</v>
      </c>
      <c r="NF264" s="13">
        <f>IF(NB264=1,$NB$31,$NB$32)</f>
        <v>152394.16214437486</v>
      </c>
      <c r="NG264" s="13">
        <f>NE264-NF264</f>
        <v>-88750.72228980422</v>
      </c>
      <c r="NH264" s="13">
        <f>NH263+NG264</f>
        <v>12607847.236749675</v>
      </c>
      <c r="NI264">
        <f>IF(NH264=MAX($NH$83:$NH$483),$A264,0)</f>
        <v>0</v>
      </c>
      <c r="NJ264">
        <f>IF(NE264&lt;NF264,$A264,B_MAX+1)</f>
        <v>181</v>
      </c>
      <c r="NK264" s="13">
        <f>IF(NB264=1,$NB$35,$NB$36)</f>
        <v>0</v>
      </c>
      <c r="NL264" s="13">
        <f>OCC_DAYS*$NB$41*R_NF_2023-ND264*MCD_SHARE_FREED*R_WAIT_2023</f>
        <v>123327.15192717595</v>
      </c>
      <c r="NM264">
        <f>IF($A264&lt;=$NB$45,1,0)</f>
        <v>0</v>
      </c>
      <c r="OB264">
        <f>IF($OB$31&lt;=$OB$32,IF($A264&lt;=$OB$7,1,2),IF($A264&lt;=RUNG_BEDS_2,2,1))</f>
        <v>1</v>
      </c>
      <c r="OC264" s="5">
        <f>MIN(1,MAX(0,$OB$26-($A264-1)))</f>
        <v>0</v>
      </c>
      <c r="OD264" s="5">
        <f>$OB$25*(OC264+(1-OC264)*$OB$16)</f>
        <v>126.02661357340719</v>
      </c>
      <c r="OE264" s="13">
        <f>OD264*($OB$6+ACUTE_MARGIN)</f>
        <v>127286.87970914126</v>
      </c>
      <c r="OF264" s="13">
        <f>IF(OB264=1,$OB$31,$OB$32)</f>
        <v>152394.16214437486</v>
      </c>
      <c r="OG264" s="13">
        <f>OE264-OF264</f>
        <v>-25107.282435233603</v>
      </c>
      <c r="OH264" s="13">
        <f>OH263+OG264</f>
        <v>14570067.193358926</v>
      </c>
      <c r="OI264">
        <f>IF(OH264=MAX($OH$83:$OH$483),$A264,0)</f>
        <v>0</v>
      </c>
      <c r="OJ264">
        <f>IF(OE264&lt;OF264,$A264,B_MAX+1)</f>
        <v>181</v>
      </c>
      <c r="OK264" s="13">
        <f>IF(OB264=1,$OB$35,$OB$36)</f>
        <v>0</v>
      </c>
      <c r="OL264" s="13">
        <f>OCC_DAYS*$OB$41*R_NF_2023-OD264*MCD_SHARE_FREED*R_WAIT_2023</f>
        <v>94673.82103225985</v>
      </c>
      <c r="OM264">
        <f>IF($A264&lt;=$OB$45,1,0)</f>
        <v>0</v>
      </c>
    </row>
    <row r="265">
      <c r="A265" t="n">
        <v>182</v>
      </c>
      <c r="B265">
        <f>IF($B$31&lt;=$B$32,IF($A265&lt;=$B$7,1,2),IF($A265&lt;=RUNG_BEDS_2,2,1))</f>
        <v>1</v>
      </c>
      <c r="C265" s="5">
        <f>MIN(1,MAX(0,$B$26-($A265-1)))</f>
        <v>0</v>
      </c>
      <c r="D265" s="5">
        <f>$B$25*(C265+(1-C265)*$B$16)</f>
        <v>0.0</v>
      </c>
      <c r="E265" s="13">
        <f>D265*($B$6+ACUTE_MARGIN)</f>
        <v>0.0</v>
      </c>
      <c r="F265" s="13">
        <f>IF(B265=1,$B$31,$B$32)</f>
        <v>152394.16214437486</v>
      </c>
      <c r="G265" s="13">
        <f>E265-F265</f>
        <v>-152394.16214437486</v>
      </c>
      <c r="H265" s="13">
        <f>H264+G265</f>
        <v>10493233.117996108</v>
      </c>
      <c r="I265">
        <f>IF(H265=MAX($H$83:$H$483),$A265,0)</f>
        <v>0</v>
      </c>
      <c r="J265">
        <f>IF(E265&lt;F265,$A265,B_MAX+1)</f>
        <v>182</v>
      </c>
      <c r="K265" s="13">
        <f>IF(B265=1,$B$35,$B$36)</f>
        <v>0</v>
      </c>
      <c r="L265" s="13">
        <f>OCC_DAYS*$B$41*R_NF_2023-D265*MCD_SHARE_FREED*R_WAIT_2023</f>
        <v>151980.48282209205</v>
      </c>
      <c r="M265">
        <f>IF($A265&lt;=$B$45,1,0)</f>
        <v>0</v>
      </c>
      <c r="AB265">
        <f>IF($AB$31&lt;=$AB$32,IF($A265&lt;=$AB$7,1,2),IF($A265&lt;=RUNG_BEDS_2,2,1))</f>
        <v>1</v>
      </c>
      <c r="AC265" s="5">
        <f>MIN(1,MAX(0,$AB$26-($A265-1)))</f>
        <v>0</v>
      </c>
      <c r="AD265" s="5">
        <f>$AB$25*(AC265+(1-AC265)*$AB$16)</f>
        <v>0.0</v>
      </c>
      <c r="AE265" s="13">
        <f>AD265*($AB$6+ACUTE_MARGIN)</f>
        <v>0.0</v>
      </c>
      <c r="AF265" s="13">
        <f>IF(AB265=1,$AB$31,$AB$32)</f>
        <v>152394.16214437486</v>
      </c>
      <c r="AG265" s="13">
        <f>AE265-AF265</f>
        <v>-152394.16214437486</v>
      </c>
      <c r="AH265" s="13">
        <f>AH264+AG265</f>
        <v>-6917981.227553714</v>
      </c>
      <c r="AI265">
        <f>IF(AH265=MAX($AH$83:$AH$483),$A265,0)</f>
        <v>0</v>
      </c>
      <c r="AJ265">
        <f>IF(AE265&lt;AF265,$A265,B_MAX+1)</f>
        <v>182</v>
      </c>
      <c r="AK265" s="13">
        <f>IF(AB265=1,$AB$35,$AB$36)</f>
        <v>0</v>
      </c>
      <c r="AL265" s="13">
        <f>OCC_DAYS*$AB$41*R_NF_2023-AD265*MCD_SHARE_FREED*R_WAIT_2023</f>
        <v>151980.48282209205</v>
      </c>
      <c r="AM265">
        <f>IF($A265&lt;=$AB$45,1,0)</f>
        <v>0</v>
      </c>
      <c r="BB265">
        <f>IF($BB$31&lt;=$BB$32,IF($A265&lt;=$BB$7,1,2),IF($A265&lt;=RUNG_BEDS_2,2,1))</f>
        <v>1</v>
      </c>
      <c r="BC265" s="5">
        <f>MIN(1,MAX(0,$BB$26-($A265-1)))</f>
        <v>0</v>
      </c>
      <c r="BD265" s="5">
        <f>$BB$25*(BC265+(1-BC265)*$BB$16)</f>
        <v>0.0</v>
      </c>
      <c r="BE265" s="13">
        <f>BD265*($BB$6+ACUTE_MARGIN)</f>
        <v>0.0</v>
      </c>
      <c r="BF265" s="13">
        <f>IF(BB265=1,$BB$31,$BB$32)</f>
        <v>152394.16214437486</v>
      </c>
      <c r="BG265" s="13">
        <f>BE265-BF265</f>
        <v>-152394.16214437486</v>
      </c>
      <c r="BH265" s="13">
        <f>BH264+BG265</f>
        <v>27904447.46354577</v>
      </c>
      <c r="BI265">
        <f>IF(BH265=MAX($BH$83:$BH$483),$A265,0)</f>
        <v>0</v>
      </c>
      <c r="BJ265">
        <f>IF(BE265&lt;BF265,$A265,B_MAX+1)</f>
        <v>182</v>
      </c>
      <c r="BK265" s="13">
        <f>IF(BB265=1,$BB$35,$BB$36)</f>
        <v>0</v>
      </c>
      <c r="BL265" s="13">
        <f>OCC_DAYS*$BB$41*R_NF_2023-BD265*MCD_SHARE_FREED*R_WAIT_2023</f>
        <v>151980.48282209205</v>
      </c>
      <c r="BM265">
        <f>IF($A265&lt;=$BB$45,1,0)</f>
        <v>0</v>
      </c>
      <c r="CB265">
        <f>IF($CB$31&lt;=$CB$32,IF($A265&lt;=$CB$7,1,2),IF($A265&lt;=RUNG_BEDS_2,2,1))</f>
        <v>2</v>
      </c>
      <c r="CC265" s="5">
        <f>MIN(1,MAX(0,$CB$26-($A265-1)))</f>
        <v>0</v>
      </c>
      <c r="CD265" s="5">
        <f>$CB$25*(CC265+(1-CC265)*$CB$16)</f>
        <v>0.0</v>
      </c>
      <c r="CE265" s="13">
        <f>CD265*($CB$6+ACUTE_MARGIN)</f>
        <v>0.0</v>
      </c>
      <c r="CF265" s="13">
        <f>IF(CB265=1,$CB$31,$CB$32)</f>
        <v>160718.36940738867</v>
      </c>
      <c r="CG265" s="13">
        <f>CE265-CF265</f>
        <v>-160718.36940738867</v>
      </c>
      <c r="CH265" s="13">
        <f>CH264+CG265</f>
        <v>8978227.39612748</v>
      </c>
      <c r="CI265">
        <f>IF(CH265=MAX($CH$83:$CH$483),$A265,0)</f>
        <v>0</v>
      </c>
      <c r="CJ265">
        <f>IF(CE265&lt;CF265,$A265,B_MAX+1)</f>
        <v>182</v>
      </c>
      <c r="CK265" s="13">
        <f>IF(CB265=1,$CB$35,$CB$36)</f>
        <v>1560.1194073886782</v>
      </c>
      <c r="CL265" s="13">
        <f>OCC_DAYS*$CB$41*R_NF_2023-CD265*MCD_SHARE_FREED*R_WAIT_2023</f>
        <v>151980.48282209205</v>
      </c>
      <c r="CM265">
        <f>IF($A265&lt;=$CB$45,1,0)</f>
        <v>0</v>
      </c>
      <c r="DB265">
        <f>IF($DB$31&lt;=$DB$32,IF($A265&lt;=$DB$7,1,2),IF($A265&lt;=RUNG_BEDS_2,2,1))</f>
        <v>1</v>
      </c>
      <c r="DC265" s="5">
        <f>MIN(1,MAX(0,$DB$26-($A265-1)))</f>
        <v>0</v>
      </c>
      <c r="DD265" s="5">
        <f>$DB$25*(DC265+(1-DC265)*$DB$16)</f>
        <v>0.0</v>
      </c>
      <c r="DE265" s="13">
        <f>DD265*($DB$6+ACUTE_MARGIN)</f>
        <v>0.0</v>
      </c>
      <c r="DF265" s="13">
        <f>IF(DB265=1,$DB$31,$DB$32)</f>
        <v>152394.16214437486</v>
      </c>
      <c r="DG265" s="13">
        <f>DE265-DF265</f>
        <v>-152394.16214437486</v>
      </c>
      <c r="DH265" s="13">
        <f>DH264+DG265</f>
        <v>10493233.117996108</v>
      </c>
      <c r="DI265">
        <f>IF(DH265=MAX($DH$83:$DH$483),$A265,0)</f>
        <v>0</v>
      </c>
      <c r="DJ265">
        <f>IF(DE265&lt;DF265,$A265,B_MAX+1)</f>
        <v>182</v>
      </c>
      <c r="DK265" s="13">
        <f>IF(DB265=1,$DB$35,$DB$36)</f>
        <v>0</v>
      </c>
      <c r="DL265" s="13">
        <f>OCC_DAYS*$DB$41*R_NF_2023-DD265*MCD_SHARE_FREED*R_WAIT_2023</f>
        <v>151980.48282209205</v>
      </c>
      <c r="DM265">
        <f>IF($A265&lt;=$DB$45,1,0)</f>
        <v>0</v>
      </c>
      <c r="EB265">
        <f>IF($EB$31&lt;=$EB$32,IF($A265&lt;=$EB$7,1,2),IF($A265&lt;=RUNG_BEDS_2,2,1))</f>
        <v>1</v>
      </c>
      <c r="EC265" s="5">
        <f>MIN(1,MAX(0,$EB$26-($A265-1)))</f>
        <v>0</v>
      </c>
      <c r="ED265" s="5">
        <f>$EB$25*(EC265+(1-EC265)*$EB$16)</f>
        <v>0.0</v>
      </c>
      <c r="EE265" s="13">
        <f>ED265*($EB$6+ACUTE_MARGIN)</f>
        <v>0.0</v>
      </c>
      <c r="EF265" s="13">
        <f>IF(EB265=1,$EB$31,$EB$32)</f>
        <v>152394.16214437486</v>
      </c>
      <c r="EG265" s="13">
        <f>EE265-EF265</f>
        <v>-152394.16214437486</v>
      </c>
      <c r="EH265" s="13">
        <f>EH264+EG265</f>
        <v>10493233.117996108</v>
      </c>
      <c r="EI265">
        <f>IF(EH265=MAX($EH$83:$EH$483),$A265,0)</f>
        <v>0</v>
      </c>
      <c r="EJ265">
        <f>IF(EE265&lt;EF265,$A265,B_MAX+1)</f>
        <v>182</v>
      </c>
      <c r="EK265" s="13">
        <f>IF(EB265=1,$EB$35,$EB$36)</f>
        <v>0</v>
      </c>
      <c r="EL265" s="13">
        <f>OCC_DAYS*$EB$41*R_NF_2023-ED265*MCD_SHARE_FREED*R_WAIT_2023</f>
        <v>50660.16094069735</v>
      </c>
      <c r="EM265">
        <f>IF($A265&lt;=$EB$45,1,0)</f>
        <v>0</v>
      </c>
      <c r="FB265">
        <f>IF($FB$31&lt;=$FB$32,IF($A265&lt;=$FB$7,1,2),IF($A265&lt;=RUNG_BEDS_2,2,1))</f>
        <v>1</v>
      </c>
      <c r="FC265" s="5">
        <f>MIN(1,MAX(0,$FB$26-($A265-1)))</f>
        <v>0</v>
      </c>
      <c r="FD265" s="5">
        <f>$FB$25*(FC265+(1-FC265)*$FB$16)</f>
        <v>0.0</v>
      </c>
      <c r="FE265" s="13">
        <f>FD265*($FB$6+ACUTE_MARGIN)</f>
        <v>0.0</v>
      </c>
      <c r="FF265" s="13">
        <f>IF(FB265=1,$FB$31,$FB$32)</f>
        <v>156636.04979437485</v>
      </c>
      <c r="FG265" s="13">
        <f>FE265-FF265</f>
        <v>-156636.04979437485</v>
      </c>
      <c r="FH265" s="13">
        <f>FH264+FG265</f>
        <v>9721209.565695995</v>
      </c>
      <c r="FI265">
        <f>IF(FH265=MAX($FH$83:$FH$483),$A265,0)</f>
        <v>0</v>
      </c>
      <c r="FJ265">
        <f>IF(FE265&lt;FF265,$A265,B_MAX+1)</f>
        <v>182</v>
      </c>
      <c r="FK265" s="13">
        <f>IF(FB265=1,$FB$35,$FB$36)</f>
        <v>0</v>
      </c>
      <c r="FL265" s="13">
        <f>OCC_DAYS*$FB$41*R_NF_2023-FD265*MCD_SHARE_FREED*R_WAIT_2023</f>
        <v>151980.48282209205</v>
      </c>
      <c r="FM265">
        <f>IF($A265&lt;=$FB$45,1,0)</f>
        <v>0</v>
      </c>
      <c r="GB265">
        <f>IF($GB$31&lt;=$GB$32,IF($A265&lt;=$GB$7,1,2),IF($A265&lt;=RUNG_BEDS_2,2,1))</f>
        <v>1</v>
      </c>
      <c r="GC265" s="5">
        <f>MIN(1,MAX(0,$GB$26-($A265-1)))</f>
        <v>0</v>
      </c>
      <c r="GD265" s="5">
        <f>$GB$25*(GC265+(1-GC265)*$GB$16)</f>
        <v>0.0</v>
      </c>
      <c r="GE265" s="13">
        <f>GD265*($GB$6+ACUTE_MARGIN)</f>
        <v>0.0</v>
      </c>
      <c r="GF265" s="13">
        <f>IF(GB265=1,$GB$31,$GB$32)</f>
        <v>152394.16214437486</v>
      </c>
      <c r="GG265" s="13">
        <f>GE265-GF265</f>
        <v>-152394.16214437486</v>
      </c>
      <c r="GH265" s="13">
        <f>GH264+GG265</f>
        <v>10493233.117996108</v>
      </c>
      <c r="GI265">
        <f>IF(GH265=MAX($GH$83:$GH$483),$A265,0)</f>
        <v>0</v>
      </c>
      <c r="GJ265">
        <f>IF(GE265&lt;GF265,$A265,B_MAX+1)</f>
        <v>182</v>
      </c>
      <c r="GK265" s="13">
        <f>IF(GB265=1,$GB$35,$GB$36)</f>
        <v>0</v>
      </c>
      <c r="GL265" s="13">
        <f>OCC_DAYS*$GB$41*R_NF_2023-GD265*MCD_SHARE_FREED*R_WAIT_2023</f>
        <v>151980.48282209205</v>
      </c>
      <c r="GM265">
        <f>IF($A265&lt;=$GB$45,1,0)</f>
        <v>0</v>
      </c>
      <c r="HB265">
        <f>IF($HB$31&lt;=$HB$32,IF($A265&lt;=$HB$7,1,2),IF($A265&lt;=RUNG_BEDS_2,2,1))</f>
        <v>1</v>
      </c>
      <c r="HC265" s="5">
        <f>MIN(1,MAX(0,$HB$26-($A265-1)))</f>
        <v>0</v>
      </c>
      <c r="HD265" s="5">
        <f>$HB$25*(HC265+(1-HC265)*$HB$16)</f>
        <v>0.0</v>
      </c>
      <c r="HE265" s="13">
        <f>HD265*($HB$6+ACUTE_MARGIN)</f>
        <v>0.0</v>
      </c>
      <c r="HF265" s="13">
        <f>IF(HB265=1,$HB$31,$HB$32)</f>
        <v>152456.2970814058</v>
      </c>
      <c r="HG265" s="13">
        <f>HE265-HF265</f>
        <v>-152456.2970814058</v>
      </c>
      <c r="HH265" s="13">
        <f>HH264+HG265</f>
        <v>10481924.559456445</v>
      </c>
      <c r="HI265">
        <f>IF(HH265=MAX($HH$83:$HH$483),$A265,0)</f>
        <v>0</v>
      </c>
      <c r="HJ265">
        <f>IF(HE265&lt;HF265,$A265,B_MAX+1)</f>
        <v>182</v>
      </c>
      <c r="HK265" s="13">
        <f>IF(HB265=1,$HB$35,$HB$36)</f>
        <v>0</v>
      </c>
      <c r="HL265" s="13">
        <f>OCC_DAYS*$HB$41*R_NF_2023-HD265*MCD_SHARE_FREED*R_WAIT_2023</f>
        <v>151980.48282209205</v>
      </c>
      <c r="HM265">
        <f>IF($A265&lt;=$HB$45,1,0)</f>
        <v>0</v>
      </c>
      <c r="IB265">
        <f>IF($IB$31&lt;=$IB$32,IF($A265&lt;=$IB$7,1,2),IF($A265&lt;=RUNG_BEDS_2,2,1))</f>
        <v>1</v>
      </c>
      <c r="IC265" s="5">
        <f>MIN(1,MAX(0,$IB$26-($A265-1)))</f>
        <v>0</v>
      </c>
      <c r="ID265" s="5">
        <f>$IB$25*(IC265+(1-IC265)*$IB$16)</f>
        <v>0.0</v>
      </c>
      <c r="IE265" s="13">
        <f>ID265*($IB$6+ACUTE_MARGIN)</f>
        <v>0.0</v>
      </c>
      <c r="IF265" s="13">
        <f>IF(IB265=1,$IB$31,$IB$32)</f>
        <v>152734.9994534971</v>
      </c>
      <c r="IG265" s="13">
        <f>IE265-IF265</f>
        <v>-152734.9994534971</v>
      </c>
      <c r="IH265" s="13">
        <f>IH264+IG265</f>
        <v>10431200.72773576</v>
      </c>
      <c r="II265">
        <f>IF(IH265=MAX($IH$83:$IH$483),$A265,0)</f>
        <v>0</v>
      </c>
      <c r="IJ265">
        <f>IF(IE265&lt;IF265,$A265,B_MAX+1)</f>
        <v>182</v>
      </c>
      <c r="IK265" s="13">
        <f>IF(IB265=1,$IB$35,$IB$36)</f>
        <v>0</v>
      </c>
      <c r="IL265" s="13">
        <f>OCC_DAYS*$IB$41*R_NF_2023-ID265*MCD_SHARE_FREED*R_WAIT_2023</f>
        <v>151980.48282209205</v>
      </c>
      <c r="IM265">
        <f>IF($A265&lt;=$IB$45,1,0)</f>
        <v>0</v>
      </c>
      <c r="JB265">
        <f>IF($JB$31&lt;=$JB$32,IF($A265&lt;=$JB$7,1,2),IF($A265&lt;=RUNG_BEDS_2,2,1))</f>
        <v>1</v>
      </c>
      <c r="JC265" s="5">
        <f>MIN(1,MAX(0,$JB$26-($A265-1)))</f>
        <v>0</v>
      </c>
      <c r="JD265" s="5">
        <f>$JB$25*(JC265+(1-JC265)*$JB$16)</f>
        <v>0.0</v>
      </c>
      <c r="JE265" s="13">
        <f>JD265*($JB$6+ACUTE_MARGIN)</f>
        <v>0.0</v>
      </c>
      <c r="JF265" s="13">
        <f>IF(JB265=1,$JB$31,$JB$32)</f>
        <v>152394.16214437486</v>
      </c>
      <c r="JG265" s="13">
        <f>JE265-JF265</f>
        <v>-152394.16214437486</v>
      </c>
      <c r="JH265" s="13">
        <f>JH264+JG265</f>
        <v>10493233.117996108</v>
      </c>
      <c r="JI265">
        <f>IF(JH265=MAX($JH$83:$JH$483),$A265,0)</f>
        <v>0</v>
      </c>
      <c r="JJ265">
        <f>IF(JE265&lt;JF265,$A265,B_MAX+1)</f>
        <v>182</v>
      </c>
      <c r="JK265" s="13">
        <f>IF(JB265=1,$JB$35,$JB$36)</f>
        <v>0</v>
      </c>
      <c r="JL265" s="13">
        <f>OCC_DAYS*$JB$41*R_NF_2023-JD265*MCD_SHARE_FREED*R_WAIT_2023</f>
        <v>151980.48282209205</v>
      </c>
      <c r="JM265">
        <f>IF($A265&lt;=$JB$45,1,0)</f>
        <v>0</v>
      </c>
      <c r="KB265">
        <f>IF($KB$31&lt;=$KB$32,IF($A265&lt;=$KB$7,1,2),IF($A265&lt;=RUNG_BEDS_2,2,1))</f>
        <v>1</v>
      </c>
      <c r="KC265" s="5">
        <f>MIN(1,MAX(0,$KB$26-($A265-1)))</f>
        <v>1</v>
      </c>
      <c r="KD265" s="5">
        <f>$KB$25*(KC265+(1-KC265)*$KB$16)</f>
        <v>126.02661357340719</v>
      </c>
      <c r="KE265" s="13">
        <f>KD265*($KB$6+ACUTE_MARGIN)</f>
        <v>127286.87970914126</v>
      </c>
      <c r="KF265" s="13">
        <f>IF(KB265=1,$KB$31,$KB$32)</f>
        <v>152394.16214437486</v>
      </c>
      <c r="KG265" s="13">
        <f>KE265-KF265</f>
        <v>-25107.282435233603</v>
      </c>
      <c r="KH265" s="13">
        <f>KH264+KG265</f>
        <v>-4569525.40321253</v>
      </c>
      <c r="KI265">
        <f>IF(KH265=MAX($KH$83:$KH$483),$A265,0)</f>
        <v>0</v>
      </c>
      <c r="KJ265">
        <f>IF(KE265&lt;KF265,$A265,B_MAX+1)</f>
        <v>182</v>
      </c>
      <c r="KK265" s="13">
        <f>IF(KB265=1,$KB$35,$KB$36)</f>
        <v>0</v>
      </c>
      <c r="KL265" s="13">
        <f>OCC_DAYS*$KB$41*R_NF_2023-KD265*MCD_SHARE_FREED*R_WAIT_2023</f>
        <v>94673.82103225985</v>
      </c>
      <c r="KM265">
        <f>IF($A265&lt;=$KB$45,1,0)</f>
        <v>0</v>
      </c>
      <c r="LB265">
        <f>IF($LB$31&lt;=$LB$32,IF($A265&lt;=$LB$7,1,2),IF($A265&lt;=RUNG_BEDS_2,2,1))</f>
        <v>1</v>
      </c>
      <c r="LC265" s="5">
        <f>MIN(1,MAX(0,$LB$26-($A265-1)))</f>
        <v>1</v>
      </c>
      <c r="LD265" s="5">
        <f>$LB$25*(LC265+(1-LC265)*$LB$16)</f>
        <v>84.01774238227146</v>
      </c>
      <c r="LE265" s="13">
        <f>LD265*($LB$6+ACUTE_MARGIN)</f>
        <v>84857.91980609419</v>
      </c>
      <c r="LF265" s="13">
        <f>IF(LB265=1,$LB$31,$LB$32)</f>
        <v>152394.16214437486</v>
      </c>
      <c r="LG265" s="13">
        <f>LE265-LF265</f>
        <v>-67536.24233828067</v>
      </c>
      <c r="LH265" s="13">
        <f>LH264+LG265</f>
        <v>-12291596.105567135</v>
      </c>
      <c r="LI265">
        <f>IF(LH265=MAX($LH$83:$LH$483),$A265,0)</f>
        <v>0</v>
      </c>
      <c r="LJ265">
        <f>IF(LE265&lt;LF265,$A265,B_MAX+1)</f>
        <v>182</v>
      </c>
      <c r="LK265" s="13">
        <f>IF(LB265=1,$LB$35,$LB$36)</f>
        <v>0</v>
      </c>
      <c r="LL265" s="13">
        <f>OCC_DAYS*$LB$41*R_NF_2023-LD265*MCD_SHARE_FREED*R_WAIT_2023</f>
        <v>113776.04162887059</v>
      </c>
      <c r="LM265">
        <f>IF($A265&lt;=$LB$45,1,0)</f>
        <v>0</v>
      </c>
      <c r="MB265">
        <f>IF($MB$31&lt;=$MB$32,IF($A265&lt;=$MB$7,1,2),IF($A265&lt;=RUNG_BEDS_2,2,1))</f>
        <v>1</v>
      </c>
      <c r="MC265" s="5">
        <f>MIN(1,MAX(0,$MB$26-($A265-1)))</f>
        <v>0</v>
      </c>
      <c r="MD265" s="5">
        <f>$MB$25*(MC265+(1-MC265)*$MB$16)</f>
        <v>0.0</v>
      </c>
      <c r="ME265" s="13">
        <f>MD265*($MB$6+ACUTE_MARGIN)</f>
        <v>0.0</v>
      </c>
      <c r="MF265" s="13">
        <f>IF(MB265=1,$MB$31,$MB$32)</f>
        <v>152394.16214437486</v>
      </c>
      <c r="MG265" s="13">
        <f>ME265-MF265</f>
        <v>-152394.16214437486</v>
      </c>
      <c r="MH265" s="13">
        <f>MH264+MG265</f>
        <v>4605957.056197784</v>
      </c>
      <c r="MI265">
        <f>IF(MH265=MAX($MH$83:$MH$483),$A265,0)</f>
        <v>0</v>
      </c>
      <c r="MJ265">
        <f>IF(ME265&lt;MF265,$A265,B_MAX+1)</f>
        <v>182</v>
      </c>
      <c r="MK265" s="13">
        <f>IF(MB265=1,$MB$35,$MB$36)</f>
        <v>0</v>
      </c>
      <c r="ML265" s="13">
        <f>OCC_DAYS*$MB$41*R_NF_2023-MD265*MCD_SHARE_FREED*R_WAIT_2023</f>
        <v>151980.48282209205</v>
      </c>
      <c r="MM265">
        <f>IF($A265&lt;=$MB$45,1,0)</f>
        <v>0</v>
      </c>
      <c r="NB265">
        <f>IF($NB$31&lt;=$NB$32,IF($A265&lt;=$NB$7,1,2),IF($A265&lt;=RUNG_BEDS_2,2,1))</f>
        <v>1</v>
      </c>
      <c r="NC265" s="5">
        <f>MIN(1,MAX(0,$NB$26-($A265-1)))</f>
        <v>0</v>
      </c>
      <c r="ND265" s="5">
        <f>$NB$25*(NC265+(1-NC265)*$NB$16)</f>
        <v>63.013306786703595</v>
      </c>
      <c r="NE265" s="13">
        <f>ND265*($NB$6+ACUTE_MARGIN)</f>
        <v>63643.43985457063</v>
      </c>
      <c r="NF265" s="13">
        <f>IF(NB265=1,$NB$31,$NB$32)</f>
        <v>152394.16214437486</v>
      </c>
      <c r="NG265" s="13">
        <f>NE265-NF265</f>
        <v>-88750.72228980422</v>
      </c>
      <c r="NH265" s="13">
        <f>NH264+NG265</f>
        <v>12519096.51445987</v>
      </c>
      <c r="NI265">
        <f>IF(NH265=MAX($NH$83:$NH$483),$A265,0)</f>
        <v>0</v>
      </c>
      <c r="NJ265">
        <f>IF(NE265&lt;NF265,$A265,B_MAX+1)</f>
        <v>182</v>
      </c>
      <c r="NK265" s="13">
        <f>IF(NB265=1,$NB$35,$NB$36)</f>
        <v>0</v>
      </c>
      <c r="NL265" s="13">
        <f>OCC_DAYS*$NB$41*R_NF_2023-ND265*MCD_SHARE_FREED*R_WAIT_2023</f>
        <v>123327.15192717595</v>
      </c>
      <c r="NM265">
        <f>IF($A265&lt;=$NB$45,1,0)</f>
        <v>0</v>
      </c>
      <c r="OB265">
        <f>IF($OB$31&lt;=$OB$32,IF($A265&lt;=$OB$7,1,2),IF($A265&lt;=RUNG_BEDS_2,2,1))</f>
        <v>1</v>
      </c>
      <c r="OC265" s="5">
        <f>MIN(1,MAX(0,$OB$26-($A265-1)))</f>
        <v>0</v>
      </c>
      <c r="OD265" s="5">
        <f>$OB$25*(OC265+(1-OC265)*$OB$16)</f>
        <v>126.02661357340719</v>
      </c>
      <c r="OE265" s="13">
        <f>OD265*($OB$6+ACUTE_MARGIN)</f>
        <v>127286.87970914126</v>
      </c>
      <c r="OF265" s="13">
        <f>IF(OB265=1,$OB$31,$OB$32)</f>
        <v>152394.16214437486</v>
      </c>
      <c r="OG265" s="13">
        <f>OE265-OF265</f>
        <v>-25107.282435233603</v>
      </c>
      <c r="OH265" s="13">
        <f>OH264+OG265</f>
        <v>14544959.910923693</v>
      </c>
      <c r="OI265">
        <f>IF(OH265=MAX($OH$83:$OH$483),$A265,0)</f>
        <v>0</v>
      </c>
      <c r="OJ265">
        <f>IF(OE265&lt;OF265,$A265,B_MAX+1)</f>
        <v>182</v>
      </c>
      <c r="OK265" s="13">
        <f>IF(OB265=1,$OB$35,$OB$36)</f>
        <v>0</v>
      </c>
      <c r="OL265" s="13">
        <f>OCC_DAYS*$OB$41*R_NF_2023-OD265*MCD_SHARE_FREED*R_WAIT_2023</f>
        <v>94673.82103225985</v>
      </c>
      <c r="OM265">
        <f>IF($A265&lt;=$OB$45,1,0)</f>
        <v>0</v>
      </c>
    </row>
    <row r="266">
      <c r="A266" t="n">
        <v>183</v>
      </c>
      <c r="B266">
        <f>IF($B$31&lt;=$B$32,IF($A266&lt;=$B$7,1,2),IF($A266&lt;=RUNG_BEDS_2,2,1))</f>
        <v>1</v>
      </c>
      <c r="C266" s="5">
        <f>MIN(1,MAX(0,$B$26-($A266-1)))</f>
        <v>0</v>
      </c>
      <c r="D266" s="5">
        <f>$B$25*(C266+(1-C266)*$B$16)</f>
        <v>0.0</v>
      </c>
      <c r="E266" s="13">
        <f>D266*($B$6+ACUTE_MARGIN)</f>
        <v>0.0</v>
      </c>
      <c r="F266" s="13">
        <f>IF(B266=1,$B$31,$B$32)</f>
        <v>152394.16214437486</v>
      </c>
      <c r="G266" s="13">
        <f>E266-F266</f>
        <v>-152394.16214437486</v>
      </c>
      <c r="H266" s="13">
        <f>H265+G266</f>
        <v>10340838.955851734</v>
      </c>
      <c r="I266">
        <f>IF(H266=MAX($H$83:$H$483),$A266,0)</f>
        <v>0</v>
      </c>
      <c r="J266">
        <f>IF(E266&lt;F266,$A266,B_MAX+1)</f>
        <v>183</v>
      </c>
      <c r="K266" s="13">
        <f>IF(B266=1,$B$35,$B$36)</f>
        <v>0</v>
      </c>
      <c r="L266" s="13">
        <f>OCC_DAYS*$B$41*R_NF_2023-D266*MCD_SHARE_FREED*R_WAIT_2023</f>
        <v>151980.48282209205</v>
      </c>
      <c r="M266">
        <f>IF($A266&lt;=$B$45,1,0)</f>
        <v>0</v>
      </c>
      <c r="AB266">
        <f>IF($AB$31&lt;=$AB$32,IF($A266&lt;=$AB$7,1,2),IF($A266&lt;=RUNG_BEDS_2,2,1))</f>
        <v>1</v>
      </c>
      <c r="AC266" s="5">
        <f>MIN(1,MAX(0,$AB$26-($A266-1)))</f>
        <v>0</v>
      </c>
      <c r="AD266" s="5">
        <f>$AB$25*(AC266+(1-AC266)*$AB$16)</f>
        <v>0.0</v>
      </c>
      <c r="AE266" s="13">
        <f>AD266*($AB$6+ACUTE_MARGIN)</f>
        <v>0.0</v>
      </c>
      <c r="AF266" s="13">
        <f>IF(AB266=1,$AB$31,$AB$32)</f>
        <v>152394.16214437486</v>
      </c>
      <c r="AG266" s="13">
        <f>AE266-AF266</f>
        <v>-152394.16214437486</v>
      </c>
      <c r="AH266" s="13">
        <f>AH265+AG266</f>
        <v>-7070375.389698089</v>
      </c>
      <c r="AI266">
        <f>IF(AH266=MAX($AH$83:$AH$483),$A266,0)</f>
        <v>0</v>
      </c>
      <c r="AJ266">
        <f>IF(AE266&lt;AF266,$A266,B_MAX+1)</f>
        <v>183</v>
      </c>
      <c r="AK266" s="13">
        <f>IF(AB266=1,$AB$35,$AB$36)</f>
        <v>0</v>
      </c>
      <c r="AL266" s="13">
        <f>OCC_DAYS*$AB$41*R_NF_2023-AD266*MCD_SHARE_FREED*R_WAIT_2023</f>
        <v>151980.48282209205</v>
      </c>
      <c r="AM266">
        <f>IF($A266&lt;=$AB$45,1,0)</f>
        <v>0</v>
      </c>
      <c r="BB266">
        <f>IF($BB$31&lt;=$BB$32,IF($A266&lt;=$BB$7,1,2),IF($A266&lt;=RUNG_BEDS_2,2,1))</f>
        <v>1</v>
      </c>
      <c r="BC266" s="5">
        <f>MIN(1,MAX(0,$BB$26-($A266-1)))</f>
        <v>0</v>
      </c>
      <c r="BD266" s="5">
        <f>$BB$25*(BC266+(1-BC266)*$BB$16)</f>
        <v>0.0</v>
      </c>
      <c r="BE266" s="13">
        <f>BD266*($BB$6+ACUTE_MARGIN)</f>
        <v>0.0</v>
      </c>
      <c r="BF266" s="13">
        <f>IF(BB266=1,$BB$31,$BB$32)</f>
        <v>152394.16214437486</v>
      </c>
      <c r="BG266" s="13">
        <f>BE266-BF266</f>
        <v>-152394.16214437486</v>
      </c>
      <c r="BH266" s="13">
        <f>BH265+BG266</f>
        <v>27752053.301401395</v>
      </c>
      <c r="BI266">
        <f>IF(BH266=MAX($BH$83:$BH$483),$A266,0)</f>
        <v>0</v>
      </c>
      <c r="BJ266">
        <f>IF(BE266&lt;BF266,$A266,B_MAX+1)</f>
        <v>183</v>
      </c>
      <c r="BK266" s="13">
        <f>IF(BB266=1,$BB$35,$BB$36)</f>
        <v>0</v>
      </c>
      <c r="BL266" s="13">
        <f>OCC_DAYS*$BB$41*R_NF_2023-BD266*MCD_SHARE_FREED*R_WAIT_2023</f>
        <v>151980.48282209205</v>
      </c>
      <c r="BM266">
        <f>IF($A266&lt;=$BB$45,1,0)</f>
        <v>0</v>
      </c>
      <c r="CB266">
        <f>IF($CB$31&lt;=$CB$32,IF($A266&lt;=$CB$7,1,2),IF($A266&lt;=RUNG_BEDS_2,2,1))</f>
        <v>2</v>
      </c>
      <c r="CC266" s="5">
        <f>MIN(1,MAX(0,$CB$26-($A266-1)))</f>
        <v>0</v>
      </c>
      <c r="CD266" s="5">
        <f>$CB$25*(CC266+(1-CC266)*$CB$16)</f>
        <v>0.0</v>
      </c>
      <c r="CE266" s="13">
        <f>CD266*($CB$6+ACUTE_MARGIN)</f>
        <v>0.0</v>
      </c>
      <c r="CF266" s="13">
        <f>IF(CB266=1,$CB$31,$CB$32)</f>
        <v>160718.36940738867</v>
      </c>
      <c r="CG266" s="13">
        <f>CE266-CF266</f>
        <v>-160718.36940738867</v>
      </c>
      <c r="CH266" s="13">
        <f>CH265+CG266</f>
        <v>8817509.02672009</v>
      </c>
      <c r="CI266">
        <f>IF(CH266=MAX($CH$83:$CH$483),$A266,0)</f>
        <v>0</v>
      </c>
      <c r="CJ266">
        <f>IF(CE266&lt;CF266,$A266,B_MAX+1)</f>
        <v>183</v>
      </c>
      <c r="CK266" s="13">
        <f>IF(CB266=1,$CB$35,$CB$36)</f>
        <v>1560.1194073886782</v>
      </c>
      <c r="CL266" s="13">
        <f>OCC_DAYS*$CB$41*R_NF_2023-CD266*MCD_SHARE_FREED*R_WAIT_2023</f>
        <v>151980.48282209205</v>
      </c>
      <c r="CM266">
        <f>IF($A266&lt;=$CB$45,1,0)</f>
        <v>0</v>
      </c>
      <c r="DB266">
        <f>IF($DB$31&lt;=$DB$32,IF($A266&lt;=$DB$7,1,2),IF($A266&lt;=RUNG_BEDS_2,2,1))</f>
        <v>1</v>
      </c>
      <c r="DC266" s="5">
        <f>MIN(1,MAX(0,$DB$26-($A266-1)))</f>
        <v>0</v>
      </c>
      <c r="DD266" s="5">
        <f>$DB$25*(DC266+(1-DC266)*$DB$16)</f>
        <v>0.0</v>
      </c>
      <c r="DE266" s="13">
        <f>DD266*($DB$6+ACUTE_MARGIN)</f>
        <v>0.0</v>
      </c>
      <c r="DF266" s="13">
        <f>IF(DB266=1,$DB$31,$DB$32)</f>
        <v>152394.16214437486</v>
      </c>
      <c r="DG266" s="13">
        <f>DE266-DF266</f>
        <v>-152394.16214437486</v>
      </c>
      <c r="DH266" s="13">
        <f>DH265+DG266</f>
        <v>10340838.955851734</v>
      </c>
      <c r="DI266">
        <f>IF(DH266=MAX($DH$83:$DH$483),$A266,0)</f>
        <v>0</v>
      </c>
      <c r="DJ266">
        <f>IF(DE266&lt;DF266,$A266,B_MAX+1)</f>
        <v>183</v>
      </c>
      <c r="DK266" s="13">
        <f>IF(DB266=1,$DB$35,$DB$36)</f>
        <v>0</v>
      </c>
      <c r="DL266" s="13">
        <f>OCC_DAYS*$DB$41*R_NF_2023-DD266*MCD_SHARE_FREED*R_WAIT_2023</f>
        <v>151980.48282209205</v>
      </c>
      <c r="DM266">
        <f>IF($A266&lt;=$DB$45,1,0)</f>
        <v>0</v>
      </c>
      <c r="EB266">
        <f>IF($EB$31&lt;=$EB$32,IF($A266&lt;=$EB$7,1,2),IF($A266&lt;=RUNG_BEDS_2,2,1))</f>
        <v>1</v>
      </c>
      <c r="EC266" s="5">
        <f>MIN(1,MAX(0,$EB$26-($A266-1)))</f>
        <v>0</v>
      </c>
      <c r="ED266" s="5">
        <f>$EB$25*(EC266+(1-EC266)*$EB$16)</f>
        <v>0.0</v>
      </c>
      <c r="EE266" s="13">
        <f>ED266*($EB$6+ACUTE_MARGIN)</f>
        <v>0.0</v>
      </c>
      <c r="EF266" s="13">
        <f>IF(EB266=1,$EB$31,$EB$32)</f>
        <v>152394.16214437486</v>
      </c>
      <c r="EG266" s="13">
        <f>EE266-EF266</f>
        <v>-152394.16214437486</v>
      </c>
      <c r="EH266" s="13">
        <f>EH265+EG266</f>
        <v>10340838.955851734</v>
      </c>
      <c r="EI266">
        <f>IF(EH266=MAX($EH$83:$EH$483),$A266,0)</f>
        <v>0</v>
      </c>
      <c r="EJ266">
        <f>IF(EE266&lt;EF266,$A266,B_MAX+1)</f>
        <v>183</v>
      </c>
      <c r="EK266" s="13">
        <f>IF(EB266=1,$EB$35,$EB$36)</f>
        <v>0</v>
      </c>
      <c r="EL266" s="13">
        <f>OCC_DAYS*$EB$41*R_NF_2023-ED266*MCD_SHARE_FREED*R_WAIT_2023</f>
        <v>50660.16094069735</v>
      </c>
      <c r="EM266">
        <f>IF($A266&lt;=$EB$45,1,0)</f>
        <v>0</v>
      </c>
      <c r="FB266">
        <f>IF($FB$31&lt;=$FB$32,IF($A266&lt;=$FB$7,1,2),IF($A266&lt;=RUNG_BEDS_2,2,1))</f>
        <v>1</v>
      </c>
      <c r="FC266" s="5">
        <f>MIN(1,MAX(0,$FB$26-($A266-1)))</f>
        <v>0</v>
      </c>
      <c r="FD266" s="5">
        <f>$FB$25*(FC266+(1-FC266)*$FB$16)</f>
        <v>0.0</v>
      </c>
      <c r="FE266" s="13">
        <f>FD266*($FB$6+ACUTE_MARGIN)</f>
        <v>0.0</v>
      </c>
      <c r="FF266" s="13">
        <f>IF(FB266=1,$FB$31,$FB$32)</f>
        <v>156636.04979437485</v>
      </c>
      <c r="FG266" s="13">
        <f>FE266-FF266</f>
        <v>-156636.04979437485</v>
      </c>
      <c r="FH266" s="13">
        <f>FH265+FG266</f>
        <v>9564573.515901621</v>
      </c>
      <c r="FI266">
        <f>IF(FH266=MAX($FH$83:$FH$483),$A266,0)</f>
        <v>0</v>
      </c>
      <c r="FJ266">
        <f>IF(FE266&lt;FF266,$A266,B_MAX+1)</f>
        <v>183</v>
      </c>
      <c r="FK266" s="13">
        <f>IF(FB266=1,$FB$35,$FB$36)</f>
        <v>0</v>
      </c>
      <c r="FL266" s="13">
        <f>OCC_DAYS*$FB$41*R_NF_2023-FD266*MCD_SHARE_FREED*R_WAIT_2023</f>
        <v>151980.48282209205</v>
      </c>
      <c r="FM266">
        <f>IF($A266&lt;=$FB$45,1,0)</f>
        <v>0</v>
      </c>
      <c r="GB266">
        <f>IF($GB$31&lt;=$GB$32,IF($A266&lt;=$GB$7,1,2),IF($A266&lt;=RUNG_BEDS_2,2,1))</f>
        <v>1</v>
      </c>
      <c r="GC266" s="5">
        <f>MIN(1,MAX(0,$GB$26-($A266-1)))</f>
        <v>0</v>
      </c>
      <c r="GD266" s="5">
        <f>$GB$25*(GC266+(1-GC266)*$GB$16)</f>
        <v>0.0</v>
      </c>
      <c r="GE266" s="13">
        <f>GD266*($GB$6+ACUTE_MARGIN)</f>
        <v>0.0</v>
      </c>
      <c r="GF266" s="13">
        <f>IF(GB266=1,$GB$31,$GB$32)</f>
        <v>152394.16214437486</v>
      </c>
      <c r="GG266" s="13">
        <f>GE266-GF266</f>
        <v>-152394.16214437486</v>
      </c>
      <c r="GH266" s="13">
        <f>GH265+GG266</f>
        <v>10340838.955851734</v>
      </c>
      <c r="GI266">
        <f>IF(GH266=MAX($GH$83:$GH$483),$A266,0)</f>
        <v>0</v>
      </c>
      <c r="GJ266">
        <f>IF(GE266&lt;GF266,$A266,B_MAX+1)</f>
        <v>183</v>
      </c>
      <c r="GK266" s="13">
        <f>IF(GB266=1,$GB$35,$GB$36)</f>
        <v>0</v>
      </c>
      <c r="GL266" s="13">
        <f>OCC_DAYS*$GB$41*R_NF_2023-GD266*MCD_SHARE_FREED*R_WAIT_2023</f>
        <v>151980.48282209205</v>
      </c>
      <c r="GM266">
        <f>IF($A266&lt;=$GB$45,1,0)</f>
        <v>0</v>
      </c>
      <c r="HB266">
        <f>IF($HB$31&lt;=$HB$32,IF($A266&lt;=$HB$7,1,2),IF($A266&lt;=RUNG_BEDS_2,2,1))</f>
        <v>1</v>
      </c>
      <c r="HC266" s="5">
        <f>MIN(1,MAX(0,$HB$26-($A266-1)))</f>
        <v>0</v>
      </c>
      <c r="HD266" s="5">
        <f>$HB$25*(HC266+(1-HC266)*$HB$16)</f>
        <v>0.0</v>
      </c>
      <c r="HE266" s="13">
        <f>HD266*($HB$6+ACUTE_MARGIN)</f>
        <v>0.0</v>
      </c>
      <c r="HF266" s="13">
        <f>IF(HB266=1,$HB$31,$HB$32)</f>
        <v>152456.2970814058</v>
      </c>
      <c r="HG266" s="13">
        <f>HE266-HF266</f>
        <v>-152456.2970814058</v>
      </c>
      <c r="HH266" s="13">
        <f>HH265+HG266</f>
        <v>10329468.26237504</v>
      </c>
      <c r="HI266">
        <f>IF(HH266=MAX($HH$83:$HH$483),$A266,0)</f>
        <v>0</v>
      </c>
      <c r="HJ266">
        <f>IF(HE266&lt;HF266,$A266,B_MAX+1)</f>
        <v>183</v>
      </c>
      <c r="HK266" s="13">
        <f>IF(HB266=1,$HB$35,$HB$36)</f>
        <v>0</v>
      </c>
      <c r="HL266" s="13">
        <f>OCC_DAYS*$HB$41*R_NF_2023-HD266*MCD_SHARE_FREED*R_WAIT_2023</f>
        <v>151980.48282209205</v>
      </c>
      <c r="HM266">
        <f>IF($A266&lt;=$HB$45,1,0)</f>
        <v>0</v>
      </c>
      <c r="IB266">
        <f>IF($IB$31&lt;=$IB$32,IF($A266&lt;=$IB$7,1,2),IF($A266&lt;=RUNG_BEDS_2,2,1))</f>
        <v>1</v>
      </c>
      <c r="IC266" s="5">
        <f>MIN(1,MAX(0,$IB$26-($A266-1)))</f>
        <v>0</v>
      </c>
      <c r="ID266" s="5">
        <f>$IB$25*(IC266+(1-IC266)*$IB$16)</f>
        <v>0.0</v>
      </c>
      <c r="IE266" s="13">
        <f>ID266*($IB$6+ACUTE_MARGIN)</f>
        <v>0.0</v>
      </c>
      <c r="IF266" s="13">
        <f>IF(IB266=1,$IB$31,$IB$32)</f>
        <v>152734.9994534971</v>
      </c>
      <c r="IG266" s="13">
        <f>IE266-IF266</f>
        <v>-152734.9994534971</v>
      </c>
      <c r="IH266" s="13">
        <f>IH265+IG266</f>
        <v>10278465.728282264</v>
      </c>
      <c r="II266">
        <f>IF(IH266=MAX($IH$83:$IH$483),$A266,0)</f>
        <v>0</v>
      </c>
      <c r="IJ266">
        <f>IF(IE266&lt;IF266,$A266,B_MAX+1)</f>
        <v>183</v>
      </c>
      <c r="IK266" s="13">
        <f>IF(IB266=1,$IB$35,$IB$36)</f>
        <v>0</v>
      </c>
      <c r="IL266" s="13">
        <f>OCC_DAYS*$IB$41*R_NF_2023-ID266*MCD_SHARE_FREED*R_WAIT_2023</f>
        <v>151980.48282209205</v>
      </c>
      <c r="IM266">
        <f>IF($A266&lt;=$IB$45,1,0)</f>
        <v>0</v>
      </c>
      <c r="JB266">
        <f>IF($JB$31&lt;=$JB$32,IF($A266&lt;=$JB$7,1,2),IF($A266&lt;=RUNG_BEDS_2,2,1))</f>
        <v>1</v>
      </c>
      <c r="JC266" s="5">
        <f>MIN(1,MAX(0,$JB$26-($A266-1)))</f>
        <v>0</v>
      </c>
      <c r="JD266" s="5">
        <f>$JB$25*(JC266+(1-JC266)*$JB$16)</f>
        <v>0.0</v>
      </c>
      <c r="JE266" s="13">
        <f>JD266*($JB$6+ACUTE_MARGIN)</f>
        <v>0.0</v>
      </c>
      <c r="JF266" s="13">
        <f>IF(JB266=1,$JB$31,$JB$32)</f>
        <v>152394.16214437486</v>
      </c>
      <c r="JG266" s="13">
        <f>JE266-JF266</f>
        <v>-152394.16214437486</v>
      </c>
      <c r="JH266" s="13">
        <f>JH265+JG266</f>
        <v>10340838.955851734</v>
      </c>
      <c r="JI266">
        <f>IF(JH266=MAX($JH$83:$JH$483),$A266,0)</f>
        <v>0</v>
      </c>
      <c r="JJ266">
        <f>IF(JE266&lt;JF266,$A266,B_MAX+1)</f>
        <v>183</v>
      </c>
      <c r="JK266" s="13">
        <f>IF(JB266=1,$JB$35,$JB$36)</f>
        <v>0</v>
      </c>
      <c r="JL266" s="13">
        <f>OCC_DAYS*$JB$41*R_NF_2023-JD266*MCD_SHARE_FREED*R_WAIT_2023</f>
        <v>151980.48282209205</v>
      </c>
      <c r="JM266">
        <f>IF($A266&lt;=$JB$45,1,0)</f>
        <v>0</v>
      </c>
      <c r="KB266">
        <f>IF($KB$31&lt;=$KB$32,IF($A266&lt;=$KB$7,1,2),IF($A266&lt;=RUNG_BEDS_2,2,1))</f>
        <v>1</v>
      </c>
      <c r="KC266" s="5">
        <f>MIN(1,MAX(0,$KB$26-($A266-1)))</f>
        <v>1</v>
      </c>
      <c r="KD266" s="5">
        <f>$KB$25*(KC266+(1-KC266)*$KB$16)</f>
        <v>126.02661357340719</v>
      </c>
      <c r="KE266" s="13">
        <f>KD266*($KB$6+ACUTE_MARGIN)</f>
        <v>127286.87970914126</v>
      </c>
      <c r="KF266" s="13">
        <f>IF(KB266=1,$KB$31,$KB$32)</f>
        <v>152394.16214437486</v>
      </c>
      <c r="KG266" s="13">
        <f>KE266-KF266</f>
        <v>-25107.282435233603</v>
      </c>
      <c r="KH266" s="13">
        <f>KH265+KG266</f>
        <v>-4594632.685647763</v>
      </c>
      <c r="KI266">
        <f>IF(KH266=MAX($KH$83:$KH$483),$A266,0)</f>
        <v>0</v>
      </c>
      <c r="KJ266">
        <f>IF(KE266&lt;KF266,$A266,B_MAX+1)</f>
        <v>183</v>
      </c>
      <c r="KK266" s="13">
        <f>IF(KB266=1,$KB$35,$KB$36)</f>
        <v>0</v>
      </c>
      <c r="KL266" s="13">
        <f>OCC_DAYS*$KB$41*R_NF_2023-KD266*MCD_SHARE_FREED*R_WAIT_2023</f>
        <v>94673.82103225985</v>
      </c>
      <c r="KM266">
        <f>IF($A266&lt;=$KB$45,1,0)</f>
        <v>0</v>
      </c>
      <c r="LB266">
        <f>IF($LB$31&lt;=$LB$32,IF($A266&lt;=$LB$7,1,2),IF($A266&lt;=RUNG_BEDS_2,2,1))</f>
        <v>1</v>
      </c>
      <c r="LC266" s="5">
        <f>MIN(1,MAX(0,$LB$26-($A266-1)))</f>
        <v>1</v>
      </c>
      <c r="LD266" s="5">
        <f>$LB$25*(LC266+(1-LC266)*$LB$16)</f>
        <v>84.01774238227146</v>
      </c>
      <c r="LE266" s="13">
        <f>LD266*($LB$6+ACUTE_MARGIN)</f>
        <v>84857.91980609419</v>
      </c>
      <c r="LF266" s="13">
        <f>IF(LB266=1,$LB$31,$LB$32)</f>
        <v>152394.16214437486</v>
      </c>
      <c r="LG266" s="13">
        <f>LE266-LF266</f>
        <v>-67536.24233828067</v>
      </c>
      <c r="LH266" s="13">
        <f>LH265+LG266</f>
        <v>-12359132.347905416</v>
      </c>
      <c r="LI266">
        <f>IF(LH266=MAX($LH$83:$LH$483),$A266,0)</f>
        <v>0</v>
      </c>
      <c r="LJ266">
        <f>IF(LE266&lt;LF266,$A266,B_MAX+1)</f>
        <v>183</v>
      </c>
      <c r="LK266" s="13">
        <f>IF(LB266=1,$LB$35,$LB$36)</f>
        <v>0</v>
      </c>
      <c r="LL266" s="13">
        <f>OCC_DAYS*$LB$41*R_NF_2023-LD266*MCD_SHARE_FREED*R_WAIT_2023</f>
        <v>113776.04162887059</v>
      </c>
      <c r="LM266">
        <f>IF($A266&lt;=$LB$45,1,0)</f>
        <v>0</v>
      </c>
      <c r="MB266">
        <f>IF($MB$31&lt;=$MB$32,IF($A266&lt;=$MB$7,1,2),IF($A266&lt;=RUNG_BEDS_2,2,1))</f>
        <v>1</v>
      </c>
      <c r="MC266" s="5">
        <f>MIN(1,MAX(0,$MB$26-($A266-1)))</f>
        <v>0</v>
      </c>
      <c r="MD266" s="5">
        <f>$MB$25*(MC266+(1-MC266)*$MB$16)</f>
        <v>0.0</v>
      </c>
      <c r="ME266" s="13">
        <f>MD266*($MB$6+ACUTE_MARGIN)</f>
        <v>0.0</v>
      </c>
      <c r="MF266" s="13">
        <f>IF(MB266=1,$MB$31,$MB$32)</f>
        <v>152394.16214437486</v>
      </c>
      <c r="MG266" s="13">
        <f>ME266-MF266</f>
        <v>-152394.16214437486</v>
      </c>
      <c r="MH266" s="13">
        <f>MH265+MG266</f>
        <v>4453562.894053409</v>
      </c>
      <c r="MI266">
        <f>IF(MH266=MAX($MH$83:$MH$483),$A266,0)</f>
        <v>0</v>
      </c>
      <c r="MJ266">
        <f>IF(ME266&lt;MF266,$A266,B_MAX+1)</f>
        <v>183</v>
      </c>
      <c r="MK266" s="13">
        <f>IF(MB266=1,$MB$35,$MB$36)</f>
        <v>0</v>
      </c>
      <c r="ML266" s="13">
        <f>OCC_DAYS*$MB$41*R_NF_2023-MD266*MCD_SHARE_FREED*R_WAIT_2023</f>
        <v>151980.48282209205</v>
      </c>
      <c r="MM266">
        <f>IF($A266&lt;=$MB$45,1,0)</f>
        <v>0</v>
      </c>
      <c r="NB266">
        <f>IF($NB$31&lt;=$NB$32,IF($A266&lt;=$NB$7,1,2),IF($A266&lt;=RUNG_BEDS_2,2,1))</f>
        <v>1</v>
      </c>
      <c r="NC266" s="5">
        <f>MIN(1,MAX(0,$NB$26-($A266-1)))</f>
        <v>0</v>
      </c>
      <c r="ND266" s="5">
        <f>$NB$25*(NC266+(1-NC266)*$NB$16)</f>
        <v>63.013306786703595</v>
      </c>
      <c r="NE266" s="13">
        <f>ND266*($NB$6+ACUTE_MARGIN)</f>
        <v>63643.43985457063</v>
      </c>
      <c r="NF266" s="13">
        <f>IF(NB266=1,$NB$31,$NB$32)</f>
        <v>152394.16214437486</v>
      </c>
      <c r="NG266" s="13">
        <f>NE266-NF266</f>
        <v>-88750.72228980422</v>
      </c>
      <c r="NH266" s="13">
        <f>NH265+NG266</f>
        <v>12430345.792170066</v>
      </c>
      <c r="NI266">
        <f>IF(NH266=MAX($NH$83:$NH$483),$A266,0)</f>
        <v>0</v>
      </c>
      <c r="NJ266">
        <f>IF(NE266&lt;NF266,$A266,B_MAX+1)</f>
        <v>183</v>
      </c>
      <c r="NK266" s="13">
        <f>IF(NB266=1,$NB$35,$NB$36)</f>
        <v>0</v>
      </c>
      <c r="NL266" s="13">
        <f>OCC_DAYS*$NB$41*R_NF_2023-ND266*MCD_SHARE_FREED*R_WAIT_2023</f>
        <v>123327.15192717595</v>
      </c>
      <c r="NM266">
        <f>IF($A266&lt;=$NB$45,1,0)</f>
        <v>0</v>
      </c>
      <c r="OB266">
        <f>IF($OB$31&lt;=$OB$32,IF($A266&lt;=$OB$7,1,2),IF($A266&lt;=RUNG_BEDS_2,2,1))</f>
        <v>1</v>
      </c>
      <c r="OC266" s="5">
        <f>MIN(1,MAX(0,$OB$26-($A266-1)))</f>
        <v>0</v>
      </c>
      <c r="OD266" s="5">
        <f>$OB$25*(OC266+(1-OC266)*$OB$16)</f>
        <v>126.02661357340719</v>
      </c>
      <c r="OE266" s="13">
        <f>OD266*($OB$6+ACUTE_MARGIN)</f>
        <v>127286.87970914126</v>
      </c>
      <c r="OF266" s="13">
        <f>IF(OB266=1,$OB$31,$OB$32)</f>
        <v>152394.16214437486</v>
      </c>
      <c r="OG266" s="13">
        <f>OE266-OF266</f>
        <v>-25107.282435233603</v>
      </c>
      <c r="OH266" s="13">
        <f>OH265+OG266</f>
        <v>14519852.62848846</v>
      </c>
      <c r="OI266">
        <f>IF(OH266=MAX($OH$83:$OH$483),$A266,0)</f>
        <v>0</v>
      </c>
      <c r="OJ266">
        <f>IF(OE266&lt;OF266,$A266,B_MAX+1)</f>
        <v>183</v>
      </c>
      <c r="OK266" s="13">
        <f>IF(OB266=1,$OB$35,$OB$36)</f>
        <v>0</v>
      </c>
      <c r="OL266" s="13">
        <f>OCC_DAYS*$OB$41*R_NF_2023-OD266*MCD_SHARE_FREED*R_WAIT_2023</f>
        <v>94673.82103225985</v>
      </c>
      <c r="OM266">
        <f>IF($A266&lt;=$OB$45,1,0)</f>
        <v>0</v>
      </c>
    </row>
    <row r="267">
      <c r="A267" t="n">
        <v>184</v>
      </c>
      <c r="B267">
        <f>IF($B$31&lt;=$B$32,IF($A267&lt;=$B$7,1,2),IF($A267&lt;=RUNG_BEDS_2,2,1))</f>
        <v>1</v>
      </c>
      <c r="C267" s="5">
        <f>MIN(1,MAX(0,$B$26-($A267-1)))</f>
        <v>0</v>
      </c>
      <c r="D267" s="5">
        <f>$B$25*(C267+(1-C267)*$B$16)</f>
        <v>0.0</v>
      </c>
      <c r="E267" s="13">
        <f>D267*($B$6+ACUTE_MARGIN)</f>
        <v>0.0</v>
      </c>
      <c r="F267" s="13">
        <f>IF(B267=1,$B$31,$B$32)</f>
        <v>152394.16214437486</v>
      </c>
      <c r="G267" s="13">
        <f>E267-F267</f>
        <v>-152394.16214437486</v>
      </c>
      <c r="H267" s="13">
        <f>H266+G267</f>
        <v>10188444.79370736</v>
      </c>
      <c r="I267">
        <f>IF(H267=MAX($H$83:$H$483),$A267,0)</f>
        <v>0</v>
      </c>
      <c r="J267">
        <f>IF(E267&lt;F267,$A267,B_MAX+1)</f>
        <v>184</v>
      </c>
      <c r="K267" s="13">
        <f>IF(B267=1,$B$35,$B$36)</f>
        <v>0</v>
      </c>
      <c r="L267" s="13">
        <f>OCC_DAYS*$B$41*R_NF_2023-D267*MCD_SHARE_FREED*R_WAIT_2023</f>
        <v>151980.48282209205</v>
      </c>
      <c r="M267">
        <f>IF($A267&lt;=$B$45,1,0)</f>
        <v>0</v>
      </c>
      <c r="AB267">
        <f>IF($AB$31&lt;=$AB$32,IF($A267&lt;=$AB$7,1,2),IF($A267&lt;=RUNG_BEDS_2,2,1))</f>
        <v>1</v>
      </c>
      <c r="AC267" s="5">
        <f>MIN(1,MAX(0,$AB$26-($A267-1)))</f>
        <v>0</v>
      </c>
      <c r="AD267" s="5">
        <f>$AB$25*(AC267+(1-AC267)*$AB$16)</f>
        <v>0.0</v>
      </c>
      <c r="AE267" s="13">
        <f>AD267*($AB$6+ACUTE_MARGIN)</f>
        <v>0.0</v>
      </c>
      <c r="AF267" s="13">
        <f>IF(AB267=1,$AB$31,$AB$32)</f>
        <v>152394.16214437486</v>
      </c>
      <c r="AG267" s="13">
        <f>AE267-AF267</f>
        <v>-152394.16214437486</v>
      </c>
      <c r="AH267" s="13">
        <f>AH266+AG267</f>
        <v>-7222769.551842464</v>
      </c>
      <c r="AI267">
        <f>IF(AH267=MAX($AH$83:$AH$483),$A267,0)</f>
        <v>0</v>
      </c>
      <c r="AJ267">
        <f>IF(AE267&lt;AF267,$A267,B_MAX+1)</f>
        <v>184</v>
      </c>
      <c r="AK267" s="13">
        <f>IF(AB267=1,$AB$35,$AB$36)</f>
        <v>0</v>
      </c>
      <c r="AL267" s="13">
        <f>OCC_DAYS*$AB$41*R_NF_2023-AD267*MCD_SHARE_FREED*R_WAIT_2023</f>
        <v>151980.48282209205</v>
      </c>
      <c r="AM267">
        <f>IF($A267&lt;=$AB$45,1,0)</f>
        <v>0</v>
      </c>
      <c r="BB267">
        <f>IF($BB$31&lt;=$BB$32,IF($A267&lt;=$BB$7,1,2),IF($A267&lt;=RUNG_BEDS_2,2,1))</f>
        <v>1</v>
      </c>
      <c r="BC267" s="5">
        <f>MIN(1,MAX(0,$BB$26-($A267-1)))</f>
        <v>0</v>
      </c>
      <c r="BD267" s="5">
        <f>$BB$25*(BC267+(1-BC267)*$BB$16)</f>
        <v>0.0</v>
      </c>
      <c r="BE267" s="13">
        <f>BD267*($BB$6+ACUTE_MARGIN)</f>
        <v>0.0</v>
      </c>
      <c r="BF267" s="13">
        <f>IF(BB267=1,$BB$31,$BB$32)</f>
        <v>152394.16214437486</v>
      </c>
      <c r="BG267" s="13">
        <f>BE267-BF267</f>
        <v>-152394.16214437486</v>
      </c>
      <c r="BH267" s="13">
        <f>BH266+BG267</f>
        <v>27599659.13925702</v>
      </c>
      <c r="BI267">
        <f>IF(BH267=MAX($BH$83:$BH$483),$A267,0)</f>
        <v>0</v>
      </c>
      <c r="BJ267">
        <f>IF(BE267&lt;BF267,$A267,B_MAX+1)</f>
        <v>184</v>
      </c>
      <c r="BK267" s="13">
        <f>IF(BB267=1,$BB$35,$BB$36)</f>
        <v>0</v>
      </c>
      <c r="BL267" s="13">
        <f>OCC_DAYS*$BB$41*R_NF_2023-BD267*MCD_SHARE_FREED*R_WAIT_2023</f>
        <v>151980.48282209205</v>
      </c>
      <c r="BM267">
        <f>IF($A267&lt;=$BB$45,1,0)</f>
        <v>0</v>
      </c>
      <c r="CB267">
        <f>IF($CB$31&lt;=$CB$32,IF($A267&lt;=$CB$7,1,2),IF($A267&lt;=RUNG_BEDS_2,2,1))</f>
        <v>2</v>
      </c>
      <c r="CC267" s="5">
        <f>MIN(1,MAX(0,$CB$26-($A267-1)))</f>
        <v>0</v>
      </c>
      <c r="CD267" s="5">
        <f>$CB$25*(CC267+(1-CC267)*$CB$16)</f>
        <v>0.0</v>
      </c>
      <c r="CE267" s="13">
        <f>CD267*($CB$6+ACUTE_MARGIN)</f>
        <v>0.0</v>
      </c>
      <c r="CF267" s="13">
        <f>IF(CB267=1,$CB$31,$CB$32)</f>
        <v>160718.36940738867</v>
      </c>
      <c r="CG267" s="13">
        <f>CE267-CF267</f>
        <v>-160718.36940738867</v>
      </c>
      <c r="CH267" s="13">
        <f>CH266+CG267</f>
        <v>8656790.6573127</v>
      </c>
      <c r="CI267">
        <f>IF(CH267=MAX($CH$83:$CH$483),$A267,0)</f>
        <v>0</v>
      </c>
      <c r="CJ267">
        <f>IF(CE267&lt;CF267,$A267,B_MAX+1)</f>
        <v>184</v>
      </c>
      <c r="CK267" s="13">
        <f>IF(CB267=1,$CB$35,$CB$36)</f>
        <v>1560.1194073886782</v>
      </c>
      <c r="CL267" s="13">
        <f>OCC_DAYS*$CB$41*R_NF_2023-CD267*MCD_SHARE_FREED*R_WAIT_2023</f>
        <v>151980.48282209205</v>
      </c>
      <c r="CM267">
        <f>IF($A267&lt;=$CB$45,1,0)</f>
        <v>0</v>
      </c>
      <c r="DB267">
        <f>IF($DB$31&lt;=$DB$32,IF($A267&lt;=$DB$7,1,2),IF($A267&lt;=RUNG_BEDS_2,2,1))</f>
        <v>1</v>
      </c>
      <c r="DC267" s="5">
        <f>MIN(1,MAX(0,$DB$26-($A267-1)))</f>
        <v>0</v>
      </c>
      <c r="DD267" s="5">
        <f>$DB$25*(DC267+(1-DC267)*$DB$16)</f>
        <v>0.0</v>
      </c>
      <c r="DE267" s="13">
        <f>DD267*($DB$6+ACUTE_MARGIN)</f>
        <v>0.0</v>
      </c>
      <c r="DF267" s="13">
        <f>IF(DB267=1,$DB$31,$DB$32)</f>
        <v>152394.16214437486</v>
      </c>
      <c r="DG267" s="13">
        <f>DE267-DF267</f>
        <v>-152394.16214437486</v>
      </c>
      <c r="DH267" s="13">
        <f>DH266+DG267</f>
        <v>10188444.79370736</v>
      </c>
      <c r="DI267">
        <f>IF(DH267=MAX($DH$83:$DH$483),$A267,0)</f>
        <v>0</v>
      </c>
      <c r="DJ267">
        <f>IF(DE267&lt;DF267,$A267,B_MAX+1)</f>
        <v>184</v>
      </c>
      <c r="DK267" s="13">
        <f>IF(DB267=1,$DB$35,$DB$36)</f>
        <v>0</v>
      </c>
      <c r="DL267" s="13">
        <f>OCC_DAYS*$DB$41*R_NF_2023-DD267*MCD_SHARE_FREED*R_WAIT_2023</f>
        <v>151980.48282209205</v>
      </c>
      <c r="DM267">
        <f>IF($A267&lt;=$DB$45,1,0)</f>
        <v>0</v>
      </c>
      <c r="EB267">
        <f>IF($EB$31&lt;=$EB$32,IF($A267&lt;=$EB$7,1,2),IF($A267&lt;=RUNG_BEDS_2,2,1))</f>
        <v>1</v>
      </c>
      <c r="EC267" s="5">
        <f>MIN(1,MAX(0,$EB$26-($A267-1)))</f>
        <v>0</v>
      </c>
      <c r="ED267" s="5">
        <f>$EB$25*(EC267+(1-EC267)*$EB$16)</f>
        <v>0.0</v>
      </c>
      <c r="EE267" s="13">
        <f>ED267*($EB$6+ACUTE_MARGIN)</f>
        <v>0.0</v>
      </c>
      <c r="EF267" s="13">
        <f>IF(EB267=1,$EB$31,$EB$32)</f>
        <v>152394.16214437486</v>
      </c>
      <c r="EG267" s="13">
        <f>EE267-EF267</f>
        <v>-152394.16214437486</v>
      </c>
      <c r="EH267" s="13">
        <f>EH266+EG267</f>
        <v>10188444.79370736</v>
      </c>
      <c r="EI267">
        <f>IF(EH267=MAX($EH$83:$EH$483),$A267,0)</f>
        <v>0</v>
      </c>
      <c r="EJ267">
        <f>IF(EE267&lt;EF267,$A267,B_MAX+1)</f>
        <v>184</v>
      </c>
      <c r="EK267" s="13">
        <f>IF(EB267=1,$EB$35,$EB$36)</f>
        <v>0</v>
      </c>
      <c r="EL267" s="13">
        <f>OCC_DAYS*$EB$41*R_NF_2023-ED267*MCD_SHARE_FREED*R_WAIT_2023</f>
        <v>50660.16094069735</v>
      </c>
      <c r="EM267">
        <f>IF($A267&lt;=$EB$45,1,0)</f>
        <v>0</v>
      </c>
      <c r="FB267">
        <f>IF($FB$31&lt;=$FB$32,IF($A267&lt;=$FB$7,1,2),IF($A267&lt;=RUNG_BEDS_2,2,1))</f>
        <v>1</v>
      </c>
      <c r="FC267" s="5">
        <f>MIN(1,MAX(0,$FB$26-($A267-1)))</f>
        <v>0</v>
      </c>
      <c r="FD267" s="5">
        <f>$FB$25*(FC267+(1-FC267)*$FB$16)</f>
        <v>0.0</v>
      </c>
      <c r="FE267" s="13">
        <f>FD267*($FB$6+ACUTE_MARGIN)</f>
        <v>0.0</v>
      </c>
      <c r="FF267" s="13">
        <f>IF(FB267=1,$FB$31,$FB$32)</f>
        <v>156636.04979437485</v>
      </c>
      <c r="FG267" s="13">
        <f>FE267-FF267</f>
        <v>-156636.04979437485</v>
      </c>
      <c r="FH267" s="13">
        <f>FH266+FG267</f>
        <v>9407937.466107247</v>
      </c>
      <c r="FI267">
        <f>IF(FH267=MAX($FH$83:$FH$483),$A267,0)</f>
        <v>0</v>
      </c>
      <c r="FJ267">
        <f>IF(FE267&lt;FF267,$A267,B_MAX+1)</f>
        <v>184</v>
      </c>
      <c r="FK267" s="13">
        <f>IF(FB267=1,$FB$35,$FB$36)</f>
        <v>0</v>
      </c>
      <c r="FL267" s="13">
        <f>OCC_DAYS*$FB$41*R_NF_2023-FD267*MCD_SHARE_FREED*R_WAIT_2023</f>
        <v>151980.48282209205</v>
      </c>
      <c r="FM267">
        <f>IF($A267&lt;=$FB$45,1,0)</f>
        <v>0</v>
      </c>
      <c r="GB267">
        <f>IF($GB$31&lt;=$GB$32,IF($A267&lt;=$GB$7,1,2),IF($A267&lt;=RUNG_BEDS_2,2,1))</f>
        <v>1</v>
      </c>
      <c r="GC267" s="5">
        <f>MIN(1,MAX(0,$GB$26-($A267-1)))</f>
        <v>0</v>
      </c>
      <c r="GD267" s="5">
        <f>$GB$25*(GC267+(1-GC267)*$GB$16)</f>
        <v>0.0</v>
      </c>
      <c r="GE267" s="13">
        <f>GD267*($GB$6+ACUTE_MARGIN)</f>
        <v>0.0</v>
      </c>
      <c r="GF267" s="13">
        <f>IF(GB267=1,$GB$31,$GB$32)</f>
        <v>152394.16214437486</v>
      </c>
      <c r="GG267" s="13">
        <f>GE267-GF267</f>
        <v>-152394.16214437486</v>
      </c>
      <c r="GH267" s="13">
        <f>GH266+GG267</f>
        <v>10188444.79370736</v>
      </c>
      <c r="GI267">
        <f>IF(GH267=MAX($GH$83:$GH$483),$A267,0)</f>
        <v>0</v>
      </c>
      <c r="GJ267">
        <f>IF(GE267&lt;GF267,$A267,B_MAX+1)</f>
        <v>184</v>
      </c>
      <c r="GK267" s="13">
        <f>IF(GB267=1,$GB$35,$GB$36)</f>
        <v>0</v>
      </c>
      <c r="GL267" s="13">
        <f>OCC_DAYS*$GB$41*R_NF_2023-GD267*MCD_SHARE_FREED*R_WAIT_2023</f>
        <v>151980.48282209205</v>
      </c>
      <c r="GM267">
        <f>IF($A267&lt;=$GB$45,1,0)</f>
        <v>0</v>
      </c>
      <c r="HB267">
        <f>IF($HB$31&lt;=$HB$32,IF($A267&lt;=$HB$7,1,2),IF($A267&lt;=RUNG_BEDS_2,2,1))</f>
        <v>1</v>
      </c>
      <c r="HC267" s="5">
        <f>MIN(1,MAX(0,$HB$26-($A267-1)))</f>
        <v>0</v>
      </c>
      <c r="HD267" s="5">
        <f>$HB$25*(HC267+(1-HC267)*$HB$16)</f>
        <v>0.0</v>
      </c>
      <c r="HE267" s="13">
        <f>HD267*($HB$6+ACUTE_MARGIN)</f>
        <v>0.0</v>
      </c>
      <c r="HF267" s="13">
        <f>IF(HB267=1,$HB$31,$HB$32)</f>
        <v>152456.2970814058</v>
      </c>
      <c r="HG267" s="13">
        <f>HE267-HF267</f>
        <v>-152456.2970814058</v>
      </c>
      <c r="HH267" s="13">
        <f>HH266+HG267</f>
        <v>10177011.965293635</v>
      </c>
      <c r="HI267">
        <f>IF(HH267=MAX($HH$83:$HH$483),$A267,0)</f>
        <v>0</v>
      </c>
      <c r="HJ267">
        <f>IF(HE267&lt;HF267,$A267,B_MAX+1)</f>
        <v>184</v>
      </c>
      <c r="HK267" s="13">
        <f>IF(HB267=1,$HB$35,$HB$36)</f>
        <v>0</v>
      </c>
      <c r="HL267" s="13">
        <f>OCC_DAYS*$HB$41*R_NF_2023-HD267*MCD_SHARE_FREED*R_WAIT_2023</f>
        <v>151980.48282209205</v>
      </c>
      <c r="HM267">
        <f>IF($A267&lt;=$HB$45,1,0)</f>
        <v>0</v>
      </c>
      <c r="IB267">
        <f>IF($IB$31&lt;=$IB$32,IF($A267&lt;=$IB$7,1,2),IF($A267&lt;=RUNG_BEDS_2,2,1))</f>
        <v>1</v>
      </c>
      <c r="IC267" s="5">
        <f>MIN(1,MAX(0,$IB$26-($A267-1)))</f>
        <v>0</v>
      </c>
      <c r="ID267" s="5">
        <f>$IB$25*(IC267+(1-IC267)*$IB$16)</f>
        <v>0.0</v>
      </c>
      <c r="IE267" s="13">
        <f>ID267*($IB$6+ACUTE_MARGIN)</f>
        <v>0.0</v>
      </c>
      <c r="IF267" s="13">
        <f>IF(IB267=1,$IB$31,$IB$32)</f>
        <v>152734.9994534971</v>
      </c>
      <c r="IG267" s="13">
        <f>IE267-IF267</f>
        <v>-152734.9994534971</v>
      </c>
      <c r="IH267" s="13">
        <f>IH266+IG267</f>
        <v>10125730.728828767</v>
      </c>
      <c r="II267">
        <f>IF(IH267=MAX($IH$83:$IH$483),$A267,0)</f>
        <v>0</v>
      </c>
      <c r="IJ267">
        <f>IF(IE267&lt;IF267,$A267,B_MAX+1)</f>
        <v>184</v>
      </c>
      <c r="IK267" s="13">
        <f>IF(IB267=1,$IB$35,$IB$36)</f>
        <v>0</v>
      </c>
      <c r="IL267" s="13">
        <f>OCC_DAYS*$IB$41*R_NF_2023-ID267*MCD_SHARE_FREED*R_WAIT_2023</f>
        <v>151980.48282209205</v>
      </c>
      <c r="IM267">
        <f>IF($A267&lt;=$IB$45,1,0)</f>
        <v>0</v>
      </c>
      <c r="JB267">
        <f>IF($JB$31&lt;=$JB$32,IF($A267&lt;=$JB$7,1,2),IF($A267&lt;=RUNG_BEDS_2,2,1))</f>
        <v>1</v>
      </c>
      <c r="JC267" s="5">
        <f>MIN(1,MAX(0,$JB$26-($A267-1)))</f>
        <v>0</v>
      </c>
      <c r="JD267" s="5">
        <f>$JB$25*(JC267+(1-JC267)*$JB$16)</f>
        <v>0.0</v>
      </c>
      <c r="JE267" s="13">
        <f>JD267*($JB$6+ACUTE_MARGIN)</f>
        <v>0.0</v>
      </c>
      <c r="JF267" s="13">
        <f>IF(JB267=1,$JB$31,$JB$32)</f>
        <v>152394.16214437486</v>
      </c>
      <c r="JG267" s="13">
        <f>JE267-JF267</f>
        <v>-152394.16214437486</v>
      </c>
      <c r="JH267" s="13">
        <f>JH266+JG267</f>
        <v>10188444.79370736</v>
      </c>
      <c r="JI267">
        <f>IF(JH267=MAX($JH$83:$JH$483),$A267,0)</f>
        <v>0</v>
      </c>
      <c r="JJ267">
        <f>IF(JE267&lt;JF267,$A267,B_MAX+1)</f>
        <v>184</v>
      </c>
      <c r="JK267" s="13">
        <f>IF(JB267=1,$JB$35,$JB$36)</f>
        <v>0</v>
      </c>
      <c r="JL267" s="13">
        <f>OCC_DAYS*$JB$41*R_NF_2023-JD267*MCD_SHARE_FREED*R_WAIT_2023</f>
        <v>151980.48282209205</v>
      </c>
      <c r="JM267">
        <f>IF($A267&lt;=$JB$45,1,0)</f>
        <v>0</v>
      </c>
      <c r="KB267">
        <f>IF($KB$31&lt;=$KB$32,IF($A267&lt;=$KB$7,1,2),IF($A267&lt;=RUNG_BEDS_2,2,1))</f>
        <v>1</v>
      </c>
      <c r="KC267" s="5">
        <f>MIN(1,MAX(0,$KB$26-($A267-1)))</f>
        <v>1</v>
      </c>
      <c r="KD267" s="5">
        <f>$KB$25*(KC267+(1-KC267)*$KB$16)</f>
        <v>126.02661357340719</v>
      </c>
      <c r="KE267" s="13">
        <f>KD267*($KB$6+ACUTE_MARGIN)</f>
        <v>127286.87970914126</v>
      </c>
      <c r="KF267" s="13">
        <f>IF(KB267=1,$KB$31,$KB$32)</f>
        <v>152394.16214437486</v>
      </c>
      <c r="KG267" s="13">
        <f>KE267-KF267</f>
        <v>-25107.282435233603</v>
      </c>
      <c r="KH267" s="13">
        <f>KH266+KG267</f>
        <v>-4619739.968082997</v>
      </c>
      <c r="KI267">
        <f>IF(KH267=MAX($KH$83:$KH$483),$A267,0)</f>
        <v>0</v>
      </c>
      <c r="KJ267">
        <f>IF(KE267&lt;KF267,$A267,B_MAX+1)</f>
        <v>184</v>
      </c>
      <c r="KK267" s="13">
        <f>IF(KB267=1,$KB$35,$KB$36)</f>
        <v>0</v>
      </c>
      <c r="KL267" s="13">
        <f>OCC_DAYS*$KB$41*R_NF_2023-KD267*MCD_SHARE_FREED*R_WAIT_2023</f>
        <v>94673.82103225985</v>
      </c>
      <c r="KM267">
        <f>IF($A267&lt;=$KB$45,1,0)</f>
        <v>0</v>
      </c>
      <c r="LB267">
        <f>IF($LB$31&lt;=$LB$32,IF($A267&lt;=$LB$7,1,2),IF($A267&lt;=RUNG_BEDS_2,2,1))</f>
        <v>1</v>
      </c>
      <c r="LC267" s="5">
        <f>MIN(1,MAX(0,$LB$26-($A267-1)))</f>
        <v>1</v>
      </c>
      <c r="LD267" s="5">
        <f>$LB$25*(LC267+(1-LC267)*$LB$16)</f>
        <v>84.01774238227146</v>
      </c>
      <c r="LE267" s="13">
        <f>LD267*($LB$6+ACUTE_MARGIN)</f>
        <v>84857.91980609419</v>
      </c>
      <c r="LF267" s="13">
        <f>IF(LB267=1,$LB$31,$LB$32)</f>
        <v>152394.16214437486</v>
      </c>
      <c r="LG267" s="13">
        <f>LE267-LF267</f>
        <v>-67536.24233828067</v>
      </c>
      <c r="LH267" s="13">
        <f>LH266+LG267</f>
        <v>-12426668.590243697</v>
      </c>
      <c r="LI267">
        <f>IF(LH267=MAX($LH$83:$LH$483),$A267,0)</f>
        <v>0</v>
      </c>
      <c r="LJ267">
        <f>IF(LE267&lt;LF267,$A267,B_MAX+1)</f>
        <v>184</v>
      </c>
      <c r="LK267" s="13">
        <f>IF(LB267=1,$LB$35,$LB$36)</f>
        <v>0</v>
      </c>
      <c r="LL267" s="13">
        <f>OCC_DAYS*$LB$41*R_NF_2023-LD267*MCD_SHARE_FREED*R_WAIT_2023</f>
        <v>113776.04162887059</v>
      </c>
      <c r="LM267">
        <f>IF($A267&lt;=$LB$45,1,0)</f>
        <v>0</v>
      </c>
      <c r="MB267">
        <f>IF($MB$31&lt;=$MB$32,IF($A267&lt;=$MB$7,1,2),IF($A267&lt;=RUNG_BEDS_2,2,1))</f>
        <v>1</v>
      </c>
      <c r="MC267" s="5">
        <f>MIN(1,MAX(0,$MB$26-($A267-1)))</f>
        <v>0</v>
      </c>
      <c r="MD267" s="5">
        <f>$MB$25*(MC267+(1-MC267)*$MB$16)</f>
        <v>0.0</v>
      </c>
      <c r="ME267" s="13">
        <f>MD267*($MB$6+ACUTE_MARGIN)</f>
        <v>0.0</v>
      </c>
      <c r="MF267" s="13">
        <f>IF(MB267=1,$MB$31,$MB$32)</f>
        <v>152394.16214437486</v>
      </c>
      <c r="MG267" s="13">
        <f>ME267-MF267</f>
        <v>-152394.16214437486</v>
      </c>
      <c r="MH267" s="13">
        <f>MH266+MG267</f>
        <v>4301168.731909034</v>
      </c>
      <c r="MI267">
        <f>IF(MH267=MAX($MH$83:$MH$483),$A267,0)</f>
        <v>0</v>
      </c>
      <c r="MJ267">
        <f>IF(ME267&lt;MF267,$A267,B_MAX+1)</f>
        <v>184</v>
      </c>
      <c r="MK267" s="13">
        <f>IF(MB267=1,$MB$35,$MB$36)</f>
        <v>0</v>
      </c>
      <c r="ML267" s="13">
        <f>OCC_DAYS*$MB$41*R_NF_2023-MD267*MCD_SHARE_FREED*R_WAIT_2023</f>
        <v>151980.48282209205</v>
      </c>
      <c r="MM267">
        <f>IF($A267&lt;=$MB$45,1,0)</f>
        <v>0</v>
      </c>
      <c r="NB267">
        <f>IF($NB$31&lt;=$NB$32,IF($A267&lt;=$NB$7,1,2),IF($A267&lt;=RUNG_BEDS_2,2,1))</f>
        <v>1</v>
      </c>
      <c r="NC267" s="5">
        <f>MIN(1,MAX(0,$NB$26-($A267-1)))</f>
        <v>0</v>
      </c>
      <c r="ND267" s="5">
        <f>$NB$25*(NC267+(1-NC267)*$NB$16)</f>
        <v>63.013306786703595</v>
      </c>
      <c r="NE267" s="13">
        <f>ND267*($NB$6+ACUTE_MARGIN)</f>
        <v>63643.43985457063</v>
      </c>
      <c r="NF267" s="13">
        <f>IF(NB267=1,$NB$31,$NB$32)</f>
        <v>152394.16214437486</v>
      </c>
      <c r="NG267" s="13">
        <f>NE267-NF267</f>
        <v>-88750.72228980422</v>
      </c>
      <c r="NH267" s="13">
        <f>NH266+NG267</f>
        <v>12341595.069880262</v>
      </c>
      <c r="NI267">
        <f>IF(NH267=MAX($NH$83:$NH$483),$A267,0)</f>
        <v>0</v>
      </c>
      <c r="NJ267">
        <f>IF(NE267&lt;NF267,$A267,B_MAX+1)</f>
        <v>184</v>
      </c>
      <c r="NK267" s="13">
        <f>IF(NB267=1,$NB$35,$NB$36)</f>
        <v>0</v>
      </c>
      <c r="NL267" s="13">
        <f>OCC_DAYS*$NB$41*R_NF_2023-ND267*MCD_SHARE_FREED*R_WAIT_2023</f>
        <v>123327.15192717595</v>
      </c>
      <c r="NM267">
        <f>IF($A267&lt;=$NB$45,1,0)</f>
        <v>0</v>
      </c>
      <c r="OB267">
        <f>IF($OB$31&lt;=$OB$32,IF($A267&lt;=$OB$7,1,2),IF($A267&lt;=RUNG_BEDS_2,2,1))</f>
        <v>1</v>
      </c>
      <c r="OC267" s="5">
        <f>MIN(1,MAX(0,$OB$26-($A267-1)))</f>
        <v>0</v>
      </c>
      <c r="OD267" s="5">
        <f>$OB$25*(OC267+(1-OC267)*$OB$16)</f>
        <v>126.02661357340719</v>
      </c>
      <c r="OE267" s="13">
        <f>OD267*($OB$6+ACUTE_MARGIN)</f>
        <v>127286.87970914126</v>
      </c>
      <c r="OF267" s="13">
        <f>IF(OB267=1,$OB$31,$OB$32)</f>
        <v>152394.16214437486</v>
      </c>
      <c r="OG267" s="13">
        <f>OE267-OF267</f>
        <v>-25107.282435233603</v>
      </c>
      <c r="OH267" s="13">
        <f>OH266+OG267</f>
        <v>14494745.346053228</v>
      </c>
      <c r="OI267">
        <f>IF(OH267=MAX($OH$83:$OH$483),$A267,0)</f>
        <v>0</v>
      </c>
      <c r="OJ267">
        <f>IF(OE267&lt;OF267,$A267,B_MAX+1)</f>
        <v>184</v>
      </c>
      <c r="OK267" s="13">
        <f>IF(OB267=1,$OB$35,$OB$36)</f>
        <v>0</v>
      </c>
      <c r="OL267" s="13">
        <f>OCC_DAYS*$OB$41*R_NF_2023-OD267*MCD_SHARE_FREED*R_WAIT_2023</f>
        <v>94673.82103225985</v>
      </c>
      <c r="OM267">
        <f>IF($A267&lt;=$OB$45,1,0)</f>
        <v>0</v>
      </c>
    </row>
    <row r="268">
      <c r="A268" t="n">
        <v>185</v>
      </c>
      <c r="B268">
        <f>IF($B$31&lt;=$B$32,IF($A268&lt;=$B$7,1,2),IF($A268&lt;=RUNG_BEDS_2,2,1))</f>
        <v>1</v>
      </c>
      <c r="C268" s="5">
        <f>MIN(1,MAX(0,$B$26-($A268-1)))</f>
        <v>0</v>
      </c>
      <c r="D268" s="5">
        <f>$B$25*(C268+(1-C268)*$B$16)</f>
        <v>0.0</v>
      </c>
      <c r="E268" s="13">
        <f>D268*($B$6+ACUTE_MARGIN)</f>
        <v>0.0</v>
      </c>
      <c r="F268" s="13">
        <f>IF(B268=1,$B$31,$B$32)</f>
        <v>152394.16214437486</v>
      </c>
      <c r="G268" s="13">
        <f>E268-F268</f>
        <v>-152394.16214437486</v>
      </c>
      <c r="H268" s="13">
        <f>H267+G268</f>
        <v>10036050.631562985</v>
      </c>
      <c r="I268">
        <f>IF(H268=MAX($H$83:$H$483),$A268,0)</f>
        <v>0</v>
      </c>
      <c r="J268">
        <f>IF(E268&lt;F268,$A268,B_MAX+1)</f>
        <v>185</v>
      </c>
      <c r="K268" s="13">
        <f>IF(B268=1,$B$35,$B$36)</f>
        <v>0</v>
      </c>
      <c r="L268" s="13">
        <f>OCC_DAYS*$B$41*R_NF_2023-D268*MCD_SHARE_FREED*R_WAIT_2023</f>
        <v>151980.48282209205</v>
      </c>
      <c r="M268">
        <f>IF($A268&lt;=$B$45,1,0)</f>
        <v>0</v>
      </c>
      <c r="AB268">
        <f>IF($AB$31&lt;=$AB$32,IF($A268&lt;=$AB$7,1,2),IF($A268&lt;=RUNG_BEDS_2,2,1))</f>
        <v>1</v>
      </c>
      <c r="AC268" s="5">
        <f>MIN(1,MAX(0,$AB$26-($A268-1)))</f>
        <v>0</v>
      </c>
      <c r="AD268" s="5">
        <f>$AB$25*(AC268+(1-AC268)*$AB$16)</f>
        <v>0.0</v>
      </c>
      <c r="AE268" s="13">
        <f>AD268*($AB$6+ACUTE_MARGIN)</f>
        <v>0.0</v>
      </c>
      <c r="AF268" s="13">
        <f>IF(AB268=1,$AB$31,$AB$32)</f>
        <v>152394.16214437486</v>
      </c>
      <c r="AG268" s="13">
        <f>AE268-AF268</f>
        <v>-152394.16214437486</v>
      </c>
      <c r="AH268" s="13">
        <f>AH267+AG268</f>
        <v>-7375163.713986839</v>
      </c>
      <c r="AI268">
        <f>IF(AH268=MAX($AH$83:$AH$483),$A268,0)</f>
        <v>0</v>
      </c>
      <c r="AJ268">
        <f>IF(AE268&lt;AF268,$A268,B_MAX+1)</f>
        <v>185</v>
      </c>
      <c r="AK268" s="13">
        <f>IF(AB268=1,$AB$35,$AB$36)</f>
        <v>0</v>
      </c>
      <c r="AL268" s="13">
        <f>OCC_DAYS*$AB$41*R_NF_2023-AD268*MCD_SHARE_FREED*R_WAIT_2023</f>
        <v>151980.48282209205</v>
      </c>
      <c r="AM268">
        <f>IF($A268&lt;=$AB$45,1,0)</f>
        <v>0</v>
      </c>
      <c r="BB268">
        <f>IF($BB$31&lt;=$BB$32,IF($A268&lt;=$BB$7,1,2),IF($A268&lt;=RUNG_BEDS_2,2,1))</f>
        <v>1</v>
      </c>
      <c r="BC268" s="5">
        <f>MIN(1,MAX(0,$BB$26-($A268-1)))</f>
        <v>0</v>
      </c>
      <c r="BD268" s="5">
        <f>$BB$25*(BC268+(1-BC268)*$BB$16)</f>
        <v>0.0</v>
      </c>
      <c r="BE268" s="13">
        <f>BD268*($BB$6+ACUTE_MARGIN)</f>
        <v>0.0</v>
      </c>
      <c r="BF268" s="13">
        <f>IF(BB268=1,$BB$31,$BB$32)</f>
        <v>152394.16214437486</v>
      </c>
      <c r="BG268" s="13">
        <f>BE268-BF268</f>
        <v>-152394.16214437486</v>
      </c>
      <c r="BH268" s="13">
        <f>BH267+BG268</f>
        <v>27447264.977112647</v>
      </c>
      <c r="BI268">
        <f>IF(BH268=MAX($BH$83:$BH$483),$A268,0)</f>
        <v>0</v>
      </c>
      <c r="BJ268">
        <f>IF(BE268&lt;BF268,$A268,B_MAX+1)</f>
        <v>185</v>
      </c>
      <c r="BK268" s="13">
        <f>IF(BB268=1,$BB$35,$BB$36)</f>
        <v>0</v>
      </c>
      <c r="BL268" s="13">
        <f>OCC_DAYS*$BB$41*R_NF_2023-BD268*MCD_SHARE_FREED*R_WAIT_2023</f>
        <v>151980.48282209205</v>
      </c>
      <c r="BM268">
        <f>IF($A268&lt;=$BB$45,1,0)</f>
        <v>0</v>
      </c>
      <c r="CB268">
        <f>IF($CB$31&lt;=$CB$32,IF($A268&lt;=$CB$7,1,2),IF($A268&lt;=RUNG_BEDS_2,2,1))</f>
        <v>2</v>
      </c>
      <c r="CC268" s="5">
        <f>MIN(1,MAX(0,$CB$26-($A268-1)))</f>
        <v>0</v>
      </c>
      <c r="CD268" s="5">
        <f>$CB$25*(CC268+(1-CC268)*$CB$16)</f>
        <v>0.0</v>
      </c>
      <c r="CE268" s="13">
        <f>CD268*($CB$6+ACUTE_MARGIN)</f>
        <v>0.0</v>
      </c>
      <c r="CF268" s="13">
        <f>IF(CB268=1,$CB$31,$CB$32)</f>
        <v>160718.36940738867</v>
      </c>
      <c r="CG268" s="13">
        <f>CE268-CF268</f>
        <v>-160718.36940738867</v>
      </c>
      <c r="CH268" s="13">
        <f>CH267+CG268</f>
        <v>8496072.287905311</v>
      </c>
      <c r="CI268">
        <f>IF(CH268=MAX($CH$83:$CH$483),$A268,0)</f>
        <v>0</v>
      </c>
      <c r="CJ268">
        <f>IF(CE268&lt;CF268,$A268,B_MAX+1)</f>
        <v>185</v>
      </c>
      <c r="CK268" s="13">
        <f>IF(CB268=1,$CB$35,$CB$36)</f>
        <v>1560.1194073886782</v>
      </c>
      <c r="CL268" s="13">
        <f>OCC_DAYS*$CB$41*R_NF_2023-CD268*MCD_SHARE_FREED*R_WAIT_2023</f>
        <v>151980.48282209205</v>
      </c>
      <c r="CM268">
        <f>IF($A268&lt;=$CB$45,1,0)</f>
        <v>0</v>
      </c>
      <c r="DB268">
        <f>IF($DB$31&lt;=$DB$32,IF($A268&lt;=$DB$7,1,2),IF($A268&lt;=RUNG_BEDS_2,2,1))</f>
        <v>1</v>
      </c>
      <c r="DC268" s="5">
        <f>MIN(1,MAX(0,$DB$26-($A268-1)))</f>
        <v>0</v>
      </c>
      <c r="DD268" s="5">
        <f>$DB$25*(DC268+(1-DC268)*$DB$16)</f>
        <v>0.0</v>
      </c>
      <c r="DE268" s="13">
        <f>DD268*($DB$6+ACUTE_MARGIN)</f>
        <v>0.0</v>
      </c>
      <c r="DF268" s="13">
        <f>IF(DB268=1,$DB$31,$DB$32)</f>
        <v>152394.16214437486</v>
      </c>
      <c r="DG268" s="13">
        <f>DE268-DF268</f>
        <v>-152394.16214437486</v>
      </c>
      <c r="DH268" s="13">
        <f>DH267+DG268</f>
        <v>10036050.631562985</v>
      </c>
      <c r="DI268">
        <f>IF(DH268=MAX($DH$83:$DH$483),$A268,0)</f>
        <v>0</v>
      </c>
      <c r="DJ268">
        <f>IF(DE268&lt;DF268,$A268,B_MAX+1)</f>
        <v>185</v>
      </c>
      <c r="DK268" s="13">
        <f>IF(DB268=1,$DB$35,$DB$36)</f>
        <v>0</v>
      </c>
      <c r="DL268" s="13">
        <f>OCC_DAYS*$DB$41*R_NF_2023-DD268*MCD_SHARE_FREED*R_WAIT_2023</f>
        <v>151980.48282209205</v>
      </c>
      <c r="DM268">
        <f>IF($A268&lt;=$DB$45,1,0)</f>
        <v>0</v>
      </c>
      <c r="EB268">
        <f>IF($EB$31&lt;=$EB$32,IF($A268&lt;=$EB$7,1,2),IF($A268&lt;=RUNG_BEDS_2,2,1))</f>
        <v>1</v>
      </c>
      <c r="EC268" s="5">
        <f>MIN(1,MAX(0,$EB$26-($A268-1)))</f>
        <v>0</v>
      </c>
      <c r="ED268" s="5">
        <f>$EB$25*(EC268+(1-EC268)*$EB$16)</f>
        <v>0.0</v>
      </c>
      <c r="EE268" s="13">
        <f>ED268*($EB$6+ACUTE_MARGIN)</f>
        <v>0.0</v>
      </c>
      <c r="EF268" s="13">
        <f>IF(EB268=1,$EB$31,$EB$32)</f>
        <v>152394.16214437486</v>
      </c>
      <c r="EG268" s="13">
        <f>EE268-EF268</f>
        <v>-152394.16214437486</v>
      </c>
      <c r="EH268" s="13">
        <f>EH267+EG268</f>
        <v>10036050.631562985</v>
      </c>
      <c r="EI268">
        <f>IF(EH268=MAX($EH$83:$EH$483),$A268,0)</f>
        <v>0</v>
      </c>
      <c r="EJ268">
        <f>IF(EE268&lt;EF268,$A268,B_MAX+1)</f>
        <v>185</v>
      </c>
      <c r="EK268" s="13">
        <f>IF(EB268=1,$EB$35,$EB$36)</f>
        <v>0</v>
      </c>
      <c r="EL268" s="13">
        <f>OCC_DAYS*$EB$41*R_NF_2023-ED268*MCD_SHARE_FREED*R_WAIT_2023</f>
        <v>50660.16094069735</v>
      </c>
      <c r="EM268">
        <f>IF($A268&lt;=$EB$45,1,0)</f>
        <v>0</v>
      </c>
      <c r="FB268">
        <f>IF($FB$31&lt;=$FB$32,IF($A268&lt;=$FB$7,1,2),IF($A268&lt;=RUNG_BEDS_2,2,1))</f>
        <v>1</v>
      </c>
      <c r="FC268" s="5">
        <f>MIN(1,MAX(0,$FB$26-($A268-1)))</f>
        <v>0</v>
      </c>
      <c r="FD268" s="5">
        <f>$FB$25*(FC268+(1-FC268)*$FB$16)</f>
        <v>0.0</v>
      </c>
      <c r="FE268" s="13">
        <f>FD268*($FB$6+ACUTE_MARGIN)</f>
        <v>0.0</v>
      </c>
      <c r="FF268" s="13">
        <f>IF(FB268=1,$FB$31,$FB$32)</f>
        <v>156636.04979437485</v>
      </c>
      <c r="FG268" s="13">
        <f>FE268-FF268</f>
        <v>-156636.04979437485</v>
      </c>
      <c r="FH268" s="13">
        <f>FH267+FG268</f>
        <v>9251301.416312873</v>
      </c>
      <c r="FI268">
        <f>IF(FH268=MAX($FH$83:$FH$483),$A268,0)</f>
        <v>0</v>
      </c>
      <c r="FJ268">
        <f>IF(FE268&lt;FF268,$A268,B_MAX+1)</f>
        <v>185</v>
      </c>
      <c r="FK268" s="13">
        <f>IF(FB268=1,$FB$35,$FB$36)</f>
        <v>0</v>
      </c>
      <c r="FL268" s="13">
        <f>OCC_DAYS*$FB$41*R_NF_2023-FD268*MCD_SHARE_FREED*R_WAIT_2023</f>
        <v>151980.48282209205</v>
      </c>
      <c r="FM268">
        <f>IF($A268&lt;=$FB$45,1,0)</f>
        <v>0</v>
      </c>
      <c r="GB268">
        <f>IF($GB$31&lt;=$GB$32,IF($A268&lt;=$GB$7,1,2),IF($A268&lt;=RUNG_BEDS_2,2,1))</f>
        <v>1</v>
      </c>
      <c r="GC268" s="5">
        <f>MIN(1,MAX(0,$GB$26-($A268-1)))</f>
        <v>0</v>
      </c>
      <c r="GD268" s="5">
        <f>$GB$25*(GC268+(1-GC268)*$GB$16)</f>
        <v>0.0</v>
      </c>
      <c r="GE268" s="13">
        <f>GD268*($GB$6+ACUTE_MARGIN)</f>
        <v>0.0</v>
      </c>
      <c r="GF268" s="13">
        <f>IF(GB268=1,$GB$31,$GB$32)</f>
        <v>152394.16214437486</v>
      </c>
      <c r="GG268" s="13">
        <f>GE268-GF268</f>
        <v>-152394.16214437486</v>
      </c>
      <c r="GH268" s="13">
        <f>GH267+GG268</f>
        <v>10036050.631562985</v>
      </c>
      <c r="GI268">
        <f>IF(GH268=MAX($GH$83:$GH$483),$A268,0)</f>
        <v>0</v>
      </c>
      <c r="GJ268">
        <f>IF(GE268&lt;GF268,$A268,B_MAX+1)</f>
        <v>185</v>
      </c>
      <c r="GK268" s="13">
        <f>IF(GB268=1,$GB$35,$GB$36)</f>
        <v>0</v>
      </c>
      <c r="GL268" s="13">
        <f>OCC_DAYS*$GB$41*R_NF_2023-GD268*MCD_SHARE_FREED*R_WAIT_2023</f>
        <v>151980.48282209205</v>
      </c>
      <c r="GM268">
        <f>IF($A268&lt;=$GB$45,1,0)</f>
        <v>0</v>
      </c>
      <c r="HB268">
        <f>IF($HB$31&lt;=$HB$32,IF($A268&lt;=$HB$7,1,2),IF($A268&lt;=RUNG_BEDS_2,2,1))</f>
        <v>1</v>
      </c>
      <c r="HC268" s="5">
        <f>MIN(1,MAX(0,$HB$26-($A268-1)))</f>
        <v>0</v>
      </c>
      <c r="HD268" s="5">
        <f>$HB$25*(HC268+(1-HC268)*$HB$16)</f>
        <v>0.0</v>
      </c>
      <c r="HE268" s="13">
        <f>HD268*($HB$6+ACUTE_MARGIN)</f>
        <v>0.0</v>
      </c>
      <c r="HF268" s="13">
        <f>IF(HB268=1,$HB$31,$HB$32)</f>
        <v>152456.2970814058</v>
      </c>
      <c r="HG268" s="13">
        <f>HE268-HF268</f>
        <v>-152456.2970814058</v>
      </c>
      <c r="HH268" s="13">
        <f>HH267+HG268</f>
        <v>10024555.66821223</v>
      </c>
      <c r="HI268">
        <f>IF(HH268=MAX($HH$83:$HH$483),$A268,0)</f>
        <v>0</v>
      </c>
      <c r="HJ268">
        <f>IF(HE268&lt;HF268,$A268,B_MAX+1)</f>
        <v>185</v>
      </c>
      <c r="HK268" s="13">
        <f>IF(HB268=1,$HB$35,$HB$36)</f>
        <v>0</v>
      </c>
      <c r="HL268" s="13">
        <f>OCC_DAYS*$HB$41*R_NF_2023-HD268*MCD_SHARE_FREED*R_WAIT_2023</f>
        <v>151980.48282209205</v>
      </c>
      <c r="HM268">
        <f>IF($A268&lt;=$HB$45,1,0)</f>
        <v>0</v>
      </c>
      <c r="IB268">
        <f>IF($IB$31&lt;=$IB$32,IF($A268&lt;=$IB$7,1,2),IF($A268&lt;=RUNG_BEDS_2,2,1))</f>
        <v>1</v>
      </c>
      <c r="IC268" s="5">
        <f>MIN(1,MAX(0,$IB$26-($A268-1)))</f>
        <v>0</v>
      </c>
      <c r="ID268" s="5">
        <f>$IB$25*(IC268+(1-IC268)*$IB$16)</f>
        <v>0.0</v>
      </c>
      <c r="IE268" s="13">
        <f>ID268*($IB$6+ACUTE_MARGIN)</f>
        <v>0.0</v>
      </c>
      <c r="IF268" s="13">
        <f>IF(IB268=1,$IB$31,$IB$32)</f>
        <v>152734.9994534971</v>
      </c>
      <c r="IG268" s="13">
        <f>IE268-IF268</f>
        <v>-152734.9994534971</v>
      </c>
      <c r="IH268" s="13">
        <f>IH267+IG268</f>
        <v>9972995.729375271</v>
      </c>
      <c r="II268">
        <f>IF(IH268=MAX($IH$83:$IH$483),$A268,0)</f>
        <v>0</v>
      </c>
      <c r="IJ268">
        <f>IF(IE268&lt;IF268,$A268,B_MAX+1)</f>
        <v>185</v>
      </c>
      <c r="IK268" s="13">
        <f>IF(IB268=1,$IB$35,$IB$36)</f>
        <v>0</v>
      </c>
      <c r="IL268" s="13">
        <f>OCC_DAYS*$IB$41*R_NF_2023-ID268*MCD_SHARE_FREED*R_WAIT_2023</f>
        <v>151980.48282209205</v>
      </c>
      <c r="IM268">
        <f>IF($A268&lt;=$IB$45,1,0)</f>
        <v>0</v>
      </c>
      <c r="JB268">
        <f>IF($JB$31&lt;=$JB$32,IF($A268&lt;=$JB$7,1,2),IF($A268&lt;=RUNG_BEDS_2,2,1))</f>
        <v>1</v>
      </c>
      <c r="JC268" s="5">
        <f>MIN(1,MAX(0,$JB$26-($A268-1)))</f>
        <v>0</v>
      </c>
      <c r="JD268" s="5">
        <f>$JB$25*(JC268+(1-JC268)*$JB$16)</f>
        <v>0.0</v>
      </c>
      <c r="JE268" s="13">
        <f>JD268*($JB$6+ACUTE_MARGIN)</f>
        <v>0.0</v>
      </c>
      <c r="JF268" s="13">
        <f>IF(JB268=1,$JB$31,$JB$32)</f>
        <v>152394.16214437486</v>
      </c>
      <c r="JG268" s="13">
        <f>JE268-JF268</f>
        <v>-152394.16214437486</v>
      </c>
      <c r="JH268" s="13">
        <f>JH267+JG268</f>
        <v>10036050.631562985</v>
      </c>
      <c r="JI268">
        <f>IF(JH268=MAX($JH$83:$JH$483),$A268,0)</f>
        <v>0</v>
      </c>
      <c r="JJ268">
        <f>IF(JE268&lt;JF268,$A268,B_MAX+1)</f>
        <v>185</v>
      </c>
      <c r="JK268" s="13">
        <f>IF(JB268=1,$JB$35,$JB$36)</f>
        <v>0</v>
      </c>
      <c r="JL268" s="13">
        <f>OCC_DAYS*$JB$41*R_NF_2023-JD268*MCD_SHARE_FREED*R_WAIT_2023</f>
        <v>151980.48282209205</v>
      </c>
      <c r="JM268">
        <f>IF($A268&lt;=$JB$45,1,0)</f>
        <v>0</v>
      </c>
      <c r="KB268">
        <f>IF($KB$31&lt;=$KB$32,IF($A268&lt;=$KB$7,1,2),IF($A268&lt;=RUNG_BEDS_2,2,1))</f>
        <v>1</v>
      </c>
      <c r="KC268" s="5">
        <f>MIN(1,MAX(0,$KB$26-($A268-1)))</f>
        <v>1</v>
      </c>
      <c r="KD268" s="5">
        <f>$KB$25*(KC268+(1-KC268)*$KB$16)</f>
        <v>126.02661357340719</v>
      </c>
      <c r="KE268" s="13">
        <f>KD268*($KB$6+ACUTE_MARGIN)</f>
        <v>127286.87970914126</v>
      </c>
      <c r="KF268" s="13">
        <f>IF(KB268=1,$KB$31,$KB$32)</f>
        <v>152394.16214437486</v>
      </c>
      <c r="KG268" s="13">
        <f>KE268-KF268</f>
        <v>-25107.282435233603</v>
      </c>
      <c r="KH268" s="13">
        <f>KH267+KG268</f>
        <v>-4644847.250518231</v>
      </c>
      <c r="KI268">
        <f>IF(KH268=MAX($KH$83:$KH$483),$A268,0)</f>
        <v>0</v>
      </c>
      <c r="KJ268">
        <f>IF(KE268&lt;KF268,$A268,B_MAX+1)</f>
        <v>185</v>
      </c>
      <c r="KK268" s="13">
        <f>IF(KB268=1,$KB$35,$KB$36)</f>
        <v>0</v>
      </c>
      <c r="KL268" s="13">
        <f>OCC_DAYS*$KB$41*R_NF_2023-KD268*MCD_SHARE_FREED*R_WAIT_2023</f>
        <v>94673.82103225985</v>
      </c>
      <c r="KM268">
        <f>IF($A268&lt;=$KB$45,1,0)</f>
        <v>0</v>
      </c>
      <c r="LB268">
        <f>IF($LB$31&lt;=$LB$32,IF($A268&lt;=$LB$7,1,2),IF($A268&lt;=RUNG_BEDS_2,2,1))</f>
        <v>1</v>
      </c>
      <c r="LC268" s="5">
        <f>MIN(1,MAX(0,$LB$26-($A268-1)))</f>
        <v>1</v>
      </c>
      <c r="LD268" s="5">
        <f>$LB$25*(LC268+(1-LC268)*$LB$16)</f>
        <v>84.01774238227146</v>
      </c>
      <c r="LE268" s="13">
        <f>LD268*($LB$6+ACUTE_MARGIN)</f>
        <v>84857.91980609419</v>
      </c>
      <c r="LF268" s="13">
        <f>IF(LB268=1,$LB$31,$LB$32)</f>
        <v>152394.16214437486</v>
      </c>
      <c r="LG268" s="13">
        <f>LE268-LF268</f>
        <v>-67536.24233828067</v>
      </c>
      <c r="LH268" s="13">
        <f>LH267+LG268</f>
        <v>-12494204.832581978</v>
      </c>
      <c r="LI268">
        <f>IF(LH268=MAX($LH$83:$LH$483),$A268,0)</f>
        <v>0</v>
      </c>
      <c r="LJ268">
        <f>IF(LE268&lt;LF268,$A268,B_MAX+1)</f>
        <v>185</v>
      </c>
      <c r="LK268" s="13">
        <f>IF(LB268=1,$LB$35,$LB$36)</f>
        <v>0</v>
      </c>
      <c r="LL268" s="13">
        <f>OCC_DAYS*$LB$41*R_NF_2023-LD268*MCD_SHARE_FREED*R_WAIT_2023</f>
        <v>113776.04162887059</v>
      </c>
      <c r="LM268">
        <f>IF($A268&lt;=$LB$45,1,0)</f>
        <v>0</v>
      </c>
      <c r="MB268">
        <f>IF($MB$31&lt;=$MB$32,IF($A268&lt;=$MB$7,1,2),IF($A268&lt;=RUNG_BEDS_2,2,1))</f>
        <v>1</v>
      </c>
      <c r="MC268" s="5">
        <f>MIN(1,MAX(0,$MB$26-($A268-1)))</f>
        <v>0</v>
      </c>
      <c r="MD268" s="5">
        <f>$MB$25*(MC268+(1-MC268)*$MB$16)</f>
        <v>0.0</v>
      </c>
      <c r="ME268" s="13">
        <f>MD268*($MB$6+ACUTE_MARGIN)</f>
        <v>0.0</v>
      </c>
      <c r="MF268" s="13">
        <f>IF(MB268=1,$MB$31,$MB$32)</f>
        <v>152394.16214437486</v>
      </c>
      <c r="MG268" s="13">
        <f>ME268-MF268</f>
        <v>-152394.16214437486</v>
      </c>
      <c r="MH268" s="13">
        <f>MH267+MG268</f>
        <v>4148774.569764659</v>
      </c>
      <c r="MI268">
        <f>IF(MH268=MAX($MH$83:$MH$483),$A268,0)</f>
        <v>0</v>
      </c>
      <c r="MJ268">
        <f>IF(ME268&lt;MF268,$A268,B_MAX+1)</f>
        <v>185</v>
      </c>
      <c r="MK268" s="13">
        <f>IF(MB268=1,$MB$35,$MB$36)</f>
        <v>0</v>
      </c>
      <c r="ML268" s="13">
        <f>OCC_DAYS*$MB$41*R_NF_2023-MD268*MCD_SHARE_FREED*R_WAIT_2023</f>
        <v>151980.48282209205</v>
      </c>
      <c r="MM268">
        <f>IF($A268&lt;=$MB$45,1,0)</f>
        <v>0</v>
      </c>
      <c r="NB268">
        <f>IF($NB$31&lt;=$NB$32,IF($A268&lt;=$NB$7,1,2),IF($A268&lt;=RUNG_BEDS_2,2,1))</f>
        <v>1</v>
      </c>
      <c r="NC268" s="5">
        <f>MIN(1,MAX(0,$NB$26-($A268-1)))</f>
        <v>0</v>
      </c>
      <c r="ND268" s="5">
        <f>$NB$25*(NC268+(1-NC268)*$NB$16)</f>
        <v>63.013306786703595</v>
      </c>
      <c r="NE268" s="13">
        <f>ND268*($NB$6+ACUTE_MARGIN)</f>
        <v>63643.43985457063</v>
      </c>
      <c r="NF268" s="13">
        <f>IF(NB268=1,$NB$31,$NB$32)</f>
        <v>152394.16214437486</v>
      </c>
      <c r="NG268" s="13">
        <f>NE268-NF268</f>
        <v>-88750.72228980422</v>
      </c>
      <c r="NH268" s="13">
        <f>NH267+NG268</f>
        <v>12252844.347590458</v>
      </c>
      <c r="NI268">
        <f>IF(NH268=MAX($NH$83:$NH$483),$A268,0)</f>
        <v>0</v>
      </c>
      <c r="NJ268">
        <f>IF(NE268&lt;NF268,$A268,B_MAX+1)</f>
        <v>185</v>
      </c>
      <c r="NK268" s="13">
        <f>IF(NB268=1,$NB$35,$NB$36)</f>
        <v>0</v>
      </c>
      <c r="NL268" s="13">
        <f>OCC_DAYS*$NB$41*R_NF_2023-ND268*MCD_SHARE_FREED*R_WAIT_2023</f>
        <v>123327.15192717595</v>
      </c>
      <c r="NM268">
        <f>IF($A268&lt;=$NB$45,1,0)</f>
        <v>0</v>
      </c>
      <c r="OB268">
        <f>IF($OB$31&lt;=$OB$32,IF($A268&lt;=$OB$7,1,2),IF($A268&lt;=RUNG_BEDS_2,2,1))</f>
        <v>1</v>
      </c>
      <c r="OC268" s="5">
        <f>MIN(1,MAX(0,$OB$26-($A268-1)))</f>
        <v>0</v>
      </c>
      <c r="OD268" s="5">
        <f>$OB$25*(OC268+(1-OC268)*$OB$16)</f>
        <v>126.02661357340719</v>
      </c>
      <c r="OE268" s="13">
        <f>OD268*($OB$6+ACUTE_MARGIN)</f>
        <v>127286.87970914126</v>
      </c>
      <c r="OF268" s="13">
        <f>IF(OB268=1,$OB$31,$OB$32)</f>
        <v>152394.16214437486</v>
      </c>
      <c r="OG268" s="13">
        <f>OE268-OF268</f>
        <v>-25107.282435233603</v>
      </c>
      <c r="OH268" s="13">
        <f>OH267+OG268</f>
        <v>14469638.063617995</v>
      </c>
      <c r="OI268">
        <f>IF(OH268=MAX($OH$83:$OH$483),$A268,0)</f>
        <v>0</v>
      </c>
      <c r="OJ268">
        <f>IF(OE268&lt;OF268,$A268,B_MAX+1)</f>
        <v>185</v>
      </c>
      <c r="OK268" s="13">
        <f>IF(OB268=1,$OB$35,$OB$36)</f>
        <v>0</v>
      </c>
      <c r="OL268" s="13">
        <f>OCC_DAYS*$OB$41*R_NF_2023-OD268*MCD_SHARE_FREED*R_WAIT_2023</f>
        <v>94673.82103225985</v>
      </c>
      <c r="OM268">
        <f>IF($A268&lt;=$OB$45,1,0)</f>
        <v>0</v>
      </c>
    </row>
    <row r="269">
      <c r="A269" t="n">
        <v>186</v>
      </c>
      <c r="B269">
        <f>IF($B$31&lt;=$B$32,IF($A269&lt;=$B$7,1,2),IF($A269&lt;=RUNG_BEDS_2,2,1))</f>
        <v>1</v>
      </c>
      <c r="C269" s="5">
        <f>MIN(1,MAX(0,$B$26-($A269-1)))</f>
        <v>0</v>
      </c>
      <c r="D269" s="5">
        <f>$B$25*(C269+(1-C269)*$B$16)</f>
        <v>0.0</v>
      </c>
      <c r="E269" s="13">
        <f>D269*($B$6+ACUTE_MARGIN)</f>
        <v>0.0</v>
      </c>
      <c r="F269" s="13">
        <f>IF(B269=1,$B$31,$B$32)</f>
        <v>152394.16214437486</v>
      </c>
      <c r="G269" s="13">
        <f>E269-F269</f>
        <v>-152394.16214437486</v>
      </c>
      <c r="H269" s="13">
        <f>H268+G269</f>
        <v>9883656.469418611</v>
      </c>
      <c r="I269">
        <f>IF(H269=MAX($H$83:$H$483),$A269,0)</f>
        <v>0</v>
      </c>
      <c r="J269">
        <f>IF(E269&lt;F269,$A269,B_MAX+1)</f>
        <v>186</v>
      </c>
      <c r="K269" s="13">
        <f>IF(B269=1,$B$35,$B$36)</f>
        <v>0</v>
      </c>
      <c r="L269" s="13">
        <f>OCC_DAYS*$B$41*R_NF_2023-D269*MCD_SHARE_FREED*R_WAIT_2023</f>
        <v>151980.48282209205</v>
      </c>
      <c r="M269">
        <f>IF($A269&lt;=$B$45,1,0)</f>
        <v>0</v>
      </c>
      <c r="AB269">
        <f>IF($AB$31&lt;=$AB$32,IF($A269&lt;=$AB$7,1,2),IF($A269&lt;=RUNG_BEDS_2,2,1))</f>
        <v>1</v>
      </c>
      <c r="AC269" s="5">
        <f>MIN(1,MAX(0,$AB$26-($A269-1)))</f>
        <v>0</v>
      </c>
      <c r="AD269" s="5">
        <f>$AB$25*(AC269+(1-AC269)*$AB$16)</f>
        <v>0.0</v>
      </c>
      <c r="AE269" s="13">
        <f>AD269*($AB$6+ACUTE_MARGIN)</f>
        <v>0.0</v>
      </c>
      <c r="AF269" s="13">
        <f>IF(AB269=1,$AB$31,$AB$32)</f>
        <v>152394.16214437486</v>
      </c>
      <c r="AG269" s="13">
        <f>AE269-AF269</f>
        <v>-152394.16214437486</v>
      </c>
      <c r="AH269" s="13">
        <f>AH268+AG269</f>
        <v>-7527557.876131214</v>
      </c>
      <c r="AI269">
        <f>IF(AH269=MAX($AH$83:$AH$483),$A269,0)</f>
        <v>0</v>
      </c>
      <c r="AJ269">
        <f>IF(AE269&lt;AF269,$A269,B_MAX+1)</f>
        <v>186</v>
      </c>
      <c r="AK269" s="13">
        <f>IF(AB269=1,$AB$35,$AB$36)</f>
        <v>0</v>
      </c>
      <c r="AL269" s="13">
        <f>OCC_DAYS*$AB$41*R_NF_2023-AD269*MCD_SHARE_FREED*R_WAIT_2023</f>
        <v>151980.48282209205</v>
      </c>
      <c r="AM269">
        <f>IF($A269&lt;=$AB$45,1,0)</f>
        <v>0</v>
      </c>
      <c r="BB269">
        <f>IF($BB$31&lt;=$BB$32,IF($A269&lt;=$BB$7,1,2),IF($A269&lt;=RUNG_BEDS_2,2,1))</f>
        <v>1</v>
      </c>
      <c r="BC269" s="5">
        <f>MIN(1,MAX(0,$BB$26-($A269-1)))</f>
        <v>0</v>
      </c>
      <c r="BD269" s="5">
        <f>$BB$25*(BC269+(1-BC269)*$BB$16)</f>
        <v>0.0</v>
      </c>
      <c r="BE269" s="13">
        <f>BD269*($BB$6+ACUTE_MARGIN)</f>
        <v>0.0</v>
      </c>
      <c r="BF269" s="13">
        <f>IF(BB269=1,$BB$31,$BB$32)</f>
        <v>152394.16214437486</v>
      </c>
      <c r="BG269" s="13">
        <f>BE269-BF269</f>
        <v>-152394.16214437486</v>
      </c>
      <c r="BH269" s="13">
        <f>BH268+BG269</f>
        <v>27294870.814968273</v>
      </c>
      <c r="BI269">
        <f>IF(BH269=MAX($BH$83:$BH$483),$A269,0)</f>
        <v>0</v>
      </c>
      <c r="BJ269">
        <f>IF(BE269&lt;BF269,$A269,B_MAX+1)</f>
        <v>186</v>
      </c>
      <c r="BK269" s="13">
        <f>IF(BB269=1,$BB$35,$BB$36)</f>
        <v>0</v>
      </c>
      <c r="BL269" s="13">
        <f>OCC_DAYS*$BB$41*R_NF_2023-BD269*MCD_SHARE_FREED*R_WAIT_2023</f>
        <v>151980.48282209205</v>
      </c>
      <c r="BM269">
        <f>IF($A269&lt;=$BB$45,1,0)</f>
        <v>0</v>
      </c>
      <c r="CB269">
        <f>IF($CB$31&lt;=$CB$32,IF($A269&lt;=$CB$7,1,2),IF($A269&lt;=RUNG_BEDS_2,2,1))</f>
        <v>2</v>
      </c>
      <c r="CC269" s="5">
        <f>MIN(1,MAX(0,$CB$26-($A269-1)))</f>
        <v>0</v>
      </c>
      <c r="CD269" s="5">
        <f>$CB$25*(CC269+(1-CC269)*$CB$16)</f>
        <v>0.0</v>
      </c>
      <c r="CE269" s="13">
        <f>CD269*($CB$6+ACUTE_MARGIN)</f>
        <v>0.0</v>
      </c>
      <c r="CF269" s="13">
        <f>IF(CB269=1,$CB$31,$CB$32)</f>
        <v>160718.36940738867</v>
      </c>
      <c r="CG269" s="13">
        <f>CE269-CF269</f>
        <v>-160718.36940738867</v>
      </c>
      <c r="CH269" s="13">
        <f>CH268+CG269</f>
        <v>8335353.918497923</v>
      </c>
      <c r="CI269">
        <f>IF(CH269=MAX($CH$83:$CH$483),$A269,0)</f>
        <v>0</v>
      </c>
      <c r="CJ269">
        <f>IF(CE269&lt;CF269,$A269,B_MAX+1)</f>
        <v>186</v>
      </c>
      <c r="CK269" s="13">
        <f>IF(CB269=1,$CB$35,$CB$36)</f>
        <v>1560.1194073886782</v>
      </c>
      <c r="CL269" s="13">
        <f>OCC_DAYS*$CB$41*R_NF_2023-CD269*MCD_SHARE_FREED*R_WAIT_2023</f>
        <v>151980.48282209205</v>
      </c>
      <c r="CM269">
        <f>IF($A269&lt;=$CB$45,1,0)</f>
        <v>0</v>
      </c>
      <c r="DB269">
        <f>IF($DB$31&lt;=$DB$32,IF($A269&lt;=$DB$7,1,2),IF($A269&lt;=RUNG_BEDS_2,2,1))</f>
        <v>1</v>
      </c>
      <c r="DC269" s="5">
        <f>MIN(1,MAX(0,$DB$26-($A269-1)))</f>
        <v>0</v>
      </c>
      <c r="DD269" s="5">
        <f>$DB$25*(DC269+(1-DC269)*$DB$16)</f>
        <v>0.0</v>
      </c>
      <c r="DE269" s="13">
        <f>DD269*($DB$6+ACUTE_MARGIN)</f>
        <v>0.0</v>
      </c>
      <c r="DF269" s="13">
        <f>IF(DB269=1,$DB$31,$DB$32)</f>
        <v>152394.16214437486</v>
      </c>
      <c r="DG269" s="13">
        <f>DE269-DF269</f>
        <v>-152394.16214437486</v>
      </c>
      <c r="DH269" s="13">
        <f>DH268+DG269</f>
        <v>9883656.469418611</v>
      </c>
      <c r="DI269">
        <f>IF(DH269=MAX($DH$83:$DH$483),$A269,0)</f>
        <v>0</v>
      </c>
      <c r="DJ269">
        <f>IF(DE269&lt;DF269,$A269,B_MAX+1)</f>
        <v>186</v>
      </c>
      <c r="DK269" s="13">
        <f>IF(DB269=1,$DB$35,$DB$36)</f>
        <v>0</v>
      </c>
      <c r="DL269" s="13">
        <f>OCC_DAYS*$DB$41*R_NF_2023-DD269*MCD_SHARE_FREED*R_WAIT_2023</f>
        <v>151980.48282209205</v>
      </c>
      <c r="DM269">
        <f>IF($A269&lt;=$DB$45,1,0)</f>
        <v>0</v>
      </c>
      <c r="EB269">
        <f>IF($EB$31&lt;=$EB$32,IF($A269&lt;=$EB$7,1,2),IF($A269&lt;=RUNG_BEDS_2,2,1))</f>
        <v>1</v>
      </c>
      <c r="EC269" s="5">
        <f>MIN(1,MAX(0,$EB$26-($A269-1)))</f>
        <v>0</v>
      </c>
      <c r="ED269" s="5">
        <f>$EB$25*(EC269+(1-EC269)*$EB$16)</f>
        <v>0.0</v>
      </c>
      <c r="EE269" s="13">
        <f>ED269*($EB$6+ACUTE_MARGIN)</f>
        <v>0.0</v>
      </c>
      <c r="EF269" s="13">
        <f>IF(EB269=1,$EB$31,$EB$32)</f>
        <v>152394.16214437486</v>
      </c>
      <c r="EG269" s="13">
        <f>EE269-EF269</f>
        <v>-152394.16214437486</v>
      </c>
      <c r="EH269" s="13">
        <f>EH268+EG269</f>
        <v>9883656.469418611</v>
      </c>
      <c r="EI269">
        <f>IF(EH269=MAX($EH$83:$EH$483),$A269,0)</f>
        <v>0</v>
      </c>
      <c r="EJ269">
        <f>IF(EE269&lt;EF269,$A269,B_MAX+1)</f>
        <v>186</v>
      </c>
      <c r="EK269" s="13">
        <f>IF(EB269=1,$EB$35,$EB$36)</f>
        <v>0</v>
      </c>
      <c r="EL269" s="13">
        <f>OCC_DAYS*$EB$41*R_NF_2023-ED269*MCD_SHARE_FREED*R_WAIT_2023</f>
        <v>50660.16094069735</v>
      </c>
      <c r="EM269">
        <f>IF($A269&lt;=$EB$45,1,0)</f>
        <v>0</v>
      </c>
      <c r="FB269">
        <f>IF($FB$31&lt;=$FB$32,IF($A269&lt;=$FB$7,1,2),IF($A269&lt;=RUNG_BEDS_2,2,1))</f>
        <v>1</v>
      </c>
      <c r="FC269" s="5">
        <f>MIN(1,MAX(0,$FB$26-($A269-1)))</f>
        <v>0</v>
      </c>
      <c r="FD269" s="5">
        <f>$FB$25*(FC269+(1-FC269)*$FB$16)</f>
        <v>0.0</v>
      </c>
      <c r="FE269" s="13">
        <f>FD269*($FB$6+ACUTE_MARGIN)</f>
        <v>0.0</v>
      </c>
      <c r="FF269" s="13">
        <f>IF(FB269=1,$FB$31,$FB$32)</f>
        <v>156636.04979437485</v>
      </c>
      <c r="FG269" s="13">
        <f>FE269-FF269</f>
        <v>-156636.04979437485</v>
      </c>
      <c r="FH269" s="13">
        <f>FH268+FG269</f>
        <v>9094665.3665185</v>
      </c>
      <c r="FI269">
        <f>IF(FH269=MAX($FH$83:$FH$483),$A269,0)</f>
        <v>0</v>
      </c>
      <c r="FJ269">
        <f>IF(FE269&lt;FF269,$A269,B_MAX+1)</f>
        <v>186</v>
      </c>
      <c r="FK269" s="13">
        <f>IF(FB269=1,$FB$35,$FB$36)</f>
        <v>0</v>
      </c>
      <c r="FL269" s="13">
        <f>OCC_DAYS*$FB$41*R_NF_2023-FD269*MCD_SHARE_FREED*R_WAIT_2023</f>
        <v>151980.48282209205</v>
      </c>
      <c r="FM269">
        <f>IF($A269&lt;=$FB$45,1,0)</f>
        <v>0</v>
      </c>
      <c r="GB269">
        <f>IF($GB$31&lt;=$GB$32,IF($A269&lt;=$GB$7,1,2),IF($A269&lt;=RUNG_BEDS_2,2,1))</f>
        <v>1</v>
      </c>
      <c r="GC269" s="5">
        <f>MIN(1,MAX(0,$GB$26-($A269-1)))</f>
        <v>0</v>
      </c>
      <c r="GD269" s="5">
        <f>$GB$25*(GC269+(1-GC269)*$GB$16)</f>
        <v>0.0</v>
      </c>
      <c r="GE269" s="13">
        <f>GD269*($GB$6+ACUTE_MARGIN)</f>
        <v>0.0</v>
      </c>
      <c r="GF269" s="13">
        <f>IF(GB269=1,$GB$31,$GB$32)</f>
        <v>152394.16214437486</v>
      </c>
      <c r="GG269" s="13">
        <f>GE269-GF269</f>
        <v>-152394.16214437486</v>
      </c>
      <c r="GH269" s="13">
        <f>GH268+GG269</f>
        <v>9883656.469418611</v>
      </c>
      <c r="GI269">
        <f>IF(GH269=MAX($GH$83:$GH$483),$A269,0)</f>
        <v>0</v>
      </c>
      <c r="GJ269">
        <f>IF(GE269&lt;GF269,$A269,B_MAX+1)</f>
        <v>186</v>
      </c>
      <c r="GK269" s="13">
        <f>IF(GB269=1,$GB$35,$GB$36)</f>
        <v>0</v>
      </c>
      <c r="GL269" s="13">
        <f>OCC_DAYS*$GB$41*R_NF_2023-GD269*MCD_SHARE_FREED*R_WAIT_2023</f>
        <v>151980.48282209205</v>
      </c>
      <c r="GM269">
        <f>IF($A269&lt;=$GB$45,1,0)</f>
        <v>0</v>
      </c>
      <c r="HB269">
        <f>IF($HB$31&lt;=$HB$32,IF($A269&lt;=$HB$7,1,2),IF($A269&lt;=RUNG_BEDS_2,2,1))</f>
        <v>1</v>
      </c>
      <c r="HC269" s="5">
        <f>MIN(1,MAX(0,$HB$26-($A269-1)))</f>
        <v>0</v>
      </c>
      <c r="HD269" s="5">
        <f>$HB$25*(HC269+(1-HC269)*$HB$16)</f>
        <v>0.0</v>
      </c>
      <c r="HE269" s="13">
        <f>HD269*($HB$6+ACUTE_MARGIN)</f>
        <v>0.0</v>
      </c>
      <c r="HF269" s="13">
        <f>IF(HB269=1,$HB$31,$HB$32)</f>
        <v>152456.2970814058</v>
      </c>
      <c r="HG269" s="13">
        <f>HE269-HF269</f>
        <v>-152456.2970814058</v>
      </c>
      <c r="HH269" s="13">
        <f>HH268+HG269</f>
        <v>9872099.371130824</v>
      </c>
      <c r="HI269">
        <f>IF(HH269=MAX($HH$83:$HH$483),$A269,0)</f>
        <v>0</v>
      </c>
      <c r="HJ269">
        <f>IF(HE269&lt;HF269,$A269,B_MAX+1)</f>
        <v>186</v>
      </c>
      <c r="HK269" s="13">
        <f>IF(HB269=1,$HB$35,$HB$36)</f>
        <v>0</v>
      </c>
      <c r="HL269" s="13">
        <f>OCC_DAYS*$HB$41*R_NF_2023-HD269*MCD_SHARE_FREED*R_WAIT_2023</f>
        <v>151980.48282209205</v>
      </c>
      <c r="HM269">
        <f>IF($A269&lt;=$HB$45,1,0)</f>
        <v>0</v>
      </c>
      <c r="IB269">
        <f>IF($IB$31&lt;=$IB$32,IF($A269&lt;=$IB$7,1,2),IF($A269&lt;=RUNG_BEDS_2,2,1))</f>
        <v>1</v>
      </c>
      <c r="IC269" s="5">
        <f>MIN(1,MAX(0,$IB$26-($A269-1)))</f>
        <v>0</v>
      </c>
      <c r="ID269" s="5">
        <f>$IB$25*(IC269+(1-IC269)*$IB$16)</f>
        <v>0.0</v>
      </c>
      <c r="IE269" s="13">
        <f>ID269*($IB$6+ACUTE_MARGIN)</f>
        <v>0.0</v>
      </c>
      <c r="IF269" s="13">
        <f>IF(IB269=1,$IB$31,$IB$32)</f>
        <v>152734.9994534971</v>
      </c>
      <c r="IG269" s="13">
        <f>IE269-IF269</f>
        <v>-152734.9994534971</v>
      </c>
      <c r="IH269" s="13">
        <f>IH268+IG269</f>
        <v>9820260.729921775</v>
      </c>
      <c r="II269">
        <f>IF(IH269=MAX($IH$83:$IH$483),$A269,0)</f>
        <v>0</v>
      </c>
      <c r="IJ269">
        <f>IF(IE269&lt;IF269,$A269,B_MAX+1)</f>
        <v>186</v>
      </c>
      <c r="IK269" s="13">
        <f>IF(IB269=1,$IB$35,$IB$36)</f>
        <v>0</v>
      </c>
      <c r="IL269" s="13">
        <f>OCC_DAYS*$IB$41*R_NF_2023-ID269*MCD_SHARE_FREED*R_WAIT_2023</f>
        <v>151980.48282209205</v>
      </c>
      <c r="IM269">
        <f>IF($A269&lt;=$IB$45,1,0)</f>
        <v>0</v>
      </c>
      <c r="JB269">
        <f>IF($JB$31&lt;=$JB$32,IF($A269&lt;=$JB$7,1,2),IF($A269&lt;=RUNG_BEDS_2,2,1))</f>
        <v>1</v>
      </c>
      <c r="JC269" s="5">
        <f>MIN(1,MAX(0,$JB$26-($A269-1)))</f>
        <v>0</v>
      </c>
      <c r="JD269" s="5">
        <f>$JB$25*(JC269+(1-JC269)*$JB$16)</f>
        <v>0.0</v>
      </c>
      <c r="JE269" s="13">
        <f>JD269*($JB$6+ACUTE_MARGIN)</f>
        <v>0.0</v>
      </c>
      <c r="JF269" s="13">
        <f>IF(JB269=1,$JB$31,$JB$32)</f>
        <v>152394.16214437486</v>
      </c>
      <c r="JG269" s="13">
        <f>JE269-JF269</f>
        <v>-152394.16214437486</v>
      </c>
      <c r="JH269" s="13">
        <f>JH268+JG269</f>
        <v>9883656.469418611</v>
      </c>
      <c r="JI269">
        <f>IF(JH269=MAX($JH$83:$JH$483),$A269,0)</f>
        <v>0</v>
      </c>
      <c r="JJ269">
        <f>IF(JE269&lt;JF269,$A269,B_MAX+1)</f>
        <v>186</v>
      </c>
      <c r="JK269" s="13">
        <f>IF(JB269=1,$JB$35,$JB$36)</f>
        <v>0</v>
      </c>
      <c r="JL269" s="13">
        <f>OCC_DAYS*$JB$41*R_NF_2023-JD269*MCD_SHARE_FREED*R_WAIT_2023</f>
        <v>151980.48282209205</v>
      </c>
      <c r="JM269">
        <f>IF($A269&lt;=$JB$45,1,0)</f>
        <v>0</v>
      </c>
      <c r="KB269">
        <f>IF($KB$31&lt;=$KB$32,IF($A269&lt;=$KB$7,1,2),IF($A269&lt;=RUNG_BEDS_2,2,1))</f>
        <v>1</v>
      </c>
      <c r="KC269" s="5">
        <f>MIN(1,MAX(0,$KB$26-($A269-1)))</f>
        <v>1</v>
      </c>
      <c r="KD269" s="5">
        <f>$KB$25*(KC269+(1-KC269)*$KB$16)</f>
        <v>126.02661357340719</v>
      </c>
      <c r="KE269" s="13">
        <f>KD269*($KB$6+ACUTE_MARGIN)</f>
        <v>127286.87970914126</v>
      </c>
      <c r="KF269" s="13">
        <f>IF(KB269=1,$KB$31,$KB$32)</f>
        <v>152394.16214437486</v>
      </c>
      <c r="KG269" s="13">
        <f>KE269-KF269</f>
        <v>-25107.282435233603</v>
      </c>
      <c r="KH269" s="13">
        <f>KH268+KG269</f>
        <v>-4669954.532953464</v>
      </c>
      <c r="KI269">
        <f>IF(KH269=MAX($KH$83:$KH$483),$A269,0)</f>
        <v>0</v>
      </c>
      <c r="KJ269">
        <f>IF(KE269&lt;KF269,$A269,B_MAX+1)</f>
        <v>186</v>
      </c>
      <c r="KK269" s="13">
        <f>IF(KB269=1,$KB$35,$KB$36)</f>
        <v>0</v>
      </c>
      <c r="KL269" s="13">
        <f>OCC_DAYS*$KB$41*R_NF_2023-KD269*MCD_SHARE_FREED*R_WAIT_2023</f>
        <v>94673.82103225985</v>
      </c>
      <c r="KM269">
        <f>IF($A269&lt;=$KB$45,1,0)</f>
        <v>0</v>
      </c>
      <c r="LB269">
        <f>IF($LB$31&lt;=$LB$32,IF($A269&lt;=$LB$7,1,2),IF($A269&lt;=RUNG_BEDS_2,2,1))</f>
        <v>1</v>
      </c>
      <c r="LC269" s="5">
        <f>MIN(1,MAX(0,$LB$26-($A269-1)))</f>
        <v>1</v>
      </c>
      <c r="LD269" s="5">
        <f>$LB$25*(LC269+(1-LC269)*$LB$16)</f>
        <v>84.01774238227146</v>
      </c>
      <c r="LE269" s="13">
        <f>LD269*($LB$6+ACUTE_MARGIN)</f>
        <v>84857.91980609419</v>
      </c>
      <c r="LF269" s="13">
        <f>IF(LB269=1,$LB$31,$LB$32)</f>
        <v>152394.16214437486</v>
      </c>
      <c r="LG269" s="13">
        <f>LE269-LF269</f>
        <v>-67536.24233828067</v>
      </c>
      <c r="LH269" s="13">
        <f>LH268+LG269</f>
        <v>-12561741.07492026</v>
      </c>
      <c r="LI269">
        <f>IF(LH269=MAX($LH$83:$LH$483),$A269,0)</f>
        <v>0</v>
      </c>
      <c r="LJ269">
        <f>IF(LE269&lt;LF269,$A269,B_MAX+1)</f>
        <v>186</v>
      </c>
      <c r="LK269" s="13">
        <f>IF(LB269=1,$LB$35,$LB$36)</f>
        <v>0</v>
      </c>
      <c r="LL269" s="13">
        <f>OCC_DAYS*$LB$41*R_NF_2023-LD269*MCD_SHARE_FREED*R_WAIT_2023</f>
        <v>113776.04162887059</v>
      </c>
      <c r="LM269">
        <f>IF($A269&lt;=$LB$45,1,0)</f>
        <v>0</v>
      </c>
      <c r="MB269">
        <f>IF($MB$31&lt;=$MB$32,IF($A269&lt;=$MB$7,1,2),IF($A269&lt;=RUNG_BEDS_2,2,1))</f>
        <v>1</v>
      </c>
      <c r="MC269" s="5">
        <f>MIN(1,MAX(0,$MB$26-($A269-1)))</f>
        <v>0</v>
      </c>
      <c r="MD269" s="5">
        <f>$MB$25*(MC269+(1-MC269)*$MB$16)</f>
        <v>0.0</v>
      </c>
      <c r="ME269" s="13">
        <f>MD269*($MB$6+ACUTE_MARGIN)</f>
        <v>0.0</v>
      </c>
      <c r="MF269" s="13">
        <f>IF(MB269=1,$MB$31,$MB$32)</f>
        <v>152394.16214437486</v>
      </c>
      <c r="MG269" s="13">
        <f>ME269-MF269</f>
        <v>-152394.16214437486</v>
      </c>
      <c r="MH269" s="13">
        <f>MH268+MG269</f>
        <v>3996380.407620284</v>
      </c>
      <c r="MI269">
        <f>IF(MH269=MAX($MH$83:$MH$483),$A269,0)</f>
        <v>0</v>
      </c>
      <c r="MJ269">
        <f>IF(ME269&lt;MF269,$A269,B_MAX+1)</f>
        <v>186</v>
      </c>
      <c r="MK269" s="13">
        <f>IF(MB269=1,$MB$35,$MB$36)</f>
        <v>0</v>
      </c>
      <c r="ML269" s="13">
        <f>OCC_DAYS*$MB$41*R_NF_2023-MD269*MCD_SHARE_FREED*R_WAIT_2023</f>
        <v>151980.48282209205</v>
      </c>
      <c r="MM269">
        <f>IF($A269&lt;=$MB$45,1,0)</f>
        <v>0</v>
      </c>
      <c r="NB269">
        <f>IF($NB$31&lt;=$NB$32,IF($A269&lt;=$NB$7,1,2),IF($A269&lt;=RUNG_BEDS_2,2,1))</f>
        <v>1</v>
      </c>
      <c r="NC269" s="5">
        <f>MIN(1,MAX(0,$NB$26-($A269-1)))</f>
        <v>0</v>
      </c>
      <c r="ND269" s="5">
        <f>$NB$25*(NC269+(1-NC269)*$NB$16)</f>
        <v>63.013306786703595</v>
      </c>
      <c r="NE269" s="13">
        <f>ND269*($NB$6+ACUTE_MARGIN)</f>
        <v>63643.43985457063</v>
      </c>
      <c r="NF269" s="13">
        <f>IF(NB269=1,$NB$31,$NB$32)</f>
        <v>152394.16214437486</v>
      </c>
      <c r="NG269" s="13">
        <f>NE269-NF269</f>
        <v>-88750.72228980422</v>
      </c>
      <c r="NH269" s="13">
        <f>NH268+NG269</f>
        <v>12164093.625300653</v>
      </c>
      <c r="NI269">
        <f>IF(NH269=MAX($NH$83:$NH$483),$A269,0)</f>
        <v>0</v>
      </c>
      <c r="NJ269">
        <f>IF(NE269&lt;NF269,$A269,B_MAX+1)</f>
        <v>186</v>
      </c>
      <c r="NK269" s="13">
        <f>IF(NB269=1,$NB$35,$NB$36)</f>
        <v>0</v>
      </c>
      <c r="NL269" s="13">
        <f>OCC_DAYS*$NB$41*R_NF_2023-ND269*MCD_SHARE_FREED*R_WAIT_2023</f>
        <v>123327.15192717595</v>
      </c>
      <c r="NM269">
        <f>IF($A269&lt;=$NB$45,1,0)</f>
        <v>0</v>
      </c>
      <c r="OB269">
        <f>IF($OB$31&lt;=$OB$32,IF($A269&lt;=$OB$7,1,2),IF($A269&lt;=RUNG_BEDS_2,2,1))</f>
        <v>1</v>
      </c>
      <c r="OC269" s="5">
        <f>MIN(1,MAX(0,$OB$26-($A269-1)))</f>
        <v>0</v>
      </c>
      <c r="OD269" s="5">
        <f>$OB$25*(OC269+(1-OC269)*$OB$16)</f>
        <v>126.02661357340719</v>
      </c>
      <c r="OE269" s="13">
        <f>OD269*($OB$6+ACUTE_MARGIN)</f>
        <v>127286.87970914126</v>
      </c>
      <c r="OF269" s="13">
        <f>IF(OB269=1,$OB$31,$OB$32)</f>
        <v>152394.16214437486</v>
      </c>
      <c r="OG269" s="13">
        <f>OE269-OF269</f>
        <v>-25107.282435233603</v>
      </c>
      <c r="OH269" s="13">
        <f>OH268+OG269</f>
        <v>14444530.781182762</v>
      </c>
      <c r="OI269">
        <f>IF(OH269=MAX($OH$83:$OH$483),$A269,0)</f>
        <v>0</v>
      </c>
      <c r="OJ269">
        <f>IF(OE269&lt;OF269,$A269,B_MAX+1)</f>
        <v>186</v>
      </c>
      <c r="OK269" s="13">
        <f>IF(OB269=1,$OB$35,$OB$36)</f>
        <v>0</v>
      </c>
      <c r="OL269" s="13">
        <f>OCC_DAYS*$OB$41*R_NF_2023-OD269*MCD_SHARE_FREED*R_WAIT_2023</f>
        <v>94673.82103225985</v>
      </c>
      <c r="OM269">
        <f>IF($A269&lt;=$OB$45,1,0)</f>
        <v>0</v>
      </c>
    </row>
    <row r="270">
      <c r="A270" t="n">
        <v>187</v>
      </c>
      <c r="B270">
        <f>IF($B$31&lt;=$B$32,IF($A270&lt;=$B$7,1,2),IF($A270&lt;=RUNG_BEDS_2,2,1))</f>
        <v>1</v>
      </c>
      <c r="C270" s="5">
        <f>MIN(1,MAX(0,$B$26-($A270-1)))</f>
        <v>0</v>
      </c>
      <c r="D270" s="5">
        <f>$B$25*(C270+(1-C270)*$B$16)</f>
        <v>0.0</v>
      </c>
      <c r="E270" s="13">
        <f>D270*($B$6+ACUTE_MARGIN)</f>
        <v>0.0</v>
      </c>
      <c r="F270" s="13">
        <f>IF(B270=1,$B$31,$B$32)</f>
        <v>152394.16214437486</v>
      </c>
      <c r="G270" s="13">
        <f>E270-F270</f>
        <v>-152394.16214437486</v>
      </c>
      <c r="H270" s="13">
        <f>H269+G270</f>
        <v>9731262.307274237</v>
      </c>
      <c r="I270">
        <f>IF(H270=MAX($H$83:$H$483),$A270,0)</f>
        <v>0</v>
      </c>
      <c r="J270">
        <f>IF(E270&lt;F270,$A270,B_MAX+1)</f>
        <v>187</v>
      </c>
      <c r="K270" s="13">
        <f>IF(B270=1,$B$35,$B$36)</f>
        <v>0</v>
      </c>
      <c r="L270" s="13">
        <f>OCC_DAYS*$B$41*R_NF_2023-D270*MCD_SHARE_FREED*R_WAIT_2023</f>
        <v>151980.48282209205</v>
      </c>
      <c r="M270">
        <f>IF($A270&lt;=$B$45,1,0)</f>
        <v>0</v>
      </c>
      <c r="AB270">
        <f>IF($AB$31&lt;=$AB$32,IF($A270&lt;=$AB$7,1,2),IF($A270&lt;=RUNG_BEDS_2,2,1))</f>
        <v>1</v>
      </c>
      <c r="AC270" s="5">
        <f>MIN(1,MAX(0,$AB$26-($A270-1)))</f>
        <v>0</v>
      </c>
      <c r="AD270" s="5">
        <f>$AB$25*(AC270+(1-AC270)*$AB$16)</f>
        <v>0.0</v>
      </c>
      <c r="AE270" s="13">
        <f>AD270*($AB$6+ACUTE_MARGIN)</f>
        <v>0.0</v>
      </c>
      <c r="AF270" s="13">
        <f>IF(AB270=1,$AB$31,$AB$32)</f>
        <v>152394.16214437486</v>
      </c>
      <c r="AG270" s="13">
        <f>AE270-AF270</f>
        <v>-152394.16214437486</v>
      </c>
      <c r="AH270" s="13">
        <f>AH269+AG270</f>
        <v>-7679952.038275589</v>
      </c>
      <c r="AI270">
        <f>IF(AH270=MAX($AH$83:$AH$483),$A270,0)</f>
        <v>0</v>
      </c>
      <c r="AJ270">
        <f>IF(AE270&lt;AF270,$A270,B_MAX+1)</f>
        <v>187</v>
      </c>
      <c r="AK270" s="13">
        <f>IF(AB270=1,$AB$35,$AB$36)</f>
        <v>0</v>
      </c>
      <c r="AL270" s="13">
        <f>OCC_DAYS*$AB$41*R_NF_2023-AD270*MCD_SHARE_FREED*R_WAIT_2023</f>
        <v>151980.48282209205</v>
      </c>
      <c r="AM270">
        <f>IF($A270&lt;=$AB$45,1,0)</f>
        <v>0</v>
      </c>
      <c r="BB270">
        <f>IF($BB$31&lt;=$BB$32,IF($A270&lt;=$BB$7,1,2),IF($A270&lt;=RUNG_BEDS_2,2,1))</f>
        <v>1</v>
      </c>
      <c r="BC270" s="5">
        <f>MIN(1,MAX(0,$BB$26-($A270-1)))</f>
        <v>0</v>
      </c>
      <c r="BD270" s="5">
        <f>$BB$25*(BC270+(1-BC270)*$BB$16)</f>
        <v>0.0</v>
      </c>
      <c r="BE270" s="13">
        <f>BD270*($BB$6+ACUTE_MARGIN)</f>
        <v>0.0</v>
      </c>
      <c r="BF270" s="13">
        <f>IF(BB270=1,$BB$31,$BB$32)</f>
        <v>152394.16214437486</v>
      </c>
      <c r="BG270" s="13">
        <f>BE270-BF270</f>
        <v>-152394.16214437486</v>
      </c>
      <c r="BH270" s="13">
        <f>BH269+BG270</f>
        <v>27142476.6528239</v>
      </c>
      <c r="BI270">
        <f>IF(BH270=MAX($BH$83:$BH$483),$A270,0)</f>
        <v>0</v>
      </c>
      <c r="BJ270">
        <f>IF(BE270&lt;BF270,$A270,B_MAX+1)</f>
        <v>187</v>
      </c>
      <c r="BK270" s="13">
        <f>IF(BB270=1,$BB$35,$BB$36)</f>
        <v>0</v>
      </c>
      <c r="BL270" s="13">
        <f>OCC_DAYS*$BB$41*R_NF_2023-BD270*MCD_SHARE_FREED*R_WAIT_2023</f>
        <v>151980.48282209205</v>
      </c>
      <c r="BM270">
        <f>IF($A270&lt;=$BB$45,1,0)</f>
        <v>0</v>
      </c>
      <c r="CB270">
        <f>IF($CB$31&lt;=$CB$32,IF($A270&lt;=$CB$7,1,2),IF($A270&lt;=RUNG_BEDS_2,2,1))</f>
        <v>2</v>
      </c>
      <c r="CC270" s="5">
        <f>MIN(1,MAX(0,$CB$26-($A270-1)))</f>
        <v>0</v>
      </c>
      <c r="CD270" s="5">
        <f>$CB$25*(CC270+(1-CC270)*$CB$16)</f>
        <v>0.0</v>
      </c>
      <c r="CE270" s="13">
        <f>CD270*($CB$6+ACUTE_MARGIN)</f>
        <v>0.0</v>
      </c>
      <c r="CF270" s="13">
        <f>IF(CB270=1,$CB$31,$CB$32)</f>
        <v>160718.36940738867</v>
      </c>
      <c r="CG270" s="13">
        <f>CE270-CF270</f>
        <v>-160718.36940738867</v>
      </c>
      <c r="CH270" s="13">
        <f>CH269+CG270</f>
        <v>8174635.549090534</v>
      </c>
      <c r="CI270">
        <f>IF(CH270=MAX($CH$83:$CH$483),$A270,0)</f>
        <v>0</v>
      </c>
      <c r="CJ270">
        <f>IF(CE270&lt;CF270,$A270,B_MAX+1)</f>
        <v>187</v>
      </c>
      <c r="CK270" s="13">
        <f>IF(CB270=1,$CB$35,$CB$36)</f>
        <v>1560.1194073886782</v>
      </c>
      <c r="CL270" s="13">
        <f>OCC_DAYS*$CB$41*R_NF_2023-CD270*MCD_SHARE_FREED*R_WAIT_2023</f>
        <v>151980.48282209205</v>
      </c>
      <c r="CM270">
        <f>IF($A270&lt;=$CB$45,1,0)</f>
        <v>0</v>
      </c>
      <c r="DB270">
        <f>IF($DB$31&lt;=$DB$32,IF($A270&lt;=$DB$7,1,2),IF($A270&lt;=RUNG_BEDS_2,2,1))</f>
        <v>1</v>
      </c>
      <c r="DC270" s="5">
        <f>MIN(1,MAX(0,$DB$26-($A270-1)))</f>
        <v>0</v>
      </c>
      <c r="DD270" s="5">
        <f>$DB$25*(DC270+(1-DC270)*$DB$16)</f>
        <v>0.0</v>
      </c>
      <c r="DE270" s="13">
        <f>DD270*($DB$6+ACUTE_MARGIN)</f>
        <v>0.0</v>
      </c>
      <c r="DF270" s="13">
        <f>IF(DB270=1,$DB$31,$DB$32)</f>
        <v>152394.16214437486</v>
      </c>
      <c r="DG270" s="13">
        <f>DE270-DF270</f>
        <v>-152394.16214437486</v>
      </c>
      <c r="DH270" s="13">
        <f>DH269+DG270</f>
        <v>9731262.307274237</v>
      </c>
      <c r="DI270">
        <f>IF(DH270=MAX($DH$83:$DH$483),$A270,0)</f>
        <v>0</v>
      </c>
      <c r="DJ270">
        <f>IF(DE270&lt;DF270,$A270,B_MAX+1)</f>
        <v>187</v>
      </c>
      <c r="DK270" s="13">
        <f>IF(DB270=1,$DB$35,$DB$36)</f>
        <v>0</v>
      </c>
      <c r="DL270" s="13">
        <f>OCC_DAYS*$DB$41*R_NF_2023-DD270*MCD_SHARE_FREED*R_WAIT_2023</f>
        <v>151980.48282209205</v>
      </c>
      <c r="DM270">
        <f>IF($A270&lt;=$DB$45,1,0)</f>
        <v>0</v>
      </c>
      <c r="EB270">
        <f>IF($EB$31&lt;=$EB$32,IF($A270&lt;=$EB$7,1,2),IF($A270&lt;=RUNG_BEDS_2,2,1))</f>
        <v>1</v>
      </c>
      <c r="EC270" s="5">
        <f>MIN(1,MAX(0,$EB$26-($A270-1)))</f>
        <v>0</v>
      </c>
      <c r="ED270" s="5">
        <f>$EB$25*(EC270+(1-EC270)*$EB$16)</f>
        <v>0.0</v>
      </c>
      <c r="EE270" s="13">
        <f>ED270*($EB$6+ACUTE_MARGIN)</f>
        <v>0.0</v>
      </c>
      <c r="EF270" s="13">
        <f>IF(EB270=1,$EB$31,$EB$32)</f>
        <v>152394.16214437486</v>
      </c>
      <c r="EG270" s="13">
        <f>EE270-EF270</f>
        <v>-152394.16214437486</v>
      </c>
      <c r="EH270" s="13">
        <f>EH269+EG270</f>
        <v>9731262.307274237</v>
      </c>
      <c r="EI270">
        <f>IF(EH270=MAX($EH$83:$EH$483),$A270,0)</f>
        <v>0</v>
      </c>
      <c r="EJ270">
        <f>IF(EE270&lt;EF270,$A270,B_MAX+1)</f>
        <v>187</v>
      </c>
      <c r="EK270" s="13">
        <f>IF(EB270=1,$EB$35,$EB$36)</f>
        <v>0</v>
      </c>
      <c r="EL270" s="13">
        <f>OCC_DAYS*$EB$41*R_NF_2023-ED270*MCD_SHARE_FREED*R_WAIT_2023</f>
        <v>50660.16094069735</v>
      </c>
      <c r="EM270">
        <f>IF($A270&lt;=$EB$45,1,0)</f>
        <v>0</v>
      </c>
      <c r="FB270">
        <f>IF($FB$31&lt;=$FB$32,IF($A270&lt;=$FB$7,1,2),IF($A270&lt;=RUNG_BEDS_2,2,1))</f>
        <v>1</v>
      </c>
      <c r="FC270" s="5">
        <f>MIN(1,MAX(0,$FB$26-($A270-1)))</f>
        <v>0</v>
      </c>
      <c r="FD270" s="5">
        <f>$FB$25*(FC270+(1-FC270)*$FB$16)</f>
        <v>0.0</v>
      </c>
      <c r="FE270" s="13">
        <f>FD270*($FB$6+ACUTE_MARGIN)</f>
        <v>0.0</v>
      </c>
      <c r="FF270" s="13">
        <f>IF(FB270=1,$FB$31,$FB$32)</f>
        <v>156636.04979437485</v>
      </c>
      <c r="FG270" s="13">
        <f>FE270-FF270</f>
        <v>-156636.04979437485</v>
      </c>
      <c r="FH270" s="13">
        <f>FH269+FG270</f>
        <v>8938029.316724125</v>
      </c>
      <c r="FI270">
        <f>IF(FH270=MAX($FH$83:$FH$483),$A270,0)</f>
        <v>0</v>
      </c>
      <c r="FJ270">
        <f>IF(FE270&lt;FF270,$A270,B_MAX+1)</f>
        <v>187</v>
      </c>
      <c r="FK270" s="13">
        <f>IF(FB270=1,$FB$35,$FB$36)</f>
        <v>0</v>
      </c>
      <c r="FL270" s="13">
        <f>OCC_DAYS*$FB$41*R_NF_2023-FD270*MCD_SHARE_FREED*R_WAIT_2023</f>
        <v>151980.48282209205</v>
      </c>
      <c r="FM270">
        <f>IF($A270&lt;=$FB$45,1,0)</f>
        <v>0</v>
      </c>
      <c r="GB270">
        <f>IF($GB$31&lt;=$GB$32,IF($A270&lt;=$GB$7,1,2),IF($A270&lt;=RUNG_BEDS_2,2,1))</f>
        <v>1</v>
      </c>
      <c r="GC270" s="5">
        <f>MIN(1,MAX(0,$GB$26-($A270-1)))</f>
        <v>0</v>
      </c>
      <c r="GD270" s="5">
        <f>$GB$25*(GC270+(1-GC270)*$GB$16)</f>
        <v>0.0</v>
      </c>
      <c r="GE270" s="13">
        <f>GD270*($GB$6+ACUTE_MARGIN)</f>
        <v>0.0</v>
      </c>
      <c r="GF270" s="13">
        <f>IF(GB270=1,$GB$31,$GB$32)</f>
        <v>152394.16214437486</v>
      </c>
      <c r="GG270" s="13">
        <f>GE270-GF270</f>
        <v>-152394.16214437486</v>
      </c>
      <c r="GH270" s="13">
        <f>GH269+GG270</f>
        <v>9731262.307274237</v>
      </c>
      <c r="GI270">
        <f>IF(GH270=MAX($GH$83:$GH$483),$A270,0)</f>
        <v>0</v>
      </c>
      <c r="GJ270">
        <f>IF(GE270&lt;GF270,$A270,B_MAX+1)</f>
        <v>187</v>
      </c>
      <c r="GK270" s="13">
        <f>IF(GB270=1,$GB$35,$GB$36)</f>
        <v>0</v>
      </c>
      <c r="GL270" s="13">
        <f>OCC_DAYS*$GB$41*R_NF_2023-GD270*MCD_SHARE_FREED*R_WAIT_2023</f>
        <v>151980.48282209205</v>
      </c>
      <c r="GM270">
        <f>IF($A270&lt;=$GB$45,1,0)</f>
        <v>0</v>
      </c>
      <c r="HB270">
        <f>IF($HB$31&lt;=$HB$32,IF($A270&lt;=$HB$7,1,2),IF($A270&lt;=RUNG_BEDS_2,2,1))</f>
        <v>1</v>
      </c>
      <c r="HC270" s="5">
        <f>MIN(1,MAX(0,$HB$26-($A270-1)))</f>
        <v>0</v>
      </c>
      <c r="HD270" s="5">
        <f>$HB$25*(HC270+(1-HC270)*$HB$16)</f>
        <v>0.0</v>
      </c>
      <c r="HE270" s="13">
        <f>HD270*($HB$6+ACUTE_MARGIN)</f>
        <v>0.0</v>
      </c>
      <c r="HF270" s="13">
        <f>IF(HB270=1,$HB$31,$HB$32)</f>
        <v>152456.2970814058</v>
      </c>
      <c r="HG270" s="13">
        <f>HE270-HF270</f>
        <v>-152456.2970814058</v>
      </c>
      <c r="HH270" s="13">
        <f>HH269+HG270</f>
        <v>9719643.074049419</v>
      </c>
      <c r="HI270">
        <f>IF(HH270=MAX($HH$83:$HH$483),$A270,0)</f>
        <v>0</v>
      </c>
      <c r="HJ270">
        <f>IF(HE270&lt;HF270,$A270,B_MAX+1)</f>
        <v>187</v>
      </c>
      <c r="HK270" s="13">
        <f>IF(HB270=1,$HB$35,$HB$36)</f>
        <v>0</v>
      </c>
      <c r="HL270" s="13">
        <f>OCC_DAYS*$HB$41*R_NF_2023-HD270*MCD_SHARE_FREED*R_WAIT_2023</f>
        <v>151980.48282209205</v>
      </c>
      <c r="HM270">
        <f>IF($A270&lt;=$HB$45,1,0)</f>
        <v>0</v>
      </c>
      <c r="IB270">
        <f>IF($IB$31&lt;=$IB$32,IF($A270&lt;=$IB$7,1,2),IF($A270&lt;=RUNG_BEDS_2,2,1))</f>
        <v>1</v>
      </c>
      <c r="IC270" s="5">
        <f>MIN(1,MAX(0,$IB$26-($A270-1)))</f>
        <v>0</v>
      </c>
      <c r="ID270" s="5">
        <f>$IB$25*(IC270+(1-IC270)*$IB$16)</f>
        <v>0.0</v>
      </c>
      <c r="IE270" s="13">
        <f>ID270*($IB$6+ACUTE_MARGIN)</f>
        <v>0.0</v>
      </c>
      <c r="IF270" s="13">
        <f>IF(IB270=1,$IB$31,$IB$32)</f>
        <v>152734.9994534971</v>
      </c>
      <c r="IG270" s="13">
        <f>IE270-IF270</f>
        <v>-152734.9994534971</v>
      </c>
      <c r="IH270" s="13">
        <f>IH269+IG270</f>
        <v>9667525.730468279</v>
      </c>
      <c r="II270">
        <f>IF(IH270=MAX($IH$83:$IH$483),$A270,0)</f>
        <v>0</v>
      </c>
      <c r="IJ270">
        <f>IF(IE270&lt;IF270,$A270,B_MAX+1)</f>
        <v>187</v>
      </c>
      <c r="IK270" s="13">
        <f>IF(IB270=1,$IB$35,$IB$36)</f>
        <v>0</v>
      </c>
      <c r="IL270" s="13">
        <f>OCC_DAYS*$IB$41*R_NF_2023-ID270*MCD_SHARE_FREED*R_WAIT_2023</f>
        <v>151980.48282209205</v>
      </c>
      <c r="IM270">
        <f>IF($A270&lt;=$IB$45,1,0)</f>
        <v>0</v>
      </c>
      <c r="JB270">
        <f>IF($JB$31&lt;=$JB$32,IF($A270&lt;=$JB$7,1,2),IF($A270&lt;=RUNG_BEDS_2,2,1))</f>
        <v>1</v>
      </c>
      <c r="JC270" s="5">
        <f>MIN(1,MAX(0,$JB$26-($A270-1)))</f>
        <v>0</v>
      </c>
      <c r="JD270" s="5">
        <f>$JB$25*(JC270+(1-JC270)*$JB$16)</f>
        <v>0.0</v>
      </c>
      <c r="JE270" s="13">
        <f>JD270*($JB$6+ACUTE_MARGIN)</f>
        <v>0.0</v>
      </c>
      <c r="JF270" s="13">
        <f>IF(JB270=1,$JB$31,$JB$32)</f>
        <v>152394.16214437486</v>
      </c>
      <c r="JG270" s="13">
        <f>JE270-JF270</f>
        <v>-152394.16214437486</v>
      </c>
      <c r="JH270" s="13">
        <f>JH269+JG270</f>
        <v>9731262.307274237</v>
      </c>
      <c r="JI270">
        <f>IF(JH270=MAX($JH$83:$JH$483),$A270,0)</f>
        <v>0</v>
      </c>
      <c r="JJ270">
        <f>IF(JE270&lt;JF270,$A270,B_MAX+1)</f>
        <v>187</v>
      </c>
      <c r="JK270" s="13">
        <f>IF(JB270=1,$JB$35,$JB$36)</f>
        <v>0</v>
      </c>
      <c r="JL270" s="13">
        <f>OCC_DAYS*$JB$41*R_NF_2023-JD270*MCD_SHARE_FREED*R_WAIT_2023</f>
        <v>151980.48282209205</v>
      </c>
      <c r="JM270">
        <f>IF($A270&lt;=$JB$45,1,0)</f>
        <v>0</v>
      </c>
      <c r="KB270">
        <f>IF($KB$31&lt;=$KB$32,IF($A270&lt;=$KB$7,1,2),IF($A270&lt;=RUNG_BEDS_2,2,1))</f>
        <v>1</v>
      </c>
      <c r="KC270" s="5">
        <f>MIN(1,MAX(0,$KB$26-($A270-1)))</f>
        <v>1</v>
      </c>
      <c r="KD270" s="5">
        <f>$KB$25*(KC270+(1-KC270)*$KB$16)</f>
        <v>126.02661357340719</v>
      </c>
      <c r="KE270" s="13">
        <f>KD270*($KB$6+ACUTE_MARGIN)</f>
        <v>127286.87970914126</v>
      </c>
      <c r="KF270" s="13">
        <f>IF(KB270=1,$KB$31,$KB$32)</f>
        <v>152394.16214437486</v>
      </c>
      <c r="KG270" s="13">
        <f>KE270-KF270</f>
        <v>-25107.282435233603</v>
      </c>
      <c r="KH270" s="13">
        <f>KH269+KG270</f>
        <v>-4695061.815388698</v>
      </c>
      <c r="KI270">
        <f>IF(KH270=MAX($KH$83:$KH$483),$A270,0)</f>
        <v>0</v>
      </c>
      <c r="KJ270">
        <f>IF(KE270&lt;KF270,$A270,B_MAX+1)</f>
        <v>187</v>
      </c>
      <c r="KK270" s="13">
        <f>IF(KB270=1,$KB$35,$KB$36)</f>
        <v>0</v>
      </c>
      <c r="KL270" s="13">
        <f>OCC_DAYS*$KB$41*R_NF_2023-KD270*MCD_SHARE_FREED*R_WAIT_2023</f>
        <v>94673.82103225985</v>
      </c>
      <c r="KM270">
        <f>IF($A270&lt;=$KB$45,1,0)</f>
        <v>0</v>
      </c>
      <c r="LB270">
        <f>IF($LB$31&lt;=$LB$32,IF($A270&lt;=$LB$7,1,2),IF($A270&lt;=RUNG_BEDS_2,2,1))</f>
        <v>1</v>
      </c>
      <c r="LC270" s="5">
        <f>MIN(1,MAX(0,$LB$26-($A270-1)))</f>
        <v>1</v>
      </c>
      <c r="LD270" s="5">
        <f>$LB$25*(LC270+(1-LC270)*$LB$16)</f>
        <v>84.01774238227146</v>
      </c>
      <c r="LE270" s="13">
        <f>LD270*($LB$6+ACUTE_MARGIN)</f>
        <v>84857.91980609419</v>
      </c>
      <c r="LF270" s="13">
        <f>IF(LB270=1,$LB$31,$LB$32)</f>
        <v>152394.16214437486</v>
      </c>
      <c r="LG270" s="13">
        <f>LE270-LF270</f>
        <v>-67536.24233828067</v>
      </c>
      <c r="LH270" s="13">
        <f>LH269+LG270</f>
        <v>-12629277.31725854</v>
      </c>
      <c r="LI270">
        <f>IF(LH270=MAX($LH$83:$LH$483),$A270,0)</f>
        <v>0</v>
      </c>
      <c r="LJ270">
        <f>IF(LE270&lt;LF270,$A270,B_MAX+1)</f>
        <v>187</v>
      </c>
      <c r="LK270" s="13">
        <f>IF(LB270=1,$LB$35,$LB$36)</f>
        <v>0</v>
      </c>
      <c r="LL270" s="13">
        <f>OCC_DAYS*$LB$41*R_NF_2023-LD270*MCD_SHARE_FREED*R_WAIT_2023</f>
        <v>113776.04162887059</v>
      </c>
      <c r="LM270">
        <f>IF($A270&lt;=$LB$45,1,0)</f>
        <v>0</v>
      </c>
      <c r="MB270">
        <f>IF($MB$31&lt;=$MB$32,IF($A270&lt;=$MB$7,1,2),IF($A270&lt;=RUNG_BEDS_2,2,1))</f>
        <v>1</v>
      </c>
      <c r="MC270" s="5">
        <f>MIN(1,MAX(0,$MB$26-($A270-1)))</f>
        <v>0</v>
      </c>
      <c r="MD270" s="5">
        <f>$MB$25*(MC270+(1-MC270)*$MB$16)</f>
        <v>0.0</v>
      </c>
      <c r="ME270" s="13">
        <f>MD270*($MB$6+ACUTE_MARGIN)</f>
        <v>0.0</v>
      </c>
      <c r="MF270" s="13">
        <f>IF(MB270=1,$MB$31,$MB$32)</f>
        <v>152394.16214437486</v>
      </c>
      <c r="MG270" s="13">
        <f>ME270-MF270</f>
        <v>-152394.16214437486</v>
      </c>
      <c r="MH270" s="13">
        <f>MH269+MG270</f>
        <v>3843986.2454759087</v>
      </c>
      <c r="MI270">
        <f>IF(MH270=MAX($MH$83:$MH$483),$A270,0)</f>
        <v>0</v>
      </c>
      <c r="MJ270">
        <f>IF(ME270&lt;MF270,$A270,B_MAX+1)</f>
        <v>187</v>
      </c>
      <c r="MK270" s="13">
        <f>IF(MB270=1,$MB$35,$MB$36)</f>
        <v>0</v>
      </c>
      <c r="ML270" s="13">
        <f>OCC_DAYS*$MB$41*R_NF_2023-MD270*MCD_SHARE_FREED*R_WAIT_2023</f>
        <v>151980.48282209205</v>
      </c>
      <c r="MM270">
        <f>IF($A270&lt;=$MB$45,1,0)</f>
        <v>0</v>
      </c>
      <c r="NB270">
        <f>IF($NB$31&lt;=$NB$32,IF($A270&lt;=$NB$7,1,2),IF($A270&lt;=RUNG_BEDS_2,2,1))</f>
        <v>1</v>
      </c>
      <c r="NC270" s="5">
        <f>MIN(1,MAX(0,$NB$26-($A270-1)))</f>
        <v>0</v>
      </c>
      <c r="ND270" s="5">
        <f>$NB$25*(NC270+(1-NC270)*$NB$16)</f>
        <v>63.013306786703595</v>
      </c>
      <c r="NE270" s="13">
        <f>ND270*($NB$6+ACUTE_MARGIN)</f>
        <v>63643.43985457063</v>
      </c>
      <c r="NF270" s="13">
        <f>IF(NB270=1,$NB$31,$NB$32)</f>
        <v>152394.16214437486</v>
      </c>
      <c r="NG270" s="13">
        <f>NE270-NF270</f>
        <v>-88750.72228980422</v>
      </c>
      <c r="NH270" s="13">
        <f>NH269+NG270</f>
        <v>12075342.903010849</v>
      </c>
      <c r="NI270">
        <f>IF(NH270=MAX($NH$83:$NH$483),$A270,0)</f>
        <v>0</v>
      </c>
      <c r="NJ270">
        <f>IF(NE270&lt;NF270,$A270,B_MAX+1)</f>
        <v>187</v>
      </c>
      <c r="NK270" s="13">
        <f>IF(NB270=1,$NB$35,$NB$36)</f>
        <v>0</v>
      </c>
      <c r="NL270" s="13">
        <f>OCC_DAYS*$NB$41*R_NF_2023-ND270*MCD_SHARE_FREED*R_WAIT_2023</f>
        <v>123327.15192717595</v>
      </c>
      <c r="NM270">
        <f>IF($A270&lt;=$NB$45,1,0)</f>
        <v>0</v>
      </c>
      <c r="OB270">
        <f>IF($OB$31&lt;=$OB$32,IF($A270&lt;=$OB$7,1,2),IF($A270&lt;=RUNG_BEDS_2,2,1))</f>
        <v>1</v>
      </c>
      <c r="OC270" s="5">
        <f>MIN(1,MAX(0,$OB$26-($A270-1)))</f>
        <v>0</v>
      </c>
      <c r="OD270" s="5">
        <f>$OB$25*(OC270+(1-OC270)*$OB$16)</f>
        <v>126.02661357340719</v>
      </c>
      <c r="OE270" s="13">
        <f>OD270*($OB$6+ACUTE_MARGIN)</f>
        <v>127286.87970914126</v>
      </c>
      <c r="OF270" s="13">
        <f>IF(OB270=1,$OB$31,$OB$32)</f>
        <v>152394.16214437486</v>
      </c>
      <c r="OG270" s="13">
        <f>OE270-OF270</f>
        <v>-25107.282435233603</v>
      </c>
      <c r="OH270" s="13">
        <f>OH269+OG270</f>
        <v>14419423.49874753</v>
      </c>
      <c r="OI270">
        <f>IF(OH270=MAX($OH$83:$OH$483),$A270,0)</f>
        <v>0</v>
      </c>
      <c r="OJ270">
        <f>IF(OE270&lt;OF270,$A270,B_MAX+1)</f>
        <v>187</v>
      </c>
      <c r="OK270" s="13">
        <f>IF(OB270=1,$OB$35,$OB$36)</f>
        <v>0</v>
      </c>
      <c r="OL270" s="13">
        <f>OCC_DAYS*$OB$41*R_NF_2023-OD270*MCD_SHARE_FREED*R_WAIT_2023</f>
        <v>94673.82103225985</v>
      </c>
      <c r="OM270">
        <f>IF($A270&lt;=$OB$45,1,0)</f>
        <v>0</v>
      </c>
    </row>
    <row r="271">
      <c r="A271" t="n">
        <v>188</v>
      </c>
      <c r="B271">
        <f>IF($B$31&lt;=$B$32,IF($A271&lt;=$B$7,1,2),IF($A271&lt;=RUNG_BEDS_2,2,1))</f>
        <v>1</v>
      </c>
      <c r="C271" s="5">
        <f>MIN(1,MAX(0,$B$26-($A271-1)))</f>
        <v>0</v>
      </c>
      <c r="D271" s="5">
        <f>$B$25*(C271+(1-C271)*$B$16)</f>
        <v>0.0</v>
      </c>
      <c r="E271" s="13">
        <f>D271*($B$6+ACUTE_MARGIN)</f>
        <v>0.0</v>
      </c>
      <c r="F271" s="13">
        <f>IF(B271=1,$B$31,$B$32)</f>
        <v>152394.16214437486</v>
      </c>
      <c r="G271" s="13">
        <f>E271-F271</f>
        <v>-152394.16214437486</v>
      </c>
      <c r="H271" s="13">
        <f>H270+G271</f>
        <v>9578868.145129863</v>
      </c>
      <c r="I271">
        <f>IF(H271=MAX($H$83:$H$483),$A271,0)</f>
        <v>0</v>
      </c>
      <c r="J271">
        <f>IF(E271&lt;F271,$A271,B_MAX+1)</f>
        <v>188</v>
      </c>
      <c r="K271" s="13">
        <f>IF(B271=1,$B$35,$B$36)</f>
        <v>0</v>
      </c>
      <c r="L271" s="13">
        <f>OCC_DAYS*$B$41*R_NF_2023-D271*MCD_SHARE_FREED*R_WAIT_2023</f>
        <v>151980.48282209205</v>
      </c>
      <c r="M271">
        <f>IF($A271&lt;=$B$45,1,0)</f>
        <v>0</v>
      </c>
      <c r="AB271">
        <f>IF($AB$31&lt;=$AB$32,IF($A271&lt;=$AB$7,1,2),IF($A271&lt;=RUNG_BEDS_2,2,1))</f>
        <v>1</v>
      </c>
      <c r="AC271" s="5">
        <f>MIN(1,MAX(0,$AB$26-($A271-1)))</f>
        <v>0</v>
      </c>
      <c r="AD271" s="5">
        <f>$AB$25*(AC271+(1-AC271)*$AB$16)</f>
        <v>0.0</v>
      </c>
      <c r="AE271" s="13">
        <f>AD271*($AB$6+ACUTE_MARGIN)</f>
        <v>0.0</v>
      </c>
      <c r="AF271" s="13">
        <f>IF(AB271=1,$AB$31,$AB$32)</f>
        <v>152394.16214437486</v>
      </c>
      <c r="AG271" s="13">
        <f>AE271-AF271</f>
        <v>-152394.16214437486</v>
      </c>
      <c r="AH271" s="13">
        <f>AH270+AG271</f>
        <v>-7832346.200419964</v>
      </c>
      <c r="AI271">
        <f>IF(AH271=MAX($AH$83:$AH$483),$A271,0)</f>
        <v>0</v>
      </c>
      <c r="AJ271">
        <f>IF(AE271&lt;AF271,$A271,B_MAX+1)</f>
        <v>188</v>
      </c>
      <c r="AK271" s="13">
        <f>IF(AB271=1,$AB$35,$AB$36)</f>
        <v>0</v>
      </c>
      <c r="AL271" s="13">
        <f>OCC_DAYS*$AB$41*R_NF_2023-AD271*MCD_SHARE_FREED*R_WAIT_2023</f>
        <v>151980.48282209205</v>
      </c>
      <c r="AM271">
        <f>IF($A271&lt;=$AB$45,1,0)</f>
        <v>0</v>
      </c>
      <c r="BB271">
        <f>IF($BB$31&lt;=$BB$32,IF($A271&lt;=$BB$7,1,2),IF($A271&lt;=RUNG_BEDS_2,2,1))</f>
        <v>1</v>
      </c>
      <c r="BC271" s="5">
        <f>MIN(1,MAX(0,$BB$26-($A271-1)))</f>
        <v>0</v>
      </c>
      <c r="BD271" s="5">
        <f>$BB$25*(BC271+(1-BC271)*$BB$16)</f>
        <v>0.0</v>
      </c>
      <c r="BE271" s="13">
        <f>BD271*($BB$6+ACUTE_MARGIN)</f>
        <v>0.0</v>
      </c>
      <c r="BF271" s="13">
        <f>IF(BB271=1,$BB$31,$BB$32)</f>
        <v>152394.16214437486</v>
      </c>
      <c r="BG271" s="13">
        <f>BE271-BF271</f>
        <v>-152394.16214437486</v>
      </c>
      <c r="BH271" s="13">
        <f>BH270+BG271</f>
        <v>26990082.490679525</v>
      </c>
      <c r="BI271">
        <f>IF(BH271=MAX($BH$83:$BH$483),$A271,0)</f>
        <v>0</v>
      </c>
      <c r="BJ271">
        <f>IF(BE271&lt;BF271,$A271,B_MAX+1)</f>
        <v>188</v>
      </c>
      <c r="BK271" s="13">
        <f>IF(BB271=1,$BB$35,$BB$36)</f>
        <v>0</v>
      </c>
      <c r="BL271" s="13">
        <f>OCC_DAYS*$BB$41*R_NF_2023-BD271*MCD_SHARE_FREED*R_WAIT_2023</f>
        <v>151980.48282209205</v>
      </c>
      <c r="BM271">
        <f>IF($A271&lt;=$BB$45,1,0)</f>
        <v>0</v>
      </c>
      <c r="CB271">
        <f>IF($CB$31&lt;=$CB$32,IF($A271&lt;=$CB$7,1,2),IF($A271&lt;=RUNG_BEDS_2,2,1))</f>
        <v>2</v>
      </c>
      <c r="CC271" s="5">
        <f>MIN(1,MAX(0,$CB$26-($A271-1)))</f>
        <v>0</v>
      </c>
      <c r="CD271" s="5">
        <f>$CB$25*(CC271+(1-CC271)*$CB$16)</f>
        <v>0.0</v>
      </c>
      <c r="CE271" s="13">
        <f>CD271*($CB$6+ACUTE_MARGIN)</f>
        <v>0.0</v>
      </c>
      <c r="CF271" s="13">
        <f>IF(CB271=1,$CB$31,$CB$32)</f>
        <v>160718.36940738867</v>
      </c>
      <c r="CG271" s="13">
        <f>CE271-CF271</f>
        <v>-160718.36940738867</v>
      </c>
      <c r="CH271" s="13">
        <f>CH270+CG271</f>
        <v>8013917.179683146</v>
      </c>
      <c r="CI271">
        <f>IF(CH271=MAX($CH$83:$CH$483),$A271,0)</f>
        <v>0</v>
      </c>
      <c r="CJ271">
        <f>IF(CE271&lt;CF271,$A271,B_MAX+1)</f>
        <v>188</v>
      </c>
      <c r="CK271" s="13">
        <f>IF(CB271=1,$CB$35,$CB$36)</f>
        <v>1560.1194073886782</v>
      </c>
      <c r="CL271" s="13">
        <f>OCC_DAYS*$CB$41*R_NF_2023-CD271*MCD_SHARE_FREED*R_WAIT_2023</f>
        <v>151980.48282209205</v>
      </c>
      <c r="CM271">
        <f>IF($A271&lt;=$CB$45,1,0)</f>
        <v>0</v>
      </c>
      <c r="DB271">
        <f>IF($DB$31&lt;=$DB$32,IF($A271&lt;=$DB$7,1,2),IF($A271&lt;=RUNG_BEDS_2,2,1))</f>
        <v>1</v>
      </c>
      <c r="DC271" s="5">
        <f>MIN(1,MAX(0,$DB$26-($A271-1)))</f>
        <v>0</v>
      </c>
      <c r="DD271" s="5">
        <f>$DB$25*(DC271+(1-DC271)*$DB$16)</f>
        <v>0.0</v>
      </c>
      <c r="DE271" s="13">
        <f>DD271*($DB$6+ACUTE_MARGIN)</f>
        <v>0.0</v>
      </c>
      <c r="DF271" s="13">
        <f>IF(DB271=1,$DB$31,$DB$32)</f>
        <v>152394.16214437486</v>
      </c>
      <c r="DG271" s="13">
        <f>DE271-DF271</f>
        <v>-152394.16214437486</v>
      </c>
      <c r="DH271" s="13">
        <f>DH270+DG271</f>
        <v>9578868.145129863</v>
      </c>
      <c r="DI271">
        <f>IF(DH271=MAX($DH$83:$DH$483),$A271,0)</f>
        <v>0</v>
      </c>
      <c r="DJ271">
        <f>IF(DE271&lt;DF271,$A271,B_MAX+1)</f>
        <v>188</v>
      </c>
      <c r="DK271" s="13">
        <f>IF(DB271=1,$DB$35,$DB$36)</f>
        <v>0</v>
      </c>
      <c r="DL271" s="13">
        <f>OCC_DAYS*$DB$41*R_NF_2023-DD271*MCD_SHARE_FREED*R_WAIT_2023</f>
        <v>151980.48282209205</v>
      </c>
      <c r="DM271">
        <f>IF($A271&lt;=$DB$45,1,0)</f>
        <v>0</v>
      </c>
      <c r="EB271">
        <f>IF($EB$31&lt;=$EB$32,IF($A271&lt;=$EB$7,1,2),IF($A271&lt;=RUNG_BEDS_2,2,1))</f>
        <v>1</v>
      </c>
      <c r="EC271" s="5">
        <f>MIN(1,MAX(0,$EB$26-($A271-1)))</f>
        <v>0</v>
      </c>
      <c r="ED271" s="5">
        <f>$EB$25*(EC271+(1-EC271)*$EB$16)</f>
        <v>0.0</v>
      </c>
      <c r="EE271" s="13">
        <f>ED271*($EB$6+ACUTE_MARGIN)</f>
        <v>0.0</v>
      </c>
      <c r="EF271" s="13">
        <f>IF(EB271=1,$EB$31,$EB$32)</f>
        <v>152394.16214437486</v>
      </c>
      <c r="EG271" s="13">
        <f>EE271-EF271</f>
        <v>-152394.16214437486</v>
      </c>
      <c r="EH271" s="13">
        <f>EH270+EG271</f>
        <v>9578868.145129863</v>
      </c>
      <c r="EI271">
        <f>IF(EH271=MAX($EH$83:$EH$483),$A271,0)</f>
        <v>0</v>
      </c>
      <c r="EJ271">
        <f>IF(EE271&lt;EF271,$A271,B_MAX+1)</f>
        <v>188</v>
      </c>
      <c r="EK271" s="13">
        <f>IF(EB271=1,$EB$35,$EB$36)</f>
        <v>0</v>
      </c>
      <c r="EL271" s="13">
        <f>OCC_DAYS*$EB$41*R_NF_2023-ED271*MCD_SHARE_FREED*R_WAIT_2023</f>
        <v>50660.16094069735</v>
      </c>
      <c r="EM271">
        <f>IF($A271&lt;=$EB$45,1,0)</f>
        <v>0</v>
      </c>
      <c r="FB271">
        <f>IF($FB$31&lt;=$FB$32,IF($A271&lt;=$FB$7,1,2),IF($A271&lt;=RUNG_BEDS_2,2,1))</f>
        <v>1</v>
      </c>
      <c r="FC271" s="5">
        <f>MIN(1,MAX(0,$FB$26-($A271-1)))</f>
        <v>0</v>
      </c>
      <c r="FD271" s="5">
        <f>$FB$25*(FC271+(1-FC271)*$FB$16)</f>
        <v>0.0</v>
      </c>
      <c r="FE271" s="13">
        <f>FD271*($FB$6+ACUTE_MARGIN)</f>
        <v>0.0</v>
      </c>
      <c r="FF271" s="13">
        <f>IF(FB271=1,$FB$31,$FB$32)</f>
        <v>156636.04979437485</v>
      </c>
      <c r="FG271" s="13">
        <f>FE271-FF271</f>
        <v>-156636.04979437485</v>
      </c>
      <c r="FH271" s="13">
        <f>FH270+FG271</f>
        <v>8781393.266929751</v>
      </c>
      <c r="FI271">
        <f>IF(FH271=MAX($FH$83:$FH$483),$A271,0)</f>
        <v>0</v>
      </c>
      <c r="FJ271">
        <f>IF(FE271&lt;FF271,$A271,B_MAX+1)</f>
        <v>188</v>
      </c>
      <c r="FK271" s="13">
        <f>IF(FB271=1,$FB$35,$FB$36)</f>
        <v>0</v>
      </c>
      <c r="FL271" s="13">
        <f>OCC_DAYS*$FB$41*R_NF_2023-FD271*MCD_SHARE_FREED*R_WAIT_2023</f>
        <v>151980.48282209205</v>
      </c>
      <c r="FM271">
        <f>IF($A271&lt;=$FB$45,1,0)</f>
        <v>0</v>
      </c>
      <c r="GB271">
        <f>IF($GB$31&lt;=$GB$32,IF($A271&lt;=$GB$7,1,2),IF($A271&lt;=RUNG_BEDS_2,2,1))</f>
        <v>1</v>
      </c>
      <c r="GC271" s="5">
        <f>MIN(1,MAX(0,$GB$26-($A271-1)))</f>
        <v>0</v>
      </c>
      <c r="GD271" s="5">
        <f>$GB$25*(GC271+(1-GC271)*$GB$16)</f>
        <v>0.0</v>
      </c>
      <c r="GE271" s="13">
        <f>GD271*($GB$6+ACUTE_MARGIN)</f>
        <v>0.0</v>
      </c>
      <c r="GF271" s="13">
        <f>IF(GB271=1,$GB$31,$GB$32)</f>
        <v>152394.16214437486</v>
      </c>
      <c r="GG271" s="13">
        <f>GE271-GF271</f>
        <v>-152394.16214437486</v>
      </c>
      <c r="GH271" s="13">
        <f>GH270+GG271</f>
        <v>9578868.145129863</v>
      </c>
      <c r="GI271">
        <f>IF(GH271=MAX($GH$83:$GH$483),$A271,0)</f>
        <v>0</v>
      </c>
      <c r="GJ271">
        <f>IF(GE271&lt;GF271,$A271,B_MAX+1)</f>
        <v>188</v>
      </c>
      <c r="GK271" s="13">
        <f>IF(GB271=1,$GB$35,$GB$36)</f>
        <v>0</v>
      </c>
      <c r="GL271" s="13">
        <f>OCC_DAYS*$GB$41*R_NF_2023-GD271*MCD_SHARE_FREED*R_WAIT_2023</f>
        <v>151980.48282209205</v>
      </c>
      <c r="GM271">
        <f>IF($A271&lt;=$GB$45,1,0)</f>
        <v>0</v>
      </c>
      <c r="HB271">
        <f>IF($HB$31&lt;=$HB$32,IF($A271&lt;=$HB$7,1,2),IF($A271&lt;=RUNG_BEDS_2,2,1))</f>
        <v>1</v>
      </c>
      <c r="HC271" s="5">
        <f>MIN(1,MAX(0,$HB$26-($A271-1)))</f>
        <v>0</v>
      </c>
      <c r="HD271" s="5">
        <f>$HB$25*(HC271+(1-HC271)*$HB$16)</f>
        <v>0.0</v>
      </c>
      <c r="HE271" s="13">
        <f>HD271*($HB$6+ACUTE_MARGIN)</f>
        <v>0.0</v>
      </c>
      <c r="HF271" s="13">
        <f>IF(HB271=1,$HB$31,$HB$32)</f>
        <v>152456.2970814058</v>
      </c>
      <c r="HG271" s="13">
        <f>HE271-HF271</f>
        <v>-152456.2970814058</v>
      </c>
      <c r="HH271" s="13">
        <f>HH270+HG271</f>
        <v>9567186.776968013</v>
      </c>
      <c r="HI271">
        <f>IF(HH271=MAX($HH$83:$HH$483),$A271,0)</f>
        <v>0</v>
      </c>
      <c r="HJ271">
        <f>IF(HE271&lt;HF271,$A271,B_MAX+1)</f>
        <v>188</v>
      </c>
      <c r="HK271" s="13">
        <f>IF(HB271=1,$HB$35,$HB$36)</f>
        <v>0</v>
      </c>
      <c r="HL271" s="13">
        <f>OCC_DAYS*$HB$41*R_NF_2023-HD271*MCD_SHARE_FREED*R_WAIT_2023</f>
        <v>151980.48282209205</v>
      </c>
      <c r="HM271">
        <f>IF($A271&lt;=$HB$45,1,0)</f>
        <v>0</v>
      </c>
      <c r="IB271">
        <f>IF($IB$31&lt;=$IB$32,IF($A271&lt;=$IB$7,1,2),IF($A271&lt;=RUNG_BEDS_2,2,1))</f>
        <v>1</v>
      </c>
      <c r="IC271" s="5">
        <f>MIN(1,MAX(0,$IB$26-($A271-1)))</f>
        <v>0</v>
      </c>
      <c r="ID271" s="5">
        <f>$IB$25*(IC271+(1-IC271)*$IB$16)</f>
        <v>0.0</v>
      </c>
      <c r="IE271" s="13">
        <f>ID271*($IB$6+ACUTE_MARGIN)</f>
        <v>0.0</v>
      </c>
      <c r="IF271" s="13">
        <f>IF(IB271=1,$IB$31,$IB$32)</f>
        <v>152734.9994534971</v>
      </c>
      <c r="IG271" s="13">
        <f>IE271-IF271</f>
        <v>-152734.9994534971</v>
      </c>
      <c r="IH271" s="13">
        <f>IH270+IG271</f>
        <v>9514790.731014783</v>
      </c>
      <c r="II271">
        <f>IF(IH271=MAX($IH$83:$IH$483),$A271,0)</f>
        <v>0</v>
      </c>
      <c r="IJ271">
        <f>IF(IE271&lt;IF271,$A271,B_MAX+1)</f>
        <v>188</v>
      </c>
      <c r="IK271" s="13">
        <f>IF(IB271=1,$IB$35,$IB$36)</f>
        <v>0</v>
      </c>
      <c r="IL271" s="13">
        <f>OCC_DAYS*$IB$41*R_NF_2023-ID271*MCD_SHARE_FREED*R_WAIT_2023</f>
        <v>151980.48282209205</v>
      </c>
      <c r="IM271">
        <f>IF($A271&lt;=$IB$45,1,0)</f>
        <v>0</v>
      </c>
      <c r="JB271">
        <f>IF($JB$31&lt;=$JB$32,IF($A271&lt;=$JB$7,1,2),IF($A271&lt;=RUNG_BEDS_2,2,1))</f>
        <v>1</v>
      </c>
      <c r="JC271" s="5">
        <f>MIN(1,MAX(0,$JB$26-($A271-1)))</f>
        <v>0</v>
      </c>
      <c r="JD271" s="5">
        <f>$JB$25*(JC271+(1-JC271)*$JB$16)</f>
        <v>0.0</v>
      </c>
      <c r="JE271" s="13">
        <f>JD271*($JB$6+ACUTE_MARGIN)</f>
        <v>0.0</v>
      </c>
      <c r="JF271" s="13">
        <f>IF(JB271=1,$JB$31,$JB$32)</f>
        <v>152394.16214437486</v>
      </c>
      <c r="JG271" s="13">
        <f>JE271-JF271</f>
        <v>-152394.16214437486</v>
      </c>
      <c r="JH271" s="13">
        <f>JH270+JG271</f>
        <v>9578868.145129863</v>
      </c>
      <c r="JI271">
        <f>IF(JH271=MAX($JH$83:$JH$483),$A271,0)</f>
        <v>0</v>
      </c>
      <c r="JJ271">
        <f>IF(JE271&lt;JF271,$A271,B_MAX+1)</f>
        <v>188</v>
      </c>
      <c r="JK271" s="13">
        <f>IF(JB271=1,$JB$35,$JB$36)</f>
        <v>0</v>
      </c>
      <c r="JL271" s="13">
        <f>OCC_DAYS*$JB$41*R_NF_2023-JD271*MCD_SHARE_FREED*R_WAIT_2023</f>
        <v>151980.48282209205</v>
      </c>
      <c r="JM271">
        <f>IF($A271&lt;=$JB$45,1,0)</f>
        <v>0</v>
      </c>
      <c r="KB271">
        <f>IF($KB$31&lt;=$KB$32,IF($A271&lt;=$KB$7,1,2),IF($A271&lt;=RUNG_BEDS_2,2,1))</f>
        <v>1</v>
      </c>
      <c r="KC271" s="5">
        <f>MIN(1,MAX(0,$KB$26-($A271-1)))</f>
        <v>1</v>
      </c>
      <c r="KD271" s="5">
        <f>$KB$25*(KC271+(1-KC271)*$KB$16)</f>
        <v>126.02661357340719</v>
      </c>
      <c r="KE271" s="13">
        <f>KD271*($KB$6+ACUTE_MARGIN)</f>
        <v>127286.87970914126</v>
      </c>
      <c r="KF271" s="13">
        <f>IF(KB271=1,$KB$31,$KB$32)</f>
        <v>152394.16214437486</v>
      </c>
      <c r="KG271" s="13">
        <f>KE271-KF271</f>
        <v>-25107.282435233603</v>
      </c>
      <c r="KH271" s="13">
        <f>KH270+KG271</f>
        <v>-4720169.097823932</v>
      </c>
      <c r="KI271">
        <f>IF(KH271=MAX($KH$83:$KH$483),$A271,0)</f>
        <v>0</v>
      </c>
      <c r="KJ271">
        <f>IF(KE271&lt;KF271,$A271,B_MAX+1)</f>
        <v>188</v>
      </c>
      <c r="KK271" s="13">
        <f>IF(KB271=1,$KB$35,$KB$36)</f>
        <v>0</v>
      </c>
      <c r="KL271" s="13">
        <f>OCC_DAYS*$KB$41*R_NF_2023-KD271*MCD_SHARE_FREED*R_WAIT_2023</f>
        <v>94673.82103225985</v>
      </c>
      <c r="KM271">
        <f>IF($A271&lt;=$KB$45,1,0)</f>
        <v>0</v>
      </c>
      <c r="LB271">
        <f>IF($LB$31&lt;=$LB$32,IF($A271&lt;=$LB$7,1,2),IF($A271&lt;=RUNG_BEDS_2,2,1))</f>
        <v>1</v>
      </c>
      <c r="LC271" s="5">
        <f>MIN(1,MAX(0,$LB$26-($A271-1)))</f>
        <v>1</v>
      </c>
      <c r="LD271" s="5">
        <f>$LB$25*(LC271+(1-LC271)*$LB$16)</f>
        <v>84.01774238227146</v>
      </c>
      <c r="LE271" s="13">
        <f>LD271*($LB$6+ACUTE_MARGIN)</f>
        <v>84857.91980609419</v>
      </c>
      <c r="LF271" s="13">
        <f>IF(LB271=1,$LB$31,$LB$32)</f>
        <v>152394.16214437486</v>
      </c>
      <c r="LG271" s="13">
        <f>LE271-LF271</f>
        <v>-67536.24233828067</v>
      </c>
      <c r="LH271" s="13">
        <f>LH270+LG271</f>
        <v>-12696813.559596822</v>
      </c>
      <c r="LI271">
        <f>IF(LH271=MAX($LH$83:$LH$483),$A271,0)</f>
        <v>0</v>
      </c>
      <c r="LJ271">
        <f>IF(LE271&lt;LF271,$A271,B_MAX+1)</f>
        <v>188</v>
      </c>
      <c r="LK271" s="13">
        <f>IF(LB271=1,$LB$35,$LB$36)</f>
        <v>0</v>
      </c>
      <c r="LL271" s="13">
        <f>OCC_DAYS*$LB$41*R_NF_2023-LD271*MCD_SHARE_FREED*R_WAIT_2023</f>
        <v>113776.04162887059</v>
      </c>
      <c r="LM271">
        <f>IF($A271&lt;=$LB$45,1,0)</f>
        <v>0</v>
      </c>
      <c r="MB271">
        <f>IF($MB$31&lt;=$MB$32,IF($A271&lt;=$MB$7,1,2),IF($A271&lt;=RUNG_BEDS_2,2,1))</f>
        <v>1</v>
      </c>
      <c r="MC271" s="5">
        <f>MIN(1,MAX(0,$MB$26-($A271-1)))</f>
        <v>0</v>
      </c>
      <c r="MD271" s="5">
        <f>$MB$25*(MC271+(1-MC271)*$MB$16)</f>
        <v>0.0</v>
      </c>
      <c r="ME271" s="13">
        <f>MD271*($MB$6+ACUTE_MARGIN)</f>
        <v>0.0</v>
      </c>
      <c r="MF271" s="13">
        <f>IF(MB271=1,$MB$31,$MB$32)</f>
        <v>152394.16214437486</v>
      </c>
      <c r="MG271" s="13">
        <f>ME271-MF271</f>
        <v>-152394.16214437486</v>
      </c>
      <c r="MH271" s="13">
        <f>MH270+MG271</f>
        <v>3691592.0833315337</v>
      </c>
      <c r="MI271">
        <f>IF(MH271=MAX($MH$83:$MH$483),$A271,0)</f>
        <v>0</v>
      </c>
      <c r="MJ271">
        <f>IF(ME271&lt;MF271,$A271,B_MAX+1)</f>
        <v>188</v>
      </c>
      <c r="MK271" s="13">
        <f>IF(MB271=1,$MB$35,$MB$36)</f>
        <v>0</v>
      </c>
      <c r="ML271" s="13">
        <f>OCC_DAYS*$MB$41*R_NF_2023-MD271*MCD_SHARE_FREED*R_WAIT_2023</f>
        <v>151980.48282209205</v>
      </c>
      <c r="MM271">
        <f>IF($A271&lt;=$MB$45,1,0)</f>
        <v>0</v>
      </c>
      <c r="NB271">
        <f>IF($NB$31&lt;=$NB$32,IF($A271&lt;=$NB$7,1,2),IF($A271&lt;=RUNG_BEDS_2,2,1))</f>
        <v>1</v>
      </c>
      <c r="NC271" s="5">
        <f>MIN(1,MAX(0,$NB$26-($A271-1)))</f>
        <v>0</v>
      </c>
      <c r="ND271" s="5">
        <f>$NB$25*(NC271+(1-NC271)*$NB$16)</f>
        <v>63.013306786703595</v>
      </c>
      <c r="NE271" s="13">
        <f>ND271*($NB$6+ACUTE_MARGIN)</f>
        <v>63643.43985457063</v>
      </c>
      <c r="NF271" s="13">
        <f>IF(NB271=1,$NB$31,$NB$32)</f>
        <v>152394.16214437486</v>
      </c>
      <c r="NG271" s="13">
        <f>NE271-NF271</f>
        <v>-88750.72228980422</v>
      </c>
      <c r="NH271" s="13">
        <f>NH270+NG271</f>
        <v>11986592.180721045</v>
      </c>
      <c r="NI271">
        <f>IF(NH271=MAX($NH$83:$NH$483),$A271,0)</f>
        <v>0</v>
      </c>
      <c r="NJ271">
        <f>IF(NE271&lt;NF271,$A271,B_MAX+1)</f>
        <v>188</v>
      </c>
      <c r="NK271" s="13">
        <f>IF(NB271=1,$NB$35,$NB$36)</f>
        <v>0</v>
      </c>
      <c r="NL271" s="13">
        <f>OCC_DAYS*$NB$41*R_NF_2023-ND271*MCD_SHARE_FREED*R_WAIT_2023</f>
        <v>123327.15192717595</v>
      </c>
      <c r="NM271">
        <f>IF($A271&lt;=$NB$45,1,0)</f>
        <v>0</v>
      </c>
      <c r="OB271">
        <f>IF($OB$31&lt;=$OB$32,IF($A271&lt;=$OB$7,1,2),IF($A271&lt;=RUNG_BEDS_2,2,1))</f>
        <v>1</v>
      </c>
      <c r="OC271" s="5">
        <f>MIN(1,MAX(0,$OB$26-($A271-1)))</f>
        <v>0</v>
      </c>
      <c r="OD271" s="5">
        <f>$OB$25*(OC271+(1-OC271)*$OB$16)</f>
        <v>126.02661357340719</v>
      </c>
      <c r="OE271" s="13">
        <f>OD271*($OB$6+ACUTE_MARGIN)</f>
        <v>127286.87970914126</v>
      </c>
      <c r="OF271" s="13">
        <f>IF(OB271=1,$OB$31,$OB$32)</f>
        <v>152394.16214437486</v>
      </c>
      <c r="OG271" s="13">
        <f>OE271-OF271</f>
        <v>-25107.282435233603</v>
      </c>
      <c r="OH271" s="13">
        <f>OH270+OG271</f>
        <v>14394316.216312297</v>
      </c>
      <c r="OI271">
        <f>IF(OH271=MAX($OH$83:$OH$483),$A271,0)</f>
        <v>0</v>
      </c>
      <c r="OJ271">
        <f>IF(OE271&lt;OF271,$A271,B_MAX+1)</f>
        <v>188</v>
      </c>
      <c r="OK271" s="13">
        <f>IF(OB271=1,$OB$35,$OB$36)</f>
        <v>0</v>
      </c>
      <c r="OL271" s="13">
        <f>OCC_DAYS*$OB$41*R_NF_2023-OD271*MCD_SHARE_FREED*R_WAIT_2023</f>
        <v>94673.82103225985</v>
      </c>
      <c r="OM271">
        <f>IF($A271&lt;=$OB$45,1,0)</f>
        <v>0</v>
      </c>
    </row>
    <row r="272">
      <c r="A272" t="n">
        <v>189</v>
      </c>
      <c r="B272">
        <f>IF($B$31&lt;=$B$32,IF($A272&lt;=$B$7,1,2),IF($A272&lt;=RUNG_BEDS_2,2,1))</f>
        <v>1</v>
      </c>
      <c r="C272" s="5">
        <f>MIN(1,MAX(0,$B$26-($A272-1)))</f>
        <v>0</v>
      </c>
      <c r="D272" s="5">
        <f>$B$25*(C272+(1-C272)*$B$16)</f>
        <v>0.0</v>
      </c>
      <c r="E272" s="13">
        <f>D272*($B$6+ACUTE_MARGIN)</f>
        <v>0.0</v>
      </c>
      <c r="F272" s="13">
        <f>IF(B272=1,$B$31,$B$32)</f>
        <v>152394.16214437486</v>
      </c>
      <c r="G272" s="13">
        <f>E272-F272</f>
        <v>-152394.16214437486</v>
      </c>
      <c r="H272" s="13">
        <f>H271+G272</f>
        <v>9426473.98298549</v>
      </c>
      <c r="I272">
        <f>IF(H272=MAX($H$83:$H$483),$A272,0)</f>
        <v>0</v>
      </c>
      <c r="J272">
        <f>IF(E272&lt;F272,$A272,B_MAX+1)</f>
        <v>189</v>
      </c>
      <c r="K272" s="13">
        <f>IF(B272=1,$B$35,$B$36)</f>
        <v>0</v>
      </c>
      <c r="L272" s="13">
        <f>OCC_DAYS*$B$41*R_NF_2023-D272*MCD_SHARE_FREED*R_WAIT_2023</f>
        <v>151980.48282209205</v>
      </c>
      <c r="M272">
        <f>IF($A272&lt;=$B$45,1,0)</f>
        <v>0</v>
      </c>
      <c r="AB272">
        <f>IF($AB$31&lt;=$AB$32,IF($A272&lt;=$AB$7,1,2),IF($A272&lt;=RUNG_BEDS_2,2,1))</f>
        <v>1</v>
      </c>
      <c r="AC272" s="5">
        <f>MIN(1,MAX(0,$AB$26-($A272-1)))</f>
        <v>0</v>
      </c>
      <c r="AD272" s="5">
        <f>$AB$25*(AC272+(1-AC272)*$AB$16)</f>
        <v>0.0</v>
      </c>
      <c r="AE272" s="13">
        <f>AD272*($AB$6+ACUTE_MARGIN)</f>
        <v>0.0</v>
      </c>
      <c r="AF272" s="13">
        <f>IF(AB272=1,$AB$31,$AB$32)</f>
        <v>152394.16214437486</v>
      </c>
      <c r="AG272" s="13">
        <f>AE272-AF272</f>
        <v>-152394.16214437486</v>
      </c>
      <c r="AH272" s="13">
        <f>AH271+AG272</f>
        <v>-7984740.362564339</v>
      </c>
      <c r="AI272">
        <f>IF(AH272=MAX($AH$83:$AH$483),$A272,0)</f>
        <v>0</v>
      </c>
      <c r="AJ272">
        <f>IF(AE272&lt;AF272,$A272,B_MAX+1)</f>
        <v>189</v>
      </c>
      <c r="AK272" s="13">
        <f>IF(AB272=1,$AB$35,$AB$36)</f>
        <v>0</v>
      </c>
      <c r="AL272" s="13">
        <f>OCC_DAYS*$AB$41*R_NF_2023-AD272*MCD_SHARE_FREED*R_WAIT_2023</f>
        <v>151980.48282209205</v>
      </c>
      <c r="AM272">
        <f>IF($A272&lt;=$AB$45,1,0)</f>
        <v>0</v>
      </c>
      <c r="BB272">
        <f>IF($BB$31&lt;=$BB$32,IF($A272&lt;=$BB$7,1,2),IF($A272&lt;=RUNG_BEDS_2,2,1))</f>
        <v>1</v>
      </c>
      <c r="BC272" s="5">
        <f>MIN(1,MAX(0,$BB$26-($A272-1)))</f>
        <v>0</v>
      </c>
      <c r="BD272" s="5">
        <f>$BB$25*(BC272+(1-BC272)*$BB$16)</f>
        <v>0.0</v>
      </c>
      <c r="BE272" s="13">
        <f>BD272*($BB$6+ACUTE_MARGIN)</f>
        <v>0.0</v>
      </c>
      <c r="BF272" s="13">
        <f>IF(BB272=1,$BB$31,$BB$32)</f>
        <v>152394.16214437486</v>
      </c>
      <c r="BG272" s="13">
        <f>BE272-BF272</f>
        <v>-152394.16214437486</v>
      </c>
      <c r="BH272" s="13">
        <f>BH271+BG272</f>
        <v>26837688.32853515</v>
      </c>
      <c r="BI272">
        <f>IF(BH272=MAX($BH$83:$BH$483),$A272,0)</f>
        <v>0</v>
      </c>
      <c r="BJ272">
        <f>IF(BE272&lt;BF272,$A272,B_MAX+1)</f>
        <v>189</v>
      </c>
      <c r="BK272" s="13">
        <f>IF(BB272=1,$BB$35,$BB$36)</f>
        <v>0</v>
      </c>
      <c r="BL272" s="13">
        <f>OCC_DAYS*$BB$41*R_NF_2023-BD272*MCD_SHARE_FREED*R_WAIT_2023</f>
        <v>151980.48282209205</v>
      </c>
      <c r="BM272">
        <f>IF($A272&lt;=$BB$45,1,0)</f>
        <v>0</v>
      </c>
      <c r="CB272">
        <f>IF($CB$31&lt;=$CB$32,IF($A272&lt;=$CB$7,1,2),IF($A272&lt;=RUNG_BEDS_2,2,1))</f>
        <v>2</v>
      </c>
      <c r="CC272" s="5">
        <f>MIN(1,MAX(0,$CB$26-($A272-1)))</f>
        <v>0</v>
      </c>
      <c r="CD272" s="5">
        <f>$CB$25*(CC272+(1-CC272)*$CB$16)</f>
        <v>0.0</v>
      </c>
      <c r="CE272" s="13">
        <f>CD272*($CB$6+ACUTE_MARGIN)</f>
        <v>0.0</v>
      </c>
      <c r="CF272" s="13">
        <f>IF(CB272=1,$CB$31,$CB$32)</f>
        <v>160718.36940738867</v>
      </c>
      <c r="CG272" s="13">
        <f>CE272-CF272</f>
        <v>-160718.36940738867</v>
      </c>
      <c r="CH272" s="13">
        <f>CH271+CG272</f>
        <v>7853198.810275758</v>
      </c>
      <c r="CI272">
        <f>IF(CH272=MAX($CH$83:$CH$483),$A272,0)</f>
        <v>0</v>
      </c>
      <c r="CJ272">
        <f>IF(CE272&lt;CF272,$A272,B_MAX+1)</f>
        <v>189</v>
      </c>
      <c r="CK272" s="13">
        <f>IF(CB272=1,$CB$35,$CB$36)</f>
        <v>1560.1194073886782</v>
      </c>
      <c r="CL272" s="13">
        <f>OCC_DAYS*$CB$41*R_NF_2023-CD272*MCD_SHARE_FREED*R_WAIT_2023</f>
        <v>151980.48282209205</v>
      </c>
      <c r="CM272">
        <f>IF($A272&lt;=$CB$45,1,0)</f>
        <v>0</v>
      </c>
      <c r="DB272">
        <f>IF($DB$31&lt;=$DB$32,IF($A272&lt;=$DB$7,1,2),IF($A272&lt;=RUNG_BEDS_2,2,1))</f>
        <v>1</v>
      </c>
      <c r="DC272" s="5">
        <f>MIN(1,MAX(0,$DB$26-($A272-1)))</f>
        <v>0</v>
      </c>
      <c r="DD272" s="5">
        <f>$DB$25*(DC272+(1-DC272)*$DB$16)</f>
        <v>0.0</v>
      </c>
      <c r="DE272" s="13">
        <f>DD272*($DB$6+ACUTE_MARGIN)</f>
        <v>0.0</v>
      </c>
      <c r="DF272" s="13">
        <f>IF(DB272=1,$DB$31,$DB$32)</f>
        <v>152394.16214437486</v>
      </c>
      <c r="DG272" s="13">
        <f>DE272-DF272</f>
        <v>-152394.16214437486</v>
      </c>
      <c r="DH272" s="13">
        <f>DH271+DG272</f>
        <v>9426473.98298549</v>
      </c>
      <c r="DI272">
        <f>IF(DH272=MAX($DH$83:$DH$483),$A272,0)</f>
        <v>0</v>
      </c>
      <c r="DJ272">
        <f>IF(DE272&lt;DF272,$A272,B_MAX+1)</f>
        <v>189</v>
      </c>
      <c r="DK272" s="13">
        <f>IF(DB272=1,$DB$35,$DB$36)</f>
        <v>0</v>
      </c>
      <c r="DL272" s="13">
        <f>OCC_DAYS*$DB$41*R_NF_2023-DD272*MCD_SHARE_FREED*R_WAIT_2023</f>
        <v>151980.48282209205</v>
      </c>
      <c r="DM272">
        <f>IF($A272&lt;=$DB$45,1,0)</f>
        <v>0</v>
      </c>
      <c r="EB272">
        <f>IF($EB$31&lt;=$EB$32,IF($A272&lt;=$EB$7,1,2),IF($A272&lt;=RUNG_BEDS_2,2,1))</f>
        <v>1</v>
      </c>
      <c r="EC272" s="5">
        <f>MIN(1,MAX(0,$EB$26-($A272-1)))</f>
        <v>0</v>
      </c>
      <c r="ED272" s="5">
        <f>$EB$25*(EC272+(1-EC272)*$EB$16)</f>
        <v>0.0</v>
      </c>
      <c r="EE272" s="13">
        <f>ED272*($EB$6+ACUTE_MARGIN)</f>
        <v>0.0</v>
      </c>
      <c r="EF272" s="13">
        <f>IF(EB272=1,$EB$31,$EB$32)</f>
        <v>152394.16214437486</v>
      </c>
      <c r="EG272" s="13">
        <f>EE272-EF272</f>
        <v>-152394.16214437486</v>
      </c>
      <c r="EH272" s="13">
        <f>EH271+EG272</f>
        <v>9426473.98298549</v>
      </c>
      <c r="EI272">
        <f>IF(EH272=MAX($EH$83:$EH$483),$A272,0)</f>
        <v>0</v>
      </c>
      <c r="EJ272">
        <f>IF(EE272&lt;EF272,$A272,B_MAX+1)</f>
        <v>189</v>
      </c>
      <c r="EK272" s="13">
        <f>IF(EB272=1,$EB$35,$EB$36)</f>
        <v>0</v>
      </c>
      <c r="EL272" s="13">
        <f>OCC_DAYS*$EB$41*R_NF_2023-ED272*MCD_SHARE_FREED*R_WAIT_2023</f>
        <v>50660.16094069735</v>
      </c>
      <c r="EM272">
        <f>IF($A272&lt;=$EB$45,1,0)</f>
        <v>0</v>
      </c>
      <c r="FB272">
        <f>IF($FB$31&lt;=$FB$32,IF($A272&lt;=$FB$7,1,2),IF($A272&lt;=RUNG_BEDS_2,2,1))</f>
        <v>1</v>
      </c>
      <c r="FC272" s="5">
        <f>MIN(1,MAX(0,$FB$26-($A272-1)))</f>
        <v>0</v>
      </c>
      <c r="FD272" s="5">
        <f>$FB$25*(FC272+(1-FC272)*$FB$16)</f>
        <v>0.0</v>
      </c>
      <c r="FE272" s="13">
        <f>FD272*($FB$6+ACUTE_MARGIN)</f>
        <v>0.0</v>
      </c>
      <c r="FF272" s="13">
        <f>IF(FB272=1,$FB$31,$FB$32)</f>
        <v>156636.04979437485</v>
      </c>
      <c r="FG272" s="13">
        <f>FE272-FF272</f>
        <v>-156636.04979437485</v>
      </c>
      <c r="FH272" s="13">
        <f>FH271+FG272</f>
        <v>8624757.217135377</v>
      </c>
      <c r="FI272">
        <f>IF(FH272=MAX($FH$83:$FH$483),$A272,0)</f>
        <v>0</v>
      </c>
      <c r="FJ272">
        <f>IF(FE272&lt;FF272,$A272,B_MAX+1)</f>
        <v>189</v>
      </c>
      <c r="FK272" s="13">
        <f>IF(FB272=1,$FB$35,$FB$36)</f>
        <v>0</v>
      </c>
      <c r="FL272" s="13">
        <f>OCC_DAYS*$FB$41*R_NF_2023-FD272*MCD_SHARE_FREED*R_WAIT_2023</f>
        <v>151980.48282209205</v>
      </c>
      <c r="FM272">
        <f>IF($A272&lt;=$FB$45,1,0)</f>
        <v>0</v>
      </c>
      <c r="GB272">
        <f>IF($GB$31&lt;=$GB$32,IF($A272&lt;=$GB$7,1,2),IF($A272&lt;=RUNG_BEDS_2,2,1))</f>
        <v>1</v>
      </c>
      <c r="GC272" s="5">
        <f>MIN(1,MAX(0,$GB$26-($A272-1)))</f>
        <v>0</v>
      </c>
      <c r="GD272" s="5">
        <f>$GB$25*(GC272+(1-GC272)*$GB$16)</f>
        <v>0.0</v>
      </c>
      <c r="GE272" s="13">
        <f>GD272*($GB$6+ACUTE_MARGIN)</f>
        <v>0.0</v>
      </c>
      <c r="GF272" s="13">
        <f>IF(GB272=1,$GB$31,$GB$32)</f>
        <v>152394.16214437486</v>
      </c>
      <c r="GG272" s="13">
        <f>GE272-GF272</f>
        <v>-152394.16214437486</v>
      </c>
      <c r="GH272" s="13">
        <f>GH271+GG272</f>
        <v>9426473.98298549</v>
      </c>
      <c r="GI272">
        <f>IF(GH272=MAX($GH$83:$GH$483),$A272,0)</f>
        <v>0</v>
      </c>
      <c r="GJ272">
        <f>IF(GE272&lt;GF272,$A272,B_MAX+1)</f>
        <v>189</v>
      </c>
      <c r="GK272" s="13">
        <f>IF(GB272=1,$GB$35,$GB$36)</f>
        <v>0</v>
      </c>
      <c r="GL272" s="13">
        <f>OCC_DAYS*$GB$41*R_NF_2023-GD272*MCD_SHARE_FREED*R_WAIT_2023</f>
        <v>151980.48282209205</v>
      </c>
      <c r="GM272">
        <f>IF($A272&lt;=$GB$45,1,0)</f>
        <v>0</v>
      </c>
      <c r="HB272">
        <f>IF($HB$31&lt;=$HB$32,IF($A272&lt;=$HB$7,1,2),IF($A272&lt;=RUNG_BEDS_2,2,1))</f>
        <v>1</v>
      </c>
      <c r="HC272" s="5">
        <f>MIN(1,MAX(0,$HB$26-($A272-1)))</f>
        <v>0</v>
      </c>
      <c r="HD272" s="5">
        <f>$HB$25*(HC272+(1-HC272)*$HB$16)</f>
        <v>0.0</v>
      </c>
      <c r="HE272" s="13">
        <f>HD272*($HB$6+ACUTE_MARGIN)</f>
        <v>0.0</v>
      </c>
      <c r="HF272" s="13">
        <f>IF(HB272=1,$HB$31,$HB$32)</f>
        <v>152456.2970814058</v>
      </c>
      <c r="HG272" s="13">
        <f>HE272-HF272</f>
        <v>-152456.2970814058</v>
      </c>
      <c r="HH272" s="13">
        <f>HH271+HG272</f>
        <v>9414730.479886608</v>
      </c>
      <c r="HI272">
        <f>IF(HH272=MAX($HH$83:$HH$483),$A272,0)</f>
        <v>0</v>
      </c>
      <c r="HJ272">
        <f>IF(HE272&lt;HF272,$A272,B_MAX+1)</f>
        <v>189</v>
      </c>
      <c r="HK272" s="13">
        <f>IF(HB272=1,$HB$35,$HB$36)</f>
        <v>0</v>
      </c>
      <c r="HL272" s="13">
        <f>OCC_DAYS*$HB$41*R_NF_2023-HD272*MCD_SHARE_FREED*R_WAIT_2023</f>
        <v>151980.48282209205</v>
      </c>
      <c r="HM272">
        <f>IF($A272&lt;=$HB$45,1,0)</f>
        <v>0</v>
      </c>
      <c r="IB272">
        <f>IF($IB$31&lt;=$IB$32,IF($A272&lt;=$IB$7,1,2),IF($A272&lt;=RUNG_BEDS_2,2,1))</f>
        <v>1</v>
      </c>
      <c r="IC272" s="5">
        <f>MIN(1,MAX(0,$IB$26-($A272-1)))</f>
        <v>0</v>
      </c>
      <c r="ID272" s="5">
        <f>$IB$25*(IC272+(1-IC272)*$IB$16)</f>
        <v>0.0</v>
      </c>
      <c r="IE272" s="13">
        <f>ID272*($IB$6+ACUTE_MARGIN)</f>
        <v>0.0</v>
      </c>
      <c r="IF272" s="13">
        <f>IF(IB272=1,$IB$31,$IB$32)</f>
        <v>152734.9994534971</v>
      </c>
      <c r="IG272" s="13">
        <f>IE272-IF272</f>
        <v>-152734.9994534971</v>
      </c>
      <c r="IH272" s="13">
        <f>IH271+IG272</f>
        <v>9362055.731561286</v>
      </c>
      <c r="II272">
        <f>IF(IH272=MAX($IH$83:$IH$483),$A272,0)</f>
        <v>0</v>
      </c>
      <c r="IJ272">
        <f>IF(IE272&lt;IF272,$A272,B_MAX+1)</f>
        <v>189</v>
      </c>
      <c r="IK272" s="13">
        <f>IF(IB272=1,$IB$35,$IB$36)</f>
        <v>0</v>
      </c>
      <c r="IL272" s="13">
        <f>OCC_DAYS*$IB$41*R_NF_2023-ID272*MCD_SHARE_FREED*R_WAIT_2023</f>
        <v>151980.48282209205</v>
      </c>
      <c r="IM272">
        <f>IF($A272&lt;=$IB$45,1,0)</f>
        <v>0</v>
      </c>
      <c r="JB272">
        <f>IF($JB$31&lt;=$JB$32,IF($A272&lt;=$JB$7,1,2),IF($A272&lt;=RUNG_BEDS_2,2,1))</f>
        <v>1</v>
      </c>
      <c r="JC272" s="5">
        <f>MIN(1,MAX(0,$JB$26-($A272-1)))</f>
        <v>0</v>
      </c>
      <c r="JD272" s="5">
        <f>$JB$25*(JC272+(1-JC272)*$JB$16)</f>
        <v>0.0</v>
      </c>
      <c r="JE272" s="13">
        <f>JD272*($JB$6+ACUTE_MARGIN)</f>
        <v>0.0</v>
      </c>
      <c r="JF272" s="13">
        <f>IF(JB272=1,$JB$31,$JB$32)</f>
        <v>152394.16214437486</v>
      </c>
      <c r="JG272" s="13">
        <f>JE272-JF272</f>
        <v>-152394.16214437486</v>
      </c>
      <c r="JH272" s="13">
        <f>JH271+JG272</f>
        <v>9426473.98298549</v>
      </c>
      <c r="JI272">
        <f>IF(JH272=MAX($JH$83:$JH$483),$A272,0)</f>
        <v>0</v>
      </c>
      <c r="JJ272">
        <f>IF(JE272&lt;JF272,$A272,B_MAX+1)</f>
        <v>189</v>
      </c>
      <c r="JK272" s="13">
        <f>IF(JB272=1,$JB$35,$JB$36)</f>
        <v>0</v>
      </c>
      <c r="JL272" s="13">
        <f>OCC_DAYS*$JB$41*R_NF_2023-JD272*MCD_SHARE_FREED*R_WAIT_2023</f>
        <v>151980.48282209205</v>
      </c>
      <c r="JM272">
        <f>IF($A272&lt;=$JB$45,1,0)</f>
        <v>0</v>
      </c>
      <c r="KB272">
        <f>IF($KB$31&lt;=$KB$32,IF($A272&lt;=$KB$7,1,2),IF($A272&lt;=RUNG_BEDS_2,2,1))</f>
        <v>1</v>
      </c>
      <c r="KC272" s="5">
        <f>MIN(1,MAX(0,$KB$26-($A272-1)))</f>
        <v>1</v>
      </c>
      <c r="KD272" s="5">
        <f>$KB$25*(KC272+(1-KC272)*$KB$16)</f>
        <v>126.02661357340719</v>
      </c>
      <c r="KE272" s="13">
        <f>KD272*($KB$6+ACUTE_MARGIN)</f>
        <v>127286.87970914126</v>
      </c>
      <c r="KF272" s="13">
        <f>IF(KB272=1,$KB$31,$KB$32)</f>
        <v>152394.16214437486</v>
      </c>
      <c r="KG272" s="13">
        <f>KE272-KF272</f>
        <v>-25107.282435233603</v>
      </c>
      <c r="KH272" s="13">
        <f>KH271+KG272</f>
        <v>-4745276.380259166</v>
      </c>
      <c r="KI272">
        <f>IF(KH272=MAX($KH$83:$KH$483),$A272,0)</f>
        <v>0</v>
      </c>
      <c r="KJ272">
        <f>IF(KE272&lt;KF272,$A272,B_MAX+1)</f>
        <v>189</v>
      </c>
      <c r="KK272" s="13">
        <f>IF(KB272=1,$KB$35,$KB$36)</f>
        <v>0</v>
      </c>
      <c r="KL272" s="13">
        <f>OCC_DAYS*$KB$41*R_NF_2023-KD272*MCD_SHARE_FREED*R_WAIT_2023</f>
        <v>94673.82103225985</v>
      </c>
      <c r="KM272">
        <f>IF($A272&lt;=$KB$45,1,0)</f>
        <v>0</v>
      </c>
      <c r="LB272">
        <f>IF($LB$31&lt;=$LB$32,IF($A272&lt;=$LB$7,1,2),IF($A272&lt;=RUNG_BEDS_2,2,1))</f>
        <v>1</v>
      </c>
      <c r="LC272" s="5">
        <f>MIN(1,MAX(0,$LB$26-($A272-1)))</f>
        <v>1</v>
      </c>
      <c r="LD272" s="5">
        <f>$LB$25*(LC272+(1-LC272)*$LB$16)</f>
        <v>84.01774238227146</v>
      </c>
      <c r="LE272" s="13">
        <f>LD272*($LB$6+ACUTE_MARGIN)</f>
        <v>84857.91980609419</v>
      </c>
      <c r="LF272" s="13">
        <f>IF(LB272=1,$LB$31,$LB$32)</f>
        <v>152394.16214437486</v>
      </c>
      <c r="LG272" s="13">
        <f>LE272-LF272</f>
        <v>-67536.24233828067</v>
      </c>
      <c r="LH272" s="13">
        <f>LH271+LG272</f>
        <v>-12764349.801935103</v>
      </c>
      <c r="LI272">
        <f>IF(LH272=MAX($LH$83:$LH$483),$A272,0)</f>
        <v>0</v>
      </c>
      <c r="LJ272">
        <f>IF(LE272&lt;LF272,$A272,B_MAX+1)</f>
        <v>189</v>
      </c>
      <c r="LK272" s="13">
        <f>IF(LB272=1,$LB$35,$LB$36)</f>
        <v>0</v>
      </c>
      <c r="LL272" s="13">
        <f>OCC_DAYS*$LB$41*R_NF_2023-LD272*MCD_SHARE_FREED*R_WAIT_2023</f>
        <v>113776.04162887059</v>
      </c>
      <c r="LM272">
        <f>IF($A272&lt;=$LB$45,1,0)</f>
        <v>0</v>
      </c>
      <c r="MB272">
        <f>IF($MB$31&lt;=$MB$32,IF($A272&lt;=$MB$7,1,2),IF($A272&lt;=RUNG_BEDS_2,2,1))</f>
        <v>1</v>
      </c>
      <c r="MC272" s="5">
        <f>MIN(1,MAX(0,$MB$26-($A272-1)))</f>
        <v>0</v>
      </c>
      <c r="MD272" s="5">
        <f>$MB$25*(MC272+(1-MC272)*$MB$16)</f>
        <v>0.0</v>
      </c>
      <c r="ME272" s="13">
        <f>MD272*($MB$6+ACUTE_MARGIN)</f>
        <v>0.0</v>
      </c>
      <c r="MF272" s="13">
        <f>IF(MB272=1,$MB$31,$MB$32)</f>
        <v>152394.16214437486</v>
      </c>
      <c r="MG272" s="13">
        <f>ME272-MF272</f>
        <v>-152394.16214437486</v>
      </c>
      <c r="MH272" s="13">
        <f>MH271+MG272</f>
        <v>3539197.9211871587</v>
      </c>
      <c r="MI272">
        <f>IF(MH272=MAX($MH$83:$MH$483),$A272,0)</f>
        <v>0</v>
      </c>
      <c r="MJ272">
        <f>IF(ME272&lt;MF272,$A272,B_MAX+1)</f>
        <v>189</v>
      </c>
      <c r="MK272" s="13">
        <f>IF(MB272=1,$MB$35,$MB$36)</f>
        <v>0</v>
      </c>
      <c r="ML272" s="13">
        <f>OCC_DAYS*$MB$41*R_NF_2023-MD272*MCD_SHARE_FREED*R_WAIT_2023</f>
        <v>151980.48282209205</v>
      </c>
      <c r="MM272">
        <f>IF($A272&lt;=$MB$45,1,0)</f>
        <v>0</v>
      </c>
      <c r="NB272">
        <f>IF($NB$31&lt;=$NB$32,IF($A272&lt;=$NB$7,1,2),IF($A272&lt;=RUNG_BEDS_2,2,1))</f>
        <v>1</v>
      </c>
      <c r="NC272" s="5">
        <f>MIN(1,MAX(0,$NB$26-($A272-1)))</f>
        <v>0</v>
      </c>
      <c r="ND272" s="5">
        <f>$NB$25*(NC272+(1-NC272)*$NB$16)</f>
        <v>63.013306786703595</v>
      </c>
      <c r="NE272" s="13">
        <f>ND272*($NB$6+ACUTE_MARGIN)</f>
        <v>63643.43985457063</v>
      </c>
      <c r="NF272" s="13">
        <f>IF(NB272=1,$NB$31,$NB$32)</f>
        <v>152394.16214437486</v>
      </c>
      <c r="NG272" s="13">
        <f>NE272-NF272</f>
        <v>-88750.72228980422</v>
      </c>
      <c r="NH272" s="13">
        <f>NH271+NG272</f>
        <v>11897841.45843124</v>
      </c>
      <c r="NI272">
        <f>IF(NH272=MAX($NH$83:$NH$483),$A272,0)</f>
        <v>0</v>
      </c>
      <c r="NJ272">
        <f>IF(NE272&lt;NF272,$A272,B_MAX+1)</f>
        <v>189</v>
      </c>
      <c r="NK272" s="13">
        <f>IF(NB272=1,$NB$35,$NB$36)</f>
        <v>0</v>
      </c>
      <c r="NL272" s="13">
        <f>OCC_DAYS*$NB$41*R_NF_2023-ND272*MCD_SHARE_FREED*R_WAIT_2023</f>
        <v>123327.15192717595</v>
      </c>
      <c r="NM272">
        <f>IF($A272&lt;=$NB$45,1,0)</f>
        <v>0</v>
      </c>
      <c r="OB272">
        <f>IF($OB$31&lt;=$OB$32,IF($A272&lt;=$OB$7,1,2),IF($A272&lt;=RUNG_BEDS_2,2,1))</f>
        <v>1</v>
      </c>
      <c r="OC272" s="5">
        <f>MIN(1,MAX(0,$OB$26-($A272-1)))</f>
        <v>0</v>
      </c>
      <c r="OD272" s="5">
        <f>$OB$25*(OC272+(1-OC272)*$OB$16)</f>
        <v>126.02661357340719</v>
      </c>
      <c r="OE272" s="13">
        <f>OD272*($OB$6+ACUTE_MARGIN)</f>
        <v>127286.87970914126</v>
      </c>
      <c r="OF272" s="13">
        <f>IF(OB272=1,$OB$31,$OB$32)</f>
        <v>152394.16214437486</v>
      </c>
      <c r="OG272" s="13">
        <f>OE272-OF272</f>
        <v>-25107.282435233603</v>
      </c>
      <c r="OH272" s="13">
        <f>OH271+OG272</f>
        <v>14369208.933877064</v>
      </c>
      <c r="OI272">
        <f>IF(OH272=MAX($OH$83:$OH$483),$A272,0)</f>
        <v>0</v>
      </c>
      <c r="OJ272">
        <f>IF(OE272&lt;OF272,$A272,B_MAX+1)</f>
        <v>189</v>
      </c>
      <c r="OK272" s="13">
        <f>IF(OB272=1,$OB$35,$OB$36)</f>
        <v>0</v>
      </c>
      <c r="OL272" s="13">
        <f>OCC_DAYS*$OB$41*R_NF_2023-OD272*MCD_SHARE_FREED*R_WAIT_2023</f>
        <v>94673.82103225985</v>
      </c>
      <c r="OM272">
        <f>IF($A272&lt;=$OB$45,1,0)</f>
        <v>0</v>
      </c>
    </row>
    <row r="273">
      <c r="A273" t="n">
        <v>190</v>
      </c>
      <c r="B273">
        <f>IF($B$31&lt;=$B$32,IF($A273&lt;=$B$7,1,2),IF($A273&lt;=RUNG_BEDS_2,2,1))</f>
        <v>1</v>
      </c>
      <c r="C273" s="5">
        <f>MIN(1,MAX(0,$B$26-($A273-1)))</f>
        <v>0</v>
      </c>
      <c r="D273" s="5">
        <f>$B$25*(C273+(1-C273)*$B$16)</f>
        <v>0.0</v>
      </c>
      <c r="E273" s="13">
        <f>D273*($B$6+ACUTE_MARGIN)</f>
        <v>0.0</v>
      </c>
      <c r="F273" s="13">
        <f>IF(B273=1,$B$31,$B$32)</f>
        <v>152394.16214437486</v>
      </c>
      <c r="G273" s="13">
        <f>E273-F273</f>
        <v>-152394.16214437486</v>
      </c>
      <c r="H273" s="13">
        <f>H272+G273</f>
        <v>9274079.820841115</v>
      </c>
      <c r="I273">
        <f>IF(H273=MAX($H$83:$H$483),$A273,0)</f>
        <v>0</v>
      </c>
      <c r="J273">
        <f>IF(E273&lt;F273,$A273,B_MAX+1)</f>
        <v>190</v>
      </c>
      <c r="K273" s="13">
        <f>IF(B273=1,$B$35,$B$36)</f>
        <v>0</v>
      </c>
      <c r="L273" s="13">
        <f>OCC_DAYS*$B$41*R_NF_2023-D273*MCD_SHARE_FREED*R_WAIT_2023</f>
        <v>151980.48282209205</v>
      </c>
      <c r="M273">
        <f>IF($A273&lt;=$B$45,1,0)</f>
        <v>0</v>
      </c>
      <c r="AB273">
        <f>IF($AB$31&lt;=$AB$32,IF($A273&lt;=$AB$7,1,2),IF($A273&lt;=RUNG_BEDS_2,2,1))</f>
        <v>1</v>
      </c>
      <c r="AC273" s="5">
        <f>MIN(1,MAX(0,$AB$26-($A273-1)))</f>
        <v>0</v>
      </c>
      <c r="AD273" s="5">
        <f>$AB$25*(AC273+(1-AC273)*$AB$16)</f>
        <v>0.0</v>
      </c>
      <c r="AE273" s="13">
        <f>AD273*($AB$6+ACUTE_MARGIN)</f>
        <v>0.0</v>
      </c>
      <c r="AF273" s="13">
        <f>IF(AB273=1,$AB$31,$AB$32)</f>
        <v>152394.16214437486</v>
      </c>
      <c r="AG273" s="13">
        <f>AE273-AF273</f>
        <v>-152394.16214437486</v>
      </c>
      <c r="AH273" s="13">
        <f>AH272+AG273</f>
        <v>-8137134.524708714</v>
      </c>
      <c r="AI273">
        <f>IF(AH273=MAX($AH$83:$AH$483),$A273,0)</f>
        <v>0</v>
      </c>
      <c r="AJ273">
        <f>IF(AE273&lt;AF273,$A273,B_MAX+1)</f>
        <v>190</v>
      </c>
      <c r="AK273" s="13">
        <f>IF(AB273=1,$AB$35,$AB$36)</f>
        <v>0</v>
      </c>
      <c r="AL273" s="13">
        <f>OCC_DAYS*$AB$41*R_NF_2023-AD273*MCD_SHARE_FREED*R_WAIT_2023</f>
        <v>151980.48282209205</v>
      </c>
      <c r="AM273">
        <f>IF($A273&lt;=$AB$45,1,0)</f>
        <v>0</v>
      </c>
      <c r="BB273">
        <f>IF($BB$31&lt;=$BB$32,IF($A273&lt;=$BB$7,1,2),IF($A273&lt;=RUNG_BEDS_2,2,1))</f>
        <v>1</v>
      </c>
      <c r="BC273" s="5">
        <f>MIN(1,MAX(0,$BB$26-($A273-1)))</f>
        <v>0</v>
      </c>
      <c r="BD273" s="5">
        <f>$BB$25*(BC273+(1-BC273)*$BB$16)</f>
        <v>0.0</v>
      </c>
      <c r="BE273" s="13">
        <f>BD273*($BB$6+ACUTE_MARGIN)</f>
        <v>0.0</v>
      </c>
      <c r="BF273" s="13">
        <f>IF(BB273=1,$BB$31,$BB$32)</f>
        <v>152394.16214437486</v>
      </c>
      <c r="BG273" s="13">
        <f>BE273-BF273</f>
        <v>-152394.16214437486</v>
      </c>
      <c r="BH273" s="13">
        <f>BH272+BG273</f>
        <v>26685294.166390777</v>
      </c>
      <c r="BI273">
        <f>IF(BH273=MAX($BH$83:$BH$483),$A273,0)</f>
        <v>0</v>
      </c>
      <c r="BJ273">
        <f>IF(BE273&lt;BF273,$A273,B_MAX+1)</f>
        <v>190</v>
      </c>
      <c r="BK273" s="13">
        <f>IF(BB273=1,$BB$35,$BB$36)</f>
        <v>0</v>
      </c>
      <c r="BL273" s="13">
        <f>OCC_DAYS*$BB$41*R_NF_2023-BD273*MCD_SHARE_FREED*R_WAIT_2023</f>
        <v>151980.48282209205</v>
      </c>
      <c r="BM273">
        <f>IF($A273&lt;=$BB$45,1,0)</f>
        <v>0</v>
      </c>
      <c r="CB273">
        <f>IF($CB$31&lt;=$CB$32,IF($A273&lt;=$CB$7,1,2),IF($A273&lt;=RUNG_BEDS_2,2,1))</f>
        <v>2</v>
      </c>
      <c r="CC273" s="5">
        <f>MIN(1,MAX(0,$CB$26-($A273-1)))</f>
        <v>0</v>
      </c>
      <c r="CD273" s="5">
        <f>$CB$25*(CC273+(1-CC273)*$CB$16)</f>
        <v>0.0</v>
      </c>
      <c r="CE273" s="13">
        <f>CD273*($CB$6+ACUTE_MARGIN)</f>
        <v>0.0</v>
      </c>
      <c r="CF273" s="13">
        <f>IF(CB273=1,$CB$31,$CB$32)</f>
        <v>160718.36940738867</v>
      </c>
      <c r="CG273" s="13">
        <f>CE273-CF273</f>
        <v>-160718.36940738867</v>
      </c>
      <c r="CH273" s="13">
        <f>CH272+CG273</f>
        <v>7692480.440868369</v>
      </c>
      <c r="CI273">
        <f>IF(CH273=MAX($CH$83:$CH$483),$A273,0)</f>
        <v>0</v>
      </c>
      <c r="CJ273">
        <f>IF(CE273&lt;CF273,$A273,B_MAX+1)</f>
        <v>190</v>
      </c>
      <c r="CK273" s="13">
        <f>IF(CB273=1,$CB$35,$CB$36)</f>
        <v>1560.1194073886782</v>
      </c>
      <c r="CL273" s="13">
        <f>OCC_DAYS*$CB$41*R_NF_2023-CD273*MCD_SHARE_FREED*R_WAIT_2023</f>
        <v>151980.48282209205</v>
      </c>
      <c r="CM273">
        <f>IF($A273&lt;=$CB$45,1,0)</f>
        <v>0</v>
      </c>
      <c r="DB273">
        <f>IF($DB$31&lt;=$DB$32,IF($A273&lt;=$DB$7,1,2),IF($A273&lt;=RUNG_BEDS_2,2,1))</f>
        <v>1</v>
      </c>
      <c r="DC273" s="5">
        <f>MIN(1,MAX(0,$DB$26-($A273-1)))</f>
        <v>0</v>
      </c>
      <c r="DD273" s="5">
        <f>$DB$25*(DC273+(1-DC273)*$DB$16)</f>
        <v>0.0</v>
      </c>
      <c r="DE273" s="13">
        <f>DD273*($DB$6+ACUTE_MARGIN)</f>
        <v>0.0</v>
      </c>
      <c r="DF273" s="13">
        <f>IF(DB273=1,$DB$31,$DB$32)</f>
        <v>152394.16214437486</v>
      </c>
      <c r="DG273" s="13">
        <f>DE273-DF273</f>
        <v>-152394.16214437486</v>
      </c>
      <c r="DH273" s="13">
        <f>DH272+DG273</f>
        <v>9274079.820841115</v>
      </c>
      <c r="DI273">
        <f>IF(DH273=MAX($DH$83:$DH$483),$A273,0)</f>
        <v>0</v>
      </c>
      <c r="DJ273">
        <f>IF(DE273&lt;DF273,$A273,B_MAX+1)</f>
        <v>190</v>
      </c>
      <c r="DK273" s="13">
        <f>IF(DB273=1,$DB$35,$DB$36)</f>
        <v>0</v>
      </c>
      <c r="DL273" s="13">
        <f>OCC_DAYS*$DB$41*R_NF_2023-DD273*MCD_SHARE_FREED*R_WAIT_2023</f>
        <v>151980.48282209205</v>
      </c>
      <c r="DM273">
        <f>IF($A273&lt;=$DB$45,1,0)</f>
        <v>0</v>
      </c>
      <c r="EB273">
        <f>IF($EB$31&lt;=$EB$32,IF($A273&lt;=$EB$7,1,2),IF($A273&lt;=RUNG_BEDS_2,2,1))</f>
        <v>1</v>
      </c>
      <c r="EC273" s="5">
        <f>MIN(1,MAX(0,$EB$26-($A273-1)))</f>
        <v>0</v>
      </c>
      <c r="ED273" s="5">
        <f>$EB$25*(EC273+(1-EC273)*$EB$16)</f>
        <v>0.0</v>
      </c>
      <c r="EE273" s="13">
        <f>ED273*($EB$6+ACUTE_MARGIN)</f>
        <v>0.0</v>
      </c>
      <c r="EF273" s="13">
        <f>IF(EB273=1,$EB$31,$EB$32)</f>
        <v>152394.16214437486</v>
      </c>
      <c r="EG273" s="13">
        <f>EE273-EF273</f>
        <v>-152394.16214437486</v>
      </c>
      <c r="EH273" s="13">
        <f>EH272+EG273</f>
        <v>9274079.820841115</v>
      </c>
      <c r="EI273">
        <f>IF(EH273=MAX($EH$83:$EH$483),$A273,0)</f>
        <v>0</v>
      </c>
      <c r="EJ273">
        <f>IF(EE273&lt;EF273,$A273,B_MAX+1)</f>
        <v>190</v>
      </c>
      <c r="EK273" s="13">
        <f>IF(EB273=1,$EB$35,$EB$36)</f>
        <v>0</v>
      </c>
      <c r="EL273" s="13">
        <f>OCC_DAYS*$EB$41*R_NF_2023-ED273*MCD_SHARE_FREED*R_WAIT_2023</f>
        <v>50660.16094069735</v>
      </c>
      <c r="EM273">
        <f>IF($A273&lt;=$EB$45,1,0)</f>
        <v>0</v>
      </c>
      <c r="FB273">
        <f>IF($FB$31&lt;=$FB$32,IF($A273&lt;=$FB$7,1,2),IF($A273&lt;=RUNG_BEDS_2,2,1))</f>
        <v>1</v>
      </c>
      <c r="FC273" s="5">
        <f>MIN(1,MAX(0,$FB$26-($A273-1)))</f>
        <v>0</v>
      </c>
      <c r="FD273" s="5">
        <f>$FB$25*(FC273+(1-FC273)*$FB$16)</f>
        <v>0.0</v>
      </c>
      <c r="FE273" s="13">
        <f>FD273*($FB$6+ACUTE_MARGIN)</f>
        <v>0.0</v>
      </c>
      <c r="FF273" s="13">
        <f>IF(FB273=1,$FB$31,$FB$32)</f>
        <v>156636.04979437485</v>
      </c>
      <c r="FG273" s="13">
        <f>FE273-FF273</f>
        <v>-156636.04979437485</v>
      </c>
      <c r="FH273" s="13">
        <f>FH272+FG273</f>
        <v>8468121.167341003</v>
      </c>
      <c r="FI273">
        <f>IF(FH273=MAX($FH$83:$FH$483),$A273,0)</f>
        <v>0</v>
      </c>
      <c r="FJ273">
        <f>IF(FE273&lt;FF273,$A273,B_MAX+1)</f>
        <v>190</v>
      </c>
      <c r="FK273" s="13">
        <f>IF(FB273=1,$FB$35,$FB$36)</f>
        <v>0</v>
      </c>
      <c r="FL273" s="13">
        <f>OCC_DAYS*$FB$41*R_NF_2023-FD273*MCD_SHARE_FREED*R_WAIT_2023</f>
        <v>151980.48282209205</v>
      </c>
      <c r="FM273">
        <f>IF($A273&lt;=$FB$45,1,0)</f>
        <v>0</v>
      </c>
      <c r="GB273">
        <f>IF($GB$31&lt;=$GB$32,IF($A273&lt;=$GB$7,1,2),IF($A273&lt;=RUNG_BEDS_2,2,1))</f>
        <v>1</v>
      </c>
      <c r="GC273" s="5">
        <f>MIN(1,MAX(0,$GB$26-($A273-1)))</f>
        <v>0</v>
      </c>
      <c r="GD273" s="5">
        <f>$GB$25*(GC273+(1-GC273)*$GB$16)</f>
        <v>0.0</v>
      </c>
      <c r="GE273" s="13">
        <f>GD273*($GB$6+ACUTE_MARGIN)</f>
        <v>0.0</v>
      </c>
      <c r="GF273" s="13">
        <f>IF(GB273=1,$GB$31,$GB$32)</f>
        <v>152394.16214437486</v>
      </c>
      <c r="GG273" s="13">
        <f>GE273-GF273</f>
        <v>-152394.16214437486</v>
      </c>
      <c r="GH273" s="13">
        <f>GH272+GG273</f>
        <v>9274079.820841115</v>
      </c>
      <c r="GI273">
        <f>IF(GH273=MAX($GH$83:$GH$483),$A273,0)</f>
        <v>0</v>
      </c>
      <c r="GJ273">
        <f>IF(GE273&lt;GF273,$A273,B_MAX+1)</f>
        <v>190</v>
      </c>
      <c r="GK273" s="13">
        <f>IF(GB273=1,$GB$35,$GB$36)</f>
        <v>0</v>
      </c>
      <c r="GL273" s="13">
        <f>OCC_DAYS*$GB$41*R_NF_2023-GD273*MCD_SHARE_FREED*R_WAIT_2023</f>
        <v>151980.48282209205</v>
      </c>
      <c r="GM273">
        <f>IF($A273&lt;=$GB$45,1,0)</f>
        <v>0</v>
      </c>
      <c r="HB273">
        <f>IF($HB$31&lt;=$HB$32,IF($A273&lt;=$HB$7,1,2),IF($A273&lt;=RUNG_BEDS_2,2,1))</f>
        <v>1</v>
      </c>
      <c r="HC273" s="5">
        <f>MIN(1,MAX(0,$HB$26-($A273-1)))</f>
        <v>0</v>
      </c>
      <c r="HD273" s="5">
        <f>$HB$25*(HC273+(1-HC273)*$HB$16)</f>
        <v>0.0</v>
      </c>
      <c r="HE273" s="13">
        <f>HD273*($HB$6+ACUTE_MARGIN)</f>
        <v>0.0</v>
      </c>
      <c r="HF273" s="13">
        <f>IF(HB273=1,$HB$31,$HB$32)</f>
        <v>152456.2970814058</v>
      </c>
      <c r="HG273" s="13">
        <f>HE273-HF273</f>
        <v>-152456.2970814058</v>
      </c>
      <c r="HH273" s="13">
        <f>HH272+HG273</f>
        <v>9262274.182805203</v>
      </c>
      <c r="HI273">
        <f>IF(HH273=MAX($HH$83:$HH$483),$A273,0)</f>
        <v>0</v>
      </c>
      <c r="HJ273">
        <f>IF(HE273&lt;HF273,$A273,B_MAX+1)</f>
        <v>190</v>
      </c>
      <c r="HK273" s="13">
        <f>IF(HB273=1,$HB$35,$HB$36)</f>
        <v>0</v>
      </c>
      <c r="HL273" s="13">
        <f>OCC_DAYS*$HB$41*R_NF_2023-HD273*MCD_SHARE_FREED*R_WAIT_2023</f>
        <v>151980.48282209205</v>
      </c>
      <c r="HM273">
        <f>IF($A273&lt;=$HB$45,1,0)</f>
        <v>0</v>
      </c>
      <c r="IB273">
        <f>IF($IB$31&lt;=$IB$32,IF($A273&lt;=$IB$7,1,2),IF($A273&lt;=RUNG_BEDS_2,2,1))</f>
        <v>1</v>
      </c>
      <c r="IC273" s="5">
        <f>MIN(1,MAX(0,$IB$26-($A273-1)))</f>
        <v>0</v>
      </c>
      <c r="ID273" s="5">
        <f>$IB$25*(IC273+(1-IC273)*$IB$16)</f>
        <v>0.0</v>
      </c>
      <c r="IE273" s="13">
        <f>ID273*($IB$6+ACUTE_MARGIN)</f>
        <v>0.0</v>
      </c>
      <c r="IF273" s="13">
        <f>IF(IB273=1,$IB$31,$IB$32)</f>
        <v>152734.9994534971</v>
      </c>
      <c r="IG273" s="13">
        <f>IE273-IF273</f>
        <v>-152734.9994534971</v>
      </c>
      <c r="IH273" s="13">
        <f>IH272+IG273</f>
        <v>9209320.73210779</v>
      </c>
      <c r="II273">
        <f>IF(IH273=MAX($IH$83:$IH$483),$A273,0)</f>
        <v>0</v>
      </c>
      <c r="IJ273">
        <f>IF(IE273&lt;IF273,$A273,B_MAX+1)</f>
        <v>190</v>
      </c>
      <c r="IK273" s="13">
        <f>IF(IB273=1,$IB$35,$IB$36)</f>
        <v>0</v>
      </c>
      <c r="IL273" s="13">
        <f>OCC_DAYS*$IB$41*R_NF_2023-ID273*MCD_SHARE_FREED*R_WAIT_2023</f>
        <v>151980.48282209205</v>
      </c>
      <c r="IM273">
        <f>IF($A273&lt;=$IB$45,1,0)</f>
        <v>0</v>
      </c>
      <c r="JB273">
        <f>IF($JB$31&lt;=$JB$32,IF($A273&lt;=$JB$7,1,2),IF($A273&lt;=RUNG_BEDS_2,2,1))</f>
        <v>1</v>
      </c>
      <c r="JC273" s="5">
        <f>MIN(1,MAX(0,$JB$26-($A273-1)))</f>
        <v>0</v>
      </c>
      <c r="JD273" s="5">
        <f>$JB$25*(JC273+(1-JC273)*$JB$16)</f>
        <v>0.0</v>
      </c>
      <c r="JE273" s="13">
        <f>JD273*($JB$6+ACUTE_MARGIN)</f>
        <v>0.0</v>
      </c>
      <c r="JF273" s="13">
        <f>IF(JB273=1,$JB$31,$JB$32)</f>
        <v>152394.16214437486</v>
      </c>
      <c r="JG273" s="13">
        <f>JE273-JF273</f>
        <v>-152394.16214437486</v>
      </c>
      <c r="JH273" s="13">
        <f>JH272+JG273</f>
        <v>9274079.820841115</v>
      </c>
      <c r="JI273">
        <f>IF(JH273=MAX($JH$83:$JH$483),$A273,0)</f>
        <v>0</v>
      </c>
      <c r="JJ273">
        <f>IF(JE273&lt;JF273,$A273,B_MAX+1)</f>
        <v>190</v>
      </c>
      <c r="JK273" s="13">
        <f>IF(JB273=1,$JB$35,$JB$36)</f>
        <v>0</v>
      </c>
      <c r="JL273" s="13">
        <f>OCC_DAYS*$JB$41*R_NF_2023-JD273*MCD_SHARE_FREED*R_WAIT_2023</f>
        <v>151980.48282209205</v>
      </c>
      <c r="JM273">
        <f>IF($A273&lt;=$JB$45,1,0)</f>
        <v>0</v>
      </c>
      <c r="KB273">
        <f>IF($KB$31&lt;=$KB$32,IF($A273&lt;=$KB$7,1,2),IF($A273&lt;=RUNG_BEDS_2,2,1))</f>
        <v>1</v>
      </c>
      <c r="KC273" s="5">
        <f>MIN(1,MAX(0,$KB$26-($A273-1)))</f>
        <v>1</v>
      </c>
      <c r="KD273" s="5">
        <f>$KB$25*(KC273+(1-KC273)*$KB$16)</f>
        <v>126.02661357340719</v>
      </c>
      <c r="KE273" s="13">
        <f>KD273*($KB$6+ACUTE_MARGIN)</f>
        <v>127286.87970914126</v>
      </c>
      <c r="KF273" s="13">
        <f>IF(KB273=1,$KB$31,$KB$32)</f>
        <v>152394.16214437486</v>
      </c>
      <c r="KG273" s="13">
        <f>KE273-KF273</f>
        <v>-25107.282435233603</v>
      </c>
      <c r="KH273" s="13">
        <f>KH272+KG273</f>
        <v>-4770383.662694399</v>
      </c>
      <c r="KI273">
        <f>IF(KH273=MAX($KH$83:$KH$483),$A273,0)</f>
        <v>0</v>
      </c>
      <c r="KJ273">
        <f>IF(KE273&lt;KF273,$A273,B_MAX+1)</f>
        <v>190</v>
      </c>
      <c r="KK273" s="13">
        <f>IF(KB273=1,$KB$35,$KB$36)</f>
        <v>0</v>
      </c>
      <c r="KL273" s="13">
        <f>OCC_DAYS*$KB$41*R_NF_2023-KD273*MCD_SHARE_FREED*R_WAIT_2023</f>
        <v>94673.82103225985</v>
      </c>
      <c r="KM273">
        <f>IF($A273&lt;=$KB$45,1,0)</f>
        <v>0</v>
      </c>
      <c r="LB273">
        <f>IF($LB$31&lt;=$LB$32,IF($A273&lt;=$LB$7,1,2),IF($A273&lt;=RUNG_BEDS_2,2,1))</f>
        <v>1</v>
      </c>
      <c r="LC273" s="5">
        <f>MIN(1,MAX(0,$LB$26-($A273-1)))</f>
        <v>1</v>
      </c>
      <c r="LD273" s="5">
        <f>$LB$25*(LC273+(1-LC273)*$LB$16)</f>
        <v>84.01774238227146</v>
      </c>
      <c r="LE273" s="13">
        <f>LD273*($LB$6+ACUTE_MARGIN)</f>
        <v>84857.91980609419</v>
      </c>
      <c r="LF273" s="13">
        <f>IF(LB273=1,$LB$31,$LB$32)</f>
        <v>152394.16214437486</v>
      </c>
      <c r="LG273" s="13">
        <f>LE273-LF273</f>
        <v>-67536.24233828067</v>
      </c>
      <c r="LH273" s="13">
        <f>LH272+LG273</f>
        <v>-12831886.044273384</v>
      </c>
      <c r="LI273">
        <f>IF(LH273=MAX($LH$83:$LH$483),$A273,0)</f>
        <v>0</v>
      </c>
      <c r="LJ273">
        <f>IF(LE273&lt;LF273,$A273,B_MAX+1)</f>
        <v>190</v>
      </c>
      <c r="LK273" s="13">
        <f>IF(LB273=1,$LB$35,$LB$36)</f>
        <v>0</v>
      </c>
      <c r="LL273" s="13">
        <f>OCC_DAYS*$LB$41*R_NF_2023-LD273*MCD_SHARE_FREED*R_WAIT_2023</f>
        <v>113776.04162887059</v>
      </c>
      <c r="LM273">
        <f>IF($A273&lt;=$LB$45,1,0)</f>
        <v>0</v>
      </c>
      <c r="MB273">
        <f>IF($MB$31&lt;=$MB$32,IF($A273&lt;=$MB$7,1,2),IF($A273&lt;=RUNG_BEDS_2,2,1))</f>
        <v>1</v>
      </c>
      <c r="MC273" s="5">
        <f>MIN(1,MAX(0,$MB$26-($A273-1)))</f>
        <v>0</v>
      </c>
      <c r="MD273" s="5">
        <f>$MB$25*(MC273+(1-MC273)*$MB$16)</f>
        <v>0.0</v>
      </c>
      <c r="ME273" s="13">
        <f>MD273*($MB$6+ACUTE_MARGIN)</f>
        <v>0.0</v>
      </c>
      <c r="MF273" s="13">
        <f>IF(MB273=1,$MB$31,$MB$32)</f>
        <v>152394.16214437486</v>
      </c>
      <c r="MG273" s="13">
        <f>ME273-MF273</f>
        <v>-152394.16214437486</v>
      </c>
      <c r="MH273" s="13">
        <f>MH272+MG273</f>
        <v>3386803.7590427836</v>
      </c>
      <c r="MI273">
        <f>IF(MH273=MAX($MH$83:$MH$483),$A273,0)</f>
        <v>0</v>
      </c>
      <c r="MJ273">
        <f>IF(ME273&lt;MF273,$A273,B_MAX+1)</f>
        <v>190</v>
      </c>
      <c r="MK273" s="13">
        <f>IF(MB273=1,$MB$35,$MB$36)</f>
        <v>0</v>
      </c>
      <c r="ML273" s="13">
        <f>OCC_DAYS*$MB$41*R_NF_2023-MD273*MCD_SHARE_FREED*R_WAIT_2023</f>
        <v>151980.48282209205</v>
      </c>
      <c r="MM273">
        <f>IF($A273&lt;=$MB$45,1,0)</f>
        <v>0</v>
      </c>
      <c r="NB273">
        <f>IF($NB$31&lt;=$NB$32,IF($A273&lt;=$NB$7,1,2),IF($A273&lt;=RUNG_BEDS_2,2,1))</f>
        <v>1</v>
      </c>
      <c r="NC273" s="5">
        <f>MIN(1,MAX(0,$NB$26-($A273-1)))</f>
        <v>0</v>
      </c>
      <c r="ND273" s="5">
        <f>$NB$25*(NC273+(1-NC273)*$NB$16)</f>
        <v>63.013306786703595</v>
      </c>
      <c r="NE273" s="13">
        <f>ND273*($NB$6+ACUTE_MARGIN)</f>
        <v>63643.43985457063</v>
      </c>
      <c r="NF273" s="13">
        <f>IF(NB273=1,$NB$31,$NB$32)</f>
        <v>152394.16214437486</v>
      </c>
      <c r="NG273" s="13">
        <f>NE273-NF273</f>
        <v>-88750.72228980422</v>
      </c>
      <c r="NH273" s="13">
        <f>NH272+NG273</f>
        <v>11809090.736141436</v>
      </c>
      <c r="NI273">
        <f>IF(NH273=MAX($NH$83:$NH$483),$A273,0)</f>
        <v>0</v>
      </c>
      <c r="NJ273">
        <f>IF(NE273&lt;NF273,$A273,B_MAX+1)</f>
        <v>190</v>
      </c>
      <c r="NK273" s="13">
        <f>IF(NB273=1,$NB$35,$NB$36)</f>
        <v>0</v>
      </c>
      <c r="NL273" s="13">
        <f>OCC_DAYS*$NB$41*R_NF_2023-ND273*MCD_SHARE_FREED*R_WAIT_2023</f>
        <v>123327.15192717595</v>
      </c>
      <c r="NM273">
        <f>IF($A273&lt;=$NB$45,1,0)</f>
        <v>0</v>
      </c>
      <c r="OB273">
        <f>IF($OB$31&lt;=$OB$32,IF($A273&lt;=$OB$7,1,2),IF($A273&lt;=RUNG_BEDS_2,2,1))</f>
        <v>1</v>
      </c>
      <c r="OC273" s="5">
        <f>MIN(1,MAX(0,$OB$26-($A273-1)))</f>
        <v>0</v>
      </c>
      <c r="OD273" s="5">
        <f>$OB$25*(OC273+(1-OC273)*$OB$16)</f>
        <v>126.02661357340719</v>
      </c>
      <c r="OE273" s="13">
        <f>OD273*($OB$6+ACUTE_MARGIN)</f>
        <v>127286.87970914126</v>
      </c>
      <c r="OF273" s="13">
        <f>IF(OB273=1,$OB$31,$OB$32)</f>
        <v>152394.16214437486</v>
      </c>
      <c r="OG273" s="13">
        <f>OE273-OF273</f>
        <v>-25107.282435233603</v>
      </c>
      <c r="OH273" s="13">
        <f>OH272+OG273</f>
        <v>14344101.651441831</v>
      </c>
      <c r="OI273">
        <f>IF(OH273=MAX($OH$83:$OH$483),$A273,0)</f>
        <v>0</v>
      </c>
      <c r="OJ273">
        <f>IF(OE273&lt;OF273,$A273,B_MAX+1)</f>
        <v>190</v>
      </c>
      <c r="OK273" s="13">
        <f>IF(OB273=1,$OB$35,$OB$36)</f>
        <v>0</v>
      </c>
      <c r="OL273" s="13">
        <f>OCC_DAYS*$OB$41*R_NF_2023-OD273*MCD_SHARE_FREED*R_WAIT_2023</f>
        <v>94673.82103225985</v>
      </c>
      <c r="OM273">
        <f>IF($A273&lt;=$OB$45,1,0)</f>
        <v>0</v>
      </c>
    </row>
    <row r="274">
      <c r="A274" t="n">
        <v>191</v>
      </c>
      <c r="B274">
        <f>IF($B$31&lt;=$B$32,IF($A274&lt;=$B$7,1,2),IF($A274&lt;=RUNG_BEDS_2,2,1))</f>
        <v>1</v>
      </c>
      <c r="C274" s="5">
        <f>MIN(1,MAX(0,$B$26-($A274-1)))</f>
        <v>0</v>
      </c>
      <c r="D274" s="5">
        <f>$B$25*(C274+(1-C274)*$B$16)</f>
        <v>0.0</v>
      </c>
      <c r="E274" s="13">
        <f>D274*($B$6+ACUTE_MARGIN)</f>
        <v>0.0</v>
      </c>
      <c r="F274" s="13">
        <f>IF(B274=1,$B$31,$B$32)</f>
        <v>152394.16214437486</v>
      </c>
      <c r="G274" s="13">
        <f>E274-F274</f>
        <v>-152394.16214437486</v>
      </c>
      <c r="H274" s="13">
        <f>H273+G274</f>
        <v>9121685.65869674</v>
      </c>
      <c r="I274">
        <f>IF(H274=MAX($H$83:$H$483),$A274,0)</f>
        <v>0</v>
      </c>
      <c r="J274">
        <f>IF(E274&lt;F274,$A274,B_MAX+1)</f>
        <v>191</v>
      </c>
      <c r="K274" s="13">
        <f>IF(B274=1,$B$35,$B$36)</f>
        <v>0</v>
      </c>
      <c r="L274" s="13">
        <f>OCC_DAYS*$B$41*R_NF_2023-D274*MCD_SHARE_FREED*R_WAIT_2023</f>
        <v>151980.48282209205</v>
      </c>
      <c r="M274">
        <f>IF($A274&lt;=$B$45,1,0)</f>
        <v>0</v>
      </c>
      <c r="AB274">
        <f>IF($AB$31&lt;=$AB$32,IF($A274&lt;=$AB$7,1,2),IF($A274&lt;=RUNG_BEDS_2,2,1))</f>
        <v>1</v>
      </c>
      <c r="AC274" s="5">
        <f>MIN(1,MAX(0,$AB$26-($A274-1)))</f>
        <v>0</v>
      </c>
      <c r="AD274" s="5">
        <f>$AB$25*(AC274+(1-AC274)*$AB$16)</f>
        <v>0.0</v>
      </c>
      <c r="AE274" s="13">
        <f>AD274*($AB$6+ACUTE_MARGIN)</f>
        <v>0.0</v>
      </c>
      <c r="AF274" s="13">
        <f>IF(AB274=1,$AB$31,$AB$32)</f>
        <v>152394.16214437486</v>
      </c>
      <c r="AG274" s="13">
        <f>AE274-AF274</f>
        <v>-152394.16214437486</v>
      </c>
      <c r="AH274" s="13">
        <f>AH273+AG274</f>
        <v>-8289528.686853089</v>
      </c>
      <c r="AI274">
        <f>IF(AH274=MAX($AH$83:$AH$483),$A274,0)</f>
        <v>0</v>
      </c>
      <c r="AJ274">
        <f>IF(AE274&lt;AF274,$A274,B_MAX+1)</f>
        <v>191</v>
      </c>
      <c r="AK274" s="13">
        <f>IF(AB274=1,$AB$35,$AB$36)</f>
        <v>0</v>
      </c>
      <c r="AL274" s="13">
        <f>OCC_DAYS*$AB$41*R_NF_2023-AD274*MCD_SHARE_FREED*R_WAIT_2023</f>
        <v>151980.48282209205</v>
      </c>
      <c r="AM274">
        <f>IF($A274&lt;=$AB$45,1,0)</f>
        <v>0</v>
      </c>
      <c r="BB274">
        <f>IF($BB$31&lt;=$BB$32,IF($A274&lt;=$BB$7,1,2),IF($A274&lt;=RUNG_BEDS_2,2,1))</f>
        <v>1</v>
      </c>
      <c r="BC274" s="5">
        <f>MIN(1,MAX(0,$BB$26-($A274-1)))</f>
        <v>0</v>
      </c>
      <c r="BD274" s="5">
        <f>$BB$25*(BC274+(1-BC274)*$BB$16)</f>
        <v>0.0</v>
      </c>
      <c r="BE274" s="13">
        <f>BD274*($BB$6+ACUTE_MARGIN)</f>
        <v>0.0</v>
      </c>
      <c r="BF274" s="13">
        <f>IF(BB274=1,$BB$31,$BB$32)</f>
        <v>152394.16214437486</v>
      </c>
      <c r="BG274" s="13">
        <f>BE274-BF274</f>
        <v>-152394.16214437486</v>
      </c>
      <c r="BH274" s="13">
        <f>BH273+BG274</f>
        <v>26532900.004246403</v>
      </c>
      <c r="BI274">
        <f>IF(BH274=MAX($BH$83:$BH$483),$A274,0)</f>
        <v>0</v>
      </c>
      <c r="BJ274">
        <f>IF(BE274&lt;BF274,$A274,B_MAX+1)</f>
        <v>191</v>
      </c>
      <c r="BK274" s="13">
        <f>IF(BB274=1,$BB$35,$BB$36)</f>
        <v>0</v>
      </c>
      <c r="BL274" s="13">
        <f>OCC_DAYS*$BB$41*R_NF_2023-BD274*MCD_SHARE_FREED*R_WAIT_2023</f>
        <v>151980.48282209205</v>
      </c>
      <c r="BM274">
        <f>IF($A274&lt;=$BB$45,1,0)</f>
        <v>0</v>
      </c>
      <c r="CB274">
        <f>IF($CB$31&lt;=$CB$32,IF($A274&lt;=$CB$7,1,2),IF($A274&lt;=RUNG_BEDS_2,2,1))</f>
        <v>2</v>
      </c>
      <c r="CC274" s="5">
        <f>MIN(1,MAX(0,$CB$26-($A274-1)))</f>
        <v>0</v>
      </c>
      <c r="CD274" s="5">
        <f>$CB$25*(CC274+(1-CC274)*$CB$16)</f>
        <v>0.0</v>
      </c>
      <c r="CE274" s="13">
        <f>CD274*($CB$6+ACUTE_MARGIN)</f>
        <v>0.0</v>
      </c>
      <c r="CF274" s="13">
        <f>IF(CB274=1,$CB$31,$CB$32)</f>
        <v>160718.36940738867</v>
      </c>
      <c r="CG274" s="13">
        <f>CE274-CF274</f>
        <v>-160718.36940738867</v>
      </c>
      <c r="CH274" s="13">
        <f>CH273+CG274</f>
        <v>7531762.071460981</v>
      </c>
      <c r="CI274">
        <f>IF(CH274=MAX($CH$83:$CH$483),$A274,0)</f>
        <v>0</v>
      </c>
      <c r="CJ274">
        <f>IF(CE274&lt;CF274,$A274,B_MAX+1)</f>
        <v>191</v>
      </c>
      <c r="CK274" s="13">
        <f>IF(CB274=1,$CB$35,$CB$36)</f>
        <v>1560.1194073886782</v>
      </c>
      <c r="CL274" s="13">
        <f>OCC_DAYS*$CB$41*R_NF_2023-CD274*MCD_SHARE_FREED*R_WAIT_2023</f>
        <v>151980.48282209205</v>
      </c>
      <c r="CM274">
        <f>IF($A274&lt;=$CB$45,1,0)</f>
        <v>0</v>
      </c>
      <c r="DB274">
        <f>IF($DB$31&lt;=$DB$32,IF($A274&lt;=$DB$7,1,2),IF($A274&lt;=RUNG_BEDS_2,2,1))</f>
        <v>1</v>
      </c>
      <c r="DC274" s="5">
        <f>MIN(1,MAX(0,$DB$26-($A274-1)))</f>
        <v>0</v>
      </c>
      <c r="DD274" s="5">
        <f>$DB$25*(DC274+(1-DC274)*$DB$16)</f>
        <v>0.0</v>
      </c>
      <c r="DE274" s="13">
        <f>DD274*($DB$6+ACUTE_MARGIN)</f>
        <v>0.0</v>
      </c>
      <c r="DF274" s="13">
        <f>IF(DB274=1,$DB$31,$DB$32)</f>
        <v>152394.16214437486</v>
      </c>
      <c r="DG274" s="13">
        <f>DE274-DF274</f>
        <v>-152394.16214437486</v>
      </c>
      <c r="DH274" s="13">
        <f>DH273+DG274</f>
        <v>9121685.65869674</v>
      </c>
      <c r="DI274">
        <f>IF(DH274=MAX($DH$83:$DH$483),$A274,0)</f>
        <v>0</v>
      </c>
      <c r="DJ274">
        <f>IF(DE274&lt;DF274,$A274,B_MAX+1)</f>
        <v>191</v>
      </c>
      <c r="DK274" s="13">
        <f>IF(DB274=1,$DB$35,$DB$36)</f>
        <v>0</v>
      </c>
      <c r="DL274" s="13">
        <f>OCC_DAYS*$DB$41*R_NF_2023-DD274*MCD_SHARE_FREED*R_WAIT_2023</f>
        <v>151980.48282209205</v>
      </c>
      <c r="DM274">
        <f>IF($A274&lt;=$DB$45,1,0)</f>
        <v>0</v>
      </c>
      <c r="EB274">
        <f>IF($EB$31&lt;=$EB$32,IF($A274&lt;=$EB$7,1,2),IF($A274&lt;=RUNG_BEDS_2,2,1))</f>
        <v>1</v>
      </c>
      <c r="EC274" s="5">
        <f>MIN(1,MAX(0,$EB$26-($A274-1)))</f>
        <v>0</v>
      </c>
      <c r="ED274" s="5">
        <f>$EB$25*(EC274+(1-EC274)*$EB$16)</f>
        <v>0.0</v>
      </c>
      <c r="EE274" s="13">
        <f>ED274*($EB$6+ACUTE_MARGIN)</f>
        <v>0.0</v>
      </c>
      <c r="EF274" s="13">
        <f>IF(EB274=1,$EB$31,$EB$32)</f>
        <v>152394.16214437486</v>
      </c>
      <c r="EG274" s="13">
        <f>EE274-EF274</f>
        <v>-152394.16214437486</v>
      </c>
      <c r="EH274" s="13">
        <f>EH273+EG274</f>
        <v>9121685.65869674</v>
      </c>
      <c r="EI274">
        <f>IF(EH274=MAX($EH$83:$EH$483),$A274,0)</f>
        <v>0</v>
      </c>
      <c r="EJ274">
        <f>IF(EE274&lt;EF274,$A274,B_MAX+1)</f>
        <v>191</v>
      </c>
      <c r="EK274" s="13">
        <f>IF(EB274=1,$EB$35,$EB$36)</f>
        <v>0</v>
      </c>
      <c r="EL274" s="13">
        <f>OCC_DAYS*$EB$41*R_NF_2023-ED274*MCD_SHARE_FREED*R_WAIT_2023</f>
        <v>50660.16094069735</v>
      </c>
      <c r="EM274">
        <f>IF($A274&lt;=$EB$45,1,0)</f>
        <v>0</v>
      </c>
      <c r="FB274">
        <f>IF($FB$31&lt;=$FB$32,IF($A274&lt;=$FB$7,1,2),IF($A274&lt;=RUNG_BEDS_2,2,1))</f>
        <v>1</v>
      </c>
      <c r="FC274" s="5">
        <f>MIN(1,MAX(0,$FB$26-($A274-1)))</f>
        <v>0</v>
      </c>
      <c r="FD274" s="5">
        <f>$FB$25*(FC274+(1-FC274)*$FB$16)</f>
        <v>0.0</v>
      </c>
      <c r="FE274" s="13">
        <f>FD274*($FB$6+ACUTE_MARGIN)</f>
        <v>0.0</v>
      </c>
      <c r="FF274" s="13">
        <f>IF(FB274=1,$FB$31,$FB$32)</f>
        <v>156636.04979437485</v>
      </c>
      <c r="FG274" s="13">
        <f>FE274-FF274</f>
        <v>-156636.04979437485</v>
      </c>
      <c r="FH274" s="13">
        <f>FH273+FG274</f>
        <v>8311485.117546628</v>
      </c>
      <c r="FI274">
        <f>IF(FH274=MAX($FH$83:$FH$483),$A274,0)</f>
        <v>0</v>
      </c>
      <c r="FJ274">
        <f>IF(FE274&lt;FF274,$A274,B_MAX+1)</f>
        <v>191</v>
      </c>
      <c r="FK274" s="13">
        <f>IF(FB274=1,$FB$35,$FB$36)</f>
        <v>0</v>
      </c>
      <c r="FL274" s="13">
        <f>OCC_DAYS*$FB$41*R_NF_2023-FD274*MCD_SHARE_FREED*R_WAIT_2023</f>
        <v>151980.48282209205</v>
      </c>
      <c r="FM274">
        <f>IF($A274&lt;=$FB$45,1,0)</f>
        <v>0</v>
      </c>
      <c r="GB274">
        <f>IF($GB$31&lt;=$GB$32,IF($A274&lt;=$GB$7,1,2),IF($A274&lt;=RUNG_BEDS_2,2,1))</f>
        <v>1</v>
      </c>
      <c r="GC274" s="5">
        <f>MIN(1,MAX(0,$GB$26-($A274-1)))</f>
        <v>0</v>
      </c>
      <c r="GD274" s="5">
        <f>$GB$25*(GC274+(1-GC274)*$GB$16)</f>
        <v>0.0</v>
      </c>
      <c r="GE274" s="13">
        <f>GD274*($GB$6+ACUTE_MARGIN)</f>
        <v>0.0</v>
      </c>
      <c r="GF274" s="13">
        <f>IF(GB274=1,$GB$31,$GB$32)</f>
        <v>152394.16214437486</v>
      </c>
      <c r="GG274" s="13">
        <f>GE274-GF274</f>
        <v>-152394.16214437486</v>
      </c>
      <c r="GH274" s="13">
        <f>GH273+GG274</f>
        <v>9121685.65869674</v>
      </c>
      <c r="GI274">
        <f>IF(GH274=MAX($GH$83:$GH$483),$A274,0)</f>
        <v>0</v>
      </c>
      <c r="GJ274">
        <f>IF(GE274&lt;GF274,$A274,B_MAX+1)</f>
        <v>191</v>
      </c>
      <c r="GK274" s="13">
        <f>IF(GB274=1,$GB$35,$GB$36)</f>
        <v>0</v>
      </c>
      <c r="GL274" s="13">
        <f>OCC_DAYS*$GB$41*R_NF_2023-GD274*MCD_SHARE_FREED*R_WAIT_2023</f>
        <v>151980.48282209205</v>
      </c>
      <c r="GM274">
        <f>IF($A274&lt;=$GB$45,1,0)</f>
        <v>0</v>
      </c>
      <c r="HB274">
        <f>IF($HB$31&lt;=$HB$32,IF($A274&lt;=$HB$7,1,2),IF($A274&lt;=RUNG_BEDS_2,2,1))</f>
        <v>1</v>
      </c>
      <c r="HC274" s="5">
        <f>MIN(1,MAX(0,$HB$26-($A274-1)))</f>
        <v>0</v>
      </c>
      <c r="HD274" s="5">
        <f>$HB$25*(HC274+(1-HC274)*$HB$16)</f>
        <v>0.0</v>
      </c>
      <c r="HE274" s="13">
        <f>HD274*($HB$6+ACUTE_MARGIN)</f>
        <v>0.0</v>
      </c>
      <c r="HF274" s="13">
        <f>IF(HB274=1,$HB$31,$HB$32)</f>
        <v>152456.2970814058</v>
      </c>
      <c r="HG274" s="13">
        <f>HE274-HF274</f>
        <v>-152456.2970814058</v>
      </c>
      <c r="HH274" s="13">
        <f>HH273+HG274</f>
        <v>9109817.885723798</v>
      </c>
      <c r="HI274">
        <f>IF(HH274=MAX($HH$83:$HH$483),$A274,0)</f>
        <v>0</v>
      </c>
      <c r="HJ274">
        <f>IF(HE274&lt;HF274,$A274,B_MAX+1)</f>
        <v>191</v>
      </c>
      <c r="HK274" s="13">
        <f>IF(HB274=1,$HB$35,$HB$36)</f>
        <v>0</v>
      </c>
      <c r="HL274" s="13">
        <f>OCC_DAYS*$HB$41*R_NF_2023-HD274*MCD_SHARE_FREED*R_WAIT_2023</f>
        <v>151980.48282209205</v>
      </c>
      <c r="HM274">
        <f>IF($A274&lt;=$HB$45,1,0)</f>
        <v>0</v>
      </c>
      <c r="IB274">
        <f>IF($IB$31&lt;=$IB$32,IF($A274&lt;=$IB$7,1,2),IF($A274&lt;=RUNG_BEDS_2,2,1))</f>
        <v>1</v>
      </c>
      <c r="IC274" s="5">
        <f>MIN(1,MAX(0,$IB$26-($A274-1)))</f>
        <v>0</v>
      </c>
      <c r="ID274" s="5">
        <f>$IB$25*(IC274+(1-IC274)*$IB$16)</f>
        <v>0.0</v>
      </c>
      <c r="IE274" s="13">
        <f>ID274*($IB$6+ACUTE_MARGIN)</f>
        <v>0.0</v>
      </c>
      <c r="IF274" s="13">
        <f>IF(IB274=1,$IB$31,$IB$32)</f>
        <v>152734.9994534971</v>
      </c>
      <c r="IG274" s="13">
        <f>IE274-IF274</f>
        <v>-152734.9994534971</v>
      </c>
      <c r="IH274" s="13">
        <f>IH273+IG274</f>
        <v>9056585.732654294</v>
      </c>
      <c r="II274">
        <f>IF(IH274=MAX($IH$83:$IH$483),$A274,0)</f>
        <v>0</v>
      </c>
      <c r="IJ274">
        <f>IF(IE274&lt;IF274,$A274,B_MAX+1)</f>
        <v>191</v>
      </c>
      <c r="IK274" s="13">
        <f>IF(IB274=1,$IB$35,$IB$36)</f>
        <v>0</v>
      </c>
      <c r="IL274" s="13">
        <f>OCC_DAYS*$IB$41*R_NF_2023-ID274*MCD_SHARE_FREED*R_WAIT_2023</f>
        <v>151980.48282209205</v>
      </c>
      <c r="IM274">
        <f>IF($A274&lt;=$IB$45,1,0)</f>
        <v>0</v>
      </c>
      <c r="JB274">
        <f>IF($JB$31&lt;=$JB$32,IF($A274&lt;=$JB$7,1,2),IF($A274&lt;=RUNG_BEDS_2,2,1))</f>
        <v>1</v>
      </c>
      <c r="JC274" s="5">
        <f>MIN(1,MAX(0,$JB$26-($A274-1)))</f>
        <v>0</v>
      </c>
      <c r="JD274" s="5">
        <f>$JB$25*(JC274+(1-JC274)*$JB$16)</f>
        <v>0.0</v>
      </c>
      <c r="JE274" s="13">
        <f>JD274*($JB$6+ACUTE_MARGIN)</f>
        <v>0.0</v>
      </c>
      <c r="JF274" s="13">
        <f>IF(JB274=1,$JB$31,$JB$32)</f>
        <v>152394.16214437486</v>
      </c>
      <c r="JG274" s="13">
        <f>JE274-JF274</f>
        <v>-152394.16214437486</v>
      </c>
      <c r="JH274" s="13">
        <f>JH273+JG274</f>
        <v>9121685.65869674</v>
      </c>
      <c r="JI274">
        <f>IF(JH274=MAX($JH$83:$JH$483),$A274,0)</f>
        <v>0</v>
      </c>
      <c r="JJ274">
        <f>IF(JE274&lt;JF274,$A274,B_MAX+1)</f>
        <v>191</v>
      </c>
      <c r="JK274" s="13">
        <f>IF(JB274=1,$JB$35,$JB$36)</f>
        <v>0</v>
      </c>
      <c r="JL274" s="13">
        <f>OCC_DAYS*$JB$41*R_NF_2023-JD274*MCD_SHARE_FREED*R_WAIT_2023</f>
        <v>151980.48282209205</v>
      </c>
      <c r="JM274">
        <f>IF($A274&lt;=$JB$45,1,0)</f>
        <v>0</v>
      </c>
      <c r="KB274">
        <f>IF($KB$31&lt;=$KB$32,IF($A274&lt;=$KB$7,1,2),IF($A274&lt;=RUNG_BEDS_2,2,1))</f>
        <v>1</v>
      </c>
      <c r="KC274" s="5">
        <f>MIN(1,MAX(0,$KB$26-($A274-1)))</f>
        <v>1</v>
      </c>
      <c r="KD274" s="5">
        <f>$KB$25*(KC274+(1-KC274)*$KB$16)</f>
        <v>126.02661357340719</v>
      </c>
      <c r="KE274" s="13">
        <f>KD274*($KB$6+ACUTE_MARGIN)</f>
        <v>127286.87970914126</v>
      </c>
      <c r="KF274" s="13">
        <f>IF(KB274=1,$KB$31,$KB$32)</f>
        <v>152394.16214437486</v>
      </c>
      <c r="KG274" s="13">
        <f>KE274-KF274</f>
        <v>-25107.282435233603</v>
      </c>
      <c r="KH274" s="13">
        <f>KH273+KG274</f>
        <v>-4795490.945129633</v>
      </c>
      <c r="KI274">
        <f>IF(KH274=MAX($KH$83:$KH$483),$A274,0)</f>
        <v>0</v>
      </c>
      <c r="KJ274">
        <f>IF(KE274&lt;KF274,$A274,B_MAX+1)</f>
        <v>191</v>
      </c>
      <c r="KK274" s="13">
        <f>IF(KB274=1,$KB$35,$KB$36)</f>
        <v>0</v>
      </c>
      <c r="KL274" s="13">
        <f>OCC_DAYS*$KB$41*R_NF_2023-KD274*MCD_SHARE_FREED*R_WAIT_2023</f>
        <v>94673.82103225985</v>
      </c>
      <c r="KM274">
        <f>IF($A274&lt;=$KB$45,1,0)</f>
        <v>0</v>
      </c>
      <c r="LB274">
        <f>IF($LB$31&lt;=$LB$32,IF($A274&lt;=$LB$7,1,2),IF($A274&lt;=RUNG_BEDS_2,2,1))</f>
        <v>1</v>
      </c>
      <c r="LC274" s="5">
        <f>MIN(1,MAX(0,$LB$26-($A274-1)))</f>
        <v>1</v>
      </c>
      <c r="LD274" s="5">
        <f>$LB$25*(LC274+(1-LC274)*$LB$16)</f>
        <v>84.01774238227146</v>
      </c>
      <c r="LE274" s="13">
        <f>LD274*($LB$6+ACUTE_MARGIN)</f>
        <v>84857.91980609419</v>
      </c>
      <c r="LF274" s="13">
        <f>IF(LB274=1,$LB$31,$LB$32)</f>
        <v>152394.16214437486</v>
      </c>
      <c r="LG274" s="13">
        <f>LE274-LF274</f>
        <v>-67536.24233828067</v>
      </c>
      <c r="LH274" s="13">
        <f>LH273+LG274</f>
        <v>-12899422.286611665</v>
      </c>
      <c r="LI274">
        <f>IF(LH274=MAX($LH$83:$LH$483),$A274,0)</f>
        <v>0</v>
      </c>
      <c r="LJ274">
        <f>IF(LE274&lt;LF274,$A274,B_MAX+1)</f>
        <v>191</v>
      </c>
      <c r="LK274" s="13">
        <f>IF(LB274=1,$LB$35,$LB$36)</f>
        <v>0</v>
      </c>
      <c r="LL274" s="13">
        <f>OCC_DAYS*$LB$41*R_NF_2023-LD274*MCD_SHARE_FREED*R_WAIT_2023</f>
        <v>113776.04162887059</v>
      </c>
      <c r="LM274">
        <f>IF($A274&lt;=$LB$45,1,0)</f>
        <v>0</v>
      </c>
      <c r="MB274">
        <f>IF($MB$31&lt;=$MB$32,IF($A274&lt;=$MB$7,1,2),IF($A274&lt;=RUNG_BEDS_2,2,1))</f>
        <v>1</v>
      </c>
      <c r="MC274" s="5">
        <f>MIN(1,MAX(0,$MB$26-($A274-1)))</f>
        <v>0</v>
      </c>
      <c r="MD274" s="5">
        <f>$MB$25*(MC274+(1-MC274)*$MB$16)</f>
        <v>0.0</v>
      </c>
      <c r="ME274" s="13">
        <f>MD274*($MB$6+ACUTE_MARGIN)</f>
        <v>0.0</v>
      </c>
      <c r="MF274" s="13">
        <f>IF(MB274=1,$MB$31,$MB$32)</f>
        <v>152394.16214437486</v>
      </c>
      <c r="MG274" s="13">
        <f>ME274-MF274</f>
        <v>-152394.16214437486</v>
      </c>
      <c r="MH274" s="13">
        <f>MH273+MG274</f>
        <v>3234409.5968984086</v>
      </c>
      <c r="MI274">
        <f>IF(MH274=MAX($MH$83:$MH$483),$A274,0)</f>
        <v>0</v>
      </c>
      <c r="MJ274">
        <f>IF(ME274&lt;MF274,$A274,B_MAX+1)</f>
        <v>191</v>
      </c>
      <c r="MK274" s="13">
        <f>IF(MB274=1,$MB$35,$MB$36)</f>
        <v>0</v>
      </c>
      <c r="ML274" s="13">
        <f>OCC_DAYS*$MB$41*R_NF_2023-MD274*MCD_SHARE_FREED*R_WAIT_2023</f>
        <v>151980.48282209205</v>
      </c>
      <c r="MM274">
        <f>IF($A274&lt;=$MB$45,1,0)</f>
        <v>0</v>
      </c>
      <c r="NB274">
        <f>IF($NB$31&lt;=$NB$32,IF($A274&lt;=$NB$7,1,2),IF($A274&lt;=RUNG_BEDS_2,2,1))</f>
        <v>1</v>
      </c>
      <c r="NC274" s="5">
        <f>MIN(1,MAX(0,$NB$26-($A274-1)))</f>
        <v>0</v>
      </c>
      <c r="ND274" s="5">
        <f>$NB$25*(NC274+(1-NC274)*$NB$16)</f>
        <v>63.013306786703595</v>
      </c>
      <c r="NE274" s="13">
        <f>ND274*($NB$6+ACUTE_MARGIN)</f>
        <v>63643.43985457063</v>
      </c>
      <c r="NF274" s="13">
        <f>IF(NB274=1,$NB$31,$NB$32)</f>
        <v>152394.16214437486</v>
      </c>
      <c r="NG274" s="13">
        <f>NE274-NF274</f>
        <v>-88750.72228980422</v>
      </c>
      <c r="NH274" s="13">
        <f>NH273+NG274</f>
        <v>11720340.013851631</v>
      </c>
      <c r="NI274">
        <f>IF(NH274=MAX($NH$83:$NH$483),$A274,0)</f>
        <v>0</v>
      </c>
      <c r="NJ274">
        <f>IF(NE274&lt;NF274,$A274,B_MAX+1)</f>
        <v>191</v>
      </c>
      <c r="NK274" s="13">
        <f>IF(NB274=1,$NB$35,$NB$36)</f>
        <v>0</v>
      </c>
      <c r="NL274" s="13">
        <f>OCC_DAYS*$NB$41*R_NF_2023-ND274*MCD_SHARE_FREED*R_WAIT_2023</f>
        <v>123327.15192717595</v>
      </c>
      <c r="NM274">
        <f>IF($A274&lt;=$NB$45,1,0)</f>
        <v>0</v>
      </c>
      <c r="OB274">
        <f>IF($OB$31&lt;=$OB$32,IF($A274&lt;=$OB$7,1,2),IF($A274&lt;=RUNG_BEDS_2,2,1))</f>
        <v>1</v>
      </c>
      <c r="OC274" s="5">
        <f>MIN(1,MAX(0,$OB$26-($A274-1)))</f>
        <v>0</v>
      </c>
      <c r="OD274" s="5">
        <f>$OB$25*(OC274+(1-OC274)*$OB$16)</f>
        <v>126.02661357340719</v>
      </c>
      <c r="OE274" s="13">
        <f>OD274*($OB$6+ACUTE_MARGIN)</f>
        <v>127286.87970914126</v>
      </c>
      <c r="OF274" s="13">
        <f>IF(OB274=1,$OB$31,$OB$32)</f>
        <v>152394.16214437486</v>
      </c>
      <c r="OG274" s="13">
        <f>OE274-OF274</f>
        <v>-25107.282435233603</v>
      </c>
      <c r="OH274" s="13">
        <f>OH273+OG274</f>
        <v>14318994.369006598</v>
      </c>
      <c r="OI274">
        <f>IF(OH274=MAX($OH$83:$OH$483),$A274,0)</f>
        <v>0</v>
      </c>
      <c r="OJ274">
        <f>IF(OE274&lt;OF274,$A274,B_MAX+1)</f>
        <v>191</v>
      </c>
      <c r="OK274" s="13">
        <f>IF(OB274=1,$OB$35,$OB$36)</f>
        <v>0</v>
      </c>
      <c r="OL274" s="13">
        <f>OCC_DAYS*$OB$41*R_NF_2023-OD274*MCD_SHARE_FREED*R_WAIT_2023</f>
        <v>94673.82103225985</v>
      </c>
      <c r="OM274">
        <f>IF($A274&lt;=$OB$45,1,0)</f>
        <v>0</v>
      </c>
    </row>
    <row r="275">
      <c r="A275" t="n">
        <v>192</v>
      </c>
      <c r="B275">
        <f>IF($B$31&lt;=$B$32,IF($A275&lt;=$B$7,1,2),IF($A275&lt;=RUNG_BEDS_2,2,1))</f>
        <v>1</v>
      </c>
      <c r="C275" s="5">
        <f>MIN(1,MAX(0,$B$26-($A275-1)))</f>
        <v>0</v>
      </c>
      <c r="D275" s="5">
        <f>$B$25*(C275+(1-C275)*$B$16)</f>
        <v>0.0</v>
      </c>
      <c r="E275" s="13">
        <f>D275*($B$6+ACUTE_MARGIN)</f>
        <v>0.0</v>
      </c>
      <c r="F275" s="13">
        <f>IF(B275=1,$B$31,$B$32)</f>
        <v>152394.16214437486</v>
      </c>
      <c r="G275" s="13">
        <f>E275-F275</f>
        <v>-152394.16214437486</v>
      </c>
      <c r="H275" s="13">
        <f>H274+G275</f>
        <v>8969291.496552367</v>
      </c>
      <c r="I275">
        <f>IF(H275=MAX($H$83:$H$483),$A275,0)</f>
        <v>0</v>
      </c>
      <c r="J275">
        <f>IF(E275&lt;F275,$A275,B_MAX+1)</f>
        <v>192</v>
      </c>
      <c r="K275" s="13">
        <f>IF(B275=1,$B$35,$B$36)</f>
        <v>0</v>
      </c>
      <c r="L275" s="13">
        <f>OCC_DAYS*$B$41*R_NF_2023-D275*MCD_SHARE_FREED*R_WAIT_2023</f>
        <v>151980.48282209205</v>
      </c>
      <c r="M275">
        <f>IF($A275&lt;=$B$45,1,0)</f>
        <v>0</v>
      </c>
      <c r="AB275">
        <f>IF($AB$31&lt;=$AB$32,IF($A275&lt;=$AB$7,1,2),IF($A275&lt;=RUNG_BEDS_2,2,1))</f>
        <v>1</v>
      </c>
      <c r="AC275" s="5">
        <f>MIN(1,MAX(0,$AB$26-($A275-1)))</f>
        <v>0</v>
      </c>
      <c r="AD275" s="5">
        <f>$AB$25*(AC275+(1-AC275)*$AB$16)</f>
        <v>0.0</v>
      </c>
      <c r="AE275" s="13">
        <f>AD275*($AB$6+ACUTE_MARGIN)</f>
        <v>0.0</v>
      </c>
      <c r="AF275" s="13">
        <f>IF(AB275=1,$AB$31,$AB$32)</f>
        <v>152394.16214437486</v>
      </c>
      <c r="AG275" s="13">
        <f>AE275-AF275</f>
        <v>-152394.16214437486</v>
      </c>
      <c r="AH275" s="13">
        <f>AH274+AG275</f>
        <v>-8441922.848997464</v>
      </c>
      <c r="AI275">
        <f>IF(AH275=MAX($AH$83:$AH$483),$A275,0)</f>
        <v>0</v>
      </c>
      <c r="AJ275">
        <f>IF(AE275&lt;AF275,$A275,B_MAX+1)</f>
        <v>192</v>
      </c>
      <c r="AK275" s="13">
        <f>IF(AB275=1,$AB$35,$AB$36)</f>
        <v>0</v>
      </c>
      <c r="AL275" s="13">
        <f>OCC_DAYS*$AB$41*R_NF_2023-AD275*MCD_SHARE_FREED*R_WAIT_2023</f>
        <v>151980.48282209205</v>
      </c>
      <c r="AM275">
        <f>IF($A275&lt;=$AB$45,1,0)</f>
        <v>0</v>
      </c>
      <c r="BB275">
        <f>IF($BB$31&lt;=$BB$32,IF($A275&lt;=$BB$7,1,2),IF($A275&lt;=RUNG_BEDS_2,2,1))</f>
        <v>1</v>
      </c>
      <c r="BC275" s="5">
        <f>MIN(1,MAX(0,$BB$26-($A275-1)))</f>
        <v>0</v>
      </c>
      <c r="BD275" s="5">
        <f>$BB$25*(BC275+(1-BC275)*$BB$16)</f>
        <v>0.0</v>
      </c>
      <c r="BE275" s="13">
        <f>BD275*($BB$6+ACUTE_MARGIN)</f>
        <v>0.0</v>
      </c>
      <c r="BF275" s="13">
        <f>IF(BB275=1,$BB$31,$BB$32)</f>
        <v>152394.16214437486</v>
      </c>
      <c r="BG275" s="13">
        <f>BE275-BF275</f>
        <v>-152394.16214437486</v>
      </c>
      <c r="BH275" s="13">
        <f>BH274+BG275</f>
        <v>26380505.84210203</v>
      </c>
      <c r="BI275">
        <f>IF(BH275=MAX($BH$83:$BH$483),$A275,0)</f>
        <v>0</v>
      </c>
      <c r="BJ275">
        <f>IF(BE275&lt;BF275,$A275,B_MAX+1)</f>
        <v>192</v>
      </c>
      <c r="BK275" s="13">
        <f>IF(BB275=1,$BB$35,$BB$36)</f>
        <v>0</v>
      </c>
      <c r="BL275" s="13">
        <f>OCC_DAYS*$BB$41*R_NF_2023-BD275*MCD_SHARE_FREED*R_WAIT_2023</f>
        <v>151980.48282209205</v>
      </c>
      <c r="BM275">
        <f>IF($A275&lt;=$BB$45,1,0)</f>
        <v>0</v>
      </c>
      <c r="CB275">
        <f>IF($CB$31&lt;=$CB$32,IF($A275&lt;=$CB$7,1,2),IF($A275&lt;=RUNG_BEDS_2,2,1))</f>
        <v>2</v>
      </c>
      <c r="CC275" s="5">
        <f>MIN(1,MAX(0,$CB$26-($A275-1)))</f>
        <v>0</v>
      </c>
      <c r="CD275" s="5">
        <f>$CB$25*(CC275+(1-CC275)*$CB$16)</f>
        <v>0.0</v>
      </c>
      <c r="CE275" s="13">
        <f>CD275*($CB$6+ACUTE_MARGIN)</f>
        <v>0.0</v>
      </c>
      <c r="CF275" s="13">
        <f>IF(CB275=1,$CB$31,$CB$32)</f>
        <v>160718.36940738867</v>
      </c>
      <c r="CG275" s="13">
        <f>CE275-CF275</f>
        <v>-160718.36940738867</v>
      </c>
      <c r="CH275" s="13">
        <f>CH274+CG275</f>
        <v>7371043.702053593</v>
      </c>
      <c r="CI275">
        <f>IF(CH275=MAX($CH$83:$CH$483),$A275,0)</f>
        <v>0</v>
      </c>
      <c r="CJ275">
        <f>IF(CE275&lt;CF275,$A275,B_MAX+1)</f>
        <v>192</v>
      </c>
      <c r="CK275" s="13">
        <f>IF(CB275=1,$CB$35,$CB$36)</f>
        <v>1560.1194073886782</v>
      </c>
      <c r="CL275" s="13">
        <f>OCC_DAYS*$CB$41*R_NF_2023-CD275*MCD_SHARE_FREED*R_WAIT_2023</f>
        <v>151980.48282209205</v>
      </c>
      <c r="CM275">
        <f>IF($A275&lt;=$CB$45,1,0)</f>
        <v>0</v>
      </c>
      <c r="DB275">
        <f>IF($DB$31&lt;=$DB$32,IF($A275&lt;=$DB$7,1,2),IF($A275&lt;=RUNG_BEDS_2,2,1))</f>
        <v>1</v>
      </c>
      <c r="DC275" s="5">
        <f>MIN(1,MAX(0,$DB$26-($A275-1)))</f>
        <v>0</v>
      </c>
      <c r="DD275" s="5">
        <f>$DB$25*(DC275+(1-DC275)*$DB$16)</f>
        <v>0.0</v>
      </c>
      <c r="DE275" s="13">
        <f>DD275*($DB$6+ACUTE_MARGIN)</f>
        <v>0.0</v>
      </c>
      <c r="DF275" s="13">
        <f>IF(DB275=1,$DB$31,$DB$32)</f>
        <v>152394.16214437486</v>
      </c>
      <c r="DG275" s="13">
        <f>DE275-DF275</f>
        <v>-152394.16214437486</v>
      </c>
      <c r="DH275" s="13">
        <f>DH274+DG275</f>
        <v>8969291.496552367</v>
      </c>
      <c r="DI275">
        <f>IF(DH275=MAX($DH$83:$DH$483),$A275,0)</f>
        <v>0</v>
      </c>
      <c r="DJ275">
        <f>IF(DE275&lt;DF275,$A275,B_MAX+1)</f>
        <v>192</v>
      </c>
      <c r="DK275" s="13">
        <f>IF(DB275=1,$DB$35,$DB$36)</f>
        <v>0</v>
      </c>
      <c r="DL275" s="13">
        <f>OCC_DAYS*$DB$41*R_NF_2023-DD275*MCD_SHARE_FREED*R_WAIT_2023</f>
        <v>151980.48282209205</v>
      </c>
      <c r="DM275">
        <f>IF($A275&lt;=$DB$45,1,0)</f>
        <v>0</v>
      </c>
      <c r="EB275">
        <f>IF($EB$31&lt;=$EB$32,IF($A275&lt;=$EB$7,1,2),IF($A275&lt;=RUNG_BEDS_2,2,1))</f>
        <v>1</v>
      </c>
      <c r="EC275" s="5">
        <f>MIN(1,MAX(0,$EB$26-($A275-1)))</f>
        <v>0</v>
      </c>
      <c r="ED275" s="5">
        <f>$EB$25*(EC275+(1-EC275)*$EB$16)</f>
        <v>0.0</v>
      </c>
      <c r="EE275" s="13">
        <f>ED275*($EB$6+ACUTE_MARGIN)</f>
        <v>0.0</v>
      </c>
      <c r="EF275" s="13">
        <f>IF(EB275=1,$EB$31,$EB$32)</f>
        <v>152394.16214437486</v>
      </c>
      <c r="EG275" s="13">
        <f>EE275-EF275</f>
        <v>-152394.16214437486</v>
      </c>
      <c r="EH275" s="13">
        <f>EH274+EG275</f>
        <v>8969291.496552367</v>
      </c>
      <c r="EI275">
        <f>IF(EH275=MAX($EH$83:$EH$483),$A275,0)</f>
        <v>0</v>
      </c>
      <c r="EJ275">
        <f>IF(EE275&lt;EF275,$A275,B_MAX+1)</f>
        <v>192</v>
      </c>
      <c r="EK275" s="13">
        <f>IF(EB275=1,$EB$35,$EB$36)</f>
        <v>0</v>
      </c>
      <c r="EL275" s="13">
        <f>OCC_DAYS*$EB$41*R_NF_2023-ED275*MCD_SHARE_FREED*R_WAIT_2023</f>
        <v>50660.16094069735</v>
      </c>
      <c r="EM275">
        <f>IF($A275&lt;=$EB$45,1,0)</f>
        <v>0</v>
      </c>
      <c r="FB275">
        <f>IF($FB$31&lt;=$FB$32,IF($A275&lt;=$FB$7,1,2),IF($A275&lt;=RUNG_BEDS_2,2,1))</f>
        <v>1</v>
      </c>
      <c r="FC275" s="5">
        <f>MIN(1,MAX(0,$FB$26-($A275-1)))</f>
        <v>0</v>
      </c>
      <c r="FD275" s="5">
        <f>$FB$25*(FC275+(1-FC275)*$FB$16)</f>
        <v>0.0</v>
      </c>
      <c r="FE275" s="13">
        <f>FD275*($FB$6+ACUTE_MARGIN)</f>
        <v>0.0</v>
      </c>
      <c r="FF275" s="13">
        <f>IF(FB275=1,$FB$31,$FB$32)</f>
        <v>156636.04979437485</v>
      </c>
      <c r="FG275" s="13">
        <f>FE275-FF275</f>
        <v>-156636.04979437485</v>
      </c>
      <c r="FH275" s="13">
        <f>FH274+FG275</f>
        <v>8154849.067752253</v>
      </c>
      <c r="FI275">
        <f>IF(FH275=MAX($FH$83:$FH$483),$A275,0)</f>
        <v>0</v>
      </c>
      <c r="FJ275">
        <f>IF(FE275&lt;FF275,$A275,B_MAX+1)</f>
        <v>192</v>
      </c>
      <c r="FK275" s="13">
        <f>IF(FB275=1,$FB$35,$FB$36)</f>
        <v>0</v>
      </c>
      <c r="FL275" s="13">
        <f>OCC_DAYS*$FB$41*R_NF_2023-FD275*MCD_SHARE_FREED*R_WAIT_2023</f>
        <v>151980.48282209205</v>
      </c>
      <c r="FM275">
        <f>IF($A275&lt;=$FB$45,1,0)</f>
        <v>0</v>
      </c>
      <c r="GB275">
        <f>IF($GB$31&lt;=$GB$32,IF($A275&lt;=$GB$7,1,2),IF($A275&lt;=RUNG_BEDS_2,2,1))</f>
        <v>1</v>
      </c>
      <c r="GC275" s="5">
        <f>MIN(1,MAX(0,$GB$26-($A275-1)))</f>
        <v>0</v>
      </c>
      <c r="GD275" s="5">
        <f>$GB$25*(GC275+(1-GC275)*$GB$16)</f>
        <v>0.0</v>
      </c>
      <c r="GE275" s="13">
        <f>GD275*($GB$6+ACUTE_MARGIN)</f>
        <v>0.0</v>
      </c>
      <c r="GF275" s="13">
        <f>IF(GB275=1,$GB$31,$GB$32)</f>
        <v>152394.16214437486</v>
      </c>
      <c r="GG275" s="13">
        <f>GE275-GF275</f>
        <v>-152394.16214437486</v>
      </c>
      <c r="GH275" s="13">
        <f>GH274+GG275</f>
        <v>8969291.496552367</v>
      </c>
      <c r="GI275">
        <f>IF(GH275=MAX($GH$83:$GH$483),$A275,0)</f>
        <v>0</v>
      </c>
      <c r="GJ275">
        <f>IF(GE275&lt;GF275,$A275,B_MAX+1)</f>
        <v>192</v>
      </c>
      <c r="GK275" s="13">
        <f>IF(GB275=1,$GB$35,$GB$36)</f>
        <v>0</v>
      </c>
      <c r="GL275" s="13">
        <f>OCC_DAYS*$GB$41*R_NF_2023-GD275*MCD_SHARE_FREED*R_WAIT_2023</f>
        <v>151980.48282209205</v>
      </c>
      <c r="GM275">
        <f>IF($A275&lt;=$GB$45,1,0)</f>
        <v>0</v>
      </c>
      <c r="HB275">
        <f>IF($HB$31&lt;=$HB$32,IF($A275&lt;=$HB$7,1,2),IF($A275&lt;=RUNG_BEDS_2,2,1))</f>
        <v>1</v>
      </c>
      <c r="HC275" s="5">
        <f>MIN(1,MAX(0,$HB$26-($A275-1)))</f>
        <v>0</v>
      </c>
      <c r="HD275" s="5">
        <f>$HB$25*(HC275+(1-HC275)*$HB$16)</f>
        <v>0.0</v>
      </c>
      <c r="HE275" s="13">
        <f>HD275*($HB$6+ACUTE_MARGIN)</f>
        <v>0.0</v>
      </c>
      <c r="HF275" s="13">
        <f>IF(HB275=1,$HB$31,$HB$32)</f>
        <v>152456.2970814058</v>
      </c>
      <c r="HG275" s="13">
        <f>HE275-HF275</f>
        <v>-152456.2970814058</v>
      </c>
      <c r="HH275" s="13">
        <f>HH274+HG275</f>
        <v>8957361.588642392</v>
      </c>
      <c r="HI275">
        <f>IF(HH275=MAX($HH$83:$HH$483),$A275,0)</f>
        <v>0</v>
      </c>
      <c r="HJ275">
        <f>IF(HE275&lt;HF275,$A275,B_MAX+1)</f>
        <v>192</v>
      </c>
      <c r="HK275" s="13">
        <f>IF(HB275=1,$HB$35,$HB$36)</f>
        <v>0</v>
      </c>
      <c r="HL275" s="13">
        <f>OCC_DAYS*$HB$41*R_NF_2023-HD275*MCD_SHARE_FREED*R_WAIT_2023</f>
        <v>151980.48282209205</v>
      </c>
      <c r="HM275">
        <f>IF($A275&lt;=$HB$45,1,0)</f>
        <v>0</v>
      </c>
      <c r="IB275">
        <f>IF($IB$31&lt;=$IB$32,IF($A275&lt;=$IB$7,1,2),IF($A275&lt;=RUNG_BEDS_2,2,1))</f>
        <v>1</v>
      </c>
      <c r="IC275" s="5">
        <f>MIN(1,MAX(0,$IB$26-($A275-1)))</f>
        <v>0</v>
      </c>
      <c r="ID275" s="5">
        <f>$IB$25*(IC275+(1-IC275)*$IB$16)</f>
        <v>0.0</v>
      </c>
      <c r="IE275" s="13">
        <f>ID275*($IB$6+ACUTE_MARGIN)</f>
        <v>0.0</v>
      </c>
      <c r="IF275" s="13">
        <f>IF(IB275=1,$IB$31,$IB$32)</f>
        <v>152734.9994534971</v>
      </c>
      <c r="IG275" s="13">
        <f>IE275-IF275</f>
        <v>-152734.9994534971</v>
      </c>
      <c r="IH275" s="13">
        <f>IH274+IG275</f>
        <v>8903850.733200798</v>
      </c>
      <c r="II275">
        <f>IF(IH275=MAX($IH$83:$IH$483),$A275,0)</f>
        <v>0</v>
      </c>
      <c r="IJ275">
        <f>IF(IE275&lt;IF275,$A275,B_MAX+1)</f>
        <v>192</v>
      </c>
      <c r="IK275" s="13">
        <f>IF(IB275=1,$IB$35,$IB$36)</f>
        <v>0</v>
      </c>
      <c r="IL275" s="13">
        <f>OCC_DAYS*$IB$41*R_NF_2023-ID275*MCD_SHARE_FREED*R_WAIT_2023</f>
        <v>151980.48282209205</v>
      </c>
      <c r="IM275">
        <f>IF($A275&lt;=$IB$45,1,0)</f>
        <v>0</v>
      </c>
      <c r="JB275">
        <f>IF($JB$31&lt;=$JB$32,IF($A275&lt;=$JB$7,1,2),IF($A275&lt;=RUNG_BEDS_2,2,1))</f>
        <v>1</v>
      </c>
      <c r="JC275" s="5">
        <f>MIN(1,MAX(0,$JB$26-($A275-1)))</f>
        <v>0</v>
      </c>
      <c r="JD275" s="5">
        <f>$JB$25*(JC275+(1-JC275)*$JB$16)</f>
        <v>0.0</v>
      </c>
      <c r="JE275" s="13">
        <f>JD275*($JB$6+ACUTE_MARGIN)</f>
        <v>0.0</v>
      </c>
      <c r="JF275" s="13">
        <f>IF(JB275=1,$JB$31,$JB$32)</f>
        <v>152394.16214437486</v>
      </c>
      <c r="JG275" s="13">
        <f>JE275-JF275</f>
        <v>-152394.16214437486</v>
      </c>
      <c r="JH275" s="13">
        <f>JH274+JG275</f>
        <v>8969291.496552367</v>
      </c>
      <c r="JI275">
        <f>IF(JH275=MAX($JH$83:$JH$483),$A275,0)</f>
        <v>0</v>
      </c>
      <c r="JJ275">
        <f>IF(JE275&lt;JF275,$A275,B_MAX+1)</f>
        <v>192</v>
      </c>
      <c r="JK275" s="13">
        <f>IF(JB275=1,$JB$35,$JB$36)</f>
        <v>0</v>
      </c>
      <c r="JL275" s="13">
        <f>OCC_DAYS*$JB$41*R_NF_2023-JD275*MCD_SHARE_FREED*R_WAIT_2023</f>
        <v>151980.48282209205</v>
      </c>
      <c r="JM275">
        <f>IF($A275&lt;=$JB$45,1,0)</f>
        <v>0</v>
      </c>
      <c r="KB275">
        <f>IF($KB$31&lt;=$KB$32,IF($A275&lt;=$KB$7,1,2),IF($A275&lt;=RUNG_BEDS_2,2,1))</f>
        <v>1</v>
      </c>
      <c r="KC275" s="5">
        <f>MIN(1,MAX(0,$KB$26-($A275-1)))</f>
        <v>1</v>
      </c>
      <c r="KD275" s="5">
        <f>$KB$25*(KC275+(1-KC275)*$KB$16)</f>
        <v>126.02661357340719</v>
      </c>
      <c r="KE275" s="13">
        <f>KD275*($KB$6+ACUTE_MARGIN)</f>
        <v>127286.87970914126</v>
      </c>
      <c r="KF275" s="13">
        <f>IF(KB275=1,$KB$31,$KB$32)</f>
        <v>152394.16214437486</v>
      </c>
      <c r="KG275" s="13">
        <f>KE275-KF275</f>
        <v>-25107.282435233603</v>
      </c>
      <c r="KH275" s="13">
        <f>KH274+KG275</f>
        <v>-4820598.227564867</v>
      </c>
      <c r="KI275">
        <f>IF(KH275=MAX($KH$83:$KH$483),$A275,0)</f>
        <v>0</v>
      </c>
      <c r="KJ275">
        <f>IF(KE275&lt;KF275,$A275,B_MAX+1)</f>
        <v>192</v>
      </c>
      <c r="KK275" s="13">
        <f>IF(KB275=1,$KB$35,$KB$36)</f>
        <v>0</v>
      </c>
      <c r="KL275" s="13">
        <f>OCC_DAYS*$KB$41*R_NF_2023-KD275*MCD_SHARE_FREED*R_WAIT_2023</f>
        <v>94673.82103225985</v>
      </c>
      <c r="KM275">
        <f>IF($A275&lt;=$KB$45,1,0)</f>
        <v>0</v>
      </c>
      <c r="LB275">
        <f>IF($LB$31&lt;=$LB$32,IF($A275&lt;=$LB$7,1,2),IF($A275&lt;=RUNG_BEDS_2,2,1))</f>
        <v>1</v>
      </c>
      <c r="LC275" s="5">
        <f>MIN(1,MAX(0,$LB$26-($A275-1)))</f>
        <v>1</v>
      </c>
      <c r="LD275" s="5">
        <f>$LB$25*(LC275+(1-LC275)*$LB$16)</f>
        <v>84.01774238227146</v>
      </c>
      <c r="LE275" s="13">
        <f>LD275*($LB$6+ACUTE_MARGIN)</f>
        <v>84857.91980609419</v>
      </c>
      <c r="LF275" s="13">
        <f>IF(LB275=1,$LB$31,$LB$32)</f>
        <v>152394.16214437486</v>
      </c>
      <c r="LG275" s="13">
        <f>LE275-LF275</f>
        <v>-67536.24233828067</v>
      </c>
      <c r="LH275" s="13">
        <f>LH274+LG275</f>
        <v>-12966958.528949946</v>
      </c>
      <c r="LI275">
        <f>IF(LH275=MAX($LH$83:$LH$483),$A275,0)</f>
        <v>0</v>
      </c>
      <c r="LJ275">
        <f>IF(LE275&lt;LF275,$A275,B_MAX+1)</f>
        <v>192</v>
      </c>
      <c r="LK275" s="13">
        <f>IF(LB275=1,$LB$35,$LB$36)</f>
        <v>0</v>
      </c>
      <c r="LL275" s="13">
        <f>OCC_DAYS*$LB$41*R_NF_2023-LD275*MCD_SHARE_FREED*R_WAIT_2023</f>
        <v>113776.04162887059</v>
      </c>
      <c r="LM275">
        <f>IF($A275&lt;=$LB$45,1,0)</f>
        <v>0</v>
      </c>
      <c r="MB275">
        <f>IF($MB$31&lt;=$MB$32,IF($A275&lt;=$MB$7,1,2),IF($A275&lt;=RUNG_BEDS_2,2,1))</f>
        <v>1</v>
      </c>
      <c r="MC275" s="5">
        <f>MIN(1,MAX(0,$MB$26-($A275-1)))</f>
        <v>0</v>
      </c>
      <c r="MD275" s="5">
        <f>$MB$25*(MC275+(1-MC275)*$MB$16)</f>
        <v>0.0</v>
      </c>
      <c r="ME275" s="13">
        <f>MD275*($MB$6+ACUTE_MARGIN)</f>
        <v>0.0</v>
      </c>
      <c r="MF275" s="13">
        <f>IF(MB275=1,$MB$31,$MB$32)</f>
        <v>152394.16214437486</v>
      </c>
      <c r="MG275" s="13">
        <f>ME275-MF275</f>
        <v>-152394.16214437486</v>
      </c>
      <c r="MH275" s="13">
        <f>MH274+MG275</f>
        <v>3082015.4347540336</v>
      </c>
      <c r="MI275">
        <f>IF(MH275=MAX($MH$83:$MH$483),$A275,0)</f>
        <v>0</v>
      </c>
      <c r="MJ275">
        <f>IF(ME275&lt;MF275,$A275,B_MAX+1)</f>
        <v>192</v>
      </c>
      <c r="MK275" s="13">
        <f>IF(MB275=1,$MB$35,$MB$36)</f>
        <v>0</v>
      </c>
      <c r="ML275" s="13">
        <f>OCC_DAYS*$MB$41*R_NF_2023-MD275*MCD_SHARE_FREED*R_WAIT_2023</f>
        <v>151980.48282209205</v>
      </c>
      <c r="MM275">
        <f>IF($A275&lt;=$MB$45,1,0)</f>
        <v>0</v>
      </c>
      <c r="NB275">
        <f>IF($NB$31&lt;=$NB$32,IF($A275&lt;=$NB$7,1,2),IF($A275&lt;=RUNG_BEDS_2,2,1))</f>
        <v>1</v>
      </c>
      <c r="NC275" s="5">
        <f>MIN(1,MAX(0,$NB$26-($A275-1)))</f>
        <v>0</v>
      </c>
      <c r="ND275" s="5">
        <f>$NB$25*(NC275+(1-NC275)*$NB$16)</f>
        <v>63.013306786703595</v>
      </c>
      <c r="NE275" s="13">
        <f>ND275*($NB$6+ACUTE_MARGIN)</f>
        <v>63643.43985457063</v>
      </c>
      <c r="NF275" s="13">
        <f>IF(NB275=1,$NB$31,$NB$32)</f>
        <v>152394.16214437486</v>
      </c>
      <c r="NG275" s="13">
        <f>NE275-NF275</f>
        <v>-88750.72228980422</v>
      </c>
      <c r="NH275" s="13">
        <f>NH274+NG275</f>
        <v>11631589.291561827</v>
      </c>
      <c r="NI275">
        <f>IF(NH275=MAX($NH$83:$NH$483),$A275,0)</f>
        <v>0</v>
      </c>
      <c r="NJ275">
        <f>IF(NE275&lt;NF275,$A275,B_MAX+1)</f>
        <v>192</v>
      </c>
      <c r="NK275" s="13">
        <f>IF(NB275=1,$NB$35,$NB$36)</f>
        <v>0</v>
      </c>
      <c r="NL275" s="13">
        <f>OCC_DAYS*$NB$41*R_NF_2023-ND275*MCD_SHARE_FREED*R_WAIT_2023</f>
        <v>123327.15192717595</v>
      </c>
      <c r="NM275">
        <f>IF($A275&lt;=$NB$45,1,0)</f>
        <v>0</v>
      </c>
      <c r="OB275">
        <f>IF($OB$31&lt;=$OB$32,IF($A275&lt;=$OB$7,1,2),IF($A275&lt;=RUNG_BEDS_2,2,1))</f>
        <v>1</v>
      </c>
      <c r="OC275" s="5">
        <f>MIN(1,MAX(0,$OB$26-($A275-1)))</f>
        <v>0</v>
      </c>
      <c r="OD275" s="5">
        <f>$OB$25*(OC275+(1-OC275)*$OB$16)</f>
        <v>126.02661357340719</v>
      </c>
      <c r="OE275" s="13">
        <f>OD275*($OB$6+ACUTE_MARGIN)</f>
        <v>127286.87970914126</v>
      </c>
      <c r="OF275" s="13">
        <f>IF(OB275=1,$OB$31,$OB$32)</f>
        <v>152394.16214437486</v>
      </c>
      <c r="OG275" s="13">
        <f>OE275-OF275</f>
        <v>-25107.282435233603</v>
      </c>
      <c r="OH275" s="13">
        <f>OH274+OG275</f>
        <v>14293887.086571366</v>
      </c>
      <c r="OI275">
        <f>IF(OH275=MAX($OH$83:$OH$483),$A275,0)</f>
        <v>0</v>
      </c>
      <c r="OJ275">
        <f>IF(OE275&lt;OF275,$A275,B_MAX+1)</f>
        <v>192</v>
      </c>
      <c r="OK275" s="13">
        <f>IF(OB275=1,$OB$35,$OB$36)</f>
        <v>0</v>
      </c>
      <c r="OL275" s="13">
        <f>OCC_DAYS*$OB$41*R_NF_2023-OD275*MCD_SHARE_FREED*R_WAIT_2023</f>
        <v>94673.82103225985</v>
      </c>
      <c r="OM275">
        <f>IF($A275&lt;=$OB$45,1,0)</f>
        <v>0</v>
      </c>
    </row>
    <row r="276">
      <c r="A276" t="n">
        <v>193</v>
      </c>
      <c r="B276">
        <f>IF($B$31&lt;=$B$32,IF($A276&lt;=$B$7,1,2),IF($A276&lt;=RUNG_BEDS_2,2,1))</f>
        <v>1</v>
      </c>
      <c r="C276" s="5">
        <f>MIN(1,MAX(0,$B$26-($A276-1)))</f>
        <v>0</v>
      </c>
      <c r="D276" s="5">
        <f>$B$25*(C276+(1-C276)*$B$16)</f>
        <v>0.0</v>
      </c>
      <c r="E276" s="13">
        <f>D276*($B$6+ACUTE_MARGIN)</f>
        <v>0.0</v>
      </c>
      <c r="F276" s="13">
        <f>IF(B276=1,$B$31,$B$32)</f>
        <v>152394.16214437486</v>
      </c>
      <c r="G276" s="13">
        <f>E276-F276</f>
        <v>-152394.16214437486</v>
      </c>
      <c r="H276" s="13">
        <f>H275+G276</f>
        <v>8816897.334407993</v>
      </c>
      <c r="I276">
        <f>IF(H276=MAX($H$83:$H$483),$A276,0)</f>
        <v>0</v>
      </c>
      <c r="J276">
        <f>IF(E276&lt;F276,$A276,B_MAX+1)</f>
        <v>193</v>
      </c>
      <c r="K276" s="13">
        <f>IF(B276=1,$B$35,$B$36)</f>
        <v>0</v>
      </c>
      <c r="L276" s="13">
        <f>OCC_DAYS*$B$41*R_NF_2023-D276*MCD_SHARE_FREED*R_WAIT_2023</f>
        <v>151980.48282209205</v>
      </c>
      <c r="M276">
        <f>IF($A276&lt;=$B$45,1,0)</f>
        <v>0</v>
      </c>
      <c r="AB276">
        <f>IF($AB$31&lt;=$AB$32,IF($A276&lt;=$AB$7,1,2),IF($A276&lt;=RUNG_BEDS_2,2,1))</f>
        <v>1</v>
      </c>
      <c r="AC276" s="5">
        <f>MIN(1,MAX(0,$AB$26-($A276-1)))</f>
        <v>0</v>
      </c>
      <c r="AD276" s="5">
        <f>$AB$25*(AC276+(1-AC276)*$AB$16)</f>
        <v>0.0</v>
      </c>
      <c r="AE276" s="13">
        <f>AD276*($AB$6+ACUTE_MARGIN)</f>
        <v>0.0</v>
      </c>
      <c r="AF276" s="13">
        <f>IF(AB276=1,$AB$31,$AB$32)</f>
        <v>152394.16214437486</v>
      </c>
      <c r="AG276" s="13">
        <f>AE276-AF276</f>
        <v>-152394.16214437486</v>
      </c>
      <c r="AH276" s="13">
        <f>AH275+AG276</f>
        <v>-8594317.011141839</v>
      </c>
      <c r="AI276">
        <f>IF(AH276=MAX($AH$83:$AH$483),$A276,0)</f>
        <v>0</v>
      </c>
      <c r="AJ276">
        <f>IF(AE276&lt;AF276,$A276,B_MAX+1)</f>
        <v>193</v>
      </c>
      <c r="AK276" s="13">
        <f>IF(AB276=1,$AB$35,$AB$36)</f>
        <v>0</v>
      </c>
      <c r="AL276" s="13">
        <f>OCC_DAYS*$AB$41*R_NF_2023-AD276*MCD_SHARE_FREED*R_WAIT_2023</f>
        <v>151980.48282209205</v>
      </c>
      <c r="AM276">
        <f>IF($A276&lt;=$AB$45,1,0)</f>
        <v>0</v>
      </c>
      <c r="BB276">
        <f>IF($BB$31&lt;=$BB$32,IF($A276&lt;=$BB$7,1,2),IF($A276&lt;=RUNG_BEDS_2,2,1))</f>
        <v>1</v>
      </c>
      <c r="BC276" s="5">
        <f>MIN(1,MAX(0,$BB$26-($A276-1)))</f>
        <v>0</v>
      </c>
      <c r="BD276" s="5">
        <f>$BB$25*(BC276+(1-BC276)*$BB$16)</f>
        <v>0.0</v>
      </c>
      <c r="BE276" s="13">
        <f>BD276*($BB$6+ACUTE_MARGIN)</f>
        <v>0.0</v>
      </c>
      <c r="BF276" s="13">
        <f>IF(BB276=1,$BB$31,$BB$32)</f>
        <v>152394.16214437486</v>
      </c>
      <c r="BG276" s="13">
        <f>BE276-BF276</f>
        <v>-152394.16214437486</v>
      </c>
      <c r="BH276" s="13">
        <f>BH275+BG276</f>
        <v>26228111.679957654</v>
      </c>
      <c r="BI276">
        <f>IF(BH276=MAX($BH$83:$BH$483),$A276,0)</f>
        <v>0</v>
      </c>
      <c r="BJ276">
        <f>IF(BE276&lt;BF276,$A276,B_MAX+1)</f>
        <v>193</v>
      </c>
      <c r="BK276" s="13">
        <f>IF(BB276=1,$BB$35,$BB$36)</f>
        <v>0</v>
      </c>
      <c r="BL276" s="13">
        <f>OCC_DAYS*$BB$41*R_NF_2023-BD276*MCD_SHARE_FREED*R_WAIT_2023</f>
        <v>151980.48282209205</v>
      </c>
      <c r="BM276">
        <f>IF($A276&lt;=$BB$45,1,0)</f>
        <v>0</v>
      </c>
      <c r="CB276">
        <f>IF($CB$31&lt;=$CB$32,IF($A276&lt;=$CB$7,1,2),IF($A276&lt;=RUNG_BEDS_2,2,1))</f>
        <v>2</v>
      </c>
      <c r="CC276" s="5">
        <f>MIN(1,MAX(0,$CB$26-($A276-1)))</f>
        <v>0</v>
      </c>
      <c r="CD276" s="5">
        <f>$CB$25*(CC276+(1-CC276)*$CB$16)</f>
        <v>0.0</v>
      </c>
      <c r="CE276" s="13">
        <f>CD276*($CB$6+ACUTE_MARGIN)</f>
        <v>0.0</v>
      </c>
      <c r="CF276" s="13">
        <f>IF(CB276=1,$CB$31,$CB$32)</f>
        <v>160718.36940738867</v>
      </c>
      <c r="CG276" s="13">
        <f>CE276-CF276</f>
        <v>-160718.36940738867</v>
      </c>
      <c r="CH276" s="13">
        <f>CH275+CG276</f>
        <v>7210325.332646204</v>
      </c>
      <c r="CI276">
        <f>IF(CH276=MAX($CH$83:$CH$483),$A276,0)</f>
        <v>0</v>
      </c>
      <c r="CJ276">
        <f>IF(CE276&lt;CF276,$A276,B_MAX+1)</f>
        <v>193</v>
      </c>
      <c r="CK276" s="13">
        <f>IF(CB276=1,$CB$35,$CB$36)</f>
        <v>1560.1194073886782</v>
      </c>
      <c r="CL276" s="13">
        <f>OCC_DAYS*$CB$41*R_NF_2023-CD276*MCD_SHARE_FREED*R_WAIT_2023</f>
        <v>151980.48282209205</v>
      </c>
      <c r="CM276">
        <f>IF($A276&lt;=$CB$45,1,0)</f>
        <v>0</v>
      </c>
      <c r="DB276">
        <f>IF($DB$31&lt;=$DB$32,IF($A276&lt;=$DB$7,1,2),IF($A276&lt;=RUNG_BEDS_2,2,1))</f>
        <v>1</v>
      </c>
      <c r="DC276" s="5">
        <f>MIN(1,MAX(0,$DB$26-($A276-1)))</f>
        <v>0</v>
      </c>
      <c r="DD276" s="5">
        <f>$DB$25*(DC276+(1-DC276)*$DB$16)</f>
        <v>0.0</v>
      </c>
      <c r="DE276" s="13">
        <f>DD276*($DB$6+ACUTE_MARGIN)</f>
        <v>0.0</v>
      </c>
      <c r="DF276" s="13">
        <f>IF(DB276=1,$DB$31,$DB$32)</f>
        <v>152394.16214437486</v>
      </c>
      <c r="DG276" s="13">
        <f>DE276-DF276</f>
        <v>-152394.16214437486</v>
      </c>
      <c r="DH276" s="13">
        <f>DH275+DG276</f>
        <v>8816897.334407993</v>
      </c>
      <c r="DI276">
        <f>IF(DH276=MAX($DH$83:$DH$483),$A276,0)</f>
        <v>0</v>
      </c>
      <c r="DJ276">
        <f>IF(DE276&lt;DF276,$A276,B_MAX+1)</f>
        <v>193</v>
      </c>
      <c r="DK276" s="13">
        <f>IF(DB276=1,$DB$35,$DB$36)</f>
        <v>0</v>
      </c>
      <c r="DL276" s="13">
        <f>OCC_DAYS*$DB$41*R_NF_2023-DD276*MCD_SHARE_FREED*R_WAIT_2023</f>
        <v>151980.48282209205</v>
      </c>
      <c r="DM276">
        <f>IF($A276&lt;=$DB$45,1,0)</f>
        <v>0</v>
      </c>
      <c r="EB276">
        <f>IF($EB$31&lt;=$EB$32,IF($A276&lt;=$EB$7,1,2),IF($A276&lt;=RUNG_BEDS_2,2,1))</f>
        <v>1</v>
      </c>
      <c r="EC276" s="5">
        <f>MIN(1,MAX(0,$EB$26-($A276-1)))</f>
        <v>0</v>
      </c>
      <c r="ED276" s="5">
        <f>$EB$25*(EC276+(1-EC276)*$EB$16)</f>
        <v>0.0</v>
      </c>
      <c r="EE276" s="13">
        <f>ED276*($EB$6+ACUTE_MARGIN)</f>
        <v>0.0</v>
      </c>
      <c r="EF276" s="13">
        <f>IF(EB276=1,$EB$31,$EB$32)</f>
        <v>152394.16214437486</v>
      </c>
      <c r="EG276" s="13">
        <f>EE276-EF276</f>
        <v>-152394.16214437486</v>
      </c>
      <c r="EH276" s="13">
        <f>EH275+EG276</f>
        <v>8816897.334407993</v>
      </c>
      <c r="EI276">
        <f>IF(EH276=MAX($EH$83:$EH$483),$A276,0)</f>
        <v>0</v>
      </c>
      <c r="EJ276">
        <f>IF(EE276&lt;EF276,$A276,B_MAX+1)</f>
        <v>193</v>
      </c>
      <c r="EK276" s="13">
        <f>IF(EB276=1,$EB$35,$EB$36)</f>
        <v>0</v>
      </c>
      <c r="EL276" s="13">
        <f>OCC_DAYS*$EB$41*R_NF_2023-ED276*MCD_SHARE_FREED*R_WAIT_2023</f>
        <v>50660.16094069735</v>
      </c>
      <c r="EM276">
        <f>IF($A276&lt;=$EB$45,1,0)</f>
        <v>0</v>
      </c>
      <c r="FB276">
        <f>IF($FB$31&lt;=$FB$32,IF($A276&lt;=$FB$7,1,2),IF($A276&lt;=RUNG_BEDS_2,2,1))</f>
        <v>1</v>
      </c>
      <c r="FC276" s="5">
        <f>MIN(1,MAX(0,$FB$26-($A276-1)))</f>
        <v>0</v>
      </c>
      <c r="FD276" s="5">
        <f>$FB$25*(FC276+(1-FC276)*$FB$16)</f>
        <v>0.0</v>
      </c>
      <c r="FE276" s="13">
        <f>FD276*($FB$6+ACUTE_MARGIN)</f>
        <v>0.0</v>
      </c>
      <c r="FF276" s="13">
        <f>IF(FB276=1,$FB$31,$FB$32)</f>
        <v>156636.04979437485</v>
      </c>
      <c r="FG276" s="13">
        <f>FE276-FF276</f>
        <v>-156636.04979437485</v>
      </c>
      <c r="FH276" s="13">
        <f>FH275+FG276</f>
        <v>7998213.017957878</v>
      </c>
      <c r="FI276">
        <f>IF(FH276=MAX($FH$83:$FH$483),$A276,0)</f>
        <v>0</v>
      </c>
      <c r="FJ276">
        <f>IF(FE276&lt;FF276,$A276,B_MAX+1)</f>
        <v>193</v>
      </c>
      <c r="FK276" s="13">
        <f>IF(FB276=1,$FB$35,$FB$36)</f>
        <v>0</v>
      </c>
      <c r="FL276" s="13">
        <f>OCC_DAYS*$FB$41*R_NF_2023-FD276*MCD_SHARE_FREED*R_WAIT_2023</f>
        <v>151980.48282209205</v>
      </c>
      <c r="FM276">
        <f>IF($A276&lt;=$FB$45,1,0)</f>
        <v>0</v>
      </c>
      <c r="GB276">
        <f>IF($GB$31&lt;=$GB$32,IF($A276&lt;=$GB$7,1,2),IF($A276&lt;=RUNG_BEDS_2,2,1))</f>
        <v>1</v>
      </c>
      <c r="GC276" s="5">
        <f>MIN(1,MAX(0,$GB$26-($A276-1)))</f>
        <v>0</v>
      </c>
      <c r="GD276" s="5">
        <f>$GB$25*(GC276+(1-GC276)*$GB$16)</f>
        <v>0.0</v>
      </c>
      <c r="GE276" s="13">
        <f>GD276*($GB$6+ACUTE_MARGIN)</f>
        <v>0.0</v>
      </c>
      <c r="GF276" s="13">
        <f>IF(GB276=1,$GB$31,$GB$32)</f>
        <v>152394.16214437486</v>
      </c>
      <c r="GG276" s="13">
        <f>GE276-GF276</f>
        <v>-152394.16214437486</v>
      </c>
      <c r="GH276" s="13">
        <f>GH275+GG276</f>
        <v>8816897.334407993</v>
      </c>
      <c r="GI276">
        <f>IF(GH276=MAX($GH$83:$GH$483),$A276,0)</f>
        <v>0</v>
      </c>
      <c r="GJ276">
        <f>IF(GE276&lt;GF276,$A276,B_MAX+1)</f>
        <v>193</v>
      </c>
      <c r="GK276" s="13">
        <f>IF(GB276=1,$GB$35,$GB$36)</f>
        <v>0</v>
      </c>
      <c r="GL276" s="13">
        <f>OCC_DAYS*$GB$41*R_NF_2023-GD276*MCD_SHARE_FREED*R_WAIT_2023</f>
        <v>151980.48282209205</v>
      </c>
      <c r="GM276">
        <f>IF($A276&lt;=$GB$45,1,0)</f>
        <v>0</v>
      </c>
      <c r="HB276">
        <f>IF($HB$31&lt;=$HB$32,IF($A276&lt;=$HB$7,1,2),IF($A276&lt;=RUNG_BEDS_2,2,1))</f>
        <v>1</v>
      </c>
      <c r="HC276" s="5">
        <f>MIN(1,MAX(0,$HB$26-($A276-1)))</f>
        <v>0</v>
      </c>
      <c r="HD276" s="5">
        <f>$HB$25*(HC276+(1-HC276)*$HB$16)</f>
        <v>0.0</v>
      </c>
      <c r="HE276" s="13">
        <f>HD276*($HB$6+ACUTE_MARGIN)</f>
        <v>0.0</v>
      </c>
      <c r="HF276" s="13">
        <f>IF(HB276=1,$HB$31,$HB$32)</f>
        <v>152456.2970814058</v>
      </c>
      <c r="HG276" s="13">
        <f>HE276-HF276</f>
        <v>-152456.2970814058</v>
      </c>
      <c r="HH276" s="13">
        <f>HH275+HG276</f>
        <v>8804905.291560987</v>
      </c>
      <c r="HI276">
        <f>IF(HH276=MAX($HH$83:$HH$483),$A276,0)</f>
        <v>0</v>
      </c>
      <c r="HJ276">
        <f>IF(HE276&lt;HF276,$A276,B_MAX+1)</f>
        <v>193</v>
      </c>
      <c r="HK276" s="13">
        <f>IF(HB276=1,$HB$35,$HB$36)</f>
        <v>0</v>
      </c>
      <c r="HL276" s="13">
        <f>OCC_DAYS*$HB$41*R_NF_2023-HD276*MCD_SHARE_FREED*R_WAIT_2023</f>
        <v>151980.48282209205</v>
      </c>
      <c r="HM276">
        <f>IF($A276&lt;=$HB$45,1,0)</f>
        <v>0</v>
      </c>
      <c r="IB276">
        <f>IF($IB$31&lt;=$IB$32,IF($A276&lt;=$IB$7,1,2),IF($A276&lt;=RUNG_BEDS_2,2,1))</f>
        <v>1</v>
      </c>
      <c r="IC276" s="5">
        <f>MIN(1,MAX(0,$IB$26-($A276-1)))</f>
        <v>0</v>
      </c>
      <c r="ID276" s="5">
        <f>$IB$25*(IC276+(1-IC276)*$IB$16)</f>
        <v>0.0</v>
      </c>
      <c r="IE276" s="13">
        <f>ID276*($IB$6+ACUTE_MARGIN)</f>
        <v>0.0</v>
      </c>
      <c r="IF276" s="13">
        <f>IF(IB276=1,$IB$31,$IB$32)</f>
        <v>152734.9994534971</v>
      </c>
      <c r="IG276" s="13">
        <f>IE276-IF276</f>
        <v>-152734.9994534971</v>
      </c>
      <c r="IH276" s="13">
        <f>IH275+IG276</f>
        <v>8751115.733747302</v>
      </c>
      <c r="II276">
        <f>IF(IH276=MAX($IH$83:$IH$483),$A276,0)</f>
        <v>0</v>
      </c>
      <c r="IJ276">
        <f>IF(IE276&lt;IF276,$A276,B_MAX+1)</f>
        <v>193</v>
      </c>
      <c r="IK276" s="13">
        <f>IF(IB276=1,$IB$35,$IB$36)</f>
        <v>0</v>
      </c>
      <c r="IL276" s="13">
        <f>OCC_DAYS*$IB$41*R_NF_2023-ID276*MCD_SHARE_FREED*R_WAIT_2023</f>
        <v>151980.48282209205</v>
      </c>
      <c r="IM276">
        <f>IF($A276&lt;=$IB$45,1,0)</f>
        <v>0</v>
      </c>
      <c r="JB276">
        <f>IF($JB$31&lt;=$JB$32,IF($A276&lt;=$JB$7,1,2),IF($A276&lt;=RUNG_BEDS_2,2,1))</f>
        <v>1</v>
      </c>
      <c r="JC276" s="5">
        <f>MIN(1,MAX(0,$JB$26-($A276-1)))</f>
        <v>0</v>
      </c>
      <c r="JD276" s="5">
        <f>$JB$25*(JC276+(1-JC276)*$JB$16)</f>
        <v>0.0</v>
      </c>
      <c r="JE276" s="13">
        <f>JD276*($JB$6+ACUTE_MARGIN)</f>
        <v>0.0</v>
      </c>
      <c r="JF276" s="13">
        <f>IF(JB276=1,$JB$31,$JB$32)</f>
        <v>152394.16214437486</v>
      </c>
      <c r="JG276" s="13">
        <f>JE276-JF276</f>
        <v>-152394.16214437486</v>
      </c>
      <c r="JH276" s="13">
        <f>JH275+JG276</f>
        <v>8816897.334407993</v>
      </c>
      <c r="JI276">
        <f>IF(JH276=MAX($JH$83:$JH$483),$A276,0)</f>
        <v>0</v>
      </c>
      <c r="JJ276">
        <f>IF(JE276&lt;JF276,$A276,B_MAX+1)</f>
        <v>193</v>
      </c>
      <c r="JK276" s="13">
        <f>IF(JB276=1,$JB$35,$JB$36)</f>
        <v>0</v>
      </c>
      <c r="JL276" s="13">
        <f>OCC_DAYS*$JB$41*R_NF_2023-JD276*MCD_SHARE_FREED*R_WAIT_2023</f>
        <v>151980.48282209205</v>
      </c>
      <c r="JM276">
        <f>IF($A276&lt;=$JB$45,1,0)</f>
        <v>0</v>
      </c>
      <c r="KB276">
        <f>IF($KB$31&lt;=$KB$32,IF($A276&lt;=$KB$7,1,2),IF($A276&lt;=RUNG_BEDS_2,2,1))</f>
        <v>1</v>
      </c>
      <c r="KC276" s="5">
        <f>MIN(1,MAX(0,$KB$26-($A276-1)))</f>
        <v>1</v>
      </c>
      <c r="KD276" s="5">
        <f>$KB$25*(KC276+(1-KC276)*$KB$16)</f>
        <v>126.02661357340719</v>
      </c>
      <c r="KE276" s="13">
        <f>KD276*($KB$6+ACUTE_MARGIN)</f>
        <v>127286.87970914126</v>
      </c>
      <c r="KF276" s="13">
        <f>IF(KB276=1,$KB$31,$KB$32)</f>
        <v>152394.16214437486</v>
      </c>
      <c r="KG276" s="13">
        <f>KE276-KF276</f>
        <v>-25107.282435233603</v>
      </c>
      <c r="KH276" s="13">
        <f>KH275+KG276</f>
        <v>-4845705.5100001</v>
      </c>
      <c r="KI276">
        <f>IF(KH276=MAX($KH$83:$KH$483),$A276,0)</f>
        <v>0</v>
      </c>
      <c r="KJ276">
        <f>IF(KE276&lt;KF276,$A276,B_MAX+1)</f>
        <v>193</v>
      </c>
      <c r="KK276" s="13">
        <f>IF(KB276=1,$KB$35,$KB$36)</f>
        <v>0</v>
      </c>
      <c r="KL276" s="13">
        <f>OCC_DAYS*$KB$41*R_NF_2023-KD276*MCD_SHARE_FREED*R_WAIT_2023</f>
        <v>94673.82103225985</v>
      </c>
      <c r="KM276">
        <f>IF($A276&lt;=$KB$45,1,0)</f>
        <v>0</v>
      </c>
      <c r="LB276">
        <f>IF($LB$31&lt;=$LB$32,IF($A276&lt;=$LB$7,1,2),IF($A276&lt;=RUNG_BEDS_2,2,1))</f>
        <v>1</v>
      </c>
      <c r="LC276" s="5">
        <f>MIN(1,MAX(0,$LB$26-($A276-1)))</f>
        <v>1</v>
      </c>
      <c r="LD276" s="5">
        <f>$LB$25*(LC276+(1-LC276)*$LB$16)</f>
        <v>84.01774238227146</v>
      </c>
      <c r="LE276" s="13">
        <f>LD276*($LB$6+ACUTE_MARGIN)</f>
        <v>84857.91980609419</v>
      </c>
      <c r="LF276" s="13">
        <f>IF(LB276=1,$LB$31,$LB$32)</f>
        <v>152394.16214437486</v>
      </c>
      <c r="LG276" s="13">
        <f>LE276-LF276</f>
        <v>-67536.24233828067</v>
      </c>
      <c r="LH276" s="13">
        <f>LH275+LG276</f>
        <v>-13034494.771288227</v>
      </c>
      <c r="LI276">
        <f>IF(LH276=MAX($LH$83:$LH$483),$A276,0)</f>
        <v>0</v>
      </c>
      <c r="LJ276">
        <f>IF(LE276&lt;LF276,$A276,B_MAX+1)</f>
        <v>193</v>
      </c>
      <c r="LK276" s="13">
        <f>IF(LB276=1,$LB$35,$LB$36)</f>
        <v>0</v>
      </c>
      <c r="LL276" s="13">
        <f>OCC_DAYS*$LB$41*R_NF_2023-LD276*MCD_SHARE_FREED*R_WAIT_2023</f>
        <v>113776.04162887059</v>
      </c>
      <c r="LM276">
        <f>IF($A276&lt;=$LB$45,1,0)</f>
        <v>0</v>
      </c>
      <c r="MB276">
        <f>IF($MB$31&lt;=$MB$32,IF($A276&lt;=$MB$7,1,2),IF($A276&lt;=RUNG_BEDS_2,2,1))</f>
        <v>1</v>
      </c>
      <c r="MC276" s="5">
        <f>MIN(1,MAX(0,$MB$26-($A276-1)))</f>
        <v>0</v>
      </c>
      <c r="MD276" s="5">
        <f>$MB$25*(MC276+(1-MC276)*$MB$16)</f>
        <v>0.0</v>
      </c>
      <c r="ME276" s="13">
        <f>MD276*($MB$6+ACUTE_MARGIN)</f>
        <v>0.0</v>
      </c>
      <c r="MF276" s="13">
        <f>IF(MB276=1,$MB$31,$MB$32)</f>
        <v>152394.16214437486</v>
      </c>
      <c r="MG276" s="13">
        <f>ME276-MF276</f>
        <v>-152394.16214437486</v>
      </c>
      <c r="MH276" s="13">
        <f>MH275+MG276</f>
        <v>2929621.2726096585</v>
      </c>
      <c r="MI276">
        <f>IF(MH276=MAX($MH$83:$MH$483),$A276,0)</f>
        <v>0</v>
      </c>
      <c r="MJ276">
        <f>IF(ME276&lt;MF276,$A276,B_MAX+1)</f>
        <v>193</v>
      </c>
      <c r="MK276" s="13">
        <f>IF(MB276=1,$MB$35,$MB$36)</f>
        <v>0</v>
      </c>
      <c r="ML276" s="13">
        <f>OCC_DAYS*$MB$41*R_NF_2023-MD276*MCD_SHARE_FREED*R_WAIT_2023</f>
        <v>151980.48282209205</v>
      </c>
      <c r="MM276">
        <f>IF($A276&lt;=$MB$45,1,0)</f>
        <v>0</v>
      </c>
      <c r="NB276">
        <f>IF($NB$31&lt;=$NB$32,IF($A276&lt;=$NB$7,1,2),IF($A276&lt;=RUNG_BEDS_2,2,1))</f>
        <v>1</v>
      </c>
      <c r="NC276" s="5">
        <f>MIN(1,MAX(0,$NB$26-($A276-1)))</f>
        <v>0</v>
      </c>
      <c r="ND276" s="5">
        <f>$NB$25*(NC276+(1-NC276)*$NB$16)</f>
        <v>63.013306786703595</v>
      </c>
      <c r="NE276" s="13">
        <f>ND276*($NB$6+ACUTE_MARGIN)</f>
        <v>63643.43985457063</v>
      </c>
      <c r="NF276" s="13">
        <f>IF(NB276=1,$NB$31,$NB$32)</f>
        <v>152394.16214437486</v>
      </c>
      <c r="NG276" s="13">
        <f>NE276-NF276</f>
        <v>-88750.72228980422</v>
      </c>
      <c r="NH276" s="13">
        <f>NH275+NG276</f>
        <v>11542838.569272023</v>
      </c>
      <c r="NI276">
        <f>IF(NH276=MAX($NH$83:$NH$483),$A276,0)</f>
        <v>0</v>
      </c>
      <c r="NJ276">
        <f>IF(NE276&lt;NF276,$A276,B_MAX+1)</f>
        <v>193</v>
      </c>
      <c r="NK276" s="13">
        <f>IF(NB276=1,$NB$35,$NB$36)</f>
        <v>0</v>
      </c>
      <c r="NL276" s="13">
        <f>OCC_DAYS*$NB$41*R_NF_2023-ND276*MCD_SHARE_FREED*R_WAIT_2023</f>
        <v>123327.15192717595</v>
      </c>
      <c r="NM276">
        <f>IF($A276&lt;=$NB$45,1,0)</f>
        <v>0</v>
      </c>
      <c r="OB276">
        <f>IF($OB$31&lt;=$OB$32,IF($A276&lt;=$OB$7,1,2),IF($A276&lt;=RUNG_BEDS_2,2,1))</f>
        <v>1</v>
      </c>
      <c r="OC276" s="5">
        <f>MIN(1,MAX(0,$OB$26-($A276-1)))</f>
        <v>0</v>
      </c>
      <c r="OD276" s="5">
        <f>$OB$25*(OC276+(1-OC276)*$OB$16)</f>
        <v>126.02661357340719</v>
      </c>
      <c r="OE276" s="13">
        <f>OD276*($OB$6+ACUTE_MARGIN)</f>
        <v>127286.87970914126</v>
      </c>
      <c r="OF276" s="13">
        <f>IF(OB276=1,$OB$31,$OB$32)</f>
        <v>152394.16214437486</v>
      </c>
      <c r="OG276" s="13">
        <f>OE276-OF276</f>
        <v>-25107.282435233603</v>
      </c>
      <c r="OH276" s="13">
        <f>OH275+OG276</f>
        <v>14268779.804136133</v>
      </c>
      <c r="OI276">
        <f>IF(OH276=MAX($OH$83:$OH$483),$A276,0)</f>
        <v>0</v>
      </c>
      <c r="OJ276">
        <f>IF(OE276&lt;OF276,$A276,B_MAX+1)</f>
        <v>193</v>
      </c>
      <c r="OK276" s="13">
        <f>IF(OB276=1,$OB$35,$OB$36)</f>
        <v>0</v>
      </c>
      <c r="OL276" s="13">
        <f>OCC_DAYS*$OB$41*R_NF_2023-OD276*MCD_SHARE_FREED*R_WAIT_2023</f>
        <v>94673.82103225985</v>
      </c>
      <c r="OM276">
        <f>IF($A276&lt;=$OB$45,1,0)</f>
        <v>0</v>
      </c>
    </row>
    <row r="277">
      <c r="A277" t="n">
        <v>194</v>
      </c>
      <c r="B277">
        <f>IF($B$31&lt;=$B$32,IF($A277&lt;=$B$7,1,2),IF($A277&lt;=RUNG_BEDS_2,2,1))</f>
        <v>1</v>
      </c>
      <c r="C277" s="5">
        <f>MIN(1,MAX(0,$B$26-($A277-1)))</f>
        <v>0</v>
      </c>
      <c r="D277" s="5">
        <f>$B$25*(C277+(1-C277)*$B$16)</f>
        <v>0.0</v>
      </c>
      <c r="E277" s="13">
        <f>D277*($B$6+ACUTE_MARGIN)</f>
        <v>0.0</v>
      </c>
      <c r="F277" s="13">
        <f>IF(B277=1,$B$31,$B$32)</f>
        <v>152394.16214437486</v>
      </c>
      <c r="G277" s="13">
        <f>E277-F277</f>
        <v>-152394.16214437486</v>
      </c>
      <c r="H277" s="13">
        <f>H276+G277</f>
        <v>8664503.172263619</v>
      </c>
      <c r="I277">
        <f>IF(H277=MAX($H$83:$H$483),$A277,0)</f>
        <v>0</v>
      </c>
      <c r="J277">
        <f>IF(E277&lt;F277,$A277,B_MAX+1)</f>
        <v>194</v>
      </c>
      <c r="K277" s="13">
        <f>IF(B277=1,$B$35,$B$36)</f>
        <v>0</v>
      </c>
      <c r="L277" s="13">
        <f>OCC_DAYS*$B$41*R_NF_2023-D277*MCD_SHARE_FREED*R_WAIT_2023</f>
        <v>151980.48282209205</v>
      </c>
      <c r="M277">
        <f>IF($A277&lt;=$B$45,1,0)</f>
        <v>0</v>
      </c>
      <c r="AB277">
        <f>IF($AB$31&lt;=$AB$32,IF($A277&lt;=$AB$7,1,2),IF($A277&lt;=RUNG_BEDS_2,2,1))</f>
        <v>1</v>
      </c>
      <c r="AC277" s="5">
        <f>MIN(1,MAX(0,$AB$26-($A277-1)))</f>
        <v>0</v>
      </c>
      <c r="AD277" s="5">
        <f>$AB$25*(AC277+(1-AC277)*$AB$16)</f>
        <v>0.0</v>
      </c>
      <c r="AE277" s="13">
        <f>AD277*($AB$6+ACUTE_MARGIN)</f>
        <v>0.0</v>
      </c>
      <c r="AF277" s="13">
        <f>IF(AB277=1,$AB$31,$AB$32)</f>
        <v>152394.16214437486</v>
      </c>
      <c r="AG277" s="13">
        <f>AE277-AF277</f>
        <v>-152394.16214437486</v>
      </c>
      <c r="AH277" s="13">
        <f>AH276+AG277</f>
        <v>-8746711.173286213</v>
      </c>
      <c r="AI277">
        <f>IF(AH277=MAX($AH$83:$AH$483),$A277,0)</f>
        <v>0</v>
      </c>
      <c r="AJ277">
        <f>IF(AE277&lt;AF277,$A277,B_MAX+1)</f>
        <v>194</v>
      </c>
      <c r="AK277" s="13">
        <f>IF(AB277=1,$AB$35,$AB$36)</f>
        <v>0</v>
      </c>
      <c r="AL277" s="13">
        <f>OCC_DAYS*$AB$41*R_NF_2023-AD277*MCD_SHARE_FREED*R_WAIT_2023</f>
        <v>151980.48282209205</v>
      </c>
      <c r="AM277">
        <f>IF($A277&lt;=$AB$45,1,0)</f>
        <v>0</v>
      </c>
      <c r="BB277">
        <f>IF($BB$31&lt;=$BB$32,IF($A277&lt;=$BB$7,1,2),IF($A277&lt;=RUNG_BEDS_2,2,1))</f>
        <v>1</v>
      </c>
      <c r="BC277" s="5">
        <f>MIN(1,MAX(0,$BB$26-($A277-1)))</f>
        <v>0</v>
      </c>
      <c r="BD277" s="5">
        <f>$BB$25*(BC277+(1-BC277)*$BB$16)</f>
        <v>0.0</v>
      </c>
      <c r="BE277" s="13">
        <f>BD277*($BB$6+ACUTE_MARGIN)</f>
        <v>0.0</v>
      </c>
      <c r="BF277" s="13">
        <f>IF(BB277=1,$BB$31,$BB$32)</f>
        <v>152394.16214437486</v>
      </c>
      <c r="BG277" s="13">
        <f>BE277-BF277</f>
        <v>-152394.16214437486</v>
      </c>
      <c r="BH277" s="13">
        <f>BH276+BG277</f>
        <v>26075717.51781328</v>
      </c>
      <c r="BI277">
        <f>IF(BH277=MAX($BH$83:$BH$483),$A277,0)</f>
        <v>0</v>
      </c>
      <c r="BJ277">
        <f>IF(BE277&lt;BF277,$A277,B_MAX+1)</f>
        <v>194</v>
      </c>
      <c r="BK277" s="13">
        <f>IF(BB277=1,$BB$35,$BB$36)</f>
        <v>0</v>
      </c>
      <c r="BL277" s="13">
        <f>OCC_DAYS*$BB$41*R_NF_2023-BD277*MCD_SHARE_FREED*R_WAIT_2023</f>
        <v>151980.48282209205</v>
      </c>
      <c r="BM277">
        <f>IF($A277&lt;=$BB$45,1,0)</f>
        <v>0</v>
      </c>
      <c r="CB277">
        <f>IF($CB$31&lt;=$CB$32,IF($A277&lt;=$CB$7,1,2),IF($A277&lt;=RUNG_BEDS_2,2,1))</f>
        <v>2</v>
      </c>
      <c r="CC277" s="5">
        <f>MIN(1,MAX(0,$CB$26-($A277-1)))</f>
        <v>0</v>
      </c>
      <c r="CD277" s="5">
        <f>$CB$25*(CC277+(1-CC277)*$CB$16)</f>
        <v>0.0</v>
      </c>
      <c r="CE277" s="13">
        <f>CD277*($CB$6+ACUTE_MARGIN)</f>
        <v>0.0</v>
      </c>
      <c r="CF277" s="13">
        <f>IF(CB277=1,$CB$31,$CB$32)</f>
        <v>160718.36940738867</v>
      </c>
      <c r="CG277" s="13">
        <f>CE277-CF277</f>
        <v>-160718.36940738867</v>
      </c>
      <c r="CH277" s="13">
        <f>CH276+CG277</f>
        <v>7049606.963238816</v>
      </c>
      <c r="CI277">
        <f>IF(CH277=MAX($CH$83:$CH$483),$A277,0)</f>
        <v>0</v>
      </c>
      <c r="CJ277">
        <f>IF(CE277&lt;CF277,$A277,B_MAX+1)</f>
        <v>194</v>
      </c>
      <c r="CK277" s="13">
        <f>IF(CB277=1,$CB$35,$CB$36)</f>
        <v>1560.1194073886782</v>
      </c>
      <c r="CL277" s="13">
        <f>OCC_DAYS*$CB$41*R_NF_2023-CD277*MCD_SHARE_FREED*R_WAIT_2023</f>
        <v>151980.48282209205</v>
      </c>
      <c r="CM277">
        <f>IF($A277&lt;=$CB$45,1,0)</f>
        <v>0</v>
      </c>
      <c r="DB277">
        <f>IF($DB$31&lt;=$DB$32,IF($A277&lt;=$DB$7,1,2),IF($A277&lt;=RUNG_BEDS_2,2,1))</f>
        <v>1</v>
      </c>
      <c r="DC277" s="5">
        <f>MIN(1,MAX(0,$DB$26-($A277-1)))</f>
        <v>0</v>
      </c>
      <c r="DD277" s="5">
        <f>$DB$25*(DC277+(1-DC277)*$DB$16)</f>
        <v>0.0</v>
      </c>
      <c r="DE277" s="13">
        <f>DD277*($DB$6+ACUTE_MARGIN)</f>
        <v>0.0</v>
      </c>
      <c r="DF277" s="13">
        <f>IF(DB277=1,$DB$31,$DB$32)</f>
        <v>152394.16214437486</v>
      </c>
      <c r="DG277" s="13">
        <f>DE277-DF277</f>
        <v>-152394.16214437486</v>
      </c>
      <c r="DH277" s="13">
        <f>DH276+DG277</f>
        <v>8664503.172263619</v>
      </c>
      <c r="DI277">
        <f>IF(DH277=MAX($DH$83:$DH$483),$A277,0)</f>
        <v>0</v>
      </c>
      <c r="DJ277">
        <f>IF(DE277&lt;DF277,$A277,B_MAX+1)</f>
        <v>194</v>
      </c>
      <c r="DK277" s="13">
        <f>IF(DB277=1,$DB$35,$DB$36)</f>
        <v>0</v>
      </c>
      <c r="DL277" s="13">
        <f>OCC_DAYS*$DB$41*R_NF_2023-DD277*MCD_SHARE_FREED*R_WAIT_2023</f>
        <v>151980.48282209205</v>
      </c>
      <c r="DM277">
        <f>IF($A277&lt;=$DB$45,1,0)</f>
        <v>0</v>
      </c>
      <c r="EB277">
        <f>IF($EB$31&lt;=$EB$32,IF($A277&lt;=$EB$7,1,2),IF($A277&lt;=RUNG_BEDS_2,2,1))</f>
        <v>1</v>
      </c>
      <c r="EC277" s="5">
        <f>MIN(1,MAX(0,$EB$26-($A277-1)))</f>
        <v>0</v>
      </c>
      <c r="ED277" s="5">
        <f>$EB$25*(EC277+(1-EC277)*$EB$16)</f>
        <v>0.0</v>
      </c>
      <c r="EE277" s="13">
        <f>ED277*($EB$6+ACUTE_MARGIN)</f>
        <v>0.0</v>
      </c>
      <c r="EF277" s="13">
        <f>IF(EB277=1,$EB$31,$EB$32)</f>
        <v>152394.16214437486</v>
      </c>
      <c r="EG277" s="13">
        <f>EE277-EF277</f>
        <v>-152394.16214437486</v>
      </c>
      <c r="EH277" s="13">
        <f>EH276+EG277</f>
        <v>8664503.172263619</v>
      </c>
      <c r="EI277">
        <f>IF(EH277=MAX($EH$83:$EH$483),$A277,0)</f>
        <v>0</v>
      </c>
      <c r="EJ277">
        <f>IF(EE277&lt;EF277,$A277,B_MAX+1)</f>
        <v>194</v>
      </c>
      <c r="EK277" s="13">
        <f>IF(EB277=1,$EB$35,$EB$36)</f>
        <v>0</v>
      </c>
      <c r="EL277" s="13">
        <f>OCC_DAYS*$EB$41*R_NF_2023-ED277*MCD_SHARE_FREED*R_WAIT_2023</f>
        <v>50660.16094069735</v>
      </c>
      <c r="EM277">
        <f>IF($A277&lt;=$EB$45,1,0)</f>
        <v>0</v>
      </c>
      <c r="FB277">
        <f>IF($FB$31&lt;=$FB$32,IF($A277&lt;=$FB$7,1,2),IF($A277&lt;=RUNG_BEDS_2,2,1))</f>
        <v>1</v>
      </c>
      <c r="FC277" s="5">
        <f>MIN(1,MAX(0,$FB$26-($A277-1)))</f>
        <v>0</v>
      </c>
      <c r="FD277" s="5">
        <f>$FB$25*(FC277+(1-FC277)*$FB$16)</f>
        <v>0.0</v>
      </c>
      <c r="FE277" s="13">
        <f>FD277*($FB$6+ACUTE_MARGIN)</f>
        <v>0.0</v>
      </c>
      <c r="FF277" s="13">
        <f>IF(FB277=1,$FB$31,$FB$32)</f>
        <v>156636.04979437485</v>
      </c>
      <c r="FG277" s="13">
        <f>FE277-FF277</f>
        <v>-156636.04979437485</v>
      </c>
      <c r="FH277" s="13">
        <f>FH276+FG277</f>
        <v>7841576.968163503</v>
      </c>
      <c r="FI277">
        <f>IF(FH277=MAX($FH$83:$FH$483),$A277,0)</f>
        <v>0</v>
      </c>
      <c r="FJ277">
        <f>IF(FE277&lt;FF277,$A277,B_MAX+1)</f>
        <v>194</v>
      </c>
      <c r="FK277" s="13">
        <f>IF(FB277=1,$FB$35,$FB$36)</f>
        <v>0</v>
      </c>
      <c r="FL277" s="13">
        <f>OCC_DAYS*$FB$41*R_NF_2023-FD277*MCD_SHARE_FREED*R_WAIT_2023</f>
        <v>151980.48282209205</v>
      </c>
      <c r="FM277">
        <f>IF($A277&lt;=$FB$45,1,0)</f>
        <v>0</v>
      </c>
      <c r="GB277">
        <f>IF($GB$31&lt;=$GB$32,IF($A277&lt;=$GB$7,1,2),IF($A277&lt;=RUNG_BEDS_2,2,1))</f>
        <v>1</v>
      </c>
      <c r="GC277" s="5">
        <f>MIN(1,MAX(0,$GB$26-($A277-1)))</f>
        <v>0</v>
      </c>
      <c r="GD277" s="5">
        <f>$GB$25*(GC277+(1-GC277)*$GB$16)</f>
        <v>0.0</v>
      </c>
      <c r="GE277" s="13">
        <f>GD277*($GB$6+ACUTE_MARGIN)</f>
        <v>0.0</v>
      </c>
      <c r="GF277" s="13">
        <f>IF(GB277=1,$GB$31,$GB$32)</f>
        <v>152394.16214437486</v>
      </c>
      <c r="GG277" s="13">
        <f>GE277-GF277</f>
        <v>-152394.16214437486</v>
      </c>
      <c r="GH277" s="13">
        <f>GH276+GG277</f>
        <v>8664503.172263619</v>
      </c>
      <c r="GI277">
        <f>IF(GH277=MAX($GH$83:$GH$483),$A277,0)</f>
        <v>0</v>
      </c>
      <c r="GJ277">
        <f>IF(GE277&lt;GF277,$A277,B_MAX+1)</f>
        <v>194</v>
      </c>
      <c r="GK277" s="13">
        <f>IF(GB277=1,$GB$35,$GB$36)</f>
        <v>0</v>
      </c>
      <c r="GL277" s="13">
        <f>OCC_DAYS*$GB$41*R_NF_2023-GD277*MCD_SHARE_FREED*R_WAIT_2023</f>
        <v>151980.48282209205</v>
      </c>
      <c r="GM277">
        <f>IF($A277&lt;=$GB$45,1,0)</f>
        <v>0</v>
      </c>
      <c r="HB277">
        <f>IF($HB$31&lt;=$HB$32,IF($A277&lt;=$HB$7,1,2),IF($A277&lt;=RUNG_BEDS_2,2,1))</f>
        <v>1</v>
      </c>
      <c r="HC277" s="5">
        <f>MIN(1,MAX(0,$HB$26-($A277-1)))</f>
        <v>0</v>
      </c>
      <c r="HD277" s="5">
        <f>$HB$25*(HC277+(1-HC277)*$HB$16)</f>
        <v>0.0</v>
      </c>
      <c r="HE277" s="13">
        <f>HD277*($HB$6+ACUTE_MARGIN)</f>
        <v>0.0</v>
      </c>
      <c r="HF277" s="13">
        <f>IF(HB277=1,$HB$31,$HB$32)</f>
        <v>152456.2970814058</v>
      </c>
      <c r="HG277" s="13">
        <f>HE277-HF277</f>
        <v>-152456.2970814058</v>
      </c>
      <c r="HH277" s="13">
        <f>HH276+HG277</f>
        <v>8652448.994479582</v>
      </c>
      <c r="HI277">
        <f>IF(HH277=MAX($HH$83:$HH$483),$A277,0)</f>
        <v>0</v>
      </c>
      <c r="HJ277">
        <f>IF(HE277&lt;HF277,$A277,B_MAX+1)</f>
        <v>194</v>
      </c>
      <c r="HK277" s="13">
        <f>IF(HB277=1,$HB$35,$HB$36)</f>
        <v>0</v>
      </c>
      <c r="HL277" s="13">
        <f>OCC_DAYS*$HB$41*R_NF_2023-HD277*MCD_SHARE_FREED*R_WAIT_2023</f>
        <v>151980.48282209205</v>
      </c>
      <c r="HM277">
        <f>IF($A277&lt;=$HB$45,1,0)</f>
        <v>0</v>
      </c>
      <c r="IB277">
        <f>IF($IB$31&lt;=$IB$32,IF($A277&lt;=$IB$7,1,2),IF($A277&lt;=RUNG_BEDS_2,2,1))</f>
        <v>1</v>
      </c>
      <c r="IC277" s="5">
        <f>MIN(1,MAX(0,$IB$26-($A277-1)))</f>
        <v>0</v>
      </c>
      <c r="ID277" s="5">
        <f>$IB$25*(IC277+(1-IC277)*$IB$16)</f>
        <v>0.0</v>
      </c>
      <c r="IE277" s="13">
        <f>ID277*($IB$6+ACUTE_MARGIN)</f>
        <v>0.0</v>
      </c>
      <c r="IF277" s="13">
        <f>IF(IB277=1,$IB$31,$IB$32)</f>
        <v>152734.9994534971</v>
      </c>
      <c r="IG277" s="13">
        <f>IE277-IF277</f>
        <v>-152734.9994534971</v>
      </c>
      <c r="IH277" s="13">
        <f>IH276+IG277</f>
        <v>8598380.734293805</v>
      </c>
      <c r="II277">
        <f>IF(IH277=MAX($IH$83:$IH$483),$A277,0)</f>
        <v>0</v>
      </c>
      <c r="IJ277">
        <f>IF(IE277&lt;IF277,$A277,B_MAX+1)</f>
        <v>194</v>
      </c>
      <c r="IK277" s="13">
        <f>IF(IB277=1,$IB$35,$IB$36)</f>
        <v>0</v>
      </c>
      <c r="IL277" s="13">
        <f>OCC_DAYS*$IB$41*R_NF_2023-ID277*MCD_SHARE_FREED*R_WAIT_2023</f>
        <v>151980.48282209205</v>
      </c>
      <c r="IM277">
        <f>IF($A277&lt;=$IB$45,1,0)</f>
        <v>0</v>
      </c>
      <c r="JB277">
        <f>IF($JB$31&lt;=$JB$32,IF($A277&lt;=$JB$7,1,2),IF($A277&lt;=RUNG_BEDS_2,2,1))</f>
        <v>1</v>
      </c>
      <c r="JC277" s="5">
        <f>MIN(1,MAX(0,$JB$26-($A277-1)))</f>
        <v>0</v>
      </c>
      <c r="JD277" s="5">
        <f>$JB$25*(JC277+(1-JC277)*$JB$16)</f>
        <v>0.0</v>
      </c>
      <c r="JE277" s="13">
        <f>JD277*($JB$6+ACUTE_MARGIN)</f>
        <v>0.0</v>
      </c>
      <c r="JF277" s="13">
        <f>IF(JB277=1,$JB$31,$JB$32)</f>
        <v>152394.16214437486</v>
      </c>
      <c r="JG277" s="13">
        <f>JE277-JF277</f>
        <v>-152394.16214437486</v>
      </c>
      <c r="JH277" s="13">
        <f>JH276+JG277</f>
        <v>8664503.172263619</v>
      </c>
      <c r="JI277">
        <f>IF(JH277=MAX($JH$83:$JH$483),$A277,0)</f>
        <v>0</v>
      </c>
      <c r="JJ277">
        <f>IF(JE277&lt;JF277,$A277,B_MAX+1)</f>
        <v>194</v>
      </c>
      <c r="JK277" s="13">
        <f>IF(JB277=1,$JB$35,$JB$36)</f>
        <v>0</v>
      </c>
      <c r="JL277" s="13">
        <f>OCC_DAYS*$JB$41*R_NF_2023-JD277*MCD_SHARE_FREED*R_WAIT_2023</f>
        <v>151980.48282209205</v>
      </c>
      <c r="JM277">
        <f>IF($A277&lt;=$JB$45,1,0)</f>
        <v>0</v>
      </c>
      <c r="KB277">
        <f>IF($KB$31&lt;=$KB$32,IF($A277&lt;=$KB$7,1,2),IF($A277&lt;=RUNG_BEDS_2,2,1))</f>
        <v>1</v>
      </c>
      <c r="KC277" s="5">
        <f>MIN(1,MAX(0,$KB$26-($A277-1)))</f>
        <v>1</v>
      </c>
      <c r="KD277" s="5">
        <f>$KB$25*(KC277+(1-KC277)*$KB$16)</f>
        <v>126.02661357340719</v>
      </c>
      <c r="KE277" s="13">
        <f>KD277*($KB$6+ACUTE_MARGIN)</f>
        <v>127286.87970914126</v>
      </c>
      <c r="KF277" s="13">
        <f>IF(KB277=1,$KB$31,$KB$32)</f>
        <v>152394.16214437486</v>
      </c>
      <c r="KG277" s="13">
        <f>KE277-KF277</f>
        <v>-25107.282435233603</v>
      </c>
      <c r="KH277" s="13">
        <f>KH276+KG277</f>
        <v>-4870812.792435334</v>
      </c>
      <c r="KI277">
        <f>IF(KH277=MAX($KH$83:$KH$483),$A277,0)</f>
        <v>0</v>
      </c>
      <c r="KJ277">
        <f>IF(KE277&lt;KF277,$A277,B_MAX+1)</f>
        <v>194</v>
      </c>
      <c r="KK277" s="13">
        <f>IF(KB277=1,$KB$35,$KB$36)</f>
        <v>0</v>
      </c>
      <c r="KL277" s="13">
        <f>OCC_DAYS*$KB$41*R_NF_2023-KD277*MCD_SHARE_FREED*R_WAIT_2023</f>
        <v>94673.82103225985</v>
      </c>
      <c r="KM277">
        <f>IF($A277&lt;=$KB$45,1,0)</f>
        <v>0</v>
      </c>
      <c r="LB277">
        <f>IF($LB$31&lt;=$LB$32,IF($A277&lt;=$LB$7,1,2),IF($A277&lt;=RUNG_BEDS_2,2,1))</f>
        <v>1</v>
      </c>
      <c r="LC277" s="5">
        <f>MIN(1,MAX(0,$LB$26-($A277-1)))</f>
        <v>1</v>
      </c>
      <c r="LD277" s="5">
        <f>$LB$25*(LC277+(1-LC277)*$LB$16)</f>
        <v>84.01774238227146</v>
      </c>
      <c r="LE277" s="13">
        <f>LD277*($LB$6+ACUTE_MARGIN)</f>
        <v>84857.91980609419</v>
      </c>
      <c r="LF277" s="13">
        <f>IF(LB277=1,$LB$31,$LB$32)</f>
        <v>152394.16214437486</v>
      </c>
      <c r="LG277" s="13">
        <f>LE277-LF277</f>
        <v>-67536.24233828067</v>
      </c>
      <c r="LH277" s="13">
        <f>LH276+LG277</f>
        <v>-13102031.013626508</v>
      </c>
      <c r="LI277">
        <f>IF(LH277=MAX($LH$83:$LH$483),$A277,0)</f>
        <v>0</v>
      </c>
      <c r="LJ277">
        <f>IF(LE277&lt;LF277,$A277,B_MAX+1)</f>
        <v>194</v>
      </c>
      <c r="LK277" s="13">
        <f>IF(LB277=1,$LB$35,$LB$36)</f>
        <v>0</v>
      </c>
      <c r="LL277" s="13">
        <f>OCC_DAYS*$LB$41*R_NF_2023-LD277*MCD_SHARE_FREED*R_WAIT_2023</f>
        <v>113776.04162887059</v>
      </c>
      <c r="LM277">
        <f>IF($A277&lt;=$LB$45,1,0)</f>
        <v>0</v>
      </c>
      <c r="MB277">
        <f>IF($MB$31&lt;=$MB$32,IF($A277&lt;=$MB$7,1,2),IF($A277&lt;=RUNG_BEDS_2,2,1))</f>
        <v>1</v>
      </c>
      <c r="MC277" s="5">
        <f>MIN(1,MAX(0,$MB$26-($A277-1)))</f>
        <v>0</v>
      </c>
      <c r="MD277" s="5">
        <f>$MB$25*(MC277+(1-MC277)*$MB$16)</f>
        <v>0.0</v>
      </c>
      <c r="ME277" s="13">
        <f>MD277*($MB$6+ACUTE_MARGIN)</f>
        <v>0.0</v>
      </c>
      <c r="MF277" s="13">
        <f>IF(MB277=1,$MB$31,$MB$32)</f>
        <v>152394.16214437486</v>
      </c>
      <c r="MG277" s="13">
        <f>ME277-MF277</f>
        <v>-152394.16214437486</v>
      </c>
      <c r="MH277" s="13">
        <f>MH276+MG277</f>
        <v>2777227.1104652835</v>
      </c>
      <c r="MI277">
        <f>IF(MH277=MAX($MH$83:$MH$483),$A277,0)</f>
        <v>0</v>
      </c>
      <c r="MJ277">
        <f>IF(ME277&lt;MF277,$A277,B_MAX+1)</f>
        <v>194</v>
      </c>
      <c r="MK277" s="13">
        <f>IF(MB277=1,$MB$35,$MB$36)</f>
        <v>0</v>
      </c>
      <c r="ML277" s="13">
        <f>OCC_DAYS*$MB$41*R_NF_2023-MD277*MCD_SHARE_FREED*R_WAIT_2023</f>
        <v>151980.48282209205</v>
      </c>
      <c r="MM277">
        <f>IF($A277&lt;=$MB$45,1,0)</f>
        <v>0</v>
      </c>
      <c r="NB277">
        <f>IF($NB$31&lt;=$NB$32,IF($A277&lt;=$NB$7,1,2),IF($A277&lt;=RUNG_BEDS_2,2,1))</f>
        <v>1</v>
      </c>
      <c r="NC277" s="5">
        <f>MIN(1,MAX(0,$NB$26-($A277-1)))</f>
        <v>0</v>
      </c>
      <c r="ND277" s="5">
        <f>$NB$25*(NC277+(1-NC277)*$NB$16)</f>
        <v>63.013306786703595</v>
      </c>
      <c r="NE277" s="13">
        <f>ND277*($NB$6+ACUTE_MARGIN)</f>
        <v>63643.43985457063</v>
      </c>
      <c r="NF277" s="13">
        <f>IF(NB277=1,$NB$31,$NB$32)</f>
        <v>152394.16214437486</v>
      </c>
      <c r="NG277" s="13">
        <f>NE277-NF277</f>
        <v>-88750.72228980422</v>
      </c>
      <c r="NH277" s="13">
        <f>NH276+NG277</f>
        <v>11454087.846982218</v>
      </c>
      <c r="NI277">
        <f>IF(NH277=MAX($NH$83:$NH$483),$A277,0)</f>
        <v>0</v>
      </c>
      <c r="NJ277">
        <f>IF(NE277&lt;NF277,$A277,B_MAX+1)</f>
        <v>194</v>
      </c>
      <c r="NK277" s="13">
        <f>IF(NB277=1,$NB$35,$NB$36)</f>
        <v>0</v>
      </c>
      <c r="NL277" s="13">
        <f>OCC_DAYS*$NB$41*R_NF_2023-ND277*MCD_SHARE_FREED*R_WAIT_2023</f>
        <v>123327.15192717595</v>
      </c>
      <c r="NM277">
        <f>IF($A277&lt;=$NB$45,1,0)</f>
        <v>0</v>
      </c>
      <c r="OB277">
        <f>IF($OB$31&lt;=$OB$32,IF($A277&lt;=$OB$7,1,2),IF($A277&lt;=RUNG_BEDS_2,2,1))</f>
        <v>1</v>
      </c>
      <c r="OC277" s="5">
        <f>MIN(1,MAX(0,$OB$26-($A277-1)))</f>
        <v>0</v>
      </c>
      <c r="OD277" s="5">
        <f>$OB$25*(OC277+(1-OC277)*$OB$16)</f>
        <v>126.02661357340719</v>
      </c>
      <c r="OE277" s="13">
        <f>OD277*($OB$6+ACUTE_MARGIN)</f>
        <v>127286.87970914126</v>
      </c>
      <c r="OF277" s="13">
        <f>IF(OB277=1,$OB$31,$OB$32)</f>
        <v>152394.16214437486</v>
      </c>
      <c r="OG277" s="13">
        <f>OE277-OF277</f>
        <v>-25107.282435233603</v>
      </c>
      <c r="OH277" s="13">
        <f>OH276+OG277</f>
        <v>14243672.5217009</v>
      </c>
      <c r="OI277">
        <f>IF(OH277=MAX($OH$83:$OH$483),$A277,0)</f>
        <v>0</v>
      </c>
      <c r="OJ277">
        <f>IF(OE277&lt;OF277,$A277,B_MAX+1)</f>
        <v>194</v>
      </c>
      <c r="OK277" s="13">
        <f>IF(OB277=1,$OB$35,$OB$36)</f>
        <v>0</v>
      </c>
      <c r="OL277" s="13">
        <f>OCC_DAYS*$OB$41*R_NF_2023-OD277*MCD_SHARE_FREED*R_WAIT_2023</f>
        <v>94673.82103225985</v>
      </c>
      <c r="OM277">
        <f>IF($A277&lt;=$OB$45,1,0)</f>
        <v>0</v>
      </c>
    </row>
    <row r="278">
      <c r="A278" t="n">
        <v>195</v>
      </c>
      <c r="B278">
        <f>IF($B$31&lt;=$B$32,IF($A278&lt;=$B$7,1,2),IF($A278&lt;=RUNG_BEDS_2,2,1))</f>
        <v>1</v>
      </c>
      <c r="C278" s="5">
        <f>MIN(1,MAX(0,$B$26-($A278-1)))</f>
        <v>0</v>
      </c>
      <c r="D278" s="5">
        <f>$B$25*(C278+(1-C278)*$B$16)</f>
        <v>0.0</v>
      </c>
      <c r="E278" s="13">
        <f>D278*($B$6+ACUTE_MARGIN)</f>
        <v>0.0</v>
      </c>
      <c r="F278" s="13">
        <f>IF(B278=1,$B$31,$B$32)</f>
        <v>152394.16214437486</v>
      </c>
      <c r="G278" s="13">
        <f>E278-F278</f>
        <v>-152394.16214437486</v>
      </c>
      <c r="H278" s="13">
        <f>H277+G278</f>
        <v>8512109.010119244</v>
      </c>
      <c r="I278">
        <f>IF(H278=MAX($H$83:$H$483),$A278,0)</f>
        <v>0</v>
      </c>
      <c r="J278">
        <f>IF(E278&lt;F278,$A278,B_MAX+1)</f>
        <v>195</v>
      </c>
      <c r="K278" s="13">
        <f>IF(B278=1,$B$35,$B$36)</f>
        <v>0</v>
      </c>
      <c r="L278" s="13">
        <f>OCC_DAYS*$B$41*R_NF_2023-D278*MCD_SHARE_FREED*R_WAIT_2023</f>
        <v>151980.48282209205</v>
      </c>
      <c r="M278">
        <f>IF($A278&lt;=$B$45,1,0)</f>
        <v>0</v>
      </c>
      <c r="AB278">
        <f>IF($AB$31&lt;=$AB$32,IF($A278&lt;=$AB$7,1,2),IF($A278&lt;=RUNG_BEDS_2,2,1))</f>
        <v>1</v>
      </c>
      <c r="AC278" s="5">
        <f>MIN(1,MAX(0,$AB$26-($A278-1)))</f>
        <v>0</v>
      </c>
      <c r="AD278" s="5">
        <f>$AB$25*(AC278+(1-AC278)*$AB$16)</f>
        <v>0.0</v>
      </c>
      <c r="AE278" s="13">
        <f>AD278*($AB$6+ACUTE_MARGIN)</f>
        <v>0.0</v>
      </c>
      <c r="AF278" s="13">
        <f>IF(AB278=1,$AB$31,$AB$32)</f>
        <v>152394.16214437486</v>
      </c>
      <c r="AG278" s="13">
        <f>AE278-AF278</f>
        <v>-152394.16214437486</v>
      </c>
      <c r="AH278" s="13">
        <f>AH277+AG278</f>
        <v>-8899105.335430587</v>
      </c>
      <c r="AI278">
        <f>IF(AH278=MAX($AH$83:$AH$483),$A278,0)</f>
        <v>0</v>
      </c>
      <c r="AJ278">
        <f>IF(AE278&lt;AF278,$A278,B_MAX+1)</f>
        <v>195</v>
      </c>
      <c r="AK278" s="13">
        <f>IF(AB278=1,$AB$35,$AB$36)</f>
        <v>0</v>
      </c>
      <c r="AL278" s="13">
        <f>OCC_DAYS*$AB$41*R_NF_2023-AD278*MCD_SHARE_FREED*R_WAIT_2023</f>
        <v>151980.48282209205</v>
      </c>
      <c r="AM278">
        <f>IF($A278&lt;=$AB$45,1,0)</f>
        <v>0</v>
      </c>
      <c r="BB278">
        <f>IF($BB$31&lt;=$BB$32,IF($A278&lt;=$BB$7,1,2),IF($A278&lt;=RUNG_BEDS_2,2,1))</f>
        <v>1</v>
      </c>
      <c r="BC278" s="5">
        <f>MIN(1,MAX(0,$BB$26-($A278-1)))</f>
        <v>0</v>
      </c>
      <c r="BD278" s="5">
        <f>$BB$25*(BC278+(1-BC278)*$BB$16)</f>
        <v>0.0</v>
      </c>
      <c r="BE278" s="13">
        <f>BD278*($BB$6+ACUTE_MARGIN)</f>
        <v>0.0</v>
      </c>
      <c r="BF278" s="13">
        <f>IF(BB278=1,$BB$31,$BB$32)</f>
        <v>152394.16214437486</v>
      </c>
      <c r="BG278" s="13">
        <f>BE278-BF278</f>
        <v>-152394.16214437486</v>
      </c>
      <c r="BH278" s="13">
        <f>BH277+BG278</f>
        <v>25923323.355668906</v>
      </c>
      <c r="BI278">
        <f>IF(BH278=MAX($BH$83:$BH$483),$A278,0)</f>
        <v>0</v>
      </c>
      <c r="BJ278">
        <f>IF(BE278&lt;BF278,$A278,B_MAX+1)</f>
        <v>195</v>
      </c>
      <c r="BK278" s="13">
        <f>IF(BB278=1,$BB$35,$BB$36)</f>
        <v>0</v>
      </c>
      <c r="BL278" s="13">
        <f>OCC_DAYS*$BB$41*R_NF_2023-BD278*MCD_SHARE_FREED*R_WAIT_2023</f>
        <v>151980.48282209205</v>
      </c>
      <c r="BM278">
        <f>IF($A278&lt;=$BB$45,1,0)</f>
        <v>0</v>
      </c>
      <c r="CB278">
        <f>IF($CB$31&lt;=$CB$32,IF($A278&lt;=$CB$7,1,2),IF($A278&lt;=RUNG_BEDS_2,2,1))</f>
        <v>2</v>
      </c>
      <c r="CC278" s="5">
        <f>MIN(1,MAX(0,$CB$26-($A278-1)))</f>
        <v>0</v>
      </c>
      <c r="CD278" s="5">
        <f>$CB$25*(CC278+(1-CC278)*$CB$16)</f>
        <v>0.0</v>
      </c>
      <c r="CE278" s="13">
        <f>CD278*($CB$6+ACUTE_MARGIN)</f>
        <v>0.0</v>
      </c>
      <c r="CF278" s="13">
        <f>IF(CB278=1,$CB$31,$CB$32)</f>
        <v>160718.36940738867</v>
      </c>
      <c r="CG278" s="13">
        <f>CE278-CF278</f>
        <v>-160718.36940738867</v>
      </c>
      <c r="CH278" s="13">
        <f>CH277+CG278</f>
        <v>6888888.593831427</v>
      </c>
      <c r="CI278">
        <f>IF(CH278=MAX($CH$83:$CH$483),$A278,0)</f>
        <v>0</v>
      </c>
      <c r="CJ278">
        <f>IF(CE278&lt;CF278,$A278,B_MAX+1)</f>
        <v>195</v>
      </c>
      <c r="CK278" s="13">
        <f>IF(CB278=1,$CB$35,$CB$36)</f>
        <v>1560.1194073886782</v>
      </c>
      <c r="CL278" s="13">
        <f>OCC_DAYS*$CB$41*R_NF_2023-CD278*MCD_SHARE_FREED*R_WAIT_2023</f>
        <v>151980.48282209205</v>
      </c>
      <c r="CM278">
        <f>IF($A278&lt;=$CB$45,1,0)</f>
        <v>0</v>
      </c>
      <c r="DB278">
        <f>IF($DB$31&lt;=$DB$32,IF($A278&lt;=$DB$7,1,2),IF($A278&lt;=RUNG_BEDS_2,2,1))</f>
        <v>1</v>
      </c>
      <c r="DC278" s="5">
        <f>MIN(1,MAX(0,$DB$26-($A278-1)))</f>
        <v>0</v>
      </c>
      <c r="DD278" s="5">
        <f>$DB$25*(DC278+(1-DC278)*$DB$16)</f>
        <v>0.0</v>
      </c>
      <c r="DE278" s="13">
        <f>DD278*($DB$6+ACUTE_MARGIN)</f>
        <v>0.0</v>
      </c>
      <c r="DF278" s="13">
        <f>IF(DB278=1,$DB$31,$DB$32)</f>
        <v>152394.16214437486</v>
      </c>
      <c r="DG278" s="13">
        <f>DE278-DF278</f>
        <v>-152394.16214437486</v>
      </c>
      <c r="DH278" s="13">
        <f>DH277+DG278</f>
        <v>8512109.010119244</v>
      </c>
      <c r="DI278">
        <f>IF(DH278=MAX($DH$83:$DH$483),$A278,0)</f>
        <v>0</v>
      </c>
      <c r="DJ278">
        <f>IF(DE278&lt;DF278,$A278,B_MAX+1)</f>
        <v>195</v>
      </c>
      <c r="DK278" s="13">
        <f>IF(DB278=1,$DB$35,$DB$36)</f>
        <v>0</v>
      </c>
      <c r="DL278" s="13">
        <f>OCC_DAYS*$DB$41*R_NF_2023-DD278*MCD_SHARE_FREED*R_WAIT_2023</f>
        <v>151980.48282209205</v>
      </c>
      <c r="DM278">
        <f>IF($A278&lt;=$DB$45,1,0)</f>
        <v>0</v>
      </c>
      <c r="EB278">
        <f>IF($EB$31&lt;=$EB$32,IF($A278&lt;=$EB$7,1,2),IF($A278&lt;=RUNG_BEDS_2,2,1))</f>
        <v>1</v>
      </c>
      <c r="EC278" s="5">
        <f>MIN(1,MAX(0,$EB$26-($A278-1)))</f>
        <v>0</v>
      </c>
      <c r="ED278" s="5">
        <f>$EB$25*(EC278+(1-EC278)*$EB$16)</f>
        <v>0.0</v>
      </c>
      <c r="EE278" s="13">
        <f>ED278*($EB$6+ACUTE_MARGIN)</f>
        <v>0.0</v>
      </c>
      <c r="EF278" s="13">
        <f>IF(EB278=1,$EB$31,$EB$32)</f>
        <v>152394.16214437486</v>
      </c>
      <c r="EG278" s="13">
        <f>EE278-EF278</f>
        <v>-152394.16214437486</v>
      </c>
      <c r="EH278" s="13">
        <f>EH277+EG278</f>
        <v>8512109.010119244</v>
      </c>
      <c r="EI278">
        <f>IF(EH278=MAX($EH$83:$EH$483),$A278,0)</f>
        <v>0</v>
      </c>
      <c r="EJ278">
        <f>IF(EE278&lt;EF278,$A278,B_MAX+1)</f>
        <v>195</v>
      </c>
      <c r="EK278" s="13">
        <f>IF(EB278=1,$EB$35,$EB$36)</f>
        <v>0</v>
      </c>
      <c r="EL278" s="13">
        <f>OCC_DAYS*$EB$41*R_NF_2023-ED278*MCD_SHARE_FREED*R_WAIT_2023</f>
        <v>50660.16094069735</v>
      </c>
      <c r="EM278">
        <f>IF($A278&lt;=$EB$45,1,0)</f>
        <v>0</v>
      </c>
      <c r="FB278">
        <f>IF($FB$31&lt;=$FB$32,IF($A278&lt;=$FB$7,1,2),IF($A278&lt;=RUNG_BEDS_2,2,1))</f>
        <v>1</v>
      </c>
      <c r="FC278" s="5">
        <f>MIN(1,MAX(0,$FB$26-($A278-1)))</f>
        <v>0</v>
      </c>
      <c r="FD278" s="5">
        <f>$FB$25*(FC278+(1-FC278)*$FB$16)</f>
        <v>0.0</v>
      </c>
      <c r="FE278" s="13">
        <f>FD278*($FB$6+ACUTE_MARGIN)</f>
        <v>0.0</v>
      </c>
      <c r="FF278" s="13">
        <f>IF(FB278=1,$FB$31,$FB$32)</f>
        <v>156636.04979437485</v>
      </c>
      <c r="FG278" s="13">
        <f>FE278-FF278</f>
        <v>-156636.04979437485</v>
      </c>
      <c r="FH278" s="13">
        <f>FH277+FG278</f>
        <v>7684940.918369128</v>
      </c>
      <c r="FI278">
        <f>IF(FH278=MAX($FH$83:$FH$483),$A278,0)</f>
        <v>0</v>
      </c>
      <c r="FJ278">
        <f>IF(FE278&lt;FF278,$A278,B_MAX+1)</f>
        <v>195</v>
      </c>
      <c r="FK278" s="13">
        <f>IF(FB278=1,$FB$35,$FB$36)</f>
        <v>0</v>
      </c>
      <c r="FL278" s="13">
        <f>OCC_DAYS*$FB$41*R_NF_2023-FD278*MCD_SHARE_FREED*R_WAIT_2023</f>
        <v>151980.48282209205</v>
      </c>
      <c r="FM278">
        <f>IF($A278&lt;=$FB$45,1,0)</f>
        <v>0</v>
      </c>
      <c r="GB278">
        <f>IF($GB$31&lt;=$GB$32,IF($A278&lt;=$GB$7,1,2),IF($A278&lt;=RUNG_BEDS_2,2,1))</f>
        <v>1</v>
      </c>
      <c r="GC278" s="5">
        <f>MIN(1,MAX(0,$GB$26-($A278-1)))</f>
        <v>0</v>
      </c>
      <c r="GD278" s="5">
        <f>$GB$25*(GC278+(1-GC278)*$GB$16)</f>
        <v>0.0</v>
      </c>
      <c r="GE278" s="13">
        <f>GD278*($GB$6+ACUTE_MARGIN)</f>
        <v>0.0</v>
      </c>
      <c r="GF278" s="13">
        <f>IF(GB278=1,$GB$31,$GB$32)</f>
        <v>152394.16214437486</v>
      </c>
      <c r="GG278" s="13">
        <f>GE278-GF278</f>
        <v>-152394.16214437486</v>
      </c>
      <c r="GH278" s="13">
        <f>GH277+GG278</f>
        <v>8512109.010119244</v>
      </c>
      <c r="GI278">
        <f>IF(GH278=MAX($GH$83:$GH$483),$A278,0)</f>
        <v>0</v>
      </c>
      <c r="GJ278">
        <f>IF(GE278&lt;GF278,$A278,B_MAX+1)</f>
        <v>195</v>
      </c>
      <c r="GK278" s="13">
        <f>IF(GB278=1,$GB$35,$GB$36)</f>
        <v>0</v>
      </c>
      <c r="GL278" s="13">
        <f>OCC_DAYS*$GB$41*R_NF_2023-GD278*MCD_SHARE_FREED*R_WAIT_2023</f>
        <v>151980.48282209205</v>
      </c>
      <c r="GM278">
        <f>IF($A278&lt;=$GB$45,1,0)</f>
        <v>0</v>
      </c>
      <c r="HB278">
        <f>IF($HB$31&lt;=$HB$32,IF($A278&lt;=$HB$7,1,2),IF($A278&lt;=RUNG_BEDS_2,2,1))</f>
        <v>1</v>
      </c>
      <c r="HC278" s="5">
        <f>MIN(1,MAX(0,$HB$26-($A278-1)))</f>
        <v>0</v>
      </c>
      <c r="HD278" s="5">
        <f>$HB$25*(HC278+(1-HC278)*$HB$16)</f>
        <v>0.0</v>
      </c>
      <c r="HE278" s="13">
        <f>HD278*($HB$6+ACUTE_MARGIN)</f>
        <v>0.0</v>
      </c>
      <c r="HF278" s="13">
        <f>IF(HB278=1,$HB$31,$HB$32)</f>
        <v>152456.2970814058</v>
      </c>
      <c r="HG278" s="13">
        <f>HE278-HF278</f>
        <v>-152456.2970814058</v>
      </c>
      <c r="HH278" s="13">
        <f>HH277+HG278</f>
        <v>8499992.697398176</v>
      </c>
      <c r="HI278">
        <f>IF(HH278=MAX($HH$83:$HH$483),$A278,0)</f>
        <v>0</v>
      </c>
      <c r="HJ278">
        <f>IF(HE278&lt;HF278,$A278,B_MAX+1)</f>
        <v>195</v>
      </c>
      <c r="HK278" s="13">
        <f>IF(HB278=1,$HB$35,$HB$36)</f>
        <v>0</v>
      </c>
      <c r="HL278" s="13">
        <f>OCC_DAYS*$HB$41*R_NF_2023-HD278*MCD_SHARE_FREED*R_WAIT_2023</f>
        <v>151980.48282209205</v>
      </c>
      <c r="HM278">
        <f>IF($A278&lt;=$HB$45,1,0)</f>
        <v>0</v>
      </c>
      <c r="IB278">
        <f>IF($IB$31&lt;=$IB$32,IF($A278&lt;=$IB$7,1,2),IF($A278&lt;=RUNG_BEDS_2,2,1))</f>
        <v>1</v>
      </c>
      <c r="IC278" s="5">
        <f>MIN(1,MAX(0,$IB$26-($A278-1)))</f>
        <v>0</v>
      </c>
      <c r="ID278" s="5">
        <f>$IB$25*(IC278+(1-IC278)*$IB$16)</f>
        <v>0.0</v>
      </c>
      <c r="IE278" s="13">
        <f>ID278*($IB$6+ACUTE_MARGIN)</f>
        <v>0.0</v>
      </c>
      <c r="IF278" s="13">
        <f>IF(IB278=1,$IB$31,$IB$32)</f>
        <v>152734.9994534971</v>
      </c>
      <c r="IG278" s="13">
        <f>IE278-IF278</f>
        <v>-152734.9994534971</v>
      </c>
      <c r="IH278" s="13">
        <f>IH277+IG278</f>
        <v>8445645.73484031</v>
      </c>
      <c r="II278">
        <f>IF(IH278=MAX($IH$83:$IH$483),$A278,0)</f>
        <v>0</v>
      </c>
      <c r="IJ278">
        <f>IF(IE278&lt;IF278,$A278,B_MAX+1)</f>
        <v>195</v>
      </c>
      <c r="IK278" s="13">
        <f>IF(IB278=1,$IB$35,$IB$36)</f>
        <v>0</v>
      </c>
      <c r="IL278" s="13">
        <f>OCC_DAYS*$IB$41*R_NF_2023-ID278*MCD_SHARE_FREED*R_WAIT_2023</f>
        <v>151980.48282209205</v>
      </c>
      <c r="IM278">
        <f>IF($A278&lt;=$IB$45,1,0)</f>
        <v>0</v>
      </c>
      <c r="JB278">
        <f>IF($JB$31&lt;=$JB$32,IF($A278&lt;=$JB$7,1,2),IF($A278&lt;=RUNG_BEDS_2,2,1))</f>
        <v>1</v>
      </c>
      <c r="JC278" s="5">
        <f>MIN(1,MAX(0,$JB$26-($A278-1)))</f>
        <v>0</v>
      </c>
      <c r="JD278" s="5">
        <f>$JB$25*(JC278+(1-JC278)*$JB$16)</f>
        <v>0.0</v>
      </c>
      <c r="JE278" s="13">
        <f>JD278*($JB$6+ACUTE_MARGIN)</f>
        <v>0.0</v>
      </c>
      <c r="JF278" s="13">
        <f>IF(JB278=1,$JB$31,$JB$32)</f>
        <v>152394.16214437486</v>
      </c>
      <c r="JG278" s="13">
        <f>JE278-JF278</f>
        <v>-152394.16214437486</v>
      </c>
      <c r="JH278" s="13">
        <f>JH277+JG278</f>
        <v>8512109.010119244</v>
      </c>
      <c r="JI278">
        <f>IF(JH278=MAX($JH$83:$JH$483),$A278,0)</f>
        <v>0</v>
      </c>
      <c r="JJ278">
        <f>IF(JE278&lt;JF278,$A278,B_MAX+1)</f>
        <v>195</v>
      </c>
      <c r="JK278" s="13">
        <f>IF(JB278=1,$JB$35,$JB$36)</f>
        <v>0</v>
      </c>
      <c r="JL278" s="13">
        <f>OCC_DAYS*$JB$41*R_NF_2023-JD278*MCD_SHARE_FREED*R_WAIT_2023</f>
        <v>151980.48282209205</v>
      </c>
      <c r="JM278">
        <f>IF($A278&lt;=$JB$45,1,0)</f>
        <v>0</v>
      </c>
      <c r="KB278">
        <f>IF($KB$31&lt;=$KB$32,IF($A278&lt;=$KB$7,1,2),IF($A278&lt;=RUNG_BEDS_2,2,1))</f>
        <v>1</v>
      </c>
      <c r="KC278" s="5">
        <f>MIN(1,MAX(0,$KB$26-($A278-1)))</f>
        <v>1</v>
      </c>
      <c r="KD278" s="5">
        <f>$KB$25*(KC278+(1-KC278)*$KB$16)</f>
        <v>126.02661357340719</v>
      </c>
      <c r="KE278" s="13">
        <f>KD278*($KB$6+ACUTE_MARGIN)</f>
        <v>127286.87970914126</v>
      </c>
      <c r="KF278" s="13">
        <f>IF(KB278=1,$KB$31,$KB$32)</f>
        <v>152394.16214437486</v>
      </c>
      <c r="KG278" s="13">
        <f>KE278-KF278</f>
        <v>-25107.282435233603</v>
      </c>
      <c r="KH278" s="13">
        <f>KH277+KG278</f>
        <v>-4895920.074870568</v>
      </c>
      <c r="KI278">
        <f>IF(KH278=MAX($KH$83:$KH$483),$A278,0)</f>
        <v>0</v>
      </c>
      <c r="KJ278">
        <f>IF(KE278&lt;KF278,$A278,B_MAX+1)</f>
        <v>195</v>
      </c>
      <c r="KK278" s="13">
        <f>IF(KB278=1,$KB$35,$KB$36)</f>
        <v>0</v>
      </c>
      <c r="KL278" s="13">
        <f>OCC_DAYS*$KB$41*R_NF_2023-KD278*MCD_SHARE_FREED*R_WAIT_2023</f>
        <v>94673.82103225985</v>
      </c>
      <c r="KM278">
        <f>IF($A278&lt;=$KB$45,1,0)</f>
        <v>0</v>
      </c>
      <c r="LB278">
        <f>IF($LB$31&lt;=$LB$32,IF($A278&lt;=$LB$7,1,2),IF($A278&lt;=RUNG_BEDS_2,2,1))</f>
        <v>1</v>
      </c>
      <c r="LC278" s="5">
        <f>MIN(1,MAX(0,$LB$26-($A278-1)))</f>
        <v>1</v>
      </c>
      <c r="LD278" s="5">
        <f>$LB$25*(LC278+(1-LC278)*$LB$16)</f>
        <v>84.01774238227146</v>
      </c>
      <c r="LE278" s="13">
        <f>LD278*($LB$6+ACUTE_MARGIN)</f>
        <v>84857.91980609419</v>
      </c>
      <c r="LF278" s="13">
        <f>IF(LB278=1,$LB$31,$LB$32)</f>
        <v>152394.16214437486</v>
      </c>
      <c r="LG278" s="13">
        <f>LE278-LF278</f>
        <v>-67536.24233828067</v>
      </c>
      <c r="LH278" s="13">
        <f>LH277+LG278</f>
        <v>-13169567.25596479</v>
      </c>
      <c r="LI278">
        <f>IF(LH278=MAX($LH$83:$LH$483),$A278,0)</f>
        <v>0</v>
      </c>
      <c r="LJ278">
        <f>IF(LE278&lt;LF278,$A278,B_MAX+1)</f>
        <v>195</v>
      </c>
      <c r="LK278" s="13">
        <f>IF(LB278=1,$LB$35,$LB$36)</f>
        <v>0</v>
      </c>
      <c r="LL278" s="13">
        <f>OCC_DAYS*$LB$41*R_NF_2023-LD278*MCD_SHARE_FREED*R_WAIT_2023</f>
        <v>113776.04162887059</v>
      </c>
      <c r="LM278">
        <f>IF($A278&lt;=$LB$45,1,0)</f>
        <v>0</v>
      </c>
      <c r="MB278">
        <f>IF($MB$31&lt;=$MB$32,IF($A278&lt;=$MB$7,1,2),IF($A278&lt;=RUNG_BEDS_2,2,1))</f>
        <v>1</v>
      </c>
      <c r="MC278" s="5">
        <f>MIN(1,MAX(0,$MB$26-($A278-1)))</f>
        <v>0</v>
      </c>
      <c r="MD278" s="5">
        <f>$MB$25*(MC278+(1-MC278)*$MB$16)</f>
        <v>0.0</v>
      </c>
      <c r="ME278" s="13">
        <f>MD278*($MB$6+ACUTE_MARGIN)</f>
        <v>0.0</v>
      </c>
      <c r="MF278" s="13">
        <f>IF(MB278=1,$MB$31,$MB$32)</f>
        <v>152394.16214437486</v>
      </c>
      <c r="MG278" s="13">
        <f>ME278-MF278</f>
        <v>-152394.16214437486</v>
      </c>
      <c r="MH278" s="13">
        <f>MH277+MG278</f>
        <v>2624832.9483209085</v>
      </c>
      <c r="MI278">
        <f>IF(MH278=MAX($MH$83:$MH$483),$A278,0)</f>
        <v>0</v>
      </c>
      <c r="MJ278">
        <f>IF(ME278&lt;MF278,$A278,B_MAX+1)</f>
        <v>195</v>
      </c>
      <c r="MK278" s="13">
        <f>IF(MB278=1,$MB$35,$MB$36)</f>
        <v>0</v>
      </c>
      <c r="ML278" s="13">
        <f>OCC_DAYS*$MB$41*R_NF_2023-MD278*MCD_SHARE_FREED*R_WAIT_2023</f>
        <v>151980.48282209205</v>
      </c>
      <c r="MM278">
        <f>IF($A278&lt;=$MB$45,1,0)</f>
        <v>0</v>
      </c>
      <c r="NB278">
        <f>IF($NB$31&lt;=$NB$32,IF($A278&lt;=$NB$7,1,2),IF($A278&lt;=RUNG_BEDS_2,2,1))</f>
        <v>1</v>
      </c>
      <c r="NC278" s="5">
        <f>MIN(1,MAX(0,$NB$26-($A278-1)))</f>
        <v>0</v>
      </c>
      <c r="ND278" s="5">
        <f>$NB$25*(NC278+(1-NC278)*$NB$16)</f>
        <v>63.013306786703595</v>
      </c>
      <c r="NE278" s="13">
        <f>ND278*($NB$6+ACUTE_MARGIN)</f>
        <v>63643.43985457063</v>
      </c>
      <c r="NF278" s="13">
        <f>IF(NB278=1,$NB$31,$NB$32)</f>
        <v>152394.16214437486</v>
      </c>
      <c r="NG278" s="13">
        <f>NE278-NF278</f>
        <v>-88750.72228980422</v>
      </c>
      <c r="NH278" s="13">
        <f>NH277+NG278</f>
        <v>11365337.124692414</v>
      </c>
      <c r="NI278">
        <f>IF(NH278=MAX($NH$83:$NH$483),$A278,0)</f>
        <v>0</v>
      </c>
      <c r="NJ278">
        <f>IF(NE278&lt;NF278,$A278,B_MAX+1)</f>
        <v>195</v>
      </c>
      <c r="NK278" s="13">
        <f>IF(NB278=1,$NB$35,$NB$36)</f>
        <v>0</v>
      </c>
      <c r="NL278" s="13">
        <f>OCC_DAYS*$NB$41*R_NF_2023-ND278*MCD_SHARE_FREED*R_WAIT_2023</f>
        <v>123327.15192717595</v>
      </c>
      <c r="NM278">
        <f>IF($A278&lt;=$NB$45,1,0)</f>
        <v>0</v>
      </c>
      <c r="OB278">
        <f>IF($OB$31&lt;=$OB$32,IF($A278&lt;=$OB$7,1,2),IF($A278&lt;=RUNG_BEDS_2,2,1))</f>
        <v>1</v>
      </c>
      <c r="OC278" s="5">
        <f>MIN(1,MAX(0,$OB$26-($A278-1)))</f>
        <v>0</v>
      </c>
      <c r="OD278" s="5">
        <f>$OB$25*(OC278+(1-OC278)*$OB$16)</f>
        <v>126.02661357340719</v>
      </c>
      <c r="OE278" s="13">
        <f>OD278*($OB$6+ACUTE_MARGIN)</f>
        <v>127286.87970914126</v>
      </c>
      <c r="OF278" s="13">
        <f>IF(OB278=1,$OB$31,$OB$32)</f>
        <v>152394.16214437486</v>
      </c>
      <c r="OG278" s="13">
        <f>OE278-OF278</f>
        <v>-25107.282435233603</v>
      </c>
      <c r="OH278" s="13">
        <f>OH277+OG278</f>
        <v>14218565.239265667</v>
      </c>
      <c r="OI278">
        <f>IF(OH278=MAX($OH$83:$OH$483),$A278,0)</f>
        <v>0</v>
      </c>
      <c r="OJ278">
        <f>IF(OE278&lt;OF278,$A278,B_MAX+1)</f>
        <v>195</v>
      </c>
      <c r="OK278" s="13">
        <f>IF(OB278=1,$OB$35,$OB$36)</f>
        <v>0</v>
      </c>
      <c r="OL278" s="13">
        <f>OCC_DAYS*$OB$41*R_NF_2023-OD278*MCD_SHARE_FREED*R_WAIT_2023</f>
        <v>94673.82103225985</v>
      </c>
      <c r="OM278">
        <f>IF($A278&lt;=$OB$45,1,0)</f>
        <v>0</v>
      </c>
    </row>
    <row r="279">
      <c r="A279" t="n">
        <v>196</v>
      </c>
      <c r="B279">
        <f>IF($B$31&lt;=$B$32,IF($A279&lt;=$B$7,1,2),IF($A279&lt;=RUNG_BEDS_2,2,1))</f>
        <v>1</v>
      </c>
      <c r="C279" s="5">
        <f>MIN(1,MAX(0,$B$26-($A279-1)))</f>
        <v>0</v>
      </c>
      <c r="D279" s="5">
        <f>$B$25*(C279+(1-C279)*$B$16)</f>
        <v>0.0</v>
      </c>
      <c r="E279" s="13">
        <f>D279*($B$6+ACUTE_MARGIN)</f>
        <v>0.0</v>
      </c>
      <c r="F279" s="13">
        <f>IF(B279=1,$B$31,$B$32)</f>
        <v>152394.16214437486</v>
      </c>
      <c r="G279" s="13">
        <f>E279-F279</f>
        <v>-152394.16214437486</v>
      </c>
      <c r="H279" s="13">
        <f>H278+G279</f>
        <v>8359714.847974869</v>
      </c>
      <c r="I279">
        <f>IF(H279=MAX($H$83:$H$483),$A279,0)</f>
        <v>0</v>
      </c>
      <c r="J279">
        <f>IF(E279&lt;F279,$A279,B_MAX+1)</f>
        <v>196</v>
      </c>
      <c r="K279" s="13">
        <f>IF(B279=1,$B$35,$B$36)</f>
        <v>0</v>
      </c>
      <c r="L279" s="13">
        <f>OCC_DAYS*$B$41*R_NF_2023-D279*MCD_SHARE_FREED*R_WAIT_2023</f>
        <v>151980.48282209205</v>
      </c>
      <c r="M279">
        <f>IF($A279&lt;=$B$45,1,0)</f>
        <v>0</v>
      </c>
      <c r="AB279">
        <f>IF($AB$31&lt;=$AB$32,IF($A279&lt;=$AB$7,1,2),IF($A279&lt;=RUNG_BEDS_2,2,1))</f>
        <v>1</v>
      </c>
      <c r="AC279" s="5">
        <f>MIN(1,MAX(0,$AB$26-($A279-1)))</f>
        <v>0</v>
      </c>
      <c r="AD279" s="5">
        <f>$AB$25*(AC279+(1-AC279)*$AB$16)</f>
        <v>0.0</v>
      </c>
      <c r="AE279" s="13">
        <f>AD279*($AB$6+ACUTE_MARGIN)</f>
        <v>0.0</v>
      </c>
      <c r="AF279" s="13">
        <f>IF(AB279=1,$AB$31,$AB$32)</f>
        <v>152394.16214437486</v>
      </c>
      <c r="AG279" s="13">
        <f>AE279-AF279</f>
        <v>-152394.16214437486</v>
      </c>
      <c r="AH279" s="13">
        <f>AH278+AG279</f>
        <v>-9051499.49757496</v>
      </c>
      <c r="AI279">
        <f>IF(AH279=MAX($AH$83:$AH$483),$A279,0)</f>
        <v>0</v>
      </c>
      <c r="AJ279">
        <f>IF(AE279&lt;AF279,$A279,B_MAX+1)</f>
        <v>196</v>
      </c>
      <c r="AK279" s="13">
        <f>IF(AB279=1,$AB$35,$AB$36)</f>
        <v>0</v>
      </c>
      <c r="AL279" s="13">
        <f>OCC_DAYS*$AB$41*R_NF_2023-AD279*MCD_SHARE_FREED*R_WAIT_2023</f>
        <v>151980.48282209205</v>
      </c>
      <c r="AM279">
        <f>IF($A279&lt;=$AB$45,1,0)</f>
        <v>0</v>
      </c>
      <c r="BB279">
        <f>IF($BB$31&lt;=$BB$32,IF($A279&lt;=$BB$7,1,2),IF($A279&lt;=RUNG_BEDS_2,2,1))</f>
        <v>1</v>
      </c>
      <c r="BC279" s="5">
        <f>MIN(1,MAX(0,$BB$26-($A279-1)))</f>
        <v>0</v>
      </c>
      <c r="BD279" s="5">
        <f>$BB$25*(BC279+(1-BC279)*$BB$16)</f>
        <v>0.0</v>
      </c>
      <c r="BE279" s="13">
        <f>BD279*($BB$6+ACUTE_MARGIN)</f>
        <v>0.0</v>
      </c>
      <c r="BF279" s="13">
        <f>IF(BB279=1,$BB$31,$BB$32)</f>
        <v>152394.16214437486</v>
      </c>
      <c r="BG279" s="13">
        <f>BE279-BF279</f>
        <v>-152394.16214437486</v>
      </c>
      <c r="BH279" s="13">
        <f>BH278+BG279</f>
        <v>25770929.193524532</v>
      </c>
      <c r="BI279">
        <f>IF(BH279=MAX($BH$83:$BH$483),$A279,0)</f>
        <v>0</v>
      </c>
      <c r="BJ279">
        <f>IF(BE279&lt;BF279,$A279,B_MAX+1)</f>
        <v>196</v>
      </c>
      <c r="BK279" s="13">
        <f>IF(BB279=1,$BB$35,$BB$36)</f>
        <v>0</v>
      </c>
      <c r="BL279" s="13">
        <f>OCC_DAYS*$BB$41*R_NF_2023-BD279*MCD_SHARE_FREED*R_WAIT_2023</f>
        <v>151980.48282209205</v>
      </c>
      <c r="BM279">
        <f>IF($A279&lt;=$BB$45,1,0)</f>
        <v>0</v>
      </c>
      <c r="CB279">
        <f>IF($CB$31&lt;=$CB$32,IF($A279&lt;=$CB$7,1,2),IF($A279&lt;=RUNG_BEDS_2,2,1))</f>
        <v>2</v>
      </c>
      <c r="CC279" s="5">
        <f>MIN(1,MAX(0,$CB$26-($A279-1)))</f>
        <v>0</v>
      </c>
      <c r="CD279" s="5">
        <f>$CB$25*(CC279+(1-CC279)*$CB$16)</f>
        <v>0.0</v>
      </c>
      <c r="CE279" s="13">
        <f>CD279*($CB$6+ACUTE_MARGIN)</f>
        <v>0.0</v>
      </c>
      <c r="CF279" s="13">
        <f>IF(CB279=1,$CB$31,$CB$32)</f>
        <v>160718.36940738867</v>
      </c>
      <c r="CG279" s="13">
        <f>CE279-CF279</f>
        <v>-160718.36940738867</v>
      </c>
      <c r="CH279" s="13">
        <f>CH278+CG279</f>
        <v>6728170.224424039</v>
      </c>
      <c r="CI279">
        <f>IF(CH279=MAX($CH$83:$CH$483),$A279,0)</f>
        <v>0</v>
      </c>
      <c r="CJ279">
        <f>IF(CE279&lt;CF279,$A279,B_MAX+1)</f>
        <v>196</v>
      </c>
      <c r="CK279" s="13">
        <f>IF(CB279=1,$CB$35,$CB$36)</f>
        <v>1560.1194073886782</v>
      </c>
      <c r="CL279" s="13">
        <f>OCC_DAYS*$CB$41*R_NF_2023-CD279*MCD_SHARE_FREED*R_WAIT_2023</f>
        <v>151980.48282209205</v>
      </c>
      <c r="CM279">
        <f>IF($A279&lt;=$CB$45,1,0)</f>
        <v>0</v>
      </c>
      <c r="DB279">
        <f>IF($DB$31&lt;=$DB$32,IF($A279&lt;=$DB$7,1,2),IF($A279&lt;=RUNG_BEDS_2,2,1))</f>
        <v>1</v>
      </c>
      <c r="DC279" s="5">
        <f>MIN(1,MAX(0,$DB$26-($A279-1)))</f>
        <v>0</v>
      </c>
      <c r="DD279" s="5">
        <f>$DB$25*(DC279+(1-DC279)*$DB$16)</f>
        <v>0.0</v>
      </c>
      <c r="DE279" s="13">
        <f>DD279*($DB$6+ACUTE_MARGIN)</f>
        <v>0.0</v>
      </c>
      <c r="DF279" s="13">
        <f>IF(DB279=1,$DB$31,$DB$32)</f>
        <v>152394.16214437486</v>
      </c>
      <c r="DG279" s="13">
        <f>DE279-DF279</f>
        <v>-152394.16214437486</v>
      </c>
      <c r="DH279" s="13">
        <f>DH278+DG279</f>
        <v>8359714.847974869</v>
      </c>
      <c r="DI279">
        <f>IF(DH279=MAX($DH$83:$DH$483),$A279,0)</f>
        <v>0</v>
      </c>
      <c r="DJ279">
        <f>IF(DE279&lt;DF279,$A279,B_MAX+1)</f>
        <v>196</v>
      </c>
      <c r="DK279" s="13">
        <f>IF(DB279=1,$DB$35,$DB$36)</f>
        <v>0</v>
      </c>
      <c r="DL279" s="13">
        <f>OCC_DAYS*$DB$41*R_NF_2023-DD279*MCD_SHARE_FREED*R_WAIT_2023</f>
        <v>151980.48282209205</v>
      </c>
      <c r="DM279">
        <f>IF($A279&lt;=$DB$45,1,0)</f>
        <v>0</v>
      </c>
      <c r="EB279">
        <f>IF($EB$31&lt;=$EB$32,IF($A279&lt;=$EB$7,1,2),IF($A279&lt;=RUNG_BEDS_2,2,1))</f>
        <v>1</v>
      </c>
      <c r="EC279" s="5">
        <f>MIN(1,MAX(0,$EB$26-($A279-1)))</f>
        <v>0</v>
      </c>
      <c r="ED279" s="5">
        <f>$EB$25*(EC279+(1-EC279)*$EB$16)</f>
        <v>0.0</v>
      </c>
      <c r="EE279" s="13">
        <f>ED279*($EB$6+ACUTE_MARGIN)</f>
        <v>0.0</v>
      </c>
      <c r="EF279" s="13">
        <f>IF(EB279=1,$EB$31,$EB$32)</f>
        <v>152394.16214437486</v>
      </c>
      <c r="EG279" s="13">
        <f>EE279-EF279</f>
        <v>-152394.16214437486</v>
      </c>
      <c r="EH279" s="13">
        <f>EH278+EG279</f>
        <v>8359714.847974869</v>
      </c>
      <c r="EI279">
        <f>IF(EH279=MAX($EH$83:$EH$483),$A279,0)</f>
        <v>0</v>
      </c>
      <c r="EJ279">
        <f>IF(EE279&lt;EF279,$A279,B_MAX+1)</f>
        <v>196</v>
      </c>
      <c r="EK279" s="13">
        <f>IF(EB279=1,$EB$35,$EB$36)</f>
        <v>0</v>
      </c>
      <c r="EL279" s="13">
        <f>OCC_DAYS*$EB$41*R_NF_2023-ED279*MCD_SHARE_FREED*R_WAIT_2023</f>
        <v>50660.16094069735</v>
      </c>
      <c r="EM279">
        <f>IF($A279&lt;=$EB$45,1,0)</f>
        <v>0</v>
      </c>
      <c r="FB279">
        <f>IF($FB$31&lt;=$FB$32,IF($A279&lt;=$FB$7,1,2),IF($A279&lt;=RUNG_BEDS_2,2,1))</f>
        <v>1</v>
      </c>
      <c r="FC279" s="5">
        <f>MIN(1,MAX(0,$FB$26-($A279-1)))</f>
        <v>0</v>
      </c>
      <c r="FD279" s="5">
        <f>$FB$25*(FC279+(1-FC279)*$FB$16)</f>
        <v>0.0</v>
      </c>
      <c r="FE279" s="13">
        <f>FD279*($FB$6+ACUTE_MARGIN)</f>
        <v>0.0</v>
      </c>
      <c r="FF279" s="13">
        <f>IF(FB279=1,$FB$31,$FB$32)</f>
        <v>156636.04979437485</v>
      </c>
      <c r="FG279" s="13">
        <f>FE279-FF279</f>
        <v>-156636.04979437485</v>
      </c>
      <c r="FH279" s="13">
        <f>FH278+FG279</f>
        <v>7528304.868574753</v>
      </c>
      <c r="FI279">
        <f>IF(FH279=MAX($FH$83:$FH$483),$A279,0)</f>
        <v>0</v>
      </c>
      <c r="FJ279">
        <f>IF(FE279&lt;FF279,$A279,B_MAX+1)</f>
        <v>196</v>
      </c>
      <c r="FK279" s="13">
        <f>IF(FB279=1,$FB$35,$FB$36)</f>
        <v>0</v>
      </c>
      <c r="FL279" s="13">
        <f>OCC_DAYS*$FB$41*R_NF_2023-FD279*MCD_SHARE_FREED*R_WAIT_2023</f>
        <v>151980.48282209205</v>
      </c>
      <c r="FM279">
        <f>IF($A279&lt;=$FB$45,1,0)</f>
        <v>0</v>
      </c>
      <c r="GB279">
        <f>IF($GB$31&lt;=$GB$32,IF($A279&lt;=$GB$7,1,2),IF($A279&lt;=RUNG_BEDS_2,2,1))</f>
        <v>1</v>
      </c>
      <c r="GC279" s="5">
        <f>MIN(1,MAX(0,$GB$26-($A279-1)))</f>
        <v>0</v>
      </c>
      <c r="GD279" s="5">
        <f>$GB$25*(GC279+(1-GC279)*$GB$16)</f>
        <v>0.0</v>
      </c>
      <c r="GE279" s="13">
        <f>GD279*($GB$6+ACUTE_MARGIN)</f>
        <v>0.0</v>
      </c>
      <c r="GF279" s="13">
        <f>IF(GB279=1,$GB$31,$GB$32)</f>
        <v>152394.16214437486</v>
      </c>
      <c r="GG279" s="13">
        <f>GE279-GF279</f>
        <v>-152394.16214437486</v>
      </c>
      <c r="GH279" s="13">
        <f>GH278+GG279</f>
        <v>8359714.847974869</v>
      </c>
      <c r="GI279">
        <f>IF(GH279=MAX($GH$83:$GH$483),$A279,0)</f>
        <v>0</v>
      </c>
      <c r="GJ279">
        <f>IF(GE279&lt;GF279,$A279,B_MAX+1)</f>
        <v>196</v>
      </c>
      <c r="GK279" s="13">
        <f>IF(GB279=1,$GB$35,$GB$36)</f>
        <v>0</v>
      </c>
      <c r="GL279" s="13">
        <f>OCC_DAYS*$GB$41*R_NF_2023-GD279*MCD_SHARE_FREED*R_WAIT_2023</f>
        <v>151980.48282209205</v>
      </c>
      <c r="GM279">
        <f>IF($A279&lt;=$GB$45,1,0)</f>
        <v>0</v>
      </c>
      <c r="HB279">
        <f>IF($HB$31&lt;=$HB$32,IF($A279&lt;=$HB$7,1,2),IF($A279&lt;=RUNG_BEDS_2,2,1))</f>
        <v>1</v>
      </c>
      <c r="HC279" s="5">
        <f>MIN(1,MAX(0,$HB$26-($A279-1)))</f>
        <v>0</v>
      </c>
      <c r="HD279" s="5">
        <f>$HB$25*(HC279+(1-HC279)*$HB$16)</f>
        <v>0.0</v>
      </c>
      <c r="HE279" s="13">
        <f>HD279*($HB$6+ACUTE_MARGIN)</f>
        <v>0.0</v>
      </c>
      <c r="HF279" s="13">
        <f>IF(HB279=1,$HB$31,$HB$32)</f>
        <v>152456.2970814058</v>
      </c>
      <c r="HG279" s="13">
        <f>HE279-HF279</f>
        <v>-152456.2970814058</v>
      </c>
      <c r="HH279" s="13">
        <f>HH278+HG279</f>
        <v>8347536.40031677</v>
      </c>
      <c r="HI279">
        <f>IF(HH279=MAX($HH$83:$HH$483),$A279,0)</f>
        <v>0</v>
      </c>
      <c r="HJ279">
        <f>IF(HE279&lt;HF279,$A279,B_MAX+1)</f>
        <v>196</v>
      </c>
      <c r="HK279" s="13">
        <f>IF(HB279=1,$HB$35,$HB$36)</f>
        <v>0</v>
      </c>
      <c r="HL279" s="13">
        <f>OCC_DAYS*$HB$41*R_NF_2023-HD279*MCD_SHARE_FREED*R_WAIT_2023</f>
        <v>151980.48282209205</v>
      </c>
      <c r="HM279">
        <f>IF($A279&lt;=$HB$45,1,0)</f>
        <v>0</v>
      </c>
      <c r="IB279">
        <f>IF($IB$31&lt;=$IB$32,IF($A279&lt;=$IB$7,1,2),IF($A279&lt;=RUNG_BEDS_2,2,1))</f>
        <v>1</v>
      </c>
      <c r="IC279" s="5">
        <f>MIN(1,MAX(0,$IB$26-($A279-1)))</f>
        <v>0</v>
      </c>
      <c r="ID279" s="5">
        <f>$IB$25*(IC279+(1-IC279)*$IB$16)</f>
        <v>0.0</v>
      </c>
      <c r="IE279" s="13">
        <f>ID279*($IB$6+ACUTE_MARGIN)</f>
        <v>0.0</v>
      </c>
      <c r="IF279" s="13">
        <f>IF(IB279=1,$IB$31,$IB$32)</f>
        <v>152734.9994534971</v>
      </c>
      <c r="IG279" s="13">
        <f>IE279-IF279</f>
        <v>-152734.9994534971</v>
      </c>
      <c r="IH279" s="13">
        <f>IH278+IG279</f>
        <v>8292910.735386812</v>
      </c>
      <c r="II279">
        <f>IF(IH279=MAX($IH$83:$IH$483),$A279,0)</f>
        <v>0</v>
      </c>
      <c r="IJ279">
        <f>IF(IE279&lt;IF279,$A279,B_MAX+1)</f>
        <v>196</v>
      </c>
      <c r="IK279" s="13">
        <f>IF(IB279=1,$IB$35,$IB$36)</f>
        <v>0</v>
      </c>
      <c r="IL279" s="13">
        <f>OCC_DAYS*$IB$41*R_NF_2023-ID279*MCD_SHARE_FREED*R_WAIT_2023</f>
        <v>151980.48282209205</v>
      </c>
      <c r="IM279">
        <f>IF($A279&lt;=$IB$45,1,0)</f>
        <v>0</v>
      </c>
      <c r="JB279">
        <f>IF($JB$31&lt;=$JB$32,IF($A279&lt;=$JB$7,1,2),IF($A279&lt;=RUNG_BEDS_2,2,1))</f>
        <v>1</v>
      </c>
      <c r="JC279" s="5">
        <f>MIN(1,MAX(0,$JB$26-($A279-1)))</f>
        <v>0</v>
      </c>
      <c r="JD279" s="5">
        <f>$JB$25*(JC279+(1-JC279)*$JB$16)</f>
        <v>0.0</v>
      </c>
      <c r="JE279" s="13">
        <f>JD279*($JB$6+ACUTE_MARGIN)</f>
        <v>0.0</v>
      </c>
      <c r="JF279" s="13">
        <f>IF(JB279=1,$JB$31,$JB$32)</f>
        <v>152394.16214437486</v>
      </c>
      <c r="JG279" s="13">
        <f>JE279-JF279</f>
        <v>-152394.16214437486</v>
      </c>
      <c r="JH279" s="13">
        <f>JH278+JG279</f>
        <v>8359714.847974869</v>
      </c>
      <c r="JI279">
        <f>IF(JH279=MAX($JH$83:$JH$483),$A279,0)</f>
        <v>0</v>
      </c>
      <c r="JJ279">
        <f>IF(JE279&lt;JF279,$A279,B_MAX+1)</f>
        <v>196</v>
      </c>
      <c r="JK279" s="13">
        <f>IF(JB279=1,$JB$35,$JB$36)</f>
        <v>0</v>
      </c>
      <c r="JL279" s="13">
        <f>OCC_DAYS*$JB$41*R_NF_2023-JD279*MCD_SHARE_FREED*R_WAIT_2023</f>
        <v>151980.48282209205</v>
      </c>
      <c r="JM279">
        <f>IF($A279&lt;=$JB$45,1,0)</f>
        <v>0</v>
      </c>
      <c r="KB279">
        <f>IF($KB$31&lt;=$KB$32,IF($A279&lt;=$KB$7,1,2),IF($A279&lt;=RUNG_BEDS_2,2,1))</f>
        <v>1</v>
      </c>
      <c r="KC279" s="5">
        <f>MIN(1,MAX(0,$KB$26-($A279-1)))</f>
        <v>1</v>
      </c>
      <c r="KD279" s="5">
        <f>$KB$25*(KC279+(1-KC279)*$KB$16)</f>
        <v>126.02661357340719</v>
      </c>
      <c r="KE279" s="13">
        <f>KD279*($KB$6+ACUTE_MARGIN)</f>
        <v>127286.87970914126</v>
      </c>
      <c r="KF279" s="13">
        <f>IF(KB279=1,$KB$31,$KB$32)</f>
        <v>152394.16214437486</v>
      </c>
      <c r="KG279" s="13">
        <f>KE279-KF279</f>
        <v>-25107.282435233603</v>
      </c>
      <c r="KH279" s="13">
        <f>KH278+KG279</f>
        <v>-4921027.3573058015</v>
      </c>
      <c r="KI279">
        <f>IF(KH279=MAX($KH$83:$KH$483),$A279,0)</f>
        <v>0</v>
      </c>
      <c r="KJ279">
        <f>IF(KE279&lt;KF279,$A279,B_MAX+1)</f>
        <v>196</v>
      </c>
      <c r="KK279" s="13">
        <f>IF(KB279=1,$KB$35,$KB$36)</f>
        <v>0</v>
      </c>
      <c r="KL279" s="13">
        <f>OCC_DAYS*$KB$41*R_NF_2023-KD279*MCD_SHARE_FREED*R_WAIT_2023</f>
        <v>94673.82103225985</v>
      </c>
      <c r="KM279">
        <f>IF($A279&lt;=$KB$45,1,0)</f>
        <v>0</v>
      </c>
      <c r="LB279">
        <f>IF($LB$31&lt;=$LB$32,IF($A279&lt;=$LB$7,1,2),IF($A279&lt;=RUNG_BEDS_2,2,1))</f>
        <v>1</v>
      </c>
      <c r="LC279" s="5">
        <f>MIN(1,MAX(0,$LB$26-($A279-1)))</f>
        <v>1</v>
      </c>
      <c r="LD279" s="5">
        <f>$LB$25*(LC279+(1-LC279)*$LB$16)</f>
        <v>84.01774238227146</v>
      </c>
      <c r="LE279" s="13">
        <f>LD279*($LB$6+ACUTE_MARGIN)</f>
        <v>84857.91980609419</v>
      </c>
      <c r="LF279" s="13">
        <f>IF(LB279=1,$LB$31,$LB$32)</f>
        <v>152394.16214437486</v>
      </c>
      <c r="LG279" s="13">
        <f>LE279-LF279</f>
        <v>-67536.24233828067</v>
      </c>
      <c r="LH279" s="13">
        <f>LH278+LG279</f>
        <v>-13237103.49830307</v>
      </c>
      <c r="LI279">
        <f>IF(LH279=MAX($LH$83:$LH$483),$A279,0)</f>
        <v>0</v>
      </c>
      <c r="LJ279">
        <f>IF(LE279&lt;LF279,$A279,B_MAX+1)</f>
        <v>196</v>
      </c>
      <c r="LK279" s="13">
        <f>IF(LB279=1,$LB$35,$LB$36)</f>
        <v>0</v>
      </c>
      <c r="LL279" s="13">
        <f>OCC_DAYS*$LB$41*R_NF_2023-LD279*MCD_SHARE_FREED*R_WAIT_2023</f>
        <v>113776.04162887059</v>
      </c>
      <c r="LM279">
        <f>IF($A279&lt;=$LB$45,1,0)</f>
        <v>0</v>
      </c>
      <c r="MB279">
        <f>IF($MB$31&lt;=$MB$32,IF($A279&lt;=$MB$7,1,2),IF($A279&lt;=RUNG_BEDS_2,2,1))</f>
        <v>1</v>
      </c>
      <c r="MC279" s="5">
        <f>MIN(1,MAX(0,$MB$26-($A279-1)))</f>
        <v>0</v>
      </c>
      <c r="MD279" s="5">
        <f>$MB$25*(MC279+(1-MC279)*$MB$16)</f>
        <v>0.0</v>
      </c>
      <c r="ME279" s="13">
        <f>MD279*($MB$6+ACUTE_MARGIN)</f>
        <v>0.0</v>
      </c>
      <c r="MF279" s="13">
        <f>IF(MB279=1,$MB$31,$MB$32)</f>
        <v>152394.16214437486</v>
      </c>
      <c r="MG279" s="13">
        <f>ME279-MF279</f>
        <v>-152394.16214437486</v>
      </c>
      <c r="MH279" s="13">
        <f>MH278+MG279</f>
        <v>2472438.7861765334</v>
      </c>
      <c r="MI279">
        <f>IF(MH279=MAX($MH$83:$MH$483),$A279,0)</f>
        <v>0</v>
      </c>
      <c r="MJ279">
        <f>IF(ME279&lt;MF279,$A279,B_MAX+1)</f>
        <v>196</v>
      </c>
      <c r="MK279" s="13">
        <f>IF(MB279=1,$MB$35,$MB$36)</f>
        <v>0</v>
      </c>
      <c r="ML279" s="13">
        <f>OCC_DAYS*$MB$41*R_NF_2023-MD279*MCD_SHARE_FREED*R_WAIT_2023</f>
        <v>151980.48282209205</v>
      </c>
      <c r="MM279">
        <f>IF($A279&lt;=$MB$45,1,0)</f>
        <v>0</v>
      </c>
      <c r="NB279">
        <f>IF($NB$31&lt;=$NB$32,IF($A279&lt;=$NB$7,1,2),IF($A279&lt;=RUNG_BEDS_2,2,1))</f>
        <v>1</v>
      </c>
      <c r="NC279" s="5">
        <f>MIN(1,MAX(0,$NB$26-($A279-1)))</f>
        <v>0</v>
      </c>
      <c r="ND279" s="5">
        <f>$NB$25*(NC279+(1-NC279)*$NB$16)</f>
        <v>63.013306786703595</v>
      </c>
      <c r="NE279" s="13">
        <f>ND279*($NB$6+ACUTE_MARGIN)</f>
        <v>63643.43985457063</v>
      </c>
      <c r="NF279" s="13">
        <f>IF(NB279=1,$NB$31,$NB$32)</f>
        <v>152394.16214437486</v>
      </c>
      <c r="NG279" s="13">
        <f>NE279-NF279</f>
        <v>-88750.72228980422</v>
      </c>
      <c r="NH279" s="13">
        <f>NH278+NG279</f>
        <v>11276586.40240261</v>
      </c>
      <c r="NI279">
        <f>IF(NH279=MAX($NH$83:$NH$483),$A279,0)</f>
        <v>0</v>
      </c>
      <c r="NJ279">
        <f>IF(NE279&lt;NF279,$A279,B_MAX+1)</f>
        <v>196</v>
      </c>
      <c r="NK279" s="13">
        <f>IF(NB279=1,$NB$35,$NB$36)</f>
        <v>0</v>
      </c>
      <c r="NL279" s="13">
        <f>OCC_DAYS*$NB$41*R_NF_2023-ND279*MCD_SHARE_FREED*R_WAIT_2023</f>
        <v>123327.15192717595</v>
      </c>
      <c r="NM279">
        <f>IF($A279&lt;=$NB$45,1,0)</f>
        <v>0</v>
      </c>
      <c r="OB279">
        <f>IF($OB$31&lt;=$OB$32,IF($A279&lt;=$OB$7,1,2),IF($A279&lt;=RUNG_BEDS_2,2,1))</f>
        <v>1</v>
      </c>
      <c r="OC279" s="5">
        <f>MIN(1,MAX(0,$OB$26-($A279-1)))</f>
        <v>0</v>
      </c>
      <c r="OD279" s="5">
        <f>$OB$25*(OC279+(1-OC279)*$OB$16)</f>
        <v>126.02661357340719</v>
      </c>
      <c r="OE279" s="13">
        <f>OD279*($OB$6+ACUTE_MARGIN)</f>
        <v>127286.87970914126</v>
      </c>
      <c r="OF279" s="13">
        <f>IF(OB279=1,$OB$31,$OB$32)</f>
        <v>152394.16214437486</v>
      </c>
      <c r="OG279" s="13">
        <f>OE279-OF279</f>
        <v>-25107.282435233603</v>
      </c>
      <c r="OH279" s="13">
        <f>OH278+OG279</f>
        <v>14193457.956830435</v>
      </c>
      <c r="OI279">
        <f>IF(OH279=MAX($OH$83:$OH$483),$A279,0)</f>
        <v>0</v>
      </c>
      <c r="OJ279">
        <f>IF(OE279&lt;OF279,$A279,B_MAX+1)</f>
        <v>196</v>
      </c>
      <c r="OK279" s="13">
        <f>IF(OB279=1,$OB$35,$OB$36)</f>
        <v>0</v>
      </c>
      <c r="OL279" s="13">
        <f>OCC_DAYS*$OB$41*R_NF_2023-OD279*MCD_SHARE_FREED*R_WAIT_2023</f>
        <v>94673.82103225985</v>
      </c>
      <c r="OM279">
        <f>IF($A279&lt;=$OB$45,1,0)</f>
        <v>0</v>
      </c>
    </row>
    <row r="280">
      <c r="A280" t="n">
        <v>197</v>
      </c>
      <c r="B280">
        <f>IF($B$31&lt;=$B$32,IF($A280&lt;=$B$7,1,2),IF($A280&lt;=RUNG_BEDS_2,2,1))</f>
        <v>1</v>
      </c>
      <c r="C280" s="5">
        <f>MIN(1,MAX(0,$B$26-($A280-1)))</f>
        <v>0</v>
      </c>
      <c r="D280" s="5">
        <f>$B$25*(C280+(1-C280)*$B$16)</f>
        <v>0.0</v>
      </c>
      <c r="E280" s="13">
        <f>D280*($B$6+ACUTE_MARGIN)</f>
        <v>0.0</v>
      </c>
      <c r="F280" s="13">
        <f>IF(B280=1,$B$31,$B$32)</f>
        <v>152394.16214437486</v>
      </c>
      <c r="G280" s="13">
        <f>E280-F280</f>
        <v>-152394.16214437486</v>
      </c>
      <c r="H280" s="13">
        <f>H279+G280</f>
        <v>8207320.685830494</v>
      </c>
      <c r="I280">
        <f>IF(H280=MAX($H$83:$H$483),$A280,0)</f>
        <v>0</v>
      </c>
      <c r="J280">
        <f>IF(E280&lt;F280,$A280,B_MAX+1)</f>
        <v>197</v>
      </c>
      <c r="K280" s="13">
        <f>IF(B280=1,$B$35,$B$36)</f>
        <v>0</v>
      </c>
      <c r="L280" s="13">
        <f>OCC_DAYS*$B$41*R_NF_2023-D280*MCD_SHARE_FREED*R_WAIT_2023</f>
        <v>151980.48282209205</v>
      </c>
      <c r="M280">
        <f>IF($A280&lt;=$B$45,1,0)</f>
        <v>0</v>
      </c>
      <c r="AB280">
        <f>IF($AB$31&lt;=$AB$32,IF($A280&lt;=$AB$7,1,2),IF($A280&lt;=RUNG_BEDS_2,2,1))</f>
        <v>1</v>
      </c>
      <c r="AC280" s="5">
        <f>MIN(1,MAX(0,$AB$26-($A280-1)))</f>
        <v>0</v>
      </c>
      <c r="AD280" s="5">
        <f>$AB$25*(AC280+(1-AC280)*$AB$16)</f>
        <v>0.0</v>
      </c>
      <c r="AE280" s="13">
        <f>AD280*($AB$6+ACUTE_MARGIN)</f>
        <v>0.0</v>
      </c>
      <c r="AF280" s="13">
        <f>IF(AB280=1,$AB$31,$AB$32)</f>
        <v>152394.16214437486</v>
      </c>
      <c r="AG280" s="13">
        <f>AE280-AF280</f>
        <v>-152394.16214437486</v>
      </c>
      <c r="AH280" s="13">
        <f>AH279+AG280</f>
        <v>-9203893.659719335</v>
      </c>
      <c r="AI280">
        <f>IF(AH280=MAX($AH$83:$AH$483),$A280,0)</f>
        <v>0</v>
      </c>
      <c r="AJ280">
        <f>IF(AE280&lt;AF280,$A280,B_MAX+1)</f>
        <v>197</v>
      </c>
      <c r="AK280" s="13">
        <f>IF(AB280=1,$AB$35,$AB$36)</f>
        <v>0</v>
      </c>
      <c r="AL280" s="13">
        <f>OCC_DAYS*$AB$41*R_NF_2023-AD280*MCD_SHARE_FREED*R_WAIT_2023</f>
        <v>151980.48282209205</v>
      </c>
      <c r="AM280">
        <f>IF($A280&lt;=$AB$45,1,0)</f>
        <v>0</v>
      </c>
      <c r="BB280">
        <f>IF($BB$31&lt;=$BB$32,IF($A280&lt;=$BB$7,1,2),IF($A280&lt;=RUNG_BEDS_2,2,1))</f>
        <v>1</v>
      </c>
      <c r="BC280" s="5">
        <f>MIN(1,MAX(0,$BB$26-($A280-1)))</f>
        <v>0</v>
      </c>
      <c r="BD280" s="5">
        <f>$BB$25*(BC280+(1-BC280)*$BB$16)</f>
        <v>0.0</v>
      </c>
      <c r="BE280" s="13">
        <f>BD280*($BB$6+ACUTE_MARGIN)</f>
        <v>0.0</v>
      </c>
      <c r="BF280" s="13">
        <f>IF(BB280=1,$BB$31,$BB$32)</f>
        <v>152394.16214437486</v>
      </c>
      <c r="BG280" s="13">
        <f>BE280-BF280</f>
        <v>-152394.16214437486</v>
      </c>
      <c r="BH280" s="13">
        <f>BH279+BG280</f>
        <v>25618535.031380158</v>
      </c>
      <c r="BI280">
        <f>IF(BH280=MAX($BH$83:$BH$483),$A280,0)</f>
        <v>0</v>
      </c>
      <c r="BJ280">
        <f>IF(BE280&lt;BF280,$A280,B_MAX+1)</f>
        <v>197</v>
      </c>
      <c r="BK280" s="13">
        <f>IF(BB280=1,$BB$35,$BB$36)</f>
        <v>0</v>
      </c>
      <c r="BL280" s="13">
        <f>OCC_DAYS*$BB$41*R_NF_2023-BD280*MCD_SHARE_FREED*R_WAIT_2023</f>
        <v>151980.48282209205</v>
      </c>
      <c r="BM280">
        <f>IF($A280&lt;=$BB$45,1,0)</f>
        <v>0</v>
      </c>
      <c r="CB280">
        <f>IF($CB$31&lt;=$CB$32,IF($A280&lt;=$CB$7,1,2),IF($A280&lt;=RUNG_BEDS_2,2,1))</f>
        <v>2</v>
      </c>
      <c r="CC280" s="5">
        <f>MIN(1,MAX(0,$CB$26-($A280-1)))</f>
        <v>0</v>
      </c>
      <c r="CD280" s="5">
        <f>$CB$25*(CC280+(1-CC280)*$CB$16)</f>
        <v>0.0</v>
      </c>
      <c r="CE280" s="13">
        <f>CD280*($CB$6+ACUTE_MARGIN)</f>
        <v>0.0</v>
      </c>
      <c r="CF280" s="13">
        <f>IF(CB280=1,$CB$31,$CB$32)</f>
        <v>160718.36940738867</v>
      </c>
      <c r="CG280" s="13">
        <f>CE280-CF280</f>
        <v>-160718.36940738867</v>
      </c>
      <c r="CH280" s="13">
        <f>CH279+CG280</f>
        <v>6567451.855016651</v>
      </c>
      <c r="CI280">
        <f>IF(CH280=MAX($CH$83:$CH$483),$A280,0)</f>
        <v>0</v>
      </c>
      <c r="CJ280">
        <f>IF(CE280&lt;CF280,$A280,B_MAX+1)</f>
        <v>197</v>
      </c>
      <c r="CK280" s="13">
        <f>IF(CB280=1,$CB$35,$CB$36)</f>
        <v>1560.1194073886782</v>
      </c>
      <c r="CL280" s="13">
        <f>OCC_DAYS*$CB$41*R_NF_2023-CD280*MCD_SHARE_FREED*R_WAIT_2023</f>
        <v>151980.48282209205</v>
      </c>
      <c r="CM280">
        <f>IF($A280&lt;=$CB$45,1,0)</f>
        <v>0</v>
      </c>
      <c r="DB280">
        <f>IF($DB$31&lt;=$DB$32,IF($A280&lt;=$DB$7,1,2),IF($A280&lt;=RUNG_BEDS_2,2,1))</f>
        <v>1</v>
      </c>
      <c r="DC280" s="5">
        <f>MIN(1,MAX(0,$DB$26-($A280-1)))</f>
        <v>0</v>
      </c>
      <c r="DD280" s="5">
        <f>$DB$25*(DC280+(1-DC280)*$DB$16)</f>
        <v>0.0</v>
      </c>
      <c r="DE280" s="13">
        <f>DD280*($DB$6+ACUTE_MARGIN)</f>
        <v>0.0</v>
      </c>
      <c r="DF280" s="13">
        <f>IF(DB280=1,$DB$31,$DB$32)</f>
        <v>152394.16214437486</v>
      </c>
      <c r="DG280" s="13">
        <f>DE280-DF280</f>
        <v>-152394.16214437486</v>
      </c>
      <c r="DH280" s="13">
        <f>DH279+DG280</f>
        <v>8207320.685830494</v>
      </c>
      <c r="DI280">
        <f>IF(DH280=MAX($DH$83:$DH$483),$A280,0)</f>
        <v>0</v>
      </c>
      <c r="DJ280">
        <f>IF(DE280&lt;DF280,$A280,B_MAX+1)</f>
        <v>197</v>
      </c>
      <c r="DK280" s="13">
        <f>IF(DB280=1,$DB$35,$DB$36)</f>
        <v>0</v>
      </c>
      <c r="DL280" s="13">
        <f>OCC_DAYS*$DB$41*R_NF_2023-DD280*MCD_SHARE_FREED*R_WAIT_2023</f>
        <v>151980.48282209205</v>
      </c>
      <c r="DM280">
        <f>IF($A280&lt;=$DB$45,1,0)</f>
        <v>0</v>
      </c>
      <c r="EB280">
        <f>IF($EB$31&lt;=$EB$32,IF($A280&lt;=$EB$7,1,2),IF($A280&lt;=RUNG_BEDS_2,2,1))</f>
        <v>1</v>
      </c>
      <c r="EC280" s="5">
        <f>MIN(1,MAX(0,$EB$26-($A280-1)))</f>
        <v>0</v>
      </c>
      <c r="ED280" s="5">
        <f>$EB$25*(EC280+(1-EC280)*$EB$16)</f>
        <v>0.0</v>
      </c>
      <c r="EE280" s="13">
        <f>ED280*($EB$6+ACUTE_MARGIN)</f>
        <v>0.0</v>
      </c>
      <c r="EF280" s="13">
        <f>IF(EB280=1,$EB$31,$EB$32)</f>
        <v>152394.16214437486</v>
      </c>
      <c r="EG280" s="13">
        <f>EE280-EF280</f>
        <v>-152394.16214437486</v>
      </c>
      <c r="EH280" s="13">
        <f>EH279+EG280</f>
        <v>8207320.685830494</v>
      </c>
      <c r="EI280">
        <f>IF(EH280=MAX($EH$83:$EH$483),$A280,0)</f>
        <v>0</v>
      </c>
      <c r="EJ280">
        <f>IF(EE280&lt;EF280,$A280,B_MAX+1)</f>
        <v>197</v>
      </c>
      <c r="EK280" s="13">
        <f>IF(EB280=1,$EB$35,$EB$36)</f>
        <v>0</v>
      </c>
      <c r="EL280" s="13">
        <f>OCC_DAYS*$EB$41*R_NF_2023-ED280*MCD_SHARE_FREED*R_WAIT_2023</f>
        <v>50660.16094069735</v>
      </c>
      <c r="EM280">
        <f>IF($A280&lt;=$EB$45,1,0)</f>
        <v>0</v>
      </c>
      <c r="FB280">
        <f>IF($FB$31&lt;=$FB$32,IF($A280&lt;=$FB$7,1,2),IF($A280&lt;=RUNG_BEDS_2,2,1))</f>
        <v>1</v>
      </c>
      <c r="FC280" s="5">
        <f>MIN(1,MAX(0,$FB$26-($A280-1)))</f>
        <v>0</v>
      </c>
      <c r="FD280" s="5">
        <f>$FB$25*(FC280+(1-FC280)*$FB$16)</f>
        <v>0.0</v>
      </c>
      <c r="FE280" s="13">
        <f>FD280*($FB$6+ACUTE_MARGIN)</f>
        <v>0.0</v>
      </c>
      <c r="FF280" s="13">
        <f>IF(FB280=1,$FB$31,$FB$32)</f>
        <v>156636.04979437485</v>
      </c>
      <c r="FG280" s="13">
        <f>FE280-FF280</f>
        <v>-156636.04979437485</v>
      </c>
      <c r="FH280" s="13">
        <f>FH279+FG280</f>
        <v>7371668.818780378</v>
      </c>
      <c r="FI280">
        <f>IF(FH280=MAX($FH$83:$FH$483),$A280,0)</f>
        <v>0</v>
      </c>
      <c r="FJ280">
        <f>IF(FE280&lt;FF280,$A280,B_MAX+1)</f>
        <v>197</v>
      </c>
      <c r="FK280" s="13">
        <f>IF(FB280=1,$FB$35,$FB$36)</f>
        <v>0</v>
      </c>
      <c r="FL280" s="13">
        <f>OCC_DAYS*$FB$41*R_NF_2023-FD280*MCD_SHARE_FREED*R_WAIT_2023</f>
        <v>151980.48282209205</v>
      </c>
      <c r="FM280">
        <f>IF($A280&lt;=$FB$45,1,0)</f>
        <v>0</v>
      </c>
      <c r="GB280">
        <f>IF($GB$31&lt;=$GB$32,IF($A280&lt;=$GB$7,1,2),IF($A280&lt;=RUNG_BEDS_2,2,1))</f>
        <v>1</v>
      </c>
      <c r="GC280" s="5">
        <f>MIN(1,MAX(0,$GB$26-($A280-1)))</f>
        <v>0</v>
      </c>
      <c r="GD280" s="5">
        <f>$GB$25*(GC280+(1-GC280)*$GB$16)</f>
        <v>0.0</v>
      </c>
      <c r="GE280" s="13">
        <f>GD280*($GB$6+ACUTE_MARGIN)</f>
        <v>0.0</v>
      </c>
      <c r="GF280" s="13">
        <f>IF(GB280=1,$GB$31,$GB$32)</f>
        <v>152394.16214437486</v>
      </c>
      <c r="GG280" s="13">
        <f>GE280-GF280</f>
        <v>-152394.16214437486</v>
      </c>
      <c r="GH280" s="13">
        <f>GH279+GG280</f>
        <v>8207320.685830494</v>
      </c>
      <c r="GI280">
        <f>IF(GH280=MAX($GH$83:$GH$483),$A280,0)</f>
        <v>0</v>
      </c>
      <c r="GJ280">
        <f>IF(GE280&lt;GF280,$A280,B_MAX+1)</f>
        <v>197</v>
      </c>
      <c r="GK280" s="13">
        <f>IF(GB280=1,$GB$35,$GB$36)</f>
        <v>0</v>
      </c>
      <c r="GL280" s="13">
        <f>OCC_DAYS*$GB$41*R_NF_2023-GD280*MCD_SHARE_FREED*R_WAIT_2023</f>
        <v>151980.48282209205</v>
      </c>
      <c r="GM280">
        <f>IF($A280&lt;=$GB$45,1,0)</f>
        <v>0</v>
      </c>
      <c r="HB280">
        <f>IF($HB$31&lt;=$HB$32,IF($A280&lt;=$HB$7,1,2),IF($A280&lt;=RUNG_BEDS_2,2,1))</f>
        <v>1</v>
      </c>
      <c r="HC280" s="5">
        <f>MIN(1,MAX(0,$HB$26-($A280-1)))</f>
        <v>0</v>
      </c>
      <c r="HD280" s="5">
        <f>$HB$25*(HC280+(1-HC280)*$HB$16)</f>
        <v>0.0</v>
      </c>
      <c r="HE280" s="13">
        <f>HD280*($HB$6+ACUTE_MARGIN)</f>
        <v>0.0</v>
      </c>
      <c r="HF280" s="13">
        <f>IF(HB280=1,$HB$31,$HB$32)</f>
        <v>152456.2970814058</v>
      </c>
      <c r="HG280" s="13">
        <f>HE280-HF280</f>
        <v>-152456.2970814058</v>
      </c>
      <c r="HH280" s="13">
        <f>HH279+HG280</f>
        <v>8195080.103235364</v>
      </c>
      <c r="HI280">
        <f>IF(HH280=MAX($HH$83:$HH$483),$A280,0)</f>
        <v>0</v>
      </c>
      <c r="HJ280">
        <f>IF(HE280&lt;HF280,$A280,B_MAX+1)</f>
        <v>197</v>
      </c>
      <c r="HK280" s="13">
        <f>IF(HB280=1,$HB$35,$HB$36)</f>
        <v>0</v>
      </c>
      <c r="HL280" s="13">
        <f>OCC_DAYS*$HB$41*R_NF_2023-HD280*MCD_SHARE_FREED*R_WAIT_2023</f>
        <v>151980.48282209205</v>
      </c>
      <c r="HM280">
        <f>IF($A280&lt;=$HB$45,1,0)</f>
        <v>0</v>
      </c>
      <c r="IB280">
        <f>IF($IB$31&lt;=$IB$32,IF($A280&lt;=$IB$7,1,2),IF($A280&lt;=RUNG_BEDS_2,2,1))</f>
        <v>1</v>
      </c>
      <c r="IC280" s="5">
        <f>MIN(1,MAX(0,$IB$26-($A280-1)))</f>
        <v>0</v>
      </c>
      <c r="ID280" s="5">
        <f>$IB$25*(IC280+(1-IC280)*$IB$16)</f>
        <v>0.0</v>
      </c>
      <c r="IE280" s="13">
        <f>ID280*($IB$6+ACUTE_MARGIN)</f>
        <v>0.0</v>
      </c>
      <c r="IF280" s="13">
        <f>IF(IB280=1,$IB$31,$IB$32)</f>
        <v>152734.9994534971</v>
      </c>
      <c r="IG280" s="13">
        <f>IE280-IF280</f>
        <v>-152734.9994534971</v>
      </c>
      <c r="IH280" s="13">
        <f>IH279+IG280</f>
        <v>8140175.735933315</v>
      </c>
      <c r="II280">
        <f>IF(IH280=MAX($IH$83:$IH$483),$A280,0)</f>
        <v>0</v>
      </c>
      <c r="IJ280">
        <f>IF(IE280&lt;IF280,$A280,B_MAX+1)</f>
        <v>197</v>
      </c>
      <c r="IK280" s="13">
        <f>IF(IB280=1,$IB$35,$IB$36)</f>
        <v>0</v>
      </c>
      <c r="IL280" s="13">
        <f>OCC_DAYS*$IB$41*R_NF_2023-ID280*MCD_SHARE_FREED*R_WAIT_2023</f>
        <v>151980.48282209205</v>
      </c>
      <c r="IM280">
        <f>IF($A280&lt;=$IB$45,1,0)</f>
        <v>0</v>
      </c>
      <c r="JB280">
        <f>IF($JB$31&lt;=$JB$32,IF($A280&lt;=$JB$7,1,2),IF($A280&lt;=RUNG_BEDS_2,2,1))</f>
        <v>1</v>
      </c>
      <c r="JC280" s="5">
        <f>MIN(1,MAX(0,$JB$26-($A280-1)))</f>
        <v>0</v>
      </c>
      <c r="JD280" s="5">
        <f>$JB$25*(JC280+(1-JC280)*$JB$16)</f>
        <v>0.0</v>
      </c>
      <c r="JE280" s="13">
        <f>JD280*($JB$6+ACUTE_MARGIN)</f>
        <v>0.0</v>
      </c>
      <c r="JF280" s="13">
        <f>IF(JB280=1,$JB$31,$JB$32)</f>
        <v>152394.16214437486</v>
      </c>
      <c r="JG280" s="13">
        <f>JE280-JF280</f>
        <v>-152394.16214437486</v>
      </c>
      <c r="JH280" s="13">
        <f>JH279+JG280</f>
        <v>8207320.685830494</v>
      </c>
      <c r="JI280">
        <f>IF(JH280=MAX($JH$83:$JH$483),$A280,0)</f>
        <v>0</v>
      </c>
      <c r="JJ280">
        <f>IF(JE280&lt;JF280,$A280,B_MAX+1)</f>
        <v>197</v>
      </c>
      <c r="JK280" s="13">
        <f>IF(JB280=1,$JB$35,$JB$36)</f>
        <v>0</v>
      </c>
      <c r="JL280" s="13">
        <f>OCC_DAYS*$JB$41*R_NF_2023-JD280*MCD_SHARE_FREED*R_WAIT_2023</f>
        <v>151980.48282209205</v>
      </c>
      <c r="JM280">
        <f>IF($A280&lt;=$JB$45,1,0)</f>
        <v>0</v>
      </c>
      <c r="KB280">
        <f>IF($KB$31&lt;=$KB$32,IF($A280&lt;=$KB$7,1,2),IF($A280&lt;=RUNG_BEDS_2,2,1))</f>
        <v>1</v>
      </c>
      <c r="KC280" s="5">
        <f>MIN(1,MAX(0,$KB$26-($A280-1)))</f>
        <v>1</v>
      </c>
      <c r="KD280" s="5">
        <f>$KB$25*(KC280+(1-KC280)*$KB$16)</f>
        <v>126.02661357340719</v>
      </c>
      <c r="KE280" s="13">
        <f>KD280*($KB$6+ACUTE_MARGIN)</f>
        <v>127286.87970914126</v>
      </c>
      <c r="KF280" s="13">
        <f>IF(KB280=1,$KB$31,$KB$32)</f>
        <v>152394.16214437486</v>
      </c>
      <c r="KG280" s="13">
        <f>KE280-KF280</f>
        <v>-25107.282435233603</v>
      </c>
      <c r="KH280" s="13">
        <f>KH279+KG280</f>
        <v>-4946134.639741035</v>
      </c>
      <c r="KI280">
        <f>IF(KH280=MAX($KH$83:$KH$483),$A280,0)</f>
        <v>0</v>
      </c>
      <c r="KJ280">
        <f>IF(KE280&lt;KF280,$A280,B_MAX+1)</f>
        <v>197</v>
      </c>
      <c r="KK280" s="13">
        <f>IF(KB280=1,$KB$35,$KB$36)</f>
        <v>0</v>
      </c>
      <c r="KL280" s="13">
        <f>OCC_DAYS*$KB$41*R_NF_2023-KD280*MCD_SHARE_FREED*R_WAIT_2023</f>
        <v>94673.82103225985</v>
      </c>
      <c r="KM280">
        <f>IF($A280&lt;=$KB$45,1,0)</f>
        <v>0</v>
      </c>
      <c r="LB280">
        <f>IF($LB$31&lt;=$LB$32,IF($A280&lt;=$LB$7,1,2),IF($A280&lt;=RUNG_BEDS_2,2,1))</f>
        <v>1</v>
      </c>
      <c r="LC280" s="5">
        <f>MIN(1,MAX(0,$LB$26-($A280-1)))</f>
        <v>1</v>
      </c>
      <c r="LD280" s="5">
        <f>$LB$25*(LC280+(1-LC280)*$LB$16)</f>
        <v>84.01774238227146</v>
      </c>
      <c r="LE280" s="13">
        <f>LD280*($LB$6+ACUTE_MARGIN)</f>
        <v>84857.91980609419</v>
      </c>
      <c r="LF280" s="13">
        <f>IF(LB280=1,$LB$31,$LB$32)</f>
        <v>152394.16214437486</v>
      </c>
      <c r="LG280" s="13">
        <f>LE280-LF280</f>
        <v>-67536.24233828067</v>
      </c>
      <c r="LH280" s="13">
        <f>LH279+LG280</f>
        <v>-13304639.740641352</v>
      </c>
      <c r="LI280">
        <f>IF(LH280=MAX($LH$83:$LH$483),$A280,0)</f>
        <v>0</v>
      </c>
      <c r="LJ280">
        <f>IF(LE280&lt;LF280,$A280,B_MAX+1)</f>
        <v>197</v>
      </c>
      <c r="LK280" s="13">
        <f>IF(LB280=1,$LB$35,$LB$36)</f>
        <v>0</v>
      </c>
      <c r="LL280" s="13">
        <f>OCC_DAYS*$LB$41*R_NF_2023-LD280*MCD_SHARE_FREED*R_WAIT_2023</f>
        <v>113776.04162887059</v>
      </c>
      <c r="LM280">
        <f>IF($A280&lt;=$LB$45,1,0)</f>
        <v>0</v>
      </c>
      <c r="MB280">
        <f>IF($MB$31&lt;=$MB$32,IF($A280&lt;=$MB$7,1,2),IF($A280&lt;=RUNG_BEDS_2,2,1))</f>
        <v>1</v>
      </c>
      <c r="MC280" s="5">
        <f>MIN(1,MAX(0,$MB$26-($A280-1)))</f>
        <v>0</v>
      </c>
      <c r="MD280" s="5">
        <f>$MB$25*(MC280+(1-MC280)*$MB$16)</f>
        <v>0.0</v>
      </c>
      <c r="ME280" s="13">
        <f>MD280*($MB$6+ACUTE_MARGIN)</f>
        <v>0.0</v>
      </c>
      <c r="MF280" s="13">
        <f>IF(MB280=1,$MB$31,$MB$32)</f>
        <v>152394.16214437486</v>
      </c>
      <c r="MG280" s="13">
        <f>ME280-MF280</f>
        <v>-152394.16214437486</v>
      </c>
      <c r="MH280" s="13">
        <f>MH279+MG280</f>
        <v>2320044.6240321584</v>
      </c>
      <c r="MI280">
        <f>IF(MH280=MAX($MH$83:$MH$483),$A280,0)</f>
        <v>0</v>
      </c>
      <c r="MJ280">
        <f>IF(ME280&lt;MF280,$A280,B_MAX+1)</f>
        <v>197</v>
      </c>
      <c r="MK280" s="13">
        <f>IF(MB280=1,$MB$35,$MB$36)</f>
        <v>0</v>
      </c>
      <c r="ML280" s="13">
        <f>OCC_DAYS*$MB$41*R_NF_2023-MD280*MCD_SHARE_FREED*R_WAIT_2023</f>
        <v>151980.48282209205</v>
      </c>
      <c r="MM280">
        <f>IF($A280&lt;=$MB$45,1,0)</f>
        <v>0</v>
      </c>
      <c r="NB280">
        <f>IF($NB$31&lt;=$NB$32,IF($A280&lt;=$NB$7,1,2),IF($A280&lt;=RUNG_BEDS_2,2,1))</f>
        <v>1</v>
      </c>
      <c r="NC280" s="5">
        <f>MIN(1,MAX(0,$NB$26-($A280-1)))</f>
        <v>0</v>
      </c>
      <c r="ND280" s="5">
        <f>$NB$25*(NC280+(1-NC280)*$NB$16)</f>
        <v>63.013306786703595</v>
      </c>
      <c r="NE280" s="13">
        <f>ND280*($NB$6+ACUTE_MARGIN)</f>
        <v>63643.43985457063</v>
      </c>
      <c r="NF280" s="13">
        <f>IF(NB280=1,$NB$31,$NB$32)</f>
        <v>152394.16214437486</v>
      </c>
      <c r="NG280" s="13">
        <f>NE280-NF280</f>
        <v>-88750.72228980422</v>
      </c>
      <c r="NH280" s="13">
        <f>NH279+NG280</f>
        <v>11187835.680112805</v>
      </c>
      <c r="NI280">
        <f>IF(NH280=MAX($NH$83:$NH$483),$A280,0)</f>
        <v>0</v>
      </c>
      <c r="NJ280">
        <f>IF(NE280&lt;NF280,$A280,B_MAX+1)</f>
        <v>197</v>
      </c>
      <c r="NK280" s="13">
        <f>IF(NB280=1,$NB$35,$NB$36)</f>
        <v>0</v>
      </c>
      <c r="NL280" s="13">
        <f>OCC_DAYS*$NB$41*R_NF_2023-ND280*MCD_SHARE_FREED*R_WAIT_2023</f>
        <v>123327.15192717595</v>
      </c>
      <c r="NM280">
        <f>IF($A280&lt;=$NB$45,1,0)</f>
        <v>0</v>
      </c>
      <c r="OB280">
        <f>IF($OB$31&lt;=$OB$32,IF($A280&lt;=$OB$7,1,2),IF($A280&lt;=RUNG_BEDS_2,2,1))</f>
        <v>1</v>
      </c>
      <c r="OC280" s="5">
        <f>MIN(1,MAX(0,$OB$26-($A280-1)))</f>
        <v>0</v>
      </c>
      <c r="OD280" s="5">
        <f>$OB$25*(OC280+(1-OC280)*$OB$16)</f>
        <v>126.02661357340719</v>
      </c>
      <c r="OE280" s="13">
        <f>OD280*($OB$6+ACUTE_MARGIN)</f>
        <v>127286.87970914126</v>
      </c>
      <c r="OF280" s="13">
        <f>IF(OB280=1,$OB$31,$OB$32)</f>
        <v>152394.16214437486</v>
      </c>
      <c r="OG280" s="13">
        <f>OE280-OF280</f>
        <v>-25107.282435233603</v>
      </c>
      <c r="OH280" s="13">
        <f>OH279+OG280</f>
        <v>14168350.674395202</v>
      </c>
      <c r="OI280">
        <f>IF(OH280=MAX($OH$83:$OH$483),$A280,0)</f>
        <v>0</v>
      </c>
      <c r="OJ280">
        <f>IF(OE280&lt;OF280,$A280,B_MAX+1)</f>
        <v>197</v>
      </c>
      <c r="OK280" s="13">
        <f>IF(OB280=1,$OB$35,$OB$36)</f>
        <v>0</v>
      </c>
      <c r="OL280" s="13">
        <f>OCC_DAYS*$OB$41*R_NF_2023-OD280*MCD_SHARE_FREED*R_WAIT_2023</f>
        <v>94673.82103225985</v>
      </c>
      <c r="OM280">
        <f>IF($A280&lt;=$OB$45,1,0)</f>
        <v>0</v>
      </c>
    </row>
    <row r="281">
      <c r="A281" t="n">
        <v>198</v>
      </c>
      <c r="B281">
        <f>IF($B$31&lt;=$B$32,IF($A281&lt;=$B$7,1,2),IF($A281&lt;=RUNG_BEDS_2,2,1))</f>
        <v>1</v>
      </c>
      <c r="C281" s="5">
        <f>MIN(1,MAX(0,$B$26-($A281-1)))</f>
        <v>0</v>
      </c>
      <c r="D281" s="5">
        <f>$B$25*(C281+(1-C281)*$B$16)</f>
        <v>0.0</v>
      </c>
      <c r="E281" s="13">
        <f>D281*($B$6+ACUTE_MARGIN)</f>
        <v>0.0</v>
      </c>
      <c r="F281" s="13">
        <f>IF(B281=1,$B$31,$B$32)</f>
        <v>152394.16214437486</v>
      </c>
      <c r="G281" s="13">
        <f>E281-F281</f>
        <v>-152394.16214437486</v>
      </c>
      <c r="H281" s="13">
        <f>H280+G281</f>
        <v>8054926.523686119</v>
      </c>
      <c r="I281">
        <f>IF(H281=MAX($H$83:$H$483),$A281,0)</f>
        <v>0</v>
      </c>
      <c r="J281">
        <f>IF(E281&lt;F281,$A281,B_MAX+1)</f>
        <v>198</v>
      </c>
      <c r="K281" s="13">
        <f>IF(B281=1,$B$35,$B$36)</f>
        <v>0</v>
      </c>
      <c r="L281" s="13">
        <f>OCC_DAYS*$B$41*R_NF_2023-D281*MCD_SHARE_FREED*R_WAIT_2023</f>
        <v>151980.48282209205</v>
      </c>
      <c r="M281">
        <f>IF($A281&lt;=$B$45,1,0)</f>
        <v>0</v>
      </c>
      <c r="AB281">
        <f>IF($AB$31&lt;=$AB$32,IF($A281&lt;=$AB$7,1,2),IF($A281&lt;=RUNG_BEDS_2,2,1))</f>
        <v>1</v>
      </c>
      <c r="AC281" s="5">
        <f>MIN(1,MAX(0,$AB$26-($A281-1)))</f>
        <v>0</v>
      </c>
      <c r="AD281" s="5">
        <f>$AB$25*(AC281+(1-AC281)*$AB$16)</f>
        <v>0.0</v>
      </c>
      <c r="AE281" s="13">
        <f>AD281*($AB$6+ACUTE_MARGIN)</f>
        <v>0.0</v>
      </c>
      <c r="AF281" s="13">
        <f>IF(AB281=1,$AB$31,$AB$32)</f>
        <v>152394.16214437486</v>
      </c>
      <c r="AG281" s="13">
        <f>AE281-AF281</f>
        <v>-152394.16214437486</v>
      </c>
      <c r="AH281" s="13">
        <f>AH280+AG281</f>
        <v>-9356287.821863709</v>
      </c>
      <c r="AI281">
        <f>IF(AH281=MAX($AH$83:$AH$483),$A281,0)</f>
        <v>0</v>
      </c>
      <c r="AJ281">
        <f>IF(AE281&lt;AF281,$A281,B_MAX+1)</f>
        <v>198</v>
      </c>
      <c r="AK281" s="13">
        <f>IF(AB281=1,$AB$35,$AB$36)</f>
        <v>0</v>
      </c>
      <c r="AL281" s="13">
        <f>OCC_DAYS*$AB$41*R_NF_2023-AD281*MCD_SHARE_FREED*R_WAIT_2023</f>
        <v>151980.48282209205</v>
      </c>
      <c r="AM281">
        <f>IF($A281&lt;=$AB$45,1,0)</f>
        <v>0</v>
      </c>
      <c r="BB281">
        <f>IF($BB$31&lt;=$BB$32,IF($A281&lt;=$BB$7,1,2),IF($A281&lt;=RUNG_BEDS_2,2,1))</f>
        <v>1</v>
      </c>
      <c r="BC281" s="5">
        <f>MIN(1,MAX(0,$BB$26-($A281-1)))</f>
        <v>0</v>
      </c>
      <c r="BD281" s="5">
        <f>$BB$25*(BC281+(1-BC281)*$BB$16)</f>
        <v>0.0</v>
      </c>
      <c r="BE281" s="13">
        <f>BD281*($BB$6+ACUTE_MARGIN)</f>
        <v>0.0</v>
      </c>
      <c r="BF281" s="13">
        <f>IF(BB281=1,$BB$31,$BB$32)</f>
        <v>152394.16214437486</v>
      </c>
      <c r="BG281" s="13">
        <f>BE281-BF281</f>
        <v>-152394.16214437486</v>
      </c>
      <c r="BH281" s="13">
        <f>BH280+BG281</f>
        <v>25466140.869235784</v>
      </c>
      <c r="BI281">
        <f>IF(BH281=MAX($BH$83:$BH$483),$A281,0)</f>
        <v>0</v>
      </c>
      <c r="BJ281">
        <f>IF(BE281&lt;BF281,$A281,B_MAX+1)</f>
        <v>198</v>
      </c>
      <c r="BK281" s="13">
        <f>IF(BB281=1,$BB$35,$BB$36)</f>
        <v>0</v>
      </c>
      <c r="BL281" s="13">
        <f>OCC_DAYS*$BB$41*R_NF_2023-BD281*MCD_SHARE_FREED*R_WAIT_2023</f>
        <v>151980.48282209205</v>
      </c>
      <c r="BM281">
        <f>IF($A281&lt;=$BB$45,1,0)</f>
        <v>0</v>
      </c>
      <c r="CB281">
        <f>IF($CB$31&lt;=$CB$32,IF($A281&lt;=$CB$7,1,2),IF($A281&lt;=RUNG_BEDS_2,2,1))</f>
        <v>2</v>
      </c>
      <c r="CC281" s="5">
        <f>MIN(1,MAX(0,$CB$26-($A281-1)))</f>
        <v>0</v>
      </c>
      <c r="CD281" s="5">
        <f>$CB$25*(CC281+(1-CC281)*$CB$16)</f>
        <v>0.0</v>
      </c>
      <c r="CE281" s="13">
        <f>CD281*($CB$6+ACUTE_MARGIN)</f>
        <v>0.0</v>
      </c>
      <c r="CF281" s="13">
        <f>IF(CB281=1,$CB$31,$CB$32)</f>
        <v>160718.36940738867</v>
      </c>
      <c r="CG281" s="13">
        <f>CE281-CF281</f>
        <v>-160718.36940738867</v>
      </c>
      <c r="CH281" s="13">
        <f>CH280+CG281</f>
        <v>6406733.485609262</v>
      </c>
      <c r="CI281">
        <f>IF(CH281=MAX($CH$83:$CH$483),$A281,0)</f>
        <v>0</v>
      </c>
      <c r="CJ281">
        <f>IF(CE281&lt;CF281,$A281,B_MAX+1)</f>
        <v>198</v>
      </c>
      <c r="CK281" s="13">
        <f>IF(CB281=1,$CB$35,$CB$36)</f>
        <v>1560.1194073886782</v>
      </c>
      <c r="CL281" s="13">
        <f>OCC_DAYS*$CB$41*R_NF_2023-CD281*MCD_SHARE_FREED*R_WAIT_2023</f>
        <v>151980.48282209205</v>
      </c>
      <c r="CM281">
        <f>IF($A281&lt;=$CB$45,1,0)</f>
        <v>0</v>
      </c>
      <c r="DB281">
        <f>IF($DB$31&lt;=$DB$32,IF($A281&lt;=$DB$7,1,2),IF($A281&lt;=RUNG_BEDS_2,2,1))</f>
        <v>1</v>
      </c>
      <c r="DC281" s="5">
        <f>MIN(1,MAX(0,$DB$26-($A281-1)))</f>
        <v>0</v>
      </c>
      <c r="DD281" s="5">
        <f>$DB$25*(DC281+(1-DC281)*$DB$16)</f>
        <v>0.0</v>
      </c>
      <c r="DE281" s="13">
        <f>DD281*($DB$6+ACUTE_MARGIN)</f>
        <v>0.0</v>
      </c>
      <c r="DF281" s="13">
        <f>IF(DB281=1,$DB$31,$DB$32)</f>
        <v>152394.16214437486</v>
      </c>
      <c r="DG281" s="13">
        <f>DE281-DF281</f>
        <v>-152394.16214437486</v>
      </c>
      <c r="DH281" s="13">
        <f>DH280+DG281</f>
        <v>8054926.523686119</v>
      </c>
      <c r="DI281">
        <f>IF(DH281=MAX($DH$83:$DH$483),$A281,0)</f>
        <v>0</v>
      </c>
      <c r="DJ281">
        <f>IF(DE281&lt;DF281,$A281,B_MAX+1)</f>
        <v>198</v>
      </c>
      <c r="DK281" s="13">
        <f>IF(DB281=1,$DB$35,$DB$36)</f>
        <v>0</v>
      </c>
      <c r="DL281" s="13">
        <f>OCC_DAYS*$DB$41*R_NF_2023-DD281*MCD_SHARE_FREED*R_WAIT_2023</f>
        <v>151980.48282209205</v>
      </c>
      <c r="DM281">
        <f>IF($A281&lt;=$DB$45,1,0)</f>
        <v>0</v>
      </c>
      <c r="EB281">
        <f>IF($EB$31&lt;=$EB$32,IF($A281&lt;=$EB$7,1,2),IF($A281&lt;=RUNG_BEDS_2,2,1))</f>
        <v>1</v>
      </c>
      <c r="EC281" s="5">
        <f>MIN(1,MAX(0,$EB$26-($A281-1)))</f>
        <v>0</v>
      </c>
      <c r="ED281" s="5">
        <f>$EB$25*(EC281+(1-EC281)*$EB$16)</f>
        <v>0.0</v>
      </c>
      <c r="EE281" s="13">
        <f>ED281*($EB$6+ACUTE_MARGIN)</f>
        <v>0.0</v>
      </c>
      <c r="EF281" s="13">
        <f>IF(EB281=1,$EB$31,$EB$32)</f>
        <v>152394.16214437486</v>
      </c>
      <c r="EG281" s="13">
        <f>EE281-EF281</f>
        <v>-152394.16214437486</v>
      </c>
      <c r="EH281" s="13">
        <f>EH280+EG281</f>
        <v>8054926.523686119</v>
      </c>
      <c r="EI281">
        <f>IF(EH281=MAX($EH$83:$EH$483),$A281,0)</f>
        <v>0</v>
      </c>
      <c r="EJ281">
        <f>IF(EE281&lt;EF281,$A281,B_MAX+1)</f>
        <v>198</v>
      </c>
      <c r="EK281" s="13">
        <f>IF(EB281=1,$EB$35,$EB$36)</f>
        <v>0</v>
      </c>
      <c r="EL281" s="13">
        <f>OCC_DAYS*$EB$41*R_NF_2023-ED281*MCD_SHARE_FREED*R_WAIT_2023</f>
        <v>50660.16094069735</v>
      </c>
      <c r="EM281">
        <f>IF($A281&lt;=$EB$45,1,0)</f>
        <v>0</v>
      </c>
      <c r="FB281">
        <f>IF($FB$31&lt;=$FB$32,IF($A281&lt;=$FB$7,1,2),IF($A281&lt;=RUNG_BEDS_2,2,1))</f>
        <v>1</v>
      </c>
      <c r="FC281" s="5">
        <f>MIN(1,MAX(0,$FB$26-($A281-1)))</f>
        <v>0</v>
      </c>
      <c r="FD281" s="5">
        <f>$FB$25*(FC281+(1-FC281)*$FB$16)</f>
        <v>0.0</v>
      </c>
      <c r="FE281" s="13">
        <f>FD281*($FB$6+ACUTE_MARGIN)</f>
        <v>0.0</v>
      </c>
      <c r="FF281" s="13">
        <f>IF(FB281=1,$FB$31,$FB$32)</f>
        <v>156636.04979437485</v>
      </c>
      <c r="FG281" s="13">
        <f>FE281-FF281</f>
        <v>-156636.04979437485</v>
      </c>
      <c r="FH281" s="13">
        <f>FH280+FG281</f>
        <v>7215032.7689860035</v>
      </c>
      <c r="FI281">
        <f>IF(FH281=MAX($FH$83:$FH$483),$A281,0)</f>
        <v>0</v>
      </c>
      <c r="FJ281">
        <f>IF(FE281&lt;FF281,$A281,B_MAX+1)</f>
        <v>198</v>
      </c>
      <c r="FK281" s="13">
        <f>IF(FB281=1,$FB$35,$FB$36)</f>
        <v>0</v>
      </c>
      <c r="FL281" s="13">
        <f>OCC_DAYS*$FB$41*R_NF_2023-FD281*MCD_SHARE_FREED*R_WAIT_2023</f>
        <v>151980.48282209205</v>
      </c>
      <c r="FM281">
        <f>IF($A281&lt;=$FB$45,1,0)</f>
        <v>0</v>
      </c>
      <c r="GB281">
        <f>IF($GB$31&lt;=$GB$32,IF($A281&lt;=$GB$7,1,2),IF($A281&lt;=RUNG_BEDS_2,2,1))</f>
        <v>1</v>
      </c>
      <c r="GC281" s="5">
        <f>MIN(1,MAX(0,$GB$26-($A281-1)))</f>
        <v>0</v>
      </c>
      <c r="GD281" s="5">
        <f>$GB$25*(GC281+(1-GC281)*$GB$16)</f>
        <v>0.0</v>
      </c>
      <c r="GE281" s="13">
        <f>GD281*($GB$6+ACUTE_MARGIN)</f>
        <v>0.0</v>
      </c>
      <c r="GF281" s="13">
        <f>IF(GB281=1,$GB$31,$GB$32)</f>
        <v>152394.16214437486</v>
      </c>
      <c r="GG281" s="13">
        <f>GE281-GF281</f>
        <v>-152394.16214437486</v>
      </c>
      <c r="GH281" s="13">
        <f>GH280+GG281</f>
        <v>8054926.523686119</v>
      </c>
      <c r="GI281">
        <f>IF(GH281=MAX($GH$83:$GH$483),$A281,0)</f>
        <v>0</v>
      </c>
      <c r="GJ281">
        <f>IF(GE281&lt;GF281,$A281,B_MAX+1)</f>
        <v>198</v>
      </c>
      <c r="GK281" s="13">
        <f>IF(GB281=1,$GB$35,$GB$36)</f>
        <v>0</v>
      </c>
      <c r="GL281" s="13">
        <f>OCC_DAYS*$GB$41*R_NF_2023-GD281*MCD_SHARE_FREED*R_WAIT_2023</f>
        <v>151980.48282209205</v>
      </c>
      <c r="GM281">
        <f>IF($A281&lt;=$GB$45,1,0)</f>
        <v>0</v>
      </c>
      <c r="HB281">
        <f>IF($HB$31&lt;=$HB$32,IF($A281&lt;=$HB$7,1,2),IF($A281&lt;=RUNG_BEDS_2,2,1))</f>
        <v>1</v>
      </c>
      <c r="HC281" s="5">
        <f>MIN(1,MAX(0,$HB$26-($A281-1)))</f>
        <v>0</v>
      </c>
      <c r="HD281" s="5">
        <f>$HB$25*(HC281+(1-HC281)*$HB$16)</f>
        <v>0.0</v>
      </c>
      <c r="HE281" s="13">
        <f>HD281*($HB$6+ACUTE_MARGIN)</f>
        <v>0.0</v>
      </c>
      <c r="HF281" s="13">
        <f>IF(HB281=1,$HB$31,$HB$32)</f>
        <v>152456.2970814058</v>
      </c>
      <c r="HG281" s="13">
        <f>HE281-HF281</f>
        <v>-152456.2970814058</v>
      </c>
      <c r="HH281" s="13">
        <f>HH280+HG281</f>
        <v>8042623.806153958</v>
      </c>
      <c r="HI281">
        <f>IF(HH281=MAX($HH$83:$HH$483),$A281,0)</f>
        <v>0</v>
      </c>
      <c r="HJ281">
        <f>IF(HE281&lt;HF281,$A281,B_MAX+1)</f>
        <v>198</v>
      </c>
      <c r="HK281" s="13">
        <f>IF(HB281=1,$HB$35,$HB$36)</f>
        <v>0</v>
      </c>
      <c r="HL281" s="13">
        <f>OCC_DAYS*$HB$41*R_NF_2023-HD281*MCD_SHARE_FREED*R_WAIT_2023</f>
        <v>151980.48282209205</v>
      </c>
      <c r="HM281">
        <f>IF($A281&lt;=$HB$45,1,0)</f>
        <v>0</v>
      </c>
      <c r="IB281">
        <f>IF($IB$31&lt;=$IB$32,IF($A281&lt;=$IB$7,1,2),IF($A281&lt;=RUNG_BEDS_2,2,1))</f>
        <v>1</v>
      </c>
      <c r="IC281" s="5">
        <f>MIN(1,MAX(0,$IB$26-($A281-1)))</f>
        <v>0</v>
      </c>
      <c r="ID281" s="5">
        <f>$IB$25*(IC281+(1-IC281)*$IB$16)</f>
        <v>0.0</v>
      </c>
      <c r="IE281" s="13">
        <f>ID281*($IB$6+ACUTE_MARGIN)</f>
        <v>0.0</v>
      </c>
      <c r="IF281" s="13">
        <f>IF(IB281=1,$IB$31,$IB$32)</f>
        <v>152734.9994534971</v>
      </c>
      <c r="IG281" s="13">
        <f>IE281-IF281</f>
        <v>-152734.9994534971</v>
      </c>
      <c r="IH281" s="13">
        <f>IH280+IG281</f>
        <v>7987440.736479818</v>
      </c>
      <c r="II281">
        <f>IF(IH281=MAX($IH$83:$IH$483),$A281,0)</f>
        <v>0</v>
      </c>
      <c r="IJ281">
        <f>IF(IE281&lt;IF281,$A281,B_MAX+1)</f>
        <v>198</v>
      </c>
      <c r="IK281" s="13">
        <f>IF(IB281=1,$IB$35,$IB$36)</f>
        <v>0</v>
      </c>
      <c r="IL281" s="13">
        <f>OCC_DAYS*$IB$41*R_NF_2023-ID281*MCD_SHARE_FREED*R_WAIT_2023</f>
        <v>151980.48282209205</v>
      </c>
      <c r="IM281">
        <f>IF($A281&lt;=$IB$45,1,0)</f>
        <v>0</v>
      </c>
      <c r="JB281">
        <f>IF($JB$31&lt;=$JB$32,IF($A281&lt;=$JB$7,1,2),IF($A281&lt;=RUNG_BEDS_2,2,1))</f>
        <v>1</v>
      </c>
      <c r="JC281" s="5">
        <f>MIN(1,MAX(0,$JB$26-($A281-1)))</f>
        <v>0</v>
      </c>
      <c r="JD281" s="5">
        <f>$JB$25*(JC281+(1-JC281)*$JB$16)</f>
        <v>0.0</v>
      </c>
      <c r="JE281" s="13">
        <f>JD281*($JB$6+ACUTE_MARGIN)</f>
        <v>0.0</v>
      </c>
      <c r="JF281" s="13">
        <f>IF(JB281=1,$JB$31,$JB$32)</f>
        <v>152394.16214437486</v>
      </c>
      <c r="JG281" s="13">
        <f>JE281-JF281</f>
        <v>-152394.16214437486</v>
      </c>
      <c r="JH281" s="13">
        <f>JH280+JG281</f>
        <v>8054926.523686119</v>
      </c>
      <c r="JI281">
        <f>IF(JH281=MAX($JH$83:$JH$483),$A281,0)</f>
        <v>0</v>
      </c>
      <c r="JJ281">
        <f>IF(JE281&lt;JF281,$A281,B_MAX+1)</f>
        <v>198</v>
      </c>
      <c r="JK281" s="13">
        <f>IF(JB281=1,$JB$35,$JB$36)</f>
        <v>0</v>
      </c>
      <c r="JL281" s="13">
        <f>OCC_DAYS*$JB$41*R_NF_2023-JD281*MCD_SHARE_FREED*R_WAIT_2023</f>
        <v>151980.48282209205</v>
      </c>
      <c r="JM281">
        <f>IF($A281&lt;=$JB$45,1,0)</f>
        <v>0</v>
      </c>
      <c r="KB281">
        <f>IF($KB$31&lt;=$KB$32,IF($A281&lt;=$KB$7,1,2),IF($A281&lt;=RUNG_BEDS_2,2,1))</f>
        <v>1</v>
      </c>
      <c r="KC281" s="5">
        <f>MIN(1,MAX(0,$KB$26-($A281-1)))</f>
        <v>1</v>
      </c>
      <c r="KD281" s="5">
        <f>$KB$25*(KC281+(1-KC281)*$KB$16)</f>
        <v>126.02661357340719</v>
      </c>
      <c r="KE281" s="13">
        <f>KD281*($KB$6+ACUTE_MARGIN)</f>
        <v>127286.87970914126</v>
      </c>
      <c r="KF281" s="13">
        <f>IF(KB281=1,$KB$31,$KB$32)</f>
        <v>152394.16214437486</v>
      </c>
      <c r="KG281" s="13">
        <f>KE281-KF281</f>
        <v>-25107.282435233603</v>
      </c>
      <c r="KH281" s="13">
        <f>KH280+KG281</f>
        <v>-4971241.922176269</v>
      </c>
      <c r="KI281">
        <f>IF(KH281=MAX($KH$83:$KH$483),$A281,0)</f>
        <v>0</v>
      </c>
      <c r="KJ281">
        <f>IF(KE281&lt;KF281,$A281,B_MAX+1)</f>
        <v>198</v>
      </c>
      <c r="KK281" s="13">
        <f>IF(KB281=1,$KB$35,$KB$36)</f>
        <v>0</v>
      </c>
      <c r="KL281" s="13">
        <f>OCC_DAYS*$KB$41*R_NF_2023-KD281*MCD_SHARE_FREED*R_WAIT_2023</f>
        <v>94673.82103225985</v>
      </c>
      <c r="KM281">
        <f>IF($A281&lt;=$KB$45,1,0)</f>
        <v>0</v>
      </c>
      <c r="LB281">
        <f>IF($LB$31&lt;=$LB$32,IF($A281&lt;=$LB$7,1,2),IF($A281&lt;=RUNG_BEDS_2,2,1))</f>
        <v>1</v>
      </c>
      <c r="LC281" s="5">
        <f>MIN(1,MAX(0,$LB$26-($A281-1)))</f>
        <v>1</v>
      </c>
      <c r="LD281" s="5">
        <f>$LB$25*(LC281+(1-LC281)*$LB$16)</f>
        <v>84.01774238227146</v>
      </c>
      <c r="LE281" s="13">
        <f>LD281*($LB$6+ACUTE_MARGIN)</f>
        <v>84857.91980609419</v>
      </c>
      <c r="LF281" s="13">
        <f>IF(LB281=1,$LB$31,$LB$32)</f>
        <v>152394.16214437486</v>
      </c>
      <c r="LG281" s="13">
        <f>LE281-LF281</f>
        <v>-67536.24233828067</v>
      </c>
      <c r="LH281" s="13">
        <f>LH280+LG281</f>
        <v>-13372175.982979633</v>
      </c>
      <c r="LI281">
        <f>IF(LH281=MAX($LH$83:$LH$483),$A281,0)</f>
        <v>0</v>
      </c>
      <c r="LJ281">
        <f>IF(LE281&lt;LF281,$A281,B_MAX+1)</f>
        <v>198</v>
      </c>
      <c r="LK281" s="13">
        <f>IF(LB281=1,$LB$35,$LB$36)</f>
        <v>0</v>
      </c>
      <c r="LL281" s="13">
        <f>OCC_DAYS*$LB$41*R_NF_2023-LD281*MCD_SHARE_FREED*R_WAIT_2023</f>
        <v>113776.04162887059</v>
      </c>
      <c r="LM281">
        <f>IF($A281&lt;=$LB$45,1,0)</f>
        <v>0</v>
      </c>
      <c r="MB281">
        <f>IF($MB$31&lt;=$MB$32,IF($A281&lt;=$MB$7,1,2),IF($A281&lt;=RUNG_BEDS_2,2,1))</f>
        <v>1</v>
      </c>
      <c r="MC281" s="5">
        <f>MIN(1,MAX(0,$MB$26-($A281-1)))</f>
        <v>0</v>
      </c>
      <c r="MD281" s="5">
        <f>$MB$25*(MC281+(1-MC281)*$MB$16)</f>
        <v>0.0</v>
      </c>
      <c r="ME281" s="13">
        <f>MD281*($MB$6+ACUTE_MARGIN)</f>
        <v>0.0</v>
      </c>
      <c r="MF281" s="13">
        <f>IF(MB281=1,$MB$31,$MB$32)</f>
        <v>152394.16214437486</v>
      </c>
      <c r="MG281" s="13">
        <f>ME281-MF281</f>
        <v>-152394.16214437486</v>
      </c>
      <c r="MH281" s="13">
        <f>MH280+MG281</f>
        <v>2167650.4618877834</v>
      </c>
      <c r="MI281">
        <f>IF(MH281=MAX($MH$83:$MH$483),$A281,0)</f>
        <v>0</v>
      </c>
      <c r="MJ281">
        <f>IF(ME281&lt;MF281,$A281,B_MAX+1)</f>
        <v>198</v>
      </c>
      <c r="MK281" s="13">
        <f>IF(MB281=1,$MB$35,$MB$36)</f>
        <v>0</v>
      </c>
      <c r="ML281" s="13">
        <f>OCC_DAYS*$MB$41*R_NF_2023-MD281*MCD_SHARE_FREED*R_WAIT_2023</f>
        <v>151980.48282209205</v>
      </c>
      <c r="MM281">
        <f>IF($A281&lt;=$MB$45,1,0)</f>
        <v>0</v>
      </c>
      <c r="NB281">
        <f>IF($NB$31&lt;=$NB$32,IF($A281&lt;=$NB$7,1,2),IF($A281&lt;=RUNG_BEDS_2,2,1))</f>
        <v>1</v>
      </c>
      <c r="NC281" s="5">
        <f>MIN(1,MAX(0,$NB$26-($A281-1)))</f>
        <v>0</v>
      </c>
      <c r="ND281" s="5">
        <f>$NB$25*(NC281+(1-NC281)*$NB$16)</f>
        <v>63.013306786703595</v>
      </c>
      <c r="NE281" s="13">
        <f>ND281*($NB$6+ACUTE_MARGIN)</f>
        <v>63643.43985457063</v>
      </c>
      <c r="NF281" s="13">
        <f>IF(NB281=1,$NB$31,$NB$32)</f>
        <v>152394.16214437486</v>
      </c>
      <c r="NG281" s="13">
        <f>NE281-NF281</f>
        <v>-88750.72228980422</v>
      </c>
      <c r="NH281" s="13">
        <f>NH280+NG281</f>
        <v>11099084.957823</v>
      </c>
      <c r="NI281">
        <f>IF(NH281=MAX($NH$83:$NH$483),$A281,0)</f>
        <v>0</v>
      </c>
      <c r="NJ281">
        <f>IF(NE281&lt;NF281,$A281,B_MAX+1)</f>
        <v>198</v>
      </c>
      <c r="NK281" s="13">
        <f>IF(NB281=1,$NB$35,$NB$36)</f>
        <v>0</v>
      </c>
      <c r="NL281" s="13">
        <f>OCC_DAYS*$NB$41*R_NF_2023-ND281*MCD_SHARE_FREED*R_WAIT_2023</f>
        <v>123327.15192717595</v>
      </c>
      <c r="NM281">
        <f>IF($A281&lt;=$NB$45,1,0)</f>
        <v>0</v>
      </c>
      <c r="OB281">
        <f>IF($OB$31&lt;=$OB$32,IF($A281&lt;=$OB$7,1,2),IF($A281&lt;=RUNG_BEDS_2,2,1))</f>
        <v>1</v>
      </c>
      <c r="OC281" s="5">
        <f>MIN(1,MAX(0,$OB$26-($A281-1)))</f>
        <v>0</v>
      </c>
      <c r="OD281" s="5">
        <f>$OB$25*(OC281+(1-OC281)*$OB$16)</f>
        <v>126.02661357340719</v>
      </c>
      <c r="OE281" s="13">
        <f>OD281*($OB$6+ACUTE_MARGIN)</f>
        <v>127286.87970914126</v>
      </c>
      <c r="OF281" s="13">
        <f>IF(OB281=1,$OB$31,$OB$32)</f>
        <v>152394.16214437486</v>
      </c>
      <c r="OG281" s="13">
        <f>OE281-OF281</f>
        <v>-25107.282435233603</v>
      </c>
      <c r="OH281" s="13">
        <f>OH280+OG281</f>
        <v>14143243.391959969</v>
      </c>
      <c r="OI281">
        <f>IF(OH281=MAX($OH$83:$OH$483),$A281,0)</f>
        <v>0</v>
      </c>
      <c r="OJ281">
        <f>IF(OE281&lt;OF281,$A281,B_MAX+1)</f>
        <v>198</v>
      </c>
      <c r="OK281" s="13">
        <f>IF(OB281=1,$OB$35,$OB$36)</f>
        <v>0</v>
      </c>
      <c r="OL281" s="13">
        <f>OCC_DAYS*$OB$41*R_NF_2023-OD281*MCD_SHARE_FREED*R_WAIT_2023</f>
        <v>94673.82103225985</v>
      </c>
      <c r="OM281">
        <f>IF($A281&lt;=$OB$45,1,0)</f>
        <v>0</v>
      </c>
    </row>
    <row r="282">
      <c r="A282" t="n">
        <v>199</v>
      </c>
      <c r="B282">
        <f>IF($B$31&lt;=$B$32,IF($A282&lt;=$B$7,1,2),IF($A282&lt;=RUNG_BEDS_2,2,1))</f>
        <v>1</v>
      </c>
      <c r="C282" s="5">
        <f>MIN(1,MAX(0,$B$26-($A282-1)))</f>
        <v>0</v>
      </c>
      <c r="D282" s="5">
        <f>$B$25*(C282+(1-C282)*$B$16)</f>
        <v>0.0</v>
      </c>
      <c r="E282" s="13">
        <f>D282*($B$6+ACUTE_MARGIN)</f>
        <v>0.0</v>
      </c>
      <c r="F282" s="13">
        <f>IF(B282=1,$B$31,$B$32)</f>
        <v>152394.16214437486</v>
      </c>
      <c r="G282" s="13">
        <f>E282-F282</f>
        <v>-152394.16214437486</v>
      </c>
      <c r="H282" s="13">
        <f>H281+G282</f>
        <v>7902532.361541744</v>
      </c>
      <c r="I282">
        <f>IF(H282=MAX($H$83:$H$483),$A282,0)</f>
        <v>0</v>
      </c>
      <c r="J282">
        <f>IF(E282&lt;F282,$A282,B_MAX+1)</f>
        <v>199</v>
      </c>
      <c r="K282" s="13">
        <f>IF(B282=1,$B$35,$B$36)</f>
        <v>0</v>
      </c>
      <c r="L282" s="13">
        <f>OCC_DAYS*$B$41*R_NF_2023-D282*MCD_SHARE_FREED*R_WAIT_2023</f>
        <v>151980.48282209205</v>
      </c>
      <c r="M282">
        <f>IF($A282&lt;=$B$45,1,0)</f>
        <v>0</v>
      </c>
      <c r="AB282">
        <f>IF($AB$31&lt;=$AB$32,IF($A282&lt;=$AB$7,1,2),IF($A282&lt;=RUNG_BEDS_2,2,1))</f>
        <v>1</v>
      </c>
      <c r="AC282" s="5">
        <f>MIN(1,MAX(0,$AB$26-($A282-1)))</f>
        <v>0</v>
      </c>
      <c r="AD282" s="5">
        <f>$AB$25*(AC282+(1-AC282)*$AB$16)</f>
        <v>0.0</v>
      </c>
      <c r="AE282" s="13">
        <f>AD282*($AB$6+ACUTE_MARGIN)</f>
        <v>0.0</v>
      </c>
      <c r="AF282" s="13">
        <f>IF(AB282=1,$AB$31,$AB$32)</f>
        <v>152394.16214437486</v>
      </c>
      <c r="AG282" s="13">
        <f>AE282-AF282</f>
        <v>-152394.16214437486</v>
      </c>
      <c r="AH282" s="13">
        <f>AH281+AG282</f>
        <v>-9508681.984008083</v>
      </c>
      <c r="AI282">
        <f>IF(AH282=MAX($AH$83:$AH$483),$A282,0)</f>
        <v>0</v>
      </c>
      <c r="AJ282">
        <f>IF(AE282&lt;AF282,$A282,B_MAX+1)</f>
        <v>199</v>
      </c>
      <c r="AK282" s="13">
        <f>IF(AB282=1,$AB$35,$AB$36)</f>
        <v>0</v>
      </c>
      <c r="AL282" s="13">
        <f>OCC_DAYS*$AB$41*R_NF_2023-AD282*MCD_SHARE_FREED*R_WAIT_2023</f>
        <v>151980.48282209205</v>
      </c>
      <c r="AM282">
        <f>IF($A282&lt;=$AB$45,1,0)</f>
        <v>0</v>
      </c>
      <c r="BB282">
        <f>IF($BB$31&lt;=$BB$32,IF($A282&lt;=$BB$7,1,2),IF($A282&lt;=RUNG_BEDS_2,2,1))</f>
        <v>1</v>
      </c>
      <c r="BC282" s="5">
        <f>MIN(1,MAX(0,$BB$26-($A282-1)))</f>
        <v>0</v>
      </c>
      <c r="BD282" s="5">
        <f>$BB$25*(BC282+(1-BC282)*$BB$16)</f>
        <v>0.0</v>
      </c>
      <c r="BE282" s="13">
        <f>BD282*($BB$6+ACUTE_MARGIN)</f>
        <v>0.0</v>
      </c>
      <c r="BF282" s="13">
        <f>IF(BB282=1,$BB$31,$BB$32)</f>
        <v>152394.16214437486</v>
      </c>
      <c r="BG282" s="13">
        <f>BE282-BF282</f>
        <v>-152394.16214437486</v>
      </c>
      <c r="BH282" s="13">
        <f>BH281+BG282</f>
        <v>25313746.70709141</v>
      </c>
      <c r="BI282">
        <f>IF(BH282=MAX($BH$83:$BH$483),$A282,0)</f>
        <v>0</v>
      </c>
      <c r="BJ282">
        <f>IF(BE282&lt;BF282,$A282,B_MAX+1)</f>
        <v>199</v>
      </c>
      <c r="BK282" s="13">
        <f>IF(BB282=1,$BB$35,$BB$36)</f>
        <v>0</v>
      </c>
      <c r="BL282" s="13">
        <f>OCC_DAYS*$BB$41*R_NF_2023-BD282*MCD_SHARE_FREED*R_WAIT_2023</f>
        <v>151980.48282209205</v>
      </c>
      <c r="BM282">
        <f>IF($A282&lt;=$BB$45,1,0)</f>
        <v>0</v>
      </c>
      <c r="CB282">
        <f>IF($CB$31&lt;=$CB$32,IF($A282&lt;=$CB$7,1,2),IF($A282&lt;=RUNG_BEDS_2,2,1))</f>
        <v>2</v>
      </c>
      <c r="CC282" s="5">
        <f>MIN(1,MAX(0,$CB$26-($A282-1)))</f>
        <v>0</v>
      </c>
      <c r="CD282" s="5">
        <f>$CB$25*(CC282+(1-CC282)*$CB$16)</f>
        <v>0.0</v>
      </c>
      <c r="CE282" s="13">
        <f>CD282*($CB$6+ACUTE_MARGIN)</f>
        <v>0.0</v>
      </c>
      <c r="CF282" s="13">
        <f>IF(CB282=1,$CB$31,$CB$32)</f>
        <v>160718.36940738867</v>
      </c>
      <c r="CG282" s="13">
        <f>CE282-CF282</f>
        <v>-160718.36940738867</v>
      </c>
      <c r="CH282" s="13">
        <f>CH281+CG282</f>
        <v>6246015.116201874</v>
      </c>
      <c r="CI282">
        <f>IF(CH282=MAX($CH$83:$CH$483),$A282,0)</f>
        <v>0</v>
      </c>
      <c r="CJ282">
        <f>IF(CE282&lt;CF282,$A282,B_MAX+1)</f>
        <v>199</v>
      </c>
      <c r="CK282" s="13">
        <f>IF(CB282=1,$CB$35,$CB$36)</f>
        <v>1560.1194073886782</v>
      </c>
      <c r="CL282" s="13">
        <f>OCC_DAYS*$CB$41*R_NF_2023-CD282*MCD_SHARE_FREED*R_WAIT_2023</f>
        <v>151980.48282209205</v>
      </c>
      <c r="CM282">
        <f>IF($A282&lt;=$CB$45,1,0)</f>
        <v>0</v>
      </c>
      <c r="DB282">
        <f>IF($DB$31&lt;=$DB$32,IF($A282&lt;=$DB$7,1,2),IF($A282&lt;=RUNG_BEDS_2,2,1))</f>
        <v>1</v>
      </c>
      <c r="DC282" s="5">
        <f>MIN(1,MAX(0,$DB$26-($A282-1)))</f>
        <v>0</v>
      </c>
      <c r="DD282" s="5">
        <f>$DB$25*(DC282+(1-DC282)*$DB$16)</f>
        <v>0.0</v>
      </c>
      <c r="DE282" s="13">
        <f>DD282*($DB$6+ACUTE_MARGIN)</f>
        <v>0.0</v>
      </c>
      <c r="DF282" s="13">
        <f>IF(DB282=1,$DB$31,$DB$32)</f>
        <v>152394.16214437486</v>
      </c>
      <c r="DG282" s="13">
        <f>DE282-DF282</f>
        <v>-152394.16214437486</v>
      </c>
      <c r="DH282" s="13">
        <f>DH281+DG282</f>
        <v>7902532.361541744</v>
      </c>
      <c r="DI282">
        <f>IF(DH282=MAX($DH$83:$DH$483),$A282,0)</f>
        <v>0</v>
      </c>
      <c r="DJ282">
        <f>IF(DE282&lt;DF282,$A282,B_MAX+1)</f>
        <v>199</v>
      </c>
      <c r="DK282" s="13">
        <f>IF(DB282=1,$DB$35,$DB$36)</f>
        <v>0</v>
      </c>
      <c r="DL282" s="13">
        <f>OCC_DAYS*$DB$41*R_NF_2023-DD282*MCD_SHARE_FREED*R_WAIT_2023</f>
        <v>151980.48282209205</v>
      </c>
      <c r="DM282">
        <f>IF($A282&lt;=$DB$45,1,0)</f>
        <v>0</v>
      </c>
      <c r="EB282">
        <f>IF($EB$31&lt;=$EB$32,IF($A282&lt;=$EB$7,1,2),IF($A282&lt;=RUNG_BEDS_2,2,1))</f>
        <v>1</v>
      </c>
      <c r="EC282" s="5">
        <f>MIN(1,MAX(0,$EB$26-($A282-1)))</f>
        <v>0</v>
      </c>
      <c r="ED282" s="5">
        <f>$EB$25*(EC282+(1-EC282)*$EB$16)</f>
        <v>0.0</v>
      </c>
      <c r="EE282" s="13">
        <f>ED282*($EB$6+ACUTE_MARGIN)</f>
        <v>0.0</v>
      </c>
      <c r="EF282" s="13">
        <f>IF(EB282=1,$EB$31,$EB$32)</f>
        <v>152394.16214437486</v>
      </c>
      <c r="EG282" s="13">
        <f>EE282-EF282</f>
        <v>-152394.16214437486</v>
      </c>
      <c r="EH282" s="13">
        <f>EH281+EG282</f>
        <v>7902532.361541744</v>
      </c>
      <c r="EI282">
        <f>IF(EH282=MAX($EH$83:$EH$483),$A282,0)</f>
        <v>0</v>
      </c>
      <c r="EJ282">
        <f>IF(EE282&lt;EF282,$A282,B_MAX+1)</f>
        <v>199</v>
      </c>
      <c r="EK282" s="13">
        <f>IF(EB282=1,$EB$35,$EB$36)</f>
        <v>0</v>
      </c>
      <c r="EL282" s="13">
        <f>OCC_DAYS*$EB$41*R_NF_2023-ED282*MCD_SHARE_FREED*R_WAIT_2023</f>
        <v>50660.16094069735</v>
      </c>
      <c r="EM282">
        <f>IF($A282&lt;=$EB$45,1,0)</f>
        <v>0</v>
      </c>
      <c r="FB282">
        <f>IF($FB$31&lt;=$FB$32,IF($A282&lt;=$FB$7,1,2),IF($A282&lt;=RUNG_BEDS_2,2,1))</f>
        <v>1</v>
      </c>
      <c r="FC282" s="5">
        <f>MIN(1,MAX(0,$FB$26-($A282-1)))</f>
        <v>0</v>
      </c>
      <c r="FD282" s="5">
        <f>$FB$25*(FC282+(1-FC282)*$FB$16)</f>
        <v>0.0</v>
      </c>
      <c r="FE282" s="13">
        <f>FD282*($FB$6+ACUTE_MARGIN)</f>
        <v>0.0</v>
      </c>
      <c r="FF282" s="13">
        <f>IF(FB282=1,$FB$31,$FB$32)</f>
        <v>156636.04979437485</v>
      </c>
      <c r="FG282" s="13">
        <f>FE282-FF282</f>
        <v>-156636.04979437485</v>
      </c>
      <c r="FH282" s="13">
        <f>FH281+FG282</f>
        <v>7058396.7191916285</v>
      </c>
      <c r="FI282">
        <f>IF(FH282=MAX($FH$83:$FH$483),$A282,0)</f>
        <v>0</v>
      </c>
      <c r="FJ282">
        <f>IF(FE282&lt;FF282,$A282,B_MAX+1)</f>
        <v>199</v>
      </c>
      <c r="FK282" s="13">
        <f>IF(FB282=1,$FB$35,$FB$36)</f>
        <v>0</v>
      </c>
      <c r="FL282" s="13">
        <f>OCC_DAYS*$FB$41*R_NF_2023-FD282*MCD_SHARE_FREED*R_WAIT_2023</f>
        <v>151980.48282209205</v>
      </c>
      <c r="FM282">
        <f>IF($A282&lt;=$FB$45,1,0)</f>
        <v>0</v>
      </c>
      <c r="GB282">
        <f>IF($GB$31&lt;=$GB$32,IF($A282&lt;=$GB$7,1,2),IF($A282&lt;=RUNG_BEDS_2,2,1))</f>
        <v>1</v>
      </c>
      <c r="GC282" s="5">
        <f>MIN(1,MAX(0,$GB$26-($A282-1)))</f>
        <v>0</v>
      </c>
      <c r="GD282" s="5">
        <f>$GB$25*(GC282+(1-GC282)*$GB$16)</f>
        <v>0.0</v>
      </c>
      <c r="GE282" s="13">
        <f>GD282*($GB$6+ACUTE_MARGIN)</f>
        <v>0.0</v>
      </c>
      <c r="GF282" s="13">
        <f>IF(GB282=1,$GB$31,$GB$32)</f>
        <v>152394.16214437486</v>
      </c>
      <c r="GG282" s="13">
        <f>GE282-GF282</f>
        <v>-152394.16214437486</v>
      </c>
      <c r="GH282" s="13">
        <f>GH281+GG282</f>
        <v>7902532.361541744</v>
      </c>
      <c r="GI282">
        <f>IF(GH282=MAX($GH$83:$GH$483),$A282,0)</f>
        <v>0</v>
      </c>
      <c r="GJ282">
        <f>IF(GE282&lt;GF282,$A282,B_MAX+1)</f>
        <v>199</v>
      </c>
      <c r="GK282" s="13">
        <f>IF(GB282=1,$GB$35,$GB$36)</f>
        <v>0</v>
      </c>
      <c r="GL282" s="13">
        <f>OCC_DAYS*$GB$41*R_NF_2023-GD282*MCD_SHARE_FREED*R_WAIT_2023</f>
        <v>151980.48282209205</v>
      </c>
      <c r="GM282">
        <f>IF($A282&lt;=$GB$45,1,0)</f>
        <v>0</v>
      </c>
      <c r="HB282">
        <f>IF($HB$31&lt;=$HB$32,IF($A282&lt;=$HB$7,1,2),IF($A282&lt;=RUNG_BEDS_2,2,1))</f>
        <v>1</v>
      </c>
      <c r="HC282" s="5">
        <f>MIN(1,MAX(0,$HB$26-($A282-1)))</f>
        <v>0</v>
      </c>
      <c r="HD282" s="5">
        <f>$HB$25*(HC282+(1-HC282)*$HB$16)</f>
        <v>0.0</v>
      </c>
      <c r="HE282" s="13">
        <f>HD282*($HB$6+ACUTE_MARGIN)</f>
        <v>0.0</v>
      </c>
      <c r="HF282" s="13">
        <f>IF(HB282=1,$HB$31,$HB$32)</f>
        <v>152456.2970814058</v>
      </c>
      <c r="HG282" s="13">
        <f>HE282-HF282</f>
        <v>-152456.2970814058</v>
      </c>
      <c r="HH282" s="13">
        <f>HH281+HG282</f>
        <v>7890167.5090725515</v>
      </c>
      <c r="HI282">
        <f>IF(HH282=MAX($HH$83:$HH$483),$A282,0)</f>
        <v>0</v>
      </c>
      <c r="HJ282">
        <f>IF(HE282&lt;HF282,$A282,B_MAX+1)</f>
        <v>199</v>
      </c>
      <c r="HK282" s="13">
        <f>IF(HB282=1,$HB$35,$HB$36)</f>
        <v>0</v>
      </c>
      <c r="HL282" s="13">
        <f>OCC_DAYS*$HB$41*R_NF_2023-HD282*MCD_SHARE_FREED*R_WAIT_2023</f>
        <v>151980.48282209205</v>
      </c>
      <c r="HM282">
        <f>IF($A282&lt;=$HB$45,1,0)</f>
        <v>0</v>
      </c>
      <c r="IB282">
        <f>IF($IB$31&lt;=$IB$32,IF($A282&lt;=$IB$7,1,2),IF($A282&lt;=RUNG_BEDS_2,2,1))</f>
        <v>1</v>
      </c>
      <c r="IC282" s="5">
        <f>MIN(1,MAX(0,$IB$26-($A282-1)))</f>
        <v>0</v>
      </c>
      <c r="ID282" s="5">
        <f>$IB$25*(IC282+(1-IC282)*$IB$16)</f>
        <v>0.0</v>
      </c>
      <c r="IE282" s="13">
        <f>ID282*($IB$6+ACUTE_MARGIN)</f>
        <v>0.0</v>
      </c>
      <c r="IF282" s="13">
        <f>IF(IB282=1,$IB$31,$IB$32)</f>
        <v>152734.9994534971</v>
      </c>
      <c r="IG282" s="13">
        <f>IE282-IF282</f>
        <v>-152734.9994534971</v>
      </c>
      <c r="IH282" s="13">
        <f>IH281+IG282</f>
        <v>7834705.737026321</v>
      </c>
      <c r="II282">
        <f>IF(IH282=MAX($IH$83:$IH$483),$A282,0)</f>
        <v>0</v>
      </c>
      <c r="IJ282">
        <f>IF(IE282&lt;IF282,$A282,B_MAX+1)</f>
        <v>199</v>
      </c>
      <c r="IK282" s="13">
        <f>IF(IB282=1,$IB$35,$IB$36)</f>
        <v>0</v>
      </c>
      <c r="IL282" s="13">
        <f>OCC_DAYS*$IB$41*R_NF_2023-ID282*MCD_SHARE_FREED*R_WAIT_2023</f>
        <v>151980.48282209205</v>
      </c>
      <c r="IM282">
        <f>IF($A282&lt;=$IB$45,1,0)</f>
        <v>0</v>
      </c>
      <c r="JB282">
        <f>IF($JB$31&lt;=$JB$32,IF($A282&lt;=$JB$7,1,2),IF($A282&lt;=RUNG_BEDS_2,2,1))</f>
        <v>1</v>
      </c>
      <c r="JC282" s="5">
        <f>MIN(1,MAX(0,$JB$26-($A282-1)))</f>
        <v>0</v>
      </c>
      <c r="JD282" s="5">
        <f>$JB$25*(JC282+(1-JC282)*$JB$16)</f>
        <v>0.0</v>
      </c>
      <c r="JE282" s="13">
        <f>JD282*($JB$6+ACUTE_MARGIN)</f>
        <v>0.0</v>
      </c>
      <c r="JF282" s="13">
        <f>IF(JB282=1,$JB$31,$JB$32)</f>
        <v>152394.16214437486</v>
      </c>
      <c r="JG282" s="13">
        <f>JE282-JF282</f>
        <v>-152394.16214437486</v>
      </c>
      <c r="JH282" s="13">
        <f>JH281+JG282</f>
        <v>7902532.361541744</v>
      </c>
      <c r="JI282">
        <f>IF(JH282=MAX($JH$83:$JH$483),$A282,0)</f>
        <v>0</v>
      </c>
      <c r="JJ282">
        <f>IF(JE282&lt;JF282,$A282,B_MAX+1)</f>
        <v>199</v>
      </c>
      <c r="JK282" s="13">
        <f>IF(JB282=1,$JB$35,$JB$36)</f>
        <v>0</v>
      </c>
      <c r="JL282" s="13">
        <f>OCC_DAYS*$JB$41*R_NF_2023-JD282*MCD_SHARE_FREED*R_WAIT_2023</f>
        <v>151980.48282209205</v>
      </c>
      <c r="JM282">
        <f>IF($A282&lt;=$JB$45,1,0)</f>
        <v>0</v>
      </c>
      <c r="KB282">
        <f>IF($KB$31&lt;=$KB$32,IF($A282&lt;=$KB$7,1,2),IF($A282&lt;=RUNG_BEDS_2,2,1))</f>
        <v>1</v>
      </c>
      <c r="KC282" s="5">
        <f>MIN(1,MAX(0,$KB$26-($A282-1)))</f>
        <v>1</v>
      </c>
      <c r="KD282" s="5">
        <f>$KB$25*(KC282+(1-KC282)*$KB$16)</f>
        <v>126.02661357340719</v>
      </c>
      <c r="KE282" s="13">
        <f>KD282*($KB$6+ACUTE_MARGIN)</f>
        <v>127286.87970914126</v>
      </c>
      <c r="KF282" s="13">
        <f>IF(KB282=1,$KB$31,$KB$32)</f>
        <v>152394.16214437486</v>
      </c>
      <c r="KG282" s="13">
        <f>KE282-KF282</f>
        <v>-25107.282435233603</v>
      </c>
      <c r="KH282" s="13">
        <f>KH281+KG282</f>
        <v>-4996349.204611503</v>
      </c>
      <c r="KI282">
        <f>IF(KH282=MAX($KH$83:$KH$483),$A282,0)</f>
        <v>0</v>
      </c>
      <c r="KJ282">
        <f>IF(KE282&lt;KF282,$A282,B_MAX+1)</f>
        <v>199</v>
      </c>
      <c r="KK282" s="13">
        <f>IF(KB282=1,$KB$35,$KB$36)</f>
        <v>0</v>
      </c>
      <c r="KL282" s="13">
        <f>OCC_DAYS*$KB$41*R_NF_2023-KD282*MCD_SHARE_FREED*R_WAIT_2023</f>
        <v>94673.82103225985</v>
      </c>
      <c r="KM282">
        <f>IF($A282&lt;=$KB$45,1,0)</f>
        <v>0</v>
      </c>
      <c r="LB282">
        <f>IF($LB$31&lt;=$LB$32,IF($A282&lt;=$LB$7,1,2),IF($A282&lt;=RUNG_BEDS_2,2,1))</f>
        <v>1</v>
      </c>
      <c r="LC282" s="5">
        <f>MIN(1,MAX(0,$LB$26-($A282-1)))</f>
        <v>1</v>
      </c>
      <c r="LD282" s="5">
        <f>$LB$25*(LC282+(1-LC282)*$LB$16)</f>
        <v>84.01774238227146</v>
      </c>
      <c r="LE282" s="13">
        <f>LD282*($LB$6+ACUTE_MARGIN)</f>
        <v>84857.91980609419</v>
      </c>
      <c r="LF282" s="13">
        <f>IF(LB282=1,$LB$31,$LB$32)</f>
        <v>152394.16214437486</v>
      </c>
      <c r="LG282" s="13">
        <f>LE282-LF282</f>
        <v>-67536.24233828067</v>
      </c>
      <c r="LH282" s="13">
        <f>LH281+LG282</f>
        <v>-13439712.225317914</v>
      </c>
      <c r="LI282">
        <f>IF(LH282=MAX($LH$83:$LH$483),$A282,0)</f>
        <v>0</v>
      </c>
      <c r="LJ282">
        <f>IF(LE282&lt;LF282,$A282,B_MAX+1)</f>
        <v>199</v>
      </c>
      <c r="LK282" s="13">
        <f>IF(LB282=1,$LB$35,$LB$36)</f>
        <v>0</v>
      </c>
      <c r="LL282" s="13">
        <f>OCC_DAYS*$LB$41*R_NF_2023-LD282*MCD_SHARE_FREED*R_WAIT_2023</f>
        <v>113776.04162887059</v>
      </c>
      <c r="LM282">
        <f>IF($A282&lt;=$LB$45,1,0)</f>
        <v>0</v>
      </c>
      <c r="MB282">
        <f>IF($MB$31&lt;=$MB$32,IF($A282&lt;=$MB$7,1,2),IF($A282&lt;=RUNG_BEDS_2,2,1))</f>
        <v>1</v>
      </c>
      <c r="MC282" s="5">
        <f>MIN(1,MAX(0,$MB$26-($A282-1)))</f>
        <v>0</v>
      </c>
      <c r="MD282" s="5">
        <f>$MB$25*(MC282+(1-MC282)*$MB$16)</f>
        <v>0.0</v>
      </c>
      <c r="ME282" s="13">
        <f>MD282*($MB$6+ACUTE_MARGIN)</f>
        <v>0.0</v>
      </c>
      <c r="MF282" s="13">
        <f>IF(MB282=1,$MB$31,$MB$32)</f>
        <v>152394.16214437486</v>
      </c>
      <c r="MG282" s="13">
        <f>ME282-MF282</f>
        <v>-152394.16214437486</v>
      </c>
      <c r="MH282" s="13">
        <f>MH281+MG282</f>
        <v>2015256.2997434086</v>
      </c>
      <c r="MI282">
        <f>IF(MH282=MAX($MH$83:$MH$483),$A282,0)</f>
        <v>0</v>
      </c>
      <c r="MJ282">
        <f>IF(ME282&lt;MF282,$A282,B_MAX+1)</f>
        <v>199</v>
      </c>
      <c r="MK282" s="13">
        <f>IF(MB282=1,$MB$35,$MB$36)</f>
        <v>0</v>
      </c>
      <c r="ML282" s="13">
        <f>OCC_DAYS*$MB$41*R_NF_2023-MD282*MCD_SHARE_FREED*R_WAIT_2023</f>
        <v>151980.48282209205</v>
      </c>
      <c r="MM282">
        <f>IF($A282&lt;=$MB$45,1,0)</f>
        <v>0</v>
      </c>
      <c r="NB282">
        <f>IF($NB$31&lt;=$NB$32,IF($A282&lt;=$NB$7,1,2),IF($A282&lt;=RUNG_BEDS_2,2,1))</f>
        <v>1</v>
      </c>
      <c r="NC282" s="5">
        <f>MIN(1,MAX(0,$NB$26-($A282-1)))</f>
        <v>0</v>
      </c>
      <c r="ND282" s="5">
        <f>$NB$25*(NC282+(1-NC282)*$NB$16)</f>
        <v>63.013306786703595</v>
      </c>
      <c r="NE282" s="13">
        <f>ND282*($NB$6+ACUTE_MARGIN)</f>
        <v>63643.43985457063</v>
      </c>
      <c r="NF282" s="13">
        <f>IF(NB282=1,$NB$31,$NB$32)</f>
        <v>152394.16214437486</v>
      </c>
      <c r="NG282" s="13">
        <f>NE282-NF282</f>
        <v>-88750.72228980422</v>
      </c>
      <c r="NH282" s="13">
        <f>NH281+NG282</f>
        <v>11010334.235533196</v>
      </c>
      <c r="NI282">
        <f>IF(NH282=MAX($NH$83:$NH$483),$A282,0)</f>
        <v>0</v>
      </c>
      <c r="NJ282">
        <f>IF(NE282&lt;NF282,$A282,B_MAX+1)</f>
        <v>199</v>
      </c>
      <c r="NK282" s="13">
        <f>IF(NB282=1,$NB$35,$NB$36)</f>
        <v>0</v>
      </c>
      <c r="NL282" s="13">
        <f>OCC_DAYS*$NB$41*R_NF_2023-ND282*MCD_SHARE_FREED*R_WAIT_2023</f>
        <v>123327.15192717595</v>
      </c>
      <c r="NM282">
        <f>IF($A282&lt;=$NB$45,1,0)</f>
        <v>0</v>
      </c>
      <c r="OB282">
        <f>IF($OB$31&lt;=$OB$32,IF($A282&lt;=$OB$7,1,2),IF($A282&lt;=RUNG_BEDS_2,2,1))</f>
        <v>1</v>
      </c>
      <c r="OC282" s="5">
        <f>MIN(1,MAX(0,$OB$26-($A282-1)))</f>
        <v>0</v>
      </c>
      <c r="OD282" s="5">
        <f>$OB$25*(OC282+(1-OC282)*$OB$16)</f>
        <v>126.02661357340719</v>
      </c>
      <c r="OE282" s="13">
        <f>OD282*($OB$6+ACUTE_MARGIN)</f>
        <v>127286.87970914126</v>
      </c>
      <c r="OF282" s="13">
        <f>IF(OB282=1,$OB$31,$OB$32)</f>
        <v>152394.16214437486</v>
      </c>
      <c r="OG282" s="13">
        <f>OE282-OF282</f>
        <v>-25107.282435233603</v>
      </c>
      <c r="OH282" s="13">
        <f>OH281+OG282</f>
        <v>14118136.109524736</v>
      </c>
      <c r="OI282">
        <f>IF(OH282=MAX($OH$83:$OH$483),$A282,0)</f>
        <v>0</v>
      </c>
      <c r="OJ282">
        <f>IF(OE282&lt;OF282,$A282,B_MAX+1)</f>
        <v>199</v>
      </c>
      <c r="OK282" s="13">
        <f>IF(OB282=1,$OB$35,$OB$36)</f>
        <v>0</v>
      </c>
      <c r="OL282" s="13">
        <f>OCC_DAYS*$OB$41*R_NF_2023-OD282*MCD_SHARE_FREED*R_WAIT_2023</f>
        <v>94673.82103225985</v>
      </c>
      <c r="OM282">
        <f>IF($A282&lt;=$OB$45,1,0)</f>
        <v>0</v>
      </c>
    </row>
    <row r="283">
      <c r="A283" t="n">
        <v>200</v>
      </c>
      <c r="B283">
        <f>IF($B$31&lt;=$B$32,IF($A283&lt;=$B$7,1,2),IF($A283&lt;=RUNG_BEDS_2,2,1))</f>
        <v>1</v>
      </c>
      <c r="C283" s="5">
        <f>MIN(1,MAX(0,$B$26-($A283-1)))</f>
        <v>0</v>
      </c>
      <c r="D283" s="5">
        <f>$B$25*(C283+(1-C283)*$B$16)</f>
        <v>0.0</v>
      </c>
      <c r="E283" s="13">
        <f>D283*($B$6+ACUTE_MARGIN)</f>
        <v>0.0</v>
      </c>
      <c r="F283" s="13">
        <f>IF(B283=1,$B$31,$B$32)</f>
        <v>152394.16214437486</v>
      </c>
      <c r="G283" s="13">
        <f>E283-F283</f>
        <v>-152394.16214437486</v>
      </c>
      <c r="H283" s="13">
        <f>H282+G283</f>
        <v>7750138.199397369</v>
      </c>
      <c r="I283">
        <f>IF(H283=MAX($H$83:$H$483),$A283,0)</f>
        <v>0</v>
      </c>
      <c r="J283">
        <f>IF(E283&lt;F283,$A283,B_MAX+1)</f>
        <v>200</v>
      </c>
      <c r="K283" s="13">
        <f>IF(B283=1,$B$35,$B$36)</f>
        <v>0</v>
      </c>
      <c r="L283" s="13">
        <f>OCC_DAYS*$B$41*R_NF_2023-D283*MCD_SHARE_FREED*R_WAIT_2023</f>
        <v>151980.48282209205</v>
      </c>
      <c r="M283">
        <f>IF($A283&lt;=$B$45,1,0)</f>
        <v>0</v>
      </c>
      <c r="AB283">
        <f>IF($AB$31&lt;=$AB$32,IF($A283&lt;=$AB$7,1,2),IF($A283&lt;=RUNG_BEDS_2,2,1))</f>
        <v>1</v>
      </c>
      <c r="AC283" s="5">
        <f>MIN(1,MAX(0,$AB$26-($A283-1)))</f>
        <v>0</v>
      </c>
      <c r="AD283" s="5">
        <f>$AB$25*(AC283+(1-AC283)*$AB$16)</f>
        <v>0.0</v>
      </c>
      <c r="AE283" s="13">
        <f>AD283*($AB$6+ACUTE_MARGIN)</f>
        <v>0.0</v>
      </c>
      <c r="AF283" s="13">
        <f>IF(AB283=1,$AB$31,$AB$32)</f>
        <v>152394.16214437486</v>
      </c>
      <c r="AG283" s="13">
        <f>AE283-AF283</f>
        <v>-152394.16214437486</v>
      </c>
      <c r="AH283" s="13">
        <f>AH282+AG283</f>
        <v>-9661076.146152457</v>
      </c>
      <c r="AI283">
        <f>IF(AH283=MAX($AH$83:$AH$483),$A283,0)</f>
        <v>0</v>
      </c>
      <c r="AJ283">
        <f>IF(AE283&lt;AF283,$A283,B_MAX+1)</f>
        <v>200</v>
      </c>
      <c r="AK283" s="13">
        <f>IF(AB283=1,$AB$35,$AB$36)</f>
        <v>0</v>
      </c>
      <c r="AL283" s="13">
        <f>OCC_DAYS*$AB$41*R_NF_2023-AD283*MCD_SHARE_FREED*R_WAIT_2023</f>
        <v>151980.48282209205</v>
      </c>
      <c r="AM283">
        <f>IF($A283&lt;=$AB$45,1,0)</f>
        <v>0</v>
      </c>
      <c r="BB283">
        <f>IF($BB$31&lt;=$BB$32,IF($A283&lt;=$BB$7,1,2),IF($A283&lt;=RUNG_BEDS_2,2,1))</f>
        <v>1</v>
      </c>
      <c r="BC283" s="5">
        <f>MIN(1,MAX(0,$BB$26-($A283-1)))</f>
        <v>0</v>
      </c>
      <c r="BD283" s="5">
        <f>$BB$25*(BC283+(1-BC283)*$BB$16)</f>
        <v>0.0</v>
      </c>
      <c r="BE283" s="13">
        <f>BD283*($BB$6+ACUTE_MARGIN)</f>
        <v>0.0</v>
      </c>
      <c r="BF283" s="13">
        <f>IF(BB283=1,$BB$31,$BB$32)</f>
        <v>152394.16214437486</v>
      </c>
      <c r="BG283" s="13">
        <f>BE283-BF283</f>
        <v>-152394.16214437486</v>
      </c>
      <c r="BH283" s="13">
        <f>BH282+BG283</f>
        <v>25161352.544947036</v>
      </c>
      <c r="BI283">
        <f>IF(BH283=MAX($BH$83:$BH$483),$A283,0)</f>
        <v>0</v>
      </c>
      <c r="BJ283">
        <f>IF(BE283&lt;BF283,$A283,B_MAX+1)</f>
        <v>200</v>
      </c>
      <c r="BK283" s="13">
        <f>IF(BB283=1,$BB$35,$BB$36)</f>
        <v>0</v>
      </c>
      <c r="BL283" s="13">
        <f>OCC_DAYS*$BB$41*R_NF_2023-BD283*MCD_SHARE_FREED*R_WAIT_2023</f>
        <v>151980.48282209205</v>
      </c>
      <c r="BM283">
        <f>IF($A283&lt;=$BB$45,1,0)</f>
        <v>0</v>
      </c>
      <c r="CB283">
        <f>IF($CB$31&lt;=$CB$32,IF($A283&lt;=$CB$7,1,2),IF($A283&lt;=RUNG_BEDS_2,2,1))</f>
        <v>2</v>
      </c>
      <c r="CC283" s="5">
        <f>MIN(1,MAX(0,$CB$26-($A283-1)))</f>
        <v>0</v>
      </c>
      <c r="CD283" s="5">
        <f>$CB$25*(CC283+(1-CC283)*$CB$16)</f>
        <v>0.0</v>
      </c>
      <c r="CE283" s="13">
        <f>CD283*($CB$6+ACUTE_MARGIN)</f>
        <v>0.0</v>
      </c>
      <c r="CF283" s="13">
        <f>IF(CB283=1,$CB$31,$CB$32)</f>
        <v>160718.36940738867</v>
      </c>
      <c r="CG283" s="13">
        <f>CE283-CF283</f>
        <v>-160718.36940738867</v>
      </c>
      <c r="CH283" s="13">
        <f>CH282+CG283</f>
        <v>6085296.7467944855</v>
      </c>
      <c r="CI283">
        <f>IF(CH283=MAX($CH$83:$CH$483),$A283,0)</f>
        <v>0</v>
      </c>
      <c r="CJ283">
        <f>IF(CE283&lt;CF283,$A283,B_MAX+1)</f>
        <v>200</v>
      </c>
      <c r="CK283" s="13">
        <f>IF(CB283=1,$CB$35,$CB$36)</f>
        <v>1560.1194073886782</v>
      </c>
      <c r="CL283" s="13">
        <f>OCC_DAYS*$CB$41*R_NF_2023-CD283*MCD_SHARE_FREED*R_WAIT_2023</f>
        <v>151980.48282209205</v>
      </c>
      <c r="CM283">
        <f>IF($A283&lt;=$CB$45,1,0)</f>
        <v>0</v>
      </c>
      <c r="DB283">
        <f>IF($DB$31&lt;=$DB$32,IF($A283&lt;=$DB$7,1,2),IF($A283&lt;=RUNG_BEDS_2,2,1))</f>
        <v>1</v>
      </c>
      <c r="DC283" s="5">
        <f>MIN(1,MAX(0,$DB$26-($A283-1)))</f>
        <v>0</v>
      </c>
      <c r="DD283" s="5">
        <f>$DB$25*(DC283+(1-DC283)*$DB$16)</f>
        <v>0.0</v>
      </c>
      <c r="DE283" s="13">
        <f>DD283*($DB$6+ACUTE_MARGIN)</f>
        <v>0.0</v>
      </c>
      <c r="DF283" s="13">
        <f>IF(DB283=1,$DB$31,$DB$32)</f>
        <v>152394.16214437486</v>
      </c>
      <c r="DG283" s="13">
        <f>DE283-DF283</f>
        <v>-152394.16214437486</v>
      </c>
      <c r="DH283" s="13">
        <f>DH282+DG283</f>
        <v>7750138.199397369</v>
      </c>
      <c r="DI283">
        <f>IF(DH283=MAX($DH$83:$DH$483),$A283,0)</f>
        <v>0</v>
      </c>
      <c r="DJ283">
        <f>IF(DE283&lt;DF283,$A283,B_MAX+1)</f>
        <v>200</v>
      </c>
      <c r="DK283" s="13">
        <f>IF(DB283=1,$DB$35,$DB$36)</f>
        <v>0</v>
      </c>
      <c r="DL283" s="13">
        <f>OCC_DAYS*$DB$41*R_NF_2023-DD283*MCD_SHARE_FREED*R_WAIT_2023</f>
        <v>151980.48282209205</v>
      </c>
      <c r="DM283">
        <f>IF($A283&lt;=$DB$45,1,0)</f>
        <v>0</v>
      </c>
      <c r="EB283">
        <f>IF($EB$31&lt;=$EB$32,IF($A283&lt;=$EB$7,1,2),IF($A283&lt;=RUNG_BEDS_2,2,1))</f>
        <v>1</v>
      </c>
      <c r="EC283" s="5">
        <f>MIN(1,MAX(0,$EB$26-($A283-1)))</f>
        <v>0</v>
      </c>
      <c r="ED283" s="5">
        <f>$EB$25*(EC283+(1-EC283)*$EB$16)</f>
        <v>0.0</v>
      </c>
      <c r="EE283" s="13">
        <f>ED283*($EB$6+ACUTE_MARGIN)</f>
        <v>0.0</v>
      </c>
      <c r="EF283" s="13">
        <f>IF(EB283=1,$EB$31,$EB$32)</f>
        <v>152394.16214437486</v>
      </c>
      <c r="EG283" s="13">
        <f>EE283-EF283</f>
        <v>-152394.16214437486</v>
      </c>
      <c r="EH283" s="13">
        <f>EH282+EG283</f>
        <v>7750138.199397369</v>
      </c>
      <c r="EI283">
        <f>IF(EH283=MAX($EH$83:$EH$483),$A283,0)</f>
        <v>0</v>
      </c>
      <c r="EJ283">
        <f>IF(EE283&lt;EF283,$A283,B_MAX+1)</f>
        <v>200</v>
      </c>
      <c r="EK283" s="13">
        <f>IF(EB283=1,$EB$35,$EB$36)</f>
        <v>0</v>
      </c>
      <c r="EL283" s="13">
        <f>OCC_DAYS*$EB$41*R_NF_2023-ED283*MCD_SHARE_FREED*R_WAIT_2023</f>
        <v>50660.16094069735</v>
      </c>
      <c r="EM283">
        <f>IF($A283&lt;=$EB$45,1,0)</f>
        <v>0</v>
      </c>
      <c r="FB283">
        <f>IF($FB$31&lt;=$FB$32,IF($A283&lt;=$FB$7,1,2),IF($A283&lt;=RUNG_BEDS_2,2,1))</f>
        <v>1</v>
      </c>
      <c r="FC283" s="5">
        <f>MIN(1,MAX(0,$FB$26-($A283-1)))</f>
        <v>0</v>
      </c>
      <c r="FD283" s="5">
        <f>$FB$25*(FC283+(1-FC283)*$FB$16)</f>
        <v>0.0</v>
      </c>
      <c r="FE283" s="13">
        <f>FD283*($FB$6+ACUTE_MARGIN)</f>
        <v>0.0</v>
      </c>
      <c r="FF283" s="13">
        <f>IF(FB283=1,$FB$31,$FB$32)</f>
        <v>156636.04979437485</v>
      </c>
      <c r="FG283" s="13">
        <f>FE283-FF283</f>
        <v>-156636.04979437485</v>
      </c>
      <c r="FH283" s="13">
        <f>FH282+FG283</f>
        <v>6901760.669397254</v>
      </c>
      <c r="FI283">
        <f>IF(FH283=MAX($FH$83:$FH$483),$A283,0)</f>
        <v>0</v>
      </c>
      <c r="FJ283">
        <f>IF(FE283&lt;FF283,$A283,B_MAX+1)</f>
        <v>200</v>
      </c>
      <c r="FK283" s="13">
        <f>IF(FB283=1,$FB$35,$FB$36)</f>
        <v>0</v>
      </c>
      <c r="FL283" s="13">
        <f>OCC_DAYS*$FB$41*R_NF_2023-FD283*MCD_SHARE_FREED*R_WAIT_2023</f>
        <v>151980.48282209205</v>
      </c>
      <c r="FM283">
        <f>IF($A283&lt;=$FB$45,1,0)</f>
        <v>0</v>
      </c>
      <c r="GB283">
        <f>IF($GB$31&lt;=$GB$32,IF($A283&lt;=$GB$7,1,2),IF($A283&lt;=RUNG_BEDS_2,2,1))</f>
        <v>1</v>
      </c>
      <c r="GC283" s="5">
        <f>MIN(1,MAX(0,$GB$26-($A283-1)))</f>
        <v>0</v>
      </c>
      <c r="GD283" s="5">
        <f>$GB$25*(GC283+(1-GC283)*$GB$16)</f>
        <v>0.0</v>
      </c>
      <c r="GE283" s="13">
        <f>GD283*($GB$6+ACUTE_MARGIN)</f>
        <v>0.0</v>
      </c>
      <c r="GF283" s="13">
        <f>IF(GB283=1,$GB$31,$GB$32)</f>
        <v>152394.16214437486</v>
      </c>
      <c r="GG283" s="13">
        <f>GE283-GF283</f>
        <v>-152394.16214437486</v>
      </c>
      <c r="GH283" s="13">
        <f>GH282+GG283</f>
        <v>7750138.199397369</v>
      </c>
      <c r="GI283">
        <f>IF(GH283=MAX($GH$83:$GH$483),$A283,0)</f>
        <v>0</v>
      </c>
      <c r="GJ283">
        <f>IF(GE283&lt;GF283,$A283,B_MAX+1)</f>
        <v>200</v>
      </c>
      <c r="GK283" s="13">
        <f>IF(GB283=1,$GB$35,$GB$36)</f>
        <v>0</v>
      </c>
      <c r="GL283" s="13">
        <f>OCC_DAYS*$GB$41*R_NF_2023-GD283*MCD_SHARE_FREED*R_WAIT_2023</f>
        <v>151980.48282209205</v>
      </c>
      <c r="GM283">
        <f>IF($A283&lt;=$GB$45,1,0)</f>
        <v>0</v>
      </c>
      <c r="HB283">
        <f>IF($HB$31&lt;=$HB$32,IF($A283&lt;=$HB$7,1,2),IF($A283&lt;=RUNG_BEDS_2,2,1))</f>
        <v>1</v>
      </c>
      <c r="HC283" s="5">
        <f>MIN(1,MAX(0,$HB$26-($A283-1)))</f>
        <v>0</v>
      </c>
      <c r="HD283" s="5">
        <f>$HB$25*(HC283+(1-HC283)*$HB$16)</f>
        <v>0.0</v>
      </c>
      <c r="HE283" s="13">
        <f>HD283*($HB$6+ACUTE_MARGIN)</f>
        <v>0.0</v>
      </c>
      <c r="HF283" s="13">
        <f>IF(HB283=1,$HB$31,$HB$32)</f>
        <v>152456.2970814058</v>
      </c>
      <c r="HG283" s="13">
        <f>HE283-HF283</f>
        <v>-152456.2970814058</v>
      </c>
      <c r="HH283" s="13">
        <f>HH282+HG283</f>
        <v>7737711.211991145</v>
      </c>
      <c r="HI283">
        <f>IF(HH283=MAX($HH$83:$HH$483),$A283,0)</f>
        <v>0</v>
      </c>
      <c r="HJ283">
        <f>IF(HE283&lt;HF283,$A283,B_MAX+1)</f>
        <v>200</v>
      </c>
      <c r="HK283" s="13">
        <f>IF(HB283=1,$HB$35,$HB$36)</f>
        <v>0</v>
      </c>
      <c r="HL283" s="13">
        <f>OCC_DAYS*$HB$41*R_NF_2023-HD283*MCD_SHARE_FREED*R_WAIT_2023</f>
        <v>151980.48282209205</v>
      </c>
      <c r="HM283">
        <f>IF($A283&lt;=$HB$45,1,0)</f>
        <v>0</v>
      </c>
      <c r="IB283">
        <f>IF($IB$31&lt;=$IB$32,IF($A283&lt;=$IB$7,1,2),IF($A283&lt;=RUNG_BEDS_2,2,1))</f>
        <v>1</v>
      </c>
      <c r="IC283" s="5">
        <f>MIN(1,MAX(0,$IB$26-($A283-1)))</f>
        <v>0</v>
      </c>
      <c r="ID283" s="5">
        <f>$IB$25*(IC283+(1-IC283)*$IB$16)</f>
        <v>0.0</v>
      </c>
      <c r="IE283" s="13">
        <f>ID283*($IB$6+ACUTE_MARGIN)</f>
        <v>0.0</v>
      </c>
      <c r="IF283" s="13">
        <f>IF(IB283=1,$IB$31,$IB$32)</f>
        <v>152734.9994534971</v>
      </c>
      <c r="IG283" s="13">
        <f>IE283-IF283</f>
        <v>-152734.9994534971</v>
      </c>
      <c r="IH283" s="13">
        <f>IH282+IG283</f>
        <v>7681970.737572824</v>
      </c>
      <c r="II283">
        <f>IF(IH283=MAX($IH$83:$IH$483),$A283,0)</f>
        <v>0</v>
      </c>
      <c r="IJ283">
        <f>IF(IE283&lt;IF283,$A283,B_MAX+1)</f>
        <v>200</v>
      </c>
      <c r="IK283" s="13">
        <f>IF(IB283=1,$IB$35,$IB$36)</f>
        <v>0</v>
      </c>
      <c r="IL283" s="13">
        <f>OCC_DAYS*$IB$41*R_NF_2023-ID283*MCD_SHARE_FREED*R_WAIT_2023</f>
        <v>151980.48282209205</v>
      </c>
      <c r="IM283">
        <f>IF($A283&lt;=$IB$45,1,0)</f>
        <v>0</v>
      </c>
      <c r="JB283">
        <f>IF($JB$31&lt;=$JB$32,IF($A283&lt;=$JB$7,1,2),IF($A283&lt;=RUNG_BEDS_2,2,1))</f>
        <v>1</v>
      </c>
      <c r="JC283" s="5">
        <f>MIN(1,MAX(0,$JB$26-($A283-1)))</f>
        <v>0</v>
      </c>
      <c r="JD283" s="5">
        <f>$JB$25*(JC283+(1-JC283)*$JB$16)</f>
        <v>0.0</v>
      </c>
      <c r="JE283" s="13">
        <f>JD283*($JB$6+ACUTE_MARGIN)</f>
        <v>0.0</v>
      </c>
      <c r="JF283" s="13">
        <f>IF(JB283=1,$JB$31,$JB$32)</f>
        <v>152394.16214437486</v>
      </c>
      <c r="JG283" s="13">
        <f>JE283-JF283</f>
        <v>-152394.16214437486</v>
      </c>
      <c r="JH283" s="13">
        <f>JH282+JG283</f>
        <v>7750138.199397369</v>
      </c>
      <c r="JI283">
        <f>IF(JH283=MAX($JH$83:$JH$483),$A283,0)</f>
        <v>0</v>
      </c>
      <c r="JJ283">
        <f>IF(JE283&lt;JF283,$A283,B_MAX+1)</f>
        <v>200</v>
      </c>
      <c r="JK283" s="13">
        <f>IF(JB283=1,$JB$35,$JB$36)</f>
        <v>0</v>
      </c>
      <c r="JL283" s="13">
        <f>OCC_DAYS*$JB$41*R_NF_2023-JD283*MCD_SHARE_FREED*R_WAIT_2023</f>
        <v>151980.48282209205</v>
      </c>
      <c r="JM283">
        <f>IF($A283&lt;=$JB$45,1,0)</f>
        <v>0</v>
      </c>
      <c r="KB283">
        <f>IF($KB$31&lt;=$KB$32,IF($A283&lt;=$KB$7,1,2),IF($A283&lt;=RUNG_BEDS_2,2,1))</f>
        <v>1</v>
      </c>
      <c r="KC283" s="5">
        <f>MIN(1,MAX(0,$KB$26-($A283-1)))</f>
        <v>1</v>
      </c>
      <c r="KD283" s="5">
        <f>$KB$25*(KC283+(1-KC283)*$KB$16)</f>
        <v>126.02661357340719</v>
      </c>
      <c r="KE283" s="13">
        <f>KD283*($KB$6+ACUTE_MARGIN)</f>
        <v>127286.87970914126</v>
      </c>
      <c r="KF283" s="13">
        <f>IF(KB283=1,$KB$31,$KB$32)</f>
        <v>152394.16214437486</v>
      </c>
      <c r="KG283" s="13">
        <f>KE283-KF283</f>
        <v>-25107.282435233603</v>
      </c>
      <c r="KH283" s="13">
        <f>KH282+KG283</f>
        <v>-5021456.487046736</v>
      </c>
      <c r="KI283">
        <f>IF(KH283=MAX($KH$83:$KH$483),$A283,0)</f>
        <v>0</v>
      </c>
      <c r="KJ283">
        <f>IF(KE283&lt;KF283,$A283,B_MAX+1)</f>
        <v>200</v>
      </c>
      <c r="KK283" s="13">
        <f>IF(KB283=1,$KB$35,$KB$36)</f>
        <v>0</v>
      </c>
      <c r="KL283" s="13">
        <f>OCC_DAYS*$KB$41*R_NF_2023-KD283*MCD_SHARE_FREED*R_WAIT_2023</f>
        <v>94673.82103225985</v>
      </c>
      <c r="KM283">
        <f>IF($A283&lt;=$KB$45,1,0)</f>
        <v>0</v>
      </c>
      <c r="LB283">
        <f>IF($LB$31&lt;=$LB$32,IF($A283&lt;=$LB$7,1,2),IF($A283&lt;=RUNG_BEDS_2,2,1))</f>
        <v>1</v>
      </c>
      <c r="LC283" s="5">
        <f>MIN(1,MAX(0,$LB$26-($A283-1)))</f>
        <v>1</v>
      </c>
      <c r="LD283" s="5">
        <f>$LB$25*(LC283+(1-LC283)*$LB$16)</f>
        <v>84.01774238227146</v>
      </c>
      <c r="LE283" s="13">
        <f>LD283*($LB$6+ACUTE_MARGIN)</f>
        <v>84857.91980609419</v>
      </c>
      <c r="LF283" s="13">
        <f>IF(LB283=1,$LB$31,$LB$32)</f>
        <v>152394.16214437486</v>
      </c>
      <c r="LG283" s="13">
        <f>LE283-LF283</f>
        <v>-67536.24233828067</v>
      </c>
      <c r="LH283" s="13">
        <f>LH282+LG283</f>
        <v>-13507248.467656195</v>
      </c>
      <c r="LI283">
        <f>IF(LH283=MAX($LH$83:$LH$483),$A283,0)</f>
        <v>0</v>
      </c>
      <c r="LJ283">
        <f>IF(LE283&lt;LF283,$A283,B_MAX+1)</f>
        <v>200</v>
      </c>
      <c r="LK283" s="13">
        <f>IF(LB283=1,$LB$35,$LB$36)</f>
        <v>0</v>
      </c>
      <c r="LL283" s="13">
        <f>OCC_DAYS*$LB$41*R_NF_2023-LD283*MCD_SHARE_FREED*R_WAIT_2023</f>
        <v>113776.04162887059</v>
      </c>
      <c r="LM283">
        <f>IF($A283&lt;=$LB$45,1,0)</f>
        <v>0</v>
      </c>
      <c r="MB283">
        <f>IF($MB$31&lt;=$MB$32,IF($A283&lt;=$MB$7,1,2),IF($A283&lt;=RUNG_BEDS_2,2,1))</f>
        <v>1</v>
      </c>
      <c r="MC283" s="5">
        <f>MIN(1,MAX(0,$MB$26-($A283-1)))</f>
        <v>0</v>
      </c>
      <c r="MD283" s="5">
        <f>$MB$25*(MC283+(1-MC283)*$MB$16)</f>
        <v>0.0</v>
      </c>
      <c r="ME283" s="13">
        <f>MD283*($MB$6+ACUTE_MARGIN)</f>
        <v>0.0</v>
      </c>
      <c r="MF283" s="13">
        <f>IF(MB283=1,$MB$31,$MB$32)</f>
        <v>152394.16214437486</v>
      </c>
      <c r="MG283" s="13">
        <f>ME283-MF283</f>
        <v>-152394.16214437486</v>
      </c>
      <c r="MH283" s="13">
        <f>MH282+MG283</f>
        <v>1862862.1375990338</v>
      </c>
      <c r="MI283">
        <f>IF(MH283=MAX($MH$83:$MH$483),$A283,0)</f>
        <v>0</v>
      </c>
      <c r="MJ283">
        <f>IF(ME283&lt;MF283,$A283,B_MAX+1)</f>
        <v>200</v>
      </c>
      <c r="MK283" s="13">
        <f>IF(MB283=1,$MB$35,$MB$36)</f>
        <v>0</v>
      </c>
      <c r="ML283" s="13">
        <f>OCC_DAYS*$MB$41*R_NF_2023-MD283*MCD_SHARE_FREED*R_WAIT_2023</f>
        <v>151980.48282209205</v>
      </c>
      <c r="MM283">
        <f>IF($A283&lt;=$MB$45,1,0)</f>
        <v>0</v>
      </c>
      <c r="NB283">
        <f>IF($NB$31&lt;=$NB$32,IF($A283&lt;=$NB$7,1,2),IF($A283&lt;=RUNG_BEDS_2,2,1))</f>
        <v>1</v>
      </c>
      <c r="NC283" s="5">
        <f>MIN(1,MAX(0,$NB$26-($A283-1)))</f>
        <v>0</v>
      </c>
      <c r="ND283" s="5">
        <f>$NB$25*(NC283+(1-NC283)*$NB$16)</f>
        <v>63.013306786703595</v>
      </c>
      <c r="NE283" s="13">
        <f>ND283*($NB$6+ACUTE_MARGIN)</f>
        <v>63643.43985457063</v>
      </c>
      <c r="NF283" s="13">
        <f>IF(NB283=1,$NB$31,$NB$32)</f>
        <v>152394.16214437486</v>
      </c>
      <c r="NG283" s="13">
        <f>NE283-NF283</f>
        <v>-88750.72228980422</v>
      </c>
      <c r="NH283" s="13">
        <f>NH282+NG283</f>
        <v>10921583.513243392</v>
      </c>
      <c r="NI283">
        <f>IF(NH283=MAX($NH$83:$NH$483),$A283,0)</f>
        <v>0</v>
      </c>
      <c r="NJ283">
        <f>IF(NE283&lt;NF283,$A283,B_MAX+1)</f>
        <v>200</v>
      </c>
      <c r="NK283" s="13">
        <f>IF(NB283=1,$NB$35,$NB$36)</f>
        <v>0</v>
      </c>
      <c r="NL283" s="13">
        <f>OCC_DAYS*$NB$41*R_NF_2023-ND283*MCD_SHARE_FREED*R_WAIT_2023</f>
        <v>123327.15192717595</v>
      </c>
      <c r="NM283">
        <f>IF($A283&lt;=$NB$45,1,0)</f>
        <v>0</v>
      </c>
      <c r="OB283">
        <f>IF($OB$31&lt;=$OB$32,IF($A283&lt;=$OB$7,1,2),IF($A283&lt;=RUNG_BEDS_2,2,1))</f>
        <v>1</v>
      </c>
      <c r="OC283" s="5">
        <f>MIN(1,MAX(0,$OB$26-($A283-1)))</f>
        <v>0</v>
      </c>
      <c r="OD283" s="5">
        <f>$OB$25*(OC283+(1-OC283)*$OB$16)</f>
        <v>126.02661357340719</v>
      </c>
      <c r="OE283" s="13">
        <f>OD283*($OB$6+ACUTE_MARGIN)</f>
        <v>127286.87970914126</v>
      </c>
      <c r="OF283" s="13">
        <f>IF(OB283=1,$OB$31,$OB$32)</f>
        <v>152394.16214437486</v>
      </c>
      <c r="OG283" s="13">
        <f>OE283-OF283</f>
        <v>-25107.282435233603</v>
      </c>
      <c r="OH283" s="13">
        <f>OH282+OG283</f>
        <v>14093028.827089503</v>
      </c>
      <c r="OI283">
        <f>IF(OH283=MAX($OH$83:$OH$483),$A283,0)</f>
        <v>0</v>
      </c>
      <c r="OJ283">
        <f>IF(OE283&lt;OF283,$A283,B_MAX+1)</f>
        <v>200</v>
      </c>
      <c r="OK283" s="13">
        <f>IF(OB283=1,$OB$35,$OB$36)</f>
        <v>0</v>
      </c>
      <c r="OL283" s="13">
        <f>OCC_DAYS*$OB$41*R_NF_2023-OD283*MCD_SHARE_FREED*R_WAIT_2023</f>
        <v>94673.82103225985</v>
      </c>
      <c r="OM283">
        <f>IF($A283&lt;=$OB$45,1,0)</f>
        <v>0</v>
      </c>
    </row>
    <row r="284">
      <c r="A284" t="n">
        <v>201</v>
      </c>
      <c r="B284">
        <f>IF($B$31&lt;=$B$32,IF($A284&lt;=$B$7,1,2),IF($A284&lt;=RUNG_BEDS_2,2,1))</f>
        <v>1</v>
      </c>
      <c r="C284" s="5">
        <f>MIN(1,MAX(0,$B$26-($A284-1)))</f>
        <v>0</v>
      </c>
      <c r="D284" s="5">
        <f>$B$25*(C284+(1-C284)*$B$16)</f>
        <v>0.0</v>
      </c>
      <c r="E284" s="13">
        <f>D284*($B$6+ACUTE_MARGIN)</f>
        <v>0.0</v>
      </c>
      <c r="F284" s="13">
        <f>IF(B284=1,$B$31,$B$32)</f>
        <v>152394.16214437486</v>
      </c>
      <c r="G284" s="13">
        <f>E284-F284</f>
        <v>-152394.16214437486</v>
      </c>
      <c r="H284" s="13">
        <f>H283+G284</f>
        <v>7597744.037252994</v>
      </c>
      <c r="I284">
        <f>IF(H284=MAX($H$83:$H$483),$A284,0)</f>
        <v>0</v>
      </c>
      <c r="J284">
        <f>IF(E284&lt;F284,$A284,B_MAX+1)</f>
        <v>201</v>
      </c>
      <c r="K284" s="13">
        <f>IF(B284=1,$B$35,$B$36)</f>
        <v>0</v>
      </c>
      <c r="L284" s="13">
        <f>OCC_DAYS*$B$41*R_NF_2023-D284*MCD_SHARE_FREED*R_WAIT_2023</f>
        <v>151980.48282209205</v>
      </c>
      <c r="M284">
        <f>IF($A284&lt;=$B$45,1,0)</f>
        <v>0</v>
      </c>
      <c r="AB284">
        <f>IF($AB$31&lt;=$AB$32,IF($A284&lt;=$AB$7,1,2),IF($A284&lt;=RUNG_BEDS_2,2,1))</f>
        <v>1</v>
      </c>
      <c r="AC284" s="5">
        <f>MIN(1,MAX(0,$AB$26-($A284-1)))</f>
        <v>0</v>
      </c>
      <c r="AD284" s="5">
        <f>$AB$25*(AC284+(1-AC284)*$AB$16)</f>
        <v>0.0</v>
      </c>
      <c r="AE284" s="13">
        <f>AD284*($AB$6+ACUTE_MARGIN)</f>
        <v>0.0</v>
      </c>
      <c r="AF284" s="13">
        <f>IF(AB284=1,$AB$31,$AB$32)</f>
        <v>152394.16214437486</v>
      </c>
      <c r="AG284" s="13">
        <f>AE284-AF284</f>
        <v>-152394.16214437486</v>
      </c>
      <c r="AH284" s="13">
        <f>AH283+AG284</f>
        <v>-9813470.308296831</v>
      </c>
      <c r="AI284">
        <f>IF(AH284=MAX($AH$83:$AH$483),$A284,0)</f>
        <v>0</v>
      </c>
      <c r="AJ284">
        <f>IF(AE284&lt;AF284,$A284,B_MAX+1)</f>
        <v>201</v>
      </c>
      <c r="AK284" s="13">
        <f>IF(AB284=1,$AB$35,$AB$36)</f>
        <v>0</v>
      </c>
      <c r="AL284" s="13">
        <f>OCC_DAYS*$AB$41*R_NF_2023-AD284*MCD_SHARE_FREED*R_WAIT_2023</f>
        <v>151980.48282209205</v>
      </c>
      <c r="AM284">
        <f>IF($A284&lt;=$AB$45,1,0)</f>
        <v>0</v>
      </c>
      <c r="BB284">
        <f>IF($BB$31&lt;=$BB$32,IF($A284&lt;=$BB$7,1,2),IF($A284&lt;=RUNG_BEDS_2,2,1))</f>
        <v>1</v>
      </c>
      <c r="BC284" s="5">
        <f>MIN(1,MAX(0,$BB$26-($A284-1)))</f>
        <v>0</v>
      </c>
      <c r="BD284" s="5">
        <f>$BB$25*(BC284+(1-BC284)*$BB$16)</f>
        <v>0.0</v>
      </c>
      <c r="BE284" s="13">
        <f>BD284*($BB$6+ACUTE_MARGIN)</f>
        <v>0.0</v>
      </c>
      <c r="BF284" s="13">
        <f>IF(BB284=1,$BB$31,$BB$32)</f>
        <v>152394.16214437486</v>
      </c>
      <c r="BG284" s="13">
        <f>BE284-BF284</f>
        <v>-152394.16214437486</v>
      </c>
      <c r="BH284" s="13">
        <f>BH283+BG284</f>
        <v>25008958.38280266</v>
      </c>
      <c r="BI284">
        <f>IF(BH284=MAX($BH$83:$BH$483),$A284,0)</f>
        <v>0</v>
      </c>
      <c r="BJ284">
        <f>IF(BE284&lt;BF284,$A284,B_MAX+1)</f>
        <v>201</v>
      </c>
      <c r="BK284" s="13">
        <f>IF(BB284=1,$BB$35,$BB$36)</f>
        <v>0</v>
      </c>
      <c r="BL284" s="13">
        <f>OCC_DAYS*$BB$41*R_NF_2023-BD284*MCD_SHARE_FREED*R_WAIT_2023</f>
        <v>151980.48282209205</v>
      </c>
      <c r="BM284">
        <f>IF($A284&lt;=$BB$45,1,0)</f>
        <v>0</v>
      </c>
      <c r="CB284">
        <f>IF($CB$31&lt;=$CB$32,IF($A284&lt;=$CB$7,1,2),IF($A284&lt;=RUNG_BEDS_2,2,1))</f>
        <v>2</v>
      </c>
      <c r="CC284" s="5">
        <f>MIN(1,MAX(0,$CB$26-($A284-1)))</f>
        <v>0</v>
      </c>
      <c r="CD284" s="5">
        <f>$CB$25*(CC284+(1-CC284)*$CB$16)</f>
        <v>0.0</v>
      </c>
      <c r="CE284" s="13">
        <f>CD284*($CB$6+ACUTE_MARGIN)</f>
        <v>0.0</v>
      </c>
      <c r="CF284" s="13">
        <f>IF(CB284=1,$CB$31,$CB$32)</f>
        <v>160718.36940738867</v>
      </c>
      <c r="CG284" s="13">
        <f>CE284-CF284</f>
        <v>-160718.36940738867</v>
      </c>
      <c r="CH284" s="13">
        <f>CH283+CG284</f>
        <v>5924578.377387097</v>
      </c>
      <c r="CI284">
        <f>IF(CH284=MAX($CH$83:$CH$483),$A284,0)</f>
        <v>0</v>
      </c>
      <c r="CJ284">
        <f>IF(CE284&lt;CF284,$A284,B_MAX+1)</f>
        <v>201</v>
      </c>
      <c r="CK284" s="13">
        <f>IF(CB284=1,$CB$35,$CB$36)</f>
        <v>1560.1194073886782</v>
      </c>
      <c r="CL284" s="13">
        <f>OCC_DAYS*$CB$41*R_NF_2023-CD284*MCD_SHARE_FREED*R_WAIT_2023</f>
        <v>151980.48282209205</v>
      </c>
      <c r="CM284">
        <f>IF($A284&lt;=$CB$45,1,0)</f>
        <v>0</v>
      </c>
      <c r="DB284">
        <f>IF($DB$31&lt;=$DB$32,IF($A284&lt;=$DB$7,1,2),IF($A284&lt;=RUNG_BEDS_2,2,1))</f>
        <v>1</v>
      </c>
      <c r="DC284" s="5">
        <f>MIN(1,MAX(0,$DB$26-($A284-1)))</f>
        <v>0</v>
      </c>
      <c r="DD284" s="5">
        <f>$DB$25*(DC284+(1-DC284)*$DB$16)</f>
        <v>0.0</v>
      </c>
      <c r="DE284" s="13">
        <f>DD284*($DB$6+ACUTE_MARGIN)</f>
        <v>0.0</v>
      </c>
      <c r="DF284" s="13">
        <f>IF(DB284=1,$DB$31,$DB$32)</f>
        <v>152394.16214437486</v>
      </c>
      <c r="DG284" s="13">
        <f>DE284-DF284</f>
        <v>-152394.16214437486</v>
      </c>
      <c r="DH284" s="13">
        <f>DH283+DG284</f>
        <v>7597744.037252994</v>
      </c>
      <c r="DI284">
        <f>IF(DH284=MAX($DH$83:$DH$483),$A284,0)</f>
        <v>0</v>
      </c>
      <c r="DJ284">
        <f>IF(DE284&lt;DF284,$A284,B_MAX+1)</f>
        <v>201</v>
      </c>
      <c r="DK284" s="13">
        <f>IF(DB284=1,$DB$35,$DB$36)</f>
        <v>0</v>
      </c>
      <c r="DL284" s="13">
        <f>OCC_DAYS*$DB$41*R_NF_2023-DD284*MCD_SHARE_FREED*R_WAIT_2023</f>
        <v>151980.48282209205</v>
      </c>
      <c r="DM284">
        <f>IF($A284&lt;=$DB$45,1,0)</f>
        <v>0</v>
      </c>
      <c r="EB284">
        <f>IF($EB$31&lt;=$EB$32,IF($A284&lt;=$EB$7,1,2),IF($A284&lt;=RUNG_BEDS_2,2,1))</f>
        <v>1</v>
      </c>
      <c r="EC284" s="5">
        <f>MIN(1,MAX(0,$EB$26-($A284-1)))</f>
        <v>0</v>
      </c>
      <c r="ED284" s="5">
        <f>$EB$25*(EC284+(1-EC284)*$EB$16)</f>
        <v>0.0</v>
      </c>
      <c r="EE284" s="13">
        <f>ED284*($EB$6+ACUTE_MARGIN)</f>
        <v>0.0</v>
      </c>
      <c r="EF284" s="13">
        <f>IF(EB284=1,$EB$31,$EB$32)</f>
        <v>152394.16214437486</v>
      </c>
      <c r="EG284" s="13">
        <f>EE284-EF284</f>
        <v>-152394.16214437486</v>
      </c>
      <c r="EH284" s="13">
        <f>EH283+EG284</f>
        <v>7597744.037252994</v>
      </c>
      <c r="EI284">
        <f>IF(EH284=MAX($EH$83:$EH$483),$A284,0)</f>
        <v>0</v>
      </c>
      <c r="EJ284">
        <f>IF(EE284&lt;EF284,$A284,B_MAX+1)</f>
        <v>201</v>
      </c>
      <c r="EK284" s="13">
        <f>IF(EB284=1,$EB$35,$EB$36)</f>
        <v>0</v>
      </c>
      <c r="EL284" s="13">
        <f>OCC_DAYS*$EB$41*R_NF_2023-ED284*MCD_SHARE_FREED*R_WAIT_2023</f>
        <v>50660.16094069735</v>
      </c>
      <c r="EM284">
        <f>IF($A284&lt;=$EB$45,1,0)</f>
        <v>0</v>
      </c>
      <c r="FB284">
        <f>IF($FB$31&lt;=$FB$32,IF($A284&lt;=$FB$7,1,2),IF($A284&lt;=RUNG_BEDS_2,2,1))</f>
        <v>1</v>
      </c>
      <c r="FC284" s="5">
        <f>MIN(1,MAX(0,$FB$26-($A284-1)))</f>
        <v>0</v>
      </c>
      <c r="FD284" s="5">
        <f>$FB$25*(FC284+(1-FC284)*$FB$16)</f>
        <v>0.0</v>
      </c>
      <c r="FE284" s="13">
        <f>FD284*($FB$6+ACUTE_MARGIN)</f>
        <v>0.0</v>
      </c>
      <c r="FF284" s="13">
        <f>IF(FB284=1,$FB$31,$FB$32)</f>
        <v>156636.04979437485</v>
      </c>
      <c r="FG284" s="13">
        <f>FE284-FF284</f>
        <v>-156636.04979437485</v>
      </c>
      <c r="FH284" s="13">
        <f>FH283+FG284</f>
        <v>6745124.619602879</v>
      </c>
      <c r="FI284">
        <f>IF(FH284=MAX($FH$83:$FH$483),$A284,0)</f>
        <v>0</v>
      </c>
      <c r="FJ284">
        <f>IF(FE284&lt;FF284,$A284,B_MAX+1)</f>
        <v>201</v>
      </c>
      <c r="FK284" s="13">
        <f>IF(FB284=1,$FB$35,$FB$36)</f>
        <v>0</v>
      </c>
      <c r="FL284" s="13">
        <f>OCC_DAYS*$FB$41*R_NF_2023-FD284*MCD_SHARE_FREED*R_WAIT_2023</f>
        <v>151980.48282209205</v>
      </c>
      <c r="FM284">
        <f>IF($A284&lt;=$FB$45,1,0)</f>
        <v>0</v>
      </c>
      <c r="GB284">
        <f>IF($GB$31&lt;=$GB$32,IF($A284&lt;=$GB$7,1,2),IF($A284&lt;=RUNG_BEDS_2,2,1))</f>
        <v>1</v>
      </c>
      <c r="GC284" s="5">
        <f>MIN(1,MAX(0,$GB$26-($A284-1)))</f>
        <v>0</v>
      </c>
      <c r="GD284" s="5">
        <f>$GB$25*(GC284+(1-GC284)*$GB$16)</f>
        <v>0.0</v>
      </c>
      <c r="GE284" s="13">
        <f>GD284*($GB$6+ACUTE_MARGIN)</f>
        <v>0.0</v>
      </c>
      <c r="GF284" s="13">
        <f>IF(GB284=1,$GB$31,$GB$32)</f>
        <v>152394.16214437486</v>
      </c>
      <c r="GG284" s="13">
        <f>GE284-GF284</f>
        <v>-152394.16214437486</v>
      </c>
      <c r="GH284" s="13">
        <f>GH283+GG284</f>
        <v>7597744.037252994</v>
      </c>
      <c r="GI284">
        <f>IF(GH284=MAX($GH$83:$GH$483),$A284,0)</f>
        <v>0</v>
      </c>
      <c r="GJ284">
        <f>IF(GE284&lt;GF284,$A284,B_MAX+1)</f>
        <v>201</v>
      </c>
      <c r="GK284" s="13">
        <f>IF(GB284=1,$GB$35,$GB$36)</f>
        <v>0</v>
      </c>
      <c r="GL284" s="13">
        <f>OCC_DAYS*$GB$41*R_NF_2023-GD284*MCD_SHARE_FREED*R_WAIT_2023</f>
        <v>151980.48282209205</v>
      </c>
      <c r="GM284">
        <f>IF($A284&lt;=$GB$45,1,0)</f>
        <v>0</v>
      </c>
      <c r="HB284">
        <f>IF($HB$31&lt;=$HB$32,IF($A284&lt;=$HB$7,1,2),IF($A284&lt;=RUNG_BEDS_2,2,1))</f>
        <v>1</v>
      </c>
      <c r="HC284" s="5">
        <f>MIN(1,MAX(0,$HB$26-($A284-1)))</f>
        <v>0</v>
      </c>
      <c r="HD284" s="5">
        <f>$HB$25*(HC284+(1-HC284)*$HB$16)</f>
        <v>0.0</v>
      </c>
      <c r="HE284" s="13">
        <f>HD284*($HB$6+ACUTE_MARGIN)</f>
        <v>0.0</v>
      </c>
      <c r="HF284" s="13">
        <f>IF(HB284=1,$HB$31,$HB$32)</f>
        <v>152456.2970814058</v>
      </c>
      <c r="HG284" s="13">
        <f>HE284-HF284</f>
        <v>-152456.2970814058</v>
      </c>
      <c r="HH284" s="13">
        <f>HH283+HG284</f>
        <v>7585254.914909739</v>
      </c>
      <c r="HI284">
        <f>IF(HH284=MAX($HH$83:$HH$483),$A284,0)</f>
        <v>0</v>
      </c>
      <c r="HJ284">
        <f>IF(HE284&lt;HF284,$A284,B_MAX+1)</f>
        <v>201</v>
      </c>
      <c r="HK284" s="13">
        <f>IF(HB284=1,$HB$35,$HB$36)</f>
        <v>0</v>
      </c>
      <c r="HL284" s="13">
        <f>OCC_DAYS*$HB$41*R_NF_2023-HD284*MCD_SHARE_FREED*R_WAIT_2023</f>
        <v>151980.48282209205</v>
      </c>
      <c r="HM284">
        <f>IF($A284&lt;=$HB$45,1,0)</f>
        <v>0</v>
      </c>
      <c r="IB284">
        <f>IF($IB$31&lt;=$IB$32,IF($A284&lt;=$IB$7,1,2),IF($A284&lt;=RUNG_BEDS_2,2,1))</f>
        <v>1</v>
      </c>
      <c r="IC284" s="5">
        <f>MIN(1,MAX(0,$IB$26-($A284-1)))</f>
        <v>0</v>
      </c>
      <c r="ID284" s="5">
        <f>$IB$25*(IC284+(1-IC284)*$IB$16)</f>
        <v>0.0</v>
      </c>
      <c r="IE284" s="13">
        <f>ID284*($IB$6+ACUTE_MARGIN)</f>
        <v>0.0</v>
      </c>
      <c r="IF284" s="13">
        <f>IF(IB284=1,$IB$31,$IB$32)</f>
        <v>152734.9994534971</v>
      </c>
      <c r="IG284" s="13">
        <f>IE284-IF284</f>
        <v>-152734.9994534971</v>
      </c>
      <c r="IH284" s="13">
        <f>IH283+IG284</f>
        <v>7529235.7381193265</v>
      </c>
      <c r="II284">
        <f>IF(IH284=MAX($IH$83:$IH$483),$A284,0)</f>
        <v>0</v>
      </c>
      <c r="IJ284">
        <f>IF(IE284&lt;IF284,$A284,B_MAX+1)</f>
        <v>201</v>
      </c>
      <c r="IK284" s="13">
        <f>IF(IB284=1,$IB$35,$IB$36)</f>
        <v>0</v>
      </c>
      <c r="IL284" s="13">
        <f>OCC_DAYS*$IB$41*R_NF_2023-ID284*MCD_SHARE_FREED*R_WAIT_2023</f>
        <v>151980.48282209205</v>
      </c>
      <c r="IM284">
        <f>IF($A284&lt;=$IB$45,1,0)</f>
        <v>0</v>
      </c>
      <c r="JB284">
        <f>IF($JB$31&lt;=$JB$32,IF($A284&lt;=$JB$7,1,2),IF($A284&lt;=RUNG_BEDS_2,2,1))</f>
        <v>1</v>
      </c>
      <c r="JC284" s="5">
        <f>MIN(1,MAX(0,$JB$26-($A284-1)))</f>
        <v>0</v>
      </c>
      <c r="JD284" s="5">
        <f>$JB$25*(JC284+(1-JC284)*$JB$16)</f>
        <v>0.0</v>
      </c>
      <c r="JE284" s="13">
        <f>JD284*($JB$6+ACUTE_MARGIN)</f>
        <v>0.0</v>
      </c>
      <c r="JF284" s="13">
        <f>IF(JB284=1,$JB$31,$JB$32)</f>
        <v>152394.16214437486</v>
      </c>
      <c r="JG284" s="13">
        <f>JE284-JF284</f>
        <v>-152394.16214437486</v>
      </c>
      <c r="JH284" s="13">
        <f>JH283+JG284</f>
        <v>7597744.037252994</v>
      </c>
      <c r="JI284">
        <f>IF(JH284=MAX($JH$83:$JH$483),$A284,0)</f>
        <v>0</v>
      </c>
      <c r="JJ284">
        <f>IF(JE284&lt;JF284,$A284,B_MAX+1)</f>
        <v>201</v>
      </c>
      <c r="JK284" s="13">
        <f>IF(JB284=1,$JB$35,$JB$36)</f>
        <v>0</v>
      </c>
      <c r="JL284" s="13">
        <f>OCC_DAYS*$JB$41*R_NF_2023-JD284*MCD_SHARE_FREED*R_WAIT_2023</f>
        <v>151980.48282209205</v>
      </c>
      <c r="JM284">
        <f>IF($A284&lt;=$JB$45,1,0)</f>
        <v>0</v>
      </c>
      <c r="KB284">
        <f>IF($KB$31&lt;=$KB$32,IF($A284&lt;=$KB$7,1,2),IF($A284&lt;=RUNG_BEDS_2,2,1))</f>
        <v>1</v>
      </c>
      <c r="KC284" s="5">
        <f>MIN(1,MAX(0,$KB$26-($A284-1)))</f>
        <v>1</v>
      </c>
      <c r="KD284" s="5">
        <f>$KB$25*(KC284+(1-KC284)*$KB$16)</f>
        <v>126.02661357340719</v>
      </c>
      <c r="KE284" s="13">
        <f>KD284*($KB$6+ACUTE_MARGIN)</f>
        <v>127286.87970914126</v>
      </c>
      <c r="KF284" s="13">
        <f>IF(KB284=1,$KB$31,$KB$32)</f>
        <v>152394.16214437486</v>
      </c>
      <c r="KG284" s="13">
        <f>KE284-KF284</f>
        <v>-25107.282435233603</v>
      </c>
      <c r="KH284" s="13">
        <f>KH283+KG284</f>
        <v>-5046563.76948197</v>
      </c>
      <c r="KI284">
        <f>IF(KH284=MAX($KH$83:$KH$483),$A284,0)</f>
        <v>0</v>
      </c>
      <c r="KJ284">
        <f>IF(KE284&lt;KF284,$A284,B_MAX+1)</f>
        <v>201</v>
      </c>
      <c r="KK284" s="13">
        <f>IF(KB284=1,$KB$35,$KB$36)</f>
        <v>0</v>
      </c>
      <c r="KL284" s="13">
        <f>OCC_DAYS*$KB$41*R_NF_2023-KD284*MCD_SHARE_FREED*R_WAIT_2023</f>
        <v>94673.82103225985</v>
      </c>
      <c r="KM284">
        <f>IF($A284&lt;=$KB$45,1,0)</f>
        <v>0</v>
      </c>
      <c r="LB284">
        <f>IF($LB$31&lt;=$LB$32,IF($A284&lt;=$LB$7,1,2),IF($A284&lt;=RUNG_BEDS_2,2,1))</f>
        <v>1</v>
      </c>
      <c r="LC284" s="5">
        <f>MIN(1,MAX(0,$LB$26-($A284-1)))</f>
        <v>1</v>
      </c>
      <c r="LD284" s="5">
        <f>$LB$25*(LC284+(1-LC284)*$LB$16)</f>
        <v>84.01774238227146</v>
      </c>
      <c r="LE284" s="13">
        <f>LD284*($LB$6+ACUTE_MARGIN)</f>
        <v>84857.91980609419</v>
      </c>
      <c r="LF284" s="13">
        <f>IF(LB284=1,$LB$31,$LB$32)</f>
        <v>152394.16214437486</v>
      </c>
      <c r="LG284" s="13">
        <f>LE284-LF284</f>
        <v>-67536.24233828067</v>
      </c>
      <c r="LH284" s="13">
        <f>LH283+LG284</f>
        <v>-13574784.709994476</v>
      </c>
      <c r="LI284">
        <f>IF(LH284=MAX($LH$83:$LH$483),$A284,0)</f>
        <v>0</v>
      </c>
      <c r="LJ284">
        <f>IF(LE284&lt;LF284,$A284,B_MAX+1)</f>
        <v>201</v>
      </c>
      <c r="LK284" s="13">
        <f>IF(LB284=1,$LB$35,$LB$36)</f>
        <v>0</v>
      </c>
      <c r="LL284" s="13">
        <f>OCC_DAYS*$LB$41*R_NF_2023-LD284*MCD_SHARE_FREED*R_WAIT_2023</f>
        <v>113776.04162887059</v>
      </c>
      <c r="LM284">
        <f>IF($A284&lt;=$LB$45,1,0)</f>
        <v>0</v>
      </c>
      <c r="MB284">
        <f>IF($MB$31&lt;=$MB$32,IF($A284&lt;=$MB$7,1,2),IF($A284&lt;=RUNG_BEDS_2,2,1))</f>
        <v>1</v>
      </c>
      <c r="MC284" s="5">
        <f>MIN(1,MAX(0,$MB$26-($A284-1)))</f>
        <v>0</v>
      </c>
      <c r="MD284" s="5">
        <f>$MB$25*(MC284+(1-MC284)*$MB$16)</f>
        <v>0.0</v>
      </c>
      <c r="ME284" s="13">
        <f>MD284*($MB$6+ACUTE_MARGIN)</f>
        <v>0.0</v>
      </c>
      <c r="MF284" s="13">
        <f>IF(MB284=1,$MB$31,$MB$32)</f>
        <v>152394.16214437486</v>
      </c>
      <c r="MG284" s="13">
        <f>ME284-MF284</f>
        <v>-152394.16214437486</v>
      </c>
      <c r="MH284" s="13">
        <f>MH283+MG284</f>
        <v>1710467.975454659</v>
      </c>
      <c r="MI284">
        <f>IF(MH284=MAX($MH$83:$MH$483),$A284,0)</f>
        <v>0</v>
      </c>
      <c r="MJ284">
        <f>IF(ME284&lt;MF284,$A284,B_MAX+1)</f>
        <v>201</v>
      </c>
      <c r="MK284" s="13">
        <f>IF(MB284=1,$MB$35,$MB$36)</f>
        <v>0</v>
      </c>
      <c r="ML284" s="13">
        <f>OCC_DAYS*$MB$41*R_NF_2023-MD284*MCD_SHARE_FREED*R_WAIT_2023</f>
        <v>151980.48282209205</v>
      </c>
      <c r="MM284">
        <f>IF($A284&lt;=$MB$45,1,0)</f>
        <v>0</v>
      </c>
      <c r="NB284">
        <f>IF($NB$31&lt;=$NB$32,IF($A284&lt;=$NB$7,1,2),IF($A284&lt;=RUNG_BEDS_2,2,1))</f>
        <v>1</v>
      </c>
      <c r="NC284" s="5">
        <f>MIN(1,MAX(0,$NB$26-($A284-1)))</f>
        <v>0</v>
      </c>
      <c r="ND284" s="5">
        <f>$NB$25*(NC284+(1-NC284)*$NB$16)</f>
        <v>63.013306786703595</v>
      </c>
      <c r="NE284" s="13">
        <f>ND284*($NB$6+ACUTE_MARGIN)</f>
        <v>63643.43985457063</v>
      </c>
      <c r="NF284" s="13">
        <f>IF(NB284=1,$NB$31,$NB$32)</f>
        <v>152394.16214437486</v>
      </c>
      <c r="NG284" s="13">
        <f>NE284-NF284</f>
        <v>-88750.72228980422</v>
      </c>
      <c r="NH284" s="13">
        <f>NH283+NG284</f>
        <v>10832832.790953588</v>
      </c>
      <c r="NI284">
        <f>IF(NH284=MAX($NH$83:$NH$483),$A284,0)</f>
        <v>0</v>
      </c>
      <c r="NJ284">
        <f>IF(NE284&lt;NF284,$A284,B_MAX+1)</f>
        <v>201</v>
      </c>
      <c r="NK284" s="13">
        <f>IF(NB284=1,$NB$35,$NB$36)</f>
        <v>0</v>
      </c>
      <c r="NL284" s="13">
        <f>OCC_DAYS*$NB$41*R_NF_2023-ND284*MCD_SHARE_FREED*R_WAIT_2023</f>
        <v>123327.15192717595</v>
      </c>
      <c r="NM284">
        <f>IF($A284&lt;=$NB$45,1,0)</f>
        <v>0</v>
      </c>
      <c r="OB284">
        <f>IF($OB$31&lt;=$OB$32,IF($A284&lt;=$OB$7,1,2),IF($A284&lt;=RUNG_BEDS_2,2,1))</f>
        <v>1</v>
      </c>
      <c r="OC284" s="5">
        <f>MIN(1,MAX(0,$OB$26-($A284-1)))</f>
        <v>0</v>
      </c>
      <c r="OD284" s="5">
        <f>$OB$25*(OC284+(1-OC284)*$OB$16)</f>
        <v>126.02661357340719</v>
      </c>
      <c r="OE284" s="13">
        <f>OD284*($OB$6+ACUTE_MARGIN)</f>
        <v>127286.87970914126</v>
      </c>
      <c r="OF284" s="13">
        <f>IF(OB284=1,$OB$31,$OB$32)</f>
        <v>152394.16214437486</v>
      </c>
      <c r="OG284" s="13">
        <f>OE284-OF284</f>
        <v>-25107.282435233603</v>
      </c>
      <c r="OH284" s="13">
        <f>OH283+OG284</f>
        <v>14067921.54465427</v>
      </c>
      <c r="OI284">
        <f>IF(OH284=MAX($OH$83:$OH$483),$A284,0)</f>
        <v>0</v>
      </c>
      <c r="OJ284">
        <f>IF(OE284&lt;OF284,$A284,B_MAX+1)</f>
        <v>201</v>
      </c>
      <c r="OK284" s="13">
        <f>IF(OB284=1,$OB$35,$OB$36)</f>
        <v>0</v>
      </c>
      <c r="OL284" s="13">
        <f>OCC_DAYS*$OB$41*R_NF_2023-OD284*MCD_SHARE_FREED*R_WAIT_2023</f>
        <v>94673.82103225985</v>
      </c>
      <c r="OM284">
        <f>IF($A284&lt;=$OB$45,1,0)</f>
        <v>0</v>
      </c>
    </row>
    <row r="285">
      <c r="A285" t="n">
        <v>202</v>
      </c>
      <c r="B285">
        <f>IF($B$31&lt;=$B$32,IF($A285&lt;=$B$7,1,2),IF($A285&lt;=RUNG_BEDS_2,2,1))</f>
        <v>1</v>
      </c>
      <c r="C285" s="5">
        <f>MIN(1,MAX(0,$B$26-($A285-1)))</f>
        <v>0</v>
      </c>
      <c r="D285" s="5">
        <f>$B$25*(C285+(1-C285)*$B$16)</f>
        <v>0.0</v>
      </c>
      <c r="E285" s="13">
        <f>D285*($B$6+ACUTE_MARGIN)</f>
        <v>0.0</v>
      </c>
      <c r="F285" s="13">
        <f>IF(B285=1,$B$31,$B$32)</f>
        <v>152394.16214437486</v>
      </c>
      <c r="G285" s="13">
        <f>E285-F285</f>
        <v>-152394.16214437486</v>
      </c>
      <c r="H285" s="13">
        <f>H284+G285</f>
        <v>7445349.875108619</v>
      </c>
      <c r="I285">
        <f>IF(H285=MAX($H$83:$H$483),$A285,0)</f>
        <v>0</v>
      </c>
      <c r="J285">
        <f>IF(E285&lt;F285,$A285,B_MAX+1)</f>
        <v>202</v>
      </c>
      <c r="K285" s="13">
        <f>IF(B285=1,$B$35,$B$36)</f>
        <v>0</v>
      </c>
      <c r="L285" s="13">
        <f>OCC_DAYS*$B$41*R_NF_2023-D285*MCD_SHARE_FREED*R_WAIT_2023</f>
        <v>151980.48282209205</v>
      </c>
      <c r="M285">
        <f>IF($A285&lt;=$B$45,1,0)</f>
        <v>0</v>
      </c>
      <c r="AB285">
        <f>IF($AB$31&lt;=$AB$32,IF($A285&lt;=$AB$7,1,2),IF($A285&lt;=RUNG_BEDS_2,2,1))</f>
        <v>1</v>
      </c>
      <c r="AC285" s="5">
        <f>MIN(1,MAX(0,$AB$26-($A285-1)))</f>
        <v>0</v>
      </c>
      <c r="AD285" s="5">
        <f>$AB$25*(AC285+(1-AC285)*$AB$16)</f>
        <v>0.0</v>
      </c>
      <c r="AE285" s="13">
        <f>AD285*($AB$6+ACUTE_MARGIN)</f>
        <v>0.0</v>
      </c>
      <c r="AF285" s="13">
        <f>IF(AB285=1,$AB$31,$AB$32)</f>
        <v>152394.16214437486</v>
      </c>
      <c r="AG285" s="13">
        <f>AE285-AF285</f>
        <v>-152394.16214437486</v>
      </c>
      <c r="AH285" s="13">
        <f>AH284+AG285</f>
        <v>-9965864.470441205</v>
      </c>
      <c r="AI285">
        <f>IF(AH285=MAX($AH$83:$AH$483),$A285,0)</f>
        <v>0</v>
      </c>
      <c r="AJ285">
        <f>IF(AE285&lt;AF285,$A285,B_MAX+1)</f>
        <v>202</v>
      </c>
      <c r="AK285" s="13">
        <f>IF(AB285=1,$AB$35,$AB$36)</f>
        <v>0</v>
      </c>
      <c r="AL285" s="13">
        <f>OCC_DAYS*$AB$41*R_NF_2023-AD285*MCD_SHARE_FREED*R_WAIT_2023</f>
        <v>151980.48282209205</v>
      </c>
      <c r="AM285">
        <f>IF($A285&lt;=$AB$45,1,0)</f>
        <v>0</v>
      </c>
      <c r="BB285">
        <f>IF($BB$31&lt;=$BB$32,IF($A285&lt;=$BB$7,1,2),IF($A285&lt;=RUNG_BEDS_2,2,1))</f>
        <v>1</v>
      </c>
      <c r="BC285" s="5">
        <f>MIN(1,MAX(0,$BB$26-($A285-1)))</f>
        <v>0</v>
      </c>
      <c r="BD285" s="5">
        <f>$BB$25*(BC285+(1-BC285)*$BB$16)</f>
        <v>0.0</v>
      </c>
      <c r="BE285" s="13">
        <f>BD285*($BB$6+ACUTE_MARGIN)</f>
        <v>0.0</v>
      </c>
      <c r="BF285" s="13">
        <f>IF(BB285=1,$BB$31,$BB$32)</f>
        <v>152394.16214437486</v>
      </c>
      <c r="BG285" s="13">
        <f>BE285-BF285</f>
        <v>-152394.16214437486</v>
      </c>
      <c r="BH285" s="13">
        <f>BH284+BG285</f>
        <v>24856564.220658287</v>
      </c>
      <c r="BI285">
        <f>IF(BH285=MAX($BH$83:$BH$483),$A285,0)</f>
        <v>0</v>
      </c>
      <c r="BJ285">
        <f>IF(BE285&lt;BF285,$A285,B_MAX+1)</f>
        <v>202</v>
      </c>
      <c r="BK285" s="13">
        <f>IF(BB285=1,$BB$35,$BB$36)</f>
        <v>0</v>
      </c>
      <c r="BL285" s="13">
        <f>OCC_DAYS*$BB$41*R_NF_2023-BD285*MCD_SHARE_FREED*R_WAIT_2023</f>
        <v>151980.48282209205</v>
      </c>
      <c r="BM285">
        <f>IF($A285&lt;=$BB$45,1,0)</f>
        <v>0</v>
      </c>
      <c r="CB285">
        <f>IF($CB$31&lt;=$CB$32,IF($A285&lt;=$CB$7,1,2),IF($A285&lt;=RUNG_BEDS_2,2,1))</f>
        <v>2</v>
      </c>
      <c r="CC285" s="5">
        <f>MIN(1,MAX(0,$CB$26-($A285-1)))</f>
        <v>0</v>
      </c>
      <c r="CD285" s="5">
        <f>$CB$25*(CC285+(1-CC285)*$CB$16)</f>
        <v>0.0</v>
      </c>
      <c r="CE285" s="13">
        <f>CD285*($CB$6+ACUTE_MARGIN)</f>
        <v>0.0</v>
      </c>
      <c r="CF285" s="13">
        <f>IF(CB285=1,$CB$31,$CB$32)</f>
        <v>160718.36940738867</v>
      </c>
      <c r="CG285" s="13">
        <f>CE285-CF285</f>
        <v>-160718.36940738867</v>
      </c>
      <c r="CH285" s="13">
        <f>CH284+CG285</f>
        <v>5763860.007979709</v>
      </c>
      <c r="CI285">
        <f>IF(CH285=MAX($CH$83:$CH$483),$A285,0)</f>
        <v>0</v>
      </c>
      <c r="CJ285">
        <f>IF(CE285&lt;CF285,$A285,B_MAX+1)</f>
        <v>202</v>
      </c>
      <c r="CK285" s="13">
        <f>IF(CB285=1,$CB$35,$CB$36)</f>
        <v>1560.1194073886782</v>
      </c>
      <c r="CL285" s="13">
        <f>OCC_DAYS*$CB$41*R_NF_2023-CD285*MCD_SHARE_FREED*R_WAIT_2023</f>
        <v>151980.48282209205</v>
      </c>
      <c r="CM285">
        <f>IF($A285&lt;=$CB$45,1,0)</f>
        <v>0</v>
      </c>
      <c r="DB285">
        <f>IF($DB$31&lt;=$DB$32,IF($A285&lt;=$DB$7,1,2),IF($A285&lt;=RUNG_BEDS_2,2,1))</f>
        <v>1</v>
      </c>
      <c r="DC285" s="5">
        <f>MIN(1,MAX(0,$DB$26-($A285-1)))</f>
        <v>0</v>
      </c>
      <c r="DD285" s="5">
        <f>$DB$25*(DC285+(1-DC285)*$DB$16)</f>
        <v>0.0</v>
      </c>
      <c r="DE285" s="13">
        <f>DD285*($DB$6+ACUTE_MARGIN)</f>
        <v>0.0</v>
      </c>
      <c r="DF285" s="13">
        <f>IF(DB285=1,$DB$31,$DB$32)</f>
        <v>152394.16214437486</v>
      </c>
      <c r="DG285" s="13">
        <f>DE285-DF285</f>
        <v>-152394.16214437486</v>
      </c>
      <c r="DH285" s="13">
        <f>DH284+DG285</f>
        <v>7445349.875108619</v>
      </c>
      <c r="DI285">
        <f>IF(DH285=MAX($DH$83:$DH$483),$A285,0)</f>
        <v>0</v>
      </c>
      <c r="DJ285">
        <f>IF(DE285&lt;DF285,$A285,B_MAX+1)</f>
        <v>202</v>
      </c>
      <c r="DK285" s="13">
        <f>IF(DB285=1,$DB$35,$DB$36)</f>
        <v>0</v>
      </c>
      <c r="DL285" s="13">
        <f>OCC_DAYS*$DB$41*R_NF_2023-DD285*MCD_SHARE_FREED*R_WAIT_2023</f>
        <v>151980.48282209205</v>
      </c>
      <c r="DM285">
        <f>IF($A285&lt;=$DB$45,1,0)</f>
        <v>0</v>
      </c>
      <c r="EB285">
        <f>IF($EB$31&lt;=$EB$32,IF($A285&lt;=$EB$7,1,2),IF($A285&lt;=RUNG_BEDS_2,2,1))</f>
        <v>1</v>
      </c>
      <c r="EC285" s="5">
        <f>MIN(1,MAX(0,$EB$26-($A285-1)))</f>
        <v>0</v>
      </c>
      <c r="ED285" s="5">
        <f>$EB$25*(EC285+(1-EC285)*$EB$16)</f>
        <v>0.0</v>
      </c>
      <c r="EE285" s="13">
        <f>ED285*($EB$6+ACUTE_MARGIN)</f>
        <v>0.0</v>
      </c>
      <c r="EF285" s="13">
        <f>IF(EB285=1,$EB$31,$EB$32)</f>
        <v>152394.16214437486</v>
      </c>
      <c r="EG285" s="13">
        <f>EE285-EF285</f>
        <v>-152394.16214437486</v>
      </c>
      <c r="EH285" s="13">
        <f>EH284+EG285</f>
        <v>7445349.875108619</v>
      </c>
      <c r="EI285">
        <f>IF(EH285=MAX($EH$83:$EH$483),$A285,0)</f>
        <v>0</v>
      </c>
      <c r="EJ285">
        <f>IF(EE285&lt;EF285,$A285,B_MAX+1)</f>
        <v>202</v>
      </c>
      <c r="EK285" s="13">
        <f>IF(EB285=1,$EB$35,$EB$36)</f>
        <v>0</v>
      </c>
      <c r="EL285" s="13">
        <f>OCC_DAYS*$EB$41*R_NF_2023-ED285*MCD_SHARE_FREED*R_WAIT_2023</f>
        <v>50660.16094069735</v>
      </c>
      <c r="EM285">
        <f>IF($A285&lt;=$EB$45,1,0)</f>
        <v>0</v>
      </c>
      <c r="FB285">
        <f>IF($FB$31&lt;=$FB$32,IF($A285&lt;=$FB$7,1,2),IF($A285&lt;=RUNG_BEDS_2,2,1))</f>
        <v>1</v>
      </c>
      <c r="FC285" s="5">
        <f>MIN(1,MAX(0,$FB$26-($A285-1)))</f>
        <v>0</v>
      </c>
      <c r="FD285" s="5">
        <f>$FB$25*(FC285+(1-FC285)*$FB$16)</f>
        <v>0.0</v>
      </c>
      <c r="FE285" s="13">
        <f>FD285*($FB$6+ACUTE_MARGIN)</f>
        <v>0.0</v>
      </c>
      <c r="FF285" s="13">
        <f>IF(FB285=1,$FB$31,$FB$32)</f>
        <v>156636.04979437485</v>
      </c>
      <c r="FG285" s="13">
        <f>FE285-FF285</f>
        <v>-156636.04979437485</v>
      </c>
      <c r="FH285" s="13">
        <f>FH284+FG285</f>
        <v>6588488.569808504</v>
      </c>
      <c r="FI285">
        <f>IF(FH285=MAX($FH$83:$FH$483),$A285,0)</f>
        <v>0</v>
      </c>
      <c r="FJ285">
        <f>IF(FE285&lt;FF285,$A285,B_MAX+1)</f>
        <v>202</v>
      </c>
      <c r="FK285" s="13">
        <f>IF(FB285=1,$FB$35,$FB$36)</f>
        <v>0</v>
      </c>
      <c r="FL285" s="13">
        <f>OCC_DAYS*$FB$41*R_NF_2023-FD285*MCD_SHARE_FREED*R_WAIT_2023</f>
        <v>151980.48282209205</v>
      </c>
      <c r="FM285">
        <f>IF($A285&lt;=$FB$45,1,0)</f>
        <v>0</v>
      </c>
      <c r="GB285">
        <f>IF($GB$31&lt;=$GB$32,IF($A285&lt;=$GB$7,1,2),IF($A285&lt;=RUNG_BEDS_2,2,1))</f>
        <v>1</v>
      </c>
      <c r="GC285" s="5">
        <f>MIN(1,MAX(0,$GB$26-($A285-1)))</f>
        <v>0</v>
      </c>
      <c r="GD285" s="5">
        <f>$GB$25*(GC285+(1-GC285)*$GB$16)</f>
        <v>0.0</v>
      </c>
      <c r="GE285" s="13">
        <f>GD285*($GB$6+ACUTE_MARGIN)</f>
        <v>0.0</v>
      </c>
      <c r="GF285" s="13">
        <f>IF(GB285=1,$GB$31,$GB$32)</f>
        <v>152394.16214437486</v>
      </c>
      <c r="GG285" s="13">
        <f>GE285-GF285</f>
        <v>-152394.16214437486</v>
      </c>
      <c r="GH285" s="13">
        <f>GH284+GG285</f>
        <v>7445349.875108619</v>
      </c>
      <c r="GI285">
        <f>IF(GH285=MAX($GH$83:$GH$483),$A285,0)</f>
        <v>0</v>
      </c>
      <c r="GJ285">
        <f>IF(GE285&lt;GF285,$A285,B_MAX+1)</f>
        <v>202</v>
      </c>
      <c r="GK285" s="13">
        <f>IF(GB285=1,$GB$35,$GB$36)</f>
        <v>0</v>
      </c>
      <c r="GL285" s="13">
        <f>OCC_DAYS*$GB$41*R_NF_2023-GD285*MCD_SHARE_FREED*R_WAIT_2023</f>
        <v>151980.48282209205</v>
      </c>
      <c r="GM285">
        <f>IF($A285&lt;=$GB$45,1,0)</f>
        <v>0</v>
      </c>
      <c r="HB285">
        <f>IF($HB$31&lt;=$HB$32,IF($A285&lt;=$HB$7,1,2),IF($A285&lt;=RUNG_BEDS_2,2,1))</f>
        <v>1</v>
      </c>
      <c r="HC285" s="5">
        <f>MIN(1,MAX(0,$HB$26-($A285-1)))</f>
        <v>0</v>
      </c>
      <c r="HD285" s="5">
        <f>$HB$25*(HC285+(1-HC285)*$HB$16)</f>
        <v>0.0</v>
      </c>
      <c r="HE285" s="13">
        <f>HD285*($HB$6+ACUTE_MARGIN)</f>
        <v>0.0</v>
      </c>
      <c r="HF285" s="13">
        <f>IF(HB285=1,$HB$31,$HB$32)</f>
        <v>152456.2970814058</v>
      </c>
      <c r="HG285" s="13">
        <f>HE285-HF285</f>
        <v>-152456.2970814058</v>
      </c>
      <c r="HH285" s="13">
        <f>HH284+HG285</f>
        <v>7432798.617828333</v>
      </c>
      <c r="HI285">
        <f>IF(HH285=MAX($HH$83:$HH$483),$A285,0)</f>
        <v>0</v>
      </c>
      <c r="HJ285">
        <f>IF(HE285&lt;HF285,$A285,B_MAX+1)</f>
        <v>202</v>
      </c>
      <c r="HK285" s="13">
        <f>IF(HB285=1,$HB$35,$HB$36)</f>
        <v>0</v>
      </c>
      <c r="HL285" s="13">
        <f>OCC_DAYS*$HB$41*R_NF_2023-HD285*MCD_SHARE_FREED*R_WAIT_2023</f>
        <v>151980.48282209205</v>
      </c>
      <c r="HM285">
        <f>IF($A285&lt;=$HB$45,1,0)</f>
        <v>0</v>
      </c>
      <c r="IB285">
        <f>IF($IB$31&lt;=$IB$32,IF($A285&lt;=$IB$7,1,2),IF($A285&lt;=RUNG_BEDS_2,2,1))</f>
        <v>1</v>
      </c>
      <c r="IC285" s="5">
        <f>MIN(1,MAX(0,$IB$26-($A285-1)))</f>
        <v>0</v>
      </c>
      <c r="ID285" s="5">
        <f>$IB$25*(IC285+(1-IC285)*$IB$16)</f>
        <v>0.0</v>
      </c>
      <c r="IE285" s="13">
        <f>ID285*($IB$6+ACUTE_MARGIN)</f>
        <v>0.0</v>
      </c>
      <c r="IF285" s="13">
        <f>IF(IB285=1,$IB$31,$IB$32)</f>
        <v>152734.9994534971</v>
      </c>
      <c r="IG285" s="13">
        <f>IE285-IF285</f>
        <v>-152734.9994534971</v>
      </c>
      <c r="IH285" s="13">
        <f>IH284+IG285</f>
        <v>7376500.738665829</v>
      </c>
      <c r="II285">
        <f>IF(IH285=MAX($IH$83:$IH$483),$A285,0)</f>
        <v>0</v>
      </c>
      <c r="IJ285">
        <f>IF(IE285&lt;IF285,$A285,B_MAX+1)</f>
        <v>202</v>
      </c>
      <c r="IK285" s="13">
        <f>IF(IB285=1,$IB$35,$IB$36)</f>
        <v>0</v>
      </c>
      <c r="IL285" s="13">
        <f>OCC_DAYS*$IB$41*R_NF_2023-ID285*MCD_SHARE_FREED*R_WAIT_2023</f>
        <v>151980.48282209205</v>
      </c>
      <c r="IM285">
        <f>IF($A285&lt;=$IB$45,1,0)</f>
        <v>0</v>
      </c>
      <c r="JB285">
        <f>IF($JB$31&lt;=$JB$32,IF($A285&lt;=$JB$7,1,2),IF($A285&lt;=RUNG_BEDS_2,2,1))</f>
        <v>1</v>
      </c>
      <c r="JC285" s="5">
        <f>MIN(1,MAX(0,$JB$26-($A285-1)))</f>
        <v>0</v>
      </c>
      <c r="JD285" s="5">
        <f>$JB$25*(JC285+(1-JC285)*$JB$16)</f>
        <v>0.0</v>
      </c>
      <c r="JE285" s="13">
        <f>JD285*($JB$6+ACUTE_MARGIN)</f>
        <v>0.0</v>
      </c>
      <c r="JF285" s="13">
        <f>IF(JB285=1,$JB$31,$JB$32)</f>
        <v>152394.16214437486</v>
      </c>
      <c r="JG285" s="13">
        <f>JE285-JF285</f>
        <v>-152394.16214437486</v>
      </c>
      <c r="JH285" s="13">
        <f>JH284+JG285</f>
        <v>7445349.875108619</v>
      </c>
      <c r="JI285">
        <f>IF(JH285=MAX($JH$83:$JH$483),$A285,0)</f>
        <v>0</v>
      </c>
      <c r="JJ285">
        <f>IF(JE285&lt;JF285,$A285,B_MAX+1)</f>
        <v>202</v>
      </c>
      <c r="JK285" s="13">
        <f>IF(JB285=1,$JB$35,$JB$36)</f>
        <v>0</v>
      </c>
      <c r="JL285" s="13">
        <f>OCC_DAYS*$JB$41*R_NF_2023-JD285*MCD_SHARE_FREED*R_WAIT_2023</f>
        <v>151980.48282209205</v>
      </c>
      <c r="JM285">
        <f>IF($A285&lt;=$JB$45,1,0)</f>
        <v>0</v>
      </c>
      <c r="KB285">
        <f>IF($KB$31&lt;=$KB$32,IF($A285&lt;=$KB$7,1,2),IF($A285&lt;=RUNG_BEDS_2,2,1))</f>
        <v>1</v>
      </c>
      <c r="KC285" s="5">
        <f>MIN(1,MAX(0,$KB$26-($A285-1)))</f>
        <v>1</v>
      </c>
      <c r="KD285" s="5">
        <f>$KB$25*(KC285+(1-KC285)*$KB$16)</f>
        <v>126.02661357340719</v>
      </c>
      <c r="KE285" s="13">
        <f>KD285*($KB$6+ACUTE_MARGIN)</f>
        <v>127286.87970914126</v>
      </c>
      <c r="KF285" s="13">
        <f>IF(KB285=1,$KB$31,$KB$32)</f>
        <v>152394.16214437486</v>
      </c>
      <c r="KG285" s="13">
        <f>KE285-KF285</f>
        <v>-25107.282435233603</v>
      </c>
      <c r="KH285" s="13">
        <f>KH284+KG285</f>
        <v>-5071671.051917204</v>
      </c>
      <c r="KI285">
        <f>IF(KH285=MAX($KH$83:$KH$483),$A285,0)</f>
        <v>0</v>
      </c>
      <c r="KJ285">
        <f>IF(KE285&lt;KF285,$A285,B_MAX+1)</f>
        <v>202</v>
      </c>
      <c r="KK285" s="13">
        <f>IF(KB285=1,$KB$35,$KB$36)</f>
        <v>0</v>
      </c>
      <c r="KL285" s="13">
        <f>OCC_DAYS*$KB$41*R_NF_2023-KD285*MCD_SHARE_FREED*R_WAIT_2023</f>
        <v>94673.82103225985</v>
      </c>
      <c r="KM285">
        <f>IF($A285&lt;=$KB$45,1,0)</f>
        <v>0</v>
      </c>
      <c r="LB285">
        <f>IF($LB$31&lt;=$LB$32,IF($A285&lt;=$LB$7,1,2),IF($A285&lt;=RUNG_BEDS_2,2,1))</f>
        <v>1</v>
      </c>
      <c r="LC285" s="5">
        <f>MIN(1,MAX(0,$LB$26-($A285-1)))</f>
        <v>1</v>
      </c>
      <c r="LD285" s="5">
        <f>$LB$25*(LC285+(1-LC285)*$LB$16)</f>
        <v>84.01774238227146</v>
      </c>
      <c r="LE285" s="13">
        <f>LD285*($LB$6+ACUTE_MARGIN)</f>
        <v>84857.91980609419</v>
      </c>
      <c r="LF285" s="13">
        <f>IF(LB285=1,$LB$31,$LB$32)</f>
        <v>152394.16214437486</v>
      </c>
      <c r="LG285" s="13">
        <f>LE285-LF285</f>
        <v>-67536.24233828067</v>
      </c>
      <c r="LH285" s="13">
        <f>LH284+LG285</f>
        <v>-13642320.952332757</v>
      </c>
      <c r="LI285">
        <f>IF(LH285=MAX($LH$83:$LH$483),$A285,0)</f>
        <v>0</v>
      </c>
      <c r="LJ285">
        <f>IF(LE285&lt;LF285,$A285,B_MAX+1)</f>
        <v>202</v>
      </c>
      <c r="LK285" s="13">
        <f>IF(LB285=1,$LB$35,$LB$36)</f>
        <v>0</v>
      </c>
      <c r="LL285" s="13">
        <f>OCC_DAYS*$LB$41*R_NF_2023-LD285*MCD_SHARE_FREED*R_WAIT_2023</f>
        <v>113776.04162887059</v>
      </c>
      <c r="LM285">
        <f>IF($A285&lt;=$LB$45,1,0)</f>
        <v>0</v>
      </c>
      <c r="MB285">
        <f>IF($MB$31&lt;=$MB$32,IF($A285&lt;=$MB$7,1,2),IF($A285&lt;=RUNG_BEDS_2,2,1))</f>
        <v>1</v>
      </c>
      <c r="MC285" s="5">
        <f>MIN(1,MAX(0,$MB$26-($A285-1)))</f>
        <v>0</v>
      </c>
      <c r="MD285" s="5">
        <f>$MB$25*(MC285+(1-MC285)*$MB$16)</f>
        <v>0.0</v>
      </c>
      <c r="ME285" s="13">
        <f>MD285*($MB$6+ACUTE_MARGIN)</f>
        <v>0.0</v>
      </c>
      <c r="MF285" s="13">
        <f>IF(MB285=1,$MB$31,$MB$32)</f>
        <v>152394.16214437486</v>
      </c>
      <c r="MG285" s="13">
        <f>ME285-MF285</f>
        <v>-152394.16214437486</v>
      </c>
      <c r="MH285" s="13">
        <f>MH284+MG285</f>
        <v>1558073.8133102842</v>
      </c>
      <c r="MI285">
        <f>IF(MH285=MAX($MH$83:$MH$483),$A285,0)</f>
        <v>0</v>
      </c>
      <c r="MJ285">
        <f>IF(ME285&lt;MF285,$A285,B_MAX+1)</f>
        <v>202</v>
      </c>
      <c r="MK285" s="13">
        <f>IF(MB285=1,$MB$35,$MB$36)</f>
        <v>0</v>
      </c>
      <c r="ML285" s="13">
        <f>OCC_DAYS*$MB$41*R_NF_2023-MD285*MCD_SHARE_FREED*R_WAIT_2023</f>
        <v>151980.48282209205</v>
      </c>
      <c r="MM285">
        <f>IF($A285&lt;=$MB$45,1,0)</f>
        <v>0</v>
      </c>
      <c r="NB285">
        <f>IF($NB$31&lt;=$NB$32,IF($A285&lt;=$NB$7,1,2),IF($A285&lt;=RUNG_BEDS_2,2,1))</f>
        <v>1</v>
      </c>
      <c r="NC285" s="5">
        <f>MIN(1,MAX(0,$NB$26-($A285-1)))</f>
        <v>0</v>
      </c>
      <c r="ND285" s="5">
        <f>$NB$25*(NC285+(1-NC285)*$NB$16)</f>
        <v>63.013306786703595</v>
      </c>
      <c r="NE285" s="13">
        <f>ND285*($NB$6+ACUTE_MARGIN)</f>
        <v>63643.43985457063</v>
      </c>
      <c r="NF285" s="13">
        <f>IF(NB285=1,$NB$31,$NB$32)</f>
        <v>152394.16214437486</v>
      </c>
      <c r="NG285" s="13">
        <f>NE285-NF285</f>
        <v>-88750.72228980422</v>
      </c>
      <c r="NH285" s="13">
        <f>NH284+NG285</f>
        <v>10744082.068663783</v>
      </c>
      <c r="NI285">
        <f>IF(NH285=MAX($NH$83:$NH$483),$A285,0)</f>
        <v>0</v>
      </c>
      <c r="NJ285">
        <f>IF(NE285&lt;NF285,$A285,B_MAX+1)</f>
        <v>202</v>
      </c>
      <c r="NK285" s="13">
        <f>IF(NB285=1,$NB$35,$NB$36)</f>
        <v>0</v>
      </c>
      <c r="NL285" s="13">
        <f>OCC_DAYS*$NB$41*R_NF_2023-ND285*MCD_SHARE_FREED*R_WAIT_2023</f>
        <v>123327.15192717595</v>
      </c>
      <c r="NM285">
        <f>IF($A285&lt;=$NB$45,1,0)</f>
        <v>0</v>
      </c>
      <c r="OB285">
        <f>IF($OB$31&lt;=$OB$32,IF($A285&lt;=$OB$7,1,2),IF($A285&lt;=RUNG_BEDS_2,2,1))</f>
        <v>1</v>
      </c>
      <c r="OC285" s="5">
        <f>MIN(1,MAX(0,$OB$26-($A285-1)))</f>
        <v>0</v>
      </c>
      <c r="OD285" s="5">
        <f>$OB$25*(OC285+(1-OC285)*$OB$16)</f>
        <v>126.02661357340719</v>
      </c>
      <c r="OE285" s="13">
        <f>OD285*($OB$6+ACUTE_MARGIN)</f>
        <v>127286.87970914126</v>
      </c>
      <c r="OF285" s="13">
        <f>IF(OB285=1,$OB$31,$OB$32)</f>
        <v>152394.16214437486</v>
      </c>
      <c r="OG285" s="13">
        <f>OE285-OF285</f>
        <v>-25107.282435233603</v>
      </c>
      <c r="OH285" s="13">
        <f>OH284+OG285</f>
        <v>14042814.262219038</v>
      </c>
      <c r="OI285">
        <f>IF(OH285=MAX($OH$83:$OH$483),$A285,0)</f>
        <v>0</v>
      </c>
      <c r="OJ285">
        <f>IF(OE285&lt;OF285,$A285,B_MAX+1)</f>
        <v>202</v>
      </c>
      <c r="OK285" s="13">
        <f>IF(OB285=1,$OB$35,$OB$36)</f>
        <v>0</v>
      </c>
      <c r="OL285" s="13">
        <f>OCC_DAYS*$OB$41*R_NF_2023-OD285*MCD_SHARE_FREED*R_WAIT_2023</f>
        <v>94673.82103225985</v>
      </c>
      <c r="OM285">
        <f>IF($A285&lt;=$OB$45,1,0)</f>
        <v>0</v>
      </c>
    </row>
    <row r="286">
      <c r="A286" t="n">
        <v>203</v>
      </c>
      <c r="B286">
        <f>IF($B$31&lt;=$B$32,IF($A286&lt;=$B$7,1,2),IF($A286&lt;=RUNG_BEDS_2,2,1))</f>
        <v>1</v>
      </c>
      <c r="C286" s="5">
        <f>MIN(1,MAX(0,$B$26-($A286-1)))</f>
        <v>0</v>
      </c>
      <c r="D286" s="5">
        <f>$B$25*(C286+(1-C286)*$B$16)</f>
        <v>0.0</v>
      </c>
      <c r="E286" s="13">
        <f>D286*($B$6+ACUTE_MARGIN)</f>
        <v>0.0</v>
      </c>
      <c r="F286" s="13">
        <f>IF(B286=1,$B$31,$B$32)</f>
        <v>152394.16214437486</v>
      </c>
      <c r="G286" s="13">
        <f>E286-F286</f>
        <v>-152394.16214437486</v>
      </c>
      <c r="H286" s="13">
        <f>H285+G286</f>
        <v>7292955.712964244</v>
      </c>
      <c r="I286">
        <f>IF(H286=MAX($H$83:$H$483),$A286,0)</f>
        <v>0</v>
      </c>
      <c r="J286">
        <f>IF(E286&lt;F286,$A286,B_MAX+1)</f>
        <v>203</v>
      </c>
      <c r="K286" s="13">
        <f>IF(B286=1,$B$35,$B$36)</f>
        <v>0</v>
      </c>
      <c r="L286" s="13">
        <f>OCC_DAYS*$B$41*R_NF_2023-D286*MCD_SHARE_FREED*R_WAIT_2023</f>
        <v>151980.48282209205</v>
      </c>
      <c r="M286">
        <f>IF($A286&lt;=$B$45,1,0)</f>
        <v>0</v>
      </c>
      <c r="AB286">
        <f>IF($AB$31&lt;=$AB$32,IF($A286&lt;=$AB$7,1,2),IF($A286&lt;=RUNG_BEDS_2,2,1))</f>
        <v>1</v>
      </c>
      <c r="AC286" s="5">
        <f>MIN(1,MAX(0,$AB$26-($A286-1)))</f>
        <v>0</v>
      </c>
      <c r="AD286" s="5">
        <f>$AB$25*(AC286+(1-AC286)*$AB$16)</f>
        <v>0.0</v>
      </c>
      <c r="AE286" s="13">
        <f>AD286*($AB$6+ACUTE_MARGIN)</f>
        <v>0.0</v>
      </c>
      <c r="AF286" s="13">
        <f>IF(AB286=1,$AB$31,$AB$32)</f>
        <v>152394.16214437486</v>
      </c>
      <c r="AG286" s="13">
        <f>AE286-AF286</f>
        <v>-152394.16214437486</v>
      </c>
      <c r="AH286" s="13">
        <f>AH285+AG286</f>
        <v>-10118258.63258558</v>
      </c>
      <c r="AI286">
        <f>IF(AH286=MAX($AH$83:$AH$483),$A286,0)</f>
        <v>0</v>
      </c>
      <c r="AJ286">
        <f>IF(AE286&lt;AF286,$A286,B_MAX+1)</f>
        <v>203</v>
      </c>
      <c r="AK286" s="13">
        <f>IF(AB286=1,$AB$35,$AB$36)</f>
        <v>0</v>
      </c>
      <c r="AL286" s="13">
        <f>OCC_DAYS*$AB$41*R_NF_2023-AD286*MCD_SHARE_FREED*R_WAIT_2023</f>
        <v>151980.48282209205</v>
      </c>
      <c r="AM286">
        <f>IF($A286&lt;=$AB$45,1,0)</f>
        <v>0</v>
      </c>
      <c r="BB286">
        <f>IF($BB$31&lt;=$BB$32,IF($A286&lt;=$BB$7,1,2),IF($A286&lt;=RUNG_BEDS_2,2,1))</f>
        <v>1</v>
      </c>
      <c r="BC286" s="5">
        <f>MIN(1,MAX(0,$BB$26-($A286-1)))</f>
        <v>0</v>
      </c>
      <c r="BD286" s="5">
        <f>$BB$25*(BC286+(1-BC286)*$BB$16)</f>
        <v>0.0</v>
      </c>
      <c r="BE286" s="13">
        <f>BD286*($BB$6+ACUTE_MARGIN)</f>
        <v>0.0</v>
      </c>
      <c r="BF286" s="13">
        <f>IF(BB286=1,$BB$31,$BB$32)</f>
        <v>152394.16214437486</v>
      </c>
      <c r="BG286" s="13">
        <f>BE286-BF286</f>
        <v>-152394.16214437486</v>
      </c>
      <c r="BH286" s="13">
        <f>BH285+BG286</f>
        <v>24704170.058513913</v>
      </c>
      <c r="BI286">
        <f>IF(BH286=MAX($BH$83:$BH$483),$A286,0)</f>
        <v>0</v>
      </c>
      <c r="BJ286">
        <f>IF(BE286&lt;BF286,$A286,B_MAX+1)</f>
        <v>203</v>
      </c>
      <c r="BK286" s="13">
        <f>IF(BB286=1,$BB$35,$BB$36)</f>
        <v>0</v>
      </c>
      <c r="BL286" s="13">
        <f>OCC_DAYS*$BB$41*R_NF_2023-BD286*MCD_SHARE_FREED*R_WAIT_2023</f>
        <v>151980.48282209205</v>
      </c>
      <c r="BM286">
        <f>IF($A286&lt;=$BB$45,1,0)</f>
        <v>0</v>
      </c>
      <c r="CB286">
        <f>IF($CB$31&lt;=$CB$32,IF($A286&lt;=$CB$7,1,2),IF($A286&lt;=RUNG_BEDS_2,2,1))</f>
        <v>2</v>
      </c>
      <c r="CC286" s="5">
        <f>MIN(1,MAX(0,$CB$26-($A286-1)))</f>
        <v>0</v>
      </c>
      <c r="CD286" s="5">
        <f>$CB$25*(CC286+(1-CC286)*$CB$16)</f>
        <v>0.0</v>
      </c>
      <c r="CE286" s="13">
        <f>CD286*($CB$6+ACUTE_MARGIN)</f>
        <v>0.0</v>
      </c>
      <c r="CF286" s="13">
        <f>IF(CB286=1,$CB$31,$CB$32)</f>
        <v>160718.36940738867</v>
      </c>
      <c r="CG286" s="13">
        <f>CE286-CF286</f>
        <v>-160718.36940738867</v>
      </c>
      <c r="CH286" s="13">
        <f>CH285+CG286</f>
        <v>5603141.63857232</v>
      </c>
      <c r="CI286">
        <f>IF(CH286=MAX($CH$83:$CH$483),$A286,0)</f>
        <v>0</v>
      </c>
      <c r="CJ286">
        <f>IF(CE286&lt;CF286,$A286,B_MAX+1)</f>
        <v>203</v>
      </c>
      <c r="CK286" s="13">
        <f>IF(CB286=1,$CB$35,$CB$36)</f>
        <v>1560.1194073886782</v>
      </c>
      <c r="CL286" s="13">
        <f>OCC_DAYS*$CB$41*R_NF_2023-CD286*MCD_SHARE_FREED*R_WAIT_2023</f>
        <v>151980.48282209205</v>
      </c>
      <c r="CM286">
        <f>IF($A286&lt;=$CB$45,1,0)</f>
        <v>0</v>
      </c>
      <c r="DB286">
        <f>IF($DB$31&lt;=$DB$32,IF($A286&lt;=$DB$7,1,2),IF($A286&lt;=RUNG_BEDS_2,2,1))</f>
        <v>1</v>
      </c>
      <c r="DC286" s="5">
        <f>MIN(1,MAX(0,$DB$26-($A286-1)))</f>
        <v>0</v>
      </c>
      <c r="DD286" s="5">
        <f>$DB$25*(DC286+(1-DC286)*$DB$16)</f>
        <v>0.0</v>
      </c>
      <c r="DE286" s="13">
        <f>DD286*($DB$6+ACUTE_MARGIN)</f>
        <v>0.0</v>
      </c>
      <c r="DF286" s="13">
        <f>IF(DB286=1,$DB$31,$DB$32)</f>
        <v>152394.16214437486</v>
      </c>
      <c r="DG286" s="13">
        <f>DE286-DF286</f>
        <v>-152394.16214437486</v>
      </c>
      <c r="DH286" s="13">
        <f>DH285+DG286</f>
        <v>7292955.712964244</v>
      </c>
      <c r="DI286">
        <f>IF(DH286=MAX($DH$83:$DH$483),$A286,0)</f>
        <v>0</v>
      </c>
      <c r="DJ286">
        <f>IF(DE286&lt;DF286,$A286,B_MAX+1)</f>
        <v>203</v>
      </c>
      <c r="DK286" s="13">
        <f>IF(DB286=1,$DB$35,$DB$36)</f>
        <v>0</v>
      </c>
      <c r="DL286" s="13">
        <f>OCC_DAYS*$DB$41*R_NF_2023-DD286*MCD_SHARE_FREED*R_WAIT_2023</f>
        <v>151980.48282209205</v>
      </c>
      <c r="DM286">
        <f>IF($A286&lt;=$DB$45,1,0)</f>
        <v>0</v>
      </c>
      <c r="EB286">
        <f>IF($EB$31&lt;=$EB$32,IF($A286&lt;=$EB$7,1,2),IF($A286&lt;=RUNG_BEDS_2,2,1))</f>
        <v>1</v>
      </c>
      <c r="EC286" s="5">
        <f>MIN(1,MAX(0,$EB$26-($A286-1)))</f>
        <v>0</v>
      </c>
      <c r="ED286" s="5">
        <f>$EB$25*(EC286+(1-EC286)*$EB$16)</f>
        <v>0.0</v>
      </c>
      <c r="EE286" s="13">
        <f>ED286*($EB$6+ACUTE_MARGIN)</f>
        <v>0.0</v>
      </c>
      <c r="EF286" s="13">
        <f>IF(EB286=1,$EB$31,$EB$32)</f>
        <v>152394.16214437486</v>
      </c>
      <c r="EG286" s="13">
        <f>EE286-EF286</f>
        <v>-152394.16214437486</v>
      </c>
      <c r="EH286" s="13">
        <f>EH285+EG286</f>
        <v>7292955.712964244</v>
      </c>
      <c r="EI286">
        <f>IF(EH286=MAX($EH$83:$EH$483),$A286,0)</f>
        <v>0</v>
      </c>
      <c r="EJ286">
        <f>IF(EE286&lt;EF286,$A286,B_MAX+1)</f>
        <v>203</v>
      </c>
      <c r="EK286" s="13">
        <f>IF(EB286=1,$EB$35,$EB$36)</f>
        <v>0</v>
      </c>
      <c r="EL286" s="13">
        <f>OCC_DAYS*$EB$41*R_NF_2023-ED286*MCD_SHARE_FREED*R_WAIT_2023</f>
        <v>50660.16094069735</v>
      </c>
      <c r="EM286">
        <f>IF($A286&lt;=$EB$45,1,0)</f>
        <v>0</v>
      </c>
      <c r="FB286">
        <f>IF($FB$31&lt;=$FB$32,IF($A286&lt;=$FB$7,1,2),IF($A286&lt;=RUNG_BEDS_2,2,1))</f>
        <v>1</v>
      </c>
      <c r="FC286" s="5">
        <f>MIN(1,MAX(0,$FB$26-($A286-1)))</f>
        <v>0</v>
      </c>
      <c r="FD286" s="5">
        <f>$FB$25*(FC286+(1-FC286)*$FB$16)</f>
        <v>0.0</v>
      </c>
      <c r="FE286" s="13">
        <f>FD286*($FB$6+ACUTE_MARGIN)</f>
        <v>0.0</v>
      </c>
      <c r="FF286" s="13">
        <f>IF(FB286=1,$FB$31,$FB$32)</f>
        <v>156636.04979437485</v>
      </c>
      <c r="FG286" s="13">
        <f>FE286-FF286</f>
        <v>-156636.04979437485</v>
      </c>
      <c r="FH286" s="13">
        <f>FH285+FG286</f>
        <v>6431852.520014129</v>
      </c>
      <c r="FI286">
        <f>IF(FH286=MAX($FH$83:$FH$483),$A286,0)</f>
        <v>0</v>
      </c>
      <c r="FJ286">
        <f>IF(FE286&lt;FF286,$A286,B_MAX+1)</f>
        <v>203</v>
      </c>
      <c r="FK286" s="13">
        <f>IF(FB286=1,$FB$35,$FB$36)</f>
        <v>0</v>
      </c>
      <c r="FL286" s="13">
        <f>OCC_DAYS*$FB$41*R_NF_2023-FD286*MCD_SHARE_FREED*R_WAIT_2023</f>
        <v>151980.48282209205</v>
      </c>
      <c r="FM286">
        <f>IF($A286&lt;=$FB$45,1,0)</f>
        <v>0</v>
      </c>
      <c r="GB286">
        <f>IF($GB$31&lt;=$GB$32,IF($A286&lt;=$GB$7,1,2),IF($A286&lt;=RUNG_BEDS_2,2,1))</f>
        <v>1</v>
      </c>
      <c r="GC286" s="5">
        <f>MIN(1,MAX(0,$GB$26-($A286-1)))</f>
        <v>0</v>
      </c>
      <c r="GD286" s="5">
        <f>$GB$25*(GC286+(1-GC286)*$GB$16)</f>
        <v>0.0</v>
      </c>
      <c r="GE286" s="13">
        <f>GD286*($GB$6+ACUTE_MARGIN)</f>
        <v>0.0</v>
      </c>
      <c r="GF286" s="13">
        <f>IF(GB286=1,$GB$31,$GB$32)</f>
        <v>152394.16214437486</v>
      </c>
      <c r="GG286" s="13">
        <f>GE286-GF286</f>
        <v>-152394.16214437486</v>
      </c>
      <c r="GH286" s="13">
        <f>GH285+GG286</f>
        <v>7292955.712964244</v>
      </c>
      <c r="GI286">
        <f>IF(GH286=MAX($GH$83:$GH$483),$A286,0)</f>
        <v>0</v>
      </c>
      <c r="GJ286">
        <f>IF(GE286&lt;GF286,$A286,B_MAX+1)</f>
        <v>203</v>
      </c>
      <c r="GK286" s="13">
        <f>IF(GB286=1,$GB$35,$GB$36)</f>
        <v>0</v>
      </c>
      <c r="GL286" s="13">
        <f>OCC_DAYS*$GB$41*R_NF_2023-GD286*MCD_SHARE_FREED*R_WAIT_2023</f>
        <v>151980.48282209205</v>
      </c>
      <c r="GM286">
        <f>IF($A286&lt;=$GB$45,1,0)</f>
        <v>0</v>
      </c>
      <c r="HB286">
        <f>IF($HB$31&lt;=$HB$32,IF($A286&lt;=$HB$7,1,2),IF($A286&lt;=RUNG_BEDS_2,2,1))</f>
        <v>1</v>
      </c>
      <c r="HC286" s="5">
        <f>MIN(1,MAX(0,$HB$26-($A286-1)))</f>
        <v>0</v>
      </c>
      <c r="HD286" s="5">
        <f>$HB$25*(HC286+(1-HC286)*$HB$16)</f>
        <v>0.0</v>
      </c>
      <c r="HE286" s="13">
        <f>HD286*($HB$6+ACUTE_MARGIN)</f>
        <v>0.0</v>
      </c>
      <c r="HF286" s="13">
        <f>IF(HB286=1,$HB$31,$HB$32)</f>
        <v>152456.2970814058</v>
      </c>
      <c r="HG286" s="13">
        <f>HE286-HF286</f>
        <v>-152456.2970814058</v>
      </c>
      <c r="HH286" s="13">
        <f>HH285+HG286</f>
        <v>7280342.320746927</v>
      </c>
      <c r="HI286">
        <f>IF(HH286=MAX($HH$83:$HH$483),$A286,0)</f>
        <v>0</v>
      </c>
      <c r="HJ286">
        <f>IF(HE286&lt;HF286,$A286,B_MAX+1)</f>
        <v>203</v>
      </c>
      <c r="HK286" s="13">
        <f>IF(HB286=1,$HB$35,$HB$36)</f>
        <v>0</v>
      </c>
      <c r="HL286" s="13">
        <f>OCC_DAYS*$HB$41*R_NF_2023-HD286*MCD_SHARE_FREED*R_WAIT_2023</f>
        <v>151980.48282209205</v>
      </c>
      <c r="HM286">
        <f>IF($A286&lt;=$HB$45,1,0)</f>
        <v>0</v>
      </c>
      <c r="IB286">
        <f>IF($IB$31&lt;=$IB$32,IF($A286&lt;=$IB$7,1,2),IF($A286&lt;=RUNG_BEDS_2,2,1))</f>
        <v>1</v>
      </c>
      <c r="IC286" s="5">
        <f>MIN(1,MAX(0,$IB$26-($A286-1)))</f>
        <v>0</v>
      </c>
      <c r="ID286" s="5">
        <f>$IB$25*(IC286+(1-IC286)*$IB$16)</f>
        <v>0.0</v>
      </c>
      <c r="IE286" s="13">
        <f>ID286*($IB$6+ACUTE_MARGIN)</f>
        <v>0.0</v>
      </c>
      <c r="IF286" s="13">
        <f>IF(IB286=1,$IB$31,$IB$32)</f>
        <v>152734.9994534971</v>
      </c>
      <c r="IG286" s="13">
        <f>IE286-IF286</f>
        <v>-152734.9994534971</v>
      </c>
      <c r="IH286" s="13">
        <f>IH285+IG286</f>
        <v>7223765.739212332</v>
      </c>
      <c r="II286">
        <f>IF(IH286=MAX($IH$83:$IH$483),$A286,0)</f>
        <v>0</v>
      </c>
      <c r="IJ286">
        <f>IF(IE286&lt;IF286,$A286,B_MAX+1)</f>
        <v>203</v>
      </c>
      <c r="IK286" s="13">
        <f>IF(IB286=1,$IB$35,$IB$36)</f>
        <v>0</v>
      </c>
      <c r="IL286" s="13">
        <f>OCC_DAYS*$IB$41*R_NF_2023-ID286*MCD_SHARE_FREED*R_WAIT_2023</f>
        <v>151980.48282209205</v>
      </c>
      <c r="IM286">
        <f>IF($A286&lt;=$IB$45,1,0)</f>
        <v>0</v>
      </c>
      <c r="JB286">
        <f>IF($JB$31&lt;=$JB$32,IF($A286&lt;=$JB$7,1,2),IF($A286&lt;=RUNG_BEDS_2,2,1))</f>
        <v>1</v>
      </c>
      <c r="JC286" s="5">
        <f>MIN(1,MAX(0,$JB$26-($A286-1)))</f>
        <v>0</v>
      </c>
      <c r="JD286" s="5">
        <f>$JB$25*(JC286+(1-JC286)*$JB$16)</f>
        <v>0.0</v>
      </c>
      <c r="JE286" s="13">
        <f>JD286*($JB$6+ACUTE_MARGIN)</f>
        <v>0.0</v>
      </c>
      <c r="JF286" s="13">
        <f>IF(JB286=1,$JB$31,$JB$32)</f>
        <v>152394.16214437486</v>
      </c>
      <c r="JG286" s="13">
        <f>JE286-JF286</f>
        <v>-152394.16214437486</v>
      </c>
      <c r="JH286" s="13">
        <f>JH285+JG286</f>
        <v>7292955.712964244</v>
      </c>
      <c r="JI286">
        <f>IF(JH286=MAX($JH$83:$JH$483),$A286,0)</f>
        <v>0</v>
      </c>
      <c r="JJ286">
        <f>IF(JE286&lt;JF286,$A286,B_MAX+1)</f>
        <v>203</v>
      </c>
      <c r="JK286" s="13">
        <f>IF(JB286=1,$JB$35,$JB$36)</f>
        <v>0</v>
      </c>
      <c r="JL286" s="13">
        <f>OCC_DAYS*$JB$41*R_NF_2023-JD286*MCD_SHARE_FREED*R_WAIT_2023</f>
        <v>151980.48282209205</v>
      </c>
      <c r="JM286">
        <f>IF($A286&lt;=$JB$45,1,0)</f>
        <v>0</v>
      </c>
      <c r="KB286">
        <f>IF($KB$31&lt;=$KB$32,IF($A286&lt;=$KB$7,1,2),IF($A286&lt;=RUNG_BEDS_2,2,1))</f>
        <v>1</v>
      </c>
      <c r="KC286" s="5">
        <f>MIN(1,MAX(0,$KB$26-($A286-1)))</f>
        <v>1</v>
      </c>
      <c r="KD286" s="5">
        <f>$KB$25*(KC286+(1-KC286)*$KB$16)</f>
        <v>126.02661357340719</v>
      </c>
      <c r="KE286" s="13">
        <f>KD286*($KB$6+ACUTE_MARGIN)</f>
        <v>127286.87970914126</v>
      </c>
      <c r="KF286" s="13">
        <f>IF(KB286=1,$KB$31,$KB$32)</f>
        <v>152394.16214437486</v>
      </c>
      <c r="KG286" s="13">
        <f>KE286-KF286</f>
        <v>-25107.282435233603</v>
      </c>
      <c r="KH286" s="13">
        <f>KH285+KG286</f>
        <v>-5096778.334352437</v>
      </c>
      <c r="KI286">
        <f>IF(KH286=MAX($KH$83:$KH$483),$A286,0)</f>
        <v>0</v>
      </c>
      <c r="KJ286">
        <f>IF(KE286&lt;KF286,$A286,B_MAX+1)</f>
        <v>203</v>
      </c>
      <c r="KK286" s="13">
        <f>IF(KB286=1,$KB$35,$KB$36)</f>
        <v>0</v>
      </c>
      <c r="KL286" s="13">
        <f>OCC_DAYS*$KB$41*R_NF_2023-KD286*MCD_SHARE_FREED*R_WAIT_2023</f>
        <v>94673.82103225985</v>
      </c>
      <c r="KM286">
        <f>IF($A286&lt;=$KB$45,1,0)</f>
        <v>0</v>
      </c>
      <c r="LB286">
        <f>IF($LB$31&lt;=$LB$32,IF($A286&lt;=$LB$7,1,2),IF($A286&lt;=RUNG_BEDS_2,2,1))</f>
        <v>1</v>
      </c>
      <c r="LC286" s="5">
        <f>MIN(1,MAX(0,$LB$26-($A286-1)))</f>
        <v>1</v>
      </c>
      <c r="LD286" s="5">
        <f>$LB$25*(LC286+(1-LC286)*$LB$16)</f>
        <v>84.01774238227146</v>
      </c>
      <c r="LE286" s="13">
        <f>LD286*($LB$6+ACUTE_MARGIN)</f>
        <v>84857.91980609419</v>
      </c>
      <c r="LF286" s="13">
        <f>IF(LB286=1,$LB$31,$LB$32)</f>
        <v>152394.16214437486</v>
      </c>
      <c r="LG286" s="13">
        <f>LE286-LF286</f>
        <v>-67536.24233828067</v>
      </c>
      <c r="LH286" s="13">
        <f>LH285+LG286</f>
        <v>-13709857.194671039</v>
      </c>
      <c r="LI286">
        <f>IF(LH286=MAX($LH$83:$LH$483),$A286,0)</f>
        <v>0</v>
      </c>
      <c r="LJ286">
        <f>IF(LE286&lt;LF286,$A286,B_MAX+1)</f>
        <v>203</v>
      </c>
      <c r="LK286" s="13">
        <f>IF(LB286=1,$LB$35,$LB$36)</f>
        <v>0</v>
      </c>
      <c r="LL286" s="13">
        <f>OCC_DAYS*$LB$41*R_NF_2023-LD286*MCD_SHARE_FREED*R_WAIT_2023</f>
        <v>113776.04162887059</v>
      </c>
      <c r="LM286">
        <f>IF($A286&lt;=$LB$45,1,0)</f>
        <v>0</v>
      </c>
      <c r="MB286">
        <f>IF($MB$31&lt;=$MB$32,IF($A286&lt;=$MB$7,1,2),IF($A286&lt;=RUNG_BEDS_2,2,1))</f>
        <v>1</v>
      </c>
      <c r="MC286" s="5">
        <f>MIN(1,MAX(0,$MB$26-($A286-1)))</f>
        <v>0</v>
      </c>
      <c r="MD286" s="5">
        <f>$MB$25*(MC286+(1-MC286)*$MB$16)</f>
        <v>0.0</v>
      </c>
      <c r="ME286" s="13">
        <f>MD286*($MB$6+ACUTE_MARGIN)</f>
        <v>0.0</v>
      </c>
      <c r="MF286" s="13">
        <f>IF(MB286=1,$MB$31,$MB$32)</f>
        <v>152394.16214437486</v>
      </c>
      <c r="MG286" s="13">
        <f>ME286-MF286</f>
        <v>-152394.16214437486</v>
      </c>
      <c r="MH286" s="13">
        <f>MH285+MG286</f>
        <v>1405679.6511659094</v>
      </c>
      <c r="MI286">
        <f>IF(MH286=MAX($MH$83:$MH$483),$A286,0)</f>
        <v>0</v>
      </c>
      <c r="MJ286">
        <f>IF(ME286&lt;MF286,$A286,B_MAX+1)</f>
        <v>203</v>
      </c>
      <c r="MK286" s="13">
        <f>IF(MB286=1,$MB$35,$MB$36)</f>
        <v>0</v>
      </c>
      <c r="ML286" s="13">
        <f>OCC_DAYS*$MB$41*R_NF_2023-MD286*MCD_SHARE_FREED*R_WAIT_2023</f>
        <v>151980.48282209205</v>
      </c>
      <c r="MM286">
        <f>IF($A286&lt;=$MB$45,1,0)</f>
        <v>0</v>
      </c>
      <c r="NB286">
        <f>IF($NB$31&lt;=$NB$32,IF($A286&lt;=$NB$7,1,2),IF($A286&lt;=RUNG_BEDS_2,2,1))</f>
        <v>1</v>
      </c>
      <c r="NC286" s="5">
        <f>MIN(1,MAX(0,$NB$26-($A286-1)))</f>
        <v>0</v>
      </c>
      <c r="ND286" s="5">
        <f>$NB$25*(NC286+(1-NC286)*$NB$16)</f>
        <v>63.013306786703595</v>
      </c>
      <c r="NE286" s="13">
        <f>ND286*($NB$6+ACUTE_MARGIN)</f>
        <v>63643.43985457063</v>
      </c>
      <c r="NF286" s="13">
        <f>IF(NB286=1,$NB$31,$NB$32)</f>
        <v>152394.16214437486</v>
      </c>
      <c r="NG286" s="13">
        <f>NE286-NF286</f>
        <v>-88750.72228980422</v>
      </c>
      <c r="NH286" s="13">
        <f>NH285+NG286</f>
        <v>10655331.346373979</v>
      </c>
      <c r="NI286">
        <f>IF(NH286=MAX($NH$83:$NH$483),$A286,0)</f>
        <v>0</v>
      </c>
      <c r="NJ286">
        <f>IF(NE286&lt;NF286,$A286,B_MAX+1)</f>
        <v>203</v>
      </c>
      <c r="NK286" s="13">
        <f>IF(NB286=1,$NB$35,$NB$36)</f>
        <v>0</v>
      </c>
      <c r="NL286" s="13">
        <f>OCC_DAYS*$NB$41*R_NF_2023-ND286*MCD_SHARE_FREED*R_WAIT_2023</f>
        <v>123327.15192717595</v>
      </c>
      <c r="NM286">
        <f>IF($A286&lt;=$NB$45,1,0)</f>
        <v>0</v>
      </c>
      <c r="OB286">
        <f>IF($OB$31&lt;=$OB$32,IF($A286&lt;=$OB$7,1,2),IF($A286&lt;=RUNG_BEDS_2,2,1))</f>
        <v>1</v>
      </c>
      <c r="OC286" s="5">
        <f>MIN(1,MAX(0,$OB$26-($A286-1)))</f>
        <v>0</v>
      </c>
      <c r="OD286" s="5">
        <f>$OB$25*(OC286+(1-OC286)*$OB$16)</f>
        <v>126.02661357340719</v>
      </c>
      <c r="OE286" s="13">
        <f>OD286*($OB$6+ACUTE_MARGIN)</f>
        <v>127286.87970914126</v>
      </c>
      <c r="OF286" s="13">
        <f>IF(OB286=1,$OB$31,$OB$32)</f>
        <v>152394.16214437486</v>
      </c>
      <c r="OG286" s="13">
        <f>OE286-OF286</f>
        <v>-25107.282435233603</v>
      </c>
      <c r="OH286" s="13">
        <f>OH285+OG286</f>
        <v>14017706.979783805</v>
      </c>
      <c r="OI286">
        <f>IF(OH286=MAX($OH$83:$OH$483),$A286,0)</f>
        <v>0</v>
      </c>
      <c r="OJ286">
        <f>IF(OE286&lt;OF286,$A286,B_MAX+1)</f>
        <v>203</v>
      </c>
      <c r="OK286" s="13">
        <f>IF(OB286=1,$OB$35,$OB$36)</f>
        <v>0</v>
      </c>
      <c r="OL286" s="13">
        <f>OCC_DAYS*$OB$41*R_NF_2023-OD286*MCD_SHARE_FREED*R_WAIT_2023</f>
        <v>94673.82103225985</v>
      </c>
      <c r="OM286">
        <f>IF($A286&lt;=$OB$45,1,0)</f>
        <v>0</v>
      </c>
    </row>
    <row r="287">
      <c r="A287" t="n">
        <v>204</v>
      </c>
      <c r="B287">
        <f>IF($B$31&lt;=$B$32,IF($A287&lt;=$B$7,1,2),IF($A287&lt;=RUNG_BEDS_2,2,1))</f>
        <v>1</v>
      </c>
      <c r="C287" s="5">
        <f>MIN(1,MAX(0,$B$26-($A287-1)))</f>
        <v>0</v>
      </c>
      <c r="D287" s="5">
        <f>$B$25*(C287+(1-C287)*$B$16)</f>
        <v>0.0</v>
      </c>
      <c r="E287" s="13">
        <f>D287*($B$6+ACUTE_MARGIN)</f>
        <v>0.0</v>
      </c>
      <c r="F287" s="13">
        <f>IF(B287=1,$B$31,$B$32)</f>
        <v>152394.16214437486</v>
      </c>
      <c r="G287" s="13">
        <f>E287-F287</f>
        <v>-152394.16214437486</v>
      </c>
      <c r="H287" s="13">
        <f>H286+G287</f>
        <v>7140561.550819869</v>
      </c>
      <c r="I287">
        <f>IF(H287=MAX($H$83:$H$483),$A287,0)</f>
        <v>0</v>
      </c>
      <c r="J287">
        <f>IF(E287&lt;F287,$A287,B_MAX+1)</f>
        <v>204</v>
      </c>
      <c r="K287" s="13">
        <f>IF(B287=1,$B$35,$B$36)</f>
        <v>0</v>
      </c>
      <c r="L287" s="13">
        <f>OCC_DAYS*$B$41*R_NF_2023-D287*MCD_SHARE_FREED*R_WAIT_2023</f>
        <v>151980.48282209205</v>
      </c>
      <c r="M287">
        <f>IF($A287&lt;=$B$45,1,0)</f>
        <v>0</v>
      </c>
      <c r="AB287">
        <f>IF($AB$31&lt;=$AB$32,IF($A287&lt;=$AB$7,1,2),IF($A287&lt;=RUNG_BEDS_2,2,1))</f>
        <v>1</v>
      </c>
      <c r="AC287" s="5">
        <f>MIN(1,MAX(0,$AB$26-($A287-1)))</f>
        <v>0</v>
      </c>
      <c r="AD287" s="5">
        <f>$AB$25*(AC287+(1-AC287)*$AB$16)</f>
        <v>0.0</v>
      </c>
      <c r="AE287" s="13">
        <f>AD287*($AB$6+ACUTE_MARGIN)</f>
        <v>0.0</v>
      </c>
      <c r="AF287" s="13">
        <f>IF(AB287=1,$AB$31,$AB$32)</f>
        <v>152394.16214437486</v>
      </c>
      <c r="AG287" s="13">
        <f>AE287-AF287</f>
        <v>-152394.16214437486</v>
      </c>
      <c r="AH287" s="13">
        <f>AH286+AG287</f>
        <v>-10270652.794729954</v>
      </c>
      <c r="AI287">
        <f>IF(AH287=MAX($AH$83:$AH$483),$A287,0)</f>
        <v>0</v>
      </c>
      <c r="AJ287">
        <f>IF(AE287&lt;AF287,$A287,B_MAX+1)</f>
        <v>204</v>
      </c>
      <c r="AK287" s="13">
        <f>IF(AB287=1,$AB$35,$AB$36)</f>
        <v>0</v>
      </c>
      <c r="AL287" s="13">
        <f>OCC_DAYS*$AB$41*R_NF_2023-AD287*MCD_SHARE_FREED*R_WAIT_2023</f>
        <v>151980.48282209205</v>
      </c>
      <c r="AM287">
        <f>IF($A287&lt;=$AB$45,1,0)</f>
        <v>0</v>
      </c>
      <c r="BB287">
        <f>IF($BB$31&lt;=$BB$32,IF($A287&lt;=$BB$7,1,2),IF($A287&lt;=RUNG_BEDS_2,2,1))</f>
        <v>1</v>
      </c>
      <c r="BC287" s="5">
        <f>MIN(1,MAX(0,$BB$26-($A287-1)))</f>
        <v>0</v>
      </c>
      <c r="BD287" s="5">
        <f>$BB$25*(BC287+(1-BC287)*$BB$16)</f>
        <v>0.0</v>
      </c>
      <c r="BE287" s="13">
        <f>BD287*($BB$6+ACUTE_MARGIN)</f>
        <v>0.0</v>
      </c>
      <c r="BF287" s="13">
        <f>IF(BB287=1,$BB$31,$BB$32)</f>
        <v>152394.16214437486</v>
      </c>
      <c r="BG287" s="13">
        <f>BE287-BF287</f>
        <v>-152394.16214437486</v>
      </c>
      <c r="BH287" s="13">
        <f>BH286+BG287</f>
        <v>24551775.89636954</v>
      </c>
      <c r="BI287">
        <f>IF(BH287=MAX($BH$83:$BH$483),$A287,0)</f>
        <v>0</v>
      </c>
      <c r="BJ287">
        <f>IF(BE287&lt;BF287,$A287,B_MAX+1)</f>
        <v>204</v>
      </c>
      <c r="BK287" s="13">
        <f>IF(BB287=1,$BB$35,$BB$36)</f>
        <v>0</v>
      </c>
      <c r="BL287" s="13">
        <f>OCC_DAYS*$BB$41*R_NF_2023-BD287*MCD_SHARE_FREED*R_WAIT_2023</f>
        <v>151980.48282209205</v>
      </c>
      <c r="BM287">
        <f>IF($A287&lt;=$BB$45,1,0)</f>
        <v>0</v>
      </c>
      <c r="CB287">
        <f>IF($CB$31&lt;=$CB$32,IF($A287&lt;=$CB$7,1,2),IF($A287&lt;=RUNG_BEDS_2,2,1))</f>
        <v>2</v>
      </c>
      <c r="CC287" s="5">
        <f>MIN(1,MAX(0,$CB$26-($A287-1)))</f>
        <v>0</v>
      </c>
      <c r="CD287" s="5">
        <f>$CB$25*(CC287+(1-CC287)*$CB$16)</f>
        <v>0.0</v>
      </c>
      <c r="CE287" s="13">
        <f>CD287*($CB$6+ACUTE_MARGIN)</f>
        <v>0.0</v>
      </c>
      <c r="CF287" s="13">
        <f>IF(CB287=1,$CB$31,$CB$32)</f>
        <v>160718.36940738867</v>
      </c>
      <c r="CG287" s="13">
        <f>CE287-CF287</f>
        <v>-160718.36940738867</v>
      </c>
      <c r="CH287" s="13">
        <f>CH286+CG287</f>
        <v>5442423.269164932</v>
      </c>
      <c r="CI287">
        <f>IF(CH287=MAX($CH$83:$CH$483),$A287,0)</f>
        <v>0</v>
      </c>
      <c r="CJ287">
        <f>IF(CE287&lt;CF287,$A287,B_MAX+1)</f>
        <v>204</v>
      </c>
      <c r="CK287" s="13">
        <f>IF(CB287=1,$CB$35,$CB$36)</f>
        <v>1560.1194073886782</v>
      </c>
      <c r="CL287" s="13">
        <f>OCC_DAYS*$CB$41*R_NF_2023-CD287*MCD_SHARE_FREED*R_WAIT_2023</f>
        <v>151980.48282209205</v>
      </c>
      <c r="CM287">
        <f>IF($A287&lt;=$CB$45,1,0)</f>
        <v>0</v>
      </c>
      <c r="DB287">
        <f>IF($DB$31&lt;=$DB$32,IF($A287&lt;=$DB$7,1,2),IF($A287&lt;=RUNG_BEDS_2,2,1))</f>
        <v>1</v>
      </c>
      <c r="DC287" s="5">
        <f>MIN(1,MAX(0,$DB$26-($A287-1)))</f>
        <v>0</v>
      </c>
      <c r="DD287" s="5">
        <f>$DB$25*(DC287+(1-DC287)*$DB$16)</f>
        <v>0.0</v>
      </c>
      <c r="DE287" s="13">
        <f>DD287*($DB$6+ACUTE_MARGIN)</f>
        <v>0.0</v>
      </c>
      <c r="DF287" s="13">
        <f>IF(DB287=1,$DB$31,$DB$32)</f>
        <v>152394.16214437486</v>
      </c>
      <c r="DG287" s="13">
        <f>DE287-DF287</f>
        <v>-152394.16214437486</v>
      </c>
      <c r="DH287" s="13">
        <f>DH286+DG287</f>
        <v>7140561.550819869</v>
      </c>
      <c r="DI287">
        <f>IF(DH287=MAX($DH$83:$DH$483),$A287,0)</f>
        <v>0</v>
      </c>
      <c r="DJ287">
        <f>IF(DE287&lt;DF287,$A287,B_MAX+1)</f>
        <v>204</v>
      </c>
      <c r="DK287" s="13">
        <f>IF(DB287=1,$DB$35,$DB$36)</f>
        <v>0</v>
      </c>
      <c r="DL287" s="13">
        <f>OCC_DAYS*$DB$41*R_NF_2023-DD287*MCD_SHARE_FREED*R_WAIT_2023</f>
        <v>151980.48282209205</v>
      </c>
      <c r="DM287">
        <f>IF($A287&lt;=$DB$45,1,0)</f>
        <v>0</v>
      </c>
      <c r="EB287">
        <f>IF($EB$31&lt;=$EB$32,IF($A287&lt;=$EB$7,1,2),IF($A287&lt;=RUNG_BEDS_2,2,1))</f>
        <v>1</v>
      </c>
      <c r="EC287" s="5">
        <f>MIN(1,MAX(0,$EB$26-($A287-1)))</f>
        <v>0</v>
      </c>
      <c r="ED287" s="5">
        <f>$EB$25*(EC287+(1-EC287)*$EB$16)</f>
        <v>0.0</v>
      </c>
      <c r="EE287" s="13">
        <f>ED287*($EB$6+ACUTE_MARGIN)</f>
        <v>0.0</v>
      </c>
      <c r="EF287" s="13">
        <f>IF(EB287=1,$EB$31,$EB$32)</f>
        <v>152394.16214437486</v>
      </c>
      <c r="EG287" s="13">
        <f>EE287-EF287</f>
        <v>-152394.16214437486</v>
      </c>
      <c r="EH287" s="13">
        <f>EH286+EG287</f>
        <v>7140561.550819869</v>
      </c>
      <c r="EI287">
        <f>IF(EH287=MAX($EH$83:$EH$483),$A287,0)</f>
        <v>0</v>
      </c>
      <c r="EJ287">
        <f>IF(EE287&lt;EF287,$A287,B_MAX+1)</f>
        <v>204</v>
      </c>
      <c r="EK287" s="13">
        <f>IF(EB287=1,$EB$35,$EB$36)</f>
        <v>0</v>
      </c>
      <c r="EL287" s="13">
        <f>OCC_DAYS*$EB$41*R_NF_2023-ED287*MCD_SHARE_FREED*R_WAIT_2023</f>
        <v>50660.16094069735</v>
      </c>
      <c r="EM287">
        <f>IF($A287&lt;=$EB$45,1,0)</f>
        <v>0</v>
      </c>
      <c r="FB287">
        <f>IF($FB$31&lt;=$FB$32,IF($A287&lt;=$FB$7,1,2),IF($A287&lt;=RUNG_BEDS_2,2,1))</f>
        <v>1</v>
      </c>
      <c r="FC287" s="5">
        <f>MIN(1,MAX(0,$FB$26-($A287-1)))</f>
        <v>0</v>
      </c>
      <c r="FD287" s="5">
        <f>$FB$25*(FC287+(1-FC287)*$FB$16)</f>
        <v>0.0</v>
      </c>
      <c r="FE287" s="13">
        <f>FD287*($FB$6+ACUTE_MARGIN)</f>
        <v>0.0</v>
      </c>
      <c r="FF287" s="13">
        <f>IF(FB287=1,$FB$31,$FB$32)</f>
        <v>156636.04979437485</v>
      </c>
      <c r="FG287" s="13">
        <f>FE287-FF287</f>
        <v>-156636.04979437485</v>
      </c>
      <c r="FH287" s="13">
        <f>FH286+FG287</f>
        <v>6275216.470219754</v>
      </c>
      <c r="FI287">
        <f>IF(FH287=MAX($FH$83:$FH$483),$A287,0)</f>
        <v>0</v>
      </c>
      <c r="FJ287">
        <f>IF(FE287&lt;FF287,$A287,B_MAX+1)</f>
        <v>204</v>
      </c>
      <c r="FK287" s="13">
        <f>IF(FB287=1,$FB$35,$FB$36)</f>
        <v>0</v>
      </c>
      <c r="FL287" s="13">
        <f>OCC_DAYS*$FB$41*R_NF_2023-FD287*MCD_SHARE_FREED*R_WAIT_2023</f>
        <v>151980.48282209205</v>
      </c>
      <c r="FM287">
        <f>IF($A287&lt;=$FB$45,1,0)</f>
        <v>0</v>
      </c>
      <c r="GB287">
        <f>IF($GB$31&lt;=$GB$32,IF($A287&lt;=$GB$7,1,2),IF($A287&lt;=RUNG_BEDS_2,2,1))</f>
        <v>1</v>
      </c>
      <c r="GC287" s="5">
        <f>MIN(1,MAX(0,$GB$26-($A287-1)))</f>
        <v>0</v>
      </c>
      <c r="GD287" s="5">
        <f>$GB$25*(GC287+(1-GC287)*$GB$16)</f>
        <v>0.0</v>
      </c>
      <c r="GE287" s="13">
        <f>GD287*($GB$6+ACUTE_MARGIN)</f>
        <v>0.0</v>
      </c>
      <c r="GF287" s="13">
        <f>IF(GB287=1,$GB$31,$GB$32)</f>
        <v>152394.16214437486</v>
      </c>
      <c r="GG287" s="13">
        <f>GE287-GF287</f>
        <v>-152394.16214437486</v>
      </c>
      <c r="GH287" s="13">
        <f>GH286+GG287</f>
        <v>7140561.550819869</v>
      </c>
      <c r="GI287">
        <f>IF(GH287=MAX($GH$83:$GH$483),$A287,0)</f>
        <v>0</v>
      </c>
      <c r="GJ287">
        <f>IF(GE287&lt;GF287,$A287,B_MAX+1)</f>
        <v>204</v>
      </c>
      <c r="GK287" s="13">
        <f>IF(GB287=1,$GB$35,$GB$36)</f>
        <v>0</v>
      </c>
      <c r="GL287" s="13">
        <f>OCC_DAYS*$GB$41*R_NF_2023-GD287*MCD_SHARE_FREED*R_WAIT_2023</f>
        <v>151980.48282209205</v>
      </c>
      <c r="GM287">
        <f>IF($A287&lt;=$GB$45,1,0)</f>
        <v>0</v>
      </c>
      <c r="HB287">
        <f>IF($HB$31&lt;=$HB$32,IF($A287&lt;=$HB$7,1,2),IF($A287&lt;=RUNG_BEDS_2,2,1))</f>
        <v>1</v>
      </c>
      <c r="HC287" s="5">
        <f>MIN(1,MAX(0,$HB$26-($A287-1)))</f>
        <v>0</v>
      </c>
      <c r="HD287" s="5">
        <f>$HB$25*(HC287+(1-HC287)*$HB$16)</f>
        <v>0.0</v>
      </c>
      <c r="HE287" s="13">
        <f>HD287*($HB$6+ACUTE_MARGIN)</f>
        <v>0.0</v>
      </c>
      <c r="HF287" s="13">
        <f>IF(HB287=1,$HB$31,$HB$32)</f>
        <v>152456.2970814058</v>
      </c>
      <c r="HG287" s="13">
        <f>HE287-HF287</f>
        <v>-152456.2970814058</v>
      </c>
      <c r="HH287" s="13">
        <f>HH286+HG287</f>
        <v>7127886.02366552</v>
      </c>
      <c r="HI287">
        <f>IF(HH287=MAX($HH$83:$HH$483),$A287,0)</f>
        <v>0</v>
      </c>
      <c r="HJ287">
        <f>IF(HE287&lt;HF287,$A287,B_MAX+1)</f>
        <v>204</v>
      </c>
      <c r="HK287" s="13">
        <f>IF(HB287=1,$HB$35,$HB$36)</f>
        <v>0</v>
      </c>
      <c r="HL287" s="13">
        <f>OCC_DAYS*$HB$41*R_NF_2023-HD287*MCD_SHARE_FREED*R_WAIT_2023</f>
        <v>151980.48282209205</v>
      </c>
      <c r="HM287">
        <f>IF($A287&lt;=$HB$45,1,0)</f>
        <v>0</v>
      </c>
      <c r="IB287">
        <f>IF($IB$31&lt;=$IB$32,IF($A287&lt;=$IB$7,1,2),IF($A287&lt;=RUNG_BEDS_2,2,1))</f>
        <v>1</v>
      </c>
      <c r="IC287" s="5">
        <f>MIN(1,MAX(0,$IB$26-($A287-1)))</f>
        <v>0</v>
      </c>
      <c r="ID287" s="5">
        <f>$IB$25*(IC287+(1-IC287)*$IB$16)</f>
        <v>0.0</v>
      </c>
      <c r="IE287" s="13">
        <f>ID287*($IB$6+ACUTE_MARGIN)</f>
        <v>0.0</v>
      </c>
      <c r="IF287" s="13">
        <f>IF(IB287=1,$IB$31,$IB$32)</f>
        <v>152734.9994534971</v>
      </c>
      <c r="IG287" s="13">
        <f>IE287-IF287</f>
        <v>-152734.9994534971</v>
      </c>
      <c r="IH287" s="13">
        <f>IH286+IG287</f>
        <v>7071030.739758835</v>
      </c>
      <c r="II287">
        <f>IF(IH287=MAX($IH$83:$IH$483),$A287,0)</f>
        <v>0</v>
      </c>
      <c r="IJ287">
        <f>IF(IE287&lt;IF287,$A287,B_MAX+1)</f>
        <v>204</v>
      </c>
      <c r="IK287" s="13">
        <f>IF(IB287=1,$IB$35,$IB$36)</f>
        <v>0</v>
      </c>
      <c r="IL287" s="13">
        <f>OCC_DAYS*$IB$41*R_NF_2023-ID287*MCD_SHARE_FREED*R_WAIT_2023</f>
        <v>151980.48282209205</v>
      </c>
      <c r="IM287">
        <f>IF($A287&lt;=$IB$45,1,0)</f>
        <v>0</v>
      </c>
      <c r="JB287">
        <f>IF($JB$31&lt;=$JB$32,IF($A287&lt;=$JB$7,1,2),IF($A287&lt;=RUNG_BEDS_2,2,1))</f>
        <v>1</v>
      </c>
      <c r="JC287" s="5">
        <f>MIN(1,MAX(0,$JB$26-($A287-1)))</f>
        <v>0</v>
      </c>
      <c r="JD287" s="5">
        <f>$JB$25*(JC287+(1-JC287)*$JB$16)</f>
        <v>0.0</v>
      </c>
      <c r="JE287" s="13">
        <f>JD287*($JB$6+ACUTE_MARGIN)</f>
        <v>0.0</v>
      </c>
      <c r="JF287" s="13">
        <f>IF(JB287=1,$JB$31,$JB$32)</f>
        <v>152394.16214437486</v>
      </c>
      <c r="JG287" s="13">
        <f>JE287-JF287</f>
        <v>-152394.16214437486</v>
      </c>
      <c r="JH287" s="13">
        <f>JH286+JG287</f>
        <v>7140561.550819869</v>
      </c>
      <c r="JI287">
        <f>IF(JH287=MAX($JH$83:$JH$483),$A287,0)</f>
        <v>0</v>
      </c>
      <c r="JJ287">
        <f>IF(JE287&lt;JF287,$A287,B_MAX+1)</f>
        <v>204</v>
      </c>
      <c r="JK287" s="13">
        <f>IF(JB287=1,$JB$35,$JB$36)</f>
        <v>0</v>
      </c>
      <c r="JL287" s="13">
        <f>OCC_DAYS*$JB$41*R_NF_2023-JD287*MCD_SHARE_FREED*R_WAIT_2023</f>
        <v>151980.48282209205</v>
      </c>
      <c r="JM287">
        <f>IF($A287&lt;=$JB$45,1,0)</f>
        <v>0</v>
      </c>
      <c r="KB287">
        <f>IF($KB$31&lt;=$KB$32,IF($A287&lt;=$KB$7,1,2),IF($A287&lt;=RUNG_BEDS_2,2,1))</f>
        <v>1</v>
      </c>
      <c r="KC287" s="5">
        <f>MIN(1,MAX(0,$KB$26-($A287-1)))</f>
        <v>1</v>
      </c>
      <c r="KD287" s="5">
        <f>$KB$25*(KC287+(1-KC287)*$KB$16)</f>
        <v>126.02661357340719</v>
      </c>
      <c r="KE287" s="13">
        <f>KD287*($KB$6+ACUTE_MARGIN)</f>
        <v>127286.87970914126</v>
      </c>
      <c r="KF287" s="13">
        <f>IF(KB287=1,$KB$31,$KB$32)</f>
        <v>152394.16214437486</v>
      </c>
      <c r="KG287" s="13">
        <f>KE287-KF287</f>
        <v>-25107.282435233603</v>
      </c>
      <c r="KH287" s="13">
        <f>KH286+KG287</f>
        <v>-5121885.616787671</v>
      </c>
      <c r="KI287">
        <f>IF(KH287=MAX($KH$83:$KH$483),$A287,0)</f>
        <v>0</v>
      </c>
      <c r="KJ287">
        <f>IF(KE287&lt;KF287,$A287,B_MAX+1)</f>
        <v>204</v>
      </c>
      <c r="KK287" s="13">
        <f>IF(KB287=1,$KB$35,$KB$36)</f>
        <v>0</v>
      </c>
      <c r="KL287" s="13">
        <f>OCC_DAYS*$KB$41*R_NF_2023-KD287*MCD_SHARE_FREED*R_WAIT_2023</f>
        <v>94673.82103225985</v>
      </c>
      <c r="KM287">
        <f>IF($A287&lt;=$KB$45,1,0)</f>
        <v>0</v>
      </c>
      <c r="LB287">
        <f>IF($LB$31&lt;=$LB$32,IF($A287&lt;=$LB$7,1,2),IF($A287&lt;=RUNG_BEDS_2,2,1))</f>
        <v>1</v>
      </c>
      <c r="LC287" s="5">
        <f>MIN(1,MAX(0,$LB$26-($A287-1)))</f>
        <v>1</v>
      </c>
      <c r="LD287" s="5">
        <f>$LB$25*(LC287+(1-LC287)*$LB$16)</f>
        <v>84.01774238227146</v>
      </c>
      <c r="LE287" s="13">
        <f>LD287*($LB$6+ACUTE_MARGIN)</f>
        <v>84857.91980609419</v>
      </c>
      <c r="LF287" s="13">
        <f>IF(LB287=1,$LB$31,$LB$32)</f>
        <v>152394.16214437486</v>
      </c>
      <c r="LG287" s="13">
        <f>LE287-LF287</f>
        <v>-67536.24233828067</v>
      </c>
      <c r="LH287" s="13">
        <f>LH286+LG287</f>
        <v>-13777393.43700932</v>
      </c>
      <c r="LI287">
        <f>IF(LH287=MAX($LH$83:$LH$483),$A287,0)</f>
        <v>0</v>
      </c>
      <c r="LJ287">
        <f>IF(LE287&lt;LF287,$A287,B_MAX+1)</f>
        <v>204</v>
      </c>
      <c r="LK287" s="13">
        <f>IF(LB287=1,$LB$35,$LB$36)</f>
        <v>0</v>
      </c>
      <c r="LL287" s="13">
        <f>OCC_DAYS*$LB$41*R_NF_2023-LD287*MCD_SHARE_FREED*R_WAIT_2023</f>
        <v>113776.04162887059</v>
      </c>
      <c r="LM287">
        <f>IF($A287&lt;=$LB$45,1,0)</f>
        <v>0</v>
      </c>
      <c r="MB287">
        <f>IF($MB$31&lt;=$MB$32,IF($A287&lt;=$MB$7,1,2),IF($A287&lt;=RUNG_BEDS_2,2,1))</f>
        <v>1</v>
      </c>
      <c r="MC287" s="5">
        <f>MIN(1,MAX(0,$MB$26-($A287-1)))</f>
        <v>0</v>
      </c>
      <c r="MD287" s="5">
        <f>$MB$25*(MC287+(1-MC287)*$MB$16)</f>
        <v>0.0</v>
      </c>
      <c r="ME287" s="13">
        <f>MD287*($MB$6+ACUTE_MARGIN)</f>
        <v>0.0</v>
      </c>
      <c r="MF287" s="13">
        <f>IF(MB287=1,$MB$31,$MB$32)</f>
        <v>152394.16214437486</v>
      </c>
      <c r="MG287" s="13">
        <f>ME287-MF287</f>
        <v>-152394.16214437486</v>
      </c>
      <c r="MH287" s="13">
        <f>MH286+MG287</f>
        <v>1253285.4890215346</v>
      </c>
      <c r="MI287">
        <f>IF(MH287=MAX($MH$83:$MH$483),$A287,0)</f>
        <v>0</v>
      </c>
      <c r="MJ287">
        <f>IF(ME287&lt;MF287,$A287,B_MAX+1)</f>
        <v>204</v>
      </c>
      <c r="MK287" s="13">
        <f>IF(MB287=1,$MB$35,$MB$36)</f>
        <v>0</v>
      </c>
      <c r="ML287" s="13">
        <f>OCC_DAYS*$MB$41*R_NF_2023-MD287*MCD_SHARE_FREED*R_WAIT_2023</f>
        <v>151980.48282209205</v>
      </c>
      <c r="MM287">
        <f>IF($A287&lt;=$MB$45,1,0)</f>
        <v>0</v>
      </c>
      <c r="NB287">
        <f>IF($NB$31&lt;=$NB$32,IF($A287&lt;=$NB$7,1,2),IF($A287&lt;=RUNG_BEDS_2,2,1))</f>
        <v>1</v>
      </c>
      <c r="NC287" s="5">
        <f>MIN(1,MAX(0,$NB$26-($A287-1)))</f>
        <v>0</v>
      </c>
      <c r="ND287" s="5">
        <f>$NB$25*(NC287+(1-NC287)*$NB$16)</f>
        <v>63.013306786703595</v>
      </c>
      <c r="NE287" s="13">
        <f>ND287*($NB$6+ACUTE_MARGIN)</f>
        <v>63643.43985457063</v>
      </c>
      <c r="NF287" s="13">
        <f>IF(NB287=1,$NB$31,$NB$32)</f>
        <v>152394.16214437486</v>
      </c>
      <c r="NG287" s="13">
        <f>NE287-NF287</f>
        <v>-88750.72228980422</v>
      </c>
      <c r="NH287" s="13">
        <f>NH286+NG287</f>
        <v>10566580.624084175</v>
      </c>
      <c r="NI287">
        <f>IF(NH287=MAX($NH$83:$NH$483),$A287,0)</f>
        <v>0</v>
      </c>
      <c r="NJ287">
        <f>IF(NE287&lt;NF287,$A287,B_MAX+1)</f>
        <v>204</v>
      </c>
      <c r="NK287" s="13">
        <f>IF(NB287=1,$NB$35,$NB$36)</f>
        <v>0</v>
      </c>
      <c r="NL287" s="13">
        <f>OCC_DAYS*$NB$41*R_NF_2023-ND287*MCD_SHARE_FREED*R_WAIT_2023</f>
        <v>123327.15192717595</v>
      </c>
      <c r="NM287">
        <f>IF($A287&lt;=$NB$45,1,0)</f>
        <v>0</v>
      </c>
      <c r="OB287">
        <f>IF($OB$31&lt;=$OB$32,IF($A287&lt;=$OB$7,1,2),IF($A287&lt;=RUNG_BEDS_2,2,1))</f>
        <v>1</v>
      </c>
      <c r="OC287" s="5">
        <f>MIN(1,MAX(0,$OB$26-($A287-1)))</f>
        <v>0</v>
      </c>
      <c r="OD287" s="5">
        <f>$OB$25*(OC287+(1-OC287)*$OB$16)</f>
        <v>126.02661357340719</v>
      </c>
      <c r="OE287" s="13">
        <f>OD287*($OB$6+ACUTE_MARGIN)</f>
        <v>127286.87970914126</v>
      </c>
      <c r="OF287" s="13">
        <f>IF(OB287=1,$OB$31,$OB$32)</f>
        <v>152394.16214437486</v>
      </c>
      <c r="OG287" s="13">
        <f>OE287-OF287</f>
        <v>-25107.282435233603</v>
      </c>
      <c r="OH287" s="13">
        <f>OH286+OG287</f>
        <v>13992599.697348572</v>
      </c>
      <c r="OI287">
        <f>IF(OH287=MAX($OH$83:$OH$483),$A287,0)</f>
        <v>0</v>
      </c>
      <c r="OJ287">
        <f>IF(OE287&lt;OF287,$A287,B_MAX+1)</f>
        <v>204</v>
      </c>
      <c r="OK287" s="13">
        <f>IF(OB287=1,$OB$35,$OB$36)</f>
        <v>0</v>
      </c>
      <c r="OL287" s="13">
        <f>OCC_DAYS*$OB$41*R_NF_2023-OD287*MCD_SHARE_FREED*R_WAIT_2023</f>
        <v>94673.82103225985</v>
      </c>
      <c r="OM287">
        <f>IF($A287&lt;=$OB$45,1,0)</f>
        <v>0</v>
      </c>
    </row>
    <row r="288">
      <c r="A288" t="n">
        <v>205</v>
      </c>
      <c r="B288">
        <f>IF($B$31&lt;=$B$32,IF($A288&lt;=$B$7,1,2),IF($A288&lt;=RUNG_BEDS_2,2,1))</f>
        <v>1</v>
      </c>
      <c r="C288" s="5">
        <f>MIN(1,MAX(0,$B$26-($A288-1)))</f>
        <v>0</v>
      </c>
      <c r="D288" s="5">
        <f>$B$25*(C288+(1-C288)*$B$16)</f>
        <v>0.0</v>
      </c>
      <c r="E288" s="13">
        <f>D288*($B$6+ACUTE_MARGIN)</f>
        <v>0.0</v>
      </c>
      <c r="F288" s="13">
        <f>IF(B288=1,$B$31,$B$32)</f>
        <v>152394.16214437486</v>
      </c>
      <c r="G288" s="13">
        <f>E288-F288</f>
        <v>-152394.16214437486</v>
      </c>
      <c r="H288" s="13">
        <f>H287+G288</f>
        <v>6988167.388675494</v>
      </c>
      <c r="I288">
        <f>IF(H288=MAX($H$83:$H$483),$A288,0)</f>
        <v>0</v>
      </c>
      <c r="J288">
        <f>IF(E288&lt;F288,$A288,B_MAX+1)</f>
        <v>205</v>
      </c>
      <c r="K288" s="13">
        <f>IF(B288=1,$B$35,$B$36)</f>
        <v>0</v>
      </c>
      <c r="L288" s="13">
        <f>OCC_DAYS*$B$41*R_NF_2023-D288*MCD_SHARE_FREED*R_WAIT_2023</f>
        <v>151980.48282209205</v>
      </c>
      <c r="M288">
        <f>IF($A288&lt;=$B$45,1,0)</f>
        <v>0</v>
      </c>
      <c r="AB288">
        <f>IF($AB$31&lt;=$AB$32,IF($A288&lt;=$AB$7,1,2),IF($A288&lt;=RUNG_BEDS_2,2,1))</f>
        <v>1</v>
      </c>
      <c r="AC288" s="5">
        <f>MIN(1,MAX(0,$AB$26-($A288-1)))</f>
        <v>0</v>
      </c>
      <c r="AD288" s="5">
        <f>$AB$25*(AC288+(1-AC288)*$AB$16)</f>
        <v>0.0</v>
      </c>
      <c r="AE288" s="13">
        <f>AD288*($AB$6+ACUTE_MARGIN)</f>
        <v>0.0</v>
      </c>
      <c r="AF288" s="13">
        <f>IF(AB288=1,$AB$31,$AB$32)</f>
        <v>152394.16214437486</v>
      </c>
      <c r="AG288" s="13">
        <f>AE288-AF288</f>
        <v>-152394.16214437486</v>
      </c>
      <c r="AH288" s="13">
        <f>AH287+AG288</f>
        <v>-10423046.956874328</v>
      </c>
      <c r="AI288">
        <f>IF(AH288=MAX($AH$83:$AH$483),$A288,0)</f>
        <v>0</v>
      </c>
      <c r="AJ288">
        <f>IF(AE288&lt;AF288,$A288,B_MAX+1)</f>
        <v>205</v>
      </c>
      <c r="AK288" s="13">
        <f>IF(AB288=1,$AB$35,$AB$36)</f>
        <v>0</v>
      </c>
      <c r="AL288" s="13">
        <f>OCC_DAYS*$AB$41*R_NF_2023-AD288*MCD_SHARE_FREED*R_WAIT_2023</f>
        <v>151980.48282209205</v>
      </c>
      <c r="AM288">
        <f>IF($A288&lt;=$AB$45,1,0)</f>
        <v>0</v>
      </c>
      <c r="BB288">
        <f>IF($BB$31&lt;=$BB$32,IF($A288&lt;=$BB$7,1,2),IF($A288&lt;=RUNG_BEDS_2,2,1))</f>
        <v>1</v>
      </c>
      <c r="BC288" s="5">
        <f>MIN(1,MAX(0,$BB$26-($A288-1)))</f>
        <v>0</v>
      </c>
      <c r="BD288" s="5">
        <f>$BB$25*(BC288+(1-BC288)*$BB$16)</f>
        <v>0.0</v>
      </c>
      <c r="BE288" s="13">
        <f>BD288*($BB$6+ACUTE_MARGIN)</f>
        <v>0.0</v>
      </c>
      <c r="BF288" s="13">
        <f>IF(BB288=1,$BB$31,$BB$32)</f>
        <v>152394.16214437486</v>
      </c>
      <c r="BG288" s="13">
        <f>BE288-BF288</f>
        <v>-152394.16214437486</v>
      </c>
      <c r="BH288" s="13">
        <f>BH287+BG288</f>
        <v>24399381.734225165</v>
      </c>
      <c r="BI288">
        <f>IF(BH288=MAX($BH$83:$BH$483),$A288,0)</f>
        <v>0</v>
      </c>
      <c r="BJ288">
        <f>IF(BE288&lt;BF288,$A288,B_MAX+1)</f>
        <v>205</v>
      </c>
      <c r="BK288" s="13">
        <f>IF(BB288=1,$BB$35,$BB$36)</f>
        <v>0</v>
      </c>
      <c r="BL288" s="13">
        <f>OCC_DAYS*$BB$41*R_NF_2023-BD288*MCD_SHARE_FREED*R_WAIT_2023</f>
        <v>151980.48282209205</v>
      </c>
      <c r="BM288">
        <f>IF($A288&lt;=$BB$45,1,0)</f>
        <v>0</v>
      </c>
      <c r="CB288">
        <f>IF($CB$31&lt;=$CB$32,IF($A288&lt;=$CB$7,1,2),IF($A288&lt;=RUNG_BEDS_2,2,1))</f>
        <v>2</v>
      </c>
      <c r="CC288" s="5">
        <f>MIN(1,MAX(0,$CB$26-($A288-1)))</f>
        <v>0</v>
      </c>
      <c r="CD288" s="5">
        <f>$CB$25*(CC288+(1-CC288)*$CB$16)</f>
        <v>0.0</v>
      </c>
      <c r="CE288" s="13">
        <f>CD288*($CB$6+ACUTE_MARGIN)</f>
        <v>0.0</v>
      </c>
      <c r="CF288" s="13">
        <f>IF(CB288=1,$CB$31,$CB$32)</f>
        <v>160718.36940738867</v>
      </c>
      <c r="CG288" s="13">
        <f>CE288-CF288</f>
        <v>-160718.36940738867</v>
      </c>
      <c r="CH288" s="13">
        <f>CH287+CG288</f>
        <v>5281704.899757544</v>
      </c>
      <c r="CI288">
        <f>IF(CH288=MAX($CH$83:$CH$483),$A288,0)</f>
        <v>0</v>
      </c>
      <c r="CJ288">
        <f>IF(CE288&lt;CF288,$A288,B_MAX+1)</f>
        <v>205</v>
      </c>
      <c r="CK288" s="13">
        <f>IF(CB288=1,$CB$35,$CB$36)</f>
        <v>1560.1194073886782</v>
      </c>
      <c r="CL288" s="13">
        <f>OCC_DAYS*$CB$41*R_NF_2023-CD288*MCD_SHARE_FREED*R_WAIT_2023</f>
        <v>151980.48282209205</v>
      </c>
      <c r="CM288">
        <f>IF($A288&lt;=$CB$45,1,0)</f>
        <v>0</v>
      </c>
      <c r="DB288">
        <f>IF($DB$31&lt;=$DB$32,IF($A288&lt;=$DB$7,1,2),IF($A288&lt;=RUNG_BEDS_2,2,1))</f>
        <v>1</v>
      </c>
      <c r="DC288" s="5">
        <f>MIN(1,MAX(0,$DB$26-($A288-1)))</f>
        <v>0</v>
      </c>
      <c r="DD288" s="5">
        <f>$DB$25*(DC288+(1-DC288)*$DB$16)</f>
        <v>0.0</v>
      </c>
      <c r="DE288" s="13">
        <f>DD288*($DB$6+ACUTE_MARGIN)</f>
        <v>0.0</v>
      </c>
      <c r="DF288" s="13">
        <f>IF(DB288=1,$DB$31,$DB$32)</f>
        <v>152394.16214437486</v>
      </c>
      <c r="DG288" s="13">
        <f>DE288-DF288</f>
        <v>-152394.16214437486</v>
      </c>
      <c r="DH288" s="13">
        <f>DH287+DG288</f>
        <v>6988167.388675494</v>
      </c>
      <c r="DI288">
        <f>IF(DH288=MAX($DH$83:$DH$483),$A288,0)</f>
        <v>0</v>
      </c>
      <c r="DJ288">
        <f>IF(DE288&lt;DF288,$A288,B_MAX+1)</f>
        <v>205</v>
      </c>
      <c r="DK288" s="13">
        <f>IF(DB288=1,$DB$35,$DB$36)</f>
        <v>0</v>
      </c>
      <c r="DL288" s="13">
        <f>OCC_DAYS*$DB$41*R_NF_2023-DD288*MCD_SHARE_FREED*R_WAIT_2023</f>
        <v>151980.48282209205</v>
      </c>
      <c r="DM288">
        <f>IF($A288&lt;=$DB$45,1,0)</f>
        <v>0</v>
      </c>
      <c r="EB288">
        <f>IF($EB$31&lt;=$EB$32,IF($A288&lt;=$EB$7,1,2),IF($A288&lt;=RUNG_BEDS_2,2,1))</f>
        <v>1</v>
      </c>
      <c r="EC288" s="5">
        <f>MIN(1,MAX(0,$EB$26-($A288-1)))</f>
        <v>0</v>
      </c>
      <c r="ED288" s="5">
        <f>$EB$25*(EC288+(1-EC288)*$EB$16)</f>
        <v>0.0</v>
      </c>
      <c r="EE288" s="13">
        <f>ED288*($EB$6+ACUTE_MARGIN)</f>
        <v>0.0</v>
      </c>
      <c r="EF288" s="13">
        <f>IF(EB288=1,$EB$31,$EB$32)</f>
        <v>152394.16214437486</v>
      </c>
      <c r="EG288" s="13">
        <f>EE288-EF288</f>
        <v>-152394.16214437486</v>
      </c>
      <c r="EH288" s="13">
        <f>EH287+EG288</f>
        <v>6988167.388675494</v>
      </c>
      <c r="EI288">
        <f>IF(EH288=MAX($EH$83:$EH$483),$A288,0)</f>
        <v>0</v>
      </c>
      <c r="EJ288">
        <f>IF(EE288&lt;EF288,$A288,B_MAX+1)</f>
        <v>205</v>
      </c>
      <c r="EK288" s="13">
        <f>IF(EB288=1,$EB$35,$EB$36)</f>
        <v>0</v>
      </c>
      <c r="EL288" s="13">
        <f>OCC_DAYS*$EB$41*R_NF_2023-ED288*MCD_SHARE_FREED*R_WAIT_2023</f>
        <v>50660.16094069735</v>
      </c>
      <c r="EM288">
        <f>IF($A288&lt;=$EB$45,1,0)</f>
        <v>0</v>
      </c>
      <c r="FB288">
        <f>IF($FB$31&lt;=$FB$32,IF($A288&lt;=$FB$7,1,2),IF($A288&lt;=RUNG_BEDS_2,2,1))</f>
        <v>1</v>
      </c>
      <c r="FC288" s="5">
        <f>MIN(1,MAX(0,$FB$26-($A288-1)))</f>
        <v>0</v>
      </c>
      <c r="FD288" s="5">
        <f>$FB$25*(FC288+(1-FC288)*$FB$16)</f>
        <v>0.0</v>
      </c>
      <c r="FE288" s="13">
        <f>FD288*($FB$6+ACUTE_MARGIN)</f>
        <v>0.0</v>
      </c>
      <c r="FF288" s="13">
        <f>IF(FB288=1,$FB$31,$FB$32)</f>
        <v>156636.04979437485</v>
      </c>
      <c r="FG288" s="13">
        <f>FE288-FF288</f>
        <v>-156636.04979437485</v>
      </c>
      <c r="FH288" s="13">
        <f>FH287+FG288</f>
        <v>6118580.420425379</v>
      </c>
      <c r="FI288">
        <f>IF(FH288=MAX($FH$83:$FH$483),$A288,0)</f>
        <v>0</v>
      </c>
      <c r="FJ288">
        <f>IF(FE288&lt;FF288,$A288,B_MAX+1)</f>
        <v>205</v>
      </c>
      <c r="FK288" s="13">
        <f>IF(FB288=1,$FB$35,$FB$36)</f>
        <v>0</v>
      </c>
      <c r="FL288" s="13">
        <f>OCC_DAYS*$FB$41*R_NF_2023-FD288*MCD_SHARE_FREED*R_WAIT_2023</f>
        <v>151980.48282209205</v>
      </c>
      <c r="FM288">
        <f>IF($A288&lt;=$FB$45,1,0)</f>
        <v>0</v>
      </c>
      <c r="GB288">
        <f>IF($GB$31&lt;=$GB$32,IF($A288&lt;=$GB$7,1,2),IF($A288&lt;=RUNG_BEDS_2,2,1))</f>
        <v>1</v>
      </c>
      <c r="GC288" s="5">
        <f>MIN(1,MAX(0,$GB$26-($A288-1)))</f>
        <v>0</v>
      </c>
      <c r="GD288" s="5">
        <f>$GB$25*(GC288+(1-GC288)*$GB$16)</f>
        <v>0.0</v>
      </c>
      <c r="GE288" s="13">
        <f>GD288*($GB$6+ACUTE_MARGIN)</f>
        <v>0.0</v>
      </c>
      <c r="GF288" s="13">
        <f>IF(GB288=1,$GB$31,$GB$32)</f>
        <v>152394.16214437486</v>
      </c>
      <c r="GG288" s="13">
        <f>GE288-GF288</f>
        <v>-152394.16214437486</v>
      </c>
      <c r="GH288" s="13">
        <f>GH287+GG288</f>
        <v>6988167.388675494</v>
      </c>
      <c r="GI288">
        <f>IF(GH288=MAX($GH$83:$GH$483),$A288,0)</f>
        <v>0</v>
      </c>
      <c r="GJ288">
        <f>IF(GE288&lt;GF288,$A288,B_MAX+1)</f>
        <v>205</v>
      </c>
      <c r="GK288" s="13">
        <f>IF(GB288=1,$GB$35,$GB$36)</f>
        <v>0</v>
      </c>
      <c r="GL288" s="13">
        <f>OCC_DAYS*$GB$41*R_NF_2023-GD288*MCD_SHARE_FREED*R_WAIT_2023</f>
        <v>151980.48282209205</v>
      </c>
      <c r="GM288">
        <f>IF($A288&lt;=$GB$45,1,0)</f>
        <v>0</v>
      </c>
      <c r="HB288">
        <f>IF($HB$31&lt;=$HB$32,IF($A288&lt;=$HB$7,1,2),IF($A288&lt;=RUNG_BEDS_2,2,1))</f>
        <v>1</v>
      </c>
      <c r="HC288" s="5">
        <f>MIN(1,MAX(0,$HB$26-($A288-1)))</f>
        <v>0</v>
      </c>
      <c r="HD288" s="5">
        <f>$HB$25*(HC288+(1-HC288)*$HB$16)</f>
        <v>0.0</v>
      </c>
      <c r="HE288" s="13">
        <f>HD288*($HB$6+ACUTE_MARGIN)</f>
        <v>0.0</v>
      </c>
      <c r="HF288" s="13">
        <f>IF(HB288=1,$HB$31,$HB$32)</f>
        <v>152456.2970814058</v>
      </c>
      <c r="HG288" s="13">
        <f>HE288-HF288</f>
        <v>-152456.2970814058</v>
      </c>
      <c r="HH288" s="13">
        <f>HH287+HG288</f>
        <v>6975429.726584114</v>
      </c>
      <c r="HI288">
        <f>IF(HH288=MAX($HH$83:$HH$483),$A288,0)</f>
        <v>0</v>
      </c>
      <c r="HJ288">
        <f>IF(HE288&lt;HF288,$A288,B_MAX+1)</f>
        <v>205</v>
      </c>
      <c r="HK288" s="13">
        <f>IF(HB288=1,$HB$35,$HB$36)</f>
        <v>0</v>
      </c>
      <c r="HL288" s="13">
        <f>OCC_DAYS*$HB$41*R_NF_2023-HD288*MCD_SHARE_FREED*R_WAIT_2023</f>
        <v>151980.48282209205</v>
      </c>
      <c r="HM288">
        <f>IF($A288&lt;=$HB$45,1,0)</f>
        <v>0</v>
      </c>
      <c r="IB288">
        <f>IF($IB$31&lt;=$IB$32,IF($A288&lt;=$IB$7,1,2),IF($A288&lt;=RUNG_BEDS_2,2,1))</f>
        <v>1</v>
      </c>
      <c r="IC288" s="5">
        <f>MIN(1,MAX(0,$IB$26-($A288-1)))</f>
        <v>0</v>
      </c>
      <c r="ID288" s="5">
        <f>$IB$25*(IC288+(1-IC288)*$IB$16)</f>
        <v>0.0</v>
      </c>
      <c r="IE288" s="13">
        <f>ID288*($IB$6+ACUTE_MARGIN)</f>
        <v>0.0</v>
      </c>
      <c r="IF288" s="13">
        <f>IF(IB288=1,$IB$31,$IB$32)</f>
        <v>152734.9994534971</v>
      </c>
      <c r="IG288" s="13">
        <f>IE288-IF288</f>
        <v>-152734.9994534971</v>
      </c>
      <c r="IH288" s="13">
        <f>IH287+IG288</f>
        <v>6918295.740305338</v>
      </c>
      <c r="II288">
        <f>IF(IH288=MAX($IH$83:$IH$483),$A288,0)</f>
        <v>0</v>
      </c>
      <c r="IJ288">
        <f>IF(IE288&lt;IF288,$A288,B_MAX+1)</f>
        <v>205</v>
      </c>
      <c r="IK288" s="13">
        <f>IF(IB288=1,$IB$35,$IB$36)</f>
        <v>0</v>
      </c>
      <c r="IL288" s="13">
        <f>OCC_DAYS*$IB$41*R_NF_2023-ID288*MCD_SHARE_FREED*R_WAIT_2023</f>
        <v>151980.48282209205</v>
      </c>
      <c r="IM288">
        <f>IF($A288&lt;=$IB$45,1,0)</f>
        <v>0</v>
      </c>
      <c r="JB288">
        <f>IF($JB$31&lt;=$JB$32,IF($A288&lt;=$JB$7,1,2),IF($A288&lt;=RUNG_BEDS_2,2,1))</f>
        <v>1</v>
      </c>
      <c r="JC288" s="5">
        <f>MIN(1,MAX(0,$JB$26-($A288-1)))</f>
        <v>0</v>
      </c>
      <c r="JD288" s="5">
        <f>$JB$25*(JC288+(1-JC288)*$JB$16)</f>
        <v>0.0</v>
      </c>
      <c r="JE288" s="13">
        <f>JD288*($JB$6+ACUTE_MARGIN)</f>
        <v>0.0</v>
      </c>
      <c r="JF288" s="13">
        <f>IF(JB288=1,$JB$31,$JB$32)</f>
        <v>152394.16214437486</v>
      </c>
      <c r="JG288" s="13">
        <f>JE288-JF288</f>
        <v>-152394.16214437486</v>
      </c>
      <c r="JH288" s="13">
        <f>JH287+JG288</f>
        <v>6988167.388675494</v>
      </c>
      <c r="JI288">
        <f>IF(JH288=MAX($JH$83:$JH$483),$A288,0)</f>
        <v>0</v>
      </c>
      <c r="JJ288">
        <f>IF(JE288&lt;JF288,$A288,B_MAX+1)</f>
        <v>205</v>
      </c>
      <c r="JK288" s="13">
        <f>IF(JB288=1,$JB$35,$JB$36)</f>
        <v>0</v>
      </c>
      <c r="JL288" s="13">
        <f>OCC_DAYS*$JB$41*R_NF_2023-JD288*MCD_SHARE_FREED*R_WAIT_2023</f>
        <v>151980.48282209205</v>
      </c>
      <c r="JM288">
        <f>IF($A288&lt;=$JB$45,1,0)</f>
        <v>0</v>
      </c>
      <c r="KB288">
        <f>IF($KB$31&lt;=$KB$32,IF($A288&lt;=$KB$7,1,2),IF($A288&lt;=RUNG_BEDS_2,2,1))</f>
        <v>1</v>
      </c>
      <c r="KC288" s="5">
        <f>MIN(1,MAX(0,$KB$26-($A288-1)))</f>
        <v>1</v>
      </c>
      <c r="KD288" s="5">
        <f>$KB$25*(KC288+(1-KC288)*$KB$16)</f>
        <v>126.02661357340719</v>
      </c>
      <c r="KE288" s="13">
        <f>KD288*($KB$6+ACUTE_MARGIN)</f>
        <v>127286.87970914126</v>
      </c>
      <c r="KF288" s="13">
        <f>IF(KB288=1,$KB$31,$KB$32)</f>
        <v>152394.16214437486</v>
      </c>
      <c r="KG288" s="13">
        <f>KE288-KF288</f>
        <v>-25107.282435233603</v>
      </c>
      <c r="KH288" s="13">
        <f>KH287+KG288</f>
        <v>-5146992.899222905</v>
      </c>
      <c r="KI288">
        <f>IF(KH288=MAX($KH$83:$KH$483),$A288,0)</f>
        <v>0</v>
      </c>
      <c r="KJ288">
        <f>IF(KE288&lt;KF288,$A288,B_MAX+1)</f>
        <v>205</v>
      </c>
      <c r="KK288" s="13">
        <f>IF(KB288=1,$KB$35,$KB$36)</f>
        <v>0</v>
      </c>
      <c r="KL288" s="13">
        <f>OCC_DAYS*$KB$41*R_NF_2023-KD288*MCD_SHARE_FREED*R_WAIT_2023</f>
        <v>94673.82103225985</v>
      </c>
      <c r="KM288">
        <f>IF($A288&lt;=$KB$45,1,0)</f>
        <v>0</v>
      </c>
      <c r="LB288">
        <f>IF($LB$31&lt;=$LB$32,IF($A288&lt;=$LB$7,1,2),IF($A288&lt;=RUNG_BEDS_2,2,1))</f>
        <v>1</v>
      </c>
      <c r="LC288" s="5">
        <f>MIN(1,MAX(0,$LB$26-($A288-1)))</f>
        <v>1</v>
      </c>
      <c r="LD288" s="5">
        <f>$LB$25*(LC288+(1-LC288)*$LB$16)</f>
        <v>84.01774238227146</v>
      </c>
      <c r="LE288" s="13">
        <f>LD288*($LB$6+ACUTE_MARGIN)</f>
        <v>84857.91980609419</v>
      </c>
      <c r="LF288" s="13">
        <f>IF(LB288=1,$LB$31,$LB$32)</f>
        <v>152394.16214437486</v>
      </c>
      <c r="LG288" s="13">
        <f>LE288-LF288</f>
        <v>-67536.24233828067</v>
      </c>
      <c r="LH288" s="13">
        <f>LH287+LG288</f>
        <v>-13844929.6793476</v>
      </c>
      <c r="LI288">
        <f>IF(LH288=MAX($LH$83:$LH$483),$A288,0)</f>
        <v>0</v>
      </c>
      <c r="LJ288">
        <f>IF(LE288&lt;LF288,$A288,B_MAX+1)</f>
        <v>205</v>
      </c>
      <c r="LK288" s="13">
        <f>IF(LB288=1,$LB$35,$LB$36)</f>
        <v>0</v>
      </c>
      <c r="LL288" s="13">
        <f>OCC_DAYS*$LB$41*R_NF_2023-LD288*MCD_SHARE_FREED*R_WAIT_2023</f>
        <v>113776.04162887059</v>
      </c>
      <c r="LM288">
        <f>IF($A288&lt;=$LB$45,1,0)</f>
        <v>0</v>
      </c>
      <c r="MB288">
        <f>IF($MB$31&lt;=$MB$32,IF($A288&lt;=$MB$7,1,2),IF($A288&lt;=RUNG_BEDS_2,2,1))</f>
        <v>1</v>
      </c>
      <c r="MC288" s="5">
        <f>MIN(1,MAX(0,$MB$26-($A288-1)))</f>
        <v>0</v>
      </c>
      <c r="MD288" s="5">
        <f>$MB$25*(MC288+(1-MC288)*$MB$16)</f>
        <v>0.0</v>
      </c>
      <c r="ME288" s="13">
        <f>MD288*($MB$6+ACUTE_MARGIN)</f>
        <v>0.0</v>
      </c>
      <c r="MF288" s="13">
        <f>IF(MB288=1,$MB$31,$MB$32)</f>
        <v>152394.16214437486</v>
      </c>
      <c r="MG288" s="13">
        <f>ME288-MF288</f>
        <v>-152394.16214437486</v>
      </c>
      <c r="MH288" s="13">
        <f>MH287+MG288</f>
        <v>1100891.3268771598</v>
      </c>
      <c r="MI288">
        <f>IF(MH288=MAX($MH$83:$MH$483),$A288,0)</f>
        <v>0</v>
      </c>
      <c r="MJ288">
        <f>IF(ME288&lt;MF288,$A288,B_MAX+1)</f>
        <v>205</v>
      </c>
      <c r="MK288" s="13">
        <f>IF(MB288=1,$MB$35,$MB$36)</f>
        <v>0</v>
      </c>
      <c r="ML288" s="13">
        <f>OCC_DAYS*$MB$41*R_NF_2023-MD288*MCD_SHARE_FREED*R_WAIT_2023</f>
        <v>151980.48282209205</v>
      </c>
      <c r="MM288">
        <f>IF($A288&lt;=$MB$45,1,0)</f>
        <v>0</v>
      </c>
      <c r="NB288">
        <f>IF($NB$31&lt;=$NB$32,IF($A288&lt;=$NB$7,1,2),IF($A288&lt;=RUNG_BEDS_2,2,1))</f>
        <v>1</v>
      </c>
      <c r="NC288" s="5">
        <f>MIN(1,MAX(0,$NB$26-($A288-1)))</f>
        <v>0</v>
      </c>
      <c r="ND288" s="5">
        <f>$NB$25*(NC288+(1-NC288)*$NB$16)</f>
        <v>63.013306786703595</v>
      </c>
      <c r="NE288" s="13">
        <f>ND288*($NB$6+ACUTE_MARGIN)</f>
        <v>63643.43985457063</v>
      </c>
      <c r="NF288" s="13">
        <f>IF(NB288=1,$NB$31,$NB$32)</f>
        <v>152394.16214437486</v>
      </c>
      <c r="NG288" s="13">
        <f>NE288-NF288</f>
        <v>-88750.72228980422</v>
      </c>
      <c r="NH288" s="13">
        <f>NH287+NG288</f>
        <v>10477829.90179437</v>
      </c>
      <c r="NI288">
        <f>IF(NH288=MAX($NH$83:$NH$483),$A288,0)</f>
        <v>0</v>
      </c>
      <c r="NJ288">
        <f>IF(NE288&lt;NF288,$A288,B_MAX+1)</f>
        <v>205</v>
      </c>
      <c r="NK288" s="13">
        <f>IF(NB288=1,$NB$35,$NB$36)</f>
        <v>0</v>
      </c>
      <c r="NL288" s="13">
        <f>OCC_DAYS*$NB$41*R_NF_2023-ND288*MCD_SHARE_FREED*R_WAIT_2023</f>
        <v>123327.15192717595</v>
      </c>
      <c r="NM288">
        <f>IF($A288&lt;=$NB$45,1,0)</f>
        <v>0</v>
      </c>
      <c r="OB288">
        <f>IF($OB$31&lt;=$OB$32,IF($A288&lt;=$OB$7,1,2),IF($A288&lt;=RUNG_BEDS_2,2,1))</f>
        <v>1</v>
      </c>
      <c r="OC288" s="5">
        <f>MIN(1,MAX(0,$OB$26-($A288-1)))</f>
        <v>0</v>
      </c>
      <c r="OD288" s="5">
        <f>$OB$25*(OC288+(1-OC288)*$OB$16)</f>
        <v>126.02661357340719</v>
      </c>
      <c r="OE288" s="13">
        <f>OD288*($OB$6+ACUTE_MARGIN)</f>
        <v>127286.87970914126</v>
      </c>
      <c r="OF288" s="13">
        <f>IF(OB288=1,$OB$31,$OB$32)</f>
        <v>152394.16214437486</v>
      </c>
      <c r="OG288" s="13">
        <f>OE288-OF288</f>
        <v>-25107.282435233603</v>
      </c>
      <c r="OH288" s="13">
        <f>OH287+OG288</f>
        <v>13967492.41491334</v>
      </c>
      <c r="OI288">
        <f>IF(OH288=MAX($OH$83:$OH$483),$A288,0)</f>
        <v>0</v>
      </c>
      <c r="OJ288">
        <f>IF(OE288&lt;OF288,$A288,B_MAX+1)</f>
        <v>205</v>
      </c>
      <c r="OK288" s="13">
        <f>IF(OB288=1,$OB$35,$OB$36)</f>
        <v>0</v>
      </c>
      <c r="OL288" s="13">
        <f>OCC_DAYS*$OB$41*R_NF_2023-OD288*MCD_SHARE_FREED*R_WAIT_2023</f>
        <v>94673.82103225985</v>
      </c>
      <c r="OM288">
        <f>IF($A288&lt;=$OB$45,1,0)</f>
        <v>0</v>
      </c>
    </row>
    <row r="289">
      <c r="A289" t="n">
        <v>206</v>
      </c>
      <c r="B289">
        <f>IF($B$31&lt;=$B$32,IF($A289&lt;=$B$7,1,2),IF($A289&lt;=RUNG_BEDS_2,2,1))</f>
        <v>1</v>
      </c>
      <c r="C289" s="5">
        <f>MIN(1,MAX(0,$B$26-($A289-1)))</f>
        <v>0</v>
      </c>
      <c r="D289" s="5">
        <f>$B$25*(C289+(1-C289)*$B$16)</f>
        <v>0.0</v>
      </c>
      <c r="E289" s="13">
        <f>D289*($B$6+ACUTE_MARGIN)</f>
        <v>0.0</v>
      </c>
      <c r="F289" s="13">
        <f>IF(B289=1,$B$31,$B$32)</f>
        <v>152394.16214437486</v>
      </c>
      <c r="G289" s="13">
        <f>E289-F289</f>
        <v>-152394.16214437486</v>
      </c>
      <c r="H289" s="13">
        <f>H288+G289</f>
        <v>6835773.226531119</v>
      </c>
      <c r="I289">
        <f>IF(H289=MAX($H$83:$H$483),$A289,0)</f>
        <v>0</v>
      </c>
      <c r="J289">
        <f>IF(E289&lt;F289,$A289,B_MAX+1)</f>
        <v>206</v>
      </c>
      <c r="K289" s="13">
        <f>IF(B289=1,$B$35,$B$36)</f>
        <v>0</v>
      </c>
      <c r="L289" s="13">
        <f>OCC_DAYS*$B$41*R_NF_2023-D289*MCD_SHARE_FREED*R_WAIT_2023</f>
        <v>151980.48282209205</v>
      </c>
      <c r="M289">
        <f>IF($A289&lt;=$B$45,1,0)</f>
        <v>0</v>
      </c>
      <c r="AB289">
        <f>IF($AB$31&lt;=$AB$32,IF($A289&lt;=$AB$7,1,2),IF($A289&lt;=RUNG_BEDS_2,2,1))</f>
        <v>1</v>
      </c>
      <c r="AC289" s="5">
        <f>MIN(1,MAX(0,$AB$26-($A289-1)))</f>
        <v>0</v>
      </c>
      <c r="AD289" s="5">
        <f>$AB$25*(AC289+(1-AC289)*$AB$16)</f>
        <v>0.0</v>
      </c>
      <c r="AE289" s="13">
        <f>AD289*($AB$6+ACUTE_MARGIN)</f>
        <v>0.0</v>
      </c>
      <c r="AF289" s="13">
        <f>IF(AB289=1,$AB$31,$AB$32)</f>
        <v>152394.16214437486</v>
      </c>
      <c r="AG289" s="13">
        <f>AE289-AF289</f>
        <v>-152394.16214437486</v>
      </c>
      <c r="AH289" s="13">
        <f>AH288+AG289</f>
        <v>-10575441.119018702</v>
      </c>
      <c r="AI289">
        <f>IF(AH289=MAX($AH$83:$AH$483),$A289,0)</f>
        <v>0</v>
      </c>
      <c r="AJ289">
        <f>IF(AE289&lt;AF289,$A289,B_MAX+1)</f>
        <v>206</v>
      </c>
      <c r="AK289" s="13">
        <f>IF(AB289=1,$AB$35,$AB$36)</f>
        <v>0</v>
      </c>
      <c r="AL289" s="13">
        <f>OCC_DAYS*$AB$41*R_NF_2023-AD289*MCD_SHARE_FREED*R_WAIT_2023</f>
        <v>151980.48282209205</v>
      </c>
      <c r="AM289">
        <f>IF($A289&lt;=$AB$45,1,0)</f>
        <v>0</v>
      </c>
      <c r="BB289">
        <f>IF($BB$31&lt;=$BB$32,IF($A289&lt;=$BB$7,1,2),IF($A289&lt;=RUNG_BEDS_2,2,1))</f>
        <v>1</v>
      </c>
      <c r="BC289" s="5">
        <f>MIN(1,MAX(0,$BB$26-($A289-1)))</f>
        <v>0</v>
      </c>
      <c r="BD289" s="5">
        <f>$BB$25*(BC289+(1-BC289)*$BB$16)</f>
        <v>0.0</v>
      </c>
      <c r="BE289" s="13">
        <f>BD289*($BB$6+ACUTE_MARGIN)</f>
        <v>0.0</v>
      </c>
      <c r="BF289" s="13">
        <f>IF(BB289=1,$BB$31,$BB$32)</f>
        <v>152394.16214437486</v>
      </c>
      <c r="BG289" s="13">
        <f>BE289-BF289</f>
        <v>-152394.16214437486</v>
      </c>
      <c r="BH289" s="13">
        <f>BH288+BG289</f>
        <v>24246987.57208079</v>
      </c>
      <c r="BI289">
        <f>IF(BH289=MAX($BH$83:$BH$483),$A289,0)</f>
        <v>0</v>
      </c>
      <c r="BJ289">
        <f>IF(BE289&lt;BF289,$A289,B_MAX+1)</f>
        <v>206</v>
      </c>
      <c r="BK289" s="13">
        <f>IF(BB289=1,$BB$35,$BB$36)</f>
        <v>0</v>
      </c>
      <c r="BL289" s="13">
        <f>OCC_DAYS*$BB$41*R_NF_2023-BD289*MCD_SHARE_FREED*R_WAIT_2023</f>
        <v>151980.48282209205</v>
      </c>
      <c r="BM289">
        <f>IF($A289&lt;=$BB$45,1,0)</f>
        <v>0</v>
      </c>
      <c r="CB289">
        <f>IF($CB$31&lt;=$CB$32,IF($A289&lt;=$CB$7,1,2),IF($A289&lt;=RUNG_BEDS_2,2,1))</f>
        <v>2</v>
      </c>
      <c r="CC289" s="5">
        <f>MIN(1,MAX(0,$CB$26-($A289-1)))</f>
        <v>0</v>
      </c>
      <c r="CD289" s="5">
        <f>$CB$25*(CC289+(1-CC289)*$CB$16)</f>
        <v>0.0</v>
      </c>
      <c r="CE289" s="13">
        <f>CD289*($CB$6+ACUTE_MARGIN)</f>
        <v>0.0</v>
      </c>
      <c r="CF289" s="13">
        <f>IF(CB289=1,$CB$31,$CB$32)</f>
        <v>160718.36940738867</v>
      </c>
      <c r="CG289" s="13">
        <f>CE289-CF289</f>
        <v>-160718.36940738867</v>
      </c>
      <c r="CH289" s="13">
        <f>CH288+CG289</f>
        <v>5120986.530350155</v>
      </c>
      <c r="CI289">
        <f>IF(CH289=MAX($CH$83:$CH$483),$A289,0)</f>
        <v>0</v>
      </c>
      <c r="CJ289">
        <f>IF(CE289&lt;CF289,$A289,B_MAX+1)</f>
        <v>206</v>
      </c>
      <c r="CK289" s="13">
        <f>IF(CB289=1,$CB$35,$CB$36)</f>
        <v>1560.1194073886782</v>
      </c>
      <c r="CL289" s="13">
        <f>OCC_DAYS*$CB$41*R_NF_2023-CD289*MCD_SHARE_FREED*R_WAIT_2023</f>
        <v>151980.48282209205</v>
      </c>
      <c r="CM289">
        <f>IF($A289&lt;=$CB$45,1,0)</f>
        <v>0</v>
      </c>
      <c r="DB289">
        <f>IF($DB$31&lt;=$DB$32,IF($A289&lt;=$DB$7,1,2),IF($A289&lt;=RUNG_BEDS_2,2,1))</f>
        <v>1</v>
      </c>
      <c r="DC289" s="5">
        <f>MIN(1,MAX(0,$DB$26-($A289-1)))</f>
        <v>0</v>
      </c>
      <c r="DD289" s="5">
        <f>$DB$25*(DC289+(1-DC289)*$DB$16)</f>
        <v>0.0</v>
      </c>
      <c r="DE289" s="13">
        <f>DD289*($DB$6+ACUTE_MARGIN)</f>
        <v>0.0</v>
      </c>
      <c r="DF289" s="13">
        <f>IF(DB289=1,$DB$31,$DB$32)</f>
        <v>152394.16214437486</v>
      </c>
      <c r="DG289" s="13">
        <f>DE289-DF289</f>
        <v>-152394.16214437486</v>
      </c>
      <c r="DH289" s="13">
        <f>DH288+DG289</f>
        <v>6835773.226531119</v>
      </c>
      <c r="DI289">
        <f>IF(DH289=MAX($DH$83:$DH$483),$A289,0)</f>
        <v>0</v>
      </c>
      <c r="DJ289">
        <f>IF(DE289&lt;DF289,$A289,B_MAX+1)</f>
        <v>206</v>
      </c>
      <c r="DK289" s="13">
        <f>IF(DB289=1,$DB$35,$DB$36)</f>
        <v>0</v>
      </c>
      <c r="DL289" s="13">
        <f>OCC_DAYS*$DB$41*R_NF_2023-DD289*MCD_SHARE_FREED*R_WAIT_2023</f>
        <v>151980.48282209205</v>
      </c>
      <c r="DM289">
        <f>IF($A289&lt;=$DB$45,1,0)</f>
        <v>0</v>
      </c>
      <c r="EB289">
        <f>IF($EB$31&lt;=$EB$32,IF($A289&lt;=$EB$7,1,2),IF($A289&lt;=RUNG_BEDS_2,2,1))</f>
        <v>1</v>
      </c>
      <c r="EC289" s="5">
        <f>MIN(1,MAX(0,$EB$26-($A289-1)))</f>
        <v>0</v>
      </c>
      <c r="ED289" s="5">
        <f>$EB$25*(EC289+(1-EC289)*$EB$16)</f>
        <v>0.0</v>
      </c>
      <c r="EE289" s="13">
        <f>ED289*($EB$6+ACUTE_MARGIN)</f>
        <v>0.0</v>
      </c>
      <c r="EF289" s="13">
        <f>IF(EB289=1,$EB$31,$EB$32)</f>
        <v>152394.16214437486</v>
      </c>
      <c r="EG289" s="13">
        <f>EE289-EF289</f>
        <v>-152394.16214437486</v>
      </c>
      <c r="EH289" s="13">
        <f>EH288+EG289</f>
        <v>6835773.226531119</v>
      </c>
      <c r="EI289">
        <f>IF(EH289=MAX($EH$83:$EH$483),$A289,0)</f>
        <v>0</v>
      </c>
      <c r="EJ289">
        <f>IF(EE289&lt;EF289,$A289,B_MAX+1)</f>
        <v>206</v>
      </c>
      <c r="EK289" s="13">
        <f>IF(EB289=1,$EB$35,$EB$36)</f>
        <v>0</v>
      </c>
      <c r="EL289" s="13">
        <f>OCC_DAYS*$EB$41*R_NF_2023-ED289*MCD_SHARE_FREED*R_WAIT_2023</f>
        <v>50660.16094069735</v>
      </c>
      <c r="EM289">
        <f>IF($A289&lt;=$EB$45,1,0)</f>
        <v>0</v>
      </c>
      <c r="FB289">
        <f>IF($FB$31&lt;=$FB$32,IF($A289&lt;=$FB$7,1,2),IF($A289&lt;=RUNG_BEDS_2,2,1))</f>
        <v>1</v>
      </c>
      <c r="FC289" s="5">
        <f>MIN(1,MAX(0,$FB$26-($A289-1)))</f>
        <v>0</v>
      </c>
      <c r="FD289" s="5">
        <f>$FB$25*(FC289+(1-FC289)*$FB$16)</f>
        <v>0.0</v>
      </c>
      <c r="FE289" s="13">
        <f>FD289*($FB$6+ACUTE_MARGIN)</f>
        <v>0.0</v>
      </c>
      <c r="FF289" s="13">
        <f>IF(FB289=1,$FB$31,$FB$32)</f>
        <v>156636.04979437485</v>
      </c>
      <c r="FG289" s="13">
        <f>FE289-FF289</f>
        <v>-156636.04979437485</v>
      </c>
      <c r="FH289" s="13">
        <f>FH288+FG289</f>
        <v>5961944.370631004</v>
      </c>
      <c r="FI289">
        <f>IF(FH289=MAX($FH$83:$FH$483),$A289,0)</f>
        <v>0</v>
      </c>
      <c r="FJ289">
        <f>IF(FE289&lt;FF289,$A289,B_MAX+1)</f>
        <v>206</v>
      </c>
      <c r="FK289" s="13">
        <f>IF(FB289=1,$FB$35,$FB$36)</f>
        <v>0</v>
      </c>
      <c r="FL289" s="13">
        <f>OCC_DAYS*$FB$41*R_NF_2023-FD289*MCD_SHARE_FREED*R_WAIT_2023</f>
        <v>151980.48282209205</v>
      </c>
      <c r="FM289">
        <f>IF($A289&lt;=$FB$45,1,0)</f>
        <v>0</v>
      </c>
      <c r="GB289">
        <f>IF($GB$31&lt;=$GB$32,IF($A289&lt;=$GB$7,1,2),IF($A289&lt;=RUNG_BEDS_2,2,1))</f>
        <v>1</v>
      </c>
      <c r="GC289" s="5">
        <f>MIN(1,MAX(0,$GB$26-($A289-1)))</f>
        <v>0</v>
      </c>
      <c r="GD289" s="5">
        <f>$GB$25*(GC289+(1-GC289)*$GB$16)</f>
        <v>0.0</v>
      </c>
      <c r="GE289" s="13">
        <f>GD289*($GB$6+ACUTE_MARGIN)</f>
        <v>0.0</v>
      </c>
      <c r="GF289" s="13">
        <f>IF(GB289=1,$GB$31,$GB$32)</f>
        <v>152394.16214437486</v>
      </c>
      <c r="GG289" s="13">
        <f>GE289-GF289</f>
        <v>-152394.16214437486</v>
      </c>
      <c r="GH289" s="13">
        <f>GH288+GG289</f>
        <v>6835773.226531119</v>
      </c>
      <c r="GI289">
        <f>IF(GH289=MAX($GH$83:$GH$483),$A289,0)</f>
        <v>0</v>
      </c>
      <c r="GJ289">
        <f>IF(GE289&lt;GF289,$A289,B_MAX+1)</f>
        <v>206</v>
      </c>
      <c r="GK289" s="13">
        <f>IF(GB289=1,$GB$35,$GB$36)</f>
        <v>0</v>
      </c>
      <c r="GL289" s="13">
        <f>OCC_DAYS*$GB$41*R_NF_2023-GD289*MCD_SHARE_FREED*R_WAIT_2023</f>
        <v>151980.48282209205</v>
      </c>
      <c r="GM289">
        <f>IF($A289&lt;=$GB$45,1,0)</f>
        <v>0</v>
      </c>
      <c r="HB289">
        <f>IF($HB$31&lt;=$HB$32,IF($A289&lt;=$HB$7,1,2),IF($A289&lt;=RUNG_BEDS_2,2,1))</f>
        <v>1</v>
      </c>
      <c r="HC289" s="5">
        <f>MIN(1,MAX(0,$HB$26-($A289-1)))</f>
        <v>0</v>
      </c>
      <c r="HD289" s="5">
        <f>$HB$25*(HC289+(1-HC289)*$HB$16)</f>
        <v>0.0</v>
      </c>
      <c r="HE289" s="13">
        <f>HD289*($HB$6+ACUTE_MARGIN)</f>
        <v>0.0</v>
      </c>
      <c r="HF289" s="13">
        <f>IF(HB289=1,$HB$31,$HB$32)</f>
        <v>152456.2970814058</v>
      </c>
      <c r="HG289" s="13">
        <f>HE289-HF289</f>
        <v>-152456.2970814058</v>
      </c>
      <c r="HH289" s="13">
        <f>HH288+HG289</f>
        <v>6822973.429502708</v>
      </c>
      <c r="HI289">
        <f>IF(HH289=MAX($HH$83:$HH$483),$A289,0)</f>
        <v>0</v>
      </c>
      <c r="HJ289">
        <f>IF(HE289&lt;HF289,$A289,B_MAX+1)</f>
        <v>206</v>
      </c>
      <c r="HK289" s="13">
        <f>IF(HB289=1,$HB$35,$HB$36)</f>
        <v>0</v>
      </c>
      <c r="HL289" s="13">
        <f>OCC_DAYS*$HB$41*R_NF_2023-HD289*MCD_SHARE_FREED*R_WAIT_2023</f>
        <v>151980.48282209205</v>
      </c>
      <c r="HM289">
        <f>IF($A289&lt;=$HB$45,1,0)</f>
        <v>0</v>
      </c>
      <c r="IB289">
        <f>IF($IB$31&lt;=$IB$32,IF($A289&lt;=$IB$7,1,2),IF($A289&lt;=RUNG_BEDS_2,2,1))</f>
        <v>1</v>
      </c>
      <c r="IC289" s="5">
        <f>MIN(1,MAX(0,$IB$26-($A289-1)))</f>
        <v>0</v>
      </c>
      <c r="ID289" s="5">
        <f>$IB$25*(IC289+(1-IC289)*$IB$16)</f>
        <v>0.0</v>
      </c>
      <c r="IE289" s="13">
        <f>ID289*($IB$6+ACUTE_MARGIN)</f>
        <v>0.0</v>
      </c>
      <c r="IF289" s="13">
        <f>IF(IB289=1,$IB$31,$IB$32)</f>
        <v>152734.9994534971</v>
      </c>
      <c r="IG289" s="13">
        <f>IE289-IF289</f>
        <v>-152734.9994534971</v>
      </c>
      <c r="IH289" s="13">
        <f>IH288+IG289</f>
        <v>6765560.740851841</v>
      </c>
      <c r="II289">
        <f>IF(IH289=MAX($IH$83:$IH$483),$A289,0)</f>
        <v>0</v>
      </c>
      <c r="IJ289">
        <f>IF(IE289&lt;IF289,$A289,B_MAX+1)</f>
        <v>206</v>
      </c>
      <c r="IK289" s="13">
        <f>IF(IB289=1,$IB$35,$IB$36)</f>
        <v>0</v>
      </c>
      <c r="IL289" s="13">
        <f>OCC_DAYS*$IB$41*R_NF_2023-ID289*MCD_SHARE_FREED*R_WAIT_2023</f>
        <v>151980.48282209205</v>
      </c>
      <c r="IM289">
        <f>IF($A289&lt;=$IB$45,1,0)</f>
        <v>0</v>
      </c>
      <c r="JB289">
        <f>IF($JB$31&lt;=$JB$32,IF($A289&lt;=$JB$7,1,2),IF($A289&lt;=RUNG_BEDS_2,2,1))</f>
        <v>1</v>
      </c>
      <c r="JC289" s="5">
        <f>MIN(1,MAX(0,$JB$26-($A289-1)))</f>
        <v>0</v>
      </c>
      <c r="JD289" s="5">
        <f>$JB$25*(JC289+(1-JC289)*$JB$16)</f>
        <v>0.0</v>
      </c>
      <c r="JE289" s="13">
        <f>JD289*($JB$6+ACUTE_MARGIN)</f>
        <v>0.0</v>
      </c>
      <c r="JF289" s="13">
        <f>IF(JB289=1,$JB$31,$JB$32)</f>
        <v>152394.16214437486</v>
      </c>
      <c r="JG289" s="13">
        <f>JE289-JF289</f>
        <v>-152394.16214437486</v>
      </c>
      <c r="JH289" s="13">
        <f>JH288+JG289</f>
        <v>6835773.226531119</v>
      </c>
      <c r="JI289">
        <f>IF(JH289=MAX($JH$83:$JH$483),$A289,0)</f>
        <v>0</v>
      </c>
      <c r="JJ289">
        <f>IF(JE289&lt;JF289,$A289,B_MAX+1)</f>
        <v>206</v>
      </c>
      <c r="JK289" s="13">
        <f>IF(JB289=1,$JB$35,$JB$36)</f>
        <v>0</v>
      </c>
      <c r="JL289" s="13">
        <f>OCC_DAYS*$JB$41*R_NF_2023-JD289*MCD_SHARE_FREED*R_WAIT_2023</f>
        <v>151980.48282209205</v>
      </c>
      <c r="JM289">
        <f>IF($A289&lt;=$JB$45,1,0)</f>
        <v>0</v>
      </c>
      <c r="KB289">
        <f>IF($KB$31&lt;=$KB$32,IF($A289&lt;=$KB$7,1,2),IF($A289&lt;=RUNG_BEDS_2,2,1))</f>
        <v>1</v>
      </c>
      <c r="KC289" s="5">
        <f>MIN(1,MAX(0,$KB$26-($A289-1)))</f>
        <v>1</v>
      </c>
      <c r="KD289" s="5">
        <f>$KB$25*(KC289+(1-KC289)*$KB$16)</f>
        <v>126.02661357340719</v>
      </c>
      <c r="KE289" s="13">
        <f>KD289*($KB$6+ACUTE_MARGIN)</f>
        <v>127286.87970914126</v>
      </c>
      <c r="KF289" s="13">
        <f>IF(KB289=1,$KB$31,$KB$32)</f>
        <v>152394.16214437486</v>
      </c>
      <c r="KG289" s="13">
        <f>KE289-KF289</f>
        <v>-25107.282435233603</v>
      </c>
      <c r="KH289" s="13">
        <f>KH288+KG289</f>
        <v>-5172100.1816581385</v>
      </c>
      <c r="KI289">
        <f>IF(KH289=MAX($KH$83:$KH$483),$A289,0)</f>
        <v>0</v>
      </c>
      <c r="KJ289">
        <f>IF(KE289&lt;KF289,$A289,B_MAX+1)</f>
        <v>206</v>
      </c>
      <c r="KK289" s="13">
        <f>IF(KB289=1,$KB$35,$KB$36)</f>
        <v>0</v>
      </c>
      <c r="KL289" s="13">
        <f>OCC_DAYS*$KB$41*R_NF_2023-KD289*MCD_SHARE_FREED*R_WAIT_2023</f>
        <v>94673.82103225985</v>
      </c>
      <c r="KM289">
        <f>IF($A289&lt;=$KB$45,1,0)</f>
        <v>0</v>
      </c>
      <c r="LB289">
        <f>IF($LB$31&lt;=$LB$32,IF($A289&lt;=$LB$7,1,2),IF($A289&lt;=RUNG_BEDS_2,2,1))</f>
        <v>1</v>
      </c>
      <c r="LC289" s="5">
        <f>MIN(1,MAX(0,$LB$26-($A289-1)))</f>
        <v>1</v>
      </c>
      <c r="LD289" s="5">
        <f>$LB$25*(LC289+(1-LC289)*$LB$16)</f>
        <v>84.01774238227146</v>
      </c>
      <c r="LE289" s="13">
        <f>LD289*($LB$6+ACUTE_MARGIN)</f>
        <v>84857.91980609419</v>
      </c>
      <c r="LF289" s="13">
        <f>IF(LB289=1,$LB$31,$LB$32)</f>
        <v>152394.16214437486</v>
      </c>
      <c r="LG289" s="13">
        <f>LE289-LF289</f>
        <v>-67536.24233828067</v>
      </c>
      <c r="LH289" s="13">
        <f>LH288+LG289</f>
        <v>-13912465.921685882</v>
      </c>
      <c r="LI289">
        <f>IF(LH289=MAX($LH$83:$LH$483),$A289,0)</f>
        <v>0</v>
      </c>
      <c r="LJ289">
        <f>IF(LE289&lt;LF289,$A289,B_MAX+1)</f>
        <v>206</v>
      </c>
      <c r="LK289" s="13">
        <f>IF(LB289=1,$LB$35,$LB$36)</f>
        <v>0</v>
      </c>
      <c r="LL289" s="13">
        <f>OCC_DAYS*$LB$41*R_NF_2023-LD289*MCD_SHARE_FREED*R_WAIT_2023</f>
        <v>113776.04162887059</v>
      </c>
      <c r="LM289">
        <f>IF($A289&lt;=$LB$45,1,0)</f>
        <v>0</v>
      </c>
      <c r="MB289">
        <f>IF($MB$31&lt;=$MB$32,IF($A289&lt;=$MB$7,1,2),IF($A289&lt;=RUNG_BEDS_2,2,1))</f>
        <v>1</v>
      </c>
      <c r="MC289" s="5">
        <f>MIN(1,MAX(0,$MB$26-($A289-1)))</f>
        <v>0</v>
      </c>
      <c r="MD289" s="5">
        <f>$MB$25*(MC289+(1-MC289)*$MB$16)</f>
        <v>0.0</v>
      </c>
      <c r="ME289" s="13">
        <f>MD289*($MB$6+ACUTE_MARGIN)</f>
        <v>0.0</v>
      </c>
      <c r="MF289" s="13">
        <f>IF(MB289=1,$MB$31,$MB$32)</f>
        <v>152394.16214437486</v>
      </c>
      <c r="MG289" s="13">
        <f>ME289-MF289</f>
        <v>-152394.16214437486</v>
      </c>
      <c r="MH289" s="13">
        <f>MH288+MG289</f>
        <v>948497.164732785</v>
      </c>
      <c r="MI289">
        <f>IF(MH289=MAX($MH$83:$MH$483),$A289,0)</f>
        <v>0</v>
      </c>
      <c r="MJ289">
        <f>IF(ME289&lt;MF289,$A289,B_MAX+1)</f>
        <v>206</v>
      </c>
      <c r="MK289" s="13">
        <f>IF(MB289=1,$MB$35,$MB$36)</f>
        <v>0</v>
      </c>
      <c r="ML289" s="13">
        <f>OCC_DAYS*$MB$41*R_NF_2023-MD289*MCD_SHARE_FREED*R_WAIT_2023</f>
        <v>151980.48282209205</v>
      </c>
      <c r="MM289">
        <f>IF($A289&lt;=$MB$45,1,0)</f>
        <v>0</v>
      </c>
      <c r="NB289">
        <f>IF($NB$31&lt;=$NB$32,IF($A289&lt;=$NB$7,1,2),IF($A289&lt;=RUNG_BEDS_2,2,1))</f>
        <v>1</v>
      </c>
      <c r="NC289" s="5">
        <f>MIN(1,MAX(0,$NB$26-($A289-1)))</f>
        <v>0</v>
      </c>
      <c r="ND289" s="5">
        <f>$NB$25*(NC289+(1-NC289)*$NB$16)</f>
        <v>63.013306786703595</v>
      </c>
      <c r="NE289" s="13">
        <f>ND289*($NB$6+ACUTE_MARGIN)</f>
        <v>63643.43985457063</v>
      </c>
      <c r="NF289" s="13">
        <f>IF(NB289=1,$NB$31,$NB$32)</f>
        <v>152394.16214437486</v>
      </c>
      <c r="NG289" s="13">
        <f>NE289-NF289</f>
        <v>-88750.72228980422</v>
      </c>
      <c r="NH289" s="13">
        <f>NH288+NG289</f>
        <v>10389079.179504566</v>
      </c>
      <c r="NI289">
        <f>IF(NH289=MAX($NH$83:$NH$483),$A289,0)</f>
        <v>0</v>
      </c>
      <c r="NJ289">
        <f>IF(NE289&lt;NF289,$A289,B_MAX+1)</f>
        <v>206</v>
      </c>
      <c r="NK289" s="13">
        <f>IF(NB289=1,$NB$35,$NB$36)</f>
        <v>0</v>
      </c>
      <c r="NL289" s="13">
        <f>OCC_DAYS*$NB$41*R_NF_2023-ND289*MCD_SHARE_FREED*R_WAIT_2023</f>
        <v>123327.15192717595</v>
      </c>
      <c r="NM289">
        <f>IF($A289&lt;=$NB$45,1,0)</f>
        <v>0</v>
      </c>
      <c r="OB289">
        <f>IF($OB$31&lt;=$OB$32,IF($A289&lt;=$OB$7,1,2),IF($A289&lt;=RUNG_BEDS_2,2,1))</f>
        <v>1</v>
      </c>
      <c r="OC289" s="5">
        <f>MIN(1,MAX(0,$OB$26-($A289-1)))</f>
        <v>0</v>
      </c>
      <c r="OD289" s="5">
        <f>$OB$25*(OC289+(1-OC289)*$OB$16)</f>
        <v>126.02661357340719</v>
      </c>
      <c r="OE289" s="13">
        <f>OD289*($OB$6+ACUTE_MARGIN)</f>
        <v>127286.87970914126</v>
      </c>
      <c r="OF289" s="13">
        <f>IF(OB289=1,$OB$31,$OB$32)</f>
        <v>152394.16214437486</v>
      </c>
      <c r="OG289" s="13">
        <f>OE289-OF289</f>
        <v>-25107.282435233603</v>
      </c>
      <c r="OH289" s="13">
        <f>OH288+OG289</f>
        <v>13942385.132478107</v>
      </c>
      <c r="OI289">
        <f>IF(OH289=MAX($OH$83:$OH$483),$A289,0)</f>
        <v>0</v>
      </c>
      <c r="OJ289">
        <f>IF(OE289&lt;OF289,$A289,B_MAX+1)</f>
        <v>206</v>
      </c>
      <c r="OK289" s="13">
        <f>IF(OB289=1,$OB$35,$OB$36)</f>
        <v>0</v>
      </c>
      <c r="OL289" s="13">
        <f>OCC_DAYS*$OB$41*R_NF_2023-OD289*MCD_SHARE_FREED*R_WAIT_2023</f>
        <v>94673.82103225985</v>
      </c>
      <c r="OM289">
        <f>IF($A289&lt;=$OB$45,1,0)</f>
        <v>0</v>
      </c>
    </row>
    <row r="290">
      <c r="A290" t="n">
        <v>207</v>
      </c>
      <c r="B290">
        <f>IF($B$31&lt;=$B$32,IF($A290&lt;=$B$7,1,2),IF($A290&lt;=RUNG_BEDS_2,2,1))</f>
        <v>1</v>
      </c>
      <c r="C290" s="5">
        <f>MIN(1,MAX(0,$B$26-($A290-1)))</f>
        <v>0</v>
      </c>
      <c r="D290" s="5">
        <f>$B$25*(C290+(1-C290)*$B$16)</f>
        <v>0.0</v>
      </c>
      <c r="E290" s="13">
        <f>D290*($B$6+ACUTE_MARGIN)</f>
        <v>0.0</v>
      </c>
      <c r="F290" s="13">
        <f>IF(B290=1,$B$31,$B$32)</f>
        <v>152394.16214437486</v>
      </c>
      <c r="G290" s="13">
        <f>E290-F290</f>
        <v>-152394.16214437486</v>
      </c>
      <c r="H290" s="13">
        <f>H289+G290</f>
        <v>6683379.064386744</v>
      </c>
      <c r="I290">
        <f>IF(H290=MAX($H$83:$H$483),$A290,0)</f>
        <v>0</v>
      </c>
      <c r="J290">
        <f>IF(E290&lt;F290,$A290,B_MAX+1)</f>
        <v>207</v>
      </c>
      <c r="K290" s="13">
        <f>IF(B290=1,$B$35,$B$36)</f>
        <v>0</v>
      </c>
      <c r="L290" s="13">
        <f>OCC_DAYS*$B$41*R_NF_2023-D290*MCD_SHARE_FREED*R_WAIT_2023</f>
        <v>151980.48282209205</v>
      </c>
      <c r="M290">
        <f>IF($A290&lt;=$B$45,1,0)</f>
        <v>0</v>
      </c>
      <c r="AB290">
        <f>IF($AB$31&lt;=$AB$32,IF($A290&lt;=$AB$7,1,2),IF($A290&lt;=RUNG_BEDS_2,2,1))</f>
        <v>1</v>
      </c>
      <c r="AC290" s="5">
        <f>MIN(1,MAX(0,$AB$26-($A290-1)))</f>
        <v>0</v>
      </c>
      <c r="AD290" s="5">
        <f>$AB$25*(AC290+(1-AC290)*$AB$16)</f>
        <v>0.0</v>
      </c>
      <c r="AE290" s="13">
        <f>AD290*($AB$6+ACUTE_MARGIN)</f>
        <v>0.0</v>
      </c>
      <c r="AF290" s="13">
        <f>IF(AB290=1,$AB$31,$AB$32)</f>
        <v>152394.16214437486</v>
      </c>
      <c r="AG290" s="13">
        <f>AE290-AF290</f>
        <v>-152394.16214437486</v>
      </c>
      <c r="AH290" s="13">
        <f>AH289+AG290</f>
        <v>-10727835.281163076</v>
      </c>
      <c r="AI290">
        <f>IF(AH290=MAX($AH$83:$AH$483),$A290,0)</f>
        <v>0</v>
      </c>
      <c r="AJ290">
        <f>IF(AE290&lt;AF290,$A290,B_MAX+1)</f>
        <v>207</v>
      </c>
      <c r="AK290" s="13">
        <f>IF(AB290=1,$AB$35,$AB$36)</f>
        <v>0</v>
      </c>
      <c r="AL290" s="13">
        <f>OCC_DAYS*$AB$41*R_NF_2023-AD290*MCD_SHARE_FREED*R_WAIT_2023</f>
        <v>151980.48282209205</v>
      </c>
      <c r="AM290">
        <f>IF($A290&lt;=$AB$45,1,0)</f>
        <v>0</v>
      </c>
      <c r="BB290">
        <f>IF($BB$31&lt;=$BB$32,IF($A290&lt;=$BB$7,1,2),IF($A290&lt;=RUNG_BEDS_2,2,1))</f>
        <v>1</v>
      </c>
      <c r="BC290" s="5">
        <f>MIN(1,MAX(0,$BB$26-($A290-1)))</f>
        <v>0</v>
      </c>
      <c r="BD290" s="5">
        <f>$BB$25*(BC290+(1-BC290)*$BB$16)</f>
        <v>0.0</v>
      </c>
      <c r="BE290" s="13">
        <f>BD290*($BB$6+ACUTE_MARGIN)</f>
        <v>0.0</v>
      </c>
      <c r="BF290" s="13">
        <f>IF(BB290=1,$BB$31,$BB$32)</f>
        <v>152394.16214437486</v>
      </c>
      <c r="BG290" s="13">
        <f>BE290-BF290</f>
        <v>-152394.16214437486</v>
      </c>
      <c r="BH290" s="13">
        <f>BH289+BG290</f>
        <v>24094593.409936417</v>
      </c>
      <c r="BI290">
        <f>IF(BH290=MAX($BH$83:$BH$483),$A290,0)</f>
        <v>0</v>
      </c>
      <c r="BJ290">
        <f>IF(BE290&lt;BF290,$A290,B_MAX+1)</f>
        <v>207</v>
      </c>
      <c r="BK290" s="13">
        <f>IF(BB290=1,$BB$35,$BB$36)</f>
        <v>0</v>
      </c>
      <c r="BL290" s="13">
        <f>OCC_DAYS*$BB$41*R_NF_2023-BD290*MCD_SHARE_FREED*R_WAIT_2023</f>
        <v>151980.48282209205</v>
      </c>
      <c r="BM290">
        <f>IF($A290&lt;=$BB$45,1,0)</f>
        <v>0</v>
      </c>
      <c r="CB290">
        <f>IF($CB$31&lt;=$CB$32,IF($A290&lt;=$CB$7,1,2),IF($A290&lt;=RUNG_BEDS_2,2,1))</f>
        <v>2</v>
      </c>
      <c r="CC290" s="5">
        <f>MIN(1,MAX(0,$CB$26-($A290-1)))</f>
        <v>0</v>
      </c>
      <c r="CD290" s="5">
        <f>$CB$25*(CC290+(1-CC290)*$CB$16)</f>
        <v>0.0</v>
      </c>
      <c r="CE290" s="13">
        <f>CD290*($CB$6+ACUTE_MARGIN)</f>
        <v>0.0</v>
      </c>
      <c r="CF290" s="13">
        <f>IF(CB290=1,$CB$31,$CB$32)</f>
        <v>160718.36940738867</v>
      </c>
      <c r="CG290" s="13">
        <f>CE290-CF290</f>
        <v>-160718.36940738867</v>
      </c>
      <c r="CH290" s="13">
        <f>CH289+CG290</f>
        <v>4960268.160942767</v>
      </c>
      <c r="CI290">
        <f>IF(CH290=MAX($CH$83:$CH$483),$A290,0)</f>
        <v>0</v>
      </c>
      <c r="CJ290">
        <f>IF(CE290&lt;CF290,$A290,B_MAX+1)</f>
        <v>207</v>
      </c>
      <c r="CK290" s="13">
        <f>IF(CB290=1,$CB$35,$CB$36)</f>
        <v>1560.1194073886782</v>
      </c>
      <c r="CL290" s="13">
        <f>OCC_DAYS*$CB$41*R_NF_2023-CD290*MCD_SHARE_FREED*R_WAIT_2023</f>
        <v>151980.48282209205</v>
      </c>
      <c r="CM290">
        <f>IF($A290&lt;=$CB$45,1,0)</f>
        <v>0</v>
      </c>
      <c r="DB290">
        <f>IF($DB$31&lt;=$DB$32,IF($A290&lt;=$DB$7,1,2),IF($A290&lt;=RUNG_BEDS_2,2,1))</f>
        <v>1</v>
      </c>
      <c r="DC290" s="5">
        <f>MIN(1,MAX(0,$DB$26-($A290-1)))</f>
        <v>0</v>
      </c>
      <c r="DD290" s="5">
        <f>$DB$25*(DC290+(1-DC290)*$DB$16)</f>
        <v>0.0</v>
      </c>
      <c r="DE290" s="13">
        <f>DD290*($DB$6+ACUTE_MARGIN)</f>
        <v>0.0</v>
      </c>
      <c r="DF290" s="13">
        <f>IF(DB290=1,$DB$31,$DB$32)</f>
        <v>152394.16214437486</v>
      </c>
      <c r="DG290" s="13">
        <f>DE290-DF290</f>
        <v>-152394.16214437486</v>
      </c>
      <c r="DH290" s="13">
        <f>DH289+DG290</f>
        <v>6683379.064386744</v>
      </c>
      <c r="DI290">
        <f>IF(DH290=MAX($DH$83:$DH$483),$A290,0)</f>
        <v>0</v>
      </c>
      <c r="DJ290">
        <f>IF(DE290&lt;DF290,$A290,B_MAX+1)</f>
        <v>207</v>
      </c>
      <c r="DK290" s="13">
        <f>IF(DB290=1,$DB$35,$DB$36)</f>
        <v>0</v>
      </c>
      <c r="DL290" s="13">
        <f>OCC_DAYS*$DB$41*R_NF_2023-DD290*MCD_SHARE_FREED*R_WAIT_2023</f>
        <v>151980.48282209205</v>
      </c>
      <c r="DM290">
        <f>IF($A290&lt;=$DB$45,1,0)</f>
        <v>0</v>
      </c>
      <c r="EB290">
        <f>IF($EB$31&lt;=$EB$32,IF($A290&lt;=$EB$7,1,2),IF($A290&lt;=RUNG_BEDS_2,2,1))</f>
        <v>1</v>
      </c>
      <c r="EC290" s="5">
        <f>MIN(1,MAX(0,$EB$26-($A290-1)))</f>
        <v>0</v>
      </c>
      <c r="ED290" s="5">
        <f>$EB$25*(EC290+(1-EC290)*$EB$16)</f>
        <v>0.0</v>
      </c>
      <c r="EE290" s="13">
        <f>ED290*($EB$6+ACUTE_MARGIN)</f>
        <v>0.0</v>
      </c>
      <c r="EF290" s="13">
        <f>IF(EB290=1,$EB$31,$EB$32)</f>
        <v>152394.16214437486</v>
      </c>
      <c r="EG290" s="13">
        <f>EE290-EF290</f>
        <v>-152394.16214437486</v>
      </c>
      <c r="EH290" s="13">
        <f>EH289+EG290</f>
        <v>6683379.064386744</v>
      </c>
      <c r="EI290">
        <f>IF(EH290=MAX($EH$83:$EH$483),$A290,0)</f>
        <v>0</v>
      </c>
      <c r="EJ290">
        <f>IF(EE290&lt;EF290,$A290,B_MAX+1)</f>
        <v>207</v>
      </c>
      <c r="EK290" s="13">
        <f>IF(EB290=1,$EB$35,$EB$36)</f>
        <v>0</v>
      </c>
      <c r="EL290" s="13">
        <f>OCC_DAYS*$EB$41*R_NF_2023-ED290*MCD_SHARE_FREED*R_WAIT_2023</f>
        <v>50660.16094069735</v>
      </c>
      <c r="EM290">
        <f>IF($A290&lt;=$EB$45,1,0)</f>
        <v>0</v>
      </c>
      <c r="FB290">
        <f>IF($FB$31&lt;=$FB$32,IF($A290&lt;=$FB$7,1,2),IF($A290&lt;=RUNG_BEDS_2,2,1))</f>
        <v>1</v>
      </c>
      <c r="FC290" s="5">
        <f>MIN(1,MAX(0,$FB$26-($A290-1)))</f>
        <v>0</v>
      </c>
      <c r="FD290" s="5">
        <f>$FB$25*(FC290+(1-FC290)*$FB$16)</f>
        <v>0.0</v>
      </c>
      <c r="FE290" s="13">
        <f>FD290*($FB$6+ACUTE_MARGIN)</f>
        <v>0.0</v>
      </c>
      <c r="FF290" s="13">
        <f>IF(FB290=1,$FB$31,$FB$32)</f>
        <v>156636.04979437485</v>
      </c>
      <c r="FG290" s="13">
        <f>FE290-FF290</f>
        <v>-156636.04979437485</v>
      </c>
      <c r="FH290" s="13">
        <f>FH289+FG290</f>
        <v>5805308.320836629</v>
      </c>
      <c r="FI290">
        <f>IF(FH290=MAX($FH$83:$FH$483),$A290,0)</f>
        <v>0</v>
      </c>
      <c r="FJ290">
        <f>IF(FE290&lt;FF290,$A290,B_MAX+1)</f>
        <v>207</v>
      </c>
      <c r="FK290" s="13">
        <f>IF(FB290=1,$FB$35,$FB$36)</f>
        <v>0</v>
      </c>
      <c r="FL290" s="13">
        <f>OCC_DAYS*$FB$41*R_NF_2023-FD290*MCD_SHARE_FREED*R_WAIT_2023</f>
        <v>151980.48282209205</v>
      </c>
      <c r="FM290">
        <f>IF($A290&lt;=$FB$45,1,0)</f>
        <v>0</v>
      </c>
      <c r="GB290">
        <f>IF($GB$31&lt;=$GB$32,IF($A290&lt;=$GB$7,1,2),IF($A290&lt;=RUNG_BEDS_2,2,1))</f>
        <v>1</v>
      </c>
      <c r="GC290" s="5">
        <f>MIN(1,MAX(0,$GB$26-($A290-1)))</f>
        <v>0</v>
      </c>
      <c r="GD290" s="5">
        <f>$GB$25*(GC290+(1-GC290)*$GB$16)</f>
        <v>0.0</v>
      </c>
      <c r="GE290" s="13">
        <f>GD290*($GB$6+ACUTE_MARGIN)</f>
        <v>0.0</v>
      </c>
      <c r="GF290" s="13">
        <f>IF(GB290=1,$GB$31,$GB$32)</f>
        <v>152394.16214437486</v>
      </c>
      <c r="GG290" s="13">
        <f>GE290-GF290</f>
        <v>-152394.16214437486</v>
      </c>
      <c r="GH290" s="13">
        <f>GH289+GG290</f>
        <v>6683379.064386744</v>
      </c>
      <c r="GI290">
        <f>IF(GH290=MAX($GH$83:$GH$483),$A290,0)</f>
        <v>0</v>
      </c>
      <c r="GJ290">
        <f>IF(GE290&lt;GF290,$A290,B_MAX+1)</f>
        <v>207</v>
      </c>
      <c r="GK290" s="13">
        <f>IF(GB290=1,$GB$35,$GB$36)</f>
        <v>0</v>
      </c>
      <c r="GL290" s="13">
        <f>OCC_DAYS*$GB$41*R_NF_2023-GD290*MCD_SHARE_FREED*R_WAIT_2023</f>
        <v>151980.48282209205</v>
      </c>
      <c r="GM290">
        <f>IF($A290&lt;=$GB$45,1,0)</f>
        <v>0</v>
      </c>
      <c r="HB290">
        <f>IF($HB$31&lt;=$HB$32,IF($A290&lt;=$HB$7,1,2),IF($A290&lt;=RUNG_BEDS_2,2,1))</f>
        <v>1</v>
      </c>
      <c r="HC290" s="5">
        <f>MIN(1,MAX(0,$HB$26-($A290-1)))</f>
        <v>0</v>
      </c>
      <c r="HD290" s="5">
        <f>$HB$25*(HC290+(1-HC290)*$HB$16)</f>
        <v>0.0</v>
      </c>
      <c r="HE290" s="13">
        <f>HD290*($HB$6+ACUTE_MARGIN)</f>
        <v>0.0</v>
      </c>
      <c r="HF290" s="13">
        <f>IF(HB290=1,$HB$31,$HB$32)</f>
        <v>152456.2970814058</v>
      </c>
      <c r="HG290" s="13">
        <f>HE290-HF290</f>
        <v>-152456.2970814058</v>
      </c>
      <c r="HH290" s="13">
        <f>HH289+HG290</f>
        <v>6670517.132421302</v>
      </c>
      <c r="HI290">
        <f>IF(HH290=MAX($HH$83:$HH$483),$A290,0)</f>
        <v>0</v>
      </c>
      <c r="HJ290">
        <f>IF(HE290&lt;HF290,$A290,B_MAX+1)</f>
        <v>207</v>
      </c>
      <c r="HK290" s="13">
        <f>IF(HB290=1,$HB$35,$HB$36)</f>
        <v>0</v>
      </c>
      <c r="HL290" s="13">
        <f>OCC_DAYS*$HB$41*R_NF_2023-HD290*MCD_SHARE_FREED*R_WAIT_2023</f>
        <v>151980.48282209205</v>
      </c>
      <c r="HM290">
        <f>IF($A290&lt;=$HB$45,1,0)</f>
        <v>0</v>
      </c>
      <c r="IB290">
        <f>IF($IB$31&lt;=$IB$32,IF($A290&lt;=$IB$7,1,2),IF($A290&lt;=RUNG_BEDS_2,2,1))</f>
        <v>1</v>
      </c>
      <c r="IC290" s="5">
        <f>MIN(1,MAX(0,$IB$26-($A290-1)))</f>
        <v>0</v>
      </c>
      <c r="ID290" s="5">
        <f>$IB$25*(IC290+(1-IC290)*$IB$16)</f>
        <v>0.0</v>
      </c>
      <c r="IE290" s="13">
        <f>ID290*($IB$6+ACUTE_MARGIN)</f>
        <v>0.0</v>
      </c>
      <c r="IF290" s="13">
        <f>IF(IB290=1,$IB$31,$IB$32)</f>
        <v>152734.9994534971</v>
      </c>
      <c r="IG290" s="13">
        <f>IE290-IF290</f>
        <v>-152734.9994534971</v>
      </c>
      <c r="IH290" s="13">
        <f>IH289+IG290</f>
        <v>6612825.741398344</v>
      </c>
      <c r="II290">
        <f>IF(IH290=MAX($IH$83:$IH$483),$A290,0)</f>
        <v>0</v>
      </c>
      <c r="IJ290">
        <f>IF(IE290&lt;IF290,$A290,B_MAX+1)</f>
        <v>207</v>
      </c>
      <c r="IK290" s="13">
        <f>IF(IB290=1,$IB$35,$IB$36)</f>
        <v>0</v>
      </c>
      <c r="IL290" s="13">
        <f>OCC_DAYS*$IB$41*R_NF_2023-ID290*MCD_SHARE_FREED*R_WAIT_2023</f>
        <v>151980.48282209205</v>
      </c>
      <c r="IM290">
        <f>IF($A290&lt;=$IB$45,1,0)</f>
        <v>0</v>
      </c>
      <c r="JB290">
        <f>IF($JB$31&lt;=$JB$32,IF($A290&lt;=$JB$7,1,2),IF($A290&lt;=RUNG_BEDS_2,2,1))</f>
        <v>1</v>
      </c>
      <c r="JC290" s="5">
        <f>MIN(1,MAX(0,$JB$26-($A290-1)))</f>
        <v>0</v>
      </c>
      <c r="JD290" s="5">
        <f>$JB$25*(JC290+(1-JC290)*$JB$16)</f>
        <v>0.0</v>
      </c>
      <c r="JE290" s="13">
        <f>JD290*($JB$6+ACUTE_MARGIN)</f>
        <v>0.0</v>
      </c>
      <c r="JF290" s="13">
        <f>IF(JB290=1,$JB$31,$JB$32)</f>
        <v>152394.16214437486</v>
      </c>
      <c r="JG290" s="13">
        <f>JE290-JF290</f>
        <v>-152394.16214437486</v>
      </c>
      <c r="JH290" s="13">
        <f>JH289+JG290</f>
        <v>6683379.064386744</v>
      </c>
      <c r="JI290">
        <f>IF(JH290=MAX($JH$83:$JH$483),$A290,0)</f>
        <v>0</v>
      </c>
      <c r="JJ290">
        <f>IF(JE290&lt;JF290,$A290,B_MAX+1)</f>
        <v>207</v>
      </c>
      <c r="JK290" s="13">
        <f>IF(JB290=1,$JB$35,$JB$36)</f>
        <v>0</v>
      </c>
      <c r="JL290" s="13">
        <f>OCC_DAYS*$JB$41*R_NF_2023-JD290*MCD_SHARE_FREED*R_WAIT_2023</f>
        <v>151980.48282209205</v>
      </c>
      <c r="JM290">
        <f>IF($A290&lt;=$JB$45,1,0)</f>
        <v>0</v>
      </c>
      <c r="KB290">
        <f>IF($KB$31&lt;=$KB$32,IF($A290&lt;=$KB$7,1,2),IF($A290&lt;=RUNG_BEDS_2,2,1))</f>
        <v>1</v>
      </c>
      <c r="KC290" s="5">
        <f>MIN(1,MAX(0,$KB$26-($A290-1)))</f>
        <v>1</v>
      </c>
      <c r="KD290" s="5">
        <f>$KB$25*(KC290+(1-KC290)*$KB$16)</f>
        <v>126.02661357340719</v>
      </c>
      <c r="KE290" s="13">
        <f>KD290*($KB$6+ACUTE_MARGIN)</f>
        <v>127286.87970914126</v>
      </c>
      <c r="KF290" s="13">
        <f>IF(KB290=1,$KB$31,$KB$32)</f>
        <v>152394.16214437486</v>
      </c>
      <c r="KG290" s="13">
        <f>KE290-KF290</f>
        <v>-25107.282435233603</v>
      </c>
      <c r="KH290" s="13">
        <f>KH289+KG290</f>
        <v>-5197207.464093372</v>
      </c>
      <c r="KI290">
        <f>IF(KH290=MAX($KH$83:$KH$483),$A290,0)</f>
        <v>0</v>
      </c>
      <c r="KJ290">
        <f>IF(KE290&lt;KF290,$A290,B_MAX+1)</f>
        <v>207</v>
      </c>
      <c r="KK290" s="13">
        <f>IF(KB290=1,$KB$35,$KB$36)</f>
        <v>0</v>
      </c>
      <c r="KL290" s="13">
        <f>OCC_DAYS*$KB$41*R_NF_2023-KD290*MCD_SHARE_FREED*R_WAIT_2023</f>
        <v>94673.82103225985</v>
      </c>
      <c r="KM290">
        <f>IF($A290&lt;=$KB$45,1,0)</f>
        <v>0</v>
      </c>
      <c r="LB290">
        <f>IF($LB$31&lt;=$LB$32,IF($A290&lt;=$LB$7,1,2),IF($A290&lt;=RUNG_BEDS_2,2,1))</f>
        <v>1</v>
      </c>
      <c r="LC290" s="5">
        <f>MIN(1,MAX(0,$LB$26-($A290-1)))</f>
        <v>1</v>
      </c>
      <c r="LD290" s="5">
        <f>$LB$25*(LC290+(1-LC290)*$LB$16)</f>
        <v>84.01774238227146</v>
      </c>
      <c r="LE290" s="13">
        <f>LD290*($LB$6+ACUTE_MARGIN)</f>
        <v>84857.91980609419</v>
      </c>
      <c r="LF290" s="13">
        <f>IF(LB290=1,$LB$31,$LB$32)</f>
        <v>152394.16214437486</v>
      </c>
      <c r="LG290" s="13">
        <f>LE290-LF290</f>
        <v>-67536.24233828067</v>
      </c>
      <c r="LH290" s="13">
        <f>LH289+LG290</f>
        <v>-13980002.164024163</v>
      </c>
      <c r="LI290">
        <f>IF(LH290=MAX($LH$83:$LH$483),$A290,0)</f>
        <v>0</v>
      </c>
      <c r="LJ290">
        <f>IF(LE290&lt;LF290,$A290,B_MAX+1)</f>
        <v>207</v>
      </c>
      <c r="LK290" s="13">
        <f>IF(LB290=1,$LB$35,$LB$36)</f>
        <v>0</v>
      </c>
      <c r="LL290" s="13">
        <f>OCC_DAYS*$LB$41*R_NF_2023-LD290*MCD_SHARE_FREED*R_WAIT_2023</f>
        <v>113776.04162887059</v>
      </c>
      <c r="LM290">
        <f>IF($A290&lt;=$LB$45,1,0)</f>
        <v>0</v>
      </c>
      <c r="MB290">
        <f>IF($MB$31&lt;=$MB$32,IF($A290&lt;=$MB$7,1,2),IF($A290&lt;=RUNG_BEDS_2,2,1))</f>
        <v>1</v>
      </c>
      <c r="MC290" s="5">
        <f>MIN(1,MAX(0,$MB$26-($A290-1)))</f>
        <v>0</v>
      </c>
      <c r="MD290" s="5">
        <f>$MB$25*(MC290+(1-MC290)*$MB$16)</f>
        <v>0.0</v>
      </c>
      <c r="ME290" s="13">
        <f>MD290*($MB$6+ACUTE_MARGIN)</f>
        <v>0.0</v>
      </c>
      <c r="MF290" s="13">
        <f>IF(MB290=1,$MB$31,$MB$32)</f>
        <v>152394.16214437486</v>
      </c>
      <c r="MG290" s="13">
        <f>ME290-MF290</f>
        <v>-152394.16214437486</v>
      </c>
      <c r="MH290" s="13">
        <f>MH289+MG290</f>
        <v>796103.0025884102</v>
      </c>
      <c r="MI290">
        <f>IF(MH290=MAX($MH$83:$MH$483),$A290,0)</f>
        <v>0</v>
      </c>
      <c r="MJ290">
        <f>IF(ME290&lt;MF290,$A290,B_MAX+1)</f>
        <v>207</v>
      </c>
      <c r="MK290" s="13">
        <f>IF(MB290=1,$MB$35,$MB$36)</f>
        <v>0</v>
      </c>
      <c r="ML290" s="13">
        <f>OCC_DAYS*$MB$41*R_NF_2023-MD290*MCD_SHARE_FREED*R_WAIT_2023</f>
        <v>151980.48282209205</v>
      </c>
      <c r="MM290">
        <f>IF($A290&lt;=$MB$45,1,0)</f>
        <v>0</v>
      </c>
      <c r="NB290">
        <f>IF($NB$31&lt;=$NB$32,IF($A290&lt;=$NB$7,1,2),IF($A290&lt;=RUNG_BEDS_2,2,1))</f>
        <v>1</v>
      </c>
      <c r="NC290" s="5">
        <f>MIN(1,MAX(0,$NB$26-($A290-1)))</f>
        <v>0</v>
      </c>
      <c r="ND290" s="5">
        <f>$NB$25*(NC290+(1-NC290)*$NB$16)</f>
        <v>63.013306786703595</v>
      </c>
      <c r="NE290" s="13">
        <f>ND290*($NB$6+ACUTE_MARGIN)</f>
        <v>63643.43985457063</v>
      </c>
      <c r="NF290" s="13">
        <f>IF(NB290=1,$NB$31,$NB$32)</f>
        <v>152394.16214437486</v>
      </c>
      <c r="NG290" s="13">
        <f>NE290-NF290</f>
        <v>-88750.72228980422</v>
      </c>
      <c r="NH290" s="13">
        <f>NH289+NG290</f>
        <v>10300328.457214762</v>
      </c>
      <c r="NI290">
        <f>IF(NH290=MAX($NH$83:$NH$483),$A290,0)</f>
        <v>0</v>
      </c>
      <c r="NJ290">
        <f>IF(NE290&lt;NF290,$A290,B_MAX+1)</f>
        <v>207</v>
      </c>
      <c r="NK290" s="13">
        <f>IF(NB290=1,$NB$35,$NB$36)</f>
        <v>0</v>
      </c>
      <c r="NL290" s="13">
        <f>OCC_DAYS*$NB$41*R_NF_2023-ND290*MCD_SHARE_FREED*R_WAIT_2023</f>
        <v>123327.15192717595</v>
      </c>
      <c r="NM290">
        <f>IF($A290&lt;=$NB$45,1,0)</f>
        <v>0</v>
      </c>
      <c r="OB290">
        <f>IF($OB$31&lt;=$OB$32,IF($A290&lt;=$OB$7,1,2),IF($A290&lt;=RUNG_BEDS_2,2,1))</f>
        <v>1</v>
      </c>
      <c r="OC290" s="5">
        <f>MIN(1,MAX(0,$OB$26-($A290-1)))</f>
        <v>0</v>
      </c>
      <c r="OD290" s="5">
        <f>$OB$25*(OC290+(1-OC290)*$OB$16)</f>
        <v>126.02661357340719</v>
      </c>
      <c r="OE290" s="13">
        <f>OD290*($OB$6+ACUTE_MARGIN)</f>
        <v>127286.87970914126</v>
      </c>
      <c r="OF290" s="13">
        <f>IF(OB290=1,$OB$31,$OB$32)</f>
        <v>152394.16214437486</v>
      </c>
      <c r="OG290" s="13">
        <f>OE290-OF290</f>
        <v>-25107.282435233603</v>
      </c>
      <c r="OH290" s="13">
        <f>OH289+OG290</f>
        <v>13917277.850042874</v>
      </c>
      <c r="OI290">
        <f>IF(OH290=MAX($OH$83:$OH$483),$A290,0)</f>
        <v>0</v>
      </c>
      <c r="OJ290">
        <f>IF(OE290&lt;OF290,$A290,B_MAX+1)</f>
        <v>207</v>
      </c>
      <c r="OK290" s="13">
        <f>IF(OB290=1,$OB$35,$OB$36)</f>
        <v>0</v>
      </c>
      <c r="OL290" s="13">
        <f>OCC_DAYS*$OB$41*R_NF_2023-OD290*MCD_SHARE_FREED*R_WAIT_2023</f>
        <v>94673.82103225985</v>
      </c>
      <c r="OM290">
        <f>IF($A290&lt;=$OB$45,1,0)</f>
        <v>0</v>
      </c>
    </row>
    <row r="291">
      <c r="A291" t="n">
        <v>208</v>
      </c>
      <c r="B291">
        <f>IF($B$31&lt;=$B$32,IF($A291&lt;=$B$7,1,2),IF($A291&lt;=RUNG_BEDS_2,2,1))</f>
        <v>1</v>
      </c>
      <c r="C291" s="5">
        <f>MIN(1,MAX(0,$B$26-($A291-1)))</f>
        <v>0</v>
      </c>
      <c r="D291" s="5">
        <f>$B$25*(C291+(1-C291)*$B$16)</f>
        <v>0.0</v>
      </c>
      <c r="E291" s="13">
        <f>D291*($B$6+ACUTE_MARGIN)</f>
        <v>0.0</v>
      </c>
      <c r="F291" s="13">
        <f>IF(B291=1,$B$31,$B$32)</f>
        <v>152394.16214437486</v>
      </c>
      <c r="G291" s="13">
        <f>E291-F291</f>
        <v>-152394.16214437486</v>
      </c>
      <c r="H291" s="13">
        <f>H290+G291</f>
        <v>6530984.902242369</v>
      </c>
      <c r="I291">
        <f>IF(H291=MAX($H$83:$H$483),$A291,0)</f>
        <v>0</v>
      </c>
      <c r="J291">
        <f>IF(E291&lt;F291,$A291,B_MAX+1)</f>
        <v>208</v>
      </c>
      <c r="K291" s="13">
        <f>IF(B291=1,$B$35,$B$36)</f>
        <v>0</v>
      </c>
      <c r="L291" s="13">
        <f>OCC_DAYS*$B$41*R_NF_2023-D291*MCD_SHARE_FREED*R_WAIT_2023</f>
        <v>151980.48282209205</v>
      </c>
      <c r="M291">
        <f>IF($A291&lt;=$B$45,1,0)</f>
        <v>0</v>
      </c>
      <c r="AB291">
        <f>IF($AB$31&lt;=$AB$32,IF($A291&lt;=$AB$7,1,2),IF($A291&lt;=RUNG_BEDS_2,2,1))</f>
        <v>1</v>
      </c>
      <c r="AC291" s="5">
        <f>MIN(1,MAX(0,$AB$26-($A291-1)))</f>
        <v>0</v>
      </c>
      <c r="AD291" s="5">
        <f>$AB$25*(AC291+(1-AC291)*$AB$16)</f>
        <v>0.0</v>
      </c>
      <c r="AE291" s="13">
        <f>AD291*($AB$6+ACUTE_MARGIN)</f>
        <v>0.0</v>
      </c>
      <c r="AF291" s="13">
        <f>IF(AB291=1,$AB$31,$AB$32)</f>
        <v>152394.16214437486</v>
      </c>
      <c r="AG291" s="13">
        <f>AE291-AF291</f>
        <v>-152394.16214437486</v>
      </c>
      <c r="AH291" s="13">
        <f>AH290+AG291</f>
        <v>-10880229.44330745</v>
      </c>
      <c r="AI291">
        <f>IF(AH291=MAX($AH$83:$AH$483),$A291,0)</f>
        <v>0</v>
      </c>
      <c r="AJ291">
        <f>IF(AE291&lt;AF291,$A291,B_MAX+1)</f>
        <v>208</v>
      </c>
      <c r="AK291" s="13">
        <f>IF(AB291=1,$AB$35,$AB$36)</f>
        <v>0</v>
      </c>
      <c r="AL291" s="13">
        <f>OCC_DAYS*$AB$41*R_NF_2023-AD291*MCD_SHARE_FREED*R_WAIT_2023</f>
        <v>151980.48282209205</v>
      </c>
      <c r="AM291">
        <f>IF($A291&lt;=$AB$45,1,0)</f>
        <v>0</v>
      </c>
      <c r="BB291">
        <f>IF($BB$31&lt;=$BB$32,IF($A291&lt;=$BB$7,1,2),IF($A291&lt;=RUNG_BEDS_2,2,1))</f>
        <v>1</v>
      </c>
      <c r="BC291" s="5">
        <f>MIN(1,MAX(0,$BB$26-($A291-1)))</f>
        <v>0</v>
      </c>
      <c r="BD291" s="5">
        <f>$BB$25*(BC291+(1-BC291)*$BB$16)</f>
        <v>0.0</v>
      </c>
      <c r="BE291" s="13">
        <f>BD291*($BB$6+ACUTE_MARGIN)</f>
        <v>0.0</v>
      </c>
      <c r="BF291" s="13">
        <f>IF(BB291=1,$BB$31,$BB$32)</f>
        <v>152394.16214437486</v>
      </c>
      <c r="BG291" s="13">
        <f>BE291-BF291</f>
        <v>-152394.16214437486</v>
      </c>
      <c r="BH291" s="13">
        <f>BH290+BG291</f>
        <v>23942199.247792043</v>
      </c>
      <c r="BI291">
        <f>IF(BH291=MAX($BH$83:$BH$483),$A291,0)</f>
        <v>0</v>
      </c>
      <c r="BJ291">
        <f>IF(BE291&lt;BF291,$A291,B_MAX+1)</f>
        <v>208</v>
      </c>
      <c r="BK291" s="13">
        <f>IF(BB291=1,$BB$35,$BB$36)</f>
        <v>0</v>
      </c>
      <c r="BL291" s="13">
        <f>OCC_DAYS*$BB$41*R_NF_2023-BD291*MCD_SHARE_FREED*R_WAIT_2023</f>
        <v>151980.48282209205</v>
      </c>
      <c r="BM291">
        <f>IF($A291&lt;=$BB$45,1,0)</f>
        <v>0</v>
      </c>
      <c r="CB291">
        <f>IF($CB$31&lt;=$CB$32,IF($A291&lt;=$CB$7,1,2),IF($A291&lt;=RUNG_BEDS_2,2,1))</f>
        <v>2</v>
      </c>
      <c r="CC291" s="5">
        <f>MIN(1,MAX(0,$CB$26-($A291-1)))</f>
        <v>0</v>
      </c>
      <c r="CD291" s="5">
        <f>$CB$25*(CC291+(1-CC291)*$CB$16)</f>
        <v>0.0</v>
      </c>
      <c r="CE291" s="13">
        <f>CD291*($CB$6+ACUTE_MARGIN)</f>
        <v>0.0</v>
      </c>
      <c r="CF291" s="13">
        <f>IF(CB291=1,$CB$31,$CB$32)</f>
        <v>160718.36940738867</v>
      </c>
      <c r="CG291" s="13">
        <f>CE291-CF291</f>
        <v>-160718.36940738867</v>
      </c>
      <c r="CH291" s="13">
        <f>CH290+CG291</f>
        <v>4799549.791535378</v>
      </c>
      <c r="CI291">
        <f>IF(CH291=MAX($CH$83:$CH$483),$A291,0)</f>
        <v>0</v>
      </c>
      <c r="CJ291">
        <f>IF(CE291&lt;CF291,$A291,B_MAX+1)</f>
        <v>208</v>
      </c>
      <c r="CK291" s="13">
        <f>IF(CB291=1,$CB$35,$CB$36)</f>
        <v>1560.1194073886782</v>
      </c>
      <c r="CL291" s="13">
        <f>OCC_DAYS*$CB$41*R_NF_2023-CD291*MCD_SHARE_FREED*R_WAIT_2023</f>
        <v>151980.48282209205</v>
      </c>
      <c r="CM291">
        <f>IF($A291&lt;=$CB$45,1,0)</f>
        <v>0</v>
      </c>
      <c r="DB291">
        <f>IF($DB$31&lt;=$DB$32,IF($A291&lt;=$DB$7,1,2),IF($A291&lt;=RUNG_BEDS_2,2,1))</f>
        <v>1</v>
      </c>
      <c r="DC291" s="5">
        <f>MIN(1,MAX(0,$DB$26-($A291-1)))</f>
        <v>0</v>
      </c>
      <c r="DD291" s="5">
        <f>$DB$25*(DC291+(1-DC291)*$DB$16)</f>
        <v>0.0</v>
      </c>
      <c r="DE291" s="13">
        <f>DD291*($DB$6+ACUTE_MARGIN)</f>
        <v>0.0</v>
      </c>
      <c r="DF291" s="13">
        <f>IF(DB291=1,$DB$31,$DB$32)</f>
        <v>152394.16214437486</v>
      </c>
      <c r="DG291" s="13">
        <f>DE291-DF291</f>
        <v>-152394.16214437486</v>
      </c>
      <c r="DH291" s="13">
        <f>DH290+DG291</f>
        <v>6530984.902242369</v>
      </c>
      <c r="DI291">
        <f>IF(DH291=MAX($DH$83:$DH$483),$A291,0)</f>
        <v>0</v>
      </c>
      <c r="DJ291">
        <f>IF(DE291&lt;DF291,$A291,B_MAX+1)</f>
        <v>208</v>
      </c>
      <c r="DK291" s="13">
        <f>IF(DB291=1,$DB$35,$DB$36)</f>
        <v>0</v>
      </c>
      <c r="DL291" s="13">
        <f>OCC_DAYS*$DB$41*R_NF_2023-DD291*MCD_SHARE_FREED*R_WAIT_2023</f>
        <v>151980.48282209205</v>
      </c>
      <c r="DM291">
        <f>IF($A291&lt;=$DB$45,1,0)</f>
        <v>0</v>
      </c>
      <c r="EB291">
        <f>IF($EB$31&lt;=$EB$32,IF($A291&lt;=$EB$7,1,2),IF($A291&lt;=RUNG_BEDS_2,2,1))</f>
        <v>1</v>
      </c>
      <c r="EC291" s="5">
        <f>MIN(1,MAX(0,$EB$26-($A291-1)))</f>
        <v>0</v>
      </c>
      <c r="ED291" s="5">
        <f>$EB$25*(EC291+(1-EC291)*$EB$16)</f>
        <v>0.0</v>
      </c>
      <c r="EE291" s="13">
        <f>ED291*($EB$6+ACUTE_MARGIN)</f>
        <v>0.0</v>
      </c>
      <c r="EF291" s="13">
        <f>IF(EB291=1,$EB$31,$EB$32)</f>
        <v>152394.16214437486</v>
      </c>
      <c r="EG291" s="13">
        <f>EE291-EF291</f>
        <v>-152394.16214437486</v>
      </c>
      <c r="EH291" s="13">
        <f>EH290+EG291</f>
        <v>6530984.902242369</v>
      </c>
      <c r="EI291">
        <f>IF(EH291=MAX($EH$83:$EH$483),$A291,0)</f>
        <v>0</v>
      </c>
      <c r="EJ291">
        <f>IF(EE291&lt;EF291,$A291,B_MAX+1)</f>
        <v>208</v>
      </c>
      <c r="EK291" s="13">
        <f>IF(EB291=1,$EB$35,$EB$36)</f>
        <v>0</v>
      </c>
      <c r="EL291" s="13">
        <f>OCC_DAYS*$EB$41*R_NF_2023-ED291*MCD_SHARE_FREED*R_WAIT_2023</f>
        <v>50660.16094069735</v>
      </c>
      <c r="EM291">
        <f>IF($A291&lt;=$EB$45,1,0)</f>
        <v>0</v>
      </c>
      <c r="FB291">
        <f>IF($FB$31&lt;=$FB$32,IF($A291&lt;=$FB$7,1,2),IF($A291&lt;=RUNG_BEDS_2,2,1))</f>
        <v>1</v>
      </c>
      <c r="FC291" s="5">
        <f>MIN(1,MAX(0,$FB$26-($A291-1)))</f>
        <v>0</v>
      </c>
      <c r="FD291" s="5">
        <f>$FB$25*(FC291+(1-FC291)*$FB$16)</f>
        <v>0.0</v>
      </c>
      <c r="FE291" s="13">
        <f>FD291*($FB$6+ACUTE_MARGIN)</f>
        <v>0.0</v>
      </c>
      <c r="FF291" s="13">
        <f>IF(FB291=1,$FB$31,$FB$32)</f>
        <v>156636.04979437485</v>
      </c>
      <c r="FG291" s="13">
        <f>FE291-FF291</f>
        <v>-156636.04979437485</v>
      </c>
      <c r="FH291" s="13">
        <f>FH290+FG291</f>
        <v>5648672.271042254</v>
      </c>
      <c r="FI291">
        <f>IF(FH291=MAX($FH$83:$FH$483),$A291,0)</f>
        <v>0</v>
      </c>
      <c r="FJ291">
        <f>IF(FE291&lt;FF291,$A291,B_MAX+1)</f>
        <v>208</v>
      </c>
      <c r="FK291" s="13">
        <f>IF(FB291=1,$FB$35,$FB$36)</f>
        <v>0</v>
      </c>
      <c r="FL291" s="13">
        <f>OCC_DAYS*$FB$41*R_NF_2023-FD291*MCD_SHARE_FREED*R_WAIT_2023</f>
        <v>151980.48282209205</v>
      </c>
      <c r="FM291">
        <f>IF($A291&lt;=$FB$45,1,0)</f>
        <v>0</v>
      </c>
      <c r="GB291">
        <f>IF($GB$31&lt;=$GB$32,IF($A291&lt;=$GB$7,1,2),IF($A291&lt;=RUNG_BEDS_2,2,1))</f>
        <v>1</v>
      </c>
      <c r="GC291" s="5">
        <f>MIN(1,MAX(0,$GB$26-($A291-1)))</f>
        <v>0</v>
      </c>
      <c r="GD291" s="5">
        <f>$GB$25*(GC291+(1-GC291)*$GB$16)</f>
        <v>0.0</v>
      </c>
      <c r="GE291" s="13">
        <f>GD291*($GB$6+ACUTE_MARGIN)</f>
        <v>0.0</v>
      </c>
      <c r="GF291" s="13">
        <f>IF(GB291=1,$GB$31,$GB$32)</f>
        <v>152394.16214437486</v>
      </c>
      <c r="GG291" s="13">
        <f>GE291-GF291</f>
        <v>-152394.16214437486</v>
      </c>
      <c r="GH291" s="13">
        <f>GH290+GG291</f>
        <v>6530984.902242369</v>
      </c>
      <c r="GI291">
        <f>IF(GH291=MAX($GH$83:$GH$483),$A291,0)</f>
        <v>0</v>
      </c>
      <c r="GJ291">
        <f>IF(GE291&lt;GF291,$A291,B_MAX+1)</f>
        <v>208</v>
      </c>
      <c r="GK291" s="13">
        <f>IF(GB291=1,$GB$35,$GB$36)</f>
        <v>0</v>
      </c>
      <c r="GL291" s="13">
        <f>OCC_DAYS*$GB$41*R_NF_2023-GD291*MCD_SHARE_FREED*R_WAIT_2023</f>
        <v>151980.48282209205</v>
      </c>
      <c r="GM291">
        <f>IF($A291&lt;=$GB$45,1,0)</f>
        <v>0</v>
      </c>
      <c r="HB291">
        <f>IF($HB$31&lt;=$HB$32,IF($A291&lt;=$HB$7,1,2),IF($A291&lt;=RUNG_BEDS_2,2,1))</f>
        <v>1</v>
      </c>
      <c r="HC291" s="5">
        <f>MIN(1,MAX(0,$HB$26-($A291-1)))</f>
        <v>0</v>
      </c>
      <c r="HD291" s="5">
        <f>$HB$25*(HC291+(1-HC291)*$HB$16)</f>
        <v>0.0</v>
      </c>
      <c r="HE291" s="13">
        <f>HD291*($HB$6+ACUTE_MARGIN)</f>
        <v>0.0</v>
      </c>
      <c r="HF291" s="13">
        <f>IF(HB291=1,$HB$31,$HB$32)</f>
        <v>152456.2970814058</v>
      </c>
      <c r="HG291" s="13">
        <f>HE291-HF291</f>
        <v>-152456.2970814058</v>
      </c>
      <c r="HH291" s="13">
        <f>HH290+HG291</f>
        <v>6518060.835339895</v>
      </c>
      <c r="HI291">
        <f>IF(HH291=MAX($HH$83:$HH$483),$A291,0)</f>
        <v>0</v>
      </c>
      <c r="HJ291">
        <f>IF(HE291&lt;HF291,$A291,B_MAX+1)</f>
        <v>208</v>
      </c>
      <c r="HK291" s="13">
        <f>IF(HB291=1,$HB$35,$HB$36)</f>
        <v>0</v>
      </c>
      <c r="HL291" s="13">
        <f>OCC_DAYS*$HB$41*R_NF_2023-HD291*MCD_SHARE_FREED*R_WAIT_2023</f>
        <v>151980.48282209205</v>
      </c>
      <c r="HM291">
        <f>IF($A291&lt;=$HB$45,1,0)</f>
        <v>0</v>
      </c>
      <c r="IB291">
        <f>IF($IB$31&lt;=$IB$32,IF($A291&lt;=$IB$7,1,2),IF($A291&lt;=RUNG_BEDS_2,2,1))</f>
        <v>1</v>
      </c>
      <c r="IC291" s="5">
        <f>MIN(1,MAX(0,$IB$26-($A291-1)))</f>
        <v>0</v>
      </c>
      <c r="ID291" s="5">
        <f>$IB$25*(IC291+(1-IC291)*$IB$16)</f>
        <v>0.0</v>
      </c>
      <c r="IE291" s="13">
        <f>ID291*($IB$6+ACUTE_MARGIN)</f>
        <v>0.0</v>
      </c>
      <c r="IF291" s="13">
        <f>IF(IB291=1,$IB$31,$IB$32)</f>
        <v>152734.9994534971</v>
      </c>
      <c r="IG291" s="13">
        <f>IE291-IF291</f>
        <v>-152734.9994534971</v>
      </c>
      <c r="IH291" s="13">
        <f>IH290+IG291</f>
        <v>6460090.741944847</v>
      </c>
      <c r="II291">
        <f>IF(IH291=MAX($IH$83:$IH$483),$A291,0)</f>
        <v>0</v>
      </c>
      <c r="IJ291">
        <f>IF(IE291&lt;IF291,$A291,B_MAX+1)</f>
        <v>208</v>
      </c>
      <c r="IK291" s="13">
        <f>IF(IB291=1,$IB$35,$IB$36)</f>
        <v>0</v>
      </c>
      <c r="IL291" s="13">
        <f>OCC_DAYS*$IB$41*R_NF_2023-ID291*MCD_SHARE_FREED*R_WAIT_2023</f>
        <v>151980.48282209205</v>
      </c>
      <c r="IM291">
        <f>IF($A291&lt;=$IB$45,1,0)</f>
        <v>0</v>
      </c>
      <c r="JB291">
        <f>IF($JB$31&lt;=$JB$32,IF($A291&lt;=$JB$7,1,2),IF($A291&lt;=RUNG_BEDS_2,2,1))</f>
        <v>1</v>
      </c>
      <c r="JC291" s="5">
        <f>MIN(1,MAX(0,$JB$26-($A291-1)))</f>
        <v>0</v>
      </c>
      <c r="JD291" s="5">
        <f>$JB$25*(JC291+(1-JC291)*$JB$16)</f>
        <v>0.0</v>
      </c>
      <c r="JE291" s="13">
        <f>JD291*($JB$6+ACUTE_MARGIN)</f>
        <v>0.0</v>
      </c>
      <c r="JF291" s="13">
        <f>IF(JB291=1,$JB$31,$JB$32)</f>
        <v>152394.16214437486</v>
      </c>
      <c r="JG291" s="13">
        <f>JE291-JF291</f>
        <v>-152394.16214437486</v>
      </c>
      <c r="JH291" s="13">
        <f>JH290+JG291</f>
        <v>6530984.902242369</v>
      </c>
      <c r="JI291">
        <f>IF(JH291=MAX($JH$83:$JH$483),$A291,0)</f>
        <v>0</v>
      </c>
      <c r="JJ291">
        <f>IF(JE291&lt;JF291,$A291,B_MAX+1)</f>
        <v>208</v>
      </c>
      <c r="JK291" s="13">
        <f>IF(JB291=1,$JB$35,$JB$36)</f>
        <v>0</v>
      </c>
      <c r="JL291" s="13">
        <f>OCC_DAYS*$JB$41*R_NF_2023-JD291*MCD_SHARE_FREED*R_WAIT_2023</f>
        <v>151980.48282209205</v>
      </c>
      <c r="JM291">
        <f>IF($A291&lt;=$JB$45,1,0)</f>
        <v>0</v>
      </c>
      <c r="KB291">
        <f>IF($KB$31&lt;=$KB$32,IF($A291&lt;=$KB$7,1,2),IF($A291&lt;=RUNG_BEDS_2,2,1))</f>
        <v>1</v>
      </c>
      <c r="KC291" s="5">
        <f>MIN(1,MAX(0,$KB$26-($A291-1)))</f>
        <v>1</v>
      </c>
      <c r="KD291" s="5">
        <f>$KB$25*(KC291+(1-KC291)*$KB$16)</f>
        <v>126.02661357340719</v>
      </c>
      <c r="KE291" s="13">
        <f>KD291*($KB$6+ACUTE_MARGIN)</f>
        <v>127286.87970914126</v>
      </c>
      <c r="KF291" s="13">
        <f>IF(KB291=1,$KB$31,$KB$32)</f>
        <v>152394.16214437486</v>
      </c>
      <c r="KG291" s="13">
        <f>KE291-KF291</f>
        <v>-25107.282435233603</v>
      </c>
      <c r="KH291" s="13">
        <f>KH290+KG291</f>
        <v>-5222314.746528606</v>
      </c>
      <c r="KI291">
        <f>IF(KH291=MAX($KH$83:$KH$483),$A291,0)</f>
        <v>0</v>
      </c>
      <c r="KJ291">
        <f>IF(KE291&lt;KF291,$A291,B_MAX+1)</f>
        <v>208</v>
      </c>
      <c r="KK291" s="13">
        <f>IF(KB291=1,$KB$35,$KB$36)</f>
        <v>0</v>
      </c>
      <c r="KL291" s="13">
        <f>OCC_DAYS*$KB$41*R_NF_2023-KD291*MCD_SHARE_FREED*R_WAIT_2023</f>
        <v>94673.82103225985</v>
      </c>
      <c r="KM291">
        <f>IF($A291&lt;=$KB$45,1,0)</f>
        <v>0</v>
      </c>
      <c r="LB291">
        <f>IF($LB$31&lt;=$LB$32,IF($A291&lt;=$LB$7,1,2),IF($A291&lt;=RUNG_BEDS_2,2,1))</f>
        <v>1</v>
      </c>
      <c r="LC291" s="5">
        <f>MIN(1,MAX(0,$LB$26-($A291-1)))</f>
        <v>1</v>
      </c>
      <c r="LD291" s="5">
        <f>$LB$25*(LC291+(1-LC291)*$LB$16)</f>
        <v>84.01774238227146</v>
      </c>
      <c r="LE291" s="13">
        <f>LD291*($LB$6+ACUTE_MARGIN)</f>
        <v>84857.91980609419</v>
      </c>
      <c r="LF291" s="13">
        <f>IF(LB291=1,$LB$31,$LB$32)</f>
        <v>152394.16214437486</v>
      </c>
      <c r="LG291" s="13">
        <f>LE291-LF291</f>
        <v>-67536.24233828067</v>
      </c>
      <c r="LH291" s="13">
        <f>LH290+LG291</f>
        <v>-14047538.406362444</v>
      </c>
      <c r="LI291">
        <f>IF(LH291=MAX($LH$83:$LH$483),$A291,0)</f>
        <v>0</v>
      </c>
      <c r="LJ291">
        <f>IF(LE291&lt;LF291,$A291,B_MAX+1)</f>
        <v>208</v>
      </c>
      <c r="LK291" s="13">
        <f>IF(LB291=1,$LB$35,$LB$36)</f>
        <v>0</v>
      </c>
      <c r="LL291" s="13">
        <f>OCC_DAYS*$LB$41*R_NF_2023-LD291*MCD_SHARE_FREED*R_WAIT_2023</f>
        <v>113776.04162887059</v>
      </c>
      <c r="LM291">
        <f>IF($A291&lt;=$LB$45,1,0)</f>
        <v>0</v>
      </c>
      <c r="MB291">
        <f>IF($MB$31&lt;=$MB$32,IF($A291&lt;=$MB$7,1,2),IF($A291&lt;=RUNG_BEDS_2,2,1))</f>
        <v>1</v>
      </c>
      <c r="MC291" s="5">
        <f>MIN(1,MAX(0,$MB$26-($A291-1)))</f>
        <v>0</v>
      </c>
      <c r="MD291" s="5">
        <f>$MB$25*(MC291+(1-MC291)*$MB$16)</f>
        <v>0.0</v>
      </c>
      <c r="ME291" s="13">
        <f>MD291*($MB$6+ACUTE_MARGIN)</f>
        <v>0.0</v>
      </c>
      <c r="MF291" s="13">
        <f>IF(MB291=1,$MB$31,$MB$32)</f>
        <v>152394.16214437486</v>
      </c>
      <c r="MG291" s="13">
        <f>ME291-MF291</f>
        <v>-152394.16214437486</v>
      </c>
      <c r="MH291" s="13">
        <f>MH290+MG291</f>
        <v>643708.8404440354</v>
      </c>
      <c r="MI291">
        <f>IF(MH291=MAX($MH$83:$MH$483),$A291,0)</f>
        <v>0</v>
      </c>
      <c r="MJ291">
        <f>IF(ME291&lt;MF291,$A291,B_MAX+1)</f>
        <v>208</v>
      </c>
      <c r="MK291" s="13">
        <f>IF(MB291=1,$MB$35,$MB$36)</f>
        <v>0</v>
      </c>
      <c r="ML291" s="13">
        <f>OCC_DAYS*$MB$41*R_NF_2023-MD291*MCD_SHARE_FREED*R_WAIT_2023</f>
        <v>151980.48282209205</v>
      </c>
      <c r="MM291">
        <f>IF($A291&lt;=$MB$45,1,0)</f>
        <v>0</v>
      </c>
      <c r="NB291">
        <f>IF($NB$31&lt;=$NB$32,IF($A291&lt;=$NB$7,1,2),IF($A291&lt;=RUNG_BEDS_2,2,1))</f>
        <v>1</v>
      </c>
      <c r="NC291" s="5">
        <f>MIN(1,MAX(0,$NB$26-($A291-1)))</f>
        <v>0</v>
      </c>
      <c r="ND291" s="5">
        <f>$NB$25*(NC291+(1-NC291)*$NB$16)</f>
        <v>63.013306786703595</v>
      </c>
      <c r="NE291" s="13">
        <f>ND291*($NB$6+ACUTE_MARGIN)</f>
        <v>63643.43985457063</v>
      </c>
      <c r="NF291" s="13">
        <f>IF(NB291=1,$NB$31,$NB$32)</f>
        <v>152394.16214437486</v>
      </c>
      <c r="NG291" s="13">
        <f>NE291-NF291</f>
        <v>-88750.72228980422</v>
      </c>
      <c r="NH291" s="13">
        <f>NH290+NG291</f>
        <v>10211577.734924957</v>
      </c>
      <c r="NI291">
        <f>IF(NH291=MAX($NH$83:$NH$483),$A291,0)</f>
        <v>0</v>
      </c>
      <c r="NJ291">
        <f>IF(NE291&lt;NF291,$A291,B_MAX+1)</f>
        <v>208</v>
      </c>
      <c r="NK291" s="13">
        <f>IF(NB291=1,$NB$35,$NB$36)</f>
        <v>0</v>
      </c>
      <c r="NL291" s="13">
        <f>OCC_DAYS*$NB$41*R_NF_2023-ND291*MCD_SHARE_FREED*R_WAIT_2023</f>
        <v>123327.15192717595</v>
      </c>
      <c r="NM291">
        <f>IF($A291&lt;=$NB$45,1,0)</f>
        <v>0</v>
      </c>
      <c r="OB291">
        <f>IF($OB$31&lt;=$OB$32,IF($A291&lt;=$OB$7,1,2),IF($A291&lt;=RUNG_BEDS_2,2,1))</f>
        <v>1</v>
      </c>
      <c r="OC291" s="5">
        <f>MIN(1,MAX(0,$OB$26-($A291-1)))</f>
        <v>0</v>
      </c>
      <c r="OD291" s="5">
        <f>$OB$25*(OC291+(1-OC291)*$OB$16)</f>
        <v>126.02661357340719</v>
      </c>
      <c r="OE291" s="13">
        <f>OD291*($OB$6+ACUTE_MARGIN)</f>
        <v>127286.87970914126</v>
      </c>
      <c r="OF291" s="13">
        <f>IF(OB291=1,$OB$31,$OB$32)</f>
        <v>152394.16214437486</v>
      </c>
      <c r="OG291" s="13">
        <f>OE291-OF291</f>
        <v>-25107.282435233603</v>
      </c>
      <c r="OH291" s="13">
        <f>OH290+OG291</f>
        <v>13892170.567607641</v>
      </c>
      <c r="OI291">
        <f>IF(OH291=MAX($OH$83:$OH$483),$A291,0)</f>
        <v>0</v>
      </c>
      <c r="OJ291">
        <f>IF(OE291&lt;OF291,$A291,B_MAX+1)</f>
        <v>208</v>
      </c>
      <c r="OK291" s="13">
        <f>IF(OB291=1,$OB$35,$OB$36)</f>
        <v>0</v>
      </c>
      <c r="OL291" s="13">
        <f>OCC_DAYS*$OB$41*R_NF_2023-OD291*MCD_SHARE_FREED*R_WAIT_2023</f>
        <v>94673.82103225985</v>
      </c>
      <c r="OM291">
        <f>IF($A291&lt;=$OB$45,1,0)</f>
        <v>0</v>
      </c>
    </row>
    <row r="292">
      <c r="A292" t="n">
        <v>209</v>
      </c>
      <c r="B292">
        <f>IF($B$31&lt;=$B$32,IF($A292&lt;=$B$7,1,2),IF($A292&lt;=RUNG_BEDS_2,2,1))</f>
        <v>1</v>
      </c>
      <c r="C292" s="5">
        <f>MIN(1,MAX(0,$B$26-($A292-1)))</f>
        <v>0</v>
      </c>
      <c r="D292" s="5">
        <f>$B$25*(C292+(1-C292)*$B$16)</f>
        <v>0.0</v>
      </c>
      <c r="E292" s="13">
        <f>D292*($B$6+ACUTE_MARGIN)</f>
        <v>0.0</v>
      </c>
      <c r="F292" s="13">
        <f>IF(B292=1,$B$31,$B$32)</f>
        <v>152394.16214437486</v>
      </c>
      <c r="G292" s="13">
        <f>E292-F292</f>
        <v>-152394.16214437486</v>
      </c>
      <c r="H292" s="13">
        <f>H291+G292</f>
        <v>6378590.740097994</v>
      </c>
      <c r="I292">
        <f>IF(H292=MAX($H$83:$H$483),$A292,0)</f>
        <v>0</v>
      </c>
      <c r="J292">
        <f>IF(E292&lt;F292,$A292,B_MAX+1)</f>
        <v>209</v>
      </c>
      <c r="K292" s="13">
        <f>IF(B292=1,$B$35,$B$36)</f>
        <v>0</v>
      </c>
      <c r="L292" s="13">
        <f>OCC_DAYS*$B$41*R_NF_2023-D292*MCD_SHARE_FREED*R_WAIT_2023</f>
        <v>151980.48282209205</v>
      </c>
      <c r="M292">
        <f>IF($A292&lt;=$B$45,1,0)</f>
        <v>0</v>
      </c>
      <c r="AB292">
        <f>IF($AB$31&lt;=$AB$32,IF($A292&lt;=$AB$7,1,2),IF($A292&lt;=RUNG_BEDS_2,2,1))</f>
        <v>1</v>
      </c>
      <c r="AC292" s="5">
        <f>MIN(1,MAX(0,$AB$26-($A292-1)))</f>
        <v>0</v>
      </c>
      <c r="AD292" s="5">
        <f>$AB$25*(AC292+(1-AC292)*$AB$16)</f>
        <v>0.0</v>
      </c>
      <c r="AE292" s="13">
        <f>AD292*($AB$6+ACUTE_MARGIN)</f>
        <v>0.0</v>
      </c>
      <c r="AF292" s="13">
        <f>IF(AB292=1,$AB$31,$AB$32)</f>
        <v>152394.16214437486</v>
      </c>
      <c r="AG292" s="13">
        <f>AE292-AF292</f>
        <v>-152394.16214437486</v>
      </c>
      <c r="AH292" s="13">
        <f>AH291+AG292</f>
        <v>-11032623.605451824</v>
      </c>
      <c r="AI292">
        <f>IF(AH292=MAX($AH$83:$AH$483),$A292,0)</f>
        <v>0</v>
      </c>
      <c r="AJ292">
        <f>IF(AE292&lt;AF292,$A292,B_MAX+1)</f>
        <v>209</v>
      </c>
      <c r="AK292" s="13">
        <f>IF(AB292=1,$AB$35,$AB$36)</f>
        <v>0</v>
      </c>
      <c r="AL292" s="13">
        <f>OCC_DAYS*$AB$41*R_NF_2023-AD292*MCD_SHARE_FREED*R_WAIT_2023</f>
        <v>151980.48282209205</v>
      </c>
      <c r="AM292">
        <f>IF($A292&lt;=$AB$45,1,0)</f>
        <v>0</v>
      </c>
      <c r="BB292">
        <f>IF($BB$31&lt;=$BB$32,IF($A292&lt;=$BB$7,1,2),IF($A292&lt;=RUNG_BEDS_2,2,1))</f>
        <v>1</v>
      </c>
      <c r="BC292" s="5">
        <f>MIN(1,MAX(0,$BB$26-($A292-1)))</f>
        <v>0</v>
      </c>
      <c r="BD292" s="5">
        <f>$BB$25*(BC292+(1-BC292)*$BB$16)</f>
        <v>0.0</v>
      </c>
      <c r="BE292" s="13">
        <f>BD292*($BB$6+ACUTE_MARGIN)</f>
        <v>0.0</v>
      </c>
      <c r="BF292" s="13">
        <f>IF(BB292=1,$BB$31,$BB$32)</f>
        <v>152394.16214437486</v>
      </c>
      <c r="BG292" s="13">
        <f>BE292-BF292</f>
        <v>-152394.16214437486</v>
      </c>
      <c r="BH292" s="13">
        <f>BH291+BG292</f>
        <v>23789805.08564767</v>
      </c>
      <c r="BI292">
        <f>IF(BH292=MAX($BH$83:$BH$483),$A292,0)</f>
        <v>0</v>
      </c>
      <c r="BJ292">
        <f>IF(BE292&lt;BF292,$A292,B_MAX+1)</f>
        <v>209</v>
      </c>
      <c r="BK292" s="13">
        <f>IF(BB292=1,$BB$35,$BB$36)</f>
        <v>0</v>
      </c>
      <c r="BL292" s="13">
        <f>OCC_DAYS*$BB$41*R_NF_2023-BD292*MCD_SHARE_FREED*R_WAIT_2023</f>
        <v>151980.48282209205</v>
      </c>
      <c r="BM292">
        <f>IF($A292&lt;=$BB$45,1,0)</f>
        <v>0</v>
      </c>
      <c r="CB292">
        <f>IF($CB$31&lt;=$CB$32,IF($A292&lt;=$CB$7,1,2),IF($A292&lt;=RUNG_BEDS_2,2,1))</f>
        <v>2</v>
      </c>
      <c r="CC292" s="5">
        <f>MIN(1,MAX(0,$CB$26-($A292-1)))</f>
        <v>0</v>
      </c>
      <c r="CD292" s="5">
        <f>$CB$25*(CC292+(1-CC292)*$CB$16)</f>
        <v>0.0</v>
      </c>
      <c r="CE292" s="13">
        <f>CD292*($CB$6+ACUTE_MARGIN)</f>
        <v>0.0</v>
      </c>
      <c r="CF292" s="13">
        <f>IF(CB292=1,$CB$31,$CB$32)</f>
        <v>160718.36940738867</v>
      </c>
      <c r="CG292" s="13">
        <f>CE292-CF292</f>
        <v>-160718.36940738867</v>
      </c>
      <c r="CH292" s="13">
        <f>CH291+CG292</f>
        <v>4638831.42212799</v>
      </c>
      <c r="CI292">
        <f>IF(CH292=MAX($CH$83:$CH$483),$A292,0)</f>
        <v>0</v>
      </c>
      <c r="CJ292">
        <f>IF(CE292&lt;CF292,$A292,B_MAX+1)</f>
        <v>209</v>
      </c>
      <c r="CK292" s="13">
        <f>IF(CB292=1,$CB$35,$CB$36)</f>
        <v>1560.1194073886782</v>
      </c>
      <c r="CL292" s="13">
        <f>OCC_DAYS*$CB$41*R_NF_2023-CD292*MCD_SHARE_FREED*R_WAIT_2023</f>
        <v>151980.48282209205</v>
      </c>
      <c r="CM292">
        <f>IF($A292&lt;=$CB$45,1,0)</f>
        <v>0</v>
      </c>
      <c r="DB292">
        <f>IF($DB$31&lt;=$DB$32,IF($A292&lt;=$DB$7,1,2),IF($A292&lt;=RUNG_BEDS_2,2,1))</f>
        <v>1</v>
      </c>
      <c r="DC292" s="5">
        <f>MIN(1,MAX(0,$DB$26-($A292-1)))</f>
        <v>0</v>
      </c>
      <c r="DD292" s="5">
        <f>$DB$25*(DC292+(1-DC292)*$DB$16)</f>
        <v>0.0</v>
      </c>
      <c r="DE292" s="13">
        <f>DD292*($DB$6+ACUTE_MARGIN)</f>
        <v>0.0</v>
      </c>
      <c r="DF292" s="13">
        <f>IF(DB292=1,$DB$31,$DB$32)</f>
        <v>152394.16214437486</v>
      </c>
      <c r="DG292" s="13">
        <f>DE292-DF292</f>
        <v>-152394.16214437486</v>
      </c>
      <c r="DH292" s="13">
        <f>DH291+DG292</f>
        <v>6378590.740097994</v>
      </c>
      <c r="DI292">
        <f>IF(DH292=MAX($DH$83:$DH$483),$A292,0)</f>
        <v>0</v>
      </c>
      <c r="DJ292">
        <f>IF(DE292&lt;DF292,$A292,B_MAX+1)</f>
        <v>209</v>
      </c>
      <c r="DK292" s="13">
        <f>IF(DB292=1,$DB$35,$DB$36)</f>
        <v>0</v>
      </c>
      <c r="DL292" s="13">
        <f>OCC_DAYS*$DB$41*R_NF_2023-DD292*MCD_SHARE_FREED*R_WAIT_2023</f>
        <v>151980.48282209205</v>
      </c>
      <c r="DM292">
        <f>IF($A292&lt;=$DB$45,1,0)</f>
        <v>0</v>
      </c>
      <c r="EB292">
        <f>IF($EB$31&lt;=$EB$32,IF($A292&lt;=$EB$7,1,2),IF($A292&lt;=RUNG_BEDS_2,2,1))</f>
        <v>1</v>
      </c>
      <c r="EC292" s="5">
        <f>MIN(1,MAX(0,$EB$26-($A292-1)))</f>
        <v>0</v>
      </c>
      <c r="ED292" s="5">
        <f>$EB$25*(EC292+(1-EC292)*$EB$16)</f>
        <v>0.0</v>
      </c>
      <c r="EE292" s="13">
        <f>ED292*($EB$6+ACUTE_MARGIN)</f>
        <v>0.0</v>
      </c>
      <c r="EF292" s="13">
        <f>IF(EB292=1,$EB$31,$EB$32)</f>
        <v>152394.16214437486</v>
      </c>
      <c r="EG292" s="13">
        <f>EE292-EF292</f>
        <v>-152394.16214437486</v>
      </c>
      <c r="EH292" s="13">
        <f>EH291+EG292</f>
        <v>6378590.740097994</v>
      </c>
      <c r="EI292">
        <f>IF(EH292=MAX($EH$83:$EH$483),$A292,0)</f>
        <v>0</v>
      </c>
      <c r="EJ292">
        <f>IF(EE292&lt;EF292,$A292,B_MAX+1)</f>
        <v>209</v>
      </c>
      <c r="EK292" s="13">
        <f>IF(EB292=1,$EB$35,$EB$36)</f>
        <v>0</v>
      </c>
      <c r="EL292" s="13">
        <f>OCC_DAYS*$EB$41*R_NF_2023-ED292*MCD_SHARE_FREED*R_WAIT_2023</f>
        <v>50660.16094069735</v>
      </c>
      <c r="EM292">
        <f>IF($A292&lt;=$EB$45,1,0)</f>
        <v>0</v>
      </c>
      <c r="FB292">
        <f>IF($FB$31&lt;=$FB$32,IF($A292&lt;=$FB$7,1,2),IF($A292&lt;=RUNG_BEDS_2,2,1))</f>
        <v>1</v>
      </c>
      <c r="FC292" s="5">
        <f>MIN(1,MAX(0,$FB$26-($A292-1)))</f>
        <v>0</v>
      </c>
      <c r="FD292" s="5">
        <f>$FB$25*(FC292+(1-FC292)*$FB$16)</f>
        <v>0.0</v>
      </c>
      <c r="FE292" s="13">
        <f>FD292*($FB$6+ACUTE_MARGIN)</f>
        <v>0.0</v>
      </c>
      <c r="FF292" s="13">
        <f>IF(FB292=1,$FB$31,$FB$32)</f>
        <v>156636.04979437485</v>
      </c>
      <c r="FG292" s="13">
        <f>FE292-FF292</f>
        <v>-156636.04979437485</v>
      </c>
      <c r="FH292" s="13">
        <f>FH291+FG292</f>
        <v>5492036.221247879</v>
      </c>
      <c r="FI292">
        <f>IF(FH292=MAX($FH$83:$FH$483),$A292,0)</f>
        <v>0</v>
      </c>
      <c r="FJ292">
        <f>IF(FE292&lt;FF292,$A292,B_MAX+1)</f>
        <v>209</v>
      </c>
      <c r="FK292" s="13">
        <f>IF(FB292=1,$FB$35,$FB$36)</f>
        <v>0</v>
      </c>
      <c r="FL292" s="13">
        <f>OCC_DAYS*$FB$41*R_NF_2023-FD292*MCD_SHARE_FREED*R_WAIT_2023</f>
        <v>151980.48282209205</v>
      </c>
      <c r="FM292">
        <f>IF($A292&lt;=$FB$45,1,0)</f>
        <v>0</v>
      </c>
      <c r="GB292">
        <f>IF($GB$31&lt;=$GB$32,IF($A292&lt;=$GB$7,1,2),IF($A292&lt;=RUNG_BEDS_2,2,1))</f>
        <v>1</v>
      </c>
      <c r="GC292" s="5">
        <f>MIN(1,MAX(0,$GB$26-($A292-1)))</f>
        <v>0</v>
      </c>
      <c r="GD292" s="5">
        <f>$GB$25*(GC292+(1-GC292)*$GB$16)</f>
        <v>0.0</v>
      </c>
      <c r="GE292" s="13">
        <f>GD292*($GB$6+ACUTE_MARGIN)</f>
        <v>0.0</v>
      </c>
      <c r="GF292" s="13">
        <f>IF(GB292=1,$GB$31,$GB$32)</f>
        <v>152394.16214437486</v>
      </c>
      <c r="GG292" s="13">
        <f>GE292-GF292</f>
        <v>-152394.16214437486</v>
      </c>
      <c r="GH292" s="13">
        <f>GH291+GG292</f>
        <v>6378590.740097994</v>
      </c>
      <c r="GI292">
        <f>IF(GH292=MAX($GH$83:$GH$483),$A292,0)</f>
        <v>0</v>
      </c>
      <c r="GJ292">
        <f>IF(GE292&lt;GF292,$A292,B_MAX+1)</f>
        <v>209</v>
      </c>
      <c r="GK292" s="13">
        <f>IF(GB292=1,$GB$35,$GB$36)</f>
        <v>0</v>
      </c>
      <c r="GL292" s="13">
        <f>OCC_DAYS*$GB$41*R_NF_2023-GD292*MCD_SHARE_FREED*R_WAIT_2023</f>
        <v>151980.48282209205</v>
      </c>
      <c r="GM292">
        <f>IF($A292&lt;=$GB$45,1,0)</f>
        <v>0</v>
      </c>
      <c r="HB292">
        <f>IF($HB$31&lt;=$HB$32,IF($A292&lt;=$HB$7,1,2),IF($A292&lt;=RUNG_BEDS_2,2,1))</f>
        <v>1</v>
      </c>
      <c r="HC292" s="5">
        <f>MIN(1,MAX(0,$HB$26-($A292-1)))</f>
        <v>0</v>
      </c>
      <c r="HD292" s="5">
        <f>$HB$25*(HC292+(1-HC292)*$HB$16)</f>
        <v>0.0</v>
      </c>
      <c r="HE292" s="13">
        <f>HD292*($HB$6+ACUTE_MARGIN)</f>
        <v>0.0</v>
      </c>
      <c r="HF292" s="13">
        <f>IF(HB292=1,$HB$31,$HB$32)</f>
        <v>152456.2970814058</v>
      </c>
      <c r="HG292" s="13">
        <f>HE292-HF292</f>
        <v>-152456.2970814058</v>
      </c>
      <c r="HH292" s="13">
        <f>HH291+HG292</f>
        <v>6365604.538258489</v>
      </c>
      <c r="HI292">
        <f>IF(HH292=MAX($HH$83:$HH$483),$A292,0)</f>
        <v>0</v>
      </c>
      <c r="HJ292">
        <f>IF(HE292&lt;HF292,$A292,B_MAX+1)</f>
        <v>209</v>
      </c>
      <c r="HK292" s="13">
        <f>IF(HB292=1,$HB$35,$HB$36)</f>
        <v>0</v>
      </c>
      <c r="HL292" s="13">
        <f>OCC_DAYS*$HB$41*R_NF_2023-HD292*MCD_SHARE_FREED*R_WAIT_2023</f>
        <v>151980.48282209205</v>
      </c>
      <c r="HM292">
        <f>IF($A292&lt;=$HB$45,1,0)</f>
        <v>0</v>
      </c>
      <c r="IB292">
        <f>IF($IB$31&lt;=$IB$32,IF($A292&lt;=$IB$7,1,2),IF($A292&lt;=RUNG_BEDS_2,2,1))</f>
        <v>1</v>
      </c>
      <c r="IC292" s="5">
        <f>MIN(1,MAX(0,$IB$26-($A292-1)))</f>
        <v>0</v>
      </c>
      <c r="ID292" s="5">
        <f>$IB$25*(IC292+(1-IC292)*$IB$16)</f>
        <v>0.0</v>
      </c>
      <c r="IE292" s="13">
        <f>ID292*($IB$6+ACUTE_MARGIN)</f>
        <v>0.0</v>
      </c>
      <c r="IF292" s="13">
        <f>IF(IB292=1,$IB$31,$IB$32)</f>
        <v>152734.9994534971</v>
      </c>
      <c r="IG292" s="13">
        <f>IE292-IF292</f>
        <v>-152734.9994534971</v>
      </c>
      <c r="IH292" s="13">
        <f>IH291+IG292</f>
        <v>6307355.74249135</v>
      </c>
      <c r="II292">
        <f>IF(IH292=MAX($IH$83:$IH$483),$A292,0)</f>
        <v>0</v>
      </c>
      <c r="IJ292">
        <f>IF(IE292&lt;IF292,$A292,B_MAX+1)</f>
        <v>209</v>
      </c>
      <c r="IK292" s="13">
        <f>IF(IB292=1,$IB$35,$IB$36)</f>
        <v>0</v>
      </c>
      <c r="IL292" s="13">
        <f>OCC_DAYS*$IB$41*R_NF_2023-ID292*MCD_SHARE_FREED*R_WAIT_2023</f>
        <v>151980.48282209205</v>
      </c>
      <c r="IM292">
        <f>IF($A292&lt;=$IB$45,1,0)</f>
        <v>0</v>
      </c>
      <c r="JB292">
        <f>IF($JB$31&lt;=$JB$32,IF($A292&lt;=$JB$7,1,2),IF($A292&lt;=RUNG_BEDS_2,2,1))</f>
        <v>1</v>
      </c>
      <c r="JC292" s="5">
        <f>MIN(1,MAX(0,$JB$26-($A292-1)))</f>
        <v>0</v>
      </c>
      <c r="JD292" s="5">
        <f>$JB$25*(JC292+(1-JC292)*$JB$16)</f>
        <v>0.0</v>
      </c>
      <c r="JE292" s="13">
        <f>JD292*($JB$6+ACUTE_MARGIN)</f>
        <v>0.0</v>
      </c>
      <c r="JF292" s="13">
        <f>IF(JB292=1,$JB$31,$JB$32)</f>
        <v>152394.16214437486</v>
      </c>
      <c r="JG292" s="13">
        <f>JE292-JF292</f>
        <v>-152394.16214437486</v>
      </c>
      <c r="JH292" s="13">
        <f>JH291+JG292</f>
        <v>6378590.740097994</v>
      </c>
      <c r="JI292">
        <f>IF(JH292=MAX($JH$83:$JH$483),$A292,0)</f>
        <v>0</v>
      </c>
      <c r="JJ292">
        <f>IF(JE292&lt;JF292,$A292,B_MAX+1)</f>
        <v>209</v>
      </c>
      <c r="JK292" s="13">
        <f>IF(JB292=1,$JB$35,$JB$36)</f>
        <v>0</v>
      </c>
      <c r="JL292" s="13">
        <f>OCC_DAYS*$JB$41*R_NF_2023-JD292*MCD_SHARE_FREED*R_WAIT_2023</f>
        <v>151980.48282209205</v>
      </c>
      <c r="JM292">
        <f>IF($A292&lt;=$JB$45,1,0)</f>
        <v>0</v>
      </c>
      <c r="KB292">
        <f>IF($KB$31&lt;=$KB$32,IF($A292&lt;=$KB$7,1,2),IF($A292&lt;=RUNG_BEDS_2,2,1))</f>
        <v>1</v>
      </c>
      <c r="KC292" s="5">
        <f>MIN(1,MAX(0,$KB$26-($A292-1)))</f>
        <v>1</v>
      </c>
      <c r="KD292" s="5">
        <f>$KB$25*(KC292+(1-KC292)*$KB$16)</f>
        <v>126.02661357340719</v>
      </c>
      <c r="KE292" s="13">
        <f>KD292*($KB$6+ACUTE_MARGIN)</f>
        <v>127286.87970914126</v>
      </c>
      <c r="KF292" s="13">
        <f>IF(KB292=1,$KB$31,$KB$32)</f>
        <v>152394.16214437486</v>
      </c>
      <c r="KG292" s="13">
        <f>KE292-KF292</f>
        <v>-25107.282435233603</v>
      </c>
      <c r="KH292" s="13">
        <f>KH291+KG292</f>
        <v>-5247422.02896384</v>
      </c>
      <c r="KI292">
        <f>IF(KH292=MAX($KH$83:$KH$483),$A292,0)</f>
        <v>0</v>
      </c>
      <c r="KJ292">
        <f>IF(KE292&lt;KF292,$A292,B_MAX+1)</f>
        <v>209</v>
      </c>
      <c r="KK292" s="13">
        <f>IF(KB292=1,$KB$35,$KB$36)</f>
        <v>0</v>
      </c>
      <c r="KL292" s="13">
        <f>OCC_DAYS*$KB$41*R_NF_2023-KD292*MCD_SHARE_FREED*R_WAIT_2023</f>
        <v>94673.82103225985</v>
      </c>
      <c r="KM292">
        <f>IF($A292&lt;=$KB$45,1,0)</f>
        <v>0</v>
      </c>
      <c r="LB292">
        <f>IF($LB$31&lt;=$LB$32,IF($A292&lt;=$LB$7,1,2),IF($A292&lt;=RUNG_BEDS_2,2,1))</f>
        <v>1</v>
      </c>
      <c r="LC292" s="5">
        <f>MIN(1,MAX(0,$LB$26-($A292-1)))</f>
        <v>1</v>
      </c>
      <c r="LD292" s="5">
        <f>$LB$25*(LC292+(1-LC292)*$LB$16)</f>
        <v>84.01774238227146</v>
      </c>
      <c r="LE292" s="13">
        <f>LD292*($LB$6+ACUTE_MARGIN)</f>
        <v>84857.91980609419</v>
      </c>
      <c r="LF292" s="13">
        <f>IF(LB292=1,$LB$31,$LB$32)</f>
        <v>152394.16214437486</v>
      </c>
      <c r="LG292" s="13">
        <f>LE292-LF292</f>
        <v>-67536.24233828067</v>
      </c>
      <c r="LH292" s="13">
        <f>LH291+LG292</f>
        <v>-14115074.648700725</v>
      </c>
      <c r="LI292">
        <f>IF(LH292=MAX($LH$83:$LH$483),$A292,0)</f>
        <v>0</v>
      </c>
      <c r="LJ292">
        <f>IF(LE292&lt;LF292,$A292,B_MAX+1)</f>
        <v>209</v>
      </c>
      <c r="LK292" s="13">
        <f>IF(LB292=1,$LB$35,$LB$36)</f>
        <v>0</v>
      </c>
      <c r="LL292" s="13">
        <f>OCC_DAYS*$LB$41*R_NF_2023-LD292*MCD_SHARE_FREED*R_WAIT_2023</f>
        <v>113776.04162887059</v>
      </c>
      <c r="LM292">
        <f>IF($A292&lt;=$LB$45,1,0)</f>
        <v>0</v>
      </c>
      <c r="MB292">
        <f>IF($MB$31&lt;=$MB$32,IF($A292&lt;=$MB$7,1,2),IF($A292&lt;=RUNG_BEDS_2,2,1))</f>
        <v>1</v>
      </c>
      <c r="MC292" s="5">
        <f>MIN(1,MAX(0,$MB$26-($A292-1)))</f>
        <v>0</v>
      </c>
      <c r="MD292" s="5">
        <f>$MB$25*(MC292+(1-MC292)*$MB$16)</f>
        <v>0.0</v>
      </c>
      <c r="ME292" s="13">
        <f>MD292*($MB$6+ACUTE_MARGIN)</f>
        <v>0.0</v>
      </c>
      <c r="MF292" s="13">
        <f>IF(MB292=1,$MB$31,$MB$32)</f>
        <v>152394.16214437486</v>
      </c>
      <c r="MG292" s="13">
        <f>ME292-MF292</f>
        <v>-152394.16214437486</v>
      </c>
      <c r="MH292" s="13">
        <f>MH291+MG292</f>
        <v>491314.6782996605</v>
      </c>
      <c r="MI292">
        <f>IF(MH292=MAX($MH$83:$MH$483),$A292,0)</f>
        <v>0</v>
      </c>
      <c r="MJ292">
        <f>IF(ME292&lt;MF292,$A292,B_MAX+1)</f>
        <v>209</v>
      </c>
      <c r="MK292" s="13">
        <f>IF(MB292=1,$MB$35,$MB$36)</f>
        <v>0</v>
      </c>
      <c r="ML292" s="13">
        <f>OCC_DAYS*$MB$41*R_NF_2023-MD292*MCD_SHARE_FREED*R_WAIT_2023</f>
        <v>151980.48282209205</v>
      </c>
      <c r="MM292">
        <f>IF($A292&lt;=$MB$45,1,0)</f>
        <v>0</v>
      </c>
      <c r="NB292">
        <f>IF($NB$31&lt;=$NB$32,IF($A292&lt;=$NB$7,1,2),IF($A292&lt;=RUNG_BEDS_2,2,1))</f>
        <v>1</v>
      </c>
      <c r="NC292" s="5">
        <f>MIN(1,MAX(0,$NB$26-($A292-1)))</f>
        <v>0</v>
      </c>
      <c r="ND292" s="5">
        <f>$NB$25*(NC292+(1-NC292)*$NB$16)</f>
        <v>63.013306786703595</v>
      </c>
      <c r="NE292" s="13">
        <f>ND292*($NB$6+ACUTE_MARGIN)</f>
        <v>63643.43985457063</v>
      </c>
      <c r="NF292" s="13">
        <f>IF(NB292=1,$NB$31,$NB$32)</f>
        <v>152394.16214437486</v>
      </c>
      <c r="NG292" s="13">
        <f>NE292-NF292</f>
        <v>-88750.72228980422</v>
      </c>
      <c r="NH292" s="13">
        <f>NH291+NG292</f>
        <v>10122827.012635153</v>
      </c>
      <c r="NI292">
        <f>IF(NH292=MAX($NH$83:$NH$483),$A292,0)</f>
        <v>0</v>
      </c>
      <c r="NJ292">
        <f>IF(NE292&lt;NF292,$A292,B_MAX+1)</f>
        <v>209</v>
      </c>
      <c r="NK292" s="13">
        <f>IF(NB292=1,$NB$35,$NB$36)</f>
        <v>0</v>
      </c>
      <c r="NL292" s="13">
        <f>OCC_DAYS*$NB$41*R_NF_2023-ND292*MCD_SHARE_FREED*R_WAIT_2023</f>
        <v>123327.15192717595</v>
      </c>
      <c r="NM292">
        <f>IF($A292&lt;=$NB$45,1,0)</f>
        <v>0</v>
      </c>
      <c r="OB292">
        <f>IF($OB$31&lt;=$OB$32,IF($A292&lt;=$OB$7,1,2),IF($A292&lt;=RUNG_BEDS_2,2,1))</f>
        <v>1</v>
      </c>
      <c r="OC292" s="5">
        <f>MIN(1,MAX(0,$OB$26-($A292-1)))</f>
        <v>0</v>
      </c>
      <c r="OD292" s="5">
        <f>$OB$25*(OC292+(1-OC292)*$OB$16)</f>
        <v>126.02661357340719</v>
      </c>
      <c r="OE292" s="13">
        <f>OD292*($OB$6+ACUTE_MARGIN)</f>
        <v>127286.87970914126</v>
      </c>
      <c r="OF292" s="13">
        <f>IF(OB292=1,$OB$31,$OB$32)</f>
        <v>152394.16214437486</v>
      </c>
      <c r="OG292" s="13">
        <f>OE292-OF292</f>
        <v>-25107.282435233603</v>
      </c>
      <c r="OH292" s="13">
        <f>OH291+OG292</f>
        <v>13867063.285172408</v>
      </c>
      <c r="OI292">
        <f>IF(OH292=MAX($OH$83:$OH$483),$A292,0)</f>
        <v>0</v>
      </c>
      <c r="OJ292">
        <f>IF(OE292&lt;OF292,$A292,B_MAX+1)</f>
        <v>209</v>
      </c>
      <c r="OK292" s="13">
        <f>IF(OB292=1,$OB$35,$OB$36)</f>
        <v>0</v>
      </c>
      <c r="OL292" s="13">
        <f>OCC_DAYS*$OB$41*R_NF_2023-OD292*MCD_SHARE_FREED*R_WAIT_2023</f>
        <v>94673.82103225985</v>
      </c>
      <c r="OM292">
        <f>IF($A292&lt;=$OB$45,1,0)</f>
        <v>0</v>
      </c>
    </row>
    <row r="293">
      <c r="A293" t="n">
        <v>210</v>
      </c>
      <c r="B293">
        <f>IF($B$31&lt;=$B$32,IF($A293&lt;=$B$7,1,2),IF($A293&lt;=RUNG_BEDS_2,2,1))</f>
        <v>1</v>
      </c>
      <c r="C293" s="5">
        <f>MIN(1,MAX(0,$B$26-($A293-1)))</f>
        <v>0</v>
      </c>
      <c r="D293" s="5">
        <f>$B$25*(C293+(1-C293)*$B$16)</f>
        <v>0.0</v>
      </c>
      <c r="E293" s="13">
        <f>D293*($B$6+ACUTE_MARGIN)</f>
        <v>0.0</v>
      </c>
      <c r="F293" s="13">
        <f>IF(B293=1,$B$31,$B$32)</f>
        <v>152394.16214437486</v>
      </c>
      <c r="G293" s="13">
        <f>E293-F293</f>
        <v>-152394.16214437486</v>
      </c>
      <c r="H293" s="13">
        <f>H292+G293</f>
        <v>6226196.577953619</v>
      </c>
      <c r="I293">
        <f>IF(H293=MAX($H$83:$H$483),$A293,0)</f>
        <v>0</v>
      </c>
      <c r="J293">
        <f>IF(E293&lt;F293,$A293,B_MAX+1)</f>
        <v>210</v>
      </c>
      <c r="K293" s="13">
        <f>IF(B293=1,$B$35,$B$36)</f>
        <v>0</v>
      </c>
      <c r="L293" s="13">
        <f>OCC_DAYS*$B$41*R_NF_2023-D293*MCD_SHARE_FREED*R_WAIT_2023</f>
        <v>151980.48282209205</v>
      </c>
      <c r="M293">
        <f>IF($A293&lt;=$B$45,1,0)</f>
        <v>0</v>
      </c>
      <c r="AB293">
        <f>IF($AB$31&lt;=$AB$32,IF($A293&lt;=$AB$7,1,2),IF($A293&lt;=RUNG_BEDS_2,2,1))</f>
        <v>1</v>
      </c>
      <c r="AC293" s="5">
        <f>MIN(1,MAX(0,$AB$26-($A293-1)))</f>
        <v>0</v>
      </c>
      <c r="AD293" s="5">
        <f>$AB$25*(AC293+(1-AC293)*$AB$16)</f>
        <v>0.0</v>
      </c>
      <c r="AE293" s="13">
        <f>AD293*($AB$6+ACUTE_MARGIN)</f>
        <v>0.0</v>
      </c>
      <c r="AF293" s="13">
        <f>IF(AB293=1,$AB$31,$AB$32)</f>
        <v>152394.16214437486</v>
      </c>
      <c r="AG293" s="13">
        <f>AE293-AF293</f>
        <v>-152394.16214437486</v>
      </c>
      <c r="AH293" s="13">
        <f>AH292+AG293</f>
        <v>-11185017.767596198</v>
      </c>
      <c r="AI293">
        <f>IF(AH293=MAX($AH$83:$AH$483),$A293,0)</f>
        <v>0</v>
      </c>
      <c r="AJ293">
        <f>IF(AE293&lt;AF293,$A293,B_MAX+1)</f>
        <v>210</v>
      </c>
      <c r="AK293" s="13">
        <f>IF(AB293=1,$AB$35,$AB$36)</f>
        <v>0</v>
      </c>
      <c r="AL293" s="13">
        <f>OCC_DAYS*$AB$41*R_NF_2023-AD293*MCD_SHARE_FREED*R_WAIT_2023</f>
        <v>151980.48282209205</v>
      </c>
      <c r="AM293">
        <f>IF($A293&lt;=$AB$45,1,0)</f>
        <v>0</v>
      </c>
      <c r="BB293">
        <f>IF($BB$31&lt;=$BB$32,IF($A293&lt;=$BB$7,1,2),IF($A293&lt;=RUNG_BEDS_2,2,1))</f>
        <v>1</v>
      </c>
      <c r="BC293" s="5">
        <f>MIN(1,MAX(0,$BB$26-($A293-1)))</f>
        <v>0</v>
      </c>
      <c r="BD293" s="5">
        <f>$BB$25*(BC293+(1-BC293)*$BB$16)</f>
        <v>0.0</v>
      </c>
      <c r="BE293" s="13">
        <f>BD293*($BB$6+ACUTE_MARGIN)</f>
        <v>0.0</v>
      </c>
      <c r="BF293" s="13">
        <f>IF(BB293=1,$BB$31,$BB$32)</f>
        <v>152394.16214437486</v>
      </c>
      <c r="BG293" s="13">
        <f>BE293-BF293</f>
        <v>-152394.16214437486</v>
      </c>
      <c r="BH293" s="13">
        <f>BH292+BG293</f>
        <v>23637410.923503295</v>
      </c>
      <c r="BI293">
        <f>IF(BH293=MAX($BH$83:$BH$483),$A293,0)</f>
        <v>0</v>
      </c>
      <c r="BJ293">
        <f>IF(BE293&lt;BF293,$A293,B_MAX+1)</f>
        <v>210</v>
      </c>
      <c r="BK293" s="13">
        <f>IF(BB293=1,$BB$35,$BB$36)</f>
        <v>0</v>
      </c>
      <c r="BL293" s="13">
        <f>OCC_DAYS*$BB$41*R_NF_2023-BD293*MCD_SHARE_FREED*R_WAIT_2023</f>
        <v>151980.48282209205</v>
      </c>
      <c r="BM293">
        <f>IF($A293&lt;=$BB$45,1,0)</f>
        <v>0</v>
      </c>
      <c r="CB293">
        <f>IF($CB$31&lt;=$CB$32,IF($A293&lt;=$CB$7,1,2),IF($A293&lt;=RUNG_BEDS_2,2,1))</f>
        <v>2</v>
      </c>
      <c r="CC293" s="5">
        <f>MIN(1,MAX(0,$CB$26-($A293-1)))</f>
        <v>0</v>
      </c>
      <c r="CD293" s="5">
        <f>$CB$25*(CC293+(1-CC293)*$CB$16)</f>
        <v>0.0</v>
      </c>
      <c r="CE293" s="13">
        <f>CD293*($CB$6+ACUTE_MARGIN)</f>
        <v>0.0</v>
      </c>
      <c r="CF293" s="13">
        <f>IF(CB293=1,$CB$31,$CB$32)</f>
        <v>160718.36940738867</v>
      </c>
      <c r="CG293" s="13">
        <f>CE293-CF293</f>
        <v>-160718.36940738867</v>
      </c>
      <c r="CH293" s="13">
        <f>CH292+CG293</f>
        <v>4478113.052720602</v>
      </c>
      <c r="CI293">
        <f>IF(CH293=MAX($CH$83:$CH$483),$A293,0)</f>
        <v>0</v>
      </c>
      <c r="CJ293">
        <f>IF(CE293&lt;CF293,$A293,B_MAX+1)</f>
        <v>210</v>
      </c>
      <c r="CK293" s="13">
        <f>IF(CB293=1,$CB$35,$CB$36)</f>
        <v>1560.1194073886782</v>
      </c>
      <c r="CL293" s="13">
        <f>OCC_DAYS*$CB$41*R_NF_2023-CD293*MCD_SHARE_FREED*R_WAIT_2023</f>
        <v>151980.48282209205</v>
      </c>
      <c r="CM293">
        <f>IF($A293&lt;=$CB$45,1,0)</f>
        <v>0</v>
      </c>
      <c r="DB293">
        <f>IF($DB$31&lt;=$DB$32,IF($A293&lt;=$DB$7,1,2),IF($A293&lt;=RUNG_BEDS_2,2,1))</f>
        <v>1</v>
      </c>
      <c r="DC293" s="5">
        <f>MIN(1,MAX(0,$DB$26-($A293-1)))</f>
        <v>0</v>
      </c>
      <c r="DD293" s="5">
        <f>$DB$25*(DC293+(1-DC293)*$DB$16)</f>
        <v>0.0</v>
      </c>
      <c r="DE293" s="13">
        <f>DD293*($DB$6+ACUTE_MARGIN)</f>
        <v>0.0</v>
      </c>
      <c r="DF293" s="13">
        <f>IF(DB293=1,$DB$31,$DB$32)</f>
        <v>152394.16214437486</v>
      </c>
      <c r="DG293" s="13">
        <f>DE293-DF293</f>
        <v>-152394.16214437486</v>
      </c>
      <c r="DH293" s="13">
        <f>DH292+DG293</f>
        <v>6226196.577953619</v>
      </c>
      <c r="DI293">
        <f>IF(DH293=MAX($DH$83:$DH$483),$A293,0)</f>
        <v>0</v>
      </c>
      <c r="DJ293">
        <f>IF(DE293&lt;DF293,$A293,B_MAX+1)</f>
        <v>210</v>
      </c>
      <c r="DK293" s="13">
        <f>IF(DB293=1,$DB$35,$DB$36)</f>
        <v>0</v>
      </c>
      <c r="DL293" s="13">
        <f>OCC_DAYS*$DB$41*R_NF_2023-DD293*MCD_SHARE_FREED*R_WAIT_2023</f>
        <v>151980.48282209205</v>
      </c>
      <c r="DM293">
        <f>IF($A293&lt;=$DB$45,1,0)</f>
        <v>0</v>
      </c>
      <c r="EB293">
        <f>IF($EB$31&lt;=$EB$32,IF($A293&lt;=$EB$7,1,2),IF($A293&lt;=RUNG_BEDS_2,2,1))</f>
        <v>1</v>
      </c>
      <c r="EC293" s="5">
        <f>MIN(1,MAX(0,$EB$26-($A293-1)))</f>
        <v>0</v>
      </c>
      <c r="ED293" s="5">
        <f>$EB$25*(EC293+(1-EC293)*$EB$16)</f>
        <v>0.0</v>
      </c>
      <c r="EE293" s="13">
        <f>ED293*($EB$6+ACUTE_MARGIN)</f>
        <v>0.0</v>
      </c>
      <c r="EF293" s="13">
        <f>IF(EB293=1,$EB$31,$EB$32)</f>
        <v>152394.16214437486</v>
      </c>
      <c r="EG293" s="13">
        <f>EE293-EF293</f>
        <v>-152394.16214437486</v>
      </c>
      <c r="EH293" s="13">
        <f>EH292+EG293</f>
        <v>6226196.577953619</v>
      </c>
      <c r="EI293">
        <f>IF(EH293=MAX($EH$83:$EH$483),$A293,0)</f>
        <v>0</v>
      </c>
      <c r="EJ293">
        <f>IF(EE293&lt;EF293,$A293,B_MAX+1)</f>
        <v>210</v>
      </c>
      <c r="EK293" s="13">
        <f>IF(EB293=1,$EB$35,$EB$36)</f>
        <v>0</v>
      </c>
      <c r="EL293" s="13">
        <f>OCC_DAYS*$EB$41*R_NF_2023-ED293*MCD_SHARE_FREED*R_WAIT_2023</f>
        <v>50660.16094069735</v>
      </c>
      <c r="EM293">
        <f>IF($A293&lt;=$EB$45,1,0)</f>
        <v>0</v>
      </c>
      <c r="FB293">
        <f>IF($FB$31&lt;=$FB$32,IF($A293&lt;=$FB$7,1,2),IF($A293&lt;=RUNG_BEDS_2,2,1))</f>
        <v>1</v>
      </c>
      <c r="FC293" s="5">
        <f>MIN(1,MAX(0,$FB$26-($A293-1)))</f>
        <v>0</v>
      </c>
      <c r="FD293" s="5">
        <f>$FB$25*(FC293+(1-FC293)*$FB$16)</f>
        <v>0.0</v>
      </c>
      <c r="FE293" s="13">
        <f>FD293*($FB$6+ACUTE_MARGIN)</f>
        <v>0.0</v>
      </c>
      <c r="FF293" s="13">
        <f>IF(FB293=1,$FB$31,$FB$32)</f>
        <v>156636.04979437485</v>
      </c>
      <c r="FG293" s="13">
        <f>FE293-FF293</f>
        <v>-156636.04979437485</v>
      </c>
      <c r="FH293" s="13">
        <f>FH292+FG293</f>
        <v>5335400.171453504</v>
      </c>
      <c r="FI293">
        <f>IF(FH293=MAX($FH$83:$FH$483),$A293,0)</f>
        <v>0</v>
      </c>
      <c r="FJ293">
        <f>IF(FE293&lt;FF293,$A293,B_MAX+1)</f>
        <v>210</v>
      </c>
      <c r="FK293" s="13">
        <f>IF(FB293=1,$FB$35,$FB$36)</f>
        <v>0</v>
      </c>
      <c r="FL293" s="13">
        <f>OCC_DAYS*$FB$41*R_NF_2023-FD293*MCD_SHARE_FREED*R_WAIT_2023</f>
        <v>151980.48282209205</v>
      </c>
      <c r="FM293">
        <f>IF($A293&lt;=$FB$45,1,0)</f>
        <v>0</v>
      </c>
      <c r="GB293">
        <f>IF($GB$31&lt;=$GB$32,IF($A293&lt;=$GB$7,1,2),IF($A293&lt;=RUNG_BEDS_2,2,1))</f>
        <v>1</v>
      </c>
      <c r="GC293" s="5">
        <f>MIN(1,MAX(0,$GB$26-($A293-1)))</f>
        <v>0</v>
      </c>
      <c r="GD293" s="5">
        <f>$GB$25*(GC293+(1-GC293)*$GB$16)</f>
        <v>0.0</v>
      </c>
      <c r="GE293" s="13">
        <f>GD293*($GB$6+ACUTE_MARGIN)</f>
        <v>0.0</v>
      </c>
      <c r="GF293" s="13">
        <f>IF(GB293=1,$GB$31,$GB$32)</f>
        <v>152394.16214437486</v>
      </c>
      <c r="GG293" s="13">
        <f>GE293-GF293</f>
        <v>-152394.16214437486</v>
      </c>
      <c r="GH293" s="13">
        <f>GH292+GG293</f>
        <v>6226196.577953619</v>
      </c>
      <c r="GI293">
        <f>IF(GH293=MAX($GH$83:$GH$483),$A293,0)</f>
        <v>0</v>
      </c>
      <c r="GJ293">
        <f>IF(GE293&lt;GF293,$A293,B_MAX+1)</f>
        <v>210</v>
      </c>
      <c r="GK293" s="13">
        <f>IF(GB293=1,$GB$35,$GB$36)</f>
        <v>0</v>
      </c>
      <c r="GL293" s="13">
        <f>OCC_DAYS*$GB$41*R_NF_2023-GD293*MCD_SHARE_FREED*R_WAIT_2023</f>
        <v>151980.48282209205</v>
      </c>
      <c r="GM293">
        <f>IF($A293&lt;=$GB$45,1,0)</f>
        <v>0</v>
      </c>
      <c r="HB293">
        <f>IF($HB$31&lt;=$HB$32,IF($A293&lt;=$HB$7,1,2),IF($A293&lt;=RUNG_BEDS_2,2,1))</f>
        <v>1</v>
      </c>
      <c r="HC293" s="5">
        <f>MIN(1,MAX(0,$HB$26-($A293-1)))</f>
        <v>0</v>
      </c>
      <c r="HD293" s="5">
        <f>$HB$25*(HC293+(1-HC293)*$HB$16)</f>
        <v>0.0</v>
      </c>
      <c r="HE293" s="13">
        <f>HD293*($HB$6+ACUTE_MARGIN)</f>
        <v>0.0</v>
      </c>
      <c r="HF293" s="13">
        <f>IF(HB293=1,$HB$31,$HB$32)</f>
        <v>152456.2970814058</v>
      </c>
      <c r="HG293" s="13">
        <f>HE293-HF293</f>
        <v>-152456.2970814058</v>
      </c>
      <c r="HH293" s="13">
        <f>HH292+HG293</f>
        <v>6213148.241177083</v>
      </c>
      <c r="HI293">
        <f>IF(HH293=MAX($HH$83:$HH$483),$A293,0)</f>
        <v>0</v>
      </c>
      <c r="HJ293">
        <f>IF(HE293&lt;HF293,$A293,B_MAX+1)</f>
        <v>210</v>
      </c>
      <c r="HK293" s="13">
        <f>IF(HB293=1,$HB$35,$HB$36)</f>
        <v>0</v>
      </c>
      <c r="HL293" s="13">
        <f>OCC_DAYS*$HB$41*R_NF_2023-HD293*MCD_SHARE_FREED*R_WAIT_2023</f>
        <v>151980.48282209205</v>
      </c>
      <c r="HM293">
        <f>IF($A293&lt;=$HB$45,1,0)</f>
        <v>0</v>
      </c>
      <c r="IB293">
        <f>IF($IB$31&lt;=$IB$32,IF($A293&lt;=$IB$7,1,2),IF($A293&lt;=RUNG_BEDS_2,2,1))</f>
        <v>1</v>
      </c>
      <c r="IC293" s="5">
        <f>MIN(1,MAX(0,$IB$26-($A293-1)))</f>
        <v>0</v>
      </c>
      <c r="ID293" s="5">
        <f>$IB$25*(IC293+(1-IC293)*$IB$16)</f>
        <v>0.0</v>
      </c>
      <c r="IE293" s="13">
        <f>ID293*($IB$6+ACUTE_MARGIN)</f>
        <v>0.0</v>
      </c>
      <c r="IF293" s="13">
        <f>IF(IB293=1,$IB$31,$IB$32)</f>
        <v>152734.9994534971</v>
      </c>
      <c r="IG293" s="13">
        <f>IE293-IF293</f>
        <v>-152734.9994534971</v>
      </c>
      <c r="IH293" s="13">
        <f>IH292+IG293</f>
        <v>6154620.743037852</v>
      </c>
      <c r="II293">
        <f>IF(IH293=MAX($IH$83:$IH$483),$A293,0)</f>
        <v>0</v>
      </c>
      <c r="IJ293">
        <f>IF(IE293&lt;IF293,$A293,B_MAX+1)</f>
        <v>210</v>
      </c>
      <c r="IK293" s="13">
        <f>IF(IB293=1,$IB$35,$IB$36)</f>
        <v>0</v>
      </c>
      <c r="IL293" s="13">
        <f>OCC_DAYS*$IB$41*R_NF_2023-ID293*MCD_SHARE_FREED*R_WAIT_2023</f>
        <v>151980.48282209205</v>
      </c>
      <c r="IM293">
        <f>IF($A293&lt;=$IB$45,1,0)</f>
        <v>0</v>
      </c>
      <c r="JB293">
        <f>IF($JB$31&lt;=$JB$32,IF($A293&lt;=$JB$7,1,2),IF($A293&lt;=RUNG_BEDS_2,2,1))</f>
        <v>1</v>
      </c>
      <c r="JC293" s="5">
        <f>MIN(1,MAX(0,$JB$26-($A293-1)))</f>
        <v>0</v>
      </c>
      <c r="JD293" s="5">
        <f>$JB$25*(JC293+(1-JC293)*$JB$16)</f>
        <v>0.0</v>
      </c>
      <c r="JE293" s="13">
        <f>JD293*($JB$6+ACUTE_MARGIN)</f>
        <v>0.0</v>
      </c>
      <c r="JF293" s="13">
        <f>IF(JB293=1,$JB$31,$JB$32)</f>
        <v>152394.16214437486</v>
      </c>
      <c r="JG293" s="13">
        <f>JE293-JF293</f>
        <v>-152394.16214437486</v>
      </c>
      <c r="JH293" s="13">
        <f>JH292+JG293</f>
        <v>6226196.577953619</v>
      </c>
      <c r="JI293">
        <f>IF(JH293=MAX($JH$83:$JH$483),$A293,0)</f>
        <v>0</v>
      </c>
      <c r="JJ293">
        <f>IF(JE293&lt;JF293,$A293,B_MAX+1)</f>
        <v>210</v>
      </c>
      <c r="JK293" s="13">
        <f>IF(JB293=1,$JB$35,$JB$36)</f>
        <v>0</v>
      </c>
      <c r="JL293" s="13">
        <f>OCC_DAYS*$JB$41*R_NF_2023-JD293*MCD_SHARE_FREED*R_WAIT_2023</f>
        <v>151980.48282209205</v>
      </c>
      <c r="JM293">
        <f>IF($A293&lt;=$JB$45,1,0)</f>
        <v>0</v>
      </c>
      <c r="KB293">
        <f>IF($KB$31&lt;=$KB$32,IF($A293&lt;=$KB$7,1,2),IF($A293&lt;=RUNG_BEDS_2,2,1))</f>
        <v>1</v>
      </c>
      <c r="KC293" s="5">
        <f>MIN(1,MAX(0,$KB$26-($A293-1)))</f>
        <v>1</v>
      </c>
      <c r="KD293" s="5">
        <f>$KB$25*(KC293+(1-KC293)*$KB$16)</f>
        <v>126.02661357340719</v>
      </c>
      <c r="KE293" s="13">
        <f>KD293*($KB$6+ACUTE_MARGIN)</f>
        <v>127286.87970914126</v>
      </c>
      <c r="KF293" s="13">
        <f>IF(KB293=1,$KB$31,$KB$32)</f>
        <v>152394.16214437486</v>
      </c>
      <c r="KG293" s="13">
        <f>KE293-KF293</f>
        <v>-25107.282435233603</v>
      </c>
      <c r="KH293" s="13">
        <f>KH292+KG293</f>
        <v>-5272529.311399073</v>
      </c>
      <c r="KI293">
        <f>IF(KH293=MAX($KH$83:$KH$483),$A293,0)</f>
        <v>0</v>
      </c>
      <c r="KJ293">
        <f>IF(KE293&lt;KF293,$A293,B_MAX+1)</f>
        <v>210</v>
      </c>
      <c r="KK293" s="13">
        <f>IF(KB293=1,$KB$35,$KB$36)</f>
        <v>0</v>
      </c>
      <c r="KL293" s="13">
        <f>OCC_DAYS*$KB$41*R_NF_2023-KD293*MCD_SHARE_FREED*R_WAIT_2023</f>
        <v>94673.82103225985</v>
      </c>
      <c r="KM293">
        <f>IF($A293&lt;=$KB$45,1,0)</f>
        <v>0</v>
      </c>
      <c r="LB293">
        <f>IF($LB$31&lt;=$LB$32,IF($A293&lt;=$LB$7,1,2),IF($A293&lt;=RUNG_BEDS_2,2,1))</f>
        <v>1</v>
      </c>
      <c r="LC293" s="5">
        <f>MIN(1,MAX(0,$LB$26-($A293-1)))</f>
        <v>1</v>
      </c>
      <c r="LD293" s="5">
        <f>$LB$25*(LC293+(1-LC293)*$LB$16)</f>
        <v>84.01774238227146</v>
      </c>
      <c r="LE293" s="13">
        <f>LD293*($LB$6+ACUTE_MARGIN)</f>
        <v>84857.91980609419</v>
      </c>
      <c r="LF293" s="13">
        <f>IF(LB293=1,$LB$31,$LB$32)</f>
        <v>152394.16214437486</v>
      </c>
      <c r="LG293" s="13">
        <f>LE293-LF293</f>
        <v>-67536.24233828067</v>
      </c>
      <c r="LH293" s="13">
        <f>LH292+LG293</f>
        <v>-14182610.891039006</v>
      </c>
      <c r="LI293">
        <f>IF(LH293=MAX($LH$83:$LH$483),$A293,0)</f>
        <v>0</v>
      </c>
      <c r="LJ293">
        <f>IF(LE293&lt;LF293,$A293,B_MAX+1)</f>
        <v>210</v>
      </c>
      <c r="LK293" s="13">
        <f>IF(LB293=1,$LB$35,$LB$36)</f>
        <v>0</v>
      </c>
      <c r="LL293" s="13">
        <f>OCC_DAYS*$LB$41*R_NF_2023-LD293*MCD_SHARE_FREED*R_WAIT_2023</f>
        <v>113776.04162887059</v>
      </c>
      <c r="LM293">
        <f>IF($A293&lt;=$LB$45,1,0)</f>
        <v>0</v>
      </c>
      <c r="MB293">
        <f>IF($MB$31&lt;=$MB$32,IF($A293&lt;=$MB$7,1,2),IF($A293&lt;=RUNG_BEDS_2,2,1))</f>
        <v>1</v>
      </c>
      <c r="MC293" s="5">
        <f>MIN(1,MAX(0,$MB$26-($A293-1)))</f>
        <v>0</v>
      </c>
      <c r="MD293" s="5">
        <f>$MB$25*(MC293+(1-MC293)*$MB$16)</f>
        <v>0.0</v>
      </c>
      <c r="ME293" s="13">
        <f>MD293*($MB$6+ACUTE_MARGIN)</f>
        <v>0.0</v>
      </c>
      <c r="MF293" s="13">
        <f>IF(MB293=1,$MB$31,$MB$32)</f>
        <v>152394.16214437486</v>
      </c>
      <c r="MG293" s="13">
        <f>ME293-MF293</f>
        <v>-152394.16214437486</v>
      </c>
      <c r="MH293" s="13">
        <f>MH292+MG293</f>
        <v>338920.51615528564</v>
      </c>
      <c r="MI293">
        <f>IF(MH293=MAX($MH$83:$MH$483),$A293,0)</f>
        <v>0</v>
      </c>
      <c r="MJ293">
        <f>IF(ME293&lt;MF293,$A293,B_MAX+1)</f>
        <v>210</v>
      </c>
      <c r="MK293" s="13">
        <f>IF(MB293=1,$MB$35,$MB$36)</f>
        <v>0</v>
      </c>
      <c r="ML293" s="13">
        <f>OCC_DAYS*$MB$41*R_NF_2023-MD293*MCD_SHARE_FREED*R_WAIT_2023</f>
        <v>151980.48282209205</v>
      </c>
      <c r="MM293">
        <f>IF($A293&lt;=$MB$45,1,0)</f>
        <v>0</v>
      </c>
      <c r="NB293">
        <f>IF($NB$31&lt;=$NB$32,IF($A293&lt;=$NB$7,1,2),IF($A293&lt;=RUNG_BEDS_2,2,1))</f>
        <v>1</v>
      </c>
      <c r="NC293" s="5">
        <f>MIN(1,MAX(0,$NB$26-($A293-1)))</f>
        <v>0</v>
      </c>
      <c r="ND293" s="5">
        <f>$NB$25*(NC293+(1-NC293)*$NB$16)</f>
        <v>63.013306786703595</v>
      </c>
      <c r="NE293" s="13">
        <f>ND293*($NB$6+ACUTE_MARGIN)</f>
        <v>63643.43985457063</v>
      </c>
      <c r="NF293" s="13">
        <f>IF(NB293=1,$NB$31,$NB$32)</f>
        <v>152394.16214437486</v>
      </c>
      <c r="NG293" s="13">
        <f>NE293-NF293</f>
        <v>-88750.72228980422</v>
      </c>
      <c r="NH293" s="13">
        <f>NH292+NG293</f>
        <v>10034076.290345348</v>
      </c>
      <c r="NI293">
        <f>IF(NH293=MAX($NH$83:$NH$483),$A293,0)</f>
        <v>0</v>
      </c>
      <c r="NJ293">
        <f>IF(NE293&lt;NF293,$A293,B_MAX+1)</f>
        <v>210</v>
      </c>
      <c r="NK293" s="13">
        <f>IF(NB293=1,$NB$35,$NB$36)</f>
        <v>0</v>
      </c>
      <c r="NL293" s="13">
        <f>OCC_DAYS*$NB$41*R_NF_2023-ND293*MCD_SHARE_FREED*R_WAIT_2023</f>
        <v>123327.15192717595</v>
      </c>
      <c r="NM293">
        <f>IF($A293&lt;=$NB$45,1,0)</f>
        <v>0</v>
      </c>
      <c r="OB293">
        <f>IF($OB$31&lt;=$OB$32,IF($A293&lt;=$OB$7,1,2),IF($A293&lt;=RUNG_BEDS_2,2,1))</f>
        <v>1</v>
      </c>
      <c r="OC293" s="5">
        <f>MIN(1,MAX(0,$OB$26-($A293-1)))</f>
        <v>0</v>
      </c>
      <c r="OD293" s="5">
        <f>$OB$25*(OC293+(1-OC293)*$OB$16)</f>
        <v>126.02661357340719</v>
      </c>
      <c r="OE293" s="13">
        <f>OD293*($OB$6+ACUTE_MARGIN)</f>
        <v>127286.87970914126</v>
      </c>
      <c r="OF293" s="13">
        <f>IF(OB293=1,$OB$31,$OB$32)</f>
        <v>152394.16214437486</v>
      </c>
      <c r="OG293" s="13">
        <f>OE293-OF293</f>
        <v>-25107.282435233603</v>
      </c>
      <c r="OH293" s="13">
        <f>OH292+OG293</f>
        <v>13841956.002737176</v>
      </c>
      <c r="OI293">
        <f>IF(OH293=MAX($OH$83:$OH$483),$A293,0)</f>
        <v>0</v>
      </c>
      <c r="OJ293">
        <f>IF(OE293&lt;OF293,$A293,B_MAX+1)</f>
        <v>210</v>
      </c>
      <c r="OK293" s="13">
        <f>IF(OB293=1,$OB$35,$OB$36)</f>
        <v>0</v>
      </c>
      <c r="OL293" s="13">
        <f>OCC_DAYS*$OB$41*R_NF_2023-OD293*MCD_SHARE_FREED*R_WAIT_2023</f>
        <v>94673.82103225985</v>
      </c>
      <c r="OM293">
        <f>IF($A293&lt;=$OB$45,1,0)</f>
        <v>0</v>
      </c>
    </row>
    <row r="294">
      <c r="A294" t="n">
        <v>211</v>
      </c>
      <c r="B294">
        <f>IF($B$31&lt;=$B$32,IF($A294&lt;=$B$7,1,2),IF($A294&lt;=RUNG_BEDS_2,2,1))</f>
        <v>1</v>
      </c>
      <c r="C294" s="5">
        <f>MIN(1,MAX(0,$B$26-($A294-1)))</f>
        <v>0</v>
      </c>
      <c r="D294" s="5">
        <f>$B$25*(C294+(1-C294)*$B$16)</f>
        <v>0.0</v>
      </c>
      <c r="E294" s="13">
        <f>D294*($B$6+ACUTE_MARGIN)</f>
        <v>0.0</v>
      </c>
      <c r="F294" s="13">
        <f>IF(B294=1,$B$31,$B$32)</f>
        <v>152394.16214437486</v>
      </c>
      <c r="G294" s="13">
        <f>E294-F294</f>
        <v>-152394.16214437486</v>
      </c>
      <c r="H294" s="13">
        <f>H293+G294</f>
        <v>6073802.415809244</v>
      </c>
      <c r="I294">
        <f>IF(H294=MAX($H$83:$H$483),$A294,0)</f>
        <v>0</v>
      </c>
      <c r="J294">
        <f>IF(E294&lt;F294,$A294,B_MAX+1)</f>
        <v>211</v>
      </c>
      <c r="K294" s="13">
        <f>IF(B294=1,$B$35,$B$36)</f>
        <v>0</v>
      </c>
      <c r="L294" s="13">
        <f>OCC_DAYS*$B$41*R_NF_2023-D294*MCD_SHARE_FREED*R_WAIT_2023</f>
        <v>151980.48282209205</v>
      </c>
      <c r="M294">
        <f>IF($A294&lt;=$B$45,1,0)</f>
        <v>0</v>
      </c>
      <c r="AB294">
        <f>IF($AB$31&lt;=$AB$32,IF($A294&lt;=$AB$7,1,2),IF($A294&lt;=RUNG_BEDS_2,2,1))</f>
        <v>1</v>
      </c>
      <c r="AC294" s="5">
        <f>MIN(1,MAX(0,$AB$26-($A294-1)))</f>
        <v>0</v>
      </c>
      <c r="AD294" s="5">
        <f>$AB$25*(AC294+(1-AC294)*$AB$16)</f>
        <v>0.0</v>
      </c>
      <c r="AE294" s="13">
        <f>AD294*($AB$6+ACUTE_MARGIN)</f>
        <v>0.0</v>
      </c>
      <c r="AF294" s="13">
        <f>IF(AB294=1,$AB$31,$AB$32)</f>
        <v>152394.16214437486</v>
      </c>
      <c r="AG294" s="13">
        <f>AE294-AF294</f>
        <v>-152394.16214437486</v>
      </c>
      <c r="AH294" s="13">
        <f>AH293+AG294</f>
        <v>-11337411.929740572</v>
      </c>
      <c r="AI294">
        <f>IF(AH294=MAX($AH$83:$AH$483),$A294,0)</f>
        <v>0</v>
      </c>
      <c r="AJ294">
        <f>IF(AE294&lt;AF294,$A294,B_MAX+1)</f>
        <v>211</v>
      </c>
      <c r="AK294" s="13">
        <f>IF(AB294=1,$AB$35,$AB$36)</f>
        <v>0</v>
      </c>
      <c r="AL294" s="13">
        <f>OCC_DAYS*$AB$41*R_NF_2023-AD294*MCD_SHARE_FREED*R_WAIT_2023</f>
        <v>151980.48282209205</v>
      </c>
      <c r="AM294">
        <f>IF($A294&lt;=$AB$45,1,0)</f>
        <v>0</v>
      </c>
      <c r="BB294">
        <f>IF($BB$31&lt;=$BB$32,IF($A294&lt;=$BB$7,1,2),IF($A294&lt;=RUNG_BEDS_2,2,1))</f>
        <v>1</v>
      </c>
      <c r="BC294" s="5">
        <f>MIN(1,MAX(0,$BB$26-($A294-1)))</f>
        <v>0</v>
      </c>
      <c r="BD294" s="5">
        <f>$BB$25*(BC294+(1-BC294)*$BB$16)</f>
        <v>0.0</v>
      </c>
      <c r="BE294" s="13">
        <f>BD294*($BB$6+ACUTE_MARGIN)</f>
        <v>0.0</v>
      </c>
      <c r="BF294" s="13">
        <f>IF(BB294=1,$BB$31,$BB$32)</f>
        <v>152394.16214437486</v>
      </c>
      <c r="BG294" s="13">
        <f>BE294-BF294</f>
        <v>-152394.16214437486</v>
      </c>
      <c r="BH294" s="13">
        <f>BH293+BG294</f>
        <v>23485016.76135892</v>
      </c>
      <c r="BI294">
        <f>IF(BH294=MAX($BH$83:$BH$483),$A294,0)</f>
        <v>0</v>
      </c>
      <c r="BJ294">
        <f>IF(BE294&lt;BF294,$A294,B_MAX+1)</f>
        <v>211</v>
      </c>
      <c r="BK294" s="13">
        <f>IF(BB294=1,$BB$35,$BB$36)</f>
        <v>0</v>
      </c>
      <c r="BL294" s="13">
        <f>OCC_DAYS*$BB$41*R_NF_2023-BD294*MCD_SHARE_FREED*R_WAIT_2023</f>
        <v>151980.48282209205</v>
      </c>
      <c r="BM294">
        <f>IF($A294&lt;=$BB$45,1,0)</f>
        <v>0</v>
      </c>
      <c r="CB294">
        <f>IF($CB$31&lt;=$CB$32,IF($A294&lt;=$CB$7,1,2),IF($A294&lt;=RUNG_BEDS_2,2,1))</f>
        <v>2</v>
      </c>
      <c r="CC294" s="5">
        <f>MIN(1,MAX(0,$CB$26-($A294-1)))</f>
        <v>0</v>
      </c>
      <c r="CD294" s="5">
        <f>$CB$25*(CC294+(1-CC294)*$CB$16)</f>
        <v>0.0</v>
      </c>
      <c r="CE294" s="13">
        <f>CD294*($CB$6+ACUTE_MARGIN)</f>
        <v>0.0</v>
      </c>
      <c r="CF294" s="13">
        <f>IF(CB294=1,$CB$31,$CB$32)</f>
        <v>160718.36940738867</v>
      </c>
      <c r="CG294" s="13">
        <f>CE294-CF294</f>
        <v>-160718.36940738867</v>
      </c>
      <c r="CH294" s="13">
        <f>CH293+CG294</f>
        <v>4317394.683313213</v>
      </c>
      <c r="CI294">
        <f>IF(CH294=MAX($CH$83:$CH$483),$A294,0)</f>
        <v>0</v>
      </c>
      <c r="CJ294">
        <f>IF(CE294&lt;CF294,$A294,B_MAX+1)</f>
        <v>211</v>
      </c>
      <c r="CK294" s="13">
        <f>IF(CB294=1,$CB$35,$CB$36)</f>
        <v>1560.1194073886782</v>
      </c>
      <c r="CL294" s="13">
        <f>OCC_DAYS*$CB$41*R_NF_2023-CD294*MCD_SHARE_FREED*R_WAIT_2023</f>
        <v>151980.48282209205</v>
      </c>
      <c r="CM294">
        <f>IF($A294&lt;=$CB$45,1,0)</f>
        <v>0</v>
      </c>
      <c r="DB294">
        <f>IF($DB$31&lt;=$DB$32,IF($A294&lt;=$DB$7,1,2),IF($A294&lt;=RUNG_BEDS_2,2,1))</f>
        <v>1</v>
      </c>
      <c r="DC294" s="5">
        <f>MIN(1,MAX(0,$DB$26-($A294-1)))</f>
        <v>0</v>
      </c>
      <c r="DD294" s="5">
        <f>$DB$25*(DC294+(1-DC294)*$DB$16)</f>
        <v>0.0</v>
      </c>
      <c r="DE294" s="13">
        <f>DD294*($DB$6+ACUTE_MARGIN)</f>
        <v>0.0</v>
      </c>
      <c r="DF294" s="13">
        <f>IF(DB294=1,$DB$31,$DB$32)</f>
        <v>152394.16214437486</v>
      </c>
      <c r="DG294" s="13">
        <f>DE294-DF294</f>
        <v>-152394.16214437486</v>
      </c>
      <c r="DH294" s="13">
        <f>DH293+DG294</f>
        <v>6073802.415809244</v>
      </c>
      <c r="DI294">
        <f>IF(DH294=MAX($DH$83:$DH$483),$A294,0)</f>
        <v>0</v>
      </c>
      <c r="DJ294">
        <f>IF(DE294&lt;DF294,$A294,B_MAX+1)</f>
        <v>211</v>
      </c>
      <c r="DK294" s="13">
        <f>IF(DB294=1,$DB$35,$DB$36)</f>
        <v>0</v>
      </c>
      <c r="DL294" s="13">
        <f>OCC_DAYS*$DB$41*R_NF_2023-DD294*MCD_SHARE_FREED*R_WAIT_2023</f>
        <v>151980.48282209205</v>
      </c>
      <c r="DM294">
        <f>IF($A294&lt;=$DB$45,1,0)</f>
        <v>0</v>
      </c>
      <c r="EB294">
        <f>IF($EB$31&lt;=$EB$32,IF($A294&lt;=$EB$7,1,2),IF($A294&lt;=RUNG_BEDS_2,2,1))</f>
        <v>1</v>
      </c>
      <c r="EC294" s="5">
        <f>MIN(1,MAX(0,$EB$26-($A294-1)))</f>
        <v>0</v>
      </c>
      <c r="ED294" s="5">
        <f>$EB$25*(EC294+(1-EC294)*$EB$16)</f>
        <v>0.0</v>
      </c>
      <c r="EE294" s="13">
        <f>ED294*($EB$6+ACUTE_MARGIN)</f>
        <v>0.0</v>
      </c>
      <c r="EF294" s="13">
        <f>IF(EB294=1,$EB$31,$EB$32)</f>
        <v>152394.16214437486</v>
      </c>
      <c r="EG294" s="13">
        <f>EE294-EF294</f>
        <v>-152394.16214437486</v>
      </c>
      <c r="EH294" s="13">
        <f>EH293+EG294</f>
        <v>6073802.415809244</v>
      </c>
      <c r="EI294">
        <f>IF(EH294=MAX($EH$83:$EH$483),$A294,0)</f>
        <v>0</v>
      </c>
      <c r="EJ294">
        <f>IF(EE294&lt;EF294,$A294,B_MAX+1)</f>
        <v>211</v>
      </c>
      <c r="EK294" s="13">
        <f>IF(EB294=1,$EB$35,$EB$36)</f>
        <v>0</v>
      </c>
      <c r="EL294" s="13">
        <f>OCC_DAYS*$EB$41*R_NF_2023-ED294*MCD_SHARE_FREED*R_WAIT_2023</f>
        <v>50660.16094069735</v>
      </c>
      <c r="EM294">
        <f>IF($A294&lt;=$EB$45,1,0)</f>
        <v>0</v>
      </c>
      <c r="FB294">
        <f>IF($FB$31&lt;=$FB$32,IF($A294&lt;=$FB$7,1,2),IF($A294&lt;=RUNG_BEDS_2,2,1))</f>
        <v>1</v>
      </c>
      <c r="FC294" s="5">
        <f>MIN(1,MAX(0,$FB$26-($A294-1)))</f>
        <v>0</v>
      </c>
      <c r="FD294" s="5">
        <f>$FB$25*(FC294+(1-FC294)*$FB$16)</f>
        <v>0.0</v>
      </c>
      <c r="FE294" s="13">
        <f>FD294*($FB$6+ACUTE_MARGIN)</f>
        <v>0.0</v>
      </c>
      <c r="FF294" s="13">
        <f>IF(FB294=1,$FB$31,$FB$32)</f>
        <v>156636.04979437485</v>
      </c>
      <c r="FG294" s="13">
        <f>FE294-FF294</f>
        <v>-156636.04979437485</v>
      </c>
      <c r="FH294" s="13">
        <f>FH293+FG294</f>
        <v>5178764.121659129</v>
      </c>
      <c r="FI294">
        <f>IF(FH294=MAX($FH$83:$FH$483),$A294,0)</f>
        <v>0</v>
      </c>
      <c r="FJ294">
        <f>IF(FE294&lt;FF294,$A294,B_MAX+1)</f>
        <v>211</v>
      </c>
      <c r="FK294" s="13">
        <f>IF(FB294=1,$FB$35,$FB$36)</f>
        <v>0</v>
      </c>
      <c r="FL294" s="13">
        <f>OCC_DAYS*$FB$41*R_NF_2023-FD294*MCD_SHARE_FREED*R_WAIT_2023</f>
        <v>151980.48282209205</v>
      </c>
      <c r="FM294">
        <f>IF($A294&lt;=$FB$45,1,0)</f>
        <v>0</v>
      </c>
      <c r="GB294">
        <f>IF($GB$31&lt;=$GB$32,IF($A294&lt;=$GB$7,1,2),IF($A294&lt;=RUNG_BEDS_2,2,1))</f>
        <v>1</v>
      </c>
      <c r="GC294" s="5">
        <f>MIN(1,MAX(0,$GB$26-($A294-1)))</f>
        <v>0</v>
      </c>
      <c r="GD294" s="5">
        <f>$GB$25*(GC294+(1-GC294)*$GB$16)</f>
        <v>0.0</v>
      </c>
      <c r="GE294" s="13">
        <f>GD294*($GB$6+ACUTE_MARGIN)</f>
        <v>0.0</v>
      </c>
      <c r="GF294" s="13">
        <f>IF(GB294=1,$GB$31,$GB$32)</f>
        <v>152394.16214437486</v>
      </c>
      <c r="GG294" s="13">
        <f>GE294-GF294</f>
        <v>-152394.16214437486</v>
      </c>
      <c r="GH294" s="13">
        <f>GH293+GG294</f>
        <v>6073802.415809244</v>
      </c>
      <c r="GI294">
        <f>IF(GH294=MAX($GH$83:$GH$483),$A294,0)</f>
        <v>0</v>
      </c>
      <c r="GJ294">
        <f>IF(GE294&lt;GF294,$A294,B_MAX+1)</f>
        <v>211</v>
      </c>
      <c r="GK294" s="13">
        <f>IF(GB294=1,$GB$35,$GB$36)</f>
        <v>0</v>
      </c>
      <c r="GL294" s="13">
        <f>OCC_DAYS*$GB$41*R_NF_2023-GD294*MCD_SHARE_FREED*R_WAIT_2023</f>
        <v>151980.48282209205</v>
      </c>
      <c r="GM294">
        <f>IF($A294&lt;=$GB$45,1,0)</f>
        <v>0</v>
      </c>
      <c r="HB294">
        <f>IF($HB$31&lt;=$HB$32,IF($A294&lt;=$HB$7,1,2),IF($A294&lt;=RUNG_BEDS_2,2,1))</f>
        <v>1</v>
      </c>
      <c r="HC294" s="5">
        <f>MIN(1,MAX(0,$HB$26-($A294-1)))</f>
        <v>0</v>
      </c>
      <c r="HD294" s="5">
        <f>$HB$25*(HC294+(1-HC294)*$HB$16)</f>
        <v>0.0</v>
      </c>
      <c r="HE294" s="13">
        <f>HD294*($HB$6+ACUTE_MARGIN)</f>
        <v>0.0</v>
      </c>
      <c r="HF294" s="13">
        <f>IF(HB294=1,$HB$31,$HB$32)</f>
        <v>152456.2970814058</v>
      </c>
      <c r="HG294" s="13">
        <f>HE294-HF294</f>
        <v>-152456.2970814058</v>
      </c>
      <c r="HH294" s="13">
        <f>HH293+HG294</f>
        <v>6060691.944095677</v>
      </c>
      <c r="HI294">
        <f>IF(HH294=MAX($HH$83:$HH$483),$A294,0)</f>
        <v>0</v>
      </c>
      <c r="HJ294">
        <f>IF(HE294&lt;HF294,$A294,B_MAX+1)</f>
        <v>211</v>
      </c>
      <c r="HK294" s="13">
        <f>IF(HB294=1,$HB$35,$HB$36)</f>
        <v>0</v>
      </c>
      <c r="HL294" s="13">
        <f>OCC_DAYS*$HB$41*R_NF_2023-HD294*MCD_SHARE_FREED*R_WAIT_2023</f>
        <v>151980.48282209205</v>
      </c>
      <c r="HM294">
        <f>IF($A294&lt;=$HB$45,1,0)</f>
        <v>0</v>
      </c>
      <c r="IB294">
        <f>IF($IB$31&lt;=$IB$32,IF($A294&lt;=$IB$7,1,2),IF($A294&lt;=RUNG_BEDS_2,2,1))</f>
        <v>1</v>
      </c>
      <c r="IC294" s="5">
        <f>MIN(1,MAX(0,$IB$26-($A294-1)))</f>
        <v>0</v>
      </c>
      <c r="ID294" s="5">
        <f>$IB$25*(IC294+(1-IC294)*$IB$16)</f>
        <v>0.0</v>
      </c>
      <c r="IE294" s="13">
        <f>ID294*($IB$6+ACUTE_MARGIN)</f>
        <v>0.0</v>
      </c>
      <c r="IF294" s="13">
        <f>IF(IB294=1,$IB$31,$IB$32)</f>
        <v>152734.9994534971</v>
      </c>
      <c r="IG294" s="13">
        <f>IE294-IF294</f>
        <v>-152734.9994534971</v>
      </c>
      <c r="IH294" s="13">
        <f>IH293+IG294</f>
        <v>6001885.743584355</v>
      </c>
      <c r="II294">
        <f>IF(IH294=MAX($IH$83:$IH$483),$A294,0)</f>
        <v>0</v>
      </c>
      <c r="IJ294">
        <f>IF(IE294&lt;IF294,$A294,B_MAX+1)</f>
        <v>211</v>
      </c>
      <c r="IK294" s="13">
        <f>IF(IB294=1,$IB$35,$IB$36)</f>
        <v>0</v>
      </c>
      <c r="IL294" s="13">
        <f>OCC_DAYS*$IB$41*R_NF_2023-ID294*MCD_SHARE_FREED*R_WAIT_2023</f>
        <v>151980.48282209205</v>
      </c>
      <c r="IM294">
        <f>IF($A294&lt;=$IB$45,1,0)</f>
        <v>0</v>
      </c>
      <c r="JB294">
        <f>IF($JB$31&lt;=$JB$32,IF($A294&lt;=$JB$7,1,2),IF($A294&lt;=RUNG_BEDS_2,2,1))</f>
        <v>1</v>
      </c>
      <c r="JC294" s="5">
        <f>MIN(1,MAX(0,$JB$26-($A294-1)))</f>
        <v>0</v>
      </c>
      <c r="JD294" s="5">
        <f>$JB$25*(JC294+(1-JC294)*$JB$16)</f>
        <v>0.0</v>
      </c>
      <c r="JE294" s="13">
        <f>JD294*($JB$6+ACUTE_MARGIN)</f>
        <v>0.0</v>
      </c>
      <c r="JF294" s="13">
        <f>IF(JB294=1,$JB$31,$JB$32)</f>
        <v>152394.16214437486</v>
      </c>
      <c r="JG294" s="13">
        <f>JE294-JF294</f>
        <v>-152394.16214437486</v>
      </c>
      <c r="JH294" s="13">
        <f>JH293+JG294</f>
        <v>6073802.415809244</v>
      </c>
      <c r="JI294">
        <f>IF(JH294=MAX($JH$83:$JH$483),$A294,0)</f>
        <v>0</v>
      </c>
      <c r="JJ294">
        <f>IF(JE294&lt;JF294,$A294,B_MAX+1)</f>
        <v>211</v>
      </c>
      <c r="JK294" s="13">
        <f>IF(JB294=1,$JB$35,$JB$36)</f>
        <v>0</v>
      </c>
      <c r="JL294" s="13">
        <f>OCC_DAYS*$JB$41*R_NF_2023-JD294*MCD_SHARE_FREED*R_WAIT_2023</f>
        <v>151980.48282209205</v>
      </c>
      <c r="JM294">
        <f>IF($A294&lt;=$JB$45,1,0)</f>
        <v>0</v>
      </c>
      <c r="KB294">
        <f>IF($KB$31&lt;=$KB$32,IF($A294&lt;=$KB$7,1,2),IF($A294&lt;=RUNG_BEDS_2,2,1))</f>
        <v>1</v>
      </c>
      <c r="KC294" s="5">
        <f>MIN(1,MAX(0,$KB$26-($A294-1)))</f>
        <v>1</v>
      </c>
      <c r="KD294" s="5">
        <f>$KB$25*(KC294+(1-KC294)*$KB$16)</f>
        <v>126.02661357340719</v>
      </c>
      <c r="KE294" s="13">
        <f>KD294*($KB$6+ACUTE_MARGIN)</f>
        <v>127286.87970914126</v>
      </c>
      <c r="KF294" s="13">
        <f>IF(KB294=1,$KB$31,$KB$32)</f>
        <v>152394.16214437486</v>
      </c>
      <c r="KG294" s="13">
        <f>KE294-KF294</f>
        <v>-25107.282435233603</v>
      </c>
      <c r="KH294" s="13">
        <f>KH293+KG294</f>
        <v>-5297636.593834307</v>
      </c>
      <c r="KI294">
        <f>IF(KH294=MAX($KH$83:$KH$483),$A294,0)</f>
        <v>0</v>
      </c>
      <c r="KJ294">
        <f>IF(KE294&lt;KF294,$A294,B_MAX+1)</f>
        <v>211</v>
      </c>
      <c r="KK294" s="13">
        <f>IF(KB294=1,$KB$35,$KB$36)</f>
        <v>0</v>
      </c>
      <c r="KL294" s="13">
        <f>OCC_DAYS*$KB$41*R_NF_2023-KD294*MCD_SHARE_FREED*R_WAIT_2023</f>
        <v>94673.82103225985</v>
      </c>
      <c r="KM294">
        <f>IF($A294&lt;=$KB$45,1,0)</f>
        <v>0</v>
      </c>
      <c r="LB294">
        <f>IF($LB$31&lt;=$LB$32,IF($A294&lt;=$LB$7,1,2),IF($A294&lt;=RUNG_BEDS_2,2,1))</f>
        <v>1</v>
      </c>
      <c r="LC294" s="5">
        <f>MIN(1,MAX(0,$LB$26-($A294-1)))</f>
        <v>1</v>
      </c>
      <c r="LD294" s="5">
        <f>$LB$25*(LC294+(1-LC294)*$LB$16)</f>
        <v>84.01774238227146</v>
      </c>
      <c r="LE294" s="13">
        <f>LD294*($LB$6+ACUTE_MARGIN)</f>
        <v>84857.91980609419</v>
      </c>
      <c r="LF294" s="13">
        <f>IF(LB294=1,$LB$31,$LB$32)</f>
        <v>152394.16214437486</v>
      </c>
      <c r="LG294" s="13">
        <f>LE294-LF294</f>
        <v>-67536.24233828067</v>
      </c>
      <c r="LH294" s="13">
        <f>LH293+LG294</f>
        <v>-14250147.133377288</v>
      </c>
      <c r="LI294">
        <f>IF(LH294=MAX($LH$83:$LH$483),$A294,0)</f>
        <v>0</v>
      </c>
      <c r="LJ294">
        <f>IF(LE294&lt;LF294,$A294,B_MAX+1)</f>
        <v>211</v>
      </c>
      <c r="LK294" s="13">
        <f>IF(LB294=1,$LB$35,$LB$36)</f>
        <v>0</v>
      </c>
      <c r="LL294" s="13">
        <f>OCC_DAYS*$LB$41*R_NF_2023-LD294*MCD_SHARE_FREED*R_WAIT_2023</f>
        <v>113776.04162887059</v>
      </c>
      <c r="LM294">
        <f>IF($A294&lt;=$LB$45,1,0)</f>
        <v>0</v>
      </c>
      <c r="MB294">
        <f>IF($MB$31&lt;=$MB$32,IF($A294&lt;=$MB$7,1,2),IF($A294&lt;=RUNG_BEDS_2,2,1))</f>
        <v>1</v>
      </c>
      <c r="MC294" s="5">
        <f>MIN(1,MAX(0,$MB$26-($A294-1)))</f>
        <v>0</v>
      </c>
      <c r="MD294" s="5">
        <f>$MB$25*(MC294+(1-MC294)*$MB$16)</f>
        <v>0.0</v>
      </c>
      <c r="ME294" s="13">
        <f>MD294*($MB$6+ACUTE_MARGIN)</f>
        <v>0.0</v>
      </c>
      <c r="MF294" s="13">
        <f>IF(MB294=1,$MB$31,$MB$32)</f>
        <v>152394.16214437486</v>
      </c>
      <c r="MG294" s="13">
        <f>ME294-MF294</f>
        <v>-152394.16214437486</v>
      </c>
      <c r="MH294" s="13">
        <f>MH293+MG294</f>
        <v>186526.35401091079</v>
      </c>
      <c r="MI294">
        <f>IF(MH294=MAX($MH$83:$MH$483),$A294,0)</f>
        <v>0</v>
      </c>
      <c r="MJ294">
        <f>IF(ME294&lt;MF294,$A294,B_MAX+1)</f>
        <v>211</v>
      </c>
      <c r="MK294" s="13">
        <f>IF(MB294=1,$MB$35,$MB$36)</f>
        <v>0</v>
      </c>
      <c r="ML294" s="13">
        <f>OCC_DAYS*$MB$41*R_NF_2023-MD294*MCD_SHARE_FREED*R_WAIT_2023</f>
        <v>151980.48282209205</v>
      </c>
      <c r="MM294">
        <f>IF($A294&lt;=$MB$45,1,0)</f>
        <v>0</v>
      </c>
      <c r="NB294">
        <f>IF($NB$31&lt;=$NB$32,IF($A294&lt;=$NB$7,1,2),IF($A294&lt;=RUNG_BEDS_2,2,1))</f>
        <v>1</v>
      </c>
      <c r="NC294" s="5">
        <f>MIN(1,MAX(0,$NB$26-($A294-1)))</f>
        <v>0</v>
      </c>
      <c r="ND294" s="5">
        <f>$NB$25*(NC294+(1-NC294)*$NB$16)</f>
        <v>63.013306786703595</v>
      </c>
      <c r="NE294" s="13">
        <f>ND294*($NB$6+ACUTE_MARGIN)</f>
        <v>63643.43985457063</v>
      </c>
      <c r="NF294" s="13">
        <f>IF(NB294=1,$NB$31,$NB$32)</f>
        <v>152394.16214437486</v>
      </c>
      <c r="NG294" s="13">
        <f>NE294-NF294</f>
        <v>-88750.72228980422</v>
      </c>
      <c r="NH294" s="13">
        <f>NH293+NG294</f>
        <v>9945325.568055544</v>
      </c>
      <c r="NI294">
        <f>IF(NH294=MAX($NH$83:$NH$483),$A294,0)</f>
        <v>0</v>
      </c>
      <c r="NJ294">
        <f>IF(NE294&lt;NF294,$A294,B_MAX+1)</f>
        <v>211</v>
      </c>
      <c r="NK294" s="13">
        <f>IF(NB294=1,$NB$35,$NB$36)</f>
        <v>0</v>
      </c>
      <c r="NL294" s="13">
        <f>OCC_DAYS*$NB$41*R_NF_2023-ND294*MCD_SHARE_FREED*R_WAIT_2023</f>
        <v>123327.15192717595</v>
      </c>
      <c r="NM294">
        <f>IF($A294&lt;=$NB$45,1,0)</f>
        <v>0</v>
      </c>
      <c r="OB294">
        <f>IF($OB$31&lt;=$OB$32,IF($A294&lt;=$OB$7,1,2),IF($A294&lt;=RUNG_BEDS_2,2,1))</f>
        <v>1</v>
      </c>
      <c r="OC294" s="5">
        <f>MIN(1,MAX(0,$OB$26-($A294-1)))</f>
        <v>0</v>
      </c>
      <c r="OD294" s="5">
        <f>$OB$25*(OC294+(1-OC294)*$OB$16)</f>
        <v>126.02661357340719</v>
      </c>
      <c r="OE294" s="13">
        <f>OD294*($OB$6+ACUTE_MARGIN)</f>
        <v>127286.87970914126</v>
      </c>
      <c r="OF294" s="13">
        <f>IF(OB294=1,$OB$31,$OB$32)</f>
        <v>152394.16214437486</v>
      </c>
      <c r="OG294" s="13">
        <f>OE294-OF294</f>
        <v>-25107.282435233603</v>
      </c>
      <c r="OH294" s="13">
        <f>OH293+OG294</f>
        <v>13816848.720301943</v>
      </c>
      <c r="OI294">
        <f>IF(OH294=MAX($OH$83:$OH$483),$A294,0)</f>
        <v>0</v>
      </c>
      <c r="OJ294">
        <f>IF(OE294&lt;OF294,$A294,B_MAX+1)</f>
        <v>211</v>
      </c>
      <c r="OK294" s="13">
        <f>IF(OB294=1,$OB$35,$OB$36)</f>
        <v>0</v>
      </c>
      <c r="OL294" s="13">
        <f>OCC_DAYS*$OB$41*R_NF_2023-OD294*MCD_SHARE_FREED*R_WAIT_2023</f>
        <v>94673.82103225985</v>
      </c>
      <c r="OM294">
        <f>IF($A294&lt;=$OB$45,1,0)</f>
        <v>0</v>
      </c>
    </row>
    <row r="295">
      <c r="A295" t="n">
        <v>212</v>
      </c>
      <c r="B295">
        <f>IF($B$31&lt;=$B$32,IF($A295&lt;=$B$7,1,2),IF($A295&lt;=RUNG_BEDS_2,2,1))</f>
        <v>1</v>
      </c>
      <c r="C295" s="5">
        <f>MIN(1,MAX(0,$B$26-($A295-1)))</f>
        <v>0</v>
      </c>
      <c r="D295" s="5">
        <f>$B$25*(C295+(1-C295)*$B$16)</f>
        <v>0.0</v>
      </c>
      <c r="E295" s="13">
        <f>D295*($B$6+ACUTE_MARGIN)</f>
        <v>0.0</v>
      </c>
      <c r="F295" s="13">
        <f>IF(B295=1,$B$31,$B$32)</f>
        <v>152394.16214437486</v>
      </c>
      <c r="G295" s="13">
        <f>E295-F295</f>
        <v>-152394.16214437486</v>
      </c>
      <c r="H295" s="13">
        <f>H294+G295</f>
        <v>5921408.253664869</v>
      </c>
      <c r="I295">
        <f>IF(H295=MAX($H$83:$H$483),$A295,0)</f>
        <v>0</v>
      </c>
      <c r="J295">
        <f>IF(E295&lt;F295,$A295,B_MAX+1)</f>
        <v>212</v>
      </c>
      <c r="K295" s="13">
        <f>IF(B295=1,$B$35,$B$36)</f>
        <v>0</v>
      </c>
      <c r="L295" s="13">
        <f>OCC_DAYS*$B$41*R_NF_2023-D295*MCD_SHARE_FREED*R_WAIT_2023</f>
        <v>151980.48282209205</v>
      </c>
      <c r="M295">
        <f>IF($A295&lt;=$B$45,1,0)</f>
        <v>0</v>
      </c>
      <c r="AB295">
        <f>IF($AB$31&lt;=$AB$32,IF($A295&lt;=$AB$7,1,2),IF($A295&lt;=RUNG_BEDS_2,2,1))</f>
        <v>1</v>
      </c>
      <c r="AC295" s="5">
        <f>MIN(1,MAX(0,$AB$26-($A295-1)))</f>
        <v>0</v>
      </c>
      <c r="AD295" s="5">
        <f>$AB$25*(AC295+(1-AC295)*$AB$16)</f>
        <v>0.0</v>
      </c>
      <c r="AE295" s="13">
        <f>AD295*($AB$6+ACUTE_MARGIN)</f>
        <v>0.0</v>
      </c>
      <c r="AF295" s="13">
        <f>IF(AB295=1,$AB$31,$AB$32)</f>
        <v>152394.16214437486</v>
      </c>
      <c r="AG295" s="13">
        <f>AE295-AF295</f>
        <v>-152394.16214437486</v>
      </c>
      <c r="AH295" s="13">
        <f>AH294+AG295</f>
        <v>-11489806.091884946</v>
      </c>
      <c r="AI295">
        <f>IF(AH295=MAX($AH$83:$AH$483),$A295,0)</f>
        <v>0</v>
      </c>
      <c r="AJ295">
        <f>IF(AE295&lt;AF295,$A295,B_MAX+1)</f>
        <v>212</v>
      </c>
      <c r="AK295" s="13">
        <f>IF(AB295=1,$AB$35,$AB$36)</f>
        <v>0</v>
      </c>
      <c r="AL295" s="13">
        <f>OCC_DAYS*$AB$41*R_NF_2023-AD295*MCD_SHARE_FREED*R_WAIT_2023</f>
        <v>151980.48282209205</v>
      </c>
      <c r="AM295">
        <f>IF($A295&lt;=$AB$45,1,0)</f>
        <v>0</v>
      </c>
      <c r="BB295">
        <f>IF($BB$31&lt;=$BB$32,IF($A295&lt;=$BB$7,1,2),IF($A295&lt;=RUNG_BEDS_2,2,1))</f>
        <v>1</v>
      </c>
      <c r="BC295" s="5">
        <f>MIN(1,MAX(0,$BB$26-($A295-1)))</f>
        <v>0</v>
      </c>
      <c r="BD295" s="5">
        <f>$BB$25*(BC295+(1-BC295)*$BB$16)</f>
        <v>0.0</v>
      </c>
      <c r="BE295" s="13">
        <f>BD295*($BB$6+ACUTE_MARGIN)</f>
        <v>0.0</v>
      </c>
      <c r="BF295" s="13">
        <f>IF(BB295=1,$BB$31,$BB$32)</f>
        <v>152394.16214437486</v>
      </c>
      <c r="BG295" s="13">
        <f>BE295-BF295</f>
        <v>-152394.16214437486</v>
      </c>
      <c r="BH295" s="13">
        <f>BH294+BG295</f>
        <v>23332622.599214546</v>
      </c>
      <c r="BI295">
        <f>IF(BH295=MAX($BH$83:$BH$483),$A295,0)</f>
        <v>0</v>
      </c>
      <c r="BJ295">
        <f>IF(BE295&lt;BF295,$A295,B_MAX+1)</f>
        <v>212</v>
      </c>
      <c r="BK295" s="13">
        <f>IF(BB295=1,$BB$35,$BB$36)</f>
        <v>0</v>
      </c>
      <c r="BL295" s="13">
        <f>OCC_DAYS*$BB$41*R_NF_2023-BD295*MCD_SHARE_FREED*R_WAIT_2023</f>
        <v>151980.48282209205</v>
      </c>
      <c r="BM295">
        <f>IF($A295&lt;=$BB$45,1,0)</f>
        <v>0</v>
      </c>
      <c r="CB295">
        <f>IF($CB$31&lt;=$CB$32,IF($A295&lt;=$CB$7,1,2),IF($A295&lt;=RUNG_BEDS_2,2,1))</f>
        <v>2</v>
      </c>
      <c r="CC295" s="5">
        <f>MIN(1,MAX(0,$CB$26-($A295-1)))</f>
        <v>0</v>
      </c>
      <c r="CD295" s="5">
        <f>$CB$25*(CC295+(1-CC295)*$CB$16)</f>
        <v>0.0</v>
      </c>
      <c r="CE295" s="13">
        <f>CD295*($CB$6+ACUTE_MARGIN)</f>
        <v>0.0</v>
      </c>
      <c r="CF295" s="13">
        <f>IF(CB295=1,$CB$31,$CB$32)</f>
        <v>160718.36940738867</v>
      </c>
      <c r="CG295" s="13">
        <f>CE295-CF295</f>
        <v>-160718.36940738867</v>
      </c>
      <c r="CH295" s="13">
        <f>CH294+CG295</f>
        <v>4156676.3139058244</v>
      </c>
      <c r="CI295">
        <f>IF(CH295=MAX($CH$83:$CH$483),$A295,0)</f>
        <v>0</v>
      </c>
      <c r="CJ295">
        <f>IF(CE295&lt;CF295,$A295,B_MAX+1)</f>
        <v>212</v>
      </c>
      <c r="CK295" s="13">
        <f>IF(CB295=1,$CB$35,$CB$36)</f>
        <v>1560.1194073886782</v>
      </c>
      <c r="CL295" s="13">
        <f>OCC_DAYS*$CB$41*R_NF_2023-CD295*MCD_SHARE_FREED*R_WAIT_2023</f>
        <v>151980.48282209205</v>
      </c>
      <c r="CM295">
        <f>IF($A295&lt;=$CB$45,1,0)</f>
        <v>0</v>
      </c>
      <c r="DB295">
        <f>IF($DB$31&lt;=$DB$32,IF($A295&lt;=$DB$7,1,2),IF($A295&lt;=RUNG_BEDS_2,2,1))</f>
        <v>1</v>
      </c>
      <c r="DC295" s="5">
        <f>MIN(1,MAX(0,$DB$26-($A295-1)))</f>
        <v>0</v>
      </c>
      <c r="DD295" s="5">
        <f>$DB$25*(DC295+(1-DC295)*$DB$16)</f>
        <v>0.0</v>
      </c>
      <c r="DE295" s="13">
        <f>DD295*($DB$6+ACUTE_MARGIN)</f>
        <v>0.0</v>
      </c>
      <c r="DF295" s="13">
        <f>IF(DB295=1,$DB$31,$DB$32)</f>
        <v>152394.16214437486</v>
      </c>
      <c r="DG295" s="13">
        <f>DE295-DF295</f>
        <v>-152394.16214437486</v>
      </c>
      <c r="DH295" s="13">
        <f>DH294+DG295</f>
        <v>5921408.253664869</v>
      </c>
      <c r="DI295">
        <f>IF(DH295=MAX($DH$83:$DH$483),$A295,0)</f>
        <v>0</v>
      </c>
      <c r="DJ295">
        <f>IF(DE295&lt;DF295,$A295,B_MAX+1)</f>
        <v>212</v>
      </c>
      <c r="DK295" s="13">
        <f>IF(DB295=1,$DB$35,$DB$36)</f>
        <v>0</v>
      </c>
      <c r="DL295" s="13">
        <f>OCC_DAYS*$DB$41*R_NF_2023-DD295*MCD_SHARE_FREED*R_WAIT_2023</f>
        <v>151980.48282209205</v>
      </c>
      <c r="DM295">
        <f>IF($A295&lt;=$DB$45,1,0)</f>
        <v>0</v>
      </c>
      <c r="EB295">
        <f>IF($EB$31&lt;=$EB$32,IF($A295&lt;=$EB$7,1,2),IF($A295&lt;=RUNG_BEDS_2,2,1))</f>
        <v>1</v>
      </c>
      <c r="EC295" s="5">
        <f>MIN(1,MAX(0,$EB$26-($A295-1)))</f>
        <v>0</v>
      </c>
      <c r="ED295" s="5">
        <f>$EB$25*(EC295+(1-EC295)*$EB$16)</f>
        <v>0.0</v>
      </c>
      <c r="EE295" s="13">
        <f>ED295*($EB$6+ACUTE_MARGIN)</f>
        <v>0.0</v>
      </c>
      <c r="EF295" s="13">
        <f>IF(EB295=1,$EB$31,$EB$32)</f>
        <v>152394.16214437486</v>
      </c>
      <c r="EG295" s="13">
        <f>EE295-EF295</f>
        <v>-152394.16214437486</v>
      </c>
      <c r="EH295" s="13">
        <f>EH294+EG295</f>
        <v>5921408.253664869</v>
      </c>
      <c r="EI295">
        <f>IF(EH295=MAX($EH$83:$EH$483),$A295,0)</f>
        <v>0</v>
      </c>
      <c r="EJ295">
        <f>IF(EE295&lt;EF295,$A295,B_MAX+1)</f>
        <v>212</v>
      </c>
      <c r="EK295" s="13">
        <f>IF(EB295=1,$EB$35,$EB$36)</f>
        <v>0</v>
      </c>
      <c r="EL295" s="13">
        <f>OCC_DAYS*$EB$41*R_NF_2023-ED295*MCD_SHARE_FREED*R_WAIT_2023</f>
        <v>50660.16094069735</v>
      </c>
      <c r="EM295">
        <f>IF($A295&lt;=$EB$45,1,0)</f>
        <v>0</v>
      </c>
      <c r="FB295">
        <f>IF($FB$31&lt;=$FB$32,IF($A295&lt;=$FB$7,1,2),IF($A295&lt;=RUNG_BEDS_2,2,1))</f>
        <v>1</v>
      </c>
      <c r="FC295" s="5">
        <f>MIN(1,MAX(0,$FB$26-($A295-1)))</f>
        <v>0</v>
      </c>
      <c r="FD295" s="5">
        <f>$FB$25*(FC295+(1-FC295)*$FB$16)</f>
        <v>0.0</v>
      </c>
      <c r="FE295" s="13">
        <f>FD295*($FB$6+ACUTE_MARGIN)</f>
        <v>0.0</v>
      </c>
      <c r="FF295" s="13">
        <f>IF(FB295=1,$FB$31,$FB$32)</f>
        <v>156636.04979437485</v>
      </c>
      <c r="FG295" s="13">
        <f>FE295-FF295</f>
        <v>-156636.04979437485</v>
      </c>
      <c r="FH295" s="13">
        <f>FH294+FG295</f>
        <v>5022128.071864754</v>
      </c>
      <c r="FI295">
        <f>IF(FH295=MAX($FH$83:$FH$483),$A295,0)</f>
        <v>0</v>
      </c>
      <c r="FJ295">
        <f>IF(FE295&lt;FF295,$A295,B_MAX+1)</f>
        <v>212</v>
      </c>
      <c r="FK295" s="13">
        <f>IF(FB295=1,$FB$35,$FB$36)</f>
        <v>0</v>
      </c>
      <c r="FL295" s="13">
        <f>OCC_DAYS*$FB$41*R_NF_2023-FD295*MCD_SHARE_FREED*R_WAIT_2023</f>
        <v>151980.48282209205</v>
      </c>
      <c r="FM295">
        <f>IF($A295&lt;=$FB$45,1,0)</f>
        <v>0</v>
      </c>
      <c r="GB295">
        <f>IF($GB$31&lt;=$GB$32,IF($A295&lt;=$GB$7,1,2),IF($A295&lt;=RUNG_BEDS_2,2,1))</f>
        <v>1</v>
      </c>
      <c r="GC295" s="5">
        <f>MIN(1,MAX(0,$GB$26-($A295-1)))</f>
        <v>0</v>
      </c>
      <c r="GD295" s="5">
        <f>$GB$25*(GC295+(1-GC295)*$GB$16)</f>
        <v>0.0</v>
      </c>
      <c r="GE295" s="13">
        <f>GD295*($GB$6+ACUTE_MARGIN)</f>
        <v>0.0</v>
      </c>
      <c r="GF295" s="13">
        <f>IF(GB295=1,$GB$31,$GB$32)</f>
        <v>152394.16214437486</v>
      </c>
      <c r="GG295" s="13">
        <f>GE295-GF295</f>
        <v>-152394.16214437486</v>
      </c>
      <c r="GH295" s="13">
        <f>GH294+GG295</f>
        <v>5921408.253664869</v>
      </c>
      <c r="GI295">
        <f>IF(GH295=MAX($GH$83:$GH$483),$A295,0)</f>
        <v>0</v>
      </c>
      <c r="GJ295">
        <f>IF(GE295&lt;GF295,$A295,B_MAX+1)</f>
        <v>212</v>
      </c>
      <c r="GK295" s="13">
        <f>IF(GB295=1,$GB$35,$GB$36)</f>
        <v>0</v>
      </c>
      <c r="GL295" s="13">
        <f>OCC_DAYS*$GB$41*R_NF_2023-GD295*MCD_SHARE_FREED*R_WAIT_2023</f>
        <v>151980.48282209205</v>
      </c>
      <c r="GM295">
        <f>IF($A295&lt;=$GB$45,1,0)</f>
        <v>0</v>
      </c>
      <c r="HB295">
        <f>IF($HB$31&lt;=$HB$32,IF($A295&lt;=$HB$7,1,2),IF($A295&lt;=RUNG_BEDS_2,2,1))</f>
        <v>1</v>
      </c>
      <c r="HC295" s="5">
        <f>MIN(1,MAX(0,$HB$26-($A295-1)))</f>
        <v>0</v>
      </c>
      <c r="HD295" s="5">
        <f>$HB$25*(HC295+(1-HC295)*$HB$16)</f>
        <v>0.0</v>
      </c>
      <c r="HE295" s="13">
        <f>HD295*($HB$6+ACUTE_MARGIN)</f>
        <v>0.0</v>
      </c>
      <c r="HF295" s="13">
        <f>IF(HB295=1,$HB$31,$HB$32)</f>
        <v>152456.2970814058</v>
      </c>
      <c r="HG295" s="13">
        <f>HE295-HF295</f>
        <v>-152456.2970814058</v>
      </c>
      <c r="HH295" s="13">
        <f>HH294+HG295</f>
        <v>5908235.647014271</v>
      </c>
      <c r="HI295">
        <f>IF(HH295=MAX($HH$83:$HH$483),$A295,0)</f>
        <v>0</v>
      </c>
      <c r="HJ295">
        <f>IF(HE295&lt;HF295,$A295,B_MAX+1)</f>
        <v>212</v>
      </c>
      <c r="HK295" s="13">
        <f>IF(HB295=1,$HB$35,$HB$36)</f>
        <v>0</v>
      </c>
      <c r="HL295" s="13">
        <f>OCC_DAYS*$HB$41*R_NF_2023-HD295*MCD_SHARE_FREED*R_WAIT_2023</f>
        <v>151980.48282209205</v>
      </c>
      <c r="HM295">
        <f>IF($A295&lt;=$HB$45,1,0)</f>
        <v>0</v>
      </c>
      <c r="IB295">
        <f>IF($IB$31&lt;=$IB$32,IF($A295&lt;=$IB$7,1,2),IF($A295&lt;=RUNG_BEDS_2,2,1))</f>
        <v>1</v>
      </c>
      <c r="IC295" s="5">
        <f>MIN(1,MAX(0,$IB$26-($A295-1)))</f>
        <v>0</v>
      </c>
      <c r="ID295" s="5">
        <f>$IB$25*(IC295+(1-IC295)*$IB$16)</f>
        <v>0.0</v>
      </c>
      <c r="IE295" s="13">
        <f>ID295*($IB$6+ACUTE_MARGIN)</f>
        <v>0.0</v>
      </c>
      <c r="IF295" s="13">
        <f>IF(IB295=1,$IB$31,$IB$32)</f>
        <v>152734.9994534971</v>
      </c>
      <c r="IG295" s="13">
        <f>IE295-IF295</f>
        <v>-152734.9994534971</v>
      </c>
      <c r="IH295" s="13">
        <f>IH294+IG295</f>
        <v>5849150.744130858</v>
      </c>
      <c r="II295">
        <f>IF(IH295=MAX($IH$83:$IH$483),$A295,0)</f>
        <v>0</v>
      </c>
      <c r="IJ295">
        <f>IF(IE295&lt;IF295,$A295,B_MAX+1)</f>
        <v>212</v>
      </c>
      <c r="IK295" s="13">
        <f>IF(IB295=1,$IB$35,$IB$36)</f>
        <v>0</v>
      </c>
      <c r="IL295" s="13">
        <f>OCC_DAYS*$IB$41*R_NF_2023-ID295*MCD_SHARE_FREED*R_WAIT_2023</f>
        <v>151980.48282209205</v>
      </c>
      <c r="IM295">
        <f>IF($A295&lt;=$IB$45,1,0)</f>
        <v>0</v>
      </c>
      <c r="JB295">
        <f>IF($JB$31&lt;=$JB$32,IF($A295&lt;=$JB$7,1,2),IF($A295&lt;=RUNG_BEDS_2,2,1))</f>
        <v>1</v>
      </c>
      <c r="JC295" s="5">
        <f>MIN(1,MAX(0,$JB$26-($A295-1)))</f>
        <v>0</v>
      </c>
      <c r="JD295" s="5">
        <f>$JB$25*(JC295+(1-JC295)*$JB$16)</f>
        <v>0.0</v>
      </c>
      <c r="JE295" s="13">
        <f>JD295*($JB$6+ACUTE_MARGIN)</f>
        <v>0.0</v>
      </c>
      <c r="JF295" s="13">
        <f>IF(JB295=1,$JB$31,$JB$32)</f>
        <v>152394.16214437486</v>
      </c>
      <c r="JG295" s="13">
        <f>JE295-JF295</f>
        <v>-152394.16214437486</v>
      </c>
      <c r="JH295" s="13">
        <f>JH294+JG295</f>
        <v>5921408.253664869</v>
      </c>
      <c r="JI295">
        <f>IF(JH295=MAX($JH$83:$JH$483),$A295,0)</f>
        <v>0</v>
      </c>
      <c r="JJ295">
        <f>IF(JE295&lt;JF295,$A295,B_MAX+1)</f>
        <v>212</v>
      </c>
      <c r="JK295" s="13">
        <f>IF(JB295=1,$JB$35,$JB$36)</f>
        <v>0</v>
      </c>
      <c r="JL295" s="13">
        <f>OCC_DAYS*$JB$41*R_NF_2023-JD295*MCD_SHARE_FREED*R_WAIT_2023</f>
        <v>151980.48282209205</v>
      </c>
      <c r="JM295">
        <f>IF($A295&lt;=$JB$45,1,0)</f>
        <v>0</v>
      </c>
      <c r="KB295">
        <f>IF($KB$31&lt;=$KB$32,IF($A295&lt;=$KB$7,1,2),IF($A295&lt;=RUNG_BEDS_2,2,1))</f>
        <v>1</v>
      </c>
      <c r="KC295" s="5">
        <f>MIN(1,MAX(0,$KB$26-($A295-1)))</f>
        <v>1</v>
      </c>
      <c r="KD295" s="5">
        <f>$KB$25*(KC295+(1-KC295)*$KB$16)</f>
        <v>126.02661357340719</v>
      </c>
      <c r="KE295" s="13">
        <f>KD295*($KB$6+ACUTE_MARGIN)</f>
        <v>127286.87970914126</v>
      </c>
      <c r="KF295" s="13">
        <f>IF(KB295=1,$KB$31,$KB$32)</f>
        <v>152394.16214437486</v>
      </c>
      <c r="KG295" s="13">
        <f>KE295-KF295</f>
        <v>-25107.282435233603</v>
      </c>
      <c r="KH295" s="13">
        <f>KH294+KG295</f>
        <v>-5322743.876269541</v>
      </c>
      <c r="KI295">
        <f>IF(KH295=MAX($KH$83:$KH$483),$A295,0)</f>
        <v>0</v>
      </c>
      <c r="KJ295">
        <f>IF(KE295&lt;KF295,$A295,B_MAX+1)</f>
        <v>212</v>
      </c>
      <c r="KK295" s="13">
        <f>IF(KB295=1,$KB$35,$KB$36)</f>
        <v>0</v>
      </c>
      <c r="KL295" s="13">
        <f>OCC_DAYS*$KB$41*R_NF_2023-KD295*MCD_SHARE_FREED*R_WAIT_2023</f>
        <v>94673.82103225985</v>
      </c>
      <c r="KM295">
        <f>IF($A295&lt;=$KB$45,1,0)</f>
        <v>0</v>
      </c>
      <c r="LB295">
        <f>IF($LB$31&lt;=$LB$32,IF($A295&lt;=$LB$7,1,2),IF($A295&lt;=RUNG_BEDS_2,2,1))</f>
        <v>1</v>
      </c>
      <c r="LC295" s="5">
        <f>MIN(1,MAX(0,$LB$26-($A295-1)))</f>
        <v>1</v>
      </c>
      <c r="LD295" s="5">
        <f>$LB$25*(LC295+(1-LC295)*$LB$16)</f>
        <v>84.01774238227146</v>
      </c>
      <c r="LE295" s="13">
        <f>LD295*($LB$6+ACUTE_MARGIN)</f>
        <v>84857.91980609419</v>
      </c>
      <c r="LF295" s="13">
        <f>IF(LB295=1,$LB$31,$LB$32)</f>
        <v>152394.16214437486</v>
      </c>
      <c r="LG295" s="13">
        <f>LE295-LF295</f>
        <v>-67536.24233828067</v>
      </c>
      <c r="LH295" s="13">
        <f>LH294+LG295</f>
        <v>-14317683.375715569</v>
      </c>
      <c r="LI295">
        <f>IF(LH295=MAX($LH$83:$LH$483),$A295,0)</f>
        <v>0</v>
      </c>
      <c r="LJ295">
        <f>IF(LE295&lt;LF295,$A295,B_MAX+1)</f>
        <v>212</v>
      </c>
      <c r="LK295" s="13">
        <f>IF(LB295=1,$LB$35,$LB$36)</f>
        <v>0</v>
      </c>
      <c r="LL295" s="13">
        <f>OCC_DAYS*$LB$41*R_NF_2023-LD295*MCD_SHARE_FREED*R_WAIT_2023</f>
        <v>113776.04162887059</v>
      </c>
      <c r="LM295">
        <f>IF($A295&lt;=$LB$45,1,0)</f>
        <v>0</v>
      </c>
      <c r="MB295">
        <f>IF($MB$31&lt;=$MB$32,IF($A295&lt;=$MB$7,1,2),IF($A295&lt;=RUNG_BEDS_2,2,1))</f>
        <v>1</v>
      </c>
      <c r="MC295" s="5">
        <f>MIN(1,MAX(0,$MB$26-($A295-1)))</f>
        <v>0</v>
      </c>
      <c r="MD295" s="5">
        <f>$MB$25*(MC295+(1-MC295)*$MB$16)</f>
        <v>0.0</v>
      </c>
      <c r="ME295" s="13">
        <f>MD295*($MB$6+ACUTE_MARGIN)</f>
        <v>0.0</v>
      </c>
      <c r="MF295" s="13">
        <f>IF(MB295=1,$MB$31,$MB$32)</f>
        <v>152394.16214437486</v>
      </c>
      <c r="MG295" s="13">
        <f>ME295-MF295</f>
        <v>-152394.16214437486</v>
      </c>
      <c r="MH295" s="13">
        <f>MH294+MG295</f>
        <v>34132.191866535926</v>
      </c>
      <c r="MI295">
        <f>IF(MH295=MAX($MH$83:$MH$483),$A295,0)</f>
        <v>0</v>
      </c>
      <c r="MJ295">
        <f>IF(ME295&lt;MF295,$A295,B_MAX+1)</f>
        <v>212</v>
      </c>
      <c r="MK295" s="13">
        <f>IF(MB295=1,$MB$35,$MB$36)</f>
        <v>0</v>
      </c>
      <c r="ML295" s="13">
        <f>OCC_DAYS*$MB$41*R_NF_2023-MD295*MCD_SHARE_FREED*R_WAIT_2023</f>
        <v>151980.48282209205</v>
      </c>
      <c r="MM295">
        <f>IF($A295&lt;=$MB$45,1,0)</f>
        <v>0</v>
      </c>
      <c r="NB295">
        <f>IF($NB$31&lt;=$NB$32,IF($A295&lt;=$NB$7,1,2),IF($A295&lt;=RUNG_BEDS_2,2,1))</f>
        <v>1</v>
      </c>
      <c r="NC295" s="5">
        <f>MIN(1,MAX(0,$NB$26-($A295-1)))</f>
        <v>0</v>
      </c>
      <c r="ND295" s="5">
        <f>$NB$25*(NC295+(1-NC295)*$NB$16)</f>
        <v>63.013306786703595</v>
      </c>
      <c r="NE295" s="13">
        <f>ND295*($NB$6+ACUTE_MARGIN)</f>
        <v>63643.43985457063</v>
      </c>
      <c r="NF295" s="13">
        <f>IF(NB295=1,$NB$31,$NB$32)</f>
        <v>152394.16214437486</v>
      </c>
      <c r="NG295" s="13">
        <f>NE295-NF295</f>
        <v>-88750.72228980422</v>
      </c>
      <c r="NH295" s="13">
        <f>NH294+NG295</f>
        <v>9856574.84576574</v>
      </c>
      <c r="NI295">
        <f>IF(NH295=MAX($NH$83:$NH$483),$A295,0)</f>
        <v>0</v>
      </c>
      <c r="NJ295">
        <f>IF(NE295&lt;NF295,$A295,B_MAX+1)</f>
        <v>212</v>
      </c>
      <c r="NK295" s="13">
        <f>IF(NB295=1,$NB$35,$NB$36)</f>
        <v>0</v>
      </c>
      <c r="NL295" s="13">
        <f>OCC_DAYS*$NB$41*R_NF_2023-ND295*MCD_SHARE_FREED*R_WAIT_2023</f>
        <v>123327.15192717595</v>
      </c>
      <c r="NM295">
        <f>IF($A295&lt;=$NB$45,1,0)</f>
        <v>0</v>
      </c>
      <c r="OB295">
        <f>IF($OB$31&lt;=$OB$32,IF($A295&lt;=$OB$7,1,2),IF($A295&lt;=RUNG_BEDS_2,2,1))</f>
        <v>1</v>
      </c>
      <c r="OC295" s="5">
        <f>MIN(1,MAX(0,$OB$26-($A295-1)))</f>
        <v>0</v>
      </c>
      <c r="OD295" s="5">
        <f>$OB$25*(OC295+(1-OC295)*$OB$16)</f>
        <v>126.02661357340719</v>
      </c>
      <c r="OE295" s="13">
        <f>OD295*($OB$6+ACUTE_MARGIN)</f>
        <v>127286.87970914126</v>
      </c>
      <c r="OF295" s="13">
        <f>IF(OB295=1,$OB$31,$OB$32)</f>
        <v>152394.16214437486</v>
      </c>
      <c r="OG295" s="13">
        <f>OE295-OF295</f>
        <v>-25107.282435233603</v>
      </c>
      <c r="OH295" s="13">
        <f>OH294+OG295</f>
        <v>13791741.43786671</v>
      </c>
      <c r="OI295">
        <f>IF(OH295=MAX($OH$83:$OH$483),$A295,0)</f>
        <v>0</v>
      </c>
      <c r="OJ295">
        <f>IF(OE295&lt;OF295,$A295,B_MAX+1)</f>
        <v>212</v>
      </c>
      <c r="OK295" s="13">
        <f>IF(OB295=1,$OB$35,$OB$36)</f>
        <v>0</v>
      </c>
      <c r="OL295" s="13">
        <f>OCC_DAYS*$OB$41*R_NF_2023-OD295*MCD_SHARE_FREED*R_WAIT_2023</f>
        <v>94673.82103225985</v>
      </c>
      <c r="OM295">
        <f>IF($A295&lt;=$OB$45,1,0)</f>
        <v>0</v>
      </c>
    </row>
    <row r="296">
      <c r="A296" t="n">
        <v>213</v>
      </c>
      <c r="B296">
        <f>IF($B$31&lt;=$B$32,IF($A296&lt;=$B$7,1,2),IF($A296&lt;=RUNG_BEDS_2,2,1))</f>
        <v>1</v>
      </c>
      <c r="C296" s="5">
        <f>MIN(1,MAX(0,$B$26-($A296-1)))</f>
        <v>0</v>
      </c>
      <c r="D296" s="5">
        <f>$B$25*(C296+(1-C296)*$B$16)</f>
        <v>0.0</v>
      </c>
      <c r="E296" s="13">
        <f>D296*($B$6+ACUTE_MARGIN)</f>
        <v>0.0</v>
      </c>
      <c r="F296" s="13">
        <f>IF(B296=1,$B$31,$B$32)</f>
        <v>152394.16214437486</v>
      </c>
      <c r="G296" s="13">
        <f>E296-F296</f>
        <v>-152394.16214437486</v>
      </c>
      <c r="H296" s="13">
        <f>H295+G296</f>
        <v>5769014.091520494</v>
      </c>
      <c r="I296">
        <f>IF(H296=MAX($H$83:$H$483),$A296,0)</f>
        <v>0</v>
      </c>
      <c r="J296">
        <f>IF(E296&lt;F296,$A296,B_MAX+1)</f>
        <v>213</v>
      </c>
      <c r="K296" s="13">
        <f>IF(B296=1,$B$35,$B$36)</f>
        <v>0</v>
      </c>
      <c r="L296" s="13">
        <f>OCC_DAYS*$B$41*R_NF_2023-D296*MCD_SHARE_FREED*R_WAIT_2023</f>
        <v>151980.48282209205</v>
      </c>
      <c r="M296">
        <f>IF($A296&lt;=$B$45,1,0)</f>
        <v>0</v>
      </c>
      <c r="AB296">
        <f>IF($AB$31&lt;=$AB$32,IF($A296&lt;=$AB$7,1,2),IF($A296&lt;=RUNG_BEDS_2,2,1))</f>
        <v>1</v>
      </c>
      <c r="AC296" s="5">
        <f>MIN(1,MAX(0,$AB$26-($A296-1)))</f>
        <v>0</v>
      </c>
      <c r="AD296" s="5">
        <f>$AB$25*(AC296+(1-AC296)*$AB$16)</f>
        <v>0.0</v>
      </c>
      <c r="AE296" s="13">
        <f>AD296*($AB$6+ACUTE_MARGIN)</f>
        <v>0.0</v>
      </c>
      <c r="AF296" s="13">
        <f>IF(AB296=1,$AB$31,$AB$32)</f>
        <v>152394.16214437486</v>
      </c>
      <c r="AG296" s="13">
        <f>AE296-AF296</f>
        <v>-152394.16214437486</v>
      </c>
      <c r="AH296" s="13">
        <f>AH295+AG296</f>
        <v>-11642200.25402932</v>
      </c>
      <c r="AI296">
        <f>IF(AH296=MAX($AH$83:$AH$483),$A296,0)</f>
        <v>0</v>
      </c>
      <c r="AJ296">
        <f>IF(AE296&lt;AF296,$A296,B_MAX+1)</f>
        <v>213</v>
      </c>
      <c r="AK296" s="13">
        <f>IF(AB296=1,$AB$35,$AB$36)</f>
        <v>0</v>
      </c>
      <c r="AL296" s="13">
        <f>OCC_DAYS*$AB$41*R_NF_2023-AD296*MCD_SHARE_FREED*R_WAIT_2023</f>
        <v>151980.48282209205</v>
      </c>
      <c r="AM296">
        <f>IF($A296&lt;=$AB$45,1,0)</f>
        <v>0</v>
      </c>
      <c r="BB296">
        <f>IF($BB$31&lt;=$BB$32,IF($A296&lt;=$BB$7,1,2),IF($A296&lt;=RUNG_BEDS_2,2,1))</f>
        <v>1</v>
      </c>
      <c r="BC296" s="5">
        <f>MIN(1,MAX(0,$BB$26-($A296-1)))</f>
        <v>0</v>
      </c>
      <c r="BD296" s="5">
        <f>$BB$25*(BC296+(1-BC296)*$BB$16)</f>
        <v>0.0</v>
      </c>
      <c r="BE296" s="13">
        <f>BD296*($BB$6+ACUTE_MARGIN)</f>
        <v>0.0</v>
      </c>
      <c r="BF296" s="13">
        <f>IF(BB296=1,$BB$31,$BB$32)</f>
        <v>152394.16214437486</v>
      </c>
      <c r="BG296" s="13">
        <f>BE296-BF296</f>
        <v>-152394.16214437486</v>
      </c>
      <c r="BH296" s="13">
        <f>BH295+BG296</f>
        <v>23180228.437070172</v>
      </c>
      <c r="BI296">
        <f>IF(BH296=MAX($BH$83:$BH$483),$A296,0)</f>
        <v>0</v>
      </c>
      <c r="BJ296">
        <f>IF(BE296&lt;BF296,$A296,B_MAX+1)</f>
        <v>213</v>
      </c>
      <c r="BK296" s="13">
        <f>IF(BB296=1,$BB$35,$BB$36)</f>
        <v>0</v>
      </c>
      <c r="BL296" s="13">
        <f>OCC_DAYS*$BB$41*R_NF_2023-BD296*MCD_SHARE_FREED*R_WAIT_2023</f>
        <v>151980.48282209205</v>
      </c>
      <c r="BM296">
        <f>IF($A296&lt;=$BB$45,1,0)</f>
        <v>0</v>
      </c>
      <c r="CB296">
        <f>IF($CB$31&lt;=$CB$32,IF($A296&lt;=$CB$7,1,2),IF($A296&lt;=RUNG_BEDS_2,2,1))</f>
        <v>2</v>
      </c>
      <c r="CC296" s="5">
        <f>MIN(1,MAX(0,$CB$26-($A296-1)))</f>
        <v>0</v>
      </c>
      <c r="CD296" s="5">
        <f>$CB$25*(CC296+(1-CC296)*$CB$16)</f>
        <v>0.0</v>
      </c>
      <c r="CE296" s="13">
        <f>CD296*($CB$6+ACUTE_MARGIN)</f>
        <v>0.0</v>
      </c>
      <c r="CF296" s="13">
        <f>IF(CB296=1,$CB$31,$CB$32)</f>
        <v>160718.36940738867</v>
      </c>
      <c r="CG296" s="13">
        <f>CE296-CF296</f>
        <v>-160718.36940738867</v>
      </c>
      <c r="CH296" s="13">
        <f>CH295+CG296</f>
        <v>3995957.9444984356</v>
      </c>
      <c r="CI296">
        <f>IF(CH296=MAX($CH$83:$CH$483),$A296,0)</f>
        <v>0</v>
      </c>
      <c r="CJ296">
        <f>IF(CE296&lt;CF296,$A296,B_MAX+1)</f>
        <v>213</v>
      </c>
      <c r="CK296" s="13">
        <f>IF(CB296=1,$CB$35,$CB$36)</f>
        <v>1560.1194073886782</v>
      </c>
      <c r="CL296" s="13">
        <f>OCC_DAYS*$CB$41*R_NF_2023-CD296*MCD_SHARE_FREED*R_WAIT_2023</f>
        <v>151980.48282209205</v>
      </c>
      <c r="CM296">
        <f>IF($A296&lt;=$CB$45,1,0)</f>
        <v>0</v>
      </c>
      <c r="DB296">
        <f>IF($DB$31&lt;=$DB$32,IF($A296&lt;=$DB$7,1,2),IF($A296&lt;=RUNG_BEDS_2,2,1))</f>
        <v>1</v>
      </c>
      <c r="DC296" s="5">
        <f>MIN(1,MAX(0,$DB$26-($A296-1)))</f>
        <v>0</v>
      </c>
      <c r="DD296" s="5">
        <f>$DB$25*(DC296+(1-DC296)*$DB$16)</f>
        <v>0.0</v>
      </c>
      <c r="DE296" s="13">
        <f>DD296*($DB$6+ACUTE_MARGIN)</f>
        <v>0.0</v>
      </c>
      <c r="DF296" s="13">
        <f>IF(DB296=1,$DB$31,$DB$32)</f>
        <v>152394.16214437486</v>
      </c>
      <c r="DG296" s="13">
        <f>DE296-DF296</f>
        <v>-152394.16214437486</v>
      </c>
      <c r="DH296" s="13">
        <f>DH295+DG296</f>
        <v>5769014.091520494</v>
      </c>
      <c r="DI296">
        <f>IF(DH296=MAX($DH$83:$DH$483),$A296,0)</f>
        <v>0</v>
      </c>
      <c r="DJ296">
        <f>IF(DE296&lt;DF296,$A296,B_MAX+1)</f>
        <v>213</v>
      </c>
      <c r="DK296" s="13">
        <f>IF(DB296=1,$DB$35,$DB$36)</f>
        <v>0</v>
      </c>
      <c r="DL296" s="13">
        <f>OCC_DAYS*$DB$41*R_NF_2023-DD296*MCD_SHARE_FREED*R_WAIT_2023</f>
        <v>151980.48282209205</v>
      </c>
      <c r="DM296">
        <f>IF($A296&lt;=$DB$45,1,0)</f>
        <v>0</v>
      </c>
      <c r="EB296">
        <f>IF($EB$31&lt;=$EB$32,IF($A296&lt;=$EB$7,1,2),IF($A296&lt;=RUNG_BEDS_2,2,1))</f>
        <v>1</v>
      </c>
      <c r="EC296" s="5">
        <f>MIN(1,MAX(0,$EB$26-($A296-1)))</f>
        <v>0</v>
      </c>
      <c r="ED296" s="5">
        <f>$EB$25*(EC296+(1-EC296)*$EB$16)</f>
        <v>0.0</v>
      </c>
      <c r="EE296" s="13">
        <f>ED296*($EB$6+ACUTE_MARGIN)</f>
        <v>0.0</v>
      </c>
      <c r="EF296" s="13">
        <f>IF(EB296=1,$EB$31,$EB$32)</f>
        <v>152394.16214437486</v>
      </c>
      <c r="EG296" s="13">
        <f>EE296-EF296</f>
        <v>-152394.16214437486</v>
      </c>
      <c r="EH296" s="13">
        <f>EH295+EG296</f>
        <v>5769014.091520494</v>
      </c>
      <c r="EI296">
        <f>IF(EH296=MAX($EH$83:$EH$483),$A296,0)</f>
        <v>0</v>
      </c>
      <c r="EJ296">
        <f>IF(EE296&lt;EF296,$A296,B_MAX+1)</f>
        <v>213</v>
      </c>
      <c r="EK296" s="13">
        <f>IF(EB296=1,$EB$35,$EB$36)</f>
        <v>0</v>
      </c>
      <c r="EL296" s="13">
        <f>OCC_DAYS*$EB$41*R_NF_2023-ED296*MCD_SHARE_FREED*R_WAIT_2023</f>
        <v>50660.16094069735</v>
      </c>
      <c r="EM296">
        <f>IF($A296&lt;=$EB$45,1,0)</f>
        <v>0</v>
      </c>
      <c r="FB296">
        <f>IF($FB$31&lt;=$FB$32,IF($A296&lt;=$FB$7,1,2),IF($A296&lt;=RUNG_BEDS_2,2,1))</f>
        <v>1</v>
      </c>
      <c r="FC296" s="5">
        <f>MIN(1,MAX(0,$FB$26-($A296-1)))</f>
        <v>0</v>
      </c>
      <c r="FD296" s="5">
        <f>$FB$25*(FC296+(1-FC296)*$FB$16)</f>
        <v>0.0</v>
      </c>
      <c r="FE296" s="13">
        <f>FD296*($FB$6+ACUTE_MARGIN)</f>
        <v>0.0</v>
      </c>
      <c r="FF296" s="13">
        <f>IF(FB296=1,$FB$31,$FB$32)</f>
        <v>156636.04979437485</v>
      </c>
      <c r="FG296" s="13">
        <f>FE296-FF296</f>
        <v>-156636.04979437485</v>
      </c>
      <c r="FH296" s="13">
        <f>FH295+FG296</f>
        <v>4865492.022070379</v>
      </c>
      <c r="FI296">
        <f>IF(FH296=MAX($FH$83:$FH$483),$A296,0)</f>
        <v>0</v>
      </c>
      <c r="FJ296">
        <f>IF(FE296&lt;FF296,$A296,B_MAX+1)</f>
        <v>213</v>
      </c>
      <c r="FK296" s="13">
        <f>IF(FB296=1,$FB$35,$FB$36)</f>
        <v>0</v>
      </c>
      <c r="FL296" s="13">
        <f>OCC_DAYS*$FB$41*R_NF_2023-FD296*MCD_SHARE_FREED*R_WAIT_2023</f>
        <v>151980.48282209205</v>
      </c>
      <c r="FM296">
        <f>IF($A296&lt;=$FB$45,1,0)</f>
        <v>0</v>
      </c>
      <c r="GB296">
        <f>IF($GB$31&lt;=$GB$32,IF($A296&lt;=$GB$7,1,2),IF($A296&lt;=RUNG_BEDS_2,2,1))</f>
        <v>1</v>
      </c>
      <c r="GC296" s="5">
        <f>MIN(1,MAX(0,$GB$26-($A296-1)))</f>
        <v>0</v>
      </c>
      <c r="GD296" s="5">
        <f>$GB$25*(GC296+(1-GC296)*$GB$16)</f>
        <v>0.0</v>
      </c>
      <c r="GE296" s="13">
        <f>GD296*($GB$6+ACUTE_MARGIN)</f>
        <v>0.0</v>
      </c>
      <c r="GF296" s="13">
        <f>IF(GB296=1,$GB$31,$GB$32)</f>
        <v>152394.16214437486</v>
      </c>
      <c r="GG296" s="13">
        <f>GE296-GF296</f>
        <v>-152394.16214437486</v>
      </c>
      <c r="GH296" s="13">
        <f>GH295+GG296</f>
        <v>5769014.091520494</v>
      </c>
      <c r="GI296">
        <f>IF(GH296=MAX($GH$83:$GH$483),$A296,0)</f>
        <v>0</v>
      </c>
      <c r="GJ296">
        <f>IF(GE296&lt;GF296,$A296,B_MAX+1)</f>
        <v>213</v>
      </c>
      <c r="GK296" s="13">
        <f>IF(GB296=1,$GB$35,$GB$36)</f>
        <v>0</v>
      </c>
      <c r="GL296" s="13">
        <f>OCC_DAYS*$GB$41*R_NF_2023-GD296*MCD_SHARE_FREED*R_WAIT_2023</f>
        <v>151980.48282209205</v>
      </c>
      <c r="GM296">
        <f>IF($A296&lt;=$GB$45,1,0)</f>
        <v>0</v>
      </c>
      <c r="HB296">
        <f>IF($HB$31&lt;=$HB$32,IF($A296&lt;=$HB$7,1,2),IF($A296&lt;=RUNG_BEDS_2,2,1))</f>
        <v>1</v>
      </c>
      <c r="HC296" s="5">
        <f>MIN(1,MAX(0,$HB$26-($A296-1)))</f>
        <v>0</v>
      </c>
      <c r="HD296" s="5">
        <f>$HB$25*(HC296+(1-HC296)*$HB$16)</f>
        <v>0.0</v>
      </c>
      <c r="HE296" s="13">
        <f>HD296*($HB$6+ACUTE_MARGIN)</f>
        <v>0.0</v>
      </c>
      <c r="HF296" s="13">
        <f>IF(HB296=1,$HB$31,$HB$32)</f>
        <v>152456.2970814058</v>
      </c>
      <c r="HG296" s="13">
        <f>HE296-HF296</f>
        <v>-152456.2970814058</v>
      </c>
      <c r="HH296" s="13">
        <f>HH295+HG296</f>
        <v>5755779.349932864</v>
      </c>
      <c r="HI296">
        <f>IF(HH296=MAX($HH$83:$HH$483),$A296,0)</f>
        <v>0</v>
      </c>
      <c r="HJ296">
        <f>IF(HE296&lt;HF296,$A296,B_MAX+1)</f>
        <v>213</v>
      </c>
      <c r="HK296" s="13">
        <f>IF(HB296=1,$HB$35,$HB$36)</f>
        <v>0</v>
      </c>
      <c r="HL296" s="13">
        <f>OCC_DAYS*$HB$41*R_NF_2023-HD296*MCD_SHARE_FREED*R_WAIT_2023</f>
        <v>151980.48282209205</v>
      </c>
      <c r="HM296">
        <f>IF($A296&lt;=$HB$45,1,0)</f>
        <v>0</v>
      </c>
      <c r="IB296">
        <f>IF($IB$31&lt;=$IB$32,IF($A296&lt;=$IB$7,1,2),IF($A296&lt;=RUNG_BEDS_2,2,1))</f>
        <v>1</v>
      </c>
      <c r="IC296" s="5">
        <f>MIN(1,MAX(0,$IB$26-($A296-1)))</f>
        <v>0</v>
      </c>
      <c r="ID296" s="5">
        <f>$IB$25*(IC296+(1-IC296)*$IB$16)</f>
        <v>0.0</v>
      </c>
      <c r="IE296" s="13">
        <f>ID296*($IB$6+ACUTE_MARGIN)</f>
        <v>0.0</v>
      </c>
      <c r="IF296" s="13">
        <f>IF(IB296=1,$IB$31,$IB$32)</f>
        <v>152734.9994534971</v>
      </c>
      <c r="IG296" s="13">
        <f>IE296-IF296</f>
        <v>-152734.9994534971</v>
      </c>
      <c r="IH296" s="13">
        <f>IH295+IG296</f>
        <v>5696415.744677361</v>
      </c>
      <c r="II296">
        <f>IF(IH296=MAX($IH$83:$IH$483),$A296,0)</f>
        <v>0</v>
      </c>
      <c r="IJ296">
        <f>IF(IE296&lt;IF296,$A296,B_MAX+1)</f>
        <v>213</v>
      </c>
      <c r="IK296" s="13">
        <f>IF(IB296=1,$IB$35,$IB$36)</f>
        <v>0</v>
      </c>
      <c r="IL296" s="13">
        <f>OCC_DAYS*$IB$41*R_NF_2023-ID296*MCD_SHARE_FREED*R_WAIT_2023</f>
        <v>151980.48282209205</v>
      </c>
      <c r="IM296">
        <f>IF($A296&lt;=$IB$45,1,0)</f>
        <v>0</v>
      </c>
      <c r="JB296">
        <f>IF($JB$31&lt;=$JB$32,IF($A296&lt;=$JB$7,1,2),IF($A296&lt;=RUNG_BEDS_2,2,1))</f>
        <v>1</v>
      </c>
      <c r="JC296" s="5">
        <f>MIN(1,MAX(0,$JB$26-($A296-1)))</f>
        <v>0</v>
      </c>
      <c r="JD296" s="5">
        <f>$JB$25*(JC296+(1-JC296)*$JB$16)</f>
        <v>0.0</v>
      </c>
      <c r="JE296" s="13">
        <f>JD296*($JB$6+ACUTE_MARGIN)</f>
        <v>0.0</v>
      </c>
      <c r="JF296" s="13">
        <f>IF(JB296=1,$JB$31,$JB$32)</f>
        <v>152394.16214437486</v>
      </c>
      <c r="JG296" s="13">
        <f>JE296-JF296</f>
        <v>-152394.16214437486</v>
      </c>
      <c r="JH296" s="13">
        <f>JH295+JG296</f>
        <v>5769014.091520494</v>
      </c>
      <c r="JI296">
        <f>IF(JH296=MAX($JH$83:$JH$483),$A296,0)</f>
        <v>0</v>
      </c>
      <c r="JJ296">
        <f>IF(JE296&lt;JF296,$A296,B_MAX+1)</f>
        <v>213</v>
      </c>
      <c r="JK296" s="13">
        <f>IF(JB296=1,$JB$35,$JB$36)</f>
        <v>0</v>
      </c>
      <c r="JL296" s="13">
        <f>OCC_DAYS*$JB$41*R_NF_2023-JD296*MCD_SHARE_FREED*R_WAIT_2023</f>
        <v>151980.48282209205</v>
      </c>
      <c r="JM296">
        <f>IF($A296&lt;=$JB$45,1,0)</f>
        <v>0</v>
      </c>
      <c r="KB296">
        <f>IF($KB$31&lt;=$KB$32,IF($A296&lt;=$KB$7,1,2),IF($A296&lt;=RUNG_BEDS_2,2,1))</f>
        <v>1</v>
      </c>
      <c r="KC296" s="5">
        <f>MIN(1,MAX(0,$KB$26-($A296-1)))</f>
        <v>1</v>
      </c>
      <c r="KD296" s="5">
        <f>$KB$25*(KC296+(1-KC296)*$KB$16)</f>
        <v>126.02661357340719</v>
      </c>
      <c r="KE296" s="13">
        <f>KD296*($KB$6+ACUTE_MARGIN)</f>
        <v>127286.87970914126</v>
      </c>
      <c r="KF296" s="13">
        <f>IF(KB296=1,$KB$31,$KB$32)</f>
        <v>152394.16214437486</v>
      </c>
      <c r="KG296" s="13">
        <f>KE296-KF296</f>
        <v>-25107.282435233603</v>
      </c>
      <c r="KH296" s="13">
        <f>KH295+KG296</f>
        <v>-5347851.158704774</v>
      </c>
      <c r="KI296">
        <f>IF(KH296=MAX($KH$83:$KH$483),$A296,0)</f>
        <v>0</v>
      </c>
      <c r="KJ296">
        <f>IF(KE296&lt;KF296,$A296,B_MAX+1)</f>
        <v>213</v>
      </c>
      <c r="KK296" s="13">
        <f>IF(KB296=1,$KB$35,$KB$36)</f>
        <v>0</v>
      </c>
      <c r="KL296" s="13">
        <f>OCC_DAYS*$KB$41*R_NF_2023-KD296*MCD_SHARE_FREED*R_WAIT_2023</f>
        <v>94673.82103225985</v>
      </c>
      <c r="KM296">
        <f>IF($A296&lt;=$KB$45,1,0)</f>
        <v>0</v>
      </c>
      <c r="LB296">
        <f>IF($LB$31&lt;=$LB$32,IF($A296&lt;=$LB$7,1,2),IF($A296&lt;=RUNG_BEDS_2,2,1))</f>
        <v>1</v>
      </c>
      <c r="LC296" s="5">
        <f>MIN(1,MAX(0,$LB$26-($A296-1)))</f>
        <v>1</v>
      </c>
      <c r="LD296" s="5">
        <f>$LB$25*(LC296+(1-LC296)*$LB$16)</f>
        <v>84.01774238227146</v>
      </c>
      <c r="LE296" s="13">
        <f>LD296*($LB$6+ACUTE_MARGIN)</f>
        <v>84857.91980609419</v>
      </c>
      <c r="LF296" s="13">
        <f>IF(LB296=1,$LB$31,$LB$32)</f>
        <v>152394.16214437486</v>
      </c>
      <c r="LG296" s="13">
        <f>LE296-LF296</f>
        <v>-67536.24233828067</v>
      </c>
      <c r="LH296" s="13">
        <f>LH295+LG296</f>
        <v>-14385219.61805385</v>
      </c>
      <c r="LI296">
        <f>IF(LH296=MAX($LH$83:$LH$483),$A296,0)</f>
        <v>0</v>
      </c>
      <c r="LJ296">
        <f>IF(LE296&lt;LF296,$A296,B_MAX+1)</f>
        <v>213</v>
      </c>
      <c r="LK296" s="13">
        <f>IF(LB296=1,$LB$35,$LB$36)</f>
        <v>0</v>
      </c>
      <c r="LL296" s="13">
        <f>OCC_DAYS*$LB$41*R_NF_2023-LD296*MCD_SHARE_FREED*R_WAIT_2023</f>
        <v>113776.04162887059</v>
      </c>
      <c r="LM296">
        <f>IF($A296&lt;=$LB$45,1,0)</f>
        <v>0</v>
      </c>
      <c r="MB296">
        <f>IF($MB$31&lt;=$MB$32,IF($A296&lt;=$MB$7,1,2),IF($A296&lt;=RUNG_BEDS_2,2,1))</f>
        <v>1</v>
      </c>
      <c r="MC296" s="5">
        <f>MIN(1,MAX(0,$MB$26-($A296-1)))</f>
        <v>0</v>
      </c>
      <c r="MD296" s="5">
        <f>$MB$25*(MC296+(1-MC296)*$MB$16)</f>
        <v>0.0</v>
      </c>
      <c r="ME296" s="13">
        <f>MD296*($MB$6+ACUTE_MARGIN)</f>
        <v>0.0</v>
      </c>
      <c r="MF296" s="13">
        <f>IF(MB296=1,$MB$31,$MB$32)</f>
        <v>152394.16214437486</v>
      </c>
      <c r="MG296" s="13">
        <f>ME296-MF296</f>
        <v>-152394.16214437486</v>
      </c>
      <c r="MH296" s="13">
        <f>MH295+MG296</f>
        <v>-118261.97027783893</v>
      </c>
      <c r="MI296">
        <f>IF(MH296=MAX($MH$83:$MH$483),$A296,0)</f>
        <v>0</v>
      </c>
      <c r="MJ296">
        <f>IF(ME296&lt;MF296,$A296,B_MAX+1)</f>
        <v>213</v>
      </c>
      <c r="MK296" s="13">
        <f>IF(MB296=1,$MB$35,$MB$36)</f>
        <v>0</v>
      </c>
      <c r="ML296" s="13">
        <f>OCC_DAYS*$MB$41*R_NF_2023-MD296*MCD_SHARE_FREED*R_WAIT_2023</f>
        <v>151980.48282209205</v>
      </c>
      <c r="MM296">
        <f>IF($A296&lt;=$MB$45,1,0)</f>
        <v>0</v>
      </c>
      <c r="NB296">
        <f>IF($NB$31&lt;=$NB$32,IF($A296&lt;=$NB$7,1,2),IF($A296&lt;=RUNG_BEDS_2,2,1))</f>
        <v>1</v>
      </c>
      <c r="NC296" s="5">
        <f>MIN(1,MAX(0,$NB$26-($A296-1)))</f>
        <v>0</v>
      </c>
      <c r="ND296" s="5">
        <f>$NB$25*(NC296+(1-NC296)*$NB$16)</f>
        <v>63.013306786703595</v>
      </c>
      <c r="NE296" s="13">
        <f>ND296*($NB$6+ACUTE_MARGIN)</f>
        <v>63643.43985457063</v>
      </c>
      <c r="NF296" s="13">
        <f>IF(NB296=1,$NB$31,$NB$32)</f>
        <v>152394.16214437486</v>
      </c>
      <c r="NG296" s="13">
        <f>NE296-NF296</f>
        <v>-88750.72228980422</v>
      </c>
      <c r="NH296" s="13">
        <f>NH295+NG296</f>
        <v>9767824.123475935</v>
      </c>
      <c r="NI296">
        <f>IF(NH296=MAX($NH$83:$NH$483),$A296,0)</f>
        <v>0</v>
      </c>
      <c r="NJ296">
        <f>IF(NE296&lt;NF296,$A296,B_MAX+1)</f>
        <v>213</v>
      </c>
      <c r="NK296" s="13">
        <f>IF(NB296=1,$NB$35,$NB$36)</f>
        <v>0</v>
      </c>
      <c r="NL296" s="13">
        <f>OCC_DAYS*$NB$41*R_NF_2023-ND296*MCD_SHARE_FREED*R_WAIT_2023</f>
        <v>123327.15192717595</v>
      </c>
      <c r="NM296">
        <f>IF($A296&lt;=$NB$45,1,0)</f>
        <v>0</v>
      </c>
      <c r="OB296">
        <f>IF($OB$31&lt;=$OB$32,IF($A296&lt;=$OB$7,1,2),IF($A296&lt;=RUNG_BEDS_2,2,1))</f>
        <v>1</v>
      </c>
      <c r="OC296" s="5">
        <f>MIN(1,MAX(0,$OB$26-($A296-1)))</f>
        <v>0</v>
      </c>
      <c r="OD296" s="5">
        <f>$OB$25*(OC296+(1-OC296)*$OB$16)</f>
        <v>126.02661357340719</v>
      </c>
      <c r="OE296" s="13">
        <f>OD296*($OB$6+ACUTE_MARGIN)</f>
        <v>127286.87970914126</v>
      </c>
      <c r="OF296" s="13">
        <f>IF(OB296=1,$OB$31,$OB$32)</f>
        <v>152394.16214437486</v>
      </c>
      <c r="OG296" s="13">
        <f>OE296-OF296</f>
        <v>-25107.282435233603</v>
      </c>
      <c r="OH296" s="13">
        <f>OH295+OG296</f>
        <v>13766634.155431477</v>
      </c>
      <c r="OI296">
        <f>IF(OH296=MAX($OH$83:$OH$483),$A296,0)</f>
        <v>0</v>
      </c>
      <c r="OJ296">
        <f>IF(OE296&lt;OF296,$A296,B_MAX+1)</f>
        <v>213</v>
      </c>
      <c r="OK296" s="13">
        <f>IF(OB296=1,$OB$35,$OB$36)</f>
        <v>0</v>
      </c>
      <c r="OL296" s="13">
        <f>OCC_DAYS*$OB$41*R_NF_2023-OD296*MCD_SHARE_FREED*R_WAIT_2023</f>
        <v>94673.82103225985</v>
      </c>
      <c r="OM296">
        <f>IF($A296&lt;=$OB$45,1,0)</f>
        <v>0</v>
      </c>
    </row>
    <row r="297">
      <c r="A297" t="n">
        <v>214</v>
      </c>
      <c r="B297">
        <f>IF($B$31&lt;=$B$32,IF($A297&lt;=$B$7,1,2),IF($A297&lt;=RUNG_BEDS_2,2,1))</f>
        <v>1</v>
      </c>
      <c r="C297" s="5">
        <f>MIN(1,MAX(0,$B$26-($A297-1)))</f>
        <v>0</v>
      </c>
      <c r="D297" s="5">
        <f>$B$25*(C297+(1-C297)*$B$16)</f>
        <v>0.0</v>
      </c>
      <c r="E297" s="13">
        <f>D297*($B$6+ACUTE_MARGIN)</f>
        <v>0.0</v>
      </c>
      <c r="F297" s="13">
        <f>IF(B297=1,$B$31,$B$32)</f>
        <v>152394.16214437486</v>
      </c>
      <c r="G297" s="13">
        <f>E297-F297</f>
        <v>-152394.16214437486</v>
      </c>
      <c r="H297" s="13">
        <f>H296+G297</f>
        <v>5616619.929376119</v>
      </c>
      <c r="I297">
        <f>IF(H297=MAX($H$83:$H$483),$A297,0)</f>
        <v>0</v>
      </c>
      <c r="J297">
        <f>IF(E297&lt;F297,$A297,B_MAX+1)</f>
        <v>214</v>
      </c>
      <c r="K297" s="13">
        <f>IF(B297=1,$B$35,$B$36)</f>
        <v>0</v>
      </c>
      <c r="L297" s="13">
        <f>OCC_DAYS*$B$41*R_NF_2023-D297*MCD_SHARE_FREED*R_WAIT_2023</f>
        <v>151980.48282209205</v>
      </c>
      <c r="M297">
        <f>IF($A297&lt;=$B$45,1,0)</f>
        <v>0</v>
      </c>
      <c r="AB297">
        <f>IF($AB$31&lt;=$AB$32,IF($A297&lt;=$AB$7,1,2),IF($A297&lt;=RUNG_BEDS_2,2,1))</f>
        <v>1</v>
      </c>
      <c r="AC297" s="5">
        <f>MIN(1,MAX(0,$AB$26-($A297-1)))</f>
        <v>0</v>
      </c>
      <c r="AD297" s="5">
        <f>$AB$25*(AC297+(1-AC297)*$AB$16)</f>
        <v>0.0</v>
      </c>
      <c r="AE297" s="13">
        <f>AD297*($AB$6+ACUTE_MARGIN)</f>
        <v>0.0</v>
      </c>
      <c r="AF297" s="13">
        <f>IF(AB297=1,$AB$31,$AB$32)</f>
        <v>152394.16214437486</v>
      </c>
      <c r="AG297" s="13">
        <f>AE297-AF297</f>
        <v>-152394.16214437486</v>
      </c>
      <c r="AH297" s="13">
        <f>AH296+AG297</f>
        <v>-11794594.416173695</v>
      </c>
      <c r="AI297">
        <f>IF(AH297=MAX($AH$83:$AH$483),$A297,0)</f>
        <v>0</v>
      </c>
      <c r="AJ297">
        <f>IF(AE297&lt;AF297,$A297,B_MAX+1)</f>
        <v>214</v>
      </c>
      <c r="AK297" s="13">
        <f>IF(AB297=1,$AB$35,$AB$36)</f>
        <v>0</v>
      </c>
      <c r="AL297" s="13">
        <f>OCC_DAYS*$AB$41*R_NF_2023-AD297*MCD_SHARE_FREED*R_WAIT_2023</f>
        <v>151980.48282209205</v>
      </c>
      <c r="AM297">
        <f>IF($A297&lt;=$AB$45,1,0)</f>
        <v>0</v>
      </c>
      <c r="BB297">
        <f>IF($BB$31&lt;=$BB$32,IF($A297&lt;=$BB$7,1,2),IF($A297&lt;=RUNG_BEDS_2,2,1))</f>
        <v>1</v>
      </c>
      <c r="BC297" s="5">
        <f>MIN(1,MAX(0,$BB$26-($A297-1)))</f>
        <v>0</v>
      </c>
      <c r="BD297" s="5">
        <f>$BB$25*(BC297+(1-BC297)*$BB$16)</f>
        <v>0.0</v>
      </c>
      <c r="BE297" s="13">
        <f>BD297*($BB$6+ACUTE_MARGIN)</f>
        <v>0.0</v>
      </c>
      <c r="BF297" s="13">
        <f>IF(BB297=1,$BB$31,$BB$32)</f>
        <v>152394.16214437486</v>
      </c>
      <c r="BG297" s="13">
        <f>BE297-BF297</f>
        <v>-152394.16214437486</v>
      </c>
      <c r="BH297" s="13">
        <f>BH296+BG297</f>
        <v>23027834.2749258</v>
      </c>
      <c r="BI297">
        <f>IF(BH297=MAX($BH$83:$BH$483),$A297,0)</f>
        <v>0</v>
      </c>
      <c r="BJ297">
        <f>IF(BE297&lt;BF297,$A297,B_MAX+1)</f>
        <v>214</v>
      </c>
      <c r="BK297" s="13">
        <f>IF(BB297=1,$BB$35,$BB$36)</f>
        <v>0</v>
      </c>
      <c r="BL297" s="13">
        <f>OCC_DAYS*$BB$41*R_NF_2023-BD297*MCD_SHARE_FREED*R_WAIT_2023</f>
        <v>151980.48282209205</v>
      </c>
      <c r="BM297">
        <f>IF($A297&lt;=$BB$45,1,0)</f>
        <v>0</v>
      </c>
      <c r="CB297">
        <f>IF($CB$31&lt;=$CB$32,IF($A297&lt;=$CB$7,1,2),IF($A297&lt;=RUNG_BEDS_2,2,1))</f>
        <v>2</v>
      </c>
      <c r="CC297" s="5">
        <f>MIN(1,MAX(0,$CB$26-($A297-1)))</f>
        <v>0</v>
      </c>
      <c r="CD297" s="5">
        <f>$CB$25*(CC297+(1-CC297)*$CB$16)</f>
        <v>0.0</v>
      </c>
      <c r="CE297" s="13">
        <f>CD297*($CB$6+ACUTE_MARGIN)</f>
        <v>0.0</v>
      </c>
      <c r="CF297" s="13">
        <f>IF(CB297=1,$CB$31,$CB$32)</f>
        <v>160718.36940738867</v>
      </c>
      <c r="CG297" s="13">
        <f>CE297-CF297</f>
        <v>-160718.36940738867</v>
      </c>
      <c r="CH297" s="13">
        <f>CH296+CG297</f>
        <v>3835239.5750910467</v>
      </c>
      <c r="CI297">
        <f>IF(CH297=MAX($CH$83:$CH$483),$A297,0)</f>
        <v>0</v>
      </c>
      <c r="CJ297">
        <f>IF(CE297&lt;CF297,$A297,B_MAX+1)</f>
        <v>214</v>
      </c>
      <c r="CK297" s="13">
        <f>IF(CB297=1,$CB$35,$CB$36)</f>
        <v>1560.1194073886782</v>
      </c>
      <c r="CL297" s="13">
        <f>OCC_DAYS*$CB$41*R_NF_2023-CD297*MCD_SHARE_FREED*R_WAIT_2023</f>
        <v>151980.48282209205</v>
      </c>
      <c r="CM297">
        <f>IF($A297&lt;=$CB$45,1,0)</f>
        <v>0</v>
      </c>
      <c r="DB297">
        <f>IF($DB$31&lt;=$DB$32,IF($A297&lt;=$DB$7,1,2),IF($A297&lt;=RUNG_BEDS_2,2,1))</f>
        <v>1</v>
      </c>
      <c r="DC297" s="5">
        <f>MIN(1,MAX(0,$DB$26-($A297-1)))</f>
        <v>0</v>
      </c>
      <c r="DD297" s="5">
        <f>$DB$25*(DC297+(1-DC297)*$DB$16)</f>
        <v>0.0</v>
      </c>
      <c r="DE297" s="13">
        <f>DD297*($DB$6+ACUTE_MARGIN)</f>
        <v>0.0</v>
      </c>
      <c r="DF297" s="13">
        <f>IF(DB297=1,$DB$31,$DB$32)</f>
        <v>152394.16214437486</v>
      </c>
      <c r="DG297" s="13">
        <f>DE297-DF297</f>
        <v>-152394.16214437486</v>
      </c>
      <c r="DH297" s="13">
        <f>DH296+DG297</f>
        <v>5616619.929376119</v>
      </c>
      <c r="DI297">
        <f>IF(DH297=MAX($DH$83:$DH$483),$A297,0)</f>
        <v>0</v>
      </c>
      <c r="DJ297">
        <f>IF(DE297&lt;DF297,$A297,B_MAX+1)</f>
        <v>214</v>
      </c>
      <c r="DK297" s="13">
        <f>IF(DB297=1,$DB$35,$DB$36)</f>
        <v>0</v>
      </c>
      <c r="DL297" s="13">
        <f>OCC_DAYS*$DB$41*R_NF_2023-DD297*MCD_SHARE_FREED*R_WAIT_2023</f>
        <v>151980.48282209205</v>
      </c>
      <c r="DM297">
        <f>IF($A297&lt;=$DB$45,1,0)</f>
        <v>0</v>
      </c>
      <c r="EB297">
        <f>IF($EB$31&lt;=$EB$32,IF($A297&lt;=$EB$7,1,2),IF($A297&lt;=RUNG_BEDS_2,2,1))</f>
        <v>1</v>
      </c>
      <c r="EC297" s="5">
        <f>MIN(1,MAX(0,$EB$26-($A297-1)))</f>
        <v>0</v>
      </c>
      <c r="ED297" s="5">
        <f>$EB$25*(EC297+(1-EC297)*$EB$16)</f>
        <v>0.0</v>
      </c>
      <c r="EE297" s="13">
        <f>ED297*($EB$6+ACUTE_MARGIN)</f>
        <v>0.0</v>
      </c>
      <c r="EF297" s="13">
        <f>IF(EB297=1,$EB$31,$EB$32)</f>
        <v>152394.16214437486</v>
      </c>
      <c r="EG297" s="13">
        <f>EE297-EF297</f>
        <v>-152394.16214437486</v>
      </c>
      <c r="EH297" s="13">
        <f>EH296+EG297</f>
        <v>5616619.929376119</v>
      </c>
      <c r="EI297">
        <f>IF(EH297=MAX($EH$83:$EH$483),$A297,0)</f>
        <v>0</v>
      </c>
      <c r="EJ297">
        <f>IF(EE297&lt;EF297,$A297,B_MAX+1)</f>
        <v>214</v>
      </c>
      <c r="EK297" s="13">
        <f>IF(EB297=1,$EB$35,$EB$36)</f>
        <v>0</v>
      </c>
      <c r="EL297" s="13">
        <f>OCC_DAYS*$EB$41*R_NF_2023-ED297*MCD_SHARE_FREED*R_WAIT_2023</f>
        <v>50660.16094069735</v>
      </c>
      <c r="EM297">
        <f>IF($A297&lt;=$EB$45,1,0)</f>
        <v>0</v>
      </c>
      <c r="FB297">
        <f>IF($FB$31&lt;=$FB$32,IF($A297&lt;=$FB$7,1,2),IF($A297&lt;=RUNG_BEDS_2,2,1))</f>
        <v>1</v>
      </c>
      <c r="FC297" s="5">
        <f>MIN(1,MAX(0,$FB$26-($A297-1)))</f>
        <v>0</v>
      </c>
      <c r="FD297" s="5">
        <f>$FB$25*(FC297+(1-FC297)*$FB$16)</f>
        <v>0.0</v>
      </c>
      <c r="FE297" s="13">
        <f>FD297*($FB$6+ACUTE_MARGIN)</f>
        <v>0.0</v>
      </c>
      <c r="FF297" s="13">
        <f>IF(FB297=1,$FB$31,$FB$32)</f>
        <v>156636.04979437485</v>
      </c>
      <c r="FG297" s="13">
        <f>FE297-FF297</f>
        <v>-156636.04979437485</v>
      </c>
      <c r="FH297" s="13">
        <f>FH296+FG297</f>
        <v>4708855.972276004</v>
      </c>
      <c r="FI297">
        <f>IF(FH297=MAX($FH$83:$FH$483),$A297,0)</f>
        <v>0</v>
      </c>
      <c r="FJ297">
        <f>IF(FE297&lt;FF297,$A297,B_MAX+1)</f>
        <v>214</v>
      </c>
      <c r="FK297" s="13">
        <f>IF(FB297=1,$FB$35,$FB$36)</f>
        <v>0</v>
      </c>
      <c r="FL297" s="13">
        <f>OCC_DAYS*$FB$41*R_NF_2023-FD297*MCD_SHARE_FREED*R_WAIT_2023</f>
        <v>151980.48282209205</v>
      </c>
      <c r="FM297">
        <f>IF($A297&lt;=$FB$45,1,0)</f>
        <v>0</v>
      </c>
      <c r="GB297">
        <f>IF($GB$31&lt;=$GB$32,IF($A297&lt;=$GB$7,1,2),IF($A297&lt;=RUNG_BEDS_2,2,1))</f>
        <v>1</v>
      </c>
      <c r="GC297" s="5">
        <f>MIN(1,MAX(0,$GB$26-($A297-1)))</f>
        <v>0</v>
      </c>
      <c r="GD297" s="5">
        <f>$GB$25*(GC297+(1-GC297)*$GB$16)</f>
        <v>0.0</v>
      </c>
      <c r="GE297" s="13">
        <f>GD297*($GB$6+ACUTE_MARGIN)</f>
        <v>0.0</v>
      </c>
      <c r="GF297" s="13">
        <f>IF(GB297=1,$GB$31,$GB$32)</f>
        <v>152394.16214437486</v>
      </c>
      <c r="GG297" s="13">
        <f>GE297-GF297</f>
        <v>-152394.16214437486</v>
      </c>
      <c r="GH297" s="13">
        <f>GH296+GG297</f>
        <v>5616619.929376119</v>
      </c>
      <c r="GI297">
        <f>IF(GH297=MAX($GH$83:$GH$483),$A297,0)</f>
        <v>0</v>
      </c>
      <c r="GJ297">
        <f>IF(GE297&lt;GF297,$A297,B_MAX+1)</f>
        <v>214</v>
      </c>
      <c r="GK297" s="13">
        <f>IF(GB297=1,$GB$35,$GB$36)</f>
        <v>0</v>
      </c>
      <c r="GL297" s="13">
        <f>OCC_DAYS*$GB$41*R_NF_2023-GD297*MCD_SHARE_FREED*R_WAIT_2023</f>
        <v>151980.48282209205</v>
      </c>
      <c r="GM297">
        <f>IF($A297&lt;=$GB$45,1,0)</f>
        <v>0</v>
      </c>
      <c r="HB297">
        <f>IF($HB$31&lt;=$HB$32,IF($A297&lt;=$HB$7,1,2),IF($A297&lt;=RUNG_BEDS_2,2,1))</f>
        <v>1</v>
      </c>
      <c r="HC297" s="5">
        <f>MIN(1,MAX(0,$HB$26-($A297-1)))</f>
        <v>0</v>
      </c>
      <c r="HD297" s="5">
        <f>$HB$25*(HC297+(1-HC297)*$HB$16)</f>
        <v>0.0</v>
      </c>
      <c r="HE297" s="13">
        <f>HD297*($HB$6+ACUTE_MARGIN)</f>
        <v>0.0</v>
      </c>
      <c r="HF297" s="13">
        <f>IF(HB297=1,$HB$31,$HB$32)</f>
        <v>152456.2970814058</v>
      </c>
      <c r="HG297" s="13">
        <f>HE297-HF297</f>
        <v>-152456.2970814058</v>
      </c>
      <c r="HH297" s="13">
        <f>HH296+HG297</f>
        <v>5603323.052851458</v>
      </c>
      <c r="HI297">
        <f>IF(HH297=MAX($HH$83:$HH$483),$A297,0)</f>
        <v>0</v>
      </c>
      <c r="HJ297">
        <f>IF(HE297&lt;HF297,$A297,B_MAX+1)</f>
        <v>214</v>
      </c>
      <c r="HK297" s="13">
        <f>IF(HB297=1,$HB$35,$HB$36)</f>
        <v>0</v>
      </c>
      <c r="HL297" s="13">
        <f>OCC_DAYS*$HB$41*R_NF_2023-HD297*MCD_SHARE_FREED*R_WAIT_2023</f>
        <v>151980.48282209205</v>
      </c>
      <c r="HM297">
        <f>IF($A297&lt;=$HB$45,1,0)</f>
        <v>0</v>
      </c>
      <c r="IB297">
        <f>IF($IB$31&lt;=$IB$32,IF($A297&lt;=$IB$7,1,2),IF($A297&lt;=RUNG_BEDS_2,2,1))</f>
        <v>1</v>
      </c>
      <c r="IC297" s="5">
        <f>MIN(1,MAX(0,$IB$26-($A297-1)))</f>
        <v>0</v>
      </c>
      <c r="ID297" s="5">
        <f>$IB$25*(IC297+(1-IC297)*$IB$16)</f>
        <v>0.0</v>
      </c>
      <c r="IE297" s="13">
        <f>ID297*($IB$6+ACUTE_MARGIN)</f>
        <v>0.0</v>
      </c>
      <c r="IF297" s="13">
        <f>IF(IB297=1,$IB$31,$IB$32)</f>
        <v>152734.9994534971</v>
      </c>
      <c r="IG297" s="13">
        <f>IE297-IF297</f>
        <v>-152734.9994534971</v>
      </c>
      <c r="IH297" s="13">
        <f>IH296+IG297</f>
        <v>5543680.745223864</v>
      </c>
      <c r="II297">
        <f>IF(IH297=MAX($IH$83:$IH$483),$A297,0)</f>
        <v>0</v>
      </c>
      <c r="IJ297">
        <f>IF(IE297&lt;IF297,$A297,B_MAX+1)</f>
        <v>214</v>
      </c>
      <c r="IK297" s="13">
        <f>IF(IB297=1,$IB$35,$IB$36)</f>
        <v>0</v>
      </c>
      <c r="IL297" s="13">
        <f>OCC_DAYS*$IB$41*R_NF_2023-ID297*MCD_SHARE_FREED*R_WAIT_2023</f>
        <v>151980.48282209205</v>
      </c>
      <c r="IM297">
        <f>IF($A297&lt;=$IB$45,1,0)</f>
        <v>0</v>
      </c>
      <c r="JB297">
        <f>IF($JB$31&lt;=$JB$32,IF($A297&lt;=$JB$7,1,2),IF($A297&lt;=RUNG_BEDS_2,2,1))</f>
        <v>1</v>
      </c>
      <c r="JC297" s="5">
        <f>MIN(1,MAX(0,$JB$26-($A297-1)))</f>
        <v>0</v>
      </c>
      <c r="JD297" s="5">
        <f>$JB$25*(JC297+(1-JC297)*$JB$16)</f>
        <v>0.0</v>
      </c>
      <c r="JE297" s="13">
        <f>JD297*($JB$6+ACUTE_MARGIN)</f>
        <v>0.0</v>
      </c>
      <c r="JF297" s="13">
        <f>IF(JB297=1,$JB$31,$JB$32)</f>
        <v>152394.16214437486</v>
      </c>
      <c r="JG297" s="13">
        <f>JE297-JF297</f>
        <v>-152394.16214437486</v>
      </c>
      <c r="JH297" s="13">
        <f>JH296+JG297</f>
        <v>5616619.929376119</v>
      </c>
      <c r="JI297">
        <f>IF(JH297=MAX($JH$83:$JH$483),$A297,0)</f>
        <v>0</v>
      </c>
      <c r="JJ297">
        <f>IF(JE297&lt;JF297,$A297,B_MAX+1)</f>
        <v>214</v>
      </c>
      <c r="JK297" s="13">
        <f>IF(JB297=1,$JB$35,$JB$36)</f>
        <v>0</v>
      </c>
      <c r="JL297" s="13">
        <f>OCC_DAYS*$JB$41*R_NF_2023-JD297*MCD_SHARE_FREED*R_WAIT_2023</f>
        <v>151980.48282209205</v>
      </c>
      <c r="JM297">
        <f>IF($A297&lt;=$JB$45,1,0)</f>
        <v>0</v>
      </c>
      <c r="KB297">
        <f>IF($KB$31&lt;=$KB$32,IF($A297&lt;=$KB$7,1,2),IF($A297&lt;=RUNG_BEDS_2,2,1))</f>
        <v>1</v>
      </c>
      <c r="KC297" s="5">
        <f>MIN(1,MAX(0,$KB$26-($A297-1)))</f>
        <v>1</v>
      </c>
      <c r="KD297" s="5">
        <f>$KB$25*(KC297+(1-KC297)*$KB$16)</f>
        <v>126.02661357340719</v>
      </c>
      <c r="KE297" s="13">
        <f>KD297*($KB$6+ACUTE_MARGIN)</f>
        <v>127286.87970914126</v>
      </c>
      <c r="KF297" s="13">
        <f>IF(KB297=1,$KB$31,$KB$32)</f>
        <v>152394.16214437486</v>
      </c>
      <c r="KG297" s="13">
        <f>KE297-KF297</f>
        <v>-25107.282435233603</v>
      </c>
      <c r="KH297" s="13">
        <f>KH296+KG297</f>
        <v>-5372958.441140008</v>
      </c>
      <c r="KI297">
        <f>IF(KH297=MAX($KH$83:$KH$483),$A297,0)</f>
        <v>0</v>
      </c>
      <c r="KJ297">
        <f>IF(KE297&lt;KF297,$A297,B_MAX+1)</f>
        <v>214</v>
      </c>
      <c r="KK297" s="13">
        <f>IF(KB297=1,$KB$35,$KB$36)</f>
        <v>0</v>
      </c>
      <c r="KL297" s="13">
        <f>OCC_DAYS*$KB$41*R_NF_2023-KD297*MCD_SHARE_FREED*R_WAIT_2023</f>
        <v>94673.82103225985</v>
      </c>
      <c r="KM297">
        <f>IF($A297&lt;=$KB$45,1,0)</f>
        <v>0</v>
      </c>
      <c r="LB297">
        <f>IF($LB$31&lt;=$LB$32,IF($A297&lt;=$LB$7,1,2),IF($A297&lt;=RUNG_BEDS_2,2,1))</f>
        <v>1</v>
      </c>
      <c r="LC297" s="5">
        <f>MIN(1,MAX(0,$LB$26-($A297-1)))</f>
        <v>1</v>
      </c>
      <c r="LD297" s="5">
        <f>$LB$25*(LC297+(1-LC297)*$LB$16)</f>
        <v>84.01774238227146</v>
      </c>
      <c r="LE297" s="13">
        <f>LD297*($LB$6+ACUTE_MARGIN)</f>
        <v>84857.91980609419</v>
      </c>
      <c r="LF297" s="13">
        <f>IF(LB297=1,$LB$31,$LB$32)</f>
        <v>152394.16214437486</v>
      </c>
      <c r="LG297" s="13">
        <f>LE297-LF297</f>
        <v>-67536.24233828067</v>
      </c>
      <c r="LH297" s="13">
        <f>LH296+LG297</f>
        <v>-14452755.86039213</v>
      </c>
      <c r="LI297">
        <f>IF(LH297=MAX($LH$83:$LH$483),$A297,0)</f>
        <v>0</v>
      </c>
      <c r="LJ297">
        <f>IF(LE297&lt;LF297,$A297,B_MAX+1)</f>
        <v>214</v>
      </c>
      <c r="LK297" s="13">
        <f>IF(LB297=1,$LB$35,$LB$36)</f>
        <v>0</v>
      </c>
      <c r="LL297" s="13">
        <f>OCC_DAYS*$LB$41*R_NF_2023-LD297*MCD_SHARE_FREED*R_WAIT_2023</f>
        <v>113776.04162887059</v>
      </c>
      <c r="LM297">
        <f>IF($A297&lt;=$LB$45,1,0)</f>
        <v>0</v>
      </c>
      <c r="MB297">
        <f>IF($MB$31&lt;=$MB$32,IF($A297&lt;=$MB$7,1,2),IF($A297&lt;=RUNG_BEDS_2,2,1))</f>
        <v>1</v>
      </c>
      <c r="MC297" s="5">
        <f>MIN(1,MAX(0,$MB$26-($A297-1)))</f>
        <v>0</v>
      </c>
      <c r="MD297" s="5">
        <f>$MB$25*(MC297+(1-MC297)*$MB$16)</f>
        <v>0.0</v>
      </c>
      <c r="ME297" s="13">
        <f>MD297*($MB$6+ACUTE_MARGIN)</f>
        <v>0.0</v>
      </c>
      <c r="MF297" s="13">
        <f>IF(MB297=1,$MB$31,$MB$32)</f>
        <v>152394.16214437486</v>
      </c>
      <c r="MG297" s="13">
        <f>ME297-MF297</f>
        <v>-152394.16214437486</v>
      </c>
      <c r="MH297" s="13">
        <f>MH296+MG297</f>
        <v>-270656.1324222138</v>
      </c>
      <c r="MI297">
        <f>IF(MH297=MAX($MH$83:$MH$483),$A297,0)</f>
        <v>0</v>
      </c>
      <c r="MJ297">
        <f>IF(ME297&lt;MF297,$A297,B_MAX+1)</f>
        <v>214</v>
      </c>
      <c r="MK297" s="13">
        <f>IF(MB297=1,$MB$35,$MB$36)</f>
        <v>0</v>
      </c>
      <c r="ML297" s="13">
        <f>OCC_DAYS*$MB$41*R_NF_2023-MD297*MCD_SHARE_FREED*R_WAIT_2023</f>
        <v>151980.48282209205</v>
      </c>
      <c r="MM297">
        <f>IF($A297&lt;=$MB$45,1,0)</f>
        <v>0</v>
      </c>
      <c r="NB297">
        <f>IF($NB$31&lt;=$NB$32,IF($A297&lt;=$NB$7,1,2),IF($A297&lt;=RUNG_BEDS_2,2,1))</f>
        <v>1</v>
      </c>
      <c r="NC297" s="5">
        <f>MIN(1,MAX(0,$NB$26-($A297-1)))</f>
        <v>0</v>
      </c>
      <c r="ND297" s="5">
        <f>$NB$25*(NC297+(1-NC297)*$NB$16)</f>
        <v>63.013306786703595</v>
      </c>
      <c r="NE297" s="13">
        <f>ND297*($NB$6+ACUTE_MARGIN)</f>
        <v>63643.43985457063</v>
      </c>
      <c r="NF297" s="13">
        <f>IF(NB297=1,$NB$31,$NB$32)</f>
        <v>152394.16214437486</v>
      </c>
      <c r="NG297" s="13">
        <f>NE297-NF297</f>
        <v>-88750.72228980422</v>
      </c>
      <c r="NH297" s="13">
        <f>NH296+NG297</f>
        <v>9679073.401186131</v>
      </c>
      <c r="NI297">
        <f>IF(NH297=MAX($NH$83:$NH$483),$A297,0)</f>
        <v>0</v>
      </c>
      <c r="NJ297">
        <f>IF(NE297&lt;NF297,$A297,B_MAX+1)</f>
        <v>214</v>
      </c>
      <c r="NK297" s="13">
        <f>IF(NB297=1,$NB$35,$NB$36)</f>
        <v>0</v>
      </c>
      <c r="NL297" s="13">
        <f>OCC_DAYS*$NB$41*R_NF_2023-ND297*MCD_SHARE_FREED*R_WAIT_2023</f>
        <v>123327.15192717595</v>
      </c>
      <c r="NM297">
        <f>IF($A297&lt;=$NB$45,1,0)</f>
        <v>0</v>
      </c>
      <c r="OB297">
        <f>IF($OB$31&lt;=$OB$32,IF($A297&lt;=$OB$7,1,2),IF($A297&lt;=RUNG_BEDS_2,2,1))</f>
        <v>1</v>
      </c>
      <c r="OC297" s="5">
        <f>MIN(1,MAX(0,$OB$26-($A297-1)))</f>
        <v>0</v>
      </c>
      <c r="OD297" s="5">
        <f>$OB$25*(OC297+(1-OC297)*$OB$16)</f>
        <v>126.02661357340719</v>
      </c>
      <c r="OE297" s="13">
        <f>OD297*($OB$6+ACUTE_MARGIN)</f>
        <v>127286.87970914126</v>
      </c>
      <c r="OF297" s="13">
        <f>IF(OB297=1,$OB$31,$OB$32)</f>
        <v>152394.16214437486</v>
      </c>
      <c r="OG297" s="13">
        <f>OE297-OF297</f>
        <v>-25107.282435233603</v>
      </c>
      <c r="OH297" s="13">
        <f>OH296+OG297</f>
        <v>13741526.872996245</v>
      </c>
      <c r="OI297">
        <f>IF(OH297=MAX($OH$83:$OH$483),$A297,0)</f>
        <v>0</v>
      </c>
      <c r="OJ297">
        <f>IF(OE297&lt;OF297,$A297,B_MAX+1)</f>
        <v>214</v>
      </c>
      <c r="OK297" s="13">
        <f>IF(OB297=1,$OB$35,$OB$36)</f>
        <v>0</v>
      </c>
      <c r="OL297" s="13">
        <f>OCC_DAYS*$OB$41*R_NF_2023-OD297*MCD_SHARE_FREED*R_WAIT_2023</f>
        <v>94673.82103225985</v>
      </c>
      <c r="OM297">
        <f>IF($A297&lt;=$OB$45,1,0)</f>
        <v>0</v>
      </c>
    </row>
    <row r="298">
      <c r="A298" t="n">
        <v>215</v>
      </c>
      <c r="B298">
        <f>IF($B$31&lt;=$B$32,IF($A298&lt;=$B$7,1,2),IF($A298&lt;=RUNG_BEDS_2,2,1))</f>
        <v>1</v>
      </c>
      <c r="C298" s="5">
        <f>MIN(1,MAX(0,$B$26-($A298-1)))</f>
        <v>0</v>
      </c>
      <c r="D298" s="5">
        <f>$B$25*(C298+(1-C298)*$B$16)</f>
        <v>0.0</v>
      </c>
      <c r="E298" s="13">
        <f>D298*($B$6+ACUTE_MARGIN)</f>
        <v>0.0</v>
      </c>
      <c r="F298" s="13">
        <f>IF(B298=1,$B$31,$B$32)</f>
        <v>152394.16214437486</v>
      </c>
      <c r="G298" s="13">
        <f>E298-F298</f>
        <v>-152394.16214437486</v>
      </c>
      <c r="H298" s="13">
        <f>H297+G298</f>
        <v>5464225.767231744</v>
      </c>
      <c r="I298">
        <f>IF(H298=MAX($H$83:$H$483),$A298,0)</f>
        <v>0</v>
      </c>
      <c r="J298">
        <f>IF(E298&lt;F298,$A298,B_MAX+1)</f>
        <v>215</v>
      </c>
      <c r="K298" s="13">
        <f>IF(B298=1,$B$35,$B$36)</f>
        <v>0</v>
      </c>
      <c r="L298" s="13">
        <f>OCC_DAYS*$B$41*R_NF_2023-D298*MCD_SHARE_FREED*R_WAIT_2023</f>
        <v>151980.48282209205</v>
      </c>
      <c r="M298">
        <f>IF($A298&lt;=$B$45,1,0)</f>
        <v>0</v>
      </c>
      <c r="AB298">
        <f>IF($AB$31&lt;=$AB$32,IF($A298&lt;=$AB$7,1,2),IF($A298&lt;=RUNG_BEDS_2,2,1))</f>
        <v>1</v>
      </c>
      <c r="AC298" s="5">
        <f>MIN(1,MAX(0,$AB$26-($A298-1)))</f>
        <v>0</v>
      </c>
      <c r="AD298" s="5">
        <f>$AB$25*(AC298+(1-AC298)*$AB$16)</f>
        <v>0.0</v>
      </c>
      <c r="AE298" s="13">
        <f>AD298*($AB$6+ACUTE_MARGIN)</f>
        <v>0.0</v>
      </c>
      <c r="AF298" s="13">
        <f>IF(AB298=1,$AB$31,$AB$32)</f>
        <v>152394.16214437486</v>
      </c>
      <c r="AG298" s="13">
        <f>AE298-AF298</f>
        <v>-152394.16214437486</v>
      </c>
      <c r="AH298" s="13">
        <f>AH297+AG298</f>
        <v>-11946988.578318069</v>
      </c>
      <c r="AI298">
        <f>IF(AH298=MAX($AH$83:$AH$483),$A298,0)</f>
        <v>0</v>
      </c>
      <c r="AJ298">
        <f>IF(AE298&lt;AF298,$A298,B_MAX+1)</f>
        <v>215</v>
      </c>
      <c r="AK298" s="13">
        <f>IF(AB298=1,$AB$35,$AB$36)</f>
        <v>0</v>
      </c>
      <c r="AL298" s="13">
        <f>OCC_DAYS*$AB$41*R_NF_2023-AD298*MCD_SHARE_FREED*R_WAIT_2023</f>
        <v>151980.48282209205</v>
      </c>
      <c r="AM298">
        <f>IF($A298&lt;=$AB$45,1,0)</f>
        <v>0</v>
      </c>
      <c r="BB298">
        <f>IF($BB$31&lt;=$BB$32,IF($A298&lt;=$BB$7,1,2),IF($A298&lt;=RUNG_BEDS_2,2,1))</f>
        <v>1</v>
      </c>
      <c r="BC298" s="5">
        <f>MIN(1,MAX(0,$BB$26-($A298-1)))</f>
        <v>0</v>
      </c>
      <c r="BD298" s="5">
        <f>$BB$25*(BC298+(1-BC298)*$BB$16)</f>
        <v>0.0</v>
      </c>
      <c r="BE298" s="13">
        <f>BD298*($BB$6+ACUTE_MARGIN)</f>
        <v>0.0</v>
      </c>
      <c r="BF298" s="13">
        <f>IF(BB298=1,$BB$31,$BB$32)</f>
        <v>152394.16214437486</v>
      </c>
      <c r="BG298" s="13">
        <f>BE298-BF298</f>
        <v>-152394.16214437486</v>
      </c>
      <c r="BH298" s="13">
        <f>BH297+BG298</f>
        <v>22875440.112781424</v>
      </c>
      <c r="BI298">
        <f>IF(BH298=MAX($BH$83:$BH$483),$A298,0)</f>
        <v>0</v>
      </c>
      <c r="BJ298">
        <f>IF(BE298&lt;BF298,$A298,B_MAX+1)</f>
        <v>215</v>
      </c>
      <c r="BK298" s="13">
        <f>IF(BB298=1,$BB$35,$BB$36)</f>
        <v>0</v>
      </c>
      <c r="BL298" s="13">
        <f>OCC_DAYS*$BB$41*R_NF_2023-BD298*MCD_SHARE_FREED*R_WAIT_2023</f>
        <v>151980.48282209205</v>
      </c>
      <c r="BM298">
        <f>IF($A298&lt;=$BB$45,1,0)</f>
        <v>0</v>
      </c>
      <c r="CB298">
        <f>IF($CB$31&lt;=$CB$32,IF($A298&lt;=$CB$7,1,2),IF($A298&lt;=RUNG_BEDS_2,2,1))</f>
        <v>2</v>
      </c>
      <c r="CC298" s="5">
        <f>MIN(1,MAX(0,$CB$26-($A298-1)))</f>
        <v>0</v>
      </c>
      <c r="CD298" s="5">
        <f>$CB$25*(CC298+(1-CC298)*$CB$16)</f>
        <v>0.0</v>
      </c>
      <c r="CE298" s="13">
        <f>CD298*($CB$6+ACUTE_MARGIN)</f>
        <v>0.0</v>
      </c>
      <c r="CF298" s="13">
        <f>IF(CB298=1,$CB$31,$CB$32)</f>
        <v>160718.36940738867</v>
      </c>
      <c r="CG298" s="13">
        <f>CE298-CF298</f>
        <v>-160718.36940738867</v>
      </c>
      <c r="CH298" s="13">
        <f>CH297+CG298</f>
        <v>3674521.205683658</v>
      </c>
      <c r="CI298">
        <f>IF(CH298=MAX($CH$83:$CH$483),$A298,0)</f>
        <v>0</v>
      </c>
      <c r="CJ298">
        <f>IF(CE298&lt;CF298,$A298,B_MAX+1)</f>
        <v>215</v>
      </c>
      <c r="CK298" s="13">
        <f>IF(CB298=1,$CB$35,$CB$36)</f>
        <v>1560.1194073886782</v>
      </c>
      <c r="CL298" s="13">
        <f>OCC_DAYS*$CB$41*R_NF_2023-CD298*MCD_SHARE_FREED*R_WAIT_2023</f>
        <v>151980.48282209205</v>
      </c>
      <c r="CM298">
        <f>IF($A298&lt;=$CB$45,1,0)</f>
        <v>0</v>
      </c>
      <c r="DB298">
        <f>IF($DB$31&lt;=$DB$32,IF($A298&lt;=$DB$7,1,2),IF($A298&lt;=RUNG_BEDS_2,2,1))</f>
        <v>1</v>
      </c>
      <c r="DC298" s="5">
        <f>MIN(1,MAX(0,$DB$26-($A298-1)))</f>
        <v>0</v>
      </c>
      <c r="DD298" s="5">
        <f>$DB$25*(DC298+(1-DC298)*$DB$16)</f>
        <v>0.0</v>
      </c>
      <c r="DE298" s="13">
        <f>DD298*($DB$6+ACUTE_MARGIN)</f>
        <v>0.0</v>
      </c>
      <c r="DF298" s="13">
        <f>IF(DB298=1,$DB$31,$DB$32)</f>
        <v>152394.16214437486</v>
      </c>
      <c r="DG298" s="13">
        <f>DE298-DF298</f>
        <v>-152394.16214437486</v>
      </c>
      <c r="DH298" s="13">
        <f>DH297+DG298</f>
        <v>5464225.767231744</v>
      </c>
      <c r="DI298">
        <f>IF(DH298=MAX($DH$83:$DH$483),$A298,0)</f>
        <v>0</v>
      </c>
      <c r="DJ298">
        <f>IF(DE298&lt;DF298,$A298,B_MAX+1)</f>
        <v>215</v>
      </c>
      <c r="DK298" s="13">
        <f>IF(DB298=1,$DB$35,$DB$36)</f>
        <v>0</v>
      </c>
      <c r="DL298" s="13">
        <f>OCC_DAYS*$DB$41*R_NF_2023-DD298*MCD_SHARE_FREED*R_WAIT_2023</f>
        <v>151980.48282209205</v>
      </c>
      <c r="DM298">
        <f>IF($A298&lt;=$DB$45,1,0)</f>
        <v>0</v>
      </c>
      <c r="EB298">
        <f>IF($EB$31&lt;=$EB$32,IF($A298&lt;=$EB$7,1,2),IF($A298&lt;=RUNG_BEDS_2,2,1))</f>
        <v>1</v>
      </c>
      <c r="EC298" s="5">
        <f>MIN(1,MAX(0,$EB$26-($A298-1)))</f>
        <v>0</v>
      </c>
      <c r="ED298" s="5">
        <f>$EB$25*(EC298+(1-EC298)*$EB$16)</f>
        <v>0.0</v>
      </c>
      <c r="EE298" s="13">
        <f>ED298*($EB$6+ACUTE_MARGIN)</f>
        <v>0.0</v>
      </c>
      <c r="EF298" s="13">
        <f>IF(EB298=1,$EB$31,$EB$32)</f>
        <v>152394.16214437486</v>
      </c>
      <c r="EG298" s="13">
        <f>EE298-EF298</f>
        <v>-152394.16214437486</v>
      </c>
      <c r="EH298" s="13">
        <f>EH297+EG298</f>
        <v>5464225.767231744</v>
      </c>
      <c r="EI298">
        <f>IF(EH298=MAX($EH$83:$EH$483),$A298,0)</f>
        <v>0</v>
      </c>
      <c r="EJ298">
        <f>IF(EE298&lt;EF298,$A298,B_MAX+1)</f>
        <v>215</v>
      </c>
      <c r="EK298" s="13">
        <f>IF(EB298=1,$EB$35,$EB$36)</f>
        <v>0</v>
      </c>
      <c r="EL298" s="13">
        <f>OCC_DAYS*$EB$41*R_NF_2023-ED298*MCD_SHARE_FREED*R_WAIT_2023</f>
        <v>50660.16094069735</v>
      </c>
      <c r="EM298">
        <f>IF($A298&lt;=$EB$45,1,0)</f>
        <v>0</v>
      </c>
      <c r="FB298">
        <f>IF($FB$31&lt;=$FB$32,IF($A298&lt;=$FB$7,1,2),IF($A298&lt;=RUNG_BEDS_2,2,1))</f>
        <v>1</v>
      </c>
      <c r="FC298" s="5">
        <f>MIN(1,MAX(0,$FB$26-($A298-1)))</f>
        <v>0</v>
      </c>
      <c r="FD298" s="5">
        <f>$FB$25*(FC298+(1-FC298)*$FB$16)</f>
        <v>0.0</v>
      </c>
      <c r="FE298" s="13">
        <f>FD298*($FB$6+ACUTE_MARGIN)</f>
        <v>0.0</v>
      </c>
      <c r="FF298" s="13">
        <f>IF(FB298=1,$FB$31,$FB$32)</f>
        <v>156636.04979437485</v>
      </c>
      <c r="FG298" s="13">
        <f>FE298-FF298</f>
        <v>-156636.04979437485</v>
      </c>
      <c r="FH298" s="13">
        <f>FH297+FG298</f>
        <v>4552219.922481629</v>
      </c>
      <c r="FI298">
        <f>IF(FH298=MAX($FH$83:$FH$483),$A298,0)</f>
        <v>0</v>
      </c>
      <c r="FJ298">
        <f>IF(FE298&lt;FF298,$A298,B_MAX+1)</f>
        <v>215</v>
      </c>
      <c r="FK298" s="13">
        <f>IF(FB298=1,$FB$35,$FB$36)</f>
        <v>0</v>
      </c>
      <c r="FL298" s="13">
        <f>OCC_DAYS*$FB$41*R_NF_2023-FD298*MCD_SHARE_FREED*R_WAIT_2023</f>
        <v>151980.48282209205</v>
      </c>
      <c r="FM298">
        <f>IF($A298&lt;=$FB$45,1,0)</f>
        <v>0</v>
      </c>
      <c r="GB298">
        <f>IF($GB$31&lt;=$GB$32,IF($A298&lt;=$GB$7,1,2),IF($A298&lt;=RUNG_BEDS_2,2,1))</f>
        <v>1</v>
      </c>
      <c r="GC298" s="5">
        <f>MIN(1,MAX(0,$GB$26-($A298-1)))</f>
        <v>0</v>
      </c>
      <c r="GD298" s="5">
        <f>$GB$25*(GC298+(1-GC298)*$GB$16)</f>
        <v>0.0</v>
      </c>
      <c r="GE298" s="13">
        <f>GD298*($GB$6+ACUTE_MARGIN)</f>
        <v>0.0</v>
      </c>
      <c r="GF298" s="13">
        <f>IF(GB298=1,$GB$31,$GB$32)</f>
        <v>152394.16214437486</v>
      </c>
      <c r="GG298" s="13">
        <f>GE298-GF298</f>
        <v>-152394.16214437486</v>
      </c>
      <c r="GH298" s="13">
        <f>GH297+GG298</f>
        <v>5464225.767231744</v>
      </c>
      <c r="GI298">
        <f>IF(GH298=MAX($GH$83:$GH$483),$A298,0)</f>
        <v>0</v>
      </c>
      <c r="GJ298">
        <f>IF(GE298&lt;GF298,$A298,B_MAX+1)</f>
        <v>215</v>
      </c>
      <c r="GK298" s="13">
        <f>IF(GB298=1,$GB$35,$GB$36)</f>
        <v>0</v>
      </c>
      <c r="GL298" s="13">
        <f>OCC_DAYS*$GB$41*R_NF_2023-GD298*MCD_SHARE_FREED*R_WAIT_2023</f>
        <v>151980.48282209205</v>
      </c>
      <c r="GM298">
        <f>IF($A298&lt;=$GB$45,1,0)</f>
        <v>0</v>
      </c>
      <c r="HB298">
        <f>IF($HB$31&lt;=$HB$32,IF($A298&lt;=$HB$7,1,2),IF($A298&lt;=RUNG_BEDS_2,2,1))</f>
        <v>1</v>
      </c>
      <c r="HC298" s="5">
        <f>MIN(1,MAX(0,$HB$26-($A298-1)))</f>
        <v>0</v>
      </c>
      <c r="HD298" s="5">
        <f>$HB$25*(HC298+(1-HC298)*$HB$16)</f>
        <v>0.0</v>
      </c>
      <c r="HE298" s="13">
        <f>HD298*($HB$6+ACUTE_MARGIN)</f>
        <v>0.0</v>
      </c>
      <c r="HF298" s="13">
        <f>IF(HB298=1,$HB$31,$HB$32)</f>
        <v>152456.2970814058</v>
      </c>
      <c r="HG298" s="13">
        <f>HE298-HF298</f>
        <v>-152456.2970814058</v>
      </c>
      <c r="HH298" s="13">
        <f>HH297+HG298</f>
        <v>5450866.755770052</v>
      </c>
      <c r="HI298">
        <f>IF(HH298=MAX($HH$83:$HH$483),$A298,0)</f>
        <v>0</v>
      </c>
      <c r="HJ298">
        <f>IF(HE298&lt;HF298,$A298,B_MAX+1)</f>
        <v>215</v>
      </c>
      <c r="HK298" s="13">
        <f>IF(HB298=1,$HB$35,$HB$36)</f>
        <v>0</v>
      </c>
      <c r="HL298" s="13">
        <f>OCC_DAYS*$HB$41*R_NF_2023-HD298*MCD_SHARE_FREED*R_WAIT_2023</f>
        <v>151980.48282209205</v>
      </c>
      <c r="HM298">
        <f>IF($A298&lt;=$HB$45,1,0)</f>
        <v>0</v>
      </c>
      <c r="IB298">
        <f>IF($IB$31&lt;=$IB$32,IF($A298&lt;=$IB$7,1,2),IF($A298&lt;=RUNG_BEDS_2,2,1))</f>
        <v>1</v>
      </c>
      <c r="IC298" s="5">
        <f>MIN(1,MAX(0,$IB$26-($A298-1)))</f>
        <v>0</v>
      </c>
      <c r="ID298" s="5">
        <f>$IB$25*(IC298+(1-IC298)*$IB$16)</f>
        <v>0.0</v>
      </c>
      <c r="IE298" s="13">
        <f>ID298*($IB$6+ACUTE_MARGIN)</f>
        <v>0.0</v>
      </c>
      <c r="IF298" s="13">
        <f>IF(IB298=1,$IB$31,$IB$32)</f>
        <v>152734.9994534971</v>
      </c>
      <c r="IG298" s="13">
        <f>IE298-IF298</f>
        <v>-152734.9994534971</v>
      </c>
      <c r="IH298" s="13">
        <f>IH297+IG298</f>
        <v>5390945.745770367</v>
      </c>
      <c r="II298">
        <f>IF(IH298=MAX($IH$83:$IH$483),$A298,0)</f>
        <v>0</v>
      </c>
      <c r="IJ298">
        <f>IF(IE298&lt;IF298,$A298,B_MAX+1)</f>
        <v>215</v>
      </c>
      <c r="IK298" s="13">
        <f>IF(IB298=1,$IB$35,$IB$36)</f>
        <v>0</v>
      </c>
      <c r="IL298" s="13">
        <f>OCC_DAYS*$IB$41*R_NF_2023-ID298*MCD_SHARE_FREED*R_WAIT_2023</f>
        <v>151980.48282209205</v>
      </c>
      <c r="IM298">
        <f>IF($A298&lt;=$IB$45,1,0)</f>
        <v>0</v>
      </c>
      <c r="JB298">
        <f>IF($JB$31&lt;=$JB$32,IF($A298&lt;=$JB$7,1,2),IF($A298&lt;=RUNG_BEDS_2,2,1))</f>
        <v>1</v>
      </c>
      <c r="JC298" s="5">
        <f>MIN(1,MAX(0,$JB$26-($A298-1)))</f>
        <v>0</v>
      </c>
      <c r="JD298" s="5">
        <f>$JB$25*(JC298+(1-JC298)*$JB$16)</f>
        <v>0.0</v>
      </c>
      <c r="JE298" s="13">
        <f>JD298*($JB$6+ACUTE_MARGIN)</f>
        <v>0.0</v>
      </c>
      <c r="JF298" s="13">
        <f>IF(JB298=1,$JB$31,$JB$32)</f>
        <v>152394.16214437486</v>
      </c>
      <c r="JG298" s="13">
        <f>JE298-JF298</f>
        <v>-152394.16214437486</v>
      </c>
      <c r="JH298" s="13">
        <f>JH297+JG298</f>
        <v>5464225.767231744</v>
      </c>
      <c r="JI298">
        <f>IF(JH298=MAX($JH$83:$JH$483),$A298,0)</f>
        <v>0</v>
      </c>
      <c r="JJ298">
        <f>IF(JE298&lt;JF298,$A298,B_MAX+1)</f>
        <v>215</v>
      </c>
      <c r="JK298" s="13">
        <f>IF(JB298=1,$JB$35,$JB$36)</f>
        <v>0</v>
      </c>
      <c r="JL298" s="13">
        <f>OCC_DAYS*$JB$41*R_NF_2023-JD298*MCD_SHARE_FREED*R_WAIT_2023</f>
        <v>151980.48282209205</v>
      </c>
      <c r="JM298">
        <f>IF($A298&lt;=$JB$45,1,0)</f>
        <v>0</v>
      </c>
      <c r="KB298">
        <f>IF($KB$31&lt;=$KB$32,IF($A298&lt;=$KB$7,1,2),IF($A298&lt;=RUNG_BEDS_2,2,1))</f>
        <v>1</v>
      </c>
      <c r="KC298" s="5">
        <f>MIN(1,MAX(0,$KB$26-($A298-1)))</f>
        <v>1</v>
      </c>
      <c r="KD298" s="5">
        <f>$KB$25*(KC298+(1-KC298)*$KB$16)</f>
        <v>126.02661357340719</v>
      </c>
      <c r="KE298" s="13">
        <f>KD298*($KB$6+ACUTE_MARGIN)</f>
        <v>127286.87970914126</v>
      </c>
      <c r="KF298" s="13">
        <f>IF(KB298=1,$KB$31,$KB$32)</f>
        <v>152394.16214437486</v>
      </c>
      <c r="KG298" s="13">
        <f>KE298-KF298</f>
        <v>-25107.282435233603</v>
      </c>
      <c r="KH298" s="13">
        <f>KH297+KG298</f>
        <v>-5398065.723575242</v>
      </c>
      <c r="KI298">
        <f>IF(KH298=MAX($KH$83:$KH$483),$A298,0)</f>
        <v>0</v>
      </c>
      <c r="KJ298">
        <f>IF(KE298&lt;KF298,$A298,B_MAX+1)</f>
        <v>215</v>
      </c>
      <c r="KK298" s="13">
        <f>IF(KB298=1,$KB$35,$KB$36)</f>
        <v>0</v>
      </c>
      <c r="KL298" s="13">
        <f>OCC_DAYS*$KB$41*R_NF_2023-KD298*MCD_SHARE_FREED*R_WAIT_2023</f>
        <v>94673.82103225985</v>
      </c>
      <c r="KM298">
        <f>IF($A298&lt;=$KB$45,1,0)</f>
        <v>0</v>
      </c>
      <c r="LB298">
        <f>IF($LB$31&lt;=$LB$32,IF($A298&lt;=$LB$7,1,2),IF($A298&lt;=RUNG_BEDS_2,2,1))</f>
        <v>1</v>
      </c>
      <c r="LC298" s="5">
        <f>MIN(1,MAX(0,$LB$26-($A298-1)))</f>
        <v>1</v>
      </c>
      <c r="LD298" s="5">
        <f>$LB$25*(LC298+(1-LC298)*$LB$16)</f>
        <v>84.01774238227146</v>
      </c>
      <c r="LE298" s="13">
        <f>LD298*($LB$6+ACUTE_MARGIN)</f>
        <v>84857.91980609419</v>
      </c>
      <c r="LF298" s="13">
        <f>IF(LB298=1,$LB$31,$LB$32)</f>
        <v>152394.16214437486</v>
      </c>
      <c r="LG298" s="13">
        <f>LE298-LF298</f>
        <v>-67536.24233828067</v>
      </c>
      <c r="LH298" s="13">
        <f>LH297+LG298</f>
        <v>-14520292.102730412</v>
      </c>
      <c r="LI298">
        <f>IF(LH298=MAX($LH$83:$LH$483),$A298,0)</f>
        <v>0</v>
      </c>
      <c r="LJ298">
        <f>IF(LE298&lt;LF298,$A298,B_MAX+1)</f>
        <v>215</v>
      </c>
      <c r="LK298" s="13">
        <f>IF(LB298=1,$LB$35,$LB$36)</f>
        <v>0</v>
      </c>
      <c r="LL298" s="13">
        <f>OCC_DAYS*$LB$41*R_NF_2023-LD298*MCD_SHARE_FREED*R_WAIT_2023</f>
        <v>113776.04162887059</v>
      </c>
      <c r="LM298">
        <f>IF($A298&lt;=$LB$45,1,0)</f>
        <v>0</v>
      </c>
      <c r="MB298">
        <f>IF($MB$31&lt;=$MB$32,IF($A298&lt;=$MB$7,1,2),IF($A298&lt;=RUNG_BEDS_2,2,1))</f>
        <v>1</v>
      </c>
      <c r="MC298" s="5">
        <f>MIN(1,MAX(0,$MB$26-($A298-1)))</f>
        <v>0</v>
      </c>
      <c r="MD298" s="5">
        <f>$MB$25*(MC298+(1-MC298)*$MB$16)</f>
        <v>0.0</v>
      </c>
      <c r="ME298" s="13">
        <f>MD298*($MB$6+ACUTE_MARGIN)</f>
        <v>0.0</v>
      </c>
      <c r="MF298" s="13">
        <f>IF(MB298=1,$MB$31,$MB$32)</f>
        <v>152394.16214437486</v>
      </c>
      <c r="MG298" s="13">
        <f>ME298-MF298</f>
        <v>-152394.16214437486</v>
      </c>
      <c r="MH298" s="13">
        <f>MH297+MG298</f>
        <v>-423050.29456658865</v>
      </c>
      <c r="MI298">
        <f>IF(MH298=MAX($MH$83:$MH$483),$A298,0)</f>
        <v>0</v>
      </c>
      <c r="MJ298">
        <f>IF(ME298&lt;MF298,$A298,B_MAX+1)</f>
        <v>215</v>
      </c>
      <c r="MK298" s="13">
        <f>IF(MB298=1,$MB$35,$MB$36)</f>
        <v>0</v>
      </c>
      <c r="ML298" s="13">
        <f>OCC_DAYS*$MB$41*R_NF_2023-MD298*MCD_SHARE_FREED*R_WAIT_2023</f>
        <v>151980.48282209205</v>
      </c>
      <c r="MM298">
        <f>IF($A298&lt;=$MB$45,1,0)</f>
        <v>0</v>
      </c>
      <c r="NB298">
        <f>IF($NB$31&lt;=$NB$32,IF($A298&lt;=$NB$7,1,2),IF($A298&lt;=RUNG_BEDS_2,2,1))</f>
        <v>1</v>
      </c>
      <c r="NC298" s="5">
        <f>MIN(1,MAX(0,$NB$26-($A298-1)))</f>
        <v>0</v>
      </c>
      <c r="ND298" s="5">
        <f>$NB$25*(NC298+(1-NC298)*$NB$16)</f>
        <v>63.013306786703595</v>
      </c>
      <c r="NE298" s="13">
        <f>ND298*($NB$6+ACUTE_MARGIN)</f>
        <v>63643.43985457063</v>
      </c>
      <c r="NF298" s="13">
        <f>IF(NB298=1,$NB$31,$NB$32)</f>
        <v>152394.16214437486</v>
      </c>
      <c r="NG298" s="13">
        <f>NE298-NF298</f>
        <v>-88750.72228980422</v>
      </c>
      <c r="NH298" s="13">
        <f>NH297+NG298</f>
        <v>9590322.678896327</v>
      </c>
      <c r="NI298">
        <f>IF(NH298=MAX($NH$83:$NH$483),$A298,0)</f>
        <v>0</v>
      </c>
      <c r="NJ298">
        <f>IF(NE298&lt;NF298,$A298,B_MAX+1)</f>
        <v>215</v>
      </c>
      <c r="NK298" s="13">
        <f>IF(NB298=1,$NB$35,$NB$36)</f>
        <v>0</v>
      </c>
      <c r="NL298" s="13">
        <f>OCC_DAYS*$NB$41*R_NF_2023-ND298*MCD_SHARE_FREED*R_WAIT_2023</f>
        <v>123327.15192717595</v>
      </c>
      <c r="NM298">
        <f>IF($A298&lt;=$NB$45,1,0)</f>
        <v>0</v>
      </c>
      <c r="OB298">
        <f>IF($OB$31&lt;=$OB$32,IF($A298&lt;=$OB$7,1,2),IF($A298&lt;=RUNG_BEDS_2,2,1))</f>
        <v>1</v>
      </c>
      <c r="OC298" s="5">
        <f>MIN(1,MAX(0,$OB$26-($A298-1)))</f>
        <v>0</v>
      </c>
      <c r="OD298" s="5">
        <f>$OB$25*(OC298+(1-OC298)*$OB$16)</f>
        <v>126.02661357340719</v>
      </c>
      <c r="OE298" s="13">
        <f>OD298*($OB$6+ACUTE_MARGIN)</f>
        <v>127286.87970914126</v>
      </c>
      <c r="OF298" s="13">
        <f>IF(OB298=1,$OB$31,$OB$32)</f>
        <v>152394.16214437486</v>
      </c>
      <c r="OG298" s="13">
        <f>OE298-OF298</f>
        <v>-25107.282435233603</v>
      </c>
      <c r="OH298" s="13">
        <f>OH297+OG298</f>
        <v>13716419.590561012</v>
      </c>
      <c r="OI298">
        <f>IF(OH298=MAX($OH$83:$OH$483),$A298,0)</f>
        <v>0</v>
      </c>
      <c r="OJ298">
        <f>IF(OE298&lt;OF298,$A298,B_MAX+1)</f>
        <v>215</v>
      </c>
      <c r="OK298" s="13">
        <f>IF(OB298=1,$OB$35,$OB$36)</f>
        <v>0</v>
      </c>
      <c r="OL298" s="13">
        <f>OCC_DAYS*$OB$41*R_NF_2023-OD298*MCD_SHARE_FREED*R_WAIT_2023</f>
        <v>94673.82103225985</v>
      </c>
      <c r="OM298">
        <f>IF($A298&lt;=$OB$45,1,0)</f>
        <v>0</v>
      </c>
    </row>
    <row r="299">
      <c r="A299" t="n">
        <v>216</v>
      </c>
      <c r="B299">
        <f>IF($B$31&lt;=$B$32,IF($A299&lt;=$B$7,1,2),IF($A299&lt;=RUNG_BEDS_2,2,1))</f>
        <v>1</v>
      </c>
      <c r="C299" s="5">
        <f>MIN(1,MAX(0,$B$26-($A299-1)))</f>
        <v>0</v>
      </c>
      <c r="D299" s="5">
        <f>$B$25*(C299+(1-C299)*$B$16)</f>
        <v>0.0</v>
      </c>
      <c r="E299" s="13">
        <f>D299*($B$6+ACUTE_MARGIN)</f>
        <v>0.0</v>
      </c>
      <c r="F299" s="13">
        <f>IF(B299=1,$B$31,$B$32)</f>
        <v>152394.16214437486</v>
      </c>
      <c r="G299" s="13">
        <f>E299-F299</f>
        <v>-152394.16214437486</v>
      </c>
      <c r="H299" s="13">
        <f>H298+G299</f>
        <v>5311831.605087369</v>
      </c>
      <c r="I299">
        <f>IF(H299=MAX($H$83:$H$483),$A299,0)</f>
        <v>0</v>
      </c>
      <c r="J299">
        <f>IF(E299&lt;F299,$A299,B_MAX+1)</f>
        <v>216</v>
      </c>
      <c r="K299" s="13">
        <f>IF(B299=1,$B$35,$B$36)</f>
        <v>0</v>
      </c>
      <c r="L299" s="13">
        <f>OCC_DAYS*$B$41*R_NF_2023-D299*MCD_SHARE_FREED*R_WAIT_2023</f>
        <v>151980.48282209205</v>
      </c>
      <c r="M299">
        <f>IF($A299&lt;=$B$45,1,0)</f>
        <v>0</v>
      </c>
      <c r="AB299">
        <f>IF($AB$31&lt;=$AB$32,IF($A299&lt;=$AB$7,1,2),IF($A299&lt;=RUNG_BEDS_2,2,1))</f>
        <v>1</v>
      </c>
      <c r="AC299" s="5">
        <f>MIN(1,MAX(0,$AB$26-($A299-1)))</f>
        <v>0</v>
      </c>
      <c r="AD299" s="5">
        <f>$AB$25*(AC299+(1-AC299)*$AB$16)</f>
        <v>0.0</v>
      </c>
      <c r="AE299" s="13">
        <f>AD299*($AB$6+ACUTE_MARGIN)</f>
        <v>0.0</v>
      </c>
      <c r="AF299" s="13">
        <f>IF(AB299=1,$AB$31,$AB$32)</f>
        <v>152394.16214437486</v>
      </c>
      <c r="AG299" s="13">
        <f>AE299-AF299</f>
        <v>-152394.16214437486</v>
      </c>
      <c r="AH299" s="13">
        <f>AH298+AG299</f>
        <v>-12099382.740462443</v>
      </c>
      <c r="AI299">
        <f>IF(AH299=MAX($AH$83:$AH$483),$A299,0)</f>
        <v>0</v>
      </c>
      <c r="AJ299">
        <f>IF(AE299&lt;AF299,$A299,B_MAX+1)</f>
        <v>216</v>
      </c>
      <c r="AK299" s="13">
        <f>IF(AB299=1,$AB$35,$AB$36)</f>
        <v>0</v>
      </c>
      <c r="AL299" s="13">
        <f>OCC_DAYS*$AB$41*R_NF_2023-AD299*MCD_SHARE_FREED*R_WAIT_2023</f>
        <v>151980.48282209205</v>
      </c>
      <c r="AM299">
        <f>IF($A299&lt;=$AB$45,1,0)</f>
        <v>0</v>
      </c>
      <c r="BB299">
        <f>IF($BB$31&lt;=$BB$32,IF($A299&lt;=$BB$7,1,2),IF($A299&lt;=RUNG_BEDS_2,2,1))</f>
        <v>1</v>
      </c>
      <c r="BC299" s="5">
        <f>MIN(1,MAX(0,$BB$26-($A299-1)))</f>
        <v>0</v>
      </c>
      <c r="BD299" s="5">
        <f>$BB$25*(BC299+(1-BC299)*$BB$16)</f>
        <v>0.0</v>
      </c>
      <c r="BE299" s="13">
        <f>BD299*($BB$6+ACUTE_MARGIN)</f>
        <v>0.0</v>
      </c>
      <c r="BF299" s="13">
        <f>IF(BB299=1,$BB$31,$BB$32)</f>
        <v>152394.16214437486</v>
      </c>
      <c r="BG299" s="13">
        <f>BE299-BF299</f>
        <v>-152394.16214437486</v>
      </c>
      <c r="BH299" s="13">
        <f>BH298+BG299</f>
        <v>22723045.95063705</v>
      </c>
      <c r="BI299">
        <f>IF(BH299=MAX($BH$83:$BH$483),$A299,0)</f>
        <v>0</v>
      </c>
      <c r="BJ299">
        <f>IF(BE299&lt;BF299,$A299,B_MAX+1)</f>
        <v>216</v>
      </c>
      <c r="BK299" s="13">
        <f>IF(BB299=1,$BB$35,$BB$36)</f>
        <v>0</v>
      </c>
      <c r="BL299" s="13">
        <f>OCC_DAYS*$BB$41*R_NF_2023-BD299*MCD_SHARE_FREED*R_WAIT_2023</f>
        <v>151980.48282209205</v>
      </c>
      <c r="BM299">
        <f>IF($A299&lt;=$BB$45,1,0)</f>
        <v>0</v>
      </c>
      <c r="CB299">
        <f>IF($CB$31&lt;=$CB$32,IF($A299&lt;=$CB$7,1,2),IF($A299&lt;=RUNG_BEDS_2,2,1))</f>
        <v>2</v>
      </c>
      <c r="CC299" s="5">
        <f>MIN(1,MAX(0,$CB$26-($A299-1)))</f>
        <v>0</v>
      </c>
      <c r="CD299" s="5">
        <f>$CB$25*(CC299+(1-CC299)*$CB$16)</f>
        <v>0.0</v>
      </c>
      <c r="CE299" s="13">
        <f>CD299*($CB$6+ACUTE_MARGIN)</f>
        <v>0.0</v>
      </c>
      <c r="CF299" s="13">
        <f>IF(CB299=1,$CB$31,$CB$32)</f>
        <v>160718.36940738867</v>
      </c>
      <c r="CG299" s="13">
        <f>CE299-CF299</f>
        <v>-160718.36940738867</v>
      </c>
      <c r="CH299" s="13">
        <f>CH298+CG299</f>
        <v>3513802.836276269</v>
      </c>
      <c r="CI299">
        <f>IF(CH299=MAX($CH$83:$CH$483),$A299,0)</f>
        <v>0</v>
      </c>
      <c r="CJ299">
        <f>IF(CE299&lt;CF299,$A299,B_MAX+1)</f>
        <v>216</v>
      </c>
      <c r="CK299" s="13">
        <f>IF(CB299=1,$CB$35,$CB$36)</f>
        <v>1560.1194073886782</v>
      </c>
      <c r="CL299" s="13">
        <f>OCC_DAYS*$CB$41*R_NF_2023-CD299*MCD_SHARE_FREED*R_WAIT_2023</f>
        <v>151980.48282209205</v>
      </c>
      <c r="CM299">
        <f>IF($A299&lt;=$CB$45,1,0)</f>
        <v>0</v>
      </c>
      <c r="DB299">
        <f>IF($DB$31&lt;=$DB$32,IF($A299&lt;=$DB$7,1,2),IF($A299&lt;=RUNG_BEDS_2,2,1))</f>
        <v>1</v>
      </c>
      <c r="DC299" s="5">
        <f>MIN(1,MAX(0,$DB$26-($A299-1)))</f>
        <v>0</v>
      </c>
      <c r="DD299" s="5">
        <f>$DB$25*(DC299+(1-DC299)*$DB$16)</f>
        <v>0.0</v>
      </c>
      <c r="DE299" s="13">
        <f>DD299*($DB$6+ACUTE_MARGIN)</f>
        <v>0.0</v>
      </c>
      <c r="DF299" s="13">
        <f>IF(DB299=1,$DB$31,$DB$32)</f>
        <v>152394.16214437486</v>
      </c>
      <c r="DG299" s="13">
        <f>DE299-DF299</f>
        <v>-152394.16214437486</v>
      </c>
      <c r="DH299" s="13">
        <f>DH298+DG299</f>
        <v>5311831.605087369</v>
      </c>
      <c r="DI299">
        <f>IF(DH299=MAX($DH$83:$DH$483),$A299,0)</f>
        <v>0</v>
      </c>
      <c r="DJ299">
        <f>IF(DE299&lt;DF299,$A299,B_MAX+1)</f>
        <v>216</v>
      </c>
      <c r="DK299" s="13">
        <f>IF(DB299=1,$DB$35,$DB$36)</f>
        <v>0</v>
      </c>
      <c r="DL299" s="13">
        <f>OCC_DAYS*$DB$41*R_NF_2023-DD299*MCD_SHARE_FREED*R_WAIT_2023</f>
        <v>151980.48282209205</v>
      </c>
      <c r="DM299">
        <f>IF($A299&lt;=$DB$45,1,0)</f>
        <v>0</v>
      </c>
      <c r="EB299">
        <f>IF($EB$31&lt;=$EB$32,IF($A299&lt;=$EB$7,1,2),IF($A299&lt;=RUNG_BEDS_2,2,1))</f>
        <v>1</v>
      </c>
      <c r="EC299" s="5">
        <f>MIN(1,MAX(0,$EB$26-($A299-1)))</f>
        <v>0</v>
      </c>
      <c r="ED299" s="5">
        <f>$EB$25*(EC299+(1-EC299)*$EB$16)</f>
        <v>0.0</v>
      </c>
      <c r="EE299" s="13">
        <f>ED299*($EB$6+ACUTE_MARGIN)</f>
        <v>0.0</v>
      </c>
      <c r="EF299" s="13">
        <f>IF(EB299=1,$EB$31,$EB$32)</f>
        <v>152394.16214437486</v>
      </c>
      <c r="EG299" s="13">
        <f>EE299-EF299</f>
        <v>-152394.16214437486</v>
      </c>
      <c r="EH299" s="13">
        <f>EH298+EG299</f>
        <v>5311831.605087369</v>
      </c>
      <c r="EI299">
        <f>IF(EH299=MAX($EH$83:$EH$483),$A299,0)</f>
        <v>0</v>
      </c>
      <c r="EJ299">
        <f>IF(EE299&lt;EF299,$A299,B_MAX+1)</f>
        <v>216</v>
      </c>
      <c r="EK299" s="13">
        <f>IF(EB299=1,$EB$35,$EB$36)</f>
        <v>0</v>
      </c>
      <c r="EL299" s="13">
        <f>OCC_DAYS*$EB$41*R_NF_2023-ED299*MCD_SHARE_FREED*R_WAIT_2023</f>
        <v>50660.16094069735</v>
      </c>
      <c r="EM299">
        <f>IF($A299&lt;=$EB$45,1,0)</f>
        <v>0</v>
      </c>
      <c r="FB299">
        <f>IF($FB$31&lt;=$FB$32,IF($A299&lt;=$FB$7,1,2),IF($A299&lt;=RUNG_BEDS_2,2,1))</f>
        <v>1</v>
      </c>
      <c r="FC299" s="5">
        <f>MIN(1,MAX(0,$FB$26-($A299-1)))</f>
        <v>0</v>
      </c>
      <c r="FD299" s="5">
        <f>$FB$25*(FC299+(1-FC299)*$FB$16)</f>
        <v>0.0</v>
      </c>
      <c r="FE299" s="13">
        <f>FD299*($FB$6+ACUTE_MARGIN)</f>
        <v>0.0</v>
      </c>
      <c r="FF299" s="13">
        <f>IF(FB299=1,$FB$31,$FB$32)</f>
        <v>156636.04979437485</v>
      </c>
      <c r="FG299" s="13">
        <f>FE299-FF299</f>
        <v>-156636.04979437485</v>
      </c>
      <c r="FH299" s="13">
        <f>FH298+FG299</f>
        <v>4395583.872687254</v>
      </c>
      <c r="FI299">
        <f>IF(FH299=MAX($FH$83:$FH$483),$A299,0)</f>
        <v>0</v>
      </c>
      <c r="FJ299">
        <f>IF(FE299&lt;FF299,$A299,B_MAX+1)</f>
        <v>216</v>
      </c>
      <c r="FK299" s="13">
        <f>IF(FB299=1,$FB$35,$FB$36)</f>
        <v>0</v>
      </c>
      <c r="FL299" s="13">
        <f>OCC_DAYS*$FB$41*R_NF_2023-FD299*MCD_SHARE_FREED*R_WAIT_2023</f>
        <v>151980.48282209205</v>
      </c>
      <c r="FM299">
        <f>IF($A299&lt;=$FB$45,1,0)</f>
        <v>0</v>
      </c>
      <c r="GB299">
        <f>IF($GB$31&lt;=$GB$32,IF($A299&lt;=$GB$7,1,2),IF($A299&lt;=RUNG_BEDS_2,2,1))</f>
        <v>1</v>
      </c>
      <c r="GC299" s="5">
        <f>MIN(1,MAX(0,$GB$26-($A299-1)))</f>
        <v>0</v>
      </c>
      <c r="GD299" s="5">
        <f>$GB$25*(GC299+(1-GC299)*$GB$16)</f>
        <v>0.0</v>
      </c>
      <c r="GE299" s="13">
        <f>GD299*($GB$6+ACUTE_MARGIN)</f>
        <v>0.0</v>
      </c>
      <c r="GF299" s="13">
        <f>IF(GB299=1,$GB$31,$GB$32)</f>
        <v>152394.16214437486</v>
      </c>
      <c r="GG299" s="13">
        <f>GE299-GF299</f>
        <v>-152394.16214437486</v>
      </c>
      <c r="GH299" s="13">
        <f>GH298+GG299</f>
        <v>5311831.605087369</v>
      </c>
      <c r="GI299">
        <f>IF(GH299=MAX($GH$83:$GH$483),$A299,0)</f>
        <v>0</v>
      </c>
      <c r="GJ299">
        <f>IF(GE299&lt;GF299,$A299,B_MAX+1)</f>
        <v>216</v>
      </c>
      <c r="GK299" s="13">
        <f>IF(GB299=1,$GB$35,$GB$36)</f>
        <v>0</v>
      </c>
      <c r="GL299" s="13">
        <f>OCC_DAYS*$GB$41*R_NF_2023-GD299*MCD_SHARE_FREED*R_WAIT_2023</f>
        <v>151980.48282209205</v>
      </c>
      <c r="GM299">
        <f>IF($A299&lt;=$GB$45,1,0)</f>
        <v>0</v>
      </c>
      <c r="HB299">
        <f>IF($HB$31&lt;=$HB$32,IF($A299&lt;=$HB$7,1,2),IF($A299&lt;=RUNG_BEDS_2,2,1))</f>
        <v>1</v>
      </c>
      <c r="HC299" s="5">
        <f>MIN(1,MAX(0,$HB$26-($A299-1)))</f>
        <v>0</v>
      </c>
      <c r="HD299" s="5">
        <f>$HB$25*(HC299+(1-HC299)*$HB$16)</f>
        <v>0.0</v>
      </c>
      <c r="HE299" s="13">
        <f>HD299*($HB$6+ACUTE_MARGIN)</f>
        <v>0.0</v>
      </c>
      <c r="HF299" s="13">
        <f>IF(HB299=1,$HB$31,$HB$32)</f>
        <v>152456.2970814058</v>
      </c>
      <c r="HG299" s="13">
        <f>HE299-HF299</f>
        <v>-152456.2970814058</v>
      </c>
      <c r="HH299" s="13">
        <f>HH298+HG299</f>
        <v>5298410.458688646</v>
      </c>
      <c r="HI299">
        <f>IF(HH299=MAX($HH$83:$HH$483),$A299,0)</f>
        <v>0</v>
      </c>
      <c r="HJ299">
        <f>IF(HE299&lt;HF299,$A299,B_MAX+1)</f>
        <v>216</v>
      </c>
      <c r="HK299" s="13">
        <f>IF(HB299=1,$HB$35,$HB$36)</f>
        <v>0</v>
      </c>
      <c r="HL299" s="13">
        <f>OCC_DAYS*$HB$41*R_NF_2023-HD299*MCD_SHARE_FREED*R_WAIT_2023</f>
        <v>151980.48282209205</v>
      </c>
      <c r="HM299">
        <f>IF($A299&lt;=$HB$45,1,0)</f>
        <v>0</v>
      </c>
      <c r="IB299">
        <f>IF($IB$31&lt;=$IB$32,IF($A299&lt;=$IB$7,1,2),IF($A299&lt;=RUNG_BEDS_2,2,1))</f>
        <v>1</v>
      </c>
      <c r="IC299" s="5">
        <f>MIN(1,MAX(0,$IB$26-($A299-1)))</f>
        <v>0</v>
      </c>
      <c r="ID299" s="5">
        <f>$IB$25*(IC299+(1-IC299)*$IB$16)</f>
        <v>0.0</v>
      </c>
      <c r="IE299" s="13">
        <f>ID299*($IB$6+ACUTE_MARGIN)</f>
        <v>0.0</v>
      </c>
      <c r="IF299" s="13">
        <f>IF(IB299=1,$IB$31,$IB$32)</f>
        <v>152734.9994534971</v>
      </c>
      <c r="IG299" s="13">
        <f>IE299-IF299</f>
        <v>-152734.9994534971</v>
      </c>
      <c r="IH299" s="13">
        <f>IH298+IG299</f>
        <v>5238210.74631687</v>
      </c>
      <c r="II299">
        <f>IF(IH299=MAX($IH$83:$IH$483),$A299,0)</f>
        <v>0</v>
      </c>
      <c r="IJ299">
        <f>IF(IE299&lt;IF299,$A299,B_MAX+1)</f>
        <v>216</v>
      </c>
      <c r="IK299" s="13">
        <f>IF(IB299=1,$IB$35,$IB$36)</f>
        <v>0</v>
      </c>
      <c r="IL299" s="13">
        <f>OCC_DAYS*$IB$41*R_NF_2023-ID299*MCD_SHARE_FREED*R_WAIT_2023</f>
        <v>151980.48282209205</v>
      </c>
      <c r="IM299">
        <f>IF($A299&lt;=$IB$45,1,0)</f>
        <v>0</v>
      </c>
      <c r="JB299">
        <f>IF($JB$31&lt;=$JB$32,IF($A299&lt;=$JB$7,1,2),IF($A299&lt;=RUNG_BEDS_2,2,1))</f>
        <v>1</v>
      </c>
      <c r="JC299" s="5">
        <f>MIN(1,MAX(0,$JB$26-($A299-1)))</f>
        <v>0</v>
      </c>
      <c r="JD299" s="5">
        <f>$JB$25*(JC299+(1-JC299)*$JB$16)</f>
        <v>0.0</v>
      </c>
      <c r="JE299" s="13">
        <f>JD299*($JB$6+ACUTE_MARGIN)</f>
        <v>0.0</v>
      </c>
      <c r="JF299" s="13">
        <f>IF(JB299=1,$JB$31,$JB$32)</f>
        <v>152394.16214437486</v>
      </c>
      <c r="JG299" s="13">
        <f>JE299-JF299</f>
        <v>-152394.16214437486</v>
      </c>
      <c r="JH299" s="13">
        <f>JH298+JG299</f>
        <v>5311831.605087369</v>
      </c>
      <c r="JI299">
        <f>IF(JH299=MAX($JH$83:$JH$483),$A299,0)</f>
        <v>0</v>
      </c>
      <c r="JJ299">
        <f>IF(JE299&lt;JF299,$A299,B_MAX+1)</f>
        <v>216</v>
      </c>
      <c r="JK299" s="13">
        <f>IF(JB299=1,$JB$35,$JB$36)</f>
        <v>0</v>
      </c>
      <c r="JL299" s="13">
        <f>OCC_DAYS*$JB$41*R_NF_2023-JD299*MCD_SHARE_FREED*R_WAIT_2023</f>
        <v>151980.48282209205</v>
      </c>
      <c r="JM299">
        <f>IF($A299&lt;=$JB$45,1,0)</f>
        <v>0</v>
      </c>
      <c r="KB299">
        <f>IF($KB$31&lt;=$KB$32,IF($A299&lt;=$KB$7,1,2),IF($A299&lt;=RUNG_BEDS_2,2,1))</f>
        <v>1</v>
      </c>
      <c r="KC299" s="5">
        <f>MIN(1,MAX(0,$KB$26-($A299-1)))</f>
        <v>1</v>
      </c>
      <c r="KD299" s="5">
        <f>$KB$25*(KC299+(1-KC299)*$KB$16)</f>
        <v>126.02661357340719</v>
      </c>
      <c r="KE299" s="13">
        <f>KD299*($KB$6+ACUTE_MARGIN)</f>
        <v>127286.87970914126</v>
      </c>
      <c r="KF299" s="13">
        <f>IF(KB299=1,$KB$31,$KB$32)</f>
        <v>152394.16214437486</v>
      </c>
      <c r="KG299" s="13">
        <f>KE299-KF299</f>
        <v>-25107.282435233603</v>
      </c>
      <c r="KH299" s="13">
        <f>KH298+KG299</f>
        <v>-5423173.006010476</v>
      </c>
      <c r="KI299">
        <f>IF(KH299=MAX($KH$83:$KH$483),$A299,0)</f>
        <v>0</v>
      </c>
      <c r="KJ299">
        <f>IF(KE299&lt;KF299,$A299,B_MAX+1)</f>
        <v>216</v>
      </c>
      <c r="KK299" s="13">
        <f>IF(KB299=1,$KB$35,$KB$36)</f>
        <v>0</v>
      </c>
      <c r="KL299" s="13">
        <f>OCC_DAYS*$KB$41*R_NF_2023-KD299*MCD_SHARE_FREED*R_WAIT_2023</f>
        <v>94673.82103225985</v>
      </c>
      <c r="KM299">
        <f>IF($A299&lt;=$KB$45,1,0)</f>
        <v>0</v>
      </c>
      <c r="LB299">
        <f>IF($LB$31&lt;=$LB$32,IF($A299&lt;=$LB$7,1,2),IF($A299&lt;=RUNG_BEDS_2,2,1))</f>
        <v>1</v>
      </c>
      <c r="LC299" s="5">
        <f>MIN(1,MAX(0,$LB$26-($A299-1)))</f>
        <v>1</v>
      </c>
      <c r="LD299" s="5">
        <f>$LB$25*(LC299+(1-LC299)*$LB$16)</f>
        <v>84.01774238227146</v>
      </c>
      <c r="LE299" s="13">
        <f>LD299*($LB$6+ACUTE_MARGIN)</f>
        <v>84857.91980609419</v>
      </c>
      <c r="LF299" s="13">
        <f>IF(LB299=1,$LB$31,$LB$32)</f>
        <v>152394.16214437486</v>
      </c>
      <c r="LG299" s="13">
        <f>LE299-LF299</f>
        <v>-67536.24233828067</v>
      </c>
      <c r="LH299" s="13">
        <f>LH298+LG299</f>
        <v>-14587828.345068693</v>
      </c>
      <c r="LI299">
        <f>IF(LH299=MAX($LH$83:$LH$483),$A299,0)</f>
        <v>0</v>
      </c>
      <c r="LJ299">
        <f>IF(LE299&lt;LF299,$A299,B_MAX+1)</f>
        <v>216</v>
      </c>
      <c r="LK299" s="13">
        <f>IF(LB299=1,$LB$35,$LB$36)</f>
        <v>0</v>
      </c>
      <c r="LL299" s="13">
        <f>OCC_DAYS*$LB$41*R_NF_2023-LD299*MCD_SHARE_FREED*R_WAIT_2023</f>
        <v>113776.04162887059</v>
      </c>
      <c r="LM299">
        <f>IF($A299&lt;=$LB$45,1,0)</f>
        <v>0</v>
      </c>
      <c r="MB299">
        <f>IF($MB$31&lt;=$MB$32,IF($A299&lt;=$MB$7,1,2),IF($A299&lt;=RUNG_BEDS_2,2,1))</f>
        <v>1</v>
      </c>
      <c r="MC299" s="5">
        <f>MIN(1,MAX(0,$MB$26-($A299-1)))</f>
        <v>0</v>
      </c>
      <c r="MD299" s="5">
        <f>$MB$25*(MC299+(1-MC299)*$MB$16)</f>
        <v>0.0</v>
      </c>
      <c r="ME299" s="13">
        <f>MD299*($MB$6+ACUTE_MARGIN)</f>
        <v>0.0</v>
      </c>
      <c r="MF299" s="13">
        <f>IF(MB299=1,$MB$31,$MB$32)</f>
        <v>152394.16214437486</v>
      </c>
      <c r="MG299" s="13">
        <f>ME299-MF299</f>
        <v>-152394.16214437486</v>
      </c>
      <c r="MH299" s="13">
        <f>MH298+MG299</f>
        <v>-575444.4567109635</v>
      </c>
      <c r="MI299">
        <f>IF(MH299=MAX($MH$83:$MH$483),$A299,0)</f>
        <v>0</v>
      </c>
      <c r="MJ299">
        <f>IF(ME299&lt;MF299,$A299,B_MAX+1)</f>
        <v>216</v>
      </c>
      <c r="MK299" s="13">
        <f>IF(MB299=1,$MB$35,$MB$36)</f>
        <v>0</v>
      </c>
      <c r="ML299" s="13">
        <f>OCC_DAYS*$MB$41*R_NF_2023-MD299*MCD_SHARE_FREED*R_WAIT_2023</f>
        <v>151980.48282209205</v>
      </c>
      <c r="MM299">
        <f>IF($A299&lt;=$MB$45,1,0)</f>
        <v>0</v>
      </c>
      <c r="NB299">
        <f>IF($NB$31&lt;=$NB$32,IF($A299&lt;=$NB$7,1,2),IF($A299&lt;=RUNG_BEDS_2,2,1))</f>
        <v>1</v>
      </c>
      <c r="NC299" s="5">
        <f>MIN(1,MAX(0,$NB$26-($A299-1)))</f>
        <v>0</v>
      </c>
      <c r="ND299" s="5">
        <f>$NB$25*(NC299+(1-NC299)*$NB$16)</f>
        <v>63.013306786703595</v>
      </c>
      <c r="NE299" s="13">
        <f>ND299*($NB$6+ACUTE_MARGIN)</f>
        <v>63643.43985457063</v>
      </c>
      <c r="NF299" s="13">
        <f>IF(NB299=1,$NB$31,$NB$32)</f>
        <v>152394.16214437486</v>
      </c>
      <c r="NG299" s="13">
        <f>NE299-NF299</f>
        <v>-88750.72228980422</v>
      </c>
      <c r="NH299" s="13">
        <f>NH298+NG299</f>
        <v>9501571.956606522</v>
      </c>
      <c r="NI299">
        <f>IF(NH299=MAX($NH$83:$NH$483),$A299,0)</f>
        <v>0</v>
      </c>
      <c r="NJ299">
        <f>IF(NE299&lt;NF299,$A299,B_MAX+1)</f>
        <v>216</v>
      </c>
      <c r="NK299" s="13">
        <f>IF(NB299=1,$NB$35,$NB$36)</f>
        <v>0</v>
      </c>
      <c r="NL299" s="13">
        <f>OCC_DAYS*$NB$41*R_NF_2023-ND299*MCD_SHARE_FREED*R_WAIT_2023</f>
        <v>123327.15192717595</v>
      </c>
      <c r="NM299">
        <f>IF($A299&lt;=$NB$45,1,0)</f>
        <v>0</v>
      </c>
      <c r="OB299">
        <f>IF($OB$31&lt;=$OB$32,IF($A299&lt;=$OB$7,1,2),IF($A299&lt;=RUNG_BEDS_2,2,1))</f>
        <v>1</v>
      </c>
      <c r="OC299" s="5">
        <f>MIN(1,MAX(0,$OB$26-($A299-1)))</f>
        <v>0</v>
      </c>
      <c r="OD299" s="5">
        <f>$OB$25*(OC299+(1-OC299)*$OB$16)</f>
        <v>126.02661357340719</v>
      </c>
      <c r="OE299" s="13">
        <f>OD299*($OB$6+ACUTE_MARGIN)</f>
        <v>127286.87970914126</v>
      </c>
      <c r="OF299" s="13">
        <f>IF(OB299=1,$OB$31,$OB$32)</f>
        <v>152394.16214437486</v>
      </c>
      <c r="OG299" s="13">
        <f>OE299-OF299</f>
        <v>-25107.282435233603</v>
      </c>
      <c r="OH299" s="13">
        <f>OH298+OG299</f>
        <v>13691312.308125779</v>
      </c>
      <c r="OI299">
        <f>IF(OH299=MAX($OH$83:$OH$483),$A299,0)</f>
        <v>0</v>
      </c>
      <c r="OJ299">
        <f>IF(OE299&lt;OF299,$A299,B_MAX+1)</f>
        <v>216</v>
      </c>
      <c r="OK299" s="13">
        <f>IF(OB299=1,$OB$35,$OB$36)</f>
        <v>0</v>
      </c>
      <c r="OL299" s="13">
        <f>OCC_DAYS*$OB$41*R_NF_2023-OD299*MCD_SHARE_FREED*R_WAIT_2023</f>
        <v>94673.82103225985</v>
      </c>
      <c r="OM299">
        <f>IF($A299&lt;=$OB$45,1,0)</f>
        <v>0</v>
      </c>
    </row>
    <row r="300">
      <c r="A300" t="n">
        <v>217</v>
      </c>
      <c r="B300">
        <f>IF($B$31&lt;=$B$32,IF($A300&lt;=$B$7,1,2),IF($A300&lt;=RUNG_BEDS_2,2,1))</f>
        <v>1</v>
      </c>
      <c r="C300" s="5">
        <f>MIN(1,MAX(0,$B$26-($A300-1)))</f>
        <v>0</v>
      </c>
      <c r="D300" s="5">
        <f>$B$25*(C300+(1-C300)*$B$16)</f>
        <v>0.0</v>
      </c>
      <c r="E300" s="13">
        <f>D300*($B$6+ACUTE_MARGIN)</f>
        <v>0.0</v>
      </c>
      <c r="F300" s="13">
        <f>IF(B300=1,$B$31,$B$32)</f>
        <v>152394.16214437486</v>
      </c>
      <c r="G300" s="13">
        <f>E300-F300</f>
        <v>-152394.16214437486</v>
      </c>
      <c r="H300" s="13">
        <f>H299+G300</f>
        <v>5159437.442942994</v>
      </c>
      <c r="I300">
        <f>IF(H300=MAX($H$83:$H$483),$A300,0)</f>
        <v>0</v>
      </c>
      <c r="J300">
        <f>IF(E300&lt;F300,$A300,B_MAX+1)</f>
        <v>217</v>
      </c>
      <c r="K300" s="13">
        <f>IF(B300=1,$B$35,$B$36)</f>
        <v>0</v>
      </c>
      <c r="L300" s="13">
        <f>OCC_DAYS*$B$41*R_NF_2023-D300*MCD_SHARE_FREED*R_WAIT_2023</f>
        <v>151980.48282209205</v>
      </c>
      <c r="M300">
        <f>IF($A300&lt;=$B$45,1,0)</f>
        <v>0</v>
      </c>
      <c r="AB300">
        <f>IF($AB$31&lt;=$AB$32,IF($A300&lt;=$AB$7,1,2),IF($A300&lt;=RUNG_BEDS_2,2,1))</f>
        <v>1</v>
      </c>
      <c r="AC300" s="5">
        <f>MIN(1,MAX(0,$AB$26-($A300-1)))</f>
        <v>0</v>
      </c>
      <c r="AD300" s="5">
        <f>$AB$25*(AC300+(1-AC300)*$AB$16)</f>
        <v>0.0</v>
      </c>
      <c r="AE300" s="13">
        <f>AD300*($AB$6+ACUTE_MARGIN)</f>
        <v>0.0</v>
      </c>
      <c r="AF300" s="13">
        <f>IF(AB300=1,$AB$31,$AB$32)</f>
        <v>152394.16214437486</v>
      </c>
      <c r="AG300" s="13">
        <f>AE300-AF300</f>
        <v>-152394.16214437486</v>
      </c>
      <c r="AH300" s="13">
        <f>AH299+AG300</f>
        <v>-12251776.902606817</v>
      </c>
      <c r="AI300">
        <f>IF(AH300=MAX($AH$83:$AH$483),$A300,0)</f>
        <v>0</v>
      </c>
      <c r="AJ300">
        <f>IF(AE300&lt;AF300,$A300,B_MAX+1)</f>
        <v>217</v>
      </c>
      <c r="AK300" s="13">
        <f>IF(AB300=1,$AB$35,$AB$36)</f>
        <v>0</v>
      </c>
      <c r="AL300" s="13">
        <f>OCC_DAYS*$AB$41*R_NF_2023-AD300*MCD_SHARE_FREED*R_WAIT_2023</f>
        <v>151980.48282209205</v>
      </c>
      <c r="AM300">
        <f>IF($A300&lt;=$AB$45,1,0)</f>
        <v>0</v>
      </c>
      <c r="BB300">
        <f>IF($BB$31&lt;=$BB$32,IF($A300&lt;=$BB$7,1,2),IF($A300&lt;=RUNG_BEDS_2,2,1))</f>
        <v>1</v>
      </c>
      <c r="BC300" s="5">
        <f>MIN(1,MAX(0,$BB$26-($A300-1)))</f>
        <v>0</v>
      </c>
      <c r="BD300" s="5">
        <f>$BB$25*(BC300+(1-BC300)*$BB$16)</f>
        <v>0.0</v>
      </c>
      <c r="BE300" s="13">
        <f>BD300*($BB$6+ACUTE_MARGIN)</f>
        <v>0.0</v>
      </c>
      <c r="BF300" s="13">
        <f>IF(BB300=1,$BB$31,$BB$32)</f>
        <v>152394.16214437486</v>
      </c>
      <c r="BG300" s="13">
        <f>BE300-BF300</f>
        <v>-152394.16214437486</v>
      </c>
      <c r="BH300" s="13">
        <f>BH299+BG300</f>
        <v>22570651.788492676</v>
      </c>
      <c r="BI300">
        <f>IF(BH300=MAX($BH$83:$BH$483),$A300,0)</f>
        <v>0</v>
      </c>
      <c r="BJ300">
        <f>IF(BE300&lt;BF300,$A300,B_MAX+1)</f>
        <v>217</v>
      </c>
      <c r="BK300" s="13">
        <f>IF(BB300=1,$BB$35,$BB$36)</f>
        <v>0</v>
      </c>
      <c r="BL300" s="13">
        <f>OCC_DAYS*$BB$41*R_NF_2023-BD300*MCD_SHARE_FREED*R_WAIT_2023</f>
        <v>151980.48282209205</v>
      </c>
      <c r="BM300">
        <f>IF($A300&lt;=$BB$45,1,0)</f>
        <v>0</v>
      </c>
      <c r="CB300">
        <f>IF($CB$31&lt;=$CB$32,IF($A300&lt;=$CB$7,1,2),IF($A300&lt;=RUNG_BEDS_2,2,1))</f>
        <v>2</v>
      </c>
      <c r="CC300" s="5">
        <f>MIN(1,MAX(0,$CB$26-($A300-1)))</f>
        <v>0</v>
      </c>
      <c r="CD300" s="5">
        <f>$CB$25*(CC300+(1-CC300)*$CB$16)</f>
        <v>0.0</v>
      </c>
      <c r="CE300" s="13">
        <f>CD300*($CB$6+ACUTE_MARGIN)</f>
        <v>0.0</v>
      </c>
      <c r="CF300" s="13">
        <f>IF(CB300=1,$CB$31,$CB$32)</f>
        <v>160718.36940738867</v>
      </c>
      <c r="CG300" s="13">
        <f>CE300-CF300</f>
        <v>-160718.36940738867</v>
      </c>
      <c r="CH300" s="13">
        <f>CH299+CG300</f>
        <v>3353084.46686888</v>
      </c>
      <c r="CI300">
        <f>IF(CH300=MAX($CH$83:$CH$483),$A300,0)</f>
        <v>0</v>
      </c>
      <c r="CJ300">
        <f>IF(CE300&lt;CF300,$A300,B_MAX+1)</f>
        <v>217</v>
      </c>
      <c r="CK300" s="13">
        <f>IF(CB300=1,$CB$35,$CB$36)</f>
        <v>1560.1194073886782</v>
      </c>
      <c r="CL300" s="13">
        <f>OCC_DAYS*$CB$41*R_NF_2023-CD300*MCD_SHARE_FREED*R_WAIT_2023</f>
        <v>151980.48282209205</v>
      </c>
      <c r="CM300">
        <f>IF($A300&lt;=$CB$45,1,0)</f>
        <v>0</v>
      </c>
      <c r="DB300">
        <f>IF($DB$31&lt;=$DB$32,IF($A300&lt;=$DB$7,1,2),IF($A300&lt;=RUNG_BEDS_2,2,1))</f>
        <v>1</v>
      </c>
      <c r="DC300" s="5">
        <f>MIN(1,MAX(0,$DB$26-($A300-1)))</f>
        <v>0</v>
      </c>
      <c r="DD300" s="5">
        <f>$DB$25*(DC300+(1-DC300)*$DB$16)</f>
        <v>0.0</v>
      </c>
      <c r="DE300" s="13">
        <f>DD300*($DB$6+ACUTE_MARGIN)</f>
        <v>0.0</v>
      </c>
      <c r="DF300" s="13">
        <f>IF(DB300=1,$DB$31,$DB$32)</f>
        <v>152394.16214437486</v>
      </c>
      <c r="DG300" s="13">
        <f>DE300-DF300</f>
        <v>-152394.16214437486</v>
      </c>
      <c r="DH300" s="13">
        <f>DH299+DG300</f>
        <v>5159437.442942994</v>
      </c>
      <c r="DI300">
        <f>IF(DH300=MAX($DH$83:$DH$483),$A300,0)</f>
        <v>0</v>
      </c>
      <c r="DJ300">
        <f>IF(DE300&lt;DF300,$A300,B_MAX+1)</f>
        <v>217</v>
      </c>
      <c r="DK300" s="13">
        <f>IF(DB300=1,$DB$35,$DB$36)</f>
        <v>0</v>
      </c>
      <c r="DL300" s="13">
        <f>OCC_DAYS*$DB$41*R_NF_2023-DD300*MCD_SHARE_FREED*R_WAIT_2023</f>
        <v>151980.48282209205</v>
      </c>
      <c r="DM300">
        <f>IF($A300&lt;=$DB$45,1,0)</f>
        <v>0</v>
      </c>
      <c r="EB300">
        <f>IF($EB$31&lt;=$EB$32,IF($A300&lt;=$EB$7,1,2),IF($A300&lt;=RUNG_BEDS_2,2,1))</f>
        <v>1</v>
      </c>
      <c r="EC300" s="5">
        <f>MIN(1,MAX(0,$EB$26-($A300-1)))</f>
        <v>0</v>
      </c>
      <c r="ED300" s="5">
        <f>$EB$25*(EC300+(1-EC300)*$EB$16)</f>
        <v>0.0</v>
      </c>
      <c r="EE300" s="13">
        <f>ED300*($EB$6+ACUTE_MARGIN)</f>
        <v>0.0</v>
      </c>
      <c r="EF300" s="13">
        <f>IF(EB300=1,$EB$31,$EB$32)</f>
        <v>152394.16214437486</v>
      </c>
      <c r="EG300" s="13">
        <f>EE300-EF300</f>
        <v>-152394.16214437486</v>
      </c>
      <c r="EH300" s="13">
        <f>EH299+EG300</f>
        <v>5159437.442942994</v>
      </c>
      <c r="EI300">
        <f>IF(EH300=MAX($EH$83:$EH$483),$A300,0)</f>
        <v>0</v>
      </c>
      <c r="EJ300">
        <f>IF(EE300&lt;EF300,$A300,B_MAX+1)</f>
        <v>217</v>
      </c>
      <c r="EK300" s="13">
        <f>IF(EB300=1,$EB$35,$EB$36)</f>
        <v>0</v>
      </c>
      <c r="EL300" s="13">
        <f>OCC_DAYS*$EB$41*R_NF_2023-ED300*MCD_SHARE_FREED*R_WAIT_2023</f>
        <v>50660.16094069735</v>
      </c>
      <c r="EM300">
        <f>IF($A300&lt;=$EB$45,1,0)</f>
        <v>0</v>
      </c>
      <c r="FB300">
        <f>IF($FB$31&lt;=$FB$32,IF($A300&lt;=$FB$7,1,2),IF($A300&lt;=RUNG_BEDS_2,2,1))</f>
        <v>1</v>
      </c>
      <c r="FC300" s="5">
        <f>MIN(1,MAX(0,$FB$26-($A300-1)))</f>
        <v>0</v>
      </c>
      <c r="FD300" s="5">
        <f>$FB$25*(FC300+(1-FC300)*$FB$16)</f>
        <v>0.0</v>
      </c>
      <c r="FE300" s="13">
        <f>FD300*($FB$6+ACUTE_MARGIN)</f>
        <v>0.0</v>
      </c>
      <c r="FF300" s="13">
        <f>IF(FB300=1,$FB$31,$FB$32)</f>
        <v>156636.04979437485</v>
      </c>
      <c r="FG300" s="13">
        <f>FE300-FF300</f>
        <v>-156636.04979437485</v>
      </c>
      <c r="FH300" s="13">
        <f>FH299+FG300</f>
        <v>4238947.822892879</v>
      </c>
      <c r="FI300">
        <f>IF(FH300=MAX($FH$83:$FH$483),$A300,0)</f>
        <v>0</v>
      </c>
      <c r="FJ300">
        <f>IF(FE300&lt;FF300,$A300,B_MAX+1)</f>
        <v>217</v>
      </c>
      <c r="FK300" s="13">
        <f>IF(FB300=1,$FB$35,$FB$36)</f>
        <v>0</v>
      </c>
      <c r="FL300" s="13">
        <f>OCC_DAYS*$FB$41*R_NF_2023-FD300*MCD_SHARE_FREED*R_WAIT_2023</f>
        <v>151980.48282209205</v>
      </c>
      <c r="FM300">
        <f>IF($A300&lt;=$FB$45,1,0)</f>
        <v>0</v>
      </c>
      <c r="GB300">
        <f>IF($GB$31&lt;=$GB$32,IF($A300&lt;=$GB$7,1,2),IF($A300&lt;=RUNG_BEDS_2,2,1))</f>
        <v>1</v>
      </c>
      <c r="GC300" s="5">
        <f>MIN(1,MAX(0,$GB$26-($A300-1)))</f>
        <v>0</v>
      </c>
      <c r="GD300" s="5">
        <f>$GB$25*(GC300+(1-GC300)*$GB$16)</f>
        <v>0.0</v>
      </c>
      <c r="GE300" s="13">
        <f>GD300*($GB$6+ACUTE_MARGIN)</f>
        <v>0.0</v>
      </c>
      <c r="GF300" s="13">
        <f>IF(GB300=1,$GB$31,$GB$32)</f>
        <v>152394.16214437486</v>
      </c>
      <c r="GG300" s="13">
        <f>GE300-GF300</f>
        <v>-152394.16214437486</v>
      </c>
      <c r="GH300" s="13">
        <f>GH299+GG300</f>
        <v>5159437.442942994</v>
      </c>
      <c r="GI300">
        <f>IF(GH300=MAX($GH$83:$GH$483),$A300,0)</f>
        <v>0</v>
      </c>
      <c r="GJ300">
        <f>IF(GE300&lt;GF300,$A300,B_MAX+1)</f>
        <v>217</v>
      </c>
      <c r="GK300" s="13">
        <f>IF(GB300=1,$GB$35,$GB$36)</f>
        <v>0</v>
      </c>
      <c r="GL300" s="13">
        <f>OCC_DAYS*$GB$41*R_NF_2023-GD300*MCD_SHARE_FREED*R_WAIT_2023</f>
        <v>151980.48282209205</v>
      </c>
      <c r="GM300">
        <f>IF($A300&lt;=$GB$45,1,0)</f>
        <v>0</v>
      </c>
      <c r="HB300">
        <f>IF($HB$31&lt;=$HB$32,IF($A300&lt;=$HB$7,1,2),IF($A300&lt;=RUNG_BEDS_2,2,1))</f>
        <v>1</v>
      </c>
      <c r="HC300" s="5">
        <f>MIN(1,MAX(0,$HB$26-($A300-1)))</f>
        <v>0</v>
      </c>
      <c r="HD300" s="5">
        <f>$HB$25*(HC300+(1-HC300)*$HB$16)</f>
        <v>0.0</v>
      </c>
      <c r="HE300" s="13">
        <f>HD300*($HB$6+ACUTE_MARGIN)</f>
        <v>0.0</v>
      </c>
      <c r="HF300" s="13">
        <f>IF(HB300=1,$HB$31,$HB$32)</f>
        <v>152456.2970814058</v>
      </c>
      <c r="HG300" s="13">
        <f>HE300-HF300</f>
        <v>-152456.2970814058</v>
      </c>
      <c r="HH300" s="13">
        <f>HH299+HG300</f>
        <v>5145954.161607239</v>
      </c>
      <c r="HI300">
        <f>IF(HH300=MAX($HH$83:$HH$483),$A300,0)</f>
        <v>0</v>
      </c>
      <c r="HJ300">
        <f>IF(HE300&lt;HF300,$A300,B_MAX+1)</f>
        <v>217</v>
      </c>
      <c r="HK300" s="13">
        <f>IF(HB300=1,$HB$35,$HB$36)</f>
        <v>0</v>
      </c>
      <c r="HL300" s="13">
        <f>OCC_DAYS*$HB$41*R_NF_2023-HD300*MCD_SHARE_FREED*R_WAIT_2023</f>
        <v>151980.48282209205</v>
      </c>
      <c r="HM300">
        <f>IF($A300&lt;=$HB$45,1,0)</f>
        <v>0</v>
      </c>
      <c r="IB300">
        <f>IF($IB$31&lt;=$IB$32,IF($A300&lt;=$IB$7,1,2),IF($A300&lt;=RUNG_BEDS_2,2,1))</f>
        <v>1</v>
      </c>
      <c r="IC300" s="5">
        <f>MIN(1,MAX(0,$IB$26-($A300-1)))</f>
        <v>0</v>
      </c>
      <c r="ID300" s="5">
        <f>$IB$25*(IC300+(1-IC300)*$IB$16)</f>
        <v>0.0</v>
      </c>
      <c r="IE300" s="13">
        <f>ID300*($IB$6+ACUTE_MARGIN)</f>
        <v>0.0</v>
      </c>
      <c r="IF300" s="13">
        <f>IF(IB300=1,$IB$31,$IB$32)</f>
        <v>152734.9994534971</v>
      </c>
      <c r="IG300" s="13">
        <f>IE300-IF300</f>
        <v>-152734.9994534971</v>
      </c>
      <c r="IH300" s="13">
        <f>IH299+IG300</f>
        <v>5085475.746863373</v>
      </c>
      <c r="II300">
        <f>IF(IH300=MAX($IH$83:$IH$483),$A300,0)</f>
        <v>0</v>
      </c>
      <c r="IJ300">
        <f>IF(IE300&lt;IF300,$A300,B_MAX+1)</f>
        <v>217</v>
      </c>
      <c r="IK300" s="13">
        <f>IF(IB300=1,$IB$35,$IB$36)</f>
        <v>0</v>
      </c>
      <c r="IL300" s="13">
        <f>OCC_DAYS*$IB$41*R_NF_2023-ID300*MCD_SHARE_FREED*R_WAIT_2023</f>
        <v>151980.48282209205</v>
      </c>
      <c r="IM300">
        <f>IF($A300&lt;=$IB$45,1,0)</f>
        <v>0</v>
      </c>
      <c r="JB300">
        <f>IF($JB$31&lt;=$JB$32,IF($A300&lt;=$JB$7,1,2),IF($A300&lt;=RUNG_BEDS_2,2,1))</f>
        <v>1</v>
      </c>
      <c r="JC300" s="5">
        <f>MIN(1,MAX(0,$JB$26-($A300-1)))</f>
        <v>0</v>
      </c>
      <c r="JD300" s="5">
        <f>$JB$25*(JC300+(1-JC300)*$JB$16)</f>
        <v>0.0</v>
      </c>
      <c r="JE300" s="13">
        <f>JD300*($JB$6+ACUTE_MARGIN)</f>
        <v>0.0</v>
      </c>
      <c r="JF300" s="13">
        <f>IF(JB300=1,$JB$31,$JB$32)</f>
        <v>152394.16214437486</v>
      </c>
      <c r="JG300" s="13">
        <f>JE300-JF300</f>
        <v>-152394.16214437486</v>
      </c>
      <c r="JH300" s="13">
        <f>JH299+JG300</f>
        <v>5159437.442942994</v>
      </c>
      <c r="JI300">
        <f>IF(JH300=MAX($JH$83:$JH$483),$A300,0)</f>
        <v>0</v>
      </c>
      <c r="JJ300">
        <f>IF(JE300&lt;JF300,$A300,B_MAX+1)</f>
        <v>217</v>
      </c>
      <c r="JK300" s="13">
        <f>IF(JB300=1,$JB$35,$JB$36)</f>
        <v>0</v>
      </c>
      <c r="JL300" s="13">
        <f>OCC_DAYS*$JB$41*R_NF_2023-JD300*MCD_SHARE_FREED*R_WAIT_2023</f>
        <v>151980.48282209205</v>
      </c>
      <c r="JM300">
        <f>IF($A300&lt;=$JB$45,1,0)</f>
        <v>0</v>
      </c>
      <c r="KB300">
        <f>IF($KB$31&lt;=$KB$32,IF($A300&lt;=$KB$7,1,2),IF($A300&lt;=RUNG_BEDS_2,2,1))</f>
        <v>1</v>
      </c>
      <c r="KC300" s="5">
        <f>MIN(1,MAX(0,$KB$26-($A300-1)))</f>
        <v>1</v>
      </c>
      <c r="KD300" s="5">
        <f>$KB$25*(KC300+(1-KC300)*$KB$16)</f>
        <v>126.02661357340719</v>
      </c>
      <c r="KE300" s="13">
        <f>KD300*($KB$6+ACUTE_MARGIN)</f>
        <v>127286.87970914126</v>
      </c>
      <c r="KF300" s="13">
        <f>IF(KB300=1,$KB$31,$KB$32)</f>
        <v>152394.16214437486</v>
      </c>
      <c r="KG300" s="13">
        <f>KE300-KF300</f>
        <v>-25107.282435233603</v>
      </c>
      <c r="KH300" s="13">
        <f>KH299+KG300</f>
        <v>-5448280.288445709</v>
      </c>
      <c r="KI300">
        <f>IF(KH300=MAX($KH$83:$KH$483),$A300,0)</f>
        <v>0</v>
      </c>
      <c r="KJ300">
        <f>IF(KE300&lt;KF300,$A300,B_MAX+1)</f>
        <v>217</v>
      </c>
      <c r="KK300" s="13">
        <f>IF(KB300=1,$KB$35,$KB$36)</f>
        <v>0</v>
      </c>
      <c r="KL300" s="13">
        <f>OCC_DAYS*$KB$41*R_NF_2023-KD300*MCD_SHARE_FREED*R_WAIT_2023</f>
        <v>94673.82103225985</v>
      </c>
      <c r="KM300">
        <f>IF($A300&lt;=$KB$45,1,0)</f>
        <v>0</v>
      </c>
      <c r="LB300">
        <f>IF($LB$31&lt;=$LB$32,IF($A300&lt;=$LB$7,1,2),IF($A300&lt;=RUNG_BEDS_2,2,1))</f>
        <v>1</v>
      </c>
      <c r="LC300" s="5">
        <f>MIN(1,MAX(0,$LB$26-($A300-1)))</f>
        <v>1</v>
      </c>
      <c r="LD300" s="5">
        <f>$LB$25*(LC300+(1-LC300)*$LB$16)</f>
        <v>84.01774238227146</v>
      </c>
      <c r="LE300" s="13">
        <f>LD300*($LB$6+ACUTE_MARGIN)</f>
        <v>84857.91980609419</v>
      </c>
      <c r="LF300" s="13">
        <f>IF(LB300=1,$LB$31,$LB$32)</f>
        <v>152394.16214437486</v>
      </c>
      <c r="LG300" s="13">
        <f>LE300-LF300</f>
        <v>-67536.24233828067</v>
      </c>
      <c r="LH300" s="13">
        <f>LH299+LG300</f>
        <v>-14655364.587406974</v>
      </c>
      <c r="LI300">
        <f>IF(LH300=MAX($LH$83:$LH$483),$A300,0)</f>
        <v>0</v>
      </c>
      <c r="LJ300">
        <f>IF(LE300&lt;LF300,$A300,B_MAX+1)</f>
        <v>217</v>
      </c>
      <c r="LK300" s="13">
        <f>IF(LB300=1,$LB$35,$LB$36)</f>
        <v>0</v>
      </c>
      <c r="LL300" s="13">
        <f>OCC_DAYS*$LB$41*R_NF_2023-LD300*MCD_SHARE_FREED*R_WAIT_2023</f>
        <v>113776.04162887059</v>
      </c>
      <c r="LM300">
        <f>IF($A300&lt;=$LB$45,1,0)</f>
        <v>0</v>
      </c>
      <c r="MB300">
        <f>IF($MB$31&lt;=$MB$32,IF($A300&lt;=$MB$7,1,2),IF($A300&lt;=RUNG_BEDS_2,2,1))</f>
        <v>1</v>
      </c>
      <c r="MC300" s="5">
        <f>MIN(1,MAX(0,$MB$26-($A300-1)))</f>
        <v>0</v>
      </c>
      <c r="MD300" s="5">
        <f>$MB$25*(MC300+(1-MC300)*$MB$16)</f>
        <v>0.0</v>
      </c>
      <c r="ME300" s="13">
        <f>MD300*($MB$6+ACUTE_MARGIN)</f>
        <v>0.0</v>
      </c>
      <c r="MF300" s="13">
        <f>IF(MB300=1,$MB$31,$MB$32)</f>
        <v>152394.16214437486</v>
      </c>
      <c r="MG300" s="13">
        <f>ME300-MF300</f>
        <v>-152394.16214437486</v>
      </c>
      <c r="MH300" s="13">
        <f>MH299+MG300</f>
        <v>-727838.6188553383</v>
      </c>
      <c r="MI300">
        <f>IF(MH300=MAX($MH$83:$MH$483),$A300,0)</f>
        <v>0</v>
      </c>
      <c r="MJ300">
        <f>IF(ME300&lt;MF300,$A300,B_MAX+1)</f>
        <v>217</v>
      </c>
      <c r="MK300" s="13">
        <f>IF(MB300=1,$MB$35,$MB$36)</f>
        <v>0</v>
      </c>
      <c r="ML300" s="13">
        <f>OCC_DAYS*$MB$41*R_NF_2023-MD300*MCD_SHARE_FREED*R_WAIT_2023</f>
        <v>151980.48282209205</v>
      </c>
      <c r="MM300">
        <f>IF($A300&lt;=$MB$45,1,0)</f>
        <v>0</v>
      </c>
      <c r="NB300">
        <f>IF($NB$31&lt;=$NB$32,IF($A300&lt;=$NB$7,1,2),IF($A300&lt;=RUNG_BEDS_2,2,1))</f>
        <v>1</v>
      </c>
      <c r="NC300" s="5">
        <f>MIN(1,MAX(0,$NB$26-($A300-1)))</f>
        <v>0</v>
      </c>
      <c r="ND300" s="5">
        <f>$NB$25*(NC300+(1-NC300)*$NB$16)</f>
        <v>63.013306786703595</v>
      </c>
      <c r="NE300" s="13">
        <f>ND300*($NB$6+ACUTE_MARGIN)</f>
        <v>63643.43985457063</v>
      </c>
      <c r="NF300" s="13">
        <f>IF(NB300=1,$NB$31,$NB$32)</f>
        <v>152394.16214437486</v>
      </c>
      <c r="NG300" s="13">
        <f>NE300-NF300</f>
        <v>-88750.72228980422</v>
      </c>
      <c r="NH300" s="13">
        <f>NH299+NG300</f>
        <v>9412821.234316718</v>
      </c>
      <c r="NI300">
        <f>IF(NH300=MAX($NH$83:$NH$483),$A300,0)</f>
        <v>0</v>
      </c>
      <c r="NJ300">
        <f>IF(NE300&lt;NF300,$A300,B_MAX+1)</f>
        <v>217</v>
      </c>
      <c r="NK300" s="13">
        <f>IF(NB300=1,$NB$35,$NB$36)</f>
        <v>0</v>
      </c>
      <c r="NL300" s="13">
        <f>OCC_DAYS*$NB$41*R_NF_2023-ND300*MCD_SHARE_FREED*R_WAIT_2023</f>
        <v>123327.15192717595</v>
      </c>
      <c r="NM300">
        <f>IF($A300&lt;=$NB$45,1,0)</f>
        <v>0</v>
      </c>
      <c r="OB300">
        <f>IF($OB$31&lt;=$OB$32,IF($A300&lt;=$OB$7,1,2),IF($A300&lt;=RUNG_BEDS_2,2,1))</f>
        <v>1</v>
      </c>
      <c r="OC300" s="5">
        <f>MIN(1,MAX(0,$OB$26-($A300-1)))</f>
        <v>0</v>
      </c>
      <c r="OD300" s="5">
        <f>$OB$25*(OC300+(1-OC300)*$OB$16)</f>
        <v>126.02661357340719</v>
      </c>
      <c r="OE300" s="13">
        <f>OD300*($OB$6+ACUTE_MARGIN)</f>
        <v>127286.87970914126</v>
      </c>
      <c r="OF300" s="13">
        <f>IF(OB300=1,$OB$31,$OB$32)</f>
        <v>152394.16214437486</v>
      </c>
      <c r="OG300" s="13">
        <f>OE300-OF300</f>
        <v>-25107.282435233603</v>
      </c>
      <c r="OH300" s="13">
        <f>OH299+OG300</f>
        <v>13666205.025690546</v>
      </c>
      <c r="OI300">
        <f>IF(OH300=MAX($OH$83:$OH$483),$A300,0)</f>
        <v>0</v>
      </c>
      <c r="OJ300">
        <f>IF(OE300&lt;OF300,$A300,B_MAX+1)</f>
        <v>217</v>
      </c>
      <c r="OK300" s="13">
        <f>IF(OB300=1,$OB$35,$OB$36)</f>
        <v>0</v>
      </c>
      <c r="OL300" s="13">
        <f>OCC_DAYS*$OB$41*R_NF_2023-OD300*MCD_SHARE_FREED*R_WAIT_2023</f>
        <v>94673.82103225985</v>
      </c>
      <c r="OM300">
        <f>IF($A300&lt;=$OB$45,1,0)</f>
        <v>0</v>
      </c>
    </row>
    <row r="301">
      <c r="A301" t="n">
        <v>218</v>
      </c>
      <c r="B301">
        <f>IF($B$31&lt;=$B$32,IF($A301&lt;=$B$7,1,2),IF($A301&lt;=RUNG_BEDS_2,2,1))</f>
        <v>1</v>
      </c>
      <c r="C301" s="5">
        <f>MIN(1,MAX(0,$B$26-($A301-1)))</f>
        <v>0</v>
      </c>
      <c r="D301" s="5">
        <f>$B$25*(C301+(1-C301)*$B$16)</f>
        <v>0.0</v>
      </c>
      <c r="E301" s="13">
        <f>D301*($B$6+ACUTE_MARGIN)</f>
        <v>0.0</v>
      </c>
      <c r="F301" s="13">
        <f>IF(B301=1,$B$31,$B$32)</f>
        <v>152394.16214437486</v>
      </c>
      <c r="G301" s="13">
        <f>E301-F301</f>
        <v>-152394.16214437486</v>
      </c>
      <c r="H301" s="13">
        <f>H300+G301</f>
        <v>5007043.280798619</v>
      </c>
      <c r="I301">
        <f>IF(H301=MAX($H$83:$H$483),$A301,0)</f>
        <v>0</v>
      </c>
      <c r="J301">
        <f>IF(E301&lt;F301,$A301,B_MAX+1)</f>
        <v>218</v>
      </c>
      <c r="K301" s="13">
        <f>IF(B301=1,$B$35,$B$36)</f>
        <v>0</v>
      </c>
      <c r="L301" s="13">
        <f>OCC_DAYS*$B$41*R_NF_2023-D301*MCD_SHARE_FREED*R_WAIT_2023</f>
        <v>151980.48282209205</v>
      </c>
      <c r="M301">
        <f>IF($A301&lt;=$B$45,1,0)</f>
        <v>0</v>
      </c>
      <c r="AB301">
        <f>IF($AB$31&lt;=$AB$32,IF($A301&lt;=$AB$7,1,2),IF($A301&lt;=RUNG_BEDS_2,2,1))</f>
        <v>1</v>
      </c>
      <c r="AC301" s="5">
        <f>MIN(1,MAX(0,$AB$26-($A301-1)))</f>
        <v>0</v>
      </c>
      <c r="AD301" s="5">
        <f>$AB$25*(AC301+(1-AC301)*$AB$16)</f>
        <v>0.0</v>
      </c>
      <c r="AE301" s="13">
        <f>AD301*($AB$6+ACUTE_MARGIN)</f>
        <v>0.0</v>
      </c>
      <c r="AF301" s="13">
        <f>IF(AB301=1,$AB$31,$AB$32)</f>
        <v>152394.16214437486</v>
      </c>
      <c r="AG301" s="13">
        <f>AE301-AF301</f>
        <v>-152394.16214437486</v>
      </c>
      <c r="AH301" s="13">
        <f>AH300+AG301</f>
        <v>-12404171.064751191</v>
      </c>
      <c r="AI301">
        <f>IF(AH301=MAX($AH$83:$AH$483),$A301,0)</f>
        <v>0</v>
      </c>
      <c r="AJ301">
        <f>IF(AE301&lt;AF301,$A301,B_MAX+1)</f>
        <v>218</v>
      </c>
      <c r="AK301" s="13">
        <f>IF(AB301=1,$AB$35,$AB$36)</f>
        <v>0</v>
      </c>
      <c r="AL301" s="13">
        <f>OCC_DAYS*$AB$41*R_NF_2023-AD301*MCD_SHARE_FREED*R_WAIT_2023</f>
        <v>151980.48282209205</v>
      </c>
      <c r="AM301">
        <f>IF($A301&lt;=$AB$45,1,0)</f>
        <v>0</v>
      </c>
      <c r="BB301">
        <f>IF($BB$31&lt;=$BB$32,IF($A301&lt;=$BB$7,1,2),IF($A301&lt;=RUNG_BEDS_2,2,1))</f>
        <v>1</v>
      </c>
      <c r="BC301" s="5">
        <f>MIN(1,MAX(0,$BB$26-($A301-1)))</f>
        <v>0</v>
      </c>
      <c r="BD301" s="5">
        <f>$BB$25*(BC301+(1-BC301)*$BB$16)</f>
        <v>0.0</v>
      </c>
      <c r="BE301" s="13">
        <f>BD301*($BB$6+ACUTE_MARGIN)</f>
        <v>0.0</v>
      </c>
      <c r="BF301" s="13">
        <f>IF(BB301=1,$BB$31,$BB$32)</f>
        <v>152394.16214437486</v>
      </c>
      <c r="BG301" s="13">
        <f>BE301-BF301</f>
        <v>-152394.16214437486</v>
      </c>
      <c r="BH301" s="13">
        <f>BH300+BG301</f>
        <v>22418257.6263483</v>
      </c>
      <c r="BI301">
        <f>IF(BH301=MAX($BH$83:$BH$483),$A301,0)</f>
        <v>0</v>
      </c>
      <c r="BJ301">
        <f>IF(BE301&lt;BF301,$A301,B_MAX+1)</f>
        <v>218</v>
      </c>
      <c r="BK301" s="13">
        <f>IF(BB301=1,$BB$35,$BB$36)</f>
        <v>0</v>
      </c>
      <c r="BL301" s="13">
        <f>OCC_DAYS*$BB$41*R_NF_2023-BD301*MCD_SHARE_FREED*R_WAIT_2023</f>
        <v>151980.48282209205</v>
      </c>
      <c r="BM301">
        <f>IF($A301&lt;=$BB$45,1,0)</f>
        <v>0</v>
      </c>
      <c r="CB301">
        <f>IF($CB$31&lt;=$CB$32,IF($A301&lt;=$CB$7,1,2),IF($A301&lt;=RUNG_BEDS_2,2,1))</f>
        <v>2</v>
      </c>
      <c r="CC301" s="5">
        <f>MIN(1,MAX(0,$CB$26-($A301-1)))</f>
        <v>0</v>
      </c>
      <c r="CD301" s="5">
        <f>$CB$25*(CC301+(1-CC301)*$CB$16)</f>
        <v>0.0</v>
      </c>
      <c r="CE301" s="13">
        <f>CD301*($CB$6+ACUTE_MARGIN)</f>
        <v>0.0</v>
      </c>
      <c r="CF301" s="13">
        <f>IF(CB301=1,$CB$31,$CB$32)</f>
        <v>160718.36940738867</v>
      </c>
      <c r="CG301" s="13">
        <f>CE301-CF301</f>
        <v>-160718.36940738867</v>
      </c>
      <c r="CH301" s="13">
        <f>CH300+CG301</f>
        <v>3192366.0974614914</v>
      </c>
      <c r="CI301">
        <f>IF(CH301=MAX($CH$83:$CH$483),$A301,0)</f>
        <v>0</v>
      </c>
      <c r="CJ301">
        <f>IF(CE301&lt;CF301,$A301,B_MAX+1)</f>
        <v>218</v>
      </c>
      <c r="CK301" s="13">
        <f>IF(CB301=1,$CB$35,$CB$36)</f>
        <v>1560.1194073886782</v>
      </c>
      <c r="CL301" s="13">
        <f>OCC_DAYS*$CB$41*R_NF_2023-CD301*MCD_SHARE_FREED*R_WAIT_2023</f>
        <v>151980.48282209205</v>
      </c>
      <c r="CM301">
        <f>IF($A301&lt;=$CB$45,1,0)</f>
        <v>0</v>
      </c>
      <c r="DB301">
        <f>IF($DB$31&lt;=$DB$32,IF($A301&lt;=$DB$7,1,2),IF($A301&lt;=RUNG_BEDS_2,2,1))</f>
        <v>1</v>
      </c>
      <c r="DC301" s="5">
        <f>MIN(1,MAX(0,$DB$26-($A301-1)))</f>
        <v>0</v>
      </c>
      <c r="DD301" s="5">
        <f>$DB$25*(DC301+(1-DC301)*$DB$16)</f>
        <v>0.0</v>
      </c>
      <c r="DE301" s="13">
        <f>DD301*($DB$6+ACUTE_MARGIN)</f>
        <v>0.0</v>
      </c>
      <c r="DF301" s="13">
        <f>IF(DB301=1,$DB$31,$DB$32)</f>
        <v>152394.16214437486</v>
      </c>
      <c r="DG301" s="13">
        <f>DE301-DF301</f>
        <v>-152394.16214437486</v>
      </c>
      <c r="DH301" s="13">
        <f>DH300+DG301</f>
        <v>5007043.280798619</v>
      </c>
      <c r="DI301">
        <f>IF(DH301=MAX($DH$83:$DH$483),$A301,0)</f>
        <v>0</v>
      </c>
      <c r="DJ301">
        <f>IF(DE301&lt;DF301,$A301,B_MAX+1)</f>
        <v>218</v>
      </c>
      <c r="DK301" s="13">
        <f>IF(DB301=1,$DB$35,$DB$36)</f>
        <v>0</v>
      </c>
      <c r="DL301" s="13">
        <f>OCC_DAYS*$DB$41*R_NF_2023-DD301*MCD_SHARE_FREED*R_WAIT_2023</f>
        <v>151980.48282209205</v>
      </c>
      <c r="DM301">
        <f>IF($A301&lt;=$DB$45,1,0)</f>
        <v>0</v>
      </c>
      <c r="EB301">
        <f>IF($EB$31&lt;=$EB$32,IF($A301&lt;=$EB$7,1,2),IF($A301&lt;=RUNG_BEDS_2,2,1))</f>
        <v>1</v>
      </c>
      <c r="EC301" s="5">
        <f>MIN(1,MAX(0,$EB$26-($A301-1)))</f>
        <v>0</v>
      </c>
      <c r="ED301" s="5">
        <f>$EB$25*(EC301+(1-EC301)*$EB$16)</f>
        <v>0.0</v>
      </c>
      <c r="EE301" s="13">
        <f>ED301*($EB$6+ACUTE_MARGIN)</f>
        <v>0.0</v>
      </c>
      <c r="EF301" s="13">
        <f>IF(EB301=1,$EB$31,$EB$32)</f>
        <v>152394.16214437486</v>
      </c>
      <c r="EG301" s="13">
        <f>EE301-EF301</f>
        <v>-152394.16214437486</v>
      </c>
      <c r="EH301" s="13">
        <f>EH300+EG301</f>
        <v>5007043.280798619</v>
      </c>
      <c r="EI301">
        <f>IF(EH301=MAX($EH$83:$EH$483),$A301,0)</f>
        <v>0</v>
      </c>
      <c r="EJ301">
        <f>IF(EE301&lt;EF301,$A301,B_MAX+1)</f>
        <v>218</v>
      </c>
      <c r="EK301" s="13">
        <f>IF(EB301=1,$EB$35,$EB$36)</f>
        <v>0</v>
      </c>
      <c r="EL301" s="13">
        <f>OCC_DAYS*$EB$41*R_NF_2023-ED301*MCD_SHARE_FREED*R_WAIT_2023</f>
        <v>50660.16094069735</v>
      </c>
      <c r="EM301">
        <f>IF($A301&lt;=$EB$45,1,0)</f>
        <v>0</v>
      </c>
      <c r="FB301">
        <f>IF($FB$31&lt;=$FB$32,IF($A301&lt;=$FB$7,1,2),IF($A301&lt;=RUNG_BEDS_2,2,1))</f>
        <v>1</v>
      </c>
      <c r="FC301" s="5">
        <f>MIN(1,MAX(0,$FB$26-($A301-1)))</f>
        <v>0</v>
      </c>
      <c r="FD301" s="5">
        <f>$FB$25*(FC301+(1-FC301)*$FB$16)</f>
        <v>0.0</v>
      </c>
      <c r="FE301" s="13">
        <f>FD301*($FB$6+ACUTE_MARGIN)</f>
        <v>0.0</v>
      </c>
      <c r="FF301" s="13">
        <f>IF(FB301=1,$FB$31,$FB$32)</f>
        <v>156636.04979437485</v>
      </c>
      <c r="FG301" s="13">
        <f>FE301-FF301</f>
        <v>-156636.04979437485</v>
      </c>
      <c r="FH301" s="13">
        <f>FH300+FG301</f>
        <v>4082311.773098504</v>
      </c>
      <c r="FI301">
        <f>IF(FH301=MAX($FH$83:$FH$483),$A301,0)</f>
        <v>0</v>
      </c>
      <c r="FJ301">
        <f>IF(FE301&lt;FF301,$A301,B_MAX+1)</f>
        <v>218</v>
      </c>
      <c r="FK301" s="13">
        <f>IF(FB301=1,$FB$35,$FB$36)</f>
        <v>0</v>
      </c>
      <c r="FL301" s="13">
        <f>OCC_DAYS*$FB$41*R_NF_2023-FD301*MCD_SHARE_FREED*R_WAIT_2023</f>
        <v>151980.48282209205</v>
      </c>
      <c r="FM301">
        <f>IF($A301&lt;=$FB$45,1,0)</f>
        <v>0</v>
      </c>
      <c r="GB301">
        <f>IF($GB$31&lt;=$GB$32,IF($A301&lt;=$GB$7,1,2),IF($A301&lt;=RUNG_BEDS_2,2,1))</f>
        <v>1</v>
      </c>
      <c r="GC301" s="5">
        <f>MIN(1,MAX(0,$GB$26-($A301-1)))</f>
        <v>0</v>
      </c>
      <c r="GD301" s="5">
        <f>$GB$25*(GC301+(1-GC301)*$GB$16)</f>
        <v>0.0</v>
      </c>
      <c r="GE301" s="13">
        <f>GD301*($GB$6+ACUTE_MARGIN)</f>
        <v>0.0</v>
      </c>
      <c r="GF301" s="13">
        <f>IF(GB301=1,$GB$31,$GB$32)</f>
        <v>152394.16214437486</v>
      </c>
      <c r="GG301" s="13">
        <f>GE301-GF301</f>
        <v>-152394.16214437486</v>
      </c>
      <c r="GH301" s="13">
        <f>GH300+GG301</f>
        <v>5007043.280798619</v>
      </c>
      <c r="GI301">
        <f>IF(GH301=MAX($GH$83:$GH$483),$A301,0)</f>
        <v>0</v>
      </c>
      <c r="GJ301">
        <f>IF(GE301&lt;GF301,$A301,B_MAX+1)</f>
        <v>218</v>
      </c>
      <c r="GK301" s="13">
        <f>IF(GB301=1,$GB$35,$GB$36)</f>
        <v>0</v>
      </c>
      <c r="GL301" s="13">
        <f>OCC_DAYS*$GB$41*R_NF_2023-GD301*MCD_SHARE_FREED*R_WAIT_2023</f>
        <v>151980.48282209205</v>
      </c>
      <c r="GM301">
        <f>IF($A301&lt;=$GB$45,1,0)</f>
        <v>0</v>
      </c>
      <c r="HB301">
        <f>IF($HB$31&lt;=$HB$32,IF($A301&lt;=$HB$7,1,2),IF($A301&lt;=RUNG_BEDS_2,2,1))</f>
        <v>1</v>
      </c>
      <c r="HC301" s="5">
        <f>MIN(1,MAX(0,$HB$26-($A301-1)))</f>
        <v>0</v>
      </c>
      <c r="HD301" s="5">
        <f>$HB$25*(HC301+(1-HC301)*$HB$16)</f>
        <v>0.0</v>
      </c>
      <c r="HE301" s="13">
        <f>HD301*($HB$6+ACUTE_MARGIN)</f>
        <v>0.0</v>
      </c>
      <c r="HF301" s="13">
        <f>IF(HB301=1,$HB$31,$HB$32)</f>
        <v>152456.2970814058</v>
      </c>
      <c r="HG301" s="13">
        <f>HE301-HF301</f>
        <v>-152456.2970814058</v>
      </c>
      <c r="HH301" s="13">
        <f>HH300+HG301</f>
        <v>4993497.864525833</v>
      </c>
      <c r="HI301">
        <f>IF(HH301=MAX($HH$83:$HH$483),$A301,0)</f>
        <v>0</v>
      </c>
      <c r="HJ301">
        <f>IF(HE301&lt;HF301,$A301,B_MAX+1)</f>
        <v>218</v>
      </c>
      <c r="HK301" s="13">
        <f>IF(HB301=1,$HB$35,$HB$36)</f>
        <v>0</v>
      </c>
      <c r="HL301" s="13">
        <f>OCC_DAYS*$HB$41*R_NF_2023-HD301*MCD_SHARE_FREED*R_WAIT_2023</f>
        <v>151980.48282209205</v>
      </c>
      <c r="HM301">
        <f>IF($A301&lt;=$HB$45,1,0)</f>
        <v>0</v>
      </c>
      <c r="IB301">
        <f>IF($IB$31&lt;=$IB$32,IF($A301&lt;=$IB$7,1,2),IF($A301&lt;=RUNG_BEDS_2,2,1))</f>
        <v>1</v>
      </c>
      <c r="IC301" s="5">
        <f>MIN(1,MAX(0,$IB$26-($A301-1)))</f>
        <v>0</v>
      </c>
      <c r="ID301" s="5">
        <f>$IB$25*(IC301+(1-IC301)*$IB$16)</f>
        <v>0.0</v>
      </c>
      <c r="IE301" s="13">
        <f>ID301*($IB$6+ACUTE_MARGIN)</f>
        <v>0.0</v>
      </c>
      <c r="IF301" s="13">
        <f>IF(IB301=1,$IB$31,$IB$32)</f>
        <v>152734.9994534971</v>
      </c>
      <c r="IG301" s="13">
        <f>IE301-IF301</f>
        <v>-152734.9994534971</v>
      </c>
      <c r="IH301" s="13">
        <f>IH300+IG301</f>
        <v>4932740.7474098755</v>
      </c>
      <c r="II301">
        <f>IF(IH301=MAX($IH$83:$IH$483),$A301,0)</f>
        <v>0</v>
      </c>
      <c r="IJ301">
        <f>IF(IE301&lt;IF301,$A301,B_MAX+1)</f>
        <v>218</v>
      </c>
      <c r="IK301" s="13">
        <f>IF(IB301=1,$IB$35,$IB$36)</f>
        <v>0</v>
      </c>
      <c r="IL301" s="13">
        <f>OCC_DAYS*$IB$41*R_NF_2023-ID301*MCD_SHARE_FREED*R_WAIT_2023</f>
        <v>151980.48282209205</v>
      </c>
      <c r="IM301">
        <f>IF($A301&lt;=$IB$45,1,0)</f>
        <v>0</v>
      </c>
      <c r="JB301">
        <f>IF($JB$31&lt;=$JB$32,IF($A301&lt;=$JB$7,1,2),IF($A301&lt;=RUNG_BEDS_2,2,1))</f>
        <v>1</v>
      </c>
      <c r="JC301" s="5">
        <f>MIN(1,MAX(0,$JB$26-($A301-1)))</f>
        <v>0</v>
      </c>
      <c r="JD301" s="5">
        <f>$JB$25*(JC301+(1-JC301)*$JB$16)</f>
        <v>0.0</v>
      </c>
      <c r="JE301" s="13">
        <f>JD301*($JB$6+ACUTE_MARGIN)</f>
        <v>0.0</v>
      </c>
      <c r="JF301" s="13">
        <f>IF(JB301=1,$JB$31,$JB$32)</f>
        <v>152394.16214437486</v>
      </c>
      <c r="JG301" s="13">
        <f>JE301-JF301</f>
        <v>-152394.16214437486</v>
      </c>
      <c r="JH301" s="13">
        <f>JH300+JG301</f>
        <v>5007043.280798619</v>
      </c>
      <c r="JI301">
        <f>IF(JH301=MAX($JH$83:$JH$483),$A301,0)</f>
        <v>0</v>
      </c>
      <c r="JJ301">
        <f>IF(JE301&lt;JF301,$A301,B_MAX+1)</f>
        <v>218</v>
      </c>
      <c r="JK301" s="13">
        <f>IF(JB301=1,$JB$35,$JB$36)</f>
        <v>0</v>
      </c>
      <c r="JL301" s="13">
        <f>OCC_DAYS*$JB$41*R_NF_2023-JD301*MCD_SHARE_FREED*R_WAIT_2023</f>
        <v>151980.48282209205</v>
      </c>
      <c r="JM301">
        <f>IF($A301&lt;=$JB$45,1,0)</f>
        <v>0</v>
      </c>
      <c r="KB301">
        <f>IF($KB$31&lt;=$KB$32,IF($A301&lt;=$KB$7,1,2),IF($A301&lt;=RUNG_BEDS_2,2,1))</f>
        <v>1</v>
      </c>
      <c r="KC301" s="5">
        <f>MIN(1,MAX(0,$KB$26-($A301-1)))</f>
        <v>1</v>
      </c>
      <c r="KD301" s="5">
        <f>$KB$25*(KC301+(1-KC301)*$KB$16)</f>
        <v>126.02661357340719</v>
      </c>
      <c r="KE301" s="13">
        <f>KD301*($KB$6+ACUTE_MARGIN)</f>
        <v>127286.87970914126</v>
      </c>
      <c r="KF301" s="13">
        <f>IF(KB301=1,$KB$31,$KB$32)</f>
        <v>152394.16214437486</v>
      </c>
      <c r="KG301" s="13">
        <f>KE301-KF301</f>
        <v>-25107.282435233603</v>
      </c>
      <c r="KH301" s="13">
        <f>KH300+KG301</f>
        <v>-5473387.570880943</v>
      </c>
      <c r="KI301">
        <f>IF(KH301=MAX($KH$83:$KH$483),$A301,0)</f>
        <v>0</v>
      </c>
      <c r="KJ301">
        <f>IF(KE301&lt;KF301,$A301,B_MAX+1)</f>
        <v>218</v>
      </c>
      <c r="KK301" s="13">
        <f>IF(KB301=1,$KB$35,$KB$36)</f>
        <v>0</v>
      </c>
      <c r="KL301" s="13">
        <f>OCC_DAYS*$KB$41*R_NF_2023-KD301*MCD_SHARE_FREED*R_WAIT_2023</f>
        <v>94673.82103225985</v>
      </c>
      <c r="KM301">
        <f>IF($A301&lt;=$KB$45,1,0)</f>
        <v>0</v>
      </c>
      <c r="LB301">
        <f>IF($LB$31&lt;=$LB$32,IF($A301&lt;=$LB$7,1,2),IF($A301&lt;=RUNG_BEDS_2,2,1))</f>
        <v>1</v>
      </c>
      <c r="LC301" s="5">
        <f>MIN(1,MAX(0,$LB$26-($A301-1)))</f>
        <v>1</v>
      </c>
      <c r="LD301" s="5">
        <f>$LB$25*(LC301+(1-LC301)*$LB$16)</f>
        <v>84.01774238227146</v>
      </c>
      <c r="LE301" s="13">
        <f>LD301*($LB$6+ACUTE_MARGIN)</f>
        <v>84857.91980609419</v>
      </c>
      <c r="LF301" s="13">
        <f>IF(LB301=1,$LB$31,$LB$32)</f>
        <v>152394.16214437486</v>
      </c>
      <c r="LG301" s="13">
        <f>LE301-LF301</f>
        <v>-67536.24233828067</v>
      </c>
      <c r="LH301" s="13">
        <f>LH300+LG301</f>
        <v>-14722900.829745255</v>
      </c>
      <c r="LI301">
        <f>IF(LH301=MAX($LH$83:$LH$483),$A301,0)</f>
        <v>0</v>
      </c>
      <c r="LJ301">
        <f>IF(LE301&lt;LF301,$A301,B_MAX+1)</f>
        <v>218</v>
      </c>
      <c r="LK301" s="13">
        <f>IF(LB301=1,$LB$35,$LB$36)</f>
        <v>0</v>
      </c>
      <c r="LL301" s="13">
        <f>OCC_DAYS*$LB$41*R_NF_2023-LD301*MCD_SHARE_FREED*R_WAIT_2023</f>
        <v>113776.04162887059</v>
      </c>
      <c r="LM301">
        <f>IF($A301&lt;=$LB$45,1,0)</f>
        <v>0</v>
      </c>
      <c r="MB301">
        <f>IF($MB$31&lt;=$MB$32,IF($A301&lt;=$MB$7,1,2),IF($A301&lt;=RUNG_BEDS_2,2,1))</f>
        <v>1</v>
      </c>
      <c r="MC301" s="5">
        <f>MIN(1,MAX(0,$MB$26-($A301-1)))</f>
        <v>0</v>
      </c>
      <c r="MD301" s="5">
        <f>$MB$25*(MC301+(1-MC301)*$MB$16)</f>
        <v>0.0</v>
      </c>
      <c r="ME301" s="13">
        <f>MD301*($MB$6+ACUTE_MARGIN)</f>
        <v>0.0</v>
      </c>
      <c r="MF301" s="13">
        <f>IF(MB301=1,$MB$31,$MB$32)</f>
        <v>152394.16214437486</v>
      </c>
      <c r="MG301" s="13">
        <f>ME301-MF301</f>
        <v>-152394.16214437486</v>
      </c>
      <c r="MH301" s="13">
        <f>MH300+MG301</f>
        <v>-880232.7809997131</v>
      </c>
      <c r="MI301">
        <f>IF(MH301=MAX($MH$83:$MH$483),$A301,0)</f>
        <v>0</v>
      </c>
      <c r="MJ301">
        <f>IF(ME301&lt;MF301,$A301,B_MAX+1)</f>
        <v>218</v>
      </c>
      <c r="MK301" s="13">
        <f>IF(MB301=1,$MB$35,$MB$36)</f>
        <v>0</v>
      </c>
      <c r="ML301" s="13">
        <f>OCC_DAYS*$MB$41*R_NF_2023-MD301*MCD_SHARE_FREED*R_WAIT_2023</f>
        <v>151980.48282209205</v>
      </c>
      <c r="MM301">
        <f>IF($A301&lt;=$MB$45,1,0)</f>
        <v>0</v>
      </c>
      <c r="NB301">
        <f>IF($NB$31&lt;=$NB$32,IF($A301&lt;=$NB$7,1,2),IF($A301&lt;=RUNG_BEDS_2,2,1))</f>
        <v>1</v>
      </c>
      <c r="NC301" s="5">
        <f>MIN(1,MAX(0,$NB$26-($A301-1)))</f>
        <v>0</v>
      </c>
      <c r="ND301" s="5">
        <f>$NB$25*(NC301+(1-NC301)*$NB$16)</f>
        <v>63.013306786703595</v>
      </c>
      <c r="NE301" s="13">
        <f>ND301*($NB$6+ACUTE_MARGIN)</f>
        <v>63643.43985457063</v>
      </c>
      <c r="NF301" s="13">
        <f>IF(NB301=1,$NB$31,$NB$32)</f>
        <v>152394.16214437486</v>
      </c>
      <c r="NG301" s="13">
        <f>NE301-NF301</f>
        <v>-88750.72228980422</v>
      </c>
      <c r="NH301" s="13">
        <f>NH300+NG301</f>
        <v>9324070.512026913</v>
      </c>
      <c r="NI301">
        <f>IF(NH301=MAX($NH$83:$NH$483),$A301,0)</f>
        <v>0</v>
      </c>
      <c r="NJ301">
        <f>IF(NE301&lt;NF301,$A301,B_MAX+1)</f>
        <v>218</v>
      </c>
      <c r="NK301" s="13">
        <f>IF(NB301=1,$NB$35,$NB$36)</f>
        <v>0</v>
      </c>
      <c r="NL301" s="13">
        <f>OCC_DAYS*$NB$41*R_NF_2023-ND301*MCD_SHARE_FREED*R_WAIT_2023</f>
        <v>123327.15192717595</v>
      </c>
      <c r="NM301">
        <f>IF($A301&lt;=$NB$45,1,0)</f>
        <v>0</v>
      </c>
      <c r="OB301">
        <f>IF($OB$31&lt;=$OB$32,IF($A301&lt;=$OB$7,1,2),IF($A301&lt;=RUNG_BEDS_2,2,1))</f>
        <v>1</v>
      </c>
      <c r="OC301" s="5">
        <f>MIN(1,MAX(0,$OB$26-($A301-1)))</f>
        <v>0</v>
      </c>
      <c r="OD301" s="5">
        <f>$OB$25*(OC301+(1-OC301)*$OB$16)</f>
        <v>126.02661357340719</v>
      </c>
      <c r="OE301" s="13">
        <f>OD301*($OB$6+ACUTE_MARGIN)</f>
        <v>127286.87970914126</v>
      </c>
      <c r="OF301" s="13">
        <f>IF(OB301=1,$OB$31,$OB$32)</f>
        <v>152394.16214437486</v>
      </c>
      <c r="OG301" s="13">
        <f>OE301-OF301</f>
        <v>-25107.282435233603</v>
      </c>
      <c r="OH301" s="13">
        <f>OH300+OG301</f>
        <v>13641097.743255313</v>
      </c>
      <c r="OI301">
        <f>IF(OH301=MAX($OH$83:$OH$483),$A301,0)</f>
        <v>0</v>
      </c>
      <c r="OJ301">
        <f>IF(OE301&lt;OF301,$A301,B_MAX+1)</f>
        <v>218</v>
      </c>
      <c r="OK301" s="13">
        <f>IF(OB301=1,$OB$35,$OB$36)</f>
        <v>0</v>
      </c>
      <c r="OL301" s="13">
        <f>OCC_DAYS*$OB$41*R_NF_2023-OD301*MCD_SHARE_FREED*R_WAIT_2023</f>
        <v>94673.82103225985</v>
      </c>
      <c r="OM301">
        <f>IF($A301&lt;=$OB$45,1,0)</f>
        <v>0</v>
      </c>
    </row>
    <row r="302">
      <c r="A302" t="n">
        <v>219</v>
      </c>
      <c r="B302">
        <f>IF($B$31&lt;=$B$32,IF($A302&lt;=$B$7,1,2),IF($A302&lt;=RUNG_BEDS_2,2,1))</f>
        <v>1</v>
      </c>
      <c r="C302" s="5">
        <f>MIN(1,MAX(0,$B$26-($A302-1)))</f>
        <v>0</v>
      </c>
      <c r="D302" s="5">
        <f>$B$25*(C302+(1-C302)*$B$16)</f>
        <v>0.0</v>
      </c>
      <c r="E302" s="13">
        <f>D302*($B$6+ACUTE_MARGIN)</f>
        <v>0.0</v>
      </c>
      <c r="F302" s="13">
        <f>IF(B302=1,$B$31,$B$32)</f>
        <v>152394.16214437486</v>
      </c>
      <c r="G302" s="13">
        <f>E302-F302</f>
        <v>-152394.16214437486</v>
      </c>
      <c r="H302" s="13">
        <f>H301+G302</f>
        <v>4854649.118654244</v>
      </c>
      <c r="I302">
        <f>IF(H302=MAX($H$83:$H$483),$A302,0)</f>
        <v>0</v>
      </c>
      <c r="J302">
        <f>IF(E302&lt;F302,$A302,B_MAX+1)</f>
        <v>219</v>
      </c>
      <c r="K302" s="13">
        <f>IF(B302=1,$B$35,$B$36)</f>
        <v>0</v>
      </c>
      <c r="L302" s="13">
        <f>OCC_DAYS*$B$41*R_NF_2023-D302*MCD_SHARE_FREED*R_WAIT_2023</f>
        <v>151980.48282209205</v>
      </c>
      <c r="M302">
        <f>IF($A302&lt;=$B$45,1,0)</f>
        <v>0</v>
      </c>
      <c r="AB302">
        <f>IF($AB$31&lt;=$AB$32,IF($A302&lt;=$AB$7,1,2),IF($A302&lt;=RUNG_BEDS_2,2,1))</f>
        <v>1</v>
      </c>
      <c r="AC302" s="5">
        <f>MIN(1,MAX(0,$AB$26-($A302-1)))</f>
        <v>0</v>
      </c>
      <c r="AD302" s="5">
        <f>$AB$25*(AC302+(1-AC302)*$AB$16)</f>
        <v>0.0</v>
      </c>
      <c r="AE302" s="13">
        <f>AD302*($AB$6+ACUTE_MARGIN)</f>
        <v>0.0</v>
      </c>
      <c r="AF302" s="13">
        <f>IF(AB302=1,$AB$31,$AB$32)</f>
        <v>152394.16214437486</v>
      </c>
      <c r="AG302" s="13">
        <f>AE302-AF302</f>
        <v>-152394.16214437486</v>
      </c>
      <c r="AH302" s="13">
        <f>AH301+AG302</f>
        <v>-12556565.226895565</v>
      </c>
      <c r="AI302">
        <f>IF(AH302=MAX($AH$83:$AH$483),$A302,0)</f>
        <v>0</v>
      </c>
      <c r="AJ302">
        <f>IF(AE302&lt;AF302,$A302,B_MAX+1)</f>
        <v>219</v>
      </c>
      <c r="AK302" s="13">
        <f>IF(AB302=1,$AB$35,$AB$36)</f>
        <v>0</v>
      </c>
      <c r="AL302" s="13">
        <f>OCC_DAYS*$AB$41*R_NF_2023-AD302*MCD_SHARE_FREED*R_WAIT_2023</f>
        <v>151980.48282209205</v>
      </c>
      <c r="AM302">
        <f>IF($A302&lt;=$AB$45,1,0)</f>
        <v>0</v>
      </c>
      <c r="BB302">
        <f>IF($BB$31&lt;=$BB$32,IF($A302&lt;=$BB$7,1,2),IF($A302&lt;=RUNG_BEDS_2,2,1))</f>
        <v>1</v>
      </c>
      <c r="BC302" s="5">
        <f>MIN(1,MAX(0,$BB$26-($A302-1)))</f>
        <v>0</v>
      </c>
      <c r="BD302" s="5">
        <f>$BB$25*(BC302+(1-BC302)*$BB$16)</f>
        <v>0.0</v>
      </c>
      <c r="BE302" s="13">
        <f>BD302*($BB$6+ACUTE_MARGIN)</f>
        <v>0.0</v>
      </c>
      <c r="BF302" s="13">
        <f>IF(BB302=1,$BB$31,$BB$32)</f>
        <v>152394.16214437486</v>
      </c>
      <c r="BG302" s="13">
        <f>BE302-BF302</f>
        <v>-152394.16214437486</v>
      </c>
      <c r="BH302" s="13">
        <f>BH301+BG302</f>
        <v>22265863.464203928</v>
      </c>
      <c r="BI302">
        <f>IF(BH302=MAX($BH$83:$BH$483),$A302,0)</f>
        <v>0</v>
      </c>
      <c r="BJ302">
        <f>IF(BE302&lt;BF302,$A302,B_MAX+1)</f>
        <v>219</v>
      </c>
      <c r="BK302" s="13">
        <f>IF(BB302=1,$BB$35,$BB$36)</f>
        <v>0</v>
      </c>
      <c r="BL302" s="13">
        <f>OCC_DAYS*$BB$41*R_NF_2023-BD302*MCD_SHARE_FREED*R_WAIT_2023</f>
        <v>151980.48282209205</v>
      </c>
      <c r="BM302">
        <f>IF($A302&lt;=$BB$45,1,0)</f>
        <v>0</v>
      </c>
      <c r="CB302">
        <f>IF($CB$31&lt;=$CB$32,IF($A302&lt;=$CB$7,1,2),IF($A302&lt;=RUNG_BEDS_2,2,1))</f>
        <v>2</v>
      </c>
      <c r="CC302" s="5">
        <f>MIN(1,MAX(0,$CB$26-($A302-1)))</f>
        <v>0</v>
      </c>
      <c r="CD302" s="5">
        <f>$CB$25*(CC302+(1-CC302)*$CB$16)</f>
        <v>0.0</v>
      </c>
      <c r="CE302" s="13">
        <f>CD302*($CB$6+ACUTE_MARGIN)</f>
        <v>0.0</v>
      </c>
      <c r="CF302" s="13">
        <f>IF(CB302=1,$CB$31,$CB$32)</f>
        <v>160718.36940738867</v>
      </c>
      <c r="CG302" s="13">
        <f>CE302-CF302</f>
        <v>-160718.36940738867</v>
      </c>
      <c r="CH302" s="13">
        <f>CH301+CG302</f>
        <v>3031647.7280541025</v>
      </c>
      <c r="CI302">
        <f>IF(CH302=MAX($CH$83:$CH$483),$A302,0)</f>
        <v>0</v>
      </c>
      <c r="CJ302">
        <f>IF(CE302&lt;CF302,$A302,B_MAX+1)</f>
        <v>219</v>
      </c>
      <c r="CK302" s="13">
        <f>IF(CB302=1,$CB$35,$CB$36)</f>
        <v>1560.1194073886782</v>
      </c>
      <c r="CL302" s="13">
        <f>OCC_DAYS*$CB$41*R_NF_2023-CD302*MCD_SHARE_FREED*R_WAIT_2023</f>
        <v>151980.48282209205</v>
      </c>
      <c r="CM302">
        <f>IF($A302&lt;=$CB$45,1,0)</f>
        <v>0</v>
      </c>
      <c r="DB302">
        <f>IF($DB$31&lt;=$DB$32,IF($A302&lt;=$DB$7,1,2),IF($A302&lt;=RUNG_BEDS_2,2,1))</f>
        <v>1</v>
      </c>
      <c r="DC302" s="5">
        <f>MIN(1,MAX(0,$DB$26-($A302-1)))</f>
        <v>0</v>
      </c>
      <c r="DD302" s="5">
        <f>$DB$25*(DC302+(1-DC302)*$DB$16)</f>
        <v>0.0</v>
      </c>
      <c r="DE302" s="13">
        <f>DD302*($DB$6+ACUTE_MARGIN)</f>
        <v>0.0</v>
      </c>
      <c r="DF302" s="13">
        <f>IF(DB302=1,$DB$31,$DB$32)</f>
        <v>152394.16214437486</v>
      </c>
      <c r="DG302" s="13">
        <f>DE302-DF302</f>
        <v>-152394.16214437486</v>
      </c>
      <c r="DH302" s="13">
        <f>DH301+DG302</f>
        <v>4854649.118654244</v>
      </c>
      <c r="DI302">
        <f>IF(DH302=MAX($DH$83:$DH$483),$A302,0)</f>
        <v>0</v>
      </c>
      <c r="DJ302">
        <f>IF(DE302&lt;DF302,$A302,B_MAX+1)</f>
        <v>219</v>
      </c>
      <c r="DK302" s="13">
        <f>IF(DB302=1,$DB$35,$DB$36)</f>
        <v>0</v>
      </c>
      <c r="DL302" s="13">
        <f>OCC_DAYS*$DB$41*R_NF_2023-DD302*MCD_SHARE_FREED*R_WAIT_2023</f>
        <v>151980.48282209205</v>
      </c>
      <c r="DM302">
        <f>IF($A302&lt;=$DB$45,1,0)</f>
        <v>0</v>
      </c>
      <c r="EB302">
        <f>IF($EB$31&lt;=$EB$32,IF($A302&lt;=$EB$7,1,2),IF($A302&lt;=RUNG_BEDS_2,2,1))</f>
        <v>1</v>
      </c>
      <c r="EC302" s="5">
        <f>MIN(1,MAX(0,$EB$26-($A302-1)))</f>
        <v>0</v>
      </c>
      <c r="ED302" s="5">
        <f>$EB$25*(EC302+(1-EC302)*$EB$16)</f>
        <v>0.0</v>
      </c>
      <c r="EE302" s="13">
        <f>ED302*($EB$6+ACUTE_MARGIN)</f>
        <v>0.0</v>
      </c>
      <c r="EF302" s="13">
        <f>IF(EB302=1,$EB$31,$EB$32)</f>
        <v>152394.16214437486</v>
      </c>
      <c r="EG302" s="13">
        <f>EE302-EF302</f>
        <v>-152394.16214437486</v>
      </c>
      <c r="EH302" s="13">
        <f>EH301+EG302</f>
        <v>4854649.118654244</v>
      </c>
      <c r="EI302">
        <f>IF(EH302=MAX($EH$83:$EH$483),$A302,0)</f>
        <v>0</v>
      </c>
      <c r="EJ302">
        <f>IF(EE302&lt;EF302,$A302,B_MAX+1)</f>
        <v>219</v>
      </c>
      <c r="EK302" s="13">
        <f>IF(EB302=1,$EB$35,$EB$36)</f>
        <v>0</v>
      </c>
      <c r="EL302" s="13">
        <f>OCC_DAYS*$EB$41*R_NF_2023-ED302*MCD_SHARE_FREED*R_WAIT_2023</f>
        <v>50660.16094069735</v>
      </c>
      <c r="EM302">
        <f>IF($A302&lt;=$EB$45,1,0)</f>
        <v>0</v>
      </c>
      <c r="FB302">
        <f>IF($FB$31&lt;=$FB$32,IF($A302&lt;=$FB$7,1,2),IF($A302&lt;=RUNG_BEDS_2,2,1))</f>
        <v>1</v>
      </c>
      <c r="FC302" s="5">
        <f>MIN(1,MAX(0,$FB$26-($A302-1)))</f>
        <v>0</v>
      </c>
      <c r="FD302" s="5">
        <f>$FB$25*(FC302+(1-FC302)*$FB$16)</f>
        <v>0.0</v>
      </c>
      <c r="FE302" s="13">
        <f>FD302*($FB$6+ACUTE_MARGIN)</f>
        <v>0.0</v>
      </c>
      <c r="FF302" s="13">
        <f>IF(FB302=1,$FB$31,$FB$32)</f>
        <v>156636.04979437485</v>
      </c>
      <c r="FG302" s="13">
        <f>FE302-FF302</f>
        <v>-156636.04979437485</v>
      </c>
      <c r="FH302" s="13">
        <f>FH301+FG302</f>
        <v>3925675.723304129</v>
      </c>
      <c r="FI302">
        <f>IF(FH302=MAX($FH$83:$FH$483),$A302,0)</f>
        <v>0</v>
      </c>
      <c r="FJ302">
        <f>IF(FE302&lt;FF302,$A302,B_MAX+1)</f>
        <v>219</v>
      </c>
      <c r="FK302" s="13">
        <f>IF(FB302=1,$FB$35,$FB$36)</f>
        <v>0</v>
      </c>
      <c r="FL302" s="13">
        <f>OCC_DAYS*$FB$41*R_NF_2023-FD302*MCD_SHARE_FREED*R_WAIT_2023</f>
        <v>151980.48282209205</v>
      </c>
      <c r="FM302">
        <f>IF($A302&lt;=$FB$45,1,0)</f>
        <v>0</v>
      </c>
      <c r="GB302">
        <f>IF($GB$31&lt;=$GB$32,IF($A302&lt;=$GB$7,1,2),IF($A302&lt;=RUNG_BEDS_2,2,1))</f>
        <v>1</v>
      </c>
      <c r="GC302" s="5">
        <f>MIN(1,MAX(0,$GB$26-($A302-1)))</f>
        <v>0</v>
      </c>
      <c r="GD302" s="5">
        <f>$GB$25*(GC302+(1-GC302)*$GB$16)</f>
        <v>0.0</v>
      </c>
      <c r="GE302" s="13">
        <f>GD302*($GB$6+ACUTE_MARGIN)</f>
        <v>0.0</v>
      </c>
      <c r="GF302" s="13">
        <f>IF(GB302=1,$GB$31,$GB$32)</f>
        <v>152394.16214437486</v>
      </c>
      <c r="GG302" s="13">
        <f>GE302-GF302</f>
        <v>-152394.16214437486</v>
      </c>
      <c r="GH302" s="13">
        <f>GH301+GG302</f>
        <v>4854649.118654244</v>
      </c>
      <c r="GI302">
        <f>IF(GH302=MAX($GH$83:$GH$483),$A302,0)</f>
        <v>0</v>
      </c>
      <c r="GJ302">
        <f>IF(GE302&lt;GF302,$A302,B_MAX+1)</f>
        <v>219</v>
      </c>
      <c r="GK302" s="13">
        <f>IF(GB302=1,$GB$35,$GB$36)</f>
        <v>0</v>
      </c>
      <c r="GL302" s="13">
        <f>OCC_DAYS*$GB$41*R_NF_2023-GD302*MCD_SHARE_FREED*R_WAIT_2023</f>
        <v>151980.48282209205</v>
      </c>
      <c r="GM302">
        <f>IF($A302&lt;=$GB$45,1,0)</f>
        <v>0</v>
      </c>
      <c r="HB302">
        <f>IF($HB$31&lt;=$HB$32,IF($A302&lt;=$HB$7,1,2),IF($A302&lt;=RUNG_BEDS_2,2,1))</f>
        <v>1</v>
      </c>
      <c r="HC302" s="5">
        <f>MIN(1,MAX(0,$HB$26-($A302-1)))</f>
        <v>0</v>
      </c>
      <c r="HD302" s="5">
        <f>$HB$25*(HC302+(1-HC302)*$HB$16)</f>
        <v>0.0</v>
      </c>
      <c r="HE302" s="13">
        <f>HD302*($HB$6+ACUTE_MARGIN)</f>
        <v>0.0</v>
      </c>
      <c r="HF302" s="13">
        <f>IF(HB302=1,$HB$31,$HB$32)</f>
        <v>152456.2970814058</v>
      </c>
      <c r="HG302" s="13">
        <f>HE302-HF302</f>
        <v>-152456.2970814058</v>
      </c>
      <c r="HH302" s="13">
        <f>HH301+HG302</f>
        <v>4841041.567444427</v>
      </c>
      <c r="HI302">
        <f>IF(HH302=MAX($HH$83:$HH$483),$A302,0)</f>
        <v>0</v>
      </c>
      <c r="HJ302">
        <f>IF(HE302&lt;HF302,$A302,B_MAX+1)</f>
        <v>219</v>
      </c>
      <c r="HK302" s="13">
        <f>IF(HB302=1,$HB$35,$HB$36)</f>
        <v>0</v>
      </c>
      <c r="HL302" s="13">
        <f>OCC_DAYS*$HB$41*R_NF_2023-HD302*MCD_SHARE_FREED*R_WAIT_2023</f>
        <v>151980.48282209205</v>
      </c>
      <c r="HM302">
        <f>IF($A302&lt;=$HB$45,1,0)</f>
        <v>0</v>
      </c>
      <c r="IB302">
        <f>IF($IB$31&lt;=$IB$32,IF($A302&lt;=$IB$7,1,2),IF($A302&lt;=RUNG_BEDS_2,2,1))</f>
        <v>1</v>
      </c>
      <c r="IC302" s="5">
        <f>MIN(1,MAX(0,$IB$26-($A302-1)))</f>
        <v>0</v>
      </c>
      <c r="ID302" s="5">
        <f>$IB$25*(IC302+(1-IC302)*$IB$16)</f>
        <v>0.0</v>
      </c>
      <c r="IE302" s="13">
        <f>ID302*($IB$6+ACUTE_MARGIN)</f>
        <v>0.0</v>
      </c>
      <c r="IF302" s="13">
        <f>IF(IB302=1,$IB$31,$IB$32)</f>
        <v>152734.9994534971</v>
      </c>
      <c r="IG302" s="13">
        <f>IE302-IF302</f>
        <v>-152734.9994534971</v>
      </c>
      <c r="IH302" s="13">
        <f>IH301+IG302</f>
        <v>4780005.747956378</v>
      </c>
      <c r="II302">
        <f>IF(IH302=MAX($IH$83:$IH$483),$A302,0)</f>
        <v>0</v>
      </c>
      <c r="IJ302">
        <f>IF(IE302&lt;IF302,$A302,B_MAX+1)</f>
        <v>219</v>
      </c>
      <c r="IK302" s="13">
        <f>IF(IB302=1,$IB$35,$IB$36)</f>
        <v>0</v>
      </c>
      <c r="IL302" s="13">
        <f>OCC_DAYS*$IB$41*R_NF_2023-ID302*MCD_SHARE_FREED*R_WAIT_2023</f>
        <v>151980.48282209205</v>
      </c>
      <c r="IM302">
        <f>IF($A302&lt;=$IB$45,1,0)</f>
        <v>0</v>
      </c>
      <c r="JB302">
        <f>IF($JB$31&lt;=$JB$32,IF($A302&lt;=$JB$7,1,2),IF($A302&lt;=RUNG_BEDS_2,2,1))</f>
        <v>1</v>
      </c>
      <c r="JC302" s="5">
        <f>MIN(1,MAX(0,$JB$26-($A302-1)))</f>
        <v>0</v>
      </c>
      <c r="JD302" s="5">
        <f>$JB$25*(JC302+(1-JC302)*$JB$16)</f>
        <v>0.0</v>
      </c>
      <c r="JE302" s="13">
        <f>JD302*($JB$6+ACUTE_MARGIN)</f>
        <v>0.0</v>
      </c>
      <c r="JF302" s="13">
        <f>IF(JB302=1,$JB$31,$JB$32)</f>
        <v>152394.16214437486</v>
      </c>
      <c r="JG302" s="13">
        <f>JE302-JF302</f>
        <v>-152394.16214437486</v>
      </c>
      <c r="JH302" s="13">
        <f>JH301+JG302</f>
        <v>4854649.118654244</v>
      </c>
      <c r="JI302">
        <f>IF(JH302=MAX($JH$83:$JH$483),$A302,0)</f>
        <v>0</v>
      </c>
      <c r="JJ302">
        <f>IF(JE302&lt;JF302,$A302,B_MAX+1)</f>
        <v>219</v>
      </c>
      <c r="JK302" s="13">
        <f>IF(JB302=1,$JB$35,$JB$36)</f>
        <v>0</v>
      </c>
      <c r="JL302" s="13">
        <f>OCC_DAYS*$JB$41*R_NF_2023-JD302*MCD_SHARE_FREED*R_WAIT_2023</f>
        <v>151980.48282209205</v>
      </c>
      <c r="JM302">
        <f>IF($A302&lt;=$JB$45,1,0)</f>
        <v>0</v>
      </c>
      <c r="KB302">
        <f>IF($KB$31&lt;=$KB$32,IF($A302&lt;=$KB$7,1,2),IF($A302&lt;=RUNG_BEDS_2,2,1))</f>
        <v>1</v>
      </c>
      <c r="KC302" s="5">
        <f>MIN(1,MAX(0,$KB$26-($A302-1)))</f>
        <v>1</v>
      </c>
      <c r="KD302" s="5">
        <f>$KB$25*(KC302+(1-KC302)*$KB$16)</f>
        <v>126.02661357340719</v>
      </c>
      <c r="KE302" s="13">
        <f>KD302*($KB$6+ACUTE_MARGIN)</f>
        <v>127286.87970914126</v>
      </c>
      <c r="KF302" s="13">
        <f>IF(KB302=1,$KB$31,$KB$32)</f>
        <v>152394.16214437486</v>
      </c>
      <c r="KG302" s="13">
        <f>KE302-KF302</f>
        <v>-25107.282435233603</v>
      </c>
      <c r="KH302" s="13">
        <f>KH301+KG302</f>
        <v>-5498494.853316177</v>
      </c>
      <c r="KI302">
        <f>IF(KH302=MAX($KH$83:$KH$483),$A302,0)</f>
        <v>0</v>
      </c>
      <c r="KJ302">
        <f>IF(KE302&lt;KF302,$A302,B_MAX+1)</f>
        <v>219</v>
      </c>
      <c r="KK302" s="13">
        <f>IF(KB302=1,$KB$35,$KB$36)</f>
        <v>0</v>
      </c>
      <c r="KL302" s="13">
        <f>OCC_DAYS*$KB$41*R_NF_2023-KD302*MCD_SHARE_FREED*R_WAIT_2023</f>
        <v>94673.82103225985</v>
      </c>
      <c r="KM302">
        <f>IF($A302&lt;=$KB$45,1,0)</f>
        <v>0</v>
      </c>
      <c r="LB302">
        <f>IF($LB$31&lt;=$LB$32,IF($A302&lt;=$LB$7,1,2),IF($A302&lt;=RUNG_BEDS_2,2,1))</f>
        <v>1</v>
      </c>
      <c r="LC302" s="5">
        <f>MIN(1,MAX(0,$LB$26-($A302-1)))</f>
        <v>1</v>
      </c>
      <c r="LD302" s="5">
        <f>$LB$25*(LC302+(1-LC302)*$LB$16)</f>
        <v>84.01774238227146</v>
      </c>
      <c r="LE302" s="13">
        <f>LD302*($LB$6+ACUTE_MARGIN)</f>
        <v>84857.91980609419</v>
      </c>
      <c r="LF302" s="13">
        <f>IF(LB302=1,$LB$31,$LB$32)</f>
        <v>152394.16214437486</v>
      </c>
      <c r="LG302" s="13">
        <f>LE302-LF302</f>
        <v>-67536.24233828067</v>
      </c>
      <c r="LH302" s="13">
        <f>LH301+LG302</f>
        <v>-14790437.072083537</v>
      </c>
      <c r="LI302">
        <f>IF(LH302=MAX($LH$83:$LH$483),$A302,0)</f>
        <v>0</v>
      </c>
      <c r="LJ302">
        <f>IF(LE302&lt;LF302,$A302,B_MAX+1)</f>
        <v>219</v>
      </c>
      <c r="LK302" s="13">
        <f>IF(LB302=1,$LB$35,$LB$36)</f>
        <v>0</v>
      </c>
      <c r="LL302" s="13">
        <f>OCC_DAYS*$LB$41*R_NF_2023-LD302*MCD_SHARE_FREED*R_WAIT_2023</f>
        <v>113776.04162887059</v>
      </c>
      <c r="LM302">
        <f>IF($A302&lt;=$LB$45,1,0)</f>
        <v>0</v>
      </c>
      <c r="MB302">
        <f>IF($MB$31&lt;=$MB$32,IF($A302&lt;=$MB$7,1,2),IF($A302&lt;=RUNG_BEDS_2,2,1))</f>
        <v>1</v>
      </c>
      <c r="MC302" s="5">
        <f>MIN(1,MAX(0,$MB$26-($A302-1)))</f>
        <v>0</v>
      </c>
      <c r="MD302" s="5">
        <f>$MB$25*(MC302+(1-MC302)*$MB$16)</f>
        <v>0.0</v>
      </c>
      <c r="ME302" s="13">
        <f>MD302*($MB$6+ACUTE_MARGIN)</f>
        <v>0.0</v>
      </c>
      <c r="MF302" s="13">
        <f>IF(MB302=1,$MB$31,$MB$32)</f>
        <v>152394.16214437486</v>
      </c>
      <c r="MG302" s="13">
        <f>ME302-MF302</f>
        <v>-152394.16214437486</v>
      </c>
      <c r="MH302" s="13">
        <f>MH301+MG302</f>
        <v>-1032626.9431440879</v>
      </c>
      <c r="MI302">
        <f>IF(MH302=MAX($MH$83:$MH$483),$A302,0)</f>
        <v>0</v>
      </c>
      <c r="MJ302">
        <f>IF(ME302&lt;MF302,$A302,B_MAX+1)</f>
        <v>219</v>
      </c>
      <c r="MK302" s="13">
        <f>IF(MB302=1,$MB$35,$MB$36)</f>
        <v>0</v>
      </c>
      <c r="ML302" s="13">
        <f>OCC_DAYS*$MB$41*R_NF_2023-MD302*MCD_SHARE_FREED*R_WAIT_2023</f>
        <v>151980.48282209205</v>
      </c>
      <c r="MM302">
        <f>IF($A302&lt;=$MB$45,1,0)</f>
        <v>0</v>
      </c>
      <c r="NB302">
        <f>IF($NB$31&lt;=$NB$32,IF($A302&lt;=$NB$7,1,2),IF($A302&lt;=RUNG_BEDS_2,2,1))</f>
        <v>1</v>
      </c>
      <c r="NC302" s="5">
        <f>MIN(1,MAX(0,$NB$26-($A302-1)))</f>
        <v>0</v>
      </c>
      <c r="ND302" s="5">
        <f>$NB$25*(NC302+(1-NC302)*$NB$16)</f>
        <v>63.013306786703595</v>
      </c>
      <c r="NE302" s="13">
        <f>ND302*($NB$6+ACUTE_MARGIN)</f>
        <v>63643.43985457063</v>
      </c>
      <c r="NF302" s="13">
        <f>IF(NB302=1,$NB$31,$NB$32)</f>
        <v>152394.16214437486</v>
      </c>
      <c r="NG302" s="13">
        <f>NE302-NF302</f>
        <v>-88750.72228980422</v>
      </c>
      <c r="NH302" s="13">
        <f>NH301+NG302</f>
        <v>9235319.78973711</v>
      </c>
      <c r="NI302">
        <f>IF(NH302=MAX($NH$83:$NH$483),$A302,0)</f>
        <v>0</v>
      </c>
      <c r="NJ302">
        <f>IF(NE302&lt;NF302,$A302,B_MAX+1)</f>
        <v>219</v>
      </c>
      <c r="NK302" s="13">
        <f>IF(NB302=1,$NB$35,$NB$36)</f>
        <v>0</v>
      </c>
      <c r="NL302" s="13">
        <f>OCC_DAYS*$NB$41*R_NF_2023-ND302*MCD_SHARE_FREED*R_WAIT_2023</f>
        <v>123327.15192717595</v>
      </c>
      <c r="NM302">
        <f>IF($A302&lt;=$NB$45,1,0)</f>
        <v>0</v>
      </c>
      <c r="OB302">
        <f>IF($OB$31&lt;=$OB$32,IF($A302&lt;=$OB$7,1,2),IF($A302&lt;=RUNG_BEDS_2,2,1))</f>
        <v>1</v>
      </c>
      <c r="OC302" s="5">
        <f>MIN(1,MAX(0,$OB$26-($A302-1)))</f>
        <v>0</v>
      </c>
      <c r="OD302" s="5">
        <f>$OB$25*(OC302+(1-OC302)*$OB$16)</f>
        <v>126.02661357340719</v>
      </c>
      <c r="OE302" s="13">
        <f>OD302*($OB$6+ACUTE_MARGIN)</f>
        <v>127286.87970914126</v>
      </c>
      <c r="OF302" s="13">
        <f>IF(OB302=1,$OB$31,$OB$32)</f>
        <v>152394.16214437486</v>
      </c>
      <c r="OG302" s="13">
        <f>OE302-OF302</f>
        <v>-25107.282435233603</v>
      </c>
      <c r="OH302" s="13">
        <f>OH301+OG302</f>
        <v>13615990.46082008</v>
      </c>
      <c r="OI302">
        <f>IF(OH302=MAX($OH$83:$OH$483),$A302,0)</f>
        <v>0</v>
      </c>
      <c r="OJ302">
        <f>IF(OE302&lt;OF302,$A302,B_MAX+1)</f>
        <v>219</v>
      </c>
      <c r="OK302" s="13">
        <f>IF(OB302=1,$OB$35,$OB$36)</f>
        <v>0</v>
      </c>
      <c r="OL302" s="13">
        <f>OCC_DAYS*$OB$41*R_NF_2023-OD302*MCD_SHARE_FREED*R_WAIT_2023</f>
        <v>94673.82103225985</v>
      </c>
      <c r="OM302">
        <f>IF($A302&lt;=$OB$45,1,0)</f>
        <v>0</v>
      </c>
    </row>
    <row r="303">
      <c r="A303" t="n">
        <v>220</v>
      </c>
      <c r="B303">
        <f>IF($B$31&lt;=$B$32,IF($A303&lt;=$B$7,1,2),IF($A303&lt;=RUNG_BEDS_2,2,1))</f>
        <v>1</v>
      </c>
      <c r="C303" s="5">
        <f>MIN(1,MAX(0,$B$26-($A303-1)))</f>
        <v>0</v>
      </c>
      <c r="D303" s="5">
        <f>$B$25*(C303+(1-C303)*$B$16)</f>
        <v>0.0</v>
      </c>
      <c r="E303" s="13">
        <f>D303*($B$6+ACUTE_MARGIN)</f>
        <v>0.0</v>
      </c>
      <c r="F303" s="13">
        <f>IF(B303=1,$B$31,$B$32)</f>
        <v>152394.16214437486</v>
      </c>
      <c r="G303" s="13">
        <f>E303-F303</f>
        <v>-152394.16214437486</v>
      </c>
      <c r="H303" s="13">
        <f>H302+G303</f>
        <v>4702254.956509869</v>
      </c>
      <c r="I303">
        <f>IF(H303=MAX($H$83:$H$483),$A303,0)</f>
        <v>0</v>
      </c>
      <c r="J303">
        <f>IF(E303&lt;F303,$A303,B_MAX+1)</f>
        <v>220</v>
      </c>
      <c r="K303" s="13">
        <f>IF(B303=1,$B$35,$B$36)</f>
        <v>0</v>
      </c>
      <c r="L303" s="13">
        <f>OCC_DAYS*$B$41*R_NF_2023-D303*MCD_SHARE_FREED*R_WAIT_2023</f>
        <v>151980.48282209205</v>
      </c>
      <c r="M303">
        <f>IF($A303&lt;=$B$45,1,0)</f>
        <v>0</v>
      </c>
      <c r="AB303">
        <f>IF($AB$31&lt;=$AB$32,IF($A303&lt;=$AB$7,1,2),IF($A303&lt;=RUNG_BEDS_2,2,1))</f>
        <v>1</v>
      </c>
      <c r="AC303" s="5">
        <f>MIN(1,MAX(0,$AB$26-($A303-1)))</f>
        <v>0</v>
      </c>
      <c r="AD303" s="5">
        <f>$AB$25*(AC303+(1-AC303)*$AB$16)</f>
        <v>0.0</v>
      </c>
      <c r="AE303" s="13">
        <f>AD303*($AB$6+ACUTE_MARGIN)</f>
        <v>0.0</v>
      </c>
      <c r="AF303" s="13">
        <f>IF(AB303=1,$AB$31,$AB$32)</f>
        <v>152394.16214437486</v>
      </c>
      <c r="AG303" s="13">
        <f>AE303-AF303</f>
        <v>-152394.16214437486</v>
      </c>
      <c r="AH303" s="13">
        <f>AH302+AG303</f>
        <v>-12708959.38903994</v>
      </c>
      <c r="AI303">
        <f>IF(AH303=MAX($AH$83:$AH$483),$A303,0)</f>
        <v>0</v>
      </c>
      <c r="AJ303">
        <f>IF(AE303&lt;AF303,$A303,B_MAX+1)</f>
        <v>220</v>
      </c>
      <c r="AK303" s="13">
        <f>IF(AB303=1,$AB$35,$AB$36)</f>
        <v>0</v>
      </c>
      <c r="AL303" s="13">
        <f>OCC_DAYS*$AB$41*R_NF_2023-AD303*MCD_SHARE_FREED*R_WAIT_2023</f>
        <v>151980.48282209205</v>
      </c>
      <c r="AM303">
        <f>IF($A303&lt;=$AB$45,1,0)</f>
        <v>0</v>
      </c>
      <c r="BB303">
        <f>IF($BB$31&lt;=$BB$32,IF($A303&lt;=$BB$7,1,2),IF($A303&lt;=RUNG_BEDS_2,2,1))</f>
        <v>1</v>
      </c>
      <c r="BC303" s="5">
        <f>MIN(1,MAX(0,$BB$26-($A303-1)))</f>
        <v>0</v>
      </c>
      <c r="BD303" s="5">
        <f>$BB$25*(BC303+(1-BC303)*$BB$16)</f>
        <v>0.0</v>
      </c>
      <c r="BE303" s="13">
        <f>BD303*($BB$6+ACUTE_MARGIN)</f>
        <v>0.0</v>
      </c>
      <c r="BF303" s="13">
        <f>IF(BB303=1,$BB$31,$BB$32)</f>
        <v>152394.16214437486</v>
      </c>
      <c r="BG303" s="13">
        <f>BE303-BF303</f>
        <v>-152394.16214437486</v>
      </c>
      <c r="BH303" s="13">
        <f>BH302+BG303</f>
        <v>22113469.302059554</v>
      </c>
      <c r="BI303">
        <f>IF(BH303=MAX($BH$83:$BH$483),$A303,0)</f>
        <v>0</v>
      </c>
      <c r="BJ303">
        <f>IF(BE303&lt;BF303,$A303,B_MAX+1)</f>
        <v>220</v>
      </c>
      <c r="BK303" s="13">
        <f>IF(BB303=1,$BB$35,$BB$36)</f>
        <v>0</v>
      </c>
      <c r="BL303" s="13">
        <f>OCC_DAYS*$BB$41*R_NF_2023-BD303*MCD_SHARE_FREED*R_WAIT_2023</f>
        <v>151980.48282209205</v>
      </c>
      <c r="BM303">
        <f>IF($A303&lt;=$BB$45,1,0)</f>
        <v>0</v>
      </c>
      <c r="CB303">
        <f>IF($CB$31&lt;=$CB$32,IF($A303&lt;=$CB$7,1,2),IF($A303&lt;=RUNG_BEDS_2,2,1))</f>
        <v>2</v>
      </c>
      <c r="CC303" s="5">
        <f>MIN(1,MAX(0,$CB$26-($A303-1)))</f>
        <v>0</v>
      </c>
      <c r="CD303" s="5">
        <f>$CB$25*(CC303+(1-CC303)*$CB$16)</f>
        <v>0.0</v>
      </c>
      <c r="CE303" s="13">
        <f>CD303*($CB$6+ACUTE_MARGIN)</f>
        <v>0.0</v>
      </c>
      <c r="CF303" s="13">
        <f>IF(CB303=1,$CB$31,$CB$32)</f>
        <v>160718.36940738867</v>
      </c>
      <c r="CG303" s="13">
        <f>CE303-CF303</f>
        <v>-160718.36940738867</v>
      </c>
      <c r="CH303" s="13">
        <f>CH302+CG303</f>
        <v>2870929.3586467137</v>
      </c>
      <c r="CI303">
        <f>IF(CH303=MAX($CH$83:$CH$483),$A303,0)</f>
        <v>0</v>
      </c>
      <c r="CJ303">
        <f>IF(CE303&lt;CF303,$A303,B_MAX+1)</f>
        <v>220</v>
      </c>
      <c r="CK303" s="13">
        <f>IF(CB303=1,$CB$35,$CB$36)</f>
        <v>1560.1194073886782</v>
      </c>
      <c r="CL303" s="13">
        <f>OCC_DAYS*$CB$41*R_NF_2023-CD303*MCD_SHARE_FREED*R_WAIT_2023</f>
        <v>151980.48282209205</v>
      </c>
      <c r="CM303">
        <f>IF($A303&lt;=$CB$45,1,0)</f>
        <v>0</v>
      </c>
      <c r="DB303">
        <f>IF($DB$31&lt;=$DB$32,IF($A303&lt;=$DB$7,1,2),IF($A303&lt;=RUNG_BEDS_2,2,1))</f>
        <v>1</v>
      </c>
      <c r="DC303" s="5">
        <f>MIN(1,MAX(0,$DB$26-($A303-1)))</f>
        <v>0</v>
      </c>
      <c r="DD303" s="5">
        <f>$DB$25*(DC303+(1-DC303)*$DB$16)</f>
        <v>0.0</v>
      </c>
      <c r="DE303" s="13">
        <f>DD303*($DB$6+ACUTE_MARGIN)</f>
        <v>0.0</v>
      </c>
      <c r="DF303" s="13">
        <f>IF(DB303=1,$DB$31,$DB$32)</f>
        <v>152394.16214437486</v>
      </c>
      <c r="DG303" s="13">
        <f>DE303-DF303</f>
        <v>-152394.16214437486</v>
      </c>
      <c r="DH303" s="13">
        <f>DH302+DG303</f>
        <v>4702254.956509869</v>
      </c>
      <c r="DI303">
        <f>IF(DH303=MAX($DH$83:$DH$483),$A303,0)</f>
        <v>0</v>
      </c>
      <c r="DJ303">
        <f>IF(DE303&lt;DF303,$A303,B_MAX+1)</f>
        <v>220</v>
      </c>
      <c r="DK303" s="13">
        <f>IF(DB303=1,$DB$35,$DB$36)</f>
        <v>0</v>
      </c>
      <c r="DL303" s="13">
        <f>OCC_DAYS*$DB$41*R_NF_2023-DD303*MCD_SHARE_FREED*R_WAIT_2023</f>
        <v>151980.48282209205</v>
      </c>
      <c r="DM303">
        <f>IF($A303&lt;=$DB$45,1,0)</f>
        <v>0</v>
      </c>
      <c r="EB303">
        <f>IF($EB$31&lt;=$EB$32,IF($A303&lt;=$EB$7,1,2),IF($A303&lt;=RUNG_BEDS_2,2,1))</f>
        <v>1</v>
      </c>
      <c r="EC303" s="5">
        <f>MIN(1,MAX(0,$EB$26-($A303-1)))</f>
        <v>0</v>
      </c>
      <c r="ED303" s="5">
        <f>$EB$25*(EC303+(1-EC303)*$EB$16)</f>
        <v>0.0</v>
      </c>
      <c r="EE303" s="13">
        <f>ED303*($EB$6+ACUTE_MARGIN)</f>
        <v>0.0</v>
      </c>
      <c r="EF303" s="13">
        <f>IF(EB303=1,$EB$31,$EB$32)</f>
        <v>152394.16214437486</v>
      </c>
      <c r="EG303" s="13">
        <f>EE303-EF303</f>
        <v>-152394.16214437486</v>
      </c>
      <c r="EH303" s="13">
        <f>EH302+EG303</f>
        <v>4702254.956509869</v>
      </c>
      <c r="EI303">
        <f>IF(EH303=MAX($EH$83:$EH$483),$A303,0)</f>
        <v>0</v>
      </c>
      <c r="EJ303">
        <f>IF(EE303&lt;EF303,$A303,B_MAX+1)</f>
        <v>220</v>
      </c>
      <c r="EK303" s="13">
        <f>IF(EB303=1,$EB$35,$EB$36)</f>
        <v>0</v>
      </c>
      <c r="EL303" s="13">
        <f>OCC_DAYS*$EB$41*R_NF_2023-ED303*MCD_SHARE_FREED*R_WAIT_2023</f>
        <v>50660.16094069735</v>
      </c>
      <c r="EM303">
        <f>IF($A303&lt;=$EB$45,1,0)</f>
        <v>0</v>
      </c>
      <c r="FB303">
        <f>IF($FB$31&lt;=$FB$32,IF($A303&lt;=$FB$7,1,2),IF($A303&lt;=RUNG_BEDS_2,2,1))</f>
        <v>1</v>
      </c>
      <c r="FC303" s="5">
        <f>MIN(1,MAX(0,$FB$26-($A303-1)))</f>
        <v>0</v>
      </c>
      <c r="FD303" s="5">
        <f>$FB$25*(FC303+(1-FC303)*$FB$16)</f>
        <v>0.0</v>
      </c>
      <c r="FE303" s="13">
        <f>FD303*($FB$6+ACUTE_MARGIN)</f>
        <v>0.0</v>
      </c>
      <c r="FF303" s="13">
        <f>IF(FB303=1,$FB$31,$FB$32)</f>
        <v>156636.04979437485</v>
      </c>
      <c r="FG303" s="13">
        <f>FE303-FF303</f>
        <v>-156636.04979437485</v>
      </c>
      <c r="FH303" s="13">
        <f>FH302+FG303</f>
        <v>3769039.6735097542</v>
      </c>
      <c r="FI303">
        <f>IF(FH303=MAX($FH$83:$FH$483),$A303,0)</f>
        <v>0</v>
      </c>
      <c r="FJ303">
        <f>IF(FE303&lt;FF303,$A303,B_MAX+1)</f>
        <v>220</v>
      </c>
      <c r="FK303" s="13">
        <f>IF(FB303=1,$FB$35,$FB$36)</f>
        <v>0</v>
      </c>
      <c r="FL303" s="13">
        <f>OCC_DAYS*$FB$41*R_NF_2023-FD303*MCD_SHARE_FREED*R_WAIT_2023</f>
        <v>151980.48282209205</v>
      </c>
      <c r="FM303">
        <f>IF($A303&lt;=$FB$45,1,0)</f>
        <v>0</v>
      </c>
      <c r="GB303">
        <f>IF($GB$31&lt;=$GB$32,IF($A303&lt;=$GB$7,1,2),IF($A303&lt;=RUNG_BEDS_2,2,1))</f>
        <v>1</v>
      </c>
      <c r="GC303" s="5">
        <f>MIN(1,MAX(0,$GB$26-($A303-1)))</f>
        <v>0</v>
      </c>
      <c r="GD303" s="5">
        <f>$GB$25*(GC303+(1-GC303)*$GB$16)</f>
        <v>0.0</v>
      </c>
      <c r="GE303" s="13">
        <f>GD303*($GB$6+ACUTE_MARGIN)</f>
        <v>0.0</v>
      </c>
      <c r="GF303" s="13">
        <f>IF(GB303=1,$GB$31,$GB$32)</f>
        <v>152394.16214437486</v>
      </c>
      <c r="GG303" s="13">
        <f>GE303-GF303</f>
        <v>-152394.16214437486</v>
      </c>
      <c r="GH303" s="13">
        <f>GH302+GG303</f>
        <v>4702254.956509869</v>
      </c>
      <c r="GI303">
        <f>IF(GH303=MAX($GH$83:$GH$483),$A303,0)</f>
        <v>0</v>
      </c>
      <c r="GJ303">
        <f>IF(GE303&lt;GF303,$A303,B_MAX+1)</f>
        <v>220</v>
      </c>
      <c r="GK303" s="13">
        <f>IF(GB303=1,$GB$35,$GB$36)</f>
        <v>0</v>
      </c>
      <c r="GL303" s="13">
        <f>OCC_DAYS*$GB$41*R_NF_2023-GD303*MCD_SHARE_FREED*R_WAIT_2023</f>
        <v>151980.48282209205</v>
      </c>
      <c r="GM303">
        <f>IF($A303&lt;=$GB$45,1,0)</f>
        <v>0</v>
      </c>
      <c r="HB303">
        <f>IF($HB$31&lt;=$HB$32,IF($A303&lt;=$HB$7,1,2),IF($A303&lt;=RUNG_BEDS_2,2,1))</f>
        <v>1</v>
      </c>
      <c r="HC303" s="5">
        <f>MIN(1,MAX(0,$HB$26-($A303-1)))</f>
        <v>0</v>
      </c>
      <c r="HD303" s="5">
        <f>$HB$25*(HC303+(1-HC303)*$HB$16)</f>
        <v>0.0</v>
      </c>
      <c r="HE303" s="13">
        <f>HD303*($HB$6+ACUTE_MARGIN)</f>
        <v>0.0</v>
      </c>
      <c r="HF303" s="13">
        <f>IF(HB303=1,$HB$31,$HB$32)</f>
        <v>152456.2970814058</v>
      </c>
      <c r="HG303" s="13">
        <f>HE303-HF303</f>
        <v>-152456.2970814058</v>
      </c>
      <c r="HH303" s="13">
        <f>HH302+HG303</f>
        <v>4688585.270363021</v>
      </c>
      <c r="HI303">
        <f>IF(HH303=MAX($HH$83:$HH$483),$A303,0)</f>
        <v>0</v>
      </c>
      <c r="HJ303">
        <f>IF(HE303&lt;HF303,$A303,B_MAX+1)</f>
        <v>220</v>
      </c>
      <c r="HK303" s="13">
        <f>IF(HB303=1,$HB$35,$HB$36)</f>
        <v>0</v>
      </c>
      <c r="HL303" s="13">
        <f>OCC_DAYS*$HB$41*R_NF_2023-HD303*MCD_SHARE_FREED*R_WAIT_2023</f>
        <v>151980.48282209205</v>
      </c>
      <c r="HM303">
        <f>IF($A303&lt;=$HB$45,1,0)</f>
        <v>0</v>
      </c>
      <c r="IB303">
        <f>IF($IB$31&lt;=$IB$32,IF($A303&lt;=$IB$7,1,2),IF($A303&lt;=RUNG_BEDS_2,2,1))</f>
        <v>1</v>
      </c>
      <c r="IC303" s="5">
        <f>MIN(1,MAX(0,$IB$26-($A303-1)))</f>
        <v>0</v>
      </c>
      <c r="ID303" s="5">
        <f>$IB$25*(IC303+(1-IC303)*$IB$16)</f>
        <v>0.0</v>
      </c>
      <c r="IE303" s="13">
        <f>ID303*($IB$6+ACUTE_MARGIN)</f>
        <v>0.0</v>
      </c>
      <c r="IF303" s="13">
        <f>IF(IB303=1,$IB$31,$IB$32)</f>
        <v>152734.9994534971</v>
      </c>
      <c r="IG303" s="13">
        <f>IE303-IF303</f>
        <v>-152734.9994534971</v>
      </c>
      <c r="IH303" s="13">
        <f>IH302+IG303</f>
        <v>4627270.748502881</v>
      </c>
      <c r="II303">
        <f>IF(IH303=MAX($IH$83:$IH$483),$A303,0)</f>
        <v>0</v>
      </c>
      <c r="IJ303">
        <f>IF(IE303&lt;IF303,$A303,B_MAX+1)</f>
        <v>220</v>
      </c>
      <c r="IK303" s="13">
        <f>IF(IB303=1,$IB$35,$IB$36)</f>
        <v>0</v>
      </c>
      <c r="IL303" s="13">
        <f>OCC_DAYS*$IB$41*R_NF_2023-ID303*MCD_SHARE_FREED*R_WAIT_2023</f>
        <v>151980.48282209205</v>
      </c>
      <c r="IM303">
        <f>IF($A303&lt;=$IB$45,1,0)</f>
        <v>0</v>
      </c>
      <c r="JB303">
        <f>IF($JB$31&lt;=$JB$32,IF($A303&lt;=$JB$7,1,2),IF($A303&lt;=RUNG_BEDS_2,2,1))</f>
        <v>1</v>
      </c>
      <c r="JC303" s="5">
        <f>MIN(1,MAX(0,$JB$26-($A303-1)))</f>
        <v>0</v>
      </c>
      <c r="JD303" s="5">
        <f>$JB$25*(JC303+(1-JC303)*$JB$16)</f>
        <v>0.0</v>
      </c>
      <c r="JE303" s="13">
        <f>JD303*($JB$6+ACUTE_MARGIN)</f>
        <v>0.0</v>
      </c>
      <c r="JF303" s="13">
        <f>IF(JB303=1,$JB$31,$JB$32)</f>
        <v>152394.16214437486</v>
      </c>
      <c r="JG303" s="13">
        <f>JE303-JF303</f>
        <v>-152394.16214437486</v>
      </c>
      <c r="JH303" s="13">
        <f>JH302+JG303</f>
        <v>4702254.956509869</v>
      </c>
      <c r="JI303">
        <f>IF(JH303=MAX($JH$83:$JH$483),$A303,0)</f>
        <v>0</v>
      </c>
      <c r="JJ303">
        <f>IF(JE303&lt;JF303,$A303,B_MAX+1)</f>
        <v>220</v>
      </c>
      <c r="JK303" s="13">
        <f>IF(JB303=1,$JB$35,$JB$36)</f>
        <v>0</v>
      </c>
      <c r="JL303" s="13">
        <f>OCC_DAYS*$JB$41*R_NF_2023-JD303*MCD_SHARE_FREED*R_WAIT_2023</f>
        <v>151980.48282209205</v>
      </c>
      <c r="JM303">
        <f>IF($A303&lt;=$JB$45,1,0)</f>
        <v>0</v>
      </c>
      <c r="KB303">
        <f>IF($KB$31&lt;=$KB$32,IF($A303&lt;=$KB$7,1,2),IF($A303&lt;=RUNG_BEDS_2,2,1))</f>
        <v>1</v>
      </c>
      <c r="KC303" s="5">
        <f>MIN(1,MAX(0,$KB$26-($A303-1)))</f>
        <v>1</v>
      </c>
      <c r="KD303" s="5">
        <f>$KB$25*(KC303+(1-KC303)*$KB$16)</f>
        <v>126.02661357340719</v>
      </c>
      <c r="KE303" s="13">
        <f>KD303*($KB$6+ACUTE_MARGIN)</f>
        <v>127286.87970914126</v>
      </c>
      <c r="KF303" s="13">
        <f>IF(KB303=1,$KB$31,$KB$32)</f>
        <v>152394.16214437486</v>
      </c>
      <c r="KG303" s="13">
        <f>KE303-KF303</f>
        <v>-25107.282435233603</v>
      </c>
      <c r="KH303" s="13">
        <f>KH302+KG303</f>
        <v>-5523602.13575141</v>
      </c>
      <c r="KI303">
        <f>IF(KH303=MAX($KH$83:$KH$483),$A303,0)</f>
        <v>0</v>
      </c>
      <c r="KJ303">
        <f>IF(KE303&lt;KF303,$A303,B_MAX+1)</f>
        <v>220</v>
      </c>
      <c r="KK303" s="13">
        <f>IF(KB303=1,$KB$35,$KB$36)</f>
        <v>0</v>
      </c>
      <c r="KL303" s="13">
        <f>OCC_DAYS*$KB$41*R_NF_2023-KD303*MCD_SHARE_FREED*R_WAIT_2023</f>
        <v>94673.82103225985</v>
      </c>
      <c r="KM303">
        <f>IF($A303&lt;=$KB$45,1,0)</f>
        <v>0</v>
      </c>
      <c r="LB303">
        <f>IF($LB$31&lt;=$LB$32,IF($A303&lt;=$LB$7,1,2),IF($A303&lt;=RUNG_BEDS_2,2,1))</f>
        <v>1</v>
      </c>
      <c r="LC303" s="5">
        <f>MIN(1,MAX(0,$LB$26-($A303-1)))</f>
        <v>1</v>
      </c>
      <c r="LD303" s="5">
        <f>$LB$25*(LC303+(1-LC303)*$LB$16)</f>
        <v>84.01774238227146</v>
      </c>
      <c r="LE303" s="13">
        <f>LD303*($LB$6+ACUTE_MARGIN)</f>
        <v>84857.91980609419</v>
      </c>
      <c r="LF303" s="13">
        <f>IF(LB303=1,$LB$31,$LB$32)</f>
        <v>152394.16214437486</v>
      </c>
      <c r="LG303" s="13">
        <f>LE303-LF303</f>
        <v>-67536.24233828067</v>
      </c>
      <c r="LH303" s="13">
        <f>LH302+LG303</f>
        <v>-14857973.314421818</v>
      </c>
      <c r="LI303">
        <f>IF(LH303=MAX($LH$83:$LH$483),$A303,0)</f>
        <v>0</v>
      </c>
      <c r="LJ303">
        <f>IF(LE303&lt;LF303,$A303,B_MAX+1)</f>
        <v>220</v>
      </c>
      <c r="LK303" s="13">
        <f>IF(LB303=1,$LB$35,$LB$36)</f>
        <v>0</v>
      </c>
      <c r="LL303" s="13">
        <f>OCC_DAYS*$LB$41*R_NF_2023-LD303*MCD_SHARE_FREED*R_WAIT_2023</f>
        <v>113776.04162887059</v>
      </c>
      <c r="LM303">
        <f>IF($A303&lt;=$LB$45,1,0)</f>
        <v>0</v>
      </c>
      <c r="MB303">
        <f>IF($MB$31&lt;=$MB$32,IF($A303&lt;=$MB$7,1,2),IF($A303&lt;=RUNG_BEDS_2,2,1))</f>
        <v>1</v>
      </c>
      <c r="MC303" s="5">
        <f>MIN(1,MAX(0,$MB$26-($A303-1)))</f>
        <v>0</v>
      </c>
      <c r="MD303" s="5">
        <f>$MB$25*(MC303+(1-MC303)*$MB$16)</f>
        <v>0.0</v>
      </c>
      <c r="ME303" s="13">
        <f>MD303*($MB$6+ACUTE_MARGIN)</f>
        <v>0.0</v>
      </c>
      <c r="MF303" s="13">
        <f>IF(MB303=1,$MB$31,$MB$32)</f>
        <v>152394.16214437486</v>
      </c>
      <c r="MG303" s="13">
        <f>ME303-MF303</f>
        <v>-152394.16214437486</v>
      </c>
      <c r="MH303" s="13">
        <f>MH302+MG303</f>
        <v>-1185021.1052884627</v>
      </c>
      <c r="MI303">
        <f>IF(MH303=MAX($MH$83:$MH$483),$A303,0)</f>
        <v>0</v>
      </c>
      <c r="MJ303">
        <f>IF(ME303&lt;MF303,$A303,B_MAX+1)</f>
        <v>220</v>
      </c>
      <c r="MK303" s="13">
        <f>IF(MB303=1,$MB$35,$MB$36)</f>
        <v>0</v>
      </c>
      <c r="ML303" s="13">
        <f>OCC_DAYS*$MB$41*R_NF_2023-MD303*MCD_SHARE_FREED*R_WAIT_2023</f>
        <v>151980.48282209205</v>
      </c>
      <c r="MM303">
        <f>IF($A303&lt;=$MB$45,1,0)</f>
        <v>0</v>
      </c>
      <c r="NB303">
        <f>IF($NB$31&lt;=$NB$32,IF($A303&lt;=$NB$7,1,2),IF($A303&lt;=RUNG_BEDS_2,2,1))</f>
        <v>1</v>
      </c>
      <c r="NC303" s="5">
        <f>MIN(1,MAX(0,$NB$26-($A303-1)))</f>
        <v>0</v>
      </c>
      <c r="ND303" s="5">
        <f>$NB$25*(NC303+(1-NC303)*$NB$16)</f>
        <v>63.013306786703595</v>
      </c>
      <c r="NE303" s="13">
        <f>ND303*($NB$6+ACUTE_MARGIN)</f>
        <v>63643.43985457063</v>
      </c>
      <c r="NF303" s="13">
        <f>IF(NB303=1,$NB$31,$NB$32)</f>
        <v>152394.16214437486</v>
      </c>
      <c r="NG303" s="13">
        <f>NE303-NF303</f>
        <v>-88750.72228980422</v>
      </c>
      <c r="NH303" s="13">
        <f>NH302+NG303</f>
        <v>9146569.067447305</v>
      </c>
      <c r="NI303">
        <f>IF(NH303=MAX($NH$83:$NH$483),$A303,0)</f>
        <v>0</v>
      </c>
      <c r="NJ303">
        <f>IF(NE303&lt;NF303,$A303,B_MAX+1)</f>
        <v>220</v>
      </c>
      <c r="NK303" s="13">
        <f>IF(NB303=1,$NB$35,$NB$36)</f>
        <v>0</v>
      </c>
      <c r="NL303" s="13">
        <f>OCC_DAYS*$NB$41*R_NF_2023-ND303*MCD_SHARE_FREED*R_WAIT_2023</f>
        <v>123327.15192717595</v>
      </c>
      <c r="NM303">
        <f>IF($A303&lt;=$NB$45,1,0)</f>
        <v>0</v>
      </c>
      <c r="OB303">
        <f>IF($OB$31&lt;=$OB$32,IF($A303&lt;=$OB$7,1,2),IF($A303&lt;=RUNG_BEDS_2,2,1))</f>
        <v>1</v>
      </c>
      <c r="OC303" s="5">
        <f>MIN(1,MAX(0,$OB$26-($A303-1)))</f>
        <v>0</v>
      </c>
      <c r="OD303" s="5">
        <f>$OB$25*(OC303+(1-OC303)*$OB$16)</f>
        <v>126.02661357340719</v>
      </c>
      <c r="OE303" s="13">
        <f>OD303*($OB$6+ACUTE_MARGIN)</f>
        <v>127286.87970914126</v>
      </c>
      <c r="OF303" s="13">
        <f>IF(OB303=1,$OB$31,$OB$32)</f>
        <v>152394.16214437486</v>
      </c>
      <c r="OG303" s="13">
        <f>OE303-OF303</f>
        <v>-25107.282435233603</v>
      </c>
      <c r="OH303" s="13">
        <f>OH302+OG303</f>
        <v>13590883.178384848</v>
      </c>
      <c r="OI303">
        <f>IF(OH303=MAX($OH$83:$OH$483),$A303,0)</f>
        <v>0</v>
      </c>
      <c r="OJ303">
        <f>IF(OE303&lt;OF303,$A303,B_MAX+1)</f>
        <v>220</v>
      </c>
      <c r="OK303" s="13">
        <f>IF(OB303=1,$OB$35,$OB$36)</f>
        <v>0</v>
      </c>
      <c r="OL303" s="13">
        <f>OCC_DAYS*$OB$41*R_NF_2023-OD303*MCD_SHARE_FREED*R_WAIT_2023</f>
        <v>94673.82103225985</v>
      </c>
      <c r="OM303">
        <f>IF($A303&lt;=$OB$45,1,0)</f>
        <v>0</v>
      </c>
    </row>
    <row r="304">
      <c r="A304" t="n">
        <v>221</v>
      </c>
      <c r="B304">
        <f>IF($B$31&lt;=$B$32,IF($A304&lt;=$B$7,1,2),IF($A304&lt;=RUNG_BEDS_2,2,1))</f>
        <v>1</v>
      </c>
      <c r="C304" s="5">
        <f>MIN(1,MAX(0,$B$26-($A304-1)))</f>
        <v>0</v>
      </c>
      <c r="D304" s="5">
        <f>$B$25*(C304+(1-C304)*$B$16)</f>
        <v>0.0</v>
      </c>
      <c r="E304" s="13">
        <f>D304*($B$6+ACUTE_MARGIN)</f>
        <v>0.0</v>
      </c>
      <c r="F304" s="13">
        <f>IF(B304=1,$B$31,$B$32)</f>
        <v>152394.16214437486</v>
      </c>
      <c r="G304" s="13">
        <f>E304-F304</f>
        <v>-152394.16214437486</v>
      </c>
      <c r="H304" s="13">
        <f>H303+G304</f>
        <v>4549860.794365494</v>
      </c>
      <c r="I304">
        <f>IF(H304=MAX($H$83:$H$483),$A304,0)</f>
        <v>0</v>
      </c>
      <c r="J304">
        <f>IF(E304&lt;F304,$A304,B_MAX+1)</f>
        <v>221</v>
      </c>
      <c r="K304" s="13">
        <f>IF(B304=1,$B$35,$B$36)</f>
        <v>0</v>
      </c>
      <c r="L304" s="13">
        <f>OCC_DAYS*$B$41*R_NF_2023-D304*MCD_SHARE_FREED*R_WAIT_2023</f>
        <v>151980.48282209205</v>
      </c>
      <c r="M304">
        <f>IF($A304&lt;=$B$45,1,0)</f>
        <v>0</v>
      </c>
      <c r="AB304">
        <f>IF($AB$31&lt;=$AB$32,IF($A304&lt;=$AB$7,1,2),IF($A304&lt;=RUNG_BEDS_2,2,1))</f>
        <v>1</v>
      </c>
      <c r="AC304" s="5">
        <f>MIN(1,MAX(0,$AB$26-($A304-1)))</f>
        <v>0</v>
      </c>
      <c r="AD304" s="5">
        <f>$AB$25*(AC304+(1-AC304)*$AB$16)</f>
        <v>0.0</v>
      </c>
      <c r="AE304" s="13">
        <f>AD304*($AB$6+ACUTE_MARGIN)</f>
        <v>0.0</v>
      </c>
      <c r="AF304" s="13">
        <f>IF(AB304=1,$AB$31,$AB$32)</f>
        <v>152394.16214437486</v>
      </c>
      <c r="AG304" s="13">
        <f>AE304-AF304</f>
        <v>-152394.16214437486</v>
      </c>
      <c r="AH304" s="13">
        <f>AH303+AG304</f>
        <v>-12861353.551184313</v>
      </c>
      <c r="AI304">
        <f>IF(AH304=MAX($AH$83:$AH$483),$A304,0)</f>
        <v>0</v>
      </c>
      <c r="AJ304">
        <f>IF(AE304&lt;AF304,$A304,B_MAX+1)</f>
        <v>221</v>
      </c>
      <c r="AK304" s="13">
        <f>IF(AB304=1,$AB$35,$AB$36)</f>
        <v>0</v>
      </c>
      <c r="AL304" s="13">
        <f>OCC_DAYS*$AB$41*R_NF_2023-AD304*MCD_SHARE_FREED*R_WAIT_2023</f>
        <v>151980.48282209205</v>
      </c>
      <c r="AM304">
        <f>IF($A304&lt;=$AB$45,1,0)</f>
        <v>0</v>
      </c>
      <c r="BB304">
        <f>IF($BB$31&lt;=$BB$32,IF($A304&lt;=$BB$7,1,2),IF($A304&lt;=RUNG_BEDS_2,2,1))</f>
        <v>1</v>
      </c>
      <c r="BC304" s="5">
        <f>MIN(1,MAX(0,$BB$26-($A304-1)))</f>
        <v>0</v>
      </c>
      <c r="BD304" s="5">
        <f>$BB$25*(BC304+(1-BC304)*$BB$16)</f>
        <v>0.0</v>
      </c>
      <c r="BE304" s="13">
        <f>BD304*($BB$6+ACUTE_MARGIN)</f>
        <v>0.0</v>
      </c>
      <c r="BF304" s="13">
        <f>IF(BB304=1,$BB$31,$BB$32)</f>
        <v>152394.16214437486</v>
      </c>
      <c r="BG304" s="13">
        <f>BE304-BF304</f>
        <v>-152394.16214437486</v>
      </c>
      <c r="BH304" s="13">
        <f>BH303+BG304</f>
        <v>21961075.13991518</v>
      </c>
      <c r="BI304">
        <f>IF(BH304=MAX($BH$83:$BH$483),$A304,0)</f>
        <v>0</v>
      </c>
      <c r="BJ304">
        <f>IF(BE304&lt;BF304,$A304,B_MAX+1)</f>
        <v>221</v>
      </c>
      <c r="BK304" s="13">
        <f>IF(BB304=1,$BB$35,$BB$36)</f>
        <v>0</v>
      </c>
      <c r="BL304" s="13">
        <f>OCC_DAYS*$BB$41*R_NF_2023-BD304*MCD_SHARE_FREED*R_WAIT_2023</f>
        <v>151980.48282209205</v>
      </c>
      <c r="BM304">
        <f>IF($A304&lt;=$BB$45,1,0)</f>
        <v>0</v>
      </c>
      <c r="CB304">
        <f>IF($CB$31&lt;=$CB$32,IF($A304&lt;=$CB$7,1,2),IF($A304&lt;=RUNG_BEDS_2,2,1))</f>
        <v>2</v>
      </c>
      <c r="CC304" s="5">
        <f>MIN(1,MAX(0,$CB$26-($A304-1)))</f>
        <v>0</v>
      </c>
      <c r="CD304" s="5">
        <f>$CB$25*(CC304+(1-CC304)*$CB$16)</f>
        <v>0.0</v>
      </c>
      <c r="CE304" s="13">
        <f>CD304*($CB$6+ACUTE_MARGIN)</f>
        <v>0.0</v>
      </c>
      <c r="CF304" s="13">
        <f>IF(CB304=1,$CB$31,$CB$32)</f>
        <v>160718.36940738867</v>
      </c>
      <c r="CG304" s="13">
        <f>CE304-CF304</f>
        <v>-160718.36940738867</v>
      </c>
      <c r="CH304" s="13">
        <f>CH303+CG304</f>
        <v>2710210.989239325</v>
      </c>
      <c r="CI304">
        <f>IF(CH304=MAX($CH$83:$CH$483),$A304,0)</f>
        <v>0</v>
      </c>
      <c r="CJ304">
        <f>IF(CE304&lt;CF304,$A304,B_MAX+1)</f>
        <v>221</v>
      </c>
      <c r="CK304" s="13">
        <f>IF(CB304=1,$CB$35,$CB$36)</f>
        <v>1560.1194073886782</v>
      </c>
      <c r="CL304" s="13">
        <f>OCC_DAYS*$CB$41*R_NF_2023-CD304*MCD_SHARE_FREED*R_WAIT_2023</f>
        <v>151980.48282209205</v>
      </c>
      <c r="CM304">
        <f>IF($A304&lt;=$CB$45,1,0)</f>
        <v>0</v>
      </c>
      <c r="DB304">
        <f>IF($DB$31&lt;=$DB$32,IF($A304&lt;=$DB$7,1,2),IF($A304&lt;=RUNG_BEDS_2,2,1))</f>
        <v>1</v>
      </c>
      <c r="DC304" s="5">
        <f>MIN(1,MAX(0,$DB$26-($A304-1)))</f>
        <v>0</v>
      </c>
      <c r="DD304" s="5">
        <f>$DB$25*(DC304+(1-DC304)*$DB$16)</f>
        <v>0.0</v>
      </c>
      <c r="DE304" s="13">
        <f>DD304*($DB$6+ACUTE_MARGIN)</f>
        <v>0.0</v>
      </c>
      <c r="DF304" s="13">
        <f>IF(DB304=1,$DB$31,$DB$32)</f>
        <v>152394.16214437486</v>
      </c>
      <c r="DG304" s="13">
        <f>DE304-DF304</f>
        <v>-152394.16214437486</v>
      </c>
      <c r="DH304" s="13">
        <f>DH303+DG304</f>
        <v>4549860.794365494</v>
      </c>
      <c r="DI304">
        <f>IF(DH304=MAX($DH$83:$DH$483),$A304,0)</f>
        <v>0</v>
      </c>
      <c r="DJ304">
        <f>IF(DE304&lt;DF304,$A304,B_MAX+1)</f>
        <v>221</v>
      </c>
      <c r="DK304" s="13">
        <f>IF(DB304=1,$DB$35,$DB$36)</f>
        <v>0</v>
      </c>
      <c r="DL304" s="13">
        <f>OCC_DAYS*$DB$41*R_NF_2023-DD304*MCD_SHARE_FREED*R_WAIT_2023</f>
        <v>151980.48282209205</v>
      </c>
      <c r="DM304">
        <f>IF($A304&lt;=$DB$45,1,0)</f>
        <v>0</v>
      </c>
      <c r="EB304">
        <f>IF($EB$31&lt;=$EB$32,IF($A304&lt;=$EB$7,1,2),IF($A304&lt;=RUNG_BEDS_2,2,1))</f>
        <v>1</v>
      </c>
      <c r="EC304" s="5">
        <f>MIN(1,MAX(0,$EB$26-($A304-1)))</f>
        <v>0</v>
      </c>
      <c r="ED304" s="5">
        <f>$EB$25*(EC304+(1-EC304)*$EB$16)</f>
        <v>0.0</v>
      </c>
      <c r="EE304" s="13">
        <f>ED304*($EB$6+ACUTE_MARGIN)</f>
        <v>0.0</v>
      </c>
      <c r="EF304" s="13">
        <f>IF(EB304=1,$EB$31,$EB$32)</f>
        <v>152394.16214437486</v>
      </c>
      <c r="EG304" s="13">
        <f>EE304-EF304</f>
        <v>-152394.16214437486</v>
      </c>
      <c r="EH304" s="13">
        <f>EH303+EG304</f>
        <v>4549860.794365494</v>
      </c>
      <c r="EI304">
        <f>IF(EH304=MAX($EH$83:$EH$483),$A304,0)</f>
        <v>0</v>
      </c>
      <c r="EJ304">
        <f>IF(EE304&lt;EF304,$A304,B_MAX+1)</f>
        <v>221</v>
      </c>
      <c r="EK304" s="13">
        <f>IF(EB304=1,$EB$35,$EB$36)</f>
        <v>0</v>
      </c>
      <c r="EL304" s="13">
        <f>OCC_DAYS*$EB$41*R_NF_2023-ED304*MCD_SHARE_FREED*R_WAIT_2023</f>
        <v>50660.16094069735</v>
      </c>
      <c r="EM304">
        <f>IF($A304&lt;=$EB$45,1,0)</f>
        <v>0</v>
      </c>
      <c r="FB304">
        <f>IF($FB$31&lt;=$FB$32,IF($A304&lt;=$FB$7,1,2),IF($A304&lt;=RUNG_BEDS_2,2,1))</f>
        <v>1</v>
      </c>
      <c r="FC304" s="5">
        <f>MIN(1,MAX(0,$FB$26-($A304-1)))</f>
        <v>0</v>
      </c>
      <c r="FD304" s="5">
        <f>$FB$25*(FC304+(1-FC304)*$FB$16)</f>
        <v>0.0</v>
      </c>
      <c r="FE304" s="13">
        <f>FD304*($FB$6+ACUTE_MARGIN)</f>
        <v>0.0</v>
      </c>
      <c r="FF304" s="13">
        <f>IF(FB304=1,$FB$31,$FB$32)</f>
        <v>156636.04979437485</v>
      </c>
      <c r="FG304" s="13">
        <f>FE304-FF304</f>
        <v>-156636.04979437485</v>
      </c>
      <c r="FH304" s="13">
        <f>FH303+FG304</f>
        <v>3612403.6237153793</v>
      </c>
      <c r="FI304">
        <f>IF(FH304=MAX($FH$83:$FH$483),$A304,0)</f>
        <v>0</v>
      </c>
      <c r="FJ304">
        <f>IF(FE304&lt;FF304,$A304,B_MAX+1)</f>
        <v>221</v>
      </c>
      <c r="FK304" s="13">
        <f>IF(FB304=1,$FB$35,$FB$36)</f>
        <v>0</v>
      </c>
      <c r="FL304" s="13">
        <f>OCC_DAYS*$FB$41*R_NF_2023-FD304*MCD_SHARE_FREED*R_WAIT_2023</f>
        <v>151980.48282209205</v>
      </c>
      <c r="FM304">
        <f>IF($A304&lt;=$FB$45,1,0)</f>
        <v>0</v>
      </c>
      <c r="GB304">
        <f>IF($GB$31&lt;=$GB$32,IF($A304&lt;=$GB$7,1,2),IF($A304&lt;=RUNG_BEDS_2,2,1))</f>
        <v>1</v>
      </c>
      <c r="GC304" s="5">
        <f>MIN(1,MAX(0,$GB$26-($A304-1)))</f>
        <v>0</v>
      </c>
      <c r="GD304" s="5">
        <f>$GB$25*(GC304+(1-GC304)*$GB$16)</f>
        <v>0.0</v>
      </c>
      <c r="GE304" s="13">
        <f>GD304*($GB$6+ACUTE_MARGIN)</f>
        <v>0.0</v>
      </c>
      <c r="GF304" s="13">
        <f>IF(GB304=1,$GB$31,$GB$32)</f>
        <v>152394.16214437486</v>
      </c>
      <c r="GG304" s="13">
        <f>GE304-GF304</f>
        <v>-152394.16214437486</v>
      </c>
      <c r="GH304" s="13">
        <f>GH303+GG304</f>
        <v>4549860.794365494</v>
      </c>
      <c r="GI304">
        <f>IF(GH304=MAX($GH$83:$GH$483),$A304,0)</f>
        <v>0</v>
      </c>
      <c r="GJ304">
        <f>IF(GE304&lt;GF304,$A304,B_MAX+1)</f>
        <v>221</v>
      </c>
      <c r="GK304" s="13">
        <f>IF(GB304=1,$GB$35,$GB$36)</f>
        <v>0</v>
      </c>
      <c r="GL304" s="13">
        <f>OCC_DAYS*$GB$41*R_NF_2023-GD304*MCD_SHARE_FREED*R_WAIT_2023</f>
        <v>151980.48282209205</v>
      </c>
      <c r="GM304">
        <f>IF($A304&lt;=$GB$45,1,0)</f>
        <v>0</v>
      </c>
      <c r="HB304">
        <f>IF($HB$31&lt;=$HB$32,IF($A304&lt;=$HB$7,1,2),IF($A304&lt;=RUNG_BEDS_2,2,1))</f>
        <v>1</v>
      </c>
      <c r="HC304" s="5">
        <f>MIN(1,MAX(0,$HB$26-($A304-1)))</f>
        <v>0</v>
      </c>
      <c r="HD304" s="5">
        <f>$HB$25*(HC304+(1-HC304)*$HB$16)</f>
        <v>0.0</v>
      </c>
      <c r="HE304" s="13">
        <f>HD304*($HB$6+ACUTE_MARGIN)</f>
        <v>0.0</v>
      </c>
      <c r="HF304" s="13">
        <f>IF(HB304=1,$HB$31,$HB$32)</f>
        <v>152456.2970814058</v>
      </c>
      <c r="HG304" s="13">
        <f>HE304-HF304</f>
        <v>-152456.2970814058</v>
      </c>
      <c r="HH304" s="13">
        <f>HH303+HG304</f>
        <v>4536128.9732816145</v>
      </c>
      <c r="HI304">
        <f>IF(HH304=MAX($HH$83:$HH$483),$A304,0)</f>
        <v>0</v>
      </c>
      <c r="HJ304">
        <f>IF(HE304&lt;HF304,$A304,B_MAX+1)</f>
        <v>221</v>
      </c>
      <c r="HK304" s="13">
        <f>IF(HB304=1,$HB$35,$HB$36)</f>
        <v>0</v>
      </c>
      <c r="HL304" s="13">
        <f>OCC_DAYS*$HB$41*R_NF_2023-HD304*MCD_SHARE_FREED*R_WAIT_2023</f>
        <v>151980.48282209205</v>
      </c>
      <c r="HM304">
        <f>IF($A304&lt;=$HB$45,1,0)</f>
        <v>0</v>
      </c>
      <c r="IB304">
        <f>IF($IB$31&lt;=$IB$32,IF($A304&lt;=$IB$7,1,2),IF($A304&lt;=RUNG_BEDS_2,2,1))</f>
        <v>1</v>
      </c>
      <c r="IC304" s="5">
        <f>MIN(1,MAX(0,$IB$26-($A304-1)))</f>
        <v>0</v>
      </c>
      <c r="ID304" s="5">
        <f>$IB$25*(IC304+(1-IC304)*$IB$16)</f>
        <v>0.0</v>
      </c>
      <c r="IE304" s="13">
        <f>ID304*($IB$6+ACUTE_MARGIN)</f>
        <v>0.0</v>
      </c>
      <c r="IF304" s="13">
        <f>IF(IB304=1,$IB$31,$IB$32)</f>
        <v>152734.9994534971</v>
      </c>
      <c r="IG304" s="13">
        <f>IE304-IF304</f>
        <v>-152734.9994534971</v>
      </c>
      <c r="IH304" s="13">
        <f>IH303+IG304</f>
        <v>4474535.749049384</v>
      </c>
      <c r="II304">
        <f>IF(IH304=MAX($IH$83:$IH$483),$A304,0)</f>
        <v>0</v>
      </c>
      <c r="IJ304">
        <f>IF(IE304&lt;IF304,$A304,B_MAX+1)</f>
        <v>221</v>
      </c>
      <c r="IK304" s="13">
        <f>IF(IB304=1,$IB$35,$IB$36)</f>
        <v>0</v>
      </c>
      <c r="IL304" s="13">
        <f>OCC_DAYS*$IB$41*R_NF_2023-ID304*MCD_SHARE_FREED*R_WAIT_2023</f>
        <v>151980.48282209205</v>
      </c>
      <c r="IM304">
        <f>IF($A304&lt;=$IB$45,1,0)</f>
        <v>0</v>
      </c>
      <c r="JB304">
        <f>IF($JB$31&lt;=$JB$32,IF($A304&lt;=$JB$7,1,2),IF($A304&lt;=RUNG_BEDS_2,2,1))</f>
        <v>1</v>
      </c>
      <c r="JC304" s="5">
        <f>MIN(1,MAX(0,$JB$26-($A304-1)))</f>
        <v>0</v>
      </c>
      <c r="JD304" s="5">
        <f>$JB$25*(JC304+(1-JC304)*$JB$16)</f>
        <v>0.0</v>
      </c>
      <c r="JE304" s="13">
        <f>JD304*($JB$6+ACUTE_MARGIN)</f>
        <v>0.0</v>
      </c>
      <c r="JF304" s="13">
        <f>IF(JB304=1,$JB$31,$JB$32)</f>
        <v>152394.16214437486</v>
      </c>
      <c r="JG304" s="13">
        <f>JE304-JF304</f>
        <v>-152394.16214437486</v>
      </c>
      <c r="JH304" s="13">
        <f>JH303+JG304</f>
        <v>4549860.794365494</v>
      </c>
      <c r="JI304">
        <f>IF(JH304=MAX($JH$83:$JH$483),$A304,0)</f>
        <v>0</v>
      </c>
      <c r="JJ304">
        <f>IF(JE304&lt;JF304,$A304,B_MAX+1)</f>
        <v>221</v>
      </c>
      <c r="JK304" s="13">
        <f>IF(JB304=1,$JB$35,$JB$36)</f>
        <v>0</v>
      </c>
      <c r="JL304" s="13">
        <f>OCC_DAYS*$JB$41*R_NF_2023-JD304*MCD_SHARE_FREED*R_WAIT_2023</f>
        <v>151980.48282209205</v>
      </c>
      <c r="JM304">
        <f>IF($A304&lt;=$JB$45,1,0)</f>
        <v>0</v>
      </c>
      <c r="KB304">
        <f>IF($KB$31&lt;=$KB$32,IF($A304&lt;=$KB$7,1,2),IF($A304&lt;=RUNG_BEDS_2,2,1))</f>
        <v>1</v>
      </c>
      <c r="KC304" s="5">
        <f>MIN(1,MAX(0,$KB$26-($A304-1)))</f>
        <v>1</v>
      </c>
      <c r="KD304" s="5">
        <f>$KB$25*(KC304+(1-KC304)*$KB$16)</f>
        <v>126.02661357340719</v>
      </c>
      <c r="KE304" s="13">
        <f>KD304*($KB$6+ACUTE_MARGIN)</f>
        <v>127286.87970914126</v>
      </c>
      <c r="KF304" s="13">
        <f>IF(KB304=1,$KB$31,$KB$32)</f>
        <v>152394.16214437486</v>
      </c>
      <c r="KG304" s="13">
        <f>KE304-KF304</f>
        <v>-25107.282435233603</v>
      </c>
      <c r="KH304" s="13">
        <f>KH303+KG304</f>
        <v>-5548709.418186644</v>
      </c>
      <c r="KI304">
        <f>IF(KH304=MAX($KH$83:$KH$483),$A304,0)</f>
        <v>0</v>
      </c>
      <c r="KJ304">
        <f>IF(KE304&lt;KF304,$A304,B_MAX+1)</f>
        <v>221</v>
      </c>
      <c r="KK304" s="13">
        <f>IF(KB304=1,$KB$35,$KB$36)</f>
        <v>0</v>
      </c>
      <c r="KL304" s="13">
        <f>OCC_DAYS*$KB$41*R_NF_2023-KD304*MCD_SHARE_FREED*R_WAIT_2023</f>
        <v>94673.82103225985</v>
      </c>
      <c r="KM304">
        <f>IF($A304&lt;=$KB$45,1,0)</f>
        <v>0</v>
      </c>
      <c r="LB304">
        <f>IF($LB$31&lt;=$LB$32,IF($A304&lt;=$LB$7,1,2),IF($A304&lt;=RUNG_BEDS_2,2,1))</f>
        <v>1</v>
      </c>
      <c r="LC304" s="5">
        <f>MIN(1,MAX(0,$LB$26-($A304-1)))</f>
        <v>1</v>
      </c>
      <c r="LD304" s="5">
        <f>$LB$25*(LC304+(1-LC304)*$LB$16)</f>
        <v>84.01774238227146</v>
      </c>
      <c r="LE304" s="13">
        <f>LD304*($LB$6+ACUTE_MARGIN)</f>
        <v>84857.91980609419</v>
      </c>
      <c r="LF304" s="13">
        <f>IF(LB304=1,$LB$31,$LB$32)</f>
        <v>152394.16214437486</v>
      </c>
      <c r="LG304" s="13">
        <f>LE304-LF304</f>
        <v>-67536.24233828067</v>
      </c>
      <c r="LH304" s="13">
        <f>LH303+LG304</f>
        <v>-14925509.556760099</v>
      </c>
      <c r="LI304">
        <f>IF(LH304=MAX($LH$83:$LH$483),$A304,0)</f>
        <v>0</v>
      </c>
      <c r="LJ304">
        <f>IF(LE304&lt;LF304,$A304,B_MAX+1)</f>
        <v>221</v>
      </c>
      <c r="LK304" s="13">
        <f>IF(LB304=1,$LB$35,$LB$36)</f>
        <v>0</v>
      </c>
      <c r="LL304" s="13">
        <f>OCC_DAYS*$LB$41*R_NF_2023-LD304*MCD_SHARE_FREED*R_WAIT_2023</f>
        <v>113776.04162887059</v>
      </c>
      <c r="LM304">
        <f>IF($A304&lt;=$LB$45,1,0)</f>
        <v>0</v>
      </c>
      <c r="MB304">
        <f>IF($MB$31&lt;=$MB$32,IF($A304&lt;=$MB$7,1,2),IF($A304&lt;=RUNG_BEDS_2,2,1))</f>
        <v>1</v>
      </c>
      <c r="MC304" s="5">
        <f>MIN(1,MAX(0,$MB$26-($A304-1)))</f>
        <v>0</v>
      </c>
      <c r="MD304" s="5">
        <f>$MB$25*(MC304+(1-MC304)*$MB$16)</f>
        <v>0.0</v>
      </c>
      <c r="ME304" s="13">
        <f>MD304*($MB$6+ACUTE_MARGIN)</f>
        <v>0.0</v>
      </c>
      <c r="MF304" s="13">
        <f>IF(MB304=1,$MB$31,$MB$32)</f>
        <v>152394.16214437486</v>
      </c>
      <c r="MG304" s="13">
        <f>ME304-MF304</f>
        <v>-152394.16214437486</v>
      </c>
      <c r="MH304" s="13">
        <f>MH303+MG304</f>
        <v>-1337415.2674328375</v>
      </c>
      <c r="MI304">
        <f>IF(MH304=MAX($MH$83:$MH$483),$A304,0)</f>
        <v>0</v>
      </c>
      <c r="MJ304">
        <f>IF(ME304&lt;MF304,$A304,B_MAX+1)</f>
        <v>221</v>
      </c>
      <c r="MK304" s="13">
        <f>IF(MB304=1,$MB$35,$MB$36)</f>
        <v>0</v>
      </c>
      <c r="ML304" s="13">
        <f>OCC_DAYS*$MB$41*R_NF_2023-MD304*MCD_SHARE_FREED*R_WAIT_2023</f>
        <v>151980.48282209205</v>
      </c>
      <c r="MM304">
        <f>IF($A304&lt;=$MB$45,1,0)</f>
        <v>0</v>
      </c>
      <c r="NB304">
        <f>IF($NB$31&lt;=$NB$32,IF($A304&lt;=$NB$7,1,2),IF($A304&lt;=RUNG_BEDS_2,2,1))</f>
        <v>1</v>
      </c>
      <c r="NC304" s="5">
        <f>MIN(1,MAX(0,$NB$26-($A304-1)))</f>
        <v>0</v>
      </c>
      <c r="ND304" s="5">
        <f>$NB$25*(NC304+(1-NC304)*$NB$16)</f>
        <v>63.013306786703595</v>
      </c>
      <c r="NE304" s="13">
        <f>ND304*($NB$6+ACUTE_MARGIN)</f>
        <v>63643.43985457063</v>
      </c>
      <c r="NF304" s="13">
        <f>IF(NB304=1,$NB$31,$NB$32)</f>
        <v>152394.16214437486</v>
      </c>
      <c r="NG304" s="13">
        <f>NE304-NF304</f>
        <v>-88750.72228980422</v>
      </c>
      <c r="NH304" s="13">
        <f>NH303+NG304</f>
        <v>9057818.3451575</v>
      </c>
      <c r="NI304">
        <f>IF(NH304=MAX($NH$83:$NH$483),$A304,0)</f>
        <v>0</v>
      </c>
      <c r="NJ304">
        <f>IF(NE304&lt;NF304,$A304,B_MAX+1)</f>
        <v>221</v>
      </c>
      <c r="NK304" s="13">
        <f>IF(NB304=1,$NB$35,$NB$36)</f>
        <v>0</v>
      </c>
      <c r="NL304" s="13">
        <f>OCC_DAYS*$NB$41*R_NF_2023-ND304*MCD_SHARE_FREED*R_WAIT_2023</f>
        <v>123327.15192717595</v>
      </c>
      <c r="NM304">
        <f>IF($A304&lt;=$NB$45,1,0)</f>
        <v>0</v>
      </c>
      <c r="OB304">
        <f>IF($OB$31&lt;=$OB$32,IF($A304&lt;=$OB$7,1,2),IF($A304&lt;=RUNG_BEDS_2,2,1))</f>
        <v>1</v>
      </c>
      <c r="OC304" s="5">
        <f>MIN(1,MAX(0,$OB$26-($A304-1)))</f>
        <v>0</v>
      </c>
      <c r="OD304" s="5">
        <f>$OB$25*(OC304+(1-OC304)*$OB$16)</f>
        <v>126.02661357340719</v>
      </c>
      <c r="OE304" s="13">
        <f>OD304*($OB$6+ACUTE_MARGIN)</f>
        <v>127286.87970914126</v>
      </c>
      <c r="OF304" s="13">
        <f>IF(OB304=1,$OB$31,$OB$32)</f>
        <v>152394.16214437486</v>
      </c>
      <c r="OG304" s="13">
        <f>OE304-OF304</f>
        <v>-25107.282435233603</v>
      </c>
      <c r="OH304" s="13">
        <f>OH303+OG304</f>
        <v>13565775.895949615</v>
      </c>
      <c r="OI304">
        <f>IF(OH304=MAX($OH$83:$OH$483),$A304,0)</f>
        <v>0</v>
      </c>
      <c r="OJ304">
        <f>IF(OE304&lt;OF304,$A304,B_MAX+1)</f>
        <v>221</v>
      </c>
      <c r="OK304" s="13">
        <f>IF(OB304=1,$OB$35,$OB$36)</f>
        <v>0</v>
      </c>
      <c r="OL304" s="13">
        <f>OCC_DAYS*$OB$41*R_NF_2023-OD304*MCD_SHARE_FREED*R_WAIT_2023</f>
        <v>94673.82103225985</v>
      </c>
      <c r="OM304">
        <f>IF($A304&lt;=$OB$45,1,0)</f>
        <v>0</v>
      </c>
    </row>
    <row r="305">
      <c r="A305" t="n">
        <v>222</v>
      </c>
      <c r="B305">
        <f>IF($B$31&lt;=$B$32,IF($A305&lt;=$B$7,1,2),IF($A305&lt;=RUNG_BEDS_2,2,1))</f>
        <v>1</v>
      </c>
      <c r="C305" s="5">
        <f>MIN(1,MAX(0,$B$26-($A305-1)))</f>
        <v>0</v>
      </c>
      <c r="D305" s="5">
        <f>$B$25*(C305+(1-C305)*$B$16)</f>
        <v>0.0</v>
      </c>
      <c r="E305" s="13">
        <f>D305*($B$6+ACUTE_MARGIN)</f>
        <v>0.0</v>
      </c>
      <c r="F305" s="13">
        <f>IF(B305=1,$B$31,$B$32)</f>
        <v>152394.16214437486</v>
      </c>
      <c r="G305" s="13">
        <f>E305-F305</f>
        <v>-152394.16214437486</v>
      </c>
      <c r="H305" s="13">
        <f>H304+G305</f>
        <v>4397466.632221119</v>
      </c>
      <c r="I305">
        <f>IF(H305=MAX($H$83:$H$483),$A305,0)</f>
        <v>0</v>
      </c>
      <c r="J305">
        <f>IF(E305&lt;F305,$A305,B_MAX+1)</f>
        <v>222</v>
      </c>
      <c r="K305" s="13">
        <f>IF(B305=1,$B$35,$B$36)</f>
        <v>0</v>
      </c>
      <c r="L305" s="13">
        <f>OCC_DAYS*$B$41*R_NF_2023-D305*MCD_SHARE_FREED*R_WAIT_2023</f>
        <v>151980.48282209205</v>
      </c>
      <c r="M305">
        <f>IF($A305&lt;=$B$45,1,0)</f>
        <v>0</v>
      </c>
      <c r="AB305">
        <f>IF($AB$31&lt;=$AB$32,IF($A305&lt;=$AB$7,1,2),IF($A305&lt;=RUNG_BEDS_2,2,1))</f>
        <v>1</v>
      </c>
      <c r="AC305" s="5">
        <f>MIN(1,MAX(0,$AB$26-($A305-1)))</f>
        <v>0</v>
      </c>
      <c r="AD305" s="5">
        <f>$AB$25*(AC305+(1-AC305)*$AB$16)</f>
        <v>0.0</v>
      </c>
      <c r="AE305" s="13">
        <f>AD305*($AB$6+ACUTE_MARGIN)</f>
        <v>0.0</v>
      </c>
      <c r="AF305" s="13">
        <f>IF(AB305=1,$AB$31,$AB$32)</f>
        <v>152394.16214437486</v>
      </c>
      <c r="AG305" s="13">
        <f>AE305-AF305</f>
        <v>-152394.16214437486</v>
      </c>
      <c r="AH305" s="13">
        <f>AH304+AG305</f>
        <v>-13013747.713328687</v>
      </c>
      <c r="AI305">
        <f>IF(AH305=MAX($AH$83:$AH$483),$A305,0)</f>
        <v>0</v>
      </c>
      <c r="AJ305">
        <f>IF(AE305&lt;AF305,$A305,B_MAX+1)</f>
        <v>222</v>
      </c>
      <c r="AK305" s="13">
        <f>IF(AB305=1,$AB$35,$AB$36)</f>
        <v>0</v>
      </c>
      <c r="AL305" s="13">
        <f>OCC_DAYS*$AB$41*R_NF_2023-AD305*MCD_SHARE_FREED*R_WAIT_2023</f>
        <v>151980.48282209205</v>
      </c>
      <c r="AM305">
        <f>IF($A305&lt;=$AB$45,1,0)</f>
        <v>0</v>
      </c>
      <c r="BB305">
        <f>IF($BB$31&lt;=$BB$32,IF($A305&lt;=$BB$7,1,2),IF($A305&lt;=RUNG_BEDS_2,2,1))</f>
        <v>1</v>
      </c>
      <c r="BC305" s="5">
        <f>MIN(1,MAX(0,$BB$26-($A305-1)))</f>
        <v>0</v>
      </c>
      <c r="BD305" s="5">
        <f>$BB$25*(BC305+(1-BC305)*$BB$16)</f>
        <v>0.0</v>
      </c>
      <c r="BE305" s="13">
        <f>BD305*($BB$6+ACUTE_MARGIN)</f>
        <v>0.0</v>
      </c>
      <c r="BF305" s="13">
        <f>IF(BB305=1,$BB$31,$BB$32)</f>
        <v>152394.16214437486</v>
      </c>
      <c r="BG305" s="13">
        <f>BE305-BF305</f>
        <v>-152394.16214437486</v>
      </c>
      <c r="BH305" s="13">
        <f>BH304+BG305</f>
        <v>21808680.977770805</v>
      </c>
      <c r="BI305">
        <f>IF(BH305=MAX($BH$83:$BH$483),$A305,0)</f>
        <v>0</v>
      </c>
      <c r="BJ305">
        <f>IF(BE305&lt;BF305,$A305,B_MAX+1)</f>
        <v>222</v>
      </c>
      <c r="BK305" s="13">
        <f>IF(BB305=1,$BB$35,$BB$36)</f>
        <v>0</v>
      </c>
      <c r="BL305" s="13">
        <f>OCC_DAYS*$BB$41*R_NF_2023-BD305*MCD_SHARE_FREED*R_WAIT_2023</f>
        <v>151980.48282209205</v>
      </c>
      <c r="BM305">
        <f>IF($A305&lt;=$BB$45,1,0)</f>
        <v>0</v>
      </c>
      <c r="CB305">
        <f>IF($CB$31&lt;=$CB$32,IF($A305&lt;=$CB$7,1,2),IF($A305&lt;=RUNG_BEDS_2,2,1))</f>
        <v>2</v>
      </c>
      <c r="CC305" s="5">
        <f>MIN(1,MAX(0,$CB$26-($A305-1)))</f>
        <v>0</v>
      </c>
      <c r="CD305" s="5">
        <f>$CB$25*(CC305+(1-CC305)*$CB$16)</f>
        <v>0.0</v>
      </c>
      <c r="CE305" s="13">
        <f>CD305*($CB$6+ACUTE_MARGIN)</f>
        <v>0.0</v>
      </c>
      <c r="CF305" s="13">
        <f>IF(CB305=1,$CB$31,$CB$32)</f>
        <v>160718.36940738867</v>
      </c>
      <c r="CG305" s="13">
        <f>CE305-CF305</f>
        <v>-160718.36940738867</v>
      </c>
      <c r="CH305" s="13">
        <f>CH304+CG305</f>
        <v>2549492.619831936</v>
      </c>
      <c r="CI305">
        <f>IF(CH305=MAX($CH$83:$CH$483),$A305,0)</f>
        <v>0</v>
      </c>
      <c r="CJ305">
        <f>IF(CE305&lt;CF305,$A305,B_MAX+1)</f>
        <v>222</v>
      </c>
      <c r="CK305" s="13">
        <f>IF(CB305=1,$CB$35,$CB$36)</f>
        <v>1560.1194073886782</v>
      </c>
      <c r="CL305" s="13">
        <f>OCC_DAYS*$CB$41*R_NF_2023-CD305*MCD_SHARE_FREED*R_WAIT_2023</f>
        <v>151980.48282209205</v>
      </c>
      <c r="CM305">
        <f>IF($A305&lt;=$CB$45,1,0)</f>
        <v>0</v>
      </c>
      <c r="DB305">
        <f>IF($DB$31&lt;=$DB$32,IF($A305&lt;=$DB$7,1,2),IF($A305&lt;=RUNG_BEDS_2,2,1))</f>
        <v>1</v>
      </c>
      <c r="DC305" s="5">
        <f>MIN(1,MAX(0,$DB$26-($A305-1)))</f>
        <v>0</v>
      </c>
      <c r="DD305" s="5">
        <f>$DB$25*(DC305+(1-DC305)*$DB$16)</f>
        <v>0.0</v>
      </c>
      <c r="DE305" s="13">
        <f>DD305*($DB$6+ACUTE_MARGIN)</f>
        <v>0.0</v>
      </c>
      <c r="DF305" s="13">
        <f>IF(DB305=1,$DB$31,$DB$32)</f>
        <v>152394.16214437486</v>
      </c>
      <c r="DG305" s="13">
        <f>DE305-DF305</f>
        <v>-152394.16214437486</v>
      </c>
      <c r="DH305" s="13">
        <f>DH304+DG305</f>
        <v>4397466.632221119</v>
      </c>
      <c r="DI305">
        <f>IF(DH305=MAX($DH$83:$DH$483),$A305,0)</f>
        <v>0</v>
      </c>
      <c r="DJ305">
        <f>IF(DE305&lt;DF305,$A305,B_MAX+1)</f>
        <v>222</v>
      </c>
      <c r="DK305" s="13">
        <f>IF(DB305=1,$DB$35,$DB$36)</f>
        <v>0</v>
      </c>
      <c r="DL305" s="13">
        <f>OCC_DAYS*$DB$41*R_NF_2023-DD305*MCD_SHARE_FREED*R_WAIT_2023</f>
        <v>151980.48282209205</v>
      </c>
      <c r="DM305">
        <f>IF($A305&lt;=$DB$45,1,0)</f>
        <v>0</v>
      </c>
      <c r="EB305">
        <f>IF($EB$31&lt;=$EB$32,IF($A305&lt;=$EB$7,1,2),IF($A305&lt;=RUNG_BEDS_2,2,1))</f>
        <v>1</v>
      </c>
      <c r="EC305" s="5">
        <f>MIN(1,MAX(0,$EB$26-($A305-1)))</f>
        <v>0</v>
      </c>
      <c r="ED305" s="5">
        <f>$EB$25*(EC305+(1-EC305)*$EB$16)</f>
        <v>0.0</v>
      </c>
      <c r="EE305" s="13">
        <f>ED305*($EB$6+ACUTE_MARGIN)</f>
        <v>0.0</v>
      </c>
      <c r="EF305" s="13">
        <f>IF(EB305=1,$EB$31,$EB$32)</f>
        <v>152394.16214437486</v>
      </c>
      <c r="EG305" s="13">
        <f>EE305-EF305</f>
        <v>-152394.16214437486</v>
      </c>
      <c r="EH305" s="13">
        <f>EH304+EG305</f>
        <v>4397466.632221119</v>
      </c>
      <c r="EI305">
        <f>IF(EH305=MAX($EH$83:$EH$483),$A305,0)</f>
        <v>0</v>
      </c>
      <c r="EJ305">
        <f>IF(EE305&lt;EF305,$A305,B_MAX+1)</f>
        <v>222</v>
      </c>
      <c r="EK305" s="13">
        <f>IF(EB305=1,$EB$35,$EB$36)</f>
        <v>0</v>
      </c>
      <c r="EL305" s="13">
        <f>OCC_DAYS*$EB$41*R_NF_2023-ED305*MCD_SHARE_FREED*R_WAIT_2023</f>
        <v>50660.16094069735</v>
      </c>
      <c r="EM305">
        <f>IF($A305&lt;=$EB$45,1,0)</f>
        <v>0</v>
      </c>
      <c r="FB305">
        <f>IF($FB$31&lt;=$FB$32,IF($A305&lt;=$FB$7,1,2),IF($A305&lt;=RUNG_BEDS_2,2,1))</f>
        <v>1</v>
      </c>
      <c r="FC305" s="5">
        <f>MIN(1,MAX(0,$FB$26-($A305-1)))</f>
        <v>0</v>
      </c>
      <c r="FD305" s="5">
        <f>$FB$25*(FC305+(1-FC305)*$FB$16)</f>
        <v>0.0</v>
      </c>
      <c r="FE305" s="13">
        <f>FD305*($FB$6+ACUTE_MARGIN)</f>
        <v>0.0</v>
      </c>
      <c r="FF305" s="13">
        <f>IF(FB305=1,$FB$31,$FB$32)</f>
        <v>156636.04979437485</v>
      </c>
      <c r="FG305" s="13">
        <f>FE305-FF305</f>
        <v>-156636.04979437485</v>
      </c>
      <c r="FH305" s="13">
        <f>FH304+FG305</f>
        <v>3455767.5739210043</v>
      </c>
      <c r="FI305">
        <f>IF(FH305=MAX($FH$83:$FH$483),$A305,0)</f>
        <v>0</v>
      </c>
      <c r="FJ305">
        <f>IF(FE305&lt;FF305,$A305,B_MAX+1)</f>
        <v>222</v>
      </c>
      <c r="FK305" s="13">
        <f>IF(FB305=1,$FB$35,$FB$36)</f>
        <v>0</v>
      </c>
      <c r="FL305" s="13">
        <f>OCC_DAYS*$FB$41*R_NF_2023-FD305*MCD_SHARE_FREED*R_WAIT_2023</f>
        <v>151980.48282209205</v>
      </c>
      <c r="FM305">
        <f>IF($A305&lt;=$FB$45,1,0)</f>
        <v>0</v>
      </c>
      <c r="GB305">
        <f>IF($GB$31&lt;=$GB$32,IF($A305&lt;=$GB$7,1,2),IF($A305&lt;=RUNG_BEDS_2,2,1))</f>
        <v>1</v>
      </c>
      <c r="GC305" s="5">
        <f>MIN(1,MAX(0,$GB$26-($A305-1)))</f>
        <v>0</v>
      </c>
      <c r="GD305" s="5">
        <f>$GB$25*(GC305+(1-GC305)*$GB$16)</f>
        <v>0.0</v>
      </c>
      <c r="GE305" s="13">
        <f>GD305*($GB$6+ACUTE_MARGIN)</f>
        <v>0.0</v>
      </c>
      <c r="GF305" s="13">
        <f>IF(GB305=1,$GB$31,$GB$32)</f>
        <v>152394.16214437486</v>
      </c>
      <c r="GG305" s="13">
        <f>GE305-GF305</f>
        <v>-152394.16214437486</v>
      </c>
      <c r="GH305" s="13">
        <f>GH304+GG305</f>
        <v>4397466.632221119</v>
      </c>
      <c r="GI305">
        <f>IF(GH305=MAX($GH$83:$GH$483),$A305,0)</f>
        <v>0</v>
      </c>
      <c r="GJ305">
        <f>IF(GE305&lt;GF305,$A305,B_MAX+1)</f>
        <v>222</v>
      </c>
      <c r="GK305" s="13">
        <f>IF(GB305=1,$GB$35,$GB$36)</f>
        <v>0</v>
      </c>
      <c r="GL305" s="13">
        <f>OCC_DAYS*$GB$41*R_NF_2023-GD305*MCD_SHARE_FREED*R_WAIT_2023</f>
        <v>151980.48282209205</v>
      </c>
      <c r="GM305">
        <f>IF($A305&lt;=$GB$45,1,0)</f>
        <v>0</v>
      </c>
      <c r="HB305">
        <f>IF($HB$31&lt;=$HB$32,IF($A305&lt;=$HB$7,1,2),IF($A305&lt;=RUNG_BEDS_2,2,1))</f>
        <v>1</v>
      </c>
      <c r="HC305" s="5">
        <f>MIN(1,MAX(0,$HB$26-($A305-1)))</f>
        <v>0</v>
      </c>
      <c r="HD305" s="5">
        <f>$HB$25*(HC305+(1-HC305)*$HB$16)</f>
        <v>0.0</v>
      </c>
      <c r="HE305" s="13">
        <f>HD305*($HB$6+ACUTE_MARGIN)</f>
        <v>0.0</v>
      </c>
      <c r="HF305" s="13">
        <f>IF(HB305=1,$HB$31,$HB$32)</f>
        <v>152456.2970814058</v>
      </c>
      <c r="HG305" s="13">
        <f>HE305-HF305</f>
        <v>-152456.2970814058</v>
      </c>
      <c r="HH305" s="13">
        <f>HH304+HG305</f>
        <v>4383672.676200208</v>
      </c>
      <c r="HI305">
        <f>IF(HH305=MAX($HH$83:$HH$483),$A305,0)</f>
        <v>0</v>
      </c>
      <c r="HJ305">
        <f>IF(HE305&lt;HF305,$A305,B_MAX+1)</f>
        <v>222</v>
      </c>
      <c r="HK305" s="13">
        <f>IF(HB305=1,$HB$35,$HB$36)</f>
        <v>0</v>
      </c>
      <c r="HL305" s="13">
        <f>OCC_DAYS*$HB$41*R_NF_2023-HD305*MCD_SHARE_FREED*R_WAIT_2023</f>
        <v>151980.48282209205</v>
      </c>
      <c r="HM305">
        <f>IF($A305&lt;=$HB$45,1,0)</f>
        <v>0</v>
      </c>
      <c r="IB305">
        <f>IF($IB$31&lt;=$IB$32,IF($A305&lt;=$IB$7,1,2),IF($A305&lt;=RUNG_BEDS_2,2,1))</f>
        <v>1</v>
      </c>
      <c r="IC305" s="5">
        <f>MIN(1,MAX(0,$IB$26-($A305-1)))</f>
        <v>0</v>
      </c>
      <c r="ID305" s="5">
        <f>$IB$25*(IC305+(1-IC305)*$IB$16)</f>
        <v>0.0</v>
      </c>
      <c r="IE305" s="13">
        <f>ID305*($IB$6+ACUTE_MARGIN)</f>
        <v>0.0</v>
      </c>
      <c r="IF305" s="13">
        <f>IF(IB305=1,$IB$31,$IB$32)</f>
        <v>152734.9994534971</v>
      </c>
      <c r="IG305" s="13">
        <f>IE305-IF305</f>
        <v>-152734.9994534971</v>
      </c>
      <c r="IH305" s="13">
        <f>IH304+IG305</f>
        <v>4321800.749595887</v>
      </c>
      <c r="II305">
        <f>IF(IH305=MAX($IH$83:$IH$483),$A305,0)</f>
        <v>0</v>
      </c>
      <c r="IJ305">
        <f>IF(IE305&lt;IF305,$A305,B_MAX+1)</f>
        <v>222</v>
      </c>
      <c r="IK305" s="13">
        <f>IF(IB305=1,$IB$35,$IB$36)</f>
        <v>0</v>
      </c>
      <c r="IL305" s="13">
        <f>OCC_DAYS*$IB$41*R_NF_2023-ID305*MCD_SHARE_FREED*R_WAIT_2023</f>
        <v>151980.48282209205</v>
      </c>
      <c r="IM305">
        <f>IF($A305&lt;=$IB$45,1,0)</f>
        <v>0</v>
      </c>
      <c r="JB305">
        <f>IF($JB$31&lt;=$JB$32,IF($A305&lt;=$JB$7,1,2),IF($A305&lt;=RUNG_BEDS_2,2,1))</f>
        <v>1</v>
      </c>
      <c r="JC305" s="5">
        <f>MIN(1,MAX(0,$JB$26-($A305-1)))</f>
        <v>0</v>
      </c>
      <c r="JD305" s="5">
        <f>$JB$25*(JC305+(1-JC305)*$JB$16)</f>
        <v>0.0</v>
      </c>
      <c r="JE305" s="13">
        <f>JD305*($JB$6+ACUTE_MARGIN)</f>
        <v>0.0</v>
      </c>
      <c r="JF305" s="13">
        <f>IF(JB305=1,$JB$31,$JB$32)</f>
        <v>152394.16214437486</v>
      </c>
      <c r="JG305" s="13">
        <f>JE305-JF305</f>
        <v>-152394.16214437486</v>
      </c>
      <c r="JH305" s="13">
        <f>JH304+JG305</f>
        <v>4397466.632221119</v>
      </c>
      <c r="JI305">
        <f>IF(JH305=MAX($JH$83:$JH$483),$A305,0)</f>
        <v>0</v>
      </c>
      <c r="JJ305">
        <f>IF(JE305&lt;JF305,$A305,B_MAX+1)</f>
        <v>222</v>
      </c>
      <c r="JK305" s="13">
        <f>IF(JB305=1,$JB$35,$JB$36)</f>
        <v>0</v>
      </c>
      <c r="JL305" s="13">
        <f>OCC_DAYS*$JB$41*R_NF_2023-JD305*MCD_SHARE_FREED*R_WAIT_2023</f>
        <v>151980.48282209205</v>
      </c>
      <c r="JM305">
        <f>IF($A305&lt;=$JB$45,1,0)</f>
        <v>0</v>
      </c>
      <c r="KB305">
        <f>IF($KB$31&lt;=$KB$32,IF($A305&lt;=$KB$7,1,2),IF($A305&lt;=RUNG_BEDS_2,2,1))</f>
        <v>1</v>
      </c>
      <c r="KC305" s="5">
        <f>MIN(1,MAX(0,$KB$26-($A305-1)))</f>
        <v>1</v>
      </c>
      <c r="KD305" s="5">
        <f>$KB$25*(KC305+(1-KC305)*$KB$16)</f>
        <v>126.02661357340719</v>
      </c>
      <c r="KE305" s="13">
        <f>KD305*($KB$6+ACUTE_MARGIN)</f>
        <v>127286.87970914126</v>
      </c>
      <c r="KF305" s="13">
        <f>IF(KB305=1,$KB$31,$KB$32)</f>
        <v>152394.16214437486</v>
      </c>
      <c r="KG305" s="13">
        <f>KE305-KF305</f>
        <v>-25107.282435233603</v>
      </c>
      <c r="KH305" s="13">
        <f>KH304+KG305</f>
        <v>-5573816.700621878</v>
      </c>
      <c r="KI305">
        <f>IF(KH305=MAX($KH$83:$KH$483),$A305,0)</f>
        <v>0</v>
      </c>
      <c r="KJ305">
        <f>IF(KE305&lt;KF305,$A305,B_MAX+1)</f>
        <v>222</v>
      </c>
      <c r="KK305" s="13">
        <f>IF(KB305=1,$KB$35,$KB$36)</f>
        <v>0</v>
      </c>
      <c r="KL305" s="13">
        <f>OCC_DAYS*$KB$41*R_NF_2023-KD305*MCD_SHARE_FREED*R_WAIT_2023</f>
        <v>94673.82103225985</v>
      </c>
      <c r="KM305">
        <f>IF($A305&lt;=$KB$45,1,0)</f>
        <v>0</v>
      </c>
      <c r="LB305">
        <f>IF($LB$31&lt;=$LB$32,IF($A305&lt;=$LB$7,1,2),IF($A305&lt;=RUNG_BEDS_2,2,1))</f>
        <v>1</v>
      </c>
      <c r="LC305" s="5">
        <f>MIN(1,MAX(0,$LB$26-($A305-1)))</f>
        <v>1</v>
      </c>
      <c r="LD305" s="5">
        <f>$LB$25*(LC305+(1-LC305)*$LB$16)</f>
        <v>84.01774238227146</v>
      </c>
      <c r="LE305" s="13">
        <f>LD305*($LB$6+ACUTE_MARGIN)</f>
        <v>84857.91980609419</v>
      </c>
      <c r="LF305" s="13">
        <f>IF(LB305=1,$LB$31,$LB$32)</f>
        <v>152394.16214437486</v>
      </c>
      <c r="LG305" s="13">
        <f>LE305-LF305</f>
        <v>-67536.24233828067</v>
      </c>
      <c r="LH305" s="13">
        <f>LH304+LG305</f>
        <v>-14993045.79909838</v>
      </c>
      <c r="LI305">
        <f>IF(LH305=MAX($LH$83:$LH$483),$A305,0)</f>
        <v>0</v>
      </c>
      <c r="LJ305">
        <f>IF(LE305&lt;LF305,$A305,B_MAX+1)</f>
        <v>222</v>
      </c>
      <c r="LK305" s="13">
        <f>IF(LB305=1,$LB$35,$LB$36)</f>
        <v>0</v>
      </c>
      <c r="LL305" s="13">
        <f>OCC_DAYS*$LB$41*R_NF_2023-LD305*MCD_SHARE_FREED*R_WAIT_2023</f>
        <v>113776.04162887059</v>
      </c>
      <c r="LM305">
        <f>IF($A305&lt;=$LB$45,1,0)</f>
        <v>0</v>
      </c>
      <c r="MB305">
        <f>IF($MB$31&lt;=$MB$32,IF($A305&lt;=$MB$7,1,2),IF($A305&lt;=RUNG_BEDS_2,2,1))</f>
        <v>1</v>
      </c>
      <c r="MC305" s="5">
        <f>MIN(1,MAX(0,$MB$26-($A305-1)))</f>
        <v>0</v>
      </c>
      <c r="MD305" s="5">
        <f>$MB$25*(MC305+(1-MC305)*$MB$16)</f>
        <v>0.0</v>
      </c>
      <c r="ME305" s="13">
        <f>MD305*($MB$6+ACUTE_MARGIN)</f>
        <v>0.0</v>
      </c>
      <c r="MF305" s="13">
        <f>IF(MB305=1,$MB$31,$MB$32)</f>
        <v>152394.16214437486</v>
      </c>
      <c r="MG305" s="13">
        <f>ME305-MF305</f>
        <v>-152394.16214437486</v>
      </c>
      <c r="MH305" s="13">
        <f>MH304+MG305</f>
        <v>-1489809.4295772123</v>
      </c>
      <c r="MI305">
        <f>IF(MH305=MAX($MH$83:$MH$483),$A305,0)</f>
        <v>0</v>
      </c>
      <c r="MJ305">
        <f>IF(ME305&lt;MF305,$A305,B_MAX+1)</f>
        <v>222</v>
      </c>
      <c r="MK305" s="13">
        <f>IF(MB305=1,$MB$35,$MB$36)</f>
        <v>0</v>
      </c>
      <c r="ML305" s="13">
        <f>OCC_DAYS*$MB$41*R_NF_2023-MD305*MCD_SHARE_FREED*R_WAIT_2023</f>
        <v>151980.48282209205</v>
      </c>
      <c r="MM305">
        <f>IF($A305&lt;=$MB$45,1,0)</f>
        <v>0</v>
      </c>
      <c r="NB305">
        <f>IF($NB$31&lt;=$NB$32,IF($A305&lt;=$NB$7,1,2),IF($A305&lt;=RUNG_BEDS_2,2,1))</f>
        <v>1</v>
      </c>
      <c r="NC305" s="5">
        <f>MIN(1,MAX(0,$NB$26-($A305-1)))</f>
        <v>0</v>
      </c>
      <c r="ND305" s="5">
        <f>$NB$25*(NC305+(1-NC305)*$NB$16)</f>
        <v>63.013306786703595</v>
      </c>
      <c r="NE305" s="13">
        <f>ND305*($NB$6+ACUTE_MARGIN)</f>
        <v>63643.43985457063</v>
      </c>
      <c r="NF305" s="13">
        <f>IF(NB305=1,$NB$31,$NB$32)</f>
        <v>152394.16214437486</v>
      </c>
      <c r="NG305" s="13">
        <f>NE305-NF305</f>
        <v>-88750.72228980422</v>
      </c>
      <c r="NH305" s="13">
        <f>NH304+NG305</f>
        <v>8969067.622867696</v>
      </c>
      <c r="NI305">
        <f>IF(NH305=MAX($NH$83:$NH$483),$A305,0)</f>
        <v>0</v>
      </c>
      <c r="NJ305">
        <f>IF(NE305&lt;NF305,$A305,B_MAX+1)</f>
        <v>222</v>
      </c>
      <c r="NK305" s="13">
        <f>IF(NB305=1,$NB$35,$NB$36)</f>
        <v>0</v>
      </c>
      <c r="NL305" s="13">
        <f>OCC_DAYS*$NB$41*R_NF_2023-ND305*MCD_SHARE_FREED*R_WAIT_2023</f>
        <v>123327.15192717595</v>
      </c>
      <c r="NM305">
        <f>IF($A305&lt;=$NB$45,1,0)</f>
        <v>0</v>
      </c>
      <c r="OB305">
        <f>IF($OB$31&lt;=$OB$32,IF($A305&lt;=$OB$7,1,2),IF($A305&lt;=RUNG_BEDS_2,2,1))</f>
        <v>1</v>
      </c>
      <c r="OC305" s="5">
        <f>MIN(1,MAX(0,$OB$26-($A305-1)))</f>
        <v>0</v>
      </c>
      <c r="OD305" s="5">
        <f>$OB$25*(OC305+(1-OC305)*$OB$16)</f>
        <v>126.02661357340719</v>
      </c>
      <c r="OE305" s="13">
        <f>OD305*($OB$6+ACUTE_MARGIN)</f>
        <v>127286.87970914126</v>
      </c>
      <c r="OF305" s="13">
        <f>IF(OB305=1,$OB$31,$OB$32)</f>
        <v>152394.16214437486</v>
      </c>
      <c r="OG305" s="13">
        <f>OE305-OF305</f>
        <v>-25107.282435233603</v>
      </c>
      <c r="OH305" s="13">
        <f>OH304+OG305</f>
        <v>13540668.613514382</v>
      </c>
      <c r="OI305">
        <f>IF(OH305=MAX($OH$83:$OH$483),$A305,0)</f>
        <v>0</v>
      </c>
      <c r="OJ305">
        <f>IF(OE305&lt;OF305,$A305,B_MAX+1)</f>
        <v>222</v>
      </c>
      <c r="OK305" s="13">
        <f>IF(OB305=1,$OB$35,$OB$36)</f>
        <v>0</v>
      </c>
      <c r="OL305" s="13">
        <f>OCC_DAYS*$OB$41*R_NF_2023-OD305*MCD_SHARE_FREED*R_WAIT_2023</f>
        <v>94673.82103225985</v>
      </c>
      <c r="OM305">
        <f>IF($A305&lt;=$OB$45,1,0)</f>
        <v>0</v>
      </c>
    </row>
    <row r="306">
      <c r="A306" t="n">
        <v>223</v>
      </c>
      <c r="B306">
        <f>IF($B$31&lt;=$B$32,IF($A306&lt;=$B$7,1,2),IF($A306&lt;=RUNG_BEDS_2,2,1))</f>
        <v>1</v>
      </c>
      <c r="C306" s="5">
        <f>MIN(1,MAX(0,$B$26-($A306-1)))</f>
        <v>0</v>
      </c>
      <c r="D306" s="5">
        <f>$B$25*(C306+(1-C306)*$B$16)</f>
        <v>0.0</v>
      </c>
      <c r="E306" s="13">
        <f>D306*($B$6+ACUTE_MARGIN)</f>
        <v>0.0</v>
      </c>
      <c r="F306" s="13">
        <f>IF(B306=1,$B$31,$B$32)</f>
        <v>152394.16214437486</v>
      </c>
      <c r="G306" s="13">
        <f>E306-F306</f>
        <v>-152394.16214437486</v>
      </c>
      <c r="H306" s="13">
        <f>H305+G306</f>
        <v>4245072.4700767435</v>
      </c>
      <c r="I306">
        <f>IF(H306=MAX($H$83:$H$483),$A306,0)</f>
        <v>0</v>
      </c>
      <c r="J306">
        <f>IF(E306&lt;F306,$A306,B_MAX+1)</f>
        <v>223</v>
      </c>
      <c r="K306" s="13">
        <f>IF(B306=1,$B$35,$B$36)</f>
        <v>0</v>
      </c>
      <c r="L306" s="13">
        <f>OCC_DAYS*$B$41*R_NF_2023-D306*MCD_SHARE_FREED*R_WAIT_2023</f>
        <v>151980.48282209205</v>
      </c>
      <c r="M306">
        <f>IF($A306&lt;=$B$45,1,0)</f>
        <v>0</v>
      </c>
      <c r="AB306">
        <f>IF($AB$31&lt;=$AB$32,IF($A306&lt;=$AB$7,1,2),IF($A306&lt;=RUNG_BEDS_2,2,1))</f>
        <v>1</v>
      </c>
      <c r="AC306" s="5">
        <f>MIN(1,MAX(0,$AB$26-($A306-1)))</f>
        <v>0</v>
      </c>
      <c r="AD306" s="5">
        <f>$AB$25*(AC306+(1-AC306)*$AB$16)</f>
        <v>0.0</v>
      </c>
      <c r="AE306" s="13">
        <f>AD306*($AB$6+ACUTE_MARGIN)</f>
        <v>0.0</v>
      </c>
      <c r="AF306" s="13">
        <f>IF(AB306=1,$AB$31,$AB$32)</f>
        <v>152394.16214437486</v>
      </c>
      <c r="AG306" s="13">
        <f>AE306-AF306</f>
        <v>-152394.16214437486</v>
      </c>
      <c r="AH306" s="13">
        <f>AH305+AG306</f>
        <v>-13166141.875473062</v>
      </c>
      <c r="AI306">
        <f>IF(AH306=MAX($AH$83:$AH$483),$A306,0)</f>
        <v>0</v>
      </c>
      <c r="AJ306">
        <f>IF(AE306&lt;AF306,$A306,B_MAX+1)</f>
        <v>223</v>
      </c>
      <c r="AK306" s="13">
        <f>IF(AB306=1,$AB$35,$AB$36)</f>
        <v>0</v>
      </c>
      <c r="AL306" s="13">
        <f>OCC_DAYS*$AB$41*R_NF_2023-AD306*MCD_SHARE_FREED*R_WAIT_2023</f>
        <v>151980.48282209205</v>
      </c>
      <c r="AM306">
        <f>IF($A306&lt;=$AB$45,1,0)</f>
        <v>0</v>
      </c>
      <c r="BB306">
        <f>IF($BB$31&lt;=$BB$32,IF($A306&lt;=$BB$7,1,2),IF($A306&lt;=RUNG_BEDS_2,2,1))</f>
        <v>1</v>
      </c>
      <c r="BC306" s="5">
        <f>MIN(1,MAX(0,$BB$26-($A306-1)))</f>
        <v>0</v>
      </c>
      <c r="BD306" s="5">
        <f>$BB$25*(BC306+(1-BC306)*$BB$16)</f>
        <v>0.0</v>
      </c>
      <c r="BE306" s="13">
        <f>BD306*($BB$6+ACUTE_MARGIN)</f>
        <v>0.0</v>
      </c>
      <c r="BF306" s="13">
        <f>IF(BB306=1,$BB$31,$BB$32)</f>
        <v>152394.16214437486</v>
      </c>
      <c r="BG306" s="13">
        <f>BE306-BF306</f>
        <v>-152394.16214437486</v>
      </c>
      <c r="BH306" s="13">
        <f>BH305+BG306</f>
        <v>21656286.81562643</v>
      </c>
      <c r="BI306">
        <f>IF(BH306=MAX($BH$83:$BH$483),$A306,0)</f>
        <v>0</v>
      </c>
      <c r="BJ306">
        <f>IF(BE306&lt;BF306,$A306,B_MAX+1)</f>
        <v>223</v>
      </c>
      <c r="BK306" s="13">
        <f>IF(BB306=1,$BB$35,$BB$36)</f>
        <v>0</v>
      </c>
      <c r="BL306" s="13">
        <f>OCC_DAYS*$BB$41*R_NF_2023-BD306*MCD_SHARE_FREED*R_WAIT_2023</f>
        <v>151980.48282209205</v>
      </c>
      <c r="BM306">
        <f>IF($A306&lt;=$BB$45,1,0)</f>
        <v>0</v>
      </c>
      <c r="CB306">
        <f>IF($CB$31&lt;=$CB$32,IF($A306&lt;=$CB$7,1,2),IF($A306&lt;=RUNG_BEDS_2,2,1))</f>
        <v>2</v>
      </c>
      <c r="CC306" s="5">
        <f>MIN(1,MAX(0,$CB$26-($A306-1)))</f>
        <v>0</v>
      </c>
      <c r="CD306" s="5">
        <f>$CB$25*(CC306+(1-CC306)*$CB$16)</f>
        <v>0.0</v>
      </c>
      <c r="CE306" s="13">
        <f>CD306*($CB$6+ACUTE_MARGIN)</f>
        <v>0.0</v>
      </c>
      <c r="CF306" s="13">
        <f>IF(CB306=1,$CB$31,$CB$32)</f>
        <v>160718.36940738867</v>
      </c>
      <c r="CG306" s="13">
        <f>CE306-CF306</f>
        <v>-160718.36940738867</v>
      </c>
      <c r="CH306" s="13">
        <f>CH305+CG306</f>
        <v>2388774.250424547</v>
      </c>
      <c r="CI306">
        <f>IF(CH306=MAX($CH$83:$CH$483),$A306,0)</f>
        <v>0</v>
      </c>
      <c r="CJ306">
        <f>IF(CE306&lt;CF306,$A306,B_MAX+1)</f>
        <v>223</v>
      </c>
      <c r="CK306" s="13">
        <f>IF(CB306=1,$CB$35,$CB$36)</f>
        <v>1560.1194073886782</v>
      </c>
      <c r="CL306" s="13">
        <f>OCC_DAYS*$CB$41*R_NF_2023-CD306*MCD_SHARE_FREED*R_WAIT_2023</f>
        <v>151980.48282209205</v>
      </c>
      <c r="CM306">
        <f>IF($A306&lt;=$CB$45,1,0)</f>
        <v>0</v>
      </c>
      <c r="DB306">
        <f>IF($DB$31&lt;=$DB$32,IF($A306&lt;=$DB$7,1,2),IF($A306&lt;=RUNG_BEDS_2,2,1))</f>
        <v>1</v>
      </c>
      <c r="DC306" s="5">
        <f>MIN(1,MAX(0,$DB$26-($A306-1)))</f>
        <v>0</v>
      </c>
      <c r="DD306" s="5">
        <f>$DB$25*(DC306+(1-DC306)*$DB$16)</f>
        <v>0.0</v>
      </c>
      <c r="DE306" s="13">
        <f>DD306*($DB$6+ACUTE_MARGIN)</f>
        <v>0.0</v>
      </c>
      <c r="DF306" s="13">
        <f>IF(DB306=1,$DB$31,$DB$32)</f>
        <v>152394.16214437486</v>
      </c>
      <c r="DG306" s="13">
        <f>DE306-DF306</f>
        <v>-152394.16214437486</v>
      </c>
      <c r="DH306" s="13">
        <f>DH305+DG306</f>
        <v>4245072.4700767435</v>
      </c>
      <c r="DI306">
        <f>IF(DH306=MAX($DH$83:$DH$483),$A306,0)</f>
        <v>0</v>
      </c>
      <c r="DJ306">
        <f>IF(DE306&lt;DF306,$A306,B_MAX+1)</f>
        <v>223</v>
      </c>
      <c r="DK306" s="13">
        <f>IF(DB306=1,$DB$35,$DB$36)</f>
        <v>0</v>
      </c>
      <c r="DL306" s="13">
        <f>OCC_DAYS*$DB$41*R_NF_2023-DD306*MCD_SHARE_FREED*R_WAIT_2023</f>
        <v>151980.48282209205</v>
      </c>
      <c r="DM306">
        <f>IF($A306&lt;=$DB$45,1,0)</f>
        <v>0</v>
      </c>
      <c r="EB306">
        <f>IF($EB$31&lt;=$EB$32,IF($A306&lt;=$EB$7,1,2),IF($A306&lt;=RUNG_BEDS_2,2,1))</f>
        <v>1</v>
      </c>
      <c r="EC306" s="5">
        <f>MIN(1,MAX(0,$EB$26-($A306-1)))</f>
        <v>0</v>
      </c>
      <c r="ED306" s="5">
        <f>$EB$25*(EC306+(1-EC306)*$EB$16)</f>
        <v>0.0</v>
      </c>
      <c r="EE306" s="13">
        <f>ED306*($EB$6+ACUTE_MARGIN)</f>
        <v>0.0</v>
      </c>
      <c r="EF306" s="13">
        <f>IF(EB306=1,$EB$31,$EB$32)</f>
        <v>152394.16214437486</v>
      </c>
      <c r="EG306" s="13">
        <f>EE306-EF306</f>
        <v>-152394.16214437486</v>
      </c>
      <c r="EH306" s="13">
        <f>EH305+EG306</f>
        <v>4245072.4700767435</v>
      </c>
      <c r="EI306">
        <f>IF(EH306=MAX($EH$83:$EH$483),$A306,0)</f>
        <v>0</v>
      </c>
      <c r="EJ306">
        <f>IF(EE306&lt;EF306,$A306,B_MAX+1)</f>
        <v>223</v>
      </c>
      <c r="EK306" s="13">
        <f>IF(EB306=1,$EB$35,$EB$36)</f>
        <v>0</v>
      </c>
      <c r="EL306" s="13">
        <f>OCC_DAYS*$EB$41*R_NF_2023-ED306*MCD_SHARE_FREED*R_WAIT_2023</f>
        <v>50660.16094069735</v>
      </c>
      <c r="EM306">
        <f>IF($A306&lt;=$EB$45,1,0)</f>
        <v>0</v>
      </c>
      <c r="FB306">
        <f>IF($FB$31&lt;=$FB$32,IF($A306&lt;=$FB$7,1,2),IF($A306&lt;=RUNG_BEDS_2,2,1))</f>
        <v>1</v>
      </c>
      <c r="FC306" s="5">
        <f>MIN(1,MAX(0,$FB$26-($A306-1)))</f>
        <v>0</v>
      </c>
      <c r="FD306" s="5">
        <f>$FB$25*(FC306+(1-FC306)*$FB$16)</f>
        <v>0.0</v>
      </c>
      <c r="FE306" s="13">
        <f>FD306*($FB$6+ACUTE_MARGIN)</f>
        <v>0.0</v>
      </c>
      <c r="FF306" s="13">
        <f>IF(FB306=1,$FB$31,$FB$32)</f>
        <v>156636.04979437485</v>
      </c>
      <c r="FG306" s="13">
        <f>FE306-FF306</f>
        <v>-156636.04979437485</v>
      </c>
      <c r="FH306" s="13">
        <f>FH305+FG306</f>
        <v>3299131.5241266293</v>
      </c>
      <c r="FI306">
        <f>IF(FH306=MAX($FH$83:$FH$483),$A306,0)</f>
        <v>0</v>
      </c>
      <c r="FJ306">
        <f>IF(FE306&lt;FF306,$A306,B_MAX+1)</f>
        <v>223</v>
      </c>
      <c r="FK306" s="13">
        <f>IF(FB306=1,$FB$35,$FB$36)</f>
        <v>0</v>
      </c>
      <c r="FL306" s="13">
        <f>OCC_DAYS*$FB$41*R_NF_2023-FD306*MCD_SHARE_FREED*R_WAIT_2023</f>
        <v>151980.48282209205</v>
      </c>
      <c r="FM306">
        <f>IF($A306&lt;=$FB$45,1,0)</f>
        <v>0</v>
      </c>
      <c r="GB306">
        <f>IF($GB$31&lt;=$GB$32,IF($A306&lt;=$GB$7,1,2),IF($A306&lt;=RUNG_BEDS_2,2,1))</f>
        <v>1</v>
      </c>
      <c r="GC306" s="5">
        <f>MIN(1,MAX(0,$GB$26-($A306-1)))</f>
        <v>0</v>
      </c>
      <c r="GD306" s="5">
        <f>$GB$25*(GC306+(1-GC306)*$GB$16)</f>
        <v>0.0</v>
      </c>
      <c r="GE306" s="13">
        <f>GD306*($GB$6+ACUTE_MARGIN)</f>
        <v>0.0</v>
      </c>
      <c r="GF306" s="13">
        <f>IF(GB306=1,$GB$31,$GB$32)</f>
        <v>152394.16214437486</v>
      </c>
      <c r="GG306" s="13">
        <f>GE306-GF306</f>
        <v>-152394.16214437486</v>
      </c>
      <c r="GH306" s="13">
        <f>GH305+GG306</f>
        <v>4245072.4700767435</v>
      </c>
      <c r="GI306">
        <f>IF(GH306=MAX($GH$83:$GH$483),$A306,0)</f>
        <v>0</v>
      </c>
      <c r="GJ306">
        <f>IF(GE306&lt;GF306,$A306,B_MAX+1)</f>
        <v>223</v>
      </c>
      <c r="GK306" s="13">
        <f>IF(GB306=1,$GB$35,$GB$36)</f>
        <v>0</v>
      </c>
      <c r="GL306" s="13">
        <f>OCC_DAYS*$GB$41*R_NF_2023-GD306*MCD_SHARE_FREED*R_WAIT_2023</f>
        <v>151980.48282209205</v>
      </c>
      <c r="GM306">
        <f>IF($A306&lt;=$GB$45,1,0)</f>
        <v>0</v>
      </c>
      <c r="HB306">
        <f>IF($HB$31&lt;=$HB$32,IF($A306&lt;=$HB$7,1,2),IF($A306&lt;=RUNG_BEDS_2,2,1))</f>
        <v>1</v>
      </c>
      <c r="HC306" s="5">
        <f>MIN(1,MAX(0,$HB$26-($A306-1)))</f>
        <v>0</v>
      </c>
      <c r="HD306" s="5">
        <f>$HB$25*(HC306+(1-HC306)*$HB$16)</f>
        <v>0.0</v>
      </c>
      <c r="HE306" s="13">
        <f>HD306*($HB$6+ACUTE_MARGIN)</f>
        <v>0.0</v>
      </c>
      <c r="HF306" s="13">
        <f>IF(HB306=1,$HB$31,$HB$32)</f>
        <v>152456.2970814058</v>
      </c>
      <c r="HG306" s="13">
        <f>HE306-HF306</f>
        <v>-152456.2970814058</v>
      </c>
      <c r="HH306" s="13">
        <f>HH305+HG306</f>
        <v>4231216.379118802</v>
      </c>
      <c r="HI306">
        <f>IF(HH306=MAX($HH$83:$HH$483),$A306,0)</f>
        <v>0</v>
      </c>
      <c r="HJ306">
        <f>IF(HE306&lt;HF306,$A306,B_MAX+1)</f>
        <v>223</v>
      </c>
      <c r="HK306" s="13">
        <f>IF(HB306=1,$HB$35,$HB$36)</f>
        <v>0</v>
      </c>
      <c r="HL306" s="13">
        <f>OCC_DAYS*$HB$41*R_NF_2023-HD306*MCD_SHARE_FREED*R_WAIT_2023</f>
        <v>151980.48282209205</v>
      </c>
      <c r="HM306">
        <f>IF($A306&lt;=$HB$45,1,0)</f>
        <v>0</v>
      </c>
      <c r="IB306">
        <f>IF($IB$31&lt;=$IB$32,IF($A306&lt;=$IB$7,1,2),IF($A306&lt;=RUNG_BEDS_2,2,1))</f>
        <v>1</v>
      </c>
      <c r="IC306" s="5">
        <f>MIN(1,MAX(0,$IB$26-($A306-1)))</f>
        <v>0</v>
      </c>
      <c r="ID306" s="5">
        <f>$IB$25*(IC306+(1-IC306)*$IB$16)</f>
        <v>0.0</v>
      </c>
      <c r="IE306" s="13">
        <f>ID306*($IB$6+ACUTE_MARGIN)</f>
        <v>0.0</v>
      </c>
      <c r="IF306" s="13">
        <f>IF(IB306=1,$IB$31,$IB$32)</f>
        <v>152734.9994534971</v>
      </c>
      <c r="IG306" s="13">
        <f>IE306-IF306</f>
        <v>-152734.9994534971</v>
      </c>
      <c r="IH306" s="13">
        <f>IH305+IG306</f>
        <v>4169065.75014239</v>
      </c>
      <c r="II306">
        <f>IF(IH306=MAX($IH$83:$IH$483),$A306,0)</f>
        <v>0</v>
      </c>
      <c r="IJ306">
        <f>IF(IE306&lt;IF306,$A306,B_MAX+1)</f>
        <v>223</v>
      </c>
      <c r="IK306" s="13">
        <f>IF(IB306=1,$IB$35,$IB$36)</f>
        <v>0</v>
      </c>
      <c r="IL306" s="13">
        <f>OCC_DAYS*$IB$41*R_NF_2023-ID306*MCD_SHARE_FREED*R_WAIT_2023</f>
        <v>151980.48282209205</v>
      </c>
      <c r="IM306">
        <f>IF($A306&lt;=$IB$45,1,0)</f>
        <v>0</v>
      </c>
      <c r="JB306">
        <f>IF($JB$31&lt;=$JB$32,IF($A306&lt;=$JB$7,1,2),IF($A306&lt;=RUNG_BEDS_2,2,1))</f>
        <v>1</v>
      </c>
      <c r="JC306" s="5">
        <f>MIN(1,MAX(0,$JB$26-($A306-1)))</f>
        <v>0</v>
      </c>
      <c r="JD306" s="5">
        <f>$JB$25*(JC306+(1-JC306)*$JB$16)</f>
        <v>0.0</v>
      </c>
      <c r="JE306" s="13">
        <f>JD306*($JB$6+ACUTE_MARGIN)</f>
        <v>0.0</v>
      </c>
      <c r="JF306" s="13">
        <f>IF(JB306=1,$JB$31,$JB$32)</f>
        <v>152394.16214437486</v>
      </c>
      <c r="JG306" s="13">
        <f>JE306-JF306</f>
        <v>-152394.16214437486</v>
      </c>
      <c r="JH306" s="13">
        <f>JH305+JG306</f>
        <v>4245072.4700767435</v>
      </c>
      <c r="JI306">
        <f>IF(JH306=MAX($JH$83:$JH$483),$A306,0)</f>
        <v>0</v>
      </c>
      <c r="JJ306">
        <f>IF(JE306&lt;JF306,$A306,B_MAX+1)</f>
        <v>223</v>
      </c>
      <c r="JK306" s="13">
        <f>IF(JB306=1,$JB$35,$JB$36)</f>
        <v>0</v>
      </c>
      <c r="JL306" s="13">
        <f>OCC_DAYS*$JB$41*R_NF_2023-JD306*MCD_SHARE_FREED*R_WAIT_2023</f>
        <v>151980.48282209205</v>
      </c>
      <c r="JM306">
        <f>IF($A306&lt;=$JB$45,1,0)</f>
        <v>0</v>
      </c>
      <c r="KB306">
        <f>IF($KB$31&lt;=$KB$32,IF($A306&lt;=$KB$7,1,2),IF($A306&lt;=RUNG_BEDS_2,2,1))</f>
        <v>1</v>
      </c>
      <c r="KC306" s="5">
        <f>MIN(1,MAX(0,$KB$26-($A306-1)))</f>
        <v>1</v>
      </c>
      <c r="KD306" s="5">
        <f>$KB$25*(KC306+(1-KC306)*$KB$16)</f>
        <v>126.02661357340719</v>
      </c>
      <c r="KE306" s="13">
        <f>KD306*($KB$6+ACUTE_MARGIN)</f>
        <v>127286.87970914126</v>
      </c>
      <c r="KF306" s="13">
        <f>IF(KB306=1,$KB$31,$KB$32)</f>
        <v>152394.16214437486</v>
      </c>
      <c r="KG306" s="13">
        <f>KE306-KF306</f>
        <v>-25107.282435233603</v>
      </c>
      <c r="KH306" s="13">
        <f>KH305+KG306</f>
        <v>-5598923.9830571115</v>
      </c>
      <c r="KI306">
        <f>IF(KH306=MAX($KH$83:$KH$483),$A306,0)</f>
        <v>0</v>
      </c>
      <c r="KJ306">
        <f>IF(KE306&lt;KF306,$A306,B_MAX+1)</f>
        <v>223</v>
      </c>
      <c r="KK306" s="13">
        <f>IF(KB306=1,$KB$35,$KB$36)</f>
        <v>0</v>
      </c>
      <c r="KL306" s="13">
        <f>OCC_DAYS*$KB$41*R_NF_2023-KD306*MCD_SHARE_FREED*R_WAIT_2023</f>
        <v>94673.82103225985</v>
      </c>
      <c r="KM306">
        <f>IF($A306&lt;=$KB$45,1,0)</f>
        <v>0</v>
      </c>
      <c r="LB306">
        <f>IF($LB$31&lt;=$LB$32,IF($A306&lt;=$LB$7,1,2),IF($A306&lt;=RUNG_BEDS_2,2,1))</f>
        <v>1</v>
      </c>
      <c r="LC306" s="5">
        <f>MIN(1,MAX(0,$LB$26-($A306-1)))</f>
        <v>1</v>
      </c>
      <c r="LD306" s="5">
        <f>$LB$25*(LC306+(1-LC306)*$LB$16)</f>
        <v>84.01774238227146</v>
      </c>
      <c r="LE306" s="13">
        <f>LD306*($LB$6+ACUTE_MARGIN)</f>
        <v>84857.91980609419</v>
      </c>
      <c r="LF306" s="13">
        <f>IF(LB306=1,$LB$31,$LB$32)</f>
        <v>152394.16214437486</v>
      </c>
      <c r="LG306" s="13">
        <f>LE306-LF306</f>
        <v>-67536.24233828067</v>
      </c>
      <c r="LH306" s="13">
        <f>LH305+LG306</f>
        <v>-15060582.041436661</v>
      </c>
      <c r="LI306">
        <f>IF(LH306=MAX($LH$83:$LH$483),$A306,0)</f>
        <v>0</v>
      </c>
      <c r="LJ306">
        <f>IF(LE306&lt;LF306,$A306,B_MAX+1)</f>
        <v>223</v>
      </c>
      <c r="LK306" s="13">
        <f>IF(LB306=1,$LB$35,$LB$36)</f>
        <v>0</v>
      </c>
      <c r="LL306" s="13">
        <f>OCC_DAYS*$LB$41*R_NF_2023-LD306*MCD_SHARE_FREED*R_WAIT_2023</f>
        <v>113776.04162887059</v>
      </c>
      <c r="LM306">
        <f>IF($A306&lt;=$LB$45,1,0)</f>
        <v>0</v>
      </c>
      <c r="MB306">
        <f>IF($MB$31&lt;=$MB$32,IF($A306&lt;=$MB$7,1,2),IF($A306&lt;=RUNG_BEDS_2,2,1))</f>
        <v>1</v>
      </c>
      <c r="MC306" s="5">
        <f>MIN(1,MAX(0,$MB$26-($A306-1)))</f>
        <v>0</v>
      </c>
      <c r="MD306" s="5">
        <f>$MB$25*(MC306+(1-MC306)*$MB$16)</f>
        <v>0.0</v>
      </c>
      <c r="ME306" s="13">
        <f>MD306*($MB$6+ACUTE_MARGIN)</f>
        <v>0.0</v>
      </c>
      <c r="MF306" s="13">
        <f>IF(MB306=1,$MB$31,$MB$32)</f>
        <v>152394.16214437486</v>
      </c>
      <c r="MG306" s="13">
        <f>ME306-MF306</f>
        <v>-152394.16214437486</v>
      </c>
      <c r="MH306" s="13">
        <f>MH305+MG306</f>
        <v>-1642203.591721587</v>
      </c>
      <c r="MI306">
        <f>IF(MH306=MAX($MH$83:$MH$483),$A306,0)</f>
        <v>0</v>
      </c>
      <c r="MJ306">
        <f>IF(ME306&lt;MF306,$A306,B_MAX+1)</f>
        <v>223</v>
      </c>
      <c r="MK306" s="13">
        <f>IF(MB306=1,$MB$35,$MB$36)</f>
        <v>0</v>
      </c>
      <c r="ML306" s="13">
        <f>OCC_DAYS*$MB$41*R_NF_2023-MD306*MCD_SHARE_FREED*R_WAIT_2023</f>
        <v>151980.48282209205</v>
      </c>
      <c r="MM306">
        <f>IF($A306&lt;=$MB$45,1,0)</f>
        <v>0</v>
      </c>
      <c r="NB306">
        <f>IF($NB$31&lt;=$NB$32,IF($A306&lt;=$NB$7,1,2),IF($A306&lt;=RUNG_BEDS_2,2,1))</f>
        <v>1</v>
      </c>
      <c r="NC306" s="5">
        <f>MIN(1,MAX(0,$NB$26-($A306-1)))</f>
        <v>0</v>
      </c>
      <c r="ND306" s="5">
        <f>$NB$25*(NC306+(1-NC306)*$NB$16)</f>
        <v>63.013306786703595</v>
      </c>
      <c r="NE306" s="13">
        <f>ND306*($NB$6+ACUTE_MARGIN)</f>
        <v>63643.43985457063</v>
      </c>
      <c r="NF306" s="13">
        <f>IF(NB306=1,$NB$31,$NB$32)</f>
        <v>152394.16214437486</v>
      </c>
      <c r="NG306" s="13">
        <f>NE306-NF306</f>
        <v>-88750.72228980422</v>
      </c>
      <c r="NH306" s="13">
        <f>NH305+NG306</f>
        <v>8880316.900577892</v>
      </c>
      <c r="NI306">
        <f>IF(NH306=MAX($NH$83:$NH$483),$A306,0)</f>
        <v>0</v>
      </c>
      <c r="NJ306">
        <f>IF(NE306&lt;NF306,$A306,B_MAX+1)</f>
        <v>223</v>
      </c>
      <c r="NK306" s="13">
        <f>IF(NB306=1,$NB$35,$NB$36)</f>
        <v>0</v>
      </c>
      <c r="NL306" s="13">
        <f>OCC_DAYS*$NB$41*R_NF_2023-ND306*MCD_SHARE_FREED*R_WAIT_2023</f>
        <v>123327.15192717595</v>
      </c>
      <c r="NM306">
        <f>IF($A306&lt;=$NB$45,1,0)</f>
        <v>0</v>
      </c>
      <c r="OB306">
        <f>IF($OB$31&lt;=$OB$32,IF($A306&lt;=$OB$7,1,2),IF($A306&lt;=RUNG_BEDS_2,2,1))</f>
        <v>1</v>
      </c>
      <c r="OC306" s="5">
        <f>MIN(1,MAX(0,$OB$26-($A306-1)))</f>
        <v>0</v>
      </c>
      <c r="OD306" s="5">
        <f>$OB$25*(OC306+(1-OC306)*$OB$16)</f>
        <v>126.02661357340719</v>
      </c>
      <c r="OE306" s="13">
        <f>OD306*($OB$6+ACUTE_MARGIN)</f>
        <v>127286.87970914126</v>
      </c>
      <c r="OF306" s="13">
        <f>IF(OB306=1,$OB$31,$OB$32)</f>
        <v>152394.16214437486</v>
      </c>
      <c r="OG306" s="13">
        <f>OE306-OF306</f>
        <v>-25107.282435233603</v>
      </c>
      <c r="OH306" s="13">
        <f>OH305+OG306</f>
        <v>13515561.33107915</v>
      </c>
      <c r="OI306">
        <f>IF(OH306=MAX($OH$83:$OH$483),$A306,0)</f>
        <v>0</v>
      </c>
      <c r="OJ306">
        <f>IF(OE306&lt;OF306,$A306,B_MAX+1)</f>
        <v>223</v>
      </c>
      <c r="OK306" s="13">
        <f>IF(OB306=1,$OB$35,$OB$36)</f>
        <v>0</v>
      </c>
      <c r="OL306" s="13">
        <f>OCC_DAYS*$OB$41*R_NF_2023-OD306*MCD_SHARE_FREED*R_WAIT_2023</f>
        <v>94673.82103225985</v>
      </c>
      <c r="OM306">
        <f>IF($A306&lt;=$OB$45,1,0)</f>
        <v>0</v>
      </c>
    </row>
    <row r="307">
      <c r="A307" t="n">
        <v>224</v>
      </c>
      <c r="B307">
        <f>IF($B$31&lt;=$B$32,IF($A307&lt;=$B$7,1,2),IF($A307&lt;=RUNG_BEDS_2,2,1))</f>
        <v>1</v>
      </c>
      <c r="C307" s="5">
        <f>MIN(1,MAX(0,$B$26-($A307-1)))</f>
        <v>0</v>
      </c>
      <c r="D307" s="5">
        <f>$B$25*(C307+(1-C307)*$B$16)</f>
        <v>0.0</v>
      </c>
      <c r="E307" s="13">
        <f>D307*($B$6+ACUTE_MARGIN)</f>
        <v>0.0</v>
      </c>
      <c r="F307" s="13">
        <f>IF(B307=1,$B$31,$B$32)</f>
        <v>152394.16214437486</v>
      </c>
      <c r="G307" s="13">
        <f>E307-F307</f>
        <v>-152394.16214437486</v>
      </c>
      <c r="H307" s="13">
        <f>H306+G307</f>
        <v>4092678.3079323685</v>
      </c>
      <c r="I307">
        <f>IF(H307=MAX($H$83:$H$483),$A307,0)</f>
        <v>0</v>
      </c>
      <c r="J307">
        <f>IF(E307&lt;F307,$A307,B_MAX+1)</f>
        <v>224</v>
      </c>
      <c r="K307" s="13">
        <f>IF(B307=1,$B$35,$B$36)</f>
        <v>0</v>
      </c>
      <c r="L307" s="13">
        <f>OCC_DAYS*$B$41*R_NF_2023-D307*MCD_SHARE_FREED*R_WAIT_2023</f>
        <v>151980.48282209205</v>
      </c>
      <c r="M307">
        <f>IF($A307&lt;=$B$45,1,0)</f>
        <v>0</v>
      </c>
      <c r="AB307">
        <f>IF($AB$31&lt;=$AB$32,IF($A307&lt;=$AB$7,1,2),IF($A307&lt;=RUNG_BEDS_2,2,1))</f>
        <v>1</v>
      </c>
      <c r="AC307" s="5">
        <f>MIN(1,MAX(0,$AB$26-($A307-1)))</f>
        <v>0</v>
      </c>
      <c r="AD307" s="5">
        <f>$AB$25*(AC307+(1-AC307)*$AB$16)</f>
        <v>0.0</v>
      </c>
      <c r="AE307" s="13">
        <f>AD307*($AB$6+ACUTE_MARGIN)</f>
        <v>0.0</v>
      </c>
      <c r="AF307" s="13">
        <f>IF(AB307=1,$AB$31,$AB$32)</f>
        <v>152394.16214437486</v>
      </c>
      <c r="AG307" s="13">
        <f>AE307-AF307</f>
        <v>-152394.16214437486</v>
      </c>
      <c r="AH307" s="13">
        <f>AH306+AG307</f>
        <v>-13318536.037617436</v>
      </c>
      <c r="AI307">
        <f>IF(AH307=MAX($AH$83:$AH$483),$A307,0)</f>
        <v>0</v>
      </c>
      <c r="AJ307">
        <f>IF(AE307&lt;AF307,$A307,B_MAX+1)</f>
        <v>224</v>
      </c>
      <c r="AK307" s="13">
        <f>IF(AB307=1,$AB$35,$AB$36)</f>
        <v>0</v>
      </c>
      <c r="AL307" s="13">
        <f>OCC_DAYS*$AB$41*R_NF_2023-AD307*MCD_SHARE_FREED*R_WAIT_2023</f>
        <v>151980.48282209205</v>
      </c>
      <c r="AM307">
        <f>IF($A307&lt;=$AB$45,1,0)</f>
        <v>0</v>
      </c>
      <c r="BB307">
        <f>IF($BB$31&lt;=$BB$32,IF($A307&lt;=$BB$7,1,2),IF($A307&lt;=RUNG_BEDS_2,2,1))</f>
        <v>1</v>
      </c>
      <c r="BC307" s="5">
        <f>MIN(1,MAX(0,$BB$26-($A307-1)))</f>
        <v>0</v>
      </c>
      <c r="BD307" s="5">
        <f>$BB$25*(BC307+(1-BC307)*$BB$16)</f>
        <v>0.0</v>
      </c>
      <c r="BE307" s="13">
        <f>BD307*($BB$6+ACUTE_MARGIN)</f>
        <v>0.0</v>
      </c>
      <c r="BF307" s="13">
        <f>IF(BB307=1,$BB$31,$BB$32)</f>
        <v>152394.16214437486</v>
      </c>
      <c r="BG307" s="13">
        <f>BE307-BF307</f>
        <v>-152394.16214437486</v>
      </c>
      <c r="BH307" s="13">
        <f>BH306+BG307</f>
        <v>21503892.653482057</v>
      </c>
      <c r="BI307">
        <f>IF(BH307=MAX($BH$83:$BH$483),$A307,0)</f>
        <v>0</v>
      </c>
      <c r="BJ307">
        <f>IF(BE307&lt;BF307,$A307,B_MAX+1)</f>
        <v>224</v>
      </c>
      <c r="BK307" s="13">
        <f>IF(BB307=1,$BB$35,$BB$36)</f>
        <v>0</v>
      </c>
      <c r="BL307" s="13">
        <f>OCC_DAYS*$BB$41*R_NF_2023-BD307*MCD_SHARE_FREED*R_WAIT_2023</f>
        <v>151980.48282209205</v>
      </c>
      <c r="BM307">
        <f>IF($A307&lt;=$BB$45,1,0)</f>
        <v>0</v>
      </c>
      <c r="CB307">
        <f>IF($CB$31&lt;=$CB$32,IF($A307&lt;=$CB$7,1,2),IF($A307&lt;=RUNG_BEDS_2,2,1))</f>
        <v>2</v>
      </c>
      <c r="CC307" s="5">
        <f>MIN(1,MAX(0,$CB$26-($A307-1)))</f>
        <v>0</v>
      </c>
      <c r="CD307" s="5">
        <f>$CB$25*(CC307+(1-CC307)*$CB$16)</f>
        <v>0.0</v>
      </c>
      <c r="CE307" s="13">
        <f>CD307*($CB$6+ACUTE_MARGIN)</f>
        <v>0.0</v>
      </c>
      <c r="CF307" s="13">
        <f>IF(CB307=1,$CB$31,$CB$32)</f>
        <v>160718.36940738867</v>
      </c>
      <c r="CG307" s="13">
        <f>CE307-CF307</f>
        <v>-160718.36940738867</v>
      </c>
      <c r="CH307" s="13">
        <f>CH306+CG307</f>
        <v>2228055.8810171583</v>
      </c>
      <c r="CI307">
        <f>IF(CH307=MAX($CH$83:$CH$483),$A307,0)</f>
        <v>0</v>
      </c>
      <c r="CJ307">
        <f>IF(CE307&lt;CF307,$A307,B_MAX+1)</f>
        <v>224</v>
      </c>
      <c r="CK307" s="13">
        <f>IF(CB307=1,$CB$35,$CB$36)</f>
        <v>1560.1194073886782</v>
      </c>
      <c r="CL307" s="13">
        <f>OCC_DAYS*$CB$41*R_NF_2023-CD307*MCD_SHARE_FREED*R_WAIT_2023</f>
        <v>151980.48282209205</v>
      </c>
      <c r="CM307">
        <f>IF($A307&lt;=$CB$45,1,0)</f>
        <v>0</v>
      </c>
      <c r="DB307">
        <f>IF($DB$31&lt;=$DB$32,IF($A307&lt;=$DB$7,1,2),IF($A307&lt;=RUNG_BEDS_2,2,1))</f>
        <v>1</v>
      </c>
      <c r="DC307" s="5">
        <f>MIN(1,MAX(0,$DB$26-($A307-1)))</f>
        <v>0</v>
      </c>
      <c r="DD307" s="5">
        <f>$DB$25*(DC307+(1-DC307)*$DB$16)</f>
        <v>0.0</v>
      </c>
      <c r="DE307" s="13">
        <f>DD307*($DB$6+ACUTE_MARGIN)</f>
        <v>0.0</v>
      </c>
      <c r="DF307" s="13">
        <f>IF(DB307=1,$DB$31,$DB$32)</f>
        <v>152394.16214437486</v>
      </c>
      <c r="DG307" s="13">
        <f>DE307-DF307</f>
        <v>-152394.16214437486</v>
      </c>
      <c r="DH307" s="13">
        <f>DH306+DG307</f>
        <v>4092678.3079323685</v>
      </c>
      <c r="DI307">
        <f>IF(DH307=MAX($DH$83:$DH$483),$A307,0)</f>
        <v>0</v>
      </c>
      <c r="DJ307">
        <f>IF(DE307&lt;DF307,$A307,B_MAX+1)</f>
        <v>224</v>
      </c>
      <c r="DK307" s="13">
        <f>IF(DB307=1,$DB$35,$DB$36)</f>
        <v>0</v>
      </c>
      <c r="DL307" s="13">
        <f>OCC_DAYS*$DB$41*R_NF_2023-DD307*MCD_SHARE_FREED*R_WAIT_2023</f>
        <v>151980.48282209205</v>
      </c>
      <c r="DM307">
        <f>IF($A307&lt;=$DB$45,1,0)</f>
        <v>0</v>
      </c>
      <c r="EB307">
        <f>IF($EB$31&lt;=$EB$32,IF($A307&lt;=$EB$7,1,2),IF($A307&lt;=RUNG_BEDS_2,2,1))</f>
        <v>1</v>
      </c>
      <c r="EC307" s="5">
        <f>MIN(1,MAX(0,$EB$26-($A307-1)))</f>
        <v>0</v>
      </c>
      <c r="ED307" s="5">
        <f>$EB$25*(EC307+(1-EC307)*$EB$16)</f>
        <v>0.0</v>
      </c>
      <c r="EE307" s="13">
        <f>ED307*($EB$6+ACUTE_MARGIN)</f>
        <v>0.0</v>
      </c>
      <c r="EF307" s="13">
        <f>IF(EB307=1,$EB$31,$EB$32)</f>
        <v>152394.16214437486</v>
      </c>
      <c r="EG307" s="13">
        <f>EE307-EF307</f>
        <v>-152394.16214437486</v>
      </c>
      <c r="EH307" s="13">
        <f>EH306+EG307</f>
        <v>4092678.3079323685</v>
      </c>
      <c r="EI307">
        <f>IF(EH307=MAX($EH$83:$EH$483),$A307,0)</f>
        <v>0</v>
      </c>
      <c r="EJ307">
        <f>IF(EE307&lt;EF307,$A307,B_MAX+1)</f>
        <v>224</v>
      </c>
      <c r="EK307" s="13">
        <f>IF(EB307=1,$EB$35,$EB$36)</f>
        <v>0</v>
      </c>
      <c r="EL307" s="13">
        <f>OCC_DAYS*$EB$41*R_NF_2023-ED307*MCD_SHARE_FREED*R_WAIT_2023</f>
        <v>50660.16094069735</v>
      </c>
      <c r="EM307">
        <f>IF($A307&lt;=$EB$45,1,0)</f>
        <v>0</v>
      </c>
      <c r="FB307">
        <f>IF($FB$31&lt;=$FB$32,IF($A307&lt;=$FB$7,1,2),IF($A307&lt;=RUNG_BEDS_2,2,1))</f>
        <v>1</v>
      </c>
      <c r="FC307" s="5">
        <f>MIN(1,MAX(0,$FB$26-($A307-1)))</f>
        <v>0</v>
      </c>
      <c r="FD307" s="5">
        <f>$FB$25*(FC307+(1-FC307)*$FB$16)</f>
        <v>0.0</v>
      </c>
      <c r="FE307" s="13">
        <f>FD307*($FB$6+ACUTE_MARGIN)</f>
        <v>0.0</v>
      </c>
      <c r="FF307" s="13">
        <f>IF(FB307=1,$FB$31,$FB$32)</f>
        <v>156636.04979437485</v>
      </c>
      <c r="FG307" s="13">
        <f>FE307-FF307</f>
        <v>-156636.04979437485</v>
      </c>
      <c r="FH307" s="13">
        <f>FH306+FG307</f>
        <v>3142495.4743322544</v>
      </c>
      <c r="FI307">
        <f>IF(FH307=MAX($FH$83:$FH$483),$A307,0)</f>
        <v>0</v>
      </c>
      <c r="FJ307">
        <f>IF(FE307&lt;FF307,$A307,B_MAX+1)</f>
        <v>224</v>
      </c>
      <c r="FK307" s="13">
        <f>IF(FB307=1,$FB$35,$FB$36)</f>
        <v>0</v>
      </c>
      <c r="FL307" s="13">
        <f>OCC_DAYS*$FB$41*R_NF_2023-FD307*MCD_SHARE_FREED*R_WAIT_2023</f>
        <v>151980.48282209205</v>
      </c>
      <c r="FM307">
        <f>IF($A307&lt;=$FB$45,1,0)</f>
        <v>0</v>
      </c>
      <c r="GB307">
        <f>IF($GB$31&lt;=$GB$32,IF($A307&lt;=$GB$7,1,2),IF($A307&lt;=RUNG_BEDS_2,2,1))</f>
        <v>1</v>
      </c>
      <c r="GC307" s="5">
        <f>MIN(1,MAX(0,$GB$26-($A307-1)))</f>
        <v>0</v>
      </c>
      <c r="GD307" s="5">
        <f>$GB$25*(GC307+(1-GC307)*$GB$16)</f>
        <v>0.0</v>
      </c>
      <c r="GE307" s="13">
        <f>GD307*($GB$6+ACUTE_MARGIN)</f>
        <v>0.0</v>
      </c>
      <c r="GF307" s="13">
        <f>IF(GB307=1,$GB$31,$GB$32)</f>
        <v>152394.16214437486</v>
      </c>
      <c r="GG307" s="13">
        <f>GE307-GF307</f>
        <v>-152394.16214437486</v>
      </c>
      <c r="GH307" s="13">
        <f>GH306+GG307</f>
        <v>4092678.3079323685</v>
      </c>
      <c r="GI307">
        <f>IF(GH307=MAX($GH$83:$GH$483),$A307,0)</f>
        <v>0</v>
      </c>
      <c r="GJ307">
        <f>IF(GE307&lt;GF307,$A307,B_MAX+1)</f>
        <v>224</v>
      </c>
      <c r="GK307" s="13">
        <f>IF(GB307=1,$GB$35,$GB$36)</f>
        <v>0</v>
      </c>
      <c r="GL307" s="13">
        <f>OCC_DAYS*$GB$41*R_NF_2023-GD307*MCD_SHARE_FREED*R_WAIT_2023</f>
        <v>151980.48282209205</v>
      </c>
      <c r="GM307">
        <f>IF($A307&lt;=$GB$45,1,0)</f>
        <v>0</v>
      </c>
      <c r="HB307">
        <f>IF($HB$31&lt;=$HB$32,IF($A307&lt;=$HB$7,1,2),IF($A307&lt;=RUNG_BEDS_2,2,1))</f>
        <v>1</v>
      </c>
      <c r="HC307" s="5">
        <f>MIN(1,MAX(0,$HB$26-($A307-1)))</f>
        <v>0</v>
      </c>
      <c r="HD307" s="5">
        <f>$HB$25*(HC307+(1-HC307)*$HB$16)</f>
        <v>0.0</v>
      </c>
      <c r="HE307" s="13">
        <f>HD307*($HB$6+ACUTE_MARGIN)</f>
        <v>0.0</v>
      </c>
      <c r="HF307" s="13">
        <f>IF(HB307=1,$HB$31,$HB$32)</f>
        <v>152456.2970814058</v>
      </c>
      <c r="HG307" s="13">
        <f>HE307-HF307</f>
        <v>-152456.2970814058</v>
      </c>
      <c r="HH307" s="13">
        <f>HH306+HG307</f>
        <v>4078760.0820373963</v>
      </c>
      <c r="HI307">
        <f>IF(HH307=MAX($HH$83:$HH$483),$A307,0)</f>
        <v>0</v>
      </c>
      <c r="HJ307">
        <f>IF(HE307&lt;HF307,$A307,B_MAX+1)</f>
        <v>224</v>
      </c>
      <c r="HK307" s="13">
        <f>IF(HB307=1,$HB$35,$HB$36)</f>
        <v>0</v>
      </c>
      <c r="HL307" s="13">
        <f>OCC_DAYS*$HB$41*R_NF_2023-HD307*MCD_SHARE_FREED*R_WAIT_2023</f>
        <v>151980.48282209205</v>
      </c>
      <c r="HM307">
        <f>IF($A307&lt;=$HB$45,1,0)</f>
        <v>0</v>
      </c>
      <c r="IB307">
        <f>IF($IB$31&lt;=$IB$32,IF($A307&lt;=$IB$7,1,2),IF($A307&lt;=RUNG_BEDS_2,2,1))</f>
        <v>1</v>
      </c>
      <c r="IC307" s="5">
        <f>MIN(1,MAX(0,$IB$26-($A307-1)))</f>
        <v>0</v>
      </c>
      <c r="ID307" s="5">
        <f>$IB$25*(IC307+(1-IC307)*$IB$16)</f>
        <v>0.0</v>
      </c>
      <c r="IE307" s="13">
        <f>ID307*($IB$6+ACUTE_MARGIN)</f>
        <v>0.0</v>
      </c>
      <c r="IF307" s="13">
        <f>IF(IB307=1,$IB$31,$IB$32)</f>
        <v>152734.9994534971</v>
      </c>
      <c r="IG307" s="13">
        <f>IE307-IF307</f>
        <v>-152734.9994534971</v>
      </c>
      <c r="IH307" s="13">
        <f>IH306+IG307</f>
        <v>4016330.750688893</v>
      </c>
      <c r="II307">
        <f>IF(IH307=MAX($IH$83:$IH$483),$A307,0)</f>
        <v>0</v>
      </c>
      <c r="IJ307">
        <f>IF(IE307&lt;IF307,$A307,B_MAX+1)</f>
        <v>224</v>
      </c>
      <c r="IK307" s="13">
        <f>IF(IB307=1,$IB$35,$IB$36)</f>
        <v>0</v>
      </c>
      <c r="IL307" s="13">
        <f>OCC_DAYS*$IB$41*R_NF_2023-ID307*MCD_SHARE_FREED*R_WAIT_2023</f>
        <v>151980.48282209205</v>
      </c>
      <c r="IM307">
        <f>IF($A307&lt;=$IB$45,1,0)</f>
        <v>0</v>
      </c>
      <c r="JB307">
        <f>IF($JB$31&lt;=$JB$32,IF($A307&lt;=$JB$7,1,2),IF($A307&lt;=RUNG_BEDS_2,2,1))</f>
        <v>1</v>
      </c>
      <c r="JC307" s="5">
        <f>MIN(1,MAX(0,$JB$26-($A307-1)))</f>
        <v>0</v>
      </c>
      <c r="JD307" s="5">
        <f>$JB$25*(JC307+(1-JC307)*$JB$16)</f>
        <v>0.0</v>
      </c>
      <c r="JE307" s="13">
        <f>JD307*($JB$6+ACUTE_MARGIN)</f>
        <v>0.0</v>
      </c>
      <c r="JF307" s="13">
        <f>IF(JB307=1,$JB$31,$JB$32)</f>
        <v>152394.16214437486</v>
      </c>
      <c r="JG307" s="13">
        <f>JE307-JF307</f>
        <v>-152394.16214437486</v>
      </c>
      <c r="JH307" s="13">
        <f>JH306+JG307</f>
        <v>4092678.3079323685</v>
      </c>
      <c r="JI307">
        <f>IF(JH307=MAX($JH$83:$JH$483),$A307,0)</f>
        <v>0</v>
      </c>
      <c r="JJ307">
        <f>IF(JE307&lt;JF307,$A307,B_MAX+1)</f>
        <v>224</v>
      </c>
      <c r="JK307" s="13">
        <f>IF(JB307=1,$JB$35,$JB$36)</f>
        <v>0</v>
      </c>
      <c r="JL307" s="13">
        <f>OCC_DAYS*$JB$41*R_NF_2023-JD307*MCD_SHARE_FREED*R_WAIT_2023</f>
        <v>151980.48282209205</v>
      </c>
      <c r="JM307">
        <f>IF($A307&lt;=$JB$45,1,0)</f>
        <v>0</v>
      </c>
      <c r="KB307">
        <f>IF($KB$31&lt;=$KB$32,IF($A307&lt;=$KB$7,1,2),IF($A307&lt;=RUNG_BEDS_2,2,1))</f>
        <v>1</v>
      </c>
      <c r="KC307" s="5">
        <f>MIN(1,MAX(0,$KB$26-($A307-1)))</f>
        <v>1</v>
      </c>
      <c r="KD307" s="5">
        <f>$KB$25*(KC307+(1-KC307)*$KB$16)</f>
        <v>126.02661357340719</v>
      </c>
      <c r="KE307" s="13">
        <f>KD307*($KB$6+ACUTE_MARGIN)</f>
        <v>127286.87970914126</v>
      </c>
      <c r="KF307" s="13">
        <f>IF(KB307=1,$KB$31,$KB$32)</f>
        <v>152394.16214437486</v>
      </c>
      <c r="KG307" s="13">
        <f>KE307-KF307</f>
        <v>-25107.282435233603</v>
      </c>
      <c r="KH307" s="13">
        <f>KH306+KG307</f>
        <v>-5624031.265492345</v>
      </c>
      <c r="KI307">
        <f>IF(KH307=MAX($KH$83:$KH$483),$A307,0)</f>
        <v>0</v>
      </c>
      <c r="KJ307">
        <f>IF(KE307&lt;KF307,$A307,B_MAX+1)</f>
        <v>224</v>
      </c>
      <c r="KK307" s="13">
        <f>IF(KB307=1,$KB$35,$KB$36)</f>
        <v>0</v>
      </c>
      <c r="KL307" s="13">
        <f>OCC_DAYS*$KB$41*R_NF_2023-KD307*MCD_SHARE_FREED*R_WAIT_2023</f>
        <v>94673.82103225985</v>
      </c>
      <c r="KM307">
        <f>IF($A307&lt;=$KB$45,1,0)</f>
        <v>0</v>
      </c>
      <c r="LB307">
        <f>IF($LB$31&lt;=$LB$32,IF($A307&lt;=$LB$7,1,2),IF($A307&lt;=RUNG_BEDS_2,2,1))</f>
        <v>1</v>
      </c>
      <c r="LC307" s="5">
        <f>MIN(1,MAX(0,$LB$26-($A307-1)))</f>
        <v>1</v>
      </c>
      <c r="LD307" s="5">
        <f>$LB$25*(LC307+(1-LC307)*$LB$16)</f>
        <v>84.01774238227146</v>
      </c>
      <c r="LE307" s="13">
        <f>LD307*($LB$6+ACUTE_MARGIN)</f>
        <v>84857.91980609419</v>
      </c>
      <c r="LF307" s="13">
        <f>IF(LB307=1,$LB$31,$LB$32)</f>
        <v>152394.16214437486</v>
      </c>
      <c r="LG307" s="13">
        <f>LE307-LF307</f>
        <v>-67536.24233828067</v>
      </c>
      <c r="LH307" s="13">
        <f>LH306+LG307</f>
        <v>-15128118.283774942</v>
      </c>
      <c r="LI307">
        <f>IF(LH307=MAX($LH$83:$LH$483),$A307,0)</f>
        <v>0</v>
      </c>
      <c r="LJ307">
        <f>IF(LE307&lt;LF307,$A307,B_MAX+1)</f>
        <v>224</v>
      </c>
      <c r="LK307" s="13">
        <f>IF(LB307=1,$LB$35,$LB$36)</f>
        <v>0</v>
      </c>
      <c r="LL307" s="13">
        <f>OCC_DAYS*$LB$41*R_NF_2023-LD307*MCD_SHARE_FREED*R_WAIT_2023</f>
        <v>113776.04162887059</v>
      </c>
      <c r="LM307">
        <f>IF($A307&lt;=$LB$45,1,0)</f>
        <v>0</v>
      </c>
      <c r="MB307">
        <f>IF($MB$31&lt;=$MB$32,IF($A307&lt;=$MB$7,1,2),IF($A307&lt;=RUNG_BEDS_2,2,1))</f>
        <v>1</v>
      </c>
      <c r="MC307" s="5">
        <f>MIN(1,MAX(0,$MB$26-($A307-1)))</f>
        <v>0</v>
      </c>
      <c r="MD307" s="5">
        <f>$MB$25*(MC307+(1-MC307)*$MB$16)</f>
        <v>0.0</v>
      </c>
      <c r="ME307" s="13">
        <f>MD307*($MB$6+ACUTE_MARGIN)</f>
        <v>0.0</v>
      </c>
      <c r="MF307" s="13">
        <f>IF(MB307=1,$MB$31,$MB$32)</f>
        <v>152394.16214437486</v>
      </c>
      <c r="MG307" s="13">
        <f>ME307-MF307</f>
        <v>-152394.16214437486</v>
      </c>
      <c r="MH307" s="13">
        <f>MH306+MG307</f>
        <v>-1794597.753865962</v>
      </c>
      <c r="MI307">
        <f>IF(MH307=MAX($MH$83:$MH$483),$A307,0)</f>
        <v>0</v>
      </c>
      <c r="MJ307">
        <f>IF(ME307&lt;MF307,$A307,B_MAX+1)</f>
        <v>224</v>
      </c>
      <c r="MK307" s="13">
        <f>IF(MB307=1,$MB$35,$MB$36)</f>
        <v>0</v>
      </c>
      <c r="ML307" s="13">
        <f>OCC_DAYS*$MB$41*R_NF_2023-MD307*MCD_SHARE_FREED*R_WAIT_2023</f>
        <v>151980.48282209205</v>
      </c>
      <c r="MM307">
        <f>IF($A307&lt;=$MB$45,1,0)</f>
        <v>0</v>
      </c>
      <c r="NB307">
        <f>IF($NB$31&lt;=$NB$32,IF($A307&lt;=$NB$7,1,2),IF($A307&lt;=RUNG_BEDS_2,2,1))</f>
        <v>1</v>
      </c>
      <c r="NC307" s="5">
        <f>MIN(1,MAX(0,$NB$26-($A307-1)))</f>
        <v>0</v>
      </c>
      <c r="ND307" s="5">
        <f>$NB$25*(NC307+(1-NC307)*$NB$16)</f>
        <v>63.013306786703595</v>
      </c>
      <c r="NE307" s="13">
        <f>ND307*($NB$6+ACUTE_MARGIN)</f>
        <v>63643.43985457063</v>
      </c>
      <c r="NF307" s="13">
        <f>IF(NB307=1,$NB$31,$NB$32)</f>
        <v>152394.16214437486</v>
      </c>
      <c r="NG307" s="13">
        <f>NE307-NF307</f>
        <v>-88750.72228980422</v>
      </c>
      <c r="NH307" s="13">
        <f>NH306+NG307</f>
        <v>8791566.178288087</v>
      </c>
      <c r="NI307">
        <f>IF(NH307=MAX($NH$83:$NH$483),$A307,0)</f>
        <v>0</v>
      </c>
      <c r="NJ307">
        <f>IF(NE307&lt;NF307,$A307,B_MAX+1)</f>
        <v>224</v>
      </c>
      <c r="NK307" s="13">
        <f>IF(NB307=1,$NB$35,$NB$36)</f>
        <v>0</v>
      </c>
      <c r="NL307" s="13">
        <f>OCC_DAYS*$NB$41*R_NF_2023-ND307*MCD_SHARE_FREED*R_WAIT_2023</f>
        <v>123327.15192717595</v>
      </c>
      <c r="NM307">
        <f>IF($A307&lt;=$NB$45,1,0)</f>
        <v>0</v>
      </c>
      <c r="OB307">
        <f>IF($OB$31&lt;=$OB$32,IF($A307&lt;=$OB$7,1,2),IF($A307&lt;=RUNG_BEDS_2,2,1))</f>
        <v>1</v>
      </c>
      <c r="OC307" s="5">
        <f>MIN(1,MAX(0,$OB$26-($A307-1)))</f>
        <v>0</v>
      </c>
      <c r="OD307" s="5">
        <f>$OB$25*(OC307+(1-OC307)*$OB$16)</f>
        <v>126.02661357340719</v>
      </c>
      <c r="OE307" s="13">
        <f>OD307*($OB$6+ACUTE_MARGIN)</f>
        <v>127286.87970914126</v>
      </c>
      <c r="OF307" s="13">
        <f>IF(OB307=1,$OB$31,$OB$32)</f>
        <v>152394.16214437486</v>
      </c>
      <c r="OG307" s="13">
        <f>OE307-OF307</f>
        <v>-25107.282435233603</v>
      </c>
      <c r="OH307" s="13">
        <f>OH306+OG307</f>
        <v>13490454.048643917</v>
      </c>
      <c r="OI307">
        <f>IF(OH307=MAX($OH$83:$OH$483),$A307,0)</f>
        <v>0</v>
      </c>
      <c r="OJ307">
        <f>IF(OE307&lt;OF307,$A307,B_MAX+1)</f>
        <v>224</v>
      </c>
      <c r="OK307" s="13">
        <f>IF(OB307=1,$OB$35,$OB$36)</f>
        <v>0</v>
      </c>
      <c r="OL307" s="13">
        <f>OCC_DAYS*$OB$41*R_NF_2023-OD307*MCD_SHARE_FREED*R_WAIT_2023</f>
        <v>94673.82103225985</v>
      </c>
      <c r="OM307">
        <f>IF($A307&lt;=$OB$45,1,0)</f>
        <v>0</v>
      </c>
    </row>
    <row r="308">
      <c r="A308" t="n">
        <v>225</v>
      </c>
      <c r="B308">
        <f>IF($B$31&lt;=$B$32,IF($A308&lt;=$B$7,1,2),IF($A308&lt;=RUNG_BEDS_2,2,1))</f>
        <v>1</v>
      </c>
      <c r="C308" s="5">
        <f>MIN(1,MAX(0,$B$26-($A308-1)))</f>
        <v>0</v>
      </c>
      <c r="D308" s="5">
        <f>$B$25*(C308+(1-C308)*$B$16)</f>
        <v>0.0</v>
      </c>
      <c r="E308" s="13">
        <f>D308*($B$6+ACUTE_MARGIN)</f>
        <v>0.0</v>
      </c>
      <c r="F308" s="13">
        <f>IF(B308=1,$B$31,$B$32)</f>
        <v>152394.16214437486</v>
      </c>
      <c r="G308" s="13">
        <f>E308-F308</f>
        <v>-152394.16214437486</v>
      </c>
      <c r="H308" s="13">
        <f>H307+G308</f>
        <v>3940284.1457879934</v>
      </c>
      <c r="I308">
        <f>IF(H308=MAX($H$83:$H$483),$A308,0)</f>
        <v>0</v>
      </c>
      <c r="J308">
        <f>IF(E308&lt;F308,$A308,B_MAX+1)</f>
        <v>225</v>
      </c>
      <c r="K308" s="13">
        <f>IF(B308=1,$B$35,$B$36)</f>
        <v>0</v>
      </c>
      <c r="L308" s="13">
        <f>OCC_DAYS*$B$41*R_NF_2023-D308*MCD_SHARE_FREED*R_WAIT_2023</f>
        <v>151980.48282209205</v>
      </c>
      <c r="M308">
        <f>IF($A308&lt;=$B$45,1,0)</f>
        <v>0</v>
      </c>
      <c r="AB308">
        <f>IF($AB$31&lt;=$AB$32,IF($A308&lt;=$AB$7,1,2),IF($A308&lt;=RUNG_BEDS_2,2,1))</f>
        <v>1</v>
      </c>
      <c r="AC308" s="5">
        <f>MIN(1,MAX(0,$AB$26-($A308-1)))</f>
        <v>0</v>
      </c>
      <c r="AD308" s="5">
        <f>$AB$25*(AC308+(1-AC308)*$AB$16)</f>
        <v>0.0</v>
      </c>
      <c r="AE308" s="13">
        <f>AD308*($AB$6+ACUTE_MARGIN)</f>
        <v>0.0</v>
      </c>
      <c r="AF308" s="13">
        <f>IF(AB308=1,$AB$31,$AB$32)</f>
        <v>152394.16214437486</v>
      </c>
      <c r="AG308" s="13">
        <f>AE308-AF308</f>
        <v>-152394.16214437486</v>
      </c>
      <c r="AH308" s="13">
        <f>AH307+AG308</f>
        <v>-13470930.19976181</v>
      </c>
      <c r="AI308">
        <f>IF(AH308=MAX($AH$83:$AH$483),$A308,0)</f>
        <v>0</v>
      </c>
      <c r="AJ308">
        <f>IF(AE308&lt;AF308,$A308,B_MAX+1)</f>
        <v>225</v>
      </c>
      <c r="AK308" s="13">
        <f>IF(AB308=1,$AB$35,$AB$36)</f>
        <v>0</v>
      </c>
      <c r="AL308" s="13">
        <f>OCC_DAYS*$AB$41*R_NF_2023-AD308*MCD_SHARE_FREED*R_WAIT_2023</f>
        <v>151980.48282209205</v>
      </c>
      <c r="AM308">
        <f>IF($A308&lt;=$AB$45,1,0)</f>
        <v>0</v>
      </c>
      <c r="BB308">
        <f>IF($BB$31&lt;=$BB$32,IF($A308&lt;=$BB$7,1,2),IF($A308&lt;=RUNG_BEDS_2,2,1))</f>
        <v>1</v>
      </c>
      <c r="BC308" s="5">
        <f>MIN(1,MAX(0,$BB$26-($A308-1)))</f>
        <v>0</v>
      </c>
      <c r="BD308" s="5">
        <f>$BB$25*(BC308+(1-BC308)*$BB$16)</f>
        <v>0.0</v>
      </c>
      <c r="BE308" s="13">
        <f>BD308*($BB$6+ACUTE_MARGIN)</f>
        <v>0.0</v>
      </c>
      <c r="BF308" s="13">
        <f>IF(BB308=1,$BB$31,$BB$32)</f>
        <v>152394.16214437486</v>
      </c>
      <c r="BG308" s="13">
        <f>BE308-BF308</f>
        <v>-152394.16214437486</v>
      </c>
      <c r="BH308" s="13">
        <f>BH307+BG308</f>
        <v>21351498.491337683</v>
      </c>
      <c r="BI308">
        <f>IF(BH308=MAX($BH$83:$BH$483),$A308,0)</f>
        <v>0</v>
      </c>
      <c r="BJ308">
        <f>IF(BE308&lt;BF308,$A308,B_MAX+1)</f>
        <v>225</v>
      </c>
      <c r="BK308" s="13">
        <f>IF(BB308=1,$BB$35,$BB$36)</f>
        <v>0</v>
      </c>
      <c r="BL308" s="13">
        <f>OCC_DAYS*$BB$41*R_NF_2023-BD308*MCD_SHARE_FREED*R_WAIT_2023</f>
        <v>151980.48282209205</v>
      </c>
      <c r="BM308">
        <f>IF($A308&lt;=$BB$45,1,0)</f>
        <v>0</v>
      </c>
      <c r="CB308">
        <f>IF($CB$31&lt;=$CB$32,IF($A308&lt;=$CB$7,1,2),IF($A308&lt;=RUNG_BEDS_2,2,1))</f>
        <v>2</v>
      </c>
      <c r="CC308" s="5">
        <f>MIN(1,MAX(0,$CB$26-($A308-1)))</f>
        <v>0</v>
      </c>
      <c r="CD308" s="5">
        <f>$CB$25*(CC308+(1-CC308)*$CB$16)</f>
        <v>0.0</v>
      </c>
      <c r="CE308" s="13">
        <f>CD308*($CB$6+ACUTE_MARGIN)</f>
        <v>0.0</v>
      </c>
      <c r="CF308" s="13">
        <f>IF(CB308=1,$CB$31,$CB$32)</f>
        <v>160718.36940738867</v>
      </c>
      <c r="CG308" s="13">
        <f>CE308-CF308</f>
        <v>-160718.36940738867</v>
      </c>
      <c r="CH308" s="13">
        <f>CH307+CG308</f>
        <v>2067337.5116097697</v>
      </c>
      <c r="CI308">
        <f>IF(CH308=MAX($CH$83:$CH$483),$A308,0)</f>
        <v>0</v>
      </c>
      <c r="CJ308">
        <f>IF(CE308&lt;CF308,$A308,B_MAX+1)</f>
        <v>225</v>
      </c>
      <c r="CK308" s="13">
        <f>IF(CB308=1,$CB$35,$CB$36)</f>
        <v>1560.1194073886782</v>
      </c>
      <c r="CL308" s="13">
        <f>OCC_DAYS*$CB$41*R_NF_2023-CD308*MCD_SHARE_FREED*R_WAIT_2023</f>
        <v>151980.48282209205</v>
      </c>
      <c r="CM308">
        <f>IF($A308&lt;=$CB$45,1,0)</f>
        <v>0</v>
      </c>
      <c r="DB308">
        <f>IF($DB$31&lt;=$DB$32,IF($A308&lt;=$DB$7,1,2),IF($A308&lt;=RUNG_BEDS_2,2,1))</f>
        <v>1</v>
      </c>
      <c r="DC308" s="5">
        <f>MIN(1,MAX(0,$DB$26-($A308-1)))</f>
        <v>0</v>
      </c>
      <c r="DD308" s="5">
        <f>$DB$25*(DC308+(1-DC308)*$DB$16)</f>
        <v>0.0</v>
      </c>
      <c r="DE308" s="13">
        <f>DD308*($DB$6+ACUTE_MARGIN)</f>
        <v>0.0</v>
      </c>
      <c r="DF308" s="13">
        <f>IF(DB308=1,$DB$31,$DB$32)</f>
        <v>152394.16214437486</v>
      </c>
      <c r="DG308" s="13">
        <f>DE308-DF308</f>
        <v>-152394.16214437486</v>
      </c>
      <c r="DH308" s="13">
        <f>DH307+DG308</f>
        <v>3940284.1457879934</v>
      </c>
      <c r="DI308">
        <f>IF(DH308=MAX($DH$83:$DH$483),$A308,0)</f>
        <v>0</v>
      </c>
      <c r="DJ308">
        <f>IF(DE308&lt;DF308,$A308,B_MAX+1)</f>
        <v>225</v>
      </c>
      <c r="DK308" s="13">
        <f>IF(DB308=1,$DB$35,$DB$36)</f>
        <v>0</v>
      </c>
      <c r="DL308" s="13">
        <f>OCC_DAYS*$DB$41*R_NF_2023-DD308*MCD_SHARE_FREED*R_WAIT_2023</f>
        <v>151980.48282209205</v>
      </c>
      <c r="DM308">
        <f>IF($A308&lt;=$DB$45,1,0)</f>
        <v>0</v>
      </c>
      <c r="EB308">
        <f>IF($EB$31&lt;=$EB$32,IF($A308&lt;=$EB$7,1,2),IF($A308&lt;=RUNG_BEDS_2,2,1))</f>
        <v>1</v>
      </c>
      <c r="EC308" s="5">
        <f>MIN(1,MAX(0,$EB$26-($A308-1)))</f>
        <v>0</v>
      </c>
      <c r="ED308" s="5">
        <f>$EB$25*(EC308+(1-EC308)*$EB$16)</f>
        <v>0.0</v>
      </c>
      <c r="EE308" s="13">
        <f>ED308*($EB$6+ACUTE_MARGIN)</f>
        <v>0.0</v>
      </c>
      <c r="EF308" s="13">
        <f>IF(EB308=1,$EB$31,$EB$32)</f>
        <v>152394.16214437486</v>
      </c>
      <c r="EG308" s="13">
        <f>EE308-EF308</f>
        <v>-152394.16214437486</v>
      </c>
      <c r="EH308" s="13">
        <f>EH307+EG308</f>
        <v>3940284.1457879934</v>
      </c>
      <c r="EI308">
        <f>IF(EH308=MAX($EH$83:$EH$483),$A308,0)</f>
        <v>0</v>
      </c>
      <c r="EJ308">
        <f>IF(EE308&lt;EF308,$A308,B_MAX+1)</f>
        <v>225</v>
      </c>
      <c r="EK308" s="13">
        <f>IF(EB308=1,$EB$35,$EB$36)</f>
        <v>0</v>
      </c>
      <c r="EL308" s="13">
        <f>OCC_DAYS*$EB$41*R_NF_2023-ED308*MCD_SHARE_FREED*R_WAIT_2023</f>
        <v>50660.16094069735</v>
      </c>
      <c r="EM308">
        <f>IF($A308&lt;=$EB$45,1,0)</f>
        <v>0</v>
      </c>
      <c r="FB308">
        <f>IF($FB$31&lt;=$FB$32,IF($A308&lt;=$FB$7,1,2),IF($A308&lt;=RUNG_BEDS_2,2,1))</f>
        <v>1</v>
      </c>
      <c r="FC308" s="5">
        <f>MIN(1,MAX(0,$FB$26-($A308-1)))</f>
        <v>0</v>
      </c>
      <c r="FD308" s="5">
        <f>$FB$25*(FC308+(1-FC308)*$FB$16)</f>
        <v>0.0</v>
      </c>
      <c r="FE308" s="13">
        <f>FD308*($FB$6+ACUTE_MARGIN)</f>
        <v>0.0</v>
      </c>
      <c r="FF308" s="13">
        <f>IF(FB308=1,$FB$31,$FB$32)</f>
        <v>156636.04979437485</v>
      </c>
      <c r="FG308" s="13">
        <f>FE308-FF308</f>
        <v>-156636.04979437485</v>
      </c>
      <c r="FH308" s="13">
        <f>FH307+FG308</f>
        <v>2985859.4245378794</v>
      </c>
      <c r="FI308">
        <f>IF(FH308=MAX($FH$83:$FH$483),$A308,0)</f>
        <v>0</v>
      </c>
      <c r="FJ308">
        <f>IF(FE308&lt;FF308,$A308,B_MAX+1)</f>
        <v>225</v>
      </c>
      <c r="FK308" s="13">
        <f>IF(FB308=1,$FB$35,$FB$36)</f>
        <v>0</v>
      </c>
      <c r="FL308" s="13">
        <f>OCC_DAYS*$FB$41*R_NF_2023-FD308*MCD_SHARE_FREED*R_WAIT_2023</f>
        <v>151980.48282209205</v>
      </c>
      <c r="FM308">
        <f>IF($A308&lt;=$FB$45,1,0)</f>
        <v>0</v>
      </c>
      <c r="GB308">
        <f>IF($GB$31&lt;=$GB$32,IF($A308&lt;=$GB$7,1,2),IF($A308&lt;=RUNG_BEDS_2,2,1))</f>
        <v>1</v>
      </c>
      <c r="GC308" s="5">
        <f>MIN(1,MAX(0,$GB$26-($A308-1)))</f>
        <v>0</v>
      </c>
      <c r="GD308" s="5">
        <f>$GB$25*(GC308+(1-GC308)*$GB$16)</f>
        <v>0.0</v>
      </c>
      <c r="GE308" s="13">
        <f>GD308*($GB$6+ACUTE_MARGIN)</f>
        <v>0.0</v>
      </c>
      <c r="GF308" s="13">
        <f>IF(GB308=1,$GB$31,$GB$32)</f>
        <v>152394.16214437486</v>
      </c>
      <c r="GG308" s="13">
        <f>GE308-GF308</f>
        <v>-152394.16214437486</v>
      </c>
      <c r="GH308" s="13">
        <f>GH307+GG308</f>
        <v>3940284.1457879934</v>
      </c>
      <c r="GI308">
        <f>IF(GH308=MAX($GH$83:$GH$483),$A308,0)</f>
        <v>0</v>
      </c>
      <c r="GJ308">
        <f>IF(GE308&lt;GF308,$A308,B_MAX+1)</f>
        <v>225</v>
      </c>
      <c r="GK308" s="13">
        <f>IF(GB308=1,$GB$35,$GB$36)</f>
        <v>0</v>
      </c>
      <c r="GL308" s="13">
        <f>OCC_DAYS*$GB$41*R_NF_2023-GD308*MCD_SHARE_FREED*R_WAIT_2023</f>
        <v>151980.48282209205</v>
      </c>
      <c r="GM308">
        <f>IF($A308&lt;=$GB$45,1,0)</f>
        <v>0</v>
      </c>
      <c r="HB308">
        <f>IF($HB$31&lt;=$HB$32,IF($A308&lt;=$HB$7,1,2),IF($A308&lt;=RUNG_BEDS_2,2,1))</f>
        <v>1</v>
      </c>
      <c r="HC308" s="5">
        <f>MIN(1,MAX(0,$HB$26-($A308-1)))</f>
        <v>0</v>
      </c>
      <c r="HD308" s="5">
        <f>$HB$25*(HC308+(1-HC308)*$HB$16)</f>
        <v>0.0</v>
      </c>
      <c r="HE308" s="13">
        <f>HD308*($HB$6+ACUTE_MARGIN)</f>
        <v>0.0</v>
      </c>
      <c r="HF308" s="13">
        <f>IF(HB308=1,$HB$31,$HB$32)</f>
        <v>152456.2970814058</v>
      </c>
      <c r="HG308" s="13">
        <f>HE308-HF308</f>
        <v>-152456.2970814058</v>
      </c>
      <c r="HH308" s="13">
        <f>HH307+HG308</f>
        <v>3926303.7849559905</v>
      </c>
      <c r="HI308">
        <f>IF(HH308=MAX($HH$83:$HH$483),$A308,0)</f>
        <v>0</v>
      </c>
      <c r="HJ308">
        <f>IF(HE308&lt;HF308,$A308,B_MAX+1)</f>
        <v>225</v>
      </c>
      <c r="HK308" s="13">
        <f>IF(HB308=1,$HB$35,$HB$36)</f>
        <v>0</v>
      </c>
      <c r="HL308" s="13">
        <f>OCC_DAYS*$HB$41*R_NF_2023-HD308*MCD_SHARE_FREED*R_WAIT_2023</f>
        <v>151980.48282209205</v>
      </c>
      <c r="HM308">
        <f>IF($A308&lt;=$HB$45,1,0)</f>
        <v>0</v>
      </c>
      <c r="IB308">
        <f>IF($IB$31&lt;=$IB$32,IF($A308&lt;=$IB$7,1,2),IF($A308&lt;=RUNG_BEDS_2,2,1))</f>
        <v>1</v>
      </c>
      <c r="IC308" s="5">
        <f>MIN(1,MAX(0,$IB$26-($A308-1)))</f>
        <v>0</v>
      </c>
      <c r="ID308" s="5">
        <f>$IB$25*(IC308+(1-IC308)*$IB$16)</f>
        <v>0.0</v>
      </c>
      <c r="IE308" s="13">
        <f>ID308*($IB$6+ACUTE_MARGIN)</f>
        <v>0.0</v>
      </c>
      <c r="IF308" s="13">
        <f>IF(IB308=1,$IB$31,$IB$32)</f>
        <v>152734.9994534971</v>
      </c>
      <c r="IG308" s="13">
        <f>IE308-IF308</f>
        <v>-152734.9994534971</v>
      </c>
      <c r="IH308" s="13">
        <f>IH307+IG308</f>
        <v>3863595.7512353957</v>
      </c>
      <c r="II308">
        <f>IF(IH308=MAX($IH$83:$IH$483),$A308,0)</f>
        <v>0</v>
      </c>
      <c r="IJ308">
        <f>IF(IE308&lt;IF308,$A308,B_MAX+1)</f>
        <v>225</v>
      </c>
      <c r="IK308" s="13">
        <f>IF(IB308=1,$IB$35,$IB$36)</f>
        <v>0</v>
      </c>
      <c r="IL308" s="13">
        <f>OCC_DAYS*$IB$41*R_NF_2023-ID308*MCD_SHARE_FREED*R_WAIT_2023</f>
        <v>151980.48282209205</v>
      </c>
      <c r="IM308">
        <f>IF($A308&lt;=$IB$45,1,0)</f>
        <v>0</v>
      </c>
      <c r="JB308">
        <f>IF($JB$31&lt;=$JB$32,IF($A308&lt;=$JB$7,1,2),IF($A308&lt;=RUNG_BEDS_2,2,1))</f>
        <v>1</v>
      </c>
      <c r="JC308" s="5">
        <f>MIN(1,MAX(0,$JB$26-($A308-1)))</f>
        <v>0</v>
      </c>
      <c r="JD308" s="5">
        <f>$JB$25*(JC308+(1-JC308)*$JB$16)</f>
        <v>0.0</v>
      </c>
      <c r="JE308" s="13">
        <f>JD308*($JB$6+ACUTE_MARGIN)</f>
        <v>0.0</v>
      </c>
      <c r="JF308" s="13">
        <f>IF(JB308=1,$JB$31,$JB$32)</f>
        <v>152394.16214437486</v>
      </c>
      <c r="JG308" s="13">
        <f>JE308-JF308</f>
        <v>-152394.16214437486</v>
      </c>
      <c r="JH308" s="13">
        <f>JH307+JG308</f>
        <v>3940284.1457879934</v>
      </c>
      <c r="JI308">
        <f>IF(JH308=MAX($JH$83:$JH$483),$A308,0)</f>
        <v>0</v>
      </c>
      <c r="JJ308">
        <f>IF(JE308&lt;JF308,$A308,B_MAX+1)</f>
        <v>225</v>
      </c>
      <c r="JK308" s="13">
        <f>IF(JB308=1,$JB$35,$JB$36)</f>
        <v>0</v>
      </c>
      <c r="JL308" s="13">
        <f>OCC_DAYS*$JB$41*R_NF_2023-JD308*MCD_SHARE_FREED*R_WAIT_2023</f>
        <v>151980.48282209205</v>
      </c>
      <c r="JM308">
        <f>IF($A308&lt;=$JB$45,1,0)</f>
        <v>0</v>
      </c>
      <c r="KB308">
        <f>IF($KB$31&lt;=$KB$32,IF($A308&lt;=$KB$7,1,2),IF($A308&lt;=RUNG_BEDS_2,2,1))</f>
        <v>1</v>
      </c>
      <c r="KC308" s="5">
        <f>MIN(1,MAX(0,$KB$26-($A308-1)))</f>
        <v>1</v>
      </c>
      <c r="KD308" s="5">
        <f>$KB$25*(KC308+(1-KC308)*$KB$16)</f>
        <v>126.02661357340719</v>
      </c>
      <c r="KE308" s="13">
        <f>KD308*($KB$6+ACUTE_MARGIN)</f>
        <v>127286.87970914126</v>
      </c>
      <c r="KF308" s="13">
        <f>IF(KB308=1,$KB$31,$KB$32)</f>
        <v>152394.16214437486</v>
      </c>
      <c r="KG308" s="13">
        <f>KE308-KF308</f>
        <v>-25107.282435233603</v>
      </c>
      <c r="KH308" s="13">
        <f>KH307+KG308</f>
        <v>-5649138.547927579</v>
      </c>
      <c r="KI308">
        <f>IF(KH308=MAX($KH$83:$KH$483),$A308,0)</f>
        <v>0</v>
      </c>
      <c r="KJ308">
        <f>IF(KE308&lt;KF308,$A308,B_MAX+1)</f>
        <v>225</v>
      </c>
      <c r="KK308" s="13">
        <f>IF(KB308=1,$KB$35,$KB$36)</f>
        <v>0</v>
      </c>
      <c r="KL308" s="13">
        <f>OCC_DAYS*$KB$41*R_NF_2023-KD308*MCD_SHARE_FREED*R_WAIT_2023</f>
        <v>94673.82103225985</v>
      </c>
      <c r="KM308">
        <f>IF($A308&lt;=$KB$45,1,0)</f>
        <v>0</v>
      </c>
      <c r="LB308">
        <f>IF($LB$31&lt;=$LB$32,IF($A308&lt;=$LB$7,1,2),IF($A308&lt;=RUNG_BEDS_2,2,1))</f>
        <v>1</v>
      </c>
      <c r="LC308" s="5">
        <f>MIN(1,MAX(0,$LB$26-($A308-1)))</f>
        <v>1</v>
      </c>
      <c r="LD308" s="5">
        <f>$LB$25*(LC308+(1-LC308)*$LB$16)</f>
        <v>84.01774238227146</v>
      </c>
      <c r="LE308" s="13">
        <f>LD308*($LB$6+ACUTE_MARGIN)</f>
        <v>84857.91980609419</v>
      </c>
      <c r="LF308" s="13">
        <f>IF(LB308=1,$LB$31,$LB$32)</f>
        <v>152394.16214437486</v>
      </c>
      <c r="LG308" s="13">
        <f>LE308-LF308</f>
        <v>-67536.24233828067</v>
      </c>
      <c r="LH308" s="13">
        <f>LH307+LG308</f>
        <v>-15195654.526113223</v>
      </c>
      <c r="LI308">
        <f>IF(LH308=MAX($LH$83:$LH$483),$A308,0)</f>
        <v>0</v>
      </c>
      <c r="LJ308">
        <f>IF(LE308&lt;LF308,$A308,B_MAX+1)</f>
        <v>225</v>
      </c>
      <c r="LK308" s="13">
        <f>IF(LB308=1,$LB$35,$LB$36)</f>
        <v>0</v>
      </c>
      <c r="LL308" s="13">
        <f>OCC_DAYS*$LB$41*R_NF_2023-LD308*MCD_SHARE_FREED*R_WAIT_2023</f>
        <v>113776.04162887059</v>
      </c>
      <c r="LM308">
        <f>IF($A308&lt;=$LB$45,1,0)</f>
        <v>0</v>
      </c>
      <c r="MB308">
        <f>IF($MB$31&lt;=$MB$32,IF($A308&lt;=$MB$7,1,2),IF($A308&lt;=RUNG_BEDS_2,2,1))</f>
        <v>1</v>
      </c>
      <c r="MC308" s="5">
        <f>MIN(1,MAX(0,$MB$26-($A308-1)))</f>
        <v>0</v>
      </c>
      <c r="MD308" s="5">
        <f>$MB$25*(MC308+(1-MC308)*$MB$16)</f>
        <v>0.0</v>
      </c>
      <c r="ME308" s="13">
        <f>MD308*($MB$6+ACUTE_MARGIN)</f>
        <v>0.0</v>
      </c>
      <c r="MF308" s="13">
        <f>IF(MB308=1,$MB$31,$MB$32)</f>
        <v>152394.16214437486</v>
      </c>
      <c r="MG308" s="13">
        <f>ME308-MF308</f>
        <v>-152394.16214437486</v>
      </c>
      <c r="MH308" s="13">
        <f>MH307+MG308</f>
        <v>-1946991.9160103367</v>
      </c>
      <c r="MI308">
        <f>IF(MH308=MAX($MH$83:$MH$483),$A308,0)</f>
        <v>0</v>
      </c>
      <c r="MJ308">
        <f>IF(ME308&lt;MF308,$A308,B_MAX+1)</f>
        <v>225</v>
      </c>
      <c r="MK308" s="13">
        <f>IF(MB308=1,$MB$35,$MB$36)</f>
        <v>0</v>
      </c>
      <c r="ML308" s="13">
        <f>OCC_DAYS*$MB$41*R_NF_2023-MD308*MCD_SHARE_FREED*R_WAIT_2023</f>
        <v>151980.48282209205</v>
      </c>
      <c r="MM308">
        <f>IF($A308&lt;=$MB$45,1,0)</f>
        <v>0</v>
      </c>
      <c r="NB308">
        <f>IF($NB$31&lt;=$NB$32,IF($A308&lt;=$NB$7,1,2),IF($A308&lt;=RUNG_BEDS_2,2,1))</f>
        <v>1</v>
      </c>
      <c r="NC308" s="5">
        <f>MIN(1,MAX(0,$NB$26-($A308-1)))</f>
        <v>0</v>
      </c>
      <c r="ND308" s="5">
        <f>$NB$25*(NC308+(1-NC308)*$NB$16)</f>
        <v>63.013306786703595</v>
      </c>
      <c r="NE308" s="13">
        <f>ND308*($NB$6+ACUTE_MARGIN)</f>
        <v>63643.43985457063</v>
      </c>
      <c r="NF308" s="13">
        <f>IF(NB308=1,$NB$31,$NB$32)</f>
        <v>152394.16214437486</v>
      </c>
      <c r="NG308" s="13">
        <f>NE308-NF308</f>
        <v>-88750.72228980422</v>
      </c>
      <c r="NH308" s="13">
        <f>NH307+NG308</f>
        <v>8702815.455998283</v>
      </c>
      <c r="NI308">
        <f>IF(NH308=MAX($NH$83:$NH$483),$A308,0)</f>
        <v>0</v>
      </c>
      <c r="NJ308">
        <f>IF(NE308&lt;NF308,$A308,B_MAX+1)</f>
        <v>225</v>
      </c>
      <c r="NK308" s="13">
        <f>IF(NB308=1,$NB$35,$NB$36)</f>
        <v>0</v>
      </c>
      <c r="NL308" s="13">
        <f>OCC_DAYS*$NB$41*R_NF_2023-ND308*MCD_SHARE_FREED*R_WAIT_2023</f>
        <v>123327.15192717595</v>
      </c>
      <c r="NM308">
        <f>IF($A308&lt;=$NB$45,1,0)</f>
        <v>0</v>
      </c>
      <c r="OB308">
        <f>IF($OB$31&lt;=$OB$32,IF($A308&lt;=$OB$7,1,2),IF($A308&lt;=RUNG_BEDS_2,2,1))</f>
        <v>1</v>
      </c>
      <c r="OC308" s="5">
        <f>MIN(1,MAX(0,$OB$26-($A308-1)))</f>
        <v>0</v>
      </c>
      <c r="OD308" s="5">
        <f>$OB$25*(OC308+(1-OC308)*$OB$16)</f>
        <v>126.02661357340719</v>
      </c>
      <c r="OE308" s="13">
        <f>OD308*($OB$6+ACUTE_MARGIN)</f>
        <v>127286.87970914126</v>
      </c>
      <c r="OF308" s="13">
        <f>IF(OB308=1,$OB$31,$OB$32)</f>
        <v>152394.16214437486</v>
      </c>
      <c r="OG308" s="13">
        <f>OE308-OF308</f>
        <v>-25107.282435233603</v>
      </c>
      <c r="OH308" s="13">
        <f>OH307+OG308</f>
        <v>13465346.766208684</v>
      </c>
      <c r="OI308">
        <f>IF(OH308=MAX($OH$83:$OH$483),$A308,0)</f>
        <v>0</v>
      </c>
      <c r="OJ308">
        <f>IF(OE308&lt;OF308,$A308,B_MAX+1)</f>
        <v>225</v>
      </c>
      <c r="OK308" s="13">
        <f>IF(OB308=1,$OB$35,$OB$36)</f>
        <v>0</v>
      </c>
      <c r="OL308" s="13">
        <f>OCC_DAYS*$OB$41*R_NF_2023-OD308*MCD_SHARE_FREED*R_WAIT_2023</f>
        <v>94673.82103225985</v>
      </c>
      <c r="OM308">
        <f>IF($A308&lt;=$OB$45,1,0)</f>
        <v>0</v>
      </c>
    </row>
    <row r="309">
      <c r="A309" t="n">
        <v>226</v>
      </c>
      <c r="B309">
        <f>IF($B$31&lt;=$B$32,IF($A309&lt;=$B$7,1,2),IF($A309&lt;=RUNG_BEDS_2,2,1))</f>
        <v>1</v>
      </c>
      <c r="C309" s="5">
        <f>MIN(1,MAX(0,$B$26-($A309-1)))</f>
        <v>0</v>
      </c>
      <c r="D309" s="5">
        <f>$B$25*(C309+(1-C309)*$B$16)</f>
        <v>0.0</v>
      </c>
      <c r="E309" s="13">
        <f>D309*($B$6+ACUTE_MARGIN)</f>
        <v>0.0</v>
      </c>
      <c r="F309" s="13">
        <f>IF(B309=1,$B$31,$B$32)</f>
        <v>152394.16214437486</v>
      </c>
      <c r="G309" s="13">
        <f>E309-F309</f>
        <v>-152394.16214437486</v>
      </c>
      <c r="H309" s="13">
        <f>H308+G309</f>
        <v>3787889.9836436184</v>
      </c>
      <c r="I309">
        <f>IF(H309=MAX($H$83:$H$483),$A309,0)</f>
        <v>0</v>
      </c>
      <c r="J309">
        <f>IF(E309&lt;F309,$A309,B_MAX+1)</f>
        <v>226</v>
      </c>
      <c r="K309" s="13">
        <f>IF(B309=1,$B$35,$B$36)</f>
        <v>0</v>
      </c>
      <c r="L309" s="13">
        <f>OCC_DAYS*$B$41*R_NF_2023-D309*MCD_SHARE_FREED*R_WAIT_2023</f>
        <v>151980.48282209205</v>
      </c>
      <c r="M309">
        <f>IF($A309&lt;=$B$45,1,0)</f>
        <v>0</v>
      </c>
      <c r="AB309">
        <f>IF($AB$31&lt;=$AB$32,IF($A309&lt;=$AB$7,1,2),IF($A309&lt;=RUNG_BEDS_2,2,1))</f>
        <v>1</v>
      </c>
      <c r="AC309" s="5">
        <f>MIN(1,MAX(0,$AB$26-($A309-1)))</f>
        <v>0</v>
      </c>
      <c r="AD309" s="5">
        <f>$AB$25*(AC309+(1-AC309)*$AB$16)</f>
        <v>0.0</v>
      </c>
      <c r="AE309" s="13">
        <f>AD309*($AB$6+ACUTE_MARGIN)</f>
        <v>0.0</v>
      </c>
      <c r="AF309" s="13">
        <f>IF(AB309=1,$AB$31,$AB$32)</f>
        <v>152394.16214437486</v>
      </c>
      <c r="AG309" s="13">
        <f>AE309-AF309</f>
        <v>-152394.16214437486</v>
      </c>
      <c r="AH309" s="13">
        <f>AH308+AG309</f>
        <v>-13623324.361906184</v>
      </c>
      <c r="AI309">
        <f>IF(AH309=MAX($AH$83:$AH$483),$A309,0)</f>
        <v>0</v>
      </c>
      <c r="AJ309">
        <f>IF(AE309&lt;AF309,$A309,B_MAX+1)</f>
        <v>226</v>
      </c>
      <c r="AK309" s="13">
        <f>IF(AB309=1,$AB$35,$AB$36)</f>
        <v>0</v>
      </c>
      <c r="AL309" s="13">
        <f>OCC_DAYS*$AB$41*R_NF_2023-AD309*MCD_SHARE_FREED*R_WAIT_2023</f>
        <v>151980.48282209205</v>
      </c>
      <c r="AM309">
        <f>IF($A309&lt;=$AB$45,1,0)</f>
        <v>0</v>
      </c>
      <c r="BB309">
        <f>IF($BB$31&lt;=$BB$32,IF($A309&lt;=$BB$7,1,2),IF($A309&lt;=RUNG_BEDS_2,2,1))</f>
        <v>1</v>
      </c>
      <c r="BC309" s="5">
        <f>MIN(1,MAX(0,$BB$26-($A309-1)))</f>
        <v>0</v>
      </c>
      <c r="BD309" s="5">
        <f>$BB$25*(BC309+(1-BC309)*$BB$16)</f>
        <v>0.0</v>
      </c>
      <c r="BE309" s="13">
        <f>BD309*($BB$6+ACUTE_MARGIN)</f>
        <v>0.0</v>
      </c>
      <c r="BF309" s="13">
        <f>IF(BB309=1,$BB$31,$BB$32)</f>
        <v>152394.16214437486</v>
      </c>
      <c r="BG309" s="13">
        <f>BE309-BF309</f>
        <v>-152394.16214437486</v>
      </c>
      <c r="BH309" s="13">
        <f>BH308+BG309</f>
        <v>21199104.32919331</v>
      </c>
      <c r="BI309">
        <f>IF(BH309=MAX($BH$83:$BH$483),$A309,0)</f>
        <v>0</v>
      </c>
      <c r="BJ309">
        <f>IF(BE309&lt;BF309,$A309,B_MAX+1)</f>
        <v>226</v>
      </c>
      <c r="BK309" s="13">
        <f>IF(BB309=1,$BB$35,$BB$36)</f>
        <v>0</v>
      </c>
      <c r="BL309" s="13">
        <f>OCC_DAYS*$BB$41*R_NF_2023-BD309*MCD_SHARE_FREED*R_WAIT_2023</f>
        <v>151980.48282209205</v>
      </c>
      <c r="BM309">
        <f>IF($A309&lt;=$BB$45,1,0)</f>
        <v>0</v>
      </c>
      <c r="CB309">
        <f>IF($CB$31&lt;=$CB$32,IF($A309&lt;=$CB$7,1,2),IF($A309&lt;=RUNG_BEDS_2,2,1))</f>
        <v>2</v>
      </c>
      <c r="CC309" s="5">
        <f>MIN(1,MAX(0,$CB$26-($A309-1)))</f>
        <v>0</v>
      </c>
      <c r="CD309" s="5">
        <f>$CB$25*(CC309+(1-CC309)*$CB$16)</f>
        <v>0.0</v>
      </c>
      <c r="CE309" s="13">
        <f>CD309*($CB$6+ACUTE_MARGIN)</f>
        <v>0.0</v>
      </c>
      <c r="CF309" s="13">
        <f>IF(CB309=1,$CB$31,$CB$32)</f>
        <v>160718.36940738867</v>
      </c>
      <c r="CG309" s="13">
        <f>CE309-CF309</f>
        <v>-160718.36940738867</v>
      </c>
      <c r="CH309" s="13">
        <f>CH308+CG309</f>
        <v>1906619.142202381</v>
      </c>
      <c r="CI309">
        <f>IF(CH309=MAX($CH$83:$CH$483),$A309,0)</f>
        <v>0</v>
      </c>
      <c r="CJ309">
        <f>IF(CE309&lt;CF309,$A309,B_MAX+1)</f>
        <v>226</v>
      </c>
      <c r="CK309" s="13">
        <f>IF(CB309=1,$CB$35,$CB$36)</f>
        <v>1560.1194073886782</v>
      </c>
      <c r="CL309" s="13">
        <f>OCC_DAYS*$CB$41*R_NF_2023-CD309*MCD_SHARE_FREED*R_WAIT_2023</f>
        <v>151980.48282209205</v>
      </c>
      <c r="CM309">
        <f>IF($A309&lt;=$CB$45,1,0)</f>
        <v>0</v>
      </c>
      <c r="DB309">
        <f>IF($DB$31&lt;=$DB$32,IF($A309&lt;=$DB$7,1,2),IF($A309&lt;=RUNG_BEDS_2,2,1))</f>
        <v>1</v>
      </c>
      <c r="DC309" s="5">
        <f>MIN(1,MAX(0,$DB$26-($A309-1)))</f>
        <v>0</v>
      </c>
      <c r="DD309" s="5">
        <f>$DB$25*(DC309+(1-DC309)*$DB$16)</f>
        <v>0.0</v>
      </c>
      <c r="DE309" s="13">
        <f>DD309*($DB$6+ACUTE_MARGIN)</f>
        <v>0.0</v>
      </c>
      <c r="DF309" s="13">
        <f>IF(DB309=1,$DB$31,$DB$32)</f>
        <v>152394.16214437486</v>
      </c>
      <c r="DG309" s="13">
        <f>DE309-DF309</f>
        <v>-152394.16214437486</v>
      </c>
      <c r="DH309" s="13">
        <f>DH308+DG309</f>
        <v>3787889.9836436184</v>
      </c>
      <c r="DI309">
        <f>IF(DH309=MAX($DH$83:$DH$483),$A309,0)</f>
        <v>0</v>
      </c>
      <c r="DJ309">
        <f>IF(DE309&lt;DF309,$A309,B_MAX+1)</f>
        <v>226</v>
      </c>
      <c r="DK309" s="13">
        <f>IF(DB309=1,$DB$35,$DB$36)</f>
        <v>0</v>
      </c>
      <c r="DL309" s="13">
        <f>OCC_DAYS*$DB$41*R_NF_2023-DD309*MCD_SHARE_FREED*R_WAIT_2023</f>
        <v>151980.48282209205</v>
      </c>
      <c r="DM309">
        <f>IF($A309&lt;=$DB$45,1,0)</f>
        <v>0</v>
      </c>
      <c r="EB309">
        <f>IF($EB$31&lt;=$EB$32,IF($A309&lt;=$EB$7,1,2),IF($A309&lt;=RUNG_BEDS_2,2,1))</f>
        <v>1</v>
      </c>
      <c r="EC309" s="5">
        <f>MIN(1,MAX(0,$EB$26-($A309-1)))</f>
        <v>0</v>
      </c>
      <c r="ED309" s="5">
        <f>$EB$25*(EC309+(1-EC309)*$EB$16)</f>
        <v>0.0</v>
      </c>
      <c r="EE309" s="13">
        <f>ED309*($EB$6+ACUTE_MARGIN)</f>
        <v>0.0</v>
      </c>
      <c r="EF309" s="13">
        <f>IF(EB309=1,$EB$31,$EB$32)</f>
        <v>152394.16214437486</v>
      </c>
      <c r="EG309" s="13">
        <f>EE309-EF309</f>
        <v>-152394.16214437486</v>
      </c>
      <c r="EH309" s="13">
        <f>EH308+EG309</f>
        <v>3787889.9836436184</v>
      </c>
      <c r="EI309">
        <f>IF(EH309=MAX($EH$83:$EH$483),$A309,0)</f>
        <v>0</v>
      </c>
      <c r="EJ309">
        <f>IF(EE309&lt;EF309,$A309,B_MAX+1)</f>
        <v>226</v>
      </c>
      <c r="EK309" s="13">
        <f>IF(EB309=1,$EB$35,$EB$36)</f>
        <v>0</v>
      </c>
      <c r="EL309" s="13">
        <f>OCC_DAYS*$EB$41*R_NF_2023-ED309*MCD_SHARE_FREED*R_WAIT_2023</f>
        <v>50660.16094069735</v>
      </c>
      <c r="EM309">
        <f>IF($A309&lt;=$EB$45,1,0)</f>
        <v>0</v>
      </c>
      <c r="FB309">
        <f>IF($FB$31&lt;=$FB$32,IF($A309&lt;=$FB$7,1,2),IF($A309&lt;=RUNG_BEDS_2,2,1))</f>
        <v>1</v>
      </c>
      <c r="FC309" s="5">
        <f>MIN(1,MAX(0,$FB$26-($A309-1)))</f>
        <v>0</v>
      </c>
      <c r="FD309" s="5">
        <f>$FB$25*(FC309+(1-FC309)*$FB$16)</f>
        <v>0.0</v>
      </c>
      <c r="FE309" s="13">
        <f>FD309*($FB$6+ACUTE_MARGIN)</f>
        <v>0.0</v>
      </c>
      <c r="FF309" s="13">
        <f>IF(FB309=1,$FB$31,$FB$32)</f>
        <v>156636.04979437485</v>
      </c>
      <c r="FG309" s="13">
        <f>FE309-FF309</f>
        <v>-156636.04979437485</v>
      </c>
      <c r="FH309" s="13">
        <f>FH308+FG309</f>
        <v>2829223.3747435044</v>
      </c>
      <c r="FI309">
        <f>IF(FH309=MAX($FH$83:$FH$483),$A309,0)</f>
        <v>0</v>
      </c>
      <c r="FJ309">
        <f>IF(FE309&lt;FF309,$A309,B_MAX+1)</f>
        <v>226</v>
      </c>
      <c r="FK309" s="13">
        <f>IF(FB309=1,$FB$35,$FB$36)</f>
        <v>0</v>
      </c>
      <c r="FL309" s="13">
        <f>OCC_DAYS*$FB$41*R_NF_2023-FD309*MCD_SHARE_FREED*R_WAIT_2023</f>
        <v>151980.48282209205</v>
      </c>
      <c r="FM309">
        <f>IF($A309&lt;=$FB$45,1,0)</f>
        <v>0</v>
      </c>
      <c r="GB309">
        <f>IF($GB$31&lt;=$GB$32,IF($A309&lt;=$GB$7,1,2),IF($A309&lt;=RUNG_BEDS_2,2,1))</f>
        <v>1</v>
      </c>
      <c r="GC309" s="5">
        <f>MIN(1,MAX(0,$GB$26-($A309-1)))</f>
        <v>0</v>
      </c>
      <c r="GD309" s="5">
        <f>$GB$25*(GC309+(1-GC309)*$GB$16)</f>
        <v>0.0</v>
      </c>
      <c r="GE309" s="13">
        <f>GD309*($GB$6+ACUTE_MARGIN)</f>
        <v>0.0</v>
      </c>
      <c r="GF309" s="13">
        <f>IF(GB309=1,$GB$31,$GB$32)</f>
        <v>152394.16214437486</v>
      </c>
      <c r="GG309" s="13">
        <f>GE309-GF309</f>
        <v>-152394.16214437486</v>
      </c>
      <c r="GH309" s="13">
        <f>GH308+GG309</f>
        <v>3787889.9836436184</v>
      </c>
      <c r="GI309">
        <f>IF(GH309=MAX($GH$83:$GH$483),$A309,0)</f>
        <v>0</v>
      </c>
      <c r="GJ309">
        <f>IF(GE309&lt;GF309,$A309,B_MAX+1)</f>
        <v>226</v>
      </c>
      <c r="GK309" s="13">
        <f>IF(GB309=1,$GB$35,$GB$36)</f>
        <v>0</v>
      </c>
      <c r="GL309" s="13">
        <f>OCC_DAYS*$GB$41*R_NF_2023-GD309*MCD_SHARE_FREED*R_WAIT_2023</f>
        <v>151980.48282209205</v>
      </c>
      <c r="GM309">
        <f>IF($A309&lt;=$GB$45,1,0)</f>
        <v>0</v>
      </c>
      <c r="HB309">
        <f>IF($HB$31&lt;=$HB$32,IF($A309&lt;=$HB$7,1,2),IF($A309&lt;=RUNG_BEDS_2,2,1))</f>
        <v>1</v>
      </c>
      <c r="HC309" s="5">
        <f>MIN(1,MAX(0,$HB$26-($A309-1)))</f>
        <v>0</v>
      </c>
      <c r="HD309" s="5">
        <f>$HB$25*(HC309+(1-HC309)*$HB$16)</f>
        <v>0.0</v>
      </c>
      <c r="HE309" s="13">
        <f>HD309*($HB$6+ACUTE_MARGIN)</f>
        <v>0.0</v>
      </c>
      <c r="HF309" s="13">
        <f>IF(HB309=1,$HB$31,$HB$32)</f>
        <v>152456.2970814058</v>
      </c>
      <c r="HG309" s="13">
        <f>HE309-HF309</f>
        <v>-152456.2970814058</v>
      </c>
      <c r="HH309" s="13">
        <f>HH308+HG309</f>
        <v>3773847.4878745847</v>
      </c>
      <c r="HI309">
        <f>IF(HH309=MAX($HH$83:$HH$483),$A309,0)</f>
        <v>0</v>
      </c>
      <c r="HJ309">
        <f>IF(HE309&lt;HF309,$A309,B_MAX+1)</f>
        <v>226</v>
      </c>
      <c r="HK309" s="13">
        <f>IF(HB309=1,$HB$35,$HB$36)</f>
        <v>0</v>
      </c>
      <c r="HL309" s="13">
        <f>OCC_DAYS*$HB$41*R_NF_2023-HD309*MCD_SHARE_FREED*R_WAIT_2023</f>
        <v>151980.48282209205</v>
      </c>
      <c r="HM309">
        <f>IF($A309&lt;=$HB$45,1,0)</f>
        <v>0</v>
      </c>
      <c r="IB309">
        <f>IF($IB$31&lt;=$IB$32,IF($A309&lt;=$IB$7,1,2),IF($A309&lt;=RUNG_BEDS_2,2,1))</f>
        <v>1</v>
      </c>
      <c r="IC309" s="5">
        <f>MIN(1,MAX(0,$IB$26-($A309-1)))</f>
        <v>0</v>
      </c>
      <c r="ID309" s="5">
        <f>$IB$25*(IC309+(1-IC309)*$IB$16)</f>
        <v>0.0</v>
      </c>
      <c r="IE309" s="13">
        <f>ID309*($IB$6+ACUTE_MARGIN)</f>
        <v>0.0</v>
      </c>
      <c r="IF309" s="13">
        <f>IF(IB309=1,$IB$31,$IB$32)</f>
        <v>152734.9994534971</v>
      </c>
      <c r="IG309" s="13">
        <f>IE309-IF309</f>
        <v>-152734.9994534971</v>
      </c>
      <c r="IH309" s="13">
        <f>IH308+IG309</f>
        <v>3710860.7517818986</v>
      </c>
      <c r="II309">
        <f>IF(IH309=MAX($IH$83:$IH$483),$A309,0)</f>
        <v>0</v>
      </c>
      <c r="IJ309">
        <f>IF(IE309&lt;IF309,$A309,B_MAX+1)</f>
        <v>226</v>
      </c>
      <c r="IK309" s="13">
        <f>IF(IB309=1,$IB$35,$IB$36)</f>
        <v>0</v>
      </c>
      <c r="IL309" s="13">
        <f>OCC_DAYS*$IB$41*R_NF_2023-ID309*MCD_SHARE_FREED*R_WAIT_2023</f>
        <v>151980.48282209205</v>
      </c>
      <c r="IM309">
        <f>IF($A309&lt;=$IB$45,1,0)</f>
        <v>0</v>
      </c>
      <c r="JB309">
        <f>IF($JB$31&lt;=$JB$32,IF($A309&lt;=$JB$7,1,2),IF($A309&lt;=RUNG_BEDS_2,2,1))</f>
        <v>1</v>
      </c>
      <c r="JC309" s="5">
        <f>MIN(1,MAX(0,$JB$26-($A309-1)))</f>
        <v>0</v>
      </c>
      <c r="JD309" s="5">
        <f>$JB$25*(JC309+(1-JC309)*$JB$16)</f>
        <v>0.0</v>
      </c>
      <c r="JE309" s="13">
        <f>JD309*($JB$6+ACUTE_MARGIN)</f>
        <v>0.0</v>
      </c>
      <c r="JF309" s="13">
        <f>IF(JB309=1,$JB$31,$JB$32)</f>
        <v>152394.16214437486</v>
      </c>
      <c r="JG309" s="13">
        <f>JE309-JF309</f>
        <v>-152394.16214437486</v>
      </c>
      <c r="JH309" s="13">
        <f>JH308+JG309</f>
        <v>3787889.9836436184</v>
      </c>
      <c r="JI309">
        <f>IF(JH309=MAX($JH$83:$JH$483),$A309,0)</f>
        <v>0</v>
      </c>
      <c r="JJ309">
        <f>IF(JE309&lt;JF309,$A309,B_MAX+1)</f>
        <v>226</v>
      </c>
      <c r="JK309" s="13">
        <f>IF(JB309=1,$JB$35,$JB$36)</f>
        <v>0</v>
      </c>
      <c r="JL309" s="13">
        <f>OCC_DAYS*$JB$41*R_NF_2023-JD309*MCD_SHARE_FREED*R_WAIT_2023</f>
        <v>151980.48282209205</v>
      </c>
      <c r="JM309">
        <f>IF($A309&lt;=$JB$45,1,0)</f>
        <v>0</v>
      </c>
      <c r="KB309">
        <f>IF($KB$31&lt;=$KB$32,IF($A309&lt;=$KB$7,1,2),IF($A309&lt;=RUNG_BEDS_2,2,1))</f>
        <v>1</v>
      </c>
      <c r="KC309" s="5">
        <f>MIN(1,MAX(0,$KB$26-($A309-1)))</f>
        <v>1</v>
      </c>
      <c r="KD309" s="5">
        <f>$KB$25*(KC309+(1-KC309)*$KB$16)</f>
        <v>126.02661357340719</v>
      </c>
      <c r="KE309" s="13">
        <f>KD309*($KB$6+ACUTE_MARGIN)</f>
        <v>127286.87970914126</v>
      </c>
      <c r="KF309" s="13">
        <f>IF(KB309=1,$KB$31,$KB$32)</f>
        <v>152394.16214437486</v>
      </c>
      <c r="KG309" s="13">
        <f>KE309-KF309</f>
        <v>-25107.282435233603</v>
      </c>
      <c r="KH309" s="13">
        <f>KH308+KG309</f>
        <v>-5674245.830362813</v>
      </c>
      <c r="KI309">
        <f>IF(KH309=MAX($KH$83:$KH$483),$A309,0)</f>
        <v>0</v>
      </c>
      <c r="KJ309">
        <f>IF(KE309&lt;KF309,$A309,B_MAX+1)</f>
        <v>226</v>
      </c>
      <c r="KK309" s="13">
        <f>IF(KB309=1,$KB$35,$KB$36)</f>
        <v>0</v>
      </c>
      <c r="KL309" s="13">
        <f>OCC_DAYS*$KB$41*R_NF_2023-KD309*MCD_SHARE_FREED*R_WAIT_2023</f>
        <v>94673.82103225985</v>
      </c>
      <c r="KM309">
        <f>IF($A309&lt;=$KB$45,1,0)</f>
        <v>0</v>
      </c>
      <c r="LB309">
        <f>IF($LB$31&lt;=$LB$32,IF($A309&lt;=$LB$7,1,2),IF($A309&lt;=RUNG_BEDS_2,2,1))</f>
        <v>1</v>
      </c>
      <c r="LC309" s="5">
        <f>MIN(1,MAX(0,$LB$26-($A309-1)))</f>
        <v>1</v>
      </c>
      <c r="LD309" s="5">
        <f>$LB$25*(LC309+(1-LC309)*$LB$16)</f>
        <v>84.01774238227146</v>
      </c>
      <c r="LE309" s="13">
        <f>LD309*($LB$6+ACUTE_MARGIN)</f>
        <v>84857.91980609419</v>
      </c>
      <c r="LF309" s="13">
        <f>IF(LB309=1,$LB$31,$LB$32)</f>
        <v>152394.16214437486</v>
      </c>
      <c r="LG309" s="13">
        <f>LE309-LF309</f>
        <v>-67536.24233828067</v>
      </c>
      <c r="LH309" s="13">
        <f>LH308+LG309</f>
        <v>-15263190.768451504</v>
      </c>
      <c r="LI309">
        <f>IF(LH309=MAX($LH$83:$LH$483),$A309,0)</f>
        <v>0</v>
      </c>
      <c r="LJ309">
        <f>IF(LE309&lt;LF309,$A309,B_MAX+1)</f>
        <v>226</v>
      </c>
      <c r="LK309" s="13">
        <f>IF(LB309=1,$LB$35,$LB$36)</f>
        <v>0</v>
      </c>
      <c r="LL309" s="13">
        <f>OCC_DAYS*$LB$41*R_NF_2023-LD309*MCD_SHARE_FREED*R_WAIT_2023</f>
        <v>113776.04162887059</v>
      </c>
      <c r="LM309">
        <f>IF($A309&lt;=$LB$45,1,0)</f>
        <v>0</v>
      </c>
      <c r="MB309">
        <f>IF($MB$31&lt;=$MB$32,IF($A309&lt;=$MB$7,1,2),IF($A309&lt;=RUNG_BEDS_2,2,1))</f>
        <v>1</v>
      </c>
      <c r="MC309" s="5">
        <f>MIN(1,MAX(0,$MB$26-($A309-1)))</f>
        <v>0</v>
      </c>
      <c r="MD309" s="5">
        <f>$MB$25*(MC309+(1-MC309)*$MB$16)</f>
        <v>0.0</v>
      </c>
      <c r="ME309" s="13">
        <f>MD309*($MB$6+ACUTE_MARGIN)</f>
        <v>0.0</v>
      </c>
      <c r="MF309" s="13">
        <f>IF(MB309=1,$MB$31,$MB$32)</f>
        <v>152394.16214437486</v>
      </c>
      <c r="MG309" s="13">
        <f>ME309-MF309</f>
        <v>-152394.16214437486</v>
      </c>
      <c r="MH309" s="13">
        <f>MH308+MG309</f>
        <v>-2099386.0781547115</v>
      </c>
      <c r="MI309">
        <f>IF(MH309=MAX($MH$83:$MH$483),$A309,0)</f>
        <v>0</v>
      </c>
      <c r="MJ309">
        <f>IF(ME309&lt;MF309,$A309,B_MAX+1)</f>
        <v>226</v>
      </c>
      <c r="MK309" s="13">
        <f>IF(MB309=1,$MB$35,$MB$36)</f>
        <v>0</v>
      </c>
      <c r="ML309" s="13">
        <f>OCC_DAYS*$MB$41*R_NF_2023-MD309*MCD_SHARE_FREED*R_WAIT_2023</f>
        <v>151980.48282209205</v>
      </c>
      <c r="MM309">
        <f>IF($A309&lt;=$MB$45,1,0)</f>
        <v>0</v>
      </c>
      <c r="NB309">
        <f>IF($NB$31&lt;=$NB$32,IF($A309&lt;=$NB$7,1,2),IF($A309&lt;=RUNG_BEDS_2,2,1))</f>
        <v>1</v>
      </c>
      <c r="NC309" s="5">
        <f>MIN(1,MAX(0,$NB$26-($A309-1)))</f>
        <v>0</v>
      </c>
      <c r="ND309" s="5">
        <f>$NB$25*(NC309+(1-NC309)*$NB$16)</f>
        <v>63.013306786703595</v>
      </c>
      <c r="NE309" s="13">
        <f>ND309*($NB$6+ACUTE_MARGIN)</f>
        <v>63643.43985457063</v>
      </c>
      <c r="NF309" s="13">
        <f>IF(NB309=1,$NB$31,$NB$32)</f>
        <v>152394.16214437486</v>
      </c>
      <c r="NG309" s="13">
        <f>NE309-NF309</f>
        <v>-88750.72228980422</v>
      </c>
      <c r="NH309" s="13">
        <f>NH308+NG309</f>
        <v>8614064.733708479</v>
      </c>
      <c r="NI309">
        <f>IF(NH309=MAX($NH$83:$NH$483),$A309,0)</f>
        <v>0</v>
      </c>
      <c r="NJ309">
        <f>IF(NE309&lt;NF309,$A309,B_MAX+1)</f>
        <v>226</v>
      </c>
      <c r="NK309" s="13">
        <f>IF(NB309=1,$NB$35,$NB$36)</f>
        <v>0</v>
      </c>
      <c r="NL309" s="13">
        <f>OCC_DAYS*$NB$41*R_NF_2023-ND309*MCD_SHARE_FREED*R_WAIT_2023</f>
        <v>123327.15192717595</v>
      </c>
      <c r="NM309">
        <f>IF($A309&lt;=$NB$45,1,0)</f>
        <v>0</v>
      </c>
      <c r="OB309">
        <f>IF($OB$31&lt;=$OB$32,IF($A309&lt;=$OB$7,1,2),IF($A309&lt;=RUNG_BEDS_2,2,1))</f>
        <v>1</v>
      </c>
      <c r="OC309" s="5">
        <f>MIN(1,MAX(0,$OB$26-($A309-1)))</f>
        <v>0</v>
      </c>
      <c r="OD309" s="5">
        <f>$OB$25*(OC309+(1-OC309)*$OB$16)</f>
        <v>126.02661357340719</v>
      </c>
      <c r="OE309" s="13">
        <f>OD309*($OB$6+ACUTE_MARGIN)</f>
        <v>127286.87970914126</v>
      </c>
      <c r="OF309" s="13">
        <f>IF(OB309=1,$OB$31,$OB$32)</f>
        <v>152394.16214437486</v>
      </c>
      <c r="OG309" s="13">
        <f>OE309-OF309</f>
        <v>-25107.282435233603</v>
      </c>
      <c r="OH309" s="13">
        <f>OH308+OG309</f>
        <v>13440239.483773451</v>
      </c>
      <c r="OI309">
        <f>IF(OH309=MAX($OH$83:$OH$483),$A309,0)</f>
        <v>0</v>
      </c>
      <c r="OJ309">
        <f>IF(OE309&lt;OF309,$A309,B_MAX+1)</f>
        <v>226</v>
      </c>
      <c r="OK309" s="13">
        <f>IF(OB309=1,$OB$35,$OB$36)</f>
        <v>0</v>
      </c>
      <c r="OL309" s="13">
        <f>OCC_DAYS*$OB$41*R_NF_2023-OD309*MCD_SHARE_FREED*R_WAIT_2023</f>
        <v>94673.82103225985</v>
      </c>
      <c r="OM309">
        <f>IF($A309&lt;=$OB$45,1,0)</f>
        <v>0</v>
      </c>
    </row>
    <row r="310">
      <c r="A310" t="n">
        <v>227</v>
      </c>
      <c r="B310">
        <f>IF($B$31&lt;=$B$32,IF($A310&lt;=$B$7,1,2),IF($A310&lt;=RUNG_BEDS_2,2,1))</f>
        <v>1</v>
      </c>
      <c r="C310" s="5">
        <f>MIN(1,MAX(0,$B$26-($A310-1)))</f>
        <v>0</v>
      </c>
      <c r="D310" s="5">
        <f>$B$25*(C310+(1-C310)*$B$16)</f>
        <v>0.0</v>
      </c>
      <c r="E310" s="13">
        <f>D310*($B$6+ACUTE_MARGIN)</f>
        <v>0.0</v>
      </c>
      <c r="F310" s="13">
        <f>IF(B310=1,$B$31,$B$32)</f>
        <v>152394.16214437486</v>
      </c>
      <c r="G310" s="13">
        <f>E310-F310</f>
        <v>-152394.16214437486</v>
      </c>
      <c r="H310" s="13">
        <f>H309+G310</f>
        <v>3635495.8214992434</v>
      </c>
      <c r="I310">
        <f>IF(H310=MAX($H$83:$H$483),$A310,0)</f>
        <v>0</v>
      </c>
      <c r="J310">
        <f>IF(E310&lt;F310,$A310,B_MAX+1)</f>
        <v>227</v>
      </c>
      <c r="K310" s="13">
        <f>IF(B310=1,$B$35,$B$36)</f>
        <v>0</v>
      </c>
      <c r="L310" s="13">
        <f>OCC_DAYS*$B$41*R_NF_2023-D310*MCD_SHARE_FREED*R_WAIT_2023</f>
        <v>151980.48282209205</v>
      </c>
      <c r="M310">
        <f>IF($A310&lt;=$B$45,1,0)</f>
        <v>0</v>
      </c>
      <c r="AB310">
        <f>IF($AB$31&lt;=$AB$32,IF($A310&lt;=$AB$7,1,2),IF($A310&lt;=RUNG_BEDS_2,2,1))</f>
        <v>1</v>
      </c>
      <c r="AC310" s="5">
        <f>MIN(1,MAX(0,$AB$26-($A310-1)))</f>
        <v>0</v>
      </c>
      <c r="AD310" s="5">
        <f>$AB$25*(AC310+(1-AC310)*$AB$16)</f>
        <v>0.0</v>
      </c>
      <c r="AE310" s="13">
        <f>AD310*($AB$6+ACUTE_MARGIN)</f>
        <v>0.0</v>
      </c>
      <c r="AF310" s="13">
        <f>IF(AB310=1,$AB$31,$AB$32)</f>
        <v>152394.16214437486</v>
      </c>
      <c r="AG310" s="13">
        <f>AE310-AF310</f>
        <v>-152394.16214437486</v>
      </c>
      <c r="AH310" s="13">
        <f>AH309+AG310</f>
        <v>-13775718.524050558</v>
      </c>
      <c r="AI310">
        <f>IF(AH310=MAX($AH$83:$AH$483),$A310,0)</f>
        <v>0</v>
      </c>
      <c r="AJ310">
        <f>IF(AE310&lt;AF310,$A310,B_MAX+1)</f>
        <v>227</v>
      </c>
      <c r="AK310" s="13">
        <f>IF(AB310=1,$AB$35,$AB$36)</f>
        <v>0</v>
      </c>
      <c r="AL310" s="13">
        <f>OCC_DAYS*$AB$41*R_NF_2023-AD310*MCD_SHARE_FREED*R_WAIT_2023</f>
        <v>151980.48282209205</v>
      </c>
      <c r="AM310">
        <f>IF($A310&lt;=$AB$45,1,0)</f>
        <v>0</v>
      </c>
      <c r="BB310">
        <f>IF($BB$31&lt;=$BB$32,IF($A310&lt;=$BB$7,1,2),IF($A310&lt;=RUNG_BEDS_2,2,1))</f>
        <v>1</v>
      </c>
      <c r="BC310" s="5">
        <f>MIN(1,MAX(0,$BB$26-($A310-1)))</f>
        <v>0</v>
      </c>
      <c r="BD310" s="5">
        <f>$BB$25*(BC310+(1-BC310)*$BB$16)</f>
        <v>0.0</v>
      </c>
      <c r="BE310" s="13">
        <f>BD310*($BB$6+ACUTE_MARGIN)</f>
        <v>0.0</v>
      </c>
      <c r="BF310" s="13">
        <f>IF(BB310=1,$BB$31,$BB$32)</f>
        <v>152394.16214437486</v>
      </c>
      <c r="BG310" s="13">
        <f>BE310-BF310</f>
        <v>-152394.16214437486</v>
      </c>
      <c r="BH310" s="13">
        <f>BH309+BG310</f>
        <v>21046710.167048935</v>
      </c>
      <c r="BI310">
        <f>IF(BH310=MAX($BH$83:$BH$483),$A310,0)</f>
        <v>0</v>
      </c>
      <c r="BJ310">
        <f>IF(BE310&lt;BF310,$A310,B_MAX+1)</f>
        <v>227</v>
      </c>
      <c r="BK310" s="13">
        <f>IF(BB310=1,$BB$35,$BB$36)</f>
        <v>0</v>
      </c>
      <c r="BL310" s="13">
        <f>OCC_DAYS*$BB$41*R_NF_2023-BD310*MCD_SHARE_FREED*R_WAIT_2023</f>
        <v>151980.48282209205</v>
      </c>
      <c r="BM310">
        <f>IF($A310&lt;=$BB$45,1,0)</f>
        <v>0</v>
      </c>
      <c r="CB310">
        <f>IF($CB$31&lt;=$CB$32,IF($A310&lt;=$CB$7,1,2),IF($A310&lt;=RUNG_BEDS_2,2,1))</f>
        <v>2</v>
      </c>
      <c r="CC310" s="5">
        <f>MIN(1,MAX(0,$CB$26-($A310-1)))</f>
        <v>0</v>
      </c>
      <c r="CD310" s="5">
        <f>$CB$25*(CC310+(1-CC310)*$CB$16)</f>
        <v>0.0</v>
      </c>
      <c r="CE310" s="13">
        <f>CD310*($CB$6+ACUTE_MARGIN)</f>
        <v>0.0</v>
      </c>
      <c r="CF310" s="13">
        <f>IF(CB310=1,$CB$31,$CB$32)</f>
        <v>160718.36940738867</v>
      </c>
      <c r="CG310" s="13">
        <f>CE310-CF310</f>
        <v>-160718.36940738867</v>
      </c>
      <c r="CH310" s="13">
        <f>CH309+CG310</f>
        <v>1745900.7727949924</v>
      </c>
      <c r="CI310">
        <f>IF(CH310=MAX($CH$83:$CH$483),$A310,0)</f>
        <v>0</v>
      </c>
      <c r="CJ310">
        <f>IF(CE310&lt;CF310,$A310,B_MAX+1)</f>
        <v>227</v>
      </c>
      <c r="CK310" s="13">
        <f>IF(CB310=1,$CB$35,$CB$36)</f>
        <v>1560.1194073886782</v>
      </c>
      <c r="CL310" s="13">
        <f>OCC_DAYS*$CB$41*R_NF_2023-CD310*MCD_SHARE_FREED*R_WAIT_2023</f>
        <v>151980.48282209205</v>
      </c>
      <c r="CM310">
        <f>IF($A310&lt;=$CB$45,1,0)</f>
        <v>0</v>
      </c>
      <c r="DB310">
        <f>IF($DB$31&lt;=$DB$32,IF($A310&lt;=$DB$7,1,2),IF($A310&lt;=RUNG_BEDS_2,2,1))</f>
        <v>1</v>
      </c>
      <c r="DC310" s="5">
        <f>MIN(1,MAX(0,$DB$26-($A310-1)))</f>
        <v>0</v>
      </c>
      <c r="DD310" s="5">
        <f>$DB$25*(DC310+(1-DC310)*$DB$16)</f>
        <v>0.0</v>
      </c>
      <c r="DE310" s="13">
        <f>DD310*($DB$6+ACUTE_MARGIN)</f>
        <v>0.0</v>
      </c>
      <c r="DF310" s="13">
        <f>IF(DB310=1,$DB$31,$DB$32)</f>
        <v>152394.16214437486</v>
      </c>
      <c r="DG310" s="13">
        <f>DE310-DF310</f>
        <v>-152394.16214437486</v>
      </c>
      <c r="DH310" s="13">
        <f>DH309+DG310</f>
        <v>3635495.8214992434</v>
      </c>
      <c r="DI310">
        <f>IF(DH310=MAX($DH$83:$DH$483),$A310,0)</f>
        <v>0</v>
      </c>
      <c r="DJ310">
        <f>IF(DE310&lt;DF310,$A310,B_MAX+1)</f>
        <v>227</v>
      </c>
      <c r="DK310" s="13">
        <f>IF(DB310=1,$DB$35,$DB$36)</f>
        <v>0</v>
      </c>
      <c r="DL310" s="13">
        <f>OCC_DAYS*$DB$41*R_NF_2023-DD310*MCD_SHARE_FREED*R_WAIT_2023</f>
        <v>151980.48282209205</v>
      </c>
      <c r="DM310">
        <f>IF($A310&lt;=$DB$45,1,0)</f>
        <v>0</v>
      </c>
      <c r="EB310">
        <f>IF($EB$31&lt;=$EB$32,IF($A310&lt;=$EB$7,1,2),IF($A310&lt;=RUNG_BEDS_2,2,1))</f>
        <v>1</v>
      </c>
      <c r="EC310" s="5">
        <f>MIN(1,MAX(0,$EB$26-($A310-1)))</f>
        <v>0</v>
      </c>
      <c r="ED310" s="5">
        <f>$EB$25*(EC310+(1-EC310)*$EB$16)</f>
        <v>0.0</v>
      </c>
      <c r="EE310" s="13">
        <f>ED310*($EB$6+ACUTE_MARGIN)</f>
        <v>0.0</v>
      </c>
      <c r="EF310" s="13">
        <f>IF(EB310=1,$EB$31,$EB$32)</f>
        <v>152394.16214437486</v>
      </c>
      <c r="EG310" s="13">
        <f>EE310-EF310</f>
        <v>-152394.16214437486</v>
      </c>
      <c r="EH310" s="13">
        <f>EH309+EG310</f>
        <v>3635495.8214992434</v>
      </c>
      <c r="EI310">
        <f>IF(EH310=MAX($EH$83:$EH$483),$A310,0)</f>
        <v>0</v>
      </c>
      <c r="EJ310">
        <f>IF(EE310&lt;EF310,$A310,B_MAX+1)</f>
        <v>227</v>
      </c>
      <c r="EK310" s="13">
        <f>IF(EB310=1,$EB$35,$EB$36)</f>
        <v>0</v>
      </c>
      <c r="EL310" s="13">
        <f>OCC_DAYS*$EB$41*R_NF_2023-ED310*MCD_SHARE_FREED*R_WAIT_2023</f>
        <v>50660.16094069735</v>
      </c>
      <c r="EM310">
        <f>IF($A310&lt;=$EB$45,1,0)</f>
        <v>0</v>
      </c>
      <c r="FB310">
        <f>IF($FB$31&lt;=$FB$32,IF($A310&lt;=$FB$7,1,2),IF($A310&lt;=RUNG_BEDS_2,2,1))</f>
        <v>1</v>
      </c>
      <c r="FC310" s="5">
        <f>MIN(1,MAX(0,$FB$26-($A310-1)))</f>
        <v>0</v>
      </c>
      <c r="FD310" s="5">
        <f>$FB$25*(FC310+(1-FC310)*$FB$16)</f>
        <v>0.0</v>
      </c>
      <c r="FE310" s="13">
        <f>FD310*($FB$6+ACUTE_MARGIN)</f>
        <v>0.0</v>
      </c>
      <c r="FF310" s="13">
        <f>IF(FB310=1,$FB$31,$FB$32)</f>
        <v>156636.04979437485</v>
      </c>
      <c r="FG310" s="13">
        <f>FE310-FF310</f>
        <v>-156636.04979437485</v>
      </c>
      <c r="FH310" s="13">
        <f>FH309+FG310</f>
        <v>2672587.3249491295</v>
      </c>
      <c r="FI310">
        <f>IF(FH310=MAX($FH$83:$FH$483),$A310,0)</f>
        <v>0</v>
      </c>
      <c r="FJ310">
        <f>IF(FE310&lt;FF310,$A310,B_MAX+1)</f>
        <v>227</v>
      </c>
      <c r="FK310" s="13">
        <f>IF(FB310=1,$FB$35,$FB$36)</f>
        <v>0</v>
      </c>
      <c r="FL310" s="13">
        <f>OCC_DAYS*$FB$41*R_NF_2023-FD310*MCD_SHARE_FREED*R_WAIT_2023</f>
        <v>151980.48282209205</v>
      </c>
      <c r="FM310">
        <f>IF($A310&lt;=$FB$45,1,0)</f>
        <v>0</v>
      </c>
      <c r="GB310">
        <f>IF($GB$31&lt;=$GB$32,IF($A310&lt;=$GB$7,1,2),IF($A310&lt;=RUNG_BEDS_2,2,1))</f>
        <v>1</v>
      </c>
      <c r="GC310" s="5">
        <f>MIN(1,MAX(0,$GB$26-($A310-1)))</f>
        <v>0</v>
      </c>
      <c r="GD310" s="5">
        <f>$GB$25*(GC310+(1-GC310)*$GB$16)</f>
        <v>0.0</v>
      </c>
      <c r="GE310" s="13">
        <f>GD310*($GB$6+ACUTE_MARGIN)</f>
        <v>0.0</v>
      </c>
      <c r="GF310" s="13">
        <f>IF(GB310=1,$GB$31,$GB$32)</f>
        <v>152394.16214437486</v>
      </c>
      <c r="GG310" s="13">
        <f>GE310-GF310</f>
        <v>-152394.16214437486</v>
      </c>
      <c r="GH310" s="13">
        <f>GH309+GG310</f>
        <v>3635495.8214992434</v>
      </c>
      <c r="GI310">
        <f>IF(GH310=MAX($GH$83:$GH$483),$A310,0)</f>
        <v>0</v>
      </c>
      <c r="GJ310">
        <f>IF(GE310&lt;GF310,$A310,B_MAX+1)</f>
        <v>227</v>
      </c>
      <c r="GK310" s="13">
        <f>IF(GB310=1,$GB$35,$GB$36)</f>
        <v>0</v>
      </c>
      <c r="GL310" s="13">
        <f>OCC_DAYS*$GB$41*R_NF_2023-GD310*MCD_SHARE_FREED*R_WAIT_2023</f>
        <v>151980.48282209205</v>
      </c>
      <c r="GM310">
        <f>IF($A310&lt;=$GB$45,1,0)</f>
        <v>0</v>
      </c>
      <c r="HB310">
        <f>IF($HB$31&lt;=$HB$32,IF($A310&lt;=$HB$7,1,2),IF($A310&lt;=RUNG_BEDS_2,2,1))</f>
        <v>1</v>
      </c>
      <c r="HC310" s="5">
        <f>MIN(1,MAX(0,$HB$26-($A310-1)))</f>
        <v>0</v>
      </c>
      <c r="HD310" s="5">
        <f>$HB$25*(HC310+(1-HC310)*$HB$16)</f>
        <v>0.0</v>
      </c>
      <c r="HE310" s="13">
        <f>HD310*($HB$6+ACUTE_MARGIN)</f>
        <v>0.0</v>
      </c>
      <c r="HF310" s="13">
        <f>IF(HB310=1,$HB$31,$HB$32)</f>
        <v>152456.2970814058</v>
      </c>
      <c r="HG310" s="13">
        <f>HE310-HF310</f>
        <v>-152456.2970814058</v>
      </c>
      <c r="HH310" s="13">
        <f>HH309+HG310</f>
        <v>3621391.190793179</v>
      </c>
      <c r="HI310">
        <f>IF(HH310=MAX($HH$83:$HH$483),$A310,0)</f>
        <v>0</v>
      </c>
      <c r="HJ310">
        <f>IF(HE310&lt;HF310,$A310,B_MAX+1)</f>
        <v>227</v>
      </c>
      <c r="HK310" s="13">
        <f>IF(HB310=1,$HB$35,$HB$36)</f>
        <v>0</v>
      </c>
      <c r="HL310" s="13">
        <f>OCC_DAYS*$HB$41*R_NF_2023-HD310*MCD_SHARE_FREED*R_WAIT_2023</f>
        <v>151980.48282209205</v>
      </c>
      <c r="HM310">
        <f>IF($A310&lt;=$HB$45,1,0)</f>
        <v>0</v>
      </c>
      <c r="IB310">
        <f>IF($IB$31&lt;=$IB$32,IF($A310&lt;=$IB$7,1,2),IF($A310&lt;=RUNG_BEDS_2,2,1))</f>
        <v>1</v>
      </c>
      <c r="IC310" s="5">
        <f>MIN(1,MAX(0,$IB$26-($A310-1)))</f>
        <v>0</v>
      </c>
      <c r="ID310" s="5">
        <f>$IB$25*(IC310+(1-IC310)*$IB$16)</f>
        <v>0.0</v>
      </c>
      <c r="IE310" s="13">
        <f>ID310*($IB$6+ACUTE_MARGIN)</f>
        <v>0.0</v>
      </c>
      <c r="IF310" s="13">
        <f>IF(IB310=1,$IB$31,$IB$32)</f>
        <v>152734.9994534971</v>
      </c>
      <c r="IG310" s="13">
        <f>IE310-IF310</f>
        <v>-152734.9994534971</v>
      </c>
      <c r="IH310" s="13">
        <f>IH309+IG310</f>
        <v>3558125.7523284014</v>
      </c>
      <c r="II310">
        <f>IF(IH310=MAX($IH$83:$IH$483),$A310,0)</f>
        <v>0</v>
      </c>
      <c r="IJ310">
        <f>IF(IE310&lt;IF310,$A310,B_MAX+1)</f>
        <v>227</v>
      </c>
      <c r="IK310" s="13">
        <f>IF(IB310=1,$IB$35,$IB$36)</f>
        <v>0</v>
      </c>
      <c r="IL310" s="13">
        <f>OCC_DAYS*$IB$41*R_NF_2023-ID310*MCD_SHARE_FREED*R_WAIT_2023</f>
        <v>151980.48282209205</v>
      </c>
      <c r="IM310">
        <f>IF($A310&lt;=$IB$45,1,0)</f>
        <v>0</v>
      </c>
      <c r="JB310">
        <f>IF($JB$31&lt;=$JB$32,IF($A310&lt;=$JB$7,1,2),IF($A310&lt;=RUNG_BEDS_2,2,1))</f>
        <v>1</v>
      </c>
      <c r="JC310" s="5">
        <f>MIN(1,MAX(0,$JB$26-($A310-1)))</f>
        <v>0</v>
      </c>
      <c r="JD310" s="5">
        <f>$JB$25*(JC310+(1-JC310)*$JB$16)</f>
        <v>0.0</v>
      </c>
      <c r="JE310" s="13">
        <f>JD310*($JB$6+ACUTE_MARGIN)</f>
        <v>0.0</v>
      </c>
      <c r="JF310" s="13">
        <f>IF(JB310=1,$JB$31,$JB$32)</f>
        <v>152394.16214437486</v>
      </c>
      <c r="JG310" s="13">
        <f>JE310-JF310</f>
        <v>-152394.16214437486</v>
      </c>
      <c r="JH310" s="13">
        <f>JH309+JG310</f>
        <v>3635495.8214992434</v>
      </c>
      <c r="JI310">
        <f>IF(JH310=MAX($JH$83:$JH$483),$A310,0)</f>
        <v>0</v>
      </c>
      <c r="JJ310">
        <f>IF(JE310&lt;JF310,$A310,B_MAX+1)</f>
        <v>227</v>
      </c>
      <c r="JK310" s="13">
        <f>IF(JB310=1,$JB$35,$JB$36)</f>
        <v>0</v>
      </c>
      <c r="JL310" s="13">
        <f>OCC_DAYS*$JB$41*R_NF_2023-JD310*MCD_SHARE_FREED*R_WAIT_2023</f>
        <v>151980.48282209205</v>
      </c>
      <c r="JM310">
        <f>IF($A310&lt;=$JB$45,1,0)</f>
        <v>0</v>
      </c>
      <c r="KB310">
        <f>IF($KB$31&lt;=$KB$32,IF($A310&lt;=$KB$7,1,2),IF($A310&lt;=RUNG_BEDS_2,2,1))</f>
        <v>1</v>
      </c>
      <c r="KC310" s="5">
        <f>MIN(1,MAX(0,$KB$26-($A310-1)))</f>
        <v>1</v>
      </c>
      <c r="KD310" s="5">
        <f>$KB$25*(KC310+(1-KC310)*$KB$16)</f>
        <v>126.02661357340719</v>
      </c>
      <c r="KE310" s="13">
        <f>KD310*($KB$6+ACUTE_MARGIN)</f>
        <v>127286.87970914126</v>
      </c>
      <c r="KF310" s="13">
        <f>IF(KB310=1,$KB$31,$KB$32)</f>
        <v>152394.16214437486</v>
      </c>
      <c r="KG310" s="13">
        <f>KE310-KF310</f>
        <v>-25107.282435233603</v>
      </c>
      <c r="KH310" s="13">
        <f>KH309+KG310</f>
        <v>-5699353.112798046</v>
      </c>
      <c r="KI310">
        <f>IF(KH310=MAX($KH$83:$KH$483),$A310,0)</f>
        <v>0</v>
      </c>
      <c r="KJ310">
        <f>IF(KE310&lt;KF310,$A310,B_MAX+1)</f>
        <v>227</v>
      </c>
      <c r="KK310" s="13">
        <f>IF(KB310=1,$KB$35,$KB$36)</f>
        <v>0</v>
      </c>
      <c r="KL310" s="13">
        <f>OCC_DAYS*$KB$41*R_NF_2023-KD310*MCD_SHARE_FREED*R_WAIT_2023</f>
        <v>94673.82103225985</v>
      </c>
      <c r="KM310">
        <f>IF($A310&lt;=$KB$45,1,0)</f>
        <v>0</v>
      </c>
      <c r="LB310">
        <f>IF($LB$31&lt;=$LB$32,IF($A310&lt;=$LB$7,1,2),IF($A310&lt;=RUNG_BEDS_2,2,1))</f>
        <v>1</v>
      </c>
      <c r="LC310" s="5">
        <f>MIN(1,MAX(0,$LB$26-($A310-1)))</f>
        <v>1</v>
      </c>
      <c r="LD310" s="5">
        <f>$LB$25*(LC310+(1-LC310)*$LB$16)</f>
        <v>84.01774238227146</v>
      </c>
      <c r="LE310" s="13">
        <f>LD310*($LB$6+ACUTE_MARGIN)</f>
        <v>84857.91980609419</v>
      </c>
      <c r="LF310" s="13">
        <f>IF(LB310=1,$LB$31,$LB$32)</f>
        <v>152394.16214437486</v>
      </c>
      <c r="LG310" s="13">
        <f>LE310-LF310</f>
        <v>-67536.24233828067</v>
      </c>
      <c r="LH310" s="13">
        <f>LH309+LG310</f>
        <v>-15330727.010789786</v>
      </c>
      <c r="LI310">
        <f>IF(LH310=MAX($LH$83:$LH$483),$A310,0)</f>
        <v>0</v>
      </c>
      <c r="LJ310">
        <f>IF(LE310&lt;LF310,$A310,B_MAX+1)</f>
        <v>227</v>
      </c>
      <c r="LK310" s="13">
        <f>IF(LB310=1,$LB$35,$LB$36)</f>
        <v>0</v>
      </c>
      <c r="LL310" s="13">
        <f>OCC_DAYS*$LB$41*R_NF_2023-LD310*MCD_SHARE_FREED*R_WAIT_2023</f>
        <v>113776.04162887059</v>
      </c>
      <c r="LM310">
        <f>IF($A310&lt;=$LB$45,1,0)</f>
        <v>0</v>
      </c>
      <c r="MB310">
        <f>IF($MB$31&lt;=$MB$32,IF($A310&lt;=$MB$7,1,2),IF($A310&lt;=RUNG_BEDS_2,2,1))</f>
        <v>1</v>
      </c>
      <c r="MC310" s="5">
        <f>MIN(1,MAX(0,$MB$26-($A310-1)))</f>
        <v>0</v>
      </c>
      <c r="MD310" s="5">
        <f>$MB$25*(MC310+(1-MC310)*$MB$16)</f>
        <v>0.0</v>
      </c>
      <c r="ME310" s="13">
        <f>MD310*($MB$6+ACUTE_MARGIN)</f>
        <v>0.0</v>
      </c>
      <c r="MF310" s="13">
        <f>IF(MB310=1,$MB$31,$MB$32)</f>
        <v>152394.16214437486</v>
      </c>
      <c r="MG310" s="13">
        <f>ME310-MF310</f>
        <v>-152394.16214437486</v>
      </c>
      <c r="MH310" s="13">
        <f>MH309+MG310</f>
        <v>-2251780.2402990866</v>
      </c>
      <c r="MI310">
        <f>IF(MH310=MAX($MH$83:$MH$483),$A310,0)</f>
        <v>0</v>
      </c>
      <c r="MJ310">
        <f>IF(ME310&lt;MF310,$A310,B_MAX+1)</f>
        <v>227</v>
      </c>
      <c r="MK310" s="13">
        <f>IF(MB310=1,$MB$35,$MB$36)</f>
        <v>0</v>
      </c>
      <c r="ML310" s="13">
        <f>OCC_DAYS*$MB$41*R_NF_2023-MD310*MCD_SHARE_FREED*R_WAIT_2023</f>
        <v>151980.48282209205</v>
      </c>
      <c r="MM310">
        <f>IF($A310&lt;=$MB$45,1,0)</f>
        <v>0</v>
      </c>
      <c r="NB310">
        <f>IF($NB$31&lt;=$NB$32,IF($A310&lt;=$NB$7,1,2),IF($A310&lt;=RUNG_BEDS_2,2,1))</f>
        <v>1</v>
      </c>
      <c r="NC310" s="5">
        <f>MIN(1,MAX(0,$NB$26-($A310-1)))</f>
        <v>0</v>
      </c>
      <c r="ND310" s="5">
        <f>$NB$25*(NC310+(1-NC310)*$NB$16)</f>
        <v>63.013306786703595</v>
      </c>
      <c r="NE310" s="13">
        <f>ND310*($NB$6+ACUTE_MARGIN)</f>
        <v>63643.43985457063</v>
      </c>
      <c r="NF310" s="13">
        <f>IF(NB310=1,$NB$31,$NB$32)</f>
        <v>152394.16214437486</v>
      </c>
      <c r="NG310" s="13">
        <f>NE310-NF310</f>
        <v>-88750.72228980422</v>
      </c>
      <c r="NH310" s="13">
        <f>NH309+NG310</f>
        <v>8525314.011418674</v>
      </c>
      <c r="NI310">
        <f>IF(NH310=MAX($NH$83:$NH$483),$A310,0)</f>
        <v>0</v>
      </c>
      <c r="NJ310">
        <f>IF(NE310&lt;NF310,$A310,B_MAX+1)</f>
        <v>227</v>
      </c>
      <c r="NK310" s="13">
        <f>IF(NB310=1,$NB$35,$NB$36)</f>
        <v>0</v>
      </c>
      <c r="NL310" s="13">
        <f>OCC_DAYS*$NB$41*R_NF_2023-ND310*MCD_SHARE_FREED*R_WAIT_2023</f>
        <v>123327.15192717595</v>
      </c>
      <c r="NM310">
        <f>IF($A310&lt;=$NB$45,1,0)</f>
        <v>0</v>
      </c>
      <c r="OB310">
        <f>IF($OB$31&lt;=$OB$32,IF($A310&lt;=$OB$7,1,2),IF($A310&lt;=RUNG_BEDS_2,2,1))</f>
        <v>1</v>
      </c>
      <c r="OC310" s="5">
        <f>MIN(1,MAX(0,$OB$26-($A310-1)))</f>
        <v>0</v>
      </c>
      <c r="OD310" s="5">
        <f>$OB$25*(OC310+(1-OC310)*$OB$16)</f>
        <v>126.02661357340719</v>
      </c>
      <c r="OE310" s="13">
        <f>OD310*($OB$6+ACUTE_MARGIN)</f>
        <v>127286.87970914126</v>
      </c>
      <c r="OF310" s="13">
        <f>IF(OB310=1,$OB$31,$OB$32)</f>
        <v>152394.16214437486</v>
      </c>
      <c r="OG310" s="13">
        <f>OE310-OF310</f>
        <v>-25107.282435233603</v>
      </c>
      <c r="OH310" s="13">
        <f>OH309+OG310</f>
        <v>13415132.201338219</v>
      </c>
      <c r="OI310">
        <f>IF(OH310=MAX($OH$83:$OH$483),$A310,0)</f>
        <v>0</v>
      </c>
      <c r="OJ310">
        <f>IF(OE310&lt;OF310,$A310,B_MAX+1)</f>
        <v>227</v>
      </c>
      <c r="OK310" s="13">
        <f>IF(OB310=1,$OB$35,$OB$36)</f>
        <v>0</v>
      </c>
      <c r="OL310" s="13">
        <f>OCC_DAYS*$OB$41*R_NF_2023-OD310*MCD_SHARE_FREED*R_WAIT_2023</f>
        <v>94673.82103225985</v>
      </c>
      <c r="OM310">
        <f>IF($A310&lt;=$OB$45,1,0)</f>
        <v>0</v>
      </c>
    </row>
    <row r="311">
      <c r="A311" t="n">
        <v>228</v>
      </c>
      <c r="B311">
        <f>IF($B$31&lt;=$B$32,IF($A311&lt;=$B$7,1,2),IF($A311&lt;=RUNG_BEDS_2,2,1))</f>
        <v>1</v>
      </c>
      <c r="C311" s="5">
        <f>MIN(1,MAX(0,$B$26-($A311-1)))</f>
        <v>0</v>
      </c>
      <c r="D311" s="5">
        <f>$B$25*(C311+(1-C311)*$B$16)</f>
        <v>0.0</v>
      </c>
      <c r="E311" s="13">
        <f>D311*($B$6+ACUTE_MARGIN)</f>
        <v>0.0</v>
      </c>
      <c r="F311" s="13">
        <f>IF(B311=1,$B$31,$B$32)</f>
        <v>152394.16214437486</v>
      </c>
      <c r="G311" s="13">
        <f>E311-F311</f>
        <v>-152394.16214437486</v>
      </c>
      <c r="H311" s="13">
        <f>H310+G311</f>
        <v>3483101.6593548683</v>
      </c>
      <c r="I311">
        <f>IF(H311=MAX($H$83:$H$483),$A311,0)</f>
        <v>0</v>
      </c>
      <c r="J311">
        <f>IF(E311&lt;F311,$A311,B_MAX+1)</f>
        <v>228</v>
      </c>
      <c r="K311" s="13">
        <f>IF(B311=1,$B$35,$B$36)</f>
        <v>0</v>
      </c>
      <c r="L311" s="13">
        <f>OCC_DAYS*$B$41*R_NF_2023-D311*MCD_SHARE_FREED*R_WAIT_2023</f>
        <v>151980.48282209205</v>
      </c>
      <c r="M311">
        <f>IF($A311&lt;=$B$45,1,0)</f>
        <v>0</v>
      </c>
      <c r="AB311">
        <f>IF($AB$31&lt;=$AB$32,IF($A311&lt;=$AB$7,1,2),IF($A311&lt;=RUNG_BEDS_2,2,1))</f>
        <v>1</v>
      </c>
      <c r="AC311" s="5">
        <f>MIN(1,MAX(0,$AB$26-($A311-1)))</f>
        <v>0</v>
      </c>
      <c r="AD311" s="5">
        <f>$AB$25*(AC311+(1-AC311)*$AB$16)</f>
        <v>0.0</v>
      </c>
      <c r="AE311" s="13">
        <f>AD311*($AB$6+ACUTE_MARGIN)</f>
        <v>0.0</v>
      </c>
      <c r="AF311" s="13">
        <f>IF(AB311=1,$AB$31,$AB$32)</f>
        <v>152394.16214437486</v>
      </c>
      <c r="AG311" s="13">
        <f>AE311-AF311</f>
        <v>-152394.16214437486</v>
      </c>
      <c r="AH311" s="13">
        <f>AH310+AG311</f>
        <v>-13928112.686194932</v>
      </c>
      <c r="AI311">
        <f>IF(AH311=MAX($AH$83:$AH$483),$A311,0)</f>
        <v>0</v>
      </c>
      <c r="AJ311">
        <f>IF(AE311&lt;AF311,$A311,B_MAX+1)</f>
        <v>228</v>
      </c>
      <c r="AK311" s="13">
        <f>IF(AB311=1,$AB$35,$AB$36)</f>
        <v>0</v>
      </c>
      <c r="AL311" s="13">
        <f>OCC_DAYS*$AB$41*R_NF_2023-AD311*MCD_SHARE_FREED*R_WAIT_2023</f>
        <v>151980.48282209205</v>
      </c>
      <c r="AM311">
        <f>IF($A311&lt;=$AB$45,1,0)</f>
        <v>0</v>
      </c>
      <c r="BB311">
        <f>IF($BB$31&lt;=$BB$32,IF($A311&lt;=$BB$7,1,2),IF($A311&lt;=RUNG_BEDS_2,2,1))</f>
        <v>1</v>
      </c>
      <c r="BC311" s="5">
        <f>MIN(1,MAX(0,$BB$26-($A311-1)))</f>
        <v>0</v>
      </c>
      <c r="BD311" s="5">
        <f>$BB$25*(BC311+(1-BC311)*$BB$16)</f>
        <v>0.0</v>
      </c>
      <c r="BE311" s="13">
        <f>BD311*($BB$6+ACUTE_MARGIN)</f>
        <v>0.0</v>
      </c>
      <c r="BF311" s="13">
        <f>IF(BB311=1,$BB$31,$BB$32)</f>
        <v>152394.16214437486</v>
      </c>
      <c r="BG311" s="13">
        <f>BE311-BF311</f>
        <v>-152394.16214437486</v>
      </c>
      <c r="BH311" s="13">
        <f>BH310+BG311</f>
        <v>20894316.00490456</v>
      </c>
      <c r="BI311">
        <f>IF(BH311=MAX($BH$83:$BH$483),$A311,0)</f>
        <v>0</v>
      </c>
      <c r="BJ311">
        <f>IF(BE311&lt;BF311,$A311,B_MAX+1)</f>
        <v>228</v>
      </c>
      <c r="BK311" s="13">
        <f>IF(BB311=1,$BB$35,$BB$36)</f>
        <v>0</v>
      </c>
      <c r="BL311" s="13">
        <f>OCC_DAYS*$BB$41*R_NF_2023-BD311*MCD_SHARE_FREED*R_WAIT_2023</f>
        <v>151980.48282209205</v>
      </c>
      <c r="BM311">
        <f>IF($A311&lt;=$BB$45,1,0)</f>
        <v>0</v>
      </c>
      <c r="CB311">
        <f>IF($CB$31&lt;=$CB$32,IF($A311&lt;=$CB$7,1,2),IF($A311&lt;=RUNG_BEDS_2,2,1))</f>
        <v>2</v>
      </c>
      <c r="CC311" s="5">
        <f>MIN(1,MAX(0,$CB$26-($A311-1)))</f>
        <v>0</v>
      </c>
      <c r="CD311" s="5">
        <f>$CB$25*(CC311+(1-CC311)*$CB$16)</f>
        <v>0.0</v>
      </c>
      <c r="CE311" s="13">
        <f>CD311*($CB$6+ACUTE_MARGIN)</f>
        <v>0.0</v>
      </c>
      <c r="CF311" s="13">
        <f>IF(CB311=1,$CB$31,$CB$32)</f>
        <v>160718.36940738867</v>
      </c>
      <c r="CG311" s="13">
        <f>CE311-CF311</f>
        <v>-160718.36940738867</v>
      </c>
      <c r="CH311" s="13">
        <f>CH310+CG311</f>
        <v>1585182.4033876038</v>
      </c>
      <c r="CI311">
        <f>IF(CH311=MAX($CH$83:$CH$483),$A311,0)</f>
        <v>0</v>
      </c>
      <c r="CJ311">
        <f>IF(CE311&lt;CF311,$A311,B_MAX+1)</f>
        <v>228</v>
      </c>
      <c r="CK311" s="13">
        <f>IF(CB311=1,$CB$35,$CB$36)</f>
        <v>1560.1194073886782</v>
      </c>
      <c r="CL311" s="13">
        <f>OCC_DAYS*$CB$41*R_NF_2023-CD311*MCD_SHARE_FREED*R_WAIT_2023</f>
        <v>151980.48282209205</v>
      </c>
      <c r="CM311">
        <f>IF($A311&lt;=$CB$45,1,0)</f>
        <v>0</v>
      </c>
      <c r="DB311">
        <f>IF($DB$31&lt;=$DB$32,IF($A311&lt;=$DB$7,1,2),IF($A311&lt;=RUNG_BEDS_2,2,1))</f>
        <v>1</v>
      </c>
      <c r="DC311" s="5">
        <f>MIN(1,MAX(0,$DB$26-($A311-1)))</f>
        <v>0</v>
      </c>
      <c r="DD311" s="5">
        <f>$DB$25*(DC311+(1-DC311)*$DB$16)</f>
        <v>0.0</v>
      </c>
      <c r="DE311" s="13">
        <f>DD311*($DB$6+ACUTE_MARGIN)</f>
        <v>0.0</v>
      </c>
      <c r="DF311" s="13">
        <f>IF(DB311=1,$DB$31,$DB$32)</f>
        <v>152394.16214437486</v>
      </c>
      <c r="DG311" s="13">
        <f>DE311-DF311</f>
        <v>-152394.16214437486</v>
      </c>
      <c r="DH311" s="13">
        <f>DH310+DG311</f>
        <v>3483101.6593548683</v>
      </c>
      <c r="DI311">
        <f>IF(DH311=MAX($DH$83:$DH$483),$A311,0)</f>
        <v>0</v>
      </c>
      <c r="DJ311">
        <f>IF(DE311&lt;DF311,$A311,B_MAX+1)</f>
        <v>228</v>
      </c>
      <c r="DK311" s="13">
        <f>IF(DB311=1,$DB$35,$DB$36)</f>
        <v>0</v>
      </c>
      <c r="DL311" s="13">
        <f>OCC_DAYS*$DB$41*R_NF_2023-DD311*MCD_SHARE_FREED*R_WAIT_2023</f>
        <v>151980.48282209205</v>
      </c>
      <c r="DM311">
        <f>IF($A311&lt;=$DB$45,1,0)</f>
        <v>0</v>
      </c>
      <c r="EB311">
        <f>IF($EB$31&lt;=$EB$32,IF($A311&lt;=$EB$7,1,2),IF($A311&lt;=RUNG_BEDS_2,2,1))</f>
        <v>1</v>
      </c>
      <c r="EC311" s="5">
        <f>MIN(1,MAX(0,$EB$26-($A311-1)))</f>
        <v>0</v>
      </c>
      <c r="ED311" s="5">
        <f>$EB$25*(EC311+(1-EC311)*$EB$16)</f>
        <v>0.0</v>
      </c>
      <c r="EE311" s="13">
        <f>ED311*($EB$6+ACUTE_MARGIN)</f>
        <v>0.0</v>
      </c>
      <c r="EF311" s="13">
        <f>IF(EB311=1,$EB$31,$EB$32)</f>
        <v>152394.16214437486</v>
      </c>
      <c r="EG311" s="13">
        <f>EE311-EF311</f>
        <v>-152394.16214437486</v>
      </c>
      <c r="EH311" s="13">
        <f>EH310+EG311</f>
        <v>3483101.6593548683</v>
      </c>
      <c r="EI311">
        <f>IF(EH311=MAX($EH$83:$EH$483),$A311,0)</f>
        <v>0</v>
      </c>
      <c r="EJ311">
        <f>IF(EE311&lt;EF311,$A311,B_MAX+1)</f>
        <v>228</v>
      </c>
      <c r="EK311" s="13">
        <f>IF(EB311=1,$EB$35,$EB$36)</f>
        <v>0</v>
      </c>
      <c r="EL311" s="13">
        <f>OCC_DAYS*$EB$41*R_NF_2023-ED311*MCD_SHARE_FREED*R_WAIT_2023</f>
        <v>50660.16094069735</v>
      </c>
      <c r="EM311">
        <f>IF($A311&lt;=$EB$45,1,0)</f>
        <v>0</v>
      </c>
      <c r="FB311">
        <f>IF($FB$31&lt;=$FB$32,IF($A311&lt;=$FB$7,1,2),IF($A311&lt;=RUNG_BEDS_2,2,1))</f>
        <v>1</v>
      </c>
      <c r="FC311" s="5">
        <f>MIN(1,MAX(0,$FB$26-($A311-1)))</f>
        <v>0</v>
      </c>
      <c r="FD311" s="5">
        <f>$FB$25*(FC311+(1-FC311)*$FB$16)</f>
        <v>0.0</v>
      </c>
      <c r="FE311" s="13">
        <f>FD311*($FB$6+ACUTE_MARGIN)</f>
        <v>0.0</v>
      </c>
      <c r="FF311" s="13">
        <f>IF(FB311=1,$FB$31,$FB$32)</f>
        <v>156636.04979437485</v>
      </c>
      <c r="FG311" s="13">
        <f>FE311-FF311</f>
        <v>-156636.04979437485</v>
      </c>
      <c r="FH311" s="13">
        <f>FH310+FG311</f>
        <v>2515951.2751547545</v>
      </c>
      <c r="FI311">
        <f>IF(FH311=MAX($FH$83:$FH$483),$A311,0)</f>
        <v>0</v>
      </c>
      <c r="FJ311">
        <f>IF(FE311&lt;FF311,$A311,B_MAX+1)</f>
        <v>228</v>
      </c>
      <c r="FK311" s="13">
        <f>IF(FB311=1,$FB$35,$FB$36)</f>
        <v>0</v>
      </c>
      <c r="FL311" s="13">
        <f>OCC_DAYS*$FB$41*R_NF_2023-FD311*MCD_SHARE_FREED*R_WAIT_2023</f>
        <v>151980.48282209205</v>
      </c>
      <c r="FM311">
        <f>IF($A311&lt;=$FB$45,1,0)</f>
        <v>0</v>
      </c>
      <c r="GB311">
        <f>IF($GB$31&lt;=$GB$32,IF($A311&lt;=$GB$7,1,2),IF($A311&lt;=RUNG_BEDS_2,2,1))</f>
        <v>1</v>
      </c>
      <c r="GC311" s="5">
        <f>MIN(1,MAX(0,$GB$26-($A311-1)))</f>
        <v>0</v>
      </c>
      <c r="GD311" s="5">
        <f>$GB$25*(GC311+(1-GC311)*$GB$16)</f>
        <v>0.0</v>
      </c>
      <c r="GE311" s="13">
        <f>GD311*($GB$6+ACUTE_MARGIN)</f>
        <v>0.0</v>
      </c>
      <c r="GF311" s="13">
        <f>IF(GB311=1,$GB$31,$GB$32)</f>
        <v>152394.16214437486</v>
      </c>
      <c r="GG311" s="13">
        <f>GE311-GF311</f>
        <v>-152394.16214437486</v>
      </c>
      <c r="GH311" s="13">
        <f>GH310+GG311</f>
        <v>3483101.6593548683</v>
      </c>
      <c r="GI311">
        <f>IF(GH311=MAX($GH$83:$GH$483),$A311,0)</f>
        <v>0</v>
      </c>
      <c r="GJ311">
        <f>IF(GE311&lt;GF311,$A311,B_MAX+1)</f>
        <v>228</v>
      </c>
      <c r="GK311" s="13">
        <f>IF(GB311=1,$GB$35,$GB$36)</f>
        <v>0</v>
      </c>
      <c r="GL311" s="13">
        <f>OCC_DAYS*$GB$41*R_NF_2023-GD311*MCD_SHARE_FREED*R_WAIT_2023</f>
        <v>151980.48282209205</v>
      </c>
      <c r="GM311">
        <f>IF($A311&lt;=$GB$45,1,0)</f>
        <v>0</v>
      </c>
      <c r="HB311">
        <f>IF($HB$31&lt;=$HB$32,IF($A311&lt;=$HB$7,1,2),IF($A311&lt;=RUNG_BEDS_2,2,1))</f>
        <v>1</v>
      </c>
      <c r="HC311" s="5">
        <f>MIN(1,MAX(0,$HB$26-($A311-1)))</f>
        <v>0</v>
      </c>
      <c r="HD311" s="5">
        <f>$HB$25*(HC311+(1-HC311)*$HB$16)</f>
        <v>0.0</v>
      </c>
      <c r="HE311" s="13">
        <f>HD311*($HB$6+ACUTE_MARGIN)</f>
        <v>0.0</v>
      </c>
      <c r="HF311" s="13">
        <f>IF(HB311=1,$HB$31,$HB$32)</f>
        <v>152456.2970814058</v>
      </c>
      <c r="HG311" s="13">
        <f>HE311-HF311</f>
        <v>-152456.2970814058</v>
      </c>
      <c r="HH311" s="13">
        <f>HH310+HG311</f>
        <v>3468934.893711773</v>
      </c>
      <c r="HI311">
        <f>IF(HH311=MAX($HH$83:$HH$483),$A311,0)</f>
        <v>0</v>
      </c>
      <c r="HJ311">
        <f>IF(HE311&lt;HF311,$A311,B_MAX+1)</f>
        <v>228</v>
      </c>
      <c r="HK311" s="13">
        <f>IF(HB311=1,$HB$35,$HB$36)</f>
        <v>0</v>
      </c>
      <c r="HL311" s="13">
        <f>OCC_DAYS*$HB$41*R_NF_2023-HD311*MCD_SHARE_FREED*R_WAIT_2023</f>
        <v>151980.48282209205</v>
      </c>
      <c r="HM311">
        <f>IF($A311&lt;=$HB$45,1,0)</f>
        <v>0</v>
      </c>
      <c r="IB311">
        <f>IF($IB$31&lt;=$IB$32,IF($A311&lt;=$IB$7,1,2),IF($A311&lt;=RUNG_BEDS_2,2,1))</f>
        <v>1</v>
      </c>
      <c r="IC311" s="5">
        <f>MIN(1,MAX(0,$IB$26-($A311-1)))</f>
        <v>0</v>
      </c>
      <c r="ID311" s="5">
        <f>$IB$25*(IC311+(1-IC311)*$IB$16)</f>
        <v>0.0</v>
      </c>
      <c r="IE311" s="13">
        <f>ID311*($IB$6+ACUTE_MARGIN)</f>
        <v>0.0</v>
      </c>
      <c r="IF311" s="13">
        <f>IF(IB311=1,$IB$31,$IB$32)</f>
        <v>152734.9994534971</v>
      </c>
      <c r="IG311" s="13">
        <f>IE311-IF311</f>
        <v>-152734.9994534971</v>
      </c>
      <c r="IH311" s="13">
        <f>IH310+IG311</f>
        <v>3405390.7528749043</v>
      </c>
      <c r="II311">
        <f>IF(IH311=MAX($IH$83:$IH$483),$A311,0)</f>
        <v>0</v>
      </c>
      <c r="IJ311">
        <f>IF(IE311&lt;IF311,$A311,B_MAX+1)</f>
        <v>228</v>
      </c>
      <c r="IK311" s="13">
        <f>IF(IB311=1,$IB$35,$IB$36)</f>
        <v>0</v>
      </c>
      <c r="IL311" s="13">
        <f>OCC_DAYS*$IB$41*R_NF_2023-ID311*MCD_SHARE_FREED*R_WAIT_2023</f>
        <v>151980.48282209205</v>
      </c>
      <c r="IM311">
        <f>IF($A311&lt;=$IB$45,1,0)</f>
        <v>0</v>
      </c>
      <c r="JB311">
        <f>IF($JB$31&lt;=$JB$32,IF($A311&lt;=$JB$7,1,2),IF($A311&lt;=RUNG_BEDS_2,2,1))</f>
        <v>1</v>
      </c>
      <c r="JC311" s="5">
        <f>MIN(1,MAX(0,$JB$26-($A311-1)))</f>
        <v>0</v>
      </c>
      <c r="JD311" s="5">
        <f>$JB$25*(JC311+(1-JC311)*$JB$16)</f>
        <v>0.0</v>
      </c>
      <c r="JE311" s="13">
        <f>JD311*($JB$6+ACUTE_MARGIN)</f>
        <v>0.0</v>
      </c>
      <c r="JF311" s="13">
        <f>IF(JB311=1,$JB$31,$JB$32)</f>
        <v>152394.16214437486</v>
      </c>
      <c r="JG311" s="13">
        <f>JE311-JF311</f>
        <v>-152394.16214437486</v>
      </c>
      <c r="JH311" s="13">
        <f>JH310+JG311</f>
        <v>3483101.6593548683</v>
      </c>
      <c r="JI311">
        <f>IF(JH311=MAX($JH$83:$JH$483),$A311,0)</f>
        <v>0</v>
      </c>
      <c r="JJ311">
        <f>IF(JE311&lt;JF311,$A311,B_MAX+1)</f>
        <v>228</v>
      </c>
      <c r="JK311" s="13">
        <f>IF(JB311=1,$JB$35,$JB$36)</f>
        <v>0</v>
      </c>
      <c r="JL311" s="13">
        <f>OCC_DAYS*$JB$41*R_NF_2023-JD311*MCD_SHARE_FREED*R_WAIT_2023</f>
        <v>151980.48282209205</v>
      </c>
      <c r="JM311">
        <f>IF($A311&lt;=$JB$45,1,0)</f>
        <v>0</v>
      </c>
      <c r="KB311">
        <f>IF($KB$31&lt;=$KB$32,IF($A311&lt;=$KB$7,1,2),IF($A311&lt;=RUNG_BEDS_2,2,1))</f>
        <v>1</v>
      </c>
      <c r="KC311" s="5">
        <f>MIN(1,MAX(0,$KB$26-($A311-1)))</f>
        <v>1</v>
      </c>
      <c r="KD311" s="5">
        <f>$KB$25*(KC311+(1-KC311)*$KB$16)</f>
        <v>126.02661357340719</v>
      </c>
      <c r="KE311" s="13">
        <f>KD311*($KB$6+ACUTE_MARGIN)</f>
        <v>127286.87970914126</v>
      </c>
      <c r="KF311" s="13">
        <f>IF(KB311=1,$KB$31,$KB$32)</f>
        <v>152394.16214437486</v>
      </c>
      <c r="KG311" s="13">
        <f>KE311-KF311</f>
        <v>-25107.282435233603</v>
      </c>
      <c r="KH311" s="13">
        <f>KH310+KG311</f>
        <v>-5724460.39523328</v>
      </c>
      <c r="KI311">
        <f>IF(KH311=MAX($KH$83:$KH$483),$A311,0)</f>
        <v>0</v>
      </c>
      <c r="KJ311">
        <f>IF(KE311&lt;KF311,$A311,B_MAX+1)</f>
        <v>228</v>
      </c>
      <c r="KK311" s="13">
        <f>IF(KB311=1,$KB$35,$KB$36)</f>
        <v>0</v>
      </c>
      <c r="KL311" s="13">
        <f>OCC_DAYS*$KB$41*R_NF_2023-KD311*MCD_SHARE_FREED*R_WAIT_2023</f>
        <v>94673.82103225985</v>
      </c>
      <c r="KM311">
        <f>IF($A311&lt;=$KB$45,1,0)</f>
        <v>0</v>
      </c>
      <c r="LB311">
        <f>IF($LB$31&lt;=$LB$32,IF($A311&lt;=$LB$7,1,2),IF($A311&lt;=RUNG_BEDS_2,2,1))</f>
        <v>1</v>
      </c>
      <c r="LC311" s="5">
        <f>MIN(1,MAX(0,$LB$26-($A311-1)))</f>
        <v>1</v>
      </c>
      <c r="LD311" s="5">
        <f>$LB$25*(LC311+(1-LC311)*$LB$16)</f>
        <v>84.01774238227146</v>
      </c>
      <c r="LE311" s="13">
        <f>LD311*($LB$6+ACUTE_MARGIN)</f>
        <v>84857.91980609419</v>
      </c>
      <c r="LF311" s="13">
        <f>IF(LB311=1,$LB$31,$LB$32)</f>
        <v>152394.16214437486</v>
      </c>
      <c r="LG311" s="13">
        <f>LE311-LF311</f>
        <v>-67536.24233828067</v>
      </c>
      <c r="LH311" s="13">
        <f>LH310+LG311</f>
        <v>-15398263.253128067</v>
      </c>
      <c r="LI311">
        <f>IF(LH311=MAX($LH$83:$LH$483),$A311,0)</f>
        <v>0</v>
      </c>
      <c r="LJ311">
        <f>IF(LE311&lt;LF311,$A311,B_MAX+1)</f>
        <v>228</v>
      </c>
      <c r="LK311" s="13">
        <f>IF(LB311=1,$LB$35,$LB$36)</f>
        <v>0</v>
      </c>
      <c r="LL311" s="13">
        <f>OCC_DAYS*$LB$41*R_NF_2023-LD311*MCD_SHARE_FREED*R_WAIT_2023</f>
        <v>113776.04162887059</v>
      </c>
      <c r="LM311">
        <f>IF($A311&lt;=$LB$45,1,0)</f>
        <v>0</v>
      </c>
      <c r="MB311">
        <f>IF($MB$31&lt;=$MB$32,IF($A311&lt;=$MB$7,1,2),IF($A311&lt;=RUNG_BEDS_2,2,1))</f>
        <v>1</v>
      </c>
      <c r="MC311" s="5">
        <f>MIN(1,MAX(0,$MB$26-($A311-1)))</f>
        <v>0</v>
      </c>
      <c r="MD311" s="5">
        <f>$MB$25*(MC311+(1-MC311)*$MB$16)</f>
        <v>0.0</v>
      </c>
      <c r="ME311" s="13">
        <f>MD311*($MB$6+ACUTE_MARGIN)</f>
        <v>0.0</v>
      </c>
      <c r="MF311" s="13">
        <f>IF(MB311=1,$MB$31,$MB$32)</f>
        <v>152394.16214437486</v>
      </c>
      <c r="MG311" s="13">
        <f>ME311-MF311</f>
        <v>-152394.16214437486</v>
      </c>
      <c r="MH311" s="13">
        <f>MH310+MG311</f>
        <v>-2404174.4024434616</v>
      </c>
      <c r="MI311">
        <f>IF(MH311=MAX($MH$83:$MH$483),$A311,0)</f>
        <v>0</v>
      </c>
      <c r="MJ311">
        <f>IF(ME311&lt;MF311,$A311,B_MAX+1)</f>
        <v>228</v>
      </c>
      <c r="MK311" s="13">
        <f>IF(MB311=1,$MB$35,$MB$36)</f>
        <v>0</v>
      </c>
      <c r="ML311" s="13">
        <f>OCC_DAYS*$MB$41*R_NF_2023-MD311*MCD_SHARE_FREED*R_WAIT_2023</f>
        <v>151980.48282209205</v>
      </c>
      <c r="MM311">
        <f>IF($A311&lt;=$MB$45,1,0)</f>
        <v>0</v>
      </c>
      <c r="NB311">
        <f>IF($NB$31&lt;=$NB$32,IF($A311&lt;=$NB$7,1,2),IF($A311&lt;=RUNG_BEDS_2,2,1))</f>
        <v>1</v>
      </c>
      <c r="NC311" s="5">
        <f>MIN(1,MAX(0,$NB$26-($A311-1)))</f>
        <v>0</v>
      </c>
      <c r="ND311" s="5">
        <f>$NB$25*(NC311+(1-NC311)*$NB$16)</f>
        <v>63.013306786703595</v>
      </c>
      <c r="NE311" s="13">
        <f>ND311*($NB$6+ACUTE_MARGIN)</f>
        <v>63643.43985457063</v>
      </c>
      <c r="NF311" s="13">
        <f>IF(NB311=1,$NB$31,$NB$32)</f>
        <v>152394.16214437486</v>
      </c>
      <c r="NG311" s="13">
        <f>NE311-NF311</f>
        <v>-88750.72228980422</v>
      </c>
      <c r="NH311" s="13">
        <f>NH310+NG311</f>
        <v>8436563.28912887</v>
      </c>
      <c r="NI311">
        <f>IF(NH311=MAX($NH$83:$NH$483),$A311,0)</f>
        <v>0</v>
      </c>
      <c r="NJ311">
        <f>IF(NE311&lt;NF311,$A311,B_MAX+1)</f>
        <v>228</v>
      </c>
      <c r="NK311" s="13">
        <f>IF(NB311=1,$NB$35,$NB$36)</f>
        <v>0</v>
      </c>
      <c r="NL311" s="13">
        <f>OCC_DAYS*$NB$41*R_NF_2023-ND311*MCD_SHARE_FREED*R_WAIT_2023</f>
        <v>123327.15192717595</v>
      </c>
      <c r="NM311">
        <f>IF($A311&lt;=$NB$45,1,0)</f>
        <v>0</v>
      </c>
      <c r="OB311">
        <f>IF($OB$31&lt;=$OB$32,IF($A311&lt;=$OB$7,1,2),IF($A311&lt;=RUNG_BEDS_2,2,1))</f>
        <v>1</v>
      </c>
      <c r="OC311" s="5">
        <f>MIN(1,MAX(0,$OB$26-($A311-1)))</f>
        <v>0</v>
      </c>
      <c r="OD311" s="5">
        <f>$OB$25*(OC311+(1-OC311)*$OB$16)</f>
        <v>126.02661357340719</v>
      </c>
      <c r="OE311" s="13">
        <f>OD311*($OB$6+ACUTE_MARGIN)</f>
        <v>127286.87970914126</v>
      </c>
      <c r="OF311" s="13">
        <f>IF(OB311=1,$OB$31,$OB$32)</f>
        <v>152394.16214437486</v>
      </c>
      <c r="OG311" s="13">
        <f>OE311-OF311</f>
        <v>-25107.282435233603</v>
      </c>
      <c r="OH311" s="13">
        <f>OH310+OG311</f>
        <v>13390024.918902986</v>
      </c>
      <c r="OI311">
        <f>IF(OH311=MAX($OH$83:$OH$483),$A311,0)</f>
        <v>0</v>
      </c>
      <c r="OJ311">
        <f>IF(OE311&lt;OF311,$A311,B_MAX+1)</f>
        <v>228</v>
      </c>
      <c r="OK311" s="13">
        <f>IF(OB311=1,$OB$35,$OB$36)</f>
        <v>0</v>
      </c>
      <c r="OL311" s="13">
        <f>OCC_DAYS*$OB$41*R_NF_2023-OD311*MCD_SHARE_FREED*R_WAIT_2023</f>
        <v>94673.82103225985</v>
      </c>
      <c r="OM311">
        <f>IF($A311&lt;=$OB$45,1,0)</f>
        <v>0</v>
      </c>
    </row>
    <row r="312">
      <c r="A312" t="n">
        <v>229</v>
      </c>
      <c r="B312">
        <f>IF($B$31&lt;=$B$32,IF($A312&lt;=$B$7,1,2),IF($A312&lt;=RUNG_BEDS_2,2,1))</f>
        <v>1</v>
      </c>
      <c r="C312" s="5">
        <f>MIN(1,MAX(0,$B$26-($A312-1)))</f>
        <v>0</v>
      </c>
      <c r="D312" s="5">
        <f>$B$25*(C312+(1-C312)*$B$16)</f>
        <v>0.0</v>
      </c>
      <c r="E312" s="13">
        <f>D312*($B$6+ACUTE_MARGIN)</f>
        <v>0.0</v>
      </c>
      <c r="F312" s="13">
        <f>IF(B312=1,$B$31,$B$32)</f>
        <v>152394.16214437486</v>
      </c>
      <c r="G312" s="13">
        <f>E312-F312</f>
        <v>-152394.16214437486</v>
      </c>
      <c r="H312" s="13">
        <f>H311+G312</f>
        <v>3330707.4972104933</v>
      </c>
      <c r="I312">
        <f>IF(H312=MAX($H$83:$H$483),$A312,0)</f>
        <v>0</v>
      </c>
      <c r="J312">
        <f>IF(E312&lt;F312,$A312,B_MAX+1)</f>
        <v>229</v>
      </c>
      <c r="K312" s="13">
        <f>IF(B312=1,$B$35,$B$36)</f>
        <v>0</v>
      </c>
      <c r="L312" s="13">
        <f>OCC_DAYS*$B$41*R_NF_2023-D312*MCD_SHARE_FREED*R_WAIT_2023</f>
        <v>151980.48282209205</v>
      </c>
      <c r="M312">
        <f>IF($A312&lt;=$B$45,1,0)</f>
        <v>0</v>
      </c>
      <c r="AB312">
        <f>IF($AB$31&lt;=$AB$32,IF($A312&lt;=$AB$7,1,2),IF($A312&lt;=RUNG_BEDS_2,2,1))</f>
        <v>1</v>
      </c>
      <c r="AC312" s="5">
        <f>MIN(1,MAX(0,$AB$26-($A312-1)))</f>
        <v>0</v>
      </c>
      <c r="AD312" s="5">
        <f>$AB$25*(AC312+(1-AC312)*$AB$16)</f>
        <v>0.0</v>
      </c>
      <c r="AE312" s="13">
        <f>AD312*($AB$6+ACUTE_MARGIN)</f>
        <v>0.0</v>
      </c>
      <c r="AF312" s="13">
        <f>IF(AB312=1,$AB$31,$AB$32)</f>
        <v>152394.16214437486</v>
      </c>
      <c r="AG312" s="13">
        <f>AE312-AF312</f>
        <v>-152394.16214437486</v>
      </c>
      <c r="AH312" s="13">
        <f>AH311+AG312</f>
        <v>-14080506.848339306</v>
      </c>
      <c r="AI312">
        <f>IF(AH312=MAX($AH$83:$AH$483),$A312,0)</f>
        <v>0</v>
      </c>
      <c r="AJ312">
        <f>IF(AE312&lt;AF312,$A312,B_MAX+1)</f>
        <v>229</v>
      </c>
      <c r="AK312" s="13">
        <f>IF(AB312=1,$AB$35,$AB$36)</f>
        <v>0</v>
      </c>
      <c r="AL312" s="13">
        <f>OCC_DAYS*$AB$41*R_NF_2023-AD312*MCD_SHARE_FREED*R_WAIT_2023</f>
        <v>151980.48282209205</v>
      </c>
      <c r="AM312">
        <f>IF($A312&lt;=$AB$45,1,0)</f>
        <v>0</v>
      </c>
      <c r="BB312">
        <f>IF($BB$31&lt;=$BB$32,IF($A312&lt;=$BB$7,1,2),IF($A312&lt;=RUNG_BEDS_2,2,1))</f>
        <v>1</v>
      </c>
      <c r="BC312" s="5">
        <f>MIN(1,MAX(0,$BB$26-($A312-1)))</f>
        <v>0</v>
      </c>
      <c r="BD312" s="5">
        <f>$BB$25*(BC312+(1-BC312)*$BB$16)</f>
        <v>0.0</v>
      </c>
      <c r="BE312" s="13">
        <f>BD312*($BB$6+ACUTE_MARGIN)</f>
        <v>0.0</v>
      </c>
      <c r="BF312" s="13">
        <f>IF(BB312=1,$BB$31,$BB$32)</f>
        <v>152394.16214437486</v>
      </c>
      <c r="BG312" s="13">
        <f>BE312-BF312</f>
        <v>-152394.16214437486</v>
      </c>
      <c r="BH312" s="13">
        <f>BH311+BG312</f>
        <v>20741921.842760187</v>
      </c>
      <c r="BI312">
        <f>IF(BH312=MAX($BH$83:$BH$483),$A312,0)</f>
        <v>0</v>
      </c>
      <c r="BJ312">
        <f>IF(BE312&lt;BF312,$A312,B_MAX+1)</f>
        <v>229</v>
      </c>
      <c r="BK312" s="13">
        <f>IF(BB312=1,$BB$35,$BB$36)</f>
        <v>0</v>
      </c>
      <c r="BL312" s="13">
        <f>OCC_DAYS*$BB$41*R_NF_2023-BD312*MCD_SHARE_FREED*R_WAIT_2023</f>
        <v>151980.48282209205</v>
      </c>
      <c r="BM312">
        <f>IF($A312&lt;=$BB$45,1,0)</f>
        <v>0</v>
      </c>
      <c r="CB312">
        <f>IF($CB$31&lt;=$CB$32,IF($A312&lt;=$CB$7,1,2),IF($A312&lt;=RUNG_BEDS_2,2,1))</f>
        <v>2</v>
      </c>
      <c r="CC312" s="5">
        <f>MIN(1,MAX(0,$CB$26-($A312-1)))</f>
        <v>0</v>
      </c>
      <c r="CD312" s="5">
        <f>$CB$25*(CC312+(1-CC312)*$CB$16)</f>
        <v>0.0</v>
      </c>
      <c r="CE312" s="13">
        <f>CD312*($CB$6+ACUTE_MARGIN)</f>
        <v>0.0</v>
      </c>
      <c r="CF312" s="13">
        <f>IF(CB312=1,$CB$31,$CB$32)</f>
        <v>160718.36940738867</v>
      </c>
      <c r="CG312" s="13">
        <f>CE312-CF312</f>
        <v>-160718.36940738867</v>
      </c>
      <c r="CH312" s="13">
        <f>CH311+CG312</f>
        <v>1424464.0339802152</v>
      </c>
      <c r="CI312">
        <f>IF(CH312=MAX($CH$83:$CH$483),$A312,0)</f>
        <v>0</v>
      </c>
      <c r="CJ312">
        <f>IF(CE312&lt;CF312,$A312,B_MAX+1)</f>
        <v>229</v>
      </c>
      <c r="CK312" s="13">
        <f>IF(CB312=1,$CB$35,$CB$36)</f>
        <v>1560.1194073886782</v>
      </c>
      <c r="CL312" s="13">
        <f>OCC_DAYS*$CB$41*R_NF_2023-CD312*MCD_SHARE_FREED*R_WAIT_2023</f>
        <v>151980.48282209205</v>
      </c>
      <c r="CM312">
        <f>IF($A312&lt;=$CB$45,1,0)</f>
        <v>0</v>
      </c>
      <c r="DB312">
        <f>IF($DB$31&lt;=$DB$32,IF($A312&lt;=$DB$7,1,2),IF($A312&lt;=RUNG_BEDS_2,2,1))</f>
        <v>1</v>
      </c>
      <c r="DC312" s="5">
        <f>MIN(1,MAX(0,$DB$26-($A312-1)))</f>
        <v>0</v>
      </c>
      <c r="DD312" s="5">
        <f>$DB$25*(DC312+(1-DC312)*$DB$16)</f>
        <v>0.0</v>
      </c>
      <c r="DE312" s="13">
        <f>DD312*($DB$6+ACUTE_MARGIN)</f>
        <v>0.0</v>
      </c>
      <c r="DF312" s="13">
        <f>IF(DB312=1,$DB$31,$DB$32)</f>
        <v>152394.16214437486</v>
      </c>
      <c r="DG312" s="13">
        <f>DE312-DF312</f>
        <v>-152394.16214437486</v>
      </c>
      <c r="DH312" s="13">
        <f>DH311+DG312</f>
        <v>3330707.4972104933</v>
      </c>
      <c r="DI312">
        <f>IF(DH312=MAX($DH$83:$DH$483),$A312,0)</f>
        <v>0</v>
      </c>
      <c r="DJ312">
        <f>IF(DE312&lt;DF312,$A312,B_MAX+1)</f>
        <v>229</v>
      </c>
      <c r="DK312" s="13">
        <f>IF(DB312=1,$DB$35,$DB$36)</f>
        <v>0</v>
      </c>
      <c r="DL312" s="13">
        <f>OCC_DAYS*$DB$41*R_NF_2023-DD312*MCD_SHARE_FREED*R_WAIT_2023</f>
        <v>151980.48282209205</v>
      </c>
      <c r="DM312">
        <f>IF($A312&lt;=$DB$45,1,0)</f>
        <v>0</v>
      </c>
      <c r="EB312">
        <f>IF($EB$31&lt;=$EB$32,IF($A312&lt;=$EB$7,1,2),IF($A312&lt;=RUNG_BEDS_2,2,1))</f>
        <v>1</v>
      </c>
      <c r="EC312" s="5">
        <f>MIN(1,MAX(0,$EB$26-($A312-1)))</f>
        <v>0</v>
      </c>
      <c r="ED312" s="5">
        <f>$EB$25*(EC312+(1-EC312)*$EB$16)</f>
        <v>0.0</v>
      </c>
      <c r="EE312" s="13">
        <f>ED312*($EB$6+ACUTE_MARGIN)</f>
        <v>0.0</v>
      </c>
      <c r="EF312" s="13">
        <f>IF(EB312=1,$EB$31,$EB$32)</f>
        <v>152394.16214437486</v>
      </c>
      <c r="EG312" s="13">
        <f>EE312-EF312</f>
        <v>-152394.16214437486</v>
      </c>
      <c r="EH312" s="13">
        <f>EH311+EG312</f>
        <v>3330707.4972104933</v>
      </c>
      <c r="EI312">
        <f>IF(EH312=MAX($EH$83:$EH$483),$A312,0)</f>
        <v>0</v>
      </c>
      <c r="EJ312">
        <f>IF(EE312&lt;EF312,$A312,B_MAX+1)</f>
        <v>229</v>
      </c>
      <c r="EK312" s="13">
        <f>IF(EB312=1,$EB$35,$EB$36)</f>
        <v>0</v>
      </c>
      <c r="EL312" s="13">
        <f>OCC_DAYS*$EB$41*R_NF_2023-ED312*MCD_SHARE_FREED*R_WAIT_2023</f>
        <v>50660.16094069735</v>
      </c>
      <c r="EM312">
        <f>IF($A312&lt;=$EB$45,1,0)</f>
        <v>0</v>
      </c>
      <c r="FB312">
        <f>IF($FB$31&lt;=$FB$32,IF($A312&lt;=$FB$7,1,2),IF($A312&lt;=RUNG_BEDS_2,2,1))</f>
        <v>1</v>
      </c>
      <c r="FC312" s="5">
        <f>MIN(1,MAX(0,$FB$26-($A312-1)))</f>
        <v>0</v>
      </c>
      <c r="FD312" s="5">
        <f>$FB$25*(FC312+(1-FC312)*$FB$16)</f>
        <v>0.0</v>
      </c>
      <c r="FE312" s="13">
        <f>FD312*($FB$6+ACUTE_MARGIN)</f>
        <v>0.0</v>
      </c>
      <c r="FF312" s="13">
        <f>IF(FB312=1,$FB$31,$FB$32)</f>
        <v>156636.04979437485</v>
      </c>
      <c r="FG312" s="13">
        <f>FE312-FF312</f>
        <v>-156636.04979437485</v>
      </c>
      <c r="FH312" s="13">
        <f>FH311+FG312</f>
        <v>2359315.2253603796</v>
      </c>
      <c r="FI312">
        <f>IF(FH312=MAX($FH$83:$FH$483),$A312,0)</f>
        <v>0</v>
      </c>
      <c r="FJ312">
        <f>IF(FE312&lt;FF312,$A312,B_MAX+1)</f>
        <v>229</v>
      </c>
      <c r="FK312" s="13">
        <f>IF(FB312=1,$FB$35,$FB$36)</f>
        <v>0</v>
      </c>
      <c r="FL312" s="13">
        <f>OCC_DAYS*$FB$41*R_NF_2023-FD312*MCD_SHARE_FREED*R_WAIT_2023</f>
        <v>151980.48282209205</v>
      </c>
      <c r="FM312">
        <f>IF($A312&lt;=$FB$45,1,0)</f>
        <v>0</v>
      </c>
      <c r="GB312">
        <f>IF($GB$31&lt;=$GB$32,IF($A312&lt;=$GB$7,1,2),IF($A312&lt;=RUNG_BEDS_2,2,1))</f>
        <v>1</v>
      </c>
      <c r="GC312" s="5">
        <f>MIN(1,MAX(0,$GB$26-($A312-1)))</f>
        <v>0</v>
      </c>
      <c r="GD312" s="5">
        <f>$GB$25*(GC312+(1-GC312)*$GB$16)</f>
        <v>0.0</v>
      </c>
      <c r="GE312" s="13">
        <f>GD312*($GB$6+ACUTE_MARGIN)</f>
        <v>0.0</v>
      </c>
      <c r="GF312" s="13">
        <f>IF(GB312=1,$GB$31,$GB$32)</f>
        <v>152394.16214437486</v>
      </c>
      <c r="GG312" s="13">
        <f>GE312-GF312</f>
        <v>-152394.16214437486</v>
      </c>
      <c r="GH312" s="13">
        <f>GH311+GG312</f>
        <v>3330707.4972104933</v>
      </c>
      <c r="GI312">
        <f>IF(GH312=MAX($GH$83:$GH$483),$A312,0)</f>
        <v>0</v>
      </c>
      <c r="GJ312">
        <f>IF(GE312&lt;GF312,$A312,B_MAX+1)</f>
        <v>229</v>
      </c>
      <c r="GK312" s="13">
        <f>IF(GB312=1,$GB$35,$GB$36)</f>
        <v>0</v>
      </c>
      <c r="GL312" s="13">
        <f>OCC_DAYS*$GB$41*R_NF_2023-GD312*MCD_SHARE_FREED*R_WAIT_2023</f>
        <v>151980.48282209205</v>
      </c>
      <c r="GM312">
        <f>IF($A312&lt;=$GB$45,1,0)</f>
        <v>0</v>
      </c>
      <c r="HB312">
        <f>IF($HB$31&lt;=$HB$32,IF($A312&lt;=$HB$7,1,2),IF($A312&lt;=RUNG_BEDS_2,2,1))</f>
        <v>1</v>
      </c>
      <c r="HC312" s="5">
        <f>MIN(1,MAX(0,$HB$26-($A312-1)))</f>
        <v>0</v>
      </c>
      <c r="HD312" s="5">
        <f>$HB$25*(HC312+(1-HC312)*$HB$16)</f>
        <v>0.0</v>
      </c>
      <c r="HE312" s="13">
        <f>HD312*($HB$6+ACUTE_MARGIN)</f>
        <v>0.0</v>
      </c>
      <c r="HF312" s="13">
        <f>IF(HB312=1,$HB$31,$HB$32)</f>
        <v>152456.2970814058</v>
      </c>
      <c r="HG312" s="13">
        <f>HE312-HF312</f>
        <v>-152456.2970814058</v>
      </c>
      <c r="HH312" s="13">
        <f>HH311+HG312</f>
        <v>3316478.5966303675</v>
      </c>
      <c r="HI312">
        <f>IF(HH312=MAX($HH$83:$HH$483),$A312,0)</f>
        <v>0</v>
      </c>
      <c r="HJ312">
        <f>IF(HE312&lt;HF312,$A312,B_MAX+1)</f>
        <v>229</v>
      </c>
      <c r="HK312" s="13">
        <f>IF(HB312=1,$HB$35,$HB$36)</f>
        <v>0</v>
      </c>
      <c r="HL312" s="13">
        <f>OCC_DAYS*$HB$41*R_NF_2023-HD312*MCD_SHARE_FREED*R_WAIT_2023</f>
        <v>151980.48282209205</v>
      </c>
      <c r="HM312">
        <f>IF($A312&lt;=$HB$45,1,0)</f>
        <v>0</v>
      </c>
      <c r="IB312">
        <f>IF($IB$31&lt;=$IB$32,IF($A312&lt;=$IB$7,1,2),IF($A312&lt;=RUNG_BEDS_2,2,1))</f>
        <v>1</v>
      </c>
      <c r="IC312" s="5">
        <f>MIN(1,MAX(0,$IB$26-($A312-1)))</f>
        <v>0</v>
      </c>
      <c r="ID312" s="5">
        <f>$IB$25*(IC312+(1-IC312)*$IB$16)</f>
        <v>0.0</v>
      </c>
      <c r="IE312" s="13">
        <f>ID312*($IB$6+ACUTE_MARGIN)</f>
        <v>0.0</v>
      </c>
      <c r="IF312" s="13">
        <f>IF(IB312=1,$IB$31,$IB$32)</f>
        <v>152734.9994534971</v>
      </c>
      <c r="IG312" s="13">
        <f>IE312-IF312</f>
        <v>-152734.9994534971</v>
      </c>
      <c r="IH312" s="13">
        <f>IH311+IG312</f>
        <v>3252655.753421407</v>
      </c>
      <c r="II312">
        <f>IF(IH312=MAX($IH$83:$IH$483),$A312,0)</f>
        <v>0</v>
      </c>
      <c r="IJ312">
        <f>IF(IE312&lt;IF312,$A312,B_MAX+1)</f>
        <v>229</v>
      </c>
      <c r="IK312" s="13">
        <f>IF(IB312=1,$IB$35,$IB$36)</f>
        <v>0</v>
      </c>
      <c r="IL312" s="13">
        <f>OCC_DAYS*$IB$41*R_NF_2023-ID312*MCD_SHARE_FREED*R_WAIT_2023</f>
        <v>151980.48282209205</v>
      </c>
      <c r="IM312">
        <f>IF($A312&lt;=$IB$45,1,0)</f>
        <v>0</v>
      </c>
      <c r="JB312">
        <f>IF($JB$31&lt;=$JB$32,IF($A312&lt;=$JB$7,1,2),IF($A312&lt;=RUNG_BEDS_2,2,1))</f>
        <v>1</v>
      </c>
      <c r="JC312" s="5">
        <f>MIN(1,MAX(0,$JB$26-($A312-1)))</f>
        <v>0</v>
      </c>
      <c r="JD312" s="5">
        <f>$JB$25*(JC312+(1-JC312)*$JB$16)</f>
        <v>0.0</v>
      </c>
      <c r="JE312" s="13">
        <f>JD312*($JB$6+ACUTE_MARGIN)</f>
        <v>0.0</v>
      </c>
      <c r="JF312" s="13">
        <f>IF(JB312=1,$JB$31,$JB$32)</f>
        <v>152394.16214437486</v>
      </c>
      <c r="JG312" s="13">
        <f>JE312-JF312</f>
        <v>-152394.16214437486</v>
      </c>
      <c r="JH312" s="13">
        <f>JH311+JG312</f>
        <v>3330707.4972104933</v>
      </c>
      <c r="JI312">
        <f>IF(JH312=MAX($JH$83:$JH$483),$A312,0)</f>
        <v>0</v>
      </c>
      <c r="JJ312">
        <f>IF(JE312&lt;JF312,$A312,B_MAX+1)</f>
        <v>229</v>
      </c>
      <c r="JK312" s="13">
        <f>IF(JB312=1,$JB$35,$JB$36)</f>
        <v>0</v>
      </c>
      <c r="JL312" s="13">
        <f>OCC_DAYS*$JB$41*R_NF_2023-JD312*MCD_SHARE_FREED*R_WAIT_2023</f>
        <v>151980.48282209205</v>
      </c>
      <c r="JM312">
        <f>IF($A312&lt;=$JB$45,1,0)</f>
        <v>0</v>
      </c>
      <c r="KB312">
        <f>IF($KB$31&lt;=$KB$32,IF($A312&lt;=$KB$7,1,2),IF($A312&lt;=RUNG_BEDS_2,2,1))</f>
        <v>1</v>
      </c>
      <c r="KC312" s="5">
        <f>MIN(1,MAX(0,$KB$26-($A312-1)))</f>
        <v>1</v>
      </c>
      <c r="KD312" s="5">
        <f>$KB$25*(KC312+(1-KC312)*$KB$16)</f>
        <v>126.02661357340719</v>
      </c>
      <c r="KE312" s="13">
        <f>KD312*($KB$6+ACUTE_MARGIN)</f>
        <v>127286.87970914126</v>
      </c>
      <c r="KF312" s="13">
        <f>IF(KB312=1,$KB$31,$KB$32)</f>
        <v>152394.16214437486</v>
      </c>
      <c r="KG312" s="13">
        <f>KE312-KF312</f>
        <v>-25107.282435233603</v>
      </c>
      <c r="KH312" s="13">
        <f>KH311+KG312</f>
        <v>-5749567.677668514</v>
      </c>
      <c r="KI312">
        <f>IF(KH312=MAX($KH$83:$KH$483),$A312,0)</f>
        <v>0</v>
      </c>
      <c r="KJ312">
        <f>IF(KE312&lt;KF312,$A312,B_MAX+1)</f>
        <v>229</v>
      </c>
      <c r="KK312" s="13">
        <f>IF(KB312=1,$KB$35,$KB$36)</f>
        <v>0</v>
      </c>
      <c r="KL312" s="13">
        <f>OCC_DAYS*$KB$41*R_NF_2023-KD312*MCD_SHARE_FREED*R_WAIT_2023</f>
        <v>94673.82103225985</v>
      </c>
      <c r="KM312">
        <f>IF($A312&lt;=$KB$45,1,0)</f>
        <v>0</v>
      </c>
      <c r="LB312">
        <f>IF($LB$31&lt;=$LB$32,IF($A312&lt;=$LB$7,1,2),IF($A312&lt;=RUNG_BEDS_2,2,1))</f>
        <v>1</v>
      </c>
      <c r="LC312" s="5">
        <f>MIN(1,MAX(0,$LB$26-($A312-1)))</f>
        <v>1</v>
      </c>
      <c r="LD312" s="5">
        <f>$LB$25*(LC312+(1-LC312)*$LB$16)</f>
        <v>84.01774238227146</v>
      </c>
      <c r="LE312" s="13">
        <f>LD312*($LB$6+ACUTE_MARGIN)</f>
        <v>84857.91980609419</v>
      </c>
      <c r="LF312" s="13">
        <f>IF(LB312=1,$LB$31,$LB$32)</f>
        <v>152394.16214437486</v>
      </c>
      <c r="LG312" s="13">
        <f>LE312-LF312</f>
        <v>-67536.24233828067</v>
      </c>
      <c r="LH312" s="13">
        <f>LH311+LG312</f>
        <v>-15465799.495466348</v>
      </c>
      <c r="LI312">
        <f>IF(LH312=MAX($LH$83:$LH$483),$A312,0)</f>
        <v>0</v>
      </c>
      <c r="LJ312">
        <f>IF(LE312&lt;LF312,$A312,B_MAX+1)</f>
        <v>229</v>
      </c>
      <c r="LK312" s="13">
        <f>IF(LB312=1,$LB$35,$LB$36)</f>
        <v>0</v>
      </c>
      <c r="LL312" s="13">
        <f>OCC_DAYS*$LB$41*R_NF_2023-LD312*MCD_SHARE_FREED*R_WAIT_2023</f>
        <v>113776.04162887059</v>
      </c>
      <c r="LM312">
        <f>IF($A312&lt;=$LB$45,1,0)</f>
        <v>0</v>
      </c>
      <c r="MB312">
        <f>IF($MB$31&lt;=$MB$32,IF($A312&lt;=$MB$7,1,2),IF($A312&lt;=RUNG_BEDS_2,2,1))</f>
        <v>1</v>
      </c>
      <c r="MC312" s="5">
        <f>MIN(1,MAX(0,$MB$26-($A312-1)))</f>
        <v>0</v>
      </c>
      <c r="MD312" s="5">
        <f>$MB$25*(MC312+(1-MC312)*$MB$16)</f>
        <v>0.0</v>
      </c>
      <c r="ME312" s="13">
        <f>MD312*($MB$6+ACUTE_MARGIN)</f>
        <v>0.0</v>
      </c>
      <c r="MF312" s="13">
        <f>IF(MB312=1,$MB$31,$MB$32)</f>
        <v>152394.16214437486</v>
      </c>
      <c r="MG312" s="13">
        <f>ME312-MF312</f>
        <v>-152394.16214437486</v>
      </c>
      <c r="MH312" s="13">
        <f>MH311+MG312</f>
        <v>-2556568.5645878366</v>
      </c>
      <c r="MI312">
        <f>IF(MH312=MAX($MH$83:$MH$483),$A312,0)</f>
        <v>0</v>
      </c>
      <c r="MJ312">
        <f>IF(ME312&lt;MF312,$A312,B_MAX+1)</f>
        <v>229</v>
      </c>
      <c r="MK312" s="13">
        <f>IF(MB312=1,$MB$35,$MB$36)</f>
        <v>0</v>
      </c>
      <c r="ML312" s="13">
        <f>OCC_DAYS*$MB$41*R_NF_2023-MD312*MCD_SHARE_FREED*R_WAIT_2023</f>
        <v>151980.48282209205</v>
      </c>
      <c r="MM312">
        <f>IF($A312&lt;=$MB$45,1,0)</f>
        <v>0</v>
      </c>
      <c r="NB312">
        <f>IF($NB$31&lt;=$NB$32,IF($A312&lt;=$NB$7,1,2),IF($A312&lt;=RUNG_BEDS_2,2,1))</f>
        <v>1</v>
      </c>
      <c r="NC312" s="5">
        <f>MIN(1,MAX(0,$NB$26-($A312-1)))</f>
        <v>0</v>
      </c>
      <c r="ND312" s="5">
        <f>$NB$25*(NC312+(1-NC312)*$NB$16)</f>
        <v>63.013306786703595</v>
      </c>
      <c r="NE312" s="13">
        <f>ND312*($NB$6+ACUTE_MARGIN)</f>
        <v>63643.43985457063</v>
      </c>
      <c r="NF312" s="13">
        <f>IF(NB312=1,$NB$31,$NB$32)</f>
        <v>152394.16214437486</v>
      </c>
      <c r="NG312" s="13">
        <f>NE312-NF312</f>
        <v>-88750.72228980422</v>
      </c>
      <c r="NH312" s="13">
        <f>NH311+NG312</f>
        <v>8347812.566839065</v>
      </c>
      <c r="NI312">
        <f>IF(NH312=MAX($NH$83:$NH$483),$A312,0)</f>
        <v>0</v>
      </c>
      <c r="NJ312">
        <f>IF(NE312&lt;NF312,$A312,B_MAX+1)</f>
        <v>229</v>
      </c>
      <c r="NK312" s="13">
        <f>IF(NB312=1,$NB$35,$NB$36)</f>
        <v>0</v>
      </c>
      <c r="NL312" s="13">
        <f>OCC_DAYS*$NB$41*R_NF_2023-ND312*MCD_SHARE_FREED*R_WAIT_2023</f>
        <v>123327.15192717595</v>
      </c>
      <c r="NM312">
        <f>IF($A312&lt;=$NB$45,1,0)</f>
        <v>0</v>
      </c>
      <c r="OB312">
        <f>IF($OB$31&lt;=$OB$32,IF($A312&lt;=$OB$7,1,2),IF($A312&lt;=RUNG_BEDS_2,2,1))</f>
        <v>1</v>
      </c>
      <c r="OC312" s="5">
        <f>MIN(1,MAX(0,$OB$26-($A312-1)))</f>
        <v>0</v>
      </c>
      <c r="OD312" s="5">
        <f>$OB$25*(OC312+(1-OC312)*$OB$16)</f>
        <v>126.02661357340719</v>
      </c>
      <c r="OE312" s="13">
        <f>OD312*($OB$6+ACUTE_MARGIN)</f>
        <v>127286.87970914126</v>
      </c>
      <c r="OF312" s="13">
        <f>IF(OB312=1,$OB$31,$OB$32)</f>
        <v>152394.16214437486</v>
      </c>
      <c r="OG312" s="13">
        <f>OE312-OF312</f>
        <v>-25107.282435233603</v>
      </c>
      <c r="OH312" s="13">
        <f>OH311+OG312</f>
        <v>13364917.636467753</v>
      </c>
      <c r="OI312">
        <f>IF(OH312=MAX($OH$83:$OH$483),$A312,0)</f>
        <v>0</v>
      </c>
      <c r="OJ312">
        <f>IF(OE312&lt;OF312,$A312,B_MAX+1)</f>
        <v>229</v>
      </c>
      <c r="OK312" s="13">
        <f>IF(OB312=1,$OB$35,$OB$36)</f>
        <v>0</v>
      </c>
      <c r="OL312" s="13">
        <f>OCC_DAYS*$OB$41*R_NF_2023-OD312*MCD_SHARE_FREED*R_WAIT_2023</f>
        <v>94673.82103225985</v>
      </c>
      <c r="OM312">
        <f>IF($A312&lt;=$OB$45,1,0)</f>
        <v>0</v>
      </c>
    </row>
    <row r="313">
      <c r="A313" t="n">
        <v>230</v>
      </c>
      <c r="B313">
        <f>IF($B$31&lt;=$B$32,IF($A313&lt;=$B$7,1,2),IF($A313&lt;=RUNG_BEDS_2,2,1))</f>
        <v>1</v>
      </c>
      <c r="C313" s="5">
        <f>MIN(1,MAX(0,$B$26-($A313-1)))</f>
        <v>0</v>
      </c>
      <c r="D313" s="5">
        <f>$B$25*(C313+(1-C313)*$B$16)</f>
        <v>0.0</v>
      </c>
      <c r="E313" s="13">
        <f>D313*($B$6+ACUTE_MARGIN)</f>
        <v>0.0</v>
      </c>
      <c r="F313" s="13">
        <f>IF(B313=1,$B$31,$B$32)</f>
        <v>152394.16214437486</v>
      </c>
      <c r="G313" s="13">
        <f>E313-F313</f>
        <v>-152394.16214437486</v>
      </c>
      <c r="H313" s="13">
        <f>H312+G313</f>
        <v>3178313.3350661183</v>
      </c>
      <c r="I313">
        <f>IF(H313=MAX($H$83:$H$483),$A313,0)</f>
        <v>0</v>
      </c>
      <c r="J313">
        <f>IF(E313&lt;F313,$A313,B_MAX+1)</f>
        <v>230</v>
      </c>
      <c r="K313" s="13">
        <f>IF(B313=1,$B$35,$B$36)</f>
        <v>0</v>
      </c>
      <c r="L313" s="13">
        <f>OCC_DAYS*$B$41*R_NF_2023-D313*MCD_SHARE_FREED*R_WAIT_2023</f>
        <v>151980.48282209205</v>
      </c>
      <c r="M313">
        <f>IF($A313&lt;=$B$45,1,0)</f>
        <v>0</v>
      </c>
      <c r="AB313">
        <f>IF($AB$31&lt;=$AB$32,IF($A313&lt;=$AB$7,1,2),IF($A313&lt;=RUNG_BEDS_2,2,1))</f>
        <v>1</v>
      </c>
      <c r="AC313" s="5">
        <f>MIN(1,MAX(0,$AB$26-($A313-1)))</f>
        <v>0</v>
      </c>
      <c r="AD313" s="5">
        <f>$AB$25*(AC313+(1-AC313)*$AB$16)</f>
        <v>0.0</v>
      </c>
      <c r="AE313" s="13">
        <f>AD313*($AB$6+ACUTE_MARGIN)</f>
        <v>0.0</v>
      </c>
      <c r="AF313" s="13">
        <f>IF(AB313=1,$AB$31,$AB$32)</f>
        <v>152394.16214437486</v>
      </c>
      <c r="AG313" s="13">
        <f>AE313-AF313</f>
        <v>-152394.16214437486</v>
      </c>
      <c r="AH313" s="13">
        <f>AH312+AG313</f>
        <v>-14232901.01048368</v>
      </c>
      <c r="AI313">
        <f>IF(AH313=MAX($AH$83:$AH$483),$A313,0)</f>
        <v>0</v>
      </c>
      <c r="AJ313">
        <f>IF(AE313&lt;AF313,$A313,B_MAX+1)</f>
        <v>230</v>
      </c>
      <c r="AK313" s="13">
        <f>IF(AB313=1,$AB$35,$AB$36)</f>
        <v>0</v>
      </c>
      <c r="AL313" s="13">
        <f>OCC_DAYS*$AB$41*R_NF_2023-AD313*MCD_SHARE_FREED*R_WAIT_2023</f>
        <v>151980.48282209205</v>
      </c>
      <c r="AM313">
        <f>IF($A313&lt;=$AB$45,1,0)</f>
        <v>0</v>
      </c>
      <c r="BB313">
        <f>IF($BB$31&lt;=$BB$32,IF($A313&lt;=$BB$7,1,2),IF($A313&lt;=RUNG_BEDS_2,2,1))</f>
        <v>1</v>
      </c>
      <c r="BC313" s="5">
        <f>MIN(1,MAX(0,$BB$26-($A313-1)))</f>
        <v>0</v>
      </c>
      <c r="BD313" s="5">
        <f>$BB$25*(BC313+(1-BC313)*$BB$16)</f>
        <v>0.0</v>
      </c>
      <c r="BE313" s="13">
        <f>BD313*($BB$6+ACUTE_MARGIN)</f>
        <v>0.0</v>
      </c>
      <c r="BF313" s="13">
        <f>IF(BB313=1,$BB$31,$BB$32)</f>
        <v>152394.16214437486</v>
      </c>
      <c r="BG313" s="13">
        <f>BE313-BF313</f>
        <v>-152394.16214437486</v>
      </c>
      <c r="BH313" s="13">
        <f>BH312+BG313</f>
        <v>20589527.680615813</v>
      </c>
      <c r="BI313">
        <f>IF(BH313=MAX($BH$83:$BH$483),$A313,0)</f>
        <v>0</v>
      </c>
      <c r="BJ313">
        <f>IF(BE313&lt;BF313,$A313,B_MAX+1)</f>
        <v>230</v>
      </c>
      <c r="BK313" s="13">
        <f>IF(BB313=1,$BB$35,$BB$36)</f>
        <v>0</v>
      </c>
      <c r="BL313" s="13">
        <f>OCC_DAYS*$BB$41*R_NF_2023-BD313*MCD_SHARE_FREED*R_WAIT_2023</f>
        <v>151980.48282209205</v>
      </c>
      <c r="BM313">
        <f>IF($A313&lt;=$BB$45,1,0)</f>
        <v>0</v>
      </c>
      <c r="CB313">
        <f>IF($CB$31&lt;=$CB$32,IF($A313&lt;=$CB$7,1,2),IF($A313&lt;=RUNG_BEDS_2,2,1))</f>
        <v>2</v>
      </c>
      <c r="CC313" s="5">
        <f>MIN(1,MAX(0,$CB$26-($A313-1)))</f>
        <v>0</v>
      </c>
      <c r="CD313" s="5">
        <f>$CB$25*(CC313+(1-CC313)*$CB$16)</f>
        <v>0.0</v>
      </c>
      <c r="CE313" s="13">
        <f>CD313*($CB$6+ACUTE_MARGIN)</f>
        <v>0.0</v>
      </c>
      <c r="CF313" s="13">
        <f>IF(CB313=1,$CB$31,$CB$32)</f>
        <v>160718.36940738867</v>
      </c>
      <c r="CG313" s="13">
        <f>CE313-CF313</f>
        <v>-160718.36940738867</v>
      </c>
      <c r="CH313" s="13">
        <f>CH312+CG313</f>
        <v>1263745.6645728266</v>
      </c>
      <c r="CI313">
        <f>IF(CH313=MAX($CH$83:$CH$483),$A313,0)</f>
        <v>0</v>
      </c>
      <c r="CJ313">
        <f>IF(CE313&lt;CF313,$A313,B_MAX+1)</f>
        <v>230</v>
      </c>
      <c r="CK313" s="13">
        <f>IF(CB313=1,$CB$35,$CB$36)</f>
        <v>1560.1194073886782</v>
      </c>
      <c r="CL313" s="13">
        <f>OCC_DAYS*$CB$41*R_NF_2023-CD313*MCD_SHARE_FREED*R_WAIT_2023</f>
        <v>151980.48282209205</v>
      </c>
      <c r="CM313">
        <f>IF($A313&lt;=$CB$45,1,0)</f>
        <v>0</v>
      </c>
      <c r="DB313">
        <f>IF($DB$31&lt;=$DB$32,IF($A313&lt;=$DB$7,1,2),IF($A313&lt;=RUNG_BEDS_2,2,1))</f>
        <v>1</v>
      </c>
      <c r="DC313" s="5">
        <f>MIN(1,MAX(0,$DB$26-($A313-1)))</f>
        <v>0</v>
      </c>
      <c r="DD313" s="5">
        <f>$DB$25*(DC313+(1-DC313)*$DB$16)</f>
        <v>0.0</v>
      </c>
      <c r="DE313" s="13">
        <f>DD313*($DB$6+ACUTE_MARGIN)</f>
        <v>0.0</v>
      </c>
      <c r="DF313" s="13">
        <f>IF(DB313=1,$DB$31,$DB$32)</f>
        <v>152394.16214437486</v>
      </c>
      <c r="DG313" s="13">
        <f>DE313-DF313</f>
        <v>-152394.16214437486</v>
      </c>
      <c r="DH313" s="13">
        <f>DH312+DG313</f>
        <v>3178313.3350661183</v>
      </c>
      <c r="DI313">
        <f>IF(DH313=MAX($DH$83:$DH$483),$A313,0)</f>
        <v>0</v>
      </c>
      <c r="DJ313">
        <f>IF(DE313&lt;DF313,$A313,B_MAX+1)</f>
        <v>230</v>
      </c>
      <c r="DK313" s="13">
        <f>IF(DB313=1,$DB$35,$DB$36)</f>
        <v>0</v>
      </c>
      <c r="DL313" s="13">
        <f>OCC_DAYS*$DB$41*R_NF_2023-DD313*MCD_SHARE_FREED*R_WAIT_2023</f>
        <v>151980.48282209205</v>
      </c>
      <c r="DM313">
        <f>IF($A313&lt;=$DB$45,1,0)</f>
        <v>0</v>
      </c>
      <c r="EB313">
        <f>IF($EB$31&lt;=$EB$32,IF($A313&lt;=$EB$7,1,2),IF($A313&lt;=RUNG_BEDS_2,2,1))</f>
        <v>1</v>
      </c>
      <c r="EC313" s="5">
        <f>MIN(1,MAX(0,$EB$26-($A313-1)))</f>
        <v>0</v>
      </c>
      <c r="ED313" s="5">
        <f>$EB$25*(EC313+(1-EC313)*$EB$16)</f>
        <v>0.0</v>
      </c>
      <c r="EE313" s="13">
        <f>ED313*($EB$6+ACUTE_MARGIN)</f>
        <v>0.0</v>
      </c>
      <c r="EF313" s="13">
        <f>IF(EB313=1,$EB$31,$EB$32)</f>
        <v>152394.16214437486</v>
      </c>
      <c r="EG313" s="13">
        <f>EE313-EF313</f>
        <v>-152394.16214437486</v>
      </c>
      <c r="EH313" s="13">
        <f>EH312+EG313</f>
        <v>3178313.3350661183</v>
      </c>
      <c r="EI313">
        <f>IF(EH313=MAX($EH$83:$EH$483),$A313,0)</f>
        <v>0</v>
      </c>
      <c r="EJ313">
        <f>IF(EE313&lt;EF313,$A313,B_MAX+1)</f>
        <v>230</v>
      </c>
      <c r="EK313" s="13">
        <f>IF(EB313=1,$EB$35,$EB$36)</f>
        <v>0</v>
      </c>
      <c r="EL313" s="13">
        <f>OCC_DAYS*$EB$41*R_NF_2023-ED313*MCD_SHARE_FREED*R_WAIT_2023</f>
        <v>50660.16094069735</v>
      </c>
      <c r="EM313">
        <f>IF($A313&lt;=$EB$45,1,0)</f>
        <v>0</v>
      </c>
      <c r="FB313">
        <f>IF($FB$31&lt;=$FB$32,IF($A313&lt;=$FB$7,1,2),IF($A313&lt;=RUNG_BEDS_2,2,1))</f>
        <v>1</v>
      </c>
      <c r="FC313" s="5">
        <f>MIN(1,MAX(0,$FB$26-($A313-1)))</f>
        <v>0</v>
      </c>
      <c r="FD313" s="5">
        <f>$FB$25*(FC313+(1-FC313)*$FB$16)</f>
        <v>0.0</v>
      </c>
      <c r="FE313" s="13">
        <f>FD313*($FB$6+ACUTE_MARGIN)</f>
        <v>0.0</v>
      </c>
      <c r="FF313" s="13">
        <f>IF(FB313=1,$FB$31,$FB$32)</f>
        <v>156636.04979437485</v>
      </c>
      <c r="FG313" s="13">
        <f>FE313-FF313</f>
        <v>-156636.04979437485</v>
      </c>
      <c r="FH313" s="13">
        <f>FH312+FG313</f>
        <v>2202679.1755660046</v>
      </c>
      <c r="FI313">
        <f>IF(FH313=MAX($FH$83:$FH$483),$A313,0)</f>
        <v>0</v>
      </c>
      <c r="FJ313">
        <f>IF(FE313&lt;FF313,$A313,B_MAX+1)</f>
        <v>230</v>
      </c>
      <c r="FK313" s="13">
        <f>IF(FB313=1,$FB$35,$FB$36)</f>
        <v>0</v>
      </c>
      <c r="FL313" s="13">
        <f>OCC_DAYS*$FB$41*R_NF_2023-FD313*MCD_SHARE_FREED*R_WAIT_2023</f>
        <v>151980.48282209205</v>
      </c>
      <c r="FM313">
        <f>IF($A313&lt;=$FB$45,1,0)</f>
        <v>0</v>
      </c>
      <c r="GB313">
        <f>IF($GB$31&lt;=$GB$32,IF($A313&lt;=$GB$7,1,2),IF($A313&lt;=RUNG_BEDS_2,2,1))</f>
        <v>1</v>
      </c>
      <c r="GC313" s="5">
        <f>MIN(1,MAX(0,$GB$26-($A313-1)))</f>
        <v>0</v>
      </c>
      <c r="GD313" s="5">
        <f>$GB$25*(GC313+(1-GC313)*$GB$16)</f>
        <v>0.0</v>
      </c>
      <c r="GE313" s="13">
        <f>GD313*($GB$6+ACUTE_MARGIN)</f>
        <v>0.0</v>
      </c>
      <c r="GF313" s="13">
        <f>IF(GB313=1,$GB$31,$GB$32)</f>
        <v>152394.16214437486</v>
      </c>
      <c r="GG313" s="13">
        <f>GE313-GF313</f>
        <v>-152394.16214437486</v>
      </c>
      <c r="GH313" s="13">
        <f>GH312+GG313</f>
        <v>3178313.3350661183</v>
      </c>
      <c r="GI313">
        <f>IF(GH313=MAX($GH$83:$GH$483),$A313,0)</f>
        <v>0</v>
      </c>
      <c r="GJ313">
        <f>IF(GE313&lt;GF313,$A313,B_MAX+1)</f>
        <v>230</v>
      </c>
      <c r="GK313" s="13">
        <f>IF(GB313=1,$GB$35,$GB$36)</f>
        <v>0</v>
      </c>
      <c r="GL313" s="13">
        <f>OCC_DAYS*$GB$41*R_NF_2023-GD313*MCD_SHARE_FREED*R_WAIT_2023</f>
        <v>151980.48282209205</v>
      </c>
      <c r="GM313">
        <f>IF($A313&lt;=$GB$45,1,0)</f>
        <v>0</v>
      </c>
      <c r="HB313">
        <f>IF($HB$31&lt;=$HB$32,IF($A313&lt;=$HB$7,1,2),IF($A313&lt;=RUNG_BEDS_2,2,1))</f>
        <v>1</v>
      </c>
      <c r="HC313" s="5">
        <f>MIN(1,MAX(0,$HB$26-($A313-1)))</f>
        <v>0</v>
      </c>
      <c r="HD313" s="5">
        <f>$HB$25*(HC313+(1-HC313)*$HB$16)</f>
        <v>0.0</v>
      </c>
      <c r="HE313" s="13">
        <f>HD313*($HB$6+ACUTE_MARGIN)</f>
        <v>0.0</v>
      </c>
      <c r="HF313" s="13">
        <f>IF(HB313=1,$HB$31,$HB$32)</f>
        <v>152456.2970814058</v>
      </c>
      <c r="HG313" s="13">
        <f>HE313-HF313</f>
        <v>-152456.2970814058</v>
      </c>
      <c r="HH313" s="13">
        <f>HH312+HG313</f>
        <v>3164022.2995489617</v>
      </c>
      <c r="HI313">
        <f>IF(HH313=MAX($HH$83:$HH$483),$A313,0)</f>
        <v>0</v>
      </c>
      <c r="HJ313">
        <f>IF(HE313&lt;HF313,$A313,B_MAX+1)</f>
        <v>230</v>
      </c>
      <c r="HK313" s="13">
        <f>IF(HB313=1,$HB$35,$HB$36)</f>
        <v>0</v>
      </c>
      <c r="HL313" s="13">
        <f>OCC_DAYS*$HB$41*R_NF_2023-HD313*MCD_SHARE_FREED*R_WAIT_2023</f>
        <v>151980.48282209205</v>
      </c>
      <c r="HM313">
        <f>IF($A313&lt;=$HB$45,1,0)</f>
        <v>0</v>
      </c>
      <c r="IB313">
        <f>IF($IB$31&lt;=$IB$32,IF($A313&lt;=$IB$7,1,2),IF($A313&lt;=RUNG_BEDS_2,2,1))</f>
        <v>1</v>
      </c>
      <c r="IC313" s="5">
        <f>MIN(1,MAX(0,$IB$26-($A313-1)))</f>
        <v>0</v>
      </c>
      <c r="ID313" s="5">
        <f>$IB$25*(IC313+(1-IC313)*$IB$16)</f>
        <v>0.0</v>
      </c>
      <c r="IE313" s="13">
        <f>ID313*($IB$6+ACUTE_MARGIN)</f>
        <v>0.0</v>
      </c>
      <c r="IF313" s="13">
        <f>IF(IB313=1,$IB$31,$IB$32)</f>
        <v>152734.9994534971</v>
      </c>
      <c r="IG313" s="13">
        <f>IE313-IF313</f>
        <v>-152734.9994534971</v>
      </c>
      <c r="IH313" s="13">
        <f>IH312+IG313</f>
        <v>3099920.75396791</v>
      </c>
      <c r="II313">
        <f>IF(IH313=MAX($IH$83:$IH$483),$A313,0)</f>
        <v>0</v>
      </c>
      <c r="IJ313">
        <f>IF(IE313&lt;IF313,$A313,B_MAX+1)</f>
        <v>230</v>
      </c>
      <c r="IK313" s="13">
        <f>IF(IB313=1,$IB$35,$IB$36)</f>
        <v>0</v>
      </c>
      <c r="IL313" s="13">
        <f>OCC_DAYS*$IB$41*R_NF_2023-ID313*MCD_SHARE_FREED*R_WAIT_2023</f>
        <v>151980.48282209205</v>
      </c>
      <c r="IM313">
        <f>IF($A313&lt;=$IB$45,1,0)</f>
        <v>0</v>
      </c>
      <c r="JB313">
        <f>IF($JB$31&lt;=$JB$32,IF($A313&lt;=$JB$7,1,2),IF($A313&lt;=RUNG_BEDS_2,2,1))</f>
        <v>1</v>
      </c>
      <c r="JC313" s="5">
        <f>MIN(1,MAX(0,$JB$26-($A313-1)))</f>
        <v>0</v>
      </c>
      <c r="JD313" s="5">
        <f>$JB$25*(JC313+(1-JC313)*$JB$16)</f>
        <v>0.0</v>
      </c>
      <c r="JE313" s="13">
        <f>JD313*($JB$6+ACUTE_MARGIN)</f>
        <v>0.0</v>
      </c>
      <c r="JF313" s="13">
        <f>IF(JB313=1,$JB$31,$JB$32)</f>
        <v>152394.16214437486</v>
      </c>
      <c r="JG313" s="13">
        <f>JE313-JF313</f>
        <v>-152394.16214437486</v>
      </c>
      <c r="JH313" s="13">
        <f>JH312+JG313</f>
        <v>3178313.3350661183</v>
      </c>
      <c r="JI313">
        <f>IF(JH313=MAX($JH$83:$JH$483),$A313,0)</f>
        <v>0</v>
      </c>
      <c r="JJ313">
        <f>IF(JE313&lt;JF313,$A313,B_MAX+1)</f>
        <v>230</v>
      </c>
      <c r="JK313" s="13">
        <f>IF(JB313=1,$JB$35,$JB$36)</f>
        <v>0</v>
      </c>
      <c r="JL313" s="13">
        <f>OCC_DAYS*$JB$41*R_NF_2023-JD313*MCD_SHARE_FREED*R_WAIT_2023</f>
        <v>151980.48282209205</v>
      </c>
      <c r="JM313">
        <f>IF($A313&lt;=$JB$45,1,0)</f>
        <v>0</v>
      </c>
      <c r="KB313">
        <f>IF($KB$31&lt;=$KB$32,IF($A313&lt;=$KB$7,1,2),IF($A313&lt;=RUNG_BEDS_2,2,1))</f>
        <v>1</v>
      </c>
      <c r="KC313" s="5">
        <f>MIN(1,MAX(0,$KB$26-($A313-1)))</f>
        <v>1</v>
      </c>
      <c r="KD313" s="5">
        <f>$KB$25*(KC313+(1-KC313)*$KB$16)</f>
        <v>126.02661357340719</v>
      </c>
      <c r="KE313" s="13">
        <f>KD313*($KB$6+ACUTE_MARGIN)</f>
        <v>127286.87970914126</v>
      </c>
      <c r="KF313" s="13">
        <f>IF(KB313=1,$KB$31,$KB$32)</f>
        <v>152394.16214437486</v>
      </c>
      <c r="KG313" s="13">
        <f>KE313-KF313</f>
        <v>-25107.282435233603</v>
      </c>
      <c r="KH313" s="13">
        <f>KH312+KG313</f>
        <v>-5774674.960103747</v>
      </c>
      <c r="KI313">
        <f>IF(KH313=MAX($KH$83:$KH$483),$A313,0)</f>
        <v>0</v>
      </c>
      <c r="KJ313">
        <f>IF(KE313&lt;KF313,$A313,B_MAX+1)</f>
        <v>230</v>
      </c>
      <c r="KK313" s="13">
        <f>IF(KB313=1,$KB$35,$KB$36)</f>
        <v>0</v>
      </c>
      <c r="KL313" s="13">
        <f>OCC_DAYS*$KB$41*R_NF_2023-KD313*MCD_SHARE_FREED*R_WAIT_2023</f>
        <v>94673.82103225985</v>
      </c>
      <c r="KM313">
        <f>IF($A313&lt;=$KB$45,1,0)</f>
        <v>0</v>
      </c>
      <c r="LB313">
        <f>IF($LB$31&lt;=$LB$32,IF($A313&lt;=$LB$7,1,2),IF($A313&lt;=RUNG_BEDS_2,2,1))</f>
        <v>1</v>
      </c>
      <c r="LC313" s="5">
        <f>MIN(1,MAX(0,$LB$26-($A313-1)))</f>
        <v>1</v>
      </c>
      <c r="LD313" s="5">
        <f>$LB$25*(LC313+(1-LC313)*$LB$16)</f>
        <v>84.01774238227146</v>
      </c>
      <c r="LE313" s="13">
        <f>LD313*($LB$6+ACUTE_MARGIN)</f>
        <v>84857.91980609419</v>
      </c>
      <c r="LF313" s="13">
        <f>IF(LB313=1,$LB$31,$LB$32)</f>
        <v>152394.16214437486</v>
      </c>
      <c r="LG313" s="13">
        <f>LE313-LF313</f>
        <v>-67536.24233828067</v>
      </c>
      <c r="LH313" s="13">
        <f>LH312+LG313</f>
        <v>-15533335.737804629</v>
      </c>
      <c r="LI313">
        <f>IF(LH313=MAX($LH$83:$LH$483),$A313,0)</f>
        <v>0</v>
      </c>
      <c r="LJ313">
        <f>IF(LE313&lt;LF313,$A313,B_MAX+1)</f>
        <v>230</v>
      </c>
      <c r="LK313" s="13">
        <f>IF(LB313=1,$LB$35,$LB$36)</f>
        <v>0</v>
      </c>
      <c r="LL313" s="13">
        <f>OCC_DAYS*$LB$41*R_NF_2023-LD313*MCD_SHARE_FREED*R_WAIT_2023</f>
        <v>113776.04162887059</v>
      </c>
      <c r="LM313">
        <f>IF($A313&lt;=$LB$45,1,0)</f>
        <v>0</v>
      </c>
      <c r="MB313">
        <f>IF($MB$31&lt;=$MB$32,IF($A313&lt;=$MB$7,1,2),IF($A313&lt;=RUNG_BEDS_2,2,1))</f>
        <v>1</v>
      </c>
      <c r="MC313" s="5">
        <f>MIN(1,MAX(0,$MB$26-($A313-1)))</f>
        <v>0</v>
      </c>
      <c r="MD313" s="5">
        <f>$MB$25*(MC313+(1-MC313)*$MB$16)</f>
        <v>0.0</v>
      </c>
      <c r="ME313" s="13">
        <f>MD313*($MB$6+ACUTE_MARGIN)</f>
        <v>0.0</v>
      </c>
      <c r="MF313" s="13">
        <f>IF(MB313=1,$MB$31,$MB$32)</f>
        <v>152394.16214437486</v>
      </c>
      <c r="MG313" s="13">
        <f>ME313-MF313</f>
        <v>-152394.16214437486</v>
      </c>
      <c r="MH313" s="13">
        <f>MH312+MG313</f>
        <v>-2708962.7267322117</v>
      </c>
      <c r="MI313">
        <f>IF(MH313=MAX($MH$83:$MH$483),$A313,0)</f>
        <v>0</v>
      </c>
      <c r="MJ313">
        <f>IF(ME313&lt;MF313,$A313,B_MAX+1)</f>
        <v>230</v>
      </c>
      <c r="MK313" s="13">
        <f>IF(MB313=1,$MB$35,$MB$36)</f>
        <v>0</v>
      </c>
      <c r="ML313" s="13">
        <f>OCC_DAYS*$MB$41*R_NF_2023-MD313*MCD_SHARE_FREED*R_WAIT_2023</f>
        <v>151980.48282209205</v>
      </c>
      <c r="MM313">
        <f>IF($A313&lt;=$MB$45,1,0)</f>
        <v>0</v>
      </c>
      <c r="NB313">
        <f>IF($NB$31&lt;=$NB$32,IF($A313&lt;=$NB$7,1,2),IF($A313&lt;=RUNG_BEDS_2,2,1))</f>
        <v>1</v>
      </c>
      <c r="NC313" s="5">
        <f>MIN(1,MAX(0,$NB$26-($A313-1)))</f>
        <v>0</v>
      </c>
      <c r="ND313" s="5">
        <f>$NB$25*(NC313+(1-NC313)*$NB$16)</f>
        <v>63.013306786703595</v>
      </c>
      <c r="NE313" s="13">
        <f>ND313*($NB$6+ACUTE_MARGIN)</f>
        <v>63643.43985457063</v>
      </c>
      <c r="NF313" s="13">
        <f>IF(NB313=1,$NB$31,$NB$32)</f>
        <v>152394.16214437486</v>
      </c>
      <c r="NG313" s="13">
        <f>NE313-NF313</f>
        <v>-88750.72228980422</v>
      </c>
      <c r="NH313" s="13">
        <f>NH312+NG313</f>
        <v>8259061.844549261</v>
      </c>
      <c r="NI313">
        <f>IF(NH313=MAX($NH$83:$NH$483),$A313,0)</f>
        <v>0</v>
      </c>
      <c r="NJ313">
        <f>IF(NE313&lt;NF313,$A313,B_MAX+1)</f>
        <v>230</v>
      </c>
      <c r="NK313" s="13">
        <f>IF(NB313=1,$NB$35,$NB$36)</f>
        <v>0</v>
      </c>
      <c r="NL313" s="13">
        <f>OCC_DAYS*$NB$41*R_NF_2023-ND313*MCD_SHARE_FREED*R_WAIT_2023</f>
        <v>123327.15192717595</v>
      </c>
      <c r="NM313">
        <f>IF($A313&lt;=$NB$45,1,0)</f>
        <v>0</v>
      </c>
      <c r="OB313">
        <f>IF($OB$31&lt;=$OB$32,IF($A313&lt;=$OB$7,1,2),IF($A313&lt;=RUNG_BEDS_2,2,1))</f>
        <v>1</v>
      </c>
      <c r="OC313" s="5">
        <f>MIN(1,MAX(0,$OB$26-($A313-1)))</f>
        <v>0</v>
      </c>
      <c r="OD313" s="5">
        <f>$OB$25*(OC313+(1-OC313)*$OB$16)</f>
        <v>126.02661357340719</v>
      </c>
      <c r="OE313" s="13">
        <f>OD313*($OB$6+ACUTE_MARGIN)</f>
        <v>127286.87970914126</v>
      </c>
      <c r="OF313" s="13">
        <f>IF(OB313=1,$OB$31,$OB$32)</f>
        <v>152394.16214437486</v>
      </c>
      <c r="OG313" s="13">
        <f>OE313-OF313</f>
        <v>-25107.282435233603</v>
      </c>
      <c r="OH313" s="13">
        <f>OH312+OG313</f>
        <v>13339810.35403252</v>
      </c>
      <c r="OI313">
        <f>IF(OH313=MAX($OH$83:$OH$483),$A313,0)</f>
        <v>0</v>
      </c>
      <c r="OJ313">
        <f>IF(OE313&lt;OF313,$A313,B_MAX+1)</f>
        <v>230</v>
      </c>
      <c r="OK313" s="13">
        <f>IF(OB313=1,$OB$35,$OB$36)</f>
        <v>0</v>
      </c>
      <c r="OL313" s="13">
        <f>OCC_DAYS*$OB$41*R_NF_2023-OD313*MCD_SHARE_FREED*R_WAIT_2023</f>
        <v>94673.82103225985</v>
      </c>
      <c r="OM313">
        <f>IF($A313&lt;=$OB$45,1,0)</f>
        <v>0</v>
      </c>
    </row>
    <row r="314">
      <c r="A314" t="n">
        <v>231</v>
      </c>
      <c r="B314">
        <f>IF($B$31&lt;=$B$32,IF($A314&lt;=$B$7,1,2),IF($A314&lt;=RUNG_BEDS_2,2,1))</f>
        <v>1</v>
      </c>
      <c r="C314" s="5">
        <f>MIN(1,MAX(0,$B$26-($A314-1)))</f>
        <v>0</v>
      </c>
      <c r="D314" s="5">
        <f>$B$25*(C314+(1-C314)*$B$16)</f>
        <v>0.0</v>
      </c>
      <c r="E314" s="13">
        <f>D314*($B$6+ACUTE_MARGIN)</f>
        <v>0.0</v>
      </c>
      <c r="F314" s="13">
        <f>IF(B314=1,$B$31,$B$32)</f>
        <v>152394.16214437486</v>
      </c>
      <c r="G314" s="13">
        <f>E314-F314</f>
        <v>-152394.16214437486</v>
      </c>
      <c r="H314" s="13">
        <f>H313+G314</f>
        <v>3025919.1729217432</v>
      </c>
      <c r="I314">
        <f>IF(H314=MAX($H$83:$H$483),$A314,0)</f>
        <v>0</v>
      </c>
      <c r="J314">
        <f>IF(E314&lt;F314,$A314,B_MAX+1)</f>
        <v>231</v>
      </c>
      <c r="K314" s="13">
        <f>IF(B314=1,$B$35,$B$36)</f>
        <v>0</v>
      </c>
      <c r="L314" s="13">
        <f>OCC_DAYS*$B$41*R_NF_2023-D314*MCD_SHARE_FREED*R_WAIT_2023</f>
        <v>151980.48282209205</v>
      </c>
      <c r="M314">
        <f>IF($A314&lt;=$B$45,1,0)</f>
        <v>0</v>
      </c>
      <c r="AB314">
        <f>IF($AB$31&lt;=$AB$32,IF($A314&lt;=$AB$7,1,2),IF($A314&lt;=RUNG_BEDS_2,2,1))</f>
        <v>1</v>
      </c>
      <c r="AC314" s="5">
        <f>MIN(1,MAX(0,$AB$26-($A314-1)))</f>
        <v>0</v>
      </c>
      <c r="AD314" s="5">
        <f>$AB$25*(AC314+(1-AC314)*$AB$16)</f>
        <v>0.0</v>
      </c>
      <c r="AE314" s="13">
        <f>AD314*($AB$6+ACUTE_MARGIN)</f>
        <v>0.0</v>
      </c>
      <c r="AF314" s="13">
        <f>IF(AB314=1,$AB$31,$AB$32)</f>
        <v>152394.16214437486</v>
      </c>
      <c r="AG314" s="13">
        <f>AE314-AF314</f>
        <v>-152394.16214437486</v>
      </c>
      <c r="AH314" s="13">
        <f>AH313+AG314</f>
        <v>-14385295.172628054</v>
      </c>
      <c r="AI314">
        <f>IF(AH314=MAX($AH$83:$AH$483),$A314,0)</f>
        <v>0</v>
      </c>
      <c r="AJ314">
        <f>IF(AE314&lt;AF314,$A314,B_MAX+1)</f>
        <v>231</v>
      </c>
      <c r="AK314" s="13">
        <f>IF(AB314=1,$AB$35,$AB$36)</f>
        <v>0</v>
      </c>
      <c r="AL314" s="13">
        <f>OCC_DAYS*$AB$41*R_NF_2023-AD314*MCD_SHARE_FREED*R_WAIT_2023</f>
        <v>151980.48282209205</v>
      </c>
      <c r="AM314">
        <f>IF($A314&lt;=$AB$45,1,0)</f>
        <v>0</v>
      </c>
      <c r="BB314">
        <f>IF($BB$31&lt;=$BB$32,IF($A314&lt;=$BB$7,1,2),IF($A314&lt;=RUNG_BEDS_2,2,1))</f>
        <v>1</v>
      </c>
      <c r="BC314" s="5">
        <f>MIN(1,MAX(0,$BB$26-($A314-1)))</f>
        <v>0</v>
      </c>
      <c r="BD314" s="5">
        <f>$BB$25*(BC314+(1-BC314)*$BB$16)</f>
        <v>0.0</v>
      </c>
      <c r="BE314" s="13">
        <f>BD314*($BB$6+ACUTE_MARGIN)</f>
        <v>0.0</v>
      </c>
      <c r="BF314" s="13">
        <f>IF(BB314=1,$BB$31,$BB$32)</f>
        <v>152394.16214437486</v>
      </c>
      <c r="BG314" s="13">
        <f>BE314-BF314</f>
        <v>-152394.16214437486</v>
      </c>
      <c r="BH314" s="13">
        <f>BH313+BG314</f>
        <v>20437133.51847144</v>
      </c>
      <c r="BI314">
        <f>IF(BH314=MAX($BH$83:$BH$483),$A314,0)</f>
        <v>0</v>
      </c>
      <c r="BJ314">
        <f>IF(BE314&lt;BF314,$A314,B_MAX+1)</f>
        <v>231</v>
      </c>
      <c r="BK314" s="13">
        <f>IF(BB314=1,$BB$35,$BB$36)</f>
        <v>0</v>
      </c>
      <c r="BL314" s="13">
        <f>OCC_DAYS*$BB$41*R_NF_2023-BD314*MCD_SHARE_FREED*R_WAIT_2023</f>
        <v>151980.48282209205</v>
      </c>
      <c r="BM314">
        <f>IF($A314&lt;=$BB$45,1,0)</f>
        <v>0</v>
      </c>
      <c r="CB314">
        <f>IF($CB$31&lt;=$CB$32,IF($A314&lt;=$CB$7,1,2),IF($A314&lt;=RUNG_BEDS_2,2,1))</f>
        <v>2</v>
      </c>
      <c r="CC314" s="5">
        <f>MIN(1,MAX(0,$CB$26-($A314-1)))</f>
        <v>0</v>
      </c>
      <c r="CD314" s="5">
        <f>$CB$25*(CC314+(1-CC314)*$CB$16)</f>
        <v>0.0</v>
      </c>
      <c r="CE314" s="13">
        <f>CD314*($CB$6+ACUTE_MARGIN)</f>
        <v>0.0</v>
      </c>
      <c r="CF314" s="13">
        <f>IF(CB314=1,$CB$31,$CB$32)</f>
        <v>160718.36940738867</v>
      </c>
      <c r="CG314" s="13">
        <f>CE314-CF314</f>
        <v>-160718.36940738867</v>
      </c>
      <c r="CH314" s="13">
        <f>CH313+CG314</f>
        <v>1103027.295165438</v>
      </c>
      <c r="CI314">
        <f>IF(CH314=MAX($CH$83:$CH$483),$A314,0)</f>
        <v>0</v>
      </c>
      <c r="CJ314">
        <f>IF(CE314&lt;CF314,$A314,B_MAX+1)</f>
        <v>231</v>
      </c>
      <c r="CK314" s="13">
        <f>IF(CB314=1,$CB$35,$CB$36)</f>
        <v>1560.1194073886782</v>
      </c>
      <c r="CL314" s="13">
        <f>OCC_DAYS*$CB$41*R_NF_2023-CD314*MCD_SHARE_FREED*R_WAIT_2023</f>
        <v>151980.48282209205</v>
      </c>
      <c r="CM314">
        <f>IF($A314&lt;=$CB$45,1,0)</f>
        <v>0</v>
      </c>
      <c r="DB314">
        <f>IF($DB$31&lt;=$DB$32,IF($A314&lt;=$DB$7,1,2),IF($A314&lt;=RUNG_BEDS_2,2,1))</f>
        <v>1</v>
      </c>
      <c r="DC314" s="5">
        <f>MIN(1,MAX(0,$DB$26-($A314-1)))</f>
        <v>0</v>
      </c>
      <c r="DD314" s="5">
        <f>$DB$25*(DC314+(1-DC314)*$DB$16)</f>
        <v>0.0</v>
      </c>
      <c r="DE314" s="13">
        <f>DD314*($DB$6+ACUTE_MARGIN)</f>
        <v>0.0</v>
      </c>
      <c r="DF314" s="13">
        <f>IF(DB314=1,$DB$31,$DB$32)</f>
        <v>152394.16214437486</v>
      </c>
      <c r="DG314" s="13">
        <f>DE314-DF314</f>
        <v>-152394.16214437486</v>
      </c>
      <c r="DH314" s="13">
        <f>DH313+DG314</f>
        <v>3025919.1729217432</v>
      </c>
      <c r="DI314">
        <f>IF(DH314=MAX($DH$83:$DH$483),$A314,0)</f>
        <v>0</v>
      </c>
      <c r="DJ314">
        <f>IF(DE314&lt;DF314,$A314,B_MAX+1)</f>
        <v>231</v>
      </c>
      <c r="DK314" s="13">
        <f>IF(DB314=1,$DB$35,$DB$36)</f>
        <v>0</v>
      </c>
      <c r="DL314" s="13">
        <f>OCC_DAYS*$DB$41*R_NF_2023-DD314*MCD_SHARE_FREED*R_WAIT_2023</f>
        <v>151980.48282209205</v>
      </c>
      <c r="DM314">
        <f>IF($A314&lt;=$DB$45,1,0)</f>
        <v>0</v>
      </c>
      <c r="EB314">
        <f>IF($EB$31&lt;=$EB$32,IF($A314&lt;=$EB$7,1,2),IF($A314&lt;=RUNG_BEDS_2,2,1))</f>
        <v>1</v>
      </c>
      <c r="EC314" s="5">
        <f>MIN(1,MAX(0,$EB$26-($A314-1)))</f>
        <v>0</v>
      </c>
      <c r="ED314" s="5">
        <f>$EB$25*(EC314+(1-EC314)*$EB$16)</f>
        <v>0.0</v>
      </c>
      <c r="EE314" s="13">
        <f>ED314*($EB$6+ACUTE_MARGIN)</f>
        <v>0.0</v>
      </c>
      <c r="EF314" s="13">
        <f>IF(EB314=1,$EB$31,$EB$32)</f>
        <v>152394.16214437486</v>
      </c>
      <c r="EG314" s="13">
        <f>EE314-EF314</f>
        <v>-152394.16214437486</v>
      </c>
      <c r="EH314" s="13">
        <f>EH313+EG314</f>
        <v>3025919.1729217432</v>
      </c>
      <c r="EI314">
        <f>IF(EH314=MAX($EH$83:$EH$483),$A314,0)</f>
        <v>0</v>
      </c>
      <c r="EJ314">
        <f>IF(EE314&lt;EF314,$A314,B_MAX+1)</f>
        <v>231</v>
      </c>
      <c r="EK314" s="13">
        <f>IF(EB314=1,$EB$35,$EB$36)</f>
        <v>0</v>
      </c>
      <c r="EL314" s="13">
        <f>OCC_DAYS*$EB$41*R_NF_2023-ED314*MCD_SHARE_FREED*R_WAIT_2023</f>
        <v>50660.16094069735</v>
      </c>
      <c r="EM314">
        <f>IF($A314&lt;=$EB$45,1,0)</f>
        <v>0</v>
      </c>
      <c r="FB314">
        <f>IF($FB$31&lt;=$FB$32,IF($A314&lt;=$FB$7,1,2),IF($A314&lt;=RUNG_BEDS_2,2,1))</f>
        <v>1</v>
      </c>
      <c r="FC314" s="5">
        <f>MIN(1,MAX(0,$FB$26-($A314-1)))</f>
        <v>0</v>
      </c>
      <c r="FD314" s="5">
        <f>$FB$25*(FC314+(1-FC314)*$FB$16)</f>
        <v>0.0</v>
      </c>
      <c r="FE314" s="13">
        <f>FD314*($FB$6+ACUTE_MARGIN)</f>
        <v>0.0</v>
      </c>
      <c r="FF314" s="13">
        <f>IF(FB314=1,$FB$31,$FB$32)</f>
        <v>156636.04979437485</v>
      </c>
      <c r="FG314" s="13">
        <f>FE314-FF314</f>
        <v>-156636.04979437485</v>
      </c>
      <c r="FH314" s="13">
        <f>FH313+FG314</f>
        <v>2046043.1257716296</v>
      </c>
      <c r="FI314">
        <f>IF(FH314=MAX($FH$83:$FH$483),$A314,0)</f>
        <v>0</v>
      </c>
      <c r="FJ314">
        <f>IF(FE314&lt;FF314,$A314,B_MAX+1)</f>
        <v>231</v>
      </c>
      <c r="FK314" s="13">
        <f>IF(FB314=1,$FB$35,$FB$36)</f>
        <v>0</v>
      </c>
      <c r="FL314" s="13">
        <f>OCC_DAYS*$FB$41*R_NF_2023-FD314*MCD_SHARE_FREED*R_WAIT_2023</f>
        <v>151980.48282209205</v>
      </c>
      <c r="FM314">
        <f>IF($A314&lt;=$FB$45,1,0)</f>
        <v>0</v>
      </c>
      <c r="GB314">
        <f>IF($GB$31&lt;=$GB$32,IF($A314&lt;=$GB$7,1,2),IF($A314&lt;=RUNG_BEDS_2,2,1))</f>
        <v>1</v>
      </c>
      <c r="GC314" s="5">
        <f>MIN(1,MAX(0,$GB$26-($A314-1)))</f>
        <v>0</v>
      </c>
      <c r="GD314" s="5">
        <f>$GB$25*(GC314+(1-GC314)*$GB$16)</f>
        <v>0.0</v>
      </c>
      <c r="GE314" s="13">
        <f>GD314*($GB$6+ACUTE_MARGIN)</f>
        <v>0.0</v>
      </c>
      <c r="GF314" s="13">
        <f>IF(GB314=1,$GB$31,$GB$32)</f>
        <v>152394.16214437486</v>
      </c>
      <c r="GG314" s="13">
        <f>GE314-GF314</f>
        <v>-152394.16214437486</v>
      </c>
      <c r="GH314" s="13">
        <f>GH313+GG314</f>
        <v>3025919.1729217432</v>
      </c>
      <c r="GI314">
        <f>IF(GH314=MAX($GH$83:$GH$483),$A314,0)</f>
        <v>0</v>
      </c>
      <c r="GJ314">
        <f>IF(GE314&lt;GF314,$A314,B_MAX+1)</f>
        <v>231</v>
      </c>
      <c r="GK314" s="13">
        <f>IF(GB314=1,$GB$35,$GB$36)</f>
        <v>0</v>
      </c>
      <c r="GL314" s="13">
        <f>OCC_DAYS*$GB$41*R_NF_2023-GD314*MCD_SHARE_FREED*R_WAIT_2023</f>
        <v>151980.48282209205</v>
      </c>
      <c r="GM314">
        <f>IF($A314&lt;=$GB$45,1,0)</f>
        <v>0</v>
      </c>
      <c r="HB314">
        <f>IF($HB$31&lt;=$HB$32,IF($A314&lt;=$HB$7,1,2),IF($A314&lt;=RUNG_BEDS_2,2,1))</f>
        <v>1</v>
      </c>
      <c r="HC314" s="5">
        <f>MIN(1,MAX(0,$HB$26-($A314-1)))</f>
        <v>0</v>
      </c>
      <c r="HD314" s="5">
        <f>$HB$25*(HC314+(1-HC314)*$HB$16)</f>
        <v>0.0</v>
      </c>
      <c r="HE314" s="13">
        <f>HD314*($HB$6+ACUTE_MARGIN)</f>
        <v>0.0</v>
      </c>
      <c r="HF314" s="13">
        <f>IF(HB314=1,$HB$31,$HB$32)</f>
        <v>152456.2970814058</v>
      </c>
      <c r="HG314" s="13">
        <f>HE314-HF314</f>
        <v>-152456.2970814058</v>
      </c>
      <c r="HH314" s="13">
        <f>HH313+HG314</f>
        <v>3011566.002467556</v>
      </c>
      <c r="HI314">
        <f>IF(HH314=MAX($HH$83:$HH$483),$A314,0)</f>
        <v>0</v>
      </c>
      <c r="HJ314">
        <f>IF(HE314&lt;HF314,$A314,B_MAX+1)</f>
        <v>231</v>
      </c>
      <c r="HK314" s="13">
        <f>IF(HB314=1,$HB$35,$HB$36)</f>
        <v>0</v>
      </c>
      <c r="HL314" s="13">
        <f>OCC_DAYS*$HB$41*R_NF_2023-HD314*MCD_SHARE_FREED*R_WAIT_2023</f>
        <v>151980.48282209205</v>
      </c>
      <c r="HM314">
        <f>IF($A314&lt;=$HB$45,1,0)</f>
        <v>0</v>
      </c>
      <c r="IB314">
        <f>IF($IB$31&lt;=$IB$32,IF($A314&lt;=$IB$7,1,2),IF($A314&lt;=RUNG_BEDS_2,2,1))</f>
        <v>1</v>
      </c>
      <c r="IC314" s="5">
        <f>MIN(1,MAX(0,$IB$26-($A314-1)))</f>
        <v>0</v>
      </c>
      <c r="ID314" s="5">
        <f>$IB$25*(IC314+(1-IC314)*$IB$16)</f>
        <v>0.0</v>
      </c>
      <c r="IE314" s="13">
        <f>ID314*($IB$6+ACUTE_MARGIN)</f>
        <v>0.0</v>
      </c>
      <c r="IF314" s="13">
        <f>IF(IB314=1,$IB$31,$IB$32)</f>
        <v>152734.9994534971</v>
      </c>
      <c r="IG314" s="13">
        <f>IE314-IF314</f>
        <v>-152734.9994534971</v>
      </c>
      <c r="IH314" s="13">
        <f>IH313+IG314</f>
        <v>2947185.754514413</v>
      </c>
      <c r="II314">
        <f>IF(IH314=MAX($IH$83:$IH$483),$A314,0)</f>
        <v>0</v>
      </c>
      <c r="IJ314">
        <f>IF(IE314&lt;IF314,$A314,B_MAX+1)</f>
        <v>231</v>
      </c>
      <c r="IK314" s="13">
        <f>IF(IB314=1,$IB$35,$IB$36)</f>
        <v>0</v>
      </c>
      <c r="IL314" s="13">
        <f>OCC_DAYS*$IB$41*R_NF_2023-ID314*MCD_SHARE_FREED*R_WAIT_2023</f>
        <v>151980.48282209205</v>
      </c>
      <c r="IM314">
        <f>IF($A314&lt;=$IB$45,1,0)</f>
        <v>0</v>
      </c>
      <c r="JB314">
        <f>IF($JB$31&lt;=$JB$32,IF($A314&lt;=$JB$7,1,2),IF($A314&lt;=RUNG_BEDS_2,2,1))</f>
        <v>1</v>
      </c>
      <c r="JC314" s="5">
        <f>MIN(1,MAX(0,$JB$26-($A314-1)))</f>
        <v>0</v>
      </c>
      <c r="JD314" s="5">
        <f>$JB$25*(JC314+(1-JC314)*$JB$16)</f>
        <v>0.0</v>
      </c>
      <c r="JE314" s="13">
        <f>JD314*($JB$6+ACUTE_MARGIN)</f>
        <v>0.0</v>
      </c>
      <c r="JF314" s="13">
        <f>IF(JB314=1,$JB$31,$JB$32)</f>
        <v>152394.16214437486</v>
      </c>
      <c r="JG314" s="13">
        <f>JE314-JF314</f>
        <v>-152394.16214437486</v>
      </c>
      <c r="JH314" s="13">
        <f>JH313+JG314</f>
        <v>3025919.1729217432</v>
      </c>
      <c r="JI314">
        <f>IF(JH314=MAX($JH$83:$JH$483),$A314,0)</f>
        <v>0</v>
      </c>
      <c r="JJ314">
        <f>IF(JE314&lt;JF314,$A314,B_MAX+1)</f>
        <v>231</v>
      </c>
      <c r="JK314" s="13">
        <f>IF(JB314=1,$JB$35,$JB$36)</f>
        <v>0</v>
      </c>
      <c r="JL314" s="13">
        <f>OCC_DAYS*$JB$41*R_NF_2023-JD314*MCD_SHARE_FREED*R_WAIT_2023</f>
        <v>151980.48282209205</v>
      </c>
      <c r="JM314">
        <f>IF($A314&lt;=$JB$45,1,0)</f>
        <v>0</v>
      </c>
      <c r="KB314">
        <f>IF($KB$31&lt;=$KB$32,IF($A314&lt;=$KB$7,1,2),IF($A314&lt;=RUNG_BEDS_2,2,1))</f>
        <v>1</v>
      </c>
      <c r="KC314" s="5">
        <f>MIN(1,MAX(0,$KB$26-($A314-1)))</f>
        <v>1</v>
      </c>
      <c r="KD314" s="5">
        <f>$KB$25*(KC314+(1-KC314)*$KB$16)</f>
        <v>126.02661357340719</v>
      </c>
      <c r="KE314" s="13">
        <f>KD314*($KB$6+ACUTE_MARGIN)</f>
        <v>127286.87970914126</v>
      </c>
      <c r="KF314" s="13">
        <f>IF(KB314=1,$KB$31,$KB$32)</f>
        <v>152394.16214437486</v>
      </c>
      <c r="KG314" s="13">
        <f>KE314-KF314</f>
        <v>-25107.282435233603</v>
      </c>
      <c r="KH314" s="13">
        <f>KH313+KG314</f>
        <v>-5799782.242538981</v>
      </c>
      <c r="KI314">
        <f>IF(KH314=MAX($KH$83:$KH$483),$A314,0)</f>
        <v>0</v>
      </c>
      <c r="KJ314">
        <f>IF(KE314&lt;KF314,$A314,B_MAX+1)</f>
        <v>231</v>
      </c>
      <c r="KK314" s="13">
        <f>IF(KB314=1,$KB$35,$KB$36)</f>
        <v>0</v>
      </c>
      <c r="KL314" s="13">
        <f>OCC_DAYS*$KB$41*R_NF_2023-KD314*MCD_SHARE_FREED*R_WAIT_2023</f>
        <v>94673.82103225985</v>
      </c>
      <c r="KM314">
        <f>IF($A314&lt;=$KB$45,1,0)</f>
        <v>0</v>
      </c>
      <c r="LB314">
        <f>IF($LB$31&lt;=$LB$32,IF($A314&lt;=$LB$7,1,2),IF($A314&lt;=RUNG_BEDS_2,2,1))</f>
        <v>1</v>
      </c>
      <c r="LC314" s="5">
        <f>MIN(1,MAX(0,$LB$26-($A314-1)))</f>
        <v>1</v>
      </c>
      <c r="LD314" s="5">
        <f>$LB$25*(LC314+(1-LC314)*$LB$16)</f>
        <v>84.01774238227146</v>
      </c>
      <c r="LE314" s="13">
        <f>LD314*($LB$6+ACUTE_MARGIN)</f>
        <v>84857.91980609419</v>
      </c>
      <c r="LF314" s="13">
        <f>IF(LB314=1,$LB$31,$LB$32)</f>
        <v>152394.16214437486</v>
      </c>
      <c r="LG314" s="13">
        <f>LE314-LF314</f>
        <v>-67536.24233828067</v>
      </c>
      <c r="LH314" s="13">
        <f>LH313+LG314</f>
        <v>-15600871.98014291</v>
      </c>
      <c r="LI314">
        <f>IF(LH314=MAX($LH$83:$LH$483),$A314,0)</f>
        <v>0</v>
      </c>
      <c r="LJ314">
        <f>IF(LE314&lt;LF314,$A314,B_MAX+1)</f>
        <v>231</v>
      </c>
      <c r="LK314" s="13">
        <f>IF(LB314=1,$LB$35,$LB$36)</f>
        <v>0</v>
      </c>
      <c r="LL314" s="13">
        <f>OCC_DAYS*$LB$41*R_NF_2023-LD314*MCD_SHARE_FREED*R_WAIT_2023</f>
        <v>113776.04162887059</v>
      </c>
      <c r="LM314">
        <f>IF($A314&lt;=$LB$45,1,0)</f>
        <v>0</v>
      </c>
      <c r="MB314">
        <f>IF($MB$31&lt;=$MB$32,IF($A314&lt;=$MB$7,1,2),IF($A314&lt;=RUNG_BEDS_2,2,1))</f>
        <v>1</v>
      </c>
      <c r="MC314" s="5">
        <f>MIN(1,MAX(0,$MB$26-($A314-1)))</f>
        <v>0</v>
      </c>
      <c r="MD314" s="5">
        <f>$MB$25*(MC314+(1-MC314)*$MB$16)</f>
        <v>0.0</v>
      </c>
      <c r="ME314" s="13">
        <f>MD314*($MB$6+ACUTE_MARGIN)</f>
        <v>0.0</v>
      </c>
      <c r="MF314" s="13">
        <f>IF(MB314=1,$MB$31,$MB$32)</f>
        <v>152394.16214437486</v>
      </c>
      <c r="MG314" s="13">
        <f>ME314-MF314</f>
        <v>-152394.16214437486</v>
      </c>
      <c r="MH314" s="13">
        <f>MH313+MG314</f>
        <v>-2861356.8888765867</v>
      </c>
      <c r="MI314">
        <f>IF(MH314=MAX($MH$83:$MH$483),$A314,0)</f>
        <v>0</v>
      </c>
      <c r="MJ314">
        <f>IF(ME314&lt;MF314,$A314,B_MAX+1)</f>
        <v>231</v>
      </c>
      <c r="MK314" s="13">
        <f>IF(MB314=1,$MB$35,$MB$36)</f>
        <v>0</v>
      </c>
      <c r="ML314" s="13">
        <f>OCC_DAYS*$MB$41*R_NF_2023-MD314*MCD_SHARE_FREED*R_WAIT_2023</f>
        <v>151980.48282209205</v>
      </c>
      <c r="MM314">
        <f>IF($A314&lt;=$MB$45,1,0)</f>
        <v>0</v>
      </c>
      <c r="NB314">
        <f>IF($NB$31&lt;=$NB$32,IF($A314&lt;=$NB$7,1,2),IF($A314&lt;=RUNG_BEDS_2,2,1))</f>
        <v>1</v>
      </c>
      <c r="NC314" s="5">
        <f>MIN(1,MAX(0,$NB$26-($A314-1)))</f>
        <v>0</v>
      </c>
      <c r="ND314" s="5">
        <f>$NB$25*(NC314+(1-NC314)*$NB$16)</f>
        <v>63.013306786703595</v>
      </c>
      <c r="NE314" s="13">
        <f>ND314*($NB$6+ACUTE_MARGIN)</f>
        <v>63643.43985457063</v>
      </c>
      <c r="NF314" s="13">
        <f>IF(NB314=1,$NB$31,$NB$32)</f>
        <v>152394.16214437486</v>
      </c>
      <c r="NG314" s="13">
        <f>NE314-NF314</f>
        <v>-88750.72228980422</v>
      </c>
      <c r="NH314" s="13">
        <f>NH313+NG314</f>
        <v>8170311.122259457</v>
      </c>
      <c r="NI314">
        <f>IF(NH314=MAX($NH$83:$NH$483),$A314,0)</f>
        <v>0</v>
      </c>
      <c r="NJ314">
        <f>IF(NE314&lt;NF314,$A314,B_MAX+1)</f>
        <v>231</v>
      </c>
      <c r="NK314" s="13">
        <f>IF(NB314=1,$NB$35,$NB$36)</f>
        <v>0</v>
      </c>
      <c r="NL314" s="13">
        <f>OCC_DAYS*$NB$41*R_NF_2023-ND314*MCD_SHARE_FREED*R_WAIT_2023</f>
        <v>123327.15192717595</v>
      </c>
      <c r="NM314">
        <f>IF($A314&lt;=$NB$45,1,0)</f>
        <v>0</v>
      </c>
      <c r="OB314">
        <f>IF($OB$31&lt;=$OB$32,IF($A314&lt;=$OB$7,1,2),IF($A314&lt;=RUNG_BEDS_2,2,1))</f>
        <v>1</v>
      </c>
      <c r="OC314" s="5">
        <f>MIN(1,MAX(0,$OB$26-($A314-1)))</f>
        <v>0</v>
      </c>
      <c r="OD314" s="5">
        <f>$OB$25*(OC314+(1-OC314)*$OB$16)</f>
        <v>126.02661357340719</v>
      </c>
      <c r="OE314" s="13">
        <f>OD314*($OB$6+ACUTE_MARGIN)</f>
        <v>127286.87970914126</v>
      </c>
      <c r="OF314" s="13">
        <f>IF(OB314=1,$OB$31,$OB$32)</f>
        <v>152394.16214437486</v>
      </c>
      <c r="OG314" s="13">
        <f>OE314-OF314</f>
        <v>-25107.282435233603</v>
      </c>
      <c r="OH314" s="13">
        <f>OH313+OG314</f>
        <v>13314703.071597287</v>
      </c>
      <c r="OI314">
        <f>IF(OH314=MAX($OH$83:$OH$483),$A314,0)</f>
        <v>0</v>
      </c>
      <c r="OJ314">
        <f>IF(OE314&lt;OF314,$A314,B_MAX+1)</f>
        <v>231</v>
      </c>
      <c r="OK314" s="13">
        <f>IF(OB314=1,$OB$35,$OB$36)</f>
        <v>0</v>
      </c>
      <c r="OL314" s="13">
        <f>OCC_DAYS*$OB$41*R_NF_2023-OD314*MCD_SHARE_FREED*R_WAIT_2023</f>
        <v>94673.82103225985</v>
      </c>
      <c r="OM314">
        <f>IF($A314&lt;=$OB$45,1,0)</f>
        <v>0</v>
      </c>
    </row>
    <row r="315">
      <c r="A315" t="n">
        <v>232</v>
      </c>
      <c r="B315">
        <f>IF($B$31&lt;=$B$32,IF($A315&lt;=$B$7,1,2),IF($A315&lt;=RUNG_BEDS_2,2,1))</f>
        <v>1</v>
      </c>
      <c r="C315" s="5">
        <f>MIN(1,MAX(0,$B$26-($A315-1)))</f>
        <v>0</v>
      </c>
      <c r="D315" s="5">
        <f>$B$25*(C315+(1-C315)*$B$16)</f>
        <v>0.0</v>
      </c>
      <c r="E315" s="13">
        <f>D315*($B$6+ACUTE_MARGIN)</f>
        <v>0.0</v>
      </c>
      <c r="F315" s="13">
        <f>IF(B315=1,$B$31,$B$32)</f>
        <v>152394.16214437486</v>
      </c>
      <c r="G315" s="13">
        <f>E315-F315</f>
        <v>-152394.16214437486</v>
      </c>
      <c r="H315" s="13">
        <f>H314+G315</f>
        <v>2873525.010777368</v>
      </c>
      <c r="I315">
        <f>IF(H315=MAX($H$83:$H$483),$A315,0)</f>
        <v>0</v>
      </c>
      <c r="J315">
        <f>IF(E315&lt;F315,$A315,B_MAX+1)</f>
        <v>232</v>
      </c>
      <c r="K315" s="13">
        <f>IF(B315=1,$B$35,$B$36)</f>
        <v>0</v>
      </c>
      <c r="L315" s="13">
        <f>OCC_DAYS*$B$41*R_NF_2023-D315*MCD_SHARE_FREED*R_WAIT_2023</f>
        <v>151980.48282209205</v>
      </c>
      <c r="M315">
        <f>IF($A315&lt;=$B$45,1,0)</f>
        <v>0</v>
      </c>
      <c r="AB315">
        <f>IF($AB$31&lt;=$AB$32,IF($A315&lt;=$AB$7,1,2),IF($A315&lt;=RUNG_BEDS_2,2,1))</f>
        <v>1</v>
      </c>
      <c r="AC315" s="5">
        <f>MIN(1,MAX(0,$AB$26-($A315-1)))</f>
        <v>0</v>
      </c>
      <c r="AD315" s="5">
        <f>$AB$25*(AC315+(1-AC315)*$AB$16)</f>
        <v>0.0</v>
      </c>
      <c r="AE315" s="13">
        <f>AD315*($AB$6+ACUTE_MARGIN)</f>
        <v>0.0</v>
      </c>
      <c r="AF315" s="13">
        <f>IF(AB315=1,$AB$31,$AB$32)</f>
        <v>152394.16214437486</v>
      </c>
      <c r="AG315" s="13">
        <f>AE315-AF315</f>
        <v>-152394.16214437486</v>
      </c>
      <c r="AH315" s="13">
        <f>AH314+AG315</f>
        <v>-14537689.334772428</v>
      </c>
      <c r="AI315">
        <f>IF(AH315=MAX($AH$83:$AH$483),$A315,0)</f>
        <v>0</v>
      </c>
      <c r="AJ315">
        <f>IF(AE315&lt;AF315,$A315,B_MAX+1)</f>
        <v>232</v>
      </c>
      <c r="AK315" s="13">
        <f>IF(AB315=1,$AB$35,$AB$36)</f>
        <v>0</v>
      </c>
      <c r="AL315" s="13">
        <f>OCC_DAYS*$AB$41*R_NF_2023-AD315*MCD_SHARE_FREED*R_WAIT_2023</f>
        <v>151980.48282209205</v>
      </c>
      <c r="AM315">
        <f>IF($A315&lt;=$AB$45,1,0)</f>
        <v>0</v>
      </c>
      <c r="BB315">
        <f>IF($BB$31&lt;=$BB$32,IF($A315&lt;=$BB$7,1,2),IF($A315&lt;=RUNG_BEDS_2,2,1))</f>
        <v>1</v>
      </c>
      <c r="BC315" s="5">
        <f>MIN(1,MAX(0,$BB$26-($A315-1)))</f>
        <v>0</v>
      </c>
      <c r="BD315" s="5">
        <f>$BB$25*(BC315+(1-BC315)*$BB$16)</f>
        <v>0.0</v>
      </c>
      <c r="BE315" s="13">
        <f>BD315*($BB$6+ACUTE_MARGIN)</f>
        <v>0.0</v>
      </c>
      <c r="BF315" s="13">
        <f>IF(BB315=1,$BB$31,$BB$32)</f>
        <v>152394.16214437486</v>
      </c>
      <c r="BG315" s="13">
        <f>BE315-BF315</f>
        <v>-152394.16214437486</v>
      </c>
      <c r="BH315" s="13">
        <f>BH314+BG315</f>
        <v>20284739.356327064</v>
      </c>
      <c r="BI315">
        <f>IF(BH315=MAX($BH$83:$BH$483),$A315,0)</f>
        <v>0</v>
      </c>
      <c r="BJ315">
        <f>IF(BE315&lt;BF315,$A315,B_MAX+1)</f>
        <v>232</v>
      </c>
      <c r="BK315" s="13">
        <f>IF(BB315=1,$BB$35,$BB$36)</f>
        <v>0</v>
      </c>
      <c r="BL315" s="13">
        <f>OCC_DAYS*$BB$41*R_NF_2023-BD315*MCD_SHARE_FREED*R_WAIT_2023</f>
        <v>151980.48282209205</v>
      </c>
      <c r="BM315">
        <f>IF($A315&lt;=$BB$45,1,0)</f>
        <v>0</v>
      </c>
      <c r="CB315">
        <f>IF($CB$31&lt;=$CB$32,IF($A315&lt;=$CB$7,1,2),IF($A315&lt;=RUNG_BEDS_2,2,1))</f>
        <v>2</v>
      </c>
      <c r="CC315" s="5">
        <f>MIN(1,MAX(0,$CB$26-($A315-1)))</f>
        <v>0</v>
      </c>
      <c r="CD315" s="5">
        <f>$CB$25*(CC315+(1-CC315)*$CB$16)</f>
        <v>0.0</v>
      </c>
      <c r="CE315" s="13">
        <f>CD315*($CB$6+ACUTE_MARGIN)</f>
        <v>0.0</v>
      </c>
      <c r="CF315" s="13">
        <f>IF(CB315=1,$CB$31,$CB$32)</f>
        <v>160718.36940738867</v>
      </c>
      <c r="CG315" s="13">
        <f>CE315-CF315</f>
        <v>-160718.36940738867</v>
      </c>
      <c r="CH315" s="13">
        <f>CH314+CG315</f>
        <v>942308.9257580494</v>
      </c>
      <c r="CI315">
        <f>IF(CH315=MAX($CH$83:$CH$483),$A315,0)</f>
        <v>0</v>
      </c>
      <c r="CJ315">
        <f>IF(CE315&lt;CF315,$A315,B_MAX+1)</f>
        <v>232</v>
      </c>
      <c r="CK315" s="13">
        <f>IF(CB315=1,$CB$35,$CB$36)</f>
        <v>1560.1194073886782</v>
      </c>
      <c r="CL315" s="13">
        <f>OCC_DAYS*$CB$41*R_NF_2023-CD315*MCD_SHARE_FREED*R_WAIT_2023</f>
        <v>151980.48282209205</v>
      </c>
      <c r="CM315">
        <f>IF($A315&lt;=$CB$45,1,0)</f>
        <v>0</v>
      </c>
      <c r="DB315">
        <f>IF($DB$31&lt;=$DB$32,IF($A315&lt;=$DB$7,1,2),IF($A315&lt;=RUNG_BEDS_2,2,1))</f>
        <v>1</v>
      </c>
      <c r="DC315" s="5">
        <f>MIN(1,MAX(0,$DB$26-($A315-1)))</f>
        <v>0</v>
      </c>
      <c r="DD315" s="5">
        <f>$DB$25*(DC315+(1-DC315)*$DB$16)</f>
        <v>0.0</v>
      </c>
      <c r="DE315" s="13">
        <f>DD315*($DB$6+ACUTE_MARGIN)</f>
        <v>0.0</v>
      </c>
      <c r="DF315" s="13">
        <f>IF(DB315=1,$DB$31,$DB$32)</f>
        <v>152394.16214437486</v>
      </c>
      <c r="DG315" s="13">
        <f>DE315-DF315</f>
        <v>-152394.16214437486</v>
      </c>
      <c r="DH315" s="13">
        <f>DH314+DG315</f>
        <v>2873525.010777368</v>
      </c>
      <c r="DI315">
        <f>IF(DH315=MAX($DH$83:$DH$483),$A315,0)</f>
        <v>0</v>
      </c>
      <c r="DJ315">
        <f>IF(DE315&lt;DF315,$A315,B_MAX+1)</f>
        <v>232</v>
      </c>
      <c r="DK315" s="13">
        <f>IF(DB315=1,$DB$35,$DB$36)</f>
        <v>0</v>
      </c>
      <c r="DL315" s="13">
        <f>OCC_DAYS*$DB$41*R_NF_2023-DD315*MCD_SHARE_FREED*R_WAIT_2023</f>
        <v>151980.48282209205</v>
      </c>
      <c r="DM315">
        <f>IF($A315&lt;=$DB$45,1,0)</f>
        <v>0</v>
      </c>
      <c r="EB315">
        <f>IF($EB$31&lt;=$EB$32,IF($A315&lt;=$EB$7,1,2),IF($A315&lt;=RUNG_BEDS_2,2,1))</f>
        <v>1</v>
      </c>
      <c r="EC315" s="5">
        <f>MIN(1,MAX(0,$EB$26-($A315-1)))</f>
        <v>0</v>
      </c>
      <c r="ED315" s="5">
        <f>$EB$25*(EC315+(1-EC315)*$EB$16)</f>
        <v>0.0</v>
      </c>
      <c r="EE315" s="13">
        <f>ED315*($EB$6+ACUTE_MARGIN)</f>
        <v>0.0</v>
      </c>
      <c r="EF315" s="13">
        <f>IF(EB315=1,$EB$31,$EB$32)</f>
        <v>152394.16214437486</v>
      </c>
      <c r="EG315" s="13">
        <f>EE315-EF315</f>
        <v>-152394.16214437486</v>
      </c>
      <c r="EH315" s="13">
        <f>EH314+EG315</f>
        <v>2873525.010777368</v>
      </c>
      <c r="EI315">
        <f>IF(EH315=MAX($EH$83:$EH$483),$A315,0)</f>
        <v>0</v>
      </c>
      <c r="EJ315">
        <f>IF(EE315&lt;EF315,$A315,B_MAX+1)</f>
        <v>232</v>
      </c>
      <c r="EK315" s="13">
        <f>IF(EB315=1,$EB$35,$EB$36)</f>
        <v>0</v>
      </c>
      <c r="EL315" s="13">
        <f>OCC_DAYS*$EB$41*R_NF_2023-ED315*MCD_SHARE_FREED*R_WAIT_2023</f>
        <v>50660.16094069735</v>
      </c>
      <c r="EM315">
        <f>IF($A315&lt;=$EB$45,1,0)</f>
        <v>0</v>
      </c>
      <c r="FB315">
        <f>IF($FB$31&lt;=$FB$32,IF($A315&lt;=$FB$7,1,2),IF($A315&lt;=RUNG_BEDS_2,2,1))</f>
        <v>1</v>
      </c>
      <c r="FC315" s="5">
        <f>MIN(1,MAX(0,$FB$26-($A315-1)))</f>
        <v>0</v>
      </c>
      <c r="FD315" s="5">
        <f>$FB$25*(FC315+(1-FC315)*$FB$16)</f>
        <v>0.0</v>
      </c>
      <c r="FE315" s="13">
        <f>FD315*($FB$6+ACUTE_MARGIN)</f>
        <v>0.0</v>
      </c>
      <c r="FF315" s="13">
        <f>IF(FB315=1,$FB$31,$FB$32)</f>
        <v>156636.04979437485</v>
      </c>
      <c r="FG315" s="13">
        <f>FE315-FF315</f>
        <v>-156636.04979437485</v>
      </c>
      <c r="FH315" s="13">
        <f>FH314+FG315</f>
        <v>1889407.0759772547</v>
      </c>
      <c r="FI315">
        <f>IF(FH315=MAX($FH$83:$FH$483),$A315,0)</f>
        <v>0</v>
      </c>
      <c r="FJ315">
        <f>IF(FE315&lt;FF315,$A315,B_MAX+1)</f>
        <v>232</v>
      </c>
      <c r="FK315" s="13">
        <f>IF(FB315=1,$FB$35,$FB$36)</f>
        <v>0</v>
      </c>
      <c r="FL315" s="13">
        <f>OCC_DAYS*$FB$41*R_NF_2023-FD315*MCD_SHARE_FREED*R_WAIT_2023</f>
        <v>151980.48282209205</v>
      </c>
      <c r="FM315">
        <f>IF($A315&lt;=$FB$45,1,0)</f>
        <v>0</v>
      </c>
      <c r="GB315">
        <f>IF($GB$31&lt;=$GB$32,IF($A315&lt;=$GB$7,1,2),IF($A315&lt;=RUNG_BEDS_2,2,1))</f>
        <v>1</v>
      </c>
      <c r="GC315" s="5">
        <f>MIN(1,MAX(0,$GB$26-($A315-1)))</f>
        <v>0</v>
      </c>
      <c r="GD315" s="5">
        <f>$GB$25*(GC315+(1-GC315)*$GB$16)</f>
        <v>0.0</v>
      </c>
      <c r="GE315" s="13">
        <f>GD315*($GB$6+ACUTE_MARGIN)</f>
        <v>0.0</v>
      </c>
      <c r="GF315" s="13">
        <f>IF(GB315=1,$GB$31,$GB$32)</f>
        <v>152394.16214437486</v>
      </c>
      <c r="GG315" s="13">
        <f>GE315-GF315</f>
        <v>-152394.16214437486</v>
      </c>
      <c r="GH315" s="13">
        <f>GH314+GG315</f>
        <v>2873525.010777368</v>
      </c>
      <c r="GI315">
        <f>IF(GH315=MAX($GH$83:$GH$483),$A315,0)</f>
        <v>0</v>
      </c>
      <c r="GJ315">
        <f>IF(GE315&lt;GF315,$A315,B_MAX+1)</f>
        <v>232</v>
      </c>
      <c r="GK315" s="13">
        <f>IF(GB315=1,$GB$35,$GB$36)</f>
        <v>0</v>
      </c>
      <c r="GL315" s="13">
        <f>OCC_DAYS*$GB$41*R_NF_2023-GD315*MCD_SHARE_FREED*R_WAIT_2023</f>
        <v>151980.48282209205</v>
      </c>
      <c r="GM315">
        <f>IF($A315&lt;=$GB$45,1,0)</f>
        <v>0</v>
      </c>
      <c r="HB315">
        <f>IF($HB$31&lt;=$HB$32,IF($A315&lt;=$HB$7,1,2),IF($A315&lt;=RUNG_BEDS_2,2,1))</f>
        <v>1</v>
      </c>
      <c r="HC315" s="5">
        <f>MIN(1,MAX(0,$HB$26-($A315-1)))</f>
        <v>0</v>
      </c>
      <c r="HD315" s="5">
        <f>$HB$25*(HC315+(1-HC315)*$HB$16)</f>
        <v>0.0</v>
      </c>
      <c r="HE315" s="13">
        <f>HD315*($HB$6+ACUTE_MARGIN)</f>
        <v>0.0</v>
      </c>
      <c r="HF315" s="13">
        <f>IF(HB315=1,$HB$31,$HB$32)</f>
        <v>152456.2970814058</v>
      </c>
      <c r="HG315" s="13">
        <f>HE315-HF315</f>
        <v>-152456.2970814058</v>
      </c>
      <c r="HH315" s="13">
        <f>HH314+HG315</f>
        <v>2859109.70538615</v>
      </c>
      <c r="HI315">
        <f>IF(HH315=MAX($HH$83:$HH$483),$A315,0)</f>
        <v>0</v>
      </c>
      <c r="HJ315">
        <f>IF(HE315&lt;HF315,$A315,B_MAX+1)</f>
        <v>232</v>
      </c>
      <c r="HK315" s="13">
        <f>IF(HB315=1,$HB$35,$HB$36)</f>
        <v>0</v>
      </c>
      <c r="HL315" s="13">
        <f>OCC_DAYS*$HB$41*R_NF_2023-HD315*MCD_SHARE_FREED*R_WAIT_2023</f>
        <v>151980.48282209205</v>
      </c>
      <c r="HM315">
        <f>IF($A315&lt;=$HB$45,1,0)</f>
        <v>0</v>
      </c>
      <c r="IB315">
        <f>IF($IB$31&lt;=$IB$32,IF($A315&lt;=$IB$7,1,2),IF($A315&lt;=RUNG_BEDS_2,2,1))</f>
        <v>1</v>
      </c>
      <c r="IC315" s="5">
        <f>MIN(1,MAX(0,$IB$26-($A315-1)))</f>
        <v>0</v>
      </c>
      <c r="ID315" s="5">
        <f>$IB$25*(IC315+(1-IC315)*$IB$16)</f>
        <v>0.0</v>
      </c>
      <c r="IE315" s="13">
        <f>ID315*($IB$6+ACUTE_MARGIN)</f>
        <v>0.0</v>
      </c>
      <c r="IF315" s="13">
        <f>IF(IB315=1,$IB$31,$IB$32)</f>
        <v>152734.9994534971</v>
      </c>
      <c r="IG315" s="13">
        <f>IE315-IF315</f>
        <v>-152734.9994534971</v>
      </c>
      <c r="IH315" s="13">
        <f>IH314+IG315</f>
        <v>2794450.755060916</v>
      </c>
      <c r="II315">
        <f>IF(IH315=MAX($IH$83:$IH$483),$A315,0)</f>
        <v>0</v>
      </c>
      <c r="IJ315">
        <f>IF(IE315&lt;IF315,$A315,B_MAX+1)</f>
        <v>232</v>
      </c>
      <c r="IK315" s="13">
        <f>IF(IB315=1,$IB$35,$IB$36)</f>
        <v>0</v>
      </c>
      <c r="IL315" s="13">
        <f>OCC_DAYS*$IB$41*R_NF_2023-ID315*MCD_SHARE_FREED*R_WAIT_2023</f>
        <v>151980.48282209205</v>
      </c>
      <c r="IM315">
        <f>IF($A315&lt;=$IB$45,1,0)</f>
        <v>0</v>
      </c>
      <c r="JB315">
        <f>IF($JB$31&lt;=$JB$32,IF($A315&lt;=$JB$7,1,2),IF($A315&lt;=RUNG_BEDS_2,2,1))</f>
        <v>1</v>
      </c>
      <c r="JC315" s="5">
        <f>MIN(1,MAX(0,$JB$26-($A315-1)))</f>
        <v>0</v>
      </c>
      <c r="JD315" s="5">
        <f>$JB$25*(JC315+(1-JC315)*$JB$16)</f>
        <v>0.0</v>
      </c>
      <c r="JE315" s="13">
        <f>JD315*($JB$6+ACUTE_MARGIN)</f>
        <v>0.0</v>
      </c>
      <c r="JF315" s="13">
        <f>IF(JB315=1,$JB$31,$JB$32)</f>
        <v>152394.16214437486</v>
      </c>
      <c r="JG315" s="13">
        <f>JE315-JF315</f>
        <v>-152394.16214437486</v>
      </c>
      <c r="JH315" s="13">
        <f>JH314+JG315</f>
        <v>2873525.010777368</v>
      </c>
      <c r="JI315">
        <f>IF(JH315=MAX($JH$83:$JH$483),$A315,0)</f>
        <v>0</v>
      </c>
      <c r="JJ315">
        <f>IF(JE315&lt;JF315,$A315,B_MAX+1)</f>
        <v>232</v>
      </c>
      <c r="JK315" s="13">
        <f>IF(JB315=1,$JB$35,$JB$36)</f>
        <v>0</v>
      </c>
      <c r="JL315" s="13">
        <f>OCC_DAYS*$JB$41*R_NF_2023-JD315*MCD_SHARE_FREED*R_WAIT_2023</f>
        <v>151980.48282209205</v>
      </c>
      <c r="JM315">
        <f>IF($A315&lt;=$JB$45,1,0)</f>
        <v>0</v>
      </c>
      <c r="KB315">
        <f>IF($KB$31&lt;=$KB$32,IF($A315&lt;=$KB$7,1,2),IF($A315&lt;=RUNG_BEDS_2,2,1))</f>
        <v>1</v>
      </c>
      <c r="KC315" s="5">
        <f>MIN(1,MAX(0,$KB$26-($A315-1)))</f>
        <v>1</v>
      </c>
      <c r="KD315" s="5">
        <f>$KB$25*(KC315+(1-KC315)*$KB$16)</f>
        <v>126.02661357340719</v>
      </c>
      <c r="KE315" s="13">
        <f>KD315*($KB$6+ACUTE_MARGIN)</f>
        <v>127286.87970914126</v>
      </c>
      <c r="KF315" s="13">
        <f>IF(KB315=1,$KB$31,$KB$32)</f>
        <v>152394.16214437486</v>
      </c>
      <c r="KG315" s="13">
        <f>KE315-KF315</f>
        <v>-25107.282435233603</v>
      </c>
      <c r="KH315" s="13">
        <f>KH314+KG315</f>
        <v>-5824889.524974215</v>
      </c>
      <c r="KI315">
        <f>IF(KH315=MAX($KH$83:$KH$483),$A315,0)</f>
        <v>0</v>
      </c>
      <c r="KJ315">
        <f>IF(KE315&lt;KF315,$A315,B_MAX+1)</f>
        <v>232</v>
      </c>
      <c r="KK315" s="13">
        <f>IF(KB315=1,$KB$35,$KB$36)</f>
        <v>0</v>
      </c>
      <c r="KL315" s="13">
        <f>OCC_DAYS*$KB$41*R_NF_2023-KD315*MCD_SHARE_FREED*R_WAIT_2023</f>
        <v>94673.82103225985</v>
      </c>
      <c r="KM315">
        <f>IF($A315&lt;=$KB$45,1,0)</f>
        <v>0</v>
      </c>
      <c r="LB315">
        <f>IF($LB$31&lt;=$LB$32,IF($A315&lt;=$LB$7,1,2),IF($A315&lt;=RUNG_BEDS_2,2,1))</f>
        <v>1</v>
      </c>
      <c r="LC315" s="5">
        <f>MIN(1,MAX(0,$LB$26-($A315-1)))</f>
        <v>1</v>
      </c>
      <c r="LD315" s="5">
        <f>$LB$25*(LC315+(1-LC315)*$LB$16)</f>
        <v>84.01774238227146</v>
      </c>
      <c r="LE315" s="13">
        <f>LD315*($LB$6+ACUTE_MARGIN)</f>
        <v>84857.91980609419</v>
      </c>
      <c r="LF315" s="13">
        <f>IF(LB315=1,$LB$31,$LB$32)</f>
        <v>152394.16214437486</v>
      </c>
      <c r="LG315" s="13">
        <f>LE315-LF315</f>
        <v>-67536.24233828067</v>
      </c>
      <c r="LH315" s="13">
        <f>LH314+LG315</f>
        <v>-15668408.222481191</v>
      </c>
      <c r="LI315">
        <f>IF(LH315=MAX($LH$83:$LH$483),$A315,0)</f>
        <v>0</v>
      </c>
      <c r="LJ315">
        <f>IF(LE315&lt;LF315,$A315,B_MAX+1)</f>
        <v>232</v>
      </c>
      <c r="LK315" s="13">
        <f>IF(LB315=1,$LB$35,$LB$36)</f>
        <v>0</v>
      </c>
      <c r="LL315" s="13">
        <f>OCC_DAYS*$LB$41*R_NF_2023-LD315*MCD_SHARE_FREED*R_WAIT_2023</f>
        <v>113776.04162887059</v>
      </c>
      <c r="LM315">
        <f>IF($A315&lt;=$LB$45,1,0)</f>
        <v>0</v>
      </c>
      <c r="MB315">
        <f>IF($MB$31&lt;=$MB$32,IF($A315&lt;=$MB$7,1,2),IF($A315&lt;=RUNG_BEDS_2,2,1))</f>
        <v>1</v>
      </c>
      <c r="MC315" s="5">
        <f>MIN(1,MAX(0,$MB$26-($A315-1)))</f>
        <v>0</v>
      </c>
      <c r="MD315" s="5">
        <f>$MB$25*(MC315+(1-MC315)*$MB$16)</f>
        <v>0.0</v>
      </c>
      <c r="ME315" s="13">
        <f>MD315*($MB$6+ACUTE_MARGIN)</f>
        <v>0.0</v>
      </c>
      <c r="MF315" s="13">
        <f>IF(MB315=1,$MB$31,$MB$32)</f>
        <v>152394.16214437486</v>
      </c>
      <c r="MG315" s="13">
        <f>ME315-MF315</f>
        <v>-152394.16214437486</v>
      </c>
      <c r="MH315" s="13">
        <f>MH314+MG315</f>
        <v>-3013751.0510209617</v>
      </c>
      <c r="MI315">
        <f>IF(MH315=MAX($MH$83:$MH$483),$A315,0)</f>
        <v>0</v>
      </c>
      <c r="MJ315">
        <f>IF(ME315&lt;MF315,$A315,B_MAX+1)</f>
        <v>232</v>
      </c>
      <c r="MK315" s="13">
        <f>IF(MB315=1,$MB$35,$MB$36)</f>
        <v>0</v>
      </c>
      <c r="ML315" s="13">
        <f>OCC_DAYS*$MB$41*R_NF_2023-MD315*MCD_SHARE_FREED*R_WAIT_2023</f>
        <v>151980.48282209205</v>
      </c>
      <c r="MM315">
        <f>IF($A315&lt;=$MB$45,1,0)</f>
        <v>0</v>
      </c>
      <c r="NB315">
        <f>IF($NB$31&lt;=$NB$32,IF($A315&lt;=$NB$7,1,2),IF($A315&lt;=RUNG_BEDS_2,2,1))</f>
        <v>1</v>
      </c>
      <c r="NC315" s="5">
        <f>MIN(1,MAX(0,$NB$26-($A315-1)))</f>
        <v>0</v>
      </c>
      <c r="ND315" s="5">
        <f>$NB$25*(NC315+(1-NC315)*$NB$16)</f>
        <v>63.013306786703595</v>
      </c>
      <c r="NE315" s="13">
        <f>ND315*($NB$6+ACUTE_MARGIN)</f>
        <v>63643.43985457063</v>
      </c>
      <c r="NF315" s="13">
        <f>IF(NB315=1,$NB$31,$NB$32)</f>
        <v>152394.16214437486</v>
      </c>
      <c r="NG315" s="13">
        <f>NE315-NF315</f>
        <v>-88750.72228980422</v>
      </c>
      <c r="NH315" s="13">
        <f>NH314+NG315</f>
        <v>8081560.399969652</v>
      </c>
      <c r="NI315">
        <f>IF(NH315=MAX($NH$83:$NH$483),$A315,0)</f>
        <v>0</v>
      </c>
      <c r="NJ315">
        <f>IF(NE315&lt;NF315,$A315,B_MAX+1)</f>
        <v>232</v>
      </c>
      <c r="NK315" s="13">
        <f>IF(NB315=1,$NB$35,$NB$36)</f>
        <v>0</v>
      </c>
      <c r="NL315" s="13">
        <f>OCC_DAYS*$NB$41*R_NF_2023-ND315*MCD_SHARE_FREED*R_WAIT_2023</f>
        <v>123327.15192717595</v>
      </c>
      <c r="NM315">
        <f>IF($A315&lt;=$NB$45,1,0)</f>
        <v>0</v>
      </c>
      <c r="OB315">
        <f>IF($OB$31&lt;=$OB$32,IF($A315&lt;=$OB$7,1,2),IF($A315&lt;=RUNG_BEDS_2,2,1))</f>
        <v>1</v>
      </c>
      <c r="OC315" s="5">
        <f>MIN(1,MAX(0,$OB$26-($A315-1)))</f>
        <v>0</v>
      </c>
      <c r="OD315" s="5">
        <f>$OB$25*(OC315+(1-OC315)*$OB$16)</f>
        <v>126.02661357340719</v>
      </c>
      <c r="OE315" s="13">
        <f>OD315*($OB$6+ACUTE_MARGIN)</f>
        <v>127286.87970914126</v>
      </c>
      <c r="OF315" s="13">
        <f>IF(OB315=1,$OB$31,$OB$32)</f>
        <v>152394.16214437486</v>
      </c>
      <c r="OG315" s="13">
        <f>OE315-OF315</f>
        <v>-25107.282435233603</v>
      </c>
      <c r="OH315" s="13">
        <f>OH314+OG315</f>
        <v>13289595.789162055</v>
      </c>
      <c r="OI315">
        <f>IF(OH315=MAX($OH$83:$OH$483),$A315,0)</f>
        <v>0</v>
      </c>
      <c r="OJ315">
        <f>IF(OE315&lt;OF315,$A315,B_MAX+1)</f>
        <v>232</v>
      </c>
      <c r="OK315" s="13">
        <f>IF(OB315=1,$OB$35,$OB$36)</f>
        <v>0</v>
      </c>
      <c r="OL315" s="13">
        <f>OCC_DAYS*$OB$41*R_NF_2023-OD315*MCD_SHARE_FREED*R_WAIT_2023</f>
        <v>94673.82103225985</v>
      </c>
      <c r="OM315">
        <f>IF($A315&lt;=$OB$45,1,0)</f>
        <v>0</v>
      </c>
    </row>
    <row r="316">
      <c r="A316" t="n">
        <v>233</v>
      </c>
      <c r="B316">
        <f>IF($B$31&lt;=$B$32,IF($A316&lt;=$B$7,1,2),IF($A316&lt;=RUNG_BEDS_2,2,1))</f>
        <v>1</v>
      </c>
      <c r="C316" s="5">
        <f>MIN(1,MAX(0,$B$26-($A316-1)))</f>
        <v>0</v>
      </c>
      <c r="D316" s="5">
        <f>$B$25*(C316+(1-C316)*$B$16)</f>
        <v>0.0</v>
      </c>
      <c r="E316" s="13">
        <f>D316*($B$6+ACUTE_MARGIN)</f>
        <v>0.0</v>
      </c>
      <c r="F316" s="13">
        <f>IF(B316=1,$B$31,$B$32)</f>
        <v>152394.16214437486</v>
      </c>
      <c r="G316" s="13">
        <f>E316-F316</f>
        <v>-152394.16214437486</v>
      </c>
      <c r="H316" s="13">
        <f>H315+G316</f>
        <v>2721130.848632993</v>
      </c>
      <c r="I316">
        <f>IF(H316=MAX($H$83:$H$483),$A316,0)</f>
        <v>0</v>
      </c>
      <c r="J316">
        <f>IF(E316&lt;F316,$A316,B_MAX+1)</f>
        <v>233</v>
      </c>
      <c r="K316" s="13">
        <f>IF(B316=1,$B$35,$B$36)</f>
        <v>0</v>
      </c>
      <c r="L316" s="13">
        <f>OCC_DAYS*$B$41*R_NF_2023-D316*MCD_SHARE_FREED*R_WAIT_2023</f>
        <v>151980.48282209205</v>
      </c>
      <c r="M316">
        <f>IF($A316&lt;=$B$45,1,0)</f>
        <v>0</v>
      </c>
      <c r="AB316">
        <f>IF($AB$31&lt;=$AB$32,IF($A316&lt;=$AB$7,1,2),IF($A316&lt;=RUNG_BEDS_2,2,1))</f>
        <v>1</v>
      </c>
      <c r="AC316" s="5">
        <f>MIN(1,MAX(0,$AB$26-($A316-1)))</f>
        <v>0</v>
      </c>
      <c r="AD316" s="5">
        <f>$AB$25*(AC316+(1-AC316)*$AB$16)</f>
        <v>0.0</v>
      </c>
      <c r="AE316" s="13">
        <f>AD316*($AB$6+ACUTE_MARGIN)</f>
        <v>0.0</v>
      </c>
      <c r="AF316" s="13">
        <f>IF(AB316=1,$AB$31,$AB$32)</f>
        <v>152394.16214437486</v>
      </c>
      <c r="AG316" s="13">
        <f>AE316-AF316</f>
        <v>-152394.16214437486</v>
      </c>
      <c r="AH316" s="13">
        <f>AH315+AG316</f>
        <v>-14690083.496916803</v>
      </c>
      <c r="AI316">
        <f>IF(AH316=MAX($AH$83:$AH$483),$A316,0)</f>
        <v>0</v>
      </c>
      <c r="AJ316">
        <f>IF(AE316&lt;AF316,$A316,B_MAX+1)</f>
        <v>233</v>
      </c>
      <c r="AK316" s="13">
        <f>IF(AB316=1,$AB$35,$AB$36)</f>
        <v>0</v>
      </c>
      <c r="AL316" s="13">
        <f>OCC_DAYS*$AB$41*R_NF_2023-AD316*MCD_SHARE_FREED*R_WAIT_2023</f>
        <v>151980.48282209205</v>
      </c>
      <c r="AM316">
        <f>IF($A316&lt;=$AB$45,1,0)</f>
        <v>0</v>
      </c>
      <c r="BB316">
        <f>IF($BB$31&lt;=$BB$32,IF($A316&lt;=$BB$7,1,2),IF($A316&lt;=RUNG_BEDS_2,2,1))</f>
        <v>1</v>
      </c>
      <c r="BC316" s="5">
        <f>MIN(1,MAX(0,$BB$26-($A316-1)))</f>
        <v>0</v>
      </c>
      <c r="BD316" s="5">
        <f>$BB$25*(BC316+(1-BC316)*$BB$16)</f>
        <v>0.0</v>
      </c>
      <c r="BE316" s="13">
        <f>BD316*($BB$6+ACUTE_MARGIN)</f>
        <v>0.0</v>
      </c>
      <c r="BF316" s="13">
        <f>IF(BB316=1,$BB$31,$BB$32)</f>
        <v>152394.16214437486</v>
      </c>
      <c r="BG316" s="13">
        <f>BE316-BF316</f>
        <v>-152394.16214437486</v>
      </c>
      <c r="BH316" s="13">
        <f>BH315+BG316</f>
        <v>20132345.19418269</v>
      </c>
      <c r="BI316">
        <f>IF(BH316=MAX($BH$83:$BH$483),$A316,0)</f>
        <v>0</v>
      </c>
      <c r="BJ316">
        <f>IF(BE316&lt;BF316,$A316,B_MAX+1)</f>
        <v>233</v>
      </c>
      <c r="BK316" s="13">
        <f>IF(BB316=1,$BB$35,$BB$36)</f>
        <v>0</v>
      </c>
      <c r="BL316" s="13">
        <f>OCC_DAYS*$BB$41*R_NF_2023-BD316*MCD_SHARE_FREED*R_WAIT_2023</f>
        <v>151980.48282209205</v>
      </c>
      <c r="BM316">
        <f>IF($A316&lt;=$BB$45,1,0)</f>
        <v>0</v>
      </c>
      <c r="CB316">
        <f>IF($CB$31&lt;=$CB$32,IF($A316&lt;=$CB$7,1,2),IF($A316&lt;=RUNG_BEDS_2,2,1))</f>
        <v>2</v>
      </c>
      <c r="CC316" s="5">
        <f>MIN(1,MAX(0,$CB$26-($A316-1)))</f>
        <v>0</v>
      </c>
      <c r="CD316" s="5">
        <f>$CB$25*(CC316+(1-CC316)*$CB$16)</f>
        <v>0.0</v>
      </c>
      <c r="CE316" s="13">
        <f>CD316*($CB$6+ACUTE_MARGIN)</f>
        <v>0.0</v>
      </c>
      <c r="CF316" s="13">
        <f>IF(CB316=1,$CB$31,$CB$32)</f>
        <v>160718.36940738867</v>
      </c>
      <c r="CG316" s="13">
        <f>CE316-CF316</f>
        <v>-160718.36940738867</v>
      </c>
      <c r="CH316" s="13">
        <f>CH315+CG316</f>
        <v>781590.5563506607</v>
      </c>
      <c r="CI316">
        <f>IF(CH316=MAX($CH$83:$CH$483),$A316,0)</f>
        <v>0</v>
      </c>
      <c r="CJ316">
        <f>IF(CE316&lt;CF316,$A316,B_MAX+1)</f>
        <v>233</v>
      </c>
      <c r="CK316" s="13">
        <f>IF(CB316=1,$CB$35,$CB$36)</f>
        <v>1560.1194073886782</v>
      </c>
      <c r="CL316" s="13">
        <f>OCC_DAYS*$CB$41*R_NF_2023-CD316*MCD_SHARE_FREED*R_WAIT_2023</f>
        <v>151980.48282209205</v>
      </c>
      <c r="CM316">
        <f>IF($A316&lt;=$CB$45,1,0)</f>
        <v>0</v>
      </c>
      <c r="DB316">
        <f>IF($DB$31&lt;=$DB$32,IF($A316&lt;=$DB$7,1,2),IF($A316&lt;=RUNG_BEDS_2,2,1))</f>
        <v>1</v>
      </c>
      <c r="DC316" s="5">
        <f>MIN(1,MAX(0,$DB$26-($A316-1)))</f>
        <v>0</v>
      </c>
      <c r="DD316" s="5">
        <f>$DB$25*(DC316+(1-DC316)*$DB$16)</f>
        <v>0.0</v>
      </c>
      <c r="DE316" s="13">
        <f>DD316*($DB$6+ACUTE_MARGIN)</f>
        <v>0.0</v>
      </c>
      <c r="DF316" s="13">
        <f>IF(DB316=1,$DB$31,$DB$32)</f>
        <v>152394.16214437486</v>
      </c>
      <c r="DG316" s="13">
        <f>DE316-DF316</f>
        <v>-152394.16214437486</v>
      </c>
      <c r="DH316" s="13">
        <f>DH315+DG316</f>
        <v>2721130.848632993</v>
      </c>
      <c r="DI316">
        <f>IF(DH316=MAX($DH$83:$DH$483),$A316,0)</f>
        <v>0</v>
      </c>
      <c r="DJ316">
        <f>IF(DE316&lt;DF316,$A316,B_MAX+1)</f>
        <v>233</v>
      </c>
      <c r="DK316" s="13">
        <f>IF(DB316=1,$DB$35,$DB$36)</f>
        <v>0</v>
      </c>
      <c r="DL316" s="13">
        <f>OCC_DAYS*$DB$41*R_NF_2023-DD316*MCD_SHARE_FREED*R_WAIT_2023</f>
        <v>151980.48282209205</v>
      </c>
      <c r="DM316">
        <f>IF($A316&lt;=$DB$45,1,0)</f>
        <v>0</v>
      </c>
      <c r="EB316">
        <f>IF($EB$31&lt;=$EB$32,IF($A316&lt;=$EB$7,1,2),IF($A316&lt;=RUNG_BEDS_2,2,1))</f>
        <v>1</v>
      </c>
      <c r="EC316" s="5">
        <f>MIN(1,MAX(0,$EB$26-($A316-1)))</f>
        <v>0</v>
      </c>
      <c r="ED316" s="5">
        <f>$EB$25*(EC316+(1-EC316)*$EB$16)</f>
        <v>0.0</v>
      </c>
      <c r="EE316" s="13">
        <f>ED316*($EB$6+ACUTE_MARGIN)</f>
        <v>0.0</v>
      </c>
      <c r="EF316" s="13">
        <f>IF(EB316=1,$EB$31,$EB$32)</f>
        <v>152394.16214437486</v>
      </c>
      <c r="EG316" s="13">
        <f>EE316-EF316</f>
        <v>-152394.16214437486</v>
      </c>
      <c r="EH316" s="13">
        <f>EH315+EG316</f>
        <v>2721130.848632993</v>
      </c>
      <c r="EI316">
        <f>IF(EH316=MAX($EH$83:$EH$483),$A316,0)</f>
        <v>0</v>
      </c>
      <c r="EJ316">
        <f>IF(EE316&lt;EF316,$A316,B_MAX+1)</f>
        <v>233</v>
      </c>
      <c r="EK316" s="13">
        <f>IF(EB316=1,$EB$35,$EB$36)</f>
        <v>0</v>
      </c>
      <c r="EL316" s="13">
        <f>OCC_DAYS*$EB$41*R_NF_2023-ED316*MCD_SHARE_FREED*R_WAIT_2023</f>
        <v>50660.16094069735</v>
      </c>
      <c r="EM316">
        <f>IF($A316&lt;=$EB$45,1,0)</f>
        <v>0</v>
      </c>
      <c r="FB316">
        <f>IF($FB$31&lt;=$FB$32,IF($A316&lt;=$FB$7,1,2),IF($A316&lt;=RUNG_BEDS_2,2,1))</f>
        <v>1</v>
      </c>
      <c r="FC316" s="5">
        <f>MIN(1,MAX(0,$FB$26-($A316-1)))</f>
        <v>0</v>
      </c>
      <c r="FD316" s="5">
        <f>$FB$25*(FC316+(1-FC316)*$FB$16)</f>
        <v>0.0</v>
      </c>
      <c r="FE316" s="13">
        <f>FD316*($FB$6+ACUTE_MARGIN)</f>
        <v>0.0</v>
      </c>
      <c r="FF316" s="13">
        <f>IF(FB316=1,$FB$31,$FB$32)</f>
        <v>156636.04979437485</v>
      </c>
      <c r="FG316" s="13">
        <f>FE316-FF316</f>
        <v>-156636.04979437485</v>
      </c>
      <c r="FH316" s="13">
        <f>FH315+FG316</f>
        <v>1732771.0261828797</v>
      </c>
      <c r="FI316">
        <f>IF(FH316=MAX($FH$83:$FH$483),$A316,0)</f>
        <v>0</v>
      </c>
      <c r="FJ316">
        <f>IF(FE316&lt;FF316,$A316,B_MAX+1)</f>
        <v>233</v>
      </c>
      <c r="FK316" s="13">
        <f>IF(FB316=1,$FB$35,$FB$36)</f>
        <v>0</v>
      </c>
      <c r="FL316" s="13">
        <f>OCC_DAYS*$FB$41*R_NF_2023-FD316*MCD_SHARE_FREED*R_WAIT_2023</f>
        <v>151980.48282209205</v>
      </c>
      <c r="FM316">
        <f>IF($A316&lt;=$FB$45,1,0)</f>
        <v>0</v>
      </c>
      <c r="GB316">
        <f>IF($GB$31&lt;=$GB$32,IF($A316&lt;=$GB$7,1,2),IF($A316&lt;=RUNG_BEDS_2,2,1))</f>
        <v>1</v>
      </c>
      <c r="GC316" s="5">
        <f>MIN(1,MAX(0,$GB$26-($A316-1)))</f>
        <v>0</v>
      </c>
      <c r="GD316" s="5">
        <f>$GB$25*(GC316+(1-GC316)*$GB$16)</f>
        <v>0.0</v>
      </c>
      <c r="GE316" s="13">
        <f>GD316*($GB$6+ACUTE_MARGIN)</f>
        <v>0.0</v>
      </c>
      <c r="GF316" s="13">
        <f>IF(GB316=1,$GB$31,$GB$32)</f>
        <v>152394.16214437486</v>
      </c>
      <c r="GG316" s="13">
        <f>GE316-GF316</f>
        <v>-152394.16214437486</v>
      </c>
      <c r="GH316" s="13">
        <f>GH315+GG316</f>
        <v>2721130.848632993</v>
      </c>
      <c r="GI316">
        <f>IF(GH316=MAX($GH$83:$GH$483),$A316,0)</f>
        <v>0</v>
      </c>
      <c r="GJ316">
        <f>IF(GE316&lt;GF316,$A316,B_MAX+1)</f>
        <v>233</v>
      </c>
      <c r="GK316" s="13">
        <f>IF(GB316=1,$GB$35,$GB$36)</f>
        <v>0</v>
      </c>
      <c r="GL316" s="13">
        <f>OCC_DAYS*$GB$41*R_NF_2023-GD316*MCD_SHARE_FREED*R_WAIT_2023</f>
        <v>151980.48282209205</v>
      </c>
      <c r="GM316">
        <f>IF($A316&lt;=$GB$45,1,0)</f>
        <v>0</v>
      </c>
      <c r="HB316">
        <f>IF($HB$31&lt;=$HB$32,IF($A316&lt;=$HB$7,1,2),IF($A316&lt;=RUNG_BEDS_2,2,1))</f>
        <v>1</v>
      </c>
      <c r="HC316" s="5">
        <f>MIN(1,MAX(0,$HB$26-($A316-1)))</f>
        <v>0</v>
      </c>
      <c r="HD316" s="5">
        <f>$HB$25*(HC316+(1-HC316)*$HB$16)</f>
        <v>0.0</v>
      </c>
      <c r="HE316" s="13">
        <f>HD316*($HB$6+ACUTE_MARGIN)</f>
        <v>0.0</v>
      </c>
      <c r="HF316" s="13">
        <f>IF(HB316=1,$HB$31,$HB$32)</f>
        <v>152456.2970814058</v>
      </c>
      <c r="HG316" s="13">
        <f>HE316-HF316</f>
        <v>-152456.2970814058</v>
      </c>
      <c r="HH316" s="13">
        <f>HH315+HG316</f>
        <v>2706653.4083047444</v>
      </c>
      <c r="HI316">
        <f>IF(HH316=MAX($HH$83:$HH$483),$A316,0)</f>
        <v>0</v>
      </c>
      <c r="HJ316">
        <f>IF(HE316&lt;HF316,$A316,B_MAX+1)</f>
        <v>233</v>
      </c>
      <c r="HK316" s="13">
        <f>IF(HB316=1,$HB$35,$HB$36)</f>
        <v>0</v>
      </c>
      <c r="HL316" s="13">
        <f>OCC_DAYS*$HB$41*R_NF_2023-HD316*MCD_SHARE_FREED*R_WAIT_2023</f>
        <v>151980.48282209205</v>
      </c>
      <c r="HM316">
        <f>IF($A316&lt;=$HB$45,1,0)</f>
        <v>0</v>
      </c>
      <c r="IB316">
        <f>IF($IB$31&lt;=$IB$32,IF($A316&lt;=$IB$7,1,2),IF($A316&lt;=RUNG_BEDS_2,2,1))</f>
        <v>1</v>
      </c>
      <c r="IC316" s="5">
        <f>MIN(1,MAX(0,$IB$26-($A316-1)))</f>
        <v>0</v>
      </c>
      <c r="ID316" s="5">
        <f>$IB$25*(IC316+(1-IC316)*$IB$16)</f>
        <v>0.0</v>
      </c>
      <c r="IE316" s="13">
        <f>ID316*($IB$6+ACUTE_MARGIN)</f>
        <v>0.0</v>
      </c>
      <c r="IF316" s="13">
        <f>IF(IB316=1,$IB$31,$IB$32)</f>
        <v>152734.9994534971</v>
      </c>
      <c r="IG316" s="13">
        <f>IE316-IF316</f>
        <v>-152734.9994534971</v>
      </c>
      <c r="IH316" s="13">
        <f>IH315+IG316</f>
        <v>2641715.7556074187</v>
      </c>
      <c r="II316">
        <f>IF(IH316=MAX($IH$83:$IH$483),$A316,0)</f>
        <v>0</v>
      </c>
      <c r="IJ316">
        <f>IF(IE316&lt;IF316,$A316,B_MAX+1)</f>
        <v>233</v>
      </c>
      <c r="IK316" s="13">
        <f>IF(IB316=1,$IB$35,$IB$36)</f>
        <v>0</v>
      </c>
      <c r="IL316" s="13">
        <f>OCC_DAYS*$IB$41*R_NF_2023-ID316*MCD_SHARE_FREED*R_WAIT_2023</f>
        <v>151980.48282209205</v>
      </c>
      <c r="IM316">
        <f>IF($A316&lt;=$IB$45,1,0)</f>
        <v>0</v>
      </c>
      <c r="JB316">
        <f>IF($JB$31&lt;=$JB$32,IF($A316&lt;=$JB$7,1,2),IF($A316&lt;=RUNG_BEDS_2,2,1))</f>
        <v>1</v>
      </c>
      <c r="JC316" s="5">
        <f>MIN(1,MAX(0,$JB$26-($A316-1)))</f>
        <v>0</v>
      </c>
      <c r="JD316" s="5">
        <f>$JB$25*(JC316+(1-JC316)*$JB$16)</f>
        <v>0.0</v>
      </c>
      <c r="JE316" s="13">
        <f>JD316*($JB$6+ACUTE_MARGIN)</f>
        <v>0.0</v>
      </c>
      <c r="JF316" s="13">
        <f>IF(JB316=1,$JB$31,$JB$32)</f>
        <v>152394.16214437486</v>
      </c>
      <c r="JG316" s="13">
        <f>JE316-JF316</f>
        <v>-152394.16214437486</v>
      </c>
      <c r="JH316" s="13">
        <f>JH315+JG316</f>
        <v>2721130.848632993</v>
      </c>
      <c r="JI316">
        <f>IF(JH316=MAX($JH$83:$JH$483),$A316,0)</f>
        <v>0</v>
      </c>
      <c r="JJ316">
        <f>IF(JE316&lt;JF316,$A316,B_MAX+1)</f>
        <v>233</v>
      </c>
      <c r="JK316" s="13">
        <f>IF(JB316=1,$JB$35,$JB$36)</f>
        <v>0</v>
      </c>
      <c r="JL316" s="13">
        <f>OCC_DAYS*$JB$41*R_NF_2023-JD316*MCD_SHARE_FREED*R_WAIT_2023</f>
        <v>151980.48282209205</v>
      </c>
      <c r="JM316">
        <f>IF($A316&lt;=$JB$45,1,0)</f>
        <v>0</v>
      </c>
      <c r="KB316">
        <f>IF($KB$31&lt;=$KB$32,IF($A316&lt;=$KB$7,1,2),IF($A316&lt;=RUNG_BEDS_2,2,1))</f>
        <v>1</v>
      </c>
      <c r="KC316" s="5">
        <f>MIN(1,MAX(0,$KB$26-($A316-1)))</f>
        <v>1</v>
      </c>
      <c r="KD316" s="5">
        <f>$KB$25*(KC316+(1-KC316)*$KB$16)</f>
        <v>126.02661357340719</v>
      </c>
      <c r="KE316" s="13">
        <f>KD316*($KB$6+ACUTE_MARGIN)</f>
        <v>127286.87970914126</v>
      </c>
      <c r="KF316" s="13">
        <f>IF(KB316=1,$KB$31,$KB$32)</f>
        <v>152394.16214437486</v>
      </c>
      <c r="KG316" s="13">
        <f>KE316-KF316</f>
        <v>-25107.282435233603</v>
      </c>
      <c r="KH316" s="13">
        <f>KH315+KG316</f>
        <v>-5849996.807409449</v>
      </c>
      <c r="KI316">
        <f>IF(KH316=MAX($KH$83:$KH$483),$A316,0)</f>
        <v>0</v>
      </c>
      <c r="KJ316">
        <f>IF(KE316&lt;KF316,$A316,B_MAX+1)</f>
        <v>233</v>
      </c>
      <c r="KK316" s="13">
        <f>IF(KB316=1,$KB$35,$KB$36)</f>
        <v>0</v>
      </c>
      <c r="KL316" s="13">
        <f>OCC_DAYS*$KB$41*R_NF_2023-KD316*MCD_SHARE_FREED*R_WAIT_2023</f>
        <v>94673.82103225985</v>
      </c>
      <c r="KM316">
        <f>IF($A316&lt;=$KB$45,1,0)</f>
        <v>0</v>
      </c>
      <c r="LB316">
        <f>IF($LB$31&lt;=$LB$32,IF($A316&lt;=$LB$7,1,2),IF($A316&lt;=RUNG_BEDS_2,2,1))</f>
        <v>1</v>
      </c>
      <c r="LC316" s="5">
        <f>MIN(1,MAX(0,$LB$26-($A316-1)))</f>
        <v>1</v>
      </c>
      <c r="LD316" s="5">
        <f>$LB$25*(LC316+(1-LC316)*$LB$16)</f>
        <v>84.01774238227146</v>
      </c>
      <c r="LE316" s="13">
        <f>LD316*($LB$6+ACUTE_MARGIN)</f>
        <v>84857.91980609419</v>
      </c>
      <c r="LF316" s="13">
        <f>IF(LB316=1,$LB$31,$LB$32)</f>
        <v>152394.16214437486</v>
      </c>
      <c r="LG316" s="13">
        <f>LE316-LF316</f>
        <v>-67536.24233828067</v>
      </c>
      <c r="LH316" s="13">
        <f>LH315+LG316</f>
        <v>-15735944.464819472</v>
      </c>
      <c r="LI316">
        <f>IF(LH316=MAX($LH$83:$LH$483),$A316,0)</f>
        <v>0</v>
      </c>
      <c r="LJ316">
        <f>IF(LE316&lt;LF316,$A316,B_MAX+1)</f>
        <v>233</v>
      </c>
      <c r="LK316" s="13">
        <f>IF(LB316=1,$LB$35,$LB$36)</f>
        <v>0</v>
      </c>
      <c r="LL316" s="13">
        <f>OCC_DAYS*$LB$41*R_NF_2023-LD316*MCD_SHARE_FREED*R_WAIT_2023</f>
        <v>113776.04162887059</v>
      </c>
      <c r="LM316">
        <f>IF($A316&lt;=$LB$45,1,0)</f>
        <v>0</v>
      </c>
      <c r="MB316">
        <f>IF($MB$31&lt;=$MB$32,IF($A316&lt;=$MB$7,1,2),IF($A316&lt;=RUNG_BEDS_2,2,1))</f>
        <v>1</v>
      </c>
      <c r="MC316" s="5">
        <f>MIN(1,MAX(0,$MB$26-($A316-1)))</f>
        <v>0</v>
      </c>
      <c r="MD316" s="5">
        <f>$MB$25*(MC316+(1-MC316)*$MB$16)</f>
        <v>0.0</v>
      </c>
      <c r="ME316" s="13">
        <f>MD316*($MB$6+ACUTE_MARGIN)</f>
        <v>0.0</v>
      </c>
      <c r="MF316" s="13">
        <f>IF(MB316=1,$MB$31,$MB$32)</f>
        <v>152394.16214437486</v>
      </c>
      <c r="MG316" s="13">
        <f>ME316-MF316</f>
        <v>-152394.16214437486</v>
      </c>
      <c r="MH316" s="13">
        <f>MH315+MG316</f>
        <v>-3166145.2131653368</v>
      </c>
      <c r="MI316">
        <f>IF(MH316=MAX($MH$83:$MH$483),$A316,0)</f>
        <v>0</v>
      </c>
      <c r="MJ316">
        <f>IF(ME316&lt;MF316,$A316,B_MAX+1)</f>
        <v>233</v>
      </c>
      <c r="MK316" s="13">
        <f>IF(MB316=1,$MB$35,$MB$36)</f>
        <v>0</v>
      </c>
      <c r="ML316" s="13">
        <f>OCC_DAYS*$MB$41*R_NF_2023-MD316*MCD_SHARE_FREED*R_WAIT_2023</f>
        <v>151980.48282209205</v>
      </c>
      <c r="MM316">
        <f>IF($A316&lt;=$MB$45,1,0)</f>
        <v>0</v>
      </c>
      <c r="NB316">
        <f>IF($NB$31&lt;=$NB$32,IF($A316&lt;=$NB$7,1,2),IF($A316&lt;=RUNG_BEDS_2,2,1))</f>
        <v>1</v>
      </c>
      <c r="NC316" s="5">
        <f>MIN(1,MAX(0,$NB$26-($A316-1)))</f>
        <v>0</v>
      </c>
      <c r="ND316" s="5">
        <f>$NB$25*(NC316+(1-NC316)*$NB$16)</f>
        <v>63.013306786703595</v>
      </c>
      <c r="NE316" s="13">
        <f>ND316*($NB$6+ACUTE_MARGIN)</f>
        <v>63643.43985457063</v>
      </c>
      <c r="NF316" s="13">
        <f>IF(NB316=1,$NB$31,$NB$32)</f>
        <v>152394.16214437486</v>
      </c>
      <c r="NG316" s="13">
        <f>NE316-NF316</f>
        <v>-88750.72228980422</v>
      </c>
      <c r="NH316" s="13">
        <f>NH315+NG316</f>
        <v>7992809.677679848</v>
      </c>
      <c r="NI316">
        <f>IF(NH316=MAX($NH$83:$NH$483),$A316,0)</f>
        <v>0</v>
      </c>
      <c r="NJ316">
        <f>IF(NE316&lt;NF316,$A316,B_MAX+1)</f>
        <v>233</v>
      </c>
      <c r="NK316" s="13">
        <f>IF(NB316=1,$NB$35,$NB$36)</f>
        <v>0</v>
      </c>
      <c r="NL316" s="13">
        <f>OCC_DAYS*$NB$41*R_NF_2023-ND316*MCD_SHARE_FREED*R_WAIT_2023</f>
        <v>123327.15192717595</v>
      </c>
      <c r="NM316">
        <f>IF($A316&lt;=$NB$45,1,0)</f>
        <v>0</v>
      </c>
      <c r="OB316">
        <f>IF($OB$31&lt;=$OB$32,IF($A316&lt;=$OB$7,1,2),IF($A316&lt;=RUNG_BEDS_2,2,1))</f>
        <v>1</v>
      </c>
      <c r="OC316" s="5">
        <f>MIN(1,MAX(0,$OB$26-($A316-1)))</f>
        <v>0</v>
      </c>
      <c r="OD316" s="5">
        <f>$OB$25*(OC316+(1-OC316)*$OB$16)</f>
        <v>126.02661357340719</v>
      </c>
      <c r="OE316" s="13">
        <f>OD316*($OB$6+ACUTE_MARGIN)</f>
        <v>127286.87970914126</v>
      </c>
      <c r="OF316" s="13">
        <f>IF(OB316=1,$OB$31,$OB$32)</f>
        <v>152394.16214437486</v>
      </c>
      <c r="OG316" s="13">
        <f>OE316-OF316</f>
        <v>-25107.282435233603</v>
      </c>
      <c r="OH316" s="13">
        <f>OH315+OG316</f>
        <v>13264488.506726822</v>
      </c>
      <c r="OI316">
        <f>IF(OH316=MAX($OH$83:$OH$483),$A316,0)</f>
        <v>0</v>
      </c>
      <c r="OJ316">
        <f>IF(OE316&lt;OF316,$A316,B_MAX+1)</f>
        <v>233</v>
      </c>
      <c r="OK316" s="13">
        <f>IF(OB316=1,$OB$35,$OB$36)</f>
        <v>0</v>
      </c>
      <c r="OL316" s="13">
        <f>OCC_DAYS*$OB$41*R_NF_2023-OD316*MCD_SHARE_FREED*R_WAIT_2023</f>
        <v>94673.82103225985</v>
      </c>
      <c r="OM316">
        <f>IF($A316&lt;=$OB$45,1,0)</f>
        <v>0</v>
      </c>
    </row>
    <row r="317">
      <c r="A317" t="n">
        <v>234</v>
      </c>
      <c r="B317">
        <f>IF($B$31&lt;=$B$32,IF($A317&lt;=$B$7,1,2),IF($A317&lt;=RUNG_BEDS_2,2,1))</f>
        <v>1</v>
      </c>
      <c r="C317" s="5">
        <f>MIN(1,MAX(0,$B$26-($A317-1)))</f>
        <v>0</v>
      </c>
      <c r="D317" s="5">
        <f>$B$25*(C317+(1-C317)*$B$16)</f>
        <v>0.0</v>
      </c>
      <c r="E317" s="13">
        <f>D317*($B$6+ACUTE_MARGIN)</f>
        <v>0.0</v>
      </c>
      <c r="F317" s="13">
        <f>IF(B317=1,$B$31,$B$32)</f>
        <v>152394.16214437486</v>
      </c>
      <c r="G317" s="13">
        <f>E317-F317</f>
        <v>-152394.16214437486</v>
      </c>
      <c r="H317" s="13">
        <f>H316+G317</f>
        <v>2568736.686488618</v>
      </c>
      <c r="I317">
        <f>IF(H317=MAX($H$83:$H$483),$A317,0)</f>
        <v>0</v>
      </c>
      <c r="J317">
        <f>IF(E317&lt;F317,$A317,B_MAX+1)</f>
        <v>234</v>
      </c>
      <c r="K317" s="13">
        <f>IF(B317=1,$B$35,$B$36)</f>
        <v>0</v>
      </c>
      <c r="L317" s="13">
        <f>OCC_DAYS*$B$41*R_NF_2023-D317*MCD_SHARE_FREED*R_WAIT_2023</f>
        <v>151980.48282209205</v>
      </c>
      <c r="M317">
        <f>IF($A317&lt;=$B$45,1,0)</f>
        <v>0</v>
      </c>
      <c r="AB317">
        <f>IF($AB$31&lt;=$AB$32,IF($A317&lt;=$AB$7,1,2),IF($A317&lt;=RUNG_BEDS_2,2,1))</f>
        <v>1</v>
      </c>
      <c r="AC317" s="5">
        <f>MIN(1,MAX(0,$AB$26-($A317-1)))</f>
        <v>0</v>
      </c>
      <c r="AD317" s="5">
        <f>$AB$25*(AC317+(1-AC317)*$AB$16)</f>
        <v>0.0</v>
      </c>
      <c r="AE317" s="13">
        <f>AD317*($AB$6+ACUTE_MARGIN)</f>
        <v>0.0</v>
      </c>
      <c r="AF317" s="13">
        <f>IF(AB317=1,$AB$31,$AB$32)</f>
        <v>152394.16214437486</v>
      </c>
      <c r="AG317" s="13">
        <f>AE317-AF317</f>
        <v>-152394.16214437486</v>
      </c>
      <c r="AH317" s="13">
        <f>AH316+AG317</f>
        <v>-14842477.659061177</v>
      </c>
      <c r="AI317">
        <f>IF(AH317=MAX($AH$83:$AH$483),$A317,0)</f>
        <v>0</v>
      </c>
      <c r="AJ317">
        <f>IF(AE317&lt;AF317,$A317,B_MAX+1)</f>
        <v>234</v>
      </c>
      <c r="AK317" s="13">
        <f>IF(AB317=1,$AB$35,$AB$36)</f>
        <v>0</v>
      </c>
      <c r="AL317" s="13">
        <f>OCC_DAYS*$AB$41*R_NF_2023-AD317*MCD_SHARE_FREED*R_WAIT_2023</f>
        <v>151980.48282209205</v>
      </c>
      <c r="AM317">
        <f>IF($A317&lt;=$AB$45,1,0)</f>
        <v>0</v>
      </c>
      <c r="BB317">
        <f>IF($BB$31&lt;=$BB$32,IF($A317&lt;=$BB$7,1,2),IF($A317&lt;=RUNG_BEDS_2,2,1))</f>
        <v>1</v>
      </c>
      <c r="BC317" s="5">
        <f>MIN(1,MAX(0,$BB$26-($A317-1)))</f>
        <v>0</v>
      </c>
      <c r="BD317" s="5">
        <f>$BB$25*(BC317+(1-BC317)*$BB$16)</f>
        <v>0.0</v>
      </c>
      <c r="BE317" s="13">
        <f>BD317*($BB$6+ACUTE_MARGIN)</f>
        <v>0.0</v>
      </c>
      <c r="BF317" s="13">
        <f>IF(BB317=1,$BB$31,$BB$32)</f>
        <v>152394.16214437486</v>
      </c>
      <c r="BG317" s="13">
        <f>BE317-BF317</f>
        <v>-152394.16214437486</v>
      </c>
      <c r="BH317" s="13">
        <f>BH316+BG317</f>
        <v>19979951.032038316</v>
      </c>
      <c r="BI317">
        <f>IF(BH317=MAX($BH$83:$BH$483),$A317,0)</f>
        <v>0</v>
      </c>
      <c r="BJ317">
        <f>IF(BE317&lt;BF317,$A317,B_MAX+1)</f>
        <v>234</v>
      </c>
      <c r="BK317" s="13">
        <f>IF(BB317=1,$BB$35,$BB$36)</f>
        <v>0</v>
      </c>
      <c r="BL317" s="13">
        <f>OCC_DAYS*$BB$41*R_NF_2023-BD317*MCD_SHARE_FREED*R_WAIT_2023</f>
        <v>151980.48282209205</v>
      </c>
      <c r="BM317">
        <f>IF($A317&lt;=$BB$45,1,0)</f>
        <v>0</v>
      </c>
      <c r="CB317">
        <f>IF($CB$31&lt;=$CB$32,IF($A317&lt;=$CB$7,1,2),IF($A317&lt;=RUNG_BEDS_2,2,1))</f>
        <v>2</v>
      </c>
      <c r="CC317" s="5">
        <f>MIN(1,MAX(0,$CB$26-($A317-1)))</f>
        <v>0</v>
      </c>
      <c r="CD317" s="5">
        <f>$CB$25*(CC317+(1-CC317)*$CB$16)</f>
        <v>0.0</v>
      </c>
      <c r="CE317" s="13">
        <f>CD317*($CB$6+ACUTE_MARGIN)</f>
        <v>0.0</v>
      </c>
      <c r="CF317" s="13">
        <f>IF(CB317=1,$CB$31,$CB$32)</f>
        <v>160718.36940738867</v>
      </c>
      <c r="CG317" s="13">
        <f>CE317-CF317</f>
        <v>-160718.36940738867</v>
      </c>
      <c r="CH317" s="13">
        <f>CH316+CG317</f>
        <v>620872.1869432721</v>
      </c>
      <c r="CI317">
        <f>IF(CH317=MAX($CH$83:$CH$483),$A317,0)</f>
        <v>0</v>
      </c>
      <c r="CJ317">
        <f>IF(CE317&lt;CF317,$A317,B_MAX+1)</f>
        <v>234</v>
      </c>
      <c r="CK317" s="13">
        <f>IF(CB317=1,$CB$35,$CB$36)</f>
        <v>1560.1194073886782</v>
      </c>
      <c r="CL317" s="13">
        <f>OCC_DAYS*$CB$41*R_NF_2023-CD317*MCD_SHARE_FREED*R_WAIT_2023</f>
        <v>151980.48282209205</v>
      </c>
      <c r="CM317">
        <f>IF($A317&lt;=$CB$45,1,0)</f>
        <v>0</v>
      </c>
      <c r="DB317">
        <f>IF($DB$31&lt;=$DB$32,IF($A317&lt;=$DB$7,1,2),IF($A317&lt;=RUNG_BEDS_2,2,1))</f>
        <v>1</v>
      </c>
      <c r="DC317" s="5">
        <f>MIN(1,MAX(0,$DB$26-($A317-1)))</f>
        <v>0</v>
      </c>
      <c r="DD317" s="5">
        <f>$DB$25*(DC317+(1-DC317)*$DB$16)</f>
        <v>0.0</v>
      </c>
      <c r="DE317" s="13">
        <f>DD317*($DB$6+ACUTE_MARGIN)</f>
        <v>0.0</v>
      </c>
      <c r="DF317" s="13">
        <f>IF(DB317=1,$DB$31,$DB$32)</f>
        <v>152394.16214437486</v>
      </c>
      <c r="DG317" s="13">
        <f>DE317-DF317</f>
        <v>-152394.16214437486</v>
      </c>
      <c r="DH317" s="13">
        <f>DH316+DG317</f>
        <v>2568736.686488618</v>
      </c>
      <c r="DI317">
        <f>IF(DH317=MAX($DH$83:$DH$483),$A317,0)</f>
        <v>0</v>
      </c>
      <c r="DJ317">
        <f>IF(DE317&lt;DF317,$A317,B_MAX+1)</f>
        <v>234</v>
      </c>
      <c r="DK317" s="13">
        <f>IF(DB317=1,$DB$35,$DB$36)</f>
        <v>0</v>
      </c>
      <c r="DL317" s="13">
        <f>OCC_DAYS*$DB$41*R_NF_2023-DD317*MCD_SHARE_FREED*R_WAIT_2023</f>
        <v>151980.48282209205</v>
      </c>
      <c r="DM317">
        <f>IF($A317&lt;=$DB$45,1,0)</f>
        <v>0</v>
      </c>
      <c r="EB317">
        <f>IF($EB$31&lt;=$EB$32,IF($A317&lt;=$EB$7,1,2),IF($A317&lt;=RUNG_BEDS_2,2,1))</f>
        <v>1</v>
      </c>
      <c r="EC317" s="5">
        <f>MIN(1,MAX(0,$EB$26-($A317-1)))</f>
        <v>0</v>
      </c>
      <c r="ED317" s="5">
        <f>$EB$25*(EC317+(1-EC317)*$EB$16)</f>
        <v>0.0</v>
      </c>
      <c r="EE317" s="13">
        <f>ED317*($EB$6+ACUTE_MARGIN)</f>
        <v>0.0</v>
      </c>
      <c r="EF317" s="13">
        <f>IF(EB317=1,$EB$31,$EB$32)</f>
        <v>152394.16214437486</v>
      </c>
      <c r="EG317" s="13">
        <f>EE317-EF317</f>
        <v>-152394.16214437486</v>
      </c>
      <c r="EH317" s="13">
        <f>EH316+EG317</f>
        <v>2568736.686488618</v>
      </c>
      <c r="EI317">
        <f>IF(EH317=MAX($EH$83:$EH$483),$A317,0)</f>
        <v>0</v>
      </c>
      <c r="EJ317">
        <f>IF(EE317&lt;EF317,$A317,B_MAX+1)</f>
        <v>234</v>
      </c>
      <c r="EK317" s="13">
        <f>IF(EB317=1,$EB$35,$EB$36)</f>
        <v>0</v>
      </c>
      <c r="EL317" s="13">
        <f>OCC_DAYS*$EB$41*R_NF_2023-ED317*MCD_SHARE_FREED*R_WAIT_2023</f>
        <v>50660.16094069735</v>
      </c>
      <c r="EM317">
        <f>IF($A317&lt;=$EB$45,1,0)</f>
        <v>0</v>
      </c>
      <c r="FB317">
        <f>IF($FB$31&lt;=$FB$32,IF($A317&lt;=$FB$7,1,2),IF($A317&lt;=RUNG_BEDS_2,2,1))</f>
        <v>1</v>
      </c>
      <c r="FC317" s="5">
        <f>MIN(1,MAX(0,$FB$26-($A317-1)))</f>
        <v>0</v>
      </c>
      <c r="FD317" s="5">
        <f>$FB$25*(FC317+(1-FC317)*$FB$16)</f>
        <v>0.0</v>
      </c>
      <c r="FE317" s="13">
        <f>FD317*($FB$6+ACUTE_MARGIN)</f>
        <v>0.0</v>
      </c>
      <c r="FF317" s="13">
        <f>IF(FB317=1,$FB$31,$FB$32)</f>
        <v>156636.04979437485</v>
      </c>
      <c r="FG317" s="13">
        <f>FE317-FF317</f>
        <v>-156636.04979437485</v>
      </c>
      <c r="FH317" s="13">
        <f>FH316+FG317</f>
        <v>1576134.9763885047</v>
      </c>
      <c r="FI317">
        <f>IF(FH317=MAX($FH$83:$FH$483),$A317,0)</f>
        <v>0</v>
      </c>
      <c r="FJ317">
        <f>IF(FE317&lt;FF317,$A317,B_MAX+1)</f>
        <v>234</v>
      </c>
      <c r="FK317" s="13">
        <f>IF(FB317=1,$FB$35,$FB$36)</f>
        <v>0</v>
      </c>
      <c r="FL317" s="13">
        <f>OCC_DAYS*$FB$41*R_NF_2023-FD317*MCD_SHARE_FREED*R_WAIT_2023</f>
        <v>151980.48282209205</v>
      </c>
      <c r="FM317">
        <f>IF($A317&lt;=$FB$45,1,0)</f>
        <v>0</v>
      </c>
      <c r="GB317">
        <f>IF($GB$31&lt;=$GB$32,IF($A317&lt;=$GB$7,1,2),IF($A317&lt;=RUNG_BEDS_2,2,1))</f>
        <v>1</v>
      </c>
      <c r="GC317" s="5">
        <f>MIN(1,MAX(0,$GB$26-($A317-1)))</f>
        <v>0</v>
      </c>
      <c r="GD317" s="5">
        <f>$GB$25*(GC317+(1-GC317)*$GB$16)</f>
        <v>0.0</v>
      </c>
      <c r="GE317" s="13">
        <f>GD317*($GB$6+ACUTE_MARGIN)</f>
        <v>0.0</v>
      </c>
      <c r="GF317" s="13">
        <f>IF(GB317=1,$GB$31,$GB$32)</f>
        <v>152394.16214437486</v>
      </c>
      <c r="GG317" s="13">
        <f>GE317-GF317</f>
        <v>-152394.16214437486</v>
      </c>
      <c r="GH317" s="13">
        <f>GH316+GG317</f>
        <v>2568736.686488618</v>
      </c>
      <c r="GI317">
        <f>IF(GH317=MAX($GH$83:$GH$483),$A317,0)</f>
        <v>0</v>
      </c>
      <c r="GJ317">
        <f>IF(GE317&lt;GF317,$A317,B_MAX+1)</f>
        <v>234</v>
      </c>
      <c r="GK317" s="13">
        <f>IF(GB317=1,$GB$35,$GB$36)</f>
        <v>0</v>
      </c>
      <c r="GL317" s="13">
        <f>OCC_DAYS*$GB$41*R_NF_2023-GD317*MCD_SHARE_FREED*R_WAIT_2023</f>
        <v>151980.48282209205</v>
      </c>
      <c r="GM317">
        <f>IF($A317&lt;=$GB$45,1,0)</f>
        <v>0</v>
      </c>
      <c r="HB317">
        <f>IF($HB$31&lt;=$HB$32,IF($A317&lt;=$HB$7,1,2),IF($A317&lt;=RUNG_BEDS_2,2,1))</f>
        <v>1</v>
      </c>
      <c r="HC317" s="5">
        <f>MIN(1,MAX(0,$HB$26-($A317-1)))</f>
        <v>0</v>
      </c>
      <c r="HD317" s="5">
        <f>$HB$25*(HC317+(1-HC317)*$HB$16)</f>
        <v>0.0</v>
      </c>
      <c r="HE317" s="13">
        <f>HD317*($HB$6+ACUTE_MARGIN)</f>
        <v>0.0</v>
      </c>
      <c r="HF317" s="13">
        <f>IF(HB317=1,$HB$31,$HB$32)</f>
        <v>152456.2970814058</v>
      </c>
      <c r="HG317" s="13">
        <f>HE317-HF317</f>
        <v>-152456.2970814058</v>
      </c>
      <c r="HH317" s="13">
        <f>HH316+HG317</f>
        <v>2554197.1112233386</v>
      </c>
      <c r="HI317">
        <f>IF(HH317=MAX($HH$83:$HH$483),$A317,0)</f>
        <v>0</v>
      </c>
      <c r="HJ317">
        <f>IF(HE317&lt;HF317,$A317,B_MAX+1)</f>
        <v>234</v>
      </c>
      <c r="HK317" s="13">
        <f>IF(HB317=1,$HB$35,$HB$36)</f>
        <v>0</v>
      </c>
      <c r="HL317" s="13">
        <f>OCC_DAYS*$HB$41*R_NF_2023-HD317*MCD_SHARE_FREED*R_WAIT_2023</f>
        <v>151980.48282209205</v>
      </c>
      <c r="HM317">
        <f>IF($A317&lt;=$HB$45,1,0)</f>
        <v>0</v>
      </c>
      <c r="IB317">
        <f>IF($IB$31&lt;=$IB$32,IF($A317&lt;=$IB$7,1,2),IF($A317&lt;=RUNG_BEDS_2,2,1))</f>
        <v>1</v>
      </c>
      <c r="IC317" s="5">
        <f>MIN(1,MAX(0,$IB$26-($A317-1)))</f>
        <v>0</v>
      </c>
      <c r="ID317" s="5">
        <f>$IB$25*(IC317+(1-IC317)*$IB$16)</f>
        <v>0.0</v>
      </c>
      <c r="IE317" s="13">
        <f>ID317*($IB$6+ACUTE_MARGIN)</f>
        <v>0.0</v>
      </c>
      <c r="IF317" s="13">
        <f>IF(IB317=1,$IB$31,$IB$32)</f>
        <v>152734.9994534971</v>
      </c>
      <c r="IG317" s="13">
        <f>IE317-IF317</f>
        <v>-152734.9994534971</v>
      </c>
      <c r="IH317" s="13">
        <f>IH316+IG317</f>
        <v>2488980.7561539216</v>
      </c>
      <c r="II317">
        <f>IF(IH317=MAX($IH$83:$IH$483),$A317,0)</f>
        <v>0</v>
      </c>
      <c r="IJ317">
        <f>IF(IE317&lt;IF317,$A317,B_MAX+1)</f>
        <v>234</v>
      </c>
      <c r="IK317" s="13">
        <f>IF(IB317=1,$IB$35,$IB$36)</f>
        <v>0</v>
      </c>
      <c r="IL317" s="13">
        <f>OCC_DAYS*$IB$41*R_NF_2023-ID317*MCD_SHARE_FREED*R_WAIT_2023</f>
        <v>151980.48282209205</v>
      </c>
      <c r="IM317">
        <f>IF($A317&lt;=$IB$45,1,0)</f>
        <v>0</v>
      </c>
      <c r="JB317">
        <f>IF($JB$31&lt;=$JB$32,IF($A317&lt;=$JB$7,1,2),IF($A317&lt;=RUNG_BEDS_2,2,1))</f>
        <v>1</v>
      </c>
      <c r="JC317" s="5">
        <f>MIN(1,MAX(0,$JB$26-($A317-1)))</f>
        <v>0</v>
      </c>
      <c r="JD317" s="5">
        <f>$JB$25*(JC317+(1-JC317)*$JB$16)</f>
        <v>0.0</v>
      </c>
      <c r="JE317" s="13">
        <f>JD317*($JB$6+ACUTE_MARGIN)</f>
        <v>0.0</v>
      </c>
      <c r="JF317" s="13">
        <f>IF(JB317=1,$JB$31,$JB$32)</f>
        <v>152394.16214437486</v>
      </c>
      <c r="JG317" s="13">
        <f>JE317-JF317</f>
        <v>-152394.16214437486</v>
      </c>
      <c r="JH317" s="13">
        <f>JH316+JG317</f>
        <v>2568736.686488618</v>
      </c>
      <c r="JI317">
        <f>IF(JH317=MAX($JH$83:$JH$483),$A317,0)</f>
        <v>0</v>
      </c>
      <c r="JJ317">
        <f>IF(JE317&lt;JF317,$A317,B_MAX+1)</f>
        <v>234</v>
      </c>
      <c r="JK317" s="13">
        <f>IF(JB317=1,$JB$35,$JB$36)</f>
        <v>0</v>
      </c>
      <c r="JL317" s="13">
        <f>OCC_DAYS*$JB$41*R_NF_2023-JD317*MCD_SHARE_FREED*R_WAIT_2023</f>
        <v>151980.48282209205</v>
      </c>
      <c r="JM317">
        <f>IF($A317&lt;=$JB$45,1,0)</f>
        <v>0</v>
      </c>
      <c r="KB317">
        <f>IF($KB$31&lt;=$KB$32,IF($A317&lt;=$KB$7,1,2),IF($A317&lt;=RUNG_BEDS_2,2,1))</f>
        <v>1</v>
      </c>
      <c r="KC317" s="5">
        <f>MIN(1,MAX(0,$KB$26-($A317-1)))</f>
        <v>1</v>
      </c>
      <c r="KD317" s="5">
        <f>$KB$25*(KC317+(1-KC317)*$KB$16)</f>
        <v>126.02661357340719</v>
      </c>
      <c r="KE317" s="13">
        <f>KD317*($KB$6+ACUTE_MARGIN)</f>
        <v>127286.87970914126</v>
      </c>
      <c r="KF317" s="13">
        <f>IF(KB317=1,$KB$31,$KB$32)</f>
        <v>152394.16214437486</v>
      </c>
      <c r="KG317" s="13">
        <f>KE317-KF317</f>
        <v>-25107.282435233603</v>
      </c>
      <c r="KH317" s="13">
        <f>KH316+KG317</f>
        <v>-5875104.089844682</v>
      </c>
      <c r="KI317">
        <f>IF(KH317=MAX($KH$83:$KH$483),$A317,0)</f>
        <v>0</v>
      </c>
      <c r="KJ317">
        <f>IF(KE317&lt;KF317,$A317,B_MAX+1)</f>
        <v>234</v>
      </c>
      <c r="KK317" s="13">
        <f>IF(KB317=1,$KB$35,$KB$36)</f>
        <v>0</v>
      </c>
      <c r="KL317" s="13">
        <f>OCC_DAYS*$KB$41*R_NF_2023-KD317*MCD_SHARE_FREED*R_WAIT_2023</f>
        <v>94673.82103225985</v>
      </c>
      <c r="KM317">
        <f>IF($A317&lt;=$KB$45,1,0)</f>
        <v>0</v>
      </c>
      <c r="LB317">
        <f>IF($LB$31&lt;=$LB$32,IF($A317&lt;=$LB$7,1,2),IF($A317&lt;=RUNG_BEDS_2,2,1))</f>
        <v>1</v>
      </c>
      <c r="LC317" s="5">
        <f>MIN(1,MAX(0,$LB$26-($A317-1)))</f>
        <v>1</v>
      </c>
      <c r="LD317" s="5">
        <f>$LB$25*(LC317+(1-LC317)*$LB$16)</f>
        <v>84.01774238227146</v>
      </c>
      <c r="LE317" s="13">
        <f>LD317*($LB$6+ACUTE_MARGIN)</f>
        <v>84857.91980609419</v>
      </c>
      <c r="LF317" s="13">
        <f>IF(LB317=1,$LB$31,$LB$32)</f>
        <v>152394.16214437486</v>
      </c>
      <c r="LG317" s="13">
        <f>LE317-LF317</f>
        <v>-67536.24233828067</v>
      </c>
      <c r="LH317" s="13">
        <f>LH316+LG317</f>
        <v>-15803480.707157753</v>
      </c>
      <c r="LI317">
        <f>IF(LH317=MAX($LH$83:$LH$483),$A317,0)</f>
        <v>0</v>
      </c>
      <c r="LJ317">
        <f>IF(LE317&lt;LF317,$A317,B_MAX+1)</f>
        <v>234</v>
      </c>
      <c r="LK317" s="13">
        <f>IF(LB317=1,$LB$35,$LB$36)</f>
        <v>0</v>
      </c>
      <c r="LL317" s="13">
        <f>OCC_DAYS*$LB$41*R_NF_2023-LD317*MCD_SHARE_FREED*R_WAIT_2023</f>
        <v>113776.04162887059</v>
      </c>
      <c r="LM317">
        <f>IF($A317&lt;=$LB$45,1,0)</f>
        <v>0</v>
      </c>
      <c r="MB317">
        <f>IF($MB$31&lt;=$MB$32,IF($A317&lt;=$MB$7,1,2),IF($A317&lt;=RUNG_BEDS_2,2,1))</f>
        <v>1</v>
      </c>
      <c r="MC317" s="5">
        <f>MIN(1,MAX(0,$MB$26-($A317-1)))</f>
        <v>0</v>
      </c>
      <c r="MD317" s="5">
        <f>$MB$25*(MC317+(1-MC317)*$MB$16)</f>
        <v>0.0</v>
      </c>
      <c r="ME317" s="13">
        <f>MD317*($MB$6+ACUTE_MARGIN)</f>
        <v>0.0</v>
      </c>
      <c r="MF317" s="13">
        <f>IF(MB317=1,$MB$31,$MB$32)</f>
        <v>152394.16214437486</v>
      </c>
      <c r="MG317" s="13">
        <f>ME317-MF317</f>
        <v>-152394.16214437486</v>
      </c>
      <c r="MH317" s="13">
        <f>MH316+MG317</f>
        <v>-3318539.375309712</v>
      </c>
      <c r="MI317">
        <f>IF(MH317=MAX($MH$83:$MH$483),$A317,0)</f>
        <v>0</v>
      </c>
      <c r="MJ317">
        <f>IF(ME317&lt;MF317,$A317,B_MAX+1)</f>
        <v>234</v>
      </c>
      <c r="MK317" s="13">
        <f>IF(MB317=1,$MB$35,$MB$36)</f>
        <v>0</v>
      </c>
      <c r="ML317" s="13">
        <f>OCC_DAYS*$MB$41*R_NF_2023-MD317*MCD_SHARE_FREED*R_WAIT_2023</f>
        <v>151980.48282209205</v>
      </c>
      <c r="MM317">
        <f>IF($A317&lt;=$MB$45,1,0)</f>
        <v>0</v>
      </c>
      <c r="NB317">
        <f>IF($NB$31&lt;=$NB$32,IF($A317&lt;=$NB$7,1,2),IF($A317&lt;=RUNG_BEDS_2,2,1))</f>
        <v>1</v>
      </c>
      <c r="NC317" s="5">
        <f>MIN(1,MAX(0,$NB$26-($A317-1)))</f>
        <v>0</v>
      </c>
      <c r="ND317" s="5">
        <f>$NB$25*(NC317+(1-NC317)*$NB$16)</f>
        <v>63.013306786703595</v>
      </c>
      <c r="NE317" s="13">
        <f>ND317*($NB$6+ACUTE_MARGIN)</f>
        <v>63643.43985457063</v>
      </c>
      <c r="NF317" s="13">
        <f>IF(NB317=1,$NB$31,$NB$32)</f>
        <v>152394.16214437486</v>
      </c>
      <c r="NG317" s="13">
        <f>NE317-NF317</f>
        <v>-88750.72228980422</v>
      </c>
      <c r="NH317" s="13">
        <f>NH316+NG317</f>
        <v>7904058.955390044</v>
      </c>
      <c r="NI317">
        <f>IF(NH317=MAX($NH$83:$NH$483),$A317,0)</f>
        <v>0</v>
      </c>
      <c r="NJ317">
        <f>IF(NE317&lt;NF317,$A317,B_MAX+1)</f>
        <v>234</v>
      </c>
      <c r="NK317" s="13">
        <f>IF(NB317=1,$NB$35,$NB$36)</f>
        <v>0</v>
      </c>
      <c r="NL317" s="13">
        <f>OCC_DAYS*$NB$41*R_NF_2023-ND317*MCD_SHARE_FREED*R_WAIT_2023</f>
        <v>123327.15192717595</v>
      </c>
      <c r="NM317">
        <f>IF($A317&lt;=$NB$45,1,0)</f>
        <v>0</v>
      </c>
      <c r="OB317">
        <f>IF($OB$31&lt;=$OB$32,IF($A317&lt;=$OB$7,1,2),IF($A317&lt;=RUNG_BEDS_2,2,1))</f>
        <v>1</v>
      </c>
      <c r="OC317" s="5">
        <f>MIN(1,MAX(0,$OB$26-($A317-1)))</f>
        <v>0</v>
      </c>
      <c r="OD317" s="5">
        <f>$OB$25*(OC317+(1-OC317)*$OB$16)</f>
        <v>126.02661357340719</v>
      </c>
      <c r="OE317" s="13">
        <f>OD317*($OB$6+ACUTE_MARGIN)</f>
        <v>127286.87970914126</v>
      </c>
      <c r="OF317" s="13">
        <f>IF(OB317=1,$OB$31,$OB$32)</f>
        <v>152394.16214437486</v>
      </c>
      <c r="OG317" s="13">
        <f>OE317-OF317</f>
        <v>-25107.282435233603</v>
      </c>
      <c r="OH317" s="13">
        <f>OH316+OG317</f>
        <v>13239381.22429159</v>
      </c>
      <c r="OI317">
        <f>IF(OH317=MAX($OH$83:$OH$483),$A317,0)</f>
        <v>0</v>
      </c>
      <c r="OJ317">
        <f>IF(OE317&lt;OF317,$A317,B_MAX+1)</f>
        <v>234</v>
      </c>
      <c r="OK317" s="13">
        <f>IF(OB317=1,$OB$35,$OB$36)</f>
        <v>0</v>
      </c>
      <c r="OL317" s="13">
        <f>OCC_DAYS*$OB$41*R_NF_2023-OD317*MCD_SHARE_FREED*R_WAIT_2023</f>
        <v>94673.82103225985</v>
      </c>
      <c r="OM317">
        <f>IF($A317&lt;=$OB$45,1,0)</f>
        <v>0</v>
      </c>
    </row>
    <row r="318">
      <c r="A318" t="n">
        <v>235</v>
      </c>
      <c r="B318">
        <f>IF($B$31&lt;=$B$32,IF($A318&lt;=$B$7,1,2),IF($A318&lt;=RUNG_BEDS_2,2,1))</f>
        <v>1</v>
      </c>
      <c r="C318" s="5">
        <f>MIN(1,MAX(0,$B$26-($A318-1)))</f>
        <v>0</v>
      </c>
      <c r="D318" s="5">
        <f>$B$25*(C318+(1-C318)*$B$16)</f>
        <v>0.0</v>
      </c>
      <c r="E318" s="13">
        <f>D318*($B$6+ACUTE_MARGIN)</f>
        <v>0.0</v>
      </c>
      <c r="F318" s="13">
        <f>IF(B318=1,$B$31,$B$32)</f>
        <v>152394.16214437486</v>
      </c>
      <c r="G318" s="13">
        <f>E318-F318</f>
        <v>-152394.16214437486</v>
      </c>
      <c r="H318" s="13">
        <f>H317+G318</f>
        <v>2416342.524344243</v>
      </c>
      <c r="I318">
        <f>IF(H318=MAX($H$83:$H$483),$A318,0)</f>
        <v>0</v>
      </c>
      <c r="J318">
        <f>IF(E318&lt;F318,$A318,B_MAX+1)</f>
        <v>235</v>
      </c>
      <c r="K318" s="13">
        <f>IF(B318=1,$B$35,$B$36)</f>
        <v>0</v>
      </c>
      <c r="L318" s="13">
        <f>OCC_DAYS*$B$41*R_NF_2023-D318*MCD_SHARE_FREED*R_WAIT_2023</f>
        <v>151980.48282209205</v>
      </c>
      <c r="M318">
        <f>IF($A318&lt;=$B$45,1,0)</f>
        <v>0</v>
      </c>
      <c r="AB318">
        <f>IF($AB$31&lt;=$AB$32,IF($A318&lt;=$AB$7,1,2),IF($A318&lt;=RUNG_BEDS_2,2,1))</f>
        <v>1</v>
      </c>
      <c r="AC318" s="5">
        <f>MIN(1,MAX(0,$AB$26-($A318-1)))</f>
        <v>0</v>
      </c>
      <c r="AD318" s="5">
        <f>$AB$25*(AC318+(1-AC318)*$AB$16)</f>
        <v>0.0</v>
      </c>
      <c r="AE318" s="13">
        <f>AD318*($AB$6+ACUTE_MARGIN)</f>
        <v>0.0</v>
      </c>
      <c r="AF318" s="13">
        <f>IF(AB318=1,$AB$31,$AB$32)</f>
        <v>152394.16214437486</v>
      </c>
      <c r="AG318" s="13">
        <f>AE318-AF318</f>
        <v>-152394.16214437486</v>
      </c>
      <c r="AH318" s="13">
        <f>AH317+AG318</f>
        <v>-14994871.82120555</v>
      </c>
      <c r="AI318">
        <f>IF(AH318=MAX($AH$83:$AH$483),$A318,0)</f>
        <v>0</v>
      </c>
      <c r="AJ318">
        <f>IF(AE318&lt;AF318,$A318,B_MAX+1)</f>
        <v>235</v>
      </c>
      <c r="AK318" s="13">
        <f>IF(AB318=1,$AB$35,$AB$36)</f>
        <v>0</v>
      </c>
      <c r="AL318" s="13">
        <f>OCC_DAYS*$AB$41*R_NF_2023-AD318*MCD_SHARE_FREED*R_WAIT_2023</f>
        <v>151980.48282209205</v>
      </c>
      <c r="AM318">
        <f>IF($A318&lt;=$AB$45,1,0)</f>
        <v>0</v>
      </c>
      <c r="BB318">
        <f>IF($BB$31&lt;=$BB$32,IF($A318&lt;=$BB$7,1,2),IF($A318&lt;=RUNG_BEDS_2,2,1))</f>
        <v>1</v>
      </c>
      <c r="BC318" s="5">
        <f>MIN(1,MAX(0,$BB$26-($A318-1)))</f>
        <v>0</v>
      </c>
      <c r="BD318" s="5">
        <f>$BB$25*(BC318+(1-BC318)*$BB$16)</f>
        <v>0.0</v>
      </c>
      <c r="BE318" s="13">
        <f>BD318*($BB$6+ACUTE_MARGIN)</f>
        <v>0.0</v>
      </c>
      <c r="BF318" s="13">
        <f>IF(BB318=1,$BB$31,$BB$32)</f>
        <v>152394.16214437486</v>
      </c>
      <c r="BG318" s="13">
        <f>BE318-BF318</f>
        <v>-152394.16214437486</v>
      </c>
      <c r="BH318" s="13">
        <f>BH317+BG318</f>
        <v>19827556.869893942</v>
      </c>
      <c r="BI318">
        <f>IF(BH318=MAX($BH$83:$BH$483),$A318,0)</f>
        <v>0</v>
      </c>
      <c r="BJ318">
        <f>IF(BE318&lt;BF318,$A318,B_MAX+1)</f>
        <v>235</v>
      </c>
      <c r="BK318" s="13">
        <f>IF(BB318=1,$BB$35,$BB$36)</f>
        <v>0</v>
      </c>
      <c r="BL318" s="13">
        <f>OCC_DAYS*$BB$41*R_NF_2023-BD318*MCD_SHARE_FREED*R_WAIT_2023</f>
        <v>151980.48282209205</v>
      </c>
      <c r="BM318">
        <f>IF($A318&lt;=$BB$45,1,0)</f>
        <v>0</v>
      </c>
      <c r="CB318">
        <f>IF($CB$31&lt;=$CB$32,IF($A318&lt;=$CB$7,1,2),IF($A318&lt;=RUNG_BEDS_2,2,1))</f>
        <v>2</v>
      </c>
      <c r="CC318" s="5">
        <f>MIN(1,MAX(0,$CB$26-($A318-1)))</f>
        <v>0</v>
      </c>
      <c r="CD318" s="5">
        <f>$CB$25*(CC318+(1-CC318)*$CB$16)</f>
        <v>0.0</v>
      </c>
      <c r="CE318" s="13">
        <f>CD318*($CB$6+ACUTE_MARGIN)</f>
        <v>0.0</v>
      </c>
      <c r="CF318" s="13">
        <f>IF(CB318=1,$CB$31,$CB$32)</f>
        <v>160718.36940738867</v>
      </c>
      <c r="CG318" s="13">
        <f>CE318-CF318</f>
        <v>-160718.36940738867</v>
      </c>
      <c r="CH318" s="13">
        <f>CH317+CG318</f>
        <v>460153.81753588346</v>
      </c>
      <c r="CI318">
        <f>IF(CH318=MAX($CH$83:$CH$483),$A318,0)</f>
        <v>0</v>
      </c>
      <c r="CJ318">
        <f>IF(CE318&lt;CF318,$A318,B_MAX+1)</f>
        <v>235</v>
      </c>
      <c r="CK318" s="13">
        <f>IF(CB318=1,$CB$35,$CB$36)</f>
        <v>1560.1194073886782</v>
      </c>
      <c r="CL318" s="13">
        <f>OCC_DAYS*$CB$41*R_NF_2023-CD318*MCD_SHARE_FREED*R_WAIT_2023</f>
        <v>151980.48282209205</v>
      </c>
      <c r="CM318">
        <f>IF($A318&lt;=$CB$45,1,0)</f>
        <v>0</v>
      </c>
      <c r="DB318">
        <f>IF($DB$31&lt;=$DB$32,IF($A318&lt;=$DB$7,1,2),IF($A318&lt;=RUNG_BEDS_2,2,1))</f>
        <v>1</v>
      </c>
      <c r="DC318" s="5">
        <f>MIN(1,MAX(0,$DB$26-($A318-1)))</f>
        <v>0</v>
      </c>
      <c r="DD318" s="5">
        <f>$DB$25*(DC318+(1-DC318)*$DB$16)</f>
        <v>0.0</v>
      </c>
      <c r="DE318" s="13">
        <f>DD318*($DB$6+ACUTE_MARGIN)</f>
        <v>0.0</v>
      </c>
      <c r="DF318" s="13">
        <f>IF(DB318=1,$DB$31,$DB$32)</f>
        <v>152394.16214437486</v>
      </c>
      <c r="DG318" s="13">
        <f>DE318-DF318</f>
        <v>-152394.16214437486</v>
      </c>
      <c r="DH318" s="13">
        <f>DH317+DG318</f>
        <v>2416342.524344243</v>
      </c>
      <c r="DI318">
        <f>IF(DH318=MAX($DH$83:$DH$483),$A318,0)</f>
        <v>0</v>
      </c>
      <c r="DJ318">
        <f>IF(DE318&lt;DF318,$A318,B_MAX+1)</f>
        <v>235</v>
      </c>
      <c r="DK318" s="13">
        <f>IF(DB318=1,$DB$35,$DB$36)</f>
        <v>0</v>
      </c>
      <c r="DL318" s="13">
        <f>OCC_DAYS*$DB$41*R_NF_2023-DD318*MCD_SHARE_FREED*R_WAIT_2023</f>
        <v>151980.48282209205</v>
      </c>
      <c r="DM318">
        <f>IF($A318&lt;=$DB$45,1,0)</f>
        <v>0</v>
      </c>
      <c r="EB318">
        <f>IF($EB$31&lt;=$EB$32,IF($A318&lt;=$EB$7,1,2),IF($A318&lt;=RUNG_BEDS_2,2,1))</f>
        <v>1</v>
      </c>
      <c r="EC318" s="5">
        <f>MIN(1,MAX(0,$EB$26-($A318-1)))</f>
        <v>0</v>
      </c>
      <c r="ED318" s="5">
        <f>$EB$25*(EC318+(1-EC318)*$EB$16)</f>
        <v>0.0</v>
      </c>
      <c r="EE318" s="13">
        <f>ED318*($EB$6+ACUTE_MARGIN)</f>
        <v>0.0</v>
      </c>
      <c r="EF318" s="13">
        <f>IF(EB318=1,$EB$31,$EB$32)</f>
        <v>152394.16214437486</v>
      </c>
      <c r="EG318" s="13">
        <f>EE318-EF318</f>
        <v>-152394.16214437486</v>
      </c>
      <c r="EH318" s="13">
        <f>EH317+EG318</f>
        <v>2416342.524344243</v>
      </c>
      <c r="EI318">
        <f>IF(EH318=MAX($EH$83:$EH$483),$A318,0)</f>
        <v>0</v>
      </c>
      <c r="EJ318">
        <f>IF(EE318&lt;EF318,$A318,B_MAX+1)</f>
        <v>235</v>
      </c>
      <c r="EK318" s="13">
        <f>IF(EB318=1,$EB$35,$EB$36)</f>
        <v>0</v>
      </c>
      <c r="EL318" s="13">
        <f>OCC_DAYS*$EB$41*R_NF_2023-ED318*MCD_SHARE_FREED*R_WAIT_2023</f>
        <v>50660.16094069735</v>
      </c>
      <c r="EM318">
        <f>IF($A318&lt;=$EB$45,1,0)</f>
        <v>0</v>
      </c>
      <c r="FB318">
        <f>IF($FB$31&lt;=$FB$32,IF($A318&lt;=$FB$7,1,2),IF($A318&lt;=RUNG_BEDS_2,2,1))</f>
        <v>1</v>
      </c>
      <c r="FC318" s="5">
        <f>MIN(1,MAX(0,$FB$26-($A318-1)))</f>
        <v>0</v>
      </c>
      <c r="FD318" s="5">
        <f>$FB$25*(FC318+(1-FC318)*$FB$16)</f>
        <v>0.0</v>
      </c>
      <c r="FE318" s="13">
        <f>FD318*($FB$6+ACUTE_MARGIN)</f>
        <v>0.0</v>
      </c>
      <c r="FF318" s="13">
        <f>IF(FB318=1,$FB$31,$FB$32)</f>
        <v>156636.04979437485</v>
      </c>
      <c r="FG318" s="13">
        <f>FE318-FF318</f>
        <v>-156636.04979437485</v>
      </c>
      <c r="FH318" s="13">
        <f>FH317+FG318</f>
        <v>1419498.9265941298</v>
      </c>
      <c r="FI318">
        <f>IF(FH318=MAX($FH$83:$FH$483),$A318,0)</f>
        <v>0</v>
      </c>
      <c r="FJ318">
        <f>IF(FE318&lt;FF318,$A318,B_MAX+1)</f>
        <v>235</v>
      </c>
      <c r="FK318" s="13">
        <f>IF(FB318=1,$FB$35,$FB$36)</f>
        <v>0</v>
      </c>
      <c r="FL318" s="13">
        <f>OCC_DAYS*$FB$41*R_NF_2023-FD318*MCD_SHARE_FREED*R_WAIT_2023</f>
        <v>151980.48282209205</v>
      </c>
      <c r="FM318">
        <f>IF($A318&lt;=$FB$45,1,0)</f>
        <v>0</v>
      </c>
      <c r="GB318">
        <f>IF($GB$31&lt;=$GB$32,IF($A318&lt;=$GB$7,1,2),IF($A318&lt;=RUNG_BEDS_2,2,1))</f>
        <v>1</v>
      </c>
      <c r="GC318" s="5">
        <f>MIN(1,MAX(0,$GB$26-($A318-1)))</f>
        <v>0</v>
      </c>
      <c r="GD318" s="5">
        <f>$GB$25*(GC318+(1-GC318)*$GB$16)</f>
        <v>0.0</v>
      </c>
      <c r="GE318" s="13">
        <f>GD318*($GB$6+ACUTE_MARGIN)</f>
        <v>0.0</v>
      </c>
      <c r="GF318" s="13">
        <f>IF(GB318=1,$GB$31,$GB$32)</f>
        <v>152394.16214437486</v>
      </c>
      <c r="GG318" s="13">
        <f>GE318-GF318</f>
        <v>-152394.16214437486</v>
      </c>
      <c r="GH318" s="13">
        <f>GH317+GG318</f>
        <v>2416342.524344243</v>
      </c>
      <c r="GI318">
        <f>IF(GH318=MAX($GH$83:$GH$483),$A318,0)</f>
        <v>0</v>
      </c>
      <c r="GJ318">
        <f>IF(GE318&lt;GF318,$A318,B_MAX+1)</f>
        <v>235</v>
      </c>
      <c r="GK318" s="13">
        <f>IF(GB318=1,$GB$35,$GB$36)</f>
        <v>0</v>
      </c>
      <c r="GL318" s="13">
        <f>OCC_DAYS*$GB$41*R_NF_2023-GD318*MCD_SHARE_FREED*R_WAIT_2023</f>
        <v>151980.48282209205</v>
      </c>
      <c r="GM318">
        <f>IF($A318&lt;=$GB$45,1,0)</f>
        <v>0</v>
      </c>
      <c r="HB318">
        <f>IF($HB$31&lt;=$HB$32,IF($A318&lt;=$HB$7,1,2),IF($A318&lt;=RUNG_BEDS_2,2,1))</f>
        <v>1</v>
      </c>
      <c r="HC318" s="5">
        <f>MIN(1,MAX(0,$HB$26-($A318-1)))</f>
        <v>0</v>
      </c>
      <c r="HD318" s="5">
        <f>$HB$25*(HC318+(1-HC318)*$HB$16)</f>
        <v>0.0</v>
      </c>
      <c r="HE318" s="13">
        <f>HD318*($HB$6+ACUTE_MARGIN)</f>
        <v>0.0</v>
      </c>
      <c r="HF318" s="13">
        <f>IF(HB318=1,$HB$31,$HB$32)</f>
        <v>152456.2970814058</v>
      </c>
      <c r="HG318" s="13">
        <f>HE318-HF318</f>
        <v>-152456.2970814058</v>
      </c>
      <c r="HH318" s="13">
        <f>HH317+HG318</f>
        <v>2401740.814141933</v>
      </c>
      <c r="HI318">
        <f>IF(HH318=MAX($HH$83:$HH$483),$A318,0)</f>
        <v>0</v>
      </c>
      <c r="HJ318">
        <f>IF(HE318&lt;HF318,$A318,B_MAX+1)</f>
        <v>235</v>
      </c>
      <c r="HK318" s="13">
        <f>IF(HB318=1,$HB$35,$HB$36)</f>
        <v>0</v>
      </c>
      <c r="HL318" s="13">
        <f>OCC_DAYS*$HB$41*R_NF_2023-HD318*MCD_SHARE_FREED*R_WAIT_2023</f>
        <v>151980.48282209205</v>
      </c>
      <c r="HM318">
        <f>IF($A318&lt;=$HB$45,1,0)</f>
        <v>0</v>
      </c>
      <c r="IB318">
        <f>IF($IB$31&lt;=$IB$32,IF($A318&lt;=$IB$7,1,2),IF($A318&lt;=RUNG_BEDS_2,2,1))</f>
        <v>1</v>
      </c>
      <c r="IC318" s="5">
        <f>MIN(1,MAX(0,$IB$26-($A318-1)))</f>
        <v>0</v>
      </c>
      <c r="ID318" s="5">
        <f>$IB$25*(IC318+(1-IC318)*$IB$16)</f>
        <v>0.0</v>
      </c>
      <c r="IE318" s="13">
        <f>ID318*($IB$6+ACUTE_MARGIN)</f>
        <v>0.0</v>
      </c>
      <c r="IF318" s="13">
        <f>IF(IB318=1,$IB$31,$IB$32)</f>
        <v>152734.9994534971</v>
      </c>
      <c r="IG318" s="13">
        <f>IE318-IF318</f>
        <v>-152734.9994534971</v>
      </c>
      <c r="IH318" s="13">
        <f>IH317+IG318</f>
        <v>2336245.7567004245</v>
      </c>
      <c r="II318">
        <f>IF(IH318=MAX($IH$83:$IH$483),$A318,0)</f>
        <v>0</v>
      </c>
      <c r="IJ318">
        <f>IF(IE318&lt;IF318,$A318,B_MAX+1)</f>
        <v>235</v>
      </c>
      <c r="IK318" s="13">
        <f>IF(IB318=1,$IB$35,$IB$36)</f>
        <v>0</v>
      </c>
      <c r="IL318" s="13">
        <f>OCC_DAYS*$IB$41*R_NF_2023-ID318*MCD_SHARE_FREED*R_WAIT_2023</f>
        <v>151980.48282209205</v>
      </c>
      <c r="IM318">
        <f>IF($A318&lt;=$IB$45,1,0)</f>
        <v>0</v>
      </c>
      <c r="JB318">
        <f>IF($JB$31&lt;=$JB$32,IF($A318&lt;=$JB$7,1,2),IF($A318&lt;=RUNG_BEDS_2,2,1))</f>
        <v>1</v>
      </c>
      <c r="JC318" s="5">
        <f>MIN(1,MAX(0,$JB$26-($A318-1)))</f>
        <v>0</v>
      </c>
      <c r="JD318" s="5">
        <f>$JB$25*(JC318+(1-JC318)*$JB$16)</f>
        <v>0.0</v>
      </c>
      <c r="JE318" s="13">
        <f>JD318*($JB$6+ACUTE_MARGIN)</f>
        <v>0.0</v>
      </c>
      <c r="JF318" s="13">
        <f>IF(JB318=1,$JB$31,$JB$32)</f>
        <v>152394.16214437486</v>
      </c>
      <c r="JG318" s="13">
        <f>JE318-JF318</f>
        <v>-152394.16214437486</v>
      </c>
      <c r="JH318" s="13">
        <f>JH317+JG318</f>
        <v>2416342.524344243</v>
      </c>
      <c r="JI318">
        <f>IF(JH318=MAX($JH$83:$JH$483),$A318,0)</f>
        <v>0</v>
      </c>
      <c r="JJ318">
        <f>IF(JE318&lt;JF318,$A318,B_MAX+1)</f>
        <v>235</v>
      </c>
      <c r="JK318" s="13">
        <f>IF(JB318=1,$JB$35,$JB$36)</f>
        <v>0</v>
      </c>
      <c r="JL318" s="13">
        <f>OCC_DAYS*$JB$41*R_NF_2023-JD318*MCD_SHARE_FREED*R_WAIT_2023</f>
        <v>151980.48282209205</v>
      </c>
      <c r="JM318">
        <f>IF($A318&lt;=$JB$45,1,0)</f>
        <v>0</v>
      </c>
      <c r="KB318">
        <f>IF($KB$31&lt;=$KB$32,IF($A318&lt;=$KB$7,1,2),IF($A318&lt;=RUNG_BEDS_2,2,1))</f>
        <v>1</v>
      </c>
      <c r="KC318" s="5">
        <f>MIN(1,MAX(0,$KB$26-($A318-1)))</f>
        <v>1</v>
      </c>
      <c r="KD318" s="5">
        <f>$KB$25*(KC318+(1-KC318)*$KB$16)</f>
        <v>126.02661357340719</v>
      </c>
      <c r="KE318" s="13">
        <f>KD318*($KB$6+ACUTE_MARGIN)</f>
        <v>127286.87970914126</v>
      </c>
      <c r="KF318" s="13">
        <f>IF(KB318=1,$KB$31,$KB$32)</f>
        <v>152394.16214437486</v>
      </c>
      <c r="KG318" s="13">
        <f>KE318-KF318</f>
        <v>-25107.282435233603</v>
      </c>
      <c r="KH318" s="13">
        <f>KH317+KG318</f>
        <v>-5900211.372279916</v>
      </c>
      <c r="KI318">
        <f>IF(KH318=MAX($KH$83:$KH$483),$A318,0)</f>
        <v>0</v>
      </c>
      <c r="KJ318">
        <f>IF(KE318&lt;KF318,$A318,B_MAX+1)</f>
        <v>235</v>
      </c>
      <c r="KK318" s="13">
        <f>IF(KB318=1,$KB$35,$KB$36)</f>
        <v>0</v>
      </c>
      <c r="KL318" s="13">
        <f>OCC_DAYS*$KB$41*R_NF_2023-KD318*MCD_SHARE_FREED*R_WAIT_2023</f>
        <v>94673.82103225985</v>
      </c>
      <c r="KM318">
        <f>IF($A318&lt;=$KB$45,1,0)</f>
        <v>0</v>
      </c>
      <c r="LB318">
        <f>IF($LB$31&lt;=$LB$32,IF($A318&lt;=$LB$7,1,2),IF($A318&lt;=RUNG_BEDS_2,2,1))</f>
        <v>1</v>
      </c>
      <c r="LC318" s="5">
        <f>MIN(1,MAX(0,$LB$26-($A318-1)))</f>
        <v>1</v>
      </c>
      <c r="LD318" s="5">
        <f>$LB$25*(LC318+(1-LC318)*$LB$16)</f>
        <v>84.01774238227146</v>
      </c>
      <c r="LE318" s="13">
        <f>LD318*($LB$6+ACUTE_MARGIN)</f>
        <v>84857.91980609419</v>
      </c>
      <c r="LF318" s="13">
        <f>IF(LB318=1,$LB$31,$LB$32)</f>
        <v>152394.16214437486</v>
      </c>
      <c r="LG318" s="13">
        <f>LE318-LF318</f>
        <v>-67536.24233828067</v>
      </c>
      <c r="LH318" s="13">
        <f>LH317+LG318</f>
        <v>-15871016.949496035</v>
      </c>
      <c r="LI318">
        <f>IF(LH318=MAX($LH$83:$LH$483),$A318,0)</f>
        <v>0</v>
      </c>
      <c r="LJ318">
        <f>IF(LE318&lt;LF318,$A318,B_MAX+1)</f>
        <v>235</v>
      </c>
      <c r="LK318" s="13">
        <f>IF(LB318=1,$LB$35,$LB$36)</f>
        <v>0</v>
      </c>
      <c r="LL318" s="13">
        <f>OCC_DAYS*$LB$41*R_NF_2023-LD318*MCD_SHARE_FREED*R_WAIT_2023</f>
        <v>113776.04162887059</v>
      </c>
      <c r="LM318">
        <f>IF($A318&lt;=$LB$45,1,0)</f>
        <v>0</v>
      </c>
      <c r="MB318">
        <f>IF($MB$31&lt;=$MB$32,IF($A318&lt;=$MB$7,1,2),IF($A318&lt;=RUNG_BEDS_2,2,1))</f>
        <v>1</v>
      </c>
      <c r="MC318" s="5">
        <f>MIN(1,MAX(0,$MB$26-($A318-1)))</f>
        <v>0</v>
      </c>
      <c r="MD318" s="5">
        <f>$MB$25*(MC318+(1-MC318)*$MB$16)</f>
        <v>0.0</v>
      </c>
      <c r="ME318" s="13">
        <f>MD318*($MB$6+ACUTE_MARGIN)</f>
        <v>0.0</v>
      </c>
      <c r="MF318" s="13">
        <f>IF(MB318=1,$MB$31,$MB$32)</f>
        <v>152394.16214437486</v>
      </c>
      <c r="MG318" s="13">
        <f>ME318-MF318</f>
        <v>-152394.16214437486</v>
      </c>
      <c r="MH318" s="13">
        <f>MH317+MG318</f>
        <v>-3470933.537454087</v>
      </c>
      <c r="MI318">
        <f>IF(MH318=MAX($MH$83:$MH$483),$A318,0)</f>
        <v>0</v>
      </c>
      <c r="MJ318">
        <f>IF(ME318&lt;MF318,$A318,B_MAX+1)</f>
        <v>235</v>
      </c>
      <c r="MK318" s="13">
        <f>IF(MB318=1,$MB$35,$MB$36)</f>
        <v>0</v>
      </c>
      <c r="ML318" s="13">
        <f>OCC_DAYS*$MB$41*R_NF_2023-MD318*MCD_SHARE_FREED*R_WAIT_2023</f>
        <v>151980.48282209205</v>
      </c>
      <c r="MM318">
        <f>IF($A318&lt;=$MB$45,1,0)</f>
        <v>0</v>
      </c>
      <c r="NB318">
        <f>IF($NB$31&lt;=$NB$32,IF($A318&lt;=$NB$7,1,2),IF($A318&lt;=RUNG_BEDS_2,2,1))</f>
        <v>1</v>
      </c>
      <c r="NC318" s="5">
        <f>MIN(1,MAX(0,$NB$26-($A318-1)))</f>
        <v>0</v>
      </c>
      <c r="ND318" s="5">
        <f>$NB$25*(NC318+(1-NC318)*$NB$16)</f>
        <v>63.013306786703595</v>
      </c>
      <c r="NE318" s="13">
        <f>ND318*($NB$6+ACUTE_MARGIN)</f>
        <v>63643.43985457063</v>
      </c>
      <c r="NF318" s="13">
        <f>IF(NB318=1,$NB$31,$NB$32)</f>
        <v>152394.16214437486</v>
      </c>
      <c r="NG318" s="13">
        <f>NE318-NF318</f>
        <v>-88750.72228980422</v>
      </c>
      <c r="NH318" s="13">
        <f>NH317+NG318</f>
        <v>7815308.233100239</v>
      </c>
      <c r="NI318">
        <f>IF(NH318=MAX($NH$83:$NH$483),$A318,0)</f>
        <v>0</v>
      </c>
      <c r="NJ318">
        <f>IF(NE318&lt;NF318,$A318,B_MAX+1)</f>
        <v>235</v>
      </c>
      <c r="NK318" s="13">
        <f>IF(NB318=1,$NB$35,$NB$36)</f>
        <v>0</v>
      </c>
      <c r="NL318" s="13">
        <f>OCC_DAYS*$NB$41*R_NF_2023-ND318*MCD_SHARE_FREED*R_WAIT_2023</f>
        <v>123327.15192717595</v>
      </c>
      <c r="NM318">
        <f>IF($A318&lt;=$NB$45,1,0)</f>
        <v>0</v>
      </c>
      <c r="OB318">
        <f>IF($OB$31&lt;=$OB$32,IF($A318&lt;=$OB$7,1,2),IF($A318&lt;=RUNG_BEDS_2,2,1))</f>
        <v>1</v>
      </c>
      <c r="OC318" s="5">
        <f>MIN(1,MAX(0,$OB$26-($A318-1)))</f>
        <v>0</v>
      </c>
      <c r="OD318" s="5">
        <f>$OB$25*(OC318+(1-OC318)*$OB$16)</f>
        <v>126.02661357340719</v>
      </c>
      <c r="OE318" s="13">
        <f>OD318*($OB$6+ACUTE_MARGIN)</f>
        <v>127286.87970914126</v>
      </c>
      <c r="OF318" s="13">
        <f>IF(OB318=1,$OB$31,$OB$32)</f>
        <v>152394.16214437486</v>
      </c>
      <c r="OG318" s="13">
        <f>OE318-OF318</f>
        <v>-25107.282435233603</v>
      </c>
      <c r="OH318" s="13">
        <f>OH317+OG318</f>
        <v>13214273.941856356</v>
      </c>
      <c r="OI318">
        <f>IF(OH318=MAX($OH$83:$OH$483),$A318,0)</f>
        <v>0</v>
      </c>
      <c r="OJ318">
        <f>IF(OE318&lt;OF318,$A318,B_MAX+1)</f>
        <v>235</v>
      </c>
      <c r="OK318" s="13">
        <f>IF(OB318=1,$OB$35,$OB$36)</f>
        <v>0</v>
      </c>
      <c r="OL318" s="13">
        <f>OCC_DAYS*$OB$41*R_NF_2023-OD318*MCD_SHARE_FREED*R_WAIT_2023</f>
        <v>94673.82103225985</v>
      </c>
      <c r="OM318">
        <f>IF($A318&lt;=$OB$45,1,0)</f>
        <v>0</v>
      </c>
    </row>
    <row r="319">
      <c r="A319" t="n">
        <v>236</v>
      </c>
      <c r="B319">
        <f>IF($B$31&lt;=$B$32,IF($A319&lt;=$B$7,1,2),IF($A319&lt;=RUNG_BEDS_2,2,1))</f>
        <v>1</v>
      </c>
      <c r="C319" s="5">
        <f>MIN(1,MAX(0,$B$26-($A319-1)))</f>
        <v>0</v>
      </c>
      <c r="D319" s="5">
        <f>$B$25*(C319+(1-C319)*$B$16)</f>
        <v>0.0</v>
      </c>
      <c r="E319" s="13">
        <f>D319*($B$6+ACUTE_MARGIN)</f>
        <v>0.0</v>
      </c>
      <c r="F319" s="13">
        <f>IF(B319=1,$B$31,$B$32)</f>
        <v>152394.16214437486</v>
      </c>
      <c r="G319" s="13">
        <f>E319-F319</f>
        <v>-152394.16214437486</v>
      </c>
      <c r="H319" s="13">
        <f>H318+G319</f>
        <v>2263948.362199868</v>
      </c>
      <c r="I319">
        <f>IF(H319=MAX($H$83:$H$483),$A319,0)</f>
        <v>0</v>
      </c>
      <c r="J319">
        <f>IF(E319&lt;F319,$A319,B_MAX+1)</f>
        <v>236</v>
      </c>
      <c r="K319" s="13">
        <f>IF(B319=1,$B$35,$B$36)</f>
        <v>0</v>
      </c>
      <c r="L319" s="13">
        <f>OCC_DAYS*$B$41*R_NF_2023-D319*MCD_SHARE_FREED*R_WAIT_2023</f>
        <v>151980.48282209205</v>
      </c>
      <c r="M319">
        <f>IF($A319&lt;=$B$45,1,0)</f>
        <v>0</v>
      </c>
      <c r="AB319">
        <f>IF($AB$31&lt;=$AB$32,IF($A319&lt;=$AB$7,1,2),IF($A319&lt;=RUNG_BEDS_2,2,1))</f>
        <v>1</v>
      </c>
      <c r="AC319" s="5">
        <f>MIN(1,MAX(0,$AB$26-($A319-1)))</f>
        <v>0</v>
      </c>
      <c r="AD319" s="5">
        <f>$AB$25*(AC319+(1-AC319)*$AB$16)</f>
        <v>0.0</v>
      </c>
      <c r="AE319" s="13">
        <f>AD319*($AB$6+ACUTE_MARGIN)</f>
        <v>0.0</v>
      </c>
      <c r="AF319" s="13">
        <f>IF(AB319=1,$AB$31,$AB$32)</f>
        <v>152394.16214437486</v>
      </c>
      <c r="AG319" s="13">
        <f>AE319-AF319</f>
        <v>-152394.16214437486</v>
      </c>
      <c r="AH319" s="13">
        <f>AH318+AG319</f>
        <v>-15147265.983349925</v>
      </c>
      <c r="AI319">
        <f>IF(AH319=MAX($AH$83:$AH$483),$A319,0)</f>
        <v>0</v>
      </c>
      <c r="AJ319">
        <f>IF(AE319&lt;AF319,$A319,B_MAX+1)</f>
        <v>236</v>
      </c>
      <c r="AK319" s="13">
        <f>IF(AB319=1,$AB$35,$AB$36)</f>
        <v>0</v>
      </c>
      <c r="AL319" s="13">
        <f>OCC_DAYS*$AB$41*R_NF_2023-AD319*MCD_SHARE_FREED*R_WAIT_2023</f>
        <v>151980.48282209205</v>
      </c>
      <c r="AM319">
        <f>IF($A319&lt;=$AB$45,1,0)</f>
        <v>0</v>
      </c>
      <c r="BB319">
        <f>IF($BB$31&lt;=$BB$32,IF($A319&lt;=$BB$7,1,2),IF($A319&lt;=RUNG_BEDS_2,2,1))</f>
        <v>1</v>
      </c>
      <c r="BC319" s="5">
        <f>MIN(1,MAX(0,$BB$26-($A319-1)))</f>
        <v>0</v>
      </c>
      <c r="BD319" s="5">
        <f>$BB$25*(BC319+(1-BC319)*$BB$16)</f>
        <v>0.0</v>
      </c>
      <c r="BE319" s="13">
        <f>BD319*($BB$6+ACUTE_MARGIN)</f>
        <v>0.0</v>
      </c>
      <c r="BF319" s="13">
        <f>IF(BB319=1,$BB$31,$BB$32)</f>
        <v>152394.16214437486</v>
      </c>
      <c r="BG319" s="13">
        <f>BE319-BF319</f>
        <v>-152394.16214437486</v>
      </c>
      <c r="BH319" s="13">
        <f>BH318+BG319</f>
        <v>19675162.707749568</v>
      </c>
      <c r="BI319">
        <f>IF(BH319=MAX($BH$83:$BH$483),$A319,0)</f>
        <v>0</v>
      </c>
      <c r="BJ319">
        <f>IF(BE319&lt;BF319,$A319,B_MAX+1)</f>
        <v>236</v>
      </c>
      <c r="BK319" s="13">
        <f>IF(BB319=1,$BB$35,$BB$36)</f>
        <v>0</v>
      </c>
      <c r="BL319" s="13">
        <f>OCC_DAYS*$BB$41*R_NF_2023-BD319*MCD_SHARE_FREED*R_WAIT_2023</f>
        <v>151980.48282209205</v>
      </c>
      <c r="BM319">
        <f>IF($A319&lt;=$BB$45,1,0)</f>
        <v>0</v>
      </c>
      <c r="CB319">
        <f>IF($CB$31&lt;=$CB$32,IF($A319&lt;=$CB$7,1,2),IF($A319&lt;=RUNG_BEDS_2,2,1))</f>
        <v>2</v>
      </c>
      <c r="CC319" s="5">
        <f>MIN(1,MAX(0,$CB$26-($A319-1)))</f>
        <v>0</v>
      </c>
      <c r="CD319" s="5">
        <f>$CB$25*(CC319+(1-CC319)*$CB$16)</f>
        <v>0.0</v>
      </c>
      <c r="CE319" s="13">
        <f>CD319*($CB$6+ACUTE_MARGIN)</f>
        <v>0.0</v>
      </c>
      <c r="CF319" s="13">
        <f>IF(CB319=1,$CB$31,$CB$32)</f>
        <v>160718.36940738867</v>
      </c>
      <c r="CG319" s="13">
        <f>CE319-CF319</f>
        <v>-160718.36940738867</v>
      </c>
      <c r="CH319" s="13">
        <f>CH318+CG319</f>
        <v>299435.4481284948</v>
      </c>
      <c r="CI319">
        <f>IF(CH319=MAX($CH$83:$CH$483),$A319,0)</f>
        <v>0</v>
      </c>
      <c r="CJ319">
        <f>IF(CE319&lt;CF319,$A319,B_MAX+1)</f>
        <v>236</v>
      </c>
      <c r="CK319" s="13">
        <f>IF(CB319=1,$CB$35,$CB$36)</f>
        <v>1560.1194073886782</v>
      </c>
      <c r="CL319" s="13">
        <f>OCC_DAYS*$CB$41*R_NF_2023-CD319*MCD_SHARE_FREED*R_WAIT_2023</f>
        <v>151980.48282209205</v>
      </c>
      <c r="CM319">
        <f>IF($A319&lt;=$CB$45,1,0)</f>
        <v>0</v>
      </c>
      <c r="DB319">
        <f>IF($DB$31&lt;=$DB$32,IF($A319&lt;=$DB$7,1,2),IF($A319&lt;=RUNG_BEDS_2,2,1))</f>
        <v>1</v>
      </c>
      <c r="DC319" s="5">
        <f>MIN(1,MAX(0,$DB$26-($A319-1)))</f>
        <v>0</v>
      </c>
      <c r="DD319" s="5">
        <f>$DB$25*(DC319+(1-DC319)*$DB$16)</f>
        <v>0.0</v>
      </c>
      <c r="DE319" s="13">
        <f>DD319*($DB$6+ACUTE_MARGIN)</f>
        <v>0.0</v>
      </c>
      <c r="DF319" s="13">
        <f>IF(DB319=1,$DB$31,$DB$32)</f>
        <v>152394.16214437486</v>
      </c>
      <c r="DG319" s="13">
        <f>DE319-DF319</f>
        <v>-152394.16214437486</v>
      </c>
      <c r="DH319" s="13">
        <f>DH318+DG319</f>
        <v>2263948.362199868</v>
      </c>
      <c r="DI319">
        <f>IF(DH319=MAX($DH$83:$DH$483),$A319,0)</f>
        <v>0</v>
      </c>
      <c r="DJ319">
        <f>IF(DE319&lt;DF319,$A319,B_MAX+1)</f>
        <v>236</v>
      </c>
      <c r="DK319" s="13">
        <f>IF(DB319=1,$DB$35,$DB$36)</f>
        <v>0</v>
      </c>
      <c r="DL319" s="13">
        <f>OCC_DAYS*$DB$41*R_NF_2023-DD319*MCD_SHARE_FREED*R_WAIT_2023</f>
        <v>151980.48282209205</v>
      </c>
      <c r="DM319">
        <f>IF($A319&lt;=$DB$45,1,0)</f>
        <v>0</v>
      </c>
      <c r="EB319">
        <f>IF($EB$31&lt;=$EB$32,IF($A319&lt;=$EB$7,1,2),IF($A319&lt;=RUNG_BEDS_2,2,1))</f>
        <v>1</v>
      </c>
      <c r="EC319" s="5">
        <f>MIN(1,MAX(0,$EB$26-($A319-1)))</f>
        <v>0</v>
      </c>
      <c r="ED319" s="5">
        <f>$EB$25*(EC319+(1-EC319)*$EB$16)</f>
        <v>0.0</v>
      </c>
      <c r="EE319" s="13">
        <f>ED319*($EB$6+ACUTE_MARGIN)</f>
        <v>0.0</v>
      </c>
      <c r="EF319" s="13">
        <f>IF(EB319=1,$EB$31,$EB$32)</f>
        <v>152394.16214437486</v>
      </c>
      <c r="EG319" s="13">
        <f>EE319-EF319</f>
        <v>-152394.16214437486</v>
      </c>
      <c r="EH319" s="13">
        <f>EH318+EG319</f>
        <v>2263948.362199868</v>
      </c>
      <c r="EI319">
        <f>IF(EH319=MAX($EH$83:$EH$483),$A319,0)</f>
        <v>0</v>
      </c>
      <c r="EJ319">
        <f>IF(EE319&lt;EF319,$A319,B_MAX+1)</f>
        <v>236</v>
      </c>
      <c r="EK319" s="13">
        <f>IF(EB319=1,$EB$35,$EB$36)</f>
        <v>0</v>
      </c>
      <c r="EL319" s="13">
        <f>OCC_DAYS*$EB$41*R_NF_2023-ED319*MCD_SHARE_FREED*R_WAIT_2023</f>
        <v>50660.16094069735</v>
      </c>
      <c r="EM319">
        <f>IF($A319&lt;=$EB$45,1,0)</f>
        <v>0</v>
      </c>
      <c r="FB319">
        <f>IF($FB$31&lt;=$FB$32,IF($A319&lt;=$FB$7,1,2),IF($A319&lt;=RUNG_BEDS_2,2,1))</f>
        <v>1</v>
      </c>
      <c r="FC319" s="5">
        <f>MIN(1,MAX(0,$FB$26-($A319-1)))</f>
        <v>0</v>
      </c>
      <c r="FD319" s="5">
        <f>$FB$25*(FC319+(1-FC319)*$FB$16)</f>
        <v>0.0</v>
      </c>
      <c r="FE319" s="13">
        <f>FD319*($FB$6+ACUTE_MARGIN)</f>
        <v>0.0</v>
      </c>
      <c r="FF319" s="13">
        <f>IF(FB319=1,$FB$31,$FB$32)</f>
        <v>156636.04979437485</v>
      </c>
      <c r="FG319" s="13">
        <f>FE319-FF319</f>
        <v>-156636.04979437485</v>
      </c>
      <c r="FH319" s="13">
        <f>FH318+FG319</f>
        <v>1262862.8767997548</v>
      </c>
      <c r="FI319">
        <f>IF(FH319=MAX($FH$83:$FH$483),$A319,0)</f>
        <v>0</v>
      </c>
      <c r="FJ319">
        <f>IF(FE319&lt;FF319,$A319,B_MAX+1)</f>
        <v>236</v>
      </c>
      <c r="FK319" s="13">
        <f>IF(FB319=1,$FB$35,$FB$36)</f>
        <v>0</v>
      </c>
      <c r="FL319" s="13">
        <f>OCC_DAYS*$FB$41*R_NF_2023-FD319*MCD_SHARE_FREED*R_WAIT_2023</f>
        <v>151980.48282209205</v>
      </c>
      <c r="FM319">
        <f>IF($A319&lt;=$FB$45,1,0)</f>
        <v>0</v>
      </c>
      <c r="GB319">
        <f>IF($GB$31&lt;=$GB$32,IF($A319&lt;=$GB$7,1,2),IF($A319&lt;=RUNG_BEDS_2,2,1))</f>
        <v>1</v>
      </c>
      <c r="GC319" s="5">
        <f>MIN(1,MAX(0,$GB$26-($A319-1)))</f>
        <v>0</v>
      </c>
      <c r="GD319" s="5">
        <f>$GB$25*(GC319+(1-GC319)*$GB$16)</f>
        <v>0.0</v>
      </c>
      <c r="GE319" s="13">
        <f>GD319*($GB$6+ACUTE_MARGIN)</f>
        <v>0.0</v>
      </c>
      <c r="GF319" s="13">
        <f>IF(GB319=1,$GB$31,$GB$32)</f>
        <v>152394.16214437486</v>
      </c>
      <c r="GG319" s="13">
        <f>GE319-GF319</f>
        <v>-152394.16214437486</v>
      </c>
      <c r="GH319" s="13">
        <f>GH318+GG319</f>
        <v>2263948.362199868</v>
      </c>
      <c r="GI319">
        <f>IF(GH319=MAX($GH$83:$GH$483),$A319,0)</f>
        <v>0</v>
      </c>
      <c r="GJ319">
        <f>IF(GE319&lt;GF319,$A319,B_MAX+1)</f>
        <v>236</v>
      </c>
      <c r="GK319" s="13">
        <f>IF(GB319=1,$GB$35,$GB$36)</f>
        <v>0</v>
      </c>
      <c r="GL319" s="13">
        <f>OCC_DAYS*$GB$41*R_NF_2023-GD319*MCD_SHARE_FREED*R_WAIT_2023</f>
        <v>151980.48282209205</v>
      </c>
      <c r="GM319">
        <f>IF($A319&lt;=$GB$45,1,0)</f>
        <v>0</v>
      </c>
      <c r="HB319">
        <f>IF($HB$31&lt;=$HB$32,IF($A319&lt;=$HB$7,1,2),IF($A319&lt;=RUNG_BEDS_2,2,1))</f>
        <v>1</v>
      </c>
      <c r="HC319" s="5">
        <f>MIN(1,MAX(0,$HB$26-($A319-1)))</f>
        <v>0</v>
      </c>
      <c r="HD319" s="5">
        <f>$HB$25*(HC319+(1-HC319)*$HB$16)</f>
        <v>0.0</v>
      </c>
      <c r="HE319" s="13">
        <f>HD319*($HB$6+ACUTE_MARGIN)</f>
        <v>0.0</v>
      </c>
      <c r="HF319" s="13">
        <f>IF(HB319=1,$HB$31,$HB$32)</f>
        <v>152456.2970814058</v>
      </c>
      <c r="HG319" s="13">
        <f>HE319-HF319</f>
        <v>-152456.2970814058</v>
      </c>
      <c r="HH319" s="13">
        <f>HH318+HG319</f>
        <v>2249284.517060527</v>
      </c>
      <c r="HI319">
        <f>IF(HH319=MAX($HH$83:$HH$483),$A319,0)</f>
        <v>0</v>
      </c>
      <c r="HJ319">
        <f>IF(HE319&lt;HF319,$A319,B_MAX+1)</f>
        <v>236</v>
      </c>
      <c r="HK319" s="13">
        <f>IF(HB319=1,$HB$35,$HB$36)</f>
        <v>0</v>
      </c>
      <c r="HL319" s="13">
        <f>OCC_DAYS*$HB$41*R_NF_2023-HD319*MCD_SHARE_FREED*R_WAIT_2023</f>
        <v>151980.48282209205</v>
      </c>
      <c r="HM319">
        <f>IF($A319&lt;=$HB$45,1,0)</f>
        <v>0</v>
      </c>
      <c r="IB319">
        <f>IF($IB$31&lt;=$IB$32,IF($A319&lt;=$IB$7,1,2),IF($A319&lt;=RUNG_BEDS_2,2,1))</f>
        <v>1</v>
      </c>
      <c r="IC319" s="5">
        <f>MIN(1,MAX(0,$IB$26-($A319-1)))</f>
        <v>0</v>
      </c>
      <c r="ID319" s="5">
        <f>$IB$25*(IC319+(1-IC319)*$IB$16)</f>
        <v>0.0</v>
      </c>
      <c r="IE319" s="13">
        <f>ID319*($IB$6+ACUTE_MARGIN)</f>
        <v>0.0</v>
      </c>
      <c r="IF319" s="13">
        <f>IF(IB319=1,$IB$31,$IB$32)</f>
        <v>152734.9994534971</v>
      </c>
      <c r="IG319" s="13">
        <f>IE319-IF319</f>
        <v>-152734.9994534971</v>
      </c>
      <c r="IH319" s="13">
        <f>IH318+IG319</f>
        <v>2183510.7572469274</v>
      </c>
      <c r="II319">
        <f>IF(IH319=MAX($IH$83:$IH$483),$A319,0)</f>
        <v>0</v>
      </c>
      <c r="IJ319">
        <f>IF(IE319&lt;IF319,$A319,B_MAX+1)</f>
        <v>236</v>
      </c>
      <c r="IK319" s="13">
        <f>IF(IB319=1,$IB$35,$IB$36)</f>
        <v>0</v>
      </c>
      <c r="IL319" s="13">
        <f>OCC_DAYS*$IB$41*R_NF_2023-ID319*MCD_SHARE_FREED*R_WAIT_2023</f>
        <v>151980.48282209205</v>
      </c>
      <c r="IM319">
        <f>IF($A319&lt;=$IB$45,1,0)</f>
        <v>0</v>
      </c>
      <c r="JB319">
        <f>IF($JB$31&lt;=$JB$32,IF($A319&lt;=$JB$7,1,2),IF($A319&lt;=RUNG_BEDS_2,2,1))</f>
        <v>1</v>
      </c>
      <c r="JC319" s="5">
        <f>MIN(1,MAX(0,$JB$26-($A319-1)))</f>
        <v>0</v>
      </c>
      <c r="JD319" s="5">
        <f>$JB$25*(JC319+(1-JC319)*$JB$16)</f>
        <v>0.0</v>
      </c>
      <c r="JE319" s="13">
        <f>JD319*($JB$6+ACUTE_MARGIN)</f>
        <v>0.0</v>
      </c>
      <c r="JF319" s="13">
        <f>IF(JB319=1,$JB$31,$JB$32)</f>
        <v>152394.16214437486</v>
      </c>
      <c r="JG319" s="13">
        <f>JE319-JF319</f>
        <v>-152394.16214437486</v>
      </c>
      <c r="JH319" s="13">
        <f>JH318+JG319</f>
        <v>2263948.362199868</v>
      </c>
      <c r="JI319">
        <f>IF(JH319=MAX($JH$83:$JH$483),$A319,0)</f>
        <v>0</v>
      </c>
      <c r="JJ319">
        <f>IF(JE319&lt;JF319,$A319,B_MAX+1)</f>
        <v>236</v>
      </c>
      <c r="JK319" s="13">
        <f>IF(JB319=1,$JB$35,$JB$36)</f>
        <v>0</v>
      </c>
      <c r="JL319" s="13">
        <f>OCC_DAYS*$JB$41*R_NF_2023-JD319*MCD_SHARE_FREED*R_WAIT_2023</f>
        <v>151980.48282209205</v>
      </c>
      <c r="JM319">
        <f>IF($A319&lt;=$JB$45,1,0)</f>
        <v>0</v>
      </c>
      <c r="KB319">
        <f>IF($KB$31&lt;=$KB$32,IF($A319&lt;=$KB$7,1,2),IF($A319&lt;=RUNG_BEDS_2,2,1))</f>
        <v>1</v>
      </c>
      <c r="KC319" s="5">
        <f>MIN(1,MAX(0,$KB$26-($A319-1)))</f>
        <v>1</v>
      </c>
      <c r="KD319" s="5">
        <f>$KB$25*(KC319+(1-KC319)*$KB$16)</f>
        <v>126.02661357340719</v>
      </c>
      <c r="KE319" s="13">
        <f>KD319*($KB$6+ACUTE_MARGIN)</f>
        <v>127286.87970914126</v>
      </c>
      <c r="KF319" s="13">
        <f>IF(KB319=1,$KB$31,$KB$32)</f>
        <v>152394.16214437486</v>
      </c>
      <c r="KG319" s="13">
        <f>KE319-KF319</f>
        <v>-25107.282435233603</v>
      </c>
      <c r="KH319" s="13">
        <f>KH318+KG319</f>
        <v>-5925318.65471515</v>
      </c>
      <c r="KI319">
        <f>IF(KH319=MAX($KH$83:$KH$483),$A319,0)</f>
        <v>0</v>
      </c>
      <c r="KJ319">
        <f>IF(KE319&lt;KF319,$A319,B_MAX+1)</f>
        <v>236</v>
      </c>
      <c r="KK319" s="13">
        <f>IF(KB319=1,$KB$35,$KB$36)</f>
        <v>0</v>
      </c>
      <c r="KL319" s="13">
        <f>OCC_DAYS*$KB$41*R_NF_2023-KD319*MCD_SHARE_FREED*R_WAIT_2023</f>
        <v>94673.82103225985</v>
      </c>
      <c r="KM319">
        <f>IF($A319&lt;=$KB$45,1,0)</f>
        <v>0</v>
      </c>
      <c r="LB319">
        <f>IF($LB$31&lt;=$LB$32,IF($A319&lt;=$LB$7,1,2),IF($A319&lt;=RUNG_BEDS_2,2,1))</f>
        <v>1</v>
      </c>
      <c r="LC319" s="5">
        <f>MIN(1,MAX(0,$LB$26-($A319-1)))</f>
        <v>1</v>
      </c>
      <c r="LD319" s="5">
        <f>$LB$25*(LC319+(1-LC319)*$LB$16)</f>
        <v>84.01774238227146</v>
      </c>
      <c r="LE319" s="13">
        <f>LD319*($LB$6+ACUTE_MARGIN)</f>
        <v>84857.91980609419</v>
      </c>
      <c r="LF319" s="13">
        <f>IF(LB319=1,$LB$31,$LB$32)</f>
        <v>152394.16214437486</v>
      </c>
      <c r="LG319" s="13">
        <f>LE319-LF319</f>
        <v>-67536.24233828067</v>
      </c>
      <c r="LH319" s="13">
        <f>LH318+LG319</f>
        <v>-15938553.191834316</v>
      </c>
      <c r="LI319">
        <f>IF(LH319=MAX($LH$83:$LH$483),$A319,0)</f>
        <v>0</v>
      </c>
      <c r="LJ319">
        <f>IF(LE319&lt;LF319,$A319,B_MAX+1)</f>
        <v>236</v>
      </c>
      <c r="LK319" s="13">
        <f>IF(LB319=1,$LB$35,$LB$36)</f>
        <v>0</v>
      </c>
      <c r="LL319" s="13">
        <f>OCC_DAYS*$LB$41*R_NF_2023-LD319*MCD_SHARE_FREED*R_WAIT_2023</f>
        <v>113776.04162887059</v>
      </c>
      <c r="LM319">
        <f>IF($A319&lt;=$LB$45,1,0)</f>
        <v>0</v>
      </c>
      <c r="MB319">
        <f>IF($MB$31&lt;=$MB$32,IF($A319&lt;=$MB$7,1,2),IF($A319&lt;=RUNG_BEDS_2,2,1))</f>
        <v>1</v>
      </c>
      <c r="MC319" s="5">
        <f>MIN(1,MAX(0,$MB$26-($A319-1)))</f>
        <v>0</v>
      </c>
      <c r="MD319" s="5">
        <f>$MB$25*(MC319+(1-MC319)*$MB$16)</f>
        <v>0.0</v>
      </c>
      <c r="ME319" s="13">
        <f>MD319*($MB$6+ACUTE_MARGIN)</f>
        <v>0.0</v>
      </c>
      <c r="MF319" s="13">
        <f>IF(MB319=1,$MB$31,$MB$32)</f>
        <v>152394.16214437486</v>
      </c>
      <c r="MG319" s="13">
        <f>ME319-MF319</f>
        <v>-152394.16214437486</v>
      </c>
      <c r="MH319" s="13">
        <f>MH318+MG319</f>
        <v>-3623327.699598462</v>
      </c>
      <c r="MI319">
        <f>IF(MH319=MAX($MH$83:$MH$483),$A319,0)</f>
        <v>0</v>
      </c>
      <c r="MJ319">
        <f>IF(ME319&lt;MF319,$A319,B_MAX+1)</f>
        <v>236</v>
      </c>
      <c r="MK319" s="13">
        <f>IF(MB319=1,$MB$35,$MB$36)</f>
        <v>0</v>
      </c>
      <c r="ML319" s="13">
        <f>OCC_DAYS*$MB$41*R_NF_2023-MD319*MCD_SHARE_FREED*R_WAIT_2023</f>
        <v>151980.48282209205</v>
      </c>
      <c r="MM319">
        <f>IF($A319&lt;=$MB$45,1,0)</f>
        <v>0</v>
      </c>
      <c r="NB319">
        <f>IF($NB$31&lt;=$NB$32,IF($A319&lt;=$NB$7,1,2),IF($A319&lt;=RUNG_BEDS_2,2,1))</f>
        <v>1</v>
      </c>
      <c r="NC319" s="5">
        <f>MIN(1,MAX(0,$NB$26-($A319-1)))</f>
        <v>0</v>
      </c>
      <c r="ND319" s="5">
        <f>$NB$25*(NC319+(1-NC319)*$NB$16)</f>
        <v>63.013306786703595</v>
      </c>
      <c r="NE319" s="13">
        <f>ND319*($NB$6+ACUTE_MARGIN)</f>
        <v>63643.43985457063</v>
      </c>
      <c r="NF319" s="13">
        <f>IF(NB319=1,$NB$31,$NB$32)</f>
        <v>152394.16214437486</v>
      </c>
      <c r="NG319" s="13">
        <f>NE319-NF319</f>
        <v>-88750.72228980422</v>
      </c>
      <c r="NH319" s="13">
        <f>NH318+NG319</f>
        <v>7726557.510810435</v>
      </c>
      <c r="NI319">
        <f>IF(NH319=MAX($NH$83:$NH$483),$A319,0)</f>
        <v>0</v>
      </c>
      <c r="NJ319">
        <f>IF(NE319&lt;NF319,$A319,B_MAX+1)</f>
        <v>236</v>
      </c>
      <c r="NK319" s="13">
        <f>IF(NB319=1,$NB$35,$NB$36)</f>
        <v>0</v>
      </c>
      <c r="NL319" s="13">
        <f>OCC_DAYS*$NB$41*R_NF_2023-ND319*MCD_SHARE_FREED*R_WAIT_2023</f>
        <v>123327.15192717595</v>
      </c>
      <c r="NM319">
        <f>IF($A319&lt;=$NB$45,1,0)</f>
        <v>0</v>
      </c>
      <c r="OB319">
        <f>IF($OB$31&lt;=$OB$32,IF($A319&lt;=$OB$7,1,2),IF($A319&lt;=RUNG_BEDS_2,2,1))</f>
        <v>1</v>
      </c>
      <c r="OC319" s="5">
        <f>MIN(1,MAX(0,$OB$26-($A319-1)))</f>
        <v>0</v>
      </c>
      <c r="OD319" s="5">
        <f>$OB$25*(OC319+(1-OC319)*$OB$16)</f>
        <v>126.02661357340719</v>
      </c>
      <c r="OE319" s="13">
        <f>OD319*($OB$6+ACUTE_MARGIN)</f>
        <v>127286.87970914126</v>
      </c>
      <c r="OF319" s="13">
        <f>IF(OB319=1,$OB$31,$OB$32)</f>
        <v>152394.16214437486</v>
      </c>
      <c r="OG319" s="13">
        <f>OE319-OF319</f>
        <v>-25107.282435233603</v>
      </c>
      <c r="OH319" s="13">
        <f>OH318+OG319</f>
        <v>13189166.659421124</v>
      </c>
      <c r="OI319">
        <f>IF(OH319=MAX($OH$83:$OH$483),$A319,0)</f>
        <v>0</v>
      </c>
      <c r="OJ319">
        <f>IF(OE319&lt;OF319,$A319,B_MAX+1)</f>
        <v>236</v>
      </c>
      <c r="OK319" s="13">
        <f>IF(OB319=1,$OB$35,$OB$36)</f>
        <v>0</v>
      </c>
      <c r="OL319" s="13">
        <f>OCC_DAYS*$OB$41*R_NF_2023-OD319*MCD_SHARE_FREED*R_WAIT_2023</f>
        <v>94673.82103225985</v>
      </c>
      <c r="OM319">
        <f>IF($A319&lt;=$OB$45,1,0)</f>
        <v>0</v>
      </c>
    </row>
    <row r="320">
      <c r="A320" t="n">
        <v>237</v>
      </c>
      <c r="B320">
        <f>IF($B$31&lt;=$B$32,IF($A320&lt;=$B$7,1,2),IF($A320&lt;=RUNG_BEDS_2,2,1))</f>
        <v>1</v>
      </c>
      <c r="C320" s="5">
        <f>MIN(1,MAX(0,$B$26-($A320-1)))</f>
        <v>0</v>
      </c>
      <c r="D320" s="5">
        <f>$B$25*(C320+(1-C320)*$B$16)</f>
        <v>0.0</v>
      </c>
      <c r="E320" s="13">
        <f>D320*($B$6+ACUTE_MARGIN)</f>
        <v>0.0</v>
      </c>
      <c r="F320" s="13">
        <f>IF(B320=1,$B$31,$B$32)</f>
        <v>152394.16214437486</v>
      </c>
      <c r="G320" s="13">
        <f>E320-F320</f>
        <v>-152394.16214437486</v>
      </c>
      <c r="H320" s="13">
        <f>H319+G320</f>
        <v>2111554.200055493</v>
      </c>
      <c r="I320">
        <f>IF(H320=MAX($H$83:$H$483),$A320,0)</f>
        <v>0</v>
      </c>
      <c r="J320">
        <f>IF(E320&lt;F320,$A320,B_MAX+1)</f>
        <v>237</v>
      </c>
      <c r="K320" s="13">
        <f>IF(B320=1,$B$35,$B$36)</f>
        <v>0</v>
      </c>
      <c r="L320" s="13">
        <f>OCC_DAYS*$B$41*R_NF_2023-D320*MCD_SHARE_FREED*R_WAIT_2023</f>
        <v>151980.48282209205</v>
      </c>
      <c r="M320">
        <f>IF($A320&lt;=$B$45,1,0)</f>
        <v>0</v>
      </c>
      <c r="AB320">
        <f>IF($AB$31&lt;=$AB$32,IF($A320&lt;=$AB$7,1,2),IF($A320&lt;=RUNG_BEDS_2,2,1))</f>
        <v>1</v>
      </c>
      <c r="AC320" s="5">
        <f>MIN(1,MAX(0,$AB$26-($A320-1)))</f>
        <v>0</v>
      </c>
      <c r="AD320" s="5">
        <f>$AB$25*(AC320+(1-AC320)*$AB$16)</f>
        <v>0.0</v>
      </c>
      <c r="AE320" s="13">
        <f>AD320*($AB$6+ACUTE_MARGIN)</f>
        <v>0.0</v>
      </c>
      <c r="AF320" s="13">
        <f>IF(AB320=1,$AB$31,$AB$32)</f>
        <v>152394.16214437486</v>
      </c>
      <c r="AG320" s="13">
        <f>AE320-AF320</f>
        <v>-152394.16214437486</v>
      </c>
      <c r="AH320" s="13">
        <f>AH319+AG320</f>
        <v>-15299660.145494299</v>
      </c>
      <c r="AI320">
        <f>IF(AH320=MAX($AH$83:$AH$483),$A320,0)</f>
        <v>0</v>
      </c>
      <c r="AJ320">
        <f>IF(AE320&lt;AF320,$A320,B_MAX+1)</f>
        <v>237</v>
      </c>
      <c r="AK320" s="13">
        <f>IF(AB320=1,$AB$35,$AB$36)</f>
        <v>0</v>
      </c>
      <c r="AL320" s="13">
        <f>OCC_DAYS*$AB$41*R_NF_2023-AD320*MCD_SHARE_FREED*R_WAIT_2023</f>
        <v>151980.48282209205</v>
      </c>
      <c r="AM320">
        <f>IF($A320&lt;=$AB$45,1,0)</f>
        <v>0</v>
      </c>
      <c r="BB320">
        <f>IF($BB$31&lt;=$BB$32,IF($A320&lt;=$BB$7,1,2),IF($A320&lt;=RUNG_BEDS_2,2,1))</f>
        <v>1</v>
      </c>
      <c r="BC320" s="5">
        <f>MIN(1,MAX(0,$BB$26-($A320-1)))</f>
        <v>0</v>
      </c>
      <c r="BD320" s="5">
        <f>$BB$25*(BC320+(1-BC320)*$BB$16)</f>
        <v>0.0</v>
      </c>
      <c r="BE320" s="13">
        <f>BD320*($BB$6+ACUTE_MARGIN)</f>
        <v>0.0</v>
      </c>
      <c r="BF320" s="13">
        <f>IF(BB320=1,$BB$31,$BB$32)</f>
        <v>152394.16214437486</v>
      </c>
      <c r="BG320" s="13">
        <f>BE320-BF320</f>
        <v>-152394.16214437486</v>
      </c>
      <c r="BH320" s="13">
        <f>BH319+BG320</f>
        <v>19522768.545605194</v>
      </c>
      <c r="BI320">
        <f>IF(BH320=MAX($BH$83:$BH$483),$A320,0)</f>
        <v>0</v>
      </c>
      <c r="BJ320">
        <f>IF(BE320&lt;BF320,$A320,B_MAX+1)</f>
        <v>237</v>
      </c>
      <c r="BK320" s="13">
        <f>IF(BB320=1,$BB$35,$BB$36)</f>
        <v>0</v>
      </c>
      <c r="BL320" s="13">
        <f>OCC_DAYS*$BB$41*R_NF_2023-BD320*MCD_SHARE_FREED*R_WAIT_2023</f>
        <v>151980.48282209205</v>
      </c>
      <c r="BM320">
        <f>IF($A320&lt;=$BB$45,1,0)</f>
        <v>0</v>
      </c>
      <c r="CB320">
        <f>IF($CB$31&lt;=$CB$32,IF($A320&lt;=$CB$7,1,2),IF($A320&lt;=RUNG_BEDS_2,2,1))</f>
        <v>2</v>
      </c>
      <c r="CC320" s="5">
        <f>MIN(1,MAX(0,$CB$26-($A320-1)))</f>
        <v>0</v>
      </c>
      <c r="CD320" s="5">
        <f>$CB$25*(CC320+(1-CC320)*$CB$16)</f>
        <v>0.0</v>
      </c>
      <c r="CE320" s="13">
        <f>CD320*($CB$6+ACUTE_MARGIN)</f>
        <v>0.0</v>
      </c>
      <c r="CF320" s="13">
        <f>IF(CB320=1,$CB$31,$CB$32)</f>
        <v>160718.36940738867</v>
      </c>
      <c r="CG320" s="13">
        <f>CE320-CF320</f>
        <v>-160718.36940738867</v>
      </c>
      <c r="CH320" s="13">
        <f>CH319+CG320</f>
        <v>138717.0787211061</v>
      </c>
      <c r="CI320">
        <f>IF(CH320=MAX($CH$83:$CH$483),$A320,0)</f>
        <v>0</v>
      </c>
      <c r="CJ320">
        <f>IF(CE320&lt;CF320,$A320,B_MAX+1)</f>
        <v>237</v>
      </c>
      <c r="CK320" s="13">
        <f>IF(CB320=1,$CB$35,$CB$36)</f>
        <v>1560.1194073886782</v>
      </c>
      <c r="CL320" s="13">
        <f>OCC_DAYS*$CB$41*R_NF_2023-CD320*MCD_SHARE_FREED*R_WAIT_2023</f>
        <v>151980.48282209205</v>
      </c>
      <c r="CM320">
        <f>IF($A320&lt;=$CB$45,1,0)</f>
        <v>0</v>
      </c>
      <c r="DB320">
        <f>IF($DB$31&lt;=$DB$32,IF($A320&lt;=$DB$7,1,2),IF($A320&lt;=RUNG_BEDS_2,2,1))</f>
        <v>1</v>
      </c>
      <c r="DC320" s="5">
        <f>MIN(1,MAX(0,$DB$26-($A320-1)))</f>
        <v>0</v>
      </c>
      <c r="DD320" s="5">
        <f>$DB$25*(DC320+(1-DC320)*$DB$16)</f>
        <v>0.0</v>
      </c>
      <c r="DE320" s="13">
        <f>DD320*($DB$6+ACUTE_MARGIN)</f>
        <v>0.0</v>
      </c>
      <c r="DF320" s="13">
        <f>IF(DB320=1,$DB$31,$DB$32)</f>
        <v>152394.16214437486</v>
      </c>
      <c r="DG320" s="13">
        <f>DE320-DF320</f>
        <v>-152394.16214437486</v>
      </c>
      <c r="DH320" s="13">
        <f>DH319+DG320</f>
        <v>2111554.200055493</v>
      </c>
      <c r="DI320">
        <f>IF(DH320=MAX($DH$83:$DH$483),$A320,0)</f>
        <v>0</v>
      </c>
      <c r="DJ320">
        <f>IF(DE320&lt;DF320,$A320,B_MAX+1)</f>
        <v>237</v>
      </c>
      <c r="DK320" s="13">
        <f>IF(DB320=1,$DB$35,$DB$36)</f>
        <v>0</v>
      </c>
      <c r="DL320" s="13">
        <f>OCC_DAYS*$DB$41*R_NF_2023-DD320*MCD_SHARE_FREED*R_WAIT_2023</f>
        <v>151980.48282209205</v>
      </c>
      <c r="DM320">
        <f>IF($A320&lt;=$DB$45,1,0)</f>
        <v>0</v>
      </c>
      <c r="EB320">
        <f>IF($EB$31&lt;=$EB$32,IF($A320&lt;=$EB$7,1,2),IF($A320&lt;=RUNG_BEDS_2,2,1))</f>
        <v>1</v>
      </c>
      <c r="EC320" s="5">
        <f>MIN(1,MAX(0,$EB$26-($A320-1)))</f>
        <v>0</v>
      </c>
      <c r="ED320" s="5">
        <f>$EB$25*(EC320+(1-EC320)*$EB$16)</f>
        <v>0.0</v>
      </c>
      <c r="EE320" s="13">
        <f>ED320*($EB$6+ACUTE_MARGIN)</f>
        <v>0.0</v>
      </c>
      <c r="EF320" s="13">
        <f>IF(EB320=1,$EB$31,$EB$32)</f>
        <v>152394.16214437486</v>
      </c>
      <c r="EG320" s="13">
        <f>EE320-EF320</f>
        <v>-152394.16214437486</v>
      </c>
      <c r="EH320" s="13">
        <f>EH319+EG320</f>
        <v>2111554.200055493</v>
      </c>
      <c r="EI320">
        <f>IF(EH320=MAX($EH$83:$EH$483),$A320,0)</f>
        <v>0</v>
      </c>
      <c r="EJ320">
        <f>IF(EE320&lt;EF320,$A320,B_MAX+1)</f>
        <v>237</v>
      </c>
      <c r="EK320" s="13">
        <f>IF(EB320=1,$EB$35,$EB$36)</f>
        <v>0</v>
      </c>
      <c r="EL320" s="13">
        <f>OCC_DAYS*$EB$41*R_NF_2023-ED320*MCD_SHARE_FREED*R_WAIT_2023</f>
        <v>50660.16094069735</v>
      </c>
      <c r="EM320">
        <f>IF($A320&lt;=$EB$45,1,0)</f>
        <v>0</v>
      </c>
      <c r="FB320">
        <f>IF($FB$31&lt;=$FB$32,IF($A320&lt;=$FB$7,1,2),IF($A320&lt;=RUNG_BEDS_2,2,1))</f>
        <v>1</v>
      </c>
      <c r="FC320" s="5">
        <f>MIN(1,MAX(0,$FB$26-($A320-1)))</f>
        <v>0</v>
      </c>
      <c r="FD320" s="5">
        <f>$FB$25*(FC320+(1-FC320)*$FB$16)</f>
        <v>0.0</v>
      </c>
      <c r="FE320" s="13">
        <f>FD320*($FB$6+ACUTE_MARGIN)</f>
        <v>0.0</v>
      </c>
      <c r="FF320" s="13">
        <f>IF(FB320=1,$FB$31,$FB$32)</f>
        <v>156636.04979437485</v>
      </c>
      <c r="FG320" s="13">
        <f>FE320-FF320</f>
        <v>-156636.04979437485</v>
      </c>
      <c r="FH320" s="13">
        <f>FH319+FG320</f>
        <v>1106226.8270053798</v>
      </c>
      <c r="FI320">
        <f>IF(FH320=MAX($FH$83:$FH$483),$A320,0)</f>
        <v>0</v>
      </c>
      <c r="FJ320">
        <f>IF(FE320&lt;FF320,$A320,B_MAX+1)</f>
        <v>237</v>
      </c>
      <c r="FK320" s="13">
        <f>IF(FB320=1,$FB$35,$FB$36)</f>
        <v>0</v>
      </c>
      <c r="FL320" s="13">
        <f>OCC_DAYS*$FB$41*R_NF_2023-FD320*MCD_SHARE_FREED*R_WAIT_2023</f>
        <v>151980.48282209205</v>
      </c>
      <c r="FM320">
        <f>IF($A320&lt;=$FB$45,1,0)</f>
        <v>0</v>
      </c>
      <c r="GB320">
        <f>IF($GB$31&lt;=$GB$32,IF($A320&lt;=$GB$7,1,2),IF($A320&lt;=RUNG_BEDS_2,2,1))</f>
        <v>1</v>
      </c>
      <c r="GC320" s="5">
        <f>MIN(1,MAX(0,$GB$26-($A320-1)))</f>
        <v>0</v>
      </c>
      <c r="GD320" s="5">
        <f>$GB$25*(GC320+(1-GC320)*$GB$16)</f>
        <v>0.0</v>
      </c>
      <c r="GE320" s="13">
        <f>GD320*($GB$6+ACUTE_MARGIN)</f>
        <v>0.0</v>
      </c>
      <c r="GF320" s="13">
        <f>IF(GB320=1,$GB$31,$GB$32)</f>
        <v>152394.16214437486</v>
      </c>
      <c r="GG320" s="13">
        <f>GE320-GF320</f>
        <v>-152394.16214437486</v>
      </c>
      <c r="GH320" s="13">
        <f>GH319+GG320</f>
        <v>2111554.200055493</v>
      </c>
      <c r="GI320">
        <f>IF(GH320=MAX($GH$83:$GH$483),$A320,0)</f>
        <v>0</v>
      </c>
      <c r="GJ320">
        <f>IF(GE320&lt;GF320,$A320,B_MAX+1)</f>
        <v>237</v>
      </c>
      <c r="GK320" s="13">
        <f>IF(GB320=1,$GB$35,$GB$36)</f>
        <v>0</v>
      </c>
      <c r="GL320" s="13">
        <f>OCC_DAYS*$GB$41*R_NF_2023-GD320*MCD_SHARE_FREED*R_WAIT_2023</f>
        <v>151980.48282209205</v>
      </c>
      <c r="GM320">
        <f>IF($A320&lt;=$GB$45,1,0)</f>
        <v>0</v>
      </c>
      <c r="HB320">
        <f>IF($HB$31&lt;=$HB$32,IF($A320&lt;=$HB$7,1,2),IF($A320&lt;=RUNG_BEDS_2,2,1))</f>
        <v>1</v>
      </c>
      <c r="HC320" s="5">
        <f>MIN(1,MAX(0,$HB$26-($A320-1)))</f>
        <v>0</v>
      </c>
      <c r="HD320" s="5">
        <f>$HB$25*(HC320+(1-HC320)*$HB$16)</f>
        <v>0.0</v>
      </c>
      <c r="HE320" s="13">
        <f>HD320*($HB$6+ACUTE_MARGIN)</f>
        <v>0.0</v>
      </c>
      <c r="HF320" s="13">
        <f>IF(HB320=1,$HB$31,$HB$32)</f>
        <v>152456.2970814058</v>
      </c>
      <c r="HG320" s="13">
        <f>HE320-HF320</f>
        <v>-152456.2970814058</v>
      </c>
      <c r="HH320" s="13">
        <f>HH319+HG320</f>
        <v>2096828.2199791213</v>
      </c>
      <c r="HI320">
        <f>IF(HH320=MAX($HH$83:$HH$483),$A320,0)</f>
        <v>0</v>
      </c>
      <c r="HJ320">
        <f>IF(HE320&lt;HF320,$A320,B_MAX+1)</f>
        <v>237</v>
      </c>
      <c r="HK320" s="13">
        <f>IF(HB320=1,$HB$35,$HB$36)</f>
        <v>0</v>
      </c>
      <c r="HL320" s="13">
        <f>OCC_DAYS*$HB$41*R_NF_2023-HD320*MCD_SHARE_FREED*R_WAIT_2023</f>
        <v>151980.48282209205</v>
      </c>
      <c r="HM320">
        <f>IF($A320&lt;=$HB$45,1,0)</f>
        <v>0</v>
      </c>
      <c r="IB320">
        <f>IF($IB$31&lt;=$IB$32,IF($A320&lt;=$IB$7,1,2),IF($A320&lt;=RUNG_BEDS_2,2,1))</f>
        <v>1</v>
      </c>
      <c r="IC320" s="5">
        <f>MIN(1,MAX(0,$IB$26-($A320-1)))</f>
        <v>0</v>
      </c>
      <c r="ID320" s="5">
        <f>$IB$25*(IC320+(1-IC320)*$IB$16)</f>
        <v>0.0</v>
      </c>
      <c r="IE320" s="13">
        <f>ID320*($IB$6+ACUTE_MARGIN)</f>
        <v>0.0</v>
      </c>
      <c r="IF320" s="13">
        <f>IF(IB320=1,$IB$31,$IB$32)</f>
        <v>152734.9994534971</v>
      </c>
      <c r="IG320" s="13">
        <f>IE320-IF320</f>
        <v>-152734.9994534971</v>
      </c>
      <c r="IH320" s="13">
        <f>IH319+IG320</f>
        <v>2030775.7577934302</v>
      </c>
      <c r="II320">
        <f>IF(IH320=MAX($IH$83:$IH$483),$A320,0)</f>
        <v>0</v>
      </c>
      <c r="IJ320">
        <f>IF(IE320&lt;IF320,$A320,B_MAX+1)</f>
        <v>237</v>
      </c>
      <c r="IK320" s="13">
        <f>IF(IB320=1,$IB$35,$IB$36)</f>
        <v>0</v>
      </c>
      <c r="IL320" s="13">
        <f>OCC_DAYS*$IB$41*R_NF_2023-ID320*MCD_SHARE_FREED*R_WAIT_2023</f>
        <v>151980.48282209205</v>
      </c>
      <c r="IM320">
        <f>IF($A320&lt;=$IB$45,1,0)</f>
        <v>0</v>
      </c>
      <c r="JB320">
        <f>IF($JB$31&lt;=$JB$32,IF($A320&lt;=$JB$7,1,2),IF($A320&lt;=RUNG_BEDS_2,2,1))</f>
        <v>1</v>
      </c>
      <c r="JC320" s="5">
        <f>MIN(1,MAX(0,$JB$26-($A320-1)))</f>
        <v>0</v>
      </c>
      <c r="JD320" s="5">
        <f>$JB$25*(JC320+(1-JC320)*$JB$16)</f>
        <v>0.0</v>
      </c>
      <c r="JE320" s="13">
        <f>JD320*($JB$6+ACUTE_MARGIN)</f>
        <v>0.0</v>
      </c>
      <c r="JF320" s="13">
        <f>IF(JB320=1,$JB$31,$JB$32)</f>
        <v>152394.16214437486</v>
      </c>
      <c r="JG320" s="13">
        <f>JE320-JF320</f>
        <v>-152394.16214437486</v>
      </c>
      <c r="JH320" s="13">
        <f>JH319+JG320</f>
        <v>2111554.200055493</v>
      </c>
      <c r="JI320">
        <f>IF(JH320=MAX($JH$83:$JH$483),$A320,0)</f>
        <v>0</v>
      </c>
      <c r="JJ320">
        <f>IF(JE320&lt;JF320,$A320,B_MAX+1)</f>
        <v>237</v>
      </c>
      <c r="JK320" s="13">
        <f>IF(JB320=1,$JB$35,$JB$36)</f>
        <v>0</v>
      </c>
      <c r="JL320" s="13">
        <f>OCC_DAYS*$JB$41*R_NF_2023-JD320*MCD_SHARE_FREED*R_WAIT_2023</f>
        <v>151980.48282209205</v>
      </c>
      <c r="JM320">
        <f>IF($A320&lt;=$JB$45,1,0)</f>
        <v>0</v>
      </c>
      <c r="KB320">
        <f>IF($KB$31&lt;=$KB$32,IF($A320&lt;=$KB$7,1,2),IF($A320&lt;=RUNG_BEDS_2,2,1))</f>
        <v>1</v>
      </c>
      <c r="KC320" s="5">
        <f>MIN(1,MAX(0,$KB$26-($A320-1)))</f>
        <v>1</v>
      </c>
      <c r="KD320" s="5">
        <f>$KB$25*(KC320+(1-KC320)*$KB$16)</f>
        <v>126.02661357340719</v>
      </c>
      <c r="KE320" s="13">
        <f>KD320*($KB$6+ACUTE_MARGIN)</f>
        <v>127286.87970914126</v>
      </c>
      <c r="KF320" s="13">
        <f>IF(KB320=1,$KB$31,$KB$32)</f>
        <v>152394.16214437486</v>
      </c>
      <c r="KG320" s="13">
        <f>KE320-KF320</f>
        <v>-25107.282435233603</v>
      </c>
      <c r="KH320" s="13">
        <f>KH319+KG320</f>
        <v>-5950425.937150383</v>
      </c>
      <c r="KI320">
        <f>IF(KH320=MAX($KH$83:$KH$483),$A320,0)</f>
        <v>0</v>
      </c>
      <c r="KJ320">
        <f>IF(KE320&lt;KF320,$A320,B_MAX+1)</f>
        <v>237</v>
      </c>
      <c r="KK320" s="13">
        <f>IF(KB320=1,$KB$35,$KB$36)</f>
        <v>0</v>
      </c>
      <c r="KL320" s="13">
        <f>OCC_DAYS*$KB$41*R_NF_2023-KD320*MCD_SHARE_FREED*R_WAIT_2023</f>
        <v>94673.82103225985</v>
      </c>
      <c r="KM320">
        <f>IF($A320&lt;=$KB$45,1,0)</f>
        <v>0</v>
      </c>
      <c r="LB320">
        <f>IF($LB$31&lt;=$LB$32,IF($A320&lt;=$LB$7,1,2),IF($A320&lt;=RUNG_BEDS_2,2,1))</f>
        <v>1</v>
      </c>
      <c r="LC320" s="5">
        <f>MIN(1,MAX(0,$LB$26-($A320-1)))</f>
        <v>1</v>
      </c>
      <c r="LD320" s="5">
        <f>$LB$25*(LC320+(1-LC320)*$LB$16)</f>
        <v>84.01774238227146</v>
      </c>
      <c r="LE320" s="13">
        <f>LD320*($LB$6+ACUTE_MARGIN)</f>
        <v>84857.91980609419</v>
      </c>
      <c r="LF320" s="13">
        <f>IF(LB320=1,$LB$31,$LB$32)</f>
        <v>152394.16214437486</v>
      </c>
      <c r="LG320" s="13">
        <f>LE320-LF320</f>
        <v>-67536.24233828067</v>
      </c>
      <c r="LH320" s="13">
        <f>LH319+LG320</f>
        <v>-16006089.434172597</v>
      </c>
      <c r="LI320">
        <f>IF(LH320=MAX($LH$83:$LH$483),$A320,0)</f>
        <v>0</v>
      </c>
      <c r="LJ320">
        <f>IF(LE320&lt;LF320,$A320,B_MAX+1)</f>
        <v>237</v>
      </c>
      <c r="LK320" s="13">
        <f>IF(LB320=1,$LB$35,$LB$36)</f>
        <v>0</v>
      </c>
      <c r="LL320" s="13">
        <f>OCC_DAYS*$LB$41*R_NF_2023-LD320*MCD_SHARE_FREED*R_WAIT_2023</f>
        <v>113776.04162887059</v>
      </c>
      <c r="LM320">
        <f>IF($A320&lt;=$LB$45,1,0)</f>
        <v>0</v>
      </c>
      <c r="MB320">
        <f>IF($MB$31&lt;=$MB$32,IF($A320&lt;=$MB$7,1,2),IF($A320&lt;=RUNG_BEDS_2,2,1))</f>
        <v>1</v>
      </c>
      <c r="MC320" s="5">
        <f>MIN(1,MAX(0,$MB$26-($A320-1)))</f>
        <v>0</v>
      </c>
      <c r="MD320" s="5">
        <f>$MB$25*(MC320+(1-MC320)*$MB$16)</f>
        <v>0.0</v>
      </c>
      <c r="ME320" s="13">
        <f>MD320*($MB$6+ACUTE_MARGIN)</f>
        <v>0.0</v>
      </c>
      <c r="MF320" s="13">
        <f>IF(MB320=1,$MB$31,$MB$32)</f>
        <v>152394.16214437486</v>
      </c>
      <c r="MG320" s="13">
        <f>ME320-MF320</f>
        <v>-152394.16214437486</v>
      </c>
      <c r="MH320" s="13">
        <f>MH319+MG320</f>
        <v>-3775721.861742837</v>
      </c>
      <c r="MI320">
        <f>IF(MH320=MAX($MH$83:$MH$483),$A320,0)</f>
        <v>0</v>
      </c>
      <c r="MJ320">
        <f>IF(ME320&lt;MF320,$A320,B_MAX+1)</f>
        <v>237</v>
      </c>
      <c r="MK320" s="13">
        <f>IF(MB320=1,$MB$35,$MB$36)</f>
        <v>0</v>
      </c>
      <c r="ML320" s="13">
        <f>OCC_DAYS*$MB$41*R_NF_2023-MD320*MCD_SHARE_FREED*R_WAIT_2023</f>
        <v>151980.48282209205</v>
      </c>
      <c r="MM320">
        <f>IF($A320&lt;=$MB$45,1,0)</f>
        <v>0</v>
      </c>
      <c r="NB320">
        <f>IF($NB$31&lt;=$NB$32,IF($A320&lt;=$NB$7,1,2),IF($A320&lt;=RUNG_BEDS_2,2,1))</f>
        <v>1</v>
      </c>
      <c r="NC320" s="5">
        <f>MIN(1,MAX(0,$NB$26-($A320-1)))</f>
        <v>0</v>
      </c>
      <c r="ND320" s="5">
        <f>$NB$25*(NC320+(1-NC320)*$NB$16)</f>
        <v>63.013306786703595</v>
      </c>
      <c r="NE320" s="13">
        <f>ND320*($NB$6+ACUTE_MARGIN)</f>
        <v>63643.43985457063</v>
      </c>
      <c r="NF320" s="13">
        <f>IF(NB320=1,$NB$31,$NB$32)</f>
        <v>152394.16214437486</v>
      </c>
      <c r="NG320" s="13">
        <f>NE320-NF320</f>
        <v>-88750.72228980422</v>
      </c>
      <c r="NH320" s="13">
        <f>NH319+NG320</f>
        <v>7637806.78852063</v>
      </c>
      <c r="NI320">
        <f>IF(NH320=MAX($NH$83:$NH$483),$A320,0)</f>
        <v>0</v>
      </c>
      <c r="NJ320">
        <f>IF(NE320&lt;NF320,$A320,B_MAX+1)</f>
        <v>237</v>
      </c>
      <c r="NK320" s="13">
        <f>IF(NB320=1,$NB$35,$NB$36)</f>
        <v>0</v>
      </c>
      <c r="NL320" s="13">
        <f>OCC_DAYS*$NB$41*R_NF_2023-ND320*MCD_SHARE_FREED*R_WAIT_2023</f>
        <v>123327.15192717595</v>
      </c>
      <c r="NM320">
        <f>IF($A320&lt;=$NB$45,1,0)</f>
        <v>0</v>
      </c>
      <c r="OB320">
        <f>IF($OB$31&lt;=$OB$32,IF($A320&lt;=$OB$7,1,2),IF($A320&lt;=RUNG_BEDS_2,2,1))</f>
        <v>1</v>
      </c>
      <c r="OC320" s="5">
        <f>MIN(1,MAX(0,$OB$26-($A320-1)))</f>
        <v>0</v>
      </c>
      <c r="OD320" s="5">
        <f>$OB$25*(OC320+(1-OC320)*$OB$16)</f>
        <v>126.02661357340719</v>
      </c>
      <c r="OE320" s="13">
        <f>OD320*($OB$6+ACUTE_MARGIN)</f>
        <v>127286.87970914126</v>
      </c>
      <c r="OF320" s="13">
        <f>IF(OB320=1,$OB$31,$OB$32)</f>
        <v>152394.16214437486</v>
      </c>
      <c r="OG320" s="13">
        <f>OE320-OF320</f>
        <v>-25107.282435233603</v>
      </c>
      <c r="OH320" s="13">
        <f>OH319+OG320</f>
        <v>13164059.37698589</v>
      </c>
      <c r="OI320">
        <f>IF(OH320=MAX($OH$83:$OH$483),$A320,0)</f>
        <v>0</v>
      </c>
      <c r="OJ320">
        <f>IF(OE320&lt;OF320,$A320,B_MAX+1)</f>
        <v>237</v>
      </c>
      <c r="OK320" s="13">
        <f>IF(OB320=1,$OB$35,$OB$36)</f>
        <v>0</v>
      </c>
      <c r="OL320" s="13">
        <f>OCC_DAYS*$OB$41*R_NF_2023-OD320*MCD_SHARE_FREED*R_WAIT_2023</f>
        <v>94673.82103225985</v>
      </c>
      <c r="OM320">
        <f>IF($A320&lt;=$OB$45,1,0)</f>
        <v>0</v>
      </c>
    </row>
    <row r="321">
      <c r="A321" t="n">
        <v>238</v>
      </c>
      <c r="B321">
        <f>IF($B$31&lt;=$B$32,IF($A321&lt;=$B$7,1,2),IF($A321&lt;=RUNG_BEDS_2,2,1))</f>
        <v>1</v>
      </c>
      <c r="C321" s="5">
        <f>MIN(1,MAX(0,$B$26-($A321-1)))</f>
        <v>0</v>
      </c>
      <c r="D321" s="5">
        <f>$B$25*(C321+(1-C321)*$B$16)</f>
        <v>0.0</v>
      </c>
      <c r="E321" s="13">
        <f>D321*($B$6+ACUTE_MARGIN)</f>
        <v>0.0</v>
      </c>
      <c r="F321" s="13">
        <f>IF(B321=1,$B$31,$B$32)</f>
        <v>152394.16214437486</v>
      </c>
      <c r="G321" s="13">
        <f>E321-F321</f>
        <v>-152394.16214437486</v>
      </c>
      <c r="H321" s="13">
        <f>H320+G321</f>
        <v>1959160.0379111182</v>
      </c>
      <c r="I321">
        <f>IF(H321=MAX($H$83:$H$483),$A321,0)</f>
        <v>0</v>
      </c>
      <c r="J321">
        <f>IF(E321&lt;F321,$A321,B_MAX+1)</f>
        <v>238</v>
      </c>
      <c r="K321" s="13">
        <f>IF(B321=1,$B$35,$B$36)</f>
        <v>0</v>
      </c>
      <c r="L321" s="13">
        <f>OCC_DAYS*$B$41*R_NF_2023-D321*MCD_SHARE_FREED*R_WAIT_2023</f>
        <v>151980.48282209205</v>
      </c>
      <c r="M321">
        <f>IF($A321&lt;=$B$45,1,0)</f>
        <v>0</v>
      </c>
      <c r="AB321">
        <f>IF($AB$31&lt;=$AB$32,IF($A321&lt;=$AB$7,1,2),IF($A321&lt;=RUNG_BEDS_2,2,1))</f>
        <v>1</v>
      </c>
      <c r="AC321" s="5">
        <f>MIN(1,MAX(0,$AB$26-($A321-1)))</f>
        <v>0</v>
      </c>
      <c r="AD321" s="5">
        <f>$AB$25*(AC321+(1-AC321)*$AB$16)</f>
        <v>0.0</v>
      </c>
      <c r="AE321" s="13">
        <f>AD321*($AB$6+ACUTE_MARGIN)</f>
        <v>0.0</v>
      </c>
      <c r="AF321" s="13">
        <f>IF(AB321=1,$AB$31,$AB$32)</f>
        <v>152394.16214437486</v>
      </c>
      <c r="AG321" s="13">
        <f>AE321-AF321</f>
        <v>-152394.16214437486</v>
      </c>
      <c r="AH321" s="13">
        <f>AH320+AG321</f>
        <v>-15452054.307638673</v>
      </c>
      <c r="AI321">
        <f>IF(AH321=MAX($AH$83:$AH$483),$A321,0)</f>
        <v>0</v>
      </c>
      <c r="AJ321">
        <f>IF(AE321&lt;AF321,$A321,B_MAX+1)</f>
        <v>238</v>
      </c>
      <c r="AK321" s="13">
        <f>IF(AB321=1,$AB$35,$AB$36)</f>
        <v>0</v>
      </c>
      <c r="AL321" s="13">
        <f>OCC_DAYS*$AB$41*R_NF_2023-AD321*MCD_SHARE_FREED*R_WAIT_2023</f>
        <v>151980.48282209205</v>
      </c>
      <c r="AM321">
        <f>IF($A321&lt;=$AB$45,1,0)</f>
        <v>0</v>
      </c>
      <c r="BB321">
        <f>IF($BB$31&lt;=$BB$32,IF($A321&lt;=$BB$7,1,2),IF($A321&lt;=RUNG_BEDS_2,2,1))</f>
        <v>1</v>
      </c>
      <c r="BC321" s="5">
        <f>MIN(1,MAX(0,$BB$26-($A321-1)))</f>
        <v>0</v>
      </c>
      <c r="BD321" s="5">
        <f>$BB$25*(BC321+(1-BC321)*$BB$16)</f>
        <v>0.0</v>
      </c>
      <c r="BE321" s="13">
        <f>BD321*($BB$6+ACUTE_MARGIN)</f>
        <v>0.0</v>
      </c>
      <c r="BF321" s="13">
        <f>IF(BB321=1,$BB$31,$BB$32)</f>
        <v>152394.16214437486</v>
      </c>
      <c r="BG321" s="13">
        <f>BE321-BF321</f>
        <v>-152394.16214437486</v>
      </c>
      <c r="BH321" s="13">
        <f>BH320+BG321</f>
        <v>19370374.38346082</v>
      </c>
      <c r="BI321">
        <f>IF(BH321=MAX($BH$83:$BH$483),$A321,0)</f>
        <v>0</v>
      </c>
      <c r="BJ321">
        <f>IF(BE321&lt;BF321,$A321,B_MAX+1)</f>
        <v>238</v>
      </c>
      <c r="BK321" s="13">
        <f>IF(BB321=1,$BB$35,$BB$36)</f>
        <v>0</v>
      </c>
      <c r="BL321" s="13">
        <f>OCC_DAYS*$BB$41*R_NF_2023-BD321*MCD_SHARE_FREED*R_WAIT_2023</f>
        <v>151980.48282209205</v>
      </c>
      <c r="BM321">
        <f>IF($A321&lt;=$BB$45,1,0)</f>
        <v>0</v>
      </c>
      <c r="CB321">
        <f>IF($CB$31&lt;=$CB$32,IF($A321&lt;=$CB$7,1,2),IF($A321&lt;=RUNG_BEDS_2,2,1))</f>
        <v>2</v>
      </c>
      <c r="CC321" s="5">
        <f>MIN(1,MAX(0,$CB$26-($A321-1)))</f>
        <v>0</v>
      </c>
      <c r="CD321" s="5">
        <f>$CB$25*(CC321+(1-CC321)*$CB$16)</f>
        <v>0.0</v>
      </c>
      <c r="CE321" s="13">
        <f>CD321*($CB$6+ACUTE_MARGIN)</f>
        <v>0.0</v>
      </c>
      <c r="CF321" s="13">
        <f>IF(CB321=1,$CB$31,$CB$32)</f>
        <v>160718.36940738867</v>
      </c>
      <c r="CG321" s="13">
        <f>CE321-CF321</f>
        <v>-160718.36940738867</v>
      </c>
      <c r="CH321" s="13">
        <f>CH320+CG321</f>
        <v>-22001.290686282562</v>
      </c>
      <c r="CI321">
        <f>IF(CH321=MAX($CH$83:$CH$483),$A321,0)</f>
        <v>0</v>
      </c>
      <c r="CJ321">
        <f>IF(CE321&lt;CF321,$A321,B_MAX+1)</f>
        <v>238</v>
      </c>
      <c r="CK321" s="13">
        <f>IF(CB321=1,$CB$35,$CB$36)</f>
        <v>1560.1194073886782</v>
      </c>
      <c r="CL321" s="13">
        <f>OCC_DAYS*$CB$41*R_NF_2023-CD321*MCD_SHARE_FREED*R_WAIT_2023</f>
        <v>151980.48282209205</v>
      </c>
      <c r="CM321">
        <f>IF($A321&lt;=$CB$45,1,0)</f>
        <v>0</v>
      </c>
      <c r="DB321">
        <f>IF($DB$31&lt;=$DB$32,IF($A321&lt;=$DB$7,1,2),IF($A321&lt;=RUNG_BEDS_2,2,1))</f>
        <v>1</v>
      </c>
      <c r="DC321" s="5">
        <f>MIN(1,MAX(0,$DB$26-($A321-1)))</f>
        <v>0</v>
      </c>
      <c r="DD321" s="5">
        <f>$DB$25*(DC321+(1-DC321)*$DB$16)</f>
        <v>0.0</v>
      </c>
      <c r="DE321" s="13">
        <f>DD321*($DB$6+ACUTE_MARGIN)</f>
        <v>0.0</v>
      </c>
      <c r="DF321" s="13">
        <f>IF(DB321=1,$DB$31,$DB$32)</f>
        <v>152394.16214437486</v>
      </c>
      <c r="DG321" s="13">
        <f>DE321-DF321</f>
        <v>-152394.16214437486</v>
      </c>
      <c r="DH321" s="13">
        <f>DH320+DG321</f>
        <v>1959160.0379111182</v>
      </c>
      <c r="DI321">
        <f>IF(DH321=MAX($DH$83:$DH$483),$A321,0)</f>
        <v>0</v>
      </c>
      <c r="DJ321">
        <f>IF(DE321&lt;DF321,$A321,B_MAX+1)</f>
        <v>238</v>
      </c>
      <c r="DK321" s="13">
        <f>IF(DB321=1,$DB$35,$DB$36)</f>
        <v>0</v>
      </c>
      <c r="DL321" s="13">
        <f>OCC_DAYS*$DB$41*R_NF_2023-DD321*MCD_SHARE_FREED*R_WAIT_2023</f>
        <v>151980.48282209205</v>
      </c>
      <c r="DM321">
        <f>IF($A321&lt;=$DB$45,1,0)</f>
        <v>0</v>
      </c>
      <c r="EB321">
        <f>IF($EB$31&lt;=$EB$32,IF($A321&lt;=$EB$7,1,2),IF($A321&lt;=RUNG_BEDS_2,2,1))</f>
        <v>1</v>
      </c>
      <c r="EC321" s="5">
        <f>MIN(1,MAX(0,$EB$26-($A321-1)))</f>
        <v>0</v>
      </c>
      <c r="ED321" s="5">
        <f>$EB$25*(EC321+(1-EC321)*$EB$16)</f>
        <v>0.0</v>
      </c>
      <c r="EE321" s="13">
        <f>ED321*($EB$6+ACUTE_MARGIN)</f>
        <v>0.0</v>
      </c>
      <c r="EF321" s="13">
        <f>IF(EB321=1,$EB$31,$EB$32)</f>
        <v>152394.16214437486</v>
      </c>
      <c r="EG321" s="13">
        <f>EE321-EF321</f>
        <v>-152394.16214437486</v>
      </c>
      <c r="EH321" s="13">
        <f>EH320+EG321</f>
        <v>1959160.0379111182</v>
      </c>
      <c r="EI321">
        <f>IF(EH321=MAX($EH$83:$EH$483),$A321,0)</f>
        <v>0</v>
      </c>
      <c r="EJ321">
        <f>IF(EE321&lt;EF321,$A321,B_MAX+1)</f>
        <v>238</v>
      </c>
      <c r="EK321" s="13">
        <f>IF(EB321=1,$EB$35,$EB$36)</f>
        <v>0</v>
      </c>
      <c r="EL321" s="13">
        <f>OCC_DAYS*$EB$41*R_NF_2023-ED321*MCD_SHARE_FREED*R_WAIT_2023</f>
        <v>50660.16094069735</v>
      </c>
      <c r="EM321">
        <f>IF($A321&lt;=$EB$45,1,0)</f>
        <v>0</v>
      </c>
      <c r="FB321">
        <f>IF($FB$31&lt;=$FB$32,IF($A321&lt;=$FB$7,1,2),IF($A321&lt;=RUNG_BEDS_2,2,1))</f>
        <v>1</v>
      </c>
      <c r="FC321" s="5">
        <f>MIN(1,MAX(0,$FB$26-($A321-1)))</f>
        <v>0</v>
      </c>
      <c r="FD321" s="5">
        <f>$FB$25*(FC321+(1-FC321)*$FB$16)</f>
        <v>0.0</v>
      </c>
      <c r="FE321" s="13">
        <f>FD321*($FB$6+ACUTE_MARGIN)</f>
        <v>0.0</v>
      </c>
      <c r="FF321" s="13">
        <f>IF(FB321=1,$FB$31,$FB$32)</f>
        <v>156636.04979437485</v>
      </c>
      <c r="FG321" s="13">
        <f>FE321-FF321</f>
        <v>-156636.04979437485</v>
      </c>
      <c r="FH321" s="13">
        <f>FH320+FG321</f>
        <v>949590.777211005</v>
      </c>
      <c r="FI321">
        <f>IF(FH321=MAX($FH$83:$FH$483),$A321,0)</f>
        <v>0</v>
      </c>
      <c r="FJ321">
        <f>IF(FE321&lt;FF321,$A321,B_MAX+1)</f>
        <v>238</v>
      </c>
      <c r="FK321" s="13">
        <f>IF(FB321=1,$FB$35,$FB$36)</f>
        <v>0</v>
      </c>
      <c r="FL321" s="13">
        <f>OCC_DAYS*$FB$41*R_NF_2023-FD321*MCD_SHARE_FREED*R_WAIT_2023</f>
        <v>151980.48282209205</v>
      </c>
      <c r="FM321">
        <f>IF($A321&lt;=$FB$45,1,0)</f>
        <v>0</v>
      </c>
      <c r="GB321">
        <f>IF($GB$31&lt;=$GB$32,IF($A321&lt;=$GB$7,1,2),IF($A321&lt;=RUNG_BEDS_2,2,1))</f>
        <v>1</v>
      </c>
      <c r="GC321" s="5">
        <f>MIN(1,MAX(0,$GB$26-($A321-1)))</f>
        <v>0</v>
      </c>
      <c r="GD321" s="5">
        <f>$GB$25*(GC321+(1-GC321)*$GB$16)</f>
        <v>0.0</v>
      </c>
      <c r="GE321" s="13">
        <f>GD321*($GB$6+ACUTE_MARGIN)</f>
        <v>0.0</v>
      </c>
      <c r="GF321" s="13">
        <f>IF(GB321=1,$GB$31,$GB$32)</f>
        <v>152394.16214437486</v>
      </c>
      <c r="GG321" s="13">
        <f>GE321-GF321</f>
        <v>-152394.16214437486</v>
      </c>
      <c r="GH321" s="13">
        <f>GH320+GG321</f>
        <v>1959160.0379111182</v>
      </c>
      <c r="GI321">
        <f>IF(GH321=MAX($GH$83:$GH$483),$A321,0)</f>
        <v>0</v>
      </c>
      <c r="GJ321">
        <f>IF(GE321&lt;GF321,$A321,B_MAX+1)</f>
        <v>238</v>
      </c>
      <c r="GK321" s="13">
        <f>IF(GB321=1,$GB$35,$GB$36)</f>
        <v>0</v>
      </c>
      <c r="GL321" s="13">
        <f>OCC_DAYS*$GB$41*R_NF_2023-GD321*MCD_SHARE_FREED*R_WAIT_2023</f>
        <v>151980.48282209205</v>
      </c>
      <c r="GM321">
        <f>IF($A321&lt;=$GB$45,1,0)</f>
        <v>0</v>
      </c>
      <c r="HB321">
        <f>IF($HB$31&lt;=$HB$32,IF($A321&lt;=$HB$7,1,2),IF($A321&lt;=RUNG_BEDS_2,2,1))</f>
        <v>1</v>
      </c>
      <c r="HC321" s="5">
        <f>MIN(1,MAX(0,$HB$26-($A321-1)))</f>
        <v>0</v>
      </c>
      <c r="HD321" s="5">
        <f>$HB$25*(HC321+(1-HC321)*$HB$16)</f>
        <v>0.0</v>
      </c>
      <c r="HE321" s="13">
        <f>HD321*($HB$6+ACUTE_MARGIN)</f>
        <v>0.0</v>
      </c>
      <c r="HF321" s="13">
        <f>IF(HB321=1,$HB$31,$HB$32)</f>
        <v>152456.2970814058</v>
      </c>
      <c r="HG321" s="13">
        <f>HE321-HF321</f>
        <v>-152456.2970814058</v>
      </c>
      <c r="HH321" s="13">
        <f>HH320+HG321</f>
        <v>1944371.9228977156</v>
      </c>
      <c r="HI321">
        <f>IF(HH321=MAX($HH$83:$HH$483),$A321,0)</f>
        <v>0</v>
      </c>
      <c r="HJ321">
        <f>IF(HE321&lt;HF321,$A321,B_MAX+1)</f>
        <v>238</v>
      </c>
      <c r="HK321" s="13">
        <f>IF(HB321=1,$HB$35,$HB$36)</f>
        <v>0</v>
      </c>
      <c r="HL321" s="13">
        <f>OCC_DAYS*$HB$41*R_NF_2023-HD321*MCD_SHARE_FREED*R_WAIT_2023</f>
        <v>151980.48282209205</v>
      </c>
      <c r="HM321">
        <f>IF($A321&lt;=$HB$45,1,0)</f>
        <v>0</v>
      </c>
      <c r="IB321">
        <f>IF($IB$31&lt;=$IB$32,IF($A321&lt;=$IB$7,1,2),IF($A321&lt;=RUNG_BEDS_2,2,1))</f>
        <v>1</v>
      </c>
      <c r="IC321" s="5">
        <f>MIN(1,MAX(0,$IB$26-($A321-1)))</f>
        <v>0</v>
      </c>
      <c r="ID321" s="5">
        <f>$IB$25*(IC321+(1-IC321)*$IB$16)</f>
        <v>0.0</v>
      </c>
      <c r="IE321" s="13">
        <f>ID321*($IB$6+ACUTE_MARGIN)</f>
        <v>0.0</v>
      </c>
      <c r="IF321" s="13">
        <f>IF(IB321=1,$IB$31,$IB$32)</f>
        <v>152734.9994534971</v>
      </c>
      <c r="IG321" s="13">
        <f>IE321-IF321</f>
        <v>-152734.9994534971</v>
      </c>
      <c r="IH321" s="13">
        <f>IH320+IG321</f>
        <v>1878040.7583399331</v>
      </c>
      <c r="II321">
        <f>IF(IH321=MAX($IH$83:$IH$483),$A321,0)</f>
        <v>0</v>
      </c>
      <c r="IJ321">
        <f>IF(IE321&lt;IF321,$A321,B_MAX+1)</f>
        <v>238</v>
      </c>
      <c r="IK321" s="13">
        <f>IF(IB321=1,$IB$35,$IB$36)</f>
        <v>0</v>
      </c>
      <c r="IL321" s="13">
        <f>OCC_DAYS*$IB$41*R_NF_2023-ID321*MCD_SHARE_FREED*R_WAIT_2023</f>
        <v>151980.48282209205</v>
      </c>
      <c r="IM321">
        <f>IF($A321&lt;=$IB$45,1,0)</f>
        <v>0</v>
      </c>
      <c r="JB321">
        <f>IF($JB$31&lt;=$JB$32,IF($A321&lt;=$JB$7,1,2),IF($A321&lt;=RUNG_BEDS_2,2,1))</f>
        <v>1</v>
      </c>
      <c r="JC321" s="5">
        <f>MIN(1,MAX(0,$JB$26-($A321-1)))</f>
        <v>0</v>
      </c>
      <c r="JD321" s="5">
        <f>$JB$25*(JC321+(1-JC321)*$JB$16)</f>
        <v>0.0</v>
      </c>
      <c r="JE321" s="13">
        <f>JD321*($JB$6+ACUTE_MARGIN)</f>
        <v>0.0</v>
      </c>
      <c r="JF321" s="13">
        <f>IF(JB321=1,$JB$31,$JB$32)</f>
        <v>152394.16214437486</v>
      </c>
      <c r="JG321" s="13">
        <f>JE321-JF321</f>
        <v>-152394.16214437486</v>
      </c>
      <c r="JH321" s="13">
        <f>JH320+JG321</f>
        <v>1959160.0379111182</v>
      </c>
      <c r="JI321">
        <f>IF(JH321=MAX($JH$83:$JH$483),$A321,0)</f>
        <v>0</v>
      </c>
      <c r="JJ321">
        <f>IF(JE321&lt;JF321,$A321,B_MAX+1)</f>
        <v>238</v>
      </c>
      <c r="JK321" s="13">
        <f>IF(JB321=1,$JB$35,$JB$36)</f>
        <v>0</v>
      </c>
      <c r="JL321" s="13">
        <f>OCC_DAYS*$JB$41*R_NF_2023-JD321*MCD_SHARE_FREED*R_WAIT_2023</f>
        <v>151980.48282209205</v>
      </c>
      <c r="JM321">
        <f>IF($A321&lt;=$JB$45,1,0)</f>
        <v>0</v>
      </c>
      <c r="KB321">
        <f>IF($KB$31&lt;=$KB$32,IF($A321&lt;=$KB$7,1,2),IF($A321&lt;=RUNG_BEDS_2,2,1))</f>
        <v>1</v>
      </c>
      <c r="KC321" s="5">
        <f>MIN(1,MAX(0,$KB$26-($A321-1)))</f>
        <v>1</v>
      </c>
      <c r="KD321" s="5">
        <f>$KB$25*(KC321+(1-KC321)*$KB$16)</f>
        <v>126.02661357340719</v>
      </c>
      <c r="KE321" s="13">
        <f>KD321*($KB$6+ACUTE_MARGIN)</f>
        <v>127286.87970914126</v>
      </c>
      <c r="KF321" s="13">
        <f>IF(KB321=1,$KB$31,$KB$32)</f>
        <v>152394.16214437486</v>
      </c>
      <c r="KG321" s="13">
        <f>KE321-KF321</f>
        <v>-25107.282435233603</v>
      </c>
      <c r="KH321" s="13">
        <f>KH320+KG321</f>
        <v>-5975533.219585617</v>
      </c>
      <c r="KI321">
        <f>IF(KH321=MAX($KH$83:$KH$483),$A321,0)</f>
        <v>0</v>
      </c>
      <c r="KJ321">
        <f>IF(KE321&lt;KF321,$A321,B_MAX+1)</f>
        <v>238</v>
      </c>
      <c r="KK321" s="13">
        <f>IF(KB321=1,$KB$35,$KB$36)</f>
        <v>0</v>
      </c>
      <c r="KL321" s="13">
        <f>OCC_DAYS*$KB$41*R_NF_2023-KD321*MCD_SHARE_FREED*R_WAIT_2023</f>
        <v>94673.82103225985</v>
      </c>
      <c r="KM321">
        <f>IF($A321&lt;=$KB$45,1,0)</f>
        <v>0</v>
      </c>
      <c r="LB321">
        <f>IF($LB$31&lt;=$LB$32,IF($A321&lt;=$LB$7,1,2),IF($A321&lt;=RUNG_BEDS_2,2,1))</f>
        <v>1</v>
      </c>
      <c r="LC321" s="5">
        <f>MIN(1,MAX(0,$LB$26-($A321-1)))</f>
        <v>1</v>
      </c>
      <c r="LD321" s="5">
        <f>$LB$25*(LC321+(1-LC321)*$LB$16)</f>
        <v>84.01774238227146</v>
      </c>
      <c r="LE321" s="13">
        <f>LD321*($LB$6+ACUTE_MARGIN)</f>
        <v>84857.91980609419</v>
      </c>
      <c r="LF321" s="13">
        <f>IF(LB321=1,$LB$31,$LB$32)</f>
        <v>152394.16214437486</v>
      </c>
      <c r="LG321" s="13">
        <f>LE321-LF321</f>
        <v>-67536.24233828067</v>
      </c>
      <c r="LH321" s="13">
        <f>LH320+LG321</f>
        <v>-16073625.676510878</v>
      </c>
      <c r="LI321">
        <f>IF(LH321=MAX($LH$83:$LH$483),$A321,0)</f>
        <v>0</v>
      </c>
      <c r="LJ321">
        <f>IF(LE321&lt;LF321,$A321,B_MAX+1)</f>
        <v>238</v>
      </c>
      <c r="LK321" s="13">
        <f>IF(LB321=1,$LB$35,$LB$36)</f>
        <v>0</v>
      </c>
      <c r="LL321" s="13">
        <f>OCC_DAYS*$LB$41*R_NF_2023-LD321*MCD_SHARE_FREED*R_WAIT_2023</f>
        <v>113776.04162887059</v>
      </c>
      <c r="LM321">
        <f>IF($A321&lt;=$LB$45,1,0)</f>
        <v>0</v>
      </c>
      <c r="MB321">
        <f>IF($MB$31&lt;=$MB$32,IF($A321&lt;=$MB$7,1,2),IF($A321&lt;=RUNG_BEDS_2,2,1))</f>
        <v>1</v>
      </c>
      <c r="MC321" s="5">
        <f>MIN(1,MAX(0,$MB$26-($A321-1)))</f>
        <v>0</v>
      </c>
      <c r="MD321" s="5">
        <f>$MB$25*(MC321+(1-MC321)*$MB$16)</f>
        <v>0.0</v>
      </c>
      <c r="ME321" s="13">
        <f>MD321*($MB$6+ACUTE_MARGIN)</f>
        <v>0.0</v>
      </c>
      <c r="MF321" s="13">
        <f>IF(MB321=1,$MB$31,$MB$32)</f>
        <v>152394.16214437486</v>
      </c>
      <c r="MG321" s="13">
        <f>ME321-MF321</f>
        <v>-152394.16214437486</v>
      </c>
      <c r="MH321" s="13">
        <f>MH320+MG321</f>
        <v>-3928116.023887212</v>
      </c>
      <c r="MI321">
        <f>IF(MH321=MAX($MH$83:$MH$483),$A321,0)</f>
        <v>0</v>
      </c>
      <c r="MJ321">
        <f>IF(ME321&lt;MF321,$A321,B_MAX+1)</f>
        <v>238</v>
      </c>
      <c r="MK321" s="13">
        <f>IF(MB321=1,$MB$35,$MB$36)</f>
        <v>0</v>
      </c>
      <c r="ML321" s="13">
        <f>OCC_DAYS*$MB$41*R_NF_2023-MD321*MCD_SHARE_FREED*R_WAIT_2023</f>
        <v>151980.48282209205</v>
      </c>
      <c r="MM321">
        <f>IF($A321&lt;=$MB$45,1,0)</f>
        <v>0</v>
      </c>
      <c r="NB321">
        <f>IF($NB$31&lt;=$NB$32,IF($A321&lt;=$NB$7,1,2),IF($A321&lt;=RUNG_BEDS_2,2,1))</f>
        <v>1</v>
      </c>
      <c r="NC321" s="5">
        <f>MIN(1,MAX(0,$NB$26-($A321-1)))</f>
        <v>0</v>
      </c>
      <c r="ND321" s="5">
        <f>$NB$25*(NC321+(1-NC321)*$NB$16)</f>
        <v>63.013306786703595</v>
      </c>
      <c r="NE321" s="13">
        <f>ND321*($NB$6+ACUTE_MARGIN)</f>
        <v>63643.43985457063</v>
      </c>
      <c r="NF321" s="13">
        <f>IF(NB321=1,$NB$31,$NB$32)</f>
        <v>152394.16214437486</v>
      </c>
      <c r="NG321" s="13">
        <f>NE321-NF321</f>
        <v>-88750.72228980422</v>
      </c>
      <c r="NH321" s="13">
        <f>NH320+NG321</f>
        <v>7549056.066230826</v>
      </c>
      <c r="NI321">
        <f>IF(NH321=MAX($NH$83:$NH$483),$A321,0)</f>
        <v>0</v>
      </c>
      <c r="NJ321">
        <f>IF(NE321&lt;NF321,$A321,B_MAX+1)</f>
        <v>238</v>
      </c>
      <c r="NK321" s="13">
        <f>IF(NB321=1,$NB$35,$NB$36)</f>
        <v>0</v>
      </c>
      <c r="NL321" s="13">
        <f>OCC_DAYS*$NB$41*R_NF_2023-ND321*MCD_SHARE_FREED*R_WAIT_2023</f>
        <v>123327.15192717595</v>
      </c>
      <c r="NM321">
        <f>IF($A321&lt;=$NB$45,1,0)</f>
        <v>0</v>
      </c>
      <c r="OB321">
        <f>IF($OB$31&lt;=$OB$32,IF($A321&lt;=$OB$7,1,2),IF($A321&lt;=RUNG_BEDS_2,2,1))</f>
        <v>1</v>
      </c>
      <c r="OC321" s="5">
        <f>MIN(1,MAX(0,$OB$26-($A321-1)))</f>
        <v>0</v>
      </c>
      <c r="OD321" s="5">
        <f>$OB$25*(OC321+(1-OC321)*$OB$16)</f>
        <v>126.02661357340719</v>
      </c>
      <c r="OE321" s="13">
        <f>OD321*($OB$6+ACUTE_MARGIN)</f>
        <v>127286.87970914126</v>
      </c>
      <c r="OF321" s="13">
        <f>IF(OB321=1,$OB$31,$OB$32)</f>
        <v>152394.16214437486</v>
      </c>
      <c r="OG321" s="13">
        <f>OE321-OF321</f>
        <v>-25107.282435233603</v>
      </c>
      <c r="OH321" s="13">
        <f>OH320+OG321</f>
        <v>13138952.094550658</v>
      </c>
      <c r="OI321">
        <f>IF(OH321=MAX($OH$83:$OH$483),$A321,0)</f>
        <v>0</v>
      </c>
      <c r="OJ321">
        <f>IF(OE321&lt;OF321,$A321,B_MAX+1)</f>
        <v>238</v>
      </c>
      <c r="OK321" s="13">
        <f>IF(OB321=1,$OB$35,$OB$36)</f>
        <v>0</v>
      </c>
      <c r="OL321" s="13">
        <f>OCC_DAYS*$OB$41*R_NF_2023-OD321*MCD_SHARE_FREED*R_WAIT_2023</f>
        <v>94673.82103225985</v>
      </c>
      <c r="OM321">
        <f>IF($A321&lt;=$OB$45,1,0)</f>
        <v>0</v>
      </c>
    </row>
    <row r="322">
      <c r="A322" t="n">
        <v>239</v>
      </c>
      <c r="B322">
        <f>IF($B$31&lt;=$B$32,IF($A322&lt;=$B$7,1,2),IF($A322&lt;=RUNG_BEDS_2,2,1))</f>
        <v>1</v>
      </c>
      <c r="C322" s="5">
        <f>MIN(1,MAX(0,$B$26-($A322-1)))</f>
        <v>0</v>
      </c>
      <c r="D322" s="5">
        <f>$B$25*(C322+(1-C322)*$B$16)</f>
        <v>0.0</v>
      </c>
      <c r="E322" s="13">
        <f>D322*($B$6+ACUTE_MARGIN)</f>
        <v>0.0</v>
      </c>
      <c r="F322" s="13">
        <f>IF(B322=1,$B$31,$B$32)</f>
        <v>152394.16214437486</v>
      </c>
      <c r="G322" s="13">
        <f>E322-F322</f>
        <v>-152394.16214437486</v>
      </c>
      <c r="H322" s="13">
        <f>H321+G322</f>
        <v>1806765.8757667434</v>
      </c>
      <c r="I322">
        <f>IF(H322=MAX($H$83:$H$483),$A322,0)</f>
        <v>0</v>
      </c>
      <c r="J322">
        <f>IF(E322&lt;F322,$A322,B_MAX+1)</f>
        <v>239</v>
      </c>
      <c r="K322" s="13">
        <f>IF(B322=1,$B$35,$B$36)</f>
        <v>0</v>
      </c>
      <c r="L322" s="13">
        <f>OCC_DAYS*$B$41*R_NF_2023-D322*MCD_SHARE_FREED*R_WAIT_2023</f>
        <v>151980.48282209205</v>
      </c>
      <c r="M322">
        <f>IF($A322&lt;=$B$45,1,0)</f>
        <v>0</v>
      </c>
      <c r="AB322">
        <f>IF($AB$31&lt;=$AB$32,IF($A322&lt;=$AB$7,1,2),IF($A322&lt;=RUNG_BEDS_2,2,1))</f>
        <v>1</v>
      </c>
      <c r="AC322" s="5">
        <f>MIN(1,MAX(0,$AB$26-($A322-1)))</f>
        <v>0</v>
      </c>
      <c r="AD322" s="5">
        <f>$AB$25*(AC322+(1-AC322)*$AB$16)</f>
        <v>0.0</v>
      </c>
      <c r="AE322" s="13">
        <f>AD322*($AB$6+ACUTE_MARGIN)</f>
        <v>0.0</v>
      </c>
      <c r="AF322" s="13">
        <f>IF(AB322=1,$AB$31,$AB$32)</f>
        <v>152394.16214437486</v>
      </c>
      <c r="AG322" s="13">
        <f>AE322-AF322</f>
        <v>-152394.16214437486</v>
      </c>
      <c r="AH322" s="13">
        <f>AH321+AG322</f>
        <v>-15604448.469783047</v>
      </c>
      <c r="AI322">
        <f>IF(AH322=MAX($AH$83:$AH$483),$A322,0)</f>
        <v>0</v>
      </c>
      <c r="AJ322">
        <f>IF(AE322&lt;AF322,$A322,B_MAX+1)</f>
        <v>239</v>
      </c>
      <c r="AK322" s="13">
        <f>IF(AB322=1,$AB$35,$AB$36)</f>
        <v>0</v>
      </c>
      <c r="AL322" s="13">
        <f>OCC_DAYS*$AB$41*R_NF_2023-AD322*MCD_SHARE_FREED*R_WAIT_2023</f>
        <v>151980.48282209205</v>
      </c>
      <c r="AM322">
        <f>IF($A322&lt;=$AB$45,1,0)</f>
        <v>0</v>
      </c>
      <c r="BB322">
        <f>IF($BB$31&lt;=$BB$32,IF($A322&lt;=$BB$7,1,2),IF($A322&lt;=RUNG_BEDS_2,2,1))</f>
        <v>1</v>
      </c>
      <c r="BC322" s="5">
        <f>MIN(1,MAX(0,$BB$26-($A322-1)))</f>
        <v>0</v>
      </c>
      <c r="BD322" s="5">
        <f>$BB$25*(BC322+(1-BC322)*$BB$16)</f>
        <v>0.0</v>
      </c>
      <c r="BE322" s="13">
        <f>BD322*($BB$6+ACUTE_MARGIN)</f>
        <v>0.0</v>
      </c>
      <c r="BF322" s="13">
        <f>IF(BB322=1,$BB$31,$BB$32)</f>
        <v>152394.16214437486</v>
      </c>
      <c r="BG322" s="13">
        <f>BE322-BF322</f>
        <v>-152394.16214437486</v>
      </c>
      <c r="BH322" s="13">
        <f>BH321+BG322</f>
        <v>19217980.221316446</v>
      </c>
      <c r="BI322">
        <f>IF(BH322=MAX($BH$83:$BH$483),$A322,0)</f>
        <v>0</v>
      </c>
      <c r="BJ322">
        <f>IF(BE322&lt;BF322,$A322,B_MAX+1)</f>
        <v>239</v>
      </c>
      <c r="BK322" s="13">
        <f>IF(BB322=1,$BB$35,$BB$36)</f>
        <v>0</v>
      </c>
      <c r="BL322" s="13">
        <f>OCC_DAYS*$BB$41*R_NF_2023-BD322*MCD_SHARE_FREED*R_WAIT_2023</f>
        <v>151980.48282209205</v>
      </c>
      <c r="BM322">
        <f>IF($A322&lt;=$BB$45,1,0)</f>
        <v>0</v>
      </c>
      <c r="CB322">
        <f>IF($CB$31&lt;=$CB$32,IF($A322&lt;=$CB$7,1,2),IF($A322&lt;=RUNG_BEDS_2,2,1))</f>
        <v>2</v>
      </c>
      <c r="CC322" s="5">
        <f>MIN(1,MAX(0,$CB$26-($A322-1)))</f>
        <v>0</v>
      </c>
      <c r="CD322" s="5">
        <f>$CB$25*(CC322+(1-CC322)*$CB$16)</f>
        <v>0.0</v>
      </c>
      <c r="CE322" s="13">
        <f>CD322*($CB$6+ACUTE_MARGIN)</f>
        <v>0.0</v>
      </c>
      <c r="CF322" s="13">
        <f>IF(CB322=1,$CB$31,$CB$32)</f>
        <v>160718.36940738867</v>
      </c>
      <c r="CG322" s="13">
        <f>CE322-CF322</f>
        <v>-160718.36940738867</v>
      </c>
      <c r="CH322" s="13">
        <f>CH321+CG322</f>
        <v>-182719.66009367123</v>
      </c>
      <c r="CI322">
        <f>IF(CH322=MAX($CH$83:$CH$483),$A322,0)</f>
        <v>0</v>
      </c>
      <c r="CJ322">
        <f>IF(CE322&lt;CF322,$A322,B_MAX+1)</f>
        <v>239</v>
      </c>
      <c r="CK322" s="13">
        <f>IF(CB322=1,$CB$35,$CB$36)</f>
        <v>1560.1194073886782</v>
      </c>
      <c r="CL322" s="13">
        <f>OCC_DAYS*$CB$41*R_NF_2023-CD322*MCD_SHARE_FREED*R_WAIT_2023</f>
        <v>151980.48282209205</v>
      </c>
      <c r="CM322">
        <f>IF($A322&lt;=$CB$45,1,0)</f>
        <v>0</v>
      </c>
      <c r="DB322">
        <f>IF($DB$31&lt;=$DB$32,IF($A322&lt;=$DB$7,1,2),IF($A322&lt;=RUNG_BEDS_2,2,1))</f>
        <v>1</v>
      </c>
      <c r="DC322" s="5">
        <f>MIN(1,MAX(0,$DB$26-($A322-1)))</f>
        <v>0</v>
      </c>
      <c r="DD322" s="5">
        <f>$DB$25*(DC322+(1-DC322)*$DB$16)</f>
        <v>0.0</v>
      </c>
      <c r="DE322" s="13">
        <f>DD322*($DB$6+ACUTE_MARGIN)</f>
        <v>0.0</v>
      </c>
      <c r="DF322" s="13">
        <f>IF(DB322=1,$DB$31,$DB$32)</f>
        <v>152394.16214437486</v>
      </c>
      <c r="DG322" s="13">
        <f>DE322-DF322</f>
        <v>-152394.16214437486</v>
      </c>
      <c r="DH322" s="13">
        <f>DH321+DG322</f>
        <v>1806765.8757667434</v>
      </c>
      <c r="DI322">
        <f>IF(DH322=MAX($DH$83:$DH$483),$A322,0)</f>
        <v>0</v>
      </c>
      <c r="DJ322">
        <f>IF(DE322&lt;DF322,$A322,B_MAX+1)</f>
        <v>239</v>
      </c>
      <c r="DK322" s="13">
        <f>IF(DB322=1,$DB$35,$DB$36)</f>
        <v>0</v>
      </c>
      <c r="DL322" s="13">
        <f>OCC_DAYS*$DB$41*R_NF_2023-DD322*MCD_SHARE_FREED*R_WAIT_2023</f>
        <v>151980.48282209205</v>
      </c>
      <c r="DM322">
        <f>IF($A322&lt;=$DB$45,1,0)</f>
        <v>0</v>
      </c>
      <c r="EB322">
        <f>IF($EB$31&lt;=$EB$32,IF($A322&lt;=$EB$7,1,2),IF($A322&lt;=RUNG_BEDS_2,2,1))</f>
        <v>1</v>
      </c>
      <c r="EC322" s="5">
        <f>MIN(1,MAX(0,$EB$26-($A322-1)))</f>
        <v>0</v>
      </c>
      <c r="ED322" s="5">
        <f>$EB$25*(EC322+(1-EC322)*$EB$16)</f>
        <v>0.0</v>
      </c>
      <c r="EE322" s="13">
        <f>ED322*($EB$6+ACUTE_MARGIN)</f>
        <v>0.0</v>
      </c>
      <c r="EF322" s="13">
        <f>IF(EB322=1,$EB$31,$EB$32)</f>
        <v>152394.16214437486</v>
      </c>
      <c r="EG322" s="13">
        <f>EE322-EF322</f>
        <v>-152394.16214437486</v>
      </c>
      <c r="EH322" s="13">
        <f>EH321+EG322</f>
        <v>1806765.8757667434</v>
      </c>
      <c r="EI322">
        <f>IF(EH322=MAX($EH$83:$EH$483),$A322,0)</f>
        <v>0</v>
      </c>
      <c r="EJ322">
        <f>IF(EE322&lt;EF322,$A322,B_MAX+1)</f>
        <v>239</v>
      </c>
      <c r="EK322" s="13">
        <f>IF(EB322=1,$EB$35,$EB$36)</f>
        <v>0</v>
      </c>
      <c r="EL322" s="13">
        <f>OCC_DAYS*$EB$41*R_NF_2023-ED322*MCD_SHARE_FREED*R_WAIT_2023</f>
        <v>50660.16094069735</v>
      </c>
      <c r="EM322">
        <f>IF($A322&lt;=$EB$45,1,0)</f>
        <v>0</v>
      </c>
      <c r="FB322">
        <f>IF($FB$31&lt;=$FB$32,IF($A322&lt;=$FB$7,1,2),IF($A322&lt;=RUNG_BEDS_2,2,1))</f>
        <v>1</v>
      </c>
      <c r="FC322" s="5">
        <f>MIN(1,MAX(0,$FB$26-($A322-1)))</f>
        <v>0</v>
      </c>
      <c r="FD322" s="5">
        <f>$FB$25*(FC322+(1-FC322)*$FB$16)</f>
        <v>0.0</v>
      </c>
      <c r="FE322" s="13">
        <f>FD322*($FB$6+ACUTE_MARGIN)</f>
        <v>0.0</v>
      </c>
      <c r="FF322" s="13">
        <f>IF(FB322=1,$FB$31,$FB$32)</f>
        <v>156636.04979437485</v>
      </c>
      <c r="FG322" s="13">
        <f>FE322-FF322</f>
        <v>-156636.04979437485</v>
      </c>
      <c r="FH322" s="13">
        <f>FH321+FG322</f>
        <v>792954.7274166301</v>
      </c>
      <c r="FI322">
        <f>IF(FH322=MAX($FH$83:$FH$483),$A322,0)</f>
        <v>0</v>
      </c>
      <c r="FJ322">
        <f>IF(FE322&lt;FF322,$A322,B_MAX+1)</f>
        <v>239</v>
      </c>
      <c r="FK322" s="13">
        <f>IF(FB322=1,$FB$35,$FB$36)</f>
        <v>0</v>
      </c>
      <c r="FL322" s="13">
        <f>OCC_DAYS*$FB$41*R_NF_2023-FD322*MCD_SHARE_FREED*R_WAIT_2023</f>
        <v>151980.48282209205</v>
      </c>
      <c r="FM322">
        <f>IF($A322&lt;=$FB$45,1,0)</f>
        <v>0</v>
      </c>
      <c r="GB322">
        <f>IF($GB$31&lt;=$GB$32,IF($A322&lt;=$GB$7,1,2),IF($A322&lt;=RUNG_BEDS_2,2,1))</f>
        <v>1</v>
      </c>
      <c r="GC322" s="5">
        <f>MIN(1,MAX(0,$GB$26-($A322-1)))</f>
        <v>0</v>
      </c>
      <c r="GD322" s="5">
        <f>$GB$25*(GC322+(1-GC322)*$GB$16)</f>
        <v>0.0</v>
      </c>
      <c r="GE322" s="13">
        <f>GD322*($GB$6+ACUTE_MARGIN)</f>
        <v>0.0</v>
      </c>
      <c r="GF322" s="13">
        <f>IF(GB322=1,$GB$31,$GB$32)</f>
        <v>152394.16214437486</v>
      </c>
      <c r="GG322" s="13">
        <f>GE322-GF322</f>
        <v>-152394.16214437486</v>
      </c>
      <c r="GH322" s="13">
        <f>GH321+GG322</f>
        <v>1806765.8757667434</v>
      </c>
      <c r="GI322">
        <f>IF(GH322=MAX($GH$83:$GH$483),$A322,0)</f>
        <v>0</v>
      </c>
      <c r="GJ322">
        <f>IF(GE322&lt;GF322,$A322,B_MAX+1)</f>
        <v>239</v>
      </c>
      <c r="GK322" s="13">
        <f>IF(GB322=1,$GB$35,$GB$36)</f>
        <v>0</v>
      </c>
      <c r="GL322" s="13">
        <f>OCC_DAYS*$GB$41*R_NF_2023-GD322*MCD_SHARE_FREED*R_WAIT_2023</f>
        <v>151980.48282209205</v>
      </c>
      <c r="GM322">
        <f>IF($A322&lt;=$GB$45,1,0)</f>
        <v>0</v>
      </c>
      <c r="HB322">
        <f>IF($HB$31&lt;=$HB$32,IF($A322&lt;=$HB$7,1,2),IF($A322&lt;=RUNG_BEDS_2,2,1))</f>
        <v>1</v>
      </c>
      <c r="HC322" s="5">
        <f>MIN(1,MAX(0,$HB$26-($A322-1)))</f>
        <v>0</v>
      </c>
      <c r="HD322" s="5">
        <f>$HB$25*(HC322+(1-HC322)*$HB$16)</f>
        <v>0.0</v>
      </c>
      <c r="HE322" s="13">
        <f>HD322*($HB$6+ACUTE_MARGIN)</f>
        <v>0.0</v>
      </c>
      <c r="HF322" s="13">
        <f>IF(HB322=1,$HB$31,$HB$32)</f>
        <v>152456.2970814058</v>
      </c>
      <c r="HG322" s="13">
        <f>HE322-HF322</f>
        <v>-152456.2970814058</v>
      </c>
      <c r="HH322" s="13">
        <f>HH321+HG322</f>
        <v>1791915.6258163098</v>
      </c>
      <c r="HI322">
        <f>IF(HH322=MAX($HH$83:$HH$483),$A322,0)</f>
        <v>0</v>
      </c>
      <c r="HJ322">
        <f>IF(HE322&lt;HF322,$A322,B_MAX+1)</f>
        <v>239</v>
      </c>
      <c r="HK322" s="13">
        <f>IF(HB322=1,$HB$35,$HB$36)</f>
        <v>0</v>
      </c>
      <c r="HL322" s="13">
        <f>OCC_DAYS*$HB$41*R_NF_2023-HD322*MCD_SHARE_FREED*R_WAIT_2023</f>
        <v>151980.48282209205</v>
      </c>
      <c r="HM322">
        <f>IF($A322&lt;=$HB$45,1,0)</f>
        <v>0</v>
      </c>
      <c r="IB322">
        <f>IF($IB$31&lt;=$IB$32,IF($A322&lt;=$IB$7,1,2),IF($A322&lt;=RUNG_BEDS_2,2,1))</f>
        <v>1</v>
      </c>
      <c r="IC322" s="5">
        <f>MIN(1,MAX(0,$IB$26-($A322-1)))</f>
        <v>0</v>
      </c>
      <c r="ID322" s="5">
        <f>$IB$25*(IC322+(1-IC322)*$IB$16)</f>
        <v>0.0</v>
      </c>
      <c r="IE322" s="13">
        <f>ID322*($IB$6+ACUTE_MARGIN)</f>
        <v>0.0</v>
      </c>
      <c r="IF322" s="13">
        <f>IF(IB322=1,$IB$31,$IB$32)</f>
        <v>152734.9994534971</v>
      </c>
      <c r="IG322" s="13">
        <f>IE322-IF322</f>
        <v>-152734.9994534971</v>
      </c>
      <c r="IH322" s="13">
        <f>IH321+IG322</f>
        <v>1725305.758886436</v>
      </c>
      <c r="II322">
        <f>IF(IH322=MAX($IH$83:$IH$483),$A322,0)</f>
        <v>0</v>
      </c>
      <c r="IJ322">
        <f>IF(IE322&lt;IF322,$A322,B_MAX+1)</f>
        <v>239</v>
      </c>
      <c r="IK322" s="13">
        <f>IF(IB322=1,$IB$35,$IB$36)</f>
        <v>0</v>
      </c>
      <c r="IL322" s="13">
        <f>OCC_DAYS*$IB$41*R_NF_2023-ID322*MCD_SHARE_FREED*R_WAIT_2023</f>
        <v>151980.48282209205</v>
      </c>
      <c r="IM322">
        <f>IF($A322&lt;=$IB$45,1,0)</f>
        <v>0</v>
      </c>
      <c r="JB322">
        <f>IF($JB$31&lt;=$JB$32,IF($A322&lt;=$JB$7,1,2),IF($A322&lt;=RUNG_BEDS_2,2,1))</f>
        <v>1</v>
      </c>
      <c r="JC322" s="5">
        <f>MIN(1,MAX(0,$JB$26-($A322-1)))</f>
        <v>0</v>
      </c>
      <c r="JD322" s="5">
        <f>$JB$25*(JC322+(1-JC322)*$JB$16)</f>
        <v>0.0</v>
      </c>
      <c r="JE322" s="13">
        <f>JD322*($JB$6+ACUTE_MARGIN)</f>
        <v>0.0</v>
      </c>
      <c r="JF322" s="13">
        <f>IF(JB322=1,$JB$31,$JB$32)</f>
        <v>152394.16214437486</v>
      </c>
      <c r="JG322" s="13">
        <f>JE322-JF322</f>
        <v>-152394.16214437486</v>
      </c>
      <c r="JH322" s="13">
        <f>JH321+JG322</f>
        <v>1806765.8757667434</v>
      </c>
      <c r="JI322">
        <f>IF(JH322=MAX($JH$83:$JH$483),$A322,0)</f>
        <v>0</v>
      </c>
      <c r="JJ322">
        <f>IF(JE322&lt;JF322,$A322,B_MAX+1)</f>
        <v>239</v>
      </c>
      <c r="JK322" s="13">
        <f>IF(JB322=1,$JB$35,$JB$36)</f>
        <v>0</v>
      </c>
      <c r="JL322" s="13">
        <f>OCC_DAYS*$JB$41*R_NF_2023-JD322*MCD_SHARE_FREED*R_WAIT_2023</f>
        <v>151980.48282209205</v>
      </c>
      <c r="JM322">
        <f>IF($A322&lt;=$JB$45,1,0)</f>
        <v>0</v>
      </c>
      <c r="KB322">
        <f>IF($KB$31&lt;=$KB$32,IF($A322&lt;=$KB$7,1,2),IF($A322&lt;=RUNG_BEDS_2,2,1))</f>
        <v>1</v>
      </c>
      <c r="KC322" s="5">
        <f>MIN(1,MAX(0,$KB$26-($A322-1)))</f>
        <v>1</v>
      </c>
      <c r="KD322" s="5">
        <f>$KB$25*(KC322+(1-KC322)*$KB$16)</f>
        <v>126.02661357340719</v>
      </c>
      <c r="KE322" s="13">
        <f>KD322*($KB$6+ACUTE_MARGIN)</f>
        <v>127286.87970914126</v>
      </c>
      <c r="KF322" s="13">
        <f>IF(KB322=1,$KB$31,$KB$32)</f>
        <v>152394.16214437486</v>
      </c>
      <c r="KG322" s="13">
        <f>KE322-KF322</f>
        <v>-25107.282435233603</v>
      </c>
      <c r="KH322" s="13">
        <f>KH321+KG322</f>
        <v>-6000640.502020851</v>
      </c>
      <c r="KI322">
        <f>IF(KH322=MAX($KH$83:$KH$483),$A322,0)</f>
        <v>0</v>
      </c>
      <c r="KJ322">
        <f>IF(KE322&lt;KF322,$A322,B_MAX+1)</f>
        <v>239</v>
      </c>
      <c r="KK322" s="13">
        <f>IF(KB322=1,$KB$35,$KB$36)</f>
        <v>0</v>
      </c>
      <c r="KL322" s="13">
        <f>OCC_DAYS*$KB$41*R_NF_2023-KD322*MCD_SHARE_FREED*R_WAIT_2023</f>
        <v>94673.82103225985</v>
      </c>
      <c r="KM322">
        <f>IF($A322&lt;=$KB$45,1,0)</f>
        <v>0</v>
      </c>
      <c r="LB322">
        <f>IF($LB$31&lt;=$LB$32,IF($A322&lt;=$LB$7,1,2),IF($A322&lt;=RUNG_BEDS_2,2,1))</f>
        <v>1</v>
      </c>
      <c r="LC322" s="5">
        <f>MIN(1,MAX(0,$LB$26-($A322-1)))</f>
        <v>1</v>
      </c>
      <c r="LD322" s="5">
        <f>$LB$25*(LC322+(1-LC322)*$LB$16)</f>
        <v>84.01774238227146</v>
      </c>
      <c r="LE322" s="13">
        <f>LD322*($LB$6+ACUTE_MARGIN)</f>
        <v>84857.91980609419</v>
      </c>
      <c r="LF322" s="13">
        <f>IF(LB322=1,$LB$31,$LB$32)</f>
        <v>152394.16214437486</v>
      </c>
      <c r="LG322" s="13">
        <f>LE322-LF322</f>
        <v>-67536.24233828067</v>
      </c>
      <c r="LH322" s="13">
        <f>LH321+LG322</f>
        <v>-16141161.918849159</v>
      </c>
      <c r="LI322">
        <f>IF(LH322=MAX($LH$83:$LH$483),$A322,0)</f>
        <v>0</v>
      </c>
      <c r="LJ322">
        <f>IF(LE322&lt;LF322,$A322,B_MAX+1)</f>
        <v>239</v>
      </c>
      <c r="LK322" s="13">
        <f>IF(LB322=1,$LB$35,$LB$36)</f>
        <v>0</v>
      </c>
      <c r="LL322" s="13">
        <f>OCC_DAYS*$LB$41*R_NF_2023-LD322*MCD_SHARE_FREED*R_WAIT_2023</f>
        <v>113776.04162887059</v>
      </c>
      <c r="LM322">
        <f>IF($A322&lt;=$LB$45,1,0)</f>
        <v>0</v>
      </c>
      <c r="MB322">
        <f>IF($MB$31&lt;=$MB$32,IF($A322&lt;=$MB$7,1,2),IF($A322&lt;=RUNG_BEDS_2,2,1))</f>
        <v>1</v>
      </c>
      <c r="MC322" s="5">
        <f>MIN(1,MAX(0,$MB$26-($A322-1)))</f>
        <v>0</v>
      </c>
      <c r="MD322" s="5">
        <f>$MB$25*(MC322+(1-MC322)*$MB$16)</f>
        <v>0.0</v>
      </c>
      <c r="ME322" s="13">
        <f>MD322*($MB$6+ACUTE_MARGIN)</f>
        <v>0.0</v>
      </c>
      <c r="MF322" s="13">
        <f>IF(MB322=1,$MB$31,$MB$32)</f>
        <v>152394.16214437486</v>
      </c>
      <c r="MG322" s="13">
        <f>ME322-MF322</f>
        <v>-152394.16214437486</v>
      </c>
      <c r="MH322" s="13">
        <f>MH321+MG322</f>
        <v>-4080510.186031587</v>
      </c>
      <c r="MI322">
        <f>IF(MH322=MAX($MH$83:$MH$483),$A322,0)</f>
        <v>0</v>
      </c>
      <c r="MJ322">
        <f>IF(ME322&lt;MF322,$A322,B_MAX+1)</f>
        <v>239</v>
      </c>
      <c r="MK322" s="13">
        <f>IF(MB322=1,$MB$35,$MB$36)</f>
        <v>0</v>
      </c>
      <c r="ML322" s="13">
        <f>OCC_DAYS*$MB$41*R_NF_2023-MD322*MCD_SHARE_FREED*R_WAIT_2023</f>
        <v>151980.48282209205</v>
      </c>
      <c r="MM322">
        <f>IF($A322&lt;=$MB$45,1,0)</f>
        <v>0</v>
      </c>
      <c r="NB322">
        <f>IF($NB$31&lt;=$NB$32,IF($A322&lt;=$NB$7,1,2),IF($A322&lt;=RUNG_BEDS_2,2,1))</f>
        <v>1</v>
      </c>
      <c r="NC322" s="5">
        <f>MIN(1,MAX(0,$NB$26-($A322-1)))</f>
        <v>0</v>
      </c>
      <c r="ND322" s="5">
        <f>$NB$25*(NC322+(1-NC322)*$NB$16)</f>
        <v>63.013306786703595</v>
      </c>
      <c r="NE322" s="13">
        <f>ND322*($NB$6+ACUTE_MARGIN)</f>
        <v>63643.43985457063</v>
      </c>
      <c r="NF322" s="13">
        <f>IF(NB322=1,$NB$31,$NB$32)</f>
        <v>152394.16214437486</v>
      </c>
      <c r="NG322" s="13">
        <f>NE322-NF322</f>
        <v>-88750.72228980422</v>
      </c>
      <c r="NH322" s="13">
        <f>NH321+NG322</f>
        <v>7460305.343941022</v>
      </c>
      <c r="NI322">
        <f>IF(NH322=MAX($NH$83:$NH$483),$A322,0)</f>
        <v>0</v>
      </c>
      <c r="NJ322">
        <f>IF(NE322&lt;NF322,$A322,B_MAX+1)</f>
        <v>239</v>
      </c>
      <c r="NK322" s="13">
        <f>IF(NB322=1,$NB$35,$NB$36)</f>
        <v>0</v>
      </c>
      <c r="NL322" s="13">
        <f>OCC_DAYS*$NB$41*R_NF_2023-ND322*MCD_SHARE_FREED*R_WAIT_2023</f>
        <v>123327.15192717595</v>
      </c>
      <c r="NM322">
        <f>IF($A322&lt;=$NB$45,1,0)</f>
        <v>0</v>
      </c>
      <c r="OB322">
        <f>IF($OB$31&lt;=$OB$32,IF($A322&lt;=$OB$7,1,2),IF($A322&lt;=RUNG_BEDS_2,2,1))</f>
        <v>1</v>
      </c>
      <c r="OC322" s="5">
        <f>MIN(1,MAX(0,$OB$26-($A322-1)))</f>
        <v>0</v>
      </c>
      <c r="OD322" s="5">
        <f>$OB$25*(OC322+(1-OC322)*$OB$16)</f>
        <v>126.02661357340719</v>
      </c>
      <c r="OE322" s="13">
        <f>OD322*($OB$6+ACUTE_MARGIN)</f>
        <v>127286.87970914126</v>
      </c>
      <c r="OF322" s="13">
        <f>IF(OB322=1,$OB$31,$OB$32)</f>
        <v>152394.16214437486</v>
      </c>
      <c r="OG322" s="13">
        <f>OE322-OF322</f>
        <v>-25107.282435233603</v>
      </c>
      <c r="OH322" s="13">
        <f>OH321+OG322</f>
        <v>13113844.812115425</v>
      </c>
      <c r="OI322">
        <f>IF(OH322=MAX($OH$83:$OH$483),$A322,0)</f>
        <v>0</v>
      </c>
      <c r="OJ322">
        <f>IF(OE322&lt;OF322,$A322,B_MAX+1)</f>
        <v>239</v>
      </c>
      <c r="OK322" s="13">
        <f>IF(OB322=1,$OB$35,$OB$36)</f>
        <v>0</v>
      </c>
      <c r="OL322" s="13">
        <f>OCC_DAYS*$OB$41*R_NF_2023-OD322*MCD_SHARE_FREED*R_WAIT_2023</f>
        <v>94673.82103225985</v>
      </c>
      <c r="OM322">
        <f>IF($A322&lt;=$OB$45,1,0)</f>
        <v>0</v>
      </c>
    </row>
    <row r="323">
      <c r="A323" t="n">
        <v>240</v>
      </c>
      <c r="B323">
        <f>IF($B$31&lt;=$B$32,IF($A323&lt;=$B$7,1,2),IF($A323&lt;=RUNG_BEDS_2,2,1))</f>
        <v>1</v>
      </c>
      <c r="C323" s="5">
        <f>MIN(1,MAX(0,$B$26-($A323-1)))</f>
        <v>0</v>
      </c>
      <c r="D323" s="5">
        <f>$B$25*(C323+(1-C323)*$B$16)</f>
        <v>0.0</v>
      </c>
      <c r="E323" s="13">
        <f>D323*($B$6+ACUTE_MARGIN)</f>
        <v>0.0</v>
      </c>
      <c r="F323" s="13">
        <f>IF(B323=1,$B$31,$B$32)</f>
        <v>152394.16214437486</v>
      </c>
      <c r="G323" s="13">
        <f>E323-F323</f>
        <v>-152394.16214437486</v>
      </c>
      <c r="H323" s="13">
        <f>H322+G323</f>
        <v>1654371.7136223686</v>
      </c>
      <c r="I323">
        <f>IF(H323=MAX($H$83:$H$483),$A323,0)</f>
        <v>0</v>
      </c>
      <c r="J323">
        <f>IF(E323&lt;F323,$A323,B_MAX+1)</f>
        <v>240</v>
      </c>
      <c r="K323" s="13">
        <f>IF(B323=1,$B$35,$B$36)</f>
        <v>0</v>
      </c>
      <c r="L323" s="13">
        <f>OCC_DAYS*$B$41*R_NF_2023-D323*MCD_SHARE_FREED*R_WAIT_2023</f>
        <v>151980.48282209205</v>
      </c>
      <c r="M323">
        <f>IF($A323&lt;=$B$45,1,0)</f>
        <v>0</v>
      </c>
      <c r="AB323">
        <f>IF($AB$31&lt;=$AB$32,IF($A323&lt;=$AB$7,1,2),IF($A323&lt;=RUNG_BEDS_2,2,1))</f>
        <v>1</v>
      </c>
      <c r="AC323" s="5">
        <f>MIN(1,MAX(0,$AB$26-($A323-1)))</f>
        <v>0</v>
      </c>
      <c r="AD323" s="5">
        <f>$AB$25*(AC323+(1-AC323)*$AB$16)</f>
        <v>0.0</v>
      </c>
      <c r="AE323" s="13">
        <f>AD323*($AB$6+ACUTE_MARGIN)</f>
        <v>0.0</v>
      </c>
      <c r="AF323" s="13">
        <f>IF(AB323=1,$AB$31,$AB$32)</f>
        <v>152394.16214437486</v>
      </c>
      <c r="AG323" s="13">
        <f>AE323-AF323</f>
        <v>-152394.16214437486</v>
      </c>
      <c r="AH323" s="13">
        <f>AH322+AG323</f>
        <v>-15756842.631927421</v>
      </c>
      <c r="AI323">
        <f>IF(AH323=MAX($AH$83:$AH$483),$A323,0)</f>
        <v>0</v>
      </c>
      <c r="AJ323">
        <f>IF(AE323&lt;AF323,$A323,B_MAX+1)</f>
        <v>240</v>
      </c>
      <c r="AK323" s="13">
        <f>IF(AB323=1,$AB$35,$AB$36)</f>
        <v>0</v>
      </c>
      <c r="AL323" s="13">
        <f>OCC_DAYS*$AB$41*R_NF_2023-AD323*MCD_SHARE_FREED*R_WAIT_2023</f>
        <v>151980.48282209205</v>
      </c>
      <c r="AM323">
        <f>IF($A323&lt;=$AB$45,1,0)</f>
        <v>0</v>
      </c>
      <c r="BB323">
        <f>IF($BB$31&lt;=$BB$32,IF($A323&lt;=$BB$7,1,2),IF($A323&lt;=RUNG_BEDS_2,2,1))</f>
        <v>1</v>
      </c>
      <c r="BC323" s="5">
        <f>MIN(1,MAX(0,$BB$26-($A323-1)))</f>
        <v>0</v>
      </c>
      <c r="BD323" s="5">
        <f>$BB$25*(BC323+(1-BC323)*$BB$16)</f>
        <v>0.0</v>
      </c>
      <c r="BE323" s="13">
        <f>BD323*($BB$6+ACUTE_MARGIN)</f>
        <v>0.0</v>
      </c>
      <c r="BF323" s="13">
        <f>IF(BB323=1,$BB$31,$BB$32)</f>
        <v>152394.16214437486</v>
      </c>
      <c r="BG323" s="13">
        <f>BE323-BF323</f>
        <v>-152394.16214437486</v>
      </c>
      <c r="BH323" s="13">
        <f>BH322+BG323</f>
        <v>19065586.05917207</v>
      </c>
      <c r="BI323">
        <f>IF(BH323=MAX($BH$83:$BH$483),$A323,0)</f>
        <v>0</v>
      </c>
      <c r="BJ323">
        <f>IF(BE323&lt;BF323,$A323,B_MAX+1)</f>
        <v>240</v>
      </c>
      <c r="BK323" s="13">
        <f>IF(BB323=1,$BB$35,$BB$36)</f>
        <v>0</v>
      </c>
      <c r="BL323" s="13">
        <f>OCC_DAYS*$BB$41*R_NF_2023-BD323*MCD_SHARE_FREED*R_WAIT_2023</f>
        <v>151980.48282209205</v>
      </c>
      <c r="BM323">
        <f>IF($A323&lt;=$BB$45,1,0)</f>
        <v>0</v>
      </c>
      <c r="CB323">
        <f>IF($CB$31&lt;=$CB$32,IF($A323&lt;=$CB$7,1,2),IF($A323&lt;=RUNG_BEDS_2,2,1))</f>
        <v>2</v>
      </c>
      <c r="CC323" s="5">
        <f>MIN(1,MAX(0,$CB$26-($A323-1)))</f>
        <v>0</v>
      </c>
      <c r="CD323" s="5">
        <f>$CB$25*(CC323+(1-CC323)*$CB$16)</f>
        <v>0.0</v>
      </c>
      <c r="CE323" s="13">
        <f>CD323*($CB$6+ACUTE_MARGIN)</f>
        <v>0.0</v>
      </c>
      <c r="CF323" s="13">
        <f>IF(CB323=1,$CB$31,$CB$32)</f>
        <v>160718.36940738867</v>
      </c>
      <c r="CG323" s="13">
        <f>CE323-CF323</f>
        <v>-160718.36940738867</v>
      </c>
      <c r="CH323" s="13">
        <f>CH322+CG323</f>
        <v>-343438.0295010599</v>
      </c>
      <c r="CI323">
        <f>IF(CH323=MAX($CH$83:$CH$483),$A323,0)</f>
        <v>0</v>
      </c>
      <c r="CJ323">
        <f>IF(CE323&lt;CF323,$A323,B_MAX+1)</f>
        <v>240</v>
      </c>
      <c r="CK323" s="13">
        <f>IF(CB323=1,$CB$35,$CB$36)</f>
        <v>1560.1194073886782</v>
      </c>
      <c r="CL323" s="13">
        <f>OCC_DAYS*$CB$41*R_NF_2023-CD323*MCD_SHARE_FREED*R_WAIT_2023</f>
        <v>151980.48282209205</v>
      </c>
      <c r="CM323">
        <f>IF($A323&lt;=$CB$45,1,0)</f>
        <v>0</v>
      </c>
      <c r="DB323">
        <f>IF($DB$31&lt;=$DB$32,IF($A323&lt;=$DB$7,1,2),IF($A323&lt;=RUNG_BEDS_2,2,1))</f>
        <v>1</v>
      </c>
      <c r="DC323" s="5">
        <f>MIN(1,MAX(0,$DB$26-($A323-1)))</f>
        <v>0</v>
      </c>
      <c r="DD323" s="5">
        <f>$DB$25*(DC323+(1-DC323)*$DB$16)</f>
        <v>0.0</v>
      </c>
      <c r="DE323" s="13">
        <f>DD323*($DB$6+ACUTE_MARGIN)</f>
        <v>0.0</v>
      </c>
      <c r="DF323" s="13">
        <f>IF(DB323=1,$DB$31,$DB$32)</f>
        <v>152394.16214437486</v>
      </c>
      <c r="DG323" s="13">
        <f>DE323-DF323</f>
        <v>-152394.16214437486</v>
      </c>
      <c r="DH323" s="13">
        <f>DH322+DG323</f>
        <v>1654371.7136223686</v>
      </c>
      <c r="DI323">
        <f>IF(DH323=MAX($DH$83:$DH$483),$A323,0)</f>
        <v>0</v>
      </c>
      <c r="DJ323">
        <f>IF(DE323&lt;DF323,$A323,B_MAX+1)</f>
        <v>240</v>
      </c>
      <c r="DK323" s="13">
        <f>IF(DB323=1,$DB$35,$DB$36)</f>
        <v>0</v>
      </c>
      <c r="DL323" s="13">
        <f>OCC_DAYS*$DB$41*R_NF_2023-DD323*MCD_SHARE_FREED*R_WAIT_2023</f>
        <v>151980.48282209205</v>
      </c>
      <c r="DM323">
        <f>IF($A323&lt;=$DB$45,1,0)</f>
        <v>0</v>
      </c>
      <c r="EB323">
        <f>IF($EB$31&lt;=$EB$32,IF($A323&lt;=$EB$7,1,2),IF($A323&lt;=RUNG_BEDS_2,2,1))</f>
        <v>1</v>
      </c>
      <c r="EC323" s="5">
        <f>MIN(1,MAX(0,$EB$26-($A323-1)))</f>
        <v>0</v>
      </c>
      <c r="ED323" s="5">
        <f>$EB$25*(EC323+(1-EC323)*$EB$16)</f>
        <v>0.0</v>
      </c>
      <c r="EE323" s="13">
        <f>ED323*($EB$6+ACUTE_MARGIN)</f>
        <v>0.0</v>
      </c>
      <c r="EF323" s="13">
        <f>IF(EB323=1,$EB$31,$EB$32)</f>
        <v>152394.16214437486</v>
      </c>
      <c r="EG323" s="13">
        <f>EE323-EF323</f>
        <v>-152394.16214437486</v>
      </c>
      <c r="EH323" s="13">
        <f>EH322+EG323</f>
        <v>1654371.7136223686</v>
      </c>
      <c r="EI323">
        <f>IF(EH323=MAX($EH$83:$EH$483),$A323,0)</f>
        <v>0</v>
      </c>
      <c r="EJ323">
        <f>IF(EE323&lt;EF323,$A323,B_MAX+1)</f>
        <v>240</v>
      </c>
      <c r="EK323" s="13">
        <f>IF(EB323=1,$EB$35,$EB$36)</f>
        <v>0</v>
      </c>
      <c r="EL323" s="13">
        <f>OCC_DAYS*$EB$41*R_NF_2023-ED323*MCD_SHARE_FREED*R_WAIT_2023</f>
        <v>50660.16094069735</v>
      </c>
      <c r="EM323">
        <f>IF($A323&lt;=$EB$45,1,0)</f>
        <v>0</v>
      </c>
      <c r="FB323">
        <f>IF($FB$31&lt;=$FB$32,IF($A323&lt;=$FB$7,1,2),IF($A323&lt;=RUNG_BEDS_2,2,1))</f>
        <v>1</v>
      </c>
      <c r="FC323" s="5">
        <f>MIN(1,MAX(0,$FB$26-($A323-1)))</f>
        <v>0</v>
      </c>
      <c r="FD323" s="5">
        <f>$FB$25*(FC323+(1-FC323)*$FB$16)</f>
        <v>0.0</v>
      </c>
      <c r="FE323" s="13">
        <f>FD323*($FB$6+ACUTE_MARGIN)</f>
        <v>0.0</v>
      </c>
      <c r="FF323" s="13">
        <f>IF(FB323=1,$FB$31,$FB$32)</f>
        <v>156636.04979437485</v>
      </c>
      <c r="FG323" s="13">
        <f>FE323-FF323</f>
        <v>-156636.04979437485</v>
      </c>
      <c r="FH323" s="13">
        <f>FH322+FG323</f>
        <v>636318.6776222553</v>
      </c>
      <c r="FI323">
        <f>IF(FH323=MAX($FH$83:$FH$483),$A323,0)</f>
        <v>0</v>
      </c>
      <c r="FJ323">
        <f>IF(FE323&lt;FF323,$A323,B_MAX+1)</f>
        <v>240</v>
      </c>
      <c r="FK323" s="13">
        <f>IF(FB323=1,$FB$35,$FB$36)</f>
        <v>0</v>
      </c>
      <c r="FL323" s="13">
        <f>OCC_DAYS*$FB$41*R_NF_2023-FD323*MCD_SHARE_FREED*R_WAIT_2023</f>
        <v>151980.48282209205</v>
      </c>
      <c r="FM323">
        <f>IF($A323&lt;=$FB$45,1,0)</f>
        <v>0</v>
      </c>
      <c r="GB323">
        <f>IF($GB$31&lt;=$GB$32,IF($A323&lt;=$GB$7,1,2),IF($A323&lt;=RUNG_BEDS_2,2,1))</f>
        <v>1</v>
      </c>
      <c r="GC323" s="5">
        <f>MIN(1,MAX(0,$GB$26-($A323-1)))</f>
        <v>0</v>
      </c>
      <c r="GD323" s="5">
        <f>$GB$25*(GC323+(1-GC323)*$GB$16)</f>
        <v>0.0</v>
      </c>
      <c r="GE323" s="13">
        <f>GD323*($GB$6+ACUTE_MARGIN)</f>
        <v>0.0</v>
      </c>
      <c r="GF323" s="13">
        <f>IF(GB323=1,$GB$31,$GB$32)</f>
        <v>152394.16214437486</v>
      </c>
      <c r="GG323" s="13">
        <f>GE323-GF323</f>
        <v>-152394.16214437486</v>
      </c>
      <c r="GH323" s="13">
        <f>GH322+GG323</f>
        <v>1654371.7136223686</v>
      </c>
      <c r="GI323">
        <f>IF(GH323=MAX($GH$83:$GH$483),$A323,0)</f>
        <v>0</v>
      </c>
      <c r="GJ323">
        <f>IF(GE323&lt;GF323,$A323,B_MAX+1)</f>
        <v>240</v>
      </c>
      <c r="GK323" s="13">
        <f>IF(GB323=1,$GB$35,$GB$36)</f>
        <v>0</v>
      </c>
      <c r="GL323" s="13">
        <f>OCC_DAYS*$GB$41*R_NF_2023-GD323*MCD_SHARE_FREED*R_WAIT_2023</f>
        <v>151980.48282209205</v>
      </c>
      <c r="GM323">
        <f>IF($A323&lt;=$GB$45,1,0)</f>
        <v>0</v>
      </c>
      <c r="HB323">
        <f>IF($HB$31&lt;=$HB$32,IF($A323&lt;=$HB$7,1,2),IF($A323&lt;=RUNG_BEDS_2,2,1))</f>
        <v>1</v>
      </c>
      <c r="HC323" s="5">
        <f>MIN(1,MAX(0,$HB$26-($A323-1)))</f>
        <v>0</v>
      </c>
      <c r="HD323" s="5">
        <f>$HB$25*(HC323+(1-HC323)*$HB$16)</f>
        <v>0.0</v>
      </c>
      <c r="HE323" s="13">
        <f>HD323*($HB$6+ACUTE_MARGIN)</f>
        <v>0.0</v>
      </c>
      <c r="HF323" s="13">
        <f>IF(HB323=1,$HB$31,$HB$32)</f>
        <v>152456.2970814058</v>
      </c>
      <c r="HG323" s="13">
        <f>HE323-HF323</f>
        <v>-152456.2970814058</v>
      </c>
      <c r="HH323" s="13">
        <f>HH322+HG323</f>
        <v>1639459.328734904</v>
      </c>
      <c r="HI323">
        <f>IF(HH323=MAX($HH$83:$HH$483),$A323,0)</f>
        <v>0</v>
      </c>
      <c r="HJ323">
        <f>IF(HE323&lt;HF323,$A323,B_MAX+1)</f>
        <v>240</v>
      </c>
      <c r="HK323" s="13">
        <f>IF(HB323=1,$HB$35,$HB$36)</f>
        <v>0</v>
      </c>
      <c r="HL323" s="13">
        <f>OCC_DAYS*$HB$41*R_NF_2023-HD323*MCD_SHARE_FREED*R_WAIT_2023</f>
        <v>151980.48282209205</v>
      </c>
      <c r="HM323">
        <f>IF($A323&lt;=$HB$45,1,0)</f>
        <v>0</v>
      </c>
      <c r="IB323">
        <f>IF($IB$31&lt;=$IB$32,IF($A323&lt;=$IB$7,1,2),IF($A323&lt;=RUNG_BEDS_2,2,1))</f>
        <v>1</v>
      </c>
      <c r="IC323" s="5">
        <f>MIN(1,MAX(0,$IB$26-($A323-1)))</f>
        <v>0</v>
      </c>
      <c r="ID323" s="5">
        <f>$IB$25*(IC323+(1-IC323)*$IB$16)</f>
        <v>0.0</v>
      </c>
      <c r="IE323" s="13">
        <f>ID323*($IB$6+ACUTE_MARGIN)</f>
        <v>0.0</v>
      </c>
      <c r="IF323" s="13">
        <f>IF(IB323=1,$IB$31,$IB$32)</f>
        <v>152734.9994534971</v>
      </c>
      <c r="IG323" s="13">
        <f>IE323-IF323</f>
        <v>-152734.9994534971</v>
      </c>
      <c r="IH323" s="13">
        <f>IH322+IG323</f>
        <v>1572570.7594329389</v>
      </c>
      <c r="II323">
        <f>IF(IH323=MAX($IH$83:$IH$483),$A323,0)</f>
        <v>0</v>
      </c>
      <c r="IJ323">
        <f>IF(IE323&lt;IF323,$A323,B_MAX+1)</f>
        <v>240</v>
      </c>
      <c r="IK323" s="13">
        <f>IF(IB323=1,$IB$35,$IB$36)</f>
        <v>0</v>
      </c>
      <c r="IL323" s="13">
        <f>OCC_DAYS*$IB$41*R_NF_2023-ID323*MCD_SHARE_FREED*R_WAIT_2023</f>
        <v>151980.48282209205</v>
      </c>
      <c r="IM323">
        <f>IF($A323&lt;=$IB$45,1,0)</f>
        <v>0</v>
      </c>
      <c r="JB323">
        <f>IF($JB$31&lt;=$JB$32,IF($A323&lt;=$JB$7,1,2),IF($A323&lt;=RUNG_BEDS_2,2,1))</f>
        <v>1</v>
      </c>
      <c r="JC323" s="5">
        <f>MIN(1,MAX(0,$JB$26-($A323-1)))</f>
        <v>0</v>
      </c>
      <c r="JD323" s="5">
        <f>$JB$25*(JC323+(1-JC323)*$JB$16)</f>
        <v>0.0</v>
      </c>
      <c r="JE323" s="13">
        <f>JD323*($JB$6+ACUTE_MARGIN)</f>
        <v>0.0</v>
      </c>
      <c r="JF323" s="13">
        <f>IF(JB323=1,$JB$31,$JB$32)</f>
        <v>152394.16214437486</v>
      </c>
      <c r="JG323" s="13">
        <f>JE323-JF323</f>
        <v>-152394.16214437486</v>
      </c>
      <c r="JH323" s="13">
        <f>JH322+JG323</f>
        <v>1654371.7136223686</v>
      </c>
      <c r="JI323">
        <f>IF(JH323=MAX($JH$83:$JH$483),$A323,0)</f>
        <v>0</v>
      </c>
      <c r="JJ323">
        <f>IF(JE323&lt;JF323,$A323,B_MAX+1)</f>
        <v>240</v>
      </c>
      <c r="JK323" s="13">
        <f>IF(JB323=1,$JB$35,$JB$36)</f>
        <v>0</v>
      </c>
      <c r="JL323" s="13">
        <f>OCC_DAYS*$JB$41*R_NF_2023-JD323*MCD_SHARE_FREED*R_WAIT_2023</f>
        <v>151980.48282209205</v>
      </c>
      <c r="JM323">
        <f>IF($A323&lt;=$JB$45,1,0)</f>
        <v>0</v>
      </c>
      <c r="KB323">
        <f>IF($KB$31&lt;=$KB$32,IF($A323&lt;=$KB$7,1,2),IF($A323&lt;=RUNG_BEDS_2,2,1))</f>
        <v>1</v>
      </c>
      <c r="KC323" s="5">
        <f>MIN(1,MAX(0,$KB$26-($A323-1)))</f>
        <v>1</v>
      </c>
      <c r="KD323" s="5">
        <f>$KB$25*(KC323+(1-KC323)*$KB$16)</f>
        <v>126.02661357340719</v>
      </c>
      <c r="KE323" s="13">
        <f>KD323*($KB$6+ACUTE_MARGIN)</f>
        <v>127286.87970914126</v>
      </c>
      <c r="KF323" s="13">
        <f>IF(KB323=1,$KB$31,$KB$32)</f>
        <v>152394.16214437486</v>
      </c>
      <c r="KG323" s="13">
        <f>KE323-KF323</f>
        <v>-25107.282435233603</v>
      </c>
      <c r="KH323" s="13">
        <f>KH322+KG323</f>
        <v>-6025747.7844560845</v>
      </c>
      <c r="KI323">
        <f>IF(KH323=MAX($KH$83:$KH$483),$A323,0)</f>
        <v>0</v>
      </c>
      <c r="KJ323">
        <f>IF(KE323&lt;KF323,$A323,B_MAX+1)</f>
        <v>240</v>
      </c>
      <c r="KK323" s="13">
        <f>IF(KB323=1,$KB$35,$KB$36)</f>
        <v>0</v>
      </c>
      <c r="KL323" s="13">
        <f>OCC_DAYS*$KB$41*R_NF_2023-KD323*MCD_SHARE_FREED*R_WAIT_2023</f>
        <v>94673.82103225985</v>
      </c>
      <c r="KM323">
        <f>IF($A323&lt;=$KB$45,1,0)</f>
        <v>0</v>
      </c>
      <c r="LB323">
        <f>IF($LB$31&lt;=$LB$32,IF($A323&lt;=$LB$7,1,2),IF($A323&lt;=RUNG_BEDS_2,2,1))</f>
        <v>1</v>
      </c>
      <c r="LC323" s="5">
        <f>MIN(1,MAX(0,$LB$26-($A323-1)))</f>
        <v>1</v>
      </c>
      <c r="LD323" s="5">
        <f>$LB$25*(LC323+(1-LC323)*$LB$16)</f>
        <v>84.01774238227146</v>
      </c>
      <c r="LE323" s="13">
        <f>LD323*($LB$6+ACUTE_MARGIN)</f>
        <v>84857.91980609419</v>
      </c>
      <c r="LF323" s="13">
        <f>IF(LB323=1,$LB$31,$LB$32)</f>
        <v>152394.16214437486</v>
      </c>
      <c r="LG323" s="13">
        <f>LE323-LF323</f>
        <v>-67536.24233828067</v>
      </c>
      <c r="LH323" s="13">
        <f>LH322+LG323</f>
        <v>-16208698.16118744</v>
      </c>
      <c r="LI323">
        <f>IF(LH323=MAX($LH$83:$LH$483),$A323,0)</f>
        <v>0</v>
      </c>
      <c r="LJ323">
        <f>IF(LE323&lt;LF323,$A323,B_MAX+1)</f>
        <v>240</v>
      </c>
      <c r="LK323" s="13">
        <f>IF(LB323=1,$LB$35,$LB$36)</f>
        <v>0</v>
      </c>
      <c r="LL323" s="13">
        <f>OCC_DAYS*$LB$41*R_NF_2023-LD323*MCD_SHARE_FREED*R_WAIT_2023</f>
        <v>113776.04162887059</v>
      </c>
      <c r="LM323">
        <f>IF($A323&lt;=$LB$45,1,0)</f>
        <v>0</v>
      </c>
      <c r="MB323">
        <f>IF($MB$31&lt;=$MB$32,IF($A323&lt;=$MB$7,1,2),IF($A323&lt;=RUNG_BEDS_2,2,1))</f>
        <v>1</v>
      </c>
      <c r="MC323" s="5">
        <f>MIN(1,MAX(0,$MB$26-($A323-1)))</f>
        <v>0</v>
      </c>
      <c r="MD323" s="5">
        <f>$MB$25*(MC323+(1-MC323)*$MB$16)</f>
        <v>0.0</v>
      </c>
      <c r="ME323" s="13">
        <f>MD323*($MB$6+ACUTE_MARGIN)</f>
        <v>0.0</v>
      </c>
      <c r="MF323" s="13">
        <f>IF(MB323=1,$MB$31,$MB$32)</f>
        <v>152394.16214437486</v>
      </c>
      <c r="MG323" s="13">
        <f>ME323-MF323</f>
        <v>-152394.16214437486</v>
      </c>
      <c r="MH323" s="13">
        <f>MH322+MG323</f>
        <v>-4232904.3481759615</v>
      </c>
      <c r="MI323">
        <f>IF(MH323=MAX($MH$83:$MH$483),$A323,0)</f>
        <v>0</v>
      </c>
      <c r="MJ323">
        <f>IF(ME323&lt;MF323,$A323,B_MAX+1)</f>
        <v>240</v>
      </c>
      <c r="MK323" s="13">
        <f>IF(MB323=1,$MB$35,$MB$36)</f>
        <v>0</v>
      </c>
      <c r="ML323" s="13">
        <f>OCC_DAYS*$MB$41*R_NF_2023-MD323*MCD_SHARE_FREED*R_WAIT_2023</f>
        <v>151980.48282209205</v>
      </c>
      <c r="MM323">
        <f>IF($A323&lt;=$MB$45,1,0)</f>
        <v>0</v>
      </c>
      <c r="NB323">
        <f>IF($NB$31&lt;=$NB$32,IF($A323&lt;=$NB$7,1,2),IF($A323&lt;=RUNG_BEDS_2,2,1))</f>
        <v>1</v>
      </c>
      <c r="NC323" s="5">
        <f>MIN(1,MAX(0,$NB$26-($A323-1)))</f>
        <v>0</v>
      </c>
      <c r="ND323" s="5">
        <f>$NB$25*(NC323+(1-NC323)*$NB$16)</f>
        <v>63.013306786703595</v>
      </c>
      <c r="NE323" s="13">
        <f>ND323*($NB$6+ACUTE_MARGIN)</f>
        <v>63643.43985457063</v>
      </c>
      <c r="NF323" s="13">
        <f>IF(NB323=1,$NB$31,$NB$32)</f>
        <v>152394.16214437486</v>
      </c>
      <c r="NG323" s="13">
        <f>NE323-NF323</f>
        <v>-88750.72228980422</v>
      </c>
      <c r="NH323" s="13">
        <f>NH322+NG323</f>
        <v>7371554.621651217</v>
      </c>
      <c r="NI323">
        <f>IF(NH323=MAX($NH$83:$NH$483),$A323,0)</f>
        <v>0</v>
      </c>
      <c r="NJ323">
        <f>IF(NE323&lt;NF323,$A323,B_MAX+1)</f>
        <v>240</v>
      </c>
      <c r="NK323" s="13">
        <f>IF(NB323=1,$NB$35,$NB$36)</f>
        <v>0</v>
      </c>
      <c r="NL323" s="13">
        <f>OCC_DAYS*$NB$41*R_NF_2023-ND323*MCD_SHARE_FREED*R_WAIT_2023</f>
        <v>123327.15192717595</v>
      </c>
      <c r="NM323">
        <f>IF($A323&lt;=$NB$45,1,0)</f>
        <v>0</v>
      </c>
      <c r="OB323">
        <f>IF($OB$31&lt;=$OB$32,IF($A323&lt;=$OB$7,1,2),IF($A323&lt;=RUNG_BEDS_2,2,1))</f>
        <v>1</v>
      </c>
      <c r="OC323" s="5">
        <f>MIN(1,MAX(0,$OB$26-($A323-1)))</f>
        <v>0</v>
      </c>
      <c r="OD323" s="5">
        <f>$OB$25*(OC323+(1-OC323)*$OB$16)</f>
        <v>126.02661357340719</v>
      </c>
      <c r="OE323" s="13">
        <f>OD323*($OB$6+ACUTE_MARGIN)</f>
        <v>127286.87970914126</v>
      </c>
      <c r="OF323" s="13">
        <f>IF(OB323=1,$OB$31,$OB$32)</f>
        <v>152394.16214437486</v>
      </c>
      <c r="OG323" s="13">
        <f>OE323-OF323</f>
        <v>-25107.282435233603</v>
      </c>
      <c r="OH323" s="13">
        <f>OH322+OG323</f>
        <v>13088737.529680192</v>
      </c>
      <c r="OI323">
        <f>IF(OH323=MAX($OH$83:$OH$483),$A323,0)</f>
        <v>0</v>
      </c>
      <c r="OJ323">
        <f>IF(OE323&lt;OF323,$A323,B_MAX+1)</f>
        <v>240</v>
      </c>
      <c r="OK323" s="13">
        <f>IF(OB323=1,$OB$35,$OB$36)</f>
        <v>0</v>
      </c>
      <c r="OL323" s="13">
        <f>OCC_DAYS*$OB$41*R_NF_2023-OD323*MCD_SHARE_FREED*R_WAIT_2023</f>
        <v>94673.82103225985</v>
      </c>
      <c r="OM323">
        <f>IF($A323&lt;=$OB$45,1,0)</f>
        <v>0</v>
      </c>
    </row>
    <row r="324">
      <c r="A324" t="n">
        <v>241</v>
      </c>
      <c r="B324">
        <f>IF($B$31&lt;=$B$32,IF($A324&lt;=$B$7,1,2),IF($A324&lt;=RUNG_BEDS_2,2,1))</f>
        <v>1</v>
      </c>
      <c r="C324" s="5">
        <f>MIN(1,MAX(0,$B$26-($A324-1)))</f>
        <v>0</v>
      </c>
      <c r="D324" s="5">
        <f>$B$25*(C324+(1-C324)*$B$16)</f>
        <v>0.0</v>
      </c>
      <c r="E324" s="13">
        <f>D324*($B$6+ACUTE_MARGIN)</f>
        <v>0.0</v>
      </c>
      <c r="F324" s="13">
        <f>IF(B324=1,$B$31,$B$32)</f>
        <v>152394.16214437486</v>
      </c>
      <c r="G324" s="13">
        <f>E324-F324</f>
        <v>-152394.16214437486</v>
      </c>
      <c r="H324" s="13">
        <f>H323+G324</f>
        <v>1501977.5514779938</v>
      </c>
      <c r="I324">
        <f>IF(H324=MAX($H$83:$H$483),$A324,0)</f>
        <v>0</v>
      </c>
      <c r="J324">
        <f>IF(E324&lt;F324,$A324,B_MAX+1)</f>
        <v>241</v>
      </c>
      <c r="K324" s="13">
        <f>IF(B324=1,$B$35,$B$36)</f>
        <v>0</v>
      </c>
      <c r="L324" s="13">
        <f>OCC_DAYS*$B$41*R_NF_2023-D324*MCD_SHARE_FREED*R_WAIT_2023</f>
        <v>151980.48282209205</v>
      </c>
      <c r="M324">
        <f>IF($A324&lt;=$B$45,1,0)</f>
        <v>0</v>
      </c>
      <c r="AB324">
        <f>IF($AB$31&lt;=$AB$32,IF($A324&lt;=$AB$7,1,2),IF($A324&lt;=RUNG_BEDS_2,2,1))</f>
        <v>1</v>
      </c>
      <c r="AC324" s="5">
        <f>MIN(1,MAX(0,$AB$26-($A324-1)))</f>
        <v>0</v>
      </c>
      <c r="AD324" s="5">
        <f>$AB$25*(AC324+(1-AC324)*$AB$16)</f>
        <v>0.0</v>
      </c>
      <c r="AE324" s="13">
        <f>AD324*($AB$6+ACUTE_MARGIN)</f>
        <v>0.0</v>
      </c>
      <c r="AF324" s="13">
        <f>IF(AB324=1,$AB$31,$AB$32)</f>
        <v>152394.16214437486</v>
      </c>
      <c r="AG324" s="13">
        <f>AE324-AF324</f>
        <v>-152394.16214437486</v>
      </c>
      <c r="AH324" s="13">
        <f>AH323+AG324</f>
        <v>-15909236.794071795</v>
      </c>
      <c r="AI324">
        <f>IF(AH324=MAX($AH$83:$AH$483),$A324,0)</f>
        <v>0</v>
      </c>
      <c r="AJ324">
        <f>IF(AE324&lt;AF324,$A324,B_MAX+1)</f>
        <v>241</v>
      </c>
      <c r="AK324" s="13">
        <f>IF(AB324=1,$AB$35,$AB$36)</f>
        <v>0</v>
      </c>
      <c r="AL324" s="13">
        <f>OCC_DAYS*$AB$41*R_NF_2023-AD324*MCD_SHARE_FREED*R_WAIT_2023</f>
        <v>151980.48282209205</v>
      </c>
      <c r="AM324">
        <f>IF($A324&lt;=$AB$45,1,0)</f>
        <v>0</v>
      </c>
      <c r="BB324">
        <f>IF($BB$31&lt;=$BB$32,IF($A324&lt;=$BB$7,1,2),IF($A324&lt;=RUNG_BEDS_2,2,1))</f>
        <v>1</v>
      </c>
      <c r="BC324" s="5">
        <f>MIN(1,MAX(0,$BB$26-($A324-1)))</f>
        <v>0</v>
      </c>
      <c r="BD324" s="5">
        <f>$BB$25*(BC324+(1-BC324)*$BB$16)</f>
        <v>0.0</v>
      </c>
      <c r="BE324" s="13">
        <f>BD324*($BB$6+ACUTE_MARGIN)</f>
        <v>0.0</v>
      </c>
      <c r="BF324" s="13">
        <f>IF(BB324=1,$BB$31,$BB$32)</f>
        <v>152394.16214437486</v>
      </c>
      <c r="BG324" s="13">
        <f>BE324-BF324</f>
        <v>-152394.16214437486</v>
      </c>
      <c r="BH324" s="13">
        <f>BH323+BG324</f>
        <v>18913191.897027697</v>
      </c>
      <c r="BI324">
        <f>IF(BH324=MAX($BH$83:$BH$483),$A324,0)</f>
        <v>0</v>
      </c>
      <c r="BJ324">
        <f>IF(BE324&lt;BF324,$A324,B_MAX+1)</f>
        <v>241</v>
      </c>
      <c r="BK324" s="13">
        <f>IF(BB324=1,$BB$35,$BB$36)</f>
        <v>0</v>
      </c>
      <c r="BL324" s="13">
        <f>OCC_DAYS*$BB$41*R_NF_2023-BD324*MCD_SHARE_FREED*R_WAIT_2023</f>
        <v>151980.48282209205</v>
      </c>
      <c r="BM324">
        <f>IF($A324&lt;=$BB$45,1,0)</f>
        <v>0</v>
      </c>
      <c r="CB324">
        <f>IF($CB$31&lt;=$CB$32,IF($A324&lt;=$CB$7,1,2),IF($A324&lt;=RUNG_BEDS_2,2,1))</f>
        <v>2</v>
      </c>
      <c r="CC324" s="5">
        <f>MIN(1,MAX(0,$CB$26-($A324-1)))</f>
        <v>0</v>
      </c>
      <c r="CD324" s="5">
        <f>$CB$25*(CC324+(1-CC324)*$CB$16)</f>
        <v>0.0</v>
      </c>
      <c r="CE324" s="13">
        <f>CD324*($CB$6+ACUTE_MARGIN)</f>
        <v>0.0</v>
      </c>
      <c r="CF324" s="13">
        <f>IF(CB324=1,$CB$31,$CB$32)</f>
        <v>160718.36940738867</v>
      </c>
      <c r="CG324" s="13">
        <f>CE324-CF324</f>
        <v>-160718.36940738867</v>
      </c>
      <c r="CH324" s="13">
        <f>CH323+CG324</f>
        <v>-504156.3989084486</v>
      </c>
      <c r="CI324">
        <f>IF(CH324=MAX($CH$83:$CH$483),$A324,0)</f>
        <v>0</v>
      </c>
      <c r="CJ324">
        <f>IF(CE324&lt;CF324,$A324,B_MAX+1)</f>
        <v>241</v>
      </c>
      <c r="CK324" s="13">
        <f>IF(CB324=1,$CB$35,$CB$36)</f>
        <v>1560.1194073886782</v>
      </c>
      <c r="CL324" s="13">
        <f>OCC_DAYS*$CB$41*R_NF_2023-CD324*MCD_SHARE_FREED*R_WAIT_2023</f>
        <v>151980.48282209205</v>
      </c>
      <c r="CM324">
        <f>IF($A324&lt;=$CB$45,1,0)</f>
        <v>0</v>
      </c>
      <c r="DB324">
        <f>IF($DB$31&lt;=$DB$32,IF($A324&lt;=$DB$7,1,2),IF($A324&lt;=RUNG_BEDS_2,2,1))</f>
        <v>1</v>
      </c>
      <c r="DC324" s="5">
        <f>MIN(1,MAX(0,$DB$26-($A324-1)))</f>
        <v>0</v>
      </c>
      <c r="DD324" s="5">
        <f>$DB$25*(DC324+(1-DC324)*$DB$16)</f>
        <v>0.0</v>
      </c>
      <c r="DE324" s="13">
        <f>DD324*($DB$6+ACUTE_MARGIN)</f>
        <v>0.0</v>
      </c>
      <c r="DF324" s="13">
        <f>IF(DB324=1,$DB$31,$DB$32)</f>
        <v>152394.16214437486</v>
      </c>
      <c r="DG324" s="13">
        <f>DE324-DF324</f>
        <v>-152394.16214437486</v>
      </c>
      <c r="DH324" s="13">
        <f>DH323+DG324</f>
        <v>1501977.5514779938</v>
      </c>
      <c r="DI324">
        <f>IF(DH324=MAX($DH$83:$DH$483),$A324,0)</f>
        <v>0</v>
      </c>
      <c r="DJ324">
        <f>IF(DE324&lt;DF324,$A324,B_MAX+1)</f>
        <v>241</v>
      </c>
      <c r="DK324" s="13">
        <f>IF(DB324=1,$DB$35,$DB$36)</f>
        <v>0</v>
      </c>
      <c r="DL324" s="13">
        <f>OCC_DAYS*$DB$41*R_NF_2023-DD324*MCD_SHARE_FREED*R_WAIT_2023</f>
        <v>151980.48282209205</v>
      </c>
      <c r="DM324">
        <f>IF($A324&lt;=$DB$45,1,0)</f>
        <v>0</v>
      </c>
      <c r="EB324">
        <f>IF($EB$31&lt;=$EB$32,IF($A324&lt;=$EB$7,1,2),IF($A324&lt;=RUNG_BEDS_2,2,1))</f>
        <v>1</v>
      </c>
      <c r="EC324" s="5">
        <f>MIN(1,MAX(0,$EB$26-($A324-1)))</f>
        <v>0</v>
      </c>
      <c r="ED324" s="5">
        <f>$EB$25*(EC324+(1-EC324)*$EB$16)</f>
        <v>0.0</v>
      </c>
      <c r="EE324" s="13">
        <f>ED324*($EB$6+ACUTE_MARGIN)</f>
        <v>0.0</v>
      </c>
      <c r="EF324" s="13">
        <f>IF(EB324=1,$EB$31,$EB$32)</f>
        <v>152394.16214437486</v>
      </c>
      <c r="EG324" s="13">
        <f>EE324-EF324</f>
        <v>-152394.16214437486</v>
      </c>
      <c r="EH324" s="13">
        <f>EH323+EG324</f>
        <v>1501977.5514779938</v>
      </c>
      <c r="EI324">
        <f>IF(EH324=MAX($EH$83:$EH$483),$A324,0)</f>
        <v>0</v>
      </c>
      <c r="EJ324">
        <f>IF(EE324&lt;EF324,$A324,B_MAX+1)</f>
        <v>241</v>
      </c>
      <c r="EK324" s="13">
        <f>IF(EB324=1,$EB$35,$EB$36)</f>
        <v>0</v>
      </c>
      <c r="EL324" s="13">
        <f>OCC_DAYS*$EB$41*R_NF_2023-ED324*MCD_SHARE_FREED*R_WAIT_2023</f>
        <v>50660.16094069735</v>
      </c>
      <c r="EM324">
        <f>IF($A324&lt;=$EB$45,1,0)</f>
        <v>0</v>
      </c>
      <c r="FB324">
        <f>IF($FB$31&lt;=$FB$32,IF($A324&lt;=$FB$7,1,2),IF($A324&lt;=RUNG_BEDS_2,2,1))</f>
        <v>1</v>
      </c>
      <c r="FC324" s="5">
        <f>MIN(1,MAX(0,$FB$26-($A324-1)))</f>
        <v>0</v>
      </c>
      <c r="FD324" s="5">
        <f>$FB$25*(FC324+(1-FC324)*$FB$16)</f>
        <v>0.0</v>
      </c>
      <c r="FE324" s="13">
        <f>FD324*($FB$6+ACUTE_MARGIN)</f>
        <v>0.0</v>
      </c>
      <c r="FF324" s="13">
        <f>IF(FB324=1,$FB$31,$FB$32)</f>
        <v>156636.04979437485</v>
      </c>
      <c r="FG324" s="13">
        <f>FE324-FF324</f>
        <v>-156636.04979437485</v>
      </c>
      <c r="FH324" s="13">
        <f>FH323+FG324</f>
        <v>479682.62782788044</v>
      </c>
      <c r="FI324">
        <f>IF(FH324=MAX($FH$83:$FH$483),$A324,0)</f>
        <v>0</v>
      </c>
      <c r="FJ324">
        <f>IF(FE324&lt;FF324,$A324,B_MAX+1)</f>
        <v>241</v>
      </c>
      <c r="FK324" s="13">
        <f>IF(FB324=1,$FB$35,$FB$36)</f>
        <v>0</v>
      </c>
      <c r="FL324" s="13">
        <f>OCC_DAYS*$FB$41*R_NF_2023-FD324*MCD_SHARE_FREED*R_WAIT_2023</f>
        <v>151980.48282209205</v>
      </c>
      <c r="FM324">
        <f>IF($A324&lt;=$FB$45,1,0)</f>
        <v>0</v>
      </c>
      <c r="GB324">
        <f>IF($GB$31&lt;=$GB$32,IF($A324&lt;=$GB$7,1,2),IF($A324&lt;=RUNG_BEDS_2,2,1))</f>
        <v>1</v>
      </c>
      <c r="GC324" s="5">
        <f>MIN(1,MAX(0,$GB$26-($A324-1)))</f>
        <v>0</v>
      </c>
      <c r="GD324" s="5">
        <f>$GB$25*(GC324+(1-GC324)*$GB$16)</f>
        <v>0.0</v>
      </c>
      <c r="GE324" s="13">
        <f>GD324*($GB$6+ACUTE_MARGIN)</f>
        <v>0.0</v>
      </c>
      <c r="GF324" s="13">
        <f>IF(GB324=1,$GB$31,$GB$32)</f>
        <v>152394.16214437486</v>
      </c>
      <c r="GG324" s="13">
        <f>GE324-GF324</f>
        <v>-152394.16214437486</v>
      </c>
      <c r="GH324" s="13">
        <f>GH323+GG324</f>
        <v>1501977.5514779938</v>
      </c>
      <c r="GI324">
        <f>IF(GH324=MAX($GH$83:$GH$483),$A324,0)</f>
        <v>0</v>
      </c>
      <c r="GJ324">
        <f>IF(GE324&lt;GF324,$A324,B_MAX+1)</f>
        <v>241</v>
      </c>
      <c r="GK324" s="13">
        <f>IF(GB324=1,$GB$35,$GB$36)</f>
        <v>0</v>
      </c>
      <c r="GL324" s="13">
        <f>OCC_DAYS*$GB$41*R_NF_2023-GD324*MCD_SHARE_FREED*R_WAIT_2023</f>
        <v>151980.48282209205</v>
      </c>
      <c r="GM324">
        <f>IF($A324&lt;=$GB$45,1,0)</f>
        <v>0</v>
      </c>
      <c r="HB324">
        <f>IF($HB$31&lt;=$HB$32,IF($A324&lt;=$HB$7,1,2),IF($A324&lt;=RUNG_BEDS_2,2,1))</f>
        <v>1</v>
      </c>
      <c r="HC324" s="5">
        <f>MIN(1,MAX(0,$HB$26-($A324-1)))</f>
        <v>0</v>
      </c>
      <c r="HD324" s="5">
        <f>$HB$25*(HC324+(1-HC324)*$HB$16)</f>
        <v>0.0</v>
      </c>
      <c r="HE324" s="13">
        <f>HD324*($HB$6+ACUTE_MARGIN)</f>
        <v>0.0</v>
      </c>
      <c r="HF324" s="13">
        <f>IF(HB324=1,$HB$31,$HB$32)</f>
        <v>152456.2970814058</v>
      </c>
      <c r="HG324" s="13">
        <f>HE324-HF324</f>
        <v>-152456.2970814058</v>
      </c>
      <c r="HH324" s="13">
        <f>HH323+HG324</f>
        <v>1487003.0316534983</v>
      </c>
      <c r="HI324">
        <f>IF(HH324=MAX($HH$83:$HH$483),$A324,0)</f>
        <v>0</v>
      </c>
      <c r="HJ324">
        <f>IF(HE324&lt;HF324,$A324,B_MAX+1)</f>
        <v>241</v>
      </c>
      <c r="HK324" s="13">
        <f>IF(HB324=1,$HB$35,$HB$36)</f>
        <v>0</v>
      </c>
      <c r="HL324" s="13">
        <f>OCC_DAYS*$HB$41*R_NF_2023-HD324*MCD_SHARE_FREED*R_WAIT_2023</f>
        <v>151980.48282209205</v>
      </c>
      <c r="HM324">
        <f>IF($A324&lt;=$HB$45,1,0)</f>
        <v>0</v>
      </c>
      <c r="IB324">
        <f>IF($IB$31&lt;=$IB$32,IF($A324&lt;=$IB$7,1,2),IF($A324&lt;=RUNG_BEDS_2,2,1))</f>
        <v>1</v>
      </c>
      <c r="IC324" s="5">
        <f>MIN(1,MAX(0,$IB$26-($A324-1)))</f>
        <v>0</v>
      </c>
      <c r="ID324" s="5">
        <f>$IB$25*(IC324+(1-IC324)*$IB$16)</f>
        <v>0.0</v>
      </c>
      <c r="IE324" s="13">
        <f>ID324*($IB$6+ACUTE_MARGIN)</f>
        <v>0.0</v>
      </c>
      <c r="IF324" s="13">
        <f>IF(IB324=1,$IB$31,$IB$32)</f>
        <v>152734.9994534971</v>
      </c>
      <c r="IG324" s="13">
        <f>IE324-IF324</f>
        <v>-152734.9994534971</v>
      </c>
      <c r="IH324" s="13">
        <f>IH323+IG324</f>
        <v>1419835.7599794418</v>
      </c>
      <c r="II324">
        <f>IF(IH324=MAX($IH$83:$IH$483),$A324,0)</f>
        <v>0</v>
      </c>
      <c r="IJ324">
        <f>IF(IE324&lt;IF324,$A324,B_MAX+1)</f>
        <v>241</v>
      </c>
      <c r="IK324" s="13">
        <f>IF(IB324=1,$IB$35,$IB$36)</f>
        <v>0</v>
      </c>
      <c r="IL324" s="13">
        <f>OCC_DAYS*$IB$41*R_NF_2023-ID324*MCD_SHARE_FREED*R_WAIT_2023</f>
        <v>151980.48282209205</v>
      </c>
      <c r="IM324">
        <f>IF($A324&lt;=$IB$45,1,0)</f>
        <v>0</v>
      </c>
      <c r="JB324">
        <f>IF($JB$31&lt;=$JB$32,IF($A324&lt;=$JB$7,1,2),IF($A324&lt;=RUNG_BEDS_2,2,1))</f>
        <v>1</v>
      </c>
      <c r="JC324" s="5">
        <f>MIN(1,MAX(0,$JB$26-($A324-1)))</f>
        <v>0</v>
      </c>
      <c r="JD324" s="5">
        <f>$JB$25*(JC324+(1-JC324)*$JB$16)</f>
        <v>0.0</v>
      </c>
      <c r="JE324" s="13">
        <f>JD324*($JB$6+ACUTE_MARGIN)</f>
        <v>0.0</v>
      </c>
      <c r="JF324" s="13">
        <f>IF(JB324=1,$JB$31,$JB$32)</f>
        <v>152394.16214437486</v>
      </c>
      <c r="JG324" s="13">
        <f>JE324-JF324</f>
        <v>-152394.16214437486</v>
      </c>
      <c r="JH324" s="13">
        <f>JH323+JG324</f>
        <v>1501977.5514779938</v>
      </c>
      <c r="JI324">
        <f>IF(JH324=MAX($JH$83:$JH$483),$A324,0)</f>
        <v>0</v>
      </c>
      <c r="JJ324">
        <f>IF(JE324&lt;JF324,$A324,B_MAX+1)</f>
        <v>241</v>
      </c>
      <c r="JK324" s="13">
        <f>IF(JB324=1,$JB$35,$JB$36)</f>
        <v>0</v>
      </c>
      <c r="JL324" s="13">
        <f>OCC_DAYS*$JB$41*R_NF_2023-JD324*MCD_SHARE_FREED*R_WAIT_2023</f>
        <v>151980.48282209205</v>
      </c>
      <c r="JM324">
        <f>IF($A324&lt;=$JB$45,1,0)</f>
        <v>0</v>
      </c>
      <c r="KB324">
        <f>IF($KB$31&lt;=$KB$32,IF($A324&lt;=$KB$7,1,2),IF($A324&lt;=RUNG_BEDS_2,2,1))</f>
        <v>1</v>
      </c>
      <c r="KC324" s="5">
        <f>MIN(1,MAX(0,$KB$26-($A324-1)))</f>
        <v>1</v>
      </c>
      <c r="KD324" s="5">
        <f>$KB$25*(KC324+(1-KC324)*$KB$16)</f>
        <v>126.02661357340719</v>
      </c>
      <c r="KE324" s="13">
        <f>KD324*($KB$6+ACUTE_MARGIN)</f>
        <v>127286.87970914126</v>
      </c>
      <c r="KF324" s="13">
        <f>IF(KB324=1,$KB$31,$KB$32)</f>
        <v>152394.16214437486</v>
      </c>
      <c r="KG324" s="13">
        <f>KE324-KF324</f>
        <v>-25107.282435233603</v>
      </c>
      <c r="KH324" s="13">
        <f>KH323+KG324</f>
        <v>-6050855.066891318</v>
      </c>
      <c r="KI324">
        <f>IF(KH324=MAX($KH$83:$KH$483),$A324,0)</f>
        <v>0</v>
      </c>
      <c r="KJ324">
        <f>IF(KE324&lt;KF324,$A324,B_MAX+1)</f>
        <v>241</v>
      </c>
      <c r="KK324" s="13">
        <f>IF(KB324=1,$KB$35,$KB$36)</f>
        <v>0</v>
      </c>
      <c r="KL324" s="13">
        <f>OCC_DAYS*$KB$41*R_NF_2023-KD324*MCD_SHARE_FREED*R_WAIT_2023</f>
        <v>94673.82103225985</v>
      </c>
      <c r="KM324">
        <f>IF($A324&lt;=$KB$45,1,0)</f>
        <v>0</v>
      </c>
      <c r="LB324">
        <f>IF($LB$31&lt;=$LB$32,IF($A324&lt;=$LB$7,1,2),IF($A324&lt;=RUNG_BEDS_2,2,1))</f>
        <v>1</v>
      </c>
      <c r="LC324" s="5">
        <f>MIN(1,MAX(0,$LB$26-($A324-1)))</f>
        <v>1</v>
      </c>
      <c r="LD324" s="5">
        <f>$LB$25*(LC324+(1-LC324)*$LB$16)</f>
        <v>84.01774238227146</v>
      </c>
      <c r="LE324" s="13">
        <f>LD324*($LB$6+ACUTE_MARGIN)</f>
        <v>84857.91980609419</v>
      </c>
      <c r="LF324" s="13">
        <f>IF(LB324=1,$LB$31,$LB$32)</f>
        <v>152394.16214437486</v>
      </c>
      <c r="LG324" s="13">
        <f>LE324-LF324</f>
        <v>-67536.24233828067</v>
      </c>
      <c r="LH324" s="13">
        <f>LH323+LG324</f>
        <v>-16276234.403525721</v>
      </c>
      <c r="LI324">
        <f>IF(LH324=MAX($LH$83:$LH$483),$A324,0)</f>
        <v>0</v>
      </c>
      <c r="LJ324">
        <f>IF(LE324&lt;LF324,$A324,B_MAX+1)</f>
        <v>241</v>
      </c>
      <c r="LK324" s="13">
        <f>IF(LB324=1,$LB$35,$LB$36)</f>
        <v>0</v>
      </c>
      <c r="LL324" s="13">
        <f>OCC_DAYS*$LB$41*R_NF_2023-LD324*MCD_SHARE_FREED*R_WAIT_2023</f>
        <v>113776.04162887059</v>
      </c>
      <c r="LM324">
        <f>IF($A324&lt;=$LB$45,1,0)</f>
        <v>0</v>
      </c>
      <c r="MB324">
        <f>IF($MB$31&lt;=$MB$32,IF($A324&lt;=$MB$7,1,2),IF($A324&lt;=RUNG_BEDS_2,2,1))</f>
        <v>1</v>
      </c>
      <c r="MC324" s="5">
        <f>MIN(1,MAX(0,$MB$26-($A324-1)))</f>
        <v>0</v>
      </c>
      <c r="MD324" s="5">
        <f>$MB$25*(MC324+(1-MC324)*$MB$16)</f>
        <v>0.0</v>
      </c>
      <c r="ME324" s="13">
        <f>MD324*($MB$6+ACUTE_MARGIN)</f>
        <v>0.0</v>
      </c>
      <c r="MF324" s="13">
        <f>IF(MB324=1,$MB$31,$MB$32)</f>
        <v>152394.16214437486</v>
      </c>
      <c r="MG324" s="13">
        <f>ME324-MF324</f>
        <v>-152394.16214437486</v>
      </c>
      <c r="MH324" s="13">
        <f>MH323+MG324</f>
        <v>-4385298.510320337</v>
      </c>
      <c r="MI324">
        <f>IF(MH324=MAX($MH$83:$MH$483),$A324,0)</f>
        <v>0</v>
      </c>
      <c r="MJ324">
        <f>IF(ME324&lt;MF324,$A324,B_MAX+1)</f>
        <v>241</v>
      </c>
      <c r="MK324" s="13">
        <f>IF(MB324=1,$MB$35,$MB$36)</f>
        <v>0</v>
      </c>
      <c r="ML324" s="13">
        <f>OCC_DAYS*$MB$41*R_NF_2023-MD324*MCD_SHARE_FREED*R_WAIT_2023</f>
        <v>151980.48282209205</v>
      </c>
      <c r="MM324">
        <f>IF($A324&lt;=$MB$45,1,0)</f>
        <v>0</v>
      </c>
      <c r="NB324">
        <f>IF($NB$31&lt;=$NB$32,IF($A324&lt;=$NB$7,1,2),IF($A324&lt;=RUNG_BEDS_2,2,1))</f>
        <v>1</v>
      </c>
      <c r="NC324" s="5">
        <f>MIN(1,MAX(0,$NB$26-($A324-1)))</f>
        <v>0</v>
      </c>
      <c r="ND324" s="5">
        <f>$NB$25*(NC324+(1-NC324)*$NB$16)</f>
        <v>63.013306786703595</v>
      </c>
      <c r="NE324" s="13">
        <f>ND324*($NB$6+ACUTE_MARGIN)</f>
        <v>63643.43985457063</v>
      </c>
      <c r="NF324" s="13">
        <f>IF(NB324=1,$NB$31,$NB$32)</f>
        <v>152394.16214437486</v>
      </c>
      <c r="NG324" s="13">
        <f>NE324-NF324</f>
        <v>-88750.72228980422</v>
      </c>
      <c r="NH324" s="13">
        <f>NH323+NG324</f>
        <v>7282803.899361413</v>
      </c>
      <c r="NI324">
        <f>IF(NH324=MAX($NH$83:$NH$483),$A324,0)</f>
        <v>0</v>
      </c>
      <c r="NJ324">
        <f>IF(NE324&lt;NF324,$A324,B_MAX+1)</f>
        <v>241</v>
      </c>
      <c r="NK324" s="13">
        <f>IF(NB324=1,$NB$35,$NB$36)</f>
        <v>0</v>
      </c>
      <c r="NL324" s="13">
        <f>OCC_DAYS*$NB$41*R_NF_2023-ND324*MCD_SHARE_FREED*R_WAIT_2023</f>
        <v>123327.15192717595</v>
      </c>
      <c r="NM324">
        <f>IF($A324&lt;=$NB$45,1,0)</f>
        <v>0</v>
      </c>
      <c r="OB324">
        <f>IF($OB$31&lt;=$OB$32,IF($A324&lt;=$OB$7,1,2),IF($A324&lt;=RUNG_BEDS_2,2,1))</f>
        <v>1</v>
      </c>
      <c r="OC324" s="5">
        <f>MIN(1,MAX(0,$OB$26-($A324-1)))</f>
        <v>0</v>
      </c>
      <c r="OD324" s="5">
        <f>$OB$25*(OC324+(1-OC324)*$OB$16)</f>
        <v>126.02661357340719</v>
      </c>
      <c r="OE324" s="13">
        <f>OD324*($OB$6+ACUTE_MARGIN)</f>
        <v>127286.87970914126</v>
      </c>
      <c r="OF324" s="13">
        <f>IF(OB324=1,$OB$31,$OB$32)</f>
        <v>152394.16214437486</v>
      </c>
      <c r="OG324" s="13">
        <f>OE324-OF324</f>
        <v>-25107.282435233603</v>
      </c>
      <c r="OH324" s="13">
        <f>OH323+OG324</f>
        <v>13063630.24724496</v>
      </c>
      <c r="OI324">
        <f>IF(OH324=MAX($OH$83:$OH$483),$A324,0)</f>
        <v>0</v>
      </c>
      <c r="OJ324">
        <f>IF(OE324&lt;OF324,$A324,B_MAX+1)</f>
        <v>241</v>
      </c>
      <c r="OK324" s="13">
        <f>IF(OB324=1,$OB$35,$OB$36)</f>
        <v>0</v>
      </c>
      <c r="OL324" s="13">
        <f>OCC_DAYS*$OB$41*R_NF_2023-OD324*MCD_SHARE_FREED*R_WAIT_2023</f>
        <v>94673.82103225985</v>
      </c>
      <c r="OM324">
        <f>IF($A324&lt;=$OB$45,1,0)</f>
        <v>0</v>
      </c>
    </row>
    <row r="325">
      <c r="A325" t="n">
        <v>242</v>
      </c>
      <c r="B325">
        <f>IF($B$31&lt;=$B$32,IF($A325&lt;=$B$7,1,2),IF($A325&lt;=RUNG_BEDS_2,2,1))</f>
        <v>1</v>
      </c>
      <c r="C325" s="5">
        <f>MIN(1,MAX(0,$B$26-($A325-1)))</f>
        <v>0</v>
      </c>
      <c r="D325" s="5">
        <f>$B$25*(C325+(1-C325)*$B$16)</f>
        <v>0.0</v>
      </c>
      <c r="E325" s="13">
        <f>D325*($B$6+ACUTE_MARGIN)</f>
        <v>0.0</v>
      </c>
      <c r="F325" s="13">
        <f>IF(B325=1,$B$31,$B$32)</f>
        <v>152394.16214437486</v>
      </c>
      <c r="G325" s="13">
        <f>E325-F325</f>
        <v>-152394.16214437486</v>
      </c>
      <c r="H325" s="13">
        <f>H324+G325</f>
        <v>1349583.389333619</v>
      </c>
      <c r="I325">
        <f>IF(H325=MAX($H$83:$H$483),$A325,0)</f>
        <v>0</v>
      </c>
      <c r="J325">
        <f>IF(E325&lt;F325,$A325,B_MAX+1)</f>
        <v>242</v>
      </c>
      <c r="K325" s="13">
        <f>IF(B325=1,$B$35,$B$36)</f>
        <v>0</v>
      </c>
      <c r="L325" s="13">
        <f>OCC_DAYS*$B$41*R_NF_2023-D325*MCD_SHARE_FREED*R_WAIT_2023</f>
        <v>151980.48282209205</v>
      </c>
      <c r="M325">
        <f>IF($A325&lt;=$B$45,1,0)</f>
        <v>0</v>
      </c>
      <c r="AB325">
        <f>IF($AB$31&lt;=$AB$32,IF($A325&lt;=$AB$7,1,2),IF($A325&lt;=RUNG_BEDS_2,2,1))</f>
        <v>1</v>
      </c>
      <c r="AC325" s="5">
        <f>MIN(1,MAX(0,$AB$26-($A325-1)))</f>
        <v>0</v>
      </c>
      <c r="AD325" s="5">
        <f>$AB$25*(AC325+(1-AC325)*$AB$16)</f>
        <v>0.0</v>
      </c>
      <c r="AE325" s="13">
        <f>AD325*($AB$6+ACUTE_MARGIN)</f>
        <v>0.0</v>
      </c>
      <c r="AF325" s="13">
        <f>IF(AB325=1,$AB$31,$AB$32)</f>
        <v>152394.16214437486</v>
      </c>
      <c r="AG325" s="13">
        <f>AE325-AF325</f>
        <v>-152394.16214437486</v>
      </c>
      <c r="AH325" s="13">
        <f>AH324+AG325</f>
        <v>-16061630.95621617</v>
      </c>
      <c r="AI325">
        <f>IF(AH325=MAX($AH$83:$AH$483),$A325,0)</f>
        <v>0</v>
      </c>
      <c r="AJ325">
        <f>IF(AE325&lt;AF325,$A325,B_MAX+1)</f>
        <v>242</v>
      </c>
      <c r="AK325" s="13">
        <f>IF(AB325=1,$AB$35,$AB$36)</f>
        <v>0</v>
      </c>
      <c r="AL325" s="13">
        <f>OCC_DAYS*$AB$41*R_NF_2023-AD325*MCD_SHARE_FREED*R_WAIT_2023</f>
        <v>151980.48282209205</v>
      </c>
      <c r="AM325">
        <f>IF($A325&lt;=$AB$45,1,0)</f>
        <v>0</v>
      </c>
      <c r="BB325">
        <f>IF($BB$31&lt;=$BB$32,IF($A325&lt;=$BB$7,1,2),IF($A325&lt;=RUNG_BEDS_2,2,1))</f>
        <v>1</v>
      </c>
      <c r="BC325" s="5">
        <f>MIN(1,MAX(0,$BB$26-($A325-1)))</f>
        <v>0</v>
      </c>
      <c r="BD325" s="5">
        <f>$BB$25*(BC325+(1-BC325)*$BB$16)</f>
        <v>0.0</v>
      </c>
      <c r="BE325" s="13">
        <f>BD325*($BB$6+ACUTE_MARGIN)</f>
        <v>0.0</v>
      </c>
      <c r="BF325" s="13">
        <f>IF(BB325=1,$BB$31,$BB$32)</f>
        <v>152394.16214437486</v>
      </c>
      <c r="BG325" s="13">
        <f>BE325-BF325</f>
        <v>-152394.16214437486</v>
      </c>
      <c r="BH325" s="13">
        <f>BH324+BG325</f>
        <v>18760797.734883323</v>
      </c>
      <c r="BI325">
        <f>IF(BH325=MAX($BH$83:$BH$483),$A325,0)</f>
        <v>0</v>
      </c>
      <c r="BJ325">
        <f>IF(BE325&lt;BF325,$A325,B_MAX+1)</f>
        <v>242</v>
      </c>
      <c r="BK325" s="13">
        <f>IF(BB325=1,$BB$35,$BB$36)</f>
        <v>0</v>
      </c>
      <c r="BL325" s="13">
        <f>OCC_DAYS*$BB$41*R_NF_2023-BD325*MCD_SHARE_FREED*R_WAIT_2023</f>
        <v>151980.48282209205</v>
      </c>
      <c r="BM325">
        <f>IF($A325&lt;=$BB$45,1,0)</f>
        <v>0</v>
      </c>
      <c r="CB325">
        <f>IF($CB$31&lt;=$CB$32,IF($A325&lt;=$CB$7,1,2),IF($A325&lt;=RUNG_BEDS_2,2,1))</f>
        <v>2</v>
      </c>
      <c r="CC325" s="5">
        <f>MIN(1,MAX(0,$CB$26-($A325-1)))</f>
        <v>0</v>
      </c>
      <c r="CD325" s="5">
        <f>$CB$25*(CC325+(1-CC325)*$CB$16)</f>
        <v>0.0</v>
      </c>
      <c r="CE325" s="13">
        <f>CD325*($CB$6+ACUTE_MARGIN)</f>
        <v>0.0</v>
      </c>
      <c r="CF325" s="13">
        <f>IF(CB325=1,$CB$31,$CB$32)</f>
        <v>160718.36940738867</v>
      </c>
      <c r="CG325" s="13">
        <f>CE325-CF325</f>
        <v>-160718.36940738867</v>
      </c>
      <c r="CH325" s="13">
        <f>CH324+CG325</f>
        <v>-664874.7683158373</v>
      </c>
      <c r="CI325">
        <f>IF(CH325=MAX($CH$83:$CH$483),$A325,0)</f>
        <v>0</v>
      </c>
      <c r="CJ325">
        <f>IF(CE325&lt;CF325,$A325,B_MAX+1)</f>
        <v>242</v>
      </c>
      <c r="CK325" s="13">
        <f>IF(CB325=1,$CB$35,$CB$36)</f>
        <v>1560.1194073886782</v>
      </c>
      <c r="CL325" s="13">
        <f>OCC_DAYS*$CB$41*R_NF_2023-CD325*MCD_SHARE_FREED*R_WAIT_2023</f>
        <v>151980.48282209205</v>
      </c>
      <c r="CM325">
        <f>IF($A325&lt;=$CB$45,1,0)</f>
        <v>0</v>
      </c>
      <c r="DB325">
        <f>IF($DB$31&lt;=$DB$32,IF($A325&lt;=$DB$7,1,2),IF($A325&lt;=RUNG_BEDS_2,2,1))</f>
        <v>1</v>
      </c>
      <c r="DC325" s="5">
        <f>MIN(1,MAX(0,$DB$26-($A325-1)))</f>
        <v>0</v>
      </c>
      <c r="DD325" s="5">
        <f>$DB$25*(DC325+(1-DC325)*$DB$16)</f>
        <v>0.0</v>
      </c>
      <c r="DE325" s="13">
        <f>DD325*($DB$6+ACUTE_MARGIN)</f>
        <v>0.0</v>
      </c>
      <c r="DF325" s="13">
        <f>IF(DB325=1,$DB$31,$DB$32)</f>
        <v>152394.16214437486</v>
      </c>
      <c r="DG325" s="13">
        <f>DE325-DF325</f>
        <v>-152394.16214437486</v>
      </c>
      <c r="DH325" s="13">
        <f>DH324+DG325</f>
        <v>1349583.389333619</v>
      </c>
      <c r="DI325">
        <f>IF(DH325=MAX($DH$83:$DH$483),$A325,0)</f>
        <v>0</v>
      </c>
      <c r="DJ325">
        <f>IF(DE325&lt;DF325,$A325,B_MAX+1)</f>
        <v>242</v>
      </c>
      <c r="DK325" s="13">
        <f>IF(DB325=1,$DB$35,$DB$36)</f>
        <v>0</v>
      </c>
      <c r="DL325" s="13">
        <f>OCC_DAYS*$DB$41*R_NF_2023-DD325*MCD_SHARE_FREED*R_WAIT_2023</f>
        <v>151980.48282209205</v>
      </c>
      <c r="DM325">
        <f>IF($A325&lt;=$DB$45,1,0)</f>
        <v>0</v>
      </c>
      <c r="EB325">
        <f>IF($EB$31&lt;=$EB$32,IF($A325&lt;=$EB$7,1,2),IF($A325&lt;=RUNG_BEDS_2,2,1))</f>
        <v>1</v>
      </c>
      <c r="EC325" s="5">
        <f>MIN(1,MAX(0,$EB$26-($A325-1)))</f>
        <v>0</v>
      </c>
      <c r="ED325" s="5">
        <f>$EB$25*(EC325+(1-EC325)*$EB$16)</f>
        <v>0.0</v>
      </c>
      <c r="EE325" s="13">
        <f>ED325*($EB$6+ACUTE_MARGIN)</f>
        <v>0.0</v>
      </c>
      <c r="EF325" s="13">
        <f>IF(EB325=1,$EB$31,$EB$32)</f>
        <v>152394.16214437486</v>
      </c>
      <c r="EG325" s="13">
        <f>EE325-EF325</f>
        <v>-152394.16214437486</v>
      </c>
      <c r="EH325" s="13">
        <f>EH324+EG325</f>
        <v>1349583.389333619</v>
      </c>
      <c r="EI325">
        <f>IF(EH325=MAX($EH$83:$EH$483),$A325,0)</f>
        <v>0</v>
      </c>
      <c r="EJ325">
        <f>IF(EE325&lt;EF325,$A325,B_MAX+1)</f>
        <v>242</v>
      </c>
      <c r="EK325" s="13">
        <f>IF(EB325=1,$EB$35,$EB$36)</f>
        <v>0</v>
      </c>
      <c r="EL325" s="13">
        <f>OCC_DAYS*$EB$41*R_NF_2023-ED325*MCD_SHARE_FREED*R_WAIT_2023</f>
        <v>50660.16094069735</v>
      </c>
      <c r="EM325">
        <f>IF($A325&lt;=$EB$45,1,0)</f>
        <v>0</v>
      </c>
      <c r="FB325">
        <f>IF($FB$31&lt;=$FB$32,IF($A325&lt;=$FB$7,1,2),IF($A325&lt;=RUNG_BEDS_2,2,1))</f>
        <v>1</v>
      </c>
      <c r="FC325" s="5">
        <f>MIN(1,MAX(0,$FB$26-($A325-1)))</f>
        <v>0</v>
      </c>
      <c r="FD325" s="5">
        <f>$FB$25*(FC325+(1-FC325)*$FB$16)</f>
        <v>0.0</v>
      </c>
      <c r="FE325" s="13">
        <f>FD325*($FB$6+ACUTE_MARGIN)</f>
        <v>0.0</v>
      </c>
      <c r="FF325" s="13">
        <f>IF(FB325=1,$FB$31,$FB$32)</f>
        <v>156636.04979437485</v>
      </c>
      <c r="FG325" s="13">
        <f>FE325-FF325</f>
        <v>-156636.04979437485</v>
      </c>
      <c r="FH325" s="13">
        <f>FH324+FG325</f>
        <v>323046.5780335056</v>
      </c>
      <c r="FI325">
        <f>IF(FH325=MAX($FH$83:$FH$483),$A325,0)</f>
        <v>0</v>
      </c>
      <c r="FJ325">
        <f>IF(FE325&lt;FF325,$A325,B_MAX+1)</f>
        <v>242</v>
      </c>
      <c r="FK325" s="13">
        <f>IF(FB325=1,$FB$35,$FB$36)</f>
        <v>0</v>
      </c>
      <c r="FL325" s="13">
        <f>OCC_DAYS*$FB$41*R_NF_2023-FD325*MCD_SHARE_FREED*R_WAIT_2023</f>
        <v>151980.48282209205</v>
      </c>
      <c r="FM325">
        <f>IF($A325&lt;=$FB$45,1,0)</f>
        <v>0</v>
      </c>
      <c r="GB325">
        <f>IF($GB$31&lt;=$GB$32,IF($A325&lt;=$GB$7,1,2),IF($A325&lt;=RUNG_BEDS_2,2,1))</f>
        <v>1</v>
      </c>
      <c r="GC325" s="5">
        <f>MIN(1,MAX(0,$GB$26-($A325-1)))</f>
        <v>0</v>
      </c>
      <c r="GD325" s="5">
        <f>$GB$25*(GC325+(1-GC325)*$GB$16)</f>
        <v>0.0</v>
      </c>
      <c r="GE325" s="13">
        <f>GD325*($GB$6+ACUTE_MARGIN)</f>
        <v>0.0</v>
      </c>
      <c r="GF325" s="13">
        <f>IF(GB325=1,$GB$31,$GB$32)</f>
        <v>152394.16214437486</v>
      </c>
      <c r="GG325" s="13">
        <f>GE325-GF325</f>
        <v>-152394.16214437486</v>
      </c>
      <c r="GH325" s="13">
        <f>GH324+GG325</f>
        <v>1349583.389333619</v>
      </c>
      <c r="GI325">
        <f>IF(GH325=MAX($GH$83:$GH$483),$A325,0)</f>
        <v>0</v>
      </c>
      <c r="GJ325">
        <f>IF(GE325&lt;GF325,$A325,B_MAX+1)</f>
        <v>242</v>
      </c>
      <c r="GK325" s="13">
        <f>IF(GB325=1,$GB$35,$GB$36)</f>
        <v>0</v>
      </c>
      <c r="GL325" s="13">
        <f>OCC_DAYS*$GB$41*R_NF_2023-GD325*MCD_SHARE_FREED*R_WAIT_2023</f>
        <v>151980.48282209205</v>
      </c>
      <c r="GM325">
        <f>IF($A325&lt;=$GB$45,1,0)</f>
        <v>0</v>
      </c>
      <c r="HB325">
        <f>IF($HB$31&lt;=$HB$32,IF($A325&lt;=$HB$7,1,2),IF($A325&lt;=RUNG_BEDS_2,2,1))</f>
        <v>1</v>
      </c>
      <c r="HC325" s="5">
        <f>MIN(1,MAX(0,$HB$26-($A325-1)))</f>
        <v>0</v>
      </c>
      <c r="HD325" s="5">
        <f>$HB$25*(HC325+(1-HC325)*$HB$16)</f>
        <v>0.0</v>
      </c>
      <c r="HE325" s="13">
        <f>HD325*($HB$6+ACUTE_MARGIN)</f>
        <v>0.0</v>
      </c>
      <c r="HF325" s="13">
        <f>IF(HB325=1,$HB$31,$HB$32)</f>
        <v>152456.2970814058</v>
      </c>
      <c r="HG325" s="13">
        <f>HE325-HF325</f>
        <v>-152456.2970814058</v>
      </c>
      <c r="HH325" s="13">
        <f>HH324+HG325</f>
        <v>1334546.7345720925</v>
      </c>
      <c r="HI325">
        <f>IF(HH325=MAX($HH$83:$HH$483),$A325,0)</f>
        <v>0</v>
      </c>
      <c r="HJ325">
        <f>IF(HE325&lt;HF325,$A325,B_MAX+1)</f>
        <v>242</v>
      </c>
      <c r="HK325" s="13">
        <f>IF(HB325=1,$HB$35,$HB$36)</f>
        <v>0</v>
      </c>
      <c r="HL325" s="13">
        <f>OCC_DAYS*$HB$41*R_NF_2023-HD325*MCD_SHARE_FREED*R_WAIT_2023</f>
        <v>151980.48282209205</v>
      </c>
      <c r="HM325">
        <f>IF($A325&lt;=$HB$45,1,0)</f>
        <v>0</v>
      </c>
      <c r="IB325">
        <f>IF($IB$31&lt;=$IB$32,IF($A325&lt;=$IB$7,1,2),IF($A325&lt;=RUNG_BEDS_2,2,1))</f>
        <v>1</v>
      </c>
      <c r="IC325" s="5">
        <f>MIN(1,MAX(0,$IB$26-($A325-1)))</f>
        <v>0</v>
      </c>
      <c r="ID325" s="5">
        <f>$IB$25*(IC325+(1-IC325)*$IB$16)</f>
        <v>0.0</v>
      </c>
      <c r="IE325" s="13">
        <f>ID325*($IB$6+ACUTE_MARGIN)</f>
        <v>0.0</v>
      </c>
      <c r="IF325" s="13">
        <f>IF(IB325=1,$IB$31,$IB$32)</f>
        <v>152734.9994534971</v>
      </c>
      <c r="IG325" s="13">
        <f>IE325-IF325</f>
        <v>-152734.9994534971</v>
      </c>
      <c r="IH325" s="13">
        <f>IH324+IG325</f>
        <v>1267100.7605259446</v>
      </c>
      <c r="II325">
        <f>IF(IH325=MAX($IH$83:$IH$483),$A325,0)</f>
        <v>0</v>
      </c>
      <c r="IJ325">
        <f>IF(IE325&lt;IF325,$A325,B_MAX+1)</f>
        <v>242</v>
      </c>
      <c r="IK325" s="13">
        <f>IF(IB325=1,$IB$35,$IB$36)</f>
        <v>0</v>
      </c>
      <c r="IL325" s="13">
        <f>OCC_DAYS*$IB$41*R_NF_2023-ID325*MCD_SHARE_FREED*R_WAIT_2023</f>
        <v>151980.48282209205</v>
      </c>
      <c r="IM325">
        <f>IF($A325&lt;=$IB$45,1,0)</f>
        <v>0</v>
      </c>
      <c r="JB325">
        <f>IF($JB$31&lt;=$JB$32,IF($A325&lt;=$JB$7,1,2),IF($A325&lt;=RUNG_BEDS_2,2,1))</f>
        <v>1</v>
      </c>
      <c r="JC325" s="5">
        <f>MIN(1,MAX(0,$JB$26-($A325-1)))</f>
        <v>0</v>
      </c>
      <c r="JD325" s="5">
        <f>$JB$25*(JC325+(1-JC325)*$JB$16)</f>
        <v>0.0</v>
      </c>
      <c r="JE325" s="13">
        <f>JD325*($JB$6+ACUTE_MARGIN)</f>
        <v>0.0</v>
      </c>
      <c r="JF325" s="13">
        <f>IF(JB325=1,$JB$31,$JB$32)</f>
        <v>152394.16214437486</v>
      </c>
      <c r="JG325" s="13">
        <f>JE325-JF325</f>
        <v>-152394.16214437486</v>
      </c>
      <c r="JH325" s="13">
        <f>JH324+JG325</f>
        <v>1349583.389333619</v>
      </c>
      <c r="JI325">
        <f>IF(JH325=MAX($JH$83:$JH$483),$A325,0)</f>
        <v>0</v>
      </c>
      <c r="JJ325">
        <f>IF(JE325&lt;JF325,$A325,B_MAX+1)</f>
        <v>242</v>
      </c>
      <c r="JK325" s="13">
        <f>IF(JB325=1,$JB$35,$JB$36)</f>
        <v>0</v>
      </c>
      <c r="JL325" s="13">
        <f>OCC_DAYS*$JB$41*R_NF_2023-JD325*MCD_SHARE_FREED*R_WAIT_2023</f>
        <v>151980.48282209205</v>
      </c>
      <c r="JM325">
        <f>IF($A325&lt;=$JB$45,1,0)</f>
        <v>0</v>
      </c>
      <c r="KB325">
        <f>IF($KB$31&lt;=$KB$32,IF($A325&lt;=$KB$7,1,2),IF($A325&lt;=RUNG_BEDS_2,2,1))</f>
        <v>1</v>
      </c>
      <c r="KC325" s="5">
        <f>MIN(1,MAX(0,$KB$26-($A325-1)))</f>
        <v>1</v>
      </c>
      <c r="KD325" s="5">
        <f>$KB$25*(KC325+(1-KC325)*$KB$16)</f>
        <v>126.02661357340719</v>
      </c>
      <c r="KE325" s="13">
        <f>KD325*($KB$6+ACUTE_MARGIN)</f>
        <v>127286.87970914126</v>
      </c>
      <c r="KF325" s="13">
        <f>IF(KB325=1,$KB$31,$KB$32)</f>
        <v>152394.16214437486</v>
      </c>
      <c r="KG325" s="13">
        <f>KE325-KF325</f>
        <v>-25107.282435233603</v>
      </c>
      <c r="KH325" s="13">
        <f>KH324+KG325</f>
        <v>-6075962.349326552</v>
      </c>
      <c r="KI325">
        <f>IF(KH325=MAX($KH$83:$KH$483),$A325,0)</f>
        <v>0</v>
      </c>
      <c r="KJ325">
        <f>IF(KE325&lt;KF325,$A325,B_MAX+1)</f>
        <v>242</v>
      </c>
      <c r="KK325" s="13">
        <f>IF(KB325=1,$KB$35,$KB$36)</f>
        <v>0</v>
      </c>
      <c r="KL325" s="13">
        <f>OCC_DAYS*$KB$41*R_NF_2023-KD325*MCD_SHARE_FREED*R_WAIT_2023</f>
        <v>94673.82103225985</v>
      </c>
      <c r="KM325">
        <f>IF($A325&lt;=$KB$45,1,0)</f>
        <v>0</v>
      </c>
      <c r="LB325">
        <f>IF($LB$31&lt;=$LB$32,IF($A325&lt;=$LB$7,1,2),IF($A325&lt;=RUNG_BEDS_2,2,1))</f>
        <v>1</v>
      </c>
      <c r="LC325" s="5">
        <f>MIN(1,MAX(0,$LB$26-($A325-1)))</f>
        <v>1</v>
      </c>
      <c r="LD325" s="5">
        <f>$LB$25*(LC325+(1-LC325)*$LB$16)</f>
        <v>84.01774238227146</v>
      </c>
      <c r="LE325" s="13">
        <f>LD325*($LB$6+ACUTE_MARGIN)</f>
        <v>84857.91980609419</v>
      </c>
      <c r="LF325" s="13">
        <f>IF(LB325=1,$LB$31,$LB$32)</f>
        <v>152394.16214437486</v>
      </c>
      <c r="LG325" s="13">
        <f>LE325-LF325</f>
        <v>-67536.24233828067</v>
      </c>
      <c r="LH325" s="13">
        <f>LH324+LG325</f>
        <v>-16343770.645864002</v>
      </c>
      <c r="LI325">
        <f>IF(LH325=MAX($LH$83:$LH$483),$A325,0)</f>
        <v>0</v>
      </c>
      <c r="LJ325">
        <f>IF(LE325&lt;LF325,$A325,B_MAX+1)</f>
        <v>242</v>
      </c>
      <c r="LK325" s="13">
        <f>IF(LB325=1,$LB$35,$LB$36)</f>
        <v>0</v>
      </c>
      <c r="LL325" s="13">
        <f>OCC_DAYS*$LB$41*R_NF_2023-LD325*MCD_SHARE_FREED*R_WAIT_2023</f>
        <v>113776.04162887059</v>
      </c>
      <c r="LM325">
        <f>IF($A325&lt;=$LB$45,1,0)</f>
        <v>0</v>
      </c>
      <c r="MB325">
        <f>IF($MB$31&lt;=$MB$32,IF($A325&lt;=$MB$7,1,2),IF($A325&lt;=RUNG_BEDS_2,2,1))</f>
        <v>1</v>
      </c>
      <c r="MC325" s="5">
        <f>MIN(1,MAX(0,$MB$26-($A325-1)))</f>
        <v>0</v>
      </c>
      <c r="MD325" s="5">
        <f>$MB$25*(MC325+(1-MC325)*$MB$16)</f>
        <v>0.0</v>
      </c>
      <c r="ME325" s="13">
        <f>MD325*($MB$6+ACUTE_MARGIN)</f>
        <v>0.0</v>
      </c>
      <c r="MF325" s="13">
        <f>IF(MB325=1,$MB$31,$MB$32)</f>
        <v>152394.16214437486</v>
      </c>
      <c r="MG325" s="13">
        <f>ME325-MF325</f>
        <v>-152394.16214437486</v>
      </c>
      <c r="MH325" s="13">
        <f>MH324+MG325</f>
        <v>-4537692.672464712</v>
      </c>
      <c r="MI325">
        <f>IF(MH325=MAX($MH$83:$MH$483),$A325,0)</f>
        <v>0</v>
      </c>
      <c r="MJ325">
        <f>IF(ME325&lt;MF325,$A325,B_MAX+1)</f>
        <v>242</v>
      </c>
      <c r="MK325" s="13">
        <f>IF(MB325=1,$MB$35,$MB$36)</f>
        <v>0</v>
      </c>
      <c r="ML325" s="13">
        <f>OCC_DAYS*$MB$41*R_NF_2023-MD325*MCD_SHARE_FREED*R_WAIT_2023</f>
        <v>151980.48282209205</v>
      </c>
      <c r="MM325">
        <f>IF($A325&lt;=$MB$45,1,0)</f>
        <v>0</v>
      </c>
      <c r="NB325">
        <f>IF($NB$31&lt;=$NB$32,IF($A325&lt;=$NB$7,1,2),IF($A325&lt;=RUNG_BEDS_2,2,1))</f>
        <v>1</v>
      </c>
      <c r="NC325" s="5">
        <f>MIN(1,MAX(0,$NB$26-($A325-1)))</f>
        <v>0</v>
      </c>
      <c r="ND325" s="5">
        <f>$NB$25*(NC325+(1-NC325)*$NB$16)</f>
        <v>63.013306786703595</v>
      </c>
      <c r="NE325" s="13">
        <f>ND325*($NB$6+ACUTE_MARGIN)</f>
        <v>63643.43985457063</v>
      </c>
      <c r="NF325" s="13">
        <f>IF(NB325=1,$NB$31,$NB$32)</f>
        <v>152394.16214437486</v>
      </c>
      <c r="NG325" s="13">
        <f>NE325-NF325</f>
        <v>-88750.72228980422</v>
      </c>
      <c r="NH325" s="13">
        <f>NH324+NG325</f>
        <v>7194053.177071609</v>
      </c>
      <c r="NI325">
        <f>IF(NH325=MAX($NH$83:$NH$483),$A325,0)</f>
        <v>0</v>
      </c>
      <c r="NJ325">
        <f>IF(NE325&lt;NF325,$A325,B_MAX+1)</f>
        <v>242</v>
      </c>
      <c r="NK325" s="13">
        <f>IF(NB325=1,$NB$35,$NB$36)</f>
        <v>0</v>
      </c>
      <c r="NL325" s="13">
        <f>OCC_DAYS*$NB$41*R_NF_2023-ND325*MCD_SHARE_FREED*R_WAIT_2023</f>
        <v>123327.15192717595</v>
      </c>
      <c r="NM325">
        <f>IF($A325&lt;=$NB$45,1,0)</f>
        <v>0</v>
      </c>
      <c r="OB325">
        <f>IF($OB$31&lt;=$OB$32,IF($A325&lt;=$OB$7,1,2),IF($A325&lt;=RUNG_BEDS_2,2,1))</f>
        <v>1</v>
      </c>
      <c r="OC325" s="5">
        <f>MIN(1,MAX(0,$OB$26-($A325-1)))</f>
        <v>0</v>
      </c>
      <c r="OD325" s="5">
        <f>$OB$25*(OC325+(1-OC325)*$OB$16)</f>
        <v>126.02661357340719</v>
      </c>
      <c r="OE325" s="13">
        <f>OD325*($OB$6+ACUTE_MARGIN)</f>
        <v>127286.87970914126</v>
      </c>
      <c r="OF325" s="13">
        <f>IF(OB325=1,$OB$31,$OB$32)</f>
        <v>152394.16214437486</v>
      </c>
      <c r="OG325" s="13">
        <f>OE325-OF325</f>
        <v>-25107.282435233603</v>
      </c>
      <c r="OH325" s="13">
        <f>OH324+OG325</f>
        <v>13038522.964809727</v>
      </c>
      <c r="OI325">
        <f>IF(OH325=MAX($OH$83:$OH$483),$A325,0)</f>
        <v>0</v>
      </c>
      <c r="OJ325">
        <f>IF(OE325&lt;OF325,$A325,B_MAX+1)</f>
        <v>242</v>
      </c>
      <c r="OK325" s="13">
        <f>IF(OB325=1,$OB$35,$OB$36)</f>
        <v>0</v>
      </c>
      <c r="OL325" s="13">
        <f>OCC_DAYS*$OB$41*R_NF_2023-OD325*MCD_SHARE_FREED*R_WAIT_2023</f>
        <v>94673.82103225985</v>
      </c>
      <c r="OM325">
        <f>IF($A325&lt;=$OB$45,1,0)</f>
        <v>0</v>
      </c>
    </row>
    <row r="326">
      <c r="A326" t="n">
        <v>243</v>
      </c>
      <c r="B326">
        <f>IF($B$31&lt;=$B$32,IF($A326&lt;=$B$7,1,2),IF($A326&lt;=RUNG_BEDS_2,2,1))</f>
        <v>1</v>
      </c>
      <c r="C326" s="5">
        <f>MIN(1,MAX(0,$B$26-($A326-1)))</f>
        <v>0</v>
      </c>
      <c r="D326" s="5">
        <f>$B$25*(C326+(1-C326)*$B$16)</f>
        <v>0.0</v>
      </c>
      <c r="E326" s="13">
        <f>D326*($B$6+ACUTE_MARGIN)</f>
        <v>0.0</v>
      </c>
      <c r="F326" s="13">
        <f>IF(B326=1,$B$31,$B$32)</f>
        <v>152394.16214437486</v>
      </c>
      <c r="G326" s="13">
        <f>E326-F326</f>
        <v>-152394.16214437486</v>
      </c>
      <c r="H326" s="13">
        <f>H325+G326</f>
        <v>1197189.2271892442</v>
      </c>
      <c r="I326">
        <f>IF(H326=MAX($H$83:$H$483),$A326,0)</f>
        <v>0</v>
      </c>
      <c r="J326">
        <f>IF(E326&lt;F326,$A326,B_MAX+1)</f>
        <v>243</v>
      </c>
      <c r="K326" s="13">
        <f>IF(B326=1,$B$35,$B$36)</f>
        <v>0</v>
      </c>
      <c r="L326" s="13">
        <f>OCC_DAYS*$B$41*R_NF_2023-D326*MCD_SHARE_FREED*R_WAIT_2023</f>
        <v>151980.48282209205</v>
      </c>
      <c r="M326">
        <f>IF($A326&lt;=$B$45,1,0)</f>
        <v>0</v>
      </c>
      <c r="AB326">
        <f>IF($AB$31&lt;=$AB$32,IF($A326&lt;=$AB$7,1,2),IF($A326&lt;=RUNG_BEDS_2,2,1))</f>
        <v>1</v>
      </c>
      <c r="AC326" s="5">
        <f>MIN(1,MAX(0,$AB$26-($A326-1)))</f>
        <v>0</v>
      </c>
      <c r="AD326" s="5">
        <f>$AB$25*(AC326+(1-AC326)*$AB$16)</f>
        <v>0.0</v>
      </c>
      <c r="AE326" s="13">
        <f>AD326*($AB$6+ACUTE_MARGIN)</f>
        <v>0.0</v>
      </c>
      <c r="AF326" s="13">
        <f>IF(AB326=1,$AB$31,$AB$32)</f>
        <v>152394.16214437486</v>
      </c>
      <c r="AG326" s="13">
        <f>AE326-AF326</f>
        <v>-152394.16214437486</v>
      </c>
      <c r="AH326" s="13">
        <f>AH325+AG326</f>
        <v>-16214025.118360544</v>
      </c>
      <c r="AI326">
        <f>IF(AH326=MAX($AH$83:$AH$483),$A326,0)</f>
        <v>0</v>
      </c>
      <c r="AJ326">
        <f>IF(AE326&lt;AF326,$A326,B_MAX+1)</f>
        <v>243</v>
      </c>
      <c r="AK326" s="13">
        <f>IF(AB326=1,$AB$35,$AB$36)</f>
        <v>0</v>
      </c>
      <c r="AL326" s="13">
        <f>OCC_DAYS*$AB$41*R_NF_2023-AD326*MCD_SHARE_FREED*R_WAIT_2023</f>
        <v>151980.48282209205</v>
      </c>
      <c r="AM326">
        <f>IF($A326&lt;=$AB$45,1,0)</f>
        <v>0</v>
      </c>
      <c r="BB326">
        <f>IF($BB$31&lt;=$BB$32,IF($A326&lt;=$BB$7,1,2),IF($A326&lt;=RUNG_BEDS_2,2,1))</f>
        <v>1</v>
      </c>
      <c r="BC326" s="5">
        <f>MIN(1,MAX(0,$BB$26-($A326-1)))</f>
        <v>0</v>
      </c>
      <c r="BD326" s="5">
        <f>$BB$25*(BC326+(1-BC326)*$BB$16)</f>
        <v>0.0</v>
      </c>
      <c r="BE326" s="13">
        <f>BD326*($BB$6+ACUTE_MARGIN)</f>
        <v>0.0</v>
      </c>
      <c r="BF326" s="13">
        <f>IF(BB326=1,$BB$31,$BB$32)</f>
        <v>152394.16214437486</v>
      </c>
      <c r="BG326" s="13">
        <f>BE326-BF326</f>
        <v>-152394.16214437486</v>
      </c>
      <c r="BH326" s="13">
        <f>BH325+BG326</f>
        <v>18608403.57273895</v>
      </c>
      <c r="BI326">
        <f>IF(BH326=MAX($BH$83:$BH$483),$A326,0)</f>
        <v>0</v>
      </c>
      <c r="BJ326">
        <f>IF(BE326&lt;BF326,$A326,B_MAX+1)</f>
        <v>243</v>
      </c>
      <c r="BK326" s="13">
        <f>IF(BB326=1,$BB$35,$BB$36)</f>
        <v>0</v>
      </c>
      <c r="BL326" s="13">
        <f>OCC_DAYS*$BB$41*R_NF_2023-BD326*MCD_SHARE_FREED*R_WAIT_2023</f>
        <v>151980.48282209205</v>
      </c>
      <c r="BM326">
        <f>IF($A326&lt;=$BB$45,1,0)</f>
        <v>0</v>
      </c>
      <c r="CB326">
        <f>IF($CB$31&lt;=$CB$32,IF($A326&lt;=$CB$7,1,2),IF($A326&lt;=RUNG_BEDS_2,2,1))</f>
        <v>2</v>
      </c>
      <c r="CC326" s="5">
        <f>MIN(1,MAX(0,$CB$26-($A326-1)))</f>
        <v>0</v>
      </c>
      <c r="CD326" s="5">
        <f>$CB$25*(CC326+(1-CC326)*$CB$16)</f>
        <v>0.0</v>
      </c>
      <c r="CE326" s="13">
        <f>CD326*($CB$6+ACUTE_MARGIN)</f>
        <v>0.0</v>
      </c>
      <c r="CF326" s="13">
        <f>IF(CB326=1,$CB$31,$CB$32)</f>
        <v>160718.36940738867</v>
      </c>
      <c r="CG326" s="13">
        <f>CE326-CF326</f>
        <v>-160718.36940738867</v>
      </c>
      <c r="CH326" s="13">
        <f>CH325+CG326</f>
        <v>-825593.1377232259</v>
      </c>
      <c r="CI326">
        <f>IF(CH326=MAX($CH$83:$CH$483),$A326,0)</f>
        <v>0</v>
      </c>
      <c r="CJ326">
        <f>IF(CE326&lt;CF326,$A326,B_MAX+1)</f>
        <v>243</v>
      </c>
      <c r="CK326" s="13">
        <f>IF(CB326=1,$CB$35,$CB$36)</f>
        <v>1560.1194073886782</v>
      </c>
      <c r="CL326" s="13">
        <f>OCC_DAYS*$CB$41*R_NF_2023-CD326*MCD_SHARE_FREED*R_WAIT_2023</f>
        <v>151980.48282209205</v>
      </c>
      <c r="CM326">
        <f>IF($A326&lt;=$CB$45,1,0)</f>
        <v>0</v>
      </c>
      <c r="DB326">
        <f>IF($DB$31&lt;=$DB$32,IF($A326&lt;=$DB$7,1,2),IF($A326&lt;=RUNG_BEDS_2,2,1))</f>
        <v>1</v>
      </c>
      <c r="DC326" s="5">
        <f>MIN(1,MAX(0,$DB$26-($A326-1)))</f>
        <v>0</v>
      </c>
      <c r="DD326" s="5">
        <f>$DB$25*(DC326+(1-DC326)*$DB$16)</f>
        <v>0.0</v>
      </c>
      <c r="DE326" s="13">
        <f>DD326*($DB$6+ACUTE_MARGIN)</f>
        <v>0.0</v>
      </c>
      <c r="DF326" s="13">
        <f>IF(DB326=1,$DB$31,$DB$32)</f>
        <v>152394.16214437486</v>
      </c>
      <c r="DG326" s="13">
        <f>DE326-DF326</f>
        <v>-152394.16214437486</v>
      </c>
      <c r="DH326" s="13">
        <f>DH325+DG326</f>
        <v>1197189.2271892442</v>
      </c>
      <c r="DI326">
        <f>IF(DH326=MAX($DH$83:$DH$483),$A326,0)</f>
        <v>0</v>
      </c>
      <c r="DJ326">
        <f>IF(DE326&lt;DF326,$A326,B_MAX+1)</f>
        <v>243</v>
      </c>
      <c r="DK326" s="13">
        <f>IF(DB326=1,$DB$35,$DB$36)</f>
        <v>0</v>
      </c>
      <c r="DL326" s="13">
        <f>OCC_DAYS*$DB$41*R_NF_2023-DD326*MCD_SHARE_FREED*R_WAIT_2023</f>
        <v>151980.48282209205</v>
      </c>
      <c r="DM326">
        <f>IF($A326&lt;=$DB$45,1,0)</f>
        <v>0</v>
      </c>
      <c r="EB326">
        <f>IF($EB$31&lt;=$EB$32,IF($A326&lt;=$EB$7,1,2),IF($A326&lt;=RUNG_BEDS_2,2,1))</f>
        <v>1</v>
      </c>
      <c r="EC326" s="5">
        <f>MIN(1,MAX(0,$EB$26-($A326-1)))</f>
        <v>0</v>
      </c>
      <c r="ED326" s="5">
        <f>$EB$25*(EC326+(1-EC326)*$EB$16)</f>
        <v>0.0</v>
      </c>
      <c r="EE326" s="13">
        <f>ED326*($EB$6+ACUTE_MARGIN)</f>
        <v>0.0</v>
      </c>
      <c r="EF326" s="13">
        <f>IF(EB326=1,$EB$31,$EB$32)</f>
        <v>152394.16214437486</v>
      </c>
      <c r="EG326" s="13">
        <f>EE326-EF326</f>
        <v>-152394.16214437486</v>
      </c>
      <c r="EH326" s="13">
        <f>EH325+EG326</f>
        <v>1197189.2271892442</v>
      </c>
      <c r="EI326">
        <f>IF(EH326=MAX($EH$83:$EH$483),$A326,0)</f>
        <v>0</v>
      </c>
      <c r="EJ326">
        <f>IF(EE326&lt;EF326,$A326,B_MAX+1)</f>
        <v>243</v>
      </c>
      <c r="EK326" s="13">
        <f>IF(EB326=1,$EB$35,$EB$36)</f>
        <v>0</v>
      </c>
      <c r="EL326" s="13">
        <f>OCC_DAYS*$EB$41*R_NF_2023-ED326*MCD_SHARE_FREED*R_WAIT_2023</f>
        <v>50660.16094069735</v>
      </c>
      <c r="EM326">
        <f>IF($A326&lt;=$EB$45,1,0)</f>
        <v>0</v>
      </c>
      <c r="FB326">
        <f>IF($FB$31&lt;=$FB$32,IF($A326&lt;=$FB$7,1,2),IF($A326&lt;=RUNG_BEDS_2,2,1))</f>
        <v>1</v>
      </c>
      <c r="FC326" s="5">
        <f>MIN(1,MAX(0,$FB$26-($A326-1)))</f>
        <v>0</v>
      </c>
      <c r="FD326" s="5">
        <f>$FB$25*(FC326+(1-FC326)*$FB$16)</f>
        <v>0.0</v>
      </c>
      <c r="FE326" s="13">
        <f>FD326*($FB$6+ACUTE_MARGIN)</f>
        <v>0.0</v>
      </c>
      <c r="FF326" s="13">
        <f>IF(FB326=1,$FB$31,$FB$32)</f>
        <v>156636.04979437485</v>
      </c>
      <c r="FG326" s="13">
        <f>FE326-FF326</f>
        <v>-156636.04979437485</v>
      </c>
      <c r="FH326" s="13">
        <f>FH325+FG326</f>
        <v>166410.52823913074</v>
      </c>
      <c r="FI326">
        <f>IF(FH326=MAX($FH$83:$FH$483),$A326,0)</f>
        <v>0</v>
      </c>
      <c r="FJ326">
        <f>IF(FE326&lt;FF326,$A326,B_MAX+1)</f>
        <v>243</v>
      </c>
      <c r="FK326" s="13">
        <f>IF(FB326=1,$FB$35,$FB$36)</f>
        <v>0</v>
      </c>
      <c r="FL326" s="13">
        <f>OCC_DAYS*$FB$41*R_NF_2023-FD326*MCD_SHARE_FREED*R_WAIT_2023</f>
        <v>151980.48282209205</v>
      </c>
      <c r="FM326">
        <f>IF($A326&lt;=$FB$45,1,0)</f>
        <v>0</v>
      </c>
      <c r="GB326">
        <f>IF($GB$31&lt;=$GB$32,IF($A326&lt;=$GB$7,1,2),IF($A326&lt;=RUNG_BEDS_2,2,1))</f>
        <v>1</v>
      </c>
      <c r="GC326" s="5">
        <f>MIN(1,MAX(0,$GB$26-($A326-1)))</f>
        <v>0</v>
      </c>
      <c r="GD326" s="5">
        <f>$GB$25*(GC326+(1-GC326)*$GB$16)</f>
        <v>0.0</v>
      </c>
      <c r="GE326" s="13">
        <f>GD326*($GB$6+ACUTE_MARGIN)</f>
        <v>0.0</v>
      </c>
      <c r="GF326" s="13">
        <f>IF(GB326=1,$GB$31,$GB$32)</f>
        <v>152394.16214437486</v>
      </c>
      <c r="GG326" s="13">
        <f>GE326-GF326</f>
        <v>-152394.16214437486</v>
      </c>
      <c r="GH326" s="13">
        <f>GH325+GG326</f>
        <v>1197189.2271892442</v>
      </c>
      <c r="GI326">
        <f>IF(GH326=MAX($GH$83:$GH$483),$A326,0)</f>
        <v>0</v>
      </c>
      <c r="GJ326">
        <f>IF(GE326&lt;GF326,$A326,B_MAX+1)</f>
        <v>243</v>
      </c>
      <c r="GK326" s="13">
        <f>IF(GB326=1,$GB$35,$GB$36)</f>
        <v>0</v>
      </c>
      <c r="GL326" s="13">
        <f>OCC_DAYS*$GB$41*R_NF_2023-GD326*MCD_SHARE_FREED*R_WAIT_2023</f>
        <v>151980.48282209205</v>
      </c>
      <c r="GM326">
        <f>IF($A326&lt;=$GB$45,1,0)</f>
        <v>0</v>
      </c>
      <c r="HB326">
        <f>IF($HB$31&lt;=$HB$32,IF($A326&lt;=$HB$7,1,2),IF($A326&lt;=RUNG_BEDS_2,2,1))</f>
        <v>1</v>
      </c>
      <c r="HC326" s="5">
        <f>MIN(1,MAX(0,$HB$26-($A326-1)))</f>
        <v>0</v>
      </c>
      <c r="HD326" s="5">
        <f>$HB$25*(HC326+(1-HC326)*$HB$16)</f>
        <v>0.0</v>
      </c>
      <c r="HE326" s="13">
        <f>HD326*($HB$6+ACUTE_MARGIN)</f>
        <v>0.0</v>
      </c>
      <c r="HF326" s="13">
        <f>IF(HB326=1,$HB$31,$HB$32)</f>
        <v>152456.2970814058</v>
      </c>
      <c r="HG326" s="13">
        <f>HE326-HF326</f>
        <v>-152456.2970814058</v>
      </c>
      <c r="HH326" s="13">
        <f>HH325+HG326</f>
        <v>1182090.4374906868</v>
      </c>
      <c r="HI326">
        <f>IF(HH326=MAX($HH$83:$HH$483),$A326,0)</f>
        <v>0</v>
      </c>
      <c r="HJ326">
        <f>IF(HE326&lt;HF326,$A326,B_MAX+1)</f>
        <v>243</v>
      </c>
      <c r="HK326" s="13">
        <f>IF(HB326=1,$HB$35,$HB$36)</f>
        <v>0</v>
      </c>
      <c r="HL326" s="13">
        <f>OCC_DAYS*$HB$41*R_NF_2023-HD326*MCD_SHARE_FREED*R_WAIT_2023</f>
        <v>151980.48282209205</v>
      </c>
      <c r="HM326">
        <f>IF($A326&lt;=$HB$45,1,0)</f>
        <v>0</v>
      </c>
      <c r="IB326">
        <f>IF($IB$31&lt;=$IB$32,IF($A326&lt;=$IB$7,1,2),IF($A326&lt;=RUNG_BEDS_2,2,1))</f>
        <v>1</v>
      </c>
      <c r="IC326" s="5">
        <f>MIN(1,MAX(0,$IB$26-($A326-1)))</f>
        <v>0</v>
      </c>
      <c r="ID326" s="5">
        <f>$IB$25*(IC326+(1-IC326)*$IB$16)</f>
        <v>0.0</v>
      </c>
      <c r="IE326" s="13">
        <f>ID326*($IB$6+ACUTE_MARGIN)</f>
        <v>0.0</v>
      </c>
      <c r="IF326" s="13">
        <f>IF(IB326=1,$IB$31,$IB$32)</f>
        <v>152734.9994534971</v>
      </c>
      <c r="IG326" s="13">
        <f>IE326-IF326</f>
        <v>-152734.9994534971</v>
      </c>
      <c r="IH326" s="13">
        <f>IH325+IG326</f>
        <v>1114365.7610724475</v>
      </c>
      <c r="II326">
        <f>IF(IH326=MAX($IH$83:$IH$483),$A326,0)</f>
        <v>0</v>
      </c>
      <c r="IJ326">
        <f>IF(IE326&lt;IF326,$A326,B_MAX+1)</f>
        <v>243</v>
      </c>
      <c r="IK326" s="13">
        <f>IF(IB326=1,$IB$35,$IB$36)</f>
        <v>0</v>
      </c>
      <c r="IL326" s="13">
        <f>OCC_DAYS*$IB$41*R_NF_2023-ID326*MCD_SHARE_FREED*R_WAIT_2023</f>
        <v>151980.48282209205</v>
      </c>
      <c r="IM326">
        <f>IF($A326&lt;=$IB$45,1,0)</f>
        <v>0</v>
      </c>
      <c r="JB326">
        <f>IF($JB$31&lt;=$JB$32,IF($A326&lt;=$JB$7,1,2),IF($A326&lt;=RUNG_BEDS_2,2,1))</f>
        <v>1</v>
      </c>
      <c r="JC326" s="5">
        <f>MIN(1,MAX(0,$JB$26-($A326-1)))</f>
        <v>0</v>
      </c>
      <c r="JD326" s="5">
        <f>$JB$25*(JC326+(1-JC326)*$JB$16)</f>
        <v>0.0</v>
      </c>
      <c r="JE326" s="13">
        <f>JD326*($JB$6+ACUTE_MARGIN)</f>
        <v>0.0</v>
      </c>
      <c r="JF326" s="13">
        <f>IF(JB326=1,$JB$31,$JB$32)</f>
        <v>152394.16214437486</v>
      </c>
      <c r="JG326" s="13">
        <f>JE326-JF326</f>
        <v>-152394.16214437486</v>
      </c>
      <c r="JH326" s="13">
        <f>JH325+JG326</f>
        <v>1197189.2271892442</v>
      </c>
      <c r="JI326">
        <f>IF(JH326=MAX($JH$83:$JH$483),$A326,0)</f>
        <v>0</v>
      </c>
      <c r="JJ326">
        <f>IF(JE326&lt;JF326,$A326,B_MAX+1)</f>
        <v>243</v>
      </c>
      <c r="JK326" s="13">
        <f>IF(JB326=1,$JB$35,$JB$36)</f>
        <v>0</v>
      </c>
      <c r="JL326" s="13">
        <f>OCC_DAYS*$JB$41*R_NF_2023-JD326*MCD_SHARE_FREED*R_WAIT_2023</f>
        <v>151980.48282209205</v>
      </c>
      <c r="JM326">
        <f>IF($A326&lt;=$JB$45,1,0)</f>
        <v>0</v>
      </c>
      <c r="KB326">
        <f>IF($KB$31&lt;=$KB$32,IF($A326&lt;=$KB$7,1,2),IF($A326&lt;=RUNG_BEDS_2,2,1))</f>
        <v>1</v>
      </c>
      <c r="KC326" s="5">
        <f>MIN(1,MAX(0,$KB$26-($A326-1)))</f>
        <v>1</v>
      </c>
      <c r="KD326" s="5">
        <f>$KB$25*(KC326+(1-KC326)*$KB$16)</f>
        <v>126.02661357340719</v>
      </c>
      <c r="KE326" s="13">
        <f>KD326*($KB$6+ACUTE_MARGIN)</f>
        <v>127286.87970914126</v>
      </c>
      <c r="KF326" s="13">
        <f>IF(KB326=1,$KB$31,$KB$32)</f>
        <v>152394.16214437486</v>
      </c>
      <c r="KG326" s="13">
        <f>KE326-KF326</f>
        <v>-25107.282435233603</v>
      </c>
      <c r="KH326" s="13">
        <f>KH325+KG326</f>
        <v>-6101069.631761786</v>
      </c>
      <c r="KI326">
        <f>IF(KH326=MAX($KH$83:$KH$483),$A326,0)</f>
        <v>0</v>
      </c>
      <c r="KJ326">
        <f>IF(KE326&lt;KF326,$A326,B_MAX+1)</f>
        <v>243</v>
      </c>
      <c r="KK326" s="13">
        <f>IF(KB326=1,$KB$35,$KB$36)</f>
        <v>0</v>
      </c>
      <c r="KL326" s="13">
        <f>OCC_DAYS*$KB$41*R_NF_2023-KD326*MCD_SHARE_FREED*R_WAIT_2023</f>
        <v>94673.82103225985</v>
      </c>
      <c r="KM326">
        <f>IF($A326&lt;=$KB$45,1,0)</f>
        <v>0</v>
      </c>
      <c r="LB326">
        <f>IF($LB$31&lt;=$LB$32,IF($A326&lt;=$LB$7,1,2),IF($A326&lt;=RUNG_BEDS_2,2,1))</f>
        <v>1</v>
      </c>
      <c r="LC326" s="5">
        <f>MIN(1,MAX(0,$LB$26-($A326-1)))</f>
        <v>1</v>
      </c>
      <c r="LD326" s="5">
        <f>$LB$25*(LC326+(1-LC326)*$LB$16)</f>
        <v>84.01774238227146</v>
      </c>
      <c r="LE326" s="13">
        <f>LD326*($LB$6+ACUTE_MARGIN)</f>
        <v>84857.91980609419</v>
      </c>
      <c r="LF326" s="13">
        <f>IF(LB326=1,$LB$31,$LB$32)</f>
        <v>152394.16214437486</v>
      </c>
      <c r="LG326" s="13">
        <f>LE326-LF326</f>
        <v>-67536.24233828067</v>
      </c>
      <c r="LH326" s="13">
        <f>LH325+LG326</f>
        <v>-16411306.888202284</v>
      </c>
      <c r="LI326">
        <f>IF(LH326=MAX($LH$83:$LH$483),$A326,0)</f>
        <v>0</v>
      </c>
      <c r="LJ326">
        <f>IF(LE326&lt;LF326,$A326,B_MAX+1)</f>
        <v>243</v>
      </c>
      <c r="LK326" s="13">
        <f>IF(LB326=1,$LB$35,$LB$36)</f>
        <v>0</v>
      </c>
      <c r="LL326" s="13">
        <f>OCC_DAYS*$LB$41*R_NF_2023-LD326*MCD_SHARE_FREED*R_WAIT_2023</f>
        <v>113776.04162887059</v>
      </c>
      <c r="LM326">
        <f>IF($A326&lt;=$LB$45,1,0)</f>
        <v>0</v>
      </c>
      <c r="MB326">
        <f>IF($MB$31&lt;=$MB$32,IF($A326&lt;=$MB$7,1,2),IF($A326&lt;=RUNG_BEDS_2,2,1))</f>
        <v>1</v>
      </c>
      <c r="MC326" s="5">
        <f>MIN(1,MAX(0,$MB$26-($A326-1)))</f>
        <v>0</v>
      </c>
      <c r="MD326" s="5">
        <f>$MB$25*(MC326+(1-MC326)*$MB$16)</f>
        <v>0.0</v>
      </c>
      <c r="ME326" s="13">
        <f>MD326*($MB$6+ACUTE_MARGIN)</f>
        <v>0.0</v>
      </c>
      <c r="MF326" s="13">
        <f>IF(MB326=1,$MB$31,$MB$32)</f>
        <v>152394.16214437486</v>
      </c>
      <c r="MG326" s="13">
        <f>ME326-MF326</f>
        <v>-152394.16214437486</v>
      </c>
      <c r="MH326" s="13">
        <f>MH325+MG326</f>
        <v>-4690086.834609087</v>
      </c>
      <c r="MI326">
        <f>IF(MH326=MAX($MH$83:$MH$483),$A326,0)</f>
        <v>0</v>
      </c>
      <c r="MJ326">
        <f>IF(ME326&lt;MF326,$A326,B_MAX+1)</f>
        <v>243</v>
      </c>
      <c r="MK326" s="13">
        <f>IF(MB326=1,$MB$35,$MB$36)</f>
        <v>0</v>
      </c>
      <c r="ML326" s="13">
        <f>OCC_DAYS*$MB$41*R_NF_2023-MD326*MCD_SHARE_FREED*R_WAIT_2023</f>
        <v>151980.48282209205</v>
      </c>
      <c r="MM326">
        <f>IF($A326&lt;=$MB$45,1,0)</f>
        <v>0</v>
      </c>
      <c r="NB326">
        <f>IF($NB$31&lt;=$NB$32,IF($A326&lt;=$NB$7,1,2),IF($A326&lt;=RUNG_BEDS_2,2,1))</f>
        <v>1</v>
      </c>
      <c r="NC326" s="5">
        <f>MIN(1,MAX(0,$NB$26-($A326-1)))</f>
        <v>0</v>
      </c>
      <c r="ND326" s="5">
        <f>$NB$25*(NC326+(1-NC326)*$NB$16)</f>
        <v>63.013306786703595</v>
      </c>
      <c r="NE326" s="13">
        <f>ND326*($NB$6+ACUTE_MARGIN)</f>
        <v>63643.43985457063</v>
      </c>
      <c r="NF326" s="13">
        <f>IF(NB326=1,$NB$31,$NB$32)</f>
        <v>152394.16214437486</v>
      </c>
      <c r="NG326" s="13">
        <f>NE326-NF326</f>
        <v>-88750.72228980422</v>
      </c>
      <c r="NH326" s="13">
        <f>NH325+NG326</f>
        <v>7105302.454781804</v>
      </c>
      <c r="NI326">
        <f>IF(NH326=MAX($NH$83:$NH$483),$A326,0)</f>
        <v>0</v>
      </c>
      <c r="NJ326">
        <f>IF(NE326&lt;NF326,$A326,B_MAX+1)</f>
        <v>243</v>
      </c>
      <c r="NK326" s="13">
        <f>IF(NB326=1,$NB$35,$NB$36)</f>
        <v>0</v>
      </c>
      <c r="NL326" s="13">
        <f>OCC_DAYS*$NB$41*R_NF_2023-ND326*MCD_SHARE_FREED*R_WAIT_2023</f>
        <v>123327.15192717595</v>
      </c>
      <c r="NM326">
        <f>IF($A326&lt;=$NB$45,1,0)</f>
        <v>0</v>
      </c>
      <c r="OB326">
        <f>IF($OB$31&lt;=$OB$32,IF($A326&lt;=$OB$7,1,2),IF($A326&lt;=RUNG_BEDS_2,2,1))</f>
        <v>1</v>
      </c>
      <c r="OC326" s="5">
        <f>MIN(1,MAX(0,$OB$26-($A326-1)))</f>
        <v>0</v>
      </c>
      <c r="OD326" s="5">
        <f>$OB$25*(OC326+(1-OC326)*$OB$16)</f>
        <v>126.02661357340719</v>
      </c>
      <c r="OE326" s="13">
        <f>OD326*($OB$6+ACUTE_MARGIN)</f>
        <v>127286.87970914126</v>
      </c>
      <c r="OF326" s="13">
        <f>IF(OB326=1,$OB$31,$OB$32)</f>
        <v>152394.16214437486</v>
      </c>
      <c r="OG326" s="13">
        <f>OE326-OF326</f>
        <v>-25107.282435233603</v>
      </c>
      <c r="OH326" s="13">
        <f>OH325+OG326</f>
        <v>13013415.682374494</v>
      </c>
      <c r="OI326">
        <f>IF(OH326=MAX($OH$83:$OH$483),$A326,0)</f>
        <v>0</v>
      </c>
      <c r="OJ326">
        <f>IF(OE326&lt;OF326,$A326,B_MAX+1)</f>
        <v>243</v>
      </c>
      <c r="OK326" s="13">
        <f>IF(OB326=1,$OB$35,$OB$36)</f>
        <v>0</v>
      </c>
      <c r="OL326" s="13">
        <f>OCC_DAYS*$OB$41*R_NF_2023-OD326*MCD_SHARE_FREED*R_WAIT_2023</f>
        <v>94673.82103225985</v>
      </c>
      <c r="OM326">
        <f>IF($A326&lt;=$OB$45,1,0)</f>
        <v>0</v>
      </c>
    </row>
    <row r="327">
      <c r="A327" t="n">
        <v>244</v>
      </c>
      <c r="B327">
        <f>IF($B$31&lt;=$B$32,IF($A327&lt;=$B$7,1,2),IF($A327&lt;=RUNG_BEDS_2,2,1))</f>
        <v>1</v>
      </c>
      <c r="C327" s="5">
        <f>MIN(1,MAX(0,$B$26-($A327-1)))</f>
        <v>0</v>
      </c>
      <c r="D327" s="5">
        <f>$B$25*(C327+(1-C327)*$B$16)</f>
        <v>0.0</v>
      </c>
      <c r="E327" s="13">
        <f>D327*($B$6+ACUTE_MARGIN)</f>
        <v>0.0</v>
      </c>
      <c r="F327" s="13">
        <f>IF(B327=1,$B$31,$B$32)</f>
        <v>152394.16214437486</v>
      </c>
      <c r="G327" s="13">
        <f>E327-F327</f>
        <v>-152394.16214437486</v>
      </c>
      <c r="H327" s="13">
        <f>H326+G327</f>
        <v>1044795.0650448694</v>
      </c>
      <c r="I327">
        <f>IF(H327=MAX($H$83:$H$483),$A327,0)</f>
        <v>0</v>
      </c>
      <c r="J327">
        <f>IF(E327&lt;F327,$A327,B_MAX+1)</f>
        <v>244</v>
      </c>
      <c r="K327" s="13">
        <f>IF(B327=1,$B$35,$B$36)</f>
        <v>0</v>
      </c>
      <c r="L327" s="13">
        <f>OCC_DAYS*$B$41*R_NF_2023-D327*MCD_SHARE_FREED*R_WAIT_2023</f>
        <v>151980.48282209205</v>
      </c>
      <c r="M327">
        <f>IF($A327&lt;=$B$45,1,0)</f>
        <v>0</v>
      </c>
      <c r="AB327">
        <f>IF($AB$31&lt;=$AB$32,IF($A327&lt;=$AB$7,1,2),IF($A327&lt;=RUNG_BEDS_2,2,1))</f>
        <v>1</v>
      </c>
      <c r="AC327" s="5">
        <f>MIN(1,MAX(0,$AB$26-($A327-1)))</f>
        <v>0</v>
      </c>
      <c r="AD327" s="5">
        <f>$AB$25*(AC327+(1-AC327)*$AB$16)</f>
        <v>0.0</v>
      </c>
      <c r="AE327" s="13">
        <f>AD327*($AB$6+ACUTE_MARGIN)</f>
        <v>0.0</v>
      </c>
      <c r="AF327" s="13">
        <f>IF(AB327=1,$AB$31,$AB$32)</f>
        <v>152394.16214437486</v>
      </c>
      <c r="AG327" s="13">
        <f>AE327-AF327</f>
        <v>-152394.16214437486</v>
      </c>
      <c r="AH327" s="13">
        <f>AH326+AG327</f>
        <v>-16366419.280504918</v>
      </c>
      <c r="AI327">
        <f>IF(AH327=MAX($AH$83:$AH$483),$A327,0)</f>
        <v>0</v>
      </c>
      <c r="AJ327">
        <f>IF(AE327&lt;AF327,$A327,B_MAX+1)</f>
        <v>244</v>
      </c>
      <c r="AK327" s="13">
        <f>IF(AB327=1,$AB$35,$AB$36)</f>
        <v>0</v>
      </c>
      <c r="AL327" s="13">
        <f>OCC_DAYS*$AB$41*R_NF_2023-AD327*MCD_SHARE_FREED*R_WAIT_2023</f>
        <v>151980.48282209205</v>
      </c>
      <c r="AM327">
        <f>IF($A327&lt;=$AB$45,1,0)</f>
        <v>0</v>
      </c>
      <c r="BB327">
        <f>IF($BB$31&lt;=$BB$32,IF($A327&lt;=$BB$7,1,2),IF($A327&lt;=RUNG_BEDS_2,2,1))</f>
        <v>1</v>
      </c>
      <c r="BC327" s="5">
        <f>MIN(1,MAX(0,$BB$26-($A327-1)))</f>
        <v>0</v>
      </c>
      <c r="BD327" s="5">
        <f>$BB$25*(BC327+(1-BC327)*$BB$16)</f>
        <v>0.0</v>
      </c>
      <c r="BE327" s="13">
        <f>BD327*($BB$6+ACUTE_MARGIN)</f>
        <v>0.0</v>
      </c>
      <c r="BF327" s="13">
        <f>IF(BB327=1,$BB$31,$BB$32)</f>
        <v>152394.16214437486</v>
      </c>
      <c r="BG327" s="13">
        <f>BE327-BF327</f>
        <v>-152394.16214437486</v>
      </c>
      <c r="BH327" s="13">
        <f>BH326+BG327</f>
        <v>18456009.410594575</v>
      </c>
      <c r="BI327">
        <f>IF(BH327=MAX($BH$83:$BH$483),$A327,0)</f>
        <v>0</v>
      </c>
      <c r="BJ327">
        <f>IF(BE327&lt;BF327,$A327,B_MAX+1)</f>
        <v>244</v>
      </c>
      <c r="BK327" s="13">
        <f>IF(BB327=1,$BB$35,$BB$36)</f>
        <v>0</v>
      </c>
      <c r="BL327" s="13">
        <f>OCC_DAYS*$BB$41*R_NF_2023-BD327*MCD_SHARE_FREED*R_WAIT_2023</f>
        <v>151980.48282209205</v>
      </c>
      <c r="BM327">
        <f>IF($A327&lt;=$BB$45,1,0)</f>
        <v>0</v>
      </c>
      <c r="CB327">
        <f>IF($CB$31&lt;=$CB$32,IF($A327&lt;=$CB$7,1,2),IF($A327&lt;=RUNG_BEDS_2,2,1))</f>
        <v>2</v>
      </c>
      <c r="CC327" s="5">
        <f>MIN(1,MAX(0,$CB$26-($A327-1)))</f>
        <v>0</v>
      </c>
      <c r="CD327" s="5">
        <f>$CB$25*(CC327+(1-CC327)*$CB$16)</f>
        <v>0.0</v>
      </c>
      <c r="CE327" s="13">
        <f>CD327*($CB$6+ACUTE_MARGIN)</f>
        <v>0.0</v>
      </c>
      <c r="CF327" s="13">
        <f>IF(CB327=1,$CB$31,$CB$32)</f>
        <v>160718.36940738867</v>
      </c>
      <c r="CG327" s="13">
        <f>CE327-CF327</f>
        <v>-160718.36940738867</v>
      </c>
      <c r="CH327" s="13">
        <f>CH326+CG327</f>
        <v>-986311.5071306145</v>
      </c>
      <c r="CI327">
        <f>IF(CH327=MAX($CH$83:$CH$483),$A327,0)</f>
        <v>0</v>
      </c>
      <c r="CJ327">
        <f>IF(CE327&lt;CF327,$A327,B_MAX+1)</f>
        <v>244</v>
      </c>
      <c r="CK327" s="13">
        <f>IF(CB327=1,$CB$35,$CB$36)</f>
        <v>1560.1194073886782</v>
      </c>
      <c r="CL327" s="13">
        <f>OCC_DAYS*$CB$41*R_NF_2023-CD327*MCD_SHARE_FREED*R_WAIT_2023</f>
        <v>151980.48282209205</v>
      </c>
      <c r="CM327">
        <f>IF($A327&lt;=$CB$45,1,0)</f>
        <v>0</v>
      </c>
      <c r="DB327">
        <f>IF($DB$31&lt;=$DB$32,IF($A327&lt;=$DB$7,1,2),IF($A327&lt;=RUNG_BEDS_2,2,1))</f>
        <v>1</v>
      </c>
      <c r="DC327" s="5">
        <f>MIN(1,MAX(0,$DB$26-($A327-1)))</f>
        <v>0</v>
      </c>
      <c r="DD327" s="5">
        <f>$DB$25*(DC327+(1-DC327)*$DB$16)</f>
        <v>0.0</v>
      </c>
      <c r="DE327" s="13">
        <f>DD327*($DB$6+ACUTE_MARGIN)</f>
        <v>0.0</v>
      </c>
      <c r="DF327" s="13">
        <f>IF(DB327=1,$DB$31,$DB$32)</f>
        <v>152394.16214437486</v>
      </c>
      <c r="DG327" s="13">
        <f>DE327-DF327</f>
        <v>-152394.16214437486</v>
      </c>
      <c r="DH327" s="13">
        <f>DH326+DG327</f>
        <v>1044795.0650448694</v>
      </c>
      <c r="DI327">
        <f>IF(DH327=MAX($DH$83:$DH$483),$A327,0)</f>
        <v>0</v>
      </c>
      <c r="DJ327">
        <f>IF(DE327&lt;DF327,$A327,B_MAX+1)</f>
        <v>244</v>
      </c>
      <c r="DK327" s="13">
        <f>IF(DB327=1,$DB$35,$DB$36)</f>
        <v>0</v>
      </c>
      <c r="DL327" s="13">
        <f>OCC_DAYS*$DB$41*R_NF_2023-DD327*MCD_SHARE_FREED*R_WAIT_2023</f>
        <v>151980.48282209205</v>
      </c>
      <c r="DM327">
        <f>IF($A327&lt;=$DB$45,1,0)</f>
        <v>0</v>
      </c>
      <c r="EB327">
        <f>IF($EB$31&lt;=$EB$32,IF($A327&lt;=$EB$7,1,2),IF($A327&lt;=RUNG_BEDS_2,2,1))</f>
        <v>1</v>
      </c>
      <c r="EC327" s="5">
        <f>MIN(1,MAX(0,$EB$26-($A327-1)))</f>
        <v>0</v>
      </c>
      <c r="ED327" s="5">
        <f>$EB$25*(EC327+(1-EC327)*$EB$16)</f>
        <v>0.0</v>
      </c>
      <c r="EE327" s="13">
        <f>ED327*($EB$6+ACUTE_MARGIN)</f>
        <v>0.0</v>
      </c>
      <c r="EF327" s="13">
        <f>IF(EB327=1,$EB$31,$EB$32)</f>
        <v>152394.16214437486</v>
      </c>
      <c r="EG327" s="13">
        <f>EE327-EF327</f>
        <v>-152394.16214437486</v>
      </c>
      <c r="EH327" s="13">
        <f>EH326+EG327</f>
        <v>1044795.0650448694</v>
      </c>
      <c r="EI327">
        <f>IF(EH327=MAX($EH$83:$EH$483),$A327,0)</f>
        <v>0</v>
      </c>
      <c r="EJ327">
        <f>IF(EE327&lt;EF327,$A327,B_MAX+1)</f>
        <v>244</v>
      </c>
      <c r="EK327" s="13">
        <f>IF(EB327=1,$EB$35,$EB$36)</f>
        <v>0</v>
      </c>
      <c r="EL327" s="13">
        <f>OCC_DAYS*$EB$41*R_NF_2023-ED327*MCD_SHARE_FREED*R_WAIT_2023</f>
        <v>50660.16094069735</v>
      </c>
      <c r="EM327">
        <f>IF($A327&lt;=$EB$45,1,0)</f>
        <v>0</v>
      </c>
      <c r="FB327">
        <f>IF($FB$31&lt;=$FB$32,IF($A327&lt;=$FB$7,1,2),IF($A327&lt;=RUNG_BEDS_2,2,1))</f>
        <v>1</v>
      </c>
      <c r="FC327" s="5">
        <f>MIN(1,MAX(0,$FB$26-($A327-1)))</f>
        <v>0</v>
      </c>
      <c r="FD327" s="5">
        <f>$FB$25*(FC327+(1-FC327)*$FB$16)</f>
        <v>0.0</v>
      </c>
      <c r="FE327" s="13">
        <f>FD327*($FB$6+ACUTE_MARGIN)</f>
        <v>0.0</v>
      </c>
      <c r="FF327" s="13">
        <f>IF(FB327=1,$FB$31,$FB$32)</f>
        <v>156636.04979437485</v>
      </c>
      <c r="FG327" s="13">
        <f>FE327-FF327</f>
        <v>-156636.04979437485</v>
      </c>
      <c r="FH327" s="13">
        <f>FH326+FG327</f>
        <v>9774.478444755892</v>
      </c>
      <c r="FI327">
        <f>IF(FH327=MAX($FH$83:$FH$483),$A327,0)</f>
        <v>0</v>
      </c>
      <c r="FJ327">
        <f>IF(FE327&lt;FF327,$A327,B_MAX+1)</f>
        <v>244</v>
      </c>
      <c r="FK327" s="13">
        <f>IF(FB327=1,$FB$35,$FB$36)</f>
        <v>0</v>
      </c>
      <c r="FL327" s="13">
        <f>OCC_DAYS*$FB$41*R_NF_2023-FD327*MCD_SHARE_FREED*R_WAIT_2023</f>
        <v>151980.48282209205</v>
      </c>
      <c r="FM327">
        <f>IF($A327&lt;=$FB$45,1,0)</f>
        <v>0</v>
      </c>
      <c r="GB327">
        <f>IF($GB$31&lt;=$GB$32,IF($A327&lt;=$GB$7,1,2),IF($A327&lt;=RUNG_BEDS_2,2,1))</f>
        <v>1</v>
      </c>
      <c r="GC327" s="5">
        <f>MIN(1,MAX(0,$GB$26-($A327-1)))</f>
        <v>0</v>
      </c>
      <c r="GD327" s="5">
        <f>$GB$25*(GC327+(1-GC327)*$GB$16)</f>
        <v>0.0</v>
      </c>
      <c r="GE327" s="13">
        <f>GD327*($GB$6+ACUTE_MARGIN)</f>
        <v>0.0</v>
      </c>
      <c r="GF327" s="13">
        <f>IF(GB327=1,$GB$31,$GB$32)</f>
        <v>152394.16214437486</v>
      </c>
      <c r="GG327" s="13">
        <f>GE327-GF327</f>
        <v>-152394.16214437486</v>
      </c>
      <c r="GH327" s="13">
        <f>GH326+GG327</f>
        <v>1044795.0650448694</v>
      </c>
      <c r="GI327">
        <f>IF(GH327=MAX($GH$83:$GH$483),$A327,0)</f>
        <v>0</v>
      </c>
      <c r="GJ327">
        <f>IF(GE327&lt;GF327,$A327,B_MAX+1)</f>
        <v>244</v>
      </c>
      <c r="GK327" s="13">
        <f>IF(GB327=1,$GB$35,$GB$36)</f>
        <v>0</v>
      </c>
      <c r="GL327" s="13">
        <f>OCC_DAYS*$GB$41*R_NF_2023-GD327*MCD_SHARE_FREED*R_WAIT_2023</f>
        <v>151980.48282209205</v>
      </c>
      <c r="GM327">
        <f>IF($A327&lt;=$GB$45,1,0)</f>
        <v>0</v>
      </c>
      <c r="HB327">
        <f>IF($HB$31&lt;=$HB$32,IF($A327&lt;=$HB$7,1,2),IF($A327&lt;=RUNG_BEDS_2,2,1))</f>
        <v>1</v>
      </c>
      <c r="HC327" s="5">
        <f>MIN(1,MAX(0,$HB$26-($A327-1)))</f>
        <v>0</v>
      </c>
      <c r="HD327" s="5">
        <f>$HB$25*(HC327+(1-HC327)*$HB$16)</f>
        <v>0.0</v>
      </c>
      <c r="HE327" s="13">
        <f>HD327*($HB$6+ACUTE_MARGIN)</f>
        <v>0.0</v>
      </c>
      <c r="HF327" s="13">
        <f>IF(HB327=1,$HB$31,$HB$32)</f>
        <v>152456.2970814058</v>
      </c>
      <c r="HG327" s="13">
        <f>HE327-HF327</f>
        <v>-152456.2970814058</v>
      </c>
      <c r="HH327" s="13">
        <f>HH326+HG327</f>
        <v>1029634.140409281</v>
      </c>
      <c r="HI327">
        <f>IF(HH327=MAX($HH$83:$HH$483),$A327,0)</f>
        <v>0</v>
      </c>
      <c r="HJ327">
        <f>IF(HE327&lt;HF327,$A327,B_MAX+1)</f>
        <v>244</v>
      </c>
      <c r="HK327" s="13">
        <f>IF(HB327=1,$HB$35,$HB$36)</f>
        <v>0</v>
      </c>
      <c r="HL327" s="13">
        <f>OCC_DAYS*$HB$41*R_NF_2023-HD327*MCD_SHARE_FREED*R_WAIT_2023</f>
        <v>151980.48282209205</v>
      </c>
      <c r="HM327">
        <f>IF($A327&lt;=$HB$45,1,0)</f>
        <v>0</v>
      </c>
      <c r="IB327">
        <f>IF($IB$31&lt;=$IB$32,IF($A327&lt;=$IB$7,1,2),IF($A327&lt;=RUNG_BEDS_2,2,1))</f>
        <v>1</v>
      </c>
      <c r="IC327" s="5">
        <f>MIN(1,MAX(0,$IB$26-($A327-1)))</f>
        <v>0</v>
      </c>
      <c r="ID327" s="5">
        <f>$IB$25*(IC327+(1-IC327)*$IB$16)</f>
        <v>0.0</v>
      </c>
      <c r="IE327" s="13">
        <f>ID327*($IB$6+ACUTE_MARGIN)</f>
        <v>0.0</v>
      </c>
      <c r="IF327" s="13">
        <f>IF(IB327=1,$IB$31,$IB$32)</f>
        <v>152734.9994534971</v>
      </c>
      <c r="IG327" s="13">
        <f>IE327-IF327</f>
        <v>-152734.9994534971</v>
      </c>
      <c r="IH327" s="13">
        <f>IH326+IG327</f>
        <v>961630.7616189504</v>
      </c>
      <c r="II327">
        <f>IF(IH327=MAX($IH$83:$IH$483),$A327,0)</f>
        <v>0</v>
      </c>
      <c r="IJ327">
        <f>IF(IE327&lt;IF327,$A327,B_MAX+1)</f>
        <v>244</v>
      </c>
      <c r="IK327" s="13">
        <f>IF(IB327=1,$IB$35,$IB$36)</f>
        <v>0</v>
      </c>
      <c r="IL327" s="13">
        <f>OCC_DAYS*$IB$41*R_NF_2023-ID327*MCD_SHARE_FREED*R_WAIT_2023</f>
        <v>151980.48282209205</v>
      </c>
      <c r="IM327">
        <f>IF($A327&lt;=$IB$45,1,0)</f>
        <v>0</v>
      </c>
      <c r="JB327">
        <f>IF($JB$31&lt;=$JB$32,IF($A327&lt;=$JB$7,1,2),IF($A327&lt;=RUNG_BEDS_2,2,1))</f>
        <v>1</v>
      </c>
      <c r="JC327" s="5">
        <f>MIN(1,MAX(0,$JB$26-($A327-1)))</f>
        <v>0</v>
      </c>
      <c r="JD327" s="5">
        <f>$JB$25*(JC327+(1-JC327)*$JB$16)</f>
        <v>0.0</v>
      </c>
      <c r="JE327" s="13">
        <f>JD327*($JB$6+ACUTE_MARGIN)</f>
        <v>0.0</v>
      </c>
      <c r="JF327" s="13">
        <f>IF(JB327=1,$JB$31,$JB$32)</f>
        <v>152394.16214437486</v>
      </c>
      <c r="JG327" s="13">
        <f>JE327-JF327</f>
        <v>-152394.16214437486</v>
      </c>
      <c r="JH327" s="13">
        <f>JH326+JG327</f>
        <v>1044795.0650448694</v>
      </c>
      <c r="JI327">
        <f>IF(JH327=MAX($JH$83:$JH$483),$A327,0)</f>
        <v>0</v>
      </c>
      <c r="JJ327">
        <f>IF(JE327&lt;JF327,$A327,B_MAX+1)</f>
        <v>244</v>
      </c>
      <c r="JK327" s="13">
        <f>IF(JB327=1,$JB$35,$JB$36)</f>
        <v>0</v>
      </c>
      <c r="JL327" s="13">
        <f>OCC_DAYS*$JB$41*R_NF_2023-JD327*MCD_SHARE_FREED*R_WAIT_2023</f>
        <v>151980.48282209205</v>
      </c>
      <c r="JM327">
        <f>IF($A327&lt;=$JB$45,1,0)</f>
        <v>0</v>
      </c>
      <c r="KB327">
        <f>IF($KB$31&lt;=$KB$32,IF($A327&lt;=$KB$7,1,2),IF($A327&lt;=RUNG_BEDS_2,2,1))</f>
        <v>1</v>
      </c>
      <c r="KC327" s="5">
        <f>MIN(1,MAX(0,$KB$26-($A327-1)))</f>
        <v>1</v>
      </c>
      <c r="KD327" s="5">
        <f>$KB$25*(KC327+(1-KC327)*$KB$16)</f>
        <v>126.02661357340719</v>
      </c>
      <c r="KE327" s="13">
        <f>KD327*($KB$6+ACUTE_MARGIN)</f>
        <v>127286.87970914126</v>
      </c>
      <c r="KF327" s="13">
        <f>IF(KB327=1,$KB$31,$KB$32)</f>
        <v>152394.16214437486</v>
      </c>
      <c r="KG327" s="13">
        <f>KE327-KF327</f>
        <v>-25107.282435233603</v>
      </c>
      <c r="KH327" s="13">
        <f>KH326+KG327</f>
        <v>-6126176.914197019</v>
      </c>
      <c r="KI327">
        <f>IF(KH327=MAX($KH$83:$KH$483),$A327,0)</f>
        <v>0</v>
      </c>
      <c r="KJ327">
        <f>IF(KE327&lt;KF327,$A327,B_MAX+1)</f>
        <v>244</v>
      </c>
      <c r="KK327" s="13">
        <f>IF(KB327=1,$KB$35,$KB$36)</f>
        <v>0</v>
      </c>
      <c r="KL327" s="13">
        <f>OCC_DAYS*$KB$41*R_NF_2023-KD327*MCD_SHARE_FREED*R_WAIT_2023</f>
        <v>94673.82103225985</v>
      </c>
      <c r="KM327">
        <f>IF($A327&lt;=$KB$45,1,0)</f>
        <v>0</v>
      </c>
      <c r="LB327">
        <f>IF($LB$31&lt;=$LB$32,IF($A327&lt;=$LB$7,1,2),IF($A327&lt;=RUNG_BEDS_2,2,1))</f>
        <v>1</v>
      </c>
      <c r="LC327" s="5">
        <f>MIN(1,MAX(0,$LB$26-($A327-1)))</f>
        <v>1</v>
      </c>
      <c r="LD327" s="5">
        <f>$LB$25*(LC327+(1-LC327)*$LB$16)</f>
        <v>84.01774238227146</v>
      </c>
      <c r="LE327" s="13">
        <f>LD327*($LB$6+ACUTE_MARGIN)</f>
        <v>84857.91980609419</v>
      </c>
      <c r="LF327" s="13">
        <f>IF(LB327=1,$LB$31,$LB$32)</f>
        <v>152394.16214437486</v>
      </c>
      <c r="LG327" s="13">
        <f>LE327-LF327</f>
        <v>-67536.24233828067</v>
      </c>
      <c r="LH327" s="13">
        <f>LH326+LG327</f>
        <v>-16478843.130540565</v>
      </c>
      <c r="LI327">
        <f>IF(LH327=MAX($LH$83:$LH$483),$A327,0)</f>
        <v>0</v>
      </c>
      <c r="LJ327">
        <f>IF(LE327&lt;LF327,$A327,B_MAX+1)</f>
        <v>244</v>
      </c>
      <c r="LK327" s="13">
        <f>IF(LB327=1,$LB$35,$LB$36)</f>
        <v>0</v>
      </c>
      <c r="LL327" s="13">
        <f>OCC_DAYS*$LB$41*R_NF_2023-LD327*MCD_SHARE_FREED*R_WAIT_2023</f>
        <v>113776.04162887059</v>
      </c>
      <c r="LM327">
        <f>IF($A327&lt;=$LB$45,1,0)</f>
        <v>0</v>
      </c>
      <c r="MB327">
        <f>IF($MB$31&lt;=$MB$32,IF($A327&lt;=$MB$7,1,2),IF($A327&lt;=RUNG_BEDS_2,2,1))</f>
        <v>1</v>
      </c>
      <c r="MC327" s="5">
        <f>MIN(1,MAX(0,$MB$26-($A327-1)))</f>
        <v>0</v>
      </c>
      <c r="MD327" s="5">
        <f>$MB$25*(MC327+(1-MC327)*$MB$16)</f>
        <v>0.0</v>
      </c>
      <c r="ME327" s="13">
        <f>MD327*($MB$6+ACUTE_MARGIN)</f>
        <v>0.0</v>
      </c>
      <c r="MF327" s="13">
        <f>IF(MB327=1,$MB$31,$MB$32)</f>
        <v>152394.16214437486</v>
      </c>
      <c r="MG327" s="13">
        <f>ME327-MF327</f>
        <v>-152394.16214437486</v>
      </c>
      <c r="MH327" s="13">
        <f>MH326+MG327</f>
        <v>-4842480.996753462</v>
      </c>
      <c r="MI327">
        <f>IF(MH327=MAX($MH$83:$MH$483),$A327,0)</f>
        <v>0</v>
      </c>
      <c r="MJ327">
        <f>IF(ME327&lt;MF327,$A327,B_MAX+1)</f>
        <v>244</v>
      </c>
      <c r="MK327" s="13">
        <f>IF(MB327=1,$MB$35,$MB$36)</f>
        <v>0</v>
      </c>
      <c r="ML327" s="13">
        <f>OCC_DAYS*$MB$41*R_NF_2023-MD327*MCD_SHARE_FREED*R_WAIT_2023</f>
        <v>151980.48282209205</v>
      </c>
      <c r="MM327">
        <f>IF($A327&lt;=$MB$45,1,0)</f>
        <v>0</v>
      </c>
      <c r="NB327">
        <f>IF($NB$31&lt;=$NB$32,IF($A327&lt;=$NB$7,1,2),IF($A327&lt;=RUNG_BEDS_2,2,1))</f>
        <v>1</v>
      </c>
      <c r="NC327" s="5">
        <f>MIN(1,MAX(0,$NB$26-($A327-1)))</f>
        <v>0</v>
      </c>
      <c r="ND327" s="5">
        <f>$NB$25*(NC327+(1-NC327)*$NB$16)</f>
        <v>63.013306786703595</v>
      </c>
      <c r="NE327" s="13">
        <f>ND327*($NB$6+ACUTE_MARGIN)</f>
        <v>63643.43985457063</v>
      </c>
      <c r="NF327" s="13">
        <f>IF(NB327=1,$NB$31,$NB$32)</f>
        <v>152394.16214437486</v>
      </c>
      <c r="NG327" s="13">
        <f>NE327-NF327</f>
        <v>-88750.72228980422</v>
      </c>
      <c r="NH327" s="13">
        <f>NH326+NG327</f>
        <v>7016551.732492</v>
      </c>
      <c r="NI327">
        <f>IF(NH327=MAX($NH$83:$NH$483),$A327,0)</f>
        <v>0</v>
      </c>
      <c r="NJ327">
        <f>IF(NE327&lt;NF327,$A327,B_MAX+1)</f>
        <v>244</v>
      </c>
      <c r="NK327" s="13">
        <f>IF(NB327=1,$NB$35,$NB$36)</f>
        <v>0</v>
      </c>
      <c r="NL327" s="13">
        <f>OCC_DAYS*$NB$41*R_NF_2023-ND327*MCD_SHARE_FREED*R_WAIT_2023</f>
        <v>123327.15192717595</v>
      </c>
      <c r="NM327">
        <f>IF($A327&lt;=$NB$45,1,0)</f>
        <v>0</v>
      </c>
      <c r="OB327">
        <f>IF($OB$31&lt;=$OB$32,IF($A327&lt;=$OB$7,1,2),IF($A327&lt;=RUNG_BEDS_2,2,1))</f>
        <v>1</v>
      </c>
      <c r="OC327" s="5">
        <f>MIN(1,MAX(0,$OB$26-($A327-1)))</f>
        <v>0</v>
      </c>
      <c r="OD327" s="5">
        <f>$OB$25*(OC327+(1-OC327)*$OB$16)</f>
        <v>126.02661357340719</v>
      </c>
      <c r="OE327" s="13">
        <f>OD327*($OB$6+ACUTE_MARGIN)</f>
        <v>127286.87970914126</v>
      </c>
      <c r="OF327" s="13">
        <f>IF(OB327=1,$OB$31,$OB$32)</f>
        <v>152394.16214437486</v>
      </c>
      <c r="OG327" s="13">
        <f>OE327-OF327</f>
        <v>-25107.282435233603</v>
      </c>
      <c r="OH327" s="13">
        <f>OH326+OG327</f>
        <v>12988308.399939261</v>
      </c>
      <c r="OI327">
        <f>IF(OH327=MAX($OH$83:$OH$483),$A327,0)</f>
        <v>0</v>
      </c>
      <c r="OJ327">
        <f>IF(OE327&lt;OF327,$A327,B_MAX+1)</f>
        <v>244</v>
      </c>
      <c r="OK327" s="13">
        <f>IF(OB327=1,$OB$35,$OB$36)</f>
        <v>0</v>
      </c>
      <c r="OL327" s="13">
        <f>OCC_DAYS*$OB$41*R_NF_2023-OD327*MCD_SHARE_FREED*R_WAIT_2023</f>
        <v>94673.82103225985</v>
      </c>
      <c r="OM327">
        <f>IF($A327&lt;=$OB$45,1,0)</f>
        <v>0</v>
      </c>
    </row>
    <row r="328">
      <c r="A328" t="n">
        <v>245</v>
      </c>
      <c r="B328">
        <f>IF($B$31&lt;=$B$32,IF($A328&lt;=$B$7,1,2),IF($A328&lt;=RUNG_BEDS_2,2,1))</f>
        <v>1</v>
      </c>
      <c r="C328" s="5">
        <f>MIN(1,MAX(0,$B$26-($A328-1)))</f>
        <v>0</v>
      </c>
      <c r="D328" s="5">
        <f>$B$25*(C328+(1-C328)*$B$16)</f>
        <v>0.0</v>
      </c>
      <c r="E328" s="13">
        <f>D328*($B$6+ACUTE_MARGIN)</f>
        <v>0.0</v>
      </c>
      <c r="F328" s="13">
        <f>IF(B328=1,$B$31,$B$32)</f>
        <v>152394.16214437486</v>
      </c>
      <c r="G328" s="13">
        <f>E328-F328</f>
        <v>-152394.16214437486</v>
      </c>
      <c r="H328" s="13">
        <f>H327+G328</f>
        <v>892400.9029004946</v>
      </c>
      <c r="I328">
        <f>IF(H328=MAX($H$83:$H$483),$A328,0)</f>
        <v>0</v>
      </c>
      <c r="J328">
        <f>IF(E328&lt;F328,$A328,B_MAX+1)</f>
        <v>245</v>
      </c>
      <c r="K328" s="13">
        <f>IF(B328=1,$B$35,$B$36)</f>
        <v>0</v>
      </c>
      <c r="L328" s="13">
        <f>OCC_DAYS*$B$41*R_NF_2023-D328*MCD_SHARE_FREED*R_WAIT_2023</f>
        <v>151980.48282209205</v>
      </c>
      <c r="M328">
        <f>IF($A328&lt;=$B$45,1,0)</f>
        <v>0</v>
      </c>
      <c r="AB328">
        <f>IF($AB$31&lt;=$AB$32,IF($A328&lt;=$AB$7,1,2),IF($A328&lt;=RUNG_BEDS_2,2,1))</f>
        <v>1</v>
      </c>
      <c r="AC328" s="5">
        <f>MIN(1,MAX(0,$AB$26-($A328-1)))</f>
        <v>0</v>
      </c>
      <c r="AD328" s="5">
        <f>$AB$25*(AC328+(1-AC328)*$AB$16)</f>
        <v>0.0</v>
      </c>
      <c r="AE328" s="13">
        <f>AD328*($AB$6+ACUTE_MARGIN)</f>
        <v>0.0</v>
      </c>
      <c r="AF328" s="13">
        <f>IF(AB328=1,$AB$31,$AB$32)</f>
        <v>152394.16214437486</v>
      </c>
      <c r="AG328" s="13">
        <f>AE328-AF328</f>
        <v>-152394.16214437486</v>
      </c>
      <c r="AH328" s="13">
        <f>AH327+AG328</f>
        <v>-16518813.442649292</v>
      </c>
      <c r="AI328">
        <f>IF(AH328=MAX($AH$83:$AH$483),$A328,0)</f>
        <v>0</v>
      </c>
      <c r="AJ328">
        <f>IF(AE328&lt;AF328,$A328,B_MAX+1)</f>
        <v>245</v>
      </c>
      <c r="AK328" s="13">
        <f>IF(AB328=1,$AB$35,$AB$36)</f>
        <v>0</v>
      </c>
      <c r="AL328" s="13">
        <f>OCC_DAYS*$AB$41*R_NF_2023-AD328*MCD_SHARE_FREED*R_WAIT_2023</f>
        <v>151980.48282209205</v>
      </c>
      <c r="AM328">
        <f>IF($A328&lt;=$AB$45,1,0)</f>
        <v>0</v>
      </c>
      <c r="BB328">
        <f>IF($BB$31&lt;=$BB$32,IF($A328&lt;=$BB$7,1,2),IF($A328&lt;=RUNG_BEDS_2,2,1))</f>
        <v>1</v>
      </c>
      <c r="BC328" s="5">
        <f>MIN(1,MAX(0,$BB$26-($A328-1)))</f>
        <v>0</v>
      </c>
      <c r="BD328" s="5">
        <f>$BB$25*(BC328+(1-BC328)*$BB$16)</f>
        <v>0.0</v>
      </c>
      <c r="BE328" s="13">
        <f>BD328*($BB$6+ACUTE_MARGIN)</f>
        <v>0.0</v>
      </c>
      <c r="BF328" s="13">
        <f>IF(BB328=1,$BB$31,$BB$32)</f>
        <v>152394.16214437486</v>
      </c>
      <c r="BG328" s="13">
        <f>BE328-BF328</f>
        <v>-152394.16214437486</v>
      </c>
      <c r="BH328" s="13">
        <f>BH327+BG328</f>
        <v>18303615.2484502</v>
      </c>
      <c r="BI328">
        <f>IF(BH328=MAX($BH$83:$BH$483),$A328,0)</f>
        <v>0</v>
      </c>
      <c r="BJ328">
        <f>IF(BE328&lt;BF328,$A328,B_MAX+1)</f>
        <v>245</v>
      </c>
      <c r="BK328" s="13">
        <f>IF(BB328=1,$BB$35,$BB$36)</f>
        <v>0</v>
      </c>
      <c r="BL328" s="13">
        <f>OCC_DAYS*$BB$41*R_NF_2023-BD328*MCD_SHARE_FREED*R_WAIT_2023</f>
        <v>151980.48282209205</v>
      </c>
      <c r="BM328">
        <f>IF($A328&lt;=$BB$45,1,0)</f>
        <v>0</v>
      </c>
      <c r="CB328">
        <f>IF($CB$31&lt;=$CB$32,IF($A328&lt;=$CB$7,1,2),IF($A328&lt;=RUNG_BEDS_2,2,1))</f>
        <v>2</v>
      </c>
      <c r="CC328" s="5">
        <f>MIN(1,MAX(0,$CB$26-($A328-1)))</f>
        <v>0</v>
      </c>
      <c r="CD328" s="5">
        <f>$CB$25*(CC328+(1-CC328)*$CB$16)</f>
        <v>0.0</v>
      </c>
      <c r="CE328" s="13">
        <f>CD328*($CB$6+ACUTE_MARGIN)</f>
        <v>0.0</v>
      </c>
      <c r="CF328" s="13">
        <f>IF(CB328=1,$CB$31,$CB$32)</f>
        <v>160718.36940738867</v>
      </c>
      <c r="CG328" s="13">
        <f>CE328-CF328</f>
        <v>-160718.36940738867</v>
      </c>
      <c r="CH328" s="13">
        <f>CH327+CG328</f>
        <v>-1147029.876538003</v>
      </c>
      <c r="CI328">
        <f>IF(CH328=MAX($CH$83:$CH$483),$A328,0)</f>
        <v>0</v>
      </c>
      <c r="CJ328">
        <f>IF(CE328&lt;CF328,$A328,B_MAX+1)</f>
        <v>245</v>
      </c>
      <c r="CK328" s="13">
        <f>IF(CB328=1,$CB$35,$CB$36)</f>
        <v>1560.1194073886782</v>
      </c>
      <c r="CL328" s="13">
        <f>OCC_DAYS*$CB$41*R_NF_2023-CD328*MCD_SHARE_FREED*R_WAIT_2023</f>
        <v>151980.48282209205</v>
      </c>
      <c r="CM328">
        <f>IF($A328&lt;=$CB$45,1,0)</f>
        <v>0</v>
      </c>
      <c r="DB328">
        <f>IF($DB$31&lt;=$DB$32,IF($A328&lt;=$DB$7,1,2),IF($A328&lt;=RUNG_BEDS_2,2,1))</f>
        <v>1</v>
      </c>
      <c r="DC328" s="5">
        <f>MIN(1,MAX(0,$DB$26-($A328-1)))</f>
        <v>0</v>
      </c>
      <c r="DD328" s="5">
        <f>$DB$25*(DC328+(1-DC328)*$DB$16)</f>
        <v>0.0</v>
      </c>
      <c r="DE328" s="13">
        <f>DD328*($DB$6+ACUTE_MARGIN)</f>
        <v>0.0</v>
      </c>
      <c r="DF328" s="13">
        <f>IF(DB328=1,$DB$31,$DB$32)</f>
        <v>152394.16214437486</v>
      </c>
      <c r="DG328" s="13">
        <f>DE328-DF328</f>
        <v>-152394.16214437486</v>
      </c>
      <c r="DH328" s="13">
        <f>DH327+DG328</f>
        <v>892400.9029004946</v>
      </c>
      <c r="DI328">
        <f>IF(DH328=MAX($DH$83:$DH$483),$A328,0)</f>
        <v>0</v>
      </c>
      <c r="DJ328">
        <f>IF(DE328&lt;DF328,$A328,B_MAX+1)</f>
        <v>245</v>
      </c>
      <c r="DK328" s="13">
        <f>IF(DB328=1,$DB$35,$DB$36)</f>
        <v>0</v>
      </c>
      <c r="DL328" s="13">
        <f>OCC_DAYS*$DB$41*R_NF_2023-DD328*MCD_SHARE_FREED*R_WAIT_2023</f>
        <v>151980.48282209205</v>
      </c>
      <c r="DM328">
        <f>IF($A328&lt;=$DB$45,1,0)</f>
        <v>0</v>
      </c>
      <c r="EB328">
        <f>IF($EB$31&lt;=$EB$32,IF($A328&lt;=$EB$7,1,2),IF($A328&lt;=RUNG_BEDS_2,2,1))</f>
        <v>1</v>
      </c>
      <c r="EC328" s="5">
        <f>MIN(1,MAX(0,$EB$26-($A328-1)))</f>
        <v>0</v>
      </c>
      <c r="ED328" s="5">
        <f>$EB$25*(EC328+(1-EC328)*$EB$16)</f>
        <v>0.0</v>
      </c>
      <c r="EE328" s="13">
        <f>ED328*($EB$6+ACUTE_MARGIN)</f>
        <v>0.0</v>
      </c>
      <c r="EF328" s="13">
        <f>IF(EB328=1,$EB$31,$EB$32)</f>
        <v>152394.16214437486</v>
      </c>
      <c r="EG328" s="13">
        <f>EE328-EF328</f>
        <v>-152394.16214437486</v>
      </c>
      <c r="EH328" s="13">
        <f>EH327+EG328</f>
        <v>892400.9029004946</v>
      </c>
      <c r="EI328">
        <f>IF(EH328=MAX($EH$83:$EH$483),$A328,0)</f>
        <v>0</v>
      </c>
      <c r="EJ328">
        <f>IF(EE328&lt;EF328,$A328,B_MAX+1)</f>
        <v>245</v>
      </c>
      <c r="EK328" s="13">
        <f>IF(EB328=1,$EB$35,$EB$36)</f>
        <v>0</v>
      </c>
      <c r="EL328" s="13">
        <f>OCC_DAYS*$EB$41*R_NF_2023-ED328*MCD_SHARE_FREED*R_WAIT_2023</f>
        <v>50660.16094069735</v>
      </c>
      <c r="EM328">
        <f>IF($A328&lt;=$EB$45,1,0)</f>
        <v>0</v>
      </c>
      <c r="FB328">
        <f>IF($FB$31&lt;=$FB$32,IF($A328&lt;=$FB$7,1,2),IF($A328&lt;=RUNG_BEDS_2,2,1))</f>
        <v>1</v>
      </c>
      <c r="FC328" s="5">
        <f>MIN(1,MAX(0,$FB$26-($A328-1)))</f>
        <v>0</v>
      </c>
      <c r="FD328" s="5">
        <f>$FB$25*(FC328+(1-FC328)*$FB$16)</f>
        <v>0.0</v>
      </c>
      <c r="FE328" s="13">
        <f>FD328*($FB$6+ACUTE_MARGIN)</f>
        <v>0.0</v>
      </c>
      <c r="FF328" s="13">
        <f>IF(FB328=1,$FB$31,$FB$32)</f>
        <v>156636.04979437485</v>
      </c>
      <c r="FG328" s="13">
        <f>FE328-FF328</f>
        <v>-156636.04979437485</v>
      </c>
      <c r="FH328" s="13">
        <f>FH327+FG328</f>
        <v>-146861.57134961896</v>
      </c>
      <c r="FI328">
        <f>IF(FH328=MAX($FH$83:$FH$483),$A328,0)</f>
        <v>0</v>
      </c>
      <c r="FJ328">
        <f>IF(FE328&lt;FF328,$A328,B_MAX+1)</f>
        <v>245</v>
      </c>
      <c r="FK328" s="13">
        <f>IF(FB328=1,$FB$35,$FB$36)</f>
        <v>0</v>
      </c>
      <c r="FL328" s="13">
        <f>OCC_DAYS*$FB$41*R_NF_2023-FD328*MCD_SHARE_FREED*R_WAIT_2023</f>
        <v>151980.48282209205</v>
      </c>
      <c r="FM328">
        <f>IF($A328&lt;=$FB$45,1,0)</f>
        <v>0</v>
      </c>
      <c r="GB328">
        <f>IF($GB$31&lt;=$GB$32,IF($A328&lt;=$GB$7,1,2),IF($A328&lt;=RUNG_BEDS_2,2,1))</f>
        <v>1</v>
      </c>
      <c r="GC328" s="5">
        <f>MIN(1,MAX(0,$GB$26-($A328-1)))</f>
        <v>0</v>
      </c>
      <c r="GD328" s="5">
        <f>$GB$25*(GC328+(1-GC328)*$GB$16)</f>
        <v>0.0</v>
      </c>
      <c r="GE328" s="13">
        <f>GD328*($GB$6+ACUTE_MARGIN)</f>
        <v>0.0</v>
      </c>
      <c r="GF328" s="13">
        <f>IF(GB328=1,$GB$31,$GB$32)</f>
        <v>152394.16214437486</v>
      </c>
      <c r="GG328" s="13">
        <f>GE328-GF328</f>
        <v>-152394.16214437486</v>
      </c>
      <c r="GH328" s="13">
        <f>GH327+GG328</f>
        <v>892400.9029004946</v>
      </c>
      <c r="GI328">
        <f>IF(GH328=MAX($GH$83:$GH$483),$A328,0)</f>
        <v>0</v>
      </c>
      <c r="GJ328">
        <f>IF(GE328&lt;GF328,$A328,B_MAX+1)</f>
        <v>245</v>
      </c>
      <c r="GK328" s="13">
        <f>IF(GB328=1,$GB$35,$GB$36)</f>
        <v>0</v>
      </c>
      <c r="GL328" s="13">
        <f>OCC_DAYS*$GB$41*R_NF_2023-GD328*MCD_SHARE_FREED*R_WAIT_2023</f>
        <v>151980.48282209205</v>
      </c>
      <c r="GM328">
        <f>IF($A328&lt;=$GB$45,1,0)</f>
        <v>0</v>
      </c>
      <c r="HB328">
        <f>IF($HB$31&lt;=$HB$32,IF($A328&lt;=$HB$7,1,2),IF($A328&lt;=RUNG_BEDS_2,2,1))</f>
        <v>1</v>
      </c>
      <c r="HC328" s="5">
        <f>MIN(1,MAX(0,$HB$26-($A328-1)))</f>
        <v>0</v>
      </c>
      <c r="HD328" s="5">
        <f>$HB$25*(HC328+(1-HC328)*$HB$16)</f>
        <v>0.0</v>
      </c>
      <c r="HE328" s="13">
        <f>HD328*($HB$6+ACUTE_MARGIN)</f>
        <v>0.0</v>
      </c>
      <c r="HF328" s="13">
        <f>IF(HB328=1,$HB$31,$HB$32)</f>
        <v>152456.2970814058</v>
      </c>
      <c r="HG328" s="13">
        <f>HE328-HF328</f>
        <v>-152456.2970814058</v>
      </c>
      <c r="HH328" s="13">
        <f>HH327+HG328</f>
        <v>877177.8433278752</v>
      </c>
      <c r="HI328">
        <f>IF(HH328=MAX($HH$83:$HH$483),$A328,0)</f>
        <v>0</v>
      </c>
      <c r="HJ328">
        <f>IF(HE328&lt;HF328,$A328,B_MAX+1)</f>
        <v>245</v>
      </c>
      <c r="HK328" s="13">
        <f>IF(HB328=1,$HB$35,$HB$36)</f>
        <v>0</v>
      </c>
      <c r="HL328" s="13">
        <f>OCC_DAYS*$HB$41*R_NF_2023-HD328*MCD_SHARE_FREED*R_WAIT_2023</f>
        <v>151980.48282209205</v>
      </c>
      <c r="HM328">
        <f>IF($A328&lt;=$HB$45,1,0)</f>
        <v>0</v>
      </c>
      <c r="IB328">
        <f>IF($IB$31&lt;=$IB$32,IF($A328&lt;=$IB$7,1,2),IF($A328&lt;=RUNG_BEDS_2,2,1))</f>
        <v>1</v>
      </c>
      <c r="IC328" s="5">
        <f>MIN(1,MAX(0,$IB$26-($A328-1)))</f>
        <v>0</v>
      </c>
      <c r="ID328" s="5">
        <f>$IB$25*(IC328+(1-IC328)*$IB$16)</f>
        <v>0.0</v>
      </c>
      <c r="IE328" s="13">
        <f>ID328*($IB$6+ACUTE_MARGIN)</f>
        <v>0.0</v>
      </c>
      <c r="IF328" s="13">
        <f>IF(IB328=1,$IB$31,$IB$32)</f>
        <v>152734.9994534971</v>
      </c>
      <c r="IG328" s="13">
        <f>IE328-IF328</f>
        <v>-152734.9994534971</v>
      </c>
      <c r="IH328" s="13">
        <f>IH327+IG328</f>
        <v>808895.7621654533</v>
      </c>
      <c r="II328">
        <f>IF(IH328=MAX($IH$83:$IH$483),$A328,0)</f>
        <v>0</v>
      </c>
      <c r="IJ328">
        <f>IF(IE328&lt;IF328,$A328,B_MAX+1)</f>
        <v>245</v>
      </c>
      <c r="IK328" s="13">
        <f>IF(IB328=1,$IB$35,$IB$36)</f>
        <v>0</v>
      </c>
      <c r="IL328" s="13">
        <f>OCC_DAYS*$IB$41*R_NF_2023-ID328*MCD_SHARE_FREED*R_WAIT_2023</f>
        <v>151980.48282209205</v>
      </c>
      <c r="IM328">
        <f>IF($A328&lt;=$IB$45,1,0)</f>
        <v>0</v>
      </c>
      <c r="JB328">
        <f>IF($JB$31&lt;=$JB$32,IF($A328&lt;=$JB$7,1,2),IF($A328&lt;=RUNG_BEDS_2,2,1))</f>
        <v>1</v>
      </c>
      <c r="JC328" s="5">
        <f>MIN(1,MAX(0,$JB$26-($A328-1)))</f>
        <v>0</v>
      </c>
      <c r="JD328" s="5">
        <f>$JB$25*(JC328+(1-JC328)*$JB$16)</f>
        <v>0.0</v>
      </c>
      <c r="JE328" s="13">
        <f>JD328*($JB$6+ACUTE_MARGIN)</f>
        <v>0.0</v>
      </c>
      <c r="JF328" s="13">
        <f>IF(JB328=1,$JB$31,$JB$32)</f>
        <v>152394.16214437486</v>
      </c>
      <c r="JG328" s="13">
        <f>JE328-JF328</f>
        <v>-152394.16214437486</v>
      </c>
      <c r="JH328" s="13">
        <f>JH327+JG328</f>
        <v>892400.9029004946</v>
      </c>
      <c r="JI328">
        <f>IF(JH328=MAX($JH$83:$JH$483),$A328,0)</f>
        <v>0</v>
      </c>
      <c r="JJ328">
        <f>IF(JE328&lt;JF328,$A328,B_MAX+1)</f>
        <v>245</v>
      </c>
      <c r="JK328" s="13">
        <f>IF(JB328=1,$JB$35,$JB$36)</f>
        <v>0</v>
      </c>
      <c r="JL328" s="13">
        <f>OCC_DAYS*$JB$41*R_NF_2023-JD328*MCD_SHARE_FREED*R_WAIT_2023</f>
        <v>151980.48282209205</v>
      </c>
      <c r="JM328">
        <f>IF($A328&lt;=$JB$45,1,0)</f>
        <v>0</v>
      </c>
      <c r="KB328">
        <f>IF($KB$31&lt;=$KB$32,IF($A328&lt;=$KB$7,1,2),IF($A328&lt;=RUNG_BEDS_2,2,1))</f>
        <v>1</v>
      </c>
      <c r="KC328" s="5">
        <f>MIN(1,MAX(0,$KB$26-($A328-1)))</f>
        <v>1</v>
      </c>
      <c r="KD328" s="5">
        <f>$KB$25*(KC328+(1-KC328)*$KB$16)</f>
        <v>126.02661357340719</v>
      </c>
      <c r="KE328" s="13">
        <f>KD328*($KB$6+ACUTE_MARGIN)</f>
        <v>127286.87970914126</v>
      </c>
      <c r="KF328" s="13">
        <f>IF(KB328=1,$KB$31,$KB$32)</f>
        <v>152394.16214437486</v>
      </c>
      <c r="KG328" s="13">
        <f>KE328-KF328</f>
        <v>-25107.282435233603</v>
      </c>
      <c r="KH328" s="13">
        <f>KH327+KG328</f>
        <v>-6151284.196632253</v>
      </c>
      <c r="KI328">
        <f>IF(KH328=MAX($KH$83:$KH$483),$A328,0)</f>
        <v>0</v>
      </c>
      <c r="KJ328">
        <f>IF(KE328&lt;KF328,$A328,B_MAX+1)</f>
        <v>245</v>
      </c>
      <c r="KK328" s="13">
        <f>IF(KB328=1,$KB$35,$KB$36)</f>
        <v>0</v>
      </c>
      <c r="KL328" s="13">
        <f>OCC_DAYS*$KB$41*R_NF_2023-KD328*MCD_SHARE_FREED*R_WAIT_2023</f>
        <v>94673.82103225985</v>
      </c>
      <c r="KM328">
        <f>IF($A328&lt;=$KB$45,1,0)</f>
        <v>0</v>
      </c>
      <c r="LB328">
        <f>IF($LB$31&lt;=$LB$32,IF($A328&lt;=$LB$7,1,2),IF($A328&lt;=RUNG_BEDS_2,2,1))</f>
        <v>1</v>
      </c>
      <c r="LC328" s="5">
        <f>MIN(1,MAX(0,$LB$26-($A328-1)))</f>
        <v>1</v>
      </c>
      <c r="LD328" s="5">
        <f>$LB$25*(LC328+(1-LC328)*$LB$16)</f>
        <v>84.01774238227146</v>
      </c>
      <c r="LE328" s="13">
        <f>LD328*($LB$6+ACUTE_MARGIN)</f>
        <v>84857.91980609419</v>
      </c>
      <c r="LF328" s="13">
        <f>IF(LB328=1,$LB$31,$LB$32)</f>
        <v>152394.16214437486</v>
      </c>
      <c r="LG328" s="13">
        <f>LE328-LF328</f>
        <v>-67536.24233828067</v>
      </c>
      <c r="LH328" s="13">
        <f>LH327+LG328</f>
        <v>-16546379.372878846</v>
      </c>
      <c r="LI328">
        <f>IF(LH328=MAX($LH$83:$LH$483),$A328,0)</f>
        <v>0</v>
      </c>
      <c r="LJ328">
        <f>IF(LE328&lt;LF328,$A328,B_MAX+1)</f>
        <v>245</v>
      </c>
      <c r="LK328" s="13">
        <f>IF(LB328=1,$LB$35,$LB$36)</f>
        <v>0</v>
      </c>
      <c r="LL328" s="13">
        <f>OCC_DAYS*$LB$41*R_NF_2023-LD328*MCD_SHARE_FREED*R_WAIT_2023</f>
        <v>113776.04162887059</v>
      </c>
      <c r="LM328">
        <f>IF($A328&lt;=$LB$45,1,0)</f>
        <v>0</v>
      </c>
      <c r="MB328">
        <f>IF($MB$31&lt;=$MB$32,IF($A328&lt;=$MB$7,1,2),IF($A328&lt;=RUNG_BEDS_2,2,1))</f>
        <v>1</v>
      </c>
      <c r="MC328" s="5">
        <f>MIN(1,MAX(0,$MB$26-($A328-1)))</f>
        <v>0</v>
      </c>
      <c r="MD328" s="5">
        <f>$MB$25*(MC328+(1-MC328)*$MB$16)</f>
        <v>0.0</v>
      </c>
      <c r="ME328" s="13">
        <f>MD328*($MB$6+ACUTE_MARGIN)</f>
        <v>0.0</v>
      </c>
      <c r="MF328" s="13">
        <f>IF(MB328=1,$MB$31,$MB$32)</f>
        <v>152394.16214437486</v>
      </c>
      <c r="MG328" s="13">
        <f>ME328-MF328</f>
        <v>-152394.16214437486</v>
      </c>
      <c r="MH328" s="13">
        <f>MH327+MG328</f>
        <v>-4994875.158897837</v>
      </c>
      <c r="MI328">
        <f>IF(MH328=MAX($MH$83:$MH$483),$A328,0)</f>
        <v>0</v>
      </c>
      <c r="MJ328">
        <f>IF(ME328&lt;MF328,$A328,B_MAX+1)</f>
        <v>245</v>
      </c>
      <c r="MK328" s="13">
        <f>IF(MB328=1,$MB$35,$MB$36)</f>
        <v>0</v>
      </c>
      <c r="ML328" s="13">
        <f>OCC_DAYS*$MB$41*R_NF_2023-MD328*MCD_SHARE_FREED*R_WAIT_2023</f>
        <v>151980.48282209205</v>
      </c>
      <c r="MM328">
        <f>IF($A328&lt;=$MB$45,1,0)</f>
        <v>0</v>
      </c>
      <c r="NB328">
        <f>IF($NB$31&lt;=$NB$32,IF($A328&lt;=$NB$7,1,2),IF($A328&lt;=RUNG_BEDS_2,2,1))</f>
        <v>1</v>
      </c>
      <c r="NC328" s="5">
        <f>MIN(1,MAX(0,$NB$26-($A328-1)))</f>
        <v>0</v>
      </c>
      <c r="ND328" s="5">
        <f>$NB$25*(NC328+(1-NC328)*$NB$16)</f>
        <v>63.013306786703595</v>
      </c>
      <c r="NE328" s="13">
        <f>ND328*($NB$6+ACUTE_MARGIN)</f>
        <v>63643.43985457063</v>
      </c>
      <c r="NF328" s="13">
        <f>IF(NB328=1,$NB$31,$NB$32)</f>
        <v>152394.16214437486</v>
      </c>
      <c r="NG328" s="13">
        <f>NE328-NF328</f>
        <v>-88750.72228980422</v>
      </c>
      <c r="NH328" s="13">
        <f>NH327+NG328</f>
        <v>6927801.0102021955</v>
      </c>
      <c r="NI328">
        <f>IF(NH328=MAX($NH$83:$NH$483),$A328,0)</f>
        <v>0</v>
      </c>
      <c r="NJ328">
        <f>IF(NE328&lt;NF328,$A328,B_MAX+1)</f>
        <v>245</v>
      </c>
      <c r="NK328" s="13">
        <f>IF(NB328=1,$NB$35,$NB$36)</f>
        <v>0</v>
      </c>
      <c r="NL328" s="13">
        <f>OCC_DAYS*$NB$41*R_NF_2023-ND328*MCD_SHARE_FREED*R_WAIT_2023</f>
        <v>123327.15192717595</v>
      </c>
      <c r="NM328">
        <f>IF($A328&lt;=$NB$45,1,0)</f>
        <v>0</v>
      </c>
      <c r="OB328">
        <f>IF($OB$31&lt;=$OB$32,IF($A328&lt;=$OB$7,1,2),IF($A328&lt;=RUNG_BEDS_2,2,1))</f>
        <v>1</v>
      </c>
      <c r="OC328" s="5">
        <f>MIN(1,MAX(0,$OB$26-($A328-1)))</f>
        <v>0</v>
      </c>
      <c r="OD328" s="5">
        <f>$OB$25*(OC328+(1-OC328)*$OB$16)</f>
        <v>126.02661357340719</v>
      </c>
      <c r="OE328" s="13">
        <f>OD328*($OB$6+ACUTE_MARGIN)</f>
        <v>127286.87970914126</v>
      </c>
      <c r="OF328" s="13">
        <f>IF(OB328=1,$OB$31,$OB$32)</f>
        <v>152394.16214437486</v>
      </c>
      <c r="OG328" s="13">
        <f>OE328-OF328</f>
        <v>-25107.282435233603</v>
      </c>
      <c r="OH328" s="13">
        <f>OH327+OG328</f>
        <v>12963201.117504029</v>
      </c>
      <c r="OI328">
        <f>IF(OH328=MAX($OH$83:$OH$483),$A328,0)</f>
        <v>0</v>
      </c>
      <c r="OJ328">
        <f>IF(OE328&lt;OF328,$A328,B_MAX+1)</f>
        <v>245</v>
      </c>
      <c r="OK328" s="13">
        <f>IF(OB328=1,$OB$35,$OB$36)</f>
        <v>0</v>
      </c>
      <c r="OL328" s="13">
        <f>OCC_DAYS*$OB$41*R_NF_2023-OD328*MCD_SHARE_FREED*R_WAIT_2023</f>
        <v>94673.82103225985</v>
      </c>
      <c r="OM328">
        <f>IF($A328&lt;=$OB$45,1,0)</f>
        <v>0</v>
      </c>
    </row>
    <row r="329">
      <c r="A329" t="n">
        <v>246</v>
      </c>
      <c r="B329">
        <f>IF($B$31&lt;=$B$32,IF($A329&lt;=$B$7,1,2),IF($A329&lt;=RUNG_BEDS_2,2,1))</f>
        <v>1</v>
      </c>
      <c r="C329" s="5">
        <f>MIN(1,MAX(0,$B$26-($A329-1)))</f>
        <v>0</v>
      </c>
      <c r="D329" s="5">
        <f>$B$25*(C329+(1-C329)*$B$16)</f>
        <v>0.0</v>
      </c>
      <c r="E329" s="13">
        <f>D329*($B$6+ACUTE_MARGIN)</f>
        <v>0.0</v>
      </c>
      <c r="F329" s="13">
        <f>IF(B329=1,$B$31,$B$32)</f>
        <v>152394.16214437486</v>
      </c>
      <c r="G329" s="13">
        <f>E329-F329</f>
        <v>-152394.16214437486</v>
      </c>
      <c r="H329" s="13">
        <f>H328+G329</f>
        <v>740006.7407561198</v>
      </c>
      <c r="I329">
        <f>IF(H329=MAX($H$83:$H$483),$A329,0)</f>
        <v>0</v>
      </c>
      <c r="J329">
        <f>IF(E329&lt;F329,$A329,B_MAX+1)</f>
        <v>246</v>
      </c>
      <c r="K329" s="13">
        <f>IF(B329=1,$B$35,$B$36)</f>
        <v>0</v>
      </c>
      <c r="L329" s="13">
        <f>OCC_DAYS*$B$41*R_NF_2023-D329*MCD_SHARE_FREED*R_WAIT_2023</f>
        <v>151980.48282209205</v>
      </c>
      <c r="M329">
        <f>IF($A329&lt;=$B$45,1,0)</f>
        <v>0</v>
      </c>
      <c r="AB329">
        <f>IF($AB$31&lt;=$AB$32,IF($A329&lt;=$AB$7,1,2),IF($A329&lt;=RUNG_BEDS_2,2,1))</f>
        <v>1</v>
      </c>
      <c r="AC329" s="5">
        <f>MIN(1,MAX(0,$AB$26-($A329-1)))</f>
        <v>0</v>
      </c>
      <c r="AD329" s="5">
        <f>$AB$25*(AC329+(1-AC329)*$AB$16)</f>
        <v>0.0</v>
      </c>
      <c r="AE329" s="13">
        <f>AD329*($AB$6+ACUTE_MARGIN)</f>
        <v>0.0</v>
      </c>
      <c r="AF329" s="13">
        <f>IF(AB329=1,$AB$31,$AB$32)</f>
        <v>152394.16214437486</v>
      </c>
      <c r="AG329" s="13">
        <f>AE329-AF329</f>
        <v>-152394.16214437486</v>
      </c>
      <c r="AH329" s="13">
        <f>AH328+AG329</f>
        <v>-16671207.604793666</v>
      </c>
      <c r="AI329">
        <f>IF(AH329=MAX($AH$83:$AH$483),$A329,0)</f>
        <v>0</v>
      </c>
      <c r="AJ329">
        <f>IF(AE329&lt;AF329,$A329,B_MAX+1)</f>
        <v>246</v>
      </c>
      <c r="AK329" s="13">
        <f>IF(AB329=1,$AB$35,$AB$36)</f>
        <v>0</v>
      </c>
      <c r="AL329" s="13">
        <f>OCC_DAYS*$AB$41*R_NF_2023-AD329*MCD_SHARE_FREED*R_WAIT_2023</f>
        <v>151980.48282209205</v>
      </c>
      <c r="AM329">
        <f>IF($A329&lt;=$AB$45,1,0)</f>
        <v>0</v>
      </c>
      <c r="BB329">
        <f>IF($BB$31&lt;=$BB$32,IF($A329&lt;=$BB$7,1,2),IF($A329&lt;=RUNG_BEDS_2,2,1))</f>
        <v>1</v>
      </c>
      <c r="BC329" s="5">
        <f>MIN(1,MAX(0,$BB$26-($A329-1)))</f>
        <v>0</v>
      </c>
      <c r="BD329" s="5">
        <f>$BB$25*(BC329+(1-BC329)*$BB$16)</f>
        <v>0.0</v>
      </c>
      <c r="BE329" s="13">
        <f>BD329*($BB$6+ACUTE_MARGIN)</f>
        <v>0.0</v>
      </c>
      <c r="BF329" s="13">
        <f>IF(BB329=1,$BB$31,$BB$32)</f>
        <v>152394.16214437486</v>
      </c>
      <c r="BG329" s="13">
        <f>BE329-BF329</f>
        <v>-152394.16214437486</v>
      </c>
      <c r="BH329" s="13">
        <f>BH328+BG329</f>
        <v>18151221.086305827</v>
      </c>
      <c r="BI329">
        <f>IF(BH329=MAX($BH$83:$BH$483),$A329,0)</f>
        <v>0</v>
      </c>
      <c r="BJ329">
        <f>IF(BE329&lt;BF329,$A329,B_MAX+1)</f>
        <v>246</v>
      </c>
      <c r="BK329" s="13">
        <f>IF(BB329=1,$BB$35,$BB$36)</f>
        <v>0</v>
      </c>
      <c r="BL329" s="13">
        <f>OCC_DAYS*$BB$41*R_NF_2023-BD329*MCD_SHARE_FREED*R_WAIT_2023</f>
        <v>151980.48282209205</v>
      </c>
      <c r="BM329">
        <f>IF($A329&lt;=$BB$45,1,0)</f>
        <v>0</v>
      </c>
      <c r="CB329">
        <f>IF($CB$31&lt;=$CB$32,IF($A329&lt;=$CB$7,1,2),IF($A329&lt;=RUNG_BEDS_2,2,1))</f>
        <v>2</v>
      </c>
      <c r="CC329" s="5">
        <f>MIN(1,MAX(0,$CB$26-($A329-1)))</f>
        <v>0</v>
      </c>
      <c r="CD329" s="5">
        <f>$CB$25*(CC329+(1-CC329)*$CB$16)</f>
        <v>0.0</v>
      </c>
      <c r="CE329" s="13">
        <f>CD329*($CB$6+ACUTE_MARGIN)</f>
        <v>0.0</v>
      </c>
      <c r="CF329" s="13">
        <f>IF(CB329=1,$CB$31,$CB$32)</f>
        <v>160718.36940738867</v>
      </c>
      <c r="CG329" s="13">
        <f>CE329-CF329</f>
        <v>-160718.36940738867</v>
      </c>
      <c r="CH329" s="13">
        <f>CH328+CG329</f>
        <v>-1307748.2459453917</v>
      </c>
      <c r="CI329">
        <f>IF(CH329=MAX($CH$83:$CH$483),$A329,0)</f>
        <v>0</v>
      </c>
      <c r="CJ329">
        <f>IF(CE329&lt;CF329,$A329,B_MAX+1)</f>
        <v>246</v>
      </c>
      <c r="CK329" s="13">
        <f>IF(CB329=1,$CB$35,$CB$36)</f>
        <v>1560.1194073886782</v>
      </c>
      <c r="CL329" s="13">
        <f>OCC_DAYS*$CB$41*R_NF_2023-CD329*MCD_SHARE_FREED*R_WAIT_2023</f>
        <v>151980.48282209205</v>
      </c>
      <c r="CM329">
        <f>IF($A329&lt;=$CB$45,1,0)</f>
        <v>0</v>
      </c>
      <c r="DB329">
        <f>IF($DB$31&lt;=$DB$32,IF($A329&lt;=$DB$7,1,2),IF($A329&lt;=RUNG_BEDS_2,2,1))</f>
        <v>1</v>
      </c>
      <c r="DC329" s="5">
        <f>MIN(1,MAX(0,$DB$26-($A329-1)))</f>
        <v>0</v>
      </c>
      <c r="DD329" s="5">
        <f>$DB$25*(DC329+(1-DC329)*$DB$16)</f>
        <v>0.0</v>
      </c>
      <c r="DE329" s="13">
        <f>DD329*($DB$6+ACUTE_MARGIN)</f>
        <v>0.0</v>
      </c>
      <c r="DF329" s="13">
        <f>IF(DB329=1,$DB$31,$DB$32)</f>
        <v>152394.16214437486</v>
      </c>
      <c r="DG329" s="13">
        <f>DE329-DF329</f>
        <v>-152394.16214437486</v>
      </c>
      <c r="DH329" s="13">
        <f>DH328+DG329</f>
        <v>740006.7407561198</v>
      </c>
      <c r="DI329">
        <f>IF(DH329=MAX($DH$83:$DH$483),$A329,0)</f>
        <v>0</v>
      </c>
      <c r="DJ329">
        <f>IF(DE329&lt;DF329,$A329,B_MAX+1)</f>
        <v>246</v>
      </c>
      <c r="DK329" s="13">
        <f>IF(DB329=1,$DB$35,$DB$36)</f>
        <v>0</v>
      </c>
      <c r="DL329" s="13">
        <f>OCC_DAYS*$DB$41*R_NF_2023-DD329*MCD_SHARE_FREED*R_WAIT_2023</f>
        <v>151980.48282209205</v>
      </c>
      <c r="DM329">
        <f>IF($A329&lt;=$DB$45,1,0)</f>
        <v>0</v>
      </c>
      <c r="EB329">
        <f>IF($EB$31&lt;=$EB$32,IF($A329&lt;=$EB$7,1,2),IF($A329&lt;=RUNG_BEDS_2,2,1))</f>
        <v>1</v>
      </c>
      <c r="EC329" s="5">
        <f>MIN(1,MAX(0,$EB$26-($A329-1)))</f>
        <v>0</v>
      </c>
      <c r="ED329" s="5">
        <f>$EB$25*(EC329+(1-EC329)*$EB$16)</f>
        <v>0.0</v>
      </c>
      <c r="EE329" s="13">
        <f>ED329*($EB$6+ACUTE_MARGIN)</f>
        <v>0.0</v>
      </c>
      <c r="EF329" s="13">
        <f>IF(EB329=1,$EB$31,$EB$32)</f>
        <v>152394.16214437486</v>
      </c>
      <c r="EG329" s="13">
        <f>EE329-EF329</f>
        <v>-152394.16214437486</v>
      </c>
      <c r="EH329" s="13">
        <f>EH328+EG329</f>
        <v>740006.7407561198</v>
      </c>
      <c r="EI329">
        <f>IF(EH329=MAX($EH$83:$EH$483),$A329,0)</f>
        <v>0</v>
      </c>
      <c r="EJ329">
        <f>IF(EE329&lt;EF329,$A329,B_MAX+1)</f>
        <v>246</v>
      </c>
      <c r="EK329" s="13">
        <f>IF(EB329=1,$EB$35,$EB$36)</f>
        <v>0</v>
      </c>
      <c r="EL329" s="13">
        <f>OCC_DAYS*$EB$41*R_NF_2023-ED329*MCD_SHARE_FREED*R_WAIT_2023</f>
        <v>50660.16094069735</v>
      </c>
      <c r="EM329">
        <f>IF($A329&lt;=$EB$45,1,0)</f>
        <v>0</v>
      </c>
      <c r="FB329">
        <f>IF($FB$31&lt;=$FB$32,IF($A329&lt;=$FB$7,1,2),IF($A329&lt;=RUNG_BEDS_2,2,1))</f>
        <v>1</v>
      </c>
      <c r="FC329" s="5">
        <f>MIN(1,MAX(0,$FB$26-($A329-1)))</f>
        <v>0</v>
      </c>
      <c r="FD329" s="5">
        <f>$FB$25*(FC329+(1-FC329)*$FB$16)</f>
        <v>0.0</v>
      </c>
      <c r="FE329" s="13">
        <f>FD329*($FB$6+ACUTE_MARGIN)</f>
        <v>0.0</v>
      </c>
      <c r="FF329" s="13">
        <f>IF(FB329=1,$FB$31,$FB$32)</f>
        <v>156636.04979437485</v>
      </c>
      <c r="FG329" s="13">
        <f>FE329-FF329</f>
        <v>-156636.04979437485</v>
      </c>
      <c r="FH329" s="13">
        <f>FH328+FG329</f>
        <v>-303497.6211439938</v>
      </c>
      <c r="FI329">
        <f>IF(FH329=MAX($FH$83:$FH$483),$A329,0)</f>
        <v>0</v>
      </c>
      <c r="FJ329">
        <f>IF(FE329&lt;FF329,$A329,B_MAX+1)</f>
        <v>246</v>
      </c>
      <c r="FK329" s="13">
        <f>IF(FB329=1,$FB$35,$FB$36)</f>
        <v>0</v>
      </c>
      <c r="FL329" s="13">
        <f>OCC_DAYS*$FB$41*R_NF_2023-FD329*MCD_SHARE_FREED*R_WAIT_2023</f>
        <v>151980.48282209205</v>
      </c>
      <c r="FM329">
        <f>IF($A329&lt;=$FB$45,1,0)</f>
        <v>0</v>
      </c>
      <c r="GB329">
        <f>IF($GB$31&lt;=$GB$32,IF($A329&lt;=$GB$7,1,2),IF($A329&lt;=RUNG_BEDS_2,2,1))</f>
        <v>1</v>
      </c>
      <c r="GC329" s="5">
        <f>MIN(1,MAX(0,$GB$26-($A329-1)))</f>
        <v>0</v>
      </c>
      <c r="GD329" s="5">
        <f>$GB$25*(GC329+(1-GC329)*$GB$16)</f>
        <v>0.0</v>
      </c>
      <c r="GE329" s="13">
        <f>GD329*($GB$6+ACUTE_MARGIN)</f>
        <v>0.0</v>
      </c>
      <c r="GF329" s="13">
        <f>IF(GB329=1,$GB$31,$GB$32)</f>
        <v>152394.16214437486</v>
      </c>
      <c r="GG329" s="13">
        <f>GE329-GF329</f>
        <v>-152394.16214437486</v>
      </c>
      <c r="GH329" s="13">
        <f>GH328+GG329</f>
        <v>740006.7407561198</v>
      </c>
      <c r="GI329">
        <f>IF(GH329=MAX($GH$83:$GH$483),$A329,0)</f>
        <v>0</v>
      </c>
      <c r="GJ329">
        <f>IF(GE329&lt;GF329,$A329,B_MAX+1)</f>
        <v>246</v>
      </c>
      <c r="GK329" s="13">
        <f>IF(GB329=1,$GB$35,$GB$36)</f>
        <v>0</v>
      </c>
      <c r="GL329" s="13">
        <f>OCC_DAYS*$GB$41*R_NF_2023-GD329*MCD_SHARE_FREED*R_WAIT_2023</f>
        <v>151980.48282209205</v>
      </c>
      <c r="GM329">
        <f>IF($A329&lt;=$GB$45,1,0)</f>
        <v>0</v>
      </c>
      <c r="HB329">
        <f>IF($HB$31&lt;=$HB$32,IF($A329&lt;=$HB$7,1,2),IF($A329&lt;=RUNG_BEDS_2,2,1))</f>
        <v>1</v>
      </c>
      <c r="HC329" s="5">
        <f>MIN(1,MAX(0,$HB$26-($A329-1)))</f>
        <v>0</v>
      </c>
      <c r="HD329" s="5">
        <f>$HB$25*(HC329+(1-HC329)*$HB$16)</f>
        <v>0.0</v>
      </c>
      <c r="HE329" s="13">
        <f>HD329*($HB$6+ACUTE_MARGIN)</f>
        <v>0.0</v>
      </c>
      <c r="HF329" s="13">
        <f>IF(HB329=1,$HB$31,$HB$32)</f>
        <v>152456.2970814058</v>
      </c>
      <c r="HG329" s="13">
        <f>HE329-HF329</f>
        <v>-152456.2970814058</v>
      </c>
      <c r="HH329" s="13">
        <f>HH328+HG329</f>
        <v>724721.5462464695</v>
      </c>
      <c r="HI329">
        <f>IF(HH329=MAX($HH$83:$HH$483),$A329,0)</f>
        <v>0</v>
      </c>
      <c r="HJ329">
        <f>IF(HE329&lt;HF329,$A329,B_MAX+1)</f>
        <v>246</v>
      </c>
      <c r="HK329" s="13">
        <f>IF(HB329=1,$HB$35,$HB$36)</f>
        <v>0</v>
      </c>
      <c r="HL329" s="13">
        <f>OCC_DAYS*$HB$41*R_NF_2023-HD329*MCD_SHARE_FREED*R_WAIT_2023</f>
        <v>151980.48282209205</v>
      </c>
      <c r="HM329">
        <f>IF($A329&lt;=$HB$45,1,0)</f>
        <v>0</v>
      </c>
      <c r="IB329">
        <f>IF($IB$31&lt;=$IB$32,IF($A329&lt;=$IB$7,1,2),IF($A329&lt;=RUNG_BEDS_2,2,1))</f>
        <v>1</v>
      </c>
      <c r="IC329" s="5">
        <f>MIN(1,MAX(0,$IB$26-($A329-1)))</f>
        <v>0</v>
      </c>
      <c r="ID329" s="5">
        <f>$IB$25*(IC329+(1-IC329)*$IB$16)</f>
        <v>0.0</v>
      </c>
      <c r="IE329" s="13">
        <f>ID329*($IB$6+ACUTE_MARGIN)</f>
        <v>0.0</v>
      </c>
      <c r="IF329" s="13">
        <f>IF(IB329=1,$IB$31,$IB$32)</f>
        <v>152734.9994534971</v>
      </c>
      <c r="IG329" s="13">
        <f>IE329-IF329</f>
        <v>-152734.9994534971</v>
      </c>
      <c r="IH329" s="13">
        <f>IH328+IG329</f>
        <v>656160.7627119562</v>
      </c>
      <c r="II329">
        <f>IF(IH329=MAX($IH$83:$IH$483),$A329,0)</f>
        <v>0</v>
      </c>
      <c r="IJ329">
        <f>IF(IE329&lt;IF329,$A329,B_MAX+1)</f>
        <v>246</v>
      </c>
      <c r="IK329" s="13">
        <f>IF(IB329=1,$IB$35,$IB$36)</f>
        <v>0</v>
      </c>
      <c r="IL329" s="13">
        <f>OCC_DAYS*$IB$41*R_NF_2023-ID329*MCD_SHARE_FREED*R_WAIT_2023</f>
        <v>151980.48282209205</v>
      </c>
      <c r="IM329">
        <f>IF($A329&lt;=$IB$45,1,0)</f>
        <v>0</v>
      </c>
      <c r="JB329">
        <f>IF($JB$31&lt;=$JB$32,IF($A329&lt;=$JB$7,1,2),IF($A329&lt;=RUNG_BEDS_2,2,1))</f>
        <v>1</v>
      </c>
      <c r="JC329" s="5">
        <f>MIN(1,MAX(0,$JB$26-($A329-1)))</f>
        <v>0</v>
      </c>
      <c r="JD329" s="5">
        <f>$JB$25*(JC329+(1-JC329)*$JB$16)</f>
        <v>0.0</v>
      </c>
      <c r="JE329" s="13">
        <f>JD329*($JB$6+ACUTE_MARGIN)</f>
        <v>0.0</v>
      </c>
      <c r="JF329" s="13">
        <f>IF(JB329=1,$JB$31,$JB$32)</f>
        <v>152394.16214437486</v>
      </c>
      <c r="JG329" s="13">
        <f>JE329-JF329</f>
        <v>-152394.16214437486</v>
      </c>
      <c r="JH329" s="13">
        <f>JH328+JG329</f>
        <v>740006.7407561198</v>
      </c>
      <c r="JI329">
        <f>IF(JH329=MAX($JH$83:$JH$483),$A329,0)</f>
        <v>0</v>
      </c>
      <c r="JJ329">
        <f>IF(JE329&lt;JF329,$A329,B_MAX+1)</f>
        <v>246</v>
      </c>
      <c r="JK329" s="13">
        <f>IF(JB329=1,$JB$35,$JB$36)</f>
        <v>0</v>
      </c>
      <c r="JL329" s="13">
        <f>OCC_DAYS*$JB$41*R_NF_2023-JD329*MCD_SHARE_FREED*R_WAIT_2023</f>
        <v>151980.48282209205</v>
      </c>
      <c r="JM329">
        <f>IF($A329&lt;=$JB$45,1,0)</f>
        <v>0</v>
      </c>
      <c r="KB329">
        <f>IF($KB$31&lt;=$KB$32,IF($A329&lt;=$KB$7,1,2),IF($A329&lt;=RUNG_BEDS_2,2,1))</f>
        <v>1</v>
      </c>
      <c r="KC329" s="5">
        <f>MIN(1,MAX(0,$KB$26-($A329-1)))</f>
        <v>1</v>
      </c>
      <c r="KD329" s="5">
        <f>$KB$25*(KC329+(1-KC329)*$KB$16)</f>
        <v>126.02661357340719</v>
      </c>
      <c r="KE329" s="13">
        <f>KD329*($KB$6+ACUTE_MARGIN)</f>
        <v>127286.87970914126</v>
      </c>
      <c r="KF329" s="13">
        <f>IF(KB329=1,$KB$31,$KB$32)</f>
        <v>152394.16214437486</v>
      </c>
      <c r="KG329" s="13">
        <f>KE329-KF329</f>
        <v>-25107.282435233603</v>
      </c>
      <c r="KH329" s="13">
        <f>KH328+KG329</f>
        <v>-6176391.479067487</v>
      </c>
      <c r="KI329">
        <f>IF(KH329=MAX($KH$83:$KH$483),$A329,0)</f>
        <v>0</v>
      </c>
      <c r="KJ329">
        <f>IF(KE329&lt;KF329,$A329,B_MAX+1)</f>
        <v>246</v>
      </c>
      <c r="KK329" s="13">
        <f>IF(KB329=1,$KB$35,$KB$36)</f>
        <v>0</v>
      </c>
      <c r="KL329" s="13">
        <f>OCC_DAYS*$KB$41*R_NF_2023-KD329*MCD_SHARE_FREED*R_WAIT_2023</f>
        <v>94673.82103225985</v>
      </c>
      <c r="KM329">
        <f>IF($A329&lt;=$KB$45,1,0)</f>
        <v>0</v>
      </c>
      <c r="LB329">
        <f>IF($LB$31&lt;=$LB$32,IF($A329&lt;=$LB$7,1,2),IF($A329&lt;=RUNG_BEDS_2,2,1))</f>
        <v>1</v>
      </c>
      <c r="LC329" s="5">
        <f>MIN(1,MAX(0,$LB$26-($A329-1)))</f>
        <v>1</v>
      </c>
      <c r="LD329" s="5">
        <f>$LB$25*(LC329+(1-LC329)*$LB$16)</f>
        <v>84.01774238227146</v>
      </c>
      <c r="LE329" s="13">
        <f>LD329*($LB$6+ACUTE_MARGIN)</f>
        <v>84857.91980609419</v>
      </c>
      <c r="LF329" s="13">
        <f>IF(LB329=1,$LB$31,$LB$32)</f>
        <v>152394.16214437486</v>
      </c>
      <c r="LG329" s="13">
        <f>LE329-LF329</f>
        <v>-67536.24233828067</v>
      </c>
      <c r="LH329" s="13">
        <f>LH328+LG329</f>
        <v>-16613915.615217127</v>
      </c>
      <c r="LI329">
        <f>IF(LH329=MAX($LH$83:$LH$483),$A329,0)</f>
        <v>0</v>
      </c>
      <c r="LJ329">
        <f>IF(LE329&lt;LF329,$A329,B_MAX+1)</f>
        <v>246</v>
      </c>
      <c r="LK329" s="13">
        <f>IF(LB329=1,$LB$35,$LB$36)</f>
        <v>0</v>
      </c>
      <c r="LL329" s="13">
        <f>OCC_DAYS*$LB$41*R_NF_2023-LD329*MCD_SHARE_FREED*R_WAIT_2023</f>
        <v>113776.04162887059</v>
      </c>
      <c r="LM329">
        <f>IF($A329&lt;=$LB$45,1,0)</f>
        <v>0</v>
      </c>
      <c r="MB329">
        <f>IF($MB$31&lt;=$MB$32,IF($A329&lt;=$MB$7,1,2),IF($A329&lt;=RUNG_BEDS_2,2,1))</f>
        <v>1</v>
      </c>
      <c r="MC329" s="5">
        <f>MIN(1,MAX(0,$MB$26-($A329-1)))</f>
        <v>0</v>
      </c>
      <c r="MD329" s="5">
        <f>$MB$25*(MC329+(1-MC329)*$MB$16)</f>
        <v>0.0</v>
      </c>
      <c r="ME329" s="13">
        <f>MD329*($MB$6+ACUTE_MARGIN)</f>
        <v>0.0</v>
      </c>
      <c r="MF329" s="13">
        <f>IF(MB329=1,$MB$31,$MB$32)</f>
        <v>152394.16214437486</v>
      </c>
      <c r="MG329" s="13">
        <f>ME329-MF329</f>
        <v>-152394.16214437486</v>
      </c>
      <c r="MH329" s="13">
        <f>MH328+MG329</f>
        <v>-5147269.321042212</v>
      </c>
      <c r="MI329">
        <f>IF(MH329=MAX($MH$83:$MH$483),$A329,0)</f>
        <v>0</v>
      </c>
      <c r="MJ329">
        <f>IF(ME329&lt;MF329,$A329,B_MAX+1)</f>
        <v>246</v>
      </c>
      <c r="MK329" s="13">
        <f>IF(MB329=1,$MB$35,$MB$36)</f>
        <v>0</v>
      </c>
      <c r="ML329" s="13">
        <f>OCC_DAYS*$MB$41*R_NF_2023-MD329*MCD_SHARE_FREED*R_WAIT_2023</f>
        <v>151980.48282209205</v>
      </c>
      <c r="MM329">
        <f>IF($A329&lt;=$MB$45,1,0)</f>
        <v>0</v>
      </c>
      <c r="NB329">
        <f>IF($NB$31&lt;=$NB$32,IF($A329&lt;=$NB$7,1,2),IF($A329&lt;=RUNG_BEDS_2,2,1))</f>
        <v>1</v>
      </c>
      <c r="NC329" s="5">
        <f>MIN(1,MAX(0,$NB$26-($A329-1)))</f>
        <v>0</v>
      </c>
      <c r="ND329" s="5">
        <f>$NB$25*(NC329+(1-NC329)*$NB$16)</f>
        <v>63.013306786703595</v>
      </c>
      <c r="NE329" s="13">
        <f>ND329*($NB$6+ACUTE_MARGIN)</f>
        <v>63643.43985457063</v>
      </c>
      <c r="NF329" s="13">
        <f>IF(NB329=1,$NB$31,$NB$32)</f>
        <v>152394.16214437486</v>
      </c>
      <c r="NG329" s="13">
        <f>NE329-NF329</f>
        <v>-88750.72228980422</v>
      </c>
      <c r="NH329" s="13">
        <f>NH328+NG329</f>
        <v>6839050.287912391</v>
      </c>
      <c r="NI329">
        <f>IF(NH329=MAX($NH$83:$NH$483),$A329,0)</f>
        <v>0</v>
      </c>
      <c r="NJ329">
        <f>IF(NE329&lt;NF329,$A329,B_MAX+1)</f>
        <v>246</v>
      </c>
      <c r="NK329" s="13">
        <f>IF(NB329=1,$NB$35,$NB$36)</f>
        <v>0</v>
      </c>
      <c r="NL329" s="13">
        <f>OCC_DAYS*$NB$41*R_NF_2023-ND329*MCD_SHARE_FREED*R_WAIT_2023</f>
        <v>123327.15192717595</v>
      </c>
      <c r="NM329">
        <f>IF($A329&lt;=$NB$45,1,0)</f>
        <v>0</v>
      </c>
      <c r="OB329">
        <f>IF($OB$31&lt;=$OB$32,IF($A329&lt;=$OB$7,1,2),IF($A329&lt;=RUNG_BEDS_2,2,1))</f>
        <v>1</v>
      </c>
      <c r="OC329" s="5">
        <f>MIN(1,MAX(0,$OB$26-($A329-1)))</f>
        <v>0</v>
      </c>
      <c r="OD329" s="5">
        <f>$OB$25*(OC329+(1-OC329)*$OB$16)</f>
        <v>126.02661357340719</v>
      </c>
      <c r="OE329" s="13">
        <f>OD329*($OB$6+ACUTE_MARGIN)</f>
        <v>127286.87970914126</v>
      </c>
      <c r="OF329" s="13">
        <f>IF(OB329=1,$OB$31,$OB$32)</f>
        <v>152394.16214437486</v>
      </c>
      <c r="OG329" s="13">
        <f>OE329-OF329</f>
        <v>-25107.282435233603</v>
      </c>
      <c r="OH329" s="13">
        <f>OH328+OG329</f>
        <v>12938093.835068796</v>
      </c>
      <c r="OI329">
        <f>IF(OH329=MAX($OH$83:$OH$483),$A329,0)</f>
        <v>0</v>
      </c>
      <c r="OJ329">
        <f>IF(OE329&lt;OF329,$A329,B_MAX+1)</f>
        <v>246</v>
      </c>
      <c r="OK329" s="13">
        <f>IF(OB329=1,$OB$35,$OB$36)</f>
        <v>0</v>
      </c>
      <c r="OL329" s="13">
        <f>OCC_DAYS*$OB$41*R_NF_2023-OD329*MCD_SHARE_FREED*R_WAIT_2023</f>
        <v>94673.82103225985</v>
      </c>
      <c r="OM329">
        <f>IF($A329&lt;=$OB$45,1,0)</f>
        <v>0</v>
      </c>
    </row>
    <row r="330">
      <c r="A330" t="n">
        <v>247</v>
      </c>
      <c r="B330">
        <f>IF($B$31&lt;=$B$32,IF($A330&lt;=$B$7,1,2),IF($A330&lt;=RUNG_BEDS_2,2,1))</f>
        <v>1</v>
      </c>
      <c r="C330" s="5">
        <f>MIN(1,MAX(0,$B$26-($A330-1)))</f>
        <v>0</v>
      </c>
      <c r="D330" s="5">
        <f>$B$25*(C330+(1-C330)*$B$16)</f>
        <v>0.0</v>
      </c>
      <c r="E330" s="13">
        <f>D330*($B$6+ACUTE_MARGIN)</f>
        <v>0.0</v>
      </c>
      <c r="F330" s="13">
        <f>IF(B330=1,$B$31,$B$32)</f>
        <v>152394.16214437486</v>
      </c>
      <c r="G330" s="13">
        <f>E330-F330</f>
        <v>-152394.16214437486</v>
      </c>
      <c r="H330" s="13">
        <f>H329+G330</f>
        <v>587612.578611745</v>
      </c>
      <c r="I330">
        <f>IF(H330=MAX($H$83:$H$483),$A330,0)</f>
        <v>0</v>
      </c>
      <c r="J330">
        <f>IF(E330&lt;F330,$A330,B_MAX+1)</f>
        <v>247</v>
      </c>
      <c r="K330" s="13">
        <f>IF(B330=1,$B$35,$B$36)</f>
        <v>0</v>
      </c>
      <c r="L330" s="13">
        <f>OCC_DAYS*$B$41*R_NF_2023-D330*MCD_SHARE_FREED*R_WAIT_2023</f>
        <v>151980.48282209205</v>
      </c>
      <c r="M330">
        <f>IF($A330&lt;=$B$45,1,0)</f>
        <v>0</v>
      </c>
      <c r="AB330">
        <f>IF($AB$31&lt;=$AB$32,IF($A330&lt;=$AB$7,1,2),IF($A330&lt;=RUNG_BEDS_2,2,1))</f>
        <v>1</v>
      </c>
      <c r="AC330" s="5">
        <f>MIN(1,MAX(0,$AB$26-($A330-1)))</f>
        <v>0</v>
      </c>
      <c r="AD330" s="5">
        <f>$AB$25*(AC330+(1-AC330)*$AB$16)</f>
        <v>0.0</v>
      </c>
      <c r="AE330" s="13">
        <f>AD330*($AB$6+ACUTE_MARGIN)</f>
        <v>0.0</v>
      </c>
      <c r="AF330" s="13">
        <f>IF(AB330=1,$AB$31,$AB$32)</f>
        <v>152394.16214437486</v>
      </c>
      <c r="AG330" s="13">
        <f>AE330-AF330</f>
        <v>-152394.16214437486</v>
      </c>
      <c r="AH330" s="13">
        <f>AH329+AG330</f>
        <v>-16823601.766938042</v>
      </c>
      <c r="AI330">
        <f>IF(AH330=MAX($AH$83:$AH$483),$A330,0)</f>
        <v>0</v>
      </c>
      <c r="AJ330">
        <f>IF(AE330&lt;AF330,$A330,B_MAX+1)</f>
        <v>247</v>
      </c>
      <c r="AK330" s="13">
        <f>IF(AB330=1,$AB$35,$AB$36)</f>
        <v>0</v>
      </c>
      <c r="AL330" s="13">
        <f>OCC_DAYS*$AB$41*R_NF_2023-AD330*MCD_SHARE_FREED*R_WAIT_2023</f>
        <v>151980.48282209205</v>
      </c>
      <c r="AM330">
        <f>IF($A330&lt;=$AB$45,1,0)</f>
        <v>0</v>
      </c>
      <c r="BB330">
        <f>IF($BB$31&lt;=$BB$32,IF($A330&lt;=$BB$7,1,2),IF($A330&lt;=RUNG_BEDS_2,2,1))</f>
        <v>1</v>
      </c>
      <c r="BC330" s="5">
        <f>MIN(1,MAX(0,$BB$26-($A330-1)))</f>
        <v>0</v>
      </c>
      <c r="BD330" s="5">
        <f>$BB$25*(BC330+(1-BC330)*$BB$16)</f>
        <v>0.0</v>
      </c>
      <c r="BE330" s="13">
        <f>BD330*($BB$6+ACUTE_MARGIN)</f>
        <v>0.0</v>
      </c>
      <c r="BF330" s="13">
        <f>IF(BB330=1,$BB$31,$BB$32)</f>
        <v>152394.16214437486</v>
      </c>
      <c r="BG330" s="13">
        <f>BE330-BF330</f>
        <v>-152394.16214437486</v>
      </c>
      <c r="BH330" s="13">
        <f>BH329+BG330</f>
        <v>17998826.924161453</v>
      </c>
      <c r="BI330">
        <f>IF(BH330=MAX($BH$83:$BH$483),$A330,0)</f>
        <v>0</v>
      </c>
      <c r="BJ330">
        <f>IF(BE330&lt;BF330,$A330,B_MAX+1)</f>
        <v>247</v>
      </c>
      <c r="BK330" s="13">
        <f>IF(BB330=1,$BB$35,$BB$36)</f>
        <v>0</v>
      </c>
      <c r="BL330" s="13">
        <f>OCC_DAYS*$BB$41*R_NF_2023-BD330*MCD_SHARE_FREED*R_WAIT_2023</f>
        <v>151980.48282209205</v>
      </c>
      <c r="BM330">
        <f>IF($A330&lt;=$BB$45,1,0)</f>
        <v>0</v>
      </c>
      <c r="CB330">
        <f>IF($CB$31&lt;=$CB$32,IF($A330&lt;=$CB$7,1,2),IF($A330&lt;=RUNG_BEDS_2,2,1))</f>
        <v>2</v>
      </c>
      <c r="CC330" s="5">
        <f>MIN(1,MAX(0,$CB$26-($A330-1)))</f>
        <v>0</v>
      </c>
      <c r="CD330" s="5">
        <f>$CB$25*(CC330+(1-CC330)*$CB$16)</f>
        <v>0.0</v>
      </c>
      <c r="CE330" s="13">
        <f>CD330*($CB$6+ACUTE_MARGIN)</f>
        <v>0.0</v>
      </c>
      <c r="CF330" s="13">
        <f>IF(CB330=1,$CB$31,$CB$32)</f>
        <v>160718.36940738867</v>
      </c>
      <c r="CG330" s="13">
        <f>CE330-CF330</f>
        <v>-160718.36940738867</v>
      </c>
      <c r="CH330" s="13">
        <f>CH329+CG330</f>
        <v>-1468466.6153527803</v>
      </c>
      <c r="CI330">
        <f>IF(CH330=MAX($CH$83:$CH$483),$A330,0)</f>
        <v>0</v>
      </c>
      <c r="CJ330">
        <f>IF(CE330&lt;CF330,$A330,B_MAX+1)</f>
        <v>247</v>
      </c>
      <c r="CK330" s="13">
        <f>IF(CB330=1,$CB$35,$CB$36)</f>
        <v>1560.1194073886782</v>
      </c>
      <c r="CL330" s="13">
        <f>OCC_DAYS*$CB$41*R_NF_2023-CD330*MCD_SHARE_FREED*R_WAIT_2023</f>
        <v>151980.48282209205</v>
      </c>
      <c r="CM330">
        <f>IF($A330&lt;=$CB$45,1,0)</f>
        <v>0</v>
      </c>
      <c r="DB330">
        <f>IF($DB$31&lt;=$DB$32,IF($A330&lt;=$DB$7,1,2),IF($A330&lt;=RUNG_BEDS_2,2,1))</f>
        <v>1</v>
      </c>
      <c r="DC330" s="5">
        <f>MIN(1,MAX(0,$DB$26-($A330-1)))</f>
        <v>0</v>
      </c>
      <c r="DD330" s="5">
        <f>$DB$25*(DC330+(1-DC330)*$DB$16)</f>
        <v>0.0</v>
      </c>
      <c r="DE330" s="13">
        <f>DD330*($DB$6+ACUTE_MARGIN)</f>
        <v>0.0</v>
      </c>
      <c r="DF330" s="13">
        <f>IF(DB330=1,$DB$31,$DB$32)</f>
        <v>152394.16214437486</v>
      </c>
      <c r="DG330" s="13">
        <f>DE330-DF330</f>
        <v>-152394.16214437486</v>
      </c>
      <c r="DH330" s="13">
        <f>DH329+DG330</f>
        <v>587612.578611745</v>
      </c>
      <c r="DI330">
        <f>IF(DH330=MAX($DH$83:$DH$483),$A330,0)</f>
        <v>0</v>
      </c>
      <c r="DJ330">
        <f>IF(DE330&lt;DF330,$A330,B_MAX+1)</f>
        <v>247</v>
      </c>
      <c r="DK330" s="13">
        <f>IF(DB330=1,$DB$35,$DB$36)</f>
        <v>0</v>
      </c>
      <c r="DL330" s="13">
        <f>OCC_DAYS*$DB$41*R_NF_2023-DD330*MCD_SHARE_FREED*R_WAIT_2023</f>
        <v>151980.48282209205</v>
      </c>
      <c r="DM330">
        <f>IF($A330&lt;=$DB$45,1,0)</f>
        <v>0</v>
      </c>
      <c r="EB330">
        <f>IF($EB$31&lt;=$EB$32,IF($A330&lt;=$EB$7,1,2),IF($A330&lt;=RUNG_BEDS_2,2,1))</f>
        <v>1</v>
      </c>
      <c r="EC330" s="5">
        <f>MIN(1,MAX(0,$EB$26-($A330-1)))</f>
        <v>0</v>
      </c>
      <c r="ED330" s="5">
        <f>$EB$25*(EC330+(1-EC330)*$EB$16)</f>
        <v>0.0</v>
      </c>
      <c r="EE330" s="13">
        <f>ED330*($EB$6+ACUTE_MARGIN)</f>
        <v>0.0</v>
      </c>
      <c r="EF330" s="13">
        <f>IF(EB330=1,$EB$31,$EB$32)</f>
        <v>152394.16214437486</v>
      </c>
      <c r="EG330" s="13">
        <f>EE330-EF330</f>
        <v>-152394.16214437486</v>
      </c>
      <c r="EH330" s="13">
        <f>EH329+EG330</f>
        <v>587612.578611745</v>
      </c>
      <c r="EI330">
        <f>IF(EH330=MAX($EH$83:$EH$483),$A330,0)</f>
        <v>0</v>
      </c>
      <c r="EJ330">
        <f>IF(EE330&lt;EF330,$A330,B_MAX+1)</f>
        <v>247</v>
      </c>
      <c r="EK330" s="13">
        <f>IF(EB330=1,$EB$35,$EB$36)</f>
        <v>0</v>
      </c>
      <c r="EL330" s="13">
        <f>OCC_DAYS*$EB$41*R_NF_2023-ED330*MCD_SHARE_FREED*R_WAIT_2023</f>
        <v>50660.16094069735</v>
      </c>
      <c r="EM330">
        <f>IF($A330&lt;=$EB$45,1,0)</f>
        <v>0</v>
      </c>
      <c r="FB330">
        <f>IF($FB$31&lt;=$FB$32,IF($A330&lt;=$FB$7,1,2),IF($A330&lt;=RUNG_BEDS_2,2,1))</f>
        <v>1</v>
      </c>
      <c r="FC330" s="5">
        <f>MIN(1,MAX(0,$FB$26-($A330-1)))</f>
        <v>0</v>
      </c>
      <c r="FD330" s="5">
        <f>$FB$25*(FC330+(1-FC330)*$FB$16)</f>
        <v>0.0</v>
      </c>
      <c r="FE330" s="13">
        <f>FD330*($FB$6+ACUTE_MARGIN)</f>
        <v>0.0</v>
      </c>
      <c r="FF330" s="13">
        <f>IF(FB330=1,$FB$31,$FB$32)</f>
        <v>156636.04979437485</v>
      </c>
      <c r="FG330" s="13">
        <f>FE330-FF330</f>
        <v>-156636.04979437485</v>
      </c>
      <c r="FH330" s="13">
        <f>FH329+FG330</f>
        <v>-460133.67093836865</v>
      </c>
      <c r="FI330">
        <f>IF(FH330=MAX($FH$83:$FH$483),$A330,0)</f>
        <v>0</v>
      </c>
      <c r="FJ330">
        <f>IF(FE330&lt;FF330,$A330,B_MAX+1)</f>
        <v>247</v>
      </c>
      <c r="FK330" s="13">
        <f>IF(FB330=1,$FB$35,$FB$36)</f>
        <v>0</v>
      </c>
      <c r="FL330" s="13">
        <f>OCC_DAYS*$FB$41*R_NF_2023-FD330*MCD_SHARE_FREED*R_WAIT_2023</f>
        <v>151980.48282209205</v>
      </c>
      <c r="FM330">
        <f>IF($A330&lt;=$FB$45,1,0)</f>
        <v>0</v>
      </c>
      <c r="GB330">
        <f>IF($GB$31&lt;=$GB$32,IF($A330&lt;=$GB$7,1,2),IF($A330&lt;=RUNG_BEDS_2,2,1))</f>
        <v>1</v>
      </c>
      <c r="GC330" s="5">
        <f>MIN(1,MAX(0,$GB$26-($A330-1)))</f>
        <v>0</v>
      </c>
      <c r="GD330" s="5">
        <f>$GB$25*(GC330+(1-GC330)*$GB$16)</f>
        <v>0.0</v>
      </c>
      <c r="GE330" s="13">
        <f>GD330*($GB$6+ACUTE_MARGIN)</f>
        <v>0.0</v>
      </c>
      <c r="GF330" s="13">
        <f>IF(GB330=1,$GB$31,$GB$32)</f>
        <v>152394.16214437486</v>
      </c>
      <c r="GG330" s="13">
        <f>GE330-GF330</f>
        <v>-152394.16214437486</v>
      </c>
      <c r="GH330" s="13">
        <f>GH329+GG330</f>
        <v>587612.578611745</v>
      </c>
      <c r="GI330">
        <f>IF(GH330=MAX($GH$83:$GH$483),$A330,0)</f>
        <v>0</v>
      </c>
      <c r="GJ330">
        <f>IF(GE330&lt;GF330,$A330,B_MAX+1)</f>
        <v>247</v>
      </c>
      <c r="GK330" s="13">
        <f>IF(GB330=1,$GB$35,$GB$36)</f>
        <v>0</v>
      </c>
      <c r="GL330" s="13">
        <f>OCC_DAYS*$GB$41*R_NF_2023-GD330*MCD_SHARE_FREED*R_WAIT_2023</f>
        <v>151980.48282209205</v>
      </c>
      <c r="GM330">
        <f>IF($A330&lt;=$GB$45,1,0)</f>
        <v>0</v>
      </c>
      <c r="HB330">
        <f>IF($HB$31&lt;=$HB$32,IF($A330&lt;=$HB$7,1,2),IF($A330&lt;=RUNG_BEDS_2,2,1))</f>
        <v>1</v>
      </c>
      <c r="HC330" s="5">
        <f>MIN(1,MAX(0,$HB$26-($A330-1)))</f>
        <v>0</v>
      </c>
      <c r="HD330" s="5">
        <f>$HB$25*(HC330+(1-HC330)*$HB$16)</f>
        <v>0.0</v>
      </c>
      <c r="HE330" s="13">
        <f>HD330*($HB$6+ACUTE_MARGIN)</f>
        <v>0.0</v>
      </c>
      <c r="HF330" s="13">
        <f>IF(HB330=1,$HB$31,$HB$32)</f>
        <v>152456.2970814058</v>
      </c>
      <c r="HG330" s="13">
        <f>HE330-HF330</f>
        <v>-152456.2970814058</v>
      </c>
      <c r="HH330" s="13">
        <f>HH329+HG330</f>
        <v>572265.2491650637</v>
      </c>
      <c r="HI330">
        <f>IF(HH330=MAX($HH$83:$HH$483),$A330,0)</f>
        <v>0</v>
      </c>
      <c r="HJ330">
        <f>IF(HE330&lt;HF330,$A330,B_MAX+1)</f>
        <v>247</v>
      </c>
      <c r="HK330" s="13">
        <f>IF(HB330=1,$HB$35,$HB$36)</f>
        <v>0</v>
      </c>
      <c r="HL330" s="13">
        <f>OCC_DAYS*$HB$41*R_NF_2023-HD330*MCD_SHARE_FREED*R_WAIT_2023</f>
        <v>151980.48282209205</v>
      </c>
      <c r="HM330">
        <f>IF($A330&lt;=$HB$45,1,0)</f>
        <v>0</v>
      </c>
      <c r="IB330">
        <f>IF($IB$31&lt;=$IB$32,IF($A330&lt;=$IB$7,1,2),IF($A330&lt;=RUNG_BEDS_2,2,1))</f>
        <v>1</v>
      </c>
      <c r="IC330" s="5">
        <f>MIN(1,MAX(0,$IB$26-($A330-1)))</f>
        <v>0</v>
      </c>
      <c r="ID330" s="5">
        <f>$IB$25*(IC330+(1-IC330)*$IB$16)</f>
        <v>0.0</v>
      </c>
      <c r="IE330" s="13">
        <f>ID330*($IB$6+ACUTE_MARGIN)</f>
        <v>0.0</v>
      </c>
      <c r="IF330" s="13">
        <f>IF(IB330=1,$IB$31,$IB$32)</f>
        <v>152734.9994534971</v>
      </c>
      <c r="IG330" s="13">
        <f>IE330-IF330</f>
        <v>-152734.9994534971</v>
      </c>
      <c r="IH330" s="13">
        <f>IH329+IG330</f>
        <v>503425.76325845905</v>
      </c>
      <c r="II330">
        <f>IF(IH330=MAX($IH$83:$IH$483),$A330,0)</f>
        <v>0</v>
      </c>
      <c r="IJ330">
        <f>IF(IE330&lt;IF330,$A330,B_MAX+1)</f>
        <v>247</v>
      </c>
      <c r="IK330" s="13">
        <f>IF(IB330=1,$IB$35,$IB$36)</f>
        <v>0</v>
      </c>
      <c r="IL330" s="13">
        <f>OCC_DAYS*$IB$41*R_NF_2023-ID330*MCD_SHARE_FREED*R_WAIT_2023</f>
        <v>151980.48282209205</v>
      </c>
      <c r="IM330">
        <f>IF($A330&lt;=$IB$45,1,0)</f>
        <v>0</v>
      </c>
      <c r="JB330">
        <f>IF($JB$31&lt;=$JB$32,IF($A330&lt;=$JB$7,1,2),IF($A330&lt;=RUNG_BEDS_2,2,1))</f>
        <v>1</v>
      </c>
      <c r="JC330" s="5">
        <f>MIN(1,MAX(0,$JB$26-($A330-1)))</f>
        <v>0</v>
      </c>
      <c r="JD330" s="5">
        <f>$JB$25*(JC330+(1-JC330)*$JB$16)</f>
        <v>0.0</v>
      </c>
      <c r="JE330" s="13">
        <f>JD330*($JB$6+ACUTE_MARGIN)</f>
        <v>0.0</v>
      </c>
      <c r="JF330" s="13">
        <f>IF(JB330=1,$JB$31,$JB$32)</f>
        <v>152394.16214437486</v>
      </c>
      <c r="JG330" s="13">
        <f>JE330-JF330</f>
        <v>-152394.16214437486</v>
      </c>
      <c r="JH330" s="13">
        <f>JH329+JG330</f>
        <v>587612.578611745</v>
      </c>
      <c r="JI330">
        <f>IF(JH330=MAX($JH$83:$JH$483),$A330,0)</f>
        <v>0</v>
      </c>
      <c r="JJ330">
        <f>IF(JE330&lt;JF330,$A330,B_MAX+1)</f>
        <v>247</v>
      </c>
      <c r="JK330" s="13">
        <f>IF(JB330=1,$JB$35,$JB$36)</f>
        <v>0</v>
      </c>
      <c r="JL330" s="13">
        <f>OCC_DAYS*$JB$41*R_NF_2023-JD330*MCD_SHARE_FREED*R_WAIT_2023</f>
        <v>151980.48282209205</v>
      </c>
      <c r="JM330">
        <f>IF($A330&lt;=$JB$45,1,0)</f>
        <v>0</v>
      </c>
      <c r="KB330">
        <f>IF($KB$31&lt;=$KB$32,IF($A330&lt;=$KB$7,1,2),IF($A330&lt;=RUNG_BEDS_2,2,1))</f>
        <v>1</v>
      </c>
      <c r="KC330" s="5">
        <f>MIN(1,MAX(0,$KB$26-($A330-1)))</f>
        <v>1</v>
      </c>
      <c r="KD330" s="5">
        <f>$KB$25*(KC330+(1-KC330)*$KB$16)</f>
        <v>126.02661357340719</v>
      </c>
      <c r="KE330" s="13">
        <f>KD330*($KB$6+ACUTE_MARGIN)</f>
        <v>127286.87970914126</v>
      </c>
      <c r="KF330" s="13">
        <f>IF(KB330=1,$KB$31,$KB$32)</f>
        <v>152394.16214437486</v>
      </c>
      <c r="KG330" s="13">
        <f>KE330-KF330</f>
        <v>-25107.282435233603</v>
      </c>
      <c r="KH330" s="13">
        <f>KH329+KG330</f>
        <v>-6201498.76150272</v>
      </c>
      <c r="KI330">
        <f>IF(KH330=MAX($KH$83:$KH$483),$A330,0)</f>
        <v>0</v>
      </c>
      <c r="KJ330">
        <f>IF(KE330&lt;KF330,$A330,B_MAX+1)</f>
        <v>247</v>
      </c>
      <c r="KK330" s="13">
        <f>IF(KB330=1,$KB$35,$KB$36)</f>
        <v>0</v>
      </c>
      <c r="KL330" s="13">
        <f>OCC_DAYS*$KB$41*R_NF_2023-KD330*MCD_SHARE_FREED*R_WAIT_2023</f>
        <v>94673.82103225985</v>
      </c>
      <c r="KM330">
        <f>IF($A330&lt;=$KB$45,1,0)</f>
        <v>0</v>
      </c>
      <c r="LB330">
        <f>IF($LB$31&lt;=$LB$32,IF($A330&lt;=$LB$7,1,2),IF($A330&lt;=RUNG_BEDS_2,2,1))</f>
        <v>1</v>
      </c>
      <c r="LC330" s="5">
        <f>MIN(1,MAX(0,$LB$26-($A330-1)))</f>
        <v>1</v>
      </c>
      <c r="LD330" s="5">
        <f>$LB$25*(LC330+(1-LC330)*$LB$16)</f>
        <v>84.01774238227146</v>
      </c>
      <c r="LE330" s="13">
        <f>LD330*($LB$6+ACUTE_MARGIN)</f>
        <v>84857.91980609419</v>
      </c>
      <c r="LF330" s="13">
        <f>IF(LB330=1,$LB$31,$LB$32)</f>
        <v>152394.16214437486</v>
      </c>
      <c r="LG330" s="13">
        <f>LE330-LF330</f>
        <v>-67536.24233828067</v>
      </c>
      <c r="LH330" s="13">
        <f>LH329+LG330</f>
        <v>-16681451.857555408</v>
      </c>
      <c r="LI330">
        <f>IF(LH330=MAX($LH$83:$LH$483),$A330,0)</f>
        <v>0</v>
      </c>
      <c r="LJ330">
        <f>IF(LE330&lt;LF330,$A330,B_MAX+1)</f>
        <v>247</v>
      </c>
      <c r="LK330" s="13">
        <f>IF(LB330=1,$LB$35,$LB$36)</f>
        <v>0</v>
      </c>
      <c r="LL330" s="13">
        <f>OCC_DAYS*$LB$41*R_NF_2023-LD330*MCD_SHARE_FREED*R_WAIT_2023</f>
        <v>113776.04162887059</v>
      </c>
      <c r="LM330">
        <f>IF($A330&lt;=$LB$45,1,0)</f>
        <v>0</v>
      </c>
      <c r="MB330">
        <f>IF($MB$31&lt;=$MB$32,IF($A330&lt;=$MB$7,1,2),IF($A330&lt;=RUNG_BEDS_2,2,1))</f>
        <v>1</v>
      </c>
      <c r="MC330" s="5">
        <f>MIN(1,MAX(0,$MB$26-($A330-1)))</f>
        <v>0</v>
      </c>
      <c r="MD330" s="5">
        <f>$MB$25*(MC330+(1-MC330)*$MB$16)</f>
        <v>0.0</v>
      </c>
      <c r="ME330" s="13">
        <f>MD330*($MB$6+ACUTE_MARGIN)</f>
        <v>0.0</v>
      </c>
      <c r="MF330" s="13">
        <f>IF(MB330=1,$MB$31,$MB$32)</f>
        <v>152394.16214437486</v>
      </c>
      <c r="MG330" s="13">
        <f>ME330-MF330</f>
        <v>-152394.16214437486</v>
      </c>
      <c r="MH330" s="13">
        <f>MH329+MG330</f>
        <v>-5299663.483186587</v>
      </c>
      <c r="MI330">
        <f>IF(MH330=MAX($MH$83:$MH$483),$A330,0)</f>
        <v>0</v>
      </c>
      <c r="MJ330">
        <f>IF(ME330&lt;MF330,$A330,B_MAX+1)</f>
        <v>247</v>
      </c>
      <c r="MK330" s="13">
        <f>IF(MB330=1,$MB$35,$MB$36)</f>
        <v>0</v>
      </c>
      <c r="ML330" s="13">
        <f>OCC_DAYS*$MB$41*R_NF_2023-MD330*MCD_SHARE_FREED*R_WAIT_2023</f>
        <v>151980.48282209205</v>
      </c>
      <c r="MM330">
        <f>IF($A330&lt;=$MB$45,1,0)</f>
        <v>0</v>
      </c>
      <c r="NB330">
        <f>IF($NB$31&lt;=$NB$32,IF($A330&lt;=$NB$7,1,2),IF($A330&lt;=RUNG_BEDS_2,2,1))</f>
        <v>1</v>
      </c>
      <c r="NC330" s="5">
        <f>MIN(1,MAX(0,$NB$26-($A330-1)))</f>
        <v>0</v>
      </c>
      <c r="ND330" s="5">
        <f>$NB$25*(NC330+(1-NC330)*$NB$16)</f>
        <v>63.013306786703595</v>
      </c>
      <c r="NE330" s="13">
        <f>ND330*($NB$6+ACUTE_MARGIN)</f>
        <v>63643.43985457063</v>
      </c>
      <c r="NF330" s="13">
        <f>IF(NB330=1,$NB$31,$NB$32)</f>
        <v>152394.16214437486</v>
      </c>
      <c r="NG330" s="13">
        <f>NE330-NF330</f>
        <v>-88750.72228980422</v>
      </c>
      <c r="NH330" s="13">
        <f>NH329+NG330</f>
        <v>6750299.565622587</v>
      </c>
      <c r="NI330">
        <f>IF(NH330=MAX($NH$83:$NH$483),$A330,0)</f>
        <v>0</v>
      </c>
      <c r="NJ330">
        <f>IF(NE330&lt;NF330,$A330,B_MAX+1)</f>
        <v>247</v>
      </c>
      <c r="NK330" s="13">
        <f>IF(NB330=1,$NB$35,$NB$36)</f>
        <v>0</v>
      </c>
      <c r="NL330" s="13">
        <f>OCC_DAYS*$NB$41*R_NF_2023-ND330*MCD_SHARE_FREED*R_WAIT_2023</f>
        <v>123327.15192717595</v>
      </c>
      <c r="NM330">
        <f>IF($A330&lt;=$NB$45,1,0)</f>
        <v>0</v>
      </c>
      <c r="OB330">
        <f>IF($OB$31&lt;=$OB$32,IF($A330&lt;=$OB$7,1,2),IF($A330&lt;=RUNG_BEDS_2,2,1))</f>
        <v>1</v>
      </c>
      <c r="OC330" s="5">
        <f>MIN(1,MAX(0,$OB$26-($A330-1)))</f>
        <v>0</v>
      </c>
      <c r="OD330" s="5">
        <f>$OB$25*(OC330+(1-OC330)*$OB$16)</f>
        <v>126.02661357340719</v>
      </c>
      <c r="OE330" s="13">
        <f>OD330*($OB$6+ACUTE_MARGIN)</f>
        <v>127286.87970914126</v>
      </c>
      <c r="OF330" s="13">
        <f>IF(OB330=1,$OB$31,$OB$32)</f>
        <v>152394.16214437486</v>
      </c>
      <c r="OG330" s="13">
        <f>OE330-OF330</f>
        <v>-25107.282435233603</v>
      </c>
      <c r="OH330" s="13">
        <f>OH329+OG330</f>
        <v>12912986.552633563</v>
      </c>
      <c r="OI330">
        <f>IF(OH330=MAX($OH$83:$OH$483),$A330,0)</f>
        <v>0</v>
      </c>
      <c r="OJ330">
        <f>IF(OE330&lt;OF330,$A330,B_MAX+1)</f>
        <v>247</v>
      </c>
      <c r="OK330" s="13">
        <f>IF(OB330=1,$OB$35,$OB$36)</f>
        <v>0</v>
      </c>
      <c r="OL330" s="13">
        <f>OCC_DAYS*$OB$41*R_NF_2023-OD330*MCD_SHARE_FREED*R_WAIT_2023</f>
        <v>94673.82103225985</v>
      </c>
      <c r="OM330">
        <f>IF($A330&lt;=$OB$45,1,0)</f>
        <v>0</v>
      </c>
    </row>
    <row r="331">
      <c r="A331" t="n">
        <v>248</v>
      </c>
      <c r="B331">
        <f>IF($B$31&lt;=$B$32,IF($A331&lt;=$B$7,1,2),IF($A331&lt;=RUNG_BEDS_2,2,1))</f>
        <v>1</v>
      </c>
      <c r="C331" s="5">
        <f>MIN(1,MAX(0,$B$26-($A331-1)))</f>
        <v>0</v>
      </c>
      <c r="D331" s="5">
        <f>$B$25*(C331+(1-C331)*$B$16)</f>
        <v>0.0</v>
      </c>
      <c r="E331" s="13">
        <f>D331*($B$6+ACUTE_MARGIN)</f>
        <v>0.0</v>
      </c>
      <c r="F331" s="13">
        <f>IF(B331=1,$B$31,$B$32)</f>
        <v>152394.16214437486</v>
      </c>
      <c r="G331" s="13">
        <f>E331-F331</f>
        <v>-152394.16214437486</v>
      </c>
      <c r="H331" s="13">
        <f>H330+G331</f>
        <v>435218.4164673702</v>
      </c>
      <c r="I331">
        <f>IF(H331=MAX($H$83:$H$483),$A331,0)</f>
        <v>0</v>
      </c>
      <c r="J331">
        <f>IF(E331&lt;F331,$A331,B_MAX+1)</f>
        <v>248</v>
      </c>
      <c r="K331" s="13">
        <f>IF(B331=1,$B$35,$B$36)</f>
        <v>0</v>
      </c>
      <c r="L331" s="13">
        <f>OCC_DAYS*$B$41*R_NF_2023-D331*MCD_SHARE_FREED*R_WAIT_2023</f>
        <v>151980.48282209205</v>
      </c>
      <c r="M331">
        <f>IF($A331&lt;=$B$45,1,0)</f>
        <v>0</v>
      </c>
      <c r="AB331">
        <f>IF($AB$31&lt;=$AB$32,IF($A331&lt;=$AB$7,1,2),IF($A331&lt;=RUNG_BEDS_2,2,1))</f>
        <v>1</v>
      </c>
      <c r="AC331" s="5">
        <f>MIN(1,MAX(0,$AB$26-($A331-1)))</f>
        <v>0</v>
      </c>
      <c r="AD331" s="5">
        <f>$AB$25*(AC331+(1-AC331)*$AB$16)</f>
        <v>0.0</v>
      </c>
      <c r="AE331" s="13">
        <f>AD331*($AB$6+ACUTE_MARGIN)</f>
        <v>0.0</v>
      </c>
      <c r="AF331" s="13">
        <f>IF(AB331=1,$AB$31,$AB$32)</f>
        <v>152394.16214437486</v>
      </c>
      <c r="AG331" s="13">
        <f>AE331-AF331</f>
        <v>-152394.16214437486</v>
      </c>
      <c r="AH331" s="13">
        <f>AH330+AG331</f>
        <v>-16975995.929082416</v>
      </c>
      <c r="AI331">
        <f>IF(AH331=MAX($AH$83:$AH$483),$A331,0)</f>
        <v>0</v>
      </c>
      <c r="AJ331">
        <f>IF(AE331&lt;AF331,$A331,B_MAX+1)</f>
        <v>248</v>
      </c>
      <c r="AK331" s="13">
        <f>IF(AB331=1,$AB$35,$AB$36)</f>
        <v>0</v>
      </c>
      <c r="AL331" s="13">
        <f>OCC_DAYS*$AB$41*R_NF_2023-AD331*MCD_SHARE_FREED*R_WAIT_2023</f>
        <v>151980.48282209205</v>
      </c>
      <c r="AM331">
        <f>IF($A331&lt;=$AB$45,1,0)</f>
        <v>0</v>
      </c>
      <c r="BB331">
        <f>IF($BB$31&lt;=$BB$32,IF($A331&lt;=$BB$7,1,2),IF($A331&lt;=RUNG_BEDS_2,2,1))</f>
        <v>1</v>
      </c>
      <c r="BC331" s="5">
        <f>MIN(1,MAX(0,$BB$26-($A331-1)))</f>
        <v>0</v>
      </c>
      <c r="BD331" s="5">
        <f>$BB$25*(BC331+(1-BC331)*$BB$16)</f>
        <v>0.0</v>
      </c>
      <c r="BE331" s="13">
        <f>BD331*($BB$6+ACUTE_MARGIN)</f>
        <v>0.0</v>
      </c>
      <c r="BF331" s="13">
        <f>IF(BB331=1,$BB$31,$BB$32)</f>
        <v>152394.16214437486</v>
      </c>
      <c r="BG331" s="13">
        <f>BE331-BF331</f>
        <v>-152394.16214437486</v>
      </c>
      <c r="BH331" s="13">
        <f>BH330+BG331</f>
        <v>17846432.76201708</v>
      </c>
      <c r="BI331">
        <f>IF(BH331=MAX($BH$83:$BH$483),$A331,0)</f>
        <v>0</v>
      </c>
      <c r="BJ331">
        <f>IF(BE331&lt;BF331,$A331,B_MAX+1)</f>
        <v>248</v>
      </c>
      <c r="BK331" s="13">
        <f>IF(BB331=1,$BB$35,$BB$36)</f>
        <v>0</v>
      </c>
      <c r="BL331" s="13">
        <f>OCC_DAYS*$BB$41*R_NF_2023-BD331*MCD_SHARE_FREED*R_WAIT_2023</f>
        <v>151980.48282209205</v>
      </c>
      <c r="BM331">
        <f>IF($A331&lt;=$BB$45,1,0)</f>
        <v>0</v>
      </c>
      <c r="CB331">
        <f>IF($CB$31&lt;=$CB$32,IF($A331&lt;=$CB$7,1,2),IF($A331&lt;=RUNG_BEDS_2,2,1))</f>
        <v>2</v>
      </c>
      <c r="CC331" s="5">
        <f>MIN(1,MAX(0,$CB$26-($A331-1)))</f>
        <v>0</v>
      </c>
      <c r="CD331" s="5">
        <f>$CB$25*(CC331+(1-CC331)*$CB$16)</f>
        <v>0.0</v>
      </c>
      <c r="CE331" s="13">
        <f>CD331*($CB$6+ACUTE_MARGIN)</f>
        <v>0.0</v>
      </c>
      <c r="CF331" s="13">
        <f>IF(CB331=1,$CB$31,$CB$32)</f>
        <v>160718.36940738867</v>
      </c>
      <c r="CG331" s="13">
        <f>CE331-CF331</f>
        <v>-160718.36940738867</v>
      </c>
      <c r="CH331" s="13">
        <f>CH330+CG331</f>
        <v>-1629184.984760169</v>
      </c>
      <c r="CI331">
        <f>IF(CH331=MAX($CH$83:$CH$483),$A331,0)</f>
        <v>0</v>
      </c>
      <c r="CJ331">
        <f>IF(CE331&lt;CF331,$A331,B_MAX+1)</f>
        <v>248</v>
      </c>
      <c r="CK331" s="13">
        <f>IF(CB331=1,$CB$35,$CB$36)</f>
        <v>1560.1194073886782</v>
      </c>
      <c r="CL331" s="13">
        <f>OCC_DAYS*$CB$41*R_NF_2023-CD331*MCD_SHARE_FREED*R_WAIT_2023</f>
        <v>151980.48282209205</v>
      </c>
      <c r="CM331">
        <f>IF($A331&lt;=$CB$45,1,0)</f>
        <v>0</v>
      </c>
      <c r="DB331">
        <f>IF($DB$31&lt;=$DB$32,IF($A331&lt;=$DB$7,1,2),IF($A331&lt;=RUNG_BEDS_2,2,1))</f>
        <v>1</v>
      </c>
      <c r="DC331" s="5">
        <f>MIN(1,MAX(0,$DB$26-($A331-1)))</f>
        <v>0</v>
      </c>
      <c r="DD331" s="5">
        <f>$DB$25*(DC331+(1-DC331)*$DB$16)</f>
        <v>0.0</v>
      </c>
      <c r="DE331" s="13">
        <f>DD331*($DB$6+ACUTE_MARGIN)</f>
        <v>0.0</v>
      </c>
      <c r="DF331" s="13">
        <f>IF(DB331=1,$DB$31,$DB$32)</f>
        <v>152394.16214437486</v>
      </c>
      <c r="DG331" s="13">
        <f>DE331-DF331</f>
        <v>-152394.16214437486</v>
      </c>
      <c r="DH331" s="13">
        <f>DH330+DG331</f>
        <v>435218.4164673702</v>
      </c>
      <c r="DI331">
        <f>IF(DH331=MAX($DH$83:$DH$483),$A331,0)</f>
        <v>0</v>
      </c>
      <c r="DJ331">
        <f>IF(DE331&lt;DF331,$A331,B_MAX+1)</f>
        <v>248</v>
      </c>
      <c r="DK331" s="13">
        <f>IF(DB331=1,$DB$35,$DB$36)</f>
        <v>0</v>
      </c>
      <c r="DL331" s="13">
        <f>OCC_DAYS*$DB$41*R_NF_2023-DD331*MCD_SHARE_FREED*R_WAIT_2023</f>
        <v>151980.48282209205</v>
      </c>
      <c r="DM331">
        <f>IF($A331&lt;=$DB$45,1,0)</f>
        <v>0</v>
      </c>
      <c r="EB331">
        <f>IF($EB$31&lt;=$EB$32,IF($A331&lt;=$EB$7,1,2),IF($A331&lt;=RUNG_BEDS_2,2,1))</f>
        <v>1</v>
      </c>
      <c r="EC331" s="5">
        <f>MIN(1,MAX(0,$EB$26-($A331-1)))</f>
        <v>0</v>
      </c>
      <c r="ED331" s="5">
        <f>$EB$25*(EC331+(1-EC331)*$EB$16)</f>
        <v>0.0</v>
      </c>
      <c r="EE331" s="13">
        <f>ED331*($EB$6+ACUTE_MARGIN)</f>
        <v>0.0</v>
      </c>
      <c r="EF331" s="13">
        <f>IF(EB331=1,$EB$31,$EB$32)</f>
        <v>152394.16214437486</v>
      </c>
      <c r="EG331" s="13">
        <f>EE331-EF331</f>
        <v>-152394.16214437486</v>
      </c>
      <c r="EH331" s="13">
        <f>EH330+EG331</f>
        <v>435218.4164673702</v>
      </c>
      <c r="EI331">
        <f>IF(EH331=MAX($EH$83:$EH$483),$A331,0)</f>
        <v>0</v>
      </c>
      <c r="EJ331">
        <f>IF(EE331&lt;EF331,$A331,B_MAX+1)</f>
        <v>248</v>
      </c>
      <c r="EK331" s="13">
        <f>IF(EB331=1,$EB$35,$EB$36)</f>
        <v>0</v>
      </c>
      <c r="EL331" s="13">
        <f>OCC_DAYS*$EB$41*R_NF_2023-ED331*MCD_SHARE_FREED*R_WAIT_2023</f>
        <v>50660.16094069735</v>
      </c>
      <c r="EM331">
        <f>IF($A331&lt;=$EB$45,1,0)</f>
        <v>0</v>
      </c>
      <c r="FB331">
        <f>IF($FB$31&lt;=$FB$32,IF($A331&lt;=$FB$7,1,2),IF($A331&lt;=RUNG_BEDS_2,2,1))</f>
        <v>1</v>
      </c>
      <c r="FC331" s="5">
        <f>MIN(1,MAX(0,$FB$26-($A331-1)))</f>
        <v>0</v>
      </c>
      <c r="FD331" s="5">
        <f>$FB$25*(FC331+(1-FC331)*$FB$16)</f>
        <v>0.0</v>
      </c>
      <c r="FE331" s="13">
        <f>FD331*($FB$6+ACUTE_MARGIN)</f>
        <v>0.0</v>
      </c>
      <c r="FF331" s="13">
        <f>IF(FB331=1,$FB$31,$FB$32)</f>
        <v>156636.04979437485</v>
      </c>
      <c r="FG331" s="13">
        <f>FE331-FF331</f>
        <v>-156636.04979437485</v>
      </c>
      <c r="FH331" s="13">
        <f>FH330+FG331</f>
        <v>-616769.7207327435</v>
      </c>
      <c r="FI331">
        <f>IF(FH331=MAX($FH$83:$FH$483),$A331,0)</f>
        <v>0</v>
      </c>
      <c r="FJ331">
        <f>IF(FE331&lt;FF331,$A331,B_MAX+1)</f>
        <v>248</v>
      </c>
      <c r="FK331" s="13">
        <f>IF(FB331=1,$FB$35,$FB$36)</f>
        <v>0</v>
      </c>
      <c r="FL331" s="13">
        <f>OCC_DAYS*$FB$41*R_NF_2023-FD331*MCD_SHARE_FREED*R_WAIT_2023</f>
        <v>151980.48282209205</v>
      </c>
      <c r="FM331">
        <f>IF($A331&lt;=$FB$45,1,0)</f>
        <v>0</v>
      </c>
      <c r="GB331">
        <f>IF($GB$31&lt;=$GB$32,IF($A331&lt;=$GB$7,1,2),IF($A331&lt;=RUNG_BEDS_2,2,1))</f>
        <v>1</v>
      </c>
      <c r="GC331" s="5">
        <f>MIN(1,MAX(0,$GB$26-($A331-1)))</f>
        <v>0</v>
      </c>
      <c r="GD331" s="5">
        <f>$GB$25*(GC331+(1-GC331)*$GB$16)</f>
        <v>0.0</v>
      </c>
      <c r="GE331" s="13">
        <f>GD331*($GB$6+ACUTE_MARGIN)</f>
        <v>0.0</v>
      </c>
      <c r="GF331" s="13">
        <f>IF(GB331=1,$GB$31,$GB$32)</f>
        <v>152394.16214437486</v>
      </c>
      <c r="GG331" s="13">
        <f>GE331-GF331</f>
        <v>-152394.16214437486</v>
      </c>
      <c r="GH331" s="13">
        <f>GH330+GG331</f>
        <v>435218.4164673702</v>
      </c>
      <c r="GI331">
        <f>IF(GH331=MAX($GH$83:$GH$483),$A331,0)</f>
        <v>0</v>
      </c>
      <c r="GJ331">
        <f>IF(GE331&lt;GF331,$A331,B_MAX+1)</f>
        <v>248</v>
      </c>
      <c r="GK331" s="13">
        <f>IF(GB331=1,$GB$35,$GB$36)</f>
        <v>0</v>
      </c>
      <c r="GL331" s="13">
        <f>OCC_DAYS*$GB$41*R_NF_2023-GD331*MCD_SHARE_FREED*R_WAIT_2023</f>
        <v>151980.48282209205</v>
      </c>
      <c r="GM331">
        <f>IF($A331&lt;=$GB$45,1,0)</f>
        <v>0</v>
      </c>
      <c r="HB331">
        <f>IF($HB$31&lt;=$HB$32,IF($A331&lt;=$HB$7,1,2),IF($A331&lt;=RUNG_BEDS_2,2,1))</f>
        <v>1</v>
      </c>
      <c r="HC331" s="5">
        <f>MIN(1,MAX(0,$HB$26-($A331-1)))</f>
        <v>0</v>
      </c>
      <c r="HD331" s="5">
        <f>$HB$25*(HC331+(1-HC331)*$HB$16)</f>
        <v>0.0</v>
      </c>
      <c r="HE331" s="13">
        <f>HD331*($HB$6+ACUTE_MARGIN)</f>
        <v>0.0</v>
      </c>
      <c r="HF331" s="13">
        <f>IF(HB331=1,$HB$31,$HB$32)</f>
        <v>152456.2970814058</v>
      </c>
      <c r="HG331" s="13">
        <f>HE331-HF331</f>
        <v>-152456.2970814058</v>
      </c>
      <c r="HH331" s="13">
        <f>HH330+HG331</f>
        <v>419808.95208365796</v>
      </c>
      <c r="HI331">
        <f>IF(HH331=MAX($HH$83:$HH$483),$A331,0)</f>
        <v>0</v>
      </c>
      <c r="HJ331">
        <f>IF(HE331&lt;HF331,$A331,B_MAX+1)</f>
        <v>248</v>
      </c>
      <c r="HK331" s="13">
        <f>IF(HB331=1,$HB$35,$HB$36)</f>
        <v>0</v>
      </c>
      <c r="HL331" s="13">
        <f>OCC_DAYS*$HB$41*R_NF_2023-HD331*MCD_SHARE_FREED*R_WAIT_2023</f>
        <v>151980.48282209205</v>
      </c>
      <c r="HM331">
        <f>IF($A331&lt;=$HB$45,1,0)</f>
        <v>0</v>
      </c>
      <c r="IB331">
        <f>IF($IB$31&lt;=$IB$32,IF($A331&lt;=$IB$7,1,2),IF($A331&lt;=RUNG_BEDS_2,2,1))</f>
        <v>1</v>
      </c>
      <c r="IC331" s="5">
        <f>MIN(1,MAX(0,$IB$26-($A331-1)))</f>
        <v>0</v>
      </c>
      <c r="ID331" s="5">
        <f>$IB$25*(IC331+(1-IC331)*$IB$16)</f>
        <v>0.0</v>
      </c>
      <c r="IE331" s="13">
        <f>ID331*($IB$6+ACUTE_MARGIN)</f>
        <v>0.0</v>
      </c>
      <c r="IF331" s="13">
        <f>IF(IB331=1,$IB$31,$IB$32)</f>
        <v>152734.9994534971</v>
      </c>
      <c r="IG331" s="13">
        <f>IE331-IF331</f>
        <v>-152734.9994534971</v>
      </c>
      <c r="IH331" s="13">
        <f>IH330+IG331</f>
        <v>350690.7638049619</v>
      </c>
      <c r="II331">
        <f>IF(IH331=MAX($IH$83:$IH$483),$A331,0)</f>
        <v>0</v>
      </c>
      <c r="IJ331">
        <f>IF(IE331&lt;IF331,$A331,B_MAX+1)</f>
        <v>248</v>
      </c>
      <c r="IK331" s="13">
        <f>IF(IB331=1,$IB$35,$IB$36)</f>
        <v>0</v>
      </c>
      <c r="IL331" s="13">
        <f>OCC_DAYS*$IB$41*R_NF_2023-ID331*MCD_SHARE_FREED*R_WAIT_2023</f>
        <v>151980.48282209205</v>
      </c>
      <c r="IM331">
        <f>IF($A331&lt;=$IB$45,1,0)</f>
        <v>0</v>
      </c>
      <c r="JB331">
        <f>IF($JB$31&lt;=$JB$32,IF($A331&lt;=$JB$7,1,2),IF($A331&lt;=RUNG_BEDS_2,2,1))</f>
        <v>1</v>
      </c>
      <c r="JC331" s="5">
        <f>MIN(1,MAX(0,$JB$26-($A331-1)))</f>
        <v>0</v>
      </c>
      <c r="JD331" s="5">
        <f>$JB$25*(JC331+(1-JC331)*$JB$16)</f>
        <v>0.0</v>
      </c>
      <c r="JE331" s="13">
        <f>JD331*($JB$6+ACUTE_MARGIN)</f>
        <v>0.0</v>
      </c>
      <c r="JF331" s="13">
        <f>IF(JB331=1,$JB$31,$JB$32)</f>
        <v>152394.16214437486</v>
      </c>
      <c r="JG331" s="13">
        <f>JE331-JF331</f>
        <v>-152394.16214437486</v>
      </c>
      <c r="JH331" s="13">
        <f>JH330+JG331</f>
        <v>435218.4164673702</v>
      </c>
      <c r="JI331">
        <f>IF(JH331=MAX($JH$83:$JH$483),$A331,0)</f>
        <v>0</v>
      </c>
      <c r="JJ331">
        <f>IF(JE331&lt;JF331,$A331,B_MAX+1)</f>
        <v>248</v>
      </c>
      <c r="JK331" s="13">
        <f>IF(JB331=1,$JB$35,$JB$36)</f>
        <v>0</v>
      </c>
      <c r="JL331" s="13">
        <f>OCC_DAYS*$JB$41*R_NF_2023-JD331*MCD_SHARE_FREED*R_WAIT_2023</f>
        <v>151980.48282209205</v>
      </c>
      <c r="JM331">
        <f>IF($A331&lt;=$JB$45,1,0)</f>
        <v>0</v>
      </c>
      <c r="KB331">
        <f>IF($KB$31&lt;=$KB$32,IF($A331&lt;=$KB$7,1,2),IF($A331&lt;=RUNG_BEDS_2,2,1))</f>
        <v>1</v>
      </c>
      <c r="KC331" s="5">
        <f>MIN(1,MAX(0,$KB$26-($A331-1)))</f>
        <v>1</v>
      </c>
      <c r="KD331" s="5">
        <f>$KB$25*(KC331+(1-KC331)*$KB$16)</f>
        <v>126.02661357340719</v>
      </c>
      <c r="KE331" s="13">
        <f>KD331*($KB$6+ACUTE_MARGIN)</f>
        <v>127286.87970914126</v>
      </c>
      <c r="KF331" s="13">
        <f>IF(KB331=1,$KB$31,$KB$32)</f>
        <v>152394.16214437486</v>
      </c>
      <c r="KG331" s="13">
        <f>KE331-KF331</f>
        <v>-25107.282435233603</v>
      </c>
      <c r="KH331" s="13">
        <f>KH330+KG331</f>
        <v>-6226606.043937954</v>
      </c>
      <c r="KI331">
        <f>IF(KH331=MAX($KH$83:$KH$483),$A331,0)</f>
        <v>0</v>
      </c>
      <c r="KJ331">
        <f>IF(KE331&lt;KF331,$A331,B_MAX+1)</f>
        <v>248</v>
      </c>
      <c r="KK331" s="13">
        <f>IF(KB331=1,$KB$35,$KB$36)</f>
        <v>0</v>
      </c>
      <c r="KL331" s="13">
        <f>OCC_DAYS*$KB$41*R_NF_2023-KD331*MCD_SHARE_FREED*R_WAIT_2023</f>
        <v>94673.82103225985</v>
      </c>
      <c r="KM331">
        <f>IF($A331&lt;=$KB$45,1,0)</f>
        <v>0</v>
      </c>
      <c r="LB331">
        <f>IF($LB$31&lt;=$LB$32,IF($A331&lt;=$LB$7,1,2),IF($A331&lt;=RUNG_BEDS_2,2,1))</f>
        <v>1</v>
      </c>
      <c r="LC331" s="5">
        <f>MIN(1,MAX(0,$LB$26-($A331-1)))</f>
        <v>1</v>
      </c>
      <c r="LD331" s="5">
        <f>$LB$25*(LC331+(1-LC331)*$LB$16)</f>
        <v>84.01774238227146</v>
      </c>
      <c r="LE331" s="13">
        <f>LD331*($LB$6+ACUTE_MARGIN)</f>
        <v>84857.91980609419</v>
      </c>
      <c r="LF331" s="13">
        <f>IF(LB331=1,$LB$31,$LB$32)</f>
        <v>152394.16214437486</v>
      </c>
      <c r="LG331" s="13">
        <f>LE331-LF331</f>
        <v>-67536.24233828067</v>
      </c>
      <c r="LH331" s="13">
        <f>LH330+LG331</f>
        <v>-16748988.09989369</v>
      </c>
      <c r="LI331">
        <f>IF(LH331=MAX($LH$83:$LH$483),$A331,0)</f>
        <v>0</v>
      </c>
      <c r="LJ331">
        <f>IF(LE331&lt;LF331,$A331,B_MAX+1)</f>
        <v>248</v>
      </c>
      <c r="LK331" s="13">
        <f>IF(LB331=1,$LB$35,$LB$36)</f>
        <v>0</v>
      </c>
      <c r="LL331" s="13">
        <f>OCC_DAYS*$LB$41*R_NF_2023-LD331*MCD_SHARE_FREED*R_WAIT_2023</f>
        <v>113776.04162887059</v>
      </c>
      <c r="LM331">
        <f>IF($A331&lt;=$LB$45,1,0)</f>
        <v>0</v>
      </c>
      <c r="MB331">
        <f>IF($MB$31&lt;=$MB$32,IF($A331&lt;=$MB$7,1,2),IF($A331&lt;=RUNG_BEDS_2,2,1))</f>
        <v>1</v>
      </c>
      <c r="MC331" s="5">
        <f>MIN(1,MAX(0,$MB$26-($A331-1)))</f>
        <v>0</v>
      </c>
      <c r="MD331" s="5">
        <f>$MB$25*(MC331+(1-MC331)*$MB$16)</f>
        <v>0.0</v>
      </c>
      <c r="ME331" s="13">
        <f>MD331*($MB$6+ACUTE_MARGIN)</f>
        <v>0.0</v>
      </c>
      <c r="MF331" s="13">
        <f>IF(MB331=1,$MB$31,$MB$32)</f>
        <v>152394.16214437486</v>
      </c>
      <c r="MG331" s="13">
        <f>ME331-MF331</f>
        <v>-152394.16214437486</v>
      </c>
      <c r="MH331" s="13">
        <f>MH330+MG331</f>
        <v>-5452057.645330962</v>
      </c>
      <c r="MI331">
        <f>IF(MH331=MAX($MH$83:$MH$483),$A331,0)</f>
        <v>0</v>
      </c>
      <c r="MJ331">
        <f>IF(ME331&lt;MF331,$A331,B_MAX+1)</f>
        <v>248</v>
      </c>
      <c r="MK331" s="13">
        <f>IF(MB331=1,$MB$35,$MB$36)</f>
        <v>0</v>
      </c>
      <c r="ML331" s="13">
        <f>OCC_DAYS*$MB$41*R_NF_2023-MD331*MCD_SHARE_FREED*R_WAIT_2023</f>
        <v>151980.48282209205</v>
      </c>
      <c r="MM331">
        <f>IF($A331&lt;=$MB$45,1,0)</f>
        <v>0</v>
      </c>
      <c r="NB331">
        <f>IF($NB$31&lt;=$NB$32,IF($A331&lt;=$NB$7,1,2),IF($A331&lt;=RUNG_BEDS_2,2,1))</f>
        <v>1</v>
      </c>
      <c r="NC331" s="5">
        <f>MIN(1,MAX(0,$NB$26-($A331-1)))</f>
        <v>0</v>
      </c>
      <c r="ND331" s="5">
        <f>$NB$25*(NC331+(1-NC331)*$NB$16)</f>
        <v>63.013306786703595</v>
      </c>
      <c r="NE331" s="13">
        <f>ND331*($NB$6+ACUTE_MARGIN)</f>
        <v>63643.43985457063</v>
      </c>
      <c r="NF331" s="13">
        <f>IF(NB331=1,$NB$31,$NB$32)</f>
        <v>152394.16214437486</v>
      </c>
      <c r="NG331" s="13">
        <f>NE331-NF331</f>
        <v>-88750.72228980422</v>
      </c>
      <c r="NH331" s="13">
        <f>NH330+NG331</f>
        <v>6661548.843332782</v>
      </c>
      <c r="NI331">
        <f>IF(NH331=MAX($NH$83:$NH$483),$A331,0)</f>
        <v>0</v>
      </c>
      <c r="NJ331">
        <f>IF(NE331&lt;NF331,$A331,B_MAX+1)</f>
        <v>248</v>
      </c>
      <c r="NK331" s="13">
        <f>IF(NB331=1,$NB$35,$NB$36)</f>
        <v>0</v>
      </c>
      <c r="NL331" s="13">
        <f>OCC_DAYS*$NB$41*R_NF_2023-ND331*MCD_SHARE_FREED*R_WAIT_2023</f>
        <v>123327.15192717595</v>
      </c>
      <c r="NM331">
        <f>IF($A331&lt;=$NB$45,1,0)</f>
        <v>0</v>
      </c>
      <c r="OB331">
        <f>IF($OB$31&lt;=$OB$32,IF($A331&lt;=$OB$7,1,2),IF($A331&lt;=RUNG_BEDS_2,2,1))</f>
        <v>1</v>
      </c>
      <c r="OC331" s="5">
        <f>MIN(1,MAX(0,$OB$26-($A331-1)))</f>
        <v>0</v>
      </c>
      <c r="OD331" s="5">
        <f>$OB$25*(OC331+(1-OC331)*$OB$16)</f>
        <v>126.02661357340719</v>
      </c>
      <c r="OE331" s="13">
        <f>OD331*($OB$6+ACUTE_MARGIN)</f>
        <v>127286.87970914126</v>
      </c>
      <c r="OF331" s="13">
        <f>IF(OB331=1,$OB$31,$OB$32)</f>
        <v>152394.16214437486</v>
      </c>
      <c r="OG331" s="13">
        <f>OE331-OF331</f>
        <v>-25107.282435233603</v>
      </c>
      <c r="OH331" s="13">
        <f>OH330+OG331</f>
        <v>12887879.27019833</v>
      </c>
      <c r="OI331">
        <f>IF(OH331=MAX($OH$83:$OH$483),$A331,0)</f>
        <v>0</v>
      </c>
      <c r="OJ331">
        <f>IF(OE331&lt;OF331,$A331,B_MAX+1)</f>
        <v>248</v>
      </c>
      <c r="OK331" s="13">
        <f>IF(OB331=1,$OB$35,$OB$36)</f>
        <v>0</v>
      </c>
      <c r="OL331" s="13">
        <f>OCC_DAYS*$OB$41*R_NF_2023-OD331*MCD_SHARE_FREED*R_WAIT_2023</f>
        <v>94673.82103225985</v>
      </c>
      <c r="OM331">
        <f>IF($A331&lt;=$OB$45,1,0)</f>
        <v>0</v>
      </c>
    </row>
    <row r="332">
      <c r="A332" t="n">
        <v>249</v>
      </c>
      <c r="B332">
        <f>IF($B$31&lt;=$B$32,IF($A332&lt;=$B$7,1,2),IF($A332&lt;=RUNG_BEDS_2,2,1))</f>
        <v>1</v>
      </c>
      <c r="C332" s="5">
        <f>MIN(1,MAX(0,$B$26-($A332-1)))</f>
        <v>0</v>
      </c>
      <c r="D332" s="5">
        <f>$B$25*(C332+(1-C332)*$B$16)</f>
        <v>0.0</v>
      </c>
      <c r="E332" s="13">
        <f>D332*($B$6+ACUTE_MARGIN)</f>
        <v>0.0</v>
      </c>
      <c r="F332" s="13">
        <f>IF(B332=1,$B$31,$B$32)</f>
        <v>152394.16214437486</v>
      </c>
      <c r="G332" s="13">
        <f>E332-F332</f>
        <v>-152394.16214437486</v>
      </c>
      <c r="H332" s="13">
        <f>H331+G332</f>
        <v>282824.2543229953</v>
      </c>
      <c r="I332">
        <f>IF(H332=MAX($H$83:$H$483),$A332,0)</f>
        <v>0</v>
      </c>
      <c r="J332">
        <f>IF(E332&lt;F332,$A332,B_MAX+1)</f>
        <v>249</v>
      </c>
      <c r="K332" s="13">
        <f>IF(B332=1,$B$35,$B$36)</f>
        <v>0</v>
      </c>
      <c r="L332" s="13">
        <f>OCC_DAYS*$B$41*R_NF_2023-D332*MCD_SHARE_FREED*R_WAIT_2023</f>
        <v>151980.48282209205</v>
      </c>
      <c r="M332">
        <f>IF($A332&lt;=$B$45,1,0)</f>
        <v>0</v>
      </c>
      <c r="AB332">
        <f>IF($AB$31&lt;=$AB$32,IF($A332&lt;=$AB$7,1,2),IF($A332&lt;=RUNG_BEDS_2,2,1))</f>
        <v>1</v>
      </c>
      <c r="AC332" s="5">
        <f>MIN(1,MAX(0,$AB$26-($A332-1)))</f>
        <v>0</v>
      </c>
      <c r="AD332" s="5">
        <f>$AB$25*(AC332+(1-AC332)*$AB$16)</f>
        <v>0.0</v>
      </c>
      <c r="AE332" s="13">
        <f>AD332*($AB$6+ACUTE_MARGIN)</f>
        <v>0.0</v>
      </c>
      <c r="AF332" s="13">
        <f>IF(AB332=1,$AB$31,$AB$32)</f>
        <v>152394.16214437486</v>
      </c>
      <c r="AG332" s="13">
        <f>AE332-AF332</f>
        <v>-152394.16214437486</v>
      </c>
      <c r="AH332" s="13">
        <f>AH331+AG332</f>
        <v>-17128390.09122679</v>
      </c>
      <c r="AI332">
        <f>IF(AH332=MAX($AH$83:$AH$483),$A332,0)</f>
        <v>0</v>
      </c>
      <c r="AJ332">
        <f>IF(AE332&lt;AF332,$A332,B_MAX+1)</f>
        <v>249</v>
      </c>
      <c r="AK332" s="13">
        <f>IF(AB332=1,$AB$35,$AB$36)</f>
        <v>0</v>
      </c>
      <c r="AL332" s="13">
        <f>OCC_DAYS*$AB$41*R_NF_2023-AD332*MCD_SHARE_FREED*R_WAIT_2023</f>
        <v>151980.48282209205</v>
      </c>
      <c r="AM332">
        <f>IF($A332&lt;=$AB$45,1,0)</f>
        <v>0</v>
      </c>
      <c r="BB332">
        <f>IF($BB$31&lt;=$BB$32,IF($A332&lt;=$BB$7,1,2),IF($A332&lt;=RUNG_BEDS_2,2,1))</f>
        <v>1</v>
      </c>
      <c r="BC332" s="5">
        <f>MIN(1,MAX(0,$BB$26-($A332-1)))</f>
        <v>0</v>
      </c>
      <c r="BD332" s="5">
        <f>$BB$25*(BC332+(1-BC332)*$BB$16)</f>
        <v>0.0</v>
      </c>
      <c r="BE332" s="13">
        <f>BD332*($BB$6+ACUTE_MARGIN)</f>
        <v>0.0</v>
      </c>
      <c r="BF332" s="13">
        <f>IF(BB332=1,$BB$31,$BB$32)</f>
        <v>152394.16214437486</v>
      </c>
      <c r="BG332" s="13">
        <f>BE332-BF332</f>
        <v>-152394.16214437486</v>
      </c>
      <c r="BH332" s="13">
        <f>BH331+BG332</f>
        <v>17694038.599872705</v>
      </c>
      <c r="BI332">
        <f>IF(BH332=MAX($BH$83:$BH$483),$A332,0)</f>
        <v>0</v>
      </c>
      <c r="BJ332">
        <f>IF(BE332&lt;BF332,$A332,B_MAX+1)</f>
        <v>249</v>
      </c>
      <c r="BK332" s="13">
        <f>IF(BB332=1,$BB$35,$BB$36)</f>
        <v>0</v>
      </c>
      <c r="BL332" s="13">
        <f>OCC_DAYS*$BB$41*R_NF_2023-BD332*MCD_SHARE_FREED*R_WAIT_2023</f>
        <v>151980.48282209205</v>
      </c>
      <c r="BM332">
        <f>IF($A332&lt;=$BB$45,1,0)</f>
        <v>0</v>
      </c>
      <c r="CB332">
        <f>IF($CB$31&lt;=$CB$32,IF($A332&lt;=$CB$7,1,2),IF($A332&lt;=RUNG_BEDS_2,2,1))</f>
        <v>2</v>
      </c>
      <c r="CC332" s="5">
        <f>MIN(1,MAX(0,$CB$26-($A332-1)))</f>
        <v>0</v>
      </c>
      <c r="CD332" s="5">
        <f>$CB$25*(CC332+(1-CC332)*$CB$16)</f>
        <v>0.0</v>
      </c>
      <c r="CE332" s="13">
        <f>CD332*($CB$6+ACUTE_MARGIN)</f>
        <v>0.0</v>
      </c>
      <c r="CF332" s="13">
        <f>IF(CB332=1,$CB$31,$CB$32)</f>
        <v>160718.36940738867</v>
      </c>
      <c r="CG332" s="13">
        <f>CE332-CF332</f>
        <v>-160718.36940738867</v>
      </c>
      <c r="CH332" s="13">
        <f>CH331+CG332</f>
        <v>-1789903.3541675576</v>
      </c>
      <c r="CI332">
        <f>IF(CH332=MAX($CH$83:$CH$483),$A332,0)</f>
        <v>0</v>
      </c>
      <c r="CJ332">
        <f>IF(CE332&lt;CF332,$A332,B_MAX+1)</f>
        <v>249</v>
      </c>
      <c r="CK332" s="13">
        <f>IF(CB332=1,$CB$35,$CB$36)</f>
        <v>1560.1194073886782</v>
      </c>
      <c r="CL332" s="13">
        <f>OCC_DAYS*$CB$41*R_NF_2023-CD332*MCD_SHARE_FREED*R_WAIT_2023</f>
        <v>151980.48282209205</v>
      </c>
      <c r="CM332">
        <f>IF($A332&lt;=$CB$45,1,0)</f>
        <v>0</v>
      </c>
      <c r="DB332">
        <f>IF($DB$31&lt;=$DB$32,IF($A332&lt;=$DB$7,1,2),IF($A332&lt;=RUNG_BEDS_2,2,1))</f>
        <v>1</v>
      </c>
      <c r="DC332" s="5">
        <f>MIN(1,MAX(0,$DB$26-($A332-1)))</f>
        <v>0</v>
      </c>
      <c r="DD332" s="5">
        <f>$DB$25*(DC332+(1-DC332)*$DB$16)</f>
        <v>0.0</v>
      </c>
      <c r="DE332" s="13">
        <f>DD332*($DB$6+ACUTE_MARGIN)</f>
        <v>0.0</v>
      </c>
      <c r="DF332" s="13">
        <f>IF(DB332=1,$DB$31,$DB$32)</f>
        <v>152394.16214437486</v>
      </c>
      <c r="DG332" s="13">
        <f>DE332-DF332</f>
        <v>-152394.16214437486</v>
      </c>
      <c r="DH332" s="13">
        <f>DH331+DG332</f>
        <v>282824.2543229953</v>
      </c>
      <c r="DI332">
        <f>IF(DH332=MAX($DH$83:$DH$483),$A332,0)</f>
        <v>0</v>
      </c>
      <c r="DJ332">
        <f>IF(DE332&lt;DF332,$A332,B_MAX+1)</f>
        <v>249</v>
      </c>
      <c r="DK332" s="13">
        <f>IF(DB332=1,$DB$35,$DB$36)</f>
        <v>0</v>
      </c>
      <c r="DL332" s="13">
        <f>OCC_DAYS*$DB$41*R_NF_2023-DD332*MCD_SHARE_FREED*R_WAIT_2023</f>
        <v>151980.48282209205</v>
      </c>
      <c r="DM332">
        <f>IF($A332&lt;=$DB$45,1,0)</f>
        <v>0</v>
      </c>
      <c r="EB332">
        <f>IF($EB$31&lt;=$EB$32,IF($A332&lt;=$EB$7,1,2),IF($A332&lt;=RUNG_BEDS_2,2,1))</f>
        <v>1</v>
      </c>
      <c r="EC332" s="5">
        <f>MIN(1,MAX(0,$EB$26-($A332-1)))</f>
        <v>0</v>
      </c>
      <c r="ED332" s="5">
        <f>$EB$25*(EC332+(1-EC332)*$EB$16)</f>
        <v>0.0</v>
      </c>
      <c r="EE332" s="13">
        <f>ED332*($EB$6+ACUTE_MARGIN)</f>
        <v>0.0</v>
      </c>
      <c r="EF332" s="13">
        <f>IF(EB332=1,$EB$31,$EB$32)</f>
        <v>152394.16214437486</v>
      </c>
      <c r="EG332" s="13">
        <f>EE332-EF332</f>
        <v>-152394.16214437486</v>
      </c>
      <c r="EH332" s="13">
        <f>EH331+EG332</f>
        <v>282824.2543229953</v>
      </c>
      <c r="EI332">
        <f>IF(EH332=MAX($EH$83:$EH$483),$A332,0)</f>
        <v>0</v>
      </c>
      <c r="EJ332">
        <f>IF(EE332&lt;EF332,$A332,B_MAX+1)</f>
        <v>249</v>
      </c>
      <c r="EK332" s="13">
        <f>IF(EB332=1,$EB$35,$EB$36)</f>
        <v>0</v>
      </c>
      <c r="EL332" s="13">
        <f>OCC_DAYS*$EB$41*R_NF_2023-ED332*MCD_SHARE_FREED*R_WAIT_2023</f>
        <v>50660.16094069735</v>
      </c>
      <c r="EM332">
        <f>IF($A332&lt;=$EB$45,1,0)</f>
        <v>0</v>
      </c>
      <c r="FB332">
        <f>IF($FB$31&lt;=$FB$32,IF($A332&lt;=$FB$7,1,2),IF($A332&lt;=RUNG_BEDS_2,2,1))</f>
        <v>1</v>
      </c>
      <c r="FC332" s="5">
        <f>MIN(1,MAX(0,$FB$26-($A332-1)))</f>
        <v>0</v>
      </c>
      <c r="FD332" s="5">
        <f>$FB$25*(FC332+(1-FC332)*$FB$16)</f>
        <v>0.0</v>
      </c>
      <c r="FE332" s="13">
        <f>FD332*($FB$6+ACUTE_MARGIN)</f>
        <v>0.0</v>
      </c>
      <c r="FF332" s="13">
        <f>IF(FB332=1,$FB$31,$FB$32)</f>
        <v>156636.04979437485</v>
      </c>
      <c r="FG332" s="13">
        <f>FE332-FF332</f>
        <v>-156636.04979437485</v>
      </c>
      <c r="FH332" s="13">
        <f>FH331+FG332</f>
        <v>-773405.7705271184</v>
      </c>
      <c r="FI332">
        <f>IF(FH332=MAX($FH$83:$FH$483),$A332,0)</f>
        <v>0</v>
      </c>
      <c r="FJ332">
        <f>IF(FE332&lt;FF332,$A332,B_MAX+1)</f>
        <v>249</v>
      </c>
      <c r="FK332" s="13">
        <f>IF(FB332=1,$FB$35,$FB$36)</f>
        <v>0</v>
      </c>
      <c r="FL332" s="13">
        <f>OCC_DAYS*$FB$41*R_NF_2023-FD332*MCD_SHARE_FREED*R_WAIT_2023</f>
        <v>151980.48282209205</v>
      </c>
      <c r="FM332">
        <f>IF($A332&lt;=$FB$45,1,0)</f>
        <v>0</v>
      </c>
      <c r="GB332">
        <f>IF($GB$31&lt;=$GB$32,IF($A332&lt;=$GB$7,1,2),IF($A332&lt;=RUNG_BEDS_2,2,1))</f>
        <v>1</v>
      </c>
      <c r="GC332" s="5">
        <f>MIN(1,MAX(0,$GB$26-($A332-1)))</f>
        <v>0</v>
      </c>
      <c r="GD332" s="5">
        <f>$GB$25*(GC332+(1-GC332)*$GB$16)</f>
        <v>0.0</v>
      </c>
      <c r="GE332" s="13">
        <f>GD332*($GB$6+ACUTE_MARGIN)</f>
        <v>0.0</v>
      </c>
      <c r="GF332" s="13">
        <f>IF(GB332=1,$GB$31,$GB$32)</f>
        <v>152394.16214437486</v>
      </c>
      <c r="GG332" s="13">
        <f>GE332-GF332</f>
        <v>-152394.16214437486</v>
      </c>
      <c r="GH332" s="13">
        <f>GH331+GG332</f>
        <v>282824.2543229953</v>
      </c>
      <c r="GI332">
        <f>IF(GH332=MAX($GH$83:$GH$483),$A332,0)</f>
        <v>0</v>
      </c>
      <c r="GJ332">
        <f>IF(GE332&lt;GF332,$A332,B_MAX+1)</f>
        <v>249</v>
      </c>
      <c r="GK332" s="13">
        <f>IF(GB332=1,$GB$35,$GB$36)</f>
        <v>0</v>
      </c>
      <c r="GL332" s="13">
        <f>OCC_DAYS*$GB$41*R_NF_2023-GD332*MCD_SHARE_FREED*R_WAIT_2023</f>
        <v>151980.48282209205</v>
      </c>
      <c r="GM332">
        <f>IF($A332&lt;=$GB$45,1,0)</f>
        <v>0</v>
      </c>
      <c r="HB332">
        <f>IF($HB$31&lt;=$HB$32,IF($A332&lt;=$HB$7,1,2),IF($A332&lt;=RUNG_BEDS_2,2,1))</f>
        <v>1</v>
      </c>
      <c r="HC332" s="5">
        <f>MIN(1,MAX(0,$HB$26-($A332-1)))</f>
        <v>0</v>
      </c>
      <c r="HD332" s="5">
        <f>$HB$25*(HC332+(1-HC332)*$HB$16)</f>
        <v>0.0</v>
      </c>
      <c r="HE332" s="13">
        <f>HD332*($HB$6+ACUTE_MARGIN)</f>
        <v>0.0</v>
      </c>
      <c r="HF332" s="13">
        <f>IF(HB332=1,$HB$31,$HB$32)</f>
        <v>152456.2970814058</v>
      </c>
      <c r="HG332" s="13">
        <f>HE332-HF332</f>
        <v>-152456.2970814058</v>
      </c>
      <c r="HH332" s="13">
        <f>HH331+HG332</f>
        <v>267352.6550022522</v>
      </c>
      <c r="HI332">
        <f>IF(HH332=MAX($HH$83:$HH$483),$A332,0)</f>
        <v>0</v>
      </c>
      <c r="HJ332">
        <f>IF(HE332&lt;HF332,$A332,B_MAX+1)</f>
        <v>249</v>
      </c>
      <c r="HK332" s="13">
        <f>IF(HB332=1,$HB$35,$HB$36)</f>
        <v>0</v>
      </c>
      <c r="HL332" s="13">
        <f>OCC_DAYS*$HB$41*R_NF_2023-HD332*MCD_SHARE_FREED*R_WAIT_2023</f>
        <v>151980.48282209205</v>
      </c>
      <c r="HM332">
        <f>IF($A332&lt;=$HB$45,1,0)</f>
        <v>0</v>
      </c>
      <c r="IB332">
        <f>IF($IB$31&lt;=$IB$32,IF($A332&lt;=$IB$7,1,2),IF($A332&lt;=RUNG_BEDS_2,2,1))</f>
        <v>1</v>
      </c>
      <c r="IC332" s="5">
        <f>MIN(1,MAX(0,$IB$26-($A332-1)))</f>
        <v>0</v>
      </c>
      <c r="ID332" s="5">
        <f>$IB$25*(IC332+(1-IC332)*$IB$16)</f>
        <v>0.0</v>
      </c>
      <c r="IE332" s="13">
        <f>ID332*($IB$6+ACUTE_MARGIN)</f>
        <v>0.0</v>
      </c>
      <c r="IF332" s="13">
        <f>IF(IB332=1,$IB$31,$IB$32)</f>
        <v>152734.9994534971</v>
      </c>
      <c r="IG332" s="13">
        <f>IE332-IF332</f>
        <v>-152734.9994534971</v>
      </c>
      <c r="IH332" s="13">
        <f>IH331+IG332</f>
        <v>197955.76435146484</v>
      </c>
      <c r="II332">
        <f>IF(IH332=MAX($IH$83:$IH$483),$A332,0)</f>
        <v>0</v>
      </c>
      <c r="IJ332">
        <f>IF(IE332&lt;IF332,$A332,B_MAX+1)</f>
        <v>249</v>
      </c>
      <c r="IK332" s="13">
        <f>IF(IB332=1,$IB$35,$IB$36)</f>
        <v>0</v>
      </c>
      <c r="IL332" s="13">
        <f>OCC_DAYS*$IB$41*R_NF_2023-ID332*MCD_SHARE_FREED*R_WAIT_2023</f>
        <v>151980.48282209205</v>
      </c>
      <c r="IM332">
        <f>IF($A332&lt;=$IB$45,1,0)</f>
        <v>0</v>
      </c>
      <c r="JB332">
        <f>IF($JB$31&lt;=$JB$32,IF($A332&lt;=$JB$7,1,2),IF($A332&lt;=RUNG_BEDS_2,2,1))</f>
        <v>1</v>
      </c>
      <c r="JC332" s="5">
        <f>MIN(1,MAX(0,$JB$26-($A332-1)))</f>
        <v>0</v>
      </c>
      <c r="JD332" s="5">
        <f>$JB$25*(JC332+(1-JC332)*$JB$16)</f>
        <v>0.0</v>
      </c>
      <c r="JE332" s="13">
        <f>JD332*($JB$6+ACUTE_MARGIN)</f>
        <v>0.0</v>
      </c>
      <c r="JF332" s="13">
        <f>IF(JB332=1,$JB$31,$JB$32)</f>
        <v>152394.16214437486</v>
      </c>
      <c r="JG332" s="13">
        <f>JE332-JF332</f>
        <v>-152394.16214437486</v>
      </c>
      <c r="JH332" s="13">
        <f>JH331+JG332</f>
        <v>282824.2543229953</v>
      </c>
      <c r="JI332">
        <f>IF(JH332=MAX($JH$83:$JH$483),$A332,0)</f>
        <v>0</v>
      </c>
      <c r="JJ332">
        <f>IF(JE332&lt;JF332,$A332,B_MAX+1)</f>
        <v>249</v>
      </c>
      <c r="JK332" s="13">
        <f>IF(JB332=1,$JB$35,$JB$36)</f>
        <v>0</v>
      </c>
      <c r="JL332" s="13">
        <f>OCC_DAYS*$JB$41*R_NF_2023-JD332*MCD_SHARE_FREED*R_WAIT_2023</f>
        <v>151980.48282209205</v>
      </c>
      <c r="JM332">
        <f>IF($A332&lt;=$JB$45,1,0)</f>
        <v>0</v>
      </c>
      <c r="KB332">
        <f>IF($KB$31&lt;=$KB$32,IF($A332&lt;=$KB$7,1,2),IF($A332&lt;=RUNG_BEDS_2,2,1))</f>
        <v>1</v>
      </c>
      <c r="KC332" s="5">
        <f>MIN(1,MAX(0,$KB$26-($A332-1)))</f>
        <v>1</v>
      </c>
      <c r="KD332" s="5">
        <f>$KB$25*(KC332+(1-KC332)*$KB$16)</f>
        <v>126.02661357340719</v>
      </c>
      <c r="KE332" s="13">
        <f>KD332*($KB$6+ACUTE_MARGIN)</f>
        <v>127286.87970914126</v>
      </c>
      <c r="KF332" s="13">
        <f>IF(KB332=1,$KB$31,$KB$32)</f>
        <v>152394.16214437486</v>
      </c>
      <c r="KG332" s="13">
        <f>KE332-KF332</f>
        <v>-25107.282435233603</v>
      </c>
      <c r="KH332" s="13">
        <f>KH331+KG332</f>
        <v>-6251713.326373188</v>
      </c>
      <c r="KI332">
        <f>IF(KH332=MAX($KH$83:$KH$483),$A332,0)</f>
        <v>0</v>
      </c>
      <c r="KJ332">
        <f>IF(KE332&lt;KF332,$A332,B_MAX+1)</f>
        <v>249</v>
      </c>
      <c r="KK332" s="13">
        <f>IF(KB332=1,$KB$35,$KB$36)</f>
        <v>0</v>
      </c>
      <c r="KL332" s="13">
        <f>OCC_DAYS*$KB$41*R_NF_2023-KD332*MCD_SHARE_FREED*R_WAIT_2023</f>
        <v>94673.82103225985</v>
      </c>
      <c r="KM332">
        <f>IF($A332&lt;=$KB$45,1,0)</f>
        <v>0</v>
      </c>
      <c r="LB332">
        <f>IF($LB$31&lt;=$LB$32,IF($A332&lt;=$LB$7,1,2),IF($A332&lt;=RUNG_BEDS_2,2,1))</f>
        <v>1</v>
      </c>
      <c r="LC332" s="5">
        <f>MIN(1,MAX(0,$LB$26-($A332-1)))</f>
        <v>1</v>
      </c>
      <c r="LD332" s="5">
        <f>$LB$25*(LC332+(1-LC332)*$LB$16)</f>
        <v>84.01774238227146</v>
      </c>
      <c r="LE332" s="13">
        <f>LD332*($LB$6+ACUTE_MARGIN)</f>
        <v>84857.91980609419</v>
      </c>
      <c r="LF332" s="13">
        <f>IF(LB332=1,$LB$31,$LB$32)</f>
        <v>152394.16214437486</v>
      </c>
      <c r="LG332" s="13">
        <f>LE332-LF332</f>
        <v>-67536.24233828067</v>
      </c>
      <c r="LH332" s="13">
        <f>LH331+LG332</f>
        <v>-16816524.34223197</v>
      </c>
      <c r="LI332">
        <f>IF(LH332=MAX($LH$83:$LH$483),$A332,0)</f>
        <v>0</v>
      </c>
      <c r="LJ332">
        <f>IF(LE332&lt;LF332,$A332,B_MAX+1)</f>
        <v>249</v>
      </c>
      <c r="LK332" s="13">
        <f>IF(LB332=1,$LB$35,$LB$36)</f>
        <v>0</v>
      </c>
      <c r="LL332" s="13">
        <f>OCC_DAYS*$LB$41*R_NF_2023-LD332*MCD_SHARE_FREED*R_WAIT_2023</f>
        <v>113776.04162887059</v>
      </c>
      <c r="LM332">
        <f>IF($A332&lt;=$LB$45,1,0)</f>
        <v>0</v>
      </c>
      <c r="MB332">
        <f>IF($MB$31&lt;=$MB$32,IF($A332&lt;=$MB$7,1,2),IF($A332&lt;=RUNG_BEDS_2,2,1))</f>
        <v>1</v>
      </c>
      <c r="MC332" s="5">
        <f>MIN(1,MAX(0,$MB$26-($A332-1)))</f>
        <v>0</v>
      </c>
      <c r="MD332" s="5">
        <f>$MB$25*(MC332+(1-MC332)*$MB$16)</f>
        <v>0.0</v>
      </c>
      <c r="ME332" s="13">
        <f>MD332*($MB$6+ACUTE_MARGIN)</f>
        <v>0.0</v>
      </c>
      <c r="MF332" s="13">
        <f>IF(MB332=1,$MB$31,$MB$32)</f>
        <v>152394.16214437486</v>
      </c>
      <c r="MG332" s="13">
        <f>ME332-MF332</f>
        <v>-152394.16214437486</v>
      </c>
      <c r="MH332" s="13">
        <f>MH331+MG332</f>
        <v>-5604451.807475337</v>
      </c>
      <c r="MI332">
        <f>IF(MH332=MAX($MH$83:$MH$483),$A332,0)</f>
        <v>0</v>
      </c>
      <c r="MJ332">
        <f>IF(ME332&lt;MF332,$A332,B_MAX+1)</f>
        <v>249</v>
      </c>
      <c r="MK332" s="13">
        <f>IF(MB332=1,$MB$35,$MB$36)</f>
        <v>0</v>
      </c>
      <c r="ML332" s="13">
        <f>OCC_DAYS*$MB$41*R_NF_2023-MD332*MCD_SHARE_FREED*R_WAIT_2023</f>
        <v>151980.48282209205</v>
      </c>
      <c r="MM332">
        <f>IF($A332&lt;=$MB$45,1,0)</f>
        <v>0</v>
      </c>
      <c r="NB332">
        <f>IF($NB$31&lt;=$NB$32,IF($A332&lt;=$NB$7,1,2),IF($A332&lt;=RUNG_BEDS_2,2,1))</f>
        <v>1</v>
      </c>
      <c r="NC332" s="5">
        <f>MIN(1,MAX(0,$NB$26-($A332-1)))</f>
        <v>0</v>
      </c>
      <c r="ND332" s="5">
        <f>$NB$25*(NC332+(1-NC332)*$NB$16)</f>
        <v>63.013306786703595</v>
      </c>
      <c r="NE332" s="13">
        <f>ND332*($NB$6+ACUTE_MARGIN)</f>
        <v>63643.43985457063</v>
      </c>
      <c r="NF332" s="13">
        <f>IF(NB332=1,$NB$31,$NB$32)</f>
        <v>152394.16214437486</v>
      </c>
      <c r="NG332" s="13">
        <f>NE332-NF332</f>
        <v>-88750.72228980422</v>
      </c>
      <c r="NH332" s="13">
        <f>NH331+NG332</f>
        <v>6572798.121042978</v>
      </c>
      <c r="NI332">
        <f>IF(NH332=MAX($NH$83:$NH$483),$A332,0)</f>
        <v>0</v>
      </c>
      <c r="NJ332">
        <f>IF(NE332&lt;NF332,$A332,B_MAX+1)</f>
        <v>249</v>
      </c>
      <c r="NK332" s="13">
        <f>IF(NB332=1,$NB$35,$NB$36)</f>
        <v>0</v>
      </c>
      <c r="NL332" s="13">
        <f>OCC_DAYS*$NB$41*R_NF_2023-ND332*MCD_SHARE_FREED*R_WAIT_2023</f>
        <v>123327.15192717595</v>
      </c>
      <c r="NM332">
        <f>IF($A332&lt;=$NB$45,1,0)</f>
        <v>0</v>
      </c>
      <c r="OB332">
        <f>IF($OB$31&lt;=$OB$32,IF($A332&lt;=$OB$7,1,2),IF($A332&lt;=RUNG_BEDS_2,2,1))</f>
        <v>1</v>
      </c>
      <c r="OC332" s="5">
        <f>MIN(1,MAX(0,$OB$26-($A332-1)))</f>
        <v>0</v>
      </c>
      <c r="OD332" s="5">
        <f>$OB$25*(OC332+(1-OC332)*$OB$16)</f>
        <v>126.02661357340719</v>
      </c>
      <c r="OE332" s="13">
        <f>OD332*($OB$6+ACUTE_MARGIN)</f>
        <v>127286.87970914126</v>
      </c>
      <c r="OF332" s="13">
        <f>IF(OB332=1,$OB$31,$OB$32)</f>
        <v>152394.16214437486</v>
      </c>
      <c r="OG332" s="13">
        <f>OE332-OF332</f>
        <v>-25107.282435233603</v>
      </c>
      <c r="OH332" s="13">
        <f>OH331+OG332</f>
        <v>12862771.987763098</v>
      </c>
      <c r="OI332">
        <f>IF(OH332=MAX($OH$83:$OH$483),$A332,0)</f>
        <v>0</v>
      </c>
      <c r="OJ332">
        <f>IF(OE332&lt;OF332,$A332,B_MAX+1)</f>
        <v>249</v>
      </c>
      <c r="OK332" s="13">
        <f>IF(OB332=1,$OB$35,$OB$36)</f>
        <v>0</v>
      </c>
      <c r="OL332" s="13">
        <f>OCC_DAYS*$OB$41*R_NF_2023-OD332*MCD_SHARE_FREED*R_WAIT_2023</f>
        <v>94673.82103225985</v>
      </c>
      <c r="OM332">
        <f>IF($A332&lt;=$OB$45,1,0)</f>
        <v>0</v>
      </c>
    </row>
    <row r="333">
      <c r="A333" t="n">
        <v>250</v>
      </c>
      <c r="B333">
        <f>IF($B$31&lt;=$B$32,IF($A333&lt;=$B$7,1,2),IF($A333&lt;=RUNG_BEDS_2,2,1))</f>
        <v>1</v>
      </c>
      <c r="C333" s="5">
        <f>MIN(1,MAX(0,$B$26-($A333-1)))</f>
        <v>0</v>
      </c>
      <c r="D333" s="5">
        <f>$B$25*(C333+(1-C333)*$B$16)</f>
        <v>0.0</v>
      </c>
      <c r="E333" s="13">
        <f>D333*($B$6+ACUTE_MARGIN)</f>
        <v>0.0</v>
      </c>
      <c r="F333" s="13">
        <f>IF(B333=1,$B$31,$B$32)</f>
        <v>152394.16214437486</v>
      </c>
      <c r="G333" s="13">
        <f>E333-F333</f>
        <v>-152394.16214437486</v>
      </c>
      <c r="H333" s="13">
        <f>H332+G333</f>
        <v>130430.09217862046</v>
      </c>
      <c r="I333">
        <f>IF(H333=MAX($H$83:$H$483),$A333,0)</f>
        <v>0</v>
      </c>
      <c r="J333">
        <f>IF(E333&lt;F333,$A333,B_MAX+1)</f>
        <v>250</v>
      </c>
      <c r="K333" s="13">
        <f>IF(B333=1,$B$35,$B$36)</f>
        <v>0</v>
      </c>
      <c r="L333" s="13">
        <f>OCC_DAYS*$B$41*R_NF_2023-D333*MCD_SHARE_FREED*R_WAIT_2023</f>
        <v>151980.48282209205</v>
      </c>
      <c r="M333">
        <f>IF($A333&lt;=$B$45,1,0)</f>
        <v>0</v>
      </c>
      <c r="AB333">
        <f>IF($AB$31&lt;=$AB$32,IF($A333&lt;=$AB$7,1,2),IF($A333&lt;=RUNG_BEDS_2,2,1))</f>
        <v>1</v>
      </c>
      <c r="AC333" s="5">
        <f>MIN(1,MAX(0,$AB$26-($A333-1)))</f>
        <v>0</v>
      </c>
      <c r="AD333" s="5">
        <f>$AB$25*(AC333+(1-AC333)*$AB$16)</f>
        <v>0.0</v>
      </c>
      <c r="AE333" s="13">
        <f>AD333*($AB$6+ACUTE_MARGIN)</f>
        <v>0.0</v>
      </c>
      <c r="AF333" s="13">
        <f>IF(AB333=1,$AB$31,$AB$32)</f>
        <v>152394.16214437486</v>
      </c>
      <c r="AG333" s="13">
        <f>AE333-AF333</f>
        <v>-152394.16214437486</v>
      </c>
      <c r="AH333" s="13">
        <f>AH332+AG333</f>
        <v>-17280784.253371164</v>
      </c>
      <c r="AI333">
        <f>IF(AH333=MAX($AH$83:$AH$483),$A333,0)</f>
        <v>0</v>
      </c>
      <c r="AJ333">
        <f>IF(AE333&lt;AF333,$A333,B_MAX+1)</f>
        <v>250</v>
      </c>
      <c r="AK333" s="13">
        <f>IF(AB333=1,$AB$35,$AB$36)</f>
        <v>0</v>
      </c>
      <c r="AL333" s="13">
        <f>OCC_DAYS*$AB$41*R_NF_2023-AD333*MCD_SHARE_FREED*R_WAIT_2023</f>
        <v>151980.48282209205</v>
      </c>
      <c r="AM333">
        <f>IF($A333&lt;=$AB$45,1,0)</f>
        <v>0</v>
      </c>
      <c r="BB333">
        <f>IF($BB$31&lt;=$BB$32,IF($A333&lt;=$BB$7,1,2),IF($A333&lt;=RUNG_BEDS_2,2,1))</f>
        <v>1</v>
      </c>
      <c r="BC333" s="5">
        <f>MIN(1,MAX(0,$BB$26-($A333-1)))</f>
        <v>0</v>
      </c>
      <c r="BD333" s="5">
        <f>$BB$25*(BC333+(1-BC333)*$BB$16)</f>
        <v>0.0</v>
      </c>
      <c r="BE333" s="13">
        <f>BD333*($BB$6+ACUTE_MARGIN)</f>
        <v>0.0</v>
      </c>
      <c r="BF333" s="13">
        <f>IF(BB333=1,$BB$31,$BB$32)</f>
        <v>152394.16214437486</v>
      </c>
      <c r="BG333" s="13">
        <f>BE333-BF333</f>
        <v>-152394.16214437486</v>
      </c>
      <c r="BH333" s="13">
        <f>BH332+BG333</f>
        <v>17541644.43772833</v>
      </c>
      <c r="BI333">
        <f>IF(BH333=MAX($BH$83:$BH$483),$A333,0)</f>
        <v>0</v>
      </c>
      <c r="BJ333">
        <f>IF(BE333&lt;BF333,$A333,B_MAX+1)</f>
        <v>250</v>
      </c>
      <c r="BK333" s="13">
        <f>IF(BB333=1,$BB$35,$BB$36)</f>
        <v>0</v>
      </c>
      <c r="BL333" s="13">
        <f>OCC_DAYS*$BB$41*R_NF_2023-BD333*MCD_SHARE_FREED*R_WAIT_2023</f>
        <v>151980.48282209205</v>
      </c>
      <c r="BM333">
        <f>IF($A333&lt;=$BB$45,1,0)</f>
        <v>0</v>
      </c>
      <c r="CB333">
        <f>IF($CB$31&lt;=$CB$32,IF($A333&lt;=$CB$7,1,2),IF($A333&lt;=RUNG_BEDS_2,2,1))</f>
        <v>2</v>
      </c>
      <c r="CC333" s="5">
        <f>MIN(1,MAX(0,$CB$26-($A333-1)))</f>
        <v>0</v>
      </c>
      <c r="CD333" s="5">
        <f>$CB$25*(CC333+(1-CC333)*$CB$16)</f>
        <v>0.0</v>
      </c>
      <c r="CE333" s="13">
        <f>CD333*($CB$6+ACUTE_MARGIN)</f>
        <v>0.0</v>
      </c>
      <c r="CF333" s="13">
        <f>IF(CB333=1,$CB$31,$CB$32)</f>
        <v>160718.36940738867</v>
      </c>
      <c r="CG333" s="13">
        <f>CE333-CF333</f>
        <v>-160718.36940738867</v>
      </c>
      <c r="CH333" s="13">
        <f>CH332+CG333</f>
        <v>-1950621.7235749462</v>
      </c>
      <c r="CI333">
        <f>IF(CH333=MAX($CH$83:$CH$483),$A333,0)</f>
        <v>0</v>
      </c>
      <c r="CJ333">
        <f>IF(CE333&lt;CF333,$A333,B_MAX+1)</f>
        <v>250</v>
      </c>
      <c r="CK333" s="13">
        <f>IF(CB333=1,$CB$35,$CB$36)</f>
        <v>1560.1194073886782</v>
      </c>
      <c r="CL333" s="13">
        <f>OCC_DAYS*$CB$41*R_NF_2023-CD333*MCD_SHARE_FREED*R_WAIT_2023</f>
        <v>151980.48282209205</v>
      </c>
      <c r="CM333">
        <f>IF($A333&lt;=$CB$45,1,0)</f>
        <v>0</v>
      </c>
      <c r="DB333">
        <f>IF($DB$31&lt;=$DB$32,IF($A333&lt;=$DB$7,1,2),IF($A333&lt;=RUNG_BEDS_2,2,1))</f>
        <v>1</v>
      </c>
      <c r="DC333" s="5">
        <f>MIN(1,MAX(0,$DB$26-($A333-1)))</f>
        <v>0</v>
      </c>
      <c r="DD333" s="5">
        <f>$DB$25*(DC333+(1-DC333)*$DB$16)</f>
        <v>0.0</v>
      </c>
      <c r="DE333" s="13">
        <f>DD333*($DB$6+ACUTE_MARGIN)</f>
        <v>0.0</v>
      </c>
      <c r="DF333" s="13">
        <f>IF(DB333=1,$DB$31,$DB$32)</f>
        <v>152394.16214437486</v>
      </c>
      <c r="DG333" s="13">
        <f>DE333-DF333</f>
        <v>-152394.16214437486</v>
      </c>
      <c r="DH333" s="13">
        <f>DH332+DG333</f>
        <v>130430.09217862046</v>
      </c>
      <c r="DI333">
        <f>IF(DH333=MAX($DH$83:$DH$483),$A333,0)</f>
        <v>0</v>
      </c>
      <c r="DJ333">
        <f>IF(DE333&lt;DF333,$A333,B_MAX+1)</f>
        <v>250</v>
      </c>
      <c r="DK333" s="13">
        <f>IF(DB333=1,$DB$35,$DB$36)</f>
        <v>0</v>
      </c>
      <c r="DL333" s="13">
        <f>OCC_DAYS*$DB$41*R_NF_2023-DD333*MCD_SHARE_FREED*R_WAIT_2023</f>
        <v>151980.48282209205</v>
      </c>
      <c r="DM333">
        <f>IF($A333&lt;=$DB$45,1,0)</f>
        <v>0</v>
      </c>
      <c r="EB333">
        <f>IF($EB$31&lt;=$EB$32,IF($A333&lt;=$EB$7,1,2),IF($A333&lt;=RUNG_BEDS_2,2,1))</f>
        <v>1</v>
      </c>
      <c r="EC333" s="5">
        <f>MIN(1,MAX(0,$EB$26-($A333-1)))</f>
        <v>0</v>
      </c>
      <c r="ED333" s="5">
        <f>$EB$25*(EC333+(1-EC333)*$EB$16)</f>
        <v>0.0</v>
      </c>
      <c r="EE333" s="13">
        <f>ED333*($EB$6+ACUTE_MARGIN)</f>
        <v>0.0</v>
      </c>
      <c r="EF333" s="13">
        <f>IF(EB333=1,$EB$31,$EB$32)</f>
        <v>152394.16214437486</v>
      </c>
      <c r="EG333" s="13">
        <f>EE333-EF333</f>
        <v>-152394.16214437486</v>
      </c>
      <c r="EH333" s="13">
        <f>EH332+EG333</f>
        <v>130430.09217862046</v>
      </c>
      <c r="EI333">
        <f>IF(EH333=MAX($EH$83:$EH$483),$A333,0)</f>
        <v>0</v>
      </c>
      <c r="EJ333">
        <f>IF(EE333&lt;EF333,$A333,B_MAX+1)</f>
        <v>250</v>
      </c>
      <c r="EK333" s="13">
        <f>IF(EB333=1,$EB$35,$EB$36)</f>
        <v>0</v>
      </c>
      <c r="EL333" s="13">
        <f>OCC_DAYS*$EB$41*R_NF_2023-ED333*MCD_SHARE_FREED*R_WAIT_2023</f>
        <v>50660.16094069735</v>
      </c>
      <c r="EM333">
        <f>IF($A333&lt;=$EB$45,1,0)</f>
        <v>0</v>
      </c>
      <c r="FB333">
        <f>IF($FB$31&lt;=$FB$32,IF($A333&lt;=$FB$7,1,2),IF($A333&lt;=RUNG_BEDS_2,2,1))</f>
        <v>1</v>
      </c>
      <c r="FC333" s="5">
        <f>MIN(1,MAX(0,$FB$26-($A333-1)))</f>
        <v>0</v>
      </c>
      <c r="FD333" s="5">
        <f>$FB$25*(FC333+(1-FC333)*$FB$16)</f>
        <v>0.0</v>
      </c>
      <c r="FE333" s="13">
        <f>FD333*($FB$6+ACUTE_MARGIN)</f>
        <v>0.0</v>
      </c>
      <c r="FF333" s="13">
        <f>IF(FB333=1,$FB$31,$FB$32)</f>
        <v>156636.04979437485</v>
      </c>
      <c r="FG333" s="13">
        <f>FE333-FF333</f>
        <v>-156636.04979437485</v>
      </c>
      <c r="FH333" s="13">
        <f>FH332+FG333</f>
        <v>-930041.8203214932</v>
      </c>
      <c r="FI333">
        <f>IF(FH333=MAX($FH$83:$FH$483),$A333,0)</f>
        <v>0</v>
      </c>
      <c r="FJ333">
        <f>IF(FE333&lt;FF333,$A333,B_MAX+1)</f>
        <v>250</v>
      </c>
      <c r="FK333" s="13">
        <f>IF(FB333=1,$FB$35,$FB$36)</f>
        <v>0</v>
      </c>
      <c r="FL333" s="13">
        <f>OCC_DAYS*$FB$41*R_NF_2023-FD333*MCD_SHARE_FREED*R_WAIT_2023</f>
        <v>151980.48282209205</v>
      </c>
      <c r="FM333">
        <f>IF($A333&lt;=$FB$45,1,0)</f>
        <v>0</v>
      </c>
      <c r="GB333">
        <f>IF($GB$31&lt;=$GB$32,IF($A333&lt;=$GB$7,1,2),IF($A333&lt;=RUNG_BEDS_2,2,1))</f>
        <v>1</v>
      </c>
      <c r="GC333" s="5">
        <f>MIN(1,MAX(0,$GB$26-($A333-1)))</f>
        <v>0</v>
      </c>
      <c r="GD333" s="5">
        <f>$GB$25*(GC333+(1-GC333)*$GB$16)</f>
        <v>0.0</v>
      </c>
      <c r="GE333" s="13">
        <f>GD333*($GB$6+ACUTE_MARGIN)</f>
        <v>0.0</v>
      </c>
      <c r="GF333" s="13">
        <f>IF(GB333=1,$GB$31,$GB$32)</f>
        <v>152394.16214437486</v>
      </c>
      <c r="GG333" s="13">
        <f>GE333-GF333</f>
        <v>-152394.16214437486</v>
      </c>
      <c r="GH333" s="13">
        <f>GH332+GG333</f>
        <v>130430.09217862046</v>
      </c>
      <c r="GI333">
        <f>IF(GH333=MAX($GH$83:$GH$483),$A333,0)</f>
        <v>0</v>
      </c>
      <c r="GJ333">
        <f>IF(GE333&lt;GF333,$A333,B_MAX+1)</f>
        <v>250</v>
      </c>
      <c r="GK333" s="13">
        <f>IF(GB333=1,$GB$35,$GB$36)</f>
        <v>0</v>
      </c>
      <c r="GL333" s="13">
        <f>OCC_DAYS*$GB$41*R_NF_2023-GD333*MCD_SHARE_FREED*R_WAIT_2023</f>
        <v>151980.48282209205</v>
      </c>
      <c r="GM333">
        <f>IF($A333&lt;=$GB$45,1,0)</f>
        <v>0</v>
      </c>
      <c r="HB333">
        <f>IF($HB$31&lt;=$HB$32,IF($A333&lt;=$HB$7,1,2),IF($A333&lt;=RUNG_BEDS_2,2,1))</f>
        <v>1</v>
      </c>
      <c r="HC333" s="5">
        <f>MIN(1,MAX(0,$HB$26-($A333-1)))</f>
        <v>0</v>
      </c>
      <c r="HD333" s="5">
        <f>$HB$25*(HC333+(1-HC333)*$HB$16)</f>
        <v>0.0</v>
      </c>
      <c r="HE333" s="13">
        <f>HD333*($HB$6+ACUTE_MARGIN)</f>
        <v>0.0</v>
      </c>
      <c r="HF333" s="13">
        <f>IF(HB333=1,$HB$31,$HB$32)</f>
        <v>152456.2970814058</v>
      </c>
      <c r="HG333" s="13">
        <f>HE333-HF333</f>
        <v>-152456.2970814058</v>
      </c>
      <c r="HH333" s="13">
        <f>HH332+HG333</f>
        <v>114896.3579208464</v>
      </c>
      <c r="HI333">
        <f>IF(HH333=MAX($HH$83:$HH$483),$A333,0)</f>
        <v>0</v>
      </c>
      <c r="HJ333">
        <f>IF(HE333&lt;HF333,$A333,B_MAX+1)</f>
        <v>250</v>
      </c>
      <c r="HK333" s="13">
        <f>IF(HB333=1,$HB$35,$HB$36)</f>
        <v>0</v>
      </c>
      <c r="HL333" s="13">
        <f>OCC_DAYS*$HB$41*R_NF_2023-HD333*MCD_SHARE_FREED*R_WAIT_2023</f>
        <v>151980.48282209205</v>
      </c>
      <c r="HM333">
        <f>IF($A333&lt;=$HB$45,1,0)</f>
        <v>0</v>
      </c>
      <c r="IB333">
        <f>IF($IB$31&lt;=$IB$32,IF($A333&lt;=$IB$7,1,2),IF($A333&lt;=RUNG_BEDS_2,2,1))</f>
        <v>1</v>
      </c>
      <c r="IC333" s="5">
        <f>MIN(1,MAX(0,$IB$26-($A333-1)))</f>
        <v>0</v>
      </c>
      <c r="ID333" s="5">
        <f>$IB$25*(IC333+(1-IC333)*$IB$16)</f>
        <v>0.0</v>
      </c>
      <c r="IE333" s="13">
        <f>ID333*($IB$6+ACUTE_MARGIN)</f>
        <v>0.0</v>
      </c>
      <c r="IF333" s="13">
        <f>IF(IB333=1,$IB$31,$IB$32)</f>
        <v>152734.9994534971</v>
      </c>
      <c r="IG333" s="13">
        <f>IE333-IF333</f>
        <v>-152734.9994534971</v>
      </c>
      <c r="IH333" s="13">
        <f>IH332+IG333</f>
        <v>45220.76489796775</v>
      </c>
      <c r="II333">
        <f>IF(IH333=MAX($IH$83:$IH$483),$A333,0)</f>
        <v>0</v>
      </c>
      <c r="IJ333">
        <f>IF(IE333&lt;IF333,$A333,B_MAX+1)</f>
        <v>250</v>
      </c>
      <c r="IK333" s="13">
        <f>IF(IB333=1,$IB$35,$IB$36)</f>
        <v>0</v>
      </c>
      <c r="IL333" s="13">
        <f>OCC_DAYS*$IB$41*R_NF_2023-ID333*MCD_SHARE_FREED*R_WAIT_2023</f>
        <v>151980.48282209205</v>
      </c>
      <c r="IM333">
        <f>IF($A333&lt;=$IB$45,1,0)</f>
        <v>0</v>
      </c>
      <c r="JB333">
        <f>IF($JB$31&lt;=$JB$32,IF($A333&lt;=$JB$7,1,2),IF($A333&lt;=RUNG_BEDS_2,2,1))</f>
        <v>1</v>
      </c>
      <c r="JC333" s="5">
        <f>MIN(1,MAX(0,$JB$26-($A333-1)))</f>
        <v>0</v>
      </c>
      <c r="JD333" s="5">
        <f>$JB$25*(JC333+(1-JC333)*$JB$16)</f>
        <v>0.0</v>
      </c>
      <c r="JE333" s="13">
        <f>JD333*($JB$6+ACUTE_MARGIN)</f>
        <v>0.0</v>
      </c>
      <c r="JF333" s="13">
        <f>IF(JB333=1,$JB$31,$JB$32)</f>
        <v>152394.16214437486</v>
      </c>
      <c r="JG333" s="13">
        <f>JE333-JF333</f>
        <v>-152394.16214437486</v>
      </c>
      <c r="JH333" s="13">
        <f>JH332+JG333</f>
        <v>130430.09217862046</v>
      </c>
      <c r="JI333">
        <f>IF(JH333=MAX($JH$83:$JH$483),$A333,0)</f>
        <v>0</v>
      </c>
      <c r="JJ333">
        <f>IF(JE333&lt;JF333,$A333,B_MAX+1)</f>
        <v>250</v>
      </c>
      <c r="JK333" s="13">
        <f>IF(JB333=1,$JB$35,$JB$36)</f>
        <v>0</v>
      </c>
      <c r="JL333" s="13">
        <f>OCC_DAYS*$JB$41*R_NF_2023-JD333*MCD_SHARE_FREED*R_WAIT_2023</f>
        <v>151980.48282209205</v>
      </c>
      <c r="JM333">
        <f>IF($A333&lt;=$JB$45,1,0)</f>
        <v>0</v>
      </c>
      <c r="KB333">
        <f>IF($KB$31&lt;=$KB$32,IF($A333&lt;=$KB$7,1,2),IF($A333&lt;=RUNG_BEDS_2,2,1))</f>
        <v>1</v>
      </c>
      <c r="KC333" s="5">
        <f>MIN(1,MAX(0,$KB$26-($A333-1)))</f>
        <v>1</v>
      </c>
      <c r="KD333" s="5">
        <f>$KB$25*(KC333+(1-KC333)*$KB$16)</f>
        <v>126.02661357340719</v>
      </c>
      <c r="KE333" s="13">
        <f>KD333*($KB$6+ACUTE_MARGIN)</f>
        <v>127286.87970914126</v>
      </c>
      <c r="KF333" s="13">
        <f>IF(KB333=1,$KB$31,$KB$32)</f>
        <v>152394.16214437486</v>
      </c>
      <c r="KG333" s="13">
        <f>KE333-KF333</f>
        <v>-25107.282435233603</v>
      </c>
      <c r="KH333" s="13">
        <f>KH332+KG333</f>
        <v>-6276820.6088084215</v>
      </c>
      <c r="KI333">
        <f>IF(KH333=MAX($KH$83:$KH$483),$A333,0)</f>
        <v>0</v>
      </c>
      <c r="KJ333">
        <f>IF(KE333&lt;KF333,$A333,B_MAX+1)</f>
        <v>250</v>
      </c>
      <c r="KK333" s="13">
        <f>IF(KB333=1,$KB$35,$KB$36)</f>
        <v>0</v>
      </c>
      <c r="KL333" s="13">
        <f>OCC_DAYS*$KB$41*R_NF_2023-KD333*MCD_SHARE_FREED*R_WAIT_2023</f>
        <v>94673.82103225985</v>
      </c>
      <c r="KM333">
        <f>IF($A333&lt;=$KB$45,1,0)</f>
        <v>0</v>
      </c>
      <c r="LB333">
        <f>IF($LB$31&lt;=$LB$32,IF($A333&lt;=$LB$7,1,2),IF($A333&lt;=RUNG_BEDS_2,2,1))</f>
        <v>1</v>
      </c>
      <c r="LC333" s="5">
        <f>MIN(1,MAX(0,$LB$26-($A333-1)))</f>
        <v>1</v>
      </c>
      <c r="LD333" s="5">
        <f>$LB$25*(LC333+(1-LC333)*$LB$16)</f>
        <v>84.01774238227146</v>
      </c>
      <c r="LE333" s="13">
        <f>LD333*($LB$6+ACUTE_MARGIN)</f>
        <v>84857.91980609419</v>
      </c>
      <c r="LF333" s="13">
        <f>IF(LB333=1,$LB$31,$LB$32)</f>
        <v>152394.16214437486</v>
      </c>
      <c r="LG333" s="13">
        <f>LE333-LF333</f>
        <v>-67536.24233828067</v>
      </c>
      <c r="LH333" s="13">
        <f>LH332+LG333</f>
        <v>-16884060.58457025</v>
      </c>
      <c r="LI333">
        <f>IF(LH333=MAX($LH$83:$LH$483),$A333,0)</f>
        <v>0</v>
      </c>
      <c r="LJ333">
        <f>IF(LE333&lt;LF333,$A333,B_MAX+1)</f>
        <v>250</v>
      </c>
      <c r="LK333" s="13">
        <f>IF(LB333=1,$LB$35,$LB$36)</f>
        <v>0</v>
      </c>
      <c r="LL333" s="13">
        <f>OCC_DAYS*$LB$41*R_NF_2023-LD333*MCD_SHARE_FREED*R_WAIT_2023</f>
        <v>113776.04162887059</v>
      </c>
      <c r="LM333">
        <f>IF($A333&lt;=$LB$45,1,0)</f>
        <v>0</v>
      </c>
      <c r="MB333">
        <f>IF($MB$31&lt;=$MB$32,IF($A333&lt;=$MB$7,1,2),IF($A333&lt;=RUNG_BEDS_2,2,1))</f>
        <v>1</v>
      </c>
      <c r="MC333" s="5">
        <f>MIN(1,MAX(0,$MB$26-($A333-1)))</f>
        <v>0</v>
      </c>
      <c r="MD333" s="5">
        <f>$MB$25*(MC333+(1-MC333)*$MB$16)</f>
        <v>0.0</v>
      </c>
      <c r="ME333" s="13">
        <f>MD333*($MB$6+ACUTE_MARGIN)</f>
        <v>0.0</v>
      </c>
      <c r="MF333" s="13">
        <f>IF(MB333=1,$MB$31,$MB$32)</f>
        <v>152394.16214437486</v>
      </c>
      <c r="MG333" s="13">
        <f>ME333-MF333</f>
        <v>-152394.16214437486</v>
      </c>
      <c r="MH333" s="13">
        <f>MH332+MG333</f>
        <v>-5756845.969619712</v>
      </c>
      <c r="MI333">
        <f>IF(MH333=MAX($MH$83:$MH$483),$A333,0)</f>
        <v>0</v>
      </c>
      <c r="MJ333">
        <f>IF(ME333&lt;MF333,$A333,B_MAX+1)</f>
        <v>250</v>
      </c>
      <c r="MK333" s="13">
        <f>IF(MB333=1,$MB$35,$MB$36)</f>
        <v>0</v>
      </c>
      <c r="ML333" s="13">
        <f>OCC_DAYS*$MB$41*R_NF_2023-MD333*MCD_SHARE_FREED*R_WAIT_2023</f>
        <v>151980.48282209205</v>
      </c>
      <c r="MM333">
        <f>IF($A333&lt;=$MB$45,1,0)</f>
        <v>0</v>
      </c>
      <c r="NB333">
        <f>IF($NB$31&lt;=$NB$32,IF($A333&lt;=$NB$7,1,2),IF($A333&lt;=RUNG_BEDS_2,2,1))</f>
        <v>1</v>
      </c>
      <c r="NC333" s="5">
        <f>MIN(1,MAX(0,$NB$26-($A333-1)))</f>
        <v>0</v>
      </c>
      <c r="ND333" s="5">
        <f>$NB$25*(NC333+(1-NC333)*$NB$16)</f>
        <v>63.013306786703595</v>
      </c>
      <c r="NE333" s="13">
        <f>ND333*($NB$6+ACUTE_MARGIN)</f>
        <v>63643.43985457063</v>
      </c>
      <c r="NF333" s="13">
        <f>IF(NB333=1,$NB$31,$NB$32)</f>
        <v>152394.16214437486</v>
      </c>
      <c r="NG333" s="13">
        <f>NE333-NF333</f>
        <v>-88750.72228980422</v>
      </c>
      <c r="NH333" s="13">
        <f>NH332+NG333</f>
        <v>6484047.398753174</v>
      </c>
      <c r="NI333">
        <f>IF(NH333=MAX($NH$83:$NH$483),$A333,0)</f>
        <v>0</v>
      </c>
      <c r="NJ333">
        <f>IF(NE333&lt;NF333,$A333,B_MAX+1)</f>
        <v>250</v>
      </c>
      <c r="NK333" s="13">
        <f>IF(NB333=1,$NB$35,$NB$36)</f>
        <v>0</v>
      </c>
      <c r="NL333" s="13">
        <f>OCC_DAYS*$NB$41*R_NF_2023-ND333*MCD_SHARE_FREED*R_WAIT_2023</f>
        <v>123327.15192717595</v>
      </c>
      <c r="NM333">
        <f>IF($A333&lt;=$NB$45,1,0)</f>
        <v>0</v>
      </c>
      <c r="OB333">
        <f>IF($OB$31&lt;=$OB$32,IF($A333&lt;=$OB$7,1,2),IF($A333&lt;=RUNG_BEDS_2,2,1))</f>
        <v>1</v>
      </c>
      <c r="OC333" s="5">
        <f>MIN(1,MAX(0,$OB$26-($A333-1)))</f>
        <v>0</v>
      </c>
      <c r="OD333" s="5">
        <f>$OB$25*(OC333+(1-OC333)*$OB$16)</f>
        <v>126.02661357340719</v>
      </c>
      <c r="OE333" s="13">
        <f>OD333*($OB$6+ACUTE_MARGIN)</f>
        <v>127286.87970914126</v>
      </c>
      <c r="OF333" s="13">
        <f>IF(OB333=1,$OB$31,$OB$32)</f>
        <v>152394.16214437486</v>
      </c>
      <c r="OG333" s="13">
        <f>OE333-OF333</f>
        <v>-25107.282435233603</v>
      </c>
      <c r="OH333" s="13">
        <f>OH332+OG333</f>
        <v>12837664.705327865</v>
      </c>
      <c r="OI333">
        <f>IF(OH333=MAX($OH$83:$OH$483),$A333,0)</f>
        <v>0</v>
      </c>
      <c r="OJ333">
        <f>IF(OE333&lt;OF333,$A333,B_MAX+1)</f>
        <v>250</v>
      </c>
      <c r="OK333" s="13">
        <f>IF(OB333=1,$OB$35,$OB$36)</f>
        <v>0</v>
      </c>
      <c r="OL333" s="13">
        <f>OCC_DAYS*$OB$41*R_NF_2023-OD333*MCD_SHARE_FREED*R_WAIT_2023</f>
        <v>94673.82103225985</v>
      </c>
      <c r="OM333">
        <f>IF($A333&lt;=$OB$45,1,0)</f>
        <v>0</v>
      </c>
    </row>
    <row r="334">
      <c r="A334" t="n">
        <v>251</v>
      </c>
      <c r="B334">
        <f>IF($B$31&lt;=$B$32,IF($A334&lt;=$B$7,1,2),IF($A334&lt;=RUNG_BEDS_2,2,1))</f>
        <v>1</v>
      </c>
      <c r="C334" s="5">
        <f>MIN(1,MAX(0,$B$26-($A334-1)))</f>
        <v>0</v>
      </c>
      <c r="D334" s="5">
        <f>$B$25*(C334+(1-C334)*$B$16)</f>
        <v>0.0</v>
      </c>
      <c r="E334" s="13">
        <f>D334*($B$6+ACUTE_MARGIN)</f>
        <v>0.0</v>
      </c>
      <c r="F334" s="13">
        <f>IF(B334=1,$B$31,$B$32)</f>
        <v>152394.16214437486</v>
      </c>
      <c r="G334" s="13">
        <f>E334-F334</f>
        <v>-152394.16214437486</v>
      </c>
      <c r="H334" s="13">
        <f>H333+G334</f>
        <v>-21964.069965754403</v>
      </c>
      <c r="I334">
        <f>IF(H334=MAX($H$83:$H$483),$A334,0)</f>
        <v>0</v>
      </c>
      <c r="J334">
        <f>IF(E334&lt;F334,$A334,B_MAX+1)</f>
        <v>251</v>
      </c>
      <c r="K334" s="13">
        <f>IF(B334=1,$B$35,$B$36)</f>
        <v>0</v>
      </c>
      <c r="L334" s="13">
        <f>OCC_DAYS*$B$41*R_NF_2023-D334*MCD_SHARE_FREED*R_WAIT_2023</f>
        <v>151980.48282209205</v>
      </c>
      <c r="M334">
        <f>IF($A334&lt;=$B$45,1,0)</f>
        <v>0</v>
      </c>
      <c r="AB334">
        <f>IF($AB$31&lt;=$AB$32,IF($A334&lt;=$AB$7,1,2),IF($A334&lt;=RUNG_BEDS_2,2,1))</f>
        <v>1</v>
      </c>
      <c r="AC334" s="5">
        <f>MIN(1,MAX(0,$AB$26-($A334-1)))</f>
        <v>0</v>
      </c>
      <c r="AD334" s="5">
        <f>$AB$25*(AC334+(1-AC334)*$AB$16)</f>
        <v>0.0</v>
      </c>
      <c r="AE334" s="13">
        <f>AD334*($AB$6+ACUTE_MARGIN)</f>
        <v>0.0</v>
      </c>
      <c r="AF334" s="13">
        <f>IF(AB334=1,$AB$31,$AB$32)</f>
        <v>152394.16214437486</v>
      </c>
      <c r="AG334" s="13">
        <f>AE334-AF334</f>
        <v>-152394.16214437486</v>
      </c>
      <c r="AH334" s="13">
        <f>AH333+AG334</f>
        <v>-17433178.41551554</v>
      </c>
      <c r="AI334">
        <f>IF(AH334=MAX($AH$83:$AH$483),$A334,0)</f>
        <v>0</v>
      </c>
      <c r="AJ334">
        <f>IF(AE334&lt;AF334,$A334,B_MAX+1)</f>
        <v>251</v>
      </c>
      <c r="AK334" s="13">
        <f>IF(AB334=1,$AB$35,$AB$36)</f>
        <v>0</v>
      </c>
      <c r="AL334" s="13">
        <f>OCC_DAYS*$AB$41*R_NF_2023-AD334*MCD_SHARE_FREED*R_WAIT_2023</f>
        <v>151980.48282209205</v>
      </c>
      <c r="AM334">
        <f>IF($A334&lt;=$AB$45,1,0)</f>
        <v>0</v>
      </c>
      <c r="BB334">
        <f>IF($BB$31&lt;=$BB$32,IF($A334&lt;=$BB$7,1,2),IF($A334&lt;=RUNG_BEDS_2,2,1))</f>
        <v>1</v>
      </c>
      <c r="BC334" s="5">
        <f>MIN(1,MAX(0,$BB$26-($A334-1)))</f>
        <v>0</v>
      </c>
      <c r="BD334" s="5">
        <f>$BB$25*(BC334+(1-BC334)*$BB$16)</f>
        <v>0.0</v>
      </c>
      <c r="BE334" s="13">
        <f>BD334*($BB$6+ACUTE_MARGIN)</f>
        <v>0.0</v>
      </c>
      <c r="BF334" s="13">
        <f>IF(BB334=1,$BB$31,$BB$32)</f>
        <v>152394.16214437486</v>
      </c>
      <c r="BG334" s="13">
        <f>BE334-BF334</f>
        <v>-152394.16214437486</v>
      </c>
      <c r="BH334" s="13">
        <f>BH333+BG334</f>
        <v>17389250.275583956</v>
      </c>
      <c r="BI334">
        <f>IF(BH334=MAX($BH$83:$BH$483),$A334,0)</f>
        <v>0</v>
      </c>
      <c r="BJ334">
        <f>IF(BE334&lt;BF334,$A334,B_MAX+1)</f>
        <v>251</v>
      </c>
      <c r="BK334" s="13">
        <f>IF(BB334=1,$BB$35,$BB$36)</f>
        <v>0</v>
      </c>
      <c r="BL334" s="13">
        <f>OCC_DAYS*$BB$41*R_NF_2023-BD334*MCD_SHARE_FREED*R_WAIT_2023</f>
        <v>151980.48282209205</v>
      </c>
      <c r="BM334">
        <f>IF($A334&lt;=$BB$45,1,0)</f>
        <v>0</v>
      </c>
      <c r="CB334">
        <f>IF($CB$31&lt;=$CB$32,IF($A334&lt;=$CB$7,1,2),IF($A334&lt;=RUNG_BEDS_2,2,1))</f>
        <v>2</v>
      </c>
      <c r="CC334" s="5">
        <f>MIN(1,MAX(0,$CB$26-($A334-1)))</f>
        <v>0</v>
      </c>
      <c r="CD334" s="5">
        <f>$CB$25*(CC334+(1-CC334)*$CB$16)</f>
        <v>0.0</v>
      </c>
      <c r="CE334" s="13">
        <f>CD334*($CB$6+ACUTE_MARGIN)</f>
        <v>0.0</v>
      </c>
      <c r="CF334" s="13">
        <f>IF(CB334=1,$CB$31,$CB$32)</f>
        <v>160718.36940738867</v>
      </c>
      <c r="CG334" s="13">
        <f>CE334-CF334</f>
        <v>-160718.36940738867</v>
      </c>
      <c r="CH334" s="13">
        <f>CH333+CG334</f>
        <v>-2111340.092982335</v>
      </c>
      <c r="CI334">
        <f>IF(CH334=MAX($CH$83:$CH$483),$A334,0)</f>
        <v>0</v>
      </c>
      <c r="CJ334">
        <f>IF(CE334&lt;CF334,$A334,B_MAX+1)</f>
        <v>251</v>
      </c>
      <c r="CK334" s="13">
        <f>IF(CB334=1,$CB$35,$CB$36)</f>
        <v>1560.1194073886782</v>
      </c>
      <c r="CL334" s="13">
        <f>OCC_DAYS*$CB$41*R_NF_2023-CD334*MCD_SHARE_FREED*R_WAIT_2023</f>
        <v>151980.48282209205</v>
      </c>
      <c r="CM334">
        <f>IF($A334&lt;=$CB$45,1,0)</f>
        <v>0</v>
      </c>
      <c r="DB334">
        <f>IF($DB$31&lt;=$DB$32,IF($A334&lt;=$DB$7,1,2),IF($A334&lt;=RUNG_BEDS_2,2,1))</f>
        <v>1</v>
      </c>
      <c r="DC334" s="5">
        <f>MIN(1,MAX(0,$DB$26-($A334-1)))</f>
        <v>0</v>
      </c>
      <c r="DD334" s="5">
        <f>$DB$25*(DC334+(1-DC334)*$DB$16)</f>
        <v>0.0</v>
      </c>
      <c r="DE334" s="13">
        <f>DD334*($DB$6+ACUTE_MARGIN)</f>
        <v>0.0</v>
      </c>
      <c r="DF334" s="13">
        <f>IF(DB334=1,$DB$31,$DB$32)</f>
        <v>152394.16214437486</v>
      </c>
      <c r="DG334" s="13">
        <f>DE334-DF334</f>
        <v>-152394.16214437486</v>
      </c>
      <c r="DH334" s="13">
        <f>DH333+DG334</f>
        <v>-21964.069965754403</v>
      </c>
      <c r="DI334">
        <f>IF(DH334=MAX($DH$83:$DH$483),$A334,0)</f>
        <v>0</v>
      </c>
      <c r="DJ334">
        <f>IF(DE334&lt;DF334,$A334,B_MAX+1)</f>
        <v>251</v>
      </c>
      <c r="DK334" s="13">
        <f>IF(DB334=1,$DB$35,$DB$36)</f>
        <v>0</v>
      </c>
      <c r="DL334" s="13">
        <f>OCC_DAYS*$DB$41*R_NF_2023-DD334*MCD_SHARE_FREED*R_WAIT_2023</f>
        <v>151980.48282209205</v>
      </c>
      <c r="DM334">
        <f>IF($A334&lt;=$DB$45,1,0)</f>
        <v>0</v>
      </c>
      <c r="EB334">
        <f>IF($EB$31&lt;=$EB$32,IF($A334&lt;=$EB$7,1,2),IF($A334&lt;=RUNG_BEDS_2,2,1))</f>
        <v>1</v>
      </c>
      <c r="EC334" s="5">
        <f>MIN(1,MAX(0,$EB$26-($A334-1)))</f>
        <v>0</v>
      </c>
      <c r="ED334" s="5">
        <f>$EB$25*(EC334+(1-EC334)*$EB$16)</f>
        <v>0.0</v>
      </c>
      <c r="EE334" s="13">
        <f>ED334*($EB$6+ACUTE_MARGIN)</f>
        <v>0.0</v>
      </c>
      <c r="EF334" s="13">
        <f>IF(EB334=1,$EB$31,$EB$32)</f>
        <v>152394.16214437486</v>
      </c>
      <c r="EG334" s="13">
        <f>EE334-EF334</f>
        <v>-152394.16214437486</v>
      </c>
      <c r="EH334" s="13">
        <f>EH333+EG334</f>
        <v>-21964.069965754403</v>
      </c>
      <c r="EI334">
        <f>IF(EH334=MAX($EH$83:$EH$483),$A334,0)</f>
        <v>0</v>
      </c>
      <c r="EJ334">
        <f>IF(EE334&lt;EF334,$A334,B_MAX+1)</f>
        <v>251</v>
      </c>
      <c r="EK334" s="13">
        <f>IF(EB334=1,$EB$35,$EB$36)</f>
        <v>0</v>
      </c>
      <c r="EL334" s="13">
        <f>OCC_DAYS*$EB$41*R_NF_2023-ED334*MCD_SHARE_FREED*R_WAIT_2023</f>
        <v>50660.16094069735</v>
      </c>
      <c r="EM334">
        <f>IF($A334&lt;=$EB$45,1,0)</f>
        <v>0</v>
      </c>
      <c r="FB334">
        <f>IF($FB$31&lt;=$FB$32,IF($A334&lt;=$FB$7,1,2),IF($A334&lt;=RUNG_BEDS_2,2,1))</f>
        <v>1</v>
      </c>
      <c r="FC334" s="5">
        <f>MIN(1,MAX(0,$FB$26-($A334-1)))</f>
        <v>0</v>
      </c>
      <c r="FD334" s="5">
        <f>$FB$25*(FC334+(1-FC334)*$FB$16)</f>
        <v>0.0</v>
      </c>
      <c r="FE334" s="13">
        <f>FD334*($FB$6+ACUTE_MARGIN)</f>
        <v>0.0</v>
      </c>
      <c r="FF334" s="13">
        <f>IF(FB334=1,$FB$31,$FB$32)</f>
        <v>156636.04979437485</v>
      </c>
      <c r="FG334" s="13">
        <f>FE334-FF334</f>
        <v>-156636.04979437485</v>
      </c>
      <c r="FH334" s="13">
        <f>FH333+FG334</f>
        <v>-1086677.870115868</v>
      </c>
      <c r="FI334">
        <f>IF(FH334=MAX($FH$83:$FH$483),$A334,0)</f>
        <v>0</v>
      </c>
      <c r="FJ334">
        <f>IF(FE334&lt;FF334,$A334,B_MAX+1)</f>
        <v>251</v>
      </c>
      <c r="FK334" s="13">
        <f>IF(FB334=1,$FB$35,$FB$36)</f>
        <v>0</v>
      </c>
      <c r="FL334" s="13">
        <f>OCC_DAYS*$FB$41*R_NF_2023-FD334*MCD_SHARE_FREED*R_WAIT_2023</f>
        <v>151980.48282209205</v>
      </c>
      <c r="FM334">
        <f>IF($A334&lt;=$FB$45,1,0)</f>
        <v>0</v>
      </c>
      <c r="GB334">
        <f>IF($GB$31&lt;=$GB$32,IF($A334&lt;=$GB$7,1,2),IF($A334&lt;=RUNG_BEDS_2,2,1))</f>
        <v>1</v>
      </c>
      <c r="GC334" s="5">
        <f>MIN(1,MAX(0,$GB$26-($A334-1)))</f>
        <v>0</v>
      </c>
      <c r="GD334" s="5">
        <f>$GB$25*(GC334+(1-GC334)*$GB$16)</f>
        <v>0.0</v>
      </c>
      <c r="GE334" s="13">
        <f>GD334*($GB$6+ACUTE_MARGIN)</f>
        <v>0.0</v>
      </c>
      <c r="GF334" s="13">
        <f>IF(GB334=1,$GB$31,$GB$32)</f>
        <v>152394.16214437486</v>
      </c>
      <c r="GG334" s="13">
        <f>GE334-GF334</f>
        <v>-152394.16214437486</v>
      </c>
      <c r="GH334" s="13">
        <f>GH333+GG334</f>
        <v>-21964.069965754403</v>
      </c>
      <c r="GI334">
        <f>IF(GH334=MAX($GH$83:$GH$483),$A334,0)</f>
        <v>0</v>
      </c>
      <c r="GJ334">
        <f>IF(GE334&lt;GF334,$A334,B_MAX+1)</f>
        <v>251</v>
      </c>
      <c r="GK334" s="13">
        <f>IF(GB334=1,$GB$35,$GB$36)</f>
        <v>0</v>
      </c>
      <c r="GL334" s="13">
        <f>OCC_DAYS*$GB$41*R_NF_2023-GD334*MCD_SHARE_FREED*R_WAIT_2023</f>
        <v>151980.48282209205</v>
      </c>
      <c r="GM334">
        <f>IF($A334&lt;=$GB$45,1,0)</f>
        <v>0</v>
      </c>
      <c r="HB334">
        <f>IF($HB$31&lt;=$HB$32,IF($A334&lt;=$HB$7,1,2),IF($A334&lt;=RUNG_BEDS_2,2,1))</f>
        <v>1</v>
      </c>
      <c r="HC334" s="5">
        <f>MIN(1,MAX(0,$HB$26-($A334-1)))</f>
        <v>0</v>
      </c>
      <c r="HD334" s="5">
        <f>$HB$25*(HC334+(1-HC334)*$HB$16)</f>
        <v>0.0</v>
      </c>
      <c r="HE334" s="13">
        <f>HD334*($HB$6+ACUTE_MARGIN)</f>
        <v>0.0</v>
      </c>
      <c r="HF334" s="13">
        <f>IF(HB334=1,$HB$31,$HB$32)</f>
        <v>152456.2970814058</v>
      </c>
      <c r="HG334" s="13">
        <f>HE334-HF334</f>
        <v>-152456.2970814058</v>
      </c>
      <c r="HH334" s="13">
        <f>HH333+HG334</f>
        <v>-37559.939160559385</v>
      </c>
      <c r="HI334">
        <f>IF(HH334=MAX($HH$83:$HH$483),$A334,0)</f>
        <v>0</v>
      </c>
      <c r="HJ334">
        <f>IF(HE334&lt;HF334,$A334,B_MAX+1)</f>
        <v>251</v>
      </c>
      <c r="HK334" s="13">
        <f>IF(HB334=1,$HB$35,$HB$36)</f>
        <v>0</v>
      </c>
      <c r="HL334" s="13">
        <f>OCC_DAYS*$HB$41*R_NF_2023-HD334*MCD_SHARE_FREED*R_WAIT_2023</f>
        <v>151980.48282209205</v>
      </c>
      <c r="HM334">
        <f>IF($A334&lt;=$HB$45,1,0)</f>
        <v>0</v>
      </c>
      <c r="IB334">
        <f>IF($IB$31&lt;=$IB$32,IF($A334&lt;=$IB$7,1,2),IF($A334&lt;=RUNG_BEDS_2,2,1))</f>
        <v>1</v>
      </c>
      <c r="IC334" s="5">
        <f>MIN(1,MAX(0,$IB$26-($A334-1)))</f>
        <v>0</v>
      </c>
      <c r="ID334" s="5">
        <f>$IB$25*(IC334+(1-IC334)*$IB$16)</f>
        <v>0.0</v>
      </c>
      <c r="IE334" s="13">
        <f>ID334*($IB$6+ACUTE_MARGIN)</f>
        <v>0.0</v>
      </c>
      <c r="IF334" s="13">
        <f>IF(IB334=1,$IB$31,$IB$32)</f>
        <v>152734.9994534971</v>
      </c>
      <c r="IG334" s="13">
        <f>IE334-IF334</f>
        <v>-152734.9994534971</v>
      </c>
      <c r="IH334" s="13">
        <f>IH333+IG334</f>
        <v>-107514.23455552934</v>
      </c>
      <c r="II334">
        <f>IF(IH334=MAX($IH$83:$IH$483),$A334,0)</f>
        <v>0</v>
      </c>
      <c r="IJ334">
        <f>IF(IE334&lt;IF334,$A334,B_MAX+1)</f>
        <v>251</v>
      </c>
      <c r="IK334" s="13">
        <f>IF(IB334=1,$IB$35,$IB$36)</f>
        <v>0</v>
      </c>
      <c r="IL334" s="13">
        <f>OCC_DAYS*$IB$41*R_NF_2023-ID334*MCD_SHARE_FREED*R_WAIT_2023</f>
        <v>151980.48282209205</v>
      </c>
      <c r="IM334">
        <f>IF($A334&lt;=$IB$45,1,0)</f>
        <v>0</v>
      </c>
      <c r="JB334">
        <f>IF($JB$31&lt;=$JB$32,IF($A334&lt;=$JB$7,1,2),IF($A334&lt;=RUNG_BEDS_2,2,1))</f>
        <v>1</v>
      </c>
      <c r="JC334" s="5">
        <f>MIN(1,MAX(0,$JB$26-($A334-1)))</f>
        <v>0</v>
      </c>
      <c r="JD334" s="5">
        <f>$JB$25*(JC334+(1-JC334)*$JB$16)</f>
        <v>0.0</v>
      </c>
      <c r="JE334" s="13">
        <f>JD334*($JB$6+ACUTE_MARGIN)</f>
        <v>0.0</v>
      </c>
      <c r="JF334" s="13">
        <f>IF(JB334=1,$JB$31,$JB$32)</f>
        <v>152394.16214437486</v>
      </c>
      <c r="JG334" s="13">
        <f>JE334-JF334</f>
        <v>-152394.16214437486</v>
      </c>
      <c r="JH334" s="13">
        <f>JH333+JG334</f>
        <v>-21964.069965754403</v>
      </c>
      <c r="JI334">
        <f>IF(JH334=MAX($JH$83:$JH$483),$A334,0)</f>
        <v>0</v>
      </c>
      <c r="JJ334">
        <f>IF(JE334&lt;JF334,$A334,B_MAX+1)</f>
        <v>251</v>
      </c>
      <c r="JK334" s="13">
        <f>IF(JB334=1,$JB$35,$JB$36)</f>
        <v>0</v>
      </c>
      <c r="JL334" s="13">
        <f>OCC_DAYS*$JB$41*R_NF_2023-JD334*MCD_SHARE_FREED*R_WAIT_2023</f>
        <v>151980.48282209205</v>
      </c>
      <c r="JM334">
        <f>IF($A334&lt;=$JB$45,1,0)</f>
        <v>0</v>
      </c>
      <c r="KB334">
        <f>IF($KB$31&lt;=$KB$32,IF($A334&lt;=$KB$7,1,2),IF($A334&lt;=RUNG_BEDS_2,2,1))</f>
        <v>1</v>
      </c>
      <c r="KC334" s="5">
        <f>MIN(1,MAX(0,$KB$26-($A334-1)))</f>
        <v>1</v>
      </c>
      <c r="KD334" s="5">
        <f>$KB$25*(KC334+(1-KC334)*$KB$16)</f>
        <v>126.02661357340719</v>
      </c>
      <c r="KE334" s="13">
        <f>KD334*($KB$6+ACUTE_MARGIN)</f>
        <v>127286.87970914126</v>
      </c>
      <c r="KF334" s="13">
        <f>IF(KB334=1,$KB$31,$KB$32)</f>
        <v>152394.16214437486</v>
      </c>
      <c r="KG334" s="13">
        <f>KE334-KF334</f>
        <v>-25107.282435233603</v>
      </c>
      <c r="KH334" s="13">
        <f>KH333+KG334</f>
        <v>-6301927.891243655</v>
      </c>
      <c r="KI334">
        <f>IF(KH334=MAX($KH$83:$KH$483),$A334,0)</f>
        <v>0</v>
      </c>
      <c r="KJ334">
        <f>IF(KE334&lt;KF334,$A334,B_MAX+1)</f>
        <v>251</v>
      </c>
      <c r="KK334" s="13">
        <f>IF(KB334=1,$KB$35,$KB$36)</f>
        <v>0</v>
      </c>
      <c r="KL334" s="13">
        <f>OCC_DAYS*$KB$41*R_NF_2023-KD334*MCD_SHARE_FREED*R_WAIT_2023</f>
        <v>94673.82103225985</v>
      </c>
      <c r="KM334">
        <f>IF($A334&lt;=$KB$45,1,0)</f>
        <v>0</v>
      </c>
      <c r="LB334">
        <f>IF($LB$31&lt;=$LB$32,IF($A334&lt;=$LB$7,1,2),IF($A334&lt;=RUNG_BEDS_2,2,1))</f>
        <v>1</v>
      </c>
      <c r="LC334" s="5">
        <f>MIN(1,MAX(0,$LB$26-($A334-1)))</f>
        <v>1</v>
      </c>
      <c r="LD334" s="5">
        <f>$LB$25*(LC334+(1-LC334)*$LB$16)</f>
        <v>84.01774238227146</v>
      </c>
      <c r="LE334" s="13">
        <f>LD334*($LB$6+ACUTE_MARGIN)</f>
        <v>84857.91980609419</v>
      </c>
      <c r="LF334" s="13">
        <f>IF(LB334=1,$LB$31,$LB$32)</f>
        <v>152394.16214437486</v>
      </c>
      <c r="LG334" s="13">
        <f>LE334-LF334</f>
        <v>-67536.24233828067</v>
      </c>
      <c r="LH334" s="13">
        <f>LH333+LG334</f>
        <v>-16951596.826908533</v>
      </c>
      <c r="LI334">
        <f>IF(LH334=MAX($LH$83:$LH$483),$A334,0)</f>
        <v>0</v>
      </c>
      <c r="LJ334">
        <f>IF(LE334&lt;LF334,$A334,B_MAX+1)</f>
        <v>251</v>
      </c>
      <c r="LK334" s="13">
        <f>IF(LB334=1,$LB$35,$LB$36)</f>
        <v>0</v>
      </c>
      <c r="LL334" s="13">
        <f>OCC_DAYS*$LB$41*R_NF_2023-LD334*MCD_SHARE_FREED*R_WAIT_2023</f>
        <v>113776.04162887059</v>
      </c>
      <c r="LM334">
        <f>IF($A334&lt;=$LB$45,1,0)</f>
        <v>0</v>
      </c>
      <c r="MB334">
        <f>IF($MB$31&lt;=$MB$32,IF($A334&lt;=$MB$7,1,2),IF($A334&lt;=RUNG_BEDS_2,2,1))</f>
        <v>1</v>
      </c>
      <c r="MC334" s="5">
        <f>MIN(1,MAX(0,$MB$26-($A334-1)))</f>
        <v>0</v>
      </c>
      <c r="MD334" s="5">
        <f>$MB$25*(MC334+(1-MC334)*$MB$16)</f>
        <v>0.0</v>
      </c>
      <c r="ME334" s="13">
        <f>MD334*($MB$6+ACUTE_MARGIN)</f>
        <v>0.0</v>
      </c>
      <c r="MF334" s="13">
        <f>IF(MB334=1,$MB$31,$MB$32)</f>
        <v>152394.16214437486</v>
      </c>
      <c r="MG334" s="13">
        <f>ME334-MF334</f>
        <v>-152394.16214437486</v>
      </c>
      <c r="MH334" s="13">
        <f>MH333+MG334</f>
        <v>-5909240.131764087</v>
      </c>
      <c r="MI334">
        <f>IF(MH334=MAX($MH$83:$MH$483),$A334,0)</f>
        <v>0</v>
      </c>
      <c r="MJ334">
        <f>IF(ME334&lt;MF334,$A334,B_MAX+1)</f>
        <v>251</v>
      </c>
      <c r="MK334" s="13">
        <f>IF(MB334=1,$MB$35,$MB$36)</f>
        <v>0</v>
      </c>
      <c r="ML334" s="13">
        <f>OCC_DAYS*$MB$41*R_NF_2023-MD334*MCD_SHARE_FREED*R_WAIT_2023</f>
        <v>151980.48282209205</v>
      </c>
      <c r="MM334">
        <f>IF($A334&lt;=$MB$45,1,0)</f>
        <v>0</v>
      </c>
      <c r="NB334">
        <f>IF($NB$31&lt;=$NB$32,IF($A334&lt;=$NB$7,1,2),IF($A334&lt;=RUNG_BEDS_2,2,1))</f>
        <v>1</v>
      </c>
      <c r="NC334" s="5">
        <f>MIN(1,MAX(0,$NB$26-($A334-1)))</f>
        <v>0</v>
      </c>
      <c r="ND334" s="5">
        <f>$NB$25*(NC334+(1-NC334)*$NB$16)</f>
        <v>63.013306786703595</v>
      </c>
      <c r="NE334" s="13">
        <f>ND334*($NB$6+ACUTE_MARGIN)</f>
        <v>63643.43985457063</v>
      </c>
      <c r="NF334" s="13">
        <f>IF(NB334=1,$NB$31,$NB$32)</f>
        <v>152394.16214437486</v>
      </c>
      <c r="NG334" s="13">
        <f>NE334-NF334</f>
        <v>-88750.72228980422</v>
      </c>
      <c r="NH334" s="13">
        <f>NH333+NG334</f>
        <v>6395296.676463369</v>
      </c>
      <c r="NI334">
        <f>IF(NH334=MAX($NH$83:$NH$483),$A334,0)</f>
        <v>0</v>
      </c>
      <c r="NJ334">
        <f>IF(NE334&lt;NF334,$A334,B_MAX+1)</f>
        <v>251</v>
      </c>
      <c r="NK334" s="13">
        <f>IF(NB334=1,$NB$35,$NB$36)</f>
        <v>0</v>
      </c>
      <c r="NL334" s="13">
        <f>OCC_DAYS*$NB$41*R_NF_2023-ND334*MCD_SHARE_FREED*R_WAIT_2023</f>
        <v>123327.15192717595</v>
      </c>
      <c r="NM334">
        <f>IF($A334&lt;=$NB$45,1,0)</f>
        <v>0</v>
      </c>
      <c r="OB334">
        <f>IF($OB$31&lt;=$OB$32,IF($A334&lt;=$OB$7,1,2),IF($A334&lt;=RUNG_BEDS_2,2,1))</f>
        <v>1</v>
      </c>
      <c r="OC334" s="5">
        <f>MIN(1,MAX(0,$OB$26-($A334-1)))</f>
        <v>0</v>
      </c>
      <c r="OD334" s="5">
        <f>$OB$25*(OC334+(1-OC334)*$OB$16)</f>
        <v>126.02661357340719</v>
      </c>
      <c r="OE334" s="13">
        <f>OD334*($OB$6+ACUTE_MARGIN)</f>
        <v>127286.87970914126</v>
      </c>
      <c r="OF334" s="13">
        <f>IF(OB334=1,$OB$31,$OB$32)</f>
        <v>152394.16214437486</v>
      </c>
      <c r="OG334" s="13">
        <f>OE334-OF334</f>
        <v>-25107.282435233603</v>
      </c>
      <c r="OH334" s="13">
        <f>OH333+OG334</f>
        <v>12812557.422892632</v>
      </c>
      <c r="OI334">
        <f>IF(OH334=MAX($OH$83:$OH$483),$A334,0)</f>
        <v>0</v>
      </c>
      <c r="OJ334">
        <f>IF(OE334&lt;OF334,$A334,B_MAX+1)</f>
        <v>251</v>
      </c>
      <c r="OK334" s="13">
        <f>IF(OB334=1,$OB$35,$OB$36)</f>
        <v>0</v>
      </c>
      <c r="OL334" s="13">
        <f>OCC_DAYS*$OB$41*R_NF_2023-OD334*MCD_SHARE_FREED*R_WAIT_2023</f>
        <v>94673.82103225985</v>
      </c>
      <c r="OM334">
        <f>IF($A334&lt;=$OB$45,1,0)</f>
        <v>0</v>
      </c>
    </row>
    <row r="335">
      <c r="A335" t="n">
        <v>252</v>
      </c>
      <c r="B335">
        <f>IF($B$31&lt;=$B$32,IF($A335&lt;=$B$7,1,2),IF($A335&lt;=RUNG_BEDS_2,2,1))</f>
        <v>1</v>
      </c>
      <c r="C335" s="5">
        <f>MIN(1,MAX(0,$B$26-($A335-1)))</f>
        <v>0</v>
      </c>
      <c r="D335" s="5">
        <f>$B$25*(C335+(1-C335)*$B$16)</f>
        <v>0.0</v>
      </c>
      <c r="E335" s="13">
        <f>D335*($B$6+ACUTE_MARGIN)</f>
        <v>0.0</v>
      </c>
      <c r="F335" s="13">
        <f>IF(B335=1,$B$31,$B$32)</f>
        <v>152394.16214437486</v>
      </c>
      <c r="G335" s="13">
        <f>E335-F335</f>
        <v>-152394.16214437486</v>
      </c>
      <c r="H335" s="13">
        <f>H334+G335</f>
        <v>-174358.23211012926</v>
      </c>
      <c r="I335">
        <f>IF(H335=MAX($H$83:$H$483),$A335,0)</f>
        <v>0</v>
      </c>
      <c r="J335">
        <f>IF(E335&lt;F335,$A335,B_MAX+1)</f>
        <v>252</v>
      </c>
      <c r="K335" s="13">
        <f>IF(B335=1,$B$35,$B$36)</f>
        <v>0</v>
      </c>
      <c r="L335" s="13">
        <f>OCC_DAYS*$B$41*R_NF_2023-D335*MCD_SHARE_FREED*R_WAIT_2023</f>
        <v>151980.48282209205</v>
      </c>
      <c r="M335">
        <f>IF($A335&lt;=$B$45,1,0)</f>
        <v>0</v>
      </c>
      <c r="AB335">
        <f>IF($AB$31&lt;=$AB$32,IF($A335&lt;=$AB$7,1,2),IF($A335&lt;=RUNG_BEDS_2,2,1))</f>
        <v>1</v>
      </c>
      <c r="AC335" s="5">
        <f>MIN(1,MAX(0,$AB$26-($A335-1)))</f>
        <v>0</v>
      </c>
      <c r="AD335" s="5">
        <f>$AB$25*(AC335+(1-AC335)*$AB$16)</f>
        <v>0.0</v>
      </c>
      <c r="AE335" s="13">
        <f>AD335*($AB$6+ACUTE_MARGIN)</f>
        <v>0.0</v>
      </c>
      <c r="AF335" s="13">
        <f>IF(AB335=1,$AB$31,$AB$32)</f>
        <v>152394.16214437486</v>
      </c>
      <c r="AG335" s="13">
        <f>AE335-AF335</f>
        <v>-152394.16214437486</v>
      </c>
      <c r="AH335" s="13">
        <f>AH334+AG335</f>
        <v>-17585572.577659912</v>
      </c>
      <c r="AI335">
        <f>IF(AH335=MAX($AH$83:$AH$483),$A335,0)</f>
        <v>0</v>
      </c>
      <c r="AJ335">
        <f>IF(AE335&lt;AF335,$A335,B_MAX+1)</f>
        <v>252</v>
      </c>
      <c r="AK335" s="13">
        <f>IF(AB335=1,$AB$35,$AB$36)</f>
        <v>0</v>
      </c>
      <c r="AL335" s="13">
        <f>OCC_DAYS*$AB$41*R_NF_2023-AD335*MCD_SHARE_FREED*R_WAIT_2023</f>
        <v>151980.48282209205</v>
      </c>
      <c r="AM335">
        <f>IF($A335&lt;=$AB$45,1,0)</f>
        <v>0</v>
      </c>
      <c r="BB335">
        <f>IF($BB$31&lt;=$BB$32,IF($A335&lt;=$BB$7,1,2),IF($A335&lt;=RUNG_BEDS_2,2,1))</f>
        <v>1</v>
      </c>
      <c r="BC335" s="5">
        <f>MIN(1,MAX(0,$BB$26-($A335-1)))</f>
        <v>0</v>
      </c>
      <c r="BD335" s="5">
        <f>$BB$25*(BC335+(1-BC335)*$BB$16)</f>
        <v>0.0</v>
      </c>
      <c r="BE335" s="13">
        <f>BD335*($BB$6+ACUTE_MARGIN)</f>
        <v>0.0</v>
      </c>
      <c r="BF335" s="13">
        <f>IF(BB335=1,$BB$31,$BB$32)</f>
        <v>152394.16214437486</v>
      </c>
      <c r="BG335" s="13">
        <f>BE335-BF335</f>
        <v>-152394.16214437486</v>
      </c>
      <c r="BH335" s="13">
        <f>BH334+BG335</f>
        <v>17236856.113439582</v>
      </c>
      <c r="BI335">
        <f>IF(BH335=MAX($BH$83:$BH$483),$A335,0)</f>
        <v>0</v>
      </c>
      <c r="BJ335">
        <f>IF(BE335&lt;BF335,$A335,B_MAX+1)</f>
        <v>252</v>
      </c>
      <c r="BK335" s="13">
        <f>IF(BB335=1,$BB$35,$BB$36)</f>
        <v>0</v>
      </c>
      <c r="BL335" s="13">
        <f>OCC_DAYS*$BB$41*R_NF_2023-BD335*MCD_SHARE_FREED*R_WAIT_2023</f>
        <v>151980.48282209205</v>
      </c>
      <c r="BM335">
        <f>IF($A335&lt;=$BB$45,1,0)</f>
        <v>0</v>
      </c>
      <c r="CB335">
        <f>IF($CB$31&lt;=$CB$32,IF($A335&lt;=$CB$7,1,2),IF($A335&lt;=RUNG_BEDS_2,2,1))</f>
        <v>2</v>
      </c>
      <c r="CC335" s="5">
        <f>MIN(1,MAX(0,$CB$26-($A335-1)))</f>
        <v>0</v>
      </c>
      <c r="CD335" s="5">
        <f>$CB$25*(CC335+(1-CC335)*$CB$16)</f>
        <v>0.0</v>
      </c>
      <c r="CE335" s="13">
        <f>CD335*($CB$6+ACUTE_MARGIN)</f>
        <v>0.0</v>
      </c>
      <c r="CF335" s="13">
        <f>IF(CB335=1,$CB$31,$CB$32)</f>
        <v>160718.36940738867</v>
      </c>
      <c r="CG335" s="13">
        <f>CE335-CF335</f>
        <v>-160718.36940738867</v>
      </c>
      <c r="CH335" s="13">
        <f>CH334+CG335</f>
        <v>-2272058.462389724</v>
      </c>
      <c r="CI335">
        <f>IF(CH335=MAX($CH$83:$CH$483),$A335,0)</f>
        <v>0</v>
      </c>
      <c r="CJ335">
        <f>IF(CE335&lt;CF335,$A335,B_MAX+1)</f>
        <v>252</v>
      </c>
      <c r="CK335" s="13">
        <f>IF(CB335=1,$CB$35,$CB$36)</f>
        <v>1560.1194073886782</v>
      </c>
      <c r="CL335" s="13">
        <f>OCC_DAYS*$CB$41*R_NF_2023-CD335*MCD_SHARE_FREED*R_WAIT_2023</f>
        <v>151980.48282209205</v>
      </c>
      <c r="CM335">
        <f>IF($A335&lt;=$CB$45,1,0)</f>
        <v>0</v>
      </c>
      <c r="DB335">
        <f>IF($DB$31&lt;=$DB$32,IF($A335&lt;=$DB$7,1,2),IF($A335&lt;=RUNG_BEDS_2,2,1))</f>
        <v>1</v>
      </c>
      <c r="DC335" s="5">
        <f>MIN(1,MAX(0,$DB$26-($A335-1)))</f>
        <v>0</v>
      </c>
      <c r="DD335" s="5">
        <f>$DB$25*(DC335+(1-DC335)*$DB$16)</f>
        <v>0.0</v>
      </c>
      <c r="DE335" s="13">
        <f>DD335*($DB$6+ACUTE_MARGIN)</f>
        <v>0.0</v>
      </c>
      <c r="DF335" s="13">
        <f>IF(DB335=1,$DB$31,$DB$32)</f>
        <v>152394.16214437486</v>
      </c>
      <c r="DG335" s="13">
        <f>DE335-DF335</f>
        <v>-152394.16214437486</v>
      </c>
      <c r="DH335" s="13">
        <f>DH334+DG335</f>
        <v>-174358.23211012926</v>
      </c>
      <c r="DI335">
        <f>IF(DH335=MAX($DH$83:$DH$483),$A335,0)</f>
        <v>0</v>
      </c>
      <c r="DJ335">
        <f>IF(DE335&lt;DF335,$A335,B_MAX+1)</f>
        <v>252</v>
      </c>
      <c r="DK335" s="13">
        <f>IF(DB335=1,$DB$35,$DB$36)</f>
        <v>0</v>
      </c>
      <c r="DL335" s="13">
        <f>OCC_DAYS*$DB$41*R_NF_2023-DD335*MCD_SHARE_FREED*R_WAIT_2023</f>
        <v>151980.48282209205</v>
      </c>
      <c r="DM335">
        <f>IF($A335&lt;=$DB$45,1,0)</f>
        <v>0</v>
      </c>
      <c r="EB335">
        <f>IF($EB$31&lt;=$EB$32,IF($A335&lt;=$EB$7,1,2),IF($A335&lt;=RUNG_BEDS_2,2,1))</f>
        <v>1</v>
      </c>
      <c r="EC335" s="5">
        <f>MIN(1,MAX(0,$EB$26-($A335-1)))</f>
        <v>0</v>
      </c>
      <c r="ED335" s="5">
        <f>$EB$25*(EC335+(1-EC335)*$EB$16)</f>
        <v>0.0</v>
      </c>
      <c r="EE335" s="13">
        <f>ED335*($EB$6+ACUTE_MARGIN)</f>
        <v>0.0</v>
      </c>
      <c r="EF335" s="13">
        <f>IF(EB335=1,$EB$31,$EB$32)</f>
        <v>152394.16214437486</v>
      </c>
      <c r="EG335" s="13">
        <f>EE335-EF335</f>
        <v>-152394.16214437486</v>
      </c>
      <c r="EH335" s="13">
        <f>EH334+EG335</f>
        <v>-174358.23211012926</v>
      </c>
      <c r="EI335">
        <f>IF(EH335=MAX($EH$83:$EH$483),$A335,0)</f>
        <v>0</v>
      </c>
      <c r="EJ335">
        <f>IF(EE335&lt;EF335,$A335,B_MAX+1)</f>
        <v>252</v>
      </c>
      <c r="EK335" s="13">
        <f>IF(EB335=1,$EB$35,$EB$36)</f>
        <v>0</v>
      </c>
      <c r="EL335" s="13">
        <f>OCC_DAYS*$EB$41*R_NF_2023-ED335*MCD_SHARE_FREED*R_WAIT_2023</f>
        <v>50660.16094069735</v>
      </c>
      <c r="EM335">
        <f>IF($A335&lt;=$EB$45,1,0)</f>
        <v>0</v>
      </c>
      <c r="FB335">
        <f>IF($FB$31&lt;=$FB$32,IF($A335&lt;=$FB$7,1,2),IF($A335&lt;=RUNG_BEDS_2,2,1))</f>
        <v>1</v>
      </c>
      <c r="FC335" s="5">
        <f>MIN(1,MAX(0,$FB$26-($A335-1)))</f>
        <v>0</v>
      </c>
      <c r="FD335" s="5">
        <f>$FB$25*(FC335+(1-FC335)*$FB$16)</f>
        <v>0.0</v>
      </c>
      <c r="FE335" s="13">
        <f>FD335*($FB$6+ACUTE_MARGIN)</f>
        <v>0.0</v>
      </c>
      <c r="FF335" s="13">
        <f>IF(FB335=1,$FB$31,$FB$32)</f>
        <v>156636.04979437485</v>
      </c>
      <c r="FG335" s="13">
        <f>FE335-FF335</f>
        <v>-156636.04979437485</v>
      </c>
      <c r="FH335" s="13">
        <f>FH334+FG335</f>
        <v>-1243313.9199102428</v>
      </c>
      <c r="FI335">
        <f>IF(FH335=MAX($FH$83:$FH$483),$A335,0)</f>
        <v>0</v>
      </c>
      <c r="FJ335">
        <f>IF(FE335&lt;FF335,$A335,B_MAX+1)</f>
        <v>252</v>
      </c>
      <c r="FK335" s="13">
        <f>IF(FB335=1,$FB$35,$FB$36)</f>
        <v>0</v>
      </c>
      <c r="FL335" s="13">
        <f>OCC_DAYS*$FB$41*R_NF_2023-FD335*MCD_SHARE_FREED*R_WAIT_2023</f>
        <v>151980.48282209205</v>
      </c>
      <c r="FM335">
        <f>IF($A335&lt;=$FB$45,1,0)</f>
        <v>0</v>
      </c>
      <c r="GB335">
        <f>IF($GB$31&lt;=$GB$32,IF($A335&lt;=$GB$7,1,2),IF($A335&lt;=RUNG_BEDS_2,2,1))</f>
        <v>1</v>
      </c>
      <c r="GC335" s="5">
        <f>MIN(1,MAX(0,$GB$26-($A335-1)))</f>
        <v>0</v>
      </c>
      <c r="GD335" s="5">
        <f>$GB$25*(GC335+(1-GC335)*$GB$16)</f>
        <v>0.0</v>
      </c>
      <c r="GE335" s="13">
        <f>GD335*($GB$6+ACUTE_MARGIN)</f>
        <v>0.0</v>
      </c>
      <c r="GF335" s="13">
        <f>IF(GB335=1,$GB$31,$GB$32)</f>
        <v>152394.16214437486</v>
      </c>
      <c r="GG335" s="13">
        <f>GE335-GF335</f>
        <v>-152394.16214437486</v>
      </c>
      <c r="GH335" s="13">
        <f>GH334+GG335</f>
        <v>-174358.23211012926</v>
      </c>
      <c r="GI335">
        <f>IF(GH335=MAX($GH$83:$GH$483),$A335,0)</f>
        <v>0</v>
      </c>
      <c r="GJ335">
        <f>IF(GE335&lt;GF335,$A335,B_MAX+1)</f>
        <v>252</v>
      </c>
      <c r="GK335" s="13">
        <f>IF(GB335=1,$GB$35,$GB$36)</f>
        <v>0</v>
      </c>
      <c r="GL335" s="13">
        <f>OCC_DAYS*$GB$41*R_NF_2023-GD335*MCD_SHARE_FREED*R_WAIT_2023</f>
        <v>151980.48282209205</v>
      </c>
      <c r="GM335">
        <f>IF($A335&lt;=$GB$45,1,0)</f>
        <v>0</v>
      </c>
      <c r="HB335">
        <f>IF($HB$31&lt;=$HB$32,IF($A335&lt;=$HB$7,1,2),IF($A335&lt;=RUNG_BEDS_2,2,1))</f>
        <v>1</v>
      </c>
      <c r="HC335" s="5">
        <f>MIN(1,MAX(0,$HB$26-($A335-1)))</f>
        <v>0</v>
      </c>
      <c r="HD335" s="5">
        <f>$HB$25*(HC335+(1-HC335)*$HB$16)</f>
        <v>0.0</v>
      </c>
      <c r="HE335" s="13">
        <f>HD335*($HB$6+ACUTE_MARGIN)</f>
        <v>0.0</v>
      </c>
      <c r="HF335" s="13">
        <f>IF(HB335=1,$HB$31,$HB$32)</f>
        <v>152456.2970814058</v>
      </c>
      <c r="HG335" s="13">
        <f>HE335-HF335</f>
        <v>-152456.2970814058</v>
      </c>
      <c r="HH335" s="13">
        <f>HH334+HG335</f>
        <v>-190016.23624196518</v>
      </c>
      <c r="HI335">
        <f>IF(HH335=MAX($HH$83:$HH$483),$A335,0)</f>
        <v>0</v>
      </c>
      <c r="HJ335">
        <f>IF(HE335&lt;HF335,$A335,B_MAX+1)</f>
        <v>252</v>
      </c>
      <c r="HK335" s="13">
        <f>IF(HB335=1,$HB$35,$HB$36)</f>
        <v>0</v>
      </c>
      <c r="HL335" s="13">
        <f>OCC_DAYS*$HB$41*R_NF_2023-HD335*MCD_SHARE_FREED*R_WAIT_2023</f>
        <v>151980.48282209205</v>
      </c>
      <c r="HM335">
        <f>IF($A335&lt;=$HB$45,1,0)</f>
        <v>0</v>
      </c>
      <c r="IB335">
        <f>IF($IB$31&lt;=$IB$32,IF($A335&lt;=$IB$7,1,2),IF($A335&lt;=RUNG_BEDS_2,2,1))</f>
        <v>1</v>
      </c>
      <c r="IC335" s="5">
        <f>MIN(1,MAX(0,$IB$26-($A335-1)))</f>
        <v>0</v>
      </c>
      <c r="ID335" s="5">
        <f>$IB$25*(IC335+(1-IC335)*$IB$16)</f>
        <v>0.0</v>
      </c>
      <c r="IE335" s="13">
        <f>ID335*($IB$6+ACUTE_MARGIN)</f>
        <v>0.0</v>
      </c>
      <c r="IF335" s="13">
        <f>IF(IB335=1,$IB$31,$IB$32)</f>
        <v>152734.9994534971</v>
      </c>
      <c r="IG335" s="13">
        <f>IE335-IF335</f>
        <v>-152734.9994534971</v>
      </c>
      <c r="IH335" s="13">
        <f>IH334+IG335</f>
        <v>-260249.23400902643</v>
      </c>
      <c r="II335">
        <f>IF(IH335=MAX($IH$83:$IH$483),$A335,0)</f>
        <v>0</v>
      </c>
      <c r="IJ335">
        <f>IF(IE335&lt;IF335,$A335,B_MAX+1)</f>
        <v>252</v>
      </c>
      <c r="IK335" s="13">
        <f>IF(IB335=1,$IB$35,$IB$36)</f>
        <v>0</v>
      </c>
      <c r="IL335" s="13">
        <f>OCC_DAYS*$IB$41*R_NF_2023-ID335*MCD_SHARE_FREED*R_WAIT_2023</f>
        <v>151980.48282209205</v>
      </c>
      <c r="IM335">
        <f>IF($A335&lt;=$IB$45,1,0)</f>
        <v>0</v>
      </c>
      <c r="JB335">
        <f>IF($JB$31&lt;=$JB$32,IF($A335&lt;=$JB$7,1,2),IF($A335&lt;=RUNG_BEDS_2,2,1))</f>
        <v>1</v>
      </c>
      <c r="JC335" s="5">
        <f>MIN(1,MAX(0,$JB$26-($A335-1)))</f>
        <v>0</v>
      </c>
      <c r="JD335" s="5">
        <f>$JB$25*(JC335+(1-JC335)*$JB$16)</f>
        <v>0.0</v>
      </c>
      <c r="JE335" s="13">
        <f>JD335*($JB$6+ACUTE_MARGIN)</f>
        <v>0.0</v>
      </c>
      <c r="JF335" s="13">
        <f>IF(JB335=1,$JB$31,$JB$32)</f>
        <v>152394.16214437486</v>
      </c>
      <c r="JG335" s="13">
        <f>JE335-JF335</f>
        <v>-152394.16214437486</v>
      </c>
      <c r="JH335" s="13">
        <f>JH334+JG335</f>
        <v>-174358.23211012926</v>
      </c>
      <c r="JI335">
        <f>IF(JH335=MAX($JH$83:$JH$483),$A335,0)</f>
        <v>0</v>
      </c>
      <c r="JJ335">
        <f>IF(JE335&lt;JF335,$A335,B_MAX+1)</f>
        <v>252</v>
      </c>
      <c r="JK335" s="13">
        <f>IF(JB335=1,$JB$35,$JB$36)</f>
        <v>0</v>
      </c>
      <c r="JL335" s="13">
        <f>OCC_DAYS*$JB$41*R_NF_2023-JD335*MCD_SHARE_FREED*R_WAIT_2023</f>
        <v>151980.48282209205</v>
      </c>
      <c r="JM335">
        <f>IF($A335&lt;=$JB$45,1,0)</f>
        <v>0</v>
      </c>
      <c r="KB335">
        <f>IF($KB$31&lt;=$KB$32,IF($A335&lt;=$KB$7,1,2),IF($A335&lt;=RUNG_BEDS_2,2,1))</f>
        <v>1</v>
      </c>
      <c r="KC335" s="5">
        <f>MIN(1,MAX(0,$KB$26-($A335-1)))</f>
        <v>1</v>
      </c>
      <c r="KD335" s="5">
        <f>$KB$25*(KC335+(1-KC335)*$KB$16)</f>
        <v>126.02661357340719</v>
      </c>
      <c r="KE335" s="13">
        <f>KD335*($KB$6+ACUTE_MARGIN)</f>
        <v>127286.87970914126</v>
      </c>
      <c r="KF335" s="13">
        <f>IF(KB335=1,$KB$31,$KB$32)</f>
        <v>152394.16214437486</v>
      </c>
      <c r="KG335" s="13">
        <f>KE335-KF335</f>
        <v>-25107.282435233603</v>
      </c>
      <c r="KH335" s="13">
        <f>KH334+KG335</f>
        <v>-6327035.173678889</v>
      </c>
      <c r="KI335">
        <f>IF(KH335=MAX($KH$83:$KH$483),$A335,0)</f>
        <v>0</v>
      </c>
      <c r="KJ335">
        <f>IF(KE335&lt;KF335,$A335,B_MAX+1)</f>
        <v>252</v>
      </c>
      <c r="KK335" s="13">
        <f>IF(KB335=1,$KB$35,$KB$36)</f>
        <v>0</v>
      </c>
      <c r="KL335" s="13">
        <f>OCC_DAYS*$KB$41*R_NF_2023-KD335*MCD_SHARE_FREED*R_WAIT_2023</f>
        <v>94673.82103225985</v>
      </c>
      <c r="KM335">
        <f>IF($A335&lt;=$KB$45,1,0)</f>
        <v>0</v>
      </c>
      <c r="LB335">
        <f>IF($LB$31&lt;=$LB$32,IF($A335&lt;=$LB$7,1,2),IF($A335&lt;=RUNG_BEDS_2,2,1))</f>
        <v>1</v>
      </c>
      <c r="LC335" s="5">
        <f>MIN(1,MAX(0,$LB$26-($A335-1)))</f>
        <v>1</v>
      </c>
      <c r="LD335" s="5">
        <f>$LB$25*(LC335+(1-LC335)*$LB$16)</f>
        <v>84.01774238227146</v>
      </c>
      <c r="LE335" s="13">
        <f>LD335*($LB$6+ACUTE_MARGIN)</f>
        <v>84857.91980609419</v>
      </c>
      <c r="LF335" s="13">
        <f>IF(LB335=1,$LB$31,$LB$32)</f>
        <v>152394.16214437486</v>
      </c>
      <c r="LG335" s="13">
        <f>LE335-LF335</f>
        <v>-67536.24233828067</v>
      </c>
      <c r="LH335" s="13">
        <f>LH334+LG335</f>
        <v>-17019133.069246814</v>
      </c>
      <c r="LI335">
        <f>IF(LH335=MAX($LH$83:$LH$483),$A335,0)</f>
        <v>0</v>
      </c>
      <c r="LJ335">
        <f>IF(LE335&lt;LF335,$A335,B_MAX+1)</f>
        <v>252</v>
      </c>
      <c r="LK335" s="13">
        <f>IF(LB335=1,$LB$35,$LB$36)</f>
        <v>0</v>
      </c>
      <c r="LL335" s="13">
        <f>OCC_DAYS*$LB$41*R_NF_2023-LD335*MCD_SHARE_FREED*R_WAIT_2023</f>
        <v>113776.04162887059</v>
      </c>
      <c r="LM335">
        <f>IF($A335&lt;=$LB$45,1,0)</f>
        <v>0</v>
      </c>
      <c r="MB335">
        <f>IF($MB$31&lt;=$MB$32,IF($A335&lt;=$MB$7,1,2),IF($A335&lt;=RUNG_BEDS_2,2,1))</f>
        <v>1</v>
      </c>
      <c r="MC335" s="5">
        <f>MIN(1,MAX(0,$MB$26-($A335-1)))</f>
        <v>0</v>
      </c>
      <c r="MD335" s="5">
        <f>$MB$25*(MC335+(1-MC335)*$MB$16)</f>
        <v>0.0</v>
      </c>
      <c r="ME335" s="13">
        <f>MD335*($MB$6+ACUTE_MARGIN)</f>
        <v>0.0</v>
      </c>
      <c r="MF335" s="13">
        <f>IF(MB335=1,$MB$31,$MB$32)</f>
        <v>152394.16214437486</v>
      </c>
      <c r="MG335" s="13">
        <f>ME335-MF335</f>
        <v>-152394.16214437486</v>
      </c>
      <c r="MH335" s="13">
        <f>MH334+MG335</f>
        <v>-6061634.293908462</v>
      </c>
      <c r="MI335">
        <f>IF(MH335=MAX($MH$83:$MH$483),$A335,0)</f>
        <v>0</v>
      </c>
      <c r="MJ335">
        <f>IF(ME335&lt;MF335,$A335,B_MAX+1)</f>
        <v>252</v>
      </c>
      <c r="MK335" s="13">
        <f>IF(MB335=1,$MB$35,$MB$36)</f>
        <v>0</v>
      </c>
      <c r="ML335" s="13">
        <f>OCC_DAYS*$MB$41*R_NF_2023-MD335*MCD_SHARE_FREED*R_WAIT_2023</f>
        <v>151980.48282209205</v>
      </c>
      <c r="MM335">
        <f>IF($A335&lt;=$MB$45,1,0)</f>
        <v>0</v>
      </c>
      <c r="NB335">
        <f>IF($NB$31&lt;=$NB$32,IF($A335&lt;=$NB$7,1,2),IF($A335&lt;=RUNG_BEDS_2,2,1))</f>
        <v>1</v>
      </c>
      <c r="NC335" s="5">
        <f>MIN(1,MAX(0,$NB$26-($A335-1)))</f>
        <v>0</v>
      </c>
      <c r="ND335" s="5">
        <f>$NB$25*(NC335+(1-NC335)*$NB$16)</f>
        <v>63.013306786703595</v>
      </c>
      <c r="NE335" s="13">
        <f>ND335*($NB$6+ACUTE_MARGIN)</f>
        <v>63643.43985457063</v>
      </c>
      <c r="NF335" s="13">
        <f>IF(NB335=1,$NB$31,$NB$32)</f>
        <v>152394.16214437486</v>
      </c>
      <c r="NG335" s="13">
        <f>NE335-NF335</f>
        <v>-88750.72228980422</v>
      </c>
      <c r="NH335" s="13">
        <f>NH334+NG335</f>
        <v>6306545.954173565</v>
      </c>
      <c r="NI335">
        <f>IF(NH335=MAX($NH$83:$NH$483),$A335,0)</f>
        <v>0</v>
      </c>
      <c r="NJ335">
        <f>IF(NE335&lt;NF335,$A335,B_MAX+1)</f>
        <v>252</v>
      </c>
      <c r="NK335" s="13">
        <f>IF(NB335=1,$NB$35,$NB$36)</f>
        <v>0</v>
      </c>
      <c r="NL335" s="13">
        <f>OCC_DAYS*$NB$41*R_NF_2023-ND335*MCD_SHARE_FREED*R_WAIT_2023</f>
        <v>123327.15192717595</v>
      </c>
      <c r="NM335">
        <f>IF($A335&lt;=$NB$45,1,0)</f>
        <v>0</v>
      </c>
      <c r="OB335">
        <f>IF($OB$31&lt;=$OB$32,IF($A335&lt;=$OB$7,1,2),IF($A335&lt;=RUNG_BEDS_2,2,1))</f>
        <v>1</v>
      </c>
      <c r="OC335" s="5">
        <f>MIN(1,MAX(0,$OB$26-($A335-1)))</f>
        <v>0</v>
      </c>
      <c r="OD335" s="5">
        <f>$OB$25*(OC335+(1-OC335)*$OB$16)</f>
        <v>126.02661357340719</v>
      </c>
      <c r="OE335" s="13">
        <f>OD335*($OB$6+ACUTE_MARGIN)</f>
        <v>127286.87970914126</v>
      </c>
      <c r="OF335" s="13">
        <f>IF(OB335=1,$OB$31,$OB$32)</f>
        <v>152394.16214437486</v>
      </c>
      <c r="OG335" s="13">
        <f>OE335-OF335</f>
        <v>-25107.282435233603</v>
      </c>
      <c r="OH335" s="13">
        <f>OH334+OG335</f>
        <v>12787450.1404574</v>
      </c>
      <c r="OI335">
        <f>IF(OH335=MAX($OH$83:$OH$483),$A335,0)</f>
        <v>0</v>
      </c>
      <c r="OJ335">
        <f>IF(OE335&lt;OF335,$A335,B_MAX+1)</f>
        <v>252</v>
      </c>
      <c r="OK335" s="13">
        <f>IF(OB335=1,$OB$35,$OB$36)</f>
        <v>0</v>
      </c>
      <c r="OL335" s="13">
        <f>OCC_DAYS*$OB$41*R_NF_2023-OD335*MCD_SHARE_FREED*R_WAIT_2023</f>
        <v>94673.82103225985</v>
      </c>
      <c r="OM335">
        <f>IF($A335&lt;=$OB$45,1,0)</f>
        <v>0</v>
      </c>
    </row>
    <row r="336">
      <c r="A336" t="n">
        <v>253</v>
      </c>
      <c r="B336">
        <f>IF($B$31&lt;=$B$32,IF($A336&lt;=$B$7,1,2),IF($A336&lt;=RUNG_BEDS_2,2,1))</f>
        <v>1</v>
      </c>
      <c r="C336" s="5">
        <f>MIN(1,MAX(0,$B$26-($A336-1)))</f>
        <v>0</v>
      </c>
      <c r="D336" s="5">
        <f>$B$25*(C336+(1-C336)*$B$16)</f>
        <v>0.0</v>
      </c>
      <c r="E336" s="13">
        <f>D336*($B$6+ACUTE_MARGIN)</f>
        <v>0.0</v>
      </c>
      <c r="F336" s="13">
        <f>IF(B336=1,$B$31,$B$32)</f>
        <v>152394.16214437486</v>
      </c>
      <c r="G336" s="13">
        <f>E336-F336</f>
        <v>-152394.16214437486</v>
      </c>
      <c r="H336" s="13">
        <f>H335+G336</f>
        <v>-326752.3942545041</v>
      </c>
      <c r="I336">
        <f>IF(H336=MAX($H$83:$H$483),$A336,0)</f>
        <v>0</v>
      </c>
      <c r="J336">
        <f>IF(E336&lt;F336,$A336,B_MAX+1)</f>
        <v>253</v>
      </c>
      <c r="K336" s="13">
        <f>IF(B336=1,$B$35,$B$36)</f>
        <v>0</v>
      </c>
      <c r="L336" s="13">
        <f>OCC_DAYS*$B$41*R_NF_2023-D336*MCD_SHARE_FREED*R_WAIT_2023</f>
        <v>151980.48282209205</v>
      </c>
      <c r="M336">
        <f>IF($A336&lt;=$B$45,1,0)</f>
        <v>0</v>
      </c>
      <c r="AB336">
        <f>IF($AB$31&lt;=$AB$32,IF($A336&lt;=$AB$7,1,2),IF($A336&lt;=RUNG_BEDS_2,2,1))</f>
        <v>1</v>
      </c>
      <c r="AC336" s="5">
        <f>MIN(1,MAX(0,$AB$26-($A336-1)))</f>
        <v>0</v>
      </c>
      <c r="AD336" s="5">
        <f>$AB$25*(AC336+(1-AC336)*$AB$16)</f>
        <v>0.0</v>
      </c>
      <c r="AE336" s="13">
        <f>AD336*($AB$6+ACUTE_MARGIN)</f>
        <v>0.0</v>
      </c>
      <c r="AF336" s="13">
        <f>IF(AB336=1,$AB$31,$AB$32)</f>
        <v>152394.16214437486</v>
      </c>
      <c r="AG336" s="13">
        <f>AE336-AF336</f>
        <v>-152394.16214437486</v>
      </c>
      <c r="AH336" s="13">
        <f>AH335+AG336</f>
        <v>-17737966.739804287</v>
      </c>
      <c r="AI336">
        <f>IF(AH336=MAX($AH$83:$AH$483),$A336,0)</f>
        <v>0</v>
      </c>
      <c r="AJ336">
        <f>IF(AE336&lt;AF336,$A336,B_MAX+1)</f>
        <v>253</v>
      </c>
      <c r="AK336" s="13">
        <f>IF(AB336=1,$AB$35,$AB$36)</f>
        <v>0</v>
      </c>
      <c r="AL336" s="13">
        <f>OCC_DAYS*$AB$41*R_NF_2023-AD336*MCD_SHARE_FREED*R_WAIT_2023</f>
        <v>151980.48282209205</v>
      </c>
      <c r="AM336">
        <f>IF($A336&lt;=$AB$45,1,0)</f>
        <v>0</v>
      </c>
      <c r="BB336">
        <f>IF($BB$31&lt;=$BB$32,IF($A336&lt;=$BB$7,1,2),IF($A336&lt;=RUNG_BEDS_2,2,1))</f>
        <v>1</v>
      </c>
      <c r="BC336" s="5">
        <f>MIN(1,MAX(0,$BB$26-($A336-1)))</f>
        <v>0</v>
      </c>
      <c r="BD336" s="5">
        <f>$BB$25*(BC336+(1-BC336)*$BB$16)</f>
        <v>0.0</v>
      </c>
      <c r="BE336" s="13">
        <f>BD336*($BB$6+ACUTE_MARGIN)</f>
        <v>0.0</v>
      </c>
      <c r="BF336" s="13">
        <f>IF(BB336=1,$BB$31,$BB$32)</f>
        <v>152394.16214437486</v>
      </c>
      <c r="BG336" s="13">
        <f>BE336-BF336</f>
        <v>-152394.16214437486</v>
      </c>
      <c r="BH336" s="13">
        <f>BH335+BG336</f>
        <v>17084461.95129521</v>
      </c>
      <c r="BI336">
        <f>IF(BH336=MAX($BH$83:$BH$483),$A336,0)</f>
        <v>0</v>
      </c>
      <c r="BJ336">
        <f>IF(BE336&lt;BF336,$A336,B_MAX+1)</f>
        <v>253</v>
      </c>
      <c r="BK336" s="13">
        <f>IF(BB336=1,$BB$35,$BB$36)</f>
        <v>0</v>
      </c>
      <c r="BL336" s="13">
        <f>OCC_DAYS*$BB$41*R_NF_2023-BD336*MCD_SHARE_FREED*R_WAIT_2023</f>
        <v>151980.48282209205</v>
      </c>
      <c r="BM336">
        <f>IF($A336&lt;=$BB$45,1,0)</f>
        <v>0</v>
      </c>
      <c r="CB336">
        <f>IF($CB$31&lt;=$CB$32,IF($A336&lt;=$CB$7,1,2),IF($A336&lt;=RUNG_BEDS_2,2,1))</f>
        <v>2</v>
      </c>
      <c r="CC336" s="5">
        <f>MIN(1,MAX(0,$CB$26-($A336-1)))</f>
        <v>0</v>
      </c>
      <c r="CD336" s="5">
        <f>$CB$25*(CC336+(1-CC336)*$CB$16)</f>
        <v>0.0</v>
      </c>
      <c r="CE336" s="13">
        <f>CD336*($CB$6+ACUTE_MARGIN)</f>
        <v>0.0</v>
      </c>
      <c r="CF336" s="13">
        <f>IF(CB336=1,$CB$31,$CB$32)</f>
        <v>160718.36940738867</v>
      </c>
      <c r="CG336" s="13">
        <f>CE336-CF336</f>
        <v>-160718.36940738867</v>
      </c>
      <c r="CH336" s="13">
        <f>CH335+CG336</f>
        <v>-2432776.8317971127</v>
      </c>
      <c r="CI336">
        <f>IF(CH336=MAX($CH$83:$CH$483),$A336,0)</f>
        <v>0</v>
      </c>
      <c r="CJ336">
        <f>IF(CE336&lt;CF336,$A336,B_MAX+1)</f>
        <v>253</v>
      </c>
      <c r="CK336" s="13">
        <f>IF(CB336=1,$CB$35,$CB$36)</f>
        <v>1560.1194073886782</v>
      </c>
      <c r="CL336" s="13">
        <f>OCC_DAYS*$CB$41*R_NF_2023-CD336*MCD_SHARE_FREED*R_WAIT_2023</f>
        <v>151980.48282209205</v>
      </c>
      <c r="CM336">
        <f>IF($A336&lt;=$CB$45,1,0)</f>
        <v>0</v>
      </c>
      <c r="DB336">
        <f>IF($DB$31&lt;=$DB$32,IF($A336&lt;=$DB$7,1,2),IF($A336&lt;=RUNG_BEDS_2,2,1))</f>
        <v>1</v>
      </c>
      <c r="DC336" s="5">
        <f>MIN(1,MAX(0,$DB$26-($A336-1)))</f>
        <v>0</v>
      </c>
      <c r="DD336" s="5">
        <f>$DB$25*(DC336+(1-DC336)*$DB$16)</f>
        <v>0.0</v>
      </c>
      <c r="DE336" s="13">
        <f>DD336*($DB$6+ACUTE_MARGIN)</f>
        <v>0.0</v>
      </c>
      <c r="DF336" s="13">
        <f>IF(DB336=1,$DB$31,$DB$32)</f>
        <v>152394.16214437486</v>
      </c>
      <c r="DG336" s="13">
        <f>DE336-DF336</f>
        <v>-152394.16214437486</v>
      </c>
      <c r="DH336" s="13">
        <f>DH335+DG336</f>
        <v>-326752.3942545041</v>
      </c>
      <c r="DI336">
        <f>IF(DH336=MAX($DH$83:$DH$483),$A336,0)</f>
        <v>0</v>
      </c>
      <c r="DJ336">
        <f>IF(DE336&lt;DF336,$A336,B_MAX+1)</f>
        <v>253</v>
      </c>
      <c r="DK336" s="13">
        <f>IF(DB336=1,$DB$35,$DB$36)</f>
        <v>0</v>
      </c>
      <c r="DL336" s="13">
        <f>OCC_DAYS*$DB$41*R_NF_2023-DD336*MCD_SHARE_FREED*R_WAIT_2023</f>
        <v>151980.48282209205</v>
      </c>
      <c r="DM336">
        <f>IF($A336&lt;=$DB$45,1,0)</f>
        <v>0</v>
      </c>
      <c r="EB336">
        <f>IF($EB$31&lt;=$EB$32,IF($A336&lt;=$EB$7,1,2),IF($A336&lt;=RUNG_BEDS_2,2,1))</f>
        <v>1</v>
      </c>
      <c r="EC336" s="5">
        <f>MIN(1,MAX(0,$EB$26-($A336-1)))</f>
        <v>0</v>
      </c>
      <c r="ED336" s="5">
        <f>$EB$25*(EC336+(1-EC336)*$EB$16)</f>
        <v>0.0</v>
      </c>
      <c r="EE336" s="13">
        <f>ED336*($EB$6+ACUTE_MARGIN)</f>
        <v>0.0</v>
      </c>
      <c r="EF336" s="13">
        <f>IF(EB336=1,$EB$31,$EB$32)</f>
        <v>152394.16214437486</v>
      </c>
      <c r="EG336" s="13">
        <f>EE336-EF336</f>
        <v>-152394.16214437486</v>
      </c>
      <c r="EH336" s="13">
        <f>EH335+EG336</f>
        <v>-326752.3942545041</v>
      </c>
      <c r="EI336">
        <f>IF(EH336=MAX($EH$83:$EH$483),$A336,0)</f>
        <v>0</v>
      </c>
      <c r="EJ336">
        <f>IF(EE336&lt;EF336,$A336,B_MAX+1)</f>
        <v>253</v>
      </c>
      <c r="EK336" s="13">
        <f>IF(EB336=1,$EB$35,$EB$36)</f>
        <v>0</v>
      </c>
      <c r="EL336" s="13">
        <f>OCC_DAYS*$EB$41*R_NF_2023-ED336*MCD_SHARE_FREED*R_WAIT_2023</f>
        <v>50660.16094069735</v>
      </c>
      <c r="EM336">
        <f>IF($A336&lt;=$EB$45,1,0)</f>
        <v>0</v>
      </c>
      <c r="FB336">
        <f>IF($FB$31&lt;=$FB$32,IF($A336&lt;=$FB$7,1,2),IF($A336&lt;=RUNG_BEDS_2,2,1))</f>
        <v>1</v>
      </c>
      <c r="FC336" s="5">
        <f>MIN(1,MAX(0,$FB$26-($A336-1)))</f>
        <v>0</v>
      </c>
      <c r="FD336" s="5">
        <f>$FB$25*(FC336+(1-FC336)*$FB$16)</f>
        <v>0.0</v>
      </c>
      <c r="FE336" s="13">
        <f>FD336*($FB$6+ACUTE_MARGIN)</f>
        <v>0.0</v>
      </c>
      <c r="FF336" s="13">
        <f>IF(FB336=1,$FB$31,$FB$32)</f>
        <v>156636.04979437485</v>
      </c>
      <c r="FG336" s="13">
        <f>FE336-FF336</f>
        <v>-156636.04979437485</v>
      </c>
      <c r="FH336" s="13">
        <f>FH335+FG336</f>
        <v>-1399949.9697046177</v>
      </c>
      <c r="FI336">
        <f>IF(FH336=MAX($FH$83:$FH$483),$A336,0)</f>
        <v>0</v>
      </c>
      <c r="FJ336">
        <f>IF(FE336&lt;FF336,$A336,B_MAX+1)</f>
        <v>253</v>
      </c>
      <c r="FK336" s="13">
        <f>IF(FB336=1,$FB$35,$FB$36)</f>
        <v>0</v>
      </c>
      <c r="FL336" s="13">
        <f>OCC_DAYS*$FB$41*R_NF_2023-FD336*MCD_SHARE_FREED*R_WAIT_2023</f>
        <v>151980.48282209205</v>
      </c>
      <c r="FM336">
        <f>IF($A336&lt;=$FB$45,1,0)</f>
        <v>0</v>
      </c>
      <c r="GB336">
        <f>IF($GB$31&lt;=$GB$32,IF($A336&lt;=$GB$7,1,2),IF($A336&lt;=RUNG_BEDS_2,2,1))</f>
        <v>1</v>
      </c>
      <c r="GC336" s="5">
        <f>MIN(1,MAX(0,$GB$26-($A336-1)))</f>
        <v>0</v>
      </c>
      <c r="GD336" s="5">
        <f>$GB$25*(GC336+(1-GC336)*$GB$16)</f>
        <v>0.0</v>
      </c>
      <c r="GE336" s="13">
        <f>GD336*($GB$6+ACUTE_MARGIN)</f>
        <v>0.0</v>
      </c>
      <c r="GF336" s="13">
        <f>IF(GB336=1,$GB$31,$GB$32)</f>
        <v>152394.16214437486</v>
      </c>
      <c r="GG336" s="13">
        <f>GE336-GF336</f>
        <v>-152394.16214437486</v>
      </c>
      <c r="GH336" s="13">
        <f>GH335+GG336</f>
        <v>-326752.3942545041</v>
      </c>
      <c r="GI336">
        <f>IF(GH336=MAX($GH$83:$GH$483),$A336,0)</f>
        <v>0</v>
      </c>
      <c r="GJ336">
        <f>IF(GE336&lt;GF336,$A336,B_MAX+1)</f>
        <v>253</v>
      </c>
      <c r="GK336" s="13">
        <f>IF(GB336=1,$GB$35,$GB$36)</f>
        <v>0</v>
      </c>
      <c r="GL336" s="13">
        <f>OCC_DAYS*$GB$41*R_NF_2023-GD336*MCD_SHARE_FREED*R_WAIT_2023</f>
        <v>151980.48282209205</v>
      </c>
      <c r="GM336">
        <f>IF($A336&lt;=$GB$45,1,0)</f>
        <v>0</v>
      </c>
      <c r="HB336">
        <f>IF($HB$31&lt;=$HB$32,IF($A336&lt;=$HB$7,1,2),IF($A336&lt;=RUNG_BEDS_2,2,1))</f>
        <v>1</v>
      </c>
      <c r="HC336" s="5">
        <f>MIN(1,MAX(0,$HB$26-($A336-1)))</f>
        <v>0</v>
      </c>
      <c r="HD336" s="5">
        <f>$HB$25*(HC336+(1-HC336)*$HB$16)</f>
        <v>0.0</v>
      </c>
      <c r="HE336" s="13">
        <f>HD336*($HB$6+ACUTE_MARGIN)</f>
        <v>0.0</v>
      </c>
      <c r="HF336" s="13">
        <f>IF(HB336=1,$HB$31,$HB$32)</f>
        <v>152456.2970814058</v>
      </c>
      <c r="HG336" s="13">
        <f>HE336-HF336</f>
        <v>-152456.2970814058</v>
      </c>
      <c r="HH336" s="13">
        <f>HH335+HG336</f>
        <v>-342472.53332337097</v>
      </c>
      <c r="HI336">
        <f>IF(HH336=MAX($HH$83:$HH$483),$A336,0)</f>
        <v>0</v>
      </c>
      <c r="HJ336">
        <f>IF(HE336&lt;HF336,$A336,B_MAX+1)</f>
        <v>253</v>
      </c>
      <c r="HK336" s="13">
        <f>IF(HB336=1,$HB$35,$HB$36)</f>
        <v>0</v>
      </c>
      <c r="HL336" s="13">
        <f>OCC_DAYS*$HB$41*R_NF_2023-HD336*MCD_SHARE_FREED*R_WAIT_2023</f>
        <v>151980.48282209205</v>
      </c>
      <c r="HM336">
        <f>IF($A336&lt;=$HB$45,1,0)</f>
        <v>0</v>
      </c>
      <c r="IB336">
        <f>IF($IB$31&lt;=$IB$32,IF($A336&lt;=$IB$7,1,2),IF($A336&lt;=RUNG_BEDS_2,2,1))</f>
        <v>1</v>
      </c>
      <c r="IC336" s="5">
        <f>MIN(1,MAX(0,$IB$26-($A336-1)))</f>
        <v>0</v>
      </c>
      <c r="ID336" s="5">
        <f>$IB$25*(IC336+(1-IC336)*$IB$16)</f>
        <v>0.0</v>
      </c>
      <c r="IE336" s="13">
        <f>ID336*($IB$6+ACUTE_MARGIN)</f>
        <v>0.0</v>
      </c>
      <c r="IF336" s="13">
        <f>IF(IB336=1,$IB$31,$IB$32)</f>
        <v>152734.9994534971</v>
      </c>
      <c r="IG336" s="13">
        <f>IE336-IF336</f>
        <v>-152734.9994534971</v>
      </c>
      <c r="IH336" s="13">
        <f>IH335+IG336</f>
        <v>-412984.23346252355</v>
      </c>
      <c r="II336">
        <f>IF(IH336=MAX($IH$83:$IH$483),$A336,0)</f>
        <v>0</v>
      </c>
      <c r="IJ336">
        <f>IF(IE336&lt;IF336,$A336,B_MAX+1)</f>
        <v>253</v>
      </c>
      <c r="IK336" s="13">
        <f>IF(IB336=1,$IB$35,$IB$36)</f>
        <v>0</v>
      </c>
      <c r="IL336" s="13">
        <f>OCC_DAYS*$IB$41*R_NF_2023-ID336*MCD_SHARE_FREED*R_WAIT_2023</f>
        <v>151980.48282209205</v>
      </c>
      <c r="IM336">
        <f>IF($A336&lt;=$IB$45,1,0)</f>
        <v>0</v>
      </c>
      <c r="JB336">
        <f>IF($JB$31&lt;=$JB$32,IF($A336&lt;=$JB$7,1,2),IF($A336&lt;=RUNG_BEDS_2,2,1))</f>
        <v>1</v>
      </c>
      <c r="JC336" s="5">
        <f>MIN(1,MAX(0,$JB$26-($A336-1)))</f>
        <v>0</v>
      </c>
      <c r="JD336" s="5">
        <f>$JB$25*(JC336+(1-JC336)*$JB$16)</f>
        <v>0.0</v>
      </c>
      <c r="JE336" s="13">
        <f>JD336*($JB$6+ACUTE_MARGIN)</f>
        <v>0.0</v>
      </c>
      <c r="JF336" s="13">
        <f>IF(JB336=1,$JB$31,$JB$32)</f>
        <v>152394.16214437486</v>
      </c>
      <c r="JG336" s="13">
        <f>JE336-JF336</f>
        <v>-152394.16214437486</v>
      </c>
      <c r="JH336" s="13">
        <f>JH335+JG336</f>
        <v>-326752.3942545041</v>
      </c>
      <c r="JI336">
        <f>IF(JH336=MAX($JH$83:$JH$483),$A336,0)</f>
        <v>0</v>
      </c>
      <c r="JJ336">
        <f>IF(JE336&lt;JF336,$A336,B_MAX+1)</f>
        <v>253</v>
      </c>
      <c r="JK336" s="13">
        <f>IF(JB336=1,$JB$35,$JB$36)</f>
        <v>0</v>
      </c>
      <c r="JL336" s="13">
        <f>OCC_DAYS*$JB$41*R_NF_2023-JD336*MCD_SHARE_FREED*R_WAIT_2023</f>
        <v>151980.48282209205</v>
      </c>
      <c r="JM336">
        <f>IF($A336&lt;=$JB$45,1,0)</f>
        <v>0</v>
      </c>
      <c r="KB336">
        <f>IF($KB$31&lt;=$KB$32,IF($A336&lt;=$KB$7,1,2),IF($A336&lt;=RUNG_BEDS_2,2,1))</f>
        <v>1</v>
      </c>
      <c r="KC336" s="5">
        <f>MIN(1,MAX(0,$KB$26-($A336-1)))</f>
        <v>1</v>
      </c>
      <c r="KD336" s="5">
        <f>$KB$25*(KC336+(1-KC336)*$KB$16)</f>
        <v>126.02661357340719</v>
      </c>
      <c r="KE336" s="13">
        <f>KD336*($KB$6+ACUTE_MARGIN)</f>
        <v>127286.87970914126</v>
      </c>
      <c r="KF336" s="13">
        <f>IF(KB336=1,$KB$31,$KB$32)</f>
        <v>152394.16214437486</v>
      </c>
      <c r="KG336" s="13">
        <f>KE336-KF336</f>
        <v>-25107.282435233603</v>
      </c>
      <c r="KH336" s="13">
        <f>KH335+KG336</f>
        <v>-6352142.456114123</v>
      </c>
      <c r="KI336">
        <f>IF(KH336=MAX($KH$83:$KH$483),$A336,0)</f>
        <v>0</v>
      </c>
      <c r="KJ336">
        <f>IF(KE336&lt;KF336,$A336,B_MAX+1)</f>
        <v>253</v>
      </c>
      <c r="KK336" s="13">
        <f>IF(KB336=1,$KB$35,$KB$36)</f>
        <v>0</v>
      </c>
      <c r="KL336" s="13">
        <f>OCC_DAYS*$KB$41*R_NF_2023-KD336*MCD_SHARE_FREED*R_WAIT_2023</f>
        <v>94673.82103225985</v>
      </c>
      <c r="KM336">
        <f>IF($A336&lt;=$KB$45,1,0)</f>
        <v>0</v>
      </c>
      <c r="LB336">
        <f>IF($LB$31&lt;=$LB$32,IF($A336&lt;=$LB$7,1,2),IF($A336&lt;=RUNG_BEDS_2,2,1))</f>
        <v>1</v>
      </c>
      <c r="LC336" s="5">
        <f>MIN(1,MAX(0,$LB$26-($A336-1)))</f>
        <v>1</v>
      </c>
      <c r="LD336" s="5">
        <f>$LB$25*(LC336+(1-LC336)*$LB$16)</f>
        <v>84.01774238227146</v>
      </c>
      <c r="LE336" s="13">
        <f>LD336*($LB$6+ACUTE_MARGIN)</f>
        <v>84857.91980609419</v>
      </c>
      <c r="LF336" s="13">
        <f>IF(LB336=1,$LB$31,$LB$32)</f>
        <v>152394.16214437486</v>
      </c>
      <c r="LG336" s="13">
        <f>LE336-LF336</f>
        <v>-67536.24233828067</v>
      </c>
      <c r="LH336" s="13">
        <f>LH335+LG336</f>
        <v>-17086669.311585095</v>
      </c>
      <c r="LI336">
        <f>IF(LH336=MAX($LH$83:$LH$483),$A336,0)</f>
        <v>0</v>
      </c>
      <c r="LJ336">
        <f>IF(LE336&lt;LF336,$A336,B_MAX+1)</f>
        <v>253</v>
      </c>
      <c r="LK336" s="13">
        <f>IF(LB336=1,$LB$35,$LB$36)</f>
        <v>0</v>
      </c>
      <c r="LL336" s="13">
        <f>OCC_DAYS*$LB$41*R_NF_2023-LD336*MCD_SHARE_FREED*R_WAIT_2023</f>
        <v>113776.04162887059</v>
      </c>
      <c r="LM336">
        <f>IF($A336&lt;=$LB$45,1,0)</f>
        <v>0</v>
      </c>
      <c r="MB336">
        <f>IF($MB$31&lt;=$MB$32,IF($A336&lt;=$MB$7,1,2),IF($A336&lt;=RUNG_BEDS_2,2,1))</f>
        <v>1</v>
      </c>
      <c r="MC336" s="5">
        <f>MIN(1,MAX(0,$MB$26-($A336-1)))</f>
        <v>0</v>
      </c>
      <c r="MD336" s="5">
        <f>$MB$25*(MC336+(1-MC336)*$MB$16)</f>
        <v>0.0</v>
      </c>
      <c r="ME336" s="13">
        <f>MD336*($MB$6+ACUTE_MARGIN)</f>
        <v>0.0</v>
      </c>
      <c r="MF336" s="13">
        <f>IF(MB336=1,$MB$31,$MB$32)</f>
        <v>152394.16214437486</v>
      </c>
      <c r="MG336" s="13">
        <f>ME336-MF336</f>
        <v>-152394.16214437486</v>
      </c>
      <c r="MH336" s="13">
        <f>MH335+MG336</f>
        <v>-6214028.456052837</v>
      </c>
      <c r="MI336">
        <f>IF(MH336=MAX($MH$83:$MH$483),$A336,0)</f>
        <v>0</v>
      </c>
      <c r="MJ336">
        <f>IF(ME336&lt;MF336,$A336,B_MAX+1)</f>
        <v>253</v>
      </c>
      <c r="MK336" s="13">
        <f>IF(MB336=1,$MB$35,$MB$36)</f>
        <v>0</v>
      </c>
      <c r="ML336" s="13">
        <f>OCC_DAYS*$MB$41*R_NF_2023-MD336*MCD_SHARE_FREED*R_WAIT_2023</f>
        <v>151980.48282209205</v>
      </c>
      <c r="MM336">
        <f>IF($A336&lt;=$MB$45,1,0)</f>
        <v>0</v>
      </c>
      <c r="NB336">
        <f>IF($NB$31&lt;=$NB$32,IF($A336&lt;=$NB$7,1,2),IF($A336&lt;=RUNG_BEDS_2,2,1))</f>
        <v>1</v>
      </c>
      <c r="NC336" s="5">
        <f>MIN(1,MAX(0,$NB$26-($A336-1)))</f>
        <v>0</v>
      </c>
      <c r="ND336" s="5">
        <f>$NB$25*(NC336+(1-NC336)*$NB$16)</f>
        <v>63.013306786703595</v>
      </c>
      <c r="NE336" s="13">
        <f>ND336*($NB$6+ACUTE_MARGIN)</f>
        <v>63643.43985457063</v>
      </c>
      <c r="NF336" s="13">
        <f>IF(NB336=1,$NB$31,$NB$32)</f>
        <v>152394.16214437486</v>
      </c>
      <c r="NG336" s="13">
        <f>NE336-NF336</f>
        <v>-88750.72228980422</v>
      </c>
      <c r="NH336" s="13">
        <f>NH335+NG336</f>
        <v>6217795.231883761</v>
      </c>
      <c r="NI336">
        <f>IF(NH336=MAX($NH$83:$NH$483),$A336,0)</f>
        <v>0</v>
      </c>
      <c r="NJ336">
        <f>IF(NE336&lt;NF336,$A336,B_MAX+1)</f>
        <v>253</v>
      </c>
      <c r="NK336" s="13">
        <f>IF(NB336=1,$NB$35,$NB$36)</f>
        <v>0</v>
      </c>
      <c r="NL336" s="13">
        <f>OCC_DAYS*$NB$41*R_NF_2023-ND336*MCD_SHARE_FREED*R_WAIT_2023</f>
        <v>123327.15192717595</v>
      </c>
      <c r="NM336">
        <f>IF($A336&lt;=$NB$45,1,0)</f>
        <v>0</v>
      </c>
      <c r="OB336">
        <f>IF($OB$31&lt;=$OB$32,IF($A336&lt;=$OB$7,1,2),IF($A336&lt;=RUNG_BEDS_2,2,1))</f>
        <v>1</v>
      </c>
      <c r="OC336" s="5">
        <f>MIN(1,MAX(0,$OB$26-($A336-1)))</f>
        <v>0</v>
      </c>
      <c r="OD336" s="5">
        <f>$OB$25*(OC336+(1-OC336)*$OB$16)</f>
        <v>126.02661357340719</v>
      </c>
      <c r="OE336" s="13">
        <f>OD336*($OB$6+ACUTE_MARGIN)</f>
        <v>127286.87970914126</v>
      </c>
      <c r="OF336" s="13">
        <f>IF(OB336=1,$OB$31,$OB$32)</f>
        <v>152394.16214437486</v>
      </c>
      <c r="OG336" s="13">
        <f>OE336-OF336</f>
        <v>-25107.282435233603</v>
      </c>
      <c r="OH336" s="13">
        <f>OH335+OG336</f>
        <v>12762342.858022166</v>
      </c>
      <c r="OI336">
        <f>IF(OH336=MAX($OH$83:$OH$483),$A336,0)</f>
        <v>0</v>
      </c>
      <c r="OJ336">
        <f>IF(OE336&lt;OF336,$A336,B_MAX+1)</f>
        <v>253</v>
      </c>
      <c r="OK336" s="13">
        <f>IF(OB336=1,$OB$35,$OB$36)</f>
        <v>0</v>
      </c>
      <c r="OL336" s="13">
        <f>OCC_DAYS*$OB$41*R_NF_2023-OD336*MCD_SHARE_FREED*R_WAIT_2023</f>
        <v>94673.82103225985</v>
      </c>
      <c r="OM336">
        <f>IF($A336&lt;=$OB$45,1,0)</f>
        <v>0</v>
      </c>
    </row>
    <row r="337">
      <c r="A337" t="n">
        <v>254</v>
      </c>
      <c r="B337">
        <f>IF($B$31&lt;=$B$32,IF($A337&lt;=$B$7,1,2),IF($A337&lt;=RUNG_BEDS_2,2,1))</f>
        <v>1</v>
      </c>
      <c r="C337" s="5">
        <f>MIN(1,MAX(0,$B$26-($A337-1)))</f>
        <v>0</v>
      </c>
      <c r="D337" s="5">
        <f>$B$25*(C337+(1-C337)*$B$16)</f>
        <v>0.0</v>
      </c>
      <c r="E337" s="13">
        <f>D337*($B$6+ACUTE_MARGIN)</f>
        <v>0.0</v>
      </c>
      <c r="F337" s="13">
        <f>IF(B337=1,$B$31,$B$32)</f>
        <v>152394.16214437486</v>
      </c>
      <c r="G337" s="13">
        <f>E337-F337</f>
        <v>-152394.16214437486</v>
      </c>
      <c r="H337" s="13">
        <f>H336+G337</f>
        <v>-479146.556398879</v>
      </c>
      <c r="I337">
        <f>IF(H337=MAX($H$83:$H$483),$A337,0)</f>
        <v>0</v>
      </c>
      <c r="J337">
        <f>IF(E337&lt;F337,$A337,B_MAX+1)</f>
        <v>254</v>
      </c>
      <c r="K337" s="13">
        <f>IF(B337=1,$B$35,$B$36)</f>
        <v>0</v>
      </c>
      <c r="L337" s="13">
        <f>OCC_DAYS*$B$41*R_NF_2023-D337*MCD_SHARE_FREED*R_WAIT_2023</f>
        <v>151980.48282209205</v>
      </c>
      <c r="M337">
        <f>IF($A337&lt;=$B$45,1,0)</f>
        <v>0</v>
      </c>
      <c r="AB337">
        <f>IF($AB$31&lt;=$AB$32,IF($A337&lt;=$AB$7,1,2),IF($A337&lt;=RUNG_BEDS_2,2,1))</f>
        <v>1</v>
      </c>
      <c r="AC337" s="5">
        <f>MIN(1,MAX(0,$AB$26-($A337-1)))</f>
        <v>0</v>
      </c>
      <c r="AD337" s="5">
        <f>$AB$25*(AC337+(1-AC337)*$AB$16)</f>
        <v>0.0</v>
      </c>
      <c r="AE337" s="13">
        <f>AD337*($AB$6+ACUTE_MARGIN)</f>
        <v>0.0</v>
      </c>
      <c r="AF337" s="13">
        <f>IF(AB337=1,$AB$31,$AB$32)</f>
        <v>152394.16214437486</v>
      </c>
      <c r="AG337" s="13">
        <f>AE337-AF337</f>
        <v>-152394.16214437486</v>
      </c>
      <c r="AH337" s="13">
        <f>AH336+AG337</f>
        <v>-17890360.90194866</v>
      </c>
      <c r="AI337">
        <f>IF(AH337=MAX($AH$83:$AH$483),$A337,0)</f>
        <v>0</v>
      </c>
      <c r="AJ337">
        <f>IF(AE337&lt;AF337,$A337,B_MAX+1)</f>
        <v>254</v>
      </c>
      <c r="AK337" s="13">
        <f>IF(AB337=1,$AB$35,$AB$36)</f>
        <v>0</v>
      </c>
      <c r="AL337" s="13">
        <f>OCC_DAYS*$AB$41*R_NF_2023-AD337*MCD_SHARE_FREED*R_WAIT_2023</f>
        <v>151980.48282209205</v>
      </c>
      <c r="AM337">
        <f>IF($A337&lt;=$AB$45,1,0)</f>
        <v>0</v>
      </c>
      <c r="BB337">
        <f>IF($BB$31&lt;=$BB$32,IF($A337&lt;=$BB$7,1,2),IF($A337&lt;=RUNG_BEDS_2,2,1))</f>
        <v>1</v>
      </c>
      <c r="BC337" s="5">
        <f>MIN(1,MAX(0,$BB$26-($A337-1)))</f>
        <v>0</v>
      </c>
      <c r="BD337" s="5">
        <f>$BB$25*(BC337+(1-BC337)*$BB$16)</f>
        <v>0.0</v>
      </c>
      <c r="BE337" s="13">
        <f>BD337*($BB$6+ACUTE_MARGIN)</f>
        <v>0.0</v>
      </c>
      <c r="BF337" s="13">
        <f>IF(BB337=1,$BB$31,$BB$32)</f>
        <v>152394.16214437486</v>
      </c>
      <c r="BG337" s="13">
        <f>BE337-BF337</f>
        <v>-152394.16214437486</v>
      </c>
      <c r="BH337" s="13">
        <f>BH336+BG337</f>
        <v>16932067.789150834</v>
      </c>
      <c r="BI337">
        <f>IF(BH337=MAX($BH$83:$BH$483),$A337,0)</f>
        <v>0</v>
      </c>
      <c r="BJ337">
        <f>IF(BE337&lt;BF337,$A337,B_MAX+1)</f>
        <v>254</v>
      </c>
      <c r="BK337" s="13">
        <f>IF(BB337=1,$BB$35,$BB$36)</f>
        <v>0</v>
      </c>
      <c r="BL337" s="13">
        <f>OCC_DAYS*$BB$41*R_NF_2023-BD337*MCD_SHARE_FREED*R_WAIT_2023</f>
        <v>151980.48282209205</v>
      </c>
      <c r="BM337">
        <f>IF($A337&lt;=$BB$45,1,0)</f>
        <v>0</v>
      </c>
      <c r="CB337">
        <f>IF($CB$31&lt;=$CB$32,IF($A337&lt;=$CB$7,1,2),IF($A337&lt;=RUNG_BEDS_2,2,1))</f>
        <v>2</v>
      </c>
      <c r="CC337" s="5">
        <f>MIN(1,MAX(0,$CB$26-($A337-1)))</f>
        <v>0</v>
      </c>
      <c r="CD337" s="5">
        <f>$CB$25*(CC337+(1-CC337)*$CB$16)</f>
        <v>0.0</v>
      </c>
      <c r="CE337" s="13">
        <f>CD337*($CB$6+ACUTE_MARGIN)</f>
        <v>0.0</v>
      </c>
      <c r="CF337" s="13">
        <f>IF(CB337=1,$CB$31,$CB$32)</f>
        <v>160718.36940738867</v>
      </c>
      <c r="CG337" s="13">
        <f>CE337-CF337</f>
        <v>-160718.36940738867</v>
      </c>
      <c r="CH337" s="13">
        <f>CH336+CG337</f>
        <v>-2593495.2012045016</v>
      </c>
      <c r="CI337">
        <f>IF(CH337=MAX($CH$83:$CH$483),$A337,0)</f>
        <v>0</v>
      </c>
      <c r="CJ337">
        <f>IF(CE337&lt;CF337,$A337,B_MAX+1)</f>
        <v>254</v>
      </c>
      <c r="CK337" s="13">
        <f>IF(CB337=1,$CB$35,$CB$36)</f>
        <v>1560.1194073886782</v>
      </c>
      <c r="CL337" s="13">
        <f>OCC_DAYS*$CB$41*R_NF_2023-CD337*MCD_SHARE_FREED*R_WAIT_2023</f>
        <v>151980.48282209205</v>
      </c>
      <c r="CM337">
        <f>IF($A337&lt;=$CB$45,1,0)</f>
        <v>0</v>
      </c>
      <c r="DB337">
        <f>IF($DB$31&lt;=$DB$32,IF($A337&lt;=$DB$7,1,2),IF($A337&lt;=RUNG_BEDS_2,2,1))</f>
        <v>1</v>
      </c>
      <c r="DC337" s="5">
        <f>MIN(1,MAX(0,$DB$26-($A337-1)))</f>
        <v>0</v>
      </c>
      <c r="DD337" s="5">
        <f>$DB$25*(DC337+(1-DC337)*$DB$16)</f>
        <v>0.0</v>
      </c>
      <c r="DE337" s="13">
        <f>DD337*($DB$6+ACUTE_MARGIN)</f>
        <v>0.0</v>
      </c>
      <c r="DF337" s="13">
        <f>IF(DB337=1,$DB$31,$DB$32)</f>
        <v>152394.16214437486</v>
      </c>
      <c r="DG337" s="13">
        <f>DE337-DF337</f>
        <v>-152394.16214437486</v>
      </c>
      <c r="DH337" s="13">
        <f>DH336+DG337</f>
        <v>-479146.556398879</v>
      </c>
      <c r="DI337">
        <f>IF(DH337=MAX($DH$83:$DH$483),$A337,0)</f>
        <v>0</v>
      </c>
      <c r="DJ337">
        <f>IF(DE337&lt;DF337,$A337,B_MAX+1)</f>
        <v>254</v>
      </c>
      <c r="DK337" s="13">
        <f>IF(DB337=1,$DB$35,$DB$36)</f>
        <v>0</v>
      </c>
      <c r="DL337" s="13">
        <f>OCC_DAYS*$DB$41*R_NF_2023-DD337*MCD_SHARE_FREED*R_WAIT_2023</f>
        <v>151980.48282209205</v>
      </c>
      <c r="DM337">
        <f>IF($A337&lt;=$DB$45,1,0)</f>
        <v>0</v>
      </c>
      <c r="EB337">
        <f>IF($EB$31&lt;=$EB$32,IF($A337&lt;=$EB$7,1,2),IF($A337&lt;=RUNG_BEDS_2,2,1))</f>
        <v>1</v>
      </c>
      <c r="EC337" s="5">
        <f>MIN(1,MAX(0,$EB$26-($A337-1)))</f>
        <v>0</v>
      </c>
      <c r="ED337" s="5">
        <f>$EB$25*(EC337+(1-EC337)*$EB$16)</f>
        <v>0.0</v>
      </c>
      <c r="EE337" s="13">
        <f>ED337*($EB$6+ACUTE_MARGIN)</f>
        <v>0.0</v>
      </c>
      <c r="EF337" s="13">
        <f>IF(EB337=1,$EB$31,$EB$32)</f>
        <v>152394.16214437486</v>
      </c>
      <c r="EG337" s="13">
        <f>EE337-EF337</f>
        <v>-152394.16214437486</v>
      </c>
      <c r="EH337" s="13">
        <f>EH336+EG337</f>
        <v>-479146.556398879</v>
      </c>
      <c r="EI337">
        <f>IF(EH337=MAX($EH$83:$EH$483),$A337,0)</f>
        <v>0</v>
      </c>
      <c r="EJ337">
        <f>IF(EE337&lt;EF337,$A337,B_MAX+1)</f>
        <v>254</v>
      </c>
      <c r="EK337" s="13">
        <f>IF(EB337=1,$EB$35,$EB$36)</f>
        <v>0</v>
      </c>
      <c r="EL337" s="13">
        <f>OCC_DAYS*$EB$41*R_NF_2023-ED337*MCD_SHARE_FREED*R_WAIT_2023</f>
        <v>50660.16094069735</v>
      </c>
      <c r="EM337">
        <f>IF($A337&lt;=$EB$45,1,0)</f>
        <v>0</v>
      </c>
      <c r="FB337">
        <f>IF($FB$31&lt;=$FB$32,IF($A337&lt;=$FB$7,1,2),IF($A337&lt;=RUNG_BEDS_2,2,1))</f>
        <v>1</v>
      </c>
      <c r="FC337" s="5">
        <f>MIN(1,MAX(0,$FB$26-($A337-1)))</f>
        <v>0</v>
      </c>
      <c r="FD337" s="5">
        <f>$FB$25*(FC337+(1-FC337)*$FB$16)</f>
        <v>0.0</v>
      </c>
      <c r="FE337" s="13">
        <f>FD337*($FB$6+ACUTE_MARGIN)</f>
        <v>0.0</v>
      </c>
      <c r="FF337" s="13">
        <f>IF(FB337=1,$FB$31,$FB$32)</f>
        <v>156636.04979437485</v>
      </c>
      <c r="FG337" s="13">
        <f>FE337-FF337</f>
        <v>-156636.04979437485</v>
      </c>
      <c r="FH337" s="13">
        <f>FH336+FG337</f>
        <v>-1556586.0194989927</v>
      </c>
      <c r="FI337">
        <f>IF(FH337=MAX($FH$83:$FH$483),$A337,0)</f>
        <v>0</v>
      </c>
      <c r="FJ337">
        <f>IF(FE337&lt;FF337,$A337,B_MAX+1)</f>
        <v>254</v>
      </c>
      <c r="FK337" s="13">
        <f>IF(FB337=1,$FB$35,$FB$36)</f>
        <v>0</v>
      </c>
      <c r="FL337" s="13">
        <f>OCC_DAYS*$FB$41*R_NF_2023-FD337*MCD_SHARE_FREED*R_WAIT_2023</f>
        <v>151980.48282209205</v>
      </c>
      <c r="FM337">
        <f>IF($A337&lt;=$FB$45,1,0)</f>
        <v>0</v>
      </c>
      <c r="GB337">
        <f>IF($GB$31&lt;=$GB$32,IF($A337&lt;=$GB$7,1,2),IF($A337&lt;=RUNG_BEDS_2,2,1))</f>
        <v>1</v>
      </c>
      <c r="GC337" s="5">
        <f>MIN(1,MAX(0,$GB$26-($A337-1)))</f>
        <v>0</v>
      </c>
      <c r="GD337" s="5">
        <f>$GB$25*(GC337+(1-GC337)*$GB$16)</f>
        <v>0.0</v>
      </c>
      <c r="GE337" s="13">
        <f>GD337*($GB$6+ACUTE_MARGIN)</f>
        <v>0.0</v>
      </c>
      <c r="GF337" s="13">
        <f>IF(GB337=1,$GB$31,$GB$32)</f>
        <v>152394.16214437486</v>
      </c>
      <c r="GG337" s="13">
        <f>GE337-GF337</f>
        <v>-152394.16214437486</v>
      </c>
      <c r="GH337" s="13">
        <f>GH336+GG337</f>
        <v>-479146.556398879</v>
      </c>
      <c r="GI337">
        <f>IF(GH337=MAX($GH$83:$GH$483),$A337,0)</f>
        <v>0</v>
      </c>
      <c r="GJ337">
        <f>IF(GE337&lt;GF337,$A337,B_MAX+1)</f>
        <v>254</v>
      </c>
      <c r="GK337" s="13">
        <f>IF(GB337=1,$GB$35,$GB$36)</f>
        <v>0</v>
      </c>
      <c r="GL337" s="13">
        <f>OCC_DAYS*$GB$41*R_NF_2023-GD337*MCD_SHARE_FREED*R_WAIT_2023</f>
        <v>151980.48282209205</v>
      </c>
      <c r="GM337">
        <f>IF($A337&lt;=$GB$45,1,0)</f>
        <v>0</v>
      </c>
      <c r="HB337">
        <f>IF($HB$31&lt;=$HB$32,IF($A337&lt;=$HB$7,1,2),IF($A337&lt;=RUNG_BEDS_2,2,1))</f>
        <v>1</v>
      </c>
      <c r="HC337" s="5">
        <f>MIN(1,MAX(0,$HB$26-($A337-1)))</f>
        <v>0</v>
      </c>
      <c r="HD337" s="5">
        <f>$HB$25*(HC337+(1-HC337)*$HB$16)</f>
        <v>0.0</v>
      </c>
      <c r="HE337" s="13">
        <f>HD337*($HB$6+ACUTE_MARGIN)</f>
        <v>0.0</v>
      </c>
      <c r="HF337" s="13">
        <f>IF(HB337=1,$HB$31,$HB$32)</f>
        <v>152456.2970814058</v>
      </c>
      <c r="HG337" s="13">
        <f>HE337-HF337</f>
        <v>-152456.2970814058</v>
      </c>
      <c r="HH337" s="13">
        <f>HH336+HG337</f>
        <v>-494928.83040477673</v>
      </c>
      <c r="HI337">
        <f>IF(HH337=MAX($HH$83:$HH$483),$A337,0)</f>
        <v>0</v>
      </c>
      <c r="HJ337">
        <f>IF(HE337&lt;HF337,$A337,B_MAX+1)</f>
        <v>254</v>
      </c>
      <c r="HK337" s="13">
        <f>IF(HB337=1,$HB$35,$HB$36)</f>
        <v>0</v>
      </c>
      <c r="HL337" s="13">
        <f>OCC_DAYS*$HB$41*R_NF_2023-HD337*MCD_SHARE_FREED*R_WAIT_2023</f>
        <v>151980.48282209205</v>
      </c>
      <c r="HM337">
        <f>IF($A337&lt;=$HB$45,1,0)</f>
        <v>0</v>
      </c>
      <c r="IB337">
        <f>IF($IB$31&lt;=$IB$32,IF($A337&lt;=$IB$7,1,2),IF($A337&lt;=RUNG_BEDS_2,2,1))</f>
        <v>1</v>
      </c>
      <c r="IC337" s="5">
        <f>MIN(1,MAX(0,$IB$26-($A337-1)))</f>
        <v>0</v>
      </c>
      <c r="ID337" s="5">
        <f>$IB$25*(IC337+(1-IC337)*$IB$16)</f>
        <v>0.0</v>
      </c>
      <c r="IE337" s="13">
        <f>ID337*($IB$6+ACUTE_MARGIN)</f>
        <v>0.0</v>
      </c>
      <c r="IF337" s="13">
        <f>IF(IB337=1,$IB$31,$IB$32)</f>
        <v>152734.9994534971</v>
      </c>
      <c r="IG337" s="13">
        <f>IE337-IF337</f>
        <v>-152734.9994534971</v>
      </c>
      <c r="IH337" s="13">
        <f>IH336+IG337</f>
        <v>-565719.2329160207</v>
      </c>
      <c r="II337">
        <f>IF(IH337=MAX($IH$83:$IH$483),$A337,0)</f>
        <v>0</v>
      </c>
      <c r="IJ337">
        <f>IF(IE337&lt;IF337,$A337,B_MAX+1)</f>
        <v>254</v>
      </c>
      <c r="IK337" s="13">
        <f>IF(IB337=1,$IB$35,$IB$36)</f>
        <v>0</v>
      </c>
      <c r="IL337" s="13">
        <f>OCC_DAYS*$IB$41*R_NF_2023-ID337*MCD_SHARE_FREED*R_WAIT_2023</f>
        <v>151980.48282209205</v>
      </c>
      <c r="IM337">
        <f>IF($A337&lt;=$IB$45,1,0)</f>
        <v>0</v>
      </c>
      <c r="JB337">
        <f>IF($JB$31&lt;=$JB$32,IF($A337&lt;=$JB$7,1,2),IF($A337&lt;=RUNG_BEDS_2,2,1))</f>
        <v>1</v>
      </c>
      <c r="JC337" s="5">
        <f>MIN(1,MAX(0,$JB$26-($A337-1)))</f>
        <v>0</v>
      </c>
      <c r="JD337" s="5">
        <f>$JB$25*(JC337+(1-JC337)*$JB$16)</f>
        <v>0.0</v>
      </c>
      <c r="JE337" s="13">
        <f>JD337*($JB$6+ACUTE_MARGIN)</f>
        <v>0.0</v>
      </c>
      <c r="JF337" s="13">
        <f>IF(JB337=1,$JB$31,$JB$32)</f>
        <v>152394.16214437486</v>
      </c>
      <c r="JG337" s="13">
        <f>JE337-JF337</f>
        <v>-152394.16214437486</v>
      </c>
      <c r="JH337" s="13">
        <f>JH336+JG337</f>
        <v>-479146.556398879</v>
      </c>
      <c r="JI337">
        <f>IF(JH337=MAX($JH$83:$JH$483),$A337,0)</f>
        <v>0</v>
      </c>
      <c r="JJ337">
        <f>IF(JE337&lt;JF337,$A337,B_MAX+1)</f>
        <v>254</v>
      </c>
      <c r="JK337" s="13">
        <f>IF(JB337=1,$JB$35,$JB$36)</f>
        <v>0</v>
      </c>
      <c r="JL337" s="13">
        <f>OCC_DAYS*$JB$41*R_NF_2023-JD337*MCD_SHARE_FREED*R_WAIT_2023</f>
        <v>151980.48282209205</v>
      </c>
      <c r="JM337">
        <f>IF($A337&lt;=$JB$45,1,0)</f>
        <v>0</v>
      </c>
      <c r="KB337">
        <f>IF($KB$31&lt;=$KB$32,IF($A337&lt;=$KB$7,1,2),IF($A337&lt;=RUNG_BEDS_2,2,1))</f>
        <v>1</v>
      </c>
      <c r="KC337" s="5">
        <f>MIN(1,MAX(0,$KB$26-($A337-1)))</f>
        <v>1</v>
      </c>
      <c r="KD337" s="5">
        <f>$KB$25*(KC337+(1-KC337)*$KB$16)</f>
        <v>126.02661357340719</v>
      </c>
      <c r="KE337" s="13">
        <f>KD337*($KB$6+ACUTE_MARGIN)</f>
        <v>127286.87970914126</v>
      </c>
      <c r="KF337" s="13">
        <f>IF(KB337=1,$KB$31,$KB$32)</f>
        <v>152394.16214437486</v>
      </c>
      <c r="KG337" s="13">
        <f>KE337-KF337</f>
        <v>-25107.282435233603</v>
      </c>
      <c r="KH337" s="13">
        <f>KH336+KG337</f>
        <v>-6377249.738549356</v>
      </c>
      <c r="KI337">
        <f>IF(KH337=MAX($KH$83:$KH$483),$A337,0)</f>
        <v>0</v>
      </c>
      <c r="KJ337">
        <f>IF(KE337&lt;KF337,$A337,B_MAX+1)</f>
        <v>254</v>
      </c>
      <c r="KK337" s="13">
        <f>IF(KB337=1,$KB$35,$KB$36)</f>
        <v>0</v>
      </c>
      <c r="KL337" s="13">
        <f>OCC_DAYS*$KB$41*R_NF_2023-KD337*MCD_SHARE_FREED*R_WAIT_2023</f>
        <v>94673.82103225985</v>
      </c>
      <c r="KM337">
        <f>IF($A337&lt;=$KB$45,1,0)</f>
        <v>0</v>
      </c>
      <c r="LB337">
        <f>IF($LB$31&lt;=$LB$32,IF($A337&lt;=$LB$7,1,2),IF($A337&lt;=RUNG_BEDS_2,2,1))</f>
        <v>1</v>
      </c>
      <c r="LC337" s="5">
        <f>MIN(1,MAX(0,$LB$26-($A337-1)))</f>
        <v>1</v>
      </c>
      <c r="LD337" s="5">
        <f>$LB$25*(LC337+(1-LC337)*$LB$16)</f>
        <v>84.01774238227146</v>
      </c>
      <c r="LE337" s="13">
        <f>LD337*($LB$6+ACUTE_MARGIN)</f>
        <v>84857.91980609419</v>
      </c>
      <c r="LF337" s="13">
        <f>IF(LB337=1,$LB$31,$LB$32)</f>
        <v>152394.16214437486</v>
      </c>
      <c r="LG337" s="13">
        <f>LE337-LF337</f>
        <v>-67536.24233828067</v>
      </c>
      <c r="LH337" s="13">
        <f>LH336+LG337</f>
        <v>-17154205.553923376</v>
      </c>
      <c r="LI337">
        <f>IF(LH337=MAX($LH$83:$LH$483),$A337,0)</f>
        <v>0</v>
      </c>
      <c r="LJ337">
        <f>IF(LE337&lt;LF337,$A337,B_MAX+1)</f>
        <v>254</v>
      </c>
      <c r="LK337" s="13">
        <f>IF(LB337=1,$LB$35,$LB$36)</f>
        <v>0</v>
      </c>
      <c r="LL337" s="13">
        <f>OCC_DAYS*$LB$41*R_NF_2023-LD337*MCD_SHARE_FREED*R_WAIT_2023</f>
        <v>113776.04162887059</v>
      </c>
      <c r="LM337">
        <f>IF($A337&lt;=$LB$45,1,0)</f>
        <v>0</v>
      </c>
      <c r="MB337">
        <f>IF($MB$31&lt;=$MB$32,IF($A337&lt;=$MB$7,1,2),IF($A337&lt;=RUNG_BEDS_2,2,1))</f>
        <v>1</v>
      </c>
      <c r="MC337" s="5">
        <f>MIN(1,MAX(0,$MB$26-($A337-1)))</f>
        <v>0</v>
      </c>
      <c r="MD337" s="5">
        <f>$MB$25*(MC337+(1-MC337)*$MB$16)</f>
        <v>0.0</v>
      </c>
      <c r="ME337" s="13">
        <f>MD337*($MB$6+ACUTE_MARGIN)</f>
        <v>0.0</v>
      </c>
      <c r="MF337" s="13">
        <f>IF(MB337=1,$MB$31,$MB$32)</f>
        <v>152394.16214437486</v>
      </c>
      <c r="MG337" s="13">
        <f>ME337-MF337</f>
        <v>-152394.16214437486</v>
      </c>
      <c r="MH337" s="13">
        <f>MH336+MG337</f>
        <v>-6366422.618197212</v>
      </c>
      <c r="MI337">
        <f>IF(MH337=MAX($MH$83:$MH$483),$A337,0)</f>
        <v>0</v>
      </c>
      <c r="MJ337">
        <f>IF(ME337&lt;MF337,$A337,B_MAX+1)</f>
        <v>254</v>
      </c>
      <c r="MK337" s="13">
        <f>IF(MB337=1,$MB$35,$MB$36)</f>
        <v>0</v>
      </c>
      <c r="ML337" s="13">
        <f>OCC_DAYS*$MB$41*R_NF_2023-MD337*MCD_SHARE_FREED*R_WAIT_2023</f>
        <v>151980.48282209205</v>
      </c>
      <c r="MM337">
        <f>IF($A337&lt;=$MB$45,1,0)</f>
        <v>0</v>
      </c>
      <c r="NB337">
        <f>IF($NB$31&lt;=$NB$32,IF($A337&lt;=$NB$7,1,2),IF($A337&lt;=RUNG_BEDS_2,2,1))</f>
        <v>1</v>
      </c>
      <c r="NC337" s="5">
        <f>MIN(1,MAX(0,$NB$26-($A337-1)))</f>
        <v>0</v>
      </c>
      <c r="ND337" s="5">
        <f>$NB$25*(NC337+(1-NC337)*$NB$16)</f>
        <v>63.013306786703595</v>
      </c>
      <c r="NE337" s="13">
        <f>ND337*($NB$6+ACUTE_MARGIN)</f>
        <v>63643.43985457063</v>
      </c>
      <c r="NF337" s="13">
        <f>IF(NB337=1,$NB$31,$NB$32)</f>
        <v>152394.16214437486</v>
      </c>
      <c r="NG337" s="13">
        <f>NE337-NF337</f>
        <v>-88750.72228980422</v>
      </c>
      <c r="NH337" s="13">
        <f>NH336+NG337</f>
        <v>6129044.509593956</v>
      </c>
      <c r="NI337">
        <f>IF(NH337=MAX($NH$83:$NH$483),$A337,0)</f>
        <v>0</v>
      </c>
      <c r="NJ337">
        <f>IF(NE337&lt;NF337,$A337,B_MAX+1)</f>
        <v>254</v>
      </c>
      <c r="NK337" s="13">
        <f>IF(NB337=1,$NB$35,$NB$36)</f>
        <v>0</v>
      </c>
      <c r="NL337" s="13">
        <f>OCC_DAYS*$NB$41*R_NF_2023-ND337*MCD_SHARE_FREED*R_WAIT_2023</f>
        <v>123327.15192717595</v>
      </c>
      <c r="NM337">
        <f>IF($A337&lt;=$NB$45,1,0)</f>
        <v>0</v>
      </c>
      <c r="OB337">
        <f>IF($OB$31&lt;=$OB$32,IF($A337&lt;=$OB$7,1,2),IF($A337&lt;=RUNG_BEDS_2,2,1))</f>
        <v>1</v>
      </c>
      <c r="OC337" s="5">
        <f>MIN(1,MAX(0,$OB$26-($A337-1)))</f>
        <v>0</v>
      </c>
      <c r="OD337" s="5">
        <f>$OB$25*(OC337+(1-OC337)*$OB$16)</f>
        <v>126.02661357340719</v>
      </c>
      <c r="OE337" s="13">
        <f>OD337*($OB$6+ACUTE_MARGIN)</f>
        <v>127286.87970914126</v>
      </c>
      <c r="OF337" s="13">
        <f>IF(OB337=1,$OB$31,$OB$32)</f>
        <v>152394.16214437486</v>
      </c>
      <c r="OG337" s="13">
        <f>OE337-OF337</f>
        <v>-25107.282435233603</v>
      </c>
      <c r="OH337" s="13">
        <f>OH336+OG337</f>
        <v>12737235.575586934</v>
      </c>
      <c r="OI337">
        <f>IF(OH337=MAX($OH$83:$OH$483),$A337,0)</f>
        <v>0</v>
      </c>
      <c r="OJ337">
        <f>IF(OE337&lt;OF337,$A337,B_MAX+1)</f>
        <v>254</v>
      </c>
      <c r="OK337" s="13">
        <f>IF(OB337=1,$OB$35,$OB$36)</f>
        <v>0</v>
      </c>
      <c r="OL337" s="13">
        <f>OCC_DAYS*$OB$41*R_NF_2023-OD337*MCD_SHARE_FREED*R_WAIT_2023</f>
        <v>94673.82103225985</v>
      </c>
      <c r="OM337">
        <f>IF($A337&lt;=$OB$45,1,0)</f>
        <v>0</v>
      </c>
    </row>
    <row r="338">
      <c r="A338" t="n">
        <v>255</v>
      </c>
      <c r="B338">
        <f>IF($B$31&lt;=$B$32,IF($A338&lt;=$B$7,1,2),IF($A338&lt;=RUNG_BEDS_2,2,1))</f>
        <v>1</v>
      </c>
      <c r="C338" s="5">
        <f>MIN(1,MAX(0,$B$26-($A338-1)))</f>
        <v>0</v>
      </c>
      <c r="D338" s="5">
        <f>$B$25*(C338+(1-C338)*$B$16)</f>
        <v>0.0</v>
      </c>
      <c r="E338" s="13">
        <f>D338*($B$6+ACUTE_MARGIN)</f>
        <v>0.0</v>
      </c>
      <c r="F338" s="13">
        <f>IF(B338=1,$B$31,$B$32)</f>
        <v>152394.16214437486</v>
      </c>
      <c r="G338" s="13">
        <f>E338-F338</f>
        <v>-152394.16214437486</v>
      </c>
      <c r="H338" s="13">
        <f>H337+G338</f>
        <v>-631540.7185432538</v>
      </c>
      <c r="I338">
        <f>IF(H338=MAX($H$83:$H$483),$A338,0)</f>
        <v>0</v>
      </c>
      <c r="J338">
        <f>IF(E338&lt;F338,$A338,B_MAX+1)</f>
        <v>255</v>
      </c>
      <c r="K338" s="13">
        <f>IF(B338=1,$B$35,$B$36)</f>
        <v>0</v>
      </c>
      <c r="L338" s="13">
        <f>OCC_DAYS*$B$41*R_NF_2023-D338*MCD_SHARE_FREED*R_WAIT_2023</f>
        <v>151980.48282209205</v>
      </c>
      <c r="M338">
        <f>IF($A338&lt;=$B$45,1,0)</f>
        <v>0</v>
      </c>
      <c r="AB338">
        <f>IF($AB$31&lt;=$AB$32,IF($A338&lt;=$AB$7,1,2),IF($A338&lt;=RUNG_BEDS_2,2,1))</f>
        <v>1</v>
      </c>
      <c r="AC338" s="5">
        <f>MIN(1,MAX(0,$AB$26-($A338-1)))</f>
        <v>0</v>
      </c>
      <c r="AD338" s="5">
        <f>$AB$25*(AC338+(1-AC338)*$AB$16)</f>
        <v>0.0</v>
      </c>
      <c r="AE338" s="13">
        <f>AD338*($AB$6+ACUTE_MARGIN)</f>
        <v>0.0</v>
      </c>
      <c r="AF338" s="13">
        <f>IF(AB338=1,$AB$31,$AB$32)</f>
        <v>152394.16214437486</v>
      </c>
      <c r="AG338" s="13">
        <f>AE338-AF338</f>
        <v>-152394.16214437486</v>
      </c>
      <c r="AH338" s="13">
        <f>AH337+AG338</f>
        <v>-18042755.064093035</v>
      </c>
      <c r="AI338">
        <f>IF(AH338=MAX($AH$83:$AH$483),$A338,0)</f>
        <v>0</v>
      </c>
      <c r="AJ338">
        <f>IF(AE338&lt;AF338,$A338,B_MAX+1)</f>
        <v>255</v>
      </c>
      <c r="AK338" s="13">
        <f>IF(AB338=1,$AB$35,$AB$36)</f>
        <v>0</v>
      </c>
      <c r="AL338" s="13">
        <f>OCC_DAYS*$AB$41*R_NF_2023-AD338*MCD_SHARE_FREED*R_WAIT_2023</f>
        <v>151980.48282209205</v>
      </c>
      <c r="AM338">
        <f>IF($A338&lt;=$AB$45,1,0)</f>
        <v>0</v>
      </c>
      <c r="BB338">
        <f>IF($BB$31&lt;=$BB$32,IF($A338&lt;=$BB$7,1,2),IF($A338&lt;=RUNG_BEDS_2,2,1))</f>
        <v>1</v>
      </c>
      <c r="BC338" s="5">
        <f>MIN(1,MAX(0,$BB$26-($A338-1)))</f>
        <v>0</v>
      </c>
      <c r="BD338" s="5">
        <f>$BB$25*(BC338+(1-BC338)*$BB$16)</f>
        <v>0.0</v>
      </c>
      <c r="BE338" s="13">
        <f>BD338*($BB$6+ACUTE_MARGIN)</f>
        <v>0.0</v>
      </c>
      <c r="BF338" s="13">
        <f>IF(BB338=1,$BB$31,$BB$32)</f>
        <v>152394.16214437486</v>
      </c>
      <c r="BG338" s="13">
        <f>BE338-BF338</f>
        <v>-152394.16214437486</v>
      </c>
      <c r="BH338" s="13">
        <f>BH337+BG338</f>
        <v>16779673.62700646</v>
      </c>
      <c r="BI338">
        <f>IF(BH338=MAX($BH$83:$BH$483),$A338,0)</f>
        <v>0</v>
      </c>
      <c r="BJ338">
        <f>IF(BE338&lt;BF338,$A338,B_MAX+1)</f>
        <v>255</v>
      </c>
      <c r="BK338" s="13">
        <f>IF(BB338=1,$BB$35,$BB$36)</f>
        <v>0</v>
      </c>
      <c r="BL338" s="13">
        <f>OCC_DAYS*$BB$41*R_NF_2023-BD338*MCD_SHARE_FREED*R_WAIT_2023</f>
        <v>151980.48282209205</v>
      </c>
      <c r="BM338">
        <f>IF($A338&lt;=$BB$45,1,0)</f>
        <v>0</v>
      </c>
      <c r="CB338">
        <f>IF($CB$31&lt;=$CB$32,IF($A338&lt;=$CB$7,1,2),IF($A338&lt;=RUNG_BEDS_2,2,1))</f>
        <v>2</v>
      </c>
      <c r="CC338" s="5">
        <f>MIN(1,MAX(0,$CB$26-($A338-1)))</f>
        <v>0</v>
      </c>
      <c r="CD338" s="5">
        <f>$CB$25*(CC338+(1-CC338)*$CB$16)</f>
        <v>0.0</v>
      </c>
      <c r="CE338" s="13">
        <f>CD338*($CB$6+ACUTE_MARGIN)</f>
        <v>0.0</v>
      </c>
      <c r="CF338" s="13">
        <f>IF(CB338=1,$CB$31,$CB$32)</f>
        <v>160718.36940738867</v>
      </c>
      <c r="CG338" s="13">
        <f>CE338-CF338</f>
        <v>-160718.36940738867</v>
      </c>
      <c r="CH338" s="13">
        <f>CH337+CG338</f>
        <v>-2754213.5706118904</v>
      </c>
      <c r="CI338">
        <f>IF(CH338=MAX($CH$83:$CH$483),$A338,0)</f>
        <v>0</v>
      </c>
      <c r="CJ338">
        <f>IF(CE338&lt;CF338,$A338,B_MAX+1)</f>
        <v>255</v>
      </c>
      <c r="CK338" s="13">
        <f>IF(CB338=1,$CB$35,$CB$36)</f>
        <v>1560.1194073886782</v>
      </c>
      <c r="CL338" s="13">
        <f>OCC_DAYS*$CB$41*R_NF_2023-CD338*MCD_SHARE_FREED*R_WAIT_2023</f>
        <v>151980.48282209205</v>
      </c>
      <c r="CM338">
        <f>IF($A338&lt;=$CB$45,1,0)</f>
        <v>0</v>
      </c>
      <c r="DB338">
        <f>IF($DB$31&lt;=$DB$32,IF($A338&lt;=$DB$7,1,2),IF($A338&lt;=RUNG_BEDS_2,2,1))</f>
        <v>1</v>
      </c>
      <c r="DC338" s="5">
        <f>MIN(1,MAX(0,$DB$26-($A338-1)))</f>
        <v>0</v>
      </c>
      <c r="DD338" s="5">
        <f>$DB$25*(DC338+(1-DC338)*$DB$16)</f>
        <v>0.0</v>
      </c>
      <c r="DE338" s="13">
        <f>DD338*($DB$6+ACUTE_MARGIN)</f>
        <v>0.0</v>
      </c>
      <c r="DF338" s="13">
        <f>IF(DB338=1,$DB$31,$DB$32)</f>
        <v>152394.16214437486</v>
      </c>
      <c r="DG338" s="13">
        <f>DE338-DF338</f>
        <v>-152394.16214437486</v>
      </c>
      <c r="DH338" s="13">
        <f>DH337+DG338</f>
        <v>-631540.7185432538</v>
      </c>
      <c r="DI338">
        <f>IF(DH338=MAX($DH$83:$DH$483),$A338,0)</f>
        <v>0</v>
      </c>
      <c r="DJ338">
        <f>IF(DE338&lt;DF338,$A338,B_MAX+1)</f>
        <v>255</v>
      </c>
      <c r="DK338" s="13">
        <f>IF(DB338=1,$DB$35,$DB$36)</f>
        <v>0</v>
      </c>
      <c r="DL338" s="13">
        <f>OCC_DAYS*$DB$41*R_NF_2023-DD338*MCD_SHARE_FREED*R_WAIT_2023</f>
        <v>151980.48282209205</v>
      </c>
      <c r="DM338">
        <f>IF($A338&lt;=$DB$45,1,0)</f>
        <v>0</v>
      </c>
      <c r="EB338">
        <f>IF($EB$31&lt;=$EB$32,IF($A338&lt;=$EB$7,1,2),IF($A338&lt;=RUNG_BEDS_2,2,1))</f>
        <v>1</v>
      </c>
      <c r="EC338" s="5">
        <f>MIN(1,MAX(0,$EB$26-($A338-1)))</f>
        <v>0</v>
      </c>
      <c r="ED338" s="5">
        <f>$EB$25*(EC338+(1-EC338)*$EB$16)</f>
        <v>0.0</v>
      </c>
      <c r="EE338" s="13">
        <f>ED338*($EB$6+ACUTE_MARGIN)</f>
        <v>0.0</v>
      </c>
      <c r="EF338" s="13">
        <f>IF(EB338=1,$EB$31,$EB$32)</f>
        <v>152394.16214437486</v>
      </c>
      <c r="EG338" s="13">
        <f>EE338-EF338</f>
        <v>-152394.16214437486</v>
      </c>
      <c r="EH338" s="13">
        <f>EH337+EG338</f>
        <v>-631540.7185432538</v>
      </c>
      <c r="EI338">
        <f>IF(EH338=MAX($EH$83:$EH$483),$A338,0)</f>
        <v>0</v>
      </c>
      <c r="EJ338">
        <f>IF(EE338&lt;EF338,$A338,B_MAX+1)</f>
        <v>255</v>
      </c>
      <c r="EK338" s="13">
        <f>IF(EB338=1,$EB$35,$EB$36)</f>
        <v>0</v>
      </c>
      <c r="EL338" s="13">
        <f>OCC_DAYS*$EB$41*R_NF_2023-ED338*MCD_SHARE_FREED*R_WAIT_2023</f>
        <v>50660.16094069735</v>
      </c>
      <c r="EM338">
        <f>IF($A338&lt;=$EB$45,1,0)</f>
        <v>0</v>
      </c>
      <c r="FB338">
        <f>IF($FB$31&lt;=$FB$32,IF($A338&lt;=$FB$7,1,2),IF($A338&lt;=RUNG_BEDS_2,2,1))</f>
        <v>1</v>
      </c>
      <c r="FC338" s="5">
        <f>MIN(1,MAX(0,$FB$26-($A338-1)))</f>
        <v>0</v>
      </c>
      <c r="FD338" s="5">
        <f>$FB$25*(FC338+(1-FC338)*$FB$16)</f>
        <v>0.0</v>
      </c>
      <c r="FE338" s="13">
        <f>FD338*($FB$6+ACUTE_MARGIN)</f>
        <v>0.0</v>
      </c>
      <c r="FF338" s="13">
        <f>IF(FB338=1,$FB$31,$FB$32)</f>
        <v>156636.04979437485</v>
      </c>
      <c r="FG338" s="13">
        <f>FE338-FF338</f>
        <v>-156636.04979437485</v>
      </c>
      <c r="FH338" s="13">
        <f>FH337+FG338</f>
        <v>-1713222.0692933677</v>
      </c>
      <c r="FI338">
        <f>IF(FH338=MAX($FH$83:$FH$483),$A338,0)</f>
        <v>0</v>
      </c>
      <c r="FJ338">
        <f>IF(FE338&lt;FF338,$A338,B_MAX+1)</f>
        <v>255</v>
      </c>
      <c r="FK338" s="13">
        <f>IF(FB338=1,$FB$35,$FB$36)</f>
        <v>0</v>
      </c>
      <c r="FL338" s="13">
        <f>OCC_DAYS*$FB$41*R_NF_2023-FD338*MCD_SHARE_FREED*R_WAIT_2023</f>
        <v>151980.48282209205</v>
      </c>
      <c r="FM338">
        <f>IF($A338&lt;=$FB$45,1,0)</f>
        <v>0</v>
      </c>
      <c r="GB338">
        <f>IF($GB$31&lt;=$GB$32,IF($A338&lt;=$GB$7,1,2),IF($A338&lt;=RUNG_BEDS_2,2,1))</f>
        <v>1</v>
      </c>
      <c r="GC338" s="5">
        <f>MIN(1,MAX(0,$GB$26-($A338-1)))</f>
        <v>0</v>
      </c>
      <c r="GD338" s="5">
        <f>$GB$25*(GC338+(1-GC338)*$GB$16)</f>
        <v>0.0</v>
      </c>
      <c r="GE338" s="13">
        <f>GD338*($GB$6+ACUTE_MARGIN)</f>
        <v>0.0</v>
      </c>
      <c r="GF338" s="13">
        <f>IF(GB338=1,$GB$31,$GB$32)</f>
        <v>152394.16214437486</v>
      </c>
      <c r="GG338" s="13">
        <f>GE338-GF338</f>
        <v>-152394.16214437486</v>
      </c>
      <c r="GH338" s="13">
        <f>GH337+GG338</f>
        <v>-631540.7185432538</v>
      </c>
      <c r="GI338">
        <f>IF(GH338=MAX($GH$83:$GH$483),$A338,0)</f>
        <v>0</v>
      </c>
      <c r="GJ338">
        <f>IF(GE338&lt;GF338,$A338,B_MAX+1)</f>
        <v>255</v>
      </c>
      <c r="GK338" s="13">
        <f>IF(GB338=1,$GB$35,$GB$36)</f>
        <v>0</v>
      </c>
      <c r="GL338" s="13">
        <f>OCC_DAYS*$GB$41*R_NF_2023-GD338*MCD_SHARE_FREED*R_WAIT_2023</f>
        <v>151980.48282209205</v>
      </c>
      <c r="GM338">
        <f>IF($A338&lt;=$GB$45,1,0)</f>
        <v>0</v>
      </c>
      <c r="HB338">
        <f>IF($HB$31&lt;=$HB$32,IF($A338&lt;=$HB$7,1,2),IF($A338&lt;=RUNG_BEDS_2,2,1))</f>
        <v>1</v>
      </c>
      <c r="HC338" s="5">
        <f>MIN(1,MAX(0,$HB$26-($A338-1)))</f>
        <v>0</v>
      </c>
      <c r="HD338" s="5">
        <f>$HB$25*(HC338+(1-HC338)*$HB$16)</f>
        <v>0.0</v>
      </c>
      <c r="HE338" s="13">
        <f>HD338*($HB$6+ACUTE_MARGIN)</f>
        <v>0.0</v>
      </c>
      <c r="HF338" s="13">
        <f>IF(HB338=1,$HB$31,$HB$32)</f>
        <v>152456.2970814058</v>
      </c>
      <c r="HG338" s="13">
        <f>HE338-HF338</f>
        <v>-152456.2970814058</v>
      </c>
      <c r="HH338" s="13">
        <f>HH337+HG338</f>
        <v>-647385.1274861825</v>
      </c>
      <c r="HI338">
        <f>IF(HH338=MAX($HH$83:$HH$483),$A338,0)</f>
        <v>0</v>
      </c>
      <c r="HJ338">
        <f>IF(HE338&lt;HF338,$A338,B_MAX+1)</f>
        <v>255</v>
      </c>
      <c r="HK338" s="13">
        <f>IF(HB338=1,$HB$35,$HB$36)</f>
        <v>0</v>
      </c>
      <c r="HL338" s="13">
        <f>OCC_DAYS*$HB$41*R_NF_2023-HD338*MCD_SHARE_FREED*R_WAIT_2023</f>
        <v>151980.48282209205</v>
      </c>
      <c r="HM338">
        <f>IF($A338&lt;=$HB$45,1,0)</f>
        <v>0</v>
      </c>
      <c r="IB338">
        <f>IF($IB$31&lt;=$IB$32,IF($A338&lt;=$IB$7,1,2),IF($A338&lt;=RUNG_BEDS_2,2,1))</f>
        <v>1</v>
      </c>
      <c r="IC338" s="5">
        <f>MIN(1,MAX(0,$IB$26-($A338-1)))</f>
        <v>0</v>
      </c>
      <c r="ID338" s="5">
        <f>$IB$25*(IC338+(1-IC338)*$IB$16)</f>
        <v>0.0</v>
      </c>
      <c r="IE338" s="13">
        <f>ID338*($IB$6+ACUTE_MARGIN)</f>
        <v>0.0</v>
      </c>
      <c r="IF338" s="13">
        <f>IF(IB338=1,$IB$31,$IB$32)</f>
        <v>152734.9994534971</v>
      </c>
      <c r="IG338" s="13">
        <f>IE338-IF338</f>
        <v>-152734.9994534971</v>
      </c>
      <c r="IH338" s="13">
        <f>IH337+IG338</f>
        <v>-718454.2323695178</v>
      </c>
      <c r="II338">
        <f>IF(IH338=MAX($IH$83:$IH$483),$A338,0)</f>
        <v>0</v>
      </c>
      <c r="IJ338">
        <f>IF(IE338&lt;IF338,$A338,B_MAX+1)</f>
        <v>255</v>
      </c>
      <c r="IK338" s="13">
        <f>IF(IB338=1,$IB$35,$IB$36)</f>
        <v>0</v>
      </c>
      <c r="IL338" s="13">
        <f>OCC_DAYS*$IB$41*R_NF_2023-ID338*MCD_SHARE_FREED*R_WAIT_2023</f>
        <v>151980.48282209205</v>
      </c>
      <c r="IM338">
        <f>IF($A338&lt;=$IB$45,1,0)</f>
        <v>0</v>
      </c>
      <c r="JB338">
        <f>IF($JB$31&lt;=$JB$32,IF($A338&lt;=$JB$7,1,2),IF($A338&lt;=RUNG_BEDS_2,2,1))</f>
        <v>1</v>
      </c>
      <c r="JC338" s="5">
        <f>MIN(1,MAX(0,$JB$26-($A338-1)))</f>
        <v>0</v>
      </c>
      <c r="JD338" s="5">
        <f>$JB$25*(JC338+(1-JC338)*$JB$16)</f>
        <v>0.0</v>
      </c>
      <c r="JE338" s="13">
        <f>JD338*($JB$6+ACUTE_MARGIN)</f>
        <v>0.0</v>
      </c>
      <c r="JF338" s="13">
        <f>IF(JB338=1,$JB$31,$JB$32)</f>
        <v>152394.16214437486</v>
      </c>
      <c r="JG338" s="13">
        <f>JE338-JF338</f>
        <v>-152394.16214437486</v>
      </c>
      <c r="JH338" s="13">
        <f>JH337+JG338</f>
        <v>-631540.7185432538</v>
      </c>
      <c r="JI338">
        <f>IF(JH338=MAX($JH$83:$JH$483),$A338,0)</f>
        <v>0</v>
      </c>
      <c r="JJ338">
        <f>IF(JE338&lt;JF338,$A338,B_MAX+1)</f>
        <v>255</v>
      </c>
      <c r="JK338" s="13">
        <f>IF(JB338=1,$JB$35,$JB$36)</f>
        <v>0</v>
      </c>
      <c r="JL338" s="13">
        <f>OCC_DAYS*$JB$41*R_NF_2023-JD338*MCD_SHARE_FREED*R_WAIT_2023</f>
        <v>151980.48282209205</v>
      </c>
      <c r="JM338">
        <f>IF($A338&lt;=$JB$45,1,0)</f>
        <v>0</v>
      </c>
      <c r="KB338">
        <f>IF($KB$31&lt;=$KB$32,IF($A338&lt;=$KB$7,1,2),IF($A338&lt;=RUNG_BEDS_2,2,1))</f>
        <v>1</v>
      </c>
      <c r="KC338" s="5">
        <f>MIN(1,MAX(0,$KB$26-($A338-1)))</f>
        <v>1</v>
      </c>
      <c r="KD338" s="5">
        <f>$KB$25*(KC338+(1-KC338)*$KB$16)</f>
        <v>126.02661357340719</v>
      </c>
      <c r="KE338" s="13">
        <f>KD338*($KB$6+ACUTE_MARGIN)</f>
        <v>127286.87970914126</v>
      </c>
      <c r="KF338" s="13">
        <f>IF(KB338=1,$KB$31,$KB$32)</f>
        <v>152394.16214437486</v>
      </c>
      <c r="KG338" s="13">
        <f>KE338-KF338</f>
        <v>-25107.282435233603</v>
      </c>
      <c r="KH338" s="13">
        <f>KH337+KG338</f>
        <v>-6402357.02098459</v>
      </c>
      <c r="KI338">
        <f>IF(KH338=MAX($KH$83:$KH$483),$A338,0)</f>
        <v>0</v>
      </c>
      <c r="KJ338">
        <f>IF(KE338&lt;KF338,$A338,B_MAX+1)</f>
        <v>255</v>
      </c>
      <c r="KK338" s="13">
        <f>IF(KB338=1,$KB$35,$KB$36)</f>
        <v>0</v>
      </c>
      <c r="KL338" s="13">
        <f>OCC_DAYS*$KB$41*R_NF_2023-KD338*MCD_SHARE_FREED*R_WAIT_2023</f>
        <v>94673.82103225985</v>
      </c>
      <c r="KM338">
        <f>IF($A338&lt;=$KB$45,1,0)</f>
        <v>0</v>
      </c>
      <c r="LB338">
        <f>IF($LB$31&lt;=$LB$32,IF($A338&lt;=$LB$7,1,2),IF($A338&lt;=RUNG_BEDS_2,2,1))</f>
        <v>1</v>
      </c>
      <c r="LC338" s="5">
        <f>MIN(1,MAX(0,$LB$26-($A338-1)))</f>
        <v>1</v>
      </c>
      <c r="LD338" s="5">
        <f>$LB$25*(LC338+(1-LC338)*$LB$16)</f>
        <v>84.01774238227146</v>
      </c>
      <c r="LE338" s="13">
        <f>LD338*($LB$6+ACUTE_MARGIN)</f>
        <v>84857.91980609419</v>
      </c>
      <c r="LF338" s="13">
        <f>IF(LB338=1,$LB$31,$LB$32)</f>
        <v>152394.16214437486</v>
      </c>
      <c r="LG338" s="13">
        <f>LE338-LF338</f>
        <v>-67536.24233828067</v>
      </c>
      <c r="LH338" s="13">
        <f>LH337+LG338</f>
        <v>-17221741.796261657</v>
      </c>
      <c r="LI338">
        <f>IF(LH338=MAX($LH$83:$LH$483),$A338,0)</f>
        <v>0</v>
      </c>
      <c r="LJ338">
        <f>IF(LE338&lt;LF338,$A338,B_MAX+1)</f>
        <v>255</v>
      </c>
      <c r="LK338" s="13">
        <f>IF(LB338=1,$LB$35,$LB$36)</f>
        <v>0</v>
      </c>
      <c r="LL338" s="13">
        <f>OCC_DAYS*$LB$41*R_NF_2023-LD338*MCD_SHARE_FREED*R_WAIT_2023</f>
        <v>113776.04162887059</v>
      </c>
      <c r="LM338">
        <f>IF($A338&lt;=$LB$45,1,0)</f>
        <v>0</v>
      </c>
      <c r="MB338">
        <f>IF($MB$31&lt;=$MB$32,IF($A338&lt;=$MB$7,1,2),IF($A338&lt;=RUNG_BEDS_2,2,1))</f>
        <v>1</v>
      </c>
      <c r="MC338" s="5">
        <f>MIN(1,MAX(0,$MB$26-($A338-1)))</f>
        <v>0</v>
      </c>
      <c r="MD338" s="5">
        <f>$MB$25*(MC338+(1-MC338)*$MB$16)</f>
        <v>0.0</v>
      </c>
      <c r="ME338" s="13">
        <f>MD338*($MB$6+ACUTE_MARGIN)</f>
        <v>0.0</v>
      </c>
      <c r="MF338" s="13">
        <f>IF(MB338=1,$MB$31,$MB$32)</f>
        <v>152394.16214437486</v>
      </c>
      <c r="MG338" s="13">
        <f>ME338-MF338</f>
        <v>-152394.16214437486</v>
      </c>
      <c r="MH338" s="13">
        <f>MH337+MG338</f>
        <v>-6518816.780341587</v>
      </c>
      <c r="MI338">
        <f>IF(MH338=MAX($MH$83:$MH$483),$A338,0)</f>
        <v>0</v>
      </c>
      <c r="MJ338">
        <f>IF(ME338&lt;MF338,$A338,B_MAX+1)</f>
        <v>255</v>
      </c>
      <c r="MK338" s="13">
        <f>IF(MB338=1,$MB$35,$MB$36)</f>
        <v>0</v>
      </c>
      <c r="ML338" s="13">
        <f>OCC_DAYS*$MB$41*R_NF_2023-MD338*MCD_SHARE_FREED*R_WAIT_2023</f>
        <v>151980.48282209205</v>
      </c>
      <c r="MM338">
        <f>IF($A338&lt;=$MB$45,1,0)</f>
        <v>0</v>
      </c>
      <c r="NB338">
        <f>IF($NB$31&lt;=$NB$32,IF($A338&lt;=$NB$7,1,2),IF($A338&lt;=RUNG_BEDS_2,2,1))</f>
        <v>1</v>
      </c>
      <c r="NC338" s="5">
        <f>MIN(1,MAX(0,$NB$26-($A338-1)))</f>
        <v>0</v>
      </c>
      <c r="ND338" s="5">
        <f>$NB$25*(NC338+(1-NC338)*$NB$16)</f>
        <v>63.013306786703595</v>
      </c>
      <c r="NE338" s="13">
        <f>ND338*($NB$6+ACUTE_MARGIN)</f>
        <v>63643.43985457063</v>
      </c>
      <c r="NF338" s="13">
        <f>IF(NB338=1,$NB$31,$NB$32)</f>
        <v>152394.16214437486</v>
      </c>
      <c r="NG338" s="13">
        <f>NE338-NF338</f>
        <v>-88750.72228980422</v>
      </c>
      <c r="NH338" s="13">
        <f>NH337+NG338</f>
        <v>6040293.787304152</v>
      </c>
      <c r="NI338">
        <f>IF(NH338=MAX($NH$83:$NH$483),$A338,0)</f>
        <v>0</v>
      </c>
      <c r="NJ338">
        <f>IF(NE338&lt;NF338,$A338,B_MAX+1)</f>
        <v>255</v>
      </c>
      <c r="NK338" s="13">
        <f>IF(NB338=1,$NB$35,$NB$36)</f>
        <v>0</v>
      </c>
      <c r="NL338" s="13">
        <f>OCC_DAYS*$NB$41*R_NF_2023-ND338*MCD_SHARE_FREED*R_WAIT_2023</f>
        <v>123327.15192717595</v>
      </c>
      <c r="NM338">
        <f>IF($A338&lt;=$NB$45,1,0)</f>
        <v>0</v>
      </c>
      <c r="OB338">
        <f>IF($OB$31&lt;=$OB$32,IF($A338&lt;=$OB$7,1,2),IF($A338&lt;=RUNG_BEDS_2,2,1))</f>
        <v>1</v>
      </c>
      <c r="OC338" s="5">
        <f>MIN(1,MAX(0,$OB$26-($A338-1)))</f>
        <v>0</v>
      </c>
      <c r="OD338" s="5">
        <f>$OB$25*(OC338+(1-OC338)*$OB$16)</f>
        <v>126.02661357340719</v>
      </c>
      <c r="OE338" s="13">
        <f>OD338*($OB$6+ACUTE_MARGIN)</f>
        <v>127286.87970914126</v>
      </c>
      <c r="OF338" s="13">
        <f>IF(OB338=1,$OB$31,$OB$32)</f>
        <v>152394.16214437486</v>
      </c>
      <c r="OG338" s="13">
        <f>OE338-OF338</f>
        <v>-25107.282435233603</v>
      </c>
      <c r="OH338" s="13">
        <f>OH337+OG338</f>
        <v>12712128.2931517</v>
      </c>
      <c r="OI338">
        <f>IF(OH338=MAX($OH$83:$OH$483),$A338,0)</f>
        <v>0</v>
      </c>
      <c r="OJ338">
        <f>IF(OE338&lt;OF338,$A338,B_MAX+1)</f>
        <v>255</v>
      </c>
      <c r="OK338" s="13">
        <f>IF(OB338=1,$OB$35,$OB$36)</f>
        <v>0</v>
      </c>
      <c r="OL338" s="13">
        <f>OCC_DAYS*$OB$41*R_NF_2023-OD338*MCD_SHARE_FREED*R_WAIT_2023</f>
        <v>94673.82103225985</v>
      </c>
      <c r="OM338">
        <f>IF($A338&lt;=$OB$45,1,0)</f>
        <v>0</v>
      </c>
    </row>
    <row r="339">
      <c r="A339" t="n">
        <v>256</v>
      </c>
      <c r="B339">
        <f>IF($B$31&lt;=$B$32,IF($A339&lt;=$B$7,1,2),IF($A339&lt;=RUNG_BEDS_2,2,1))</f>
        <v>1</v>
      </c>
      <c r="C339" s="5">
        <f>MIN(1,MAX(0,$B$26-($A339-1)))</f>
        <v>0</v>
      </c>
      <c r="D339" s="5">
        <f>$B$25*(C339+(1-C339)*$B$16)</f>
        <v>0.0</v>
      </c>
      <c r="E339" s="13">
        <f>D339*($B$6+ACUTE_MARGIN)</f>
        <v>0.0</v>
      </c>
      <c r="F339" s="13">
        <f>IF(B339=1,$B$31,$B$32)</f>
        <v>152394.16214437486</v>
      </c>
      <c r="G339" s="13">
        <f>E339-F339</f>
        <v>-152394.16214437486</v>
      </c>
      <c r="H339" s="13">
        <f>H338+G339</f>
        <v>-783934.8806876286</v>
      </c>
      <c r="I339">
        <f>IF(H339=MAX($H$83:$H$483),$A339,0)</f>
        <v>0</v>
      </c>
      <c r="J339">
        <f>IF(E339&lt;F339,$A339,B_MAX+1)</f>
        <v>256</v>
      </c>
      <c r="K339" s="13">
        <f>IF(B339=1,$B$35,$B$36)</f>
        <v>0</v>
      </c>
      <c r="L339" s="13">
        <f>OCC_DAYS*$B$41*R_NF_2023-D339*MCD_SHARE_FREED*R_WAIT_2023</f>
        <v>151980.48282209205</v>
      </c>
      <c r="M339">
        <f>IF($A339&lt;=$B$45,1,0)</f>
        <v>0</v>
      </c>
      <c r="AB339">
        <f>IF($AB$31&lt;=$AB$32,IF($A339&lt;=$AB$7,1,2),IF($A339&lt;=RUNG_BEDS_2,2,1))</f>
        <v>1</v>
      </c>
      <c r="AC339" s="5">
        <f>MIN(1,MAX(0,$AB$26-($A339-1)))</f>
        <v>0</v>
      </c>
      <c r="AD339" s="5">
        <f>$AB$25*(AC339+(1-AC339)*$AB$16)</f>
        <v>0.0</v>
      </c>
      <c r="AE339" s="13">
        <f>AD339*($AB$6+ACUTE_MARGIN)</f>
        <v>0.0</v>
      </c>
      <c r="AF339" s="13">
        <f>IF(AB339=1,$AB$31,$AB$32)</f>
        <v>152394.16214437486</v>
      </c>
      <c r="AG339" s="13">
        <f>AE339-AF339</f>
        <v>-152394.16214437486</v>
      </c>
      <c r="AH339" s="13">
        <f>AH338+AG339</f>
        <v>-18195149.22623741</v>
      </c>
      <c r="AI339">
        <f>IF(AH339=MAX($AH$83:$AH$483),$A339,0)</f>
        <v>0</v>
      </c>
      <c r="AJ339">
        <f>IF(AE339&lt;AF339,$A339,B_MAX+1)</f>
        <v>256</v>
      </c>
      <c r="AK339" s="13">
        <f>IF(AB339=1,$AB$35,$AB$36)</f>
        <v>0</v>
      </c>
      <c r="AL339" s="13">
        <f>OCC_DAYS*$AB$41*R_NF_2023-AD339*MCD_SHARE_FREED*R_WAIT_2023</f>
        <v>151980.48282209205</v>
      </c>
      <c r="AM339">
        <f>IF($A339&lt;=$AB$45,1,0)</f>
        <v>0</v>
      </c>
      <c r="BB339">
        <f>IF($BB$31&lt;=$BB$32,IF($A339&lt;=$BB$7,1,2),IF($A339&lt;=RUNG_BEDS_2,2,1))</f>
        <v>1</v>
      </c>
      <c r="BC339" s="5">
        <f>MIN(1,MAX(0,$BB$26-($A339-1)))</f>
        <v>0</v>
      </c>
      <c r="BD339" s="5">
        <f>$BB$25*(BC339+(1-BC339)*$BB$16)</f>
        <v>0.0</v>
      </c>
      <c r="BE339" s="13">
        <f>BD339*($BB$6+ACUTE_MARGIN)</f>
        <v>0.0</v>
      </c>
      <c r="BF339" s="13">
        <f>IF(BB339=1,$BB$31,$BB$32)</f>
        <v>152394.16214437486</v>
      </c>
      <c r="BG339" s="13">
        <f>BE339-BF339</f>
        <v>-152394.16214437486</v>
      </c>
      <c r="BH339" s="13">
        <f>BH338+BG339</f>
        <v>16627279.464862086</v>
      </c>
      <c r="BI339">
        <f>IF(BH339=MAX($BH$83:$BH$483),$A339,0)</f>
        <v>0</v>
      </c>
      <c r="BJ339">
        <f>IF(BE339&lt;BF339,$A339,B_MAX+1)</f>
        <v>256</v>
      </c>
      <c r="BK339" s="13">
        <f>IF(BB339=1,$BB$35,$BB$36)</f>
        <v>0</v>
      </c>
      <c r="BL339" s="13">
        <f>OCC_DAYS*$BB$41*R_NF_2023-BD339*MCD_SHARE_FREED*R_WAIT_2023</f>
        <v>151980.48282209205</v>
      </c>
      <c r="BM339">
        <f>IF($A339&lt;=$BB$45,1,0)</f>
        <v>0</v>
      </c>
      <c r="CB339">
        <f>IF($CB$31&lt;=$CB$32,IF($A339&lt;=$CB$7,1,2),IF($A339&lt;=RUNG_BEDS_2,2,1))</f>
        <v>2</v>
      </c>
      <c r="CC339" s="5">
        <f>MIN(1,MAX(0,$CB$26-($A339-1)))</f>
        <v>0</v>
      </c>
      <c r="CD339" s="5">
        <f>$CB$25*(CC339+(1-CC339)*$CB$16)</f>
        <v>0.0</v>
      </c>
      <c r="CE339" s="13">
        <f>CD339*($CB$6+ACUTE_MARGIN)</f>
        <v>0.0</v>
      </c>
      <c r="CF339" s="13">
        <f>IF(CB339=1,$CB$31,$CB$32)</f>
        <v>160718.36940738867</v>
      </c>
      <c r="CG339" s="13">
        <f>CE339-CF339</f>
        <v>-160718.36940738867</v>
      </c>
      <c r="CH339" s="13">
        <f>CH338+CG339</f>
        <v>-2914931.9400192793</v>
      </c>
      <c r="CI339">
        <f>IF(CH339=MAX($CH$83:$CH$483),$A339,0)</f>
        <v>0</v>
      </c>
      <c r="CJ339">
        <f>IF(CE339&lt;CF339,$A339,B_MAX+1)</f>
        <v>256</v>
      </c>
      <c r="CK339" s="13">
        <f>IF(CB339=1,$CB$35,$CB$36)</f>
        <v>1560.1194073886782</v>
      </c>
      <c r="CL339" s="13">
        <f>OCC_DAYS*$CB$41*R_NF_2023-CD339*MCD_SHARE_FREED*R_WAIT_2023</f>
        <v>151980.48282209205</v>
      </c>
      <c r="CM339">
        <f>IF($A339&lt;=$CB$45,1,0)</f>
        <v>0</v>
      </c>
      <c r="DB339">
        <f>IF($DB$31&lt;=$DB$32,IF($A339&lt;=$DB$7,1,2),IF($A339&lt;=RUNG_BEDS_2,2,1))</f>
        <v>1</v>
      </c>
      <c r="DC339" s="5">
        <f>MIN(1,MAX(0,$DB$26-($A339-1)))</f>
        <v>0</v>
      </c>
      <c r="DD339" s="5">
        <f>$DB$25*(DC339+(1-DC339)*$DB$16)</f>
        <v>0.0</v>
      </c>
      <c r="DE339" s="13">
        <f>DD339*($DB$6+ACUTE_MARGIN)</f>
        <v>0.0</v>
      </c>
      <c r="DF339" s="13">
        <f>IF(DB339=1,$DB$31,$DB$32)</f>
        <v>152394.16214437486</v>
      </c>
      <c r="DG339" s="13">
        <f>DE339-DF339</f>
        <v>-152394.16214437486</v>
      </c>
      <c r="DH339" s="13">
        <f>DH338+DG339</f>
        <v>-783934.8806876286</v>
      </c>
      <c r="DI339">
        <f>IF(DH339=MAX($DH$83:$DH$483),$A339,0)</f>
        <v>0</v>
      </c>
      <c r="DJ339">
        <f>IF(DE339&lt;DF339,$A339,B_MAX+1)</f>
        <v>256</v>
      </c>
      <c r="DK339" s="13">
        <f>IF(DB339=1,$DB$35,$DB$36)</f>
        <v>0</v>
      </c>
      <c r="DL339" s="13">
        <f>OCC_DAYS*$DB$41*R_NF_2023-DD339*MCD_SHARE_FREED*R_WAIT_2023</f>
        <v>151980.48282209205</v>
      </c>
      <c r="DM339">
        <f>IF($A339&lt;=$DB$45,1,0)</f>
        <v>0</v>
      </c>
      <c r="EB339">
        <f>IF($EB$31&lt;=$EB$32,IF($A339&lt;=$EB$7,1,2),IF($A339&lt;=RUNG_BEDS_2,2,1))</f>
        <v>1</v>
      </c>
      <c r="EC339" s="5">
        <f>MIN(1,MAX(0,$EB$26-($A339-1)))</f>
        <v>0</v>
      </c>
      <c r="ED339" s="5">
        <f>$EB$25*(EC339+(1-EC339)*$EB$16)</f>
        <v>0.0</v>
      </c>
      <c r="EE339" s="13">
        <f>ED339*($EB$6+ACUTE_MARGIN)</f>
        <v>0.0</v>
      </c>
      <c r="EF339" s="13">
        <f>IF(EB339=1,$EB$31,$EB$32)</f>
        <v>152394.16214437486</v>
      </c>
      <c r="EG339" s="13">
        <f>EE339-EF339</f>
        <v>-152394.16214437486</v>
      </c>
      <c r="EH339" s="13">
        <f>EH338+EG339</f>
        <v>-783934.8806876286</v>
      </c>
      <c r="EI339">
        <f>IF(EH339=MAX($EH$83:$EH$483),$A339,0)</f>
        <v>0</v>
      </c>
      <c r="EJ339">
        <f>IF(EE339&lt;EF339,$A339,B_MAX+1)</f>
        <v>256</v>
      </c>
      <c r="EK339" s="13">
        <f>IF(EB339=1,$EB$35,$EB$36)</f>
        <v>0</v>
      </c>
      <c r="EL339" s="13">
        <f>OCC_DAYS*$EB$41*R_NF_2023-ED339*MCD_SHARE_FREED*R_WAIT_2023</f>
        <v>50660.16094069735</v>
      </c>
      <c r="EM339">
        <f>IF($A339&lt;=$EB$45,1,0)</f>
        <v>0</v>
      </c>
      <c r="FB339">
        <f>IF($FB$31&lt;=$FB$32,IF($A339&lt;=$FB$7,1,2),IF($A339&lt;=RUNG_BEDS_2,2,1))</f>
        <v>1</v>
      </c>
      <c r="FC339" s="5">
        <f>MIN(1,MAX(0,$FB$26-($A339-1)))</f>
        <v>0</v>
      </c>
      <c r="FD339" s="5">
        <f>$FB$25*(FC339+(1-FC339)*$FB$16)</f>
        <v>0.0</v>
      </c>
      <c r="FE339" s="13">
        <f>FD339*($FB$6+ACUTE_MARGIN)</f>
        <v>0.0</v>
      </c>
      <c r="FF339" s="13">
        <f>IF(FB339=1,$FB$31,$FB$32)</f>
        <v>156636.04979437485</v>
      </c>
      <c r="FG339" s="13">
        <f>FE339-FF339</f>
        <v>-156636.04979437485</v>
      </c>
      <c r="FH339" s="13">
        <f>FH338+FG339</f>
        <v>-1869858.1190877426</v>
      </c>
      <c r="FI339">
        <f>IF(FH339=MAX($FH$83:$FH$483),$A339,0)</f>
        <v>0</v>
      </c>
      <c r="FJ339">
        <f>IF(FE339&lt;FF339,$A339,B_MAX+1)</f>
        <v>256</v>
      </c>
      <c r="FK339" s="13">
        <f>IF(FB339=1,$FB$35,$FB$36)</f>
        <v>0</v>
      </c>
      <c r="FL339" s="13">
        <f>OCC_DAYS*$FB$41*R_NF_2023-FD339*MCD_SHARE_FREED*R_WAIT_2023</f>
        <v>151980.48282209205</v>
      </c>
      <c r="FM339">
        <f>IF($A339&lt;=$FB$45,1,0)</f>
        <v>0</v>
      </c>
      <c r="GB339">
        <f>IF($GB$31&lt;=$GB$32,IF($A339&lt;=$GB$7,1,2),IF($A339&lt;=RUNG_BEDS_2,2,1))</f>
        <v>1</v>
      </c>
      <c r="GC339" s="5">
        <f>MIN(1,MAX(0,$GB$26-($A339-1)))</f>
        <v>0</v>
      </c>
      <c r="GD339" s="5">
        <f>$GB$25*(GC339+(1-GC339)*$GB$16)</f>
        <v>0.0</v>
      </c>
      <c r="GE339" s="13">
        <f>GD339*($GB$6+ACUTE_MARGIN)</f>
        <v>0.0</v>
      </c>
      <c r="GF339" s="13">
        <f>IF(GB339=1,$GB$31,$GB$32)</f>
        <v>152394.16214437486</v>
      </c>
      <c r="GG339" s="13">
        <f>GE339-GF339</f>
        <v>-152394.16214437486</v>
      </c>
      <c r="GH339" s="13">
        <f>GH338+GG339</f>
        <v>-783934.8806876286</v>
      </c>
      <c r="GI339">
        <f>IF(GH339=MAX($GH$83:$GH$483),$A339,0)</f>
        <v>0</v>
      </c>
      <c r="GJ339">
        <f>IF(GE339&lt;GF339,$A339,B_MAX+1)</f>
        <v>256</v>
      </c>
      <c r="GK339" s="13">
        <f>IF(GB339=1,$GB$35,$GB$36)</f>
        <v>0</v>
      </c>
      <c r="GL339" s="13">
        <f>OCC_DAYS*$GB$41*R_NF_2023-GD339*MCD_SHARE_FREED*R_WAIT_2023</f>
        <v>151980.48282209205</v>
      </c>
      <c r="GM339">
        <f>IF($A339&lt;=$GB$45,1,0)</f>
        <v>0</v>
      </c>
      <c r="HB339">
        <f>IF($HB$31&lt;=$HB$32,IF($A339&lt;=$HB$7,1,2),IF($A339&lt;=RUNG_BEDS_2,2,1))</f>
        <v>1</v>
      </c>
      <c r="HC339" s="5">
        <f>MIN(1,MAX(0,$HB$26-($A339-1)))</f>
        <v>0</v>
      </c>
      <c r="HD339" s="5">
        <f>$HB$25*(HC339+(1-HC339)*$HB$16)</f>
        <v>0.0</v>
      </c>
      <c r="HE339" s="13">
        <f>HD339*($HB$6+ACUTE_MARGIN)</f>
        <v>0.0</v>
      </c>
      <c r="HF339" s="13">
        <f>IF(HB339=1,$HB$31,$HB$32)</f>
        <v>152456.2970814058</v>
      </c>
      <c r="HG339" s="13">
        <f>HE339-HF339</f>
        <v>-152456.2970814058</v>
      </c>
      <c r="HH339" s="13">
        <f>HH338+HG339</f>
        <v>-799841.4245675883</v>
      </c>
      <c r="HI339">
        <f>IF(HH339=MAX($HH$83:$HH$483),$A339,0)</f>
        <v>0</v>
      </c>
      <c r="HJ339">
        <f>IF(HE339&lt;HF339,$A339,B_MAX+1)</f>
        <v>256</v>
      </c>
      <c r="HK339" s="13">
        <f>IF(HB339=1,$HB$35,$HB$36)</f>
        <v>0</v>
      </c>
      <c r="HL339" s="13">
        <f>OCC_DAYS*$HB$41*R_NF_2023-HD339*MCD_SHARE_FREED*R_WAIT_2023</f>
        <v>151980.48282209205</v>
      </c>
      <c r="HM339">
        <f>IF($A339&lt;=$HB$45,1,0)</f>
        <v>0</v>
      </c>
      <c r="IB339">
        <f>IF($IB$31&lt;=$IB$32,IF($A339&lt;=$IB$7,1,2),IF($A339&lt;=RUNG_BEDS_2,2,1))</f>
        <v>1</v>
      </c>
      <c r="IC339" s="5">
        <f>MIN(1,MAX(0,$IB$26-($A339-1)))</f>
        <v>0</v>
      </c>
      <c r="ID339" s="5">
        <f>$IB$25*(IC339+(1-IC339)*$IB$16)</f>
        <v>0.0</v>
      </c>
      <c r="IE339" s="13">
        <f>ID339*($IB$6+ACUTE_MARGIN)</f>
        <v>0.0</v>
      </c>
      <c r="IF339" s="13">
        <f>IF(IB339=1,$IB$31,$IB$32)</f>
        <v>152734.9994534971</v>
      </c>
      <c r="IG339" s="13">
        <f>IE339-IF339</f>
        <v>-152734.9994534971</v>
      </c>
      <c r="IH339" s="13">
        <f>IH338+IG339</f>
        <v>-871189.2318230149</v>
      </c>
      <c r="II339">
        <f>IF(IH339=MAX($IH$83:$IH$483),$A339,0)</f>
        <v>0</v>
      </c>
      <c r="IJ339">
        <f>IF(IE339&lt;IF339,$A339,B_MAX+1)</f>
        <v>256</v>
      </c>
      <c r="IK339" s="13">
        <f>IF(IB339=1,$IB$35,$IB$36)</f>
        <v>0</v>
      </c>
      <c r="IL339" s="13">
        <f>OCC_DAYS*$IB$41*R_NF_2023-ID339*MCD_SHARE_FREED*R_WAIT_2023</f>
        <v>151980.48282209205</v>
      </c>
      <c r="IM339">
        <f>IF($A339&lt;=$IB$45,1,0)</f>
        <v>0</v>
      </c>
      <c r="JB339">
        <f>IF($JB$31&lt;=$JB$32,IF($A339&lt;=$JB$7,1,2),IF($A339&lt;=RUNG_BEDS_2,2,1))</f>
        <v>1</v>
      </c>
      <c r="JC339" s="5">
        <f>MIN(1,MAX(0,$JB$26-($A339-1)))</f>
        <v>0</v>
      </c>
      <c r="JD339" s="5">
        <f>$JB$25*(JC339+(1-JC339)*$JB$16)</f>
        <v>0.0</v>
      </c>
      <c r="JE339" s="13">
        <f>JD339*($JB$6+ACUTE_MARGIN)</f>
        <v>0.0</v>
      </c>
      <c r="JF339" s="13">
        <f>IF(JB339=1,$JB$31,$JB$32)</f>
        <v>152394.16214437486</v>
      </c>
      <c r="JG339" s="13">
        <f>JE339-JF339</f>
        <v>-152394.16214437486</v>
      </c>
      <c r="JH339" s="13">
        <f>JH338+JG339</f>
        <v>-783934.8806876286</v>
      </c>
      <c r="JI339">
        <f>IF(JH339=MAX($JH$83:$JH$483),$A339,0)</f>
        <v>0</v>
      </c>
      <c r="JJ339">
        <f>IF(JE339&lt;JF339,$A339,B_MAX+1)</f>
        <v>256</v>
      </c>
      <c r="JK339" s="13">
        <f>IF(JB339=1,$JB$35,$JB$36)</f>
        <v>0</v>
      </c>
      <c r="JL339" s="13">
        <f>OCC_DAYS*$JB$41*R_NF_2023-JD339*MCD_SHARE_FREED*R_WAIT_2023</f>
        <v>151980.48282209205</v>
      </c>
      <c r="JM339">
        <f>IF($A339&lt;=$JB$45,1,0)</f>
        <v>0</v>
      </c>
      <c r="KB339">
        <f>IF($KB$31&lt;=$KB$32,IF($A339&lt;=$KB$7,1,2),IF($A339&lt;=RUNG_BEDS_2,2,1))</f>
        <v>1</v>
      </c>
      <c r="KC339" s="5">
        <f>MIN(1,MAX(0,$KB$26-($A339-1)))</f>
        <v>1</v>
      </c>
      <c r="KD339" s="5">
        <f>$KB$25*(KC339+(1-KC339)*$KB$16)</f>
        <v>126.02661357340719</v>
      </c>
      <c r="KE339" s="13">
        <f>KD339*($KB$6+ACUTE_MARGIN)</f>
        <v>127286.87970914126</v>
      </c>
      <c r="KF339" s="13">
        <f>IF(KB339=1,$KB$31,$KB$32)</f>
        <v>152394.16214437486</v>
      </c>
      <c r="KG339" s="13">
        <f>KE339-KF339</f>
        <v>-25107.282435233603</v>
      </c>
      <c r="KH339" s="13">
        <f>KH338+KG339</f>
        <v>-6427464.303419824</v>
      </c>
      <c r="KI339">
        <f>IF(KH339=MAX($KH$83:$KH$483),$A339,0)</f>
        <v>0</v>
      </c>
      <c r="KJ339">
        <f>IF(KE339&lt;KF339,$A339,B_MAX+1)</f>
        <v>256</v>
      </c>
      <c r="KK339" s="13">
        <f>IF(KB339=1,$KB$35,$KB$36)</f>
        <v>0</v>
      </c>
      <c r="KL339" s="13">
        <f>OCC_DAYS*$KB$41*R_NF_2023-KD339*MCD_SHARE_FREED*R_WAIT_2023</f>
        <v>94673.82103225985</v>
      </c>
      <c r="KM339">
        <f>IF($A339&lt;=$KB$45,1,0)</f>
        <v>0</v>
      </c>
      <c r="LB339">
        <f>IF($LB$31&lt;=$LB$32,IF($A339&lt;=$LB$7,1,2),IF($A339&lt;=RUNG_BEDS_2,2,1))</f>
        <v>1</v>
      </c>
      <c r="LC339" s="5">
        <f>MIN(1,MAX(0,$LB$26-($A339-1)))</f>
        <v>1</v>
      </c>
      <c r="LD339" s="5">
        <f>$LB$25*(LC339+(1-LC339)*$LB$16)</f>
        <v>84.01774238227146</v>
      </c>
      <c r="LE339" s="13">
        <f>LD339*($LB$6+ACUTE_MARGIN)</f>
        <v>84857.91980609419</v>
      </c>
      <c r="LF339" s="13">
        <f>IF(LB339=1,$LB$31,$LB$32)</f>
        <v>152394.16214437486</v>
      </c>
      <c r="LG339" s="13">
        <f>LE339-LF339</f>
        <v>-67536.24233828067</v>
      </c>
      <c r="LH339" s="13">
        <f>LH338+LG339</f>
        <v>-17289278.03859994</v>
      </c>
      <c r="LI339">
        <f>IF(LH339=MAX($LH$83:$LH$483),$A339,0)</f>
        <v>0</v>
      </c>
      <c r="LJ339">
        <f>IF(LE339&lt;LF339,$A339,B_MAX+1)</f>
        <v>256</v>
      </c>
      <c r="LK339" s="13">
        <f>IF(LB339=1,$LB$35,$LB$36)</f>
        <v>0</v>
      </c>
      <c r="LL339" s="13">
        <f>OCC_DAYS*$LB$41*R_NF_2023-LD339*MCD_SHARE_FREED*R_WAIT_2023</f>
        <v>113776.04162887059</v>
      </c>
      <c r="LM339">
        <f>IF($A339&lt;=$LB$45,1,0)</f>
        <v>0</v>
      </c>
      <c r="MB339">
        <f>IF($MB$31&lt;=$MB$32,IF($A339&lt;=$MB$7,1,2),IF($A339&lt;=RUNG_BEDS_2,2,1))</f>
        <v>1</v>
      </c>
      <c r="MC339" s="5">
        <f>MIN(1,MAX(0,$MB$26-($A339-1)))</f>
        <v>0</v>
      </c>
      <c r="MD339" s="5">
        <f>$MB$25*(MC339+(1-MC339)*$MB$16)</f>
        <v>0.0</v>
      </c>
      <c r="ME339" s="13">
        <f>MD339*($MB$6+ACUTE_MARGIN)</f>
        <v>0.0</v>
      </c>
      <c r="MF339" s="13">
        <f>IF(MB339=1,$MB$31,$MB$32)</f>
        <v>152394.16214437486</v>
      </c>
      <c r="MG339" s="13">
        <f>ME339-MF339</f>
        <v>-152394.16214437486</v>
      </c>
      <c r="MH339" s="13">
        <f>MH338+MG339</f>
        <v>-6671210.942485962</v>
      </c>
      <c r="MI339">
        <f>IF(MH339=MAX($MH$83:$MH$483),$A339,0)</f>
        <v>0</v>
      </c>
      <c r="MJ339">
        <f>IF(ME339&lt;MF339,$A339,B_MAX+1)</f>
        <v>256</v>
      </c>
      <c r="MK339" s="13">
        <f>IF(MB339=1,$MB$35,$MB$36)</f>
        <v>0</v>
      </c>
      <c r="ML339" s="13">
        <f>OCC_DAYS*$MB$41*R_NF_2023-MD339*MCD_SHARE_FREED*R_WAIT_2023</f>
        <v>151980.48282209205</v>
      </c>
      <c r="MM339">
        <f>IF($A339&lt;=$MB$45,1,0)</f>
        <v>0</v>
      </c>
      <c r="NB339">
        <f>IF($NB$31&lt;=$NB$32,IF($A339&lt;=$NB$7,1,2),IF($A339&lt;=RUNG_BEDS_2,2,1))</f>
        <v>1</v>
      </c>
      <c r="NC339" s="5">
        <f>MIN(1,MAX(0,$NB$26-($A339-1)))</f>
        <v>0</v>
      </c>
      <c r="ND339" s="5">
        <f>$NB$25*(NC339+(1-NC339)*$NB$16)</f>
        <v>63.013306786703595</v>
      </c>
      <c r="NE339" s="13">
        <f>ND339*($NB$6+ACUTE_MARGIN)</f>
        <v>63643.43985457063</v>
      </c>
      <c r="NF339" s="13">
        <f>IF(NB339=1,$NB$31,$NB$32)</f>
        <v>152394.16214437486</v>
      </c>
      <c r="NG339" s="13">
        <f>NE339-NF339</f>
        <v>-88750.72228980422</v>
      </c>
      <c r="NH339" s="13">
        <f>NH338+NG339</f>
        <v>5951543.065014347</v>
      </c>
      <c r="NI339">
        <f>IF(NH339=MAX($NH$83:$NH$483),$A339,0)</f>
        <v>0</v>
      </c>
      <c r="NJ339">
        <f>IF(NE339&lt;NF339,$A339,B_MAX+1)</f>
        <v>256</v>
      </c>
      <c r="NK339" s="13">
        <f>IF(NB339=1,$NB$35,$NB$36)</f>
        <v>0</v>
      </c>
      <c r="NL339" s="13">
        <f>OCC_DAYS*$NB$41*R_NF_2023-ND339*MCD_SHARE_FREED*R_WAIT_2023</f>
        <v>123327.15192717595</v>
      </c>
      <c r="NM339">
        <f>IF($A339&lt;=$NB$45,1,0)</f>
        <v>0</v>
      </c>
      <c r="OB339">
        <f>IF($OB$31&lt;=$OB$32,IF($A339&lt;=$OB$7,1,2),IF($A339&lt;=RUNG_BEDS_2,2,1))</f>
        <v>1</v>
      </c>
      <c r="OC339" s="5">
        <f>MIN(1,MAX(0,$OB$26-($A339-1)))</f>
        <v>0</v>
      </c>
      <c r="OD339" s="5">
        <f>$OB$25*(OC339+(1-OC339)*$OB$16)</f>
        <v>126.02661357340719</v>
      </c>
      <c r="OE339" s="13">
        <f>OD339*($OB$6+ACUTE_MARGIN)</f>
        <v>127286.87970914126</v>
      </c>
      <c r="OF339" s="13">
        <f>IF(OB339=1,$OB$31,$OB$32)</f>
        <v>152394.16214437486</v>
      </c>
      <c r="OG339" s="13">
        <f>OE339-OF339</f>
        <v>-25107.282435233603</v>
      </c>
      <c r="OH339" s="13">
        <f>OH338+OG339</f>
        <v>12687021.010716468</v>
      </c>
      <c r="OI339">
        <f>IF(OH339=MAX($OH$83:$OH$483),$A339,0)</f>
        <v>0</v>
      </c>
      <c r="OJ339">
        <f>IF(OE339&lt;OF339,$A339,B_MAX+1)</f>
        <v>256</v>
      </c>
      <c r="OK339" s="13">
        <f>IF(OB339=1,$OB$35,$OB$36)</f>
        <v>0</v>
      </c>
      <c r="OL339" s="13">
        <f>OCC_DAYS*$OB$41*R_NF_2023-OD339*MCD_SHARE_FREED*R_WAIT_2023</f>
        <v>94673.82103225985</v>
      </c>
      <c r="OM339">
        <f>IF($A339&lt;=$OB$45,1,0)</f>
        <v>0</v>
      </c>
    </row>
    <row r="340">
      <c r="A340" t="n">
        <v>257</v>
      </c>
      <c r="B340">
        <f>IF($B$31&lt;=$B$32,IF($A340&lt;=$B$7,1,2),IF($A340&lt;=RUNG_BEDS_2,2,1))</f>
        <v>1</v>
      </c>
      <c r="C340" s="5">
        <f>MIN(1,MAX(0,$B$26-($A340-1)))</f>
        <v>0</v>
      </c>
      <c r="D340" s="5">
        <f>$B$25*(C340+(1-C340)*$B$16)</f>
        <v>0.0</v>
      </c>
      <c r="E340" s="13">
        <f>D340*($B$6+ACUTE_MARGIN)</f>
        <v>0.0</v>
      </c>
      <c r="F340" s="13">
        <f>IF(B340=1,$B$31,$B$32)</f>
        <v>152394.16214437486</v>
      </c>
      <c r="G340" s="13">
        <f>E340-F340</f>
        <v>-152394.16214437486</v>
      </c>
      <c r="H340" s="13">
        <f>H339+G340</f>
        <v>-936329.0428320034</v>
      </c>
      <c r="I340">
        <f>IF(H340=MAX($H$83:$H$483),$A340,0)</f>
        <v>0</v>
      </c>
      <c r="J340">
        <f>IF(E340&lt;F340,$A340,B_MAX+1)</f>
        <v>257</v>
      </c>
      <c r="K340" s="13">
        <f>IF(B340=1,$B$35,$B$36)</f>
        <v>0</v>
      </c>
      <c r="L340" s="13">
        <f>OCC_DAYS*$B$41*R_NF_2023-D340*MCD_SHARE_FREED*R_WAIT_2023</f>
        <v>151980.48282209205</v>
      </c>
      <c r="M340">
        <f>IF($A340&lt;=$B$45,1,0)</f>
        <v>0</v>
      </c>
      <c r="AB340">
        <f>IF($AB$31&lt;=$AB$32,IF($A340&lt;=$AB$7,1,2),IF($A340&lt;=RUNG_BEDS_2,2,1))</f>
        <v>1</v>
      </c>
      <c r="AC340" s="5">
        <f>MIN(1,MAX(0,$AB$26-($A340-1)))</f>
        <v>0</v>
      </c>
      <c r="AD340" s="5">
        <f>$AB$25*(AC340+(1-AC340)*$AB$16)</f>
        <v>0.0</v>
      </c>
      <c r="AE340" s="13">
        <f>AD340*($AB$6+ACUTE_MARGIN)</f>
        <v>0.0</v>
      </c>
      <c r="AF340" s="13">
        <f>IF(AB340=1,$AB$31,$AB$32)</f>
        <v>152394.16214437486</v>
      </c>
      <c r="AG340" s="13">
        <f>AE340-AF340</f>
        <v>-152394.16214437486</v>
      </c>
      <c r="AH340" s="13">
        <f>AH339+AG340</f>
        <v>-18347543.388381783</v>
      </c>
      <c r="AI340">
        <f>IF(AH340=MAX($AH$83:$AH$483),$A340,0)</f>
        <v>0</v>
      </c>
      <c r="AJ340">
        <f>IF(AE340&lt;AF340,$A340,B_MAX+1)</f>
        <v>257</v>
      </c>
      <c r="AK340" s="13">
        <f>IF(AB340=1,$AB$35,$AB$36)</f>
        <v>0</v>
      </c>
      <c r="AL340" s="13">
        <f>OCC_DAYS*$AB$41*R_NF_2023-AD340*MCD_SHARE_FREED*R_WAIT_2023</f>
        <v>151980.48282209205</v>
      </c>
      <c r="AM340">
        <f>IF($A340&lt;=$AB$45,1,0)</f>
        <v>0</v>
      </c>
      <c r="BB340">
        <f>IF($BB$31&lt;=$BB$32,IF($A340&lt;=$BB$7,1,2),IF($A340&lt;=RUNG_BEDS_2,2,1))</f>
        <v>1</v>
      </c>
      <c r="BC340" s="5">
        <f>MIN(1,MAX(0,$BB$26-($A340-1)))</f>
        <v>0</v>
      </c>
      <c r="BD340" s="5">
        <f>$BB$25*(BC340+(1-BC340)*$BB$16)</f>
        <v>0.0</v>
      </c>
      <c r="BE340" s="13">
        <f>BD340*($BB$6+ACUTE_MARGIN)</f>
        <v>0.0</v>
      </c>
      <c r="BF340" s="13">
        <f>IF(BB340=1,$BB$31,$BB$32)</f>
        <v>152394.16214437486</v>
      </c>
      <c r="BG340" s="13">
        <f>BE340-BF340</f>
        <v>-152394.16214437486</v>
      </c>
      <c r="BH340" s="13">
        <f>BH339+BG340</f>
        <v>16474885.302717712</v>
      </c>
      <c r="BI340">
        <f>IF(BH340=MAX($BH$83:$BH$483),$A340,0)</f>
        <v>0</v>
      </c>
      <c r="BJ340">
        <f>IF(BE340&lt;BF340,$A340,B_MAX+1)</f>
        <v>257</v>
      </c>
      <c r="BK340" s="13">
        <f>IF(BB340=1,$BB$35,$BB$36)</f>
        <v>0</v>
      </c>
      <c r="BL340" s="13">
        <f>OCC_DAYS*$BB$41*R_NF_2023-BD340*MCD_SHARE_FREED*R_WAIT_2023</f>
        <v>151980.48282209205</v>
      </c>
      <c r="BM340">
        <f>IF($A340&lt;=$BB$45,1,0)</f>
        <v>0</v>
      </c>
      <c r="CB340">
        <f>IF($CB$31&lt;=$CB$32,IF($A340&lt;=$CB$7,1,2),IF($A340&lt;=RUNG_BEDS_2,2,1))</f>
        <v>2</v>
      </c>
      <c r="CC340" s="5">
        <f>MIN(1,MAX(0,$CB$26-($A340-1)))</f>
        <v>0</v>
      </c>
      <c r="CD340" s="5">
        <f>$CB$25*(CC340+(1-CC340)*$CB$16)</f>
        <v>0.0</v>
      </c>
      <c r="CE340" s="13">
        <f>CD340*($CB$6+ACUTE_MARGIN)</f>
        <v>0.0</v>
      </c>
      <c r="CF340" s="13">
        <f>IF(CB340=1,$CB$31,$CB$32)</f>
        <v>160718.36940738867</v>
      </c>
      <c r="CG340" s="13">
        <f>CE340-CF340</f>
        <v>-160718.36940738867</v>
      </c>
      <c r="CH340" s="13">
        <f>CH339+CG340</f>
        <v>-3075650.309426668</v>
      </c>
      <c r="CI340">
        <f>IF(CH340=MAX($CH$83:$CH$483),$A340,0)</f>
        <v>0</v>
      </c>
      <c r="CJ340">
        <f>IF(CE340&lt;CF340,$A340,B_MAX+1)</f>
        <v>257</v>
      </c>
      <c r="CK340" s="13">
        <f>IF(CB340=1,$CB$35,$CB$36)</f>
        <v>1560.1194073886782</v>
      </c>
      <c r="CL340" s="13">
        <f>OCC_DAYS*$CB$41*R_NF_2023-CD340*MCD_SHARE_FREED*R_WAIT_2023</f>
        <v>151980.48282209205</v>
      </c>
      <c r="CM340">
        <f>IF($A340&lt;=$CB$45,1,0)</f>
        <v>0</v>
      </c>
      <c r="DB340">
        <f>IF($DB$31&lt;=$DB$32,IF($A340&lt;=$DB$7,1,2),IF($A340&lt;=RUNG_BEDS_2,2,1))</f>
        <v>1</v>
      </c>
      <c r="DC340" s="5">
        <f>MIN(1,MAX(0,$DB$26-($A340-1)))</f>
        <v>0</v>
      </c>
      <c r="DD340" s="5">
        <f>$DB$25*(DC340+(1-DC340)*$DB$16)</f>
        <v>0.0</v>
      </c>
      <c r="DE340" s="13">
        <f>DD340*($DB$6+ACUTE_MARGIN)</f>
        <v>0.0</v>
      </c>
      <c r="DF340" s="13">
        <f>IF(DB340=1,$DB$31,$DB$32)</f>
        <v>152394.16214437486</v>
      </c>
      <c r="DG340" s="13">
        <f>DE340-DF340</f>
        <v>-152394.16214437486</v>
      </c>
      <c r="DH340" s="13">
        <f>DH339+DG340</f>
        <v>-936329.0428320034</v>
      </c>
      <c r="DI340">
        <f>IF(DH340=MAX($DH$83:$DH$483),$A340,0)</f>
        <v>0</v>
      </c>
      <c r="DJ340">
        <f>IF(DE340&lt;DF340,$A340,B_MAX+1)</f>
        <v>257</v>
      </c>
      <c r="DK340" s="13">
        <f>IF(DB340=1,$DB$35,$DB$36)</f>
        <v>0</v>
      </c>
      <c r="DL340" s="13">
        <f>OCC_DAYS*$DB$41*R_NF_2023-DD340*MCD_SHARE_FREED*R_WAIT_2023</f>
        <v>151980.48282209205</v>
      </c>
      <c r="DM340">
        <f>IF($A340&lt;=$DB$45,1,0)</f>
        <v>0</v>
      </c>
      <c r="EB340">
        <f>IF($EB$31&lt;=$EB$32,IF($A340&lt;=$EB$7,1,2),IF($A340&lt;=RUNG_BEDS_2,2,1))</f>
        <v>1</v>
      </c>
      <c r="EC340" s="5">
        <f>MIN(1,MAX(0,$EB$26-($A340-1)))</f>
        <v>0</v>
      </c>
      <c r="ED340" s="5">
        <f>$EB$25*(EC340+(1-EC340)*$EB$16)</f>
        <v>0.0</v>
      </c>
      <c r="EE340" s="13">
        <f>ED340*($EB$6+ACUTE_MARGIN)</f>
        <v>0.0</v>
      </c>
      <c r="EF340" s="13">
        <f>IF(EB340=1,$EB$31,$EB$32)</f>
        <v>152394.16214437486</v>
      </c>
      <c r="EG340" s="13">
        <f>EE340-EF340</f>
        <v>-152394.16214437486</v>
      </c>
      <c r="EH340" s="13">
        <f>EH339+EG340</f>
        <v>-936329.0428320034</v>
      </c>
      <c r="EI340">
        <f>IF(EH340=MAX($EH$83:$EH$483),$A340,0)</f>
        <v>0</v>
      </c>
      <c r="EJ340">
        <f>IF(EE340&lt;EF340,$A340,B_MAX+1)</f>
        <v>257</v>
      </c>
      <c r="EK340" s="13">
        <f>IF(EB340=1,$EB$35,$EB$36)</f>
        <v>0</v>
      </c>
      <c r="EL340" s="13">
        <f>OCC_DAYS*$EB$41*R_NF_2023-ED340*MCD_SHARE_FREED*R_WAIT_2023</f>
        <v>50660.16094069735</v>
      </c>
      <c r="EM340">
        <f>IF($A340&lt;=$EB$45,1,0)</f>
        <v>0</v>
      </c>
      <c r="FB340">
        <f>IF($FB$31&lt;=$FB$32,IF($A340&lt;=$FB$7,1,2),IF($A340&lt;=RUNG_BEDS_2,2,1))</f>
        <v>1</v>
      </c>
      <c r="FC340" s="5">
        <f>MIN(1,MAX(0,$FB$26-($A340-1)))</f>
        <v>0</v>
      </c>
      <c r="FD340" s="5">
        <f>$FB$25*(FC340+(1-FC340)*$FB$16)</f>
        <v>0.0</v>
      </c>
      <c r="FE340" s="13">
        <f>FD340*($FB$6+ACUTE_MARGIN)</f>
        <v>0.0</v>
      </c>
      <c r="FF340" s="13">
        <f>IF(FB340=1,$FB$31,$FB$32)</f>
        <v>156636.04979437485</v>
      </c>
      <c r="FG340" s="13">
        <f>FE340-FF340</f>
        <v>-156636.04979437485</v>
      </c>
      <c r="FH340" s="13">
        <f>FH339+FG340</f>
        <v>-2026494.1688821176</v>
      </c>
      <c r="FI340">
        <f>IF(FH340=MAX($FH$83:$FH$483),$A340,0)</f>
        <v>0</v>
      </c>
      <c r="FJ340">
        <f>IF(FE340&lt;FF340,$A340,B_MAX+1)</f>
        <v>257</v>
      </c>
      <c r="FK340" s="13">
        <f>IF(FB340=1,$FB$35,$FB$36)</f>
        <v>0</v>
      </c>
      <c r="FL340" s="13">
        <f>OCC_DAYS*$FB$41*R_NF_2023-FD340*MCD_SHARE_FREED*R_WAIT_2023</f>
        <v>151980.48282209205</v>
      </c>
      <c r="FM340">
        <f>IF($A340&lt;=$FB$45,1,0)</f>
        <v>0</v>
      </c>
      <c r="GB340">
        <f>IF($GB$31&lt;=$GB$32,IF($A340&lt;=$GB$7,1,2),IF($A340&lt;=RUNG_BEDS_2,2,1))</f>
        <v>1</v>
      </c>
      <c r="GC340" s="5">
        <f>MIN(1,MAX(0,$GB$26-($A340-1)))</f>
        <v>0</v>
      </c>
      <c r="GD340" s="5">
        <f>$GB$25*(GC340+(1-GC340)*$GB$16)</f>
        <v>0.0</v>
      </c>
      <c r="GE340" s="13">
        <f>GD340*($GB$6+ACUTE_MARGIN)</f>
        <v>0.0</v>
      </c>
      <c r="GF340" s="13">
        <f>IF(GB340=1,$GB$31,$GB$32)</f>
        <v>152394.16214437486</v>
      </c>
      <c r="GG340" s="13">
        <f>GE340-GF340</f>
        <v>-152394.16214437486</v>
      </c>
      <c r="GH340" s="13">
        <f>GH339+GG340</f>
        <v>-936329.0428320034</v>
      </c>
      <c r="GI340">
        <f>IF(GH340=MAX($GH$83:$GH$483),$A340,0)</f>
        <v>0</v>
      </c>
      <c r="GJ340">
        <f>IF(GE340&lt;GF340,$A340,B_MAX+1)</f>
        <v>257</v>
      </c>
      <c r="GK340" s="13">
        <f>IF(GB340=1,$GB$35,$GB$36)</f>
        <v>0</v>
      </c>
      <c r="GL340" s="13">
        <f>OCC_DAYS*$GB$41*R_NF_2023-GD340*MCD_SHARE_FREED*R_WAIT_2023</f>
        <v>151980.48282209205</v>
      </c>
      <c r="GM340">
        <f>IF($A340&lt;=$GB$45,1,0)</f>
        <v>0</v>
      </c>
      <c r="HB340">
        <f>IF($HB$31&lt;=$HB$32,IF($A340&lt;=$HB$7,1,2),IF($A340&lt;=RUNG_BEDS_2,2,1))</f>
        <v>1</v>
      </c>
      <c r="HC340" s="5">
        <f>MIN(1,MAX(0,$HB$26-($A340-1)))</f>
        <v>0</v>
      </c>
      <c r="HD340" s="5">
        <f>$HB$25*(HC340+(1-HC340)*$HB$16)</f>
        <v>0.0</v>
      </c>
      <c r="HE340" s="13">
        <f>HD340*($HB$6+ACUTE_MARGIN)</f>
        <v>0.0</v>
      </c>
      <c r="HF340" s="13">
        <f>IF(HB340=1,$HB$31,$HB$32)</f>
        <v>152456.2970814058</v>
      </c>
      <c r="HG340" s="13">
        <f>HE340-HF340</f>
        <v>-152456.2970814058</v>
      </c>
      <c r="HH340" s="13">
        <f>HH339+HG340</f>
        <v>-952297.721648994</v>
      </c>
      <c r="HI340">
        <f>IF(HH340=MAX($HH$83:$HH$483),$A340,0)</f>
        <v>0</v>
      </c>
      <c r="HJ340">
        <f>IF(HE340&lt;HF340,$A340,B_MAX+1)</f>
        <v>257</v>
      </c>
      <c r="HK340" s="13">
        <f>IF(HB340=1,$HB$35,$HB$36)</f>
        <v>0</v>
      </c>
      <c r="HL340" s="13">
        <f>OCC_DAYS*$HB$41*R_NF_2023-HD340*MCD_SHARE_FREED*R_WAIT_2023</f>
        <v>151980.48282209205</v>
      </c>
      <c r="HM340">
        <f>IF($A340&lt;=$HB$45,1,0)</f>
        <v>0</v>
      </c>
      <c r="IB340">
        <f>IF($IB$31&lt;=$IB$32,IF($A340&lt;=$IB$7,1,2),IF($A340&lt;=RUNG_BEDS_2,2,1))</f>
        <v>1</v>
      </c>
      <c r="IC340" s="5">
        <f>MIN(1,MAX(0,$IB$26-($A340-1)))</f>
        <v>0</v>
      </c>
      <c r="ID340" s="5">
        <f>$IB$25*(IC340+(1-IC340)*$IB$16)</f>
        <v>0.0</v>
      </c>
      <c r="IE340" s="13">
        <f>ID340*($IB$6+ACUTE_MARGIN)</f>
        <v>0.0</v>
      </c>
      <c r="IF340" s="13">
        <f>IF(IB340=1,$IB$31,$IB$32)</f>
        <v>152734.9994534971</v>
      </c>
      <c r="IG340" s="13">
        <f>IE340-IF340</f>
        <v>-152734.9994534971</v>
      </c>
      <c r="IH340" s="13">
        <f>IH339+IG340</f>
        <v>-1023924.231276512</v>
      </c>
      <c r="II340">
        <f>IF(IH340=MAX($IH$83:$IH$483),$A340,0)</f>
        <v>0</v>
      </c>
      <c r="IJ340">
        <f>IF(IE340&lt;IF340,$A340,B_MAX+1)</f>
        <v>257</v>
      </c>
      <c r="IK340" s="13">
        <f>IF(IB340=1,$IB$35,$IB$36)</f>
        <v>0</v>
      </c>
      <c r="IL340" s="13">
        <f>OCC_DAYS*$IB$41*R_NF_2023-ID340*MCD_SHARE_FREED*R_WAIT_2023</f>
        <v>151980.48282209205</v>
      </c>
      <c r="IM340">
        <f>IF($A340&lt;=$IB$45,1,0)</f>
        <v>0</v>
      </c>
      <c r="JB340">
        <f>IF($JB$31&lt;=$JB$32,IF($A340&lt;=$JB$7,1,2),IF($A340&lt;=RUNG_BEDS_2,2,1))</f>
        <v>1</v>
      </c>
      <c r="JC340" s="5">
        <f>MIN(1,MAX(0,$JB$26-($A340-1)))</f>
        <v>0</v>
      </c>
      <c r="JD340" s="5">
        <f>$JB$25*(JC340+(1-JC340)*$JB$16)</f>
        <v>0.0</v>
      </c>
      <c r="JE340" s="13">
        <f>JD340*($JB$6+ACUTE_MARGIN)</f>
        <v>0.0</v>
      </c>
      <c r="JF340" s="13">
        <f>IF(JB340=1,$JB$31,$JB$32)</f>
        <v>152394.16214437486</v>
      </c>
      <c r="JG340" s="13">
        <f>JE340-JF340</f>
        <v>-152394.16214437486</v>
      </c>
      <c r="JH340" s="13">
        <f>JH339+JG340</f>
        <v>-936329.0428320034</v>
      </c>
      <c r="JI340">
        <f>IF(JH340=MAX($JH$83:$JH$483),$A340,0)</f>
        <v>0</v>
      </c>
      <c r="JJ340">
        <f>IF(JE340&lt;JF340,$A340,B_MAX+1)</f>
        <v>257</v>
      </c>
      <c r="JK340" s="13">
        <f>IF(JB340=1,$JB$35,$JB$36)</f>
        <v>0</v>
      </c>
      <c r="JL340" s="13">
        <f>OCC_DAYS*$JB$41*R_NF_2023-JD340*MCD_SHARE_FREED*R_WAIT_2023</f>
        <v>151980.48282209205</v>
      </c>
      <c r="JM340">
        <f>IF($A340&lt;=$JB$45,1,0)</f>
        <v>0</v>
      </c>
      <c r="KB340">
        <f>IF($KB$31&lt;=$KB$32,IF($A340&lt;=$KB$7,1,2),IF($A340&lt;=RUNG_BEDS_2,2,1))</f>
        <v>1</v>
      </c>
      <c r="KC340" s="5">
        <f>MIN(1,MAX(0,$KB$26-($A340-1)))</f>
        <v>1</v>
      </c>
      <c r="KD340" s="5">
        <f>$KB$25*(KC340+(1-KC340)*$KB$16)</f>
        <v>126.02661357340719</v>
      </c>
      <c r="KE340" s="13">
        <f>KD340*($KB$6+ACUTE_MARGIN)</f>
        <v>127286.87970914126</v>
      </c>
      <c r="KF340" s="13">
        <f>IF(KB340=1,$KB$31,$KB$32)</f>
        <v>152394.16214437486</v>
      </c>
      <c r="KG340" s="13">
        <f>KE340-KF340</f>
        <v>-25107.282435233603</v>
      </c>
      <c r="KH340" s="13">
        <f>KH339+KG340</f>
        <v>-6452571.585855057</v>
      </c>
      <c r="KI340">
        <f>IF(KH340=MAX($KH$83:$KH$483),$A340,0)</f>
        <v>0</v>
      </c>
      <c r="KJ340">
        <f>IF(KE340&lt;KF340,$A340,B_MAX+1)</f>
        <v>257</v>
      </c>
      <c r="KK340" s="13">
        <f>IF(KB340=1,$KB$35,$KB$36)</f>
        <v>0</v>
      </c>
      <c r="KL340" s="13">
        <f>OCC_DAYS*$KB$41*R_NF_2023-KD340*MCD_SHARE_FREED*R_WAIT_2023</f>
        <v>94673.82103225985</v>
      </c>
      <c r="KM340">
        <f>IF($A340&lt;=$KB$45,1,0)</f>
        <v>0</v>
      </c>
      <c r="LB340">
        <f>IF($LB$31&lt;=$LB$32,IF($A340&lt;=$LB$7,1,2),IF($A340&lt;=RUNG_BEDS_2,2,1))</f>
        <v>1</v>
      </c>
      <c r="LC340" s="5">
        <f>MIN(1,MAX(0,$LB$26-($A340-1)))</f>
        <v>1</v>
      </c>
      <c r="LD340" s="5">
        <f>$LB$25*(LC340+(1-LC340)*$LB$16)</f>
        <v>84.01774238227146</v>
      </c>
      <c r="LE340" s="13">
        <f>LD340*($LB$6+ACUTE_MARGIN)</f>
        <v>84857.91980609419</v>
      </c>
      <c r="LF340" s="13">
        <f>IF(LB340=1,$LB$31,$LB$32)</f>
        <v>152394.16214437486</v>
      </c>
      <c r="LG340" s="13">
        <f>LE340-LF340</f>
        <v>-67536.24233828067</v>
      </c>
      <c r="LH340" s="13">
        <f>LH339+LG340</f>
        <v>-17356814.28093822</v>
      </c>
      <c r="LI340">
        <f>IF(LH340=MAX($LH$83:$LH$483),$A340,0)</f>
        <v>0</v>
      </c>
      <c r="LJ340">
        <f>IF(LE340&lt;LF340,$A340,B_MAX+1)</f>
        <v>257</v>
      </c>
      <c r="LK340" s="13">
        <f>IF(LB340=1,$LB$35,$LB$36)</f>
        <v>0</v>
      </c>
      <c r="LL340" s="13">
        <f>OCC_DAYS*$LB$41*R_NF_2023-LD340*MCD_SHARE_FREED*R_WAIT_2023</f>
        <v>113776.04162887059</v>
      </c>
      <c r="LM340">
        <f>IF($A340&lt;=$LB$45,1,0)</f>
        <v>0</v>
      </c>
      <c r="MB340">
        <f>IF($MB$31&lt;=$MB$32,IF($A340&lt;=$MB$7,1,2),IF($A340&lt;=RUNG_BEDS_2,2,1))</f>
        <v>1</v>
      </c>
      <c r="MC340" s="5">
        <f>MIN(1,MAX(0,$MB$26-($A340-1)))</f>
        <v>0</v>
      </c>
      <c r="MD340" s="5">
        <f>$MB$25*(MC340+(1-MC340)*$MB$16)</f>
        <v>0.0</v>
      </c>
      <c r="ME340" s="13">
        <f>MD340*($MB$6+ACUTE_MARGIN)</f>
        <v>0.0</v>
      </c>
      <c r="MF340" s="13">
        <f>IF(MB340=1,$MB$31,$MB$32)</f>
        <v>152394.16214437486</v>
      </c>
      <c r="MG340" s="13">
        <f>ME340-MF340</f>
        <v>-152394.16214437486</v>
      </c>
      <c r="MH340" s="13">
        <f>MH339+MG340</f>
        <v>-6823605.104630337</v>
      </c>
      <c r="MI340">
        <f>IF(MH340=MAX($MH$83:$MH$483),$A340,0)</f>
        <v>0</v>
      </c>
      <c r="MJ340">
        <f>IF(ME340&lt;MF340,$A340,B_MAX+1)</f>
        <v>257</v>
      </c>
      <c r="MK340" s="13">
        <f>IF(MB340=1,$MB$35,$MB$36)</f>
        <v>0</v>
      </c>
      <c r="ML340" s="13">
        <f>OCC_DAYS*$MB$41*R_NF_2023-MD340*MCD_SHARE_FREED*R_WAIT_2023</f>
        <v>151980.48282209205</v>
      </c>
      <c r="MM340">
        <f>IF($A340&lt;=$MB$45,1,0)</f>
        <v>0</v>
      </c>
      <c r="NB340">
        <f>IF($NB$31&lt;=$NB$32,IF($A340&lt;=$NB$7,1,2),IF($A340&lt;=RUNG_BEDS_2,2,1))</f>
        <v>1</v>
      </c>
      <c r="NC340" s="5">
        <f>MIN(1,MAX(0,$NB$26-($A340-1)))</f>
        <v>0</v>
      </c>
      <c r="ND340" s="5">
        <f>$NB$25*(NC340+(1-NC340)*$NB$16)</f>
        <v>63.013306786703595</v>
      </c>
      <c r="NE340" s="13">
        <f>ND340*($NB$6+ACUTE_MARGIN)</f>
        <v>63643.43985457063</v>
      </c>
      <c r="NF340" s="13">
        <f>IF(NB340=1,$NB$31,$NB$32)</f>
        <v>152394.16214437486</v>
      </c>
      <c r="NG340" s="13">
        <f>NE340-NF340</f>
        <v>-88750.72228980422</v>
      </c>
      <c r="NH340" s="13">
        <f>NH339+NG340</f>
        <v>5862792.342724543</v>
      </c>
      <c r="NI340">
        <f>IF(NH340=MAX($NH$83:$NH$483),$A340,0)</f>
        <v>0</v>
      </c>
      <c r="NJ340">
        <f>IF(NE340&lt;NF340,$A340,B_MAX+1)</f>
        <v>257</v>
      </c>
      <c r="NK340" s="13">
        <f>IF(NB340=1,$NB$35,$NB$36)</f>
        <v>0</v>
      </c>
      <c r="NL340" s="13">
        <f>OCC_DAYS*$NB$41*R_NF_2023-ND340*MCD_SHARE_FREED*R_WAIT_2023</f>
        <v>123327.15192717595</v>
      </c>
      <c r="NM340">
        <f>IF($A340&lt;=$NB$45,1,0)</f>
        <v>0</v>
      </c>
      <c r="OB340">
        <f>IF($OB$31&lt;=$OB$32,IF($A340&lt;=$OB$7,1,2),IF($A340&lt;=RUNG_BEDS_2,2,1))</f>
        <v>1</v>
      </c>
      <c r="OC340" s="5">
        <f>MIN(1,MAX(0,$OB$26-($A340-1)))</f>
        <v>0</v>
      </c>
      <c r="OD340" s="5">
        <f>$OB$25*(OC340+(1-OC340)*$OB$16)</f>
        <v>126.02661357340719</v>
      </c>
      <c r="OE340" s="13">
        <f>OD340*($OB$6+ACUTE_MARGIN)</f>
        <v>127286.87970914126</v>
      </c>
      <c r="OF340" s="13">
        <f>IF(OB340=1,$OB$31,$OB$32)</f>
        <v>152394.16214437486</v>
      </c>
      <c r="OG340" s="13">
        <f>OE340-OF340</f>
        <v>-25107.282435233603</v>
      </c>
      <c r="OH340" s="13">
        <f>OH339+OG340</f>
        <v>12661913.728281235</v>
      </c>
      <c r="OI340">
        <f>IF(OH340=MAX($OH$83:$OH$483),$A340,0)</f>
        <v>0</v>
      </c>
      <c r="OJ340">
        <f>IF(OE340&lt;OF340,$A340,B_MAX+1)</f>
        <v>257</v>
      </c>
      <c r="OK340" s="13">
        <f>IF(OB340=1,$OB$35,$OB$36)</f>
        <v>0</v>
      </c>
      <c r="OL340" s="13">
        <f>OCC_DAYS*$OB$41*R_NF_2023-OD340*MCD_SHARE_FREED*R_WAIT_2023</f>
        <v>94673.82103225985</v>
      </c>
      <c r="OM340">
        <f>IF($A340&lt;=$OB$45,1,0)</f>
        <v>0</v>
      </c>
    </row>
    <row r="341">
      <c r="A341" t="n">
        <v>258</v>
      </c>
      <c r="B341">
        <f>IF($B$31&lt;=$B$32,IF($A341&lt;=$B$7,1,2),IF($A341&lt;=RUNG_BEDS_2,2,1))</f>
        <v>1</v>
      </c>
      <c r="C341" s="5">
        <f>MIN(1,MAX(0,$B$26-($A341-1)))</f>
        <v>0</v>
      </c>
      <c r="D341" s="5">
        <f>$B$25*(C341+(1-C341)*$B$16)</f>
        <v>0.0</v>
      </c>
      <c r="E341" s="13">
        <f>D341*($B$6+ACUTE_MARGIN)</f>
        <v>0.0</v>
      </c>
      <c r="F341" s="13">
        <f>IF(B341=1,$B$31,$B$32)</f>
        <v>152394.16214437486</v>
      </c>
      <c r="G341" s="13">
        <f>E341-F341</f>
        <v>-152394.16214437486</v>
      </c>
      <c r="H341" s="13">
        <f>H340+G341</f>
        <v>-1088723.2049763782</v>
      </c>
      <c r="I341">
        <f>IF(H341=MAX($H$83:$H$483),$A341,0)</f>
        <v>0</v>
      </c>
      <c r="J341">
        <f>IF(E341&lt;F341,$A341,B_MAX+1)</f>
        <v>258</v>
      </c>
      <c r="K341" s="13">
        <f>IF(B341=1,$B$35,$B$36)</f>
        <v>0</v>
      </c>
      <c r="L341" s="13">
        <f>OCC_DAYS*$B$41*R_NF_2023-D341*MCD_SHARE_FREED*R_WAIT_2023</f>
        <v>151980.48282209205</v>
      </c>
      <c r="M341">
        <f>IF($A341&lt;=$B$45,1,0)</f>
        <v>0</v>
      </c>
      <c r="AB341">
        <f>IF($AB$31&lt;=$AB$32,IF($A341&lt;=$AB$7,1,2),IF($A341&lt;=RUNG_BEDS_2,2,1))</f>
        <v>1</v>
      </c>
      <c r="AC341" s="5">
        <f>MIN(1,MAX(0,$AB$26-($A341-1)))</f>
        <v>0</v>
      </c>
      <c r="AD341" s="5">
        <f>$AB$25*(AC341+(1-AC341)*$AB$16)</f>
        <v>0.0</v>
      </c>
      <c r="AE341" s="13">
        <f>AD341*($AB$6+ACUTE_MARGIN)</f>
        <v>0.0</v>
      </c>
      <c r="AF341" s="13">
        <f>IF(AB341=1,$AB$31,$AB$32)</f>
        <v>152394.16214437486</v>
      </c>
      <c r="AG341" s="13">
        <f>AE341-AF341</f>
        <v>-152394.16214437486</v>
      </c>
      <c r="AH341" s="13">
        <f>AH340+AG341</f>
        <v>-18499937.550526157</v>
      </c>
      <c r="AI341">
        <f>IF(AH341=MAX($AH$83:$AH$483),$A341,0)</f>
        <v>0</v>
      </c>
      <c r="AJ341">
        <f>IF(AE341&lt;AF341,$A341,B_MAX+1)</f>
        <v>258</v>
      </c>
      <c r="AK341" s="13">
        <f>IF(AB341=1,$AB$35,$AB$36)</f>
        <v>0</v>
      </c>
      <c r="AL341" s="13">
        <f>OCC_DAYS*$AB$41*R_NF_2023-AD341*MCD_SHARE_FREED*R_WAIT_2023</f>
        <v>151980.48282209205</v>
      </c>
      <c r="AM341">
        <f>IF($A341&lt;=$AB$45,1,0)</f>
        <v>0</v>
      </c>
      <c r="BB341">
        <f>IF($BB$31&lt;=$BB$32,IF($A341&lt;=$BB$7,1,2),IF($A341&lt;=RUNG_BEDS_2,2,1))</f>
        <v>1</v>
      </c>
      <c r="BC341" s="5">
        <f>MIN(1,MAX(0,$BB$26-($A341-1)))</f>
        <v>0</v>
      </c>
      <c r="BD341" s="5">
        <f>$BB$25*(BC341+(1-BC341)*$BB$16)</f>
        <v>0.0</v>
      </c>
      <c r="BE341" s="13">
        <f>BD341*($BB$6+ACUTE_MARGIN)</f>
        <v>0.0</v>
      </c>
      <c r="BF341" s="13">
        <f>IF(BB341=1,$BB$31,$BB$32)</f>
        <v>152394.16214437486</v>
      </c>
      <c r="BG341" s="13">
        <f>BE341-BF341</f>
        <v>-152394.16214437486</v>
      </c>
      <c r="BH341" s="13">
        <f>BH340+BG341</f>
        <v>16322491.140573338</v>
      </c>
      <c r="BI341">
        <f>IF(BH341=MAX($BH$83:$BH$483),$A341,0)</f>
        <v>0</v>
      </c>
      <c r="BJ341">
        <f>IF(BE341&lt;BF341,$A341,B_MAX+1)</f>
        <v>258</v>
      </c>
      <c r="BK341" s="13">
        <f>IF(BB341=1,$BB$35,$BB$36)</f>
        <v>0</v>
      </c>
      <c r="BL341" s="13">
        <f>OCC_DAYS*$BB$41*R_NF_2023-BD341*MCD_SHARE_FREED*R_WAIT_2023</f>
        <v>151980.48282209205</v>
      </c>
      <c r="BM341">
        <f>IF($A341&lt;=$BB$45,1,0)</f>
        <v>0</v>
      </c>
      <c r="CB341">
        <f>IF($CB$31&lt;=$CB$32,IF($A341&lt;=$CB$7,1,2),IF($A341&lt;=RUNG_BEDS_2,2,1))</f>
        <v>2</v>
      </c>
      <c r="CC341" s="5">
        <f>MIN(1,MAX(0,$CB$26-($A341-1)))</f>
        <v>0</v>
      </c>
      <c r="CD341" s="5">
        <f>$CB$25*(CC341+(1-CC341)*$CB$16)</f>
        <v>0.0</v>
      </c>
      <c r="CE341" s="13">
        <f>CD341*($CB$6+ACUTE_MARGIN)</f>
        <v>0.0</v>
      </c>
      <c r="CF341" s="13">
        <f>IF(CB341=1,$CB$31,$CB$32)</f>
        <v>160718.36940738867</v>
      </c>
      <c r="CG341" s="13">
        <f>CE341-CF341</f>
        <v>-160718.36940738867</v>
      </c>
      <c r="CH341" s="13">
        <f>CH340+CG341</f>
        <v>-3236368.678834057</v>
      </c>
      <c r="CI341">
        <f>IF(CH341=MAX($CH$83:$CH$483),$A341,0)</f>
        <v>0</v>
      </c>
      <c r="CJ341">
        <f>IF(CE341&lt;CF341,$A341,B_MAX+1)</f>
        <v>258</v>
      </c>
      <c r="CK341" s="13">
        <f>IF(CB341=1,$CB$35,$CB$36)</f>
        <v>1560.1194073886782</v>
      </c>
      <c r="CL341" s="13">
        <f>OCC_DAYS*$CB$41*R_NF_2023-CD341*MCD_SHARE_FREED*R_WAIT_2023</f>
        <v>151980.48282209205</v>
      </c>
      <c r="CM341">
        <f>IF($A341&lt;=$CB$45,1,0)</f>
        <v>0</v>
      </c>
      <c r="DB341">
        <f>IF($DB$31&lt;=$DB$32,IF($A341&lt;=$DB$7,1,2),IF($A341&lt;=RUNG_BEDS_2,2,1))</f>
        <v>1</v>
      </c>
      <c r="DC341" s="5">
        <f>MIN(1,MAX(0,$DB$26-($A341-1)))</f>
        <v>0</v>
      </c>
      <c r="DD341" s="5">
        <f>$DB$25*(DC341+(1-DC341)*$DB$16)</f>
        <v>0.0</v>
      </c>
      <c r="DE341" s="13">
        <f>DD341*($DB$6+ACUTE_MARGIN)</f>
        <v>0.0</v>
      </c>
      <c r="DF341" s="13">
        <f>IF(DB341=1,$DB$31,$DB$32)</f>
        <v>152394.16214437486</v>
      </c>
      <c r="DG341" s="13">
        <f>DE341-DF341</f>
        <v>-152394.16214437486</v>
      </c>
      <c r="DH341" s="13">
        <f>DH340+DG341</f>
        <v>-1088723.2049763782</v>
      </c>
      <c r="DI341">
        <f>IF(DH341=MAX($DH$83:$DH$483),$A341,0)</f>
        <v>0</v>
      </c>
      <c r="DJ341">
        <f>IF(DE341&lt;DF341,$A341,B_MAX+1)</f>
        <v>258</v>
      </c>
      <c r="DK341" s="13">
        <f>IF(DB341=1,$DB$35,$DB$36)</f>
        <v>0</v>
      </c>
      <c r="DL341" s="13">
        <f>OCC_DAYS*$DB$41*R_NF_2023-DD341*MCD_SHARE_FREED*R_WAIT_2023</f>
        <v>151980.48282209205</v>
      </c>
      <c r="DM341">
        <f>IF($A341&lt;=$DB$45,1,0)</f>
        <v>0</v>
      </c>
      <c r="EB341">
        <f>IF($EB$31&lt;=$EB$32,IF($A341&lt;=$EB$7,1,2),IF($A341&lt;=RUNG_BEDS_2,2,1))</f>
        <v>1</v>
      </c>
      <c r="EC341" s="5">
        <f>MIN(1,MAX(0,$EB$26-($A341-1)))</f>
        <v>0</v>
      </c>
      <c r="ED341" s="5">
        <f>$EB$25*(EC341+(1-EC341)*$EB$16)</f>
        <v>0.0</v>
      </c>
      <c r="EE341" s="13">
        <f>ED341*($EB$6+ACUTE_MARGIN)</f>
        <v>0.0</v>
      </c>
      <c r="EF341" s="13">
        <f>IF(EB341=1,$EB$31,$EB$32)</f>
        <v>152394.16214437486</v>
      </c>
      <c r="EG341" s="13">
        <f>EE341-EF341</f>
        <v>-152394.16214437486</v>
      </c>
      <c r="EH341" s="13">
        <f>EH340+EG341</f>
        <v>-1088723.2049763782</v>
      </c>
      <c r="EI341">
        <f>IF(EH341=MAX($EH$83:$EH$483),$A341,0)</f>
        <v>0</v>
      </c>
      <c r="EJ341">
        <f>IF(EE341&lt;EF341,$A341,B_MAX+1)</f>
        <v>258</v>
      </c>
      <c r="EK341" s="13">
        <f>IF(EB341=1,$EB$35,$EB$36)</f>
        <v>0</v>
      </c>
      <c r="EL341" s="13">
        <f>OCC_DAYS*$EB$41*R_NF_2023-ED341*MCD_SHARE_FREED*R_WAIT_2023</f>
        <v>50660.16094069735</v>
      </c>
      <c r="EM341">
        <f>IF($A341&lt;=$EB$45,1,0)</f>
        <v>0</v>
      </c>
      <c r="FB341">
        <f>IF($FB$31&lt;=$FB$32,IF($A341&lt;=$FB$7,1,2),IF($A341&lt;=RUNG_BEDS_2,2,1))</f>
        <v>1</v>
      </c>
      <c r="FC341" s="5">
        <f>MIN(1,MAX(0,$FB$26-($A341-1)))</f>
        <v>0</v>
      </c>
      <c r="FD341" s="5">
        <f>$FB$25*(FC341+(1-FC341)*$FB$16)</f>
        <v>0.0</v>
      </c>
      <c r="FE341" s="13">
        <f>FD341*($FB$6+ACUTE_MARGIN)</f>
        <v>0.0</v>
      </c>
      <c r="FF341" s="13">
        <f>IF(FB341=1,$FB$31,$FB$32)</f>
        <v>156636.04979437485</v>
      </c>
      <c r="FG341" s="13">
        <f>FE341-FF341</f>
        <v>-156636.04979437485</v>
      </c>
      <c r="FH341" s="13">
        <f>FH340+FG341</f>
        <v>-2183130.2186764926</v>
      </c>
      <c r="FI341">
        <f>IF(FH341=MAX($FH$83:$FH$483),$A341,0)</f>
        <v>0</v>
      </c>
      <c r="FJ341">
        <f>IF(FE341&lt;FF341,$A341,B_MAX+1)</f>
        <v>258</v>
      </c>
      <c r="FK341" s="13">
        <f>IF(FB341=1,$FB$35,$FB$36)</f>
        <v>0</v>
      </c>
      <c r="FL341" s="13">
        <f>OCC_DAYS*$FB$41*R_NF_2023-FD341*MCD_SHARE_FREED*R_WAIT_2023</f>
        <v>151980.48282209205</v>
      </c>
      <c r="FM341">
        <f>IF($A341&lt;=$FB$45,1,0)</f>
        <v>0</v>
      </c>
      <c r="GB341">
        <f>IF($GB$31&lt;=$GB$32,IF($A341&lt;=$GB$7,1,2),IF($A341&lt;=RUNG_BEDS_2,2,1))</f>
        <v>1</v>
      </c>
      <c r="GC341" s="5">
        <f>MIN(1,MAX(0,$GB$26-($A341-1)))</f>
        <v>0</v>
      </c>
      <c r="GD341" s="5">
        <f>$GB$25*(GC341+(1-GC341)*$GB$16)</f>
        <v>0.0</v>
      </c>
      <c r="GE341" s="13">
        <f>GD341*($GB$6+ACUTE_MARGIN)</f>
        <v>0.0</v>
      </c>
      <c r="GF341" s="13">
        <f>IF(GB341=1,$GB$31,$GB$32)</f>
        <v>152394.16214437486</v>
      </c>
      <c r="GG341" s="13">
        <f>GE341-GF341</f>
        <v>-152394.16214437486</v>
      </c>
      <c r="GH341" s="13">
        <f>GH340+GG341</f>
        <v>-1088723.2049763782</v>
      </c>
      <c r="GI341">
        <f>IF(GH341=MAX($GH$83:$GH$483),$A341,0)</f>
        <v>0</v>
      </c>
      <c r="GJ341">
        <f>IF(GE341&lt;GF341,$A341,B_MAX+1)</f>
        <v>258</v>
      </c>
      <c r="GK341" s="13">
        <f>IF(GB341=1,$GB$35,$GB$36)</f>
        <v>0</v>
      </c>
      <c r="GL341" s="13">
        <f>OCC_DAYS*$GB$41*R_NF_2023-GD341*MCD_SHARE_FREED*R_WAIT_2023</f>
        <v>151980.48282209205</v>
      </c>
      <c r="GM341">
        <f>IF($A341&lt;=$GB$45,1,0)</f>
        <v>0</v>
      </c>
      <c r="HB341">
        <f>IF($HB$31&lt;=$HB$32,IF($A341&lt;=$HB$7,1,2),IF($A341&lt;=RUNG_BEDS_2,2,1))</f>
        <v>1</v>
      </c>
      <c r="HC341" s="5">
        <f>MIN(1,MAX(0,$HB$26-($A341-1)))</f>
        <v>0</v>
      </c>
      <c r="HD341" s="5">
        <f>$HB$25*(HC341+(1-HC341)*$HB$16)</f>
        <v>0.0</v>
      </c>
      <c r="HE341" s="13">
        <f>HD341*($HB$6+ACUTE_MARGIN)</f>
        <v>0.0</v>
      </c>
      <c r="HF341" s="13">
        <f>IF(HB341=1,$HB$31,$HB$32)</f>
        <v>152456.2970814058</v>
      </c>
      <c r="HG341" s="13">
        <f>HE341-HF341</f>
        <v>-152456.2970814058</v>
      </c>
      <c r="HH341" s="13">
        <f>HH340+HG341</f>
        <v>-1104754.0187304</v>
      </c>
      <c r="HI341">
        <f>IF(HH341=MAX($HH$83:$HH$483),$A341,0)</f>
        <v>0</v>
      </c>
      <c r="HJ341">
        <f>IF(HE341&lt;HF341,$A341,B_MAX+1)</f>
        <v>258</v>
      </c>
      <c r="HK341" s="13">
        <f>IF(HB341=1,$HB$35,$HB$36)</f>
        <v>0</v>
      </c>
      <c r="HL341" s="13">
        <f>OCC_DAYS*$HB$41*R_NF_2023-HD341*MCD_SHARE_FREED*R_WAIT_2023</f>
        <v>151980.48282209205</v>
      </c>
      <c r="HM341">
        <f>IF($A341&lt;=$HB$45,1,0)</f>
        <v>0</v>
      </c>
      <c r="IB341">
        <f>IF($IB$31&lt;=$IB$32,IF($A341&lt;=$IB$7,1,2),IF($A341&lt;=RUNG_BEDS_2,2,1))</f>
        <v>1</v>
      </c>
      <c r="IC341" s="5">
        <f>MIN(1,MAX(0,$IB$26-($A341-1)))</f>
        <v>0</v>
      </c>
      <c r="ID341" s="5">
        <f>$IB$25*(IC341+(1-IC341)*$IB$16)</f>
        <v>0.0</v>
      </c>
      <c r="IE341" s="13">
        <f>ID341*($IB$6+ACUTE_MARGIN)</f>
        <v>0.0</v>
      </c>
      <c r="IF341" s="13">
        <f>IF(IB341=1,$IB$31,$IB$32)</f>
        <v>152734.9994534971</v>
      </c>
      <c r="IG341" s="13">
        <f>IE341-IF341</f>
        <v>-152734.9994534971</v>
      </c>
      <c r="IH341" s="13">
        <f>IH340+IG341</f>
        <v>-1176659.230730009</v>
      </c>
      <c r="II341">
        <f>IF(IH341=MAX($IH$83:$IH$483),$A341,0)</f>
        <v>0</v>
      </c>
      <c r="IJ341">
        <f>IF(IE341&lt;IF341,$A341,B_MAX+1)</f>
        <v>258</v>
      </c>
      <c r="IK341" s="13">
        <f>IF(IB341=1,$IB$35,$IB$36)</f>
        <v>0</v>
      </c>
      <c r="IL341" s="13">
        <f>OCC_DAYS*$IB$41*R_NF_2023-ID341*MCD_SHARE_FREED*R_WAIT_2023</f>
        <v>151980.48282209205</v>
      </c>
      <c r="IM341">
        <f>IF($A341&lt;=$IB$45,1,0)</f>
        <v>0</v>
      </c>
      <c r="JB341">
        <f>IF($JB$31&lt;=$JB$32,IF($A341&lt;=$JB$7,1,2),IF($A341&lt;=RUNG_BEDS_2,2,1))</f>
        <v>1</v>
      </c>
      <c r="JC341" s="5">
        <f>MIN(1,MAX(0,$JB$26-($A341-1)))</f>
        <v>0</v>
      </c>
      <c r="JD341" s="5">
        <f>$JB$25*(JC341+(1-JC341)*$JB$16)</f>
        <v>0.0</v>
      </c>
      <c r="JE341" s="13">
        <f>JD341*($JB$6+ACUTE_MARGIN)</f>
        <v>0.0</v>
      </c>
      <c r="JF341" s="13">
        <f>IF(JB341=1,$JB$31,$JB$32)</f>
        <v>152394.16214437486</v>
      </c>
      <c r="JG341" s="13">
        <f>JE341-JF341</f>
        <v>-152394.16214437486</v>
      </c>
      <c r="JH341" s="13">
        <f>JH340+JG341</f>
        <v>-1088723.2049763782</v>
      </c>
      <c r="JI341">
        <f>IF(JH341=MAX($JH$83:$JH$483),$A341,0)</f>
        <v>0</v>
      </c>
      <c r="JJ341">
        <f>IF(JE341&lt;JF341,$A341,B_MAX+1)</f>
        <v>258</v>
      </c>
      <c r="JK341" s="13">
        <f>IF(JB341=1,$JB$35,$JB$36)</f>
        <v>0</v>
      </c>
      <c r="JL341" s="13">
        <f>OCC_DAYS*$JB$41*R_NF_2023-JD341*MCD_SHARE_FREED*R_WAIT_2023</f>
        <v>151980.48282209205</v>
      </c>
      <c r="JM341">
        <f>IF($A341&lt;=$JB$45,1,0)</f>
        <v>0</v>
      </c>
      <c r="KB341">
        <f>IF($KB$31&lt;=$KB$32,IF($A341&lt;=$KB$7,1,2),IF($A341&lt;=RUNG_BEDS_2,2,1))</f>
        <v>1</v>
      </c>
      <c r="KC341" s="5">
        <f>MIN(1,MAX(0,$KB$26-($A341-1)))</f>
        <v>1</v>
      </c>
      <c r="KD341" s="5">
        <f>$KB$25*(KC341+(1-KC341)*$KB$16)</f>
        <v>126.02661357340719</v>
      </c>
      <c r="KE341" s="13">
        <f>KD341*($KB$6+ACUTE_MARGIN)</f>
        <v>127286.87970914126</v>
      </c>
      <c r="KF341" s="13">
        <f>IF(KB341=1,$KB$31,$KB$32)</f>
        <v>152394.16214437486</v>
      </c>
      <c r="KG341" s="13">
        <f>KE341-KF341</f>
        <v>-25107.282435233603</v>
      </c>
      <c r="KH341" s="13">
        <f>KH340+KG341</f>
        <v>-6477678.868290291</v>
      </c>
      <c r="KI341">
        <f>IF(KH341=MAX($KH$83:$KH$483),$A341,0)</f>
        <v>0</v>
      </c>
      <c r="KJ341">
        <f>IF(KE341&lt;KF341,$A341,B_MAX+1)</f>
        <v>258</v>
      </c>
      <c r="KK341" s="13">
        <f>IF(KB341=1,$KB$35,$KB$36)</f>
        <v>0</v>
      </c>
      <c r="KL341" s="13">
        <f>OCC_DAYS*$KB$41*R_NF_2023-KD341*MCD_SHARE_FREED*R_WAIT_2023</f>
        <v>94673.82103225985</v>
      </c>
      <c r="KM341">
        <f>IF($A341&lt;=$KB$45,1,0)</f>
        <v>0</v>
      </c>
      <c r="LB341">
        <f>IF($LB$31&lt;=$LB$32,IF($A341&lt;=$LB$7,1,2),IF($A341&lt;=RUNG_BEDS_2,2,1))</f>
        <v>1</v>
      </c>
      <c r="LC341" s="5">
        <f>MIN(1,MAX(0,$LB$26-($A341-1)))</f>
        <v>1</v>
      </c>
      <c r="LD341" s="5">
        <f>$LB$25*(LC341+(1-LC341)*$LB$16)</f>
        <v>84.01774238227146</v>
      </c>
      <c r="LE341" s="13">
        <f>LD341*($LB$6+ACUTE_MARGIN)</f>
        <v>84857.91980609419</v>
      </c>
      <c r="LF341" s="13">
        <f>IF(LB341=1,$LB$31,$LB$32)</f>
        <v>152394.16214437486</v>
      </c>
      <c r="LG341" s="13">
        <f>LE341-LF341</f>
        <v>-67536.24233828067</v>
      </c>
      <c r="LH341" s="13">
        <f>LH340+LG341</f>
        <v>-17424350.5232765</v>
      </c>
      <c r="LI341">
        <f>IF(LH341=MAX($LH$83:$LH$483),$A341,0)</f>
        <v>0</v>
      </c>
      <c r="LJ341">
        <f>IF(LE341&lt;LF341,$A341,B_MAX+1)</f>
        <v>258</v>
      </c>
      <c r="LK341" s="13">
        <f>IF(LB341=1,$LB$35,$LB$36)</f>
        <v>0</v>
      </c>
      <c r="LL341" s="13">
        <f>OCC_DAYS*$LB$41*R_NF_2023-LD341*MCD_SHARE_FREED*R_WAIT_2023</f>
        <v>113776.04162887059</v>
      </c>
      <c r="LM341">
        <f>IF($A341&lt;=$LB$45,1,0)</f>
        <v>0</v>
      </c>
      <c r="MB341">
        <f>IF($MB$31&lt;=$MB$32,IF($A341&lt;=$MB$7,1,2),IF($A341&lt;=RUNG_BEDS_2,2,1))</f>
        <v>1</v>
      </c>
      <c r="MC341" s="5">
        <f>MIN(1,MAX(0,$MB$26-($A341-1)))</f>
        <v>0</v>
      </c>
      <c r="MD341" s="5">
        <f>$MB$25*(MC341+(1-MC341)*$MB$16)</f>
        <v>0.0</v>
      </c>
      <c r="ME341" s="13">
        <f>MD341*($MB$6+ACUTE_MARGIN)</f>
        <v>0.0</v>
      </c>
      <c r="MF341" s="13">
        <f>IF(MB341=1,$MB$31,$MB$32)</f>
        <v>152394.16214437486</v>
      </c>
      <c r="MG341" s="13">
        <f>ME341-MF341</f>
        <v>-152394.16214437486</v>
      </c>
      <c r="MH341" s="13">
        <f>MH340+MG341</f>
        <v>-6975999.266774712</v>
      </c>
      <c r="MI341">
        <f>IF(MH341=MAX($MH$83:$MH$483),$A341,0)</f>
        <v>0</v>
      </c>
      <c r="MJ341">
        <f>IF(ME341&lt;MF341,$A341,B_MAX+1)</f>
        <v>258</v>
      </c>
      <c r="MK341" s="13">
        <f>IF(MB341=1,$MB$35,$MB$36)</f>
        <v>0</v>
      </c>
      <c r="ML341" s="13">
        <f>OCC_DAYS*$MB$41*R_NF_2023-MD341*MCD_SHARE_FREED*R_WAIT_2023</f>
        <v>151980.48282209205</v>
      </c>
      <c r="MM341">
        <f>IF($A341&lt;=$MB$45,1,0)</f>
        <v>0</v>
      </c>
      <c r="NB341">
        <f>IF($NB$31&lt;=$NB$32,IF($A341&lt;=$NB$7,1,2),IF($A341&lt;=RUNG_BEDS_2,2,1))</f>
        <v>1</v>
      </c>
      <c r="NC341" s="5">
        <f>MIN(1,MAX(0,$NB$26-($A341-1)))</f>
        <v>0</v>
      </c>
      <c r="ND341" s="5">
        <f>$NB$25*(NC341+(1-NC341)*$NB$16)</f>
        <v>63.013306786703595</v>
      </c>
      <c r="NE341" s="13">
        <f>ND341*($NB$6+ACUTE_MARGIN)</f>
        <v>63643.43985457063</v>
      </c>
      <c r="NF341" s="13">
        <f>IF(NB341=1,$NB$31,$NB$32)</f>
        <v>152394.16214437486</v>
      </c>
      <c r="NG341" s="13">
        <f>NE341-NF341</f>
        <v>-88750.72228980422</v>
      </c>
      <c r="NH341" s="13">
        <f>NH340+NG341</f>
        <v>5774041.620434739</v>
      </c>
      <c r="NI341">
        <f>IF(NH341=MAX($NH$83:$NH$483),$A341,0)</f>
        <v>0</v>
      </c>
      <c r="NJ341">
        <f>IF(NE341&lt;NF341,$A341,B_MAX+1)</f>
        <v>258</v>
      </c>
      <c r="NK341" s="13">
        <f>IF(NB341=1,$NB$35,$NB$36)</f>
        <v>0</v>
      </c>
      <c r="NL341" s="13">
        <f>OCC_DAYS*$NB$41*R_NF_2023-ND341*MCD_SHARE_FREED*R_WAIT_2023</f>
        <v>123327.15192717595</v>
      </c>
      <c r="NM341">
        <f>IF($A341&lt;=$NB$45,1,0)</f>
        <v>0</v>
      </c>
      <c r="OB341">
        <f>IF($OB$31&lt;=$OB$32,IF($A341&lt;=$OB$7,1,2),IF($A341&lt;=RUNG_BEDS_2,2,1))</f>
        <v>1</v>
      </c>
      <c r="OC341" s="5">
        <f>MIN(1,MAX(0,$OB$26-($A341-1)))</f>
        <v>0</v>
      </c>
      <c r="OD341" s="5">
        <f>$OB$25*(OC341+(1-OC341)*$OB$16)</f>
        <v>126.02661357340719</v>
      </c>
      <c r="OE341" s="13">
        <f>OD341*($OB$6+ACUTE_MARGIN)</f>
        <v>127286.87970914126</v>
      </c>
      <c r="OF341" s="13">
        <f>IF(OB341=1,$OB$31,$OB$32)</f>
        <v>152394.16214437486</v>
      </c>
      <c r="OG341" s="13">
        <f>OE341-OF341</f>
        <v>-25107.282435233603</v>
      </c>
      <c r="OH341" s="13">
        <f>OH340+OG341</f>
        <v>12636806.445846003</v>
      </c>
      <c r="OI341">
        <f>IF(OH341=MAX($OH$83:$OH$483),$A341,0)</f>
        <v>0</v>
      </c>
      <c r="OJ341">
        <f>IF(OE341&lt;OF341,$A341,B_MAX+1)</f>
        <v>258</v>
      </c>
      <c r="OK341" s="13">
        <f>IF(OB341=1,$OB$35,$OB$36)</f>
        <v>0</v>
      </c>
      <c r="OL341" s="13">
        <f>OCC_DAYS*$OB$41*R_NF_2023-OD341*MCD_SHARE_FREED*R_WAIT_2023</f>
        <v>94673.82103225985</v>
      </c>
      <c r="OM341">
        <f>IF($A341&lt;=$OB$45,1,0)</f>
        <v>0</v>
      </c>
    </row>
    <row r="342">
      <c r="A342" t="n">
        <v>259</v>
      </c>
      <c r="B342">
        <f>IF($B$31&lt;=$B$32,IF($A342&lt;=$B$7,1,2),IF($A342&lt;=RUNG_BEDS_2,2,1))</f>
        <v>1</v>
      </c>
      <c r="C342" s="5">
        <f>MIN(1,MAX(0,$B$26-($A342-1)))</f>
        <v>0</v>
      </c>
      <c r="D342" s="5">
        <f>$B$25*(C342+(1-C342)*$B$16)</f>
        <v>0.0</v>
      </c>
      <c r="E342" s="13">
        <f>D342*($B$6+ACUTE_MARGIN)</f>
        <v>0.0</v>
      </c>
      <c r="F342" s="13">
        <f>IF(B342=1,$B$31,$B$32)</f>
        <v>152394.16214437486</v>
      </c>
      <c r="G342" s="13">
        <f>E342-F342</f>
        <v>-152394.16214437486</v>
      </c>
      <c r="H342" s="13">
        <f>H341+G342</f>
        <v>-1241117.367120753</v>
      </c>
      <c r="I342">
        <f>IF(H342=MAX($H$83:$H$483),$A342,0)</f>
        <v>0</v>
      </c>
      <c r="J342">
        <f>IF(E342&lt;F342,$A342,B_MAX+1)</f>
        <v>259</v>
      </c>
      <c r="K342" s="13">
        <f>IF(B342=1,$B$35,$B$36)</f>
        <v>0</v>
      </c>
      <c r="L342" s="13">
        <f>OCC_DAYS*$B$41*R_NF_2023-D342*MCD_SHARE_FREED*R_WAIT_2023</f>
        <v>151980.48282209205</v>
      </c>
      <c r="M342">
        <f>IF($A342&lt;=$B$45,1,0)</f>
        <v>0</v>
      </c>
      <c r="AB342">
        <f>IF($AB$31&lt;=$AB$32,IF($A342&lt;=$AB$7,1,2),IF($A342&lt;=RUNG_BEDS_2,2,1))</f>
        <v>1</v>
      </c>
      <c r="AC342" s="5">
        <f>MIN(1,MAX(0,$AB$26-($A342-1)))</f>
        <v>0</v>
      </c>
      <c r="AD342" s="5">
        <f>$AB$25*(AC342+(1-AC342)*$AB$16)</f>
        <v>0.0</v>
      </c>
      <c r="AE342" s="13">
        <f>AD342*($AB$6+ACUTE_MARGIN)</f>
        <v>0.0</v>
      </c>
      <c r="AF342" s="13">
        <f>IF(AB342=1,$AB$31,$AB$32)</f>
        <v>152394.16214437486</v>
      </c>
      <c r="AG342" s="13">
        <f>AE342-AF342</f>
        <v>-152394.16214437486</v>
      </c>
      <c r="AH342" s="13">
        <f>AH341+AG342</f>
        <v>-18652331.71267053</v>
      </c>
      <c r="AI342">
        <f>IF(AH342=MAX($AH$83:$AH$483),$A342,0)</f>
        <v>0</v>
      </c>
      <c r="AJ342">
        <f>IF(AE342&lt;AF342,$A342,B_MAX+1)</f>
        <v>259</v>
      </c>
      <c r="AK342" s="13">
        <f>IF(AB342=1,$AB$35,$AB$36)</f>
        <v>0</v>
      </c>
      <c r="AL342" s="13">
        <f>OCC_DAYS*$AB$41*R_NF_2023-AD342*MCD_SHARE_FREED*R_WAIT_2023</f>
        <v>151980.48282209205</v>
      </c>
      <c r="AM342">
        <f>IF($A342&lt;=$AB$45,1,0)</f>
        <v>0</v>
      </c>
      <c r="BB342">
        <f>IF($BB$31&lt;=$BB$32,IF($A342&lt;=$BB$7,1,2),IF($A342&lt;=RUNG_BEDS_2,2,1))</f>
        <v>1</v>
      </c>
      <c r="BC342" s="5">
        <f>MIN(1,MAX(0,$BB$26-($A342-1)))</f>
        <v>0</v>
      </c>
      <c r="BD342" s="5">
        <f>$BB$25*(BC342+(1-BC342)*$BB$16)</f>
        <v>0.0</v>
      </c>
      <c r="BE342" s="13">
        <f>BD342*($BB$6+ACUTE_MARGIN)</f>
        <v>0.0</v>
      </c>
      <c r="BF342" s="13">
        <f>IF(BB342=1,$BB$31,$BB$32)</f>
        <v>152394.16214437486</v>
      </c>
      <c r="BG342" s="13">
        <f>BE342-BF342</f>
        <v>-152394.16214437486</v>
      </c>
      <c r="BH342" s="13">
        <f>BH341+BG342</f>
        <v>16170096.978428964</v>
      </c>
      <c r="BI342">
        <f>IF(BH342=MAX($BH$83:$BH$483),$A342,0)</f>
        <v>0</v>
      </c>
      <c r="BJ342">
        <f>IF(BE342&lt;BF342,$A342,B_MAX+1)</f>
        <v>259</v>
      </c>
      <c r="BK342" s="13">
        <f>IF(BB342=1,$BB$35,$BB$36)</f>
        <v>0</v>
      </c>
      <c r="BL342" s="13">
        <f>OCC_DAYS*$BB$41*R_NF_2023-BD342*MCD_SHARE_FREED*R_WAIT_2023</f>
        <v>151980.48282209205</v>
      </c>
      <c r="BM342">
        <f>IF($A342&lt;=$BB$45,1,0)</f>
        <v>0</v>
      </c>
      <c r="CB342">
        <f>IF($CB$31&lt;=$CB$32,IF($A342&lt;=$CB$7,1,2),IF($A342&lt;=RUNG_BEDS_2,2,1))</f>
        <v>2</v>
      </c>
      <c r="CC342" s="5">
        <f>MIN(1,MAX(0,$CB$26-($A342-1)))</f>
        <v>0</v>
      </c>
      <c r="CD342" s="5">
        <f>$CB$25*(CC342+(1-CC342)*$CB$16)</f>
        <v>0.0</v>
      </c>
      <c r="CE342" s="13">
        <f>CD342*($CB$6+ACUTE_MARGIN)</f>
        <v>0.0</v>
      </c>
      <c r="CF342" s="13">
        <f>IF(CB342=1,$CB$31,$CB$32)</f>
        <v>160718.36940738867</v>
      </c>
      <c r="CG342" s="13">
        <f>CE342-CF342</f>
        <v>-160718.36940738867</v>
      </c>
      <c r="CH342" s="13">
        <f>CH341+CG342</f>
        <v>-3397087.048241446</v>
      </c>
      <c r="CI342">
        <f>IF(CH342=MAX($CH$83:$CH$483),$A342,0)</f>
        <v>0</v>
      </c>
      <c r="CJ342">
        <f>IF(CE342&lt;CF342,$A342,B_MAX+1)</f>
        <v>259</v>
      </c>
      <c r="CK342" s="13">
        <f>IF(CB342=1,$CB$35,$CB$36)</f>
        <v>1560.1194073886782</v>
      </c>
      <c r="CL342" s="13">
        <f>OCC_DAYS*$CB$41*R_NF_2023-CD342*MCD_SHARE_FREED*R_WAIT_2023</f>
        <v>151980.48282209205</v>
      </c>
      <c r="CM342">
        <f>IF($A342&lt;=$CB$45,1,0)</f>
        <v>0</v>
      </c>
      <c r="DB342">
        <f>IF($DB$31&lt;=$DB$32,IF($A342&lt;=$DB$7,1,2),IF($A342&lt;=RUNG_BEDS_2,2,1))</f>
        <v>1</v>
      </c>
      <c r="DC342" s="5">
        <f>MIN(1,MAX(0,$DB$26-($A342-1)))</f>
        <v>0</v>
      </c>
      <c r="DD342" s="5">
        <f>$DB$25*(DC342+(1-DC342)*$DB$16)</f>
        <v>0.0</v>
      </c>
      <c r="DE342" s="13">
        <f>DD342*($DB$6+ACUTE_MARGIN)</f>
        <v>0.0</v>
      </c>
      <c r="DF342" s="13">
        <f>IF(DB342=1,$DB$31,$DB$32)</f>
        <v>152394.16214437486</v>
      </c>
      <c r="DG342" s="13">
        <f>DE342-DF342</f>
        <v>-152394.16214437486</v>
      </c>
      <c r="DH342" s="13">
        <f>DH341+DG342</f>
        <v>-1241117.367120753</v>
      </c>
      <c r="DI342">
        <f>IF(DH342=MAX($DH$83:$DH$483),$A342,0)</f>
        <v>0</v>
      </c>
      <c r="DJ342">
        <f>IF(DE342&lt;DF342,$A342,B_MAX+1)</f>
        <v>259</v>
      </c>
      <c r="DK342" s="13">
        <f>IF(DB342=1,$DB$35,$DB$36)</f>
        <v>0</v>
      </c>
      <c r="DL342" s="13">
        <f>OCC_DAYS*$DB$41*R_NF_2023-DD342*MCD_SHARE_FREED*R_WAIT_2023</f>
        <v>151980.48282209205</v>
      </c>
      <c r="DM342">
        <f>IF($A342&lt;=$DB$45,1,0)</f>
        <v>0</v>
      </c>
      <c r="EB342">
        <f>IF($EB$31&lt;=$EB$32,IF($A342&lt;=$EB$7,1,2),IF($A342&lt;=RUNG_BEDS_2,2,1))</f>
        <v>1</v>
      </c>
      <c r="EC342" s="5">
        <f>MIN(1,MAX(0,$EB$26-($A342-1)))</f>
        <v>0</v>
      </c>
      <c r="ED342" s="5">
        <f>$EB$25*(EC342+(1-EC342)*$EB$16)</f>
        <v>0.0</v>
      </c>
      <c r="EE342" s="13">
        <f>ED342*($EB$6+ACUTE_MARGIN)</f>
        <v>0.0</v>
      </c>
      <c r="EF342" s="13">
        <f>IF(EB342=1,$EB$31,$EB$32)</f>
        <v>152394.16214437486</v>
      </c>
      <c r="EG342" s="13">
        <f>EE342-EF342</f>
        <v>-152394.16214437486</v>
      </c>
      <c r="EH342" s="13">
        <f>EH341+EG342</f>
        <v>-1241117.367120753</v>
      </c>
      <c r="EI342">
        <f>IF(EH342=MAX($EH$83:$EH$483),$A342,0)</f>
        <v>0</v>
      </c>
      <c r="EJ342">
        <f>IF(EE342&lt;EF342,$A342,B_MAX+1)</f>
        <v>259</v>
      </c>
      <c r="EK342" s="13">
        <f>IF(EB342=1,$EB$35,$EB$36)</f>
        <v>0</v>
      </c>
      <c r="EL342" s="13">
        <f>OCC_DAYS*$EB$41*R_NF_2023-ED342*MCD_SHARE_FREED*R_WAIT_2023</f>
        <v>50660.16094069735</v>
      </c>
      <c r="EM342">
        <f>IF($A342&lt;=$EB$45,1,0)</f>
        <v>0</v>
      </c>
      <c r="FB342">
        <f>IF($FB$31&lt;=$FB$32,IF($A342&lt;=$FB$7,1,2),IF($A342&lt;=RUNG_BEDS_2,2,1))</f>
        <v>1</v>
      </c>
      <c r="FC342" s="5">
        <f>MIN(1,MAX(0,$FB$26-($A342-1)))</f>
        <v>0</v>
      </c>
      <c r="FD342" s="5">
        <f>$FB$25*(FC342+(1-FC342)*$FB$16)</f>
        <v>0.0</v>
      </c>
      <c r="FE342" s="13">
        <f>FD342*($FB$6+ACUTE_MARGIN)</f>
        <v>0.0</v>
      </c>
      <c r="FF342" s="13">
        <f>IF(FB342=1,$FB$31,$FB$32)</f>
        <v>156636.04979437485</v>
      </c>
      <c r="FG342" s="13">
        <f>FE342-FF342</f>
        <v>-156636.04979437485</v>
      </c>
      <c r="FH342" s="13">
        <f>FH341+FG342</f>
        <v>-2339766.2684708675</v>
      </c>
      <c r="FI342">
        <f>IF(FH342=MAX($FH$83:$FH$483),$A342,0)</f>
        <v>0</v>
      </c>
      <c r="FJ342">
        <f>IF(FE342&lt;FF342,$A342,B_MAX+1)</f>
        <v>259</v>
      </c>
      <c r="FK342" s="13">
        <f>IF(FB342=1,$FB$35,$FB$36)</f>
        <v>0</v>
      </c>
      <c r="FL342" s="13">
        <f>OCC_DAYS*$FB$41*R_NF_2023-FD342*MCD_SHARE_FREED*R_WAIT_2023</f>
        <v>151980.48282209205</v>
      </c>
      <c r="FM342">
        <f>IF($A342&lt;=$FB$45,1,0)</f>
        <v>0</v>
      </c>
      <c r="GB342">
        <f>IF($GB$31&lt;=$GB$32,IF($A342&lt;=$GB$7,1,2),IF($A342&lt;=RUNG_BEDS_2,2,1))</f>
        <v>1</v>
      </c>
      <c r="GC342" s="5">
        <f>MIN(1,MAX(0,$GB$26-($A342-1)))</f>
        <v>0</v>
      </c>
      <c r="GD342" s="5">
        <f>$GB$25*(GC342+(1-GC342)*$GB$16)</f>
        <v>0.0</v>
      </c>
      <c r="GE342" s="13">
        <f>GD342*($GB$6+ACUTE_MARGIN)</f>
        <v>0.0</v>
      </c>
      <c r="GF342" s="13">
        <f>IF(GB342=1,$GB$31,$GB$32)</f>
        <v>152394.16214437486</v>
      </c>
      <c r="GG342" s="13">
        <f>GE342-GF342</f>
        <v>-152394.16214437486</v>
      </c>
      <c r="GH342" s="13">
        <f>GH341+GG342</f>
        <v>-1241117.367120753</v>
      </c>
      <c r="GI342">
        <f>IF(GH342=MAX($GH$83:$GH$483),$A342,0)</f>
        <v>0</v>
      </c>
      <c r="GJ342">
        <f>IF(GE342&lt;GF342,$A342,B_MAX+1)</f>
        <v>259</v>
      </c>
      <c r="GK342" s="13">
        <f>IF(GB342=1,$GB$35,$GB$36)</f>
        <v>0</v>
      </c>
      <c r="GL342" s="13">
        <f>OCC_DAYS*$GB$41*R_NF_2023-GD342*MCD_SHARE_FREED*R_WAIT_2023</f>
        <v>151980.48282209205</v>
      </c>
      <c r="GM342">
        <f>IF($A342&lt;=$GB$45,1,0)</f>
        <v>0</v>
      </c>
      <c r="HB342">
        <f>IF($HB$31&lt;=$HB$32,IF($A342&lt;=$HB$7,1,2),IF($A342&lt;=RUNG_BEDS_2,2,1))</f>
        <v>1</v>
      </c>
      <c r="HC342" s="5">
        <f>MIN(1,MAX(0,$HB$26-($A342-1)))</f>
        <v>0</v>
      </c>
      <c r="HD342" s="5">
        <f>$HB$25*(HC342+(1-HC342)*$HB$16)</f>
        <v>0.0</v>
      </c>
      <c r="HE342" s="13">
        <f>HD342*($HB$6+ACUTE_MARGIN)</f>
        <v>0.0</v>
      </c>
      <c r="HF342" s="13">
        <f>IF(HB342=1,$HB$31,$HB$32)</f>
        <v>152456.2970814058</v>
      </c>
      <c r="HG342" s="13">
        <f>HE342-HF342</f>
        <v>-152456.2970814058</v>
      </c>
      <c r="HH342" s="13">
        <f>HH341+HG342</f>
        <v>-1257210.3158118057</v>
      </c>
      <c r="HI342">
        <f>IF(HH342=MAX($HH$83:$HH$483),$A342,0)</f>
        <v>0</v>
      </c>
      <c r="HJ342">
        <f>IF(HE342&lt;HF342,$A342,B_MAX+1)</f>
        <v>259</v>
      </c>
      <c r="HK342" s="13">
        <f>IF(HB342=1,$HB$35,$HB$36)</f>
        <v>0</v>
      </c>
      <c r="HL342" s="13">
        <f>OCC_DAYS*$HB$41*R_NF_2023-HD342*MCD_SHARE_FREED*R_WAIT_2023</f>
        <v>151980.48282209205</v>
      </c>
      <c r="HM342">
        <f>IF($A342&lt;=$HB$45,1,0)</f>
        <v>0</v>
      </c>
      <c r="IB342">
        <f>IF($IB$31&lt;=$IB$32,IF($A342&lt;=$IB$7,1,2),IF($A342&lt;=RUNG_BEDS_2,2,1))</f>
        <v>1</v>
      </c>
      <c r="IC342" s="5">
        <f>MIN(1,MAX(0,$IB$26-($A342-1)))</f>
        <v>0</v>
      </c>
      <c r="ID342" s="5">
        <f>$IB$25*(IC342+(1-IC342)*$IB$16)</f>
        <v>0.0</v>
      </c>
      <c r="IE342" s="13">
        <f>ID342*($IB$6+ACUTE_MARGIN)</f>
        <v>0.0</v>
      </c>
      <c r="IF342" s="13">
        <f>IF(IB342=1,$IB$31,$IB$32)</f>
        <v>152734.9994534971</v>
      </c>
      <c r="IG342" s="13">
        <f>IE342-IF342</f>
        <v>-152734.9994534971</v>
      </c>
      <c r="IH342" s="13">
        <f>IH341+IG342</f>
        <v>-1329394.2301835062</v>
      </c>
      <c r="II342">
        <f>IF(IH342=MAX($IH$83:$IH$483),$A342,0)</f>
        <v>0</v>
      </c>
      <c r="IJ342">
        <f>IF(IE342&lt;IF342,$A342,B_MAX+1)</f>
        <v>259</v>
      </c>
      <c r="IK342" s="13">
        <f>IF(IB342=1,$IB$35,$IB$36)</f>
        <v>0</v>
      </c>
      <c r="IL342" s="13">
        <f>OCC_DAYS*$IB$41*R_NF_2023-ID342*MCD_SHARE_FREED*R_WAIT_2023</f>
        <v>151980.48282209205</v>
      </c>
      <c r="IM342">
        <f>IF($A342&lt;=$IB$45,1,0)</f>
        <v>0</v>
      </c>
      <c r="JB342">
        <f>IF($JB$31&lt;=$JB$32,IF($A342&lt;=$JB$7,1,2),IF($A342&lt;=RUNG_BEDS_2,2,1))</f>
        <v>1</v>
      </c>
      <c r="JC342" s="5">
        <f>MIN(1,MAX(0,$JB$26-($A342-1)))</f>
        <v>0</v>
      </c>
      <c r="JD342" s="5">
        <f>$JB$25*(JC342+(1-JC342)*$JB$16)</f>
        <v>0.0</v>
      </c>
      <c r="JE342" s="13">
        <f>JD342*($JB$6+ACUTE_MARGIN)</f>
        <v>0.0</v>
      </c>
      <c r="JF342" s="13">
        <f>IF(JB342=1,$JB$31,$JB$32)</f>
        <v>152394.16214437486</v>
      </c>
      <c r="JG342" s="13">
        <f>JE342-JF342</f>
        <v>-152394.16214437486</v>
      </c>
      <c r="JH342" s="13">
        <f>JH341+JG342</f>
        <v>-1241117.367120753</v>
      </c>
      <c r="JI342">
        <f>IF(JH342=MAX($JH$83:$JH$483),$A342,0)</f>
        <v>0</v>
      </c>
      <c r="JJ342">
        <f>IF(JE342&lt;JF342,$A342,B_MAX+1)</f>
        <v>259</v>
      </c>
      <c r="JK342" s="13">
        <f>IF(JB342=1,$JB$35,$JB$36)</f>
        <v>0</v>
      </c>
      <c r="JL342" s="13">
        <f>OCC_DAYS*$JB$41*R_NF_2023-JD342*MCD_SHARE_FREED*R_WAIT_2023</f>
        <v>151980.48282209205</v>
      </c>
      <c r="JM342">
        <f>IF($A342&lt;=$JB$45,1,0)</f>
        <v>0</v>
      </c>
      <c r="KB342">
        <f>IF($KB$31&lt;=$KB$32,IF($A342&lt;=$KB$7,1,2),IF($A342&lt;=RUNG_BEDS_2,2,1))</f>
        <v>1</v>
      </c>
      <c r="KC342" s="5">
        <f>MIN(1,MAX(0,$KB$26-($A342-1)))</f>
        <v>1</v>
      </c>
      <c r="KD342" s="5">
        <f>$KB$25*(KC342+(1-KC342)*$KB$16)</f>
        <v>126.02661357340719</v>
      </c>
      <c r="KE342" s="13">
        <f>KD342*($KB$6+ACUTE_MARGIN)</f>
        <v>127286.87970914126</v>
      </c>
      <c r="KF342" s="13">
        <f>IF(KB342=1,$KB$31,$KB$32)</f>
        <v>152394.16214437486</v>
      </c>
      <c r="KG342" s="13">
        <f>KE342-KF342</f>
        <v>-25107.282435233603</v>
      </c>
      <c r="KH342" s="13">
        <f>KH341+KG342</f>
        <v>-6502786.150725525</v>
      </c>
      <c r="KI342">
        <f>IF(KH342=MAX($KH$83:$KH$483),$A342,0)</f>
        <v>0</v>
      </c>
      <c r="KJ342">
        <f>IF(KE342&lt;KF342,$A342,B_MAX+1)</f>
        <v>259</v>
      </c>
      <c r="KK342" s="13">
        <f>IF(KB342=1,$KB$35,$KB$36)</f>
        <v>0</v>
      </c>
      <c r="KL342" s="13">
        <f>OCC_DAYS*$KB$41*R_NF_2023-KD342*MCD_SHARE_FREED*R_WAIT_2023</f>
        <v>94673.82103225985</v>
      </c>
      <c r="KM342">
        <f>IF($A342&lt;=$KB$45,1,0)</f>
        <v>0</v>
      </c>
      <c r="LB342">
        <f>IF($LB$31&lt;=$LB$32,IF($A342&lt;=$LB$7,1,2),IF($A342&lt;=RUNG_BEDS_2,2,1))</f>
        <v>1</v>
      </c>
      <c r="LC342" s="5">
        <f>MIN(1,MAX(0,$LB$26-($A342-1)))</f>
        <v>1</v>
      </c>
      <c r="LD342" s="5">
        <f>$LB$25*(LC342+(1-LC342)*$LB$16)</f>
        <v>84.01774238227146</v>
      </c>
      <c r="LE342" s="13">
        <f>LD342*($LB$6+ACUTE_MARGIN)</f>
        <v>84857.91980609419</v>
      </c>
      <c r="LF342" s="13">
        <f>IF(LB342=1,$LB$31,$LB$32)</f>
        <v>152394.16214437486</v>
      </c>
      <c r="LG342" s="13">
        <f>LE342-LF342</f>
        <v>-67536.24233828067</v>
      </c>
      <c r="LH342" s="13">
        <f>LH341+LG342</f>
        <v>-17491886.76561478</v>
      </c>
      <c r="LI342">
        <f>IF(LH342=MAX($LH$83:$LH$483),$A342,0)</f>
        <v>0</v>
      </c>
      <c r="LJ342">
        <f>IF(LE342&lt;LF342,$A342,B_MAX+1)</f>
        <v>259</v>
      </c>
      <c r="LK342" s="13">
        <f>IF(LB342=1,$LB$35,$LB$36)</f>
        <v>0</v>
      </c>
      <c r="LL342" s="13">
        <f>OCC_DAYS*$LB$41*R_NF_2023-LD342*MCD_SHARE_FREED*R_WAIT_2023</f>
        <v>113776.04162887059</v>
      </c>
      <c r="LM342">
        <f>IF($A342&lt;=$LB$45,1,0)</f>
        <v>0</v>
      </c>
      <c r="MB342">
        <f>IF($MB$31&lt;=$MB$32,IF($A342&lt;=$MB$7,1,2),IF($A342&lt;=RUNG_BEDS_2,2,1))</f>
        <v>1</v>
      </c>
      <c r="MC342" s="5">
        <f>MIN(1,MAX(0,$MB$26-($A342-1)))</f>
        <v>0</v>
      </c>
      <c r="MD342" s="5">
        <f>$MB$25*(MC342+(1-MC342)*$MB$16)</f>
        <v>0.0</v>
      </c>
      <c r="ME342" s="13">
        <f>MD342*($MB$6+ACUTE_MARGIN)</f>
        <v>0.0</v>
      </c>
      <c r="MF342" s="13">
        <f>IF(MB342=1,$MB$31,$MB$32)</f>
        <v>152394.16214437486</v>
      </c>
      <c r="MG342" s="13">
        <f>ME342-MF342</f>
        <v>-152394.16214437486</v>
      </c>
      <c r="MH342" s="13">
        <f>MH341+MG342</f>
        <v>-7128393.428919087</v>
      </c>
      <c r="MI342">
        <f>IF(MH342=MAX($MH$83:$MH$483),$A342,0)</f>
        <v>0</v>
      </c>
      <c r="MJ342">
        <f>IF(ME342&lt;MF342,$A342,B_MAX+1)</f>
        <v>259</v>
      </c>
      <c r="MK342" s="13">
        <f>IF(MB342=1,$MB$35,$MB$36)</f>
        <v>0</v>
      </c>
      <c r="ML342" s="13">
        <f>OCC_DAYS*$MB$41*R_NF_2023-MD342*MCD_SHARE_FREED*R_WAIT_2023</f>
        <v>151980.48282209205</v>
      </c>
      <c r="MM342">
        <f>IF($A342&lt;=$MB$45,1,0)</f>
        <v>0</v>
      </c>
      <c r="NB342">
        <f>IF($NB$31&lt;=$NB$32,IF($A342&lt;=$NB$7,1,2),IF($A342&lt;=RUNG_BEDS_2,2,1))</f>
        <v>1</v>
      </c>
      <c r="NC342" s="5">
        <f>MIN(1,MAX(0,$NB$26-($A342-1)))</f>
        <v>0</v>
      </c>
      <c r="ND342" s="5">
        <f>$NB$25*(NC342+(1-NC342)*$NB$16)</f>
        <v>63.013306786703595</v>
      </c>
      <c r="NE342" s="13">
        <f>ND342*($NB$6+ACUTE_MARGIN)</f>
        <v>63643.43985457063</v>
      </c>
      <c r="NF342" s="13">
        <f>IF(NB342=1,$NB$31,$NB$32)</f>
        <v>152394.16214437486</v>
      </c>
      <c r="NG342" s="13">
        <f>NE342-NF342</f>
        <v>-88750.72228980422</v>
      </c>
      <c r="NH342" s="13">
        <f>NH341+NG342</f>
        <v>5685290.898144934</v>
      </c>
      <c r="NI342">
        <f>IF(NH342=MAX($NH$83:$NH$483),$A342,0)</f>
        <v>0</v>
      </c>
      <c r="NJ342">
        <f>IF(NE342&lt;NF342,$A342,B_MAX+1)</f>
        <v>259</v>
      </c>
      <c r="NK342" s="13">
        <f>IF(NB342=1,$NB$35,$NB$36)</f>
        <v>0</v>
      </c>
      <c r="NL342" s="13">
        <f>OCC_DAYS*$NB$41*R_NF_2023-ND342*MCD_SHARE_FREED*R_WAIT_2023</f>
        <v>123327.15192717595</v>
      </c>
      <c r="NM342">
        <f>IF($A342&lt;=$NB$45,1,0)</f>
        <v>0</v>
      </c>
      <c r="OB342">
        <f>IF($OB$31&lt;=$OB$32,IF($A342&lt;=$OB$7,1,2),IF($A342&lt;=RUNG_BEDS_2,2,1))</f>
        <v>1</v>
      </c>
      <c r="OC342" s="5">
        <f>MIN(1,MAX(0,$OB$26-($A342-1)))</f>
        <v>0</v>
      </c>
      <c r="OD342" s="5">
        <f>$OB$25*(OC342+(1-OC342)*$OB$16)</f>
        <v>126.02661357340719</v>
      </c>
      <c r="OE342" s="13">
        <f>OD342*($OB$6+ACUTE_MARGIN)</f>
        <v>127286.87970914126</v>
      </c>
      <c r="OF342" s="13">
        <f>IF(OB342=1,$OB$31,$OB$32)</f>
        <v>152394.16214437486</v>
      </c>
      <c r="OG342" s="13">
        <f>OE342-OF342</f>
        <v>-25107.282435233603</v>
      </c>
      <c r="OH342" s="13">
        <f>OH341+OG342</f>
        <v>12611699.16341077</v>
      </c>
      <c r="OI342">
        <f>IF(OH342=MAX($OH$83:$OH$483),$A342,0)</f>
        <v>0</v>
      </c>
      <c r="OJ342">
        <f>IF(OE342&lt;OF342,$A342,B_MAX+1)</f>
        <v>259</v>
      </c>
      <c r="OK342" s="13">
        <f>IF(OB342=1,$OB$35,$OB$36)</f>
        <v>0</v>
      </c>
      <c r="OL342" s="13">
        <f>OCC_DAYS*$OB$41*R_NF_2023-OD342*MCD_SHARE_FREED*R_WAIT_2023</f>
        <v>94673.82103225985</v>
      </c>
      <c r="OM342">
        <f>IF($A342&lt;=$OB$45,1,0)</f>
        <v>0</v>
      </c>
    </row>
    <row r="343">
      <c r="A343" t="n">
        <v>260</v>
      </c>
      <c r="B343">
        <f>IF($B$31&lt;=$B$32,IF($A343&lt;=$B$7,1,2),IF($A343&lt;=RUNG_BEDS_2,2,1))</f>
        <v>1</v>
      </c>
      <c r="C343" s="5">
        <f>MIN(1,MAX(0,$B$26-($A343-1)))</f>
        <v>0</v>
      </c>
      <c r="D343" s="5">
        <f>$B$25*(C343+(1-C343)*$B$16)</f>
        <v>0.0</v>
      </c>
      <c r="E343" s="13">
        <f>D343*($B$6+ACUTE_MARGIN)</f>
        <v>0.0</v>
      </c>
      <c r="F343" s="13">
        <f>IF(B343=1,$B$31,$B$32)</f>
        <v>152394.16214437486</v>
      </c>
      <c r="G343" s="13">
        <f>E343-F343</f>
        <v>-152394.16214437486</v>
      </c>
      <c r="H343" s="13">
        <f>H342+G343</f>
        <v>-1393511.5292651278</v>
      </c>
      <c r="I343">
        <f>IF(H343=MAX($H$83:$H$483),$A343,0)</f>
        <v>0</v>
      </c>
      <c r="J343">
        <f>IF(E343&lt;F343,$A343,B_MAX+1)</f>
        <v>260</v>
      </c>
      <c r="K343" s="13">
        <f>IF(B343=1,$B$35,$B$36)</f>
        <v>0</v>
      </c>
      <c r="L343" s="13">
        <f>OCC_DAYS*$B$41*R_NF_2023-D343*MCD_SHARE_FREED*R_WAIT_2023</f>
        <v>151980.48282209205</v>
      </c>
      <c r="M343">
        <f>IF($A343&lt;=$B$45,1,0)</f>
        <v>0</v>
      </c>
      <c r="AB343">
        <f>IF($AB$31&lt;=$AB$32,IF($A343&lt;=$AB$7,1,2),IF($A343&lt;=RUNG_BEDS_2,2,1))</f>
        <v>1</v>
      </c>
      <c r="AC343" s="5">
        <f>MIN(1,MAX(0,$AB$26-($A343-1)))</f>
        <v>0</v>
      </c>
      <c r="AD343" s="5">
        <f>$AB$25*(AC343+(1-AC343)*$AB$16)</f>
        <v>0.0</v>
      </c>
      <c r="AE343" s="13">
        <f>AD343*($AB$6+ACUTE_MARGIN)</f>
        <v>0.0</v>
      </c>
      <c r="AF343" s="13">
        <f>IF(AB343=1,$AB$31,$AB$32)</f>
        <v>152394.16214437486</v>
      </c>
      <c r="AG343" s="13">
        <f>AE343-AF343</f>
        <v>-152394.16214437486</v>
      </c>
      <c r="AH343" s="13">
        <f>AH342+AG343</f>
        <v>-18804725.874814905</v>
      </c>
      <c r="AI343">
        <f>IF(AH343=MAX($AH$83:$AH$483),$A343,0)</f>
        <v>0</v>
      </c>
      <c r="AJ343">
        <f>IF(AE343&lt;AF343,$A343,B_MAX+1)</f>
        <v>260</v>
      </c>
      <c r="AK343" s="13">
        <f>IF(AB343=1,$AB$35,$AB$36)</f>
        <v>0</v>
      </c>
      <c r="AL343" s="13">
        <f>OCC_DAYS*$AB$41*R_NF_2023-AD343*MCD_SHARE_FREED*R_WAIT_2023</f>
        <v>151980.48282209205</v>
      </c>
      <c r="AM343">
        <f>IF($A343&lt;=$AB$45,1,0)</f>
        <v>0</v>
      </c>
      <c r="BB343">
        <f>IF($BB$31&lt;=$BB$32,IF($A343&lt;=$BB$7,1,2),IF($A343&lt;=RUNG_BEDS_2,2,1))</f>
        <v>1</v>
      </c>
      <c r="BC343" s="5">
        <f>MIN(1,MAX(0,$BB$26-($A343-1)))</f>
        <v>0</v>
      </c>
      <c r="BD343" s="5">
        <f>$BB$25*(BC343+(1-BC343)*$BB$16)</f>
        <v>0.0</v>
      </c>
      <c r="BE343" s="13">
        <f>BD343*($BB$6+ACUTE_MARGIN)</f>
        <v>0.0</v>
      </c>
      <c r="BF343" s="13">
        <f>IF(BB343=1,$BB$31,$BB$32)</f>
        <v>152394.16214437486</v>
      </c>
      <c r="BG343" s="13">
        <f>BE343-BF343</f>
        <v>-152394.16214437486</v>
      </c>
      <c r="BH343" s="13">
        <f>BH342+BG343</f>
        <v>16017702.81628459</v>
      </c>
      <c r="BI343">
        <f>IF(BH343=MAX($BH$83:$BH$483),$A343,0)</f>
        <v>0</v>
      </c>
      <c r="BJ343">
        <f>IF(BE343&lt;BF343,$A343,B_MAX+1)</f>
        <v>260</v>
      </c>
      <c r="BK343" s="13">
        <f>IF(BB343=1,$BB$35,$BB$36)</f>
        <v>0</v>
      </c>
      <c r="BL343" s="13">
        <f>OCC_DAYS*$BB$41*R_NF_2023-BD343*MCD_SHARE_FREED*R_WAIT_2023</f>
        <v>151980.48282209205</v>
      </c>
      <c r="BM343">
        <f>IF($A343&lt;=$BB$45,1,0)</f>
        <v>0</v>
      </c>
      <c r="CB343">
        <f>IF($CB$31&lt;=$CB$32,IF($A343&lt;=$CB$7,1,2),IF($A343&lt;=RUNG_BEDS_2,2,1))</f>
        <v>2</v>
      </c>
      <c r="CC343" s="5">
        <f>MIN(1,MAX(0,$CB$26-($A343-1)))</f>
        <v>0</v>
      </c>
      <c r="CD343" s="5">
        <f>$CB$25*(CC343+(1-CC343)*$CB$16)</f>
        <v>0.0</v>
      </c>
      <c r="CE343" s="13">
        <f>CD343*($CB$6+ACUTE_MARGIN)</f>
        <v>0.0</v>
      </c>
      <c r="CF343" s="13">
        <f>IF(CB343=1,$CB$31,$CB$32)</f>
        <v>160718.36940738867</v>
      </c>
      <c r="CG343" s="13">
        <f>CE343-CF343</f>
        <v>-160718.36940738867</v>
      </c>
      <c r="CH343" s="13">
        <f>CH342+CG343</f>
        <v>-3557805.4176488346</v>
      </c>
      <c r="CI343">
        <f>IF(CH343=MAX($CH$83:$CH$483),$A343,0)</f>
        <v>0</v>
      </c>
      <c r="CJ343">
        <f>IF(CE343&lt;CF343,$A343,B_MAX+1)</f>
        <v>260</v>
      </c>
      <c r="CK343" s="13">
        <f>IF(CB343=1,$CB$35,$CB$36)</f>
        <v>1560.1194073886782</v>
      </c>
      <c r="CL343" s="13">
        <f>OCC_DAYS*$CB$41*R_NF_2023-CD343*MCD_SHARE_FREED*R_WAIT_2023</f>
        <v>151980.48282209205</v>
      </c>
      <c r="CM343">
        <f>IF($A343&lt;=$CB$45,1,0)</f>
        <v>0</v>
      </c>
      <c r="DB343">
        <f>IF($DB$31&lt;=$DB$32,IF($A343&lt;=$DB$7,1,2),IF($A343&lt;=RUNG_BEDS_2,2,1))</f>
        <v>1</v>
      </c>
      <c r="DC343" s="5">
        <f>MIN(1,MAX(0,$DB$26-($A343-1)))</f>
        <v>0</v>
      </c>
      <c r="DD343" s="5">
        <f>$DB$25*(DC343+(1-DC343)*$DB$16)</f>
        <v>0.0</v>
      </c>
      <c r="DE343" s="13">
        <f>DD343*($DB$6+ACUTE_MARGIN)</f>
        <v>0.0</v>
      </c>
      <c r="DF343" s="13">
        <f>IF(DB343=1,$DB$31,$DB$32)</f>
        <v>152394.16214437486</v>
      </c>
      <c r="DG343" s="13">
        <f>DE343-DF343</f>
        <v>-152394.16214437486</v>
      </c>
      <c r="DH343" s="13">
        <f>DH342+DG343</f>
        <v>-1393511.5292651278</v>
      </c>
      <c r="DI343">
        <f>IF(DH343=MAX($DH$83:$DH$483),$A343,0)</f>
        <v>0</v>
      </c>
      <c r="DJ343">
        <f>IF(DE343&lt;DF343,$A343,B_MAX+1)</f>
        <v>260</v>
      </c>
      <c r="DK343" s="13">
        <f>IF(DB343=1,$DB$35,$DB$36)</f>
        <v>0</v>
      </c>
      <c r="DL343" s="13">
        <f>OCC_DAYS*$DB$41*R_NF_2023-DD343*MCD_SHARE_FREED*R_WAIT_2023</f>
        <v>151980.48282209205</v>
      </c>
      <c r="DM343">
        <f>IF($A343&lt;=$DB$45,1,0)</f>
        <v>0</v>
      </c>
      <c r="EB343">
        <f>IF($EB$31&lt;=$EB$32,IF($A343&lt;=$EB$7,1,2),IF($A343&lt;=RUNG_BEDS_2,2,1))</f>
        <v>1</v>
      </c>
      <c r="EC343" s="5">
        <f>MIN(1,MAX(0,$EB$26-($A343-1)))</f>
        <v>0</v>
      </c>
      <c r="ED343" s="5">
        <f>$EB$25*(EC343+(1-EC343)*$EB$16)</f>
        <v>0.0</v>
      </c>
      <c r="EE343" s="13">
        <f>ED343*($EB$6+ACUTE_MARGIN)</f>
        <v>0.0</v>
      </c>
      <c r="EF343" s="13">
        <f>IF(EB343=1,$EB$31,$EB$32)</f>
        <v>152394.16214437486</v>
      </c>
      <c r="EG343" s="13">
        <f>EE343-EF343</f>
        <v>-152394.16214437486</v>
      </c>
      <c r="EH343" s="13">
        <f>EH342+EG343</f>
        <v>-1393511.5292651278</v>
      </c>
      <c r="EI343">
        <f>IF(EH343=MAX($EH$83:$EH$483),$A343,0)</f>
        <v>0</v>
      </c>
      <c r="EJ343">
        <f>IF(EE343&lt;EF343,$A343,B_MAX+1)</f>
        <v>260</v>
      </c>
      <c r="EK343" s="13">
        <f>IF(EB343=1,$EB$35,$EB$36)</f>
        <v>0</v>
      </c>
      <c r="EL343" s="13">
        <f>OCC_DAYS*$EB$41*R_NF_2023-ED343*MCD_SHARE_FREED*R_WAIT_2023</f>
        <v>50660.16094069735</v>
      </c>
      <c r="EM343">
        <f>IF($A343&lt;=$EB$45,1,0)</f>
        <v>0</v>
      </c>
      <c r="FB343">
        <f>IF($FB$31&lt;=$FB$32,IF($A343&lt;=$FB$7,1,2),IF($A343&lt;=RUNG_BEDS_2,2,1))</f>
        <v>1</v>
      </c>
      <c r="FC343" s="5">
        <f>MIN(1,MAX(0,$FB$26-($A343-1)))</f>
        <v>0</v>
      </c>
      <c r="FD343" s="5">
        <f>$FB$25*(FC343+(1-FC343)*$FB$16)</f>
        <v>0.0</v>
      </c>
      <c r="FE343" s="13">
        <f>FD343*($FB$6+ACUTE_MARGIN)</f>
        <v>0.0</v>
      </c>
      <c r="FF343" s="13">
        <f>IF(FB343=1,$FB$31,$FB$32)</f>
        <v>156636.04979437485</v>
      </c>
      <c r="FG343" s="13">
        <f>FE343-FF343</f>
        <v>-156636.04979437485</v>
      </c>
      <c r="FH343" s="13">
        <f>FH342+FG343</f>
        <v>-2496402.3182652425</v>
      </c>
      <c r="FI343">
        <f>IF(FH343=MAX($FH$83:$FH$483),$A343,0)</f>
        <v>0</v>
      </c>
      <c r="FJ343">
        <f>IF(FE343&lt;FF343,$A343,B_MAX+1)</f>
        <v>260</v>
      </c>
      <c r="FK343" s="13">
        <f>IF(FB343=1,$FB$35,$FB$36)</f>
        <v>0</v>
      </c>
      <c r="FL343" s="13">
        <f>OCC_DAYS*$FB$41*R_NF_2023-FD343*MCD_SHARE_FREED*R_WAIT_2023</f>
        <v>151980.48282209205</v>
      </c>
      <c r="FM343">
        <f>IF($A343&lt;=$FB$45,1,0)</f>
        <v>0</v>
      </c>
      <c r="GB343">
        <f>IF($GB$31&lt;=$GB$32,IF($A343&lt;=$GB$7,1,2),IF($A343&lt;=RUNG_BEDS_2,2,1))</f>
        <v>1</v>
      </c>
      <c r="GC343" s="5">
        <f>MIN(1,MAX(0,$GB$26-($A343-1)))</f>
        <v>0</v>
      </c>
      <c r="GD343" s="5">
        <f>$GB$25*(GC343+(1-GC343)*$GB$16)</f>
        <v>0.0</v>
      </c>
      <c r="GE343" s="13">
        <f>GD343*($GB$6+ACUTE_MARGIN)</f>
        <v>0.0</v>
      </c>
      <c r="GF343" s="13">
        <f>IF(GB343=1,$GB$31,$GB$32)</f>
        <v>152394.16214437486</v>
      </c>
      <c r="GG343" s="13">
        <f>GE343-GF343</f>
        <v>-152394.16214437486</v>
      </c>
      <c r="GH343" s="13">
        <f>GH342+GG343</f>
        <v>-1393511.5292651278</v>
      </c>
      <c r="GI343">
        <f>IF(GH343=MAX($GH$83:$GH$483),$A343,0)</f>
        <v>0</v>
      </c>
      <c r="GJ343">
        <f>IF(GE343&lt;GF343,$A343,B_MAX+1)</f>
        <v>260</v>
      </c>
      <c r="GK343" s="13">
        <f>IF(GB343=1,$GB$35,$GB$36)</f>
        <v>0</v>
      </c>
      <c r="GL343" s="13">
        <f>OCC_DAYS*$GB$41*R_NF_2023-GD343*MCD_SHARE_FREED*R_WAIT_2023</f>
        <v>151980.48282209205</v>
      </c>
      <c r="GM343">
        <f>IF($A343&lt;=$GB$45,1,0)</f>
        <v>0</v>
      </c>
      <c r="HB343">
        <f>IF($HB$31&lt;=$HB$32,IF($A343&lt;=$HB$7,1,2),IF($A343&lt;=RUNG_BEDS_2,2,1))</f>
        <v>1</v>
      </c>
      <c r="HC343" s="5">
        <f>MIN(1,MAX(0,$HB$26-($A343-1)))</f>
        <v>0</v>
      </c>
      <c r="HD343" s="5">
        <f>$HB$25*(HC343+(1-HC343)*$HB$16)</f>
        <v>0.0</v>
      </c>
      <c r="HE343" s="13">
        <f>HD343*($HB$6+ACUTE_MARGIN)</f>
        <v>0.0</v>
      </c>
      <c r="HF343" s="13">
        <f>IF(HB343=1,$HB$31,$HB$32)</f>
        <v>152456.2970814058</v>
      </c>
      <c r="HG343" s="13">
        <f>HE343-HF343</f>
        <v>-152456.2970814058</v>
      </c>
      <c r="HH343" s="13">
        <f>HH342+HG343</f>
        <v>-1409666.6128932114</v>
      </c>
      <c r="HI343">
        <f>IF(HH343=MAX($HH$83:$HH$483),$A343,0)</f>
        <v>0</v>
      </c>
      <c r="HJ343">
        <f>IF(HE343&lt;HF343,$A343,B_MAX+1)</f>
        <v>260</v>
      </c>
      <c r="HK343" s="13">
        <f>IF(HB343=1,$HB$35,$HB$36)</f>
        <v>0</v>
      </c>
      <c r="HL343" s="13">
        <f>OCC_DAYS*$HB$41*R_NF_2023-HD343*MCD_SHARE_FREED*R_WAIT_2023</f>
        <v>151980.48282209205</v>
      </c>
      <c r="HM343">
        <f>IF($A343&lt;=$HB$45,1,0)</f>
        <v>0</v>
      </c>
      <c r="IB343">
        <f>IF($IB$31&lt;=$IB$32,IF($A343&lt;=$IB$7,1,2),IF($A343&lt;=RUNG_BEDS_2,2,1))</f>
        <v>1</v>
      </c>
      <c r="IC343" s="5">
        <f>MIN(1,MAX(0,$IB$26-($A343-1)))</f>
        <v>0</v>
      </c>
      <c r="ID343" s="5">
        <f>$IB$25*(IC343+(1-IC343)*$IB$16)</f>
        <v>0.0</v>
      </c>
      <c r="IE343" s="13">
        <f>ID343*($IB$6+ACUTE_MARGIN)</f>
        <v>0.0</v>
      </c>
      <c r="IF343" s="13">
        <f>IF(IB343=1,$IB$31,$IB$32)</f>
        <v>152734.9994534971</v>
      </c>
      <c r="IG343" s="13">
        <f>IE343-IF343</f>
        <v>-152734.9994534971</v>
      </c>
      <c r="IH343" s="13">
        <f>IH342+IG343</f>
        <v>-1482129.2296370033</v>
      </c>
      <c r="II343">
        <f>IF(IH343=MAX($IH$83:$IH$483),$A343,0)</f>
        <v>0</v>
      </c>
      <c r="IJ343">
        <f>IF(IE343&lt;IF343,$A343,B_MAX+1)</f>
        <v>260</v>
      </c>
      <c r="IK343" s="13">
        <f>IF(IB343=1,$IB$35,$IB$36)</f>
        <v>0</v>
      </c>
      <c r="IL343" s="13">
        <f>OCC_DAYS*$IB$41*R_NF_2023-ID343*MCD_SHARE_FREED*R_WAIT_2023</f>
        <v>151980.48282209205</v>
      </c>
      <c r="IM343">
        <f>IF($A343&lt;=$IB$45,1,0)</f>
        <v>0</v>
      </c>
      <c r="JB343">
        <f>IF($JB$31&lt;=$JB$32,IF($A343&lt;=$JB$7,1,2),IF($A343&lt;=RUNG_BEDS_2,2,1))</f>
        <v>1</v>
      </c>
      <c r="JC343" s="5">
        <f>MIN(1,MAX(0,$JB$26-($A343-1)))</f>
        <v>0</v>
      </c>
      <c r="JD343" s="5">
        <f>$JB$25*(JC343+(1-JC343)*$JB$16)</f>
        <v>0.0</v>
      </c>
      <c r="JE343" s="13">
        <f>JD343*($JB$6+ACUTE_MARGIN)</f>
        <v>0.0</v>
      </c>
      <c r="JF343" s="13">
        <f>IF(JB343=1,$JB$31,$JB$32)</f>
        <v>152394.16214437486</v>
      </c>
      <c r="JG343" s="13">
        <f>JE343-JF343</f>
        <v>-152394.16214437486</v>
      </c>
      <c r="JH343" s="13">
        <f>JH342+JG343</f>
        <v>-1393511.5292651278</v>
      </c>
      <c r="JI343">
        <f>IF(JH343=MAX($JH$83:$JH$483),$A343,0)</f>
        <v>0</v>
      </c>
      <c r="JJ343">
        <f>IF(JE343&lt;JF343,$A343,B_MAX+1)</f>
        <v>260</v>
      </c>
      <c r="JK343" s="13">
        <f>IF(JB343=1,$JB$35,$JB$36)</f>
        <v>0</v>
      </c>
      <c r="JL343" s="13">
        <f>OCC_DAYS*$JB$41*R_NF_2023-JD343*MCD_SHARE_FREED*R_WAIT_2023</f>
        <v>151980.48282209205</v>
      </c>
      <c r="JM343">
        <f>IF($A343&lt;=$JB$45,1,0)</f>
        <v>0</v>
      </c>
      <c r="KB343">
        <f>IF($KB$31&lt;=$KB$32,IF($A343&lt;=$KB$7,1,2),IF($A343&lt;=RUNG_BEDS_2,2,1))</f>
        <v>1</v>
      </c>
      <c r="KC343" s="5">
        <f>MIN(1,MAX(0,$KB$26-($A343-1)))</f>
        <v>1</v>
      </c>
      <c r="KD343" s="5">
        <f>$KB$25*(KC343+(1-KC343)*$KB$16)</f>
        <v>126.02661357340719</v>
      </c>
      <c r="KE343" s="13">
        <f>KD343*($KB$6+ACUTE_MARGIN)</f>
        <v>127286.87970914126</v>
      </c>
      <c r="KF343" s="13">
        <f>IF(KB343=1,$KB$31,$KB$32)</f>
        <v>152394.16214437486</v>
      </c>
      <c r="KG343" s="13">
        <f>KE343-KF343</f>
        <v>-25107.282435233603</v>
      </c>
      <c r="KH343" s="13">
        <f>KH342+KG343</f>
        <v>-6527893.433160759</v>
      </c>
      <c r="KI343">
        <f>IF(KH343=MAX($KH$83:$KH$483),$A343,0)</f>
        <v>0</v>
      </c>
      <c r="KJ343">
        <f>IF(KE343&lt;KF343,$A343,B_MAX+1)</f>
        <v>260</v>
      </c>
      <c r="KK343" s="13">
        <f>IF(KB343=1,$KB$35,$KB$36)</f>
        <v>0</v>
      </c>
      <c r="KL343" s="13">
        <f>OCC_DAYS*$KB$41*R_NF_2023-KD343*MCD_SHARE_FREED*R_WAIT_2023</f>
        <v>94673.82103225985</v>
      </c>
      <c r="KM343">
        <f>IF($A343&lt;=$KB$45,1,0)</f>
        <v>0</v>
      </c>
      <c r="LB343">
        <f>IF($LB$31&lt;=$LB$32,IF($A343&lt;=$LB$7,1,2),IF($A343&lt;=RUNG_BEDS_2,2,1))</f>
        <v>1</v>
      </c>
      <c r="LC343" s="5">
        <f>MIN(1,MAX(0,$LB$26-($A343-1)))</f>
        <v>1</v>
      </c>
      <c r="LD343" s="5">
        <f>$LB$25*(LC343+(1-LC343)*$LB$16)</f>
        <v>84.01774238227146</v>
      </c>
      <c r="LE343" s="13">
        <f>LD343*($LB$6+ACUTE_MARGIN)</f>
        <v>84857.91980609419</v>
      </c>
      <c r="LF343" s="13">
        <f>IF(LB343=1,$LB$31,$LB$32)</f>
        <v>152394.16214437486</v>
      </c>
      <c r="LG343" s="13">
        <f>LE343-LF343</f>
        <v>-67536.24233828067</v>
      </c>
      <c r="LH343" s="13">
        <f>LH342+LG343</f>
        <v>-17559423.007953063</v>
      </c>
      <c r="LI343">
        <f>IF(LH343=MAX($LH$83:$LH$483),$A343,0)</f>
        <v>0</v>
      </c>
      <c r="LJ343">
        <f>IF(LE343&lt;LF343,$A343,B_MAX+1)</f>
        <v>260</v>
      </c>
      <c r="LK343" s="13">
        <f>IF(LB343=1,$LB$35,$LB$36)</f>
        <v>0</v>
      </c>
      <c r="LL343" s="13">
        <f>OCC_DAYS*$LB$41*R_NF_2023-LD343*MCD_SHARE_FREED*R_WAIT_2023</f>
        <v>113776.04162887059</v>
      </c>
      <c r="LM343">
        <f>IF($A343&lt;=$LB$45,1,0)</f>
        <v>0</v>
      </c>
      <c r="MB343">
        <f>IF($MB$31&lt;=$MB$32,IF($A343&lt;=$MB$7,1,2),IF($A343&lt;=RUNG_BEDS_2,2,1))</f>
        <v>1</v>
      </c>
      <c r="MC343" s="5">
        <f>MIN(1,MAX(0,$MB$26-($A343-1)))</f>
        <v>0</v>
      </c>
      <c r="MD343" s="5">
        <f>$MB$25*(MC343+(1-MC343)*$MB$16)</f>
        <v>0.0</v>
      </c>
      <c r="ME343" s="13">
        <f>MD343*($MB$6+ACUTE_MARGIN)</f>
        <v>0.0</v>
      </c>
      <c r="MF343" s="13">
        <f>IF(MB343=1,$MB$31,$MB$32)</f>
        <v>152394.16214437486</v>
      </c>
      <c r="MG343" s="13">
        <f>ME343-MF343</f>
        <v>-152394.16214437486</v>
      </c>
      <c r="MH343" s="13">
        <f>MH342+MG343</f>
        <v>-7280787.591063462</v>
      </c>
      <c r="MI343">
        <f>IF(MH343=MAX($MH$83:$MH$483),$A343,0)</f>
        <v>0</v>
      </c>
      <c r="MJ343">
        <f>IF(ME343&lt;MF343,$A343,B_MAX+1)</f>
        <v>260</v>
      </c>
      <c r="MK343" s="13">
        <f>IF(MB343=1,$MB$35,$MB$36)</f>
        <v>0</v>
      </c>
      <c r="ML343" s="13">
        <f>OCC_DAYS*$MB$41*R_NF_2023-MD343*MCD_SHARE_FREED*R_WAIT_2023</f>
        <v>151980.48282209205</v>
      </c>
      <c r="MM343">
        <f>IF($A343&lt;=$MB$45,1,0)</f>
        <v>0</v>
      </c>
      <c r="NB343">
        <f>IF($NB$31&lt;=$NB$32,IF($A343&lt;=$NB$7,1,2),IF($A343&lt;=RUNG_BEDS_2,2,1))</f>
        <v>1</v>
      </c>
      <c r="NC343" s="5">
        <f>MIN(1,MAX(0,$NB$26-($A343-1)))</f>
        <v>0</v>
      </c>
      <c r="ND343" s="5">
        <f>$NB$25*(NC343+(1-NC343)*$NB$16)</f>
        <v>63.013306786703595</v>
      </c>
      <c r="NE343" s="13">
        <f>ND343*($NB$6+ACUTE_MARGIN)</f>
        <v>63643.43985457063</v>
      </c>
      <c r="NF343" s="13">
        <f>IF(NB343=1,$NB$31,$NB$32)</f>
        <v>152394.16214437486</v>
      </c>
      <c r="NG343" s="13">
        <f>NE343-NF343</f>
        <v>-88750.72228980422</v>
      </c>
      <c r="NH343" s="13">
        <f>NH342+NG343</f>
        <v>5596540.17585513</v>
      </c>
      <c r="NI343">
        <f>IF(NH343=MAX($NH$83:$NH$483),$A343,0)</f>
        <v>0</v>
      </c>
      <c r="NJ343">
        <f>IF(NE343&lt;NF343,$A343,B_MAX+1)</f>
        <v>260</v>
      </c>
      <c r="NK343" s="13">
        <f>IF(NB343=1,$NB$35,$NB$36)</f>
        <v>0</v>
      </c>
      <c r="NL343" s="13">
        <f>OCC_DAYS*$NB$41*R_NF_2023-ND343*MCD_SHARE_FREED*R_WAIT_2023</f>
        <v>123327.15192717595</v>
      </c>
      <c r="NM343">
        <f>IF($A343&lt;=$NB$45,1,0)</f>
        <v>0</v>
      </c>
      <c r="OB343">
        <f>IF($OB$31&lt;=$OB$32,IF($A343&lt;=$OB$7,1,2),IF($A343&lt;=RUNG_BEDS_2,2,1))</f>
        <v>1</v>
      </c>
      <c r="OC343" s="5">
        <f>MIN(1,MAX(0,$OB$26-($A343-1)))</f>
        <v>0</v>
      </c>
      <c r="OD343" s="5">
        <f>$OB$25*(OC343+(1-OC343)*$OB$16)</f>
        <v>126.02661357340719</v>
      </c>
      <c r="OE343" s="13">
        <f>OD343*($OB$6+ACUTE_MARGIN)</f>
        <v>127286.87970914126</v>
      </c>
      <c r="OF343" s="13">
        <f>IF(OB343=1,$OB$31,$OB$32)</f>
        <v>152394.16214437486</v>
      </c>
      <c r="OG343" s="13">
        <f>OE343-OF343</f>
        <v>-25107.282435233603</v>
      </c>
      <c r="OH343" s="13">
        <f>OH342+OG343</f>
        <v>12586591.880975537</v>
      </c>
      <c r="OI343">
        <f>IF(OH343=MAX($OH$83:$OH$483),$A343,0)</f>
        <v>0</v>
      </c>
      <c r="OJ343">
        <f>IF(OE343&lt;OF343,$A343,B_MAX+1)</f>
        <v>260</v>
      </c>
      <c r="OK343" s="13">
        <f>IF(OB343=1,$OB$35,$OB$36)</f>
        <v>0</v>
      </c>
      <c r="OL343" s="13">
        <f>OCC_DAYS*$OB$41*R_NF_2023-OD343*MCD_SHARE_FREED*R_WAIT_2023</f>
        <v>94673.82103225985</v>
      </c>
      <c r="OM343">
        <f>IF($A343&lt;=$OB$45,1,0)</f>
        <v>0</v>
      </c>
    </row>
    <row r="344">
      <c r="A344" t="n">
        <v>261</v>
      </c>
      <c r="B344">
        <f>IF($B$31&lt;=$B$32,IF($A344&lt;=$B$7,1,2),IF($A344&lt;=RUNG_BEDS_2,2,1))</f>
        <v>1</v>
      </c>
      <c r="C344" s="5">
        <f>MIN(1,MAX(0,$B$26-($A344-1)))</f>
        <v>0</v>
      </c>
      <c r="D344" s="5">
        <f>$B$25*(C344+(1-C344)*$B$16)</f>
        <v>0.0</v>
      </c>
      <c r="E344" s="13">
        <f>D344*($B$6+ACUTE_MARGIN)</f>
        <v>0.0</v>
      </c>
      <c r="F344" s="13">
        <f>IF(B344=1,$B$31,$B$32)</f>
        <v>152394.16214437486</v>
      </c>
      <c r="G344" s="13">
        <f>E344-F344</f>
        <v>-152394.16214437486</v>
      </c>
      <c r="H344" s="13">
        <f>H343+G344</f>
        <v>-1545905.6914095026</v>
      </c>
      <c r="I344">
        <f>IF(H344=MAX($H$83:$H$483),$A344,0)</f>
        <v>0</v>
      </c>
      <c r="J344">
        <f>IF(E344&lt;F344,$A344,B_MAX+1)</f>
        <v>261</v>
      </c>
      <c r="K344" s="13">
        <f>IF(B344=1,$B$35,$B$36)</f>
        <v>0</v>
      </c>
      <c r="L344" s="13">
        <f>OCC_DAYS*$B$41*R_NF_2023-D344*MCD_SHARE_FREED*R_WAIT_2023</f>
        <v>151980.48282209205</v>
      </c>
      <c r="M344">
        <f>IF($A344&lt;=$B$45,1,0)</f>
        <v>0</v>
      </c>
      <c r="AB344">
        <f>IF($AB$31&lt;=$AB$32,IF($A344&lt;=$AB$7,1,2),IF($A344&lt;=RUNG_BEDS_2,2,1))</f>
        <v>1</v>
      </c>
      <c r="AC344" s="5">
        <f>MIN(1,MAX(0,$AB$26-($A344-1)))</f>
        <v>0</v>
      </c>
      <c r="AD344" s="5">
        <f>$AB$25*(AC344+(1-AC344)*$AB$16)</f>
        <v>0.0</v>
      </c>
      <c r="AE344" s="13">
        <f>AD344*($AB$6+ACUTE_MARGIN)</f>
        <v>0.0</v>
      </c>
      <c r="AF344" s="13">
        <f>IF(AB344=1,$AB$31,$AB$32)</f>
        <v>152394.16214437486</v>
      </c>
      <c r="AG344" s="13">
        <f>AE344-AF344</f>
        <v>-152394.16214437486</v>
      </c>
      <c r="AH344" s="13">
        <f>AH343+AG344</f>
        <v>-18957120.03695928</v>
      </c>
      <c r="AI344">
        <f>IF(AH344=MAX($AH$83:$AH$483),$A344,0)</f>
        <v>0</v>
      </c>
      <c r="AJ344">
        <f>IF(AE344&lt;AF344,$A344,B_MAX+1)</f>
        <v>261</v>
      </c>
      <c r="AK344" s="13">
        <f>IF(AB344=1,$AB$35,$AB$36)</f>
        <v>0</v>
      </c>
      <c r="AL344" s="13">
        <f>OCC_DAYS*$AB$41*R_NF_2023-AD344*MCD_SHARE_FREED*R_WAIT_2023</f>
        <v>151980.48282209205</v>
      </c>
      <c r="AM344">
        <f>IF($A344&lt;=$AB$45,1,0)</f>
        <v>0</v>
      </c>
      <c r="BB344">
        <f>IF($BB$31&lt;=$BB$32,IF($A344&lt;=$BB$7,1,2),IF($A344&lt;=RUNG_BEDS_2,2,1))</f>
        <v>1</v>
      </c>
      <c r="BC344" s="5">
        <f>MIN(1,MAX(0,$BB$26-($A344-1)))</f>
        <v>0</v>
      </c>
      <c r="BD344" s="5">
        <f>$BB$25*(BC344+(1-BC344)*$BB$16)</f>
        <v>0.0</v>
      </c>
      <c r="BE344" s="13">
        <f>BD344*($BB$6+ACUTE_MARGIN)</f>
        <v>0.0</v>
      </c>
      <c r="BF344" s="13">
        <f>IF(BB344=1,$BB$31,$BB$32)</f>
        <v>152394.16214437486</v>
      </c>
      <c r="BG344" s="13">
        <f>BE344-BF344</f>
        <v>-152394.16214437486</v>
      </c>
      <c r="BH344" s="13">
        <f>BH343+BG344</f>
        <v>15865308.654140215</v>
      </c>
      <c r="BI344">
        <f>IF(BH344=MAX($BH$83:$BH$483),$A344,0)</f>
        <v>0</v>
      </c>
      <c r="BJ344">
        <f>IF(BE344&lt;BF344,$A344,B_MAX+1)</f>
        <v>261</v>
      </c>
      <c r="BK344" s="13">
        <f>IF(BB344=1,$BB$35,$BB$36)</f>
        <v>0</v>
      </c>
      <c r="BL344" s="13">
        <f>OCC_DAYS*$BB$41*R_NF_2023-BD344*MCD_SHARE_FREED*R_WAIT_2023</f>
        <v>151980.48282209205</v>
      </c>
      <c r="BM344">
        <f>IF($A344&lt;=$BB$45,1,0)</f>
        <v>0</v>
      </c>
      <c r="CB344">
        <f>IF($CB$31&lt;=$CB$32,IF($A344&lt;=$CB$7,1,2),IF($A344&lt;=RUNG_BEDS_2,2,1))</f>
        <v>2</v>
      </c>
      <c r="CC344" s="5">
        <f>MIN(1,MAX(0,$CB$26-($A344-1)))</f>
        <v>0</v>
      </c>
      <c r="CD344" s="5">
        <f>$CB$25*(CC344+(1-CC344)*$CB$16)</f>
        <v>0.0</v>
      </c>
      <c r="CE344" s="13">
        <f>CD344*($CB$6+ACUTE_MARGIN)</f>
        <v>0.0</v>
      </c>
      <c r="CF344" s="13">
        <f>IF(CB344=1,$CB$31,$CB$32)</f>
        <v>160718.36940738867</v>
      </c>
      <c r="CG344" s="13">
        <f>CE344-CF344</f>
        <v>-160718.36940738867</v>
      </c>
      <c r="CH344" s="13">
        <f>CH343+CG344</f>
        <v>-3718523.7870562235</v>
      </c>
      <c r="CI344">
        <f>IF(CH344=MAX($CH$83:$CH$483),$A344,0)</f>
        <v>0</v>
      </c>
      <c r="CJ344">
        <f>IF(CE344&lt;CF344,$A344,B_MAX+1)</f>
        <v>261</v>
      </c>
      <c r="CK344" s="13">
        <f>IF(CB344=1,$CB$35,$CB$36)</f>
        <v>1560.1194073886782</v>
      </c>
      <c r="CL344" s="13">
        <f>OCC_DAYS*$CB$41*R_NF_2023-CD344*MCD_SHARE_FREED*R_WAIT_2023</f>
        <v>151980.48282209205</v>
      </c>
      <c r="CM344">
        <f>IF($A344&lt;=$CB$45,1,0)</f>
        <v>0</v>
      </c>
      <c r="DB344">
        <f>IF($DB$31&lt;=$DB$32,IF($A344&lt;=$DB$7,1,2),IF($A344&lt;=RUNG_BEDS_2,2,1))</f>
        <v>1</v>
      </c>
      <c r="DC344" s="5">
        <f>MIN(1,MAX(0,$DB$26-($A344-1)))</f>
        <v>0</v>
      </c>
      <c r="DD344" s="5">
        <f>$DB$25*(DC344+(1-DC344)*$DB$16)</f>
        <v>0.0</v>
      </c>
      <c r="DE344" s="13">
        <f>DD344*($DB$6+ACUTE_MARGIN)</f>
        <v>0.0</v>
      </c>
      <c r="DF344" s="13">
        <f>IF(DB344=1,$DB$31,$DB$32)</f>
        <v>152394.16214437486</v>
      </c>
      <c r="DG344" s="13">
        <f>DE344-DF344</f>
        <v>-152394.16214437486</v>
      </c>
      <c r="DH344" s="13">
        <f>DH343+DG344</f>
        <v>-1545905.6914095026</v>
      </c>
      <c r="DI344">
        <f>IF(DH344=MAX($DH$83:$DH$483),$A344,0)</f>
        <v>0</v>
      </c>
      <c r="DJ344">
        <f>IF(DE344&lt;DF344,$A344,B_MAX+1)</f>
        <v>261</v>
      </c>
      <c r="DK344" s="13">
        <f>IF(DB344=1,$DB$35,$DB$36)</f>
        <v>0</v>
      </c>
      <c r="DL344" s="13">
        <f>OCC_DAYS*$DB$41*R_NF_2023-DD344*MCD_SHARE_FREED*R_WAIT_2023</f>
        <v>151980.48282209205</v>
      </c>
      <c r="DM344">
        <f>IF($A344&lt;=$DB$45,1,0)</f>
        <v>0</v>
      </c>
      <c r="EB344">
        <f>IF($EB$31&lt;=$EB$32,IF($A344&lt;=$EB$7,1,2),IF($A344&lt;=RUNG_BEDS_2,2,1))</f>
        <v>1</v>
      </c>
      <c r="EC344" s="5">
        <f>MIN(1,MAX(0,$EB$26-($A344-1)))</f>
        <v>0</v>
      </c>
      <c r="ED344" s="5">
        <f>$EB$25*(EC344+(1-EC344)*$EB$16)</f>
        <v>0.0</v>
      </c>
      <c r="EE344" s="13">
        <f>ED344*($EB$6+ACUTE_MARGIN)</f>
        <v>0.0</v>
      </c>
      <c r="EF344" s="13">
        <f>IF(EB344=1,$EB$31,$EB$32)</f>
        <v>152394.16214437486</v>
      </c>
      <c r="EG344" s="13">
        <f>EE344-EF344</f>
        <v>-152394.16214437486</v>
      </c>
      <c r="EH344" s="13">
        <f>EH343+EG344</f>
        <v>-1545905.6914095026</v>
      </c>
      <c r="EI344">
        <f>IF(EH344=MAX($EH$83:$EH$483),$A344,0)</f>
        <v>0</v>
      </c>
      <c r="EJ344">
        <f>IF(EE344&lt;EF344,$A344,B_MAX+1)</f>
        <v>261</v>
      </c>
      <c r="EK344" s="13">
        <f>IF(EB344=1,$EB$35,$EB$36)</f>
        <v>0</v>
      </c>
      <c r="EL344" s="13">
        <f>OCC_DAYS*$EB$41*R_NF_2023-ED344*MCD_SHARE_FREED*R_WAIT_2023</f>
        <v>50660.16094069735</v>
      </c>
      <c r="EM344">
        <f>IF($A344&lt;=$EB$45,1,0)</f>
        <v>0</v>
      </c>
      <c r="FB344">
        <f>IF($FB$31&lt;=$FB$32,IF($A344&lt;=$FB$7,1,2),IF($A344&lt;=RUNG_BEDS_2,2,1))</f>
        <v>1</v>
      </c>
      <c r="FC344" s="5">
        <f>MIN(1,MAX(0,$FB$26-($A344-1)))</f>
        <v>0</v>
      </c>
      <c r="FD344" s="5">
        <f>$FB$25*(FC344+(1-FC344)*$FB$16)</f>
        <v>0.0</v>
      </c>
      <c r="FE344" s="13">
        <f>FD344*($FB$6+ACUTE_MARGIN)</f>
        <v>0.0</v>
      </c>
      <c r="FF344" s="13">
        <f>IF(FB344=1,$FB$31,$FB$32)</f>
        <v>156636.04979437485</v>
      </c>
      <c r="FG344" s="13">
        <f>FE344-FF344</f>
        <v>-156636.04979437485</v>
      </c>
      <c r="FH344" s="13">
        <f>FH343+FG344</f>
        <v>-2653038.3680596175</v>
      </c>
      <c r="FI344">
        <f>IF(FH344=MAX($FH$83:$FH$483),$A344,0)</f>
        <v>0</v>
      </c>
      <c r="FJ344">
        <f>IF(FE344&lt;FF344,$A344,B_MAX+1)</f>
        <v>261</v>
      </c>
      <c r="FK344" s="13">
        <f>IF(FB344=1,$FB$35,$FB$36)</f>
        <v>0</v>
      </c>
      <c r="FL344" s="13">
        <f>OCC_DAYS*$FB$41*R_NF_2023-FD344*MCD_SHARE_FREED*R_WAIT_2023</f>
        <v>151980.48282209205</v>
      </c>
      <c r="FM344">
        <f>IF($A344&lt;=$FB$45,1,0)</f>
        <v>0</v>
      </c>
      <c r="GB344">
        <f>IF($GB$31&lt;=$GB$32,IF($A344&lt;=$GB$7,1,2),IF($A344&lt;=RUNG_BEDS_2,2,1))</f>
        <v>1</v>
      </c>
      <c r="GC344" s="5">
        <f>MIN(1,MAX(0,$GB$26-($A344-1)))</f>
        <v>0</v>
      </c>
      <c r="GD344" s="5">
        <f>$GB$25*(GC344+(1-GC344)*$GB$16)</f>
        <v>0.0</v>
      </c>
      <c r="GE344" s="13">
        <f>GD344*($GB$6+ACUTE_MARGIN)</f>
        <v>0.0</v>
      </c>
      <c r="GF344" s="13">
        <f>IF(GB344=1,$GB$31,$GB$32)</f>
        <v>152394.16214437486</v>
      </c>
      <c r="GG344" s="13">
        <f>GE344-GF344</f>
        <v>-152394.16214437486</v>
      </c>
      <c r="GH344" s="13">
        <f>GH343+GG344</f>
        <v>-1545905.6914095026</v>
      </c>
      <c r="GI344">
        <f>IF(GH344=MAX($GH$83:$GH$483),$A344,0)</f>
        <v>0</v>
      </c>
      <c r="GJ344">
        <f>IF(GE344&lt;GF344,$A344,B_MAX+1)</f>
        <v>261</v>
      </c>
      <c r="GK344" s="13">
        <f>IF(GB344=1,$GB$35,$GB$36)</f>
        <v>0</v>
      </c>
      <c r="GL344" s="13">
        <f>OCC_DAYS*$GB$41*R_NF_2023-GD344*MCD_SHARE_FREED*R_WAIT_2023</f>
        <v>151980.48282209205</v>
      </c>
      <c r="GM344">
        <f>IF($A344&lt;=$GB$45,1,0)</f>
        <v>0</v>
      </c>
      <c r="HB344">
        <f>IF($HB$31&lt;=$HB$32,IF($A344&lt;=$HB$7,1,2),IF($A344&lt;=RUNG_BEDS_2,2,1))</f>
        <v>1</v>
      </c>
      <c r="HC344" s="5">
        <f>MIN(1,MAX(0,$HB$26-($A344-1)))</f>
        <v>0</v>
      </c>
      <c r="HD344" s="5">
        <f>$HB$25*(HC344+(1-HC344)*$HB$16)</f>
        <v>0.0</v>
      </c>
      <c r="HE344" s="13">
        <f>HD344*($HB$6+ACUTE_MARGIN)</f>
        <v>0.0</v>
      </c>
      <c r="HF344" s="13">
        <f>IF(HB344=1,$HB$31,$HB$32)</f>
        <v>152456.2970814058</v>
      </c>
      <c r="HG344" s="13">
        <f>HE344-HF344</f>
        <v>-152456.2970814058</v>
      </c>
      <c r="HH344" s="13">
        <f>HH343+HG344</f>
        <v>-1562122.9099746172</v>
      </c>
      <c r="HI344">
        <f>IF(HH344=MAX($HH$83:$HH$483),$A344,0)</f>
        <v>0</v>
      </c>
      <c r="HJ344">
        <f>IF(HE344&lt;HF344,$A344,B_MAX+1)</f>
        <v>261</v>
      </c>
      <c r="HK344" s="13">
        <f>IF(HB344=1,$HB$35,$HB$36)</f>
        <v>0</v>
      </c>
      <c r="HL344" s="13">
        <f>OCC_DAYS*$HB$41*R_NF_2023-HD344*MCD_SHARE_FREED*R_WAIT_2023</f>
        <v>151980.48282209205</v>
      </c>
      <c r="HM344">
        <f>IF($A344&lt;=$HB$45,1,0)</f>
        <v>0</v>
      </c>
      <c r="IB344">
        <f>IF($IB$31&lt;=$IB$32,IF($A344&lt;=$IB$7,1,2),IF($A344&lt;=RUNG_BEDS_2,2,1))</f>
        <v>1</v>
      </c>
      <c r="IC344" s="5">
        <f>MIN(1,MAX(0,$IB$26-($A344-1)))</f>
        <v>0</v>
      </c>
      <c r="ID344" s="5">
        <f>$IB$25*(IC344+(1-IC344)*$IB$16)</f>
        <v>0.0</v>
      </c>
      <c r="IE344" s="13">
        <f>ID344*($IB$6+ACUTE_MARGIN)</f>
        <v>0.0</v>
      </c>
      <c r="IF344" s="13">
        <f>IF(IB344=1,$IB$31,$IB$32)</f>
        <v>152734.9994534971</v>
      </c>
      <c r="IG344" s="13">
        <f>IE344-IF344</f>
        <v>-152734.9994534971</v>
      </c>
      <c r="IH344" s="13">
        <f>IH343+IG344</f>
        <v>-1634864.2290905004</v>
      </c>
      <c r="II344">
        <f>IF(IH344=MAX($IH$83:$IH$483),$A344,0)</f>
        <v>0</v>
      </c>
      <c r="IJ344">
        <f>IF(IE344&lt;IF344,$A344,B_MAX+1)</f>
        <v>261</v>
      </c>
      <c r="IK344" s="13">
        <f>IF(IB344=1,$IB$35,$IB$36)</f>
        <v>0</v>
      </c>
      <c r="IL344" s="13">
        <f>OCC_DAYS*$IB$41*R_NF_2023-ID344*MCD_SHARE_FREED*R_WAIT_2023</f>
        <v>151980.48282209205</v>
      </c>
      <c r="IM344">
        <f>IF($A344&lt;=$IB$45,1,0)</f>
        <v>0</v>
      </c>
      <c r="JB344">
        <f>IF($JB$31&lt;=$JB$32,IF($A344&lt;=$JB$7,1,2),IF($A344&lt;=RUNG_BEDS_2,2,1))</f>
        <v>1</v>
      </c>
      <c r="JC344" s="5">
        <f>MIN(1,MAX(0,$JB$26-($A344-1)))</f>
        <v>0</v>
      </c>
      <c r="JD344" s="5">
        <f>$JB$25*(JC344+(1-JC344)*$JB$16)</f>
        <v>0.0</v>
      </c>
      <c r="JE344" s="13">
        <f>JD344*($JB$6+ACUTE_MARGIN)</f>
        <v>0.0</v>
      </c>
      <c r="JF344" s="13">
        <f>IF(JB344=1,$JB$31,$JB$32)</f>
        <v>152394.16214437486</v>
      </c>
      <c r="JG344" s="13">
        <f>JE344-JF344</f>
        <v>-152394.16214437486</v>
      </c>
      <c r="JH344" s="13">
        <f>JH343+JG344</f>
        <v>-1545905.6914095026</v>
      </c>
      <c r="JI344">
        <f>IF(JH344=MAX($JH$83:$JH$483),$A344,0)</f>
        <v>0</v>
      </c>
      <c r="JJ344">
        <f>IF(JE344&lt;JF344,$A344,B_MAX+1)</f>
        <v>261</v>
      </c>
      <c r="JK344" s="13">
        <f>IF(JB344=1,$JB$35,$JB$36)</f>
        <v>0</v>
      </c>
      <c r="JL344" s="13">
        <f>OCC_DAYS*$JB$41*R_NF_2023-JD344*MCD_SHARE_FREED*R_WAIT_2023</f>
        <v>151980.48282209205</v>
      </c>
      <c r="JM344">
        <f>IF($A344&lt;=$JB$45,1,0)</f>
        <v>0</v>
      </c>
      <c r="KB344">
        <f>IF($KB$31&lt;=$KB$32,IF($A344&lt;=$KB$7,1,2),IF($A344&lt;=RUNG_BEDS_2,2,1))</f>
        <v>1</v>
      </c>
      <c r="KC344" s="5">
        <f>MIN(1,MAX(0,$KB$26-($A344-1)))</f>
        <v>1</v>
      </c>
      <c r="KD344" s="5">
        <f>$KB$25*(KC344+(1-KC344)*$KB$16)</f>
        <v>126.02661357340719</v>
      </c>
      <c r="KE344" s="13">
        <f>KD344*($KB$6+ACUTE_MARGIN)</f>
        <v>127286.87970914126</v>
      </c>
      <c r="KF344" s="13">
        <f>IF(KB344=1,$KB$31,$KB$32)</f>
        <v>152394.16214437486</v>
      </c>
      <c r="KG344" s="13">
        <f>KE344-KF344</f>
        <v>-25107.282435233603</v>
      </c>
      <c r="KH344" s="13">
        <f>KH343+KG344</f>
        <v>-6553000.715595992</v>
      </c>
      <c r="KI344">
        <f>IF(KH344=MAX($KH$83:$KH$483),$A344,0)</f>
        <v>0</v>
      </c>
      <c r="KJ344">
        <f>IF(KE344&lt;KF344,$A344,B_MAX+1)</f>
        <v>261</v>
      </c>
      <c r="KK344" s="13">
        <f>IF(KB344=1,$KB$35,$KB$36)</f>
        <v>0</v>
      </c>
      <c r="KL344" s="13">
        <f>OCC_DAYS*$KB$41*R_NF_2023-KD344*MCD_SHARE_FREED*R_WAIT_2023</f>
        <v>94673.82103225985</v>
      </c>
      <c r="KM344">
        <f>IF($A344&lt;=$KB$45,1,0)</f>
        <v>0</v>
      </c>
      <c r="LB344">
        <f>IF($LB$31&lt;=$LB$32,IF($A344&lt;=$LB$7,1,2),IF($A344&lt;=RUNG_BEDS_2,2,1))</f>
        <v>1</v>
      </c>
      <c r="LC344" s="5">
        <f>MIN(1,MAX(0,$LB$26-($A344-1)))</f>
        <v>1</v>
      </c>
      <c r="LD344" s="5">
        <f>$LB$25*(LC344+(1-LC344)*$LB$16)</f>
        <v>84.01774238227146</v>
      </c>
      <c r="LE344" s="13">
        <f>LD344*($LB$6+ACUTE_MARGIN)</f>
        <v>84857.91980609419</v>
      </c>
      <c r="LF344" s="13">
        <f>IF(LB344=1,$LB$31,$LB$32)</f>
        <v>152394.16214437486</v>
      </c>
      <c r="LG344" s="13">
        <f>LE344-LF344</f>
        <v>-67536.24233828067</v>
      </c>
      <c r="LH344" s="13">
        <f>LH343+LG344</f>
        <v>-17626959.250291344</v>
      </c>
      <c r="LI344">
        <f>IF(LH344=MAX($LH$83:$LH$483),$A344,0)</f>
        <v>0</v>
      </c>
      <c r="LJ344">
        <f>IF(LE344&lt;LF344,$A344,B_MAX+1)</f>
        <v>261</v>
      </c>
      <c r="LK344" s="13">
        <f>IF(LB344=1,$LB$35,$LB$36)</f>
        <v>0</v>
      </c>
      <c r="LL344" s="13">
        <f>OCC_DAYS*$LB$41*R_NF_2023-LD344*MCD_SHARE_FREED*R_WAIT_2023</f>
        <v>113776.04162887059</v>
      </c>
      <c r="LM344">
        <f>IF($A344&lt;=$LB$45,1,0)</f>
        <v>0</v>
      </c>
      <c r="MB344">
        <f>IF($MB$31&lt;=$MB$32,IF($A344&lt;=$MB$7,1,2),IF($A344&lt;=RUNG_BEDS_2,2,1))</f>
        <v>1</v>
      </c>
      <c r="MC344" s="5">
        <f>MIN(1,MAX(0,$MB$26-($A344-1)))</f>
        <v>0</v>
      </c>
      <c r="MD344" s="5">
        <f>$MB$25*(MC344+(1-MC344)*$MB$16)</f>
        <v>0.0</v>
      </c>
      <c r="ME344" s="13">
        <f>MD344*($MB$6+ACUTE_MARGIN)</f>
        <v>0.0</v>
      </c>
      <c r="MF344" s="13">
        <f>IF(MB344=1,$MB$31,$MB$32)</f>
        <v>152394.16214437486</v>
      </c>
      <c r="MG344" s="13">
        <f>ME344-MF344</f>
        <v>-152394.16214437486</v>
      </c>
      <c r="MH344" s="13">
        <f>MH343+MG344</f>
        <v>-7433181.753207837</v>
      </c>
      <c r="MI344">
        <f>IF(MH344=MAX($MH$83:$MH$483),$A344,0)</f>
        <v>0</v>
      </c>
      <c r="MJ344">
        <f>IF(ME344&lt;MF344,$A344,B_MAX+1)</f>
        <v>261</v>
      </c>
      <c r="MK344" s="13">
        <f>IF(MB344=1,$MB$35,$MB$36)</f>
        <v>0</v>
      </c>
      <c r="ML344" s="13">
        <f>OCC_DAYS*$MB$41*R_NF_2023-MD344*MCD_SHARE_FREED*R_WAIT_2023</f>
        <v>151980.48282209205</v>
      </c>
      <c r="MM344">
        <f>IF($A344&lt;=$MB$45,1,0)</f>
        <v>0</v>
      </c>
      <c r="NB344">
        <f>IF($NB$31&lt;=$NB$32,IF($A344&lt;=$NB$7,1,2),IF($A344&lt;=RUNG_BEDS_2,2,1))</f>
        <v>1</v>
      </c>
      <c r="NC344" s="5">
        <f>MIN(1,MAX(0,$NB$26-($A344-1)))</f>
        <v>0</v>
      </c>
      <c r="ND344" s="5">
        <f>$NB$25*(NC344+(1-NC344)*$NB$16)</f>
        <v>63.013306786703595</v>
      </c>
      <c r="NE344" s="13">
        <f>ND344*($NB$6+ACUTE_MARGIN)</f>
        <v>63643.43985457063</v>
      </c>
      <c r="NF344" s="13">
        <f>IF(NB344=1,$NB$31,$NB$32)</f>
        <v>152394.16214437486</v>
      </c>
      <c r="NG344" s="13">
        <f>NE344-NF344</f>
        <v>-88750.72228980422</v>
      </c>
      <c r="NH344" s="13">
        <f>NH343+NG344</f>
        <v>5507789.453565326</v>
      </c>
      <c r="NI344">
        <f>IF(NH344=MAX($NH$83:$NH$483),$A344,0)</f>
        <v>0</v>
      </c>
      <c r="NJ344">
        <f>IF(NE344&lt;NF344,$A344,B_MAX+1)</f>
        <v>261</v>
      </c>
      <c r="NK344" s="13">
        <f>IF(NB344=1,$NB$35,$NB$36)</f>
        <v>0</v>
      </c>
      <c r="NL344" s="13">
        <f>OCC_DAYS*$NB$41*R_NF_2023-ND344*MCD_SHARE_FREED*R_WAIT_2023</f>
        <v>123327.15192717595</v>
      </c>
      <c r="NM344">
        <f>IF($A344&lt;=$NB$45,1,0)</f>
        <v>0</v>
      </c>
      <c r="OB344">
        <f>IF($OB$31&lt;=$OB$32,IF($A344&lt;=$OB$7,1,2),IF($A344&lt;=RUNG_BEDS_2,2,1))</f>
        <v>1</v>
      </c>
      <c r="OC344" s="5">
        <f>MIN(1,MAX(0,$OB$26-($A344-1)))</f>
        <v>0</v>
      </c>
      <c r="OD344" s="5">
        <f>$OB$25*(OC344+(1-OC344)*$OB$16)</f>
        <v>126.02661357340719</v>
      </c>
      <c r="OE344" s="13">
        <f>OD344*($OB$6+ACUTE_MARGIN)</f>
        <v>127286.87970914126</v>
      </c>
      <c r="OF344" s="13">
        <f>IF(OB344=1,$OB$31,$OB$32)</f>
        <v>152394.16214437486</v>
      </c>
      <c r="OG344" s="13">
        <f>OE344-OF344</f>
        <v>-25107.282435233603</v>
      </c>
      <c r="OH344" s="13">
        <f>OH343+OG344</f>
        <v>12561484.598540304</v>
      </c>
      <c r="OI344">
        <f>IF(OH344=MAX($OH$83:$OH$483),$A344,0)</f>
        <v>0</v>
      </c>
      <c r="OJ344">
        <f>IF(OE344&lt;OF344,$A344,B_MAX+1)</f>
        <v>261</v>
      </c>
      <c r="OK344" s="13">
        <f>IF(OB344=1,$OB$35,$OB$36)</f>
        <v>0</v>
      </c>
      <c r="OL344" s="13">
        <f>OCC_DAYS*$OB$41*R_NF_2023-OD344*MCD_SHARE_FREED*R_WAIT_2023</f>
        <v>94673.82103225985</v>
      </c>
      <c r="OM344">
        <f>IF($A344&lt;=$OB$45,1,0)</f>
        <v>0</v>
      </c>
    </row>
    <row r="345">
      <c r="A345" t="n">
        <v>262</v>
      </c>
      <c r="B345">
        <f>IF($B$31&lt;=$B$32,IF($A345&lt;=$B$7,1,2),IF($A345&lt;=RUNG_BEDS_2,2,1))</f>
        <v>1</v>
      </c>
      <c r="C345" s="5">
        <f>MIN(1,MAX(0,$B$26-($A345-1)))</f>
        <v>0</v>
      </c>
      <c r="D345" s="5">
        <f>$B$25*(C345+(1-C345)*$B$16)</f>
        <v>0.0</v>
      </c>
      <c r="E345" s="13">
        <f>D345*($B$6+ACUTE_MARGIN)</f>
        <v>0.0</v>
      </c>
      <c r="F345" s="13">
        <f>IF(B345=1,$B$31,$B$32)</f>
        <v>152394.16214437486</v>
      </c>
      <c r="G345" s="13">
        <f>E345-F345</f>
        <v>-152394.16214437486</v>
      </c>
      <c r="H345" s="13">
        <f>H344+G345</f>
        <v>-1698299.8535538774</v>
      </c>
      <c r="I345">
        <f>IF(H345=MAX($H$83:$H$483),$A345,0)</f>
        <v>0</v>
      </c>
      <c r="J345">
        <f>IF(E345&lt;F345,$A345,B_MAX+1)</f>
        <v>262</v>
      </c>
      <c r="K345" s="13">
        <f>IF(B345=1,$B$35,$B$36)</f>
        <v>0</v>
      </c>
      <c r="L345" s="13">
        <f>OCC_DAYS*$B$41*R_NF_2023-D345*MCD_SHARE_FREED*R_WAIT_2023</f>
        <v>151980.48282209205</v>
      </c>
      <c r="M345">
        <f>IF($A345&lt;=$B$45,1,0)</f>
        <v>0</v>
      </c>
      <c r="AB345">
        <f>IF($AB$31&lt;=$AB$32,IF($A345&lt;=$AB$7,1,2),IF($A345&lt;=RUNG_BEDS_2,2,1))</f>
        <v>1</v>
      </c>
      <c r="AC345" s="5">
        <f>MIN(1,MAX(0,$AB$26-($A345-1)))</f>
        <v>0</v>
      </c>
      <c r="AD345" s="5">
        <f>$AB$25*(AC345+(1-AC345)*$AB$16)</f>
        <v>0.0</v>
      </c>
      <c r="AE345" s="13">
        <f>AD345*($AB$6+ACUTE_MARGIN)</f>
        <v>0.0</v>
      </c>
      <c r="AF345" s="13">
        <f>IF(AB345=1,$AB$31,$AB$32)</f>
        <v>152394.16214437486</v>
      </c>
      <c r="AG345" s="13">
        <f>AE345-AF345</f>
        <v>-152394.16214437486</v>
      </c>
      <c r="AH345" s="13">
        <f>AH344+AG345</f>
        <v>-19109514.199103653</v>
      </c>
      <c r="AI345">
        <f>IF(AH345=MAX($AH$83:$AH$483),$A345,0)</f>
        <v>0</v>
      </c>
      <c r="AJ345">
        <f>IF(AE345&lt;AF345,$A345,B_MAX+1)</f>
        <v>262</v>
      </c>
      <c r="AK345" s="13">
        <f>IF(AB345=1,$AB$35,$AB$36)</f>
        <v>0</v>
      </c>
      <c r="AL345" s="13">
        <f>OCC_DAYS*$AB$41*R_NF_2023-AD345*MCD_SHARE_FREED*R_WAIT_2023</f>
        <v>151980.48282209205</v>
      </c>
      <c r="AM345">
        <f>IF($A345&lt;=$AB$45,1,0)</f>
        <v>0</v>
      </c>
      <c r="BB345">
        <f>IF($BB$31&lt;=$BB$32,IF($A345&lt;=$BB$7,1,2),IF($A345&lt;=RUNG_BEDS_2,2,1))</f>
        <v>1</v>
      </c>
      <c r="BC345" s="5">
        <f>MIN(1,MAX(0,$BB$26-($A345-1)))</f>
        <v>0</v>
      </c>
      <c r="BD345" s="5">
        <f>$BB$25*(BC345+(1-BC345)*$BB$16)</f>
        <v>0.0</v>
      </c>
      <c r="BE345" s="13">
        <f>BD345*($BB$6+ACUTE_MARGIN)</f>
        <v>0.0</v>
      </c>
      <c r="BF345" s="13">
        <f>IF(BB345=1,$BB$31,$BB$32)</f>
        <v>152394.16214437486</v>
      </c>
      <c r="BG345" s="13">
        <f>BE345-BF345</f>
        <v>-152394.16214437486</v>
      </c>
      <c r="BH345" s="13">
        <f>BH344+BG345</f>
        <v>15712914.491995841</v>
      </c>
      <c r="BI345">
        <f>IF(BH345=MAX($BH$83:$BH$483),$A345,0)</f>
        <v>0</v>
      </c>
      <c r="BJ345">
        <f>IF(BE345&lt;BF345,$A345,B_MAX+1)</f>
        <v>262</v>
      </c>
      <c r="BK345" s="13">
        <f>IF(BB345=1,$BB$35,$BB$36)</f>
        <v>0</v>
      </c>
      <c r="BL345" s="13">
        <f>OCC_DAYS*$BB$41*R_NF_2023-BD345*MCD_SHARE_FREED*R_WAIT_2023</f>
        <v>151980.48282209205</v>
      </c>
      <c r="BM345">
        <f>IF($A345&lt;=$BB$45,1,0)</f>
        <v>0</v>
      </c>
      <c r="CB345">
        <f>IF($CB$31&lt;=$CB$32,IF($A345&lt;=$CB$7,1,2),IF($A345&lt;=RUNG_BEDS_2,2,1))</f>
        <v>2</v>
      </c>
      <c r="CC345" s="5">
        <f>MIN(1,MAX(0,$CB$26-($A345-1)))</f>
        <v>0</v>
      </c>
      <c r="CD345" s="5">
        <f>$CB$25*(CC345+(1-CC345)*$CB$16)</f>
        <v>0.0</v>
      </c>
      <c r="CE345" s="13">
        <f>CD345*($CB$6+ACUTE_MARGIN)</f>
        <v>0.0</v>
      </c>
      <c r="CF345" s="13">
        <f>IF(CB345=1,$CB$31,$CB$32)</f>
        <v>160718.36940738867</v>
      </c>
      <c r="CG345" s="13">
        <f>CE345-CF345</f>
        <v>-160718.36940738867</v>
      </c>
      <c r="CH345" s="13">
        <f>CH344+CG345</f>
        <v>-3879242.1564636123</v>
      </c>
      <c r="CI345">
        <f>IF(CH345=MAX($CH$83:$CH$483),$A345,0)</f>
        <v>0</v>
      </c>
      <c r="CJ345">
        <f>IF(CE345&lt;CF345,$A345,B_MAX+1)</f>
        <v>262</v>
      </c>
      <c r="CK345" s="13">
        <f>IF(CB345=1,$CB$35,$CB$36)</f>
        <v>1560.1194073886782</v>
      </c>
      <c r="CL345" s="13">
        <f>OCC_DAYS*$CB$41*R_NF_2023-CD345*MCD_SHARE_FREED*R_WAIT_2023</f>
        <v>151980.48282209205</v>
      </c>
      <c r="CM345">
        <f>IF($A345&lt;=$CB$45,1,0)</f>
        <v>0</v>
      </c>
      <c r="DB345">
        <f>IF($DB$31&lt;=$DB$32,IF($A345&lt;=$DB$7,1,2),IF($A345&lt;=RUNG_BEDS_2,2,1))</f>
        <v>1</v>
      </c>
      <c r="DC345" s="5">
        <f>MIN(1,MAX(0,$DB$26-($A345-1)))</f>
        <v>0</v>
      </c>
      <c r="DD345" s="5">
        <f>$DB$25*(DC345+(1-DC345)*$DB$16)</f>
        <v>0.0</v>
      </c>
      <c r="DE345" s="13">
        <f>DD345*($DB$6+ACUTE_MARGIN)</f>
        <v>0.0</v>
      </c>
      <c r="DF345" s="13">
        <f>IF(DB345=1,$DB$31,$DB$32)</f>
        <v>152394.16214437486</v>
      </c>
      <c r="DG345" s="13">
        <f>DE345-DF345</f>
        <v>-152394.16214437486</v>
      </c>
      <c r="DH345" s="13">
        <f>DH344+DG345</f>
        <v>-1698299.8535538774</v>
      </c>
      <c r="DI345">
        <f>IF(DH345=MAX($DH$83:$DH$483),$A345,0)</f>
        <v>0</v>
      </c>
      <c r="DJ345">
        <f>IF(DE345&lt;DF345,$A345,B_MAX+1)</f>
        <v>262</v>
      </c>
      <c r="DK345" s="13">
        <f>IF(DB345=1,$DB$35,$DB$36)</f>
        <v>0</v>
      </c>
      <c r="DL345" s="13">
        <f>OCC_DAYS*$DB$41*R_NF_2023-DD345*MCD_SHARE_FREED*R_WAIT_2023</f>
        <v>151980.48282209205</v>
      </c>
      <c r="DM345">
        <f>IF($A345&lt;=$DB$45,1,0)</f>
        <v>0</v>
      </c>
      <c r="EB345">
        <f>IF($EB$31&lt;=$EB$32,IF($A345&lt;=$EB$7,1,2),IF($A345&lt;=RUNG_BEDS_2,2,1))</f>
        <v>1</v>
      </c>
      <c r="EC345" s="5">
        <f>MIN(1,MAX(0,$EB$26-($A345-1)))</f>
        <v>0</v>
      </c>
      <c r="ED345" s="5">
        <f>$EB$25*(EC345+(1-EC345)*$EB$16)</f>
        <v>0.0</v>
      </c>
      <c r="EE345" s="13">
        <f>ED345*($EB$6+ACUTE_MARGIN)</f>
        <v>0.0</v>
      </c>
      <c r="EF345" s="13">
        <f>IF(EB345=1,$EB$31,$EB$32)</f>
        <v>152394.16214437486</v>
      </c>
      <c r="EG345" s="13">
        <f>EE345-EF345</f>
        <v>-152394.16214437486</v>
      </c>
      <c r="EH345" s="13">
        <f>EH344+EG345</f>
        <v>-1698299.8535538774</v>
      </c>
      <c r="EI345">
        <f>IF(EH345=MAX($EH$83:$EH$483),$A345,0)</f>
        <v>0</v>
      </c>
      <c r="EJ345">
        <f>IF(EE345&lt;EF345,$A345,B_MAX+1)</f>
        <v>262</v>
      </c>
      <c r="EK345" s="13">
        <f>IF(EB345=1,$EB$35,$EB$36)</f>
        <v>0</v>
      </c>
      <c r="EL345" s="13">
        <f>OCC_DAYS*$EB$41*R_NF_2023-ED345*MCD_SHARE_FREED*R_WAIT_2023</f>
        <v>50660.16094069735</v>
      </c>
      <c r="EM345">
        <f>IF($A345&lt;=$EB$45,1,0)</f>
        <v>0</v>
      </c>
      <c r="FB345">
        <f>IF($FB$31&lt;=$FB$32,IF($A345&lt;=$FB$7,1,2),IF($A345&lt;=RUNG_BEDS_2,2,1))</f>
        <v>1</v>
      </c>
      <c r="FC345" s="5">
        <f>MIN(1,MAX(0,$FB$26-($A345-1)))</f>
        <v>0</v>
      </c>
      <c r="FD345" s="5">
        <f>$FB$25*(FC345+(1-FC345)*$FB$16)</f>
        <v>0.0</v>
      </c>
      <c r="FE345" s="13">
        <f>FD345*($FB$6+ACUTE_MARGIN)</f>
        <v>0.0</v>
      </c>
      <c r="FF345" s="13">
        <f>IF(FB345=1,$FB$31,$FB$32)</f>
        <v>156636.04979437485</v>
      </c>
      <c r="FG345" s="13">
        <f>FE345-FF345</f>
        <v>-156636.04979437485</v>
      </c>
      <c r="FH345" s="13">
        <f>FH344+FG345</f>
        <v>-2809674.4178539924</v>
      </c>
      <c r="FI345">
        <f>IF(FH345=MAX($FH$83:$FH$483),$A345,0)</f>
        <v>0</v>
      </c>
      <c r="FJ345">
        <f>IF(FE345&lt;FF345,$A345,B_MAX+1)</f>
        <v>262</v>
      </c>
      <c r="FK345" s="13">
        <f>IF(FB345=1,$FB$35,$FB$36)</f>
        <v>0</v>
      </c>
      <c r="FL345" s="13">
        <f>OCC_DAYS*$FB$41*R_NF_2023-FD345*MCD_SHARE_FREED*R_WAIT_2023</f>
        <v>151980.48282209205</v>
      </c>
      <c r="FM345">
        <f>IF($A345&lt;=$FB$45,1,0)</f>
        <v>0</v>
      </c>
      <c r="GB345">
        <f>IF($GB$31&lt;=$GB$32,IF($A345&lt;=$GB$7,1,2),IF($A345&lt;=RUNG_BEDS_2,2,1))</f>
        <v>1</v>
      </c>
      <c r="GC345" s="5">
        <f>MIN(1,MAX(0,$GB$26-($A345-1)))</f>
        <v>0</v>
      </c>
      <c r="GD345" s="5">
        <f>$GB$25*(GC345+(1-GC345)*$GB$16)</f>
        <v>0.0</v>
      </c>
      <c r="GE345" s="13">
        <f>GD345*($GB$6+ACUTE_MARGIN)</f>
        <v>0.0</v>
      </c>
      <c r="GF345" s="13">
        <f>IF(GB345=1,$GB$31,$GB$32)</f>
        <v>152394.16214437486</v>
      </c>
      <c r="GG345" s="13">
        <f>GE345-GF345</f>
        <v>-152394.16214437486</v>
      </c>
      <c r="GH345" s="13">
        <f>GH344+GG345</f>
        <v>-1698299.8535538774</v>
      </c>
      <c r="GI345">
        <f>IF(GH345=MAX($GH$83:$GH$483),$A345,0)</f>
        <v>0</v>
      </c>
      <c r="GJ345">
        <f>IF(GE345&lt;GF345,$A345,B_MAX+1)</f>
        <v>262</v>
      </c>
      <c r="GK345" s="13">
        <f>IF(GB345=1,$GB$35,$GB$36)</f>
        <v>0</v>
      </c>
      <c r="GL345" s="13">
        <f>OCC_DAYS*$GB$41*R_NF_2023-GD345*MCD_SHARE_FREED*R_WAIT_2023</f>
        <v>151980.48282209205</v>
      </c>
      <c r="GM345">
        <f>IF($A345&lt;=$GB$45,1,0)</f>
        <v>0</v>
      </c>
      <c r="HB345">
        <f>IF($HB$31&lt;=$HB$32,IF($A345&lt;=$HB$7,1,2),IF($A345&lt;=RUNG_BEDS_2,2,1))</f>
        <v>1</v>
      </c>
      <c r="HC345" s="5">
        <f>MIN(1,MAX(0,$HB$26-($A345-1)))</f>
        <v>0</v>
      </c>
      <c r="HD345" s="5">
        <f>$HB$25*(HC345+(1-HC345)*$HB$16)</f>
        <v>0.0</v>
      </c>
      <c r="HE345" s="13">
        <f>HD345*($HB$6+ACUTE_MARGIN)</f>
        <v>0.0</v>
      </c>
      <c r="HF345" s="13">
        <f>IF(HB345=1,$HB$31,$HB$32)</f>
        <v>152456.2970814058</v>
      </c>
      <c r="HG345" s="13">
        <f>HE345-HF345</f>
        <v>-152456.2970814058</v>
      </c>
      <c r="HH345" s="13">
        <f>HH344+HG345</f>
        <v>-1714579.207056023</v>
      </c>
      <c r="HI345">
        <f>IF(HH345=MAX($HH$83:$HH$483),$A345,0)</f>
        <v>0</v>
      </c>
      <c r="HJ345">
        <f>IF(HE345&lt;HF345,$A345,B_MAX+1)</f>
        <v>262</v>
      </c>
      <c r="HK345" s="13">
        <f>IF(HB345=1,$HB$35,$HB$36)</f>
        <v>0</v>
      </c>
      <c r="HL345" s="13">
        <f>OCC_DAYS*$HB$41*R_NF_2023-HD345*MCD_SHARE_FREED*R_WAIT_2023</f>
        <v>151980.48282209205</v>
      </c>
      <c r="HM345">
        <f>IF($A345&lt;=$HB$45,1,0)</f>
        <v>0</v>
      </c>
      <c r="IB345">
        <f>IF($IB$31&lt;=$IB$32,IF($A345&lt;=$IB$7,1,2),IF($A345&lt;=RUNG_BEDS_2,2,1))</f>
        <v>1</v>
      </c>
      <c r="IC345" s="5">
        <f>MIN(1,MAX(0,$IB$26-($A345-1)))</f>
        <v>0</v>
      </c>
      <c r="ID345" s="5">
        <f>$IB$25*(IC345+(1-IC345)*$IB$16)</f>
        <v>0.0</v>
      </c>
      <c r="IE345" s="13">
        <f>ID345*($IB$6+ACUTE_MARGIN)</f>
        <v>0.0</v>
      </c>
      <c r="IF345" s="13">
        <f>IF(IB345=1,$IB$31,$IB$32)</f>
        <v>152734.9994534971</v>
      </c>
      <c r="IG345" s="13">
        <f>IE345-IF345</f>
        <v>-152734.9994534971</v>
      </c>
      <c r="IH345" s="13">
        <f>IH344+IG345</f>
        <v>-1787599.2285439975</v>
      </c>
      <c r="II345">
        <f>IF(IH345=MAX($IH$83:$IH$483),$A345,0)</f>
        <v>0</v>
      </c>
      <c r="IJ345">
        <f>IF(IE345&lt;IF345,$A345,B_MAX+1)</f>
        <v>262</v>
      </c>
      <c r="IK345" s="13">
        <f>IF(IB345=1,$IB$35,$IB$36)</f>
        <v>0</v>
      </c>
      <c r="IL345" s="13">
        <f>OCC_DAYS*$IB$41*R_NF_2023-ID345*MCD_SHARE_FREED*R_WAIT_2023</f>
        <v>151980.48282209205</v>
      </c>
      <c r="IM345">
        <f>IF($A345&lt;=$IB$45,1,0)</f>
        <v>0</v>
      </c>
      <c r="JB345">
        <f>IF($JB$31&lt;=$JB$32,IF($A345&lt;=$JB$7,1,2),IF($A345&lt;=RUNG_BEDS_2,2,1))</f>
        <v>1</v>
      </c>
      <c r="JC345" s="5">
        <f>MIN(1,MAX(0,$JB$26-($A345-1)))</f>
        <v>0</v>
      </c>
      <c r="JD345" s="5">
        <f>$JB$25*(JC345+(1-JC345)*$JB$16)</f>
        <v>0.0</v>
      </c>
      <c r="JE345" s="13">
        <f>JD345*($JB$6+ACUTE_MARGIN)</f>
        <v>0.0</v>
      </c>
      <c r="JF345" s="13">
        <f>IF(JB345=1,$JB$31,$JB$32)</f>
        <v>152394.16214437486</v>
      </c>
      <c r="JG345" s="13">
        <f>JE345-JF345</f>
        <v>-152394.16214437486</v>
      </c>
      <c r="JH345" s="13">
        <f>JH344+JG345</f>
        <v>-1698299.8535538774</v>
      </c>
      <c r="JI345">
        <f>IF(JH345=MAX($JH$83:$JH$483),$A345,0)</f>
        <v>0</v>
      </c>
      <c r="JJ345">
        <f>IF(JE345&lt;JF345,$A345,B_MAX+1)</f>
        <v>262</v>
      </c>
      <c r="JK345" s="13">
        <f>IF(JB345=1,$JB$35,$JB$36)</f>
        <v>0</v>
      </c>
      <c r="JL345" s="13">
        <f>OCC_DAYS*$JB$41*R_NF_2023-JD345*MCD_SHARE_FREED*R_WAIT_2023</f>
        <v>151980.48282209205</v>
      </c>
      <c r="JM345">
        <f>IF($A345&lt;=$JB$45,1,0)</f>
        <v>0</v>
      </c>
      <c r="KB345">
        <f>IF($KB$31&lt;=$KB$32,IF($A345&lt;=$KB$7,1,2),IF($A345&lt;=RUNG_BEDS_2,2,1))</f>
        <v>1</v>
      </c>
      <c r="KC345" s="5">
        <f>MIN(1,MAX(0,$KB$26-($A345-1)))</f>
        <v>1</v>
      </c>
      <c r="KD345" s="5">
        <f>$KB$25*(KC345+(1-KC345)*$KB$16)</f>
        <v>126.02661357340719</v>
      </c>
      <c r="KE345" s="13">
        <f>KD345*($KB$6+ACUTE_MARGIN)</f>
        <v>127286.87970914126</v>
      </c>
      <c r="KF345" s="13">
        <f>IF(KB345=1,$KB$31,$KB$32)</f>
        <v>152394.16214437486</v>
      </c>
      <c r="KG345" s="13">
        <f>KE345-KF345</f>
        <v>-25107.282435233603</v>
      </c>
      <c r="KH345" s="13">
        <f>KH344+KG345</f>
        <v>-6578107.998031226</v>
      </c>
      <c r="KI345">
        <f>IF(KH345=MAX($KH$83:$KH$483),$A345,0)</f>
        <v>0</v>
      </c>
      <c r="KJ345">
        <f>IF(KE345&lt;KF345,$A345,B_MAX+1)</f>
        <v>262</v>
      </c>
      <c r="KK345" s="13">
        <f>IF(KB345=1,$KB$35,$KB$36)</f>
        <v>0</v>
      </c>
      <c r="KL345" s="13">
        <f>OCC_DAYS*$KB$41*R_NF_2023-KD345*MCD_SHARE_FREED*R_WAIT_2023</f>
        <v>94673.82103225985</v>
      </c>
      <c r="KM345">
        <f>IF($A345&lt;=$KB$45,1,0)</f>
        <v>0</v>
      </c>
      <c r="LB345">
        <f>IF($LB$31&lt;=$LB$32,IF($A345&lt;=$LB$7,1,2),IF($A345&lt;=RUNG_BEDS_2,2,1))</f>
        <v>1</v>
      </c>
      <c r="LC345" s="5">
        <f>MIN(1,MAX(0,$LB$26-($A345-1)))</f>
        <v>1</v>
      </c>
      <c r="LD345" s="5">
        <f>$LB$25*(LC345+(1-LC345)*$LB$16)</f>
        <v>84.01774238227146</v>
      </c>
      <c r="LE345" s="13">
        <f>LD345*($LB$6+ACUTE_MARGIN)</f>
        <v>84857.91980609419</v>
      </c>
      <c r="LF345" s="13">
        <f>IF(LB345=1,$LB$31,$LB$32)</f>
        <v>152394.16214437486</v>
      </c>
      <c r="LG345" s="13">
        <f>LE345-LF345</f>
        <v>-67536.24233828067</v>
      </c>
      <c r="LH345" s="13">
        <f>LH344+LG345</f>
        <v>-17694495.492629625</v>
      </c>
      <c r="LI345">
        <f>IF(LH345=MAX($LH$83:$LH$483),$A345,0)</f>
        <v>0</v>
      </c>
      <c r="LJ345">
        <f>IF(LE345&lt;LF345,$A345,B_MAX+1)</f>
        <v>262</v>
      </c>
      <c r="LK345" s="13">
        <f>IF(LB345=1,$LB$35,$LB$36)</f>
        <v>0</v>
      </c>
      <c r="LL345" s="13">
        <f>OCC_DAYS*$LB$41*R_NF_2023-LD345*MCD_SHARE_FREED*R_WAIT_2023</f>
        <v>113776.04162887059</v>
      </c>
      <c r="LM345">
        <f>IF($A345&lt;=$LB$45,1,0)</f>
        <v>0</v>
      </c>
      <c r="MB345">
        <f>IF($MB$31&lt;=$MB$32,IF($A345&lt;=$MB$7,1,2),IF($A345&lt;=RUNG_BEDS_2,2,1))</f>
        <v>1</v>
      </c>
      <c r="MC345" s="5">
        <f>MIN(1,MAX(0,$MB$26-($A345-1)))</f>
        <v>0</v>
      </c>
      <c r="MD345" s="5">
        <f>$MB$25*(MC345+(1-MC345)*$MB$16)</f>
        <v>0.0</v>
      </c>
      <c r="ME345" s="13">
        <f>MD345*($MB$6+ACUTE_MARGIN)</f>
        <v>0.0</v>
      </c>
      <c r="MF345" s="13">
        <f>IF(MB345=1,$MB$31,$MB$32)</f>
        <v>152394.16214437486</v>
      </c>
      <c r="MG345" s="13">
        <f>ME345-MF345</f>
        <v>-152394.16214437486</v>
      </c>
      <c r="MH345" s="13">
        <f>MH344+MG345</f>
        <v>-7585575.915352212</v>
      </c>
      <c r="MI345">
        <f>IF(MH345=MAX($MH$83:$MH$483),$A345,0)</f>
        <v>0</v>
      </c>
      <c r="MJ345">
        <f>IF(ME345&lt;MF345,$A345,B_MAX+1)</f>
        <v>262</v>
      </c>
      <c r="MK345" s="13">
        <f>IF(MB345=1,$MB$35,$MB$36)</f>
        <v>0</v>
      </c>
      <c r="ML345" s="13">
        <f>OCC_DAYS*$MB$41*R_NF_2023-MD345*MCD_SHARE_FREED*R_WAIT_2023</f>
        <v>151980.48282209205</v>
      </c>
      <c r="MM345">
        <f>IF($A345&lt;=$MB$45,1,0)</f>
        <v>0</v>
      </c>
      <c r="NB345">
        <f>IF($NB$31&lt;=$NB$32,IF($A345&lt;=$NB$7,1,2),IF($A345&lt;=RUNG_BEDS_2,2,1))</f>
        <v>1</v>
      </c>
      <c r="NC345" s="5">
        <f>MIN(1,MAX(0,$NB$26-($A345-1)))</f>
        <v>0</v>
      </c>
      <c r="ND345" s="5">
        <f>$NB$25*(NC345+(1-NC345)*$NB$16)</f>
        <v>63.013306786703595</v>
      </c>
      <c r="NE345" s="13">
        <f>ND345*($NB$6+ACUTE_MARGIN)</f>
        <v>63643.43985457063</v>
      </c>
      <c r="NF345" s="13">
        <f>IF(NB345=1,$NB$31,$NB$32)</f>
        <v>152394.16214437486</v>
      </c>
      <c r="NG345" s="13">
        <f>NE345-NF345</f>
        <v>-88750.72228980422</v>
      </c>
      <c r="NH345" s="13">
        <f>NH344+NG345</f>
        <v>5419038.731275521</v>
      </c>
      <c r="NI345">
        <f>IF(NH345=MAX($NH$83:$NH$483),$A345,0)</f>
        <v>0</v>
      </c>
      <c r="NJ345">
        <f>IF(NE345&lt;NF345,$A345,B_MAX+1)</f>
        <v>262</v>
      </c>
      <c r="NK345" s="13">
        <f>IF(NB345=1,$NB$35,$NB$36)</f>
        <v>0</v>
      </c>
      <c r="NL345" s="13">
        <f>OCC_DAYS*$NB$41*R_NF_2023-ND345*MCD_SHARE_FREED*R_WAIT_2023</f>
        <v>123327.15192717595</v>
      </c>
      <c r="NM345">
        <f>IF($A345&lt;=$NB$45,1,0)</f>
        <v>0</v>
      </c>
      <c r="OB345">
        <f>IF($OB$31&lt;=$OB$32,IF($A345&lt;=$OB$7,1,2),IF($A345&lt;=RUNG_BEDS_2,2,1))</f>
        <v>1</v>
      </c>
      <c r="OC345" s="5">
        <f>MIN(1,MAX(0,$OB$26-($A345-1)))</f>
        <v>0</v>
      </c>
      <c r="OD345" s="5">
        <f>$OB$25*(OC345+(1-OC345)*$OB$16)</f>
        <v>126.02661357340719</v>
      </c>
      <c r="OE345" s="13">
        <f>OD345*($OB$6+ACUTE_MARGIN)</f>
        <v>127286.87970914126</v>
      </c>
      <c r="OF345" s="13">
        <f>IF(OB345=1,$OB$31,$OB$32)</f>
        <v>152394.16214437486</v>
      </c>
      <c r="OG345" s="13">
        <f>OE345-OF345</f>
        <v>-25107.282435233603</v>
      </c>
      <c r="OH345" s="13">
        <f>OH344+OG345</f>
        <v>12536377.316105071</v>
      </c>
      <c r="OI345">
        <f>IF(OH345=MAX($OH$83:$OH$483),$A345,0)</f>
        <v>0</v>
      </c>
      <c r="OJ345">
        <f>IF(OE345&lt;OF345,$A345,B_MAX+1)</f>
        <v>262</v>
      </c>
      <c r="OK345" s="13">
        <f>IF(OB345=1,$OB$35,$OB$36)</f>
        <v>0</v>
      </c>
      <c r="OL345" s="13">
        <f>OCC_DAYS*$OB$41*R_NF_2023-OD345*MCD_SHARE_FREED*R_WAIT_2023</f>
        <v>94673.82103225985</v>
      </c>
      <c r="OM345">
        <f>IF($A345&lt;=$OB$45,1,0)</f>
        <v>0</v>
      </c>
    </row>
    <row r="346">
      <c r="A346" t="n">
        <v>263</v>
      </c>
      <c r="B346">
        <f>IF($B$31&lt;=$B$32,IF($A346&lt;=$B$7,1,2),IF($A346&lt;=RUNG_BEDS_2,2,1))</f>
        <v>1</v>
      </c>
      <c r="C346" s="5">
        <f>MIN(1,MAX(0,$B$26-($A346-1)))</f>
        <v>0</v>
      </c>
      <c r="D346" s="5">
        <f>$B$25*(C346+(1-C346)*$B$16)</f>
        <v>0.0</v>
      </c>
      <c r="E346" s="13">
        <f>D346*($B$6+ACUTE_MARGIN)</f>
        <v>0.0</v>
      </c>
      <c r="F346" s="13">
        <f>IF(B346=1,$B$31,$B$32)</f>
        <v>152394.16214437486</v>
      </c>
      <c r="G346" s="13">
        <f>E346-F346</f>
        <v>-152394.16214437486</v>
      </c>
      <c r="H346" s="13">
        <f>H345+G346</f>
        <v>-1850694.0156982522</v>
      </c>
      <c r="I346">
        <f>IF(H346=MAX($H$83:$H$483),$A346,0)</f>
        <v>0</v>
      </c>
      <c r="J346">
        <f>IF(E346&lt;F346,$A346,B_MAX+1)</f>
        <v>263</v>
      </c>
      <c r="K346" s="13">
        <f>IF(B346=1,$B$35,$B$36)</f>
        <v>0</v>
      </c>
      <c r="L346" s="13">
        <f>OCC_DAYS*$B$41*R_NF_2023-D346*MCD_SHARE_FREED*R_WAIT_2023</f>
        <v>151980.48282209205</v>
      </c>
      <c r="M346">
        <f>IF($A346&lt;=$B$45,1,0)</f>
        <v>0</v>
      </c>
      <c r="AB346">
        <f>IF($AB$31&lt;=$AB$32,IF($A346&lt;=$AB$7,1,2),IF($A346&lt;=RUNG_BEDS_2,2,1))</f>
        <v>1</v>
      </c>
      <c r="AC346" s="5">
        <f>MIN(1,MAX(0,$AB$26-($A346-1)))</f>
        <v>0</v>
      </c>
      <c r="AD346" s="5">
        <f>$AB$25*(AC346+(1-AC346)*$AB$16)</f>
        <v>0.0</v>
      </c>
      <c r="AE346" s="13">
        <f>AD346*($AB$6+ACUTE_MARGIN)</f>
        <v>0.0</v>
      </c>
      <c r="AF346" s="13">
        <f>IF(AB346=1,$AB$31,$AB$32)</f>
        <v>152394.16214437486</v>
      </c>
      <c r="AG346" s="13">
        <f>AE346-AF346</f>
        <v>-152394.16214437486</v>
      </c>
      <c r="AH346" s="13">
        <f>AH345+AG346</f>
        <v>-19261908.361248028</v>
      </c>
      <c r="AI346">
        <f>IF(AH346=MAX($AH$83:$AH$483),$A346,0)</f>
        <v>0</v>
      </c>
      <c r="AJ346">
        <f>IF(AE346&lt;AF346,$A346,B_MAX+1)</f>
        <v>263</v>
      </c>
      <c r="AK346" s="13">
        <f>IF(AB346=1,$AB$35,$AB$36)</f>
        <v>0</v>
      </c>
      <c r="AL346" s="13">
        <f>OCC_DAYS*$AB$41*R_NF_2023-AD346*MCD_SHARE_FREED*R_WAIT_2023</f>
        <v>151980.48282209205</v>
      </c>
      <c r="AM346">
        <f>IF($A346&lt;=$AB$45,1,0)</f>
        <v>0</v>
      </c>
      <c r="BB346">
        <f>IF($BB$31&lt;=$BB$32,IF($A346&lt;=$BB$7,1,2),IF($A346&lt;=RUNG_BEDS_2,2,1))</f>
        <v>1</v>
      </c>
      <c r="BC346" s="5">
        <f>MIN(1,MAX(0,$BB$26-($A346-1)))</f>
        <v>0</v>
      </c>
      <c r="BD346" s="5">
        <f>$BB$25*(BC346+(1-BC346)*$BB$16)</f>
        <v>0.0</v>
      </c>
      <c r="BE346" s="13">
        <f>BD346*($BB$6+ACUTE_MARGIN)</f>
        <v>0.0</v>
      </c>
      <c r="BF346" s="13">
        <f>IF(BB346=1,$BB$31,$BB$32)</f>
        <v>152394.16214437486</v>
      </c>
      <c r="BG346" s="13">
        <f>BE346-BF346</f>
        <v>-152394.16214437486</v>
      </c>
      <c r="BH346" s="13">
        <f>BH345+BG346</f>
        <v>15560520.329851467</v>
      </c>
      <c r="BI346">
        <f>IF(BH346=MAX($BH$83:$BH$483),$A346,0)</f>
        <v>0</v>
      </c>
      <c r="BJ346">
        <f>IF(BE346&lt;BF346,$A346,B_MAX+1)</f>
        <v>263</v>
      </c>
      <c r="BK346" s="13">
        <f>IF(BB346=1,$BB$35,$BB$36)</f>
        <v>0</v>
      </c>
      <c r="BL346" s="13">
        <f>OCC_DAYS*$BB$41*R_NF_2023-BD346*MCD_SHARE_FREED*R_WAIT_2023</f>
        <v>151980.48282209205</v>
      </c>
      <c r="BM346">
        <f>IF($A346&lt;=$BB$45,1,0)</f>
        <v>0</v>
      </c>
      <c r="CB346">
        <f>IF($CB$31&lt;=$CB$32,IF($A346&lt;=$CB$7,1,2),IF($A346&lt;=RUNG_BEDS_2,2,1))</f>
        <v>2</v>
      </c>
      <c r="CC346" s="5">
        <f>MIN(1,MAX(0,$CB$26-($A346-1)))</f>
        <v>0</v>
      </c>
      <c r="CD346" s="5">
        <f>$CB$25*(CC346+(1-CC346)*$CB$16)</f>
        <v>0.0</v>
      </c>
      <c r="CE346" s="13">
        <f>CD346*($CB$6+ACUTE_MARGIN)</f>
        <v>0.0</v>
      </c>
      <c r="CF346" s="13">
        <f>IF(CB346=1,$CB$31,$CB$32)</f>
        <v>160718.36940738867</v>
      </c>
      <c r="CG346" s="13">
        <f>CE346-CF346</f>
        <v>-160718.36940738867</v>
      </c>
      <c r="CH346" s="13">
        <f>CH345+CG346</f>
        <v>-4039960.525871001</v>
      </c>
      <c r="CI346">
        <f>IF(CH346=MAX($CH$83:$CH$483),$A346,0)</f>
        <v>0</v>
      </c>
      <c r="CJ346">
        <f>IF(CE346&lt;CF346,$A346,B_MAX+1)</f>
        <v>263</v>
      </c>
      <c r="CK346" s="13">
        <f>IF(CB346=1,$CB$35,$CB$36)</f>
        <v>1560.1194073886782</v>
      </c>
      <c r="CL346" s="13">
        <f>OCC_DAYS*$CB$41*R_NF_2023-CD346*MCD_SHARE_FREED*R_WAIT_2023</f>
        <v>151980.48282209205</v>
      </c>
      <c r="CM346">
        <f>IF($A346&lt;=$CB$45,1,0)</f>
        <v>0</v>
      </c>
      <c r="DB346">
        <f>IF($DB$31&lt;=$DB$32,IF($A346&lt;=$DB$7,1,2),IF($A346&lt;=RUNG_BEDS_2,2,1))</f>
        <v>1</v>
      </c>
      <c r="DC346" s="5">
        <f>MIN(1,MAX(0,$DB$26-($A346-1)))</f>
        <v>0</v>
      </c>
      <c r="DD346" s="5">
        <f>$DB$25*(DC346+(1-DC346)*$DB$16)</f>
        <v>0.0</v>
      </c>
      <c r="DE346" s="13">
        <f>DD346*($DB$6+ACUTE_MARGIN)</f>
        <v>0.0</v>
      </c>
      <c r="DF346" s="13">
        <f>IF(DB346=1,$DB$31,$DB$32)</f>
        <v>152394.16214437486</v>
      </c>
      <c r="DG346" s="13">
        <f>DE346-DF346</f>
        <v>-152394.16214437486</v>
      </c>
      <c r="DH346" s="13">
        <f>DH345+DG346</f>
        <v>-1850694.0156982522</v>
      </c>
      <c r="DI346">
        <f>IF(DH346=MAX($DH$83:$DH$483),$A346,0)</f>
        <v>0</v>
      </c>
      <c r="DJ346">
        <f>IF(DE346&lt;DF346,$A346,B_MAX+1)</f>
        <v>263</v>
      </c>
      <c r="DK346" s="13">
        <f>IF(DB346=1,$DB$35,$DB$36)</f>
        <v>0</v>
      </c>
      <c r="DL346" s="13">
        <f>OCC_DAYS*$DB$41*R_NF_2023-DD346*MCD_SHARE_FREED*R_WAIT_2023</f>
        <v>151980.48282209205</v>
      </c>
      <c r="DM346">
        <f>IF($A346&lt;=$DB$45,1,0)</f>
        <v>0</v>
      </c>
      <c r="EB346">
        <f>IF($EB$31&lt;=$EB$32,IF($A346&lt;=$EB$7,1,2),IF($A346&lt;=RUNG_BEDS_2,2,1))</f>
        <v>1</v>
      </c>
      <c r="EC346" s="5">
        <f>MIN(1,MAX(0,$EB$26-($A346-1)))</f>
        <v>0</v>
      </c>
      <c r="ED346" s="5">
        <f>$EB$25*(EC346+(1-EC346)*$EB$16)</f>
        <v>0.0</v>
      </c>
      <c r="EE346" s="13">
        <f>ED346*($EB$6+ACUTE_MARGIN)</f>
        <v>0.0</v>
      </c>
      <c r="EF346" s="13">
        <f>IF(EB346=1,$EB$31,$EB$32)</f>
        <v>152394.16214437486</v>
      </c>
      <c r="EG346" s="13">
        <f>EE346-EF346</f>
        <v>-152394.16214437486</v>
      </c>
      <c r="EH346" s="13">
        <f>EH345+EG346</f>
        <v>-1850694.0156982522</v>
      </c>
      <c r="EI346">
        <f>IF(EH346=MAX($EH$83:$EH$483),$A346,0)</f>
        <v>0</v>
      </c>
      <c r="EJ346">
        <f>IF(EE346&lt;EF346,$A346,B_MAX+1)</f>
        <v>263</v>
      </c>
      <c r="EK346" s="13">
        <f>IF(EB346=1,$EB$35,$EB$36)</f>
        <v>0</v>
      </c>
      <c r="EL346" s="13">
        <f>OCC_DAYS*$EB$41*R_NF_2023-ED346*MCD_SHARE_FREED*R_WAIT_2023</f>
        <v>50660.16094069735</v>
      </c>
      <c r="EM346">
        <f>IF($A346&lt;=$EB$45,1,0)</f>
        <v>0</v>
      </c>
      <c r="FB346">
        <f>IF($FB$31&lt;=$FB$32,IF($A346&lt;=$FB$7,1,2),IF($A346&lt;=RUNG_BEDS_2,2,1))</f>
        <v>1</v>
      </c>
      <c r="FC346" s="5">
        <f>MIN(1,MAX(0,$FB$26-($A346-1)))</f>
        <v>0</v>
      </c>
      <c r="FD346" s="5">
        <f>$FB$25*(FC346+(1-FC346)*$FB$16)</f>
        <v>0.0</v>
      </c>
      <c r="FE346" s="13">
        <f>FD346*($FB$6+ACUTE_MARGIN)</f>
        <v>0.0</v>
      </c>
      <c r="FF346" s="13">
        <f>IF(FB346=1,$FB$31,$FB$32)</f>
        <v>156636.04979437485</v>
      </c>
      <c r="FG346" s="13">
        <f>FE346-FF346</f>
        <v>-156636.04979437485</v>
      </c>
      <c r="FH346" s="13">
        <f>FH345+FG346</f>
        <v>-2966310.4676483674</v>
      </c>
      <c r="FI346">
        <f>IF(FH346=MAX($FH$83:$FH$483),$A346,0)</f>
        <v>0</v>
      </c>
      <c r="FJ346">
        <f>IF(FE346&lt;FF346,$A346,B_MAX+1)</f>
        <v>263</v>
      </c>
      <c r="FK346" s="13">
        <f>IF(FB346=1,$FB$35,$FB$36)</f>
        <v>0</v>
      </c>
      <c r="FL346" s="13">
        <f>OCC_DAYS*$FB$41*R_NF_2023-FD346*MCD_SHARE_FREED*R_WAIT_2023</f>
        <v>151980.48282209205</v>
      </c>
      <c r="FM346">
        <f>IF($A346&lt;=$FB$45,1,0)</f>
        <v>0</v>
      </c>
      <c r="GB346">
        <f>IF($GB$31&lt;=$GB$32,IF($A346&lt;=$GB$7,1,2),IF($A346&lt;=RUNG_BEDS_2,2,1))</f>
        <v>1</v>
      </c>
      <c r="GC346" s="5">
        <f>MIN(1,MAX(0,$GB$26-($A346-1)))</f>
        <v>0</v>
      </c>
      <c r="GD346" s="5">
        <f>$GB$25*(GC346+(1-GC346)*$GB$16)</f>
        <v>0.0</v>
      </c>
      <c r="GE346" s="13">
        <f>GD346*($GB$6+ACUTE_MARGIN)</f>
        <v>0.0</v>
      </c>
      <c r="GF346" s="13">
        <f>IF(GB346=1,$GB$31,$GB$32)</f>
        <v>152394.16214437486</v>
      </c>
      <c r="GG346" s="13">
        <f>GE346-GF346</f>
        <v>-152394.16214437486</v>
      </c>
      <c r="GH346" s="13">
        <f>GH345+GG346</f>
        <v>-1850694.0156982522</v>
      </c>
      <c r="GI346">
        <f>IF(GH346=MAX($GH$83:$GH$483),$A346,0)</f>
        <v>0</v>
      </c>
      <c r="GJ346">
        <f>IF(GE346&lt;GF346,$A346,B_MAX+1)</f>
        <v>263</v>
      </c>
      <c r="GK346" s="13">
        <f>IF(GB346=1,$GB$35,$GB$36)</f>
        <v>0</v>
      </c>
      <c r="GL346" s="13">
        <f>OCC_DAYS*$GB$41*R_NF_2023-GD346*MCD_SHARE_FREED*R_WAIT_2023</f>
        <v>151980.48282209205</v>
      </c>
      <c r="GM346">
        <f>IF($A346&lt;=$GB$45,1,0)</f>
        <v>0</v>
      </c>
      <c r="HB346">
        <f>IF($HB$31&lt;=$HB$32,IF($A346&lt;=$HB$7,1,2),IF($A346&lt;=RUNG_BEDS_2,2,1))</f>
        <v>1</v>
      </c>
      <c r="HC346" s="5">
        <f>MIN(1,MAX(0,$HB$26-($A346-1)))</f>
        <v>0</v>
      </c>
      <c r="HD346" s="5">
        <f>$HB$25*(HC346+(1-HC346)*$HB$16)</f>
        <v>0.0</v>
      </c>
      <c r="HE346" s="13">
        <f>HD346*($HB$6+ACUTE_MARGIN)</f>
        <v>0.0</v>
      </c>
      <c r="HF346" s="13">
        <f>IF(HB346=1,$HB$31,$HB$32)</f>
        <v>152456.2970814058</v>
      </c>
      <c r="HG346" s="13">
        <f>HE346-HF346</f>
        <v>-152456.2970814058</v>
      </c>
      <c r="HH346" s="13">
        <f>HH345+HG346</f>
        <v>-1867035.5041374287</v>
      </c>
      <c r="HI346">
        <f>IF(HH346=MAX($HH$83:$HH$483),$A346,0)</f>
        <v>0</v>
      </c>
      <c r="HJ346">
        <f>IF(HE346&lt;HF346,$A346,B_MAX+1)</f>
        <v>263</v>
      </c>
      <c r="HK346" s="13">
        <f>IF(HB346=1,$HB$35,$HB$36)</f>
        <v>0</v>
      </c>
      <c r="HL346" s="13">
        <f>OCC_DAYS*$HB$41*R_NF_2023-HD346*MCD_SHARE_FREED*R_WAIT_2023</f>
        <v>151980.48282209205</v>
      </c>
      <c r="HM346">
        <f>IF($A346&lt;=$HB$45,1,0)</f>
        <v>0</v>
      </c>
      <c r="IB346">
        <f>IF($IB$31&lt;=$IB$32,IF($A346&lt;=$IB$7,1,2),IF($A346&lt;=RUNG_BEDS_2,2,1))</f>
        <v>1</v>
      </c>
      <c r="IC346" s="5">
        <f>MIN(1,MAX(0,$IB$26-($A346-1)))</f>
        <v>0</v>
      </c>
      <c r="ID346" s="5">
        <f>$IB$25*(IC346+(1-IC346)*$IB$16)</f>
        <v>0.0</v>
      </c>
      <c r="IE346" s="13">
        <f>ID346*($IB$6+ACUTE_MARGIN)</f>
        <v>0.0</v>
      </c>
      <c r="IF346" s="13">
        <f>IF(IB346=1,$IB$31,$IB$32)</f>
        <v>152734.9994534971</v>
      </c>
      <c r="IG346" s="13">
        <f>IE346-IF346</f>
        <v>-152734.9994534971</v>
      </c>
      <c r="IH346" s="13">
        <f>IH345+IG346</f>
        <v>-1940334.2279974946</v>
      </c>
      <c r="II346">
        <f>IF(IH346=MAX($IH$83:$IH$483),$A346,0)</f>
        <v>0</v>
      </c>
      <c r="IJ346">
        <f>IF(IE346&lt;IF346,$A346,B_MAX+1)</f>
        <v>263</v>
      </c>
      <c r="IK346" s="13">
        <f>IF(IB346=1,$IB$35,$IB$36)</f>
        <v>0</v>
      </c>
      <c r="IL346" s="13">
        <f>OCC_DAYS*$IB$41*R_NF_2023-ID346*MCD_SHARE_FREED*R_WAIT_2023</f>
        <v>151980.48282209205</v>
      </c>
      <c r="IM346">
        <f>IF($A346&lt;=$IB$45,1,0)</f>
        <v>0</v>
      </c>
      <c r="JB346">
        <f>IF($JB$31&lt;=$JB$32,IF($A346&lt;=$JB$7,1,2),IF($A346&lt;=RUNG_BEDS_2,2,1))</f>
        <v>1</v>
      </c>
      <c r="JC346" s="5">
        <f>MIN(1,MAX(0,$JB$26-($A346-1)))</f>
        <v>0</v>
      </c>
      <c r="JD346" s="5">
        <f>$JB$25*(JC346+(1-JC346)*$JB$16)</f>
        <v>0.0</v>
      </c>
      <c r="JE346" s="13">
        <f>JD346*($JB$6+ACUTE_MARGIN)</f>
        <v>0.0</v>
      </c>
      <c r="JF346" s="13">
        <f>IF(JB346=1,$JB$31,$JB$32)</f>
        <v>152394.16214437486</v>
      </c>
      <c r="JG346" s="13">
        <f>JE346-JF346</f>
        <v>-152394.16214437486</v>
      </c>
      <c r="JH346" s="13">
        <f>JH345+JG346</f>
        <v>-1850694.0156982522</v>
      </c>
      <c r="JI346">
        <f>IF(JH346=MAX($JH$83:$JH$483),$A346,0)</f>
        <v>0</v>
      </c>
      <c r="JJ346">
        <f>IF(JE346&lt;JF346,$A346,B_MAX+1)</f>
        <v>263</v>
      </c>
      <c r="JK346" s="13">
        <f>IF(JB346=1,$JB$35,$JB$36)</f>
        <v>0</v>
      </c>
      <c r="JL346" s="13">
        <f>OCC_DAYS*$JB$41*R_NF_2023-JD346*MCD_SHARE_FREED*R_WAIT_2023</f>
        <v>151980.48282209205</v>
      </c>
      <c r="JM346">
        <f>IF($A346&lt;=$JB$45,1,0)</f>
        <v>0</v>
      </c>
      <c r="KB346">
        <f>IF($KB$31&lt;=$KB$32,IF($A346&lt;=$KB$7,1,2),IF($A346&lt;=RUNG_BEDS_2,2,1))</f>
        <v>1</v>
      </c>
      <c r="KC346" s="5">
        <f>MIN(1,MAX(0,$KB$26-($A346-1)))</f>
        <v>1</v>
      </c>
      <c r="KD346" s="5">
        <f>$KB$25*(KC346+(1-KC346)*$KB$16)</f>
        <v>126.02661357340719</v>
      </c>
      <c r="KE346" s="13">
        <f>KD346*($KB$6+ACUTE_MARGIN)</f>
        <v>127286.87970914126</v>
      </c>
      <c r="KF346" s="13">
        <f>IF(KB346=1,$KB$31,$KB$32)</f>
        <v>152394.16214437486</v>
      </c>
      <c r="KG346" s="13">
        <f>KE346-KF346</f>
        <v>-25107.282435233603</v>
      </c>
      <c r="KH346" s="13">
        <f>KH345+KG346</f>
        <v>-6603215.28046646</v>
      </c>
      <c r="KI346">
        <f>IF(KH346=MAX($KH$83:$KH$483),$A346,0)</f>
        <v>0</v>
      </c>
      <c r="KJ346">
        <f>IF(KE346&lt;KF346,$A346,B_MAX+1)</f>
        <v>263</v>
      </c>
      <c r="KK346" s="13">
        <f>IF(KB346=1,$KB$35,$KB$36)</f>
        <v>0</v>
      </c>
      <c r="KL346" s="13">
        <f>OCC_DAYS*$KB$41*R_NF_2023-KD346*MCD_SHARE_FREED*R_WAIT_2023</f>
        <v>94673.82103225985</v>
      </c>
      <c r="KM346">
        <f>IF($A346&lt;=$KB$45,1,0)</f>
        <v>0</v>
      </c>
      <c r="LB346">
        <f>IF($LB$31&lt;=$LB$32,IF($A346&lt;=$LB$7,1,2),IF($A346&lt;=RUNG_BEDS_2,2,1))</f>
        <v>1</v>
      </c>
      <c r="LC346" s="5">
        <f>MIN(1,MAX(0,$LB$26-($A346-1)))</f>
        <v>1</v>
      </c>
      <c r="LD346" s="5">
        <f>$LB$25*(LC346+(1-LC346)*$LB$16)</f>
        <v>84.01774238227146</v>
      </c>
      <c r="LE346" s="13">
        <f>LD346*($LB$6+ACUTE_MARGIN)</f>
        <v>84857.91980609419</v>
      </c>
      <c r="LF346" s="13">
        <f>IF(LB346=1,$LB$31,$LB$32)</f>
        <v>152394.16214437486</v>
      </c>
      <c r="LG346" s="13">
        <f>LE346-LF346</f>
        <v>-67536.24233828067</v>
      </c>
      <c r="LH346" s="13">
        <f>LH345+LG346</f>
        <v>-17762031.734967906</v>
      </c>
      <c r="LI346">
        <f>IF(LH346=MAX($LH$83:$LH$483),$A346,0)</f>
        <v>0</v>
      </c>
      <c r="LJ346">
        <f>IF(LE346&lt;LF346,$A346,B_MAX+1)</f>
        <v>263</v>
      </c>
      <c r="LK346" s="13">
        <f>IF(LB346=1,$LB$35,$LB$36)</f>
        <v>0</v>
      </c>
      <c r="LL346" s="13">
        <f>OCC_DAYS*$LB$41*R_NF_2023-LD346*MCD_SHARE_FREED*R_WAIT_2023</f>
        <v>113776.04162887059</v>
      </c>
      <c r="LM346">
        <f>IF($A346&lt;=$LB$45,1,0)</f>
        <v>0</v>
      </c>
      <c r="MB346">
        <f>IF($MB$31&lt;=$MB$32,IF($A346&lt;=$MB$7,1,2),IF($A346&lt;=RUNG_BEDS_2,2,1))</f>
        <v>1</v>
      </c>
      <c r="MC346" s="5">
        <f>MIN(1,MAX(0,$MB$26-($A346-1)))</f>
        <v>0</v>
      </c>
      <c r="MD346" s="5">
        <f>$MB$25*(MC346+(1-MC346)*$MB$16)</f>
        <v>0.0</v>
      </c>
      <c r="ME346" s="13">
        <f>MD346*($MB$6+ACUTE_MARGIN)</f>
        <v>0.0</v>
      </c>
      <c r="MF346" s="13">
        <f>IF(MB346=1,$MB$31,$MB$32)</f>
        <v>152394.16214437486</v>
      </c>
      <c r="MG346" s="13">
        <f>ME346-MF346</f>
        <v>-152394.16214437486</v>
      </c>
      <c r="MH346" s="13">
        <f>MH345+MG346</f>
        <v>-7737970.077496587</v>
      </c>
      <c r="MI346">
        <f>IF(MH346=MAX($MH$83:$MH$483),$A346,0)</f>
        <v>0</v>
      </c>
      <c r="MJ346">
        <f>IF(ME346&lt;MF346,$A346,B_MAX+1)</f>
        <v>263</v>
      </c>
      <c r="MK346" s="13">
        <f>IF(MB346=1,$MB$35,$MB$36)</f>
        <v>0</v>
      </c>
      <c r="ML346" s="13">
        <f>OCC_DAYS*$MB$41*R_NF_2023-MD346*MCD_SHARE_FREED*R_WAIT_2023</f>
        <v>151980.48282209205</v>
      </c>
      <c r="MM346">
        <f>IF($A346&lt;=$MB$45,1,0)</f>
        <v>0</v>
      </c>
      <c r="NB346">
        <f>IF($NB$31&lt;=$NB$32,IF($A346&lt;=$NB$7,1,2),IF($A346&lt;=RUNG_BEDS_2,2,1))</f>
        <v>1</v>
      </c>
      <c r="NC346" s="5">
        <f>MIN(1,MAX(0,$NB$26-($A346-1)))</f>
        <v>0</v>
      </c>
      <c r="ND346" s="5">
        <f>$NB$25*(NC346+(1-NC346)*$NB$16)</f>
        <v>63.013306786703595</v>
      </c>
      <c r="NE346" s="13">
        <f>ND346*($NB$6+ACUTE_MARGIN)</f>
        <v>63643.43985457063</v>
      </c>
      <c r="NF346" s="13">
        <f>IF(NB346=1,$NB$31,$NB$32)</f>
        <v>152394.16214437486</v>
      </c>
      <c r="NG346" s="13">
        <f>NE346-NF346</f>
        <v>-88750.72228980422</v>
      </c>
      <c r="NH346" s="13">
        <f>NH345+NG346</f>
        <v>5330288.008985717</v>
      </c>
      <c r="NI346">
        <f>IF(NH346=MAX($NH$83:$NH$483),$A346,0)</f>
        <v>0</v>
      </c>
      <c r="NJ346">
        <f>IF(NE346&lt;NF346,$A346,B_MAX+1)</f>
        <v>263</v>
      </c>
      <c r="NK346" s="13">
        <f>IF(NB346=1,$NB$35,$NB$36)</f>
        <v>0</v>
      </c>
      <c r="NL346" s="13">
        <f>OCC_DAYS*$NB$41*R_NF_2023-ND346*MCD_SHARE_FREED*R_WAIT_2023</f>
        <v>123327.15192717595</v>
      </c>
      <c r="NM346">
        <f>IF($A346&lt;=$NB$45,1,0)</f>
        <v>0</v>
      </c>
      <c r="OB346">
        <f>IF($OB$31&lt;=$OB$32,IF($A346&lt;=$OB$7,1,2),IF($A346&lt;=RUNG_BEDS_2,2,1))</f>
        <v>1</v>
      </c>
      <c r="OC346" s="5">
        <f>MIN(1,MAX(0,$OB$26-($A346-1)))</f>
        <v>0</v>
      </c>
      <c r="OD346" s="5">
        <f>$OB$25*(OC346+(1-OC346)*$OB$16)</f>
        <v>126.02661357340719</v>
      </c>
      <c r="OE346" s="13">
        <f>OD346*($OB$6+ACUTE_MARGIN)</f>
        <v>127286.87970914126</v>
      </c>
      <c r="OF346" s="13">
        <f>IF(OB346=1,$OB$31,$OB$32)</f>
        <v>152394.16214437486</v>
      </c>
      <c r="OG346" s="13">
        <f>OE346-OF346</f>
        <v>-25107.282435233603</v>
      </c>
      <c r="OH346" s="13">
        <f>OH345+OG346</f>
        <v>12511270.033669839</v>
      </c>
      <c r="OI346">
        <f>IF(OH346=MAX($OH$83:$OH$483),$A346,0)</f>
        <v>0</v>
      </c>
      <c r="OJ346">
        <f>IF(OE346&lt;OF346,$A346,B_MAX+1)</f>
        <v>263</v>
      </c>
      <c r="OK346" s="13">
        <f>IF(OB346=1,$OB$35,$OB$36)</f>
        <v>0</v>
      </c>
      <c r="OL346" s="13">
        <f>OCC_DAYS*$OB$41*R_NF_2023-OD346*MCD_SHARE_FREED*R_WAIT_2023</f>
        <v>94673.82103225985</v>
      </c>
      <c r="OM346">
        <f>IF($A346&lt;=$OB$45,1,0)</f>
        <v>0</v>
      </c>
    </row>
    <row r="347">
      <c r="A347" t="n">
        <v>264</v>
      </c>
      <c r="B347">
        <f>IF($B$31&lt;=$B$32,IF($A347&lt;=$B$7,1,2),IF($A347&lt;=RUNG_BEDS_2,2,1))</f>
        <v>1</v>
      </c>
      <c r="C347" s="5">
        <f>MIN(1,MAX(0,$B$26-($A347-1)))</f>
        <v>0</v>
      </c>
      <c r="D347" s="5">
        <f>$B$25*(C347+(1-C347)*$B$16)</f>
        <v>0.0</v>
      </c>
      <c r="E347" s="13">
        <f>D347*($B$6+ACUTE_MARGIN)</f>
        <v>0.0</v>
      </c>
      <c r="F347" s="13">
        <f>IF(B347=1,$B$31,$B$32)</f>
        <v>152394.16214437486</v>
      </c>
      <c r="G347" s="13">
        <f>E347-F347</f>
        <v>-152394.16214437486</v>
      </c>
      <c r="H347" s="13">
        <f>H346+G347</f>
        <v>-2003088.177842627</v>
      </c>
      <c r="I347">
        <f>IF(H347=MAX($H$83:$H$483),$A347,0)</f>
        <v>0</v>
      </c>
      <c r="J347">
        <f>IF(E347&lt;F347,$A347,B_MAX+1)</f>
        <v>264</v>
      </c>
      <c r="K347" s="13">
        <f>IF(B347=1,$B$35,$B$36)</f>
        <v>0</v>
      </c>
      <c r="L347" s="13">
        <f>OCC_DAYS*$B$41*R_NF_2023-D347*MCD_SHARE_FREED*R_WAIT_2023</f>
        <v>151980.48282209205</v>
      </c>
      <c r="M347">
        <f>IF($A347&lt;=$B$45,1,0)</f>
        <v>0</v>
      </c>
      <c r="AB347">
        <f>IF($AB$31&lt;=$AB$32,IF($A347&lt;=$AB$7,1,2),IF($A347&lt;=RUNG_BEDS_2,2,1))</f>
        <v>1</v>
      </c>
      <c r="AC347" s="5">
        <f>MIN(1,MAX(0,$AB$26-($A347-1)))</f>
        <v>0</v>
      </c>
      <c r="AD347" s="5">
        <f>$AB$25*(AC347+(1-AC347)*$AB$16)</f>
        <v>0.0</v>
      </c>
      <c r="AE347" s="13">
        <f>AD347*($AB$6+ACUTE_MARGIN)</f>
        <v>0.0</v>
      </c>
      <c r="AF347" s="13">
        <f>IF(AB347=1,$AB$31,$AB$32)</f>
        <v>152394.16214437486</v>
      </c>
      <c r="AG347" s="13">
        <f>AE347-AF347</f>
        <v>-152394.16214437486</v>
      </c>
      <c r="AH347" s="13">
        <f>AH346+AG347</f>
        <v>-19414302.5233924</v>
      </c>
      <c r="AI347">
        <f>IF(AH347=MAX($AH$83:$AH$483),$A347,0)</f>
        <v>0</v>
      </c>
      <c r="AJ347">
        <f>IF(AE347&lt;AF347,$A347,B_MAX+1)</f>
        <v>264</v>
      </c>
      <c r="AK347" s="13">
        <f>IF(AB347=1,$AB$35,$AB$36)</f>
        <v>0</v>
      </c>
      <c r="AL347" s="13">
        <f>OCC_DAYS*$AB$41*R_NF_2023-AD347*MCD_SHARE_FREED*R_WAIT_2023</f>
        <v>151980.48282209205</v>
      </c>
      <c r="AM347">
        <f>IF($A347&lt;=$AB$45,1,0)</f>
        <v>0</v>
      </c>
      <c r="BB347">
        <f>IF($BB$31&lt;=$BB$32,IF($A347&lt;=$BB$7,1,2),IF($A347&lt;=RUNG_BEDS_2,2,1))</f>
        <v>1</v>
      </c>
      <c r="BC347" s="5">
        <f>MIN(1,MAX(0,$BB$26-($A347-1)))</f>
        <v>0</v>
      </c>
      <c r="BD347" s="5">
        <f>$BB$25*(BC347+(1-BC347)*$BB$16)</f>
        <v>0.0</v>
      </c>
      <c r="BE347" s="13">
        <f>BD347*($BB$6+ACUTE_MARGIN)</f>
        <v>0.0</v>
      </c>
      <c r="BF347" s="13">
        <f>IF(BB347=1,$BB$31,$BB$32)</f>
        <v>152394.16214437486</v>
      </c>
      <c r="BG347" s="13">
        <f>BE347-BF347</f>
        <v>-152394.16214437486</v>
      </c>
      <c r="BH347" s="13">
        <f>BH346+BG347</f>
        <v>15408126.167707093</v>
      </c>
      <c r="BI347">
        <f>IF(BH347=MAX($BH$83:$BH$483),$A347,0)</f>
        <v>0</v>
      </c>
      <c r="BJ347">
        <f>IF(BE347&lt;BF347,$A347,B_MAX+1)</f>
        <v>264</v>
      </c>
      <c r="BK347" s="13">
        <f>IF(BB347=1,$BB$35,$BB$36)</f>
        <v>0</v>
      </c>
      <c r="BL347" s="13">
        <f>OCC_DAYS*$BB$41*R_NF_2023-BD347*MCD_SHARE_FREED*R_WAIT_2023</f>
        <v>151980.48282209205</v>
      </c>
      <c r="BM347">
        <f>IF($A347&lt;=$BB$45,1,0)</f>
        <v>0</v>
      </c>
      <c r="CB347">
        <f>IF($CB$31&lt;=$CB$32,IF($A347&lt;=$CB$7,1,2),IF($A347&lt;=RUNG_BEDS_2,2,1))</f>
        <v>2</v>
      </c>
      <c r="CC347" s="5">
        <f>MIN(1,MAX(0,$CB$26-($A347-1)))</f>
        <v>0</v>
      </c>
      <c r="CD347" s="5">
        <f>$CB$25*(CC347+(1-CC347)*$CB$16)</f>
        <v>0.0</v>
      </c>
      <c r="CE347" s="13">
        <f>CD347*($CB$6+ACUTE_MARGIN)</f>
        <v>0.0</v>
      </c>
      <c r="CF347" s="13">
        <f>IF(CB347=1,$CB$31,$CB$32)</f>
        <v>160718.36940738867</v>
      </c>
      <c r="CG347" s="13">
        <f>CE347-CF347</f>
        <v>-160718.36940738867</v>
      </c>
      <c r="CH347" s="13">
        <f>CH346+CG347</f>
        <v>-4200678.89527839</v>
      </c>
      <c r="CI347">
        <f>IF(CH347=MAX($CH$83:$CH$483),$A347,0)</f>
        <v>0</v>
      </c>
      <c r="CJ347">
        <f>IF(CE347&lt;CF347,$A347,B_MAX+1)</f>
        <v>264</v>
      </c>
      <c r="CK347" s="13">
        <f>IF(CB347=1,$CB$35,$CB$36)</f>
        <v>1560.1194073886782</v>
      </c>
      <c r="CL347" s="13">
        <f>OCC_DAYS*$CB$41*R_NF_2023-CD347*MCD_SHARE_FREED*R_WAIT_2023</f>
        <v>151980.48282209205</v>
      </c>
      <c r="CM347">
        <f>IF($A347&lt;=$CB$45,1,0)</f>
        <v>0</v>
      </c>
      <c r="DB347">
        <f>IF($DB$31&lt;=$DB$32,IF($A347&lt;=$DB$7,1,2),IF($A347&lt;=RUNG_BEDS_2,2,1))</f>
        <v>1</v>
      </c>
      <c r="DC347" s="5">
        <f>MIN(1,MAX(0,$DB$26-($A347-1)))</f>
        <v>0</v>
      </c>
      <c r="DD347" s="5">
        <f>$DB$25*(DC347+(1-DC347)*$DB$16)</f>
        <v>0.0</v>
      </c>
      <c r="DE347" s="13">
        <f>DD347*($DB$6+ACUTE_MARGIN)</f>
        <v>0.0</v>
      </c>
      <c r="DF347" s="13">
        <f>IF(DB347=1,$DB$31,$DB$32)</f>
        <v>152394.16214437486</v>
      </c>
      <c r="DG347" s="13">
        <f>DE347-DF347</f>
        <v>-152394.16214437486</v>
      </c>
      <c r="DH347" s="13">
        <f>DH346+DG347</f>
        <v>-2003088.177842627</v>
      </c>
      <c r="DI347">
        <f>IF(DH347=MAX($DH$83:$DH$483),$A347,0)</f>
        <v>0</v>
      </c>
      <c r="DJ347">
        <f>IF(DE347&lt;DF347,$A347,B_MAX+1)</f>
        <v>264</v>
      </c>
      <c r="DK347" s="13">
        <f>IF(DB347=1,$DB$35,$DB$36)</f>
        <v>0</v>
      </c>
      <c r="DL347" s="13">
        <f>OCC_DAYS*$DB$41*R_NF_2023-DD347*MCD_SHARE_FREED*R_WAIT_2023</f>
        <v>151980.48282209205</v>
      </c>
      <c r="DM347">
        <f>IF($A347&lt;=$DB$45,1,0)</f>
        <v>0</v>
      </c>
      <c r="EB347">
        <f>IF($EB$31&lt;=$EB$32,IF($A347&lt;=$EB$7,1,2),IF($A347&lt;=RUNG_BEDS_2,2,1))</f>
        <v>1</v>
      </c>
      <c r="EC347" s="5">
        <f>MIN(1,MAX(0,$EB$26-($A347-1)))</f>
        <v>0</v>
      </c>
      <c r="ED347" s="5">
        <f>$EB$25*(EC347+(1-EC347)*$EB$16)</f>
        <v>0.0</v>
      </c>
      <c r="EE347" s="13">
        <f>ED347*($EB$6+ACUTE_MARGIN)</f>
        <v>0.0</v>
      </c>
      <c r="EF347" s="13">
        <f>IF(EB347=1,$EB$31,$EB$32)</f>
        <v>152394.16214437486</v>
      </c>
      <c r="EG347" s="13">
        <f>EE347-EF347</f>
        <v>-152394.16214437486</v>
      </c>
      <c r="EH347" s="13">
        <f>EH346+EG347</f>
        <v>-2003088.177842627</v>
      </c>
      <c r="EI347">
        <f>IF(EH347=MAX($EH$83:$EH$483),$A347,0)</f>
        <v>0</v>
      </c>
      <c r="EJ347">
        <f>IF(EE347&lt;EF347,$A347,B_MAX+1)</f>
        <v>264</v>
      </c>
      <c r="EK347" s="13">
        <f>IF(EB347=1,$EB$35,$EB$36)</f>
        <v>0</v>
      </c>
      <c r="EL347" s="13">
        <f>OCC_DAYS*$EB$41*R_NF_2023-ED347*MCD_SHARE_FREED*R_WAIT_2023</f>
        <v>50660.16094069735</v>
      </c>
      <c r="EM347">
        <f>IF($A347&lt;=$EB$45,1,0)</f>
        <v>0</v>
      </c>
      <c r="FB347">
        <f>IF($FB$31&lt;=$FB$32,IF($A347&lt;=$FB$7,1,2),IF($A347&lt;=RUNG_BEDS_2,2,1))</f>
        <v>1</v>
      </c>
      <c r="FC347" s="5">
        <f>MIN(1,MAX(0,$FB$26-($A347-1)))</f>
        <v>0</v>
      </c>
      <c r="FD347" s="5">
        <f>$FB$25*(FC347+(1-FC347)*$FB$16)</f>
        <v>0.0</v>
      </c>
      <c r="FE347" s="13">
        <f>FD347*($FB$6+ACUTE_MARGIN)</f>
        <v>0.0</v>
      </c>
      <c r="FF347" s="13">
        <f>IF(FB347=1,$FB$31,$FB$32)</f>
        <v>156636.04979437485</v>
      </c>
      <c r="FG347" s="13">
        <f>FE347-FF347</f>
        <v>-156636.04979437485</v>
      </c>
      <c r="FH347" s="13">
        <f>FH346+FG347</f>
        <v>-3122946.5174427424</v>
      </c>
      <c r="FI347">
        <f>IF(FH347=MAX($FH$83:$FH$483),$A347,0)</f>
        <v>0</v>
      </c>
      <c r="FJ347">
        <f>IF(FE347&lt;FF347,$A347,B_MAX+1)</f>
        <v>264</v>
      </c>
      <c r="FK347" s="13">
        <f>IF(FB347=1,$FB$35,$FB$36)</f>
        <v>0</v>
      </c>
      <c r="FL347" s="13">
        <f>OCC_DAYS*$FB$41*R_NF_2023-FD347*MCD_SHARE_FREED*R_WAIT_2023</f>
        <v>151980.48282209205</v>
      </c>
      <c r="FM347">
        <f>IF($A347&lt;=$FB$45,1,0)</f>
        <v>0</v>
      </c>
      <c r="GB347">
        <f>IF($GB$31&lt;=$GB$32,IF($A347&lt;=$GB$7,1,2),IF($A347&lt;=RUNG_BEDS_2,2,1))</f>
        <v>1</v>
      </c>
      <c r="GC347" s="5">
        <f>MIN(1,MAX(0,$GB$26-($A347-1)))</f>
        <v>0</v>
      </c>
      <c r="GD347" s="5">
        <f>$GB$25*(GC347+(1-GC347)*$GB$16)</f>
        <v>0.0</v>
      </c>
      <c r="GE347" s="13">
        <f>GD347*($GB$6+ACUTE_MARGIN)</f>
        <v>0.0</v>
      </c>
      <c r="GF347" s="13">
        <f>IF(GB347=1,$GB$31,$GB$32)</f>
        <v>152394.16214437486</v>
      </c>
      <c r="GG347" s="13">
        <f>GE347-GF347</f>
        <v>-152394.16214437486</v>
      </c>
      <c r="GH347" s="13">
        <f>GH346+GG347</f>
        <v>-2003088.177842627</v>
      </c>
      <c r="GI347">
        <f>IF(GH347=MAX($GH$83:$GH$483),$A347,0)</f>
        <v>0</v>
      </c>
      <c r="GJ347">
        <f>IF(GE347&lt;GF347,$A347,B_MAX+1)</f>
        <v>264</v>
      </c>
      <c r="GK347" s="13">
        <f>IF(GB347=1,$GB$35,$GB$36)</f>
        <v>0</v>
      </c>
      <c r="GL347" s="13">
        <f>OCC_DAYS*$GB$41*R_NF_2023-GD347*MCD_SHARE_FREED*R_WAIT_2023</f>
        <v>151980.48282209205</v>
      </c>
      <c r="GM347">
        <f>IF($A347&lt;=$GB$45,1,0)</f>
        <v>0</v>
      </c>
      <c r="HB347">
        <f>IF($HB$31&lt;=$HB$32,IF($A347&lt;=$HB$7,1,2),IF($A347&lt;=RUNG_BEDS_2,2,1))</f>
        <v>1</v>
      </c>
      <c r="HC347" s="5">
        <f>MIN(1,MAX(0,$HB$26-($A347-1)))</f>
        <v>0</v>
      </c>
      <c r="HD347" s="5">
        <f>$HB$25*(HC347+(1-HC347)*$HB$16)</f>
        <v>0.0</v>
      </c>
      <c r="HE347" s="13">
        <f>HD347*($HB$6+ACUTE_MARGIN)</f>
        <v>0.0</v>
      </c>
      <c r="HF347" s="13">
        <f>IF(HB347=1,$HB$31,$HB$32)</f>
        <v>152456.2970814058</v>
      </c>
      <c r="HG347" s="13">
        <f>HE347-HF347</f>
        <v>-152456.2970814058</v>
      </c>
      <c r="HH347" s="13">
        <f>HH346+HG347</f>
        <v>-2019491.8012188345</v>
      </c>
      <c r="HI347">
        <f>IF(HH347=MAX($HH$83:$HH$483),$A347,0)</f>
        <v>0</v>
      </c>
      <c r="HJ347">
        <f>IF(HE347&lt;HF347,$A347,B_MAX+1)</f>
        <v>264</v>
      </c>
      <c r="HK347" s="13">
        <f>IF(HB347=1,$HB$35,$HB$36)</f>
        <v>0</v>
      </c>
      <c r="HL347" s="13">
        <f>OCC_DAYS*$HB$41*R_NF_2023-HD347*MCD_SHARE_FREED*R_WAIT_2023</f>
        <v>151980.48282209205</v>
      </c>
      <c r="HM347">
        <f>IF($A347&lt;=$HB$45,1,0)</f>
        <v>0</v>
      </c>
      <c r="IB347">
        <f>IF($IB$31&lt;=$IB$32,IF($A347&lt;=$IB$7,1,2),IF($A347&lt;=RUNG_BEDS_2,2,1))</f>
        <v>1</v>
      </c>
      <c r="IC347" s="5">
        <f>MIN(1,MAX(0,$IB$26-($A347-1)))</f>
        <v>0</v>
      </c>
      <c r="ID347" s="5">
        <f>$IB$25*(IC347+(1-IC347)*$IB$16)</f>
        <v>0.0</v>
      </c>
      <c r="IE347" s="13">
        <f>ID347*($IB$6+ACUTE_MARGIN)</f>
        <v>0.0</v>
      </c>
      <c r="IF347" s="13">
        <f>IF(IB347=1,$IB$31,$IB$32)</f>
        <v>152734.9994534971</v>
      </c>
      <c r="IG347" s="13">
        <f>IE347-IF347</f>
        <v>-152734.9994534971</v>
      </c>
      <c r="IH347" s="13">
        <f>IH346+IG347</f>
        <v>-2093069.2274509917</v>
      </c>
      <c r="II347">
        <f>IF(IH347=MAX($IH$83:$IH$483),$A347,0)</f>
        <v>0</v>
      </c>
      <c r="IJ347">
        <f>IF(IE347&lt;IF347,$A347,B_MAX+1)</f>
        <v>264</v>
      </c>
      <c r="IK347" s="13">
        <f>IF(IB347=1,$IB$35,$IB$36)</f>
        <v>0</v>
      </c>
      <c r="IL347" s="13">
        <f>OCC_DAYS*$IB$41*R_NF_2023-ID347*MCD_SHARE_FREED*R_WAIT_2023</f>
        <v>151980.48282209205</v>
      </c>
      <c r="IM347">
        <f>IF($A347&lt;=$IB$45,1,0)</f>
        <v>0</v>
      </c>
      <c r="JB347">
        <f>IF($JB$31&lt;=$JB$32,IF($A347&lt;=$JB$7,1,2),IF($A347&lt;=RUNG_BEDS_2,2,1))</f>
        <v>1</v>
      </c>
      <c r="JC347" s="5">
        <f>MIN(1,MAX(0,$JB$26-($A347-1)))</f>
        <v>0</v>
      </c>
      <c r="JD347" s="5">
        <f>$JB$25*(JC347+(1-JC347)*$JB$16)</f>
        <v>0.0</v>
      </c>
      <c r="JE347" s="13">
        <f>JD347*($JB$6+ACUTE_MARGIN)</f>
        <v>0.0</v>
      </c>
      <c r="JF347" s="13">
        <f>IF(JB347=1,$JB$31,$JB$32)</f>
        <v>152394.16214437486</v>
      </c>
      <c r="JG347" s="13">
        <f>JE347-JF347</f>
        <v>-152394.16214437486</v>
      </c>
      <c r="JH347" s="13">
        <f>JH346+JG347</f>
        <v>-2003088.177842627</v>
      </c>
      <c r="JI347">
        <f>IF(JH347=MAX($JH$83:$JH$483),$A347,0)</f>
        <v>0</v>
      </c>
      <c r="JJ347">
        <f>IF(JE347&lt;JF347,$A347,B_MAX+1)</f>
        <v>264</v>
      </c>
      <c r="JK347" s="13">
        <f>IF(JB347=1,$JB$35,$JB$36)</f>
        <v>0</v>
      </c>
      <c r="JL347" s="13">
        <f>OCC_DAYS*$JB$41*R_NF_2023-JD347*MCD_SHARE_FREED*R_WAIT_2023</f>
        <v>151980.48282209205</v>
      </c>
      <c r="JM347">
        <f>IF($A347&lt;=$JB$45,1,0)</f>
        <v>0</v>
      </c>
      <c r="KB347">
        <f>IF($KB$31&lt;=$KB$32,IF($A347&lt;=$KB$7,1,2),IF($A347&lt;=RUNG_BEDS_2,2,1))</f>
        <v>1</v>
      </c>
      <c r="KC347" s="5">
        <f>MIN(1,MAX(0,$KB$26-($A347-1)))</f>
        <v>1</v>
      </c>
      <c r="KD347" s="5">
        <f>$KB$25*(KC347+(1-KC347)*$KB$16)</f>
        <v>126.02661357340719</v>
      </c>
      <c r="KE347" s="13">
        <f>KD347*($KB$6+ACUTE_MARGIN)</f>
        <v>127286.87970914126</v>
      </c>
      <c r="KF347" s="13">
        <f>IF(KB347=1,$KB$31,$KB$32)</f>
        <v>152394.16214437486</v>
      </c>
      <c r="KG347" s="13">
        <f>KE347-KF347</f>
        <v>-25107.282435233603</v>
      </c>
      <c r="KH347" s="13">
        <f>KH346+KG347</f>
        <v>-6628322.562901693</v>
      </c>
      <c r="KI347">
        <f>IF(KH347=MAX($KH$83:$KH$483),$A347,0)</f>
        <v>0</v>
      </c>
      <c r="KJ347">
        <f>IF(KE347&lt;KF347,$A347,B_MAX+1)</f>
        <v>264</v>
      </c>
      <c r="KK347" s="13">
        <f>IF(KB347=1,$KB$35,$KB$36)</f>
        <v>0</v>
      </c>
      <c r="KL347" s="13">
        <f>OCC_DAYS*$KB$41*R_NF_2023-KD347*MCD_SHARE_FREED*R_WAIT_2023</f>
        <v>94673.82103225985</v>
      </c>
      <c r="KM347">
        <f>IF($A347&lt;=$KB$45,1,0)</f>
        <v>0</v>
      </c>
      <c r="LB347">
        <f>IF($LB$31&lt;=$LB$32,IF($A347&lt;=$LB$7,1,2),IF($A347&lt;=RUNG_BEDS_2,2,1))</f>
        <v>1</v>
      </c>
      <c r="LC347" s="5">
        <f>MIN(1,MAX(0,$LB$26-($A347-1)))</f>
        <v>1</v>
      </c>
      <c r="LD347" s="5">
        <f>$LB$25*(LC347+(1-LC347)*$LB$16)</f>
        <v>84.01774238227146</v>
      </c>
      <c r="LE347" s="13">
        <f>LD347*($LB$6+ACUTE_MARGIN)</f>
        <v>84857.91980609419</v>
      </c>
      <c r="LF347" s="13">
        <f>IF(LB347=1,$LB$31,$LB$32)</f>
        <v>152394.16214437486</v>
      </c>
      <c r="LG347" s="13">
        <f>LE347-LF347</f>
        <v>-67536.24233828067</v>
      </c>
      <c r="LH347" s="13">
        <f>LH346+LG347</f>
        <v>-17829567.977306187</v>
      </c>
      <c r="LI347">
        <f>IF(LH347=MAX($LH$83:$LH$483),$A347,0)</f>
        <v>0</v>
      </c>
      <c r="LJ347">
        <f>IF(LE347&lt;LF347,$A347,B_MAX+1)</f>
        <v>264</v>
      </c>
      <c r="LK347" s="13">
        <f>IF(LB347=1,$LB$35,$LB$36)</f>
        <v>0</v>
      </c>
      <c r="LL347" s="13">
        <f>OCC_DAYS*$LB$41*R_NF_2023-LD347*MCD_SHARE_FREED*R_WAIT_2023</f>
        <v>113776.04162887059</v>
      </c>
      <c r="LM347">
        <f>IF($A347&lt;=$LB$45,1,0)</f>
        <v>0</v>
      </c>
      <c r="MB347">
        <f>IF($MB$31&lt;=$MB$32,IF($A347&lt;=$MB$7,1,2),IF($A347&lt;=RUNG_BEDS_2,2,1))</f>
        <v>1</v>
      </c>
      <c r="MC347" s="5">
        <f>MIN(1,MAX(0,$MB$26-($A347-1)))</f>
        <v>0</v>
      </c>
      <c r="MD347" s="5">
        <f>$MB$25*(MC347+(1-MC347)*$MB$16)</f>
        <v>0.0</v>
      </c>
      <c r="ME347" s="13">
        <f>MD347*($MB$6+ACUTE_MARGIN)</f>
        <v>0.0</v>
      </c>
      <c r="MF347" s="13">
        <f>IF(MB347=1,$MB$31,$MB$32)</f>
        <v>152394.16214437486</v>
      </c>
      <c r="MG347" s="13">
        <f>ME347-MF347</f>
        <v>-152394.16214437486</v>
      </c>
      <c r="MH347" s="13">
        <f>MH346+MG347</f>
        <v>-7890364.239640962</v>
      </c>
      <c r="MI347">
        <f>IF(MH347=MAX($MH$83:$MH$483),$A347,0)</f>
        <v>0</v>
      </c>
      <c r="MJ347">
        <f>IF(ME347&lt;MF347,$A347,B_MAX+1)</f>
        <v>264</v>
      </c>
      <c r="MK347" s="13">
        <f>IF(MB347=1,$MB$35,$MB$36)</f>
        <v>0</v>
      </c>
      <c r="ML347" s="13">
        <f>OCC_DAYS*$MB$41*R_NF_2023-MD347*MCD_SHARE_FREED*R_WAIT_2023</f>
        <v>151980.48282209205</v>
      </c>
      <c r="MM347">
        <f>IF($A347&lt;=$MB$45,1,0)</f>
        <v>0</v>
      </c>
      <c r="NB347">
        <f>IF($NB$31&lt;=$NB$32,IF($A347&lt;=$NB$7,1,2),IF($A347&lt;=RUNG_BEDS_2,2,1))</f>
        <v>1</v>
      </c>
      <c r="NC347" s="5">
        <f>MIN(1,MAX(0,$NB$26-($A347-1)))</f>
        <v>0</v>
      </c>
      <c r="ND347" s="5">
        <f>$NB$25*(NC347+(1-NC347)*$NB$16)</f>
        <v>63.013306786703595</v>
      </c>
      <c r="NE347" s="13">
        <f>ND347*($NB$6+ACUTE_MARGIN)</f>
        <v>63643.43985457063</v>
      </c>
      <c r="NF347" s="13">
        <f>IF(NB347=1,$NB$31,$NB$32)</f>
        <v>152394.16214437486</v>
      </c>
      <c r="NG347" s="13">
        <f>NE347-NF347</f>
        <v>-88750.72228980422</v>
      </c>
      <c r="NH347" s="13">
        <f>NH346+NG347</f>
        <v>5241537.2866959125</v>
      </c>
      <c r="NI347">
        <f>IF(NH347=MAX($NH$83:$NH$483),$A347,0)</f>
        <v>0</v>
      </c>
      <c r="NJ347">
        <f>IF(NE347&lt;NF347,$A347,B_MAX+1)</f>
        <v>264</v>
      </c>
      <c r="NK347" s="13">
        <f>IF(NB347=1,$NB$35,$NB$36)</f>
        <v>0</v>
      </c>
      <c r="NL347" s="13">
        <f>OCC_DAYS*$NB$41*R_NF_2023-ND347*MCD_SHARE_FREED*R_WAIT_2023</f>
        <v>123327.15192717595</v>
      </c>
      <c r="NM347">
        <f>IF($A347&lt;=$NB$45,1,0)</f>
        <v>0</v>
      </c>
      <c r="OB347">
        <f>IF($OB$31&lt;=$OB$32,IF($A347&lt;=$OB$7,1,2),IF($A347&lt;=RUNG_BEDS_2,2,1))</f>
        <v>1</v>
      </c>
      <c r="OC347" s="5">
        <f>MIN(1,MAX(0,$OB$26-($A347-1)))</f>
        <v>0</v>
      </c>
      <c r="OD347" s="5">
        <f>$OB$25*(OC347+(1-OC347)*$OB$16)</f>
        <v>126.02661357340719</v>
      </c>
      <c r="OE347" s="13">
        <f>OD347*($OB$6+ACUTE_MARGIN)</f>
        <v>127286.87970914126</v>
      </c>
      <c r="OF347" s="13">
        <f>IF(OB347=1,$OB$31,$OB$32)</f>
        <v>152394.16214437486</v>
      </c>
      <c r="OG347" s="13">
        <f>OE347-OF347</f>
        <v>-25107.282435233603</v>
      </c>
      <c r="OH347" s="13">
        <f>OH346+OG347</f>
        <v>12486162.751234606</v>
      </c>
      <c r="OI347">
        <f>IF(OH347=MAX($OH$83:$OH$483),$A347,0)</f>
        <v>0</v>
      </c>
      <c r="OJ347">
        <f>IF(OE347&lt;OF347,$A347,B_MAX+1)</f>
        <v>264</v>
      </c>
      <c r="OK347" s="13">
        <f>IF(OB347=1,$OB$35,$OB$36)</f>
        <v>0</v>
      </c>
      <c r="OL347" s="13">
        <f>OCC_DAYS*$OB$41*R_NF_2023-OD347*MCD_SHARE_FREED*R_WAIT_2023</f>
        <v>94673.82103225985</v>
      </c>
      <c r="OM347">
        <f>IF($A347&lt;=$OB$45,1,0)</f>
        <v>0</v>
      </c>
    </row>
    <row r="348">
      <c r="A348" t="n">
        <v>265</v>
      </c>
      <c r="B348">
        <f>IF($B$31&lt;=$B$32,IF($A348&lt;=$B$7,1,2),IF($A348&lt;=RUNG_BEDS_2,2,1))</f>
        <v>1</v>
      </c>
      <c r="C348" s="5">
        <f>MIN(1,MAX(0,$B$26-($A348-1)))</f>
        <v>0</v>
      </c>
      <c r="D348" s="5">
        <f>$B$25*(C348+(1-C348)*$B$16)</f>
        <v>0.0</v>
      </c>
      <c r="E348" s="13">
        <f>D348*($B$6+ACUTE_MARGIN)</f>
        <v>0.0</v>
      </c>
      <c r="F348" s="13">
        <f>IF(B348=1,$B$31,$B$32)</f>
        <v>152394.16214437486</v>
      </c>
      <c r="G348" s="13">
        <f>E348-F348</f>
        <v>-152394.16214437486</v>
      </c>
      <c r="H348" s="13">
        <f>H347+G348</f>
        <v>-2155482.339987002</v>
      </c>
      <c r="I348">
        <f>IF(H348=MAX($H$83:$H$483),$A348,0)</f>
        <v>0</v>
      </c>
      <c r="J348">
        <f>IF(E348&lt;F348,$A348,B_MAX+1)</f>
        <v>265</v>
      </c>
      <c r="K348" s="13">
        <f>IF(B348=1,$B$35,$B$36)</f>
        <v>0</v>
      </c>
      <c r="L348" s="13">
        <f>OCC_DAYS*$B$41*R_NF_2023-D348*MCD_SHARE_FREED*R_WAIT_2023</f>
        <v>151980.48282209205</v>
      </c>
      <c r="M348">
        <f>IF($A348&lt;=$B$45,1,0)</f>
        <v>0</v>
      </c>
      <c r="AB348">
        <f>IF($AB$31&lt;=$AB$32,IF($A348&lt;=$AB$7,1,2),IF($A348&lt;=RUNG_BEDS_2,2,1))</f>
        <v>1</v>
      </c>
      <c r="AC348" s="5">
        <f>MIN(1,MAX(0,$AB$26-($A348-1)))</f>
        <v>0</v>
      </c>
      <c r="AD348" s="5">
        <f>$AB$25*(AC348+(1-AC348)*$AB$16)</f>
        <v>0.0</v>
      </c>
      <c r="AE348" s="13">
        <f>AD348*($AB$6+ACUTE_MARGIN)</f>
        <v>0.0</v>
      </c>
      <c r="AF348" s="13">
        <f>IF(AB348=1,$AB$31,$AB$32)</f>
        <v>152394.16214437486</v>
      </c>
      <c r="AG348" s="13">
        <f>AE348-AF348</f>
        <v>-152394.16214437486</v>
      </c>
      <c r="AH348" s="13">
        <f>AH347+AG348</f>
        <v>-19566696.685536776</v>
      </c>
      <c r="AI348">
        <f>IF(AH348=MAX($AH$83:$AH$483),$A348,0)</f>
        <v>0</v>
      </c>
      <c r="AJ348">
        <f>IF(AE348&lt;AF348,$A348,B_MAX+1)</f>
        <v>265</v>
      </c>
      <c r="AK348" s="13">
        <f>IF(AB348=1,$AB$35,$AB$36)</f>
        <v>0</v>
      </c>
      <c r="AL348" s="13">
        <f>OCC_DAYS*$AB$41*R_NF_2023-AD348*MCD_SHARE_FREED*R_WAIT_2023</f>
        <v>151980.48282209205</v>
      </c>
      <c r="AM348">
        <f>IF($A348&lt;=$AB$45,1,0)</f>
        <v>0</v>
      </c>
      <c r="BB348">
        <f>IF($BB$31&lt;=$BB$32,IF($A348&lt;=$BB$7,1,2),IF($A348&lt;=RUNG_BEDS_2,2,1))</f>
        <v>1</v>
      </c>
      <c r="BC348" s="5">
        <f>MIN(1,MAX(0,$BB$26-($A348-1)))</f>
        <v>0</v>
      </c>
      <c r="BD348" s="5">
        <f>$BB$25*(BC348+(1-BC348)*$BB$16)</f>
        <v>0.0</v>
      </c>
      <c r="BE348" s="13">
        <f>BD348*($BB$6+ACUTE_MARGIN)</f>
        <v>0.0</v>
      </c>
      <c r="BF348" s="13">
        <f>IF(BB348=1,$BB$31,$BB$32)</f>
        <v>152394.16214437486</v>
      </c>
      <c r="BG348" s="13">
        <f>BE348-BF348</f>
        <v>-152394.16214437486</v>
      </c>
      <c r="BH348" s="13">
        <f>BH347+BG348</f>
        <v>15255732.005562719</v>
      </c>
      <c r="BI348">
        <f>IF(BH348=MAX($BH$83:$BH$483),$A348,0)</f>
        <v>0</v>
      </c>
      <c r="BJ348">
        <f>IF(BE348&lt;BF348,$A348,B_MAX+1)</f>
        <v>265</v>
      </c>
      <c r="BK348" s="13">
        <f>IF(BB348=1,$BB$35,$BB$36)</f>
        <v>0</v>
      </c>
      <c r="BL348" s="13">
        <f>OCC_DAYS*$BB$41*R_NF_2023-BD348*MCD_SHARE_FREED*R_WAIT_2023</f>
        <v>151980.48282209205</v>
      </c>
      <c r="BM348">
        <f>IF($A348&lt;=$BB$45,1,0)</f>
        <v>0</v>
      </c>
      <c r="CB348">
        <f>IF($CB$31&lt;=$CB$32,IF($A348&lt;=$CB$7,1,2),IF($A348&lt;=RUNG_BEDS_2,2,1))</f>
        <v>2</v>
      </c>
      <c r="CC348" s="5">
        <f>MIN(1,MAX(0,$CB$26-($A348-1)))</f>
        <v>0</v>
      </c>
      <c r="CD348" s="5">
        <f>$CB$25*(CC348+(1-CC348)*$CB$16)</f>
        <v>0.0</v>
      </c>
      <c r="CE348" s="13">
        <f>CD348*($CB$6+ACUTE_MARGIN)</f>
        <v>0.0</v>
      </c>
      <c r="CF348" s="13">
        <f>IF(CB348=1,$CB$31,$CB$32)</f>
        <v>160718.36940738867</v>
      </c>
      <c r="CG348" s="13">
        <f>CE348-CF348</f>
        <v>-160718.36940738867</v>
      </c>
      <c r="CH348" s="13">
        <f>CH347+CG348</f>
        <v>-4361397.264685778</v>
      </c>
      <c r="CI348">
        <f>IF(CH348=MAX($CH$83:$CH$483),$A348,0)</f>
        <v>0</v>
      </c>
      <c r="CJ348">
        <f>IF(CE348&lt;CF348,$A348,B_MAX+1)</f>
        <v>265</v>
      </c>
      <c r="CK348" s="13">
        <f>IF(CB348=1,$CB$35,$CB$36)</f>
        <v>1560.1194073886782</v>
      </c>
      <c r="CL348" s="13">
        <f>OCC_DAYS*$CB$41*R_NF_2023-CD348*MCD_SHARE_FREED*R_WAIT_2023</f>
        <v>151980.48282209205</v>
      </c>
      <c r="CM348">
        <f>IF($A348&lt;=$CB$45,1,0)</f>
        <v>0</v>
      </c>
      <c r="DB348">
        <f>IF($DB$31&lt;=$DB$32,IF($A348&lt;=$DB$7,1,2),IF($A348&lt;=RUNG_BEDS_2,2,1))</f>
        <v>1</v>
      </c>
      <c r="DC348" s="5">
        <f>MIN(1,MAX(0,$DB$26-($A348-1)))</f>
        <v>0</v>
      </c>
      <c r="DD348" s="5">
        <f>$DB$25*(DC348+(1-DC348)*$DB$16)</f>
        <v>0.0</v>
      </c>
      <c r="DE348" s="13">
        <f>DD348*($DB$6+ACUTE_MARGIN)</f>
        <v>0.0</v>
      </c>
      <c r="DF348" s="13">
        <f>IF(DB348=1,$DB$31,$DB$32)</f>
        <v>152394.16214437486</v>
      </c>
      <c r="DG348" s="13">
        <f>DE348-DF348</f>
        <v>-152394.16214437486</v>
      </c>
      <c r="DH348" s="13">
        <f>DH347+DG348</f>
        <v>-2155482.339987002</v>
      </c>
      <c r="DI348">
        <f>IF(DH348=MAX($DH$83:$DH$483),$A348,0)</f>
        <v>0</v>
      </c>
      <c r="DJ348">
        <f>IF(DE348&lt;DF348,$A348,B_MAX+1)</f>
        <v>265</v>
      </c>
      <c r="DK348" s="13">
        <f>IF(DB348=1,$DB$35,$DB$36)</f>
        <v>0</v>
      </c>
      <c r="DL348" s="13">
        <f>OCC_DAYS*$DB$41*R_NF_2023-DD348*MCD_SHARE_FREED*R_WAIT_2023</f>
        <v>151980.48282209205</v>
      </c>
      <c r="DM348">
        <f>IF($A348&lt;=$DB$45,1,0)</f>
        <v>0</v>
      </c>
      <c r="EB348">
        <f>IF($EB$31&lt;=$EB$32,IF($A348&lt;=$EB$7,1,2),IF($A348&lt;=RUNG_BEDS_2,2,1))</f>
        <v>1</v>
      </c>
      <c r="EC348" s="5">
        <f>MIN(1,MAX(0,$EB$26-($A348-1)))</f>
        <v>0</v>
      </c>
      <c r="ED348" s="5">
        <f>$EB$25*(EC348+(1-EC348)*$EB$16)</f>
        <v>0.0</v>
      </c>
      <c r="EE348" s="13">
        <f>ED348*($EB$6+ACUTE_MARGIN)</f>
        <v>0.0</v>
      </c>
      <c r="EF348" s="13">
        <f>IF(EB348=1,$EB$31,$EB$32)</f>
        <v>152394.16214437486</v>
      </c>
      <c r="EG348" s="13">
        <f>EE348-EF348</f>
        <v>-152394.16214437486</v>
      </c>
      <c r="EH348" s="13">
        <f>EH347+EG348</f>
        <v>-2155482.339987002</v>
      </c>
      <c r="EI348">
        <f>IF(EH348=MAX($EH$83:$EH$483),$A348,0)</f>
        <v>0</v>
      </c>
      <c r="EJ348">
        <f>IF(EE348&lt;EF348,$A348,B_MAX+1)</f>
        <v>265</v>
      </c>
      <c r="EK348" s="13">
        <f>IF(EB348=1,$EB$35,$EB$36)</f>
        <v>0</v>
      </c>
      <c r="EL348" s="13">
        <f>OCC_DAYS*$EB$41*R_NF_2023-ED348*MCD_SHARE_FREED*R_WAIT_2023</f>
        <v>50660.16094069735</v>
      </c>
      <c r="EM348">
        <f>IF($A348&lt;=$EB$45,1,0)</f>
        <v>0</v>
      </c>
      <c r="FB348">
        <f>IF($FB$31&lt;=$FB$32,IF($A348&lt;=$FB$7,1,2),IF($A348&lt;=RUNG_BEDS_2,2,1))</f>
        <v>1</v>
      </c>
      <c r="FC348" s="5">
        <f>MIN(1,MAX(0,$FB$26-($A348-1)))</f>
        <v>0</v>
      </c>
      <c r="FD348" s="5">
        <f>$FB$25*(FC348+(1-FC348)*$FB$16)</f>
        <v>0.0</v>
      </c>
      <c r="FE348" s="13">
        <f>FD348*($FB$6+ACUTE_MARGIN)</f>
        <v>0.0</v>
      </c>
      <c r="FF348" s="13">
        <f>IF(FB348=1,$FB$31,$FB$32)</f>
        <v>156636.04979437485</v>
      </c>
      <c r="FG348" s="13">
        <f>FE348-FF348</f>
        <v>-156636.04979437485</v>
      </c>
      <c r="FH348" s="13">
        <f>FH347+FG348</f>
        <v>-3279582.5672371173</v>
      </c>
      <c r="FI348">
        <f>IF(FH348=MAX($FH$83:$FH$483),$A348,0)</f>
        <v>0</v>
      </c>
      <c r="FJ348">
        <f>IF(FE348&lt;FF348,$A348,B_MAX+1)</f>
        <v>265</v>
      </c>
      <c r="FK348" s="13">
        <f>IF(FB348=1,$FB$35,$FB$36)</f>
        <v>0</v>
      </c>
      <c r="FL348" s="13">
        <f>OCC_DAYS*$FB$41*R_NF_2023-FD348*MCD_SHARE_FREED*R_WAIT_2023</f>
        <v>151980.48282209205</v>
      </c>
      <c r="FM348">
        <f>IF($A348&lt;=$FB$45,1,0)</f>
        <v>0</v>
      </c>
      <c r="GB348">
        <f>IF($GB$31&lt;=$GB$32,IF($A348&lt;=$GB$7,1,2),IF($A348&lt;=RUNG_BEDS_2,2,1))</f>
        <v>1</v>
      </c>
      <c r="GC348" s="5">
        <f>MIN(1,MAX(0,$GB$26-($A348-1)))</f>
        <v>0</v>
      </c>
      <c r="GD348" s="5">
        <f>$GB$25*(GC348+(1-GC348)*$GB$16)</f>
        <v>0.0</v>
      </c>
      <c r="GE348" s="13">
        <f>GD348*($GB$6+ACUTE_MARGIN)</f>
        <v>0.0</v>
      </c>
      <c r="GF348" s="13">
        <f>IF(GB348=1,$GB$31,$GB$32)</f>
        <v>152394.16214437486</v>
      </c>
      <c r="GG348" s="13">
        <f>GE348-GF348</f>
        <v>-152394.16214437486</v>
      </c>
      <c r="GH348" s="13">
        <f>GH347+GG348</f>
        <v>-2155482.339987002</v>
      </c>
      <c r="GI348">
        <f>IF(GH348=MAX($GH$83:$GH$483),$A348,0)</f>
        <v>0</v>
      </c>
      <c r="GJ348">
        <f>IF(GE348&lt;GF348,$A348,B_MAX+1)</f>
        <v>265</v>
      </c>
      <c r="GK348" s="13">
        <f>IF(GB348=1,$GB$35,$GB$36)</f>
        <v>0</v>
      </c>
      <c r="GL348" s="13">
        <f>OCC_DAYS*$GB$41*R_NF_2023-GD348*MCD_SHARE_FREED*R_WAIT_2023</f>
        <v>151980.48282209205</v>
      </c>
      <c r="GM348">
        <f>IF($A348&lt;=$GB$45,1,0)</f>
        <v>0</v>
      </c>
      <c r="HB348">
        <f>IF($HB$31&lt;=$HB$32,IF($A348&lt;=$HB$7,1,2),IF($A348&lt;=RUNG_BEDS_2,2,1))</f>
        <v>1</v>
      </c>
      <c r="HC348" s="5">
        <f>MIN(1,MAX(0,$HB$26-($A348-1)))</f>
        <v>0</v>
      </c>
      <c r="HD348" s="5">
        <f>$HB$25*(HC348+(1-HC348)*$HB$16)</f>
        <v>0.0</v>
      </c>
      <c r="HE348" s="13">
        <f>HD348*($HB$6+ACUTE_MARGIN)</f>
        <v>0.0</v>
      </c>
      <c r="HF348" s="13">
        <f>IF(HB348=1,$HB$31,$HB$32)</f>
        <v>152456.2970814058</v>
      </c>
      <c r="HG348" s="13">
        <f>HE348-HF348</f>
        <v>-152456.2970814058</v>
      </c>
      <c r="HH348" s="13">
        <f>HH347+HG348</f>
        <v>-2171948.0983002405</v>
      </c>
      <c r="HI348">
        <f>IF(HH348=MAX($HH$83:$HH$483),$A348,0)</f>
        <v>0</v>
      </c>
      <c r="HJ348">
        <f>IF(HE348&lt;HF348,$A348,B_MAX+1)</f>
        <v>265</v>
      </c>
      <c r="HK348" s="13">
        <f>IF(HB348=1,$HB$35,$HB$36)</f>
        <v>0</v>
      </c>
      <c r="HL348" s="13">
        <f>OCC_DAYS*$HB$41*R_NF_2023-HD348*MCD_SHARE_FREED*R_WAIT_2023</f>
        <v>151980.48282209205</v>
      </c>
      <c r="HM348">
        <f>IF($A348&lt;=$HB$45,1,0)</f>
        <v>0</v>
      </c>
      <c r="IB348">
        <f>IF($IB$31&lt;=$IB$32,IF($A348&lt;=$IB$7,1,2),IF($A348&lt;=RUNG_BEDS_2,2,1))</f>
        <v>1</v>
      </c>
      <c r="IC348" s="5">
        <f>MIN(1,MAX(0,$IB$26-($A348-1)))</f>
        <v>0</v>
      </c>
      <c r="ID348" s="5">
        <f>$IB$25*(IC348+(1-IC348)*$IB$16)</f>
        <v>0.0</v>
      </c>
      <c r="IE348" s="13">
        <f>ID348*($IB$6+ACUTE_MARGIN)</f>
        <v>0.0</v>
      </c>
      <c r="IF348" s="13">
        <f>IF(IB348=1,$IB$31,$IB$32)</f>
        <v>152734.9994534971</v>
      </c>
      <c r="IG348" s="13">
        <f>IE348-IF348</f>
        <v>-152734.9994534971</v>
      </c>
      <c r="IH348" s="13">
        <f>IH347+IG348</f>
        <v>-2245804.2269044886</v>
      </c>
      <c r="II348">
        <f>IF(IH348=MAX($IH$83:$IH$483),$A348,0)</f>
        <v>0</v>
      </c>
      <c r="IJ348">
        <f>IF(IE348&lt;IF348,$A348,B_MAX+1)</f>
        <v>265</v>
      </c>
      <c r="IK348" s="13">
        <f>IF(IB348=1,$IB$35,$IB$36)</f>
        <v>0</v>
      </c>
      <c r="IL348" s="13">
        <f>OCC_DAYS*$IB$41*R_NF_2023-ID348*MCD_SHARE_FREED*R_WAIT_2023</f>
        <v>151980.48282209205</v>
      </c>
      <c r="IM348">
        <f>IF($A348&lt;=$IB$45,1,0)</f>
        <v>0</v>
      </c>
      <c r="JB348">
        <f>IF($JB$31&lt;=$JB$32,IF($A348&lt;=$JB$7,1,2),IF($A348&lt;=RUNG_BEDS_2,2,1))</f>
        <v>1</v>
      </c>
      <c r="JC348" s="5">
        <f>MIN(1,MAX(0,$JB$26-($A348-1)))</f>
        <v>0</v>
      </c>
      <c r="JD348" s="5">
        <f>$JB$25*(JC348+(1-JC348)*$JB$16)</f>
        <v>0.0</v>
      </c>
      <c r="JE348" s="13">
        <f>JD348*($JB$6+ACUTE_MARGIN)</f>
        <v>0.0</v>
      </c>
      <c r="JF348" s="13">
        <f>IF(JB348=1,$JB$31,$JB$32)</f>
        <v>152394.16214437486</v>
      </c>
      <c r="JG348" s="13">
        <f>JE348-JF348</f>
        <v>-152394.16214437486</v>
      </c>
      <c r="JH348" s="13">
        <f>JH347+JG348</f>
        <v>-2155482.339987002</v>
      </c>
      <c r="JI348">
        <f>IF(JH348=MAX($JH$83:$JH$483),$A348,0)</f>
        <v>0</v>
      </c>
      <c r="JJ348">
        <f>IF(JE348&lt;JF348,$A348,B_MAX+1)</f>
        <v>265</v>
      </c>
      <c r="JK348" s="13">
        <f>IF(JB348=1,$JB$35,$JB$36)</f>
        <v>0</v>
      </c>
      <c r="JL348" s="13">
        <f>OCC_DAYS*$JB$41*R_NF_2023-JD348*MCD_SHARE_FREED*R_WAIT_2023</f>
        <v>151980.48282209205</v>
      </c>
      <c r="JM348">
        <f>IF($A348&lt;=$JB$45,1,0)</f>
        <v>0</v>
      </c>
      <c r="KB348">
        <f>IF($KB$31&lt;=$KB$32,IF($A348&lt;=$KB$7,1,2),IF($A348&lt;=RUNG_BEDS_2,2,1))</f>
        <v>1</v>
      </c>
      <c r="KC348" s="5">
        <f>MIN(1,MAX(0,$KB$26-($A348-1)))</f>
        <v>1</v>
      </c>
      <c r="KD348" s="5">
        <f>$KB$25*(KC348+(1-KC348)*$KB$16)</f>
        <v>126.02661357340719</v>
      </c>
      <c r="KE348" s="13">
        <f>KD348*($KB$6+ACUTE_MARGIN)</f>
        <v>127286.87970914126</v>
      </c>
      <c r="KF348" s="13">
        <f>IF(KB348=1,$KB$31,$KB$32)</f>
        <v>152394.16214437486</v>
      </c>
      <c r="KG348" s="13">
        <f>KE348-KF348</f>
        <v>-25107.282435233603</v>
      </c>
      <c r="KH348" s="13">
        <f>KH347+KG348</f>
        <v>-6653429.845336927</v>
      </c>
      <c r="KI348">
        <f>IF(KH348=MAX($KH$83:$KH$483),$A348,0)</f>
        <v>0</v>
      </c>
      <c r="KJ348">
        <f>IF(KE348&lt;KF348,$A348,B_MAX+1)</f>
        <v>265</v>
      </c>
      <c r="KK348" s="13">
        <f>IF(KB348=1,$KB$35,$KB$36)</f>
        <v>0</v>
      </c>
      <c r="KL348" s="13">
        <f>OCC_DAYS*$KB$41*R_NF_2023-KD348*MCD_SHARE_FREED*R_WAIT_2023</f>
        <v>94673.82103225985</v>
      </c>
      <c r="KM348">
        <f>IF($A348&lt;=$KB$45,1,0)</f>
        <v>0</v>
      </c>
      <c r="LB348">
        <f>IF($LB$31&lt;=$LB$32,IF($A348&lt;=$LB$7,1,2),IF($A348&lt;=RUNG_BEDS_2,2,1))</f>
        <v>1</v>
      </c>
      <c r="LC348" s="5">
        <f>MIN(1,MAX(0,$LB$26-($A348-1)))</f>
        <v>1</v>
      </c>
      <c r="LD348" s="5">
        <f>$LB$25*(LC348+(1-LC348)*$LB$16)</f>
        <v>84.01774238227146</v>
      </c>
      <c r="LE348" s="13">
        <f>LD348*($LB$6+ACUTE_MARGIN)</f>
        <v>84857.91980609419</v>
      </c>
      <c r="LF348" s="13">
        <f>IF(LB348=1,$LB$31,$LB$32)</f>
        <v>152394.16214437486</v>
      </c>
      <c r="LG348" s="13">
        <f>LE348-LF348</f>
        <v>-67536.24233828067</v>
      </c>
      <c r="LH348" s="13">
        <f>LH347+LG348</f>
        <v>-17897104.21964447</v>
      </c>
      <c r="LI348">
        <f>IF(LH348=MAX($LH$83:$LH$483),$A348,0)</f>
        <v>0</v>
      </c>
      <c r="LJ348">
        <f>IF(LE348&lt;LF348,$A348,B_MAX+1)</f>
        <v>265</v>
      </c>
      <c r="LK348" s="13">
        <f>IF(LB348=1,$LB$35,$LB$36)</f>
        <v>0</v>
      </c>
      <c r="LL348" s="13">
        <f>OCC_DAYS*$LB$41*R_NF_2023-LD348*MCD_SHARE_FREED*R_WAIT_2023</f>
        <v>113776.04162887059</v>
      </c>
      <c r="LM348">
        <f>IF($A348&lt;=$LB$45,1,0)</f>
        <v>0</v>
      </c>
      <c r="MB348">
        <f>IF($MB$31&lt;=$MB$32,IF($A348&lt;=$MB$7,1,2),IF($A348&lt;=RUNG_BEDS_2,2,1))</f>
        <v>1</v>
      </c>
      <c r="MC348" s="5">
        <f>MIN(1,MAX(0,$MB$26-($A348-1)))</f>
        <v>0</v>
      </c>
      <c r="MD348" s="5">
        <f>$MB$25*(MC348+(1-MC348)*$MB$16)</f>
        <v>0.0</v>
      </c>
      <c r="ME348" s="13">
        <f>MD348*($MB$6+ACUTE_MARGIN)</f>
        <v>0.0</v>
      </c>
      <c r="MF348" s="13">
        <f>IF(MB348=1,$MB$31,$MB$32)</f>
        <v>152394.16214437486</v>
      </c>
      <c r="MG348" s="13">
        <f>ME348-MF348</f>
        <v>-152394.16214437486</v>
      </c>
      <c r="MH348" s="13">
        <f>MH347+MG348</f>
        <v>-8042758.401785337</v>
      </c>
      <c r="MI348">
        <f>IF(MH348=MAX($MH$83:$MH$483),$A348,0)</f>
        <v>0</v>
      </c>
      <c r="MJ348">
        <f>IF(ME348&lt;MF348,$A348,B_MAX+1)</f>
        <v>265</v>
      </c>
      <c r="MK348" s="13">
        <f>IF(MB348=1,$MB$35,$MB$36)</f>
        <v>0</v>
      </c>
      <c r="ML348" s="13">
        <f>OCC_DAYS*$MB$41*R_NF_2023-MD348*MCD_SHARE_FREED*R_WAIT_2023</f>
        <v>151980.48282209205</v>
      </c>
      <c r="MM348">
        <f>IF($A348&lt;=$MB$45,1,0)</f>
        <v>0</v>
      </c>
      <c r="NB348">
        <f>IF($NB$31&lt;=$NB$32,IF($A348&lt;=$NB$7,1,2),IF($A348&lt;=RUNG_BEDS_2,2,1))</f>
        <v>1</v>
      </c>
      <c r="NC348" s="5">
        <f>MIN(1,MAX(0,$NB$26-($A348-1)))</f>
        <v>0</v>
      </c>
      <c r="ND348" s="5">
        <f>$NB$25*(NC348+(1-NC348)*$NB$16)</f>
        <v>63.013306786703595</v>
      </c>
      <c r="NE348" s="13">
        <f>ND348*($NB$6+ACUTE_MARGIN)</f>
        <v>63643.43985457063</v>
      </c>
      <c r="NF348" s="13">
        <f>IF(NB348=1,$NB$31,$NB$32)</f>
        <v>152394.16214437486</v>
      </c>
      <c r="NG348" s="13">
        <f>NE348-NF348</f>
        <v>-88750.72228980422</v>
      </c>
      <c r="NH348" s="13">
        <f>NH347+NG348</f>
        <v>5152786.564406108</v>
      </c>
      <c r="NI348">
        <f>IF(NH348=MAX($NH$83:$NH$483),$A348,0)</f>
        <v>0</v>
      </c>
      <c r="NJ348">
        <f>IF(NE348&lt;NF348,$A348,B_MAX+1)</f>
        <v>265</v>
      </c>
      <c r="NK348" s="13">
        <f>IF(NB348=1,$NB$35,$NB$36)</f>
        <v>0</v>
      </c>
      <c r="NL348" s="13">
        <f>OCC_DAYS*$NB$41*R_NF_2023-ND348*MCD_SHARE_FREED*R_WAIT_2023</f>
        <v>123327.15192717595</v>
      </c>
      <c r="NM348">
        <f>IF($A348&lt;=$NB$45,1,0)</f>
        <v>0</v>
      </c>
      <c r="OB348">
        <f>IF($OB$31&lt;=$OB$32,IF($A348&lt;=$OB$7,1,2),IF($A348&lt;=RUNG_BEDS_2,2,1))</f>
        <v>1</v>
      </c>
      <c r="OC348" s="5">
        <f>MIN(1,MAX(0,$OB$26-($A348-1)))</f>
        <v>0</v>
      </c>
      <c r="OD348" s="5">
        <f>$OB$25*(OC348+(1-OC348)*$OB$16)</f>
        <v>126.02661357340719</v>
      </c>
      <c r="OE348" s="13">
        <f>OD348*($OB$6+ACUTE_MARGIN)</f>
        <v>127286.87970914126</v>
      </c>
      <c r="OF348" s="13">
        <f>IF(OB348=1,$OB$31,$OB$32)</f>
        <v>152394.16214437486</v>
      </c>
      <c r="OG348" s="13">
        <f>OE348-OF348</f>
        <v>-25107.282435233603</v>
      </c>
      <c r="OH348" s="13">
        <f>OH347+OG348</f>
        <v>12461055.468799373</v>
      </c>
      <c r="OI348">
        <f>IF(OH348=MAX($OH$83:$OH$483),$A348,0)</f>
        <v>0</v>
      </c>
      <c r="OJ348">
        <f>IF(OE348&lt;OF348,$A348,B_MAX+1)</f>
        <v>265</v>
      </c>
      <c r="OK348" s="13">
        <f>IF(OB348=1,$OB$35,$OB$36)</f>
        <v>0</v>
      </c>
      <c r="OL348" s="13">
        <f>OCC_DAYS*$OB$41*R_NF_2023-OD348*MCD_SHARE_FREED*R_WAIT_2023</f>
        <v>94673.82103225985</v>
      </c>
      <c r="OM348">
        <f>IF($A348&lt;=$OB$45,1,0)</f>
        <v>0</v>
      </c>
    </row>
    <row r="349">
      <c r="A349" t="n">
        <v>266</v>
      </c>
      <c r="B349">
        <f>IF($B$31&lt;=$B$32,IF($A349&lt;=$B$7,1,2),IF($A349&lt;=RUNG_BEDS_2,2,1))</f>
        <v>1</v>
      </c>
      <c r="C349" s="5">
        <f>MIN(1,MAX(0,$B$26-($A349-1)))</f>
        <v>0</v>
      </c>
      <c r="D349" s="5">
        <f>$B$25*(C349+(1-C349)*$B$16)</f>
        <v>0.0</v>
      </c>
      <c r="E349" s="13">
        <f>D349*($B$6+ACUTE_MARGIN)</f>
        <v>0.0</v>
      </c>
      <c r="F349" s="13">
        <f>IF(B349=1,$B$31,$B$32)</f>
        <v>152394.16214437486</v>
      </c>
      <c r="G349" s="13">
        <f>E349-F349</f>
        <v>-152394.16214437486</v>
      </c>
      <c r="H349" s="13">
        <f>H348+G349</f>
        <v>-2307876.502131377</v>
      </c>
      <c r="I349">
        <f>IF(H349=MAX($H$83:$H$483),$A349,0)</f>
        <v>0</v>
      </c>
      <c r="J349">
        <f>IF(E349&lt;F349,$A349,B_MAX+1)</f>
        <v>266</v>
      </c>
      <c r="K349" s="13">
        <f>IF(B349=1,$B$35,$B$36)</f>
        <v>0</v>
      </c>
      <c r="L349" s="13">
        <f>OCC_DAYS*$B$41*R_NF_2023-D349*MCD_SHARE_FREED*R_WAIT_2023</f>
        <v>151980.48282209205</v>
      </c>
      <c r="M349">
        <f>IF($A349&lt;=$B$45,1,0)</f>
        <v>0</v>
      </c>
      <c r="AB349">
        <f>IF($AB$31&lt;=$AB$32,IF($A349&lt;=$AB$7,1,2),IF($A349&lt;=RUNG_BEDS_2,2,1))</f>
        <v>1</v>
      </c>
      <c r="AC349" s="5">
        <f>MIN(1,MAX(0,$AB$26-($A349-1)))</f>
        <v>0</v>
      </c>
      <c r="AD349" s="5">
        <f>$AB$25*(AC349+(1-AC349)*$AB$16)</f>
        <v>0.0</v>
      </c>
      <c r="AE349" s="13">
        <f>AD349*($AB$6+ACUTE_MARGIN)</f>
        <v>0.0</v>
      </c>
      <c r="AF349" s="13">
        <f>IF(AB349=1,$AB$31,$AB$32)</f>
        <v>152394.16214437486</v>
      </c>
      <c r="AG349" s="13">
        <f>AE349-AF349</f>
        <v>-152394.16214437486</v>
      </c>
      <c r="AH349" s="13">
        <f>AH348+AG349</f>
        <v>-19719090.84768115</v>
      </c>
      <c r="AI349">
        <f>IF(AH349=MAX($AH$83:$AH$483),$A349,0)</f>
        <v>0</v>
      </c>
      <c r="AJ349">
        <f>IF(AE349&lt;AF349,$A349,B_MAX+1)</f>
        <v>266</v>
      </c>
      <c r="AK349" s="13">
        <f>IF(AB349=1,$AB$35,$AB$36)</f>
        <v>0</v>
      </c>
      <c r="AL349" s="13">
        <f>OCC_DAYS*$AB$41*R_NF_2023-AD349*MCD_SHARE_FREED*R_WAIT_2023</f>
        <v>151980.48282209205</v>
      </c>
      <c r="AM349">
        <f>IF($A349&lt;=$AB$45,1,0)</f>
        <v>0</v>
      </c>
      <c r="BB349">
        <f>IF($BB$31&lt;=$BB$32,IF($A349&lt;=$BB$7,1,2),IF($A349&lt;=RUNG_BEDS_2,2,1))</f>
        <v>1</v>
      </c>
      <c r="BC349" s="5">
        <f>MIN(1,MAX(0,$BB$26-($A349-1)))</f>
        <v>0</v>
      </c>
      <c r="BD349" s="5">
        <f>$BB$25*(BC349+(1-BC349)*$BB$16)</f>
        <v>0.0</v>
      </c>
      <c r="BE349" s="13">
        <f>BD349*($BB$6+ACUTE_MARGIN)</f>
        <v>0.0</v>
      </c>
      <c r="BF349" s="13">
        <f>IF(BB349=1,$BB$31,$BB$32)</f>
        <v>152394.16214437486</v>
      </c>
      <c r="BG349" s="13">
        <f>BE349-BF349</f>
        <v>-152394.16214437486</v>
      </c>
      <c r="BH349" s="13">
        <f>BH348+BG349</f>
        <v>15103337.843418345</v>
      </c>
      <c r="BI349">
        <f>IF(BH349=MAX($BH$83:$BH$483),$A349,0)</f>
        <v>0</v>
      </c>
      <c r="BJ349">
        <f>IF(BE349&lt;BF349,$A349,B_MAX+1)</f>
        <v>266</v>
      </c>
      <c r="BK349" s="13">
        <f>IF(BB349=1,$BB$35,$BB$36)</f>
        <v>0</v>
      </c>
      <c r="BL349" s="13">
        <f>OCC_DAYS*$BB$41*R_NF_2023-BD349*MCD_SHARE_FREED*R_WAIT_2023</f>
        <v>151980.48282209205</v>
      </c>
      <c r="BM349">
        <f>IF($A349&lt;=$BB$45,1,0)</f>
        <v>0</v>
      </c>
      <c r="CB349">
        <f>IF($CB$31&lt;=$CB$32,IF($A349&lt;=$CB$7,1,2),IF($A349&lt;=RUNG_BEDS_2,2,1))</f>
        <v>2</v>
      </c>
      <c r="CC349" s="5">
        <f>MIN(1,MAX(0,$CB$26-($A349-1)))</f>
        <v>0</v>
      </c>
      <c r="CD349" s="5">
        <f>$CB$25*(CC349+(1-CC349)*$CB$16)</f>
        <v>0.0</v>
      </c>
      <c r="CE349" s="13">
        <f>CD349*($CB$6+ACUTE_MARGIN)</f>
        <v>0.0</v>
      </c>
      <c r="CF349" s="13">
        <f>IF(CB349=1,$CB$31,$CB$32)</f>
        <v>160718.36940738867</v>
      </c>
      <c r="CG349" s="13">
        <f>CE349-CF349</f>
        <v>-160718.36940738867</v>
      </c>
      <c r="CH349" s="13">
        <f>CH348+CG349</f>
        <v>-4522115.634093166</v>
      </c>
      <c r="CI349">
        <f>IF(CH349=MAX($CH$83:$CH$483),$A349,0)</f>
        <v>0</v>
      </c>
      <c r="CJ349">
        <f>IF(CE349&lt;CF349,$A349,B_MAX+1)</f>
        <v>266</v>
      </c>
      <c r="CK349" s="13">
        <f>IF(CB349=1,$CB$35,$CB$36)</f>
        <v>1560.1194073886782</v>
      </c>
      <c r="CL349" s="13">
        <f>OCC_DAYS*$CB$41*R_NF_2023-CD349*MCD_SHARE_FREED*R_WAIT_2023</f>
        <v>151980.48282209205</v>
      </c>
      <c r="CM349">
        <f>IF($A349&lt;=$CB$45,1,0)</f>
        <v>0</v>
      </c>
      <c r="DB349">
        <f>IF($DB$31&lt;=$DB$32,IF($A349&lt;=$DB$7,1,2),IF($A349&lt;=RUNG_BEDS_2,2,1))</f>
        <v>1</v>
      </c>
      <c r="DC349" s="5">
        <f>MIN(1,MAX(0,$DB$26-($A349-1)))</f>
        <v>0</v>
      </c>
      <c r="DD349" s="5">
        <f>$DB$25*(DC349+(1-DC349)*$DB$16)</f>
        <v>0.0</v>
      </c>
      <c r="DE349" s="13">
        <f>DD349*($DB$6+ACUTE_MARGIN)</f>
        <v>0.0</v>
      </c>
      <c r="DF349" s="13">
        <f>IF(DB349=1,$DB$31,$DB$32)</f>
        <v>152394.16214437486</v>
      </c>
      <c r="DG349" s="13">
        <f>DE349-DF349</f>
        <v>-152394.16214437486</v>
      </c>
      <c r="DH349" s="13">
        <f>DH348+DG349</f>
        <v>-2307876.502131377</v>
      </c>
      <c r="DI349">
        <f>IF(DH349=MAX($DH$83:$DH$483),$A349,0)</f>
        <v>0</v>
      </c>
      <c r="DJ349">
        <f>IF(DE349&lt;DF349,$A349,B_MAX+1)</f>
        <v>266</v>
      </c>
      <c r="DK349" s="13">
        <f>IF(DB349=1,$DB$35,$DB$36)</f>
        <v>0</v>
      </c>
      <c r="DL349" s="13">
        <f>OCC_DAYS*$DB$41*R_NF_2023-DD349*MCD_SHARE_FREED*R_WAIT_2023</f>
        <v>151980.48282209205</v>
      </c>
      <c r="DM349">
        <f>IF($A349&lt;=$DB$45,1,0)</f>
        <v>0</v>
      </c>
      <c r="EB349">
        <f>IF($EB$31&lt;=$EB$32,IF($A349&lt;=$EB$7,1,2),IF($A349&lt;=RUNG_BEDS_2,2,1))</f>
        <v>1</v>
      </c>
      <c r="EC349" s="5">
        <f>MIN(1,MAX(0,$EB$26-($A349-1)))</f>
        <v>0</v>
      </c>
      <c r="ED349" s="5">
        <f>$EB$25*(EC349+(1-EC349)*$EB$16)</f>
        <v>0.0</v>
      </c>
      <c r="EE349" s="13">
        <f>ED349*($EB$6+ACUTE_MARGIN)</f>
        <v>0.0</v>
      </c>
      <c r="EF349" s="13">
        <f>IF(EB349=1,$EB$31,$EB$32)</f>
        <v>152394.16214437486</v>
      </c>
      <c r="EG349" s="13">
        <f>EE349-EF349</f>
        <v>-152394.16214437486</v>
      </c>
      <c r="EH349" s="13">
        <f>EH348+EG349</f>
        <v>-2307876.502131377</v>
      </c>
      <c r="EI349">
        <f>IF(EH349=MAX($EH$83:$EH$483),$A349,0)</f>
        <v>0</v>
      </c>
      <c r="EJ349">
        <f>IF(EE349&lt;EF349,$A349,B_MAX+1)</f>
        <v>266</v>
      </c>
      <c r="EK349" s="13">
        <f>IF(EB349=1,$EB$35,$EB$36)</f>
        <v>0</v>
      </c>
      <c r="EL349" s="13">
        <f>OCC_DAYS*$EB$41*R_NF_2023-ED349*MCD_SHARE_FREED*R_WAIT_2023</f>
        <v>50660.16094069735</v>
      </c>
      <c r="EM349">
        <f>IF($A349&lt;=$EB$45,1,0)</f>
        <v>0</v>
      </c>
      <c r="FB349">
        <f>IF($FB$31&lt;=$FB$32,IF($A349&lt;=$FB$7,1,2),IF($A349&lt;=RUNG_BEDS_2,2,1))</f>
        <v>1</v>
      </c>
      <c r="FC349" s="5">
        <f>MIN(1,MAX(0,$FB$26-($A349-1)))</f>
        <v>0</v>
      </c>
      <c r="FD349" s="5">
        <f>$FB$25*(FC349+(1-FC349)*$FB$16)</f>
        <v>0.0</v>
      </c>
      <c r="FE349" s="13">
        <f>FD349*($FB$6+ACUTE_MARGIN)</f>
        <v>0.0</v>
      </c>
      <c r="FF349" s="13">
        <f>IF(FB349=1,$FB$31,$FB$32)</f>
        <v>156636.04979437485</v>
      </c>
      <c r="FG349" s="13">
        <f>FE349-FF349</f>
        <v>-156636.04979437485</v>
      </c>
      <c r="FH349" s="13">
        <f>FH348+FG349</f>
        <v>-3436218.6170314923</v>
      </c>
      <c r="FI349">
        <f>IF(FH349=MAX($FH$83:$FH$483),$A349,0)</f>
        <v>0</v>
      </c>
      <c r="FJ349">
        <f>IF(FE349&lt;FF349,$A349,B_MAX+1)</f>
        <v>266</v>
      </c>
      <c r="FK349" s="13">
        <f>IF(FB349=1,$FB$35,$FB$36)</f>
        <v>0</v>
      </c>
      <c r="FL349" s="13">
        <f>OCC_DAYS*$FB$41*R_NF_2023-FD349*MCD_SHARE_FREED*R_WAIT_2023</f>
        <v>151980.48282209205</v>
      </c>
      <c r="FM349">
        <f>IF($A349&lt;=$FB$45,1,0)</f>
        <v>0</v>
      </c>
      <c r="GB349">
        <f>IF($GB$31&lt;=$GB$32,IF($A349&lt;=$GB$7,1,2),IF($A349&lt;=RUNG_BEDS_2,2,1))</f>
        <v>1</v>
      </c>
      <c r="GC349" s="5">
        <f>MIN(1,MAX(0,$GB$26-($A349-1)))</f>
        <v>0</v>
      </c>
      <c r="GD349" s="5">
        <f>$GB$25*(GC349+(1-GC349)*$GB$16)</f>
        <v>0.0</v>
      </c>
      <c r="GE349" s="13">
        <f>GD349*($GB$6+ACUTE_MARGIN)</f>
        <v>0.0</v>
      </c>
      <c r="GF349" s="13">
        <f>IF(GB349=1,$GB$31,$GB$32)</f>
        <v>152394.16214437486</v>
      </c>
      <c r="GG349" s="13">
        <f>GE349-GF349</f>
        <v>-152394.16214437486</v>
      </c>
      <c r="GH349" s="13">
        <f>GH348+GG349</f>
        <v>-2307876.502131377</v>
      </c>
      <c r="GI349">
        <f>IF(GH349=MAX($GH$83:$GH$483),$A349,0)</f>
        <v>0</v>
      </c>
      <c r="GJ349">
        <f>IF(GE349&lt;GF349,$A349,B_MAX+1)</f>
        <v>266</v>
      </c>
      <c r="GK349" s="13">
        <f>IF(GB349=1,$GB$35,$GB$36)</f>
        <v>0</v>
      </c>
      <c r="GL349" s="13">
        <f>OCC_DAYS*$GB$41*R_NF_2023-GD349*MCD_SHARE_FREED*R_WAIT_2023</f>
        <v>151980.48282209205</v>
      </c>
      <c r="GM349">
        <f>IF($A349&lt;=$GB$45,1,0)</f>
        <v>0</v>
      </c>
      <c r="HB349">
        <f>IF($HB$31&lt;=$HB$32,IF($A349&lt;=$HB$7,1,2),IF($A349&lt;=RUNG_BEDS_2,2,1))</f>
        <v>1</v>
      </c>
      <c r="HC349" s="5">
        <f>MIN(1,MAX(0,$HB$26-($A349-1)))</f>
        <v>0</v>
      </c>
      <c r="HD349" s="5">
        <f>$HB$25*(HC349+(1-HC349)*$HB$16)</f>
        <v>0.0</v>
      </c>
      <c r="HE349" s="13">
        <f>HD349*($HB$6+ACUTE_MARGIN)</f>
        <v>0.0</v>
      </c>
      <c r="HF349" s="13">
        <f>IF(HB349=1,$HB$31,$HB$32)</f>
        <v>152456.2970814058</v>
      </c>
      <c r="HG349" s="13">
        <f>HE349-HF349</f>
        <v>-152456.2970814058</v>
      </c>
      <c r="HH349" s="13">
        <f>HH348+HG349</f>
        <v>-2324404.395381646</v>
      </c>
      <c r="HI349">
        <f>IF(HH349=MAX($HH$83:$HH$483),$A349,0)</f>
        <v>0</v>
      </c>
      <c r="HJ349">
        <f>IF(HE349&lt;HF349,$A349,B_MAX+1)</f>
        <v>266</v>
      </c>
      <c r="HK349" s="13">
        <f>IF(HB349=1,$HB$35,$HB$36)</f>
        <v>0</v>
      </c>
      <c r="HL349" s="13">
        <f>OCC_DAYS*$HB$41*R_NF_2023-HD349*MCD_SHARE_FREED*R_WAIT_2023</f>
        <v>151980.48282209205</v>
      </c>
      <c r="HM349">
        <f>IF($A349&lt;=$HB$45,1,0)</f>
        <v>0</v>
      </c>
      <c r="IB349">
        <f>IF($IB$31&lt;=$IB$32,IF($A349&lt;=$IB$7,1,2),IF($A349&lt;=RUNG_BEDS_2,2,1))</f>
        <v>1</v>
      </c>
      <c r="IC349" s="5">
        <f>MIN(1,MAX(0,$IB$26-($A349-1)))</f>
        <v>0</v>
      </c>
      <c r="ID349" s="5">
        <f>$IB$25*(IC349+(1-IC349)*$IB$16)</f>
        <v>0.0</v>
      </c>
      <c r="IE349" s="13">
        <f>ID349*($IB$6+ACUTE_MARGIN)</f>
        <v>0.0</v>
      </c>
      <c r="IF349" s="13">
        <f>IF(IB349=1,$IB$31,$IB$32)</f>
        <v>152734.9994534971</v>
      </c>
      <c r="IG349" s="13">
        <f>IE349-IF349</f>
        <v>-152734.9994534971</v>
      </c>
      <c r="IH349" s="13">
        <f>IH348+IG349</f>
        <v>-2398539.2263579858</v>
      </c>
      <c r="II349">
        <f>IF(IH349=MAX($IH$83:$IH$483),$A349,0)</f>
        <v>0</v>
      </c>
      <c r="IJ349">
        <f>IF(IE349&lt;IF349,$A349,B_MAX+1)</f>
        <v>266</v>
      </c>
      <c r="IK349" s="13">
        <f>IF(IB349=1,$IB$35,$IB$36)</f>
        <v>0</v>
      </c>
      <c r="IL349" s="13">
        <f>OCC_DAYS*$IB$41*R_NF_2023-ID349*MCD_SHARE_FREED*R_WAIT_2023</f>
        <v>151980.48282209205</v>
      </c>
      <c r="IM349">
        <f>IF($A349&lt;=$IB$45,1,0)</f>
        <v>0</v>
      </c>
      <c r="JB349">
        <f>IF($JB$31&lt;=$JB$32,IF($A349&lt;=$JB$7,1,2),IF($A349&lt;=RUNG_BEDS_2,2,1))</f>
        <v>1</v>
      </c>
      <c r="JC349" s="5">
        <f>MIN(1,MAX(0,$JB$26-($A349-1)))</f>
        <v>0</v>
      </c>
      <c r="JD349" s="5">
        <f>$JB$25*(JC349+(1-JC349)*$JB$16)</f>
        <v>0.0</v>
      </c>
      <c r="JE349" s="13">
        <f>JD349*($JB$6+ACUTE_MARGIN)</f>
        <v>0.0</v>
      </c>
      <c r="JF349" s="13">
        <f>IF(JB349=1,$JB$31,$JB$32)</f>
        <v>152394.16214437486</v>
      </c>
      <c r="JG349" s="13">
        <f>JE349-JF349</f>
        <v>-152394.16214437486</v>
      </c>
      <c r="JH349" s="13">
        <f>JH348+JG349</f>
        <v>-2307876.502131377</v>
      </c>
      <c r="JI349">
        <f>IF(JH349=MAX($JH$83:$JH$483),$A349,0)</f>
        <v>0</v>
      </c>
      <c r="JJ349">
        <f>IF(JE349&lt;JF349,$A349,B_MAX+1)</f>
        <v>266</v>
      </c>
      <c r="JK349" s="13">
        <f>IF(JB349=1,$JB$35,$JB$36)</f>
        <v>0</v>
      </c>
      <c r="JL349" s="13">
        <f>OCC_DAYS*$JB$41*R_NF_2023-JD349*MCD_SHARE_FREED*R_WAIT_2023</f>
        <v>151980.48282209205</v>
      </c>
      <c r="JM349">
        <f>IF($A349&lt;=$JB$45,1,0)</f>
        <v>0</v>
      </c>
      <c r="KB349">
        <f>IF($KB$31&lt;=$KB$32,IF($A349&lt;=$KB$7,1,2),IF($A349&lt;=RUNG_BEDS_2,2,1))</f>
        <v>1</v>
      </c>
      <c r="KC349" s="5">
        <f>MIN(1,MAX(0,$KB$26-($A349-1)))</f>
        <v>1</v>
      </c>
      <c r="KD349" s="5">
        <f>$KB$25*(KC349+(1-KC349)*$KB$16)</f>
        <v>126.02661357340719</v>
      </c>
      <c r="KE349" s="13">
        <f>KD349*($KB$6+ACUTE_MARGIN)</f>
        <v>127286.87970914126</v>
      </c>
      <c r="KF349" s="13">
        <f>IF(KB349=1,$KB$31,$KB$32)</f>
        <v>152394.16214437486</v>
      </c>
      <c r="KG349" s="13">
        <f>KE349-KF349</f>
        <v>-25107.282435233603</v>
      </c>
      <c r="KH349" s="13">
        <f>KH348+KG349</f>
        <v>-6678537.127772161</v>
      </c>
      <c r="KI349">
        <f>IF(KH349=MAX($KH$83:$KH$483),$A349,0)</f>
        <v>0</v>
      </c>
      <c r="KJ349">
        <f>IF(KE349&lt;KF349,$A349,B_MAX+1)</f>
        <v>266</v>
      </c>
      <c r="KK349" s="13">
        <f>IF(KB349=1,$KB$35,$KB$36)</f>
        <v>0</v>
      </c>
      <c r="KL349" s="13">
        <f>OCC_DAYS*$KB$41*R_NF_2023-KD349*MCD_SHARE_FREED*R_WAIT_2023</f>
        <v>94673.82103225985</v>
      </c>
      <c r="KM349">
        <f>IF($A349&lt;=$KB$45,1,0)</f>
        <v>0</v>
      </c>
      <c r="LB349">
        <f>IF($LB$31&lt;=$LB$32,IF($A349&lt;=$LB$7,1,2),IF($A349&lt;=RUNG_BEDS_2,2,1))</f>
        <v>1</v>
      </c>
      <c r="LC349" s="5">
        <f>MIN(1,MAX(0,$LB$26-($A349-1)))</f>
        <v>1</v>
      </c>
      <c r="LD349" s="5">
        <f>$LB$25*(LC349+(1-LC349)*$LB$16)</f>
        <v>84.01774238227146</v>
      </c>
      <c r="LE349" s="13">
        <f>LD349*($LB$6+ACUTE_MARGIN)</f>
        <v>84857.91980609419</v>
      </c>
      <c r="LF349" s="13">
        <f>IF(LB349=1,$LB$31,$LB$32)</f>
        <v>152394.16214437486</v>
      </c>
      <c r="LG349" s="13">
        <f>LE349-LF349</f>
        <v>-67536.24233828067</v>
      </c>
      <c r="LH349" s="13">
        <f>LH348+LG349</f>
        <v>-17964640.46198275</v>
      </c>
      <c r="LI349">
        <f>IF(LH349=MAX($LH$83:$LH$483),$A349,0)</f>
        <v>0</v>
      </c>
      <c r="LJ349">
        <f>IF(LE349&lt;LF349,$A349,B_MAX+1)</f>
        <v>266</v>
      </c>
      <c r="LK349" s="13">
        <f>IF(LB349=1,$LB$35,$LB$36)</f>
        <v>0</v>
      </c>
      <c r="LL349" s="13">
        <f>OCC_DAYS*$LB$41*R_NF_2023-LD349*MCD_SHARE_FREED*R_WAIT_2023</f>
        <v>113776.04162887059</v>
      </c>
      <c r="LM349">
        <f>IF($A349&lt;=$LB$45,1,0)</f>
        <v>0</v>
      </c>
      <c r="MB349">
        <f>IF($MB$31&lt;=$MB$32,IF($A349&lt;=$MB$7,1,2),IF($A349&lt;=RUNG_BEDS_2,2,1))</f>
        <v>1</v>
      </c>
      <c r="MC349" s="5">
        <f>MIN(1,MAX(0,$MB$26-($A349-1)))</f>
        <v>0</v>
      </c>
      <c r="MD349" s="5">
        <f>$MB$25*(MC349+(1-MC349)*$MB$16)</f>
        <v>0.0</v>
      </c>
      <c r="ME349" s="13">
        <f>MD349*($MB$6+ACUTE_MARGIN)</f>
        <v>0.0</v>
      </c>
      <c r="MF349" s="13">
        <f>IF(MB349=1,$MB$31,$MB$32)</f>
        <v>152394.16214437486</v>
      </c>
      <c r="MG349" s="13">
        <f>ME349-MF349</f>
        <v>-152394.16214437486</v>
      </c>
      <c r="MH349" s="13">
        <f>MH348+MG349</f>
        <v>-8195152.563929712</v>
      </c>
      <c r="MI349">
        <f>IF(MH349=MAX($MH$83:$MH$483),$A349,0)</f>
        <v>0</v>
      </c>
      <c r="MJ349">
        <f>IF(ME349&lt;MF349,$A349,B_MAX+1)</f>
        <v>266</v>
      </c>
      <c r="MK349" s="13">
        <f>IF(MB349=1,$MB$35,$MB$36)</f>
        <v>0</v>
      </c>
      <c r="ML349" s="13">
        <f>OCC_DAYS*$MB$41*R_NF_2023-MD349*MCD_SHARE_FREED*R_WAIT_2023</f>
        <v>151980.48282209205</v>
      </c>
      <c r="MM349">
        <f>IF($A349&lt;=$MB$45,1,0)</f>
        <v>0</v>
      </c>
      <c r="NB349">
        <f>IF($NB$31&lt;=$NB$32,IF($A349&lt;=$NB$7,1,2),IF($A349&lt;=RUNG_BEDS_2,2,1))</f>
        <v>1</v>
      </c>
      <c r="NC349" s="5">
        <f>MIN(1,MAX(0,$NB$26-($A349-1)))</f>
        <v>0</v>
      </c>
      <c r="ND349" s="5">
        <f>$NB$25*(NC349+(1-NC349)*$NB$16)</f>
        <v>63.013306786703595</v>
      </c>
      <c r="NE349" s="13">
        <f>ND349*($NB$6+ACUTE_MARGIN)</f>
        <v>63643.43985457063</v>
      </c>
      <c r="NF349" s="13">
        <f>IF(NB349=1,$NB$31,$NB$32)</f>
        <v>152394.16214437486</v>
      </c>
      <c r="NG349" s="13">
        <f>NE349-NF349</f>
        <v>-88750.72228980422</v>
      </c>
      <c r="NH349" s="13">
        <f>NH348+NG349</f>
        <v>5064035.842116304</v>
      </c>
      <c r="NI349">
        <f>IF(NH349=MAX($NH$83:$NH$483),$A349,0)</f>
        <v>0</v>
      </c>
      <c r="NJ349">
        <f>IF(NE349&lt;NF349,$A349,B_MAX+1)</f>
        <v>266</v>
      </c>
      <c r="NK349" s="13">
        <f>IF(NB349=1,$NB$35,$NB$36)</f>
        <v>0</v>
      </c>
      <c r="NL349" s="13">
        <f>OCC_DAYS*$NB$41*R_NF_2023-ND349*MCD_SHARE_FREED*R_WAIT_2023</f>
        <v>123327.15192717595</v>
      </c>
      <c r="NM349">
        <f>IF($A349&lt;=$NB$45,1,0)</f>
        <v>0</v>
      </c>
      <c r="OB349">
        <f>IF($OB$31&lt;=$OB$32,IF($A349&lt;=$OB$7,1,2),IF($A349&lt;=RUNG_BEDS_2,2,1))</f>
        <v>1</v>
      </c>
      <c r="OC349" s="5">
        <f>MIN(1,MAX(0,$OB$26-($A349-1)))</f>
        <v>0</v>
      </c>
      <c r="OD349" s="5">
        <f>$OB$25*(OC349+(1-OC349)*$OB$16)</f>
        <v>126.02661357340719</v>
      </c>
      <c r="OE349" s="13">
        <f>OD349*($OB$6+ACUTE_MARGIN)</f>
        <v>127286.87970914126</v>
      </c>
      <c r="OF349" s="13">
        <f>IF(OB349=1,$OB$31,$OB$32)</f>
        <v>152394.16214437486</v>
      </c>
      <c r="OG349" s="13">
        <f>OE349-OF349</f>
        <v>-25107.282435233603</v>
      </c>
      <c r="OH349" s="13">
        <f>OH348+OG349</f>
        <v>12435948.18636414</v>
      </c>
      <c r="OI349">
        <f>IF(OH349=MAX($OH$83:$OH$483),$A349,0)</f>
        <v>0</v>
      </c>
      <c r="OJ349">
        <f>IF(OE349&lt;OF349,$A349,B_MAX+1)</f>
        <v>266</v>
      </c>
      <c r="OK349" s="13">
        <f>IF(OB349=1,$OB$35,$OB$36)</f>
        <v>0</v>
      </c>
      <c r="OL349" s="13">
        <f>OCC_DAYS*$OB$41*R_NF_2023-OD349*MCD_SHARE_FREED*R_WAIT_2023</f>
        <v>94673.82103225985</v>
      </c>
      <c r="OM349">
        <f>IF($A349&lt;=$OB$45,1,0)</f>
        <v>0</v>
      </c>
    </row>
    <row r="350">
      <c r="A350" t="n">
        <v>267</v>
      </c>
      <c r="B350">
        <f>IF($B$31&lt;=$B$32,IF($A350&lt;=$B$7,1,2),IF($A350&lt;=RUNG_BEDS_2,2,1))</f>
        <v>1</v>
      </c>
      <c r="C350" s="5">
        <f>MIN(1,MAX(0,$B$26-($A350-1)))</f>
        <v>0</v>
      </c>
      <c r="D350" s="5">
        <f>$B$25*(C350+(1-C350)*$B$16)</f>
        <v>0.0</v>
      </c>
      <c r="E350" s="13">
        <f>D350*($B$6+ACUTE_MARGIN)</f>
        <v>0.0</v>
      </c>
      <c r="F350" s="13">
        <f>IF(B350=1,$B$31,$B$32)</f>
        <v>152394.16214437486</v>
      </c>
      <c r="G350" s="13">
        <f>E350-F350</f>
        <v>-152394.16214437486</v>
      </c>
      <c r="H350" s="13">
        <f>H349+G350</f>
        <v>-2460270.664275752</v>
      </c>
      <c r="I350">
        <f>IF(H350=MAX($H$83:$H$483),$A350,0)</f>
        <v>0</v>
      </c>
      <c r="J350">
        <f>IF(E350&lt;F350,$A350,B_MAX+1)</f>
        <v>267</v>
      </c>
      <c r="K350" s="13">
        <f>IF(B350=1,$B$35,$B$36)</f>
        <v>0</v>
      </c>
      <c r="L350" s="13">
        <f>OCC_DAYS*$B$41*R_NF_2023-D350*MCD_SHARE_FREED*R_WAIT_2023</f>
        <v>151980.48282209205</v>
      </c>
      <c r="M350">
        <f>IF($A350&lt;=$B$45,1,0)</f>
        <v>0</v>
      </c>
      <c r="AB350">
        <f>IF($AB$31&lt;=$AB$32,IF($A350&lt;=$AB$7,1,2),IF($A350&lt;=RUNG_BEDS_2,2,1))</f>
        <v>1</v>
      </c>
      <c r="AC350" s="5">
        <f>MIN(1,MAX(0,$AB$26-($A350-1)))</f>
        <v>0</v>
      </c>
      <c r="AD350" s="5">
        <f>$AB$25*(AC350+(1-AC350)*$AB$16)</f>
        <v>0.0</v>
      </c>
      <c r="AE350" s="13">
        <f>AD350*($AB$6+ACUTE_MARGIN)</f>
        <v>0.0</v>
      </c>
      <c r="AF350" s="13">
        <f>IF(AB350=1,$AB$31,$AB$32)</f>
        <v>152394.16214437486</v>
      </c>
      <c r="AG350" s="13">
        <f>AE350-AF350</f>
        <v>-152394.16214437486</v>
      </c>
      <c r="AH350" s="13">
        <f>AH349+AG350</f>
        <v>-19871485.009825524</v>
      </c>
      <c r="AI350">
        <f>IF(AH350=MAX($AH$83:$AH$483),$A350,0)</f>
        <v>0</v>
      </c>
      <c r="AJ350">
        <f>IF(AE350&lt;AF350,$A350,B_MAX+1)</f>
        <v>267</v>
      </c>
      <c r="AK350" s="13">
        <f>IF(AB350=1,$AB$35,$AB$36)</f>
        <v>0</v>
      </c>
      <c r="AL350" s="13">
        <f>OCC_DAYS*$AB$41*R_NF_2023-AD350*MCD_SHARE_FREED*R_WAIT_2023</f>
        <v>151980.48282209205</v>
      </c>
      <c r="AM350">
        <f>IF($A350&lt;=$AB$45,1,0)</f>
        <v>0</v>
      </c>
      <c r="BB350">
        <f>IF($BB$31&lt;=$BB$32,IF($A350&lt;=$BB$7,1,2),IF($A350&lt;=RUNG_BEDS_2,2,1))</f>
        <v>1</v>
      </c>
      <c r="BC350" s="5">
        <f>MIN(1,MAX(0,$BB$26-($A350-1)))</f>
        <v>0</v>
      </c>
      <c r="BD350" s="5">
        <f>$BB$25*(BC350+(1-BC350)*$BB$16)</f>
        <v>0.0</v>
      </c>
      <c r="BE350" s="13">
        <f>BD350*($BB$6+ACUTE_MARGIN)</f>
        <v>0.0</v>
      </c>
      <c r="BF350" s="13">
        <f>IF(BB350=1,$BB$31,$BB$32)</f>
        <v>152394.16214437486</v>
      </c>
      <c r="BG350" s="13">
        <f>BE350-BF350</f>
        <v>-152394.16214437486</v>
      </c>
      <c r="BH350" s="13">
        <f>BH349+BG350</f>
        <v>14950943.68127397</v>
      </c>
      <c r="BI350">
        <f>IF(BH350=MAX($BH$83:$BH$483),$A350,0)</f>
        <v>0</v>
      </c>
      <c r="BJ350">
        <f>IF(BE350&lt;BF350,$A350,B_MAX+1)</f>
        <v>267</v>
      </c>
      <c r="BK350" s="13">
        <f>IF(BB350=1,$BB$35,$BB$36)</f>
        <v>0</v>
      </c>
      <c r="BL350" s="13">
        <f>OCC_DAYS*$BB$41*R_NF_2023-BD350*MCD_SHARE_FREED*R_WAIT_2023</f>
        <v>151980.48282209205</v>
      </c>
      <c r="BM350">
        <f>IF($A350&lt;=$BB$45,1,0)</f>
        <v>0</v>
      </c>
      <c r="CB350">
        <f>IF($CB$31&lt;=$CB$32,IF($A350&lt;=$CB$7,1,2),IF($A350&lt;=RUNG_BEDS_2,2,1))</f>
        <v>2</v>
      </c>
      <c r="CC350" s="5">
        <f>MIN(1,MAX(0,$CB$26-($A350-1)))</f>
        <v>0</v>
      </c>
      <c r="CD350" s="5">
        <f>$CB$25*(CC350+(1-CC350)*$CB$16)</f>
        <v>0.0</v>
      </c>
      <c r="CE350" s="13">
        <f>CD350*($CB$6+ACUTE_MARGIN)</f>
        <v>0.0</v>
      </c>
      <c r="CF350" s="13">
        <f>IF(CB350=1,$CB$31,$CB$32)</f>
        <v>160718.36940738867</v>
      </c>
      <c r="CG350" s="13">
        <f>CE350-CF350</f>
        <v>-160718.36940738867</v>
      </c>
      <c r="CH350" s="13">
        <f>CH349+CG350</f>
        <v>-4682834.003500555</v>
      </c>
      <c r="CI350">
        <f>IF(CH350=MAX($CH$83:$CH$483),$A350,0)</f>
        <v>0</v>
      </c>
      <c r="CJ350">
        <f>IF(CE350&lt;CF350,$A350,B_MAX+1)</f>
        <v>267</v>
      </c>
      <c r="CK350" s="13">
        <f>IF(CB350=1,$CB$35,$CB$36)</f>
        <v>1560.1194073886782</v>
      </c>
      <c r="CL350" s="13">
        <f>OCC_DAYS*$CB$41*R_NF_2023-CD350*MCD_SHARE_FREED*R_WAIT_2023</f>
        <v>151980.48282209205</v>
      </c>
      <c r="CM350">
        <f>IF($A350&lt;=$CB$45,1,0)</f>
        <v>0</v>
      </c>
      <c r="DB350">
        <f>IF($DB$31&lt;=$DB$32,IF($A350&lt;=$DB$7,1,2),IF($A350&lt;=RUNG_BEDS_2,2,1))</f>
        <v>1</v>
      </c>
      <c r="DC350" s="5">
        <f>MIN(1,MAX(0,$DB$26-($A350-1)))</f>
        <v>0</v>
      </c>
      <c r="DD350" s="5">
        <f>$DB$25*(DC350+(1-DC350)*$DB$16)</f>
        <v>0.0</v>
      </c>
      <c r="DE350" s="13">
        <f>DD350*($DB$6+ACUTE_MARGIN)</f>
        <v>0.0</v>
      </c>
      <c r="DF350" s="13">
        <f>IF(DB350=1,$DB$31,$DB$32)</f>
        <v>152394.16214437486</v>
      </c>
      <c r="DG350" s="13">
        <f>DE350-DF350</f>
        <v>-152394.16214437486</v>
      </c>
      <c r="DH350" s="13">
        <f>DH349+DG350</f>
        <v>-2460270.664275752</v>
      </c>
      <c r="DI350">
        <f>IF(DH350=MAX($DH$83:$DH$483),$A350,0)</f>
        <v>0</v>
      </c>
      <c r="DJ350">
        <f>IF(DE350&lt;DF350,$A350,B_MAX+1)</f>
        <v>267</v>
      </c>
      <c r="DK350" s="13">
        <f>IF(DB350=1,$DB$35,$DB$36)</f>
        <v>0</v>
      </c>
      <c r="DL350" s="13">
        <f>OCC_DAYS*$DB$41*R_NF_2023-DD350*MCD_SHARE_FREED*R_WAIT_2023</f>
        <v>151980.48282209205</v>
      </c>
      <c r="DM350">
        <f>IF($A350&lt;=$DB$45,1,0)</f>
        <v>0</v>
      </c>
      <c r="EB350">
        <f>IF($EB$31&lt;=$EB$32,IF($A350&lt;=$EB$7,1,2),IF($A350&lt;=RUNG_BEDS_2,2,1))</f>
        <v>1</v>
      </c>
      <c r="EC350" s="5">
        <f>MIN(1,MAX(0,$EB$26-($A350-1)))</f>
        <v>0</v>
      </c>
      <c r="ED350" s="5">
        <f>$EB$25*(EC350+(1-EC350)*$EB$16)</f>
        <v>0.0</v>
      </c>
      <c r="EE350" s="13">
        <f>ED350*($EB$6+ACUTE_MARGIN)</f>
        <v>0.0</v>
      </c>
      <c r="EF350" s="13">
        <f>IF(EB350=1,$EB$31,$EB$32)</f>
        <v>152394.16214437486</v>
      </c>
      <c r="EG350" s="13">
        <f>EE350-EF350</f>
        <v>-152394.16214437486</v>
      </c>
      <c r="EH350" s="13">
        <f>EH349+EG350</f>
        <v>-2460270.664275752</v>
      </c>
      <c r="EI350">
        <f>IF(EH350=MAX($EH$83:$EH$483),$A350,0)</f>
        <v>0</v>
      </c>
      <c r="EJ350">
        <f>IF(EE350&lt;EF350,$A350,B_MAX+1)</f>
        <v>267</v>
      </c>
      <c r="EK350" s="13">
        <f>IF(EB350=1,$EB$35,$EB$36)</f>
        <v>0</v>
      </c>
      <c r="EL350" s="13">
        <f>OCC_DAYS*$EB$41*R_NF_2023-ED350*MCD_SHARE_FREED*R_WAIT_2023</f>
        <v>50660.16094069735</v>
      </c>
      <c r="EM350">
        <f>IF($A350&lt;=$EB$45,1,0)</f>
        <v>0</v>
      </c>
      <c r="FB350">
        <f>IF($FB$31&lt;=$FB$32,IF($A350&lt;=$FB$7,1,2),IF($A350&lt;=RUNG_BEDS_2,2,1))</f>
        <v>1</v>
      </c>
      <c r="FC350" s="5">
        <f>MIN(1,MAX(0,$FB$26-($A350-1)))</f>
        <v>0</v>
      </c>
      <c r="FD350" s="5">
        <f>$FB$25*(FC350+(1-FC350)*$FB$16)</f>
        <v>0.0</v>
      </c>
      <c r="FE350" s="13">
        <f>FD350*($FB$6+ACUTE_MARGIN)</f>
        <v>0.0</v>
      </c>
      <c r="FF350" s="13">
        <f>IF(FB350=1,$FB$31,$FB$32)</f>
        <v>156636.04979437485</v>
      </c>
      <c r="FG350" s="13">
        <f>FE350-FF350</f>
        <v>-156636.04979437485</v>
      </c>
      <c r="FH350" s="13">
        <f>FH349+FG350</f>
        <v>-3592854.6668258673</v>
      </c>
      <c r="FI350">
        <f>IF(FH350=MAX($FH$83:$FH$483),$A350,0)</f>
        <v>0</v>
      </c>
      <c r="FJ350">
        <f>IF(FE350&lt;FF350,$A350,B_MAX+1)</f>
        <v>267</v>
      </c>
      <c r="FK350" s="13">
        <f>IF(FB350=1,$FB$35,$FB$36)</f>
        <v>0</v>
      </c>
      <c r="FL350" s="13">
        <f>OCC_DAYS*$FB$41*R_NF_2023-FD350*MCD_SHARE_FREED*R_WAIT_2023</f>
        <v>151980.48282209205</v>
      </c>
      <c r="FM350">
        <f>IF($A350&lt;=$FB$45,1,0)</f>
        <v>0</v>
      </c>
      <c r="GB350">
        <f>IF($GB$31&lt;=$GB$32,IF($A350&lt;=$GB$7,1,2),IF($A350&lt;=RUNG_BEDS_2,2,1))</f>
        <v>1</v>
      </c>
      <c r="GC350" s="5">
        <f>MIN(1,MAX(0,$GB$26-($A350-1)))</f>
        <v>0</v>
      </c>
      <c r="GD350" s="5">
        <f>$GB$25*(GC350+(1-GC350)*$GB$16)</f>
        <v>0.0</v>
      </c>
      <c r="GE350" s="13">
        <f>GD350*($GB$6+ACUTE_MARGIN)</f>
        <v>0.0</v>
      </c>
      <c r="GF350" s="13">
        <f>IF(GB350=1,$GB$31,$GB$32)</f>
        <v>152394.16214437486</v>
      </c>
      <c r="GG350" s="13">
        <f>GE350-GF350</f>
        <v>-152394.16214437486</v>
      </c>
      <c r="GH350" s="13">
        <f>GH349+GG350</f>
        <v>-2460270.664275752</v>
      </c>
      <c r="GI350">
        <f>IF(GH350=MAX($GH$83:$GH$483),$A350,0)</f>
        <v>0</v>
      </c>
      <c r="GJ350">
        <f>IF(GE350&lt;GF350,$A350,B_MAX+1)</f>
        <v>267</v>
      </c>
      <c r="GK350" s="13">
        <f>IF(GB350=1,$GB$35,$GB$36)</f>
        <v>0</v>
      </c>
      <c r="GL350" s="13">
        <f>OCC_DAYS*$GB$41*R_NF_2023-GD350*MCD_SHARE_FREED*R_WAIT_2023</f>
        <v>151980.48282209205</v>
      </c>
      <c r="GM350">
        <f>IF($A350&lt;=$GB$45,1,0)</f>
        <v>0</v>
      </c>
      <c r="HB350">
        <f>IF($HB$31&lt;=$HB$32,IF($A350&lt;=$HB$7,1,2),IF($A350&lt;=RUNG_BEDS_2,2,1))</f>
        <v>1</v>
      </c>
      <c r="HC350" s="5">
        <f>MIN(1,MAX(0,$HB$26-($A350-1)))</f>
        <v>0</v>
      </c>
      <c r="HD350" s="5">
        <f>$HB$25*(HC350+(1-HC350)*$HB$16)</f>
        <v>0.0</v>
      </c>
      <c r="HE350" s="13">
        <f>HD350*($HB$6+ACUTE_MARGIN)</f>
        <v>0.0</v>
      </c>
      <c r="HF350" s="13">
        <f>IF(HB350=1,$HB$31,$HB$32)</f>
        <v>152456.2970814058</v>
      </c>
      <c r="HG350" s="13">
        <f>HE350-HF350</f>
        <v>-152456.2970814058</v>
      </c>
      <c r="HH350" s="13">
        <f>HH349+HG350</f>
        <v>-2476860.692463052</v>
      </c>
      <c r="HI350">
        <f>IF(HH350=MAX($HH$83:$HH$483),$A350,0)</f>
        <v>0</v>
      </c>
      <c r="HJ350">
        <f>IF(HE350&lt;HF350,$A350,B_MAX+1)</f>
        <v>267</v>
      </c>
      <c r="HK350" s="13">
        <f>IF(HB350=1,$HB$35,$HB$36)</f>
        <v>0</v>
      </c>
      <c r="HL350" s="13">
        <f>OCC_DAYS*$HB$41*R_NF_2023-HD350*MCD_SHARE_FREED*R_WAIT_2023</f>
        <v>151980.48282209205</v>
      </c>
      <c r="HM350">
        <f>IF($A350&lt;=$HB$45,1,0)</f>
        <v>0</v>
      </c>
      <c r="IB350">
        <f>IF($IB$31&lt;=$IB$32,IF($A350&lt;=$IB$7,1,2),IF($A350&lt;=RUNG_BEDS_2,2,1))</f>
        <v>1</v>
      </c>
      <c r="IC350" s="5">
        <f>MIN(1,MAX(0,$IB$26-($A350-1)))</f>
        <v>0</v>
      </c>
      <c r="ID350" s="5">
        <f>$IB$25*(IC350+(1-IC350)*$IB$16)</f>
        <v>0.0</v>
      </c>
      <c r="IE350" s="13">
        <f>ID350*($IB$6+ACUTE_MARGIN)</f>
        <v>0.0</v>
      </c>
      <c r="IF350" s="13">
        <f>IF(IB350=1,$IB$31,$IB$32)</f>
        <v>152734.9994534971</v>
      </c>
      <c r="IG350" s="13">
        <f>IE350-IF350</f>
        <v>-152734.9994534971</v>
      </c>
      <c r="IH350" s="13">
        <f>IH349+IG350</f>
        <v>-2551274.225811483</v>
      </c>
      <c r="II350">
        <f>IF(IH350=MAX($IH$83:$IH$483),$A350,0)</f>
        <v>0</v>
      </c>
      <c r="IJ350">
        <f>IF(IE350&lt;IF350,$A350,B_MAX+1)</f>
        <v>267</v>
      </c>
      <c r="IK350" s="13">
        <f>IF(IB350=1,$IB$35,$IB$36)</f>
        <v>0</v>
      </c>
      <c r="IL350" s="13">
        <f>OCC_DAYS*$IB$41*R_NF_2023-ID350*MCD_SHARE_FREED*R_WAIT_2023</f>
        <v>151980.48282209205</v>
      </c>
      <c r="IM350">
        <f>IF($A350&lt;=$IB$45,1,0)</f>
        <v>0</v>
      </c>
      <c r="JB350">
        <f>IF($JB$31&lt;=$JB$32,IF($A350&lt;=$JB$7,1,2),IF($A350&lt;=RUNG_BEDS_2,2,1))</f>
        <v>1</v>
      </c>
      <c r="JC350" s="5">
        <f>MIN(1,MAX(0,$JB$26-($A350-1)))</f>
        <v>0</v>
      </c>
      <c r="JD350" s="5">
        <f>$JB$25*(JC350+(1-JC350)*$JB$16)</f>
        <v>0.0</v>
      </c>
      <c r="JE350" s="13">
        <f>JD350*($JB$6+ACUTE_MARGIN)</f>
        <v>0.0</v>
      </c>
      <c r="JF350" s="13">
        <f>IF(JB350=1,$JB$31,$JB$32)</f>
        <v>152394.16214437486</v>
      </c>
      <c r="JG350" s="13">
        <f>JE350-JF350</f>
        <v>-152394.16214437486</v>
      </c>
      <c r="JH350" s="13">
        <f>JH349+JG350</f>
        <v>-2460270.664275752</v>
      </c>
      <c r="JI350">
        <f>IF(JH350=MAX($JH$83:$JH$483),$A350,0)</f>
        <v>0</v>
      </c>
      <c r="JJ350">
        <f>IF(JE350&lt;JF350,$A350,B_MAX+1)</f>
        <v>267</v>
      </c>
      <c r="JK350" s="13">
        <f>IF(JB350=1,$JB$35,$JB$36)</f>
        <v>0</v>
      </c>
      <c r="JL350" s="13">
        <f>OCC_DAYS*$JB$41*R_NF_2023-JD350*MCD_SHARE_FREED*R_WAIT_2023</f>
        <v>151980.48282209205</v>
      </c>
      <c r="JM350">
        <f>IF($A350&lt;=$JB$45,1,0)</f>
        <v>0</v>
      </c>
      <c r="KB350">
        <f>IF($KB$31&lt;=$KB$32,IF($A350&lt;=$KB$7,1,2),IF($A350&lt;=RUNG_BEDS_2,2,1))</f>
        <v>1</v>
      </c>
      <c r="KC350" s="5">
        <f>MIN(1,MAX(0,$KB$26-($A350-1)))</f>
        <v>1</v>
      </c>
      <c r="KD350" s="5">
        <f>$KB$25*(KC350+(1-KC350)*$KB$16)</f>
        <v>126.02661357340719</v>
      </c>
      <c r="KE350" s="13">
        <f>KD350*($KB$6+ACUTE_MARGIN)</f>
        <v>127286.87970914126</v>
      </c>
      <c r="KF350" s="13">
        <f>IF(KB350=1,$KB$31,$KB$32)</f>
        <v>152394.16214437486</v>
      </c>
      <c r="KG350" s="13">
        <f>KE350-KF350</f>
        <v>-25107.282435233603</v>
      </c>
      <c r="KH350" s="13">
        <f>KH349+KG350</f>
        <v>-6703644.4102073945</v>
      </c>
      <c r="KI350">
        <f>IF(KH350=MAX($KH$83:$KH$483),$A350,0)</f>
        <v>0</v>
      </c>
      <c r="KJ350">
        <f>IF(KE350&lt;KF350,$A350,B_MAX+1)</f>
        <v>267</v>
      </c>
      <c r="KK350" s="13">
        <f>IF(KB350=1,$KB$35,$KB$36)</f>
        <v>0</v>
      </c>
      <c r="KL350" s="13">
        <f>OCC_DAYS*$KB$41*R_NF_2023-KD350*MCD_SHARE_FREED*R_WAIT_2023</f>
        <v>94673.82103225985</v>
      </c>
      <c r="KM350">
        <f>IF($A350&lt;=$KB$45,1,0)</f>
        <v>0</v>
      </c>
      <c r="LB350">
        <f>IF($LB$31&lt;=$LB$32,IF($A350&lt;=$LB$7,1,2),IF($A350&lt;=RUNG_BEDS_2,2,1))</f>
        <v>1</v>
      </c>
      <c r="LC350" s="5">
        <f>MIN(1,MAX(0,$LB$26-($A350-1)))</f>
        <v>1</v>
      </c>
      <c r="LD350" s="5">
        <f>$LB$25*(LC350+(1-LC350)*$LB$16)</f>
        <v>84.01774238227146</v>
      </c>
      <c r="LE350" s="13">
        <f>LD350*($LB$6+ACUTE_MARGIN)</f>
        <v>84857.91980609419</v>
      </c>
      <c r="LF350" s="13">
        <f>IF(LB350=1,$LB$31,$LB$32)</f>
        <v>152394.16214437486</v>
      </c>
      <c r="LG350" s="13">
        <f>LE350-LF350</f>
        <v>-67536.24233828067</v>
      </c>
      <c r="LH350" s="13">
        <f>LH349+LG350</f>
        <v>-18032176.70432103</v>
      </c>
      <c r="LI350">
        <f>IF(LH350=MAX($LH$83:$LH$483),$A350,0)</f>
        <v>0</v>
      </c>
      <c r="LJ350">
        <f>IF(LE350&lt;LF350,$A350,B_MAX+1)</f>
        <v>267</v>
      </c>
      <c r="LK350" s="13">
        <f>IF(LB350=1,$LB$35,$LB$36)</f>
        <v>0</v>
      </c>
      <c r="LL350" s="13">
        <f>OCC_DAYS*$LB$41*R_NF_2023-LD350*MCD_SHARE_FREED*R_WAIT_2023</f>
        <v>113776.04162887059</v>
      </c>
      <c r="LM350">
        <f>IF($A350&lt;=$LB$45,1,0)</f>
        <v>0</v>
      </c>
      <c r="MB350">
        <f>IF($MB$31&lt;=$MB$32,IF($A350&lt;=$MB$7,1,2),IF($A350&lt;=RUNG_BEDS_2,2,1))</f>
        <v>1</v>
      </c>
      <c r="MC350" s="5">
        <f>MIN(1,MAX(0,$MB$26-($A350-1)))</f>
        <v>0</v>
      </c>
      <c r="MD350" s="5">
        <f>$MB$25*(MC350+(1-MC350)*$MB$16)</f>
        <v>0.0</v>
      </c>
      <c r="ME350" s="13">
        <f>MD350*($MB$6+ACUTE_MARGIN)</f>
        <v>0.0</v>
      </c>
      <c r="MF350" s="13">
        <f>IF(MB350=1,$MB$31,$MB$32)</f>
        <v>152394.16214437486</v>
      </c>
      <c r="MG350" s="13">
        <f>ME350-MF350</f>
        <v>-152394.16214437486</v>
      </c>
      <c r="MH350" s="13">
        <f>MH349+MG350</f>
        <v>-8347546.726074087</v>
      </c>
      <c r="MI350">
        <f>IF(MH350=MAX($MH$83:$MH$483),$A350,0)</f>
        <v>0</v>
      </c>
      <c r="MJ350">
        <f>IF(ME350&lt;MF350,$A350,B_MAX+1)</f>
        <v>267</v>
      </c>
      <c r="MK350" s="13">
        <f>IF(MB350=1,$MB$35,$MB$36)</f>
        <v>0</v>
      </c>
      <c r="ML350" s="13">
        <f>OCC_DAYS*$MB$41*R_NF_2023-MD350*MCD_SHARE_FREED*R_WAIT_2023</f>
        <v>151980.48282209205</v>
      </c>
      <c r="MM350">
        <f>IF($A350&lt;=$MB$45,1,0)</f>
        <v>0</v>
      </c>
      <c r="NB350">
        <f>IF($NB$31&lt;=$NB$32,IF($A350&lt;=$NB$7,1,2),IF($A350&lt;=RUNG_BEDS_2,2,1))</f>
        <v>1</v>
      </c>
      <c r="NC350" s="5">
        <f>MIN(1,MAX(0,$NB$26-($A350-1)))</f>
        <v>0</v>
      </c>
      <c r="ND350" s="5">
        <f>$NB$25*(NC350+(1-NC350)*$NB$16)</f>
        <v>63.013306786703595</v>
      </c>
      <c r="NE350" s="13">
        <f>ND350*($NB$6+ACUTE_MARGIN)</f>
        <v>63643.43985457063</v>
      </c>
      <c r="NF350" s="13">
        <f>IF(NB350=1,$NB$31,$NB$32)</f>
        <v>152394.16214437486</v>
      </c>
      <c r="NG350" s="13">
        <f>NE350-NF350</f>
        <v>-88750.72228980422</v>
      </c>
      <c r="NH350" s="13">
        <f>NH349+NG350</f>
        <v>4975285.119826499</v>
      </c>
      <c r="NI350">
        <f>IF(NH350=MAX($NH$83:$NH$483),$A350,0)</f>
        <v>0</v>
      </c>
      <c r="NJ350">
        <f>IF(NE350&lt;NF350,$A350,B_MAX+1)</f>
        <v>267</v>
      </c>
      <c r="NK350" s="13">
        <f>IF(NB350=1,$NB$35,$NB$36)</f>
        <v>0</v>
      </c>
      <c r="NL350" s="13">
        <f>OCC_DAYS*$NB$41*R_NF_2023-ND350*MCD_SHARE_FREED*R_WAIT_2023</f>
        <v>123327.15192717595</v>
      </c>
      <c r="NM350">
        <f>IF($A350&lt;=$NB$45,1,0)</f>
        <v>0</v>
      </c>
      <c r="OB350">
        <f>IF($OB$31&lt;=$OB$32,IF($A350&lt;=$OB$7,1,2),IF($A350&lt;=RUNG_BEDS_2,2,1))</f>
        <v>1</v>
      </c>
      <c r="OC350" s="5">
        <f>MIN(1,MAX(0,$OB$26-($A350-1)))</f>
        <v>0</v>
      </c>
      <c r="OD350" s="5">
        <f>$OB$25*(OC350+(1-OC350)*$OB$16)</f>
        <v>126.02661357340719</v>
      </c>
      <c r="OE350" s="13">
        <f>OD350*($OB$6+ACUTE_MARGIN)</f>
        <v>127286.87970914126</v>
      </c>
      <c r="OF350" s="13">
        <f>IF(OB350=1,$OB$31,$OB$32)</f>
        <v>152394.16214437486</v>
      </c>
      <c r="OG350" s="13">
        <f>OE350-OF350</f>
        <v>-25107.282435233603</v>
      </c>
      <c r="OH350" s="13">
        <f>OH349+OG350</f>
        <v>12410840.903928908</v>
      </c>
      <c r="OI350">
        <f>IF(OH350=MAX($OH$83:$OH$483),$A350,0)</f>
        <v>0</v>
      </c>
      <c r="OJ350">
        <f>IF(OE350&lt;OF350,$A350,B_MAX+1)</f>
        <v>267</v>
      </c>
      <c r="OK350" s="13">
        <f>IF(OB350=1,$OB$35,$OB$36)</f>
        <v>0</v>
      </c>
      <c r="OL350" s="13">
        <f>OCC_DAYS*$OB$41*R_NF_2023-OD350*MCD_SHARE_FREED*R_WAIT_2023</f>
        <v>94673.82103225985</v>
      </c>
      <c r="OM350">
        <f>IF($A350&lt;=$OB$45,1,0)</f>
        <v>0</v>
      </c>
    </row>
    <row r="351">
      <c r="A351" t="n">
        <v>268</v>
      </c>
      <c r="B351">
        <f>IF($B$31&lt;=$B$32,IF($A351&lt;=$B$7,1,2),IF($A351&lt;=RUNG_BEDS_2,2,1))</f>
        <v>1</v>
      </c>
      <c r="C351" s="5">
        <f>MIN(1,MAX(0,$B$26-($A351-1)))</f>
        <v>0</v>
      </c>
      <c r="D351" s="5">
        <f>$B$25*(C351+(1-C351)*$B$16)</f>
        <v>0.0</v>
      </c>
      <c r="E351" s="13">
        <f>D351*($B$6+ACUTE_MARGIN)</f>
        <v>0.0</v>
      </c>
      <c r="F351" s="13">
        <f>IF(B351=1,$B$31,$B$32)</f>
        <v>152394.16214437486</v>
      </c>
      <c r="G351" s="13">
        <f>E351-F351</f>
        <v>-152394.16214437486</v>
      </c>
      <c r="H351" s="13">
        <f>H350+G351</f>
        <v>-2612664.826420127</v>
      </c>
      <c r="I351">
        <f>IF(H351=MAX($H$83:$H$483),$A351,0)</f>
        <v>0</v>
      </c>
      <c r="J351">
        <f>IF(E351&lt;F351,$A351,B_MAX+1)</f>
        <v>268</v>
      </c>
      <c r="K351" s="13">
        <f>IF(B351=1,$B$35,$B$36)</f>
        <v>0</v>
      </c>
      <c r="L351" s="13">
        <f>OCC_DAYS*$B$41*R_NF_2023-D351*MCD_SHARE_FREED*R_WAIT_2023</f>
        <v>151980.48282209205</v>
      </c>
      <c r="M351">
        <f>IF($A351&lt;=$B$45,1,0)</f>
        <v>0</v>
      </c>
      <c r="AB351">
        <f>IF($AB$31&lt;=$AB$32,IF($A351&lt;=$AB$7,1,2),IF($A351&lt;=RUNG_BEDS_2,2,1))</f>
        <v>1</v>
      </c>
      <c r="AC351" s="5">
        <f>MIN(1,MAX(0,$AB$26-($A351-1)))</f>
        <v>0</v>
      </c>
      <c r="AD351" s="5">
        <f>$AB$25*(AC351+(1-AC351)*$AB$16)</f>
        <v>0.0</v>
      </c>
      <c r="AE351" s="13">
        <f>AD351*($AB$6+ACUTE_MARGIN)</f>
        <v>0.0</v>
      </c>
      <c r="AF351" s="13">
        <f>IF(AB351=1,$AB$31,$AB$32)</f>
        <v>152394.16214437486</v>
      </c>
      <c r="AG351" s="13">
        <f>AE351-AF351</f>
        <v>-152394.16214437486</v>
      </c>
      <c r="AH351" s="13">
        <f>AH350+AG351</f>
        <v>-20023879.171969898</v>
      </c>
      <c r="AI351">
        <f>IF(AH351=MAX($AH$83:$AH$483),$A351,0)</f>
        <v>0</v>
      </c>
      <c r="AJ351">
        <f>IF(AE351&lt;AF351,$A351,B_MAX+1)</f>
        <v>268</v>
      </c>
      <c r="AK351" s="13">
        <f>IF(AB351=1,$AB$35,$AB$36)</f>
        <v>0</v>
      </c>
      <c r="AL351" s="13">
        <f>OCC_DAYS*$AB$41*R_NF_2023-AD351*MCD_SHARE_FREED*R_WAIT_2023</f>
        <v>151980.48282209205</v>
      </c>
      <c r="AM351">
        <f>IF($A351&lt;=$AB$45,1,0)</f>
        <v>0</v>
      </c>
      <c r="BB351">
        <f>IF($BB$31&lt;=$BB$32,IF($A351&lt;=$BB$7,1,2),IF($A351&lt;=RUNG_BEDS_2,2,1))</f>
        <v>1</v>
      </c>
      <c r="BC351" s="5">
        <f>MIN(1,MAX(0,$BB$26-($A351-1)))</f>
        <v>0</v>
      </c>
      <c r="BD351" s="5">
        <f>$BB$25*(BC351+(1-BC351)*$BB$16)</f>
        <v>0.0</v>
      </c>
      <c r="BE351" s="13">
        <f>BD351*($BB$6+ACUTE_MARGIN)</f>
        <v>0.0</v>
      </c>
      <c r="BF351" s="13">
        <f>IF(BB351=1,$BB$31,$BB$32)</f>
        <v>152394.16214437486</v>
      </c>
      <c r="BG351" s="13">
        <f>BE351-BF351</f>
        <v>-152394.16214437486</v>
      </c>
      <c r="BH351" s="13">
        <f>BH350+BG351</f>
        <v>14798549.519129597</v>
      </c>
      <c r="BI351">
        <f>IF(BH351=MAX($BH$83:$BH$483),$A351,0)</f>
        <v>0</v>
      </c>
      <c r="BJ351">
        <f>IF(BE351&lt;BF351,$A351,B_MAX+1)</f>
        <v>268</v>
      </c>
      <c r="BK351" s="13">
        <f>IF(BB351=1,$BB$35,$BB$36)</f>
        <v>0</v>
      </c>
      <c r="BL351" s="13">
        <f>OCC_DAYS*$BB$41*R_NF_2023-BD351*MCD_SHARE_FREED*R_WAIT_2023</f>
        <v>151980.48282209205</v>
      </c>
      <c r="BM351">
        <f>IF($A351&lt;=$BB$45,1,0)</f>
        <v>0</v>
      </c>
      <c r="CB351">
        <f>IF($CB$31&lt;=$CB$32,IF($A351&lt;=$CB$7,1,2),IF($A351&lt;=RUNG_BEDS_2,2,1))</f>
        <v>2</v>
      </c>
      <c r="CC351" s="5">
        <f>MIN(1,MAX(0,$CB$26-($A351-1)))</f>
        <v>0</v>
      </c>
      <c r="CD351" s="5">
        <f>$CB$25*(CC351+(1-CC351)*$CB$16)</f>
        <v>0.0</v>
      </c>
      <c r="CE351" s="13">
        <f>CD351*($CB$6+ACUTE_MARGIN)</f>
        <v>0.0</v>
      </c>
      <c r="CF351" s="13">
        <f>IF(CB351=1,$CB$31,$CB$32)</f>
        <v>160718.36940738867</v>
      </c>
      <c r="CG351" s="13">
        <f>CE351-CF351</f>
        <v>-160718.36940738867</v>
      </c>
      <c r="CH351" s="13">
        <f>CH350+CG351</f>
        <v>-4843552.372907943</v>
      </c>
      <c r="CI351">
        <f>IF(CH351=MAX($CH$83:$CH$483),$A351,0)</f>
        <v>0</v>
      </c>
      <c r="CJ351">
        <f>IF(CE351&lt;CF351,$A351,B_MAX+1)</f>
        <v>268</v>
      </c>
      <c r="CK351" s="13">
        <f>IF(CB351=1,$CB$35,$CB$36)</f>
        <v>1560.1194073886782</v>
      </c>
      <c r="CL351" s="13">
        <f>OCC_DAYS*$CB$41*R_NF_2023-CD351*MCD_SHARE_FREED*R_WAIT_2023</f>
        <v>151980.48282209205</v>
      </c>
      <c r="CM351">
        <f>IF($A351&lt;=$CB$45,1,0)</f>
        <v>0</v>
      </c>
      <c r="DB351">
        <f>IF($DB$31&lt;=$DB$32,IF($A351&lt;=$DB$7,1,2),IF($A351&lt;=RUNG_BEDS_2,2,1))</f>
        <v>1</v>
      </c>
      <c r="DC351" s="5">
        <f>MIN(1,MAX(0,$DB$26-($A351-1)))</f>
        <v>0</v>
      </c>
      <c r="DD351" s="5">
        <f>$DB$25*(DC351+(1-DC351)*$DB$16)</f>
        <v>0.0</v>
      </c>
      <c r="DE351" s="13">
        <f>DD351*($DB$6+ACUTE_MARGIN)</f>
        <v>0.0</v>
      </c>
      <c r="DF351" s="13">
        <f>IF(DB351=1,$DB$31,$DB$32)</f>
        <v>152394.16214437486</v>
      </c>
      <c r="DG351" s="13">
        <f>DE351-DF351</f>
        <v>-152394.16214437486</v>
      </c>
      <c r="DH351" s="13">
        <f>DH350+DG351</f>
        <v>-2612664.826420127</v>
      </c>
      <c r="DI351">
        <f>IF(DH351=MAX($DH$83:$DH$483),$A351,0)</f>
        <v>0</v>
      </c>
      <c r="DJ351">
        <f>IF(DE351&lt;DF351,$A351,B_MAX+1)</f>
        <v>268</v>
      </c>
      <c r="DK351" s="13">
        <f>IF(DB351=1,$DB$35,$DB$36)</f>
        <v>0</v>
      </c>
      <c r="DL351" s="13">
        <f>OCC_DAYS*$DB$41*R_NF_2023-DD351*MCD_SHARE_FREED*R_WAIT_2023</f>
        <v>151980.48282209205</v>
      </c>
      <c r="DM351">
        <f>IF($A351&lt;=$DB$45,1,0)</f>
        <v>0</v>
      </c>
      <c r="EB351">
        <f>IF($EB$31&lt;=$EB$32,IF($A351&lt;=$EB$7,1,2),IF($A351&lt;=RUNG_BEDS_2,2,1))</f>
        <v>1</v>
      </c>
      <c r="EC351" s="5">
        <f>MIN(1,MAX(0,$EB$26-($A351-1)))</f>
        <v>0</v>
      </c>
      <c r="ED351" s="5">
        <f>$EB$25*(EC351+(1-EC351)*$EB$16)</f>
        <v>0.0</v>
      </c>
      <c r="EE351" s="13">
        <f>ED351*($EB$6+ACUTE_MARGIN)</f>
        <v>0.0</v>
      </c>
      <c r="EF351" s="13">
        <f>IF(EB351=1,$EB$31,$EB$32)</f>
        <v>152394.16214437486</v>
      </c>
      <c r="EG351" s="13">
        <f>EE351-EF351</f>
        <v>-152394.16214437486</v>
      </c>
      <c r="EH351" s="13">
        <f>EH350+EG351</f>
        <v>-2612664.826420127</v>
      </c>
      <c r="EI351">
        <f>IF(EH351=MAX($EH$83:$EH$483),$A351,0)</f>
        <v>0</v>
      </c>
      <c r="EJ351">
        <f>IF(EE351&lt;EF351,$A351,B_MAX+1)</f>
        <v>268</v>
      </c>
      <c r="EK351" s="13">
        <f>IF(EB351=1,$EB$35,$EB$36)</f>
        <v>0</v>
      </c>
      <c r="EL351" s="13">
        <f>OCC_DAYS*$EB$41*R_NF_2023-ED351*MCD_SHARE_FREED*R_WAIT_2023</f>
        <v>50660.16094069735</v>
      </c>
      <c r="EM351">
        <f>IF($A351&lt;=$EB$45,1,0)</f>
        <v>0</v>
      </c>
      <c r="FB351">
        <f>IF($FB$31&lt;=$FB$32,IF($A351&lt;=$FB$7,1,2),IF($A351&lt;=RUNG_BEDS_2,2,1))</f>
        <v>1</v>
      </c>
      <c r="FC351" s="5">
        <f>MIN(1,MAX(0,$FB$26-($A351-1)))</f>
        <v>0</v>
      </c>
      <c r="FD351" s="5">
        <f>$FB$25*(FC351+(1-FC351)*$FB$16)</f>
        <v>0.0</v>
      </c>
      <c r="FE351" s="13">
        <f>FD351*($FB$6+ACUTE_MARGIN)</f>
        <v>0.0</v>
      </c>
      <c r="FF351" s="13">
        <f>IF(FB351=1,$FB$31,$FB$32)</f>
        <v>156636.04979437485</v>
      </c>
      <c r="FG351" s="13">
        <f>FE351-FF351</f>
        <v>-156636.04979437485</v>
      </c>
      <c r="FH351" s="13">
        <f>FH350+FG351</f>
        <v>-3749490.716620242</v>
      </c>
      <c r="FI351">
        <f>IF(FH351=MAX($FH$83:$FH$483),$A351,0)</f>
        <v>0</v>
      </c>
      <c r="FJ351">
        <f>IF(FE351&lt;FF351,$A351,B_MAX+1)</f>
        <v>268</v>
      </c>
      <c r="FK351" s="13">
        <f>IF(FB351=1,$FB$35,$FB$36)</f>
        <v>0</v>
      </c>
      <c r="FL351" s="13">
        <f>OCC_DAYS*$FB$41*R_NF_2023-FD351*MCD_SHARE_FREED*R_WAIT_2023</f>
        <v>151980.48282209205</v>
      </c>
      <c r="FM351">
        <f>IF($A351&lt;=$FB$45,1,0)</f>
        <v>0</v>
      </c>
      <c r="GB351">
        <f>IF($GB$31&lt;=$GB$32,IF($A351&lt;=$GB$7,1,2),IF($A351&lt;=RUNG_BEDS_2,2,1))</f>
        <v>1</v>
      </c>
      <c r="GC351" s="5">
        <f>MIN(1,MAX(0,$GB$26-($A351-1)))</f>
        <v>0</v>
      </c>
      <c r="GD351" s="5">
        <f>$GB$25*(GC351+(1-GC351)*$GB$16)</f>
        <v>0.0</v>
      </c>
      <c r="GE351" s="13">
        <f>GD351*($GB$6+ACUTE_MARGIN)</f>
        <v>0.0</v>
      </c>
      <c r="GF351" s="13">
        <f>IF(GB351=1,$GB$31,$GB$32)</f>
        <v>152394.16214437486</v>
      </c>
      <c r="GG351" s="13">
        <f>GE351-GF351</f>
        <v>-152394.16214437486</v>
      </c>
      <c r="GH351" s="13">
        <f>GH350+GG351</f>
        <v>-2612664.826420127</v>
      </c>
      <c r="GI351">
        <f>IF(GH351=MAX($GH$83:$GH$483),$A351,0)</f>
        <v>0</v>
      </c>
      <c r="GJ351">
        <f>IF(GE351&lt;GF351,$A351,B_MAX+1)</f>
        <v>268</v>
      </c>
      <c r="GK351" s="13">
        <f>IF(GB351=1,$GB$35,$GB$36)</f>
        <v>0</v>
      </c>
      <c r="GL351" s="13">
        <f>OCC_DAYS*$GB$41*R_NF_2023-GD351*MCD_SHARE_FREED*R_WAIT_2023</f>
        <v>151980.48282209205</v>
      </c>
      <c r="GM351">
        <f>IF($A351&lt;=$GB$45,1,0)</f>
        <v>0</v>
      </c>
      <c r="HB351">
        <f>IF($HB$31&lt;=$HB$32,IF($A351&lt;=$HB$7,1,2),IF($A351&lt;=RUNG_BEDS_2,2,1))</f>
        <v>1</v>
      </c>
      <c r="HC351" s="5">
        <f>MIN(1,MAX(0,$HB$26-($A351-1)))</f>
        <v>0</v>
      </c>
      <c r="HD351" s="5">
        <f>$HB$25*(HC351+(1-HC351)*$HB$16)</f>
        <v>0.0</v>
      </c>
      <c r="HE351" s="13">
        <f>HD351*($HB$6+ACUTE_MARGIN)</f>
        <v>0.0</v>
      </c>
      <c r="HF351" s="13">
        <f>IF(HB351=1,$HB$31,$HB$32)</f>
        <v>152456.2970814058</v>
      </c>
      <c r="HG351" s="13">
        <f>HE351-HF351</f>
        <v>-152456.2970814058</v>
      </c>
      <c r="HH351" s="13">
        <f>HH350+HG351</f>
        <v>-2629316.9895444578</v>
      </c>
      <c r="HI351">
        <f>IF(HH351=MAX($HH$83:$HH$483),$A351,0)</f>
        <v>0</v>
      </c>
      <c r="HJ351">
        <f>IF(HE351&lt;HF351,$A351,B_MAX+1)</f>
        <v>268</v>
      </c>
      <c r="HK351" s="13">
        <f>IF(HB351=1,$HB$35,$HB$36)</f>
        <v>0</v>
      </c>
      <c r="HL351" s="13">
        <f>OCC_DAYS*$HB$41*R_NF_2023-HD351*MCD_SHARE_FREED*R_WAIT_2023</f>
        <v>151980.48282209205</v>
      </c>
      <c r="HM351">
        <f>IF($A351&lt;=$HB$45,1,0)</f>
        <v>0</v>
      </c>
      <c r="IB351">
        <f>IF($IB$31&lt;=$IB$32,IF($A351&lt;=$IB$7,1,2),IF($A351&lt;=RUNG_BEDS_2,2,1))</f>
        <v>1</v>
      </c>
      <c r="IC351" s="5">
        <f>MIN(1,MAX(0,$IB$26-($A351-1)))</f>
        <v>0</v>
      </c>
      <c r="ID351" s="5">
        <f>$IB$25*(IC351+(1-IC351)*$IB$16)</f>
        <v>0.0</v>
      </c>
      <c r="IE351" s="13">
        <f>ID351*($IB$6+ACUTE_MARGIN)</f>
        <v>0.0</v>
      </c>
      <c r="IF351" s="13">
        <f>IF(IB351=1,$IB$31,$IB$32)</f>
        <v>152734.9994534971</v>
      </c>
      <c r="IG351" s="13">
        <f>IE351-IF351</f>
        <v>-152734.9994534971</v>
      </c>
      <c r="IH351" s="13">
        <f>IH350+IG351</f>
        <v>-2704009.22526498</v>
      </c>
      <c r="II351">
        <f>IF(IH351=MAX($IH$83:$IH$483),$A351,0)</f>
        <v>0</v>
      </c>
      <c r="IJ351">
        <f>IF(IE351&lt;IF351,$A351,B_MAX+1)</f>
        <v>268</v>
      </c>
      <c r="IK351" s="13">
        <f>IF(IB351=1,$IB$35,$IB$36)</f>
        <v>0</v>
      </c>
      <c r="IL351" s="13">
        <f>OCC_DAYS*$IB$41*R_NF_2023-ID351*MCD_SHARE_FREED*R_WAIT_2023</f>
        <v>151980.48282209205</v>
      </c>
      <c r="IM351">
        <f>IF($A351&lt;=$IB$45,1,0)</f>
        <v>0</v>
      </c>
      <c r="JB351">
        <f>IF($JB$31&lt;=$JB$32,IF($A351&lt;=$JB$7,1,2),IF($A351&lt;=RUNG_BEDS_2,2,1))</f>
        <v>1</v>
      </c>
      <c r="JC351" s="5">
        <f>MIN(1,MAX(0,$JB$26-($A351-1)))</f>
        <v>0</v>
      </c>
      <c r="JD351" s="5">
        <f>$JB$25*(JC351+(1-JC351)*$JB$16)</f>
        <v>0.0</v>
      </c>
      <c r="JE351" s="13">
        <f>JD351*($JB$6+ACUTE_MARGIN)</f>
        <v>0.0</v>
      </c>
      <c r="JF351" s="13">
        <f>IF(JB351=1,$JB$31,$JB$32)</f>
        <v>152394.16214437486</v>
      </c>
      <c r="JG351" s="13">
        <f>JE351-JF351</f>
        <v>-152394.16214437486</v>
      </c>
      <c r="JH351" s="13">
        <f>JH350+JG351</f>
        <v>-2612664.826420127</v>
      </c>
      <c r="JI351">
        <f>IF(JH351=MAX($JH$83:$JH$483),$A351,0)</f>
        <v>0</v>
      </c>
      <c r="JJ351">
        <f>IF(JE351&lt;JF351,$A351,B_MAX+1)</f>
        <v>268</v>
      </c>
      <c r="JK351" s="13">
        <f>IF(JB351=1,$JB$35,$JB$36)</f>
        <v>0</v>
      </c>
      <c r="JL351" s="13">
        <f>OCC_DAYS*$JB$41*R_NF_2023-JD351*MCD_SHARE_FREED*R_WAIT_2023</f>
        <v>151980.48282209205</v>
      </c>
      <c r="JM351">
        <f>IF($A351&lt;=$JB$45,1,0)</f>
        <v>0</v>
      </c>
      <c r="KB351">
        <f>IF($KB$31&lt;=$KB$32,IF($A351&lt;=$KB$7,1,2),IF($A351&lt;=RUNG_BEDS_2,2,1))</f>
        <v>1</v>
      </c>
      <c r="KC351" s="5">
        <f>MIN(1,MAX(0,$KB$26-($A351-1)))</f>
        <v>1</v>
      </c>
      <c r="KD351" s="5">
        <f>$KB$25*(KC351+(1-KC351)*$KB$16)</f>
        <v>126.02661357340719</v>
      </c>
      <c r="KE351" s="13">
        <f>KD351*($KB$6+ACUTE_MARGIN)</f>
        <v>127286.87970914126</v>
      </c>
      <c r="KF351" s="13">
        <f>IF(KB351=1,$KB$31,$KB$32)</f>
        <v>152394.16214437486</v>
      </c>
      <c r="KG351" s="13">
        <f>KE351-KF351</f>
        <v>-25107.282435233603</v>
      </c>
      <c r="KH351" s="13">
        <f>KH350+KG351</f>
        <v>-6728751.692642628</v>
      </c>
      <c r="KI351">
        <f>IF(KH351=MAX($KH$83:$KH$483),$A351,0)</f>
        <v>0</v>
      </c>
      <c r="KJ351">
        <f>IF(KE351&lt;KF351,$A351,B_MAX+1)</f>
        <v>268</v>
      </c>
      <c r="KK351" s="13">
        <f>IF(KB351=1,$KB$35,$KB$36)</f>
        <v>0</v>
      </c>
      <c r="KL351" s="13">
        <f>OCC_DAYS*$KB$41*R_NF_2023-KD351*MCD_SHARE_FREED*R_WAIT_2023</f>
        <v>94673.82103225985</v>
      </c>
      <c r="KM351">
        <f>IF($A351&lt;=$KB$45,1,0)</f>
        <v>0</v>
      </c>
      <c r="LB351">
        <f>IF($LB$31&lt;=$LB$32,IF($A351&lt;=$LB$7,1,2),IF($A351&lt;=RUNG_BEDS_2,2,1))</f>
        <v>1</v>
      </c>
      <c r="LC351" s="5">
        <f>MIN(1,MAX(0,$LB$26-($A351-1)))</f>
        <v>1</v>
      </c>
      <c r="LD351" s="5">
        <f>$LB$25*(LC351+(1-LC351)*$LB$16)</f>
        <v>84.01774238227146</v>
      </c>
      <c r="LE351" s="13">
        <f>LD351*($LB$6+ACUTE_MARGIN)</f>
        <v>84857.91980609419</v>
      </c>
      <c r="LF351" s="13">
        <f>IF(LB351=1,$LB$31,$LB$32)</f>
        <v>152394.16214437486</v>
      </c>
      <c r="LG351" s="13">
        <f>LE351-LF351</f>
        <v>-67536.24233828067</v>
      </c>
      <c r="LH351" s="13">
        <f>LH350+LG351</f>
        <v>-18099712.94665931</v>
      </c>
      <c r="LI351">
        <f>IF(LH351=MAX($LH$83:$LH$483),$A351,0)</f>
        <v>0</v>
      </c>
      <c r="LJ351">
        <f>IF(LE351&lt;LF351,$A351,B_MAX+1)</f>
        <v>268</v>
      </c>
      <c r="LK351" s="13">
        <f>IF(LB351=1,$LB$35,$LB$36)</f>
        <v>0</v>
      </c>
      <c r="LL351" s="13">
        <f>OCC_DAYS*$LB$41*R_NF_2023-LD351*MCD_SHARE_FREED*R_WAIT_2023</f>
        <v>113776.04162887059</v>
      </c>
      <c r="LM351">
        <f>IF($A351&lt;=$LB$45,1,0)</f>
        <v>0</v>
      </c>
      <c r="MB351">
        <f>IF($MB$31&lt;=$MB$32,IF($A351&lt;=$MB$7,1,2),IF($A351&lt;=RUNG_BEDS_2,2,1))</f>
        <v>1</v>
      </c>
      <c r="MC351" s="5">
        <f>MIN(1,MAX(0,$MB$26-($A351-1)))</f>
        <v>0</v>
      </c>
      <c r="MD351" s="5">
        <f>$MB$25*(MC351+(1-MC351)*$MB$16)</f>
        <v>0.0</v>
      </c>
      <c r="ME351" s="13">
        <f>MD351*($MB$6+ACUTE_MARGIN)</f>
        <v>0.0</v>
      </c>
      <c r="MF351" s="13">
        <f>IF(MB351=1,$MB$31,$MB$32)</f>
        <v>152394.16214437486</v>
      </c>
      <c r="MG351" s="13">
        <f>ME351-MF351</f>
        <v>-152394.16214437486</v>
      </c>
      <c r="MH351" s="13">
        <f>MH350+MG351</f>
        <v>-8499940.888218462</v>
      </c>
      <c r="MI351">
        <f>IF(MH351=MAX($MH$83:$MH$483),$A351,0)</f>
        <v>0</v>
      </c>
      <c r="MJ351">
        <f>IF(ME351&lt;MF351,$A351,B_MAX+1)</f>
        <v>268</v>
      </c>
      <c r="MK351" s="13">
        <f>IF(MB351=1,$MB$35,$MB$36)</f>
        <v>0</v>
      </c>
      <c r="ML351" s="13">
        <f>OCC_DAYS*$MB$41*R_NF_2023-MD351*MCD_SHARE_FREED*R_WAIT_2023</f>
        <v>151980.48282209205</v>
      </c>
      <c r="MM351">
        <f>IF($A351&lt;=$MB$45,1,0)</f>
        <v>0</v>
      </c>
      <c r="NB351">
        <f>IF($NB$31&lt;=$NB$32,IF($A351&lt;=$NB$7,1,2),IF($A351&lt;=RUNG_BEDS_2,2,1))</f>
        <v>1</v>
      </c>
      <c r="NC351" s="5">
        <f>MIN(1,MAX(0,$NB$26-($A351-1)))</f>
        <v>0</v>
      </c>
      <c r="ND351" s="5">
        <f>$NB$25*(NC351+(1-NC351)*$NB$16)</f>
        <v>63.013306786703595</v>
      </c>
      <c r="NE351" s="13">
        <f>ND351*($NB$6+ACUTE_MARGIN)</f>
        <v>63643.43985457063</v>
      </c>
      <c r="NF351" s="13">
        <f>IF(NB351=1,$NB$31,$NB$32)</f>
        <v>152394.16214437486</v>
      </c>
      <c r="NG351" s="13">
        <f>NE351-NF351</f>
        <v>-88750.72228980422</v>
      </c>
      <c r="NH351" s="13">
        <f>NH350+NG351</f>
        <v>4886534.397536695</v>
      </c>
      <c r="NI351">
        <f>IF(NH351=MAX($NH$83:$NH$483),$A351,0)</f>
        <v>0</v>
      </c>
      <c r="NJ351">
        <f>IF(NE351&lt;NF351,$A351,B_MAX+1)</f>
        <v>268</v>
      </c>
      <c r="NK351" s="13">
        <f>IF(NB351=1,$NB$35,$NB$36)</f>
        <v>0</v>
      </c>
      <c r="NL351" s="13">
        <f>OCC_DAYS*$NB$41*R_NF_2023-ND351*MCD_SHARE_FREED*R_WAIT_2023</f>
        <v>123327.15192717595</v>
      </c>
      <c r="NM351">
        <f>IF($A351&lt;=$NB$45,1,0)</f>
        <v>0</v>
      </c>
      <c r="OB351">
        <f>IF($OB$31&lt;=$OB$32,IF($A351&lt;=$OB$7,1,2),IF($A351&lt;=RUNG_BEDS_2,2,1))</f>
        <v>1</v>
      </c>
      <c r="OC351" s="5">
        <f>MIN(1,MAX(0,$OB$26-($A351-1)))</f>
        <v>0</v>
      </c>
      <c r="OD351" s="5">
        <f>$OB$25*(OC351+(1-OC351)*$OB$16)</f>
        <v>126.02661357340719</v>
      </c>
      <c r="OE351" s="13">
        <f>OD351*($OB$6+ACUTE_MARGIN)</f>
        <v>127286.87970914126</v>
      </c>
      <c r="OF351" s="13">
        <f>IF(OB351=1,$OB$31,$OB$32)</f>
        <v>152394.16214437486</v>
      </c>
      <c r="OG351" s="13">
        <f>OE351-OF351</f>
        <v>-25107.282435233603</v>
      </c>
      <c r="OH351" s="13">
        <f>OH350+OG351</f>
        <v>12385733.621493675</v>
      </c>
      <c r="OI351">
        <f>IF(OH351=MAX($OH$83:$OH$483),$A351,0)</f>
        <v>0</v>
      </c>
      <c r="OJ351">
        <f>IF(OE351&lt;OF351,$A351,B_MAX+1)</f>
        <v>268</v>
      </c>
      <c r="OK351" s="13">
        <f>IF(OB351=1,$OB$35,$OB$36)</f>
        <v>0</v>
      </c>
      <c r="OL351" s="13">
        <f>OCC_DAYS*$OB$41*R_NF_2023-OD351*MCD_SHARE_FREED*R_WAIT_2023</f>
        <v>94673.82103225985</v>
      </c>
      <c r="OM351">
        <f>IF($A351&lt;=$OB$45,1,0)</f>
        <v>0</v>
      </c>
    </row>
    <row r="352">
      <c r="A352" t="n">
        <v>269</v>
      </c>
      <c r="B352">
        <f>IF($B$31&lt;=$B$32,IF($A352&lt;=$B$7,1,2),IF($A352&lt;=RUNG_BEDS_2,2,1))</f>
        <v>1</v>
      </c>
      <c r="C352" s="5">
        <f>MIN(1,MAX(0,$B$26-($A352-1)))</f>
        <v>0</v>
      </c>
      <c r="D352" s="5">
        <f>$B$25*(C352+(1-C352)*$B$16)</f>
        <v>0.0</v>
      </c>
      <c r="E352" s="13">
        <f>D352*($B$6+ACUTE_MARGIN)</f>
        <v>0.0</v>
      </c>
      <c r="F352" s="13">
        <f>IF(B352=1,$B$31,$B$32)</f>
        <v>152394.16214437486</v>
      </c>
      <c r="G352" s="13">
        <f>E352-F352</f>
        <v>-152394.16214437486</v>
      </c>
      <c r="H352" s="13">
        <f>H351+G352</f>
        <v>-2765058.988564502</v>
      </c>
      <c r="I352">
        <f>IF(H352=MAX($H$83:$H$483),$A352,0)</f>
        <v>0</v>
      </c>
      <c r="J352">
        <f>IF(E352&lt;F352,$A352,B_MAX+1)</f>
        <v>269</v>
      </c>
      <c r="K352" s="13">
        <f>IF(B352=1,$B$35,$B$36)</f>
        <v>0</v>
      </c>
      <c r="L352" s="13">
        <f>OCC_DAYS*$B$41*R_NF_2023-D352*MCD_SHARE_FREED*R_WAIT_2023</f>
        <v>151980.48282209205</v>
      </c>
      <c r="M352">
        <f>IF($A352&lt;=$B$45,1,0)</f>
        <v>0</v>
      </c>
      <c r="AB352">
        <f>IF($AB$31&lt;=$AB$32,IF($A352&lt;=$AB$7,1,2),IF($A352&lt;=RUNG_BEDS_2,2,1))</f>
        <v>1</v>
      </c>
      <c r="AC352" s="5">
        <f>MIN(1,MAX(0,$AB$26-($A352-1)))</f>
        <v>0</v>
      </c>
      <c r="AD352" s="5">
        <f>$AB$25*(AC352+(1-AC352)*$AB$16)</f>
        <v>0.0</v>
      </c>
      <c r="AE352" s="13">
        <f>AD352*($AB$6+ACUTE_MARGIN)</f>
        <v>0.0</v>
      </c>
      <c r="AF352" s="13">
        <f>IF(AB352=1,$AB$31,$AB$32)</f>
        <v>152394.16214437486</v>
      </c>
      <c r="AG352" s="13">
        <f>AE352-AF352</f>
        <v>-152394.16214437486</v>
      </c>
      <c r="AH352" s="13">
        <f>AH351+AG352</f>
        <v>-20176273.334114272</v>
      </c>
      <c r="AI352">
        <f>IF(AH352=MAX($AH$83:$AH$483),$A352,0)</f>
        <v>0</v>
      </c>
      <c r="AJ352">
        <f>IF(AE352&lt;AF352,$A352,B_MAX+1)</f>
        <v>269</v>
      </c>
      <c r="AK352" s="13">
        <f>IF(AB352=1,$AB$35,$AB$36)</f>
        <v>0</v>
      </c>
      <c r="AL352" s="13">
        <f>OCC_DAYS*$AB$41*R_NF_2023-AD352*MCD_SHARE_FREED*R_WAIT_2023</f>
        <v>151980.48282209205</v>
      </c>
      <c r="AM352">
        <f>IF($A352&lt;=$AB$45,1,0)</f>
        <v>0</v>
      </c>
      <c r="BB352">
        <f>IF($BB$31&lt;=$BB$32,IF($A352&lt;=$BB$7,1,2),IF($A352&lt;=RUNG_BEDS_2,2,1))</f>
        <v>1</v>
      </c>
      <c r="BC352" s="5">
        <f>MIN(1,MAX(0,$BB$26-($A352-1)))</f>
        <v>0</v>
      </c>
      <c r="BD352" s="5">
        <f>$BB$25*(BC352+(1-BC352)*$BB$16)</f>
        <v>0.0</v>
      </c>
      <c r="BE352" s="13">
        <f>BD352*($BB$6+ACUTE_MARGIN)</f>
        <v>0.0</v>
      </c>
      <c r="BF352" s="13">
        <f>IF(BB352=1,$BB$31,$BB$32)</f>
        <v>152394.16214437486</v>
      </c>
      <c r="BG352" s="13">
        <f>BE352-BF352</f>
        <v>-152394.16214437486</v>
      </c>
      <c r="BH352" s="13">
        <f>BH351+BG352</f>
        <v>14646155.356985223</v>
      </c>
      <c r="BI352">
        <f>IF(BH352=MAX($BH$83:$BH$483),$A352,0)</f>
        <v>0</v>
      </c>
      <c r="BJ352">
        <f>IF(BE352&lt;BF352,$A352,B_MAX+1)</f>
        <v>269</v>
      </c>
      <c r="BK352" s="13">
        <f>IF(BB352=1,$BB$35,$BB$36)</f>
        <v>0</v>
      </c>
      <c r="BL352" s="13">
        <f>OCC_DAYS*$BB$41*R_NF_2023-BD352*MCD_SHARE_FREED*R_WAIT_2023</f>
        <v>151980.48282209205</v>
      </c>
      <c r="BM352">
        <f>IF($A352&lt;=$BB$45,1,0)</f>
        <v>0</v>
      </c>
      <c r="CB352">
        <f>IF($CB$31&lt;=$CB$32,IF($A352&lt;=$CB$7,1,2),IF($A352&lt;=RUNG_BEDS_2,2,1))</f>
        <v>2</v>
      </c>
      <c r="CC352" s="5">
        <f>MIN(1,MAX(0,$CB$26-($A352-1)))</f>
        <v>0</v>
      </c>
      <c r="CD352" s="5">
        <f>$CB$25*(CC352+(1-CC352)*$CB$16)</f>
        <v>0.0</v>
      </c>
      <c r="CE352" s="13">
        <f>CD352*($CB$6+ACUTE_MARGIN)</f>
        <v>0.0</v>
      </c>
      <c r="CF352" s="13">
        <f>IF(CB352=1,$CB$31,$CB$32)</f>
        <v>160718.36940738867</v>
      </c>
      <c r="CG352" s="13">
        <f>CE352-CF352</f>
        <v>-160718.36940738867</v>
      </c>
      <c r="CH352" s="13">
        <f>CH351+CG352</f>
        <v>-5004270.7423153315</v>
      </c>
      <c r="CI352">
        <f>IF(CH352=MAX($CH$83:$CH$483),$A352,0)</f>
        <v>0</v>
      </c>
      <c r="CJ352">
        <f>IF(CE352&lt;CF352,$A352,B_MAX+1)</f>
        <v>269</v>
      </c>
      <c r="CK352" s="13">
        <f>IF(CB352=1,$CB$35,$CB$36)</f>
        <v>1560.1194073886782</v>
      </c>
      <c r="CL352" s="13">
        <f>OCC_DAYS*$CB$41*R_NF_2023-CD352*MCD_SHARE_FREED*R_WAIT_2023</f>
        <v>151980.48282209205</v>
      </c>
      <c r="CM352">
        <f>IF($A352&lt;=$CB$45,1,0)</f>
        <v>0</v>
      </c>
      <c r="DB352">
        <f>IF($DB$31&lt;=$DB$32,IF($A352&lt;=$DB$7,1,2),IF($A352&lt;=RUNG_BEDS_2,2,1))</f>
        <v>1</v>
      </c>
      <c r="DC352" s="5">
        <f>MIN(1,MAX(0,$DB$26-($A352-1)))</f>
        <v>0</v>
      </c>
      <c r="DD352" s="5">
        <f>$DB$25*(DC352+(1-DC352)*$DB$16)</f>
        <v>0.0</v>
      </c>
      <c r="DE352" s="13">
        <f>DD352*($DB$6+ACUTE_MARGIN)</f>
        <v>0.0</v>
      </c>
      <c r="DF352" s="13">
        <f>IF(DB352=1,$DB$31,$DB$32)</f>
        <v>152394.16214437486</v>
      </c>
      <c r="DG352" s="13">
        <f>DE352-DF352</f>
        <v>-152394.16214437486</v>
      </c>
      <c r="DH352" s="13">
        <f>DH351+DG352</f>
        <v>-2765058.988564502</v>
      </c>
      <c r="DI352">
        <f>IF(DH352=MAX($DH$83:$DH$483),$A352,0)</f>
        <v>0</v>
      </c>
      <c r="DJ352">
        <f>IF(DE352&lt;DF352,$A352,B_MAX+1)</f>
        <v>269</v>
      </c>
      <c r="DK352" s="13">
        <f>IF(DB352=1,$DB$35,$DB$36)</f>
        <v>0</v>
      </c>
      <c r="DL352" s="13">
        <f>OCC_DAYS*$DB$41*R_NF_2023-DD352*MCD_SHARE_FREED*R_WAIT_2023</f>
        <v>151980.48282209205</v>
      </c>
      <c r="DM352">
        <f>IF($A352&lt;=$DB$45,1,0)</f>
        <v>0</v>
      </c>
      <c r="EB352">
        <f>IF($EB$31&lt;=$EB$32,IF($A352&lt;=$EB$7,1,2),IF($A352&lt;=RUNG_BEDS_2,2,1))</f>
        <v>1</v>
      </c>
      <c r="EC352" s="5">
        <f>MIN(1,MAX(0,$EB$26-($A352-1)))</f>
        <v>0</v>
      </c>
      <c r="ED352" s="5">
        <f>$EB$25*(EC352+(1-EC352)*$EB$16)</f>
        <v>0.0</v>
      </c>
      <c r="EE352" s="13">
        <f>ED352*($EB$6+ACUTE_MARGIN)</f>
        <v>0.0</v>
      </c>
      <c r="EF352" s="13">
        <f>IF(EB352=1,$EB$31,$EB$32)</f>
        <v>152394.16214437486</v>
      </c>
      <c r="EG352" s="13">
        <f>EE352-EF352</f>
        <v>-152394.16214437486</v>
      </c>
      <c r="EH352" s="13">
        <f>EH351+EG352</f>
        <v>-2765058.988564502</v>
      </c>
      <c r="EI352">
        <f>IF(EH352=MAX($EH$83:$EH$483),$A352,0)</f>
        <v>0</v>
      </c>
      <c r="EJ352">
        <f>IF(EE352&lt;EF352,$A352,B_MAX+1)</f>
        <v>269</v>
      </c>
      <c r="EK352" s="13">
        <f>IF(EB352=1,$EB$35,$EB$36)</f>
        <v>0</v>
      </c>
      <c r="EL352" s="13">
        <f>OCC_DAYS*$EB$41*R_NF_2023-ED352*MCD_SHARE_FREED*R_WAIT_2023</f>
        <v>50660.16094069735</v>
      </c>
      <c r="EM352">
        <f>IF($A352&lt;=$EB$45,1,0)</f>
        <v>0</v>
      </c>
      <c r="FB352">
        <f>IF($FB$31&lt;=$FB$32,IF($A352&lt;=$FB$7,1,2),IF($A352&lt;=RUNG_BEDS_2,2,1))</f>
        <v>1</v>
      </c>
      <c r="FC352" s="5">
        <f>MIN(1,MAX(0,$FB$26-($A352-1)))</f>
        <v>0</v>
      </c>
      <c r="FD352" s="5">
        <f>$FB$25*(FC352+(1-FC352)*$FB$16)</f>
        <v>0.0</v>
      </c>
      <c r="FE352" s="13">
        <f>FD352*($FB$6+ACUTE_MARGIN)</f>
        <v>0.0</v>
      </c>
      <c r="FF352" s="13">
        <f>IF(FB352=1,$FB$31,$FB$32)</f>
        <v>156636.04979437485</v>
      </c>
      <c r="FG352" s="13">
        <f>FE352-FF352</f>
        <v>-156636.04979437485</v>
      </c>
      <c r="FH352" s="13">
        <f>FH351+FG352</f>
        <v>-3906126.766414617</v>
      </c>
      <c r="FI352">
        <f>IF(FH352=MAX($FH$83:$FH$483),$A352,0)</f>
        <v>0</v>
      </c>
      <c r="FJ352">
        <f>IF(FE352&lt;FF352,$A352,B_MAX+1)</f>
        <v>269</v>
      </c>
      <c r="FK352" s="13">
        <f>IF(FB352=1,$FB$35,$FB$36)</f>
        <v>0</v>
      </c>
      <c r="FL352" s="13">
        <f>OCC_DAYS*$FB$41*R_NF_2023-FD352*MCD_SHARE_FREED*R_WAIT_2023</f>
        <v>151980.48282209205</v>
      </c>
      <c r="FM352">
        <f>IF($A352&lt;=$FB$45,1,0)</f>
        <v>0</v>
      </c>
      <c r="GB352">
        <f>IF($GB$31&lt;=$GB$32,IF($A352&lt;=$GB$7,1,2),IF($A352&lt;=RUNG_BEDS_2,2,1))</f>
        <v>1</v>
      </c>
      <c r="GC352" s="5">
        <f>MIN(1,MAX(0,$GB$26-($A352-1)))</f>
        <v>0</v>
      </c>
      <c r="GD352" s="5">
        <f>$GB$25*(GC352+(1-GC352)*$GB$16)</f>
        <v>0.0</v>
      </c>
      <c r="GE352" s="13">
        <f>GD352*($GB$6+ACUTE_MARGIN)</f>
        <v>0.0</v>
      </c>
      <c r="GF352" s="13">
        <f>IF(GB352=1,$GB$31,$GB$32)</f>
        <v>152394.16214437486</v>
      </c>
      <c r="GG352" s="13">
        <f>GE352-GF352</f>
        <v>-152394.16214437486</v>
      </c>
      <c r="GH352" s="13">
        <f>GH351+GG352</f>
        <v>-2765058.988564502</v>
      </c>
      <c r="GI352">
        <f>IF(GH352=MAX($GH$83:$GH$483),$A352,0)</f>
        <v>0</v>
      </c>
      <c r="GJ352">
        <f>IF(GE352&lt;GF352,$A352,B_MAX+1)</f>
        <v>269</v>
      </c>
      <c r="GK352" s="13">
        <f>IF(GB352=1,$GB$35,$GB$36)</f>
        <v>0</v>
      </c>
      <c r="GL352" s="13">
        <f>OCC_DAYS*$GB$41*R_NF_2023-GD352*MCD_SHARE_FREED*R_WAIT_2023</f>
        <v>151980.48282209205</v>
      </c>
      <c r="GM352">
        <f>IF($A352&lt;=$GB$45,1,0)</f>
        <v>0</v>
      </c>
      <c r="HB352">
        <f>IF($HB$31&lt;=$HB$32,IF($A352&lt;=$HB$7,1,2),IF($A352&lt;=RUNG_BEDS_2,2,1))</f>
        <v>1</v>
      </c>
      <c r="HC352" s="5">
        <f>MIN(1,MAX(0,$HB$26-($A352-1)))</f>
        <v>0</v>
      </c>
      <c r="HD352" s="5">
        <f>$HB$25*(HC352+(1-HC352)*$HB$16)</f>
        <v>0.0</v>
      </c>
      <c r="HE352" s="13">
        <f>HD352*($HB$6+ACUTE_MARGIN)</f>
        <v>0.0</v>
      </c>
      <c r="HF352" s="13">
        <f>IF(HB352=1,$HB$31,$HB$32)</f>
        <v>152456.2970814058</v>
      </c>
      <c r="HG352" s="13">
        <f>HE352-HF352</f>
        <v>-152456.2970814058</v>
      </c>
      <c r="HH352" s="13">
        <f>HH351+HG352</f>
        <v>-2781773.2866258635</v>
      </c>
      <c r="HI352">
        <f>IF(HH352=MAX($HH$83:$HH$483),$A352,0)</f>
        <v>0</v>
      </c>
      <c r="HJ352">
        <f>IF(HE352&lt;HF352,$A352,B_MAX+1)</f>
        <v>269</v>
      </c>
      <c r="HK352" s="13">
        <f>IF(HB352=1,$HB$35,$HB$36)</f>
        <v>0</v>
      </c>
      <c r="HL352" s="13">
        <f>OCC_DAYS*$HB$41*R_NF_2023-HD352*MCD_SHARE_FREED*R_WAIT_2023</f>
        <v>151980.48282209205</v>
      </c>
      <c r="HM352">
        <f>IF($A352&lt;=$HB$45,1,0)</f>
        <v>0</v>
      </c>
      <c r="IB352">
        <f>IF($IB$31&lt;=$IB$32,IF($A352&lt;=$IB$7,1,2),IF($A352&lt;=RUNG_BEDS_2,2,1))</f>
        <v>1</v>
      </c>
      <c r="IC352" s="5">
        <f>MIN(1,MAX(0,$IB$26-($A352-1)))</f>
        <v>0</v>
      </c>
      <c r="ID352" s="5">
        <f>$IB$25*(IC352+(1-IC352)*$IB$16)</f>
        <v>0.0</v>
      </c>
      <c r="IE352" s="13">
        <f>ID352*($IB$6+ACUTE_MARGIN)</f>
        <v>0.0</v>
      </c>
      <c r="IF352" s="13">
        <f>IF(IB352=1,$IB$31,$IB$32)</f>
        <v>152734.9994534971</v>
      </c>
      <c r="IG352" s="13">
        <f>IE352-IF352</f>
        <v>-152734.9994534971</v>
      </c>
      <c r="IH352" s="13">
        <f>IH351+IG352</f>
        <v>-2856744.224718477</v>
      </c>
      <c r="II352">
        <f>IF(IH352=MAX($IH$83:$IH$483),$A352,0)</f>
        <v>0</v>
      </c>
      <c r="IJ352">
        <f>IF(IE352&lt;IF352,$A352,B_MAX+1)</f>
        <v>269</v>
      </c>
      <c r="IK352" s="13">
        <f>IF(IB352=1,$IB$35,$IB$36)</f>
        <v>0</v>
      </c>
      <c r="IL352" s="13">
        <f>OCC_DAYS*$IB$41*R_NF_2023-ID352*MCD_SHARE_FREED*R_WAIT_2023</f>
        <v>151980.48282209205</v>
      </c>
      <c r="IM352">
        <f>IF($A352&lt;=$IB$45,1,0)</f>
        <v>0</v>
      </c>
      <c r="JB352">
        <f>IF($JB$31&lt;=$JB$32,IF($A352&lt;=$JB$7,1,2),IF($A352&lt;=RUNG_BEDS_2,2,1))</f>
        <v>1</v>
      </c>
      <c r="JC352" s="5">
        <f>MIN(1,MAX(0,$JB$26-($A352-1)))</f>
        <v>0</v>
      </c>
      <c r="JD352" s="5">
        <f>$JB$25*(JC352+(1-JC352)*$JB$16)</f>
        <v>0.0</v>
      </c>
      <c r="JE352" s="13">
        <f>JD352*($JB$6+ACUTE_MARGIN)</f>
        <v>0.0</v>
      </c>
      <c r="JF352" s="13">
        <f>IF(JB352=1,$JB$31,$JB$32)</f>
        <v>152394.16214437486</v>
      </c>
      <c r="JG352" s="13">
        <f>JE352-JF352</f>
        <v>-152394.16214437486</v>
      </c>
      <c r="JH352" s="13">
        <f>JH351+JG352</f>
        <v>-2765058.988564502</v>
      </c>
      <c r="JI352">
        <f>IF(JH352=MAX($JH$83:$JH$483),$A352,0)</f>
        <v>0</v>
      </c>
      <c r="JJ352">
        <f>IF(JE352&lt;JF352,$A352,B_MAX+1)</f>
        <v>269</v>
      </c>
      <c r="JK352" s="13">
        <f>IF(JB352=1,$JB$35,$JB$36)</f>
        <v>0</v>
      </c>
      <c r="JL352" s="13">
        <f>OCC_DAYS*$JB$41*R_NF_2023-JD352*MCD_SHARE_FREED*R_WAIT_2023</f>
        <v>151980.48282209205</v>
      </c>
      <c r="JM352">
        <f>IF($A352&lt;=$JB$45,1,0)</f>
        <v>0</v>
      </c>
      <c r="KB352">
        <f>IF($KB$31&lt;=$KB$32,IF($A352&lt;=$KB$7,1,2),IF($A352&lt;=RUNG_BEDS_2,2,1))</f>
        <v>1</v>
      </c>
      <c r="KC352" s="5">
        <f>MIN(1,MAX(0,$KB$26-($A352-1)))</f>
        <v>1</v>
      </c>
      <c r="KD352" s="5">
        <f>$KB$25*(KC352+(1-KC352)*$KB$16)</f>
        <v>126.02661357340719</v>
      </c>
      <c r="KE352" s="13">
        <f>KD352*($KB$6+ACUTE_MARGIN)</f>
        <v>127286.87970914126</v>
      </c>
      <c r="KF352" s="13">
        <f>IF(KB352=1,$KB$31,$KB$32)</f>
        <v>152394.16214437486</v>
      </c>
      <c r="KG352" s="13">
        <f>KE352-KF352</f>
        <v>-25107.282435233603</v>
      </c>
      <c r="KH352" s="13">
        <f>KH351+KG352</f>
        <v>-6753858.975077862</v>
      </c>
      <c r="KI352">
        <f>IF(KH352=MAX($KH$83:$KH$483),$A352,0)</f>
        <v>0</v>
      </c>
      <c r="KJ352">
        <f>IF(KE352&lt;KF352,$A352,B_MAX+1)</f>
        <v>269</v>
      </c>
      <c r="KK352" s="13">
        <f>IF(KB352=1,$KB$35,$KB$36)</f>
        <v>0</v>
      </c>
      <c r="KL352" s="13">
        <f>OCC_DAYS*$KB$41*R_NF_2023-KD352*MCD_SHARE_FREED*R_WAIT_2023</f>
        <v>94673.82103225985</v>
      </c>
      <c r="KM352">
        <f>IF($A352&lt;=$KB$45,1,0)</f>
        <v>0</v>
      </c>
      <c r="LB352">
        <f>IF($LB$31&lt;=$LB$32,IF($A352&lt;=$LB$7,1,2),IF($A352&lt;=RUNG_BEDS_2,2,1))</f>
        <v>1</v>
      </c>
      <c r="LC352" s="5">
        <f>MIN(1,MAX(0,$LB$26-($A352-1)))</f>
        <v>1</v>
      </c>
      <c r="LD352" s="5">
        <f>$LB$25*(LC352+(1-LC352)*$LB$16)</f>
        <v>84.01774238227146</v>
      </c>
      <c r="LE352" s="13">
        <f>LD352*($LB$6+ACUTE_MARGIN)</f>
        <v>84857.91980609419</v>
      </c>
      <c r="LF352" s="13">
        <f>IF(LB352=1,$LB$31,$LB$32)</f>
        <v>152394.16214437486</v>
      </c>
      <c r="LG352" s="13">
        <f>LE352-LF352</f>
        <v>-67536.24233828067</v>
      </c>
      <c r="LH352" s="13">
        <f>LH351+LG352</f>
        <v>-18167249.188997593</v>
      </c>
      <c r="LI352">
        <f>IF(LH352=MAX($LH$83:$LH$483),$A352,0)</f>
        <v>0</v>
      </c>
      <c r="LJ352">
        <f>IF(LE352&lt;LF352,$A352,B_MAX+1)</f>
        <v>269</v>
      </c>
      <c r="LK352" s="13">
        <f>IF(LB352=1,$LB$35,$LB$36)</f>
        <v>0</v>
      </c>
      <c r="LL352" s="13">
        <f>OCC_DAYS*$LB$41*R_NF_2023-LD352*MCD_SHARE_FREED*R_WAIT_2023</f>
        <v>113776.04162887059</v>
      </c>
      <c r="LM352">
        <f>IF($A352&lt;=$LB$45,1,0)</f>
        <v>0</v>
      </c>
      <c r="MB352">
        <f>IF($MB$31&lt;=$MB$32,IF($A352&lt;=$MB$7,1,2),IF($A352&lt;=RUNG_BEDS_2,2,1))</f>
        <v>1</v>
      </c>
      <c r="MC352" s="5">
        <f>MIN(1,MAX(0,$MB$26-($A352-1)))</f>
        <v>0</v>
      </c>
      <c r="MD352" s="5">
        <f>$MB$25*(MC352+(1-MC352)*$MB$16)</f>
        <v>0.0</v>
      </c>
      <c r="ME352" s="13">
        <f>MD352*($MB$6+ACUTE_MARGIN)</f>
        <v>0.0</v>
      </c>
      <c r="MF352" s="13">
        <f>IF(MB352=1,$MB$31,$MB$32)</f>
        <v>152394.16214437486</v>
      </c>
      <c r="MG352" s="13">
        <f>ME352-MF352</f>
        <v>-152394.16214437486</v>
      </c>
      <c r="MH352" s="13">
        <f>MH351+MG352</f>
        <v>-8652335.050362837</v>
      </c>
      <c r="MI352">
        <f>IF(MH352=MAX($MH$83:$MH$483),$A352,0)</f>
        <v>0</v>
      </c>
      <c r="MJ352">
        <f>IF(ME352&lt;MF352,$A352,B_MAX+1)</f>
        <v>269</v>
      </c>
      <c r="MK352" s="13">
        <f>IF(MB352=1,$MB$35,$MB$36)</f>
        <v>0</v>
      </c>
      <c r="ML352" s="13">
        <f>OCC_DAYS*$MB$41*R_NF_2023-MD352*MCD_SHARE_FREED*R_WAIT_2023</f>
        <v>151980.48282209205</v>
      </c>
      <c r="MM352">
        <f>IF($A352&lt;=$MB$45,1,0)</f>
        <v>0</v>
      </c>
      <c r="NB352">
        <f>IF($NB$31&lt;=$NB$32,IF($A352&lt;=$NB$7,1,2),IF($A352&lt;=RUNG_BEDS_2,2,1))</f>
        <v>1</v>
      </c>
      <c r="NC352" s="5">
        <f>MIN(1,MAX(0,$NB$26-($A352-1)))</f>
        <v>0</v>
      </c>
      <c r="ND352" s="5">
        <f>$NB$25*(NC352+(1-NC352)*$NB$16)</f>
        <v>63.013306786703595</v>
      </c>
      <c r="NE352" s="13">
        <f>ND352*($NB$6+ACUTE_MARGIN)</f>
        <v>63643.43985457063</v>
      </c>
      <c r="NF352" s="13">
        <f>IF(NB352=1,$NB$31,$NB$32)</f>
        <v>152394.16214437486</v>
      </c>
      <c r="NG352" s="13">
        <f>NE352-NF352</f>
        <v>-88750.72228980422</v>
      </c>
      <c r="NH352" s="13">
        <f>NH351+NG352</f>
        <v>4797783.675246891</v>
      </c>
      <c r="NI352">
        <f>IF(NH352=MAX($NH$83:$NH$483),$A352,0)</f>
        <v>0</v>
      </c>
      <c r="NJ352">
        <f>IF(NE352&lt;NF352,$A352,B_MAX+1)</f>
        <v>269</v>
      </c>
      <c r="NK352" s="13">
        <f>IF(NB352=1,$NB$35,$NB$36)</f>
        <v>0</v>
      </c>
      <c r="NL352" s="13">
        <f>OCC_DAYS*$NB$41*R_NF_2023-ND352*MCD_SHARE_FREED*R_WAIT_2023</f>
        <v>123327.15192717595</v>
      </c>
      <c r="NM352">
        <f>IF($A352&lt;=$NB$45,1,0)</f>
        <v>0</v>
      </c>
      <c r="OB352">
        <f>IF($OB$31&lt;=$OB$32,IF($A352&lt;=$OB$7,1,2),IF($A352&lt;=RUNG_BEDS_2,2,1))</f>
        <v>1</v>
      </c>
      <c r="OC352" s="5">
        <f>MIN(1,MAX(0,$OB$26-($A352-1)))</f>
        <v>0</v>
      </c>
      <c r="OD352" s="5">
        <f>$OB$25*(OC352+(1-OC352)*$OB$16)</f>
        <v>126.02661357340719</v>
      </c>
      <c r="OE352" s="13">
        <f>OD352*($OB$6+ACUTE_MARGIN)</f>
        <v>127286.87970914126</v>
      </c>
      <c r="OF352" s="13">
        <f>IF(OB352=1,$OB$31,$OB$32)</f>
        <v>152394.16214437486</v>
      </c>
      <c r="OG352" s="13">
        <f>OE352-OF352</f>
        <v>-25107.282435233603</v>
      </c>
      <c r="OH352" s="13">
        <f>OH351+OG352</f>
        <v>12360626.339058442</v>
      </c>
      <c r="OI352">
        <f>IF(OH352=MAX($OH$83:$OH$483),$A352,0)</f>
        <v>0</v>
      </c>
      <c r="OJ352">
        <f>IF(OE352&lt;OF352,$A352,B_MAX+1)</f>
        <v>269</v>
      </c>
      <c r="OK352" s="13">
        <f>IF(OB352=1,$OB$35,$OB$36)</f>
        <v>0</v>
      </c>
      <c r="OL352" s="13">
        <f>OCC_DAYS*$OB$41*R_NF_2023-OD352*MCD_SHARE_FREED*R_WAIT_2023</f>
        <v>94673.82103225985</v>
      </c>
      <c r="OM352">
        <f>IF($A352&lt;=$OB$45,1,0)</f>
        <v>0</v>
      </c>
    </row>
    <row r="353">
      <c r="A353" t="n">
        <v>270</v>
      </c>
      <c r="B353">
        <f>IF($B$31&lt;=$B$32,IF($A353&lt;=$B$7,1,2),IF($A353&lt;=RUNG_BEDS_2,2,1))</f>
        <v>1</v>
      </c>
      <c r="C353" s="5">
        <f>MIN(1,MAX(0,$B$26-($A353-1)))</f>
        <v>0</v>
      </c>
      <c r="D353" s="5">
        <f>$B$25*(C353+(1-C353)*$B$16)</f>
        <v>0.0</v>
      </c>
      <c r="E353" s="13">
        <f>D353*($B$6+ACUTE_MARGIN)</f>
        <v>0.0</v>
      </c>
      <c r="F353" s="13">
        <f>IF(B353=1,$B$31,$B$32)</f>
        <v>152394.16214437486</v>
      </c>
      <c r="G353" s="13">
        <f>E353-F353</f>
        <v>-152394.16214437486</v>
      </c>
      <c r="H353" s="13">
        <f>H352+G353</f>
        <v>-2917453.150708877</v>
      </c>
      <c r="I353">
        <f>IF(H353=MAX($H$83:$H$483),$A353,0)</f>
        <v>0</v>
      </c>
      <c r="J353">
        <f>IF(E353&lt;F353,$A353,B_MAX+1)</f>
        <v>270</v>
      </c>
      <c r="K353" s="13">
        <f>IF(B353=1,$B$35,$B$36)</f>
        <v>0</v>
      </c>
      <c r="L353" s="13">
        <f>OCC_DAYS*$B$41*R_NF_2023-D353*MCD_SHARE_FREED*R_WAIT_2023</f>
        <v>151980.48282209205</v>
      </c>
      <c r="M353">
        <f>IF($A353&lt;=$B$45,1,0)</f>
        <v>0</v>
      </c>
      <c r="AB353">
        <f>IF($AB$31&lt;=$AB$32,IF($A353&lt;=$AB$7,1,2),IF($A353&lt;=RUNG_BEDS_2,2,1))</f>
        <v>1</v>
      </c>
      <c r="AC353" s="5">
        <f>MIN(1,MAX(0,$AB$26-($A353-1)))</f>
        <v>0</v>
      </c>
      <c r="AD353" s="5">
        <f>$AB$25*(AC353+(1-AC353)*$AB$16)</f>
        <v>0.0</v>
      </c>
      <c r="AE353" s="13">
        <f>AD353*($AB$6+ACUTE_MARGIN)</f>
        <v>0.0</v>
      </c>
      <c r="AF353" s="13">
        <f>IF(AB353=1,$AB$31,$AB$32)</f>
        <v>152394.16214437486</v>
      </c>
      <c r="AG353" s="13">
        <f>AE353-AF353</f>
        <v>-152394.16214437486</v>
      </c>
      <c r="AH353" s="13">
        <f>AH352+AG353</f>
        <v>-20328667.496258646</v>
      </c>
      <c r="AI353">
        <f>IF(AH353=MAX($AH$83:$AH$483),$A353,0)</f>
        <v>0</v>
      </c>
      <c r="AJ353">
        <f>IF(AE353&lt;AF353,$A353,B_MAX+1)</f>
        <v>270</v>
      </c>
      <c r="AK353" s="13">
        <f>IF(AB353=1,$AB$35,$AB$36)</f>
        <v>0</v>
      </c>
      <c r="AL353" s="13">
        <f>OCC_DAYS*$AB$41*R_NF_2023-AD353*MCD_SHARE_FREED*R_WAIT_2023</f>
        <v>151980.48282209205</v>
      </c>
      <c r="AM353">
        <f>IF($A353&lt;=$AB$45,1,0)</f>
        <v>0</v>
      </c>
      <c r="BB353">
        <f>IF($BB$31&lt;=$BB$32,IF($A353&lt;=$BB$7,1,2),IF($A353&lt;=RUNG_BEDS_2,2,1))</f>
        <v>1</v>
      </c>
      <c r="BC353" s="5">
        <f>MIN(1,MAX(0,$BB$26-($A353-1)))</f>
        <v>0</v>
      </c>
      <c r="BD353" s="5">
        <f>$BB$25*(BC353+(1-BC353)*$BB$16)</f>
        <v>0.0</v>
      </c>
      <c r="BE353" s="13">
        <f>BD353*($BB$6+ACUTE_MARGIN)</f>
        <v>0.0</v>
      </c>
      <c r="BF353" s="13">
        <f>IF(BB353=1,$BB$31,$BB$32)</f>
        <v>152394.16214437486</v>
      </c>
      <c r="BG353" s="13">
        <f>BE353-BF353</f>
        <v>-152394.16214437486</v>
      </c>
      <c r="BH353" s="13">
        <f>BH352+BG353</f>
        <v>14493761.194840848</v>
      </c>
      <c r="BI353">
        <f>IF(BH353=MAX($BH$83:$BH$483),$A353,0)</f>
        <v>0</v>
      </c>
      <c r="BJ353">
        <f>IF(BE353&lt;BF353,$A353,B_MAX+1)</f>
        <v>270</v>
      </c>
      <c r="BK353" s="13">
        <f>IF(BB353=1,$BB$35,$BB$36)</f>
        <v>0</v>
      </c>
      <c r="BL353" s="13">
        <f>OCC_DAYS*$BB$41*R_NF_2023-BD353*MCD_SHARE_FREED*R_WAIT_2023</f>
        <v>151980.48282209205</v>
      </c>
      <c r="BM353">
        <f>IF($A353&lt;=$BB$45,1,0)</f>
        <v>0</v>
      </c>
      <c r="CB353">
        <f>IF($CB$31&lt;=$CB$32,IF($A353&lt;=$CB$7,1,2),IF($A353&lt;=RUNG_BEDS_2,2,1))</f>
        <v>2</v>
      </c>
      <c r="CC353" s="5">
        <f>MIN(1,MAX(0,$CB$26-($A353-1)))</f>
        <v>0</v>
      </c>
      <c r="CD353" s="5">
        <f>$CB$25*(CC353+(1-CC353)*$CB$16)</f>
        <v>0.0</v>
      </c>
      <c r="CE353" s="13">
        <f>CD353*($CB$6+ACUTE_MARGIN)</f>
        <v>0.0</v>
      </c>
      <c r="CF353" s="13">
        <f>IF(CB353=1,$CB$31,$CB$32)</f>
        <v>160718.36940738867</v>
      </c>
      <c r="CG353" s="13">
        <f>CE353-CF353</f>
        <v>-160718.36940738867</v>
      </c>
      <c r="CH353" s="13">
        <f>CH352+CG353</f>
        <v>-5164989.11172272</v>
      </c>
      <c r="CI353">
        <f>IF(CH353=MAX($CH$83:$CH$483),$A353,0)</f>
        <v>0</v>
      </c>
      <c r="CJ353">
        <f>IF(CE353&lt;CF353,$A353,B_MAX+1)</f>
        <v>270</v>
      </c>
      <c r="CK353" s="13">
        <f>IF(CB353=1,$CB$35,$CB$36)</f>
        <v>1560.1194073886782</v>
      </c>
      <c r="CL353" s="13">
        <f>OCC_DAYS*$CB$41*R_NF_2023-CD353*MCD_SHARE_FREED*R_WAIT_2023</f>
        <v>151980.48282209205</v>
      </c>
      <c r="CM353">
        <f>IF($A353&lt;=$CB$45,1,0)</f>
        <v>0</v>
      </c>
      <c r="DB353">
        <f>IF($DB$31&lt;=$DB$32,IF($A353&lt;=$DB$7,1,2),IF($A353&lt;=RUNG_BEDS_2,2,1))</f>
        <v>1</v>
      </c>
      <c r="DC353" s="5">
        <f>MIN(1,MAX(0,$DB$26-($A353-1)))</f>
        <v>0</v>
      </c>
      <c r="DD353" s="5">
        <f>$DB$25*(DC353+(1-DC353)*$DB$16)</f>
        <v>0.0</v>
      </c>
      <c r="DE353" s="13">
        <f>DD353*($DB$6+ACUTE_MARGIN)</f>
        <v>0.0</v>
      </c>
      <c r="DF353" s="13">
        <f>IF(DB353=1,$DB$31,$DB$32)</f>
        <v>152394.16214437486</v>
      </c>
      <c r="DG353" s="13">
        <f>DE353-DF353</f>
        <v>-152394.16214437486</v>
      </c>
      <c r="DH353" s="13">
        <f>DH352+DG353</f>
        <v>-2917453.150708877</v>
      </c>
      <c r="DI353">
        <f>IF(DH353=MAX($DH$83:$DH$483),$A353,0)</f>
        <v>0</v>
      </c>
      <c r="DJ353">
        <f>IF(DE353&lt;DF353,$A353,B_MAX+1)</f>
        <v>270</v>
      </c>
      <c r="DK353" s="13">
        <f>IF(DB353=1,$DB$35,$DB$36)</f>
        <v>0</v>
      </c>
      <c r="DL353" s="13">
        <f>OCC_DAYS*$DB$41*R_NF_2023-DD353*MCD_SHARE_FREED*R_WAIT_2023</f>
        <v>151980.48282209205</v>
      </c>
      <c r="DM353">
        <f>IF($A353&lt;=$DB$45,1,0)</f>
        <v>0</v>
      </c>
      <c r="EB353">
        <f>IF($EB$31&lt;=$EB$32,IF($A353&lt;=$EB$7,1,2),IF($A353&lt;=RUNG_BEDS_2,2,1))</f>
        <v>1</v>
      </c>
      <c r="EC353" s="5">
        <f>MIN(1,MAX(0,$EB$26-($A353-1)))</f>
        <v>0</v>
      </c>
      <c r="ED353" s="5">
        <f>$EB$25*(EC353+(1-EC353)*$EB$16)</f>
        <v>0.0</v>
      </c>
      <c r="EE353" s="13">
        <f>ED353*($EB$6+ACUTE_MARGIN)</f>
        <v>0.0</v>
      </c>
      <c r="EF353" s="13">
        <f>IF(EB353=1,$EB$31,$EB$32)</f>
        <v>152394.16214437486</v>
      </c>
      <c r="EG353" s="13">
        <f>EE353-EF353</f>
        <v>-152394.16214437486</v>
      </c>
      <c r="EH353" s="13">
        <f>EH352+EG353</f>
        <v>-2917453.150708877</v>
      </c>
      <c r="EI353">
        <f>IF(EH353=MAX($EH$83:$EH$483),$A353,0)</f>
        <v>0</v>
      </c>
      <c r="EJ353">
        <f>IF(EE353&lt;EF353,$A353,B_MAX+1)</f>
        <v>270</v>
      </c>
      <c r="EK353" s="13">
        <f>IF(EB353=1,$EB$35,$EB$36)</f>
        <v>0</v>
      </c>
      <c r="EL353" s="13">
        <f>OCC_DAYS*$EB$41*R_NF_2023-ED353*MCD_SHARE_FREED*R_WAIT_2023</f>
        <v>50660.16094069735</v>
      </c>
      <c r="EM353">
        <f>IF($A353&lt;=$EB$45,1,0)</f>
        <v>0</v>
      </c>
      <c r="FB353">
        <f>IF($FB$31&lt;=$FB$32,IF($A353&lt;=$FB$7,1,2),IF($A353&lt;=RUNG_BEDS_2,2,1))</f>
        <v>1</v>
      </c>
      <c r="FC353" s="5">
        <f>MIN(1,MAX(0,$FB$26-($A353-1)))</f>
        <v>0</v>
      </c>
      <c r="FD353" s="5">
        <f>$FB$25*(FC353+(1-FC353)*$FB$16)</f>
        <v>0.0</v>
      </c>
      <c r="FE353" s="13">
        <f>FD353*($FB$6+ACUTE_MARGIN)</f>
        <v>0.0</v>
      </c>
      <c r="FF353" s="13">
        <f>IF(FB353=1,$FB$31,$FB$32)</f>
        <v>156636.04979437485</v>
      </c>
      <c r="FG353" s="13">
        <f>FE353-FF353</f>
        <v>-156636.04979437485</v>
      </c>
      <c r="FH353" s="13">
        <f>FH352+FG353</f>
        <v>-4062762.816208992</v>
      </c>
      <c r="FI353">
        <f>IF(FH353=MAX($FH$83:$FH$483),$A353,0)</f>
        <v>0</v>
      </c>
      <c r="FJ353">
        <f>IF(FE353&lt;FF353,$A353,B_MAX+1)</f>
        <v>270</v>
      </c>
      <c r="FK353" s="13">
        <f>IF(FB353=1,$FB$35,$FB$36)</f>
        <v>0</v>
      </c>
      <c r="FL353" s="13">
        <f>OCC_DAYS*$FB$41*R_NF_2023-FD353*MCD_SHARE_FREED*R_WAIT_2023</f>
        <v>151980.48282209205</v>
      </c>
      <c r="FM353">
        <f>IF($A353&lt;=$FB$45,1,0)</f>
        <v>0</v>
      </c>
      <c r="GB353">
        <f>IF($GB$31&lt;=$GB$32,IF($A353&lt;=$GB$7,1,2),IF($A353&lt;=RUNG_BEDS_2,2,1))</f>
        <v>1</v>
      </c>
      <c r="GC353" s="5">
        <f>MIN(1,MAX(0,$GB$26-($A353-1)))</f>
        <v>0</v>
      </c>
      <c r="GD353" s="5">
        <f>$GB$25*(GC353+(1-GC353)*$GB$16)</f>
        <v>0.0</v>
      </c>
      <c r="GE353" s="13">
        <f>GD353*($GB$6+ACUTE_MARGIN)</f>
        <v>0.0</v>
      </c>
      <c r="GF353" s="13">
        <f>IF(GB353=1,$GB$31,$GB$32)</f>
        <v>152394.16214437486</v>
      </c>
      <c r="GG353" s="13">
        <f>GE353-GF353</f>
        <v>-152394.16214437486</v>
      </c>
      <c r="GH353" s="13">
        <f>GH352+GG353</f>
        <v>-2917453.150708877</v>
      </c>
      <c r="GI353">
        <f>IF(GH353=MAX($GH$83:$GH$483),$A353,0)</f>
        <v>0</v>
      </c>
      <c r="GJ353">
        <f>IF(GE353&lt;GF353,$A353,B_MAX+1)</f>
        <v>270</v>
      </c>
      <c r="GK353" s="13">
        <f>IF(GB353=1,$GB$35,$GB$36)</f>
        <v>0</v>
      </c>
      <c r="GL353" s="13">
        <f>OCC_DAYS*$GB$41*R_NF_2023-GD353*MCD_SHARE_FREED*R_WAIT_2023</f>
        <v>151980.48282209205</v>
      </c>
      <c r="GM353">
        <f>IF($A353&lt;=$GB$45,1,0)</f>
        <v>0</v>
      </c>
      <c r="HB353">
        <f>IF($HB$31&lt;=$HB$32,IF($A353&lt;=$HB$7,1,2),IF($A353&lt;=RUNG_BEDS_2,2,1))</f>
        <v>1</v>
      </c>
      <c r="HC353" s="5">
        <f>MIN(1,MAX(0,$HB$26-($A353-1)))</f>
        <v>0</v>
      </c>
      <c r="HD353" s="5">
        <f>$HB$25*(HC353+(1-HC353)*$HB$16)</f>
        <v>0.0</v>
      </c>
      <c r="HE353" s="13">
        <f>HD353*($HB$6+ACUTE_MARGIN)</f>
        <v>0.0</v>
      </c>
      <c r="HF353" s="13">
        <f>IF(HB353=1,$HB$31,$HB$32)</f>
        <v>152456.2970814058</v>
      </c>
      <c r="HG353" s="13">
        <f>HE353-HF353</f>
        <v>-152456.2970814058</v>
      </c>
      <c r="HH353" s="13">
        <f>HH352+HG353</f>
        <v>-2934229.5837072693</v>
      </c>
      <c r="HI353">
        <f>IF(HH353=MAX($HH$83:$HH$483),$A353,0)</f>
        <v>0</v>
      </c>
      <c r="HJ353">
        <f>IF(HE353&lt;HF353,$A353,B_MAX+1)</f>
        <v>270</v>
      </c>
      <c r="HK353" s="13">
        <f>IF(HB353=1,$HB$35,$HB$36)</f>
        <v>0</v>
      </c>
      <c r="HL353" s="13">
        <f>OCC_DAYS*$HB$41*R_NF_2023-HD353*MCD_SHARE_FREED*R_WAIT_2023</f>
        <v>151980.48282209205</v>
      </c>
      <c r="HM353">
        <f>IF($A353&lt;=$HB$45,1,0)</f>
        <v>0</v>
      </c>
      <c r="IB353">
        <f>IF($IB$31&lt;=$IB$32,IF($A353&lt;=$IB$7,1,2),IF($A353&lt;=RUNG_BEDS_2,2,1))</f>
        <v>1</v>
      </c>
      <c r="IC353" s="5">
        <f>MIN(1,MAX(0,$IB$26-($A353-1)))</f>
        <v>0</v>
      </c>
      <c r="ID353" s="5">
        <f>$IB$25*(IC353+(1-IC353)*$IB$16)</f>
        <v>0.0</v>
      </c>
      <c r="IE353" s="13">
        <f>ID353*($IB$6+ACUTE_MARGIN)</f>
        <v>0.0</v>
      </c>
      <c r="IF353" s="13">
        <f>IF(IB353=1,$IB$31,$IB$32)</f>
        <v>152734.9994534971</v>
      </c>
      <c r="IG353" s="13">
        <f>IE353-IF353</f>
        <v>-152734.9994534971</v>
      </c>
      <c r="IH353" s="13">
        <f>IH352+IG353</f>
        <v>-3009479.224171974</v>
      </c>
      <c r="II353">
        <f>IF(IH353=MAX($IH$83:$IH$483),$A353,0)</f>
        <v>0</v>
      </c>
      <c r="IJ353">
        <f>IF(IE353&lt;IF353,$A353,B_MAX+1)</f>
        <v>270</v>
      </c>
      <c r="IK353" s="13">
        <f>IF(IB353=1,$IB$35,$IB$36)</f>
        <v>0</v>
      </c>
      <c r="IL353" s="13">
        <f>OCC_DAYS*$IB$41*R_NF_2023-ID353*MCD_SHARE_FREED*R_WAIT_2023</f>
        <v>151980.48282209205</v>
      </c>
      <c r="IM353">
        <f>IF($A353&lt;=$IB$45,1,0)</f>
        <v>0</v>
      </c>
      <c r="JB353">
        <f>IF($JB$31&lt;=$JB$32,IF($A353&lt;=$JB$7,1,2),IF($A353&lt;=RUNG_BEDS_2,2,1))</f>
        <v>1</v>
      </c>
      <c r="JC353" s="5">
        <f>MIN(1,MAX(0,$JB$26-($A353-1)))</f>
        <v>0</v>
      </c>
      <c r="JD353" s="5">
        <f>$JB$25*(JC353+(1-JC353)*$JB$16)</f>
        <v>0.0</v>
      </c>
      <c r="JE353" s="13">
        <f>JD353*($JB$6+ACUTE_MARGIN)</f>
        <v>0.0</v>
      </c>
      <c r="JF353" s="13">
        <f>IF(JB353=1,$JB$31,$JB$32)</f>
        <v>152394.16214437486</v>
      </c>
      <c r="JG353" s="13">
        <f>JE353-JF353</f>
        <v>-152394.16214437486</v>
      </c>
      <c r="JH353" s="13">
        <f>JH352+JG353</f>
        <v>-2917453.150708877</v>
      </c>
      <c r="JI353">
        <f>IF(JH353=MAX($JH$83:$JH$483),$A353,0)</f>
        <v>0</v>
      </c>
      <c r="JJ353">
        <f>IF(JE353&lt;JF353,$A353,B_MAX+1)</f>
        <v>270</v>
      </c>
      <c r="JK353" s="13">
        <f>IF(JB353=1,$JB$35,$JB$36)</f>
        <v>0</v>
      </c>
      <c r="JL353" s="13">
        <f>OCC_DAYS*$JB$41*R_NF_2023-JD353*MCD_SHARE_FREED*R_WAIT_2023</f>
        <v>151980.48282209205</v>
      </c>
      <c r="JM353">
        <f>IF($A353&lt;=$JB$45,1,0)</f>
        <v>0</v>
      </c>
      <c r="KB353">
        <f>IF($KB$31&lt;=$KB$32,IF($A353&lt;=$KB$7,1,2),IF($A353&lt;=RUNG_BEDS_2,2,1))</f>
        <v>1</v>
      </c>
      <c r="KC353" s="5">
        <f>MIN(1,MAX(0,$KB$26-($A353-1)))</f>
        <v>1</v>
      </c>
      <c r="KD353" s="5">
        <f>$KB$25*(KC353+(1-KC353)*$KB$16)</f>
        <v>126.02661357340719</v>
      </c>
      <c r="KE353" s="13">
        <f>KD353*($KB$6+ACUTE_MARGIN)</f>
        <v>127286.87970914126</v>
      </c>
      <c r="KF353" s="13">
        <f>IF(KB353=1,$KB$31,$KB$32)</f>
        <v>152394.16214437486</v>
      </c>
      <c r="KG353" s="13">
        <f>KE353-KF353</f>
        <v>-25107.282435233603</v>
      </c>
      <c r="KH353" s="13">
        <f>KH352+KG353</f>
        <v>-6778966.257513096</v>
      </c>
      <c r="KI353">
        <f>IF(KH353=MAX($KH$83:$KH$483),$A353,0)</f>
        <v>0</v>
      </c>
      <c r="KJ353">
        <f>IF(KE353&lt;KF353,$A353,B_MAX+1)</f>
        <v>270</v>
      </c>
      <c r="KK353" s="13">
        <f>IF(KB353=1,$KB$35,$KB$36)</f>
        <v>0</v>
      </c>
      <c r="KL353" s="13">
        <f>OCC_DAYS*$KB$41*R_NF_2023-KD353*MCD_SHARE_FREED*R_WAIT_2023</f>
        <v>94673.82103225985</v>
      </c>
      <c r="KM353">
        <f>IF($A353&lt;=$KB$45,1,0)</f>
        <v>0</v>
      </c>
      <c r="LB353">
        <f>IF($LB$31&lt;=$LB$32,IF($A353&lt;=$LB$7,1,2),IF($A353&lt;=RUNG_BEDS_2,2,1))</f>
        <v>1</v>
      </c>
      <c r="LC353" s="5">
        <f>MIN(1,MAX(0,$LB$26-($A353-1)))</f>
        <v>1</v>
      </c>
      <c r="LD353" s="5">
        <f>$LB$25*(LC353+(1-LC353)*$LB$16)</f>
        <v>84.01774238227146</v>
      </c>
      <c r="LE353" s="13">
        <f>LD353*($LB$6+ACUTE_MARGIN)</f>
        <v>84857.91980609419</v>
      </c>
      <c r="LF353" s="13">
        <f>IF(LB353=1,$LB$31,$LB$32)</f>
        <v>152394.16214437486</v>
      </c>
      <c r="LG353" s="13">
        <f>LE353-LF353</f>
        <v>-67536.24233828067</v>
      </c>
      <c r="LH353" s="13">
        <f>LH352+LG353</f>
        <v>-18234785.431335874</v>
      </c>
      <c r="LI353">
        <f>IF(LH353=MAX($LH$83:$LH$483),$A353,0)</f>
        <v>0</v>
      </c>
      <c r="LJ353">
        <f>IF(LE353&lt;LF353,$A353,B_MAX+1)</f>
        <v>270</v>
      </c>
      <c r="LK353" s="13">
        <f>IF(LB353=1,$LB$35,$LB$36)</f>
        <v>0</v>
      </c>
      <c r="LL353" s="13">
        <f>OCC_DAYS*$LB$41*R_NF_2023-LD353*MCD_SHARE_FREED*R_WAIT_2023</f>
        <v>113776.04162887059</v>
      </c>
      <c r="LM353">
        <f>IF($A353&lt;=$LB$45,1,0)</f>
        <v>0</v>
      </c>
      <c r="MB353">
        <f>IF($MB$31&lt;=$MB$32,IF($A353&lt;=$MB$7,1,2),IF($A353&lt;=RUNG_BEDS_2,2,1))</f>
        <v>1</v>
      </c>
      <c r="MC353" s="5">
        <f>MIN(1,MAX(0,$MB$26-($A353-1)))</f>
        <v>0</v>
      </c>
      <c r="MD353" s="5">
        <f>$MB$25*(MC353+(1-MC353)*$MB$16)</f>
        <v>0.0</v>
      </c>
      <c r="ME353" s="13">
        <f>MD353*($MB$6+ACUTE_MARGIN)</f>
        <v>0.0</v>
      </c>
      <c r="MF353" s="13">
        <f>IF(MB353=1,$MB$31,$MB$32)</f>
        <v>152394.16214437486</v>
      </c>
      <c r="MG353" s="13">
        <f>ME353-MF353</f>
        <v>-152394.16214437486</v>
      </c>
      <c r="MH353" s="13">
        <f>MH352+MG353</f>
        <v>-8804729.21250721</v>
      </c>
      <c r="MI353">
        <f>IF(MH353=MAX($MH$83:$MH$483),$A353,0)</f>
        <v>0</v>
      </c>
      <c r="MJ353">
        <f>IF(ME353&lt;MF353,$A353,B_MAX+1)</f>
        <v>270</v>
      </c>
      <c r="MK353" s="13">
        <f>IF(MB353=1,$MB$35,$MB$36)</f>
        <v>0</v>
      </c>
      <c r="ML353" s="13">
        <f>OCC_DAYS*$MB$41*R_NF_2023-MD353*MCD_SHARE_FREED*R_WAIT_2023</f>
        <v>151980.48282209205</v>
      </c>
      <c r="MM353">
        <f>IF($A353&lt;=$MB$45,1,0)</f>
        <v>0</v>
      </c>
      <c r="NB353">
        <f>IF($NB$31&lt;=$NB$32,IF($A353&lt;=$NB$7,1,2),IF($A353&lt;=RUNG_BEDS_2,2,1))</f>
        <v>1</v>
      </c>
      <c r="NC353" s="5">
        <f>MIN(1,MAX(0,$NB$26-($A353-1)))</f>
        <v>0</v>
      </c>
      <c r="ND353" s="5">
        <f>$NB$25*(NC353+(1-NC353)*$NB$16)</f>
        <v>63.013306786703595</v>
      </c>
      <c r="NE353" s="13">
        <f>ND353*($NB$6+ACUTE_MARGIN)</f>
        <v>63643.43985457063</v>
      </c>
      <c r="NF353" s="13">
        <f>IF(NB353=1,$NB$31,$NB$32)</f>
        <v>152394.16214437486</v>
      </c>
      <c r="NG353" s="13">
        <f>NE353-NF353</f>
        <v>-88750.72228980422</v>
      </c>
      <c r="NH353" s="13">
        <f>NH352+NG353</f>
        <v>4709032.952957086</v>
      </c>
      <c r="NI353">
        <f>IF(NH353=MAX($NH$83:$NH$483),$A353,0)</f>
        <v>0</v>
      </c>
      <c r="NJ353">
        <f>IF(NE353&lt;NF353,$A353,B_MAX+1)</f>
        <v>270</v>
      </c>
      <c r="NK353" s="13">
        <f>IF(NB353=1,$NB$35,$NB$36)</f>
        <v>0</v>
      </c>
      <c r="NL353" s="13">
        <f>OCC_DAYS*$NB$41*R_NF_2023-ND353*MCD_SHARE_FREED*R_WAIT_2023</f>
        <v>123327.15192717595</v>
      </c>
      <c r="NM353">
        <f>IF($A353&lt;=$NB$45,1,0)</f>
        <v>0</v>
      </c>
      <c r="OB353">
        <f>IF($OB$31&lt;=$OB$32,IF($A353&lt;=$OB$7,1,2),IF($A353&lt;=RUNG_BEDS_2,2,1))</f>
        <v>1</v>
      </c>
      <c r="OC353" s="5">
        <f>MIN(1,MAX(0,$OB$26-($A353-1)))</f>
        <v>0</v>
      </c>
      <c r="OD353" s="5">
        <f>$OB$25*(OC353+(1-OC353)*$OB$16)</f>
        <v>126.02661357340719</v>
      </c>
      <c r="OE353" s="13">
        <f>OD353*($OB$6+ACUTE_MARGIN)</f>
        <v>127286.87970914126</v>
      </c>
      <c r="OF353" s="13">
        <f>IF(OB353=1,$OB$31,$OB$32)</f>
        <v>152394.16214437486</v>
      </c>
      <c r="OG353" s="13">
        <f>OE353-OF353</f>
        <v>-25107.282435233603</v>
      </c>
      <c r="OH353" s="13">
        <f>OH352+OG353</f>
        <v>12335519.05662321</v>
      </c>
      <c r="OI353">
        <f>IF(OH353=MAX($OH$83:$OH$483),$A353,0)</f>
        <v>0</v>
      </c>
      <c r="OJ353">
        <f>IF(OE353&lt;OF353,$A353,B_MAX+1)</f>
        <v>270</v>
      </c>
      <c r="OK353" s="13">
        <f>IF(OB353=1,$OB$35,$OB$36)</f>
        <v>0</v>
      </c>
      <c r="OL353" s="13">
        <f>OCC_DAYS*$OB$41*R_NF_2023-OD353*MCD_SHARE_FREED*R_WAIT_2023</f>
        <v>94673.82103225985</v>
      </c>
      <c r="OM353">
        <f>IF($A353&lt;=$OB$45,1,0)</f>
        <v>0</v>
      </c>
    </row>
    <row r="354">
      <c r="A354" t="n">
        <v>271</v>
      </c>
      <c r="B354">
        <f>IF($B$31&lt;=$B$32,IF($A354&lt;=$B$7,1,2),IF($A354&lt;=RUNG_BEDS_2,2,1))</f>
        <v>1</v>
      </c>
      <c r="C354" s="5">
        <f>MIN(1,MAX(0,$B$26-($A354-1)))</f>
        <v>0</v>
      </c>
      <c r="D354" s="5">
        <f>$B$25*(C354+(1-C354)*$B$16)</f>
        <v>0.0</v>
      </c>
      <c r="E354" s="13">
        <f>D354*($B$6+ACUTE_MARGIN)</f>
        <v>0.0</v>
      </c>
      <c r="F354" s="13">
        <f>IF(B354=1,$B$31,$B$32)</f>
        <v>152394.16214437486</v>
      </c>
      <c r="G354" s="13">
        <f>E354-F354</f>
        <v>-152394.16214437486</v>
      </c>
      <c r="H354" s="13">
        <f>H353+G354</f>
        <v>-3069847.312853252</v>
      </c>
      <c r="I354">
        <f>IF(H354=MAX($H$83:$H$483),$A354,0)</f>
        <v>0</v>
      </c>
      <c r="J354">
        <f>IF(E354&lt;F354,$A354,B_MAX+1)</f>
        <v>271</v>
      </c>
      <c r="K354" s="13">
        <f>IF(B354=1,$B$35,$B$36)</f>
        <v>0</v>
      </c>
      <c r="L354" s="13">
        <f>OCC_DAYS*$B$41*R_NF_2023-D354*MCD_SHARE_FREED*R_WAIT_2023</f>
        <v>151980.48282209205</v>
      </c>
      <c r="M354">
        <f>IF($A354&lt;=$B$45,1,0)</f>
        <v>0</v>
      </c>
      <c r="AB354">
        <f>IF($AB$31&lt;=$AB$32,IF($A354&lt;=$AB$7,1,2),IF($A354&lt;=RUNG_BEDS_2,2,1))</f>
        <v>1</v>
      </c>
      <c r="AC354" s="5">
        <f>MIN(1,MAX(0,$AB$26-($A354-1)))</f>
        <v>0</v>
      </c>
      <c r="AD354" s="5">
        <f>$AB$25*(AC354+(1-AC354)*$AB$16)</f>
        <v>0.0</v>
      </c>
      <c r="AE354" s="13">
        <f>AD354*($AB$6+ACUTE_MARGIN)</f>
        <v>0.0</v>
      </c>
      <c r="AF354" s="13">
        <f>IF(AB354=1,$AB$31,$AB$32)</f>
        <v>152394.16214437486</v>
      </c>
      <c r="AG354" s="13">
        <f>AE354-AF354</f>
        <v>-152394.16214437486</v>
      </c>
      <c r="AH354" s="13">
        <f>AH353+AG354</f>
        <v>-20481061.65840302</v>
      </c>
      <c r="AI354">
        <f>IF(AH354=MAX($AH$83:$AH$483),$A354,0)</f>
        <v>0</v>
      </c>
      <c r="AJ354">
        <f>IF(AE354&lt;AF354,$A354,B_MAX+1)</f>
        <v>271</v>
      </c>
      <c r="AK354" s="13">
        <f>IF(AB354=1,$AB$35,$AB$36)</f>
        <v>0</v>
      </c>
      <c r="AL354" s="13">
        <f>OCC_DAYS*$AB$41*R_NF_2023-AD354*MCD_SHARE_FREED*R_WAIT_2023</f>
        <v>151980.48282209205</v>
      </c>
      <c r="AM354">
        <f>IF($A354&lt;=$AB$45,1,0)</f>
        <v>0</v>
      </c>
      <c r="BB354">
        <f>IF($BB$31&lt;=$BB$32,IF($A354&lt;=$BB$7,1,2),IF($A354&lt;=RUNG_BEDS_2,2,1))</f>
        <v>1</v>
      </c>
      <c r="BC354" s="5">
        <f>MIN(1,MAX(0,$BB$26-($A354-1)))</f>
        <v>0</v>
      </c>
      <c r="BD354" s="5">
        <f>$BB$25*(BC354+(1-BC354)*$BB$16)</f>
        <v>0.0</v>
      </c>
      <c r="BE354" s="13">
        <f>BD354*($BB$6+ACUTE_MARGIN)</f>
        <v>0.0</v>
      </c>
      <c r="BF354" s="13">
        <f>IF(BB354=1,$BB$31,$BB$32)</f>
        <v>152394.16214437486</v>
      </c>
      <c r="BG354" s="13">
        <f>BE354-BF354</f>
        <v>-152394.16214437486</v>
      </c>
      <c r="BH354" s="13">
        <f>BH353+BG354</f>
        <v>14341367.032696474</v>
      </c>
      <c r="BI354">
        <f>IF(BH354=MAX($BH$83:$BH$483),$A354,0)</f>
        <v>0</v>
      </c>
      <c r="BJ354">
        <f>IF(BE354&lt;BF354,$A354,B_MAX+1)</f>
        <v>271</v>
      </c>
      <c r="BK354" s="13">
        <f>IF(BB354=1,$BB$35,$BB$36)</f>
        <v>0</v>
      </c>
      <c r="BL354" s="13">
        <f>OCC_DAYS*$BB$41*R_NF_2023-BD354*MCD_SHARE_FREED*R_WAIT_2023</f>
        <v>151980.48282209205</v>
      </c>
      <c r="BM354">
        <f>IF($A354&lt;=$BB$45,1,0)</f>
        <v>0</v>
      </c>
      <c r="CB354">
        <f>IF($CB$31&lt;=$CB$32,IF($A354&lt;=$CB$7,1,2),IF($A354&lt;=RUNG_BEDS_2,2,1))</f>
        <v>2</v>
      </c>
      <c r="CC354" s="5">
        <f>MIN(1,MAX(0,$CB$26-($A354-1)))</f>
        <v>0</v>
      </c>
      <c r="CD354" s="5">
        <f>$CB$25*(CC354+(1-CC354)*$CB$16)</f>
        <v>0.0</v>
      </c>
      <c r="CE354" s="13">
        <f>CD354*($CB$6+ACUTE_MARGIN)</f>
        <v>0.0</v>
      </c>
      <c r="CF354" s="13">
        <f>IF(CB354=1,$CB$31,$CB$32)</f>
        <v>160718.36940738867</v>
      </c>
      <c r="CG354" s="13">
        <f>CE354-CF354</f>
        <v>-160718.36940738867</v>
      </c>
      <c r="CH354" s="13">
        <f>CH353+CG354</f>
        <v>-5325707.481130108</v>
      </c>
      <c r="CI354">
        <f>IF(CH354=MAX($CH$83:$CH$483),$A354,0)</f>
        <v>0</v>
      </c>
      <c r="CJ354">
        <f>IF(CE354&lt;CF354,$A354,B_MAX+1)</f>
        <v>271</v>
      </c>
      <c r="CK354" s="13">
        <f>IF(CB354=1,$CB$35,$CB$36)</f>
        <v>1560.1194073886782</v>
      </c>
      <c r="CL354" s="13">
        <f>OCC_DAYS*$CB$41*R_NF_2023-CD354*MCD_SHARE_FREED*R_WAIT_2023</f>
        <v>151980.48282209205</v>
      </c>
      <c r="CM354">
        <f>IF($A354&lt;=$CB$45,1,0)</f>
        <v>0</v>
      </c>
      <c r="DB354">
        <f>IF($DB$31&lt;=$DB$32,IF($A354&lt;=$DB$7,1,2),IF($A354&lt;=RUNG_BEDS_2,2,1))</f>
        <v>1</v>
      </c>
      <c r="DC354" s="5">
        <f>MIN(1,MAX(0,$DB$26-($A354-1)))</f>
        <v>0</v>
      </c>
      <c r="DD354" s="5">
        <f>$DB$25*(DC354+(1-DC354)*$DB$16)</f>
        <v>0.0</v>
      </c>
      <c r="DE354" s="13">
        <f>DD354*($DB$6+ACUTE_MARGIN)</f>
        <v>0.0</v>
      </c>
      <c r="DF354" s="13">
        <f>IF(DB354=1,$DB$31,$DB$32)</f>
        <v>152394.16214437486</v>
      </c>
      <c r="DG354" s="13">
        <f>DE354-DF354</f>
        <v>-152394.16214437486</v>
      </c>
      <c r="DH354" s="13">
        <f>DH353+DG354</f>
        <v>-3069847.312853252</v>
      </c>
      <c r="DI354">
        <f>IF(DH354=MAX($DH$83:$DH$483),$A354,0)</f>
        <v>0</v>
      </c>
      <c r="DJ354">
        <f>IF(DE354&lt;DF354,$A354,B_MAX+1)</f>
        <v>271</v>
      </c>
      <c r="DK354" s="13">
        <f>IF(DB354=1,$DB$35,$DB$36)</f>
        <v>0</v>
      </c>
      <c r="DL354" s="13">
        <f>OCC_DAYS*$DB$41*R_NF_2023-DD354*MCD_SHARE_FREED*R_WAIT_2023</f>
        <v>151980.48282209205</v>
      </c>
      <c r="DM354">
        <f>IF($A354&lt;=$DB$45,1,0)</f>
        <v>0</v>
      </c>
      <c r="EB354">
        <f>IF($EB$31&lt;=$EB$32,IF($A354&lt;=$EB$7,1,2),IF($A354&lt;=RUNG_BEDS_2,2,1))</f>
        <v>1</v>
      </c>
      <c r="EC354" s="5">
        <f>MIN(1,MAX(0,$EB$26-($A354-1)))</f>
        <v>0</v>
      </c>
      <c r="ED354" s="5">
        <f>$EB$25*(EC354+(1-EC354)*$EB$16)</f>
        <v>0.0</v>
      </c>
      <c r="EE354" s="13">
        <f>ED354*($EB$6+ACUTE_MARGIN)</f>
        <v>0.0</v>
      </c>
      <c r="EF354" s="13">
        <f>IF(EB354=1,$EB$31,$EB$32)</f>
        <v>152394.16214437486</v>
      </c>
      <c r="EG354" s="13">
        <f>EE354-EF354</f>
        <v>-152394.16214437486</v>
      </c>
      <c r="EH354" s="13">
        <f>EH353+EG354</f>
        <v>-3069847.312853252</v>
      </c>
      <c r="EI354">
        <f>IF(EH354=MAX($EH$83:$EH$483),$A354,0)</f>
        <v>0</v>
      </c>
      <c r="EJ354">
        <f>IF(EE354&lt;EF354,$A354,B_MAX+1)</f>
        <v>271</v>
      </c>
      <c r="EK354" s="13">
        <f>IF(EB354=1,$EB$35,$EB$36)</f>
        <v>0</v>
      </c>
      <c r="EL354" s="13">
        <f>OCC_DAYS*$EB$41*R_NF_2023-ED354*MCD_SHARE_FREED*R_WAIT_2023</f>
        <v>50660.16094069735</v>
      </c>
      <c r="EM354">
        <f>IF($A354&lt;=$EB$45,1,0)</f>
        <v>0</v>
      </c>
      <c r="FB354">
        <f>IF($FB$31&lt;=$FB$32,IF($A354&lt;=$FB$7,1,2),IF($A354&lt;=RUNG_BEDS_2,2,1))</f>
        <v>1</v>
      </c>
      <c r="FC354" s="5">
        <f>MIN(1,MAX(0,$FB$26-($A354-1)))</f>
        <v>0</v>
      </c>
      <c r="FD354" s="5">
        <f>$FB$25*(FC354+(1-FC354)*$FB$16)</f>
        <v>0.0</v>
      </c>
      <c r="FE354" s="13">
        <f>FD354*($FB$6+ACUTE_MARGIN)</f>
        <v>0.0</v>
      </c>
      <c r="FF354" s="13">
        <f>IF(FB354=1,$FB$31,$FB$32)</f>
        <v>156636.04979437485</v>
      </c>
      <c r="FG354" s="13">
        <f>FE354-FF354</f>
        <v>-156636.04979437485</v>
      </c>
      <c r="FH354" s="13">
        <f>FH353+FG354</f>
        <v>-4219398.866003367</v>
      </c>
      <c r="FI354">
        <f>IF(FH354=MAX($FH$83:$FH$483),$A354,0)</f>
        <v>0</v>
      </c>
      <c r="FJ354">
        <f>IF(FE354&lt;FF354,$A354,B_MAX+1)</f>
        <v>271</v>
      </c>
      <c r="FK354" s="13">
        <f>IF(FB354=1,$FB$35,$FB$36)</f>
        <v>0</v>
      </c>
      <c r="FL354" s="13">
        <f>OCC_DAYS*$FB$41*R_NF_2023-FD354*MCD_SHARE_FREED*R_WAIT_2023</f>
        <v>151980.48282209205</v>
      </c>
      <c r="FM354">
        <f>IF($A354&lt;=$FB$45,1,0)</f>
        <v>0</v>
      </c>
      <c r="GB354">
        <f>IF($GB$31&lt;=$GB$32,IF($A354&lt;=$GB$7,1,2),IF($A354&lt;=RUNG_BEDS_2,2,1))</f>
        <v>1</v>
      </c>
      <c r="GC354" s="5">
        <f>MIN(1,MAX(0,$GB$26-($A354-1)))</f>
        <v>0</v>
      </c>
      <c r="GD354" s="5">
        <f>$GB$25*(GC354+(1-GC354)*$GB$16)</f>
        <v>0.0</v>
      </c>
      <c r="GE354" s="13">
        <f>GD354*($GB$6+ACUTE_MARGIN)</f>
        <v>0.0</v>
      </c>
      <c r="GF354" s="13">
        <f>IF(GB354=1,$GB$31,$GB$32)</f>
        <v>152394.16214437486</v>
      </c>
      <c r="GG354" s="13">
        <f>GE354-GF354</f>
        <v>-152394.16214437486</v>
      </c>
      <c r="GH354" s="13">
        <f>GH353+GG354</f>
        <v>-3069847.312853252</v>
      </c>
      <c r="GI354">
        <f>IF(GH354=MAX($GH$83:$GH$483),$A354,0)</f>
        <v>0</v>
      </c>
      <c r="GJ354">
        <f>IF(GE354&lt;GF354,$A354,B_MAX+1)</f>
        <v>271</v>
      </c>
      <c r="GK354" s="13">
        <f>IF(GB354=1,$GB$35,$GB$36)</f>
        <v>0</v>
      </c>
      <c r="GL354" s="13">
        <f>OCC_DAYS*$GB$41*R_NF_2023-GD354*MCD_SHARE_FREED*R_WAIT_2023</f>
        <v>151980.48282209205</v>
      </c>
      <c r="GM354">
        <f>IF($A354&lt;=$GB$45,1,0)</f>
        <v>0</v>
      </c>
      <c r="HB354">
        <f>IF($HB$31&lt;=$HB$32,IF($A354&lt;=$HB$7,1,2),IF($A354&lt;=RUNG_BEDS_2,2,1))</f>
        <v>1</v>
      </c>
      <c r="HC354" s="5">
        <f>MIN(1,MAX(0,$HB$26-($A354-1)))</f>
        <v>0</v>
      </c>
      <c r="HD354" s="5">
        <f>$HB$25*(HC354+(1-HC354)*$HB$16)</f>
        <v>0.0</v>
      </c>
      <c r="HE354" s="13">
        <f>HD354*($HB$6+ACUTE_MARGIN)</f>
        <v>0.0</v>
      </c>
      <c r="HF354" s="13">
        <f>IF(HB354=1,$HB$31,$HB$32)</f>
        <v>152456.2970814058</v>
      </c>
      <c r="HG354" s="13">
        <f>HE354-HF354</f>
        <v>-152456.2970814058</v>
      </c>
      <c r="HH354" s="13">
        <f>HH353+HG354</f>
        <v>-3086685.880788675</v>
      </c>
      <c r="HI354">
        <f>IF(HH354=MAX($HH$83:$HH$483),$A354,0)</f>
        <v>0</v>
      </c>
      <c r="HJ354">
        <f>IF(HE354&lt;HF354,$A354,B_MAX+1)</f>
        <v>271</v>
      </c>
      <c r="HK354" s="13">
        <f>IF(HB354=1,$HB$35,$HB$36)</f>
        <v>0</v>
      </c>
      <c r="HL354" s="13">
        <f>OCC_DAYS*$HB$41*R_NF_2023-HD354*MCD_SHARE_FREED*R_WAIT_2023</f>
        <v>151980.48282209205</v>
      </c>
      <c r="HM354">
        <f>IF($A354&lt;=$HB$45,1,0)</f>
        <v>0</v>
      </c>
      <c r="IB354">
        <f>IF($IB$31&lt;=$IB$32,IF($A354&lt;=$IB$7,1,2),IF($A354&lt;=RUNG_BEDS_2,2,1))</f>
        <v>1</v>
      </c>
      <c r="IC354" s="5">
        <f>MIN(1,MAX(0,$IB$26-($A354-1)))</f>
        <v>0</v>
      </c>
      <c r="ID354" s="5">
        <f>$IB$25*(IC354+(1-IC354)*$IB$16)</f>
        <v>0.0</v>
      </c>
      <c r="IE354" s="13">
        <f>ID354*($IB$6+ACUTE_MARGIN)</f>
        <v>0.0</v>
      </c>
      <c r="IF354" s="13">
        <f>IF(IB354=1,$IB$31,$IB$32)</f>
        <v>152734.9994534971</v>
      </c>
      <c r="IG354" s="13">
        <f>IE354-IF354</f>
        <v>-152734.9994534971</v>
      </c>
      <c r="IH354" s="13">
        <f>IH353+IG354</f>
        <v>-3162214.2236254713</v>
      </c>
      <c r="II354">
        <f>IF(IH354=MAX($IH$83:$IH$483),$A354,0)</f>
        <v>0</v>
      </c>
      <c r="IJ354">
        <f>IF(IE354&lt;IF354,$A354,B_MAX+1)</f>
        <v>271</v>
      </c>
      <c r="IK354" s="13">
        <f>IF(IB354=1,$IB$35,$IB$36)</f>
        <v>0</v>
      </c>
      <c r="IL354" s="13">
        <f>OCC_DAYS*$IB$41*R_NF_2023-ID354*MCD_SHARE_FREED*R_WAIT_2023</f>
        <v>151980.48282209205</v>
      </c>
      <c r="IM354">
        <f>IF($A354&lt;=$IB$45,1,0)</f>
        <v>0</v>
      </c>
      <c r="JB354">
        <f>IF($JB$31&lt;=$JB$32,IF($A354&lt;=$JB$7,1,2),IF($A354&lt;=RUNG_BEDS_2,2,1))</f>
        <v>1</v>
      </c>
      <c r="JC354" s="5">
        <f>MIN(1,MAX(0,$JB$26-($A354-1)))</f>
        <v>0</v>
      </c>
      <c r="JD354" s="5">
        <f>$JB$25*(JC354+(1-JC354)*$JB$16)</f>
        <v>0.0</v>
      </c>
      <c r="JE354" s="13">
        <f>JD354*($JB$6+ACUTE_MARGIN)</f>
        <v>0.0</v>
      </c>
      <c r="JF354" s="13">
        <f>IF(JB354=1,$JB$31,$JB$32)</f>
        <v>152394.16214437486</v>
      </c>
      <c r="JG354" s="13">
        <f>JE354-JF354</f>
        <v>-152394.16214437486</v>
      </c>
      <c r="JH354" s="13">
        <f>JH353+JG354</f>
        <v>-3069847.312853252</v>
      </c>
      <c r="JI354">
        <f>IF(JH354=MAX($JH$83:$JH$483),$A354,0)</f>
        <v>0</v>
      </c>
      <c r="JJ354">
        <f>IF(JE354&lt;JF354,$A354,B_MAX+1)</f>
        <v>271</v>
      </c>
      <c r="JK354" s="13">
        <f>IF(JB354=1,$JB$35,$JB$36)</f>
        <v>0</v>
      </c>
      <c r="JL354" s="13">
        <f>OCC_DAYS*$JB$41*R_NF_2023-JD354*MCD_SHARE_FREED*R_WAIT_2023</f>
        <v>151980.48282209205</v>
      </c>
      <c r="JM354">
        <f>IF($A354&lt;=$JB$45,1,0)</f>
        <v>0</v>
      </c>
      <c r="KB354">
        <f>IF($KB$31&lt;=$KB$32,IF($A354&lt;=$KB$7,1,2),IF($A354&lt;=RUNG_BEDS_2,2,1))</f>
        <v>1</v>
      </c>
      <c r="KC354" s="5">
        <f>MIN(1,MAX(0,$KB$26-($A354-1)))</f>
        <v>1</v>
      </c>
      <c r="KD354" s="5">
        <f>$KB$25*(KC354+(1-KC354)*$KB$16)</f>
        <v>126.02661357340719</v>
      </c>
      <c r="KE354" s="13">
        <f>KD354*($KB$6+ACUTE_MARGIN)</f>
        <v>127286.87970914126</v>
      </c>
      <c r="KF354" s="13">
        <f>IF(KB354=1,$KB$31,$KB$32)</f>
        <v>152394.16214437486</v>
      </c>
      <c r="KG354" s="13">
        <f>KE354-KF354</f>
        <v>-25107.282435233603</v>
      </c>
      <c r="KH354" s="13">
        <f>KH353+KG354</f>
        <v>-6804073.539948329</v>
      </c>
      <c r="KI354">
        <f>IF(KH354=MAX($KH$83:$KH$483),$A354,0)</f>
        <v>0</v>
      </c>
      <c r="KJ354">
        <f>IF(KE354&lt;KF354,$A354,B_MAX+1)</f>
        <v>271</v>
      </c>
      <c r="KK354" s="13">
        <f>IF(KB354=1,$KB$35,$KB$36)</f>
        <v>0</v>
      </c>
      <c r="KL354" s="13">
        <f>OCC_DAYS*$KB$41*R_NF_2023-KD354*MCD_SHARE_FREED*R_WAIT_2023</f>
        <v>94673.82103225985</v>
      </c>
      <c r="KM354">
        <f>IF($A354&lt;=$KB$45,1,0)</f>
        <v>0</v>
      </c>
      <c r="LB354">
        <f>IF($LB$31&lt;=$LB$32,IF($A354&lt;=$LB$7,1,2),IF($A354&lt;=RUNG_BEDS_2,2,1))</f>
        <v>1</v>
      </c>
      <c r="LC354" s="5">
        <f>MIN(1,MAX(0,$LB$26-($A354-1)))</f>
        <v>1</v>
      </c>
      <c r="LD354" s="5">
        <f>$LB$25*(LC354+(1-LC354)*$LB$16)</f>
        <v>84.01774238227146</v>
      </c>
      <c r="LE354" s="13">
        <f>LD354*($LB$6+ACUTE_MARGIN)</f>
        <v>84857.91980609419</v>
      </c>
      <c r="LF354" s="13">
        <f>IF(LB354=1,$LB$31,$LB$32)</f>
        <v>152394.16214437486</v>
      </c>
      <c r="LG354" s="13">
        <f>LE354-LF354</f>
        <v>-67536.24233828067</v>
      </c>
      <c r="LH354" s="13">
        <f>LH353+LG354</f>
        <v>-18302321.673674155</v>
      </c>
      <c r="LI354">
        <f>IF(LH354=MAX($LH$83:$LH$483),$A354,0)</f>
        <v>0</v>
      </c>
      <c r="LJ354">
        <f>IF(LE354&lt;LF354,$A354,B_MAX+1)</f>
        <v>271</v>
      </c>
      <c r="LK354" s="13">
        <f>IF(LB354=1,$LB$35,$LB$36)</f>
        <v>0</v>
      </c>
      <c r="LL354" s="13">
        <f>OCC_DAYS*$LB$41*R_NF_2023-LD354*MCD_SHARE_FREED*R_WAIT_2023</f>
        <v>113776.04162887059</v>
      </c>
      <c r="LM354">
        <f>IF($A354&lt;=$LB$45,1,0)</f>
        <v>0</v>
      </c>
      <c r="MB354">
        <f>IF($MB$31&lt;=$MB$32,IF($A354&lt;=$MB$7,1,2),IF($A354&lt;=RUNG_BEDS_2,2,1))</f>
        <v>1</v>
      </c>
      <c r="MC354" s="5">
        <f>MIN(1,MAX(0,$MB$26-($A354-1)))</f>
        <v>0</v>
      </c>
      <c r="MD354" s="5">
        <f>$MB$25*(MC354+(1-MC354)*$MB$16)</f>
        <v>0.0</v>
      </c>
      <c r="ME354" s="13">
        <f>MD354*($MB$6+ACUTE_MARGIN)</f>
        <v>0.0</v>
      </c>
      <c r="MF354" s="13">
        <f>IF(MB354=1,$MB$31,$MB$32)</f>
        <v>152394.16214437486</v>
      </c>
      <c r="MG354" s="13">
        <f>ME354-MF354</f>
        <v>-152394.16214437486</v>
      </c>
      <c r="MH354" s="13">
        <f>MH353+MG354</f>
        <v>-8957123.374651585</v>
      </c>
      <c r="MI354">
        <f>IF(MH354=MAX($MH$83:$MH$483),$A354,0)</f>
        <v>0</v>
      </c>
      <c r="MJ354">
        <f>IF(ME354&lt;MF354,$A354,B_MAX+1)</f>
        <v>271</v>
      </c>
      <c r="MK354" s="13">
        <f>IF(MB354=1,$MB$35,$MB$36)</f>
        <v>0</v>
      </c>
      <c r="ML354" s="13">
        <f>OCC_DAYS*$MB$41*R_NF_2023-MD354*MCD_SHARE_FREED*R_WAIT_2023</f>
        <v>151980.48282209205</v>
      </c>
      <c r="MM354">
        <f>IF($A354&lt;=$MB$45,1,0)</f>
        <v>0</v>
      </c>
      <c r="NB354">
        <f>IF($NB$31&lt;=$NB$32,IF($A354&lt;=$NB$7,1,2),IF($A354&lt;=RUNG_BEDS_2,2,1))</f>
        <v>1</v>
      </c>
      <c r="NC354" s="5">
        <f>MIN(1,MAX(0,$NB$26-($A354-1)))</f>
        <v>0</v>
      </c>
      <c r="ND354" s="5">
        <f>$NB$25*(NC354+(1-NC354)*$NB$16)</f>
        <v>63.013306786703595</v>
      </c>
      <c r="NE354" s="13">
        <f>ND354*($NB$6+ACUTE_MARGIN)</f>
        <v>63643.43985457063</v>
      </c>
      <c r="NF354" s="13">
        <f>IF(NB354=1,$NB$31,$NB$32)</f>
        <v>152394.16214437486</v>
      </c>
      <c r="NG354" s="13">
        <f>NE354-NF354</f>
        <v>-88750.72228980422</v>
      </c>
      <c r="NH354" s="13">
        <f>NH353+NG354</f>
        <v>4620282.230667282</v>
      </c>
      <c r="NI354">
        <f>IF(NH354=MAX($NH$83:$NH$483),$A354,0)</f>
        <v>0</v>
      </c>
      <c r="NJ354">
        <f>IF(NE354&lt;NF354,$A354,B_MAX+1)</f>
        <v>271</v>
      </c>
      <c r="NK354" s="13">
        <f>IF(NB354=1,$NB$35,$NB$36)</f>
        <v>0</v>
      </c>
      <c r="NL354" s="13">
        <f>OCC_DAYS*$NB$41*R_NF_2023-ND354*MCD_SHARE_FREED*R_WAIT_2023</f>
        <v>123327.15192717595</v>
      </c>
      <c r="NM354">
        <f>IF($A354&lt;=$NB$45,1,0)</f>
        <v>0</v>
      </c>
      <c r="OB354">
        <f>IF($OB$31&lt;=$OB$32,IF($A354&lt;=$OB$7,1,2),IF($A354&lt;=RUNG_BEDS_2,2,1))</f>
        <v>1</v>
      </c>
      <c r="OC354" s="5">
        <f>MIN(1,MAX(0,$OB$26-($A354-1)))</f>
        <v>0</v>
      </c>
      <c r="OD354" s="5">
        <f>$OB$25*(OC354+(1-OC354)*$OB$16)</f>
        <v>126.02661357340719</v>
      </c>
      <c r="OE354" s="13">
        <f>OD354*($OB$6+ACUTE_MARGIN)</f>
        <v>127286.87970914126</v>
      </c>
      <c r="OF354" s="13">
        <f>IF(OB354=1,$OB$31,$OB$32)</f>
        <v>152394.16214437486</v>
      </c>
      <c r="OG354" s="13">
        <f>OE354-OF354</f>
        <v>-25107.282435233603</v>
      </c>
      <c r="OH354" s="13">
        <f>OH353+OG354</f>
        <v>12310411.774187976</v>
      </c>
      <c r="OI354">
        <f>IF(OH354=MAX($OH$83:$OH$483),$A354,0)</f>
        <v>0</v>
      </c>
      <c r="OJ354">
        <f>IF(OE354&lt;OF354,$A354,B_MAX+1)</f>
        <v>271</v>
      </c>
      <c r="OK354" s="13">
        <f>IF(OB354=1,$OB$35,$OB$36)</f>
        <v>0</v>
      </c>
      <c r="OL354" s="13">
        <f>OCC_DAYS*$OB$41*R_NF_2023-OD354*MCD_SHARE_FREED*R_WAIT_2023</f>
        <v>94673.82103225985</v>
      </c>
      <c r="OM354">
        <f>IF($A354&lt;=$OB$45,1,0)</f>
        <v>0</v>
      </c>
    </row>
    <row r="355">
      <c r="A355" t="n">
        <v>272</v>
      </c>
      <c r="B355">
        <f>IF($B$31&lt;=$B$32,IF($A355&lt;=$B$7,1,2),IF($A355&lt;=RUNG_BEDS_2,2,1))</f>
        <v>1</v>
      </c>
      <c r="C355" s="5">
        <f>MIN(1,MAX(0,$B$26-($A355-1)))</f>
        <v>0</v>
      </c>
      <c r="D355" s="5">
        <f>$B$25*(C355+(1-C355)*$B$16)</f>
        <v>0.0</v>
      </c>
      <c r="E355" s="13">
        <f>D355*($B$6+ACUTE_MARGIN)</f>
        <v>0.0</v>
      </c>
      <c r="F355" s="13">
        <f>IF(B355=1,$B$31,$B$32)</f>
        <v>152394.16214437486</v>
      </c>
      <c r="G355" s="13">
        <f>E355-F355</f>
        <v>-152394.16214437486</v>
      </c>
      <c r="H355" s="13">
        <f>H354+G355</f>
        <v>-3222241.474997627</v>
      </c>
      <c r="I355">
        <f>IF(H355=MAX($H$83:$H$483),$A355,0)</f>
        <v>0</v>
      </c>
      <c r="J355">
        <f>IF(E355&lt;F355,$A355,B_MAX+1)</f>
        <v>272</v>
      </c>
      <c r="K355" s="13">
        <f>IF(B355=1,$B$35,$B$36)</f>
        <v>0</v>
      </c>
      <c r="L355" s="13">
        <f>OCC_DAYS*$B$41*R_NF_2023-D355*MCD_SHARE_FREED*R_WAIT_2023</f>
        <v>151980.48282209205</v>
      </c>
      <c r="M355">
        <f>IF($A355&lt;=$B$45,1,0)</f>
        <v>0</v>
      </c>
      <c r="AB355">
        <f>IF($AB$31&lt;=$AB$32,IF($A355&lt;=$AB$7,1,2),IF($A355&lt;=RUNG_BEDS_2,2,1))</f>
        <v>1</v>
      </c>
      <c r="AC355" s="5">
        <f>MIN(1,MAX(0,$AB$26-($A355-1)))</f>
        <v>0</v>
      </c>
      <c r="AD355" s="5">
        <f>$AB$25*(AC355+(1-AC355)*$AB$16)</f>
        <v>0.0</v>
      </c>
      <c r="AE355" s="13">
        <f>AD355*($AB$6+ACUTE_MARGIN)</f>
        <v>0.0</v>
      </c>
      <c r="AF355" s="13">
        <f>IF(AB355=1,$AB$31,$AB$32)</f>
        <v>152394.16214437486</v>
      </c>
      <c r="AG355" s="13">
        <f>AE355-AF355</f>
        <v>-152394.16214437486</v>
      </c>
      <c r="AH355" s="13">
        <f>AH354+AG355</f>
        <v>-20633455.820547394</v>
      </c>
      <c r="AI355">
        <f>IF(AH355=MAX($AH$83:$AH$483),$A355,0)</f>
        <v>0</v>
      </c>
      <c r="AJ355">
        <f>IF(AE355&lt;AF355,$A355,B_MAX+1)</f>
        <v>272</v>
      </c>
      <c r="AK355" s="13">
        <f>IF(AB355=1,$AB$35,$AB$36)</f>
        <v>0</v>
      </c>
      <c r="AL355" s="13">
        <f>OCC_DAYS*$AB$41*R_NF_2023-AD355*MCD_SHARE_FREED*R_WAIT_2023</f>
        <v>151980.48282209205</v>
      </c>
      <c r="AM355">
        <f>IF($A355&lt;=$AB$45,1,0)</f>
        <v>0</v>
      </c>
      <c r="BB355">
        <f>IF($BB$31&lt;=$BB$32,IF($A355&lt;=$BB$7,1,2),IF($A355&lt;=RUNG_BEDS_2,2,1))</f>
        <v>1</v>
      </c>
      <c r="BC355" s="5">
        <f>MIN(1,MAX(0,$BB$26-($A355-1)))</f>
        <v>0</v>
      </c>
      <c r="BD355" s="5">
        <f>$BB$25*(BC355+(1-BC355)*$BB$16)</f>
        <v>0.0</v>
      </c>
      <c r="BE355" s="13">
        <f>BD355*($BB$6+ACUTE_MARGIN)</f>
        <v>0.0</v>
      </c>
      <c r="BF355" s="13">
        <f>IF(BB355=1,$BB$31,$BB$32)</f>
        <v>152394.16214437486</v>
      </c>
      <c r="BG355" s="13">
        <f>BE355-BF355</f>
        <v>-152394.16214437486</v>
      </c>
      <c r="BH355" s="13">
        <f>BH354+BG355</f>
        <v>14188972.8705521</v>
      </c>
      <c r="BI355">
        <f>IF(BH355=MAX($BH$83:$BH$483),$A355,0)</f>
        <v>0</v>
      </c>
      <c r="BJ355">
        <f>IF(BE355&lt;BF355,$A355,B_MAX+1)</f>
        <v>272</v>
      </c>
      <c r="BK355" s="13">
        <f>IF(BB355=1,$BB$35,$BB$36)</f>
        <v>0</v>
      </c>
      <c r="BL355" s="13">
        <f>OCC_DAYS*$BB$41*R_NF_2023-BD355*MCD_SHARE_FREED*R_WAIT_2023</f>
        <v>151980.48282209205</v>
      </c>
      <c r="BM355">
        <f>IF($A355&lt;=$BB$45,1,0)</f>
        <v>0</v>
      </c>
      <c r="CB355">
        <f>IF($CB$31&lt;=$CB$32,IF($A355&lt;=$CB$7,1,2),IF($A355&lt;=RUNG_BEDS_2,2,1))</f>
        <v>2</v>
      </c>
      <c r="CC355" s="5">
        <f>MIN(1,MAX(0,$CB$26-($A355-1)))</f>
        <v>0</v>
      </c>
      <c r="CD355" s="5">
        <f>$CB$25*(CC355+(1-CC355)*$CB$16)</f>
        <v>0.0</v>
      </c>
      <c r="CE355" s="13">
        <f>CD355*($CB$6+ACUTE_MARGIN)</f>
        <v>0.0</v>
      </c>
      <c r="CF355" s="13">
        <f>IF(CB355=1,$CB$31,$CB$32)</f>
        <v>160718.36940738867</v>
      </c>
      <c r="CG355" s="13">
        <f>CE355-CF355</f>
        <v>-160718.36940738867</v>
      </c>
      <c r="CH355" s="13">
        <f>CH354+CG355</f>
        <v>-5486425.850537497</v>
      </c>
      <c r="CI355">
        <f>IF(CH355=MAX($CH$83:$CH$483),$A355,0)</f>
        <v>0</v>
      </c>
      <c r="CJ355">
        <f>IF(CE355&lt;CF355,$A355,B_MAX+1)</f>
        <v>272</v>
      </c>
      <c r="CK355" s="13">
        <f>IF(CB355=1,$CB$35,$CB$36)</f>
        <v>1560.1194073886782</v>
      </c>
      <c r="CL355" s="13">
        <f>OCC_DAYS*$CB$41*R_NF_2023-CD355*MCD_SHARE_FREED*R_WAIT_2023</f>
        <v>151980.48282209205</v>
      </c>
      <c r="CM355">
        <f>IF($A355&lt;=$CB$45,1,0)</f>
        <v>0</v>
      </c>
      <c r="DB355">
        <f>IF($DB$31&lt;=$DB$32,IF($A355&lt;=$DB$7,1,2),IF($A355&lt;=RUNG_BEDS_2,2,1))</f>
        <v>1</v>
      </c>
      <c r="DC355" s="5">
        <f>MIN(1,MAX(0,$DB$26-($A355-1)))</f>
        <v>0</v>
      </c>
      <c r="DD355" s="5">
        <f>$DB$25*(DC355+(1-DC355)*$DB$16)</f>
        <v>0.0</v>
      </c>
      <c r="DE355" s="13">
        <f>DD355*($DB$6+ACUTE_MARGIN)</f>
        <v>0.0</v>
      </c>
      <c r="DF355" s="13">
        <f>IF(DB355=1,$DB$31,$DB$32)</f>
        <v>152394.16214437486</v>
      </c>
      <c r="DG355" s="13">
        <f>DE355-DF355</f>
        <v>-152394.16214437486</v>
      </c>
      <c r="DH355" s="13">
        <f>DH354+DG355</f>
        <v>-3222241.474997627</v>
      </c>
      <c r="DI355">
        <f>IF(DH355=MAX($DH$83:$DH$483),$A355,0)</f>
        <v>0</v>
      </c>
      <c r="DJ355">
        <f>IF(DE355&lt;DF355,$A355,B_MAX+1)</f>
        <v>272</v>
      </c>
      <c r="DK355" s="13">
        <f>IF(DB355=1,$DB$35,$DB$36)</f>
        <v>0</v>
      </c>
      <c r="DL355" s="13">
        <f>OCC_DAYS*$DB$41*R_NF_2023-DD355*MCD_SHARE_FREED*R_WAIT_2023</f>
        <v>151980.48282209205</v>
      </c>
      <c r="DM355">
        <f>IF($A355&lt;=$DB$45,1,0)</f>
        <v>0</v>
      </c>
      <c r="EB355">
        <f>IF($EB$31&lt;=$EB$32,IF($A355&lt;=$EB$7,1,2),IF($A355&lt;=RUNG_BEDS_2,2,1))</f>
        <v>1</v>
      </c>
      <c r="EC355" s="5">
        <f>MIN(1,MAX(0,$EB$26-($A355-1)))</f>
        <v>0</v>
      </c>
      <c r="ED355" s="5">
        <f>$EB$25*(EC355+(1-EC355)*$EB$16)</f>
        <v>0.0</v>
      </c>
      <c r="EE355" s="13">
        <f>ED355*($EB$6+ACUTE_MARGIN)</f>
        <v>0.0</v>
      </c>
      <c r="EF355" s="13">
        <f>IF(EB355=1,$EB$31,$EB$32)</f>
        <v>152394.16214437486</v>
      </c>
      <c r="EG355" s="13">
        <f>EE355-EF355</f>
        <v>-152394.16214437486</v>
      </c>
      <c r="EH355" s="13">
        <f>EH354+EG355</f>
        <v>-3222241.474997627</v>
      </c>
      <c r="EI355">
        <f>IF(EH355=MAX($EH$83:$EH$483),$A355,0)</f>
        <v>0</v>
      </c>
      <c r="EJ355">
        <f>IF(EE355&lt;EF355,$A355,B_MAX+1)</f>
        <v>272</v>
      </c>
      <c r="EK355" s="13">
        <f>IF(EB355=1,$EB$35,$EB$36)</f>
        <v>0</v>
      </c>
      <c r="EL355" s="13">
        <f>OCC_DAYS*$EB$41*R_NF_2023-ED355*MCD_SHARE_FREED*R_WAIT_2023</f>
        <v>50660.16094069735</v>
      </c>
      <c r="EM355">
        <f>IF($A355&lt;=$EB$45,1,0)</f>
        <v>0</v>
      </c>
      <c r="FB355">
        <f>IF($FB$31&lt;=$FB$32,IF($A355&lt;=$FB$7,1,2),IF($A355&lt;=RUNG_BEDS_2,2,1))</f>
        <v>1</v>
      </c>
      <c r="FC355" s="5">
        <f>MIN(1,MAX(0,$FB$26-($A355-1)))</f>
        <v>0</v>
      </c>
      <c r="FD355" s="5">
        <f>$FB$25*(FC355+(1-FC355)*$FB$16)</f>
        <v>0.0</v>
      </c>
      <c r="FE355" s="13">
        <f>FD355*($FB$6+ACUTE_MARGIN)</f>
        <v>0.0</v>
      </c>
      <c r="FF355" s="13">
        <f>IF(FB355=1,$FB$31,$FB$32)</f>
        <v>156636.04979437485</v>
      </c>
      <c r="FG355" s="13">
        <f>FE355-FF355</f>
        <v>-156636.04979437485</v>
      </c>
      <c r="FH355" s="13">
        <f>FH354+FG355</f>
        <v>-4376034.915797742</v>
      </c>
      <c r="FI355">
        <f>IF(FH355=MAX($FH$83:$FH$483),$A355,0)</f>
        <v>0</v>
      </c>
      <c r="FJ355">
        <f>IF(FE355&lt;FF355,$A355,B_MAX+1)</f>
        <v>272</v>
      </c>
      <c r="FK355" s="13">
        <f>IF(FB355=1,$FB$35,$FB$36)</f>
        <v>0</v>
      </c>
      <c r="FL355" s="13">
        <f>OCC_DAYS*$FB$41*R_NF_2023-FD355*MCD_SHARE_FREED*R_WAIT_2023</f>
        <v>151980.48282209205</v>
      </c>
      <c r="FM355">
        <f>IF($A355&lt;=$FB$45,1,0)</f>
        <v>0</v>
      </c>
      <c r="GB355">
        <f>IF($GB$31&lt;=$GB$32,IF($A355&lt;=$GB$7,1,2),IF($A355&lt;=RUNG_BEDS_2,2,1))</f>
        <v>1</v>
      </c>
      <c r="GC355" s="5">
        <f>MIN(1,MAX(0,$GB$26-($A355-1)))</f>
        <v>0</v>
      </c>
      <c r="GD355" s="5">
        <f>$GB$25*(GC355+(1-GC355)*$GB$16)</f>
        <v>0.0</v>
      </c>
      <c r="GE355" s="13">
        <f>GD355*($GB$6+ACUTE_MARGIN)</f>
        <v>0.0</v>
      </c>
      <c r="GF355" s="13">
        <f>IF(GB355=1,$GB$31,$GB$32)</f>
        <v>152394.16214437486</v>
      </c>
      <c r="GG355" s="13">
        <f>GE355-GF355</f>
        <v>-152394.16214437486</v>
      </c>
      <c r="GH355" s="13">
        <f>GH354+GG355</f>
        <v>-3222241.474997627</v>
      </c>
      <c r="GI355">
        <f>IF(GH355=MAX($GH$83:$GH$483),$A355,0)</f>
        <v>0</v>
      </c>
      <c r="GJ355">
        <f>IF(GE355&lt;GF355,$A355,B_MAX+1)</f>
        <v>272</v>
      </c>
      <c r="GK355" s="13">
        <f>IF(GB355=1,$GB$35,$GB$36)</f>
        <v>0</v>
      </c>
      <c r="GL355" s="13">
        <f>OCC_DAYS*$GB$41*R_NF_2023-GD355*MCD_SHARE_FREED*R_WAIT_2023</f>
        <v>151980.48282209205</v>
      </c>
      <c r="GM355">
        <f>IF($A355&lt;=$GB$45,1,0)</f>
        <v>0</v>
      </c>
      <c r="HB355">
        <f>IF($HB$31&lt;=$HB$32,IF($A355&lt;=$HB$7,1,2),IF($A355&lt;=RUNG_BEDS_2,2,1))</f>
        <v>1</v>
      </c>
      <c r="HC355" s="5">
        <f>MIN(1,MAX(0,$HB$26-($A355-1)))</f>
        <v>0</v>
      </c>
      <c r="HD355" s="5">
        <f>$HB$25*(HC355+(1-HC355)*$HB$16)</f>
        <v>0.0</v>
      </c>
      <c r="HE355" s="13">
        <f>HD355*($HB$6+ACUTE_MARGIN)</f>
        <v>0.0</v>
      </c>
      <c r="HF355" s="13">
        <f>IF(HB355=1,$HB$31,$HB$32)</f>
        <v>152456.2970814058</v>
      </c>
      <c r="HG355" s="13">
        <f>HE355-HF355</f>
        <v>-152456.2970814058</v>
      </c>
      <c r="HH355" s="13">
        <f>HH354+HG355</f>
        <v>-3239142.177870081</v>
      </c>
      <c r="HI355">
        <f>IF(HH355=MAX($HH$83:$HH$483),$A355,0)</f>
        <v>0</v>
      </c>
      <c r="HJ355">
        <f>IF(HE355&lt;HF355,$A355,B_MAX+1)</f>
        <v>272</v>
      </c>
      <c r="HK355" s="13">
        <f>IF(HB355=1,$HB$35,$HB$36)</f>
        <v>0</v>
      </c>
      <c r="HL355" s="13">
        <f>OCC_DAYS*$HB$41*R_NF_2023-HD355*MCD_SHARE_FREED*R_WAIT_2023</f>
        <v>151980.48282209205</v>
      </c>
      <c r="HM355">
        <f>IF($A355&lt;=$HB$45,1,0)</f>
        <v>0</v>
      </c>
      <c r="IB355">
        <f>IF($IB$31&lt;=$IB$32,IF($A355&lt;=$IB$7,1,2),IF($A355&lt;=RUNG_BEDS_2,2,1))</f>
        <v>1</v>
      </c>
      <c r="IC355" s="5">
        <f>MIN(1,MAX(0,$IB$26-($A355-1)))</f>
        <v>0</v>
      </c>
      <c r="ID355" s="5">
        <f>$IB$25*(IC355+(1-IC355)*$IB$16)</f>
        <v>0.0</v>
      </c>
      <c r="IE355" s="13">
        <f>ID355*($IB$6+ACUTE_MARGIN)</f>
        <v>0.0</v>
      </c>
      <c r="IF355" s="13">
        <f>IF(IB355=1,$IB$31,$IB$32)</f>
        <v>152734.9994534971</v>
      </c>
      <c r="IG355" s="13">
        <f>IE355-IF355</f>
        <v>-152734.9994534971</v>
      </c>
      <c r="IH355" s="13">
        <f>IH354+IG355</f>
        <v>-3314949.2230789685</v>
      </c>
      <c r="II355">
        <f>IF(IH355=MAX($IH$83:$IH$483),$A355,0)</f>
        <v>0</v>
      </c>
      <c r="IJ355">
        <f>IF(IE355&lt;IF355,$A355,B_MAX+1)</f>
        <v>272</v>
      </c>
      <c r="IK355" s="13">
        <f>IF(IB355=1,$IB$35,$IB$36)</f>
        <v>0</v>
      </c>
      <c r="IL355" s="13">
        <f>OCC_DAYS*$IB$41*R_NF_2023-ID355*MCD_SHARE_FREED*R_WAIT_2023</f>
        <v>151980.48282209205</v>
      </c>
      <c r="IM355">
        <f>IF($A355&lt;=$IB$45,1,0)</f>
        <v>0</v>
      </c>
      <c r="JB355">
        <f>IF($JB$31&lt;=$JB$32,IF($A355&lt;=$JB$7,1,2),IF($A355&lt;=RUNG_BEDS_2,2,1))</f>
        <v>1</v>
      </c>
      <c r="JC355" s="5">
        <f>MIN(1,MAX(0,$JB$26-($A355-1)))</f>
        <v>0</v>
      </c>
      <c r="JD355" s="5">
        <f>$JB$25*(JC355+(1-JC355)*$JB$16)</f>
        <v>0.0</v>
      </c>
      <c r="JE355" s="13">
        <f>JD355*($JB$6+ACUTE_MARGIN)</f>
        <v>0.0</v>
      </c>
      <c r="JF355" s="13">
        <f>IF(JB355=1,$JB$31,$JB$32)</f>
        <v>152394.16214437486</v>
      </c>
      <c r="JG355" s="13">
        <f>JE355-JF355</f>
        <v>-152394.16214437486</v>
      </c>
      <c r="JH355" s="13">
        <f>JH354+JG355</f>
        <v>-3222241.474997627</v>
      </c>
      <c r="JI355">
        <f>IF(JH355=MAX($JH$83:$JH$483),$A355,0)</f>
        <v>0</v>
      </c>
      <c r="JJ355">
        <f>IF(JE355&lt;JF355,$A355,B_MAX+1)</f>
        <v>272</v>
      </c>
      <c r="JK355" s="13">
        <f>IF(JB355=1,$JB$35,$JB$36)</f>
        <v>0</v>
      </c>
      <c r="JL355" s="13">
        <f>OCC_DAYS*$JB$41*R_NF_2023-JD355*MCD_SHARE_FREED*R_WAIT_2023</f>
        <v>151980.48282209205</v>
      </c>
      <c r="JM355">
        <f>IF($A355&lt;=$JB$45,1,0)</f>
        <v>0</v>
      </c>
      <c r="KB355">
        <f>IF($KB$31&lt;=$KB$32,IF($A355&lt;=$KB$7,1,2),IF($A355&lt;=RUNG_BEDS_2,2,1))</f>
        <v>1</v>
      </c>
      <c r="KC355" s="5">
        <f>MIN(1,MAX(0,$KB$26-($A355-1)))</f>
        <v>1</v>
      </c>
      <c r="KD355" s="5">
        <f>$KB$25*(KC355+(1-KC355)*$KB$16)</f>
        <v>126.02661357340719</v>
      </c>
      <c r="KE355" s="13">
        <f>KD355*($KB$6+ACUTE_MARGIN)</f>
        <v>127286.87970914126</v>
      </c>
      <c r="KF355" s="13">
        <f>IF(KB355=1,$KB$31,$KB$32)</f>
        <v>152394.16214437486</v>
      </c>
      <c r="KG355" s="13">
        <f>KE355-KF355</f>
        <v>-25107.282435233603</v>
      </c>
      <c r="KH355" s="13">
        <f>KH354+KG355</f>
        <v>-6829180.822383563</v>
      </c>
      <c r="KI355">
        <f>IF(KH355=MAX($KH$83:$KH$483),$A355,0)</f>
        <v>0</v>
      </c>
      <c r="KJ355">
        <f>IF(KE355&lt;KF355,$A355,B_MAX+1)</f>
        <v>272</v>
      </c>
      <c r="KK355" s="13">
        <f>IF(KB355=1,$KB$35,$KB$36)</f>
        <v>0</v>
      </c>
      <c r="KL355" s="13">
        <f>OCC_DAYS*$KB$41*R_NF_2023-KD355*MCD_SHARE_FREED*R_WAIT_2023</f>
        <v>94673.82103225985</v>
      </c>
      <c r="KM355">
        <f>IF($A355&lt;=$KB$45,1,0)</f>
        <v>0</v>
      </c>
      <c r="LB355">
        <f>IF($LB$31&lt;=$LB$32,IF($A355&lt;=$LB$7,1,2),IF($A355&lt;=RUNG_BEDS_2,2,1))</f>
        <v>1</v>
      </c>
      <c r="LC355" s="5">
        <f>MIN(1,MAX(0,$LB$26-($A355-1)))</f>
        <v>1</v>
      </c>
      <c r="LD355" s="5">
        <f>$LB$25*(LC355+(1-LC355)*$LB$16)</f>
        <v>84.01774238227146</v>
      </c>
      <c r="LE355" s="13">
        <f>LD355*($LB$6+ACUTE_MARGIN)</f>
        <v>84857.91980609419</v>
      </c>
      <c r="LF355" s="13">
        <f>IF(LB355=1,$LB$31,$LB$32)</f>
        <v>152394.16214437486</v>
      </c>
      <c r="LG355" s="13">
        <f>LE355-LF355</f>
        <v>-67536.24233828067</v>
      </c>
      <c r="LH355" s="13">
        <f>LH354+LG355</f>
        <v>-18369857.916012436</v>
      </c>
      <c r="LI355">
        <f>IF(LH355=MAX($LH$83:$LH$483),$A355,0)</f>
        <v>0</v>
      </c>
      <c r="LJ355">
        <f>IF(LE355&lt;LF355,$A355,B_MAX+1)</f>
        <v>272</v>
      </c>
      <c r="LK355" s="13">
        <f>IF(LB355=1,$LB$35,$LB$36)</f>
        <v>0</v>
      </c>
      <c r="LL355" s="13">
        <f>OCC_DAYS*$LB$41*R_NF_2023-LD355*MCD_SHARE_FREED*R_WAIT_2023</f>
        <v>113776.04162887059</v>
      </c>
      <c r="LM355">
        <f>IF($A355&lt;=$LB$45,1,0)</f>
        <v>0</v>
      </c>
      <c r="MB355">
        <f>IF($MB$31&lt;=$MB$32,IF($A355&lt;=$MB$7,1,2),IF($A355&lt;=RUNG_BEDS_2,2,1))</f>
        <v>1</v>
      </c>
      <c r="MC355" s="5">
        <f>MIN(1,MAX(0,$MB$26-($A355-1)))</f>
        <v>0</v>
      </c>
      <c r="MD355" s="5">
        <f>$MB$25*(MC355+(1-MC355)*$MB$16)</f>
        <v>0.0</v>
      </c>
      <c r="ME355" s="13">
        <f>MD355*($MB$6+ACUTE_MARGIN)</f>
        <v>0.0</v>
      </c>
      <c r="MF355" s="13">
        <f>IF(MB355=1,$MB$31,$MB$32)</f>
        <v>152394.16214437486</v>
      </c>
      <c r="MG355" s="13">
        <f>ME355-MF355</f>
        <v>-152394.16214437486</v>
      </c>
      <c r="MH355" s="13">
        <f>MH354+MG355</f>
        <v>-9109517.536795959</v>
      </c>
      <c r="MI355">
        <f>IF(MH355=MAX($MH$83:$MH$483),$A355,0)</f>
        <v>0</v>
      </c>
      <c r="MJ355">
        <f>IF(ME355&lt;MF355,$A355,B_MAX+1)</f>
        <v>272</v>
      </c>
      <c r="MK355" s="13">
        <f>IF(MB355=1,$MB$35,$MB$36)</f>
        <v>0</v>
      </c>
      <c r="ML355" s="13">
        <f>OCC_DAYS*$MB$41*R_NF_2023-MD355*MCD_SHARE_FREED*R_WAIT_2023</f>
        <v>151980.48282209205</v>
      </c>
      <c r="MM355">
        <f>IF($A355&lt;=$MB$45,1,0)</f>
        <v>0</v>
      </c>
      <c r="NB355">
        <f>IF($NB$31&lt;=$NB$32,IF($A355&lt;=$NB$7,1,2),IF($A355&lt;=RUNG_BEDS_2,2,1))</f>
        <v>1</v>
      </c>
      <c r="NC355" s="5">
        <f>MIN(1,MAX(0,$NB$26-($A355-1)))</f>
        <v>0</v>
      </c>
      <c r="ND355" s="5">
        <f>$NB$25*(NC355+(1-NC355)*$NB$16)</f>
        <v>63.013306786703595</v>
      </c>
      <c r="NE355" s="13">
        <f>ND355*($NB$6+ACUTE_MARGIN)</f>
        <v>63643.43985457063</v>
      </c>
      <c r="NF355" s="13">
        <f>IF(NB355=1,$NB$31,$NB$32)</f>
        <v>152394.16214437486</v>
      </c>
      <c r="NG355" s="13">
        <f>NE355-NF355</f>
        <v>-88750.72228980422</v>
      </c>
      <c r="NH355" s="13">
        <f>NH354+NG355</f>
        <v>4531531.5083774775</v>
      </c>
      <c r="NI355">
        <f>IF(NH355=MAX($NH$83:$NH$483),$A355,0)</f>
        <v>0</v>
      </c>
      <c r="NJ355">
        <f>IF(NE355&lt;NF355,$A355,B_MAX+1)</f>
        <v>272</v>
      </c>
      <c r="NK355" s="13">
        <f>IF(NB355=1,$NB$35,$NB$36)</f>
        <v>0</v>
      </c>
      <c r="NL355" s="13">
        <f>OCC_DAYS*$NB$41*R_NF_2023-ND355*MCD_SHARE_FREED*R_WAIT_2023</f>
        <v>123327.15192717595</v>
      </c>
      <c r="NM355">
        <f>IF($A355&lt;=$NB$45,1,0)</f>
        <v>0</v>
      </c>
      <c r="OB355">
        <f>IF($OB$31&lt;=$OB$32,IF($A355&lt;=$OB$7,1,2),IF($A355&lt;=RUNG_BEDS_2,2,1))</f>
        <v>1</v>
      </c>
      <c r="OC355" s="5">
        <f>MIN(1,MAX(0,$OB$26-($A355-1)))</f>
        <v>0</v>
      </c>
      <c r="OD355" s="5">
        <f>$OB$25*(OC355+(1-OC355)*$OB$16)</f>
        <v>126.02661357340719</v>
      </c>
      <c r="OE355" s="13">
        <f>OD355*($OB$6+ACUTE_MARGIN)</f>
        <v>127286.87970914126</v>
      </c>
      <c r="OF355" s="13">
        <f>IF(OB355=1,$OB$31,$OB$32)</f>
        <v>152394.16214437486</v>
      </c>
      <c r="OG355" s="13">
        <f>OE355-OF355</f>
        <v>-25107.282435233603</v>
      </c>
      <c r="OH355" s="13">
        <f>OH354+OG355</f>
        <v>12285304.491752744</v>
      </c>
      <c r="OI355">
        <f>IF(OH355=MAX($OH$83:$OH$483),$A355,0)</f>
        <v>0</v>
      </c>
      <c r="OJ355">
        <f>IF(OE355&lt;OF355,$A355,B_MAX+1)</f>
        <v>272</v>
      </c>
      <c r="OK355" s="13">
        <f>IF(OB355=1,$OB$35,$OB$36)</f>
        <v>0</v>
      </c>
      <c r="OL355" s="13">
        <f>OCC_DAYS*$OB$41*R_NF_2023-OD355*MCD_SHARE_FREED*R_WAIT_2023</f>
        <v>94673.82103225985</v>
      </c>
      <c r="OM355">
        <f>IF($A355&lt;=$OB$45,1,0)</f>
        <v>0</v>
      </c>
    </row>
    <row r="356">
      <c r="A356" t="n">
        <v>273</v>
      </c>
      <c r="B356">
        <f>IF($B$31&lt;=$B$32,IF($A356&lt;=$B$7,1,2),IF($A356&lt;=RUNG_BEDS_2,2,1))</f>
        <v>1</v>
      </c>
      <c r="C356" s="5">
        <f>MIN(1,MAX(0,$B$26-($A356-1)))</f>
        <v>0</v>
      </c>
      <c r="D356" s="5">
        <f>$B$25*(C356+(1-C356)*$B$16)</f>
        <v>0.0</v>
      </c>
      <c r="E356" s="13">
        <f>D356*($B$6+ACUTE_MARGIN)</f>
        <v>0.0</v>
      </c>
      <c r="F356" s="13">
        <f>IF(B356=1,$B$31,$B$32)</f>
        <v>152394.16214437486</v>
      </c>
      <c r="G356" s="13">
        <f>E356-F356</f>
        <v>-152394.16214437486</v>
      </c>
      <c r="H356" s="13">
        <f>H355+G356</f>
        <v>-3374635.637142002</v>
      </c>
      <c r="I356">
        <f>IF(H356=MAX($H$83:$H$483),$A356,0)</f>
        <v>0</v>
      </c>
      <c r="J356">
        <f>IF(E356&lt;F356,$A356,B_MAX+1)</f>
        <v>273</v>
      </c>
      <c r="K356" s="13">
        <f>IF(B356=1,$B$35,$B$36)</f>
        <v>0</v>
      </c>
      <c r="L356" s="13">
        <f>OCC_DAYS*$B$41*R_NF_2023-D356*MCD_SHARE_FREED*R_WAIT_2023</f>
        <v>151980.48282209205</v>
      </c>
      <c r="M356">
        <f>IF($A356&lt;=$B$45,1,0)</f>
        <v>0</v>
      </c>
      <c r="AB356">
        <f>IF($AB$31&lt;=$AB$32,IF($A356&lt;=$AB$7,1,2),IF($A356&lt;=RUNG_BEDS_2,2,1))</f>
        <v>1</v>
      </c>
      <c r="AC356" s="5">
        <f>MIN(1,MAX(0,$AB$26-($A356-1)))</f>
        <v>0</v>
      </c>
      <c r="AD356" s="5">
        <f>$AB$25*(AC356+(1-AC356)*$AB$16)</f>
        <v>0.0</v>
      </c>
      <c r="AE356" s="13">
        <f>AD356*($AB$6+ACUTE_MARGIN)</f>
        <v>0.0</v>
      </c>
      <c r="AF356" s="13">
        <f>IF(AB356=1,$AB$31,$AB$32)</f>
        <v>152394.16214437486</v>
      </c>
      <c r="AG356" s="13">
        <f>AE356-AF356</f>
        <v>-152394.16214437486</v>
      </c>
      <c r="AH356" s="13">
        <f>AH355+AG356</f>
        <v>-20785849.98269177</v>
      </c>
      <c r="AI356">
        <f>IF(AH356=MAX($AH$83:$AH$483),$A356,0)</f>
        <v>0</v>
      </c>
      <c r="AJ356">
        <f>IF(AE356&lt;AF356,$A356,B_MAX+1)</f>
        <v>273</v>
      </c>
      <c r="AK356" s="13">
        <f>IF(AB356=1,$AB$35,$AB$36)</f>
        <v>0</v>
      </c>
      <c r="AL356" s="13">
        <f>OCC_DAYS*$AB$41*R_NF_2023-AD356*MCD_SHARE_FREED*R_WAIT_2023</f>
        <v>151980.48282209205</v>
      </c>
      <c r="AM356">
        <f>IF($A356&lt;=$AB$45,1,0)</f>
        <v>0</v>
      </c>
      <c r="BB356">
        <f>IF($BB$31&lt;=$BB$32,IF($A356&lt;=$BB$7,1,2),IF($A356&lt;=RUNG_BEDS_2,2,1))</f>
        <v>1</v>
      </c>
      <c r="BC356" s="5">
        <f>MIN(1,MAX(0,$BB$26-($A356-1)))</f>
        <v>0</v>
      </c>
      <c r="BD356" s="5">
        <f>$BB$25*(BC356+(1-BC356)*$BB$16)</f>
        <v>0.0</v>
      </c>
      <c r="BE356" s="13">
        <f>BD356*($BB$6+ACUTE_MARGIN)</f>
        <v>0.0</v>
      </c>
      <c r="BF356" s="13">
        <f>IF(BB356=1,$BB$31,$BB$32)</f>
        <v>152394.16214437486</v>
      </c>
      <c r="BG356" s="13">
        <f>BE356-BF356</f>
        <v>-152394.16214437486</v>
      </c>
      <c r="BH356" s="13">
        <f>BH355+BG356</f>
        <v>14036578.708407726</v>
      </c>
      <c r="BI356">
        <f>IF(BH356=MAX($BH$83:$BH$483),$A356,0)</f>
        <v>0</v>
      </c>
      <c r="BJ356">
        <f>IF(BE356&lt;BF356,$A356,B_MAX+1)</f>
        <v>273</v>
      </c>
      <c r="BK356" s="13">
        <f>IF(BB356=1,$BB$35,$BB$36)</f>
        <v>0</v>
      </c>
      <c r="BL356" s="13">
        <f>OCC_DAYS*$BB$41*R_NF_2023-BD356*MCD_SHARE_FREED*R_WAIT_2023</f>
        <v>151980.48282209205</v>
      </c>
      <c r="BM356">
        <f>IF($A356&lt;=$BB$45,1,0)</f>
        <v>0</v>
      </c>
      <c r="CB356">
        <f>IF($CB$31&lt;=$CB$32,IF($A356&lt;=$CB$7,1,2),IF($A356&lt;=RUNG_BEDS_2,2,1))</f>
        <v>2</v>
      </c>
      <c r="CC356" s="5">
        <f>MIN(1,MAX(0,$CB$26-($A356-1)))</f>
        <v>0</v>
      </c>
      <c r="CD356" s="5">
        <f>$CB$25*(CC356+(1-CC356)*$CB$16)</f>
        <v>0.0</v>
      </c>
      <c r="CE356" s="13">
        <f>CD356*($CB$6+ACUTE_MARGIN)</f>
        <v>0.0</v>
      </c>
      <c r="CF356" s="13">
        <f>IF(CB356=1,$CB$31,$CB$32)</f>
        <v>160718.36940738867</v>
      </c>
      <c r="CG356" s="13">
        <f>CE356-CF356</f>
        <v>-160718.36940738867</v>
      </c>
      <c r="CH356" s="13">
        <f>CH355+CG356</f>
        <v>-5647144.219944885</v>
      </c>
      <c r="CI356">
        <f>IF(CH356=MAX($CH$83:$CH$483),$A356,0)</f>
        <v>0</v>
      </c>
      <c r="CJ356">
        <f>IF(CE356&lt;CF356,$A356,B_MAX+1)</f>
        <v>273</v>
      </c>
      <c r="CK356" s="13">
        <f>IF(CB356=1,$CB$35,$CB$36)</f>
        <v>1560.1194073886782</v>
      </c>
      <c r="CL356" s="13">
        <f>OCC_DAYS*$CB$41*R_NF_2023-CD356*MCD_SHARE_FREED*R_WAIT_2023</f>
        <v>151980.48282209205</v>
      </c>
      <c r="CM356">
        <f>IF($A356&lt;=$CB$45,1,0)</f>
        <v>0</v>
      </c>
      <c r="DB356">
        <f>IF($DB$31&lt;=$DB$32,IF($A356&lt;=$DB$7,1,2),IF($A356&lt;=RUNG_BEDS_2,2,1))</f>
        <v>1</v>
      </c>
      <c r="DC356" s="5">
        <f>MIN(1,MAX(0,$DB$26-($A356-1)))</f>
        <v>0</v>
      </c>
      <c r="DD356" s="5">
        <f>$DB$25*(DC356+(1-DC356)*$DB$16)</f>
        <v>0.0</v>
      </c>
      <c r="DE356" s="13">
        <f>DD356*($DB$6+ACUTE_MARGIN)</f>
        <v>0.0</v>
      </c>
      <c r="DF356" s="13">
        <f>IF(DB356=1,$DB$31,$DB$32)</f>
        <v>152394.16214437486</v>
      </c>
      <c r="DG356" s="13">
        <f>DE356-DF356</f>
        <v>-152394.16214437486</v>
      </c>
      <c r="DH356" s="13">
        <f>DH355+DG356</f>
        <v>-3374635.637142002</v>
      </c>
      <c r="DI356">
        <f>IF(DH356=MAX($DH$83:$DH$483),$A356,0)</f>
        <v>0</v>
      </c>
      <c r="DJ356">
        <f>IF(DE356&lt;DF356,$A356,B_MAX+1)</f>
        <v>273</v>
      </c>
      <c r="DK356" s="13">
        <f>IF(DB356=1,$DB$35,$DB$36)</f>
        <v>0</v>
      </c>
      <c r="DL356" s="13">
        <f>OCC_DAYS*$DB$41*R_NF_2023-DD356*MCD_SHARE_FREED*R_WAIT_2023</f>
        <v>151980.48282209205</v>
      </c>
      <c r="DM356">
        <f>IF($A356&lt;=$DB$45,1,0)</f>
        <v>0</v>
      </c>
      <c r="EB356">
        <f>IF($EB$31&lt;=$EB$32,IF($A356&lt;=$EB$7,1,2),IF($A356&lt;=RUNG_BEDS_2,2,1))</f>
        <v>1</v>
      </c>
      <c r="EC356" s="5">
        <f>MIN(1,MAX(0,$EB$26-($A356-1)))</f>
        <v>0</v>
      </c>
      <c r="ED356" s="5">
        <f>$EB$25*(EC356+(1-EC356)*$EB$16)</f>
        <v>0.0</v>
      </c>
      <c r="EE356" s="13">
        <f>ED356*($EB$6+ACUTE_MARGIN)</f>
        <v>0.0</v>
      </c>
      <c r="EF356" s="13">
        <f>IF(EB356=1,$EB$31,$EB$32)</f>
        <v>152394.16214437486</v>
      </c>
      <c r="EG356" s="13">
        <f>EE356-EF356</f>
        <v>-152394.16214437486</v>
      </c>
      <c r="EH356" s="13">
        <f>EH355+EG356</f>
        <v>-3374635.637142002</v>
      </c>
      <c r="EI356">
        <f>IF(EH356=MAX($EH$83:$EH$483),$A356,0)</f>
        <v>0</v>
      </c>
      <c r="EJ356">
        <f>IF(EE356&lt;EF356,$A356,B_MAX+1)</f>
        <v>273</v>
      </c>
      <c r="EK356" s="13">
        <f>IF(EB356=1,$EB$35,$EB$36)</f>
        <v>0</v>
      </c>
      <c r="EL356" s="13">
        <f>OCC_DAYS*$EB$41*R_NF_2023-ED356*MCD_SHARE_FREED*R_WAIT_2023</f>
        <v>50660.16094069735</v>
      </c>
      <c r="EM356">
        <f>IF($A356&lt;=$EB$45,1,0)</f>
        <v>0</v>
      </c>
      <c r="FB356">
        <f>IF($FB$31&lt;=$FB$32,IF($A356&lt;=$FB$7,1,2),IF($A356&lt;=RUNG_BEDS_2,2,1))</f>
        <v>1</v>
      </c>
      <c r="FC356" s="5">
        <f>MIN(1,MAX(0,$FB$26-($A356-1)))</f>
        <v>0</v>
      </c>
      <c r="FD356" s="5">
        <f>$FB$25*(FC356+(1-FC356)*$FB$16)</f>
        <v>0.0</v>
      </c>
      <c r="FE356" s="13">
        <f>FD356*($FB$6+ACUTE_MARGIN)</f>
        <v>0.0</v>
      </c>
      <c r="FF356" s="13">
        <f>IF(FB356=1,$FB$31,$FB$32)</f>
        <v>156636.04979437485</v>
      </c>
      <c r="FG356" s="13">
        <f>FE356-FF356</f>
        <v>-156636.04979437485</v>
      </c>
      <c r="FH356" s="13">
        <f>FH355+FG356</f>
        <v>-4532670.965592117</v>
      </c>
      <c r="FI356">
        <f>IF(FH356=MAX($FH$83:$FH$483),$A356,0)</f>
        <v>0</v>
      </c>
      <c r="FJ356">
        <f>IF(FE356&lt;FF356,$A356,B_MAX+1)</f>
        <v>273</v>
      </c>
      <c r="FK356" s="13">
        <f>IF(FB356=1,$FB$35,$FB$36)</f>
        <v>0</v>
      </c>
      <c r="FL356" s="13">
        <f>OCC_DAYS*$FB$41*R_NF_2023-FD356*MCD_SHARE_FREED*R_WAIT_2023</f>
        <v>151980.48282209205</v>
      </c>
      <c r="FM356">
        <f>IF($A356&lt;=$FB$45,1,0)</f>
        <v>0</v>
      </c>
      <c r="GB356">
        <f>IF($GB$31&lt;=$GB$32,IF($A356&lt;=$GB$7,1,2),IF($A356&lt;=RUNG_BEDS_2,2,1))</f>
        <v>1</v>
      </c>
      <c r="GC356" s="5">
        <f>MIN(1,MAX(0,$GB$26-($A356-1)))</f>
        <v>0</v>
      </c>
      <c r="GD356" s="5">
        <f>$GB$25*(GC356+(1-GC356)*$GB$16)</f>
        <v>0.0</v>
      </c>
      <c r="GE356" s="13">
        <f>GD356*($GB$6+ACUTE_MARGIN)</f>
        <v>0.0</v>
      </c>
      <c r="GF356" s="13">
        <f>IF(GB356=1,$GB$31,$GB$32)</f>
        <v>152394.16214437486</v>
      </c>
      <c r="GG356" s="13">
        <f>GE356-GF356</f>
        <v>-152394.16214437486</v>
      </c>
      <c r="GH356" s="13">
        <f>GH355+GG356</f>
        <v>-3374635.637142002</v>
      </c>
      <c r="GI356">
        <f>IF(GH356=MAX($GH$83:$GH$483),$A356,0)</f>
        <v>0</v>
      </c>
      <c r="GJ356">
        <f>IF(GE356&lt;GF356,$A356,B_MAX+1)</f>
        <v>273</v>
      </c>
      <c r="GK356" s="13">
        <f>IF(GB356=1,$GB$35,$GB$36)</f>
        <v>0</v>
      </c>
      <c r="GL356" s="13">
        <f>OCC_DAYS*$GB$41*R_NF_2023-GD356*MCD_SHARE_FREED*R_WAIT_2023</f>
        <v>151980.48282209205</v>
      </c>
      <c r="GM356">
        <f>IF($A356&lt;=$GB$45,1,0)</f>
        <v>0</v>
      </c>
      <c r="HB356">
        <f>IF($HB$31&lt;=$HB$32,IF($A356&lt;=$HB$7,1,2),IF($A356&lt;=RUNG_BEDS_2,2,1))</f>
        <v>1</v>
      </c>
      <c r="HC356" s="5">
        <f>MIN(1,MAX(0,$HB$26-($A356-1)))</f>
        <v>0</v>
      </c>
      <c r="HD356" s="5">
        <f>$HB$25*(HC356+(1-HC356)*$HB$16)</f>
        <v>0.0</v>
      </c>
      <c r="HE356" s="13">
        <f>HD356*($HB$6+ACUTE_MARGIN)</f>
        <v>0.0</v>
      </c>
      <c r="HF356" s="13">
        <f>IF(HB356=1,$HB$31,$HB$32)</f>
        <v>152456.2970814058</v>
      </c>
      <c r="HG356" s="13">
        <f>HE356-HF356</f>
        <v>-152456.2970814058</v>
      </c>
      <c r="HH356" s="13">
        <f>HH355+HG356</f>
        <v>-3391598.4749514866</v>
      </c>
      <c r="HI356">
        <f>IF(HH356=MAX($HH$83:$HH$483),$A356,0)</f>
        <v>0</v>
      </c>
      <c r="HJ356">
        <f>IF(HE356&lt;HF356,$A356,B_MAX+1)</f>
        <v>273</v>
      </c>
      <c r="HK356" s="13">
        <f>IF(HB356=1,$HB$35,$HB$36)</f>
        <v>0</v>
      </c>
      <c r="HL356" s="13">
        <f>OCC_DAYS*$HB$41*R_NF_2023-HD356*MCD_SHARE_FREED*R_WAIT_2023</f>
        <v>151980.48282209205</v>
      </c>
      <c r="HM356">
        <f>IF($A356&lt;=$HB$45,1,0)</f>
        <v>0</v>
      </c>
      <c r="IB356">
        <f>IF($IB$31&lt;=$IB$32,IF($A356&lt;=$IB$7,1,2),IF($A356&lt;=RUNG_BEDS_2,2,1))</f>
        <v>1</v>
      </c>
      <c r="IC356" s="5">
        <f>MIN(1,MAX(0,$IB$26-($A356-1)))</f>
        <v>0</v>
      </c>
      <c r="ID356" s="5">
        <f>$IB$25*(IC356+(1-IC356)*$IB$16)</f>
        <v>0.0</v>
      </c>
      <c r="IE356" s="13">
        <f>ID356*($IB$6+ACUTE_MARGIN)</f>
        <v>0.0</v>
      </c>
      <c r="IF356" s="13">
        <f>IF(IB356=1,$IB$31,$IB$32)</f>
        <v>152734.9994534971</v>
      </c>
      <c r="IG356" s="13">
        <f>IE356-IF356</f>
        <v>-152734.9994534971</v>
      </c>
      <c r="IH356" s="13">
        <f>IH355+IG356</f>
        <v>-3467684.2225324656</v>
      </c>
      <c r="II356">
        <f>IF(IH356=MAX($IH$83:$IH$483),$A356,0)</f>
        <v>0</v>
      </c>
      <c r="IJ356">
        <f>IF(IE356&lt;IF356,$A356,B_MAX+1)</f>
        <v>273</v>
      </c>
      <c r="IK356" s="13">
        <f>IF(IB356=1,$IB$35,$IB$36)</f>
        <v>0</v>
      </c>
      <c r="IL356" s="13">
        <f>OCC_DAYS*$IB$41*R_NF_2023-ID356*MCD_SHARE_FREED*R_WAIT_2023</f>
        <v>151980.48282209205</v>
      </c>
      <c r="IM356">
        <f>IF($A356&lt;=$IB$45,1,0)</f>
        <v>0</v>
      </c>
      <c r="JB356">
        <f>IF($JB$31&lt;=$JB$32,IF($A356&lt;=$JB$7,1,2),IF($A356&lt;=RUNG_BEDS_2,2,1))</f>
        <v>1</v>
      </c>
      <c r="JC356" s="5">
        <f>MIN(1,MAX(0,$JB$26-($A356-1)))</f>
        <v>0</v>
      </c>
      <c r="JD356" s="5">
        <f>$JB$25*(JC356+(1-JC356)*$JB$16)</f>
        <v>0.0</v>
      </c>
      <c r="JE356" s="13">
        <f>JD356*($JB$6+ACUTE_MARGIN)</f>
        <v>0.0</v>
      </c>
      <c r="JF356" s="13">
        <f>IF(JB356=1,$JB$31,$JB$32)</f>
        <v>152394.16214437486</v>
      </c>
      <c r="JG356" s="13">
        <f>JE356-JF356</f>
        <v>-152394.16214437486</v>
      </c>
      <c r="JH356" s="13">
        <f>JH355+JG356</f>
        <v>-3374635.637142002</v>
      </c>
      <c r="JI356">
        <f>IF(JH356=MAX($JH$83:$JH$483),$A356,0)</f>
        <v>0</v>
      </c>
      <c r="JJ356">
        <f>IF(JE356&lt;JF356,$A356,B_MAX+1)</f>
        <v>273</v>
      </c>
      <c r="JK356" s="13">
        <f>IF(JB356=1,$JB$35,$JB$36)</f>
        <v>0</v>
      </c>
      <c r="JL356" s="13">
        <f>OCC_DAYS*$JB$41*R_NF_2023-JD356*MCD_SHARE_FREED*R_WAIT_2023</f>
        <v>151980.48282209205</v>
      </c>
      <c r="JM356">
        <f>IF($A356&lt;=$JB$45,1,0)</f>
        <v>0</v>
      </c>
      <c r="KB356">
        <f>IF($KB$31&lt;=$KB$32,IF($A356&lt;=$KB$7,1,2),IF($A356&lt;=RUNG_BEDS_2,2,1))</f>
        <v>1</v>
      </c>
      <c r="KC356" s="5">
        <f>MIN(1,MAX(0,$KB$26-($A356-1)))</f>
        <v>1</v>
      </c>
      <c r="KD356" s="5">
        <f>$KB$25*(KC356+(1-KC356)*$KB$16)</f>
        <v>126.02661357340719</v>
      </c>
      <c r="KE356" s="13">
        <f>KD356*($KB$6+ACUTE_MARGIN)</f>
        <v>127286.87970914126</v>
      </c>
      <c r="KF356" s="13">
        <f>IF(KB356=1,$KB$31,$KB$32)</f>
        <v>152394.16214437486</v>
      </c>
      <c r="KG356" s="13">
        <f>KE356-KF356</f>
        <v>-25107.282435233603</v>
      </c>
      <c r="KH356" s="13">
        <f>KH355+KG356</f>
        <v>-6854288.104818797</v>
      </c>
      <c r="KI356">
        <f>IF(KH356=MAX($KH$83:$KH$483),$A356,0)</f>
        <v>0</v>
      </c>
      <c r="KJ356">
        <f>IF(KE356&lt;KF356,$A356,B_MAX+1)</f>
        <v>273</v>
      </c>
      <c r="KK356" s="13">
        <f>IF(KB356=1,$KB$35,$KB$36)</f>
        <v>0</v>
      </c>
      <c r="KL356" s="13">
        <f>OCC_DAYS*$KB$41*R_NF_2023-KD356*MCD_SHARE_FREED*R_WAIT_2023</f>
        <v>94673.82103225985</v>
      </c>
      <c r="KM356">
        <f>IF($A356&lt;=$KB$45,1,0)</f>
        <v>0</v>
      </c>
      <c r="LB356">
        <f>IF($LB$31&lt;=$LB$32,IF($A356&lt;=$LB$7,1,2),IF($A356&lt;=RUNG_BEDS_2,2,1))</f>
        <v>1</v>
      </c>
      <c r="LC356" s="5">
        <f>MIN(1,MAX(0,$LB$26-($A356-1)))</f>
        <v>1</v>
      </c>
      <c r="LD356" s="5">
        <f>$LB$25*(LC356+(1-LC356)*$LB$16)</f>
        <v>84.01774238227146</v>
      </c>
      <c r="LE356" s="13">
        <f>LD356*($LB$6+ACUTE_MARGIN)</f>
        <v>84857.91980609419</v>
      </c>
      <c r="LF356" s="13">
        <f>IF(LB356=1,$LB$31,$LB$32)</f>
        <v>152394.16214437486</v>
      </c>
      <c r="LG356" s="13">
        <f>LE356-LF356</f>
        <v>-67536.24233828067</v>
      </c>
      <c r="LH356" s="13">
        <f>LH355+LG356</f>
        <v>-18437394.158350717</v>
      </c>
      <c r="LI356">
        <f>IF(LH356=MAX($LH$83:$LH$483),$A356,0)</f>
        <v>0</v>
      </c>
      <c r="LJ356">
        <f>IF(LE356&lt;LF356,$A356,B_MAX+1)</f>
        <v>273</v>
      </c>
      <c r="LK356" s="13">
        <f>IF(LB356=1,$LB$35,$LB$36)</f>
        <v>0</v>
      </c>
      <c r="LL356" s="13">
        <f>OCC_DAYS*$LB$41*R_NF_2023-LD356*MCD_SHARE_FREED*R_WAIT_2023</f>
        <v>113776.04162887059</v>
      </c>
      <c r="LM356">
        <f>IF($A356&lt;=$LB$45,1,0)</f>
        <v>0</v>
      </c>
      <c r="MB356">
        <f>IF($MB$31&lt;=$MB$32,IF($A356&lt;=$MB$7,1,2),IF($A356&lt;=RUNG_BEDS_2,2,1))</f>
        <v>1</v>
      </c>
      <c r="MC356" s="5">
        <f>MIN(1,MAX(0,$MB$26-($A356-1)))</f>
        <v>0</v>
      </c>
      <c r="MD356" s="5">
        <f>$MB$25*(MC356+(1-MC356)*$MB$16)</f>
        <v>0.0</v>
      </c>
      <c r="ME356" s="13">
        <f>MD356*($MB$6+ACUTE_MARGIN)</f>
        <v>0.0</v>
      </c>
      <c r="MF356" s="13">
        <f>IF(MB356=1,$MB$31,$MB$32)</f>
        <v>152394.16214437486</v>
      </c>
      <c r="MG356" s="13">
        <f>ME356-MF356</f>
        <v>-152394.16214437486</v>
      </c>
      <c r="MH356" s="13">
        <f>MH355+MG356</f>
        <v>-9261911.698940333</v>
      </c>
      <c r="MI356">
        <f>IF(MH356=MAX($MH$83:$MH$483),$A356,0)</f>
        <v>0</v>
      </c>
      <c r="MJ356">
        <f>IF(ME356&lt;MF356,$A356,B_MAX+1)</f>
        <v>273</v>
      </c>
      <c r="MK356" s="13">
        <f>IF(MB356=1,$MB$35,$MB$36)</f>
        <v>0</v>
      </c>
      <c r="ML356" s="13">
        <f>OCC_DAYS*$MB$41*R_NF_2023-MD356*MCD_SHARE_FREED*R_WAIT_2023</f>
        <v>151980.48282209205</v>
      </c>
      <c r="MM356">
        <f>IF($A356&lt;=$MB$45,1,0)</f>
        <v>0</v>
      </c>
      <c r="NB356">
        <f>IF($NB$31&lt;=$NB$32,IF($A356&lt;=$NB$7,1,2),IF($A356&lt;=RUNG_BEDS_2,2,1))</f>
        <v>1</v>
      </c>
      <c r="NC356" s="5">
        <f>MIN(1,MAX(0,$NB$26-($A356-1)))</f>
        <v>0</v>
      </c>
      <c r="ND356" s="5">
        <f>$NB$25*(NC356+(1-NC356)*$NB$16)</f>
        <v>63.013306786703595</v>
      </c>
      <c r="NE356" s="13">
        <f>ND356*($NB$6+ACUTE_MARGIN)</f>
        <v>63643.43985457063</v>
      </c>
      <c r="NF356" s="13">
        <f>IF(NB356=1,$NB$31,$NB$32)</f>
        <v>152394.16214437486</v>
      </c>
      <c r="NG356" s="13">
        <f>NE356-NF356</f>
        <v>-88750.72228980422</v>
      </c>
      <c r="NH356" s="13">
        <f>NH355+NG356</f>
        <v>4442780.786087673</v>
      </c>
      <c r="NI356">
        <f>IF(NH356=MAX($NH$83:$NH$483),$A356,0)</f>
        <v>0</v>
      </c>
      <c r="NJ356">
        <f>IF(NE356&lt;NF356,$A356,B_MAX+1)</f>
        <v>273</v>
      </c>
      <c r="NK356" s="13">
        <f>IF(NB356=1,$NB$35,$NB$36)</f>
        <v>0</v>
      </c>
      <c r="NL356" s="13">
        <f>OCC_DAYS*$NB$41*R_NF_2023-ND356*MCD_SHARE_FREED*R_WAIT_2023</f>
        <v>123327.15192717595</v>
      </c>
      <c r="NM356">
        <f>IF($A356&lt;=$NB$45,1,0)</f>
        <v>0</v>
      </c>
      <c r="OB356">
        <f>IF($OB$31&lt;=$OB$32,IF($A356&lt;=$OB$7,1,2),IF($A356&lt;=RUNG_BEDS_2,2,1))</f>
        <v>1</v>
      </c>
      <c r="OC356" s="5">
        <f>MIN(1,MAX(0,$OB$26-($A356-1)))</f>
        <v>0</v>
      </c>
      <c r="OD356" s="5">
        <f>$OB$25*(OC356+(1-OC356)*$OB$16)</f>
        <v>126.02661357340719</v>
      </c>
      <c r="OE356" s="13">
        <f>OD356*($OB$6+ACUTE_MARGIN)</f>
        <v>127286.87970914126</v>
      </c>
      <c r="OF356" s="13">
        <f>IF(OB356=1,$OB$31,$OB$32)</f>
        <v>152394.16214437486</v>
      </c>
      <c r="OG356" s="13">
        <f>OE356-OF356</f>
        <v>-25107.282435233603</v>
      </c>
      <c r="OH356" s="13">
        <f>OH355+OG356</f>
        <v>12260197.209317511</v>
      </c>
      <c r="OI356">
        <f>IF(OH356=MAX($OH$83:$OH$483),$A356,0)</f>
        <v>0</v>
      </c>
      <c r="OJ356">
        <f>IF(OE356&lt;OF356,$A356,B_MAX+1)</f>
        <v>273</v>
      </c>
      <c r="OK356" s="13">
        <f>IF(OB356=1,$OB$35,$OB$36)</f>
        <v>0</v>
      </c>
      <c r="OL356" s="13">
        <f>OCC_DAYS*$OB$41*R_NF_2023-OD356*MCD_SHARE_FREED*R_WAIT_2023</f>
        <v>94673.82103225985</v>
      </c>
      <c r="OM356">
        <f>IF($A356&lt;=$OB$45,1,0)</f>
        <v>0</v>
      </c>
    </row>
    <row r="357">
      <c r="A357" t="n">
        <v>274</v>
      </c>
      <c r="B357">
        <f>IF($B$31&lt;=$B$32,IF($A357&lt;=$B$7,1,2),IF($A357&lt;=RUNG_BEDS_2,2,1))</f>
        <v>1</v>
      </c>
      <c r="C357" s="5">
        <f>MIN(1,MAX(0,$B$26-($A357-1)))</f>
        <v>0</v>
      </c>
      <c r="D357" s="5">
        <f>$B$25*(C357+(1-C357)*$B$16)</f>
        <v>0.0</v>
      </c>
      <c r="E357" s="13">
        <f>D357*($B$6+ACUTE_MARGIN)</f>
        <v>0.0</v>
      </c>
      <c r="F357" s="13">
        <f>IF(B357=1,$B$31,$B$32)</f>
        <v>152394.16214437486</v>
      </c>
      <c r="G357" s="13">
        <f>E357-F357</f>
        <v>-152394.16214437486</v>
      </c>
      <c r="H357" s="13">
        <f>H356+G357</f>
        <v>-3527029.799286377</v>
      </c>
      <c r="I357">
        <f>IF(H357=MAX($H$83:$H$483),$A357,0)</f>
        <v>0</v>
      </c>
      <c r="J357">
        <f>IF(E357&lt;F357,$A357,B_MAX+1)</f>
        <v>274</v>
      </c>
      <c r="K357" s="13">
        <f>IF(B357=1,$B$35,$B$36)</f>
        <v>0</v>
      </c>
      <c r="L357" s="13">
        <f>OCC_DAYS*$B$41*R_NF_2023-D357*MCD_SHARE_FREED*R_WAIT_2023</f>
        <v>151980.48282209205</v>
      </c>
      <c r="M357">
        <f>IF($A357&lt;=$B$45,1,0)</f>
        <v>0</v>
      </c>
      <c r="AB357">
        <f>IF($AB$31&lt;=$AB$32,IF($A357&lt;=$AB$7,1,2),IF($A357&lt;=RUNG_BEDS_2,2,1))</f>
        <v>1</v>
      </c>
      <c r="AC357" s="5">
        <f>MIN(1,MAX(0,$AB$26-($A357-1)))</f>
        <v>0</v>
      </c>
      <c r="AD357" s="5">
        <f>$AB$25*(AC357+(1-AC357)*$AB$16)</f>
        <v>0.0</v>
      </c>
      <c r="AE357" s="13">
        <f>AD357*($AB$6+ACUTE_MARGIN)</f>
        <v>0.0</v>
      </c>
      <c r="AF357" s="13">
        <f>IF(AB357=1,$AB$31,$AB$32)</f>
        <v>152394.16214437486</v>
      </c>
      <c r="AG357" s="13">
        <f>AE357-AF357</f>
        <v>-152394.16214437486</v>
      </c>
      <c r="AH357" s="13">
        <f>AH356+AG357</f>
        <v>-20938244.144836143</v>
      </c>
      <c r="AI357">
        <f>IF(AH357=MAX($AH$83:$AH$483),$A357,0)</f>
        <v>0</v>
      </c>
      <c r="AJ357">
        <f>IF(AE357&lt;AF357,$A357,B_MAX+1)</f>
        <v>274</v>
      </c>
      <c r="AK357" s="13">
        <f>IF(AB357=1,$AB$35,$AB$36)</f>
        <v>0</v>
      </c>
      <c r="AL357" s="13">
        <f>OCC_DAYS*$AB$41*R_NF_2023-AD357*MCD_SHARE_FREED*R_WAIT_2023</f>
        <v>151980.48282209205</v>
      </c>
      <c r="AM357">
        <f>IF($A357&lt;=$AB$45,1,0)</f>
        <v>0</v>
      </c>
      <c r="BB357">
        <f>IF($BB$31&lt;=$BB$32,IF($A357&lt;=$BB$7,1,2),IF($A357&lt;=RUNG_BEDS_2,2,1))</f>
        <v>1</v>
      </c>
      <c r="BC357" s="5">
        <f>MIN(1,MAX(0,$BB$26-($A357-1)))</f>
        <v>0</v>
      </c>
      <c r="BD357" s="5">
        <f>$BB$25*(BC357+(1-BC357)*$BB$16)</f>
        <v>0.0</v>
      </c>
      <c r="BE357" s="13">
        <f>BD357*($BB$6+ACUTE_MARGIN)</f>
        <v>0.0</v>
      </c>
      <c r="BF357" s="13">
        <f>IF(BB357=1,$BB$31,$BB$32)</f>
        <v>152394.16214437486</v>
      </c>
      <c r="BG357" s="13">
        <f>BE357-BF357</f>
        <v>-152394.16214437486</v>
      </c>
      <c r="BH357" s="13">
        <f>BH356+BG357</f>
        <v>13884184.546263352</v>
      </c>
      <c r="BI357">
        <f>IF(BH357=MAX($BH$83:$BH$483),$A357,0)</f>
        <v>0</v>
      </c>
      <c r="BJ357">
        <f>IF(BE357&lt;BF357,$A357,B_MAX+1)</f>
        <v>274</v>
      </c>
      <c r="BK357" s="13">
        <f>IF(BB357=1,$BB$35,$BB$36)</f>
        <v>0</v>
      </c>
      <c r="BL357" s="13">
        <f>OCC_DAYS*$BB$41*R_NF_2023-BD357*MCD_SHARE_FREED*R_WAIT_2023</f>
        <v>151980.48282209205</v>
      </c>
      <c r="BM357">
        <f>IF($A357&lt;=$BB$45,1,0)</f>
        <v>0</v>
      </c>
      <c r="CB357">
        <f>IF($CB$31&lt;=$CB$32,IF($A357&lt;=$CB$7,1,2),IF($A357&lt;=RUNG_BEDS_2,2,1))</f>
        <v>2</v>
      </c>
      <c r="CC357" s="5">
        <f>MIN(1,MAX(0,$CB$26-($A357-1)))</f>
        <v>0</v>
      </c>
      <c r="CD357" s="5">
        <f>$CB$25*(CC357+(1-CC357)*$CB$16)</f>
        <v>0.0</v>
      </c>
      <c r="CE357" s="13">
        <f>CD357*($CB$6+ACUTE_MARGIN)</f>
        <v>0.0</v>
      </c>
      <c r="CF357" s="13">
        <f>IF(CB357=1,$CB$31,$CB$32)</f>
        <v>160718.36940738867</v>
      </c>
      <c r="CG357" s="13">
        <f>CE357-CF357</f>
        <v>-160718.36940738867</v>
      </c>
      <c r="CH357" s="13">
        <f>CH356+CG357</f>
        <v>-5807862.589352273</v>
      </c>
      <c r="CI357">
        <f>IF(CH357=MAX($CH$83:$CH$483),$A357,0)</f>
        <v>0</v>
      </c>
      <c r="CJ357">
        <f>IF(CE357&lt;CF357,$A357,B_MAX+1)</f>
        <v>274</v>
      </c>
      <c r="CK357" s="13">
        <f>IF(CB357=1,$CB$35,$CB$36)</f>
        <v>1560.1194073886782</v>
      </c>
      <c r="CL357" s="13">
        <f>OCC_DAYS*$CB$41*R_NF_2023-CD357*MCD_SHARE_FREED*R_WAIT_2023</f>
        <v>151980.48282209205</v>
      </c>
      <c r="CM357">
        <f>IF($A357&lt;=$CB$45,1,0)</f>
        <v>0</v>
      </c>
      <c r="DB357">
        <f>IF($DB$31&lt;=$DB$32,IF($A357&lt;=$DB$7,1,2),IF($A357&lt;=RUNG_BEDS_2,2,1))</f>
        <v>1</v>
      </c>
      <c r="DC357" s="5">
        <f>MIN(1,MAX(0,$DB$26-($A357-1)))</f>
        <v>0</v>
      </c>
      <c r="DD357" s="5">
        <f>$DB$25*(DC357+(1-DC357)*$DB$16)</f>
        <v>0.0</v>
      </c>
      <c r="DE357" s="13">
        <f>DD357*($DB$6+ACUTE_MARGIN)</f>
        <v>0.0</v>
      </c>
      <c r="DF357" s="13">
        <f>IF(DB357=1,$DB$31,$DB$32)</f>
        <v>152394.16214437486</v>
      </c>
      <c r="DG357" s="13">
        <f>DE357-DF357</f>
        <v>-152394.16214437486</v>
      </c>
      <c r="DH357" s="13">
        <f>DH356+DG357</f>
        <v>-3527029.799286377</v>
      </c>
      <c r="DI357">
        <f>IF(DH357=MAX($DH$83:$DH$483),$A357,0)</f>
        <v>0</v>
      </c>
      <c r="DJ357">
        <f>IF(DE357&lt;DF357,$A357,B_MAX+1)</f>
        <v>274</v>
      </c>
      <c r="DK357" s="13">
        <f>IF(DB357=1,$DB$35,$DB$36)</f>
        <v>0</v>
      </c>
      <c r="DL357" s="13">
        <f>OCC_DAYS*$DB$41*R_NF_2023-DD357*MCD_SHARE_FREED*R_WAIT_2023</f>
        <v>151980.48282209205</v>
      </c>
      <c r="DM357">
        <f>IF($A357&lt;=$DB$45,1,0)</f>
        <v>0</v>
      </c>
      <c r="EB357">
        <f>IF($EB$31&lt;=$EB$32,IF($A357&lt;=$EB$7,1,2),IF($A357&lt;=RUNG_BEDS_2,2,1))</f>
        <v>1</v>
      </c>
      <c r="EC357" s="5">
        <f>MIN(1,MAX(0,$EB$26-($A357-1)))</f>
        <v>0</v>
      </c>
      <c r="ED357" s="5">
        <f>$EB$25*(EC357+(1-EC357)*$EB$16)</f>
        <v>0.0</v>
      </c>
      <c r="EE357" s="13">
        <f>ED357*($EB$6+ACUTE_MARGIN)</f>
        <v>0.0</v>
      </c>
      <c r="EF357" s="13">
        <f>IF(EB357=1,$EB$31,$EB$32)</f>
        <v>152394.16214437486</v>
      </c>
      <c r="EG357" s="13">
        <f>EE357-EF357</f>
        <v>-152394.16214437486</v>
      </c>
      <c r="EH357" s="13">
        <f>EH356+EG357</f>
        <v>-3527029.799286377</v>
      </c>
      <c r="EI357">
        <f>IF(EH357=MAX($EH$83:$EH$483),$A357,0)</f>
        <v>0</v>
      </c>
      <c r="EJ357">
        <f>IF(EE357&lt;EF357,$A357,B_MAX+1)</f>
        <v>274</v>
      </c>
      <c r="EK357" s="13">
        <f>IF(EB357=1,$EB$35,$EB$36)</f>
        <v>0</v>
      </c>
      <c r="EL357" s="13">
        <f>OCC_DAYS*$EB$41*R_NF_2023-ED357*MCD_SHARE_FREED*R_WAIT_2023</f>
        <v>50660.16094069735</v>
      </c>
      <c r="EM357">
        <f>IF($A357&lt;=$EB$45,1,0)</f>
        <v>0</v>
      </c>
      <c r="FB357">
        <f>IF($FB$31&lt;=$FB$32,IF($A357&lt;=$FB$7,1,2),IF($A357&lt;=RUNG_BEDS_2,2,1))</f>
        <v>1</v>
      </c>
      <c r="FC357" s="5">
        <f>MIN(1,MAX(0,$FB$26-($A357-1)))</f>
        <v>0</v>
      </c>
      <c r="FD357" s="5">
        <f>$FB$25*(FC357+(1-FC357)*$FB$16)</f>
        <v>0.0</v>
      </c>
      <c r="FE357" s="13">
        <f>FD357*($FB$6+ACUTE_MARGIN)</f>
        <v>0.0</v>
      </c>
      <c r="FF357" s="13">
        <f>IF(FB357=1,$FB$31,$FB$32)</f>
        <v>156636.04979437485</v>
      </c>
      <c r="FG357" s="13">
        <f>FE357-FF357</f>
        <v>-156636.04979437485</v>
      </c>
      <c r="FH357" s="13">
        <f>FH356+FG357</f>
        <v>-4689307.015386492</v>
      </c>
      <c r="FI357">
        <f>IF(FH357=MAX($FH$83:$FH$483),$A357,0)</f>
        <v>0</v>
      </c>
      <c r="FJ357">
        <f>IF(FE357&lt;FF357,$A357,B_MAX+1)</f>
        <v>274</v>
      </c>
      <c r="FK357" s="13">
        <f>IF(FB357=1,$FB$35,$FB$36)</f>
        <v>0</v>
      </c>
      <c r="FL357" s="13">
        <f>OCC_DAYS*$FB$41*R_NF_2023-FD357*MCD_SHARE_FREED*R_WAIT_2023</f>
        <v>151980.48282209205</v>
      </c>
      <c r="FM357">
        <f>IF($A357&lt;=$FB$45,1,0)</f>
        <v>0</v>
      </c>
      <c r="GB357">
        <f>IF($GB$31&lt;=$GB$32,IF($A357&lt;=$GB$7,1,2),IF($A357&lt;=RUNG_BEDS_2,2,1))</f>
        <v>1</v>
      </c>
      <c r="GC357" s="5">
        <f>MIN(1,MAX(0,$GB$26-($A357-1)))</f>
        <v>0</v>
      </c>
      <c r="GD357" s="5">
        <f>$GB$25*(GC357+(1-GC357)*$GB$16)</f>
        <v>0.0</v>
      </c>
      <c r="GE357" s="13">
        <f>GD357*($GB$6+ACUTE_MARGIN)</f>
        <v>0.0</v>
      </c>
      <c r="GF357" s="13">
        <f>IF(GB357=1,$GB$31,$GB$32)</f>
        <v>152394.16214437486</v>
      </c>
      <c r="GG357" s="13">
        <f>GE357-GF357</f>
        <v>-152394.16214437486</v>
      </c>
      <c r="GH357" s="13">
        <f>GH356+GG357</f>
        <v>-3527029.799286377</v>
      </c>
      <c r="GI357">
        <f>IF(GH357=MAX($GH$83:$GH$483),$A357,0)</f>
        <v>0</v>
      </c>
      <c r="GJ357">
        <f>IF(GE357&lt;GF357,$A357,B_MAX+1)</f>
        <v>274</v>
      </c>
      <c r="GK357" s="13">
        <f>IF(GB357=1,$GB$35,$GB$36)</f>
        <v>0</v>
      </c>
      <c r="GL357" s="13">
        <f>OCC_DAYS*$GB$41*R_NF_2023-GD357*MCD_SHARE_FREED*R_WAIT_2023</f>
        <v>151980.48282209205</v>
      </c>
      <c r="GM357">
        <f>IF($A357&lt;=$GB$45,1,0)</f>
        <v>0</v>
      </c>
      <c r="HB357">
        <f>IF($HB$31&lt;=$HB$32,IF($A357&lt;=$HB$7,1,2),IF($A357&lt;=RUNG_BEDS_2,2,1))</f>
        <v>1</v>
      </c>
      <c r="HC357" s="5">
        <f>MIN(1,MAX(0,$HB$26-($A357-1)))</f>
        <v>0</v>
      </c>
      <c r="HD357" s="5">
        <f>$HB$25*(HC357+(1-HC357)*$HB$16)</f>
        <v>0.0</v>
      </c>
      <c r="HE357" s="13">
        <f>HD357*($HB$6+ACUTE_MARGIN)</f>
        <v>0.0</v>
      </c>
      <c r="HF357" s="13">
        <f>IF(HB357=1,$HB$31,$HB$32)</f>
        <v>152456.2970814058</v>
      </c>
      <c r="HG357" s="13">
        <f>HE357-HF357</f>
        <v>-152456.2970814058</v>
      </c>
      <c r="HH357" s="13">
        <f>HH356+HG357</f>
        <v>-3544054.7720328923</v>
      </c>
      <c r="HI357">
        <f>IF(HH357=MAX($HH$83:$HH$483),$A357,0)</f>
        <v>0</v>
      </c>
      <c r="HJ357">
        <f>IF(HE357&lt;HF357,$A357,B_MAX+1)</f>
        <v>274</v>
      </c>
      <c r="HK357" s="13">
        <f>IF(HB357=1,$HB$35,$HB$36)</f>
        <v>0</v>
      </c>
      <c r="HL357" s="13">
        <f>OCC_DAYS*$HB$41*R_NF_2023-HD357*MCD_SHARE_FREED*R_WAIT_2023</f>
        <v>151980.48282209205</v>
      </c>
      <c r="HM357">
        <f>IF($A357&lt;=$HB$45,1,0)</f>
        <v>0</v>
      </c>
      <c r="IB357">
        <f>IF($IB$31&lt;=$IB$32,IF($A357&lt;=$IB$7,1,2),IF($A357&lt;=RUNG_BEDS_2,2,1))</f>
        <v>1</v>
      </c>
      <c r="IC357" s="5">
        <f>MIN(1,MAX(0,$IB$26-($A357-1)))</f>
        <v>0</v>
      </c>
      <c r="ID357" s="5">
        <f>$IB$25*(IC357+(1-IC357)*$IB$16)</f>
        <v>0.0</v>
      </c>
      <c r="IE357" s="13">
        <f>ID357*($IB$6+ACUTE_MARGIN)</f>
        <v>0.0</v>
      </c>
      <c r="IF357" s="13">
        <f>IF(IB357=1,$IB$31,$IB$32)</f>
        <v>152734.9994534971</v>
      </c>
      <c r="IG357" s="13">
        <f>IE357-IF357</f>
        <v>-152734.9994534971</v>
      </c>
      <c r="IH357" s="13">
        <f>IH356+IG357</f>
        <v>-3620419.2219859627</v>
      </c>
      <c r="II357">
        <f>IF(IH357=MAX($IH$83:$IH$483),$A357,0)</f>
        <v>0</v>
      </c>
      <c r="IJ357">
        <f>IF(IE357&lt;IF357,$A357,B_MAX+1)</f>
        <v>274</v>
      </c>
      <c r="IK357" s="13">
        <f>IF(IB357=1,$IB$35,$IB$36)</f>
        <v>0</v>
      </c>
      <c r="IL357" s="13">
        <f>OCC_DAYS*$IB$41*R_NF_2023-ID357*MCD_SHARE_FREED*R_WAIT_2023</f>
        <v>151980.48282209205</v>
      </c>
      <c r="IM357">
        <f>IF($A357&lt;=$IB$45,1,0)</f>
        <v>0</v>
      </c>
      <c r="JB357">
        <f>IF($JB$31&lt;=$JB$32,IF($A357&lt;=$JB$7,1,2),IF($A357&lt;=RUNG_BEDS_2,2,1))</f>
        <v>1</v>
      </c>
      <c r="JC357" s="5">
        <f>MIN(1,MAX(0,$JB$26-($A357-1)))</f>
        <v>0</v>
      </c>
      <c r="JD357" s="5">
        <f>$JB$25*(JC357+(1-JC357)*$JB$16)</f>
        <v>0.0</v>
      </c>
      <c r="JE357" s="13">
        <f>JD357*($JB$6+ACUTE_MARGIN)</f>
        <v>0.0</v>
      </c>
      <c r="JF357" s="13">
        <f>IF(JB357=1,$JB$31,$JB$32)</f>
        <v>152394.16214437486</v>
      </c>
      <c r="JG357" s="13">
        <f>JE357-JF357</f>
        <v>-152394.16214437486</v>
      </c>
      <c r="JH357" s="13">
        <f>JH356+JG357</f>
        <v>-3527029.799286377</v>
      </c>
      <c r="JI357">
        <f>IF(JH357=MAX($JH$83:$JH$483),$A357,0)</f>
        <v>0</v>
      </c>
      <c r="JJ357">
        <f>IF(JE357&lt;JF357,$A357,B_MAX+1)</f>
        <v>274</v>
      </c>
      <c r="JK357" s="13">
        <f>IF(JB357=1,$JB$35,$JB$36)</f>
        <v>0</v>
      </c>
      <c r="JL357" s="13">
        <f>OCC_DAYS*$JB$41*R_NF_2023-JD357*MCD_SHARE_FREED*R_WAIT_2023</f>
        <v>151980.48282209205</v>
      </c>
      <c r="JM357">
        <f>IF($A357&lt;=$JB$45,1,0)</f>
        <v>0</v>
      </c>
      <c r="KB357">
        <f>IF($KB$31&lt;=$KB$32,IF($A357&lt;=$KB$7,1,2),IF($A357&lt;=RUNG_BEDS_2,2,1))</f>
        <v>1</v>
      </c>
      <c r="KC357" s="5">
        <f>MIN(1,MAX(0,$KB$26-($A357-1)))</f>
        <v>1</v>
      </c>
      <c r="KD357" s="5">
        <f>$KB$25*(KC357+(1-KC357)*$KB$16)</f>
        <v>126.02661357340719</v>
      </c>
      <c r="KE357" s="13">
        <f>KD357*($KB$6+ACUTE_MARGIN)</f>
        <v>127286.87970914126</v>
      </c>
      <c r="KF357" s="13">
        <f>IF(KB357=1,$KB$31,$KB$32)</f>
        <v>152394.16214437486</v>
      </c>
      <c r="KG357" s="13">
        <f>KE357-KF357</f>
        <v>-25107.282435233603</v>
      </c>
      <c r="KH357" s="13">
        <f>KH356+KG357</f>
        <v>-6879395.38725403</v>
      </c>
      <c r="KI357">
        <f>IF(KH357=MAX($KH$83:$KH$483),$A357,0)</f>
        <v>0</v>
      </c>
      <c r="KJ357">
        <f>IF(KE357&lt;KF357,$A357,B_MAX+1)</f>
        <v>274</v>
      </c>
      <c r="KK357" s="13">
        <f>IF(KB357=1,$KB$35,$KB$36)</f>
        <v>0</v>
      </c>
      <c r="KL357" s="13">
        <f>OCC_DAYS*$KB$41*R_NF_2023-KD357*MCD_SHARE_FREED*R_WAIT_2023</f>
        <v>94673.82103225985</v>
      </c>
      <c r="KM357">
        <f>IF($A357&lt;=$KB$45,1,0)</f>
        <v>0</v>
      </c>
      <c r="LB357">
        <f>IF($LB$31&lt;=$LB$32,IF($A357&lt;=$LB$7,1,2),IF($A357&lt;=RUNG_BEDS_2,2,1))</f>
        <v>1</v>
      </c>
      <c r="LC357" s="5">
        <f>MIN(1,MAX(0,$LB$26-($A357-1)))</f>
        <v>1</v>
      </c>
      <c r="LD357" s="5">
        <f>$LB$25*(LC357+(1-LC357)*$LB$16)</f>
        <v>84.01774238227146</v>
      </c>
      <c r="LE357" s="13">
        <f>LD357*($LB$6+ACUTE_MARGIN)</f>
        <v>84857.91980609419</v>
      </c>
      <c r="LF357" s="13">
        <f>IF(LB357=1,$LB$31,$LB$32)</f>
        <v>152394.16214437486</v>
      </c>
      <c r="LG357" s="13">
        <f>LE357-LF357</f>
        <v>-67536.24233828067</v>
      </c>
      <c r="LH357" s="13">
        <f>LH356+LG357</f>
        <v>-18504930.400689</v>
      </c>
      <c r="LI357">
        <f>IF(LH357=MAX($LH$83:$LH$483),$A357,0)</f>
        <v>0</v>
      </c>
      <c r="LJ357">
        <f>IF(LE357&lt;LF357,$A357,B_MAX+1)</f>
        <v>274</v>
      </c>
      <c r="LK357" s="13">
        <f>IF(LB357=1,$LB$35,$LB$36)</f>
        <v>0</v>
      </c>
      <c r="LL357" s="13">
        <f>OCC_DAYS*$LB$41*R_NF_2023-LD357*MCD_SHARE_FREED*R_WAIT_2023</f>
        <v>113776.04162887059</v>
      </c>
      <c r="LM357">
        <f>IF($A357&lt;=$LB$45,1,0)</f>
        <v>0</v>
      </c>
      <c r="MB357">
        <f>IF($MB$31&lt;=$MB$32,IF($A357&lt;=$MB$7,1,2),IF($A357&lt;=RUNG_BEDS_2,2,1))</f>
        <v>1</v>
      </c>
      <c r="MC357" s="5">
        <f>MIN(1,MAX(0,$MB$26-($A357-1)))</f>
        <v>0</v>
      </c>
      <c r="MD357" s="5">
        <f>$MB$25*(MC357+(1-MC357)*$MB$16)</f>
        <v>0.0</v>
      </c>
      <c r="ME357" s="13">
        <f>MD357*($MB$6+ACUTE_MARGIN)</f>
        <v>0.0</v>
      </c>
      <c r="MF357" s="13">
        <f>IF(MB357=1,$MB$31,$MB$32)</f>
        <v>152394.16214437486</v>
      </c>
      <c r="MG357" s="13">
        <f>ME357-MF357</f>
        <v>-152394.16214437486</v>
      </c>
      <c r="MH357" s="13">
        <f>MH356+MG357</f>
        <v>-9414305.861084707</v>
      </c>
      <c r="MI357">
        <f>IF(MH357=MAX($MH$83:$MH$483),$A357,0)</f>
        <v>0</v>
      </c>
      <c r="MJ357">
        <f>IF(ME357&lt;MF357,$A357,B_MAX+1)</f>
        <v>274</v>
      </c>
      <c r="MK357" s="13">
        <f>IF(MB357=1,$MB$35,$MB$36)</f>
        <v>0</v>
      </c>
      <c r="ML357" s="13">
        <f>OCC_DAYS*$MB$41*R_NF_2023-MD357*MCD_SHARE_FREED*R_WAIT_2023</f>
        <v>151980.48282209205</v>
      </c>
      <c r="MM357">
        <f>IF($A357&lt;=$MB$45,1,0)</f>
        <v>0</v>
      </c>
      <c r="NB357">
        <f>IF($NB$31&lt;=$NB$32,IF($A357&lt;=$NB$7,1,2),IF($A357&lt;=RUNG_BEDS_2,2,1))</f>
        <v>1</v>
      </c>
      <c r="NC357" s="5">
        <f>MIN(1,MAX(0,$NB$26-($A357-1)))</f>
        <v>0</v>
      </c>
      <c r="ND357" s="5">
        <f>$NB$25*(NC357+(1-NC357)*$NB$16)</f>
        <v>63.013306786703595</v>
      </c>
      <c r="NE357" s="13">
        <f>ND357*($NB$6+ACUTE_MARGIN)</f>
        <v>63643.43985457063</v>
      </c>
      <c r="NF357" s="13">
        <f>IF(NB357=1,$NB$31,$NB$32)</f>
        <v>152394.16214437486</v>
      </c>
      <c r="NG357" s="13">
        <f>NE357-NF357</f>
        <v>-88750.72228980422</v>
      </c>
      <c r="NH357" s="13">
        <f>NH356+NG357</f>
        <v>4354030.063797869</v>
      </c>
      <c r="NI357">
        <f>IF(NH357=MAX($NH$83:$NH$483),$A357,0)</f>
        <v>0</v>
      </c>
      <c r="NJ357">
        <f>IF(NE357&lt;NF357,$A357,B_MAX+1)</f>
        <v>274</v>
      </c>
      <c r="NK357" s="13">
        <f>IF(NB357=1,$NB$35,$NB$36)</f>
        <v>0</v>
      </c>
      <c r="NL357" s="13">
        <f>OCC_DAYS*$NB$41*R_NF_2023-ND357*MCD_SHARE_FREED*R_WAIT_2023</f>
        <v>123327.15192717595</v>
      </c>
      <c r="NM357">
        <f>IF($A357&lt;=$NB$45,1,0)</f>
        <v>0</v>
      </c>
      <c r="OB357">
        <f>IF($OB$31&lt;=$OB$32,IF($A357&lt;=$OB$7,1,2),IF($A357&lt;=RUNG_BEDS_2,2,1))</f>
        <v>1</v>
      </c>
      <c r="OC357" s="5">
        <f>MIN(1,MAX(0,$OB$26-($A357-1)))</f>
        <v>0</v>
      </c>
      <c r="OD357" s="5">
        <f>$OB$25*(OC357+(1-OC357)*$OB$16)</f>
        <v>126.02661357340719</v>
      </c>
      <c r="OE357" s="13">
        <f>OD357*($OB$6+ACUTE_MARGIN)</f>
        <v>127286.87970914126</v>
      </c>
      <c r="OF357" s="13">
        <f>IF(OB357=1,$OB$31,$OB$32)</f>
        <v>152394.16214437486</v>
      </c>
      <c r="OG357" s="13">
        <f>OE357-OF357</f>
        <v>-25107.282435233603</v>
      </c>
      <c r="OH357" s="13">
        <f>OH356+OG357</f>
        <v>12235089.926882278</v>
      </c>
      <c r="OI357">
        <f>IF(OH357=MAX($OH$83:$OH$483),$A357,0)</f>
        <v>0</v>
      </c>
      <c r="OJ357">
        <f>IF(OE357&lt;OF357,$A357,B_MAX+1)</f>
        <v>274</v>
      </c>
      <c r="OK357" s="13">
        <f>IF(OB357=1,$OB$35,$OB$36)</f>
        <v>0</v>
      </c>
      <c r="OL357" s="13">
        <f>OCC_DAYS*$OB$41*R_NF_2023-OD357*MCD_SHARE_FREED*R_WAIT_2023</f>
        <v>94673.82103225985</v>
      </c>
      <c r="OM357">
        <f>IF($A357&lt;=$OB$45,1,0)</f>
        <v>0</v>
      </c>
    </row>
    <row r="358">
      <c r="A358" t="n">
        <v>275</v>
      </c>
      <c r="B358">
        <f>IF($B$31&lt;=$B$32,IF($A358&lt;=$B$7,1,2),IF($A358&lt;=RUNG_BEDS_2,2,1))</f>
        <v>1</v>
      </c>
      <c r="C358" s="5">
        <f>MIN(1,MAX(0,$B$26-($A358-1)))</f>
        <v>0</v>
      </c>
      <c r="D358" s="5">
        <f>$B$25*(C358+(1-C358)*$B$16)</f>
        <v>0.0</v>
      </c>
      <c r="E358" s="13">
        <f>D358*($B$6+ACUTE_MARGIN)</f>
        <v>0.0</v>
      </c>
      <c r="F358" s="13">
        <f>IF(B358=1,$B$31,$B$32)</f>
        <v>152394.16214437486</v>
      </c>
      <c r="G358" s="13">
        <f>E358-F358</f>
        <v>-152394.16214437486</v>
      </c>
      <c r="H358" s="13">
        <f>H357+G358</f>
        <v>-3679423.961430752</v>
      </c>
      <c r="I358">
        <f>IF(H358=MAX($H$83:$H$483),$A358,0)</f>
        <v>0</v>
      </c>
      <c r="J358">
        <f>IF(E358&lt;F358,$A358,B_MAX+1)</f>
        <v>275</v>
      </c>
      <c r="K358" s="13">
        <f>IF(B358=1,$B$35,$B$36)</f>
        <v>0</v>
      </c>
      <c r="L358" s="13">
        <f>OCC_DAYS*$B$41*R_NF_2023-D358*MCD_SHARE_FREED*R_WAIT_2023</f>
        <v>151980.48282209205</v>
      </c>
      <c r="M358">
        <f>IF($A358&lt;=$B$45,1,0)</f>
        <v>0</v>
      </c>
      <c r="AB358">
        <f>IF($AB$31&lt;=$AB$32,IF($A358&lt;=$AB$7,1,2),IF($A358&lt;=RUNG_BEDS_2,2,1))</f>
        <v>1</v>
      </c>
      <c r="AC358" s="5">
        <f>MIN(1,MAX(0,$AB$26-($A358-1)))</f>
        <v>0</v>
      </c>
      <c r="AD358" s="5">
        <f>$AB$25*(AC358+(1-AC358)*$AB$16)</f>
        <v>0.0</v>
      </c>
      <c r="AE358" s="13">
        <f>AD358*($AB$6+ACUTE_MARGIN)</f>
        <v>0.0</v>
      </c>
      <c r="AF358" s="13">
        <f>IF(AB358=1,$AB$31,$AB$32)</f>
        <v>152394.16214437486</v>
      </c>
      <c r="AG358" s="13">
        <f>AE358-AF358</f>
        <v>-152394.16214437486</v>
      </c>
      <c r="AH358" s="13">
        <f>AH357+AG358</f>
        <v>-21090638.306980517</v>
      </c>
      <c r="AI358">
        <f>IF(AH358=MAX($AH$83:$AH$483),$A358,0)</f>
        <v>0</v>
      </c>
      <c r="AJ358">
        <f>IF(AE358&lt;AF358,$A358,B_MAX+1)</f>
        <v>275</v>
      </c>
      <c r="AK358" s="13">
        <f>IF(AB358=1,$AB$35,$AB$36)</f>
        <v>0</v>
      </c>
      <c r="AL358" s="13">
        <f>OCC_DAYS*$AB$41*R_NF_2023-AD358*MCD_SHARE_FREED*R_WAIT_2023</f>
        <v>151980.48282209205</v>
      </c>
      <c r="AM358">
        <f>IF($A358&lt;=$AB$45,1,0)</f>
        <v>0</v>
      </c>
      <c r="BB358">
        <f>IF($BB$31&lt;=$BB$32,IF($A358&lt;=$BB$7,1,2),IF($A358&lt;=RUNG_BEDS_2,2,1))</f>
        <v>1</v>
      </c>
      <c r="BC358" s="5">
        <f>MIN(1,MAX(0,$BB$26-($A358-1)))</f>
        <v>0</v>
      </c>
      <c r="BD358" s="5">
        <f>$BB$25*(BC358+(1-BC358)*$BB$16)</f>
        <v>0.0</v>
      </c>
      <c r="BE358" s="13">
        <f>BD358*($BB$6+ACUTE_MARGIN)</f>
        <v>0.0</v>
      </c>
      <c r="BF358" s="13">
        <f>IF(BB358=1,$BB$31,$BB$32)</f>
        <v>152394.16214437486</v>
      </c>
      <c r="BG358" s="13">
        <f>BE358-BF358</f>
        <v>-152394.16214437486</v>
      </c>
      <c r="BH358" s="13">
        <f>BH357+BG358</f>
        <v>13731790.384118978</v>
      </c>
      <c r="BI358">
        <f>IF(BH358=MAX($BH$83:$BH$483),$A358,0)</f>
        <v>0</v>
      </c>
      <c r="BJ358">
        <f>IF(BE358&lt;BF358,$A358,B_MAX+1)</f>
        <v>275</v>
      </c>
      <c r="BK358" s="13">
        <f>IF(BB358=1,$BB$35,$BB$36)</f>
        <v>0</v>
      </c>
      <c r="BL358" s="13">
        <f>OCC_DAYS*$BB$41*R_NF_2023-BD358*MCD_SHARE_FREED*R_WAIT_2023</f>
        <v>151980.48282209205</v>
      </c>
      <c r="BM358">
        <f>IF($A358&lt;=$BB$45,1,0)</f>
        <v>0</v>
      </c>
      <c r="CB358">
        <f>IF($CB$31&lt;=$CB$32,IF($A358&lt;=$CB$7,1,2),IF($A358&lt;=RUNG_BEDS_2,2,1))</f>
        <v>2</v>
      </c>
      <c r="CC358" s="5">
        <f>MIN(1,MAX(0,$CB$26-($A358-1)))</f>
        <v>0</v>
      </c>
      <c r="CD358" s="5">
        <f>$CB$25*(CC358+(1-CC358)*$CB$16)</f>
        <v>0.0</v>
      </c>
      <c r="CE358" s="13">
        <f>CD358*($CB$6+ACUTE_MARGIN)</f>
        <v>0.0</v>
      </c>
      <c r="CF358" s="13">
        <f>IF(CB358=1,$CB$31,$CB$32)</f>
        <v>160718.36940738867</v>
      </c>
      <c r="CG358" s="13">
        <f>CE358-CF358</f>
        <v>-160718.36940738867</v>
      </c>
      <c r="CH358" s="13">
        <f>CH357+CG358</f>
        <v>-5968580.958759662</v>
      </c>
      <c r="CI358">
        <f>IF(CH358=MAX($CH$83:$CH$483),$A358,0)</f>
        <v>0</v>
      </c>
      <c r="CJ358">
        <f>IF(CE358&lt;CF358,$A358,B_MAX+1)</f>
        <v>275</v>
      </c>
      <c r="CK358" s="13">
        <f>IF(CB358=1,$CB$35,$CB$36)</f>
        <v>1560.1194073886782</v>
      </c>
      <c r="CL358" s="13">
        <f>OCC_DAYS*$CB$41*R_NF_2023-CD358*MCD_SHARE_FREED*R_WAIT_2023</f>
        <v>151980.48282209205</v>
      </c>
      <c r="CM358">
        <f>IF($A358&lt;=$CB$45,1,0)</f>
        <v>0</v>
      </c>
      <c r="DB358">
        <f>IF($DB$31&lt;=$DB$32,IF($A358&lt;=$DB$7,1,2),IF($A358&lt;=RUNG_BEDS_2,2,1))</f>
        <v>1</v>
      </c>
      <c r="DC358" s="5">
        <f>MIN(1,MAX(0,$DB$26-($A358-1)))</f>
        <v>0</v>
      </c>
      <c r="DD358" s="5">
        <f>$DB$25*(DC358+(1-DC358)*$DB$16)</f>
        <v>0.0</v>
      </c>
      <c r="DE358" s="13">
        <f>DD358*($DB$6+ACUTE_MARGIN)</f>
        <v>0.0</v>
      </c>
      <c r="DF358" s="13">
        <f>IF(DB358=1,$DB$31,$DB$32)</f>
        <v>152394.16214437486</v>
      </c>
      <c r="DG358" s="13">
        <f>DE358-DF358</f>
        <v>-152394.16214437486</v>
      </c>
      <c r="DH358" s="13">
        <f>DH357+DG358</f>
        <v>-3679423.961430752</v>
      </c>
      <c r="DI358">
        <f>IF(DH358=MAX($DH$83:$DH$483),$A358,0)</f>
        <v>0</v>
      </c>
      <c r="DJ358">
        <f>IF(DE358&lt;DF358,$A358,B_MAX+1)</f>
        <v>275</v>
      </c>
      <c r="DK358" s="13">
        <f>IF(DB358=1,$DB$35,$DB$36)</f>
        <v>0</v>
      </c>
      <c r="DL358" s="13">
        <f>OCC_DAYS*$DB$41*R_NF_2023-DD358*MCD_SHARE_FREED*R_WAIT_2023</f>
        <v>151980.48282209205</v>
      </c>
      <c r="DM358">
        <f>IF($A358&lt;=$DB$45,1,0)</f>
        <v>0</v>
      </c>
      <c r="EB358">
        <f>IF($EB$31&lt;=$EB$32,IF($A358&lt;=$EB$7,1,2),IF($A358&lt;=RUNG_BEDS_2,2,1))</f>
        <v>1</v>
      </c>
      <c r="EC358" s="5">
        <f>MIN(1,MAX(0,$EB$26-($A358-1)))</f>
        <v>0</v>
      </c>
      <c r="ED358" s="5">
        <f>$EB$25*(EC358+(1-EC358)*$EB$16)</f>
        <v>0.0</v>
      </c>
      <c r="EE358" s="13">
        <f>ED358*($EB$6+ACUTE_MARGIN)</f>
        <v>0.0</v>
      </c>
      <c r="EF358" s="13">
        <f>IF(EB358=1,$EB$31,$EB$32)</f>
        <v>152394.16214437486</v>
      </c>
      <c r="EG358" s="13">
        <f>EE358-EF358</f>
        <v>-152394.16214437486</v>
      </c>
      <c r="EH358" s="13">
        <f>EH357+EG358</f>
        <v>-3679423.961430752</v>
      </c>
      <c r="EI358">
        <f>IF(EH358=MAX($EH$83:$EH$483),$A358,0)</f>
        <v>0</v>
      </c>
      <c r="EJ358">
        <f>IF(EE358&lt;EF358,$A358,B_MAX+1)</f>
        <v>275</v>
      </c>
      <c r="EK358" s="13">
        <f>IF(EB358=1,$EB$35,$EB$36)</f>
        <v>0</v>
      </c>
      <c r="EL358" s="13">
        <f>OCC_DAYS*$EB$41*R_NF_2023-ED358*MCD_SHARE_FREED*R_WAIT_2023</f>
        <v>50660.16094069735</v>
      </c>
      <c r="EM358">
        <f>IF($A358&lt;=$EB$45,1,0)</f>
        <v>0</v>
      </c>
      <c r="FB358">
        <f>IF($FB$31&lt;=$FB$32,IF($A358&lt;=$FB$7,1,2),IF($A358&lt;=RUNG_BEDS_2,2,1))</f>
        <v>1</v>
      </c>
      <c r="FC358" s="5">
        <f>MIN(1,MAX(0,$FB$26-($A358-1)))</f>
        <v>0</v>
      </c>
      <c r="FD358" s="5">
        <f>$FB$25*(FC358+(1-FC358)*$FB$16)</f>
        <v>0.0</v>
      </c>
      <c r="FE358" s="13">
        <f>FD358*($FB$6+ACUTE_MARGIN)</f>
        <v>0.0</v>
      </c>
      <c r="FF358" s="13">
        <f>IF(FB358=1,$FB$31,$FB$32)</f>
        <v>156636.04979437485</v>
      </c>
      <c r="FG358" s="13">
        <f>FE358-FF358</f>
        <v>-156636.04979437485</v>
      </c>
      <c r="FH358" s="13">
        <f>FH357+FG358</f>
        <v>-4845943.065180867</v>
      </c>
      <c r="FI358">
        <f>IF(FH358=MAX($FH$83:$FH$483),$A358,0)</f>
        <v>0</v>
      </c>
      <c r="FJ358">
        <f>IF(FE358&lt;FF358,$A358,B_MAX+1)</f>
        <v>275</v>
      </c>
      <c r="FK358" s="13">
        <f>IF(FB358=1,$FB$35,$FB$36)</f>
        <v>0</v>
      </c>
      <c r="FL358" s="13">
        <f>OCC_DAYS*$FB$41*R_NF_2023-FD358*MCD_SHARE_FREED*R_WAIT_2023</f>
        <v>151980.48282209205</v>
      </c>
      <c r="FM358">
        <f>IF($A358&lt;=$FB$45,1,0)</f>
        <v>0</v>
      </c>
      <c r="GB358">
        <f>IF($GB$31&lt;=$GB$32,IF($A358&lt;=$GB$7,1,2),IF($A358&lt;=RUNG_BEDS_2,2,1))</f>
        <v>1</v>
      </c>
      <c r="GC358" s="5">
        <f>MIN(1,MAX(0,$GB$26-($A358-1)))</f>
        <v>0</v>
      </c>
      <c r="GD358" s="5">
        <f>$GB$25*(GC358+(1-GC358)*$GB$16)</f>
        <v>0.0</v>
      </c>
      <c r="GE358" s="13">
        <f>GD358*($GB$6+ACUTE_MARGIN)</f>
        <v>0.0</v>
      </c>
      <c r="GF358" s="13">
        <f>IF(GB358=1,$GB$31,$GB$32)</f>
        <v>152394.16214437486</v>
      </c>
      <c r="GG358" s="13">
        <f>GE358-GF358</f>
        <v>-152394.16214437486</v>
      </c>
      <c r="GH358" s="13">
        <f>GH357+GG358</f>
        <v>-3679423.961430752</v>
      </c>
      <c r="GI358">
        <f>IF(GH358=MAX($GH$83:$GH$483),$A358,0)</f>
        <v>0</v>
      </c>
      <c r="GJ358">
        <f>IF(GE358&lt;GF358,$A358,B_MAX+1)</f>
        <v>275</v>
      </c>
      <c r="GK358" s="13">
        <f>IF(GB358=1,$GB$35,$GB$36)</f>
        <v>0</v>
      </c>
      <c r="GL358" s="13">
        <f>OCC_DAYS*$GB$41*R_NF_2023-GD358*MCD_SHARE_FREED*R_WAIT_2023</f>
        <v>151980.48282209205</v>
      </c>
      <c r="GM358">
        <f>IF($A358&lt;=$GB$45,1,0)</f>
        <v>0</v>
      </c>
      <c r="HB358">
        <f>IF($HB$31&lt;=$HB$32,IF($A358&lt;=$HB$7,1,2),IF($A358&lt;=RUNG_BEDS_2,2,1))</f>
        <v>1</v>
      </c>
      <c r="HC358" s="5">
        <f>MIN(1,MAX(0,$HB$26-($A358-1)))</f>
        <v>0</v>
      </c>
      <c r="HD358" s="5">
        <f>$HB$25*(HC358+(1-HC358)*$HB$16)</f>
        <v>0.0</v>
      </c>
      <c r="HE358" s="13">
        <f>HD358*($HB$6+ACUTE_MARGIN)</f>
        <v>0.0</v>
      </c>
      <c r="HF358" s="13">
        <f>IF(HB358=1,$HB$31,$HB$32)</f>
        <v>152456.2970814058</v>
      </c>
      <c r="HG358" s="13">
        <f>HE358-HF358</f>
        <v>-152456.2970814058</v>
      </c>
      <c r="HH358" s="13">
        <f>HH357+HG358</f>
        <v>-3696511.069114298</v>
      </c>
      <c r="HI358">
        <f>IF(HH358=MAX($HH$83:$HH$483),$A358,0)</f>
        <v>0</v>
      </c>
      <c r="HJ358">
        <f>IF(HE358&lt;HF358,$A358,B_MAX+1)</f>
        <v>275</v>
      </c>
      <c r="HK358" s="13">
        <f>IF(HB358=1,$HB$35,$HB$36)</f>
        <v>0</v>
      </c>
      <c r="HL358" s="13">
        <f>OCC_DAYS*$HB$41*R_NF_2023-HD358*MCD_SHARE_FREED*R_WAIT_2023</f>
        <v>151980.48282209205</v>
      </c>
      <c r="HM358">
        <f>IF($A358&lt;=$HB$45,1,0)</f>
        <v>0</v>
      </c>
      <c r="IB358">
        <f>IF($IB$31&lt;=$IB$32,IF($A358&lt;=$IB$7,1,2),IF($A358&lt;=RUNG_BEDS_2,2,1))</f>
        <v>1</v>
      </c>
      <c r="IC358" s="5">
        <f>MIN(1,MAX(0,$IB$26-($A358-1)))</f>
        <v>0</v>
      </c>
      <c r="ID358" s="5">
        <f>$IB$25*(IC358+(1-IC358)*$IB$16)</f>
        <v>0.0</v>
      </c>
      <c r="IE358" s="13">
        <f>ID358*($IB$6+ACUTE_MARGIN)</f>
        <v>0.0</v>
      </c>
      <c r="IF358" s="13">
        <f>IF(IB358=1,$IB$31,$IB$32)</f>
        <v>152734.9994534971</v>
      </c>
      <c r="IG358" s="13">
        <f>IE358-IF358</f>
        <v>-152734.9994534971</v>
      </c>
      <c r="IH358" s="13">
        <f>IH357+IG358</f>
        <v>-3773154.22143946</v>
      </c>
      <c r="II358">
        <f>IF(IH358=MAX($IH$83:$IH$483),$A358,0)</f>
        <v>0</v>
      </c>
      <c r="IJ358">
        <f>IF(IE358&lt;IF358,$A358,B_MAX+1)</f>
        <v>275</v>
      </c>
      <c r="IK358" s="13">
        <f>IF(IB358=1,$IB$35,$IB$36)</f>
        <v>0</v>
      </c>
      <c r="IL358" s="13">
        <f>OCC_DAYS*$IB$41*R_NF_2023-ID358*MCD_SHARE_FREED*R_WAIT_2023</f>
        <v>151980.48282209205</v>
      </c>
      <c r="IM358">
        <f>IF($A358&lt;=$IB$45,1,0)</f>
        <v>0</v>
      </c>
      <c r="JB358">
        <f>IF($JB$31&lt;=$JB$32,IF($A358&lt;=$JB$7,1,2),IF($A358&lt;=RUNG_BEDS_2,2,1))</f>
        <v>1</v>
      </c>
      <c r="JC358" s="5">
        <f>MIN(1,MAX(0,$JB$26-($A358-1)))</f>
        <v>0</v>
      </c>
      <c r="JD358" s="5">
        <f>$JB$25*(JC358+(1-JC358)*$JB$16)</f>
        <v>0.0</v>
      </c>
      <c r="JE358" s="13">
        <f>JD358*($JB$6+ACUTE_MARGIN)</f>
        <v>0.0</v>
      </c>
      <c r="JF358" s="13">
        <f>IF(JB358=1,$JB$31,$JB$32)</f>
        <v>152394.16214437486</v>
      </c>
      <c r="JG358" s="13">
        <f>JE358-JF358</f>
        <v>-152394.16214437486</v>
      </c>
      <c r="JH358" s="13">
        <f>JH357+JG358</f>
        <v>-3679423.961430752</v>
      </c>
      <c r="JI358">
        <f>IF(JH358=MAX($JH$83:$JH$483),$A358,0)</f>
        <v>0</v>
      </c>
      <c r="JJ358">
        <f>IF(JE358&lt;JF358,$A358,B_MAX+1)</f>
        <v>275</v>
      </c>
      <c r="JK358" s="13">
        <f>IF(JB358=1,$JB$35,$JB$36)</f>
        <v>0</v>
      </c>
      <c r="JL358" s="13">
        <f>OCC_DAYS*$JB$41*R_NF_2023-JD358*MCD_SHARE_FREED*R_WAIT_2023</f>
        <v>151980.48282209205</v>
      </c>
      <c r="JM358">
        <f>IF($A358&lt;=$JB$45,1,0)</f>
        <v>0</v>
      </c>
      <c r="KB358">
        <f>IF($KB$31&lt;=$KB$32,IF($A358&lt;=$KB$7,1,2),IF($A358&lt;=RUNG_BEDS_2,2,1))</f>
        <v>1</v>
      </c>
      <c r="KC358" s="5">
        <f>MIN(1,MAX(0,$KB$26-($A358-1)))</f>
        <v>1</v>
      </c>
      <c r="KD358" s="5">
        <f>$KB$25*(KC358+(1-KC358)*$KB$16)</f>
        <v>126.02661357340719</v>
      </c>
      <c r="KE358" s="13">
        <f>KD358*($KB$6+ACUTE_MARGIN)</f>
        <v>127286.87970914126</v>
      </c>
      <c r="KF358" s="13">
        <f>IF(KB358=1,$KB$31,$KB$32)</f>
        <v>152394.16214437486</v>
      </c>
      <c r="KG358" s="13">
        <f>KE358-KF358</f>
        <v>-25107.282435233603</v>
      </c>
      <c r="KH358" s="13">
        <f>KH357+KG358</f>
        <v>-6904502.669689264</v>
      </c>
      <c r="KI358">
        <f>IF(KH358=MAX($KH$83:$KH$483),$A358,0)</f>
        <v>0</v>
      </c>
      <c r="KJ358">
        <f>IF(KE358&lt;KF358,$A358,B_MAX+1)</f>
        <v>275</v>
      </c>
      <c r="KK358" s="13">
        <f>IF(KB358=1,$KB$35,$KB$36)</f>
        <v>0</v>
      </c>
      <c r="KL358" s="13">
        <f>OCC_DAYS*$KB$41*R_NF_2023-KD358*MCD_SHARE_FREED*R_WAIT_2023</f>
        <v>94673.82103225985</v>
      </c>
      <c r="KM358">
        <f>IF($A358&lt;=$KB$45,1,0)</f>
        <v>0</v>
      </c>
      <c r="LB358">
        <f>IF($LB$31&lt;=$LB$32,IF($A358&lt;=$LB$7,1,2),IF($A358&lt;=RUNG_BEDS_2,2,1))</f>
        <v>1</v>
      </c>
      <c r="LC358" s="5">
        <f>MIN(1,MAX(0,$LB$26-($A358-1)))</f>
        <v>1</v>
      </c>
      <c r="LD358" s="5">
        <f>$LB$25*(LC358+(1-LC358)*$LB$16)</f>
        <v>84.01774238227146</v>
      </c>
      <c r="LE358" s="13">
        <f>LD358*($LB$6+ACUTE_MARGIN)</f>
        <v>84857.91980609419</v>
      </c>
      <c r="LF358" s="13">
        <f>IF(LB358=1,$LB$31,$LB$32)</f>
        <v>152394.16214437486</v>
      </c>
      <c r="LG358" s="13">
        <f>LE358-LF358</f>
        <v>-67536.24233828067</v>
      </c>
      <c r="LH358" s="13">
        <f>LH357+LG358</f>
        <v>-18572466.64302728</v>
      </c>
      <c r="LI358">
        <f>IF(LH358=MAX($LH$83:$LH$483),$A358,0)</f>
        <v>0</v>
      </c>
      <c r="LJ358">
        <f>IF(LE358&lt;LF358,$A358,B_MAX+1)</f>
        <v>275</v>
      </c>
      <c r="LK358" s="13">
        <f>IF(LB358=1,$LB$35,$LB$36)</f>
        <v>0</v>
      </c>
      <c r="LL358" s="13">
        <f>OCC_DAYS*$LB$41*R_NF_2023-LD358*MCD_SHARE_FREED*R_WAIT_2023</f>
        <v>113776.04162887059</v>
      </c>
      <c r="LM358">
        <f>IF($A358&lt;=$LB$45,1,0)</f>
        <v>0</v>
      </c>
      <c r="MB358">
        <f>IF($MB$31&lt;=$MB$32,IF($A358&lt;=$MB$7,1,2),IF($A358&lt;=RUNG_BEDS_2,2,1))</f>
        <v>1</v>
      </c>
      <c r="MC358" s="5">
        <f>MIN(1,MAX(0,$MB$26-($A358-1)))</f>
        <v>0</v>
      </c>
      <c r="MD358" s="5">
        <f>$MB$25*(MC358+(1-MC358)*$MB$16)</f>
        <v>0.0</v>
      </c>
      <c r="ME358" s="13">
        <f>MD358*($MB$6+ACUTE_MARGIN)</f>
        <v>0.0</v>
      </c>
      <c r="MF358" s="13">
        <f>IF(MB358=1,$MB$31,$MB$32)</f>
        <v>152394.16214437486</v>
      </c>
      <c r="MG358" s="13">
        <f>ME358-MF358</f>
        <v>-152394.16214437486</v>
      </c>
      <c r="MH358" s="13">
        <f>MH357+MG358</f>
        <v>-9566700.023229081</v>
      </c>
      <c r="MI358">
        <f>IF(MH358=MAX($MH$83:$MH$483),$A358,0)</f>
        <v>0</v>
      </c>
      <c r="MJ358">
        <f>IF(ME358&lt;MF358,$A358,B_MAX+1)</f>
        <v>275</v>
      </c>
      <c r="MK358" s="13">
        <f>IF(MB358=1,$MB$35,$MB$36)</f>
        <v>0</v>
      </c>
      <c r="ML358" s="13">
        <f>OCC_DAYS*$MB$41*R_NF_2023-MD358*MCD_SHARE_FREED*R_WAIT_2023</f>
        <v>151980.48282209205</v>
      </c>
      <c r="MM358">
        <f>IF($A358&lt;=$MB$45,1,0)</f>
        <v>0</v>
      </c>
      <c r="NB358">
        <f>IF($NB$31&lt;=$NB$32,IF($A358&lt;=$NB$7,1,2),IF($A358&lt;=RUNG_BEDS_2,2,1))</f>
        <v>1</v>
      </c>
      <c r="NC358" s="5">
        <f>MIN(1,MAX(0,$NB$26-($A358-1)))</f>
        <v>0</v>
      </c>
      <c r="ND358" s="5">
        <f>$NB$25*(NC358+(1-NC358)*$NB$16)</f>
        <v>63.013306786703595</v>
      </c>
      <c r="NE358" s="13">
        <f>ND358*($NB$6+ACUTE_MARGIN)</f>
        <v>63643.43985457063</v>
      </c>
      <c r="NF358" s="13">
        <f>IF(NB358=1,$NB$31,$NB$32)</f>
        <v>152394.16214437486</v>
      </c>
      <c r="NG358" s="13">
        <f>NE358-NF358</f>
        <v>-88750.72228980422</v>
      </c>
      <c r="NH358" s="13">
        <f>NH357+NG358</f>
        <v>4265279.341508064</v>
      </c>
      <c r="NI358">
        <f>IF(NH358=MAX($NH$83:$NH$483),$A358,0)</f>
        <v>0</v>
      </c>
      <c r="NJ358">
        <f>IF(NE358&lt;NF358,$A358,B_MAX+1)</f>
        <v>275</v>
      </c>
      <c r="NK358" s="13">
        <f>IF(NB358=1,$NB$35,$NB$36)</f>
        <v>0</v>
      </c>
      <c r="NL358" s="13">
        <f>OCC_DAYS*$NB$41*R_NF_2023-ND358*MCD_SHARE_FREED*R_WAIT_2023</f>
        <v>123327.15192717595</v>
      </c>
      <c r="NM358">
        <f>IF($A358&lt;=$NB$45,1,0)</f>
        <v>0</v>
      </c>
      <c r="OB358">
        <f>IF($OB$31&lt;=$OB$32,IF($A358&lt;=$OB$7,1,2),IF($A358&lt;=RUNG_BEDS_2,2,1))</f>
        <v>1</v>
      </c>
      <c r="OC358" s="5">
        <f>MIN(1,MAX(0,$OB$26-($A358-1)))</f>
        <v>0</v>
      </c>
      <c r="OD358" s="5">
        <f>$OB$25*(OC358+(1-OC358)*$OB$16)</f>
        <v>126.02661357340719</v>
      </c>
      <c r="OE358" s="13">
        <f>OD358*($OB$6+ACUTE_MARGIN)</f>
        <v>127286.87970914126</v>
      </c>
      <c r="OF358" s="13">
        <f>IF(OB358=1,$OB$31,$OB$32)</f>
        <v>152394.16214437486</v>
      </c>
      <c r="OG358" s="13">
        <f>OE358-OF358</f>
        <v>-25107.282435233603</v>
      </c>
      <c r="OH358" s="13">
        <f>OH357+OG358</f>
        <v>12209982.644447045</v>
      </c>
      <c r="OI358">
        <f>IF(OH358=MAX($OH$83:$OH$483),$A358,0)</f>
        <v>0</v>
      </c>
      <c r="OJ358">
        <f>IF(OE358&lt;OF358,$A358,B_MAX+1)</f>
        <v>275</v>
      </c>
      <c r="OK358" s="13">
        <f>IF(OB358=1,$OB$35,$OB$36)</f>
        <v>0</v>
      </c>
      <c r="OL358" s="13">
        <f>OCC_DAYS*$OB$41*R_NF_2023-OD358*MCD_SHARE_FREED*R_WAIT_2023</f>
        <v>94673.82103225985</v>
      </c>
      <c r="OM358">
        <f>IF($A358&lt;=$OB$45,1,0)</f>
        <v>0</v>
      </c>
    </row>
    <row r="359">
      <c r="A359" t="n">
        <v>276</v>
      </c>
      <c r="B359">
        <f>IF($B$31&lt;=$B$32,IF($A359&lt;=$B$7,1,2),IF($A359&lt;=RUNG_BEDS_2,2,1))</f>
        <v>1</v>
      </c>
      <c r="C359" s="5">
        <f>MIN(1,MAX(0,$B$26-($A359-1)))</f>
        <v>0</v>
      </c>
      <c r="D359" s="5">
        <f>$B$25*(C359+(1-C359)*$B$16)</f>
        <v>0.0</v>
      </c>
      <c r="E359" s="13">
        <f>D359*($B$6+ACUTE_MARGIN)</f>
        <v>0.0</v>
      </c>
      <c r="F359" s="13">
        <f>IF(B359=1,$B$31,$B$32)</f>
        <v>152394.16214437486</v>
      </c>
      <c r="G359" s="13">
        <f>E359-F359</f>
        <v>-152394.16214437486</v>
      </c>
      <c r="H359" s="13">
        <f>H358+G359</f>
        <v>-3831818.123575127</v>
      </c>
      <c r="I359">
        <f>IF(H359=MAX($H$83:$H$483),$A359,0)</f>
        <v>0</v>
      </c>
      <c r="J359">
        <f>IF(E359&lt;F359,$A359,B_MAX+1)</f>
        <v>276</v>
      </c>
      <c r="K359" s="13">
        <f>IF(B359=1,$B$35,$B$36)</f>
        <v>0</v>
      </c>
      <c r="L359" s="13">
        <f>OCC_DAYS*$B$41*R_NF_2023-D359*MCD_SHARE_FREED*R_WAIT_2023</f>
        <v>151980.48282209205</v>
      </c>
      <c r="M359">
        <f>IF($A359&lt;=$B$45,1,0)</f>
        <v>0</v>
      </c>
      <c r="AB359">
        <f>IF($AB$31&lt;=$AB$32,IF($A359&lt;=$AB$7,1,2),IF($A359&lt;=RUNG_BEDS_2,2,1))</f>
        <v>1</v>
      </c>
      <c r="AC359" s="5">
        <f>MIN(1,MAX(0,$AB$26-($A359-1)))</f>
        <v>0</v>
      </c>
      <c r="AD359" s="5">
        <f>$AB$25*(AC359+(1-AC359)*$AB$16)</f>
        <v>0.0</v>
      </c>
      <c r="AE359" s="13">
        <f>AD359*($AB$6+ACUTE_MARGIN)</f>
        <v>0.0</v>
      </c>
      <c r="AF359" s="13">
        <f>IF(AB359=1,$AB$31,$AB$32)</f>
        <v>152394.16214437486</v>
      </c>
      <c r="AG359" s="13">
        <f>AE359-AF359</f>
        <v>-152394.16214437486</v>
      </c>
      <c r="AH359" s="13">
        <f>AH358+AG359</f>
        <v>-21243032.46912489</v>
      </c>
      <c r="AI359">
        <f>IF(AH359=MAX($AH$83:$AH$483),$A359,0)</f>
        <v>0</v>
      </c>
      <c r="AJ359">
        <f>IF(AE359&lt;AF359,$A359,B_MAX+1)</f>
        <v>276</v>
      </c>
      <c r="AK359" s="13">
        <f>IF(AB359=1,$AB$35,$AB$36)</f>
        <v>0</v>
      </c>
      <c r="AL359" s="13">
        <f>OCC_DAYS*$AB$41*R_NF_2023-AD359*MCD_SHARE_FREED*R_WAIT_2023</f>
        <v>151980.48282209205</v>
      </c>
      <c r="AM359">
        <f>IF($A359&lt;=$AB$45,1,0)</f>
        <v>0</v>
      </c>
      <c r="BB359">
        <f>IF($BB$31&lt;=$BB$32,IF($A359&lt;=$BB$7,1,2),IF($A359&lt;=RUNG_BEDS_2,2,1))</f>
        <v>1</v>
      </c>
      <c r="BC359" s="5">
        <f>MIN(1,MAX(0,$BB$26-($A359-1)))</f>
        <v>0</v>
      </c>
      <c r="BD359" s="5">
        <f>$BB$25*(BC359+(1-BC359)*$BB$16)</f>
        <v>0.0</v>
      </c>
      <c r="BE359" s="13">
        <f>BD359*($BB$6+ACUTE_MARGIN)</f>
        <v>0.0</v>
      </c>
      <c r="BF359" s="13">
        <f>IF(BB359=1,$BB$31,$BB$32)</f>
        <v>152394.16214437486</v>
      </c>
      <c r="BG359" s="13">
        <f>BE359-BF359</f>
        <v>-152394.16214437486</v>
      </c>
      <c r="BH359" s="13">
        <f>BH358+BG359</f>
        <v>13579396.221974604</v>
      </c>
      <c r="BI359">
        <f>IF(BH359=MAX($BH$83:$BH$483),$A359,0)</f>
        <v>0</v>
      </c>
      <c r="BJ359">
        <f>IF(BE359&lt;BF359,$A359,B_MAX+1)</f>
        <v>276</v>
      </c>
      <c r="BK359" s="13">
        <f>IF(BB359=1,$BB$35,$BB$36)</f>
        <v>0</v>
      </c>
      <c r="BL359" s="13">
        <f>OCC_DAYS*$BB$41*R_NF_2023-BD359*MCD_SHARE_FREED*R_WAIT_2023</f>
        <v>151980.48282209205</v>
      </c>
      <c r="BM359">
        <f>IF($A359&lt;=$BB$45,1,0)</f>
        <v>0</v>
      </c>
      <c r="CB359">
        <f>IF($CB$31&lt;=$CB$32,IF($A359&lt;=$CB$7,1,2),IF($A359&lt;=RUNG_BEDS_2,2,1))</f>
        <v>2</v>
      </c>
      <c r="CC359" s="5">
        <f>MIN(1,MAX(0,$CB$26-($A359-1)))</f>
        <v>0</v>
      </c>
      <c r="CD359" s="5">
        <f>$CB$25*(CC359+(1-CC359)*$CB$16)</f>
        <v>0.0</v>
      </c>
      <c r="CE359" s="13">
        <f>CD359*($CB$6+ACUTE_MARGIN)</f>
        <v>0.0</v>
      </c>
      <c r="CF359" s="13">
        <f>IF(CB359=1,$CB$31,$CB$32)</f>
        <v>160718.36940738867</v>
      </c>
      <c r="CG359" s="13">
        <f>CE359-CF359</f>
        <v>-160718.36940738867</v>
      </c>
      <c r="CH359" s="13">
        <f>CH358+CG359</f>
        <v>-6129299.32816705</v>
      </c>
      <c r="CI359">
        <f>IF(CH359=MAX($CH$83:$CH$483),$A359,0)</f>
        <v>0</v>
      </c>
      <c r="CJ359">
        <f>IF(CE359&lt;CF359,$A359,B_MAX+1)</f>
        <v>276</v>
      </c>
      <c r="CK359" s="13">
        <f>IF(CB359=1,$CB$35,$CB$36)</f>
        <v>1560.1194073886782</v>
      </c>
      <c r="CL359" s="13">
        <f>OCC_DAYS*$CB$41*R_NF_2023-CD359*MCD_SHARE_FREED*R_WAIT_2023</f>
        <v>151980.48282209205</v>
      </c>
      <c r="CM359">
        <f>IF($A359&lt;=$CB$45,1,0)</f>
        <v>0</v>
      </c>
      <c r="DB359">
        <f>IF($DB$31&lt;=$DB$32,IF($A359&lt;=$DB$7,1,2),IF($A359&lt;=RUNG_BEDS_2,2,1))</f>
        <v>1</v>
      </c>
      <c r="DC359" s="5">
        <f>MIN(1,MAX(0,$DB$26-($A359-1)))</f>
        <v>0</v>
      </c>
      <c r="DD359" s="5">
        <f>$DB$25*(DC359+(1-DC359)*$DB$16)</f>
        <v>0.0</v>
      </c>
      <c r="DE359" s="13">
        <f>DD359*($DB$6+ACUTE_MARGIN)</f>
        <v>0.0</v>
      </c>
      <c r="DF359" s="13">
        <f>IF(DB359=1,$DB$31,$DB$32)</f>
        <v>152394.16214437486</v>
      </c>
      <c r="DG359" s="13">
        <f>DE359-DF359</f>
        <v>-152394.16214437486</v>
      </c>
      <c r="DH359" s="13">
        <f>DH358+DG359</f>
        <v>-3831818.123575127</v>
      </c>
      <c r="DI359">
        <f>IF(DH359=MAX($DH$83:$DH$483),$A359,0)</f>
        <v>0</v>
      </c>
      <c r="DJ359">
        <f>IF(DE359&lt;DF359,$A359,B_MAX+1)</f>
        <v>276</v>
      </c>
      <c r="DK359" s="13">
        <f>IF(DB359=1,$DB$35,$DB$36)</f>
        <v>0</v>
      </c>
      <c r="DL359" s="13">
        <f>OCC_DAYS*$DB$41*R_NF_2023-DD359*MCD_SHARE_FREED*R_WAIT_2023</f>
        <v>151980.48282209205</v>
      </c>
      <c r="DM359">
        <f>IF($A359&lt;=$DB$45,1,0)</f>
        <v>0</v>
      </c>
      <c r="EB359">
        <f>IF($EB$31&lt;=$EB$32,IF($A359&lt;=$EB$7,1,2),IF($A359&lt;=RUNG_BEDS_2,2,1))</f>
        <v>1</v>
      </c>
      <c r="EC359" s="5">
        <f>MIN(1,MAX(0,$EB$26-($A359-1)))</f>
        <v>0</v>
      </c>
      <c r="ED359" s="5">
        <f>$EB$25*(EC359+(1-EC359)*$EB$16)</f>
        <v>0.0</v>
      </c>
      <c r="EE359" s="13">
        <f>ED359*($EB$6+ACUTE_MARGIN)</f>
        <v>0.0</v>
      </c>
      <c r="EF359" s="13">
        <f>IF(EB359=1,$EB$31,$EB$32)</f>
        <v>152394.16214437486</v>
      </c>
      <c r="EG359" s="13">
        <f>EE359-EF359</f>
        <v>-152394.16214437486</v>
      </c>
      <c r="EH359" s="13">
        <f>EH358+EG359</f>
        <v>-3831818.123575127</v>
      </c>
      <c r="EI359">
        <f>IF(EH359=MAX($EH$83:$EH$483),$A359,0)</f>
        <v>0</v>
      </c>
      <c r="EJ359">
        <f>IF(EE359&lt;EF359,$A359,B_MAX+1)</f>
        <v>276</v>
      </c>
      <c r="EK359" s="13">
        <f>IF(EB359=1,$EB$35,$EB$36)</f>
        <v>0</v>
      </c>
      <c r="EL359" s="13">
        <f>OCC_DAYS*$EB$41*R_NF_2023-ED359*MCD_SHARE_FREED*R_WAIT_2023</f>
        <v>50660.16094069735</v>
      </c>
      <c r="EM359">
        <f>IF($A359&lt;=$EB$45,1,0)</f>
        <v>0</v>
      </c>
      <c r="FB359">
        <f>IF($FB$31&lt;=$FB$32,IF($A359&lt;=$FB$7,1,2),IF($A359&lt;=RUNG_BEDS_2,2,1))</f>
        <v>1</v>
      </c>
      <c r="FC359" s="5">
        <f>MIN(1,MAX(0,$FB$26-($A359-1)))</f>
        <v>0</v>
      </c>
      <c r="FD359" s="5">
        <f>$FB$25*(FC359+(1-FC359)*$FB$16)</f>
        <v>0.0</v>
      </c>
      <c r="FE359" s="13">
        <f>FD359*($FB$6+ACUTE_MARGIN)</f>
        <v>0.0</v>
      </c>
      <c r="FF359" s="13">
        <f>IF(FB359=1,$FB$31,$FB$32)</f>
        <v>156636.04979437485</v>
      </c>
      <c r="FG359" s="13">
        <f>FE359-FF359</f>
        <v>-156636.04979437485</v>
      </c>
      <c r="FH359" s="13">
        <f>FH358+FG359</f>
        <v>-5002579.114975242</v>
      </c>
      <c r="FI359">
        <f>IF(FH359=MAX($FH$83:$FH$483),$A359,0)</f>
        <v>0</v>
      </c>
      <c r="FJ359">
        <f>IF(FE359&lt;FF359,$A359,B_MAX+1)</f>
        <v>276</v>
      </c>
      <c r="FK359" s="13">
        <f>IF(FB359=1,$FB$35,$FB$36)</f>
        <v>0</v>
      </c>
      <c r="FL359" s="13">
        <f>OCC_DAYS*$FB$41*R_NF_2023-FD359*MCD_SHARE_FREED*R_WAIT_2023</f>
        <v>151980.48282209205</v>
      </c>
      <c r="FM359">
        <f>IF($A359&lt;=$FB$45,1,0)</f>
        <v>0</v>
      </c>
      <c r="GB359">
        <f>IF($GB$31&lt;=$GB$32,IF($A359&lt;=$GB$7,1,2),IF($A359&lt;=RUNG_BEDS_2,2,1))</f>
        <v>1</v>
      </c>
      <c r="GC359" s="5">
        <f>MIN(1,MAX(0,$GB$26-($A359-1)))</f>
        <v>0</v>
      </c>
      <c r="GD359" s="5">
        <f>$GB$25*(GC359+(1-GC359)*$GB$16)</f>
        <v>0.0</v>
      </c>
      <c r="GE359" s="13">
        <f>GD359*($GB$6+ACUTE_MARGIN)</f>
        <v>0.0</v>
      </c>
      <c r="GF359" s="13">
        <f>IF(GB359=1,$GB$31,$GB$32)</f>
        <v>152394.16214437486</v>
      </c>
      <c r="GG359" s="13">
        <f>GE359-GF359</f>
        <v>-152394.16214437486</v>
      </c>
      <c r="GH359" s="13">
        <f>GH358+GG359</f>
        <v>-3831818.123575127</v>
      </c>
      <c r="GI359">
        <f>IF(GH359=MAX($GH$83:$GH$483),$A359,0)</f>
        <v>0</v>
      </c>
      <c r="GJ359">
        <f>IF(GE359&lt;GF359,$A359,B_MAX+1)</f>
        <v>276</v>
      </c>
      <c r="GK359" s="13">
        <f>IF(GB359=1,$GB$35,$GB$36)</f>
        <v>0</v>
      </c>
      <c r="GL359" s="13">
        <f>OCC_DAYS*$GB$41*R_NF_2023-GD359*MCD_SHARE_FREED*R_WAIT_2023</f>
        <v>151980.48282209205</v>
      </c>
      <c r="GM359">
        <f>IF($A359&lt;=$GB$45,1,0)</f>
        <v>0</v>
      </c>
      <c r="HB359">
        <f>IF($HB$31&lt;=$HB$32,IF($A359&lt;=$HB$7,1,2),IF($A359&lt;=RUNG_BEDS_2,2,1))</f>
        <v>1</v>
      </c>
      <c r="HC359" s="5">
        <f>MIN(1,MAX(0,$HB$26-($A359-1)))</f>
        <v>0</v>
      </c>
      <c r="HD359" s="5">
        <f>$HB$25*(HC359+(1-HC359)*$HB$16)</f>
        <v>0.0</v>
      </c>
      <c r="HE359" s="13">
        <f>HD359*($HB$6+ACUTE_MARGIN)</f>
        <v>0.0</v>
      </c>
      <c r="HF359" s="13">
        <f>IF(HB359=1,$HB$31,$HB$32)</f>
        <v>152456.2970814058</v>
      </c>
      <c r="HG359" s="13">
        <f>HE359-HF359</f>
        <v>-152456.2970814058</v>
      </c>
      <c r="HH359" s="13">
        <f>HH358+HG359</f>
        <v>-3848967.366195704</v>
      </c>
      <c r="HI359">
        <f>IF(HH359=MAX($HH$83:$HH$483),$A359,0)</f>
        <v>0</v>
      </c>
      <c r="HJ359">
        <f>IF(HE359&lt;HF359,$A359,B_MAX+1)</f>
        <v>276</v>
      </c>
      <c r="HK359" s="13">
        <f>IF(HB359=1,$HB$35,$HB$36)</f>
        <v>0</v>
      </c>
      <c r="HL359" s="13">
        <f>OCC_DAYS*$HB$41*R_NF_2023-HD359*MCD_SHARE_FREED*R_WAIT_2023</f>
        <v>151980.48282209205</v>
      </c>
      <c r="HM359">
        <f>IF($A359&lt;=$HB$45,1,0)</f>
        <v>0</v>
      </c>
      <c r="IB359">
        <f>IF($IB$31&lt;=$IB$32,IF($A359&lt;=$IB$7,1,2),IF($A359&lt;=RUNG_BEDS_2,2,1))</f>
        <v>1</v>
      </c>
      <c r="IC359" s="5">
        <f>MIN(1,MAX(0,$IB$26-($A359-1)))</f>
        <v>0</v>
      </c>
      <c r="ID359" s="5">
        <f>$IB$25*(IC359+(1-IC359)*$IB$16)</f>
        <v>0.0</v>
      </c>
      <c r="IE359" s="13">
        <f>ID359*($IB$6+ACUTE_MARGIN)</f>
        <v>0.0</v>
      </c>
      <c r="IF359" s="13">
        <f>IF(IB359=1,$IB$31,$IB$32)</f>
        <v>152734.9994534971</v>
      </c>
      <c r="IG359" s="13">
        <f>IE359-IF359</f>
        <v>-152734.9994534971</v>
      </c>
      <c r="IH359" s="13">
        <f>IH358+IG359</f>
        <v>-3925889.220892957</v>
      </c>
      <c r="II359">
        <f>IF(IH359=MAX($IH$83:$IH$483),$A359,0)</f>
        <v>0</v>
      </c>
      <c r="IJ359">
        <f>IF(IE359&lt;IF359,$A359,B_MAX+1)</f>
        <v>276</v>
      </c>
      <c r="IK359" s="13">
        <f>IF(IB359=1,$IB$35,$IB$36)</f>
        <v>0</v>
      </c>
      <c r="IL359" s="13">
        <f>OCC_DAYS*$IB$41*R_NF_2023-ID359*MCD_SHARE_FREED*R_WAIT_2023</f>
        <v>151980.48282209205</v>
      </c>
      <c r="IM359">
        <f>IF($A359&lt;=$IB$45,1,0)</f>
        <v>0</v>
      </c>
      <c r="JB359">
        <f>IF($JB$31&lt;=$JB$32,IF($A359&lt;=$JB$7,1,2),IF($A359&lt;=RUNG_BEDS_2,2,1))</f>
        <v>1</v>
      </c>
      <c r="JC359" s="5">
        <f>MIN(1,MAX(0,$JB$26-($A359-1)))</f>
        <v>0</v>
      </c>
      <c r="JD359" s="5">
        <f>$JB$25*(JC359+(1-JC359)*$JB$16)</f>
        <v>0.0</v>
      </c>
      <c r="JE359" s="13">
        <f>JD359*($JB$6+ACUTE_MARGIN)</f>
        <v>0.0</v>
      </c>
      <c r="JF359" s="13">
        <f>IF(JB359=1,$JB$31,$JB$32)</f>
        <v>152394.16214437486</v>
      </c>
      <c r="JG359" s="13">
        <f>JE359-JF359</f>
        <v>-152394.16214437486</v>
      </c>
      <c r="JH359" s="13">
        <f>JH358+JG359</f>
        <v>-3831818.123575127</v>
      </c>
      <c r="JI359">
        <f>IF(JH359=MAX($JH$83:$JH$483),$A359,0)</f>
        <v>0</v>
      </c>
      <c r="JJ359">
        <f>IF(JE359&lt;JF359,$A359,B_MAX+1)</f>
        <v>276</v>
      </c>
      <c r="JK359" s="13">
        <f>IF(JB359=1,$JB$35,$JB$36)</f>
        <v>0</v>
      </c>
      <c r="JL359" s="13">
        <f>OCC_DAYS*$JB$41*R_NF_2023-JD359*MCD_SHARE_FREED*R_WAIT_2023</f>
        <v>151980.48282209205</v>
      </c>
      <c r="JM359">
        <f>IF($A359&lt;=$JB$45,1,0)</f>
        <v>0</v>
      </c>
      <c r="KB359">
        <f>IF($KB$31&lt;=$KB$32,IF($A359&lt;=$KB$7,1,2),IF($A359&lt;=RUNG_BEDS_2,2,1))</f>
        <v>1</v>
      </c>
      <c r="KC359" s="5">
        <f>MIN(1,MAX(0,$KB$26-($A359-1)))</f>
        <v>1</v>
      </c>
      <c r="KD359" s="5">
        <f>$KB$25*(KC359+(1-KC359)*$KB$16)</f>
        <v>126.02661357340719</v>
      </c>
      <c r="KE359" s="13">
        <f>KD359*($KB$6+ACUTE_MARGIN)</f>
        <v>127286.87970914126</v>
      </c>
      <c r="KF359" s="13">
        <f>IF(KB359=1,$KB$31,$KB$32)</f>
        <v>152394.16214437486</v>
      </c>
      <c r="KG359" s="13">
        <f>KE359-KF359</f>
        <v>-25107.282435233603</v>
      </c>
      <c r="KH359" s="13">
        <f>KH358+KG359</f>
        <v>-6929609.952124498</v>
      </c>
      <c r="KI359">
        <f>IF(KH359=MAX($KH$83:$KH$483),$A359,0)</f>
        <v>0</v>
      </c>
      <c r="KJ359">
        <f>IF(KE359&lt;KF359,$A359,B_MAX+1)</f>
        <v>276</v>
      </c>
      <c r="KK359" s="13">
        <f>IF(KB359=1,$KB$35,$KB$36)</f>
        <v>0</v>
      </c>
      <c r="KL359" s="13">
        <f>OCC_DAYS*$KB$41*R_NF_2023-KD359*MCD_SHARE_FREED*R_WAIT_2023</f>
        <v>94673.82103225985</v>
      </c>
      <c r="KM359">
        <f>IF($A359&lt;=$KB$45,1,0)</f>
        <v>0</v>
      </c>
      <c r="LB359">
        <f>IF($LB$31&lt;=$LB$32,IF($A359&lt;=$LB$7,1,2),IF($A359&lt;=RUNG_BEDS_2,2,1))</f>
        <v>1</v>
      </c>
      <c r="LC359" s="5">
        <f>MIN(1,MAX(0,$LB$26-($A359-1)))</f>
        <v>1</v>
      </c>
      <c r="LD359" s="5">
        <f>$LB$25*(LC359+(1-LC359)*$LB$16)</f>
        <v>84.01774238227146</v>
      </c>
      <c r="LE359" s="13">
        <f>LD359*($LB$6+ACUTE_MARGIN)</f>
        <v>84857.91980609419</v>
      </c>
      <c r="LF359" s="13">
        <f>IF(LB359=1,$LB$31,$LB$32)</f>
        <v>152394.16214437486</v>
      </c>
      <c r="LG359" s="13">
        <f>LE359-LF359</f>
        <v>-67536.24233828067</v>
      </c>
      <c r="LH359" s="13">
        <f>LH358+LG359</f>
        <v>-18640002.88536556</v>
      </c>
      <c r="LI359">
        <f>IF(LH359=MAX($LH$83:$LH$483),$A359,0)</f>
        <v>0</v>
      </c>
      <c r="LJ359">
        <f>IF(LE359&lt;LF359,$A359,B_MAX+1)</f>
        <v>276</v>
      </c>
      <c r="LK359" s="13">
        <f>IF(LB359=1,$LB$35,$LB$36)</f>
        <v>0</v>
      </c>
      <c r="LL359" s="13">
        <f>OCC_DAYS*$LB$41*R_NF_2023-LD359*MCD_SHARE_FREED*R_WAIT_2023</f>
        <v>113776.04162887059</v>
      </c>
      <c r="LM359">
        <f>IF($A359&lt;=$LB$45,1,0)</f>
        <v>0</v>
      </c>
      <c r="MB359">
        <f>IF($MB$31&lt;=$MB$32,IF($A359&lt;=$MB$7,1,2),IF($A359&lt;=RUNG_BEDS_2,2,1))</f>
        <v>1</v>
      </c>
      <c r="MC359" s="5">
        <f>MIN(1,MAX(0,$MB$26-($A359-1)))</f>
        <v>0</v>
      </c>
      <c r="MD359" s="5">
        <f>$MB$25*(MC359+(1-MC359)*$MB$16)</f>
        <v>0.0</v>
      </c>
      <c r="ME359" s="13">
        <f>MD359*($MB$6+ACUTE_MARGIN)</f>
        <v>0.0</v>
      </c>
      <c r="MF359" s="13">
        <f>IF(MB359=1,$MB$31,$MB$32)</f>
        <v>152394.16214437486</v>
      </c>
      <c r="MG359" s="13">
        <f>ME359-MF359</f>
        <v>-152394.16214437486</v>
      </c>
      <c r="MH359" s="13">
        <f>MH358+MG359</f>
        <v>-9719094.185373455</v>
      </c>
      <c r="MI359">
        <f>IF(MH359=MAX($MH$83:$MH$483),$A359,0)</f>
        <v>0</v>
      </c>
      <c r="MJ359">
        <f>IF(ME359&lt;MF359,$A359,B_MAX+1)</f>
        <v>276</v>
      </c>
      <c r="MK359" s="13">
        <f>IF(MB359=1,$MB$35,$MB$36)</f>
        <v>0</v>
      </c>
      <c r="ML359" s="13">
        <f>OCC_DAYS*$MB$41*R_NF_2023-MD359*MCD_SHARE_FREED*R_WAIT_2023</f>
        <v>151980.48282209205</v>
      </c>
      <c r="MM359">
        <f>IF($A359&lt;=$MB$45,1,0)</f>
        <v>0</v>
      </c>
      <c r="NB359">
        <f>IF($NB$31&lt;=$NB$32,IF($A359&lt;=$NB$7,1,2),IF($A359&lt;=RUNG_BEDS_2,2,1))</f>
        <v>1</v>
      </c>
      <c r="NC359" s="5">
        <f>MIN(1,MAX(0,$NB$26-($A359-1)))</f>
        <v>0</v>
      </c>
      <c r="ND359" s="5">
        <f>$NB$25*(NC359+(1-NC359)*$NB$16)</f>
        <v>63.013306786703595</v>
      </c>
      <c r="NE359" s="13">
        <f>ND359*($NB$6+ACUTE_MARGIN)</f>
        <v>63643.43985457063</v>
      </c>
      <c r="NF359" s="13">
        <f>IF(NB359=1,$NB$31,$NB$32)</f>
        <v>152394.16214437486</v>
      </c>
      <c r="NG359" s="13">
        <f>NE359-NF359</f>
        <v>-88750.72228980422</v>
      </c>
      <c r="NH359" s="13">
        <f>NH358+NG359</f>
        <v>4176528.61921826</v>
      </c>
      <c r="NI359">
        <f>IF(NH359=MAX($NH$83:$NH$483),$A359,0)</f>
        <v>0</v>
      </c>
      <c r="NJ359">
        <f>IF(NE359&lt;NF359,$A359,B_MAX+1)</f>
        <v>276</v>
      </c>
      <c r="NK359" s="13">
        <f>IF(NB359=1,$NB$35,$NB$36)</f>
        <v>0</v>
      </c>
      <c r="NL359" s="13">
        <f>OCC_DAYS*$NB$41*R_NF_2023-ND359*MCD_SHARE_FREED*R_WAIT_2023</f>
        <v>123327.15192717595</v>
      </c>
      <c r="NM359">
        <f>IF($A359&lt;=$NB$45,1,0)</f>
        <v>0</v>
      </c>
      <c r="OB359">
        <f>IF($OB$31&lt;=$OB$32,IF($A359&lt;=$OB$7,1,2),IF($A359&lt;=RUNG_BEDS_2,2,1))</f>
        <v>1</v>
      </c>
      <c r="OC359" s="5">
        <f>MIN(1,MAX(0,$OB$26-($A359-1)))</f>
        <v>0</v>
      </c>
      <c r="OD359" s="5">
        <f>$OB$25*(OC359+(1-OC359)*$OB$16)</f>
        <v>126.02661357340719</v>
      </c>
      <c r="OE359" s="13">
        <f>OD359*($OB$6+ACUTE_MARGIN)</f>
        <v>127286.87970914126</v>
      </c>
      <c r="OF359" s="13">
        <f>IF(OB359=1,$OB$31,$OB$32)</f>
        <v>152394.16214437486</v>
      </c>
      <c r="OG359" s="13">
        <f>OE359-OF359</f>
        <v>-25107.282435233603</v>
      </c>
      <c r="OH359" s="13">
        <f>OH358+OG359</f>
        <v>12184875.362011813</v>
      </c>
      <c r="OI359">
        <f>IF(OH359=MAX($OH$83:$OH$483),$A359,0)</f>
        <v>0</v>
      </c>
      <c r="OJ359">
        <f>IF(OE359&lt;OF359,$A359,B_MAX+1)</f>
        <v>276</v>
      </c>
      <c r="OK359" s="13">
        <f>IF(OB359=1,$OB$35,$OB$36)</f>
        <v>0</v>
      </c>
      <c r="OL359" s="13">
        <f>OCC_DAYS*$OB$41*R_NF_2023-OD359*MCD_SHARE_FREED*R_WAIT_2023</f>
        <v>94673.82103225985</v>
      </c>
      <c r="OM359">
        <f>IF($A359&lt;=$OB$45,1,0)</f>
        <v>0</v>
      </c>
    </row>
    <row r="360">
      <c r="A360" t="n">
        <v>277</v>
      </c>
      <c r="B360">
        <f>IF($B$31&lt;=$B$32,IF($A360&lt;=$B$7,1,2),IF($A360&lt;=RUNG_BEDS_2,2,1))</f>
        <v>1</v>
      </c>
      <c r="C360" s="5">
        <f>MIN(1,MAX(0,$B$26-($A360-1)))</f>
        <v>0</v>
      </c>
      <c r="D360" s="5">
        <f>$B$25*(C360+(1-C360)*$B$16)</f>
        <v>0.0</v>
      </c>
      <c r="E360" s="13">
        <f>D360*($B$6+ACUTE_MARGIN)</f>
        <v>0.0</v>
      </c>
      <c r="F360" s="13">
        <f>IF(B360=1,$B$31,$B$32)</f>
        <v>152394.16214437486</v>
      </c>
      <c r="G360" s="13">
        <f>E360-F360</f>
        <v>-152394.16214437486</v>
      </c>
      <c r="H360" s="13">
        <f>H359+G360</f>
        <v>-3984212.2857195023</v>
      </c>
      <c r="I360">
        <f>IF(H360=MAX($H$83:$H$483),$A360,0)</f>
        <v>0</v>
      </c>
      <c r="J360">
        <f>IF(E360&lt;F360,$A360,B_MAX+1)</f>
        <v>277</v>
      </c>
      <c r="K360" s="13">
        <f>IF(B360=1,$B$35,$B$36)</f>
        <v>0</v>
      </c>
      <c r="L360" s="13">
        <f>OCC_DAYS*$B$41*R_NF_2023-D360*MCD_SHARE_FREED*R_WAIT_2023</f>
        <v>151980.48282209205</v>
      </c>
      <c r="M360">
        <f>IF($A360&lt;=$B$45,1,0)</f>
        <v>0</v>
      </c>
      <c r="AB360">
        <f>IF($AB$31&lt;=$AB$32,IF($A360&lt;=$AB$7,1,2),IF($A360&lt;=RUNG_BEDS_2,2,1))</f>
        <v>1</v>
      </c>
      <c r="AC360" s="5">
        <f>MIN(1,MAX(0,$AB$26-($A360-1)))</f>
        <v>0</v>
      </c>
      <c r="AD360" s="5">
        <f>$AB$25*(AC360+(1-AC360)*$AB$16)</f>
        <v>0.0</v>
      </c>
      <c r="AE360" s="13">
        <f>AD360*($AB$6+ACUTE_MARGIN)</f>
        <v>0.0</v>
      </c>
      <c r="AF360" s="13">
        <f>IF(AB360=1,$AB$31,$AB$32)</f>
        <v>152394.16214437486</v>
      </c>
      <c r="AG360" s="13">
        <f>AE360-AF360</f>
        <v>-152394.16214437486</v>
      </c>
      <c r="AH360" s="13">
        <f>AH359+AG360</f>
        <v>-21395426.631269265</v>
      </c>
      <c r="AI360">
        <f>IF(AH360=MAX($AH$83:$AH$483),$A360,0)</f>
        <v>0</v>
      </c>
      <c r="AJ360">
        <f>IF(AE360&lt;AF360,$A360,B_MAX+1)</f>
        <v>277</v>
      </c>
      <c r="AK360" s="13">
        <f>IF(AB360=1,$AB$35,$AB$36)</f>
        <v>0</v>
      </c>
      <c r="AL360" s="13">
        <f>OCC_DAYS*$AB$41*R_NF_2023-AD360*MCD_SHARE_FREED*R_WAIT_2023</f>
        <v>151980.48282209205</v>
      </c>
      <c r="AM360">
        <f>IF($A360&lt;=$AB$45,1,0)</f>
        <v>0</v>
      </c>
      <c r="BB360">
        <f>IF($BB$31&lt;=$BB$32,IF($A360&lt;=$BB$7,1,2),IF($A360&lt;=RUNG_BEDS_2,2,1))</f>
        <v>1</v>
      </c>
      <c r="BC360" s="5">
        <f>MIN(1,MAX(0,$BB$26-($A360-1)))</f>
        <v>0</v>
      </c>
      <c r="BD360" s="5">
        <f>$BB$25*(BC360+(1-BC360)*$BB$16)</f>
        <v>0.0</v>
      </c>
      <c r="BE360" s="13">
        <f>BD360*($BB$6+ACUTE_MARGIN)</f>
        <v>0.0</v>
      </c>
      <c r="BF360" s="13">
        <f>IF(BB360=1,$BB$31,$BB$32)</f>
        <v>152394.16214437486</v>
      </c>
      <c r="BG360" s="13">
        <f>BE360-BF360</f>
        <v>-152394.16214437486</v>
      </c>
      <c r="BH360" s="13">
        <f>BH359+BG360</f>
        <v>13427002.05983023</v>
      </c>
      <c r="BI360">
        <f>IF(BH360=MAX($BH$83:$BH$483),$A360,0)</f>
        <v>0</v>
      </c>
      <c r="BJ360">
        <f>IF(BE360&lt;BF360,$A360,B_MAX+1)</f>
        <v>277</v>
      </c>
      <c r="BK360" s="13">
        <f>IF(BB360=1,$BB$35,$BB$36)</f>
        <v>0</v>
      </c>
      <c r="BL360" s="13">
        <f>OCC_DAYS*$BB$41*R_NF_2023-BD360*MCD_SHARE_FREED*R_WAIT_2023</f>
        <v>151980.48282209205</v>
      </c>
      <c r="BM360">
        <f>IF($A360&lt;=$BB$45,1,0)</f>
        <v>0</v>
      </c>
      <c r="CB360">
        <f>IF($CB$31&lt;=$CB$32,IF($A360&lt;=$CB$7,1,2),IF($A360&lt;=RUNG_BEDS_2,2,1))</f>
        <v>2</v>
      </c>
      <c r="CC360" s="5">
        <f>MIN(1,MAX(0,$CB$26-($A360-1)))</f>
        <v>0</v>
      </c>
      <c r="CD360" s="5">
        <f>$CB$25*(CC360+(1-CC360)*$CB$16)</f>
        <v>0.0</v>
      </c>
      <c r="CE360" s="13">
        <f>CD360*($CB$6+ACUTE_MARGIN)</f>
        <v>0.0</v>
      </c>
      <c r="CF360" s="13">
        <f>IF(CB360=1,$CB$31,$CB$32)</f>
        <v>160718.36940738867</v>
      </c>
      <c r="CG360" s="13">
        <f>CE360-CF360</f>
        <v>-160718.36940738867</v>
      </c>
      <c r="CH360" s="13">
        <f>CH359+CG360</f>
        <v>-6290017.6975744385</v>
      </c>
      <c r="CI360">
        <f>IF(CH360=MAX($CH$83:$CH$483),$A360,0)</f>
        <v>0</v>
      </c>
      <c r="CJ360">
        <f>IF(CE360&lt;CF360,$A360,B_MAX+1)</f>
        <v>277</v>
      </c>
      <c r="CK360" s="13">
        <f>IF(CB360=1,$CB$35,$CB$36)</f>
        <v>1560.1194073886782</v>
      </c>
      <c r="CL360" s="13">
        <f>OCC_DAYS*$CB$41*R_NF_2023-CD360*MCD_SHARE_FREED*R_WAIT_2023</f>
        <v>151980.48282209205</v>
      </c>
      <c r="CM360">
        <f>IF($A360&lt;=$CB$45,1,0)</f>
        <v>0</v>
      </c>
      <c r="DB360">
        <f>IF($DB$31&lt;=$DB$32,IF($A360&lt;=$DB$7,1,2),IF($A360&lt;=RUNG_BEDS_2,2,1))</f>
        <v>1</v>
      </c>
      <c r="DC360" s="5">
        <f>MIN(1,MAX(0,$DB$26-($A360-1)))</f>
        <v>0</v>
      </c>
      <c r="DD360" s="5">
        <f>$DB$25*(DC360+(1-DC360)*$DB$16)</f>
        <v>0.0</v>
      </c>
      <c r="DE360" s="13">
        <f>DD360*($DB$6+ACUTE_MARGIN)</f>
        <v>0.0</v>
      </c>
      <c r="DF360" s="13">
        <f>IF(DB360=1,$DB$31,$DB$32)</f>
        <v>152394.16214437486</v>
      </c>
      <c r="DG360" s="13">
        <f>DE360-DF360</f>
        <v>-152394.16214437486</v>
      </c>
      <c r="DH360" s="13">
        <f>DH359+DG360</f>
        <v>-3984212.2857195023</v>
      </c>
      <c r="DI360">
        <f>IF(DH360=MAX($DH$83:$DH$483),$A360,0)</f>
        <v>0</v>
      </c>
      <c r="DJ360">
        <f>IF(DE360&lt;DF360,$A360,B_MAX+1)</f>
        <v>277</v>
      </c>
      <c r="DK360" s="13">
        <f>IF(DB360=1,$DB$35,$DB$36)</f>
        <v>0</v>
      </c>
      <c r="DL360" s="13">
        <f>OCC_DAYS*$DB$41*R_NF_2023-DD360*MCD_SHARE_FREED*R_WAIT_2023</f>
        <v>151980.48282209205</v>
      </c>
      <c r="DM360">
        <f>IF($A360&lt;=$DB$45,1,0)</f>
        <v>0</v>
      </c>
      <c r="EB360">
        <f>IF($EB$31&lt;=$EB$32,IF($A360&lt;=$EB$7,1,2),IF($A360&lt;=RUNG_BEDS_2,2,1))</f>
        <v>1</v>
      </c>
      <c r="EC360" s="5">
        <f>MIN(1,MAX(0,$EB$26-($A360-1)))</f>
        <v>0</v>
      </c>
      <c r="ED360" s="5">
        <f>$EB$25*(EC360+(1-EC360)*$EB$16)</f>
        <v>0.0</v>
      </c>
      <c r="EE360" s="13">
        <f>ED360*($EB$6+ACUTE_MARGIN)</f>
        <v>0.0</v>
      </c>
      <c r="EF360" s="13">
        <f>IF(EB360=1,$EB$31,$EB$32)</f>
        <v>152394.16214437486</v>
      </c>
      <c r="EG360" s="13">
        <f>EE360-EF360</f>
        <v>-152394.16214437486</v>
      </c>
      <c r="EH360" s="13">
        <f>EH359+EG360</f>
        <v>-3984212.2857195023</v>
      </c>
      <c r="EI360">
        <f>IF(EH360=MAX($EH$83:$EH$483),$A360,0)</f>
        <v>0</v>
      </c>
      <c r="EJ360">
        <f>IF(EE360&lt;EF360,$A360,B_MAX+1)</f>
        <v>277</v>
      </c>
      <c r="EK360" s="13">
        <f>IF(EB360=1,$EB$35,$EB$36)</f>
        <v>0</v>
      </c>
      <c r="EL360" s="13">
        <f>OCC_DAYS*$EB$41*R_NF_2023-ED360*MCD_SHARE_FREED*R_WAIT_2023</f>
        <v>50660.16094069735</v>
      </c>
      <c r="EM360">
        <f>IF($A360&lt;=$EB$45,1,0)</f>
        <v>0</v>
      </c>
      <c r="FB360">
        <f>IF($FB$31&lt;=$FB$32,IF($A360&lt;=$FB$7,1,2),IF($A360&lt;=RUNG_BEDS_2,2,1))</f>
        <v>1</v>
      </c>
      <c r="FC360" s="5">
        <f>MIN(1,MAX(0,$FB$26-($A360-1)))</f>
        <v>0</v>
      </c>
      <c r="FD360" s="5">
        <f>$FB$25*(FC360+(1-FC360)*$FB$16)</f>
        <v>0.0</v>
      </c>
      <c r="FE360" s="13">
        <f>FD360*($FB$6+ACUTE_MARGIN)</f>
        <v>0.0</v>
      </c>
      <c r="FF360" s="13">
        <f>IF(FB360=1,$FB$31,$FB$32)</f>
        <v>156636.04979437485</v>
      </c>
      <c r="FG360" s="13">
        <f>FE360-FF360</f>
        <v>-156636.04979437485</v>
      </c>
      <c r="FH360" s="13">
        <f>FH359+FG360</f>
        <v>-5159215.164769617</v>
      </c>
      <c r="FI360">
        <f>IF(FH360=MAX($FH$83:$FH$483),$A360,0)</f>
        <v>0</v>
      </c>
      <c r="FJ360">
        <f>IF(FE360&lt;FF360,$A360,B_MAX+1)</f>
        <v>277</v>
      </c>
      <c r="FK360" s="13">
        <f>IF(FB360=1,$FB$35,$FB$36)</f>
        <v>0</v>
      </c>
      <c r="FL360" s="13">
        <f>OCC_DAYS*$FB$41*R_NF_2023-FD360*MCD_SHARE_FREED*R_WAIT_2023</f>
        <v>151980.48282209205</v>
      </c>
      <c r="FM360">
        <f>IF($A360&lt;=$FB$45,1,0)</f>
        <v>0</v>
      </c>
      <c r="GB360">
        <f>IF($GB$31&lt;=$GB$32,IF($A360&lt;=$GB$7,1,2),IF($A360&lt;=RUNG_BEDS_2,2,1))</f>
        <v>1</v>
      </c>
      <c r="GC360" s="5">
        <f>MIN(1,MAX(0,$GB$26-($A360-1)))</f>
        <v>0</v>
      </c>
      <c r="GD360" s="5">
        <f>$GB$25*(GC360+(1-GC360)*$GB$16)</f>
        <v>0.0</v>
      </c>
      <c r="GE360" s="13">
        <f>GD360*($GB$6+ACUTE_MARGIN)</f>
        <v>0.0</v>
      </c>
      <c r="GF360" s="13">
        <f>IF(GB360=1,$GB$31,$GB$32)</f>
        <v>152394.16214437486</v>
      </c>
      <c r="GG360" s="13">
        <f>GE360-GF360</f>
        <v>-152394.16214437486</v>
      </c>
      <c r="GH360" s="13">
        <f>GH359+GG360</f>
        <v>-3984212.2857195023</v>
      </c>
      <c r="GI360">
        <f>IF(GH360=MAX($GH$83:$GH$483),$A360,0)</f>
        <v>0</v>
      </c>
      <c r="GJ360">
        <f>IF(GE360&lt;GF360,$A360,B_MAX+1)</f>
        <v>277</v>
      </c>
      <c r="GK360" s="13">
        <f>IF(GB360=1,$GB$35,$GB$36)</f>
        <v>0</v>
      </c>
      <c r="GL360" s="13">
        <f>OCC_DAYS*$GB$41*R_NF_2023-GD360*MCD_SHARE_FREED*R_WAIT_2023</f>
        <v>151980.48282209205</v>
      </c>
      <c r="GM360">
        <f>IF($A360&lt;=$GB$45,1,0)</f>
        <v>0</v>
      </c>
      <c r="HB360">
        <f>IF($HB$31&lt;=$HB$32,IF($A360&lt;=$HB$7,1,2),IF($A360&lt;=RUNG_BEDS_2,2,1))</f>
        <v>1</v>
      </c>
      <c r="HC360" s="5">
        <f>MIN(1,MAX(0,$HB$26-($A360-1)))</f>
        <v>0</v>
      </c>
      <c r="HD360" s="5">
        <f>$HB$25*(HC360+(1-HC360)*$HB$16)</f>
        <v>0.0</v>
      </c>
      <c r="HE360" s="13">
        <f>HD360*($HB$6+ACUTE_MARGIN)</f>
        <v>0.0</v>
      </c>
      <c r="HF360" s="13">
        <f>IF(HB360=1,$HB$31,$HB$32)</f>
        <v>152456.2970814058</v>
      </c>
      <c r="HG360" s="13">
        <f>HE360-HF360</f>
        <v>-152456.2970814058</v>
      </c>
      <c r="HH360" s="13">
        <f>HH359+HG360</f>
        <v>-4001423.6632771096</v>
      </c>
      <c r="HI360">
        <f>IF(HH360=MAX($HH$83:$HH$483),$A360,0)</f>
        <v>0</v>
      </c>
      <c r="HJ360">
        <f>IF(HE360&lt;HF360,$A360,B_MAX+1)</f>
        <v>277</v>
      </c>
      <c r="HK360" s="13">
        <f>IF(HB360=1,$HB$35,$HB$36)</f>
        <v>0</v>
      </c>
      <c r="HL360" s="13">
        <f>OCC_DAYS*$HB$41*R_NF_2023-HD360*MCD_SHARE_FREED*R_WAIT_2023</f>
        <v>151980.48282209205</v>
      </c>
      <c r="HM360">
        <f>IF($A360&lt;=$HB$45,1,0)</f>
        <v>0</v>
      </c>
      <c r="IB360">
        <f>IF($IB$31&lt;=$IB$32,IF($A360&lt;=$IB$7,1,2),IF($A360&lt;=RUNG_BEDS_2,2,1))</f>
        <v>1</v>
      </c>
      <c r="IC360" s="5">
        <f>MIN(1,MAX(0,$IB$26-($A360-1)))</f>
        <v>0</v>
      </c>
      <c r="ID360" s="5">
        <f>$IB$25*(IC360+(1-IC360)*$IB$16)</f>
        <v>0.0</v>
      </c>
      <c r="IE360" s="13">
        <f>ID360*($IB$6+ACUTE_MARGIN)</f>
        <v>0.0</v>
      </c>
      <c r="IF360" s="13">
        <f>IF(IB360=1,$IB$31,$IB$32)</f>
        <v>152734.9994534971</v>
      </c>
      <c r="IG360" s="13">
        <f>IE360-IF360</f>
        <v>-152734.9994534971</v>
      </c>
      <c r="IH360" s="13">
        <f>IH359+IG360</f>
        <v>-4078624.220346454</v>
      </c>
      <c r="II360">
        <f>IF(IH360=MAX($IH$83:$IH$483),$A360,0)</f>
        <v>0</v>
      </c>
      <c r="IJ360">
        <f>IF(IE360&lt;IF360,$A360,B_MAX+1)</f>
        <v>277</v>
      </c>
      <c r="IK360" s="13">
        <f>IF(IB360=1,$IB$35,$IB$36)</f>
        <v>0</v>
      </c>
      <c r="IL360" s="13">
        <f>OCC_DAYS*$IB$41*R_NF_2023-ID360*MCD_SHARE_FREED*R_WAIT_2023</f>
        <v>151980.48282209205</v>
      </c>
      <c r="IM360">
        <f>IF($A360&lt;=$IB$45,1,0)</f>
        <v>0</v>
      </c>
      <c r="JB360">
        <f>IF($JB$31&lt;=$JB$32,IF($A360&lt;=$JB$7,1,2),IF($A360&lt;=RUNG_BEDS_2,2,1))</f>
        <v>1</v>
      </c>
      <c r="JC360" s="5">
        <f>MIN(1,MAX(0,$JB$26-($A360-1)))</f>
        <v>0</v>
      </c>
      <c r="JD360" s="5">
        <f>$JB$25*(JC360+(1-JC360)*$JB$16)</f>
        <v>0.0</v>
      </c>
      <c r="JE360" s="13">
        <f>JD360*($JB$6+ACUTE_MARGIN)</f>
        <v>0.0</v>
      </c>
      <c r="JF360" s="13">
        <f>IF(JB360=1,$JB$31,$JB$32)</f>
        <v>152394.16214437486</v>
      </c>
      <c r="JG360" s="13">
        <f>JE360-JF360</f>
        <v>-152394.16214437486</v>
      </c>
      <c r="JH360" s="13">
        <f>JH359+JG360</f>
        <v>-3984212.2857195023</v>
      </c>
      <c r="JI360">
        <f>IF(JH360=MAX($JH$83:$JH$483),$A360,0)</f>
        <v>0</v>
      </c>
      <c r="JJ360">
        <f>IF(JE360&lt;JF360,$A360,B_MAX+1)</f>
        <v>277</v>
      </c>
      <c r="JK360" s="13">
        <f>IF(JB360=1,$JB$35,$JB$36)</f>
        <v>0</v>
      </c>
      <c r="JL360" s="13">
        <f>OCC_DAYS*$JB$41*R_NF_2023-JD360*MCD_SHARE_FREED*R_WAIT_2023</f>
        <v>151980.48282209205</v>
      </c>
      <c r="JM360">
        <f>IF($A360&lt;=$JB$45,1,0)</f>
        <v>0</v>
      </c>
      <c r="KB360">
        <f>IF($KB$31&lt;=$KB$32,IF($A360&lt;=$KB$7,1,2),IF($A360&lt;=RUNG_BEDS_2,2,1))</f>
        <v>1</v>
      </c>
      <c r="KC360" s="5">
        <f>MIN(1,MAX(0,$KB$26-($A360-1)))</f>
        <v>1</v>
      </c>
      <c r="KD360" s="5">
        <f>$KB$25*(KC360+(1-KC360)*$KB$16)</f>
        <v>126.02661357340719</v>
      </c>
      <c r="KE360" s="13">
        <f>KD360*($KB$6+ACUTE_MARGIN)</f>
        <v>127286.87970914126</v>
      </c>
      <c r="KF360" s="13">
        <f>IF(KB360=1,$KB$31,$KB$32)</f>
        <v>152394.16214437486</v>
      </c>
      <c r="KG360" s="13">
        <f>KE360-KF360</f>
        <v>-25107.282435233603</v>
      </c>
      <c r="KH360" s="13">
        <f>KH359+KG360</f>
        <v>-6954717.234559732</v>
      </c>
      <c r="KI360">
        <f>IF(KH360=MAX($KH$83:$KH$483),$A360,0)</f>
        <v>0</v>
      </c>
      <c r="KJ360">
        <f>IF(KE360&lt;KF360,$A360,B_MAX+1)</f>
        <v>277</v>
      </c>
      <c r="KK360" s="13">
        <f>IF(KB360=1,$KB$35,$KB$36)</f>
        <v>0</v>
      </c>
      <c r="KL360" s="13">
        <f>OCC_DAYS*$KB$41*R_NF_2023-KD360*MCD_SHARE_FREED*R_WAIT_2023</f>
        <v>94673.82103225985</v>
      </c>
      <c r="KM360">
        <f>IF($A360&lt;=$KB$45,1,0)</f>
        <v>0</v>
      </c>
      <c r="LB360">
        <f>IF($LB$31&lt;=$LB$32,IF($A360&lt;=$LB$7,1,2),IF($A360&lt;=RUNG_BEDS_2,2,1))</f>
        <v>1</v>
      </c>
      <c r="LC360" s="5">
        <f>MIN(1,MAX(0,$LB$26-($A360-1)))</f>
        <v>1</v>
      </c>
      <c r="LD360" s="5">
        <f>$LB$25*(LC360+(1-LC360)*$LB$16)</f>
        <v>84.01774238227146</v>
      </c>
      <c r="LE360" s="13">
        <f>LD360*($LB$6+ACUTE_MARGIN)</f>
        <v>84857.91980609419</v>
      </c>
      <c r="LF360" s="13">
        <f>IF(LB360=1,$LB$31,$LB$32)</f>
        <v>152394.16214437486</v>
      </c>
      <c r="LG360" s="13">
        <f>LE360-LF360</f>
        <v>-67536.24233828067</v>
      </c>
      <c r="LH360" s="13">
        <f>LH359+LG360</f>
        <v>-18707539.12770384</v>
      </c>
      <c r="LI360">
        <f>IF(LH360=MAX($LH$83:$LH$483),$A360,0)</f>
        <v>0</v>
      </c>
      <c r="LJ360">
        <f>IF(LE360&lt;LF360,$A360,B_MAX+1)</f>
        <v>277</v>
      </c>
      <c r="LK360" s="13">
        <f>IF(LB360=1,$LB$35,$LB$36)</f>
        <v>0</v>
      </c>
      <c r="LL360" s="13">
        <f>OCC_DAYS*$LB$41*R_NF_2023-LD360*MCD_SHARE_FREED*R_WAIT_2023</f>
        <v>113776.04162887059</v>
      </c>
      <c r="LM360">
        <f>IF($A360&lt;=$LB$45,1,0)</f>
        <v>0</v>
      </c>
      <c r="MB360">
        <f>IF($MB$31&lt;=$MB$32,IF($A360&lt;=$MB$7,1,2),IF($A360&lt;=RUNG_BEDS_2,2,1))</f>
        <v>1</v>
      </c>
      <c r="MC360" s="5">
        <f>MIN(1,MAX(0,$MB$26-($A360-1)))</f>
        <v>0</v>
      </c>
      <c r="MD360" s="5">
        <f>$MB$25*(MC360+(1-MC360)*$MB$16)</f>
        <v>0.0</v>
      </c>
      <c r="ME360" s="13">
        <f>MD360*($MB$6+ACUTE_MARGIN)</f>
        <v>0.0</v>
      </c>
      <c r="MF360" s="13">
        <f>IF(MB360=1,$MB$31,$MB$32)</f>
        <v>152394.16214437486</v>
      </c>
      <c r="MG360" s="13">
        <f>ME360-MF360</f>
        <v>-152394.16214437486</v>
      </c>
      <c r="MH360" s="13">
        <f>MH359+MG360</f>
        <v>-9871488.34751783</v>
      </c>
      <c r="MI360">
        <f>IF(MH360=MAX($MH$83:$MH$483),$A360,0)</f>
        <v>0</v>
      </c>
      <c r="MJ360">
        <f>IF(ME360&lt;MF360,$A360,B_MAX+1)</f>
        <v>277</v>
      </c>
      <c r="MK360" s="13">
        <f>IF(MB360=1,$MB$35,$MB$36)</f>
        <v>0</v>
      </c>
      <c r="ML360" s="13">
        <f>OCC_DAYS*$MB$41*R_NF_2023-MD360*MCD_SHARE_FREED*R_WAIT_2023</f>
        <v>151980.48282209205</v>
      </c>
      <c r="MM360">
        <f>IF($A360&lt;=$MB$45,1,0)</f>
        <v>0</v>
      </c>
      <c r="NB360">
        <f>IF($NB$31&lt;=$NB$32,IF($A360&lt;=$NB$7,1,2),IF($A360&lt;=RUNG_BEDS_2,2,1))</f>
        <v>1</v>
      </c>
      <c r="NC360" s="5">
        <f>MIN(1,MAX(0,$NB$26-($A360-1)))</f>
        <v>0</v>
      </c>
      <c r="ND360" s="5">
        <f>$NB$25*(NC360+(1-NC360)*$NB$16)</f>
        <v>63.013306786703595</v>
      </c>
      <c r="NE360" s="13">
        <f>ND360*($NB$6+ACUTE_MARGIN)</f>
        <v>63643.43985457063</v>
      </c>
      <c r="NF360" s="13">
        <f>IF(NB360=1,$NB$31,$NB$32)</f>
        <v>152394.16214437486</v>
      </c>
      <c r="NG360" s="13">
        <f>NE360-NF360</f>
        <v>-88750.72228980422</v>
      </c>
      <c r="NH360" s="13">
        <f>NH359+NG360</f>
        <v>4087777.8969284557</v>
      </c>
      <c r="NI360">
        <f>IF(NH360=MAX($NH$83:$NH$483),$A360,0)</f>
        <v>0</v>
      </c>
      <c r="NJ360">
        <f>IF(NE360&lt;NF360,$A360,B_MAX+1)</f>
        <v>277</v>
      </c>
      <c r="NK360" s="13">
        <f>IF(NB360=1,$NB$35,$NB$36)</f>
        <v>0</v>
      </c>
      <c r="NL360" s="13">
        <f>OCC_DAYS*$NB$41*R_NF_2023-ND360*MCD_SHARE_FREED*R_WAIT_2023</f>
        <v>123327.15192717595</v>
      </c>
      <c r="NM360">
        <f>IF($A360&lt;=$NB$45,1,0)</f>
        <v>0</v>
      </c>
      <c r="OB360">
        <f>IF($OB$31&lt;=$OB$32,IF($A360&lt;=$OB$7,1,2),IF($A360&lt;=RUNG_BEDS_2,2,1))</f>
        <v>1</v>
      </c>
      <c r="OC360" s="5">
        <f>MIN(1,MAX(0,$OB$26-($A360-1)))</f>
        <v>0</v>
      </c>
      <c r="OD360" s="5">
        <f>$OB$25*(OC360+(1-OC360)*$OB$16)</f>
        <v>126.02661357340719</v>
      </c>
      <c r="OE360" s="13">
        <f>OD360*($OB$6+ACUTE_MARGIN)</f>
        <v>127286.87970914126</v>
      </c>
      <c r="OF360" s="13">
        <f>IF(OB360=1,$OB$31,$OB$32)</f>
        <v>152394.16214437486</v>
      </c>
      <c r="OG360" s="13">
        <f>OE360-OF360</f>
        <v>-25107.282435233603</v>
      </c>
      <c r="OH360" s="13">
        <f>OH359+OG360</f>
        <v>12159768.07957658</v>
      </c>
      <c r="OI360">
        <f>IF(OH360=MAX($OH$83:$OH$483),$A360,0)</f>
        <v>0</v>
      </c>
      <c r="OJ360">
        <f>IF(OE360&lt;OF360,$A360,B_MAX+1)</f>
        <v>277</v>
      </c>
      <c r="OK360" s="13">
        <f>IF(OB360=1,$OB$35,$OB$36)</f>
        <v>0</v>
      </c>
      <c r="OL360" s="13">
        <f>OCC_DAYS*$OB$41*R_NF_2023-OD360*MCD_SHARE_FREED*R_WAIT_2023</f>
        <v>94673.82103225985</v>
      </c>
      <c r="OM360">
        <f>IF($A360&lt;=$OB$45,1,0)</f>
        <v>0</v>
      </c>
    </row>
    <row r="361">
      <c r="A361" t="n">
        <v>278</v>
      </c>
      <c r="B361">
        <f>IF($B$31&lt;=$B$32,IF($A361&lt;=$B$7,1,2),IF($A361&lt;=RUNG_BEDS_2,2,1))</f>
        <v>1</v>
      </c>
      <c r="C361" s="5">
        <f>MIN(1,MAX(0,$B$26-($A361-1)))</f>
        <v>0</v>
      </c>
      <c r="D361" s="5">
        <f>$B$25*(C361+(1-C361)*$B$16)</f>
        <v>0.0</v>
      </c>
      <c r="E361" s="13">
        <f>D361*($B$6+ACUTE_MARGIN)</f>
        <v>0.0</v>
      </c>
      <c r="F361" s="13">
        <f>IF(B361=1,$B$31,$B$32)</f>
        <v>152394.16214437486</v>
      </c>
      <c r="G361" s="13">
        <f>E361-F361</f>
        <v>-152394.16214437486</v>
      </c>
      <c r="H361" s="13">
        <f>H360+G361</f>
        <v>-4136606.4478638773</v>
      </c>
      <c r="I361">
        <f>IF(H361=MAX($H$83:$H$483),$A361,0)</f>
        <v>0</v>
      </c>
      <c r="J361">
        <f>IF(E361&lt;F361,$A361,B_MAX+1)</f>
        <v>278</v>
      </c>
      <c r="K361" s="13">
        <f>IF(B361=1,$B$35,$B$36)</f>
        <v>0</v>
      </c>
      <c r="L361" s="13">
        <f>OCC_DAYS*$B$41*R_NF_2023-D361*MCD_SHARE_FREED*R_WAIT_2023</f>
        <v>151980.48282209205</v>
      </c>
      <c r="M361">
        <f>IF($A361&lt;=$B$45,1,0)</f>
        <v>0</v>
      </c>
      <c r="AB361">
        <f>IF($AB$31&lt;=$AB$32,IF($A361&lt;=$AB$7,1,2),IF($A361&lt;=RUNG_BEDS_2,2,1))</f>
        <v>1</v>
      </c>
      <c r="AC361" s="5">
        <f>MIN(1,MAX(0,$AB$26-($A361-1)))</f>
        <v>0</v>
      </c>
      <c r="AD361" s="5">
        <f>$AB$25*(AC361+(1-AC361)*$AB$16)</f>
        <v>0.0</v>
      </c>
      <c r="AE361" s="13">
        <f>AD361*($AB$6+ACUTE_MARGIN)</f>
        <v>0.0</v>
      </c>
      <c r="AF361" s="13">
        <f>IF(AB361=1,$AB$31,$AB$32)</f>
        <v>152394.16214437486</v>
      </c>
      <c r="AG361" s="13">
        <f>AE361-AF361</f>
        <v>-152394.16214437486</v>
      </c>
      <c r="AH361" s="13">
        <f>AH360+AG361</f>
        <v>-21547820.79341364</v>
      </c>
      <c r="AI361">
        <f>IF(AH361=MAX($AH$83:$AH$483),$A361,0)</f>
        <v>0</v>
      </c>
      <c r="AJ361">
        <f>IF(AE361&lt;AF361,$A361,B_MAX+1)</f>
        <v>278</v>
      </c>
      <c r="AK361" s="13">
        <f>IF(AB361=1,$AB$35,$AB$36)</f>
        <v>0</v>
      </c>
      <c r="AL361" s="13">
        <f>OCC_DAYS*$AB$41*R_NF_2023-AD361*MCD_SHARE_FREED*R_WAIT_2023</f>
        <v>151980.48282209205</v>
      </c>
      <c r="AM361">
        <f>IF($A361&lt;=$AB$45,1,0)</f>
        <v>0</v>
      </c>
      <c r="BB361">
        <f>IF($BB$31&lt;=$BB$32,IF($A361&lt;=$BB$7,1,2),IF($A361&lt;=RUNG_BEDS_2,2,1))</f>
        <v>1</v>
      </c>
      <c r="BC361" s="5">
        <f>MIN(1,MAX(0,$BB$26-($A361-1)))</f>
        <v>0</v>
      </c>
      <c r="BD361" s="5">
        <f>$BB$25*(BC361+(1-BC361)*$BB$16)</f>
        <v>0.0</v>
      </c>
      <c r="BE361" s="13">
        <f>BD361*($BB$6+ACUTE_MARGIN)</f>
        <v>0.0</v>
      </c>
      <c r="BF361" s="13">
        <f>IF(BB361=1,$BB$31,$BB$32)</f>
        <v>152394.16214437486</v>
      </c>
      <c r="BG361" s="13">
        <f>BE361-BF361</f>
        <v>-152394.16214437486</v>
      </c>
      <c r="BH361" s="13">
        <f>BH360+BG361</f>
        <v>13274607.897685856</v>
      </c>
      <c r="BI361">
        <f>IF(BH361=MAX($BH$83:$BH$483),$A361,0)</f>
        <v>0</v>
      </c>
      <c r="BJ361">
        <f>IF(BE361&lt;BF361,$A361,B_MAX+1)</f>
        <v>278</v>
      </c>
      <c r="BK361" s="13">
        <f>IF(BB361=1,$BB$35,$BB$36)</f>
        <v>0</v>
      </c>
      <c r="BL361" s="13">
        <f>OCC_DAYS*$BB$41*R_NF_2023-BD361*MCD_SHARE_FREED*R_WAIT_2023</f>
        <v>151980.48282209205</v>
      </c>
      <c r="BM361">
        <f>IF($A361&lt;=$BB$45,1,0)</f>
        <v>0</v>
      </c>
      <c r="CB361">
        <f>IF($CB$31&lt;=$CB$32,IF($A361&lt;=$CB$7,1,2),IF($A361&lt;=RUNG_BEDS_2,2,1))</f>
        <v>2</v>
      </c>
      <c r="CC361" s="5">
        <f>MIN(1,MAX(0,$CB$26-($A361-1)))</f>
        <v>0</v>
      </c>
      <c r="CD361" s="5">
        <f>$CB$25*(CC361+(1-CC361)*$CB$16)</f>
        <v>0.0</v>
      </c>
      <c r="CE361" s="13">
        <f>CD361*($CB$6+ACUTE_MARGIN)</f>
        <v>0.0</v>
      </c>
      <c r="CF361" s="13">
        <f>IF(CB361=1,$CB$31,$CB$32)</f>
        <v>160718.36940738867</v>
      </c>
      <c r="CG361" s="13">
        <f>CE361-CF361</f>
        <v>-160718.36940738867</v>
      </c>
      <c r="CH361" s="13">
        <f>CH360+CG361</f>
        <v>-6450736.066981827</v>
      </c>
      <c r="CI361">
        <f>IF(CH361=MAX($CH$83:$CH$483),$A361,0)</f>
        <v>0</v>
      </c>
      <c r="CJ361">
        <f>IF(CE361&lt;CF361,$A361,B_MAX+1)</f>
        <v>278</v>
      </c>
      <c r="CK361" s="13">
        <f>IF(CB361=1,$CB$35,$CB$36)</f>
        <v>1560.1194073886782</v>
      </c>
      <c r="CL361" s="13">
        <f>OCC_DAYS*$CB$41*R_NF_2023-CD361*MCD_SHARE_FREED*R_WAIT_2023</f>
        <v>151980.48282209205</v>
      </c>
      <c r="CM361">
        <f>IF($A361&lt;=$CB$45,1,0)</f>
        <v>0</v>
      </c>
      <c r="DB361">
        <f>IF($DB$31&lt;=$DB$32,IF($A361&lt;=$DB$7,1,2),IF($A361&lt;=RUNG_BEDS_2,2,1))</f>
        <v>1</v>
      </c>
      <c r="DC361" s="5">
        <f>MIN(1,MAX(0,$DB$26-($A361-1)))</f>
        <v>0</v>
      </c>
      <c r="DD361" s="5">
        <f>$DB$25*(DC361+(1-DC361)*$DB$16)</f>
        <v>0.0</v>
      </c>
      <c r="DE361" s="13">
        <f>DD361*($DB$6+ACUTE_MARGIN)</f>
        <v>0.0</v>
      </c>
      <c r="DF361" s="13">
        <f>IF(DB361=1,$DB$31,$DB$32)</f>
        <v>152394.16214437486</v>
      </c>
      <c r="DG361" s="13">
        <f>DE361-DF361</f>
        <v>-152394.16214437486</v>
      </c>
      <c r="DH361" s="13">
        <f>DH360+DG361</f>
        <v>-4136606.4478638773</v>
      </c>
      <c r="DI361">
        <f>IF(DH361=MAX($DH$83:$DH$483),$A361,0)</f>
        <v>0</v>
      </c>
      <c r="DJ361">
        <f>IF(DE361&lt;DF361,$A361,B_MAX+1)</f>
        <v>278</v>
      </c>
      <c r="DK361" s="13">
        <f>IF(DB361=1,$DB$35,$DB$36)</f>
        <v>0</v>
      </c>
      <c r="DL361" s="13">
        <f>OCC_DAYS*$DB$41*R_NF_2023-DD361*MCD_SHARE_FREED*R_WAIT_2023</f>
        <v>151980.48282209205</v>
      </c>
      <c r="DM361">
        <f>IF($A361&lt;=$DB$45,1,0)</f>
        <v>0</v>
      </c>
      <c r="EB361">
        <f>IF($EB$31&lt;=$EB$32,IF($A361&lt;=$EB$7,1,2),IF($A361&lt;=RUNG_BEDS_2,2,1))</f>
        <v>1</v>
      </c>
      <c r="EC361" s="5">
        <f>MIN(1,MAX(0,$EB$26-($A361-1)))</f>
        <v>0</v>
      </c>
      <c r="ED361" s="5">
        <f>$EB$25*(EC361+(1-EC361)*$EB$16)</f>
        <v>0.0</v>
      </c>
      <c r="EE361" s="13">
        <f>ED361*($EB$6+ACUTE_MARGIN)</f>
        <v>0.0</v>
      </c>
      <c r="EF361" s="13">
        <f>IF(EB361=1,$EB$31,$EB$32)</f>
        <v>152394.16214437486</v>
      </c>
      <c r="EG361" s="13">
        <f>EE361-EF361</f>
        <v>-152394.16214437486</v>
      </c>
      <c r="EH361" s="13">
        <f>EH360+EG361</f>
        <v>-4136606.4478638773</v>
      </c>
      <c r="EI361">
        <f>IF(EH361=MAX($EH$83:$EH$483),$A361,0)</f>
        <v>0</v>
      </c>
      <c r="EJ361">
        <f>IF(EE361&lt;EF361,$A361,B_MAX+1)</f>
        <v>278</v>
      </c>
      <c r="EK361" s="13">
        <f>IF(EB361=1,$EB$35,$EB$36)</f>
        <v>0</v>
      </c>
      <c r="EL361" s="13">
        <f>OCC_DAYS*$EB$41*R_NF_2023-ED361*MCD_SHARE_FREED*R_WAIT_2023</f>
        <v>50660.16094069735</v>
      </c>
      <c r="EM361">
        <f>IF($A361&lt;=$EB$45,1,0)</f>
        <v>0</v>
      </c>
      <c r="FB361">
        <f>IF($FB$31&lt;=$FB$32,IF($A361&lt;=$FB$7,1,2),IF($A361&lt;=RUNG_BEDS_2,2,1))</f>
        <v>1</v>
      </c>
      <c r="FC361" s="5">
        <f>MIN(1,MAX(0,$FB$26-($A361-1)))</f>
        <v>0</v>
      </c>
      <c r="FD361" s="5">
        <f>$FB$25*(FC361+(1-FC361)*$FB$16)</f>
        <v>0.0</v>
      </c>
      <c r="FE361" s="13">
        <f>FD361*($FB$6+ACUTE_MARGIN)</f>
        <v>0.0</v>
      </c>
      <c r="FF361" s="13">
        <f>IF(FB361=1,$FB$31,$FB$32)</f>
        <v>156636.04979437485</v>
      </c>
      <c r="FG361" s="13">
        <f>FE361-FF361</f>
        <v>-156636.04979437485</v>
      </c>
      <c r="FH361" s="13">
        <f>FH360+FG361</f>
        <v>-5315851.214563992</v>
      </c>
      <c r="FI361">
        <f>IF(FH361=MAX($FH$83:$FH$483),$A361,0)</f>
        <v>0</v>
      </c>
      <c r="FJ361">
        <f>IF(FE361&lt;FF361,$A361,B_MAX+1)</f>
        <v>278</v>
      </c>
      <c r="FK361" s="13">
        <f>IF(FB361=1,$FB$35,$FB$36)</f>
        <v>0</v>
      </c>
      <c r="FL361" s="13">
        <f>OCC_DAYS*$FB$41*R_NF_2023-FD361*MCD_SHARE_FREED*R_WAIT_2023</f>
        <v>151980.48282209205</v>
      </c>
      <c r="FM361">
        <f>IF($A361&lt;=$FB$45,1,0)</f>
        <v>0</v>
      </c>
      <c r="GB361">
        <f>IF($GB$31&lt;=$GB$32,IF($A361&lt;=$GB$7,1,2),IF($A361&lt;=RUNG_BEDS_2,2,1))</f>
        <v>1</v>
      </c>
      <c r="GC361" s="5">
        <f>MIN(1,MAX(0,$GB$26-($A361-1)))</f>
        <v>0</v>
      </c>
      <c r="GD361" s="5">
        <f>$GB$25*(GC361+(1-GC361)*$GB$16)</f>
        <v>0.0</v>
      </c>
      <c r="GE361" s="13">
        <f>GD361*($GB$6+ACUTE_MARGIN)</f>
        <v>0.0</v>
      </c>
      <c r="GF361" s="13">
        <f>IF(GB361=1,$GB$31,$GB$32)</f>
        <v>152394.16214437486</v>
      </c>
      <c r="GG361" s="13">
        <f>GE361-GF361</f>
        <v>-152394.16214437486</v>
      </c>
      <c r="GH361" s="13">
        <f>GH360+GG361</f>
        <v>-4136606.4478638773</v>
      </c>
      <c r="GI361">
        <f>IF(GH361=MAX($GH$83:$GH$483),$A361,0)</f>
        <v>0</v>
      </c>
      <c r="GJ361">
        <f>IF(GE361&lt;GF361,$A361,B_MAX+1)</f>
        <v>278</v>
      </c>
      <c r="GK361" s="13">
        <f>IF(GB361=1,$GB$35,$GB$36)</f>
        <v>0</v>
      </c>
      <c r="GL361" s="13">
        <f>OCC_DAYS*$GB$41*R_NF_2023-GD361*MCD_SHARE_FREED*R_WAIT_2023</f>
        <v>151980.48282209205</v>
      </c>
      <c r="GM361">
        <f>IF($A361&lt;=$GB$45,1,0)</f>
        <v>0</v>
      </c>
      <c r="HB361">
        <f>IF($HB$31&lt;=$HB$32,IF($A361&lt;=$HB$7,1,2),IF($A361&lt;=RUNG_BEDS_2,2,1))</f>
        <v>1</v>
      </c>
      <c r="HC361" s="5">
        <f>MIN(1,MAX(0,$HB$26-($A361-1)))</f>
        <v>0</v>
      </c>
      <c r="HD361" s="5">
        <f>$HB$25*(HC361+(1-HC361)*$HB$16)</f>
        <v>0.0</v>
      </c>
      <c r="HE361" s="13">
        <f>HD361*($HB$6+ACUTE_MARGIN)</f>
        <v>0.0</v>
      </c>
      <c r="HF361" s="13">
        <f>IF(HB361=1,$HB$31,$HB$32)</f>
        <v>152456.2970814058</v>
      </c>
      <c r="HG361" s="13">
        <f>HE361-HF361</f>
        <v>-152456.2970814058</v>
      </c>
      <c r="HH361" s="13">
        <f>HH360+HG361</f>
        <v>-4153879.9603585154</v>
      </c>
      <c r="HI361">
        <f>IF(HH361=MAX($HH$83:$HH$483),$A361,0)</f>
        <v>0</v>
      </c>
      <c r="HJ361">
        <f>IF(HE361&lt;HF361,$A361,B_MAX+1)</f>
        <v>278</v>
      </c>
      <c r="HK361" s="13">
        <f>IF(HB361=1,$HB$35,$HB$36)</f>
        <v>0</v>
      </c>
      <c r="HL361" s="13">
        <f>OCC_DAYS*$HB$41*R_NF_2023-HD361*MCD_SHARE_FREED*R_WAIT_2023</f>
        <v>151980.48282209205</v>
      </c>
      <c r="HM361">
        <f>IF($A361&lt;=$HB$45,1,0)</f>
        <v>0</v>
      </c>
      <c r="IB361">
        <f>IF($IB$31&lt;=$IB$32,IF($A361&lt;=$IB$7,1,2),IF($A361&lt;=RUNG_BEDS_2,2,1))</f>
        <v>1</v>
      </c>
      <c r="IC361" s="5">
        <f>MIN(1,MAX(0,$IB$26-($A361-1)))</f>
        <v>0</v>
      </c>
      <c r="ID361" s="5">
        <f>$IB$25*(IC361+(1-IC361)*$IB$16)</f>
        <v>0.0</v>
      </c>
      <c r="IE361" s="13">
        <f>ID361*($IB$6+ACUTE_MARGIN)</f>
        <v>0.0</v>
      </c>
      <c r="IF361" s="13">
        <f>IF(IB361=1,$IB$31,$IB$32)</f>
        <v>152734.9994534971</v>
      </c>
      <c r="IG361" s="13">
        <f>IE361-IF361</f>
        <v>-152734.9994534971</v>
      </c>
      <c r="IH361" s="13">
        <f>IH360+IG361</f>
        <v>-4231359.219799951</v>
      </c>
      <c r="II361">
        <f>IF(IH361=MAX($IH$83:$IH$483),$A361,0)</f>
        <v>0</v>
      </c>
      <c r="IJ361">
        <f>IF(IE361&lt;IF361,$A361,B_MAX+1)</f>
        <v>278</v>
      </c>
      <c r="IK361" s="13">
        <f>IF(IB361=1,$IB$35,$IB$36)</f>
        <v>0</v>
      </c>
      <c r="IL361" s="13">
        <f>OCC_DAYS*$IB$41*R_NF_2023-ID361*MCD_SHARE_FREED*R_WAIT_2023</f>
        <v>151980.48282209205</v>
      </c>
      <c r="IM361">
        <f>IF($A361&lt;=$IB$45,1,0)</f>
        <v>0</v>
      </c>
      <c r="JB361">
        <f>IF($JB$31&lt;=$JB$32,IF($A361&lt;=$JB$7,1,2),IF($A361&lt;=RUNG_BEDS_2,2,1))</f>
        <v>1</v>
      </c>
      <c r="JC361" s="5">
        <f>MIN(1,MAX(0,$JB$26-($A361-1)))</f>
        <v>0</v>
      </c>
      <c r="JD361" s="5">
        <f>$JB$25*(JC361+(1-JC361)*$JB$16)</f>
        <v>0.0</v>
      </c>
      <c r="JE361" s="13">
        <f>JD361*($JB$6+ACUTE_MARGIN)</f>
        <v>0.0</v>
      </c>
      <c r="JF361" s="13">
        <f>IF(JB361=1,$JB$31,$JB$32)</f>
        <v>152394.16214437486</v>
      </c>
      <c r="JG361" s="13">
        <f>JE361-JF361</f>
        <v>-152394.16214437486</v>
      </c>
      <c r="JH361" s="13">
        <f>JH360+JG361</f>
        <v>-4136606.4478638773</v>
      </c>
      <c r="JI361">
        <f>IF(JH361=MAX($JH$83:$JH$483),$A361,0)</f>
        <v>0</v>
      </c>
      <c r="JJ361">
        <f>IF(JE361&lt;JF361,$A361,B_MAX+1)</f>
        <v>278</v>
      </c>
      <c r="JK361" s="13">
        <f>IF(JB361=1,$JB$35,$JB$36)</f>
        <v>0</v>
      </c>
      <c r="JL361" s="13">
        <f>OCC_DAYS*$JB$41*R_NF_2023-JD361*MCD_SHARE_FREED*R_WAIT_2023</f>
        <v>151980.48282209205</v>
      </c>
      <c r="JM361">
        <f>IF($A361&lt;=$JB$45,1,0)</f>
        <v>0</v>
      </c>
      <c r="KB361">
        <f>IF($KB$31&lt;=$KB$32,IF($A361&lt;=$KB$7,1,2),IF($A361&lt;=RUNG_BEDS_2,2,1))</f>
        <v>1</v>
      </c>
      <c r="KC361" s="5">
        <f>MIN(1,MAX(0,$KB$26-($A361-1)))</f>
        <v>1</v>
      </c>
      <c r="KD361" s="5">
        <f>$KB$25*(KC361+(1-KC361)*$KB$16)</f>
        <v>126.02661357340719</v>
      </c>
      <c r="KE361" s="13">
        <f>KD361*($KB$6+ACUTE_MARGIN)</f>
        <v>127286.87970914126</v>
      </c>
      <c r="KF361" s="13">
        <f>IF(KB361=1,$KB$31,$KB$32)</f>
        <v>152394.16214437486</v>
      </c>
      <c r="KG361" s="13">
        <f>KE361-KF361</f>
        <v>-25107.282435233603</v>
      </c>
      <c r="KH361" s="13">
        <f>KH360+KG361</f>
        <v>-6979824.516994965</v>
      </c>
      <c r="KI361">
        <f>IF(KH361=MAX($KH$83:$KH$483),$A361,0)</f>
        <v>0</v>
      </c>
      <c r="KJ361">
        <f>IF(KE361&lt;KF361,$A361,B_MAX+1)</f>
        <v>278</v>
      </c>
      <c r="KK361" s="13">
        <f>IF(KB361=1,$KB$35,$KB$36)</f>
        <v>0</v>
      </c>
      <c r="KL361" s="13">
        <f>OCC_DAYS*$KB$41*R_NF_2023-KD361*MCD_SHARE_FREED*R_WAIT_2023</f>
        <v>94673.82103225985</v>
      </c>
      <c r="KM361">
        <f>IF($A361&lt;=$KB$45,1,0)</f>
        <v>0</v>
      </c>
      <c r="LB361">
        <f>IF($LB$31&lt;=$LB$32,IF($A361&lt;=$LB$7,1,2),IF($A361&lt;=RUNG_BEDS_2,2,1))</f>
        <v>1</v>
      </c>
      <c r="LC361" s="5">
        <f>MIN(1,MAX(0,$LB$26-($A361-1)))</f>
        <v>1</v>
      </c>
      <c r="LD361" s="5">
        <f>$LB$25*(LC361+(1-LC361)*$LB$16)</f>
        <v>84.01774238227146</v>
      </c>
      <c r="LE361" s="13">
        <f>LD361*($LB$6+ACUTE_MARGIN)</f>
        <v>84857.91980609419</v>
      </c>
      <c r="LF361" s="13">
        <f>IF(LB361=1,$LB$31,$LB$32)</f>
        <v>152394.16214437486</v>
      </c>
      <c r="LG361" s="13">
        <f>LE361-LF361</f>
        <v>-67536.24233828067</v>
      </c>
      <c r="LH361" s="13">
        <f>LH360+LG361</f>
        <v>-18775075.370042123</v>
      </c>
      <c r="LI361">
        <f>IF(LH361=MAX($LH$83:$LH$483),$A361,0)</f>
        <v>0</v>
      </c>
      <c r="LJ361">
        <f>IF(LE361&lt;LF361,$A361,B_MAX+1)</f>
        <v>278</v>
      </c>
      <c r="LK361" s="13">
        <f>IF(LB361=1,$LB$35,$LB$36)</f>
        <v>0</v>
      </c>
      <c r="LL361" s="13">
        <f>OCC_DAYS*$LB$41*R_NF_2023-LD361*MCD_SHARE_FREED*R_WAIT_2023</f>
        <v>113776.04162887059</v>
      </c>
      <c r="LM361">
        <f>IF($A361&lt;=$LB$45,1,0)</f>
        <v>0</v>
      </c>
      <c r="MB361">
        <f>IF($MB$31&lt;=$MB$32,IF($A361&lt;=$MB$7,1,2),IF($A361&lt;=RUNG_BEDS_2,2,1))</f>
        <v>1</v>
      </c>
      <c r="MC361" s="5">
        <f>MIN(1,MAX(0,$MB$26-($A361-1)))</f>
        <v>0</v>
      </c>
      <c r="MD361" s="5">
        <f>$MB$25*(MC361+(1-MC361)*$MB$16)</f>
        <v>0.0</v>
      </c>
      <c r="ME361" s="13">
        <f>MD361*($MB$6+ACUTE_MARGIN)</f>
        <v>0.0</v>
      </c>
      <c r="MF361" s="13">
        <f>IF(MB361=1,$MB$31,$MB$32)</f>
        <v>152394.16214437486</v>
      </c>
      <c r="MG361" s="13">
        <f>ME361-MF361</f>
        <v>-152394.16214437486</v>
      </c>
      <c r="MH361" s="13">
        <f>MH360+MG361</f>
        <v>-10023882.509662203</v>
      </c>
      <c r="MI361">
        <f>IF(MH361=MAX($MH$83:$MH$483),$A361,0)</f>
        <v>0</v>
      </c>
      <c r="MJ361">
        <f>IF(ME361&lt;MF361,$A361,B_MAX+1)</f>
        <v>278</v>
      </c>
      <c r="MK361" s="13">
        <f>IF(MB361=1,$MB$35,$MB$36)</f>
        <v>0</v>
      </c>
      <c r="ML361" s="13">
        <f>OCC_DAYS*$MB$41*R_NF_2023-MD361*MCD_SHARE_FREED*R_WAIT_2023</f>
        <v>151980.48282209205</v>
      </c>
      <c r="MM361">
        <f>IF($A361&lt;=$MB$45,1,0)</f>
        <v>0</v>
      </c>
      <c r="NB361">
        <f>IF($NB$31&lt;=$NB$32,IF($A361&lt;=$NB$7,1,2),IF($A361&lt;=RUNG_BEDS_2,2,1))</f>
        <v>1</v>
      </c>
      <c r="NC361" s="5">
        <f>MIN(1,MAX(0,$NB$26-($A361-1)))</f>
        <v>0</v>
      </c>
      <c r="ND361" s="5">
        <f>$NB$25*(NC361+(1-NC361)*$NB$16)</f>
        <v>63.013306786703595</v>
      </c>
      <c r="NE361" s="13">
        <f>ND361*($NB$6+ACUTE_MARGIN)</f>
        <v>63643.43985457063</v>
      </c>
      <c r="NF361" s="13">
        <f>IF(NB361=1,$NB$31,$NB$32)</f>
        <v>152394.16214437486</v>
      </c>
      <c r="NG361" s="13">
        <f>NE361-NF361</f>
        <v>-88750.72228980422</v>
      </c>
      <c r="NH361" s="13">
        <f>NH360+NG361</f>
        <v>3999027.1746386513</v>
      </c>
      <c r="NI361">
        <f>IF(NH361=MAX($NH$83:$NH$483),$A361,0)</f>
        <v>0</v>
      </c>
      <c r="NJ361">
        <f>IF(NE361&lt;NF361,$A361,B_MAX+1)</f>
        <v>278</v>
      </c>
      <c r="NK361" s="13">
        <f>IF(NB361=1,$NB$35,$NB$36)</f>
        <v>0</v>
      </c>
      <c r="NL361" s="13">
        <f>OCC_DAYS*$NB$41*R_NF_2023-ND361*MCD_SHARE_FREED*R_WAIT_2023</f>
        <v>123327.15192717595</v>
      </c>
      <c r="NM361">
        <f>IF($A361&lt;=$NB$45,1,0)</f>
        <v>0</v>
      </c>
      <c r="OB361">
        <f>IF($OB$31&lt;=$OB$32,IF($A361&lt;=$OB$7,1,2),IF($A361&lt;=RUNG_BEDS_2,2,1))</f>
        <v>1</v>
      </c>
      <c r="OC361" s="5">
        <f>MIN(1,MAX(0,$OB$26-($A361-1)))</f>
        <v>0</v>
      </c>
      <c r="OD361" s="5">
        <f>$OB$25*(OC361+(1-OC361)*$OB$16)</f>
        <v>126.02661357340719</v>
      </c>
      <c r="OE361" s="13">
        <f>OD361*($OB$6+ACUTE_MARGIN)</f>
        <v>127286.87970914126</v>
      </c>
      <c r="OF361" s="13">
        <f>IF(OB361=1,$OB$31,$OB$32)</f>
        <v>152394.16214437486</v>
      </c>
      <c r="OG361" s="13">
        <f>OE361-OF361</f>
        <v>-25107.282435233603</v>
      </c>
      <c r="OH361" s="13">
        <f>OH360+OG361</f>
        <v>12134660.797141347</v>
      </c>
      <c r="OI361">
        <f>IF(OH361=MAX($OH$83:$OH$483),$A361,0)</f>
        <v>0</v>
      </c>
      <c r="OJ361">
        <f>IF(OE361&lt;OF361,$A361,B_MAX+1)</f>
        <v>278</v>
      </c>
      <c r="OK361" s="13">
        <f>IF(OB361=1,$OB$35,$OB$36)</f>
        <v>0</v>
      </c>
      <c r="OL361" s="13">
        <f>OCC_DAYS*$OB$41*R_NF_2023-OD361*MCD_SHARE_FREED*R_WAIT_2023</f>
        <v>94673.82103225985</v>
      </c>
      <c r="OM361">
        <f>IF($A361&lt;=$OB$45,1,0)</f>
        <v>0</v>
      </c>
    </row>
    <row r="362">
      <c r="A362" t="n">
        <v>279</v>
      </c>
      <c r="B362">
        <f>IF($B$31&lt;=$B$32,IF($A362&lt;=$B$7,1,2),IF($A362&lt;=RUNG_BEDS_2,2,1))</f>
        <v>1</v>
      </c>
      <c r="C362" s="5">
        <f>MIN(1,MAX(0,$B$26-($A362-1)))</f>
        <v>0</v>
      </c>
      <c r="D362" s="5">
        <f>$B$25*(C362+(1-C362)*$B$16)</f>
        <v>0.0</v>
      </c>
      <c r="E362" s="13">
        <f>D362*($B$6+ACUTE_MARGIN)</f>
        <v>0.0</v>
      </c>
      <c r="F362" s="13">
        <f>IF(B362=1,$B$31,$B$32)</f>
        <v>152394.16214437486</v>
      </c>
      <c r="G362" s="13">
        <f>E362-F362</f>
        <v>-152394.16214437486</v>
      </c>
      <c r="H362" s="13">
        <f>H361+G362</f>
        <v>-4289000.610008252</v>
      </c>
      <c r="I362">
        <f>IF(H362=MAX($H$83:$H$483),$A362,0)</f>
        <v>0</v>
      </c>
      <c r="J362">
        <f>IF(E362&lt;F362,$A362,B_MAX+1)</f>
        <v>279</v>
      </c>
      <c r="K362" s="13">
        <f>IF(B362=1,$B$35,$B$36)</f>
        <v>0</v>
      </c>
      <c r="L362" s="13">
        <f>OCC_DAYS*$B$41*R_NF_2023-D362*MCD_SHARE_FREED*R_WAIT_2023</f>
        <v>151980.48282209205</v>
      </c>
      <c r="M362">
        <f>IF($A362&lt;=$B$45,1,0)</f>
        <v>0</v>
      </c>
      <c r="AB362">
        <f>IF($AB$31&lt;=$AB$32,IF($A362&lt;=$AB$7,1,2),IF($A362&lt;=RUNG_BEDS_2,2,1))</f>
        <v>1</v>
      </c>
      <c r="AC362" s="5">
        <f>MIN(1,MAX(0,$AB$26-($A362-1)))</f>
        <v>0</v>
      </c>
      <c r="AD362" s="5">
        <f>$AB$25*(AC362+(1-AC362)*$AB$16)</f>
        <v>0.0</v>
      </c>
      <c r="AE362" s="13">
        <f>AD362*($AB$6+ACUTE_MARGIN)</f>
        <v>0.0</v>
      </c>
      <c r="AF362" s="13">
        <f>IF(AB362=1,$AB$31,$AB$32)</f>
        <v>152394.16214437486</v>
      </c>
      <c r="AG362" s="13">
        <f>AE362-AF362</f>
        <v>-152394.16214437486</v>
      </c>
      <c r="AH362" s="13">
        <f>AH361+AG362</f>
        <v>-21700214.955558013</v>
      </c>
      <c r="AI362">
        <f>IF(AH362=MAX($AH$83:$AH$483),$A362,0)</f>
        <v>0</v>
      </c>
      <c r="AJ362">
        <f>IF(AE362&lt;AF362,$A362,B_MAX+1)</f>
        <v>279</v>
      </c>
      <c r="AK362" s="13">
        <f>IF(AB362=1,$AB$35,$AB$36)</f>
        <v>0</v>
      </c>
      <c r="AL362" s="13">
        <f>OCC_DAYS*$AB$41*R_NF_2023-AD362*MCD_SHARE_FREED*R_WAIT_2023</f>
        <v>151980.48282209205</v>
      </c>
      <c r="AM362">
        <f>IF($A362&lt;=$AB$45,1,0)</f>
        <v>0</v>
      </c>
      <c r="BB362">
        <f>IF($BB$31&lt;=$BB$32,IF($A362&lt;=$BB$7,1,2),IF($A362&lt;=RUNG_BEDS_2,2,1))</f>
        <v>1</v>
      </c>
      <c r="BC362" s="5">
        <f>MIN(1,MAX(0,$BB$26-($A362-1)))</f>
        <v>0</v>
      </c>
      <c r="BD362" s="5">
        <f>$BB$25*(BC362+(1-BC362)*$BB$16)</f>
        <v>0.0</v>
      </c>
      <c r="BE362" s="13">
        <f>BD362*($BB$6+ACUTE_MARGIN)</f>
        <v>0.0</v>
      </c>
      <c r="BF362" s="13">
        <f>IF(BB362=1,$BB$31,$BB$32)</f>
        <v>152394.16214437486</v>
      </c>
      <c r="BG362" s="13">
        <f>BE362-BF362</f>
        <v>-152394.16214437486</v>
      </c>
      <c r="BH362" s="13">
        <f>BH361+BG362</f>
        <v>13122213.735541482</v>
      </c>
      <c r="BI362">
        <f>IF(BH362=MAX($BH$83:$BH$483),$A362,0)</f>
        <v>0</v>
      </c>
      <c r="BJ362">
        <f>IF(BE362&lt;BF362,$A362,B_MAX+1)</f>
        <v>279</v>
      </c>
      <c r="BK362" s="13">
        <f>IF(BB362=1,$BB$35,$BB$36)</f>
        <v>0</v>
      </c>
      <c r="BL362" s="13">
        <f>OCC_DAYS*$BB$41*R_NF_2023-BD362*MCD_SHARE_FREED*R_WAIT_2023</f>
        <v>151980.48282209205</v>
      </c>
      <c r="BM362">
        <f>IF($A362&lt;=$BB$45,1,0)</f>
        <v>0</v>
      </c>
      <c r="CB362">
        <f>IF($CB$31&lt;=$CB$32,IF($A362&lt;=$CB$7,1,2),IF($A362&lt;=RUNG_BEDS_2,2,1))</f>
        <v>2</v>
      </c>
      <c r="CC362" s="5">
        <f>MIN(1,MAX(0,$CB$26-($A362-1)))</f>
        <v>0</v>
      </c>
      <c r="CD362" s="5">
        <f>$CB$25*(CC362+(1-CC362)*$CB$16)</f>
        <v>0.0</v>
      </c>
      <c r="CE362" s="13">
        <f>CD362*($CB$6+ACUTE_MARGIN)</f>
        <v>0.0</v>
      </c>
      <c r="CF362" s="13">
        <f>IF(CB362=1,$CB$31,$CB$32)</f>
        <v>160718.36940738867</v>
      </c>
      <c r="CG362" s="13">
        <f>CE362-CF362</f>
        <v>-160718.36940738867</v>
      </c>
      <c r="CH362" s="13">
        <f>CH361+CG362</f>
        <v>-6611454.436389215</v>
      </c>
      <c r="CI362">
        <f>IF(CH362=MAX($CH$83:$CH$483),$A362,0)</f>
        <v>0</v>
      </c>
      <c r="CJ362">
        <f>IF(CE362&lt;CF362,$A362,B_MAX+1)</f>
        <v>279</v>
      </c>
      <c r="CK362" s="13">
        <f>IF(CB362=1,$CB$35,$CB$36)</f>
        <v>1560.1194073886782</v>
      </c>
      <c r="CL362" s="13">
        <f>OCC_DAYS*$CB$41*R_NF_2023-CD362*MCD_SHARE_FREED*R_WAIT_2023</f>
        <v>151980.48282209205</v>
      </c>
      <c r="CM362">
        <f>IF($A362&lt;=$CB$45,1,0)</f>
        <v>0</v>
      </c>
      <c r="DB362">
        <f>IF($DB$31&lt;=$DB$32,IF($A362&lt;=$DB$7,1,2),IF($A362&lt;=RUNG_BEDS_2,2,1))</f>
        <v>1</v>
      </c>
      <c r="DC362" s="5">
        <f>MIN(1,MAX(0,$DB$26-($A362-1)))</f>
        <v>0</v>
      </c>
      <c r="DD362" s="5">
        <f>$DB$25*(DC362+(1-DC362)*$DB$16)</f>
        <v>0.0</v>
      </c>
      <c r="DE362" s="13">
        <f>DD362*($DB$6+ACUTE_MARGIN)</f>
        <v>0.0</v>
      </c>
      <c r="DF362" s="13">
        <f>IF(DB362=1,$DB$31,$DB$32)</f>
        <v>152394.16214437486</v>
      </c>
      <c r="DG362" s="13">
        <f>DE362-DF362</f>
        <v>-152394.16214437486</v>
      </c>
      <c r="DH362" s="13">
        <f>DH361+DG362</f>
        <v>-4289000.610008252</v>
      </c>
      <c r="DI362">
        <f>IF(DH362=MAX($DH$83:$DH$483),$A362,0)</f>
        <v>0</v>
      </c>
      <c r="DJ362">
        <f>IF(DE362&lt;DF362,$A362,B_MAX+1)</f>
        <v>279</v>
      </c>
      <c r="DK362" s="13">
        <f>IF(DB362=1,$DB$35,$DB$36)</f>
        <v>0</v>
      </c>
      <c r="DL362" s="13">
        <f>OCC_DAYS*$DB$41*R_NF_2023-DD362*MCD_SHARE_FREED*R_WAIT_2023</f>
        <v>151980.48282209205</v>
      </c>
      <c r="DM362">
        <f>IF($A362&lt;=$DB$45,1,0)</f>
        <v>0</v>
      </c>
      <c r="EB362">
        <f>IF($EB$31&lt;=$EB$32,IF($A362&lt;=$EB$7,1,2),IF($A362&lt;=RUNG_BEDS_2,2,1))</f>
        <v>1</v>
      </c>
      <c r="EC362" s="5">
        <f>MIN(1,MAX(0,$EB$26-($A362-1)))</f>
        <v>0</v>
      </c>
      <c r="ED362" s="5">
        <f>$EB$25*(EC362+(1-EC362)*$EB$16)</f>
        <v>0.0</v>
      </c>
      <c r="EE362" s="13">
        <f>ED362*($EB$6+ACUTE_MARGIN)</f>
        <v>0.0</v>
      </c>
      <c r="EF362" s="13">
        <f>IF(EB362=1,$EB$31,$EB$32)</f>
        <v>152394.16214437486</v>
      </c>
      <c r="EG362" s="13">
        <f>EE362-EF362</f>
        <v>-152394.16214437486</v>
      </c>
      <c r="EH362" s="13">
        <f>EH361+EG362</f>
        <v>-4289000.610008252</v>
      </c>
      <c r="EI362">
        <f>IF(EH362=MAX($EH$83:$EH$483),$A362,0)</f>
        <v>0</v>
      </c>
      <c r="EJ362">
        <f>IF(EE362&lt;EF362,$A362,B_MAX+1)</f>
        <v>279</v>
      </c>
      <c r="EK362" s="13">
        <f>IF(EB362=1,$EB$35,$EB$36)</f>
        <v>0</v>
      </c>
      <c r="EL362" s="13">
        <f>OCC_DAYS*$EB$41*R_NF_2023-ED362*MCD_SHARE_FREED*R_WAIT_2023</f>
        <v>50660.16094069735</v>
      </c>
      <c r="EM362">
        <f>IF($A362&lt;=$EB$45,1,0)</f>
        <v>0</v>
      </c>
      <c r="FB362">
        <f>IF($FB$31&lt;=$FB$32,IF($A362&lt;=$FB$7,1,2),IF($A362&lt;=RUNG_BEDS_2,2,1))</f>
        <v>1</v>
      </c>
      <c r="FC362" s="5">
        <f>MIN(1,MAX(0,$FB$26-($A362-1)))</f>
        <v>0</v>
      </c>
      <c r="FD362" s="5">
        <f>$FB$25*(FC362+(1-FC362)*$FB$16)</f>
        <v>0.0</v>
      </c>
      <c r="FE362" s="13">
        <f>FD362*($FB$6+ACUTE_MARGIN)</f>
        <v>0.0</v>
      </c>
      <c r="FF362" s="13">
        <f>IF(FB362=1,$FB$31,$FB$32)</f>
        <v>156636.04979437485</v>
      </c>
      <c r="FG362" s="13">
        <f>FE362-FF362</f>
        <v>-156636.04979437485</v>
      </c>
      <c r="FH362" s="13">
        <f>FH361+FG362</f>
        <v>-5472487.264358367</v>
      </c>
      <c r="FI362">
        <f>IF(FH362=MAX($FH$83:$FH$483),$A362,0)</f>
        <v>0</v>
      </c>
      <c r="FJ362">
        <f>IF(FE362&lt;FF362,$A362,B_MAX+1)</f>
        <v>279</v>
      </c>
      <c r="FK362" s="13">
        <f>IF(FB362=1,$FB$35,$FB$36)</f>
        <v>0</v>
      </c>
      <c r="FL362" s="13">
        <f>OCC_DAYS*$FB$41*R_NF_2023-FD362*MCD_SHARE_FREED*R_WAIT_2023</f>
        <v>151980.48282209205</v>
      </c>
      <c r="FM362">
        <f>IF($A362&lt;=$FB$45,1,0)</f>
        <v>0</v>
      </c>
      <c r="GB362">
        <f>IF($GB$31&lt;=$GB$32,IF($A362&lt;=$GB$7,1,2),IF($A362&lt;=RUNG_BEDS_2,2,1))</f>
        <v>1</v>
      </c>
      <c r="GC362" s="5">
        <f>MIN(1,MAX(0,$GB$26-($A362-1)))</f>
        <v>0</v>
      </c>
      <c r="GD362" s="5">
        <f>$GB$25*(GC362+(1-GC362)*$GB$16)</f>
        <v>0.0</v>
      </c>
      <c r="GE362" s="13">
        <f>GD362*($GB$6+ACUTE_MARGIN)</f>
        <v>0.0</v>
      </c>
      <c r="GF362" s="13">
        <f>IF(GB362=1,$GB$31,$GB$32)</f>
        <v>152394.16214437486</v>
      </c>
      <c r="GG362" s="13">
        <f>GE362-GF362</f>
        <v>-152394.16214437486</v>
      </c>
      <c r="GH362" s="13">
        <f>GH361+GG362</f>
        <v>-4289000.610008252</v>
      </c>
      <c r="GI362">
        <f>IF(GH362=MAX($GH$83:$GH$483),$A362,0)</f>
        <v>0</v>
      </c>
      <c r="GJ362">
        <f>IF(GE362&lt;GF362,$A362,B_MAX+1)</f>
        <v>279</v>
      </c>
      <c r="GK362" s="13">
        <f>IF(GB362=1,$GB$35,$GB$36)</f>
        <v>0</v>
      </c>
      <c r="GL362" s="13">
        <f>OCC_DAYS*$GB$41*R_NF_2023-GD362*MCD_SHARE_FREED*R_WAIT_2023</f>
        <v>151980.48282209205</v>
      </c>
      <c r="GM362">
        <f>IF($A362&lt;=$GB$45,1,0)</f>
        <v>0</v>
      </c>
      <c r="HB362">
        <f>IF($HB$31&lt;=$HB$32,IF($A362&lt;=$HB$7,1,2),IF($A362&lt;=RUNG_BEDS_2,2,1))</f>
        <v>1</v>
      </c>
      <c r="HC362" s="5">
        <f>MIN(1,MAX(0,$HB$26-($A362-1)))</f>
        <v>0</v>
      </c>
      <c r="HD362" s="5">
        <f>$HB$25*(HC362+(1-HC362)*$HB$16)</f>
        <v>0.0</v>
      </c>
      <c r="HE362" s="13">
        <f>HD362*($HB$6+ACUTE_MARGIN)</f>
        <v>0.0</v>
      </c>
      <c r="HF362" s="13">
        <f>IF(HB362=1,$HB$31,$HB$32)</f>
        <v>152456.2970814058</v>
      </c>
      <c r="HG362" s="13">
        <f>HE362-HF362</f>
        <v>-152456.2970814058</v>
      </c>
      <c r="HH362" s="13">
        <f>HH361+HG362</f>
        <v>-4306336.257439922</v>
      </c>
      <c r="HI362">
        <f>IF(HH362=MAX($HH$83:$HH$483),$A362,0)</f>
        <v>0</v>
      </c>
      <c r="HJ362">
        <f>IF(HE362&lt;HF362,$A362,B_MAX+1)</f>
        <v>279</v>
      </c>
      <c r="HK362" s="13">
        <f>IF(HB362=1,$HB$35,$HB$36)</f>
        <v>0</v>
      </c>
      <c r="HL362" s="13">
        <f>OCC_DAYS*$HB$41*R_NF_2023-HD362*MCD_SHARE_FREED*R_WAIT_2023</f>
        <v>151980.48282209205</v>
      </c>
      <c r="HM362">
        <f>IF($A362&lt;=$HB$45,1,0)</f>
        <v>0</v>
      </c>
      <c r="IB362">
        <f>IF($IB$31&lt;=$IB$32,IF($A362&lt;=$IB$7,1,2),IF($A362&lt;=RUNG_BEDS_2,2,1))</f>
        <v>1</v>
      </c>
      <c r="IC362" s="5">
        <f>MIN(1,MAX(0,$IB$26-($A362-1)))</f>
        <v>0</v>
      </c>
      <c r="ID362" s="5">
        <f>$IB$25*(IC362+(1-IC362)*$IB$16)</f>
        <v>0.0</v>
      </c>
      <c r="IE362" s="13">
        <f>ID362*($IB$6+ACUTE_MARGIN)</f>
        <v>0.0</v>
      </c>
      <c r="IF362" s="13">
        <f>IF(IB362=1,$IB$31,$IB$32)</f>
        <v>152734.9994534971</v>
      </c>
      <c r="IG362" s="13">
        <f>IE362-IF362</f>
        <v>-152734.9994534971</v>
      </c>
      <c r="IH362" s="13">
        <f>IH361+IG362</f>
        <v>-4384094.219253448</v>
      </c>
      <c r="II362">
        <f>IF(IH362=MAX($IH$83:$IH$483),$A362,0)</f>
        <v>0</v>
      </c>
      <c r="IJ362">
        <f>IF(IE362&lt;IF362,$A362,B_MAX+1)</f>
        <v>279</v>
      </c>
      <c r="IK362" s="13">
        <f>IF(IB362=1,$IB$35,$IB$36)</f>
        <v>0</v>
      </c>
      <c r="IL362" s="13">
        <f>OCC_DAYS*$IB$41*R_NF_2023-ID362*MCD_SHARE_FREED*R_WAIT_2023</f>
        <v>151980.48282209205</v>
      </c>
      <c r="IM362">
        <f>IF($A362&lt;=$IB$45,1,0)</f>
        <v>0</v>
      </c>
      <c r="JB362">
        <f>IF($JB$31&lt;=$JB$32,IF($A362&lt;=$JB$7,1,2),IF($A362&lt;=RUNG_BEDS_2,2,1))</f>
        <v>1</v>
      </c>
      <c r="JC362" s="5">
        <f>MIN(1,MAX(0,$JB$26-($A362-1)))</f>
        <v>0</v>
      </c>
      <c r="JD362" s="5">
        <f>$JB$25*(JC362+(1-JC362)*$JB$16)</f>
        <v>0.0</v>
      </c>
      <c r="JE362" s="13">
        <f>JD362*($JB$6+ACUTE_MARGIN)</f>
        <v>0.0</v>
      </c>
      <c r="JF362" s="13">
        <f>IF(JB362=1,$JB$31,$JB$32)</f>
        <v>152394.16214437486</v>
      </c>
      <c r="JG362" s="13">
        <f>JE362-JF362</f>
        <v>-152394.16214437486</v>
      </c>
      <c r="JH362" s="13">
        <f>JH361+JG362</f>
        <v>-4289000.610008252</v>
      </c>
      <c r="JI362">
        <f>IF(JH362=MAX($JH$83:$JH$483),$A362,0)</f>
        <v>0</v>
      </c>
      <c r="JJ362">
        <f>IF(JE362&lt;JF362,$A362,B_MAX+1)</f>
        <v>279</v>
      </c>
      <c r="JK362" s="13">
        <f>IF(JB362=1,$JB$35,$JB$36)</f>
        <v>0</v>
      </c>
      <c r="JL362" s="13">
        <f>OCC_DAYS*$JB$41*R_NF_2023-JD362*MCD_SHARE_FREED*R_WAIT_2023</f>
        <v>151980.48282209205</v>
      </c>
      <c r="JM362">
        <f>IF($A362&lt;=$JB$45,1,0)</f>
        <v>0</v>
      </c>
      <c r="KB362">
        <f>IF($KB$31&lt;=$KB$32,IF($A362&lt;=$KB$7,1,2),IF($A362&lt;=RUNG_BEDS_2,2,1))</f>
        <v>1</v>
      </c>
      <c r="KC362" s="5">
        <f>MIN(1,MAX(0,$KB$26-($A362-1)))</f>
        <v>1</v>
      </c>
      <c r="KD362" s="5">
        <f>$KB$25*(KC362+(1-KC362)*$KB$16)</f>
        <v>126.02661357340719</v>
      </c>
      <c r="KE362" s="13">
        <f>KD362*($KB$6+ACUTE_MARGIN)</f>
        <v>127286.87970914126</v>
      </c>
      <c r="KF362" s="13">
        <f>IF(KB362=1,$KB$31,$KB$32)</f>
        <v>152394.16214437486</v>
      </c>
      <c r="KG362" s="13">
        <f>KE362-KF362</f>
        <v>-25107.282435233603</v>
      </c>
      <c r="KH362" s="13">
        <f>KH361+KG362</f>
        <v>-7004931.799430199</v>
      </c>
      <c r="KI362">
        <f>IF(KH362=MAX($KH$83:$KH$483),$A362,0)</f>
        <v>0</v>
      </c>
      <c r="KJ362">
        <f>IF(KE362&lt;KF362,$A362,B_MAX+1)</f>
        <v>279</v>
      </c>
      <c r="KK362" s="13">
        <f>IF(KB362=1,$KB$35,$KB$36)</f>
        <v>0</v>
      </c>
      <c r="KL362" s="13">
        <f>OCC_DAYS*$KB$41*R_NF_2023-KD362*MCD_SHARE_FREED*R_WAIT_2023</f>
        <v>94673.82103225985</v>
      </c>
      <c r="KM362">
        <f>IF($A362&lt;=$KB$45,1,0)</f>
        <v>0</v>
      </c>
      <c r="LB362">
        <f>IF($LB$31&lt;=$LB$32,IF($A362&lt;=$LB$7,1,2),IF($A362&lt;=RUNG_BEDS_2,2,1))</f>
        <v>1</v>
      </c>
      <c r="LC362" s="5">
        <f>MIN(1,MAX(0,$LB$26-($A362-1)))</f>
        <v>1</v>
      </c>
      <c r="LD362" s="5">
        <f>$LB$25*(LC362+(1-LC362)*$LB$16)</f>
        <v>84.01774238227146</v>
      </c>
      <c r="LE362" s="13">
        <f>LD362*($LB$6+ACUTE_MARGIN)</f>
        <v>84857.91980609419</v>
      </c>
      <c r="LF362" s="13">
        <f>IF(LB362=1,$LB$31,$LB$32)</f>
        <v>152394.16214437486</v>
      </c>
      <c r="LG362" s="13">
        <f>LE362-LF362</f>
        <v>-67536.24233828067</v>
      </c>
      <c r="LH362" s="13">
        <f>LH361+LG362</f>
        <v>-18842611.612380404</v>
      </c>
      <c r="LI362">
        <f>IF(LH362=MAX($LH$83:$LH$483),$A362,0)</f>
        <v>0</v>
      </c>
      <c r="LJ362">
        <f>IF(LE362&lt;LF362,$A362,B_MAX+1)</f>
        <v>279</v>
      </c>
      <c r="LK362" s="13">
        <f>IF(LB362=1,$LB$35,$LB$36)</f>
        <v>0</v>
      </c>
      <c r="LL362" s="13">
        <f>OCC_DAYS*$LB$41*R_NF_2023-LD362*MCD_SHARE_FREED*R_WAIT_2023</f>
        <v>113776.04162887059</v>
      </c>
      <c r="LM362">
        <f>IF($A362&lt;=$LB$45,1,0)</f>
        <v>0</v>
      </c>
      <c r="MB362">
        <f>IF($MB$31&lt;=$MB$32,IF($A362&lt;=$MB$7,1,2),IF($A362&lt;=RUNG_BEDS_2,2,1))</f>
        <v>1</v>
      </c>
      <c r="MC362" s="5">
        <f>MIN(1,MAX(0,$MB$26-($A362-1)))</f>
        <v>0</v>
      </c>
      <c r="MD362" s="5">
        <f>$MB$25*(MC362+(1-MC362)*$MB$16)</f>
        <v>0.0</v>
      </c>
      <c r="ME362" s="13">
        <f>MD362*($MB$6+ACUTE_MARGIN)</f>
        <v>0.0</v>
      </c>
      <c r="MF362" s="13">
        <f>IF(MB362=1,$MB$31,$MB$32)</f>
        <v>152394.16214437486</v>
      </c>
      <c r="MG362" s="13">
        <f>ME362-MF362</f>
        <v>-152394.16214437486</v>
      </c>
      <c r="MH362" s="13">
        <f>MH361+MG362</f>
        <v>-10176276.671806578</v>
      </c>
      <c r="MI362">
        <f>IF(MH362=MAX($MH$83:$MH$483),$A362,0)</f>
        <v>0</v>
      </c>
      <c r="MJ362">
        <f>IF(ME362&lt;MF362,$A362,B_MAX+1)</f>
        <v>279</v>
      </c>
      <c r="MK362" s="13">
        <f>IF(MB362=1,$MB$35,$MB$36)</f>
        <v>0</v>
      </c>
      <c r="ML362" s="13">
        <f>OCC_DAYS*$MB$41*R_NF_2023-MD362*MCD_SHARE_FREED*R_WAIT_2023</f>
        <v>151980.48282209205</v>
      </c>
      <c r="MM362">
        <f>IF($A362&lt;=$MB$45,1,0)</f>
        <v>0</v>
      </c>
      <c r="NB362">
        <f>IF($NB$31&lt;=$NB$32,IF($A362&lt;=$NB$7,1,2),IF($A362&lt;=RUNG_BEDS_2,2,1))</f>
        <v>1</v>
      </c>
      <c r="NC362" s="5">
        <f>MIN(1,MAX(0,$NB$26-($A362-1)))</f>
        <v>0</v>
      </c>
      <c r="ND362" s="5">
        <f>$NB$25*(NC362+(1-NC362)*$NB$16)</f>
        <v>63.013306786703595</v>
      </c>
      <c r="NE362" s="13">
        <f>ND362*($NB$6+ACUTE_MARGIN)</f>
        <v>63643.43985457063</v>
      </c>
      <c r="NF362" s="13">
        <f>IF(NB362=1,$NB$31,$NB$32)</f>
        <v>152394.16214437486</v>
      </c>
      <c r="NG362" s="13">
        <f>NE362-NF362</f>
        <v>-88750.72228980422</v>
      </c>
      <c r="NH362" s="13">
        <f>NH361+NG362</f>
        <v>3910276.452348847</v>
      </c>
      <c r="NI362">
        <f>IF(NH362=MAX($NH$83:$NH$483),$A362,0)</f>
        <v>0</v>
      </c>
      <c r="NJ362">
        <f>IF(NE362&lt;NF362,$A362,B_MAX+1)</f>
        <v>279</v>
      </c>
      <c r="NK362" s="13">
        <f>IF(NB362=1,$NB$35,$NB$36)</f>
        <v>0</v>
      </c>
      <c r="NL362" s="13">
        <f>OCC_DAYS*$NB$41*R_NF_2023-ND362*MCD_SHARE_FREED*R_WAIT_2023</f>
        <v>123327.15192717595</v>
      </c>
      <c r="NM362">
        <f>IF($A362&lt;=$NB$45,1,0)</f>
        <v>0</v>
      </c>
      <c r="OB362">
        <f>IF($OB$31&lt;=$OB$32,IF($A362&lt;=$OB$7,1,2),IF($A362&lt;=RUNG_BEDS_2,2,1))</f>
        <v>1</v>
      </c>
      <c r="OC362" s="5">
        <f>MIN(1,MAX(0,$OB$26-($A362-1)))</f>
        <v>0</v>
      </c>
      <c r="OD362" s="5">
        <f>$OB$25*(OC362+(1-OC362)*$OB$16)</f>
        <v>126.02661357340719</v>
      </c>
      <c r="OE362" s="13">
        <f>OD362*($OB$6+ACUTE_MARGIN)</f>
        <v>127286.87970914126</v>
      </c>
      <c r="OF362" s="13">
        <f>IF(OB362=1,$OB$31,$OB$32)</f>
        <v>152394.16214437486</v>
      </c>
      <c r="OG362" s="13">
        <f>OE362-OF362</f>
        <v>-25107.282435233603</v>
      </c>
      <c r="OH362" s="13">
        <f>OH361+OG362</f>
        <v>12109553.514706114</v>
      </c>
      <c r="OI362">
        <f>IF(OH362=MAX($OH$83:$OH$483),$A362,0)</f>
        <v>0</v>
      </c>
      <c r="OJ362">
        <f>IF(OE362&lt;OF362,$A362,B_MAX+1)</f>
        <v>279</v>
      </c>
      <c r="OK362" s="13">
        <f>IF(OB362=1,$OB$35,$OB$36)</f>
        <v>0</v>
      </c>
      <c r="OL362" s="13">
        <f>OCC_DAYS*$OB$41*R_NF_2023-OD362*MCD_SHARE_FREED*R_WAIT_2023</f>
        <v>94673.82103225985</v>
      </c>
      <c r="OM362">
        <f>IF($A362&lt;=$OB$45,1,0)</f>
        <v>0</v>
      </c>
    </row>
    <row r="363">
      <c r="A363" t="n">
        <v>280</v>
      </c>
      <c r="B363">
        <f>IF($B$31&lt;=$B$32,IF($A363&lt;=$B$7,1,2),IF($A363&lt;=RUNG_BEDS_2,2,1))</f>
        <v>1</v>
      </c>
      <c r="C363" s="5">
        <f>MIN(1,MAX(0,$B$26-($A363-1)))</f>
        <v>0</v>
      </c>
      <c r="D363" s="5">
        <f>$B$25*(C363+(1-C363)*$B$16)</f>
        <v>0.0</v>
      </c>
      <c r="E363" s="13">
        <f>D363*($B$6+ACUTE_MARGIN)</f>
        <v>0.0</v>
      </c>
      <c r="F363" s="13">
        <f>IF(B363=1,$B$31,$B$32)</f>
        <v>152394.16214437486</v>
      </c>
      <c r="G363" s="13">
        <f>E363-F363</f>
        <v>-152394.16214437486</v>
      </c>
      <c r="H363" s="13">
        <f>H362+G363</f>
        <v>-4441394.772152627</v>
      </c>
      <c r="I363">
        <f>IF(H363=MAX($H$83:$H$483),$A363,0)</f>
        <v>0</v>
      </c>
      <c r="J363">
        <f>IF(E363&lt;F363,$A363,B_MAX+1)</f>
        <v>280</v>
      </c>
      <c r="K363" s="13">
        <f>IF(B363=1,$B$35,$B$36)</f>
        <v>0</v>
      </c>
      <c r="L363" s="13">
        <f>OCC_DAYS*$B$41*R_NF_2023-D363*MCD_SHARE_FREED*R_WAIT_2023</f>
        <v>151980.48282209205</v>
      </c>
      <c r="M363">
        <f>IF($A363&lt;=$B$45,1,0)</f>
        <v>0</v>
      </c>
      <c r="AB363">
        <f>IF($AB$31&lt;=$AB$32,IF($A363&lt;=$AB$7,1,2),IF($A363&lt;=RUNG_BEDS_2,2,1))</f>
        <v>1</v>
      </c>
      <c r="AC363" s="5">
        <f>MIN(1,MAX(0,$AB$26-($A363-1)))</f>
        <v>0</v>
      </c>
      <c r="AD363" s="5">
        <f>$AB$25*(AC363+(1-AC363)*$AB$16)</f>
        <v>0.0</v>
      </c>
      <c r="AE363" s="13">
        <f>AD363*($AB$6+ACUTE_MARGIN)</f>
        <v>0.0</v>
      </c>
      <c r="AF363" s="13">
        <f>IF(AB363=1,$AB$31,$AB$32)</f>
        <v>152394.16214437486</v>
      </c>
      <c r="AG363" s="13">
        <f>AE363-AF363</f>
        <v>-152394.16214437486</v>
      </c>
      <c r="AH363" s="13">
        <f>AH362+AG363</f>
        <v>-21852609.117702387</v>
      </c>
      <c r="AI363">
        <f>IF(AH363=MAX($AH$83:$AH$483),$A363,0)</f>
        <v>0</v>
      </c>
      <c r="AJ363">
        <f>IF(AE363&lt;AF363,$A363,B_MAX+1)</f>
        <v>280</v>
      </c>
      <c r="AK363" s="13">
        <f>IF(AB363=1,$AB$35,$AB$36)</f>
        <v>0</v>
      </c>
      <c r="AL363" s="13">
        <f>OCC_DAYS*$AB$41*R_NF_2023-AD363*MCD_SHARE_FREED*R_WAIT_2023</f>
        <v>151980.48282209205</v>
      </c>
      <c r="AM363">
        <f>IF($A363&lt;=$AB$45,1,0)</f>
        <v>0</v>
      </c>
      <c r="BB363">
        <f>IF($BB$31&lt;=$BB$32,IF($A363&lt;=$BB$7,1,2),IF($A363&lt;=RUNG_BEDS_2,2,1))</f>
        <v>1</v>
      </c>
      <c r="BC363" s="5">
        <f>MIN(1,MAX(0,$BB$26-($A363-1)))</f>
        <v>0</v>
      </c>
      <c r="BD363" s="5">
        <f>$BB$25*(BC363+(1-BC363)*$BB$16)</f>
        <v>0.0</v>
      </c>
      <c r="BE363" s="13">
        <f>BD363*($BB$6+ACUTE_MARGIN)</f>
        <v>0.0</v>
      </c>
      <c r="BF363" s="13">
        <f>IF(BB363=1,$BB$31,$BB$32)</f>
        <v>152394.16214437486</v>
      </c>
      <c r="BG363" s="13">
        <f>BE363-BF363</f>
        <v>-152394.16214437486</v>
      </c>
      <c r="BH363" s="13">
        <f>BH362+BG363</f>
        <v>12969819.573397107</v>
      </c>
      <c r="BI363">
        <f>IF(BH363=MAX($BH$83:$BH$483),$A363,0)</f>
        <v>0</v>
      </c>
      <c r="BJ363">
        <f>IF(BE363&lt;BF363,$A363,B_MAX+1)</f>
        <v>280</v>
      </c>
      <c r="BK363" s="13">
        <f>IF(BB363=1,$BB$35,$BB$36)</f>
        <v>0</v>
      </c>
      <c r="BL363" s="13">
        <f>OCC_DAYS*$BB$41*R_NF_2023-BD363*MCD_SHARE_FREED*R_WAIT_2023</f>
        <v>151980.48282209205</v>
      </c>
      <c r="BM363">
        <f>IF($A363&lt;=$BB$45,1,0)</f>
        <v>0</v>
      </c>
      <c r="CB363">
        <f>IF($CB$31&lt;=$CB$32,IF($A363&lt;=$CB$7,1,2),IF($A363&lt;=RUNG_BEDS_2,2,1))</f>
        <v>2</v>
      </c>
      <c r="CC363" s="5">
        <f>MIN(1,MAX(0,$CB$26-($A363-1)))</f>
        <v>0</v>
      </c>
      <c r="CD363" s="5">
        <f>$CB$25*(CC363+(1-CC363)*$CB$16)</f>
        <v>0.0</v>
      </c>
      <c r="CE363" s="13">
        <f>CD363*($CB$6+ACUTE_MARGIN)</f>
        <v>0.0</v>
      </c>
      <c r="CF363" s="13">
        <f>IF(CB363=1,$CB$31,$CB$32)</f>
        <v>160718.36940738867</v>
      </c>
      <c r="CG363" s="13">
        <f>CE363-CF363</f>
        <v>-160718.36940738867</v>
      </c>
      <c r="CH363" s="13">
        <f>CH362+CG363</f>
        <v>-6772172.805796604</v>
      </c>
      <c r="CI363">
        <f>IF(CH363=MAX($CH$83:$CH$483),$A363,0)</f>
        <v>0</v>
      </c>
      <c r="CJ363">
        <f>IF(CE363&lt;CF363,$A363,B_MAX+1)</f>
        <v>280</v>
      </c>
      <c r="CK363" s="13">
        <f>IF(CB363=1,$CB$35,$CB$36)</f>
        <v>1560.1194073886782</v>
      </c>
      <c r="CL363" s="13">
        <f>OCC_DAYS*$CB$41*R_NF_2023-CD363*MCD_SHARE_FREED*R_WAIT_2023</f>
        <v>151980.48282209205</v>
      </c>
      <c r="CM363">
        <f>IF($A363&lt;=$CB$45,1,0)</f>
        <v>0</v>
      </c>
      <c r="DB363">
        <f>IF($DB$31&lt;=$DB$32,IF($A363&lt;=$DB$7,1,2),IF($A363&lt;=RUNG_BEDS_2,2,1))</f>
        <v>1</v>
      </c>
      <c r="DC363" s="5">
        <f>MIN(1,MAX(0,$DB$26-($A363-1)))</f>
        <v>0</v>
      </c>
      <c r="DD363" s="5">
        <f>$DB$25*(DC363+(1-DC363)*$DB$16)</f>
        <v>0.0</v>
      </c>
      <c r="DE363" s="13">
        <f>DD363*($DB$6+ACUTE_MARGIN)</f>
        <v>0.0</v>
      </c>
      <c r="DF363" s="13">
        <f>IF(DB363=1,$DB$31,$DB$32)</f>
        <v>152394.16214437486</v>
      </c>
      <c r="DG363" s="13">
        <f>DE363-DF363</f>
        <v>-152394.16214437486</v>
      </c>
      <c r="DH363" s="13">
        <f>DH362+DG363</f>
        <v>-4441394.772152627</v>
      </c>
      <c r="DI363">
        <f>IF(DH363=MAX($DH$83:$DH$483),$A363,0)</f>
        <v>0</v>
      </c>
      <c r="DJ363">
        <f>IF(DE363&lt;DF363,$A363,B_MAX+1)</f>
        <v>280</v>
      </c>
      <c r="DK363" s="13">
        <f>IF(DB363=1,$DB$35,$DB$36)</f>
        <v>0</v>
      </c>
      <c r="DL363" s="13">
        <f>OCC_DAYS*$DB$41*R_NF_2023-DD363*MCD_SHARE_FREED*R_WAIT_2023</f>
        <v>151980.48282209205</v>
      </c>
      <c r="DM363">
        <f>IF($A363&lt;=$DB$45,1,0)</f>
        <v>0</v>
      </c>
      <c r="EB363">
        <f>IF($EB$31&lt;=$EB$32,IF($A363&lt;=$EB$7,1,2),IF($A363&lt;=RUNG_BEDS_2,2,1))</f>
        <v>1</v>
      </c>
      <c r="EC363" s="5">
        <f>MIN(1,MAX(0,$EB$26-($A363-1)))</f>
        <v>0</v>
      </c>
      <c r="ED363" s="5">
        <f>$EB$25*(EC363+(1-EC363)*$EB$16)</f>
        <v>0.0</v>
      </c>
      <c r="EE363" s="13">
        <f>ED363*($EB$6+ACUTE_MARGIN)</f>
        <v>0.0</v>
      </c>
      <c r="EF363" s="13">
        <f>IF(EB363=1,$EB$31,$EB$32)</f>
        <v>152394.16214437486</v>
      </c>
      <c r="EG363" s="13">
        <f>EE363-EF363</f>
        <v>-152394.16214437486</v>
      </c>
      <c r="EH363" s="13">
        <f>EH362+EG363</f>
        <v>-4441394.772152627</v>
      </c>
      <c r="EI363">
        <f>IF(EH363=MAX($EH$83:$EH$483),$A363,0)</f>
        <v>0</v>
      </c>
      <c r="EJ363">
        <f>IF(EE363&lt;EF363,$A363,B_MAX+1)</f>
        <v>280</v>
      </c>
      <c r="EK363" s="13">
        <f>IF(EB363=1,$EB$35,$EB$36)</f>
        <v>0</v>
      </c>
      <c r="EL363" s="13">
        <f>OCC_DAYS*$EB$41*R_NF_2023-ED363*MCD_SHARE_FREED*R_WAIT_2023</f>
        <v>50660.16094069735</v>
      </c>
      <c r="EM363">
        <f>IF($A363&lt;=$EB$45,1,0)</f>
        <v>0</v>
      </c>
      <c r="FB363">
        <f>IF($FB$31&lt;=$FB$32,IF($A363&lt;=$FB$7,1,2),IF($A363&lt;=RUNG_BEDS_2,2,1))</f>
        <v>1</v>
      </c>
      <c r="FC363" s="5">
        <f>MIN(1,MAX(0,$FB$26-($A363-1)))</f>
        <v>0</v>
      </c>
      <c r="FD363" s="5">
        <f>$FB$25*(FC363+(1-FC363)*$FB$16)</f>
        <v>0.0</v>
      </c>
      <c r="FE363" s="13">
        <f>FD363*($FB$6+ACUTE_MARGIN)</f>
        <v>0.0</v>
      </c>
      <c r="FF363" s="13">
        <f>IF(FB363=1,$FB$31,$FB$32)</f>
        <v>156636.04979437485</v>
      </c>
      <c r="FG363" s="13">
        <f>FE363-FF363</f>
        <v>-156636.04979437485</v>
      </c>
      <c r="FH363" s="13">
        <f>FH362+FG363</f>
        <v>-5629123.314152742</v>
      </c>
      <c r="FI363">
        <f>IF(FH363=MAX($FH$83:$FH$483),$A363,0)</f>
        <v>0</v>
      </c>
      <c r="FJ363">
        <f>IF(FE363&lt;FF363,$A363,B_MAX+1)</f>
        <v>280</v>
      </c>
      <c r="FK363" s="13">
        <f>IF(FB363=1,$FB$35,$FB$36)</f>
        <v>0</v>
      </c>
      <c r="FL363" s="13">
        <f>OCC_DAYS*$FB$41*R_NF_2023-FD363*MCD_SHARE_FREED*R_WAIT_2023</f>
        <v>151980.48282209205</v>
      </c>
      <c r="FM363">
        <f>IF($A363&lt;=$FB$45,1,0)</f>
        <v>0</v>
      </c>
      <c r="GB363">
        <f>IF($GB$31&lt;=$GB$32,IF($A363&lt;=$GB$7,1,2),IF($A363&lt;=RUNG_BEDS_2,2,1))</f>
        <v>1</v>
      </c>
      <c r="GC363" s="5">
        <f>MIN(1,MAX(0,$GB$26-($A363-1)))</f>
        <v>0</v>
      </c>
      <c r="GD363" s="5">
        <f>$GB$25*(GC363+(1-GC363)*$GB$16)</f>
        <v>0.0</v>
      </c>
      <c r="GE363" s="13">
        <f>GD363*($GB$6+ACUTE_MARGIN)</f>
        <v>0.0</v>
      </c>
      <c r="GF363" s="13">
        <f>IF(GB363=1,$GB$31,$GB$32)</f>
        <v>152394.16214437486</v>
      </c>
      <c r="GG363" s="13">
        <f>GE363-GF363</f>
        <v>-152394.16214437486</v>
      </c>
      <c r="GH363" s="13">
        <f>GH362+GG363</f>
        <v>-4441394.772152627</v>
      </c>
      <c r="GI363">
        <f>IF(GH363=MAX($GH$83:$GH$483),$A363,0)</f>
        <v>0</v>
      </c>
      <c r="GJ363">
        <f>IF(GE363&lt;GF363,$A363,B_MAX+1)</f>
        <v>280</v>
      </c>
      <c r="GK363" s="13">
        <f>IF(GB363=1,$GB$35,$GB$36)</f>
        <v>0</v>
      </c>
      <c r="GL363" s="13">
        <f>OCC_DAYS*$GB$41*R_NF_2023-GD363*MCD_SHARE_FREED*R_WAIT_2023</f>
        <v>151980.48282209205</v>
      </c>
      <c r="GM363">
        <f>IF($A363&lt;=$GB$45,1,0)</f>
        <v>0</v>
      </c>
      <c r="HB363">
        <f>IF($HB$31&lt;=$HB$32,IF($A363&lt;=$HB$7,1,2),IF($A363&lt;=RUNG_BEDS_2,2,1))</f>
        <v>1</v>
      </c>
      <c r="HC363" s="5">
        <f>MIN(1,MAX(0,$HB$26-($A363-1)))</f>
        <v>0</v>
      </c>
      <c r="HD363" s="5">
        <f>$HB$25*(HC363+(1-HC363)*$HB$16)</f>
        <v>0.0</v>
      </c>
      <c r="HE363" s="13">
        <f>HD363*($HB$6+ACUTE_MARGIN)</f>
        <v>0.0</v>
      </c>
      <c r="HF363" s="13">
        <f>IF(HB363=1,$HB$31,$HB$32)</f>
        <v>152456.2970814058</v>
      </c>
      <c r="HG363" s="13">
        <f>HE363-HF363</f>
        <v>-152456.2970814058</v>
      </c>
      <c r="HH363" s="13">
        <f>HH362+HG363</f>
        <v>-4458792.554521328</v>
      </c>
      <c r="HI363">
        <f>IF(HH363=MAX($HH$83:$HH$483),$A363,0)</f>
        <v>0</v>
      </c>
      <c r="HJ363">
        <f>IF(HE363&lt;HF363,$A363,B_MAX+1)</f>
        <v>280</v>
      </c>
      <c r="HK363" s="13">
        <f>IF(HB363=1,$HB$35,$HB$36)</f>
        <v>0</v>
      </c>
      <c r="HL363" s="13">
        <f>OCC_DAYS*$HB$41*R_NF_2023-HD363*MCD_SHARE_FREED*R_WAIT_2023</f>
        <v>151980.48282209205</v>
      </c>
      <c r="HM363">
        <f>IF($A363&lt;=$HB$45,1,0)</f>
        <v>0</v>
      </c>
      <c r="IB363">
        <f>IF($IB$31&lt;=$IB$32,IF($A363&lt;=$IB$7,1,2),IF($A363&lt;=RUNG_BEDS_2,2,1))</f>
        <v>1</v>
      </c>
      <c r="IC363" s="5">
        <f>MIN(1,MAX(0,$IB$26-($A363-1)))</f>
        <v>0</v>
      </c>
      <c r="ID363" s="5">
        <f>$IB$25*(IC363+(1-IC363)*$IB$16)</f>
        <v>0.0</v>
      </c>
      <c r="IE363" s="13">
        <f>ID363*($IB$6+ACUTE_MARGIN)</f>
        <v>0.0</v>
      </c>
      <c r="IF363" s="13">
        <f>IF(IB363=1,$IB$31,$IB$32)</f>
        <v>152734.9994534971</v>
      </c>
      <c r="IG363" s="13">
        <f>IE363-IF363</f>
        <v>-152734.9994534971</v>
      </c>
      <c r="IH363" s="13">
        <f>IH362+IG363</f>
        <v>-4536829.218706945</v>
      </c>
      <c r="II363">
        <f>IF(IH363=MAX($IH$83:$IH$483),$A363,0)</f>
        <v>0</v>
      </c>
      <c r="IJ363">
        <f>IF(IE363&lt;IF363,$A363,B_MAX+1)</f>
        <v>280</v>
      </c>
      <c r="IK363" s="13">
        <f>IF(IB363=1,$IB$35,$IB$36)</f>
        <v>0</v>
      </c>
      <c r="IL363" s="13">
        <f>OCC_DAYS*$IB$41*R_NF_2023-ID363*MCD_SHARE_FREED*R_WAIT_2023</f>
        <v>151980.48282209205</v>
      </c>
      <c r="IM363">
        <f>IF($A363&lt;=$IB$45,1,0)</f>
        <v>0</v>
      </c>
      <c r="JB363">
        <f>IF($JB$31&lt;=$JB$32,IF($A363&lt;=$JB$7,1,2),IF($A363&lt;=RUNG_BEDS_2,2,1))</f>
        <v>1</v>
      </c>
      <c r="JC363" s="5">
        <f>MIN(1,MAX(0,$JB$26-($A363-1)))</f>
        <v>0</v>
      </c>
      <c r="JD363" s="5">
        <f>$JB$25*(JC363+(1-JC363)*$JB$16)</f>
        <v>0.0</v>
      </c>
      <c r="JE363" s="13">
        <f>JD363*($JB$6+ACUTE_MARGIN)</f>
        <v>0.0</v>
      </c>
      <c r="JF363" s="13">
        <f>IF(JB363=1,$JB$31,$JB$32)</f>
        <v>152394.16214437486</v>
      </c>
      <c r="JG363" s="13">
        <f>JE363-JF363</f>
        <v>-152394.16214437486</v>
      </c>
      <c r="JH363" s="13">
        <f>JH362+JG363</f>
        <v>-4441394.772152627</v>
      </c>
      <c r="JI363">
        <f>IF(JH363=MAX($JH$83:$JH$483),$A363,0)</f>
        <v>0</v>
      </c>
      <c r="JJ363">
        <f>IF(JE363&lt;JF363,$A363,B_MAX+1)</f>
        <v>280</v>
      </c>
      <c r="JK363" s="13">
        <f>IF(JB363=1,$JB$35,$JB$36)</f>
        <v>0</v>
      </c>
      <c r="JL363" s="13">
        <f>OCC_DAYS*$JB$41*R_NF_2023-JD363*MCD_SHARE_FREED*R_WAIT_2023</f>
        <v>151980.48282209205</v>
      </c>
      <c r="JM363">
        <f>IF($A363&lt;=$JB$45,1,0)</f>
        <v>0</v>
      </c>
      <c r="KB363">
        <f>IF($KB$31&lt;=$KB$32,IF($A363&lt;=$KB$7,1,2),IF($A363&lt;=RUNG_BEDS_2,2,1))</f>
        <v>1</v>
      </c>
      <c r="KC363" s="5">
        <f>MIN(1,MAX(0,$KB$26-($A363-1)))</f>
        <v>1</v>
      </c>
      <c r="KD363" s="5">
        <f>$KB$25*(KC363+(1-KC363)*$KB$16)</f>
        <v>126.02661357340719</v>
      </c>
      <c r="KE363" s="13">
        <f>KD363*($KB$6+ACUTE_MARGIN)</f>
        <v>127286.87970914126</v>
      </c>
      <c r="KF363" s="13">
        <f>IF(KB363=1,$KB$31,$KB$32)</f>
        <v>152394.16214437486</v>
      </c>
      <c r="KG363" s="13">
        <f>KE363-KF363</f>
        <v>-25107.282435233603</v>
      </c>
      <c r="KH363" s="13">
        <f>KH362+KG363</f>
        <v>-7030039.081865433</v>
      </c>
      <c r="KI363">
        <f>IF(KH363=MAX($KH$83:$KH$483),$A363,0)</f>
        <v>0</v>
      </c>
      <c r="KJ363">
        <f>IF(KE363&lt;KF363,$A363,B_MAX+1)</f>
        <v>280</v>
      </c>
      <c r="KK363" s="13">
        <f>IF(KB363=1,$KB$35,$KB$36)</f>
        <v>0</v>
      </c>
      <c r="KL363" s="13">
        <f>OCC_DAYS*$KB$41*R_NF_2023-KD363*MCD_SHARE_FREED*R_WAIT_2023</f>
        <v>94673.82103225985</v>
      </c>
      <c r="KM363">
        <f>IF($A363&lt;=$KB$45,1,0)</f>
        <v>0</v>
      </c>
      <c r="LB363">
        <f>IF($LB$31&lt;=$LB$32,IF($A363&lt;=$LB$7,1,2),IF($A363&lt;=RUNG_BEDS_2,2,1))</f>
        <v>1</v>
      </c>
      <c r="LC363" s="5">
        <f>MIN(1,MAX(0,$LB$26-($A363-1)))</f>
        <v>1</v>
      </c>
      <c r="LD363" s="5">
        <f>$LB$25*(LC363+(1-LC363)*$LB$16)</f>
        <v>84.01774238227146</v>
      </c>
      <c r="LE363" s="13">
        <f>LD363*($LB$6+ACUTE_MARGIN)</f>
        <v>84857.91980609419</v>
      </c>
      <c r="LF363" s="13">
        <f>IF(LB363=1,$LB$31,$LB$32)</f>
        <v>152394.16214437486</v>
      </c>
      <c r="LG363" s="13">
        <f>LE363-LF363</f>
        <v>-67536.24233828067</v>
      </c>
      <c r="LH363" s="13">
        <f>LH362+LG363</f>
        <v>-18910147.854718685</v>
      </c>
      <c r="LI363">
        <f>IF(LH363=MAX($LH$83:$LH$483),$A363,0)</f>
        <v>0</v>
      </c>
      <c r="LJ363">
        <f>IF(LE363&lt;LF363,$A363,B_MAX+1)</f>
        <v>280</v>
      </c>
      <c r="LK363" s="13">
        <f>IF(LB363=1,$LB$35,$LB$36)</f>
        <v>0</v>
      </c>
      <c r="LL363" s="13">
        <f>OCC_DAYS*$LB$41*R_NF_2023-LD363*MCD_SHARE_FREED*R_WAIT_2023</f>
        <v>113776.04162887059</v>
      </c>
      <c r="LM363">
        <f>IF($A363&lt;=$LB$45,1,0)</f>
        <v>0</v>
      </c>
      <c r="MB363">
        <f>IF($MB$31&lt;=$MB$32,IF($A363&lt;=$MB$7,1,2),IF($A363&lt;=RUNG_BEDS_2,2,1))</f>
        <v>1</v>
      </c>
      <c r="MC363" s="5">
        <f>MIN(1,MAX(0,$MB$26-($A363-1)))</f>
        <v>0</v>
      </c>
      <c r="MD363" s="5">
        <f>$MB$25*(MC363+(1-MC363)*$MB$16)</f>
        <v>0.0</v>
      </c>
      <c r="ME363" s="13">
        <f>MD363*($MB$6+ACUTE_MARGIN)</f>
        <v>0.0</v>
      </c>
      <c r="MF363" s="13">
        <f>IF(MB363=1,$MB$31,$MB$32)</f>
        <v>152394.16214437486</v>
      </c>
      <c r="MG363" s="13">
        <f>ME363-MF363</f>
        <v>-152394.16214437486</v>
      </c>
      <c r="MH363" s="13">
        <f>MH362+MG363</f>
        <v>-10328670.833950952</v>
      </c>
      <c r="MI363">
        <f>IF(MH363=MAX($MH$83:$MH$483),$A363,0)</f>
        <v>0</v>
      </c>
      <c r="MJ363">
        <f>IF(ME363&lt;MF363,$A363,B_MAX+1)</f>
        <v>280</v>
      </c>
      <c r="MK363" s="13">
        <f>IF(MB363=1,$MB$35,$MB$36)</f>
        <v>0</v>
      </c>
      <c r="ML363" s="13">
        <f>OCC_DAYS*$MB$41*R_NF_2023-MD363*MCD_SHARE_FREED*R_WAIT_2023</f>
        <v>151980.48282209205</v>
      </c>
      <c r="MM363">
        <f>IF($A363&lt;=$MB$45,1,0)</f>
        <v>0</v>
      </c>
      <c r="NB363">
        <f>IF($NB$31&lt;=$NB$32,IF($A363&lt;=$NB$7,1,2),IF($A363&lt;=RUNG_BEDS_2,2,1))</f>
        <v>1</v>
      </c>
      <c r="NC363" s="5">
        <f>MIN(1,MAX(0,$NB$26-($A363-1)))</f>
        <v>0</v>
      </c>
      <c r="ND363" s="5">
        <f>$NB$25*(NC363+(1-NC363)*$NB$16)</f>
        <v>63.013306786703595</v>
      </c>
      <c r="NE363" s="13">
        <f>ND363*($NB$6+ACUTE_MARGIN)</f>
        <v>63643.43985457063</v>
      </c>
      <c r="NF363" s="13">
        <f>IF(NB363=1,$NB$31,$NB$32)</f>
        <v>152394.16214437486</v>
      </c>
      <c r="NG363" s="13">
        <f>NE363-NF363</f>
        <v>-88750.72228980422</v>
      </c>
      <c r="NH363" s="13">
        <f>NH362+NG363</f>
        <v>3821525.7300590426</v>
      </c>
      <c r="NI363">
        <f>IF(NH363=MAX($NH$83:$NH$483),$A363,0)</f>
        <v>0</v>
      </c>
      <c r="NJ363">
        <f>IF(NE363&lt;NF363,$A363,B_MAX+1)</f>
        <v>280</v>
      </c>
      <c r="NK363" s="13">
        <f>IF(NB363=1,$NB$35,$NB$36)</f>
        <v>0</v>
      </c>
      <c r="NL363" s="13">
        <f>OCC_DAYS*$NB$41*R_NF_2023-ND363*MCD_SHARE_FREED*R_WAIT_2023</f>
        <v>123327.15192717595</v>
      </c>
      <c r="NM363">
        <f>IF($A363&lt;=$NB$45,1,0)</f>
        <v>0</v>
      </c>
      <c r="OB363">
        <f>IF($OB$31&lt;=$OB$32,IF($A363&lt;=$OB$7,1,2),IF($A363&lt;=RUNG_BEDS_2,2,1))</f>
        <v>1</v>
      </c>
      <c r="OC363" s="5">
        <f>MIN(1,MAX(0,$OB$26-($A363-1)))</f>
        <v>0</v>
      </c>
      <c r="OD363" s="5">
        <f>$OB$25*(OC363+(1-OC363)*$OB$16)</f>
        <v>126.02661357340719</v>
      </c>
      <c r="OE363" s="13">
        <f>OD363*($OB$6+ACUTE_MARGIN)</f>
        <v>127286.87970914126</v>
      </c>
      <c r="OF363" s="13">
        <f>IF(OB363=1,$OB$31,$OB$32)</f>
        <v>152394.16214437486</v>
      </c>
      <c r="OG363" s="13">
        <f>OE363-OF363</f>
        <v>-25107.282435233603</v>
      </c>
      <c r="OH363" s="13">
        <f>OH362+OG363</f>
        <v>12084446.232270882</v>
      </c>
      <c r="OI363">
        <f>IF(OH363=MAX($OH$83:$OH$483),$A363,0)</f>
        <v>0</v>
      </c>
      <c r="OJ363">
        <f>IF(OE363&lt;OF363,$A363,B_MAX+1)</f>
        <v>280</v>
      </c>
      <c r="OK363" s="13">
        <f>IF(OB363=1,$OB$35,$OB$36)</f>
        <v>0</v>
      </c>
      <c r="OL363" s="13">
        <f>OCC_DAYS*$OB$41*R_NF_2023-OD363*MCD_SHARE_FREED*R_WAIT_2023</f>
        <v>94673.82103225985</v>
      </c>
      <c r="OM363">
        <f>IF($A363&lt;=$OB$45,1,0)</f>
        <v>0</v>
      </c>
    </row>
    <row r="364">
      <c r="A364" t="n">
        <v>281</v>
      </c>
      <c r="B364">
        <f>IF($B$31&lt;=$B$32,IF($A364&lt;=$B$7,1,2),IF($A364&lt;=RUNG_BEDS_2,2,1))</f>
        <v>1</v>
      </c>
      <c r="C364" s="5">
        <f>MIN(1,MAX(0,$B$26-($A364-1)))</f>
        <v>0</v>
      </c>
      <c r="D364" s="5">
        <f>$B$25*(C364+(1-C364)*$B$16)</f>
        <v>0.0</v>
      </c>
      <c r="E364" s="13">
        <f>D364*($B$6+ACUTE_MARGIN)</f>
        <v>0.0</v>
      </c>
      <c r="F364" s="13">
        <f>IF(B364=1,$B$31,$B$32)</f>
        <v>152394.16214437486</v>
      </c>
      <c r="G364" s="13">
        <f>E364-F364</f>
        <v>-152394.16214437486</v>
      </c>
      <c r="H364" s="13">
        <f>H363+G364</f>
        <v>-4593788.934297002</v>
      </c>
      <c r="I364">
        <f>IF(H364=MAX($H$83:$H$483),$A364,0)</f>
        <v>0</v>
      </c>
      <c r="J364">
        <f>IF(E364&lt;F364,$A364,B_MAX+1)</f>
        <v>281</v>
      </c>
      <c r="K364" s="13">
        <f>IF(B364=1,$B$35,$B$36)</f>
        <v>0</v>
      </c>
      <c r="L364" s="13">
        <f>OCC_DAYS*$B$41*R_NF_2023-D364*MCD_SHARE_FREED*R_WAIT_2023</f>
        <v>151980.48282209205</v>
      </c>
      <c r="M364">
        <f>IF($A364&lt;=$B$45,1,0)</f>
        <v>0</v>
      </c>
      <c r="AB364">
        <f>IF($AB$31&lt;=$AB$32,IF($A364&lt;=$AB$7,1,2),IF($A364&lt;=RUNG_BEDS_2,2,1))</f>
        <v>1</v>
      </c>
      <c r="AC364" s="5">
        <f>MIN(1,MAX(0,$AB$26-($A364-1)))</f>
        <v>0</v>
      </c>
      <c r="AD364" s="5">
        <f>$AB$25*(AC364+(1-AC364)*$AB$16)</f>
        <v>0.0</v>
      </c>
      <c r="AE364" s="13">
        <f>AD364*($AB$6+ACUTE_MARGIN)</f>
        <v>0.0</v>
      </c>
      <c r="AF364" s="13">
        <f>IF(AB364=1,$AB$31,$AB$32)</f>
        <v>152394.16214437486</v>
      </c>
      <c r="AG364" s="13">
        <f>AE364-AF364</f>
        <v>-152394.16214437486</v>
      </c>
      <c r="AH364" s="13">
        <f>AH363+AG364</f>
        <v>-22005003.27984676</v>
      </c>
      <c r="AI364">
        <f>IF(AH364=MAX($AH$83:$AH$483),$A364,0)</f>
        <v>0</v>
      </c>
      <c r="AJ364">
        <f>IF(AE364&lt;AF364,$A364,B_MAX+1)</f>
        <v>281</v>
      </c>
      <c r="AK364" s="13">
        <f>IF(AB364=1,$AB$35,$AB$36)</f>
        <v>0</v>
      </c>
      <c r="AL364" s="13">
        <f>OCC_DAYS*$AB$41*R_NF_2023-AD364*MCD_SHARE_FREED*R_WAIT_2023</f>
        <v>151980.48282209205</v>
      </c>
      <c r="AM364">
        <f>IF($A364&lt;=$AB$45,1,0)</f>
        <v>0</v>
      </c>
      <c r="BB364">
        <f>IF($BB$31&lt;=$BB$32,IF($A364&lt;=$BB$7,1,2),IF($A364&lt;=RUNG_BEDS_2,2,1))</f>
        <v>1</v>
      </c>
      <c r="BC364" s="5">
        <f>MIN(1,MAX(0,$BB$26-($A364-1)))</f>
        <v>0</v>
      </c>
      <c r="BD364" s="5">
        <f>$BB$25*(BC364+(1-BC364)*$BB$16)</f>
        <v>0.0</v>
      </c>
      <c r="BE364" s="13">
        <f>BD364*($BB$6+ACUTE_MARGIN)</f>
        <v>0.0</v>
      </c>
      <c r="BF364" s="13">
        <f>IF(BB364=1,$BB$31,$BB$32)</f>
        <v>152394.16214437486</v>
      </c>
      <c r="BG364" s="13">
        <f>BE364-BF364</f>
        <v>-152394.16214437486</v>
      </c>
      <c r="BH364" s="13">
        <f>BH363+BG364</f>
        <v>12817425.411252733</v>
      </c>
      <c r="BI364">
        <f>IF(BH364=MAX($BH$83:$BH$483),$A364,0)</f>
        <v>0</v>
      </c>
      <c r="BJ364">
        <f>IF(BE364&lt;BF364,$A364,B_MAX+1)</f>
        <v>281</v>
      </c>
      <c r="BK364" s="13">
        <f>IF(BB364=1,$BB$35,$BB$36)</f>
        <v>0</v>
      </c>
      <c r="BL364" s="13">
        <f>OCC_DAYS*$BB$41*R_NF_2023-BD364*MCD_SHARE_FREED*R_WAIT_2023</f>
        <v>151980.48282209205</v>
      </c>
      <c r="BM364">
        <f>IF($A364&lt;=$BB$45,1,0)</f>
        <v>0</v>
      </c>
      <c r="CB364">
        <f>IF($CB$31&lt;=$CB$32,IF($A364&lt;=$CB$7,1,2),IF($A364&lt;=RUNG_BEDS_2,2,1))</f>
        <v>2</v>
      </c>
      <c r="CC364" s="5">
        <f>MIN(1,MAX(0,$CB$26-($A364-1)))</f>
        <v>0</v>
      </c>
      <c r="CD364" s="5">
        <f>$CB$25*(CC364+(1-CC364)*$CB$16)</f>
        <v>0.0</v>
      </c>
      <c r="CE364" s="13">
        <f>CD364*($CB$6+ACUTE_MARGIN)</f>
        <v>0.0</v>
      </c>
      <c r="CF364" s="13">
        <f>IF(CB364=1,$CB$31,$CB$32)</f>
        <v>160718.36940738867</v>
      </c>
      <c r="CG364" s="13">
        <f>CE364-CF364</f>
        <v>-160718.36940738867</v>
      </c>
      <c r="CH364" s="13">
        <f>CH363+CG364</f>
        <v>-6932891.175203992</v>
      </c>
      <c r="CI364">
        <f>IF(CH364=MAX($CH$83:$CH$483),$A364,0)</f>
        <v>0</v>
      </c>
      <c r="CJ364">
        <f>IF(CE364&lt;CF364,$A364,B_MAX+1)</f>
        <v>281</v>
      </c>
      <c r="CK364" s="13">
        <f>IF(CB364=1,$CB$35,$CB$36)</f>
        <v>1560.1194073886782</v>
      </c>
      <c r="CL364" s="13">
        <f>OCC_DAYS*$CB$41*R_NF_2023-CD364*MCD_SHARE_FREED*R_WAIT_2023</f>
        <v>151980.48282209205</v>
      </c>
      <c r="CM364">
        <f>IF($A364&lt;=$CB$45,1,0)</f>
        <v>0</v>
      </c>
      <c r="DB364">
        <f>IF($DB$31&lt;=$DB$32,IF($A364&lt;=$DB$7,1,2),IF($A364&lt;=RUNG_BEDS_2,2,1))</f>
        <v>1</v>
      </c>
      <c r="DC364" s="5">
        <f>MIN(1,MAX(0,$DB$26-($A364-1)))</f>
        <v>0</v>
      </c>
      <c r="DD364" s="5">
        <f>$DB$25*(DC364+(1-DC364)*$DB$16)</f>
        <v>0.0</v>
      </c>
      <c r="DE364" s="13">
        <f>DD364*($DB$6+ACUTE_MARGIN)</f>
        <v>0.0</v>
      </c>
      <c r="DF364" s="13">
        <f>IF(DB364=1,$DB$31,$DB$32)</f>
        <v>152394.16214437486</v>
      </c>
      <c r="DG364" s="13">
        <f>DE364-DF364</f>
        <v>-152394.16214437486</v>
      </c>
      <c r="DH364" s="13">
        <f>DH363+DG364</f>
        <v>-4593788.934297002</v>
      </c>
      <c r="DI364">
        <f>IF(DH364=MAX($DH$83:$DH$483),$A364,0)</f>
        <v>0</v>
      </c>
      <c r="DJ364">
        <f>IF(DE364&lt;DF364,$A364,B_MAX+1)</f>
        <v>281</v>
      </c>
      <c r="DK364" s="13">
        <f>IF(DB364=1,$DB$35,$DB$36)</f>
        <v>0</v>
      </c>
      <c r="DL364" s="13">
        <f>OCC_DAYS*$DB$41*R_NF_2023-DD364*MCD_SHARE_FREED*R_WAIT_2023</f>
        <v>151980.48282209205</v>
      </c>
      <c r="DM364">
        <f>IF($A364&lt;=$DB$45,1,0)</f>
        <v>0</v>
      </c>
      <c r="EB364">
        <f>IF($EB$31&lt;=$EB$32,IF($A364&lt;=$EB$7,1,2),IF($A364&lt;=RUNG_BEDS_2,2,1))</f>
        <v>1</v>
      </c>
      <c r="EC364" s="5">
        <f>MIN(1,MAX(0,$EB$26-($A364-1)))</f>
        <v>0</v>
      </c>
      <c r="ED364" s="5">
        <f>$EB$25*(EC364+(1-EC364)*$EB$16)</f>
        <v>0.0</v>
      </c>
      <c r="EE364" s="13">
        <f>ED364*($EB$6+ACUTE_MARGIN)</f>
        <v>0.0</v>
      </c>
      <c r="EF364" s="13">
        <f>IF(EB364=1,$EB$31,$EB$32)</f>
        <v>152394.16214437486</v>
      </c>
      <c r="EG364" s="13">
        <f>EE364-EF364</f>
        <v>-152394.16214437486</v>
      </c>
      <c r="EH364" s="13">
        <f>EH363+EG364</f>
        <v>-4593788.934297002</v>
      </c>
      <c r="EI364">
        <f>IF(EH364=MAX($EH$83:$EH$483),$A364,0)</f>
        <v>0</v>
      </c>
      <c r="EJ364">
        <f>IF(EE364&lt;EF364,$A364,B_MAX+1)</f>
        <v>281</v>
      </c>
      <c r="EK364" s="13">
        <f>IF(EB364=1,$EB$35,$EB$36)</f>
        <v>0</v>
      </c>
      <c r="EL364" s="13">
        <f>OCC_DAYS*$EB$41*R_NF_2023-ED364*MCD_SHARE_FREED*R_WAIT_2023</f>
        <v>50660.16094069735</v>
      </c>
      <c r="EM364">
        <f>IF($A364&lt;=$EB$45,1,0)</f>
        <v>0</v>
      </c>
      <c r="FB364">
        <f>IF($FB$31&lt;=$FB$32,IF($A364&lt;=$FB$7,1,2),IF($A364&lt;=RUNG_BEDS_2,2,1))</f>
        <v>1</v>
      </c>
      <c r="FC364" s="5">
        <f>MIN(1,MAX(0,$FB$26-($A364-1)))</f>
        <v>0</v>
      </c>
      <c r="FD364" s="5">
        <f>$FB$25*(FC364+(1-FC364)*$FB$16)</f>
        <v>0.0</v>
      </c>
      <c r="FE364" s="13">
        <f>FD364*($FB$6+ACUTE_MARGIN)</f>
        <v>0.0</v>
      </c>
      <c r="FF364" s="13">
        <f>IF(FB364=1,$FB$31,$FB$32)</f>
        <v>156636.04979437485</v>
      </c>
      <c r="FG364" s="13">
        <f>FE364-FF364</f>
        <v>-156636.04979437485</v>
      </c>
      <c r="FH364" s="13">
        <f>FH363+FG364</f>
        <v>-5785759.363947117</v>
      </c>
      <c r="FI364">
        <f>IF(FH364=MAX($FH$83:$FH$483),$A364,0)</f>
        <v>0</v>
      </c>
      <c r="FJ364">
        <f>IF(FE364&lt;FF364,$A364,B_MAX+1)</f>
        <v>281</v>
      </c>
      <c r="FK364" s="13">
        <f>IF(FB364=1,$FB$35,$FB$36)</f>
        <v>0</v>
      </c>
      <c r="FL364" s="13">
        <f>OCC_DAYS*$FB$41*R_NF_2023-FD364*MCD_SHARE_FREED*R_WAIT_2023</f>
        <v>151980.48282209205</v>
      </c>
      <c r="FM364">
        <f>IF($A364&lt;=$FB$45,1,0)</f>
        <v>0</v>
      </c>
      <c r="GB364">
        <f>IF($GB$31&lt;=$GB$32,IF($A364&lt;=$GB$7,1,2),IF($A364&lt;=RUNG_BEDS_2,2,1))</f>
        <v>1</v>
      </c>
      <c r="GC364" s="5">
        <f>MIN(1,MAX(0,$GB$26-($A364-1)))</f>
        <v>0</v>
      </c>
      <c r="GD364" s="5">
        <f>$GB$25*(GC364+(1-GC364)*$GB$16)</f>
        <v>0.0</v>
      </c>
      <c r="GE364" s="13">
        <f>GD364*($GB$6+ACUTE_MARGIN)</f>
        <v>0.0</v>
      </c>
      <c r="GF364" s="13">
        <f>IF(GB364=1,$GB$31,$GB$32)</f>
        <v>152394.16214437486</v>
      </c>
      <c r="GG364" s="13">
        <f>GE364-GF364</f>
        <v>-152394.16214437486</v>
      </c>
      <c r="GH364" s="13">
        <f>GH363+GG364</f>
        <v>-4593788.934297002</v>
      </c>
      <c r="GI364">
        <f>IF(GH364=MAX($GH$83:$GH$483),$A364,0)</f>
        <v>0</v>
      </c>
      <c r="GJ364">
        <f>IF(GE364&lt;GF364,$A364,B_MAX+1)</f>
        <v>281</v>
      </c>
      <c r="GK364" s="13">
        <f>IF(GB364=1,$GB$35,$GB$36)</f>
        <v>0</v>
      </c>
      <c r="GL364" s="13">
        <f>OCC_DAYS*$GB$41*R_NF_2023-GD364*MCD_SHARE_FREED*R_WAIT_2023</f>
        <v>151980.48282209205</v>
      </c>
      <c r="GM364">
        <f>IF($A364&lt;=$GB$45,1,0)</f>
        <v>0</v>
      </c>
      <c r="HB364">
        <f>IF($HB$31&lt;=$HB$32,IF($A364&lt;=$HB$7,1,2),IF($A364&lt;=RUNG_BEDS_2,2,1))</f>
        <v>1</v>
      </c>
      <c r="HC364" s="5">
        <f>MIN(1,MAX(0,$HB$26-($A364-1)))</f>
        <v>0</v>
      </c>
      <c r="HD364" s="5">
        <f>$HB$25*(HC364+(1-HC364)*$HB$16)</f>
        <v>0.0</v>
      </c>
      <c r="HE364" s="13">
        <f>HD364*($HB$6+ACUTE_MARGIN)</f>
        <v>0.0</v>
      </c>
      <c r="HF364" s="13">
        <f>IF(HB364=1,$HB$31,$HB$32)</f>
        <v>152456.2970814058</v>
      </c>
      <c r="HG364" s="13">
        <f>HE364-HF364</f>
        <v>-152456.2970814058</v>
      </c>
      <c r="HH364" s="13">
        <f>HH363+HG364</f>
        <v>-4611248.851602734</v>
      </c>
      <c r="HI364">
        <f>IF(HH364=MAX($HH$83:$HH$483),$A364,0)</f>
        <v>0</v>
      </c>
      <c r="HJ364">
        <f>IF(HE364&lt;HF364,$A364,B_MAX+1)</f>
        <v>281</v>
      </c>
      <c r="HK364" s="13">
        <f>IF(HB364=1,$HB$35,$HB$36)</f>
        <v>0</v>
      </c>
      <c r="HL364" s="13">
        <f>OCC_DAYS*$HB$41*R_NF_2023-HD364*MCD_SHARE_FREED*R_WAIT_2023</f>
        <v>151980.48282209205</v>
      </c>
      <c r="HM364">
        <f>IF($A364&lt;=$HB$45,1,0)</f>
        <v>0</v>
      </c>
      <c r="IB364">
        <f>IF($IB$31&lt;=$IB$32,IF($A364&lt;=$IB$7,1,2),IF($A364&lt;=RUNG_BEDS_2,2,1))</f>
        <v>1</v>
      </c>
      <c r="IC364" s="5">
        <f>MIN(1,MAX(0,$IB$26-($A364-1)))</f>
        <v>0</v>
      </c>
      <c r="ID364" s="5">
        <f>$IB$25*(IC364+(1-IC364)*$IB$16)</f>
        <v>0.0</v>
      </c>
      <c r="IE364" s="13">
        <f>ID364*($IB$6+ACUTE_MARGIN)</f>
        <v>0.0</v>
      </c>
      <c r="IF364" s="13">
        <f>IF(IB364=1,$IB$31,$IB$32)</f>
        <v>152734.9994534971</v>
      </c>
      <c r="IG364" s="13">
        <f>IE364-IF364</f>
        <v>-152734.9994534971</v>
      </c>
      <c r="IH364" s="13">
        <f>IH363+IG364</f>
        <v>-4689564.218160442</v>
      </c>
      <c r="II364">
        <f>IF(IH364=MAX($IH$83:$IH$483),$A364,0)</f>
        <v>0</v>
      </c>
      <c r="IJ364">
        <f>IF(IE364&lt;IF364,$A364,B_MAX+1)</f>
        <v>281</v>
      </c>
      <c r="IK364" s="13">
        <f>IF(IB364=1,$IB$35,$IB$36)</f>
        <v>0</v>
      </c>
      <c r="IL364" s="13">
        <f>OCC_DAYS*$IB$41*R_NF_2023-ID364*MCD_SHARE_FREED*R_WAIT_2023</f>
        <v>151980.48282209205</v>
      </c>
      <c r="IM364">
        <f>IF($A364&lt;=$IB$45,1,0)</f>
        <v>0</v>
      </c>
      <c r="JB364">
        <f>IF($JB$31&lt;=$JB$32,IF($A364&lt;=$JB$7,1,2),IF($A364&lt;=RUNG_BEDS_2,2,1))</f>
        <v>1</v>
      </c>
      <c r="JC364" s="5">
        <f>MIN(1,MAX(0,$JB$26-($A364-1)))</f>
        <v>0</v>
      </c>
      <c r="JD364" s="5">
        <f>$JB$25*(JC364+(1-JC364)*$JB$16)</f>
        <v>0.0</v>
      </c>
      <c r="JE364" s="13">
        <f>JD364*($JB$6+ACUTE_MARGIN)</f>
        <v>0.0</v>
      </c>
      <c r="JF364" s="13">
        <f>IF(JB364=1,$JB$31,$JB$32)</f>
        <v>152394.16214437486</v>
      </c>
      <c r="JG364" s="13">
        <f>JE364-JF364</f>
        <v>-152394.16214437486</v>
      </c>
      <c r="JH364" s="13">
        <f>JH363+JG364</f>
        <v>-4593788.934297002</v>
      </c>
      <c r="JI364">
        <f>IF(JH364=MAX($JH$83:$JH$483),$A364,0)</f>
        <v>0</v>
      </c>
      <c r="JJ364">
        <f>IF(JE364&lt;JF364,$A364,B_MAX+1)</f>
        <v>281</v>
      </c>
      <c r="JK364" s="13">
        <f>IF(JB364=1,$JB$35,$JB$36)</f>
        <v>0</v>
      </c>
      <c r="JL364" s="13">
        <f>OCC_DAYS*$JB$41*R_NF_2023-JD364*MCD_SHARE_FREED*R_WAIT_2023</f>
        <v>151980.48282209205</v>
      </c>
      <c r="JM364">
        <f>IF($A364&lt;=$JB$45,1,0)</f>
        <v>0</v>
      </c>
      <c r="KB364">
        <f>IF($KB$31&lt;=$KB$32,IF($A364&lt;=$KB$7,1,2),IF($A364&lt;=RUNG_BEDS_2,2,1))</f>
        <v>1</v>
      </c>
      <c r="KC364" s="5">
        <f>MIN(1,MAX(0,$KB$26-($A364-1)))</f>
        <v>1</v>
      </c>
      <c r="KD364" s="5">
        <f>$KB$25*(KC364+(1-KC364)*$KB$16)</f>
        <v>126.02661357340719</v>
      </c>
      <c r="KE364" s="13">
        <f>KD364*($KB$6+ACUTE_MARGIN)</f>
        <v>127286.87970914126</v>
      </c>
      <c r="KF364" s="13">
        <f>IF(KB364=1,$KB$31,$KB$32)</f>
        <v>152394.16214437486</v>
      </c>
      <c r="KG364" s="13">
        <f>KE364-KF364</f>
        <v>-25107.282435233603</v>
      </c>
      <c r="KH364" s="13">
        <f>KH363+KG364</f>
        <v>-7055146.364300666</v>
      </c>
      <c r="KI364">
        <f>IF(KH364=MAX($KH$83:$KH$483),$A364,0)</f>
        <v>0</v>
      </c>
      <c r="KJ364">
        <f>IF(KE364&lt;KF364,$A364,B_MAX+1)</f>
        <v>281</v>
      </c>
      <c r="KK364" s="13">
        <f>IF(KB364=1,$KB$35,$KB$36)</f>
        <v>0</v>
      </c>
      <c r="KL364" s="13">
        <f>OCC_DAYS*$KB$41*R_NF_2023-KD364*MCD_SHARE_FREED*R_WAIT_2023</f>
        <v>94673.82103225985</v>
      </c>
      <c r="KM364">
        <f>IF($A364&lt;=$KB$45,1,0)</f>
        <v>0</v>
      </c>
      <c r="LB364">
        <f>IF($LB$31&lt;=$LB$32,IF($A364&lt;=$LB$7,1,2),IF($A364&lt;=RUNG_BEDS_2,2,1))</f>
        <v>1</v>
      </c>
      <c r="LC364" s="5">
        <f>MIN(1,MAX(0,$LB$26-($A364-1)))</f>
        <v>1</v>
      </c>
      <c r="LD364" s="5">
        <f>$LB$25*(LC364+(1-LC364)*$LB$16)</f>
        <v>84.01774238227146</v>
      </c>
      <c r="LE364" s="13">
        <f>LD364*($LB$6+ACUTE_MARGIN)</f>
        <v>84857.91980609419</v>
      </c>
      <c r="LF364" s="13">
        <f>IF(LB364=1,$LB$31,$LB$32)</f>
        <v>152394.16214437486</v>
      </c>
      <c r="LG364" s="13">
        <f>LE364-LF364</f>
        <v>-67536.24233828067</v>
      </c>
      <c r="LH364" s="13">
        <f>LH363+LG364</f>
        <v>-18977684.097056966</v>
      </c>
      <c r="LI364">
        <f>IF(LH364=MAX($LH$83:$LH$483),$A364,0)</f>
        <v>0</v>
      </c>
      <c r="LJ364">
        <f>IF(LE364&lt;LF364,$A364,B_MAX+1)</f>
        <v>281</v>
      </c>
      <c r="LK364" s="13">
        <f>IF(LB364=1,$LB$35,$LB$36)</f>
        <v>0</v>
      </c>
      <c r="LL364" s="13">
        <f>OCC_DAYS*$LB$41*R_NF_2023-LD364*MCD_SHARE_FREED*R_WAIT_2023</f>
        <v>113776.04162887059</v>
      </c>
      <c r="LM364">
        <f>IF($A364&lt;=$LB$45,1,0)</f>
        <v>0</v>
      </c>
      <c r="MB364">
        <f>IF($MB$31&lt;=$MB$32,IF($A364&lt;=$MB$7,1,2),IF($A364&lt;=RUNG_BEDS_2,2,1))</f>
        <v>1</v>
      </c>
      <c r="MC364" s="5">
        <f>MIN(1,MAX(0,$MB$26-($A364-1)))</f>
        <v>0</v>
      </c>
      <c r="MD364" s="5">
        <f>$MB$25*(MC364+(1-MC364)*$MB$16)</f>
        <v>0.0</v>
      </c>
      <c r="ME364" s="13">
        <f>MD364*($MB$6+ACUTE_MARGIN)</f>
        <v>0.0</v>
      </c>
      <c r="MF364" s="13">
        <f>IF(MB364=1,$MB$31,$MB$32)</f>
        <v>152394.16214437486</v>
      </c>
      <c r="MG364" s="13">
        <f>ME364-MF364</f>
        <v>-152394.16214437486</v>
      </c>
      <c r="MH364" s="13">
        <f>MH363+MG364</f>
        <v>-10481064.996095326</v>
      </c>
      <c r="MI364">
        <f>IF(MH364=MAX($MH$83:$MH$483),$A364,0)</f>
        <v>0</v>
      </c>
      <c r="MJ364">
        <f>IF(ME364&lt;MF364,$A364,B_MAX+1)</f>
        <v>281</v>
      </c>
      <c r="MK364" s="13">
        <f>IF(MB364=1,$MB$35,$MB$36)</f>
        <v>0</v>
      </c>
      <c r="ML364" s="13">
        <f>OCC_DAYS*$MB$41*R_NF_2023-MD364*MCD_SHARE_FREED*R_WAIT_2023</f>
        <v>151980.48282209205</v>
      </c>
      <c r="MM364">
        <f>IF($A364&lt;=$MB$45,1,0)</f>
        <v>0</v>
      </c>
      <c r="NB364">
        <f>IF($NB$31&lt;=$NB$32,IF($A364&lt;=$NB$7,1,2),IF($A364&lt;=RUNG_BEDS_2,2,1))</f>
        <v>1</v>
      </c>
      <c r="NC364" s="5">
        <f>MIN(1,MAX(0,$NB$26-($A364-1)))</f>
        <v>0</v>
      </c>
      <c r="ND364" s="5">
        <f>$NB$25*(NC364+(1-NC364)*$NB$16)</f>
        <v>63.013306786703595</v>
      </c>
      <c r="NE364" s="13">
        <f>ND364*($NB$6+ACUTE_MARGIN)</f>
        <v>63643.43985457063</v>
      </c>
      <c r="NF364" s="13">
        <f>IF(NB364=1,$NB$31,$NB$32)</f>
        <v>152394.16214437486</v>
      </c>
      <c r="NG364" s="13">
        <f>NE364-NF364</f>
        <v>-88750.72228980422</v>
      </c>
      <c r="NH364" s="13">
        <f>NH363+NG364</f>
        <v>3732775.007769238</v>
      </c>
      <c r="NI364">
        <f>IF(NH364=MAX($NH$83:$NH$483),$A364,0)</f>
        <v>0</v>
      </c>
      <c r="NJ364">
        <f>IF(NE364&lt;NF364,$A364,B_MAX+1)</f>
        <v>281</v>
      </c>
      <c r="NK364" s="13">
        <f>IF(NB364=1,$NB$35,$NB$36)</f>
        <v>0</v>
      </c>
      <c r="NL364" s="13">
        <f>OCC_DAYS*$NB$41*R_NF_2023-ND364*MCD_SHARE_FREED*R_WAIT_2023</f>
        <v>123327.15192717595</v>
      </c>
      <c r="NM364">
        <f>IF($A364&lt;=$NB$45,1,0)</f>
        <v>0</v>
      </c>
      <c r="OB364">
        <f>IF($OB$31&lt;=$OB$32,IF($A364&lt;=$OB$7,1,2),IF($A364&lt;=RUNG_BEDS_2,2,1))</f>
        <v>1</v>
      </c>
      <c r="OC364" s="5">
        <f>MIN(1,MAX(0,$OB$26-($A364-1)))</f>
        <v>0</v>
      </c>
      <c r="OD364" s="5">
        <f>$OB$25*(OC364+(1-OC364)*$OB$16)</f>
        <v>126.02661357340719</v>
      </c>
      <c r="OE364" s="13">
        <f>OD364*($OB$6+ACUTE_MARGIN)</f>
        <v>127286.87970914126</v>
      </c>
      <c r="OF364" s="13">
        <f>IF(OB364=1,$OB$31,$OB$32)</f>
        <v>152394.16214437486</v>
      </c>
      <c r="OG364" s="13">
        <f>OE364-OF364</f>
        <v>-25107.282435233603</v>
      </c>
      <c r="OH364" s="13">
        <f>OH363+OG364</f>
        <v>12059338.949835649</v>
      </c>
      <c r="OI364">
        <f>IF(OH364=MAX($OH$83:$OH$483),$A364,0)</f>
        <v>0</v>
      </c>
      <c r="OJ364">
        <f>IF(OE364&lt;OF364,$A364,B_MAX+1)</f>
        <v>281</v>
      </c>
      <c r="OK364" s="13">
        <f>IF(OB364=1,$OB$35,$OB$36)</f>
        <v>0</v>
      </c>
      <c r="OL364" s="13">
        <f>OCC_DAYS*$OB$41*R_NF_2023-OD364*MCD_SHARE_FREED*R_WAIT_2023</f>
        <v>94673.82103225985</v>
      </c>
      <c r="OM364">
        <f>IF($A364&lt;=$OB$45,1,0)</f>
        <v>0</v>
      </c>
    </row>
    <row r="365">
      <c r="A365" t="n">
        <v>282</v>
      </c>
      <c r="B365">
        <f>IF($B$31&lt;=$B$32,IF($A365&lt;=$B$7,1,2),IF($A365&lt;=RUNG_BEDS_2,2,1))</f>
        <v>1</v>
      </c>
      <c r="C365" s="5">
        <f>MIN(1,MAX(0,$B$26-($A365-1)))</f>
        <v>0</v>
      </c>
      <c r="D365" s="5">
        <f>$B$25*(C365+(1-C365)*$B$16)</f>
        <v>0.0</v>
      </c>
      <c r="E365" s="13">
        <f>D365*($B$6+ACUTE_MARGIN)</f>
        <v>0.0</v>
      </c>
      <c r="F365" s="13">
        <f>IF(B365=1,$B$31,$B$32)</f>
        <v>152394.16214437486</v>
      </c>
      <c r="G365" s="13">
        <f>E365-F365</f>
        <v>-152394.16214437486</v>
      </c>
      <c r="H365" s="13">
        <f>H364+G365</f>
        <v>-4746183.096441377</v>
      </c>
      <c r="I365">
        <f>IF(H365=MAX($H$83:$H$483),$A365,0)</f>
        <v>0</v>
      </c>
      <c r="J365">
        <f>IF(E365&lt;F365,$A365,B_MAX+1)</f>
        <v>282</v>
      </c>
      <c r="K365" s="13">
        <f>IF(B365=1,$B$35,$B$36)</f>
        <v>0</v>
      </c>
      <c r="L365" s="13">
        <f>OCC_DAYS*$B$41*R_NF_2023-D365*MCD_SHARE_FREED*R_WAIT_2023</f>
        <v>151980.48282209205</v>
      </c>
      <c r="M365">
        <f>IF($A365&lt;=$B$45,1,0)</f>
        <v>0</v>
      </c>
      <c r="AB365">
        <f>IF($AB$31&lt;=$AB$32,IF($A365&lt;=$AB$7,1,2),IF($A365&lt;=RUNG_BEDS_2,2,1))</f>
        <v>1</v>
      </c>
      <c r="AC365" s="5">
        <f>MIN(1,MAX(0,$AB$26-($A365-1)))</f>
        <v>0</v>
      </c>
      <c r="AD365" s="5">
        <f>$AB$25*(AC365+(1-AC365)*$AB$16)</f>
        <v>0.0</v>
      </c>
      <c r="AE365" s="13">
        <f>AD365*($AB$6+ACUTE_MARGIN)</f>
        <v>0.0</v>
      </c>
      <c r="AF365" s="13">
        <f>IF(AB365=1,$AB$31,$AB$32)</f>
        <v>152394.16214437486</v>
      </c>
      <c r="AG365" s="13">
        <f>AE365-AF365</f>
        <v>-152394.16214437486</v>
      </c>
      <c r="AH365" s="13">
        <f>AH364+AG365</f>
        <v>-22157397.441991135</v>
      </c>
      <c r="AI365">
        <f>IF(AH365=MAX($AH$83:$AH$483),$A365,0)</f>
        <v>0</v>
      </c>
      <c r="AJ365">
        <f>IF(AE365&lt;AF365,$A365,B_MAX+1)</f>
        <v>282</v>
      </c>
      <c r="AK365" s="13">
        <f>IF(AB365=1,$AB$35,$AB$36)</f>
        <v>0</v>
      </c>
      <c r="AL365" s="13">
        <f>OCC_DAYS*$AB$41*R_NF_2023-AD365*MCD_SHARE_FREED*R_WAIT_2023</f>
        <v>151980.48282209205</v>
      </c>
      <c r="AM365">
        <f>IF($A365&lt;=$AB$45,1,0)</f>
        <v>0</v>
      </c>
      <c r="BB365">
        <f>IF($BB$31&lt;=$BB$32,IF($A365&lt;=$BB$7,1,2),IF($A365&lt;=RUNG_BEDS_2,2,1))</f>
        <v>1</v>
      </c>
      <c r="BC365" s="5">
        <f>MIN(1,MAX(0,$BB$26-($A365-1)))</f>
        <v>0</v>
      </c>
      <c r="BD365" s="5">
        <f>$BB$25*(BC365+(1-BC365)*$BB$16)</f>
        <v>0.0</v>
      </c>
      <c r="BE365" s="13">
        <f>BD365*($BB$6+ACUTE_MARGIN)</f>
        <v>0.0</v>
      </c>
      <c r="BF365" s="13">
        <f>IF(BB365=1,$BB$31,$BB$32)</f>
        <v>152394.16214437486</v>
      </c>
      <c r="BG365" s="13">
        <f>BE365-BF365</f>
        <v>-152394.16214437486</v>
      </c>
      <c r="BH365" s="13">
        <f>BH364+BG365</f>
        <v>12665031.24910836</v>
      </c>
      <c r="BI365">
        <f>IF(BH365=MAX($BH$83:$BH$483),$A365,0)</f>
        <v>0</v>
      </c>
      <c r="BJ365">
        <f>IF(BE365&lt;BF365,$A365,B_MAX+1)</f>
        <v>282</v>
      </c>
      <c r="BK365" s="13">
        <f>IF(BB365=1,$BB$35,$BB$36)</f>
        <v>0</v>
      </c>
      <c r="BL365" s="13">
        <f>OCC_DAYS*$BB$41*R_NF_2023-BD365*MCD_SHARE_FREED*R_WAIT_2023</f>
        <v>151980.48282209205</v>
      </c>
      <c r="BM365">
        <f>IF($A365&lt;=$BB$45,1,0)</f>
        <v>0</v>
      </c>
      <c r="CB365">
        <f>IF($CB$31&lt;=$CB$32,IF($A365&lt;=$CB$7,1,2),IF($A365&lt;=RUNG_BEDS_2,2,1))</f>
        <v>2</v>
      </c>
      <c r="CC365" s="5">
        <f>MIN(1,MAX(0,$CB$26-($A365-1)))</f>
        <v>0</v>
      </c>
      <c r="CD365" s="5">
        <f>$CB$25*(CC365+(1-CC365)*$CB$16)</f>
        <v>0.0</v>
      </c>
      <c r="CE365" s="13">
        <f>CD365*($CB$6+ACUTE_MARGIN)</f>
        <v>0.0</v>
      </c>
      <c r="CF365" s="13">
        <f>IF(CB365=1,$CB$31,$CB$32)</f>
        <v>160718.36940738867</v>
      </c>
      <c r="CG365" s="13">
        <f>CE365-CF365</f>
        <v>-160718.36940738867</v>
      </c>
      <c r="CH365" s="13">
        <f>CH364+CG365</f>
        <v>-7093609.54461138</v>
      </c>
      <c r="CI365">
        <f>IF(CH365=MAX($CH$83:$CH$483),$A365,0)</f>
        <v>0</v>
      </c>
      <c r="CJ365">
        <f>IF(CE365&lt;CF365,$A365,B_MAX+1)</f>
        <v>282</v>
      </c>
      <c r="CK365" s="13">
        <f>IF(CB365=1,$CB$35,$CB$36)</f>
        <v>1560.1194073886782</v>
      </c>
      <c r="CL365" s="13">
        <f>OCC_DAYS*$CB$41*R_NF_2023-CD365*MCD_SHARE_FREED*R_WAIT_2023</f>
        <v>151980.48282209205</v>
      </c>
      <c r="CM365">
        <f>IF($A365&lt;=$CB$45,1,0)</f>
        <v>0</v>
      </c>
      <c r="DB365">
        <f>IF($DB$31&lt;=$DB$32,IF($A365&lt;=$DB$7,1,2),IF($A365&lt;=RUNG_BEDS_2,2,1))</f>
        <v>1</v>
      </c>
      <c r="DC365" s="5">
        <f>MIN(1,MAX(0,$DB$26-($A365-1)))</f>
        <v>0</v>
      </c>
      <c r="DD365" s="5">
        <f>$DB$25*(DC365+(1-DC365)*$DB$16)</f>
        <v>0.0</v>
      </c>
      <c r="DE365" s="13">
        <f>DD365*($DB$6+ACUTE_MARGIN)</f>
        <v>0.0</v>
      </c>
      <c r="DF365" s="13">
        <f>IF(DB365=1,$DB$31,$DB$32)</f>
        <v>152394.16214437486</v>
      </c>
      <c r="DG365" s="13">
        <f>DE365-DF365</f>
        <v>-152394.16214437486</v>
      </c>
      <c r="DH365" s="13">
        <f>DH364+DG365</f>
        <v>-4746183.096441377</v>
      </c>
      <c r="DI365">
        <f>IF(DH365=MAX($DH$83:$DH$483),$A365,0)</f>
        <v>0</v>
      </c>
      <c r="DJ365">
        <f>IF(DE365&lt;DF365,$A365,B_MAX+1)</f>
        <v>282</v>
      </c>
      <c r="DK365" s="13">
        <f>IF(DB365=1,$DB$35,$DB$36)</f>
        <v>0</v>
      </c>
      <c r="DL365" s="13">
        <f>OCC_DAYS*$DB$41*R_NF_2023-DD365*MCD_SHARE_FREED*R_WAIT_2023</f>
        <v>151980.48282209205</v>
      </c>
      <c r="DM365">
        <f>IF($A365&lt;=$DB$45,1,0)</f>
        <v>0</v>
      </c>
      <c r="EB365">
        <f>IF($EB$31&lt;=$EB$32,IF($A365&lt;=$EB$7,1,2),IF($A365&lt;=RUNG_BEDS_2,2,1))</f>
        <v>1</v>
      </c>
      <c r="EC365" s="5">
        <f>MIN(1,MAX(0,$EB$26-($A365-1)))</f>
        <v>0</v>
      </c>
      <c r="ED365" s="5">
        <f>$EB$25*(EC365+(1-EC365)*$EB$16)</f>
        <v>0.0</v>
      </c>
      <c r="EE365" s="13">
        <f>ED365*($EB$6+ACUTE_MARGIN)</f>
        <v>0.0</v>
      </c>
      <c r="EF365" s="13">
        <f>IF(EB365=1,$EB$31,$EB$32)</f>
        <v>152394.16214437486</v>
      </c>
      <c r="EG365" s="13">
        <f>EE365-EF365</f>
        <v>-152394.16214437486</v>
      </c>
      <c r="EH365" s="13">
        <f>EH364+EG365</f>
        <v>-4746183.096441377</v>
      </c>
      <c r="EI365">
        <f>IF(EH365=MAX($EH$83:$EH$483),$A365,0)</f>
        <v>0</v>
      </c>
      <c r="EJ365">
        <f>IF(EE365&lt;EF365,$A365,B_MAX+1)</f>
        <v>282</v>
      </c>
      <c r="EK365" s="13">
        <f>IF(EB365=1,$EB$35,$EB$36)</f>
        <v>0</v>
      </c>
      <c r="EL365" s="13">
        <f>OCC_DAYS*$EB$41*R_NF_2023-ED365*MCD_SHARE_FREED*R_WAIT_2023</f>
        <v>50660.16094069735</v>
      </c>
      <c r="EM365">
        <f>IF($A365&lt;=$EB$45,1,0)</f>
        <v>0</v>
      </c>
      <c r="FB365">
        <f>IF($FB$31&lt;=$FB$32,IF($A365&lt;=$FB$7,1,2),IF($A365&lt;=RUNG_BEDS_2,2,1))</f>
        <v>1</v>
      </c>
      <c r="FC365" s="5">
        <f>MIN(1,MAX(0,$FB$26-($A365-1)))</f>
        <v>0</v>
      </c>
      <c r="FD365" s="5">
        <f>$FB$25*(FC365+(1-FC365)*$FB$16)</f>
        <v>0.0</v>
      </c>
      <c r="FE365" s="13">
        <f>FD365*($FB$6+ACUTE_MARGIN)</f>
        <v>0.0</v>
      </c>
      <c r="FF365" s="13">
        <f>IF(FB365=1,$FB$31,$FB$32)</f>
        <v>156636.04979437485</v>
      </c>
      <c r="FG365" s="13">
        <f>FE365-FF365</f>
        <v>-156636.04979437485</v>
      </c>
      <c r="FH365" s="13">
        <f>FH364+FG365</f>
        <v>-5942395.413741492</v>
      </c>
      <c r="FI365">
        <f>IF(FH365=MAX($FH$83:$FH$483),$A365,0)</f>
        <v>0</v>
      </c>
      <c r="FJ365">
        <f>IF(FE365&lt;FF365,$A365,B_MAX+1)</f>
        <v>282</v>
      </c>
      <c r="FK365" s="13">
        <f>IF(FB365=1,$FB$35,$FB$36)</f>
        <v>0</v>
      </c>
      <c r="FL365" s="13">
        <f>OCC_DAYS*$FB$41*R_NF_2023-FD365*MCD_SHARE_FREED*R_WAIT_2023</f>
        <v>151980.48282209205</v>
      </c>
      <c r="FM365">
        <f>IF($A365&lt;=$FB$45,1,0)</f>
        <v>0</v>
      </c>
      <c r="GB365">
        <f>IF($GB$31&lt;=$GB$32,IF($A365&lt;=$GB$7,1,2),IF($A365&lt;=RUNG_BEDS_2,2,1))</f>
        <v>1</v>
      </c>
      <c r="GC365" s="5">
        <f>MIN(1,MAX(0,$GB$26-($A365-1)))</f>
        <v>0</v>
      </c>
      <c r="GD365" s="5">
        <f>$GB$25*(GC365+(1-GC365)*$GB$16)</f>
        <v>0.0</v>
      </c>
      <c r="GE365" s="13">
        <f>GD365*($GB$6+ACUTE_MARGIN)</f>
        <v>0.0</v>
      </c>
      <c r="GF365" s="13">
        <f>IF(GB365=1,$GB$31,$GB$32)</f>
        <v>152394.16214437486</v>
      </c>
      <c r="GG365" s="13">
        <f>GE365-GF365</f>
        <v>-152394.16214437486</v>
      </c>
      <c r="GH365" s="13">
        <f>GH364+GG365</f>
        <v>-4746183.096441377</v>
      </c>
      <c r="GI365">
        <f>IF(GH365=MAX($GH$83:$GH$483),$A365,0)</f>
        <v>0</v>
      </c>
      <c r="GJ365">
        <f>IF(GE365&lt;GF365,$A365,B_MAX+1)</f>
        <v>282</v>
      </c>
      <c r="GK365" s="13">
        <f>IF(GB365=1,$GB$35,$GB$36)</f>
        <v>0</v>
      </c>
      <c r="GL365" s="13">
        <f>OCC_DAYS*$GB$41*R_NF_2023-GD365*MCD_SHARE_FREED*R_WAIT_2023</f>
        <v>151980.48282209205</v>
      </c>
      <c r="GM365">
        <f>IF($A365&lt;=$GB$45,1,0)</f>
        <v>0</v>
      </c>
      <c r="HB365">
        <f>IF($HB$31&lt;=$HB$32,IF($A365&lt;=$HB$7,1,2),IF($A365&lt;=RUNG_BEDS_2,2,1))</f>
        <v>1</v>
      </c>
      <c r="HC365" s="5">
        <f>MIN(1,MAX(0,$HB$26-($A365-1)))</f>
        <v>0</v>
      </c>
      <c r="HD365" s="5">
        <f>$HB$25*(HC365+(1-HC365)*$HB$16)</f>
        <v>0.0</v>
      </c>
      <c r="HE365" s="13">
        <f>HD365*($HB$6+ACUTE_MARGIN)</f>
        <v>0.0</v>
      </c>
      <c r="HF365" s="13">
        <f>IF(HB365=1,$HB$31,$HB$32)</f>
        <v>152456.2970814058</v>
      </c>
      <c r="HG365" s="13">
        <f>HE365-HF365</f>
        <v>-152456.2970814058</v>
      </c>
      <c r="HH365" s="13">
        <f>HH364+HG365</f>
        <v>-4763705.14868414</v>
      </c>
      <c r="HI365">
        <f>IF(HH365=MAX($HH$83:$HH$483),$A365,0)</f>
        <v>0</v>
      </c>
      <c r="HJ365">
        <f>IF(HE365&lt;HF365,$A365,B_MAX+1)</f>
        <v>282</v>
      </c>
      <c r="HK365" s="13">
        <f>IF(HB365=1,$HB$35,$HB$36)</f>
        <v>0</v>
      </c>
      <c r="HL365" s="13">
        <f>OCC_DAYS*$HB$41*R_NF_2023-HD365*MCD_SHARE_FREED*R_WAIT_2023</f>
        <v>151980.48282209205</v>
      </c>
      <c r="HM365">
        <f>IF($A365&lt;=$HB$45,1,0)</f>
        <v>0</v>
      </c>
      <c r="IB365">
        <f>IF($IB$31&lt;=$IB$32,IF($A365&lt;=$IB$7,1,2),IF($A365&lt;=RUNG_BEDS_2,2,1))</f>
        <v>1</v>
      </c>
      <c r="IC365" s="5">
        <f>MIN(1,MAX(0,$IB$26-($A365-1)))</f>
        <v>0</v>
      </c>
      <c r="ID365" s="5">
        <f>$IB$25*(IC365+(1-IC365)*$IB$16)</f>
        <v>0.0</v>
      </c>
      <c r="IE365" s="13">
        <f>ID365*($IB$6+ACUTE_MARGIN)</f>
        <v>0.0</v>
      </c>
      <c r="IF365" s="13">
        <f>IF(IB365=1,$IB$31,$IB$32)</f>
        <v>152734.9994534971</v>
      </c>
      <c r="IG365" s="13">
        <f>IE365-IF365</f>
        <v>-152734.9994534971</v>
      </c>
      <c r="IH365" s="13">
        <f>IH364+IG365</f>
        <v>-4842299.217613939</v>
      </c>
      <c r="II365">
        <f>IF(IH365=MAX($IH$83:$IH$483),$A365,0)</f>
        <v>0</v>
      </c>
      <c r="IJ365">
        <f>IF(IE365&lt;IF365,$A365,B_MAX+1)</f>
        <v>282</v>
      </c>
      <c r="IK365" s="13">
        <f>IF(IB365=1,$IB$35,$IB$36)</f>
        <v>0</v>
      </c>
      <c r="IL365" s="13">
        <f>OCC_DAYS*$IB$41*R_NF_2023-ID365*MCD_SHARE_FREED*R_WAIT_2023</f>
        <v>151980.48282209205</v>
      </c>
      <c r="IM365">
        <f>IF($A365&lt;=$IB$45,1,0)</f>
        <v>0</v>
      </c>
      <c r="JB365">
        <f>IF($JB$31&lt;=$JB$32,IF($A365&lt;=$JB$7,1,2),IF($A365&lt;=RUNG_BEDS_2,2,1))</f>
        <v>1</v>
      </c>
      <c r="JC365" s="5">
        <f>MIN(1,MAX(0,$JB$26-($A365-1)))</f>
        <v>0</v>
      </c>
      <c r="JD365" s="5">
        <f>$JB$25*(JC365+(1-JC365)*$JB$16)</f>
        <v>0.0</v>
      </c>
      <c r="JE365" s="13">
        <f>JD365*($JB$6+ACUTE_MARGIN)</f>
        <v>0.0</v>
      </c>
      <c r="JF365" s="13">
        <f>IF(JB365=1,$JB$31,$JB$32)</f>
        <v>152394.16214437486</v>
      </c>
      <c r="JG365" s="13">
        <f>JE365-JF365</f>
        <v>-152394.16214437486</v>
      </c>
      <c r="JH365" s="13">
        <f>JH364+JG365</f>
        <v>-4746183.096441377</v>
      </c>
      <c r="JI365">
        <f>IF(JH365=MAX($JH$83:$JH$483),$A365,0)</f>
        <v>0</v>
      </c>
      <c r="JJ365">
        <f>IF(JE365&lt;JF365,$A365,B_MAX+1)</f>
        <v>282</v>
      </c>
      <c r="JK365" s="13">
        <f>IF(JB365=1,$JB$35,$JB$36)</f>
        <v>0</v>
      </c>
      <c r="JL365" s="13">
        <f>OCC_DAYS*$JB$41*R_NF_2023-JD365*MCD_SHARE_FREED*R_WAIT_2023</f>
        <v>151980.48282209205</v>
      </c>
      <c r="JM365">
        <f>IF($A365&lt;=$JB$45,1,0)</f>
        <v>0</v>
      </c>
      <c r="KB365">
        <f>IF($KB$31&lt;=$KB$32,IF($A365&lt;=$KB$7,1,2),IF($A365&lt;=RUNG_BEDS_2,2,1))</f>
        <v>1</v>
      </c>
      <c r="KC365" s="5">
        <f>MIN(1,MAX(0,$KB$26-($A365-1)))</f>
        <v>1</v>
      </c>
      <c r="KD365" s="5">
        <f>$KB$25*(KC365+(1-KC365)*$KB$16)</f>
        <v>126.02661357340719</v>
      </c>
      <c r="KE365" s="13">
        <f>KD365*($KB$6+ACUTE_MARGIN)</f>
        <v>127286.87970914126</v>
      </c>
      <c r="KF365" s="13">
        <f>IF(KB365=1,$KB$31,$KB$32)</f>
        <v>152394.16214437486</v>
      </c>
      <c r="KG365" s="13">
        <f>KE365-KF365</f>
        <v>-25107.282435233603</v>
      </c>
      <c r="KH365" s="13">
        <f>KH364+KG365</f>
        <v>-7080253.6467359</v>
      </c>
      <c r="KI365">
        <f>IF(KH365=MAX($KH$83:$KH$483),$A365,0)</f>
        <v>0</v>
      </c>
      <c r="KJ365">
        <f>IF(KE365&lt;KF365,$A365,B_MAX+1)</f>
        <v>282</v>
      </c>
      <c r="KK365" s="13">
        <f>IF(KB365=1,$KB$35,$KB$36)</f>
        <v>0</v>
      </c>
      <c r="KL365" s="13">
        <f>OCC_DAYS*$KB$41*R_NF_2023-KD365*MCD_SHARE_FREED*R_WAIT_2023</f>
        <v>94673.82103225985</v>
      </c>
      <c r="KM365">
        <f>IF($A365&lt;=$KB$45,1,0)</f>
        <v>0</v>
      </c>
      <c r="LB365">
        <f>IF($LB$31&lt;=$LB$32,IF($A365&lt;=$LB$7,1,2),IF($A365&lt;=RUNG_BEDS_2,2,1))</f>
        <v>1</v>
      </c>
      <c r="LC365" s="5">
        <f>MIN(1,MAX(0,$LB$26-($A365-1)))</f>
        <v>1</v>
      </c>
      <c r="LD365" s="5">
        <f>$LB$25*(LC365+(1-LC365)*$LB$16)</f>
        <v>84.01774238227146</v>
      </c>
      <c r="LE365" s="13">
        <f>LD365*($LB$6+ACUTE_MARGIN)</f>
        <v>84857.91980609419</v>
      </c>
      <c r="LF365" s="13">
        <f>IF(LB365=1,$LB$31,$LB$32)</f>
        <v>152394.16214437486</v>
      </c>
      <c r="LG365" s="13">
        <f>LE365-LF365</f>
        <v>-67536.24233828067</v>
      </c>
      <c r="LH365" s="13">
        <f>LH364+LG365</f>
        <v>-19045220.339395247</v>
      </c>
      <c r="LI365">
        <f>IF(LH365=MAX($LH$83:$LH$483),$A365,0)</f>
        <v>0</v>
      </c>
      <c r="LJ365">
        <f>IF(LE365&lt;LF365,$A365,B_MAX+1)</f>
        <v>282</v>
      </c>
      <c r="LK365" s="13">
        <f>IF(LB365=1,$LB$35,$LB$36)</f>
        <v>0</v>
      </c>
      <c r="LL365" s="13">
        <f>OCC_DAYS*$LB$41*R_NF_2023-LD365*MCD_SHARE_FREED*R_WAIT_2023</f>
        <v>113776.04162887059</v>
      </c>
      <c r="LM365">
        <f>IF($A365&lt;=$LB$45,1,0)</f>
        <v>0</v>
      </c>
      <c r="MB365">
        <f>IF($MB$31&lt;=$MB$32,IF($A365&lt;=$MB$7,1,2),IF($A365&lt;=RUNG_BEDS_2,2,1))</f>
        <v>1</v>
      </c>
      <c r="MC365" s="5">
        <f>MIN(1,MAX(0,$MB$26-($A365-1)))</f>
        <v>0</v>
      </c>
      <c r="MD365" s="5">
        <f>$MB$25*(MC365+(1-MC365)*$MB$16)</f>
        <v>0.0</v>
      </c>
      <c r="ME365" s="13">
        <f>MD365*($MB$6+ACUTE_MARGIN)</f>
        <v>0.0</v>
      </c>
      <c r="MF365" s="13">
        <f>IF(MB365=1,$MB$31,$MB$32)</f>
        <v>152394.16214437486</v>
      </c>
      <c r="MG365" s="13">
        <f>ME365-MF365</f>
        <v>-152394.16214437486</v>
      </c>
      <c r="MH365" s="13">
        <f>MH364+MG365</f>
        <v>-10633459.1582397</v>
      </c>
      <c r="MI365">
        <f>IF(MH365=MAX($MH$83:$MH$483),$A365,0)</f>
        <v>0</v>
      </c>
      <c r="MJ365">
        <f>IF(ME365&lt;MF365,$A365,B_MAX+1)</f>
        <v>282</v>
      </c>
      <c r="MK365" s="13">
        <f>IF(MB365=1,$MB$35,$MB$36)</f>
        <v>0</v>
      </c>
      <c r="ML365" s="13">
        <f>OCC_DAYS*$MB$41*R_NF_2023-MD365*MCD_SHARE_FREED*R_WAIT_2023</f>
        <v>151980.48282209205</v>
      </c>
      <c r="MM365">
        <f>IF($A365&lt;=$MB$45,1,0)</f>
        <v>0</v>
      </c>
      <c r="NB365">
        <f>IF($NB$31&lt;=$NB$32,IF($A365&lt;=$NB$7,1,2),IF($A365&lt;=RUNG_BEDS_2,2,1))</f>
        <v>1</v>
      </c>
      <c r="NC365" s="5">
        <f>MIN(1,MAX(0,$NB$26-($A365-1)))</f>
        <v>0</v>
      </c>
      <c r="ND365" s="5">
        <f>$NB$25*(NC365+(1-NC365)*$NB$16)</f>
        <v>63.013306786703595</v>
      </c>
      <c r="NE365" s="13">
        <f>ND365*($NB$6+ACUTE_MARGIN)</f>
        <v>63643.43985457063</v>
      </c>
      <c r="NF365" s="13">
        <f>IF(NB365=1,$NB$31,$NB$32)</f>
        <v>152394.16214437486</v>
      </c>
      <c r="NG365" s="13">
        <f>NE365-NF365</f>
        <v>-88750.72228980422</v>
      </c>
      <c r="NH365" s="13">
        <f>NH364+NG365</f>
        <v>3644024.285479434</v>
      </c>
      <c r="NI365">
        <f>IF(NH365=MAX($NH$83:$NH$483),$A365,0)</f>
        <v>0</v>
      </c>
      <c r="NJ365">
        <f>IF(NE365&lt;NF365,$A365,B_MAX+1)</f>
        <v>282</v>
      </c>
      <c r="NK365" s="13">
        <f>IF(NB365=1,$NB$35,$NB$36)</f>
        <v>0</v>
      </c>
      <c r="NL365" s="13">
        <f>OCC_DAYS*$NB$41*R_NF_2023-ND365*MCD_SHARE_FREED*R_WAIT_2023</f>
        <v>123327.15192717595</v>
      </c>
      <c r="NM365">
        <f>IF($A365&lt;=$NB$45,1,0)</f>
        <v>0</v>
      </c>
      <c r="OB365">
        <f>IF($OB$31&lt;=$OB$32,IF($A365&lt;=$OB$7,1,2),IF($A365&lt;=RUNG_BEDS_2,2,1))</f>
        <v>1</v>
      </c>
      <c r="OC365" s="5">
        <f>MIN(1,MAX(0,$OB$26-($A365-1)))</f>
        <v>0</v>
      </c>
      <c r="OD365" s="5">
        <f>$OB$25*(OC365+(1-OC365)*$OB$16)</f>
        <v>126.02661357340719</v>
      </c>
      <c r="OE365" s="13">
        <f>OD365*($OB$6+ACUTE_MARGIN)</f>
        <v>127286.87970914126</v>
      </c>
      <c r="OF365" s="13">
        <f>IF(OB365=1,$OB$31,$OB$32)</f>
        <v>152394.16214437486</v>
      </c>
      <c r="OG365" s="13">
        <f>OE365-OF365</f>
        <v>-25107.282435233603</v>
      </c>
      <c r="OH365" s="13">
        <f>OH364+OG365</f>
        <v>12034231.667400416</v>
      </c>
      <c r="OI365">
        <f>IF(OH365=MAX($OH$83:$OH$483),$A365,0)</f>
        <v>0</v>
      </c>
      <c r="OJ365">
        <f>IF(OE365&lt;OF365,$A365,B_MAX+1)</f>
        <v>282</v>
      </c>
      <c r="OK365" s="13">
        <f>IF(OB365=1,$OB$35,$OB$36)</f>
        <v>0</v>
      </c>
      <c r="OL365" s="13">
        <f>OCC_DAYS*$OB$41*R_NF_2023-OD365*MCD_SHARE_FREED*R_WAIT_2023</f>
        <v>94673.82103225985</v>
      </c>
      <c r="OM365">
        <f>IF($A365&lt;=$OB$45,1,0)</f>
        <v>0</v>
      </c>
    </row>
    <row r="366">
      <c r="A366" t="n">
        <v>283</v>
      </c>
      <c r="B366">
        <f>IF($B$31&lt;=$B$32,IF($A366&lt;=$B$7,1,2),IF($A366&lt;=RUNG_BEDS_2,2,1))</f>
        <v>1</v>
      </c>
      <c r="C366" s="5">
        <f>MIN(1,MAX(0,$B$26-($A366-1)))</f>
        <v>0</v>
      </c>
      <c r="D366" s="5">
        <f>$B$25*(C366+(1-C366)*$B$16)</f>
        <v>0.0</v>
      </c>
      <c r="E366" s="13">
        <f>D366*($B$6+ACUTE_MARGIN)</f>
        <v>0.0</v>
      </c>
      <c r="F366" s="13">
        <f>IF(B366=1,$B$31,$B$32)</f>
        <v>152394.16214437486</v>
      </c>
      <c r="G366" s="13">
        <f>E366-F366</f>
        <v>-152394.16214437486</v>
      </c>
      <c r="H366" s="13">
        <f>H365+G366</f>
        <v>-4898577.258585752</v>
      </c>
      <c r="I366">
        <f>IF(H366=MAX($H$83:$H$483),$A366,0)</f>
        <v>0</v>
      </c>
      <c r="J366">
        <f>IF(E366&lt;F366,$A366,B_MAX+1)</f>
        <v>283</v>
      </c>
      <c r="K366" s="13">
        <f>IF(B366=1,$B$35,$B$36)</f>
        <v>0</v>
      </c>
      <c r="L366" s="13">
        <f>OCC_DAYS*$B$41*R_NF_2023-D366*MCD_SHARE_FREED*R_WAIT_2023</f>
        <v>151980.48282209205</v>
      </c>
      <c r="M366">
        <f>IF($A366&lt;=$B$45,1,0)</f>
        <v>0</v>
      </c>
      <c r="AB366">
        <f>IF($AB$31&lt;=$AB$32,IF($A366&lt;=$AB$7,1,2),IF($A366&lt;=RUNG_BEDS_2,2,1))</f>
        <v>1</v>
      </c>
      <c r="AC366" s="5">
        <f>MIN(1,MAX(0,$AB$26-($A366-1)))</f>
        <v>0</v>
      </c>
      <c r="AD366" s="5">
        <f>$AB$25*(AC366+(1-AC366)*$AB$16)</f>
        <v>0.0</v>
      </c>
      <c r="AE366" s="13">
        <f>AD366*($AB$6+ACUTE_MARGIN)</f>
        <v>0.0</v>
      </c>
      <c r="AF366" s="13">
        <f>IF(AB366=1,$AB$31,$AB$32)</f>
        <v>152394.16214437486</v>
      </c>
      <c r="AG366" s="13">
        <f>AE366-AF366</f>
        <v>-152394.16214437486</v>
      </c>
      <c r="AH366" s="13">
        <f>AH365+AG366</f>
        <v>-22309791.60413551</v>
      </c>
      <c r="AI366">
        <f>IF(AH366=MAX($AH$83:$AH$483),$A366,0)</f>
        <v>0</v>
      </c>
      <c r="AJ366">
        <f>IF(AE366&lt;AF366,$A366,B_MAX+1)</f>
        <v>283</v>
      </c>
      <c r="AK366" s="13">
        <f>IF(AB366=1,$AB$35,$AB$36)</f>
        <v>0</v>
      </c>
      <c r="AL366" s="13">
        <f>OCC_DAYS*$AB$41*R_NF_2023-AD366*MCD_SHARE_FREED*R_WAIT_2023</f>
        <v>151980.48282209205</v>
      </c>
      <c r="AM366">
        <f>IF($A366&lt;=$AB$45,1,0)</f>
        <v>0</v>
      </c>
      <c r="BB366">
        <f>IF($BB$31&lt;=$BB$32,IF($A366&lt;=$BB$7,1,2),IF($A366&lt;=RUNG_BEDS_2,2,1))</f>
        <v>1</v>
      </c>
      <c r="BC366" s="5">
        <f>MIN(1,MAX(0,$BB$26-($A366-1)))</f>
        <v>0</v>
      </c>
      <c r="BD366" s="5">
        <f>$BB$25*(BC366+(1-BC366)*$BB$16)</f>
        <v>0.0</v>
      </c>
      <c r="BE366" s="13">
        <f>BD366*($BB$6+ACUTE_MARGIN)</f>
        <v>0.0</v>
      </c>
      <c r="BF366" s="13">
        <f>IF(BB366=1,$BB$31,$BB$32)</f>
        <v>152394.16214437486</v>
      </c>
      <c r="BG366" s="13">
        <f>BE366-BF366</f>
        <v>-152394.16214437486</v>
      </c>
      <c r="BH366" s="13">
        <f>BH365+BG366</f>
        <v>12512637.086963985</v>
      </c>
      <c r="BI366">
        <f>IF(BH366=MAX($BH$83:$BH$483),$A366,0)</f>
        <v>0</v>
      </c>
      <c r="BJ366">
        <f>IF(BE366&lt;BF366,$A366,B_MAX+1)</f>
        <v>283</v>
      </c>
      <c r="BK366" s="13">
        <f>IF(BB366=1,$BB$35,$BB$36)</f>
        <v>0</v>
      </c>
      <c r="BL366" s="13">
        <f>OCC_DAYS*$BB$41*R_NF_2023-BD366*MCD_SHARE_FREED*R_WAIT_2023</f>
        <v>151980.48282209205</v>
      </c>
      <c r="BM366">
        <f>IF($A366&lt;=$BB$45,1,0)</f>
        <v>0</v>
      </c>
      <c r="CB366">
        <f>IF($CB$31&lt;=$CB$32,IF($A366&lt;=$CB$7,1,2),IF($A366&lt;=RUNG_BEDS_2,2,1))</f>
        <v>2</v>
      </c>
      <c r="CC366" s="5">
        <f>MIN(1,MAX(0,$CB$26-($A366-1)))</f>
        <v>0</v>
      </c>
      <c r="CD366" s="5">
        <f>$CB$25*(CC366+(1-CC366)*$CB$16)</f>
        <v>0.0</v>
      </c>
      <c r="CE366" s="13">
        <f>CD366*($CB$6+ACUTE_MARGIN)</f>
        <v>0.0</v>
      </c>
      <c r="CF366" s="13">
        <f>IF(CB366=1,$CB$31,$CB$32)</f>
        <v>160718.36940738867</v>
      </c>
      <c r="CG366" s="13">
        <f>CE366-CF366</f>
        <v>-160718.36940738867</v>
      </c>
      <c r="CH366" s="13">
        <f>CH365+CG366</f>
        <v>-7254327.914018769</v>
      </c>
      <c r="CI366">
        <f>IF(CH366=MAX($CH$83:$CH$483),$A366,0)</f>
        <v>0</v>
      </c>
      <c r="CJ366">
        <f>IF(CE366&lt;CF366,$A366,B_MAX+1)</f>
        <v>283</v>
      </c>
      <c r="CK366" s="13">
        <f>IF(CB366=1,$CB$35,$CB$36)</f>
        <v>1560.1194073886782</v>
      </c>
      <c r="CL366" s="13">
        <f>OCC_DAYS*$CB$41*R_NF_2023-CD366*MCD_SHARE_FREED*R_WAIT_2023</f>
        <v>151980.48282209205</v>
      </c>
      <c r="CM366">
        <f>IF($A366&lt;=$CB$45,1,0)</f>
        <v>0</v>
      </c>
      <c r="DB366">
        <f>IF($DB$31&lt;=$DB$32,IF($A366&lt;=$DB$7,1,2),IF($A366&lt;=RUNG_BEDS_2,2,1))</f>
        <v>1</v>
      </c>
      <c r="DC366" s="5">
        <f>MIN(1,MAX(0,$DB$26-($A366-1)))</f>
        <v>0</v>
      </c>
      <c r="DD366" s="5">
        <f>$DB$25*(DC366+(1-DC366)*$DB$16)</f>
        <v>0.0</v>
      </c>
      <c r="DE366" s="13">
        <f>DD366*($DB$6+ACUTE_MARGIN)</f>
        <v>0.0</v>
      </c>
      <c r="DF366" s="13">
        <f>IF(DB366=1,$DB$31,$DB$32)</f>
        <v>152394.16214437486</v>
      </c>
      <c r="DG366" s="13">
        <f>DE366-DF366</f>
        <v>-152394.16214437486</v>
      </c>
      <c r="DH366" s="13">
        <f>DH365+DG366</f>
        <v>-4898577.258585752</v>
      </c>
      <c r="DI366">
        <f>IF(DH366=MAX($DH$83:$DH$483),$A366,0)</f>
        <v>0</v>
      </c>
      <c r="DJ366">
        <f>IF(DE366&lt;DF366,$A366,B_MAX+1)</f>
        <v>283</v>
      </c>
      <c r="DK366" s="13">
        <f>IF(DB366=1,$DB$35,$DB$36)</f>
        <v>0</v>
      </c>
      <c r="DL366" s="13">
        <f>OCC_DAYS*$DB$41*R_NF_2023-DD366*MCD_SHARE_FREED*R_WAIT_2023</f>
        <v>151980.48282209205</v>
      </c>
      <c r="DM366">
        <f>IF($A366&lt;=$DB$45,1,0)</f>
        <v>0</v>
      </c>
      <c r="EB366">
        <f>IF($EB$31&lt;=$EB$32,IF($A366&lt;=$EB$7,1,2),IF($A366&lt;=RUNG_BEDS_2,2,1))</f>
        <v>1</v>
      </c>
      <c r="EC366" s="5">
        <f>MIN(1,MAX(0,$EB$26-($A366-1)))</f>
        <v>0</v>
      </c>
      <c r="ED366" s="5">
        <f>$EB$25*(EC366+(1-EC366)*$EB$16)</f>
        <v>0.0</v>
      </c>
      <c r="EE366" s="13">
        <f>ED366*($EB$6+ACUTE_MARGIN)</f>
        <v>0.0</v>
      </c>
      <c r="EF366" s="13">
        <f>IF(EB366=1,$EB$31,$EB$32)</f>
        <v>152394.16214437486</v>
      </c>
      <c r="EG366" s="13">
        <f>EE366-EF366</f>
        <v>-152394.16214437486</v>
      </c>
      <c r="EH366" s="13">
        <f>EH365+EG366</f>
        <v>-4898577.258585752</v>
      </c>
      <c r="EI366">
        <f>IF(EH366=MAX($EH$83:$EH$483),$A366,0)</f>
        <v>0</v>
      </c>
      <c r="EJ366">
        <f>IF(EE366&lt;EF366,$A366,B_MAX+1)</f>
        <v>283</v>
      </c>
      <c r="EK366" s="13">
        <f>IF(EB366=1,$EB$35,$EB$36)</f>
        <v>0</v>
      </c>
      <c r="EL366" s="13">
        <f>OCC_DAYS*$EB$41*R_NF_2023-ED366*MCD_SHARE_FREED*R_WAIT_2023</f>
        <v>50660.16094069735</v>
      </c>
      <c r="EM366">
        <f>IF($A366&lt;=$EB$45,1,0)</f>
        <v>0</v>
      </c>
      <c r="FB366">
        <f>IF($FB$31&lt;=$FB$32,IF($A366&lt;=$FB$7,1,2),IF($A366&lt;=RUNG_BEDS_2,2,1))</f>
        <v>1</v>
      </c>
      <c r="FC366" s="5">
        <f>MIN(1,MAX(0,$FB$26-($A366-1)))</f>
        <v>0</v>
      </c>
      <c r="FD366" s="5">
        <f>$FB$25*(FC366+(1-FC366)*$FB$16)</f>
        <v>0.0</v>
      </c>
      <c r="FE366" s="13">
        <f>FD366*($FB$6+ACUTE_MARGIN)</f>
        <v>0.0</v>
      </c>
      <c r="FF366" s="13">
        <f>IF(FB366=1,$FB$31,$FB$32)</f>
        <v>156636.04979437485</v>
      </c>
      <c r="FG366" s="13">
        <f>FE366-FF366</f>
        <v>-156636.04979437485</v>
      </c>
      <c r="FH366" s="13">
        <f>FH365+FG366</f>
        <v>-6099031.463535867</v>
      </c>
      <c r="FI366">
        <f>IF(FH366=MAX($FH$83:$FH$483),$A366,0)</f>
        <v>0</v>
      </c>
      <c r="FJ366">
        <f>IF(FE366&lt;FF366,$A366,B_MAX+1)</f>
        <v>283</v>
      </c>
      <c r="FK366" s="13">
        <f>IF(FB366=1,$FB$35,$FB$36)</f>
        <v>0</v>
      </c>
      <c r="FL366" s="13">
        <f>OCC_DAYS*$FB$41*R_NF_2023-FD366*MCD_SHARE_FREED*R_WAIT_2023</f>
        <v>151980.48282209205</v>
      </c>
      <c r="FM366">
        <f>IF($A366&lt;=$FB$45,1,0)</f>
        <v>0</v>
      </c>
      <c r="GB366">
        <f>IF($GB$31&lt;=$GB$32,IF($A366&lt;=$GB$7,1,2),IF($A366&lt;=RUNG_BEDS_2,2,1))</f>
        <v>1</v>
      </c>
      <c r="GC366" s="5">
        <f>MIN(1,MAX(0,$GB$26-($A366-1)))</f>
        <v>0</v>
      </c>
      <c r="GD366" s="5">
        <f>$GB$25*(GC366+(1-GC366)*$GB$16)</f>
        <v>0.0</v>
      </c>
      <c r="GE366" s="13">
        <f>GD366*($GB$6+ACUTE_MARGIN)</f>
        <v>0.0</v>
      </c>
      <c r="GF366" s="13">
        <f>IF(GB366=1,$GB$31,$GB$32)</f>
        <v>152394.16214437486</v>
      </c>
      <c r="GG366" s="13">
        <f>GE366-GF366</f>
        <v>-152394.16214437486</v>
      </c>
      <c r="GH366" s="13">
        <f>GH365+GG366</f>
        <v>-4898577.258585752</v>
      </c>
      <c r="GI366">
        <f>IF(GH366=MAX($GH$83:$GH$483),$A366,0)</f>
        <v>0</v>
      </c>
      <c r="GJ366">
        <f>IF(GE366&lt;GF366,$A366,B_MAX+1)</f>
        <v>283</v>
      </c>
      <c r="GK366" s="13">
        <f>IF(GB366=1,$GB$35,$GB$36)</f>
        <v>0</v>
      </c>
      <c r="GL366" s="13">
        <f>OCC_DAYS*$GB$41*R_NF_2023-GD366*MCD_SHARE_FREED*R_WAIT_2023</f>
        <v>151980.48282209205</v>
      </c>
      <c r="GM366">
        <f>IF($A366&lt;=$GB$45,1,0)</f>
        <v>0</v>
      </c>
      <c r="HB366">
        <f>IF($HB$31&lt;=$HB$32,IF($A366&lt;=$HB$7,1,2),IF($A366&lt;=RUNG_BEDS_2,2,1))</f>
        <v>1</v>
      </c>
      <c r="HC366" s="5">
        <f>MIN(1,MAX(0,$HB$26-($A366-1)))</f>
        <v>0</v>
      </c>
      <c r="HD366" s="5">
        <f>$HB$25*(HC366+(1-HC366)*$HB$16)</f>
        <v>0.0</v>
      </c>
      <c r="HE366" s="13">
        <f>HD366*($HB$6+ACUTE_MARGIN)</f>
        <v>0.0</v>
      </c>
      <c r="HF366" s="13">
        <f>IF(HB366=1,$HB$31,$HB$32)</f>
        <v>152456.2970814058</v>
      </c>
      <c r="HG366" s="13">
        <f>HE366-HF366</f>
        <v>-152456.2970814058</v>
      </c>
      <c r="HH366" s="13">
        <f>HH365+HG366</f>
        <v>-4916161.4457655465</v>
      </c>
      <c r="HI366">
        <f>IF(HH366=MAX($HH$83:$HH$483),$A366,0)</f>
        <v>0</v>
      </c>
      <c r="HJ366">
        <f>IF(HE366&lt;HF366,$A366,B_MAX+1)</f>
        <v>283</v>
      </c>
      <c r="HK366" s="13">
        <f>IF(HB366=1,$HB$35,$HB$36)</f>
        <v>0</v>
      </c>
      <c r="HL366" s="13">
        <f>OCC_DAYS*$HB$41*R_NF_2023-HD366*MCD_SHARE_FREED*R_WAIT_2023</f>
        <v>151980.48282209205</v>
      </c>
      <c r="HM366">
        <f>IF($A366&lt;=$HB$45,1,0)</f>
        <v>0</v>
      </c>
      <c r="IB366">
        <f>IF($IB$31&lt;=$IB$32,IF($A366&lt;=$IB$7,1,2),IF($A366&lt;=RUNG_BEDS_2,2,1))</f>
        <v>1</v>
      </c>
      <c r="IC366" s="5">
        <f>MIN(1,MAX(0,$IB$26-($A366-1)))</f>
        <v>0</v>
      </c>
      <c r="ID366" s="5">
        <f>$IB$25*(IC366+(1-IC366)*$IB$16)</f>
        <v>0.0</v>
      </c>
      <c r="IE366" s="13">
        <f>ID366*($IB$6+ACUTE_MARGIN)</f>
        <v>0.0</v>
      </c>
      <c r="IF366" s="13">
        <f>IF(IB366=1,$IB$31,$IB$32)</f>
        <v>152734.9994534971</v>
      </c>
      <c r="IG366" s="13">
        <f>IE366-IF366</f>
        <v>-152734.9994534971</v>
      </c>
      <c r="IH366" s="13">
        <f>IH365+IG366</f>
        <v>-4995034.217067436</v>
      </c>
      <c r="II366">
        <f>IF(IH366=MAX($IH$83:$IH$483),$A366,0)</f>
        <v>0</v>
      </c>
      <c r="IJ366">
        <f>IF(IE366&lt;IF366,$A366,B_MAX+1)</f>
        <v>283</v>
      </c>
      <c r="IK366" s="13">
        <f>IF(IB366=1,$IB$35,$IB$36)</f>
        <v>0</v>
      </c>
      <c r="IL366" s="13">
        <f>OCC_DAYS*$IB$41*R_NF_2023-ID366*MCD_SHARE_FREED*R_WAIT_2023</f>
        <v>151980.48282209205</v>
      </c>
      <c r="IM366">
        <f>IF($A366&lt;=$IB$45,1,0)</f>
        <v>0</v>
      </c>
      <c r="JB366">
        <f>IF($JB$31&lt;=$JB$32,IF($A366&lt;=$JB$7,1,2),IF($A366&lt;=RUNG_BEDS_2,2,1))</f>
        <v>1</v>
      </c>
      <c r="JC366" s="5">
        <f>MIN(1,MAX(0,$JB$26-($A366-1)))</f>
        <v>0</v>
      </c>
      <c r="JD366" s="5">
        <f>$JB$25*(JC366+(1-JC366)*$JB$16)</f>
        <v>0.0</v>
      </c>
      <c r="JE366" s="13">
        <f>JD366*($JB$6+ACUTE_MARGIN)</f>
        <v>0.0</v>
      </c>
      <c r="JF366" s="13">
        <f>IF(JB366=1,$JB$31,$JB$32)</f>
        <v>152394.16214437486</v>
      </c>
      <c r="JG366" s="13">
        <f>JE366-JF366</f>
        <v>-152394.16214437486</v>
      </c>
      <c r="JH366" s="13">
        <f>JH365+JG366</f>
        <v>-4898577.258585752</v>
      </c>
      <c r="JI366">
        <f>IF(JH366=MAX($JH$83:$JH$483),$A366,0)</f>
        <v>0</v>
      </c>
      <c r="JJ366">
        <f>IF(JE366&lt;JF366,$A366,B_MAX+1)</f>
        <v>283</v>
      </c>
      <c r="JK366" s="13">
        <f>IF(JB366=1,$JB$35,$JB$36)</f>
        <v>0</v>
      </c>
      <c r="JL366" s="13">
        <f>OCC_DAYS*$JB$41*R_NF_2023-JD366*MCD_SHARE_FREED*R_WAIT_2023</f>
        <v>151980.48282209205</v>
      </c>
      <c r="JM366">
        <f>IF($A366&lt;=$JB$45,1,0)</f>
        <v>0</v>
      </c>
      <c r="KB366">
        <f>IF($KB$31&lt;=$KB$32,IF($A366&lt;=$KB$7,1,2),IF($A366&lt;=RUNG_BEDS_2,2,1))</f>
        <v>1</v>
      </c>
      <c r="KC366" s="5">
        <f>MIN(1,MAX(0,$KB$26-($A366-1)))</f>
        <v>1</v>
      </c>
      <c r="KD366" s="5">
        <f>$KB$25*(KC366+(1-KC366)*$KB$16)</f>
        <v>126.02661357340719</v>
      </c>
      <c r="KE366" s="13">
        <f>KD366*($KB$6+ACUTE_MARGIN)</f>
        <v>127286.87970914126</v>
      </c>
      <c r="KF366" s="13">
        <f>IF(KB366=1,$KB$31,$KB$32)</f>
        <v>152394.16214437486</v>
      </c>
      <c r="KG366" s="13">
        <f>KE366-KF366</f>
        <v>-25107.282435233603</v>
      </c>
      <c r="KH366" s="13">
        <f>KH365+KG366</f>
        <v>-7105360.929171134</v>
      </c>
      <c r="KI366">
        <f>IF(KH366=MAX($KH$83:$KH$483),$A366,0)</f>
        <v>0</v>
      </c>
      <c r="KJ366">
        <f>IF(KE366&lt;KF366,$A366,B_MAX+1)</f>
        <v>283</v>
      </c>
      <c r="KK366" s="13">
        <f>IF(KB366=1,$KB$35,$KB$36)</f>
        <v>0</v>
      </c>
      <c r="KL366" s="13">
        <f>OCC_DAYS*$KB$41*R_NF_2023-KD366*MCD_SHARE_FREED*R_WAIT_2023</f>
        <v>94673.82103225985</v>
      </c>
      <c r="KM366">
        <f>IF($A366&lt;=$KB$45,1,0)</f>
        <v>0</v>
      </c>
      <c r="LB366">
        <f>IF($LB$31&lt;=$LB$32,IF($A366&lt;=$LB$7,1,2),IF($A366&lt;=RUNG_BEDS_2,2,1))</f>
        <v>1</v>
      </c>
      <c r="LC366" s="5">
        <f>MIN(1,MAX(0,$LB$26-($A366-1)))</f>
        <v>1</v>
      </c>
      <c r="LD366" s="5">
        <f>$LB$25*(LC366+(1-LC366)*$LB$16)</f>
        <v>84.01774238227146</v>
      </c>
      <c r="LE366" s="13">
        <f>LD366*($LB$6+ACUTE_MARGIN)</f>
        <v>84857.91980609419</v>
      </c>
      <c r="LF366" s="13">
        <f>IF(LB366=1,$LB$31,$LB$32)</f>
        <v>152394.16214437486</v>
      </c>
      <c r="LG366" s="13">
        <f>LE366-LF366</f>
        <v>-67536.24233828067</v>
      </c>
      <c r="LH366" s="13">
        <f>LH365+LG366</f>
        <v>-19112756.58173353</v>
      </c>
      <c r="LI366">
        <f>IF(LH366=MAX($LH$83:$LH$483),$A366,0)</f>
        <v>0</v>
      </c>
      <c r="LJ366">
        <f>IF(LE366&lt;LF366,$A366,B_MAX+1)</f>
        <v>283</v>
      </c>
      <c r="LK366" s="13">
        <f>IF(LB366=1,$LB$35,$LB$36)</f>
        <v>0</v>
      </c>
      <c r="LL366" s="13">
        <f>OCC_DAYS*$LB$41*R_NF_2023-LD366*MCD_SHARE_FREED*R_WAIT_2023</f>
        <v>113776.04162887059</v>
      </c>
      <c r="LM366">
        <f>IF($A366&lt;=$LB$45,1,0)</f>
        <v>0</v>
      </c>
      <c r="MB366">
        <f>IF($MB$31&lt;=$MB$32,IF($A366&lt;=$MB$7,1,2),IF($A366&lt;=RUNG_BEDS_2,2,1))</f>
        <v>1</v>
      </c>
      <c r="MC366" s="5">
        <f>MIN(1,MAX(0,$MB$26-($A366-1)))</f>
        <v>0</v>
      </c>
      <c r="MD366" s="5">
        <f>$MB$25*(MC366+(1-MC366)*$MB$16)</f>
        <v>0.0</v>
      </c>
      <c r="ME366" s="13">
        <f>MD366*($MB$6+ACUTE_MARGIN)</f>
        <v>0.0</v>
      </c>
      <c r="MF366" s="13">
        <f>IF(MB366=1,$MB$31,$MB$32)</f>
        <v>152394.16214437486</v>
      </c>
      <c r="MG366" s="13">
        <f>ME366-MF366</f>
        <v>-152394.16214437486</v>
      </c>
      <c r="MH366" s="13">
        <f>MH365+MG366</f>
        <v>-10785853.320384074</v>
      </c>
      <c r="MI366">
        <f>IF(MH366=MAX($MH$83:$MH$483),$A366,0)</f>
        <v>0</v>
      </c>
      <c r="MJ366">
        <f>IF(ME366&lt;MF366,$A366,B_MAX+1)</f>
        <v>283</v>
      </c>
      <c r="MK366" s="13">
        <f>IF(MB366=1,$MB$35,$MB$36)</f>
        <v>0</v>
      </c>
      <c r="ML366" s="13">
        <f>OCC_DAYS*$MB$41*R_NF_2023-MD366*MCD_SHARE_FREED*R_WAIT_2023</f>
        <v>151980.48282209205</v>
      </c>
      <c r="MM366">
        <f>IF($A366&lt;=$MB$45,1,0)</f>
        <v>0</v>
      </c>
      <c r="NB366">
        <f>IF($NB$31&lt;=$NB$32,IF($A366&lt;=$NB$7,1,2),IF($A366&lt;=RUNG_BEDS_2,2,1))</f>
        <v>1</v>
      </c>
      <c r="NC366" s="5">
        <f>MIN(1,MAX(0,$NB$26-($A366-1)))</f>
        <v>0</v>
      </c>
      <c r="ND366" s="5">
        <f>$NB$25*(NC366+(1-NC366)*$NB$16)</f>
        <v>63.013306786703595</v>
      </c>
      <c r="NE366" s="13">
        <f>ND366*($NB$6+ACUTE_MARGIN)</f>
        <v>63643.43985457063</v>
      </c>
      <c r="NF366" s="13">
        <f>IF(NB366=1,$NB$31,$NB$32)</f>
        <v>152394.16214437486</v>
      </c>
      <c r="NG366" s="13">
        <f>NE366-NF366</f>
        <v>-88750.72228980422</v>
      </c>
      <c r="NH366" s="13">
        <f>NH365+NG366</f>
        <v>3555273.5631896295</v>
      </c>
      <c r="NI366">
        <f>IF(NH366=MAX($NH$83:$NH$483),$A366,0)</f>
        <v>0</v>
      </c>
      <c r="NJ366">
        <f>IF(NE366&lt;NF366,$A366,B_MAX+1)</f>
        <v>283</v>
      </c>
      <c r="NK366" s="13">
        <f>IF(NB366=1,$NB$35,$NB$36)</f>
        <v>0</v>
      </c>
      <c r="NL366" s="13">
        <f>OCC_DAYS*$NB$41*R_NF_2023-ND366*MCD_SHARE_FREED*R_WAIT_2023</f>
        <v>123327.15192717595</v>
      </c>
      <c r="NM366">
        <f>IF($A366&lt;=$NB$45,1,0)</f>
        <v>0</v>
      </c>
      <c r="OB366">
        <f>IF($OB$31&lt;=$OB$32,IF($A366&lt;=$OB$7,1,2),IF($A366&lt;=RUNG_BEDS_2,2,1))</f>
        <v>1</v>
      </c>
      <c r="OC366" s="5">
        <f>MIN(1,MAX(0,$OB$26-($A366-1)))</f>
        <v>0</v>
      </c>
      <c r="OD366" s="5">
        <f>$OB$25*(OC366+(1-OC366)*$OB$16)</f>
        <v>126.02661357340719</v>
      </c>
      <c r="OE366" s="13">
        <f>OD366*($OB$6+ACUTE_MARGIN)</f>
        <v>127286.87970914126</v>
      </c>
      <c r="OF366" s="13">
        <f>IF(OB366=1,$OB$31,$OB$32)</f>
        <v>152394.16214437486</v>
      </c>
      <c r="OG366" s="13">
        <f>OE366-OF366</f>
        <v>-25107.282435233603</v>
      </c>
      <c r="OH366" s="13">
        <f>OH365+OG366</f>
        <v>12009124.384965183</v>
      </c>
      <c r="OI366">
        <f>IF(OH366=MAX($OH$83:$OH$483),$A366,0)</f>
        <v>0</v>
      </c>
      <c r="OJ366">
        <f>IF(OE366&lt;OF366,$A366,B_MAX+1)</f>
        <v>283</v>
      </c>
      <c r="OK366" s="13">
        <f>IF(OB366=1,$OB$35,$OB$36)</f>
        <v>0</v>
      </c>
      <c r="OL366" s="13">
        <f>OCC_DAYS*$OB$41*R_NF_2023-OD366*MCD_SHARE_FREED*R_WAIT_2023</f>
        <v>94673.82103225985</v>
      </c>
      <c r="OM366">
        <f>IF($A366&lt;=$OB$45,1,0)</f>
        <v>0</v>
      </c>
    </row>
    <row r="367">
      <c r="A367" t="n">
        <v>284</v>
      </c>
      <c r="B367">
        <f>IF($B$31&lt;=$B$32,IF($A367&lt;=$B$7,1,2),IF($A367&lt;=RUNG_BEDS_2,2,1))</f>
        <v>1</v>
      </c>
      <c r="C367" s="5">
        <f>MIN(1,MAX(0,$B$26-($A367-1)))</f>
        <v>0</v>
      </c>
      <c r="D367" s="5">
        <f>$B$25*(C367+(1-C367)*$B$16)</f>
        <v>0.0</v>
      </c>
      <c r="E367" s="13">
        <f>D367*($B$6+ACUTE_MARGIN)</f>
        <v>0.0</v>
      </c>
      <c r="F367" s="13">
        <f>IF(B367=1,$B$31,$B$32)</f>
        <v>152394.16214437486</v>
      </c>
      <c r="G367" s="13">
        <f>E367-F367</f>
        <v>-152394.16214437486</v>
      </c>
      <c r="H367" s="13">
        <f>H366+G367</f>
        <v>-5050971.420730127</v>
      </c>
      <c r="I367">
        <f>IF(H367=MAX($H$83:$H$483),$A367,0)</f>
        <v>0</v>
      </c>
      <c r="J367">
        <f>IF(E367&lt;F367,$A367,B_MAX+1)</f>
        <v>284</v>
      </c>
      <c r="K367" s="13">
        <f>IF(B367=1,$B$35,$B$36)</f>
        <v>0</v>
      </c>
      <c r="L367" s="13">
        <f>OCC_DAYS*$B$41*R_NF_2023-D367*MCD_SHARE_FREED*R_WAIT_2023</f>
        <v>151980.48282209205</v>
      </c>
      <c r="M367">
        <f>IF($A367&lt;=$B$45,1,0)</f>
        <v>0</v>
      </c>
      <c r="AB367">
        <f>IF($AB$31&lt;=$AB$32,IF($A367&lt;=$AB$7,1,2),IF($A367&lt;=RUNG_BEDS_2,2,1))</f>
        <v>1</v>
      </c>
      <c r="AC367" s="5">
        <f>MIN(1,MAX(0,$AB$26-($A367-1)))</f>
        <v>0</v>
      </c>
      <c r="AD367" s="5">
        <f>$AB$25*(AC367+(1-AC367)*$AB$16)</f>
        <v>0.0</v>
      </c>
      <c r="AE367" s="13">
        <f>AD367*($AB$6+ACUTE_MARGIN)</f>
        <v>0.0</v>
      </c>
      <c r="AF367" s="13">
        <f>IF(AB367=1,$AB$31,$AB$32)</f>
        <v>152394.16214437486</v>
      </c>
      <c r="AG367" s="13">
        <f>AE367-AF367</f>
        <v>-152394.16214437486</v>
      </c>
      <c r="AH367" s="13">
        <f>AH366+AG367</f>
        <v>-22462185.766279884</v>
      </c>
      <c r="AI367">
        <f>IF(AH367=MAX($AH$83:$AH$483),$A367,0)</f>
        <v>0</v>
      </c>
      <c r="AJ367">
        <f>IF(AE367&lt;AF367,$A367,B_MAX+1)</f>
        <v>284</v>
      </c>
      <c r="AK367" s="13">
        <f>IF(AB367=1,$AB$35,$AB$36)</f>
        <v>0</v>
      </c>
      <c r="AL367" s="13">
        <f>OCC_DAYS*$AB$41*R_NF_2023-AD367*MCD_SHARE_FREED*R_WAIT_2023</f>
        <v>151980.48282209205</v>
      </c>
      <c r="AM367">
        <f>IF($A367&lt;=$AB$45,1,0)</f>
        <v>0</v>
      </c>
      <c r="BB367">
        <f>IF($BB$31&lt;=$BB$32,IF($A367&lt;=$BB$7,1,2),IF($A367&lt;=RUNG_BEDS_2,2,1))</f>
        <v>1</v>
      </c>
      <c r="BC367" s="5">
        <f>MIN(1,MAX(0,$BB$26-($A367-1)))</f>
        <v>0</v>
      </c>
      <c r="BD367" s="5">
        <f>$BB$25*(BC367+(1-BC367)*$BB$16)</f>
        <v>0.0</v>
      </c>
      <c r="BE367" s="13">
        <f>BD367*($BB$6+ACUTE_MARGIN)</f>
        <v>0.0</v>
      </c>
      <c r="BF367" s="13">
        <f>IF(BB367=1,$BB$31,$BB$32)</f>
        <v>152394.16214437486</v>
      </c>
      <c r="BG367" s="13">
        <f>BE367-BF367</f>
        <v>-152394.16214437486</v>
      </c>
      <c r="BH367" s="13">
        <f>BH366+BG367</f>
        <v>12360242.924819611</v>
      </c>
      <c r="BI367">
        <f>IF(BH367=MAX($BH$83:$BH$483),$A367,0)</f>
        <v>0</v>
      </c>
      <c r="BJ367">
        <f>IF(BE367&lt;BF367,$A367,B_MAX+1)</f>
        <v>284</v>
      </c>
      <c r="BK367" s="13">
        <f>IF(BB367=1,$BB$35,$BB$36)</f>
        <v>0</v>
      </c>
      <c r="BL367" s="13">
        <f>OCC_DAYS*$BB$41*R_NF_2023-BD367*MCD_SHARE_FREED*R_WAIT_2023</f>
        <v>151980.48282209205</v>
      </c>
      <c r="BM367">
        <f>IF($A367&lt;=$BB$45,1,0)</f>
        <v>0</v>
      </c>
      <c r="CB367">
        <f>IF($CB$31&lt;=$CB$32,IF($A367&lt;=$CB$7,1,2),IF($A367&lt;=RUNG_BEDS_2,2,1))</f>
        <v>2</v>
      </c>
      <c r="CC367" s="5">
        <f>MIN(1,MAX(0,$CB$26-($A367-1)))</f>
        <v>0</v>
      </c>
      <c r="CD367" s="5">
        <f>$CB$25*(CC367+(1-CC367)*$CB$16)</f>
        <v>0.0</v>
      </c>
      <c r="CE367" s="13">
        <f>CD367*($CB$6+ACUTE_MARGIN)</f>
        <v>0.0</v>
      </c>
      <c r="CF367" s="13">
        <f>IF(CB367=1,$CB$31,$CB$32)</f>
        <v>160718.36940738867</v>
      </c>
      <c r="CG367" s="13">
        <f>CE367-CF367</f>
        <v>-160718.36940738867</v>
      </c>
      <c r="CH367" s="13">
        <f>CH366+CG367</f>
        <v>-7415046.283426157</v>
      </c>
      <c r="CI367">
        <f>IF(CH367=MAX($CH$83:$CH$483),$A367,0)</f>
        <v>0</v>
      </c>
      <c r="CJ367">
        <f>IF(CE367&lt;CF367,$A367,B_MAX+1)</f>
        <v>284</v>
      </c>
      <c r="CK367" s="13">
        <f>IF(CB367=1,$CB$35,$CB$36)</f>
        <v>1560.1194073886782</v>
      </c>
      <c r="CL367" s="13">
        <f>OCC_DAYS*$CB$41*R_NF_2023-CD367*MCD_SHARE_FREED*R_WAIT_2023</f>
        <v>151980.48282209205</v>
      </c>
      <c r="CM367">
        <f>IF($A367&lt;=$CB$45,1,0)</f>
        <v>0</v>
      </c>
      <c r="DB367">
        <f>IF($DB$31&lt;=$DB$32,IF($A367&lt;=$DB$7,1,2),IF($A367&lt;=RUNG_BEDS_2,2,1))</f>
        <v>1</v>
      </c>
      <c r="DC367" s="5">
        <f>MIN(1,MAX(0,$DB$26-($A367-1)))</f>
        <v>0</v>
      </c>
      <c r="DD367" s="5">
        <f>$DB$25*(DC367+(1-DC367)*$DB$16)</f>
        <v>0.0</v>
      </c>
      <c r="DE367" s="13">
        <f>DD367*($DB$6+ACUTE_MARGIN)</f>
        <v>0.0</v>
      </c>
      <c r="DF367" s="13">
        <f>IF(DB367=1,$DB$31,$DB$32)</f>
        <v>152394.16214437486</v>
      </c>
      <c r="DG367" s="13">
        <f>DE367-DF367</f>
        <v>-152394.16214437486</v>
      </c>
      <c r="DH367" s="13">
        <f>DH366+DG367</f>
        <v>-5050971.420730127</v>
      </c>
      <c r="DI367">
        <f>IF(DH367=MAX($DH$83:$DH$483),$A367,0)</f>
        <v>0</v>
      </c>
      <c r="DJ367">
        <f>IF(DE367&lt;DF367,$A367,B_MAX+1)</f>
        <v>284</v>
      </c>
      <c r="DK367" s="13">
        <f>IF(DB367=1,$DB$35,$DB$36)</f>
        <v>0</v>
      </c>
      <c r="DL367" s="13">
        <f>OCC_DAYS*$DB$41*R_NF_2023-DD367*MCD_SHARE_FREED*R_WAIT_2023</f>
        <v>151980.48282209205</v>
      </c>
      <c r="DM367">
        <f>IF($A367&lt;=$DB$45,1,0)</f>
        <v>0</v>
      </c>
      <c r="EB367">
        <f>IF($EB$31&lt;=$EB$32,IF($A367&lt;=$EB$7,1,2),IF($A367&lt;=RUNG_BEDS_2,2,1))</f>
        <v>1</v>
      </c>
      <c r="EC367" s="5">
        <f>MIN(1,MAX(0,$EB$26-($A367-1)))</f>
        <v>0</v>
      </c>
      <c r="ED367" s="5">
        <f>$EB$25*(EC367+(1-EC367)*$EB$16)</f>
        <v>0.0</v>
      </c>
      <c r="EE367" s="13">
        <f>ED367*($EB$6+ACUTE_MARGIN)</f>
        <v>0.0</v>
      </c>
      <c r="EF367" s="13">
        <f>IF(EB367=1,$EB$31,$EB$32)</f>
        <v>152394.16214437486</v>
      </c>
      <c r="EG367" s="13">
        <f>EE367-EF367</f>
        <v>-152394.16214437486</v>
      </c>
      <c r="EH367" s="13">
        <f>EH366+EG367</f>
        <v>-5050971.420730127</v>
      </c>
      <c r="EI367">
        <f>IF(EH367=MAX($EH$83:$EH$483),$A367,0)</f>
        <v>0</v>
      </c>
      <c r="EJ367">
        <f>IF(EE367&lt;EF367,$A367,B_MAX+1)</f>
        <v>284</v>
      </c>
      <c r="EK367" s="13">
        <f>IF(EB367=1,$EB$35,$EB$36)</f>
        <v>0</v>
      </c>
      <c r="EL367" s="13">
        <f>OCC_DAYS*$EB$41*R_NF_2023-ED367*MCD_SHARE_FREED*R_WAIT_2023</f>
        <v>50660.16094069735</v>
      </c>
      <c r="EM367">
        <f>IF($A367&lt;=$EB$45,1,0)</f>
        <v>0</v>
      </c>
      <c r="FB367">
        <f>IF($FB$31&lt;=$FB$32,IF($A367&lt;=$FB$7,1,2),IF($A367&lt;=RUNG_BEDS_2,2,1))</f>
        <v>1</v>
      </c>
      <c r="FC367" s="5">
        <f>MIN(1,MAX(0,$FB$26-($A367-1)))</f>
        <v>0</v>
      </c>
      <c r="FD367" s="5">
        <f>$FB$25*(FC367+(1-FC367)*$FB$16)</f>
        <v>0.0</v>
      </c>
      <c r="FE367" s="13">
        <f>FD367*($FB$6+ACUTE_MARGIN)</f>
        <v>0.0</v>
      </c>
      <c r="FF367" s="13">
        <f>IF(FB367=1,$FB$31,$FB$32)</f>
        <v>156636.04979437485</v>
      </c>
      <c r="FG367" s="13">
        <f>FE367-FF367</f>
        <v>-156636.04979437485</v>
      </c>
      <c r="FH367" s="13">
        <f>FH366+FG367</f>
        <v>-6255667.513330242</v>
      </c>
      <c r="FI367">
        <f>IF(FH367=MAX($FH$83:$FH$483),$A367,0)</f>
        <v>0</v>
      </c>
      <c r="FJ367">
        <f>IF(FE367&lt;FF367,$A367,B_MAX+1)</f>
        <v>284</v>
      </c>
      <c r="FK367" s="13">
        <f>IF(FB367=1,$FB$35,$FB$36)</f>
        <v>0</v>
      </c>
      <c r="FL367" s="13">
        <f>OCC_DAYS*$FB$41*R_NF_2023-FD367*MCD_SHARE_FREED*R_WAIT_2023</f>
        <v>151980.48282209205</v>
      </c>
      <c r="FM367">
        <f>IF($A367&lt;=$FB$45,1,0)</f>
        <v>0</v>
      </c>
      <c r="GB367">
        <f>IF($GB$31&lt;=$GB$32,IF($A367&lt;=$GB$7,1,2),IF($A367&lt;=RUNG_BEDS_2,2,1))</f>
        <v>1</v>
      </c>
      <c r="GC367" s="5">
        <f>MIN(1,MAX(0,$GB$26-($A367-1)))</f>
        <v>0</v>
      </c>
      <c r="GD367" s="5">
        <f>$GB$25*(GC367+(1-GC367)*$GB$16)</f>
        <v>0.0</v>
      </c>
      <c r="GE367" s="13">
        <f>GD367*($GB$6+ACUTE_MARGIN)</f>
        <v>0.0</v>
      </c>
      <c r="GF367" s="13">
        <f>IF(GB367=1,$GB$31,$GB$32)</f>
        <v>152394.16214437486</v>
      </c>
      <c r="GG367" s="13">
        <f>GE367-GF367</f>
        <v>-152394.16214437486</v>
      </c>
      <c r="GH367" s="13">
        <f>GH366+GG367</f>
        <v>-5050971.420730127</v>
      </c>
      <c r="GI367">
        <f>IF(GH367=MAX($GH$83:$GH$483),$A367,0)</f>
        <v>0</v>
      </c>
      <c r="GJ367">
        <f>IF(GE367&lt;GF367,$A367,B_MAX+1)</f>
        <v>284</v>
      </c>
      <c r="GK367" s="13">
        <f>IF(GB367=1,$GB$35,$GB$36)</f>
        <v>0</v>
      </c>
      <c r="GL367" s="13">
        <f>OCC_DAYS*$GB$41*R_NF_2023-GD367*MCD_SHARE_FREED*R_WAIT_2023</f>
        <v>151980.48282209205</v>
      </c>
      <c r="GM367">
        <f>IF($A367&lt;=$GB$45,1,0)</f>
        <v>0</v>
      </c>
      <c r="HB367">
        <f>IF($HB$31&lt;=$HB$32,IF($A367&lt;=$HB$7,1,2),IF($A367&lt;=RUNG_BEDS_2,2,1))</f>
        <v>1</v>
      </c>
      <c r="HC367" s="5">
        <f>MIN(1,MAX(0,$HB$26-($A367-1)))</f>
        <v>0</v>
      </c>
      <c r="HD367" s="5">
        <f>$HB$25*(HC367+(1-HC367)*$HB$16)</f>
        <v>0.0</v>
      </c>
      <c r="HE367" s="13">
        <f>HD367*($HB$6+ACUTE_MARGIN)</f>
        <v>0.0</v>
      </c>
      <c r="HF367" s="13">
        <f>IF(HB367=1,$HB$31,$HB$32)</f>
        <v>152456.2970814058</v>
      </c>
      <c r="HG367" s="13">
        <f>HE367-HF367</f>
        <v>-152456.2970814058</v>
      </c>
      <c r="HH367" s="13">
        <f>HH366+HG367</f>
        <v>-5068617.742846953</v>
      </c>
      <c r="HI367">
        <f>IF(HH367=MAX($HH$83:$HH$483),$A367,0)</f>
        <v>0</v>
      </c>
      <c r="HJ367">
        <f>IF(HE367&lt;HF367,$A367,B_MAX+1)</f>
        <v>284</v>
      </c>
      <c r="HK367" s="13">
        <f>IF(HB367=1,$HB$35,$HB$36)</f>
        <v>0</v>
      </c>
      <c r="HL367" s="13">
        <f>OCC_DAYS*$HB$41*R_NF_2023-HD367*MCD_SHARE_FREED*R_WAIT_2023</f>
        <v>151980.48282209205</v>
      </c>
      <c r="HM367">
        <f>IF($A367&lt;=$HB$45,1,0)</f>
        <v>0</v>
      </c>
      <c r="IB367">
        <f>IF($IB$31&lt;=$IB$32,IF($A367&lt;=$IB$7,1,2),IF($A367&lt;=RUNG_BEDS_2,2,1))</f>
        <v>1</v>
      </c>
      <c r="IC367" s="5">
        <f>MIN(1,MAX(0,$IB$26-($A367-1)))</f>
        <v>0</v>
      </c>
      <c r="ID367" s="5">
        <f>$IB$25*(IC367+(1-IC367)*$IB$16)</f>
        <v>0.0</v>
      </c>
      <c r="IE367" s="13">
        <f>ID367*($IB$6+ACUTE_MARGIN)</f>
        <v>0.0</v>
      </c>
      <c r="IF367" s="13">
        <f>IF(IB367=1,$IB$31,$IB$32)</f>
        <v>152734.9994534971</v>
      </c>
      <c r="IG367" s="13">
        <f>IE367-IF367</f>
        <v>-152734.9994534971</v>
      </c>
      <c r="IH367" s="13">
        <f>IH366+IG367</f>
        <v>-5147769.216520933</v>
      </c>
      <c r="II367">
        <f>IF(IH367=MAX($IH$83:$IH$483),$A367,0)</f>
        <v>0</v>
      </c>
      <c r="IJ367">
        <f>IF(IE367&lt;IF367,$A367,B_MAX+1)</f>
        <v>284</v>
      </c>
      <c r="IK367" s="13">
        <f>IF(IB367=1,$IB$35,$IB$36)</f>
        <v>0</v>
      </c>
      <c r="IL367" s="13">
        <f>OCC_DAYS*$IB$41*R_NF_2023-ID367*MCD_SHARE_FREED*R_WAIT_2023</f>
        <v>151980.48282209205</v>
      </c>
      <c r="IM367">
        <f>IF($A367&lt;=$IB$45,1,0)</f>
        <v>0</v>
      </c>
      <c r="JB367">
        <f>IF($JB$31&lt;=$JB$32,IF($A367&lt;=$JB$7,1,2),IF($A367&lt;=RUNG_BEDS_2,2,1))</f>
        <v>1</v>
      </c>
      <c r="JC367" s="5">
        <f>MIN(1,MAX(0,$JB$26-($A367-1)))</f>
        <v>0</v>
      </c>
      <c r="JD367" s="5">
        <f>$JB$25*(JC367+(1-JC367)*$JB$16)</f>
        <v>0.0</v>
      </c>
      <c r="JE367" s="13">
        <f>JD367*($JB$6+ACUTE_MARGIN)</f>
        <v>0.0</v>
      </c>
      <c r="JF367" s="13">
        <f>IF(JB367=1,$JB$31,$JB$32)</f>
        <v>152394.16214437486</v>
      </c>
      <c r="JG367" s="13">
        <f>JE367-JF367</f>
        <v>-152394.16214437486</v>
      </c>
      <c r="JH367" s="13">
        <f>JH366+JG367</f>
        <v>-5050971.420730127</v>
      </c>
      <c r="JI367">
        <f>IF(JH367=MAX($JH$83:$JH$483),$A367,0)</f>
        <v>0</v>
      </c>
      <c r="JJ367">
        <f>IF(JE367&lt;JF367,$A367,B_MAX+1)</f>
        <v>284</v>
      </c>
      <c r="JK367" s="13">
        <f>IF(JB367=1,$JB$35,$JB$36)</f>
        <v>0</v>
      </c>
      <c r="JL367" s="13">
        <f>OCC_DAYS*$JB$41*R_NF_2023-JD367*MCD_SHARE_FREED*R_WAIT_2023</f>
        <v>151980.48282209205</v>
      </c>
      <c r="JM367">
        <f>IF($A367&lt;=$JB$45,1,0)</f>
        <v>0</v>
      </c>
      <c r="KB367">
        <f>IF($KB$31&lt;=$KB$32,IF($A367&lt;=$KB$7,1,2),IF($A367&lt;=RUNG_BEDS_2,2,1))</f>
        <v>1</v>
      </c>
      <c r="KC367" s="5">
        <f>MIN(1,MAX(0,$KB$26-($A367-1)))</f>
        <v>1</v>
      </c>
      <c r="KD367" s="5">
        <f>$KB$25*(KC367+(1-KC367)*$KB$16)</f>
        <v>126.02661357340719</v>
      </c>
      <c r="KE367" s="13">
        <f>KD367*($KB$6+ACUTE_MARGIN)</f>
        <v>127286.87970914126</v>
      </c>
      <c r="KF367" s="13">
        <f>IF(KB367=1,$KB$31,$KB$32)</f>
        <v>152394.16214437486</v>
      </c>
      <c r="KG367" s="13">
        <f>KE367-KF367</f>
        <v>-25107.282435233603</v>
      </c>
      <c r="KH367" s="13">
        <f>KH366+KG367</f>
        <v>-7130468.2116063675</v>
      </c>
      <c r="KI367">
        <f>IF(KH367=MAX($KH$83:$KH$483),$A367,0)</f>
        <v>0</v>
      </c>
      <c r="KJ367">
        <f>IF(KE367&lt;KF367,$A367,B_MAX+1)</f>
        <v>284</v>
      </c>
      <c r="KK367" s="13">
        <f>IF(KB367=1,$KB$35,$KB$36)</f>
        <v>0</v>
      </c>
      <c r="KL367" s="13">
        <f>OCC_DAYS*$KB$41*R_NF_2023-KD367*MCD_SHARE_FREED*R_WAIT_2023</f>
        <v>94673.82103225985</v>
      </c>
      <c r="KM367">
        <f>IF($A367&lt;=$KB$45,1,0)</f>
        <v>0</v>
      </c>
      <c r="LB367">
        <f>IF($LB$31&lt;=$LB$32,IF($A367&lt;=$LB$7,1,2),IF($A367&lt;=RUNG_BEDS_2,2,1))</f>
        <v>1</v>
      </c>
      <c r="LC367" s="5">
        <f>MIN(1,MAX(0,$LB$26-($A367-1)))</f>
        <v>1</v>
      </c>
      <c r="LD367" s="5">
        <f>$LB$25*(LC367+(1-LC367)*$LB$16)</f>
        <v>84.01774238227146</v>
      </c>
      <c r="LE367" s="13">
        <f>LD367*($LB$6+ACUTE_MARGIN)</f>
        <v>84857.91980609419</v>
      </c>
      <c r="LF367" s="13">
        <f>IF(LB367=1,$LB$31,$LB$32)</f>
        <v>152394.16214437486</v>
      </c>
      <c r="LG367" s="13">
        <f>LE367-LF367</f>
        <v>-67536.24233828067</v>
      </c>
      <c r="LH367" s="13">
        <f>LH366+LG367</f>
        <v>-19180292.82407181</v>
      </c>
      <c r="LI367">
        <f>IF(LH367=MAX($LH$83:$LH$483),$A367,0)</f>
        <v>0</v>
      </c>
      <c r="LJ367">
        <f>IF(LE367&lt;LF367,$A367,B_MAX+1)</f>
        <v>284</v>
      </c>
      <c r="LK367" s="13">
        <f>IF(LB367=1,$LB$35,$LB$36)</f>
        <v>0</v>
      </c>
      <c r="LL367" s="13">
        <f>OCC_DAYS*$LB$41*R_NF_2023-LD367*MCD_SHARE_FREED*R_WAIT_2023</f>
        <v>113776.04162887059</v>
      </c>
      <c r="LM367">
        <f>IF($A367&lt;=$LB$45,1,0)</f>
        <v>0</v>
      </c>
      <c r="MB367">
        <f>IF($MB$31&lt;=$MB$32,IF($A367&lt;=$MB$7,1,2),IF($A367&lt;=RUNG_BEDS_2,2,1))</f>
        <v>1</v>
      </c>
      <c r="MC367" s="5">
        <f>MIN(1,MAX(0,$MB$26-($A367-1)))</f>
        <v>0</v>
      </c>
      <c r="MD367" s="5">
        <f>$MB$25*(MC367+(1-MC367)*$MB$16)</f>
        <v>0.0</v>
      </c>
      <c r="ME367" s="13">
        <f>MD367*($MB$6+ACUTE_MARGIN)</f>
        <v>0.0</v>
      </c>
      <c r="MF367" s="13">
        <f>IF(MB367=1,$MB$31,$MB$32)</f>
        <v>152394.16214437486</v>
      </c>
      <c r="MG367" s="13">
        <f>ME367-MF367</f>
        <v>-152394.16214437486</v>
      </c>
      <c r="MH367" s="13">
        <f>MH366+MG367</f>
        <v>-10938247.482528448</v>
      </c>
      <c r="MI367">
        <f>IF(MH367=MAX($MH$83:$MH$483),$A367,0)</f>
        <v>0</v>
      </c>
      <c r="MJ367">
        <f>IF(ME367&lt;MF367,$A367,B_MAX+1)</f>
        <v>284</v>
      </c>
      <c r="MK367" s="13">
        <f>IF(MB367=1,$MB$35,$MB$36)</f>
        <v>0</v>
      </c>
      <c r="ML367" s="13">
        <f>OCC_DAYS*$MB$41*R_NF_2023-MD367*MCD_SHARE_FREED*R_WAIT_2023</f>
        <v>151980.48282209205</v>
      </c>
      <c r="MM367">
        <f>IF($A367&lt;=$MB$45,1,0)</f>
        <v>0</v>
      </c>
      <c r="NB367">
        <f>IF($NB$31&lt;=$NB$32,IF($A367&lt;=$NB$7,1,2),IF($A367&lt;=RUNG_BEDS_2,2,1))</f>
        <v>1</v>
      </c>
      <c r="NC367" s="5">
        <f>MIN(1,MAX(0,$NB$26-($A367-1)))</f>
        <v>0</v>
      </c>
      <c r="ND367" s="5">
        <f>$NB$25*(NC367+(1-NC367)*$NB$16)</f>
        <v>63.013306786703595</v>
      </c>
      <c r="NE367" s="13">
        <f>ND367*($NB$6+ACUTE_MARGIN)</f>
        <v>63643.43985457063</v>
      </c>
      <c r="NF367" s="13">
        <f>IF(NB367=1,$NB$31,$NB$32)</f>
        <v>152394.16214437486</v>
      </c>
      <c r="NG367" s="13">
        <f>NE367-NF367</f>
        <v>-88750.72228980422</v>
      </c>
      <c r="NH367" s="13">
        <f>NH366+NG367</f>
        <v>3466522.840899825</v>
      </c>
      <c r="NI367">
        <f>IF(NH367=MAX($NH$83:$NH$483),$A367,0)</f>
        <v>0</v>
      </c>
      <c r="NJ367">
        <f>IF(NE367&lt;NF367,$A367,B_MAX+1)</f>
        <v>284</v>
      </c>
      <c r="NK367" s="13">
        <f>IF(NB367=1,$NB$35,$NB$36)</f>
        <v>0</v>
      </c>
      <c r="NL367" s="13">
        <f>OCC_DAYS*$NB$41*R_NF_2023-ND367*MCD_SHARE_FREED*R_WAIT_2023</f>
        <v>123327.15192717595</v>
      </c>
      <c r="NM367">
        <f>IF($A367&lt;=$NB$45,1,0)</f>
        <v>0</v>
      </c>
      <c r="OB367">
        <f>IF($OB$31&lt;=$OB$32,IF($A367&lt;=$OB$7,1,2),IF($A367&lt;=RUNG_BEDS_2,2,1))</f>
        <v>1</v>
      </c>
      <c r="OC367" s="5">
        <f>MIN(1,MAX(0,$OB$26-($A367-1)))</f>
        <v>0</v>
      </c>
      <c r="OD367" s="5">
        <f>$OB$25*(OC367+(1-OC367)*$OB$16)</f>
        <v>126.02661357340719</v>
      </c>
      <c r="OE367" s="13">
        <f>OD367*($OB$6+ACUTE_MARGIN)</f>
        <v>127286.87970914126</v>
      </c>
      <c r="OF367" s="13">
        <f>IF(OB367=1,$OB$31,$OB$32)</f>
        <v>152394.16214437486</v>
      </c>
      <c r="OG367" s="13">
        <f>OE367-OF367</f>
        <v>-25107.282435233603</v>
      </c>
      <c r="OH367" s="13">
        <f>OH366+OG367</f>
        <v>11984017.10252995</v>
      </c>
      <c r="OI367">
        <f>IF(OH367=MAX($OH$83:$OH$483),$A367,0)</f>
        <v>0</v>
      </c>
      <c r="OJ367">
        <f>IF(OE367&lt;OF367,$A367,B_MAX+1)</f>
        <v>284</v>
      </c>
      <c r="OK367" s="13">
        <f>IF(OB367=1,$OB$35,$OB$36)</f>
        <v>0</v>
      </c>
      <c r="OL367" s="13">
        <f>OCC_DAYS*$OB$41*R_NF_2023-OD367*MCD_SHARE_FREED*R_WAIT_2023</f>
        <v>94673.82103225985</v>
      </c>
      <c r="OM367">
        <f>IF($A367&lt;=$OB$45,1,0)</f>
        <v>0</v>
      </c>
    </row>
    <row r="368">
      <c r="A368" t="n">
        <v>285</v>
      </c>
      <c r="B368">
        <f>IF($B$31&lt;=$B$32,IF($A368&lt;=$B$7,1,2),IF($A368&lt;=RUNG_BEDS_2,2,1))</f>
        <v>1</v>
      </c>
      <c r="C368" s="5">
        <f>MIN(1,MAX(0,$B$26-($A368-1)))</f>
        <v>0</v>
      </c>
      <c r="D368" s="5">
        <f>$B$25*(C368+(1-C368)*$B$16)</f>
        <v>0.0</v>
      </c>
      <c r="E368" s="13">
        <f>D368*($B$6+ACUTE_MARGIN)</f>
        <v>0.0</v>
      </c>
      <c r="F368" s="13">
        <f>IF(B368=1,$B$31,$B$32)</f>
        <v>152394.16214437486</v>
      </c>
      <c r="G368" s="13">
        <f>E368-F368</f>
        <v>-152394.16214437486</v>
      </c>
      <c r="H368" s="13">
        <f>H367+G368</f>
        <v>-5203365.582874502</v>
      </c>
      <c r="I368">
        <f>IF(H368=MAX($H$83:$H$483),$A368,0)</f>
        <v>0</v>
      </c>
      <c r="J368">
        <f>IF(E368&lt;F368,$A368,B_MAX+1)</f>
        <v>285</v>
      </c>
      <c r="K368" s="13">
        <f>IF(B368=1,$B$35,$B$36)</f>
        <v>0</v>
      </c>
      <c r="L368" s="13">
        <f>OCC_DAYS*$B$41*R_NF_2023-D368*MCD_SHARE_FREED*R_WAIT_2023</f>
        <v>151980.48282209205</v>
      </c>
      <c r="M368">
        <f>IF($A368&lt;=$B$45,1,0)</f>
        <v>0</v>
      </c>
      <c r="AB368">
        <f>IF($AB$31&lt;=$AB$32,IF($A368&lt;=$AB$7,1,2),IF($A368&lt;=RUNG_BEDS_2,2,1))</f>
        <v>1</v>
      </c>
      <c r="AC368" s="5">
        <f>MIN(1,MAX(0,$AB$26-($A368-1)))</f>
        <v>0</v>
      </c>
      <c r="AD368" s="5">
        <f>$AB$25*(AC368+(1-AC368)*$AB$16)</f>
        <v>0.0</v>
      </c>
      <c r="AE368" s="13">
        <f>AD368*($AB$6+ACUTE_MARGIN)</f>
        <v>0.0</v>
      </c>
      <c r="AF368" s="13">
        <f>IF(AB368=1,$AB$31,$AB$32)</f>
        <v>152394.16214437486</v>
      </c>
      <c r="AG368" s="13">
        <f>AE368-AF368</f>
        <v>-152394.16214437486</v>
      </c>
      <c r="AH368" s="13">
        <f>AH367+AG368</f>
        <v>-22614579.928424258</v>
      </c>
      <c r="AI368">
        <f>IF(AH368=MAX($AH$83:$AH$483),$A368,0)</f>
        <v>0</v>
      </c>
      <c r="AJ368">
        <f>IF(AE368&lt;AF368,$A368,B_MAX+1)</f>
        <v>285</v>
      </c>
      <c r="AK368" s="13">
        <f>IF(AB368=1,$AB$35,$AB$36)</f>
        <v>0</v>
      </c>
      <c r="AL368" s="13">
        <f>OCC_DAYS*$AB$41*R_NF_2023-AD368*MCD_SHARE_FREED*R_WAIT_2023</f>
        <v>151980.48282209205</v>
      </c>
      <c r="AM368">
        <f>IF($A368&lt;=$AB$45,1,0)</f>
        <v>0</v>
      </c>
      <c r="BB368">
        <f>IF($BB$31&lt;=$BB$32,IF($A368&lt;=$BB$7,1,2),IF($A368&lt;=RUNG_BEDS_2,2,1))</f>
        <v>1</v>
      </c>
      <c r="BC368" s="5">
        <f>MIN(1,MAX(0,$BB$26-($A368-1)))</f>
        <v>0</v>
      </c>
      <c r="BD368" s="5">
        <f>$BB$25*(BC368+(1-BC368)*$BB$16)</f>
        <v>0.0</v>
      </c>
      <c r="BE368" s="13">
        <f>BD368*($BB$6+ACUTE_MARGIN)</f>
        <v>0.0</v>
      </c>
      <c r="BF368" s="13">
        <f>IF(BB368=1,$BB$31,$BB$32)</f>
        <v>152394.16214437486</v>
      </c>
      <c r="BG368" s="13">
        <f>BE368-BF368</f>
        <v>-152394.16214437486</v>
      </c>
      <c r="BH368" s="13">
        <f>BH367+BG368</f>
        <v>12207848.762675237</v>
      </c>
      <c r="BI368">
        <f>IF(BH368=MAX($BH$83:$BH$483),$A368,0)</f>
        <v>0</v>
      </c>
      <c r="BJ368">
        <f>IF(BE368&lt;BF368,$A368,B_MAX+1)</f>
        <v>285</v>
      </c>
      <c r="BK368" s="13">
        <f>IF(BB368=1,$BB$35,$BB$36)</f>
        <v>0</v>
      </c>
      <c r="BL368" s="13">
        <f>OCC_DAYS*$BB$41*R_NF_2023-BD368*MCD_SHARE_FREED*R_WAIT_2023</f>
        <v>151980.48282209205</v>
      </c>
      <c r="BM368">
        <f>IF($A368&lt;=$BB$45,1,0)</f>
        <v>0</v>
      </c>
      <c r="CB368">
        <f>IF($CB$31&lt;=$CB$32,IF($A368&lt;=$CB$7,1,2),IF($A368&lt;=RUNG_BEDS_2,2,1))</f>
        <v>2</v>
      </c>
      <c r="CC368" s="5">
        <f>MIN(1,MAX(0,$CB$26-($A368-1)))</f>
        <v>0</v>
      </c>
      <c r="CD368" s="5">
        <f>$CB$25*(CC368+(1-CC368)*$CB$16)</f>
        <v>0.0</v>
      </c>
      <c r="CE368" s="13">
        <f>CD368*($CB$6+ACUTE_MARGIN)</f>
        <v>0.0</v>
      </c>
      <c r="CF368" s="13">
        <f>IF(CB368=1,$CB$31,$CB$32)</f>
        <v>160718.36940738867</v>
      </c>
      <c r="CG368" s="13">
        <f>CE368-CF368</f>
        <v>-160718.36940738867</v>
      </c>
      <c r="CH368" s="13">
        <f>CH367+CG368</f>
        <v>-7575764.652833546</v>
      </c>
      <c r="CI368">
        <f>IF(CH368=MAX($CH$83:$CH$483),$A368,0)</f>
        <v>0</v>
      </c>
      <c r="CJ368">
        <f>IF(CE368&lt;CF368,$A368,B_MAX+1)</f>
        <v>285</v>
      </c>
      <c r="CK368" s="13">
        <f>IF(CB368=1,$CB$35,$CB$36)</f>
        <v>1560.1194073886782</v>
      </c>
      <c r="CL368" s="13">
        <f>OCC_DAYS*$CB$41*R_NF_2023-CD368*MCD_SHARE_FREED*R_WAIT_2023</f>
        <v>151980.48282209205</v>
      </c>
      <c r="CM368">
        <f>IF($A368&lt;=$CB$45,1,0)</f>
        <v>0</v>
      </c>
      <c r="DB368">
        <f>IF($DB$31&lt;=$DB$32,IF($A368&lt;=$DB$7,1,2),IF($A368&lt;=RUNG_BEDS_2,2,1))</f>
        <v>1</v>
      </c>
      <c r="DC368" s="5">
        <f>MIN(1,MAX(0,$DB$26-($A368-1)))</f>
        <v>0</v>
      </c>
      <c r="DD368" s="5">
        <f>$DB$25*(DC368+(1-DC368)*$DB$16)</f>
        <v>0.0</v>
      </c>
      <c r="DE368" s="13">
        <f>DD368*($DB$6+ACUTE_MARGIN)</f>
        <v>0.0</v>
      </c>
      <c r="DF368" s="13">
        <f>IF(DB368=1,$DB$31,$DB$32)</f>
        <v>152394.16214437486</v>
      </c>
      <c r="DG368" s="13">
        <f>DE368-DF368</f>
        <v>-152394.16214437486</v>
      </c>
      <c r="DH368" s="13">
        <f>DH367+DG368</f>
        <v>-5203365.582874502</v>
      </c>
      <c r="DI368">
        <f>IF(DH368=MAX($DH$83:$DH$483),$A368,0)</f>
        <v>0</v>
      </c>
      <c r="DJ368">
        <f>IF(DE368&lt;DF368,$A368,B_MAX+1)</f>
        <v>285</v>
      </c>
      <c r="DK368" s="13">
        <f>IF(DB368=1,$DB$35,$DB$36)</f>
        <v>0</v>
      </c>
      <c r="DL368" s="13">
        <f>OCC_DAYS*$DB$41*R_NF_2023-DD368*MCD_SHARE_FREED*R_WAIT_2023</f>
        <v>151980.48282209205</v>
      </c>
      <c r="DM368">
        <f>IF($A368&lt;=$DB$45,1,0)</f>
        <v>0</v>
      </c>
      <c r="EB368">
        <f>IF($EB$31&lt;=$EB$32,IF($A368&lt;=$EB$7,1,2),IF($A368&lt;=RUNG_BEDS_2,2,1))</f>
        <v>1</v>
      </c>
      <c r="EC368" s="5">
        <f>MIN(1,MAX(0,$EB$26-($A368-1)))</f>
        <v>0</v>
      </c>
      <c r="ED368" s="5">
        <f>$EB$25*(EC368+(1-EC368)*$EB$16)</f>
        <v>0.0</v>
      </c>
      <c r="EE368" s="13">
        <f>ED368*($EB$6+ACUTE_MARGIN)</f>
        <v>0.0</v>
      </c>
      <c r="EF368" s="13">
        <f>IF(EB368=1,$EB$31,$EB$32)</f>
        <v>152394.16214437486</v>
      </c>
      <c r="EG368" s="13">
        <f>EE368-EF368</f>
        <v>-152394.16214437486</v>
      </c>
      <c r="EH368" s="13">
        <f>EH367+EG368</f>
        <v>-5203365.582874502</v>
      </c>
      <c r="EI368">
        <f>IF(EH368=MAX($EH$83:$EH$483),$A368,0)</f>
        <v>0</v>
      </c>
      <c r="EJ368">
        <f>IF(EE368&lt;EF368,$A368,B_MAX+1)</f>
        <v>285</v>
      </c>
      <c r="EK368" s="13">
        <f>IF(EB368=1,$EB$35,$EB$36)</f>
        <v>0</v>
      </c>
      <c r="EL368" s="13">
        <f>OCC_DAYS*$EB$41*R_NF_2023-ED368*MCD_SHARE_FREED*R_WAIT_2023</f>
        <v>50660.16094069735</v>
      </c>
      <c r="EM368">
        <f>IF($A368&lt;=$EB$45,1,0)</f>
        <v>0</v>
      </c>
      <c r="FB368">
        <f>IF($FB$31&lt;=$FB$32,IF($A368&lt;=$FB$7,1,2),IF($A368&lt;=RUNG_BEDS_2,2,1))</f>
        <v>1</v>
      </c>
      <c r="FC368" s="5">
        <f>MIN(1,MAX(0,$FB$26-($A368-1)))</f>
        <v>0</v>
      </c>
      <c r="FD368" s="5">
        <f>$FB$25*(FC368+(1-FC368)*$FB$16)</f>
        <v>0.0</v>
      </c>
      <c r="FE368" s="13">
        <f>FD368*($FB$6+ACUTE_MARGIN)</f>
        <v>0.0</v>
      </c>
      <c r="FF368" s="13">
        <f>IF(FB368=1,$FB$31,$FB$32)</f>
        <v>156636.04979437485</v>
      </c>
      <c r="FG368" s="13">
        <f>FE368-FF368</f>
        <v>-156636.04979437485</v>
      </c>
      <c r="FH368" s="13">
        <f>FH367+FG368</f>
        <v>-6412303.563124617</v>
      </c>
      <c r="FI368">
        <f>IF(FH368=MAX($FH$83:$FH$483),$A368,0)</f>
        <v>0</v>
      </c>
      <c r="FJ368">
        <f>IF(FE368&lt;FF368,$A368,B_MAX+1)</f>
        <v>285</v>
      </c>
      <c r="FK368" s="13">
        <f>IF(FB368=1,$FB$35,$FB$36)</f>
        <v>0</v>
      </c>
      <c r="FL368" s="13">
        <f>OCC_DAYS*$FB$41*R_NF_2023-FD368*MCD_SHARE_FREED*R_WAIT_2023</f>
        <v>151980.48282209205</v>
      </c>
      <c r="FM368">
        <f>IF($A368&lt;=$FB$45,1,0)</f>
        <v>0</v>
      </c>
      <c r="GB368">
        <f>IF($GB$31&lt;=$GB$32,IF($A368&lt;=$GB$7,1,2),IF($A368&lt;=RUNG_BEDS_2,2,1))</f>
        <v>1</v>
      </c>
      <c r="GC368" s="5">
        <f>MIN(1,MAX(0,$GB$26-($A368-1)))</f>
        <v>0</v>
      </c>
      <c r="GD368" s="5">
        <f>$GB$25*(GC368+(1-GC368)*$GB$16)</f>
        <v>0.0</v>
      </c>
      <c r="GE368" s="13">
        <f>GD368*($GB$6+ACUTE_MARGIN)</f>
        <v>0.0</v>
      </c>
      <c r="GF368" s="13">
        <f>IF(GB368=1,$GB$31,$GB$32)</f>
        <v>152394.16214437486</v>
      </c>
      <c r="GG368" s="13">
        <f>GE368-GF368</f>
        <v>-152394.16214437486</v>
      </c>
      <c r="GH368" s="13">
        <f>GH367+GG368</f>
        <v>-5203365.582874502</v>
      </c>
      <c r="GI368">
        <f>IF(GH368=MAX($GH$83:$GH$483),$A368,0)</f>
        <v>0</v>
      </c>
      <c r="GJ368">
        <f>IF(GE368&lt;GF368,$A368,B_MAX+1)</f>
        <v>285</v>
      </c>
      <c r="GK368" s="13">
        <f>IF(GB368=1,$GB$35,$GB$36)</f>
        <v>0</v>
      </c>
      <c r="GL368" s="13">
        <f>OCC_DAYS*$GB$41*R_NF_2023-GD368*MCD_SHARE_FREED*R_WAIT_2023</f>
        <v>151980.48282209205</v>
      </c>
      <c r="GM368">
        <f>IF($A368&lt;=$GB$45,1,0)</f>
        <v>0</v>
      </c>
      <c r="HB368">
        <f>IF($HB$31&lt;=$HB$32,IF($A368&lt;=$HB$7,1,2),IF($A368&lt;=RUNG_BEDS_2,2,1))</f>
        <v>1</v>
      </c>
      <c r="HC368" s="5">
        <f>MIN(1,MAX(0,$HB$26-($A368-1)))</f>
        <v>0</v>
      </c>
      <c r="HD368" s="5">
        <f>$HB$25*(HC368+(1-HC368)*$HB$16)</f>
        <v>0.0</v>
      </c>
      <c r="HE368" s="13">
        <f>HD368*($HB$6+ACUTE_MARGIN)</f>
        <v>0.0</v>
      </c>
      <c r="HF368" s="13">
        <f>IF(HB368=1,$HB$31,$HB$32)</f>
        <v>152456.2970814058</v>
      </c>
      <c r="HG368" s="13">
        <f>HE368-HF368</f>
        <v>-152456.2970814058</v>
      </c>
      <c r="HH368" s="13">
        <f>HH367+HG368</f>
        <v>-5221074.039928359</v>
      </c>
      <c r="HI368">
        <f>IF(HH368=MAX($HH$83:$HH$483),$A368,0)</f>
        <v>0</v>
      </c>
      <c r="HJ368">
        <f>IF(HE368&lt;HF368,$A368,B_MAX+1)</f>
        <v>285</v>
      </c>
      <c r="HK368" s="13">
        <f>IF(HB368=1,$HB$35,$HB$36)</f>
        <v>0</v>
      </c>
      <c r="HL368" s="13">
        <f>OCC_DAYS*$HB$41*R_NF_2023-HD368*MCD_SHARE_FREED*R_WAIT_2023</f>
        <v>151980.48282209205</v>
      </c>
      <c r="HM368">
        <f>IF($A368&lt;=$HB$45,1,0)</f>
        <v>0</v>
      </c>
      <c r="IB368">
        <f>IF($IB$31&lt;=$IB$32,IF($A368&lt;=$IB$7,1,2),IF($A368&lt;=RUNG_BEDS_2,2,1))</f>
        <v>1</v>
      </c>
      <c r="IC368" s="5">
        <f>MIN(1,MAX(0,$IB$26-($A368-1)))</f>
        <v>0</v>
      </c>
      <c r="ID368" s="5">
        <f>$IB$25*(IC368+(1-IC368)*$IB$16)</f>
        <v>0.0</v>
      </c>
      <c r="IE368" s="13">
        <f>ID368*($IB$6+ACUTE_MARGIN)</f>
        <v>0.0</v>
      </c>
      <c r="IF368" s="13">
        <f>IF(IB368=1,$IB$31,$IB$32)</f>
        <v>152734.9994534971</v>
      </c>
      <c r="IG368" s="13">
        <f>IE368-IF368</f>
        <v>-152734.9994534971</v>
      </c>
      <c r="IH368" s="13">
        <f>IH367+IG368</f>
        <v>-5300504.215974431</v>
      </c>
      <c r="II368">
        <f>IF(IH368=MAX($IH$83:$IH$483),$A368,0)</f>
        <v>0</v>
      </c>
      <c r="IJ368">
        <f>IF(IE368&lt;IF368,$A368,B_MAX+1)</f>
        <v>285</v>
      </c>
      <c r="IK368" s="13">
        <f>IF(IB368=1,$IB$35,$IB$36)</f>
        <v>0</v>
      </c>
      <c r="IL368" s="13">
        <f>OCC_DAYS*$IB$41*R_NF_2023-ID368*MCD_SHARE_FREED*R_WAIT_2023</f>
        <v>151980.48282209205</v>
      </c>
      <c r="IM368">
        <f>IF($A368&lt;=$IB$45,1,0)</f>
        <v>0</v>
      </c>
      <c r="JB368">
        <f>IF($JB$31&lt;=$JB$32,IF($A368&lt;=$JB$7,1,2),IF($A368&lt;=RUNG_BEDS_2,2,1))</f>
        <v>1</v>
      </c>
      <c r="JC368" s="5">
        <f>MIN(1,MAX(0,$JB$26-($A368-1)))</f>
        <v>0</v>
      </c>
      <c r="JD368" s="5">
        <f>$JB$25*(JC368+(1-JC368)*$JB$16)</f>
        <v>0.0</v>
      </c>
      <c r="JE368" s="13">
        <f>JD368*($JB$6+ACUTE_MARGIN)</f>
        <v>0.0</v>
      </c>
      <c r="JF368" s="13">
        <f>IF(JB368=1,$JB$31,$JB$32)</f>
        <v>152394.16214437486</v>
      </c>
      <c r="JG368" s="13">
        <f>JE368-JF368</f>
        <v>-152394.16214437486</v>
      </c>
      <c r="JH368" s="13">
        <f>JH367+JG368</f>
        <v>-5203365.582874502</v>
      </c>
      <c r="JI368">
        <f>IF(JH368=MAX($JH$83:$JH$483),$A368,0)</f>
        <v>0</v>
      </c>
      <c r="JJ368">
        <f>IF(JE368&lt;JF368,$A368,B_MAX+1)</f>
        <v>285</v>
      </c>
      <c r="JK368" s="13">
        <f>IF(JB368=1,$JB$35,$JB$36)</f>
        <v>0</v>
      </c>
      <c r="JL368" s="13">
        <f>OCC_DAYS*$JB$41*R_NF_2023-JD368*MCD_SHARE_FREED*R_WAIT_2023</f>
        <v>151980.48282209205</v>
      </c>
      <c r="JM368">
        <f>IF($A368&lt;=$JB$45,1,0)</f>
        <v>0</v>
      </c>
      <c r="KB368">
        <f>IF($KB$31&lt;=$KB$32,IF($A368&lt;=$KB$7,1,2),IF($A368&lt;=RUNG_BEDS_2,2,1))</f>
        <v>1</v>
      </c>
      <c r="KC368" s="5">
        <f>MIN(1,MAX(0,$KB$26-($A368-1)))</f>
        <v>1</v>
      </c>
      <c r="KD368" s="5">
        <f>$KB$25*(KC368+(1-KC368)*$KB$16)</f>
        <v>126.02661357340719</v>
      </c>
      <c r="KE368" s="13">
        <f>KD368*($KB$6+ACUTE_MARGIN)</f>
        <v>127286.87970914126</v>
      </c>
      <c r="KF368" s="13">
        <f>IF(KB368=1,$KB$31,$KB$32)</f>
        <v>152394.16214437486</v>
      </c>
      <c r="KG368" s="13">
        <f>KE368-KF368</f>
        <v>-25107.282435233603</v>
      </c>
      <c r="KH368" s="13">
        <f>KH367+KG368</f>
        <v>-7155575.494041601</v>
      </c>
      <c r="KI368">
        <f>IF(KH368=MAX($KH$83:$KH$483),$A368,0)</f>
        <v>0</v>
      </c>
      <c r="KJ368">
        <f>IF(KE368&lt;KF368,$A368,B_MAX+1)</f>
        <v>285</v>
      </c>
      <c r="KK368" s="13">
        <f>IF(KB368=1,$KB$35,$KB$36)</f>
        <v>0</v>
      </c>
      <c r="KL368" s="13">
        <f>OCC_DAYS*$KB$41*R_NF_2023-KD368*MCD_SHARE_FREED*R_WAIT_2023</f>
        <v>94673.82103225985</v>
      </c>
      <c r="KM368">
        <f>IF($A368&lt;=$KB$45,1,0)</f>
        <v>0</v>
      </c>
      <c r="LB368">
        <f>IF($LB$31&lt;=$LB$32,IF($A368&lt;=$LB$7,1,2),IF($A368&lt;=RUNG_BEDS_2,2,1))</f>
        <v>1</v>
      </c>
      <c r="LC368" s="5">
        <f>MIN(1,MAX(0,$LB$26-($A368-1)))</f>
        <v>1</v>
      </c>
      <c r="LD368" s="5">
        <f>$LB$25*(LC368+(1-LC368)*$LB$16)</f>
        <v>84.01774238227146</v>
      </c>
      <c r="LE368" s="13">
        <f>LD368*($LB$6+ACUTE_MARGIN)</f>
        <v>84857.91980609419</v>
      </c>
      <c r="LF368" s="13">
        <f>IF(LB368=1,$LB$31,$LB$32)</f>
        <v>152394.16214437486</v>
      </c>
      <c r="LG368" s="13">
        <f>LE368-LF368</f>
        <v>-67536.24233828067</v>
      </c>
      <c r="LH368" s="13">
        <f>LH367+LG368</f>
        <v>-19247829.06641009</v>
      </c>
      <c r="LI368">
        <f>IF(LH368=MAX($LH$83:$LH$483),$A368,0)</f>
        <v>0</v>
      </c>
      <c r="LJ368">
        <f>IF(LE368&lt;LF368,$A368,B_MAX+1)</f>
        <v>285</v>
      </c>
      <c r="LK368" s="13">
        <f>IF(LB368=1,$LB$35,$LB$36)</f>
        <v>0</v>
      </c>
      <c r="LL368" s="13">
        <f>OCC_DAYS*$LB$41*R_NF_2023-LD368*MCD_SHARE_FREED*R_WAIT_2023</f>
        <v>113776.04162887059</v>
      </c>
      <c r="LM368">
        <f>IF($A368&lt;=$LB$45,1,0)</f>
        <v>0</v>
      </c>
      <c r="MB368">
        <f>IF($MB$31&lt;=$MB$32,IF($A368&lt;=$MB$7,1,2),IF($A368&lt;=RUNG_BEDS_2,2,1))</f>
        <v>1</v>
      </c>
      <c r="MC368" s="5">
        <f>MIN(1,MAX(0,$MB$26-($A368-1)))</f>
        <v>0</v>
      </c>
      <c r="MD368" s="5">
        <f>$MB$25*(MC368+(1-MC368)*$MB$16)</f>
        <v>0.0</v>
      </c>
      <c r="ME368" s="13">
        <f>MD368*($MB$6+ACUTE_MARGIN)</f>
        <v>0.0</v>
      </c>
      <c r="MF368" s="13">
        <f>IF(MB368=1,$MB$31,$MB$32)</f>
        <v>152394.16214437486</v>
      </c>
      <c r="MG368" s="13">
        <f>ME368-MF368</f>
        <v>-152394.16214437486</v>
      </c>
      <c r="MH368" s="13">
        <f>MH367+MG368</f>
        <v>-11090641.644672822</v>
      </c>
      <c r="MI368">
        <f>IF(MH368=MAX($MH$83:$MH$483),$A368,0)</f>
        <v>0</v>
      </c>
      <c r="MJ368">
        <f>IF(ME368&lt;MF368,$A368,B_MAX+1)</f>
        <v>285</v>
      </c>
      <c r="MK368" s="13">
        <f>IF(MB368=1,$MB$35,$MB$36)</f>
        <v>0</v>
      </c>
      <c r="ML368" s="13">
        <f>OCC_DAYS*$MB$41*R_NF_2023-MD368*MCD_SHARE_FREED*R_WAIT_2023</f>
        <v>151980.48282209205</v>
      </c>
      <c r="MM368">
        <f>IF($A368&lt;=$MB$45,1,0)</f>
        <v>0</v>
      </c>
      <c r="NB368">
        <f>IF($NB$31&lt;=$NB$32,IF($A368&lt;=$NB$7,1,2),IF($A368&lt;=RUNG_BEDS_2,2,1))</f>
        <v>1</v>
      </c>
      <c r="NC368" s="5">
        <f>MIN(1,MAX(0,$NB$26-($A368-1)))</f>
        <v>0</v>
      </c>
      <c r="ND368" s="5">
        <f>$NB$25*(NC368+(1-NC368)*$NB$16)</f>
        <v>63.013306786703595</v>
      </c>
      <c r="NE368" s="13">
        <f>ND368*($NB$6+ACUTE_MARGIN)</f>
        <v>63643.43985457063</v>
      </c>
      <c r="NF368" s="13">
        <f>IF(NB368=1,$NB$31,$NB$32)</f>
        <v>152394.16214437486</v>
      </c>
      <c r="NG368" s="13">
        <f>NE368-NF368</f>
        <v>-88750.72228980422</v>
      </c>
      <c r="NH368" s="13">
        <f>NH367+NG368</f>
        <v>3377772.1186100207</v>
      </c>
      <c r="NI368">
        <f>IF(NH368=MAX($NH$83:$NH$483),$A368,0)</f>
        <v>0</v>
      </c>
      <c r="NJ368">
        <f>IF(NE368&lt;NF368,$A368,B_MAX+1)</f>
        <v>285</v>
      </c>
      <c r="NK368" s="13">
        <f>IF(NB368=1,$NB$35,$NB$36)</f>
        <v>0</v>
      </c>
      <c r="NL368" s="13">
        <f>OCC_DAYS*$NB$41*R_NF_2023-ND368*MCD_SHARE_FREED*R_WAIT_2023</f>
        <v>123327.15192717595</v>
      </c>
      <c r="NM368">
        <f>IF($A368&lt;=$NB$45,1,0)</f>
        <v>0</v>
      </c>
      <c r="OB368">
        <f>IF($OB$31&lt;=$OB$32,IF($A368&lt;=$OB$7,1,2),IF($A368&lt;=RUNG_BEDS_2,2,1))</f>
        <v>1</v>
      </c>
      <c r="OC368" s="5">
        <f>MIN(1,MAX(0,$OB$26-($A368-1)))</f>
        <v>0</v>
      </c>
      <c r="OD368" s="5">
        <f>$OB$25*(OC368+(1-OC368)*$OB$16)</f>
        <v>126.02661357340719</v>
      </c>
      <c r="OE368" s="13">
        <f>OD368*($OB$6+ACUTE_MARGIN)</f>
        <v>127286.87970914126</v>
      </c>
      <c r="OF368" s="13">
        <f>IF(OB368=1,$OB$31,$OB$32)</f>
        <v>152394.16214437486</v>
      </c>
      <c r="OG368" s="13">
        <f>OE368-OF368</f>
        <v>-25107.282435233603</v>
      </c>
      <c r="OH368" s="13">
        <f>OH367+OG368</f>
        <v>11958909.820094718</v>
      </c>
      <c r="OI368">
        <f>IF(OH368=MAX($OH$83:$OH$483),$A368,0)</f>
        <v>0</v>
      </c>
      <c r="OJ368">
        <f>IF(OE368&lt;OF368,$A368,B_MAX+1)</f>
        <v>285</v>
      </c>
      <c r="OK368" s="13">
        <f>IF(OB368=1,$OB$35,$OB$36)</f>
        <v>0</v>
      </c>
      <c r="OL368" s="13">
        <f>OCC_DAYS*$OB$41*R_NF_2023-OD368*MCD_SHARE_FREED*R_WAIT_2023</f>
        <v>94673.82103225985</v>
      </c>
      <c r="OM368">
        <f>IF($A368&lt;=$OB$45,1,0)</f>
        <v>0</v>
      </c>
    </row>
    <row r="369">
      <c r="A369" t="n">
        <v>286</v>
      </c>
      <c r="B369">
        <f>IF($B$31&lt;=$B$32,IF($A369&lt;=$B$7,1,2),IF($A369&lt;=RUNG_BEDS_2,2,1))</f>
        <v>1</v>
      </c>
      <c r="C369" s="5">
        <f>MIN(1,MAX(0,$B$26-($A369-1)))</f>
        <v>0</v>
      </c>
      <c r="D369" s="5">
        <f>$B$25*(C369+(1-C369)*$B$16)</f>
        <v>0.0</v>
      </c>
      <c r="E369" s="13">
        <f>D369*($B$6+ACUTE_MARGIN)</f>
        <v>0.0</v>
      </c>
      <c r="F369" s="13">
        <f>IF(B369=1,$B$31,$B$32)</f>
        <v>152394.16214437486</v>
      </c>
      <c r="G369" s="13">
        <f>E369-F369</f>
        <v>-152394.16214437486</v>
      </c>
      <c r="H369" s="13">
        <f>H368+G369</f>
        <v>-5355759.745018877</v>
      </c>
      <c r="I369">
        <f>IF(H369=MAX($H$83:$H$483),$A369,0)</f>
        <v>0</v>
      </c>
      <c r="J369">
        <f>IF(E369&lt;F369,$A369,B_MAX+1)</f>
        <v>286</v>
      </c>
      <c r="K369" s="13">
        <f>IF(B369=1,$B$35,$B$36)</f>
        <v>0</v>
      </c>
      <c r="L369" s="13">
        <f>OCC_DAYS*$B$41*R_NF_2023-D369*MCD_SHARE_FREED*R_WAIT_2023</f>
        <v>151980.48282209205</v>
      </c>
      <c r="M369">
        <f>IF($A369&lt;=$B$45,1,0)</f>
        <v>0</v>
      </c>
      <c r="AB369">
        <f>IF($AB$31&lt;=$AB$32,IF($A369&lt;=$AB$7,1,2),IF($A369&lt;=RUNG_BEDS_2,2,1))</f>
        <v>1</v>
      </c>
      <c r="AC369" s="5">
        <f>MIN(1,MAX(0,$AB$26-($A369-1)))</f>
        <v>0</v>
      </c>
      <c r="AD369" s="5">
        <f>$AB$25*(AC369+(1-AC369)*$AB$16)</f>
        <v>0.0</v>
      </c>
      <c r="AE369" s="13">
        <f>AD369*($AB$6+ACUTE_MARGIN)</f>
        <v>0.0</v>
      </c>
      <c r="AF369" s="13">
        <f>IF(AB369=1,$AB$31,$AB$32)</f>
        <v>152394.16214437486</v>
      </c>
      <c r="AG369" s="13">
        <f>AE369-AF369</f>
        <v>-152394.16214437486</v>
      </c>
      <c r="AH369" s="13">
        <f>AH368+AG369</f>
        <v>-22766974.090568632</v>
      </c>
      <c r="AI369">
        <f>IF(AH369=MAX($AH$83:$AH$483),$A369,0)</f>
        <v>0</v>
      </c>
      <c r="AJ369">
        <f>IF(AE369&lt;AF369,$A369,B_MAX+1)</f>
        <v>286</v>
      </c>
      <c r="AK369" s="13">
        <f>IF(AB369=1,$AB$35,$AB$36)</f>
        <v>0</v>
      </c>
      <c r="AL369" s="13">
        <f>OCC_DAYS*$AB$41*R_NF_2023-AD369*MCD_SHARE_FREED*R_WAIT_2023</f>
        <v>151980.48282209205</v>
      </c>
      <c r="AM369">
        <f>IF($A369&lt;=$AB$45,1,0)</f>
        <v>0</v>
      </c>
      <c r="BB369">
        <f>IF($BB$31&lt;=$BB$32,IF($A369&lt;=$BB$7,1,2),IF($A369&lt;=RUNG_BEDS_2,2,1))</f>
        <v>1</v>
      </c>
      <c r="BC369" s="5">
        <f>MIN(1,MAX(0,$BB$26-($A369-1)))</f>
        <v>0</v>
      </c>
      <c r="BD369" s="5">
        <f>$BB$25*(BC369+(1-BC369)*$BB$16)</f>
        <v>0.0</v>
      </c>
      <c r="BE369" s="13">
        <f>BD369*($BB$6+ACUTE_MARGIN)</f>
        <v>0.0</v>
      </c>
      <c r="BF369" s="13">
        <f>IF(BB369=1,$BB$31,$BB$32)</f>
        <v>152394.16214437486</v>
      </c>
      <c r="BG369" s="13">
        <f>BE369-BF369</f>
        <v>-152394.16214437486</v>
      </c>
      <c r="BH369" s="13">
        <f>BH368+BG369</f>
        <v>12055454.600530863</v>
      </c>
      <c r="BI369">
        <f>IF(BH369=MAX($BH$83:$BH$483),$A369,0)</f>
        <v>0</v>
      </c>
      <c r="BJ369">
        <f>IF(BE369&lt;BF369,$A369,B_MAX+1)</f>
        <v>286</v>
      </c>
      <c r="BK369" s="13">
        <f>IF(BB369=1,$BB$35,$BB$36)</f>
        <v>0</v>
      </c>
      <c r="BL369" s="13">
        <f>OCC_DAYS*$BB$41*R_NF_2023-BD369*MCD_SHARE_FREED*R_WAIT_2023</f>
        <v>151980.48282209205</v>
      </c>
      <c r="BM369">
        <f>IF($A369&lt;=$BB$45,1,0)</f>
        <v>0</v>
      </c>
      <c r="CB369">
        <f>IF($CB$31&lt;=$CB$32,IF($A369&lt;=$CB$7,1,2),IF($A369&lt;=RUNG_BEDS_2,2,1))</f>
        <v>2</v>
      </c>
      <c r="CC369" s="5">
        <f>MIN(1,MAX(0,$CB$26-($A369-1)))</f>
        <v>0</v>
      </c>
      <c r="CD369" s="5">
        <f>$CB$25*(CC369+(1-CC369)*$CB$16)</f>
        <v>0.0</v>
      </c>
      <c r="CE369" s="13">
        <f>CD369*($CB$6+ACUTE_MARGIN)</f>
        <v>0.0</v>
      </c>
      <c r="CF369" s="13">
        <f>IF(CB369=1,$CB$31,$CB$32)</f>
        <v>160718.36940738867</v>
      </c>
      <c r="CG369" s="13">
        <f>CE369-CF369</f>
        <v>-160718.36940738867</v>
      </c>
      <c r="CH369" s="13">
        <f>CH368+CG369</f>
        <v>-7736483.022240934</v>
      </c>
      <c r="CI369">
        <f>IF(CH369=MAX($CH$83:$CH$483),$A369,0)</f>
        <v>0</v>
      </c>
      <c r="CJ369">
        <f>IF(CE369&lt;CF369,$A369,B_MAX+1)</f>
        <v>286</v>
      </c>
      <c r="CK369" s="13">
        <f>IF(CB369=1,$CB$35,$CB$36)</f>
        <v>1560.1194073886782</v>
      </c>
      <c r="CL369" s="13">
        <f>OCC_DAYS*$CB$41*R_NF_2023-CD369*MCD_SHARE_FREED*R_WAIT_2023</f>
        <v>151980.48282209205</v>
      </c>
      <c r="CM369">
        <f>IF($A369&lt;=$CB$45,1,0)</f>
        <v>0</v>
      </c>
      <c r="DB369">
        <f>IF($DB$31&lt;=$DB$32,IF($A369&lt;=$DB$7,1,2),IF($A369&lt;=RUNG_BEDS_2,2,1))</f>
        <v>1</v>
      </c>
      <c r="DC369" s="5">
        <f>MIN(1,MAX(0,$DB$26-($A369-1)))</f>
        <v>0</v>
      </c>
      <c r="DD369" s="5">
        <f>$DB$25*(DC369+(1-DC369)*$DB$16)</f>
        <v>0.0</v>
      </c>
      <c r="DE369" s="13">
        <f>DD369*($DB$6+ACUTE_MARGIN)</f>
        <v>0.0</v>
      </c>
      <c r="DF369" s="13">
        <f>IF(DB369=1,$DB$31,$DB$32)</f>
        <v>152394.16214437486</v>
      </c>
      <c r="DG369" s="13">
        <f>DE369-DF369</f>
        <v>-152394.16214437486</v>
      </c>
      <c r="DH369" s="13">
        <f>DH368+DG369</f>
        <v>-5355759.745018877</v>
      </c>
      <c r="DI369">
        <f>IF(DH369=MAX($DH$83:$DH$483),$A369,0)</f>
        <v>0</v>
      </c>
      <c r="DJ369">
        <f>IF(DE369&lt;DF369,$A369,B_MAX+1)</f>
        <v>286</v>
      </c>
      <c r="DK369" s="13">
        <f>IF(DB369=1,$DB$35,$DB$36)</f>
        <v>0</v>
      </c>
      <c r="DL369" s="13">
        <f>OCC_DAYS*$DB$41*R_NF_2023-DD369*MCD_SHARE_FREED*R_WAIT_2023</f>
        <v>151980.48282209205</v>
      </c>
      <c r="DM369">
        <f>IF($A369&lt;=$DB$45,1,0)</f>
        <v>0</v>
      </c>
      <c r="EB369">
        <f>IF($EB$31&lt;=$EB$32,IF($A369&lt;=$EB$7,1,2),IF($A369&lt;=RUNG_BEDS_2,2,1))</f>
        <v>1</v>
      </c>
      <c r="EC369" s="5">
        <f>MIN(1,MAX(0,$EB$26-($A369-1)))</f>
        <v>0</v>
      </c>
      <c r="ED369" s="5">
        <f>$EB$25*(EC369+(1-EC369)*$EB$16)</f>
        <v>0.0</v>
      </c>
      <c r="EE369" s="13">
        <f>ED369*($EB$6+ACUTE_MARGIN)</f>
        <v>0.0</v>
      </c>
      <c r="EF369" s="13">
        <f>IF(EB369=1,$EB$31,$EB$32)</f>
        <v>152394.16214437486</v>
      </c>
      <c r="EG369" s="13">
        <f>EE369-EF369</f>
        <v>-152394.16214437486</v>
      </c>
      <c r="EH369" s="13">
        <f>EH368+EG369</f>
        <v>-5355759.745018877</v>
      </c>
      <c r="EI369">
        <f>IF(EH369=MAX($EH$83:$EH$483),$A369,0)</f>
        <v>0</v>
      </c>
      <c r="EJ369">
        <f>IF(EE369&lt;EF369,$A369,B_MAX+1)</f>
        <v>286</v>
      </c>
      <c r="EK369" s="13">
        <f>IF(EB369=1,$EB$35,$EB$36)</f>
        <v>0</v>
      </c>
      <c r="EL369" s="13">
        <f>OCC_DAYS*$EB$41*R_NF_2023-ED369*MCD_SHARE_FREED*R_WAIT_2023</f>
        <v>50660.16094069735</v>
      </c>
      <c r="EM369">
        <f>IF($A369&lt;=$EB$45,1,0)</f>
        <v>0</v>
      </c>
      <c r="FB369">
        <f>IF($FB$31&lt;=$FB$32,IF($A369&lt;=$FB$7,1,2),IF($A369&lt;=RUNG_BEDS_2,2,1))</f>
        <v>1</v>
      </c>
      <c r="FC369" s="5">
        <f>MIN(1,MAX(0,$FB$26-($A369-1)))</f>
        <v>0</v>
      </c>
      <c r="FD369" s="5">
        <f>$FB$25*(FC369+(1-FC369)*$FB$16)</f>
        <v>0.0</v>
      </c>
      <c r="FE369" s="13">
        <f>FD369*($FB$6+ACUTE_MARGIN)</f>
        <v>0.0</v>
      </c>
      <c r="FF369" s="13">
        <f>IF(FB369=1,$FB$31,$FB$32)</f>
        <v>156636.04979437485</v>
      </c>
      <c r="FG369" s="13">
        <f>FE369-FF369</f>
        <v>-156636.04979437485</v>
      </c>
      <c r="FH369" s="13">
        <f>FH368+FG369</f>
        <v>-6568939.612918992</v>
      </c>
      <c r="FI369">
        <f>IF(FH369=MAX($FH$83:$FH$483),$A369,0)</f>
        <v>0</v>
      </c>
      <c r="FJ369">
        <f>IF(FE369&lt;FF369,$A369,B_MAX+1)</f>
        <v>286</v>
      </c>
      <c r="FK369" s="13">
        <f>IF(FB369=1,$FB$35,$FB$36)</f>
        <v>0</v>
      </c>
      <c r="FL369" s="13">
        <f>OCC_DAYS*$FB$41*R_NF_2023-FD369*MCD_SHARE_FREED*R_WAIT_2023</f>
        <v>151980.48282209205</v>
      </c>
      <c r="FM369">
        <f>IF($A369&lt;=$FB$45,1,0)</f>
        <v>0</v>
      </c>
      <c r="GB369">
        <f>IF($GB$31&lt;=$GB$32,IF($A369&lt;=$GB$7,1,2),IF($A369&lt;=RUNG_BEDS_2,2,1))</f>
        <v>1</v>
      </c>
      <c r="GC369" s="5">
        <f>MIN(1,MAX(0,$GB$26-($A369-1)))</f>
        <v>0</v>
      </c>
      <c r="GD369" s="5">
        <f>$GB$25*(GC369+(1-GC369)*$GB$16)</f>
        <v>0.0</v>
      </c>
      <c r="GE369" s="13">
        <f>GD369*($GB$6+ACUTE_MARGIN)</f>
        <v>0.0</v>
      </c>
      <c r="GF369" s="13">
        <f>IF(GB369=1,$GB$31,$GB$32)</f>
        <v>152394.16214437486</v>
      </c>
      <c r="GG369" s="13">
        <f>GE369-GF369</f>
        <v>-152394.16214437486</v>
      </c>
      <c r="GH369" s="13">
        <f>GH368+GG369</f>
        <v>-5355759.745018877</v>
      </c>
      <c r="GI369">
        <f>IF(GH369=MAX($GH$83:$GH$483),$A369,0)</f>
        <v>0</v>
      </c>
      <c r="GJ369">
        <f>IF(GE369&lt;GF369,$A369,B_MAX+1)</f>
        <v>286</v>
      </c>
      <c r="GK369" s="13">
        <f>IF(GB369=1,$GB$35,$GB$36)</f>
        <v>0</v>
      </c>
      <c r="GL369" s="13">
        <f>OCC_DAYS*$GB$41*R_NF_2023-GD369*MCD_SHARE_FREED*R_WAIT_2023</f>
        <v>151980.48282209205</v>
      </c>
      <c r="GM369">
        <f>IF($A369&lt;=$GB$45,1,0)</f>
        <v>0</v>
      </c>
      <c r="HB369">
        <f>IF($HB$31&lt;=$HB$32,IF($A369&lt;=$HB$7,1,2),IF($A369&lt;=RUNG_BEDS_2,2,1))</f>
        <v>1</v>
      </c>
      <c r="HC369" s="5">
        <f>MIN(1,MAX(0,$HB$26-($A369-1)))</f>
        <v>0</v>
      </c>
      <c r="HD369" s="5">
        <f>$HB$25*(HC369+(1-HC369)*$HB$16)</f>
        <v>0.0</v>
      </c>
      <c r="HE369" s="13">
        <f>HD369*($HB$6+ACUTE_MARGIN)</f>
        <v>0.0</v>
      </c>
      <c r="HF369" s="13">
        <f>IF(HB369=1,$HB$31,$HB$32)</f>
        <v>152456.2970814058</v>
      </c>
      <c r="HG369" s="13">
        <f>HE369-HF369</f>
        <v>-152456.2970814058</v>
      </c>
      <c r="HH369" s="13">
        <f>HH368+HG369</f>
        <v>-5373530.337009765</v>
      </c>
      <c r="HI369">
        <f>IF(HH369=MAX($HH$83:$HH$483),$A369,0)</f>
        <v>0</v>
      </c>
      <c r="HJ369">
        <f>IF(HE369&lt;HF369,$A369,B_MAX+1)</f>
        <v>286</v>
      </c>
      <c r="HK369" s="13">
        <f>IF(HB369=1,$HB$35,$HB$36)</f>
        <v>0</v>
      </c>
      <c r="HL369" s="13">
        <f>OCC_DAYS*$HB$41*R_NF_2023-HD369*MCD_SHARE_FREED*R_WAIT_2023</f>
        <v>151980.48282209205</v>
      </c>
      <c r="HM369">
        <f>IF($A369&lt;=$HB$45,1,0)</f>
        <v>0</v>
      </c>
      <c r="IB369">
        <f>IF($IB$31&lt;=$IB$32,IF($A369&lt;=$IB$7,1,2),IF($A369&lt;=RUNG_BEDS_2,2,1))</f>
        <v>1</v>
      </c>
      <c r="IC369" s="5">
        <f>MIN(1,MAX(0,$IB$26-($A369-1)))</f>
        <v>0</v>
      </c>
      <c r="ID369" s="5">
        <f>$IB$25*(IC369+(1-IC369)*$IB$16)</f>
        <v>0.0</v>
      </c>
      <c r="IE369" s="13">
        <f>ID369*($IB$6+ACUTE_MARGIN)</f>
        <v>0.0</v>
      </c>
      <c r="IF369" s="13">
        <f>IF(IB369=1,$IB$31,$IB$32)</f>
        <v>152734.9994534971</v>
      </c>
      <c r="IG369" s="13">
        <f>IE369-IF369</f>
        <v>-152734.9994534971</v>
      </c>
      <c r="IH369" s="13">
        <f>IH368+IG369</f>
        <v>-5453239.215427928</v>
      </c>
      <c r="II369">
        <f>IF(IH369=MAX($IH$83:$IH$483),$A369,0)</f>
        <v>0</v>
      </c>
      <c r="IJ369">
        <f>IF(IE369&lt;IF369,$A369,B_MAX+1)</f>
        <v>286</v>
      </c>
      <c r="IK369" s="13">
        <f>IF(IB369=1,$IB$35,$IB$36)</f>
        <v>0</v>
      </c>
      <c r="IL369" s="13">
        <f>OCC_DAYS*$IB$41*R_NF_2023-ID369*MCD_SHARE_FREED*R_WAIT_2023</f>
        <v>151980.48282209205</v>
      </c>
      <c r="IM369">
        <f>IF($A369&lt;=$IB$45,1,0)</f>
        <v>0</v>
      </c>
      <c r="JB369">
        <f>IF($JB$31&lt;=$JB$32,IF($A369&lt;=$JB$7,1,2),IF($A369&lt;=RUNG_BEDS_2,2,1))</f>
        <v>1</v>
      </c>
      <c r="JC369" s="5">
        <f>MIN(1,MAX(0,$JB$26-($A369-1)))</f>
        <v>0</v>
      </c>
      <c r="JD369" s="5">
        <f>$JB$25*(JC369+(1-JC369)*$JB$16)</f>
        <v>0.0</v>
      </c>
      <c r="JE369" s="13">
        <f>JD369*($JB$6+ACUTE_MARGIN)</f>
        <v>0.0</v>
      </c>
      <c r="JF369" s="13">
        <f>IF(JB369=1,$JB$31,$JB$32)</f>
        <v>152394.16214437486</v>
      </c>
      <c r="JG369" s="13">
        <f>JE369-JF369</f>
        <v>-152394.16214437486</v>
      </c>
      <c r="JH369" s="13">
        <f>JH368+JG369</f>
        <v>-5355759.745018877</v>
      </c>
      <c r="JI369">
        <f>IF(JH369=MAX($JH$83:$JH$483),$A369,0)</f>
        <v>0</v>
      </c>
      <c r="JJ369">
        <f>IF(JE369&lt;JF369,$A369,B_MAX+1)</f>
        <v>286</v>
      </c>
      <c r="JK369" s="13">
        <f>IF(JB369=1,$JB$35,$JB$36)</f>
        <v>0</v>
      </c>
      <c r="JL369" s="13">
        <f>OCC_DAYS*$JB$41*R_NF_2023-JD369*MCD_SHARE_FREED*R_WAIT_2023</f>
        <v>151980.48282209205</v>
      </c>
      <c r="JM369">
        <f>IF($A369&lt;=$JB$45,1,0)</f>
        <v>0</v>
      </c>
      <c r="KB369">
        <f>IF($KB$31&lt;=$KB$32,IF($A369&lt;=$KB$7,1,2),IF($A369&lt;=RUNG_BEDS_2,2,1))</f>
        <v>1</v>
      </c>
      <c r="KC369" s="5">
        <f>MIN(1,MAX(0,$KB$26-($A369-1)))</f>
        <v>1</v>
      </c>
      <c r="KD369" s="5">
        <f>$KB$25*(KC369+(1-KC369)*$KB$16)</f>
        <v>126.02661357340719</v>
      </c>
      <c r="KE369" s="13">
        <f>KD369*($KB$6+ACUTE_MARGIN)</f>
        <v>127286.87970914126</v>
      </c>
      <c r="KF369" s="13">
        <f>IF(KB369=1,$KB$31,$KB$32)</f>
        <v>152394.16214437486</v>
      </c>
      <c r="KG369" s="13">
        <f>KE369-KF369</f>
        <v>-25107.282435233603</v>
      </c>
      <c r="KH369" s="13">
        <f>KH368+KG369</f>
        <v>-7180682.776476835</v>
      </c>
      <c r="KI369">
        <f>IF(KH369=MAX($KH$83:$KH$483),$A369,0)</f>
        <v>0</v>
      </c>
      <c r="KJ369">
        <f>IF(KE369&lt;KF369,$A369,B_MAX+1)</f>
        <v>286</v>
      </c>
      <c r="KK369" s="13">
        <f>IF(KB369=1,$KB$35,$KB$36)</f>
        <v>0</v>
      </c>
      <c r="KL369" s="13">
        <f>OCC_DAYS*$KB$41*R_NF_2023-KD369*MCD_SHARE_FREED*R_WAIT_2023</f>
        <v>94673.82103225985</v>
      </c>
      <c r="KM369">
        <f>IF($A369&lt;=$KB$45,1,0)</f>
        <v>0</v>
      </c>
      <c r="LB369">
        <f>IF($LB$31&lt;=$LB$32,IF($A369&lt;=$LB$7,1,2),IF($A369&lt;=RUNG_BEDS_2,2,1))</f>
        <v>1</v>
      </c>
      <c r="LC369" s="5">
        <f>MIN(1,MAX(0,$LB$26-($A369-1)))</f>
        <v>1</v>
      </c>
      <c r="LD369" s="5">
        <f>$LB$25*(LC369+(1-LC369)*$LB$16)</f>
        <v>84.01774238227146</v>
      </c>
      <c r="LE369" s="13">
        <f>LD369*($LB$6+ACUTE_MARGIN)</f>
        <v>84857.91980609419</v>
      </c>
      <c r="LF369" s="13">
        <f>IF(LB369=1,$LB$31,$LB$32)</f>
        <v>152394.16214437486</v>
      </c>
      <c r="LG369" s="13">
        <f>LE369-LF369</f>
        <v>-67536.24233828067</v>
      </c>
      <c r="LH369" s="13">
        <f>LH368+LG369</f>
        <v>-19315365.308748372</v>
      </c>
      <c r="LI369">
        <f>IF(LH369=MAX($LH$83:$LH$483),$A369,0)</f>
        <v>0</v>
      </c>
      <c r="LJ369">
        <f>IF(LE369&lt;LF369,$A369,B_MAX+1)</f>
        <v>286</v>
      </c>
      <c r="LK369" s="13">
        <f>IF(LB369=1,$LB$35,$LB$36)</f>
        <v>0</v>
      </c>
      <c r="LL369" s="13">
        <f>OCC_DAYS*$LB$41*R_NF_2023-LD369*MCD_SHARE_FREED*R_WAIT_2023</f>
        <v>113776.04162887059</v>
      </c>
      <c r="LM369">
        <f>IF($A369&lt;=$LB$45,1,0)</f>
        <v>0</v>
      </c>
      <c r="MB369">
        <f>IF($MB$31&lt;=$MB$32,IF($A369&lt;=$MB$7,1,2),IF($A369&lt;=RUNG_BEDS_2,2,1))</f>
        <v>1</v>
      </c>
      <c r="MC369" s="5">
        <f>MIN(1,MAX(0,$MB$26-($A369-1)))</f>
        <v>0</v>
      </c>
      <c r="MD369" s="5">
        <f>$MB$25*(MC369+(1-MC369)*$MB$16)</f>
        <v>0.0</v>
      </c>
      <c r="ME369" s="13">
        <f>MD369*($MB$6+ACUTE_MARGIN)</f>
        <v>0.0</v>
      </c>
      <c r="MF369" s="13">
        <f>IF(MB369=1,$MB$31,$MB$32)</f>
        <v>152394.16214437486</v>
      </c>
      <c r="MG369" s="13">
        <f>ME369-MF369</f>
        <v>-152394.16214437486</v>
      </c>
      <c r="MH369" s="13">
        <f>MH368+MG369</f>
        <v>-11243035.806817196</v>
      </c>
      <c r="MI369">
        <f>IF(MH369=MAX($MH$83:$MH$483),$A369,0)</f>
        <v>0</v>
      </c>
      <c r="MJ369">
        <f>IF(ME369&lt;MF369,$A369,B_MAX+1)</f>
        <v>286</v>
      </c>
      <c r="MK369" s="13">
        <f>IF(MB369=1,$MB$35,$MB$36)</f>
        <v>0</v>
      </c>
      <c r="ML369" s="13">
        <f>OCC_DAYS*$MB$41*R_NF_2023-MD369*MCD_SHARE_FREED*R_WAIT_2023</f>
        <v>151980.48282209205</v>
      </c>
      <c r="MM369">
        <f>IF($A369&lt;=$MB$45,1,0)</f>
        <v>0</v>
      </c>
      <c r="NB369">
        <f>IF($NB$31&lt;=$NB$32,IF($A369&lt;=$NB$7,1,2),IF($A369&lt;=RUNG_BEDS_2,2,1))</f>
        <v>1</v>
      </c>
      <c r="NC369" s="5">
        <f>MIN(1,MAX(0,$NB$26-($A369-1)))</f>
        <v>0</v>
      </c>
      <c r="ND369" s="5">
        <f>$NB$25*(NC369+(1-NC369)*$NB$16)</f>
        <v>63.013306786703595</v>
      </c>
      <c r="NE369" s="13">
        <f>ND369*($NB$6+ACUTE_MARGIN)</f>
        <v>63643.43985457063</v>
      </c>
      <c r="NF369" s="13">
        <f>IF(NB369=1,$NB$31,$NB$32)</f>
        <v>152394.16214437486</v>
      </c>
      <c r="NG369" s="13">
        <f>NE369-NF369</f>
        <v>-88750.72228980422</v>
      </c>
      <c r="NH369" s="13">
        <f>NH368+NG369</f>
        <v>3289021.3963202164</v>
      </c>
      <c r="NI369">
        <f>IF(NH369=MAX($NH$83:$NH$483),$A369,0)</f>
        <v>0</v>
      </c>
      <c r="NJ369">
        <f>IF(NE369&lt;NF369,$A369,B_MAX+1)</f>
        <v>286</v>
      </c>
      <c r="NK369" s="13">
        <f>IF(NB369=1,$NB$35,$NB$36)</f>
        <v>0</v>
      </c>
      <c r="NL369" s="13">
        <f>OCC_DAYS*$NB$41*R_NF_2023-ND369*MCD_SHARE_FREED*R_WAIT_2023</f>
        <v>123327.15192717595</v>
      </c>
      <c r="NM369">
        <f>IF($A369&lt;=$NB$45,1,0)</f>
        <v>0</v>
      </c>
      <c r="OB369">
        <f>IF($OB$31&lt;=$OB$32,IF($A369&lt;=$OB$7,1,2),IF($A369&lt;=RUNG_BEDS_2,2,1))</f>
        <v>1</v>
      </c>
      <c r="OC369" s="5">
        <f>MIN(1,MAX(0,$OB$26-($A369-1)))</f>
        <v>0</v>
      </c>
      <c r="OD369" s="5">
        <f>$OB$25*(OC369+(1-OC369)*$OB$16)</f>
        <v>126.02661357340719</v>
      </c>
      <c r="OE369" s="13">
        <f>OD369*($OB$6+ACUTE_MARGIN)</f>
        <v>127286.87970914126</v>
      </c>
      <c r="OF369" s="13">
        <f>IF(OB369=1,$OB$31,$OB$32)</f>
        <v>152394.16214437486</v>
      </c>
      <c r="OG369" s="13">
        <f>OE369-OF369</f>
        <v>-25107.282435233603</v>
      </c>
      <c r="OH369" s="13">
        <f>OH368+OG369</f>
        <v>11933802.537659485</v>
      </c>
      <c r="OI369">
        <f>IF(OH369=MAX($OH$83:$OH$483),$A369,0)</f>
        <v>0</v>
      </c>
      <c r="OJ369">
        <f>IF(OE369&lt;OF369,$A369,B_MAX+1)</f>
        <v>286</v>
      </c>
      <c r="OK369" s="13">
        <f>IF(OB369=1,$OB$35,$OB$36)</f>
        <v>0</v>
      </c>
      <c r="OL369" s="13">
        <f>OCC_DAYS*$OB$41*R_NF_2023-OD369*MCD_SHARE_FREED*R_WAIT_2023</f>
        <v>94673.82103225985</v>
      </c>
      <c r="OM369">
        <f>IF($A369&lt;=$OB$45,1,0)</f>
        <v>0</v>
      </c>
    </row>
    <row r="370">
      <c r="A370" t="n">
        <v>287</v>
      </c>
      <c r="B370">
        <f>IF($B$31&lt;=$B$32,IF($A370&lt;=$B$7,1,2),IF($A370&lt;=RUNG_BEDS_2,2,1))</f>
        <v>1</v>
      </c>
      <c r="C370" s="5">
        <f>MIN(1,MAX(0,$B$26-($A370-1)))</f>
        <v>0</v>
      </c>
      <c r="D370" s="5">
        <f>$B$25*(C370+(1-C370)*$B$16)</f>
        <v>0.0</v>
      </c>
      <c r="E370" s="13">
        <f>D370*($B$6+ACUTE_MARGIN)</f>
        <v>0.0</v>
      </c>
      <c r="F370" s="13">
        <f>IF(B370=1,$B$31,$B$32)</f>
        <v>152394.16214437486</v>
      </c>
      <c r="G370" s="13">
        <f>E370-F370</f>
        <v>-152394.16214437486</v>
      </c>
      <c r="H370" s="13">
        <f>H369+G370</f>
        <v>-5508153.907163252</v>
      </c>
      <c r="I370">
        <f>IF(H370=MAX($H$83:$H$483),$A370,0)</f>
        <v>0</v>
      </c>
      <c r="J370">
        <f>IF(E370&lt;F370,$A370,B_MAX+1)</f>
        <v>287</v>
      </c>
      <c r="K370" s="13">
        <f>IF(B370=1,$B$35,$B$36)</f>
        <v>0</v>
      </c>
      <c r="L370" s="13">
        <f>OCC_DAYS*$B$41*R_NF_2023-D370*MCD_SHARE_FREED*R_WAIT_2023</f>
        <v>151980.48282209205</v>
      </c>
      <c r="M370">
        <f>IF($A370&lt;=$B$45,1,0)</f>
        <v>0</v>
      </c>
      <c r="AB370">
        <f>IF($AB$31&lt;=$AB$32,IF($A370&lt;=$AB$7,1,2),IF($A370&lt;=RUNG_BEDS_2,2,1))</f>
        <v>1</v>
      </c>
      <c r="AC370" s="5">
        <f>MIN(1,MAX(0,$AB$26-($A370-1)))</f>
        <v>0</v>
      </c>
      <c r="AD370" s="5">
        <f>$AB$25*(AC370+(1-AC370)*$AB$16)</f>
        <v>0.0</v>
      </c>
      <c r="AE370" s="13">
        <f>AD370*($AB$6+ACUTE_MARGIN)</f>
        <v>0.0</v>
      </c>
      <c r="AF370" s="13">
        <f>IF(AB370=1,$AB$31,$AB$32)</f>
        <v>152394.16214437486</v>
      </c>
      <c r="AG370" s="13">
        <f>AE370-AF370</f>
        <v>-152394.16214437486</v>
      </c>
      <c r="AH370" s="13">
        <f>AH369+AG370</f>
        <v>-22919368.252713006</v>
      </c>
      <c r="AI370">
        <f>IF(AH370=MAX($AH$83:$AH$483),$A370,0)</f>
        <v>0</v>
      </c>
      <c r="AJ370">
        <f>IF(AE370&lt;AF370,$A370,B_MAX+1)</f>
        <v>287</v>
      </c>
      <c r="AK370" s="13">
        <f>IF(AB370=1,$AB$35,$AB$36)</f>
        <v>0</v>
      </c>
      <c r="AL370" s="13">
        <f>OCC_DAYS*$AB$41*R_NF_2023-AD370*MCD_SHARE_FREED*R_WAIT_2023</f>
        <v>151980.48282209205</v>
      </c>
      <c r="AM370">
        <f>IF($A370&lt;=$AB$45,1,0)</f>
        <v>0</v>
      </c>
      <c r="BB370">
        <f>IF($BB$31&lt;=$BB$32,IF($A370&lt;=$BB$7,1,2),IF($A370&lt;=RUNG_BEDS_2,2,1))</f>
        <v>1</v>
      </c>
      <c r="BC370" s="5">
        <f>MIN(1,MAX(0,$BB$26-($A370-1)))</f>
        <v>0</v>
      </c>
      <c r="BD370" s="5">
        <f>$BB$25*(BC370+(1-BC370)*$BB$16)</f>
        <v>0.0</v>
      </c>
      <c r="BE370" s="13">
        <f>BD370*($BB$6+ACUTE_MARGIN)</f>
        <v>0.0</v>
      </c>
      <c r="BF370" s="13">
        <f>IF(BB370=1,$BB$31,$BB$32)</f>
        <v>152394.16214437486</v>
      </c>
      <c r="BG370" s="13">
        <f>BE370-BF370</f>
        <v>-152394.16214437486</v>
      </c>
      <c r="BH370" s="13">
        <f>BH369+BG370</f>
        <v>11903060.438386489</v>
      </c>
      <c r="BI370">
        <f>IF(BH370=MAX($BH$83:$BH$483),$A370,0)</f>
        <v>0</v>
      </c>
      <c r="BJ370">
        <f>IF(BE370&lt;BF370,$A370,B_MAX+1)</f>
        <v>287</v>
      </c>
      <c r="BK370" s="13">
        <f>IF(BB370=1,$BB$35,$BB$36)</f>
        <v>0</v>
      </c>
      <c r="BL370" s="13">
        <f>OCC_DAYS*$BB$41*R_NF_2023-BD370*MCD_SHARE_FREED*R_WAIT_2023</f>
        <v>151980.48282209205</v>
      </c>
      <c r="BM370">
        <f>IF($A370&lt;=$BB$45,1,0)</f>
        <v>0</v>
      </c>
      <c r="CB370">
        <f>IF($CB$31&lt;=$CB$32,IF($A370&lt;=$CB$7,1,2),IF($A370&lt;=RUNG_BEDS_2,2,1))</f>
        <v>2</v>
      </c>
      <c r="CC370" s="5">
        <f>MIN(1,MAX(0,$CB$26-($A370-1)))</f>
        <v>0</v>
      </c>
      <c r="CD370" s="5">
        <f>$CB$25*(CC370+(1-CC370)*$CB$16)</f>
        <v>0.0</v>
      </c>
      <c r="CE370" s="13">
        <f>CD370*($CB$6+ACUTE_MARGIN)</f>
        <v>0.0</v>
      </c>
      <c r="CF370" s="13">
        <f>IF(CB370=1,$CB$31,$CB$32)</f>
        <v>160718.36940738867</v>
      </c>
      <c r="CG370" s="13">
        <f>CE370-CF370</f>
        <v>-160718.36940738867</v>
      </c>
      <c r="CH370" s="13">
        <f>CH369+CG370</f>
        <v>-7897201.391648322</v>
      </c>
      <c r="CI370">
        <f>IF(CH370=MAX($CH$83:$CH$483),$A370,0)</f>
        <v>0</v>
      </c>
      <c r="CJ370">
        <f>IF(CE370&lt;CF370,$A370,B_MAX+1)</f>
        <v>287</v>
      </c>
      <c r="CK370" s="13">
        <f>IF(CB370=1,$CB$35,$CB$36)</f>
        <v>1560.1194073886782</v>
      </c>
      <c r="CL370" s="13">
        <f>OCC_DAYS*$CB$41*R_NF_2023-CD370*MCD_SHARE_FREED*R_WAIT_2023</f>
        <v>151980.48282209205</v>
      </c>
      <c r="CM370">
        <f>IF($A370&lt;=$CB$45,1,0)</f>
        <v>0</v>
      </c>
      <c r="DB370">
        <f>IF($DB$31&lt;=$DB$32,IF($A370&lt;=$DB$7,1,2),IF($A370&lt;=RUNG_BEDS_2,2,1))</f>
        <v>1</v>
      </c>
      <c r="DC370" s="5">
        <f>MIN(1,MAX(0,$DB$26-($A370-1)))</f>
        <v>0</v>
      </c>
      <c r="DD370" s="5">
        <f>$DB$25*(DC370+(1-DC370)*$DB$16)</f>
        <v>0.0</v>
      </c>
      <c r="DE370" s="13">
        <f>DD370*($DB$6+ACUTE_MARGIN)</f>
        <v>0.0</v>
      </c>
      <c r="DF370" s="13">
        <f>IF(DB370=1,$DB$31,$DB$32)</f>
        <v>152394.16214437486</v>
      </c>
      <c r="DG370" s="13">
        <f>DE370-DF370</f>
        <v>-152394.16214437486</v>
      </c>
      <c r="DH370" s="13">
        <f>DH369+DG370</f>
        <v>-5508153.907163252</v>
      </c>
      <c r="DI370">
        <f>IF(DH370=MAX($DH$83:$DH$483),$A370,0)</f>
        <v>0</v>
      </c>
      <c r="DJ370">
        <f>IF(DE370&lt;DF370,$A370,B_MAX+1)</f>
        <v>287</v>
      </c>
      <c r="DK370" s="13">
        <f>IF(DB370=1,$DB$35,$DB$36)</f>
        <v>0</v>
      </c>
      <c r="DL370" s="13">
        <f>OCC_DAYS*$DB$41*R_NF_2023-DD370*MCD_SHARE_FREED*R_WAIT_2023</f>
        <v>151980.48282209205</v>
      </c>
      <c r="DM370">
        <f>IF($A370&lt;=$DB$45,1,0)</f>
        <v>0</v>
      </c>
      <c r="EB370">
        <f>IF($EB$31&lt;=$EB$32,IF($A370&lt;=$EB$7,1,2),IF($A370&lt;=RUNG_BEDS_2,2,1))</f>
        <v>1</v>
      </c>
      <c r="EC370" s="5">
        <f>MIN(1,MAX(0,$EB$26-($A370-1)))</f>
        <v>0</v>
      </c>
      <c r="ED370" s="5">
        <f>$EB$25*(EC370+(1-EC370)*$EB$16)</f>
        <v>0.0</v>
      </c>
      <c r="EE370" s="13">
        <f>ED370*($EB$6+ACUTE_MARGIN)</f>
        <v>0.0</v>
      </c>
      <c r="EF370" s="13">
        <f>IF(EB370=1,$EB$31,$EB$32)</f>
        <v>152394.16214437486</v>
      </c>
      <c r="EG370" s="13">
        <f>EE370-EF370</f>
        <v>-152394.16214437486</v>
      </c>
      <c r="EH370" s="13">
        <f>EH369+EG370</f>
        <v>-5508153.907163252</v>
      </c>
      <c r="EI370">
        <f>IF(EH370=MAX($EH$83:$EH$483),$A370,0)</f>
        <v>0</v>
      </c>
      <c r="EJ370">
        <f>IF(EE370&lt;EF370,$A370,B_MAX+1)</f>
        <v>287</v>
      </c>
      <c r="EK370" s="13">
        <f>IF(EB370=1,$EB$35,$EB$36)</f>
        <v>0</v>
      </c>
      <c r="EL370" s="13">
        <f>OCC_DAYS*$EB$41*R_NF_2023-ED370*MCD_SHARE_FREED*R_WAIT_2023</f>
        <v>50660.16094069735</v>
      </c>
      <c r="EM370">
        <f>IF($A370&lt;=$EB$45,1,0)</f>
        <v>0</v>
      </c>
      <c r="FB370">
        <f>IF($FB$31&lt;=$FB$32,IF($A370&lt;=$FB$7,1,2),IF($A370&lt;=RUNG_BEDS_2,2,1))</f>
        <v>1</v>
      </c>
      <c r="FC370" s="5">
        <f>MIN(1,MAX(0,$FB$26-($A370-1)))</f>
        <v>0</v>
      </c>
      <c r="FD370" s="5">
        <f>$FB$25*(FC370+(1-FC370)*$FB$16)</f>
        <v>0.0</v>
      </c>
      <c r="FE370" s="13">
        <f>FD370*($FB$6+ACUTE_MARGIN)</f>
        <v>0.0</v>
      </c>
      <c r="FF370" s="13">
        <f>IF(FB370=1,$FB$31,$FB$32)</f>
        <v>156636.04979437485</v>
      </c>
      <c r="FG370" s="13">
        <f>FE370-FF370</f>
        <v>-156636.04979437485</v>
      </c>
      <c r="FH370" s="13">
        <f>FH369+FG370</f>
        <v>-6725575.662713367</v>
      </c>
      <c r="FI370">
        <f>IF(FH370=MAX($FH$83:$FH$483),$A370,0)</f>
        <v>0</v>
      </c>
      <c r="FJ370">
        <f>IF(FE370&lt;FF370,$A370,B_MAX+1)</f>
        <v>287</v>
      </c>
      <c r="FK370" s="13">
        <f>IF(FB370=1,$FB$35,$FB$36)</f>
        <v>0</v>
      </c>
      <c r="FL370" s="13">
        <f>OCC_DAYS*$FB$41*R_NF_2023-FD370*MCD_SHARE_FREED*R_WAIT_2023</f>
        <v>151980.48282209205</v>
      </c>
      <c r="FM370">
        <f>IF($A370&lt;=$FB$45,1,0)</f>
        <v>0</v>
      </c>
      <c r="GB370">
        <f>IF($GB$31&lt;=$GB$32,IF($A370&lt;=$GB$7,1,2),IF($A370&lt;=RUNG_BEDS_2,2,1))</f>
        <v>1</v>
      </c>
      <c r="GC370" s="5">
        <f>MIN(1,MAX(0,$GB$26-($A370-1)))</f>
        <v>0</v>
      </c>
      <c r="GD370" s="5">
        <f>$GB$25*(GC370+(1-GC370)*$GB$16)</f>
        <v>0.0</v>
      </c>
      <c r="GE370" s="13">
        <f>GD370*($GB$6+ACUTE_MARGIN)</f>
        <v>0.0</v>
      </c>
      <c r="GF370" s="13">
        <f>IF(GB370=1,$GB$31,$GB$32)</f>
        <v>152394.16214437486</v>
      </c>
      <c r="GG370" s="13">
        <f>GE370-GF370</f>
        <v>-152394.16214437486</v>
      </c>
      <c r="GH370" s="13">
        <f>GH369+GG370</f>
        <v>-5508153.907163252</v>
      </c>
      <c r="GI370">
        <f>IF(GH370=MAX($GH$83:$GH$483),$A370,0)</f>
        <v>0</v>
      </c>
      <c r="GJ370">
        <f>IF(GE370&lt;GF370,$A370,B_MAX+1)</f>
        <v>287</v>
      </c>
      <c r="GK370" s="13">
        <f>IF(GB370=1,$GB$35,$GB$36)</f>
        <v>0</v>
      </c>
      <c r="GL370" s="13">
        <f>OCC_DAYS*$GB$41*R_NF_2023-GD370*MCD_SHARE_FREED*R_WAIT_2023</f>
        <v>151980.48282209205</v>
      </c>
      <c r="GM370">
        <f>IF($A370&lt;=$GB$45,1,0)</f>
        <v>0</v>
      </c>
      <c r="HB370">
        <f>IF($HB$31&lt;=$HB$32,IF($A370&lt;=$HB$7,1,2),IF($A370&lt;=RUNG_BEDS_2,2,1))</f>
        <v>1</v>
      </c>
      <c r="HC370" s="5">
        <f>MIN(1,MAX(0,$HB$26-($A370-1)))</f>
        <v>0</v>
      </c>
      <c r="HD370" s="5">
        <f>$HB$25*(HC370+(1-HC370)*$HB$16)</f>
        <v>0.0</v>
      </c>
      <c r="HE370" s="13">
        <f>HD370*($HB$6+ACUTE_MARGIN)</f>
        <v>0.0</v>
      </c>
      <c r="HF370" s="13">
        <f>IF(HB370=1,$HB$31,$HB$32)</f>
        <v>152456.2970814058</v>
      </c>
      <c r="HG370" s="13">
        <f>HE370-HF370</f>
        <v>-152456.2970814058</v>
      </c>
      <c r="HH370" s="13">
        <f>HH369+HG370</f>
        <v>-5525986.634091171</v>
      </c>
      <c r="HI370">
        <f>IF(HH370=MAX($HH$83:$HH$483),$A370,0)</f>
        <v>0</v>
      </c>
      <c r="HJ370">
        <f>IF(HE370&lt;HF370,$A370,B_MAX+1)</f>
        <v>287</v>
      </c>
      <c r="HK370" s="13">
        <f>IF(HB370=1,$HB$35,$HB$36)</f>
        <v>0</v>
      </c>
      <c r="HL370" s="13">
        <f>OCC_DAYS*$HB$41*R_NF_2023-HD370*MCD_SHARE_FREED*R_WAIT_2023</f>
        <v>151980.48282209205</v>
      </c>
      <c r="HM370">
        <f>IF($A370&lt;=$HB$45,1,0)</f>
        <v>0</v>
      </c>
      <c r="IB370">
        <f>IF($IB$31&lt;=$IB$32,IF($A370&lt;=$IB$7,1,2),IF($A370&lt;=RUNG_BEDS_2,2,1))</f>
        <v>1</v>
      </c>
      <c r="IC370" s="5">
        <f>MIN(1,MAX(0,$IB$26-($A370-1)))</f>
        <v>0</v>
      </c>
      <c r="ID370" s="5">
        <f>$IB$25*(IC370+(1-IC370)*$IB$16)</f>
        <v>0.0</v>
      </c>
      <c r="IE370" s="13">
        <f>ID370*($IB$6+ACUTE_MARGIN)</f>
        <v>0.0</v>
      </c>
      <c r="IF370" s="13">
        <f>IF(IB370=1,$IB$31,$IB$32)</f>
        <v>152734.9994534971</v>
      </c>
      <c r="IG370" s="13">
        <f>IE370-IF370</f>
        <v>-152734.9994534971</v>
      </c>
      <c r="IH370" s="13">
        <f>IH369+IG370</f>
        <v>-5605974.214881425</v>
      </c>
      <c r="II370">
        <f>IF(IH370=MAX($IH$83:$IH$483),$A370,0)</f>
        <v>0</v>
      </c>
      <c r="IJ370">
        <f>IF(IE370&lt;IF370,$A370,B_MAX+1)</f>
        <v>287</v>
      </c>
      <c r="IK370" s="13">
        <f>IF(IB370=1,$IB$35,$IB$36)</f>
        <v>0</v>
      </c>
      <c r="IL370" s="13">
        <f>OCC_DAYS*$IB$41*R_NF_2023-ID370*MCD_SHARE_FREED*R_WAIT_2023</f>
        <v>151980.48282209205</v>
      </c>
      <c r="IM370">
        <f>IF($A370&lt;=$IB$45,1,0)</f>
        <v>0</v>
      </c>
      <c r="JB370">
        <f>IF($JB$31&lt;=$JB$32,IF($A370&lt;=$JB$7,1,2),IF($A370&lt;=RUNG_BEDS_2,2,1))</f>
        <v>1</v>
      </c>
      <c r="JC370" s="5">
        <f>MIN(1,MAX(0,$JB$26-($A370-1)))</f>
        <v>0</v>
      </c>
      <c r="JD370" s="5">
        <f>$JB$25*(JC370+(1-JC370)*$JB$16)</f>
        <v>0.0</v>
      </c>
      <c r="JE370" s="13">
        <f>JD370*($JB$6+ACUTE_MARGIN)</f>
        <v>0.0</v>
      </c>
      <c r="JF370" s="13">
        <f>IF(JB370=1,$JB$31,$JB$32)</f>
        <v>152394.16214437486</v>
      </c>
      <c r="JG370" s="13">
        <f>JE370-JF370</f>
        <v>-152394.16214437486</v>
      </c>
      <c r="JH370" s="13">
        <f>JH369+JG370</f>
        <v>-5508153.907163252</v>
      </c>
      <c r="JI370">
        <f>IF(JH370=MAX($JH$83:$JH$483),$A370,0)</f>
        <v>0</v>
      </c>
      <c r="JJ370">
        <f>IF(JE370&lt;JF370,$A370,B_MAX+1)</f>
        <v>287</v>
      </c>
      <c r="JK370" s="13">
        <f>IF(JB370=1,$JB$35,$JB$36)</f>
        <v>0</v>
      </c>
      <c r="JL370" s="13">
        <f>OCC_DAYS*$JB$41*R_NF_2023-JD370*MCD_SHARE_FREED*R_WAIT_2023</f>
        <v>151980.48282209205</v>
      </c>
      <c r="JM370">
        <f>IF($A370&lt;=$JB$45,1,0)</f>
        <v>0</v>
      </c>
      <c r="KB370">
        <f>IF($KB$31&lt;=$KB$32,IF($A370&lt;=$KB$7,1,2),IF($A370&lt;=RUNG_BEDS_2,2,1))</f>
        <v>1</v>
      </c>
      <c r="KC370" s="5">
        <f>MIN(1,MAX(0,$KB$26-($A370-1)))</f>
        <v>1</v>
      </c>
      <c r="KD370" s="5">
        <f>$KB$25*(KC370+(1-KC370)*$KB$16)</f>
        <v>126.02661357340719</v>
      </c>
      <c r="KE370" s="13">
        <f>KD370*($KB$6+ACUTE_MARGIN)</f>
        <v>127286.87970914126</v>
      </c>
      <c r="KF370" s="13">
        <f>IF(KB370=1,$KB$31,$KB$32)</f>
        <v>152394.16214437486</v>
      </c>
      <c r="KG370" s="13">
        <f>KE370-KF370</f>
        <v>-25107.282435233603</v>
      </c>
      <c r="KH370" s="13">
        <f>KH369+KG370</f>
        <v>-7205790.058912069</v>
      </c>
      <c r="KI370">
        <f>IF(KH370=MAX($KH$83:$KH$483),$A370,0)</f>
        <v>0</v>
      </c>
      <c r="KJ370">
        <f>IF(KE370&lt;KF370,$A370,B_MAX+1)</f>
        <v>287</v>
      </c>
      <c r="KK370" s="13">
        <f>IF(KB370=1,$KB$35,$KB$36)</f>
        <v>0</v>
      </c>
      <c r="KL370" s="13">
        <f>OCC_DAYS*$KB$41*R_NF_2023-KD370*MCD_SHARE_FREED*R_WAIT_2023</f>
        <v>94673.82103225985</v>
      </c>
      <c r="KM370">
        <f>IF($A370&lt;=$KB$45,1,0)</f>
        <v>0</v>
      </c>
      <c r="LB370">
        <f>IF($LB$31&lt;=$LB$32,IF($A370&lt;=$LB$7,1,2),IF($A370&lt;=RUNG_BEDS_2,2,1))</f>
        <v>1</v>
      </c>
      <c r="LC370" s="5">
        <f>MIN(1,MAX(0,$LB$26-($A370-1)))</f>
        <v>1</v>
      </c>
      <c r="LD370" s="5">
        <f>$LB$25*(LC370+(1-LC370)*$LB$16)</f>
        <v>84.01774238227146</v>
      </c>
      <c r="LE370" s="13">
        <f>LD370*($LB$6+ACUTE_MARGIN)</f>
        <v>84857.91980609419</v>
      </c>
      <c r="LF370" s="13">
        <f>IF(LB370=1,$LB$31,$LB$32)</f>
        <v>152394.16214437486</v>
      </c>
      <c r="LG370" s="13">
        <f>LE370-LF370</f>
        <v>-67536.24233828067</v>
      </c>
      <c r="LH370" s="13">
        <f>LH369+LG370</f>
        <v>-19382901.551086653</v>
      </c>
      <c r="LI370">
        <f>IF(LH370=MAX($LH$83:$LH$483),$A370,0)</f>
        <v>0</v>
      </c>
      <c r="LJ370">
        <f>IF(LE370&lt;LF370,$A370,B_MAX+1)</f>
        <v>287</v>
      </c>
      <c r="LK370" s="13">
        <f>IF(LB370=1,$LB$35,$LB$36)</f>
        <v>0</v>
      </c>
      <c r="LL370" s="13">
        <f>OCC_DAYS*$LB$41*R_NF_2023-LD370*MCD_SHARE_FREED*R_WAIT_2023</f>
        <v>113776.04162887059</v>
      </c>
      <c r="LM370">
        <f>IF($A370&lt;=$LB$45,1,0)</f>
        <v>0</v>
      </c>
      <c r="MB370">
        <f>IF($MB$31&lt;=$MB$32,IF($A370&lt;=$MB$7,1,2),IF($A370&lt;=RUNG_BEDS_2,2,1))</f>
        <v>1</v>
      </c>
      <c r="MC370" s="5">
        <f>MIN(1,MAX(0,$MB$26-($A370-1)))</f>
        <v>0</v>
      </c>
      <c r="MD370" s="5">
        <f>$MB$25*(MC370+(1-MC370)*$MB$16)</f>
        <v>0.0</v>
      </c>
      <c r="ME370" s="13">
        <f>MD370*($MB$6+ACUTE_MARGIN)</f>
        <v>0.0</v>
      </c>
      <c r="MF370" s="13">
        <f>IF(MB370=1,$MB$31,$MB$32)</f>
        <v>152394.16214437486</v>
      </c>
      <c r="MG370" s="13">
        <f>ME370-MF370</f>
        <v>-152394.16214437486</v>
      </c>
      <c r="MH370" s="13">
        <f>MH369+MG370</f>
        <v>-11395429.96896157</v>
      </c>
      <c r="MI370">
        <f>IF(MH370=MAX($MH$83:$MH$483),$A370,0)</f>
        <v>0</v>
      </c>
      <c r="MJ370">
        <f>IF(ME370&lt;MF370,$A370,B_MAX+1)</f>
        <v>287</v>
      </c>
      <c r="MK370" s="13">
        <f>IF(MB370=1,$MB$35,$MB$36)</f>
        <v>0</v>
      </c>
      <c r="ML370" s="13">
        <f>OCC_DAYS*$MB$41*R_NF_2023-MD370*MCD_SHARE_FREED*R_WAIT_2023</f>
        <v>151980.48282209205</v>
      </c>
      <c r="MM370">
        <f>IF($A370&lt;=$MB$45,1,0)</f>
        <v>0</v>
      </c>
      <c r="NB370">
        <f>IF($NB$31&lt;=$NB$32,IF($A370&lt;=$NB$7,1,2),IF($A370&lt;=RUNG_BEDS_2,2,1))</f>
        <v>1</v>
      </c>
      <c r="NC370" s="5">
        <f>MIN(1,MAX(0,$NB$26-($A370-1)))</f>
        <v>0</v>
      </c>
      <c r="ND370" s="5">
        <f>$NB$25*(NC370+(1-NC370)*$NB$16)</f>
        <v>63.013306786703595</v>
      </c>
      <c r="NE370" s="13">
        <f>ND370*($NB$6+ACUTE_MARGIN)</f>
        <v>63643.43985457063</v>
      </c>
      <c r="NF370" s="13">
        <f>IF(NB370=1,$NB$31,$NB$32)</f>
        <v>152394.16214437486</v>
      </c>
      <c r="NG370" s="13">
        <f>NE370-NF370</f>
        <v>-88750.72228980422</v>
      </c>
      <c r="NH370" s="13">
        <f>NH369+NG370</f>
        <v>3200270.674030412</v>
      </c>
      <c r="NI370">
        <f>IF(NH370=MAX($NH$83:$NH$483),$A370,0)</f>
        <v>0</v>
      </c>
      <c r="NJ370">
        <f>IF(NE370&lt;NF370,$A370,B_MAX+1)</f>
        <v>287</v>
      </c>
      <c r="NK370" s="13">
        <f>IF(NB370=1,$NB$35,$NB$36)</f>
        <v>0</v>
      </c>
      <c r="NL370" s="13">
        <f>OCC_DAYS*$NB$41*R_NF_2023-ND370*MCD_SHARE_FREED*R_WAIT_2023</f>
        <v>123327.15192717595</v>
      </c>
      <c r="NM370">
        <f>IF($A370&lt;=$NB$45,1,0)</f>
        <v>0</v>
      </c>
      <c r="OB370">
        <f>IF($OB$31&lt;=$OB$32,IF($A370&lt;=$OB$7,1,2),IF($A370&lt;=RUNG_BEDS_2,2,1))</f>
        <v>1</v>
      </c>
      <c r="OC370" s="5">
        <f>MIN(1,MAX(0,$OB$26-($A370-1)))</f>
        <v>0</v>
      </c>
      <c r="OD370" s="5">
        <f>$OB$25*(OC370+(1-OC370)*$OB$16)</f>
        <v>126.02661357340719</v>
      </c>
      <c r="OE370" s="13">
        <f>OD370*($OB$6+ACUTE_MARGIN)</f>
        <v>127286.87970914126</v>
      </c>
      <c r="OF370" s="13">
        <f>IF(OB370=1,$OB$31,$OB$32)</f>
        <v>152394.16214437486</v>
      </c>
      <c r="OG370" s="13">
        <f>OE370-OF370</f>
        <v>-25107.282435233603</v>
      </c>
      <c r="OH370" s="13">
        <f>OH369+OG370</f>
        <v>11908695.255224252</v>
      </c>
      <c r="OI370">
        <f>IF(OH370=MAX($OH$83:$OH$483),$A370,0)</f>
        <v>0</v>
      </c>
      <c r="OJ370">
        <f>IF(OE370&lt;OF370,$A370,B_MAX+1)</f>
        <v>287</v>
      </c>
      <c r="OK370" s="13">
        <f>IF(OB370=1,$OB$35,$OB$36)</f>
        <v>0</v>
      </c>
      <c r="OL370" s="13">
        <f>OCC_DAYS*$OB$41*R_NF_2023-OD370*MCD_SHARE_FREED*R_WAIT_2023</f>
        <v>94673.82103225985</v>
      </c>
      <c r="OM370">
        <f>IF($A370&lt;=$OB$45,1,0)</f>
        <v>0</v>
      </c>
    </row>
    <row r="371">
      <c r="A371" t="n">
        <v>288</v>
      </c>
      <c r="B371">
        <f>IF($B$31&lt;=$B$32,IF($A371&lt;=$B$7,1,2),IF($A371&lt;=RUNG_BEDS_2,2,1))</f>
        <v>1</v>
      </c>
      <c r="C371" s="5">
        <f>MIN(1,MAX(0,$B$26-($A371-1)))</f>
        <v>0</v>
      </c>
      <c r="D371" s="5">
        <f>$B$25*(C371+(1-C371)*$B$16)</f>
        <v>0.0</v>
      </c>
      <c r="E371" s="13">
        <f>D371*($B$6+ACUTE_MARGIN)</f>
        <v>0.0</v>
      </c>
      <c r="F371" s="13">
        <f>IF(B371=1,$B$31,$B$32)</f>
        <v>152394.16214437486</v>
      </c>
      <c r="G371" s="13">
        <f>E371-F371</f>
        <v>-152394.16214437486</v>
      </c>
      <c r="H371" s="13">
        <f>H370+G371</f>
        <v>-5660548.069307627</v>
      </c>
      <c r="I371">
        <f>IF(H371=MAX($H$83:$H$483),$A371,0)</f>
        <v>0</v>
      </c>
      <c r="J371">
        <f>IF(E371&lt;F371,$A371,B_MAX+1)</f>
        <v>288</v>
      </c>
      <c r="K371" s="13">
        <f>IF(B371=1,$B$35,$B$36)</f>
        <v>0</v>
      </c>
      <c r="L371" s="13">
        <f>OCC_DAYS*$B$41*R_NF_2023-D371*MCD_SHARE_FREED*R_WAIT_2023</f>
        <v>151980.48282209205</v>
      </c>
      <c r="M371">
        <f>IF($A371&lt;=$B$45,1,0)</f>
        <v>0</v>
      </c>
      <c r="AB371">
        <f>IF($AB$31&lt;=$AB$32,IF($A371&lt;=$AB$7,1,2),IF($A371&lt;=RUNG_BEDS_2,2,1))</f>
        <v>1</v>
      </c>
      <c r="AC371" s="5">
        <f>MIN(1,MAX(0,$AB$26-($A371-1)))</f>
        <v>0</v>
      </c>
      <c r="AD371" s="5">
        <f>$AB$25*(AC371+(1-AC371)*$AB$16)</f>
        <v>0.0</v>
      </c>
      <c r="AE371" s="13">
        <f>AD371*($AB$6+ACUTE_MARGIN)</f>
        <v>0.0</v>
      </c>
      <c r="AF371" s="13">
        <f>IF(AB371=1,$AB$31,$AB$32)</f>
        <v>152394.16214437486</v>
      </c>
      <c r="AG371" s="13">
        <f>AE371-AF371</f>
        <v>-152394.16214437486</v>
      </c>
      <c r="AH371" s="13">
        <f>AH370+AG371</f>
        <v>-23071762.41485738</v>
      </c>
      <c r="AI371">
        <f>IF(AH371=MAX($AH$83:$AH$483),$A371,0)</f>
        <v>0</v>
      </c>
      <c r="AJ371">
        <f>IF(AE371&lt;AF371,$A371,B_MAX+1)</f>
        <v>288</v>
      </c>
      <c r="AK371" s="13">
        <f>IF(AB371=1,$AB$35,$AB$36)</f>
        <v>0</v>
      </c>
      <c r="AL371" s="13">
        <f>OCC_DAYS*$AB$41*R_NF_2023-AD371*MCD_SHARE_FREED*R_WAIT_2023</f>
        <v>151980.48282209205</v>
      </c>
      <c r="AM371">
        <f>IF($A371&lt;=$AB$45,1,0)</f>
        <v>0</v>
      </c>
      <c r="BB371">
        <f>IF($BB$31&lt;=$BB$32,IF($A371&lt;=$BB$7,1,2),IF($A371&lt;=RUNG_BEDS_2,2,1))</f>
        <v>1</v>
      </c>
      <c r="BC371" s="5">
        <f>MIN(1,MAX(0,$BB$26-($A371-1)))</f>
        <v>0</v>
      </c>
      <c r="BD371" s="5">
        <f>$BB$25*(BC371+(1-BC371)*$BB$16)</f>
        <v>0.0</v>
      </c>
      <c r="BE371" s="13">
        <f>BD371*($BB$6+ACUTE_MARGIN)</f>
        <v>0.0</v>
      </c>
      <c r="BF371" s="13">
        <f>IF(BB371=1,$BB$31,$BB$32)</f>
        <v>152394.16214437486</v>
      </c>
      <c r="BG371" s="13">
        <f>BE371-BF371</f>
        <v>-152394.16214437486</v>
      </c>
      <c r="BH371" s="13">
        <f>BH370+BG371</f>
        <v>11750666.276242115</v>
      </c>
      <c r="BI371">
        <f>IF(BH371=MAX($BH$83:$BH$483),$A371,0)</f>
        <v>0</v>
      </c>
      <c r="BJ371">
        <f>IF(BE371&lt;BF371,$A371,B_MAX+1)</f>
        <v>288</v>
      </c>
      <c r="BK371" s="13">
        <f>IF(BB371=1,$BB$35,$BB$36)</f>
        <v>0</v>
      </c>
      <c r="BL371" s="13">
        <f>OCC_DAYS*$BB$41*R_NF_2023-BD371*MCD_SHARE_FREED*R_WAIT_2023</f>
        <v>151980.48282209205</v>
      </c>
      <c r="BM371">
        <f>IF($A371&lt;=$BB$45,1,0)</f>
        <v>0</v>
      </c>
      <c r="CB371">
        <f>IF($CB$31&lt;=$CB$32,IF($A371&lt;=$CB$7,1,2),IF($A371&lt;=RUNG_BEDS_2,2,1))</f>
        <v>2</v>
      </c>
      <c r="CC371" s="5">
        <f>MIN(1,MAX(0,$CB$26-($A371-1)))</f>
        <v>0</v>
      </c>
      <c r="CD371" s="5">
        <f>$CB$25*(CC371+(1-CC371)*$CB$16)</f>
        <v>0.0</v>
      </c>
      <c r="CE371" s="13">
        <f>CD371*($CB$6+ACUTE_MARGIN)</f>
        <v>0.0</v>
      </c>
      <c r="CF371" s="13">
        <f>IF(CB371=1,$CB$31,$CB$32)</f>
        <v>160718.36940738867</v>
      </c>
      <c r="CG371" s="13">
        <f>CE371-CF371</f>
        <v>-160718.36940738867</v>
      </c>
      <c r="CH371" s="13">
        <f>CH370+CG371</f>
        <v>-8057919.761055711</v>
      </c>
      <c r="CI371">
        <f>IF(CH371=MAX($CH$83:$CH$483),$A371,0)</f>
        <v>0</v>
      </c>
      <c r="CJ371">
        <f>IF(CE371&lt;CF371,$A371,B_MAX+1)</f>
        <v>288</v>
      </c>
      <c r="CK371" s="13">
        <f>IF(CB371=1,$CB$35,$CB$36)</f>
        <v>1560.1194073886782</v>
      </c>
      <c r="CL371" s="13">
        <f>OCC_DAYS*$CB$41*R_NF_2023-CD371*MCD_SHARE_FREED*R_WAIT_2023</f>
        <v>151980.48282209205</v>
      </c>
      <c r="CM371">
        <f>IF($A371&lt;=$CB$45,1,0)</f>
        <v>0</v>
      </c>
      <c r="DB371">
        <f>IF($DB$31&lt;=$DB$32,IF($A371&lt;=$DB$7,1,2),IF($A371&lt;=RUNG_BEDS_2,2,1))</f>
        <v>1</v>
      </c>
      <c r="DC371" s="5">
        <f>MIN(1,MAX(0,$DB$26-($A371-1)))</f>
        <v>0</v>
      </c>
      <c r="DD371" s="5">
        <f>$DB$25*(DC371+(1-DC371)*$DB$16)</f>
        <v>0.0</v>
      </c>
      <c r="DE371" s="13">
        <f>DD371*($DB$6+ACUTE_MARGIN)</f>
        <v>0.0</v>
      </c>
      <c r="DF371" s="13">
        <f>IF(DB371=1,$DB$31,$DB$32)</f>
        <v>152394.16214437486</v>
      </c>
      <c r="DG371" s="13">
        <f>DE371-DF371</f>
        <v>-152394.16214437486</v>
      </c>
      <c r="DH371" s="13">
        <f>DH370+DG371</f>
        <v>-5660548.069307627</v>
      </c>
      <c r="DI371">
        <f>IF(DH371=MAX($DH$83:$DH$483),$A371,0)</f>
        <v>0</v>
      </c>
      <c r="DJ371">
        <f>IF(DE371&lt;DF371,$A371,B_MAX+1)</f>
        <v>288</v>
      </c>
      <c r="DK371" s="13">
        <f>IF(DB371=1,$DB$35,$DB$36)</f>
        <v>0</v>
      </c>
      <c r="DL371" s="13">
        <f>OCC_DAYS*$DB$41*R_NF_2023-DD371*MCD_SHARE_FREED*R_WAIT_2023</f>
        <v>151980.48282209205</v>
      </c>
      <c r="DM371">
        <f>IF($A371&lt;=$DB$45,1,0)</f>
        <v>0</v>
      </c>
      <c r="EB371">
        <f>IF($EB$31&lt;=$EB$32,IF($A371&lt;=$EB$7,1,2),IF($A371&lt;=RUNG_BEDS_2,2,1))</f>
        <v>1</v>
      </c>
      <c r="EC371" s="5">
        <f>MIN(1,MAX(0,$EB$26-($A371-1)))</f>
        <v>0</v>
      </c>
      <c r="ED371" s="5">
        <f>$EB$25*(EC371+(1-EC371)*$EB$16)</f>
        <v>0.0</v>
      </c>
      <c r="EE371" s="13">
        <f>ED371*($EB$6+ACUTE_MARGIN)</f>
        <v>0.0</v>
      </c>
      <c r="EF371" s="13">
        <f>IF(EB371=1,$EB$31,$EB$32)</f>
        <v>152394.16214437486</v>
      </c>
      <c r="EG371" s="13">
        <f>EE371-EF371</f>
        <v>-152394.16214437486</v>
      </c>
      <c r="EH371" s="13">
        <f>EH370+EG371</f>
        <v>-5660548.069307627</v>
      </c>
      <c r="EI371">
        <f>IF(EH371=MAX($EH$83:$EH$483),$A371,0)</f>
        <v>0</v>
      </c>
      <c r="EJ371">
        <f>IF(EE371&lt;EF371,$A371,B_MAX+1)</f>
        <v>288</v>
      </c>
      <c r="EK371" s="13">
        <f>IF(EB371=1,$EB$35,$EB$36)</f>
        <v>0</v>
      </c>
      <c r="EL371" s="13">
        <f>OCC_DAYS*$EB$41*R_NF_2023-ED371*MCD_SHARE_FREED*R_WAIT_2023</f>
        <v>50660.16094069735</v>
      </c>
      <c r="EM371">
        <f>IF($A371&lt;=$EB$45,1,0)</f>
        <v>0</v>
      </c>
      <c r="FB371">
        <f>IF($FB$31&lt;=$FB$32,IF($A371&lt;=$FB$7,1,2),IF($A371&lt;=RUNG_BEDS_2,2,1))</f>
        <v>1</v>
      </c>
      <c r="FC371" s="5">
        <f>MIN(1,MAX(0,$FB$26-($A371-1)))</f>
        <v>0</v>
      </c>
      <c r="FD371" s="5">
        <f>$FB$25*(FC371+(1-FC371)*$FB$16)</f>
        <v>0.0</v>
      </c>
      <c r="FE371" s="13">
        <f>FD371*($FB$6+ACUTE_MARGIN)</f>
        <v>0.0</v>
      </c>
      <c r="FF371" s="13">
        <f>IF(FB371=1,$FB$31,$FB$32)</f>
        <v>156636.04979437485</v>
      </c>
      <c r="FG371" s="13">
        <f>FE371-FF371</f>
        <v>-156636.04979437485</v>
      </c>
      <c r="FH371" s="13">
        <f>FH370+FG371</f>
        <v>-6882211.7125077415</v>
      </c>
      <c r="FI371">
        <f>IF(FH371=MAX($FH$83:$FH$483),$A371,0)</f>
        <v>0</v>
      </c>
      <c r="FJ371">
        <f>IF(FE371&lt;FF371,$A371,B_MAX+1)</f>
        <v>288</v>
      </c>
      <c r="FK371" s="13">
        <f>IF(FB371=1,$FB$35,$FB$36)</f>
        <v>0</v>
      </c>
      <c r="FL371" s="13">
        <f>OCC_DAYS*$FB$41*R_NF_2023-FD371*MCD_SHARE_FREED*R_WAIT_2023</f>
        <v>151980.48282209205</v>
      </c>
      <c r="FM371">
        <f>IF($A371&lt;=$FB$45,1,0)</f>
        <v>0</v>
      </c>
      <c r="GB371">
        <f>IF($GB$31&lt;=$GB$32,IF($A371&lt;=$GB$7,1,2),IF($A371&lt;=RUNG_BEDS_2,2,1))</f>
        <v>1</v>
      </c>
      <c r="GC371" s="5">
        <f>MIN(1,MAX(0,$GB$26-($A371-1)))</f>
        <v>0</v>
      </c>
      <c r="GD371" s="5">
        <f>$GB$25*(GC371+(1-GC371)*$GB$16)</f>
        <v>0.0</v>
      </c>
      <c r="GE371" s="13">
        <f>GD371*($GB$6+ACUTE_MARGIN)</f>
        <v>0.0</v>
      </c>
      <c r="GF371" s="13">
        <f>IF(GB371=1,$GB$31,$GB$32)</f>
        <v>152394.16214437486</v>
      </c>
      <c r="GG371" s="13">
        <f>GE371-GF371</f>
        <v>-152394.16214437486</v>
      </c>
      <c r="GH371" s="13">
        <f>GH370+GG371</f>
        <v>-5660548.069307627</v>
      </c>
      <c r="GI371">
        <f>IF(GH371=MAX($GH$83:$GH$483),$A371,0)</f>
        <v>0</v>
      </c>
      <c r="GJ371">
        <f>IF(GE371&lt;GF371,$A371,B_MAX+1)</f>
        <v>288</v>
      </c>
      <c r="GK371" s="13">
        <f>IF(GB371=1,$GB$35,$GB$36)</f>
        <v>0</v>
      </c>
      <c r="GL371" s="13">
        <f>OCC_DAYS*$GB$41*R_NF_2023-GD371*MCD_SHARE_FREED*R_WAIT_2023</f>
        <v>151980.48282209205</v>
      </c>
      <c r="GM371">
        <f>IF($A371&lt;=$GB$45,1,0)</f>
        <v>0</v>
      </c>
      <c r="HB371">
        <f>IF($HB$31&lt;=$HB$32,IF($A371&lt;=$HB$7,1,2),IF($A371&lt;=RUNG_BEDS_2,2,1))</f>
        <v>1</v>
      </c>
      <c r="HC371" s="5">
        <f>MIN(1,MAX(0,$HB$26-($A371-1)))</f>
        <v>0</v>
      </c>
      <c r="HD371" s="5">
        <f>$HB$25*(HC371+(1-HC371)*$HB$16)</f>
        <v>0.0</v>
      </c>
      <c r="HE371" s="13">
        <f>HD371*($HB$6+ACUTE_MARGIN)</f>
        <v>0.0</v>
      </c>
      <c r="HF371" s="13">
        <f>IF(HB371=1,$HB$31,$HB$32)</f>
        <v>152456.2970814058</v>
      </c>
      <c r="HG371" s="13">
        <f>HE371-HF371</f>
        <v>-152456.2970814058</v>
      </c>
      <c r="HH371" s="13">
        <f>HH370+HG371</f>
        <v>-5678442.931172578</v>
      </c>
      <c r="HI371">
        <f>IF(HH371=MAX($HH$83:$HH$483),$A371,0)</f>
        <v>0</v>
      </c>
      <c r="HJ371">
        <f>IF(HE371&lt;HF371,$A371,B_MAX+1)</f>
        <v>288</v>
      </c>
      <c r="HK371" s="13">
        <f>IF(HB371=1,$HB$35,$HB$36)</f>
        <v>0</v>
      </c>
      <c r="HL371" s="13">
        <f>OCC_DAYS*$HB$41*R_NF_2023-HD371*MCD_SHARE_FREED*R_WAIT_2023</f>
        <v>151980.48282209205</v>
      </c>
      <c r="HM371">
        <f>IF($A371&lt;=$HB$45,1,0)</f>
        <v>0</v>
      </c>
      <c r="IB371">
        <f>IF($IB$31&lt;=$IB$32,IF($A371&lt;=$IB$7,1,2),IF($A371&lt;=RUNG_BEDS_2,2,1))</f>
        <v>1</v>
      </c>
      <c r="IC371" s="5">
        <f>MIN(1,MAX(0,$IB$26-($A371-1)))</f>
        <v>0</v>
      </c>
      <c r="ID371" s="5">
        <f>$IB$25*(IC371+(1-IC371)*$IB$16)</f>
        <v>0.0</v>
      </c>
      <c r="IE371" s="13">
        <f>ID371*($IB$6+ACUTE_MARGIN)</f>
        <v>0.0</v>
      </c>
      <c r="IF371" s="13">
        <f>IF(IB371=1,$IB$31,$IB$32)</f>
        <v>152734.9994534971</v>
      </c>
      <c r="IG371" s="13">
        <f>IE371-IF371</f>
        <v>-152734.9994534971</v>
      </c>
      <c r="IH371" s="13">
        <f>IH370+IG371</f>
        <v>-5758709.214334922</v>
      </c>
      <c r="II371">
        <f>IF(IH371=MAX($IH$83:$IH$483),$A371,0)</f>
        <v>0</v>
      </c>
      <c r="IJ371">
        <f>IF(IE371&lt;IF371,$A371,B_MAX+1)</f>
        <v>288</v>
      </c>
      <c r="IK371" s="13">
        <f>IF(IB371=1,$IB$35,$IB$36)</f>
        <v>0</v>
      </c>
      <c r="IL371" s="13">
        <f>OCC_DAYS*$IB$41*R_NF_2023-ID371*MCD_SHARE_FREED*R_WAIT_2023</f>
        <v>151980.48282209205</v>
      </c>
      <c r="IM371">
        <f>IF($A371&lt;=$IB$45,1,0)</f>
        <v>0</v>
      </c>
      <c r="JB371">
        <f>IF($JB$31&lt;=$JB$32,IF($A371&lt;=$JB$7,1,2),IF($A371&lt;=RUNG_BEDS_2,2,1))</f>
        <v>1</v>
      </c>
      <c r="JC371" s="5">
        <f>MIN(1,MAX(0,$JB$26-($A371-1)))</f>
        <v>0</v>
      </c>
      <c r="JD371" s="5">
        <f>$JB$25*(JC371+(1-JC371)*$JB$16)</f>
        <v>0.0</v>
      </c>
      <c r="JE371" s="13">
        <f>JD371*($JB$6+ACUTE_MARGIN)</f>
        <v>0.0</v>
      </c>
      <c r="JF371" s="13">
        <f>IF(JB371=1,$JB$31,$JB$32)</f>
        <v>152394.16214437486</v>
      </c>
      <c r="JG371" s="13">
        <f>JE371-JF371</f>
        <v>-152394.16214437486</v>
      </c>
      <c r="JH371" s="13">
        <f>JH370+JG371</f>
        <v>-5660548.069307627</v>
      </c>
      <c r="JI371">
        <f>IF(JH371=MAX($JH$83:$JH$483),$A371,0)</f>
        <v>0</v>
      </c>
      <c r="JJ371">
        <f>IF(JE371&lt;JF371,$A371,B_MAX+1)</f>
        <v>288</v>
      </c>
      <c r="JK371" s="13">
        <f>IF(JB371=1,$JB$35,$JB$36)</f>
        <v>0</v>
      </c>
      <c r="JL371" s="13">
        <f>OCC_DAYS*$JB$41*R_NF_2023-JD371*MCD_SHARE_FREED*R_WAIT_2023</f>
        <v>151980.48282209205</v>
      </c>
      <c r="JM371">
        <f>IF($A371&lt;=$JB$45,1,0)</f>
        <v>0</v>
      </c>
      <c r="KB371">
        <f>IF($KB$31&lt;=$KB$32,IF($A371&lt;=$KB$7,1,2),IF($A371&lt;=RUNG_BEDS_2,2,1))</f>
        <v>1</v>
      </c>
      <c r="KC371" s="5">
        <f>MIN(1,MAX(0,$KB$26-($A371-1)))</f>
        <v>1</v>
      </c>
      <c r="KD371" s="5">
        <f>$KB$25*(KC371+(1-KC371)*$KB$16)</f>
        <v>126.02661357340719</v>
      </c>
      <c r="KE371" s="13">
        <f>KD371*($KB$6+ACUTE_MARGIN)</f>
        <v>127286.87970914126</v>
      </c>
      <c r="KF371" s="13">
        <f>IF(KB371=1,$KB$31,$KB$32)</f>
        <v>152394.16214437486</v>
      </c>
      <c r="KG371" s="13">
        <f>KE371-KF371</f>
        <v>-25107.282435233603</v>
      </c>
      <c r="KH371" s="13">
        <f>KH370+KG371</f>
        <v>-7230897.341347302</v>
      </c>
      <c r="KI371">
        <f>IF(KH371=MAX($KH$83:$KH$483),$A371,0)</f>
        <v>0</v>
      </c>
      <c r="KJ371">
        <f>IF(KE371&lt;KF371,$A371,B_MAX+1)</f>
        <v>288</v>
      </c>
      <c r="KK371" s="13">
        <f>IF(KB371=1,$KB$35,$KB$36)</f>
        <v>0</v>
      </c>
      <c r="KL371" s="13">
        <f>OCC_DAYS*$KB$41*R_NF_2023-KD371*MCD_SHARE_FREED*R_WAIT_2023</f>
        <v>94673.82103225985</v>
      </c>
      <c r="KM371">
        <f>IF($A371&lt;=$KB$45,1,0)</f>
        <v>0</v>
      </c>
      <c r="LB371">
        <f>IF($LB$31&lt;=$LB$32,IF($A371&lt;=$LB$7,1,2),IF($A371&lt;=RUNG_BEDS_2,2,1))</f>
        <v>1</v>
      </c>
      <c r="LC371" s="5">
        <f>MIN(1,MAX(0,$LB$26-($A371-1)))</f>
        <v>1</v>
      </c>
      <c r="LD371" s="5">
        <f>$LB$25*(LC371+(1-LC371)*$LB$16)</f>
        <v>84.01774238227146</v>
      </c>
      <c r="LE371" s="13">
        <f>LD371*($LB$6+ACUTE_MARGIN)</f>
        <v>84857.91980609419</v>
      </c>
      <c r="LF371" s="13">
        <f>IF(LB371=1,$LB$31,$LB$32)</f>
        <v>152394.16214437486</v>
      </c>
      <c r="LG371" s="13">
        <f>LE371-LF371</f>
        <v>-67536.24233828067</v>
      </c>
      <c r="LH371" s="13">
        <f>LH370+LG371</f>
        <v>-19450437.793424934</v>
      </c>
      <c r="LI371">
        <f>IF(LH371=MAX($LH$83:$LH$483),$A371,0)</f>
        <v>0</v>
      </c>
      <c r="LJ371">
        <f>IF(LE371&lt;LF371,$A371,B_MAX+1)</f>
        <v>288</v>
      </c>
      <c r="LK371" s="13">
        <f>IF(LB371=1,$LB$35,$LB$36)</f>
        <v>0</v>
      </c>
      <c r="LL371" s="13">
        <f>OCC_DAYS*$LB$41*R_NF_2023-LD371*MCD_SHARE_FREED*R_WAIT_2023</f>
        <v>113776.04162887059</v>
      </c>
      <c r="LM371">
        <f>IF($A371&lt;=$LB$45,1,0)</f>
        <v>0</v>
      </c>
      <c r="MB371">
        <f>IF($MB$31&lt;=$MB$32,IF($A371&lt;=$MB$7,1,2),IF($A371&lt;=RUNG_BEDS_2,2,1))</f>
        <v>1</v>
      </c>
      <c r="MC371" s="5">
        <f>MIN(1,MAX(0,$MB$26-($A371-1)))</f>
        <v>0</v>
      </c>
      <c r="MD371" s="5">
        <f>$MB$25*(MC371+(1-MC371)*$MB$16)</f>
        <v>0.0</v>
      </c>
      <c r="ME371" s="13">
        <f>MD371*($MB$6+ACUTE_MARGIN)</f>
        <v>0.0</v>
      </c>
      <c r="MF371" s="13">
        <f>IF(MB371=1,$MB$31,$MB$32)</f>
        <v>152394.16214437486</v>
      </c>
      <c r="MG371" s="13">
        <f>ME371-MF371</f>
        <v>-152394.16214437486</v>
      </c>
      <c r="MH371" s="13">
        <f>MH370+MG371</f>
        <v>-11547824.131105945</v>
      </c>
      <c r="MI371">
        <f>IF(MH371=MAX($MH$83:$MH$483),$A371,0)</f>
        <v>0</v>
      </c>
      <c r="MJ371">
        <f>IF(ME371&lt;MF371,$A371,B_MAX+1)</f>
        <v>288</v>
      </c>
      <c r="MK371" s="13">
        <f>IF(MB371=1,$MB$35,$MB$36)</f>
        <v>0</v>
      </c>
      <c r="ML371" s="13">
        <f>OCC_DAYS*$MB$41*R_NF_2023-MD371*MCD_SHARE_FREED*R_WAIT_2023</f>
        <v>151980.48282209205</v>
      </c>
      <c r="MM371">
        <f>IF($A371&lt;=$MB$45,1,0)</f>
        <v>0</v>
      </c>
      <c r="NB371">
        <f>IF($NB$31&lt;=$NB$32,IF($A371&lt;=$NB$7,1,2),IF($A371&lt;=RUNG_BEDS_2,2,1))</f>
        <v>1</v>
      </c>
      <c r="NC371" s="5">
        <f>MIN(1,MAX(0,$NB$26-($A371-1)))</f>
        <v>0</v>
      </c>
      <c r="ND371" s="5">
        <f>$NB$25*(NC371+(1-NC371)*$NB$16)</f>
        <v>63.013306786703595</v>
      </c>
      <c r="NE371" s="13">
        <f>ND371*($NB$6+ACUTE_MARGIN)</f>
        <v>63643.43985457063</v>
      </c>
      <c r="NF371" s="13">
        <f>IF(NB371=1,$NB$31,$NB$32)</f>
        <v>152394.16214437486</v>
      </c>
      <c r="NG371" s="13">
        <f>NE371-NF371</f>
        <v>-88750.72228980422</v>
      </c>
      <c r="NH371" s="13">
        <f>NH370+NG371</f>
        <v>3111519.9517406076</v>
      </c>
      <c r="NI371">
        <f>IF(NH371=MAX($NH$83:$NH$483),$A371,0)</f>
        <v>0</v>
      </c>
      <c r="NJ371">
        <f>IF(NE371&lt;NF371,$A371,B_MAX+1)</f>
        <v>288</v>
      </c>
      <c r="NK371" s="13">
        <f>IF(NB371=1,$NB$35,$NB$36)</f>
        <v>0</v>
      </c>
      <c r="NL371" s="13">
        <f>OCC_DAYS*$NB$41*R_NF_2023-ND371*MCD_SHARE_FREED*R_WAIT_2023</f>
        <v>123327.15192717595</v>
      </c>
      <c r="NM371">
        <f>IF($A371&lt;=$NB$45,1,0)</f>
        <v>0</v>
      </c>
      <c r="OB371">
        <f>IF($OB$31&lt;=$OB$32,IF($A371&lt;=$OB$7,1,2),IF($A371&lt;=RUNG_BEDS_2,2,1))</f>
        <v>1</v>
      </c>
      <c r="OC371" s="5">
        <f>MIN(1,MAX(0,$OB$26-($A371-1)))</f>
        <v>0</v>
      </c>
      <c r="OD371" s="5">
        <f>$OB$25*(OC371+(1-OC371)*$OB$16)</f>
        <v>126.02661357340719</v>
      </c>
      <c r="OE371" s="13">
        <f>OD371*($OB$6+ACUTE_MARGIN)</f>
        <v>127286.87970914126</v>
      </c>
      <c r="OF371" s="13">
        <f>IF(OB371=1,$OB$31,$OB$32)</f>
        <v>152394.16214437486</v>
      </c>
      <c r="OG371" s="13">
        <f>OE371-OF371</f>
        <v>-25107.282435233603</v>
      </c>
      <c r="OH371" s="13">
        <f>OH370+OG371</f>
        <v>11883587.97278902</v>
      </c>
      <c r="OI371">
        <f>IF(OH371=MAX($OH$83:$OH$483),$A371,0)</f>
        <v>0</v>
      </c>
      <c r="OJ371">
        <f>IF(OE371&lt;OF371,$A371,B_MAX+1)</f>
        <v>288</v>
      </c>
      <c r="OK371" s="13">
        <f>IF(OB371=1,$OB$35,$OB$36)</f>
        <v>0</v>
      </c>
      <c r="OL371" s="13">
        <f>OCC_DAYS*$OB$41*R_NF_2023-OD371*MCD_SHARE_FREED*R_WAIT_2023</f>
        <v>94673.82103225985</v>
      </c>
      <c r="OM371">
        <f>IF($A371&lt;=$OB$45,1,0)</f>
        <v>0</v>
      </c>
    </row>
    <row r="372">
      <c r="A372" t="n">
        <v>289</v>
      </c>
      <c r="B372">
        <f>IF($B$31&lt;=$B$32,IF($A372&lt;=$B$7,1,2),IF($A372&lt;=RUNG_BEDS_2,2,1))</f>
        <v>1</v>
      </c>
      <c r="C372" s="5">
        <f>MIN(1,MAX(0,$B$26-($A372-1)))</f>
        <v>0</v>
      </c>
      <c r="D372" s="5">
        <f>$B$25*(C372+(1-C372)*$B$16)</f>
        <v>0.0</v>
      </c>
      <c r="E372" s="13">
        <f>D372*($B$6+ACUTE_MARGIN)</f>
        <v>0.0</v>
      </c>
      <c r="F372" s="13">
        <f>IF(B372=1,$B$31,$B$32)</f>
        <v>152394.16214437486</v>
      </c>
      <c r="G372" s="13">
        <f>E372-F372</f>
        <v>-152394.16214437486</v>
      </c>
      <c r="H372" s="13">
        <f>H371+G372</f>
        <v>-5812942.231452002</v>
      </c>
      <c r="I372">
        <f>IF(H372=MAX($H$83:$H$483),$A372,0)</f>
        <v>0</v>
      </c>
      <c r="J372">
        <f>IF(E372&lt;F372,$A372,B_MAX+1)</f>
        <v>289</v>
      </c>
      <c r="K372" s="13">
        <f>IF(B372=1,$B$35,$B$36)</f>
        <v>0</v>
      </c>
      <c r="L372" s="13">
        <f>OCC_DAYS*$B$41*R_NF_2023-D372*MCD_SHARE_FREED*R_WAIT_2023</f>
        <v>151980.48282209205</v>
      </c>
      <c r="M372">
        <f>IF($A372&lt;=$B$45,1,0)</f>
        <v>0</v>
      </c>
      <c r="AB372">
        <f>IF($AB$31&lt;=$AB$32,IF($A372&lt;=$AB$7,1,2),IF($A372&lt;=RUNG_BEDS_2,2,1))</f>
        <v>1</v>
      </c>
      <c r="AC372" s="5">
        <f>MIN(1,MAX(0,$AB$26-($A372-1)))</f>
        <v>0</v>
      </c>
      <c r="AD372" s="5">
        <f>$AB$25*(AC372+(1-AC372)*$AB$16)</f>
        <v>0.0</v>
      </c>
      <c r="AE372" s="13">
        <f>AD372*($AB$6+ACUTE_MARGIN)</f>
        <v>0.0</v>
      </c>
      <c r="AF372" s="13">
        <f>IF(AB372=1,$AB$31,$AB$32)</f>
        <v>152394.16214437486</v>
      </c>
      <c r="AG372" s="13">
        <f>AE372-AF372</f>
        <v>-152394.16214437486</v>
      </c>
      <c r="AH372" s="13">
        <f>AH371+AG372</f>
        <v>-23224156.577001754</v>
      </c>
      <c r="AI372">
        <f>IF(AH372=MAX($AH$83:$AH$483),$A372,0)</f>
        <v>0</v>
      </c>
      <c r="AJ372">
        <f>IF(AE372&lt;AF372,$A372,B_MAX+1)</f>
        <v>289</v>
      </c>
      <c r="AK372" s="13">
        <f>IF(AB372=1,$AB$35,$AB$36)</f>
        <v>0</v>
      </c>
      <c r="AL372" s="13">
        <f>OCC_DAYS*$AB$41*R_NF_2023-AD372*MCD_SHARE_FREED*R_WAIT_2023</f>
        <v>151980.48282209205</v>
      </c>
      <c r="AM372">
        <f>IF($A372&lt;=$AB$45,1,0)</f>
        <v>0</v>
      </c>
      <c r="BB372">
        <f>IF($BB$31&lt;=$BB$32,IF($A372&lt;=$BB$7,1,2),IF($A372&lt;=RUNG_BEDS_2,2,1))</f>
        <v>1</v>
      </c>
      <c r="BC372" s="5">
        <f>MIN(1,MAX(0,$BB$26-($A372-1)))</f>
        <v>0</v>
      </c>
      <c r="BD372" s="5">
        <f>$BB$25*(BC372+(1-BC372)*$BB$16)</f>
        <v>0.0</v>
      </c>
      <c r="BE372" s="13">
        <f>BD372*($BB$6+ACUTE_MARGIN)</f>
        <v>0.0</v>
      </c>
      <c r="BF372" s="13">
        <f>IF(BB372=1,$BB$31,$BB$32)</f>
        <v>152394.16214437486</v>
      </c>
      <c r="BG372" s="13">
        <f>BE372-BF372</f>
        <v>-152394.16214437486</v>
      </c>
      <c r="BH372" s="13">
        <f>BH371+BG372</f>
        <v>11598272.11409774</v>
      </c>
      <c r="BI372">
        <f>IF(BH372=MAX($BH$83:$BH$483),$A372,0)</f>
        <v>0</v>
      </c>
      <c r="BJ372">
        <f>IF(BE372&lt;BF372,$A372,B_MAX+1)</f>
        <v>289</v>
      </c>
      <c r="BK372" s="13">
        <f>IF(BB372=1,$BB$35,$BB$36)</f>
        <v>0</v>
      </c>
      <c r="BL372" s="13">
        <f>OCC_DAYS*$BB$41*R_NF_2023-BD372*MCD_SHARE_FREED*R_WAIT_2023</f>
        <v>151980.48282209205</v>
      </c>
      <c r="BM372">
        <f>IF($A372&lt;=$BB$45,1,0)</f>
        <v>0</v>
      </c>
      <c r="CB372">
        <f>IF($CB$31&lt;=$CB$32,IF($A372&lt;=$CB$7,1,2),IF($A372&lt;=RUNG_BEDS_2,2,1))</f>
        <v>2</v>
      </c>
      <c r="CC372" s="5">
        <f>MIN(1,MAX(0,$CB$26-($A372-1)))</f>
        <v>0</v>
      </c>
      <c r="CD372" s="5">
        <f>$CB$25*(CC372+(1-CC372)*$CB$16)</f>
        <v>0.0</v>
      </c>
      <c r="CE372" s="13">
        <f>CD372*($CB$6+ACUTE_MARGIN)</f>
        <v>0.0</v>
      </c>
      <c r="CF372" s="13">
        <f>IF(CB372=1,$CB$31,$CB$32)</f>
        <v>160718.36940738867</v>
      </c>
      <c r="CG372" s="13">
        <f>CE372-CF372</f>
        <v>-160718.36940738867</v>
      </c>
      <c r="CH372" s="13">
        <f>CH371+CG372</f>
        <v>-8218638.130463099</v>
      </c>
      <c r="CI372">
        <f>IF(CH372=MAX($CH$83:$CH$483),$A372,0)</f>
        <v>0</v>
      </c>
      <c r="CJ372">
        <f>IF(CE372&lt;CF372,$A372,B_MAX+1)</f>
        <v>289</v>
      </c>
      <c r="CK372" s="13">
        <f>IF(CB372=1,$CB$35,$CB$36)</f>
        <v>1560.1194073886782</v>
      </c>
      <c r="CL372" s="13">
        <f>OCC_DAYS*$CB$41*R_NF_2023-CD372*MCD_SHARE_FREED*R_WAIT_2023</f>
        <v>151980.48282209205</v>
      </c>
      <c r="CM372">
        <f>IF($A372&lt;=$CB$45,1,0)</f>
        <v>0</v>
      </c>
      <c r="DB372">
        <f>IF($DB$31&lt;=$DB$32,IF($A372&lt;=$DB$7,1,2),IF($A372&lt;=RUNG_BEDS_2,2,1))</f>
        <v>1</v>
      </c>
      <c r="DC372" s="5">
        <f>MIN(1,MAX(0,$DB$26-($A372-1)))</f>
        <v>0</v>
      </c>
      <c r="DD372" s="5">
        <f>$DB$25*(DC372+(1-DC372)*$DB$16)</f>
        <v>0.0</v>
      </c>
      <c r="DE372" s="13">
        <f>DD372*($DB$6+ACUTE_MARGIN)</f>
        <v>0.0</v>
      </c>
      <c r="DF372" s="13">
        <f>IF(DB372=1,$DB$31,$DB$32)</f>
        <v>152394.16214437486</v>
      </c>
      <c r="DG372" s="13">
        <f>DE372-DF372</f>
        <v>-152394.16214437486</v>
      </c>
      <c r="DH372" s="13">
        <f>DH371+DG372</f>
        <v>-5812942.231452002</v>
      </c>
      <c r="DI372">
        <f>IF(DH372=MAX($DH$83:$DH$483),$A372,0)</f>
        <v>0</v>
      </c>
      <c r="DJ372">
        <f>IF(DE372&lt;DF372,$A372,B_MAX+1)</f>
        <v>289</v>
      </c>
      <c r="DK372" s="13">
        <f>IF(DB372=1,$DB$35,$DB$36)</f>
        <v>0</v>
      </c>
      <c r="DL372" s="13">
        <f>OCC_DAYS*$DB$41*R_NF_2023-DD372*MCD_SHARE_FREED*R_WAIT_2023</f>
        <v>151980.48282209205</v>
      </c>
      <c r="DM372">
        <f>IF($A372&lt;=$DB$45,1,0)</f>
        <v>0</v>
      </c>
      <c r="EB372">
        <f>IF($EB$31&lt;=$EB$32,IF($A372&lt;=$EB$7,1,2),IF($A372&lt;=RUNG_BEDS_2,2,1))</f>
        <v>1</v>
      </c>
      <c r="EC372" s="5">
        <f>MIN(1,MAX(0,$EB$26-($A372-1)))</f>
        <v>0</v>
      </c>
      <c r="ED372" s="5">
        <f>$EB$25*(EC372+(1-EC372)*$EB$16)</f>
        <v>0.0</v>
      </c>
      <c r="EE372" s="13">
        <f>ED372*($EB$6+ACUTE_MARGIN)</f>
        <v>0.0</v>
      </c>
      <c r="EF372" s="13">
        <f>IF(EB372=1,$EB$31,$EB$32)</f>
        <v>152394.16214437486</v>
      </c>
      <c r="EG372" s="13">
        <f>EE372-EF372</f>
        <v>-152394.16214437486</v>
      </c>
      <c r="EH372" s="13">
        <f>EH371+EG372</f>
        <v>-5812942.231452002</v>
      </c>
      <c r="EI372">
        <f>IF(EH372=MAX($EH$83:$EH$483),$A372,0)</f>
        <v>0</v>
      </c>
      <c r="EJ372">
        <f>IF(EE372&lt;EF372,$A372,B_MAX+1)</f>
        <v>289</v>
      </c>
      <c r="EK372" s="13">
        <f>IF(EB372=1,$EB$35,$EB$36)</f>
        <v>0</v>
      </c>
      <c r="EL372" s="13">
        <f>OCC_DAYS*$EB$41*R_NF_2023-ED372*MCD_SHARE_FREED*R_WAIT_2023</f>
        <v>50660.16094069735</v>
      </c>
      <c r="EM372">
        <f>IF($A372&lt;=$EB$45,1,0)</f>
        <v>0</v>
      </c>
      <c r="FB372">
        <f>IF($FB$31&lt;=$FB$32,IF($A372&lt;=$FB$7,1,2),IF($A372&lt;=RUNG_BEDS_2,2,1))</f>
        <v>1</v>
      </c>
      <c r="FC372" s="5">
        <f>MIN(1,MAX(0,$FB$26-($A372-1)))</f>
        <v>0</v>
      </c>
      <c r="FD372" s="5">
        <f>$FB$25*(FC372+(1-FC372)*$FB$16)</f>
        <v>0.0</v>
      </c>
      <c r="FE372" s="13">
        <f>FD372*($FB$6+ACUTE_MARGIN)</f>
        <v>0.0</v>
      </c>
      <c r="FF372" s="13">
        <f>IF(FB372=1,$FB$31,$FB$32)</f>
        <v>156636.04979437485</v>
      </c>
      <c r="FG372" s="13">
        <f>FE372-FF372</f>
        <v>-156636.04979437485</v>
      </c>
      <c r="FH372" s="13">
        <f>FH371+FG372</f>
        <v>-7038847.7623021165</v>
      </c>
      <c r="FI372">
        <f>IF(FH372=MAX($FH$83:$FH$483),$A372,0)</f>
        <v>0</v>
      </c>
      <c r="FJ372">
        <f>IF(FE372&lt;FF372,$A372,B_MAX+1)</f>
        <v>289</v>
      </c>
      <c r="FK372" s="13">
        <f>IF(FB372=1,$FB$35,$FB$36)</f>
        <v>0</v>
      </c>
      <c r="FL372" s="13">
        <f>OCC_DAYS*$FB$41*R_NF_2023-FD372*MCD_SHARE_FREED*R_WAIT_2023</f>
        <v>151980.48282209205</v>
      </c>
      <c r="FM372">
        <f>IF($A372&lt;=$FB$45,1,0)</f>
        <v>0</v>
      </c>
      <c r="GB372">
        <f>IF($GB$31&lt;=$GB$32,IF($A372&lt;=$GB$7,1,2),IF($A372&lt;=RUNG_BEDS_2,2,1))</f>
        <v>1</v>
      </c>
      <c r="GC372" s="5">
        <f>MIN(1,MAX(0,$GB$26-($A372-1)))</f>
        <v>0</v>
      </c>
      <c r="GD372" s="5">
        <f>$GB$25*(GC372+(1-GC372)*$GB$16)</f>
        <v>0.0</v>
      </c>
      <c r="GE372" s="13">
        <f>GD372*($GB$6+ACUTE_MARGIN)</f>
        <v>0.0</v>
      </c>
      <c r="GF372" s="13">
        <f>IF(GB372=1,$GB$31,$GB$32)</f>
        <v>152394.16214437486</v>
      </c>
      <c r="GG372" s="13">
        <f>GE372-GF372</f>
        <v>-152394.16214437486</v>
      </c>
      <c r="GH372" s="13">
        <f>GH371+GG372</f>
        <v>-5812942.231452002</v>
      </c>
      <c r="GI372">
        <f>IF(GH372=MAX($GH$83:$GH$483),$A372,0)</f>
        <v>0</v>
      </c>
      <c r="GJ372">
        <f>IF(GE372&lt;GF372,$A372,B_MAX+1)</f>
        <v>289</v>
      </c>
      <c r="GK372" s="13">
        <f>IF(GB372=1,$GB$35,$GB$36)</f>
        <v>0</v>
      </c>
      <c r="GL372" s="13">
        <f>OCC_DAYS*$GB$41*R_NF_2023-GD372*MCD_SHARE_FREED*R_WAIT_2023</f>
        <v>151980.48282209205</v>
      </c>
      <c r="GM372">
        <f>IF($A372&lt;=$GB$45,1,0)</f>
        <v>0</v>
      </c>
      <c r="HB372">
        <f>IF($HB$31&lt;=$HB$32,IF($A372&lt;=$HB$7,1,2),IF($A372&lt;=RUNG_BEDS_2,2,1))</f>
        <v>1</v>
      </c>
      <c r="HC372" s="5">
        <f>MIN(1,MAX(0,$HB$26-($A372-1)))</f>
        <v>0</v>
      </c>
      <c r="HD372" s="5">
        <f>$HB$25*(HC372+(1-HC372)*$HB$16)</f>
        <v>0.0</v>
      </c>
      <c r="HE372" s="13">
        <f>HD372*($HB$6+ACUTE_MARGIN)</f>
        <v>0.0</v>
      </c>
      <c r="HF372" s="13">
        <f>IF(HB372=1,$HB$31,$HB$32)</f>
        <v>152456.2970814058</v>
      </c>
      <c r="HG372" s="13">
        <f>HE372-HF372</f>
        <v>-152456.2970814058</v>
      </c>
      <c r="HH372" s="13">
        <f>HH371+HG372</f>
        <v>-5830899.228253984</v>
      </c>
      <c r="HI372">
        <f>IF(HH372=MAX($HH$83:$HH$483),$A372,0)</f>
        <v>0</v>
      </c>
      <c r="HJ372">
        <f>IF(HE372&lt;HF372,$A372,B_MAX+1)</f>
        <v>289</v>
      </c>
      <c r="HK372" s="13">
        <f>IF(HB372=1,$HB$35,$HB$36)</f>
        <v>0</v>
      </c>
      <c r="HL372" s="13">
        <f>OCC_DAYS*$HB$41*R_NF_2023-HD372*MCD_SHARE_FREED*R_WAIT_2023</f>
        <v>151980.48282209205</v>
      </c>
      <c r="HM372">
        <f>IF($A372&lt;=$HB$45,1,0)</f>
        <v>0</v>
      </c>
      <c r="IB372">
        <f>IF($IB$31&lt;=$IB$32,IF($A372&lt;=$IB$7,1,2),IF($A372&lt;=RUNG_BEDS_2,2,1))</f>
        <v>1</v>
      </c>
      <c r="IC372" s="5">
        <f>MIN(1,MAX(0,$IB$26-($A372-1)))</f>
        <v>0</v>
      </c>
      <c r="ID372" s="5">
        <f>$IB$25*(IC372+(1-IC372)*$IB$16)</f>
        <v>0.0</v>
      </c>
      <c r="IE372" s="13">
        <f>ID372*($IB$6+ACUTE_MARGIN)</f>
        <v>0.0</v>
      </c>
      <c r="IF372" s="13">
        <f>IF(IB372=1,$IB$31,$IB$32)</f>
        <v>152734.9994534971</v>
      </c>
      <c r="IG372" s="13">
        <f>IE372-IF372</f>
        <v>-152734.9994534971</v>
      </c>
      <c r="IH372" s="13">
        <f>IH371+IG372</f>
        <v>-5911444.213788419</v>
      </c>
      <c r="II372">
        <f>IF(IH372=MAX($IH$83:$IH$483),$A372,0)</f>
        <v>0</v>
      </c>
      <c r="IJ372">
        <f>IF(IE372&lt;IF372,$A372,B_MAX+1)</f>
        <v>289</v>
      </c>
      <c r="IK372" s="13">
        <f>IF(IB372=1,$IB$35,$IB$36)</f>
        <v>0</v>
      </c>
      <c r="IL372" s="13">
        <f>OCC_DAYS*$IB$41*R_NF_2023-ID372*MCD_SHARE_FREED*R_WAIT_2023</f>
        <v>151980.48282209205</v>
      </c>
      <c r="IM372">
        <f>IF($A372&lt;=$IB$45,1,0)</f>
        <v>0</v>
      </c>
      <c r="JB372">
        <f>IF($JB$31&lt;=$JB$32,IF($A372&lt;=$JB$7,1,2),IF($A372&lt;=RUNG_BEDS_2,2,1))</f>
        <v>1</v>
      </c>
      <c r="JC372" s="5">
        <f>MIN(1,MAX(0,$JB$26-($A372-1)))</f>
        <v>0</v>
      </c>
      <c r="JD372" s="5">
        <f>$JB$25*(JC372+(1-JC372)*$JB$16)</f>
        <v>0.0</v>
      </c>
      <c r="JE372" s="13">
        <f>JD372*($JB$6+ACUTE_MARGIN)</f>
        <v>0.0</v>
      </c>
      <c r="JF372" s="13">
        <f>IF(JB372=1,$JB$31,$JB$32)</f>
        <v>152394.16214437486</v>
      </c>
      <c r="JG372" s="13">
        <f>JE372-JF372</f>
        <v>-152394.16214437486</v>
      </c>
      <c r="JH372" s="13">
        <f>JH371+JG372</f>
        <v>-5812942.231452002</v>
      </c>
      <c r="JI372">
        <f>IF(JH372=MAX($JH$83:$JH$483),$A372,0)</f>
        <v>0</v>
      </c>
      <c r="JJ372">
        <f>IF(JE372&lt;JF372,$A372,B_MAX+1)</f>
        <v>289</v>
      </c>
      <c r="JK372" s="13">
        <f>IF(JB372=1,$JB$35,$JB$36)</f>
        <v>0</v>
      </c>
      <c r="JL372" s="13">
        <f>OCC_DAYS*$JB$41*R_NF_2023-JD372*MCD_SHARE_FREED*R_WAIT_2023</f>
        <v>151980.48282209205</v>
      </c>
      <c r="JM372">
        <f>IF($A372&lt;=$JB$45,1,0)</f>
        <v>0</v>
      </c>
      <c r="KB372">
        <f>IF($KB$31&lt;=$KB$32,IF($A372&lt;=$KB$7,1,2),IF($A372&lt;=RUNG_BEDS_2,2,1))</f>
        <v>1</v>
      </c>
      <c r="KC372" s="5">
        <f>MIN(1,MAX(0,$KB$26-($A372-1)))</f>
        <v>1</v>
      </c>
      <c r="KD372" s="5">
        <f>$KB$25*(KC372+(1-KC372)*$KB$16)</f>
        <v>126.02661357340719</v>
      </c>
      <c r="KE372" s="13">
        <f>KD372*($KB$6+ACUTE_MARGIN)</f>
        <v>127286.87970914126</v>
      </c>
      <c r="KF372" s="13">
        <f>IF(KB372=1,$KB$31,$KB$32)</f>
        <v>152394.16214437486</v>
      </c>
      <c r="KG372" s="13">
        <f>KE372-KF372</f>
        <v>-25107.282435233603</v>
      </c>
      <c r="KH372" s="13">
        <f>KH371+KG372</f>
        <v>-7256004.623782536</v>
      </c>
      <c r="KI372">
        <f>IF(KH372=MAX($KH$83:$KH$483),$A372,0)</f>
        <v>0</v>
      </c>
      <c r="KJ372">
        <f>IF(KE372&lt;KF372,$A372,B_MAX+1)</f>
        <v>289</v>
      </c>
      <c r="KK372" s="13">
        <f>IF(KB372=1,$KB$35,$KB$36)</f>
        <v>0</v>
      </c>
      <c r="KL372" s="13">
        <f>OCC_DAYS*$KB$41*R_NF_2023-KD372*MCD_SHARE_FREED*R_WAIT_2023</f>
        <v>94673.82103225985</v>
      </c>
      <c r="KM372">
        <f>IF($A372&lt;=$KB$45,1,0)</f>
        <v>0</v>
      </c>
      <c r="LB372">
        <f>IF($LB$31&lt;=$LB$32,IF($A372&lt;=$LB$7,1,2),IF($A372&lt;=RUNG_BEDS_2,2,1))</f>
        <v>1</v>
      </c>
      <c r="LC372" s="5">
        <f>MIN(1,MAX(0,$LB$26-($A372-1)))</f>
        <v>1</v>
      </c>
      <c r="LD372" s="5">
        <f>$LB$25*(LC372+(1-LC372)*$LB$16)</f>
        <v>84.01774238227146</v>
      </c>
      <c r="LE372" s="13">
        <f>LD372*($LB$6+ACUTE_MARGIN)</f>
        <v>84857.91980609419</v>
      </c>
      <c r="LF372" s="13">
        <f>IF(LB372=1,$LB$31,$LB$32)</f>
        <v>152394.16214437486</v>
      </c>
      <c r="LG372" s="13">
        <f>LE372-LF372</f>
        <v>-67536.24233828067</v>
      </c>
      <c r="LH372" s="13">
        <f>LH371+LG372</f>
        <v>-19517974.035763215</v>
      </c>
      <c r="LI372">
        <f>IF(LH372=MAX($LH$83:$LH$483),$A372,0)</f>
        <v>0</v>
      </c>
      <c r="LJ372">
        <f>IF(LE372&lt;LF372,$A372,B_MAX+1)</f>
        <v>289</v>
      </c>
      <c r="LK372" s="13">
        <f>IF(LB372=1,$LB$35,$LB$36)</f>
        <v>0</v>
      </c>
      <c r="LL372" s="13">
        <f>OCC_DAYS*$LB$41*R_NF_2023-LD372*MCD_SHARE_FREED*R_WAIT_2023</f>
        <v>113776.04162887059</v>
      </c>
      <c r="LM372">
        <f>IF($A372&lt;=$LB$45,1,0)</f>
        <v>0</v>
      </c>
      <c r="MB372">
        <f>IF($MB$31&lt;=$MB$32,IF($A372&lt;=$MB$7,1,2),IF($A372&lt;=RUNG_BEDS_2,2,1))</f>
        <v>1</v>
      </c>
      <c r="MC372" s="5">
        <f>MIN(1,MAX(0,$MB$26-($A372-1)))</f>
        <v>0</v>
      </c>
      <c r="MD372" s="5">
        <f>$MB$25*(MC372+(1-MC372)*$MB$16)</f>
        <v>0.0</v>
      </c>
      <c r="ME372" s="13">
        <f>MD372*($MB$6+ACUTE_MARGIN)</f>
        <v>0.0</v>
      </c>
      <c r="MF372" s="13">
        <f>IF(MB372=1,$MB$31,$MB$32)</f>
        <v>152394.16214437486</v>
      </c>
      <c r="MG372" s="13">
        <f>ME372-MF372</f>
        <v>-152394.16214437486</v>
      </c>
      <c r="MH372" s="13">
        <f>MH371+MG372</f>
        <v>-11700218.293250319</v>
      </c>
      <c r="MI372">
        <f>IF(MH372=MAX($MH$83:$MH$483),$A372,0)</f>
        <v>0</v>
      </c>
      <c r="MJ372">
        <f>IF(ME372&lt;MF372,$A372,B_MAX+1)</f>
        <v>289</v>
      </c>
      <c r="MK372" s="13">
        <f>IF(MB372=1,$MB$35,$MB$36)</f>
        <v>0</v>
      </c>
      <c r="ML372" s="13">
        <f>OCC_DAYS*$MB$41*R_NF_2023-MD372*MCD_SHARE_FREED*R_WAIT_2023</f>
        <v>151980.48282209205</v>
      </c>
      <c r="MM372">
        <f>IF($A372&lt;=$MB$45,1,0)</f>
        <v>0</v>
      </c>
      <c r="NB372">
        <f>IF($NB$31&lt;=$NB$32,IF($A372&lt;=$NB$7,1,2),IF($A372&lt;=RUNG_BEDS_2,2,1))</f>
        <v>1</v>
      </c>
      <c r="NC372" s="5">
        <f>MIN(1,MAX(0,$NB$26-($A372-1)))</f>
        <v>0</v>
      </c>
      <c r="ND372" s="5">
        <f>$NB$25*(NC372+(1-NC372)*$NB$16)</f>
        <v>63.013306786703595</v>
      </c>
      <c r="NE372" s="13">
        <f>ND372*($NB$6+ACUTE_MARGIN)</f>
        <v>63643.43985457063</v>
      </c>
      <c r="NF372" s="13">
        <f>IF(NB372=1,$NB$31,$NB$32)</f>
        <v>152394.16214437486</v>
      </c>
      <c r="NG372" s="13">
        <f>NE372-NF372</f>
        <v>-88750.72228980422</v>
      </c>
      <c r="NH372" s="13">
        <f>NH371+NG372</f>
        <v>3022769.2294508033</v>
      </c>
      <c r="NI372">
        <f>IF(NH372=MAX($NH$83:$NH$483),$A372,0)</f>
        <v>0</v>
      </c>
      <c r="NJ372">
        <f>IF(NE372&lt;NF372,$A372,B_MAX+1)</f>
        <v>289</v>
      </c>
      <c r="NK372" s="13">
        <f>IF(NB372=1,$NB$35,$NB$36)</f>
        <v>0</v>
      </c>
      <c r="NL372" s="13">
        <f>OCC_DAYS*$NB$41*R_NF_2023-ND372*MCD_SHARE_FREED*R_WAIT_2023</f>
        <v>123327.15192717595</v>
      </c>
      <c r="NM372">
        <f>IF($A372&lt;=$NB$45,1,0)</f>
        <v>0</v>
      </c>
      <c r="OB372">
        <f>IF($OB$31&lt;=$OB$32,IF($A372&lt;=$OB$7,1,2),IF($A372&lt;=RUNG_BEDS_2,2,1))</f>
        <v>1</v>
      </c>
      <c r="OC372" s="5">
        <f>MIN(1,MAX(0,$OB$26-($A372-1)))</f>
        <v>0</v>
      </c>
      <c r="OD372" s="5">
        <f>$OB$25*(OC372+(1-OC372)*$OB$16)</f>
        <v>126.02661357340719</v>
      </c>
      <c r="OE372" s="13">
        <f>OD372*($OB$6+ACUTE_MARGIN)</f>
        <v>127286.87970914126</v>
      </c>
      <c r="OF372" s="13">
        <f>IF(OB372=1,$OB$31,$OB$32)</f>
        <v>152394.16214437486</v>
      </c>
      <c r="OG372" s="13">
        <f>OE372-OF372</f>
        <v>-25107.282435233603</v>
      </c>
      <c r="OH372" s="13">
        <f>OH371+OG372</f>
        <v>11858480.690353787</v>
      </c>
      <c r="OI372">
        <f>IF(OH372=MAX($OH$83:$OH$483),$A372,0)</f>
        <v>0</v>
      </c>
      <c r="OJ372">
        <f>IF(OE372&lt;OF372,$A372,B_MAX+1)</f>
        <v>289</v>
      </c>
      <c r="OK372" s="13">
        <f>IF(OB372=1,$OB$35,$OB$36)</f>
        <v>0</v>
      </c>
      <c r="OL372" s="13">
        <f>OCC_DAYS*$OB$41*R_NF_2023-OD372*MCD_SHARE_FREED*R_WAIT_2023</f>
        <v>94673.82103225985</v>
      </c>
      <c r="OM372">
        <f>IF($A372&lt;=$OB$45,1,0)</f>
        <v>0</v>
      </c>
    </row>
    <row r="373">
      <c r="A373" t="n">
        <v>290</v>
      </c>
      <c r="B373">
        <f>IF($B$31&lt;=$B$32,IF($A373&lt;=$B$7,1,2),IF($A373&lt;=RUNG_BEDS_2,2,1))</f>
        <v>1</v>
      </c>
      <c r="C373" s="5">
        <f>MIN(1,MAX(0,$B$26-($A373-1)))</f>
        <v>0</v>
      </c>
      <c r="D373" s="5">
        <f>$B$25*(C373+(1-C373)*$B$16)</f>
        <v>0.0</v>
      </c>
      <c r="E373" s="13">
        <f>D373*($B$6+ACUTE_MARGIN)</f>
        <v>0.0</v>
      </c>
      <c r="F373" s="13">
        <f>IF(B373=1,$B$31,$B$32)</f>
        <v>152394.16214437486</v>
      </c>
      <c r="G373" s="13">
        <f>E373-F373</f>
        <v>-152394.16214437486</v>
      </c>
      <c r="H373" s="13">
        <f>H372+G373</f>
        <v>-5965336.393596377</v>
      </c>
      <c r="I373">
        <f>IF(H373=MAX($H$83:$H$483),$A373,0)</f>
        <v>0</v>
      </c>
      <c r="J373">
        <f>IF(E373&lt;F373,$A373,B_MAX+1)</f>
        <v>290</v>
      </c>
      <c r="K373" s="13">
        <f>IF(B373=1,$B$35,$B$36)</f>
        <v>0</v>
      </c>
      <c r="L373" s="13">
        <f>OCC_DAYS*$B$41*R_NF_2023-D373*MCD_SHARE_FREED*R_WAIT_2023</f>
        <v>151980.48282209205</v>
      </c>
      <c r="M373">
        <f>IF($A373&lt;=$B$45,1,0)</f>
        <v>0</v>
      </c>
      <c r="AB373">
        <f>IF($AB$31&lt;=$AB$32,IF($A373&lt;=$AB$7,1,2),IF($A373&lt;=RUNG_BEDS_2,2,1))</f>
        <v>1</v>
      </c>
      <c r="AC373" s="5">
        <f>MIN(1,MAX(0,$AB$26-($A373-1)))</f>
        <v>0</v>
      </c>
      <c r="AD373" s="5">
        <f>$AB$25*(AC373+(1-AC373)*$AB$16)</f>
        <v>0.0</v>
      </c>
      <c r="AE373" s="13">
        <f>AD373*($AB$6+ACUTE_MARGIN)</f>
        <v>0.0</v>
      </c>
      <c r="AF373" s="13">
        <f>IF(AB373=1,$AB$31,$AB$32)</f>
        <v>152394.16214437486</v>
      </c>
      <c r="AG373" s="13">
        <f>AE373-AF373</f>
        <v>-152394.16214437486</v>
      </c>
      <c r="AH373" s="13">
        <f>AH372+AG373</f>
        <v>-23376550.73914613</v>
      </c>
      <c r="AI373">
        <f>IF(AH373=MAX($AH$83:$AH$483),$A373,0)</f>
        <v>0</v>
      </c>
      <c r="AJ373">
        <f>IF(AE373&lt;AF373,$A373,B_MAX+1)</f>
        <v>290</v>
      </c>
      <c r="AK373" s="13">
        <f>IF(AB373=1,$AB$35,$AB$36)</f>
        <v>0</v>
      </c>
      <c r="AL373" s="13">
        <f>OCC_DAYS*$AB$41*R_NF_2023-AD373*MCD_SHARE_FREED*R_WAIT_2023</f>
        <v>151980.48282209205</v>
      </c>
      <c r="AM373">
        <f>IF($A373&lt;=$AB$45,1,0)</f>
        <v>0</v>
      </c>
      <c r="BB373">
        <f>IF($BB$31&lt;=$BB$32,IF($A373&lt;=$BB$7,1,2),IF($A373&lt;=RUNG_BEDS_2,2,1))</f>
        <v>1</v>
      </c>
      <c r="BC373" s="5">
        <f>MIN(1,MAX(0,$BB$26-($A373-1)))</f>
        <v>0</v>
      </c>
      <c r="BD373" s="5">
        <f>$BB$25*(BC373+(1-BC373)*$BB$16)</f>
        <v>0.0</v>
      </c>
      <c r="BE373" s="13">
        <f>BD373*($BB$6+ACUTE_MARGIN)</f>
        <v>0.0</v>
      </c>
      <c r="BF373" s="13">
        <f>IF(BB373=1,$BB$31,$BB$32)</f>
        <v>152394.16214437486</v>
      </c>
      <c r="BG373" s="13">
        <f>BE373-BF373</f>
        <v>-152394.16214437486</v>
      </c>
      <c r="BH373" s="13">
        <f>BH372+BG373</f>
        <v>11445877.951953366</v>
      </c>
      <c r="BI373">
        <f>IF(BH373=MAX($BH$83:$BH$483),$A373,0)</f>
        <v>0</v>
      </c>
      <c r="BJ373">
        <f>IF(BE373&lt;BF373,$A373,B_MAX+1)</f>
        <v>290</v>
      </c>
      <c r="BK373" s="13">
        <f>IF(BB373=1,$BB$35,$BB$36)</f>
        <v>0</v>
      </c>
      <c r="BL373" s="13">
        <f>OCC_DAYS*$BB$41*R_NF_2023-BD373*MCD_SHARE_FREED*R_WAIT_2023</f>
        <v>151980.48282209205</v>
      </c>
      <c r="BM373">
        <f>IF($A373&lt;=$BB$45,1,0)</f>
        <v>0</v>
      </c>
      <c r="CB373">
        <f>IF($CB$31&lt;=$CB$32,IF($A373&lt;=$CB$7,1,2),IF($A373&lt;=RUNG_BEDS_2,2,1))</f>
        <v>2</v>
      </c>
      <c r="CC373" s="5">
        <f>MIN(1,MAX(0,$CB$26-($A373-1)))</f>
        <v>0</v>
      </c>
      <c r="CD373" s="5">
        <f>$CB$25*(CC373+(1-CC373)*$CB$16)</f>
        <v>0.0</v>
      </c>
      <c r="CE373" s="13">
        <f>CD373*($CB$6+ACUTE_MARGIN)</f>
        <v>0.0</v>
      </c>
      <c r="CF373" s="13">
        <f>IF(CB373=1,$CB$31,$CB$32)</f>
        <v>160718.36940738867</v>
      </c>
      <c r="CG373" s="13">
        <f>CE373-CF373</f>
        <v>-160718.36940738867</v>
      </c>
      <c r="CH373" s="13">
        <f>CH372+CG373</f>
        <v>-8379356.4998704875</v>
      </c>
      <c r="CI373">
        <f>IF(CH373=MAX($CH$83:$CH$483),$A373,0)</f>
        <v>0</v>
      </c>
      <c r="CJ373">
        <f>IF(CE373&lt;CF373,$A373,B_MAX+1)</f>
        <v>290</v>
      </c>
      <c r="CK373" s="13">
        <f>IF(CB373=1,$CB$35,$CB$36)</f>
        <v>1560.1194073886782</v>
      </c>
      <c r="CL373" s="13">
        <f>OCC_DAYS*$CB$41*R_NF_2023-CD373*MCD_SHARE_FREED*R_WAIT_2023</f>
        <v>151980.48282209205</v>
      </c>
      <c r="CM373">
        <f>IF($A373&lt;=$CB$45,1,0)</f>
        <v>0</v>
      </c>
      <c r="DB373">
        <f>IF($DB$31&lt;=$DB$32,IF($A373&lt;=$DB$7,1,2),IF($A373&lt;=RUNG_BEDS_2,2,1))</f>
        <v>1</v>
      </c>
      <c r="DC373" s="5">
        <f>MIN(1,MAX(0,$DB$26-($A373-1)))</f>
        <v>0</v>
      </c>
      <c r="DD373" s="5">
        <f>$DB$25*(DC373+(1-DC373)*$DB$16)</f>
        <v>0.0</v>
      </c>
      <c r="DE373" s="13">
        <f>DD373*($DB$6+ACUTE_MARGIN)</f>
        <v>0.0</v>
      </c>
      <c r="DF373" s="13">
        <f>IF(DB373=1,$DB$31,$DB$32)</f>
        <v>152394.16214437486</v>
      </c>
      <c r="DG373" s="13">
        <f>DE373-DF373</f>
        <v>-152394.16214437486</v>
      </c>
      <c r="DH373" s="13">
        <f>DH372+DG373</f>
        <v>-5965336.393596377</v>
      </c>
      <c r="DI373">
        <f>IF(DH373=MAX($DH$83:$DH$483),$A373,0)</f>
        <v>0</v>
      </c>
      <c r="DJ373">
        <f>IF(DE373&lt;DF373,$A373,B_MAX+1)</f>
        <v>290</v>
      </c>
      <c r="DK373" s="13">
        <f>IF(DB373=1,$DB$35,$DB$36)</f>
        <v>0</v>
      </c>
      <c r="DL373" s="13">
        <f>OCC_DAYS*$DB$41*R_NF_2023-DD373*MCD_SHARE_FREED*R_WAIT_2023</f>
        <v>151980.48282209205</v>
      </c>
      <c r="DM373">
        <f>IF($A373&lt;=$DB$45,1,0)</f>
        <v>0</v>
      </c>
      <c r="EB373">
        <f>IF($EB$31&lt;=$EB$32,IF($A373&lt;=$EB$7,1,2),IF($A373&lt;=RUNG_BEDS_2,2,1))</f>
        <v>1</v>
      </c>
      <c r="EC373" s="5">
        <f>MIN(1,MAX(0,$EB$26-($A373-1)))</f>
        <v>0</v>
      </c>
      <c r="ED373" s="5">
        <f>$EB$25*(EC373+(1-EC373)*$EB$16)</f>
        <v>0.0</v>
      </c>
      <c r="EE373" s="13">
        <f>ED373*($EB$6+ACUTE_MARGIN)</f>
        <v>0.0</v>
      </c>
      <c r="EF373" s="13">
        <f>IF(EB373=1,$EB$31,$EB$32)</f>
        <v>152394.16214437486</v>
      </c>
      <c r="EG373" s="13">
        <f>EE373-EF373</f>
        <v>-152394.16214437486</v>
      </c>
      <c r="EH373" s="13">
        <f>EH372+EG373</f>
        <v>-5965336.393596377</v>
      </c>
      <c r="EI373">
        <f>IF(EH373=MAX($EH$83:$EH$483),$A373,0)</f>
        <v>0</v>
      </c>
      <c r="EJ373">
        <f>IF(EE373&lt;EF373,$A373,B_MAX+1)</f>
        <v>290</v>
      </c>
      <c r="EK373" s="13">
        <f>IF(EB373=1,$EB$35,$EB$36)</f>
        <v>0</v>
      </c>
      <c r="EL373" s="13">
        <f>OCC_DAYS*$EB$41*R_NF_2023-ED373*MCD_SHARE_FREED*R_WAIT_2023</f>
        <v>50660.16094069735</v>
      </c>
      <c r="EM373">
        <f>IF($A373&lt;=$EB$45,1,0)</f>
        <v>0</v>
      </c>
      <c r="FB373">
        <f>IF($FB$31&lt;=$FB$32,IF($A373&lt;=$FB$7,1,2),IF($A373&lt;=RUNG_BEDS_2,2,1))</f>
        <v>1</v>
      </c>
      <c r="FC373" s="5">
        <f>MIN(1,MAX(0,$FB$26-($A373-1)))</f>
        <v>0</v>
      </c>
      <c r="FD373" s="5">
        <f>$FB$25*(FC373+(1-FC373)*$FB$16)</f>
        <v>0.0</v>
      </c>
      <c r="FE373" s="13">
        <f>FD373*($FB$6+ACUTE_MARGIN)</f>
        <v>0.0</v>
      </c>
      <c r="FF373" s="13">
        <f>IF(FB373=1,$FB$31,$FB$32)</f>
        <v>156636.04979437485</v>
      </c>
      <c r="FG373" s="13">
        <f>FE373-FF373</f>
        <v>-156636.04979437485</v>
      </c>
      <c r="FH373" s="13">
        <f>FH372+FG373</f>
        <v>-7195483.812096491</v>
      </c>
      <c r="FI373">
        <f>IF(FH373=MAX($FH$83:$FH$483),$A373,0)</f>
        <v>0</v>
      </c>
      <c r="FJ373">
        <f>IF(FE373&lt;FF373,$A373,B_MAX+1)</f>
        <v>290</v>
      </c>
      <c r="FK373" s="13">
        <f>IF(FB373=1,$FB$35,$FB$36)</f>
        <v>0</v>
      </c>
      <c r="FL373" s="13">
        <f>OCC_DAYS*$FB$41*R_NF_2023-FD373*MCD_SHARE_FREED*R_WAIT_2023</f>
        <v>151980.48282209205</v>
      </c>
      <c r="FM373">
        <f>IF($A373&lt;=$FB$45,1,0)</f>
        <v>0</v>
      </c>
      <c r="GB373">
        <f>IF($GB$31&lt;=$GB$32,IF($A373&lt;=$GB$7,1,2),IF($A373&lt;=RUNG_BEDS_2,2,1))</f>
        <v>1</v>
      </c>
      <c r="GC373" s="5">
        <f>MIN(1,MAX(0,$GB$26-($A373-1)))</f>
        <v>0</v>
      </c>
      <c r="GD373" s="5">
        <f>$GB$25*(GC373+(1-GC373)*$GB$16)</f>
        <v>0.0</v>
      </c>
      <c r="GE373" s="13">
        <f>GD373*($GB$6+ACUTE_MARGIN)</f>
        <v>0.0</v>
      </c>
      <c r="GF373" s="13">
        <f>IF(GB373=1,$GB$31,$GB$32)</f>
        <v>152394.16214437486</v>
      </c>
      <c r="GG373" s="13">
        <f>GE373-GF373</f>
        <v>-152394.16214437486</v>
      </c>
      <c r="GH373" s="13">
        <f>GH372+GG373</f>
        <v>-5965336.393596377</v>
      </c>
      <c r="GI373">
        <f>IF(GH373=MAX($GH$83:$GH$483),$A373,0)</f>
        <v>0</v>
      </c>
      <c r="GJ373">
        <f>IF(GE373&lt;GF373,$A373,B_MAX+1)</f>
        <v>290</v>
      </c>
      <c r="GK373" s="13">
        <f>IF(GB373=1,$GB$35,$GB$36)</f>
        <v>0</v>
      </c>
      <c r="GL373" s="13">
        <f>OCC_DAYS*$GB$41*R_NF_2023-GD373*MCD_SHARE_FREED*R_WAIT_2023</f>
        <v>151980.48282209205</v>
      </c>
      <c r="GM373">
        <f>IF($A373&lt;=$GB$45,1,0)</f>
        <v>0</v>
      </c>
      <c r="HB373">
        <f>IF($HB$31&lt;=$HB$32,IF($A373&lt;=$HB$7,1,2),IF($A373&lt;=RUNG_BEDS_2,2,1))</f>
        <v>1</v>
      </c>
      <c r="HC373" s="5">
        <f>MIN(1,MAX(0,$HB$26-($A373-1)))</f>
        <v>0</v>
      </c>
      <c r="HD373" s="5">
        <f>$HB$25*(HC373+(1-HC373)*$HB$16)</f>
        <v>0.0</v>
      </c>
      <c r="HE373" s="13">
        <f>HD373*($HB$6+ACUTE_MARGIN)</f>
        <v>0.0</v>
      </c>
      <c r="HF373" s="13">
        <f>IF(HB373=1,$HB$31,$HB$32)</f>
        <v>152456.2970814058</v>
      </c>
      <c r="HG373" s="13">
        <f>HE373-HF373</f>
        <v>-152456.2970814058</v>
      </c>
      <c r="HH373" s="13">
        <f>HH372+HG373</f>
        <v>-5983355.52533539</v>
      </c>
      <c r="HI373">
        <f>IF(HH373=MAX($HH$83:$HH$483),$A373,0)</f>
        <v>0</v>
      </c>
      <c r="HJ373">
        <f>IF(HE373&lt;HF373,$A373,B_MAX+1)</f>
        <v>290</v>
      </c>
      <c r="HK373" s="13">
        <f>IF(HB373=1,$HB$35,$HB$36)</f>
        <v>0</v>
      </c>
      <c r="HL373" s="13">
        <f>OCC_DAYS*$HB$41*R_NF_2023-HD373*MCD_SHARE_FREED*R_WAIT_2023</f>
        <v>151980.48282209205</v>
      </c>
      <c r="HM373">
        <f>IF($A373&lt;=$HB$45,1,0)</f>
        <v>0</v>
      </c>
      <c r="IB373">
        <f>IF($IB$31&lt;=$IB$32,IF($A373&lt;=$IB$7,1,2),IF($A373&lt;=RUNG_BEDS_2,2,1))</f>
        <v>1</v>
      </c>
      <c r="IC373" s="5">
        <f>MIN(1,MAX(0,$IB$26-($A373-1)))</f>
        <v>0</v>
      </c>
      <c r="ID373" s="5">
        <f>$IB$25*(IC373+(1-IC373)*$IB$16)</f>
        <v>0.0</v>
      </c>
      <c r="IE373" s="13">
        <f>ID373*($IB$6+ACUTE_MARGIN)</f>
        <v>0.0</v>
      </c>
      <c r="IF373" s="13">
        <f>IF(IB373=1,$IB$31,$IB$32)</f>
        <v>152734.9994534971</v>
      </c>
      <c r="IG373" s="13">
        <f>IE373-IF373</f>
        <v>-152734.9994534971</v>
      </c>
      <c r="IH373" s="13">
        <f>IH372+IG373</f>
        <v>-6064179.213241916</v>
      </c>
      <c r="II373">
        <f>IF(IH373=MAX($IH$83:$IH$483),$A373,0)</f>
        <v>0</v>
      </c>
      <c r="IJ373">
        <f>IF(IE373&lt;IF373,$A373,B_MAX+1)</f>
        <v>290</v>
      </c>
      <c r="IK373" s="13">
        <f>IF(IB373=1,$IB$35,$IB$36)</f>
        <v>0</v>
      </c>
      <c r="IL373" s="13">
        <f>OCC_DAYS*$IB$41*R_NF_2023-ID373*MCD_SHARE_FREED*R_WAIT_2023</f>
        <v>151980.48282209205</v>
      </c>
      <c r="IM373">
        <f>IF($A373&lt;=$IB$45,1,0)</f>
        <v>0</v>
      </c>
      <c r="JB373">
        <f>IF($JB$31&lt;=$JB$32,IF($A373&lt;=$JB$7,1,2),IF($A373&lt;=RUNG_BEDS_2,2,1))</f>
        <v>1</v>
      </c>
      <c r="JC373" s="5">
        <f>MIN(1,MAX(0,$JB$26-($A373-1)))</f>
        <v>0</v>
      </c>
      <c r="JD373" s="5">
        <f>$JB$25*(JC373+(1-JC373)*$JB$16)</f>
        <v>0.0</v>
      </c>
      <c r="JE373" s="13">
        <f>JD373*($JB$6+ACUTE_MARGIN)</f>
        <v>0.0</v>
      </c>
      <c r="JF373" s="13">
        <f>IF(JB373=1,$JB$31,$JB$32)</f>
        <v>152394.16214437486</v>
      </c>
      <c r="JG373" s="13">
        <f>JE373-JF373</f>
        <v>-152394.16214437486</v>
      </c>
      <c r="JH373" s="13">
        <f>JH372+JG373</f>
        <v>-5965336.393596377</v>
      </c>
      <c r="JI373">
        <f>IF(JH373=MAX($JH$83:$JH$483),$A373,0)</f>
        <v>0</v>
      </c>
      <c r="JJ373">
        <f>IF(JE373&lt;JF373,$A373,B_MAX+1)</f>
        <v>290</v>
      </c>
      <c r="JK373" s="13">
        <f>IF(JB373=1,$JB$35,$JB$36)</f>
        <v>0</v>
      </c>
      <c r="JL373" s="13">
        <f>OCC_DAYS*$JB$41*R_NF_2023-JD373*MCD_SHARE_FREED*R_WAIT_2023</f>
        <v>151980.48282209205</v>
      </c>
      <c r="JM373">
        <f>IF($A373&lt;=$JB$45,1,0)</f>
        <v>0</v>
      </c>
      <c r="KB373">
        <f>IF($KB$31&lt;=$KB$32,IF($A373&lt;=$KB$7,1,2),IF($A373&lt;=RUNG_BEDS_2,2,1))</f>
        <v>1</v>
      </c>
      <c r="KC373" s="5">
        <f>MIN(1,MAX(0,$KB$26-($A373-1)))</f>
        <v>1</v>
      </c>
      <c r="KD373" s="5">
        <f>$KB$25*(KC373+(1-KC373)*$KB$16)</f>
        <v>126.02661357340719</v>
      </c>
      <c r="KE373" s="13">
        <f>KD373*($KB$6+ACUTE_MARGIN)</f>
        <v>127286.87970914126</v>
      </c>
      <c r="KF373" s="13">
        <f>IF(KB373=1,$KB$31,$KB$32)</f>
        <v>152394.16214437486</v>
      </c>
      <c r="KG373" s="13">
        <f>KE373-KF373</f>
        <v>-25107.282435233603</v>
      </c>
      <c r="KH373" s="13">
        <f>KH372+KG373</f>
        <v>-7281111.90621777</v>
      </c>
      <c r="KI373">
        <f>IF(KH373=MAX($KH$83:$KH$483),$A373,0)</f>
        <v>0</v>
      </c>
      <c r="KJ373">
        <f>IF(KE373&lt;KF373,$A373,B_MAX+1)</f>
        <v>290</v>
      </c>
      <c r="KK373" s="13">
        <f>IF(KB373=1,$KB$35,$KB$36)</f>
        <v>0</v>
      </c>
      <c r="KL373" s="13">
        <f>OCC_DAYS*$KB$41*R_NF_2023-KD373*MCD_SHARE_FREED*R_WAIT_2023</f>
        <v>94673.82103225985</v>
      </c>
      <c r="KM373">
        <f>IF($A373&lt;=$KB$45,1,0)</f>
        <v>0</v>
      </c>
      <c r="LB373">
        <f>IF($LB$31&lt;=$LB$32,IF($A373&lt;=$LB$7,1,2),IF($A373&lt;=RUNG_BEDS_2,2,1))</f>
        <v>1</v>
      </c>
      <c r="LC373" s="5">
        <f>MIN(1,MAX(0,$LB$26-($A373-1)))</f>
        <v>1</v>
      </c>
      <c r="LD373" s="5">
        <f>$LB$25*(LC373+(1-LC373)*$LB$16)</f>
        <v>84.01774238227146</v>
      </c>
      <c r="LE373" s="13">
        <f>LD373*($LB$6+ACUTE_MARGIN)</f>
        <v>84857.91980609419</v>
      </c>
      <c r="LF373" s="13">
        <f>IF(LB373=1,$LB$31,$LB$32)</f>
        <v>152394.16214437486</v>
      </c>
      <c r="LG373" s="13">
        <f>LE373-LF373</f>
        <v>-67536.24233828067</v>
      </c>
      <c r="LH373" s="13">
        <f>LH372+LG373</f>
        <v>-19585510.278101496</v>
      </c>
      <c r="LI373">
        <f>IF(LH373=MAX($LH$83:$LH$483),$A373,0)</f>
        <v>0</v>
      </c>
      <c r="LJ373">
        <f>IF(LE373&lt;LF373,$A373,B_MAX+1)</f>
        <v>290</v>
      </c>
      <c r="LK373" s="13">
        <f>IF(LB373=1,$LB$35,$LB$36)</f>
        <v>0</v>
      </c>
      <c r="LL373" s="13">
        <f>OCC_DAYS*$LB$41*R_NF_2023-LD373*MCD_SHARE_FREED*R_WAIT_2023</f>
        <v>113776.04162887059</v>
      </c>
      <c r="LM373">
        <f>IF($A373&lt;=$LB$45,1,0)</f>
        <v>0</v>
      </c>
      <c r="MB373">
        <f>IF($MB$31&lt;=$MB$32,IF($A373&lt;=$MB$7,1,2),IF($A373&lt;=RUNG_BEDS_2,2,1))</f>
        <v>1</v>
      </c>
      <c r="MC373" s="5">
        <f>MIN(1,MAX(0,$MB$26-($A373-1)))</f>
        <v>0</v>
      </c>
      <c r="MD373" s="5">
        <f>$MB$25*(MC373+(1-MC373)*$MB$16)</f>
        <v>0.0</v>
      </c>
      <c r="ME373" s="13">
        <f>MD373*($MB$6+ACUTE_MARGIN)</f>
        <v>0.0</v>
      </c>
      <c r="MF373" s="13">
        <f>IF(MB373=1,$MB$31,$MB$32)</f>
        <v>152394.16214437486</v>
      </c>
      <c r="MG373" s="13">
        <f>ME373-MF373</f>
        <v>-152394.16214437486</v>
      </c>
      <c r="MH373" s="13">
        <f>MH372+MG373</f>
        <v>-11852612.455394693</v>
      </c>
      <c r="MI373">
        <f>IF(MH373=MAX($MH$83:$MH$483),$A373,0)</f>
        <v>0</v>
      </c>
      <c r="MJ373">
        <f>IF(ME373&lt;MF373,$A373,B_MAX+1)</f>
        <v>290</v>
      </c>
      <c r="MK373" s="13">
        <f>IF(MB373=1,$MB$35,$MB$36)</f>
        <v>0</v>
      </c>
      <c r="ML373" s="13">
        <f>OCC_DAYS*$MB$41*R_NF_2023-MD373*MCD_SHARE_FREED*R_WAIT_2023</f>
        <v>151980.48282209205</v>
      </c>
      <c r="MM373">
        <f>IF($A373&lt;=$MB$45,1,0)</f>
        <v>0</v>
      </c>
      <c r="NB373">
        <f>IF($NB$31&lt;=$NB$32,IF($A373&lt;=$NB$7,1,2),IF($A373&lt;=RUNG_BEDS_2,2,1))</f>
        <v>1</v>
      </c>
      <c r="NC373" s="5">
        <f>MIN(1,MAX(0,$NB$26-($A373-1)))</f>
        <v>0</v>
      </c>
      <c r="ND373" s="5">
        <f>$NB$25*(NC373+(1-NC373)*$NB$16)</f>
        <v>63.013306786703595</v>
      </c>
      <c r="NE373" s="13">
        <f>ND373*($NB$6+ACUTE_MARGIN)</f>
        <v>63643.43985457063</v>
      </c>
      <c r="NF373" s="13">
        <f>IF(NB373=1,$NB$31,$NB$32)</f>
        <v>152394.16214437486</v>
      </c>
      <c r="NG373" s="13">
        <f>NE373-NF373</f>
        <v>-88750.72228980422</v>
      </c>
      <c r="NH373" s="13">
        <f>NH372+NG373</f>
        <v>2934018.507160999</v>
      </c>
      <c r="NI373">
        <f>IF(NH373=MAX($NH$83:$NH$483),$A373,0)</f>
        <v>0</v>
      </c>
      <c r="NJ373">
        <f>IF(NE373&lt;NF373,$A373,B_MAX+1)</f>
        <v>290</v>
      </c>
      <c r="NK373" s="13">
        <f>IF(NB373=1,$NB$35,$NB$36)</f>
        <v>0</v>
      </c>
      <c r="NL373" s="13">
        <f>OCC_DAYS*$NB$41*R_NF_2023-ND373*MCD_SHARE_FREED*R_WAIT_2023</f>
        <v>123327.15192717595</v>
      </c>
      <c r="NM373">
        <f>IF($A373&lt;=$NB$45,1,0)</f>
        <v>0</v>
      </c>
      <c r="OB373">
        <f>IF($OB$31&lt;=$OB$32,IF($A373&lt;=$OB$7,1,2),IF($A373&lt;=RUNG_BEDS_2,2,1))</f>
        <v>1</v>
      </c>
      <c r="OC373" s="5">
        <f>MIN(1,MAX(0,$OB$26-($A373-1)))</f>
        <v>0</v>
      </c>
      <c r="OD373" s="5">
        <f>$OB$25*(OC373+(1-OC373)*$OB$16)</f>
        <v>126.02661357340719</v>
      </c>
      <c r="OE373" s="13">
        <f>OD373*($OB$6+ACUTE_MARGIN)</f>
        <v>127286.87970914126</v>
      </c>
      <c r="OF373" s="13">
        <f>IF(OB373=1,$OB$31,$OB$32)</f>
        <v>152394.16214437486</v>
      </c>
      <c r="OG373" s="13">
        <f>OE373-OF373</f>
        <v>-25107.282435233603</v>
      </c>
      <c r="OH373" s="13">
        <f>OH372+OG373</f>
        <v>11833373.407918554</v>
      </c>
      <c r="OI373">
        <f>IF(OH373=MAX($OH$83:$OH$483),$A373,0)</f>
        <v>0</v>
      </c>
      <c r="OJ373">
        <f>IF(OE373&lt;OF373,$A373,B_MAX+1)</f>
        <v>290</v>
      </c>
      <c r="OK373" s="13">
        <f>IF(OB373=1,$OB$35,$OB$36)</f>
        <v>0</v>
      </c>
      <c r="OL373" s="13">
        <f>OCC_DAYS*$OB$41*R_NF_2023-OD373*MCD_SHARE_FREED*R_WAIT_2023</f>
        <v>94673.82103225985</v>
      </c>
      <c r="OM373">
        <f>IF($A373&lt;=$OB$45,1,0)</f>
        <v>0</v>
      </c>
    </row>
    <row r="374">
      <c r="A374" t="n">
        <v>291</v>
      </c>
      <c r="B374">
        <f>IF($B$31&lt;=$B$32,IF($A374&lt;=$B$7,1,2),IF($A374&lt;=RUNG_BEDS_2,2,1))</f>
        <v>1</v>
      </c>
      <c r="C374" s="5">
        <f>MIN(1,MAX(0,$B$26-($A374-1)))</f>
        <v>0</v>
      </c>
      <c r="D374" s="5">
        <f>$B$25*(C374+(1-C374)*$B$16)</f>
        <v>0.0</v>
      </c>
      <c r="E374" s="13">
        <f>D374*($B$6+ACUTE_MARGIN)</f>
        <v>0.0</v>
      </c>
      <c r="F374" s="13">
        <f>IF(B374=1,$B$31,$B$32)</f>
        <v>152394.16214437486</v>
      </c>
      <c r="G374" s="13">
        <f>E374-F374</f>
        <v>-152394.16214437486</v>
      </c>
      <c r="H374" s="13">
        <f>H373+G374</f>
        <v>-6117730.555740752</v>
      </c>
      <c r="I374">
        <f>IF(H374=MAX($H$83:$H$483),$A374,0)</f>
        <v>0</v>
      </c>
      <c r="J374">
        <f>IF(E374&lt;F374,$A374,B_MAX+1)</f>
        <v>291</v>
      </c>
      <c r="K374" s="13">
        <f>IF(B374=1,$B$35,$B$36)</f>
        <v>0</v>
      </c>
      <c r="L374" s="13">
        <f>OCC_DAYS*$B$41*R_NF_2023-D374*MCD_SHARE_FREED*R_WAIT_2023</f>
        <v>151980.48282209205</v>
      </c>
      <c r="M374">
        <f>IF($A374&lt;=$B$45,1,0)</f>
        <v>0</v>
      </c>
      <c r="AB374">
        <f>IF($AB$31&lt;=$AB$32,IF($A374&lt;=$AB$7,1,2),IF($A374&lt;=RUNG_BEDS_2,2,1))</f>
        <v>1</v>
      </c>
      <c r="AC374" s="5">
        <f>MIN(1,MAX(0,$AB$26-($A374-1)))</f>
        <v>0</v>
      </c>
      <c r="AD374" s="5">
        <f>$AB$25*(AC374+(1-AC374)*$AB$16)</f>
        <v>0.0</v>
      </c>
      <c r="AE374" s="13">
        <f>AD374*($AB$6+ACUTE_MARGIN)</f>
        <v>0.0</v>
      </c>
      <c r="AF374" s="13">
        <f>IF(AB374=1,$AB$31,$AB$32)</f>
        <v>152394.16214437486</v>
      </c>
      <c r="AG374" s="13">
        <f>AE374-AF374</f>
        <v>-152394.16214437486</v>
      </c>
      <c r="AH374" s="13">
        <f>AH373+AG374</f>
        <v>-23528944.901290502</v>
      </c>
      <c r="AI374">
        <f>IF(AH374=MAX($AH$83:$AH$483),$A374,0)</f>
        <v>0</v>
      </c>
      <c r="AJ374">
        <f>IF(AE374&lt;AF374,$A374,B_MAX+1)</f>
        <v>291</v>
      </c>
      <c r="AK374" s="13">
        <f>IF(AB374=1,$AB$35,$AB$36)</f>
        <v>0</v>
      </c>
      <c r="AL374" s="13">
        <f>OCC_DAYS*$AB$41*R_NF_2023-AD374*MCD_SHARE_FREED*R_WAIT_2023</f>
        <v>151980.48282209205</v>
      </c>
      <c r="AM374">
        <f>IF($A374&lt;=$AB$45,1,0)</f>
        <v>0</v>
      </c>
      <c r="BB374">
        <f>IF($BB$31&lt;=$BB$32,IF($A374&lt;=$BB$7,1,2),IF($A374&lt;=RUNG_BEDS_2,2,1))</f>
        <v>1</v>
      </c>
      <c r="BC374" s="5">
        <f>MIN(1,MAX(0,$BB$26-($A374-1)))</f>
        <v>0</v>
      </c>
      <c r="BD374" s="5">
        <f>$BB$25*(BC374+(1-BC374)*$BB$16)</f>
        <v>0.0</v>
      </c>
      <c r="BE374" s="13">
        <f>BD374*($BB$6+ACUTE_MARGIN)</f>
        <v>0.0</v>
      </c>
      <c r="BF374" s="13">
        <f>IF(BB374=1,$BB$31,$BB$32)</f>
        <v>152394.16214437486</v>
      </c>
      <c r="BG374" s="13">
        <f>BE374-BF374</f>
        <v>-152394.16214437486</v>
      </c>
      <c r="BH374" s="13">
        <f>BH373+BG374</f>
        <v>11293483.789808992</v>
      </c>
      <c r="BI374">
        <f>IF(BH374=MAX($BH$83:$BH$483),$A374,0)</f>
        <v>0</v>
      </c>
      <c r="BJ374">
        <f>IF(BE374&lt;BF374,$A374,B_MAX+1)</f>
        <v>291</v>
      </c>
      <c r="BK374" s="13">
        <f>IF(BB374=1,$BB$35,$BB$36)</f>
        <v>0</v>
      </c>
      <c r="BL374" s="13">
        <f>OCC_DAYS*$BB$41*R_NF_2023-BD374*MCD_SHARE_FREED*R_WAIT_2023</f>
        <v>151980.48282209205</v>
      </c>
      <c r="BM374">
        <f>IF($A374&lt;=$BB$45,1,0)</f>
        <v>0</v>
      </c>
      <c r="CB374">
        <f>IF($CB$31&lt;=$CB$32,IF($A374&lt;=$CB$7,1,2),IF($A374&lt;=RUNG_BEDS_2,2,1))</f>
        <v>2</v>
      </c>
      <c r="CC374" s="5">
        <f>MIN(1,MAX(0,$CB$26-($A374-1)))</f>
        <v>0</v>
      </c>
      <c r="CD374" s="5">
        <f>$CB$25*(CC374+(1-CC374)*$CB$16)</f>
        <v>0.0</v>
      </c>
      <c r="CE374" s="13">
        <f>CD374*($CB$6+ACUTE_MARGIN)</f>
        <v>0.0</v>
      </c>
      <c r="CF374" s="13">
        <f>IF(CB374=1,$CB$31,$CB$32)</f>
        <v>160718.36940738867</v>
      </c>
      <c r="CG374" s="13">
        <f>CE374-CF374</f>
        <v>-160718.36940738867</v>
      </c>
      <c r="CH374" s="13">
        <f>CH373+CG374</f>
        <v>-8540074.869277876</v>
      </c>
      <c r="CI374">
        <f>IF(CH374=MAX($CH$83:$CH$483),$A374,0)</f>
        <v>0</v>
      </c>
      <c r="CJ374">
        <f>IF(CE374&lt;CF374,$A374,B_MAX+1)</f>
        <v>291</v>
      </c>
      <c r="CK374" s="13">
        <f>IF(CB374=1,$CB$35,$CB$36)</f>
        <v>1560.1194073886782</v>
      </c>
      <c r="CL374" s="13">
        <f>OCC_DAYS*$CB$41*R_NF_2023-CD374*MCD_SHARE_FREED*R_WAIT_2023</f>
        <v>151980.48282209205</v>
      </c>
      <c r="CM374">
        <f>IF($A374&lt;=$CB$45,1,0)</f>
        <v>0</v>
      </c>
      <c r="DB374">
        <f>IF($DB$31&lt;=$DB$32,IF($A374&lt;=$DB$7,1,2),IF($A374&lt;=RUNG_BEDS_2,2,1))</f>
        <v>1</v>
      </c>
      <c r="DC374" s="5">
        <f>MIN(1,MAX(0,$DB$26-($A374-1)))</f>
        <v>0</v>
      </c>
      <c r="DD374" s="5">
        <f>$DB$25*(DC374+(1-DC374)*$DB$16)</f>
        <v>0.0</v>
      </c>
      <c r="DE374" s="13">
        <f>DD374*($DB$6+ACUTE_MARGIN)</f>
        <v>0.0</v>
      </c>
      <c r="DF374" s="13">
        <f>IF(DB374=1,$DB$31,$DB$32)</f>
        <v>152394.16214437486</v>
      </c>
      <c r="DG374" s="13">
        <f>DE374-DF374</f>
        <v>-152394.16214437486</v>
      </c>
      <c r="DH374" s="13">
        <f>DH373+DG374</f>
        <v>-6117730.555740752</v>
      </c>
      <c r="DI374">
        <f>IF(DH374=MAX($DH$83:$DH$483),$A374,0)</f>
        <v>0</v>
      </c>
      <c r="DJ374">
        <f>IF(DE374&lt;DF374,$A374,B_MAX+1)</f>
        <v>291</v>
      </c>
      <c r="DK374" s="13">
        <f>IF(DB374=1,$DB$35,$DB$36)</f>
        <v>0</v>
      </c>
      <c r="DL374" s="13">
        <f>OCC_DAYS*$DB$41*R_NF_2023-DD374*MCD_SHARE_FREED*R_WAIT_2023</f>
        <v>151980.48282209205</v>
      </c>
      <c r="DM374">
        <f>IF($A374&lt;=$DB$45,1,0)</f>
        <v>0</v>
      </c>
      <c r="EB374">
        <f>IF($EB$31&lt;=$EB$32,IF($A374&lt;=$EB$7,1,2),IF($A374&lt;=RUNG_BEDS_2,2,1))</f>
        <v>1</v>
      </c>
      <c r="EC374" s="5">
        <f>MIN(1,MAX(0,$EB$26-($A374-1)))</f>
        <v>0</v>
      </c>
      <c r="ED374" s="5">
        <f>$EB$25*(EC374+(1-EC374)*$EB$16)</f>
        <v>0.0</v>
      </c>
      <c r="EE374" s="13">
        <f>ED374*($EB$6+ACUTE_MARGIN)</f>
        <v>0.0</v>
      </c>
      <c r="EF374" s="13">
        <f>IF(EB374=1,$EB$31,$EB$32)</f>
        <v>152394.16214437486</v>
      </c>
      <c r="EG374" s="13">
        <f>EE374-EF374</f>
        <v>-152394.16214437486</v>
      </c>
      <c r="EH374" s="13">
        <f>EH373+EG374</f>
        <v>-6117730.555740752</v>
      </c>
      <c r="EI374">
        <f>IF(EH374=MAX($EH$83:$EH$483),$A374,0)</f>
        <v>0</v>
      </c>
      <c r="EJ374">
        <f>IF(EE374&lt;EF374,$A374,B_MAX+1)</f>
        <v>291</v>
      </c>
      <c r="EK374" s="13">
        <f>IF(EB374=1,$EB$35,$EB$36)</f>
        <v>0</v>
      </c>
      <c r="EL374" s="13">
        <f>OCC_DAYS*$EB$41*R_NF_2023-ED374*MCD_SHARE_FREED*R_WAIT_2023</f>
        <v>50660.16094069735</v>
      </c>
      <c r="EM374">
        <f>IF($A374&lt;=$EB$45,1,0)</f>
        <v>0</v>
      </c>
      <c r="FB374">
        <f>IF($FB$31&lt;=$FB$32,IF($A374&lt;=$FB$7,1,2),IF($A374&lt;=RUNG_BEDS_2,2,1))</f>
        <v>1</v>
      </c>
      <c r="FC374" s="5">
        <f>MIN(1,MAX(0,$FB$26-($A374-1)))</f>
        <v>0</v>
      </c>
      <c r="FD374" s="5">
        <f>$FB$25*(FC374+(1-FC374)*$FB$16)</f>
        <v>0.0</v>
      </c>
      <c r="FE374" s="13">
        <f>FD374*($FB$6+ACUTE_MARGIN)</f>
        <v>0.0</v>
      </c>
      <c r="FF374" s="13">
        <f>IF(FB374=1,$FB$31,$FB$32)</f>
        <v>156636.04979437485</v>
      </c>
      <c r="FG374" s="13">
        <f>FE374-FF374</f>
        <v>-156636.04979437485</v>
      </c>
      <c r="FH374" s="13">
        <f>FH373+FG374</f>
        <v>-7352119.861890866</v>
      </c>
      <c r="FI374">
        <f>IF(FH374=MAX($FH$83:$FH$483),$A374,0)</f>
        <v>0</v>
      </c>
      <c r="FJ374">
        <f>IF(FE374&lt;FF374,$A374,B_MAX+1)</f>
        <v>291</v>
      </c>
      <c r="FK374" s="13">
        <f>IF(FB374=1,$FB$35,$FB$36)</f>
        <v>0</v>
      </c>
      <c r="FL374" s="13">
        <f>OCC_DAYS*$FB$41*R_NF_2023-FD374*MCD_SHARE_FREED*R_WAIT_2023</f>
        <v>151980.48282209205</v>
      </c>
      <c r="FM374">
        <f>IF($A374&lt;=$FB$45,1,0)</f>
        <v>0</v>
      </c>
      <c r="GB374">
        <f>IF($GB$31&lt;=$GB$32,IF($A374&lt;=$GB$7,1,2),IF($A374&lt;=RUNG_BEDS_2,2,1))</f>
        <v>1</v>
      </c>
      <c r="GC374" s="5">
        <f>MIN(1,MAX(0,$GB$26-($A374-1)))</f>
        <v>0</v>
      </c>
      <c r="GD374" s="5">
        <f>$GB$25*(GC374+(1-GC374)*$GB$16)</f>
        <v>0.0</v>
      </c>
      <c r="GE374" s="13">
        <f>GD374*($GB$6+ACUTE_MARGIN)</f>
        <v>0.0</v>
      </c>
      <c r="GF374" s="13">
        <f>IF(GB374=1,$GB$31,$GB$32)</f>
        <v>152394.16214437486</v>
      </c>
      <c r="GG374" s="13">
        <f>GE374-GF374</f>
        <v>-152394.16214437486</v>
      </c>
      <c r="GH374" s="13">
        <f>GH373+GG374</f>
        <v>-6117730.555740752</v>
      </c>
      <c r="GI374">
        <f>IF(GH374=MAX($GH$83:$GH$483),$A374,0)</f>
        <v>0</v>
      </c>
      <c r="GJ374">
        <f>IF(GE374&lt;GF374,$A374,B_MAX+1)</f>
        <v>291</v>
      </c>
      <c r="GK374" s="13">
        <f>IF(GB374=1,$GB$35,$GB$36)</f>
        <v>0</v>
      </c>
      <c r="GL374" s="13">
        <f>OCC_DAYS*$GB$41*R_NF_2023-GD374*MCD_SHARE_FREED*R_WAIT_2023</f>
        <v>151980.48282209205</v>
      </c>
      <c r="GM374">
        <f>IF($A374&lt;=$GB$45,1,0)</f>
        <v>0</v>
      </c>
      <c r="HB374">
        <f>IF($HB$31&lt;=$HB$32,IF($A374&lt;=$HB$7,1,2),IF($A374&lt;=RUNG_BEDS_2,2,1))</f>
        <v>1</v>
      </c>
      <c r="HC374" s="5">
        <f>MIN(1,MAX(0,$HB$26-($A374-1)))</f>
        <v>0</v>
      </c>
      <c r="HD374" s="5">
        <f>$HB$25*(HC374+(1-HC374)*$HB$16)</f>
        <v>0.0</v>
      </c>
      <c r="HE374" s="13">
        <f>HD374*($HB$6+ACUTE_MARGIN)</f>
        <v>0.0</v>
      </c>
      <c r="HF374" s="13">
        <f>IF(HB374=1,$HB$31,$HB$32)</f>
        <v>152456.2970814058</v>
      </c>
      <c r="HG374" s="13">
        <f>HE374-HF374</f>
        <v>-152456.2970814058</v>
      </c>
      <c r="HH374" s="13">
        <f>HH373+HG374</f>
        <v>-6135811.822416796</v>
      </c>
      <c r="HI374">
        <f>IF(HH374=MAX($HH$83:$HH$483),$A374,0)</f>
        <v>0</v>
      </c>
      <c r="HJ374">
        <f>IF(HE374&lt;HF374,$A374,B_MAX+1)</f>
        <v>291</v>
      </c>
      <c r="HK374" s="13">
        <f>IF(HB374=1,$HB$35,$HB$36)</f>
        <v>0</v>
      </c>
      <c r="HL374" s="13">
        <f>OCC_DAYS*$HB$41*R_NF_2023-HD374*MCD_SHARE_FREED*R_WAIT_2023</f>
        <v>151980.48282209205</v>
      </c>
      <c r="HM374">
        <f>IF($A374&lt;=$HB$45,1,0)</f>
        <v>0</v>
      </c>
      <c r="IB374">
        <f>IF($IB$31&lt;=$IB$32,IF($A374&lt;=$IB$7,1,2),IF($A374&lt;=RUNG_BEDS_2,2,1))</f>
        <v>1</v>
      </c>
      <c r="IC374" s="5">
        <f>MIN(1,MAX(0,$IB$26-($A374-1)))</f>
        <v>0</v>
      </c>
      <c r="ID374" s="5">
        <f>$IB$25*(IC374+(1-IC374)*$IB$16)</f>
        <v>0.0</v>
      </c>
      <c r="IE374" s="13">
        <f>ID374*($IB$6+ACUTE_MARGIN)</f>
        <v>0.0</v>
      </c>
      <c r="IF374" s="13">
        <f>IF(IB374=1,$IB$31,$IB$32)</f>
        <v>152734.9994534971</v>
      </c>
      <c r="IG374" s="13">
        <f>IE374-IF374</f>
        <v>-152734.9994534971</v>
      </c>
      <c r="IH374" s="13">
        <f>IH373+IG374</f>
        <v>-6216914.212695413</v>
      </c>
      <c r="II374">
        <f>IF(IH374=MAX($IH$83:$IH$483),$A374,0)</f>
        <v>0</v>
      </c>
      <c r="IJ374">
        <f>IF(IE374&lt;IF374,$A374,B_MAX+1)</f>
        <v>291</v>
      </c>
      <c r="IK374" s="13">
        <f>IF(IB374=1,$IB$35,$IB$36)</f>
        <v>0</v>
      </c>
      <c r="IL374" s="13">
        <f>OCC_DAYS*$IB$41*R_NF_2023-ID374*MCD_SHARE_FREED*R_WAIT_2023</f>
        <v>151980.48282209205</v>
      </c>
      <c r="IM374">
        <f>IF($A374&lt;=$IB$45,1,0)</f>
        <v>0</v>
      </c>
      <c r="JB374">
        <f>IF($JB$31&lt;=$JB$32,IF($A374&lt;=$JB$7,1,2),IF($A374&lt;=RUNG_BEDS_2,2,1))</f>
        <v>1</v>
      </c>
      <c r="JC374" s="5">
        <f>MIN(1,MAX(0,$JB$26-($A374-1)))</f>
        <v>0</v>
      </c>
      <c r="JD374" s="5">
        <f>$JB$25*(JC374+(1-JC374)*$JB$16)</f>
        <v>0.0</v>
      </c>
      <c r="JE374" s="13">
        <f>JD374*($JB$6+ACUTE_MARGIN)</f>
        <v>0.0</v>
      </c>
      <c r="JF374" s="13">
        <f>IF(JB374=1,$JB$31,$JB$32)</f>
        <v>152394.16214437486</v>
      </c>
      <c r="JG374" s="13">
        <f>JE374-JF374</f>
        <v>-152394.16214437486</v>
      </c>
      <c r="JH374" s="13">
        <f>JH373+JG374</f>
        <v>-6117730.555740752</v>
      </c>
      <c r="JI374">
        <f>IF(JH374=MAX($JH$83:$JH$483),$A374,0)</f>
        <v>0</v>
      </c>
      <c r="JJ374">
        <f>IF(JE374&lt;JF374,$A374,B_MAX+1)</f>
        <v>291</v>
      </c>
      <c r="JK374" s="13">
        <f>IF(JB374=1,$JB$35,$JB$36)</f>
        <v>0</v>
      </c>
      <c r="JL374" s="13">
        <f>OCC_DAYS*$JB$41*R_NF_2023-JD374*MCD_SHARE_FREED*R_WAIT_2023</f>
        <v>151980.48282209205</v>
      </c>
      <c r="JM374">
        <f>IF($A374&lt;=$JB$45,1,0)</f>
        <v>0</v>
      </c>
      <c r="KB374">
        <f>IF($KB$31&lt;=$KB$32,IF($A374&lt;=$KB$7,1,2),IF($A374&lt;=RUNG_BEDS_2,2,1))</f>
        <v>1</v>
      </c>
      <c r="KC374" s="5">
        <f>MIN(1,MAX(0,$KB$26-($A374-1)))</f>
        <v>1</v>
      </c>
      <c r="KD374" s="5">
        <f>$KB$25*(KC374+(1-KC374)*$KB$16)</f>
        <v>126.02661357340719</v>
      </c>
      <c r="KE374" s="13">
        <f>KD374*($KB$6+ACUTE_MARGIN)</f>
        <v>127286.87970914126</v>
      </c>
      <c r="KF374" s="13">
        <f>IF(KB374=1,$KB$31,$KB$32)</f>
        <v>152394.16214437486</v>
      </c>
      <c r="KG374" s="13">
        <f>KE374-KF374</f>
        <v>-25107.282435233603</v>
      </c>
      <c r="KH374" s="13">
        <f>KH373+KG374</f>
        <v>-7306219.188653003</v>
      </c>
      <c r="KI374">
        <f>IF(KH374=MAX($KH$83:$KH$483),$A374,0)</f>
        <v>0</v>
      </c>
      <c r="KJ374">
        <f>IF(KE374&lt;KF374,$A374,B_MAX+1)</f>
        <v>291</v>
      </c>
      <c r="KK374" s="13">
        <f>IF(KB374=1,$KB$35,$KB$36)</f>
        <v>0</v>
      </c>
      <c r="KL374" s="13">
        <f>OCC_DAYS*$KB$41*R_NF_2023-KD374*MCD_SHARE_FREED*R_WAIT_2023</f>
        <v>94673.82103225985</v>
      </c>
      <c r="KM374">
        <f>IF($A374&lt;=$KB$45,1,0)</f>
        <v>0</v>
      </c>
      <c r="LB374">
        <f>IF($LB$31&lt;=$LB$32,IF($A374&lt;=$LB$7,1,2),IF($A374&lt;=RUNG_BEDS_2,2,1))</f>
        <v>1</v>
      </c>
      <c r="LC374" s="5">
        <f>MIN(1,MAX(0,$LB$26-($A374-1)))</f>
        <v>1</v>
      </c>
      <c r="LD374" s="5">
        <f>$LB$25*(LC374+(1-LC374)*$LB$16)</f>
        <v>84.01774238227146</v>
      </c>
      <c r="LE374" s="13">
        <f>LD374*($LB$6+ACUTE_MARGIN)</f>
        <v>84857.91980609419</v>
      </c>
      <c r="LF374" s="13">
        <f>IF(LB374=1,$LB$31,$LB$32)</f>
        <v>152394.16214437486</v>
      </c>
      <c r="LG374" s="13">
        <f>LE374-LF374</f>
        <v>-67536.24233828067</v>
      </c>
      <c r="LH374" s="13">
        <f>LH373+LG374</f>
        <v>-19653046.520439778</v>
      </c>
      <c r="LI374">
        <f>IF(LH374=MAX($LH$83:$LH$483),$A374,0)</f>
        <v>0</v>
      </c>
      <c r="LJ374">
        <f>IF(LE374&lt;LF374,$A374,B_MAX+1)</f>
        <v>291</v>
      </c>
      <c r="LK374" s="13">
        <f>IF(LB374=1,$LB$35,$LB$36)</f>
        <v>0</v>
      </c>
      <c r="LL374" s="13">
        <f>OCC_DAYS*$LB$41*R_NF_2023-LD374*MCD_SHARE_FREED*R_WAIT_2023</f>
        <v>113776.04162887059</v>
      </c>
      <c r="LM374">
        <f>IF($A374&lt;=$LB$45,1,0)</f>
        <v>0</v>
      </c>
      <c r="MB374">
        <f>IF($MB$31&lt;=$MB$32,IF($A374&lt;=$MB$7,1,2),IF($A374&lt;=RUNG_BEDS_2,2,1))</f>
        <v>1</v>
      </c>
      <c r="MC374" s="5">
        <f>MIN(1,MAX(0,$MB$26-($A374-1)))</f>
        <v>0</v>
      </c>
      <c r="MD374" s="5">
        <f>$MB$25*(MC374+(1-MC374)*$MB$16)</f>
        <v>0.0</v>
      </c>
      <c r="ME374" s="13">
        <f>MD374*($MB$6+ACUTE_MARGIN)</f>
        <v>0.0</v>
      </c>
      <c r="MF374" s="13">
        <f>IF(MB374=1,$MB$31,$MB$32)</f>
        <v>152394.16214437486</v>
      </c>
      <c r="MG374" s="13">
        <f>ME374-MF374</f>
        <v>-152394.16214437486</v>
      </c>
      <c r="MH374" s="13">
        <f>MH373+MG374</f>
        <v>-12005006.617539067</v>
      </c>
      <c r="MI374">
        <f>IF(MH374=MAX($MH$83:$MH$483),$A374,0)</f>
        <v>0</v>
      </c>
      <c r="MJ374">
        <f>IF(ME374&lt;MF374,$A374,B_MAX+1)</f>
        <v>291</v>
      </c>
      <c r="MK374" s="13">
        <f>IF(MB374=1,$MB$35,$MB$36)</f>
        <v>0</v>
      </c>
      <c r="ML374" s="13">
        <f>OCC_DAYS*$MB$41*R_NF_2023-MD374*MCD_SHARE_FREED*R_WAIT_2023</f>
        <v>151980.48282209205</v>
      </c>
      <c r="MM374">
        <f>IF($A374&lt;=$MB$45,1,0)</f>
        <v>0</v>
      </c>
      <c r="NB374">
        <f>IF($NB$31&lt;=$NB$32,IF($A374&lt;=$NB$7,1,2),IF($A374&lt;=RUNG_BEDS_2,2,1))</f>
        <v>1</v>
      </c>
      <c r="NC374" s="5">
        <f>MIN(1,MAX(0,$NB$26-($A374-1)))</f>
        <v>0</v>
      </c>
      <c r="ND374" s="5">
        <f>$NB$25*(NC374+(1-NC374)*$NB$16)</f>
        <v>63.013306786703595</v>
      </c>
      <c r="NE374" s="13">
        <f>ND374*($NB$6+ACUTE_MARGIN)</f>
        <v>63643.43985457063</v>
      </c>
      <c r="NF374" s="13">
        <f>IF(NB374=1,$NB$31,$NB$32)</f>
        <v>152394.16214437486</v>
      </c>
      <c r="NG374" s="13">
        <f>NE374-NF374</f>
        <v>-88750.72228980422</v>
      </c>
      <c r="NH374" s="13">
        <f>NH373+NG374</f>
        <v>2845267.7848711945</v>
      </c>
      <c r="NI374">
        <f>IF(NH374=MAX($NH$83:$NH$483),$A374,0)</f>
        <v>0</v>
      </c>
      <c r="NJ374">
        <f>IF(NE374&lt;NF374,$A374,B_MAX+1)</f>
        <v>291</v>
      </c>
      <c r="NK374" s="13">
        <f>IF(NB374=1,$NB$35,$NB$36)</f>
        <v>0</v>
      </c>
      <c r="NL374" s="13">
        <f>OCC_DAYS*$NB$41*R_NF_2023-ND374*MCD_SHARE_FREED*R_WAIT_2023</f>
        <v>123327.15192717595</v>
      </c>
      <c r="NM374">
        <f>IF($A374&lt;=$NB$45,1,0)</f>
        <v>0</v>
      </c>
      <c r="OB374">
        <f>IF($OB$31&lt;=$OB$32,IF($A374&lt;=$OB$7,1,2),IF($A374&lt;=RUNG_BEDS_2,2,1))</f>
        <v>1</v>
      </c>
      <c r="OC374" s="5">
        <f>MIN(1,MAX(0,$OB$26-($A374-1)))</f>
        <v>0</v>
      </c>
      <c r="OD374" s="5">
        <f>$OB$25*(OC374+(1-OC374)*$OB$16)</f>
        <v>126.02661357340719</v>
      </c>
      <c r="OE374" s="13">
        <f>OD374*($OB$6+ACUTE_MARGIN)</f>
        <v>127286.87970914126</v>
      </c>
      <c r="OF374" s="13">
        <f>IF(OB374=1,$OB$31,$OB$32)</f>
        <v>152394.16214437486</v>
      </c>
      <c r="OG374" s="13">
        <f>OE374-OF374</f>
        <v>-25107.282435233603</v>
      </c>
      <c r="OH374" s="13">
        <f>OH373+OG374</f>
        <v>11808266.125483321</v>
      </c>
      <c r="OI374">
        <f>IF(OH374=MAX($OH$83:$OH$483),$A374,0)</f>
        <v>0</v>
      </c>
      <c r="OJ374">
        <f>IF(OE374&lt;OF374,$A374,B_MAX+1)</f>
        <v>291</v>
      </c>
      <c r="OK374" s="13">
        <f>IF(OB374=1,$OB$35,$OB$36)</f>
        <v>0</v>
      </c>
      <c r="OL374" s="13">
        <f>OCC_DAYS*$OB$41*R_NF_2023-OD374*MCD_SHARE_FREED*R_WAIT_2023</f>
        <v>94673.82103225985</v>
      </c>
      <c r="OM374">
        <f>IF($A374&lt;=$OB$45,1,0)</f>
        <v>0</v>
      </c>
    </row>
    <row r="375">
      <c r="A375" t="n">
        <v>292</v>
      </c>
      <c r="B375">
        <f>IF($B$31&lt;=$B$32,IF($A375&lt;=$B$7,1,2),IF($A375&lt;=RUNG_BEDS_2,2,1))</f>
        <v>1</v>
      </c>
      <c r="C375" s="5">
        <f>MIN(1,MAX(0,$B$26-($A375-1)))</f>
        <v>0</v>
      </c>
      <c r="D375" s="5">
        <f>$B$25*(C375+(1-C375)*$B$16)</f>
        <v>0.0</v>
      </c>
      <c r="E375" s="13">
        <f>D375*($B$6+ACUTE_MARGIN)</f>
        <v>0.0</v>
      </c>
      <c r="F375" s="13">
        <f>IF(B375=1,$B$31,$B$32)</f>
        <v>152394.16214437486</v>
      </c>
      <c r="G375" s="13">
        <f>E375-F375</f>
        <v>-152394.16214437486</v>
      </c>
      <c r="H375" s="13">
        <f>H374+G375</f>
        <v>-6270124.717885127</v>
      </c>
      <c r="I375">
        <f>IF(H375=MAX($H$83:$H$483),$A375,0)</f>
        <v>0</v>
      </c>
      <c r="J375">
        <f>IF(E375&lt;F375,$A375,B_MAX+1)</f>
        <v>292</v>
      </c>
      <c r="K375" s="13">
        <f>IF(B375=1,$B$35,$B$36)</f>
        <v>0</v>
      </c>
      <c r="L375" s="13">
        <f>OCC_DAYS*$B$41*R_NF_2023-D375*MCD_SHARE_FREED*R_WAIT_2023</f>
        <v>151980.48282209205</v>
      </c>
      <c r="M375">
        <f>IF($A375&lt;=$B$45,1,0)</f>
        <v>0</v>
      </c>
      <c r="AB375">
        <f>IF($AB$31&lt;=$AB$32,IF($A375&lt;=$AB$7,1,2),IF($A375&lt;=RUNG_BEDS_2,2,1))</f>
        <v>1</v>
      </c>
      <c r="AC375" s="5">
        <f>MIN(1,MAX(0,$AB$26-($A375-1)))</f>
        <v>0</v>
      </c>
      <c r="AD375" s="5">
        <f>$AB$25*(AC375+(1-AC375)*$AB$16)</f>
        <v>0.0</v>
      </c>
      <c r="AE375" s="13">
        <f>AD375*($AB$6+ACUTE_MARGIN)</f>
        <v>0.0</v>
      </c>
      <c r="AF375" s="13">
        <f>IF(AB375=1,$AB$31,$AB$32)</f>
        <v>152394.16214437486</v>
      </c>
      <c r="AG375" s="13">
        <f>AE375-AF375</f>
        <v>-152394.16214437486</v>
      </c>
      <c r="AH375" s="13">
        <f>AH374+AG375</f>
        <v>-23681339.063434877</v>
      </c>
      <c r="AI375">
        <f>IF(AH375=MAX($AH$83:$AH$483),$A375,0)</f>
        <v>0</v>
      </c>
      <c r="AJ375">
        <f>IF(AE375&lt;AF375,$A375,B_MAX+1)</f>
        <v>292</v>
      </c>
      <c r="AK375" s="13">
        <f>IF(AB375=1,$AB$35,$AB$36)</f>
        <v>0</v>
      </c>
      <c r="AL375" s="13">
        <f>OCC_DAYS*$AB$41*R_NF_2023-AD375*MCD_SHARE_FREED*R_WAIT_2023</f>
        <v>151980.48282209205</v>
      </c>
      <c r="AM375">
        <f>IF($A375&lt;=$AB$45,1,0)</f>
        <v>0</v>
      </c>
      <c r="BB375">
        <f>IF($BB$31&lt;=$BB$32,IF($A375&lt;=$BB$7,1,2),IF($A375&lt;=RUNG_BEDS_2,2,1))</f>
        <v>1</v>
      </c>
      <c r="BC375" s="5">
        <f>MIN(1,MAX(0,$BB$26-($A375-1)))</f>
        <v>0</v>
      </c>
      <c r="BD375" s="5">
        <f>$BB$25*(BC375+(1-BC375)*$BB$16)</f>
        <v>0.0</v>
      </c>
      <c r="BE375" s="13">
        <f>BD375*($BB$6+ACUTE_MARGIN)</f>
        <v>0.0</v>
      </c>
      <c r="BF375" s="13">
        <f>IF(BB375=1,$BB$31,$BB$32)</f>
        <v>152394.16214437486</v>
      </c>
      <c r="BG375" s="13">
        <f>BE375-BF375</f>
        <v>-152394.16214437486</v>
      </c>
      <c r="BH375" s="13">
        <f>BH374+BG375</f>
        <v>11141089.627664618</v>
      </c>
      <c r="BI375">
        <f>IF(BH375=MAX($BH$83:$BH$483),$A375,0)</f>
        <v>0</v>
      </c>
      <c r="BJ375">
        <f>IF(BE375&lt;BF375,$A375,B_MAX+1)</f>
        <v>292</v>
      </c>
      <c r="BK375" s="13">
        <f>IF(BB375=1,$BB$35,$BB$36)</f>
        <v>0</v>
      </c>
      <c r="BL375" s="13">
        <f>OCC_DAYS*$BB$41*R_NF_2023-BD375*MCD_SHARE_FREED*R_WAIT_2023</f>
        <v>151980.48282209205</v>
      </c>
      <c r="BM375">
        <f>IF($A375&lt;=$BB$45,1,0)</f>
        <v>0</v>
      </c>
      <c r="CB375">
        <f>IF($CB$31&lt;=$CB$32,IF($A375&lt;=$CB$7,1,2),IF($A375&lt;=RUNG_BEDS_2,2,1))</f>
        <v>2</v>
      </c>
      <c r="CC375" s="5">
        <f>MIN(1,MAX(0,$CB$26-($A375-1)))</f>
        <v>0</v>
      </c>
      <c r="CD375" s="5">
        <f>$CB$25*(CC375+(1-CC375)*$CB$16)</f>
        <v>0.0</v>
      </c>
      <c r="CE375" s="13">
        <f>CD375*($CB$6+ACUTE_MARGIN)</f>
        <v>0.0</v>
      </c>
      <c r="CF375" s="13">
        <f>IF(CB375=1,$CB$31,$CB$32)</f>
        <v>160718.36940738867</v>
      </c>
      <c r="CG375" s="13">
        <f>CE375-CF375</f>
        <v>-160718.36940738867</v>
      </c>
      <c r="CH375" s="13">
        <f>CH374+CG375</f>
        <v>-8700793.238685265</v>
      </c>
      <c r="CI375">
        <f>IF(CH375=MAX($CH$83:$CH$483),$A375,0)</f>
        <v>0</v>
      </c>
      <c r="CJ375">
        <f>IF(CE375&lt;CF375,$A375,B_MAX+1)</f>
        <v>292</v>
      </c>
      <c r="CK375" s="13">
        <f>IF(CB375=1,$CB$35,$CB$36)</f>
        <v>1560.1194073886782</v>
      </c>
      <c r="CL375" s="13">
        <f>OCC_DAYS*$CB$41*R_NF_2023-CD375*MCD_SHARE_FREED*R_WAIT_2023</f>
        <v>151980.48282209205</v>
      </c>
      <c r="CM375">
        <f>IF($A375&lt;=$CB$45,1,0)</f>
        <v>0</v>
      </c>
      <c r="DB375">
        <f>IF($DB$31&lt;=$DB$32,IF($A375&lt;=$DB$7,1,2),IF($A375&lt;=RUNG_BEDS_2,2,1))</f>
        <v>1</v>
      </c>
      <c r="DC375" s="5">
        <f>MIN(1,MAX(0,$DB$26-($A375-1)))</f>
        <v>0</v>
      </c>
      <c r="DD375" s="5">
        <f>$DB$25*(DC375+(1-DC375)*$DB$16)</f>
        <v>0.0</v>
      </c>
      <c r="DE375" s="13">
        <f>DD375*($DB$6+ACUTE_MARGIN)</f>
        <v>0.0</v>
      </c>
      <c r="DF375" s="13">
        <f>IF(DB375=1,$DB$31,$DB$32)</f>
        <v>152394.16214437486</v>
      </c>
      <c r="DG375" s="13">
        <f>DE375-DF375</f>
        <v>-152394.16214437486</v>
      </c>
      <c r="DH375" s="13">
        <f>DH374+DG375</f>
        <v>-6270124.717885127</v>
      </c>
      <c r="DI375">
        <f>IF(DH375=MAX($DH$83:$DH$483),$A375,0)</f>
        <v>0</v>
      </c>
      <c r="DJ375">
        <f>IF(DE375&lt;DF375,$A375,B_MAX+1)</f>
        <v>292</v>
      </c>
      <c r="DK375" s="13">
        <f>IF(DB375=1,$DB$35,$DB$36)</f>
        <v>0</v>
      </c>
      <c r="DL375" s="13">
        <f>OCC_DAYS*$DB$41*R_NF_2023-DD375*MCD_SHARE_FREED*R_WAIT_2023</f>
        <v>151980.48282209205</v>
      </c>
      <c r="DM375">
        <f>IF($A375&lt;=$DB$45,1,0)</f>
        <v>0</v>
      </c>
      <c r="EB375">
        <f>IF($EB$31&lt;=$EB$32,IF($A375&lt;=$EB$7,1,2),IF($A375&lt;=RUNG_BEDS_2,2,1))</f>
        <v>1</v>
      </c>
      <c r="EC375" s="5">
        <f>MIN(1,MAX(0,$EB$26-($A375-1)))</f>
        <v>0</v>
      </c>
      <c r="ED375" s="5">
        <f>$EB$25*(EC375+(1-EC375)*$EB$16)</f>
        <v>0.0</v>
      </c>
      <c r="EE375" s="13">
        <f>ED375*($EB$6+ACUTE_MARGIN)</f>
        <v>0.0</v>
      </c>
      <c r="EF375" s="13">
        <f>IF(EB375=1,$EB$31,$EB$32)</f>
        <v>152394.16214437486</v>
      </c>
      <c r="EG375" s="13">
        <f>EE375-EF375</f>
        <v>-152394.16214437486</v>
      </c>
      <c r="EH375" s="13">
        <f>EH374+EG375</f>
        <v>-6270124.717885127</v>
      </c>
      <c r="EI375">
        <f>IF(EH375=MAX($EH$83:$EH$483),$A375,0)</f>
        <v>0</v>
      </c>
      <c r="EJ375">
        <f>IF(EE375&lt;EF375,$A375,B_MAX+1)</f>
        <v>292</v>
      </c>
      <c r="EK375" s="13">
        <f>IF(EB375=1,$EB$35,$EB$36)</f>
        <v>0</v>
      </c>
      <c r="EL375" s="13">
        <f>OCC_DAYS*$EB$41*R_NF_2023-ED375*MCD_SHARE_FREED*R_WAIT_2023</f>
        <v>50660.16094069735</v>
      </c>
      <c r="EM375">
        <f>IF($A375&lt;=$EB$45,1,0)</f>
        <v>0</v>
      </c>
      <c r="FB375">
        <f>IF($FB$31&lt;=$FB$32,IF($A375&lt;=$FB$7,1,2),IF($A375&lt;=RUNG_BEDS_2,2,1))</f>
        <v>1</v>
      </c>
      <c r="FC375" s="5">
        <f>MIN(1,MAX(0,$FB$26-($A375-1)))</f>
        <v>0</v>
      </c>
      <c r="FD375" s="5">
        <f>$FB$25*(FC375+(1-FC375)*$FB$16)</f>
        <v>0.0</v>
      </c>
      <c r="FE375" s="13">
        <f>FD375*($FB$6+ACUTE_MARGIN)</f>
        <v>0.0</v>
      </c>
      <c r="FF375" s="13">
        <f>IF(FB375=1,$FB$31,$FB$32)</f>
        <v>156636.04979437485</v>
      </c>
      <c r="FG375" s="13">
        <f>FE375-FF375</f>
        <v>-156636.04979437485</v>
      </c>
      <c r="FH375" s="13">
        <f>FH374+FG375</f>
        <v>-7508755.911685241</v>
      </c>
      <c r="FI375">
        <f>IF(FH375=MAX($FH$83:$FH$483),$A375,0)</f>
        <v>0</v>
      </c>
      <c r="FJ375">
        <f>IF(FE375&lt;FF375,$A375,B_MAX+1)</f>
        <v>292</v>
      </c>
      <c r="FK375" s="13">
        <f>IF(FB375=1,$FB$35,$FB$36)</f>
        <v>0</v>
      </c>
      <c r="FL375" s="13">
        <f>OCC_DAYS*$FB$41*R_NF_2023-FD375*MCD_SHARE_FREED*R_WAIT_2023</f>
        <v>151980.48282209205</v>
      </c>
      <c r="FM375">
        <f>IF($A375&lt;=$FB$45,1,0)</f>
        <v>0</v>
      </c>
      <c r="GB375">
        <f>IF($GB$31&lt;=$GB$32,IF($A375&lt;=$GB$7,1,2),IF($A375&lt;=RUNG_BEDS_2,2,1))</f>
        <v>1</v>
      </c>
      <c r="GC375" s="5">
        <f>MIN(1,MAX(0,$GB$26-($A375-1)))</f>
        <v>0</v>
      </c>
      <c r="GD375" s="5">
        <f>$GB$25*(GC375+(1-GC375)*$GB$16)</f>
        <v>0.0</v>
      </c>
      <c r="GE375" s="13">
        <f>GD375*($GB$6+ACUTE_MARGIN)</f>
        <v>0.0</v>
      </c>
      <c r="GF375" s="13">
        <f>IF(GB375=1,$GB$31,$GB$32)</f>
        <v>152394.16214437486</v>
      </c>
      <c r="GG375" s="13">
        <f>GE375-GF375</f>
        <v>-152394.16214437486</v>
      </c>
      <c r="GH375" s="13">
        <f>GH374+GG375</f>
        <v>-6270124.717885127</v>
      </c>
      <c r="GI375">
        <f>IF(GH375=MAX($GH$83:$GH$483),$A375,0)</f>
        <v>0</v>
      </c>
      <c r="GJ375">
        <f>IF(GE375&lt;GF375,$A375,B_MAX+1)</f>
        <v>292</v>
      </c>
      <c r="GK375" s="13">
        <f>IF(GB375=1,$GB$35,$GB$36)</f>
        <v>0</v>
      </c>
      <c r="GL375" s="13">
        <f>OCC_DAYS*$GB$41*R_NF_2023-GD375*MCD_SHARE_FREED*R_WAIT_2023</f>
        <v>151980.48282209205</v>
      </c>
      <c r="GM375">
        <f>IF($A375&lt;=$GB$45,1,0)</f>
        <v>0</v>
      </c>
      <c r="HB375">
        <f>IF($HB$31&lt;=$HB$32,IF($A375&lt;=$HB$7,1,2),IF($A375&lt;=RUNG_BEDS_2,2,1))</f>
        <v>1</v>
      </c>
      <c r="HC375" s="5">
        <f>MIN(1,MAX(0,$HB$26-($A375-1)))</f>
        <v>0</v>
      </c>
      <c r="HD375" s="5">
        <f>$HB$25*(HC375+(1-HC375)*$HB$16)</f>
        <v>0.0</v>
      </c>
      <c r="HE375" s="13">
        <f>HD375*($HB$6+ACUTE_MARGIN)</f>
        <v>0.0</v>
      </c>
      <c r="HF375" s="13">
        <f>IF(HB375=1,$HB$31,$HB$32)</f>
        <v>152456.2970814058</v>
      </c>
      <c r="HG375" s="13">
        <f>HE375-HF375</f>
        <v>-152456.2970814058</v>
      </c>
      <c r="HH375" s="13">
        <f>HH374+HG375</f>
        <v>-6288268.119498203</v>
      </c>
      <c r="HI375">
        <f>IF(HH375=MAX($HH$83:$HH$483),$A375,0)</f>
        <v>0</v>
      </c>
      <c r="HJ375">
        <f>IF(HE375&lt;HF375,$A375,B_MAX+1)</f>
        <v>292</v>
      </c>
      <c r="HK375" s="13">
        <f>IF(HB375=1,$HB$35,$HB$36)</f>
        <v>0</v>
      </c>
      <c r="HL375" s="13">
        <f>OCC_DAYS*$HB$41*R_NF_2023-HD375*MCD_SHARE_FREED*R_WAIT_2023</f>
        <v>151980.48282209205</v>
      </c>
      <c r="HM375">
        <f>IF($A375&lt;=$HB$45,1,0)</f>
        <v>0</v>
      </c>
      <c r="IB375">
        <f>IF($IB$31&lt;=$IB$32,IF($A375&lt;=$IB$7,1,2),IF($A375&lt;=RUNG_BEDS_2,2,1))</f>
        <v>1</v>
      </c>
      <c r="IC375" s="5">
        <f>MIN(1,MAX(0,$IB$26-($A375-1)))</f>
        <v>0</v>
      </c>
      <c r="ID375" s="5">
        <f>$IB$25*(IC375+(1-IC375)*$IB$16)</f>
        <v>0.0</v>
      </c>
      <c r="IE375" s="13">
        <f>ID375*($IB$6+ACUTE_MARGIN)</f>
        <v>0.0</v>
      </c>
      <c r="IF375" s="13">
        <f>IF(IB375=1,$IB$31,$IB$32)</f>
        <v>152734.9994534971</v>
      </c>
      <c r="IG375" s="13">
        <f>IE375-IF375</f>
        <v>-152734.9994534971</v>
      </c>
      <c r="IH375" s="13">
        <f>IH374+IG375</f>
        <v>-6369649.21214891</v>
      </c>
      <c r="II375">
        <f>IF(IH375=MAX($IH$83:$IH$483),$A375,0)</f>
        <v>0</v>
      </c>
      <c r="IJ375">
        <f>IF(IE375&lt;IF375,$A375,B_MAX+1)</f>
        <v>292</v>
      </c>
      <c r="IK375" s="13">
        <f>IF(IB375=1,$IB$35,$IB$36)</f>
        <v>0</v>
      </c>
      <c r="IL375" s="13">
        <f>OCC_DAYS*$IB$41*R_NF_2023-ID375*MCD_SHARE_FREED*R_WAIT_2023</f>
        <v>151980.48282209205</v>
      </c>
      <c r="IM375">
        <f>IF($A375&lt;=$IB$45,1,0)</f>
        <v>0</v>
      </c>
      <c r="JB375">
        <f>IF($JB$31&lt;=$JB$32,IF($A375&lt;=$JB$7,1,2),IF($A375&lt;=RUNG_BEDS_2,2,1))</f>
        <v>1</v>
      </c>
      <c r="JC375" s="5">
        <f>MIN(1,MAX(0,$JB$26-($A375-1)))</f>
        <v>0</v>
      </c>
      <c r="JD375" s="5">
        <f>$JB$25*(JC375+(1-JC375)*$JB$16)</f>
        <v>0.0</v>
      </c>
      <c r="JE375" s="13">
        <f>JD375*($JB$6+ACUTE_MARGIN)</f>
        <v>0.0</v>
      </c>
      <c r="JF375" s="13">
        <f>IF(JB375=1,$JB$31,$JB$32)</f>
        <v>152394.16214437486</v>
      </c>
      <c r="JG375" s="13">
        <f>JE375-JF375</f>
        <v>-152394.16214437486</v>
      </c>
      <c r="JH375" s="13">
        <f>JH374+JG375</f>
        <v>-6270124.717885127</v>
      </c>
      <c r="JI375">
        <f>IF(JH375=MAX($JH$83:$JH$483),$A375,0)</f>
        <v>0</v>
      </c>
      <c r="JJ375">
        <f>IF(JE375&lt;JF375,$A375,B_MAX+1)</f>
        <v>292</v>
      </c>
      <c r="JK375" s="13">
        <f>IF(JB375=1,$JB$35,$JB$36)</f>
        <v>0</v>
      </c>
      <c r="JL375" s="13">
        <f>OCC_DAYS*$JB$41*R_NF_2023-JD375*MCD_SHARE_FREED*R_WAIT_2023</f>
        <v>151980.48282209205</v>
      </c>
      <c r="JM375">
        <f>IF($A375&lt;=$JB$45,1,0)</f>
        <v>0</v>
      </c>
      <c r="KB375">
        <f>IF($KB$31&lt;=$KB$32,IF($A375&lt;=$KB$7,1,2),IF($A375&lt;=RUNG_BEDS_2,2,1))</f>
        <v>1</v>
      </c>
      <c r="KC375" s="5">
        <f>MIN(1,MAX(0,$KB$26-($A375-1)))</f>
        <v>1</v>
      </c>
      <c r="KD375" s="5">
        <f>$KB$25*(KC375+(1-KC375)*$KB$16)</f>
        <v>126.02661357340719</v>
      </c>
      <c r="KE375" s="13">
        <f>KD375*($KB$6+ACUTE_MARGIN)</f>
        <v>127286.87970914126</v>
      </c>
      <c r="KF375" s="13">
        <f>IF(KB375=1,$KB$31,$KB$32)</f>
        <v>152394.16214437486</v>
      </c>
      <c r="KG375" s="13">
        <f>KE375-KF375</f>
        <v>-25107.282435233603</v>
      </c>
      <c r="KH375" s="13">
        <f>KH374+KG375</f>
        <v>-7331326.471088237</v>
      </c>
      <c r="KI375">
        <f>IF(KH375=MAX($KH$83:$KH$483),$A375,0)</f>
        <v>0</v>
      </c>
      <c r="KJ375">
        <f>IF(KE375&lt;KF375,$A375,B_MAX+1)</f>
        <v>292</v>
      </c>
      <c r="KK375" s="13">
        <f>IF(KB375=1,$KB$35,$KB$36)</f>
        <v>0</v>
      </c>
      <c r="KL375" s="13">
        <f>OCC_DAYS*$KB$41*R_NF_2023-KD375*MCD_SHARE_FREED*R_WAIT_2023</f>
        <v>94673.82103225985</v>
      </c>
      <c r="KM375">
        <f>IF($A375&lt;=$KB$45,1,0)</f>
        <v>0</v>
      </c>
      <c r="LB375">
        <f>IF($LB$31&lt;=$LB$32,IF($A375&lt;=$LB$7,1,2),IF($A375&lt;=RUNG_BEDS_2,2,1))</f>
        <v>1</v>
      </c>
      <c r="LC375" s="5">
        <f>MIN(1,MAX(0,$LB$26-($A375-1)))</f>
        <v>1</v>
      </c>
      <c r="LD375" s="5">
        <f>$LB$25*(LC375+(1-LC375)*$LB$16)</f>
        <v>84.01774238227146</v>
      </c>
      <c r="LE375" s="13">
        <f>LD375*($LB$6+ACUTE_MARGIN)</f>
        <v>84857.91980609419</v>
      </c>
      <c r="LF375" s="13">
        <f>IF(LB375=1,$LB$31,$LB$32)</f>
        <v>152394.16214437486</v>
      </c>
      <c r="LG375" s="13">
        <f>LE375-LF375</f>
        <v>-67536.24233828067</v>
      </c>
      <c r="LH375" s="13">
        <f>LH374+LG375</f>
        <v>-19720582.76277806</v>
      </c>
      <c r="LI375">
        <f>IF(LH375=MAX($LH$83:$LH$483),$A375,0)</f>
        <v>0</v>
      </c>
      <c r="LJ375">
        <f>IF(LE375&lt;LF375,$A375,B_MAX+1)</f>
        <v>292</v>
      </c>
      <c r="LK375" s="13">
        <f>IF(LB375=1,$LB$35,$LB$36)</f>
        <v>0</v>
      </c>
      <c r="LL375" s="13">
        <f>OCC_DAYS*$LB$41*R_NF_2023-LD375*MCD_SHARE_FREED*R_WAIT_2023</f>
        <v>113776.04162887059</v>
      </c>
      <c r="LM375">
        <f>IF($A375&lt;=$LB$45,1,0)</f>
        <v>0</v>
      </c>
      <c r="MB375">
        <f>IF($MB$31&lt;=$MB$32,IF($A375&lt;=$MB$7,1,2),IF($A375&lt;=RUNG_BEDS_2,2,1))</f>
        <v>1</v>
      </c>
      <c r="MC375" s="5">
        <f>MIN(1,MAX(0,$MB$26-($A375-1)))</f>
        <v>0</v>
      </c>
      <c r="MD375" s="5">
        <f>$MB$25*(MC375+(1-MC375)*$MB$16)</f>
        <v>0.0</v>
      </c>
      <c r="ME375" s="13">
        <f>MD375*($MB$6+ACUTE_MARGIN)</f>
        <v>0.0</v>
      </c>
      <c r="MF375" s="13">
        <f>IF(MB375=1,$MB$31,$MB$32)</f>
        <v>152394.16214437486</v>
      </c>
      <c r="MG375" s="13">
        <f>ME375-MF375</f>
        <v>-152394.16214437486</v>
      </c>
      <c r="MH375" s="13">
        <f>MH374+MG375</f>
        <v>-12157400.77968344</v>
      </c>
      <c r="MI375">
        <f>IF(MH375=MAX($MH$83:$MH$483),$A375,0)</f>
        <v>0</v>
      </c>
      <c r="MJ375">
        <f>IF(ME375&lt;MF375,$A375,B_MAX+1)</f>
        <v>292</v>
      </c>
      <c r="MK375" s="13">
        <f>IF(MB375=1,$MB$35,$MB$36)</f>
        <v>0</v>
      </c>
      <c r="ML375" s="13">
        <f>OCC_DAYS*$MB$41*R_NF_2023-MD375*MCD_SHARE_FREED*R_WAIT_2023</f>
        <v>151980.48282209205</v>
      </c>
      <c r="MM375">
        <f>IF($A375&lt;=$MB$45,1,0)</f>
        <v>0</v>
      </c>
      <c r="NB375">
        <f>IF($NB$31&lt;=$NB$32,IF($A375&lt;=$NB$7,1,2),IF($A375&lt;=RUNG_BEDS_2,2,1))</f>
        <v>1</v>
      </c>
      <c r="NC375" s="5">
        <f>MIN(1,MAX(0,$NB$26-($A375-1)))</f>
        <v>0</v>
      </c>
      <c r="ND375" s="5">
        <f>$NB$25*(NC375+(1-NC375)*$NB$16)</f>
        <v>63.013306786703595</v>
      </c>
      <c r="NE375" s="13">
        <f>ND375*($NB$6+ACUTE_MARGIN)</f>
        <v>63643.43985457063</v>
      </c>
      <c r="NF375" s="13">
        <f>IF(NB375=1,$NB$31,$NB$32)</f>
        <v>152394.16214437486</v>
      </c>
      <c r="NG375" s="13">
        <f>NE375-NF375</f>
        <v>-88750.72228980422</v>
      </c>
      <c r="NH375" s="13">
        <f>NH374+NG375</f>
        <v>2756517.06258139</v>
      </c>
      <c r="NI375">
        <f>IF(NH375=MAX($NH$83:$NH$483),$A375,0)</f>
        <v>0</v>
      </c>
      <c r="NJ375">
        <f>IF(NE375&lt;NF375,$A375,B_MAX+1)</f>
        <v>292</v>
      </c>
      <c r="NK375" s="13">
        <f>IF(NB375=1,$NB$35,$NB$36)</f>
        <v>0</v>
      </c>
      <c r="NL375" s="13">
        <f>OCC_DAYS*$NB$41*R_NF_2023-ND375*MCD_SHARE_FREED*R_WAIT_2023</f>
        <v>123327.15192717595</v>
      </c>
      <c r="NM375">
        <f>IF($A375&lt;=$NB$45,1,0)</f>
        <v>0</v>
      </c>
      <c r="OB375">
        <f>IF($OB$31&lt;=$OB$32,IF($A375&lt;=$OB$7,1,2),IF($A375&lt;=RUNG_BEDS_2,2,1))</f>
        <v>1</v>
      </c>
      <c r="OC375" s="5">
        <f>MIN(1,MAX(0,$OB$26-($A375-1)))</f>
        <v>0</v>
      </c>
      <c r="OD375" s="5">
        <f>$OB$25*(OC375+(1-OC375)*$OB$16)</f>
        <v>126.02661357340719</v>
      </c>
      <c r="OE375" s="13">
        <f>OD375*($OB$6+ACUTE_MARGIN)</f>
        <v>127286.87970914126</v>
      </c>
      <c r="OF375" s="13">
        <f>IF(OB375=1,$OB$31,$OB$32)</f>
        <v>152394.16214437486</v>
      </c>
      <c r="OG375" s="13">
        <f>OE375-OF375</f>
        <v>-25107.282435233603</v>
      </c>
      <c r="OH375" s="13">
        <f>OH374+OG375</f>
        <v>11783158.843048088</v>
      </c>
      <c r="OI375">
        <f>IF(OH375=MAX($OH$83:$OH$483),$A375,0)</f>
        <v>0</v>
      </c>
      <c r="OJ375">
        <f>IF(OE375&lt;OF375,$A375,B_MAX+1)</f>
        <v>292</v>
      </c>
      <c r="OK375" s="13">
        <f>IF(OB375=1,$OB$35,$OB$36)</f>
        <v>0</v>
      </c>
      <c r="OL375" s="13">
        <f>OCC_DAYS*$OB$41*R_NF_2023-OD375*MCD_SHARE_FREED*R_WAIT_2023</f>
        <v>94673.82103225985</v>
      </c>
      <c r="OM375">
        <f>IF($A375&lt;=$OB$45,1,0)</f>
        <v>0</v>
      </c>
    </row>
    <row r="376">
      <c r="A376" t="n">
        <v>293</v>
      </c>
      <c r="B376">
        <f>IF($B$31&lt;=$B$32,IF($A376&lt;=$B$7,1,2),IF($A376&lt;=RUNG_BEDS_2,2,1))</f>
        <v>1</v>
      </c>
      <c r="C376" s="5">
        <f>MIN(1,MAX(0,$B$26-($A376-1)))</f>
        <v>0</v>
      </c>
      <c r="D376" s="5">
        <f>$B$25*(C376+(1-C376)*$B$16)</f>
        <v>0.0</v>
      </c>
      <c r="E376" s="13">
        <f>D376*($B$6+ACUTE_MARGIN)</f>
        <v>0.0</v>
      </c>
      <c r="F376" s="13">
        <f>IF(B376=1,$B$31,$B$32)</f>
        <v>152394.16214437486</v>
      </c>
      <c r="G376" s="13">
        <f>E376-F376</f>
        <v>-152394.16214437486</v>
      </c>
      <c r="H376" s="13">
        <f>H375+G376</f>
        <v>-6422518.880029502</v>
      </c>
      <c r="I376">
        <f>IF(H376=MAX($H$83:$H$483),$A376,0)</f>
        <v>0</v>
      </c>
      <c r="J376">
        <f>IF(E376&lt;F376,$A376,B_MAX+1)</f>
        <v>293</v>
      </c>
      <c r="K376" s="13">
        <f>IF(B376=1,$B$35,$B$36)</f>
        <v>0</v>
      </c>
      <c r="L376" s="13">
        <f>OCC_DAYS*$B$41*R_NF_2023-D376*MCD_SHARE_FREED*R_WAIT_2023</f>
        <v>151980.48282209205</v>
      </c>
      <c r="M376">
        <f>IF($A376&lt;=$B$45,1,0)</f>
        <v>0</v>
      </c>
      <c r="AB376">
        <f>IF($AB$31&lt;=$AB$32,IF($A376&lt;=$AB$7,1,2),IF($A376&lt;=RUNG_BEDS_2,2,1))</f>
        <v>1</v>
      </c>
      <c r="AC376" s="5">
        <f>MIN(1,MAX(0,$AB$26-($A376-1)))</f>
        <v>0</v>
      </c>
      <c r="AD376" s="5">
        <f>$AB$25*(AC376+(1-AC376)*$AB$16)</f>
        <v>0.0</v>
      </c>
      <c r="AE376" s="13">
        <f>AD376*($AB$6+ACUTE_MARGIN)</f>
        <v>0.0</v>
      </c>
      <c r="AF376" s="13">
        <f>IF(AB376=1,$AB$31,$AB$32)</f>
        <v>152394.16214437486</v>
      </c>
      <c r="AG376" s="13">
        <f>AE376-AF376</f>
        <v>-152394.16214437486</v>
      </c>
      <c r="AH376" s="13">
        <f>AH375+AG376</f>
        <v>-23833733.22557925</v>
      </c>
      <c r="AI376">
        <f>IF(AH376=MAX($AH$83:$AH$483),$A376,0)</f>
        <v>0</v>
      </c>
      <c r="AJ376">
        <f>IF(AE376&lt;AF376,$A376,B_MAX+1)</f>
        <v>293</v>
      </c>
      <c r="AK376" s="13">
        <f>IF(AB376=1,$AB$35,$AB$36)</f>
        <v>0</v>
      </c>
      <c r="AL376" s="13">
        <f>OCC_DAYS*$AB$41*R_NF_2023-AD376*MCD_SHARE_FREED*R_WAIT_2023</f>
        <v>151980.48282209205</v>
      </c>
      <c r="AM376">
        <f>IF($A376&lt;=$AB$45,1,0)</f>
        <v>0</v>
      </c>
      <c r="BB376">
        <f>IF($BB$31&lt;=$BB$32,IF($A376&lt;=$BB$7,1,2),IF($A376&lt;=RUNG_BEDS_2,2,1))</f>
        <v>1</v>
      </c>
      <c r="BC376" s="5">
        <f>MIN(1,MAX(0,$BB$26-($A376-1)))</f>
        <v>0</v>
      </c>
      <c r="BD376" s="5">
        <f>$BB$25*(BC376+(1-BC376)*$BB$16)</f>
        <v>0.0</v>
      </c>
      <c r="BE376" s="13">
        <f>BD376*($BB$6+ACUTE_MARGIN)</f>
        <v>0.0</v>
      </c>
      <c r="BF376" s="13">
        <f>IF(BB376=1,$BB$31,$BB$32)</f>
        <v>152394.16214437486</v>
      </c>
      <c r="BG376" s="13">
        <f>BE376-BF376</f>
        <v>-152394.16214437486</v>
      </c>
      <c r="BH376" s="13">
        <f>BH375+BG376</f>
        <v>10988695.465520244</v>
      </c>
      <c r="BI376">
        <f>IF(BH376=MAX($BH$83:$BH$483),$A376,0)</f>
        <v>0</v>
      </c>
      <c r="BJ376">
        <f>IF(BE376&lt;BF376,$A376,B_MAX+1)</f>
        <v>293</v>
      </c>
      <c r="BK376" s="13">
        <f>IF(BB376=1,$BB$35,$BB$36)</f>
        <v>0</v>
      </c>
      <c r="BL376" s="13">
        <f>OCC_DAYS*$BB$41*R_NF_2023-BD376*MCD_SHARE_FREED*R_WAIT_2023</f>
        <v>151980.48282209205</v>
      </c>
      <c r="BM376">
        <f>IF($A376&lt;=$BB$45,1,0)</f>
        <v>0</v>
      </c>
      <c r="CB376">
        <f>IF($CB$31&lt;=$CB$32,IF($A376&lt;=$CB$7,1,2),IF($A376&lt;=RUNG_BEDS_2,2,1))</f>
        <v>2</v>
      </c>
      <c r="CC376" s="5">
        <f>MIN(1,MAX(0,$CB$26-($A376-1)))</f>
        <v>0</v>
      </c>
      <c r="CD376" s="5">
        <f>$CB$25*(CC376+(1-CC376)*$CB$16)</f>
        <v>0.0</v>
      </c>
      <c r="CE376" s="13">
        <f>CD376*($CB$6+ACUTE_MARGIN)</f>
        <v>0.0</v>
      </c>
      <c r="CF376" s="13">
        <f>IF(CB376=1,$CB$31,$CB$32)</f>
        <v>160718.36940738867</v>
      </c>
      <c r="CG376" s="13">
        <f>CE376-CF376</f>
        <v>-160718.36940738867</v>
      </c>
      <c r="CH376" s="13">
        <f>CH375+CG376</f>
        <v>-8861511.608092654</v>
      </c>
      <c r="CI376">
        <f>IF(CH376=MAX($CH$83:$CH$483),$A376,0)</f>
        <v>0</v>
      </c>
      <c r="CJ376">
        <f>IF(CE376&lt;CF376,$A376,B_MAX+1)</f>
        <v>293</v>
      </c>
      <c r="CK376" s="13">
        <f>IF(CB376=1,$CB$35,$CB$36)</f>
        <v>1560.1194073886782</v>
      </c>
      <c r="CL376" s="13">
        <f>OCC_DAYS*$CB$41*R_NF_2023-CD376*MCD_SHARE_FREED*R_WAIT_2023</f>
        <v>151980.48282209205</v>
      </c>
      <c r="CM376">
        <f>IF($A376&lt;=$CB$45,1,0)</f>
        <v>0</v>
      </c>
      <c r="DB376">
        <f>IF($DB$31&lt;=$DB$32,IF($A376&lt;=$DB$7,1,2),IF($A376&lt;=RUNG_BEDS_2,2,1))</f>
        <v>1</v>
      </c>
      <c r="DC376" s="5">
        <f>MIN(1,MAX(0,$DB$26-($A376-1)))</f>
        <v>0</v>
      </c>
      <c r="DD376" s="5">
        <f>$DB$25*(DC376+(1-DC376)*$DB$16)</f>
        <v>0.0</v>
      </c>
      <c r="DE376" s="13">
        <f>DD376*($DB$6+ACUTE_MARGIN)</f>
        <v>0.0</v>
      </c>
      <c r="DF376" s="13">
        <f>IF(DB376=1,$DB$31,$DB$32)</f>
        <v>152394.16214437486</v>
      </c>
      <c r="DG376" s="13">
        <f>DE376-DF376</f>
        <v>-152394.16214437486</v>
      </c>
      <c r="DH376" s="13">
        <f>DH375+DG376</f>
        <v>-6422518.880029502</v>
      </c>
      <c r="DI376">
        <f>IF(DH376=MAX($DH$83:$DH$483),$A376,0)</f>
        <v>0</v>
      </c>
      <c r="DJ376">
        <f>IF(DE376&lt;DF376,$A376,B_MAX+1)</f>
        <v>293</v>
      </c>
      <c r="DK376" s="13">
        <f>IF(DB376=1,$DB$35,$DB$36)</f>
        <v>0</v>
      </c>
      <c r="DL376" s="13">
        <f>OCC_DAYS*$DB$41*R_NF_2023-DD376*MCD_SHARE_FREED*R_WAIT_2023</f>
        <v>151980.48282209205</v>
      </c>
      <c r="DM376">
        <f>IF($A376&lt;=$DB$45,1,0)</f>
        <v>0</v>
      </c>
      <c r="EB376">
        <f>IF($EB$31&lt;=$EB$32,IF($A376&lt;=$EB$7,1,2),IF($A376&lt;=RUNG_BEDS_2,2,1))</f>
        <v>1</v>
      </c>
      <c r="EC376" s="5">
        <f>MIN(1,MAX(0,$EB$26-($A376-1)))</f>
        <v>0</v>
      </c>
      <c r="ED376" s="5">
        <f>$EB$25*(EC376+(1-EC376)*$EB$16)</f>
        <v>0.0</v>
      </c>
      <c r="EE376" s="13">
        <f>ED376*($EB$6+ACUTE_MARGIN)</f>
        <v>0.0</v>
      </c>
      <c r="EF376" s="13">
        <f>IF(EB376=1,$EB$31,$EB$32)</f>
        <v>152394.16214437486</v>
      </c>
      <c r="EG376" s="13">
        <f>EE376-EF376</f>
        <v>-152394.16214437486</v>
      </c>
      <c r="EH376" s="13">
        <f>EH375+EG376</f>
        <v>-6422518.880029502</v>
      </c>
      <c r="EI376">
        <f>IF(EH376=MAX($EH$83:$EH$483),$A376,0)</f>
        <v>0</v>
      </c>
      <c r="EJ376">
        <f>IF(EE376&lt;EF376,$A376,B_MAX+1)</f>
        <v>293</v>
      </c>
      <c r="EK376" s="13">
        <f>IF(EB376=1,$EB$35,$EB$36)</f>
        <v>0</v>
      </c>
      <c r="EL376" s="13">
        <f>OCC_DAYS*$EB$41*R_NF_2023-ED376*MCD_SHARE_FREED*R_WAIT_2023</f>
        <v>50660.16094069735</v>
      </c>
      <c r="EM376">
        <f>IF($A376&lt;=$EB$45,1,0)</f>
        <v>0</v>
      </c>
      <c r="FB376">
        <f>IF($FB$31&lt;=$FB$32,IF($A376&lt;=$FB$7,1,2),IF($A376&lt;=RUNG_BEDS_2,2,1))</f>
        <v>1</v>
      </c>
      <c r="FC376" s="5">
        <f>MIN(1,MAX(0,$FB$26-($A376-1)))</f>
        <v>0</v>
      </c>
      <c r="FD376" s="5">
        <f>$FB$25*(FC376+(1-FC376)*$FB$16)</f>
        <v>0.0</v>
      </c>
      <c r="FE376" s="13">
        <f>FD376*($FB$6+ACUTE_MARGIN)</f>
        <v>0.0</v>
      </c>
      <c r="FF376" s="13">
        <f>IF(FB376=1,$FB$31,$FB$32)</f>
        <v>156636.04979437485</v>
      </c>
      <c r="FG376" s="13">
        <f>FE376-FF376</f>
        <v>-156636.04979437485</v>
      </c>
      <c r="FH376" s="13">
        <f>FH375+FG376</f>
        <v>-7665391.961479616</v>
      </c>
      <c r="FI376">
        <f>IF(FH376=MAX($FH$83:$FH$483),$A376,0)</f>
        <v>0</v>
      </c>
      <c r="FJ376">
        <f>IF(FE376&lt;FF376,$A376,B_MAX+1)</f>
        <v>293</v>
      </c>
      <c r="FK376" s="13">
        <f>IF(FB376=1,$FB$35,$FB$36)</f>
        <v>0</v>
      </c>
      <c r="FL376" s="13">
        <f>OCC_DAYS*$FB$41*R_NF_2023-FD376*MCD_SHARE_FREED*R_WAIT_2023</f>
        <v>151980.48282209205</v>
      </c>
      <c r="FM376">
        <f>IF($A376&lt;=$FB$45,1,0)</f>
        <v>0</v>
      </c>
      <c r="GB376">
        <f>IF($GB$31&lt;=$GB$32,IF($A376&lt;=$GB$7,1,2),IF($A376&lt;=RUNG_BEDS_2,2,1))</f>
        <v>1</v>
      </c>
      <c r="GC376" s="5">
        <f>MIN(1,MAX(0,$GB$26-($A376-1)))</f>
        <v>0</v>
      </c>
      <c r="GD376" s="5">
        <f>$GB$25*(GC376+(1-GC376)*$GB$16)</f>
        <v>0.0</v>
      </c>
      <c r="GE376" s="13">
        <f>GD376*($GB$6+ACUTE_MARGIN)</f>
        <v>0.0</v>
      </c>
      <c r="GF376" s="13">
        <f>IF(GB376=1,$GB$31,$GB$32)</f>
        <v>152394.16214437486</v>
      </c>
      <c r="GG376" s="13">
        <f>GE376-GF376</f>
        <v>-152394.16214437486</v>
      </c>
      <c r="GH376" s="13">
        <f>GH375+GG376</f>
        <v>-6422518.880029502</v>
      </c>
      <c r="GI376">
        <f>IF(GH376=MAX($GH$83:$GH$483),$A376,0)</f>
        <v>0</v>
      </c>
      <c r="GJ376">
        <f>IF(GE376&lt;GF376,$A376,B_MAX+1)</f>
        <v>293</v>
      </c>
      <c r="GK376" s="13">
        <f>IF(GB376=1,$GB$35,$GB$36)</f>
        <v>0</v>
      </c>
      <c r="GL376" s="13">
        <f>OCC_DAYS*$GB$41*R_NF_2023-GD376*MCD_SHARE_FREED*R_WAIT_2023</f>
        <v>151980.48282209205</v>
      </c>
      <c r="GM376">
        <f>IF($A376&lt;=$GB$45,1,0)</f>
        <v>0</v>
      </c>
      <c r="HB376">
        <f>IF($HB$31&lt;=$HB$32,IF($A376&lt;=$HB$7,1,2),IF($A376&lt;=RUNG_BEDS_2,2,1))</f>
        <v>1</v>
      </c>
      <c r="HC376" s="5">
        <f>MIN(1,MAX(0,$HB$26-($A376-1)))</f>
        <v>0</v>
      </c>
      <c r="HD376" s="5">
        <f>$HB$25*(HC376+(1-HC376)*$HB$16)</f>
        <v>0.0</v>
      </c>
      <c r="HE376" s="13">
        <f>HD376*($HB$6+ACUTE_MARGIN)</f>
        <v>0.0</v>
      </c>
      <c r="HF376" s="13">
        <f>IF(HB376=1,$HB$31,$HB$32)</f>
        <v>152456.2970814058</v>
      </c>
      <c r="HG376" s="13">
        <f>HE376-HF376</f>
        <v>-152456.2970814058</v>
      </c>
      <c r="HH376" s="13">
        <f>HH375+HG376</f>
        <v>-6440724.416579609</v>
      </c>
      <c r="HI376">
        <f>IF(HH376=MAX($HH$83:$HH$483),$A376,0)</f>
        <v>0</v>
      </c>
      <c r="HJ376">
        <f>IF(HE376&lt;HF376,$A376,B_MAX+1)</f>
        <v>293</v>
      </c>
      <c r="HK376" s="13">
        <f>IF(HB376=1,$HB$35,$HB$36)</f>
        <v>0</v>
      </c>
      <c r="HL376" s="13">
        <f>OCC_DAYS*$HB$41*R_NF_2023-HD376*MCD_SHARE_FREED*R_WAIT_2023</f>
        <v>151980.48282209205</v>
      </c>
      <c r="HM376">
        <f>IF($A376&lt;=$HB$45,1,0)</f>
        <v>0</v>
      </c>
      <c r="IB376">
        <f>IF($IB$31&lt;=$IB$32,IF($A376&lt;=$IB$7,1,2),IF($A376&lt;=RUNG_BEDS_2,2,1))</f>
        <v>1</v>
      </c>
      <c r="IC376" s="5">
        <f>MIN(1,MAX(0,$IB$26-($A376-1)))</f>
        <v>0</v>
      </c>
      <c r="ID376" s="5">
        <f>$IB$25*(IC376+(1-IC376)*$IB$16)</f>
        <v>0.0</v>
      </c>
      <c r="IE376" s="13">
        <f>ID376*($IB$6+ACUTE_MARGIN)</f>
        <v>0.0</v>
      </c>
      <c r="IF376" s="13">
        <f>IF(IB376=1,$IB$31,$IB$32)</f>
        <v>152734.9994534971</v>
      </c>
      <c r="IG376" s="13">
        <f>IE376-IF376</f>
        <v>-152734.9994534971</v>
      </c>
      <c r="IH376" s="13">
        <f>IH375+IG376</f>
        <v>-6522384.2116024075</v>
      </c>
      <c r="II376">
        <f>IF(IH376=MAX($IH$83:$IH$483),$A376,0)</f>
        <v>0</v>
      </c>
      <c r="IJ376">
        <f>IF(IE376&lt;IF376,$A376,B_MAX+1)</f>
        <v>293</v>
      </c>
      <c r="IK376" s="13">
        <f>IF(IB376=1,$IB$35,$IB$36)</f>
        <v>0</v>
      </c>
      <c r="IL376" s="13">
        <f>OCC_DAYS*$IB$41*R_NF_2023-ID376*MCD_SHARE_FREED*R_WAIT_2023</f>
        <v>151980.48282209205</v>
      </c>
      <c r="IM376">
        <f>IF($A376&lt;=$IB$45,1,0)</f>
        <v>0</v>
      </c>
      <c r="JB376">
        <f>IF($JB$31&lt;=$JB$32,IF($A376&lt;=$JB$7,1,2),IF($A376&lt;=RUNG_BEDS_2,2,1))</f>
        <v>1</v>
      </c>
      <c r="JC376" s="5">
        <f>MIN(1,MAX(0,$JB$26-($A376-1)))</f>
        <v>0</v>
      </c>
      <c r="JD376" s="5">
        <f>$JB$25*(JC376+(1-JC376)*$JB$16)</f>
        <v>0.0</v>
      </c>
      <c r="JE376" s="13">
        <f>JD376*($JB$6+ACUTE_MARGIN)</f>
        <v>0.0</v>
      </c>
      <c r="JF376" s="13">
        <f>IF(JB376=1,$JB$31,$JB$32)</f>
        <v>152394.16214437486</v>
      </c>
      <c r="JG376" s="13">
        <f>JE376-JF376</f>
        <v>-152394.16214437486</v>
      </c>
      <c r="JH376" s="13">
        <f>JH375+JG376</f>
        <v>-6422518.880029502</v>
      </c>
      <c r="JI376">
        <f>IF(JH376=MAX($JH$83:$JH$483),$A376,0)</f>
        <v>0</v>
      </c>
      <c r="JJ376">
        <f>IF(JE376&lt;JF376,$A376,B_MAX+1)</f>
        <v>293</v>
      </c>
      <c r="JK376" s="13">
        <f>IF(JB376=1,$JB$35,$JB$36)</f>
        <v>0</v>
      </c>
      <c r="JL376" s="13">
        <f>OCC_DAYS*$JB$41*R_NF_2023-JD376*MCD_SHARE_FREED*R_WAIT_2023</f>
        <v>151980.48282209205</v>
      </c>
      <c r="JM376">
        <f>IF($A376&lt;=$JB$45,1,0)</f>
        <v>0</v>
      </c>
      <c r="KB376">
        <f>IF($KB$31&lt;=$KB$32,IF($A376&lt;=$KB$7,1,2),IF($A376&lt;=RUNG_BEDS_2,2,1))</f>
        <v>1</v>
      </c>
      <c r="KC376" s="5">
        <f>MIN(1,MAX(0,$KB$26-($A376-1)))</f>
        <v>1</v>
      </c>
      <c r="KD376" s="5">
        <f>$KB$25*(KC376+(1-KC376)*$KB$16)</f>
        <v>126.02661357340719</v>
      </c>
      <c r="KE376" s="13">
        <f>KD376*($KB$6+ACUTE_MARGIN)</f>
        <v>127286.87970914126</v>
      </c>
      <c r="KF376" s="13">
        <f>IF(KB376=1,$KB$31,$KB$32)</f>
        <v>152394.16214437486</v>
      </c>
      <c r="KG376" s="13">
        <f>KE376-KF376</f>
        <v>-25107.282435233603</v>
      </c>
      <c r="KH376" s="13">
        <f>KH375+KG376</f>
        <v>-7356433.753523471</v>
      </c>
      <c r="KI376">
        <f>IF(KH376=MAX($KH$83:$KH$483),$A376,0)</f>
        <v>0</v>
      </c>
      <c r="KJ376">
        <f>IF(KE376&lt;KF376,$A376,B_MAX+1)</f>
        <v>293</v>
      </c>
      <c r="KK376" s="13">
        <f>IF(KB376=1,$KB$35,$KB$36)</f>
        <v>0</v>
      </c>
      <c r="KL376" s="13">
        <f>OCC_DAYS*$KB$41*R_NF_2023-KD376*MCD_SHARE_FREED*R_WAIT_2023</f>
        <v>94673.82103225985</v>
      </c>
      <c r="KM376">
        <f>IF($A376&lt;=$KB$45,1,0)</f>
        <v>0</v>
      </c>
      <c r="LB376">
        <f>IF($LB$31&lt;=$LB$32,IF($A376&lt;=$LB$7,1,2),IF($A376&lt;=RUNG_BEDS_2,2,1))</f>
        <v>1</v>
      </c>
      <c r="LC376" s="5">
        <f>MIN(1,MAX(0,$LB$26-($A376-1)))</f>
        <v>1</v>
      </c>
      <c r="LD376" s="5">
        <f>$LB$25*(LC376+(1-LC376)*$LB$16)</f>
        <v>84.01774238227146</v>
      </c>
      <c r="LE376" s="13">
        <f>LD376*($LB$6+ACUTE_MARGIN)</f>
        <v>84857.91980609419</v>
      </c>
      <c r="LF376" s="13">
        <f>IF(LB376=1,$LB$31,$LB$32)</f>
        <v>152394.16214437486</v>
      </c>
      <c r="LG376" s="13">
        <f>LE376-LF376</f>
        <v>-67536.24233828067</v>
      </c>
      <c r="LH376" s="13">
        <f>LH375+LG376</f>
        <v>-19788119.00511634</v>
      </c>
      <c r="LI376">
        <f>IF(LH376=MAX($LH$83:$LH$483),$A376,0)</f>
        <v>0</v>
      </c>
      <c r="LJ376">
        <f>IF(LE376&lt;LF376,$A376,B_MAX+1)</f>
        <v>293</v>
      </c>
      <c r="LK376" s="13">
        <f>IF(LB376=1,$LB$35,$LB$36)</f>
        <v>0</v>
      </c>
      <c r="LL376" s="13">
        <f>OCC_DAYS*$LB$41*R_NF_2023-LD376*MCD_SHARE_FREED*R_WAIT_2023</f>
        <v>113776.04162887059</v>
      </c>
      <c r="LM376">
        <f>IF($A376&lt;=$LB$45,1,0)</f>
        <v>0</v>
      </c>
      <c r="MB376">
        <f>IF($MB$31&lt;=$MB$32,IF($A376&lt;=$MB$7,1,2),IF($A376&lt;=RUNG_BEDS_2,2,1))</f>
        <v>1</v>
      </c>
      <c r="MC376" s="5">
        <f>MIN(1,MAX(0,$MB$26-($A376-1)))</f>
        <v>0</v>
      </c>
      <c r="MD376" s="5">
        <f>$MB$25*(MC376+(1-MC376)*$MB$16)</f>
        <v>0.0</v>
      </c>
      <c r="ME376" s="13">
        <f>MD376*($MB$6+ACUTE_MARGIN)</f>
        <v>0.0</v>
      </c>
      <c r="MF376" s="13">
        <f>IF(MB376=1,$MB$31,$MB$32)</f>
        <v>152394.16214437486</v>
      </c>
      <c r="MG376" s="13">
        <f>ME376-MF376</f>
        <v>-152394.16214437486</v>
      </c>
      <c r="MH376" s="13">
        <f>MH375+MG376</f>
        <v>-12309794.941827815</v>
      </c>
      <c r="MI376">
        <f>IF(MH376=MAX($MH$83:$MH$483),$A376,0)</f>
        <v>0</v>
      </c>
      <c r="MJ376">
        <f>IF(ME376&lt;MF376,$A376,B_MAX+1)</f>
        <v>293</v>
      </c>
      <c r="MK376" s="13">
        <f>IF(MB376=1,$MB$35,$MB$36)</f>
        <v>0</v>
      </c>
      <c r="ML376" s="13">
        <f>OCC_DAYS*$MB$41*R_NF_2023-MD376*MCD_SHARE_FREED*R_WAIT_2023</f>
        <v>151980.48282209205</v>
      </c>
      <c r="MM376">
        <f>IF($A376&lt;=$MB$45,1,0)</f>
        <v>0</v>
      </c>
      <c r="NB376">
        <f>IF($NB$31&lt;=$NB$32,IF($A376&lt;=$NB$7,1,2),IF($A376&lt;=RUNG_BEDS_2,2,1))</f>
        <v>1</v>
      </c>
      <c r="NC376" s="5">
        <f>MIN(1,MAX(0,$NB$26-($A376-1)))</f>
        <v>0</v>
      </c>
      <c r="ND376" s="5">
        <f>$NB$25*(NC376+(1-NC376)*$NB$16)</f>
        <v>63.013306786703595</v>
      </c>
      <c r="NE376" s="13">
        <f>ND376*($NB$6+ACUTE_MARGIN)</f>
        <v>63643.43985457063</v>
      </c>
      <c r="NF376" s="13">
        <f>IF(NB376=1,$NB$31,$NB$32)</f>
        <v>152394.16214437486</v>
      </c>
      <c r="NG376" s="13">
        <f>NE376-NF376</f>
        <v>-88750.72228980422</v>
      </c>
      <c r="NH376" s="13">
        <f>NH375+NG376</f>
        <v>2667766.340291586</v>
      </c>
      <c r="NI376">
        <f>IF(NH376=MAX($NH$83:$NH$483),$A376,0)</f>
        <v>0</v>
      </c>
      <c r="NJ376">
        <f>IF(NE376&lt;NF376,$A376,B_MAX+1)</f>
        <v>293</v>
      </c>
      <c r="NK376" s="13">
        <f>IF(NB376=1,$NB$35,$NB$36)</f>
        <v>0</v>
      </c>
      <c r="NL376" s="13">
        <f>OCC_DAYS*$NB$41*R_NF_2023-ND376*MCD_SHARE_FREED*R_WAIT_2023</f>
        <v>123327.15192717595</v>
      </c>
      <c r="NM376">
        <f>IF($A376&lt;=$NB$45,1,0)</f>
        <v>0</v>
      </c>
      <c r="OB376">
        <f>IF($OB$31&lt;=$OB$32,IF($A376&lt;=$OB$7,1,2),IF($A376&lt;=RUNG_BEDS_2,2,1))</f>
        <v>1</v>
      </c>
      <c r="OC376" s="5">
        <f>MIN(1,MAX(0,$OB$26-($A376-1)))</f>
        <v>0</v>
      </c>
      <c r="OD376" s="5">
        <f>$OB$25*(OC376+(1-OC376)*$OB$16)</f>
        <v>126.02661357340719</v>
      </c>
      <c r="OE376" s="13">
        <f>OD376*($OB$6+ACUTE_MARGIN)</f>
        <v>127286.87970914126</v>
      </c>
      <c r="OF376" s="13">
        <f>IF(OB376=1,$OB$31,$OB$32)</f>
        <v>152394.16214437486</v>
      </c>
      <c r="OG376" s="13">
        <f>OE376-OF376</f>
        <v>-25107.282435233603</v>
      </c>
      <c r="OH376" s="13">
        <f>OH375+OG376</f>
        <v>11758051.560612855</v>
      </c>
      <c r="OI376">
        <f>IF(OH376=MAX($OH$83:$OH$483),$A376,0)</f>
        <v>0</v>
      </c>
      <c r="OJ376">
        <f>IF(OE376&lt;OF376,$A376,B_MAX+1)</f>
        <v>293</v>
      </c>
      <c r="OK376" s="13">
        <f>IF(OB376=1,$OB$35,$OB$36)</f>
        <v>0</v>
      </c>
      <c r="OL376" s="13">
        <f>OCC_DAYS*$OB$41*R_NF_2023-OD376*MCD_SHARE_FREED*R_WAIT_2023</f>
        <v>94673.82103225985</v>
      </c>
      <c r="OM376">
        <f>IF($A376&lt;=$OB$45,1,0)</f>
        <v>0</v>
      </c>
    </row>
    <row r="377">
      <c r="A377" t="n">
        <v>294</v>
      </c>
      <c r="B377">
        <f>IF($B$31&lt;=$B$32,IF($A377&lt;=$B$7,1,2),IF($A377&lt;=RUNG_BEDS_2,2,1))</f>
        <v>1</v>
      </c>
      <c r="C377" s="5">
        <f>MIN(1,MAX(0,$B$26-($A377-1)))</f>
        <v>0</v>
      </c>
      <c r="D377" s="5">
        <f>$B$25*(C377+(1-C377)*$B$16)</f>
        <v>0.0</v>
      </c>
      <c r="E377" s="13">
        <f>D377*($B$6+ACUTE_MARGIN)</f>
        <v>0.0</v>
      </c>
      <c r="F377" s="13">
        <f>IF(B377=1,$B$31,$B$32)</f>
        <v>152394.16214437486</v>
      </c>
      <c r="G377" s="13">
        <f>E377-F377</f>
        <v>-152394.16214437486</v>
      </c>
      <c r="H377" s="13">
        <f>H376+G377</f>
        <v>-6574913.042173877</v>
      </c>
      <c r="I377">
        <f>IF(H377=MAX($H$83:$H$483),$A377,0)</f>
        <v>0</v>
      </c>
      <c r="J377">
        <f>IF(E377&lt;F377,$A377,B_MAX+1)</f>
        <v>294</v>
      </c>
      <c r="K377" s="13">
        <f>IF(B377=1,$B$35,$B$36)</f>
        <v>0</v>
      </c>
      <c r="L377" s="13">
        <f>OCC_DAYS*$B$41*R_NF_2023-D377*MCD_SHARE_FREED*R_WAIT_2023</f>
        <v>151980.48282209205</v>
      </c>
      <c r="M377">
        <f>IF($A377&lt;=$B$45,1,0)</f>
        <v>0</v>
      </c>
      <c r="AB377">
        <f>IF($AB$31&lt;=$AB$32,IF($A377&lt;=$AB$7,1,2),IF($A377&lt;=RUNG_BEDS_2,2,1))</f>
        <v>1</v>
      </c>
      <c r="AC377" s="5">
        <f>MIN(1,MAX(0,$AB$26-($A377-1)))</f>
        <v>0</v>
      </c>
      <c r="AD377" s="5">
        <f>$AB$25*(AC377+(1-AC377)*$AB$16)</f>
        <v>0.0</v>
      </c>
      <c r="AE377" s="13">
        <f>AD377*($AB$6+ACUTE_MARGIN)</f>
        <v>0.0</v>
      </c>
      <c r="AF377" s="13">
        <f>IF(AB377=1,$AB$31,$AB$32)</f>
        <v>152394.16214437486</v>
      </c>
      <c r="AG377" s="13">
        <f>AE377-AF377</f>
        <v>-152394.16214437486</v>
      </c>
      <c r="AH377" s="13">
        <f>AH376+AG377</f>
        <v>-23986127.387723625</v>
      </c>
      <c r="AI377">
        <f>IF(AH377=MAX($AH$83:$AH$483),$A377,0)</f>
        <v>0</v>
      </c>
      <c r="AJ377">
        <f>IF(AE377&lt;AF377,$A377,B_MAX+1)</f>
        <v>294</v>
      </c>
      <c r="AK377" s="13">
        <f>IF(AB377=1,$AB$35,$AB$36)</f>
        <v>0</v>
      </c>
      <c r="AL377" s="13">
        <f>OCC_DAYS*$AB$41*R_NF_2023-AD377*MCD_SHARE_FREED*R_WAIT_2023</f>
        <v>151980.48282209205</v>
      </c>
      <c r="AM377">
        <f>IF($A377&lt;=$AB$45,1,0)</f>
        <v>0</v>
      </c>
      <c r="BB377">
        <f>IF($BB$31&lt;=$BB$32,IF($A377&lt;=$BB$7,1,2),IF($A377&lt;=RUNG_BEDS_2,2,1))</f>
        <v>1</v>
      </c>
      <c r="BC377" s="5">
        <f>MIN(1,MAX(0,$BB$26-($A377-1)))</f>
        <v>0</v>
      </c>
      <c r="BD377" s="5">
        <f>$BB$25*(BC377+(1-BC377)*$BB$16)</f>
        <v>0.0</v>
      </c>
      <c r="BE377" s="13">
        <f>BD377*($BB$6+ACUTE_MARGIN)</f>
        <v>0.0</v>
      </c>
      <c r="BF377" s="13">
        <f>IF(BB377=1,$BB$31,$BB$32)</f>
        <v>152394.16214437486</v>
      </c>
      <c r="BG377" s="13">
        <f>BE377-BF377</f>
        <v>-152394.16214437486</v>
      </c>
      <c r="BH377" s="13">
        <f>BH376+BG377</f>
        <v>10836301.30337587</v>
      </c>
      <c r="BI377">
        <f>IF(BH377=MAX($BH$83:$BH$483),$A377,0)</f>
        <v>0</v>
      </c>
      <c r="BJ377">
        <f>IF(BE377&lt;BF377,$A377,B_MAX+1)</f>
        <v>294</v>
      </c>
      <c r="BK377" s="13">
        <f>IF(BB377=1,$BB$35,$BB$36)</f>
        <v>0</v>
      </c>
      <c r="BL377" s="13">
        <f>OCC_DAYS*$BB$41*R_NF_2023-BD377*MCD_SHARE_FREED*R_WAIT_2023</f>
        <v>151980.48282209205</v>
      </c>
      <c r="BM377">
        <f>IF($A377&lt;=$BB$45,1,0)</f>
        <v>0</v>
      </c>
      <c r="CB377">
        <f>IF($CB$31&lt;=$CB$32,IF($A377&lt;=$CB$7,1,2),IF($A377&lt;=RUNG_BEDS_2,2,1))</f>
        <v>2</v>
      </c>
      <c r="CC377" s="5">
        <f>MIN(1,MAX(0,$CB$26-($A377-1)))</f>
        <v>0</v>
      </c>
      <c r="CD377" s="5">
        <f>$CB$25*(CC377+(1-CC377)*$CB$16)</f>
        <v>0.0</v>
      </c>
      <c r="CE377" s="13">
        <f>CD377*($CB$6+ACUTE_MARGIN)</f>
        <v>0.0</v>
      </c>
      <c r="CF377" s="13">
        <f>IF(CB377=1,$CB$31,$CB$32)</f>
        <v>160718.36940738867</v>
      </c>
      <c r="CG377" s="13">
        <f>CE377-CF377</f>
        <v>-160718.36940738867</v>
      </c>
      <c r="CH377" s="13">
        <f>CH376+CG377</f>
        <v>-9022229.977500044</v>
      </c>
      <c r="CI377">
        <f>IF(CH377=MAX($CH$83:$CH$483),$A377,0)</f>
        <v>0</v>
      </c>
      <c r="CJ377">
        <f>IF(CE377&lt;CF377,$A377,B_MAX+1)</f>
        <v>294</v>
      </c>
      <c r="CK377" s="13">
        <f>IF(CB377=1,$CB$35,$CB$36)</f>
        <v>1560.1194073886782</v>
      </c>
      <c r="CL377" s="13">
        <f>OCC_DAYS*$CB$41*R_NF_2023-CD377*MCD_SHARE_FREED*R_WAIT_2023</f>
        <v>151980.48282209205</v>
      </c>
      <c r="CM377">
        <f>IF($A377&lt;=$CB$45,1,0)</f>
        <v>0</v>
      </c>
      <c r="DB377">
        <f>IF($DB$31&lt;=$DB$32,IF($A377&lt;=$DB$7,1,2),IF($A377&lt;=RUNG_BEDS_2,2,1))</f>
        <v>1</v>
      </c>
      <c r="DC377" s="5">
        <f>MIN(1,MAX(0,$DB$26-($A377-1)))</f>
        <v>0</v>
      </c>
      <c r="DD377" s="5">
        <f>$DB$25*(DC377+(1-DC377)*$DB$16)</f>
        <v>0.0</v>
      </c>
      <c r="DE377" s="13">
        <f>DD377*($DB$6+ACUTE_MARGIN)</f>
        <v>0.0</v>
      </c>
      <c r="DF377" s="13">
        <f>IF(DB377=1,$DB$31,$DB$32)</f>
        <v>152394.16214437486</v>
      </c>
      <c r="DG377" s="13">
        <f>DE377-DF377</f>
        <v>-152394.16214437486</v>
      </c>
      <c r="DH377" s="13">
        <f>DH376+DG377</f>
        <v>-6574913.042173877</v>
      </c>
      <c r="DI377">
        <f>IF(DH377=MAX($DH$83:$DH$483),$A377,0)</f>
        <v>0</v>
      </c>
      <c r="DJ377">
        <f>IF(DE377&lt;DF377,$A377,B_MAX+1)</f>
        <v>294</v>
      </c>
      <c r="DK377" s="13">
        <f>IF(DB377=1,$DB$35,$DB$36)</f>
        <v>0</v>
      </c>
      <c r="DL377" s="13">
        <f>OCC_DAYS*$DB$41*R_NF_2023-DD377*MCD_SHARE_FREED*R_WAIT_2023</f>
        <v>151980.48282209205</v>
      </c>
      <c r="DM377">
        <f>IF($A377&lt;=$DB$45,1,0)</f>
        <v>0</v>
      </c>
      <c r="EB377">
        <f>IF($EB$31&lt;=$EB$32,IF($A377&lt;=$EB$7,1,2),IF($A377&lt;=RUNG_BEDS_2,2,1))</f>
        <v>1</v>
      </c>
      <c r="EC377" s="5">
        <f>MIN(1,MAX(0,$EB$26-($A377-1)))</f>
        <v>0</v>
      </c>
      <c r="ED377" s="5">
        <f>$EB$25*(EC377+(1-EC377)*$EB$16)</f>
        <v>0.0</v>
      </c>
      <c r="EE377" s="13">
        <f>ED377*($EB$6+ACUTE_MARGIN)</f>
        <v>0.0</v>
      </c>
      <c r="EF377" s="13">
        <f>IF(EB377=1,$EB$31,$EB$32)</f>
        <v>152394.16214437486</v>
      </c>
      <c r="EG377" s="13">
        <f>EE377-EF377</f>
        <v>-152394.16214437486</v>
      </c>
      <c r="EH377" s="13">
        <f>EH376+EG377</f>
        <v>-6574913.042173877</v>
      </c>
      <c r="EI377">
        <f>IF(EH377=MAX($EH$83:$EH$483),$A377,0)</f>
        <v>0</v>
      </c>
      <c r="EJ377">
        <f>IF(EE377&lt;EF377,$A377,B_MAX+1)</f>
        <v>294</v>
      </c>
      <c r="EK377" s="13">
        <f>IF(EB377=1,$EB$35,$EB$36)</f>
        <v>0</v>
      </c>
      <c r="EL377" s="13">
        <f>OCC_DAYS*$EB$41*R_NF_2023-ED377*MCD_SHARE_FREED*R_WAIT_2023</f>
        <v>50660.16094069735</v>
      </c>
      <c r="EM377">
        <f>IF($A377&lt;=$EB$45,1,0)</f>
        <v>0</v>
      </c>
      <c r="FB377">
        <f>IF($FB$31&lt;=$FB$32,IF($A377&lt;=$FB$7,1,2),IF($A377&lt;=RUNG_BEDS_2,2,1))</f>
        <v>1</v>
      </c>
      <c r="FC377" s="5">
        <f>MIN(1,MAX(0,$FB$26-($A377-1)))</f>
        <v>0</v>
      </c>
      <c r="FD377" s="5">
        <f>$FB$25*(FC377+(1-FC377)*$FB$16)</f>
        <v>0.0</v>
      </c>
      <c r="FE377" s="13">
        <f>FD377*($FB$6+ACUTE_MARGIN)</f>
        <v>0.0</v>
      </c>
      <c r="FF377" s="13">
        <f>IF(FB377=1,$FB$31,$FB$32)</f>
        <v>156636.04979437485</v>
      </c>
      <c r="FG377" s="13">
        <f>FE377-FF377</f>
        <v>-156636.04979437485</v>
      </c>
      <c r="FH377" s="13">
        <f>FH376+FG377</f>
        <v>-7822028.011273991</v>
      </c>
      <c r="FI377">
        <f>IF(FH377=MAX($FH$83:$FH$483),$A377,0)</f>
        <v>0</v>
      </c>
      <c r="FJ377">
        <f>IF(FE377&lt;FF377,$A377,B_MAX+1)</f>
        <v>294</v>
      </c>
      <c r="FK377" s="13">
        <f>IF(FB377=1,$FB$35,$FB$36)</f>
        <v>0</v>
      </c>
      <c r="FL377" s="13">
        <f>OCC_DAYS*$FB$41*R_NF_2023-FD377*MCD_SHARE_FREED*R_WAIT_2023</f>
        <v>151980.48282209205</v>
      </c>
      <c r="FM377">
        <f>IF($A377&lt;=$FB$45,1,0)</f>
        <v>0</v>
      </c>
      <c r="GB377">
        <f>IF($GB$31&lt;=$GB$32,IF($A377&lt;=$GB$7,1,2),IF($A377&lt;=RUNG_BEDS_2,2,1))</f>
        <v>1</v>
      </c>
      <c r="GC377" s="5">
        <f>MIN(1,MAX(0,$GB$26-($A377-1)))</f>
        <v>0</v>
      </c>
      <c r="GD377" s="5">
        <f>$GB$25*(GC377+(1-GC377)*$GB$16)</f>
        <v>0.0</v>
      </c>
      <c r="GE377" s="13">
        <f>GD377*($GB$6+ACUTE_MARGIN)</f>
        <v>0.0</v>
      </c>
      <c r="GF377" s="13">
        <f>IF(GB377=1,$GB$31,$GB$32)</f>
        <v>152394.16214437486</v>
      </c>
      <c r="GG377" s="13">
        <f>GE377-GF377</f>
        <v>-152394.16214437486</v>
      </c>
      <c r="GH377" s="13">
        <f>GH376+GG377</f>
        <v>-6574913.042173877</v>
      </c>
      <c r="GI377">
        <f>IF(GH377=MAX($GH$83:$GH$483),$A377,0)</f>
        <v>0</v>
      </c>
      <c r="GJ377">
        <f>IF(GE377&lt;GF377,$A377,B_MAX+1)</f>
        <v>294</v>
      </c>
      <c r="GK377" s="13">
        <f>IF(GB377=1,$GB$35,$GB$36)</f>
        <v>0</v>
      </c>
      <c r="GL377" s="13">
        <f>OCC_DAYS*$GB$41*R_NF_2023-GD377*MCD_SHARE_FREED*R_WAIT_2023</f>
        <v>151980.48282209205</v>
      </c>
      <c r="GM377">
        <f>IF($A377&lt;=$GB$45,1,0)</f>
        <v>0</v>
      </c>
      <c r="HB377">
        <f>IF($HB$31&lt;=$HB$32,IF($A377&lt;=$HB$7,1,2),IF($A377&lt;=RUNG_BEDS_2,2,1))</f>
        <v>1</v>
      </c>
      <c r="HC377" s="5">
        <f>MIN(1,MAX(0,$HB$26-($A377-1)))</f>
        <v>0</v>
      </c>
      <c r="HD377" s="5">
        <f>$HB$25*(HC377+(1-HC377)*$HB$16)</f>
        <v>0.0</v>
      </c>
      <c r="HE377" s="13">
        <f>HD377*($HB$6+ACUTE_MARGIN)</f>
        <v>0.0</v>
      </c>
      <c r="HF377" s="13">
        <f>IF(HB377=1,$HB$31,$HB$32)</f>
        <v>152456.2970814058</v>
      </c>
      <c r="HG377" s="13">
        <f>HE377-HF377</f>
        <v>-152456.2970814058</v>
      </c>
      <c r="HH377" s="13">
        <f>HH376+HG377</f>
        <v>-6593180.713661015</v>
      </c>
      <c r="HI377">
        <f>IF(HH377=MAX($HH$83:$HH$483),$A377,0)</f>
        <v>0</v>
      </c>
      <c r="HJ377">
        <f>IF(HE377&lt;HF377,$A377,B_MAX+1)</f>
        <v>294</v>
      </c>
      <c r="HK377" s="13">
        <f>IF(HB377=1,$HB$35,$HB$36)</f>
        <v>0</v>
      </c>
      <c r="HL377" s="13">
        <f>OCC_DAYS*$HB$41*R_NF_2023-HD377*MCD_SHARE_FREED*R_WAIT_2023</f>
        <v>151980.48282209205</v>
      </c>
      <c r="HM377">
        <f>IF($A377&lt;=$HB$45,1,0)</f>
        <v>0</v>
      </c>
      <c r="IB377">
        <f>IF($IB$31&lt;=$IB$32,IF($A377&lt;=$IB$7,1,2),IF($A377&lt;=RUNG_BEDS_2,2,1))</f>
        <v>1</v>
      </c>
      <c r="IC377" s="5">
        <f>MIN(1,MAX(0,$IB$26-($A377-1)))</f>
        <v>0</v>
      </c>
      <c r="ID377" s="5">
        <f>$IB$25*(IC377+(1-IC377)*$IB$16)</f>
        <v>0.0</v>
      </c>
      <c r="IE377" s="13">
        <f>ID377*($IB$6+ACUTE_MARGIN)</f>
        <v>0.0</v>
      </c>
      <c r="IF377" s="13">
        <f>IF(IB377=1,$IB$31,$IB$32)</f>
        <v>152734.9994534971</v>
      </c>
      <c r="IG377" s="13">
        <f>IE377-IF377</f>
        <v>-152734.9994534971</v>
      </c>
      <c r="IH377" s="13">
        <f>IH376+IG377</f>
        <v>-6675119.211055905</v>
      </c>
      <c r="II377">
        <f>IF(IH377=MAX($IH$83:$IH$483),$A377,0)</f>
        <v>0</v>
      </c>
      <c r="IJ377">
        <f>IF(IE377&lt;IF377,$A377,B_MAX+1)</f>
        <v>294</v>
      </c>
      <c r="IK377" s="13">
        <f>IF(IB377=1,$IB$35,$IB$36)</f>
        <v>0</v>
      </c>
      <c r="IL377" s="13">
        <f>OCC_DAYS*$IB$41*R_NF_2023-ID377*MCD_SHARE_FREED*R_WAIT_2023</f>
        <v>151980.48282209205</v>
      </c>
      <c r="IM377">
        <f>IF($A377&lt;=$IB$45,1,0)</f>
        <v>0</v>
      </c>
      <c r="JB377">
        <f>IF($JB$31&lt;=$JB$32,IF($A377&lt;=$JB$7,1,2),IF($A377&lt;=RUNG_BEDS_2,2,1))</f>
        <v>1</v>
      </c>
      <c r="JC377" s="5">
        <f>MIN(1,MAX(0,$JB$26-($A377-1)))</f>
        <v>0</v>
      </c>
      <c r="JD377" s="5">
        <f>$JB$25*(JC377+(1-JC377)*$JB$16)</f>
        <v>0.0</v>
      </c>
      <c r="JE377" s="13">
        <f>JD377*($JB$6+ACUTE_MARGIN)</f>
        <v>0.0</v>
      </c>
      <c r="JF377" s="13">
        <f>IF(JB377=1,$JB$31,$JB$32)</f>
        <v>152394.16214437486</v>
      </c>
      <c r="JG377" s="13">
        <f>JE377-JF377</f>
        <v>-152394.16214437486</v>
      </c>
      <c r="JH377" s="13">
        <f>JH376+JG377</f>
        <v>-6574913.042173877</v>
      </c>
      <c r="JI377">
        <f>IF(JH377=MAX($JH$83:$JH$483),$A377,0)</f>
        <v>0</v>
      </c>
      <c r="JJ377">
        <f>IF(JE377&lt;JF377,$A377,B_MAX+1)</f>
        <v>294</v>
      </c>
      <c r="JK377" s="13">
        <f>IF(JB377=1,$JB$35,$JB$36)</f>
        <v>0</v>
      </c>
      <c r="JL377" s="13">
        <f>OCC_DAYS*$JB$41*R_NF_2023-JD377*MCD_SHARE_FREED*R_WAIT_2023</f>
        <v>151980.48282209205</v>
      </c>
      <c r="JM377">
        <f>IF($A377&lt;=$JB$45,1,0)</f>
        <v>0</v>
      </c>
      <c r="KB377">
        <f>IF($KB$31&lt;=$KB$32,IF($A377&lt;=$KB$7,1,2),IF($A377&lt;=RUNG_BEDS_2,2,1))</f>
        <v>1</v>
      </c>
      <c r="KC377" s="5">
        <f>MIN(1,MAX(0,$KB$26-($A377-1)))</f>
        <v>1</v>
      </c>
      <c r="KD377" s="5">
        <f>$KB$25*(KC377+(1-KC377)*$KB$16)</f>
        <v>126.02661357340719</v>
      </c>
      <c r="KE377" s="13">
        <f>KD377*($KB$6+ACUTE_MARGIN)</f>
        <v>127286.87970914126</v>
      </c>
      <c r="KF377" s="13">
        <f>IF(KB377=1,$KB$31,$KB$32)</f>
        <v>152394.16214437486</v>
      </c>
      <c r="KG377" s="13">
        <f>KE377-KF377</f>
        <v>-25107.282435233603</v>
      </c>
      <c r="KH377" s="13">
        <f>KH376+KG377</f>
        <v>-7381541.035958705</v>
      </c>
      <c r="KI377">
        <f>IF(KH377=MAX($KH$83:$KH$483),$A377,0)</f>
        <v>0</v>
      </c>
      <c r="KJ377">
        <f>IF(KE377&lt;KF377,$A377,B_MAX+1)</f>
        <v>294</v>
      </c>
      <c r="KK377" s="13">
        <f>IF(KB377=1,$KB$35,$KB$36)</f>
        <v>0</v>
      </c>
      <c r="KL377" s="13">
        <f>OCC_DAYS*$KB$41*R_NF_2023-KD377*MCD_SHARE_FREED*R_WAIT_2023</f>
        <v>94673.82103225985</v>
      </c>
      <c r="KM377">
        <f>IF($A377&lt;=$KB$45,1,0)</f>
        <v>0</v>
      </c>
      <c r="LB377">
        <f>IF($LB$31&lt;=$LB$32,IF($A377&lt;=$LB$7,1,2),IF($A377&lt;=RUNG_BEDS_2,2,1))</f>
        <v>1</v>
      </c>
      <c r="LC377" s="5">
        <f>MIN(1,MAX(0,$LB$26-($A377-1)))</f>
        <v>1</v>
      </c>
      <c r="LD377" s="5">
        <f>$LB$25*(LC377+(1-LC377)*$LB$16)</f>
        <v>84.01774238227146</v>
      </c>
      <c r="LE377" s="13">
        <f>LD377*($LB$6+ACUTE_MARGIN)</f>
        <v>84857.91980609419</v>
      </c>
      <c r="LF377" s="13">
        <f>IF(LB377=1,$LB$31,$LB$32)</f>
        <v>152394.16214437486</v>
      </c>
      <c r="LG377" s="13">
        <f>LE377-LF377</f>
        <v>-67536.24233828067</v>
      </c>
      <c r="LH377" s="13">
        <f>LH376+LG377</f>
        <v>-19855655.24745462</v>
      </c>
      <c r="LI377">
        <f>IF(LH377=MAX($LH$83:$LH$483),$A377,0)</f>
        <v>0</v>
      </c>
      <c r="LJ377">
        <f>IF(LE377&lt;LF377,$A377,B_MAX+1)</f>
        <v>294</v>
      </c>
      <c r="LK377" s="13">
        <f>IF(LB377=1,$LB$35,$LB$36)</f>
        <v>0</v>
      </c>
      <c r="LL377" s="13">
        <f>OCC_DAYS*$LB$41*R_NF_2023-LD377*MCD_SHARE_FREED*R_WAIT_2023</f>
        <v>113776.04162887059</v>
      </c>
      <c r="LM377">
        <f>IF($A377&lt;=$LB$45,1,0)</f>
        <v>0</v>
      </c>
      <c r="MB377">
        <f>IF($MB$31&lt;=$MB$32,IF($A377&lt;=$MB$7,1,2),IF($A377&lt;=RUNG_BEDS_2,2,1))</f>
        <v>1</v>
      </c>
      <c r="MC377" s="5">
        <f>MIN(1,MAX(0,$MB$26-($A377-1)))</f>
        <v>0</v>
      </c>
      <c r="MD377" s="5">
        <f>$MB$25*(MC377+(1-MC377)*$MB$16)</f>
        <v>0.0</v>
      </c>
      <c r="ME377" s="13">
        <f>MD377*($MB$6+ACUTE_MARGIN)</f>
        <v>0.0</v>
      </c>
      <c r="MF377" s="13">
        <f>IF(MB377=1,$MB$31,$MB$32)</f>
        <v>152394.16214437486</v>
      </c>
      <c r="MG377" s="13">
        <f>ME377-MF377</f>
        <v>-152394.16214437486</v>
      </c>
      <c r="MH377" s="13">
        <f>MH376+MG377</f>
        <v>-12462189.10397219</v>
      </c>
      <c r="MI377">
        <f>IF(MH377=MAX($MH$83:$MH$483),$A377,0)</f>
        <v>0</v>
      </c>
      <c r="MJ377">
        <f>IF(ME377&lt;MF377,$A377,B_MAX+1)</f>
        <v>294</v>
      </c>
      <c r="MK377" s="13">
        <f>IF(MB377=1,$MB$35,$MB$36)</f>
        <v>0</v>
      </c>
      <c r="ML377" s="13">
        <f>OCC_DAYS*$MB$41*R_NF_2023-MD377*MCD_SHARE_FREED*R_WAIT_2023</f>
        <v>151980.48282209205</v>
      </c>
      <c r="MM377">
        <f>IF($A377&lt;=$MB$45,1,0)</f>
        <v>0</v>
      </c>
      <c r="NB377">
        <f>IF($NB$31&lt;=$NB$32,IF($A377&lt;=$NB$7,1,2),IF($A377&lt;=RUNG_BEDS_2,2,1))</f>
        <v>1</v>
      </c>
      <c r="NC377" s="5">
        <f>MIN(1,MAX(0,$NB$26-($A377-1)))</f>
        <v>0</v>
      </c>
      <c r="ND377" s="5">
        <f>$NB$25*(NC377+(1-NC377)*$NB$16)</f>
        <v>63.013306786703595</v>
      </c>
      <c r="NE377" s="13">
        <f>ND377*($NB$6+ACUTE_MARGIN)</f>
        <v>63643.43985457063</v>
      </c>
      <c r="NF377" s="13">
        <f>IF(NB377=1,$NB$31,$NB$32)</f>
        <v>152394.16214437486</v>
      </c>
      <c r="NG377" s="13">
        <f>NE377-NF377</f>
        <v>-88750.72228980422</v>
      </c>
      <c r="NH377" s="13">
        <f>NH376+NG377</f>
        <v>2579015.6180017814</v>
      </c>
      <c r="NI377">
        <f>IF(NH377=MAX($NH$83:$NH$483),$A377,0)</f>
        <v>0</v>
      </c>
      <c r="NJ377">
        <f>IF(NE377&lt;NF377,$A377,B_MAX+1)</f>
        <v>294</v>
      </c>
      <c r="NK377" s="13">
        <f>IF(NB377=1,$NB$35,$NB$36)</f>
        <v>0</v>
      </c>
      <c r="NL377" s="13">
        <f>OCC_DAYS*$NB$41*R_NF_2023-ND377*MCD_SHARE_FREED*R_WAIT_2023</f>
        <v>123327.15192717595</v>
      </c>
      <c r="NM377">
        <f>IF($A377&lt;=$NB$45,1,0)</f>
        <v>0</v>
      </c>
      <c r="OB377">
        <f>IF($OB$31&lt;=$OB$32,IF($A377&lt;=$OB$7,1,2),IF($A377&lt;=RUNG_BEDS_2,2,1))</f>
        <v>1</v>
      </c>
      <c r="OC377" s="5">
        <f>MIN(1,MAX(0,$OB$26-($A377-1)))</f>
        <v>0</v>
      </c>
      <c r="OD377" s="5">
        <f>$OB$25*(OC377+(1-OC377)*$OB$16)</f>
        <v>126.02661357340719</v>
      </c>
      <c r="OE377" s="13">
        <f>OD377*($OB$6+ACUTE_MARGIN)</f>
        <v>127286.87970914126</v>
      </c>
      <c r="OF377" s="13">
        <f>IF(OB377=1,$OB$31,$OB$32)</f>
        <v>152394.16214437486</v>
      </c>
      <c r="OG377" s="13">
        <f>OE377-OF377</f>
        <v>-25107.282435233603</v>
      </c>
      <c r="OH377" s="13">
        <f>OH376+OG377</f>
        <v>11732944.278177623</v>
      </c>
      <c r="OI377">
        <f>IF(OH377=MAX($OH$83:$OH$483),$A377,0)</f>
        <v>0</v>
      </c>
      <c r="OJ377">
        <f>IF(OE377&lt;OF377,$A377,B_MAX+1)</f>
        <v>294</v>
      </c>
      <c r="OK377" s="13">
        <f>IF(OB377=1,$OB$35,$OB$36)</f>
        <v>0</v>
      </c>
      <c r="OL377" s="13">
        <f>OCC_DAYS*$OB$41*R_NF_2023-OD377*MCD_SHARE_FREED*R_WAIT_2023</f>
        <v>94673.82103225985</v>
      </c>
      <c r="OM377">
        <f>IF($A377&lt;=$OB$45,1,0)</f>
        <v>0</v>
      </c>
    </row>
    <row r="378">
      <c r="A378" t="n">
        <v>295</v>
      </c>
      <c r="B378">
        <f>IF($B$31&lt;=$B$32,IF($A378&lt;=$B$7,1,2),IF($A378&lt;=RUNG_BEDS_2,2,1))</f>
        <v>1</v>
      </c>
      <c r="C378" s="5">
        <f>MIN(1,MAX(0,$B$26-($A378-1)))</f>
        <v>0</v>
      </c>
      <c r="D378" s="5">
        <f>$B$25*(C378+(1-C378)*$B$16)</f>
        <v>0.0</v>
      </c>
      <c r="E378" s="13">
        <f>D378*($B$6+ACUTE_MARGIN)</f>
        <v>0.0</v>
      </c>
      <c r="F378" s="13">
        <f>IF(B378=1,$B$31,$B$32)</f>
        <v>152394.16214437486</v>
      </c>
      <c r="G378" s="13">
        <f>E378-F378</f>
        <v>-152394.16214437486</v>
      </c>
      <c r="H378" s="13">
        <f>H377+G378</f>
        <v>-6727307.204318252</v>
      </c>
      <c r="I378">
        <f>IF(H378=MAX($H$83:$H$483),$A378,0)</f>
        <v>0</v>
      </c>
      <c r="J378">
        <f>IF(E378&lt;F378,$A378,B_MAX+1)</f>
        <v>295</v>
      </c>
      <c r="K378" s="13">
        <f>IF(B378=1,$B$35,$B$36)</f>
        <v>0</v>
      </c>
      <c r="L378" s="13">
        <f>OCC_DAYS*$B$41*R_NF_2023-D378*MCD_SHARE_FREED*R_WAIT_2023</f>
        <v>151980.48282209205</v>
      </c>
      <c r="M378">
        <f>IF($A378&lt;=$B$45,1,0)</f>
        <v>0</v>
      </c>
      <c r="AB378">
        <f>IF($AB$31&lt;=$AB$32,IF($A378&lt;=$AB$7,1,2),IF($A378&lt;=RUNG_BEDS_2,2,1))</f>
        <v>1</v>
      </c>
      <c r="AC378" s="5">
        <f>MIN(1,MAX(0,$AB$26-($A378-1)))</f>
        <v>0</v>
      </c>
      <c r="AD378" s="5">
        <f>$AB$25*(AC378+(1-AC378)*$AB$16)</f>
        <v>0.0</v>
      </c>
      <c r="AE378" s="13">
        <f>AD378*($AB$6+ACUTE_MARGIN)</f>
        <v>0.0</v>
      </c>
      <c r="AF378" s="13">
        <f>IF(AB378=1,$AB$31,$AB$32)</f>
        <v>152394.16214437486</v>
      </c>
      <c r="AG378" s="13">
        <f>AE378-AF378</f>
        <v>-152394.16214437486</v>
      </c>
      <c r="AH378" s="13">
        <f>AH377+AG378</f>
        <v>-24138521.549868</v>
      </c>
      <c r="AI378">
        <f>IF(AH378=MAX($AH$83:$AH$483),$A378,0)</f>
        <v>0</v>
      </c>
      <c r="AJ378">
        <f>IF(AE378&lt;AF378,$A378,B_MAX+1)</f>
        <v>295</v>
      </c>
      <c r="AK378" s="13">
        <f>IF(AB378=1,$AB$35,$AB$36)</f>
        <v>0</v>
      </c>
      <c r="AL378" s="13">
        <f>OCC_DAYS*$AB$41*R_NF_2023-AD378*MCD_SHARE_FREED*R_WAIT_2023</f>
        <v>151980.48282209205</v>
      </c>
      <c r="AM378">
        <f>IF($A378&lt;=$AB$45,1,0)</f>
        <v>0</v>
      </c>
      <c r="BB378">
        <f>IF($BB$31&lt;=$BB$32,IF($A378&lt;=$BB$7,1,2),IF($A378&lt;=RUNG_BEDS_2,2,1))</f>
        <v>1</v>
      </c>
      <c r="BC378" s="5">
        <f>MIN(1,MAX(0,$BB$26-($A378-1)))</f>
        <v>0</v>
      </c>
      <c r="BD378" s="5">
        <f>$BB$25*(BC378+(1-BC378)*$BB$16)</f>
        <v>0.0</v>
      </c>
      <c r="BE378" s="13">
        <f>BD378*($BB$6+ACUTE_MARGIN)</f>
        <v>0.0</v>
      </c>
      <c r="BF378" s="13">
        <f>IF(BB378=1,$BB$31,$BB$32)</f>
        <v>152394.16214437486</v>
      </c>
      <c r="BG378" s="13">
        <f>BE378-BF378</f>
        <v>-152394.16214437486</v>
      </c>
      <c r="BH378" s="13">
        <f>BH377+BG378</f>
        <v>10683907.141231496</v>
      </c>
      <c r="BI378">
        <f>IF(BH378=MAX($BH$83:$BH$483),$A378,0)</f>
        <v>0</v>
      </c>
      <c r="BJ378">
        <f>IF(BE378&lt;BF378,$A378,B_MAX+1)</f>
        <v>295</v>
      </c>
      <c r="BK378" s="13">
        <f>IF(BB378=1,$BB$35,$BB$36)</f>
        <v>0</v>
      </c>
      <c r="BL378" s="13">
        <f>OCC_DAYS*$BB$41*R_NF_2023-BD378*MCD_SHARE_FREED*R_WAIT_2023</f>
        <v>151980.48282209205</v>
      </c>
      <c r="BM378">
        <f>IF($A378&lt;=$BB$45,1,0)</f>
        <v>0</v>
      </c>
      <c r="CB378">
        <f>IF($CB$31&lt;=$CB$32,IF($A378&lt;=$CB$7,1,2),IF($A378&lt;=RUNG_BEDS_2,2,1))</f>
        <v>2</v>
      </c>
      <c r="CC378" s="5">
        <f>MIN(1,MAX(0,$CB$26-($A378-1)))</f>
        <v>0</v>
      </c>
      <c r="CD378" s="5">
        <f>$CB$25*(CC378+(1-CC378)*$CB$16)</f>
        <v>0.0</v>
      </c>
      <c r="CE378" s="13">
        <f>CD378*($CB$6+ACUTE_MARGIN)</f>
        <v>0.0</v>
      </c>
      <c r="CF378" s="13">
        <f>IF(CB378=1,$CB$31,$CB$32)</f>
        <v>160718.36940738867</v>
      </c>
      <c r="CG378" s="13">
        <f>CE378-CF378</f>
        <v>-160718.36940738867</v>
      </c>
      <c r="CH378" s="13">
        <f>CH377+CG378</f>
        <v>-9182948.346907433</v>
      </c>
      <c r="CI378">
        <f>IF(CH378=MAX($CH$83:$CH$483),$A378,0)</f>
        <v>0</v>
      </c>
      <c r="CJ378">
        <f>IF(CE378&lt;CF378,$A378,B_MAX+1)</f>
        <v>295</v>
      </c>
      <c r="CK378" s="13">
        <f>IF(CB378=1,$CB$35,$CB$36)</f>
        <v>1560.1194073886782</v>
      </c>
      <c r="CL378" s="13">
        <f>OCC_DAYS*$CB$41*R_NF_2023-CD378*MCD_SHARE_FREED*R_WAIT_2023</f>
        <v>151980.48282209205</v>
      </c>
      <c r="CM378">
        <f>IF($A378&lt;=$CB$45,1,0)</f>
        <v>0</v>
      </c>
      <c r="DB378">
        <f>IF($DB$31&lt;=$DB$32,IF($A378&lt;=$DB$7,1,2),IF($A378&lt;=RUNG_BEDS_2,2,1))</f>
        <v>1</v>
      </c>
      <c r="DC378" s="5">
        <f>MIN(1,MAX(0,$DB$26-($A378-1)))</f>
        <v>0</v>
      </c>
      <c r="DD378" s="5">
        <f>$DB$25*(DC378+(1-DC378)*$DB$16)</f>
        <v>0.0</v>
      </c>
      <c r="DE378" s="13">
        <f>DD378*($DB$6+ACUTE_MARGIN)</f>
        <v>0.0</v>
      </c>
      <c r="DF378" s="13">
        <f>IF(DB378=1,$DB$31,$DB$32)</f>
        <v>152394.16214437486</v>
      </c>
      <c r="DG378" s="13">
        <f>DE378-DF378</f>
        <v>-152394.16214437486</v>
      </c>
      <c r="DH378" s="13">
        <f>DH377+DG378</f>
        <v>-6727307.204318252</v>
      </c>
      <c r="DI378">
        <f>IF(DH378=MAX($DH$83:$DH$483),$A378,0)</f>
        <v>0</v>
      </c>
      <c r="DJ378">
        <f>IF(DE378&lt;DF378,$A378,B_MAX+1)</f>
        <v>295</v>
      </c>
      <c r="DK378" s="13">
        <f>IF(DB378=1,$DB$35,$DB$36)</f>
        <v>0</v>
      </c>
      <c r="DL378" s="13">
        <f>OCC_DAYS*$DB$41*R_NF_2023-DD378*MCD_SHARE_FREED*R_WAIT_2023</f>
        <v>151980.48282209205</v>
      </c>
      <c r="DM378">
        <f>IF($A378&lt;=$DB$45,1,0)</f>
        <v>0</v>
      </c>
      <c r="EB378">
        <f>IF($EB$31&lt;=$EB$32,IF($A378&lt;=$EB$7,1,2),IF($A378&lt;=RUNG_BEDS_2,2,1))</f>
        <v>1</v>
      </c>
      <c r="EC378" s="5">
        <f>MIN(1,MAX(0,$EB$26-($A378-1)))</f>
        <v>0</v>
      </c>
      <c r="ED378" s="5">
        <f>$EB$25*(EC378+(1-EC378)*$EB$16)</f>
        <v>0.0</v>
      </c>
      <c r="EE378" s="13">
        <f>ED378*($EB$6+ACUTE_MARGIN)</f>
        <v>0.0</v>
      </c>
      <c r="EF378" s="13">
        <f>IF(EB378=1,$EB$31,$EB$32)</f>
        <v>152394.16214437486</v>
      </c>
      <c r="EG378" s="13">
        <f>EE378-EF378</f>
        <v>-152394.16214437486</v>
      </c>
      <c r="EH378" s="13">
        <f>EH377+EG378</f>
        <v>-6727307.204318252</v>
      </c>
      <c r="EI378">
        <f>IF(EH378=MAX($EH$83:$EH$483),$A378,0)</f>
        <v>0</v>
      </c>
      <c r="EJ378">
        <f>IF(EE378&lt;EF378,$A378,B_MAX+1)</f>
        <v>295</v>
      </c>
      <c r="EK378" s="13">
        <f>IF(EB378=1,$EB$35,$EB$36)</f>
        <v>0</v>
      </c>
      <c r="EL378" s="13">
        <f>OCC_DAYS*$EB$41*R_NF_2023-ED378*MCD_SHARE_FREED*R_WAIT_2023</f>
        <v>50660.16094069735</v>
      </c>
      <c r="EM378">
        <f>IF($A378&lt;=$EB$45,1,0)</f>
        <v>0</v>
      </c>
      <c r="FB378">
        <f>IF($FB$31&lt;=$FB$32,IF($A378&lt;=$FB$7,1,2),IF($A378&lt;=RUNG_BEDS_2,2,1))</f>
        <v>1</v>
      </c>
      <c r="FC378" s="5">
        <f>MIN(1,MAX(0,$FB$26-($A378-1)))</f>
        <v>0</v>
      </c>
      <c r="FD378" s="5">
        <f>$FB$25*(FC378+(1-FC378)*$FB$16)</f>
        <v>0.0</v>
      </c>
      <c r="FE378" s="13">
        <f>FD378*($FB$6+ACUTE_MARGIN)</f>
        <v>0.0</v>
      </c>
      <c r="FF378" s="13">
        <f>IF(FB378=1,$FB$31,$FB$32)</f>
        <v>156636.04979437485</v>
      </c>
      <c r="FG378" s="13">
        <f>FE378-FF378</f>
        <v>-156636.04979437485</v>
      </c>
      <c r="FH378" s="13">
        <f>FH377+FG378</f>
        <v>-7978664.061068366</v>
      </c>
      <c r="FI378">
        <f>IF(FH378=MAX($FH$83:$FH$483),$A378,0)</f>
        <v>0</v>
      </c>
      <c r="FJ378">
        <f>IF(FE378&lt;FF378,$A378,B_MAX+1)</f>
        <v>295</v>
      </c>
      <c r="FK378" s="13">
        <f>IF(FB378=1,$FB$35,$FB$36)</f>
        <v>0</v>
      </c>
      <c r="FL378" s="13">
        <f>OCC_DAYS*$FB$41*R_NF_2023-FD378*MCD_SHARE_FREED*R_WAIT_2023</f>
        <v>151980.48282209205</v>
      </c>
      <c r="FM378">
        <f>IF($A378&lt;=$FB$45,1,0)</f>
        <v>0</v>
      </c>
      <c r="GB378">
        <f>IF($GB$31&lt;=$GB$32,IF($A378&lt;=$GB$7,1,2),IF($A378&lt;=RUNG_BEDS_2,2,1))</f>
        <v>1</v>
      </c>
      <c r="GC378" s="5">
        <f>MIN(1,MAX(0,$GB$26-($A378-1)))</f>
        <v>0</v>
      </c>
      <c r="GD378" s="5">
        <f>$GB$25*(GC378+(1-GC378)*$GB$16)</f>
        <v>0.0</v>
      </c>
      <c r="GE378" s="13">
        <f>GD378*($GB$6+ACUTE_MARGIN)</f>
        <v>0.0</v>
      </c>
      <c r="GF378" s="13">
        <f>IF(GB378=1,$GB$31,$GB$32)</f>
        <v>152394.16214437486</v>
      </c>
      <c r="GG378" s="13">
        <f>GE378-GF378</f>
        <v>-152394.16214437486</v>
      </c>
      <c r="GH378" s="13">
        <f>GH377+GG378</f>
        <v>-6727307.204318252</v>
      </c>
      <c r="GI378">
        <f>IF(GH378=MAX($GH$83:$GH$483),$A378,0)</f>
        <v>0</v>
      </c>
      <c r="GJ378">
        <f>IF(GE378&lt;GF378,$A378,B_MAX+1)</f>
        <v>295</v>
      </c>
      <c r="GK378" s="13">
        <f>IF(GB378=1,$GB$35,$GB$36)</f>
        <v>0</v>
      </c>
      <c r="GL378" s="13">
        <f>OCC_DAYS*$GB$41*R_NF_2023-GD378*MCD_SHARE_FREED*R_WAIT_2023</f>
        <v>151980.48282209205</v>
      </c>
      <c r="GM378">
        <f>IF($A378&lt;=$GB$45,1,0)</f>
        <v>0</v>
      </c>
      <c r="HB378">
        <f>IF($HB$31&lt;=$HB$32,IF($A378&lt;=$HB$7,1,2),IF($A378&lt;=RUNG_BEDS_2,2,1))</f>
        <v>1</v>
      </c>
      <c r="HC378" s="5">
        <f>MIN(1,MAX(0,$HB$26-($A378-1)))</f>
        <v>0</v>
      </c>
      <c r="HD378" s="5">
        <f>$HB$25*(HC378+(1-HC378)*$HB$16)</f>
        <v>0.0</v>
      </c>
      <c r="HE378" s="13">
        <f>HD378*($HB$6+ACUTE_MARGIN)</f>
        <v>0.0</v>
      </c>
      <c r="HF378" s="13">
        <f>IF(HB378=1,$HB$31,$HB$32)</f>
        <v>152456.2970814058</v>
      </c>
      <c r="HG378" s="13">
        <f>HE378-HF378</f>
        <v>-152456.2970814058</v>
      </c>
      <c r="HH378" s="13">
        <f>HH377+HG378</f>
        <v>-6745637.010742421</v>
      </c>
      <c r="HI378">
        <f>IF(HH378=MAX($HH$83:$HH$483),$A378,0)</f>
        <v>0</v>
      </c>
      <c r="HJ378">
        <f>IF(HE378&lt;HF378,$A378,B_MAX+1)</f>
        <v>295</v>
      </c>
      <c r="HK378" s="13">
        <f>IF(HB378=1,$HB$35,$HB$36)</f>
        <v>0</v>
      </c>
      <c r="HL378" s="13">
        <f>OCC_DAYS*$HB$41*R_NF_2023-HD378*MCD_SHARE_FREED*R_WAIT_2023</f>
        <v>151980.48282209205</v>
      </c>
      <c r="HM378">
        <f>IF($A378&lt;=$HB$45,1,0)</f>
        <v>0</v>
      </c>
      <c r="IB378">
        <f>IF($IB$31&lt;=$IB$32,IF($A378&lt;=$IB$7,1,2),IF($A378&lt;=RUNG_BEDS_2,2,1))</f>
        <v>1</v>
      </c>
      <c r="IC378" s="5">
        <f>MIN(1,MAX(0,$IB$26-($A378-1)))</f>
        <v>0</v>
      </c>
      <c r="ID378" s="5">
        <f>$IB$25*(IC378+(1-IC378)*$IB$16)</f>
        <v>0.0</v>
      </c>
      <c r="IE378" s="13">
        <f>ID378*($IB$6+ACUTE_MARGIN)</f>
        <v>0.0</v>
      </c>
      <c r="IF378" s="13">
        <f>IF(IB378=1,$IB$31,$IB$32)</f>
        <v>152734.9994534971</v>
      </c>
      <c r="IG378" s="13">
        <f>IE378-IF378</f>
        <v>-152734.9994534971</v>
      </c>
      <c r="IH378" s="13">
        <f>IH377+IG378</f>
        <v>-6827854.210509402</v>
      </c>
      <c r="II378">
        <f>IF(IH378=MAX($IH$83:$IH$483),$A378,0)</f>
        <v>0</v>
      </c>
      <c r="IJ378">
        <f>IF(IE378&lt;IF378,$A378,B_MAX+1)</f>
        <v>295</v>
      </c>
      <c r="IK378" s="13">
        <f>IF(IB378=1,$IB$35,$IB$36)</f>
        <v>0</v>
      </c>
      <c r="IL378" s="13">
        <f>OCC_DAYS*$IB$41*R_NF_2023-ID378*MCD_SHARE_FREED*R_WAIT_2023</f>
        <v>151980.48282209205</v>
      </c>
      <c r="IM378">
        <f>IF($A378&lt;=$IB$45,1,0)</f>
        <v>0</v>
      </c>
      <c r="JB378">
        <f>IF($JB$31&lt;=$JB$32,IF($A378&lt;=$JB$7,1,2),IF($A378&lt;=RUNG_BEDS_2,2,1))</f>
        <v>1</v>
      </c>
      <c r="JC378" s="5">
        <f>MIN(1,MAX(0,$JB$26-($A378-1)))</f>
        <v>0</v>
      </c>
      <c r="JD378" s="5">
        <f>$JB$25*(JC378+(1-JC378)*$JB$16)</f>
        <v>0.0</v>
      </c>
      <c r="JE378" s="13">
        <f>JD378*($JB$6+ACUTE_MARGIN)</f>
        <v>0.0</v>
      </c>
      <c r="JF378" s="13">
        <f>IF(JB378=1,$JB$31,$JB$32)</f>
        <v>152394.16214437486</v>
      </c>
      <c r="JG378" s="13">
        <f>JE378-JF378</f>
        <v>-152394.16214437486</v>
      </c>
      <c r="JH378" s="13">
        <f>JH377+JG378</f>
        <v>-6727307.204318252</v>
      </c>
      <c r="JI378">
        <f>IF(JH378=MAX($JH$83:$JH$483),$A378,0)</f>
        <v>0</v>
      </c>
      <c r="JJ378">
        <f>IF(JE378&lt;JF378,$A378,B_MAX+1)</f>
        <v>295</v>
      </c>
      <c r="JK378" s="13">
        <f>IF(JB378=1,$JB$35,$JB$36)</f>
        <v>0</v>
      </c>
      <c r="JL378" s="13">
        <f>OCC_DAYS*$JB$41*R_NF_2023-JD378*MCD_SHARE_FREED*R_WAIT_2023</f>
        <v>151980.48282209205</v>
      </c>
      <c r="JM378">
        <f>IF($A378&lt;=$JB$45,1,0)</f>
        <v>0</v>
      </c>
      <c r="KB378">
        <f>IF($KB$31&lt;=$KB$32,IF($A378&lt;=$KB$7,1,2),IF($A378&lt;=RUNG_BEDS_2,2,1))</f>
        <v>1</v>
      </c>
      <c r="KC378" s="5">
        <f>MIN(1,MAX(0,$KB$26-($A378-1)))</f>
        <v>1</v>
      </c>
      <c r="KD378" s="5">
        <f>$KB$25*(KC378+(1-KC378)*$KB$16)</f>
        <v>126.02661357340719</v>
      </c>
      <c r="KE378" s="13">
        <f>KD378*($KB$6+ACUTE_MARGIN)</f>
        <v>127286.87970914126</v>
      </c>
      <c r="KF378" s="13">
        <f>IF(KB378=1,$KB$31,$KB$32)</f>
        <v>152394.16214437486</v>
      </c>
      <c r="KG378" s="13">
        <f>KE378-KF378</f>
        <v>-25107.282435233603</v>
      </c>
      <c r="KH378" s="13">
        <f>KH377+KG378</f>
        <v>-7406648.318393938</v>
      </c>
      <c r="KI378">
        <f>IF(KH378=MAX($KH$83:$KH$483),$A378,0)</f>
        <v>0</v>
      </c>
      <c r="KJ378">
        <f>IF(KE378&lt;KF378,$A378,B_MAX+1)</f>
        <v>295</v>
      </c>
      <c r="KK378" s="13">
        <f>IF(KB378=1,$KB$35,$KB$36)</f>
        <v>0</v>
      </c>
      <c r="KL378" s="13">
        <f>OCC_DAYS*$KB$41*R_NF_2023-KD378*MCD_SHARE_FREED*R_WAIT_2023</f>
        <v>94673.82103225985</v>
      </c>
      <c r="KM378">
        <f>IF($A378&lt;=$KB$45,1,0)</f>
        <v>0</v>
      </c>
      <c r="LB378">
        <f>IF($LB$31&lt;=$LB$32,IF($A378&lt;=$LB$7,1,2),IF($A378&lt;=RUNG_BEDS_2,2,1))</f>
        <v>1</v>
      </c>
      <c r="LC378" s="5">
        <f>MIN(1,MAX(0,$LB$26-($A378-1)))</f>
        <v>1</v>
      </c>
      <c r="LD378" s="5">
        <f>$LB$25*(LC378+(1-LC378)*$LB$16)</f>
        <v>84.01774238227146</v>
      </c>
      <c r="LE378" s="13">
        <f>LD378*($LB$6+ACUTE_MARGIN)</f>
        <v>84857.91980609419</v>
      </c>
      <c r="LF378" s="13">
        <f>IF(LB378=1,$LB$31,$LB$32)</f>
        <v>152394.16214437486</v>
      </c>
      <c r="LG378" s="13">
        <f>LE378-LF378</f>
        <v>-67536.24233828067</v>
      </c>
      <c r="LH378" s="13">
        <f>LH377+LG378</f>
        <v>-19923191.489792902</v>
      </c>
      <c r="LI378">
        <f>IF(LH378=MAX($LH$83:$LH$483),$A378,0)</f>
        <v>0</v>
      </c>
      <c r="LJ378">
        <f>IF(LE378&lt;LF378,$A378,B_MAX+1)</f>
        <v>295</v>
      </c>
      <c r="LK378" s="13">
        <f>IF(LB378=1,$LB$35,$LB$36)</f>
        <v>0</v>
      </c>
      <c r="LL378" s="13">
        <f>OCC_DAYS*$LB$41*R_NF_2023-LD378*MCD_SHARE_FREED*R_WAIT_2023</f>
        <v>113776.04162887059</v>
      </c>
      <c r="LM378">
        <f>IF($A378&lt;=$LB$45,1,0)</f>
        <v>0</v>
      </c>
      <c r="MB378">
        <f>IF($MB$31&lt;=$MB$32,IF($A378&lt;=$MB$7,1,2),IF($A378&lt;=RUNG_BEDS_2,2,1))</f>
        <v>1</v>
      </c>
      <c r="MC378" s="5">
        <f>MIN(1,MAX(0,$MB$26-($A378-1)))</f>
        <v>0</v>
      </c>
      <c r="MD378" s="5">
        <f>$MB$25*(MC378+(1-MC378)*$MB$16)</f>
        <v>0.0</v>
      </c>
      <c r="ME378" s="13">
        <f>MD378*($MB$6+ACUTE_MARGIN)</f>
        <v>0.0</v>
      </c>
      <c r="MF378" s="13">
        <f>IF(MB378=1,$MB$31,$MB$32)</f>
        <v>152394.16214437486</v>
      </c>
      <c r="MG378" s="13">
        <f>ME378-MF378</f>
        <v>-152394.16214437486</v>
      </c>
      <c r="MH378" s="13">
        <f>MH377+MG378</f>
        <v>-12614583.266116563</v>
      </c>
      <c r="MI378">
        <f>IF(MH378=MAX($MH$83:$MH$483),$A378,0)</f>
        <v>0</v>
      </c>
      <c r="MJ378">
        <f>IF(ME378&lt;MF378,$A378,B_MAX+1)</f>
        <v>295</v>
      </c>
      <c r="MK378" s="13">
        <f>IF(MB378=1,$MB$35,$MB$36)</f>
        <v>0</v>
      </c>
      <c r="ML378" s="13">
        <f>OCC_DAYS*$MB$41*R_NF_2023-MD378*MCD_SHARE_FREED*R_WAIT_2023</f>
        <v>151980.48282209205</v>
      </c>
      <c r="MM378">
        <f>IF($A378&lt;=$MB$45,1,0)</f>
        <v>0</v>
      </c>
      <c r="NB378">
        <f>IF($NB$31&lt;=$NB$32,IF($A378&lt;=$NB$7,1,2),IF($A378&lt;=RUNG_BEDS_2,2,1))</f>
        <v>1</v>
      </c>
      <c r="NC378" s="5">
        <f>MIN(1,MAX(0,$NB$26-($A378-1)))</f>
        <v>0</v>
      </c>
      <c r="ND378" s="5">
        <f>$NB$25*(NC378+(1-NC378)*$NB$16)</f>
        <v>63.013306786703595</v>
      </c>
      <c r="NE378" s="13">
        <f>ND378*($NB$6+ACUTE_MARGIN)</f>
        <v>63643.43985457063</v>
      </c>
      <c r="NF378" s="13">
        <f>IF(NB378=1,$NB$31,$NB$32)</f>
        <v>152394.16214437486</v>
      </c>
      <c r="NG378" s="13">
        <f>NE378-NF378</f>
        <v>-88750.72228980422</v>
      </c>
      <c r="NH378" s="13">
        <f>NH377+NG378</f>
        <v>2490264.895711977</v>
      </c>
      <c r="NI378">
        <f>IF(NH378=MAX($NH$83:$NH$483),$A378,0)</f>
        <v>0</v>
      </c>
      <c r="NJ378">
        <f>IF(NE378&lt;NF378,$A378,B_MAX+1)</f>
        <v>295</v>
      </c>
      <c r="NK378" s="13">
        <f>IF(NB378=1,$NB$35,$NB$36)</f>
        <v>0</v>
      </c>
      <c r="NL378" s="13">
        <f>OCC_DAYS*$NB$41*R_NF_2023-ND378*MCD_SHARE_FREED*R_WAIT_2023</f>
        <v>123327.15192717595</v>
      </c>
      <c r="NM378">
        <f>IF($A378&lt;=$NB$45,1,0)</f>
        <v>0</v>
      </c>
      <c r="OB378">
        <f>IF($OB$31&lt;=$OB$32,IF($A378&lt;=$OB$7,1,2),IF($A378&lt;=RUNG_BEDS_2,2,1))</f>
        <v>1</v>
      </c>
      <c r="OC378" s="5">
        <f>MIN(1,MAX(0,$OB$26-($A378-1)))</f>
        <v>0</v>
      </c>
      <c r="OD378" s="5">
        <f>$OB$25*(OC378+(1-OC378)*$OB$16)</f>
        <v>126.02661357340719</v>
      </c>
      <c r="OE378" s="13">
        <f>OD378*($OB$6+ACUTE_MARGIN)</f>
        <v>127286.87970914126</v>
      </c>
      <c r="OF378" s="13">
        <f>IF(OB378=1,$OB$31,$OB$32)</f>
        <v>152394.16214437486</v>
      </c>
      <c r="OG378" s="13">
        <f>OE378-OF378</f>
        <v>-25107.282435233603</v>
      </c>
      <c r="OH378" s="13">
        <f>OH377+OG378</f>
        <v>11707836.99574239</v>
      </c>
      <c r="OI378">
        <f>IF(OH378=MAX($OH$83:$OH$483),$A378,0)</f>
        <v>0</v>
      </c>
      <c r="OJ378">
        <f>IF(OE378&lt;OF378,$A378,B_MAX+1)</f>
        <v>295</v>
      </c>
      <c r="OK378" s="13">
        <f>IF(OB378=1,$OB$35,$OB$36)</f>
        <v>0</v>
      </c>
      <c r="OL378" s="13">
        <f>OCC_DAYS*$OB$41*R_NF_2023-OD378*MCD_SHARE_FREED*R_WAIT_2023</f>
        <v>94673.82103225985</v>
      </c>
      <c r="OM378">
        <f>IF($A378&lt;=$OB$45,1,0)</f>
        <v>0</v>
      </c>
    </row>
    <row r="379">
      <c r="A379" t="n">
        <v>296</v>
      </c>
      <c r="B379">
        <f>IF($B$31&lt;=$B$32,IF($A379&lt;=$B$7,1,2),IF($A379&lt;=RUNG_BEDS_2,2,1))</f>
        <v>1</v>
      </c>
      <c r="C379" s="5">
        <f>MIN(1,MAX(0,$B$26-($A379-1)))</f>
        <v>0</v>
      </c>
      <c r="D379" s="5">
        <f>$B$25*(C379+(1-C379)*$B$16)</f>
        <v>0.0</v>
      </c>
      <c r="E379" s="13">
        <f>D379*($B$6+ACUTE_MARGIN)</f>
        <v>0.0</v>
      </c>
      <c r="F379" s="13">
        <f>IF(B379=1,$B$31,$B$32)</f>
        <v>152394.16214437486</v>
      </c>
      <c r="G379" s="13">
        <f>E379-F379</f>
        <v>-152394.16214437486</v>
      </c>
      <c r="H379" s="13">
        <f>H378+G379</f>
        <v>-6879701.366462627</v>
      </c>
      <c r="I379">
        <f>IF(H379=MAX($H$83:$H$483),$A379,0)</f>
        <v>0</v>
      </c>
      <c r="J379">
        <f>IF(E379&lt;F379,$A379,B_MAX+1)</f>
        <v>296</v>
      </c>
      <c r="K379" s="13">
        <f>IF(B379=1,$B$35,$B$36)</f>
        <v>0</v>
      </c>
      <c r="L379" s="13">
        <f>OCC_DAYS*$B$41*R_NF_2023-D379*MCD_SHARE_FREED*R_WAIT_2023</f>
        <v>151980.48282209205</v>
      </c>
      <c r="M379">
        <f>IF($A379&lt;=$B$45,1,0)</f>
        <v>0</v>
      </c>
      <c r="AB379">
        <f>IF($AB$31&lt;=$AB$32,IF($A379&lt;=$AB$7,1,2),IF($A379&lt;=RUNG_BEDS_2,2,1))</f>
        <v>1</v>
      </c>
      <c r="AC379" s="5">
        <f>MIN(1,MAX(0,$AB$26-($A379-1)))</f>
        <v>0</v>
      </c>
      <c r="AD379" s="5">
        <f>$AB$25*(AC379+(1-AC379)*$AB$16)</f>
        <v>0.0</v>
      </c>
      <c r="AE379" s="13">
        <f>AD379*($AB$6+ACUTE_MARGIN)</f>
        <v>0.0</v>
      </c>
      <c r="AF379" s="13">
        <f>IF(AB379=1,$AB$31,$AB$32)</f>
        <v>152394.16214437486</v>
      </c>
      <c r="AG379" s="13">
        <f>AE379-AF379</f>
        <v>-152394.16214437486</v>
      </c>
      <c r="AH379" s="13">
        <f>AH378+AG379</f>
        <v>-24290915.712012373</v>
      </c>
      <c r="AI379">
        <f>IF(AH379=MAX($AH$83:$AH$483),$A379,0)</f>
        <v>0</v>
      </c>
      <c r="AJ379">
        <f>IF(AE379&lt;AF379,$A379,B_MAX+1)</f>
        <v>296</v>
      </c>
      <c r="AK379" s="13">
        <f>IF(AB379=1,$AB$35,$AB$36)</f>
        <v>0</v>
      </c>
      <c r="AL379" s="13">
        <f>OCC_DAYS*$AB$41*R_NF_2023-AD379*MCD_SHARE_FREED*R_WAIT_2023</f>
        <v>151980.48282209205</v>
      </c>
      <c r="AM379">
        <f>IF($A379&lt;=$AB$45,1,0)</f>
        <v>0</v>
      </c>
      <c r="BB379">
        <f>IF($BB$31&lt;=$BB$32,IF($A379&lt;=$BB$7,1,2),IF($A379&lt;=RUNG_BEDS_2,2,1))</f>
        <v>1</v>
      </c>
      <c r="BC379" s="5">
        <f>MIN(1,MAX(0,$BB$26-($A379-1)))</f>
        <v>0</v>
      </c>
      <c r="BD379" s="5">
        <f>$BB$25*(BC379+(1-BC379)*$BB$16)</f>
        <v>0.0</v>
      </c>
      <c r="BE379" s="13">
        <f>BD379*($BB$6+ACUTE_MARGIN)</f>
        <v>0.0</v>
      </c>
      <c r="BF379" s="13">
        <f>IF(BB379=1,$BB$31,$BB$32)</f>
        <v>152394.16214437486</v>
      </c>
      <c r="BG379" s="13">
        <f>BE379-BF379</f>
        <v>-152394.16214437486</v>
      </c>
      <c r="BH379" s="13">
        <f>BH378+BG379</f>
        <v>10531512.979087122</v>
      </c>
      <c r="BI379">
        <f>IF(BH379=MAX($BH$83:$BH$483),$A379,0)</f>
        <v>0</v>
      </c>
      <c r="BJ379">
        <f>IF(BE379&lt;BF379,$A379,B_MAX+1)</f>
        <v>296</v>
      </c>
      <c r="BK379" s="13">
        <f>IF(BB379=1,$BB$35,$BB$36)</f>
        <v>0</v>
      </c>
      <c r="BL379" s="13">
        <f>OCC_DAYS*$BB$41*R_NF_2023-BD379*MCD_SHARE_FREED*R_WAIT_2023</f>
        <v>151980.48282209205</v>
      </c>
      <c r="BM379">
        <f>IF($A379&lt;=$BB$45,1,0)</f>
        <v>0</v>
      </c>
      <c r="CB379">
        <f>IF($CB$31&lt;=$CB$32,IF($A379&lt;=$CB$7,1,2),IF($A379&lt;=RUNG_BEDS_2,2,1))</f>
        <v>2</v>
      </c>
      <c r="CC379" s="5">
        <f>MIN(1,MAX(0,$CB$26-($A379-1)))</f>
        <v>0</v>
      </c>
      <c r="CD379" s="5">
        <f>$CB$25*(CC379+(1-CC379)*$CB$16)</f>
        <v>0.0</v>
      </c>
      <c r="CE379" s="13">
        <f>CD379*($CB$6+ACUTE_MARGIN)</f>
        <v>0.0</v>
      </c>
      <c r="CF379" s="13">
        <f>IF(CB379=1,$CB$31,$CB$32)</f>
        <v>160718.36940738867</v>
      </c>
      <c r="CG379" s="13">
        <f>CE379-CF379</f>
        <v>-160718.36940738867</v>
      </c>
      <c r="CH379" s="13">
        <f>CH378+CG379</f>
        <v>-9343666.716314822</v>
      </c>
      <c r="CI379">
        <f>IF(CH379=MAX($CH$83:$CH$483),$A379,0)</f>
        <v>0</v>
      </c>
      <c r="CJ379">
        <f>IF(CE379&lt;CF379,$A379,B_MAX+1)</f>
        <v>296</v>
      </c>
      <c r="CK379" s="13">
        <f>IF(CB379=1,$CB$35,$CB$36)</f>
        <v>1560.1194073886782</v>
      </c>
      <c r="CL379" s="13">
        <f>OCC_DAYS*$CB$41*R_NF_2023-CD379*MCD_SHARE_FREED*R_WAIT_2023</f>
        <v>151980.48282209205</v>
      </c>
      <c r="CM379">
        <f>IF($A379&lt;=$CB$45,1,0)</f>
        <v>0</v>
      </c>
      <c r="DB379">
        <f>IF($DB$31&lt;=$DB$32,IF($A379&lt;=$DB$7,1,2),IF($A379&lt;=RUNG_BEDS_2,2,1))</f>
        <v>1</v>
      </c>
      <c r="DC379" s="5">
        <f>MIN(1,MAX(0,$DB$26-($A379-1)))</f>
        <v>0</v>
      </c>
      <c r="DD379" s="5">
        <f>$DB$25*(DC379+(1-DC379)*$DB$16)</f>
        <v>0.0</v>
      </c>
      <c r="DE379" s="13">
        <f>DD379*($DB$6+ACUTE_MARGIN)</f>
        <v>0.0</v>
      </c>
      <c r="DF379" s="13">
        <f>IF(DB379=1,$DB$31,$DB$32)</f>
        <v>152394.16214437486</v>
      </c>
      <c r="DG379" s="13">
        <f>DE379-DF379</f>
        <v>-152394.16214437486</v>
      </c>
      <c r="DH379" s="13">
        <f>DH378+DG379</f>
        <v>-6879701.366462627</v>
      </c>
      <c r="DI379">
        <f>IF(DH379=MAX($DH$83:$DH$483),$A379,0)</f>
        <v>0</v>
      </c>
      <c r="DJ379">
        <f>IF(DE379&lt;DF379,$A379,B_MAX+1)</f>
        <v>296</v>
      </c>
      <c r="DK379" s="13">
        <f>IF(DB379=1,$DB$35,$DB$36)</f>
        <v>0</v>
      </c>
      <c r="DL379" s="13">
        <f>OCC_DAYS*$DB$41*R_NF_2023-DD379*MCD_SHARE_FREED*R_WAIT_2023</f>
        <v>151980.48282209205</v>
      </c>
      <c r="DM379">
        <f>IF($A379&lt;=$DB$45,1,0)</f>
        <v>0</v>
      </c>
      <c r="EB379">
        <f>IF($EB$31&lt;=$EB$32,IF($A379&lt;=$EB$7,1,2),IF($A379&lt;=RUNG_BEDS_2,2,1))</f>
        <v>1</v>
      </c>
      <c r="EC379" s="5">
        <f>MIN(1,MAX(0,$EB$26-($A379-1)))</f>
        <v>0</v>
      </c>
      <c r="ED379" s="5">
        <f>$EB$25*(EC379+(1-EC379)*$EB$16)</f>
        <v>0.0</v>
      </c>
      <c r="EE379" s="13">
        <f>ED379*($EB$6+ACUTE_MARGIN)</f>
        <v>0.0</v>
      </c>
      <c r="EF379" s="13">
        <f>IF(EB379=1,$EB$31,$EB$32)</f>
        <v>152394.16214437486</v>
      </c>
      <c r="EG379" s="13">
        <f>EE379-EF379</f>
        <v>-152394.16214437486</v>
      </c>
      <c r="EH379" s="13">
        <f>EH378+EG379</f>
        <v>-6879701.366462627</v>
      </c>
      <c r="EI379">
        <f>IF(EH379=MAX($EH$83:$EH$483),$A379,0)</f>
        <v>0</v>
      </c>
      <c r="EJ379">
        <f>IF(EE379&lt;EF379,$A379,B_MAX+1)</f>
        <v>296</v>
      </c>
      <c r="EK379" s="13">
        <f>IF(EB379=1,$EB$35,$EB$36)</f>
        <v>0</v>
      </c>
      <c r="EL379" s="13">
        <f>OCC_DAYS*$EB$41*R_NF_2023-ED379*MCD_SHARE_FREED*R_WAIT_2023</f>
        <v>50660.16094069735</v>
      </c>
      <c r="EM379">
        <f>IF($A379&lt;=$EB$45,1,0)</f>
        <v>0</v>
      </c>
      <c r="FB379">
        <f>IF($FB$31&lt;=$FB$32,IF($A379&lt;=$FB$7,1,2),IF($A379&lt;=RUNG_BEDS_2,2,1))</f>
        <v>1</v>
      </c>
      <c r="FC379" s="5">
        <f>MIN(1,MAX(0,$FB$26-($A379-1)))</f>
        <v>0</v>
      </c>
      <c r="FD379" s="5">
        <f>$FB$25*(FC379+(1-FC379)*$FB$16)</f>
        <v>0.0</v>
      </c>
      <c r="FE379" s="13">
        <f>FD379*($FB$6+ACUTE_MARGIN)</f>
        <v>0.0</v>
      </c>
      <c r="FF379" s="13">
        <f>IF(FB379=1,$FB$31,$FB$32)</f>
        <v>156636.04979437485</v>
      </c>
      <c r="FG379" s="13">
        <f>FE379-FF379</f>
        <v>-156636.04979437485</v>
      </c>
      <c r="FH379" s="13">
        <f>FH378+FG379</f>
        <v>-8135300.110862741</v>
      </c>
      <c r="FI379">
        <f>IF(FH379=MAX($FH$83:$FH$483),$A379,0)</f>
        <v>0</v>
      </c>
      <c r="FJ379">
        <f>IF(FE379&lt;FF379,$A379,B_MAX+1)</f>
        <v>296</v>
      </c>
      <c r="FK379" s="13">
        <f>IF(FB379=1,$FB$35,$FB$36)</f>
        <v>0</v>
      </c>
      <c r="FL379" s="13">
        <f>OCC_DAYS*$FB$41*R_NF_2023-FD379*MCD_SHARE_FREED*R_WAIT_2023</f>
        <v>151980.48282209205</v>
      </c>
      <c r="FM379">
        <f>IF($A379&lt;=$FB$45,1,0)</f>
        <v>0</v>
      </c>
      <c r="GB379">
        <f>IF($GB$31&lt;=$GB$32,IF($A379&lt;=$GB$7,1,2),IF($A379&lt;=RUNG_BEDS_2,2,1))</f>
        <v>1</v>
      </c>
      <c r="GC379" s="5">
        <f>MIN(1,MAX(0,$GB$26-($A379-1)))</f>
        <v>0</v>
      </c>
      <c r="GD379" s="5">
        <f>$GB$25*(GC379+(1-GC379)*$GB$16)</f>
        <v>0.0</v>
      </c>
      <c r="GE379" s="13">
        <f>GD379*($GB$6+ACUTE_MARGIN)</f>
        <v>0.0</v>
      </c>
      <c r="GF379" s="13">
        <f>IF(GB379=1,$GB$31,$GB$32)</f>
        <v>152394.16214437486</v>
      </c>
      <c r="GG379" s="13">
        <f>GE379-GF379</f>
        <v>-152394.16214437486</v>
      </c>
      <c r="GH379" s="13">
        <f>GH378+GG379</f>
        <v>-6879701.366462627</v>
      </c>
      <c r="GI379">
        <f>IF(GH379=MAX($GH$83:$GH$483),$A379,0)</f>
        <v>0</v>
      </c>
      <c r="GJ379">
        <f>IF(GE379&lt;GF379,$A379,B_MAX+1)</f>
        <v>296</v>
      </c>
      <c r="GK379" s="13">
        <f>IF(GB379=1,$GB$35,$GB$36)</f>
        <v>0</v>
      </c>
      <c r="GL379" s="13">
        <f>OCC_DAYS*$GB$41*R_NF_2023-GD379*MCD_SHARE_FREED*R_WAIT_2023</f>
        <v>151980.48282209205</v>
      </c>
      <c r="GM379">
        <f>IF($A379&lt;=$GB$45,1,0)</f>
        <v>0</v>
      </c>
      <c r="HB379">
        <f>IF($HB$31&lt;=$HB$32,IF($A379&lt;=$HB$7,1,2),IF($A379&lt;=RUNG_BEDS_2,2,1))</f>
        <v>1</v>
      </c>
      <c r="HC379" s="5">
        <f>MIN(1,MAX(0,$HB$26-($A379-1)))</f>
        <v>0</v>
      </c>
      <c r="HD379" s="5">
        <f>$HB$25*(HC379+(1-HC379)*$HB$16)</f>
        <v>0.0</v>
      </c>
      <c r="HE379" s="13">
        <f>HD379*($HB$6+ACUTE_MARGIN)</f>
        <v>0.0</v>
      </c>
      <c r="HF379" s="13">
        <f>IF(HB379=1,$HB$31,$HB$32)</f>
        <v>152456.2970814058</v>
      </c>
      <c r="HG379" s="13">
        <f>HE379-HF379</f>
        <v>-152456.2970814058</v>
      </c>
      <c r="HH379" s="13">
        <f>HH378+HG379</f>
        <v>-6898093.3078238275</v>
      </c>
      <c r="HI379">
        <f>IF(HH379=MAX($HH$83:$HH$483),$A379,0)</f>
        <v>0</v>
      </c>
      <c r="HJ379">
        <f>IF(HE379&lt;HF379,$A379,B_MAX+1)</f>
        <v>296</v>
      </c>
      <c r="HK379" s="13">
        <f>IF(HB379=1,$HB$35,$HB$36)</f>
        <v>0</v>
      </c>
      <c r="HL379" s="13">
        <f>OCC_DAYS*$HB$41*R_NF_2023-HD379*MCD_SHARE_FREED*R_WAIT_2023</f>
        <v>151980.48282209205</v>
      </c>
      <c r="HM379">
        <f>IF($A379&lt;=$HB$45,1,0)</f>
        <v>0</v>
      </c>
      <c r="IB379">
        <f>IF($IB$31&lt;=$IB$32,IF($A379&lt;=$IB$7,1,2),IF($A379&lt;=RUNG_BEDS_2,2,1))</f>
        <v>1</v>
      </c>
      <c r="IC379" s="5">
        <f>MIN(1,MAX(0,$IB$26-($A379-1)))</f>
        <v>0</v>
      </c>
      <c r="ID379" s="5">
        <f>$IB$25*(IC379+(1-IC379)*$IB$16)</f>
        <v>0.0</v>
      </c>
      <c r="IE379" s="13">
        <f>ID379*($IB$6+ACUTE_MARGIN)</f>
        <v>0.0</v>
      </c>
      <c r="IF379" s="13">
        <f>IF(IB379=1,$IB$31,$IB$32)</f>
        <v>152734.9994534971</v>
      </c>
      <c r="IG379" s="13">
        <f>IE379-IF379</f>
        <v>-152734.9994534971</v>
      </c>
      <c r="IH379" s="13">
        <f>IH378+IG379</f>
        <v>-6980589.209962899</v>
      </c>
      <c r="II379">
        <f>IF(IH379=MAX($IH$83:$IH$483),$A379,0)</f>
        <v>0</v>
      </c>
      <c r="IJ379">
        <f>IF(IE379&lt;IF379,$A379,B_MAX+1)</f>
        <v>296</v>
      </c>
      <c r="IK379" s="13">
        <f>IF(IB379=1,$IB$35,$IB$36)</f>
        <v>0</v>
      </c>
      <c r="IL379" s="13">
        <f>OCC_DAYS*$IB$41*R_NF_2023-ID379*MCD_SHARE_FREED*R_WAIT_2023</f>
        <v>151980.48282209205</v>
      </c>
      <c r="IM379">
        <f>IF($A379&lt;=$IB$45,1,0)</f>
        <v>0</v>
      </c>
      <c r="JB379">
        <f>IF($JB$31&lt;=$JB$32,IF($A379&lt;=$JB$7,1,2),IF($A379&lt;=RUNG_BEDS_2,2,1))</f>
        <v>1</v>
      </c>
      <c r="JC379" s="5">
        <f>MIN(1,MAX(0,$JB$26-($A379-1)))</f>
        <v>0</v>
      </c>
      <c r="JD379" s="5">
        <f>$JB$25*(JC379+(1-JC379)*$JB$16)</f>
        <v>0.0</v>
      </c>
      <c r="JE379" s="13">
        <f>JD379*($JB$6+ACUTE_MARGIN)</f>
        <v>0.0</v>
      </c>
      <c r="JF379" s="13">
        <f>IF(JB379=1,$JB$31,$JB$32)</f>
        <v>152394.16214437486</v>
      </c>
      <c r="JG379" s="13">
        <f>JE379-JF379</f>
        <v>-152394.16214437486</v>
      </c>
      <c r="JH379" s="13">
        <f>JH378+JG379</f>
        <v>-6879701.366462627</v>
      </c>
      <c r="JI379">
        <f>IF(JH379=MAX($JH$83:$JH$483),$A379,0)</f>
        <v>0</v>
      </c>
      <c r="JJ379">
        <f>IF(JE379&lt;JF379,$A379,B_MAX+1)</f>
        <v>296</v>
      </c>
      <c r="JK379" s="13">
        <f>IF(JB379=1,$JB$35,$JB$36)</f>
        <v>0</v>
      </c>
      <c r="JL379" s="13">
        <f>OCC_DAYS*$JB$41*R_NF_2023-JD379*MCD_SHARE_FREED*R_WAIT_2023</f>
        <v>151980.48282209205</v>
      </c>
      <c r="JM379">
        <f>IF($A379&lt;=$JB$45,1,0)</f>
        <v>0</v>
      </c>
      <c r="KB379">
        <f>IF($KB$31&lt;=$KB$32,IF($A379&lt;=$KB$7,1,2),IF($A379&lt;=RUNG_BEDS_2,2,1))</f>
        <v>1</v>
      </c>
      <c r="KC379" s="5">
        <f>MIN(1,MAX(0,$KB$26-($A379-1)))</f>
        <v>1</v>
      </c>
      <c r="KD379" s="5">
        <f>$KB$25*(KC379+(1-KC379)*$KB$16)</f>
        <v>126.02661357340719</v>
      </c>
      <c r="KE379" s="13">
        <f>KD379*($KB$6+ACUTE_MARGIN)</f>
        <v>127286.87970914126</v>
      </c>
      <c r="KF379" s="13">
        <f>IF(KB379=1,$KB$31,$KB$32)</f>
        <v>152394.16214437486</v>
      </c>
      <c r="KG379" s="13">
        <f>KE379-KF379</f>
        <v>-25107.282435233603</v>
      </c>
      <c r="KH379" s="13">
        <f>KH378+KG379</f>
        <v>-7431755.600829172</v>
      </c>
      <c r="KI379">
        <f>IF(KH379=MAX($KH$83:$KH$483),$A379,0)</f>
        <v>0</v>
      </c>
      <c r="KJ379">
        <f>IF(KE379&lt;KF379,$A379,B_MAX+1)</f>
        <v>296</v>
      </c>
      <c r="KK379" s="13">
        <f>IF(KB379=1,$KB$35,$KB$36)</f>
        <v>0</v>
      </c>
      <c r="KL379" s="13">
        <f>OCC_DAYS*$KB$41*R_NF_2023-KD379*MCD_SHARE_FREED*R_WAIT_2023</f>
        <v>94673.82103225985</v>
      </c>
      <c r="KM379">
        <f>IF($A379&lt;=$KB$45,1,0)</f>
        <v>0</v>
      </c>
      <c r="LB379">
        <f>IF($LB$31&lt;=$LB$32,IF($A379&lt;=$LB$7,1,2),IF($A379&lt;=RUNG_BEDS_2,2,1))</f>
        <v>1</v>
      </c>
      <c r="LC379" s="5">
        <f>MIN(1,MAX(0,$LB$26-($A379-1)))</f>
        <v>1</v>
      </c>
      <c r="LD379" s="5">
        <f>$LB$25*(LC379+(1-LC379)*$LB$16)</f>
        <v>84.01774238227146</v>
      </c>
      <c r="LE379" s="13">
        <f>LD379*($LB$6+ACUTE_MARGIN)</f>
        <v>84857.91980609419</v>
      </c>
      <c r="LF379" s="13">
        <f>IF(LB379=1,$LB$31,$LB$32)</f>
        <v>152394.16214437486</v>
      </c>
      <c r="LG379" s="13">
        <f>LE379-LF379</f>
        <v>-67536.24233828067</v>
      </c>
      <c r="LH379" s="13">
        <f>LH378+LG379</f>
        <v>-19990727.732131183</v>
      </c>
      <c r="LI379">
        <f>IF(LH379=MAX($LH$83:$LH$483),$A379,0)</f>
        <v>0</v>
      </c>
      <c r="LJ379">
        <f>IF(LE379&lt;LF379,$A379,B_MAX+1)</f>
        <v>296</v>
      </c>
      <c r="LK379" s="13">
        <f>IF(LB379=1,$LB$35,$LB$36)</f>
        <v>0</v>
      </c>
      <c r="LL379" s="13">
        <f>OCC_DAYS*$LB$41*R_NF_2023-LD379*MCD_SHARE_FREED*R_WAIT_2023</f>
        <v>113776.04162887059</v>
      </c>
      <c r="LM379">
        <f>IF($A379&lt;=$LB$45,1,0)</f>
        <v>0</v>
      </c>
      <c r="MB379">
        <f>IF($MB$31&lt;=$MB$32,IF($A379&lt;=$MB$7,1,2),IF($A379&lt;=RUNG_BEDS_2,2,1))</f>
        <v>1</v>
      </c>
      <c r="MC379" s="5">
        <f>MIN(1,MAX(0,$MB$26-($A379-1)))</f>
        <v>0</v>
      </c>
      <c r="MD379" s="5">
        <f>$MB$25*(MC379+(1-MC379)*$MB$16)</f>
        <v>0.0</v>
      </c>
      <c r="ME379" s="13">
        <f>MD379*($MB$6+ACUTE_MARGIN)</f>
        <v>0.0</v>
      </c>
      <c r="MF379" s="13">
        <f>IF(MB379=1,$MB$31,$MB$32)</f>
        <v>152394.16214437486</v>
      </c>
      <c r="MG379" s="13">
        <f>ME379-MF379</f>
        <v>-152394.16214437486</v>
      </c>
      <c r="MH379" s="13">
        <f>MH378+MG379</f>
        <v>-12766977.428260937</v>
      </c>
      <c r="MI379">
        <f>IF(MH379=MAX($MH$83:$MH$483),$A379,0)</f>
        <v>0</v>
      </c>
      <c r="MJ379">
        <f>IF(ME379&lt;MF379,$A379,B_MAX+1)</f>
        <v>296</v>
      </c>
      <c r="MK379" s="13">
        <f>IF(MB379=1,$MB$35,$MB$36)</f>
        <v>0</v>
      </c>
      <c r="ML379" s="13">
        <f>OCC_DAYS*$MB$41*R_NF_2023-MD379*MCD_SHARE_FREED*R_WAIT_2023</f>
        <v>151980.48282209205</v>
      </c>
      <c r="MM379">
        <f>IF($A379&lt;=$MB$45,1,0)</f>
        <v>0</v>
      </c>
      <c r="NB379">
        <f>IF($NB$31&lt;=$NB$32,IF($A379&lt;=$NB$7,1,2),IF($A379&lt;=RUNG_BEDS_2,2,1))</f>
        <v>1</v>
      </c>
      <c r="NC379" s="5">
        <f>MIN(1,MAX(0,$NB$26-($A379-1)))</f>
        <v>0</v>
      </c>
      <c r="ND379" s="5">
        <f>$NB$25*(NC379+(1-NC379)*$NB$16)</f>
        <v>63.013306786703595</v>
      </c>
      <c r="NE379" s="13">
        <f>ND379*($NB$6+ACUTE_MARGIN)</f>
        <v>63643.43985457063</v>
      </c>
      <c r="NF379" s="13">
        <f>IF(NB379=1,$NB$31,$NB$32)</f>
        <v>152394.16214437486</v>
      </c>
      <c r="NG379" s="13">
        <f>NE379-NF379</f>
        <v>-88750.72228980422</v>
      </c>
      <c r="NH379" s="13">
        <f>NH378+NG379</f>
        <v>2401514.1734221727</v>
      </c>
      <c r="NI379">
        <f>IF(NH379=MAX($NH$83:$NH$483),$A379,0)</f>
        <v>0</v>
      </c>
      <c r="NJ379">
        <f>IF(NE379&lt;NF379,$A379,B_MAX+1)</f>
        <v>296</v>
      </c>
      <c r="NK379" s="13">
        <f>IF(NB379=1,$NB$35,$NB$36)</f>
        <v>0</v>
      </c>
      <c r="NL379" s="13">
        <f>OCC_DAYS*$NB$41*R_NF_2023-ND379*MCD_SHARE_FREED*R_WAIT_2023</f>
        <v>123327.15192717595</v>
      </c>
      <c r="NM379">
        <f>IF($A379&lt;=$NB$45,1,0)</f>
        <v>0</v>
      </c>
      <c r="OB379">
        <f>IF($OB$31&lt;=$OB$32,IF($A379&lt;=$OB$7,1,2),IF($A379&lt;=RUNG_BEDS_2,2,1))</f>
        <v>1</v>
      </c>
      <c r="OC379" s="5">
        <f>MIN(1,MAX(0,$OB$26-($A379-1)))</f>
        <v>0</v>
      </c>
      <c r="OD379" s="5">
        <f>$OB$25*(OC379+(1-OC379)*$OB$16)</f>
        <v>126.02661357340719</v>
      </c>
      <c r="OE379" s="13">
        <f>OD379*($OB$6+ACUTE_MARGIN)</f>
        <v>127286.87970914126</v>
      </c>
      <c r="OF379" s="13">
        <f>IF(OB379=1,$OB$31,$OB$32)</f>
        <v>152394.16214437486</v>
      </c>
      <c r="OG379" s="13">
        <f>OE379-OF379</f>
        <v>-25107.282435233603</v>
      </c>
      <c r="OH379" s="13">
        <f>OH378+OG379</f>
        <v>11682729.713307157</v>
      </c>
      <c r="OI379">
        <f>IF(OH379=MAX($OH$83:$OH$483),$A379,0)</f>
        <v>0</v>
      </c>
      <c r="OJ379">
        <f>IF(OE379&lt;OF379,$A379,B_MAX+1)</f>
        <v>296</v>
      </c>
      <c r="OK379" s="13">
        <f>IF(OB379=1,$OB$35,$OB$36)</f>
        <v>0</v>
      </c>
      <c r="OL379" s="13">
        <f>OCC_DAYS*$OB$41*R_NF_2023-OD379*MCD_SHARE_FREED*R_WAIT_2023</f>
        <v>94673.82103225985</v>
      </c>
      <c r="OM379">
        <f>IF($A379&lt;=$OB$45,1,0)</f>
        <v>0</v>
      </c>
    </row>
    <row r="380">
      <c r="A380" t="n">
        <v>297</v>
      </c>
      <c r="B380">
        <f>IF($B$31&lt;=$B$32,IF($A380&lt;=$B$7,1,2),IF($A380&lt;=RUNG_BEDS_2,2,1))</f>
        <v>1</v>
      </c>
      <c r="C380" s="5">
        <f>MIN(1,MAX(0,$B$26-($A380-1)))</f>
        <v>0</v>
      </c>
      <c r="D380" s="5">
        <f>$B$25*(C380+(1-C380)*$B$16)</f>
        <v>0.0</v>
      </c>
      <c r="E380" s="13">
        <f>D380*($B$6+ACUTE_MARGIN)</f>
        <v>0.0</v>
      </c>
      <c r="F380" s="13">
        <f>IF(B380=1,$B$31,$B$32)</f>
        <v>152394.16214437486</v>
      </c>
      <c r="G380" s="13">
        <f>E380-F380</f>
        <v>-152394.16214437486</v>
      </c>
      <c r="H380" s="13">
        <f>H379+G380</f>
        <v>-7032095.528607002</v>
      </c>
      <c r="I380">
        <f>IF(H380=MAX($H$83:$H$483),$A380,0)</f>
        <v>0</v>
      </c>
      <c r="J380">
        <f>IF(E380&lt;F380,$A380,B_MAX+1)</f>
        <v>297</v>
      </c>
      <c r="K380" s="13">
        <f>IF(B380=1,$B$35,$B$36)</f>
        <v>0</v>
      </c>
      <c r="L380" s="13">
        <f>OCC_DAYS*$B$41*R_NF_2023-D380*MCD_SHARE_FREED*R_WAIT_2023</f>
        <v>151980.48282209205</v>
      </c>
      <c r="M380">
        <f>IF($A380&lt;=$B$45,1,0)</f>
        <v>0</v>
      </c>
      <c r="AB380">
        <f>IF($AB$31&lt;=$AB$32,IF($A380&lt;=$AB$7,1,2),IF($A380&lt;=RUNG_BEDS_2,2,1))</f>
        <v>1</v>
      </c>
      <c r="AC380" s="5">
        <f>MIN(1,MAX(0,$AB$26-($A380-1)))</f>
        <v>0</v>
      </c>
      <c r="AD380" s="5">
        <f>$AB$25*(AC380+(1-AC380)*$AB$16)</f>
        <v>0.0</v>
      </c>
      <c r="AE380" s="13">
        <f>AD380*($AB$6+ACUTE_MARGIN)</f>
        <v>0.0</v>
      </c>
      <c r="AF380" s="13">
        <f>IF(AB380=1,$AB$31,$AB$32)</f>
        <v>152394.16214437486</v>
      </c>
      <c r="AG380" s="13">
        <f>AE380-AF380</f>
        <v>-152394.16214437486</v>
      </c>
      <c r="AH380" s="13">
        <f>AH379+AG380</f>
        <v>-24443309.874156747</v>
      </c>
      <c r="AI380">
        <f>IF(AH380=MAX($AH$83:$AH$483),$A380,0)</f>
        <v>0</v>
      </c>
      <c r="AJ380">
        <f>IF(AE380&lt;AF380,$A380,B_MAX+1)</f>
        <v>297</v>
      </c>
      <c r="AK380" s="13">
        <f>IF(AB380=1,$AB$35,$AB$36)</f>
        <v>0</v>
      </c>
      <c r="AL380" s="13">
        <f>OCC_DAYS*$AB$41*R_NF_2023-AD380*MCD_SHARE_FREED*R_WAIT_2023</f>
        <v>151980.48282209205</v>
      </c>
      <c r="AM380">
        <f>IF($A380&lt;=$AB$45,1,0)</f>
        <v>0</v>
      </c>
      <c r="BB380">
        <f>IF($BB$31&lt;=$BB$32,IF($A380&lt;=$BB$7,1,2),IF($A380&lt;=RUNG_BEDS_2,2,1))</f>
        <v>1</v>
      </c>
      <c r="BC380" s="5">
        <f>MIN(1,MAX(0,$BB$26-($A380-1)))</f>
        <v>0</v>
      </c>
      <c r="BD380" s="5">
        <f>$BB$25*(BC380+(1-BC380)*$BB$16)</f>
        <v>0.0</v>
      </c>
      <c r="BE380" s="13">
        <f>BD380*($BB$6+ACUTE_MARGIN)</f>
        <v>0.0</v>
      </c>
      <c r="BF380" s="13">
        <f>IF(BB380=1,$BB$31,$BB$32)</f>
        <v>152394.16214437486</v>
      </c>
      <c r="BG380" s="13">
        <f>BE380-BF380</f>
        <v>-152394.16214437486</v>
      </c>
      <c r="BH380" s="13">
        <f>BH379+BG380</f>
        <v>10379118.816942748</v>
      </c>
      <c r="BI380">
        <f>IF(BH380=MAX($BH$83:$BH$483),$A380,0)</f>
        <v>0</v>
      </c>
      <c r="BJ380">
        <f>IF(BE380&lt;BF380,$A380,B_MAX+1)</f>
        <v>297</v>
      </c>
      <c r="BK380" s="13">
        <f>IF(BB380=1,$BB$35,$BB$36)</f>
        <v>0</v>
      </c>
      <c r="BL380" s="13">
        <f>OCC_DAYS*$BB$41*R_NF_2023-BD380*MCD_SHARE_FREED*R_WAIT_2023</f>
        <v>151980.48282209205</v>
      </c>
      <c r="BM380">
        <f>IF($A380&lt;=$BB$45,1,0)</f>
        <v>0</v>
      </c>
      <c r="CB380">
        <f>IF($CB$31&lt;=$CB$32,IF($A380&lt;=$CB$7,1,2),IF($A380&lt;=RUNG_BEDS_2,2,1))</f>
        <v>2</v>
      </c>
      <c r="CC380" s="5">
        <f>MIN(1,MAX(0,$CB$26-($A380-1)))</f>
        <v>0</v>
      </c>
      <c r="CD380" s="5">
        <f>$CB$25*(CC380+(1-CC380)*$CB$16)</f>
        <v>0.0</v>
      </c>
      <c r="CE380" s="13">
        <f>CD380*($CB$6+ACUTE_MARGIN)</f>
        <v>0.0</v>
      </c>
      <c r="CF380" s="13">
        <f>IF(CB380=1,$CB$31,$CB$32)</f>
        <v>160718.36940738867</v>
      </c>
      <c r="CG380" s="13">
        <f>CE380-CF380</f>
        <v>-160718.36940738867</v>
      </c>
      <c r="CH380" s="13">
        <f>CH379+CG380</f>
        <v>-9504385.085722212</v>
      </c>
      <c r="CI380">
        <f>IF(CH380=MAX($CH$83:$CH$483),$A380,0)</f>
        <v>0</v>
      </c>
      <c r="CJ380">
        <f>IF(CE380&lt;CF380,$A380,B_MAX+1)</f>
        <v>297</v>
      </c>
      <c r="CK380" s="13">
        <f>IF(CB380=1,$CB$35,$CB$36)</f>
        <v>1560.1194073886782</v>
      </c>
      <c r="CL380" s="13">
        <f>OCC_DAYS*$CB$41*R_NF_2023-CD380*MCD_SHARE_FREED*R_WAIT_2023</f>
        <v>151980.48282209205</v>
      </c>
      <c r="CM380">
        <f>IF($A380&lt;=$CB$45,1,0)</f>
        <v>0</v>
      </c>
      <c r="DB380">
        <f>IF($DB$31&lt;=$DB$32,IF($A380&lt;=$DB$7,1,2),IF($A380&lt;=RUNG_BEDS_2,2,1))</f>
        <v>1</v>
      </c>
      <c r="DC380" s="5">
        <f>MIN(1,MAX(0,$DB$26-($A380-1)))</f>
        <v>0</v>
      </c>
      <c r="DD380" s="5">
        <f>$DB$25*(DC380+(1-DC380)*$DB$16)</f>
        <v>0.0</v>
      </c>
      <c r="DE380" s="13">
        <f>DD380*($DB$6+ACUTE_MARGIN)</f>
        <v>0.0</v>
      </c>
      <c r="DF380" s="13">
        <f>IF(DB380=1,$DB$31,$DB$32)</f>
        <v>152394.16214437486</v>
      </c>
      <c r="DG380" s="13">
        <f>DE380-DF380</f>
        <v>-152394.16214437486</v>
      </c>
      <c r="DH380" s="13">
        <f>DH379+DG380</f>
        <v>-7032095.528607002</v>
      </c>
      <c r="DI380">
        <f>IF(DH380=MAX($DH$83:$DH$483),$A380,0)</f>
        <v>0</v>
      </c>
      <c r="DJ380">
        <f>IF(DE380&lt;DF380,$A380,B_MAX+1)</f>
        <v>297</v>
      </c>
      <c r="DK380" s="13">
        <f>IF(DB380=1,$DB$35,$DB$36)</f>
        <v>0</v>
      </c>
      <c r="DL380" s="13">
        <f>OCC_DAYS*$DB$41*R_NF_2023-DD380*MCD_SHARE_FREED*R_WAIT_2023</f>
        <v>151980.48282209205</v>
      </c>
      <c r="DM380">
        <f>IF($A380&lt;=$DB$45,1,0)</f>
        <v>0</v>
      </c>
      <c r="EB380">
        <f>IF($EB$31&lt;=$EB$32,IF($A380&lt;=$EB$7,1,2),IF($A380&lt;=RUNG_BEDS_2,2,1))</f>
        <v>1</v>
      </c>
      <c r="EC380" s="5">
        <f>MIN(1,MAX(0,$EB$26-($A380-1)))</f>
        <v>0</v>
      </c>
      <c r="ED380" s="5">
        <f>$EB$25*(EC380+(1-EC380)*$EB$16)</f>
        <v>0.0</v>
      </c>
      <c r="EE380" s="13">
        <f>ED380*($EB$6+ACUTE_MARGIN)</f>
        <v>0.0</v>
      </c>
      <c r="EF380" s="13">
        <f>IF(EB380=1,$EB$31,$EB$32)</f>
        <v>152394.16214437486</v>
      </c>
      <c r="EG380" s="13">
        <f>EE380-EF380</f>
        <v>-152394.16214437486</v>
      </c>
      <c r="EH380" s="13">
        <f>EH379+EG380</f>
        <v>-7032095.528607002</v>
      </c>
      <c r="EI380">
        <f>IF(EH380=MAX($EH$83:$EH$483),$A380,0)</f>
        <v>0</v>
      </c>
      <c r="EJ380">
        <f>IF(EE380&lt;EF380,$A380,B_MAX+1)</f>
        <v>297</v>
      </c>
      <c r="EK380" s="13">
        <f>IF(EB380=1,$EB$35,$EB$36)</f>
        <v>0</v>
      </c>
      <c r="EL380" s="13">
        <f>OCC_DAYS*$EB$41*R_NF_2023-ED380*MCD_SHARE_FREED*R_WAIT_2023</f>
        <v>50660.16094069735</v>
      </c>
      <c r="EM380">
        <f>IF($A380&lt;=$EB$45,1,0)</f>
        <v>0</v>
      </c>
      <c r="FB380">
        <f>IF($FB$31&lt;=$FB$32,IF($A380&lt;=$FB$7,1,2),IF($A380&lt;=RUNG_BEDS_2,2,1))</f>
        <v>1</v>
      </c>
      <c r="FC380" s="5">
        <f>MIN(1,MAX(0,$FB$26-($A380-1)))</f>
        <v>0</v>
      </c>
      <c r="FD380" s="5">
        <f>$FB$25*(FC380+(1-FC380)*$FB$16)</f>
        <v>0.0</v>
      </c>
      <c r="FE380" s="13">
        <f>FD380*($FB$6+ACUTE_MARGIN)</f>
        <v>0.0</v>
      </c>
      <c r="FF380" s="13">
        <f>IF(FB380=1,$FB$31,$FB$32)</f>
        <v>156636.04979437485</v>
      </c>
      <c r="FG380" s="13">
        <f>FE380-FF380</f>
        <v>-156636.04979437485</v>
      </c>
      <c r="FH380" s="13">
        <f>FH379+FG380</f>
        <v>-8291936.160657116</v>
      </c>
      <c r="FI380">
        <f>IF(FH380=MAX($FH$83:$FH$483),$A380,0)</f>
        <v>0</v>
      </c>
      <c r="FJ380">
        <f>IF(FE380&lt;FF380,$A380,B_MAX+1)</f>
        <v>297</v>
      </c>
      <c r="FK380" s="13">
        <f>IF(FB380=1,$FB$35,$FB$36)</f>
        <v>0</v>
      </c>
      <c r="FL380" s="13">
        <f>OCC_DAYS*$FB$41*R_NF_2023-FD380*MCD_SHARE_FREED*R_WAIT_2023</f>
        <v>151980.48282209205</v>
      </c>
      <c r="FM380">
        <f>IF($A380&lt;=$FB$45,1,0)</f>
        <v>0</v>
      </c>
      <c r="GB380">
        <f>IF($GB$31&lt;=$GB$32,IF($A380&lt;=$GB$7,1,2),IF($A380&lt;=RUNG_BEDS_2,2,1))</f>
        <v>1</v>
      </c>
      <c r="GC380" s="5">
        <f>MIN(1,MAX(0,$GB$26-($A380-1)))</f>
        <v>0</v>
      </c>
      <c r="GD380" s="5">
        <f>$GB$25*(GC380+(1-GC380)*$GB$16)</f>
        <v>0.0</v>
      </c>
      <c r="GE380" s="13">
        <f>GD380*($GB$6+ACUTE_MARGIN)</f>
        <v>0.0</v>
      </c>
      <c r="GF380" s="13">
        <f>IF(GB380=1,$GB$31,$GB$32)</f>
        <v>152394.16214437486</v>
      </c>
      <c r="GG380" s="13">
        <f>GE380-GF380</f>
        <v>-152394.16214437486</v>
      </c>
      <c r="GH380" s="13">
        <f>GH379+GG380</f>
        <v>-7032095.528607002</v>
      </c>
      <c r="GI380">
        <f>IF(GH380=MAX($GH$83:$GH$483),$A380,0)</f>
        <v>0</v>
      </c>
      <c r="GJ380">
        <f>IF(GE380&lt;GF380,$A380,B_MAX+1)</f>
        <v>297</v>
      </c>
      <c r="GK380" s="13">
        <f>IF(GB380=1,$GB$35,$GB$36)</f>
        <v>0</v>
      </c>
      <c r="GL380" s="13">
        <f>OCC_DAYS*$GB$41*R_NF_2023-GD380*MCD_SHARE_FREED*R_WAIT_2023</f>
        <v>151980.48282209205</v>
      </c>
      <c r="GM380">
        <f>IF($A380&lt;=$GB$45,1,0)</f>
        <v>0</v>
      </c>
      <c r="HB380">
        <f>IF($HB$31&lt;=$HB$32,IF($A380&lt;=$HB$7,1,2),IF($A380&lt;=RUNG_BEDS_2,2,1))</f>
        <v>1</v>
      </c>
      <c r="HC380" s="5">
        <f>MIN(1,MAX(0,$HB$26-($A380-1)))</f>
        <v>0</v>
      </c>
      <c r="HD380" s="5">
        <f>$HB$25*(HC380+(1-HC380)*$HB$16)</f>
        <v>0.0</v>
      </c>
      <c r="HE380" s="13">
        <f>HD380*($HB$6+ACUTE_MARGIN)</f>
        <v>0.0</v>
      </c>
      <c r="HF380" s="13">
        <f>IF(HB380=1,$HB$31,$HB$32)</f>
        <v>152456.2970814058</v>
      </c>
      <c r="HG380" s="13">
        <f>HE380-HF380</f>
        <v>-152456.2970814058</v>
      </c>
      <c r="HH380" s="13">
        <f>HH379+HG380</f>
        <v>-7050549.604905234</v>
      </c>
      <c r="HI380">
        <f>IF(HH380=MAX($HH$83:$HH$483),$A380,0)</f>
        <v>0</v>
      </c>
      <c r="HJ380">
        <f>IF(HE380&lt;HF380,$A380,B_MAX+1)</f>
        <v>297</v>
      </c>
      <c r="HK380" s="13">
        <f>IF(HB380=1,$HB$35,$HB$36)</f>
        <v>0</v>
      </c>
      <c r="HL380" s="13">
        <f>OCC_DAYS*$HB$41*R_NF_2023-HD380*MCD_SHARE_FREED*R_WAIT_2023</f>
        <v>151980.48282209205</v>
      </c>
      <c r="HM380">
        <f>IF($A380&lt;=$HB$45,1,0)</f>
        <v>0</v>
      </c>
      <c r="IB380">
        <f>IF($IB$31&lt;=$IB$32,IF($A380&lt;=$IB$7,1,2),IF($A380&lt;=RUNG_BEDS_2,2,1))</f>
        <v>1</v>
      </c>
      <c r="IC380" s="5">
        <f>MIN(1,MAX(0,$IB$26-($A380-1)))</f>
        <v>0</v>
      </c>
      <c r="ID380" s="5">
        <f>$IB$25*(IC380+(1-IC380)*$IB$16)</f>
        <v>0.0</v>
      </c>
      <c r="IE380" s="13">
        <f>ID380*($IB$6+ACUTE_MARGIN)</f>
        <v>0.0</v>
      </c>
      <c r="IF380" s="13">
        <f>IF(IB380=1,$IB$31,$IB$32)</f>
        <v>152734.9994534971</v>
      </c>
      <c r="IG380" s="13">
        <f>IE380-IF380</f>
        <v>-152734.9994534971</v>
      </c>
      <c r="IH380" s="13">
        <f>IH379+IG380</f>
        <v>-7133324.209416396</v>
      </c>
      <c r="II380">
        <f>IF(IH380=MAX($IH$83:$IH$483),$A380,0)</f>
        <v>0</v>
      </c>
      <c r="IJ380">
        <f>IF(IE380&lt;IF380,$A380,B_MAX+1)</f>
        <v>297</v>
      </c>
      <c r="IK380" s="13">
        <f>IF(IB380=1,$IB$35,$IB$36)</f>
        <v>0</v>
      </c>
      <c r="IL380" s="13">
        <f>OCC_DAYS*$IB$41*R_NF_2023-ID380*MCD_SHARE_FREED*R_WAIT_2023</f>
        <v>151980.48282209205</v>
      </c>
      <c r="IM380">
        <f>IF($A380&lt;=$IB$45,1,0)</f>
        <v>0</v>
      </c>
      <c r="JB380">
        <f>IF($JB$31&lt;=$JB$32,IF($A380&lt;=$JB$7,1,2),IF($A380&lt;=RUNG_BEDS_2,2,1))</f>
        <v>1</v>
      </c>
      <c r="JC380" s="5">
        <f>MIN(1,MAX(0,$JB$26-($A380-1)))</f>
        <v>0</v>
      </c>
      <c r="JD380" s="5">
        <f>$JB$25*(JC380+(1-JC380)*$JB$16)</f>
        <v>0.0</v>
      </c>
      <c r="JE380" s="13">
        <f>JD380*($JB$6+ACUTE_MARGIN)</f>
        <v>0.0</v>
      </c>
      <c r="JF380" s="13">
        <f>IF(JB380=1,$JB$31,$JB$32)</f>
        <v>152394.16214437486</v>
      </c>
      <c r="JG380" s="13">
        <f>JE380-JF380</f>
        <v>-152394.16214437486</v>
      </c>
      <c r="JH380" s="13">
        <f>JH379+JG380</f>
        <v>-7032095.528607002</v>
      </c>
      <c r="JI380">
        <f>IF(JH380=MAX($JH$83:$JH$483),$A380,0)</f>
        <v>0</v>
      </c>
      <c r="JJ380">
        <f>IF(JE380&lt;JF380,$A380,B_MAX+1)</f>
        <v>297</v>
      </c>
      <c r="JK380" s="13">
        <f>IF(JB380=1,$JB$35,$JB$36)</f>
        <v>0</v>
      </c>
      <c r="JL380" s="13">
        <f>OCC_DAYS*$JB$41*R_NF_2023-JD380*MCD_SHARE_FREED*R_WAIT_2023</f>
        <v>151980.48282209205</v>
      </c>
      <c r="JM380">
        <f>IF($A380&lt;=$JB$45,1,0)</f>
        <v>0</v>
      </c>
      <c r="KB380">
        <f>IF($KB$31&lt;=$KB$32,IF($A380&lt;=$KB$7,1,2),IF($A380&lt;=RUNG_BEDS_2,2,1))</f>
        <v>1</v>
      </c>
      <c r="KC380" s="5">
        <f>MIN(1,MAX(0,$KB$26-($A380-1)))</f>
        <v>1</v>
      </c>
      <c r="KD380" s="5">
        <f>$KB$25*(KC380+(1-KC380)*$KB$16)</f>
        <v>126.02661357340719</v>
      </c>
      <c r="KE380" s="13">
        <f>KD380*($KB$6+ACUTE_MARGIN)</f>
        <v>127286.87970914126</v>
      </c>
      <c r="KF380" s="13">
        <f>IF(KB380=1,$KB$31,$KB$32)</f>
        <v>152394.16214437486</v>
      </c>
      <c r="KG380" s="13">
        <f>KE380-KF380</f>
        <v>-25107.282435233603</v>
      </c>
      <c r="KH380" s="13">
        <f>KH379+KG380</f>
        <v>-7456862.883264406</v>
      </c>
      <c r="KI380">
        <f>IF(KH380=MAX($KH$83:$KH$483),$A380,0)</f>
        <v>0</v>
      </c>
      <c r="KJ380">
        <f>IF(KE380&lt;KF380,$A380,B_MAX+1)</f>
        <v>297</v>
      </c>
      <c r="KK380" s="13">
        <f>IF(KB380=1,$KB$35,$KB$36)</f>
        <v>0</v>
      </c>
      <c r="KL380" s="13">
        <f>OCC_DAYS*$KB$41*R_NF_2023-KD380*MCD_SHARE_FREED*R_WAIT_2023</f>
        <v>94673.82103225985</v>
      </c>
      <c r="KM380">
        <f>IF($A380&lt;=$KB$45,1,0)</f>
        <v>0</v>
      </c>
      <c r="LB380">
        <f>IF($LB$31&lt;=$LB$32,IF($A380&lt;=$LB$7,1,2),IF($A380&lt;=RUNG_BEDS_2,2,1))</f>
        <v>1</v>
      </c>
      <c r="LC380" s="5">
        <f>MIN(1,MAX(0,$LB$26-($A380-1)))</f>
        <v>1</v>
      </c>
      <c r="LD380" s="5">
        <f>$LB$25*(LC380+(1-LC380)*$LB$16)</f>
        <v>84.01774238227146</v>
      </c>
      <c r="LE380" s="13">
        <f>LD380*($LB$6+ACUTE_MARGIN)</f>
        <v>84857.91980609419</v>
      </c>
      <c r="LF380" s="13">
        <f>IF(LB380=1,$LB$31,$LB$32)</f>
        <v>152394.16214437486</v>
      </c>
      <c r="LG380" s="13">
        <f>LE380-LF380</f>
        <v>-67536.24233828067</v>
      </c>
      <c r="LH380" s="13">
        <f>LH379+LG380</f>
        <v>-20058263.974469464</v>
      </c>
      <c r="LI380">
        <f>IF(LH380=MAX($LH$83:$LH$483),$A380,0)</f>
        <v>0</v>
      </c>
      <c r="LJ380">
        <f>IF(LE380&lt;LF380,$A380,B_MAX+1)</f>
        <v>297</v>
      </c>
      <c r="LK380" s="13">
        <f>IF(LB380=1,$LB$35,$LB$36)</f>
        <v>0</v>
      </c>
      <c r="LL380" s="13">
        <f>OCC_DAYS*$LB$41*R_NF_2023-LD380*MCD_SHARE_FREED*R_WAIT_2023</f>
        <v>113776.04162887059</v>
      </c>
      <c r="LM380">
        <f>IF($A380&lt;=$LB$45,1,0)</f>
        <v>0</v>
      </c>
      <c r="MB380">
        <f>IF($MB$31&lt;=$MB$32,IF($A380&lt;=$MB$7,1,2),IF($A380&lt;=RUNG_BEDS_2,2,1))</f>
        <v>1</v>
      </c>
      <c r="MC380" s="5">
        <f>MIN(1,MAX(0,$MB$26-($A380-1)))</f>
        <v>0</v>
      </c>
      <c r="MD380" s="5">
        <f>$MB$25*(MC380+(1-MC380)*$MB$16)</f>
        <v>0.0</v>
      </c>
      <c r="ME380" s="13">
        <f>MD380*($MB$6+ACUTE_MARGIN)</f>
        <v>0.0</v>
      </c>
      <c r="MF380" s="13">
        <f>IF(MB380=1,$MB$31,$MB$32)</f>
        <v>152394.16214437486</v>
      </c>
      <c r="MG380" s="13">
        <f>ME380-MF380</f>
        <v>-152394.16214437486</v>
      </c>
      <c r="MH380" s="13">
        <f>MH379+MG380</f>
        <v>-12919371.590405311</v>
      </c>
      <c r="MI380">
        <f>IF(MH380=MAX($MH$83:$MH$483),$A380,0)</f>
        <v>0</v>
      </c>
      <c r="MJ380">
        <f>IF(ME380&lt;MF380,$A380,B_MAX+1)</f>
        <v>297</v>
      </c>
      <c r="MK380" s="13">
        <f>IF(MB380=1,$MB$35,$MB$36)</f>
        <v>0</v>
      </c>
      <c r="ML380" s="13">
        <f>OCC_DAYS*$MB$41*R_NF_2023-MD380*MCD_SHARE_FREED*R_WAIT_2023</f>
        <v>151980.48282209205</v>
      </c>
      <c r="MM380">
        <f>IF($A380&lt;=$MB$45,1,0)</f>
        <v>0</v>
      </c>
      <c r="NB380">
        <f>IF($NB$31&lt;=$NB$32,IF($A380&lt;=$NB$7,1,2),IF($A380&lt;=RUNG_BEDS_2,2,1))</f>
        <v>1</v>
      </c>
      <c r="NC380" s="5">
        <f>MIN(1,MAX(0,$NB$26-($A380-1)))</f>
        <v>0</v>
      </c>
      <c r="ND380" s="5">
        <f>$NB$25*(NC380+(1-NC380)*$NB$16)</f>
        <v>63.013306786703595</v>
      </c>
      <c r="NE380" s="13">
        <f>ND380*($NB$6+ACUTE_MARGIN)</f>
        <v>63643.43985457063</v>
      </c>
      <c r="NF380" s="13">
        <f>IF(NB380=1,$NB$31,$NB$32)</f>
        <v>152394.16214437486</v>
      </c>
      <c r="NG380" s="13">
        <f>NE380-NF380</f>
        <v>-88750.72228980422</v>
      </c>
      <c r="NH380" s="13">
        <f>NH379+NG380</f>
        <v>2312763.4511323683</v>
      </c>
      <c r="NI380">
        <f>IF(NH380=MAX($NH$83:$NH$483),$A380,0)</f>
        <v>0</v>
      </c>
      <c r="NJ380">
        <f>IF(NE380&lt;NF380,$A380,B_MAX+1)</f>
        <v>297</v>
      </c>
      <c r="NK380" s="13">
        <f>IF(NB380=1,$NB$35,$NB$36)</f>
        <v>0</v>
      </c>
      <c r="NL380" s="13">
        <f>OCC_DAYS*$NB$41*R_NF_2023-ND380*MCD_SHARE_FREED*R_WAIT_2023</f>
        <v>123327.15192717595</v>
      </c>
      <c r="NM380">
        <f>IF($A380&lt;=$NB$45,1,0)</f>
        <v>0</v>
      </c>
      <c r="OB380">
        <f>IF($OB$31&lt;=$OB$32,IF($A380&lt;=$OB$7,1,2),IF($A380&lt;=RUNG_BEDS_2,2,1))</f>
        <v>1</v>
      </c>
      <c r="OC380" s="5">
        <f>MIN(1,MAX(0,$OB$26-($A380-1)))</f>
        <v>0</v>
      </c>
      <c r="OD380" s="5">
        <f>$OB$25*(OC380+(1-OC380)*$OB$16)</f>
        <v>126.02661357340719</v>
      </c>
      <c r="OE380" s="13">
        <f>OD380*($OB$6+ACUTE_MARGIN)</f>
        <v>127286.87970914126</v>
      </c>
      <c r="OF380" s="13">
        <f>IF(OB380=1,$OB$31,$OB$32)</f>
        <v>152394.16214437486</v>
      </c>
      <c r="OG380" s="13">
        <f>OE380-OF380</f>
        <v>-25107.282435233603</v>
      </c>
      <c r="OH380" s="13">
        <f>OH379+OG380</f>
        <v>11657622.430871924</v>
      </c>
      <c r="OI380">
        <f>IF(OH380=MAX($OH$83:$OH$483),$A380,0)</f>
        <v>0</v>
      </c>
      <c r="OJ380">
        <f>IF(OE380&lt;OF380,$A380,B_MAX+1)</f>
        <v>297</v>
      </c>
      <c r="OK380" s="13">
        <f>IF(OB380=1,$OB$35,$OB$36)</f>
        <v>0</v>
      </c>
      <c r="OL380" s="13">
        <f>OCC_DAYS*$OB$41*R_NF_2023-OD380*MCD_SHARE_FREED*R_WAIT_2023</f>
        <v>94673.82103225985</v>
      </c>
      <c r="OM380">
        <f>IF($A380&lt;=$OB$45,1,0)</f>
        <v>0</v>
      </c>
    </row>
    <row r="381">
      <c r="A381" t="n">
        <v>298</v>
      </c>
      <c r="B381">
        <f>IF($B$31&lt;=$B$32,IF($A381&lt;=$B$7,1,2),IF($A381&lt;=RUNG_BEDS_2,2,1))</f>
        <v>1</v>
      </c>
      <c r="C381" s="5">
        <f>MIN(1,MAX(0,$B$26-($A381-1)))</f>
        <v>0</v>
      </c>
      <c r="D381" s="5">
        <f>$B$25*(C381+(1-C381)*$B$16)</f>
        <v>0.0</v>
      </c>
      <c r="E381" s="13">
        <f>D381*($B$6+ACUTE_MARGIN)</f>
        <v>0.0</v>
      </c>
      <c r="F381" s="13">
        <f>IF(B381=1,$B$31,$B$32)</f>
        <v>152394.16214437486</v>
      </c>
      <c r="G381" s="13">
        <f>E381-F381</f>
        <v>-152394.16214437486</v>
      </c>
      <c r="H381" s="13">
        <f>H380+G381</f>
        <v>-7184489.6907513775</v>
      </c>
      <c r="I381">
        <f>IF(H381=MAX($H$83:$H$483),$A381,0)</f>
        <v>0</v>
      </c>
      <c r="J381">
        <f>IF(E381&lt;F381,$A381,B_MAX+1)</f>
        <v>298</v>
      </c>
      <c r="K381" s="13">
        <f>IF(B381=1,$B$35,$B$36)</f>
        <v>0</v>
      </c>
      <c r="L381" s="13">
        <f>OCC_DAYS*$B$41*R_NF_2023-D381*MCD_SHARE_FREED*R_WAIT_2023</f>
        <v>151980.48282209205</v>
      </c>
      <c r="M381">
        <f>IF($A381&lt;=$B$45,1,0)</f>
        <v>0</v>
      </c>
      <c r="AB381">
        <f>IF($AB$31&lt;=$AB$32,IF($A381&lt;=$AB$7,1,2),IF($A381&lt;=RUNG_BEDS_2,2,1))</f>
        <v>1</v>
      </c>
      <c r="AC381" s="5">
        <f>MIN(1,MAX(0,$AB$26-($A381-1)))</f>
        <v>0</v>
      </c>
      <c r="AD381" s="5">
        <f>$AB$25*(AC381+(1-AC381)*$AB$16)</f>
        <v>0.0</v>
      </c>
      <c r="AE381" s="13">
        <f>AD381*($AB$6+ACUTE_MARGIN)</f>
        <v>0.0</v>
      </c>
      <c r="AF381" s="13">
        <f>IF(AB381=1,$AB$31,$AB$32)</f>
        <v>152394.16214437486</v>
      </c>
      <c r="AG381" s="13">
        <f>AE381-AF381</f>
        <v>-152394.16214437486</v>
      </c>
      <c r="AH381" s="13">
        <f>AH380+AG381</f>
        <v>-24595704.03630112</v>
      </c>
      <c r="AI381">
        <f>IF(AH381=MAX($AH$83:$AH$483),$A381,0)</f>
        <v>0</v>
      </c>
      <c r="AJ381">
        <f>IF(AE381&lt;AF381,$A381,B_MAX+1)</f>
        <v>298</v>
      </c>
      <c r="AK381" s="13">
        <f>IF(AB381=1,$AB$35,$AB$36)</f>
        <v>0</v>
      </c>
      <c r="AL381" s="13">
        <f>OCC_DAYS*$AB$41*R_NF_2023-AD381*MCD_SHARE_FREED*R_WAIT_2023</f>
        <v>151980.48282209205</v>
      </c>
      <c r="AM381">
        <f>IF($A381&lt;=$AB$45,1,0)</f>
        <v>0</v>
      </c>
      <c r="BB381">
        <f>IF($BB$31&lt;=$BB$32,IF($A381&lt;=$BB$7,1,2),IF($A381&lt;=RUNG_BEDS_2,2,1))</f>
        <v>1</v>
      </c>
      <c r="BC381" s="5">
        <f>MIN(1,MAX(0,$BB$26-($A381-1)))</f>
        <v>0</v>
      </c>
      <c r="BD381" s="5">
        <f>$BB$25*(BC381+(1-BC381)*$BB$16)</f>
        <v>0.0</v>
      </c>
      <c r="BE381" s="13">
        <f>BD381*($BB$6+ACUTE_MARGIN)</f>
        <v>0.0</v>
      </c>
      <c r="BF381" s="13">
        <f>IF(BB381=1,$BB$31,$BB$32)</f>
        <v>152394.16214437486</v>
      </c>
      <c r="BG381" s="13">
        <f>BE381-BF381</f>
        <v>-152394.16214437486</v>
      </c>
      <c r="BH381" s="13">
        <f>BH380+BG381</f>
        <v>10226724.654798374</v>
      </c>
      <c r="BI381">
        <f>IF(BH381=MAX($BH$83:$BH$483),$A381,0)</f>
        <v>0</v>
      </c>
      <c r="BJ381">
        <f>IF(BE381&lt;BF381,$A381,B_MAX+1)</f>
        <v>298</v>
      </c>
      <c r="BK381" s="13">
        <f>IF(BB381=1,$BB$35,$BB$36)</f>
        <v>0</v>
      </c>
      <c r="BL381" s="13">
        <f>OCC_DAYS*$BB$41*R_NF_2023-BD381*MCD_SHARE_FREED*R_WAIT_2023</f>
        <v>151980.48282209205</v>
      </c>
      <c r="BM381">
        <f>IF($A381&lt;=$BB$45,1,0)</f>
        <v>0</v>
      </c>
      <c r="CB381">
        <f>IF($CB$31&lt;=$CB$32,IF($A381&lt;=$CB$7,1,2),IF($A381&lt;=RUNG_BEDS_2,2,1))</f>
        <v>2</v>
      </c>
      <c r="CC381" s="5">
        <f>MIN(1,MAX(0,$CB$26-($A381-1)))</f>
        <v>0</v>
      </c>
      <c r="CD381" s="5">
        <f>$CB$25*(CC381+(1-CC381)*$CB$16)</f>
        <v>0.0</v>
      </c>
      <c r="CE381" s="13">
        <f>CD381*($CB$6+ACUTE_MARGIN)</f>
        <v>0.0</v>
      </c>
      <c r="CF381" s="13">
        <f>IF(CB381=1,$CB$31,$CB$32)</f>
        <v>160718.36940738867</v>
      </c>
      <c r="CG381" s="13">
        <f>CE381-CF381</f>
        <v>-160718.36940738867</v>
      </c>
      <c r="CH381" s="13">
        <f>CH380+CG381</f>
        <v>-9665103.455129601</v>
      </c>
      <c r="CI381">
        <f>IF(CH381=MAX($CH$83:$CH$483),$A381,0)</f>
        <v>0</v>
      </c>
      <c r="CJ381">
        <f>IF(CE381&lt;CF381,$A381,B_MAX+1)</f>
        <v>298</v>
      </c>
      <c r="CK381" s="13">
        <f>IF(CB381=1,$CB$35,$CB$36)</f>
        <v>1560.1194073886782</v>
      </c>
      <c r="CL381" s="13">
        <f>OCC_DAYS*$CB$41*R_NF_2023-CD381*MCD_SHARE_FREED*R_WAIT_2023</f>
        <v>151980.48282209205</v>
      </c>
      <c r="CM381">
        <f>IF($A381&lt;=$CB$45,1,0)</f>
        <v>0</v>
      </c>
      <c r="DB381">
        <f>IF($DB$31&lt;=$DB$32,IF($A381&lt;=$DB$7,1,2),IF($A381&lt;=RUNG_BEDS_2,2,1))</f>
        <v>1</v>
      </c>
      <c r="DC381" s="5">
        <f>MIN(1,MAX(0,$DB$26-($A381-1)))</f>
        <v>0</v>
      </c>
      <c r="DD381" s="5">
        <f>$DB$25*(DC381+(1-DC381)*$DB$16)</f>
        <v>0.0</v>
      </c>
      <c r="DE381" s="13">
        <f>DD381*($DB$6+ACUTE_MARGIN)</f>
        <v>0.0</v>
      </c>
      <c r="DF381" s="13">
        <f>IF(DB381=1,$DB$31,$DB$32)</f>
        <v>152394.16214437486</v>
      </c>
      <c r="DG381" s="13">
        <f>DE381-DF381</f>
        <v>-152394.16214437486</v>
      </c>
      <c r="DH381" s="13">
        <f>DH380+DG381</f>
        <v>-7184489.6907513775</v>
      </c>
      <c r="DI381">
        <f>IF(DH381=MAX($DH$83:$DH$483),$A381,0)</f>
        <v>0</v>
      </c>
      <c r="DJ381">
        <f>IF(DE381&lt;DF381,$A381,B_MAX+1)</f>
        <v>298</v>
      </c>
      <c r="DK381" s="13">
        <f>IF(DB381=1,$DB$35,$DB$36)</f>
        <v>0</v>
      </c>
      <c r="DL381" s="13">
        <f>OCC_DAYS*$DB$41*R_NF_2023-DD381*MCD_SHARE_FREED*R_WAIT_2023</f>
        <v>151980.48282209205</v>
      </c>
      <c r="DM381">
        <f>IF($A381&lt;=$DB$45,1,0)</f>
        <v>0</v>
      </c>
      <c r="EB381">
        <f>IF($EB$31&lt;=$EB$32,IF($A381&lt;=$EB$7,1,2),IF($A381&lt;=RUNG_BEDS_2,2,1))</f>
        <v>1</v>
      </c>
      <c r="EC381" s="5">
        <f>MIN(1,MAX(0,$EB$26-($A381-1)))</f>
        <v>0</v>
      </c>
      <c r="ED381" s="5">
        <f>$EB$25*(EC381+(1-EC381)*$EB$16)</f>
        <v>0.0</v>
      </c>
      <c r="EE381" s="13">
        <f>ED381*($EB$6+ACUTE_MARGIN)</f>
        <v>0.0</v>
      </c>
      <c r="EF381" s="13">
        <f>IF(EB381=1,$EB$31,$EB$32)</f>
        <v>152394.16214437486</v>
      </c>
      <c r="EG381" s="13">
        <f>EE381-EF381</f>
        <v>-152394.16214437486</v>
      </c>
      <c r="EH381" s="13">
        <f>EH380+EG381</f>
        <v>-7184489.6907513775</v>
      </c>
      <c r="EI381">
        <f>IF(EH381=MAX($EH$83:$EH$483),$A381,0)</f>
        <v>0</v>
      </c>
      <c r="EJ381">
        <f>IF(EE381&lt;EF381,$A381,B_MAX+1)</f>
        <v>298</v>
      </c>
      <c r="EK381" s="13">
        <f>IF(EB381=1,$EB$35,$EB$36)</f>
        <v>0</v>
      </c>
      <c r="EL381" s="13">
        <f>OCC_DAYS*$EB$41*R_NF_2023-ED381*MCD_SHARE_FREED*R_WAIT_2023</f>
        <v>50660.16094069735</v>
      </c>
      <c r="EM381">
        <f>IF($A381&lt;=$EB$45,1,0)</f>
        <v>0</v>
      </c>
      <c r="FB381">
        <f>IF($FB$31&lt;=$FB$32,IF($A381&lt;=$FB$7,1,2),IF($A381&lt;=RUNG_BEDS_2,2,1))</f>
        <v>1</v>
      </c>
      <c r="FC381" s="5">
        <f>MIN(1,MAX(0,$FB$26-($A381-1)))</f>
        <v>0</v>
      </c>
      <c r="FD381" s="5">
        <f>$FB$25*(FC381+(1-FC381)*$FB$16)</f>
        <v>0.0</v>
      </c>
      <c r="FE381" s="13">
        <f>FD381*($FB$6+ACUTE_MARGIN)</f>
        <v>0.0</v>
      </c>
      <c r="FF381" s="13">
        <f>IF(FB381=1,$FB$31,$FB$32)</f>
        <v>156636.04979437485</v>
      </c>
      <c r="FG381" s="13">
        <f>FE381-FF381</f>
        <v>-156636.04979437485</v>
      </c>
      <c r="FH381" s="13">
        <f>FH380+FG381</f>
        <v>-8448572.210451491</v>
      </c>
      <c r="FI381">
        <f>IF(FH381=MAX($FH$83:$FH$483),$A381,0)</f>
        <v>0</v>
      </c>
      <c r="FJ381">
        <f>IF(FE381&lt;FF381,$A381,B_MAX+1)</f>
        <v>298</v>
      </c>
      <c r="FK381" s="13">
        <f>IF(FB381=1,$FB$35,$FB$36)</f>
        <v>0</v>
      </c>
      <c r="FL381" s="13">
        <f>OCC_DAYS*$FB$41*R_NF_2023-FD381*MCD_SHARE_FREED*R_WAIT_2023</f>
        <v>151980.48282209205</v>
      </c>
      <c r="FM381">
        <f>IF($A381&lt;=$FB$45,1,0)</f>
        <v>0</v>
      </c>
      <c r="GB381">
        <f>IF($GB$31&lt;=$GB$32,IF($A381&lt;=$GB$7,1,2),IF($A381&lt;=RUNG_BEDS_2,2,1))</f>
        <v>1</v>
      </c>
      <c r="GC381" s="5">
        <f>MIN(1,MAX(0,$GB$26-($A381-1)))</f>
        <v>0</v>
      </c>
      <c r="GD381" s="5">
        <f>$GB$25*(GC381+(1-GC381)*$GB$16)</f>
        <v>0.0</v>
      </c>
      <c r="GE381" s="13">
        <f>GD381*($GB$6+ACUTE_MARGIN)</f>
        <v>0.0</v>
      </c>
      <c r="GF381" s="13">
        <f>IF(GB381=1,$GB$31,$GB$32)</f>
        <v>152394.16214437486</v>
      </c>
      <c r="GG381" s="13">
        <f>GE381-GF381</f>
        <v>-152394.16214437486</v>
      </c>
      <c r="GH381" s="13">
        <f>GH380+GG381</f>
        <v>-7184489.6907513775</v>
      </c>
      <c r="GI381">
        <f>IF(GH381=MAX($GH$83:$GH$483),$A381,0)</f>
        <v>0</v>
      </c>
      <c r="GJ381">
        <f>IF(GE381&lt;GF381,$A381,B_MAX+1)</f>
        <v>298</v>
      </c>
      <c r="GK381" s="13">
        <f>IF(GB381=1,$GB$35,$GB$36)</f>
        <v>0</v>
      </c>
      <c r="GL381" s="13">
        <f>OCC_DAYS*$GB$41*R_NF_2023-GD381*MCD_SHARE_FREED*R_WAIT_2023</f>
        <v>151980.48282209205</v>
      </c>
      <c r="GM381">
        <f>IF($A381&lt;=$GB$45,1,0)</f>
        <v>0</v>
      </c>
      <c r="HB381">
        <f>IF($HB$31&lt;=$HB$32,IF($A381&lt;=$HB$7,1,2),IF($A381&lt;=RUNG_BEDS_2,2,1))</f>
        <v>1</v>
      </c>
      <c r="HC381" s="5">
        <f>MIN(1,MAX(0,$HB$26-($A381-1)))</f>
        <v>0</v>
      </c>
      <c r="HD381" s="5">
        <f>$HB$25*(HC381+(1-HC381)*$HB$16)</f>
        <v>0.0</v>
      </c>
      <c r="HE381" s="13">
        <f>HD381*($HB$6+ACUTE_MARGIN)</f>
        <v>0.0</v>
      </c>
      <c r="HF381" s="13">
        <f>IF(HB381=1,$HB$31,$HB$32)</f>
        <v>152456.2970814058</v>
      </c>
      <c r="HG381" s="13">
        <f>HE381-HF381</f>
        <v>-152456.2970814058</v>
      </c>
      <c r="HH381" s="13">
        <f>HH380+HG381</f>
        <v>-7203005.90198664</v>
      </c>
      <c r="HI381">
        <f>IF(HH381=MAX($HH$83:$HH$483),$A381,0)</f>
        <v>0</v>
      </c>
      <c r="HJ381">
        <f>IF(HE381&lt;HF381,$A381,B_MAX+1)</f>
        <v>298</v>
      </c>
      <c r="HK381" s="13">
        <f>IF(HB381=1,$HB$35,$HB$36)</f>
        <v>0</v>
      </c>
      <c r="HL381" s="13">
        <f>OCC_DAYS*$HB$41*R_NF_2023-HD381*MCD_SHARE_FREED*R_WAIT_2023</f>
        <v>151980.48282209205</v>
      </c>
      <c r="HM381">
        <f>IF($A381&lt;=$HB$45,1,0)</f>
        <v>0</v>
      </c>
      <c r="IB381">
        <f>IF($IB$31&lt;=$IB$32,IF($A381&lt;=$IB$7,1,2),IF($A381&lt;=RUNG_BEDS_2,2,1))</f>
        <v>1</v>
      </c>
      <c r="IC381" s="5">
        <f>MIN(1,MAX(0,$IB$26-($A381-1)))</f>
        <v>0</v>
      </c>
      <c r="ID381" s="5">
        <f>$IB$25*(IC381+(1-IC381)*$IB$16)</f>
        <v>0.0</v>
      </c>
      <c r="IE381" s="13">
        <f>ID381*($IB$6+ACUTE_MARGIN)</f>
        <v>0.0</v>
      </c>
      <c r="IF381" s="13">
        <f>IF(IB381=1,$IB$31,$IB$32)</f>
        <v>152734.9994534971</v>
      </c>
      <c r="IG381" s="13">
        <f>IE381-IF381</f>
        <v>-152734.9994534971</v>
      </c>
      <c r="IH381" s="13">
        <f>IH380+IG381</f>
        <v>-7286059.208869893</v>
      </c>
      <c r="II381">
        <f>IF(IH381=MAX($IH$83:$IH$483),$A381,0)</f>
        <v>0</v>
      </c>
      <c r="IJ381">
        <f>IF(IE381&lt;IF381,$A381,B_MAX+1)</f>
        <v>298</v>
      </c>
      <c r="IK381" s="13">
        <f>IF(IB381=1,$IB$35,$IB$36)</f>
        <v>0</v>
      </c>
      <c r="IL381" s="13">
        <f>OCC_DAYS*$IB$41*R_NF_2023-ID381*MCD_SHARE_FREED*R_WAIT_2023</f>
        <v>151980.48282209205</v>
      </c>
      <c r="IM381">
        <f>IF($A381&lt;=$IB$45,1,0)</f>
        <v>0</v>
      </c>
      <c r="JB381">
        <f>IF($JB$31&lt;=$JB$32,IF($A381&lt;=$JB$7,1,2),IF($A381&lt;=RUNG_BEDS_2,2,1))</f>
        <v>1</v>
      </c>
      <c r="JC381" s="5">
        <f>MIN(1,MAX(0,$JB$26-($A381-1)))</f>
        <v>0</v>
      </c>
      <c r="JD381" s="5">
        <f>$JB$25*(JC381+(1-JC381)*$JB$16)</f>
        <v>0.0</v>
      </c>
      <c r="JE381" s="13">
        <f>JD381*($JB$6+ACUTE_MARGIN)</f>
        <v>0.0</v>
      </c>
      <c r="JF381" s="13">
        <f>IF(JB381=1,$JB$31,$JB$32)</f>
        <v>152394.16214437486</v>
      </c>
      <c r="JG381" s="13">
        <f>JE381-JF381</f>
        <v>-152394.16214437486</v>
      </c>
      <c r="JH381" s="13">
        <f>JH380+JG381</f>
        <v>-7184489.6907513775</v>
      </c>
      <c r="JI381">
        <f>IF(JH381=MAX($JH$83:$JH$483),$A381,0)</f>
        <v>0</v>
      </c>
      <c r="JJ381">
        <f>IF(JE381&lt;JF381,$A381,B_MAX+1)</f>
        <v>298</v>
      </c>
      <c r="JK381" s="13">
        <f>IF(JB381=1,$JB$35,$JB$36)</f>
        <v>0</v>
      </c>
      <c r="JL381" s="13">
        <f>OCC_DAYS*$JB$41*R_NF_2023-JD381*MCD_SHARE_FREED*R_WAIT_2023</f>
        <v>151980.48282209205</v>
      </c>
      <c r="JM381">
        <f>IF($A381&lt;=$JB$45,1,0)</f>
        <v>0</v>
      </c>
      <c r="KB381">
        <f>IF($KB$31&lt;=$KB$32,IF($A381&lt;=$KB$7,1,2),IF($A381&lt;=RUNG_BEDS_2,2,1))</f>
        <v>1</v>
      </c>
      <c r="KC381" s="5">
        <f>MIN(1,MAX(0,$KB$26-($A381-1)))</f>
        <v>1</v>
      </c>
      <c r="KD381" s="5">
        <f>$KB$25*(KC381+(1-KC381)*$KB$16)</f>
        <v>126.02661357340719</v>
      </c>
      <c r="KE381" s="13">
        <f>KD381*($KB$6+ACUTE_MARGIN)</f>
        <v>127286.87970914126</v>
      </c>
      <c r="KF381" s="13">
        <f>IF(KB381=1,$KB$31,$KB$32)</f>
        <v>152394.16214437486</v>
      </c>
      <c r="KG381" s="13">
        <f>KE381-KF381</f>
        <v>-25107.282435233603</v>
      </c>
      <c r="KH381" s="13">
        <f>KH380+KG381</f>
        <v>-7481970.165699639</v>
      </c>
      <c r="KI381">
        <f>IF(KH381=MAX($KH$83:$KH$483),$A381,0)</f>
        <v>0</v>
      </c>
      <c r="KJ381">
        <f>IF(KE381&lt;KF381,$A381,B_MAX+1)</f>
        <v>298</v>
      </c>
      <c r="KK381" s="13">
        <f>IF(KB381=1,$KB$35,$KB$36)</f>
        <v>0</v>
      </c>
      <c r="KL381" s="13">
        <f>OCC_DAYS*$KB$41*R_NF_2023-KD381*MCD_SHARE_FREED*R_WAIT_2023</f>
        <v>94673.82103225985</v>
      </c>
      <c r="KM381">
        <f>IF($A381&lt;=$KB$45,1,0)</f>
        <v>0</v>
      </c>
      <c r="LB381">
        <f>IF($LB$31&lt;=$LB$32,IF($A381&lt;=$LB$7,1,2),IF($A381&lt;=RUNG_BEDS_2,2,1))</f>
        <v>1</v>
      </c>
      <c r="LC381" s="5">
        <f>MIN(1,MAX(0,$LB$26-($A381-1)))</f>
        <v>1</v>
      </c>
      <c r="LD381" s="5">
        <f>$LB$25*(LC381+(1-LC381)*$LB$16)</f>
        <v>84.01774238227146</v>
      </c>
      <c r="LE381" s="13">
        <f>LD381*($LB$6+ACUTE_MARGIN)</f>
        <v>84857.91980609419</v>
      </c>
      <c r="LF381" s="13">
        <f>IF(LB381=1,$LB$31,$LB$32)</f>
        <v>152394.16214437486</v>
      </c>
      <c r="LG381" s="13">
        <f>LE381-LF381</f>
        <v>-67536.24233828067</v>
      </c>
      <c r="LH381" s="13">
        <f>LH380+LG381</f>
        <v>-20125800.216807745</v>
      </c>
      <c r="LI381">
        <f>IF(LH381=MAX($LH$83:$LH$483),$A381,0)</f>
        <v>0</v>
      </c>
      <c r="LJ381">
        <f>IF(LE381&lt;LF381,$A381,B_MAX+1)</f>
        <v>298</v>
      </c>
      <c r="LK381" s="13">
        <f>IF(LB381=1,$LB$35,$LB$36)</f>
        <v>0</v>
      </c>
      <c r="LL381" s="13">
        <f>OCC_DAYS*$LB$41*R_NF_2023-LD381*MCD_SHARE_FREED*R_WAIT_2023</f>
        <v>113776.04162887059</v>
      </c>
      <c r="LM381">
        <f>IF($A381&lt;=$LB$45,1,0)</f>
        <v>0</v>
      </c>
      <c r="MB381">
        <f>IF($MB$31&lt;=$MB$32,IF($A381&lt;=$MB$7,1,2),IF($A381&lt;=RUNG_BEDS_2,2,1))</f>
        <v>1</v>
      </c>
      <c r="MC381" s="5">
        <f>MIN(1,MAX(0,$MB$26-($A381-1)))</f>
        <v>0</v>
      </c>
      <c r="MD381" s="5">
        <f>$MB$25*(MC381+(1-MC381)*$MB$16)</f>
        <v>0.0</v>
      </c>
      <c r="ME381" s="13">
        <f>MD381*($MB$6+ACUTE_MARGIN)</f>
        <v>0.0</v>
      </c>
      <c r="MF381" s="13">
        <f>IF(MB381=1,$MB$31,$MB$32)</f>
        <v>152394.16214437486</v>
      </c>
      <c r="MG381" s="13">
        <f>ME381-MF381</f>
        <v>-152394.16214437486</v>
      </c>
      <c r="MH381" s="13">
        <f>MH380+MG381</f>
        <v>-13071765.752549686</v>
      </c>
      <c r="MI381">
        <f>IF(MH381=MAX($MH$83:$MH$483),$A381,0)</f>
        <v>0</v>
      </c>
      <c r="MJ381">
        <f>IF(ME381&lt;MF381,$A381,B_MAX+1)</f>
        <v>298</v>
      </c>
      <c r="MK381" s="13">
        <f>IF(MB381=1,$MB$35,$MB$36)</f>
        <v>0</v>
      </c>
      <c r="ML381" s="13">
        <f>OCC_DAYS*$MB$41*R_NF_2023-MD381*MCD_SHARE_FREED*R_WAIT_2023</f>
        <v>151980.48282209205</v>
      </c>
      <c r="MM381">
        <f>IF($A381&lt;=$MB$45,1,0)</f>
        <v>0</v>
      </c>
      <c r="NB381">
        <f>IF($NB$31&lt;=$NB$32,IF($A381&lt;=$NB$7,1,2),IF($A381&lt;=RUNG_BEDS_2,2,1))</f>
        <v>1</v>
      </c>
      <c r="NC381" s="5">
        <f>MIN(1,MAX(0,$NB$26-($A381-1)))</f>
        <v>0</v>
      </c>
      <c r="ND381" s="5">
        <f>$NB$25*(NC381+(1-NC381)*$NB$16)</f>
        <v>63.013306786703595</v>
      </c>
      <c r="NE381" s="13">
        <f>ND381*($NB$6+ACUTE_MARGIN)</f>
        <v>63643.43985457063</v>
      </c>
      <c r="NF381" s="13">
        <f>IF(NB381=1,$NB$31,$NB$32)</f>
        <v>152394.16214437486</v>
      </c>
      <c r="NG381" s="13">
        <f>NE381-NF381</f>
        <v>-88750.72228980422</v>
      </c>
      <c r="NH381" s="13">
        <f>NH380+NG381</f>
        <v>2224012.728842564</v>
      </c>
      <c r="NI381">
        <f>IF(NH381=MAX($NH$83:$NH$483),$A381,0)</f>
        <v>0</v>
      </c>
      <c r="NJ381">
        <f>IF(NE381&lt;NF381,$A381,B_MAX+1)</f>
        <v>298</v>
      </c>
      <c r="NK381" s="13">
        <f>IF(NB381=1,$NB$35,$NB$36)</f>
        <v>0</v>
      </c>
      <c r="NL381" s="13">
        <f>OCC_DAYS*$NB$41*R_NF_2023-ND381*MCD_SHARE_FREED*R_WAIT_2023</f>
        <v>123327.15192717595</v>
      </c>
      <c r="NM381">
        <f>IF($A381&lt;=$NB$45,1,0)</f>
        <v>0</v>
      </c>
      <c r="OB381">
        <f>IF($OB$31&lt;=$OB$32,IF($A381&lt;=$OB$7,1,2),IF($A381&lt;=RUNG_BEDS_2,2,1))</f>
        <v>1</v>
      </c>
      <c r="OC381" s="5">
        <f>MIN(1,MAX(0,$OB$26-($A381-1)))</f>
        <v>0</v>
      </c>
      <c r="OD381" s="5">
        <f>$OB$25*(OC381+(1-OC381)*$OB$16)</f>
        <v>126.02661357340719</v>
      </c>
      <c r="OE381" s="13">
        <f>OD381*($OB$6+ACUTE_MARGIN)</f>
        <v>127286.87970914126</v>
      </c>
      <c r="OF381" s="13">
        <f>IF(OB381=1,$OB$31,$OB$32)</f>
        <v>152394.16214437486</v>
      </c>
      <c r="OG381" s="13">
        <f>OE381-OF381</f>
        <v>-25107.282435233603</v>
      </c>
      <c r="OH381" s="13">
        <f>OH380+OG381</f>
        <v>11632515.148436692</v>
      </c>
      <c r="OI381">
        <f>IF(OH381=MAX($OH$83:$OH$483),$A381,0)</f>
        <v>0</v>
      </c>
      <c r="OJ381">
        <f>IF(OE381&lt;OF381,$A381,B_MAX+1)</f>
        <v>298</v>
      </c>
      <c r="OK381" s="13">
        <f>IF(OB381=1,$OB$35,$OB$36)</f>
        <v>0</v>
      </c>
      <c r="OL381" s="13">
        <f>OCC_DAYS*$OB$41*R_NF_2023-OD381*MCD_SHARE_FREED*R_WAIT_2023</f>
        <v>94673.82103225985</v>
      </c>
      <c r="OM381">
        <f>IF($A381&lt;=$OB$45,1,0)</f>
        <v>0</v>
      </c>
    </row>
    <row r="382">
      <c r="A382" t="n">
        <v>299</v>
      </c>
      <c r="B382">
        <f>IF($B$31&lt;=$B$32,IF($A382&lt;=$B$7,1,2),IF($A382&lt;=RUNG_BEDS_2,2,1))</f>
        <v>1</v>
      </c>
      <c r="C382" s="5">
        <f>MIN(1,MAX(0,$B$26-($A382-1)))</f>
        <v>0</v>
      </c>
      <c r="D382" s="5">
        <f>$B$25*(C382+(1-C382)*$B$16)</f>
        <v>0.0</v>
      </c>
      <c r="E382" s="13">
        <f>D382*($B$6+ACUTE_MARGIN)</f>
        <v>0.0</v>
      </c>
      <c r="F382" s="13">
        <f>IF(B382=1,$B$31,$B$32)</f>
        <v>152394.16214437486</v>
      </c>
      <c r="G382" s="13">
        <f>E382-F382</f>
        <v>-152394.16214437486</v>
      </c>
      <c r="H382" s="13">
        <f>H381+G382</f>
        <v>-7336883.8528957525</v>
      </c>
      <c r="I382">
        <f>IF(H382=MAX($H$83:$H$483),$A382,0)</f>
        <v>0</v>
      </c>
      <c r="J382">
        <f>IF(E382&lt;F382,$A382,B_MAX+1)</f>
        <v>299</v>
      </c>
      <c r="K382" s="13">
        <f>IF(B382=1,$B$35,$B$36)</f>
        <v>0</v>
      </c>
      <c r="L382" s="13">
        <f>OCC_DAYS*$B$41*R_NF_2023-D382*MCD_SHARE_FREED*R_WAIT_2023</f>
        <v>151980.48282209205</v>
      </c>
      <c r="M382">
        <f>IF($A382&lt;=$B$45,1,0)</f>
        <v>0</v>
      </c>
      <c r="AB382">
        <f>IF($AB$31&lt;=$AB$32,IF($A382&lt;=$AB$7,1,2),IF($A382&lt;=RUNG_BEDS_2,2,1))</f>
        <v>1</v>
      </c>
      <c r="AC382" s="5">
        <f>MIN(1,MAX(0,$AB$26-($A382-1)))</f>
        <v>0</v>
      </c>
      <c r="AD382" s="5">
        <f>$AB$25*(AC382+(1-AC382)*$AB$16)</f>
        <v>0.0</v>
      </c>
      <c r="AE382" s="13">
        <f>AD382*($AB$6+ACUTE_MARGIN)</f>
        <v>0.0</v>
      </c>
      <c r="AF382" s="13">
        <f>IF(AB382=1,$AB$31,$AB$32)</f>
        <v>152394.16214437486</v>
      </c>
      <c r="AG382" s="13">
        <f>AE382-AF382</f>
        <v>-152394.16214437486</v>
      </c>
      <c r="AH382" s="13">
        <f>AH381+AG382</f>
        <v>-24748098.198445495</v>
      </c>
      <c r="AI382">
        <f>IF(AH382=MAX($AH$83:$AH$483),$A382,0)</f>
        <v>0</v>
      </c>
      <c r="AJ382">
        <f>IF(AE382&lt;AF382,$A382,B_MAX+1)</f>
        <v>299</v>
      </c>
      <c r="AK382" s="13">
        <f>IF(AB382=1,$AB$35,$AB$36)</f>
        <v>0</v>
      </c>
      <c r="AL382" s="13">
        <f>OCC_DAYS*$AB$41*R_NF_2023-AD382*MCD_SHARE_FREED*R_WAIT_2023</f>
        <v>151980.48282209205</v>
      </c>
      <c r="AM382">
        <f>IF($A382&lt;=$AB$45,1,0)</f>
        <v>0</v>
      </c>
      <c r="BB382">
        <f>IF($BB$31&lt;=$BB$32,IF($A382&lt;=$BB$7,1,2),IF($A382&lt;=RUNG_BEDS_2,2,1))</f>
        <v>1</v>
      </c>
      <c r="BC382" s="5">
        <f>MIN(1,MAX(0,$BB$26-($A382-1)))</f>
        <v>0</v>
      </c>
      <c r="BD382" s="5">
        <f>$BB$25*(BC382+(1-BC382)*$BB$16)</f>
        <v>0.0</v>
      </c>
      <c r="BE382" s="13">
        <f>BD382*($BB$6+ACUTE_MARGIN)</f>
        <v>0.0</v>
      </c>
      <c r="BF382" s="13">
        <f>IF(BB382=1,$BB$31,$BB$32)</f>
        <v>152394.16214437486</v>
      </c>
      <c r="BG382" s="13">
        <f>BE382-BF382</f>
        <v>-152394.16214437486</v>
      </c>
      <c r="BH382" s="13">
        <f>BH381+BG382</f>
        <v>10074330.492654</v>
      </c>
      <c r="BI382">
        <f>IF(BH382=MAX($BH$83:$BH$483),$A382,0)</f>
        <v>0</v>
      </c>
      <c r="BJ382">
        <f>IF(BE382&lt;BF382,$A382,B_MAX+1)</f>
        <v>299</v>
      </c>
      <c r="BK382" s="13">
        <f>IF(BB382=1,$BB$35,$BB$36)</f>
        <v>0</v>
      </c>
      <c r="BL382" s="13">
        <f>OCC_DAYS*$BB$41*R_NF_2023-BD382*MCD_SHARE_FREED*R_WAIT_2023</f>
        <v>151980.48282209205</v>
      </c>
      <c r="BM382">
        <f>IF($A382&lt;=$BB$45,1,0)</f>
        <v>0</v>
      </c>
      <c r="CB382">
        <f>IF($CB$31&lt;=$CB$32,IF($A382&lt;=$CB$7,1,2),IF($A382&lt;=RUNG_BEDS_2,2,1))</f>
        <v>2</v>
      </c>
      <c r="CC382" s="5">
        <f>MIN(1,MAX(0,$CB$26-($A382-1)))</f>
        <v>0</v>
      </c>
      <c r="CD382" s="5">
        <f>$CB$25*(CC382+(1-CC382)*$CB$16)</f>
        <v>0.0</v>
      </c>
      <c r="CE382" s="13">
        <f>CD382*($CB$6+ACUTE_MARGIN)</f>
        <v>0.0</v>
      </c>
      <c r="CF382" s="13">
        <f>IF(CB382=1,$CB$31,$CB$32)</f>
        <v>160718.36940738867</v>
      </c>
      <c r="CG382" s="13">
        <f>CE382-CF382</f>
        <v>-160718.36940738867</v>
      </c>
      <c r="CH382" s="13">
        <f>CH381+CG382</f>
        <v>-9825821.82453699</v>
      </c>
      <c r="CI382">
        <f>IF(CH382=MAX($CH$83:$CH$483),$A382,0)</f>
        <v>0</v>
      </c>
      <c r="CJ382">
        <f>IF(CE382&lt;CF382,$A382,B_MAX+1)</f>
        <v>299</v>
      </c>
      <c r="CK382" s="13">
        <f>IF(CB382=1,$CB$35,$CB$36)</f>
        <v>1560.1194073886782</v>
      </c>
      <c r="CL382" s="13">
        <f>OCC_DAYS*$CB$41*R_NF_2023-CD382*MCD_SHARE_FREED*R_WAIT_2023</f>
        <v>151980.48282209205</v>
      </c>
      <c r="CM382">
        <f>IF($A382&lt;=$CB$45,1,0)</f>
        <v>0</v>
      </c>
      <c r="DB382">
        <f>IF($DB$31&lt;=$DB$32,IF($A382&lt;=$DB$7,1,2),IF($A382&lt;=RUNG_BEDS_2,2,1))</f>
        <v>1</v>
      </c>
      <c r="DC382" s="5">
        <f>MIN(1,MAX(0,$DB$26-($A382-1)))</f>
        <v>0</v>
      </c>
      <c r="DD382" s="5">
        <f>$DB$25*(DC382+(1-DC382)*$DB$16)</f>
        <v>0.0</v>
      </c>
      <c r="DE382" s="13">
        <f>DD382*($DB$6+ACUTE_MARGIN)</f>
        <v>0.0</v>
      </c>
      <c r="DF382" s="13">
        <f>IF(DB382=1,$DB$31,$DB$32)</f>
        <v>152394.16214437486</v>
      </c>
      <c r="DG382" s="13">
        <f>DE382-DF382</f>
        <v>-152394.16214437486</v>
      </c>
      <c r="DH382" s="13">
        <f>DH381+DG382</f>
        <v>-7336883.8528957525</v>
      </c>
      <c r="DI382">
        <f>IF(DH382=MAX($DH$83:$DH$483),$A382,0)</f>
        <v>0</v>
      </c>
      <c r="DJ382">
        <f>IF(DE382&lt;DF382,$A382,B_MAX+1)</f>
        <v>299</v>
      </c>
      <c r="DK382" s="13">
        <f>IF(DB382=1,$DB$35,$DB$36)</f>
        <v>0</v>
      </c>
      <c r="DL382" s="13">
        <f>OCC_DAYS*$DB$41*R_NF_2023-DD382*MCD_SHARE_FREED*R_WAIT_2023</f>
        <v>151980.48282209205</v>
      </c>
      <c r="DM382">
        <f>IF($A382&lt;=$DB$45,1,0)</f>
        <v>0</v>
      </c>
      <c r="EB382">
        <f>IF($EB$31&lt;=$EB$32,IF($A382&lt;=$EB$7,1,2),IF($A382&lt;=RUNG_BEDS_2,2,1))</f>
        <v>1</v>
      </c>
      <c r="EC382" s="5">
        <f>MIN(1,MAX(0,$EB$26-($A382-1)))</f>
        <v>0</v>
      </c>
      <c r="ED382" s="5">
        <f>$EB$25*(EC382+(1-EC382)*$EB$16)</f>
        <v>0.0</v>
      </c>
      <c r="EE382" s="13">
        <f>ED382*($EB$6+ACUTE_MARGIN)</f>
        <v>0.0</v>
      </c>
      <c r="EF382" s="13">
        <f>IF(EB382=1,$EB$31,$EB$32)</f>
        <v>152394.16214437486</v>
      </c>
      <c r="EG382" s="13">
        <f>EE382-EF382</f>
        <v>-152394.16214437486</v>
      </c>
      <c r="EH382" s="13">
        <f>EH381+EG382</f>
        <v>-7336883.8528957525</v>
      </c>
      <c r="EI382">
        <f>IF(EH382=MAX($EH$83:$EH$483),$A382,0)</f>
        <v>0</v>
      </c>
      <c r="EJ382">
        <f>IF(EE382&lt;EF382,$A382,B_MAX+1)</f>
        <v>299</v>
      </c>
      <c r="EK382" s="13">
        <f>IF(EB382=1,$EB$35,$EB$36)</f>
        <v>0</v>
      </c>
      <c r="EL382" s="13">
        <f>OCC_DAYS*$EB$41*R_NF_2023-ED382*MCD_SHARE_FREED*R_WAIT_2023</f>
        <v>50660.16094069735</v>
      </c>
      <c r="EM382">
        <f>IF($A382&lt;=$EB$45,1,0)</f>
        <v>0</v>
      </c>
      <c r="FB382">
        <f>IF($FB$31&lt;=$FB$32,IF($A382&lt;=$FB$7,1,2),IF($A382&lt;=RUNG_BEDS_2,2,1))</f>
        <v>1</v>
      </c>
      <c r="FC382" s="5">
        <f>MIN(1,MAX(0,$FB$26-($A382-1)))</f>
        <v>0</v>
      </c>
      <c r="FD382" s="5">
        <f>$FB$25*(FC382+(1-FC382)*$FB$16)</f>
        <v>0.0</v>
      </c>
      <c r="FE382" s="13">
        <f>FD382*($FB$6+ACUTE_MARGIN)</f>
        <v>0.0</v>
      </c>
      <c r="FF382" s="13">
        <f>IF(FB382=1,$FB$31,$FB$32)</f>
        <v>156636.04979437485</v>
      </c>
      <c r="FG382" s="13">
        <f>FE382-FF382</f>
        <v>-156636.04979437485</v>
      </c>
      <c r="FH382" s="13">
        <f>FH381+FG382</f>
        <v>-8605208.260245865</v>
      </c>
      <c r="FI382">
        <f>IF(FH382=MAX($FH$83:$FH$483),$A382,0)</f>
        <v>0</v>
      </c>
      <c r="FJ382">
        <f>IF(FE382&lt;FF382,$A382,B_MAX+1)</f>
        <v>299</v>
      </c>
      <c r="FK382" s="13">
        <f>IF(FB382=1,$FB$35,$FB$36)</f>
        <v>0</v>
      </c>
      <c r="FL382" s="13">
        <f>OCC_DAYS*$FB$41*R_NF_2023-FD382*MCD_SHARE_FREED*R_WAIT_2023</f>
        <v>151980.48282209205</v>
      </c>
      <c r="FM382">
        <f>IF($A382&lt;=$FB$45,1,0)</f>
        <v>0</v>
      </c>
      <c r="GB382">
        <f>IF($GB$31&lt;=$GB$32,IF($A382&lt;=$GB$7,1,2),IF($A382&lt;=RUNG_BEDS_2,2,1))</f>
        <v>1</v>
      </c>
      <c r="GC382" s="5">
        <f>MIN(1,MAX(0,$GB$26-($A382-1)))</f>
        <v>0</v>
      </c>
      <c r="GD382" s="5">
        <f>$GB$25*(GC382+(1-GC382)*$GB$16)</f>
        <v>0.0</v>
      </c>
      <c r="GE382" s="13">
        <f>GD382*($GB$6+ACUTE_MARGIN)</f>
        <v>0.0</v>
      </c>
      <c r="GF382" s="13">
        <f>IF(GB382=1,$GB$31,$GB$32)</f>
        <v>152394.16214437486</v>
      </c>
      <c r="GG382" s="13">
        <f>GE382-GF382</f>
        <v>-152394.16214437486</v>
      </c>
      <c r="GH382" s="13">
        <f>GH381+GG382</f>
        <v>-7336883.8528957525</v>
      </c>
      <c r="GI382">
        <f>IF(GH382=MAX($GH$83:$GH$483),$A382,0)</f>
        <v>0</v>
      </c>
      <c r="GJ382">
        <f>IF(GE382&lt;GF382,$A382,B_MAX+1)</f>
        <v>299</v>
      </c>
      <c r="GK382" s="13">
        <f>IF(GB382=1,$GB$35,$GB$36)</f>
        <v>0</v>
      </c>
      <c r="GL382" s="13">
        <f>OCC_DAYS*$GB$41*R_NF_2023-GD382*MCD_SHARE_FREED*R_WAIT_2023</f>
        <v>151980.48282209205</v>
      </c>
      <c r="GM382">
        <f>IF($A382&lt;=$GB$45,1,0)</f>
        <v>0</v>
      </c>
      <c r="HB382">
        <f>IF($HB$31&lt;=$HB$32,IF($A382&lt;=$HB$7,1,2),IF($A382&lt;=RUNG_BEDS_2,2,1))</f>
        <v>1</v>
      </c>
      <c r="HC382" s="5">
        <f>MIN(1,MAX(0,$HB$26-($A382-1)))</f>
        <v>0</v>
      </c>
      <c r="HD382" s="5">
        <f>$HB$25*(HC382+(1-HC382)*$HB$16)</f>
        <v>0.0</v>
      </c>
      <c r="HE382" s="13">
        <f>HD382*($HB$6+ACUTE_MARGIN)</f>
        <v>0.0</v>
      </c>
      <c r="HF382" s="13">
        <f>IF(HB382=1,$HB$31,$HB$32)</f>
        <v>152456.2970814058</v>
      </c>
      <c r="HG382" s="13">
        <f>HE382-HF382</f>
        <v>-152456.2970814058</v>
      </c>
      <c r="HH382" s="13">
        <f>HH381+HG382</f>
        <v>-7355462.199068046</v>
      </c>
      <c r="HI382">
        <f>IF(HH382=MAX($HH$83:$HH$483),$A382,0)</f>
        <v>0</v>
      </c>
      <c r="HJ382">
        <f>IF(HE382&lt;HF382,$A382,B_MAX+1)</f>
        <v>299</v>
      </c>
      <c r="HK382" s="13">
        <f>IF(HB382=1,$HB$35,$HB$36)</f>
        <v>0</v>
      </c>
      <c r="HL382" s="13">
        <f>OCC_DAYS*$HB$41*R_NF_2023-HD382*MCD_SHARE_FREED*R_WAIT_2023</f>
        <v>151980.48282209205</v>
      </c>
      <c r="HM382">
        <f>IF($A382&lt;=$HB$45,1,0)</f>
        <v>0</v>
      </c>
      <c r="IB382">
        <f>IF($IB$31&lt;=$IB$32,IF($A382&lt;=$IB$7,1,2),IF($A382&lt;=RUNG_BEDS_2,2,1))</f>
        <v>1</v>
      </c>
      <c r="IC382" s="5">
        <f>MIN(1,MAX(0,$IB$26-($A382-1)))</f>
        <v>0</v>
      </c>
      <c r="ID382" s="5">
        <f>$IB$25*(IC382+(1-IC382)*$IB$16)</f>
        <v>0.0</v>
      </c>
      <c r="IE382" s="13">
        <f>ID382*($IB$6+ACUTE_MARGIN)</f>
        <v>0.0</v>
      </c>
      <c r="IF382" s="13">
        <f>IF(IB382=1,$IB$31,$IB$32)</f>
        <v>152734.9994534971</v>
      </c>
      <c r="IG382" s="13">
        <f>IE382-IF382</f>
        <v>-152734.9994534971</v>
      </c>
      <c r="IH382" s="13">
        <f>IH381+IG382</f>
        <v>-7438794.20832339</v>
      </c>
      <c r="II382">
        <f>IF(IH382=MAX($IH$83:$IH$483),$A382,0)</f>
        <v>0</v>
      </c>
      <c r="IJ382">
        <f>IF(IE382&lt;IF382,$A382,B_MAX+1)</f>
        <v>299</v>
      </c>
      <c r="IK382" s="13">
        <f>IF(IB382=1,$IB$35,$IB$36)</f>
        <v>0</v>
      </c>
      <c r="IL382" s="13">
        <f>OCC_DAYS*$IB$41*R_NF_2023-ID382*MCD_SHARE_FREED*R_WAIT_2023</f>
        <v>151980.48282209205</v>
      </c>
      <c r="IM382">
        <f>IF($A382&lt;=$IB$45,1,0)</f>
        <v>0</v>
      </c>
      <c r="JB382">
        <f>IF($JB$31&lt;=$JB$32,IF($A382&lt;=$JB$7,1,2),IF($A382&lt;=RUNG_BEDS_2,2,1))</f>
        <v>1</v>
      </c>
      <c r="JC382" s="5">
        <f>MIN(1,MAX(0,$JB$26-($A382-1)))</f>
        <v>0</v>
      </c>
      <c r="JD382" s="5">
        <f>$JB$25*(JC382+(1-JC382)*$JB$16)</f>
        <v>0.0</v>
      </c>
      <c r="JE382" s="13">
        <f>JD382*($JB$6+ACUTE_MARGIN)</f>
        <v>0.0</v>
      </c>
      <c r="JF382" s="13">
        <f>IF(JB382=1,$JB$31,$JB$32)</f>
        <v>152394.16214437486</v>
      </c>
      <c r="JG382" s="13">
        <f>JE382-JF382</f>
        <v>-152394.16214437486</v>
      </c>
      <c r="JH382" s="13">
        <f>JH381+JG382</f>
        <v>-7336883.8528957525</v>
      </c>
      <c r="JI382">
        <f>IF(JH382=MAX($JH$83:$JH$483),$A382,0)</f>
        <v>0</v>
      </c>
      <c r="JJ382">
        <f>IF(JE382&lt;JF382,$A382,B_MAX+1)</f>
        <v>299</v>
      </c>
      <c r="JK382" s="13">
        <f>IF(JB382=1,$JB$35,$JB$36)</f>
        <v>0</v>
      </c>
      <c r="JL382" s="13">
        <f>OCC_DAYS*$JB$41*R_NF_2023-JD382*MCD_SHARE_FREED*R_WAIT_2023</f>
        <v>151980.48282209205</v>
      </c>
      <c r="JM382">
        <f>IF($A382&lt;=$JB$45,1,0)</f>
        <v>0</v>
      </c>
      <c r="KB382">
        <f>IF($KB$31&lt;=$KB$32,IF($A382&lt;=$KB$7,1,2),IF($A382&lt;=RUNG_BEDS_2,2,1))</f>
        <v>1</v>
      </c>
      <c r="KC382" s="5">
        <f>MIN(1,MAX(0,$KB$26-($A382-1)))</f>
        <v>1</v>
      </c>
      <c r="KD382" s="5">
        <f>$KB$25*(KC382+(1-KC382)*$KB$16)</f>
        <v>126.02661357340719</v>
      </c>
      <c r="KE382" s="13">
        <f>KD382*($KB$6+ACUTE_MARGIN)</f>
        <v>127286.87970914126</v>
      </c>
      <c r="KF382" s="13">
        <f>IF(KB382=1,$KB$31,$KB$32)</f>
        <v>152394.16214437486</v>
      </c>
      <c r="KG382" s="13">
        <f>KE382-KF382</f>
        <v>-25107.282435233603</v>
      </c>
      <c r="KH382" s="13">
        <f>KH381+KG382</f>
        <v>-7507077.448134873</v>
      </c>
      <c r="KI382">
        <f>IF(KH382=MAX($KH$83:$KH$483),$A382,0)</f>
        <v>0</v>
      </c>
      <c r="KJ382">
        <f>IF(KE382&lt;KF382,$A382,B_MAX+1)</f>
        <v>299</v>
      </c>
      <c r="KK382" s="13">
        <f>IF(KB382=1,$KB$35,$KB$36)</f>
        <v>0</v>
      </c>
      <c r="KL382" s="13">
        <f>OCC_DAYS*$KB$41*R_NF_2023-KD382*MCD_SHARE_FREED*R_WAIT_2023</f>
        <v>94673.82103225985</v>
      </c>
      <c r="KM382">
        <f>IF($A382&lt;=$KB$45,1,0)</f>
        <v>0</v>
      </c>
      <c r="LB382">
        <f>IF($LB$31&lt;=$LB$32,IF($A382&lt;=$LB$7,1,2),IF($A382&lt;=RUNG_BEDS_2,2,1))</f>
        <v>1</v>
      </c>
      <c r="LC382" s="5">
        <f>MIN(1,MAX(0,$LB$26-($A382-1)))</f>
        <v>1</v>
      </c>
      <c r="LD382" s="5">
        <f>$LB$25*(LC382+(1-LC382)*$LB$16)</f>
        <v>84.01774238227146</v>
      </c>
      <c r="LE382" s="13">
        <f>LD382*($LB$6+ACUTE_MARGIN)</f>
        <v>84857.91980609419</v>
      </c>
      <c r="LF382" s="13">
        <f>IF(LB382=1,$LB$31,$LB$32)</f>
        <v>152394.16214437486</v>
      </c>
      <c r="LG382" s="13">
        <f>LE382-LF382</f>
        <v>-67536.24233828067</v>
      </c>
      <c r="LH382" s="13">
        <f>LH381+LG382</f>
        <v>-20193336.459146027</v>
      </c>
      <c r="LI382">
        <f>IF(LH382=MAX($LH$83:$LH$483),$A382,0)</f>
        <v>0</v>
      </c>
      <c r="LJ382">
        <f>IF(LE382&lt;LF382,$A382,B_MAX+1)</f>
        <v>299</v>
      </c>
      <c r="LK382" s="13">
        <f>IF(LB382=1,$LB$35,$LB$36)</f>
        <v>0</v>
      </c>
      <c r="LL382" s="13">
        <f>OCC_DAYS*$LB$41*R_NF_2023-LD382*MCD_SHARE_FREED*R_WAIT_2023</f>
        <v>113776.04162887059</v>
      </c>
      <c r="LM382">
        <f>IF($A382&lt;=$LB$45,1,0)</f>
        <v>0</v>
      </c>
      <c r="MB382">
        <f>IF($MB$31&lt;=$MB$32,IF($A382&lt;=$MB$7,1,2),IF($A382&lt;=RUNG_BEDS_2,2,1))</f>
        <v>1</v>
      </c>
      <c r="MC382" s="5">
        <f>MIN(1,MAX(0,$MB$26-($A382-1)))</f>
        <v>0</v>
      </c>
      <c r="MD382" s="5">
        <f>$MB$25*(MC382+(1-MC382)*$MB$16)</f>
        <v>0.0</v>
      </c>
      <c r="ME382" s="13">
        <f>MD382*($MB$6+ACUTE_MARGIN)</f>
        <v>0.0</v>
      </c>
      <c r="MF382" s="13">
        <f>IF(MB382=1,$MB$31,$MB$32)</f>
        <v>152394.16214437486</v>
      </c>
      <c r="MG382" s="13">
        <f>ME382-MF382</f>
        <v>-152394.16214437486</v>
      </c>
      <c r="MH382" s="13">
        <f>MH381+MG382</f>
        <v>-13224159.91469406</v>
      </c>
      <c r="MI382">
        <f>IF(MH382=MAX($MH$83:$MH$483),$A382,0)</f>
        <v>0</v>
      </c>
      <c r="MJ382">
        <f>IF(ME382&lt;MF382,$A382,B_MAX+1)</f>
        <v>299</v>
      </c>
      <c r="MK382" s="13">
        <f>IF(MB382=1,$MB$35,$MB$36)</f>
        <v>0</v>
      </c>
      <c r="ML382" s="13">
        <f>OCC_DAYS*$MB$41*R_NF_2023-MD382*MCD_SHARE_FREED*R_WAIT_2023</f>
        <v>151980.48282209205</v>
      </c>
      <c r="MM382">
        <f>IF($A382&lt;=$MB$45,1,0)</f>
        <v>0</v>
      </c>
      <c r="NB382">
        <f>IF($NB$31&lt;=$NB$32,IF($A382&lt;=$NB$7,1,2),IF($A382&lt;=RUNG_BEDS_2,2,1))</f>
        <v>1</v>
      </c>
      <c r="NC382" s="5">
        <f>MIN(1,MAX(0,$NB$26-($A382-1)))</f>
        <v>0</v>
      </c>
      <c r="ND382" s="5">
        <f>$NB$25*(NC382+(1-NC382)*$NB$16)</f>
        <v>63.013306786703595</v>
      </c>
      <c r="NE382" s="13">
        <f>ND382*($NB$6+ACUTE_MARGIN)</f>
        <v>63643.43985457063</v>
      </c>
      <c r="NF382" s="13">
        <f>IF(NB382=1,$NB$31,$NB$32)</f>
        <v>152394.16214437486</v>
      </c>
      <c r="NG382" s="13">
        <f>NE382-NF382</f>
        <v>-88750.72228980422</v>
      </c>
      <c r="NH382" s="13">
        <f>NH381+NG382</f>
        <v>2135262.0065527596</v>
      </c>
      <c r="NI382">
        <f>IF(NH382=MAX($NH$83:$NH$483),$A382,0)</f>
        <v>0</v>
      </c>
      <c r="NJ382">
        <f>IF(NE382&lt;NF382,$A382,B_MAX+1)</f>
        <v>299</v>
      </c>
      <c r="NK382" s="13">
        <f>IF(NB382=1,$NB$35,$NB$36)</f>
        <v>0</v>
      </c>
      <c r="NL382" s="13">
        <f>OCC_DAYS*$NB$41*R_NF_2023-ND382*MCD_SHARE_FREED*R_WAIT_2023</f>
        <v>123327.15192717595</v>
      </c>
      <c r="NM382">
        <f>IF($A382&lt;=$NB$45,1,0)</f>
        <v>0</v>
      </c>
      <c r="OB382">
        <f>IF($OB$31&lt;=$OB$32,IF($A382&lt;=$OB$7,1,2),IF($A382&lt;=RUNG_BEDS_2,2,1))</f>
        <v>1</v>
      </c>
      <c r="OC382" s="5">
        <f>MIN(1,MAX(0,$OB$26-($A382-1)))</f>
        <v>0</v>
      </c>
      <c r="OD382" s="5">
        <f>$OB$25*(OC382+(1-OC382)*$OB$16)</f>
        <v>126.02661357340719</v>
      </c>
      <c r="OE382" s="13">
        <f>OD382*($OB$6+ACUTE_MARGIN)</f>
        <v>127286.87970914126</v>
      </c>
      <c r="OF382" s="13">
        <f>IF(OB382=1,$OB$31,$OB$32)</f>
        <v>152394.16214437486</v>
      </c>
      <c r="OG382" s="13">
        <f>OE382-OF382</f>
        <v>-25107.282435233603</v>
      </c>
      <c r="OH382" s="13">
        <f>OH381+OG382</f>
        <v>11607407.866001459</v>
      </c>
      <c r="OI382">
        <f>IF(OH382=MAX($OH$83:$OH$483),$A382,0)</f>
        <v>0</v>
      </c>
      <c r="OJ382">
        <f>IF(OE382&lt;OF382,$A382,B_MAX+1)</f>
        <v>299</v>
      </c>
      <c r="OK382" s="13">
        <f>IF(OB382=1,$OB$35,$OB$36)</f>
        <v>0</v>
      </c>
      <c r="OL382" s="13">
        <f>OCC_DAYS*$OB$41*R_NF_2023-OD382*MCD_SHARE_FREED*R_WAIT_2023</f>
        <v>94673.82103225985</v>
      </c>
      <c r="OM382">
        <f>IF($A382&lt;=$OB$45,1,0)</f>
        <v>0</v>
      </c>
    </row>
    <row r="383">
      <c r="A383" t="n">
        <v>300</v>
      </c>
      <c r="B383">
        <f>IF($B$31&lt;=$B$32,IF($A383&lt;=$B$7,1,2),IF($A383&lt;=RUNG_BEDS_2,2,1))</f>
        <v>1</v>
      </c>
      <c r="C383" s="5">
        <f>MIN(1,MAX(0,$B$26-($A383-1)))</f>
        <v>0</v>
      </c>
      <c r="D383" s="5">
        <f>$B$25*(C383+(1-C383)*$B$16)</f>
        <v>0.0</v>
      </c>
      <c r="E383" s="13">
        <f>D383*($B$6+ACUTE_MARGIN)</f>
        <v>0.0</v>
      </c>
      <c r="F383" s="13">
        <f>IF(B383=1,$B$31,$B$32)</f>
        <v>152394.16214437486</v>
      </c>
      <c r="G383" s="13">
        <f>E383-F383</f>
        <v>-152394.16214437486</v>
      </c>
      <c r="H383" s="13">
        <f>H382+G383</f>
        <v>-7489278.015040128</v>
      </c>
      <c r="I383">
        <f>IF(H383=MAX($H$83:$H$483),$A383,0)</f>
        <v>0</v>
      </c>
      <c r="J383">
        <f>IF(E383&lt;F383,$A383,B_MAX+1)</f>
        <v>300</v>
      </c>
      <c r="K383" s="13">
        <f>IF(B383=1,$B$35,$B$36)</f>
        <v>0</v>
      </c>
      <c r="L383" s="13">
        <f>OCC_DAYS*$B$41*R_NF_2023-D383*MCD_SHARE_FREED*R_WAIT_2023</f>
        <v>151980.48282209205</v>
      </c>
      <c r="M383">
        <f>IF($A383&lt;=$B$45,1,0)</f>
        <v>0</v>
      </c>
      <c r="AB383">
        <f>IF($AB$31&lt;=$AB$32,IF($A383&lt;=$AB$7,1,2),IF($A383&lt;=RUNG_BEDS_2,2,1))</f>
        <v>1</v>
      </c>
      <c r="AC383" s="5">
        <f>MIN(1,MAX(0,$AB$26-($A383-1)))</f>
        <v>0</v>
      </c>
      <c r="AD383" s="5">
        <f>$AB$25*(AC383+(1-AC383)*$AB$16)</f>
        <v>0.0</v>
      </c>
      <c r="AE383" s="13">
        <f>AD383*($AB$6+ACUTE_MARGIN)</f>
        <v>0.0</v>
      </c>
      <c r="AF383" s="13">
        <f>IF(AB383=1,$AB$31,$AB$32)</f>
        <v>152394.16214437486</v>
      </c>
      <c r="AG383" s="13">
        <f>AE383-AF383</f>
        <v>-152394.16214437486</v>
      </c>
      <c r="AH383" s="13">
        <f>AH382+AG383</f>
        <v>-24900492.36058987</v>
      </c>
      <c r="AI383">
        <f>IF(AH383=MAX($AH$83:$AH$483),$A383,0)</f>
        <v>0</v>
      </c>
      <c r="AJ383">
        <f>IF(AE383&lt;AF383,$A383,B_MAX+1)</f>
        <v>300</v>
      </c>
      <c r="AK383" s="13">
        <f>IF(AB383=1,$AB$35,$AB$36)</f>
        <v>0</v>
      </c>
      <c r="AL383" s="13">
        <f>OCC_DAYS*$AB$41*R_NF_2023-AD383*MCD_SHARE_FREED*R_WAIT_2023</f>
        <v>151980.48282209205</v>
      </c>
      <c r="AM383">
        <f>IF($A383&lt;=$AB$45,1,0)</f>
        <v>0</v>
      </c>
      <c r="BB383">
        <f>IF($BB$31&lt;=$BB$32,IF($A383&lt;=$BB$7,1,2),IF($A383&lt;=RUNG_BEDS_2,2,1))</f>
        <v>1</v>
      </c>
      <c r="BC383" s="5">
        <f>MIN(1,MAX(0,$BB$26-($A383-1)))</f>
        <v>0</v>
      </c>
      <c r="BD383" s="5">
        <f>$BB$25*(BC383+(1-BC383)*$BB$16)</f>
        <v>0.0</v>
      </c>
      <c r="BE383" s="13">
        <f>BD383*($BB$6+ACUTE_MARGIN)</f>
        <v>0.0</v>
      </c>
      <c r="BF383" s="13">
        <f>IF(BB383=1,$BB$31,$BB$32)</f>
        <v>152394.16214437486</v>
      </c>
      <c r="BG383" s="13">
        <f>BE383-BF383</f>
        <v>-152394.16214437486</v>
      </c>
      <c r="BH383" s="13">
        <f>BH382+BG383</f>
        <v>9921936.330509625</v>
      </c>
      <c r="BI383">
        <f>IF(BH383=MAX($BH$83:$BH$483),$A383,0)</f>
        <v>0</v>
      </c>
      <c r="BJ383">
        <f>IF(BE383&lt;BF383,$A383,B_MAX+1)</f>
        <v>300</v>
      </c>
      <c r="BK383" s="13">
        <f>IF(BB383=1,$BB$35,$BB$36)</f>
        <v>0</v>
      </c>
      <c r="BL383" s="13">
        <f>OCC_DAYS*$BB$41*R_NF_2023-BD383*MCD_SHARE_FREED*R_WAIT_2023</f>
        <v>151980.48282209205</v>
      </c>
      <c r="BM383">
        <f>IF($A383&lt;=$BB$45,1,0)</f>
        <v>0</v>
      </c>
      <c r="CB383">
        <f>IF($CB$31&lt;=$CB$32,IF($A383&lt;=$CB$7,1,2),IF($A383&lt;=RUNG_BEDS_2,2,1))</f>
        <v>2</v>
      </c>
      <c r="CC383" s="5">
        <f>MIN(1,MAX(0,$CB$26-($A383-1)))</f>
        <v>0</v>
      </c>
      <c r="CD383" s="5">
        <f>$CB$25*(CC383+(1-CC383)*$CB$16)</f>
        <v>0.0</v>
      </c>
      <c r="CE383" s="13">
        <f>CD383*($CB$6+ACUTE_MARGIN)</f>
        <v>0.0</v>
      </c>
      <c r="CF383" s="13">
        <f>IF(CB383=1,$CB$31,$CB$32)</f>
        <v>160718.36940738867</v>
      </c>
      <c r="CG383" s="13">
        <f>CE383-CF383</f>
        <v>-160718.36940738867</v>
      </c>
      <c r="CH383" s="13">
        <f>CH382+CG383</f>
        <v>-9986540.19394438</v>
      </c>
      <c r="CI383">
        <f>IF(CH383=MAX($CH$83:$CH$483),$A383,0)</f>
        <v>0</v>
      </c>
      <c r="CJ383">
        <f>IF(CE383&lt;CF383,$A383,B_MAX+1)</f>
        <v>300</v>
      </c>
      <c r="CK383" s="13">
        <f>IF(CB383=1,$CB$35,$CB$36)</f>
        <v>1560.1194073886782</v>
      </c>
      <c r="CL383" s="13">
        <f>OCC_DAYS*$CB$41*R_NF_2023-CD383*MCD_SHARE_FREED*R_WAIT_2023</f>
        <v>151980.48282209205</v>
      </c>
      <c r="CM383">
        <f>IF($A383&lt;=$CB$45,1,0)</f>
        <v>0</v>
      </c>
      <c r="DB383">
        <f>IF($DB$31&lt;=$DB$32,IF($A383&lt;=$DB$7,1,2),IF($A383&lt;=RUNG_BEDS_2,2,1))</f>
        <v>1</v>
      </c>
      <c r="DC383" s="5">
        <f>MIN(1,MAX(0,$DB$26-($A383-1)))</f>
        <v>0</v>
      </c>
      <c r="DD383" s="5">
        <f>$DB$25*(DC383+(1-DC383)*$DB$16)</f>
        <v>0.0</v>
      </c>
      <c r="DE383" s="13">
        <f>DD383*($DB$6+ACUTE_MARGIN)</f>
        <v>0.0</v>
      </c>
      <c r="DF383" s="13">
        <f>IF(DB383=1,$DB$31,$DB$32)</f>
        <v>152394.16214437486</v>
      </c>
      <c r="DG383" s="13">
        <f>DE383-DF383</f>
        <v>-152394.16214437486</v>
      </c>
      <c r="DH383" s="13">
        <f>DH382+DG383</f>
        <v>-7489278.015040128</v>
      </c>
      <c r="DI383">
        <f>IF(DH383=MAX($DH$83:$DH$483),$A383,0)</f>
        <v>0</v>
      </c>
      <c r="DJ383">
        <f>IF(DE383&lt;DF383,$A383,B_MAX+1)</f>
        <v>300</v>
      </c>
      <c r="DK383" s="13">
        <f>IF(DB383=1,$DB$35,$DB$36)</f>
        <v>0</v>
      </c>
      <c r="DL383" s="13">
        <f>OCC_DAYS*$DB$41*R_NF_2023-DD383*MCD_SHARE_FREED*R_WAIT_2023</f>
        <v>151980.48282209205</v>
      </c>
      <c r="DM383">
        <f>IF($A383&lt;=$DB$45,1,0)</f>
        <v>0</v>
      </c>
      <c r="EB383">
        <f>IF($EB$31&lt;=$EB$32,IF($A383&lt;=$EB$7,1,2),IF($A383&lt;=RUNG_BEDS_2,2,1))</f>
        <v>1</v>
      </c>
      <c r="EC383" s="5">
        <f>MIN(1,MAX(0,$EB$26-($A383-1)))</f>
        <v>0</v>
      </c>
      <c r="ED383" s="5">
        <f>$EB$25*(EC383+(1-EC383)*$EB$16)</f>
        <v>0.0</v>
      </c>
      <c r="EE383" s="13">
        <f>ED383*($EB$6+ACUTE_MARGIN)</f>
        <v>0.0</v>
      </c>
      <c r="EF383" s="13">
        <f>IF(EB383=1,$EB$31,$EB$32)</f>
        <v>152394.16214437486</v>
      </c>
      <c r="EG383" s="13">
        <f>EE383-EF383</f>
        <v>-152394.16214437486</v>
      </c>
      <c r="EH383" s="13">
        <f>EH382+EG383</f>
        <v>-7489278.015040128</v>
      </c>
      <c r="EI383">
        <f>IF(EH383=MAX($EH$83:$EH$483),$A383,0)</f>
        <v>0</v>
      </c>
      <c r="EJ383">
        <f>IF(EE383&lt;EF383,$A383,B_MAX+1)</f>
        <v>300</v>
      </c>
      <c r="EK383" s="13">
        <f>IF(EB383=1,$EB$35,$EB$36)</f>
        <v>0</v>
      </c>
      <c r="EL383" s="13">
        <f>OCC_DAYS*$EB$41*R_NF_2023-ED383*MCD_SHARE_FREED*R_WAIT_2023</f>
        <v>50660.16094069735</v>
      </c>
      <c r="EM383">
        <f>IF($A383&lt;=$EB$45,1,0)</f>
        <v>0</v>
      </c>
      <c r="FB383">
        <f>IF($FB$31&lt;=$FB$32,IF($A383&lt;=$FB$7,1,2),IF($A383&lt;=RUNG_BEDS_2,2,1))</f>
        <v>1</v>
      </c>
      <c r="FC383" s="5">
        <f>MIN(1,MAX(0,$FB$26-($A383-1)))</f>
        <v>0</v>
      </c>
      <c r="FD383" s="5">
        <f>$FB$25*(FC383+(1-FC383)*$FB$16)</f>
        <v>0.0</v>
      </c>
      <c r="FE383" s="13">
        <f>FD383*($FB$6+ACUTE_MARGIN)</f>
        <v>0.0</v>
      </c>
      <c r="FF383" s="13">
        <f>IF(FB383=1,$FB$31,$FB$32)</f>
        <v>156636.04979437485</v>
      </c>
      <c r="FG383" s="13">
        <f>FE383-FF383</f>
        <v>-156636.04979437485</v>
      </c>
      <c r="FH383" s="13">
        <f>FH382+FG383</f>
        <v>-8761844.31004024</v>
      </c>
      <c r="FI383">
        <f>IF(FH383=MAX($FH$83:$FH$483),$A383,0)</f>
        <v>0</v>
      </c>
      <c r="FJ383">
        <f>IF(FE383&lt;FF383,$A383,B_MAX+1)</f>
        <v>300</v>
      </c>
      <c r="FK383" s="13">
        <f>IF(FB383=1,$FB$35,$FB$36)</f>
        <v>0</v>
      </c>
      <c r="FL383" s="13">
        <f>OCC_DAYS*$FB$41*R_NF_2023-FD383*MCD_SHARE_FREED*R_WAIT_2023</f>
        <v>151980.48282209205</v>
      </c>
      <c r="FM383">
        <f>IF($A383&lt;=$FB$45,1,0)</f>
        <v>0</v>
      </c>
      <c r="GB383">
        <f>IF($GB$31&lt;=$GB$32,IF($A383&lt;=$GB$7,1,2),IF($A383&lt;=RUNG_BEDS_2,2,1))</f>
        <v>1</v>
      </c>
      <c r="GC383" s="5">
        <f>MIN(1,MAX(0,$GB$26-($A383-1)))</f>
        <v>0</v>
      </c>
      <c r="GD383" s="5">
        <f>$GB$25*(GC383+(1-GC383)*$GB$16)</f>
        <v>0.0</v>
      </c>
      <c r="GE383" s="13">
        <f>GD383*($GB$6+ACUTE_MARGIN)</f>
        <v>0.0</v>
      </c>
      <c r="GF383" s="13">
        <f>IF(GB383=1,$GB$31,$GB$32)</f>
        <v>152394.16214437486</v>
      </c>
      <c r="GG383" s="13">
        <f>GE383-GF383</f>
        <v>-152394.16214437486</v>
      </c>
      <c r="GH383" s="13">
        <f>GH382+GG383</f>
        <v>-7489278.015040128</v>
      </c>
      <c r="GI383">
        <f>IF(GH383=MAX($GH$83:$GH$483),$A383,0)</f>
        <v>0</v>
      </c>
      <c r="GJ383">
        <f>IF(GE383&lt;GF383,$A383,B_MAX+1)</f>
        <v>300</v>
      </c>
      <c r="GK383" s="13">
        <f>IF(GB383=1,$GB$35,$GB$36)</f>
        <v>0</v>
      </c>
      <c r="GL383" s="13">
        <f>OCC_DAYS*$GB$41*R_NF_2023-GD383*MCD_SHARE_FREED*R_WAIT_2023</f>
        <v>151980.48282209205</v>
      </c>
      <c r="GM383">
        <f>IF($A383&lt;=$GB$45,1,0)</f>
        <v>0</v>
      </c>
      <c r="HB383">
        <f>IF($HB$31&lt;=$HB$32,IF($A383&lt;=$HB$7,1,2),IF($A383&lt;=RUNG_BEDS_2,2,1))</f>
        <v>1</v>
      </c>
      <c r="HC383" s="5">
        <f>MIN(1,MAX(0,$HB$26-($A383-1)))</f>
        <v>0</v>
      </c>
      <c r="HD383" s="5">
        <f>$HB$25*(HC383+(1-HC383)*$HB$16)</f>
        <v>0.0</v>
      </c>
      <c r="HE383" s="13">
        <f>HD383*($HB$6+ACUTE_MARGIN)</f>
        <v>0.0</v>
      </c>
      <c r="HF383" s="13">
        <f>IF(HB383=1,$HB$31,$HB$32)</f>
        <v>152456.2970814058</v>
      </c>
      <c r="HG383" s="13">
        <f>HE383-HF383</f>
        <v>-152456.2970814058</v>
      </c>
      <c r="HH383" s="13">
        <f>HH382+HG383</f>
        <v>-7507918.496149452</v>
      </c>
      <c r="HI383">
        <f>IF(HH383=MAX($HH$83:$HH$483),$A383,0)</f>
        <v>0</v>
      </c>
      <c r="HJ383">
        <f>IF(HE383&lt;HF383,$A383,B_MAX+1)</f>
        <v>300</v>
      </c>
      <c r="HK383" s="13">
        <f>IF(HB383=1,$HB$35,$HB$36)</f>
        <v>0</v>
      </c>
      <c r="HL383" s="13">
        <f>OCC_DAYS*$HB$41*R_NF_2023-HD383*MCD_SHARE_FREED*R_WAIT_2023</f>
        <v>151980.48282209205</v>
      </c>
      <c r="HM383">
        <f>IF($A383&lt;=$HB$45,1,0)</f>
        <v>0</v>
      </c>
      <c r="IB383">
        <f>IF($IB$31&lt;=$IB$32,IF($A383&lt;=$IB$7,1,2),IF($A383&lt;=RUNG_BEDS_2,2,1))</f>
        <v>1</v>
      </c>
      <c r="IC383" s="5">
        <f>MIN(1,MAX(0,$IB$26-($A383-1)))</f>
        <v>0</v>
      </c>
      <c r="ID383" s="5">
        <f>$IB$25*(IC383+(1-IC383)*$IB$16)</f>
        <v>0.0</v>
      </c>
      <c r="IE383" s="13">
        <f>ID383*($IB$6+ACUTE_MARGIN)</f>
        <v>0.0</v>
      </c>
      <c r="IF383" s="13">
        <f>IF(IB383=1,$IB$31,$IB$32)</f>
        <v>152734.9994534971</v>
      </c>
      <c r="IG383" s="13">
        <f>IE383-IF383</f>
        <v>-152734.9994534971</v>
      </c>
      <c r="IH383" s="13">
        <f>IH382+IG383</f>
        <v>-7591529.207776887</v>
      </c>
      <c r="II383">
        <f>IF(IH383=MAX($IH$83:$IH$483),$A383,0)</f>
        <v>0</v>
      </c>
      <c r="IJ383">
        <f>IF(IE383&lt;IF383,$A383,B_MAX+1)</f>
        <v>300</v>
      </c>
      <c r="IK383" s="13">
        <f>IF(IB383=1,$IB$35,$IB$36)</f>
        <v>0</v>
      </c>
      <c r="IL383" s="13">
        <f>OCC_DAYS*$IB$41*R_NF_2023-ID383*MCD_SHARE_FREED*R_WAIT_2023</f>
        <v>151980.48282209205</v>
      </c>
      <c r="IM383">
        <f>IF($A383&lt;=$IB$45,1,0)</f>
        <v>0</v>
      </c>
      <c r="JB383">
        <f>IF($JB$31&lt;=$JB$32,IF($A383&lt;=$JB$7,1,2),IF($A383&lt;=RUNG_BEDS_2,2,1))</f>
        <v>1</v>
      </c>
      <c r="JC383" s="5">
        <f>MIN(1,MAX(0,$JB$26-($A383-1)))</f>
        <v>0</v>
      </c>
      <c r="JD383" s="5">
        <f>$JB$25*(JC383+(1-JC383)*$JB$16)</f>
        <v>0.0</v>
      </c>
      <c r="JE383" s="13">
        <f>JD383*($JB$6+ACUTE_MARGIN)</f>
        <v>0.0</v>
      </c>
      <c r="JF383" s="13">
        <f>IF(JB383=1,$JB$31,$JB$32)</f>
        <v>152394.16214437486</v>
      </c>
      <c r="JG383" s="13">
        <f>JE383-JF383</f>
        <v>-152394.16214437486</v>
      </c>
      <c r="JH383" s="13">
        <f>JH382+JG383</f>
        <v>-7489278.015040128</v>
      </c>
      <c r="JI383">
        <f>IF(JH383=MAX($JH$83:$JH$483),$A383,0)</f>
        <v>0</v>
      </c>
      <c r="JJ383">
        <f>IF(JE383&lt;JF383,$A383,B_MAX+1)</f>
        <v>300</v>
      </c>
      <c r="JK383" s="13">
        <f>IF(JB383=1,$JB$35,$JB$36)</f>
        <v>0</v>
      </c>
      <c r="JL383" s="13">
        <f>OCC_DAYS*$JB$41*R_NF_2023-JD383*MCD_SHARE_FREED*R_WAIT_2023</f>
        <v>151980.48282209205</v>
      </c>
      <c r="JM383">
        <f>IF($A383&lt;=$JB$45,1,0)</f>
        <v>0</v>
      </c>
      <c r="KB383">
        <f>IF($KB$31&lt;=$KB$32,IF($A383&lt;=$KB$7,1,2),IF($A383&lt;=RUNG_BEDS_2,2,1))</f>
        <v>1</v>
      </c>
      <c r="KC383" s="5">
        <f>MIN(1,MAX(0,$KB$26-($A383-1)))</f>
        <v>1</v>
      </c>
      <c r="KD383" s="5">
        <f>$KB$25*(KC383+(1-KC383)*$KB$16)</f>
        <v>126.02661357340719</v>
      </c>
      <c r="KE383" s="13">
        <f>KD383*($KB$6+ACUTE_MARGIN)</f>
        <v>127286.87970914126</v>
      </c>
      <c r="KF383" s="13">
        <f>IF(KB383=1,$KB$31,$KB$32)</f>
        <v>152394.16214437486</v>
      </c>
      <c r="KG383" s="13">
        <f>KE383-KF383</f>
        <v>-25107.282435233603</v>
      </c>
      <c r="KH383" s="13">
        <f>KH382+KG383</f>
        <v>-7532184.730570107</v>
      </c>
      <c r="KI383">
        <f>IF(KH383=MAX($KH$83:$KH$483),$A383,0)</f>
        <v>0</v>
      </c>
      <c r="KJ383">
        <f>IF(KE383&lt;KF383,$A383,B_MAX+1)</f>
        <v>300</v>
      </c>
      <c r="KK383" s="13">
        <f>IF(KB383=1,$KB$35,$KB$36)</f>
        <v>0</v>
      </c>
      <c r="KL383" s="13">
        <f>OCC_DAYS*$KB$41*R_NF_2023-KD383*MCD_SHARE_FREED*R_WAIT_2023</f>
        <v>94673.82103225985</v>
      </c>
      <c r="KM383">
        <f>IF($A383&lt;=$KB$45,1,0)</f>
        <v>0</v>
      </c>
      <c r="LB383">
        <f>IF($LB$31&lt;=$LB$32,IF($A383&lt;=$LB$7,1,2),IF($A383&lt;=RUNG_BEDS_2,2,1))</f>
        <v>1</v>
      </c>
      <c r="LC383" s="5">
        <f>MIN(1,MAX(0,$LB$26-($A383-1)))</f>
        <v>1</v>
      </c>
      <c r="LD383" s="5">
        <f>$LB$25*(LC383+(1-LC383)*$LB$16)</f>
        <v>84.01774238227146</v>
      </c>
      <c r="LE383" s="13">
        <f>LD383*($LB$6+ACUTE_MARGIN)</f>
        <v>84857.91980609419</v>
      </c>
      <c r="LF383" s="13">
        <f>IF(LB383=1,$LB$31,$LB$32)</f>
        <v>152394.16214437486</v>
      </c>
      <c r="LG383" s="13">
        <f>LE383-LF383</f>
        <v>-67536.24233828067</v>
      </c>
      <c r="LH383" s="13">
        <f>LH382+LG383</f>
        <v>-20260872.701484308</v>
      </c>
      <c r="LI383">
        <f>IF(LH383=MAX($LH$83:$LH$483),$A383,0)</f>
        <v>0</v>
      </c>
      <c r="LJ383">
        <f>IF(LE383&lt;LF383,$A383,B_MAX+1)</f>
        <v>300</v>
      </c>
      <c r="LK383" s="13">
        <f>IF(LB383=1,$LB$35,$LB$36)</f>
        <v>0</v>
      </c>
      <c r="LL383" s="13">
        <f>OCC_DAYS*$LB$41*R_NF_2023-LD383*MCD_SHARE_FREED*R_WAIT_2023</f>
        <v>113776.04162887059</v>
      </c>
      <c r="LM383">
        <f>IF($A383&lt;=$LB$45,1,0)</f>
        <v>0</v>
      </c>
      <c r="MB383">
        <f>IF($MB$31&lt;=$MB$32,IF($A383&lt;=$MB$7,1,2),IF($A383&lt;=RUNG_BEDS_2,2,1))</f>
        <v>1</v>
      </c>
      <c r="MC383" s="5">
        <f>MIN(1,MAX(0,$MB$26-($A383-1)))</f>
        <v>0</v>
      </c>
      <c r="MD383" s="5">
        <f>$MB$25*(MC383+(1-MC383)*$MB$16)</f>
        <v>0.0</v>
      </c>
      <c r="ME383" s="13">
        <f>MD383*($MB$6+ACUTE_MARGIN)</f>
        <v>0.0</v>
      </c>
      <c r="MF383" s="13">
        <f>IF(MB383=1,$MB$31,$MB$32)</f>
        <v>152394.16214437486</v>
      </c>
      <c r="MG383" s="13">
        <f>ME383-MF383</f>
        <v>-152394.16214437486</v>
      </c>
      <c r="MH383" s="13">
        <f>MH382+MG383</f>
        <v>-13376554.076838434</v>
      </c>
      <c r="MI383">
        <f>IF(MH383=MAX($MH$83:$MH$483),$A383,0)</f>
        <v>0</v>
      </c>
      <c r="MJ383">
        <f>IF(ME383&lt;MF383,$A383,B_MAX+1)</f>
        <v>300</v>
      </c>
      <c r="MK383" s="13">
        <f>IF(MB383=1,$MB$35,$MB$36)</f>
        <v>0</v>
      </c>
      <c r="ML383" s="13">
        <f>OCC_DAYS*$MB$41*R_NF_2023-MD383*MCD_SHARE_FREED*R_WAIT_2023</f>
        <v>151980.48282209205</v>
      </c>
      <c r="MM383">
        <f>IF($A383&lt;=$MB$45,1,0)</f>
        <v>0</v>
      </c>
      <c r="NB383">
        <f>IF($NB$31&lt;=$NB$32,IF($A383&lt;=$NB$7,1,2),IF($A383&lt;=RUNG_BEDS_2,2,1))</f>
        <v>1</v>
      </c>
      <c r="NC383" s="5">
        <f>MIN(1,MAX(0,$NB$26-($A383-1)))</f>
        <v>0</v>
      </c>
      <c r="ND383" s="5">
        <f>$NB$25*(NC383+(1-NC383)*$NB$16)</f>
        <v>63.013306786703595</v>
      </c>
      <c r="NE383" s="13">
        <f>ND383*($NB$6+ACUTE_MARGIN)</f>
        <v>63643.43985457063</v>
      </c>
      <c r="NF383" s="13">
        <f>IF(NB383=1,$NB$31,$NB$32)</f>
        <v>152394.16214437486</v>
      </c>
      <c r="NG383" s="13">
        <f>NE383-NF383</f>
        <v>-88750.72228980422</v>
      </c>
      <c r="NH383" s="13">
        <f>NH382+NG383</f>
        <v>2046511.2842629554</v>
      </c>
      <c r="NI383">
        <f>IF(NH383=MAX($NH$83:$NH$483),$A383,0)</f>
        <v>0</v>
      </c>
      <c r="NJ383">
        <f>IF(NE383&lt;NF383,$A383,B_MAX+1)</f>
        <v>300</v>
      </c>
      <c r="NK383" s="13">
        <f>IF(NB383=1,$NB$35,$NB$36)</f>
        <v>0</v>
      </c>
      <c r="NL383" s="13">
        <f>OCC_DAYS*$NB$41*R_NF_2023-ND383*MCD_SHARE_FREED*R_WAIT_2023</f>
        <v>123327.15192717595</v>
      </c>
      <c r="NM383">
        <f>IF($A383&lt;=$NB$45,1,0)</f>
        <v>0</v>
      </c>
      <c r="OB383">
        <f>IF($OB$31&lt;=$OB$32,IF($A383&lt;=$OB$7,1,2),IF($A383&lt;=RUNG_BEDS_2,2,1))</f>
        <v>1</v>
      </c>
      <c r="OC383" s="5">
        <f>MIN(1,MAX(0,$OB$26-($A383-1)))</f>
        <v>0</v>
      </c>
      <c r="OD383" s="5">
        <f>$OB$25*(OC383+(1-OC383)*$OB$16)</f>
        <v>126.02661357340719</v>
      </c>
      <c r="OE383" s="13">
        <f>OD383*($OB$6+ACUTE_MARGIN)</f>
        <v>127286.87970914126</v>
      </c>
      <c r="OF383" s="13">
        <f>IF(OB383=1,$OB$31,$OB$32)</f>
        <v>152394.16214437486</v>
      </c>
      <c r="OG383" s="13">
        <f>OE383-OF383</f>
        <v>-25107.282435233603</v>
      </c>
      <c r="OH383" s="13">
        <f>OH382+OG383</f>
        <v>11582300.583566226</v>
      </c>
      <c r="OI383">
        <f>IF(OH383=MAX($OH$83:$OH$483),$A383,0)</f>
        <v>0</v>
      </c>
      <c r="OJ383">
        <f>IF(OE383&lt;OF383,$A383,B_MAX+1)</f>
        <v>300</v>
      </c>
      <c r="OK383" s="13">
        <f>IF(OB383=1,$OB$35,$OB$36)</f>
        <v>0</v>
      </c>
      <c r="OL383" s="13">
        <f>OCC_DAYS*$OB$41*R_NF_2023-OD383*MCD_SHARE_FREED*R_WAIT_2023</f>
        <v>94673.82103225985</v>
      </c>
      <c r="OM383">
        <f>IF($A383&lt;=$OB$45,1,0)</f>
        <v>0</v>
      </c>
    </row>
    <row r="384">
      <c r="A384" t="n">
        <v>301</v>
      </c>
      <c r="B384">
        <f>IF($B$31&lt;=$B$32,IF($A384&lt;=$B$7,1,2),IF($A384&lt;=RUNG_BEDS_2,2,1))</f>
        <v>1</v>
      </c>
      <c r="C384" s="5">
        <f>MIN(1,MAX(0,$B$26-($A384-1)))</f>
        <v>0</v>
      </c>
      <c r="D384" s="5">
        <f>$B$25*(C384+(1-C384)*$B$16)</f>
        <v>0.0</v>
      </c>
      <c r="E384" s="13">
        <f>D384*($B$6+ACUTE_MARGIN)</f>
        <v>0.0</v>
      </c>
      <c r="F384" s="13">
        <f>IF(B384=1,$B$31,$B$32)</f>
        <v>152394.16214437486</v>
      </c>
      <c r="G384" s="13">
        <f>E384-F384</f>
        <v>-152394.16214437486</v>
      </c>
      <c r="H384" s="13">
        <f>H383+G384</f>
        <v>-7641672.177184503</v>
      </c>
      <c r="I384">
        <f>IF(H384=MAX($H$83:$H$483),$A384,0)</f>
        <v>0</v>
      </c>
      <c r="J384">
        <f>IF(E384&lt;F384,$A384,B_MAX+1)</f>
        <v>301</v>
      </c>
      <c r="K384" s="13">
        <f>IF(B384=1,$B$35,$B$36)</f>
        <v>0</v>
      </c>
      <c r="L384" s="13">
        <f>OCC_DAYS*$B$41*R_NF_2023-D384*MCD_SHARE_FREED*R_WAIT_2023</f>
        <v>151980.48282209205</v>
      </c>
      <c r="M384">
        <f>IF($A384&lt;=$B$45,1,0)</f>
        <v>0</v>
      </c>
      <c r="AB384">
        <f>IF($AB$31&lt;=$AB$32,IF($A384&lt;=$AB$7,1,2),IF($A384&lt;=RUNG_BEDS_2,2,1))</f>
        <v>1</v>
      </c>
      <c r="AC384" s="5">
        <f>MIN(1,MAX(0,$AB$26-($A384-1)))</f>
        <v>0</v>
      </c>
      <c r="AD384" s="5">
        <f>$AB$25*(AC384+(1-AC384)*$AB$16)</f>
        <v>0.0</v>
      </c>
      <c r="AE384" s="13">
        <f>AD384*($AB$6+ACUTE_MARGIN)</f>
        <v>0.0</v>
      </c>
      <c r="AF384" s="13">
        <f>IF(AB384=1,$AB$31,$AB$32)</f>
        <v>152394.16214437486</v>
      </c>
      <c r="AG384" s="13">
        <f>AE384-AF384</f>
        <v>-152394.16214437486</v>
      </c>
      <c r="AH384" s="13">
        <f>AH383+AG384</f>
        <v>-25052886.522734243</v>
      </c>
      <c r="AI384">
        <f>IF(AH384=MAX($AH$83:$AH$483),$A384,0)</f>
        <v>0</v>
      </c>
      <c r="AJ384">
        <f>IF(AE384&lt;AF384,$A384,B_MAX+1)</f>
        <v>301</v>
      </c>
      <c r="AK384" s="13">
        <f>IF(AB384=1,$AB$35,$AB$36)</f>
        <v>0</v>
      </c>
      <c r="AL384" s="13">
        <f>OCC_DAYS*$AB$41*R_NF_2023-AD384*MCD_SHARE_FREED*R_WAIT_2023</f>
        <v>151980.48282209205</v>
      </c>
      <c r="AM384">
        <f>IF($A384&lt;=$AB$45,1,0)</f>
        <v>0</v>
      </c>
      <c r="BB384">
        <f>IF($BB$31&lt;=$BB$32,IF($A384&lt;=$BB$7,1,2),IF($A384&lt;=RUNG_BEDS_2,2,1))</f>
        <v>1</v>
      </c>
      <c r="BC384" s="5">
        <f>MIN(1,MAX(0,$BB$26-($A384-1)))</f>
        <v>0</v>
      </c>
      <c r="BD384" s="5">
        <f>$BB$25*(BC384+(1-BC384)*$BB$16)</f>
        <v>0.0</v>
      </c>
      <c r="BE384" s="13">
        <f>BD384*($BB$6+ACUTE_MARGIN)</f>
        <v>0.0</v>
      </c>
      <c r="BF384" s="13">
        <f>IF(BB384=1,$BB$31,$BB$32)</f>
        <v>152394.16214437486</v>
      </c>
      <c r="BG384" s="13">
        <f>BE384-BF384</f>
        <v>-152394.16214437486</v>
      </c>
      <c r="BH384" s="13">
        <f>BH383+BG384</f>
        <v>9769542.168365251</v>
      </c>
      <c r="BI384">
        <f>IF(BH384=MAX($BH$83:$BH$483),$A384,0)</f>
        <v>0</v>
      </c>
      <c r="BJ384">
        <f>IF(BE384&lt;BF384,$A384,B_MAX+1)</f>
        <v>301</v>
      </c>
      <c r="BK384" s="13">
        <f>IF(BB384=1,$BB$35,$BB$36)</f>
        <v>0</v>
      </c>
      <c r="BL384" s="13">
        <f>OCC_DAYS*$BB$41*R_NF_2023-BD384*MCD_SHARE_FREED*R_WAIT_2023</f>
        <v>151980.48282209205</v>
      </c>
      <c r="BM384">
        <f>IF($A384&lt;=$BB$45,1,0)</f>
        <v>0</v>
      </c>
      <c r="CB384">
        <f>IF($CB$31&lt;=$CB$32,IF($A384&lt;=$CB$7,1,2),IF($A384&lt;=RUNG_BEDS_2,2,1))</f>
        <v>2</v>
      </c>
      <c r="CC384" s="5">
        <f>MIN(1,MAX(0,$CB$26-($A384-1)))</f>
        <v>0</v>
      </c>
      <c r="CD384" s="5">
        <f>$CB$25*(CC384+(1-CC384)*$CB$16)</f>
        <v>0.0</v>
      </c>
      <c r="CE384" s="13">
        <f>CD384*($CB$6+ACUTE_MARGIN)</f>
        <v>0.0</v>
      </c>
      <c r="CF384" s="13">
        <f>IF(CB384=1,$CB$31,$CB$32)</f>
        <v>160718.36940738867</v>
      </c>
      <c r="CG384" s="13">
        <f>CE384-CF384</f>
        <v>-160718.36940738867</v>
      </c>
      <c r="CH384" s="13">
        <f>CH383+CG384</f>
        <v>-10147258.563351769</v>
      </c>
      <c r="CI384">
        <f>IF(CH384=MAX($CH$83:$CH$483),$A384,0)</f>
        <v>0</v>
      </c>
      <c r="CJ384">
        <f>IF(CE384&lt;CF384,$A384,B_MAX+1)</f>
        <v>301</v>
      </c>
      <c r="CK384" s="13">
        <f>IF(CB384=1,$CB$35,$CB$36)</f>
        <v>1560.1194073886782</v>
      </c>
      <c r="CL384" s="13">
        <f>OCC_DAYS*$CB$41*R_NF_2023-CD384*MCD_SHARE_FREED*R_WAIT_2023</f>
        <v>151980.48282209205</v>
      </c>
      <c r="CM384">
        <f>IF($A384&lt;=$CB$45,1,0)</f>
        <v>0</v>
      </c>
      <c r="DB384">
        <f>IF($DB$31&lt;=$DB$32,IF($A384&lt;=$DB$7,1,2),IF($A384&lt;=RUNG_BEDS_2,2,1))</f>
        <v>1</v>
      </c>
      <c r="DC384" s="5">
        <f>MIN(1,MAX(0,$DB$26-($A384-1)))</f>
        <v>0</v>
      </c>
      <c r="DD384" s="5">
        <f>$DB$25*(DC384+(1-DC384)*$DB$16)</f>
        <v>0.0</v>
      </c>
      <c r="DE384" s="13">
        <f>DD384*($DB$6+ACUTE_MARGIN)</f>
        <v>0.0</v>
      </c>
      <c r="DF384" s="13">
        <f>IF(DB384=1,$DB$31,$DB$32)</f>
        <v>152394.16214437486</v>
      </c>
      <c r="DG384" s="13">
        <f>DE384-DF384</f>
        <v>-152394.16214437486</v>
      </c>
      <c r="DH384" s="13">
        <f>DH383+DG384</f>
        <v>-7641672.177184503</v>
      </c>
      <c r="DI384">
        <f>IF(DH384=MAX($DH$83:$DH$483),$A384,0)</f>
        <v>0</v>
      </c>
      <c r="DJ384">
        <f>IF(DE384&lt;DF384,$A384,B_MAX+1)</f>
        <v>301</v>
      </c>
      <c r="DK384" s="13">
        <f>IF(DB384=1,$DB$35,$DB$36)</f>
        <v>0</v>
      </c>
      <c r="DL384" s="13">
        <f>OCC_DAYS*$DB$41*R_NF_2023-DD384*MCD_SHARE_FREED*R_WAIT_2023</f>
        <v>151980.48282209205</v>
      </c>
      <c r="DM384">
        <f>IF($A384&lt;=$DB$45,1,0)</f>
        <v>0</v>
      </c>
      <c r="EB384">
        <f>IF($EB$31&lt;=$EB$32,IF($A384&lt;=$EB$7,1,2),IF($A384&lt;=RUNG_BEDS_2,2,1))</f>
        <v>1</v>
      </c>
      <c r="EC384" s="5">
        <f>MIN(1,MAX(0,$EB$26-($A384-1)))</f>
        <v>0</v>
      </c>
      <c r="ED384" s="5">
        <f>$EB$25*(EC384+(1-EC384)*$EB$16)</f>
        <v>0.0</v>
      </c>
      <c r="EE384" s="13">
        <f>ED384*($EB$6+ACUTE_MARGIN)</f>
        <v>0.0</v>
      </c>
      <c r="EF384" s="13">
        <f>IF(EB384=1,$EB$31,$EB$32)</f>
        <v>152394.16214437486</v>
      </c>
      <c r="EG384" s="13">
        <f>EE384-EF384</f>
        <v>-152394.16214437486</v>
      </c>
      <c r="EH384" s="13">
        <f>EH383+EG384</f>
        <v>-7641672.177184503</v>
      </c>
      <c r="EI384">
        <f>IF(EH384=MAX($EH$83:$EH$483),$A384,0)</f>
        <v>0</v>
      </c>
      <c r="EJ384">
        <f>IF(EE384&lt;EF384,$A384,B_MAX+1)</f>
        <v>301</v>
      </c>
      <c r="EK384" s="13">
        <f>IF(EB384=1,$EB$35,$EB$36)</f>
        <v>0</v>
      </c>
      <c r="EL384" s="13">
        <f>OCC_DAYS*$EB$41*R_NF_2023-ED384*MCD_SHARE_FREED*R_WAIT_2023</f>
        <v>50660.16094069735</v>
      </c>
      <c r="EM384">
        <f>IF($A384&lt;=$EB$45,1,0)</f>
        <v>0</v>
      </c>
      <c r="FB384">
        <f>IF($FB$31&lt;=$FB$32,IF($A384&lt;=$FB$7,1,2),IF($A384&lt;=RUNG_BEDS_2,2,1))</f>
        <v>1</v>
      </c>
      <c r="FC384" s="5">
        <f>MIN(1,MAX(0,$FB$26-($A384-1)))</f>
        <v>0</v>
      </c>
      <c r="FD384" s="5">
        <f>$FB$25*(FC384+(1-FC384)*$FB$16)</f>
        <v>0.0</v>
      </c>
      <c r="FE384" s="13">
        <f>FD384*($FB$6+ACUTE_MARGIN)</f>
        <v>0.0</v>
      </c>
      <c r="FF384" s="13">
        <f>IF(FB384=1,$FB$31,$FB$32)</f>
        <v>156636.04979437485</v>
      </c>
      <c r="FG384" s="13">
        <f>FE384-FF384</f>
        <v>-156636.04979437485</v>
      </c>
      <c r="FH384" s="13">
        <f>FH383+FG384</f>
        <v>-8918480.359834613</v>
      </c>
      <c r="FI384">
        <f>IF(FH384=MAX($FH$83:$FH$483),$A384,0)</f>
        <v>0</v>
      </c>
      <c r="FJ384">
        <f>IF(FE384&lt;FF384,$A384,B_MAX+1)</f>
        <v>301</v>
      </c>
      <c r="FK384" s="13">
        <f>IF(FB384=1,$FB$35,$FB$36)</f>
        <v>0</v>
      </c>
      <c r="FL384" s="13">
        <f>OCC_DAYS*$FB$41*R_NF_2023-FD384*MCD_SHARE_FREED*R_WAIT_2023</f>
        <v>151980.48282209205</v>
      </c>
      <c r="FM384">
        <f>IF($A384&lt;=$FB$45,1,0)</f>
        <v>0</v>
      </c>
      <c r="GB384">
        <f>IF($GB$31&lt;=$GB$32,IF($A384&lt;=$GB$7,1,2),IF($A384&lt;=RUNG_BEDS_2,2,1))</f>
        <v>1</v>
      </c>
      <c r="GC384" s="5">
        <f>MIN(1,MAX(0,$GB$26-($A384-1)))</f>
        <v>0</v>
      </c>
      <c r="GD384" s="5">
        <f>$GB$25*(GC384+(1-GC384)*$GB$16)</f>
        <v>0.0</v>
      </c>
      <c r="GE384" s="13">
        <f>GD384*($GB$6+ACUTE_MARGIN)</f>
        <v>0.0</v>
      </c>
      <c r="GF384" s="13">
        <f>IF(GB384=1,$GB$31,$GB$32)</f>
        <v>152394.16214437486</v>
      </c>
      <c r="GG384" s="13">
        <f>GE384-GF384</f>
        <v>-152394.16214437486</v>
      </c>
      <c r="GH384" s="13">
        <f>GH383+GG384</f>
        <v>-7641672.177184503</v>
      </c>
      <c r="GI384">
        <f>IF(GH384=MAX($GH$83:$GH$483),$A384,0)</f>
        <v>0</v>
      </c>
      <c r="GJ384">
        <f>IF(GE384&lt;GF384,$A384,B_MAX+1)</f>
        <v>301</v>
      </c>
      <c r="GK384" s="13">
        <f>IF(GB384=1,$GB$35,$GB$36)</f>
        <v>0</v>
      </c>
      <c r="GL384" s="13">
        <f>OCC_DAYS*$GB$41*R_NF_2023-GD384*MCD_SHARE_FREED*R_WAIT_2023</f>
        <v>151980.48282209205</v>
      </c>
      <c r="GM384">
        <f>IF($A384&lt;=$GB$45,1,0)</f>
        <v>0</v>
      </c>
      <c r="HB384">
        <f>IF($HB$31&lt;=$HB$32,IF($A384&lt;=$HB$7,1,2),IF($A384&lt;=RUNG_BEDS_2,2,1))</f>
        <v>1</v>
      </c>
      <c r="HC384" s="5">
        <f>MIN(1,MAX(0,$HB$26-($A384-1)))</f>
        <v>0</v>
      </c>
      <c r="HD384" s="5">
        <f>$HB$25*(HC384+(1-HC384)*$HB$16)</f>
        <v>0.0</v>
      </c>
      <c r="HE384" s="13">
        <f>HD384*($HB$6+ACUTE_MARGIN)</f>
        <v>0.0</v>
      </c>
      <c r="HF384" s="13">
        <f>IF(HB384=1,$HB$31,$HB$32)</f>
        <v>152456.2970814058</v>
      </c>
      <c r="HG384" s="13">
        <f>HE384-HF384</f>
        <v>-152456.2970814058</v>
      </c>
      <c r="HH384" s="13">
        <f>HH383+HG384</f>
        <v>-7660374.793230859</v>
      </c>
      <c r="HI384">
        <f>IF(HH384=MAX($HH$83:$HH$483),$A384,0)</f>
        <v>0</v>
      </c>
      <c r="HJ384">
        <f>IF(HE384&lt;HF384,$A384,B_MAX+1)</f>
        <v>301</v>
      </c>
      <c r="HK384" s="13">
        <f>IF(HB384=1,$HB$35,$HB$36)</f>
        <v>0</v>
      </c>
      <c r="HL384" s="13">
        <f>OCC_DAYS*$HB$41*R_NF_2023-HD384*MCD_SHARE_FREED*R_WAIT_2023</f>
        <v>151980.48282209205</v>
      </c>
      <c r="HM384">
        <f>IF($A384&lt;=$HB$45,1,0)</f>
        <v>0</v>
      </c>
      <c r="IB384">
        <f>IF($IB$31&lt;=$IB$32,IF($A384&lt;=$IB$7,1,2),IF($A384&lt;=RUNG_BEDS_2,2,1))</f>
        <v>1</v>
      </c>
      <c r="IC384" s="5">
        <f>MIN(1,MAX(0,$IB$26-($A384-1)))</f>
        <v>0</v>
      </c>
      <c r="ID384" s="5">
        <f>$IB$25*(IC384+(1-IC384)*$IB$16)</f>
        <v>0.0</v>
      </c>
      <c r="IE384" s="13">
        <f>ID384*($IB$6+ACUTE_MARGIN)</f>
        <v>0.0</v>
      </c>
      <c r="IF384" s="13">
        <f>IF(IB384=1,$IB$31,$IB$32)</f>
        <v>152734.9994534971</v>
      </c>
      <c r="IG384" s="13">
        <f>IE384-IF384</f>
        <v>-152734.9994534971</v>
      </c>
      <c r="IH384" s="13">
        <f>IH383+IG384</f>
        <v>-7744264.207230384</v>
      </c>
      <c r="II384">
        <f>IF(IH384=MAX($IH$83:$IH$483),$A384,0)</f>
        <v>0</v>
      </c>
      <c r="IJ384">
        <f>IF(IE384&lt;IF384,$A384,B_MAX+1)</f>
        <v>301</v>
      </c>
      <c r="IK384" s="13">
        <f>IF(IB384=1,$IB$35,$IB$36)</f>
        <v>0</v>
      </c>
      <c r="IL384" s="13">
        <f>OCC_DAYS*$IB$41*R_NF_2023-ID384*MCD_SHARE_FREED*R_WAIT_2023</f>
        <v>151980.48282209205</v>
      </c>
      <c r="IM384">
        <f>IF($A384&lt;=$IB$45,1,0)</f>
        <v>0</v>
      </c>
      <c r="JB384">
        <f>IF($JB$31&lt;=$JB$32,IF($A384&lt;=$JB$7,1,2),IF($A384&lt;=RUNG_BEDS_2,2,1))</f>
        <v>1</v>
      </c>
      <c r="JC384" s="5">
        <f>MIN(1,MAX(0,$JB$26-($A384-1)))</f>
        <v>0</v>
      </c>
      <c r="JD384" s="5">
        <f>$JB$25*(JC384+(1-JC384)*$JB$16)</f>
        <v>0.0</v>
      </c>
      <c r="JE384" s="13">
        <f>JD384*($JB$6+ACUTE_MARGIN)</f>
        <v>0.0</v>
      </c>
      <c r="JF384" s="13">
        <f>IF(JB384=1,$JB$31,$JB$32)</f>
        <v>152394.16214437486</v>
      </c>
      <c r="JG384" s="13">
        <f>JE384-JF384</f>
        <v>-152394.16214437486</v>
      </c>
      <c r="JH384" s="13">
        <f>JH383+JG384</f>
        <v>-7641672.177184503</v>
      </c>
      <c r="JI384">
        <f>IF(JH384=MAX($JH$83:$JH$483),$A384,0)</f>
        <v>0</v>
      </c>
      <c r="JJ384">
        <f>IF(JE384&lt;JF384,$A384,B_MAX+1)</f>
        <v>301</v>
      </c>
      <c r="JK384" s="13">
        <f>IF(JB384=1,$JB$35,$JB$36)</f>
        <v>0</v>
      </c>
      <c r="JL384" s="13">
        <f>OCC_DAYS*$JB$41*R_NF_2023-JD384*MCD_SHARE_FREED*R_WAIT_2023</f>
        <v>151980.48282209205</v>
      </c>
      <c r="JM384">
        <f>IF($A384&lt;=$JB$45,1,0)</f>
        <v>0</v>
      </c>
      <c r="KB384">
        <f>IF($KB$31&lt;=$KB$32,IF($A384&lt;=$KB$7,1,2),IF($A384&lt;=RUNG_BEDS_2,2,1))</f>
        <v>1</v>
      </c>
      <c r="KC384" s="5">
        <f>MIN(1,MAX(0,$KB$26-($A384-1)))</f>
        <v>0.33708671017717506</v>
      </c>
      <c r="KD384" s="5">
        <f>$KB$25*(KC384+(1-KC384)*$KB$16)</f>
        <v>42.48189656422995</v>
      </c>
      <c r="KE384" s="13">
        <f>KD384*($KB$6+ACUTE_MARGIN)</f>
        <v>42906.71552987225</v>
      </c>
      <c r="KF384" s="13">
        <f>IF(KB384=1,$KB$31,$KB$32)</f>
        <v>152394.16214437486</v>
      </c>
      <c r="KG384" s="13">
        <f>KE384-KF384</f>
        <v>-109487.44661450261</v>
      </c>
      <c r="KH384" s="13">
        <f>KH383+KG384</f>
        <v>-7641672.17718461</v>
      </c>
      <c r="KI384">
        <f>IF(KH384=MAX($KH$83:$KH$483),$A384,0)</f>
        <v>0</v>
      </c>
      <c r="KJ384">
        <f>IF(KE384&lt;KF384,$A384,B_MAX+1)</f>
        <v>301</v>
      </c>
      <c r="KK384" s="13">
        <f>IF(KB384=1,$KB$35,$KB$36)</f>
        <v>0</v>
      </c>
      <c r="KL384" s="13">
        <f>OCC_DAYS*$KB$41*R_NF_2023-KD384*MCD_SHARE_FREED*R_WAIT_2023</f>
        <v>132663.1687281215</v>
      </c>
      <c r="KM384">
        <f>IF($A384&lt;=$KB$45,1,0)</f>
        <v>0</v>
      </c>
      <c r="LB384">
        <f>IF($LB$31&lt;=$LB$32,IF($A384&lt;=$LB$7,1,2),IF($A384&lt;=RUNG_BEDS_2,2,1))</f>
        <v>1</v>
      </c>
      <c r="LC384" s="5">
        <f>MIN(1,MAX(0,$LB$26-($A384-1)))</f>
        <v>1</v>
      </c>
      <c r="LD384" s="5">
        <f>$LB$25*(LC384+(1-LC384)*$LB$16)</f>
        <v>84.01774238227146</v>
      </c>
      <c r="LE384" s="13">
        <f>LD384*($LB$6+ACUTE_MARGIN)</f>
        <v>84857.91980609419</v>
      </c>
      <c r="LF384" s="13">
        <f>IF(LB384=1,$LB$31,$LB$32)</f>
        <v>152394.16214437486</v>
      </c>
      <c r="LG384" s="13">
        <f>LE384-LF384</f>
        <v>-67536.24233828067</v>
      </c>
      <c r="LH384" s="13">
        <f>LH383+LG384</f>
        <v>-20328408.94382259</v>
      </c>
      <c r="LI384">
        <f>IF(LH384=MAX($LH$83:$LH$483),$A384,0)</f>
        <v>0</v>
      </c>
      <c r="LJ384">
        <f>IF(LE384&lt;LF384,$A384,B_MAX+1)</f>
        <v>301</v>
      </c>
      <c r="LK384" s="13">
        <f>IF(LB384=1,$LB$35,$LB$36)</f>
        <v>0</v>
      </c>
      <c r="LL384" s="13">
        <f>OCC_DAYS*$LB$41*R_NF_2023-LD384*MCD_SHARE_FREED*R_WAIT_2023</f>
        <v>113776.04162887059</v>
      </c>
      <c r="LM384">
        <f>IF($A384&lt;=$LB$45,1,0)</f>
        <v>0</v>
      </c>
      <c r="MB384">
        <f>IF($MB$31&lt;=$MB$32,IF($A384&lt;=$MB$7,1,2),IF($A384&lt;=RUNG_BEDS_2,2,1))</f>
        <v>1</v>
      </c>
      <c r="MC384" s="5">
        <f>MIN(1,MAX(0,$MB$26-($A384-1)))</f>
        <v>0</v>
      </c>
      <c r="MD384" s="5">
        <f>$MB$25*(MC384+(1-MC384)*$MB$16)</f>
        <v>0.0</v>
      </c>
      <c r="ME384" s="13">
        <f>MD384*($MB$6+ACUTE_MARGIN)</f>
        <v>0.0</v>
      </c>
      <c r="MF384" s="13">
        <f>IF(MB384=1,$MB$31,$MB$32)</f>
        <v>152394.16214437486</v>
      </c>
      <c r="MG384" s="13">
        <f>ME384-MF384</f>
        <v>-152394.16214437486</v>
      </c>
      <c r="MH384" s="13">
        <f>MH383+MG384</f>
        <v>-13528948.238982808</v>
      </c>
      <c r="MI384">
        <f>IF(MH384=MAX($MH$83:$MH$483),$A384,0)</f>
        <v>0</v>
      </c>
      <c r="MJ384">
        <f>IF(ME384&lt;MF384,$A384,B_MAX+1)</f>
        <v>301</v>
      </c>
      <c r="MK384" s="13">
        <f>IF(MB384=1,$MB$35,$MB$36)</f>
        <v>0</v>
      </c>
      <c r="ML384" s="13">
        <f>OCC_DAYS*$MB$41*R_NF_2023-MD384*MCD_SHARE_FREED*R_WAIT_2023</f>
        <v>151980.48282209205</v>
      </c>
      <c r="MM384">
        <f>IF($A384&lt;=$MB$45,1,0)</f>
        <v>0</v>
      </c>
      <c r="NB384">
        <f>IF($NB$31&lt;=$NB$32,IF($A384&lt;=$NB$7,1,2),IF($A384&lt;=RUNG_BEDS_2,2,1))</f>
        <v>1</v>
      </c>
      <c r="NC384" s="5">
        <f>MIN(1,MAX(0,$NB$26-($A384-1)))</f>
        <v>0</v>
      </c>
      <c r="ND384" s="5">
        <f>$NB$25*(NC384+(1-NC384)*$NB$16)</f>
        <v>63.013306786703595</v>
      </c>
      <c r="NE384" s="13">
        <f>ND384*($NB$6+ACUTE_MARGIN)</f>
        <v>63643.43985457063</v>
      </c>
      <c r="NF384" s="13">
        <f>IF(NB384=1,$NB$31,$NB$32)</f>
        <v>152394.16214437486</v>
      </c>
      <c r="NG384" s="13">
        <f>NE384-NF384</f>
        <v>-88750.72228980422</v>
      </c>
      <c r="NH384" s="13">
        <f>NH383+NG384</f>
        <v>1957760.5619731513</v>
      </c>
      <c r="NI384">
        <f>IF(NH384=MAX($NH$83:$NH$483),$A384,0)</f>
        <v>0</v>
      </c>
      <c r="NJ384">
        <f>IF(NE384&lt;NF384,$A384,B_MAX+1)</f>
        <v>301</v>
      </c>
      <c r="NK384" s="13">
        <f>IF(NB384=1,$NB$35,$NB$36)</f>
        <v>0</v>
      </c>
      <c r="NL384" s="13">
        <f>OCC_DAYS*$NB$41*R_NF_2023-ND384*MCD_SHARE_FREED*R_WAIT_2023</f>
        <v>123327.15192717595</v>
      </c>
      <c r="NM384">
        <f>IF($A384&lt;=$NB$45,1,0)</f>
        <v>0</v>
      </c>
      <c r="OB384">
        <f>IF($OB$31&lt;=$OB$32,IF($A384&lt;=$OB$7,1,2),IF($A384&lt;=RUNG_BEDS_2,2,1))</f>
        <v>1</v>
      </c>
      <c r="OC384" s="5">
        <f>MIN(1,MAX(0,$OB$26-($A384-1)))</f>
        <v>0</v>
      </c>
      <c r="OD384" s="5">
        <f>$OB$25*(OC384+(1-OC384)*$OB$16)</f>
        <v>126.02661357340719</v>
      </c>
      <c r="OE384" s="13">
        <f>OD384*($OB$6+ACUTE_MARGIN)</f>
        <v>127286.87970914126</v>
      </c>
      <c r="OF384" s="13">
        <f>IF(OB384=1,$OB$31,$OB$32)</f>
        <v>152394.16214437486</v>
      </c>
      <c r="OG384" s="13">
        <f>OE384-OF384</f>
        <v>-25107.282435233603</v>
      </c>
      <c r="OH384" s="13">
        <f>OH383+OG384</f>
        <v>11557193.301130993</v>
      </c>
      <c r="OI384">
        <f>IF(OH384=MAX($OH$83:$OH$483),$A384,0)</f>
        <v>0</v>
      </c>
      <c r="OJ384">
        <f>IF(OE384&lt;OF384,$A384,B_MAX+1)</f>
        <v>301</v>
      </c>
      <c r="OK384" s="13">
        <f>IF(OB384=1,$OB$35,$OB$36)</f>
        <v>0</v>
      </c>
      <c r="OL384" s="13">
        <f>OCC_DAYS*$OB$41*R_NF_2023-OD384*MCD_SHARE_FREED*R_WAIT_2023</f>
        <v>94673.82103225985</v>
      </c>
      <c r="OM384">
        <f>IF($A384&lt;=$OB$45,1,0)</f>
        <v>0</v>
      </c>
    </row>
    <row r="385">
      <c r="A385" t="n">
        <v>302</v>
      </c>
      <c r="B385">
        <f>IF($B$31&lt;=$B$32,IF($A385&lt;=$B$7,1,2),IF($A385&lt;=RUNG_BEDS_2,2,1))</f>
        <v>1</v>
      </c>
      <c r="C385" s="5">
        <f>MIN(1,MAX(0,$B$26-($A385-1)))</f>
        <v>0</v>
      </c>
      <c r="D385" s="5">
        <f>$B$25*(C385+(1-C385)*$B$16)</f>
        <v>0.0</v>
      </c>
      <c r="E385" s="13">
        <f>D385*($B$6+ACUTE_MARGIN)</f>
        <v>0.0</v>
      </c>
      <c r="F385" s="13">
        <f>IF(B385=1,$B$31,$B$32)</f>
        <v>152394.16214437486</v>
      </c>
      <c r="G385" s="13">
        <f>E385-F385</f>
        <v>-152394.16214437486</v>
      </c>
      <c r="H385" s="13">
        <f>H384+G385</f>
        <v>-7794066.339328878</v>
      </c>
      <c r="I385">
        <f>IF(H385=MAX($H$83:$H$483),$A385,0)</f>
        <v>0</v>
      </c>
      <c r="J385">
        <f>IF(E385&lt;F385,$A385,B_MAX+1)</f>
        <v>302</v>
      </c>
      <c r="K385" s="13">
        <f>IF(B385=1,$B$35,$B$36)</f>
        <v>0</v>
      </c>
      <c r="L385" s="13">
        <f>OCC_DAYS*$B$41*R_NF_2023-D385*MCD_SHARE_FREED*R_WAIT_2023</f>
        <v>151980.48282209205</v>
      </c>
      <c r="M385">
        <f>IF($A385&lt;=$B$45,1,0)</f>
        <v>0</v>
      </c>
      <c r="AB385">
        <f>IF($AB$31&lt;=$AB$32,IF($A385&lt;=$AB$7,1,2),IF($A385&lt;=RUNG_BEDS_2,2,1))</f>
        <v>1</v>
      </c>
      <c r="AC385" s="5">
        <f>MIN(1,MAX(0,$AB$26-($A385-1)))</f>
        <v>0</v>
      </c>
      <c r="AD385" s="5">
        <f>$AB$25*(AC385+(1-AC385)*$AB$16)</f>
        <v>0.0</v>
      </c>
      <c r="AE385" s="13">
        <f>AD385*($AB$6+ACUTE_MARGIN)</f>
        <v>0.0</v>
      </c>
      <c r="AF385" s="13">
        <f>IF(AB385=1,$AB$31,$AB$32)</f>
        <v>152394.16214437486</v>
      </c>
      <c r="AG385" s="13">
        <f>AE385-AF385</f>
        <v>-152394.16214437486</v>
      </c>
      <c r="AH385" s="13">
        <f>AH384+AG385</f>
        <v>-25205280.684878618</v>
      </c>
      <c r="AI385">
        <f>IF(AH385=MAX($AH$83:$AH$483),$A385,0)</f>
        <v>0</v>
      </c>
      <c r="AJ385">
        <f>IF(AE385&lt;AF385,$A385,B_MAX+1)</f>
        <v>302</v>
      </c>
      <c r="AK385" s="13">
        <f>IF(AB385=1,$AB$35,$AB$36)</f>
        <v>0</v>
      </c>
      <c r="AL385" s="13">
        <f>OCC_DAYS*$AB$41*R_NF_2023-AD385*MCD_SHARE_FREED*R_WAIT_2023</f>
        <v>151980.48282209205</v>
      </c>
      <c r="AM385">
        <f>IF($A385&lt;=$AB$45,1,0)</f>
        <v>0</v>
      </c>
      <c r="BB385">
        <f>IF($BB$31&lt;=$BB$32,IF($A385&lt;=$BB$7,1,2),IF($A385&lt;=RUNG_BEDS_2,2,1))</f>
        <v>1</v>
      </c>
      <c r="BC385" s="5">
        <f>MIN(1,MAX(0,$BB$26-($A385-1)))</f>
        <v>0</v>
      </c>
      <c r="BD385" s="5">
        <f>$BB$25*(BC385+(1-BC385)*$BB$16)</f>
        <v>0.0</v>
      </c>
      <c r="BE385" s="13">
        <f>BD385*($BB$6+ACUTE_MARGIN)</f>
        <v>0.0</v>
      </c>
      <c r="BF385" s="13">
        <f>IF(BB385=1,$BB$31,$BB$32)</f>
        <v>152394.16214437486</v>
      </c>
      <c r="BG385" s="13">
        <f>BE385-BF385</f>
        <v>-152394.16214437486</v>
      </c>
      <c r="BH385" s="13">
        <f>BH384+BG385</f>
        <v>9617148.006220877</v>
      </c>
      <c r="BI385">
        <f>IF(BH385=MAX($BH$83:$BH$483),$A385,0)</f>
        <v>0</v>
      </c>
      <c r="BJ385">
        <f>IF(BE385&lt;BF385,$A385,B_MAX+1)</f>
        <v>302</v>
      </c>
      <c r="BK385" s="13">
        <f>IF(BB385=1,$BB$35,$BB$36)</f>
        <v>0</v>
      </c>
      <c r="BL385" s="13">
        <f>OCC_DAYS*$BB$41*R_NF_2023-BD385*MCD_SHARE_FREED*R_WAIT_2023</f>
        <v>151980.48282209205</v>
      </c>
      <c r="BM385">
        <f>IF($A385&lt;=$BB$45,1,0)</f>
        <v>0</v>
      </c>
      <c r="CB385">
        <f>IF($CB$31&lt;=$CB$32,IF($A385&lt;=$CB$7,1,2),IF($A385&lt;=RUNG_BEDS_2,2,1))</f>
        <v>2</v>
      </c>
      <c r="CC385" s="5">
        <f>MIN(1,MAX(0,$CB$26-($A385-1)))</f>
        <v>0</v>
      </c>
      <c r="CD385" s="5">
        <f>$CB$25*(CC385+(1-CC385)*$CB$16)</f>
        <v>0.0</v>
      </c>
      <c r="CE385" s="13">
        <f>CD385*($CB$6+ACUTE_MARGIN)</f>
        <v>0.0</v>
      </c>
      <c r="CF385" s="13">
        <f>IF(CB385=1,$CB$31,$CB$32)</f>
        <v>160718.36940738867</v>
      </c>
      <c r="CG385" s="13">
        <f>CE385-CF385</f>
        <v>-160718.36940738867</v>
      </c>
      <c r="CH385" s="13">
        <f>CH384+CG385</f>
        <v>-10307976.932759158</v>
      </c>
      <c r="CI385">
        <f>IF(CH385=MAX($CH$83:$CH$483),$A385,0)</f>
        <v>0</v>
      </c>
      <c r="CJ385">
        <f>IF(CE385&lt;CF385,$A385,B_MAX+1)</f>
        <v>302</v>
      </c>
      <c r="CK385" s="13">
        <f>IF(CB385=1,$CB$35,$CB$36)</f>
        <v>1560.1194073886782</v>
      </c>
      <c r="CL385" s="13">
        <f>OCC_DAYS*$CB$41*R_NF_2023-CD385*MCD_SHARE_FREED*R_WAIT_2023</f>
        <v>151980.48282209205</v>
      </c>
      <c r="CM385">
        <f>IF($A385&lt;=$CB$45,1,0)</f>
        <v>0</v>
      </c>
      <c r="DB385">
        <f>IF($DB$31&lt;=$DB$32,IF($A385&lt;=$DB$7,1,2),IF($A385&lt;=RUNG_BEDS_2,2,1))</f>
        <v>1</v>
      </c>
      <c r="DC385" s="5">
        <f>MIN(1,MAX(0,$DB$26-($A385-1)))</f>
        <v>0</v>
      </c>
      <c r="DD385" s="5">
        <f>$DB$25*(DC385+(1-DC385)*$DB$16)</f>
        <v>0.0</v>
      </c>
      <c r="DE385" s="13">
        <f>DD385*($DB$6+ACUTE_MARGIN)</f>
        <v>0.0</v>
      </c>
      <c r="DF385" s="13">
        <f>IF(DB385=1,$DB$31,$DB$32)</f>
        <v>152394.16214437486</v>
      </c>
      <c r="DG385" s="13">
        <f>DE385-DF385</f>
        <v>-152394.16214437486</v>
      </c>
      <c r="DH385" s="13">
        <f>DH384+DG385</f>
        <v>-7794066.339328878</v>
      </c>
      <c r="DI385">
        <f>IF(DH385=MAX($DH$83:$DH$483),$A385,0)</f>
        <v>0</v>
      </c>
      <c r="DJ385">
        <f>IF(DE385&lt;DF385,$A385,B_MAX+1)</f>
        <v>302</v>
      </c>
      <c r="DK385" s="13">
        <f>IF(DB385=1,$DB$35,$DB$36)</f>
        <v>0</v>
      </c>
      <c r="DL385" s="13">
        <f>OCC_DAYS*$DB$41*R_NF_2023-DD385*MCD_SHARE_FREED*R_WAIT_2023</f>
        <v>151980.48282209205</v>
      </c>
      <c r="DM385">
        <f>IF($A385&lt;=$DB$45,1,0)</f>
        <v>0</v>
      </c>
      <c r="EB385">
        <f>IF($EB$31&lt;=$EB$32,IF($A385&lt;=$EB$7,1,2),IF($A385&lt;=RUNG_BEDS_2,2,1))</f>
        <v>1</v>
      </c>
      <c r="EC385" s="5">
        <f>MIN(1,MAX(0,$EB$26-($A385-1)))</f>
        <v>0</v>
      </c>
      <c r="ED385" s="5">
        <f>$EB$25*(EC385+(1-EC385)*$EB$16)</f>
        <v>0.0</v>
      </c>
      <c r="EE385" s="13">
        <f>ED385*($EB$6+ACUTE_MARGIN)</f>
        <v>0.0</v>
      </c>
      <c r="EF385" s="13">
        <f>IF(EB385=1,$EB$31,$EB$32)</f>
        <v>152394.16214437486</v>
      </c>
      <c r="EG385" s="13">
        <f>EE385-EF385</f>
        <v>-152394.16214437486</v>
      </c>
      <c r="EH385" s="13">
        <f>EH384+EG385</f>
        <v>-7794066.339328878</v>
      </c>
      <c r="EI385">
        <f>IF(EH385=MAX($EH$83:$EH$483),$A385,0)</f>
        <v>0</v>
      </c>
      <c r="EJ385">
        <f>IF(EE385&lt;EF385,$A385,B_MAX+1)</f>
        <v>302</v>
      </c>
      <c r="EK385" s="13">
        <f>IF(EB385=1,$EB$35,$EB$36)</f>
        <v>0</v>
      </c>
      <c r="EL385" s="13">
        <f>OCC_DAYS*$EB$41*R_NF_2023-ED385*MCD_SHARE_FREED*R_WAIT_2023</f>
        <v>50660.16094069735</v>
      </c>
      <c r="EM385">
        <f>IF($A385&lt;=$EB$45,1,0)</f>
        <v>0</v>
      </c>
      <c r="FB385">
        <f>IF($FB$31&lt;=$FB$32,IF($A385&lt;=$FB$7,1,2),IF($A385&lt;=RUNG_BEDS_2,2,1))</f>
        <v>1</v>
      </c>
      <c r="FC385" s="5">
        <f>MIN(1,MAX(0,$FB$26-($A385-1)))</f>
        <v>0</v>
      </c>
      <c r="FD385" s="5">
        <f>$FB$25*(FC385+(1-FC385)*$FB$16)</f>
        <v>0.0</v>
      </c>
      <c r="FE385" s="13">
        <f>FD385*($FB$6+ACUTE_MARGIN)</f>
        <v>0.0</v>
      </c>
      <c r="FF385" s="13">
        <f>IF(FB385=1,$FB$31,$FB$32)</f>
        <v>156636.04979437485</v>
      </c>
      <c r="FG385" s="13">
        <f>FE385-FF385</f>
        <v>-156636.04979437485</v>
      </c>
      <c r="FH385" s="13">
        <f>FH384+FG385</f>
        <v>-9075116.409628987</v>
      </c>
      <c r="FI385">
        <f>IF(FH385=MAX($FH$83:$FH$483),$A385,0)</f>
        <v>0</v>
      </c>
      <c r="FJ385">
        <f>IF(FE385&lt;FF385,$A385,B_MAX+1)</f>
        <v>302</v>
      </c>
      <c r="FK385" s="13">
        <f>IF(FB385=1,$FB$35,$FB$36)</f>
        <v>0</v>
      </c>
      <c r="FL385" s="13">
        <f>OCC_DAYS*$FB$41*R_NF_2023-FD385*MCD_SHARE_FREED*R_WAIT_2023</f>
        <v>151980.48282209205</v>
      </c>
      <c r="FM385">
        <f>IF($A385&lt;=$FB$45,1,0)</f>
        <v>0</v>
      </c>
      <c r="GB385">
        <f>IF($GB$31&lt;=$GB$32,IF($A385&lt;=$GB$7,1,2),IF($A385&lt;=RUNG_BEDS_2,2,1))</f>
        <v>1</v>
      </c>
      <c r="GC385" s="5">
        <f>MIN(1,MAX(0,$GB$26-($A385-1)))</f>
        <v>0</v>
      </c>
      <c r="GD385" s="5">
        <f>$GB$25*(GC385+(1-GC385)*$GB$16)</f>
        <v>0.0</v>
      </c>
      <c r="GE385" s="13">
        <f>GD385*($GB$6+ACUTE_MARGIN)</f>
        <v>0.0</v>
      </c>
      <c r="GF385" s="13">
        <f>IF(GB385=1,$GB$31,$GB$32)</f>
        <v>152394.16214437486</v>
      </c>
      <c r="GG385" s="13">
        <f>GE385-GF385</f>
        <v>-152394.16214437486</v>
      </c>
      <c r="GH385" s="13">
        <f>GH384+GG385</f>
        <v>-7794066.339328878</v>
      </c>
      <c r="GI385">
        <f>IF(GH385=MAX($GH$83:$GH$483),$A385,0)</f>
        <v>0</v>
      </c>
      <c r="GJ385">
        <f>IF(GE385&lt;GF385,$A385,B_MAX+1)</f>
        <v>302</v>
      </c>
      <c r="GK385" s="13">
        <f>IF(GB385=1,$GB$35,$GB$36)</f>
        <v>0</v>
      </c>
      <c r="GL385" s="13">
        <f>OCC_DAYS*$GB$41*R_NF_2023-GD385*MCD_SHARE_FREED*R_WAIT_2023</f>
        <v>151980.48282209205</v>
      </c>
      <c r="GM385">
        <f>IF($A385&lt;=$GB$45,1,0)</f>
        <v>0</v>
      </c>
      <c r="HB385">
        <f>IF($HB$31&lt;=$HB$32,IF($A385&lt;=$HB$7,1,2),IF($A385&lt;=RUNG_BEDS_2,2,1))</f>
        <v>1</v>
      </c>
      <c r="HC385" s="5">
        <f>MIN(1,MAX(0,$HB$26-($A385-1)))</f>
        <v>0</v>
      </c>
      <c r="HD385" s="5">
        <f>$HB$25*(HC385+(1-HC385)*$HB$16)</f>
        <v>0.0</v>
      </c>
      <c r="HE385" s="13">
        <f>HD385*($HB$6+ACUTE_MARGIN)</f>
        <v>0.0</v>
      </c>
      <c r="HF385" s="13">
        <f>IF(HB385=1,$HB$31,$HB$32)</f>
        <v>152456.2970814058</v>
      </c>
      <c r="HG385" s="13">
        <f>HE385-HF385</f>
        <v>-152456.2970814058</v>
      </c>
      <c r="HH385" s="13">
        <f>HH384+HG385</f>
        <v>-7812831.090312265</v>
      </c>
      <c r="HI385">
        <f>IF(HH385=MAX($HH$83:$HH$483),$A385,0)</f>
        <v>0</v>
      </c>
      <c r="HJ385">
        <f>IF(HE385&lt;HF385,$A385,B_MAX+1)</f>
        <v>302</v>
      </c>
      <c r="HK385" s="13">
        <f>IF(HB385=1,$HB$35,$HB$36)</f>
        <v>0</v>
      </c>
      <c r="HL385" s="13">
        <f>OCC_DAYS*$HB$41*R_NF_2023-HD385*MCD_SHARE_FREED*R_WAIT_2023</f>
        <v>151980.48282209205</v>
      </c>
      <c r="HM385">
        <f>IF($A385&lt;=$HB$45,1,0)</f>
        <v>0</v>
      </c>
      <c r="IB385">
        <f>IF($IB$31&lt;=$IB$32,IF($A385&lt;=$IB$7,1,2),IF($A385&lt;=RUNG_BEDS_2,2,1))</f>
        <v>1</v>
      </c>
      <c r="IC385" s="5">
        <f>MIN(1,MAX(0,$IB$26-($A385-1)))</f>
        <v>0</v>
      </c>
      <c r="ID385" s="5">
        <f>$IB$25*(IC385+(1-IC385)*$IB$16)</f>
        <v>0.0</v>
      </c>
      <c r="IE385" s="13">
        <f>ID385*($IB$6+ACUTE_MARGIN)</f>
        <v>0.0</v>
      </c>
      <c r="IF385" s="13">
        <f>IF(IB385=1,$IB$31,$IB$32)</f>
        <v>152734.9994534971</v>
      </c>
      <c r="IG385" s="13">
        <f>IE385-IF385</f>
        <v>-152734.9994534971</v>
      </c>
      <c r="IH385" s="13">
        <f>IH384+IG385</f>
        <v>-7896999.206683882</v>
      </c>
      <c r="II385">
        <f>IF(IH385=MAX($IH$83:$IH$483),$A385,0)</f>
        <v>0</v>
      </c>
      <c r="IJ385">
        <f>IF(IE385&lt;IF385,$A385,B_MAX+1)</f>
        <v>302</v>
      </c>
      <c r="IK385" s="13">
        <f>IF(IB385=1,$IB$35,$IB$36)</f>
        <v>0</v>
      </c>
      <c r="IL385" s="13">
        <f>OCC_DAYS*$IB$41*R_NF_2023-ID385*MCD_SHARE_FREED*R_WAIT_2023</f>
        <v>151980.48282209205</v>
      </c>
      <c r="IM385">
        <f>IF($A385&lt;=$IB$45,1,0)</f>
        <v>0</v>
      </c>
      <c r="JB385">
        <f>IF($JB$31&lt;=$JB$32,IF($A385&lt;=$JB$7,1,2),IF($A385&lt;=RUNG_BEDS_2,2,1))</f>
        <v>1</v>
      </c>
      <c r="JC385" s="5">
        <f>MIN(1,MAX(0,$JB$26-($A385-1)))</f>
        <v>0</v>
      </c>
      <c r="JD385" s="5">
        <f>$JB$25*(JC385+(1-JC385)*$JB$16)</f>
        <v>0.0</v>
      </c>
      <c r="JE385" s="13">
        <f>JD385*($JB$6+ACUTE_MARGIN)</f>
        <v>0.0</v>
      </c>
      <c r="JF385" s="13">
        <f>IF(JB385=1,$JB$31,$JB$32)</f>
        <v>152394.16214437486</v>
      </c>
      <c r="JG385" s="13">
        <f>JE385-JF385</f>
        <v>-152394.16214437486</v>
      </c>
      <c r="JH385" s="13">
        <f>JH384+JG385</f>
        <v>-7794066.339328878</v>
      </c>
      <c r="JI385">
        <f>IF(JH385=MAX($JH$83:$JH$483),$A385,0)</f>
        <v>0</v>
      </c>
      <c r="JJ385">
        <f>IF(JE385&lt;JF385,$A385,B_MAX+1)</f>
        <v>302</v>
      </c>
      <c r="JK385" s="13">
        <f>IF(JB385=1,$JB$35,$JB$36)</f>
        <v>0</v>
      </c>
      <c r="JL385" s="13">
        <f>OCC_DAYS*$JB$41*R_NF_2023-JD385*MCD_SHARE_FREED*R_WAIT_2023</f>
        <v>151980.48282209205</v>
      </c>
      <c r="JM385">
        <f>IF($A385&lt;=$JB$45,1,0)</f>
        <v>0</v>
      </c>
      <c r="KB385">
        <f>IF($KB$31&lt;=$KB$32,IF($A385&lt;=$KB$7,1,2),IF($A385&lt;=RUNG_BEDS_2,2,1))</f>
        <v>1</v>
      </c>
      <c r="KC385" s="5">
        <f>MIN(1,MAX(0,$KB$26-($A385-1)))</f>
        <v>0</v>
      </c>
      <c r="KD385" s="5">
        <f>$KB$25*(KC385+(1-KC385)*$KB$16)</f>
        <v>0.0</v>
      </c>
      <c r="KE385" s="13">
        <f>KD385*($KB$6+ACUTE_MARGIN)</f>
        <v>0.0</v>
      </c>
      <c r="KF385" s="13">
        <f>IF(KB385=1,$KB$31,$KB$32)</f>
        <v>152394.16214437486</v>
      </c>
      <c r="KG385" s="13">
        <f>KE385-KF385</f>
        <v>-152394.16214437486</v>
      </c>
      <c r="KH385" s="13">
        <f>KH384+KG385</f>
        <v>-7794066.339328985</v>
      </c>
      <c r="KI385">
        <f>IF(KH385=MAX($KH$83:$KH$483),$A385,0)</f>
        <v>0</v>
      </c>
      <c r="KJ385">
        <f>IF(KE385&lt;KF385,$A385,B_MAX+1)</f>
        <v>302</v>
      </c>
      <c r="KK385" s="13">
        <f>IF(KB385=1,$KB$35,$KB$36)</f>
        <v>0</v>
      </c>
      <c r="KL385" s="13">
        <f>OCC_DAYS*$KB$41*R_NF_2023-KD385*MCD_SHARE_FREED*R_WAIT_2023</f>
        <v>151980.48282209205</v>
      </c>
      <c r="KM385">
        <f>IF($A385&lt;=$KB$45,1,0)</f>
        <v>0</v>
      </c>
      <c r="LB385">
        <f>IF($LB$31&lt;=$LB$32,IF($A385&lt;=$LB$7,1,2),IF($A385&lt;=RUNG_BEDS_2,2,1))</f>
        <v>1</v>
      </c>
      <c r="LC385" s="5">
        <f>MIN(1,MAX(0,$LB$26-($A385-1)))</f>
        <v>1</v>
      </c>
      <c r="LD385" s="5">
        <f>$LB$25*(LC385+(1-LC385)*$LB$16)</f>
        <v>84.01774238227146</v>
      </c>
      <c r="LE385" s="13">
        <f>LD385*($LB$6+ACUTE_MARGIN)</f>
        <v>84857.91980609419</v>
      </c>
      <c r="LF385" s="13">
        <f>IF(LB385=1,$LB$31,$LB$32)</f>
        <v>152394.16214437486</v>
      </c>
      <c r="LG385" s="13">
        <f>LE385-LF385</f>
        <v>-67536.24233828067</v>
      </c>
      <c r="LH385" s="13">
        <f>LH384+LG385</f>
        <v>-20395945.18616087</v>
      </c>
      <c r="LI385">
        <f>IF(LH385=MAX($LH$83:$LH$483),$A385,0)</f>
        <v>0</v>
      </c>
      <c r="LJ385">
        <f>IF(LE385&lt;LF385,$A385,B_MAX+1)</f>
        <v>302</v>
      </c>
      <c r="LK385" s="13">
        <f>IF(LB385=1,$LB$35,$LB$36)</f>
        <v>0</v>
      </c>
      <c r="LL385" s="13">
        <f>OCC_DAYS*$LB$41*R_NF_2023-LD385*MCD_SHARE_FREED*R_WAIT_2023</f>
        <v>113776.04162887059</v>
      </c>
      <c r="LM385">
        <f>IF($A385&lt;=$LB$45,1,0)</f>
        <v>0</v>
      </c>
      <c r="MB385">
        <f>IF($MB$31&lt;=$MB$32,IF($A385&lt;=$MB$7,1,2),IF($A385&lt;=RUNG_BEDS_2,2,1))</f>
        <v>1</v>
      </c>
      <c r="MC385" s="5">
        <f>MIN(1,MAX(0,$MB$26-($A385-1)))</f>
        <v>0</v>
      </c>
      <c r="MD385" s="5">
        <f>$MB$25*(MC385+(1-MC385)*$MB$16)</f>
        <v>0.0</v>
      </c>
      <c r="ME385" s="13">
        <f>MD385*($MB$6+ACUTE_MARGIN)</f>
        <v>0.0</v>
      </c>
      <c r="MF385" s="13">
        <f>IF(MB385=1,$MB$31,$MB$32)</f>
        <v>152394.16214437486</v>
      </c>
      <c r="MG385" s="13">
        <f>ME385-MF385</f>
        <v>-152394.16214437486</v>
      </c>
      <c r="MH385" s="13">
        <f>MH384+MG385</f>
        <v>-13681342.401127182</v>
      </c>
      <c r="MI385">
        <f>IF(MH385=MAX($MH$83:$MH$483),$A385,0)</f>
        <v>0</v>
      </c>
      <c r="MJ385">
        <f>IF(ME385&lt;MF385,$A385,B_MAX+1)</f>
        <v>302</v>
      </c>
      <c r="MK385" s="13">
        <f>IF(MB385=1,$MB$35,$MB$36)</f>
        <v>0</v>
      </c>
      <c r="ML385" s="13">
        <f>OCC_DAYS*$MB$41*R_NF_2023-MD385*MCD_SHARE_FREED*R_WAIT_2023</f>
        <v>151980.48282209205</v>
      </c>
      <c r="MM385">
        <f>IF($A385&lt;=$MB$45,1,0)</f>
        <v>0</v>
      </c>
      <c r="NB385">
        <f>IF($NB$31&lt;=$NB$32,IF($A385&lt;=$NB$7,1,2),IF($A385&lt;=RUNG_BEDS_2,2,1))</f>
        <v>1</v>
      </c>
      <c r="NC385" s="5">
        <f>MIN(1,MAX(0,$NB$26-($A385-1)))</f>
        <v>0</v>
      </c>
      <c r="ND385" s="5">
        <f>$NB$25*(NC385+(1-NC385)*$NB$16)</f>
        <v>63.013306786703595</v>
      </c>
      <c r="NE385" s="13">
        <f>ND385*($NB$6+ACUTE_MARGIN)</f>
        <v>63643.43985457063</v>
      </c>
      <c r="NF385" s="13">
        <f>IF(NB385=1,$NB$31,$NB$32)</f>
        <v>152394.16214437486</v>
      </c>
      <c r="NG385" s="13">
        <f>NE385-NF385</f>
        <v>-88750.72228980422</v>
      </c>
      <c r="NH385" s="13">
        <f>NH384+NG385</f>
        <v>1869009.8396833471</v>
      </c>
      <c r="NI385">
        <f>IF(NH385=MAX($NH$83:$NH$483),$A385,0)</f>
        <v>0</v>
      </c>
      <c r="NJ385">
        <f>IF(NE385&lt;NF385,$A385,B_MAX+1)</f>
        <v>302</v>
      </c>
      <c r="NK385" s="13">
        <f>IF(NB385=1,$NB$35,$NB$36)</f>
        <v>0</v>
      </c>
      <c r="NL385" s="13">
        <f>OCC_DAYS*$NB$41*R_NF_2023-ND385*MCD_SHARE_FREED*R_WAIT_2023</f>
        <v>123327.15192717595</v>
      </c>
      <c r="NM385">
        <f>IF($A385&lt;=$NB$45,1,0)</f>
        <v>0</v>
      </c>
      <c r="OB385">
        <f>IF($OB$31&lt;=$OB$32,IF($A385&lt;=$OB$7,1,2),IF($A385&lt;=RUNG_BEDS_2,2,1))</f>
        <v>1</v>
      </c>
      <c r="OC385" s="5">
        <f>MIN(1,MAX(0,$OB$26-($A385-1)))</f>
        <v>0</v>
      </c>
      <c r="OD385" s="5">
        <f>$OB$25*(OC385+(1-OC385)*$OB$16)</f>
        <v>126.02661357340719</v>
      </c>
      <c r="OE385" s="13">
        <f>OD385*($OB$6+ACUTE_MARGIN)</f>
        <v>127286.87970914126</v>
      </c>
      <c r="OF385" s="13">
        <f>IF(OB385=1,$OB$31,$OB$32)</f>
        <v>152394.16214437486</v>
      </c>
      <c r="OG385" s="13">
        <f>OE385-OF385</f>
        <v>-25107.282435233603</v>
      </c>
      <c r="OH385" s="13">
        <f>OH384+OG385</f>
        <v>11532086.01869576</v>
      </c>
      <c r="OI385">
        <f>IF(OH385=MAX($OH$83:$OH$483),$A385,0)</f>
        <v>0</v>
      </c>
      <c r="OJ385">
        <f>IF(OE385&lt;OF385,$A385,B_MAX+1)</f>
        <v>302</v>
      </c>
      <c r="OK385" s="13">
        <f>IF(OB385=1,$OB$35,$OB$36)</f>
        <v>0</v>
      </c>
      <c r="OL385" s="13">
        <f>OCC_DAYS*$OB$41*R_NF_2023-OD385*MCD_SHARE_FREED*R_WAIT_2023</f>
        <v>94673.82103225985</v>
      </c>
      <c r="OM385">
        <f>IF($A385&lt;=$OB$45,1,0)</f>
        <v>0</v>
      </c>
    </row>
    <row r="386">
      <c r="A386" t="n">
        <v>303</v>
      </c>
      <c r="B386">
        <f>IF($B$31&lt;=$B$32,IF($A386&lt;=$B$7,1,2),IF($A386&lt;=RUNG_BEDS_2,2,1))</f>
        <v>1</v>
      </c>
      <c r="C386" s="5">
        <f>MIN(1,MAX(0,$B$26-($A386-1)))</f>
        <v>0</v>
      </c>
      <c r="D386" s="5">
        <f>$B$25*(C386+(1-C386)*$B$16)</f>
        <v>0.0</v>
      </c>
      <c r="E386" s="13">
        <f>D386*($B$6+ACUTE_MARGIN)</f>
        <v>0.0</v>
      </c>
      <c r="F386" s="13">
        <f>IF(B386=1,$B$31,$B$32)</f>
        <v>152394.16214437486</v>
      </c>
      <c r="G386" s="13">
        <f>E386-F386</f>
        <v>-152394.16214437486</v>
      </c>
      <c r="H386" s="13">
        <f>H385+G386</f>
        <v>-7946460.501473253</v>
      </c>
      <c r="I386">
        <f>IF(H386=MAX($H$83:$H$483),$A386,0)</f>
        <v>0</v>
      </c>
      <c r="J386">
        <f>IF(E386&lt;F386,$A386,B_MAX+1)</f>
        <v>303</v>
      </c>
      <c r="K386" s="13">
        <f>IF(B386=1,$B$35,$B$36)</f>
        <v>0</v>
      </c>
      <c r="L386" s="13">
        <f>OCC_DAYS*$B$41*R_NF_2023-D386*MCD_SHARE_FREED*R_WAIT_2023</f>
        <v>151980.48282209205</v>
      </c>
      <c r="M386">
        <f>IF($A386&lt;=$B$45,1,0)</f>
        <v>0</v>
      </c>
      <c r="AB386">
        <f>IF($AB$31&lt;=$AB$32,IF($A386&lt;=$AB$7,1,2),IF($A386&lt;=RUNG_BEDS_2,2,1))</f>
        <v>1</v>
      </c>
      <c r="AC386" s="5">
        <f>MIN(1,MAX(0,$AB$26-($A386-1)))</f>
        <v>0</v>
      </c>
      <c r="AD386" s="5">
        <f>$AB$25*(AC386+(1-AC386)*$AB$16)</f>
        <v>0.0</v>
      </c>
      <c r="AE386" s="13">
        <f>AD386*($AB$6+ACUTE_MARGIN)</f>
        <v>0.0</v>
      </c>
      <c r="AF386" s="13">
        <f>IF(AB386=1,$AB$31,$AB$32)</f>
        <v>152394.16214437486</v>
      </c>
      <c r="AG386" s="13">
        <f>AE386-AF386</f>
        <v>-152394.16214437486</v>
      </c>
      <c r="AH386" s="13">
        <f>AH385+AG386</f>
        <v>-25357674.84702299</v>
      </c>
      <c r="AI386">
        <f>IF(AH386=MAX($AH$83:$AH$483),$A386,0)</f>
        <v>0</v>
      </c>
      <c r="AJ386">
        <f>IF(AE386&lt;AF386,$A386,B_MAX+1)</f>
        <v>303</v>
      </c>
      <c r="AK386" s="13">
        <f>IF(AB386=1,$AB$35,$AB$36)</f>
        <v>0</v>
      </c>
      <c r="AL386" s="13">
        <f>OCC_DAYS*$AB$41*R_NF_2023-AD386*MCD_SHARE_FREED*R_WAIT_2023</f>
        <v>151980.48282209205</v>
      </c>
      <c r="AM386">
        <f>IF($A386&lt;=$AB$45,1,0)</f>
        <v>0</v>
      </c>
      <c r="BB386">
        <f>IF($BB$31&lt;=$BB$32,IF($A386&lt;=$BB$7,1,2),IF($A386&lt;=RUNG_BEDS_2,2,1))</f>
        <v>1</v>
      </c>
      <c r="BC386" s="5">
        <f>MIN(1,MAX(0,$BB$26-($A386-1)))</f>
        <v>0</v>
      </c>
      <c r="BD386" s="5">
        <f>$BB$25*(BC386+(1-BC386)*$BB$16)</f>
        <v>0.0</v>
      </c>
      <c r="BE386" s="13">
        <f>BD386*($BB$6+ACUTE_MARGIN)</f>
        <v>0.0</v>
      </c>
      <c r="BF386" s="13">
        <f>IF(BB386=1,$BB$31,$BB$32)</f>
        <v>152394.16214437486</v>
      </c>
      <c r="BG386" s="13">
        <f>BE386-BF386</f>
        <v>-152394.16214437486</v>
      </c>
      <c r="BH386" s="13">
        <f>BH385+BG386</f>
        <v>9464753.844076503</v>
      </c>
      <c r="BI386">
        <f>IF(BH386=MAX($BH$83:$BH$483),$A386,0)</f>
        <v>0</v>
      </c>
      <c r="BJ386">
        <f>IF(BE386&lt;BF386,$A386,B_MAX+1)</f>
        <v>303</v>
      </c>
      <c r="BK386" s="13">
        <f>IF(BB386=1,$BB$35,$BB$36)</f>
        <v>0</v>
      </c>
      <c r="BL386" s="13">
        <f>OCC_DAYS*$BB$41*R_NF_2023-BD386*MCD_SHARE_FREED*R_WAIT_2023</f>
        <v>151980.48282209205</v>
      </c>
      <c r="BM386">
        <f>IF($A386&lt;=$BB$45,1,0)</f>
        <v>0</v>
      </c>
      <c r="CB386">
        <f>IF($CB$31&lt;=$CB$32,IF($A386&lt;=$CB$7,1,2),IF($A386&lt;=RUNG_BEDS_2,2,1))</f>
        <v>2</v>
      </c>
      <c r="CC386" s="5">
        <f>MIN(1,MAX(0,$CB$26-($A386-1)))</f>
        <v>0</v>
      </c>
      <c r="CD386" s="5">
        <f>$CB$25*(CC386+(1-CC386)*$CB$16)</f>
        <v>0.0</v>
      </c>
      <c r="CE386" s="13">
        <f>CD386*($CB$6+ACUTE_MARGIN)</f>
        <v>0.0</v>
      </c>
      <c r="CF386" s="13">
        <f>IF(CB386=1,$CB$31,$CB$32)</f>
        <v>160718.36940738867</v>
      </c>
      <c r="CG386" s="13">
        <f>CE386-CF386</f>
        <v>-160718.36940738867</v>
      </c>
      <c r="CH386" s="13">
        <f>CH385+CG386</f>
        <v>-10468695.302166548</v>
      </c>
      <c r="CI386">
        <f>IF(CH386=MAX($CH$83:$CH$483),$A386,0)</f>
        <v>0</v>
      </c>
      <c r="CJ386">
        <f>IF(CE386&lt;CF386,$A386,B_MAX+1)</f>
        <v>303</v>
      </c>
      <c r="CK386" s="13">
        <f>IF(CB386=1,$CB$35,$CB$36)</f>
        <v>1560.1194073886782</v>
      </c>
      <c r="CL386" s="13">
        <f>OCC_DAYS*$CB$41*R_NF_2023-CD386*MCD_SHARE_FREED*R_WAIT_2023</f>
        <v>151980.48282209205</v>
      </c>
      <c r="CM386">
        <f>IF($A386&lt;=$CB$45,1,0)</f>
        <v>0</v>
      </c>
      <c r="DB386">
        <f>IF($DB$31&lt;=$DB$32,IF($A386&lt;=$DB$7,1,2),IF($A386&lt;=RUNG_BEDS_2,2,1))</f>
        <v>1</v>
      </c>
      <c r="DC386" s="5">
        <f>MIN(1,MAX(0,$DB$26-($A386-1)))</f>
        <v>0</v>
      </c>
      <c r="DD386" s="5">
        <f>$DB$25*(DC386+(1-DC386)*$DB$16)</f>
        <v>0.0</v>
      </c>
      <c r="DE386" s="13">
        <f>DD386*($DB$6+ACUTE_MARGIN)</f>
        <v>0.0</v>
      </c>
      <c r="DF386" s="13">
        <f>IF(DB386=1,$DB$31,$DB$32)</f>
        <v>152394.16214437486</v>
      </c>
      <c r="DG386" s="13">
        <f>DE386-DF386</f>
        <v>-152394.16214437486</v>
      </c>
      <c r="DH386" s="13">
        <f>DH385+DG386</f>
        <v>-7946460.501473253</v>
      </c>
      <c r="DI386">
        <f>IF(DH386=MAX($DH$83:$DH$483),$A386,0)</f>
        <v>0</v>
      </c>
      <c r="DJ386">
        <f>IF(DE386&lt;DF386,$A386,B_MAX+1)</f>
        <v>303</v>
      </c>
      <c r="DK386" s="13">
        <f>IF(DB386=1,$DB$35,$DB$36)</f>
        <v>0</v>
      </c>
      <c r="DL386" s="13">
        <f>OCC_DAYS*$DB$41*R_NF_2023-DD386*MCD_SHARE_FREED*R_WAIT_2023</f>
        <v>151980.48282209205</v>
      </c>
      <c r="DM386">
        <f>IF($A386&lt;=$DB$45,1,0)</f>
        <v>0</v>
      </c>
      <c r="EB386">
        <f>IF($EB$31&lt;=$EB$32,IF($A386&lt;=$EB$7,1,2),IF($A386&lt;=RUNG_BEDS_2,2,1))</f>
        <v>1</v>
      </c>
      <c r="EC386" s="5">
        <f>MIN(1,MAX(0,$EB$26-($A386-1)))</f>
        <v>0</v>
      </c>
      <c r="ED386" s="5">
        <f>$EB$25*(EC386+(1-EC386)*$EB$16)</f>
        <v>0.0</v>
      </c>
      <c r="EE386" s="13">
        <f>ED386*($EB$6+ACUTE_MARGIN)</f>
        <v>0.0</v>
      </c>
      <c r="EF386" s="13">
        <f>IF(EB386=1,$EB$31,$EB$32)</f>
        <v>152394.16214437486</v>
      </c>
      <c r="EG386" s="13">
        <f>EE386-EF386</f>
        <v>-152394.16214437486</v>
      </c>
      <c r="EH386" s="13">
        <f>EH385+EG386</f>
        <v>-7946460.501473253</v>
      </c>
      <c r="EI386">
        <f>IF(EH386=MAX($EH$83:$EH$483),$A386,0)</f>
        <v>0</v>
      </c>
      <c r="EJ386">
        <f>IF(EE386&lt;EF386,$A386,B_MAX+1)</f>
        <v>303</v>
      </c>
      <c r="EK386" s="13">
        <f>IF(EB386=1,$EB$35,$EB$36)</f>
        <v>0</v>
      </c>
      <c r="EL386" s="13">
        <f>OCC_DAYS*$EB$41*R_NF_2023-ED386*MCD_SHARE_FREED*R_WAIT_2023</f>
        <v>50660.16094069735</v>
      </c>
      <c r="EM386">
        <f>IF($A386&lt;=$EB$45,1,0)</f>
        <v>0</v>
      </c>
      <c r="FB386">
        <f>IF($FB$31&lt;=$FB$32,IF($A386&lt;=$FB$7,1,2),IF($A386&lt;=RUNG_BEDS_2,2,1))</f>
        <v>1</v>
      </c>
      <c r="FC386" s="5">
        <f>MIN(1,MAX(0,$FB$26-($A386-1)))</f>
        <v>0</v>
      </c>
      <c r="FD386" s="5">
        <f>$FB$25*(FC386+(1-FC386)*$FB$16)</f>
        <v>0.0</v>
      </c>
      <c r="FE386" s="13">
        <f>FD386*($FB$6+ACUTE_MARGIN)</f>
        <v>0.0</v>
      </c>
      <c r="FF386" s="13">
        <f>IF(FB386=1,$FB$31,$FB$32)</f>
        <v>156636.04979437485</v>
      </c>
      <c r="FG386" s="13">
        <f>FE386-FF386</f>
        <v>-156636.04979437485</v>
      </c>
      <c r="FH386" s="13">
        <f>FH385+FG386</f>
        <v>-9231752.459423361</v>
      </c>
      <c r="FI386">
        <f>IF(FH386=MAX($FH$83:$FH$483),$A386,0)</f>
        <v>0</v>
      </c>
      <c r="FJ386">
        <f>IF(FE386&lt;FF386,$A386,B_MAX+1)</f>
        <v>303</v>
      </c>
      <c r="FK386" s="13">
        <f>IF(FB386=1,$FB$35,$FB$36)</f>
        <v>0</v>
      </c>
      <c r="FL386" s="13">
        <f>OCC_DAYS*$FB$41*R_NF_2023-FD386*MCD_SHARE_FREED*R_WAIT_2023</f>
        <v>151980.48282209205</v>
      </c>
      <c r="FM386">
        <f>IF($A386&lt;=$FB$45,1,0)</f>
        <v>0</v>
      </c>
      <c r="GB386">
        <f>IF($GB$31&lt;=$GB$32,IF($A386&lt;=$GB$7,1,2),IF($A386&lt;=RUNG_BEDS_2,2,1))</f>
        <v>1</v>
      </c>
      <c r="GC386" s="5">
        <f>MIN(1,MAX(0,$GB$26-($A386-1)))</f>
        <v>0</v>
      </c>
      <c r="GD386" s="5">
        <f>$GB$25*(GC386+(1-GC386)*$GB$16)</f>
        <v>0.0</v>
      </c>
      <c r="GE386" s="13">
        <f>GD386*($GB$6+ACUTE_MARGIN)</f>
        <v>0.0</v>
      </c>
      <c r="GF386" s="13">
        <f>IF(GB386=1,$GB$31,$GB$32)</f>
        <v>152394.16214437486</v>
      </c>
      <c r="GG386" s="13">
        <f>GE386-GF386</f>
        <v>-152394.16214437486</v>
      </c>
      <c r="GH386" s="13">
        <f>GH385+GG386</f>
        <v>-7946460.501473253</v>
      </c>
      <c r="GI386">
        <f>IF(GH386=MAX($GH$83:$GH$483),$A386,0)</f>
        <v>0</v>
      </c>
      <c r="GJ386">
        <f>IF(GE386&lt;GF386,$A386,B_MAX+1)</f>
        <v>303</v>
      </c>
      <c r="GK386" s="13">
        <f>IF(GB386=1,$GB$35,$GB$36)</f>
        <v>0</v>
      </c>
      <c r="GL386" s="13">
        <f>OCC_DAYS*$GB$41*R_NF_2023-GD386*MCD_SHARE_FREED*R_WAIT_2023</f>
        <v>151980.48282209205</v>
      </c>
      <c r="GM386">
        <f>IF($A386&lt;=$GB$45,1,0)</f>
        <v>0</v>
      </c>
      <c r="HB386">
        <f>IF($HB$31&lt;=$HB$32,IF($A386&lt;=$HB$7,1,2),IF($A386&lt;=RUNG_BEDS_2,2,1))</f>
        <v>1</v>
      </c>
      <c r="HC386" s="5">
        <f>MIN(1,MAX(0,$HB$26-($A386-1)))</f>
        <v>0</v>
      </c>
      <c r="HD386" s="5">
        <f>$HB$25*(HC386+(1-HC386)*$HB$16)</f>
        <v>0.0</v>
      </c>
      <c r="HE386" s="13">
        <f>HD386*($HB$6+ACUTE_MARGIN)</f>
        <v>0.0</v>
      </c>
      <c r="HF386" s="13">
        <f>IF(HB386=1,$HB$31,$HB$32)</f>
        <v>152456.2970814058</v>
      </c>
      <c r="HG386" s="13">
        <f>HE386-HF386</f>
        <v>-152456.2970814058</v>
      </c>
      <c r="HH386" s="13">
        <f>HH385+HG386</f>
        <v>-7965287.387393671</v>
      </c>
      <c r="HI386">
        <f>IF(HH386=MAX($HH$83:$HH$483),$A386,0)</f>
        <v>0</v>
      </c>
      <c r="HJ386">
        <f>IF(HE386&lt;HF386,$A386,B_MAX+1)</f>
        <v>303</v>
      </c>
      <c r="HK386" s="13">
        <f>IF(HB386=1,$HB$35,$HB$36)</f>
        <v>0</v>
      </c>
      <c r="HL386" s="13">
        <f>OCC_DAYS*$HB$41*R_NF_2023-HD386*MCD_SHARE_FREED*R_WAIT_2023</f>
        <v>151980.48282209205</v>
      </c>
      <c r="HM386">
        <f>IF($A386&lt;=$HB$45,1,0)</f>
        <v>0</v>
      </c>
      <c r="IB386">
        <f>IF($IB$31&lt;=$IB$32,IF($A386&lt;=$IB$7,1,2),IF($A386&lt;=RUNG_BEDS_2,2,1))</f>
        <v>1</v>
      </c>
      <c r="IC386" s="5">
        <f>MIN(1,MAX(0,$IB$26-($A386-1)))</f>
        <v>0</v>
      </c>
      <c r="ID386" s="5">
        <f>$IB$25*(IC386+(1-IC386)*$IB$16)</f>
        <v>0.0</v>
      </c>
      <c r="IE386" s="13">
        <f>ID386*($IB$6+ACUTE_MARGIN)</f>
        <v>0.0</v>
      </c>
      <c r="IF386" s="13">
        <f>IF(IB386=1,$IB$31,$IB$32)</f>
        <v>152734.9994534971</v>
      </c>
      <c r="IG386" s="13">
        <f>IE386-IF386</f>
        <v>-152734.9994534971</v>
      </c>
      <c r="IH386" s="13">
        <f>IH385+IG386</f>
        <v>-8049734.206137379</v>
      </c>
      <c r="II386">
        <f>IF(IH386=MAX($IH$83:$IH$483),$A386,0)</f>
        <v>0</v>
      </c>
      <c r="IJ386">
        <f>IF(IE386&lt;IF386,$A386,B_MAX+1)</f>
        <v>303</v>
      </c>
      <c r="IK386" s="13">
        <f>IF(IB386=1,$IB$35,$IB$36)</f>
        <v>0</v>
      </c>
      <c r="IL386" s="13">
        <f>OCC_DAYS*$IB$41*R_NF_2023-ID386*MCD_SHARE_FREED*R_WAIT_2023</f>
        <v>151980.48282209205</v>
      </c>
      <c r="IM386">
        <f>IF($A386&lt;=$IB$45,1,0)</f>
        <v>0</v>
      </c>
      <c r="JB386">
        <f>IF($JB$31&lt;=$JB$32,IF($A386&lt;=$JB$7,1,2),IF($A386&lt;=RUNG_BEDS_2,2,1))</f>
        <v>1</v>
      </c>
      <c r="JC386" s="5">
        <f>MIN(1,MAX(0,$JB$26-($A386-1)))</f>
        <v>0</v>
      </c>
      <c r="JD386" s="5">
        <f>$JB$25*(JC386+(1-JC386)*$JB$16)</f>
        <v>0.0</v>
      </c>
      <c r="JE386" s="13">
        <f>JD386*($JB$6+ACUTE_MARGIN)</f>
        <v>0.0</v>
      </c>
      <c r="JF386" s="13">
        <f>IF(JB386=1,$JB$31,$JB$32)</f>
        <v>152394.16214437486</v>
      </c>
      <c r="JG386" s="13">
        <f>JE386-JF386</f>
        <v>-152394.16214437486</v>
      </c>
      <c r="JH386" s="13">
        <f>JH385+JG386</f>
        <v>-7946460.501473253</v>
      </c>
      <c r="JI386">
        <f>IF(JH386=MAX($JH$83:$JH$483),$A386,0)</f>
        <v>0</v>
      </c>
      <c r="JJ386">
        <f>IF(JE386&lt;JF386,$A386,B_MAX+1)</f>
        <v>303</v>
      </c>
      <c r="JK386" s="13">
        <f>IF(JB386=1,$JB$35,$JB$36)</f>
        <v>0</v>
      </c>
      <c r="JL386" s="13">
        <f>OCC_DAYS*$JB$41*R_NF_2023-JD386*MCD_SHARE_FREED*R_WAIT_2023</f>
        <v>151980.48282209205</v>
      </c>
      <c r="JM386">
        <f>IF($A386&lt;=$JB$45,1,0)</f>
        <v>0</v>
      </c>
      <c r="KB386">
        <f>IF($KB$31&lt;=$KB$32,IF($A386&lt;=$KB$7,1,2),IF($A386&lt;=RUNG_BEDS_2,2,1))</f>
        <v>1</v>
      </c>
      <c r="KC386" s="5">
        <f>MIN(1,MAX(0,$KB$26-($A386-1)))</f>
        <v>0</v>
      </c>
      <c r="KD386" s="5">
        <f>$KB$25*(KC386+(1-KC386)*$KB$16)</f>
        <v>0.0</v>
      </c>
      <c r="KE386" s="13">
        <f>KD386*($KB$6+ACUTE_MARGIN)</f>
        <v>0.0</v>
      </c>
      <c r="KF386" s="13">
        <f>IF(KB386=1,$KB$31,$KB$32)</f>
        <v>152394.16214437486</v>
      </c>
      <c r="KG386" s="13">
        <f>KE386-KF386</f>
        <v>-152394.16214437486</v>
      </c>
      <c r="KH386" s="13">
        <f>KH385+KG386</f>
        <v>-7946460.50147336</v>
      </c>
      <c r="KI386">
        <f>IF(KH386=MAX($KH$83:$KH$483),$A386,0)</f>
        <v>0</v>
      </c>
      <c r="KJ386">
        <f>IF(KE386&lt;KF386,$A386,B_MAX+1)</f>
        <v>303</v>
      </c>
      <c r="KK386" s="13">
        <f>IF(KB386=1,$KB$35,$KB$36)</f>
        <v>0</v>
      </c>
      <c r="KL386" s="13">
        <f>OCC_DAYS*$KB$41*R_NF_2023-KD386*MCD_SHARE_FREED*R_WAIT_2023</f>
        <v>151980.48282209205</v>
      </c>
      <c r="KM386">
        <f>IF($A386&lt;=$KB$45,1,0)</f>
        <v>0</v>
      </c>
      <c r="LB386">
        <f>IF($LB$31&lt;=$LB$32,IF($A386&lt;=$LB$7,1,2),IF($A386&lt;=RUNG_BEDS_2,2,1))</f>
        <v>1</v>
      </c>
      <c r="LC386" s="5">
        <f>MIN(1,MAX(0,$LB$26-($A386-1)))</f>
        <v>1</v>
      </c>
      <c r="LD386" s="5">
        <f>$LB$25*(LC386+(1-LC386)*$LB$16)</f>
        <v>84.01774238227146</v>
      </c>
      <c r="LE386" s="13">
        <f>LD386*($LB$6+ACUTE_MARGIN)</f>
        <v>84857.91980609419</v>
      </c>
      <c r="LF386" s="13">
        <f>IF(LB386=1,$LB$31,$LB$32)</f>
        <v>152394.16214437486</v>
      </c>
      <c r="LG386" s="13">
        <f>LE386-LF386</f>
        <v>-67536.24233828067</v>
      </c>
      <c r="LH386" s="13">
        <f>LH385+LG386</f>
        <v>-20463481.42849915</v>
      </c>
      <c r="LI386">
        <f>IF(LH386=MAX($LH$83:$LH$483),$A386,0)</f>
        <v>0</v>
      </c>
      <c r="LJ386">
        <f>IF(LE386&lt;LF386,$A386,B_MAX+1)</f>
        <v>303</v>
      </c>
      <c r="LK386" s="13">
        <f>IF(LB386=1,$LB$35,$LB$36)</f>
        <v>0</v>
      </c>
      <c r="LL386" s="13">
        <f>OCC_DAYS*$LB$41*R_NF_2023-LD386*MCD_SHARE_FREED*R_WAIT_2023</f>
        <v>113776.04162887059</v>
      </c>
      <c r="LM386">
        <f>IF($A386&lt;=$LB$45,1,0)</f>
        <v>0</v>
      </c>
      <c r="MB386">
        <f>IF($MB$31&lt;=$MB$32,IF($A386&lt;=$MB$7,1,2),IF($A386&lt;=RUNG_BEDS_2,2,1))</f>
        <v>1</v>
      </c>
      <c r="MC386" s="5">
        <f>MIN(1,MAX(0,$MB$26-($A386-1)))</f>
        <v>0</v>
      </c>
      <c r="MD386" s="5">
        <f>$MB$25*(MC386+(1-MC386)*$MB$16)</f>
        <v>0.0</v>
      </c>
      <c r="ME386" s="13">
        <f>MD386*($MB$6+ACUTE_MARGIN)</f>
        <v>0.0</v>
      </c>
      <c r="MF386" s="13">
        <f>IF(MB386=1,$MB$31,$MB$32)</f>
        <v>152394.16214437486</v>
      </c>
      <c r="MG386" s="13">
        <f>ME386-MF386</f>
        <v>-152394.16214437486</v>
      </c>
      <c r="MH386" s="13">
        <f>MH385+MG386</f>
        <v>-13833736.563271556</v>
      </c>
      <c r="MI386">
        <f>IF(MH386=MAX($MH$83:$MH$483),$A386,0)</f>
        <v>0</v>
      </c>
      <c r="MJ386">
        <f>IF(ME386&lt;MF386,$A386,B_MAX+1)</f>
        <v>303</v>
      </c>
      <c r="MK386" s="13">
        <f>IF(MB386=1,$MB$35,$MB$36)</f>
        <v>0</v>
      </c>
      <c r="ML386" s="13">
        <f>OCC_DAYS*$MB$41*R_NF_2023-MD386*MCD_SHARE_FREED*R_WAIT_2023</f>
        <v>151980.48282209205</v>
      </c>
      <c r="MM386">
        <f>IF($A386&lt;=$MB$45,1,0)</f>
        <v>0</v>
      </c>
      <c r="NB386">
        <f>IF($NB$31&lt;=$NB$32,IF($A386&lt;=$NB$7,1,2),IF($A386&lt;=RUNG_BEDS_2,2,1))</f>
        <v>1</v>
      </c>
      <c r="NC386" s="5">
        <f>MIN(1,MAX(0,$NB$26-($A386-1)))</f>
        <v>0</v>
      </c>
      <c r="ND386" s="5">
        <f>$NB$25*(NC386+(1-NC386)*$NB$16)</f>
        <v>63.013306786703595</v>
      </c>
      <c r="NE386" s="13">
        <f>ND386*($NB$6+ACUTE_MARGIN)</f>
        <v>63643.43985457063</v>
      </c>
      <c r="NF386" s="13">
        <f>IF(NB386=1,$NB$31,$NB$32)</f>
        <v>152394.16214437486</v>
      </c>
      <c r="NG386" s="13">
        <f>NE386-NF386</f>
        <v>-88750.72228980422</v>
      </c>
      <c r="NH386" s="13">
        <f>NH385+NG386</f>
        <v>1780259.117393543</v>
      </c>
      <c r="NI386">
        <f>IF(NH386=MAX($NH$83:$NH$483),$A386,0)</f>
        <v>0</v>
      </c>
      <c r="NJ386">
        <f>IF(NE386&lt;NF386,$A386,B_MAX+1)</f>
        <v>303</v>
      </c>
      <c r="NK386" s="13">
        <f>IF(NB386=1,$NB$35,$NB$36)</f>
        <v>0</v>
      </c>
      <c r="NL386" s="13">
        <f>OCC_DAYS*$NB$41*R_NF_2023-ND386*MCD_SHARE_FREED*R_WAIT_2023</f>
        <v>123327.15192717595</v>
      </c>
      <c r="NM386">
        <f>IF($A386&lt;=$NB$45,1,0)</f>
        <v>0</v>
      </c>
      <c r="OB386">
        <f>IF($OB$31&lt;=$OB$32,IF($A386&lt;=$OB$7,1,2),IF($A386&lt;=RUNG_BEDS_2,2,1))</f>
        <v>1</v>
      </c>
      <c r="OC386" s="5">
        <f>MIN(1,MAX(0,$OB$26-($A386-1)))</f>
        <v>0</v>
      </c>
      <c r="OD386" s="5">
        <f>$OB$25*(OC386+(1-OC386)*$OB$16)</f>
        <v>126.02661357340719</v>
      </c>
      <c r="OE386" s="13">
        <f>OD386*($OB$6+ACUTE_MARGIN)</f>
        <v>127286.87970914126</v>
      </c>
      <c r="OF386" s="13">
        <f>IF(OB386=1,$OB$31,$OB$32)</f>
        <v>152394.16214437486</v>
      </c>
      <c r="OG386" s="13">
        <f>OE386-OF386</f>
        <v>-25107.282435233603</v>
      </c>
      <c r="OH386" s="13">
        <f>OH385+OG386</f>
        <v>11506978.736260528</v>
      </c>
      <c r="OI386">
        <f>IF(OH386=MAX($OH$83:$OH$483),$A386,0)</f>
        <v>0</v>
      </c>
      <c r="OJ386">
        <f>IF(OE386&lt;OF386,$A386,B_MAX+1)</f>
        <v>303</v>
      </c>
      <c r="OK386" s="13">
        <f>IF(OB386=1,$OB$35,$OB$36)</f>
        <v>0</v>
      </c>
      <c r="OL386" s="13">
        <f>OCC_DAYS*$OB$41*R_NF_2023-OD386*MCD_SHARE_FREED*R_WAIT_2023</f>
        <v>94673.82103225985</v>
      </c>
      <c r="OM386">
        <f>IF($A386&lt;=$OB$45,1,0)</f>
        <v>0</v>
      </c>
    </row>
    <row r="387">
      <c r="A387" t="n">
        <v>304</v>
      </c>
      <c r="B387">
        <f>IF($B$31&lt;=$B$32,IF($A387&lt;=$B$7,1,2),IF($A387&lt;=RUNG_BEDS_2,2,1))</f>
        <v>1</v>
      </c>
      <c r="C387" s="5">
        <f>MIN(1,MAX(0,$B$26-($A387-1)))</f>
        <v>0</v>
      </c>
      <c r="D387" s="5">
        <f>$B$25*(C387+(1-C387)*$B$16)</f>
        <v>0.0</v>
      </c>
      <c r="E387" s="13">
        <f>D387*($B$6+ACUTE_MARGIN)</f>
        <v>0.0</v>
      </c>
      <c r="F387" s="13">
        <f>IF(B387=1,$B$31,$B$32)</f>
        <v>152394.16214437486</v>
      </c>
      <c r="G387" s="13">
        <f>E387-F387</f>
        <v>-152394.16214437486</v>
      </c>
      <c r="H387" s="13">
        <f>H386+G387</f>
        <v>-8098854.663617628</v>
      </c>
      <c r="I387">
        <f>IF(H387=MAX($H$83:$H$483),$A387,0)</f>
        <v>0</v>
      </c>
      <c r="J387">
        <f>IF(E387&lt;F387,$A387,B_MAX+1)</f>
        <v>304</v>
      </c>
      <c r="K387" s="13">
        <f>IF(B387=1,$B$35,$B$36)</f>
        <v>0</v>
      </c>
      <c r="L387" s="13">
        <f>OCC_DAYS*$B$41*R_NF_2023-D387*MCD_SHARE_FREED*R_WAIT_2023</f>
        <v>151980.48282209205</v>
      </c>
      <c r="M387">
        <f>IF($A387&lt;=$B$45,1,0)</f>
        <v>0</v>
      </c>
      <c r="AB387">
        <f>IF($AB$31&lt;=$AB$32,IF($A387&lt;=$AB$7,1,2),IF($A387&lt;=RUNG_BEDS_2,2,1))</f>
        <v>1</v>
      </c>
      <c r="AC387" s="5">
        <f>MIN(1,MAX(0,$AB$26-($A387-1)))</f>
        <v>0</v>
      </c>
      <c r="AD387" s="5">
        <f>$AB$25*(AC387+(1-AC387)*$AB$16)</f>
        <v>0.0</v>
      </c>
      <c r="AE387" s="13">
        <f>AD387*($AB$6+ACUTE_MARGIN)</f>
        <v>0.0</v>
      </c>
      <c r="AF387" s="13">
        <f>IF(AB387=1,$AB$31,$AB$32)</f>
        <v>152394.16214437486</v>
      </c>
      <c r="AG387" s="13">
        <f>AE387-AF387</f>
        <v>-152394.16214437486</v>
      </c>
      <c r="AH387" s="13">
        <f>AH386+AG387</f>
        <v>-25510069.009167366</v>
      </c>
      <c r="AI387">
        <f>IF(AH387=MAX($AH$83:$AH$483),$A387,0)</f>
        <v>0</v>
      </c>
      <c r="AJ387">
        <f>IF(AE387&lt;AF387,$A387,B_MAX+1)</f>
        <v>304</v>
      </c>
      <c r="AK387" s="13">
        <f>IF(AB387=1,$AB$35,$AB$36)</f>
        <v>0</v>
      </c>
      <c r="AL387" s="13">
        <f>OCC_DAYS*$AB$41*R_NF_2023-AD387*MCD_SHARE_FREED*R_WAIT_2023</f>
        <v>151980.48282209205</v>
      </c>
      <c r="AM387">
        <f>IF($A387&lt;=$AB$45,1,0)</f>
        <v>0</v>
      </c>
      <c r="BB387">
        <f>IF($BB$31&lt;=$BB$32,IF($A387&lt;=$BB$7,1,2),IF($A387&lt;=RUNG_BEDS_2,2,1))</f>
        <v>1</v>
      </c>
      <c r="BC387" s="5">
        <f>MIN(1,MAX(0,$BB$26-($A387-1)))</f>
        <v>0</v>
      </c>
      <c r="BD387" s="5">
        <f>$BB$25*(BC387+(1-BC387)*$BB$16)</f>
        <v>0.0</v>
      </c>
      <c r="BE387" s="13">
        <f>BD387*($BB$6+ACUTE_MARGIN)</f>
        <v>0.0</v>
      </c>
      <c r="BF387" s="13">
        <f>IF(BB387=1,$BB$31,$BB$32)</f>
        <v>152394.16214437486</v>
      </c>
      <c r="BG387" s="13">
        <f>BE387-BF387</f>
        <v>-152394.16214437486</v>
      </c>
      <c r="BH387" s="13">
        <f>BH386+BG387</f>
        <v>9312359.681932129</v>
      </c>
      <c r="BI387">
        <f>IF(BH387=MAX($BH$83:$BH$483),$A387,0)</f>
        <v>0</v>
      </c>
      <c r="BJ387">
        <f>IF(BE387&lt;BF387,$A387,B_MAX+1)</f>
        <v>304</v>
      </c>
      <c r="BK387" s="13">
        <f>IF(BB387=1,$BB$35,$BB$36)</f>
        <v>0</v>
      </c>
      <c r="BL387" s="13">
        <f>OCC_DAYS*$BB$41*R_NF_2023-BD387*MCD_SHARE_FREED*R_WAIT_2023</f>
        <v>151980.48282209205</v>
      </c>
      <c r="BM387">
        <f>IF($A387&lt;=$BB$45,1,0)</f>
        <v>0</v>
      </c>
      <c r="CB387">
        <f>IF($CB$31&lt;=$CB$32,IF($A387&lt;=$CB$7,1,2),IF($A387&lt;=RUNG_BEDS_2,2,1))</f>
        <v>2</v>
      </c>
      <c r="CC387" s="5">
        <f>MIN(1,MAX(0,$CB$26-($A387-1)))</f>
        <v>0</v>
      </c>
      <c r="CD387" s="5">
        <f>$CB$25*(CC387+(1-CC387)*$CB$16)</f>
        <v>0.0</v>
      </c>
      <c r="CE387" s="13">
        <f>CD387*($CB$6+ACUTE_MARGIN)</f>
        <v>0.0</v>
      </c>
      <c r="CF387" s="13">
        <f>IF(CB387=1,$CB$31,$CB$32)</f>
        <v>160718.36940738867</v>
      </c>
      <c r="CG387" s="13">
        <f>CE387-CF387</f>
        <v>-160718.36940738867</v>
      </c>
      <c r="CH387" s="13">
        <f>CH386+CG387</f>
        <v>-10629413.671573937</v>
      </c>
      <c r="CI387">
        <f>IF(CH387=MAX($CH$83:$CH$483),$A387,0)</f>
        <v>0</v>
      </c>
      <c r="CJ387">
        <f>IF(CE387&lt;CF387,$A387,B_MAX+1)</f>
        <v>304</v>
      </c>
      <c r="CK387" s="13">
        <f>IF(CB387=1,$CB$35,$CB$36)</f>
        <v>1560.1194073886782</v>
      </c>
      <c r="CL387" s="13">
        <f>OCC_DAYS*$CB$41*R_NF_2023-CD387*MCD_SHARE_FREED*R_WAIT_2023</f>
        <v>151980.48282209205</v>
      </c>
      <c r="CM387">
        <f>IF($A387&lt;=$CB$45,1,0)</f>
        <v>0</v>
      </c>
      <c r="DB387">
        <f>IF($DB$31&lt;=$DB$32,IF($A387&lt;=$DB$7,1,2),IF($A387&lt;=RUNG_BEDS_2,2,1))</f>
        <v>1</v>
      </c>
      <c r="DC387" s="5">
        <f>MIN(1,MAX(0,$DB$26-($A387-1)))</f>
        <v>0</v>
      </c>
      <c r="DD387" s="5">
        <f>$DB$25*(DC387+(1-DC387)*$DB$16)</f>
        <v>0.0</v>
      </c>
      <c r="DE387" s="13">
        <f>DD387*($DB$6+ACUTE_MARGIN)</f>
        <v>0.0</v>
      </c>
      <c r="DF387" s="13">
        <f>IF(DB387=1,$DB$31,$DB$32)</f>
        <v>152394.16214437486</v>
      </c>
      <c r="DG387" s="13">
        <f>DE387-DF387</f>
        <v>-152394.16214437486</v>
      </c>
      <c r="DH387" s="13">
        <f>DH386+DG387</f>
        <v>-8098854.663617628</v>
      </c>
      <c r="DI387">
        <f>IF(DH387=MAX($DH$83:$DH$483),$A387,0)</f>
        <v>0</v>
      </c>
      <c r="DJ387">
        <f>IF(DE387&lt;DF387,$A387,B_MAX+1)</f>
        <v>304</v>
      </c>
      <c r="DK387" s="13">
        <f>IF(DB387=1,$DB$35,$DB$36)</f>
        <v>0</v>
      </c>
      <c r="DL387" s="13">
        <f>OCC_DAYS*$DB$41*R_NF_2023-DD387*MCD_SHARE_FREED*R_WAIT_2023</f>
        <v>151980.48282209205</v>
      </c>
      <c r="DM387">
        <f>IF($A387&lt;=$DB$45,1,0)</f>
        <v>0</v>
      </c>
      <c r="EB387">
        <f>IF($EB$31&lt;=$EB$32,IF($A387&lt;=$EB$7,1,2),IF($A387&lt;=RUNG_BEDS_2,2,1))</f>
        <v>1</v>
      </c>
      <c r="EC387" s="5">
        <f>MIN(1,MAX(0,$EB$26-($A387-1)))</f>
        <v>0</v>
      </c>
      <c r="ED387" s="5">
        <f>$EB$25*(EC387+(1-EC387)*$EB$16)</f>
        <v>0.0</v>
      </c>
      <c r="EE387" s="13">
        <f>ED387*($EB$6+ACUTE_MARGIN)</f>
        <v>0.0</v>
      </c>
      <c r="EF387" s="13">
        <f>IF(EB387=1,$EB$31,$EB$32)</f>
        <v>152394.16214437486</v>
      </c>
      <c r="EG387" s="13">
        <f>EE387-EF387</f>
        <v>-152394.16214437486</v>
      </c>
      <c r="EH387" s="13">
        <f>EH386+EG387</f>
        <v>-8098854.663617628</v>
      </c>
      <c r="EI387">
        <f>IF(EH387=MAX($EH$83:$EH$483),$A387,0)</f>
        <v>0</v>
      </c>
      <c r="EJ387">
        <f>IF(EE387&lt;EF387,$A387,B_MAX+1)</f>
        <v>304</v>
      </c>
      <c r="EK387" s="13">
        <f>IF(EB387=1,$EB$35,$EB$36)</f>
        <v>0</v>
      </c>
      <c r="EL387" s="13">
        <f>OCC_DAYS*$EB$41*R_NF_2023-ED387*MCD_SHARE_FREED*R_WAIT_2023</f>
        <v>50660.16094069735</v>
      </c>
      <c r="EM387">
        <f>IF($A387&lt;=$EB$45,1,0)</f>
        <v>0</v>
      </c>
      <c r="FB387">
        <f>IF($FB$31&lt;=$FB$32,IF($A387&lt;=$FB$7,1,2),IF($A387&lt;=RUNG_BEDS_2,2,1))</f>
        <v>1</v>
      </c>
      <c r="FC387" s="5">
        <f>MIN(1,MAX(0,$FB$26-($A387-1)))</f>
        <v>0</v>
      </c>
      <c r="FD387" s="5">
        <f>$FB$25*(FC387+(1-FC387)*$FB$16)</f>
        <v>0.0</v>
      </c>
      <c r="FE387" s="13">
        <f>FD387*($FB$6+ACUTE_MARGIN)</f>
        <v>0.0</v>
      </c>
      <c r="FF387" s="13">
        <f>IF(FB387=1,$FB$31,$FB$32)</f>
        <v>156636.04979437485</v>
      </c>
      <c r="FG387" s="13">
        <f>FE387-FF387</f>
        <v>-156636.04979437485</v>
      </c>
      <c r="FH387" s="13">
        <f>FH386+FG387</f>
        <v>-9388388.509217735</v>
      </c>
      <c r="FI387">
        <f>IF(FH387=MAX($FH$83:$FH$483),$A387,0)</f>
        <v>0</v>
      </c>
      <c r="FJ387">
        <f>IF(FE387&lt;FF387,$A387,B_MAX+1)</f>
        <v>304</v>
      </c>
      <c r="FK387" s="13">
        <f>IF(FB387=1,$FB$35,$FB$36)</f>
        <v>0</v>
      </c>
      <c r="FL387" s="13">
        <f>OCC_DAYS*$FB$41*R_NF_2023-FD387*MCD_SHARE_FREED*R_WAIT_2023</f>
        <v>151980.48282209205</v>
      </c>
      <c r="FM387">
        <f>IF($A387&lt;=$FB$45,1,0)</f>
        <v>0</v>
      </c>
      <c r="GB387">
        <f>IF($GB$31&lt;=$GB$32,IF($A387&lt;=$GB$7,1,2),IF($A387&lt;=RUNG_BEDS_2,2,1))</f>
        <v>1</v>
      </c>
      <c r="GC387" s="5">
        <f>MIN(1,MAX(0,$GB$26-($A387-1)))</f>
        <v>0</v>
      </c>
      <c r="GD387" s="5">
        <f>$GB$25*(GC387+(1-GC387)*$GB$16)</f>
        <v>0.0</v>
      </c>
      <c r="GE387" s="13">
        <f>GD387*($GB$6+ACUTE_MARGIN)</f>
        <v>0.0</v>
      </c>
      <c r="GF387" s="13">
        <f>IF(GB387=1,$GB$31,$GB$32)</f>
        <v>152394.16214437486</v>
      </c>
      <c r="GG387" s="13">
        <f>GE387-GF387</f>
        <v>-152394.16214437486</v>
      </c>
      <c r="GH387" s="13">
        <f>GH386+GG387</f>
        <v>-8098854.663617628</v>
      </c>
      <c r="GI387">
        <f>IF(GH387=MAX($GH$83:$GH$483),$A387,0)</f>
        <v>0</v>
      </c>
      <c r="GJ387">
        <f>IF(GE387&lt;GF387,$A387,B_MAX+1)</f>
        <v>304</v>
      </c>
      <c r="GK387" s="13">
        <f>IF(GB387=1,$GB$35,$GB$36)</f>
        <v>0</v>
      </c>
      <c r="GL387" s="13">
        <f>OCC_DAYS*$GB$41*R_NF_2023-GD387*MCD_SHARE_FREED*R_WAIT_2023</f>
        <v>151980.48282209205</v>
      </c>
      <c r="GM387">
        <f>IF($A387&lt;=$GB$45,1,0)</f>
        <v>0</v>
      </c>
      <c r="HB387">
        <f>IF($HB$31&lt;=$HB$32,IF($A387&lt;=$HB$7,1,2),IF($A387&lt;=RUNG_BEDS_2,2,1))</f>
        <v>1</v>
      </c>
      <c r="HC387" s="5">
        <f>MIN(1,MAX(0,$HB$26-($A387-1)))</f>
        <v>0</v>
      </c>
      <c r="HD387" s="5">
        <f>$HB$25*(HC387+(1-HC387)*$HB$16)</f>
        <v>0.0</v>
      </c>
      <c r="HE387" s="13">
        <f>HD387*($HB$6+ACUTE_MARGIN)</f>
        <v>0.0</v>
      </c>
      <c r="HF387" s="13">
        <f>IF(HB387=1,$HB$31,$HB$32)</f>
        <v>152456.2970814058</v>
      </c>
      <c r="HG387" s="13">
        <f>HE387-HF387</f>
        <v>-152456.2970814058</v>
      </c>
      <c r="HH387" s="13">
        <f>HH386+HG387</f>
        <v>-8117743.684475077</v>
      </c>
      <c r="HI387">
        <f>IF(HH387=MAX($HH$83:$HH$483),$A387,0)</f>
        <v>0</v>
      </c>
      <c r="HJ387">
        <f>IF(HE387&lt;HF387,$A387,B_MAX+1)</f>
        <v>304</v>
      </c>
      <c r="HK387" s="13">
        <f>IF(HB387=1,$HB$35,$HB$36)</f>
        <v>0</v>
      </c>
      <c r="HL387" s="13">
        <f>OCC_DAYS*$HB$41*R_NF_2023-HD387*MCD_SHARE_FREED*R_WAIT_2023</f>
        <v>151980.48282209205</v>
      </c>
      <c r="HM387">
        <f>IF($A387&lt;=$HB$45,1,0)</f>
        <v>0</v>
      </c>
      <c r="IB387">
        <f>IF($IB$31&lt;=$IB$32,IF($A387&lt;=$IB$7,1,2),IF($A387&lt;=RUNG_BEDS_2,2,1))</f>
        <v>1</v>
      </c>
      <c r="IC387" s="5">
        <f>MIN(1,MAX(0,$IB$26-($A387-1)))</f>
        <v>0</v>
      </c>
      <c r="ID387" s="5">
        <f>$IB$25*(IC387+(1-IC387)*$IB$16)</f>
        <v>0.0</v>
      </c>
      <c r="IE387" s="13">
        <f>ID387*($IB$6+ACUTE_MARGIN)</f>
        <v>0.0</v>
      </c>
      <c r="IF387" s="13">
        <f>IF(IB387=1,$IB$31,$IB$32)</f>
        <v>152734.9994534971</v>
      </c>
      <c r="IG387" s="13">
        <f>IE387-IF387</f>
        <v>-152734.9994534971</v>
      </c>
      <c r="IH387" s="13">
        <f>IH386+IG387</f>
        <v>-8202469.205590876</v>
      </c>
      <c r="II387">
        <f>IF(IH387=MAX($IH$83:$IH$483),$A387,0)</f>
        <v>0</v>
      </c>
      <c r="IJ387">
        <f>IF(IE387&lt;IF387,$A387,B_MAX+1)</f>
        <v>304</v>
      </c>
      <c r="IK387" s="13">
        <f>IF(IB387=1,$IB$35,$IB$36)</f>
        <v>0</v>
      </c>
      <c r="IL387" s="13">
        <f>OCC_DAYS*$IB$41*R_NF_2023-ID387*MCD_SHARE_FREED*R_WAIT_2023</f>
        <v>151980.48282209205</v>
      </c>
      <c r="IM387">
        <f>IF($A387&lt;=$IB$45,1,0)</f>
        <v>0</v>
      </c>
      <c r="JB387">
        <f>IF($JB$31&lt;=$JB$32,IF($A387&lt;=$JB$7,1,2),IF($A387&lt;=RUNG_BEDS_2,2,1))</f>
        <v>1</v>
      </c>
      <c r="JC387" s="5">
        <f>MIN(1,MAX(0,$JB$26-($A387-1)))</f>
        <v>0</v>
      </c>
      <c r="JD387" s="5">
        <f>$JB$25*(JC387+(1-JC387)*$JB$16)</f>
        <v>0.0</v>
      </c>
      <c r="JE387" s="13">
        <f>JD387*($JB$6+ACUTE_MARGIN)</f>
        <v>0.0</v>
      </c>
      <c r="JF387" s="13">
        <f>IF(JB387=1,$JB$31,$JB$32)</f>
        <v>152394.16214437486</v>
      </c>
      <c r="JG387" s="13">
        <f>JE387-JF387</f>
        <v>-152394.16214437486</v>
      </c>
      <c r="JH387" s="13">
        <f>JH386+JG387</f>
        <v>-8098854.663617628</v>
      </c>
      <c r="JI387">
        <f>IF(JH387=MAX($JH$83:$JH$483),$A387,0)</f>
        <v>0</v>
      </c>
      <c r="JJ387">
        <f>IF(JE387&lt;JF387,$A387,B_MAX+1)</f>
        <v>304</v>
      </c>
      <c r="JK387" s="13">
        <f>IF(JB387=1,$JB$35,$JB$36)</f>
        <v>0</v>
      </c>
      <c r="JL387" s="13">
        <f>OCC_DAYS*$JB$41*R_NF_2023-JD387*MCD_SHARE_FREED*R_WAIT_2023</f>
        <v>151980.48282209205</v>
      </c>
      <c r="JM387">
        <f>IF($A387&lt;=$JB$45,1,0)</f>
        <v>0</v>
      </c>
      <c r="KB387">
        <f>IF($KB$31&lt;=$KB$32,IF($A387&lt;=$KB$7,1,2),IF($A387&lt;=RUNG_BEDS_2,2,1))</f>
        <v>1</v>
      </c>
      <c r="KC387" s="5">
        <f>MIN(1,MAX(0,$KB$26-($A387-1)))</f>
        <v>0</v>
      </c>
      <c r="KD387" s="5">
        <f>$KB$25*(KC387+(1-KC387)*$KB$16)</f>
        <v>0.0</v>
      </c>
      <c r="KE387" s="13">
        <f>KD387*($KB$6+ACUTE_MARGIN)</f>
        <v>0.0</v>
      </c>
      <c r="KF387" s="13">
        <f>IF(KB387=1,$KB$31,$KB$32)</f>
        <v>152394.16214437486</v>
      </c>
      <c r="KG387" s="13">
        <f>KE387-KF387</f>
        <v>-152394.16214437486</v>
      </c>
      <c r="KH387" s="13">
        <f>KH386+KG387</f>
        <v>-8098854.663617735</v>
      </c>
      <c r="KI387">
        <f>IF(KH387=MAX($KH$83:$KH$483),$A387,0)</f>
        <v>0</v>
      </c>
      <c r="KJ387">
        <f>IF(KE387&lt;KF387,$A387,B_MAX+1)</f>
        <v>304</v>
      </c>
      <c r="KK387" s="13">
        <f>IF(KB387=1,$KB$35,$KB$36)</f>
        <v>0</v>
      </c>
      <c r="KL387" s="13">
        <f>OCC_DAYS*$KB$41*R_NF_2023-KD387*MCD_SHARE_FREED*R_WAIT_2023</f>
        <v>151980.48282209205</v>
      </c>
      <c r="KM387">
        <f>IF($A387&lt;=$KB$45,1,0)</f>
        <v>0</v>
      </c>
      <c r="LB387">
        <f>IF($LB$31&lt;=$LB$32,IF($A387&lt;=$LB$7,1,2),IF($A387&lt;=RUNG_BEDS_2,2,1))</f>
        <v>1</v>
      </c>
      <c r="LC387" s="5">
        <f>MIN(1,MAX(0,$LB$26-($A387-1)))</f>
        <v>1</v>
      </c>
      <c r="LD387" s="5">
        <f>$LB$25*(LC387+(1-LC387)*$LB$16)</f>
        <v>84.01774238227146</v>
      </c>
      <c r="LE387" s="13">
        <f>LD387*($LB$6+ACUTE_MARGIN)</f>
        <v>84857.91980609419</v>
      </c>
      <c r="LF387" s="13">
        <f>IF(LB387=1,$LB$31,$LB$32)</f>
        <v>152394.16214437486</v>
      </c>
      <c r="LG387" s="13">
        <f>LE387-LF387</f>
        <v>-67536.24233828067</v>
      </c>
      <c r="LH387" s="13">
        <f>LH386+LG387</f>
        <v>-20531017.670837432</v>
      </c>
      <c r="LI387">
        <f>IF(LH387=MAX($LH$83:$LH$483),$A387,0)</f>
        <v>0</v>
      </c>
      <c r="LJ387">
        <f>IF(LE387&lt;LF387,$A387,B_MAX+1)</f>
        <v>304</v>
      </c>
      <c r="LK387" s="13">
        <f>IF(LB387=1,$LB$35,$LB$36)</f>
        <v>0</v>
      </c>
      <c r="LL387" s="13">
        <f>OCC_DAYS*$LB$41*R_NF_2023-LD387*MCD_SHARE_FREED*R_WAIT_2023</f>
        <v>113776.04162887059</v>
      </c>
      <c r="LM387">
        <f>IF($A387&lt;=$LB$45,1,0)</f>
        <v>0</v>
      </c>
      <c r="MB387">
        <f>IF($MB$31&lt;=$MB$32,IF($A387&lt;=$MB$7,1,2),IF($A387&lt;=RUNG_BEDS_2,2,1))</f>
        <v>1</v>
      </c>
      <c r="MC387" s="5">
        <f>MIN(1,MAX(0,$MB$26-($A387-1)))</f>
        <v>0</v>
      </c>
      <c r="MD387" s="5">
        <f>$MB$25*(MC387+(1-MC387)*$MB$16)</f>
        <v>0.0</v>
      </c>
      <c r="ME387" s="13">
        <f>MD387*($MB$6+ACUTE_MARGIN)</f>
        <v>0.0</v>
      </c>
      <c r="MF387" s="13">
        <f>IF(MB387=1,$MB$31,$MB$32)</f>
        <v>152394.16214437486</v>
      </c>
      <c r="MG387" s="13">
        <f>ME387-MF387</f>
        <v>-152394.16214437486</v>
      </c>
      <c r="MH387" s="13">
        <f>MH386+MG387</f>
        <v>-13986130.72541593</v>
      </c>
      <c r="MI387">
        <f>IF(MH387=MAX($MH$83:$MH$483),$A387,0)</f>
        <v>0</v>
      </c>
      <c r="MJ387">
        <f>IF(ME387&lt;MF387,$A387,B_MAX+1)</f>
        <v>304</v>
      </c>
      <c r="MK387" s="13">
        <f>IF(MB387=1,$MB$35,$MB$36)</f>
        <v>0</v>
      </c>
      <c r="ML387" s="13">
        <f>OCC_DAYS*$MB$41*R_NF_2023-MD387*MCD_SHARE_FREED*R_WAIT_2023</f>
        <v>151980.48282209205</v>
      </c>
      <c r="MM387">
        <f>IF($A387&lt;=$MB$45,1,0)</f>
        <v>0</v>
      </c>
      <c r="NB387">
        <f>IF($NB$31&lt;=$NB$32,IF($A387&lt;=$NB$7,1,2),IF($A387&lt;=RUNG_BEDS_2,2,1))</f>
        <v>1</v>
      </c>
      <c r="NC387" s="5">
        <f>MIN(1,MAX(0,$NB$26-($A387-1)))</f>
        <v>0</v>
      </c>
      <c r="ND387" s="5">
        <f>$NB$25*(NC387+(1-NC387)*$NB$16)</f>
        <v>63.013306786703595</v>
      </c>
      <c r="NE387" s="13">
        <f>ND387*($NB$6+ACUTE_MARGIN)</f>
        <v>63643.43985457063</v>
      </c>
      <c r="NF387" s="13">
        <f>IF(NB387=1,$NB$31,$NB$32)</f>
        <v>152394.16214437486</v>
      </c>
      <c r="NG387" s="13">
        <f>NE387-NF387</f>
        <v>-88750.72228980422</v>
      </c>
      <c r="NH387" s="13">
        <f>NH386+NG387</f>
        <v>1691508.3951037389</v>
      </c>
      <c r="NI387">
        <f>IF(NH387=MAX($NH$83:$NH$483),$A387,0)</f>
        <v>0</v>
      </c>
      <c r="NJ387">
        <f>IF(NE387&lt;NF387,$A387,B_MAX+1)</f>
        <v>304</v>
      </c>
      <c r="NK387" s="13">
        <f>IF(NB387=1,$NB$35,$NB$36)</f>
        <v>0</v>
      </c>
      <c r="NL387" s="13">
        <f>OCC_DAYS*$NB$41*R_NF_2023-ND387*MCD_SHARE_FREED*R_WAIT_2023</f>
        <v>123327.15192717595</v>
      </c>
      <c r="NM387">
        <f>IF($A387&lt;=$NB$45,1,0)</f>
        <v>0</v>
      </c>
      <c r="OB387">
        <f>IF($OB$31&lt;=$OB$32,IF($A387&lt;=$OB$7,1,2),IF($A387&lt;=RUNG_BEDS_2,2,1))</f>
        <v>1</v>
      </c>
      <c r="OC387" s="5">
        <f>MIN(1,MAX(0,$OB$26-($A387-1)))</f>
        <v>0</v>
      </c>
      <c r="OD387" s="5">
        <f>$OB$25*(OC387+(1-OC387)*$OB$16)</f>
        <v>126.02661357340719</v>
      </c>
      <c r="OE387" s="13">
        <f>OD387*($OB$6+ACUTE_MARGIN)</f>
        <v>127286.87970914126</v>
      </c>
      <c r="OF387" s="13">
        <f>IF(OB387=1,$OB$31,$OB$32)</f>
        <v>152394.16214437486</v>
      </c>
      <c r="OG387" s="13">
        <f>OE387-OF387</f>
        <v>-25107.282435233603</v>
      </c>
      <c r="OH387" s="13">
        <f>OH386+OG387</f>
        <v>11481871.453825295</v>
      </c>
      <c r="OI387">
        <f>IF(OH387=MAX($OH$83:$OH$483),$A387,0)</f>
        <v>0</v>
      </c>
      <c r="OJ387">
        <f>IF(OE387&lt;OF387,$A387,B_MAX+1)</f>
        <v>304</v>
      </c>
      <c r="OK387" s="13">
        <f>IF(OB387=1,$OB$35,$OB$36)</f>
        <v>0</v>
      </c>
      <c r="OL387" s="13">
        <f>OCC_DAYS*$OB$41*R_NF_2023-OD387*MCD_SHARE_FREED*R_WAIT_2023</f>
        <v>94673.82103225985</v>
      </c>
      <c r="OM387">
        <f>IF($A387&lt;=$OB$45,1,0)</f>
        <v>0</v>
      </c>
    </row>
    <row r="388">
      <c r="A388" t="n">
        <v>305</v>
      </c>
      <c r="B388">
        <f>IF($B$31&lt;=$B$32,IF($A388&lt;=$B$7,1,2),IF($A388&lt;=RUNG_BEDS_2,2,1))</f>
        <v>1</v>
      </c>
      <c r="C388" s="5">
        <f>MIN(1,MAX(0,$B$26-($A388-1)))</f>
        <v>0</v>
      </c>
      <c r="D388" s="5">
        <f>$B$25*(C388+(1-C388)*$B$16)</f>
        <v>0.0</v>
      </c>
      <c r="E388" s="13">
        <f>D388*($B$6+ACUTE_MARGIN)</f>
        <v>0.0</v>
      </c>
      <c r="F388" s="13">
        <f>IF(B388=1,$B$31,$B$32)</f>
        <v>152394.16214437486</v>
      </c>
      <c r="G388" s="13">
        <f>E388-F388</f>
        <v>-152394.16214437486</v>
      </c>
      <c r="H388" s="13">
        <f>H387+G388</f>
        <v>-8251248.825762003</v>
      </c>
      <c r="I388">
        <f>IF(H388=MAX($H$83:$H$483),$A388,0)</f>
        <v>0</v>
      </c>
      <c r="J388">
        <f>IF(E388&lt;F388,$A388,B_MAX+1)</f>
        <v>305</v>
      </c>
      <c r="K388" s="13">
        <f>IF(B388=1,$B$35,$B$36)</f>
        <v>0</v>
      </c>
      <c r="L388" s="13">
        <f>OCC_DAYS*$B$41*R_NF_2023-D388*MCD_SHARE_FREED*R_WAIT_2023</f>
        <v>151980.48282209205</v>
      </c>
      <c r="M388">
        <f>IF($A388&lt;=$B$45,1,0)</f>
        <v>0</v>
      </c>
      <c r="AB388">
        <f>IF($AB$31&lt;=$AB$32,IF($A388&lt;=$AB$7,1,2),IF($A388&lt;=RUNG_BEDS_2,2,1))</f>
        <v>1</v>
      </c>
      <c r="AC388" s="5">
        <f>MIN(1,MAX(0,$AB$26-($A388-1)))</f>
        <v>0</v>
      </c>
      <c r="AD388" s="5">
        <f>$AB$25*(AC388+(1-AC388)*$AB$16)</f>
        <v>0.0</v>
      </c>
      <c r="AE388" s="13">
        <f>AD388*($AB$6+ACUTE_MARGIN)</f>
        <v>0.0</v>
      </c>
      <c r="AF388" s="13">
        <f>IF(AB388=1,$AB$31,$AB$32)</f>
        <v>152394.16214437486</v>
      </c>
      <c r="AG388" s="13">
        <f>AE388-AF388</f>
        <v>-152394.16214437486</v>
      </c>
      <c r="AH388" s="13">
        <f>AH387+AG388</f>
        <v>-25662463.17131174</v>
      </c>
      <c r="AI388">
        <f>IF(AH388=MAX($AH$83:$AH$483),$A388,0)</f>
        <v>0</v>
      </c>
      <c r="AJ388">
        <f>IF(AE388&lt;AF388,$A388,B_MAX+1)</f>
        <v>305</v>
      </c>
      <c r="AK388" s="13">
        <f>IF(AB388=1,$AB$35,$AB$36)</f>
        <v>0</v>
      </c>
      <c r="AL388" s="13">
        <f>OCC_DAYS*$AB$41*R_NF_2023-AD388*MCD_SHARE_FREED*R_WAIT_2023</f>
        <v>151980.48282209205</v>
      </c>
      <c r="AM388">
        <f>IF($A388&lt;=$AB$45,1,0)</f>
        <v>0</v>
      </c>
      <c r="BB388">
        <f>IF($BB$31&lt;=$BB$32,IF($A388&lt;=$BB$7,1,2),IF($A388&lt;=RUNG_BEDS_2,2,1))</f>
        <v>1</v>
      </c>
      <c r="BC388" s="5">
        <f>MIN(1,MAX(0,$BB$26-($A388-1)))</f>
        <v>0</v>
      </c>
      <c r="BD388" s="5">
        <f>$BB$25*(BC388+(1-BC388)*$BB$16)</f>
        <v>0.0</v>
      </c>
      <c r="BE388" s="13">
        <f>BD388*($BB$6+ACUTE_MARGIN)</f>
        <v>0.0</v>
      </c>
      <c r="BF388" s="13">
        <f>IF(BB388=1,$BB$31,$BB$32)</f>
        <v>152394.16214437486</v>
      </c>
      <c r="BG388" s="13">
        <f>BE388-BF388</f>
        <v>-152394.16214437486</v>
      </c>
      <c r="BH388" s="13">
        <f>BH387+BG388</f>
        <v>9159965.519787755</v>
      </c>
      <c r="BI388">
        <f>IF(BH388=MAX($BH$83:$BH$483),$A388,0)</f>
        <v>0</v>
      </c>
      <c r="BJ388">
        <f>IF(BE388&lt;BF388,$A388,B_MAX+1)</f>
        <v>305</v>
      </c>
      <c r="BK388" s="13">
        <f>IF(BB388=1,$BB$35,$BB$36)</f>
        <v>0</v>
      </c>
      <c r="BL388" s="13">
        <f>OCC_DAYS*$BB$41*R_NF_2023-BD388*MCD_SHARE_FREED*R_WAIT_2023</f>
        <v>151980.48282209205</v>
      </c>
      <c r="BM388">
        <f>IF($A388&lt;=$BB$45,1,0)</f>
        <v>0</v>
      </c>
      <c r="CB388">
        <f>IF($CB$31&lt;=$CB$32,IF($A388&lt;=$CB$7,1,2),IF($A388&lt;=RUNG_BEDS_2,2,1))</f>
        <v>2</v>
      </c>
      <c r="CC388" s="5">
        <f>MIN(1,MAX(0,$CB$26-($A388-1)))</f>
        <v>0</v>
      </c>
      <c r="CD388" s="5">
        <f>$CB$25*(CC388+(1-CC388)*$CB$16)</f>
        <v>0.0</v>
      </c>
      <c r="CE388" s="13">
        <f>CD388*($CB$6+ACUTE_MARGIN)</f>
        <v>0.0</v>
      </c>
      <c r="CF388" s="13">
        <f>IF(CB388=1,$CB$31,$CB$32)</f>
        <v>160718.36940738867</v>
      </c>
      <c r="CG388" s="13">
        <f>CE388-CF388</f>
        <v>-160718.36940738867</v>
      </c>
      <c r="CH388" s="13">
        <f>CH387+CG388</f>
        <v>-10790132.040981326</v>
      </c>
      <c r="CI388">
        <f>IF(CH388=MAX($CH$83:$CH$483),$A388,0)</f>
        <v>0</v>
      </c>
      <c r="CJ388">
        <f>IF(CE388&lt;CF388,$A388,B_MAX+1)</f>
        <v>305</v>
      </c>
      <c r="CK388" s="13">
        <f>IF(CB388=1,$CB$35,$CB$36)</f>
        <v>1560.1194073886782</v>
      </c>
      <c r="CL388" s="13">
        <f>OCC_DAYS*$CB$41*R_NF_2023-CD388*MCD_SHARE_FREED*R_WAIT_2023</f>
        <v>151980.48282209205</v>
      </c>
      <c r="CM388">
        <f>IF($A388&lt;=$CB$45,1,0)</f>
        <v>0</v>
      </c>
      <c r="DB388">
        <f>IF($DB$31&lt;=$DB$32,IF($A388&lt;=$DB$7,1,2),IF($A388&lt;=RUNG_BEDS_2,2,1))</f>
        <v>1</v>
      </c>
      <c r="DC388" s="5">
        <f>MIN(1,MAX(0,$DB$26-($A388-1)))</f>
        <v>0</v>
      </c>
      <c r="DD388" s="5">
        <f>$DB$25*(DC388+(1-DC388)*$DB$16)</f>
        <v>0.0</v>
      </c>
      <c r="DE388" s="13">
        <f>DD388*($DB$6+ACUTE_MARGIN)</f>
        <v>0.0</v>
      </c>
      <c r="DF388" s="13">
        <f>IF(DB388=1,$DB$31,$DB$32)</f>
        <v>152394.16214437486</v>
      </c>
      <c r="DG388" s="13">
        <f>DE388-DF388</f>
        <v>-152394.16214437486</v>
      </c>
      <c r="DH388" s="13">
        <f>DH387+DG388</f>
        <v>-8251248.825762003</v>
      </c>
      <c r="DI388">
        <f>IF(DH388=MAX($DH$83:$DH$483),$A388,0)</f>
        <v>0</v>
      </c>
      <c r="DJ388">
        <f>IF(DE388&lt;DF388,$A388,B_MAX+1)</f>
        <v>305</v>
      </c>
      <c r="DK388" s="13">
        <f>IF(DB388=1,$DB$35,$DB$36)</f>
        <v>0</v>
      </c>
      <c r="DL388" s="13">
        <f>OCC_DAYS*$DB$41*R_NF_2023-DD388*MCD_SHARE_FREED*R_WAIT_2023</f>
        <v>151980.48282209205</v>
      </c>
      <c r="DM388">
        <f>IF($A388&lt;=$DB$45,1,0)</f>
        <v>0</v>
      </c>
      <c r="EB388">
        <f>IF($EB$31&lt;=$EB$32,IF($A388&lt;=$EB$7,1,2),IF($A388&lt;=RUNG_BEDS_2,2,1))</f>
        <v>1</v>
      </c>
      <c r="EC388" s="5">
        <f>MIN(1,MAX(0,$EB$26-($A388-1)))</f>
        <v>0</v>
      </c>
      <c r="ED388" s="5">
        <f>$EB$25*(EC388+(1-EC388)*$EB$16)</f>
        <v>0.0</v>
      </c>
      <c r="EE388" s="13">
        <f>ED388*($EB$6+ACUTE_MARGIN)</f>
        <v>0.0</v>
      </c>
      <c r="EF388" s="13">
        <f>IF(EB388=1,$EB$31,$EB$32)</f>
        <v>152394.16214437486</v>
      </c>
      <c r="EG388" s="13">
        <f>EE388-EF388</f>
        <v>-152394.16214437486</v>
      </c>
      <c r="EH388" s="13">
        <f>EH387+EG388</f>
        <v>-8251248.825762003</v>
      </c>
      <c r="EI388">
        <f>IF(EH388=MAX($EH$83:$EH$483),$A388,0)</f>
        <v>0</v>
      </c>
      <c r="EJ388">
        <f>IF(EE388&lt;EF388,$A388,B_MAX+1)</f>
        <v>305</v>
      </c>
      <c r="EK388" s="13">
        <f>IF(EB388=1,$EB$35,$EB$36)</f>
        <v>0</v>
      </c>
      <c r="EL388" s="13">
        <f>OCC_DAYS*$EB$41*R_NF_2023-ED388*MCD_SHARE_FREED*R_WAIT_2023</f>
        <v>50660.16094069735</v>
      </c>
      <c r="EM388">
        <f>IF($A388&lt;=$EB$45,1,0)</f>
        <v>0</v>
      </c>
      <c r="FB388">
        <f>IF($FB$31&lt;=$FB$32,IF($A388&lt;=$FB$7,1,2),IF($A388&lt;=RUNG_BEDS_2,2,1))</f>
        <v>1</v>
      </c>
      <c r="FC388" s="5">
        <f>MIN(1,MAX(0,$FB$26-($A388-1)))</f>
        <v>0</v>
      </c>
      <c r="FD388" s="5">
        <f>$FB$25*(FC388+(1-FC388)*$FB$16)</f>
        <v>0.0</v>
      </c>
      <c r="FE388" s="13">
        <f>FD388*($FB$6+ACUTE_MARGIN)</f>
        <v>0.0</v>
      </c>
      <c r="FF388" s="13">
        <f>IF(FB388=1,$FB$31,$FB$32)</f>
        <v>156636.04979437485</v>
      </c>
      <c r="FG388" s="13">
        <f>FE388-FF388</f>
        <v>-156636.04979437485</v>
      </c>
      <c r="FH388" s="13">
        <f>FH387+FG388</f>
        <v>-9545024.55901211</v>
      </c>
      <c r="FI388">
        <f>IF(FH388=MAX($FH$83:$FH$483),$A388,0)</f>
        <v>0</v>
      </c>
      <c r="FJ388">
        <f>IF(FE388&lt;FF388,$A388,B_MAX+1)</f>
        <v>305</v>
      </c>
      <c r="FK388" s="13">
        <f>IF(FB388=1,$FB$35,$FB$36)</f>
        <v>0</v>
      </c>
      <c r="FL388" s="13">
        <f>OCC_DAYS*$FB$41*R_NF_2023-FD388*MCD_SHARE_FREED*R_WAIT_2023</f>
        <v>151980.48282209205</v>
      </c>
      <c r="FM388">
        <f>IF($A388&lt;=$FB$45,1,0)</f>
        <v>0</v>
      </c>
      <c r="GB388">
        <f>IF($GB$31&lt;=$GB$32,IF($A388&lt;=$GB$7,1,2),IF($A388&lt;=RUNG_BEDS_2,2,1))</f>
        <v>1</v>
      </c>
      <c r="GC388" s="5">
        <f>MIN(1,MAX(0,$GB$26-($A388-1)))</f>
        <v>0</v>
      </c>
      <c r="GD388" s="5">
        <f>$GB$25*(GC388+(1-GC388)*$GB$16)</f>
        <v>0.0</v>
      </c>
      <c r="GE388" s="13">
        <f>GD388*($GB$6+ACUTE_MARGIN)</f>
        <v>0.0</v>
      </c>
      <c r="GF388" s="13">
        <f>IF(GB388=1,$GB$31,$GB$32)</f>
        <v>152394.16214437486</v>
      </c>
      <c r="GG388" s="13">
        <f>GE388-GF388</f>
        <v>-152394.16214437486</v>
      </c>
      <c r="GH388" s="13">
        <f>GH387+GG388</f>
        <v>-8251248.825762003</v>
      </c>
      <c r="GI388">
        <f>IF(GH388=MAX($GH$83:$GH$483),$A388,0)</f>
        <v>0</v>
      </c>
      <c r="GJ388">
        <f>IF(GE388&lt;GF388,$A388,B_MAX+1)</f>
        <v>305</v>
      </c>
      <c r="GK388" s="13">
        <f>IF(GB388=1,$GB$35,$GB$36)</f>
        <v>0</v>
      </c>
      <c r="GL388" s="13">
        <f>OCC_DAYS*$GB$41*R_NF_2023-GD388*MCD_SHARE_FREED*R_WAIT_2023</f>
        <v>151980.48282209205</v>
      </c>
      <c r="GM388">
        <f>IF($A388&lt;=$GB$45,1,0)</f>
        <v>0</v>
      </c>
      <c r="HB388">
        <f>IF($HB$31&lt;=$HB$32,IF($A388&lt;=$HB$7,1,2),IF($A388&lt;=RUNG_BEDS_2,2,1))</f>
        <v>1</v>
      </c>
      <c r="HC388" s="5">
        <f>MIN(1,MAX(0,$HB$26-($A388-1)))</f>
        <v>0</v>
      </c>
      <c r="HD388" s="5">
        <f>$HB$25*(HC388+(1-HC388)*$HB$16)</f>
        <v>0.0</v>
      </c>
      <c r="HE388" s="13">
        <f>HD388*($HB$6+ACUTE_MARGIN)</f>
        <v>0.0</v>
      </c>
      <c r="HF388" s="13">
        <f>IF(HB388=1,$HB$31,$HB$32)</f>
        <v>152456.2970814058</v>
      </c>
      <c r="HG388" s="13">
        <f>HE388-HF388</f>
        <v>-152456.2970814058</v>
      </c>
      <c r="HH388" s="13">
        <f>HH387+HG388</f>
        <v>-8270199.981556484</v>
      </c>
      <c r="HI388">
        <f>IF(HH388=MAX($HH$83:$HH$483),$A388,0)</f>
        <v>0</v>
      </c>
      <c r="HJ388">
        <f>IF(HE388&lt;HF388,$A388,B_MAX+1)</f>
        <v>305</v>
      </c>
      <c r="HK388" s="13">
        <f>IF(HB388=1,$HB$35,$HB$36)</f>
        <v>0</v>
      </c>
      <c r="HL388" s="13">
        <f>OCC_DAYS*$HB$41*R_NF_2023-HD388*MCD_SHARE_FREED*R_WAIT_2023</f>
        <v>151980.48282209205</v>
      </c>
      <c r="HM388">
        <f>IF($A388&lt;=$HB$45,1,0)</f>
        <v>0</v>
      </c>
      <c r="IB388">
        <f>IF($IB$31&lt;=$IB$32,IF($A388&lt;=$IB$7,1,2),IF($A388&lt;=RUNG_BEDS_2,2,1))</f>
        <v>1</v>
      </c>
      <c r="IC388" s="5">
        <f>MIN(1,MAX(0,$IB$26-($A388-1)))</f>
        <v>0</v>
      </c>
      <c r="ID388" s="5">
        <f>$IB$25*(IC388+(1-IC388)*$IB$16)</f>
        <v>0.0</v>
      </c>
      <c r="IE388" s="13">
        <f>ID388*($IB$6+ACUTE_MARGIN)</f>
        <v>0.0</v>
      </c>
      <c r="IF388" s="13">
        <f>IF(IB388=1,$IB$31,$IB$32)</f>
        <v>152734.9994534971</v>
      </c>
      <c r="IG388" s="13">
        <f>IE388-IF388</f>
        <v>-152734.9994534971</v>
      </c>
      <c r="IH388" s="13">
        <f>IH387+IG388</f>
        <v>-8355204.205044373</v>
      </c>
      <c r="II388">
        <f>IF(IH388=MAX($IH$83:$IH$483),$A388,0)</f>
        <v>0</v>
      </c>
      <c r="IJ388">
        <f>IF(IE388&lt;IF388,$A388,B_MAX+1)</f>
        <v>305</v>
      </c>
      <c r="IK388" s="13">
        <f>IF(IB388=1,$IB$35,$IB$36)</f>
        <v>0</v>
      </c>
      <c r="IL388" s="13">
        <f>OCC_DAYS*$IB$41*R_NF_2023-ID388*MCD_SHARE_FREED*R_WAIT_2023</f>
        <v>151980.48282209205</v>
      </c>
      <c r="IM388">
        <f>IF($A388&lt;=$IB$45,1,0)</f>
        <v>0</v>
      </c>
      <c r="JB388">
        <f>IF($JB$31&lt;=$JB$32,IF($A388&lt;=$JB$7,1,2),IF($A388&lt;=RUNG_BEDS_2,2,1))</f>
        <v>1</v>
      </c>
      <c r="JC388" s="5">
        <f>MIN(1,MAX(0,$JB$26-($A388-1)))</f>
        <v>0</v>
      </c>
      <c r="JD388" s="5">
        <f>$JB$25*(JC388+(1-JC388)*$JB$16)</f>
        <v>0.0</v>
      </c>
      <c r="JE388" s="13">
        <f>JD388*($JB$6+ACUTE_MARGIN)</f>
        <v>0.0</v>
      </c>
      <c r="JF388" s="13">
        <f>IF(JB388=1,$JB$31,$JB$32)</f>
        <v>152394.16214437486</v>
      </c>
      <c r="JG388" s="13">
        <f>JE388-JF388</f>
        <v>-152394.16214437486</v>
      </c>
      <c r="JH388" s="13">
        <f>JH387+JG388</f>
        <v>-8251248.825762003</v>
      </c>
      <c r="JI388">
        <f>IF(JH388=MAX($JH$83:$JH$483),$A388,0)</f>
        <v>0</v>
      </c>
      <c r="JJ388">
        <f>IF(JE388&lt;JF388,$A388,B_MAX+1)</f>
        <v>305</v>
      </c>
      <c r="JK388" s="13">
        <f>IF(JB388=1,$JB$35,$JB$36)</f>
        <v>0</v>
      </c>
      <c r="JL388" s="13">
        <f>OCC_DAYS*$JB$41*R_NF_2023-JD388*MCD_SHARE_FREED*R_WAIT_2023</f>
        <v>151980.48282209205</v>
      </c>
      <c r="JM388">
        <f>IF($A388&lt;=$JB$45,1,0)</f>
        <v>0</v>
      </c>
      <c r="KB388">
        <f>IF($KB$31&lt;=$KB$32,IF($A388&lt;=$KB$7,1,2),IF($A388&lt;=RUNG_BEDS_2,2,1))</f>
        <v>1</v>
      </c>
      <c r="KC388" s="5">
        <f>MIN(1,MAX(0,$KB$26-($A388-1)))</f>
        <v>0</v>
      </c>
      <c r="KD388" s="5">
        <f>$KB$25*(KC388+(1-KC388)*$KB$16)</f>
        <v>0.0</v>
      </c>
      <c r="KE388" s="13">
        <f>KD388*($KB$6+ACUTE_MARGIN)</f>
        <v>0.0</v>
      </c>
      <c r="KF388" s="13">
        <f>IF(KB388=1,$KB$31,$KB$32)</f>
        <v>152394.16214437486</v>
      </c>
      <c r="KG388" s="13">
        <f>KE388-KF388</f>
        <v>-152394.16214437486</v>
      </c>
      <c r="KH388" s="13">
        <f>KH387+KG388</f>
        <v>-8251248.82576211</v>
      </c>
      <c r="KI388">
        <f>IF(KH388=MAX($KH$83:$KH$483),$A388,0)</f>
        <v>0</v>
      </c>
      <c r="KJ388">
        <f>IF(KE388&lt;KF388,$A388,B_MAX+1)</f>
        <v>305</v>
      </c>
      <c r="KK388" s="13">
        <f>IF(KB388=1,$KB$35,$KB$36)</f>
        <v>0</v>
      </c>
      <c r="KL388" s="13">
        <f>OCC_DAYS*$KB$41*R_NF_2023-KD388*MCD_SHARE_FREED*R_WAIT_2023</f>
        <v>151980.48282209205</v>
      </c>
      <c r="KM388">
        <f>IF($A388&lt;=$KB$45,1,0)</f>
        <v>0</v>
      </c>
      <c r="LB388">
        <f>IF($LB$31&lt;=$LB$32,IF($A388&lt;=$LB$7,1,2),IF($A388&lt;=RUNG_BEDS_2,2,1))</f>
        <v>1</v>
      </c>
      <c r="LC388" s="5">
        <f>MIN(1,MAX(0,$LB$26-($A388-1)))</f>
        <v>1</v>
      </c>
      <c r="LD388" s="5">
        <f>$LB$25*(LC388+(1-LC388)*$LB$16)</f>
        <v>84.01774238227146</v>
      </c>
      <c r="LE388" s="13">
        <f>LD388*($LB$6+ACUTE_MARGIN)</f>
        <v>84857.91980609419</v>
      </c>
      <c r="LF388" s="13">
        <f>IF(LB388=1,$LB$31,$LB$32)</f>
        <v>152394.16214437486</v>
      </c>
      <c r="LG388" s="13">
        <f>LE388-LF388</f>
        <v>-67536.24233828067</v>
      </c>
      <c r="LH388" s="13">
        <f>LH387+LG388</f>
        <v>-20598553.913175713</v>
      </c>
      <c r="LI388">
        <f>IF(LH388=MAX($LH$83:$LH$483),$A388,0)</f>
        <v>0</v>
      </c>
      <c r="LJ388">
        <f>IF(LE388&lt;LF388,$A388,B_MAX+1)</f>
        <v>305</v>
      </c>
      <c r="LK388" s="13">
        <f>IF(LB388=1,$LB$35,$LB$36)</f>
        <v>0</v>
      </c>
      <c r="LL388" s="13">
        <f>OCC_DAYS*$LB$41*R_NF_2023-LD388*MCD_SHARE_FREED*R_WAIT_2023</f>
        <v>113776.04162887059</v>
      </c>
      <c r="LM388">
        <f>IF($A388&lt;=$LB$45,1,0)</f>
        <v>0</v>
      </c>
      <c r="MB388">
        <f>IF($MB$31&lt;=$MB$32,IF($A388&lt;=$MB$7,1,2),IF($A388&lt;=RUNG_BEDS_2,2,1))</f>
        <v>1</v>
      </c>
      <c r="MC388" s="5">
        <f>MIN(1,MAX(0,$MB$26-($A388-1)))</f>
        <v>0</v>
      </c>
      <c r="MD388" s="5">
        <f>$MB$25*(MC388+(1-MC388)*$MB$16)</f>
        <v>0.0</v>
      </c>
      <c r="ME388" s="13">
        <f>MD388*($MB$6+ACUTE_MARGIN)</f>
        <v>0.0</v>
      </c>
      <c r="MF388" s="13">
        <f>IF(MB388=1,$MB$31,$MB$32)</f>
        <v>152394.16214437486</v>
      </c>
      <c r="MG388" s="13">
        <f>ME388-MF388</f>
        <v>-152394.16214437486</v>
      </c>
      <c r="MH388" s="13">
        <f>MH387+MG388</f>
        <v>-14138524.887560304</v>
      </c>
      <c r="MI388">
        <f>IF(MH388=MAX($MH$83:$MH$483),$A388,0)</f>
        <v>0</v>
      </c>
      <c r="MJ388">
        <f>IF(ME388&lt;MF388,$A388,B_MAX+1)</f>
        <v>305</v>
      </c>
      <c r="MK388" s="13">
        <f>IF(MB388=1,$MB$35,$MB$36)</f>
        <v>0</v>
      </c>
      <c r="ML388" s="13">
        <f>OCC_DAYS*$MB$41*R_NF_2023-MD388*MCD_SHARE_FREED*R_WAIT_2023</f>
        <v>151980.48282209205</v>
      </c>
      <c r="MM388">
        <f>IF($A388&lt;=$MB$45,1,0)</f>
        <v>0</v>
      </c>
      <c r="NB388">
        <f>IF($NB$31&lt;=$NB$32,IF($A388&lt;=$NB$7,1,2),IF($A388&lt;=RUNG_BEDS_2,2,1))</f>
        <v>1</v>
      </c>
      <c r="NC388" s="5">
        <f>MIN(1,MAX(0,$NB$26-($A388-1)))</f>
        <v>0</v>
      </c>
      <c r="ND388" s="5">
        <f>$NB$25*(NC388+(1-NC388)*$NB$16)</f>
        <v>63.013306786703595</v>
      </c>
      <c r="NE388" s="13">
        <f>ND388*($NB$6+ACUTE_MARGIN)</f>
        <v>63643.43985457063</v>
      </c>
      <c r="NF388" s="13">
        <f>IF(NB388=1,$NB$31,$NB$32)</f>
        <v>152394.16214437486</v>
      </c>
      <c r="NG388" s="13">
        <f>NE388-NF388</f>
        <v>-88750.72228980422</v>
      </c>
      <c r="NH388" s="13">
        <f>NH387+NG388</f>
        <v>1602757.6728139347</v>
      </c>
      <c r="NI388">
        <f>IF(NH388=MAX($NH$83:$NH$483),$A388,0)</f>
        <v>0</v>
      </c>
      <c r="NJ388">
        <f>IF(NE388&lt;NF388,$A388,B_MAX+1)</f>
        <v>305</v>
      </c>
      <c r="NK388" s="13">
        <f>IF(NB388=1,$NB$35,$NB$36)</f>
        <v>0</v>
      </c>
      <c r="NL388" s="13">
        <f>OCC_DAYS*$NB$41*R_NF_2023-ND388*MCD_SHARE_FREED*R_WAIT_2023</f>
        <v>123327.15192717595</v>
      </c>
      <c r="NM388">
        <f>IF($A388&lt;=$NB$45,1,0)</f>
        <v>0</v>
      </c>
      <c r="OB388">
        <f>IF($OB$31&lt;=$OB$32,IF($A388&lt;=$OB$7,1,2),IF($A388&lt;=RUNG_BEDS_2,2,1))</f>
        <v>1</v>
      </c>
      <c r="OC388" s="5">
        <f>MIN(1,MAX(0,$OB$26-($A388-1)))</f>
        <v>0</v>
      </c>
      <c r="OD388" s="5">
        <f>$OB$25*(OC388+(1-OC388)*$OB$16)</f>
        <v>126.02661357340719</v>
      </c>
      <c r="OE388" s="13">
        <f>OD388*($OB$6+ACUTE_MARGIN)</f>
        <v>127286.87970914126</v>
      </c>
      <c r="OF388" s="13">
        <f>IF(OB388=1,$OB$31,$OB$32)</f>
        <v>152394.16214437486</v>
      </c>
      <c r="OG388" s="13">
        <f>OE388-OF388</f>
        <v>-25107.282435233603</v>
      </c>
      <c r="OH388" s="13">
        <f>OH387+OG388</f>
        <v>11456764.171390062</v>
      </c>
      <c r="OI388">
        <f>IF(OH388=MAX($OH$83:$OH$483),$A388,0)</f>
        <v>0</v>
      </c>
      <c r="OJ388">
        <f>IF(OE388&lt;OF388,$A388,B_MAX+1)</f>
        <v>305</v>
      </c>
      <c r="OK388" s="13">
        <f>IF(OB388=1,$OB$35,$OB$36)</f>
        <v>0</v>
      </c>
      <c r="OL388" s="13">
        <f>OCC_DAYS*$OB$41*R_NF_2023-OD388*MCD_SHARE_FREED*R_WAIT_2023</f>
        <v>94673.82103225985</v>
      </c>
      <c r="OM388">
        <f>IF($A388&lt;=$OB$45,1,0)</f>
        <v>0</v>
      </c>
    </row>
    <row r="389">
      <c r="A389" t="n">
        <v>306</v>
      </c>
      <c r="B389">
        <f>IF($B$31&lt;=$B$32,IF($A389&lt;=$B$7,1,2),IF($A389&lt;=RUNG_BEDS_2,2,1))</f>
        <v>1</v>
      </c>
      <c r="C389" s="5">
        <f>MIN(1,MAX(0,$B$26-($A389-1)))</f>
        <v>0</v>
      </c>
      <c r="D389" s="5">
        <f>$B$25*(C389+(1-C389)*$B$16)</f>
        <v>0.0</v>
      </c>
      <c r="E389" s="13">
        <f>D389*($B$6+ACUTE_MARGIN)</f>
        <v>0.0</v>
      </c>
      <c r="F389" s="13">
        <f>IF(B389=1,$B$31,$B$32)</f>
        <v>152394.16214437486</v>
      </c>
      <c r="G389" s="13">
        <f>E389-F389</f>
        <v>-152394.16214437486</v>
      </c>
      <c r="H389" s="13">
        <f>H388+G389</f>
        <v>-8403642.987906378</v>
      </c>
      <c r="I389">
        <f>IF(H389=MAX($H$83:$H$483),$A389,0)</f>
        <v>0</v>
      </c>
      <c r="J389">
        <f>IF(E389&lt;F389,$A389,B_MAX+1)</f>
        <v>306</v>
      </c>
      <c r="K389" s="13">
        <f>IF(B389=1,$B$35,$B$36)</f>
        <v>0</v>
      </c>
      <c r="L389" s="13">
        <f>OCC_DAYS*$B$41*R_NF_2023-D389*MCD_SHARE_FREED*R_WAIT_2023</f>
        <v>151980.48282209205</v>
      </c>
      <c r="M389">
        <f>IF($A389&lt;=$B$45,1,0)</f>
        <v>0</v>
      </c>
      <c r="AB389">
        <f>IF($AB$31&lt;=$AB$32,IF($A389&lt;=$AB$7,1,2),IF($A389&lt;=RUNG_BEDS_2,2,1))</f>
        <v>1</v>
      </c>
      <c r="AC389" s="5">
        <f>MIN(1,MAX(0,$AB$26-($A389-1)))</f>
        <v>0</v>
      </c>
      <c r="AD389" s="5">
        <f>$AB$25*(AC389+(1-AC389)*$AB$16)</f>
        <v>0.0</v>
      </c>
      <c r="AE389" s="13">
        <f>AD389*($AB$6+ACUTE_MARGIN)</f>
        <v>0.0</v>
      </c>
      <c r="AF389" s="13">
        <f>IF(AB389=1,$AB$31,$AB$32)</f>
        <v>152394.16214437486</v>
      </c>
      <c r="AG389" s="13">
        <f>AE389-AF389</f>
        <v>-152394.16214437486</v>
      </c>
      <c r="AH389" s="13">
        <f>AH388+AG389</f>
        <v>-25814857.333456114</v>
      </c>
      <c r="AI389">
        <f>IF(AH389=MAX($AH$83:$AH$483),$A389,0)</f>
        <v>0</v>
      </c>
      <c r="AJ389">
        <f>IF(AE389&lt;AF389,$A389,B_MAX+1)</f>
        <v>306</v>
      </c>
      <c r="AK389" s="13">
        <f>IF(AB389=1,$AB$35,$AB$36)</f>
        <v>0</v>
      </c>
      <c r="AL389" s="13">
        <f>OCC_DAYS*$AB$41*R_NF_2023-AD389*MCD_SHARE_FREED*R_WAIT_2023</f>
        <v>151980.48282209205</v>
      </c>
      <c r="AM389">
        <f>IF($A389&lt;=$AB$45,1,0)</f>
        <v>0</v>
      </c>
      <c r="BB389">
        <f>IF($BB$31&lt;=$BB$32,IF($A389&lt;=$BB$7,1,2),IF($A389&lt;=RUNG_BEDS_2,2,1))</f>
        <v>1</v>
      </c>
      <c r="BC389" s="5">
        <f>MIN(1,MAX(0,$BB$26-($A389-1)))</f>
        <v>0</v>
      </c>
      <c r="BD389" s="5">
        <f>$BB$25*(BC389+(1-BC389)*$BB$16)</f>
        <v>0.0</v>
      </c>
      <c r="BE389" s="13">
        <f>BD389*($BB$6+ACUTE_MARGIN)</f>
        <v>0.0</v>
      </c>
      <c r="BF389" s="13">
        <f>IF(BB389=1,$BB$31,$BB$32)</f>
        <v>152394.16214437486</v>
      </c>
      <c r="BG389" s="13">
        <f>BE389-BF389</f>
        <v>-152394.16214437486</v>
      </c>
      <c r="BH389" s="13">
        <f>BH388+BG389</f>
        <v>9007571.35764338</v>
      </c>
      <c r="BI389">
        <f>IF(BH389=MAX($BH$83:$BH$483),$A389,0)</f>
        <v>0</v>
      </c>
      <c r="BJ389">
        <f>IF(BE389&lt;BF389,$A389,B_MAX+1)</f>
        <v>306</v>
      </c>
      <c r="BK389" s="13">
        <f>IF(BB389=1,$BB$35,$BB$36)</f>
        <v>0</v>
      </c>
      <c r="BL389" s="13">
        <f>OCC_DAYS*$BB$41*R_NF_2023-BD389*MCD_SHARE_FREED*R_WAIT_2023</f>
        <v>151980.48282209205</v>
      </c>
      <c r="BM389">
        <f>IF($A389&lt;=$BB$45,1,0)</f>
        <v>0</v>
      </c>
      <c r="CB389">
        <f>IF($CB$31&lt;=$CB$32,IF($A389&lt;=$CB$7,1,2),IF($A389&lt;=RUNG_BEDS_2,2,1))</f>
        <v>2</v>
      </c>
      <c r="CC389" s="5">
        <f>MIN(1,MAX(0,$CB$26-($A389-1)))</f>
        <v>0</v>
      </c>
      <c r="CD389" s="5">
        <f>$CB$25*(CC389+(1-CC389)*$CB$16)</f>
        <v>0.0</v>
      </c>
      <c r="CE389" s="13">
        <f>CD389*($CB$6+ACUTE_MARGIN)</f>
        <v>0.0</v>
      </c>
      <c r="CF389" s="13">
        <f>IF(CB389=1,$CB$31,$CB$32)</f>
        <v>160718.36940738867</v>
      </c>
      <c r="CG389" s="13">
        <f>CE389-CF389</f>
        <v>-160718.36940738867</v>
      </c>
      <c r="CH389" s="13">
        <f>CH388+CG389</f>
        <v>-10950850.410388716</v>
      </c>
      <c r="CI389">
        <f>IF(CH389=MAX($CH$83:$CH$483),$A389,0)</f>
        <v>0</v>
      </c>
      <c r="CJ389">
        <f>IF(CE389&lt;CF389,$A389,B_MAX+1)</f>
        <v>306</v>
      </c>
      <c r="CK389" s="13">
        <f>IF(CB389=1,$CB$35,$CB$36)</f>
        <v>1560.1194073886782</v>
      </c>
      <c r="CL389" s="13">
        <f>OCC_DAYS*$CB$41*R_NF_2023-CD389*MCD_SHARE_FREED*R_WAIT_2023</f>
        <v>151980.48282209205</v>
      </c>
      <c r="CM389">
        <f>IF($A389&lt;=$CB$45,1,0)</f>
        <v>0</v>
      </c>
      <c r="DB389">
        <f>IF($DB$31&lt;=$DB$32,IF($A389&lt;=$DB$7,1,2),IF($A389&lt;=RUNG_BEDS_2,2,1))</f>
        <v>1</v>
      </c>
      <c r="DC389" s="5">
        <f>MIN(1,MAX(0,$DB$26-($A389-1)))</f>
        <v>0</v>
      </c>
      <c r="DD389" s="5">
        <f>$DB$25*(DC389+(1-DC389)*$DB$16)</f>
        <v>0.0</v>
      </c>
      <c r="DE389" s="13">
        <f>DD389*($DB$6+ACUTE_MARGIN)</f>
        <v>0.0</v>
      </c>
      <c r="DF389" s="13">
        <f>IF(DB389=1,$DB$31,$DB$32)</f>
        <v>152394.16214437486</v>
      </c>
      <c r="DG389" s="13">
        <f>DE389-DF389</f>
        <v>-152394.16214437486</v>
      </c>
      <c r="DH389" s="13">
        <f>DH388+DG389</f>
        <v>-8403642.987906378</v>
      </c>
      <c r="DI389">
        <f>IF(DH389=MAX($DH$83:$DH$483),$A389,0)</f>
        <v>0</v>
      </c>
      <c r="DJ389">
        <f>IF(DE389&lt;DF389,$A389,B_MAX+1)</f>
        <v>306</v>
      </c>
      <c r="DK389" s="13">
        <f>IF(DB389=1,$DB$35,$DB$36)</f>
        <v>0</v>
      </c>
      <c r="DL389" s="13">
        <f>OCC_DAYS*$DB$41*R_NF_2023-DD389*MCD_SHARE_FREED*R_WAIT_2023</f>
        <v>151980.48282209205</v>
      </c>
      <c r="DM389">
        <f>IF($A389&lt;=$DB$45,1,0)</f>
        <v>0</v>
      </c>
      <c r="EB389">
        <f>IF($EB$31&lt;=$EB$32,IF($A389&lt;=$EB$7,1,2),IF($A389&lt;=RUNG_BEDS_2,2,1))</f>
        <v>1</v>
      </c>
      <c r="EC389" s="5">
        <f>MIN(1,MAX(0,$EB$26-($A389-1)))</f>
        <v>0</v>
      </c>
      <c r="ED389" s="5">
        <f>$EB$25*(EC389+(1-EC389)*$EB$16)</f>
        <v>0.0</v>
      </c>
      <c r="EE389" s="13">
        <f>ED389*($EB$6+ACUTE_MARGIN)</f>
        <v>0.0</v>
      </c>
      <c r="EF389" s="13">
        <f>IF(EB389=1,$EB$31,$EB$32)</f>
        <v>152394.16214437486</v>
      </c>
      <c r="EG389" s="13">
        <f>EE389-EF389</f>
        <v>-152394.16214437486</v>
      </c>
      <c r="EH389" s="13">
        <f>EH388+EG389</f>
        <v>-8403642.987906378</v>
      </c>
      <c r="EI389">
        <f>IF(EH389=MAX($EH$83:$EH$483),$A389,0)</f>
        <v>0</v>
      </c>
      <c r="EJ389">
        <f>IF(EE389&lt;EF389,$A389,B_MAX+1)</f>
        <v>306</v>
      </c>
      <c r="EK389" s="13">
        <f>IF(EB389=1,$EB$35,$EB$36)</f>
        <v>0</v>
      </c>
      <c r="EL389" s="13">
        <f>OCC_DAYS*$EB$41*R_NF_2023-ED389*MCD_SHARE_FREED*R_WAIT_2023</f>
        <v>50660.16094069735</v>
      </c>
      <c r="EM389">
        <f>IF($A389&lt;=$EB$45,1,0)</f>
        <v>0</v>
      </c>
      <c r="FB389">
        <f>IF($FB$31&lt;=$FB$32,IF($A389&lt;=$FB$7,1,2),IF($A389&lt;=RUNG_BEDS_2,2,1))</f>
        <v>1</v>
      </c>
      <c r="FC389" s="5">
        <f>MIN(1,MAX(0,$FB$26-($A389-1)))</f>
        <v>0</v>
      </c>
      <c r="FD389" s="5">
        <f>$FB$25*(FC389+(1-FC389)*$FB$16)</f>
        <v>0.0</v>
      </c>
      <c r="FE389" s="13">
        <f>FD389*($FB$6+ACUTE_MARGIN)</f>
        <v>0.0</v>
      </c>
      <c r="FF389" s="13">
        <f>IF(FB389=1,$FB$31,$FB$32)</f>
        <v>156636.04979437485</v>
      </c>
      <c r="FG389" s="13">
        <f>FE389-FF389</f>
        <v>-156636.04979437485</v>
      </c>
      <c r="FH389" s="13">
        <f>FH388+FG389</f>
        <v>-9701660.608806483</v>
      </c>
      <c r="FI389">
        <f>IF(FH389=MAX($FH$83:$FH$483),$A389,0)</f>
        <v>0</v>
      </c>
      <c r="FJ389">
        <f>IF(FE389&lt;FF389,$A389,B_MAX+1)</f>
        <v>306</v>
      </c>
      <c r="FK389" s="13">
        <f>IF(FB389=1,$FB$35,$FB$36)</f>
        <v>0</v>
      </c>
      <c r="FL389" s="13">
        <f>OCC_DAYS*$FB$41*R_NF_2023-FD389*MCD_SHARE_FREED*R_WAIT_2023</f>
        <v>151980.48282209205</v>
      </c>
      <c r="FM389">
        <f>IF($A389&lt;=$FB$45,1,0)</f>
        <v>0</v>
      </c>
      <c r="GB389">
        <f>IF($GB$31&lt;=$GB$32,IF($A389&lt;=$GB$7,1,2),IF($A389&lt;=RUNG_BEDS_2,2,1))</f>
        <v>1</v>
      </c>
      <c r="GC389" s="5">
        <f>MIN(1,MAX(0,$GB$26-($A389-1)))</f>
        <v>0</v>
      </c>
      <c r="GD389" s="5">
        <f>$GB$25*(GC389+(1-GC389)*$GB$16)</f>
        <v>0.0</v>
      </c>
      <c r="GE389" s="13">
        <f>GD389*($GB$6+ACUTE_MARGIN)</f>
        <v>0.0</v>
      </c>
      <c r="GF389" s="13">
        <f>IF(GB389=1,$GB$31,$GB$32)</f>
        <v>152394.16214437486</v>
      </c>
      <c r="GG389" s="13">
        <f>GE389-GF389</f>
        <v>-152394.16214437486</v>
      </c>
      <c r="GH389" s="13">
        <f>GH388+GG389</f>
        <v>-8403642.987906378</v>
      </c>
      <c r="GI389">
        <f>IF(GH389=MAX($GH$83:$GH$483),$A389,0)</f>
        <v>0</v>
      </c>
      <c r="GJ389">
        <f>IF(GE389&lt;GF389,$A389,B_MAX+1)</f>
        <v>306</v>
      </c>
      <c r="GK389" s="13">
        <f>IF(GB389=1,$GB$35,$GB$36)</f>
        <v>0</v>
      </c>
      <c r="GL389" s="13">
        <f>OCC_DAYS*$GB$41*R_NF_2023-GD389*MCD_SHARE_FREED*R_WAIT_2023</f>
        <v>151980.48282209205</v>
      </c>
      <c r="GM389">
        <f>IF($A389&lt;=$GB$45,1,0)</f>
        <v>0</v>
      </c>
      <c r="HB389">
        <f>IF($HB$31&lt;=$HB$32,IF($A389&lt;=$HB$7,1,2),IF($A389&lt;=RUNG_BEDS_2,2,1))</f>
        <v>1</v>
      </c>
      <c r="HC389" s="5">
        <f>MIN(1,MAX(0,$HB$26-($A389-1)))</f>
        <v>0</v>
      </c>
      <c r="HD389" s="5">
        <f>$HB$25*(HC389+(1-HC389)*$HB$16)</f>
        <v>0.0</v>
      </c>
      <c r="HE389" s="13">
        <f>HD389*($HB$6+ACUTE_MARGIN)</f>
        <v>0.0</v>
      </c>
      <c r="HF389" s="13">
        <f>IF(HB389=1,$HB$31,$HB$32)</f>
        <v>152456.2970814058</v>
      </c>
      <c r="HG389" s="13">
        <f>HE389-HF389</f>
        <v>-152456.2970814058</v>
      </c>
      <c r="HH389" s="13">
        <f>HH388+HG389</f>
        <v>-8422656.27863789</v>
      </c>
      <c r="HI389">
        <f>IF(HH389=MAX($HH$83:$HH$483),$A389,0)</f>
        <v>0</v>
      </c>
      <c r="HJ389">
        <f>IF(HE389&lt;HF389,$A389,B_MAX+1)</f>
        <v>306</v>
      </c>
      <c r="HK389" s="13">
        <f>IF(HB389=1,$HB$35,$HB$36)</f>
        <v>0</v>
      </c>
      <c r="HL389" s="13">
        <f>OCC_DAYS*$HB$41*R_NF_2023-HD389*MCD_SHARE_FREED*R_WAIT_2023</f>
        <v>151980.48282209205</v>
      </c>
      <c r="HM389">
        <f>IF($A389&lt;=$HB$45,1,0)</f>
        <v>0</v>
      </c>
      <c r="IB389">
        <f>IF($IB$31&lt;=$IB$32,IF($A389&lt;=$IB$7,1,2),IF($A389&lt;=RUNG_BEDS_2,2,1))</f>
        <v>1</v>
      </c>
      <c r="IC389" s="5">
        <f>MIN(1,MAX(0,$IB$26-($A389-1)))</f>
        <v>0</v>
      </c>
      <c r="ID389" s="5">
        <f>$IB$25*(IC389+(1-IC389)*$IB$16)</f>
        <v>0.0</v>
      </c>
      <c r="IE389" s="13">
        <f>ID389*($IB$6+ACUTE_MARGIN)</f>
        <v>0.0</v>
      </c>
      <c r="IF389" s="13">
        <f>IF(IB389=1,$IB$31,$IB$32)</f>
        <v>152734.9994534971</v>
      </c>
      <c r="IG389" s="13">
        <f>IE389-IF389</f>
        <v>-152734.9994534971</v>
      </c>
      <c r="IH389" s="13">
        <f>IH388+IG389</f>
        <v>-8507939.20449787</v>
      </c>
      <c r="II389">
        <f>IF(IH389=MAX($IH$83:$IH$483),$A389,0)</f>
        <v>0</v>
      </c>
      <c r="IJ389">
        <f>IF(IE389&lt;IF389,$A389,B_MAX+1)</f>
        <v>306</v>
      </c>
      <c r="IK389" s="13">
        <f>IF(IB389=1,$IB$35,$IB$36)</f>
        <v>0</v>
      </c>
      <c r="IL389" s="13">
        <f>OCC_DAYS*$IB$41*R_NF_2023-ID389*MCD_SHARE_FREED*R_WAIT_2023</f>
        <v>151980.48282209205</v>
      </c>
      <c r="IM389">
        <f>IF($A389&lt;=$IB$45,1,0)</f>
        <v>0</v>
      </c>
      <c r="JB389">
        <f>IF($JB$31&lt;=$JB$32,IF($A389&lt;=$JB$7,1,2),IF($A389&lt;=RUNG_BEDS_2,2,1))</f>
        <v>1</v>
      </c>
      <c r="JC389" s="5">
        <f>MIN(1,MAX(0,$JB$26-($A389-1)))</f>
        <v>0</v>
      </c>
      <c r="JD389" s="5">
        <f>$JB$25*(JC389+(1-JC389)*$JB$16)</f>
        <v>0.0</v>
      </c>
      <c r="JE389" s="13">
        <f>JD389*($JB$6+ACUTE_MARGIN)</f>
        <v>0.0</v>
      </c>
      <c r="JF389" s="13">
        <f>IF(JB389=1,$JB$31,$JB$32)</f>
        <v>152394.16214437486</v>
      </c>
      <c r="JG389" s="13">
        <f>JE389-JF389</f>
        <v>-152394.16214437486</v>
      </c>
      <c r="JH389" s="13">
        <f>JH388+JG389</f>
        <v>-8403642.987906378</v>
      </c>
      <c r="JI389">
        <f>IF(JH389=MAX($JH$83:$JH$483),$A389,0)</f>
        <v>0</v>
      </c>
      <c r="JJ389">
        <f>IF(JE389&lt;JF389,$A389,B_MAX+1)</f>
        <v>306</v>
      </c>
      <c r="JK389" s="13">
        <f>IF(JB389=1,$JB$35,$JB$36)</f>
        <v>0</v>
      </c>
      <c r="JL389" s="13">
        <f>OCC_DAYS*$JB$41*R_NF_2023-JD389*MCD_SHARE_FREED*R_WAIT_2023</f>
        <v>151980.48282209205</v>
      </c>
      <c r="JM389">
        <f>IF($A389&lt;=$JB$45,1,0)</f>
        <v>0</v>
      </c>
      <c r="KB389">
        <f>IF($KB$31&lt;=$KB$32,IF($A389&lt;=$KB$7,1,2),IF($A389&lt;=RUNG_BEDS_2,2,1))</f>
        <v>1</v>
      </c>
      <c r="KC389" s="5">
        <f>MIN(1,MAX(0,$KB$26-($A389-1)))</f>
        <v>0</v>
      </c>
      <c r="KD389" s="5">
        <f>$KB$25*(KC389+(1-KC389)*$KB$16)</f>
        <v>0.0</v>
      </c>
      <c r="KE389" s="13">
        <f>KD389*($KB$6+ACUTE_MARGIN)</f>
        <v>0.0</v>
      </c>
      <c r="KF389" s="13">
        <f>IF(KB389=1,$KB$31,$KB$32)</f>
        <v>152394.16214437486</v>
      </c>
      <c r="KG389" s="13">
        <f>KE389-KF389</f>
        <v>-152394.16214437486</v>
      </c>
      <c r="KH389" s="13">
        <f>KH388+KG389</f>
        <v>-8403642.987906484</v>
      </c>
      <c r="KI389">
        <f>IF(KH389=MAX($KH$83:$KH$483),$A389,0)</f>
        <v>0</v>
      </c>
      <c r="KJ389">
        <f>IF(KE389&lt;KF389,$A389,B_MAX+1)</f>
        <v>306</v>
      </c>
      <c r="KK389" s="13">
        <f>IF(KB389=1,$KB$35,$KB$36)</f>
        <v>0</v>
      </c>
      <c r="KL389" s="13">
        <f>OCC_DAYS*$KB$41*R_NF_2023-KD389*MCD_SHARE_FREED*R_WAIT_2023</f>
        <v>151980.48282209205</v>
      </c>
      <c r="KM389">
        <f>IF($A389&lt;=$KB$45,1,0)</f>
        <v>0</v>
      </c>
      <c r="LB389">
        <f>IF($LB$31&lt;=$LB$32,IF($A389&lt;=$LB$7,1,2),IF($A389&lt;=RUNG_BEDS_2,2,1))</f>
        <v>1</v>
      </c>
      <c r="LC389" s="5">
        <f>MIN(1,MAX(0,$LB$26-($A389-1)))</f>
        <v>1</v>
      </c>
      <c r="LD389" s="5">
        <f>$LB$25*(LC389+(1-LC389)*$LB$16)</f>
        <v>84.01774238227146</v>
      </c>
      <c r="LE389" s="13">
        <f>LD389*($LB$6+ACUTE_MARGIN)</f>
        <v>84857.91980609419</v>
      </c>
      <c r="LF389" s="13">
        <f>IF(LB389=1,$LB$31,$LB$32)</f>
        <v>152394.16214437486</v>
      </c>
      <c r="LG389" s="13">
        <f>LE389-LF389</f>
        <v>-67536.24233828067</v>
      </c>
      <c r="LH389" s="13">
        <f>LH388+LG389</f>
        <v>-20666090.155513994</v>
      </c>
      <c r="LI389">
        <f>IF(LH389=MAX($LH$83:$LH$483),$A389,0)</f>
        <v>0</v>
      </c>
      <c r="LJ389">
        <f>IF(LE389&lt;LF389,$A389,B_MAX+1)</f>
        <v>306</v>
      </c>
      <c r="LK389" s="13">
        <f>IF(LB389=1,$LB$35,$LB$36)</f>
        <v>0</v>
      </c>
      <c r="LL389" s="13">
        <f>OCC_DAYS*$LB$41*R_NF_2023-LD389*MCD_SHARE_FREED*R_WAIT_2023</f>
        <v>113776.04162887059</v>
      </c>
      <c r="LM389">
        <f>IF($A389&lt;=$LB$45,1,0)</f>
        <v>0</v>
      </c>
      <c r="MB389">
        <f>IF($MB$31&lt;=$MB$32,IF($A389&lt;=$MB$7,1,2),IF($A389&lt;=RUNG_BEDS_2,2,1))</f>
        <v>1</v>
      </c>
      <c r="MC389" s="5">
        <f>MIN(1,MAX(0,$MB$26-($A389-1)))</f>
        <v>0</v>
      </c>
      <c r="MD389" s="5">
        <f>$MB$25*(MC389+(1-MC389)*$MB$16)</f>
        <v>0.0</v>
      </c>
      <c r="ME389" s="13">
        <f>MD389*($MB$6+ACUTE_MARGIN)</f>
        <v>0.0</v>
      </c>
      <c r="MF389" s="13">
        <f>IF(MB389=1,$MB$31,$MB$32)</f>
        <v>152394.16214437486</v>
      </c>
      <c r="MG389" s="13">
        <f>ME389-MF389</f>
        <v>-152394.16214437486</v>
      </c>
      <c r="MH389" s="13">
        <f>MH388+MG389</f>
        <v>-14290919.049704678</v>
      </c>
      <c r="MI389">
        <f>IF(MH389=MAX($MH$83:$MH$483),$A389,0)</f>
        <v>0</v>
      </c>
      <c r="MJ389">
        <f>IF(ME389&lt;MF389,$A389,B_MAX+1)</f>
        <v>306</v>
      </c>
      <c r="MK389" s="13">
        <f>IF(MB389=1,$MB$35,$MB$36)</f>
        <v>0</v>
      </c>
      <c r="ML389" s="13">
        <f>OCC_DAYS*$MB$41*R_NF_2023-MD389*MCD_SHARE_FREED*R_WAIT_2023</f>
        <v>151980.48282209205</v>
      </c>
      <c r="MM389">
        <f>IF($A389&lt;=$MB$45,1,0)</f>
        <v>0</v>
      </c>
      <c r="NB389">
        <f>IF($NB$31&lt;=$NB$32,IF($A389&lt;=$NB$7,1,2),IF($A389&lt;=RUNG_BEDS_2,2,1))</f>
        <v>1</v>
      </c>
      <c r="NC389" s="5">
        <f>MIN(1,MAX(0,$NB$26-($A389-1)))</f>
        <v>0</v>
      </c>
      <c r="ND389" s="5">
        <f>$NB$25*(NC389+(1-NC389)*$NB$16)</f>
        <v>63.013306786703595</v>
      </c>
      <c r="NE389" s="13">
        <f>ND389*($NB$6+ACUTE_MARGIN)</f>
        <v>63643.43985457063</v>
      </c>
      <c r="NF389" s="13">
        <f>IF(NB389=1,$NB$31,$NB$32)</f>
        <v>152394.16214437486</v>
      </c>
      <c r="NG389" s="13">
        <f>NE389-NF389</f>
        <v>-88750.72228980422</v>
      </c>
      <c r="NH389" s="13">
        <f>NH388+NG389</f>
        <v>1514006.9505241306</v>
      </c>
      <c r="NI389">
        <f>IF(NH389=MAX($NH$83:$NH$483),$A389,0)</f>
        <v>0</v>
      </c>
      <c r="NJ389">
        <f>IF(NE389&lt;NF389,$A389,B_MAX+1)</f>
        <v>306</v>
      </c>
      <c r="NK389" s="13">
        <f>IF(NB389=1,$NB$35,$NB$36)</f>
        <v>0</v>
      </c>
      <c r="NL389" s="13">
        <f>OCC_DAYS*$NB$41*R_NF_2023-ND389*MCD_SHARE_FREED*R_WAIT_2023</f>
        <v>123327.15192717595</v>
      </c>
      <c r="NM389">
        <f>IF($A389&lt;=$NB$45,1,0)</f>
        <v>0</v>
      </c>
      <c r="OB389">
        <f>IF($OB$31&lt;=$OB$32,IF($A389&lt;=$OB$7,1,2),IF($A389&lt;=RUNG_BEDS_2,2,1))</f>
        <v>1</v>
      </c>
      <c r="OC389" s="5">
        <f>MIN(1,MAX(0,$OB$26-($A389-1)))</f>
        <v>0</v>
      </c>
      <c r="OD389" s="5">
        <f>$OB$25*(OC389+(1-OC389)*$OB$16)</f>
        <v>126.02661357340719</v>
      </c>
      <c r="OE389" s="13">
        <f>OD389*($OB$6+ACUTE_MARGIN)</f>
        <v>127286.87970914126</v>
      </c>
      <c r="OF389" s="13">
        <f>IF(OB389=1,$OB$31,$OB$32)</f>
        <v>152394.16214437486</v>
      </c>
      <c r="OG389" s="13">
        <f>OE389-OF389</f>
        <v>-25107.282435233603</v>
      </c>
      <c r="OH389" s="13">
        <f>OH388+OG389</f>
        <v>11431656.88895483</v>
      </c>
      <c r="OI389">
        <f>IF(OH389=MAX($OH$83:$OH$483),$A389,0)</f>
        <v>0</v>
      </c>
      <c r="OJ389">
        <f>IF(OE389&lt;OF389,$A389,B_MAX+1)</f>
        <v>306</v>
      </c>
      <c r="OK389" s="13">
        <f>IF(OB389=1,$OB$35,$OB$36)</f>
        <v>0</v>
      </c>
      <c r="OL389" s="13">
        <f>OCC_DAYS*$OB$41*R_NF_2023-OD389*MCD_SHARE_FREED*R_WAIT_2023</f>
        <v>94673.82103225985</v>
      </c>
      <c r="OM389">
        <f>IF($A389&lt;=$OB$45,1,0)</f>
        <v>0</v>
      </c>
    </row>
    <row r="390">
      <c r="A390" t="n">
        <v>307</v>
      </c>
      <c r="B390">
        <f>IF($B$31&lt;=$B$32,IF($A390&lt;=$B$7,1,2),IF($A390&lt;=RUNG_BEDS_2,2,1))</f>
        <v>1</v>
      </c>
      <c r="C390" s="5">
        <f>MIN(1,MAX(0,$B$26-($A390-1)))</f>
        <v>0</v>
      </c>
      <c r="D390" s="5">
        <f>$B$25*(C390+(1-C390)*$B$16)</f>
        <v>0.0</v>
      </c>
      <c r="E390" s="13">
        <f>D390*($B$6+ACUTE_MARGIN)</f>
        <v>0.0</v>
      </c>
      <c r="F390" s="13">
        <f>IF(B390=1,$B$31,$B$32)</f>
        <v>152394.16214437486</v>
      </c>
      <c r="G390" s="13">
        <f>E390-F390</f>
        <v>-152394.16214437486</v>
      </c>
      <c r="H390" s="13">
        <f>H389+G390</f>
        <v>-8556037.150050752</v>
      </c>
      <c r="I390">
        <f>IF(H390=MAX($H$83:$H$483),$A390,0)</f>
        <v>0</v>
      </c>
      <c r="J390">
        <f>IF(E390&lt;F390,$A390,B_MAX+1)</f>
        <v>307</v>
      </c>
      <c r="K390" s="13">
        <f>IF(B390=1,$B$35,$B$36)</f>
        <v>0</v>
      </c>
      <c r="L390" s="13">
        <f>OCC_DAYS*$B$41*R_NF_2023-D390*MCD_SHARE_FREED*R_WAIT_2023</f>
        <v>151980.48282209205</v>
      </c>
      <c r="M390">
        <f>IF($A390&lt;=$B$45,1,0)</f>
        <v>0</v>
      </c>
      <c r="AB390">
        <f>IF($AB$31&lt;=$AB$32,IF($A390&lt;=$AB$7,1,2),IF($A390&lt;=RUNG_BEDS_2,2,1))</f>
        <v>1</v>
      </c>
      <c r="AC390" s="5">
        <f>MIN(1,MAX(0,$AB$26-($A390-1)))</f>
        <v>0</v>
      </c>
      <c r="AD390" s="5">
        <f>$AB$25*(AC390+(1-AC390)*$AB$16)</f>
        <v>0.0</v>
      </c>
      <c r="AE390" s="13">
        <f>AD390*($AB$6+ACUTE_MARGIN)</f>
        <v>0.0</v>
      </c>
      <c r="AF390" s="13">
        <f>IF(AB390=1,$AB$31,$AB$32)</f>
        <v>152394.16214437486</v>
      </c>
      <c r="AG390" s="13">
        <f>AE390-AF390</f>
        <v>-152394.16214437486</v>
      </c>
      <c r="AH390" s="13">
        <f>AH389+AG390</f>
        <v>-25967251.495600488</v>
      </c>
      <c r="AI390">
        <f>IF(AH390=MAX($AH$83:$AH$483),$A390,0)</f>
        <v>0</v>
      </c>
      <c r="AJ390">
        <f>IF(AE390&lt;AF390,$A390,B_MAX+1)</f>
        <v>307</v>
      </c>
      <c r="AK390" s="13">
        <f>IF(AB390=1,$AB$35,$AB$36)</f>
        <v>0</v>
      </c>
      <c r="AL390" s="13">
        <f>OCC_DAYS*$AB$41*R_NF_2023-AD390*MCD_SHARE_FREED*R_WAIT_2023</f>
        <v>151980.48282209205</v>
      </c>
      <c r="AM390">
        <f>IF($A390&lt;=$AB$45,1,0)</f>
        <v>0</v>
      </c>
      <c r="BB390">
        <f>IF($BB$31&lt;=$BB$32,IF($A390&lt;=$BB$7,1,2),IF($A390&lt;=RUNG_BEDS_2,2,1))</f>
        <v>1</v>
      </c>
      <c r="BC390" s="5">
        <f>MIN(1,MAX(0,$BB$26-($A390-1)))</f>
        <v>0</v>
      </c>
      <c r="BD390" s="5">
        <f>$BB$25*(BC390+(1-BC390)*$BB$16)</f>
        <v>0.0</v>
      </c>
      <c r="BE390" s="13">
        <f>BD390*($BB$6+ACUTE_MARGIN)</f>
        <v>0.0</v>
      </c>
      <c r="BF390" s="13">
        <f>IF(BB390=1,$BB$31,$BB$32)</f>
        <v>152394.16214437486</v>
      </c>
      <c r="BG390" s="13">
        <f>BE390-BF390</f>
        <v>-152394.16214437486</v>
      </c>
      <c r="BH390" s="13">
        <f>BH389+BG390</f>
        <v>8855177.195499007</v>
      </c>
      <c r="BI390">
        <f>IF(BH390=MAX($BH$83:$BH$483),$A390,0)</f>
        <v>0</v>
      </c>
      <c r="BJ390">
        <f>IF(BE390&lt;BF390,$A390,B_MAX+1)</f>
        <v>307</v>
      </c>
      <c r="BK390" s="13">
        <f>IF(BB390=1,$BB$35,$BB$36)</f>
        <v>0</v>
      </c>
      <c r="BL390" s="13">
        <f>OCC_DAYS*$BB$41*R_NF_2023-BD390*MCD_SHARE_FREED*R_WAIT_2023</f>
        <v>151980.48282209205</v>
      </c>
      <c r="BM390">
        <f>IF($A390&lt;=$BB$45,1,0)</f>
        <v>0</v>
      </c>
      <c r="CB390">
        <f>IF($CB$31&lt;=$CB$32,IF($A390&lt;=$CB$7,1,2),IF($A390&lt;=RUNG_BEDS_2,2,1))</f>
        <v>2</v>
      </c>
      <c r="CC390" s="5">
        <f>MIN(1,MAX(0,$CB$26-($A390-1)))</f>
        <v>0</v>
      </c>
      <c r="CD390" s="5">
        <f>$CB$25*(CC390+(1-CC390)*$CB$16)</f>
        <v>0.0</v>
      </c>
      <c r="CE390" s="13">
        <f>CD390*($CB$6+ACUTE_MARGIN)</f>
        <v>0.0</v>
      </c>
      <c r="CF390" s="13">
        <f>IF(CB390=1,$CB$31,$CB$32)</f>
        <v>160718.36940738867</v>
      </c>
      <c r="CG390" s="13">
        <f>CE390-CF390</f>
        <v>-160718.36940738867</v>
      </c>
      <c r="CH390" s="13">
        <f>CH389+CG390</f>
        <v>-11111568.779796105</v>
      </c>
      <c r="CI390">
        <f>IF(CH390=MAX($CH$83:$CH$483),$A390,0)</f>
        <v>0</v>
      </c>
      <c r="CJ390">
        <f>IF(CE390&lt;CF390,$A390,B_MAX+1)</f>
        <v>307</v>
      </c>
      <c r="CK390" s="13">
        <f>IF(CB390=1,$CB$35,$CB$36)</f>
        <v>1560.1194073886782</v>
      </c>
      <c r="CL390" s="13">
        <f>OCC_DAYS*$CB$41*R_NF_2023-CD390*MCD_SHARE_FREED*R_WAIT_2023</f>
        <v>151980.48282209205</v>
      </c>
      <c r="CM390">
        <f>IF($A390&lt;=$CB$45,1,0)</f>
        <v>0</v>
      </c>
      <c r="DB390">
        <f>IF($DB$31&lt;=$DB$32,IF($A390&lt;=$DB$7,1,2),IF($A390&lt;=RUNG_BEDS_2,2,1))</f>
        <v>1</v>
      </c>
      <c r="DC390" s="5">
        <f>MIN(1,MAX(0,$DB$26-($A390-1)))</f>
        <v>0</v>
      </c>
      <c r="DD390" s="5">
        <f>$DB$25*(DC390+(1-DC390)*$DB$16)</f>
        <v>0.0</v>
      </c>
      <c r="DE390" s="13">
        <f>DD390*($DB$6+ACUTE_MARGIN)</f>
        <v>0.0</v>
      </c>
      <c r="DF390" s="13">
        <f>IF(DB390=1,$DB$31,$DB$32)</f>
        <v>152394.16214437486</v>
      </c>
      <c r="DG390" s="13">
        <f>DE390-DF390</f>
        <v>-152394.16214437486</v>
      </c>
      <c r="DH390" s="13">
        <f>DH389+DG390</f>
        <v>-8556037.150050752</v>
      </c>
      <c r="DI390">
        <f>IF(DH390=MAX($DH$83:$DH$483),$A390,0)</f>
        <v>0</v>
      </c>
      <c r="DJ390">
        <f>IF(DE390&lt;DF390,$A390,B_MAX+1)</f>
        <v>307</v>
      </c>
      <c r="DK390" s="13">
        <f>IF(DB390=1,$DB$35,$DB$36)</f>
        <v>0</v>
      </c>
      <c r="DL390" s="13">
        <f>OCC_DAYS*$DB$41*R_NF_2023-DD390*MCD_SHARE_FREED*R_WAIT_2023</f>
        <v>151980.48282209205</v>
      </c>
      <c r="DM390">
        <f>IF($A390&lt;=$DB$45,1,0)</f>
        <v>0</v>
      </c>
      <c r="EB390">
        <f>IF($EB$31&lt;=$EB$32,IF($A390&lt;=$EB$7,1,2),IF($A390&lt;=RUNG_BEDS_2,2,1))</f>
        <v>1</v>
      </c>
      <c r="EC390" s="5">
        <f>MIN(1,MAX(0,$EB$26-($A390-1)))</f>
        <v>0</v>
      </c>
      <c r="ED390" s="5">
        <f>$EB$25*(EC390+(1-EC390)*$EB$16)</f>
        <v>0.0</v>
      </c>
      <c r="EE390" s="13">
        <f>ED390*($EB$6+ACUTE_MARGIN)</f>
        <v>0.0</v>
      </c>
      <c r="EF390" s="13">
        <f>IF(EB390=1,$EB$31,$EB$32)</f>
        <v>152394.16214437486</v>
      </c>
      <c r="EG390" s="13">
        <f>EE390-EF390</f>
        <v>-152394.16214437486</v>
      </c>
      <c r="EH390" s="13">
        <f>EH389+EG390</f>
        <v>-8556037.150050752</v>
      </c>
      <c r="EI390">
        <f>IF(EH390=MAX($EH$83:$EH$483),$A390,0)</f>
        <v>0</v>
      </c>
      <c r="EJ390">
        <f>IF(EE390&lt;EF390,$A390,B_MAX+1)</f>
        <v>307</v>
      </c>
      <c r="EK390" s="13">
        <f>IF(EB390=1,$EB$35,$EB$36)</f>
        <v>0</v>
      </c>
      <c r="EL390" s="13">
        <f>OCC_DAYS*$EB$41*R_NF_2023-ED390*MCD_SHARE_FREED*R_WAIT_2023</f>
        <v>50660.16094069735</v>
      </c>
      <c r="EM390">
        <f>IF($A390&lt;=$EB$45,1,0)</f>
        <v>0</v>
      </c>
      <c r="FB390">
        <f>IF($FB$31&lt;=$FB$32,IF($A390&lt;=$FB$7,1,2),IF($A390&lt;=RUNG_BEDS_2,2,1))</f>
        <v>1</v>
      </c>
      <c r="FC390" s="5">
        <f>MIN(1,MAX(0,$FB$26-($A390-1)))</f>
        <v>0</v>
      </c>
      <c r="FD390" s="5">
        <f>$FB$25*(FC390+(1-FC390)*$FB$16)</f>
        <v>0.0</v>
      </c>
      <c r="FE390" s="13">
        <f>FD390*($FB$6+ACUTE_MARGIN)</f>
        <v>0.0</v>
      </c>
      <c r="FF390" s="13">
        <f>IF(FB390=1,$FB$31,$FB$32)</f>
        <v>156636.04979437485</v>
      </c>
      <c r="FG390" s="13">
        <f>FE390-FF390</f>
        <v>-156636.04979437485</v>
      </c>
      <c r="FH390" s="13">
        <f>FH389+FG390</f>
        <v>-9858296.658600857</v>
      </c>
      <c r="FI390">
        <f>IF(FH390=MAX($FH$83:$FH$483),$A390,0)</f>
        <v>0</v>
      </c>
      <c r="FJ390">
        <f>IF(FE390&lt;FF390,$A390,B_MAX+1)</f>
        <v>307</v>
      </c>
      <c r="FK390" s="13">
        <f>IF(FB390=1,$FB$35,$FB$36)</f>
        <v>0</v>
      </c>
      <c r="FL390" s="13">
        <f>OCC_DAYS*$FB$41*R_NF_2023-FD390*MCD_SHARE_FREED*R_WAIT_2023</f>
        <v>151980.48282209205</v>
      </c>
      <c r="FM390">
        <f>IF($A390&lt;=$FB$45,1,0)</f>
        <v>0</v>
      </c>
      <c r="GB390">
        <f>IF($GB$31&lt;=$GB$32,IF($A390&lt;=$GB$7,1,2),IF($A390&lt;=RUNG_BEDS_2,2,1))</f>
        <v>1</v>
      </c>
      <c r="GC390" s="5">
        <f>MIN(1,MAX(0,$GB$26-($A390-1)))</f>
        <v>0</v>
      </c>
      <c r="GD390" s="5">
        <f>$GB$25*(GC390+(1-GC390)*$GB$16)</f>
        <v>0.0</v>
      </c>
      <c r="GE390" s="13">
        <f>GD390*($GB$6+ACUTE_MARGIN)</f>
        <v>0.0</v>
      </c>
      <c r="GF390" s="13">
        <f>IF(GB390=1,$GB$31,$GB$32)</f>
        <v>152394.16214437486</v>
      </c>
      <c r="GG390" s="13">
        <f>GE390-GF390</f>
        <v>-152394.16214437486</v>
      </c>
      <c r="GH390" s="13">
        <f>GH389+GG390</f>
        <v>-8556037.150050752</v>
      </c>
      <c r="GI390">
        <f>IF(GH390=MAX($GH$83:$GH$483),$A390,0)</f>
        <v>0</v>
      </c>
      <c r="GJ390">
        <f>IF(GE390&lt;GF390,$A390,B_MAX+1)</f>
        <v>307</v>
      </c>
      <c r="GK390" s="13">
        <f>IF(GB390=1,$GB$35,$GB$36)</f>
        <v>0</v>
      </c>
      <c r="GL390" s="13">
        <f>OCC_DAYS*$GB$41*R_NF_2023-GD390*MCD_SHARE_FREED*R_WAIT_2023</f>
        <v>151980.48282209205</v>
      </c>
      <c r="GM390">
        <f>IF($A390&lt;=$GB$45,1,0)</f>
        <v>0</v>
      </c>
      <c r="HB390">
        <f>IF($HB$31&lt;=$HB$32,IF($A390&lt;=$HB$7,1,2),IF($A390&lt;=RUNG_BEDS_2,2,1))</f>
        <v>1</v>
      </c>
      <c r="HC390" s="5">
        <f>MIN(1,MAX(0,$HB$26-($A390-1)))</f>
        <v>0</v>
      </c>
      <c r="HD390" s="5">
        <f>$HB$25*(HC390+(1-HC390)*$HB$16)</f>
        <v>0.0</v>
      </c>
      <c r="HE390" s="13">
        <f>HD390*($HB$6+ACUTE_MARGIN)</f>
        <v>0.0</v>
      </c>
      <c r="HF390" s="13">
        <f>IF(HB390=1,$HB$31,$HB$32)</f>
        <v>152456.2970814058</v>
      </c>
      <c r="HG390" s="13">
        <f>HE390-HF390</f>
        <v>-152456.2970814058</v>
      </c>
      <c r="HH390" s="13">
        <f>HH389+HG390</f>
        <v>-8575112.575719295</v>
      </c>
      <c r="HI390">
        <f>IF(HH390=MAX($HH$83:$HH$483),$A390,0)</f>
        <v>0</v>
      </c>
      <c r="HJ390">
        <f>IF(HE390&lt;HF390,$A390,B_MAX+1)</f>
        <v>307</v>
      </c>
      <c r="HK390" s="13">
        <f>IF(HB390=1,$HB$35,$HB$36)</f>
        <v>0</v>
      </c>
      <c r="HL390" s="13">
        <f>OCC_DAYS*$HB$41*R_NF_2023-HD390*MCD_SHARE_FREED*R_WAIT_2023</f>
        <v>151980.48282209205</v>
      </c>
      <c r="HM390">
        <f>IF($A390&lt;=$HB$45,1,0)</f>
        <v>0</v>
      </c>
      <c r="IB390">
        <f>IF($IB$31&lt;=$IB$32,IF($A390&lt;=$IB$7,1,2),IF($A390&lt;=RUNG_BEDS_2,2,1))</f>
        <v>1</v>
      </c>
      <c r="IC390" s="5">
        <f>MIN(1,MAX(0,$IB$26-($A390-1)))</f>
        <v>0</v>
      </c>
      <c r="ID390" s="5">
        <f>$IB$25*(IC390+(1-IC390)*$IB$16)</f>
        <v>0.0</v>
      </c>
      <c r="IE390" s="13">
        <f>ID390*($IB$6+ACUTE_MARGIN)</f>
        <v>0.0</v>
      </c>
      <c r="IF390" s="13">
        <f>IF(IB390=1,$IB$31,$IB$32)</f>
        <v>152734.9994534971</v>
      </c>
      <c r="IG390" s="13">
        <f>IE390-IF390</f>
        <v>-152734.9994534971</v>
      </c>
      <c r="IH390" s="13">
        <f>IH389+IG390</f>
        <v>-8660674.203951366</v>
      </c>
      <c r="II390">
        <f>IF(IH390=MAX($IH$83:$IH$483),$A390,0)</f>
        <v>0</v>
      </c>
      <c r="IJ390">
        <f>IF(IE390&lt;IF390,$A390,B_MAX+1)</f>
        <v>307</v>
      </c>
      <c r="IK390" s="13">
        <f>IF(IB390=1,$IB$35,$IB$36)</f>
        <v>0</v>
      </c>
      <c r="IL390" s="13">
        <f>OCC_DAYS*$IB$41*R_NF_2023-ID390*MCD_SHARE_FREED*R_WAIT_2023</f>
        <v>151980.48282209205</v>
      </c>
      <c r="IM390">
        <f>IF($A390&lt;=$IB$45,1,0)</f>
        <v>0</v>
      </c>
      <c r="JB390">
        <f>IF($JB$31&lt;=$JB$32,IF($A390&lt;=$JB$7,1,2),IF($A390&lt;=RUNG_BEDS_2,2,1))</f>
        <v>1</v>
      </c>
      <c r="JC390" s="5">
        <f>MIN(1,MAX(0,$JB$26-($A390-1)))</f>
        <v>0</v>
      </c>
      <c r="JD390" s="5">
        <f>$JB$25*(JC390+(1-JC390)*$JB$16)</f>
        <v>0.0</v>
      </c>
      <c r="JE390" s="13">
        <f>JD390*($JB$6+ACUTE_MARGIN)</f>
        <v>0.0</v>
      </c>
      <c r="JF390" s="13">
        <f>IF(JB390=1,$JB$31,$JB$32)</f>
        <v>152394.16214437486</v>
      </c>
      <c r="JG390" s="13">
        <f>JE390-JF390</f>
        <v>-152394.16214437486</v>
      </c>
      <c r="JH390" s="13">
        <f>JH389+JG390</f>
        <v>-8556037.150050752</v>
      </c>
      <c r="JI390">
        <f>IF(JH390=MAX($JH$83:$JH$483),$A390,0)</f>
        <v>0</v>
      </c>
      <c r="JJ390">
        <f>IF(JE390&lt;JF390,$A390,B_MAX+1)</f>
        <v>307</v>
      </c>
      <c r="JK390" s="13">
        <f>IF(JB390=1,$JB$35,$JB$36)</f>
        <v>0</v>
      </c>
      <c r="JL390" s="13">
        <f>OCC_DAYS*$JB$41*R_NF_2023-JD390*MCD_SHARE_FREED*R_WAIT_2023</f>
        <v>151980.48282209205</v>
      </c>
      <c r="JM390">
        <f>IF($A390&lt;=$JB$45,1,0)</f>
        <v>0</v>
      </c>
      <c r="KB390">
        <f>IF($KB$31&lt;=$KB$32,IF($A390&lt;=$KB$7,1,2),IF($A390&lt;=RUNG_BEDS_2,2,1))</f>
        <v>1</v>
      </c>
      <c r="KC390" s="5">
        <f>MIN(1,MAX(0,$KB$26-($A390-1)))</f>
        <v>0</v>
      </c>
      <c r="KD390" s="5">
        <f>$KB$25*(KC390+(1-KC390)*$KB$16)</f>
        <v>0.0</v>
      </c>
      <c r="KE390" s="13">
        <f>KD390*($KB$6+ACUTE_MARGIN)</f>
        <v>0.0</v>
      </c>
      <c r="KF390" s="13">
        <f>IF(KB390=1,$KB$31,$KB$32)</f>
        <v>152394.16214437486</v>
      </c>
      <c r="KG390" s="13">
        <f>KE390-KF390</f>
        <v>-152394.16214437486</v>
      </c>
      <c r="KH390" s="13">
        <f>KH389+KG390</f>
        <v>-8556037.150050858</v>
      </c>
      <c r="KI390">
        <f>IF(KH390=MAX($KH$83:$KH$483),$A390,0)</f>
        <v>0</v>
      </c>
      <c r="KJ390">
        <f>IF(KE390&lt;KF390,$A390,B_MAX+1)</f>
        <v>307</v>
      </c>
      <c r="KK390" s="13">
        <f>IF(KB390=1,$KB$35,$KB$36)</f>
        <v>0</v>
      </c>
      <c r="KL390" s="13">
        <f>OCC_DAYS*$KB$41*R_NF_2023-KD390*MCD_SHARE_FREED*R_WAIT_2023</f>
        <v>151980.48282209205</v>
      </c>
      <c r="KM390">
        <f>IF($A390&lt;=$KB$45,1,0)</f>
        <v>0</v>
      </c>
      <c r="LB390">
        <f>IF($LB$31&lt;=$LB$32,IF($A390&lt;=$LB$7,1,2),IF($A390&lt;=RUNG_BEDS_2,2,1))</f>
        <v>1</v>
      </c>
      <c r="LC390" s="5">
        <f>MIN(1,MAX(0,$LB$26-($A390-1)))</f>
        <v>1</v>
      </c>
      <c r="LD390" s="5">
        <f>$LB$25*(LC390+(1-LC390)*$LB$16)</f>
        <v>84.01774238227146</v>
      </c>
      <c r="LE390" s="13">
        <f>LD390*($LB$6+ACUTE_MARGIN)</f>
        <v>84857.91980609419</v>
      </c>
      <c r="LF390" s="13">
        <f>IF(LB390=1,$LB$31,$LB$32)</f>
        <v>152394.16214437486</v>
      </c>
      <c r="LG390" s="13">
        <f>LE390-LF390</f>
        <v>-67536.24233828067</v>
      </c>
      <c r="LH390" s="13">
        <f>LH389+LG390</f>
        <v>-20733626.397852276</v>
      </c>
      <c r="LI390">
        <f>IF(LH390=MAX($LH$83:$LH$483),$A390,0)</f>
        <v>0</v>
      </c>
      <c r="LJ390">
        <f>IF(LE390&lt;LF390,$A390,B_MAX+1)</f>
        <v>307</v>
      </c>
      <c r="LK390" s="13">
        <f>IF(LB390=1,$LB$35,$LB$36)</f>
        <v>0</v>
      </c>
      <c r="LL390" s="13">
        <f>OCC_DAYS*$LB$41*R_NF_2023-LD390*MCD_SHARE_FREED*R_WAIT_2023</f>
        <v>113776.04162887059</v>
      </c>
      <c r="LM390">
        <f>IF($A390&lt;=$LB$45,1,0)</f>
        <v>0</v>
      </c>
      <c r="MB390">
        <f>IF($MB$31&lt;=$MB$32,IF($A390&lt;=$MB$7,1,2),IF($A390&lt;=RUNG_BEDS_2,2,1))</f>
        <v>1</v>
      </c>
      <c r="MC390" s="5">
        <f>MIN(1,MAX(0,$MB$26-($A390-1)))</f>
        <v>0</v>
      </c>
      <c r="MD390" s="5">
        <f>$MB$25*(MC390+(1-MC390)*$MB$16)</f>
        <v>0.0</v>
      </c>
      <c r="ME390" s="13">
        <f>MD390*($MB$6+ACUTE_MARGIN)</f>
        <v>0.0</v>
      </c>
      <c r="MF390" s="13">
        <f>IF(MB390=1,$MB$31,$MB$32)</f>
        <v>152394.16214437486</v>
      </c>
      <c r="MG390" s="13">
        <f>ME390-MF390</f>
        <v>-152394.16214437486</v>
      </c>
      <c r="MH390" s="13">
        <f>MH389+MG390</f>
        <v>-14443313.211849052</v>
      </c>
      <c r="MI390">
        <f>IF(MH390=MAX($MH$83:$MH$483),$A390,0)</f>
        <v>0</v>
      </c>
      <c r="MJ390">
        <f>IF(ME390&lt;MF390,$A390,B_MAX+1)</f>
        <v>307</v>
      </c>
      <c r="MK390" s="13">
        <f>IF(MB390=1,$MB$35,$MB$36)</f>
        <v>0</v>
      </c>
      <c r="ML390" s="13">
        <f>OCC_DAYS*$MB$41*R_NF_2023-MD390*MCD_SHARE_FREED*R_WAIT_2023</f>
        <v>151980.48282209205</v>
      </c>
      <c r="MM390">
        <f>IF($A390&lt;=$MB$45,1,0)</f>
        <v>0</v>
      </c>
      <c r="NB390">
        <f>IF($NB$31&lt;=$NB$32,IF($A390&lt;=$NB$7,1,2),IF($A390&lt;=RUNG_BEDS_2,2,1))</f>
        <v>1</v>
      </c>
      <c r="NC390" s="5">
        <f>MIN(1,MAX(0,$NB$26-($A390-1)))</f>
        <v>0</v>
      </c>
      <c r="ND390" s="5">
        <f>$NB$25*(NC390+(1-NC390)*$NB$16)</f>
        <v>63.013306786703595</v>
      </c>
      <c r="NE390" s="13">
        <f>ND390*($NB$6+ACUTE_MARGIN)</f>
        <v>63643.43985457063</v>
      </c>
      <c r="NF390" s="13">
        <f>IF(NB390=1,$NB$31,$NB$32)</f>
        <v>152394.16214437486</v>
      </c>
      <c r="NG390" s="13">
        <f>NE390-NF390</f>
        <v>-88750.72228980422</v>
      </c>
      <c r="NH390" s="13">
        <f>NH389+NG390</f>
        <v>1425256.2282343265</v>
      </c>
      <c r="NI390">
        <f>IF(NH390=MAX($NH$83:$NH$483),$A390,0)</f>
        <v>0</v>
      </c>
      <c r="NJ390">
        <f>IF(NE390&lt;NF390,$A390,B_MAX+1)</f>
        <v>307</v>
      </c>
      <c r="NK390" s="13">
        <f>IF(NB390=1,$NB$35,$NB$36)</f>
        <v>0</v>
      </c>
      <c r="NL390" s="13">
        <f>OCC_DAYS*$NB$41*R_NF_2023-ND390*MCD_SHARE_FREED*R_WAIT_2023</f>
        <v>123327.15192717595</v>
      </c>
      <c r="NM390">
        <f>IF($A390&lt;=$NB$45,1,0)</f>
        <v>0</v>
      </c>
      <c r="OB390">
        <f>IF($OB$31&lt;=$OB$32,IF($A390&lt;=$OB$7,1,2),IF($A390&lt;=RUNG_BEDS_2,2,1))</f>
        <v>1</v>
      </c>
      <c r="OC390" s="5">
        <f>MIN(1,MAX(0,$OB$26-($A390-1)))</f>
        <v>0</v>
      </c>
      <c r="OD390" s="5">
        <f>$OB$25*(OC390+(1-OC390)*$OB$16)</f>
        <v>126.02661357340719</v>
      </c>
      <c r="OE390" s="13">
        <f>OD390*($OB$6+ACUTE_MARGIN)</f>
        <v>127286.87970914126</v>
      </c>
      <c r="OF390" s="13">
        <f>IF(OB390=1,$OB$31,$OB$32)</f>
        <v>152394.16214437486</v>
      </c>
      <c r="OG390" s="13">
        <f>OE390-OF390</f>
        <v>-25107.282435233603</v>
      </c>
      <c r="OH390" s="13">
        <f>OH389+OG390</f>
        <v>11406549.606519597</v>
      </c>
      <c r="OI390">
        <f>IF(OH390=MAX($OH$83:$OH$483),$A390,0)</f>
        <v>0</v>
      </c>
      <c r="OJ390">
        <f>IF(OE390&lt;OF390,$A390,B_MAX+1)</f>
        <v>307</v>
      </c>
      <c r="OK390" s="13">
        <f>IF(OB390=1,$OB$35,$OB$36)</f>
        <v>0</v>
      </c>
      <c r="OL390" s="13">
        <f>OCC_DAYS*$OB$41*R_NF_2023-OD390*MCD_SHARE_FREED*R_WAIT_2023</f>
        <v>94673.82103225985</v>
      </c>
      <c r="OM390">
        <f>IF($A390&lt;=$OB$45,1,0)</f>
        <v>0</v>
      </c>
    </row>
    <row r="391">
      <c r="A391" t="n">
        <v>308</v>
      </c>
      <c r="B391">
        <f>IF($B$31&lt;=$B$32,IF($A391&lt;=$B$7,1,2),IF($A391&lt;=RUNG_BEDS_2,2,1))</f>
        <v>1</v>
      </c>
      <c r="C391" s="5">
        <f>MIN(1,MAX(0,$B$26-($A391-1)))</f>
        <v>0</v>
      </c>
      <c r="D391" s="5">
        <f>$B$25*(C391+(1-C391)*$B$16)</f>
        <v>0.0</v>
      </c>
      <c r="E391" s="13">
        <f>D391*($B$6+ACUTE_MARGIN)</f>
        <v>0.0</v>
      </c>
      <c r="F391" s="13">
        <f>IF(B391=1,$B$31,$B$32)</f>
        <v>152394.16214437486</v>
      </c>
      <c r="G391" s="13">
        <f>E391-F391</f>
        <v>-152394.16214437486</v>
      </c>
      <c r="H391" s="13">
        <f>H390+G391</f>
        <v>-8708431.312195126</v>
      </c>
      <c r="I391">
        <f>IF(H391=MAX($H$83:$H$483),$A391,0)</f>
        <v>0</v>
      </c>
      <c r="J391">
        <f>IF(E391&lt;F391,$A391,B_MAX+1)</f>
        <v>308</v>
      </c>
      <c r="K391" s="13">
        <f>IF(B391=1,$B$35,$B$36)</f>
        <v>0</v>
      </c>
      <c r="L391" s="13">
        <f>OCC_DAYS*$B$41*R_NF_2023-D391*MCD_SHARE_FREED*R_WAIT_2023</f>
        <v>151980.48282209205</v>
      </c>
      <c r="M391">
        <f>IF($A391&lt;=$B$45,1,0)</f>
        <v>0</v>
      </c>
      <c r="AB391">
        <f>IF($AB$31&lt;=$AB$32,IF($A391&lt;=$AB$7,1,2),IF($A391&lt;=RUNG_BEDS_2,2,1))</f>
        <v>1</v>
      </c>
      <c r="AC391" s="5">
        <f>MIN(1,MAX(0,$AB$26-($A391-1)))</f>
        <v>0</v>
      </c>
      <c r="AD391" s="5">
        <f>$AB$25*(AC391+(1-AC391)*$AB$16)</f>
        <v>0.0</v>
      </c>
      <c r="AE391" s="13">
        <f>AD391*($AB$6+ACUTE_MARGIN)</f>
        <v>0.0</v>
      </c>
      <c r="AF391" s="13">
        <f>IF(AB391=1,$AB$31,$AB$32)</f>
        <v>152394.16214437486</v>
      </c>
      <c r="AG391" s="13">
        <f>AE391-AF391</f>
        <v>-152394.16214437486</v>
      </c>
      <c r="AH391" s="13">
        <f>AH390+AG391</f>
        <v>-26119645.657744862</v>
      </c>
      <c r="AI391">
        <f>IF(AH391=MAX($AH$83:$AH$483),$A391,0)</f>
        <v>0</v>
      </c>
      <c r="AJ391">
        <f>IF(AE391&lt;AF391,$A391,B_MAX+1)</f>
        <v>308</v>
      </c>
      <c r="AK391" s="13">
        <f>IF(AB391=1,$AB$35,$AB$36)</f>
        <v>0</v>
      </c>
      <c r="AL391" s="13">
        <f>OCC_DAYS*$AB$41*R_NF_2023-AD391*MCD_SHARE_FREED*R_WAIT_2023</f>
        <v>151980.48282209205</v>
      </c>
      <c r="AM391">
        <f>IF($A391&lt;=$AB$45,1,0)</f>
        <v>0</v>
      </c>
      <c r="BB391">
        <f>IF($BB$31&lt;=$BB$32,IF($A391&lt;=$BB$7,1,2),IF($A391&lt;=RUNG_BEDS_2,2,1))</f>
        <v>1</v>
      </c>
      <c r="BC391" s="5">
        <f>MIN(1,MAX(0,$BB$26-($A391-1)))</f>
        <v>0</v>
      </c>
      <c r="BD391" s="5">
        <f>$BB$25*(BC391+(1-BC391)*$BB$16)</f>
        <v>0.0</v>
      </c>
      <c r="BE391" s="13">
        <f>BD391*($BB$6+ACUTE_MARGIN)</f>
        <v>0.0</v>
      </c>
      <c r="BF391" s="13">
        <f>IF(BB391=1,$BB$31,$BB$32)</f>
        <v>152394.16214437486</v>
      </c>
      <c r="BG391" s="13">
        <f>BE391-BF391</f>
        <v>-152394.16214437486</v>
      </c>
      <c r="BH391" s="13">
        <f>BH390+BG391</f>
        <v>8702783.033354633</v>
      </c>
      <c r="BI391">
        <f>IF(BH391=MAX($BH$83:$BH$483),$A391,0)</f>
        <v>0</v>
      </c>
      <c r="BJ391">
        <f>IF(BE391&lt;BF391,$A391,B_MAX+1)</f>
        <v>308</v>
      </c>
      <c r="BK391" s="13">
        <f>IF(BB391=1,$BB$35,$BB$36)</f>
        <v>0</v>
      </c>
      <c r="BL391" s="13">
        <f>OCC_DAYS*$BB$41*R_NF_2023-BD391*MCD_SHARE_FREED*R_WAIT_2023</f>
        <v>151980.48282209205</v>
      </c>
      <c r="BM391">
        <f>IF($A391&lt;=$BB$45,1,0)</f>
        <v>0</v>
      </c>
      <c r="CB391">
        <f>IF($CB$31&lt;=$CB$32,IF($A391&lt;=$CB$7,1,2),IF($A391&lt;=RUNG_BEDS_2,2,1))</f>
        <v>2</v>
      </c>
      <c r="CC391" s="5">
        <f>MIN(1,MAX(0,$CB$26-($A391-1)))</f>
        <v>0</v>
      </c>
      <c r="CD391" s="5">
        <f>$CB$25*(CC391+(1-CC391)*$CB$16)</f>
        <v>0.0</v>
      </c>
      <c r="CE391" s="13">
        <f>CD391*($CB$6+ACUTE_MARGIN)</f>
        <v>0.0</v>
      </c>
      <c r="CF391" s="13">
        <f>IF(CB391=1,$CB$31,$CB$32)</f>
        <v>160718.36940738867</v>
      </c>
      <c r="CG391" s="13">
        <f>CE391-CF391</f>
        <v>-160718.36940738867</v>
      </c>
      <c r="CH391" s="13">
        <f>CH390+CG391</f>
        <v>-11272287.149203494</v>
      </c>
      <c r="CI391">
        <f>IF(CH391=MAX($CH$83:$CH$483),$A391,0)</f>
        <v>0</v>
      </c>
      <c r="CJ391">
        <f>IF(CE391&lt;CF391,$A391,B_MAX+1)</f>
        <v>308</v>
      </c>
      <c r="CK391" s="13">
        <f>IF(CB391=1,$CB$35,$CB$36)</f>
        <v>1560.1194073886782</v>
      </c>
      <c r="CL391" s="13">
        <f>OCC_DAYS*$CB$41*R_NF_2023-CD391*MCD_SHARE_FREED*R_WAIT_2023</f>
        <v>151980.48282209205</v>
      </c>
      <c r="CM391">
        <f>IF($A391&lt;=$CB$45,1,0)</f>
        <v>0</v>
      </c>
      <c r="DB391">
        <f>IF($DB$31&lt;=$DB$32,IF($A391&lt;=$DB$7,1,2),IF($A391&lt;=RUNG_BEDS_2,2,1))</f>
        <v>1</v>
      </c>
      <c r="DC391" s="5">
        <f>MIN(1,MAX(0,$DB$26-($A391-1)))</f>
        <v>0</v>
      </c>
      <c r="DD391" s="5">
        <f>$DB$25*(DC391+(1-DC391)*$DB$16)</f>
        <v>0.0</v>
      </c>
      <c r="DE391" s="13">
        <f>DD391*($DB$6+ACUTE_MARGIN)</f>
        <v>0.0</v>
      </c>
      <c r="DF391" s="13">
        <f>IF(DB391=1,$DB$31,$DB$32)</f>
        <v>152394.16214437486</v>
      </c>
      <c r="DG391" s="13">
        <f>DE391-DF391</f>
        <v>-152394.16214437486</v>
      </c>
      <c r="DH391" s="13">
        <f>DH390+DG391</f>
        <v>-8708431.312195126</v>
      </c>
      <c r="DI391">
        <f>IF(DH391=MAX($DH$83:$DH$483),$A391,0)</f>
        <v>0</v>
      </c>
      <c r="DJ391">
        <f>IF(DE391&lt;DF391,$A391,B_MAX+1)</f>
        <v>308</v>
      </c>
      <c r="DK391" s="13">
        <f>IF(DB391=1,$DB$35,$DB$36)</f>
        <v>0</v>
      </c>
      <c r="DL391" s="13">
        <f>OCC_DAYS*$DB$41*R_NF_2023-DD391*MCD_SHARE_FREED*R_WAIT_2023</f>
        <v>151980.48282209205</v>
      </c>
      <c r="DM391">
        <f>IF($A391&lt;=$DB$45,1,0)</f>
        <v>0</v>
      </c>
      <c r="EB391">
        <f>IF($EB$31&lt;=$EB$32,IF($A391&lt;=$EB$7,1,2),IF($A391&lt;=RUNG_BEDS_2,2,1))</f>
        <v>1</v>
      </c>
      <c r="EC391" s="5">
        <f>MIN(1,MAX(0,$EB$26-($A391-1)))</f>
        <v>0</v>
      </c>
      <c r="ED391" s="5">
        <f>$EB$25*(EC391+(1-EC391)*$EB$16)</f>
        <v>0.0</v>
      </c>
      <c r="EE391" s="13">
        <f>ED391*($EB$6+ACUTE_MARGIN)</f>
        <v>0.0</v>
      </c>
      <c r="EF391" s="13">
        <f>IF(EB391=1,$EB$31,$EB$32)</f>
        <v>152394.16214437486</v>
      </c>
      <c r="EG391" s="13">
        <f>EE391-EF391</f>
        <v>-152394.16214437486</v>
      </c>
      <c r="EH391" s="13">
        <f>EH390+EG391</f>
        <v>-8708431.312195126</v>
      </c>
      <c r="EI391">
        <f>IF(EH391=MAX($EH$83:$EH$483),$A391,0)</f>
        <v>0</v>
      </c>
      <c r="EJ391">
        <f>IF(EE391&lt;EF391,$A391,B_MAX+1)</f>
        <v>308</v>
      </c>
      <c r="EK391" s="13">
        <f>IF(EB391=1,$EB$35,$EB$36)</f>
        <v>0</v>
      </c>
      <c r="EL391" s="13">
        <f>OCC_DAYS*$EB$41*R_NF_2023-ED391*MCD_SHARE_FREED*R_WAIT_2023</f>
        <v>50660.16094069735</v>
      </c>
      <c r="EM391">
        <f>IF($A391&lt;=$EB$45,1,0)</f>
        <v>0</v>
      </c>
      <c r="FB391">
        <f>IF($FB$31&lt;=$FB$32,IF($A391&lt;=$FB$7,1,2),IF($A391&lt;=RUNG_BEDS_2,2,1))</f>
        <v>1</v>
      </c>
      <c r="FC391" s="5">
        <f>MIN(1,MAX(0,$FB$26-($A391-1)))</f>
        <v>0</v>
      </c>
      <c r="FD391" s="5">
        <f>$FB$25*(FC391+(1-FC391)*$FB$16)</f>
        <v>0.0</v>
      </c>
      <c r="FE391" s="13">
        <f>FD391*($FB$6+ACUTE_MARGIN)</f>
        <v>0.0</v>
      </c>
      <c r="FF391" s="13">
        <f>IF(FB391=1,$FB$31,$FB$32)</f>
        <v>156636.04979437485</v>
      </c>
      <c r="FG391" s="13">
        <f>FE391-FF391</f>
        <v>-156636.04979437485</v>
      </c>
      <c r="FH391" s="13">
        <f>FH390+FG391</f>
        <v>-10014932.708395232</v>
      </c>
      <c r="FI391">
        <f>IF(FH391=MAX($FH$83:$FH$483),$A391,0)</f>
        <v>0</v>
      </c>
      <c r="FJ391">
        <f>IF(FE391&lt;FF391,$A391,B_MAX+1)</f>
        <v>308</v>
      </c>
      <c r="FK391" s="13">
        <f>IF(FB391=1,$FB$35,$FB$36)</f>
        <v>0</v>
      </c>
      <c r="FL391" s="13">
        <f>OCC_DAYS*$FB$41*R_NF_2023-FD391*MCD_SHARE_FREED*R_WAIT_2023</f>
        <v>151980.48282209205</v>
      </c>
      <c r="FM391">
        <f>IF($A391&lt;=$FB$45,1,0)</f>
        <v>0</v>
      </c>
      <c r="GB391">
        <f>IF($GB$31&lt;=$GB$32,IF($A391&lt;=$GB$7,1,2),IF($A391&lt;=RUNG_BEDS_2,2,1))</f>
        <v>1</v>
      </c>
      <c r="GC391" s="5">
        <f>MIN(1,MAX(0,$GB$26-($A391-1)))</f>
        <v>0</v>
      </c>
      <c r="GD391" s="5">
        <f>$GB$25*(GC391+(1-GC391)*$GB$16)</f>
        <v>0.0</v>
      </c>
      <c r="GE391" s="13">
        <f>GD391*($GB$6+ACUTE_MARGIN)</f>
        <v>0.0</v>
      </c>
      <c r="GF391" s="13">
        <f>IF(GB391=1,$GB$31,$GB$32)</f>
        <v>152394.16214437486</v>
      </c>
      <c r="GG391" s="13">
        <f>GE391-GF391</f>
        <v>-152394.16214437486</v>
      </c>
      <c r="GH391" s="13">
        <f>GH390+GG391</f>
        <v>-8708431.312195126</v>
      </c>
      <c r="GI391">
        <f>IF(GH391=MAX($GH$83:$GH$483),$A391,0)</f>
        <v>0</v>
      </c>
      <c r="GJ391">
        <f>IF(GE391&lt;GF391,$A391,B_MAX+1)</f>
        <v>308</v>
      </c>
      <c r="GK391" s="13">
        <f>IF(GB391=1,$GB$35,$GB$36)</f>
        <v>0</v>
      </c>
      <c r="GL391" s="13">
        <f>OCC_DAYS*$GB$41*R_NF_2023-GD391*MCD_SHARE_FREED*R_WAIT_2023</f>
        <v>151980.48282209205</v>
      </c>
      <c r="GM391">
        <f>IF($A391&lt;=$GB$45,1,0)</f>
        <v>0</v>
      </c>
      <c r="HB391">
        <f>IF($HB$31&lt;=$HB$32,IF($A391&lt;=$HB$7,1,2),IF($A391&lt;=RUNG_BEDS_2,2,1))</f>
        <v>1</v>
      </c>
      <c r="HC391" s="5">
        <f>MIN(1,MAX(0,$HB$26-($A391-1)))</f>
        <v>0</v>
      </c>
      <c r="HD391" s="5">
        <f>$HB$25*(HC391+(1-HC391)*$HB$16)</f>
        <v>0.0</v>
      </c>
      <c r="HE391" s="13">
        <f>HD391*($HB$6+ACUTE_MARGIN)</f>
        <v>0.0</v>
      </c>
      <c r="HF391" s="13">
        <f>IF(HB391=1,$HB$31,$HB$32)</f>
        <v>152456.2970814058</v>
      </c>
      <c r="HG391" s="13">
        <f>HE391-HF391</f>
        <v>-152456.2970814058</v>
      </c>
      <c r="HH391" s="13">
        <f>HH390+HG391</f>
        <v>-8727568.8728007</v>
      </c>
      <c r="HI391">
        <f>IF(HH391=MAX($HH$83:$HH$483),$A391,0)</f>
        <v>0</v>
      </c>
      <c r="HJ391">
        <f>IF(HE391&lt;HF391,$A391,B_MAX+1)</f>
        <v>308</v>
      </c>
      <c r="HK391" s="13">
        <f>IF(HB391=1,$HB$35,$HB$36)</f>
        <v>0</v>
      </c>
      <c r="HL391" s="13">
        <f>OCC_DAYS*$HB$41*R_NF_2023-HD391*MCD_SHARE_FREED*R_WAIT_2023</f>
        <v>151980.48282209205</v>
      </c>
      <c r="HM391">
        <f>IF($A391&lt;=$HB$45,1,0)</f>
        <v>0</v>
      </c>
      <c r="IB391">
        <f>IF($IB$31&lt;=$IB$32,IF($A391&lt;=$IB$7,1,2),IF($A391&lt;=RUNG_BEDS_2,2,1))</f>
        <v>1</v>
      </c>
      <c r="IC391" s="5">
        <f>MIN(1,MAX(0,$IB$26-($A391-1)))</f>
        <v>0</v>
      </c>
      <c r="ID391" s="5">
        <f>$IB$25*(IC391+(1-IC391)*$IB$16)</f>
        <v>0.0</v>
      </c>
      <c r="IE391" s="13">
        <f>ID391*($IB$6+ACUTE_MARGIN)</f>
        <v>0.0</v>
      </c>
      <c r="IF391" s="13">
        <f>IF(IB391=1,$IB$31,$IB$32)</f>
        <v>152734.9994534971</v>
      </c>
      <c r="IG391" s="13">
        <f>IE391-IF391</f>
        <v>-152734.9994534971</v>
      </c>
      <c r="IH391" s="13">
        <f>IH390+IG391</f>
        <v>-8813409.203404862</v>
      </c>
      <c r="II391">
        <f>IF(IH391=MAX($IH$83:$IH$483),$A391,0)</f>
        <v>0</v>
      </c>
      <c r="IJ391">
        <f>IF(IE391&lt;IF391,$A391,B_MAX+1)</f>
        <v>308</v>
      </c>
      <c r="IK391" s="13">
        <f>IF(IB391=1,$IB$35,$IB$36)</f>
        <v>0</v>
      </c>
      <c r="IL391" s="13">
        <f>OCC_DAYS*$IB$41*R_NF_2023-ID391*MCD_SHARE_FREED*R_WAIT_2023</f>
        <v>151980.48282209205</v>
      </c>
      <c r="IM391">
        <f>IF($A391&lt;=$IB$45,1,0)</f>
        <v>0</v>
      </c>
      <c r="JB391">
        <f>IF($JB$31&lt;=$JB$32,IF($A391&lt;=$JB$7,1,2),IF($A391&lt;=RUNG_BEDS_2,2,1))</f>
        <v>1</v>
      </c>
      <c r="JC391" s="5">
        <f>MIN(1,MAX(0,$JB$26-($A391-1)))</f>
        <v>0</v>
      </c>
      <c r="JD391" s="5">
        <f>$JB$25*(JC391+(1-JC391)*$JB$16)</f>
        <v>0.0</v>
      </c>
      <c r="JE391" s="13">
        <f>JD391*($JB$6+ACUTE_MARGIN)</f>
        <v>0.0</v>
      </c>
      <c r="JF391" s="13">
        <f>IF(JB391=1,$JB$31,$JB$32)</f>
        <v>152394.16214437486</v>
      </c>
      <c r="JG391" s="13">
        <f>JE391-JF391</f>
        <v>-152394.16214437486</v>
      </c>
      <c r="JH391" s="13">
        <f>JH390+JG391</f>
        <v>-8708431.312195126</v>
      </c>
      <c r="JI391">
        <f>IF(JH391=MAX($JH$83:$JH$483),$A391,0)</f>
        <v>0</v>
      </c>
      <c r="JJ391">
        <f>IF(JE391&lt;JF391,$A391,B_MAX+1)</f>
        <v>308</v>
      </c>
      <c r="JK391" s="13">
        <f>IF(JB391=1,$JB$35,$JB$36)</f>
        <v>0</v>
      </c>
      <c r="JL391" s="13">
        <f>OCC_DAYS*$JB$41*R_NF_2023-JD391*MCD_SHARE_FREED*R_WAIT_2023</f>
        <v>151980.48282209205</v>
      </c>
      <c r="JM391">
        <f>IF($A391&lt;=$JB$45,1,0)</f>
        <v>0</v>
      </c>
      <c r="KB391">
        <f>IF($KB$31&lt;=$KB$32,IF($A391&lt;=$KB$7,1,2),IF($A391&lt;=RUNG_BEDS_2,2,1))</f>
        <v>1</v>
      </c>
      <c r="KC391" s="5">
        <f>MIN(1,MAX(0,$KB$26-($A391-1)))</f>
        <v>0</v>
      </c>
      <c r="KD391" s="5">
        <f>$KB$25*(KC391+(1-KC391)*$KB$16)</f>
        <v>0.0</v>
      </c>
      <c r="KE391" s="13">
        <f>KD391*($KB$6+ACUTE_MARGIN)</f>
        <v>0.0</v>
      </c>
      <c r="KF391" s="13">
        <f>IF(KB391=1,$KB$31,$KB$32)</f>
        <v>152394.16214437486</v>
      </c>
      <c r="KG391" s="13">
        <f>KE391-KF391</f>
        <v>-152394.16214437486</v>
      </c>
      <c r="KH391" s="13">
        <f>KH390+KG391</f>
        <v>-8708431.312195232</v>
      </c>
      <c r="KI391">
        <f>IF(KH391=MAX($KH$83:$KH$483),$A391,0)</f>
        <v>0</v>
      </c>
      <c r="KJ391">
        <f>IF(KE391&lt;KF391,$A391,B_MAX+1)</f>
        <v>308</v>
      </c>
      <c r="KK391" s="13">
        <f>IF(KB391=1,$KB$35,$KB$36)</f>
        <v>0</v>
      </c>
      <c r="KL391" s="13">
        <f>OCC_DAYS*$KB$41*R_NF_2023-KD391*MCD_SHARE_FREED*R_WAIT_2023</f>
        <v>151980.48282209205</v>
      </c>
      <c r="KM391">
        <f>IF($A391&lt;=$KB$45,1,0)</f>
        <v>0</v>
      </c>
      <c r="LB391">
        <f>IF($LB$31&lt;=$LB$32,IF($A391&lt;=$LB$7,1,2),IF($A391&lt;=RUNG_BEDS_2,2,1))</f>
        <v>1</v>
      </c>
      <c r="LC391" s="5">
        <f>MIN(1,MAX(0,$LB$26-($A391-1)))</f>
        <v>1</v>
      </c>
      <c r="LD391" s="5">
        <f>$LB$25*(LC391+(1-LC391)*$LB$16)</f>
        <v>84.01774238227146</v>
      </c>
      <c r="LE391" s="13">
        <f>LD391*($LB$6+ACUTE_MARGIN)</f>
        <v>84857.91980609419</v>
      </c>
      <c r="LF391" s="13">
        <f>IF(LB391=1,$LB$31,$LB$32)</f>
        <v>152394.16214437486</v>
      </c>
      <c r="LG391" s="13">
        <f>LE391-LF391</f>
        <v>-67536.24233828067</v>
      </c>
      <c r="LH391" s="13">
        <f>LH390+LG391</f>
        <v>-20801162.640190557</v>
      </c>
      <c r="LI391">
        <f>IF(LH391=MAX($LH$83:$LH$483),$A391,0)</f>
        <v>0</v>
      </c>
      <c r="LJ391">
        <f>IF(LE391&lt;LF391,$A391,B_MAX+1)</f>
        <v>308</v>
      </c>
      <c r="LK391" s="13">
        <f>IF(LB391=1,$LB$35,$LB$36)</f>
        <v>0</v>
      </c>
      <c r="LL391" s="13">
        <f>OCC_DAYS*$LB$41*R_NF_2023-LD391*MCD_SHARE_FREED*R_WAIT_2023</f>
        <v>113776.04162887059</v>
      </c>
      <c r="LM391">
        <f>IF($A391&lt;=$LB$45,1,0)</f>
        <v>0</v>
      </c>
      <c r="MB391">
        <f>IF($MB$31&lt;=$MB$32,IF($A391&lt;=$MB$7,1,2),IF($A391&lt;=RUNG_BEDS_2,2,1))</f>
        <v>1</v>
      </c>
      <c r="MC391" s="5">
        <f>MIN(1,MAX(0,$MB$26-($A391-1)))</f>
        <v>0</v>
      </c>
      <c r="MD391" s="5">
        <f>$MB$25*(MC391+(1-MC391)*$MB$16)</f>
        <v>0.0</v>
      </c>
      <c r="ME391" s="13">
        <f>MD391*($MB$6+ACUTE_MARGIN)</f>
        <v>0.0</v>
      </c>
      <c r="MF391" s="13">
        <f>IF(MB391=1,$MB$31,$MB$32)</f>
        <v>152394.16214437486</v>
      </c>
      <c r="MG391" s="13">
        <f>ME391-MF391</f>
        <v>-152394.16214437486</v>
      </c>
      <c r="MH391" s="13">
        <f>MH390+MG391</f>
        <v>-14595707.373993427</v>
      </c>
      <c r="MI391">
        <f>IF(MH391=MAX($MH$83:$MH$483),$A391,0)</f>
        <v>0</v>
      </c>
      <c r="MJ391">
        <f>IF(ME391&lt;MF391,$A391,B_MAX+1)</f>
        <v>308</v>
      </c>
      <c r="MK391" s="13">
        <f>IF(MB391=1,$MB$35,$MB$36)</f>
        <v>0</v>
      </c>
      <c r="ML391" s="13">
        <f>OCC_DAYS*$MB$41*R_NF_2023-MD391*MCD_SHARE_FREED*R_WAIT_2023</f>
        <v>151980.48282209205</v>
      </c>
      <c r="MM391">
        <f>IF($A391&lt;=$MB$45,1,0)</f>
        <v>0</v>
      </c>
      <c r="NB391">
        <f>IF($NB$31&lt;=$NB$32,IF($A391&lt;=$NB$7,1,2),IF($A391&lt;=RUNG_BEDS_2,2,1))</f>
        <v>1</v>
      </c>
      <c r="NC391" s="5">
        <f>MIN(1,MAX(0,$NB$26-($A391-1)))</f>
        <v>0</v>
      </c>
      <c r="ND391" s="5">
        <f>$NB$25*(NC391+(1-NC391)*$NB$16)</f>
        <v>63.013306786703595</v>
      </c>
      <c r="NE391" s="13">
        <f>ND391*($NB$6+ACUTE_MARGIN)</f>
        <v>63643.43985457063</v>
      </c>
      <c r="NF391" s="13">
        <f>IF(NB391=1,$NB$31,$NB$32)</f>
        <v>152394.16214437486</v>
      </c>
      <c r="NG391" s="13">
        <f>NE391-NF391</f>
        <v>-88750.72228980422</v>
      </c>
      <c r="NH391" s="13">
        <f>NH390+NG391</f>
        <v>1336505.5059445223</v>
      </c>
      <c r="NI391">
        <f>IF(NH391=MAX($NH$83:$NH$483),$A391,0)</f>
        <v>0</v>
      </c>
      <c r="NJ391">
        <f>IF(NE391&lt;NF391,$A391,B_MAX+1)</f>
        <v>308</v>
      </c>
      <c r="NK391" s="13">
        <f>IF(NB391=1,$NB$35,$NB$36)</f>
        <v>0</v>
      </c>
      <c r="NL391" s="13">
        <f>OCC_DAYS*$NB$41*R_NF_2023-ND391*MCD_SHARE_FREED*R_WAIT_2023</f>
        <v>123327.15192717595</v>
      </c>
      <c r="NM391">
        <f>IF($A391&lt;=$NB$45,1,0)</f>
        <v>0</v>
      </c>
      <c r="OB391">
        <f>IF($OB$31&lt;=$OB$32,IF($A391&lt;=$OB$7,1,2),IF($A391&lt;=RUNG_BEDS_2,2,1))</f>
        <v>1</v>
      </c>
      <c r="OC391" s="5">
        <f>MIN(1,MAX(0,$OB$26-($A391-1)))</f>
        <v>0</v>
      </c>
      <c r="OD391" s="5">
        <f>$OB$25*(OC391+(1-OC391)*$OB$16)</f>
        <v>126.02661357340719</v>
      </c>
      <c r="OE391" s="13">
        <f>OD391*($OB$6+ACUTE_MARGIN)</f>
        <v>127286.87970914126</v>
      </c>
      <c r="OF391" s="13">
        <f>IF(OB391=1,$OB$31,$OB$32)</f>
        <v>152394.16214437486</v>
      </c>
      <c r="OG391" s="13">
        <f>OE391-OF391</f>
        <v>-25107.282435233603</v>
      </c>
      <c r="OH391" s="13">
        <f>OH390+OG391</f>
        <v>11381442.324084364</v>
      </c>
      <c r="OI391">
        <f>IF(OH391=MAX($OH$83:$OH$483),$A391,0)</f>
        <v>0</v>
      </c>
      <c r="OJ391">
        <f>IF(OE391&lt;OF391,$A391,B_MAX+1)</f>
        <v>308</v>
      </c>
      <c r="OK391" s="13">
        <f>IF(OB391=1,$OB$35,$OB$36)</f>
        <v>0</v>
      </c>
      <c r="OL391" s="13">
        <f>OCC_DAYS*$OB$41*R_NF_2023-OD391*MCD_SHARE_FREED*R_WAIT_2023</f>
        <v>94673.82103225985</v>
      </c>
      <c r="OM391">
        <f>IF($A391&lt;=$OB$45,1,0)</f>
        <v>0</v>
      </c>
    </row>
    <row r="392">
      <c r="A392" t="n">
        <v>309</v>
      </c>
      <c r="B392">
        <f>IF($B$31&lt;=$B$32,IF($A392&lt;=$B$7,1,2),IF($A392&lt;=RUNG_BEDS_2,2,1))</f>
        <v>1</v>
      </c>
      <c r="C392" s="5">
        <f>MIN(1,MAX(0,$B$26-($A392-1)))</f>
        <v>0</v>
      </c>
      <c r="D392" s="5">
        <f>$B$25*(C392+(1-C392)*$B$16)</f>
        <v>0.0</v>
      </c>
      <c r="E392" s="13">
        <f>D392*($B$6+ACUTE_MARGIN)</f>
        <v>0.0</v>
      </c>
      <c r="F392" s="13">
        <f>IF(B392=1,$B$31,$B$32)</f>
        <v>152394.16214437486</v>
      </c>
      <c r="G392" s="13">
        <f>E392-F392</f>
        <v>-152394.16214437486</v>
      </c>
      <c r="H392" s="13">
        <f>H391+G392</f>
        <v>-8860825.4743395</v>
      </c>
      <c r="I392">
        <f>IF(H392=MAX($H$83:$H$483),$A392,0)</f>
        <v>0</v>
      </c>
      <c r="J392">
        <f>IF(E392&lt;F392,$A392,B_MAX+1)</f>
        <v>309</v>
      </c>
      <c r="K392" s="13">
        <f>IF(B392=1,$B$35,$B$36)</f>
        <v>0</v>
      </c>
      <c r="L392" s="13">
        <f>OCC_DAYS*$B$41*R_NF_2023-D392*MCD_SHARE_FREED*R_WAIT_2023</f>
        <v>151980.48282209205</v>
      </c>
      <c r="M392">
        <f>IF($A392&lt;=$B$45,1,0)</f>
        <v>0</v>
      </c>
      <c r="AB392">
        <f>IF($AB$31&lt;=$AB$32,IF($A392&lt;=$AB$7,1,2),IF($A392&lt;=RUNG_BEDS_2,2,1))</f>
        <v>1</v>
      </c>
      <c r="AC392" s="5">
        <f>MIN(1,MAX(0,$AB$26-($A392-1)))</f>
        <v>0</v>
      </c>
      <c r="AD392" s="5">
        <f>$AB$25*(AC392+(1-AC392)*$AB$16)</f>
        <v>0.0</v>
      </c>
      <c r="AE392" s="13">
        <f>AD392*($AB$6+ACUTE_MARGIN)</f>
        <v>0.0</v>
      </c>
      <c r="AF392" s="13">
        <f>IF(AB392=1,$AB$31,$AB$32)</f>
        <v>152394.16214437486</v>
      </c>
      <c r="AG392" s="13">
        <f>AE392-AF392</f>
        <v>-152394.16214437486</v>
      </c>
      <c r="AH392" s="13">
        <f>AH391+AG392</f>
        <v>-26272039.819889236</v>
      </c>
      <c r="AI392">
        <f>IF(AH392=MAX($AH$83:$AH$483),$A392,0)</f>
        <v>0</v>
      </c>
      <c r="AJ392">
        <f>IF(AE392&lt;AF392,$A392,B_MAX+1)</f>
        <v>309</v>
      </c>
      <c r="AK392" s="13">
        <f>IF(AB392=1,$AB$35,$AB$36)</f>
        <v>0</v>
      </c>
      <c r="AL392" s="13">
        <f>OCC_DAYS*$AB$41*R_NF_2023-AD392*MCD_SHARE_FREED*R_WAIT_2023</f>
        <v>151980.48282209205</v>
      </c>
      <c r="AM392">
        <f>IF($A392&lt;=$AB$45,1,0)</f>
        <v>0</v>
      </c>
      <c r="BB392">
        <f>IF($BB$31&lt;=$BB$32,IF($A392&lt;=$BB$7,1,2),IF($A392&lt;=RUNG_BEDS_2,2,1))</f>
        <v>1</v>
      </c>
      <c r="BC392" s="5">
        <f>MIN(1,MAX(0,$BB$26-($A392-1)))</f>
        <v>0</v>
      </c>
      <c r="BD392" s="5">
        <f>$BB$25*(BC392+(1-BC392)*$BB$16)</f>
        <v>0.0</v>
      </c>
      <c r="BE392" s="13">
        <f>BD392*($BB$6+ACUTE_MARGIN)</f>
        <v>0.0</v>
      </c>
      <c r="BF392" s="13">
        <f>IF(BB392=1,$BB$31,$BB$32)</f>
        <v>152394.16214437486</v>
      </c>
      <c r="BG392" s="13">
        <f>BE392-BF392</f>
        <v>-152394.16214437486</v>
      </c>
      <c r="BH392" s="13">
        <f>BH391+BG392</f>
        <v>8550388.871210258</v>
      </c>
      <c r="BI392">
        <f>IF(BH392=MAX($BH$83:$BH$483),$A392,0)</f>
        <v>0</v>
      </c>
      <c r="BJ392">
        <f>IF(BE392&lt;BF392,$A392,B_MAX+1)</f>
        <v>309</v>
      </c>
      <c r="BK392" s="13">
        <f>IF(BB392=1,$BB$35,$BB$36)</f>
        <v>0</v>
      </c>
      <c r="BL392" s="13">
        <f>OCC_DAYS*$BB$41*R_NF_2023-BD392*MCD_SHARE_FREED*R_WAIT_2023</f>
        <v>151980.48282209205</v>
      </c>
      <c r="BM392">
        <f>IF($A392&lt;=$BB$45,1,0)</f>
        <v>0</v>
      </c>
      <c r="CB392">
        <f>IF($CB$31&lt;=$CB$32,IF($A392&lt;=$CB$7,1,2),IF($A392&lt;=RUNG_BEDS_2,2,1))</f>
        <v>2</v>
      </c>
      <c r="CC392" s="5">
        <f>MIN(1,MAX(0,$CB$26-($A392-1)))</f>
        <v>0</v>
      </c>
      <c r="CD392" s="5">
        <f>$CB$25*(CC392+(1-CC392)*$CB$16)</f>
        <v>0.0</v>
      </c>
      <c r="CE392" s="13">
        <f>CD392*($CB$6+ACUTE_MARGIN)</f>
        <v>0.0</v>
      </c>
      <c r="CF392" s="13">
        <f>IF(CB392=1,$CB$31,$CB$32)</f>
        <v>160718.36940738867</v>
      </c>
      <c r="CG392" s="13">
        <f>CE392-CF392</f>
        <v>-160718.36940738867</v>
      </c>
      <c r="CH392" s="13">
        <f>CH391+CG392</f>
        <v>-11433005.518610884</v>
      </c>
      <c r="CI392">
        <f>IF(CH392=MAX($CH$83:$CH$483),$A392,0)</f>
        <v>0</v>
      </c>
      <c r="CJ392">
        <f>IF(CE392&lt;CF392,$A392,B_MAX+1)</f>
        <v>309</v>
      </c>
      <c r="CK392" s="13">
        <f>IF(CB392=1,$CB$35,$CB$36)</f>
        <v>1560.1194073886782</v>
      </c>
      <c r="CL392" s="13">
        <f>OCC_DAYS*$CB$41*R_NF_2023-CD392*MCD_SHARE_FREED*R_WAIT_2023</f>
        <v>151980.48282209205</v>
      </c>
      <c r="CM392">
        <f>IF($A392&lt;=$CB$45,1,0)</f>
        <v>0</v>
      </c>
      <c r="DB392">
        <f>IF($DB$31&lt;=$DB$32,IF($A392&lt;=$DB$7,1,2),IF($A392&lt;=RUNG_BEDS_2,2,1))</f>
        <v>1</v>
      </c>
      <c r="DC392" s="5">
        <f>MIN(1,MAX(0,$DB$26-($A392-1)))</f>
        <v>0</v>
      </c>
      <c r="DD392" s="5">
        <f>$DB$25*(DC392+(1-DC392)*$DB$16)</f>
        <v>0.0</v>
      </c>
      <c r="DE392" s="13">
        <f>DD392*($DB$6+ACUTE_MARGIN)</f>
        <v>0.0</v>
      </c>
      <c r="DF392" s="13">
        <f>IF(DB392=1,$DB$31,$DB$32)</f>
        <v>152394.16214437486</v>
      </c>
      <c r="DG392" s="13">
        <f>DE392-DF392</f>
        <v>-152394.16214437486</v>
      </c>
      <c r="DH392" s="13">
        <f>DH391+DG392</f>
        <v>-8860825.4743395</v>
      </c>
      <c r="DI392">
        <f>IF(DH392=MAX($DH$83:$DH$483),$A392,0)</f>
        <v>0</v>
      </c>
      <c r="DJ392">
        <f>IF(DE392&lt;DF392,$A392,B_MAX+1)</f>
        <v>309</v>
      </c>
      <c r="DK392" s="13">
        <f>IF(DB392=1,$DB$35,$DB$36)</f>
        <v>0</v>
      </c>
      <c r="DL392" s="13">
        <f>OCC_DAYS*$DB$41*R_NF_2023-DD392*MCD_SHARE_FREED*R_WAIT_2023</f>
        <v>151980.48282209205</v>
      </c>
      <c r="DM392">
        <f>IF($A392&lt;=$DB$45,1,0)</f>
        <v>0</v>
      </c>
      <c r="EB392">
        <f>IF($EB$31&lt;=$EB$32,IF($A392&lt;=$EB$7,1,2),IF($A392&lt;=RUNG_BEDS_2,2,1))</f>
        <v>1</v>
      </c>
      <c r="EC392" s="5">
        <f>MIN(1,MAX(0,$EB$26-($A392-1)))</f>
        <v>0</v>
      </c>
      <c r="ED392" s="5">
        <f>$EB$25*(EC392+(1-EC392)*$EB$16)</f>
        <v>0.0</v>
      </c>
      <c r="EE392" s="13">
        <f>ED392*($EB$6+ACUTE_MARGIN)</f>
        <v>0.0</v>
      </c>
      <c r="EF392" s="13">
        <f>IF(EB392=1,$EB$31,$EB$32)</f>
        <v>152394.16214437486</v>
      </c>
      <c r="EG392" s="13">
        <f>EE392-EF392</f>
        <v>-152394.16214437486</v>
      </c>
      <c r="EH392" s="13">
        <f>EH391+EG392</f>
        <v>-8860825.4743395</v>
      </c>
      <c r="EI392">
        <f>IF(EH392=MAX($EH$83:$EH$483),$A392,0)</f>
        <v>0</v>
      </c>
      <c r="EJ392">
        <f>IF(EE392&lt;EF392,$A392,B_MAX+1)</f>
        <v>309</v>
      </c>
      <c r="EK392" s="13">
        <f>IF(EB392=1,$EB$35,$EB$36)</f>
        <v>0</v>
      </c>
      <c r="EL392" s="13">
        <f>OCC_DAYS*$EB$41*R_NF_2023-ED392*MCD_SHARE_FREED*R_WAIT_2023</f>
        <v>50660.16094069735</v>
      </c>
      <c r="EM392">
        <f>IF($A392&lt;=$EB$45,1,0)</f>
        <v>0</v>
      </c>
      <c r="FB392">
        <f>IF($FB$31&lt;=$FB$32,IF($A392&lt;=$FB$7,1,2),IF($A392&lt;=RUNG_BEDS_2,2,1))</f>
        <v>1</v>
      </c>
      <c r="FC392" s="5">
        <f>MIN(1,MAX(0,$FB$26-($A392-1)))</f>
        <v>0</v>
      </c>
      <c r="FD392" s="5">
        <f>$FB$25*(FC392+(1-FC392)*$FB$16)</f>
        <v>0.0</v>
      </c>
      <c r="FE392" s="13">
        <f>FD392*($FB$6+ACUTE_MARGIN)</f>
        <v>0.0</v>
      </c>
      <c r="FF392" s="13">
        <f>IF(FB392=1,$FB$31,$FB$32)</f>
        <v>156636.04979437485</v>
      </c>
      <c r="FG392" s="13">
        <f>FE392-FF392</f>
        <v>-156636.04979437485</v>
      </c>
      <c r="FH392" s="13">
        <f>FH391+FG392</f>
        <v>-10171568.758189606</v>
      </c>
      <c r="FI392">
        <f>IF(FH392=MAX($FH$83:$FH$483),$A392,0)</f>
        <v>0</v>
      </c>
      <c r="FJ392">
        <f>IF(FE392&lt;FF392,$A392,B_MAX+1)</f>
        <v>309</v>
      </c>
      <c r="FK392" s="13">
        <f>IF(FB392=1,$FB$35,$FB$36)</f>
        <v>0</v>
      </c>
      <c r="FL392" s="13">
        <f>OCC_DAYS*$FB$41*R_NF_2023-FD392*MCD_SHARE_FREED*R_WAIT_2023</f>
        <v>151980.48282209205</v>
      </c>
      <c r="FM392">
        <f>IF($A392&lt;=$FB$45,1,0)</f>
        <v>0</v>
      </c>
      <c r="GB392">
        <f>IF($GB$31&lt;=$GB$32,IF($A392&lt;=$GB$7,1,2),IF($A392&lt;=RUNG_BEDS_2,2,1))</f>
        <v>1</v>
      </c>
      <c r="GC392" s="5">
        <f>MIN(1,MAX(0,$GB$26-($A392-1)))</f>
        <v>0</v>
      </c>
      <c r="GD392" s="5">
        <f>$GB$25*(GC392+(1-GC392)*$GB$16)</f>
        <v>0.0</v>
      </c>
      <c r="GE392" s="13">
        <f>GD392*($GB$6+ACUTE_MARGIN)</f>
        <v>0.0</v>
      </c>
      <c r="GF392" s="13">
        <f>IF(GB392=1,$GB$31,$GB$32)</f>
        <v>152394.16214437486</v>
      </c>
      <c r="GG392" s="13">
        <f>GE392-GF392</f>
        <v>-152394.16214437486</v>
      </c>
      <c r="GH392" s="13">
        <f>GH391+GG392</f>
        <v>-8860825.4743395</v>
      </c>
      <c r="GI392">
        <f>IF(GH392=MAX($GH$83:$GH$483),$A392,0)</f>
        <v>0</v>
      </c>
      <c r="GJ392">
        <f>IF(GE392&lt;GF392,$A392,B_MAX+1)</f>
        <v>309</v>
      </c>
      <c r="GK392" s="13">
        <f>IF(GB392=1,$GB$35,$GB$36)</f>
        <v>0</v>
      </c>
      <c r="GL392" s="13">
        <f>OCC_DAYS*$GB$41*R_NF_2023-GD392*MCD_SHARE_FREED*R_WAIT_2023</f>
        <v>151980.48282209205</v>
      </c>
      <c r="GM392">
        <f>IF($A392&lt;=$GB$45,1,0)</f>
        <v>0</v>
      </c>
      <c r="HB392">
        <f>IF($HB$31&lt;=$HB$32,IF($A392&lt;=$HB$7,1,2),IF($A392&lt;=RUNG_BEDS_2,2,1))</f>
        <v>1</v>
      </c>
      <c r="HC392" s="5">
        <f>MIN(1,MAX(0,$HB$26-($A392-1)))</f>
        <v>0</v>
      </c>
      <c r="HD392" s="5">
        <f>$HB$25*(HC392+(1-HC392)*$HB$16)</f>
        <v>0.0</v>
      </c>
      <c r="HE392" s="13">
        <f>HD392*($HB$6+ACUTE_MARGIN)</f>
        <v>0.0</v>
      </c>
      <c r="HF392" s="13">
        <f>IF(HB392=1,$HB$31,$HB$32)</f>
        <v>152456.2970814058</v>
      </c>
      <c r="HG392" s="13">
        <f>HE392-HF392</f>
        <v>-152456.2970814058</v>
      </c>
      <c r="HH392" s="13">
        <f>HH391+HG392</f>
        <v>-8880025.169882106</v>
      </c>
      <c r="HI392">
        <f>IF(HH392=MAX($HH$83:$HH$483),$A392,0)</f>
        <v>0</v>
      </c>
      <c r="HJ392">
        <f>IF(HE392&lt;HF392,$A392,B_MAX+1)</f>
        <v>309</v>
      </c>
      <c r="HK392" s="13">
        <f>IF(HB392=1,$HB$35,$HB$36)</f>
        <v>0</v>
      </c>
      <c r="HL392" s="13">
        <f>OCC_DAYS*$HB$41*R_NF_2023-HD392*MCD_SHARE_FREED*R_WAIT_2023</f>
        <v>151980.48282209205</v>
      </c>
      <c r="HM392">
        <f>IF($A392&lt;=$HB$45,1,0)</f>
        <v>0</v>
      </c>
      <c r="IB392">
        <f>IF($IB$31&lt;=$IB$32,IF($A392&lt;=$IB$7,1,2),IF($A392&lt;=RUNG_BEDS_2,2,1))</f>
        <v>1</v>
      </c>
      <c r="IC392" s="5">
        <f>MIN(1,MAX(0,$IB$26-($A392-1)))</f>
        <v>0</v>
      </c>
      <c r="ID392" s="5">
        <f>$IB$25*(IC392+(1-IC392)*$IB$16)</f>
        <v>0.0</v>
      </c>
      <c r="IE392" s="13">
        <f>ID392*($IB$6+ACUTE_MARGIN)</f>
        <v>0.0</v>
      </c>
      <c r="IF392" s="13">
        <f>IF(IB392=1,$IB$31,$IB$32)</f>
        <v>152734.9994534971</v>
      </c>
      <c r="IG392" s="13">
        <f>IE392-IF392</f>
        <v>-152734.9994534971</v>
      </c>
      <c r="IH392" s="13">
        <f>IH391+IG392</f>
        <v>-8966144.202858359</v>
      </c>
      <c r="II392">
        <f>IF(IH392=MAX($IH$83:$IH$483),$A392,0)</f>
        <v>0</v>
      </c>
      <c r="IJ392">
        <f>IF(IE392&lt;IF392,$A392,B_MAX+1)</f>
        <v>309</v>
      </c>
      <c r="IK392" s="13">
        <f>IF(IB392=1,$IB$35,$IB$36)</f>
        <v>0</v>
      </c>
      <c r="IL392" s="13">
        <f>OCC_DAYS*$IB$41*R_NF_2023-ID392*MCD_SHARE_FREED*R_WAIT_2023</f>
        <v>151980.48282209205</v>
      </c>
      <c r="IM392">
        <f>IF($A392&lt;=$IB$45,1,0)</f>
        <v>0</v>
      </c>
      <c r="JB392">
        <f>IF($JB$31&lt;=$JB$32,IF($A392&lt;=$JB$7,1,2),IF($A392&lt;=RUNG_BEDS_2,2,1))</f>
        <v>1</v>
      </c>
      <c r="JC392" s="5">
        <f>MIN(1,MAX(0,$JB$26-($A392-1)))</f>
        <v>0</v>
      </c>
      <c r="JD392" s="5">
        <f>$JB$25*(JC392+(1-JC392)*$JB$16)</f>
        <v>0.0</v>
      </c>
      <c r="JE392" s="13">
        <f>JD392*($JB$6+ACUTE_MARGIN)</f>
        <v>0.0</v>
      </c>
      <c r="JF392" s="13">
        <f>IF(JB392=1,$JB$31,$JB$32)</f>
        <v>152394.16214437486</v>
      </c>
      <c r="JG392" s="13">
        <f>JE392-JF392</f>
        <v>-152394.16214437486</v>
      </c>
      <c r="JH392" s="13">
        <f>JH391+JG392</f>
        <v>-8860825.4743395</v>
      </c>
      <c r="JI392">
        <f>IF(JH392=MAX($JH$83:$JH$483),$A392,0)</f>
        <v>0</v>
      </c>
      <c r="JJ392">
        <f>IF(JE392&lt;JF392,$A392,B_MAX+1)</f>
        <v>309</v>
      </c>
      <c r="JK392" s="13">
        <f>IF(JB392=1,$JB$35,$JB$36)</f>
        <v>0</v>
      </c>
      <c r="JL392" s="13">
        <f>OCC_DAYS*$JB$41*R_NF_2023-JD392*MCD_SHARE_FREED*R_WAIT_2023</f>
        <v>151980.48282209205</v>
      </c>
      <c r="JM392">
        <f>IF($A392&lt;=$JB$45,1,0)</f>
        <v>0</v>
      </c>
      <c r="KB392">
        <f>IF($KB$31&lt;=$KB$32,IF($A392&lt;=$KB$7,1,2),IF($A392&lt;=RUNG_BEDS_2,2,1))</f>
        <v>1</v>
      </c>
      <c r="KC392" s="5">
        <f>MIN(1,MAX(0,$KB$26-($A392-1)))</f>
        <v>0</v>
      </c>
      <c r="KD392" s="5">
        <f>$KB$25*(KC392+(1-KC392)*$KB$16)</f>
        <v>0.0</v>
      </c>
      <c r="KE392" s="13">
        <f>KD392*($KB$6+ACUTE_MARGIN)</f>
        <v>0.0</v>
      </c>
      <c r="KF392" s="13">
        <f>IF(KB392=1,$KB$31,$KB$32)</f>
        <v>152394.16214437486</v>
      </c>
      <c r="KG392" s="13">
        <f>KE392-KF392</f>
        <v>-152394.16214437486</v>
      </c>
      <c r="KH392" s="13">
        <f>KH391+KG392</f>
        <v>-8860825.474339606</v>
      </c>
      <c r="KI392">
        <f>IF(KH392=MAX($KH$83:$KH$483),$A392,0)</f>
        <v>0</v>
      </c>
      <c r="KJ392">
        <f>IF(KE392&lt;KF392,$A392,B_MAX+1)</f>
        <v>309</v>
      </c>
      <c r="KK392" s="13">
        <f>IF(KB392=1,$KB$35,$KB$36)</f>
        <v>0</v>
      </c>
      <c r="KL392" s="13">
        <f>OCC_DAYS*$KB$41*R_NF_2023-KD392*MCD_SHARE_FREED*R_WAIT_2023</f>
        <v>151980.48282209205</v>
      </c>
      <c r="KM392">
        <f>IF($A392&lt;=$KB$45,1,0)</f>
        <v>0</v>
      </c>
      <c r="LB392">
        <f>IF($LB$31&lt;=$LB$32,IF($A392&lt;=$LB$7,1,2),IF($A392&lt;=RUNG_BEDS_2,2,1))</f>
        <v>1</v>
      </c>
      <c r="LC392" s="5">
        <f>MIN(1,MAX(0,$LB$26-($A392-1)))</f>
        <v>1</v>
      </c>
      <c r="LD392" s="5">
        <f>$LB$25*(LC392+(1-LC392)*$LB$16)</f>
        <v>84.01774238227146</v>
      </c>
      <c r="LE392" s="13">
        <f>LD392*($LB$6+ACUTE_MARGIN)</f>
        <v>84857.91980609419</v>
      </c>
      <c r="LF392" s="13">
        <f>IF(LB392=1,$LB$31,$LB$32)</f>
        <v>152394.16214437486</v>
      </c>
      <c r="LG392" s="13">
        <f>LE392-LF392</f>
        <v>-67536.24233828067</v>
      </c>
      <c r="LH392" s="13">
        <f>LH391+LG392</f>
        <v>-20868698.882528838</v>
      </c>
      <c r="LI392">
        <f>IF(LH392=MAX($LH$83:$LH$483),$A392,0)</f>
        <v>0</v>
      </c>
      <c r="LJ392">
        <f>IF(LE392&lt;LF392,$A392,B_MAX+1)</f>
        <v>309</v>
      </c>
      <c r="LK392" s="13">
        <f>IF(LB392=1,$LB$35,$LB$36)</f>
        <v>0</v>
      </c>
      <c r="LL392" s="13">
        <f>OCC_DAYS*$LB$41*R_NF_2023-LD392*MCD_SHARE_FREED*R_WAIT_2023</f>
        <v>113776.04162887059</v>
      </c>
      <c r="LM392">
        <f>IF($A392&lt;=$LB$45,1,0)</f>
        <v>0</v>
      </c>
      <c r="MB392">
        <f>IF($MB$31&lt;=$MB$32,IF($A392&lt;=$MB$7,1,2),IF($A392&lt;=RUNG_BEDS_2,2,1))</f>
        <v>1</v>
      </c>
      <c r="MC392" s="5">
        <f>MIN(1,MAX(0,$MB$26-($A392-1)))</f>
        <v>0</v>
      </c>
      <c r="MD392" s="5">
        <f>$MB$25*(MC392+(1-MC392)*$MB$16)</f>
        <v>0.0</v>
      </c>
      <c r="ME392" s="13">
        <f>MD392*($MB$6+ACUTE_MARGIN)</f>
        <v>0.0</v>
      </c>
      <c r="MF392" s="13">
        <f>IF(MB392=1,$MB$31,$MB$32)</f>
        <v>152394.16214437486</v>
      </c>
      <c r="MG392" s="13">
        <f>ME392-MF392</f>
        <v>-152394.16214437486</v>
      </c>
      <c r="MH392" s="13">
        <f>MH391+MG392</f>
        <v>-14748101.5361378</v>
      </c>
      <c r="MI392">
        <f>IF(MH392=MAX($MH$83:$MH$483),$A392,0)</f>
        <v>0</v>
      </c>
      <c r="MJ392">
        <f>IF(ME392&lt;MF392,$A392,B_MAX+1)</f>
        <v>309</v>
      </c>
      <c r="MK392" s="13">
        <f>IF(MB392=1,$MB$35,$MB$36)</f>
        <v>0</v>
      </c>
      <c r="ML392" s="13">
        <f>OCC_DAYS*$MB$41*R_NF_2023-MD392*MCD_SHARE_FREED*R_WAIT_2023</f>
        <v>151980.48282209205</v>
      </c>
      <c r="MM392">
        <f>IF($A392&lt;=$MB$45,1,0)</f>
        <v>0</v>
      </c>
      <c r="NB392">
        <f>IF($NB$31&lt;=$NB$32,IF($A392&lt;=$NB$7,1,2),IF($A392&lt;=RUNG_BEDS_2,2,1))</f>
        <v>1</v>
      </c>
      <c r="NC392" s="5">
        <f>MIN(1,MAX(0,$NB$26-($A392-1)))</f>
        <v>0</v>
      </c>
      <c r="ND392" s="5">
        <f>$NB$25*(NC392+(1-NC392)*$NB$16)</f>
        <v>63.013306786703595</v>
      </c>
      <c r="NE392" s="13">
        <f>ND392*($NB$6+ACUTE_MARGIN)</f>
        <v>63643.43985457063</v>
      </c>
      <c r="NF392" s="13">
        <f>IF(NB392=1,$NB$31,$NB$32)</f>
        <v>152394.16214437486</v>
      </c>
      <c r="NG392" s="13">
        <f>NE392-NF392</f>
        <v>-88750.72228980422</v>
      </c>
      <c r="NH392" s="13">
        <f>NH391+NG392</f>
        <v>1247754.7836547182</v>
      </c>
      <c r="NI392">
        <f>IF(NH392=MAX($NH$83:$NH$483),$A392,0)</f>
        <v>0</v>
      </c>
      <c r="NJ392">
        <f>IF(NE392&lt;NF392,$A392,B_MAX+1)</f>
        <v>309</v>
      </c>
      <c r="NK392" s="13">
        <f>IF(NB392=1,$NB$35,$NB$36)</f>
        <v>0</v>
      </c>
      <c r="NL392" s="13">
        <f>OCC_DAYS*$NB$41*R_NF_2023-ND392*MCD_SHARE_FREED*R_WAIT_2023</f>
        <v>123327.15192717595</v>
      </c>
      <c r="NM392">
        <f>IF($A392&lt;=$NB$45,1,0)</f>
        <v>0</v>
      </c>
      <c r="OB392">
        <f>IF($OB$31&lt;=$OB$32,IF($A392&lt;=$OB$7,1,2),IF($A392&lt;=RUNG_BEDS_2,2,1))</f>
        <v>1</v>
      </c>
      <c r="OC392" s="5">
        <f>MIN(1,MAX(0,$OB$26-($A392-1)))</f>
        <v>0</v>
      </c>
      <c r="OD392" s="5">
        <f>$OB$25*(OC392+(1-OC392)*$OB$16)</f>
        <v>126.02661357340719</v>
      </c>
      <c r="OE392" s="13">
        <f>OD392*($OB$6+ACUTE_MARGIN)</f>
        <v>127286.87970914126</v>
      </c>
      <c r="OF392" s="13">
        <f>IF(OB392=1,$OB$31,$OB$32)</f>
        <v>152394.16214437486</v>
      </c>
      <c r="OG392" s="13">
        <f>OE392-OF392</f>
        <v>-25107.282435233603</v>
      </c>
      <c r="OH392" s="13">
        <f>OH391+OG392</f>
        <v>11356335.041649131</v>
      </c>
      <c r="OI392">
        <f>IF(OH392=MAX($OH$83:$OH$483),$A392,0)</f>
        <v>0</v>
      </c>
      <c r="OJ392">
        <f>IF(OE392&lt;OF392,$A392,B_MAX+1)</f>
        <v>309</v>
      </c>
      <c r="OK392" s="13">
        <f>IF(OB392=1,$OB$35,$OB$36)</f>
        <v>0</v>
      </c>
      <c r="OL392" s="13">
        <f>OCC_DAYS*$OB$41*R_NF_2023-OD392*MCD_SHARE_FREED*R_WAIT_2023</f>
        <v>94673.82103225985</v>
      </c>
      <c r="OM392">
        <f>IF($A392&lt;=$OB$45,1,0)</f>
        <v>0</v>
      </c>
    </row>
    <row r="393">
      <c r="A393" t="n">
        <v>310</v>
      </c>
      <c r="B393">
        <f>IF($B$31&lt;=$B$32,IF($A393&lt;=$B$7,1,2),IF($A393&lt;=RUNG_BEDS_2,2,1))</f>
        <v>1</v>
      </c>
      <c r="C393" s="5">
        <f>MIN(1,MAX(0,$B$26-($A393-1)))</f>
        <v>0</v>
      </c>
      <c r="D393" s="5">
        <f>$B$25*(C393+(1-C393)*$B$16)</f>
        <v>0.0</v>
      </c>
      <c r="E393" s="13">
        <f>D393*($B$6+ACUTE_MARGIN)</f>
        <v>0.0</v>
      </c>
      <c r="F393" s="13">
        <f>IF(B393=1,$B$31,$B$32)</f>
        <v>152394.16214437486</v>
      </c>
      <c r="G393" s="13">
        <f>E393-F393</f>
        <v>-152394.16214437486</v>
      </c>
      <c r="H393" s="13">
        <f>H392+G393</f>
        <v>-9013219.636483874</v>
      </c>
      <c r="I393">
        <f>IF(H393=MAX($H$83:$H$483),$A393,0)</f>
        <v>0</v>
      </c>
      <c r="J393">
        <f>IF(E393&lt;F393,$A393,B_MAX+1)</f>
        <v>310</v>
      </c>
      <c r="K393" s="13">
        <f>IF(B393=1,$B$35,$B$36)</f>
        <v>0</v>
      </c>
      <c r="L393" s="13">
        <f>OCC_DAYS*$B$41*R_NF_2023-D393*MCD_SHARE_FREED*R_WAIT_2023</f>
        <v>151980.48282209205</v>
      </c>
      <c r="M393">
        <f>IF($A393&lt;=$B$45,1,0)</f>
        <v>0</v>
      </c>
      <c r="AB393">
        <f>IF($AB$31&lt;=$AB$32,IF($A393&lt;=$AB$7,1,2),IF($A393&lt;=RUNG_BEDS_2,2,1))</f>
        <v>1</v>
      </c>
      <c r="AC393" s="5">
        <f>MIN(1,MAX(0,$AB$26-($A393-1)))</f>
        <v>0</v>
      </c>
      <c r="AD393" s="5">
        <f>$AB$25*(AC393+(1-AC393)*$AB$16)</f>
        <v>0.0</v>
      </c>
      <c r="AE393" s="13">
        <f>AD393*($AB$6+ACUTE_MARGIN)</f>
        <v>0.0</v>
      </c>
      <c r="AF393" s="13">
        <f>IF(AB393=1,$AB$31,$AB$32)</f>
        <v>152394.16214437486</v>
      </c>
      <c r="AG393" s="13">
        <f>AE393-AF393</f>
        <v>-152394.16214437486</v>
      </c>
      <c r="AH393" s="13">
        <f>AH392+AG393</f>
        <v>-26424433.98203361</v>
      </c>
      <c r="AI393">
        <f>IF(AH393=MAX($AH$83:$AH$483),$A393,0)</f>
        <v>0</v>
      </c>
      <c r="AJ393">
        <f>IF(AE393&lt;AF393,$A393,B_MAX+1)</f>
        <v>310</v>
      </c>
      <c r="AK393" s="13">
        <f>IF(AB393=1,$AB$35,$AB$36)</f>
        <v>0</v>
      </c>
      <c r="AL393" s="13">
        <f>OCC_DAYS*$AB$41*R_NF_2023-AD393*MCD_SHARE_FREED*R_WAIT_2023</f>
        <v>151980.48282209205</v>
      </c>
      <c r="AM393">
        <f>IF($A393&lt;=$AB$45,1,0)</f>
        <v>0</v>
      </c>
      <c r="BB393">
        <f>IF($BB$31&lt;=$BB$32,IF($A393&lt;=$BB$7,1,2),IF($A393&lt;=RUNG_BEDS_2,2,1))</f>
        <v>1</v>
      </c>
      <c r="BC393" s="5">
        <f>MIN(1,MAX(0,$BB$26-($A393-1)))</f>
        <v>0</v>
      </c>
      <c r="BD393" s="5">
        <f>$BB$25*(BC393+(1-BC393)*$BB$16)</f>
        <v>0.0</v>
      </c>
      <c r="BE393" s="13">
        <f>BD393*($BB$6+ACUTE_MARGIN)</f>
        <v>0.0</v>
      </c>
      <c r="BF393" s="13">
        <f>IF(BB393=1,$BB$31,$BB$32)</f>
        <v>152394.16214437486</v>
      </c>
      <c r="BG393" s="13">
        <f>BE393-BF393</f>
        <v>-152394.16214437486</v>
      </c>
      <c r="BH393" s="13">
        <f>BH392+BG393</f>
        <v>8397994.709065884</v>
      </c>
      <c r="BI393">
        <f>IF(BH393=MAX($BH$83:$BH$483),$A393,0)</f>
        <v>0</v>
      </c>
      <c r="BJ393">
        <f>IF(BE393&lt;BF393,$A393,B_MAX+1)</f>
        <v>310</v>
      </c>
      <c r="BK393" s="13">
        <f>IF(BB393=1,$BB$35,$BB$36)</f>
        <v>0</v>
      </c>
      <c r="BL393" s="13">
        <f>OCC_DAYS*$BB$41*R_NF_2023-BD393*MCD_SHARE_FREED*R_WAIT_2023</f>
        <v>151980.48282209205</v>
      </c>
      <c r="BM393">
        <f>IF($A393&lt;=$BB$45,1,0)</f>
        <v>0</v>
      </c>
      <c r="CB393">
        <f>IF($CB$31&lt;=$CB$32,IF($A393&lt;=$CB$7,1,2),IF($A393&lt;=RUNG_BEDS_2,2,1))</f>
        <v>2</v>
      </c>
      <c r="CC393" s="5">
        <f>MIN(1,MAX(0,$CB$26-($A393-1)))</f>
        <v>0</v>
      </c>
      <c r="CD393" s="5">
        <f>$CB$25*(CC393+(1-CC393)*$CB$16)</f>
        <v>0.0</v>
      </c>
      <c r="CE393" s="13">
        <f>CD393*($CB$6+ACUTE_MARGIN)</f>
        <v>0.0</v>
      </c>
      <c r="CF393" s="13">
        <f>IF(CB393=1,$CB$31,$CB$32)</f>
        <v>160718.36940738867</v>
      </c>
      <c r="CG393" s="13">
        <f>CE393-CF393</f>
        <v>-160718.36940738867</v>
      </c>
      <c r="CH393" s="13">
        <f>CH392+CG393</f>
        <v>-11593723.888018273</v>
      </c>
      <c r="CI393">
        <f>IF(CH393=MAX($CH$83:$CH$483),$A393,0)</f>
        <v>0</v>
      </c>
      <c r="CJ393">
        <f>IF(CE393&lt;CF393,$A393,B_MAX+1)</f>
        <v>310</v>
      </c>
      <c r="CK393" s="13">
        <f>IF(CB393=1,$CB$35,$CB$36)</f>
        <v>1560.1194073886782</v>
      </c>
      <c r="CL393" s="13">
        <f>OCC_DAYS*$CB$41*R_NF_2023-CD393*MCD_SHARE_FREED*R_WAIT_2023</f>
        <v>151980.48282209205</v>
      </c>
      <c r="CM393">
        <f>IF($A393&lt;=$CB$45,1,0)</f>
        <v>0</v>
      </c>
      <c r="DB393">
        <f>IF($DB$31&lt;=$DB$32,IF($A393&lt;=$DB$7,1,2),IF($A393&lt;=RUNG_BEDS_2,2,1))</f>
        <v>1</v>
      </c>
      <c r="DC393" s="5">
        <f>MIN(1,MAX(0,$DB$26-($A393-1)))</f>
        <v>0</v>
      </c>
      <c r="DD393" s="5">
        <f>$DB$25*(DC393+(1-DC393)*$DB$16)</f>
        <v>0.0</v>
      </c>
      <c r="DE393" s="13">
        <f>DD393*($DB$6+ACUTE_MARGIN)</f>
        <v>0.0</v>
      </c>
      <c r="DF393" s="13">
        <f>IF(DB393=1,$DB$31,$DB$32)</f>
        <v>152394.16214437486</v>
      </c>
      <c r="DG393" s="13">
        <f>DE393-DF393</f>
        <v>-152394.16214437486</v>
      </c>
      <c r="DH393" s="13">
        <f>DH392+DG393</f>
        <v>-9013219.636483874</v>
      </c>
      <c r="DI393">
        <f>IF(DH393=MAX($DH$83:$DH$483),$A393,0)</f>
        <v>0</v>
      </c>
      <c r="DJ393">
        <f>IF(DE393&lt;DF393,$A393,B_MAX+1)</f>
        <v>310</v>
      </c>
      <c r="DK393" s="13">
        <f>IF(DB393=1,$DB$35,$DB$36)</f>
        <v>0</v>
      </c>
      <c r="DL393" s="13">
        <f>OCC_DAYS*$DB$41*R_NF_2023-DD393*MCD_SHARE_FREED*R_WAIT_2023</f>
        <v>151980.48282209205</v>
      </c>
      <c r="DM393">
        <f>IF($A393&lt;=$DB$45,1,0)</f>
        <v>0</v>
      </c>
      <c r="EB393">
        <f>IF($EB$31&lt;=$EB$32,IF($A393&lt;=$EB$7,1,2),IF($A393&lt;=RUNG_BEDS_2,2,1))</f>
        <v>1</v>
      </c>
      <c r="EC393" s="5">
        <f>MIN(1,MAX(0,$EB$26-($A393-1)))</f>
        <v>0</v>
      </c>
      <c r="ED393" s="5">
        <f>$EB$25*(EC393+(1-EC393)*$EB$16)</f>
        <v>0.0</v>
      </c>
      <c r="EE393" s="13">
        <f>ED393*($EB$6+ACUTE_MARGIN)</f>
        <v>0.0</v>
      </c>
      <c r="EF393" s="13">
        <f>IF(EB393=1,$EB$31,$EB$32)</f>
        <v>152394.16214437486</v>
      </c>
      <c r="EG393" s="13">
        <f>EE393-EF393</f>
        <v>-152394.16214437486</v>
      </c>
      <c r="EH393" s="13">
        <f>EH392+EG393</f>
        <v>-9013219.636483874</v>
      </c>
      <c r="EI393">
        <f>IF(EH393=MAX($EH$83:$EH$483),$A393,0)</f>
        <v>0</v>
      </c>
      <c r="EJ393">
        <f>IF(EE393&lt;EF393,$A393,B_MAX+1)</f>
        <v>310</v>
      </c>
      <c r="EK393" s="13">
        <f>IF(EB393=1,$EB$35,$EB$36)</f>
        <v>0</v>
      </c>
      <c r="EL393" s="13">
        <f>OCC_DAYS*$EB$41*R_NF_2023-ED393*MCD_SHARE_FREED*R_WAIT_2023</f>
        <v>50660.16094069735</v>
      </c>
      <c r="EM393">
        <f>IF($A393&lt;=$EB$45,1,0)</f>
        <v>0</v>
      </c>
      <c r="FB393">
        <f>IF($FB$31&lt;=$FB$32,IF($A393&lt;=$FB$7,1,2),IF($A393&lt;=RUNG_BEDS_2,2,1))</f>
        <v>1</v>
      </c>
      <c r="FC393" s="5">
        <f>MIN(1,MAX(0,$FB$26-($A393-1)))</f>
        <v>0</v>
      </c>
      <c r="FD393" s="5">
        <f>$FB$25*(FC393+(1-FC393)*$FB$16)</f>
        <v>0.0</v>
      </c>
      <c r="FE393" s="13">
        <f>FD393*($FB$6+ACUTE_MARGIN)</f>
        <v>0.0</v>
      </c>
      <c r="FF393" s="13">
        <f>IF(FB393=1,$FB$31,$FB$32)</f>
        <v>156636.04979437485</v>
      </c>
      <c r="FG393" s="13">
        <f>FE393-FF393</f>
        <v>-156636.04979437485</v>
      </c>
      <c r="FH393" s="13">
        <f>FH392+FG393</f>
        <v>-10328204.80798398</v>
      </c>
      <c r="FI393">
        <f>IF(FH393=MAX($FH$83:$FH$483),$A393,0)</f>
        <v>0</v>
      </c>
      <c r="FJ393">
        <f>IF(FE393&lt;FF393,$A393,B_MAX+1)</f>
        <v>310</v>
      </c>
      <c r="FK393" s="13">
        <f>IF(FB393=1,$FB$35,$FB$36)</f>
        <v>0</v>
      </c>
      <c r="FL393" s="13">
        <f>OCC_DAYS*$FB$41*R_NF_2023-FD393*MCD_SHARE_FREED*R_WAIT_2023</f>
        <v>151980.48282209205</v>
      </c>
      <c r="FM393">
        <f>IF($A393&lt;=$FB$45,1,0)</f>
        <v>0</v>
      </c>
      <c r="GB393">
        <f>IF($GB$31&lt;=$GB$32,IF($A393&lt;=$GB$7,1,2),IF($A393&lt;=RUNG_BEDS_2,2,1))</f>
        <v>1</v>
      </c>
      <c r="GC393" s="5">
        <f>MIN(1,MAX(0,$GB$26-($A393-1)))</f>
        <v>0</v>
      </c>
      <c r="GD393" s="5">
        <f>$GB$25*(GC393+(1-GC393)*$GB$16)</f>
        <v>0.0</v>
      </c>
      <c r="GE393" s="13">
        <f>GD393*($GB$6+ACUTE_MARGIN)</f>
        <v>0.0</v>
      </c>
      <c r="GF393" s="13">
        <f>IF(GB393=1,$GB$31,$GB$32)</f>
        <v>152394.16214437486</v>
      </c>
      <c r="GG393" s="13">
        <f>GE393-GF393</f>
        <v>-152394.16214437486</v>
      </c>
      <c r="GH393" s="13">
        <f>GH392+GG393</f>
        <v>-9013219.636483874</v>
      </c>
      <c r="GI393">
        <f>IF(GH393=MAX($GH$83:$GH$483),$A393,0)</f>
        <v>0</v>
      </c>
      <c r="GJ393">
        <f>IF(GE393&lt;GF393,$A393,B_MAX+1)</f>
        <v>310</v>
      </c>
      <c r="GK393" s="13">
        <f>IF(GB393=1,$GB$35,$GB$36)</f>
        <v>0</v>
      </c>
      <c r="GL393" s="13">
        <f>OCC_DAYS*$GB$41*R_NF_2023-GD393*MCD_SHARE_FREED*R_WAIT_2023</f>
        <v>151980.48282209205</v>
      </c>
      <c r="GM393">
        <f>IF($A393&lt;=$GB$45,1,0)</f>
        <v>0</v>
      </c>
      <c r="HB393">
        <f>IF($HB$31&lt;=$HB$32,IF($A393&lt;=$HB$7,1,2),IF($A393&lt;=RUNG_BEDS_2,2,1))</f>
        <v>1</v>
      </c>
      <c r="HC393" s="5">
        <f>MIN(1,MAX(0,$HB$26-($A393-1)))</f>
        <v>0</v>
      </c>
      <c r="HD393" s="5">
        <f>$HB$25*(HC393+(1-HC393)*$HB$16)</f>
        <v>0.0</v>
      </c>
      <c r="HE393" s="13">
        <f>HD393*($HB$6+ACUTE_MARGIN)</f>
        <v>0.0</v>
      </c>
      <c r="HF393" s="13">
        <f>IF(HB393=1,$HB$31,$HB$32)</f>
        <v>152456.2970814058</v>
      </c>
      <c r="HG393" s="13">
        <f>HE393-HF393</f>
        <v>-152456.2970814058</v>
      </c>
      <c r="HH393" s="13">
        <f>HH392+HG393</f>
        <v>-9032481.466963511</v>
      </c>
      <c r="HI393">
        <f>IF(HH393=MAX($HH$83:$HH$483),$A393,0)</f>
        <v>0</v>
      </c>
      <c r="HJ393">
        <f>IF(HE393&lt;HF393,$A393,B_MAX+1)</f>
        <v>310</v>
      </c>
      <c r="HK393" s="13">
        <f>IF(HB393=1,$HB$35,$HB$36)</f>
        <v>0</v>
      </c>
      <c r="HL393" s="13">
        <f>OCC_DAYS*$HB$41*R_NF_2023-HD393*MCD_SHARE_FREED*R_WAIT_2023</f>
        <v>151980.48282209205</v>
      </c>
      <c r="HM393">
        <f>IF($A393&lt;=$HB$45,1,0)</f>
        <v>0</v>
      </c>
      <c r="IB393">
        <f>IF($IB$31&lt;=$IB$32,IF($A393&lt;=$IB$7,1,2),IF($A393&lt;=RUNG_BEDS_2,2,1))</f>
        <v>1</v>
      </c>
      <c r="IC393" s="5">
        <f>MIN(1,MAX(0,$IB$26-($A393-1)))</f>
        <v>0</v>
      </c>
      <c r="ID393" s="5">
        <f>$IB$25*(IC393+(1-IC393)*$IB$16)</f>
        <v>0.0</v>
      </c>
      <c r="IE393" s="13">
        <f>ID393*($IB$6+ACUTE_MARGIN)</f>
        <v>0.0</v>
      </c>
      <c r="IF393" s="13">
        <f>IF(IB393=1,$IB$31,$IB$32)</f>
        <v>152734.9994534971</v>
      </c>
      <c r="IG393" s="13">
        <f>IE393-IF393</f>
        <v>-152734.9994534971</v>
      </c>
      <c r="IH393" s="13">
        <f>IH392+IG393</f>
        <v>-9118879.202311855</v>
      </c>
      <c r="II393">
        <f>IF(IH393=MAX($IH$83:$IH$483),$A393,0)</f>
        <v>0</v>
      </c>
      <c r="IJ393">
        <f>IF(IE393&lt;IF393,$A393,B_MAX+1)</f>
        <v>310</v>
      </c>
      <c r="IK393" s="13">
        <f>IF(IB393=1,$IB$35,$IB$36)</f>
        <v>0</v>
      </c>
      <c r="IL393" s="13">
        <f>OCC_DAYS*$IB$41*R_NF_2023-ID393*MCD_SHARE_FREED*R_WAIT_2023</f>
        <v>151980.48282209205</v>
      </c>
      <c r="IM393">
        <f>IF($A393&lt;=$IB$45,1,0)</f>
        <v>0</v>
      </c>
      <c r="JB393">
        <f>IF($JB$31&lt;=$JB$32,IF($A393&lt;=$JB$7,1,2),IF($A393&lt;=RUNG_BEDS_2,2,1))</f>
        <v>1</v>
      </c>
      <c r="JC393" s="5">
        <f>MIN(1,MAX(0,$JB$26-($A393-1)))</f>
        <v>0</v>
      </c>
      <c r="JD393" s="5">
        <f>$JB$25*(JC393+(1-JC393)*$JB$16)</f>
        <v>0.0</v>
      </c>
      <c r="JE393" s="13">
        <f>JD393*($JB$6+ACUTE_MARGIN)</f>
        <v>0.0</v>
      </c>
      <c r="JF393" s="13">
        <f>IF(JB393=1,$JB$31,$JB$32)</f>
        <v>152394.16214437486</v>
      </c>
      <c r="JG393" s="13">
        <f>JE393-JF393</f>
        <v>-152394.16214437486</v>
      </c>
      <c r="JH393" s="13">
        <f>JH392+JG393</f>
        <v>-9013219.636483874</v>
      </c>
      <c r="JI393">
        <f>IF(JH393=MAX($JH$83:$JH$483),$A393,0)</f>
        <v>0</v>
      </c>
      <c r="JJ393">
        <f>IF(JE393&lt;JF393,$A393,B_MAX+1)</f>
        <v>310</v>
      </c>
      <c r="JK393" s="13">
        <f>IF(JB393=1,$JB$35,$JB$36)</f>
        <v>0</v>
      </c>
      <c r="JL393" s="13">
        <f>OCC_DAYS*$JB$41*R_NF_2023-JD393*MCD_SHARE_FREED*R_WAIT_2023</f>
        <v>151980.48282209205</v>
      </c>
      <c r="JM393">
        <f>IF($A393&lt;=$JB$45,1,0)</f>
        <v>0</v>
      </c>
      <c r="KB393">
        <f>IF($KB$31&lt;=$KB$32,IF($A393&lt;=$KB$7,1,2),IF($A393&lt;=RUNG_BEDS_2,2,1))</f>
        <v>1</v>
      </c>
      <c r="KC393" s="5">
        <f>MIN(1,MAX(0,$KB$26-($A393-1)))</f>
        <v>0</v>
      </c>
      <c r="KD393" s="5">
        <f>$KB$25*(KC393+(1-KC393)*$KB$16)</f>
        <v>0.0</v>
      </c>
      <c r="KE393" s="13">
        <f>KD393*($KB$6+ACUTE_MARGIN)</f>
        <v>0.0</v>
      </c>
      <c r="KF393" s="13">
        <f>IF(KB393=1,$KB$31,$KB$32)</f>
        <v>152394.16214437486</v>
      </c>
      <c r="KG393" s="13">
        <f>KE393-KF393</f>
        <v>-152394.16214437486</v>
      </c>
      <c r="KH393" s="13">
        <f>KH392+KG393</f>
        <v>-9013219.63648398</v>
      </c>
      <c r="KI393">
        <f>IF(KH393=MAX($KH$83:$KH$483),$A393,0)</f>
        <v>0</v>
      </c>
      <c r="KJ393">
        <f>IF(KE393&lt;KF393,$A393,B_MAX+1)</f>
        <v>310</v>
      </c>
      <c r="KK393" s="13">
        <f>IF(KB393=1,$KB$35,$KB$36)</f>
        <v>0</v>
      </c>
      <c r="KL393" s="13">
        <f>OCC_DAYS*$KB$41*R_NF_2023-KD393*MCD_SHARE_FREED*R_WAIT_2023</f>
        <v>151980.48282209205</v>
      </c>
      <c r="KM393">
        <f>IF($A393&lt;=$KB$45,1,0)</f>
        <v>0</v>
      </c>
      <c r="LB393">
        <f>IF($LB$31&lt;=$LB$32,IF($A393&lt;=$LB$7,1,2),IF($A393&lt;=RUNG_BEDS_2,2,1))</f>
        <v>1</v>
      </c>
      <c r="LC393" s="5">
        <f>MIN(1,MAX(0,$LB$26-($A393-1)))</f>
        <v>1</v>
      </c>
      <c r="LD393" s="5">
        <f>$LB$25*(LC393+(1-LC393)*$LB$16)</f>
        <v>84.01774238227146</v>
      </c>
      <c r="LE393" s="13">
        <f>LD393*($LB$6+ACUTE_MARGIN)</f>
        <v>84857.91980609419</v>
      </c>
      <c r="LF393" s="13">
        <f>IF(LB393=1,$LB$31,$LB$32)</f>
        <v>152394.16214437486</v>
      </c>
      <c r="LG393" s="13">
        <f>LE393-LF393</f>
        <v>-67536.24233828067</v>
      </c>
      <c r="LH393" s="13">
        <f>LH392+LG393</f>
        <v>-20936235.12486712</v>
      </c>
      <c r="LI393">
        <f>IF(LH393=MAX($LH$83:$LH$483),$A393,0)</f>
        <v>0</v>
      </c>
      <c r="LJ393">
        <f>IF(LE393&lt;LF393,$A393,B_MAX+1)</f>
        <v>310</v>
      </c>
      <c r="LK393" s="13">
        <f>IF(LB393=1,$LB$35,$LB$36)</f>
        <v>0</v>
      </c>
      <c r="LL393" s="13">
        <f>OCC_DAYS*$LB$41*R_NF_2023-LD393*MCD_SHARE_FREED*R_WAIT_2023</f>
        <v>113776.04162887059</v>
      </c>
      <c r="LM393">
        <f>IF($A393&lt;=$LB$45,1,0)</f>
        <v>0</v>
      </c>
      <c r="MB393">
        <f>IF($MB$31&lt;=$MB$32,IF($A393&lt;=$MB$7,1,2),IF($A393&lt;=RUNG_BEDS_2,2,1))</f>
        <v>1</v>
      </c>
      <c r="MC393" s="5">
        <f>MIN(1,MAX(0,$MB$26-($A393-1)))</f>
        <v>0</v>
      </c>
      <c r="MD393" s="5">
        <f>$MB$25*(MC393+(1-MC393)*$MB$16)</f>
        <v>0.0</v>
      </c>
      <c r="ME393" s="13">
        <f>MD393*($MB$6+ACUTE_MARGIN)</f>
        <v>0.0</v>
      </c>
      <c r="MF393" s="13">
        <f>IF(MB393=1,$MB$31,$MB$32)</f>
        <v>152394.16214437486</v>
      </c>
      <c r="MG393" s="13">
        <f>ME393-MF393</f>
        <v>-152394.16214437486</v>
      </c>
      <c r="MH393" s="13">
        <f>MH392+MG393</f>
        <v>-14900495.698282175</v>
      </c>
      <c r="MI393">
        <f>IF(MH393=MAX($MH$83:$MH$483),$A393,0)</f>
        <v>0</v>
      </c>
      <c r="MJ393">
        <f>IF(ME393&lt;MF393,$A393,B_MAX+1)</f>
        <v>310</v>
      </c>
      <c r="MK393" s="13">
        <f>IF(MB393=1,$MB$35,$MB$36)</f>
        <v>0</v>
      </c>
      <c r="ML393" s="13">
        <f>OCC_DAYS*$MB$41*R_NF_2023-MD393*MCD_SHARE_FREED*R_WAIT_2023</f>
        <v>151980.48282209205</v>
      </c>
      <c r="MM393">
        <f>IF($A393&lt;=$MB$45,1,0)</f>
        <v>0</v>
      </c>
      <c r="NB393">
        <f>IF($NB$31&lt;=$NB$32,IF($A393&lt;=$NB$7,1,2),IF($A393&lt;=RUNG_BEDS_2,2,1))</f>
        <v>1</v>
      </c>
      <c r="NC393" s="5">
        <f>MIN(1,MAX(0,$NB$26-($A393-1)))</f>
        <v>0</v>
      </c>
      <c r="ND393" s="5">
        <f>$NB$25*(NC393+(1-NC393)*$NB$16)</f>
        <v>63.013306786703595</v>
      </c>
      <c r="NE393" s="13">
        <f>ND393*($NB$6+ACUTE_MARGIN)</f>
        <v>63643.43985457063</v>
      </c>
      <c r="NF393" s="13">
        <f>IF(NB393=1,$NB$31,$NB$32)</f>
        <v>152394.16214437486</v>
      </c>
      <c r="NG393" s="13">
        <f>NE393-NF393</f>
        <v>-88750.72228980422</v>
      </c>
      <c r="NH393" s="13">
        <f>NH392+NG393</f>
        <v>1159004.061364914</v>
      </c>
      <c r="NI393">
        <f>IF(NH393=MAX($NH$83:$NH$483),$A393,0)</f>
        <v>0</v>
      </c>
      <c r="NJ393">
        <f>IF(NE393&lt;NF393,$A393,B_MAX+1)</f>
        <v>310</v>
      </c>
      <c r="NK393" s="13">
        <f>IF(NB393=1,$NB$35,$NB$36)</f>
        <v>0</v>
      </c>
      <c r="NL393" s="13">
        <f>OCC_DAYS*$NB$41*R_NF_2023-ND393*MCD_SHARE_FREED*R_WAIT_2023</f>
        <v>123327.15192717595</v>
      </c>
      <c r="NM393">
        <f>IF($A393&lt;=$NB$45,1,0)</f>
        <v>0</v>
      </c>
      <c r="OB393">
        <f>IF($OB$31&lt;=$OB$32,IF($A393&lt;=$OB$7,1,2),IF($A393&lt;=RUNG_BEDS_2,2,1))</f>
        <v>1</v>
      </c>
      <c r="OC393" s="5">
        <f>MIN(1,MAX(0,$OB$26-($A393-1)))</f>
        <v>0</v>
      </c>
      <c r="OD393" s="5">
        <f>$OB$25*(OC393+(1-OC393)*$OB$16)</f>
        <v>126.02661357340719</v>
      </c>
      <c r="OE393" s="13">
        <f>OD393*($OB$6+ACUTE_MARGIN)</f>
        <v>127286.87970914126</v>
      </c>
      <c r="OF393" s="13">
        <f>IF(OB393=1,$OB$31,$OB$32)</f>
        <v>152394.16214437486</v>
      </c>
      <c r="OG393" s="13">
        <f>OE393-OF393</f>
        <v>-25107.282435233603</v>
      </c>
      <c r="OH393" s="13">
        <f>OH392+OG393</f>
        <v>11331227.759213898</v>
      </c>
      <c r="OI393">
        <f>IF(OH393=MAX($OH$83:$OH$483),$A393,0)</f>
        <v>0</v>
      </c>
      <c r="OJ393">
        <f>IF(OE393&lt;OF393,$A393,B_MAX+1)</f>
        <v>310</v>
      </c>
      <c r="OK393" s="13">
        <f>IF(OB393=1,$OB$35,$OB$36)</f>
        <v>0</v>
      </c>
      <c r="OL393" s="13">
        <f>OCC_DAYS*$OB$41*R_NF_2023-OD393*MCD_SHARE_FREED*R_WAIT_2023</f>
        <v>94673.82103225985</v>
      </c>
      <c r="OM393">
        <f>IF($A393&lt;=$OB$45,1,0)</f>
        <v>0</v>
      </c>
    </row>
    <row r="394">
      <c r="A394" t="n">
        <v>311</v>
      </c>
      <c r="B394">
        <f>IF($B$31&lt;=$B$32,IF($A394&lt;=$B$7,1,2),IF($A394&lt;=RUNG_BEDS_2,2,1))</f>
        <v>1</v>
      </c>
      <c r="C394" s="5">
        <f>MIN(1,MAX(0,$B$26-($A394-1)))</f>
        <v>0</v>
      </c>
      <c r="D394" s="5">
        <f>$B$25*(C394+(1-C394)*$B$16)</f>
        <v>0.0</v>
      </c>
      <c r="E394" s="13">
        <f>D394*($B$6+ACUTE_MARGIN)</f>
        <v>0.0</v>
      </c>
      <c r="F394" s="13">
        <f>IF(B394=1,$B$31,$B$32)</f>
        <v>152394.16214437486</v>
      </c>
      <c r="G394" s="13">
        <f>E394-F394</f>
        <v>-152394.16214437486</v>
      </c>
      <c r="H394" s="13">
        <f>H393+G394</f>
        <v>-9165613.798628248</v>
      </c>
      <c r="I394">
        <f>IF(H394=MAX($H$83:$H$483),$A394,0)</f>
        <v>0</v>
      </c>
      <c r="J394">
        <f>IF(E394&lt;F394,$A394,B_MAX+1)</f>
        <v>311</v>
      </c>
      <c r="K394" s="13">
        <f>IF(B394=1,$B$35,$B$36)</f>
        <v>0</v>
      </c>
      <c r="L394" s="13">
        <f>OCC_DAYS*$B$41*R_NF_2023-D394*MCD_SHARE_FREED*R_WAIT_2023</f>
        <v>151980.48282209205</v>
      </c>
      <c r="M394">
        <f>IF($A394&lt;=$B$45,1,0)</f>
        <v>0</v>
      </c>
      <c r="AB394">
        <f>IF($AB$31&lt;=$AB$32,IF($A394&lt;=$AB$7,1,2),IF($A394&lt;=RUNG_BEDS_2,2,1))</f>
        <v>1</v>
      </c>
      <c r="AC394" s="5">
        <f>MIN(1,MAX(0,$AB$26-($A394-1)))</f>
        <v>0</v>
      </c>
      <c r="AD394" s="5">
        <f>$AB$25*(AC394+(1-AC394)*$AB$16)</f>
        <v>0.0</v>
      </c>
      <c r="AE394" s="13">
        <f>AD394*($AB$6+ACUTE_MARGIN)</f>
        <v>0.0</v>
      </c>
      <c r="AF394" s="13">
        <f>IF(AB394=1,$AB$31,$AB$32)</f>
        <v>152394.16214437486</v>
      </c>
      <c r="AG394" s="13">
        <f>AE394-AF394</f>
        <v>-152394.16214437486</v>
      </c>
      <c r="AH394" s="13">
        <f>AH393+AG394</f>
        <v>-26576828.144177984</v>
      </c>
      <c r="AI394">
        <f>IF(AH394=MAX($AH$83:$AH$483),$A394,0)</f>
        <v>0</v>
      </c>
      <c r="AJ394">
        <f>IF(AE394&lt;AF394,$A394,B_MAX+1)</f>
        <v>311</v>
      </c>
      <c r="AK394" s="13">
        <f>IF(AB394=1,$AB$35,$AB$36)</f>
        <v>0</v>
      </c>
      <c r="AL394" s="13">
        <f>OCC_DAYS*$AB$41*R_NF_2023-AD394*MCD_SHARE_FREED*R_WAIT_2023</f>
        <v>151980.48282209205</v>
      </c>
      <c r="AM394">
        <f>IF($A394&lt;=$AB$45,1,0)</f>
        <v>0</v>
      </c>
      <c r="BB394">
        <f>IF($BB$31&lt;=$BB$32,IF($A394&lt;=$BB$7,1,2),IF($A394&lt;=RUNG_BEDS_2,2,1))</f>
        <v>1</v>
      </c>
      <c r="BC394" s="5">
        <f>MIN(1,MAX(0,$BB$26-($A394-1)))</f>
        <v>0</v>
      </c>
      <c r="BD394" s="5">
        <f>$BB$25*(BC394+(1-BC394)*$BB$16)</f>
        <v>0.0</v>
      </c>
      <c r="BE394" s="13">
        <f>BD394*($BB$6+ACUTE_MARGIN)</f>
        <v>0.0</v>
      </c>
      <c r="BF394" s="13">
        <f>IF(BB394=1,$BB$31,$BB$32)</f>
        <v>152394.16214437486</v>
      </c>
      <c r="BG394" s="13">
        <f>BE394-BF394</f>
        <v>-152394.16214437486</v>
      </c>
      <c r="BH394" s="13">
        <f>BH393+BG394</f>
        <v>8245600.546921509</v>
      </c>
      <c r="BI394">
        <f>IF(BH394=MAX($BH$83:$BH$483),$A394,0)</f>
        <v>0</v>
      </c>
      <c r="BJ394">
        <f>IF(BE394&lt;BF394,$A394,B_MAX+1)</f>
        <v>311</v>
      </c>
      <c r="BK394" s="13">
        <f>IF(BB394=1,$BB$35,$BB$36)</f>
        <v>0</v>
      </c>
      <c r="BL394" s="13">
        <f>OCC_DAYS*$BB$41*R_NF_2023-BD394*MCD_SHARE_FREED*R_WAIT_2023</f>
        <v>151980.48282209205</v>
      </c>
      <c r="BM394">
        <f>IF($A394&lt;=$BB$45,1,0)</f>
        <v>0</v>
      </c>
      <c r="CB394">
        <f>IF($CB$31&lt;=$CB$32,IF($A394&lt;=$CB$7,1,2),IF($A394&lt;=RUNG_BEDS_2,2,1))</f>
        <v>2</v>
      </c>
      <c r="CC394" s="5">
        <f>MIN(1,MAX(0,$CB$26-($A394-1)))</f>
        <v>0</v>
      </c>
      <c r="CD394" s="5">
        <f>$CB$25*(CC394+(1-CC394)*$CB$16)</f>
        <v>0.0</v>
      </c>
      <c r="CE394" s="13">
        <f>CD394*($CB$6+ACUTE_MARGIN)</f>
        <v>0.0</v>
      </c>
      <c r="CF394" s="13">
        <f>IF(CB394=1,$CB$31,$CB$32)</f>
        <v>160718.36940738867</v>
      </c>
      <c r="CG394" s="13">
        <f>CE394-CF394</f>
        <v>-160718.36940738867</v>
      </c>
      <c r="CH394" s="13">
        <f>CH393+CG394</f>
        <v>-11754442.257425662</v>
      </c>
      <c r="CI394">
        <f>IF(CH394=MAX($CH$83:$CH$483),$A394,0)</f>
        <v>0</v>
      </c>
      <c r="CJ394">
        <f>IF(CE394&lt;CF394,$A394,B_MAX+1)</f>
        <v>311</v>
      </c>
      <c r="CK394" s="13">
        <f>IF(CB394=1,$CB$35,$CB$36)</f>
        <v>1560.1194073886782</v>
      </c>
      <c r="CL394" s="13">
        <f>OCC_DAYS*$CB$41*R_NF_2023-CD394*MCD_SHARE_FREED*R_WAIT_2023</f>
        <v>151980.48282209205</v>
      </c>
      <c r="CM394">
        <f>IF($A394&lt;=$CB$45,1,0)</f>
        <v>0</v>
      </c>
      <c r="DB394">
        <f>IF($DB$31&lt;=$DB$32,IF($A394&lt;=$DB$7,1,2),IF($A394&lt;=RUNG_BEDS_2,2,1))</f>
        <v>1</v>
      </c>
      <c r="DC394" s="5">
        <f>MIN(1,MAX(0,$DB$26-($A394-1)))</f>
        <v>0</v>
      </c>
      <c r="DD394" s="5">
        <f>$DB$25*(DC394+(1-DC394)*$DB$16)</f>
        <v>0.0</v>
      </c>
      <c r="DE394" s="13">
        <f>DD394*($DB$6+ACUTE_MARGIN)</f>
        <v>0.0</v>
      </c>
      <c r="DF394" s="13">
        <f>IF(DB394=1,$DB$31,$DB$32)</f>
        <v>152394.16214437486</v>
      </c>
      <c r="DG394" s="13">
        <f>DE394-DF394</f>
        <v>-152394.16214437486</v>
      </c>
      <c r="DH394" s="13">
        <f>DH393+DG394</f>
        <v>-9165613.798628248</v>
      </c>
      <c r="DI394">
        <f>IF(DH394=MAX($DH$83:$DH$483),$A394,0)</f>
        <v>0</v>
      </c>
      <c r="DJ394">
        <f>IF(DE394&lt;DF394,$A394,B_MAX+1)</f>
        <v>311</v>
      </c>
      <c r="DK394" s="13">
        <f>IF(DB394=1,$DB$35,$DB$36)</f>
        <v>0</v>
      </c>
      <c r="DL394" s="13">
        <f>OCC_DAYS*$DB$41*R_NF_2023-DD394*MCD_SHARE_FREED*R_WAIT_2023</f>
        <v>151980.48282209205</v>
      </c>
      <c r="DM394">
        <f>IF($A394&lt;=$DB$45,1,0)</f>
        <v>0</v>
      </c>
      <c r="EB394">
        <f>IF($EB$31&lt;=$EB$32,IF($A394&lt;=$EB$7,1,2),IF($A394&lt;=RUNG_BEDS_2,2,1))</f>
        <v>1</v>
      </c>
      <c r="EC394" s="5">
        <f>MIN(1,MAX(0,$EB$26-($A394-1)))</f>
        <v>0</v>
      </c>
      <c r="ED394" s="5">
        <f>$EB$25*(EC394+(1-EC394)*$EB$16)</f>
        <v>0.0</v>
      </c>
      <c r="EE394" s="13">
        <f>ED394*($EB$6+ACUTE_MARGIN)</f>
        <v>0.0</v>
      </c>
      <c r="EF394" s="13">
        <f>IF(EB394=1,$EB$31,$EB$32)</f>
        <v>152394.16214437486</v>
      </c>
      <c r="EG394" s="13">
        <f>EE394-EF394</f>
        <v>-152394.16214437486</v>
      </c>
      <c r="EH394" s="13">
        <f>EH393+EG394</f>
        <v>-9165613.798628248</v>
      </c>
      <c r="EI394">
        <f>IF(EH394=MAX($EH$83:$EH$483),$A394,0)</f>
        <v>0</v>
      </c>
      <c r="EJ394">
        <f>IF(EE394&lt;EF394,$A394,B_MAX+1)</f>
        <v>311</v>
      </c>
      <c r="EK394" s="13">
        <f>IF(EB394=1,$EB$35,$EB$36)</f>
        <v>0</v>
      </c>
      <c r="EL394" s="13">
        <f>OCC_DAYS*$EB$41*R_NF_2023-ED394*MCD_SHARE_FREED*R_WAIT_2023</f>
        <v>50660.16094069735</v>
      </c>
      <c r="EM394">
        <f>IF($A394&lt;=$EB$45,1,0)</f>
        <v>0</v>
      </c>
      <c r="FB394">
        <f>IF($FB$31&lt;=$FB$32,IF($A394&lt;=$FB$7,1,2),IF($A394&lt;=RUNG_BEDS_2,2,1))</f>
        <v>1</v>
      </c>
      <c r="FC394" s="5">
        <f>MIN(1,MAX(0,$FB$26-($A394-1)))</f>
        <v>0</v>
      </c>
      <c r="FD394" s="5">
        <f>$FB$25*(FC394+(1-FC394)*$FB$16)</f>
        <v>0.0</v>
      </c>
      <c r="FE394" s="13">
        <f>FD394*($FB$6+ACUTE_MARGIN)</f>
        <v>0.0</v>
      </c>
      <c r="FF394" s="13">
        <f>IF(FB394=1,$FB$31,$FB$32)</f>
        <v>156636.04979437485</v>
      </c>
      <c r="FG394" s="13">
        <f>FE394-FF394</f>
        <v>-156636.04979437485</v>
      </c>
      <c r="FH394" s="13">
        <f>FH393+FG394</f>
        <v>-10484840.857778354</v>
      </c>
      <c r="FI394">
        <f>IF(FH394=MAX($FH$83:$FH$483),$A394,0)</f>
        <v>0</v>
      </c>
      <c r="FJ394">
        <f>IF(FE394&lt;FF394,$A394,B_MAX+1)</f>
        <v>311</v>
      </c>
      <c r="FK394" s="13">
        <f>IF(FB394=1,$FB$35,$FB$36)</f>
        <v>0</v>
      </c>
      <c r="FL394" s="13">
        <f>OCC_DAYS*$FB$41*R_NF_2023-FD394*MCD_SHARE_FREED*R_WAIT_2023</f>
        <v>151980.48282209205</v>
      </c>
      <c r="FM394">
        <f>IF($A394&lt;=$FB$45,1,0)</f>
        <v>0</v>
      </c>
      <c r="GB394">
        <f>IF($GB$31&lt;=$GB$32,IF($A394&lt;=$GB$7,1,2),IF($A394&lt;=RUNG_BEDS_2,2,1))</f>
        <v>1</v>
      </c>
      <c r="GC394" s="5">
        <f>MIN(1,MAX(0,$GB$26-($A394-1)))</f>
        <v>0</v>
      </c>
      <c r="GD394" s="5">
        <f>$GB$25*(GC394+(1-GC394)*$GB$16)</f>
        <v>0.0</v>
      </c>
      <c r="GE394" s="13">
        <f>GD394*($GB$6+ACUTE_MARGIN)</f>
        <v>0.0</v>
      </c>
      <c r="GF394" s="13">
        <f>IF(GB394=1,$GB$31,$GB$32)</f>
        <v>152394.16214437486</v>
      </c>
      <c r="GG394" s="13">
        <f>GE394-GF394</f>
        <v>-152394.16214437486</v>
      </c>
      <c r="GH394" s="13">
        <f>GH393+GG394</f>
        <v>-9165613.798628248</v>
      </c>
      <c r="GI394">
        <f>IF(GH394=MAX($GH$83:$GH$483),$A394,0)</f>
        <v>0</v>
      </c>
      <c r="GJ394">
        <f>IF(GE394&lt;GF394,$A394,B_MAX+1)</f>
        <v>311</v>
      </c>
      <c r="GK394" s="13">
        <f>IF(GB394=1,$GB$35,$GB$36)</f>
        <v>0</v>
      </c>
      <c r="GL394" s="13">
        <f>OCC_DAYS*$GB$41*R_NF_2023-GD394*MCD_SHARE_FREED*R_WAIT_2023</f>
        <v>151980.48282209205</v>
      </c>
      <c r="GM394">
        <f>IF($A394&lt;=$GB$45,1,0)</f>
        <v>0</v>
      </c>
      <c r="HB394">
        <f>IF($HB$31&lt;=$HB$32,IF($A394&lt;=$HB$7,1,2),IF($A394&lt;=RUNG_BEDS_2,2,1))</f>
        <v>1</v>
      </c>
      <c r="HC394" s="5">
        <f>MIN(1,MAX(0,$HB$26-($A394-1)))</f>
        <v>0</v>
      </c>
      <c r="HD394" s="5">
        <f>$HB$25*(HC394+(1-HC394)*$HB$16)</f>
        <v>0.0</v>
      </c>
      <c r="HE394" s="13">
        <f>HD394*($HB$6+ACUTE_MARGIN)</f>
        <v>0.0</v>
      </c>
      <c r="HF394" s="13">
        <f>IF(HB394=1,$HB$31,$HB$32)</f>
        <v>152456.2970814058</v>
      </c>
      <c r="HG394" s="13">
        <f>HE394-HF394</f>
        <v>-152456.2970814058</v>
      </c>
      <c r="HH394" s="13">
        <f>HH393+HG394</f>
        <v>-9184937.764044916</v>
      </c>
      <c r="HI394">
        <f>IF(HH394=MAX($HH$83:$HH$483),$A394,0)</f>
        <v>0</v>
      </c>
      <c r="HJ394">
        <f>IF(HE394&lt;HF394,$A394,B_MAX+1)</f>
        <v>311</v>
      </c>
      <c r="HK394" s="13">
        <f>IF(HB394=1,$HB$35,$HB$36)</f>
        <v>0</v>
      </c>
      <c r="HL394" s="13">
        <f>OCC_DAYS*$HB$41*R_NF_2023-HD394*MCD_SHARE_FREED*R_WAIT_2023</f>
        <v>151980.48282209205</v>
      </c>
      <c r="HM394">
        <f>IF($A394&lt;=$HB$45,1,0)</f>
        <v>0</v>
      </c>
      <c r="IB394">
        <f>IF($IB$31&lt;=$IB$32,IF($A394&lt;=$IB$7,1,2),IF($A394&lt;=RUNG_BEDS_2,2,1))</f>
        <v>1</v>
      </c>
      <c r="IC394" s="5">
        <f>MIN(1,MAX(0,$IB$26-($A394-1)))</f>
        <v>0</v>
      </c>
      <c r="ID394" s="5">
        <f>$IB$25*(IC394+(1-IC394)*$IB$16)</f>
        <v>0.0</v>
      </c>
      <c r="IE394" s="13">
        <f>ID394*($IB$6+ACUTE_MARGIN)</f>
        <v>0.0</v>
      </c>
      <c r="IF394" s="13">
        <f>IF(IB394=1,$IB$31,$IB$32)</f>
        <v>152734.9994534971</v>
      </c>
      <c r="IG394" s="13">
        <f>IE394-IF394</f>
        <v>-152734.9994534971</v>
      </c>
      <c r="IH394" s="13">
        <f>IH393+IG394</f>
        <v>-9271614.201765351</v>
      </c>
      <c r="II394">
        <f>IF(IH394=MAX($IH$83:$IH$483),$A394,0)</f>
        <v>0</v>
      </c>
      <c r="IJ394">
        <f>IF(IE394&lt;IF394,$A394,B_MAX+1)</f>
        <v>311</v>
      </c>
      <c r="IK394" s="13">
        <f>IF(IB394=1,$IB$35,$IB$36)</f>
        <v>0</v>
      </c>
      <c r="IL394" s="13">
        <f>OCC_DAYS*$IB$41*R_NF_2023-ID394*MCD_SHARE_FREED*R_WAIT_2023</f>
        <v>151980.48282209205</v>
      </c>
      <c r="IM394">
        <f>IF($A394&lt;=$IB$45,1,0)</f>
        <v>0</v>
      </c>
      <c r="JB394">
        <f>IF($JB$31&lt;=$JB$32,IF($A394&lt;=$JB$7,1,2),IF($A394&lt;=RUNG_BEDS_2,2,1))</f>
        <v>1</v>
      </c>
      <c r="JC394" s="5">
        <f>MIN(1,MAX(0,$JB$26-($A394-1)))</f>
        <v>0</v>
      </c>
      <c r="JD394" s="5">
        <f>$JB$25*(JC394+(1-JC394)*$JB$16)</f>
        <v>0.0</v>
      </c>
      <c r="JE394" s="13">
        <f>JD394*($JB$6+ACUTE_MARGIN)</f>
        <v>0.0</v>
      </c>
      <c r="JF394" s="13">
        <f>IF(JB394=1,$JB$31,$JB$32)</f>
        <v>152394.16214437486</v>
      </c>
      <c r="JG394" s="13">
        <f>JE394-JF394</f>
        <v>-152394.16214437486</v>
      </c>
      <c r="JH394" s="13">
        <f>JH393+JG394</f>
        <v>-9165613.798628248</v>
      </c>
      <c r="JI394">
        <f>IF(JH394=MAX($JH$83:$JH$483),$A394,0)</f>
        <v>0</v>
      </c>
      <c r="JJ394">
        <f>IF(JE394&lt;JF394,$A394,B_MAX+1)</f>
        <v>311</v>
      </c>
      <c r="JK394" s="13">
        <f>IF(JB394=1,$JB$35,$JB$36)</f>
        <v>0</v>
      </c>
      <c r="JL394" s="13">
        <f>OCC_DAYS*$JB$41*R_NF_2023-JD394*MCD_SHARE_FREED*R_WAIT_2023</f>
        <v>151980.48282209205</v>
      </c>
      <c r="JM394">
        <f>IF($A394&lt;=$JB$45,1,0)</f>
        <v>0</v>
      </c>
      <c r="KB394">
        <f>IF($KB$31&lt;=$KB$32,IF($A394&lt;=$KB$7,1,2),IF($A394&lt;=RUNG_BEDS_2,2,1))</f>
        <v>1</v>
      </c>
      <c r="KC394" s="5">
        <f>MIN(1,MAX(0,$KB$26-($A394-1)))</f>
        <v>0</v>
      </c>
      <c r="KD394" s="5">
        <f>$KB$25*(KC394+(1-KC394)*$KB$16)</f>
        <v>0.0</v>
      </c>
      <c r="KE394" s="13">
        <f>KD394*($KB$6+ACUTE_MARGIN)</f>
        <v>0.0</v>
      </c>
      <c r="KF394" s="13">
        <f>IF(KB394=1,$KB$31,$KB$32)</f>
        <v>152394.16214437486</v>
      </c>
      <c r="KG394" s="13">
        <f>KE394-KF394</f>
        <v>-152394.16214437486</v>
      </c>
      <c r="KH394" s="13">
        <f>KH393+KG394</f>
        <v>-9165613.798628354</v>
      </c>
      <c r="KI394">
        <f>IF(KH394=MAX($KH$83:$KH$483),$A394,0)</f>
        <v>0</v>
      </c>
      <c r="KJ394">
        <f>IF(KE394&lt;KF394,$A394,B_MAX+1)</f>
        <v>311</v>
      </c>
      <c r="KK394" s="13">
        <f>IF(KB394=1,$KB$35,$KB$36)</f>
        <v>0</v>
      </c>
      <c r="KL394" s="13">
        <f>OCC_DAYS*$KB$41*R_NF_2023-KD394*MCD_SHARE_FREED*R_WAIT_2023</f>
        <v>151980.48282209205</v>
      </c>
      <c r="KM394">
        <f>IF($A394&lt;=$KB$45,1,0)</f>
        <v>0</v>
      </c>
      <c r="LB394">
        <f>IF($LB$31&lt;=$LB$32,IF($A394&lt;=$LB$7,1,2),IF($A394&lt;=RUNG_BEDS_2,2,1))</f>
        <v>1</v>
      </c>
      <c r="LC394" s="5">
        <f>MIN(1,MAX(0,$LB$26-($A394-1)))</f>
        <v>1</v>
      </c>
      <c r="LD394" s="5">
        <f>$LB$25*(LC394+(1-LC394)*$LB$16)</f>
        <v>84.01774238227146</v>
      </c>
      <c r="LE394" s="13">
        <f>LD394*($LB$6+ACUTE_MARGIN)</f>
        <v>84857.91980609419</v>
      </c>
      <c r="LF394" s="13">
        <f>IF(LB394=1,$LB$31,$LB$32)</f>
        <v>152394.16214437486</v>
      </c>
      <c r="LG394" s="13">
        <f>LE394-LF394</f>
        <v>-67536.24233828067</v>
      </c>
      <c r="LH394" s="13">
        <f>LH393+LG394</f>
        <v>-21003771.3672054</v>
      </c>
      <c r="LI394">
        <f>IF(LH394=MAX($LH$83:$LH$483),$A394,0)</f>
        <v>0</v>
      </c>
      <c r="LJ394">
        <f>IF(LE394&lt;LF394,$A394,B_MAX+1)</f>
        <v>311</v>
      </c>
      <c r="LK394" s="13">
        <f>IF(LB394=1,$LB$35,$LB$36)</f>
        <v>0</v>
      </c>
      <c r="LL394" s="13">
        <f>OCC_DAYS*$LB$41*R_NF_2023-LD394*MCD_SHARE_FREED*R_WAIT_2023</f>
        <v>113776.04162887059</v>
      </c>
      <c r="LM394">
        <f>IF($A394&lt;=$LB$45,1,0)</f>
        <v>0</v>
      </c>
      <c r="MB394">
        <f>IF($MB$31&lt;=$MB$32,IF($A394&lt;=$MB$7,1,2),IF($A394&lt;=RUNG_BEDS_2,2,1))</f>
        <v>1</v>
      </c>
      <c r="MC394" s="5">
        <f>MIN(1,MAX(0,$MB$26-($A394-1)))</f>
        <v>0</v>
      </c>
      <c r="MD394" s="5">
        <f>$MB$25*(MC394+(1-MC394)*$MB$16)</f>
        <v>0.0</v>
      </c>
      <c r="ME394" s="13">
        <f>MD394*($MB$6+ACUTE_MARGIN)</f>
        <v>0.0</v>
      </c>
      <c r="MF394" s="13">
        <f>IF(MB394=1,$MB$31,$MB$32)</f>
        <v>152394.16214437486</v>
      </c>
      <c r="MG394" s="13">
        <f>ME394-MF394</f>
        <v>-152394.16214437486</v>
      </c>
      <c r="MH394" s="13">
        <f>MH393+MG394</f>
        <v>-15052889.860426549</v>
      </c>
      <c r="MI394">
        <f>IF(MH394=MAX($MH$83:$MH$483),$A394,0)</f>
        <v>0</v>
      </c>
      <c r="MJ394">
        <f>IF(ME394&lt;MF394,$A394,B_MAX+1)</f>
        <v>311</v>
      </c>
      <c r="MK394" s="13">
        <f>IF(MB394=1,$MB$35,$MB$36)</f>
        <v>0</v>
      </c>
      <c r="ML394" s="13">
        <f>OCC_DAYS*$MB$41*R_NF_2023-MD394*MCD_SHARE_FREED*R_WAIT_2023</f>
        <v>151980.48282209205</v>
      </c>
      <c r="MM394">
        <f>IF($A394&lt;=$MB$45,1,0)</f>
        <v>0</v>
      </c>
      <c r="NB394">
        <f>IF($NB$31&lt;=$NB$32,IF($A394&lt;=$NB$7,1,2),IF($A394&lt;=RUNG_BEDS_2,2,1))</f>
        <v>1</v>
      </c>
      <c r="NC394" s="5">
        <f>MIN(1,MAX(0,$NB$26-($A394-1)))</f>
        <v>0</v>
      </c>
      <c r="ND394" s="5">
        <f>$NB$25*(NC394+(1-NC394)*$NB$16)</f>
        <v>63.013306786703595</v>
      </c>
      <c r="NE394" s="13">
        <f>ND394*($NB$6+ACUTE_MARGIN)</f>
        <v>63643.43985457063</v>
      </c>
      <c r="NF394" s="13">
        <f>IF(NB394=1,$NB$31,$NB$32)</f>
        <v>152394.16214437486</v>
      </c>
      <c r="NG394" s="13">
        <f>NE394-NF394</f>
        <v>-88750.72228980422</v>
      </c>
      <c r="NH394" s="13">
        <f>NH393+NG394</f>
        <v>1070253.33907511</v>
      </c>
      <c r="NI394">
        <f>IF(NH394=MAX($NH$83:$NH$483),$A394,0)</f>
        <v>0</v>
      </c>
      <c r="NJ394">
        <f>IF(NE394&lt;NF394,$A394,B_MAX+1)</f>
        <v>311</v>
      </c>
      <c r="NK394" s="13">
        <f>IF(NB394=1,$NB$35,$NB$36)</f>
        <v>0</v>
      </c>
      <c r="NL394" s="13">
        <f>OCC_DAYS*$NB$41*R_NF_2023-ND394*MCD_SHARE_FREED*R_WAIT_2023</f>
        <v>123327.15192717595</v>
      </c>
      <c r="NM394">
        <f>IF($A394&lt;=$NB$45,1,0)</f>
        <v>0</v>
      </c>
      <c r="OB394">
        <f>IF($OB$31&lt;=$OB$32,IF($A394&lt;=$OB$7,1,2),IF($A394&lt;=RUNG_BEDS_2,2,1))</f>
        <v>1</v>
      </c>
      <c r="OC394" s="5">
        <f>MIN(1,MAX(0,$OB$26-($A394-1)))</f>
        <v>0</v>
      </c>
      <c r="OD394" s="5">
        <f>$OB$25*(OC394+(1-OC394)*$OB$16)</f>
        <v>126.02661357340719</v>
      </c>
      <c r="OE394" s="13">
        <f>OD394*($OB$6+ACUTE_MARGIN)</f>
        <v>127286.87970914126</v>
      </c>
      <c r="OF394" s="13">
        <f>IF(OB394=1,$OB$31,$OB$32)</f>
        <v>152394.16214437486</v>
      </c>
      <c r="OG394" s="13">
        <f>OE394-OF394</f>
        <v>-25107.282435233603</v>
      </c>
      <c r="OH394" s="13">
        <f>OH393+OG394</f>
        <v>11306120.476778666</v>
      </c>
      <c r="OI394">
        <f>IF(OH394=MAX($OH$83:$OH$483),$A394,0)</f>
        <v>0</v>
      </c>
      <c r="OJ394">
        <f>IF(OE394&lt;OF394,$A394,B_MAX+1)</f>
        <v>311</v>
      </c>
      <c r="OK394" s="13">
        <f>IF(OB394=1,$OB$35,$OB$36)</f>
        <v>0</v>
      </c>
      <c r="OL394" s="13">
        <f>OCC_DAYS*$OB$41*R_NF_2023-OD394*MCD_SHARE_FREED*R_WAIT_2023</f>
        <v>94673.82103225985</v>
      </c>
      <c r="OM394">
        <f>IF($A394&lt;=$OB$45,1,0)</f>
        <v>0</v>
      </c>
    </row>
    <row r="395">
      <c r="A395" t="n">
        <v>312</v>
      </c>
      <c r="B395">
        <f>IF($B$31&lt;=$B$32,IF($A395&lt;=$B$7,1,2),IF($A395&lt;=RUNG_BEDS_2,2,1))</f>
        <v>1</v>
      </c>
      <c r="C395" s="5">
        <f>MIN(1,MAX(0,$B$26-($A395-1)))</f>
        <v>0</v>
      </c>
      <c r="D395" s="5">
        <f>$B$25*(C395+(1-C395)*$B$16)</f>
        <v>0.0</v>
      </c>
      <c r="E395" s="13">
        <f>D395*($B$6+ACUTE_MARGIN)</f>
        <v>0.0</v>
      </c>
      <c r="F395" s="13">
        <f>IF(B395=1,$B$31,$B$32)</f>
        <v>152394.16214437486</v>
      </c>
      <c r="G395" s="13">
        <f>E395-F395</f>
        <v>-152394.16214437486</v>
      </c>
      <c r="H395" s="13">
        <f>H394+G395</f>
        <v>-9318007.960772622</v>
      </c>
      <c r="I395">
        <f>IF(H395=MAX($H$83:$H$483),$A395,0)</f>
        <v>0</v>
      </c>
      <c r="J395">
        <f>IF(E395&lt;F395,$A395,B_MAX+1)</f>
        <v>312</v>
      </c>
      <c r="K395" s="13">
        <f>IF(B395=1,$B$35,$B$36)</f>
        <v>0</v>
      </c>
      <c r="L395" s="13">
        <f>OCC_DAYS*$B$41*R_NF_2023-D395*MCD_SHARE_FREED*R_WAIT_2023</f>
        <v>151980.48282209205</v>
      </c>
      <c r="M395">
        <f>IF($A395&lt;=$B$45,1,0)</f>
        <v>0</v>
      </c>
      <c r="AB395">
        <f>IF($AB$31&lt;=$AB$32,IF($A395&lt;=$AB$7,1,2),IF($A395&lt;=RUNG_BEDS_2,2,1))</f>
        <v>1</v>
      </c>
      <c r="AC395" s="5">
        <f>MIN(1,MAX(0,$AB$26-($A395-1)))</f>
        <v>0</v>
      </c>
      <c r="AD395" s="5">
        <f>$AB$25*(AC395+(1-AC395)*$AB$16)</f>
        <v>0.0</v>
      </c>
      <c r="AE395" s="13">
        <f>AD395*($AB$6+ACUTE_MARGIN)</f>
        <v>0.0</v>
      </c>
      <c r="AF395" s="13">
        <f>IF(AB395=1,$AB$31,$AB$32)</f>
        <v>152394.16214437486</v>
      </c>
      <c r="AG395" s="13">
        <f>AE395-AF395</f>
        <v>-152394.16214437486</v>
      </c>
      <c r="AH395" s="13">
        <f>AH394+AG395</f>
        <v>-26729222.30632236</v>
      </c>
      <c r="AI395">
        <f>IF(AH395=MAX($AH$83:$AH$483),$A395,0)</f>
        <v>0</v>
      </c>
      <c r="AJ395">
        <f>IF(AE395&lt;AF395,$A395,B_MAX+1)</f>
        <v>312</v>
      </c>
      <c r="AK395" s="13">
        <f>IF(AB395=1,$AB$35,$AB$36)</f>
        <v>0</v>
      </c>
      <c r="AL395" s="13">
        <f>OCC_DAYS*$AB$41*R_NF_2023-AD395*MCD_SHARE_FREED*R_WAIT_2023</f>
        <v>151980.48282209205</v>
      </c>
      <c r="AM395">
        <f>IF($A395&lt;=$AB$45,1,0)</f>
        <v>0</v>
      </c>
      <c r="BB395">
        <f>IF($BB$31&lt;=$BB$32,IF($A395&lt;=$BB$7,1,2),IF($A395&lt;=RUNG_BEDS_2,2,1))</f>
        <v>1</v>
      </c>
      <c r="BC395" s="5">
        <f>MIN(1,MAX(0,$BB$26-($A395-1)))</f>
        <v>0</v>
      </c>
      <c r="BD395" s="5">
        <f>$BB$25*(BC395+(1-BC395)*$BB$16)</f>
        <v>0.0</v>
      </c>
      <c r="BE395" s="13">
        <f>BD395*($BB$6+ACUTE_MARGIN)</f>
        <v>0.0</v>
      </c>
      <c r="BF395" s="13">
        <f>IF(BB395=1,$BB$31,$BB$32)</f>
        <v>152394.16214437486</v>
      </c>
      <c r="BG395" s="13">
        <f>BE395-BF395</f>
        <v>-152394.16214437486</v>
      </c>
      <c r="BH395" s="13">
        <f>BH394+BG395</f>
        <v>8093206.384777134</v>
      </c>
      <c r="BI395">
        <f>IF(BH395=MAX($BH$83:$BH$483),$A395,0)</f>
        <v>0</v>
      </c>
      <c r="BJ395">
        <f>IF(BE395&lt;BF395,$A395,B_MAX+1)</f>
        <v>312</v>
      </c>
      <c r="BK395" s="13">
        <f>IF(BB395=1,$BB$35,$BB$36)</f>
        <v>0</v>
      </c>
      <c r="BL395" s="13">
        <f>OCC_DAYS*$BB$41*R_NF_2023-BD395*MCD_SHARE_FREED*R_WAIT_2023</f>
        <v>151980.48282209205</v>
      </c>
      <c r="BM395">
        <f>IF($A395&lt;=$BB$45,1,0)</f>
        <v>0</v>
      </c>
      <c r="CB395">
        <f>IF($CB$31&lt;=$CB$32,IF($A395&lt;=$CB$7,1,2),IF($A395&lt;=RUNG_BEDS_2,2,1))</f>
        <v>2</v>
      </c>
      <c r="CC395" s="5">
        <f>MIN(1,MAX(0,$CB$26-($A395-1)))</f>
        <v>0</v>
      </c>
      <c r="CD395" s="5">
        <f>$CB$25*(CC395+(1-CC395)*$CB$16)</f>
        <v>0.0</v>
      </c>
      <c r="CE395" s="13">
        <f>CD395*($CB$6+ACUTE_MARGIN)</f>
        <v>0.0</v>
      </c>
      <c r="CF395" s="13">
        <f>IF(CB395=1,$CB$31,$CB$32)</f>
        <v>160718.36940738867</v>
      </c>
      <c r="CG395" s="13">
        <f>CE395-CF395</f>
        <v>-160718.36940738867</v>
      </c>
      <c r="CH395" s="13">
        <f>CH394+CG395</f>
        <v>-11915160.626833051</v>
      </c>
      <c r="CI395">
        <f>IF(CH395=MAX($CH$83:$CH$483),$A395,0)</f>
        <v>0</v>
      </c>
      <c r="CJ395">
        <f>IF(CE395&lt;CF395,$A395,B_MAX+1)</f>
        <v>312</v>
      </c>
      <c r="CK395" s="13">
        <f>IF(CB395=1,$CB$35,$CB$36)</f>
        <v>1560.1194073886782</v>
      </c>
      <c r="CL395" s="13">
        <f>OCC_DAYS*$CB$41*R_NF_2023-CD395*MCD_SHARE_FREED*R_WAIT_2023</f>
        <v>151980.48282209205</v>
      </c>
      <c r="CM395">
        <f>IF($A395&lt;=$CB$45,1,0)</f>
        <v>0</v>
      </c>
      <c r="DB395">
        <f>IF($DB$31&lt;=$DB$32,IF($A395&lt;=$DB$7,1,2),IF($A395&lt;=RUNG_BEDS_2,2,1))</f>
        <v>1</v>
      </c>
      <c r="DC395" s="5">
        <f>MIN(1,MAX(0,$DB$26-($A395-1)))</f>
        <v>0</v>
      </c>
      <c r="DD395" s="5">
        <f>$DB$25*(DC395+(1-DC395)*$DB$16)</f>
        <v>0.0</v>
      </c>
      <c r="DE395" s="13">
        <f>DD395*($DB$6+ACUTE_MARGIN)</f>
        <v>0.0</v>
      </c>
      <c r="DF395" s="13">
        <f>IF(DB395=1,$DB$31,$DB$32)</f>
        <v>152394.16214437486</v>
      </c>
      <c r="DG395" s="13">
        <f>DE395-DF395</f>
        <v>-152394.16214437486</v>
      </c>
      <c r="DH395" s="13">
        <f>DH394+DG395</f>
        <v>-9318007.960772622</v>
      </c>
      <c r="DI395">
        <f>IF(DH395=MAX($DH$83:$DH$483),$A395,0)</f>
        <v>0</v>
      </c>
      <c r="DJ395">
        <f>IF(DE395&lt;DF395,$A395,B_MAX+1)</f>
        <v>312</v>
      </c>
      <c r="DK395" s="13">
        <f>IF(DB395=1,$DB$35,$DB$36)</f>
        <v>0</v>
      </c>
      <c r="DL395" s="13">
        <f>OCC_DAYS*$DB$41*R_NF_2023-DD395*MCD_SHARE_FREED*R_WAIT_2023</f>
        <v>151980.48282209205</v>
      </c>
      <c r="DM395">
        <f>IF($A395&lt;=$DB$45,1,0)</f>
        <v>0</v>
      </c>
      <c r="EB395">
        <f>IF($EB$31&lt;=$EB$32,IF($A395&lt;=$EB$7,1,2),IF($A395&lt;=RUNG_BEDS_2,2,1))</f>
        <v>1</v>
      </c>
      <c r="EC395" s="5">
        <f>MIN(1,MAX(0,$EB$26-($A395-1)))</f>
        <v>0</v>
      </c>
      <c r="ED395" s="5">
        <f>$EB$25*(EC395+(1-EC395)*$EB$16)</f>
        <v>0.0</v>
      </c>
      <c r="EE395" s="13">
        <f>ED395*($EB$6+ACUTE_MARGIN)</f>
        <v>0.0</v>
      </c>
      <c r="EF395" s="13">
        <f>IF(EB395=1,$EB$31,$EB$32)</f>
        <v>152394.16214437486</v>
      </c>
      <c r="EG395" s="13">
        <f>EE395-EF395</f>
        <v>-152394.16214437486</v>
      </c>
      <c r="EH395" s="13">
        <f>EH394+EG395</f>
        <v>-9318007.960772622</v>
      </c>
      <c r="EI395">
        <f>IF(EH395=MAX($EH$83:$EH$483),$A395,0)</f>
        <v>0</v>
      </c>
      <c r="EJ395">
        <f>IF(EE395&lt;EF395,$A395,B_MAX+1)</f>
        <v>312</v>
      </c>
      <c r="EK395" s="13">
        <f>IF(EB395=1,$EB$35,$EB$36)</f>
        <v>0</v>
      </c>
      <c r="EL395" s="13">
        <f>OCC_DAYS*$EB$41*R_NF_2023-ED395*MCD_SHARE_FREED*R_WAIT_2023</f>
        <v>50660.16094069735</v>
      </c>
      <c r="EM395">
        <f>IF($A395&lt;=$EB$45,1,0)</f>
        <v>0</v>
      </c>
      <c r="FB395">
        <f>IF($FB$31&lt;=$FB$32,IF($A395&lt;=$FB$7,1,2),IF($A395&lt;=RUNG_BEDS_2,2,1))</f>
        <v>1</v>
      </c>
      <c r="FC395" s="5">
        <f>MIN(1,MAX(0,$FB$26-($A395-1)))</f>
        <v>0</v>
      </c>
      <c r="FD395" s="5">
        <f>$FB$25*(FC395+(1-FC395)*$FB$16)</f>
        <v>0.0</v>
      </c>
      <c r="FE395" s="13">
        <f>FD395*($FB$6+ACUTE_MARGIN)</f>
        <v>0.0</v>
      </c>
      <c r="FF395" s="13">
        <f>IF(FB395=1,$FB$31,$FB$32)</f>
        <v>156636.04979437485</v>
      </c>
      <c r="FG395" s="13">
        <f>FE395-FF395</f>
        <v>-156636.04979437485</v>
      </c>
      <c r="FH395" s="13">
        <f>FH394+FG395</f>
        <v>-10641476.907572728</v>
      </c>
      <c r="FI395">
        <f>IF(FH395=MAX($FH$83:$FH$483),$A395,0)</f>
        <v>0</v>
      </c>
      <c r="FJ395">
        <f>IF(FE395&lt;FF395,$A395,B_MAX+1)</f>
        <v>312</v>
      </c>
      <c r="FK395" s="13">
        <f>IF(FB395=1,$FB$35,$FB$36)</f>
        <v>0</v>
      </c>
      <c r="FL395" s="13">
        <f>OCC_DAYS*$FB$41*R_NF_2023-FD395*MCD_SHARE_FREED*R_WAIT_2023</f>
        <v>151980.48282209205</v>
      </c>
      <c r="FM395">
        <f>IF($A395&lt;=$FB$45,1,0)</f>
        <v>0</v>
      </c>
      <c r="GB395">
        <f>IF($GB$31&lt;=$GB$32,IF($A395&lt;=$GB$7,1,2),IF($A395&lt;=RUNG_BEDS_2,2,1))</f>
        <v>1</v>
      </c>
      <c r="GC395" s="5">
        <f>MIN(1,MAX(0,$GB$26-($A395-1)))</f>
        <v>0</v>
      </c>
      <c r="GD395" s="5">
        <f>$GB$25*(GC395+(1-GC395)*$GB$16)</f>
        <v>0.0</v>
      </c>
      <c r="GE395" s="13">
        <f>GD395*($GB$6+ACUTE_MARGIN)</f>
        <v>0.0</v>
      </c>
      <c r="GF395" s="13">
        <f>IF(GB395=1,$GB$31,$GB$32)</f>
        <v>152394.16214437486</v>
      </c>
      <c r="GG395" s="13">
        <f>GE395-GF395</f>
        <v>-152394.16214437486</v>
      </c>
      <c r="GH395" s="13">
        <f>GH394+GG395</f>
        <v>-9318007.960772622</v>
      </c>
      <c r="GI395">
        <f>IF(GH395=MAX($GH$83:$GH$483),$A395,0)</f>
        <v>0</v>
      </c>
      <c r="GJ395">
        <f>IF(GE395&lt;GF395,$A395,B_MAX+1)</f>
        <v>312</v>
      </c>
      <c r="GK395" s="13">
        <f>IF(GB395=1,$GB$35,$GB$36)</f>
        <v>0</v>
      </c>
      <c r="GL395" s="13">
        <f>OCC_DAYS*$GB$41*R_NF_2023-GD395*MCD_SHARE_FREED*R_WAIT_2023</f>
        <v>151980.48282209205</v>
      </c>
      <c r="GM395">
        <f>IF($A395&lt;=$GB$45,1,0)</f>
        <v>0</v>
      </c>
      <c r="HB395">
        <f>IF($HB$31&lt;=$HB$32,IF($A395&lt;=$HB$7,1,2),IF($A395&lt;=RUNG_BEDS_2,2,1))</f>
        <v>1</v>
      </c>
      <c r="HC395" s="5">
        <f>MIN(1,MAX(0,$HB$26-($A395-1)))</f>
        <v>0</v>
      </c>
      <c r="HD395" s="5">
        <f>$HB$25*(HC395+(1-HC395)*$HB$16)</f>
        <v>0.0</v>
      </c>
      <c r="HE395" s="13">
        <f>HD395*($HB$6+ACUTE_MARGIN)</f>
        <v>0.0</v>
      </c>
      <c r="HF395" s="13">
        <f>IF(HB395=1,$HB$31,$HB$32)</f>
        <v>152456.2970814058</v>
      </c>
      <c r="HG395" s="13">
        <f>HE395-HF395</f>
        <v>-152456.2970814058</v>
      </c>
      <c r="HH395" s="13">
        <f>HH394+HG395</f>
        <v>-9337394.061126322</v>
      </c>
      <c r="HI395">
        <f>IF(HH395=MAX($HH$83:$HH$483),$A395,0)</f>
        <v>0</v>
      </c>
      <c r="HJ395">
        <f>IF(HE395&lt;HF395,$A395,B_MAX+1)</f>
        <v>312</v>
      </c>
      <c r="HK395" s="13">
        <f>IF(HB395=1,$HB$35,$HB$36)</f>
        <v>0</v>
      </c>
      <c r="HL395" s="13">
        <f>OCC_DAYS*$HB$41*R_NF_2023-HD395*MCD_SHARE_FREED*R_WAIT_2023</f>
        <v>151980.48282209205</v>
      </c>
      <c r="HM395">
        <f>IF($A395&lt;=$HB$45,1,0)</f>
        <v>0</v>
      </c>
      <c r="IB395">
        <f>IF($IB$31&lt;=$IB$32,IF($A395&lt;=$IB$7,1,2),IF($A395&lt;=RUNG_BEDS_2,2,1))</f>
        <v>1</v>
      </c>
      <c r="IC395" s="5">
        <f>MIN(1,MAX(0,$IB$26-($A395-1)))</f>
        <v>0</v>
      </c>
      <c r="ID395" s="5">
        <f>$IB$25*(IC395+(1-IC395)*$IB$16)</f>
        <v>0.0</v>
      </c>
      <c r="IE395" s="13">
        <f>ID395*($IB$6+ACUTE_MARGIN)</f>
        <v>0.0</v>
      </c>
      <c r="IF395" s="13">
        <f>IF(IB395=1,$IB$31,$IB$32)</f>
        <v>152734.9994534971</v>
      </c>
      <c r="IG395" s="13">
        <f>IE395-IF395</f>
        <v>-152734.9994534971</v>
      </c>
      <c r="IH395" s="13">
        <f>IH394+IG395</f>
        <v>-9424349.201218847</v>
      </c>
      <c r="II395">
        <f>IF(IH395=MAX($IH$83:$IH$483),$A395,0)</f>
        <v>0</v>
      </c>
      <c r="IJ395">
        <f>IF(IE395&lt;IF395,$A395,B_MAX+1)</f>
        <v>312</v>
      </c>
      <c r="IK395" s="13">
        <f>IF(IB395=1,$IB$35,$IB$36)</f>
        <v>0</v>
      </c>
      <c r="IL395" s="13">
        <f>OCC_DAYS*$IB$41*R_NF_2023-ID395*MCD_SHARE_FREED*R_WAIT_2023</f>
        <v>151980.48282209205</v>
      </c>
      <c r="IM395">
        <f>IF($A395&lt;=$IB$45,1,0)</f>
        <v>0</v>
      </c>
      <c r="JB395">
        <f>IF($JB$31&lt;=$JB$32,IF($A395&lt;=$JB$7,1,2),IF($A395&lt;=RUNG_BEDS_2,2,1))</f>
        <v>1</v>
      </c>
      <c r="JC395" s="5">
        <f>MIN(1,MAX(0,$JB$26-($A395-1)))</f>
        <v>0</v>
      </c>
      <c r="JD395" s="5">
        <f>$JB$25*(JC395+(1-JC395)*$JB$16)</f>
        <v>0.0</v>
      </c>
      <c r="JE395" s="13">
        <f>JD395*($JB$6+ACUTE_MARGIN)</f>
        <v>0.0</v>
      </c>
      <c r="JF395" s="13">
        <f>IF(JB395=1,$JB$31,$JB$32)</f>
        <v>152394.16214437486</v>
      </c>
      <c r="JG395" s="13">
        <f>JE395-JF395</f>
        <v>-152394.16214437486</v>
      </c>
      <c r="JH395" s="13">
        <f>JH394+JG395</f>
        <v>-9318007.960772622</v>
      </c>
      <c r="JI395">
        <f>IF(JH395=MAX($JH$83:$JH$483),$A395,0)</f>
        <v>0</v>
      </c>
      <c r="JJ395">
        <f>IF(JE395&lt;JF395,$A395,B_MAX+1)</f>
        <v>312</v>
      </c>
      <c r="JK395" s="13">
        <f>IF(JB395=1,$JB$35,$JB$36)</f>
        <v>0</v>
      </c>
      <c r="JL395" s="13">
        <f>OCC_DAYS*$JB$41*R_NF_2023-JD395*MCD_SHARE_FREED*R_WAIT_2023</f>
        <v>151980.48282209205</v>
      </c>
      <c r="JM395">
        <f>IF($A395&lt;=$JB$45,1,0)</f>
        <v>0</v>
      </c>
      <c r="KB395">
        <f>IF($KB$31&lt;=$KB$32,IF($A395&lt;=$KB$7,1,2),IF($A395&lt;=RUNG_BEDS_2,2,1))</f>
        <v>1</v>
      </c>
      <c r="KC395" s="5">
        <f>MIN(1,MAX(0,$KB$26-($A395-1)))</f>
        <v>0</v>
      </c>
      <c r="KD395" s="5">
        <f>$KB$25*(KC395+(1-KC395)*$KB$16)</f>
        <v>0.0</v>
      </c>
      <c r="KE395" s="13">
        <f>KD395*($KB$6+ACUTE_MARGIN)</f>
        <v>0.0</v>
      </c>
      <c r="KF395" s="13">
        <f>IF(KB395=1,$KB$31,$KB$32)</f>
        <v>152394.16214437486</v>
      </c>
      <c r="KG395" s="13">
        <f>KE395-KF395</f>
        <v>-152394.16214437486</v>
      </c>
      <c r="KH395" s="13">
        <f>KH394+KG395</f>
        <v>-9318007.960772729</v>
      </c>
      <c r="KI395">
        <f>IF(KH395=MAX($KH$83:$KH$483),$A395,0)</f>
        <v>0</v>
      </c>
      <c r="KJ395">
        <f>IF(KE395&lt;KF395,$A395,B_MAX+1)</f>
        <v>312</v>
      </c>
      <c r="KK395" s="13">
        <f>IF(KB395=1,$KB$35,$KB$36)</f>
        <v>0</v>
      </c>
      <c r="KL395" s="13">
        <f>OCC_DAYS*$KB$41*R_NF_2023-KD395*MCD_SHARE_FREED*R_WAIT_2023</f>
        <v>151980.48282209205</v>
      </c>
      <c r="KM395">
        <f>IF($A395&lt;=$KB$45,1,0)</f>
        <v>0</v>
      </c>
      <c r="LB395">
        <f>IF($LB$31&lt;=$LB$32,IF($A395&lt;=$LB$7,1,2),IF($A395&lt;=RUNG_BEDS_2,2,1))</f>
        <v>1</v>
      </c>
      <c r="LC395" s="5">
        <f>MIN(1,MAX(0,$LB$26-($A395-1)))</f>
        <v>1</v>
      </c>
      <c r="LD395" s="5">
        <f>$LB$25*(LC395+(1-LC395)*$LB$16)</f>
        <v>84.01774238227146</v>
      </c>
      <c r="LE395" s="13">
        <f>LD395*($LB$6+ACUTE_MARGIN)</f>
        <v>84857.91980609419</v>
      </c>
      <c r="LF395" s="13">
        <f>IF(LB395=1,$LB$31,$LB$32)</f>
        <v>152394.16214437486</v>
      </c>
      <c r="LG395" s="13">
        <f>LE395-LF395</f>
        <v>-67536.24233828067</v>
      </c>
      <c r="LH395" s="13">
        <f>LH394+LG395</f>
        <v>-21071307.60954368</v>
      </c>
      <c r="LI395">
        <f>IF(LH395=MAX($LH$83:$LH$483),$A395,0)</f>
        <v>0</v>
      </c>
      <c r="LJ395">
        <f>IF(LE395&lt;LF395,$A395,B_MAX+1)</f>
        <v>312</v>
      </c>
      <c r="LK395" s="13">
        <f>IF(LB395=1,$LB$35,$LB$36)</f>
        <v>0</v>
      </c>
      <c r="LL395" s="13">
        <f>OCC_DAYS*$LB$41*R_NF_2023-LD395*MCD_SHARE_FREED*R_WAIT_2023</f>
        <v>113776.04162887059</v>
      </c>
      <c r="LM395">
        <f>IF($A395&lt;=$LB$45,1,0)</f>
        <v>0</v>
      </c>
      <c r="MB395">
        <f>IF($MB$31&lt;=$MB$32,IF($A395&lt;=$MB$7,1,2),IF($A395&lt;=RUNG_BEDS_2,2,1))</f>
        <v>1</v>
      </c>
      <c r="MC395" s="5">
        <f>MIN(1,MAX(0,$MB$26-($A395-1)))</f>
        <v>0</v>
      </c>
      <c r="MD395" s="5">
        <f>$MB$25*(MC395+(1-MC395)*$MB$16)</f>
        <v>0.0</v>
      </c>
      <c r="ME395" s="13">
        <f>MD395*($MB$6+ACUTE_MARGIN)</f>
        <v>0.0</v>
      </c>
      <c r="MF395" s="13">
        <f>IF(MB395=1,$MB$31,$MB$32)</f>
        <v>152394.16214437486</v>
      </c>
      <c r="MG395" s="13">
        <f>ME395-MF395</f>
        <v>-152394.16214437486</v>
      </c>
      <c r="MH395" s="13">
        <f>MH394+MG395</f>
        <v>-15205284.022570923</v>
      </c>
      <c r="MI395">
        <f>IF(MH395=MAX($MH$83:$MH$483),$A395,0)</f>
        <v>0</v>
      </c>
      <c r="MJ395">
        <f>IF(ME395&lt;MF395,$A395,B_MAX+1)</f>
        <v>312</v>
      </c>
      <c r="MK395" s="13">
        <f>IF(MB395=1,$MB$35,$MB$36)</f>
        <v>0</v>
      </c>
      <c r="ML395" s="13">
        <f>OCC_DAYS*$MB$41*R_NF_2023-MD395*MCD_SHARE_FREED*R_WAIT_2023</f>
        <v>151980.48282209205</v>
      </c>
      <c r="MM395">
        <f>IF($A395&lt;=$MB$45,1,0)</f>
        <v>0</v>
      </c>
      <c r="NB395">
        <f>IF($NB$31&lt;=$NB$32,IF($A395&lt;=$NB$7,1,2),IF($A395&lt;=RUNG_BEDS_2,2,1))</f>
        <v>1</v>
      </c>
      <c r="NC395" s="5">
        <f>MIN(1,MAX(0,$NB$26-($A395-1)))</f>
        <v>0</v>
      </c>
      <c r="ND395" s="5">
        <f>$NB$25*(NC395+(1-NC395)*$NB$16)</f>
        <v>63.013306786703595</v>
      </c>
      <c r="NE395" s="13">
        <f>ND395*($NB$6+ACUTE_MARGIN)</f>
        <v>63643.43985457063</v>
      </c>
      <c r="NF395" s="13">
        <f>IF(NB395=1,$NB$31,$NB$32)</f>
        <v>152394.16214437486</v>
      </c>
      <c r="NG395" s="13">
        <f>NE395-NF395</f>
        <v>-88750.72228980422</v>
      </c>
      <c r="NH395" s="13">
        <f>NH394+NG395</f>
        <v>981502.6167853057</v>
      </c>
      <c r="NI395">
        <f>IF(NH395=MAX($NH$83:$NH$483),$A395,0)</f>
        <v>0</v>
      </c>
      <c r="NJ395">
        <f>IF(NE395&lt;NF395,$A395,B_MAX+1)</f>
        <v>312</v>
      </c>
      <c r="NK395" s="13">
        <f>IF(NB395=1,$NB$35,$NB$36)</f>
        <v>0</v>
      </c>
      <c r="NL395" s="13">
        <f>OCC_DAYS*$NB$41*R_NF_2023-ND395*MCD_SHARE_FREED*R_WAIT_2023</f>
        <v>123327.15192717595</v>
      </c>
      <c r="NM395">
        <f>IF($A395&lt;=$NB$45,1,0)</f>
        <v>0</v>
      </c>
      <c r="OB395">
        <f>IF($OB$31&lt;=$OB$32,IF($A395&lt;=$OB$7,1,2),IF($A395&lt;=RUNG_BEDS_2,2,1))</f>
        <v>1</v>
      </c>
      <c r="OC395" s="5">
        <f>MIN(1,MAX(0,$OB$26-($A395-1)))</f>
        <v>0</v>
      </c>
      <c r="OD395" s="5">
        <f>$OB$25*(OC395+(1-OC395)*$OB$16)</f>
        <v>126.02661357340719</v>
      </c>
      <c r="OE395" s="13">
        <f>OD395*($OB$6+ACUTE_MARGIN)</f>
        <v>127286.87970914126</v>
      </c>
      <c r="OF395" s="13">
        <f>IF(OB395=1,$OB$31,$OB$32)</f>
        <v>152394.16214437486</v>
      </c>
      <c r="OG395" s="13">
        <f>OE395-OF395</f>
        <v>-25107.282435233603</v>
      </c>
      <c r="OH395" s="13">
        <f>OH394+OG395</f>
        <v>11281013.194343433</v>
      </c>
      <c r="OI395">
        <f>IF(OH395=MAX($OH$83:$OH$483),$A395,0)</f>
        <v>0</v>
      </c>
      <c r="OJ395">
        <f>IF(OE395&lt;OF395,$A395,B_MAX+1)</f>
        <v>312</v>
      </c>
      <c r="OK395" s="13">
        <f>IF(OB395=1,$OB$35,$OB$36)</f>
        <v>0</v>
      </c>
      <c r="OL395" s="13">
        <f>OCC_DAYS*$OB$41*R_NF_2023-OD395*MCD_SHARE_FREED*R_WAIT_2023</f>
        <v>94673.82103225985</v>
      </c>
      <c r="OM395">
        <f>IF($A395&lt;=$OB$45,1,0)</f>
        <v>0</v>
      </c>
    </row>
    <row r="396">
      <c r="A396" t="n">
        <v>313</v>
      </c>
      <c r="B396">
        <f>IF($B$31&lt;=$B$32,IF($A396&lt;=$B$7,1,2),IF($A396&lt;=RUNG_BEDS_2,2,1))</f>
        <v>1</v>
      </c>
      <c r="C396" s="5">
        <f>MIN(1,MAX(0,$B$26-($A396-1)))</f>
        <v>0</v>
      </c>
      <c r="D396" s="5">
        <f>$B$25*(C396+(1-C396)*$B$16)</f>
        <v>0.0</v>
      </c>
      <c r="E396" s="13">
        <f>D396*($B$6+ACUTE_MARGIN)</f>
        <v>0.0</v>
      </c>
      <c r="F396" s="13">
        <f>IF(B396=1,$B$31,$B$32)</f>
        <v>152394.16214437486</v>
      </c>
      <c r="G396" s="13">
        <f>E396-F396</f>
        <v>-152394.16214437486</v>
      </c>
      <c r="H396" s="13">
        <f>H395+G396</f>
        <v>-9470402.122916996</v>
      </c>
      <c r="I396">
        <f>IF(H396=MAX($H$83:$H$483),$A396,0)</f>
        <v>0</v>
      </c>
      <c r="J396">
        <f>IF(E396&lt;F396,$A396,B_MAX+1)</f>
        <v>313</v>
      </c>
      <c r="K396" s="13">
        <f>IF(B396=1,$B$35,$B$36)</f>
        <v>0</v>
      </c>
      <c r="L396" s="13">
        <f>OCC_DAYS*$B$41*R_NF_2023-D396*MCD_SHARE_FREED*R_WAIT_2023</f>
        <v>151980.48282209205</v>
      </c>
      <c r="M396">
        <f>IF($A396&lt;=$B$45,1,0)</f>
        <v>0</v>
      </c>
      <c r="AB396">
        <f>IF($AB$31&lt;=$AB$32,IF($A396&lt;=$AB$7,1,2),IF($A396&lt;=RUNG_BEDS_2,2,1))</f>
        <v>1</v>
      </c>
      <c r="AC396" s="5">
        <f>MIN(1,MAX(0,$AB$26-($A396-1)))</f>
        <v>0</v>
      </c>
      <c r="AD396" s="5">
        <f>$AB$25*(AC396+(1-AC396)*$AB$16)</f>
        <v>0.0</v>
      </c>
      <c r="AE396" s="13">
        <f>AD396*($AB$6+ACUTE_MARGIN)</f>
        <v>0.0</v>
      </c>
      <c r="AF396" s="13">
        <f>IF(AB396=1,$AB$31,$AB$32)</f>
        <v>152394.16214437486</v>
      </c>
      <c r="AG396" s="13">
        <f>AE396-AF396</f>
        <v>-152394.16214437486</v>
      </c>
      <c r="AH396" s="13">
        <f>AH395+AG396</f>
        <v>-26881616.468466733</v>
      </c>
      <c r="AI396">
        <f>IF(AH396=MAX($AH$83:$AH$483),$A396,0)</f>
        <v>0</v>
      </c>
      <c r="AJ396">
        <f>IF(AE396&lt;AF396,$A396,B_MAX+1)</f>
        <v>313</v>
      </c>
      <c r="AK396" s="13">
        <f>IF(AB396=1,$AB$35,$AB$36)</f>
        <v>0</v>
      </c>
      <c r="AL396" s="13">
        <f>OCC_DAYS*$AB$41*R_NF_2023-AD396*MCD_SHARE_FREED*R_WAIT_2023</f>
        <v>151980.48282209205</v>
      </c>
      <c r="AM396">
        <f>IF($A396&lt;=$AB$45,1,0)</f>
        <v>0</v>
      </c>
      <c r="BB396">
        <f>IF($BB$31&lt;=$BB$32,IF($A396&lt;=$BB$7,1,2),IF($A396&lt;=RUNG_BEDS_2,2,1))</f>
        <v>1</v>
      </c>
      <c r="BC396" s="5">
        <f>MIN(1,MAX(0,$BB$26-($A396-1)))</f>
        <v>0</v>
      </c>
      <c r="BD396" s="5">
        <f>$BB$25*(BC396+(1-BC396)*$BB$16)</f>
        <v>0.0</v>
      </c>
      <c r="BE396" s="13">
        <f>BD396*($BB$6+ACUTE_MARGIN)</f>
        <v>0.0</v>
      </c>
      <c r="BF396" s="13">
        <f>IF(BB396=1,$BB$31,$BB$32)</f>
        <v>152394.16214437486</v>
      </c>
      <c r="BG396" s="13">
        <f>BE396-BF396</f>
        <v>-152394.16214437486</v>
      </c>
      <c r="BH396" s="13">
        <f>BH395+BG396</f>
        <v>7940812.222632759</v>
      </c>
      <c r="BI396">
        <f>IF(BH396=MAX($BH$83:$BH$483),$A396,0)</f>
        <v>0</v>
      </c>
      <c r="BJ396">
        <f>IF(BE396&lt;BF396,$A396,B_MAX+1)</f>
        <v>313</v>
      </c>
      <c r="BK396" s="13">
        <f>IF(BB396=1,$BB$35,$BB$36)</f>
        <v>0</v>
      </c>
      <c r="BL396" s="13">
        <f>OCC_DAYS*$BB$41*R_NF_2023-BD396*MCD_SHARE_FREED*R_WAIT_2023</f>
        <v>151980.48282209205</v>
      </c>
      <c r="BM396">
        <f>IF($A396&lt;=$BB$45,1,0)</f>
        <v>0</v>
      </c>
      <c r="CB396">
        <f>IF($CB$31&lt;=$CB$32,IF($A396&lt;=$CB$7,1,2),IF($A396&lt;=RUNG_BEDS_2,2,1))</f>
        <v>2</v>
      </c>
      <c r="CC396" s="5">
        <f>MIN(1,MAX(0,$CB$26-($A396-1)))</f>
        <v>0</v>
      </c>
      <c r="CD396" s="5">
        <f>$CB$25*(CC396+(1-CC396)*$CB$16)</f>
        <v>0.0</v>
      </c>
      <c r="CE396" s="13">
        <f>CD396*($CB$6+ACUTE_MARGIN)</f>
        <v>0.0</v>
      </c>
      <c r="CF396" s="13">
        <f>IF(CB396=1,$CB$31,$CB$32)</f>
        <v>160718.36940738867</v>
      </c>
      <c r="CG396" s="13">
        <f>CE396-CF396</f>
        <v>-160718.36940738867</v>
      </c>
      <c r="CH396" s="13">
        <f>CH395+CG396</f>
        <v>-12075878.99624044</v>
      </c>
      <c r="CI396">
        <f>IF(CH396=MAX($CH$83:$CH$483),$A396,0)</f>
        <v>0</v>
      </c>
      <c r="CJ396">
        <f>IF(CE396&lt;CF396,$A396,B_MAX+1)</f>
        <v>313</v>
      </c>
      <c r="CK396" s="13">
        <f>IF(CB396=1,$CB$35,$CB$36)</f>
        <v>1560.1194073886782</v>
      </c>
      <c r="CL396" s="13">
        <f>OCC_DAYS*$CB$41*R_NF_2023-CD396*MCD_SHARE_FREED*R_WAIT_2023</f>
        <v>151980.48282209205</v>
      </c>
      <c r="CM396">
        <f>IF($A396&lt;=$CB$45,1,0)</f>
        <v>0</v>
      </c>
      <c r="DB396">
        <f>IF($DB$31&lt;=$DB$32,IF($A396&lt;=$DB$7,1,2),IF($A396&lt;=RUNG_BEDS_2,2,1))</f>
        <v>1</v>
      </c>
      <c r="DC396" s="5">
        <f>MIN(1,MAX(0,$DB$26-($A396-1)))</f>
        <v>0</v>
      </c>
      <c r="DD396" s="5">
        <f>$DB$25*(DC396+(1-DC396)*$DB$16)</f>
        <v>0.0</v>
      </c>
      <c r="DE396" s="13">
        <f>DD396*($DB$6+ACUTE_MARGIN)</f>
        <v>0.0</v>
      </c>
      <c r="DF396" s="13">
        <f>IF(DB396=1,$DB$31,$DB$32)</f>
        <v>152394.16214437486</v>
      </c>
      <c r="DG396" s="13">
        <f>DE396-DF396</f>
        <v>-152394.16214437486</v>
      </c>
      <c r="DH396" s="13">
        <f>DH395+DG396</f>
        <v>-9470402.122916996</v>
      </c>
      <c r="DI396">
        <f>IF(DH396=MAX($DH$83:$DH$483),$A396,0)</f>
        <v>0</v>
      </c>
      <c r="DJ396">
        <f>IF(DE396&lt;DF396,$A396,B_MAX+1)</f>
        <v>313</v>
      </c>
      <c r="DK396" s="13">
        <f>IF(DB396=1,$DB$35,$DB$36)</f>
        <v>0</v>
      </c>
      <c r="DL396" s="13">
        <f>OCC_DAYS*$DB$41*R_NF_2023-DD396*MCD_SHARE_FREED*R_WAIT_2023</f>
        <v>151980.48282209205</v>
      </c>
      <c r="DM396">
        <f>IF($A396&lt;=$DB$45,1,0)</f>
        <v>0</v>
      </c>
      <c r="EB396">
        <f>IF($EB$31&lt;=$EB$32,IF($A396&lt;=$EB$7,1,2),IF($A396&lt;=RUNG_BEDS_2,2,1))</f>
        <v>1</v>
      </c>
      <c r="EC396" s="5">
        <f>MIN(1,MAX(0,$EB$26-($A396-1)))</f>
        <v>0</v>
      </c>
      <c r="ED396" s="5">
        <f>$EB$25*(EC396+(1-EC396)*$EB$16)</f>
        <v>0.0</v>
      </c>
      <c r="EE396" s="13">
        <f>ED396*($EB$6+ACUTE_MARGIN)</f>
        <v>0.0</v>
      </c>
      <c r="EF396" s="13">
        <f>IF(EB396=1,$EB$31,$EB$32)</f>
        <v>152394.16214437486</v>
      </c>
      <c r="EG396" s="13">
        <f>EE396-EF396</f>
        <v>-152394.16214437486</v>
      </c>
      <c r="EH396" s="13">
        <f>EH395+EG396</f>
        <v>-9470402.122916996</v>
      </c>
      <c r="EI396">
        <f>IF(EH396=MAX($EH$83:$EH$483),$A396,0)</f>
        <v>0</v>
      </c>
      <c r="EJ396">
        <f>IF(EE396&lt;EF396,$A396,B_MAX+1)</f>
        <v>313</v>
      </c>
      <c r="EK396" s="13">
        <f>IF(EB396=1,$EB$35,$EB$36)</f>
        <v>0</v>
      </c>
      <c r="EL396" s="13">
        <f>OCC_DAYS*$EB$41*R_NF_2023-ED396*MCD_SHARE_FREED*R_WAIT_2023</f>
        <v>50660.16094069735</v>
      </c>
      <c r="EM396">
        <f>IF($A396&lt;=$EB$45,1,0)</f>
        <v>0</v>
      </c>
      <c r="FB396">
        <f>IF($FB$31&lt;=$FB$32,IF($A396&lt;=$FB$7,1,2),IF($A396&lt;=RUNG_BEDS_2,2,1))</f>
        <v>1</v>
      </c>
      <c r="FC396" s="5">
        <f>MIN(1,MAX(0,$FB$26-($A396-1)))</f>
        <v>0</v>
      </c>
      <c r="FD396" s="5">
        <f>$FB$25*(FC396+(1-FC396)*$FB$16)</f>
        <v>0.0</v>
      </c>
      <c r="FE396" s="13">
        <f>FD396*($FB$6+ACUTE_MARGIN)</f>
        <v>0.0</v>
      </c>
      <c r="FF396" s="13">
        <f>IF(FB396=1,$FB$31,$FB$32)</f>
        <v>156636.04979437485</v>
      </c>
      <c r="FG396" s="13">
        <f>FE396-FF396</f>
        <v>-156636.04979437485</v>
      </c>
      <c r="FH396" s="13">
        <f>FH395+FG396</f>
        <v>-10798112.957367102</v>
      </c>
      <c r="FI396">
        <f>IF(FH396=MAX($FH$83:$FH$483),$A396,0)</f>
        <v>0</v>
      </c>
      <c r="FJ396">
        <f>IF(FE396&lt;FF396,$A396,B_MAX+1)</f>
        <v>313</v>
      </c>
      <c r="FK396" s="13">
        <f>IF(FB396=1,$FB$35,$FB$36)</f>
        <v>0</v>
      </c>
      <c r="FL396" s="13">
        <f>OCC_DAYS*$FB$41*R_NF_2023-FD396*MCD_SHARE_FREED*R_WAIT_2023</f>
        <v>151980.48282209205</v>
      </c>
      <c r="FM396">
        <f>IF($A396&lt;=$FB$45,1,0)</f>
        <v>0</v>
      </c>
      <c r="GB396">
        <f>IF($GB$31&lt;=$GB$32,IF($A396&lt;=$GB$7,1,2),IF($A396&lt;=RUNG_BEDS_2,2,1))</f>
        <v>1</v>
      </c>
      <c r="GC396" s="5">
        <f>MIN(1,MAX(0,$GB$26-($A396-1)))</f>
        <v>0</v>
      </c>
      <c r="GD396" s="5">
        <f>$GB$25*(GC396+(1-GC396)*$GB$16)</f>
        <v>0.0</v>
      </c>
      <c r="GE396" s="13">
        <f>GD396*($GB$6+ACUTE_MARGIN)</f>
        <v>0.0</v>
      </c>
      <c r="GF396" s="13">
        <f>IF(GB396=1,$GB$31,$GB$32)</f>
        <v>152394.16214437486</v>
      </c>
      <c r="GG396" s="13">
        <f>GE396-GF396</f>
        <v>-152394.16214437486</v>
      </c>
      <c r="GH396" s="13">
        <f>GH395+GG396</f>
        <v>-9470402.122916996</v>
      </c>
      <c r="GI396">
        <f>IF(GH396=MAX($GH$83:$GH$483),$A396,0)</f>
        <v>0</v>
      </c>
      <c r="GJ396">
        <f>IF(GE396&lt;GF396,$A396,B_MAX+1)</f>
        <v>313</v>
      </c>
      <c r="GK396" s="13">
        <f>IF(GB396=1,$GB$35,$GB$36)</f>
        <v>0</v>
      </c>
      <c r="GL396" s="13">
        <f>OCC_DAYS*$GB$41*R_NF_2023-GD396*MCD_SHARE_FREED*R_WAIT_2023</f>
        <v>151980.48282209205</v>
      </c>
      <c r="GM396">
        <f>IF($A396&lt;=$GB$45,1,0)</f>
        <v>0</v>
      </c>
      <c r="HB396">
        <f>IF($HB$31&lt;=$HB$32,IF($A396&lt;=$HB$7,1,2),IF($A396&lt;=RUNG_BEDS_2,2,1))</f>
        <v>1</v>
      </c>
      <c r="HC396" s="5">
        <f>MIN(1,MAX(0,$HB$26-($A396-1)))</f>
        <v>0</v>
      </c>
      <c r="HD396" s="5">
        <f>$HB$25*(HC396+(1-HC396)*$HB$16)</f>
        <v>0.0</v>
      </c>
      <c r="HE396" s="13">
        <f>HD396*($HB$6+ACUTE_MARGIN)</f>
        <v>0.0</v>
      </c>
      <c r="HF396" s="13">
        <f>IF(HB396=1,$HB$31,$HB$32)</f>
        <v>152456.2970814058</v>
      </c>
      <c r="HG396" s="13">
        <f>HE396-HF396</f>
        <v>-152456.2970814058</v>
      </c>
      <c r="HH396" s="13">
        <f>HH395+HG396</f>
        <v>-9489850.358207727</v>
      </c>
      <c r="HI396">
        <f>IF(HH396=MAX($HH$83:$HH$483),$A396,0)</f>
        <v>0</v>
      </c>
      <c r="HJ396">
        <f>IF(HE396&lt;HF396,$A396,B_MAX+1)</f>
        <v>313</v>
      </c>
      <c r="HK396" s="13">
        <f>IF(HB396=1,$HB$35,$HB$36)</f>
        <v>0</v>
      </c>
      <c r="HL396" s="13">
        <f>OCC_DAYS*$HB$41*R_NF_2023-HD396*MCD_SHARE_FREED*R_WAIT_2023</f>
        <v>151980.48282209205</v>
      </c>
      <c r="HM396">
        <f>IF($A396&lt;=$HB$45,1,0)</f>
        <v>0</v>
      </c>
      <c r="IB396">
        <f>IF($IB$31&lt;=$IB$32,IF($A396&lt;=$IB$7,1,2),IF($A396&lt;=RUNG_BEDS_2,2,1))</f>
        <v>1</v>
      </c>
      <c r="IC396" s="5">
        <f>MIN(1,MAX(0,$IB$26-($A396-1)))</f>
        <v>0</v>
      </c>
      <c r="ID396" s="5">
        <f>$IB$25*(IC396+(1-IC396)*$IB$16)</f>
        <v>0.0</v>
      </c>
      <c r="IE396" s="13">
        <f>ID396*($IB$6+ACUTE_MARGIN)</f>
        <v>0.0</v>
      </c>
      <c r="IF396" s="13">
        <f>IF(IB396=1,$IB$31,$IB$32)</f>
        <v>152734.9994534971</v>
      </c>
      <c r="IG396" s="13">
        <f>IE396-IF396</f>
        <v>-152734.9994534971</v>
      </c>
      <c r="IH396" s="13">
        <f>IH395+IG396</f>
        <v>-9577084.200672343</v>
      </c>
      <c r="II396">
        <f>IF(IH396=MAX($IH$83:$IH$483),$A396,0)</f>
        <v>0</v>
      </c>
      <c r="IJ396">
        <f>IF(IE396&lt;IF396,$A396,B_MAX+1)</f>
        <v>313</v>
      </c>
      <c r="IK396" s="13">
        <f>IF(IB396=1,$IB$35,$IB$36)</f>
        <v>0</v>
      </c>
      <c r="IL396" s="13">
        <f>OCC_DAYS*$IB$41*R_NF_2023-ID396*MCD_SHARE_FREED*R_WAIT_2023</f>
        <v>151980.48282209205</v>
      </c>
      <c r="IM396">
        <f>IF($A396&lt;=$IB$45,1,0)</f>
        <v>0</v>
      </c>
      <c r="JB396">
        <f>IF($JB$31&lt;=$JB$32,IF($A396&lt;=$JB$7,1,2),IF($A396&lt;=RUNG_BEDS_2,2,1))</f>
        <v>1</v>
      </c>
      <c r="JC396" s="5">
        <f>MIN(1,MAX(0,$JB$26-($A396-1)))</f>
        <v>0</v>
      </c>
      <c r="JD396" s="5">
        <f>$JB$25*(JC396+(1-JC396)*$JB$16)</f>
        <v>0.0</v>
      </c>
      <c r="JE396" s="13">
        <f>JD396*($JB$6+ACUTE_MARGIN)</f>
        <v>0.0</v>
      </c>
      <c r="JF396" s="13">
        <f>IF(JB396=1,$JB$31,$JB$32)</f>
        <v>152394.16214437486</v>
      </c>
      <c r="JG396" s="13">
        <f>JE396-JF396</f>
        <v>-152394.16214437486</v>
      </c>
      <c r="JH396" s="13">
        <f>JH395+JG396</f>
        <v>-9470402.122916996</v>
      </c>
      <c r="JI396">
        <f>IF(JH396=MAX($JH$83:$JH$483),$A396,0)</f>
        <v>0</v>
      </c>
      <c r="JJ396">
        <f>IF(JE396&lt;JF396,$A396,B_MAX+1)</f>
        <v>313</v>
      </c>
      <c r="JK396" s="13">
        <f>IF(JB396=1,$JB$35,$JB$36)</f>
        <v>0</v>
      </c>
      <c r="JL396" s="13">
        <f>OCC_DAYS*$JB$41*R_NF_2023-JD396*MCD_SHARE_FREED*R_WAIT_2023</f>
        <v>151980.48282209205</v>
      </c>
      <c r="JM396">
        <f>IF($A396&lt;=$JB$45,1,0)</f>
        <v>0</v>
      </c>
      <c r="KB396">
        <f>IF($KB$31&lt;=$KB$32,IF($A396&lt;=$KB$7,1,2),IF($A396&lt;=RUNG_BEDS_2,2,1))</f>
        <v>1</v>
      </c>
      <c r="KC396" s="5">
        <f>MIN(1,MAX(0,$KB$26-($A396-1)))</f>
        <v>0</v>
      </c>
      <c r="KD396" s="5">
        <f>$KB$25*(KC396+(1-KC396)*$KB$16)</f>
        <v>0.0</v>
      </c>
      <c r="KE396" s="13">
        <f>KD396*($KB$6+ACUTE_MARGIN)</f>
        <v>0.0</v>
      </c>
      <c r="KF396" s="13">
        <f>IF(KB396=1,$KB$31,$KB$32)</f>
        <v>152394.16214437486</v>
      </c>
      <c r="KG396" s="13">
        <f>KE396-KF396</f>
        <v>-152394.16214437486</v>
      </c>
      <c r="KH396" s="13">
        <f>KH395+KG396</f>
        <v>-9470402.122917103</v>
      </c>
      <c r="KI396">
        <f>IF(KH396=MAX($KH$83:$KH$483),$A396,0)</f>
        <v>0</v>
      </c>
      <c r="KJ396">
        <f>IF(KE396&lt;KF396,$A396,B_MAX+1)</f>
        <v>313</v>
      </c>
      <c r="KK396" s="13">
        <f>IF(KB396=1,$KB$35,$KB$36)</f>
        <v>0</v>
      </c>
      <c r="KL396" s="13">
        <f>OCC_DAYS*$KB$41*R_NF_2023-KD396*MCD_SHARE_FREED*R_WAIT_2023</f>
        <v>151980.48282209205</v>
      </c>
      <c r="KM396">
        <f>IF($A396&lt;=$KB$45,1,0)</f>
        <v>0</v>
      </c>
      <c r="LB396">
        <f>IF($LB$31&lt;=$LB$32,IF($A396&lt;=$LB$7,1,2),IF($A396&lt;=RUNG_BEDS_2,2,1))</f>
        <v>1</v>
      </c>
      <c r="LC396" s="5">
        <f>MIN(1,MAX(0,$LB$26-($A396-1)))</f>
        <v>1</v>
      </c>
      <c r="LD396" s="5">
        <f>$LB$25*(LC396+(1-LC396)*$LB$16)</f>
        <v>84.01774238227146</v>
      </c>
      <c r="LE396" s="13">
        <f>LD396*($LB$6+ACUTE_MARGIN)</f>
        <v>84857.91980609419</v>
      </c>
      <c r="LF396" s="13">
        <f>IF(LB396=1,$LB$31,$LB$32)</f>
        <v>152394.16214437486</v>
      </c>
      <c r="LG396" s="13">
        <f>LE396-LF396</f>
        <v>-67536.24233828067</v>
      </c>
      <c r="LH396" s="13">
        <f>LH395+LG396</f>
        <v>-21138843.851881962</v>
      </c>
      <c r="LI396">
        <f>IF(LH396=MAX($LH$83:$LH$483),$A396,0)</f>
        <v>0</v>
      </c>
      <c r="LJ396">
        <f>IF(LE396&lt;LF396,$A396,B_MAX+1)</f>
        <v>313</v>
      </c>
      <c r="LK396" s="13">
        <f>IF(LB396=1,$LB$35,$LB$36)</f>
        <v>0</v>
      </c>
      <c r="LL396" s="13">
        <f>OCC_DAYS*$LB$41*R_NF_2023-LD396*MCD_SHARE_FREED*R_WAIT_2023</f>
        <v>113776.04162887059</v>
      </c>
      <c r="LM396">
        <f>IF($A396&lt;=$LB$45,1,0)</f>
        <v>0</v>
      </c>
      <c r="MB396">
        <f>IF($MB$31&lt;=$MB$32,IF($A396&lt;=$MB$7,1,2),IF($A396&lt;=RUNG_BEDS_2,2,1))</f>
        <v>1</v>
      </c>
      <c r="MC396" s="5">
        <f>MIN(1,MAX(0,$MB$26-($A396-1)))</f>
        <v>0</v>
      </c>
      <c r="MD396" s="5">
        <f>$MB$25*(MC396+(1-MC396)*$MB$16)</f>
        <v>0.0</v>
      </c>
      <c r="ME396" s="13">
        <f>MD396*($MB$6+ACUTE_MARGIN)</f>
        <v>0.0</v>
      </c>
      <c r="MF396" s="13">
        <f>IF(MB396=1,$MB$31,$MB$32)</f>
        <v>152394.16214437486</v>
      </c>
      <c r="MG396" s="13">
        <f>ME396-MF396</f>
        <v>-152394.16214437486</v>
      </c>
      <c r="MH396" s="13">
        <f>MH395+MG396</f>
        <v>-15357678.184715297</v>
      </c>
      <c r="MI396">
        <f>IF(MH396=MAX($MH$83:$MH$483),$A396,0)</f>
        <v>0</v>
      </c>
      <c r="MJ396">
        <f>IF(ME396&lt;MF396,$A396,B_MAX+1)</f>
        <v>313</v>
      </c>
      <c r="MK396" s="13">
        <f>IF(MB396=1,$MB$35,$MB$36)</f>
        <v>0</v>
      </c>
      <c r="ML396" s="13">
        <f>OCC_DAYS*$MB$41*R_NF_2023-MD396*MCD_SHARE_FREED*R_WAIT_2023</f>
        <v>151980.48282209205</v>
      </c>
      <c r="MM396">
        <f>IF($A396&lt;=$MB$45,1,0)</f>
        <v>0</v>
      </c>
      <c r="NB396">
        <f>IF($NB$31&lt;=$NB$32,IF($A396&lt;=$NB$7,1,2),IF($A396&lt;=RUNG_BEDS_2,2,1))</f>
        <v>1</v>
      </c>
      <c r="NC396" s="5">
        <f>MIN(1,MAX(0,$NB$26-($A396-1)))</f>
        <v>0</v>
      </c>
      <c r="ND396" s="5">
        <f>$NB$25*(NC396+(1-NC396)*$NB$16)</f>
        <v>63.013306786703595</v>
      </c>
      <c r="NE396" s="13">
        <f>ND396*($NB$6+ACUTE_MARGIN)</f>
        <v>63643.43985457063</v>
      </c>
      <c r="NF396" s="13">
        <f>IF(NB396=1,$NB$31,$NB$32)</f>
        <v>152394.16214437486</v>
      </c>
      <c r="NG396" s="13">
        <f>NE396-NF396</f>
        <v>-88750.72228980422</v>
      </c>
      <c r="NH396" s="13">
        <f>NH395+NG396</f>
        <v>892751.8944955014</v>
      </c>
      <c r="NI396">
        <f>IF(NH396=MAX($NH$83:$NH$483),$A396,0)</f>
        <v>0</v>
      </c>
      <c r="NJ396">
        <f>IF(NE396&lt;NF396,$A396,B_MAX+1)</f>
        <v>313</v>
      </c>
      <c r="NK396" s="13">
        <f>IF(NB396=1,$NB$35,$NB$36)</f>
        <v>0</v>
      </c>
      <c r="NL396" s="13">
        <f>OCC_DAYS*$NB$41*R_NF_2023-ND396*MCD_SHARE_FREED*R_WAIT_2023</f>
        <v>123327.15192717595</v>
      </c>
      <c r="NM396">
        <f>IF($A396&lt;=$NB$45,1,0)</f>
        <v>0</v>
      </c>
      <c r="OB396">
        <f>IF($OB$31&lt;=$OB$32,IF($A396&lt;=$OB$7,1,2),IF($A396&lt;=RUNG_BEDS_2,2,1))</f>
        <v>1</v>
      </c>
      <c r="OC396" s="5">
        <f>MIN(1,MAX(0,$OB$26-($A396-1)))</f>
        <v>0</v>
      </c>
      <c r="OD396" s="5">
        <f>$OB$25*(OC396+(1-OC396)*$OB$16)</f>
        <v>126.02661357340719</v>
      </c>
      <c r="OE396" s="13">
        <f>OD396*($OB$6+ACUTE_MARGIN)</f>
        <v>127286.87970914126</v>
      </c>
      <c r="OF396" s="13">
        <f>IF(OB396=1,$OB$31,$OB$32)</f>
        <v>152394.16214437486</v>
      </c>
      <c r="OG396" s="13">
        <f>OE396-OF396</f>
        <v>-25107.282435233603</v>
      </c>
      <c r="OH396" s="13">
        <f>OH395+OG396</f>
        <v>11255905.9119082</v>
      </c>
      <c r="OI396">
        <f>IF(OH396=MAX($OH$83:$OH$483),$A396,0)</f>
        <v>0</v>
      </c>
      <c r="OJ396">
        <f>IF(OE396&lt;OF396,$A396,B_MAX+1)</f>
        <v>313</v>
      </c>
      <c r="OK396" s="13">
        <f>IF(OB396=1,$OB$35,$OB$36)</f>
        <v>0</v>
      </c>
      <c r="OL396" s="13">
        <f>OCC_DAYS*$OB$41*R_NF_2023-OD396*MCD_SHARE_FREED*R_WAIT_2023</f>
        <v>94673.82103225985</v>
      </c>
      <c r="OM396">
        <f>IF($A396&lt;=$OB$45,1,0)</f>
        <v>0</v>
      </c>
    </row>
    <row r="397">
      <c r="A397" t="n">
        <v>314</v>
      </c>
      <c r="B397">
        <f>IF($B$31&lt;=$B$32,IF($A397&lt;=$B$7,1,2),IF($A397&lt;=RUNG_BEDS_2,2,1))</f>
        <v>1</v>
      </c>
      <c r="C397" s="5">
        <f>MIN(1,MAX(0,$B$26-($A397-1)))</f>
        <v>0</v>
      </c>
      <c r="D397" s="5">
        <f>$B$25*(C397+(1-C397)*$B$16)</f>
        <v>0.0</v>
      </c>
      <c r="E397" s="13">
        <f>D397*($B$6+ACUTE_MARGIN)</f>
        <v>0.0</v>
      </c>
      <c r="F397" s="13">
        <f>IF(B397=1,$B$31,$B$32)</f>
        <v>152394.16214437486</v>
      </c>
      <c r="G397" s="13">
        <f>E397-F397</f>
        <v>-152394.16214437486</v>
      </c>
      <c r="H397" s="13">
        <f>H396+G397</f>
        <v>-9622796.28506137</v>
      </c>
      <c r="I397">
        <f>IF(H397=MAX($H$83:$H$483),$A397,0)</f>
        <v>0</v>
      </c>
      <c r="J397">
        <f>IF(E397&lt;F397,$A397,B_MAX+1)</f>
        <v>314</v>
      </c>
      <c r="K397" s="13">
        <f>IF(B397=1,$B$35,$B$36)</f>
        <v>0</v>
      </c>
      <c r="L397" s="13">
        <f>OCC_DAYS*$B$41*R_NF_2023-D397*MCD_SHARE_FREED*R_WAIT_2023</f>
        <v>151980.48282209205</v>
      </c>
      <c r="M397">
        <f>IF($A397&lt;=$B$45,1,0)</f>
        <v>0</v>
      </c>
      <c r="AB397">
        <f>IF($AB$31&lt;=$AB$32,IF($A397&lt;=$AB$7,1,2),IF($A397&lt;=RUNG_BEDS_2,2,1))</f>
        <v>1</v>
      </c>
      <c r="AC397" s="5">
        <f>MIN(1,MAX(0,$AB$26-($A397-1)))</f>
        <v>0</v>
      </c>
      <c r="AD397" s="5">
        <f>$AB$25*(AC397+(1-AC397)*$AB$16)</f>
        <v>0.0</v>
      </c>
      <c r="AE397" s="13">
        <f>AD397*($AB$6+ACUTE_MARGIN)</f>
        <v>0.0</v>
      </c>
      <c r="AF397" s="13">
        <f>IF(AB397=1,$AB$31,$AB$32)</f>
        <v>152394.16214437486</v>
      </c>
      <c r="AG397" s="13">
        <f>AE397-AF397</f>
        <v>-152394.16214437486</v>
      </c>
      <c r="AH397" s="13">
        <f>AH396+AG397</f>
        <v>-27034010.630611107</v>
      </c>
      <c r="AI397">
        <f>IF(AH397=MAX($AH$83:$AH$483),$A397,0)</f>
        <v>0</v>
      </c>
      <c r="AJ397">
        <f>IF(AE397&lt;AF397,$A397,B_MAX+1)</f>
        <v>314</v>
      </c>
      <c r="AK397" s="13">
        <f>IF(AB397=1,$AB$35,$AB$36)</f>
        <v>0</v>
      </c>
      <c r="AL397" s="13">
        <f>OCC_DAYS*$AB$41*R_NF_2023-AD397*MCD_SHARE_FREED*R_WAIT_2023</f>
        <v>151980.48282209205</v>
      </c>
      <c r="AM397">
        <f>IF($A397&lt;=$AB$45,1,0)</f>
        <v>0</v>
      </c>
      <c r="BB397">
        <f>IF($BB$31&lt;=$BB$32,IF($A397&lt;=$BB$7,1,2),IF($A397&lt;=RUNG_BEDS_2,2,1))</f>
        <v>1</v>
      </c>
      <c r="BC397" s="5">
        <f>MIN(1,MAX(0,$BB$26-($A397-1)))</f>
        <v>0</v>
      </c>
      <c r="BD397" s="5">
        <f>$BB$25*(BC397+(1-BC397)*$BB$16)</f>
        <v>0.0</v>
      </c>
      <c r="BE397" s="13">
        <f>BD397*($BB$6+ACUTE_MARGIN)</f>
        <v>0.0</v>
      </c>
      <c r="BF397" s="13">
        <f>IF(BB397=1,$BB$31,$BB$32)</f>
        <v>152394.16214437486</v>
      </c>
      <c r="BG397" s="13">
        <f>BE397-BF397</f>
        <v>-152394.16214437486</v>
      </c>
      <c r="BH397" s="13">
        <f>BH396+BG397</f>
        <v>7788418.060488384</v>
      </c>
      <c r="BI397">
        <f>IF(BH397=MAX($BH$83:$BH$483),$A397,0)</f>
        <v>0</v>
      </c>
      <c r="BJ397">
        <f>IF(BE397&lt;BF397,$A397,B_MAX+1)</f>
        <v>314</v>
      </c>
      <c r="BK397" s="13">
        <f>IF(BB397=1,$BB$35,$BB$36)</f>
        <v>0</v>
      </c>
      <c r="BL397" s="13">
        <f>OCC_DAYS*$BB$41*R_NF_2023-BD397*MCD_SHARE_FREED*R_WAIT_2023</f>
        <v>151980.48282209205</v>
      </c>
      <c r="BM397">
        <f>IF($A397&lt;=$BB$45,1,0)</f>
        <v>0</v>
      </c>
      <c r="CB397">
        <f>IF($CB$31&lt;=$CB$32,IF($A397&lt;=$CB$7,1,2),IF($A397&lt;=RUNG_BEDS_2,2,1))</f>
        <v>2</v>
      </c>
      <c r="CC397" s="5">
        <f>MIN(1,MAX(0,$CB$26-($A397-1)))</f>
        <v>0</v>
      </c>
      <c r="CD397" s="5">
        <f>$CB$25*(CC397+(1-CC397)*$CB$16)</f>
        <v>0.0</v>
      </c>
      <c r="CE397" s="13">
        <f>CD397*($CB$6+ACUTE_MARGIN)</f>
        <v>0.0</v>
      </c>
      <c r="CF397" s="13">
        <f>IF(CB397=1,$CB$31,$CB$32)</f>
        <v>160718.36940738867</v>
      </c>
      <c r="CG397" s="13">
        <f>CE397-CF397</f>
        <v>-160718.36940738867</v>
      </c>
      <c r="CH397" s="13">
        <f>CH396+CG397</f>
        <v>-12236597.36564783</v>
      </c>
      <c r="CI397">
        <f>IF(CH397=MAX($CH$83:$CH$483),$A397,0)</f>
        <v>0</v>
      </c>
      <c r="CJ397">
        <f>IF(CE397&lt;CF397,$A397,B_MAX+1)</f>
        <v>314</v>
      </c>
      <c r="CK397" s="13">
        <f>IF(CB397=1,$CB$35,$CB$36)</f>
        <v>1560.1194073886782</v>
      </c>
      <c r="CL397" s="13">
        <f>OCC_DAYS*$CB$41*R_NF_2023-CD397*MCD_SHARE_FREED*R_WAIT_2023</f>
        <v>151980.48282209205</v>
      </c>
      <c r="CM397">
        <f>IF($A397&lt;=$CB$45,1,0)</f>
        <v>0</v>
      </c>
      <c r="DB397">
        <f>IF($DB$31&lt;=$DB$32,IF($A397&lt;=$DB$7,1,2),IF($A397&lt;=RUNG_BEDS_2,2,1))</f>
        <v>1</v>
      </c>
      <c r="DC397" s="5">
        <f>MIN(1,MAX(0,$DB$26-($A397-1)))</f>
        <v>0</v>
      </c>
      <c r="DD397" s="5">
        <f>$DB$25*(DC397+(1-DC397)*$DB$16)</f>
        <v>0.0</v>
      </c>
      <c r="DE397" s="13">
        <f>DD397*($DB$6+ACUTE_MARGIN)</f>
        <v>0.0</v>
      </c>
      <c r="DF397" s="13">
        <f>IF(DB397=1,$DB$31,$DB$32)</f>
        <v>152394.16214437486</v>
      </c>
      <c r="DG397" s="13">
        <f>DE397-DF397</f>
        <v>-152394.16214437486</v>
      </c>
      <c r="DH397" s="13">
        <f>DH396+DG397</f>
        <v>-9622796.28506137</v>
      </c>
      <c r="DI397">
        <f>IF(DH397=MAX($DH$83:$DH$483),$A397,0)</f>
        <v>0</v>
      </c>
      <c r="DJ397">
        <f>IF(DE397&lt;DF397,$A397,B_MAX+1)</f>
        <v>314</v>
      </c>
      <c r="DK397" s="13">
        <f>IF(DB397=1,$DB$35,$DB$36)</f>
        <v>0</v>
      </c>
      <c r="DL397" s="13">
        <f>OCC_DAYS*$DB$41*R_NF_2023-DD397*MCD_SHARE_FREED*R_WAIT_2023</f>
        <v>151980.48282209205</v>
      </c>
      <c r="DM397">
        <f>IF($A397&lt;=$DB$45,1,0)</f>
        <v>0</v>
      </c>
      <c r="EB397">
        <f>IF($EB$31&lt;=$EB$32,IF($A397&lt;=$EB$7,1,2),IF($A397&lt;=RUNG_BEDS_2,2,1))</f>
        <v>1</v>
      </c>
      <c r="EC397" s="5">
        <f>MIN(1,MAX(0,$EB$26-($A397-1)))</f>
        <v>0</v>
      </c>
      <c r="ED397" s="5">
        <f>$EB$25*(EC397+(1-EC397)*$EB$16)</f>
        <v>0.0</v>
      </c>
      <c r="EE397" s="13">
        <f>ED397*($EB$6+ACUTE_MARGIN)</f>
        <v>0.0</v>
      </c>
      <c r="EF397" s="13">
        <f>IF(EB397=1,$EB$31,$EB$32)</f>
        <v>152394.16214437486</v>
      </c>
      <c r="EG397" s="13">
        <f>EE397-EF397</f>
        <v>-152394.16214437486</v>
      </c>
      <c r="EH397" s="13">
        <f>EH396+EG397</f>
        <v>-9622796.28506137</v>
      </c>
      <c r="EI397">
        <f>IF(EH397=MAX($EH$83:$EH$483),$A397,0)</f>
        <v>0</v>
      </c>
      <c r="EJ397">
        <f>IF(EE397&lt;EF397,$A397,B_MAX+1)</f>
        <v>314</v>
      </c>
      <c r="EK397" s="13">
        <f>IF(EB397=1,$EB$35,$EB$36)</f>
        <v>0</v>
      </c>
      <c r="EL397" s="13">
        <f>OCC_DAYS*$EB$41*R_NF_2023-ED397*MCD_SHARE_FREED*R_WAIT_2023</f>
        <v>50660.16094069735</v>
      </c>
      <c r="EM397">
        <f>IF($A397&lt;=$EB$45,1,0)</f>
        <v>0</v>
      </c>
      <c r="FB397">
        <f>IF($FB$31&lt;=$FB$32,IF($A397&lt;=$FB$7,1,2),IF($A397&lt;=RUNG_BEDS_2,2,1))</f>
        <v>1</v>
      </c>
      <c r="FC397" s="5">
        <f>MIN(1,MAX(0,$FB$26-($A397-1)))</f>
        <v>0</v>
      </c>
      <c r="FD397" s="5">
        <f>$FB$25*(FC397+(1-FC397)*$FB$16)</f>
        <v>0.0</v>
      </c>
      <c r="FE397" s="13">
        <f>FD397*($FB$6+ACUTE_MARGIN)</f>
        <v>0.0</v>
      </c>
      <c r="FF397" s="13">
        <f>IF(FB397=1,$FB$31,$FB$32)</f>
        <v>156636.04979437485</v>
      </c>
      <c r="FG397" s="13">
        <f>FE397-FF397</f>
        <v>-156636.04979437485</v>
      </c>
      <c r="FH397" s="13">
        <f>FH396+FG397</f>
        <v>-10954749.007161476</v>
      </c>
      <c r="FI397">
        <f>IF(FH397=MAX($FH$83:$FH$483),$A397,0)</f>
        <v>0</v>
      </c>
      <c r="FJ397">
        <f>IF(FE397&lt;FF397,$A397,B_MAX+1)</f>
        <v>314</v>
      </c>
      <c r="FK397" s="13">
        <f>IF(FB397=1,$FB$35,$FB$36)</f>
        <v>0</v>
      </c>
      <c r="FL397" s="13">
        <f>OCC_DAYS*$FB$41*R_NF_2023-FD397*MCD_SHARE_FREED*R_WAIT_2023</f>
        <v>151980.48282209205</v>
      </c>
      <c r="FM397">
        <f>IF($A397&lt;=$FB$45,1,0)</f>
        <v>0</v>
      </c>
      <c r="GB397">
        <f>IF($GB$31&lt;=$GB$32,IF($A397&lt;=$GB$7,1,2),IF($A397&lt;=RUNG_BEDS_2,2,1))</f>
        <v>1</v>
      </c>
      <c r="GC397" s="5">
        <f>MIN(1,MAX(0,$GB$26-($A397-1)))</f>
        <v>0</v>
      </c>
      <c r="GD397" s="5">
        <f>$GB$25*(GC397+(1-GC397)*$GB$16)</f>
        <v>0.0</v>
      </c>
      <c r="GE397" s="13">
        <f>GD397*($GB$6+ACUTE_MARGIN)</f>
        <v>0.0</v>
      </c>
      <c r="GF397" s="13">
        <f>IF(GB397=1,$GB$31,$GB$32)</f>
        <v>152394.16214437486</v>
      </c>
      <c r="GG397" s="13">
        <f>GE397-GF397</f>
        <v>-152394.16214437486</v>
      </c>
      <c r="GH397" s="13">
        <f>GH396+GG397</f>
        <v>-9622796.28506137</v>
      </c>
      <c r="GI397">
        <f>IF(GH397=MAX($GH$83:$GH$483),$A397,0)</f>
        <v>0</v>
      </c>
      <c r="GJ397">
        <f>IF(GE397&lt;GF397,$A397,B_MAX+1)</f>
        <v>314</v>
      </c>
      <c r="GK397" s="13">
        <f>IF(GB397=1,$GB$35,$GB$36)</f>
        <v>0</v>
      </c>
      <c r="GL397" s="13">
        <f>OCC_DAYS*$GB$41*R_NF_2023-GD397*MCD_SHARE_FREED*R_WAIT_2023</f>
        <v>151980.48282209205</v>
      </c>
      <c r="GM397">
        <f>IF($A397&lt;=$GB$45,1,0)</f>
        <v>0</v>
      </c>
      <c r="HB397">
        <f>IF($HB$31&lt;=$HB$32,IF($A397&lt;=$HB$7,1,2),IF($A397&lt;=RUNG_BEDS_2,2,1))</f>
        <v>1</v>
      </c>
      <c r="HC397" s="5">
        <f>MIN(1,MAX(0,$HB$26-($A397-1)))</f>
        <v>0</v>
      </c>
      <c r="HD397" s="5">
        <f>$HB$25*(HC397+(1-HC397)*$HB$16)</f>
        <v>0.0</v>
      </c>
      <c r="HE397" s="13">
        <f>HD397*($HB$6+ACUTE_MARGIN)</f>
        <v>0.0</v>
      </c>
      <c r="HF397" s="13">
        <f>IF(HB397=1,$HB$31,$HB$32)</f>
        <v>152456.2970814058</v>
      </c>
      <c r="HG397" s="13">
        <f>HE397-HF397</f>
        <v>-152456.2970814058</v>
      </c>
      <c r="HH397" s="13">
        <f>HH396+HG397</f>
        <v>-9642306.655289132</v>
      </c>
      <c r="HI397">
        <f>IF(HH397=MAX($HH$83:$HH$483),$A397,0)</f>
        <v>0</v>
      </c>
      <c r="HJ397">
        <f>IF(HE397&lt;HF397,$A397,B_MAX+1)</f>
        <v>314</v>
      </c>
      <c r="HK397" s="13">
        <f>IF(HB397=1,$HB$35,$HB$36)</f>
        <v>0</v>
      </c>
      <c r="HL397" s="13">
        <f>OCC_DAYS*$HB$41*R_NF_2023-HD397*MCD_SHARE_FREED*R_WAIT_2023</f>
        <v>151980.48282209205</v>
      </c>
      <c r="HM397">
        <f>IF($A397&lt;=$HB$45,1,0)</f>
        <v>0</v>
      </c>
      <c r="IB397">
        <f>IF($IB$31&lt;=$IB$32,IF($A397&lt;=$IB$7,1,2),IF($A397&lt;=RUNG_BEDS_2,2,1))</f>
        <v>1</v>
      </c>
      <c r="IC397" s="5">
        <f>MIN(1,MAX(0,$IB$26-($A397-1)))</f>
        <v>0</v>
      </c>
      <c r="ID397" s="5">
        <f>$IB$25*(IC397+(1-IC397)*$IB$16)</f>
        <v>0.0</v>
      </c>
      <c r="IE397" s="13">
        <f>ID397*($IB$6+ACUTE_MARGIN)</f>
        <v>0.0</v>
      </c>
      <c r="IF397" s="13">
        <f>IF(IB397=1,$IB$31,$IB$32)</f>
        <v>152734.9994534971</v>
      </c>
      <c r="IG397" s="13">
        <f>IE397-IF397</f>
        <v>-152734.9994534971</v>
      </c>
      <c r="IH397" s="13">
        <f>IH396+IG397</f>
        <v>-9729819.20012584</v>
      </c>
      <c r="II397">
        <f>IF(IH397=MAX($IH$83:$IH$483),$A397,0)</f>
        <v>0</v>
      </c>
      <c r="IJ397">
        <f>IF(IE397&lt;IF397,$A397,B_MAX+1)</f>
        <v>314</v>
      </c>
      <c r="IK397" s="13">
        <f>IF(IB397=1,$IB$35,$IB$36)</f>
        <v>0</v>
      </c>
      <c r="IL397" s="13">
        <f>OCC_DAYS*$IB$41*R_NF_2023-ID397*MCD_SHARE_FREED*R_WAIT_2023</f>
        <v>151980.48282209205</v>
      </c>
      <c r="IM397">
        <f>IF($A397&lt;=$IB$45,1,0)</f>
        <v>0</v>
      </c>
      <c r="JB397">
        <f>IF($JB$31&lt;=$JB$32,IF($A397&lt;=$JB$7,1,2),IF($A397&lt;=RUNG_BEDS_2,2,1))</f>
        <v>1</v>
      </c>
      <c r="JC397" s="5">
        <f>MIN(1,MAX(0,$JB$26-($A397-1)))</f>
        <v>0</v>
      </c>
      <c r="JD397" s="5">
        <f>$JB$25*(JC397+(1-JC397)*$JB$16)</f>
        <v>0.0</v>
      </c>
      <c r="JE397" s="13">
        <f>JD397*($JB$6+ACUTE_MARGIN)</f>
        <v>0.0</v>
      </c>
      <c r="JF397" s="13">
        <f>IF(JB397=1,$JB$31,$JB$32)</f>
        <v>152394.16214437486</v>
      </c>
      <c r="JG397" s="13">
        <f>JE397-JF397</f>
        <v>-152394.16214437486</v>
      </c>
      <c r="JH397" s="13">
        <f>JH396+JG397</f>
        <v>-9622796.28506137</v>
      </c>
      <c r="JI397">
        <f>IF(JH397=MAX($JH$83:$JH$483),$A397,0)</f>
        <v>0</v>
      </c>
      <c r="JJ397">
        <f>IF(JE397&lt;JF397,$A397,B_MAX+1)</f>
        <v>314</v>
      </c>
      <c r="JK397" s="13">
        <f>IF(JB397=1,$JB$35,$JB$36)</f>
        <v>0</v>
      </c>
      <c r="JL397" s="13">
        <f>OCC_DAYS*$JB$41*R_NF_2023-JD397*MCD_SHARE_FREED*R_WAIT_2023</f>
        <v>151980.48282209205</v>
      </c>
      <c r="JM397">
        <f>IF($A397&lt;=$JB$45,1,0)</f>
        <v>0</v>
      </c>
      <c r="KB397">
        <f>IF($KB$31&lt;=$KB$32,IF($A397&lt;=$KB$7,1,2),IF($A397&lt;=RUNG_BEDS_2,2,1))</f>
        <v>1</v>
      </c>
      <c r="KC397" s="5">
        <f>MIN(1,MAX(0,$KB$26-($A397-1)))</f>
        <v>0</v>
      </c>
      <c r="KD397" s="5">
        <f>$KB$25*(KC397+(1-KC397)*$KB$16)</f>
        <v>0.0</v>
      </c>
      <c r="KE397" s="13">
        <f>KD397*($KB$6+ACUTE_MARGIN)</f>
        <v>0.0</v>
      </c>
      <c r="KF397" s="13">
        <f>IF(KB397=1,$KB$31,$KB$32)</f>
        <v>152394.16214437486</v>
      </c>
      <c r="KG397" s="13">
        <f>KE397-KF397</f>
        <v>-152394.16214437486</v>
      </c>
      <c r="KH397" s="13">
        <f>KH396+KG397</f>
        <v>-9622796.285061477</v>
      </c>
      <c r="KI397">
        <f>IF(KH397=MAX($KH$83:$KH$483),$A397,0)</f>
        <v>0</v>
      </c>
      <c r="KJ397">
        <f>IF(KE397&lt;KF397,$A397,B_MAX+1)</f>
        <v>314</v>
      </c>
      <c r="KK397" s="13">
        <f>IF(KB397=1,$KB$35,$KB$36)</f>
        <v>0</v>
      </c>
      <c r="KL397" s="13">
        <f>OCC_DAYS*$KB$41*R_NF_2023-KD397*MCD_SHARE_FREED*R_WAIT_2023</f>
        <v>151980.48282209205</v>
      </c>
      <c r="KM397">
        <f>IF($A397&lt;=$KB$45,1,0)</f>
        <v>0</v>
      </c>
      <c r="LB397">
        <f>IF($LB$31&lt;=$LB$32,IF($A397&lt;=$LB$7,1,2),IF($A397&lt;=RUNG_BEDS_2,2,1))</f>
        <v>1</v>
      </c>
      <c r="LC397" s="5">
        <f>MIN(1,MAX(0,$LB$26-($A397-1)))</f>
        <v>1</v>
      </c>
      <c r="LD397" s="5">
        <f>$LB$25*(LC397+(1-LC397)*$LB$16)</f>
        <v>84.01774238227146</v>
      </c>
      <c r="LE397" s="13">
        <f>LD397*($LB$6+ACUTE_MARGIN)</f>
        <v>84857.91980609419</v>
      </c>
      <c r="LF397" s="13">
        <f>IF(LB397=1,$LB$31,$LB$32)</f>
        <v>152394.16214437486</v>
      </c>
      <c r="LG397" s="13">
        <f>LE397-LF397</f>
        <v>-67536.24233828067</v>
      </c>
      <c r="LH397" s="13">
        <f>LH396+LG397</f>
        <v>-21206380.094220243</v>
      </c>
      <c r="LI397">
        <f>IF(LH397=MAX($LH$83:$LH$483),$A397,0)</f>
        <v>0</v>
      </c>
      <c r="LJ397">
        <f>IF(LE397&lt;LF397,$A397,B_MAX+1)</f>
        <v>314</v>
      </c>
      <c r="LK397" s="13">
        <f>IF(LB397=1,$LB$35,$LB$36)</f>
        <v>0</v>
      </c>
      <c r="LL397" s="13">
        <f>OCC_DAYS*$LB$41*R_NF_2023-LD397*MCD_SHARE_FREED*R_WAIT_2023</f>
        <v>113776.04162887059</v>
      </c>
      <c r="LM397">
        <f>IF($A397&lt;=$LB$45,1,0)</f>
        <v>0</v>
      </c>
      <c r="MB397">
        <f>IF($MB$31&lt;=$MB$32,IF($A397&lt;=$MB$7,1,2),IF($A397&lt;=RUNG_BEDS_2,2,1))</f>
        <v>1</v>
      </c>
      <c r="MC397" s="5">
        <f>MIN(1,MAX(0,$MB$26-($A397-1)))</f>
        <v>0</v>
      </c>
      <c r="MD397" s="5">
        <f>$MB$25*(MC397+(1-MC397)*$MB$16)</f>
        <v>0.0</v>
      </c>
      <c r="ME397" s="13">
        <f>MD397*($MB$6+ACUTE_MARGIN)</f>
        <v>0.0</v>
      </c>
      <c r="MF397" s="13">
        <f>IF(MB397=1,$MB$31,$MB$32)</f>
        <v>152394.16214437486</v>
      </c>
      <c r="MG397" s="13">
        <f>ME397-MF397</f>
        <v>-152394.16214437486</v>
      </c>
      <c r="MH397" s="13">
        <f>MH396+MG397</f>
        <v>-15510072.346859671</v>
      </c>
      <c r="MI397">
        <f>IF(MH397=MAX($MH$83:$MH$483),$A397,0)</f>
        <v>0</v>
      </c>
      <c r="MJ397">
        <f>IF(ME397&lt;MF397,$A397,B_MAX+1)</f>
        <v>314</v>
      </c>
      <c r="MK397" s="13">
        <f>IF(MB397=1,$MB$35,$MB$36)</f>
        <v>0</v>
      </c>
      <c r="ML397" s="13">
        <f>OCC_DAYS*$MB$41*R_NF_2023-MD397*MCD_SHARE_FREED*R_WAIT_2023</f>
        <v>151980.48282209205</v>
      </c>
      <c r="MM397">
        <f>IF($A397&lt;=$MB$45,1,0)</f>
        <v>0</v>
      </c>
      <c r="NB397">
        <f>IF($NB$31&lt;=$NB$32,IF($A397&lt;=$NB$7,1,2),IF($A397&lt;=RUNG_BEDS_2,2,1))</f>
        <v>1</v>
      </c>
      <c r="NC397" s="5">
        <f>MIN(1,MAX(0,$NB$26-($A397-1)))</f>
        <v>0</v>
      </c>
      <c r="ND397" s="5">
        <f>$NB$25*(NC397+(1-NC397)*$NB$16)</f>
        <v>63.013306786703595</v>
      </c>
      <c r="NE397" s="13">
        <f>ND397*($NB$6+ACUTE_MARGIN)</f>
        <v>63643.43985457063</v>
      </c>
      <c r="NF397" s="13">
        <f>IF(NB397=1,$NB$31,$NB$32)</f>
        <v>152394.16214437486</v>
      </c>
      <c r="NG397" s="13">
        <f>NE397-NF397</f>
        <v>-88750.72228980422</v>
      </c>
      <c r="NH397" s="13">
        <f>NH396+NG397</f>
        <v>804001.1722056972</v>
      </c>
      <c r="NI397">
        <f>IF(NH397=MAX($NH$83:$NH$483),$A397,0)</f>
        <v>0</v>
      </c>
      <c r="NJ397">
        <f>IF(NE397&lt;NF397,$A397,B_MAX+1)</f>
        <v>314</v>
      </c>
      <c r="NK397" s="13">
        <f>IF(NB397=1,$NB$35,$NB$36)</f>
        <v>0</v>
      </c>
      <c r="NL397" s="13">
        <f>OCC_DAYS*$NB$41*R_NF_2023-ND397*MCD_SHARE_FREED*R_WAIT_2023</f>
        <v>123327.15192717595</v>
      </c>
      <c r="NM397">
        <f>IF($A397&lt;=$NB$45,1,0)</f>
        <v>0</v>
      </c>
      <c r="OB397">
        <f>IF($OB$31&lt;=$OB$32,IF($A397&lt;=$OB$7,1,2),IF($A397&lt;=RUNG_BEDS_2,2,1))</f>
        <v>1</v>
      </c>
      <c r="OC397" s="5">
        <f>MIN(1,MAX(0,$OB$26-($A397-1)))</f>
        <v>0</v>
      </c>
      <c r="OD397" s="5">
        <f>$OB$25*(OC397+(1-OC397)*$OB$16)</f>
        <v>126.02661357340719</v>
      </c>
      <c r="OE397" s="13">
        <f>OD397*($OB$6+ACUTE_MARGIN)</f>
        <v>127286.87970914126</v>
      </c>
      <c r="OF397" s="13">
        <f>IF(OB397=1,$OB$31,$OB$32)</f>
        <v>152394.16214437486</v>
      </c>
      <c r="OG397" s="13">
        <f>OE397-OF397</f>
        <v>-25107.282435233603</v>
      </c>
      <c r="OH397" s="13">
        <f>OH396+OG397</f>
        <v>11230798.629472967</v>
      </c>
      <c r="OI397">
        <f>IF(OH397=MAX($OH$83:$OH$483),$A397,0)</f>
        <v>0</v>
      </c>
      <c r="OJ397">
        <f>IF(OE397&lt;OF397,$A397,B_MAX+1)</f>
        <v>314</v>
      </c>
      <c r="OK397" s="13">
        <f>IF(OB397=1,$OB$35,$OB$36)</f>
        <v>0</v>
      </c>
      <c r="OL397" s="13">
        <f>OCC_DAYS*$OB$41*R_NF_2023-OD397*MCD_SHARE_FREED*R_WAIT_2023</f>
        <v>94673.82103225985</v>
      </c>
      <c r="OM397">
        <f>IF($A397&lt;=$OB$45,1,0)</f>
        <v>0</v>
      </c>
    </row>
    <row r="398">
      <c r="A398" t="n">
        <v>315</v>
      </c>
      <c r="B398">
        <f>IF($B$31&lt;=$B$32,IF($A398&lt;=$B$7,1,2),IF($A398&lt;=RUNG_BEDS_2,2,1))</f>
        <v>1</v>
      </c>
      <c r="C398" s="5">
        <f>MIN(1,MAX(0,$B$26-($A398-1)))</f>
        <v>0</v>
      </c>
      <c r="D398" s="5">
        <f>$B$25*(C398+(1-C398)*$B$16)</f>
        <v>0.0</v>
      </c>
      <c r="E398" s="13">
        <f>D398*($B$6+ACUTE_MARGIN)</f>
        <v>0.0</v>
      </c>
      <c r="F398" s="13">
        <f>IF(B398=1,$B$31,$B$32)</f>
        <v>152394.16214437486</v>
      </c>
      <c r="G398" s="13">
        <f>E398-F398</f>
        <v>-152394.16214437486</v>
      </c>
      <c r="H398" s="13">
        <f>H397+G398</f>
        <v>-9775190.447205745</v>
      </c>
      <c r="I398">
        <f>IF(H398=MAX($H$83:$H$483),$A398,0)</f>
        <v>0</v>
      </c>
      <c r="J398">
        <f>IF(E398&lt;F398,$A398,B_MAX+1)</f>
        <v>315</v>
      </c>
      <c r="K398" s="13">
        <f>IF(B398=1,$B$35,$B$36)</f>
        <v>0</v>
      </c>
      <c r="L398" s="13">
        <f>OCC_DAYS*$B$41*R_NF_2023-D398*MCD_SHARE_FREED*R_WAIT_2023</f>
        <v>151980.48282209205</v>
      </c>
      <c r="M398">
        <f>IF($A398&lt;=$B$45,1,0)</f>
        <v>0</v>
      </c>
      <c r="AB398">
        <f>IF($AB$31&lt;=$AB$32,IF($A398&lt;=$AB$7,1,2),IF($A398&lt;=RUNG_BEDS_2,2,1))</f>
        <v>1</v>
      </c>
      <c r="AC398" s="5">
        <f>MIN(1,MAX(0,$AB$26-($A398-1)))</f>
        <v>0</v>
      </c>
      <c r="AD398" s="5">
        <f>$AB$25*(AC398+(1-AC398)*$AB$16)</f>
        <v>0.0</v>
      </c>
      <c r="AE398" s="13">
        <f>AD398*($AB$6+ACUTE_MARGIN)</f>
        <v>0.0</v>
      </c>
      <c r="AF398" s="13">
        <f>IF(AB398=1,$AB$31,$AB$32)</f>
        <v>152394.16214437486</v>
      </c>
      <c r="AG398" s="13">
        <f>AE398-AF398</f>
        <v>-152394.16214437486</v>
      </c>
      <c r="AH398" s="13">
        <f>AH397+AG398</f>
        <v>-27186404.79275548</v>
      </c>
      <c r="AI398">
        <f>IF(AH398=MAX($AH$83:$AH$483),$A398,0)</f>
        <v>0</v>
      </c>
      <c r="AJ398">
        <f>IF(AE398&lt;AF398,$A398,B_MAX+1)</f>
        <v>315</v>
      </c>
      <c r="AK398" s="13">
        <f>IF(AB398=1,$AB$35,$AB$36)</f>
        <v>0</v>
      </c>
      <c r="AL398" s="13">
        <f>OCC_DAYS*$AB$41*R_NF_2023-AD398*MCD_SHARE_FREED*R_WAIT_2023</f>
        <v>151980.48282209205</v>
      </c>
      <c r="AM398">
        <f>IF($A398&lt;=$AB$45,1,0)</f>
        <v>0</v>
      </c>
      <c r="BB398">
        <f>IF($BB$31&lt;=$BB$32,IF($A398&lt;=$BB$7,1,2),IF($A398&lt;=RUNG_BEDS_2,2,1))</f>
        <v>1</v>
      </c>
      <c r="BC398" s="5">
        <f>MIN(1,MAX(0,$BB$26-($A398-1)))</f>
        <v>0</v>
      </c>
      <c r="BD398" s="5">
        <f>$BB$25*(BC398+(1-BC398)*$BB$16)</f>
        <v>0.0</v>
      </c>
      <c r="BE398" s="13">
        <f>BD398*($BB$6+ACUTE_MARGIN)</f>
        <v>0.0</v>
      </c>
      <c r="BF398" s="13">
        <f>IF(BB398=1,$BB$31,$BB$32)</f>
        <v>152394.16214437486</v>
      </c>
      <c r="BG398" s="13">
        <f>BE398-BF398</f>
        <v>-152394.16214437486</v>
      </c>
      <c r="BH398" s="13">
        <f>BH397+BG398</f>
        <v>7636023.898344009</v>
      </c>
      <c r="BI398">
        <f>IF(BH398=MAX($BH$83:$BH$483),$A398,0)</f>
        <v>0</v>
      </c>
      <c r="BJ398">
        <f>IF(BE398&lt;BF398,$A398,B_MAX+1)</f>
        <v>315</v>
      </c>
      <c r="BK398" s="13">
        <f>IF(BB398=1,$BB$35,$BB$36)</f>
        <v>0</v>
      </c>
      <c r="BL398" s="13">
        <f>OCC_DAYS*$BB$41*R_NF_2023-BD398*MCD_SHARE_FREED*R_WAIT_2023</f>
        <v>151980.48282209205</v>
      </c>
      <c r="BM398">
        <f>IF($A398&lt;=$BB$45,1,0)</f>
        <v>0</v>
      </c>
      <c r="CB398">
        <f>IF($CB$31&lt;=$CB$32,IF($A398&lt;=$CB$7,1,2),IF($A398&lt;=RUNG_BEDS_2,2,1))</f>
        <v>2</v>
      </c>
      <c r="CC398" s="5">
        <f>MIN(1,MAX(0,$CB$26-($A398-1)))</f>
        <v>0</v>
      </c>
      <c r="CD398" s="5">
        <f>$CB$25*(CC398+(1-CC398)*$CB$16)</f>
        <v>0.0</v>
      </c>
      <c r="CE398" s="13">
        <f>CD398*($CB$6+ACUTE_MARGIN)</f>
        <v>0.0</v>
      </c>
      <c r="CF398" s="13">
        <f>IF(CB398=1,$CB$31,$CB$32)</f>
        <v>160718.36940738867</v>
      </c>
      <c r="CG398" s="13">
        <f>CE398-CF398</f>
        <v>-160718.36940738867</v>
      </c>
      <c r="CH398" s="13">
        <f>CH397+CG398</f>
        <v>-12397315.73505522</v>
      </c>
      <c r="CI398">
        <f>IF(CH398=MAX($CH$83:$CH$483),$A398,0)</f>
        <v>0</v>
      </c>
      <c r="CJ398">
        <f>IF(CE398&lt;CF398,$A398,B_MAX+1)</f>
        <v>315</v>
      </c>
      <c r="CK398" s="13">
        <f>IF(CB398=1,$CB$35,$CB$36)</f>
        <v>1560.1194073886782</v>
      </c>
      <c r="CL398" s="13">
        <f>OCC_DAYS*$CB$41*R_NF_2023-CD398*MCD_SHARE_FREED*R_WAIT_2023</f>
        <v>151980.48282209205</v>
      </c>
      <c r="CM398">
        <f>IF($A398&lt;=$CB$45,1,0)</f>
        <v>0</v>
      </c>
      <c r="DB398">
        <f>IF($DB$31&lt;=$DB$32,IF($A398&lt;=$DB$7,1,2),IF($A398&lt;=RUNG_BEDS_2,2,1))</f>
        <v>1</v>
      </c>
      <c r="DC398" s="5">
        <f>MIN(1,MAX(0,$DB$26-($A398-1)))</f>
        <v>0</v>
      </c>
      <c r="DD398" s="5">
        <f>$DB$25*(DC398+(1-DC398)*$DB$16)</f>
        <v>0.0</v>
      </c>
      <c r="DE398" s="13">
        <f>DD398*($DB$6+ACUTE_MARGIN)</f>
        <v>0.0</v>
      </c>
      <c r="DF398" s="13">
        <f>IF(DB398=1,$DB$31,$DB$32)</f>
        <v>152394.16214437486</v>
      </c>
      <c r="DG398" s="13">
        <f>DE398-DF398</f>
        <v>-152394.16214437486</v>
      </c>
      <c r="DH398" s="13">
        <f>DH397+DG398</f>
        <v>-9775190.447205745</v>
      </c>
      <c r="DI398">
        <f>IF(DH398=MAX($DH$83:$DH$483),$A398,0)</f>
        <v>0</v>
      </c>
      <c r="DJ398">
        <f>IF(DE398&lt;DF398,$A398,B_MAX+1)</f>
        <v>315</v>
      </c>
      <c r="DK398" s="13">
        <f>IF(DB398=1,$DB$35,$DB$36)</f>
        <v>0</v>
      </c>
      <c r="DL398" s="13">
        <f>OCC_DAYS*$DB$41*R_NF_2023-DD398*MCD_SHARE_FREED*R_WAIT_2023</f>
        <v>151980.48282209205</v>
      </c>
      <c r="DM398">
        <f>IF($A398&lt;=$DB$45,1,0)</f>
        <v>0</v>
      </c>
      <c r="EB398">
        <f>IF($EB$31&lt;=$EB$32,IF($A398&lt;=$EB$7,1,2),IF($A398&lt;=RUNG_BEDS_2,2,1))</f>
        <v>1</v>
      </c>
      <c r="EC398" s="5">
        <f>MIN(1,MAX(0,$EB$26-($A398-1)))</f>
        <v>0</v>
      </c>
      <c r="ED398" s="5">
        <f>$EB$25*(EC398+(1-EC398)*$EB$16)</f>
        <v>0.0</v>
      </c>
      <c r="EE398" s="13">
        <f>ED398*($EB$6+ACUTE_MARGIN)</f>
        <v>0.0</v>
      </c>
      <c r="EF398" s="13">
        <f>IF(EB398=1,$EB$31,$EB$32)</f>
        <v>152394.16214437486</v>
      </c>
      <c r="EG398" s="13">
        <f>EE398-EF398</f>
        <v>-152394.16214437486</v>
      </c>
      <c r="EH398" s="13">
        <f>EH397+EG398</f>
        <v>-9775190.447205745</v>
      </c>
      <c r="EI398">
        <f>IF(EH398=MAX($EH$83:$EH$483),$A398,0)</f>
        <v>0</v>
      </c>
      <c r="EJ398">
        <f>IF(EE398&lt;EF398,$A398,B_MAX+1)</f>
        <v>315</v>
      </c>
      <c r="EK398" s="13">
        <f>IF(EB398=1,$EB$35,$EB$36)</f>
        <v>0</v>
      </c>
      <c r="EL398" s="13">
        <f>OCC_DAYS*$EB$41*R_NF_2023-ED398*MCD_SHARE_FREED*R_WAIT_2023</f>
        <v>50660.16094069735</v>
      </c>
      <c r="EM398">
        <f>IF($A398&lt;=$EB$45,1,0)</f>
        <v>0</v>
      </c>
      <c r="FB398">
        <f>IF($FB$31&lt;=$FB$32,IF($A398&lt;=$FB$7,1,2),IF($A398&lt;=RUNG_BEDS_2,2,1))</f>
        <v>1</v>
      </c>
      <c r="FC398" s="5">
        <f>MIN(1,MAX(0,$FB$26-($A398-1)))</f>
        <v>0</v>
      </c>
      <c r="FD398" s="5">
        <f>$FB$25*(FC398+(1-FC398)*$FB$16)</f>
        <v>0.0</v>
      </c>
      <c r="FE398" s="13">
        <f>FD398*($FB$6+ACUTE_MARGIN)</f>
        <v>0.0</v>
      </c>
      <c r="FF398" s="13">
        <f>IF(FB398=1,$FB$31,$FB$32)</f>
        <v>156636.04979437485</v>
      </c>
      <c r="FG398" s="13">
        <f>FE398-FF398</f>
        <v>-156636.04979437485</v>
      </c>
      <c r="FH398" s="13">
        <f>FH397+FG398</f>
        <v>-11111385.05695585</v>
      </c>
      <c r="FI398">
        <f>IF(FH398=MAX($FH$83:$FH$483),$A398,0)</f>
        <v>0</v>
      </c>
      <c r="FJ398">
        <f>IF(FE398&lt;FF398,$A398,B_MAX+1)</f>
        <v>315</v>
      </c>
      <c r="FK398" s="13">
        <f>IF(FB398=1,$FB$35,$FB$36)</f>
        <v>0</v>
      </c>
      <c r="FL398" s="13">
        <f>OCC_DAYS*$FB$41*R_NF_2023-FD398*MCD_SHARE_FREED*R_WAIT_2023</f>
        <v>151980.48282209205</v>
      </c>
      <c r="FM398">
        <f>IF($A398&lt;=$FB$45,1,0)</f>
        <v>0</v>
      </c>
      <c r="GB398">
        <f>IF($GB$31&lt;=$GB$32,IF($A398&lt;=$GB$7,1,2),IF($A398&lt;=RUNG_BEDS_2,2,1))</f>
        <v>1</v>
      </c>
      <c r="GC398" s="5">
        <f>MIN(1,MAX(0,$GB$26-($A398-1)))</f>
        <v>0</v>
      </c>
      <c r="GD398" s="5">
        <f>$GB$25*(GC398+(1-GC398)*$GB$16)</f>
        <v>0.0</v>
      </c>
      <c r="GE398" s="13">
        <f>GD398*($GB$6+ACUTE_MARGIN)</f>
        <v>0.0</v>
      </c>
      <c r="GF398" s="13">
        <f>IF(GB398=1,$GB$31,$GB$32)</f>
        <v>152394.16214437486</v>
      </c>
      <c r="GG398" s="13">
        <f>GE398-GF398</f>
        <v>-152394.16214437486</v>
      </c>
      <c r="GH398" s="13">
        <f>GH397+GG398</f>
        <v>-9775190.447205745</v>
      </c>
      <c r="GI398">
        <f>IF(GH398=MAX($GH$83:$GH$483),$A398,0)</f>
        <v>0</v>
      </c>
      <c r="GJ398">
        <f>IF(GE398&lt;GF398,$A398,B_MAX+1)</f>
        <v>315</v>
      </c>
      <c r="GK398" s="13">
        <f>IF(GB398=1,$GB$35,$GB$36)</f>
        <v>0</v>
      </c>
      <c r="GL398" s="13">
        <f>OCC_DAYS*$GB$41*R_NF_2023-GD398*MCD_SHARE_FREED*R_WAIT_2023</f>
        <v>151980.48282209205</v>
      </c>
      <c r="GM398">
        <f>IF($A398&lt;=$GB$45,1,0)</f>
        <v>0</v>
      </c>
      <c r="HB398">
        <f>IF($HB$31&lt;=$HB$32,IF($A398&lt;=$HB$7,1,2),IF($A398&lt;=RUNG_BEDS_2,2,1))</f>
        <v>1</v>
      </c>
      <c r="HC398" s="5">
        <f>MIN(1,MAX(0,$HB$26-($A398-1)))</f>
        <v>0</v>
      </c>
      <c r="HD398" s="5">
        <f>$HB$25*(HC398+(1-HC398)*$HB$16)</f>
        <v>0.0</v>
      </c>
      <c r="HE398" s="13">
        <f>HD398*($HB$6+ACUTE_MARGIN)</f>
        <v>0.0</v>
      </c>
      <c r="HF398" s="13">
        <f>IF(HB398=1,$HB$31,$HB$32)</f>
        <v>152456.2970814058</v>
      </c>
      <c r="HG398" s="13">
        <f>HE398-HF398</f>
        <v>-152456.2970814058</v>
      </c>
      <c r="HH398" s="13">
        <f>HH397+HG398</f>
        <v>-9794762.952370537</v>
      </c>
      <c r="HI398">
        <f>IF(HH398=MAX($HH$83:$HH$483),$A398,0)</f>
        <v>0</v>
      </c>
      <c r="HJ398">
        <f>IF(HE398&lt;HF398,$A398,B_MAX+1)</f>
        <v>315</v>
      </c>
      <c r="HK398" s="13">
        <f>IF(HB398=1,$HB$35,$HB$36)</f>
        <v>0</v>
      </c>
      <c r="HL398" s="13">
        <f>OCC_DAYS*$HB$41*R_NF_2023-HD398*MCD_SHARE_FREED*R_WAIT_2023</f>
        <v>151980.48282209205</v>
      </c>
      <c r="HM398">
        <f>IF($A398&lt;=$HB$45,1,0)</f>
        <v>0</v>
      </c>
      <c r="IB398">
        <f>IF($IB$31&lt;=$IB$32,IF($A398&lt;=$IB$7,1,2),IF($A398&lt;=RUNG_BEDS_2,2,1))</f>
        <v>1</v>
      </c>
      <c r="IC398" s="5">
        <f>MIN(1,MAX(0,$IB$26-($A398-1)))</f>
        <v>0</v>
      </c>
      <c r="ID398" s="5">
        <f>$IB$25*(IC398+(1-IC398)*$IB$16)</f>
        <v>0.0</v>
      </c>
      <c r="IE398" s="13">
        <f>ID398*($IB$6+ACUTE_MARGIN)</f>
        <v>0.0</v>
      </c>
      <c r="IF398" s="13">
        <f>IF(IB398=1,$IB$31,$IB$32)</f>
        <v>152734.9994534971</v>
      </c>
      <c r="IG398" s="13">
        <f>IE398-IF398</f>
        <v>-152734.9994534971</v>
      </c>
      <c r="IH398" s="13">
        <f>IH397+IG398</f>
        <v>-9882554.199579336</v>
      </c>
      <c r="II398">
        <f>IF(IH398=MAX($IH$83:$IH$483),$A398,0)</f>
        <v>0</v>
      </c>
      <c r="IJ398">
        <f>IF(IE398&lt;IF398,$A398,B_MAX+1)</f>
        <v>315</v>
      </c>
      <c r="IK398" s="13">
        <f>IF(IB398=1,$IB$35,$IB$36)</f>
        <v>0</v>
      </c>
      <c r="IL398" s="13">
        <f>OCC_DAYS*$IB$41*R_NF_2023-ID398*MCD_SHARE_FREED*R_WAIT_2023</f>
        <v>151980.48282209205</v>
      </c>
      <c r="IM398">
        <f>IF($A398&lt;=$IB$45,1,0)</f>
        <v>0</v>
      </c>
      <c r="JB398">
        <f>IF($JB$31&lt;=$JB$32,IF($A398&lt;=$JB$7,1,2),IF($A398&lt;=RUNG_BEDS_2,2,1))</f>
        <v>1</v>
      </c>
      <c r="JC398" s="5">
        <f>MIN(1,MAX(0,$JB$26-($A398-1)))</f>
        <v>0</v>
      </c>
      <c r="JD398" s="5">
        <f>$JB$25*(JC398+(1-JC398)*$JB$16)</f>
        <v>0.0</v>
      </c>
      <c r="JE398" s="13">
        <f>JD398*($JB$6+ACUTE_MARGIN)</f>
        <v>0.0</v>
      </c>
      <c r="JF398" s="13">
        <f>IF(JB398=1,$JB$31,$JB$32)</f>
        <v>152394.16214437486</v>
      </c>
      <c r="JG398" s="13">
        <f>JE398-JF398</f>
        <v>-152394.16214437486</v>
      </c>
      <c r="JH398" s="13">
        <f>JH397+JG398</f>
        <v>-9775190.447205745</v>
      </c>
      <c r="JI398">
        <f>IF(JH398=MAX($JH$83:$JH$483),$A398,0)</f>
        <v>0</v>
      </c>
      <c r="JJ398">
        <f>IF(JE398&lt;JF398,$A398,B_MAX+1)</f>
        <v>315</v>
      </c>
      <c r="JK398" s="13">
        <f>IF(JB398=1,$JB$35,$JB$36)</f>
        <v>0</v>
      </c>
      <c r="JL398" s="13">
        <f>OCC_DAYS*$JB$41*R_NF_2023-JD398*MCD_SHARE_FREED*R_WAIT_2023</f>
        <v>151980.48282209205</v>
      </c>
      <c r="JM398">
        <f>IF($A398&lt;=$JB$45,1,0)</f>
        <v>0</v>
      </c>
      <c r="KB398">
        <f>IF($KB$31&lt;=$KB$32,IF($A398&lt;=$KB$7,1,2),IF($A398&lt;=RUNG_BEDS_2,2,1))</f>
        <v>1</v>
      </c>
      <c r="KC398" s="5">
        <f>MIN(1,MAX(0,$KB$26-($A398-1)))</f>
        <v>0</v>
      </c>
      <c r="KD398" s="5">
        <f>$KB$25*(KC398+(1-KC398)*$KB$16)</f>
        <v>0.0</v>
      </c>
      <c r="KE398" s="13">
        <f>KD398*($KB$6+ACUTE_MARGIN)</f>
        <v>0.0</v>
      </c>
      <c r="KF398" s="13">
        <f>IF(KB398=1,$KB$31,$KB$32)</f>
        <v>152394.16214437486</v>
      </c>
      <c r="KG398" s="13">
        <f>KE398-KF398</f>
        <v>-152394.16214437486</v>
      </c>
      <c r="KH398" s="13">
        <f>KH397+KG398</f>
        <v>-9775190.44720585</v>
      </c>
      <c r="KI398">
        <f>IF(KH398=MAX($KH$83:$KH$483),$A398,0)</f>
        <v>0</v>
      </c>
      <c r="KJ398">
        <f>IF(KE398&lt;KF398,$A398,B_MAX+1)</f>
        <v>315</v>
      </c>
      <c r="KK398" s="13">
        <f>IF(KB398=1,$KB$35,$KB$36)</f>
        <v>0</v>
      </c>
      <c r="KL398" s="13">
        <f>OCC_DAYS*$KB$41*R_NF_2023-KD398*MCD_SHARE_FREED*R_WAIT_2023</f>
        <v>151980.48282209205</v>
      </c>
      <c r="KM398">
        <f>IF($A398&lt;=$KB$45,1,0)</f>
        <v>0</v>
      </c>
      <c r="LB398">
        <f>IF($LB$31&lt;=$LB$32,IF($A398&lt;=$LB$7,1,2),IF($A398&lt;=RUNG_BEDS_2,2,1))</f>
        <v>1</v>
      </c>
      <c r="LC398" s="5">
        <f>MIN(1,MAX(0,$LB$26-($A398-1)))</f>
        <v>1</v>
      </c>
      <c r="LD398" s="5">
        <f>$LB$25*(LC398+(1-LC398)*$LB$16)</f>
        <v>84.01774238227146</v>
      </c>
      <c r="LE398" s="13">
        <f>LD398*($LB$6+ACUTE_MARGIN)</f>
        <v>84857.91980609419</v>
      </c>
      <c r="LF398" s="13">
        <f>IF(LB398=1,$LB$31,$LB$32)</f>
        <v>152394.16214437486</v>
      </c>
      <c r="LG398" s="13">
        <f>LE398-LF398</f>
        <v>-67536.24233828067</v>
      </c>
      <c r="LH398" s="13">
        <f>LH397+LG398</f>
        <v>-21273916.336558525</v>
      </c>
      <c r="LI398">
        <f>IF(LH398=MAX($LH$83:$LH$483),$A398,0)</f>
        <v>0</v>
      </c>
      <c r="LJ398">
        <f>IF(LE398&lt;LF398,$A398,B_MAX+1)</f>
        <v>315</v>
      </c>
      <c r="LK398" s="13">
        <f>IF(LB398=1,$LB$35,$LB$36)</f>
        <v>0</v>
      </c>
      <c r="LL398" s="13">
        <f>OCC_DAYS*$LB$41*R_NF_2023-LD398*MCD_SHARE_FREED*R_WAIT_2023</f>
        <v>113776.04162887059</v>
      </c>
      <c r="LM398">
        <f>IF($A398&lt;=$LB$45,1,0)</f>
        <v>0</v>
      </c>
      <c r="MB398">
        <f>IF($MB$31&lt;=$MB$32,IF($A398&lt;=$MB$7,1,2),IF($A398&lt;=RUNG_BEDS_2,2,1))</f>
        <v>1</v>
      </c>
      <c r="MC398" s="5">
        <f>MIN(1,MAX(0,$MB$26-($A398-1)))</f>
        <v>0</v>
      </c>
      <c r="MD398" s="5">
        <f>$MB$25*(MC398+(1-MC398)*$MB$16)</f>
        <v>0.0</v>
      </c>
      <c r="ME398" s="13">
        <f>MD398*($MB$6+ACUTE_MARGIN)</f>
        <v>0.0</v>
      </c>
      <c r="MF398" s="13">
        <f>IF(MB398=1,$MB$31,$MB$32)</f>
        <v>152394.16214437486</v>
      </c>
      <c r="MG398" s="13">
        <f>ME398-MF398</f>
        <v>-152394.16214437486</v>
      </c>
      <c r="MH398" s="13">
        <f>MH397+MG398</f>
        <v>-15662466.509004045</v>
      </c>
      <c r="MI398">
        <f>IF(MH398=MAX($MH$83:$MH$483),$A398,0)</f>
        <v>0</v>
      </c>
      <c r="MJ398">
        <f>IF(ME398&lt;MF398,$A398,B_MAX+1)</f>
        <v>315</v>
      </c>
      <c r="MK398" s="13">
        <f>IF(MB398=1,$MB$35,$MB$36)</f>
        <v>0</v>
      </c>
      <c r="ML398" s="13">
        <f>OCC_DAYS*$MB$41*R_NF_2023-MD398*MCD_SHARE_FREED*R_WAIT_2023</f>
        <v>151980.48282209205</v>
      </c>
      <c r="MM398">
        <f>IF($A398&lt;=$MB$45,1,0)</f>
        <v>0</v>
      </c>
      <c r="NB398">
        <f>IF($NB$31&lt;=$NB$32,IF($A398&lt;=$NB$7,1,2),IF($A398&lt;=RUNG_BEDS_2,2,1))</f>
        <v>1</v>
      </c>
      <c r="NC398" s="5">
        <f>MIN(1,MAX(0,$NB$26-($A398-1)))</f>
        <v>0</v>
      </c>
      <c r="ND398" s="5">
        <f>$NB$25*(NC398+(1-NC398)*$NB$16)</f>
        <v>63.013306786703595</v>
      </c>
      <c r="NE398" s="13">
        <f>ND398*($NB$6+ACUTE_MARGIN)</f>
        <v>63643.43985457063</v>
      </c>
      <c r="NF398" s="13">
        <f>IF(NB398=1,$NB$31,$NB$32)</f>
        <v>152394.16214437486</v>
      </c>
      <c r="NG398" s="13">
        <f>NE398-NF398</f>
        <v>-88750.72228980422</v>
      </c>
      <c r="NH398" s="13">
        <f>NH397+NG398</f>
        <v>715250.4499158929</v>
      </c>
      <c r="NI398">
        <f>IF(NH398=MAX($NH$83:$NH$483),$A398,0)</f>
        <v>0</v>
      </c>
      <c r="NJ398">
        <f>IF(NE398&lt;NF398,$A398,B_MAX+1)</f>
        <v>315</v>
      </c>
      <c r="NK398" s="13">
        <f>IF(NB398=1,$NB$35,$NB$36)</f>
        <v>0</v>
      </c>
      <c r="NL398" s="13">
        <f>OCC_DAYS*$NB$41*R_NF_2023-ND398*MCD_SHARE_FREED*R_WAIT_2023</f>
        <v>123327.15192717595</v>
      </c>
      <c r="NM398">
        <f>IF($A398&lt;=$NB$45,1,0)</f>
        <v>0</v>
      </c>
      <c r="OB398">
        <f>IF($OB$31&lt;=$OB$32,IF($A398&lt;=$OB$7,1,2),IF($A398&lt;=RUNG_BEDS_2,2,1))</f>
        <v>1</v>
      </c>
      <c r="OC398" s="5">
        <f>MIN(1,MAX(0,$OB$26-($A398-1)))</f>
        <v>0</v>
      </c>
      <c r="OD398" s="5">
        <f>$OB$25*(OC398+(1-OC398)*$OB$16)</f>
        <v>126.02661357340719</v>
      </c>
      <c r="OE398" s="13">
        <f>OD398*($OB$6+ACUTE_MARGIN)</f>
        <v>127286.87970914126</v>
      </c>
      <c r="OF398" s="13">
        <f>IF(OB398=1,$OB$31,$OB$32)</f>
        <v>152394.16214437486</v>
      </c>
      <c r="OG398" s="13">
        <f>OE398-OF398</f>
        <v>-25107.282435233603</v>
      </c>
      <c r="OH398" s="13">
        <f>OH397+OG398</f>
        <v>11205691.347037734</v>
      </c>
      <c r="OI398">
        <f>IF(OH398=MAX($OH$83:$OH$483),$A398,0)</f>
        <v>0</v>
      </c>
      <c r="OJ398">
        <f>IF(OE398&lt;OF398,$A398,B_MAX+1)</f>
        <v>315</v>
      </c>
      <c r="OK398" s="13">
        <f>IF(OB398=1,$OB$35,$OB$36)</f>
        <v>0</v>
      </c>
      <c r="OL398" s="13">
        <f>OCC_DAYS*$OB$41*R_NF_2023-OD398*MCD_SHARE_FREED*R_WAIT_2023</f>
        <v>94673.82103225985</v>
      </c>
      <c r="OM398">
        <f>IF($A398&lt;=$OB$45,1,0)</f>
        <v>0</v>
      </c>
    </row>
    <row r="399">
      <c r="A399" t="n">
        <v>316</v>
      </c>
      <c r="B399">
        <f>IF($B$31&lt;=$B$32,IF($A399&lt;=$B$7,1,2),IF($A399&lt;=RUNG_BEDS_2,2,1))</f>
        <v>1</v>
      </c>
      <c r="C399" s="5">
        <f>MIN(1,MAX(0,$B$26-($A399-1)))</f>
        <v>0</v>
      </c>
      <c r="D399" s="5">
        <f>$B$25*(C399+(1-C399)*$B$16)</f>
        <v>0.0</v>
      </c>
      <c r="E399" s="13">
        <f>D399*($B$6+ACUTE_MARGIN)</f>
        <v>0.0</v>
      </c>
      <c r="F399" s="13">
        <f>IF(B399=1,$B$31,$B$32)</f>
        <v>152394.16214437486</v>
      </c>
      <c r="G399" s="13">
        <f>E399-F399</f>
        <v>-152394.16214437486</v>
      </c>
      <c r="H399" s="13">
        <f>H398+G399</f>
        <v>-9927584.609350119</v>
      </c>
      <c r="I399">
        <f>IF(H399=MAX($H$83:$H$483),$A399,0)</f>
        <v>0</v>
      </c>
      <c r="J399">
        <f>IF(E399&lt;F399,$A399,B_MAX+1)</f>
        <v>316</v>
      </c>
      <c r="K399" s="13">
        <f>IF(B399=1,$B$35,$B$36)</f>
        <v>0</v>
      </c>
      <c r="L399" s="13">
        <f>OCC_DAYS*$B$41*R_NF_2023-D399*MCD_SHARE_FREED*R_WAIT_2023</f>
        <v>151980.48282209205</v>
      </c>
      <c r="M399">
        <f>IF($A399&lt;=$B$45,1,0)</f>
        <v>0</v>
      </c>
      <c r="AB399">
        <f>IF($AB$31&lt;=$AB$32,IF($A399&lt;=$AB$7,1,2),IF($A399&lt;=RUNG_BEDS_2,2,1))</f>
        <v>1</v>
      </c>
      <c r="AC399" s="5">
        <f>MIN(1,MAX(0,$AB$26-($A399-1)))</f>
        <v>0</v>
      </c>
      <c r="AD399" s="5">
        <f>$AB$25*(AC399+(1-AC399)*$AB$16)</f>
        <v>0.0</v>
      </c>
      <c r="AE399" s="13">
        <f>AD399*($AB$6+ACUTE_MARGIN)</f>
        <v>0.0</v>
      </c>
      <c r="AF399" s="13">
        <f>IF(AB399=1,$AB$31,$AB$32)</f>
        <v>152394.16214437486</v>
      </c>
      <c r="AG399" s="13">
        <f>AE399-AF399</f>
        <v>-152394.16214437486</v>
      </c>
      <c r="AH399" s="13">
        <f>AH398+AG399</f>
        <v>-27338798.954899855</v>
      </c>
      <c r="AI399">
        <f>IF(AH399=MAX($AH$83:$AH$483),$A399,0)</f>
        <v>0</v>
      </c>
      <c r="AJ399">
        <f>IF(AE399&lt;AF399,$A399,B_MAX+1)</f>
        <v>316</v>
      </c>
      <c r="AK399" s="13">
        <f>IF(AB399=1,$AB$35,$AB$36)</f>
        <v>0</v>
      </c>
      <c r="AL399" s="13">
        <f>OCC_DAYS*$AB$41*R_NF_2023-AD399*MCD_SHARE_FREED*R_WAIT_2023</f>
        <v>151980.48282209205</v>
      </c>
      <c r="AM399">
        <f>IF($A399&lt;=$AB$45,1,0)</f>
        <v>0</v>
      </c>
      <c r="BB399">
        <f>IF($BB$31&lt;=$BB$32,IF($A399&lt;=$BB$7,1,2),IF($A399&lt;=RUNG_BEDS_2,2,1))</f>
        <v>1</v>
      </c>
      <c r="BC399" s="5">
        <f>MIN(1,MAX(0,$BB$26-($A399-1)))</f>
        <v>0</v>
      </c>
      <c r="BD399" s="5">
        <f>$BB$25*(BC399+(1-BC399)*$BB$16)</f>
        <v>0.0</v>
      </c>
      <c r="BE399" s="13">
        <f>BD399*($BB$6+ACUTE_MARGIN)</f>
        <v>0.0</v>
      </c>
      <c r="BF399" s="13">
        <f>IF(BB399=1,$BB$31,$BB$32)</f>
        <v>152394.16214437486</v>
      </c>
      <c r="BG399" s="13">
        <f>BE399-BF399</f>
        <v>-152394.16214437486</v>
      </c>
      <c r="BH399" s="13">
        <f>BH398+BG399</f>
        <v>7483629.736199634</v>
      </c>
      <c r="BI399">
        <f>IF(BH399=MAX($BH$83:$BH$483),$A399,0)</f>
        <v>0</v>
      </c>
      <c r="BJ399">
        <f>IF(BE399&lt;BF399,$A399,B_MAX+1)</f>
        <v>316</v>
      </c>
      <c r="BK399" s="13">
        <f>IF(BB399=1,$BB$35,$BB$36)</f>
        <v>0</v>
      </c>
      <c r="BL399" s="13">
        <f>OCC_DAYS*$BB$41*R_NF_2023-BD399*MCD_SHARE_FREED*R_WAIT_2023</f>
        <v>151980.48282209205</v>
      </c>
      <c r="BM399">
        <f>IF($A399&lt;=$BB$45,1,0)</f>
        <v>0</v>
      </c>
      <c r="CB399">
        <f>IF($CB$31&lt;=$CB$32,IF($A399&lt;=$CB$7,1,2),IF($A399&lt;=RUNG_BEDS_2,2,1))</f>
        <v>2</v>
      </c>
      <c r="CC399" s="5">
        <f>MIN(1,MAX(0,$CB$26-($A399-1)))</f>
        <v>0</v>
      </c>
      <c r="CD399" s="5">
        <f>$CB$25*(CC399+(1-CC399)*$CB$16)</f>
        <v>0.0</v>
      </c>
      <c r="CE399" s="13">
        <f>CD399*($CB$6+ACUTE_MARGIN)</f>
        <v>0.0</v>
      </c>
      <c r="CF399" s="13">
        <f>IF(CB399=1,$CB$31,$CB$32)</f>
        <v>160718.36940738867</v>
      </c>
      <c r="CG399" s="13">
        <f>CE399-CF399</f>
        <v>-160718.36940738867</v>
      </c>
      <c r="CH399" s="13">
        <f>CH398+CG399</f>
        <v>-12558034.104462609</v>
      </c>
      <c r="CI399">
        <f>IF(CH399=MAX($CH$83:$CH$483),$A399,0)</f>
        <v>0</v>
      </c>
      <c r="CJ399">
        <f>IF(CE399&lt;CF399,$A399,B_MAX+1)</f>
        <v>316</v>
      </c>
      <c r="CK399" s="13">
        <f>IF(CB399=1,$CB$35,$CB$36)</f>
        <v>1560.1194073886782</v>
      </c>
      <c r="CL399" s="13">
        <f>OCC_DAYS*$CB$41*R_NF_2023-CD399*MCD_SHARE_FREED*R_WAIT_2023</f>
        <v>151980.48282209205</v>
      </c>
      <c r="CM399">
        <f>IF($A399&lt;=$CB$45,1,0)</f>
        <v>0</v>
      </c>
      <c r="DB399">
        <f>IF($DB$31&lt;=$DB$32,IF($A399&lt;=$DB$7,1,2),IF($A399&lt;=RUNG_BEDS_2,2,1))</f>
        <v>1</v>
      </c>
      <c r="DC399" s="5">
        <f>MIN(1,MAX(0,$DB$26-($A399-1)))</f>
        <v>0</v>
      </c>
      <c r="DD399" s="5">
        <f>$DB$25*(DC399+(1-DC399)*$DB$16)</f>
        <v>0.0</v>
      </c>
      <c r="DE399" s="13">
        <f>DD399*($DB$6+ACUTE_MARGIN)</f>
        <v>0.0</v>
      </c>
      <c r="DF399" s="13">
        <f>IF(DB399=1,$DB$31,$DB$32)</f>
        <v>152394.16214437486</v>
      </c>
      <c r="DG399" s="13">
        <f>DE399-DF399</f>
        <v>-152394.16214437486</v>
      </c>
      <c r="DH399" s="13">
        <f>DH398+DG399</f>
        <v>-9927584.609350119</v>
      </c>
      <c r="DI399">
        <f>IF(DH399=MAX($DH$83:$DH$483),$A399,0)</f>
        <v>0</v>
      </c>
      <c r="DJ399">
        <f>IF(DE399&lt;DF399,$A399,B_MAX+1)</f>
        <v>316</v>
      </c>
      <c r="DK399" s="13">
        <f>IF(DB399=1,$DB$35,$DB$36)</f>
        <v>0</v>
      </c>
      <c r="DL399" s="13">
        <f>OCC_DAYS*$DB$41*R_NF_2023-DD399*MCD_SHARE_FREED*R_WAIT_2023</f>
        <v>151980.48282209205</v>
      </c>
      <c r="DM399">
        <f>IF($A399&lt;=$DB$45,1,0)</f>
        <v>0</v>
      </c>
      <c r="EB399">
        <f>IF($EB$31&lt;=$EB$32,IF($A399&lt;=$EB$7,1,2),IF($A399&lt;=RUNG_BEDS_2,2,1))</f>
        <v>1</v>
      </c>
      <c r="EC399" s="5">
        <f>MIN(1,MAX(0,$EB$26-($A399-1)))</f>
        <v>0</v>
      </c>
      <c r="ED399" s="5">
        <f>$EB$25*(EC399+(1-EC399)*$EB$16)</f>
        <v>0.0</v>
      </c>
      <c r="EE399" s="13">
        <f>ED399*($EB$6+ACUTE_MARGIN)</f>
        <v>0.0</v>
      </c>
      <c r="EF399" s="13">
        <f>IF(EB399=1,$EB$31,$EB$32)</f>
        <v>152394.16214437486</v>
      </c>
      <c r="EG399" s="13">
        <f>EE399-EF399</f>
        <v>-152394.16214437486</v>
      </c>
      <c r="EH399" s="13">
        <f>EH398+EG399</f>
        <v>-9927584.609350119</v>
      </c>
      <c r="EI399">
        <f>IF(EH399=MAX($EH$83:$EH$483),$A399,0)</f>
        <v>0</v>
      </c>
      <c r="EJ399">
        <f>IF(EE399&lt;EF399,$A399,B_MAX+1)</f>
        <v>316</v>
      </c>
      <c r="EK399" s="13">
        <f>IF(EB399=1,$EB$35,$EB$36)</f>
        <v>0</v>
      </c>
      <c r="EL399" s="13">
        <f>OCC_DAYS*$EB$41*R_NF_2023-ED399*MCD_SHARE_FREED*R_WAIT_2023</f>
        <v>50660.16094069735</v>
      </c>
      <c r="EM399">
        <f>IF($A399&lt;=$EB$45,1,0)</f>
        <v>0</v>
      </c>
      <c r="FB399">
        <f>IF($FB$31&lt;=$FB$32,IF($A399&lt;=$FB$7,1,2),IF($A399&lt;=RUNG_BEDS_2,2,1))</f>
        <v>1</v>
      </c>
      <c r="FC399" s="5">
        <f>MIN(1,MAX(0,$FB$26-($A399-1)))</f>
        <v>0</v>
      </c>
      <c r="FD399" s="5">
        <f>$FB$25*(FC399+(1-FC399)*$FB$16)</f>
        <v>0.0</v>
      </c>
      <c r="FE399" s="13">
        <f>FD399*($FB$6+ACUTE_MARGIN)</f>
        <v>0.0</v>
      </c>
      <c r="FF399" s="13">
        <f>IF(FB399=1,$FB$31,$FB$32)</f>
        <v>156636.04979437485</v>
      </c>
      <c r="FG399" s="13">
        <f>FE399-FF399</f>
        <v>-156636.04979437485</v>
      </c>
      <c r="FH399" s="13">
        <f>FH398+FG399</f>
        <v>-11268021.106750224</v>
      </c>
      <c r="FI399">
        <f>IF(FH399=MAX($FH$83:$FH$483),$A399,0)</f>
        <v>0</v>
      </c>
      <c r="FJ399">
        <f>IF(FE399&lt;FF399,$A399,B_MAX+1)</f>
        <v>316</v>
      </c>
      <c r="FK399" s="13">
        <f>IF(FB399=1,$FB$35,$FB$36)</f>
        <v>0</v>
      </c>
      <c r="FL399" s="13">
        <f>OCC_DAYS*$FB$41*R_NF_2023-FD399*MCD_SHARE_FREED*R_WAIT_2023</f>
        <v>151980.48282209205</v>
      </c>
      <c r="FM399">
        <f>IF($A399&lt;=$FB$45,1,0)</f>
        <v>0</v>
      </c>
      <c r="GB399">
        <f>IF($GB$31&lt;=$GB$32,IF($A399&lt;=$GB$7,1,2),IF($A399&lt;=RUNG_BEDS_2,2,1))</f>
        <v>1</v>
      </c>
      <c r="GC399" s="5">
        <f>MIN(1,MAX(0,$GB$26-($A399-1)))</f>
        <v>0</v>
      </c>
      <c r="GD399" s="5">
        <f>$GB$25*(GC399+(1-GC399)*$GB$16)</f>
        <v>0.0</v>
      </c>
      <c r="GE399" s="13">
        <f>GD399*($GB$6+ACUTE_MARGIN)</f>
        <v>0.0</v>
      </c>
      <c r="GF399" s="13">
        <f>IF(GB399=1,$GB$31,$GB$32)</f>
        <v>152394.16214437486</v>
      </c>
      <c r="GG399" s="13">
        <f>GE399-GF399</f>
        <v>-152394.16214437486</v>
      </c>
      <c r="GH399" s="13">
        <f>GH398+GG399</f>
        <v>-9927584.609350119</v>
      </c>
      <c r="GI399">
        <f>IF(GH399=MAX($GH$83:$GH$483),$A399,0)</f>
        <v>0</v>
      </c>
      <c r="GJ399">
        <f>IF(GE399&lt;GF399,$A399,B_MAX+1)</f>
        <v>316</v>
      </c>
      <c r="GK399" s="13">
        <f>IF(GB399=1,$GB$35,$GB$36)</f>
        <v>0</v>
      </c>
      <c r="GL399" s="13">
        <f>OCC_DAYS*$GB$41*R_NF_2023-GD399*MCD_SHARE_FREED*R_WAIT_2023</f>
        <v>151980.48282209205</v>
      </c>
      <c r="GM399">
        <f>IF($A399&lt;=$GB$45,1,0)</f>
        <v>0</v>
      </c>
      <c r="HB399">
        <f>IF($HB$31&lt;=$HB$32,IF($A399&lt;=$HB$7,1,2),IF($A399&lt;=RUNG_BEDS_2,2,1))</f>
        <v>1</v>
      </c>
      <c r="HC399" s="5">
        <f>MIN(1,MAX(0,$HB$26-($A399-1)))</f>
        <v>0</v>
      </c>
      <c r="HD399" s="5">
        <f>$HB$25*(HC399+(1-HC399)*$HB$16)</f>
        <v>0.0</v>
      </c>
      <c r="HE399" s="13">
        <f>HD399*($HB$6+ACUTE_MARGIN)</f>
        <v>0.0</v>
      </c>
      <c r="HF399" s="13">
        <f>IF(HB399=1,$HB$31,$HB$32)</f>
        <v>152456.2970814058</v>
      </c>
      <c r="HG399" s="13">
        <f>HE399-HF399</f>
        <v>-152456.2970814058</v>
      </c>
      <c r="HH399" s="13">
        <f>HH398+HG399</f>
        <v>-9947219.249451943</v>
      </c>
      <c r="HI399">
        <f>IF(HH399=MAX($HH$83:$HH$483),$A399,0)</f>
        <v>0</v>
      </c>
      <c r="HJ399">
        <f>IF(HE399&lt;HF399,$A399,B_MAX+1)</f>
        <v>316</v>
      </c>
      <c r="HK399" s="13">
        <f>IF(HB399=1,$HB$35,$HB$36)</f>
        <v>0</v>
      </c>
      <c r="HL399" s="13">
        <f>OCC_DAYS*$HB$41*R_NF_2023-HD399*MCD_SHARE_FREED*R_WAIT_2023</f>
        <v>151980.48282209205</v>
      </c>
      <c r="HM399">
        <f>IF($A399&lt;=$HB$45,1,0)</f>
        <v>0</v>
      </c>
      <c r="IB399">
        <f>IF($IB$31&lt;=$IB$32,IF($A399&lt;=$IB$7,1,2),IF($A399&lt;=RUNG_BEDS_2,2,1))</f>
        <v>1</v>
      </c>
      <c r="IC399" s="5">
        <f>MIN(1,MAX(0,$IB$26-($A399-1)))</f>
        <v>0</v>
      </c>
      <c r="ID399" s="5">
        <f>$IB$25*(IC399+(1-IC399)*$IB$16)</f>
        <v>0.0</v>
      </c>
      <c r="IE399" s="13">
        <f>ID399*($IB$6+ACUTE_MARGIN)</f>
        <v>0.0</v>
      </c>
      <c r="IF399" s="13">
        <f>IF(IB399=1,$IB$31,$IB$32)</f>
        <v>152734.9994534971</v>
      </c>
      <c r="IG399" s="13">
        <f>IE399-IF399</f>
        <v>-152734.9994534971</v>
      </c>
      <c r="IH399" s="13">
        <f>IH398+IG399</f>
        <v>-10035289.199032832</v>
      </c>
      <c r="II399">
        <f>IF(IH399=MAX($IH$83:$IH$483),$A399,0)</f>
        <v>0</v>
      </c>
      <c r="IJ399">
        <f>IF(IE399&lt;IF399,$A399,B_MAX+1)</f>
        <v>316</v>
      </c>
      <c r="IK399" s="13">
        <f>IF(IB399=1,$IB$35,$IB$36)</f>
        <v>0</v>
      </c>
      <c r="IL399" s="13">
        <f>OCC_DAYS*$IB$41*R_NF_2023-ID399*MCD_SHARE_FREED*R_WAIT_2023</f>
        <v>151980.48282209205</v>
      </c>
      <c r="IM399">
        <f>IF($A399&lt;=$IB$45,1,0)</f>
        <v>0</v>
      </c>
      <c r="JB399">
        <f>IF($JB$31&lt;=$JB$32,IF($A399&lt;=$JB$7,1,2),IF($A399&lt;=RUNG_BEDS_2,2,1))</f>
        <v>1</v>
      </c>
      <c r="JC399" s="5">
        <f>MIN(1,MAX(0,$JB$26-($A399-1)))</f>
        <v>0</v>
      </c>
      <c r="JD399" s="5">
        <f>$JB$25*(JC399+(1-JC399)*$JB$16)</f>
        <v>0.0</v>
      </c>
      <c r="JE399" s="13">
        <f>JD399*($JB$6+ACUTE_MARGIN)</f>
        <v>0.0</v>
      </c>
      <c r="JF399" s="13">
        <f>IF(JB399=1,$JB$31,$JB$32)</f>
        <v>152394.16214437486</v>
      </c>
      <c r="JG399" s="13">
        <f>JE399-JF399</f>
        <v>-152394.16214437486</v>
      </c>
      <c r="JH399" s="13">
        <f>JH398+JG399</f>
        <v>-9927584.609350119</v>
      </c>
      <c r="JI399">
        <f>IF(JH399=MAX($JH$83:$JH$483),$A399,0)</f>
        <v>0</v>
      </c>
      <c r="JJ399">
        <f>IF(JE399&lt;JF399,$A399,B_MAX+1)</f>
        <v>316</v>
      </c>
      <c r="JK399" s="13">
        <f>IF(JB399=1,$JB$35,$JB$36)</f>
        <v>0</v>
      </c>
      <c r="JL399" s="13">
        <f>OCC_DAYS*$JB$41*R_NF_2023-JD399*MCD_SHARE_FREED*R_WAIT_2023</f>
        <v>151980.48282209205</v>
      </c>
      <c r="JM399">
        <f>IF($A399&lt;=$JB$45,1,0)</f>
        <v>0</v>
      </c>
      <c r="KB399">
        <f>IF($KB$31&lt;=$KB$32,IF($A399&lt;=$KB$7,1,2),IF($A399&lt;=RUNG_BEDS_2,2,1))</f>
        <v>1</v>
      </c>
      <c r="KC399" s="5">
        <f>MIN(1,MAX(0,$KB$26-($A399-1)))</f>
        <v>0</v>
      </c>
      <c r="KD399" s="5">
        <f>$KB$25*(KC399+(1-KC399)*$KB$16)</f>
        <v>0.0</v>
      </c>
      <c r="KE399" s="13">
        <f>KD399*($KB$6+ACUTE_MARGIN)</f>
        <v>0.0</v>
      </c>
      <c r="KF399" s="13">
        <f>IF(KB399=1,$KB$31,$KB$32)</f>
        <v>152394.16214437486</v>
      </c>
      <c r="KG399" s="13">
        <f>KE399-KF399</f>
        <v>-152394.16214437486</v>
      </c>
      <c r="KH399" s="13">
        <f>KH398+KG399</f>
        <v>-9927584.609350225</v>
      </c>
      <c r="KI399">
        <f>IF(KH399=MAX($KH$83:$KH$483),$A399,0)</f>
        <v>0</v>
      </c>
      <c r="KJ399">
        <f>IF(KE399&lt;KF399,$A399,B_MAX+1)</f>
        <v>316</v>
      </c>
      <c r="KK399" s="13">
        <f>IF(KB399=1,$KB$35,$KB$36)</f>
        <v>0</v>
      </c>
      <c r="KL399" s="13">
        <f>OCC_DAYS*$KB$41*R_NF_2023-KD399*MCD_SHARE_FREED*R_WAIT_2023</f>
        <v>151980.48282209205</v>
      </c>
      <c r="KM399">
        <f>IF($A399&lt;=$KB$45,1,0)</f>
        <v>0</v>
      </c>
      <c r="LB399">
        <f>IF($LB$31&lt;=$LB$32,IF($A399&lt;=$LB$7,1,2),IF($A399&lt;=RUNG_BEDS_2,2,1))</f>
        <v>1</v>
      </c>
      <c r="LC399" s="5">
        <f>MIN(1,MAX(0,$LB$26-($A399-1)))</f>
        <v>1</v>
      </c>
      <c r="LD399" s="5">
        <f>$LB$25*(LC399+(1-LC399)*$LB$16)</f>
        <v>84.01774238227146</v>
      </c>
      <c r="LE399" s="13">
        <f>LD399*($LB$6+ACUTE_MARGIN)</f>
        <v>84857.91980609419</v>
      </c>
      <c r="LF399" s="13">
        <f>IF(LB399=1,$LB$31,$LB$32)</f>
        <v>152394.16214437486</v>
      </c>
      <c r="LG399" s="13">
        <f>LE399-LF399</f>
        <v>-67536.24233828067</v>
      </c>
      <c r="LH399" s="13">
        <f>LH398+LG399</f>
        <v>-21341452.578896806</v>
      </c>
      <c r="LI399">
        <f>IF(LH399=MAX($LH$83:$LH$483),$A399,0)</f>
        <v>0</v>
      </c>
      <c r="LJ399">
        <f>IF(LE399&lt;LF399,$A399,B_MAX+1)</f>
        <v>316</v>
      </c>
      <c r="LK399" s="13">
        <f>IF(LB399=1,$LB$35,$LB$36)</f>
        <v>0</v>
      </c>
      <c r="LL399" s="13">
        <f>OCC_DAYS*$LB$41*R_NF_2023-LD399*MCD_SHARE_FREED*R_WAIT_2023</f>
        <v>113776.04162887059</v>
      </c>
      <c r="LM399">
        <f>IF($A399&lt;=$LB$45,1,0)</f>
        <v>0</v>
      </c>
      <c r="MB399">
        <f>IF($MB$31&lt;=$MB$32,IF($A399&lt;=$MB$7,1,2),IF($A399&lt;=RUNG_BEDS_2,2,1))</f>
        <v>1</v>
      </c>
      <c r="MC399" s="5">
        <f>MIN(1,MAX(0,$MB$26-($A399-1)))</f>
        <v>0</v>
      </c>
      <c r="MD399" s="5">
        <f>$MB$25*(MC399+(1-MC399)*$MB$16)</f>
        <v>0.0</v>
      </c>
      <c r="ME399" s="13">
        <f>MD399*($MB$6+ACUTE_MARGIN)</f>
        <v>0.0</v>
      </c>
      <c r="MF399" s="13">
        <f>IF(MB399=1,$MB$31,$MB$32)</f>
        <v>152394.16214437486</v>
      </c>
      <c r="MG399" s="13">
        <f>ME399-MF399</f>
        <v>-152394.16214437486</v>
      </c>
      <c r="MH399" s="13">
        <f>MH398+MG399</f>
        <v>-15814860.67114842</v>
      </c>
      <c r="MI399">
        <f>IF(MH399=MAX($MH$83:$MH$483),$A399,0)</f>
        <v>0</v>
      </c>
      <c r="MJ399">
        <f>IF(ME399&lt;MF399,$A399,B_MAX+1)</f>
        <v>316</v>
      </c>
      <c r="MK399" s="13">
        <f>IF(MB399=1,$MB$35,$MB$36)</f>
        <v>0</v>
      </c>
      <c r="ML399" s="13">
        <f>OCC_DAYS*$MB$41*R_NF_2023-MD399*MCD_SHARE_FREED*R_WAIT_2023</f>
        <v>151980.48282209205</v>
      </c>
      <c r="MM399">
        <f>IF($A399&lt;=$MB$45,1,0)</f>
        <v>0</v>
      </c>
      <c r="NB399">
        <f>IF($NB$31&lt;=$NB$32,IF($A399&lt;=$NB$7,1,2),IF($A399&lt;=RUNG_BEDS_2,2,1))</f>
        <v>1</v>
      </c>
      <c r="NC399" s="5">
        <f>MIN(1,MAX(0,$NB$26-($A399-1)))</f>
        <v>0</v>
      </c>
      <c r="ND399" s="5">
        <f>$NB$25*(NC399+(1-NC399)*$NB$16)</f>
        <v>63.013306786703595</v>
      </c>
      <c r="NE399" s="13">
        <f>ND399*($NB$6+ACUTE_MARGIN)</f>
        <v>63643.43985457063</v>
      </c>
      <c r="NF399" s="13">
        <f>IF(NB399=1,$NB$31,$NB$32)</f>
        <v>152394.16214437486</v>
      </c>
      <c r="NG399" s="13">
        <f>NE399-NF399</f>
        <v>-88750.72228980422</v>
      </c>
      <c r="NH399" s="13">
        <f>NH398+NG399</f>
        <v>626499.7276260887</v>
      </c>
      <c r="NI399">
        <f>IF(NH399=MAX($NH$83:$NH$483),$A399,0)</f>
        <v>0</v>
      </c>
      <c r="NJ399">
        <f>IF(NE399&lt;NF399,$A399,B_MAX+1)</f>
        <v>316</v>
      </c>
      <c r="NK399" s="13">
        <f>IF(NB399=1,$NB$35,$NB$36)</f>
        <v>0</v>
      </c>
      <c r="NL399" s="13">
        <f>OCC_DAYS*$NB$41*R_NF_2023-ND399*MCD_SHARE_FREED*R_WAIT_2023</f>
        <v>123327.15192717595</v>
      </c>
      <c r="NM399">
        <f>IF($A399&lt;=$NB$45,1,0)</f>
        <v>0</v>
      </c>
      <c r="OB399">
        <f>IF($OB$31&lt;=$OB$32,IF($A399&lt;=$OB$7,1,2),IF($A399&lt;=RUNG_BEDS_2,2,1))</f>
        <v>1</v>
      </c>
      <c r="OC399" s="5">
        <f>MIN(1,MAX(0,$OB$26-($A399-1)))</f>
        <v>0</v>
      </c>
      <c r="OD399" s="5">
        <f>$OB$25*(OC399+(1-OC399)*$OB$16)</f>
        <v>126.02661357340719</v>
      </c>
      <c r="OE399" s="13">
        <f>OD399*($OB$6+ACUTE_MARGIN)</f>
        <v>127286.87970914126</v>
      </c>
      <c r="OF399" s="13">
        <f>IF(OB399=1,$OB$31,$OB$32)</f>
        <v>152394.16214437486</v>
      </c>
      <c r="OG399" s="13">
        <f>OE399-OF399</f>
        <v>-25107.282435233603</v>
      </c>
      <c r="OH399" s="13">
        <f>OH398+OG399</f>
        <v>11180584.064602502</v>
      </c>
      <c r="OI399">
        <f>IF(OH399=MAX($OH$83:$OH$483),$A399,0)</f>
        <v>0</v>
      </c>
      <c r="OJ399">
        <f>IF(OE399&lt;OF399,$A399,B_MAX+1)</f>
        <v>316</v>
      </c>
      <c r="OK399" s="13">
        <f>IF(OB399=1,$OB$35,$OB$36)</f>
        <v>0</v>
      </c>
      <c r="OL399" s="13">
        <f>OCC_DAYS*$OB$41*R_NF_2023-OD399*MCD_SHARE_FREED*R_WAIT_2023</f>
        <v>94673.82103225985</v>
      </c>
      <c r="OM399">
        <f>IF($A399&lt;=$OB$45,1,0)</f>
        <v>0</v>
      </c>
    </row>
    <row r="400">
      <c r="A400" t="n">
        <v>317</v>
      </c>
      <c r="B400">
        <f>IF($B$31&lt;=$B$32,IF($A400&lt;=$B$7,1,2),IF($A400&lt;=RUNG_BEDS_2,2,1))</f>
        <v>1</v>
      </c>
      <c r="C400" s="5">
        <f>MIN(1,MAX(0,$B$26-($A400-1)))</f>
        <v>0</v>
      </c>
      <c r="D400" s="5">
        <f>$B$25*(C400+(1-C400)*$B$16)</f>
        <v>0.0</v>
      </c>
      <c r="E400" s="13">
        <f>D400*($B$6+ACUTE_MARGIN)</f>
        <v>0.0</v>
      </c>
      <c r="F400" s="13">
        <f>IF(B400=1,$B$31,$B$32)</f>
        <v>152394.16214437486</v>
      </c>
      <c r="G400" s="13">
        <f>E400-F400</f>
        <v>-152394.16214437486</v>
      </c>
      <c r="H400" s="13">
        <f>H399+G400</f>
        <v>-10079978.771494493</v>
      </c>
      <c r="I400">
        <f>IF(H400=MAX($H$83:$H$483),$A400,0)</f>
        <v>0</v>
      </c>
      <c r="J400">
        <f>IF(E400&lt;F400,$A400,B_MAX+1)</f>
        <v>317</v>
      </c>
      <c r="K400" s="13">
        <f>IF(B400=1,$B$35,$B$36)</f>
        <v>0</v>
      </c>
      <c r="L400" s="13">
        <f>OCC_DAYS*$B$41*R_NF_2023-D400*MCD_SHARE_FREED*R_WAIT_2023</f>
        <v>151980.48282209205</v>
      </c>
      <c r="M400">
        <f>IF($A400&lt;=$B$45,1,0)</f>
        <v>0</v>
      </c>
      <c r="AB400">
        <f>IF($AB$31&lt;=$AB$32,IF($A400&lt;=$AB$7,1,2),IF($A400&lt;=RUNG_BEDS_2,2,1))</f>
        <v>1</v>
      </c>
      <c r="AC400" s="5">
        <f>MIN(1,MAX(0,$AB$26-($A400-1)))</f>
        <v>0</v>
      </c>
      <c r="AD400" s="5">
        <f>$AB$25*(AC400+(1-AC400)*$AB$16)</f>
        <v>0.0</v>
      </c>
      <c r="AE400" s="13">
        <f>AD400*($AB$6+ACUTE_MARGIN)</f>
        <v>0.0</v>
      </c>
      <c r="AF400" s="13">
        <f>IF(AB400=1,$AB$31,$AB$32)</f>
        <v>152394.16214437486</v>
      </c>
      <c r="AG400" s="13">
        <f>AE400-AF400</f>
        <v>-152394.16214437486</v>
      </c>
      <c r="AH400" s="13">
        <f>AH399+AG400</f>
        <v>-27491193.11704423</v>
      </c>
      <c r="AI400">
        <f>IF(AH400=MAX($AH$83:$AH$483),$A400,0)</f>
        <v>0</v>
      </c>
      <c r="AJ400">
        <f>IF(AE400&lt;AF400,$A400,B_MAX+1)</f>
        <v>317</v>
      </c>
      <c r="AK400" s="13">
        <f>IF(AB400=1,$AB$35,$AB$36)</f>
        <v>0</v>
      </c>
      <c r="AL400" s="13">
        <f>OCC_DAYS*$AB$41*R_NF_2023-AD400*MCD_SHARE_FREED*R_WAIT_2023</f>
        <v>151980.48282209205</v>
      </c>
      <c r="AM400">
        <f>IF($A400&lt;=$AB$45,1,0)</f>
        <v>0</v>
      </c>
      <c r="BB400">
        <f>IF($BB$31&lt;=$BB$32,IF($A400&lt;=$BB$7,1,2),IF($A400&lt;=RUNG_BEDS_2,2,1))</f>
        <v>1</v>
      </c>
      <c r="BC400" s="5">
        <f>MIN(1,MAX(0,$BB$26-($A400-1)))</f>
        <v>0</v>
      </c>
      <c r="BD400" s="5">
        <f>$BB$25*(BC400+(1-BC400)*$BB$16)</f>
        <v>0.0</v>
      </c>
      <c r="BE400" s="13">
        <f>BD400*($BB$6+ACUTE_MARGIN)</f>
        <v>0.0</v>
      </c>
      <c r="BF400" s="13">
        <f>IF(BB400=1,$BB$31,$BB$32)</f>
        <v>152394.16214437486</v>
      </c>
      <c r="BG400" s="13">
        <f>BE400-BF400</f>
        <v>-152394.16214437486</v>
      </c>
      <c r="BH400" s="13">
        <f>BH399+BG400</f>
        <v>7331235.574055259</v>
      </c>
      <c r="BI400">
        <f>IF(BH400=MAX($BH$83:$BH$483),$A400,0)</f>
        <v>0</v>
      </c>
      <c r="BJ400">
        <f>IF(BE400&lt;BF400,$A400,B_MAX+1)</f>
        <v>317</v>
      </c>
      <c r="BK400" s="13">
        <f>IF(BB400=1,$BB$35,$BB$36)</f>
        <v>0</v>
      </c>
      <c r="BL400" s="13">
        <f>OCC_DAYS*$BB$41*R_NF_2023-BD400*MCD_SHARE_FREED*R_WAIT_2023</f>
        <v>151980.48282209205</v>
      </c>
      <c r="BM400">
        <f>IF($A400&lt;=$BB$45,1,0)</f>
        <v>0</v>
      </c>
      <c r="CB400">
        <f>IF($CB$31&lt;=$CB$32,IF($A400&lt;=$CB$7,1,2),IF($A400&lt;=RUNG_BEDS_2,2,1))</f>
        <v>2</v>
      </c>
      <c r="CC400" s="5">
        <f>MIN(1,MAX(0,$CB$26-($A400-1)))</f>
        <v>0</v>
      </c>
      <c r="CD400" s="5">
        <f>$CB$25*(CC400+(1-CC400)*$CB$16)</f>
        <v>0.0</v>
      </c>
      <c r="CE400" s="13">
        <f>CD400*($CB$6+ACUTE_MARGIN)</f>
        <v>0.0</v>
      </c>
      <c r="CF400" s="13">
        <f>IF(CB400=1,$CB$31,$CB$32)</f>
        <v>160718.36940738867</v>
      </c>
      <c r="CG400" s="13">
        <f>CE400-CF400</f>
        <v>-160718.36940738867</v>
      </c>
      <c r="CH400" s="13">
        <f>CH399+CG400</f>
        <v>-12718752.473869998</v>
      </c>
      <c r="CI400">
        <f>IF(CH400=MAX($CH$83:$CH$483),$A400,0)</f>
        <v>0</v>
      </c>
      <c r="CJ400">
        <f>IF(CE400&lt;CF400,$A400,B_MAX+1)</f>
        <v>317</v>
      </c>
      <c r="CK400" s="13">
        <f>IF(CB400=1,$CB$35,$CB$36)</f>
        <v>1560.1194073886782</v>
      </c>
      <c r="CL400" s="13">
        <f>OCC_DAYS*$CB$41*R_NF_2023-CD400*MCD_SHARE_FREED*R_WAIT_2023</f>
        <v>151980.48282209205</v>
      </c>
      <c r="CM400">
        <f>IF($A400&lt;=$CB$45,1,0)</f>
        <v>0</v>
      </c>
      <c r="DB400">
        <f>IF($DB$31&lt;=$DB$32,IF($A400&lt;=$DB$7,1,2),IF($A400&lt;=RUNG_BEDS_2,2,1))</f>
        <v>1</v>
      </c>
      <c r="DC400" s="5">
        <f>MIN(1,MAX(0,$DB$26-($A400-1)))</f>
        <v>0</v>
      </c>
      <c r="DD400" s="5">
        <f>$DB$25*(DC400+(1-DC400)*$DB$16)</f>
        <v>0.0</v>
      </c>
      <c r="DE400" s="13">
        <f>DD400*($DB$6+ACUTE_MARGIN)</f>
        <v>0.0</v>
      </c>
      <c r="DF400" s="13">
        <f>IF(DB400=1,$DB$31,$DB$32)</f>
        <v>152394.16214437486</v>
      </c>
      <c r="DG400" s="13">
        <f>DE400-DF400</f>
        <v>-152394.16214437486</v>
      </c>
      <c r="DH400" s="13">
        <f>DH399+DG400</f>
        <v>-10079978.771494493</v>
      </c>
      <c r="DI400">
        <f>IF(DH400=MAX($DH$83:$DH$483),$A400,0)</f>
        <v>0</v>
      </c>
      <c r="DJ400">
        <f>IF(DE400&lt;DF400,$A400,B_MAX+1)</f>
        <v>317</v>
      </c>
      <c r="DK400" s="13">
        <f>IF(DB400=1,$DB$35,$DB$36)</f>
        <v>0</v>
      </c>
      <c r="DL400" s="13">
        <f>OCC_DAYS*$DB$41*R_NF_2023-DD400*MCD_SHARE_FREED*R_WAIT_2023</f>
        <v>151980.48282209205</v>
      </c>
      <c r="DM400">
        <f>IF($A400&lt;=$DB$45,1,0)</f>
        <v>0</v>
      </c>
      <c r="EB400">
        <f>IF($EB$31&lt;=$EB$32,IF($A400&lt;=$EB$7,1,2),IF($A400&lt;=RUNG_BEDS_2,2,1))</f>
        <v>1</v>
      </c>
      <c r="EC400" s="5">
        <f>MIN(1,MAX(0,$EB$26-($A400-1)))</f>
        <v>0</v>
      </c>
      <c r="ED400" s="5">
        <f>$EB$25*(EC400+(1-EC400)*$EB$16)</f>
        <v>0.0</v>
      </c>
      <c r="EE400" s="13">
        <f>ED400*($EB$6+ACUTE_MARGIN)</f>
        <v>0.0</v>
      </c>
      <c r="EF400" s="13">
        <f>IF(EB400=1,$EB$31,$EB$32)</f>
        <v>152394.16214437486</v>
      </c>
      <c r="EG400" s="13">
        <f>EE400-EF400</f>
        <v>-152394.16214437486</v>
      </c>
      <c r="EH400" s="13">
        <f>EH399+EG400</f>
        <v>-10079978.771494493</v>
      </c>
      <c r="EI400">
        <f>IF(EH400=MAX($EH$83:$EH$483),$A400,0)</f>
        <v>0</v>
      </c>
      <c r="EJ400">
        <f>IF(EE400&lt;EF400,$A400,B_MAX+1)</f>
        <v>317</v>
      </c>
      <c r="EK400" s="13">
        <f>IF(EB400=1,$EB$35,$EB$36)</f>
        <v>0</v>
      </c>
      <c r="EL400" s="13">
        <f>OCC_DAYS*$EB$41*R_NF_2023-ED400*MCD_SHARE_FREED*R_WAIT_2023</f>
        <v>50660.16094069735</v>
      </c>
      <c r="EM400">
        <f>IF($A400&lt;=$EB$45,1,0)</f>
        <v>0</v>
      </c>
      <c r="FB400">
        <f>IF($FB$31&lt;=$FB$32,IF($A400&lt;=$FB$7,1,2),IF($A400&lt;=RUNG_BEDS_2,2,1))</f>
        <v>1</v>
      </c>
      <c r="FC400" s="5">
        <f>MIN(1,MAX(0,$FB$26-($A400-1)))</f>
        <v>0</v>
      </c>
      <c r="FD400" s="5">
        <f>$FB$25*(FC400+(1-FC400)*$FB$16)</f>
        <v>0.0</v>
      </c>
      <c r="FE400" s="13">
        <f>FD400*($FB$6+ACUTE_MARGIN)</f>
        <v>0.0</v>
      </c>
      <c r="FF400" s="13">
        <f>IF(FB400=1,$FB$31,$FB$32)</f>
        <v>156636.04979437485</v>
      </c>
      <c r="FG400" s="13">
        <f>FE400-FF400</f>
        <v>-156636.04979437485</v>
      </c>
      <c r="FH400" s="13">
        <f>FH399+FG400</f>
        <v>-11424657.156544598</v>
      </c>
      <c r="FI400">
        <f>IF(FH400=MAX($FH$83:$FH$483),$A400,0)</f>
        <v>0</v>
      </c>
      <c r="FJ400">
        <f>IF(FE400&lt;FF400,$A400,B_MAX+1)</f>
        <v>317</v>
      </c>
      <c r="FK400" s="13">
        <f>IF(FB400=1,$FB$35,$FB$36)</f>
        <v>0</v>
      </c>
      <c r="FL400" s="13">
        <f>OCC_DAYS*$FB$41*R_NF_2023-FD400*MCD_SHARE_FREED*R_WAIT_2023</f>
        <v>151980.48282209205</v>
      </c>
      <c r="FM400">
        <f>IF($A400&lt;=$FB$45,1,0)</f>
        <v>0</v>
      </c>
      <c r="GB400">
        <f>IF($GB$31&lt;=$GB$32,IF($A400&lt;=$GB$7,1,2),IF($A400&lt;=RUNG_BEDS_2,2,1))</f>
        <v>1</v>
      </c>
      <c r="GC400" s="5">
        <f>MIN(1,MAX(0,$GB$26-($A400-1)))</f>
        <v>0</v>
      </c>
      <c r="GD400" s="5">
        <f>$GB$25*(GC400+(1-GC400)*$GB$16)</f>
        <v>0.0</v>
      </c>
      <c r="GE400" s="13">
        <f>GD400*($GB$6+ACUTE_MARGIN)</f>
        <v>0.0</v>
      </c>
      <c r="GF400" s="13">
        <f>IF(GB400=1,$GB$31,$GB$32)</f>
        <v>152394.16214437486</v>
      </c>
      <c r="GG400" s="13">
        <f>GE400-GF400</f>
        <v>-152394.16214437486</v>
      </c>
      <c r="GH400" s="13">
        <f>GH399+GG400</f>
        <v>-10079978.771494493</v>
      </c>
      <c r="GI400">
        <f>IF(GH400=MAX($GH$83:$GH$483),$A400,0)</f>
        <v>0</v>
      </c>
      <c r="GJ400">
        <f>IF(GE400&lt;GF400,$A400,B_MAX+1)</f>
        <v>317</v>
      </c>
      <c r="GK400" s="13">
        <f>IF(GB400=1,$GB$35,$GB$36)</f>
        <v>0</v>
      </c>
      <c r="GL400" s="13">
        <f>OCC_DAYS*$GB$41*R_NF_2023-GD400*MCD_SHARE_FREED*R_WAIT_2023</f>
        <v>151980.48282209205</v>
      </c>
      <c r="GM400">
        <f>IF($A400&lt;=$GB$45,1,0)</f>
        <v>0</v>
      </c>
      <c r="HB400">
        <f>IF($HB$31&lt;=$HB$32,IF($A400&lt;=$HB$7,1,2),IF($A400&lt;=RUNG_BEDS_2,2,1))</f>
        <v>1</v>
      </c>
      <c r="HC400" s="5">
        <f>MIN(1,MAX(0,$HB$26-($A400-1)))</f>
        <v>0</v>
      </c>
      <c r="HD400" s="5">
        <f>$HB$25*(HC400+(1-HC400)*$HB$16)</f>
        <v>0.0</v>
      </c>
      <c r="HE400" s="13">
        <f>HD400*($HB$6+ACUTE_MARGIN)</f>
        <v>0.0</v>
      </c>
      <c r="HF400" s="13">
        <f>IF(HB400=1,$HB$31,$HB$32)</f>
        <v>152456.2970814058</v>
      </c>
      <c r="HG400" s="13">
        <f>HE400-HF400</f>
        <v>-152456.2970814058</v>
      </c>
      <c r="HH400" s="13">
        <f>HH399+HG400</f>
        <v>-10099675.546533348</v>
      </c>
      <c r="HI400">
        <f>IF(HH400=MAX($HH$83:$HH$483),$A400,0)</f>
        <v>0</v>
      </c>
      <c r="HJ400">
        <f>IF(HE400&lt;HF400,$A400,B_MAX+1)</f>
        <v>317</v>
      </c>
      <c r="HK400" s="13">
        <f>IF(HB400=1,$HB$35,$HB$36)</f>
        <v>0</v>
      </c>
      <c r="HL400" s="13">
        <f>OCC_DAYS*$HB$41*R_NF_2023-HD400*MCD_SHARE_FREED*R_WAIT_2023</f>
        <v>151980.48282209205</v>
      </c>
      <c r="HM400">
        <f>IF($A400&lt;=$HB$45,1,0)</f>
        <v>0</v>
      </c>
      <c r="IB400">
        <f>IF($IB$31&lt;=$IB$32,IF($A400&lt;=$IB$7,1,2),IF($A400&lt;=RUNG_BEDS_2,2,1))</f>
        <v>1</v>
      </c>
      <c r="IC400" s="5">
        <f>MIN(1,MAX(0,$IB$26-($A400-1)))</f>
        <v>0</v>
      </c>
      <c r="ID400" s="5">
        <f>$IB$25*(IC400+(1-IC400)*$IB$16)</f>
        <v>0.0</v>
      </c>
      <c r="IE400" s="13">
        <f>ID400*($IB$6+ACUTE_MARGIN)</f>
        <v>0.0</v>
      </c>
      <c r="IF400" s="13">
        <f>IF(IB400=1,$IB$31,$IB$32)</f>
        <v>152734.9994534971</v>
      </c>
      <c r="IG400" s="13">
        <f>IE400-IF400</f>
        <v>-152734.9994534971</v>
      </c>
      <c r="IH400" s="13">
        <f>IH399+IG400</f>
        <v>-10188024.198486328</v>
      </c>
      <c r="II400">
        <f>IF(IH400=MAX($IH$83:$IH$483),$A400,0)</f>
        <v>0</v>
      </c>
      <c r="IJ400">
        <f>IF(IE400&lt;IF400,$A400,B_MAX+1)</f>
        <v>317</v>
      </c>
      <c r="IK400" s="13">
        <f>IF(IB400=1,$IB$35,$IB$36)</f>
        <v>0</v>
      </c>
      <c r="IL400" s="13">
        <f>OCC_DAYS*$IB$41*R_NF_2023-ID400*MCD_SHARE_FREED*R_WAIT_2023</f>
        <v>151980.48282209205</v>
      </c>
      <c r="IM400">
        <f>IF($A400&lt;=$IB$45,1,0)</f>
        <v>0</v>
      </c>
      <c r="JB400">
        <f>IF($JB$31&lt;=$JB$32,IF($A400&lt;=$JB$7,1,2),IF($A400&lt;=RUNG_BEDS_2,2,1))</f>
        <v>1</v>
      </c>
      <c r="JC400" s="5">
        <f>MIN(1,MAX(0,$JB$26-($A400-1)))</f>
        <v>0</v>
      </c>
      <c r="JD400" s="5">
        <f>$JB$25*(JC400+(1-JC400)*$JB$16)</f>
        <v>0.0</v>
      </c>
      <c r="JE400" s="13">
        <f>JD400*($JB$6+ACUTE_MARGIN)</f>
        <v>0.0</v>
      </c>
      <c r="JF400" s="13">
        <f>IF(JB400=1,$JB$31,$JB$32)</f>
        <v>152394.16214437486</v>
      </c>
      <c r="JG400" s="13">
        <f>JE400-JF400</f>
        <v>-152394.16214437486</v>
      </c>
      <c r="JH400" s="13">
        <f>JH399+JG400</f>
        <v>-10079978.771494493</v>
      </c>
      <c r="JI400">
        <f>IF(JH400=MAX($JH$83:$JH$483),$A400,0)</f>
        <v>0</v>
      </c>
      <c r="JJ400">
        <f>IF(JE400&lt;JF400,$A400,B_MAX+1)</f>
        <v>317</v>
      </c>
      <c r="JK400" s="13">
        <f>IF(JB400=1,$JB$35,$JB$36)</f>
        <v>0</v>
      </c>
      <c r="JL400" s="13">
        <f>OCC_DAYS*$JB$41*R_NF_2023-JD400*MCD_SHARE_FREED*R_WAIT_2023</f>
        <v>151980.48282209205</v>
      </c>
      <c r="JM400">
        <f>IF($A400&lt;=$JB$45,1,0)</f>
        <v>0</v>
      </c>
      <c r="KB400">
        <f>IF($KB$31&lt;=$KB$32,IF($A400&lt;=$KB$7,1,2),IF($A400&lt;=RUNG_BEDS_2,2,1))</f>
        <v>1</v>
      </c>
      <c r="KC400" s="5">
        <f>MIN(1,MAX(0,$KB$26-($A400-1)))</f>
        <v>0</v>
      </c>
      <c r="KD400" s="5">
        <f>$KB$25*(KC400+(1-KC400)*$KB$16)</f>
        <v>0.0</v>
      </c>
      <c r="KE400" s="13">
        <f>KD400*($KB$6+ACUTE_MARGIN)</f>
        <v>0.0</v>
      </c>
      <c r="KF400" s="13">
        <f>IF(KB400=1,$KB$31,$KB$32)</f>
        <v>152394.16214437486</v>
      </c>
      <c r="KG400" s="13">
        <f>KE400-KF400</f>
        <v>-152394.16214437486</v>
      </c>
      <c r="KH400" s="13">
        <f>KH399+KG400</f>
        <v>-10079978.771494599</v>
      </c>
      <c r="KI400">
        <f>IF(KH400=MAX($KH$83:$KH$483),$A400,0)</f>
        <v>0</v>
      </c>
      <c r="KJ400">
        <f>IF(KE400&lt;KF400,$A400,B_MAX+1)</f>
        <v>317</v>
      </c>
      <c r="KK400" s="13">
        <f>IF(KB400=1,$KB$35,$KB$36)</f>
        <v>0</v>
      </c>
      <c r="KL400" s="13">
        <f>OCC_DAYS*$KB$41*R_NF_2023-KD400*MCD_SHARE_FREED*R_WAIT_2023</f>
        <v>151980.48282209205</v>
      </c>
      <c r="KM400">
        <f>IF($A400&lt;=$KB$45,1,0)</f>
        <v>0</v>
      </c>
      <c r="LB400">
        <f>IF($LB$31&lt;=$LB$32,IF($A400&lt;=$LB$7,1,2),IF($A400&lt;=RUNG_BEDS_2,2,1))</f>
        <v>1</v>
      </c>
      <c r="LC400" s="5">
        <f>MIN(1,MAX(0,$LB$26-($A400-1)))</f>
        <v>1</v>
      </c>
      <c r="LD400" s="5">
        <f>$LB$25*(LC400+(1-LC400)*$LB$16)</f>
        <v>84.01774238227146</v>
      </c>
      <c r="LE400" s="13">
        <f>LD400*($LB$6+ACUTE_MARGIN)</f>
        <v>84857.91980609419</v>
      </c>
      <c r="LF400" s="13">
        <f>IF(LB400=1,$LB$31,$LB$32)</f>
        <v>152394.16214437486</v>
      </c>
      <c r="LG400" s="13">
        <f>LE400-LF400</f>
        <v>-67536.24233828067</v>
      </c>
      <c r="LH400" s="13">
        <f>LH399+LG400</f>
        <v>-21408988.821235087</v>
      </c>
      <c r="LI400">
        <f>IF(LH400=MAX($LH$83:$LH$483),$A400,0)</f>
        <v>0</v>
      </c>
      <c r="LJ400">
        <f>IF(LE400&lt;LF400,$A400,B_MAX+1)</f>
        <v>317</v>
      </c>
      <c r="LK400" s="13">
        <f>IF(LB400=1,$LB$35,$LB$36)</f>
        <v>0</v>
      </c>
      <c r="LL400" s="13">
        <f>OCC_DAYS*$LB$41*R_NF_2023-LD400*MCD_SHARE_FREED*R_WAIT_2023</f>
        <v>113776.04162887059</v>
      </c>
      <c r="LM400">
        <f>IF($A400&lt;=$LB$45,1,0)</f>
        <v>0</v>
      </c>
      <c r="MB400">
        <f>IF($MB$31&lt;=$MB$32,IF($A400&lt;=$MB$7,1,2),IF($A400&lt;=RUNG_BEDS_2,2,1))</f>
        <v>1</v>
      </c>
      <c r="MC400" s="5">
        <f>MIN(1,MAX(0,$MB$26-($A400-1)))</f>
        <v>0</v>
      </c>
      <c r="MD400" s="5">
        <f>$MB$25*(MC400+(1-MC400)*$MB$16)</f>
        <v>0.0</v>
      </c>
      <c r="ME400" s="13">
        <f>MD400*($MB$6+ACUTE_MARGIN)</f>
        <v>0.0</v>
      </c>
      <c r="MF400" s="13">
        <f>IF(MB400=1,$MB$31,$MB$32)</f>
        <v>152394.16214437486</v>
      </c>
      <c r="MG400" s="13">
        <f>ME400-MF400</f>
        <v>-152394.16214437486</v>
      </c>
      <c r="MH400" s="13">
        <f>MH399+MG400</f>
        <v>-15967254.833292793</v>
      </c>
      <c r="MI400">
        <f>IF(MH400=MAX($MH$83:$MH$483),$A400,0)</f>
        <v>0</v>
      </c>
      <c r="MJ400">
        <f>IF(ME400&lt;MF400,$A400,B_MAX+1)</f>
        <v>317</v>
      </c>
      <c r="MK400" s="13">
        <f>IF(MB400=1,$MB$35,$MB$36)</f>
        <v>0</v>
      </c>
      <c r="ML400" s="13">
        <f>OCC_DAYS*$MB$41*R_NF_2023-MD400*MCD_SHARE_FREED*R_WAIT_2023</f>
        <v>151980.48282209205</v>
      </c>
      <c r="MM400">
        <f>IF($A400&lt;=$MB$45,1,0)</f>
        <v>0</v>
      </c>
      <c r="NB400">
        <f>IF($NB$31&lt;=$NB$32,IF($A400&lt;=$NB$7,1,2),IF($A400&lt;=RUNG_BEDS_2,2,1))</f>
        <v>1</v>
      </c>
      <c r="NC400" s="5">
        <f>MIN(1,MAX(0,$NB$26-($A400-1)))</f>
        <v>0</v>
      </c>
      <c r="ND400" s="5">
        <f>$NB$25*(NC400+(1-NC400)*$NB$16)</f>
        <v>63.013306786703595</v>
      </c>
      <c r="NE400" s="13">
        <f>ND400*($NB$6+ACUTE_MARGIN)</f>
        <v>63643.43985457063</v>
      </c>
      <c r="NF400" s="13">
        <f>IF(NB400=1,$NB$31,$NB$32)</f>
        <v>152394.16214437486</v>
      </c>
      <c r="NG400" s="13">
        <f>NE400-NF400</f>
        <v>-88750.72228980422</v>
      </c>
      <c r="NH400" s="13">
        <f>NH399+NG400</f>
        <v>537749.0053362844</v>
      </c>
      <c r="NI400">
        <f>IF(NH400=MAX($NH$83:$NH$483),$A400,0)</f>
        <v>0</v>
      </c>
      <c r="NJ400">
        <f>IF(NE400&lt;NF400,$A400,B_MAX+1)</f>
        <v>317</v>
      </c>
      <c r="NK400" s="13">
        <f>IF(NB400=1,$NB$35,$NB$36)</f>
        <v>0</v>
      </c>
      <c r="NL400" s="13">
        <f>OCC_DAYS*$NB$41*R_NF_2023-ND400*MCD_SHARE_FREED*R_WAIT_2023</f>
        <v>123327.15192717595</v>
      </c>
      <c r="NM400">
        <f>IF($A400&lt;=$NB$45,1,0)</f>
        <v>0</v>
      </c>
      <c r="OB400">
        <f>IF($OB$31&lt;=$OB$32,IF($A400&lt;=$OB$7,1,2),IF($A400&lt;=RUNG_BEDS_2,2,1))</f>
        <v>1</v>
      </c>
      <c r="OC400" s="5">
        <f>MIN(1,MAX(0,$OB$26-($A400-1)))</f>
        <v>0</v>
      </c>
      <c r="OD400" s="5">
        <f>$OB$25*(OC400+(1-OC400)*$OB$16)</f>
        <v>126.02661357340719</v>
      </c>
      <c r="OE400" s="13">
        <f>OD400*($OB$6+ACUTE_MARGIN)</f>
        <v>127286.87970914126</v>
      </c>
      <c r="OF400" s="13">
        <f>IF(OB400=1,$OB$31,$OB$32)</f>
        <v>152394.16214437486</v>
      </c>
      <c r="OG400" s="13">
        <f>OE400-OF400</f>
        <v>-25107.282435233603</v>
      </c>
      <c r="OH400" s="13">
        <f>OH399+OG400</f>
        <v>11155476.782167269</v>
      </c>
      <c r="OI400">
        <f>IF(OH400=MAX($OH$83:$OH$483),$A400,0)</f>
        <v>0</v>
      </c>
      <c r="OJ400">
        <f>IF(OE400&lt;OF400,$A400,B_MAX+1)</f>
        <v>317</v>
      </c>
      <c r="OK400" s="13">
        <f>IF(OB400=1,$OB$35,$OB$36)</f>
        <v>0</v>
      </c>
      <c r="OL400" s="13">
        <f>OCC_DAYS*$OB$41*R_NF_2023-OD400*MCD_SHARE_FREED*R_WAIT_2023</f>
        <v>94673.82103225985</v>
      </c>
      <c r="OM400">
        <f>IF($A400&lt;=$OB$45,1,0)</f>
        <v>0</v>
      </c>
    </row>
    <row r="401">
      <c r="A401" t="n">
        <v>318</v>
      </c>
      <c r="B401">
        <f>IF($B$31&lt;=$B$32,IF($A401&lt;=$B$7,1,2),IF($A401&lt;=RUNG_BEDS_2,2,1))</f>
        <v>1</v>
      </c>
      <c r="C401" s="5">
        <f>MIN(1,MAX(0,$B$26-($A401-1)))</f>
        <v>0</v>
      </c>
      <c r="D401" s="5">
        <f>$B$25*(C401+(1-C401)*$B$16)</f>
        <v>0.0</v>
      </c>
      <c r="E401" s="13">
        <f>D401*($B$6+ACUTE_MARGIN)</f>
        <v>0.0</v>
      </c>
      <c r="F401" s="13">
        <f>IF(B401=1,$B$31,$B$32)</f>
        <v>152394.16214437486</v>
      </c>
      <c r="G401" s="13">
        <f>E401-F401</f>
        <v>-152394.16214437486</v>
      </c>
      <c r="H401" s="13">
        <f>H400+G401</f>
        <v>-10232372.933638867</v>
      </c>
      <c r="I401">
        <f>IF(H401=MAX($H$83:$H$483),$A401,0)</f>
        <v>0</v>
      </c>
      <c r="J401">
        <f>IF(E401&lt;F401,$A401,B_MAX+1)</f>
        <v>318</v>
      </c>
      <c r="K401" s="13">
        <f>IF(B401=1,$B$35,$B$36)</f>
        <v>0</v>
      </c>
      <c r="L401" s="13">
        <f>OCC_DAYS*$B$41*R_NF_2023-D401*MCD_SHARE_FREED*R_WAIT_2023</f>
        <v>151980.48282209205</v>
      </c>
      <c r="M401">
        <f>IF($A401&lt;=$B$45,1,0)</f>
        <v>0</v>
      </c>
      <c r="AB401">
        <f>IF($AB$31&lt;=$AB$32,IF($A401&lt;=$AB$7,1,2),IF($A401&lt;=RUNG_BEDS_2,2,1))</f>
        <v>1</v>
      </c>
      <c r="AC401" s="5">
        <f>MIN(1,MAX(0,$AB$26-($A401-1)))</f>
        <v>0</v>
      </c>
      <c r="AD401" s="5">
        <f>$AB$25*(AC401+(1-AC401)*$AB$16)</f>
        <v>0.0</v>
      </c>
      <c r="AE401" s="13">
        <f>AD401*($AB$6+ACUTE_MARGIN)</f>
        <v>0.0</v>
      </c>
      <c r="AF401" s="13">
        <f>IF(AB401=1,$AB$31,$AB$32)</f>
        <v>152394.16214437486</v>
      </c>
      <c r="AG401" s="13">
        <f>AE401-AF401</f>
        <v>-152394.16214437486</v>
      </c>
      <c r="AH401" s="13">
        <f>AH400+AG401</f>
        <v>-27643587.279188603</v>
      </c>
      <c r="AI401">
        <f>IF(AH401=MAX($AH$83:$AH$483),$A401,0)</f>
        <v>0</v>
      </c>
      <c r="AJ401">
        <f>IF(AE401&lt;AF401,$A401,B_MAX+1)</f>
        <v>318</v>
      </c>
      <c r="AK401" s="13">
        <f>IF(AB401=1,$AB$35,$AB$36)</f>
        <v>0</v>
      </c>
      <c r="AL401" s="13">
        <f>OCC_DAYS*$AB$41*R_NF_2023-AD401*MCD_SHARE_FREED*R_WAIT_2023</f>
        <v>151980.48282209205</v>
      </c>
      <c r="AM401">
        <f>IF($A401&lt;=$AB$45,1,0)</f>
        <v>0</v>
      </c>
      <c r="BB401">
        <f>IF($BB$31&lt;=$BB$32,IF($A401&lt;=$BB$7,1,2),IF($A401&lt;=RUNG_BEDS_2,2,1))</f>
        <v>1</v>
      </c>
      <c r="BC401" s="5">
        <f>MIN(1,MAX(0,$BB$26-($A401-1)))</f>
        <v>0</v>
      </c>
      <c r="BD401" s="5">
        <f>$BB$25*(BC401+(1-BC401)*$BB$16)</f>
        <v>0.0</v>
      </c>
      <c r="BE401" s="13">
        <f>BD401*($BB$6+ACUTE_MARGIN)</f>
        <v>0.0</v>
      </c>
      <c r="BF401" s="13">
        <f>IF(BB401=1,$BB$31,$BB$32)</f>
        <v>152394.16214437486</v>
      </c>
      <c r="BG401" s="13">
        <f>BE401-BF401</f>
        <v>-152394.16214437486</v>
      </c>
      <c r="BH401" s="13">
        <f>BH400+BG401</f>
        <v>7178841.411910884</v>
      </c>
      <c r="BI401">
        <f>IF(BH401=MAX($BH$83:$BH$483),$A401,0)</f>
        <v>0</v>
      </c>
      <c r="BJ401">
        <f>IF(BE401&lt;BF401,$A401,B_MAX+1)</f>
        <v>318</v>
      </c>
      <c r="BK401" s="13">
        <f>IF(BB401=1,$BB$35,$BB$36)</f>
        <v>0</v>
      </c>
      <c r="BL401" s="13">
        <f>OCC_DAYS*$BB$41*R_NF_2023-BD401*MCD_SHARE_FREED*R_WAIT_2023</f>
        <v>151980.48282209205</v>
      </c>
      <c r="BM401">
        <f>IF($A401&lt;=$BB$45,1,0)</f>
        <v>0</v>
      </c>
      <c r="CB401">
        <f>IF($CB$31&lt;=$CB$32,IF($A401&lt;=$CB$7,1,2),IF($A401&lt;=RUNG_BEDS_2,2,1))</f>
        <v>2</v>
      </c>
      <c r="CC401" s="5">
        <f>MIN(1,MAX(0,$CB$26-($A401-1)))</f>
        <v>0</v>
      </c>
      <c r="CD401" s="5">
        <f>$CB$25*(CC401+(1-CC401)*$CB$16)</f>
        <v>0.0</v>
      </c>
      <c r="CE401" s="13">
        <f>CD401*($CB$6+ACUTE_MARGIN)</f>
        <v>0.0</v>
      </c>
      <c r="CF401" s="13">
        <f>IF(CB401=1,$CB$31,$CB$32)</f>
        <v>160718.36940738867</v>
      </c>
      <c r="CG401" s="13">
        <f>CE401-CF401</f>
        <v>-160718.36940738867</v>
      </c>
      <c r="CH401" s="13">
        <f>CH400+CG401</f>
        <v>-12879470.843277387</v>
      </c>
      <c r="CI401">
        <f>IF(CH401=MAX($CH$83:$CH$483),$A401,0)</f>
        <v>0</v>
      </c>
      <c r="CJ401">
        <f>IF(CE401&lt;CF401,$A401,B_MAX+1)</f>
        <v>318</v>
      </c>
      <c r="CK401" s="13">
        <f>IF(CB401=1,$CB$35,$CB$36)</f>
        <v>1560.1194073886782</v>
      </c>
      <c r="CL401" s="13">
        <f>OCC_DAYS*$CB$41*R_NF_2023-CD401*MCD_SHARE_FREED*R_WAIT_2023</f>
        <v>151980.48282209205</v>
      </c>
      <c r="CM401">
        <f>IF($A401&lt;=$CB$45,1,0)</f>
        <v>0</v>
      </c>
      <c r="DB401">
        <f>IF($DB$31&lt;=$DB$32,IF($A401&lt;=$DB$7,1,2),IF($A401&lt;=RUNG_BEDS_2,2,1))</f>
        <v>1</v>
      </c>
      <c r="DC401" s="5">
        <f>MIN(1,MAX(0,$DB$26-($A401-1)))</f>
        <v>0</v>
      </c>
      <c r="DD401" s="5">
        <f>$DB$25*(DC401+(1-DC401)*$DB$16)</f>
        <v>0.0</v>
      </c>
      <c r="DE401" s="13">
        <f>DD401*($DB$6+ACUTE_MARGIN)</f>
        <v>0.0</v>
      </c>
      <c r="DF401" s="13">
        <f>IF(DB401=1,$DB$31,$DB$32)</f>
        <v>152394.16214437486</v>
      </c>
      <c r="DG401" s="13">
        <f>DE401-DF401</f>
        <v>-152394.16214437486</v>
      </c>
      <c r="DH401" s="13">
        <f>DH400+DG401</f>
        <v>-10232372.933638867</v>
      </c>
      <c r="DI401">
        <f>IF(DH401=MAX($DH$83:$DH$483),$A401,0)</f>
        <v>0</v>
      </c>
      <c r="DJ401">
        <f>IF(DE401&lt;DF401,$A401,B_MAX+1)</f>
        <v>318</v>
      </c>
      <c r="DK401" s="13">
        <f>IF(DB401=1,$DB$35,$DB$36)</f>
        <v>0</v>
      </c>
      <c r="DL401" s="13">
        <f>OCC_DAYS*$DB$41*R_NF_2023-DD401*MCD_SHARE_FREED*R_WAIT_2023</f>
        <v>151980.48282209205</v>
      </c>
      <c r="DM401">
        <f>IF($A401&lt;=$DB$45,1,0)</f>
        <v>0</v>
      </c>
      <c r="EB401">
        <f>IF($EB$31&lt;=$EB$32,IF($A401&lt;=$EB$7,1,2),IF($A401&lt;=RUNG_BEDS_2,2,1))</f>
        <v>1</v>
      </c>
      <c r="EC401" s="5">
        <f>MIN(1,MAX(0,$EB$26-($A401-1)))</f>
        <v>0</v>
      </c>
      <c r="ED401" s="5">
        <f>$EB$25*(EC401+(1-EC401)*$EB$16)</f>
        <v>0.0</v>
      </c>
      <c r="EE401" s="13">
        <f>ED401*($EB$6+ACUTE_MARGIN)</f>
        <v>0.0</v>
      </c>
      <c r="EF401" s="13">
        <f>IF(EB401=1,$EB$31,$EB$32)</f>
        <v>152394.16214437486</v>
      </c>
      <c r="EG401" s="13">
        <f>EE401-EF401</f>
        <v>-152394.16214437486</v>
      </c>
      <c r="EH401" s="13">
        <f>EH400+EG401</f>
        <v>-10232372.933638867</v>
      </c>
      <c r="EI401">
        <f>IF(EH401=MAX($EH$83:$EH$483),$A401,0)</f>
        <v>0</v>
      </c>
      <c r="EJ401">
        <f>IF(EE401&lt;EF401,$A401,B_MAX+1)</f>
        <v>318</v>
      </c>
      <c r="EK401" s="13">
        <f>IF(EB401=1,$EB$35,$EB$36)</f>
        <v>0</v>
      </c>
      <c r="EL401" s="13">
        <f>OCC_DAYS*$EB$41*R_NF_2023-ED401*MCD_SHARE_FREED*R_WAIT_2023</f>
        <v>50660.16094069735</v>
      </c>
      <c r="EM401">
        <f>IF($A401&lt;=$EB$45,1,0)</f>
        <v>0</v>
      </c>
      <c r="FB401">
        <f>IF($FB$31&lt;=$FB$32,IF($A401&lt;=$FB$7,1,2),IF($A401&lt;=RUNG_BEDS_2,2,1))</f>
        <v>1</v>
      </c>
      <c r="FC401" s="5">
        <f>MIN(1,MAX(0,$FB$26-($A401-1)))</f>
        <v>0</v>
      </c>
      <c r="FD401" s="5">
        <f>$FB$25*(FC401+(1-FC401)*$FB$16)</f>
        <v>0.0</v>
      </c>
      <c r="FE401" s="13">
        <f>FD401*($FB$6+ACUTE_MARGIN)</f>
        <v>0.0</v>
      </c>
      <c r="FF401" s="13">
        <f>IF(FB401=1,$FB$31,$FB$32)</f>
        <v>156636.04979437485</v>
      </c>
      <c r="FG401" s="13">
        <f>FE401-FF401</f>
        <v>-156636.04979437485</v>
      </c>
      <c r="FH401" s="13">
        <f>FH400+FG401</f>
        <v>-11581293.206338972</v>
      </c>
      <c r="FI401">
        <f>IF(FH401=MAX($FH$83:$FH$483),$A401,0)</f>
        <v>0</v>
      </c>
      <c r="FJ401">
        <f>IF(FE401&lt;FF401,$A401,B_MAX+1)</f>
        <v>318</v>
      </c>
      <c r="FK401" s="13">
        <f>IF(FB401=1,$FB$35,$FB$36)</f>
        <v>0</v>
      </c>
      <c r="FL401" s="13">
        <f>OCC_DAYS*$FB$41*R_NF_2023-FD401*MCD_SHARE_FREED*R_WAIT_2023</f>
        <v>151980.48282209205</v>
      </c>
      <c r="FM401">
        <f>IF($A401&lt;=$FB$45,1,0)</f>
        <v>0</v>
      </c>
      <c r="GB401">
        <f>IF($GB$31&lt;=$GB$32,IF($A401&lt;=$GB$7,1,2),IF($A401&lt;=RUNG_BEDS_2,2,1))</f>
        <v>1</v>
      </c>
      <c r="GC401" s="5">
        <f>MIN(1,MAX(0,$GB$26-($A401-1)))</f>
        <v>0</v>
      </c>
      <c r="GD401" s="5">
        <f>$GB$25*(GC401+(1-GC401)*$GB$16)</f>
        <v>0.0</v>
      </c>
      <c r="GE401" s="13">
        <f>GD401*($GB$6+ACUTE_MARGIN)</f>
        <v>0.0</v>
      </c>
      <c r="GF401" s="13">
        <f>IF(GB401=1,$GB$31,$GB$32)</f>
        <v>152394.16214437486</v>
      </c>
      <c r="GG401" s="13">
        <f>GE401-GF401</f>
        <v>-152394.16214437486</v>
      </c>
      <c r="GH401" s="13">
        <f>GH400+GG401</f>
        <v>-10232372.933638867</v>
      </c>
      <c r="GI401">
        <f>IF(GH401=MAX($GH$83:$GH$483),$A401,0)</f>
        <v>0</v>
      </c>
      <c r="GJ401">
        <f>IF(GE401&lt;GF401,$A401,B_MAX+1)</f>
        <v>318</v>
      </c>
      <c r="GK401" s="13">
        <f>IF(GB401=1,$GB$35,$GB$36)</f>
        <v>0</v>
      </c>
      <c r="GL401" s="13">
        <f>OCC_DAYS*$GB$41*R_NF_2023-GD401*MCD_SHARE_FREED*R_WAIT_2023</f>
        <v>151980.48282209205</v>
      </c>
      <c r="GM401">
        <f>IF($A401&lt;=$GB$45,1,0)</f>
        <v>0</v>
      </c>
      <c r="HB401">
        <f>IF($HB$31&lt;=$HB$32,IF($A401&lt;=$HB$7,1,2),IF($A401&lt;=RUNG_BEDS_2,2,1))</f>
        <v>1</v>
      </c>
      <c r="HC401" s="5">
        <f>MIN(1,MAX(0,$HB$26-($A401-1)))</f>
        <v>0</v>
      </c>
      <c r="HD401" s="5">
        <f>$HB$25*(HC401+(1-HC401)*$HB$16)</f>
        <v>0.0</v>
      </c>
      <c r="HE401" s="13">
        <f>HD401*($HB$6+ACUTE_MARGIN)</f>
        <v>0.0</v>
      </c>
      <c r="HF401" s="13">
        <f>IF(HB401=1,$HB$31,$HB$32)</f>
        <v>152456.2970814058</v>
      </c>
      <c r="HG401" s="13">
        <f>HE401-HF401</f>
        <v>-152456.2970814058</v>
      </c>
      <c r="HH401" s="13">
        <f>HH400+HG401</f>
        <v>-10252131.843614753</v>
      </c>
      <c r="HI401">
        <f>IF(HH401=MAX($HH$83:$HH$483),$A401,0)</f>
        <v>0</v>
      </c>
      <c r="HJ401">
        <f>IF(HE401&lt;HF401,$A401,B_MAX+1)</f>
        <v>318</v>
      </c>
      <c r="HK401" s="13">
        <f>IF(HB401=1,$HB$35,$HB$36)</f>
        <v>0</v>
      </c>
      <c r="HL401" s="13">
        <f>OCC_DAYS*$HB$41*R_NF_2023-HD401*MCD_SHARE_FREED*R_WAIT_2023</f>
        <v>151980.48282209205</v>
      </c>
      <c r="HM401">
        <f>IF($A401&lt;=$HB$45,1,0)</f>
        <v>0</v>
      </c>
      <c r="IB401">
        <f>IF($IB$31&lt;=$IB$32,IF($A401&lt;=$IB$7,1,2),IF($A401&lt;=RUNG_BEDS_2,2,1))</f>
        <v>1</v>
      </c>
      <c r="IC401" s="5">
        <f>MIN(1,MAX(0,$IB$26-($A401-1)))</f>
        <v>0</v>
      </c>
      <c r="ID401" s="5">
        <f>$IB$25*(IC401+(1-IC401)*$IB$16)</f>
        <v>0.0</v>
      </c>
      <c r="IE401" s="13">
        <f>ID401*($IB$6+ACUTE_MARGIN)</f>
        <v>0.0</v>
      </c>
      <c r="IF401" s="13">
        <f>IF(IB401=1,$IB$31,$IB$32)</f>
        <v>152734.9994534971</v>
      </c>
      <c r="IG401" s="13">
        <f>IE401-IF401</f>
        <v>-152734.9994534971</v>
      </c>
      <c r="IH401" s="13">
        <f>IH400+IG401</f>
        <v>-10340759.197939824</v>
      </c>
      <c r="II401">
        <f>IF(IH401=MAX($IH$83:$IH$483),$A401,0)</f>
        <v>0</v>
      </c>
      <c r="IJ401">
        <f>IF(IE401&lt;IF401,$A401,B_MAX+1)</f>
        <v>318</v>
      </c>
      <c r="IK401" s="13">
        <f>IF(IB401=1,$IB$35,$IB$36)</f>
        <v>0</v>
      </c>
      <c r="IL401" s="13">
        <f>OCC_DAYS*$IB$41*R_NF_2023-ID401*MCD_SHARE_FREED*R_WAIT_2023</f>
        <v>151980.48282209205</v>
      </c>
      <c r="IM401">
        <f>IF($A401&lt;=$IB$45,1,0)</f>
        <v>0</v>
      </c>
      <c r="JB401">
        <f>IF($JB$31&lt;=$JB$32,IF($A401&lt;=$JB$7,1,2),IF($A401&lt;=RUNG_BEDS_2,2,1))</f>
        <v>1</v>
      </c>
      <c r="JC401" s="5">
        <f>MIN(1,MAX(0,$JB$26-($A401-1)))</f>
        <v>0</v>
      </c>
      <c r="JD401" s="5">
        <f>$JB$25*(JC401+(1-JC401)*$JB$16)</f>
        <v>0.0</v>
      </c>
      <c r="JE401" s="13">
        <f>JD401*($JB$6+ACUTE_MARGIN)</f>
        <v>0.0</v>
      </c>
      <c r="JF401" s="13">
        <f>IF(JB401=1,$JB$31,$JB$32)</f>
        <v>152394.16214437486</v>
      </c>
      <c r="JG401" s="13">
        <f>JE401-JF401</f>
        <v>-152394.16214437486</v>
      </c>
      <c r="JH401" s="13">
        <f>JH400+JG401</f>
        <v>-10232372.933638867</v>
      </c>
      <c r="JI401">
        <f>IF(JH401=MAX($JH$83:$JH$483),$A401,0)</f>
        <v>0</v>
      </c>
      <c r="JJ401">
        <f>IF(JE401&lt;JF401,$A401,B_MAX+1)</f>
        <v>318</v>
      </c>
      <c r="JK401" s="13">
        <f>IF(JB401=1,$JB$35,$JB$36)</f>
        <v>0</v>
      </c>
      <c r="JL401" s="13">
        <f>OCC_DAYS*$JB$41*R_NF_2023-JD401*MCD_SHARE_FREED*R_WAIT_2023</f>
        <v>151980.48282209205</v>
      </c>
      <c r="JM401">
        <f>IF($A401&lt;=$JB$45,1,0)</f>
        <v>0</v>
      </c>
      <c r="KB401">
        <f>IF($KB$31&lt;=$KB$32,IF($A401&lt;=$KB$7,1,2),IF($A401&lt;=RUNG_BEDS_2,2,1))</f>
        <v>1</v>
      </c>
      <c r="KC401" s="5">
        <f>MIN(1,MAX(0,$KB$26-($A401-1)))</f>
        <v>0</v>
      </c>
      <c r="KD401" s="5">
        <f>$KB$25*(KC401+(1-KC401)*$KB$16)</f>
        <v>0.0</v>
      </c>
      <c r="KE401" s="13">
        <f>KD401*($KB$6+ACUTE_MARGIN)</f>
        <v>0.0</v>
      </c>
      <c r="KF401" s="13">
        <f>IF(KB401=1,$KB$31,$KB$32)</f>
        <v>152394.16214437486</v>
      </c>
      <c r="KG401" s="13">
        <f>KE401-KF401</f>
        <v>-152394.16214437486</v>
      </c>
      <c r="KH401" s="13">
        <f>KH400+KG401</f>
        <v>-10232372.933638973</v>
      </c>
      <c r="KI401">
        <f>IF(KH401=MAX($KH$83:$KH$483),$A401,0)</f>
        <v>0</v>
      </c>
      <c r="KJ401">
        <f>IF(KE401&lt;KF401,$A401,B_MAX+1)</f>
        <v>318</v>
      </c>
      <c r="KK401" s="13">
        <f>IF(KB401=1,$KB$35,$KB$36)</f>
        <v>0</v>
      </c>
      <c r="KL401" s="13">
        <f>OCC_DAYS*$KB$41*R_NF_2023-KD401*MCD_SHARE_FREED*R_WAIT_2023</f>
        <v>151980.48282209205</v>
      </c>
      <c r="KM401">
        <f>IF($A401&lt;=$KB$45,1,0)</f>
        <v>0</v>
      </c>
      <c r="LB401">
        <f>IF($LB$31&lt;=$LB$32,IF($A401&lt;=$LB$7,1,2),IF($A401&lt;=RUNG_BEDS_2,2,1))</f>
        <v>1</v>
      </c>
      <c r="LC401" s="5">
        <f>MIN(1,MAX(0,$LB$26-($A401-1)))</f>
        <v>1</v>
      </c>
      <c r="LD401" s="5">
        <f>$LB$25*(LC401+(1-LC401)*$LB$16)</f>
        <v>84.01774238227146</v>
      </c>
      <c r="LE401" s="13">
        <f>LD401*($LB$6+ACUTE_MARGIN)</f>
        <v>84857.91980609419</v>
      </c>
      <c r="LF401" s="13">
        <f>IF(LB401=1,$LB$31,$LB$32)</f>
        <v>152394.16214437486</v>
      </c>
      <c r="LG401" s="13">
        <f>LE401-LF401</f>
        <v>-67536.24233828067</v>
      </c>
      <c r="LH401" s="13">
        <f>LH400+LG401</f>
        <v>-21476525.063573368</v>
      </c>
      <c r="LI401">
        <f>IF(LH401=MAX($LH$83:$LH$483),$A401,0)</f>
        <v>0</v>
      </c>
      <c r="LJ401">
        <f>IF(LE401&lt;LF401,$A401,B_MAX+1)</f>
        <v>318</v>
      </c>
      <c r="LK401" s="13">
        <f>IF(LB401=1,$LB$35,$LB$36)</f>
        <v>0</v>
      </c>
      <c r="LL401" s="13">
        <f>OCC_DAYS*$LB$41*R_NF_2023-LD401*MCD_SHARE_FREED*R_WAIT_2023</f>
        <v>113776.04162887059</v>
      </c>
      <c r="LM401">
        <f>IF($A401&lt;=$LB$45,1,0)</f>
        <v>0</v>
      </c>
      <c r="MB401">
        <f>IF($MB$31&lt;=$MB$32,IF($A401&lt;=$MB$7,1,2),IF($A401&lt;=RUNG_BEDS_2,2,1))</f>
        <v>1</v>
      </c>
      <c r="MC401" s="5">
        <f>MIN(1,MAX(0,$MB$26-($A401-1)))</f>
        <v>0</v>
      </c>
      <c r="MD401" s="5">
        <f>$MB$25*(MC401+(1-MC401)*$MB$16)</f>
        <v>0.0</v>
      </c>
      <c r="ME401" s="13">
        <f>MD401*($MB$6+ACUTE_MARGIN)</f>
        <v>0.0</v>
      </c>
      <c r="MF401" s="13">
        <f>IF(MB401=1,$MB$31,$MB$32)</f>
        <v>152394.16214437486</v>
      </c>
      <c r="MG401" s="13">
        <f>ME401-MF401</f>
        <v>-152394.16214437486</v>
      </c>
      <c r="MH401" s="13">
        <f>MH400+MG401</f>
        <v>-16119648.995437168</v>
      </c>
      <c r="MI401">
        <f>IF(MH401=MAX($MH$83:$MH$483),$A401,0)</f>
        <v>0</v>
      </c>
      <c r="MJ401">
        <f>IF(ME401&lt;MF401,$A401,B_MAX+1)</f>
        <v>318</v>
      </c>
      <c r="MK401" s="13">
        <f>IF(MB401=1,$MB$35,$MB$36)</f>
        <v>0</v>
      </c>
      <c r="ML401" s="13">
        <f>OCC_DAYS*$MB$41*R_NF_2023-MD401*MCD_SHARE_FREED*R_WAIT_2023</f>
        <v>151980.48282209205</v>
      </c>
      <c r="MM401">
        <f>IF($A401&lt;=$MB$45,1,0)</f>
        <v>0</v>
      </c>
      <c r="NB401">
        <f>IF($NB$31&lt;=$NB$32,IF($A401&lt;=$NB$7,1,2),IF($A401&lt;=RUNG_BEDS_2,2,1))</f>
        <v>1</v>
      </c>
      <c r="NC401" s="5">
        <f>MIN(1,MAX(0,$NB$26-($A401-1)))</f>
        <v>0</v>
      </c>
      <c r="ND401" s="5">
        <f>$NB$25*(NC401+(1-NC401)*$NB$16)</f>
        <v>63.013306786703595</v>
      </c>
      <c r="NE401" s="13">
        <f>ND401*($NB$6+ACUTE_MARGIN)</f>
        <v>63643.43985457063</v>
      </c>
      <c r="NF401" s="13">
        <f>IF(NB401=1,$NB$31,$NB$32)</f>
        <v>152394.16214437486</v>
      </c>
      <c r="NG401" s="13">
        <f>NE401-NF401</f>
        <v>-88750.72228980422</v>
      </c>
      <c r="NH401" s="13">
        <f>NH400+NG401</f>
        <v>448998.28304648015</v>
      </c>
      <c r="NI401">
        <f>IF(NH401=MAX($NH$83:$NH$483),$A401,0)</f>
        <v>0</v>
      </c>
      <c r="NJ401">
        <f>IF(NE401&lt;NF401,$A401,B_MAX+1)</f>
        <v>318</v>
      </c>
      <c r="NK401" s="13">
        <f>IF(NB401=1,$NB$35,$NB$36)</f>
        <v>0</v>
      </c>
      <c r="NL401" s="13">
        <f>OCC_DAYS*$NB$41*R_NF_2023-ND401*MCD_SHARE_FREED*R_WAIT_2023</f>
        <v>123327.15192717595</v>
      </c>
      <c r="NM401">
        <f>IF($A401&lt;=$NB$45,1,0)</f>
        <v>0</v>
      </c>
      <c r="OB401">
        <f>IF($OB$31&lt;=$OB$32,IF($A401&lt;=$OB$7,1,2),IF($A401&lt;=RUNG_BEDS_2,2,1))</f>
        <v>1</v>
      </c>
      <c r="OC401" s="5">
        <f>MIN(1,MAX(0,$OB$26-($A401-1)))</f>
        <v>0</v>
      </c>
      <c r="OD401" s="5">
        <f>$OB$25*(OC401+(1-OC401)*$OB$16)</f>
        <v>126.02661357340719</v>
      </c>
      <c r="OE401" s="13">
        <f>OD401*($OB$6+ACUTE_MARGIN)</f>
        <v>127286.87970914126</v>
      </c>
      <c r="OF401" s="13">
        <f>IF(OB401=1,$OB$31,$OB$32)</f>
        <v>152394.16214437486</v>
      </c>
      <c r="OG401" s="13">
        <f>OE401-OF401</f>
        <v>-25107.282435233603</v>
      </c>
      <c r="OH401" s="13">
        <f>OH400+OG401</f>
        <v>11130369.499732036</v>
      </c>
      <c r="OI401">
        <f>IF(OH401=MAX($OH$83:$OH$483),$A401,0)</f>
        <v>0</v>
      </c>
      <c r="OJ401">
        <f>IF(OE401&lt;OF401,$A401,B_MAX+1)</f>
        <v>318</v>
      </c>
      <c r="OK401" s="13">
        <f>IF(OB401=1,$OB$35,$OB$36)</f>
        <v>0</v>
      </c>
      <c r="OL401" s="13">
        <f>OCC_DAYS*$OB$41*R_NF_2023-OD401*MCD_SHARE_FREED*R_WAIT_2023</f>
        <v>94673.82103225985</v>
      </c>
      <c r="OM401">
        <f>IF($A401&lt;=$OB$45,1,0)</f>
        <v>0</v>
      </c>
    </row>
    <row r="402">
      <c r="A402" t="n">
        <v>319</v>
      </c>
      <c r="B402">
        <f>IF($B$31&lt;=$B$32,IF($A402&lt;=$B$7,1,2),IF($A402&lt;=RUNG_BEDS_2,2,1))</f>
        <v>1</v>
      </c>
      <c r="C402" s="5">
        <f>MIN(1,MAX(0,$B$26-($A402-1)))</f>
        <v>0</v>
      </c>
      <c r="D402" s="5">
        <f>$B$25*(C402+(1-C402)*$B$16)</f>
        <v>0.0</v>
      </c>
      <c r="E402" s="13">
        <f>D402*($B$6+ACUTE_MARGIN)</f>
        <v>0.0</v>
      </c>
      <c r="F402" s="13">
        <f>IF(B402=1,$B$31,$B$32)</f>
        <v>152394.16214437486</v>
      </c>
      <c r="G402" s="13">
        <f>E402-F402</f>
        <v>-152394.16214437486</v>
      </c>
      <c r="H402" s="13">
        <f>H401+G402</f>
        <v>-10384767.095783241</v>
      </c>
      <c r="I402">
        <f>IF(H402=MAX($H$83:$H$483),$A402,0)</f>
        <v>0</v>
      </c>
      <c r="J402">
        <f>IF(E402&lt;F402,$A402,B_MAX+1)</f>
        <v>319</v>
      </c>
      <c r="K402" s="13">
        <f>IF(B402=1,$B$35,$B$36)</f>
        <v>0</v>
      </c>
      <c r="L402" s="13">
        <f>OCC_DAYS*$B$41*R_NF_2023-D402*MCD_SHARE_FREED*R_WAIT_2023</f>
        <v>151980.48282209205</v>
      </c>
      <c r="M402">
        <f>IF($A402&lt;=$B$45,1,0)</f>
        <v>0</v>
      </c>
      <c r="AB402">
        <f>IF($AB$31&lt;=$AB$32,IF($A402&lt;=$AB$7,1,2),IF($A402&lt;=RUNG_BEDS_2,2,1))</f>
        <v>1</v>
      </c>
      <c r="AC402" s="5">
        <f>MIN(1,MAX(0,$AB$26-($A402-1)))</f>
        <v>0</v>
      </c>
      <c r="AD402" s="5">
        <f>$AB$25*(AC402+(1-AC402)*$AB$16)</f>
        <v>0.0</v>
      </c>
      <c r="AE402" s="13">
        <f>AD402*($AB$6+ACUTE_MARGIN)</f>
        <v>0.0</v>
      </c>
      <c r="AF402" s="13">
        <f>IF(AB402=1,$AB$31,$AB$32)</f>
        <v>152394.16214437486</v>
      </c>
      <c r="AG402" s="13">
        <f>AE402-AF402</f>
        <v>-152394.16214437486</v>
      </c>
      <c r="AH402" s="13">
        <f>AH401+AG402</f>
        <v>-27795981.441332977</v>
      </c>
      <c r="AI402">
        <f>IF(AH402=MAX($AH$83:$AH$483),$A402,0)</f>
        <v>0</v>
      </c>
      <c r="AJ402">
        <f>IF(AE402&lt;AF402,$A402,B_MAX+1)</f>
        <v>319</v>
      </c>
      <c r="AK402" s="13">
        <f>IF(AB402=1,$AB$35,$AB$36)</f>
        <v>0</v>
      </c>
      <c r="AL402" s="13">
        <f>OCC_DAYS*$AB$41*R_NF_2023-AD402*MCD_SHARE_FREED*R_WAIT_2023</f>
        <v>151980.48282209205</v>
      </c>
      <c r="AM402">
        <f>IF($A402&lt;=$AB$45,1,0)</f>
        <v>0</v>
      </c>
      <c r="BB402">
        <f>IF($BB$31&lt;=$BB$32,IF($A402&lt;=$BB$7,1,2),IF($A402&lt;=RUNG_BEDS_2,2,1))</f>
        <v>1</v>
      </c>
      <c r="BC402" s="5">
        <f>MIN(1,MAX(0,$BB$26-($A402-1)))</f>
        <v>0</v>
      </c>
      <c r="BD402" s="5">
        <f>$BB$25*(BC402+(1-BC402)*$BB$16)</f>
        <v>0.0</v>
      </c>
      <c r="BE402" s="13">
        <f>BD402*($BB$6+ACUTE_MARGIN)</f>
        <v>0.0</v>
      </c>
      <c r="BF402" s="13">
        <f>IF(BB402=1,$BB$31,$BB$32)</f>
        <v>152394.16214437486</v>
      </c>
      <c r="BG402" s="13">
        <f>BE402-BF402</f>
        <v>-152394.16214437486</v>
      </c>
      <c r="BH402" s="13">
        <f>BH401+BG402</f>
        <v>7026447.249766509</v>
      </c>
      <c r="BI402">
        <f>IF(BH402=MAX($BH$83:$BH$483),$A402,0)</f>
        <v>0</v>
      </c>
      <c r="BJ402">
        <f>IF(BE402&lt;BF402,$A402,B_MAX+1)</f>
        <v>319</v>
      </c>
      <c r="BK402" s="13">
        <f>IF(BB402=1,$BB$35,$BB$36)</f>
        <v>0</v>
      </c>
      <c r="BL402" s="13">
        <f>OCC_DAYS*$BB$41*R_NF_2023-BD402*MCD_SHARE_FREED*R_WAIT_2023</f>
        <v>151980.48282209205</v>
      </c>
      <c r="BM402">
        <f>IF($A402&lt;=$BB$45,1,0)</f>
        <v>0</v>
      </c>
      <c r="CB402">
        <f>IF($CB$31&lt;=$CB$32,IF($A402&lt;=$CB$7,1,2),IF($A402&lt;=RUNG_BEDS_2,2,1))</f>
        <v>2</v>
      </c>
      <c r="CC402" s="5">
        <f>MIN(1,MAX(0,$CB$26-($A402-1)))</f>
        <v>0</v>
      </c>
      <c r="CD402" s="5">
        <f>$CB$25*(CC402+(1-CC402)*$CB$16)</f>
        <v>0.0</v>
      </c>
      <c r="CE402" s="13">
        <f>CD402*($CB$6+ACUTE_MARGIN)</f>
        <v>0.0</v>
      </c>
      <c r="CF402" s="13">
        <f>IF(CB402=1,$CB$31,$CB$32)</f>
        <v>160718.36940738867</v>
      </c>
      <c r="CG402" s="13">
        <f>CE402-CF402</f>
        <v>-160718.36940738867</v>
      </c>
      <c r="CH402" s="13">
        <f>CH401+CG402</f>
        <v>-13040189.212684777</v>
      </c>
      <c r="CI402">
        <f>IF(CH402=MAX($CH$83:$CH$483),$A402,0)</f>
        <v>0</v>
      </c>
      <c r="CJ402">
        <f>IF(CE402&lt;CF402,$A402,B_MAX+1)</f>
        <v>319</v>
      </c>
      <c r="CK402" s="13">
        <f>IF(CB402=1,$CB$35,$CB$36)</f>
        <v>1560.1194073886782</v>
      </c>
      <c r="CL402" s="13">
        <f>OCC_DAYS*$CB$41*R_NF_2023-CD402*MCD_SHARE_FREED*R_WAIT_2023</f>
        <v>151980.48282209205</v>
      </c>
      <c r="CM402">
        <f>IF($A402&lt;=$CB$45,1,0)</f>
        <v>0</v>
      </c>
      <c r="DB402">
        <f>IF($DB$31&lt;=$DB$32,IF($A402&lt;=$DB$7,1,2),IF($A402&lt;=RUNG_BEDS_2,2,1))</f>
        <v>1</v>
      </c>
      <c r="DC402" s="5">
        <f>MIN(1,MAX(0,$DB$26-($A402-1)))</f>
        <v>0</v>
      </c>
      <c r="DD402" s="5">
        <f>$DB$25*(DC402+(1-DC402)*$DB$16)</f>
        <v>0.0</v>
      </c>
      <c r="DE402" s="13">
        <f>DD402*($DB$6+ACUTE_MARGIN)</f>
        <v>0.0</v>
      </c>
      <c r="DF402" s="13">
        <f>IF(DB402=1,$DB$31,$DB$32)</f>
        <v>152394.16214437486</v>
      </c>
      <c r="DG402" s="13">
        <f>DE402-DF402</f>
        <v>-152394.16214437486</v>
      </c>
      <c r="DH402" s="13">
        <f>DH401+DG402</f>
        <v>-10384767.095783241</v>
      </c>
      <c r="DI402">
        <f>IF(DH402=MAX($DH$83:$DH$483),$A402,0)</f>
        <v>0</v>
      </c>
      <c r="DJ402">
        <f>IF(DE402&lt;DF402,$A402,B_MAX+1)</f>
        <v>319</v>
      </c>
      <c r="DK402" s="13">
        <f>IF(DB402=1,$DB$35,$DB$36)</f>
        <v>0</v>
      </c>
      <c r="DL402" s="13">
        <f>OCC_DAYS*$DB$41*R_NF_2023-DD402*MCD_SHARE_FREED*R_WAIT_2023</f>
        <v>151980.48282209205</v>
      </c>
      <c r="DM402">
        <f>IF($A402&lt;=$DB$45,1,0)</f>
        <v>0</v>
      </c>
      <c r="EB402">
        <f>IF($EB$31&lt;=$EB$32,IF($A402&lt;=$EB$7,1,2),IF($A402&lt;=RUNG_BEDS_2,2,1))</f>
        <v>1</v>
      </c>
      <c r="EC402" s="5">
        <f>MIN(1,MAX(0,$EB$26-($A402-1)))</f>
        <v>0</v>
      </c>
      <c r="ED402" s="5">
        <f>$EB$25*(EC402+(1-EC402)*$EB$16)</f>
        <v>0.0</v>
      </c>
      <c r="EE402" s="13">
        <f>ED402*($EB$6+ACUTE_MARGIN)</f>
        <v>0.0</v>
      </c>
      <c r="EF402" s="13">
        <f>IF(EB402=1,$EB$31,$EB$32)</f>
        <v>152394.16214437486</v>
      </c>
      <c r="EG402" s="13">
        <f>EE402-EF402</f>
        <v>-152394.16214437486</v>
      </c>
      <c r="EH402" s="13">
        <f>EH401+EG402</f>
        <v>-10384767.095783241</v>
      </c>
      <c r="EI402">
        <f>IF(EH402=MAX($EH$83:$EH$483),$A402,0)</f>
        <v>0</v>
      </c>
      <c r="EJ402">
        <f>IF(EE402&lt;EF402,$A402,B_MAX+1)</f>
        <v>319</v>
      </c>
      <c r="EK402" s="13">
        <f>IF(EB402=1,$EB$35,$EB$36)</f>
        <v>0</v>
      </c>
      <c r="EL402" s="13">
        <f>OCC_DAYS*$EB$41*R_NF_2023-ED402*MCD_SHARE_FREED*R_WAIT_2023</f>
        <v>50660.16094069735</v>
      </c>
      <c r="EM402">
        <f>IF($A402&lt;=$EB$45,1,0)</f>
        <v>0</v>
      </c>
      <c r="FB402">
        <f>IF($FB$31&lt;=$FB$32,IF($A402&lt;=$FB$7,1,2),IF($A402&lt;=RUNG_BEDS_2,2,1))</f>
        <v>1</v>
      </c>
      <c r="FC402" s="5">
        <f>MIN(1,MAX(0,$FB$26-($A402-1)))</f>
        <v>0</v>
      </c>
      <c r="FD402" s="5">
        <f>$FB$25*(FC402+(1-FC402)*$FB$16)</f>
        <v>0.0</v>
      </c>
      <c r="FE402" s="13">
        <f>FD402*($FB$6+ACUTE_MARGIN)</f>
        <v>0.0</v>
      </c>
      <c r="FF402" s="13">
        <f>IF(FB402=1,$FB$31,$FB$32)</f>
        <v>156636.04979437485</v>
      </c>
      <c r="FG402" s="13">
        <f>FE402-FF402</f>
        <v>-156636.04979437485</v>
      </c>
      <c r="FH402" s="13">
        <f>FH401+FG402</f>
        <v>-11737929.256133346</v>
      </c>
      <c r="FI402">
        <f>IF(FH402=MAX($FH$83:$FH$483),$A402,0)</f>
        <v>0</v>
      </c>
      <c r="FJ402">
        <f>IF(FE402&lt;FF402,$A402,B_MAX+1)</f>
        <v>319</v>
      </c>
      <c r="FK402" s="13">
        <f>IF(FB402=1,$FB$35,$FB$36)</f>
        <v>0</v>
      </c>
      <c r="FL402" s="13">
        <f>OCC_DAYS*$FB$41*R_NF_2023-FD402*MCD_SHARE_FREED*R_WAIT_2023</f>
        <v>151980.48282209205</v>
      </c>
      <c r="FM402">
        <f>IF($A402&lt;=$FB$45,1,0)</f>
        <v>0</v>
      </c>
      <c r="GB402">
        <f>IF($GB$31&lt;=$GB$32,IF($A402&lt;=$GB$7,1,2),IF($A402&lt;=RUNG_BEDS_2,2,1))</f>
        <v>1</v>
      </c>
      <c r="GC402" s="5">
        <f>MIN(1,MAX(0,$GB$26-($A402-1)))</f>
        <v>0</v>
      </c>
      <c r="GD402" s="5">
        <f>$GB$25*(GC402+(1-GC402)*$GB$16)</f>
        <v>0.0</v>
      </c>
      <c r="GE402" s="13">
        <f>GD402*($GB$6+ACUTE_MARGIN)</f>
        <v>0.0</v>
      </c>
      <c r="GF402" s="13">
        <f>IF(GB402=1,$GB$31,$GB$32)</f>
        <v>152394.16214437486</v>
      </c>
      <c r="GG402" s="13">
        <f>GE402-GF402</f>
        <v>-152394.16214437486</v>
      </c>
      <c r="GH402" s="13">
        <f>GH401+GG402</f>
        <v>-10384767.095783241</v>
      </c>
      <c r="GI402">
        <f>IF(GH402=MAX($GH$83:$GH$483),$A402,0)</f>
        <v>0</v>
      </c>
      <c r="GJ402">
        <f>IF(GE402&lt;GF402,$A402,B_MAX+1)</f>
        <v>319</v>
      </c>
      <c r="GK402" s="13">
        <f>IF(GB402=1,$GB$35,$GB$36)</f>
        <v>0</v>
      </c>
      <c r="GL402" s="13">
        <f>OCC_DAYS*$GB$41*R_NF_2023-GD402*MCD_SHARE_FREED*R_WAIT_2023</f>
        <v>151980.48282209205</v>
      </c>
      <c r="GM402">
        <f>IF($A402&lt;=$GB$45,1,0)</f>
        <v>0</v>
      </c>
      <c r="HB402">
        <f>IF($HB$31&lt;=$HB$32,IF($A402&lt;=$HB$7,1,2),IF($A402&lt;=RUNG_BEDS_2,2,1))</f>
        <v>1</v>
      </c>
      <c r="HC402" s="5">
        <f>MIN(1,MAX(0,$HB$26-($A402-1)))</f>
        <v>0</v>
      </c>
      <c r="HD402" s="5">
        <f>$HB$25*(HC402+(1-HC402)*$HB$16)</f>
        <v>0.0</v>
      </c>
      <c r="HE402" s="13">
        <f>HD402*($HB$6+ACUTE_MARGIN)</f>
        <v>0.0</v>
      </c>
      <c r="HF402" s="13">
        <f>IF(HB402=1,$HB$31,$HB$32)</f>
        <v>152456.2970814058</v>
      </c>
      <c r="HG402" s="13">
        <f>HE402-HF402</f>
        <v>-152456.2970814058</v>
      </c>
      <c r="HH402" s="13">
        <f>HH401+HG402</f>
        <v>-10404588.140696159</v>
      </c>
      <c r="HI402">
        <f>IF(HH402=MAX($HH$83:$HH$483),$A402,0)</f>
        <v>0</v>
      </c>
      <c r="HJ402">
        <f>IF(HE402&lt;HF402,$A402,B_MAX+1)</f>
        <v>319</v>
      </c>
      <c r="HK402" s="13">
        <f>IF(HB402=1,$HB$35,$HB$36)</f>
        <v>0</v>
      </c>
      <c r="HL402" s="13">
        <f>OCC_DAYS*$HB$41*R_NF_2023-HD402*MCD_SHARE_FREED*R_WAIT_2023</f>
        <v>151980.48282209205</v>
      </c>
      <c r="HM402">
        <f>IF($A402&lt;=$HB$45,1,0)</f>
        <v>0</v>
      </c>
      <c r="IB402">
        <f>IF($IB$31&lt;=$IB$32,IF($A402&lt;=$IB$7,1,2),IF($A402&lt;=RUNG_BEDS_2,2,1))</f>
        <v>1</v>
      </c>
      <c r="IC402" s="5">
        <f>MIN(1,MAX(0,$IB$26-($A402-1)))</f>
        <v>0</v>
      </c>
      <c r="ID402" s="5">
        <f>$IB$25*(IC402+(1-IC402)*$IB$16)</f>
        <v>0.0</v>
      </c>
      <c r="IE402" s="13">
        <f>ID402*($IB$6+ACUTE_MARGIN)</f>
        <v>0.0</v>
      </c>
      <c r="IF402" s="13">
        <f>IF(IB402=1,$IB$31,$IB$32)</f>
        <v>152734.9994534971</v>
      </c>
      <c r="IG402" s="13">
        <f>IE402-IF402</f>
        <v>-152734.9994534971</v>
      </c>
      <c r="IH402" s="13">
        <f>IH401+IG402</f>
        <v>-10493494.19739332</v>
      </c>
      <c r="II402">
        <f>IF(IH402=MAX($IH$83:$IH$483),$A402,0)</f>
        <v>0</v>
      </c>
      <c r="IJ402">
        <f>IF(IE402&lt;IF402,$A402,B_MAX+1)</f>
        <v>319</v>
      </c>
      <c r="IK402" s="13">
        <f>IF(IB402=1,$IB$35,$IB$36)</f>
        <v>0</v>
      </c>
      <c r="IL402" s="13">
        <f>OCC_DAYS*$IB$41*R_NF_2023-ID402*MCD_SHARE_FREED*R_WAIT_2023</f>
        <v>151980.48282209205</v>
      </c>
      <c r="IM402">
        <f>IF($A402&lt;=$IB$45,1,0)</f>
        <v>0</v>
      </c>
      <c r="JB402">
        <f>IF($JB$31&lt;=$JB$32,IF($A402&lt;=$JB$7,1,2),IF($A402&lt;=RUNG_BEDS_2,2,1))</f>
        <v>1</v>
      </c>
      <c r="JC402" s="5">
        <f>MIN(1,MAX(0,$JB$26-($A402-1)))</f>
        <v>0</v>
      </c>
      <c r="JD402" s="5">
        <f>$JB$25*(JC402+(1-JC402)*$JB$16)</f>
        <v>0.0</v>
      </c>
      <c r="JE402" s="13">
        <f>JD402*($JB$6+ACUTE_MARGIN)</f>
        <v>0.0</v>
      </c>
      <c r="JF402" s="13">
        <f>IF(JB402=1,$JB$31,$JB$32)</f>
        <v>152394.16214437486</v>
      </c>
      <c r="JG402" s="13">
        <f>JE402-JF402</f>
        <v>-152394.16214437486</v>
      </c>
      <c r="JH402" s="13">
        <f>JH401+JG402</f>
        <v>-10384767.095783241</v>
      </c>
      <c r="JI402">
        <f>IF(JH402=MAX($JH$83:$JH$483),$A402,0)</f>
        <v>0</v>
      </c>
      <c r="JJ402">
        <f>IF(JE402&lt;JF402,$A402,B_MAX+1)</f>
        <v>319</v>
      </c>
      <c r="JK402" s="13">
        <f>IF(JB402=1,$JB$35,$JB$36)</f>
        <v>0</v>
      </c>
      <c r="JL402" s="13">
        <f>OCC_DAYS*$JB$41*R_NF_2023-JD402*MCD_SHARE_FREED*R_WAIT_2023</f>
        <v>151980.48282209205</v>
      </c>
      <c r="JM402">
        <f>IF($A402&lt;=$JB$45,1,0)</f>
        <v>0</v>
      </c>
      <c r="KB402">
        <f>IF($KB$31&lt;=$KB$32,IF($A402&lt;=$KB$7,1,2),IF($A402&lt;=RUNG_BEDS_2,2,1))</f>
        <v>1</v>
      </c>
      <c r="KC402" s="5">
        <f>MIN(1,MAX(0,$KB$26-($A402-1)))</f>
        <v>0</v>
      </c>
      <c r="KD402" s="5">
        <f>$KB$25*(KC402+(1-KC402)*$KB$16)</f>
        <v>0.0</v>
      </c>
      <c r="KE402" s="13">
        <f>KD402*($KB$6+ACUTE_MARGIN)</f>
        <v>0.0</v>
      </c>
      <c r="KF402" s="13">
        <f>IF(KB402=1,$KB$31,$KB$32)</f>
        <v>152394.16214437486</v>
      </c>
      <c r="KG402" s="13">
        <f>KE402-KF402</f>
        <v>-152394.16214437486</v>
      </c>
      <c r="KH402" s="13">
        <f>KH401+KG402</f>
        <v>-10384767.095783347</v>
      </c>
      <c r="KI402">
        <f>IF(KH402=MAX($KH$83:$KH$483),$A402,0)</f>
        <v>0</v>
      </c>
      <c r="KJ402">
        <f>IF(KE402&lt;KF402,$A402,B_MAX+1)</f>
        <v>319</v>
      </c>
      <c r="KK402" s="13">
        <f>IF(KB402=1,$KB$35,$KB$36)</f>
        <v>0</v>
      </c>
      <c r="KL402" s="13">
        <f>OCC_DAYS*$KB$41*R_NF_2023-KD402*MCD_SHARE_FREED*R_WAIT_2023</f>
        <v>151980.48282209205</v>
      </c>
      <c r="KM402">
        <f>IF($A402&lt;=$KB$45,1,0)</f>
        <v>0</v>
      </c>
      <c r="LB402">
        <f>IF($LB$31&lt;=$LB$32,IF($A402&lt;=$LB$7,1,2),IF($A402&lt;=RUNG_BEDS_2,2,1))</f>
        <v>1</v>
      </c>
      <c r="LC402" s="5">
        <f>MIN(1,MAX(0,$LB$26-($A402-1)))</f>
        <v>1</v>
      </c>
      <c r="LD402" s="5">
        <f>$LB$25*(LC402+(1-LC402)*$LB$16)</f>
        <v>84.01774238227146</v>
      </c>
      <c r="LE402" s="13">
        <f>LD402*($LB$6+ACUTE_MARGIN)</f>
        <v>84857.91980609419</v>
      </c>
      <c r="LF402" s="13">
        <f>IF(LB402=1,$LB$31,$LB$32)</f>
        <v>152394.16214437486</v>
      </c>
      <c r="LG402" s="13">
        <f>LE402-LF402</f>
        <v>-67536.24233828067</v>
      </c>
      <c r="LH402" s="13">
        <f>LH401+LG402</f>
        <v>-21544061.30591165</v>
      </c>
      <c r="LI402">
        <f>IF(LH402=MAX($LH$83:$LH$483),$A402,0)</f>
        <v>0</v>
      </c>
      <c r="LJ402">
        <f>IF(LE402&lt;LF402,$A402,B_MAX+1)</f>
        <v>319</v>
      </c>
      <c r="LK402" s="13">
        <f>IF(LB402=1,$LB$35,$LB$36)</f>
        <v>0</v>
      </c>
      <c r="LL402" s="13">
        <f>OCC_DAYS*$LB$41*R_NF_2023-LD402*MCD_SHARE_FREED*R_WAIT_2023</f>
        <v>113776.04162887059</v>
      </c>
      <c r="LM402">
        <f>IF($A402&lt;=$LB$45,1,0)</f>
        <v>0</v>
      </c>
      <c r="MB402">
        <f>IF($MB$31&lt;=$MB$32,IF($A402&lt;=$MB$7,1,2),IF($A402&lt;=RUNG_BEDS_2,2,1))</f>
        <v>1</v>
      </c>
      <c r="MC402" s="5">
        <f>MIN(1,MAX(0,$MB$26-($A402-1)))</f>
        <v>0</v>
      </c>
      <c r="MD402" s="5">
        <f>$MB$25*(MC402+(1-MC402)*$MB$16)</f>
        <v>0.0</v>
      </c>
      <c r="ME402" s="13">
        <f>MD402*($MB$6+ACUTE_MARGIN)</f>
        <v>0.0</v>
      </c>
      <c r="MF402" s="13">
        <f>IF(MB402=1,$MB$31,$MB$32)</f>
        <v>152394.16214437486</v>
      </c>
      <c r="MG402" s="13">
        <f>ME402-MF402</f>
        <v>-152394.16214437486</v>
      </c>
      <c r="MH402" s="13">
        <f>MH401+MG402</f>
        <v>-16272043.157581542</v>
      </c>
      <c r="MI402">
        <f>IF(MH402=MAX($MH$83:$MH$483),$A402,0)</f>
        <v>0</v>
      </c>
      <c r="MJ402">
        <f>IF(ME402&lt;MF402,$A402,B_MAX+1)</f>
        <v>319</v>
      </c>
      <c r="MK402" s="13">
        <f>IF(MB402=1,$MB$35,$MB$36)</f>
        <v>0</v>
      </c>
      <c r="ML402" s="13">
        <f>OCC_DAYS*$MB$41*R_NF_2023-MD402*MCD_SHARE_FREED*R_WAIT_2023</f>
        <v>151980.48282209205</v>
      </c>
      <c r="MM402">
        <f>IF($A402&lt;=$MB$45,1,0)</f>
        <v>0</v>
      </c>
      <c r="NB402">
        <f>IF($NB$31&lt;=$NB$32,IF($A402&lt;=$NB$7,1,2),IF($A402&lt;=RUNG_BEDS_2,2,1))</f>
        <v>1</v>
      </c>
      <c r="NC402" s="5">
        <f>MIN(1,MAX(0,$NB$26-($A402-1)))</f>
        <v>0</v>
      </c>
      <c r="ND402" s="5">
        <f>$NB$25*(NC402+(1-NC402)*$NB$16)</f>
        <v>63.013306786703595</v>
      </c>
      <c r="NE402" s="13">
        <f>ND402*($NB$6+ACUTE_MARGIN)</f>
        <v>63643.43985457063</v>
      </c>
      <c r="NF402" s="13">
        <f>IF(NB402=1,$NB$31,$NB$32)</f>
        <v>152394.16214437486</v>
      </c>
      <c r="NG402" s="13">
        <f>NE402-NF402</f>
        <v>-88750.72228980422</v>
      </c>
      <c r="NH402" s="13">
        <f>NH401+NG402</f>
        <v>360247.5607566759</v>
      </c>
      <c r="NI402">
        <f>IF(NH402=MAX($NH$83:$NH$483),$A402,0)</f>
        <v>0</v>
      </c>
      <c r="NJ402">
        <f>IF(NE402&lt;NF402,$A402,B_MAX+1)</f>
        <v>319</v>
      </c>
      <c r="NK402" s="13">
        <f>IF(NB402=1,$NB$35,$NB$36)</f>
        <v>0</v>
      </c>
      <c r="NL402" s="13">
        <f>OCC_DAYS*$NB$41*R_NF_2023-ND402*MCD_SHARE_FREED*R_WAIT_2023</f>
        <v>123327.15192717595</v>
      </c>
      <c r="NM402">
        <f>IF($A402&lt;=$NB$45,1,0)</f>
        <v>0</v>
      </c>
      <c r="OB402">
        <f>IF($OB$31&lt;=$OB$32,IF($A402&lt;=$OB$7,1,2),IF($A402&lt;=RUNG_BEDS_2,2,1))</f>
        <v>1</v>
      </c>
      <c r="OC402" s="5">
        <f>MIN(1,MAX(0,$OB$26-($A402-1)))</f>
        <v>0</v>
      </c>
      <c r="OD402" s="5">
        <f>$OB$25*(OC402+(1-OC402)*$OB$16)</f>
        <v>126.02661357340719</v>
      </c>
      <c r="OE402" s="13">
        <f>OD402*($OB$6+ACUTE_MARGIN)</f>
        <v>127286.87970914126</v>
      </c>
      <c r="OF402" s="13">
        <f>IF(OB402=1,$OB$31,$OB$32)</f>
        <v>152394.16214437486</v>
      </c>
      <c r="OG402" s="13">
        <f>OE402-OF402</f>
        <v>-25107.282435233603</v>
      </c>
      <c r="OH402" s="13">
        <f>OH401+OG402</f>
        <v>11105262.217296803</v>
      </c>
      <c r="OI402">
        <f>IF(OH402=MAX($OH$83:$OH$483),$A402,0)</f>
        <v>0</v>
      </c>
      <c r="OJ402">
        <f>IF(OE402&lt;OF402,$A402,B_MAX+1)</f>
        <v>319</v>
      </c>
      <c r="OK402" s="13">
        <f>IF(OB402=1,$OB$35,$OB$36)</f>
        <v>0</v>
      </c>
      <c r="OL402" s="13">
        <f>OCC_DAYS*$OB$41*R_NF_2023-OD402*MCD_SHARE_FREED*R_WAIT_2023</f>
        <v>94673.82103225985</v>
      </c>
      <c r="OM402">
        <f>IF($A402&lt;=$OB$45,1,0)</f>
        <v>0</v>
      </c>
    </row>
    <row r="403">
      <c r="A403" t="n">
        <v>320</v>
      </c>
      <c r="B403">
        <f>IF($B$31&lt;=$B$32,IF($A403&lt;=$B$7,1,2),IF($A403&lt;=RUNG_BEDS_2,2,1))</f>
        <v>1</v>
      </c>
      <c r="C403" s="5">
        <f>MIN(1,MAX(0,$B$26-($A403-1)))</f>
        <v>0</v>
      </c>
      <c r="D403" s="5">
        <f>$B$25*(C403+(1-C403)*$B$16)</f>
        <v>0.0</v>
      </c>
      <c r="E403" s="13">
        <f>D403*($B$6+ACUTE_MARGIN)</f>
        <v>0.0</v>
      </c>
      <c r="F403" s="13">
        <f>IF(B403=1,$B$31,$B$32)</f>
        <v>152394.16214437486</v>
      </c>
      <c r="G403" s="13">
        <f>E403-F403</f>
        <v>-152394.16214437486</v>
      </c>
      <c r="H403" s="13">
        <f>H402+G403</f>
        <v>-10537161.257927615</v>
      </c>
      <c r="I403">
        <f>IF(H403=MAX($H$83:$H$483),$A403,0)</f>
        <v>0</v>
      </c>
      <c r="J403">
        <f>IF(E403&lt;F403,$A403,B_MAX+1)</f>
        <v>320</v>
      </c>
      <c r="K403" s="13">
        <f>IF(B403=1,$B$35,$B$36)</f>
        <v>0</v>
      </c>
      <c r="L403" s="13">
        <f>OCC_DAYS*$B$41*R_NF_2023-D403*MCD_SHARE_FREED*R_WAIT_2023</f>
        <v>151980.48282209205</v>
      </c>
      <c r="M403">
        <f>IF($A403&lt;=$B$45,1,0)</f>
        <v>0</v>
      </c>
      <c r="AB403">
        <f>IF($AB$31&lt;=$AB$32,IF($A403&lt;=$AB$7,1,2),IF($A403&lt;=RUNG_BEDS_2,2,1))</f>
        <v>1</v>
      </c>
      <c r="AC403" s="5">
        <f>MIN(1,MAX(0,$AB$26-($A403-1)))</f>
        <v>0</v>
      </c>
      <c r="AD403" s="5">
        <f>$AB$25*(AC403+(1-AC403)*$AB$16)</f>
        <v>0.0</v>
      </c>
      <c r="AE403" s="13">
        <f>AD403*($AB$6+ACUTE_MARGIN)</f>
        <v>0.0</v>
      </c>
      <c r="AF403" s="13">
        <f>IF(AB403=1,$AB$31,$AB$32)</f>
        <v>152394.16214437486</v>
      </c>
      <c r="AG403" s="13">
        <f>AE403-AF403</f>
        <v>-152394.16214437486</v>
      </c>
      <c r="AH403" s="13">
        <f>AH402+AG403</f>
        <v>-27948375.60347735</v>
      </c>
      <c r="AI403">
        <f>IF(AH403=MAX($AH$83:$AH$483),$A403,0)</f>
        <v>0</v>
      </c>
      <c r="AJ403">
        <f>IF(AE403&lt;AF403,$A403,B_MAX+1)</f>
        <v>320</v>
      </c>
      <c r="AK403" s="13">
        <f>IF(AB403=1,$AB$35,$AB$36)</f>
        <v>0</v>
      </c>
      <c r="AL403" s="13">
        <f>OCC_DAYS*$AB$41*R_NF_2023-AD403*MCD_SHARE_FREED*R_WAIT_2023</f>
        <v>151980.48282209205</v>
      </c>
      <c r="AM403">
        <f>IF($A403&lt;=$AB$45,1,0)</f>
        <v>0</v>
      </c>
      <c r="BB403">
        <f>IF($BB$31&lt;=$BB$32,IF($A403&lt;=$BB$7,1,2),IF($A403&lt;=RUNG_BEDS_2,2,1))</f>
        <v>1</v>
      </c>
      <c r="BC403" s="5">
        <f>MIN(1,MAX(0,$BB$26-($A403-1)))</f>
        <v>0</v>
      </c>
      <c r="BD403" s="5">
        <f>$BB$25*(BC403+(1-BC403)*$BB$16)</f>
        <v>0.0</v>
      </c>
      <c r="BE403" s="13">
        <f>BD403*($BB$6+ACUTE_MARGIN)</f>
        <v>0.0</v>
      </c>
      <c r="BF403" s="13">
        <f>IF(BB403=1,$BB$31,$BB$32)</f>
        <v>152394.16214437486</v>
      </c>
      <c r="BG403" s="13">
        <f>BE403-BF403</f>
        <v>-152394.16214437486</v>
      </c>
      <c r="BH403" s="13">
        <f>BH402+BG403</f>
        <v>6874053.087622134</v>
      </c>
      <c r="BI403">
        <f>IF(BH403=MAX($BH$83:$BH$483),$A403,0)</f>
        <v>0</v>
      </c>
      <c r="BJ403">
        <f>IF(BE403&lt;BF403,$A403,B_MAX+1)</f>
        <v>320</v>
      </c>
      <c r="BK403" s="13">
        <f>IF(BB403=1,$BB$35,$BB$36)</f>
        <v>0</v>
      </c>
      <c r="BL403" s="13">
        <f>OCC_DAYS*$BB$41*R_NF_2023-BD403*MCD_SHARE_FREED*R_WAIT_2023</f>
        <v>151980.48282209205</v>
      </c>
      <c r="BM403">
        <f>IF($A403&lt;=$BB$45,1,0)</f>
        <v>0</v>
      </c>
      <c r="CB403">
        <f>IF($CB$31&lt;=$CB$32,IF($A403&lt;=$CB$7,1,2),IF($A403&lt;=RUNG_BEDS_2,2,1))</f>
        <v>2</v>
      </c>
      <c r="CC403" s="5">
        <f>MIN(1,MAX(0,$CB$26-($A403-1)))</f>
        <v>0</v>
      </c>
      <c r="CD403" s="5">
        <f>$CB$25*(CC403+(1-CC403)*$CB$16)</f>
        <v>0.0</v>
      </c>
      <c r="CE403" s="13">
        <f>CD403*($CB$6+ACUTE_MARGIN)</f>
        <v>0.0</v>
      </c>
      <c r="CF403" s="13">
        <f>IF(CB403=1,$CB$31,$CB$32)</f>
        <v>160718.36940738867</v>
      </c>
      <c r="CG403" s="13">
        <f>CE403-CF403</f>
        <v>-160718.36940738867</v>
      </c>
      <c r="CH403" s="13">
        <f>CH402+CG403</f>
        <v>-13200907.582092166</v>
      </c>
      <c r="CI403">
        <f>IF(CH403=MAX($CH$83:$CH$483),$A403,0)</f>
        <v>0</v>
      </c>
      <c r="CJ403">
        <f>IF(CE403&lt;CF403,$A403,B_MAX+1)</f>
        <v>320</v>
      </c>
      <c r="CK403" s="13">
        <f>IF(CB403=1,$CB$35,$CB$36)</f>
        <v>1560.1194073886782</v>
      </c>
      <c r="CL403" s="13">
        <f>OCC_DAYS*$CB$41*R_NF_2023-CD403*MCD_SHARE_FREED*R_WAIT_2023</f>
        <v>151980.48282209205</v>
      </c>
      <c r="CM403">
        <f>IF($A403&lt;=$CB$45,1,0)</f>
        <v>0</v>
      </c>
      <c r="DB403">
        <f>IF($DB$31&lt;=$DB$32,IF($A403&lt;=$DB$7,1,2),IF($A403&lt;=RUNG_BEDS_2,2,1))</f>
        <v>1</v>
      </c>
      <c r="DC403" s="5">
        <f>MIN(1,MAX(0,$DB$26-($A403-1)))</f>
        <v>0</v>
      </c>
      <c r="DD403" s="5">
        <f>$DB$25*(DC403+(1-DC403)*$DB$16)</f>
        <v>0.0</v>
      </c>
      <c r="DE403" s="13">
        <f>DD403*($DB$6+ACUTE_MARGIN)</f>
        <v>0.0</v>
      </c>
      <c r="DF403" s="13">
        <f>IF(DB403=1,$DB$31,$DB$32)</f>
        <v>152394.16214437486</v>
      </c>
      <c r="DG403" s="13">
        <f>DE403-DF403</f>
        <v>-152394.16214437486</v>
      </c>
      <c r="DH403" s="13">
        <f>DH402+DG403</f>
        <v>-10537161.257927615</v>
      </c>
      <c r="DI403">
        <f>IF(DH403=MAX($DH$83:$DH$483),$A403,0)</f>
        <v>0</v>
      </c>
      <c r="DJ403">
        <f>IF(DE403&lt;DF403,$A403,B_MAX+1)</f>
        <v>320</v>
      </c>
      <c r="DK403" s="13">
        <f>IF(DB403=1,$DB$35,$DB$36)</f>
        <v>0</v>
      </c>
      <c r="DL403" s="13">
        <f>OCC_DAYS*$DB$41*R_NF_2023-DD403*MCD_SHARE_FREED*R_WAIT_2023</f>
        <v>151980.48282209205</v>
      </c>
      <c r="DM403">
        <f>IF($A403&lt;=$DB$45,1,0)</f>
        <v>0</v>
      </c>
      <c r="EB403">
        <f>IF($EB$31&lt;=$EB$32,IF($A403&lt;=$EB$7,1,2),IF($A403&lt;=RUNG_BEDS_2,2,1))</f>
        <v>1</v>
      </c>
      <c r="EC403" s="5">
        <f>MIN(1,MAX(0,$EB$26-($A403-1)))</f>
        <v>0</v>
      </c>
      <c r="ED403" s="5">
        <f>$EB$25*(EC403+(1-EC403)*$EB$16)</f>
        <v>0.0</v>
      </c>
      <c r="EE403" s="13">
        <f>ED403*($EB$6+ACUTE_MARGIN)</f>
        <v>0.0</v>
      </c>
      <c r="EF403" s="13">
        <f>IF(EB403=1,$EB$31,$EB$32)</f>
        <v>152394.16214437486</v>
      </c>
      <c r="EG403" s="13">
        <f>EE403-EF403</f>
        <v>-152394.16214437486</v>
      </c>
      <c r="EH403" s="13">
        <f>EH402+EG403</f>
        <v>-10537161.257927615</v>
      </c>
      <c r="EI403">
        <f>IF(EH403=MAX($EH$83:$EH$483),$A403,0)</f>
        <v>0</v>
      </c>
      <c r="EJ403">
        <f>IF(EE403&lt;EF403,$A403,B_MAX+1)</f>
        <v>320</v>
      </c>
      <c r="EK403" s="13">
        <f>IF(EB403=1,$EB$35,$EB$36)</f>
        <v>0</v>
      </c>
      <c r="EL403" s="13">
        <f>OCC_DAYS*$EB$41*R_NF_2023-ED403*MCD_SHARE_FREED*R_WAIT_2023</f>
        <v>50660.16094069735</v>
      </c>
      <c r="EM403">
        <f>IF($A403&lt;=$EB$45,1,0)</f>
        <v>0</v>
      </c>
      <c r="FB403">
        <f>IF($FB$31&lt;=$FB$32,IF($A403&lt;=$FB$7,1,2),IF($A403&lt;=RUNG_BEDS_2,2,1))</f>
        <v>1</v>
      </c>
      <c r="FC403" s="5">
        <f>MIN(1,MAX(0,$FB$26-($A403-1)))</f>
        <v>0</v>
      </c>
      <c r="FD403" s="5">
        <f>$FB$25*(FC403+(1-FC403)*$FB$16)</f>
        <v>0.0</v>
      </c>
      <c r="FE403" s="13">
        <f>FD403*($FB$6+ACUTE_MARGIN)</f>
        <v>0.0</v>
      </c>
      <c r="FF403" s="13">
        <f>IF(FB403=1,$FB$31,$FB$32)</f>
        <v>156636.04979437485</v>
      </c>
      <c r="FG403" s="13">
        <f>FE403-FF403</f>
        <v>-156636.04979437485</v>
      </c>
      <c r="FH403" s="13">
        <f>FH402+FG403</f>
        <v>-11894565.30592772</v>
      </c>
      <c r="FI403">
        <f>IF(FH403=MAX($FH$83:$FH$483),$A403,0)</f>
        <v>0</v>
      </c>
      <c r="FJ403">
        <f>IF(FE403&lt;FF403,$A403,B_MAX+1)</f>
        <v>320</v>
      </c>
      <c r="FK403" s="13">
        <f>IF(FB403=1,$FB$35,$FB$36)</f>
        <v>0</v>
      </c>
      <c r="FL403" s="13">
        <f>OCC_DAYS*$FB$41*R_NF_2023-FD403*MCD_SHARE_FREED*R_WAIT_2023</f>
        <v>151980.48282209205</v>
      </c>
      <c r="FM403">
        <f>IF($A403&lt;=$FB$45,1,0)</f>
        <v>0</v>
      </c>
      <c r="GB403">
        <f>IF($GB$31&lt;=$GB$32,IF($A403&lt;=$GB$7,1,2),IF($A403&lt;=RUNG_BEDS_2,2,1))</f>
        <v>1</v>
      </c>
      <c r="GC403" s="5">
        <f>MIN(1,MAX(0,$GB$26-($A403-1)))</f>
        <v>0</v>
      </c>
      <c r="GD403" s="5">
        <f>$GB$25*(GC403+(1-GC403)*$GB$16)</f>
        <v>0.0</v>
      </c>
      <c r="GE403" s="13">
        <f>GD403*($GB$6+ACUTE_MARGIN)</f>
        <v>0.0</v>
      </c>
      <c r="GF403" s="13">
        <f>IF(GB403=1,$GB$31,$GB$32)</f>
        <v>152394.16214437486</v>
      </c>
      <c r="GG403" s="13">
        <f>GE403-GF403</f>
        <v>-152394.16214437486</v>
      </c>
      <c r="GH403" s="13">
        <f>GH402+GG403</f>
        <v>-10537161.257927615</v>
      </c>
      <c r="GI403">
        <f>IF(GH403=MAX($GH$83:$GH$483),$A403,0)</f>
        <v>0</v>
      </c>
      <c r="GJ403">
        <f>IF(GE403&lt;GF403,$A403,B_MAX+1)</f>
        <v>320</v>
      </c>
      <c r="GK403" s="13">
        <f>IF(GB403=1,$GB$35,$GB$36)</f>
        <v>0</v>
      </c>
      <c r="GL403" s="13">
        <f>OCC_DAYS*$GB$41*R_NF_2023-GD403*MCD_SHARE_FREED*R_WAIT_2023</f>
        <v>151980.48282209205</v>
      </c>
      <c r="GM403">
        <f>IF($A403&lt;=$GB$45,1,0)</f>
        <v>0</v>
      </c>
      <c r="HB403">
        <f>IF($HB$31&lt;=$HB$32,IF($A403&lt;=$HB$7,1,2),IF($A403&lt;=RUNG_BEDS_2,2,1))</f>
        <v>1</v>
      </c>
      <c r="HC403" s="5">
        <f>MIN(1,MAX(0,$HB$26-($A403-1)))</f>
        <v>0</v>
      </c>
      <c r="HD403" s="5">
        <f>$HB$25*(HC403+(1-HC403)*$HB$16)</f>
        <v>0.0</v>
      </c>
      <c r="HE403" s="13">
        <f>HD403*($HB$6+ACUTE_MARGIN)</f>
        <v>0.0</v>
      </c>
      <c r="HF403" s="13">
        <f>IF(HB403=1,$HB$31,$HB$32)</f>
        <v>152456.2970814058</v>
      </c>
      <c r="HG403" s="13">
        <f>HE403-HF403</f>
        <v>-152456.2970814058</v>
      </c>
      <c r="HH403" s="13">
        <f>HH402+HG403</f>
        <v>-10557044.437777564</v>
      </c>
      <c r="HI403">
        <f>IF(HH403=MAX($HH$83:$HH$483),$A403,0)</f>
        <v>0</v>
      </c>
      <c r="HJ403">
        <f>IF(HE403&lt;HF403,$A403,B_MAX+1)</f>
        <v>320</v>
      </c>
      <c r="HK403" s="13">
        <f>IF(HB403=1,$HB$35,$HB$36)</f>
        <v>0</v>
      </c>
      <c r="HL403" s="13">
        <f>OCC_DAYS*$HB$41*R_NF_2023-HD403*MCD_SHARE_FREED*R_WAIT_2023</f>
        <v>151980.48282209205</v>
      </c>
      <c r="HM403">
        <f>IF($A403&lt;=$HB$45,1,0)</f>
        <v>0</v>
      </c>
      <c r="IB403">
        <f>IF($IB$31&lt;=$IB$32,IF($A403&lt;=$IB$7,1,2),IF($A403&lt;=RUNG_BEDS_2,2,1))</f>
        <v>1</v>
      </c>
      <c r="IC403" s="5">
        <f>MIN(1,MAX(0,$IB$26-($A403-1)))</f>
        <v>0</v>
      </c>
      <c r="ID403" s="5">
        <f>$IB$25*(IC403+(1-IC403)*$IB$16)</f>
        <v>0.0</v>
      </c>
      <c r="IE403" s="13">
        <f>ID403*($IB$6+ACUTE_MARGIN)</f>
        <v>0.0</v>
      </c>
      <c r="IF403" s="13">
        <f>IF(IB403=1,$IB$31,$IB$32)</f>
        <v>152734.9994534971</v>
      </c>
      <c r="IG403" s="13">
        <f>IE403-IF403</f>
        <v>-152734.9994534971</v>
      </c>
      <c r="IH403" s="13">
        <f>IH402+IG403</f>
        <v>-10646229.196846817</v>
      </c>
      <c r="II403">
        <f>IF(IH403=MAX($IH$83:$IH$483),$A403,0)</f>
        <v>0</v>
      </c>
      <c r="IJ403">
        <f>IF(IE403&lt;IF403,$A403,B_MAX+1)</f>
        <v>320</v>
      </c>
      <c r="IK403" s="13">
        <f>IF(IB403=1,$IB$35,$IB$36)</f>
        <v>0</v>
      </c>
      <c r="IL403" s="13">
        <f>OCC_DAYS*$IB$41*R_NF_2023-ID403*MCD_SHARE_FREED*R_WAIT_2023</f>
        <v>151980.48282209205</v>
      </c>
      <c r="IM403">
        <f>IF($A403&lt;=$IB$45,1,0)</f>
        <v>0</v>
      </c>
      <c r="JB403">
        <f>IF($JB$31&lt;=$JB$32,IF($A403&lt;=$JB$7,1,2),IF($A403&lt;=RUNG_BEDS_2,2,1))</f>
        <v>1</v>
      </c>
      <c r="JC403" s="5">
        <f>MIN(1,MAX(0,$JB$26-($A403-1)))</f>
        <v>0</v>
      </c>
      <c r="JD403" s="5">
        <f>$JB$25*(JC403+(1-JC403)*$JB$16)</f>
        <v>0.0</v>
      </c>
      <c r="JE403" s="13">
        <f>JD403*($JB$6+ACUTE_MARGIN)</f>
        <v>0.0</v>
      </c>
      <c r="JF403" s="13">
        <f>IF(JB403=1,$JB$31,$JB$32)</f>
        <v>152394.16214437486</v>
      </c>
      <c r="JG403" s="13">
        <f>JE403-JF403</f>
        <v>-152394.16214437486</v>
      </c>
      <c r="JH403" s="13">
        <f>JH402+JG403</f>
        <v>-10537161.257927615</v>
      </c>
      <c r="JI403">
        <f>IF(JH403=MAX($JH$83:$JH$483),$A403,0)</f>
        <v>0</v>
      </c>
      <c r="JJ403">
        <f>IF(JE403&lt;JF403,$A403,B_MAX+1)</f>
        <v>320</v>
      </c>
      <c r="JK403" s="13">
        <f>IF(JB403=1,$JB$35,$JB$36)</f>
        <v>0</v>
      </c>
      <c r="JL403" s="13">
        <f>OCC_DAYS*$JB$41*R_NF_2023-JD403*MCD_SHARE_FREED*R_WAIT_2023</f>
        <v>151980.48282209205</v>
      </c>
      <c r="JM403">
        <f>IF($A403&lt;=$JB$45,1,0)</f>
        <v>0</v>
      </c>
      <c r="KB403">
        <f>IF($KB$31&lt;=$KB$32,IF($A403&lt;=$KB$7,1,2),IF($A403&lt;=RUNG_BEDS_2,2,1))</f>
        <v>1</v>
      </c>
      <c r="KC403" s="5">
        <f>MIN(1,MAX(0,$KB$26-($A403-1)))</f>
        <v>0</v>
      </c>
      <c r="KD403" s="5">
        <f>$KB$25*(KC403+(1-KC403)*$KB$16)</f>
        <v>0.0</v>
      </c>
      <c r="KE403" s="13">
        <f>KD403*($KB$6+ACUTE_MARGIN)</f>
        <v>0.0</v>
      </c>
      <c r="KF403" s="13">
        <f>IF(KB403=1,$KB$31,$KB$32)</f>
        <v>152394.16214437486</v>
      </c>
      <c r="KG403" s="13">
        <f>KE403-KF403</f>
        <v>-152394.16214437486</v>
      </c>
      <c r="KH403" s="13">
        <f>KH402+KG403</f>
        <v>-10537161.257927721</v>
      </c>
      <c r="KI403">
        <f>IF(KH403=MAX($KH$83:$KH$483),$A403,0)</f>
        <v>0</v>
      </c>
      <c r="KJ403">
        <f>IF(KE403&lt;KF403,$A403,B_MAX+1)</f>
        <v>320</v>
      </c>
      <c r="KK403" s="13">
        <f>IF(KB403=1,$KB$35,$KB$36)</f>
        <v>0</v>
      </c>
      <c r="KL403" s="13">
        <f>OCC_DAYS*$KB$41*R_NF_2023-KD403*MCD_SHARE_FREED*R_WAIT_2023</f>
        <v>151980.48282209205</v>
      </c>
      <c r="KM403">
        <f>IF($A403&lt;=$KB$45,1,0)</f>
        <v>0</v>
      </c>
      <c r="LB403">
        <f>IF($LB$31&lt;=$LB$32,IF($A403&lt;=$LB$7,1,2),IF($A403&lt;=RUNG_BEDS_2,2,1))</f>
        <v>1</v>
      </c>
      <c r="LC403" s="5">
        <f>MIN(1,MAX(0,$LB$26-($A403-1)))</f>
        <v>1</v>
      </c>
      <c r="LD403" s="5">
        <f>$LB$25*(LC403+(1-LC403)*$LB$16)</f>
        <v>84.01774238227146</v>
      </c>
      <c r="LE403" s="13">
        <f>LD403*($LB$6+ACUTE_MARGIN)</f>
        <v>84857.91980609419</v>
      </c>
      <c r="LF403" s="13">
        <f>IF(LB403=1,$LB$31,$LB$32)</f>
        <v>152394.16214437486</v>
      </c>
      <c r="LG403" s="13">
        <f>LE403-LF403</f>
        <v>-67536.24233828067</v>
      </c>
      <c r="LH403" s="13">
        <f>LH402+LG403</f>
        <v>-21611597.54824993</v>
      </c>
      <c r="LI403">
        <f>IF(LH403=MAX($LH$83:$LH$483),$A403,0)</f>
        <v>0</v>
      </c>
      <c r="LJ403">
        <f>IF(LE403&lt;LF403,$A403,B_MAX+1)</f>
        <v>320</v>
      </c>
      <c r="LK403" s="13">
        <f>IF(LB403=1,$LB$35,$LB$36)</f>
        <v>0</v>
      </c>
      <c r="LL403" s="13">
        <f>OCC_DAYS*$LB$41*R_NF_2023-LD403*MCD_SHARE_FREED*R_WAIT_2023</f>
        <v>113776.04162887059</v>
      </c>
      <c r="LM403">
        <f>IF($A403&lt;=$LB$45,1,0)</f>
        <v>0</v>
      </c>
      <c r="MB403">
        <f>IF($MB$31&lt;=$MB$32,IF($A403&lt;=$MB$7,1,2),IF($A403&lt;=RUNG_BEDS_2,2,1))</f>
        <v>1</v>
      </c>
      <c r="MC403" s="5">
        <f>MIN(1,MAX(0,$MB$26-($A403-1)))</f>
        <v>0</v>
      </c>
      <c r="MD403" s="5">
        <f>$MB$25*(MC403+(1-MC403)*$MB$16)</f>
        <v>0.0</v>
      </c>
      <c r="ME403" s="13">
        <f>MD403*($MB$6+ACUTE_MARGIN)</f>
        <v>0.0</v>
      </c>
      <c r="MF403" s="13">
        <f>IF(MB403=1,$MB$31,$MB$32)</f>
        <v>152394.16214437486</v>
      </c>
      <c r="MG403" s="13">
        <f>ME403-MF403</f>
        <v>-152394.16214437486</v>
      </c>
      <c r="MH403" s="13">
        <f>MH402+MG403</f>
        <v>-16424437.319725916</v>
      </c>
      <c r="MI403">
        <f>IF(MH403=MAX($MH$83:$MH$483),$A403,0)</f>
        <v>0</v>
      </c>
      <c r="MJ403">
        <f>IF(ME403&lt;MF403,$A403,B_MAX+1)</f>
        <v>320</v>
      </c>
      <c r="MK403" s="13">
        <f>IF(MB403=1,$MB$35,$MB$36)</f>
        <v>0</v>
      </c>
      <c r="ML403" s="13">
        <f>OCC_DAYS*$MB$41*R_NF_2023-MD403*MCD_SHARE_FREED*R_WAIT_2023</f>
        <v>151980.48282209205</v>
      </c>
      <c r="MM403">
        <f>IF($A403&lt;=$MB$45,1,0)</f>
        <v>0</v>
      </c>
      <c r="NB403">
        <f>IF($NB$31&lt;=$NB$32,IF($A403&lt;=$NB$7,1,2),IF($A403&lt;=RUNG_BEDS_2,2,1))</f>
        <v>1</v>
      </c>
      <c r="NC403" s="5">
        <f>MIN(1,MAX(0,$NB$26-($A403-1)))</f>
        <v>0</v>
      </c>
      <c r="ND403" s="5">
        <f>$NB$25*(NC403+(1-NC403)*$NB$16)</f>
        <v>63.013306786703595</v>
      </c>
      <c r="NE403" s="13">
        <f>ND403*($NB$6+ACUTE_MARGIN)</f>
        <v>63643.43985457063</v>
      </c>
      <c r="NF403" s="13">
        <f>IF(NB403=1,$NB$31,$NB$32)</f>
        <v>152394.16214437486</v>
      </c>
      <c r="NG403" s="13">
        <f>NE403-NF403</f>
        <v>-88750.72228980422</v>
      </c>
      <c r="NH403" s="13">
        <f>NH402+NG403</f>
        <v>271496.83846687165</v>
      </c>
      <c r="NI403">
        <f>IF(NH403=MAX($NH$83:$NH$483),$A403,0)</f>
        <v>0</v>
      </c>
      <c r="NJ403">
        <f>IF(NE403&lt;NF403,$A403,B_MAX+1)</f>
        <v>320</v>
      </c>
      <c r="NK403" s="13">
        <f>IF(NB403=1,$NB$35,$NB$36)</f>
        <v>0</v>
      </c>
      <c r="NL403" s="13">
        <f>OCC_DAYS*$NB$41*R_NF_2023-ND403*MCD_SHARE_FREED*R_WAIT_2023</f>
        <v>123327.15192717595</v>
      </c>
      <c r="NM403">
        <f>IF($A403&lt;=$NB$45,1,0)</f>
        <v>0</v>
      </c>
      <c r="OB403">
        <f>IF($OB$31&lt;=$OB$32,IF($A403&lt;=$OB$7,1,2),IF($A403&lt;=RUNG_BEDS_2,2,1))</f>
        <v>1</v>
      </c>
      <c r="OC403" s="5">
        <f>MIN(1,MAX(0,$OB$26-($A403-1)))</f>
        <v>0</v>
      </c>
      <c r="OD403" s="5">
        <f>$OB$25*(OC403+(1-OC403)*$OB$16)</f>
        <v>126.02661357340719</v>
      </c>
      <c r="OE403" s="13">
        <f>OD403*($OB$6+ACUTE_MARGIN)</f>
        <v>127286.87970914126</v>
      </c>
      <c r="OF403" s="13">
        <f>IF(OB403=1,$OB$31,$OB$32)</f>
        <v>152394.16214437486</v>
      </c>
      <c r="OG403" s="13">
        <f>OE403-OF403</f>
        <v>-25107.282435233603</v>
      </c>
      <c r="OH403" s="13">
        <f>OH402+OG403</f>
        <v>11080154.93486157</v>
      </c>
      <c r="OI403">
        <f>IF(OH403=MAX($OH$83:$OH$483),$A403,0)</f>
        <v>0</v>
      </c>
      <c r="OJ403">
        <f>IF(OE403&lt;OF403,$A403,B_MAX+1)</f>
        <v>320</v>
      </c>
      <c r="OK403" s="13">
        <f>IF(OB403=1,$OB$35,$OB$36)</f>
        <v>0</v>
      </c>
      <c r="OL403" s="13">
        <f>OCC_DAYS*$OB$41*R_NF_2023-OD403*MCD_SHARE_FREED*R_WAIT_2023</f>
        <v>94673.82103225985</v>
      </c>
      <c r="OM403">
        <f>IF($A403&lt;=$OB$45,1,0)</f>
        <v>0</v>
      </c>
    </row>
    <row r="404">
      <c r="A404" t="n">
        <v>321</v>
      </c>
      <c r="B404">
        <f>IF($B$31&lt;=$B$32,IF($A404&lt;=$B$7,1,2),IF($A404&lt;=RUNG_BEDS_2,2,1))</f>
        <v>1</v>
      </c>
      <c r="C404" s="5">
        <f>MIN(1,MAX(0,$B$26-($A404-1)))</f>
        <v>0</v>
      </c>
      <c r="D404" s="5">
        <f>$B$25*(C404+(1-C404)*$B$16)</f>
        <v>0.0</v>
      </c>
      <c r="E404" s="13">
        <f>D404*($B$6+ACUTE_MARGIN)</f>
        <v>0.0</v>
      </c>
      <c r="F404" s="13">
        <f>IF(B404=1,$B$31,$B$32)</f>
        <v>152394.16214437486</v>
      </c>
      <c r="G404" s="13">
        <f>E404-F404</f>
        <v>-152394.16214437486</v>
      </c>
      <c r="H404" s="13">
        <f>H403+G404</f>
        <v>-10689555.42007199</v>
      </c>
      <c r="I404">
        <f>IF(H404=MAX($H$83:$H$483),$A404,0)</f>
        <v>0</v>
      </c>
      <c r="J404">
        <f>IF(E404&lt;F404,$A404,B_MAX+1)</f>
        <v>321</v>
      </c>
      <c r="K404" s="13">
        <f>IF(B404=1,$B$35,$B$36)</f>
        <v>0</v>
      </c>
      <c r="L404" s="13">
        <f>OCC_DAYS*$B$41*R_NF_2023-D404*MCD_SHARE_FREED*R_WAIT_2023</f>
        <v>151980.48282209205</v>
      </c>
      <c r="M404">
        <f>IF($A404&lt;=$B$45,1,0)</f>
        <v>0</v>
      </c>
      <c r="AB404">
        <f>IF($AB$31&lt;=$AB$32,IF($A404&lt;=$AB$7,1,2),IF($A404&lt;=RUNG_BEDS_2,2,1))</f>
        <v>1</v>
      </c>
      <c r="AC404" s="5">
        <f>MIN(1,MAX(0,$AB$26-($A404-1)))</f>
        <v>0</v>
      </c>
      <c r="AD404" s="5">
        <f>$AB$25*(AC404+(1-AC404)*$AB$16)</f>
        <v>0.0</v>
      </c>
      <c r="AE404" s="13">
        <f>AD404*($AB$6+ACUTE_MARGIN)</f>
        <v>0.0</v>
      </c>
      <c r="AF404" s="13">
        <f>IF(AB404=1,$AB$31,$AB$32)</f>
        <v>152394.16214437486</v>
      </c>
      <c r="AG404" s="13">
        <f>AE404-AF404</f>
        <v>-152394.16214437486</v>
      </c>
      <c r="AH404" s="13">
        <f>AH403+AG404</f>
        <v>-28100769.765621725</v>
      </c>
      <c r="AI404">
        <f>IF(AH404=MAX($AH$83:$AH$483),$A404,0)</f>
        <v>0</v>
      </c>
      <c r="AJ404">
        <f>IF(AE404&lt;AF404,$A404,B_MAX+1)</f>
        <v>321</v>
      </c>
      <c r="AK404" s="13">
        <f>IF(AB404=1,$AB$35,$AB$36)</f>
        <v>0</v>
      </c>
      <c r="AL404" s="13">
        <f>OCC_DAYS*$AB$41*R_NF_2023-AD404*MCD_SHARE_FREED*R_WAIT_2023</f>
        <v>151980.48282209205</v>
      </c>
      <c r="AM404">
        <f>IF($A404&lt;=$AB$45,1,0)</f>
        <v>0</v>
      </c>
      <c r="BB404">
        <f>IF($BB$31&lt;=$BB$32,IF($A404&lt;=$BB$7,1,2),IF($A404&lt;=RUNG_BEDS_2,2,1))</f>
        <v>1</v>
      </c>
      <c r="BC404" s="5">
        <f>MIN(1,MAX(0,$BB$26-($A404-1)))</f>
        <v>0</v>
      </c>
      <c r="BD404" s="5">
        <f>$BB$25*(BC404+(1-BC404)*$BB$16)</f>
        <v>0.0</v>
      </c>
      <c r="BE404" s="13">
        <f>BD404*($BB$6+ACUTE_MARGIN)</f>
        <v>0.0</v>
      </c>
      <c r="BF404" s="13">
        <f>IF(BB404=1,$BB$31,$BB$32)</f>
        <v>152394.16214437486</v>
      </c>
      <c r="BG404" s="13">
        <f>BE404-BF404</f>
        <v>-152394.16214437486</v>
      </c>
      <c r="BH404" s="13">
        <f>BH403+BG404</f>
        <v>6721658.925477759</v>
      </c>
      <c r="BI404">
        <f>IF(BH404=MAX($BH$83:$BH$483),$A404,0)</f>
        <v>0</v>
      </c>
      <c r="BJ404">
        <f>IF(BE404&lt;BF404,$A404,B_MAX+1)</f>
        <v>321</v>
      </c>
      <c r="BK404" s="13">
        <f>IF(BB404=1,$BB$35,$BB$36)</f>
        <v>0</v>
      </c>
      <c r="BL404" s="13">
        <f>OCC_DAYS*$BB$41*R_NF_2023-BD404*MCD_SHARE_FREED*R_WAIT_2023</f>
        <v>151980.48282209205</v>
      </c>
      <c r="BM404">
        <f>IF($A404&lt;=$BB$45,1,0)</f>
        <v>0</v>
      </c>
      <c r="CB404">
        <f>IF($CB$31&lt;=$CB$32,IF($A404&lt;=$CB$7,1,2),IF($A404&lt;=RUNG_BEDS_2,2,1))</f>
        <v>2</v>
      </c>
      <c r="CC404" s="5">
        <f>MIN(1,MAX(0,$CB$26-($A404-1)))</f>
        <v>0</v>
      </c>
      <c r="CD404" s="5">
        <f>$CB$25*(CC404+(1-CC404)*$CB$16)</f>
        <v>0.0</v>
      </c>
      <c r="CE404" s="13">
        <f>CD404*($CB$6+ACUTE_MARGIN)</f>
        <v>0.0</v>
      </c>
      <c r="CF404" s="13">
        <f>IF(CB404=1,$CB$31,$CB$32)</f>
        <v>160718.36940738867</v>
      </c>
      <c r="CG404" s="13">
        <f>CE404-CF404</f>
        <v>-160718.36940738867</v>
      </c>
      <c r="CH404" s="13">
        <f>CH403+CG404</f>
        <v>-13361625.951499555</v>
      </c>
      <c r="CI404">
        <f>IF(CH404=MAX($CH$83:$CH$483),$A404,0)</f>
        <v>0</v>
      </c>
      <c r="CJ404">
        <f>IF(CE404&lt;CF404,$A404,B_MAX+1)</f>
        <v>321</v>
      </c>
      <c r="CK404" s="13">
        <f>IF(CB404=1,$CB$35,$CB$36)</f>
        <v>1560.1194073886782</v>
      </c>
      <c r="CL404" s="13">
        <f>OCC_DAYS*$CB$41*R_NF_2023-CD404*MCD_SHARE_FREED*R_WAIT_2023</f>
        <v>151980.48282209205</v>
      </c>
      <c r="CM404">
        <f>IF($A404&lt;=$CB$45,1,0)</f>
        <v>0</v>
      </c>
      <c r="DB404">
        <f>IF($DB$31&lt;=$DB$32,IF($A404&lt;=$DB$7,1,2),IF($A404&lt;=RUNG_BEDS_2,2,1))</f>
        <v>1</v>
      </c>
      <c r="DC404" s="5">
        <f>MIN(1,MAX(0,$DB$26-($A404-1)))</f>
        <v>0</v>
      </c>
      <c r="DD404" s="5">
        <f>$DB$25*(DC404+(1-DC404)*$DB$16)</f>
        <v>0.0</v>
      </c>
      <c r="DE404" s="13">
        <f>DD404*($DB$6+ACUTE_MARGIN)</f>
        <v>0.0</v>
      </c>
      <c r="DF404" s="13">
        <f>IF(DB404=1,$DB$31,$DB$32)</f>
        <v>152394.16214437486</v>
      </c>
      <c r="DG404" s="13">
        <f>DE404-DF404</f>
        <v>-152394.16214437486</v>
      </c>
      <c r="DH404" s="13">
        <f>DH403+DG404</f>
        <v>-10689555.42007199</v>
      </c>
      <c r="DI404">
        <f>IF(DH404=MAX($DH$83:$DH$483),$A404,0)</f>
        <v>0</v>
      </c>
      <c r="DJ404">
        <f>IF(DE404&lt;DF404,$A404,B_MAX+1)</f>
        <v>321</v>
      </c>
      <c r="DK404" s="13">
        <f>IF(DB404=1,$DB$35,$DB$36)</f>
        <v>0</v>
      </c>
      <c r="DL404" s="13">
        <f>OCC_DAYS*$DB$41*R_NF_2023-DD404*MCD_SHARE_FREED*R_WAIT_2023</f>
        <v>151980.48282209205</v>
      </c>
      <c r="DM404">
        <f>IF($A404&lt;=$DB$45,1,0)</f>
        <v>0</v>
      </c>
      <c r="EB404">
        <f>IF($EB$31&lt;=$EB$32,IF($A404&lt;=$EB$7,1,2),IF($A404&lt;=RUNG_BEDS_2,2,1))</f>
        <v>1</v>
      </c>
      <c r="EC404" s="5">
        <f>MIN(1,MAX(0,$EB$26-($A404-1)))</f>
        <v>0</v>
      </c>
      <c r="ED404" s="5">
        <f>$EB$25*(EC404+(1-EC404)*$EB$16)</f>
        <v>0.0</v>
      </c>
      <c r="EE404" s="13">
        <f>ED404*($EB$6+ACUTE_MARGIN)</f>
        <v>0.0</v>
      </c>
      <c r="EF404" s="13">
        <f>IF(EB404=1,$EB$31,$EB$32)</f>
        <v>152394.16214437486</v>
      </c>
      <c r="EG404" s="13">
        <f>EE404-EF404</f>
        <v>-152394.16214437486</v>
      </c>
      <c r="EH404" s="13">
        <f>EH403+EG404</f>
        <v>-10689555.42007199</v>
      </c>
      <c r="EI404">
        <f>IF(EH404=MAX($EH$83:$EH$483),$A404,0)</f>
        <v>0</v>
      </c>
      <c r="EJ404">
        <f>IF(EE404&lt;EF404,$A404,B_MAX+1)</f>
        <v>321</v>
      </c>
      <c r="EK404" s="13">
        <f>IF(EB404=1,$EB$35,$EB$36)</f>
        <v>0</v>
      </c>
      <c r="EL404" s="13">
        <f>OCC_DAYS*$EB$41*R_NF_2023-ED404*MCD_SHARE_FREED*R_WAIT_2023</f>
        <v>50660.16094069735</v>
      </c>
      <c r="EM404">
        <f>IF($A404&lt;=$EB$45,1,0)</f>
        <v>0</v>
      </c>
      <c r="FB404">
        <f>IF($FB$31&lt;=$FB$32,IF($A404&lt;=$FB$7,1,2),IF($A404&lt;=RUNG_BEDS_2,2,1))</f>
        <v>1</v>
      </c>
      <c r="FC404" s="5">
        <f>MIN(1,MAX(0,$FB$26-($A404-1)))</f>
        <v>0</v>
      </c>
      <c r="FD404" s="5">
        <f>$FB$25*(FC404+(1-FC404)*$FB$16)</f>
        <v>0.0</v>
      </c>
      <c r="FE404" s="13">
        <f>FD404*($FB$6+ACUTE_MARGIN)</f>
        <v>0.0</v>
      </c>
      <c r="FF404" s="13">
        <f>IF(FB404=1,$FB$31,$FB$32)</f>
        <v>156636.04979437485</v>
      </c>
      <c r="FG404" s="13">
        <f>FE404-FF404</f>
        <v>-156636.04979437485</v>
      </c>
      <c r="FH404" s="13">
        <f>FH403+FG404</f>
        <v>-12051201.355722094</v>
      </c>
      <c r="FI404">
        <f>IF(FH404=MAX($FH$83:$FH$483),$A404,0)</f>
        <v>0</v>
      </c>
      <c r="FJ404">
        <f>IF(FE404&lt;FF404,$A404,B_MAX+1)</f>
        <v>321</v>
      </c>
      <c r="FK404" s="13">
        <f>IF(FB404=1,$FB$35,$FB$36)</f>
        <v>0</v>
      </c>
      <c r="FL404" s="13">
        <f>OCC_DAYS*$FB$41*R_NF_2023-FD404*MCD_SHARE_FREED*R_WAIT_2023</f>
        <v>151980.48282209205</v>
      </c>
      <c r="FM404">
        <f>IF($A404&lt;=$FB$45,1,0)</f>
        <v>0</v>
      </c>
      <c r="GB404">
        <f>IF($GB$31&lt;=$GB$32,IF($A404&lt;=$GB$7,1,2),IF($A404&lt;=RUNG_BEDS_2,2,1))</f>
        <v>1</v>
      </c>
      <c r="GC404" s="5">
        <f>MIN(1,MAX(0,$GB$26-($A404-1)))</f>
        <v>0</v>
      </c>
      <c r="GD404" s="5">
        <f>$GB$25*(GC404+(1-GC404)*$GB$16)</f>
        <v>0.0</v>
      </c>
      <c r="GE404" s="13">
        <f>GD404*($GB$6+ACUTE_MARGIN)</f>
        <v>0.0</v>
      </c>
      <c r="GF404" s="13">
        <f>IF(GB404=1,$GB$31,$GB$32)</f>
        <v>152394.16214437486</v>
      </c>
      <c r="GG404" s="13">
        <f>GE404-GF404</f>
        <v>-152394.16214437486</v>
      </c>
      <c r="GH404" s="13">
        <f>GH403+GG404</f>
        <v>-10689555.42007199</v>
      </c>
      <c r="GI404">
        <f>IF(GH404=MAX($GH$83:$GH$483),$A404,0)</f>
        <v>0</v>
      </c>
      <c r="GJ404">
        <f>IF(GE404&lt;GF404,$A404,B_MAX+1)</f>
        <v>321</v>
      </c>
      <c r="GK404" s="13">
        <f>IF(GB404=1,$GB$35,$GB$36)</f>
        <v>0</v>
      </c>
      <c r="GL404" s="13">
        <f>OCC_DAYS*$GB$41*R_NF_2023-GD404*MCD_SHARE_FREED*R_WAIT_2023</f>
        <v>151980.48282209205</v>
      </c>
      <c r="GM404">
        <f>IF($A404&lt;=$GB$45,1,0)</f>
        <v>0</v>
      </c>
      <c r="HB404">
        <f>IF($HB$31&lt;=$HB$32,IF($A404&lt;=$HB$7,1,2),IF($A404&lt;=RUNG_BEDS_2,2,1))</f>
        <v>1</v>
      </c>
      <c r="HC404" s="5">
        <f>MIN(1,MAX(0,$HB$26-($A404-1)))</f>
        <v>0</v>
      </c>
      <c r="HD404" s="5">
        <f>$HB$25*(HC404+(1-HC404)*$HB$16)</f>
        <v>0.0</v>
      </c>
      <c r="HE404" s="13">
        <f>HD404*($HB$6+ACUTE_MARGIN)</f>
        <v>0.0</v>
      </c>
      <c r="HF404" s="13">
        <f>IF(HB404=1,$HB$31,$HB$32)</f>
        <v>152456.2970814058</v>
      </c>
      <c r="HG404" s="13">
        <f>HE404-HF404</f>
        <v>-152456.2970814058</v>
      </c>
      <c r="HH404" s="13">
        <f>HH403+HG404</f>
        <v>-10709500.73485897</v>
      </c>
      <c r="HI404">
        <f>IF(HH404=MAX($HH$83:$HH$483),$A404,0)</f>
        <v>0</v>
      </c>
      <c r="HJ404">
        <f>IF(HE404&lt;HF404,$A404,B_MAX+1)</f>
        <v>321</v>
      </c>
      <c r="HK404" s="13">
        <f>IF(HB404=1,$HB$35,$HB$36)</f>
        <v>0</v>
      </c>
      <c r="HL404" s="13">
        <f>OCC_DAYS*$HB$41*R_NF_2023-HD404*MCD_SHARE_FREED*R_WAIT_2023</f>
        <v>151980.48282209205</v>
      </c>
      <c r="HM404">
        <f>IF($A404&lt;=$HB$45,1,0)</f>
        <v>0</v>
      </c>
      <c r="IB404">
        <f>IF($IB$31&lt;=$IB$32,IF($A404&lt;=$IB$7,1,2),IF($A404&lt;=RUNG_BEDS_2,2,1))</f>
        <v>1</v>
      </c>
      <c r="IC404" s="5">
        <f>MIN(1,MAX(0,$IB$26-($A404-1)))</f>
        <v>0</v>
      </c>
      <c r="ID404" s="5">
        <f>$IB$25*(IC404+(1-IC404)*$IB$16)</f>
        <v>0.0</v>
      </c>
      <c r="IE404" s="13">
        <f>ID404*($IB$6+ACUTE_MARGIN)</f>
        <v>0.0</v>
      </c>
      <c r="IF404" s="13">
        <f>IF(IB404=1,$IB$31,$IB$32)</f>
        <v>152734.9994534971</v>
      </c>
      <c r="IG404" s="13">
        <f>IE404-IF404</f>
        <v>-152734.9994534971</v>
      </c>
      <c r="IH404" s="13">
        <f>IH403+IG404</f>
        <v>-10798964.196300313</v>
      </c>
      <c r="II404">
        <f>IF(IH404=MAX($IH$83:$IH$483),$A404,0)</f>
        <v>0</v>
      </c>
      <c r="IJ404">
        <f>IF(IE404&lt;IF404,$A404,B_MAX+1)</f>
        <v>321</v>
      </c>
      <c r="IK404" s="13">
        <f>IF(IB404=1,$IB$35,$IB$36)</f>
        <v>0</v>
      </c>
      <c r="IL404" s="13">
        <f>OCC_DAYS*$IB$41*R_NF_2023-ID404*MCD_SHARE_FREED*R_WAIT_2023</f>
        <v>151980.48282209205</v>
      </c>
      <c r="IM404">
        <f>IF($A404&lt;=$IB$45,1,0)</f>
        <v>0</v>
      </c>
      <c r="JB404">
        <f>IF($JB$31&lt;=$JB$32,IF($A404&lt;=$JB$7,1,2),IF($A404&lt;=RUNG_BEDS_2,2,1))</f>
        <v>1</v>
      </c>
      <c r="JC404" s="5">
        <f>MIN(1,MAX(0,$JB$26-($A404-1)))</f>
        <v>0</v>
      </c>
      <c r="JD404" s="5">
        <f>$JB$25*(JC404+(1-JC404)*$JB$16)</f>
        <v>0.0</v>
      </c>
      <c r="JE404" s="13">
        <f>JD404*($JB$6+ACUTE_MARGIN)</f>
        <v>0.0</v>
      </c>
      <c r="JF404" s="13">
        <f>IF(JB404=1,$JB$31,$JB$32)</f>
        <v>152394.16214437486</v>
      </c>
      <c r="JG404" s="13">
        <f>JE404-JF404</f>
        <v>-152394.16214437486</v>
      </c>
      <c r="JH404" s="13">
        <f>JH403+JG404</f>
        <v>-10689555.42007199</v>
      </c>
      <c r="JI404">
        <f>IF(JH404=MAX($JH$83:$JH$483),$A404,0)</f>
        <v>0</v>
      </c>
      <c r="JJ404">
        <f>IF(JE404&lt;JF404,$A404,B_MAX+1)</f>
        <v>321</v>
      </c>
      <c r="JK404" s="13">
        <f>IF(JB404=1,$JB$35,$JB$36)</f>
        <v>0</v>
      </c>
      <c r="JL404" s="13">
        <f>OCC_DAYS*$JB$41*R_NF_2023-JD404*MCD_SHARE_FREED*R_WAIT_2023</f>
        <v>151980.48282209205</v>
      </c>
      <c r="JM404">
        <f>IF($A404&lt;=$JB$45,1,0)</f>
        <v>0</v>
      </c>
      <c r="KB404">
        <f>IF($KB$31&lt;=$KB$32,IF($A404&lt;=$KB$7,1,2),IF($A404&lt;=RUNG_BEDS_2,2,1))</f>
        <v>1</v>
      </c>
      <c r="KC404" s="5">
        <f>MIN(1,MAX(0,$KB$26-($A404-1)))</f>
        <v>0</v>
      </c>
      <c r="KD404" s="5">
        <f>$KB$25*(KC404+(1-KC404)*$KB$16)</f>
        <v>0.0</v>
      </c>
      <c r="KE404" s="13">
        <f>KD404*($KB$6+ACUTE_MARGIN)</f>
        <v>0.0</v>
      </c>
      <c r="KF404" s="13">
        <f>IF(KB404=1,$KB$31,$KB$32)</f>
        <v>152394.16214437486</v>
      </c>
      <c r="KG404" s="13">
        <f>KE404-KF404</f>
        <v>-152394.16214437486</v>
      </c>
      <c r="KH404" s="13">
        <f>KH403+KG404</f>
        <v>-10689555.420072095</v>
      </c>
      <c r="KI404">
        <f>IF(KH404=MAX($KH$83:$KH$483),$A404,0)</f>
        <v>0</v>
      </c>
      <c r="KJ404">
        <f>IF(KE404&lt;KF404,$A404,B_MAX+1)</f>
        <v>321</v>
      </c>
      <c r="KK404" s="13">
        <f>IF(KB404=1,$KB$35,$KB$36)</f>
        <v>0</v>
      </c>
      <c r="KL404" s="13">
        <f>OCC_DAYS*$KB$41*R_NF_2023-KD404*MCD_SHARE_FREED*R_WAIT_2023</f>
        <v>151980.48282209205</v>
      </c>
      <c r="KM404">
        <f>IF($A404&lt;=$KB$45,1,0)</f>
        <v>0</v>
      </c>
      <c r="LB404">
        <f>IF($LB$31&lt;=$LB$32,IF($A404&lt;=$LB$7,1,2),IF($A404&lt;=RUNG_BEDS_2,2,1))</f>
        <v>1</v>
      </c>
      <c r="LC404" s="5">
        <f>MIN(1,MAX(0,$LB$26-($A404-1)))</f>
        <v>1</v>
      </c>
      <c r="LD404" s="5">
        <f>$LB$25*(LC404+(1-LC404)*$LB$16)</f>
        <v>84.01774238227146</v>
      </c>
      <c r="LE404" s="13">
        <f>LD404*($LB$6+ACUTE_MARGIN)</f>
        <v>84857.91980609419</v>
      </c>
      <c r="LF404" s="13">
        <f>IF(LB404=1,$LB$31,$LB$32)</f>
        <v>152394.16214437486</v>
      </c>
      <c r="LG404" s="13">
        <f>LE404-LF404</f>
        <v>-67536.24233828067</v>
      </c>
      <c r="LH404" s="13">
        <f>LH403+LG404</f>
        <v>-21679133.79058821</v>
      </c>
      <c r="LI404">
        <f>IF(LH404=MAX($LH$83:$LH$483),$A404,0)</f>
        <v>0</v>
      </c>
      <c r="LJ404">
        <f>IF(LE404&lt;LF404,$A404,B_MAX+1)</f>
        <v>321</v>
      </c>
      <c r="LK404" s="13">
        <f>IF(LB404=1,$LB$35,$LB$36)</f>
        <v>0</v>
      </c>
      <c r="LL404" s="13">
        <f>OCC_DAYS*$LB$41*R_NF_2023-LD404*MCD_SHARE_FREED*R_WAIT_2023</f>
        <v>113776.04162887059</v>
      </c>
      <c r="LM404">
        <f>IF($A404&lt;=$LB$45,1,0)</f>
        <v>0</v>
      </c>
      <c r="MB404">
        <f>IF($MB$31&lt;=$MB$32,IF($A404&lt;=$MB$7,1,2),IF($A404&lt;=RUNG_BEDS_2,2,1))</f>
        <v>1</v>
      </c>
      <c r="MC404" s="5">
        <f>MIN(1,MAX(0,$MB$26-($A404-1)))</f>
        <v>0</v>
      </c>
      <c r="MD404" s="5">
        <f>$MB$25*(MC404+(1-MC404)*$MB$16)</f>
        <v>0.0</v>
      </c>
      <c r="ME404" s="13">
        <f>MD404*($MB$6+ACUTE_MARGIN)</f>
        <v>0.0</v>
      </c>
      <c r="MF404" s="13">
        <f>IF(MB404=1,$MB$31,$MB$32)</f>
        <v>152394.16214437486</v>
      </c>
      <c r="MG404" s="13">
        <f>ME404-MF404</f>
        <v>-152394.16214437486</v>
      </c>
      <c r="MH404" s="13">
        <f>MH403+MG404</f>
        <v>-16576831.48187029</v>
      </c>
      <c r="MI404">
        <f>IF(MH404=MAX($MH$83:$MH$483),$A404,0)</f>
        <v>0</v>
      </c>
      <c r="MJ404">
        <f>IF(ME404&lt;MF404,$A404,B_MAX+1)</f>
        <v>321</v>
      </c>
      <c r="MK404" s="13">
        <f>IF(MB404=1,$MB$35,$MB$36)</f>
        <v>0</v>
      </c>
      <c r="ML404" s="13">
        <f>OCC_DAYS*$MB$41*R_NF_2023-MD404*MCD_SHARE_FREED*R_WAIT_2023</f>
        <v>151980.48282209205</v>
      </c>
      <c r="MM404">
        <f>IF($A404&lt;=$MB$45,1,0)</f>
        <v>0</v>
      </c>
      <c r="NB404">
        <f>IF($NB$31&lt;=$NB$32,IF($A404&lt;=$NB$7,1,2),IF($A404&lt;=RUNG_BEDS_2,2,1))</f>
        <v>1</v>
      </c>
      <c r="NC404" s="5">
        <f>MIN(1,MAX(0,$NB$26-($A404-1)))</f>
        <v>0</v>
      </c>
      <c r="ND404" s="5">
        <f>$NB$25*(NC404+(1-NC404)*$NB$16)</f>
        <v>63.013306786703595</v>
      </c>
      <c r="NE404" s="13">
        <f>ND404*($NB$6+ACUTE_MARGIN)</f>
        <v>63643.43985457063</v>
      </c>
      <c r="NF404" s="13">
        <f>IF(NB404=1,$NB$31,$NB$32)</f>
        <v>152394.16214437486</v>
      </c>
      <c r="NG404" s="13">
        <f>NE404-NF404</f>
        <v>-88750.72228980422</v>
      </c>
      <c r="NH404" s="13">
        <f>NH403+NG404</f>
        <v>182746.11617706742</v>
      </c>
      <c r="NI404">
        <f>IF(NH404=MAX($NH$83:$NH$483),$A404,0)</f>
        <v>0</v>
      </c>
      <c r="NJ404">
        <f>IF(NE404&lt;NF404,$A404,B_MAX+1)</f>
        <v>321</v>
      </c>
      <c r="NK404" s="13">
        <f>IF(NB404=1,$NB$35,$NB$36)</f>
        <v>0</v>
      </c>
      <c r="NL404" s="13">
        <f>OCC_DAYS*$NB$41*R_NF_2023-ND404*MCD_SHARE_FREED*R_WAIT_2023</f>
        <v>123327.15192717595</v>
      </c>
      <c r="NM404">
        <f>IF($A404&lt;=$NB$45,1,0)</f>
        <v>0</v>
      </c>
      <c r="OB404">
        <f>IF($OB$31&lt;=$OB$32,IF($A404&lt;=$OB$7,1,2),IF($A404&lt;=RUNG_BEDS_2,2,1))</f>
        <v>1</v>
      </c>
      <c r="OC404" s="5">
        <f>MIN(1,MAX(0,$OB$26-($A404-1)))</f>
        <v>0</v>
      </c>
      <c r="OD404" s="5">
        <f>$OB$25*(OC404+(1-OC404)*$OB$16)</f>
        <v>126.02661357340719</v>
      </c>
      <c r="OE404" s="13">
        <f>OD404*($OB$6+ACUTE_MARGIN)</f>
        <v>127286.87970914126</v>
      </c>
      <c r="OF404" s="13">
        <f>IF(OB404=1,$OB$31,$OB$32)</f>
        <v>152394.16214437486</v>
      </c>
      <c r="OG404" s="13">
        <f>OE404-OF404</f>
        <v>-25107.282435233603</v>
      </c>
      <c r="OH404" s="13">
        <f>OH403+OG404</f>
        <v>11055047.652426338</v>
      </c>
      <c r="OI404">
        <f>IF(OH404=MAX($OH$83:$OH$483),$A404,0)</f>
        <v>0</v>
      </c>
      <c r="OJ404">
        <f>IF(OE404&lt;OF404,$A404,B_MAX+1)</f>
        <v>321</v>
      </c>
      <c r="OK404" s="13">
        <f>IF(OB404=1,$OB$35,$OB$36)</f>
        <v>0</v>
      </c>
      <c r="OL404" s="13">
        <f>OCC_DAYS*$OB$41*R_NF_2023-OD404*MCD_SHARE_FREED*R_WAIT_2023</f>
        <v>94673.82103225985</v>
      </c>
      <c r="OM404">
        <f>IF($A404&lt;=$OB$45,1,0)</f>
        <v>0</v>
      </c>
    </row>
    <row r="405">
      <c r="A405" t="n">
        <v>322</v>
      </c>
      <c r="B405">
        <f>IF($B$31&lt;=$B$32,IF($A405&lt;=$B$7,1,2),IF($A405&lt;=RUNG_BEDS_2,2,1))</f>
        <v>1</v>
      </c>
      <c r="C405" s="5">
        <f>MIN(1,MAX(0,$B$26-($A405-1)))</f>
        <v>0</v>
      </c>
      <c r="D405" s="5">
        <f>$B$25*(C405+(1-C405)*$B$16)</f>
        <v>0.0</v>
      </c>
      <c r="E405" s="13">
        <f>D405*($B$6+ACUTE_MARGIN)</f>
        <v>0.0</v>
      </c>
      <c r="F405" s="13">
        <f>IF(B405=1,$B$31,$B$32)</f>
        <v>152394.16214437486</v>
      </c>
      <c r="G405" s="13">
        <f>E405-F405</f>
        <v>-152394.16214437486</v>
      </c>
      <c r="H405" s="13">
        <f>H404+G405</f>
        <v>-10841949.582216363</v>
      </c>
      <c r="I405">
        <f>IF(H405=MAX($H$83:$H$483),$A405,0)</f>
        <v>0</v>
      </c>
      <c r="J405">
        <f>IF(E405&lt;F405,$A405,B_MAX+1)</f>
        <v>322</v>
      </c>
      <c r="K405" s="13">
        <f>IF(B405=1,$B$35,$B$36)</f>
        <v>0</v>
      </c>
      <c r="L405" s="13">
        <f>OCC_DAYS*$B$41*R_NF_2023-D405*MCD_SHARE_FREED*R_WAIT_2023</f>
        <v>151980.48282209205</v>
      </c>
      <c r="M405">
        <f>IF($A405&lt;=$B$45,1,0)</f>
        <v>0</v>
      </c>
      <c r="AB405">
        <f>IF($AB$31&lt;=$AB$32,IF($A405&lt;=$AB$7,1,2),IF($A405&lt;=RUNG_BEDS_2,2,1))</f>
        <v>1</v>
      </c>
      <c r="AC405" s="5">
        <f>MIN(1,MAX(0,$AB$26-($A405-1)))</f>
        <v>0</v>
      </c>
      <c r="AD405" s="5">
        <f>$AB$25*(AC405+(1-AC405)*$AB$16)</f>
        <v>0.0</v>
      </c>
      <c r="AE405" s="13">
        <f>AD405*($AB$6+ACUTE_MARGIN)</f>
        <v>0.0</v>
      </c>
      <c r="AF405" s="13">
        <f>IF(AB405=1,$AB$31,$AB$32)</f>
        <v>152394.16214437486</v>
      </c>
      <c r="AG405" s="13">
        <f>AE405-AF405</f>
        <v>-152394.16214437486</v>
      </c>
      <c r="AH405" s="13">
        <f>AH404+AG405</f>
        <v>-28253163.9277661</v>
      </c>
      <c r="AI405">
        <f>IF(AH405=MAX($AH$83:$AH$483),$A405,0)</f>
        <v>0</v>
      </c>
      <c r="AJ405">
        <f>IF(AE405&lt;AF405,$A405,B_MAX+1)</f>
        <v>322</v>
      </c>
      <c r="AK405" s="13">
        <f>IF(AB405=1,$AB$35,$AB$36)</f>
        <v>0</v>
      </c>
      <c r="AL405" s="13">
        <f>OCC_DAYS*$AB$41*R_NF_2023-AD405*MCD_SHARE_FREED*R_WAIT_2023</f>
        <v>151980.48282209205</v>
      </c>
      <c r="AM405">
        <f>IF($A405&lt;=$AB$45,1,0)</f>
        <v>0</v>
      </c>
      <c r="BB405">
        <f>IF($BB$31&lt;=$BB$32,IF($A405&lt;=$BB$7,1,2),IF($A405&lt;=RUNG_BEDS_2,2,1))</f>
        <v>1</v>
      </c>
      <c r="BC405" s="5">
        <f>MIN(1,MAX(0,$BB$26-($A405-1)))</f>
        <v>0</v>
      </c>
      <c r="BD405" s="5">
        <f>$BB$25*(BC405+(1-BC405)*$BB$16)</f>
        <v>0.0</v>
      </c>
      <c r="BE405" s="13">
        <f>BD405*($BB$6+ACUTE_MARGIN)</f>
        <v>0.0</v>
      </c>
      <c r="BF405" s="13">
        <f>IF(BB405=1,$BB$31,$BB$32)</f>
        <v>152394.16214437486</v>
      </c>
      <c r="BG405" s="13">
        <f>BE405-BF405</f>
        <v>-152394.16214437486</v>
      </c>
      <c r="BH405" s="13">
        <f>BH404+BG405</f>
        <v>6569264.763333384</v>
      </c>
      <c r="BI405">
        <f>IF(BH405=MAX($BH$83:$BH$483),$A405,0)</f>
        <v>0</v>
      </c>
      <c r="BJ405">
        <f>IF(BE405&lt;BF405,$A405,B_MAX+1)</f>
        <v>322</v>
      </c>
      <c r="BK405" s="13">
        <f>IF(BB405=1,$BB$35,$BB$36)</f>
        <v>0</v>
      </c>
      <c r="BL405" s="13">
        <f>OCC_DAYS*$BB$41*R_NF_2023-BD405*MCD_SHARE_FREED*R_WAIT_2023</f>
        <v>151980.48282209205</v>
      </c>
      <c r="BM405">
        <f>IF($A405&lt;=$BB$45,1,0)</f>
        <v>0</v>
      </c>
      <c r="CB405">
        <f>IF($CB$31&lt;=$CB$32,IF($A405&lt;=$CB$7,1,2),IF($A405&lt;=RUNG_BEDS_2,2,1))</f>
        <v>2</v>
      </c>
      <c r="CC405" s="5">
        <f>MIN(1,MAX(0,$CB$26-($A405-1)))</f>
        <v>0</v>
      </c>
      <c r="CD405" s="5">
        <f>$CB$25*(CC405+(1-CC405)*$CB$16)</f>
        <v>0.0</v>
      </c>
      <c r="CE405" s="13">
        <f>CD405*($CB$6+ACUTE_MARGIN)</f>
        <v>0.0</v>
      </c>
      <c r="CF405" s="13">
        <f>IF(CB405=1,$CB$31,$CB$32)</f>
        <v>160718.36940738867</v>
      </c>
      <c r="CG405" s="13">
        <f>CE405-CF405</f>
        <v>-160718.36940738867</v>
      </c>
      <c r="CH405" s="13">
        <f>CH404+CG405</f>
        <v>-13522344.320906945</v>
      </c>
      <c r="CI405">
        <f>IF(CH405=MAX($CH$83:$CH$483),$A405,0)</f>
        <v>0</v>
      </c>
      <c r="CJ405">
        <f>IF(CE405&lt;CF405,$A405,B_MAX+1)</f>
        <v>322</v>
      </c>
      <c r="CK405" s="13">
        <f>IF(CB405=1,$CB$35,$CB$36)</f>
        <v>1560.1194073886782</v>
      </c>
      <c r="CL405" s="13">
        <f>OCC_DAYS*$CB$41*R_NF_2023-CD405*MCD_SHARE_FREED*R_WAIT_2023</f>
        <v>151980.48282209205</v>
      </c>
      <c r="CM405">
        <f>IF($A405&lt;=$CB$45,1,0)</f>
        <v>0</v>
      </c>
      <c r="DB405">
        <f>IF($DB$31&lt;=$DB$32,IF($A405&lt;=$DB$7,1,2),IF($A405&lt;=RUNG_BEDS_2,2,1))</f>
        <v>1</v>
      </c>
      <c r="DC405" s="5">
        <f>MIN(1,MAX(0,$DB$26-($A405-1)))</f>
        <v>0</v>
      </c>
      <c r="DD405" s="5">
        <f>$DB$25*(DC405+(1-DC405)*$DB$16)</f>
        <v>0.0</v>
      </c>
      <c r="DE405" s="13">
        <f>DD405*($DB$6+ACUTE_MARGIN)</f>
        <v>0.0</v>
      </c>
      <c r="DF405" s="13">
        <f>IF(DB405=1,$DB$31,$DB$32)</f>
        <v>152394.16214437486</v>
      </c>
      <c r="DG405" s="13">
        <f>DE405-DF405</f>
        <v>-152394.16214437486</v>
      </c>
      <c r="DH405" s="13">
        <f>DH404+DG405</f>
        <v>-10841949.582216363</v>
      </c>
      <c r="DI405">
        <f>IF(DH405=MAX($DH$83:$DH$483),$A405,0)</f>
        <v>0</v>
      </c>
      <c r="DJ405">
        <f>IF(DE405&lt;DF405,$A405,B_MAX+1)</f>
        <v>322</v>
      </c>
      <c r="DK405" s="13">
        <f>IF(DB405=1,$DB$35,$DB$36)</f>
        <v>0</v>
      </c>
      <c r="DL405" s="13">
        <f>OCC_DAYS*$DB$41*R_NF_2023-DD405*MCD_SHARE_FREED*R_WAIT_2023</f>
        <v>151980.48282209205</v>
      </c>
      <c r="DM405">
        <f>IF($A405&lt;=$DB$45,1,0)</f>
        <v>0</v>
      </c>
      <c r="EB405">
        <f>IF($EB$31&lt;=$EB$32,IF($A405&lt;=$EB$7,1,2),IF($A405&lt;=RUNG_BEDS_2,2,1))</f>
        <v>1</v>
      </c>
      <c r="EC405" s="5">
        <f>MIN(1,MAX(0,$EB$26-($A405-1)))</f>
        <v>0</v>
      </c>
      <c r="ED405" s="5">
        <f>$EB$25*(EC405+(1-EC405)*$EB$16)</f>
        <v>0.0</v>
      </c>
      <c r="EE405" s="13">
        <f>ED405*($EB$6+ACUTE_MARGIN)</f>
        <v>0.0</v>
      </c>
      <c r="EF405" s="13">
        <f>IF(EB405=1,$EB$31,$EB$32)</f>
        <v>152394.16214437486</v>
      </c>
      <c r="EG405" s="13">
        <f>EE405-EF405</f>
        <v>-152394.16214437486</v>
      </c>
      <c r="EH405" s="13">
        <f>EH404+EG405</f>
        <v>-10841949.582216363</v>
      </c>
      <c r="EI405">
        <f>IF(EH405=MAX($EH$83:$EH$483),$A405,0)</f>
        <v>0</v>
      </c>
      <c r="EJ405">
        <f>IF(EE405&lt;EF405,$A405,B_MAX+1)</f>
        <v>322</v>
      </c>
      <c r="EK405" s="13">
        <f>IF(EB405=1,$EB$35,$EB$36)</f>
        <v>0</v>
      </c>
      <c r="EL405" s="13">
        <f>OCC_DAYS*$EB$41*R_NF_2023-ED405*MCD_SHARE_FREED*R_WAIT_2023</f>
        <v>50660.16094069735</v>
      </c>
      <c r="EM405">
        <f>IF($A405&lt;=$EB$45,1,0)</f>
        <v>0</v>
      </c>
      <c r="FB405">
        <f>IF($FB$31&lt;=$FB$32,IF($A405&lt;=$FB$7,1,2),IF($A405&lt;=RUNG_BEDS_2,2,1))</f>
        <v>1</v>
      </c>
      <c r="FC405" s="5">
        <f>MIN(1,MAX(0,$FB$26-($A405-1)))</f>
        <v>0</v>
      </c>
      <c r="FD405" s="5">
        <f>$FB$25*(FC405+(1-FC405)*$FB$16)</f>
        <v>0.0</v>
      </c>
      <c r="FE405" s="13">
        <f>FD405*($FB$6+ACUTE_MARGIN)</f>
        <v>0.0</v>
      </c>
      <c r="FF405" s="13">
        <f>IF(FB405=1,$FB$31,$FB$32)</f>
        <v>156636.04979437485</v>
      </c>
      <c r="FG405" s="13">
        <f>FE405-FF405</f>
        <v>-156636.04979437485</v>
      </c>
      <c r="FH405" s="13">
        <f>FH404+FG405</f>
        <v>-12207837.405516468</v>
      </c>
      <c r="FI405">
        <f>IF(FH405=MAX($FH$83:$FH$483),$A405,0)</f>
        <v>0</v>
      </c>
      <c r="FJ405">
        <f>IF(FE405&lt;FF405,$A405,B_MAX+1)</f>
        <v>322</v>
      </c>
      <c r="FK405" s="13">
        <f>IF(FB405=1,$FB$35,$FB$36)</f>
        <v>0</v>
      </c>
      <c r="FL405" s="13">
        <f>OCC_DAYS*$FB$41*R_NF_2023-FD405*MCD_SHARE_FREED*R_WAIT_2023</f>
        <v>151980.48282209205</v>
      </c>
      <c r="FM405">
        <f>IF($A405&lt;=$FB$45,1,0)</f>
        <v>0</v>
      </c>
      <c r="GB405">
        <f>IF($GB$31&lt;=$GB$32,IF($A405&lt;=$GB$7,1,2),IF($A405&lt;=RUNG_BEDS_2,2,1))</f>
        <v>1</v>
      </c>
      <c r="GC405" s="5">
        <f>MIN(1,MAX(0,$GB$26-($A405-1)))</f>
        <v>0</v>
      </c>
      <c r="GD405" s="5">
        <f>$GB$25*(GC405+(1-GC405)*$GB$16)</f>
        <v>0.0</v>
      </c>
      <c r="GE405" s="13">
        <f>GD405*($GB$6+ACUTE_MARGIN)</f>
        <v>0.0</v>
      </c>
      <c r="GF405" s="13">
        <f>IF(GB405=1,$GB$31,$GB$32)</f>
        <v>152394.16214437486</v>
      </c>
      <c r="GG405" s="13">
        <f>GE405-GF405</f>
        <v>-152394.16214437486</v>
      </c>
      <c r="GH405" s="13">
        <f>GH404+GG405</f>
        <v>-10841949.582216363</v>
      </c>
      <c r="GI405">
        <f>IF(GH405=MAX($GH$83:$GH$483),$A405,0)</f>
        <v>0</v>
      </c>
      <c r="GJ405">
        <f>IF(GE405&lt;GF405,$A405,B_MAX+1)</f>
        <v>322</v>
      </c>
      <c r="GK405" s="13">
        <f>IF(GB405=1,$GB$35,$GB$36)</f>
        <v>0</v>
      </c>
      <c r="GL405" s="13">
        <f>OCC_DAYS*$GB$41*R_NF_2023-GD405*MCD_SHARE_FREED*R_WAIT_2023</f>
        <v>151980.48282209205</v>
      </c>
      <c r="GM405">
        <f>IF($A405&lt;=$GB$45,1,0)</f>
        <v>0</v>
      </c>
      <c r="HB405">
        <f>IF($HB$31&lt;=$HB$32,IF($A405&lt;=$HB$7,1,2),IF($A405&lt;=RUNG_BEDS_2,2,1))</f>
        <v>1</v>
      </c>
      <c r="HC405" s="5">
        <f>MIN(1,MAX(0,$HB$26-($A405-1)))</f>
        <v>0</v>
      </c>
      <c r="HD405" s="5">
        <f>$HB$25*(HC405+(1-HC405)*$HB$16)</f>
        <v>0.0</v>
      </c>
      <c r="HE405" s="13">
        <f>HD405*($HB$6+ACUTE_MARGIN)</f>
        <v>0.0</v>
      </c>
      <c r="HF405" s="13">
        <f>IF(HB405=1,$HB$31,$HB$32)</f>
        <v>152456.2970814058</v>
      </c>
      <c r="HG405" s="13">
        <f>HE405-HF405</f>
        <v>-152456.2970814058</v>
      </c>
      <c r="HH405" s="13">
        <f>HH404+HG405</f>
        <v>-10861957.031940375</v>
      </c>
      <c r="HI405">
        <f>IF(HH405=MAX($HH$83:$HH$483),$A405,0)</f>
        <v>0</v>
      </c>
      <c r="HJ405">
        <f>IF(HE405&lt;HF405,$A405,B_MAX+1)</f>
        <v>322</v>
      </c>
      <c r="HK405" s="13">
        <f>IF(HB405=1,$HB$35,$HB$36)</f>
        <v>0</v>
      </c>
      <c r="HL405" s="13">
        <f>OCC_DAYS*$HB$41*R_NF_2023-HD405*MCD_SHARE_FREED*R_WAIT_2023</f>
        <v>151980.48282209205</v>
      </c>
      <c r="HM405">
        <f>IF($A405&lt;=$HB$45,1,0)</f>
        <v>0</v>
      </c>
      <c r="IB405">
        <f>IF($IB$31&lt;=$IB$32,IF($A405&lt;=$IB$7,1,2),IF($A405&lt;=RUNG_BEDS_2,2,1))</f>
        <v>1</v>
      </c>
      <c r="IC405" s="5">
        <f>MIN(1,MAX(0,$IB$26-($A405-1)))</f>
        <v>0</v>
      </c>
      <c r="ID405" s="5">
        <f>$IB$25*(IC405+(1-IC405)*$IB$16)</f>
        <v>0.0</v>
      </c>
      <c r="IE405" s="13">
        <f>ID405*($IB$6+ACUTE_MARGIN)</f>
        <v>0.0</v>
      </c>
      <c r="IF405" s="13">
        <f>IF(IB405=1,$IB$31,$IB$32)</f>
        <v>152734.9994534971</v>
      </c>
      <c r="IG405" s="13">
        <f>IE405-IF405</f>
        <v>-152734.9994534971</v>
      </c>
      <c r="IH405" s="13">
        <f>IH404+IG405</f>
        <v>-10951699.195753809</v>
      </c>
      <c r="II405">
        <f>IF(IH405=MAX($IH$83:$IH$483),$A405,0)</f>
        <v>0</v>
      </c>
      <c r="IJ405">
        <f>IF(IE405&lt;IF405,$A405,B_MAX+1)</f>
        <v>322</v>
      </c>
      <c r="IK405" s="13">
        <f>IF(IB405=1,$IB$35,$IB$36)</f>
        <v>0</v>
      </c>
      <c r="IL405" s="13">
        <f>OCC_DAYS*$IB$41*R_NF_2023-ID405*MCD_SHARE_FREED*R_WAIT_2023</f>
        <v>151980.48282209205</v>
      </c>
      <c r="IM405">
        <f>IF($A405&lt;=$IB$45,1,0)</f>
        <v>0</v>
      </c>
      <c r="JB405">
        <f>IF($JB$31&lt;=$JB$32,IF($A405&lt;=$JB$7,1,2),IF($A405&lt;=RUNG_BEDS_2,2,1))</f>
        <v>1</v>
      </c>
      <c r="JC405" s="5">
        <f>MIN(1,MAX(0,$JB$26-($A405-1)))</f>
        <v>0</v>
      </c>
      <c r="JD405" s="5">
        <f>$JB$25*(JC405+(1-JC405)*$JB$16)</f>
        <v>0.0</v>
      </c>
      <c r="JE405" s="13">
        <f>JD405*($JB$6+ACUTE_MARGIN)</f>
        <v>0.0</v>
      </c>
      <c r="JF405" s="13">
        <f>IF(JB405=1,$JB$31,$JB$32)</f>
        <v>152394.16214437486</v>
      </c>
      <c r="JG405" s="13">
        <f>JE405-JF405</f>
        <v>-152394.16214437486</v>
      </c>
      <c r="JH405" s="13">
        <f>JH404+JG405</f>
        <v>-10841949.582216363</v>
      </c>
      <c r="JI405">
        <f>IF(JH405=MAX($JH$83:$JH$483),$A405,0)</f>
        <v>0</v>
      </c>
      <c r="JJ405">
        <f>IF(JE405&lt;JF405,$A405,B_MAX+1)</f>
        <v>322</v>
      </c>
      <c r="JK405" s="13">
        <f>IF(JB405=1,$JB$35,$JB$36)</f>
        <v>0</v>
      </c>
      <c r="JL405" s="13">
        <f>OCC_DAYS*$JB$41*R_NF_2023-JD405*MCD_SHARE_FREED*R_WAIT_2023</f>
        <v>151980.48282209205</v>
      </c>
      <c r="JM405">
        <f>IF($A405&lt;=$JB$45,1,0)</f>
        <v>0</v>
      </c>
      <c r="KB405">
        <f>IF($KB$31&lt;=$KB$32,IF($A405&lt;=$KB$7,1,2),IF($A405&lt;=RUNG_BEDS_2,2,1))</f>
        <v>1</v>
      </c>
      <c r="KC405" s="5">
        <f>MIN(1,MAX(0,$KB$26-($A405-1)))</f>
        <v>0</v>
      </c>
      <c r="KD405" s="5">
        <f>$KB$25*(KC405+(1-KC405)*$KB$16)</f>
        <v>0.0</v>
      </c>
      <c r="KE405" s="13">
        <f>KD405*($KB$6+ACUTE_MARGIN)</f>
        <v>0.0</v>
      </c>
      <c r="KF405" s="13">
        <f>IF(KB405=1,$KB$31,$KB$32)</f>
        <v>152394.16214437486</v>
      </c>
      <c r="KG405" s="13">
        <f>KE405-KF405</f>
        <v>-152394.16214437486</v>
      </c>
      <c r="KH405" s="13">
        <f>KH404+KG405</f>
        <v>-10841949.58221647</v>
      </c>
      <c r="KI405">
        <f>IF(KH405=MAX($KH$83:$KH$483),$A405,0)</f>
        <v>0</v>
      </c>
      <c r="KJ405">
        <f>IF(KE405&lt;KF405,$A405,B_MAX+1)</f>
        <v>322</v>
      </c>
      <c r="KK405" s="13">
        <f>IF(KB405=1,$KB$35,$KB$36)</f>
        <v>0</v>
      </c>
      <c r="KL405" s="13">
        <f>OCC_DAYS*$KB$41*R_NF_2023-KD405*MCD_SHARE_FREED*R_WAIT_2023</f>
        <v>151980.48282209205</v>
      </c>
      <c r="KM405">
        <f>IF($A405&lt;=$KB$45,1,0)</f>
        <v>0</v>
      </c>
      <c r="LB405">
        <f>IF($LB$31&lt;=$LB$32,IF($A405&lt;=$LB$7,1,2),IF($A405&lt;=RUNG_BEDS_2,2,1))</f>
        <v>1</v>
      </c>
      <c r="LC405" s="5">
        <f>MIN(1,MAX(0,$LB$26-($A405-1)))</f>
        <v>1</v>
      </c>
      <c r="LD405" s="5">
        <f>$LB$25*(LC405+(1-LC405)*$LB$16)</f>
        <v>84.01774238227146</v>
      </c>
      <c r="LE405" s="13">
        <f>LD405*($LB$6+ACUTE_MARGIN)</f>
        <v>84857.91980609419</v>
      </c>
      <c r="LF405" s="13">
        <f>IF(LB405=1,$LB$31,$LB$32)</f>
        <v>152394.16214437486</v>
      </c>
      <c r="LG405" s="13">
        <f>LE405-LF405</f>
        <v>-67536.24233828067</v>
      </c>
      <c r="LH405" s="13">
        <f>LH404+LG405</f>
        <v>-21746670.032926492</v>
      </c>
      <c r="LI405">
        <f>IF(LH405=MAX($LH$83:$LH$483),$A405,0)</f>
        <v>0</v>
      </c>
      <c r="LJ405">
        <f>IF(LE405&lt;LF405,$A405,B_MAX+1)</f>
        <v>322</v>
      </c>
      <c r="LK405" s="13">
        <f>IF(LB405=1,$LB$35,$LB$36)</f>
        <v>0</v>
      </c>
      <c r="LL405" s="13">
        <f>OCC_DAYS*$LB$41*R_NF_2023-LD405*MCD_SHARE_FREED*R_WAIT_2023</f>
        <v>113776.04162887059</v>
      </c>
      <c r="LM405">
        <f>IF($A405&lt;=$LB$45,1,0)</f>
        <v>0</v>
      </c>
      <c r="MB405">
        <f>IF($MB$31&lt;=$MB$32,IF($A405&lt;=$MB$7,1,2),IF($A405&lt;=RUNG_BEDS_2,2,1))</f>
        <v>1</v>
      </c>
      <c r="MC405" s="5">
        <f>MIN(1,MAX(0,$MB$26-($A405-1)))</f>
        <v>0</v>
      </c>
      <c r="MD405" s="5">
        <f>$MB$25*(MC405+(1-MC405)*$MB$16)</f>
        <v>0.0</v>
      </c>
      <c r="ME405" s="13">
        <f>MD405*($MB$6+ACUTE_MARGIN)</f>
        <v>0.0</v>
      </c>
      <c r="MF405" s="13">
        <f>IF(MB405=1,$MB$31,$MB$32)</f>
        <v>152394.16214437486</v>
      </c>
      <c r="MG405" s="13">
        <f>ME405-MF405</f>
        <v>-152394.16214437486</v>
      </c>
      <c r="MH405" s="13">
        <f>MH404+MG405</f>
        <v>-16729225.644014664</v>
      </c>
      <c r="MI405">
        <f>IF(MH405=MAX($MH$83:$MH$483),$A405,0)</f>
        <v>0</v>
      </c>
      <c r="MJ405">
        <f>IF(ME405&lt;MF405,$A405,B_MAX+1)</f>
        <v>322</v>
      </c>
      <c r="MK405" s="13">
        <f>IF(MB405=1,$MB$35,$MB$36)</f>
        <v>0</v>
      </c>
      <c r="ML405" s="13">
        <f>OCC_DAYS*$MB$41*R_NF_2023-MD405*MCD_SHARE_FREED*R_WAIT_2023</f>
        <v>151980.48282209205</v>
      </c>
      <c r="MM405">
        <f>IF($A405&lt;=$MB$45,1,0)</f>
        <v>0</v>
      </c>
      <c r="NB405">
        <f>IF($NB$31&lt;=$NB$32,IF($A405&lt;=$NB$7,1,2),IF($A405&lt;=RUNG_BEDS_2,2,1))</f>
        <v>1</v>
      </c>
      <c r="NC405" s="5">
        <f>MIN(1,MAX(0,$NB$26-($A405-1)))</f>
        <v>0</v>
      </c>
      <c r="ND405" s="5">
        <f>$NB$25*(NC405+(1-NC405)*$NB$16)</f>
        <v>63.013306786703595</v>
      </c>
      <c r="NE405" s="13">
        <f>ND405*($NB$6+ACUTE_MARGIN)</f>
        <v>63643.43985457063</v>
      </c>
      <c r="NF405" s="13">
        <f>IF(NB405=1,$NB$31,$NB$32)</f>
        <v>152394.16214437486</v>
      </c>
      <c r="NG405" s="13">
        <f>NE405-NF405</f>
        <v>-88750.72228980422</v>
      </c>
      <c r="NH405" s="13">
        <f>NH404+NG405</f>
        <v>93995.3938872632</v>
      </c>
      <c r="NI405">
        <f>IF(NH405=MAX($NH$83:$NH$483),$A405,0)</f>
        <v>0</v>
      </c>
      <c r="NJ405">
        <f>IF(NE405&lt;NF405,$A405,B_MAX+1)</f>
        <v>322</v>
      </c>
      <c r="NK405" s="13">
        <f>IF(NB405=1,$NB$35,$NB$36)</f>
        <v>0</v>
      </c>
      <c r="NL405" s="13">
        <f>OCC_DAYS*$NB$41*R_NF_2023-ND405*MCD_SHARE_FREED*R_WAIT_2023</f>
        <v>123327.15192717595</v>
      </c>
      <c r="NM405">
        <f>IF($A405&lt;=$NB$45,1,0)</f>
        <v>0</v>
      </c>
      <c r="OB405">
        <f>IF($OB$31&lt;=$OB$32,IF($A405&lt;=$OB$7,1,2),IF($A405&lt;=RUNG_BEDS_2,2,1))</f>
        <v>1</v>
      </c>
      <c r="OC405" s="5">
        <f>MIN(1,MAX(0,$OB$26-($A405-1)))</f>
        <v>0</v>
      </c>
      <c r="OD405" s="5">
        <f>$OB$25*(OC405+(1-OC405)*$OB$16)</f>
        <v>126.02661357340719</v>
      </c>
      <c r="OE405" s="13">
        <f>OD405*($OB$6+ACUTE_MARGIN)</f>
        <v>127286.87970914126</v>
      </c>
      <c r="OF405" s="13">
        <f>IF(OB405=1,$OB$31,$OB$32)</f>
        <v>152394.16214437486</v>
      </c>
      <c r="OG405" s="13">
        <f>OE405-OF405</f>
        <v>-25107.282435233603</v>
      </c>
      <c r="OH405" s="13">
        <f>OH404+OG405</f>
        <v>11029940.369991105</v>
      </c>
      <c r="OI405">
        <f>IF(OH405=MAX($OH$83:$OH$483),$A405,0)</f>
        <v>0</v>
      </c>
      <c r="OJ405">
        <f>IF(OE405&lt;OF405,$A405,B_MAX+1)</f>
        <v>322</v>
      </c>
      <c r="OK405" s="13">
        <f>IF(OB405=1,$OB$35,$OB$36)</f>
        <v>0</v>
      </c>
      <c r="OL405" s="13">
        <f>OCC_DAYS*$OB$41*R_NF_2023-OD405*MCD_SHARE_FREED*R_WAIT_2023</f>
        <v>94673.82103225985</v>
      </c>
      <c r="OM405">
        <f>IF($A405&lt;=$OB$45,1,0)</f>
        <v>0</v>
      </c>
    </row>
    <row r="406">
      <c r="A406" t="n">
        <v>323</v>
      </c>
      <c r="B406">
        <f>IF($B$31&lt;=$B$32,IF($A406&lt;=$B$7,1,2),IF($A406&lt;=RUNG_BEDS_2,2,1))</f>
        <v>1</v>
      </c>
      <c r="C406" s="5">
        <f>MIN(1,MAX(0,$B$26-($A406-1)))</f>
        <v>0</v>
      </c>
      <c r="D406" s="5">
        <f>$B$25*(C406+(1-C406)*$B$16)</f>
        <v>0.0</v>
      </c>
      <c r="E406" s="13">
        <f>D406*($B$6+ACUTE_MARGIN)</f>
        <v>0.0</v>
      </c>
      <c r="F406" s="13">
        <f>IF(B406=1,$B$31,$B$32)</f>
        <v>152394.16214437486</v>
      </c>
      <c r="G406" s="13">
        <f>E406-F406</f>
        <v>-152394.16214437486</v>
      </c>
      <c r="H406" s="13">
        <f>H405+G406</f>
        <v>-10994343.744360738</v>
      </c>
      <c r="I406">
        <f>IF(H406=MAX($H$83:$H$483),$A406,0)</f>
        <v>0</v>
      </c>
      <c r="J406">
        <f>IF(E406&lt;F406,$A406,B_MAX+1)</f>
        <v>323</v>
      </c>
      <c r="K406" s="13">
        <f>IF(B406=1,$B$35,$B$36)</f>
        <v>0</v>
      </c>
      <c r="L406" s="13">
        <f>OCC_DAYS*$B$41*R_NF_2023-D406*MCD_SHARE_FREED*R_WAIT_2023</f>
        <v>151980.48282209205</v>
      </c>
      <c r="M406">
        <f>IF($A406&lt;=$B$45,1,0)</f>
        <v>0</v>
      </c>
      <c r="AB406">
        <f>IF($AB$31&lt;=$AB$32,IF($A406&lt;=$AB$7,1,2),IF($A406&lt;=RUNG_BEDS_2,2,1))</f>
        <v>1</v>
      </c>
      <c r="AC406" s="5">
        <f>MIN(1,MAX(0,$AB$26-($A406-1)))</f>
        <v>0</v>
      </c>
      <c r="AD406" s="5">
        <f>$AB$25*(AC406+(1-AC406)*$AB$16)</f>
        <v>0.0</v>
      </c>
      <c r="AE406" s="13">
        <f>AD406*($AB$6+ACUTE_MARGIN)</f>
        <v>0.0</v>
      </c>
      <c r="AF406" s="13">
        <f>IF(AB406=1,$AB$31,$AB$32)</f>
        <v>152394.16214437486</v>
      </c>
      <c r="AG406" s="13">
        <f>AE406-AF406</f>
        <v>-152394.16214437486</v>
      </c>
      <c r="AH406" s="13">
        <f>AH405+AG406</f>
        <v>-28405558.089910474</v>
      </c>
      <c r="AI406">
        <f>IF(AH406=MAX($AH$83:$AH$483),$A406,0)</f>
        <v>0</v>
      </c>
      <c r="AJ406">
        <f>IF(AE406&lt;AF406,$A406,B_MAX+1)</f>
        <v>323</v>
      </c>
      <c r="AK406" s="13">
        <f>IF(AB406=1,$AB$35,$AB$36)</f>
        <v>0</v>
      </c>
      <c r="AL406" s="13">
        <f>OCC_DAYS*$AB$41*R_NF_2023-AD406*MCD_SHARE_FREED*R_WAIT_2023</f>
        <v>151980.48282209205</v>
      </c>
      <c r="AM406">
        <f>IF($A406&lt;=$AB$45,1,0)</f>
        <v>0</v>
      </c>
      <c r="BB406">
        <f>IF($BB$31&lt;=$BB$32,IF($A406&lt;=$BB$7,1,2),IF($A406&lt;=RUNG_BEDS_2,2,1))</f>
        <v>1</v>
      </c>
      <c r="BC406" s="5">
        <f>MIN(1,MAX(0,$BB$26-($A406-1)))</f>
        <v>0</v>
      </c>
      <c r="BD406" s="5">
        <f>$BB$25*(BC406+(1-BC406)*$BB$16)</f>
        <v>0.0</v>
      </c>
      <c r="BE406" s="13">
        <f>BD406*($BB$6+ACUTE_MARGIN)</f>
        <v>0.0</v>
      </c>
      <c r="BF406" s="13">
        <f>IF(BB406=1,$BB$31,$BB$32)</f>
        <v>152394.16214437486</v>
      </c>
      <c r="BG406" s="13">
        <f>BE406-BF406</f>
        <v>-152394.16214437486</v>
      </c>
      <c r="BH406" s="13">
        <f>BH405+BG406</f>
        <v>6416870.601189009</v>
      </c>
      <c r="BI406">
        <f>IF(BH406=MAX($BH$83:$BH$483),$A406,0)</f>
        <v>0</v>
      </c>
      <c r="BJ406">
        <f>IF(BE406&lt;BF406,$A406,B_MAX+1)</f>
        <v>323</v>
      </c>
      <c r="BK406" s="13">
        <f>IF(BB406=1,$BB$35,$BB$36)</f>
        <v>0</v>
      </c>
      <c r="BL406" s="13">
        <f>OCC_DAYS*$BB$41*R_NF_2023-BD406*MCD_SHARE_FREED*R_WAIT_2023</f>
        <v>151980.48282209205</v>
      </c>
      <c r="BM406">
        <f>IF($A406&lt;=$BB$45,1,0)</f>
        <v>0</v>
      </c>
      <c r="CB406">
        <f>IF($CB$31&lt;=$CB$32,IF($A406&lt;=$CB$7,1,2),IF($A406&lt;=RUNG_BEDS_2,2,1))</f>
        <v>2</v>
      </c>
      <c r="CC406" s="5">
        <f>MIN(1,MAX(0,$CB$26-($A406-1)))</f>
        <v>0</v>
      </c>
      <c r="CD406" s="5">
        <f>$CB$25*(CC406+(1-CC406)*$CB$16)</f>
        <v>0.0</v>
      </c>
      <c r="CE406" s="13">
        <f>CD406*($CB$6+ACUTE_MARGIN)</f>
        <v>0.0</v>
      </c>
      <c r="CF406" s="13">
        <f>IF(CB406=1,$CB$31,$CB$32)</f>
        <v>160718.36940738867</v>
      </c>
      <c r="CG406" s="13">
        <f>CE406-CF406</f>
        <v>-160718.36940738867</v>
      </c>
      <c r="CH406" s="13">
        <f>CH405+CG406</f>
        <v>-13683062.690314334</v>
      </c>
      <c r="CI406">
        <f>IF(CH406=MAX($CH$83:$CH$483),$A406,0)</f>
        <v>0</v>
      </c>
      <c r="CJ406">
        <f>IF(CE406&lt;CF406,$A406,B_MAX+1)</f>
        <v>323</v>
      </c>
      <c r="CK406" s="13">
        <f>IF(CB406=1,$CB$35,$CB$36)</f>
        <v>1560.1194073886782</v>
      </c>
      <c r="CL406" s="13">
        <f>OCC_DAYS*$CB$41*R_NF_2023-CD406*MCD_SHARE_FREED*R_WAIT_2023</f>
        <v>151980.48282209205</v>
      </c>
      <c r="CM406">
        <f>IF($A406&lt;=$CB$45,1,0)</f>
        <v>0</v>
      </c>
      <c r="DB406">
        <f>IF($DB$31&lt;=$DB$32,IF($A406&lt;=$DB$7,1,2),IF($A406&lt;=RUNG_BEDS_2,2,1))</f>
        <v>1</v>
      </c>
      <c r="DC406" s="5">
        <f>MIN(1,MAX(0,$DB$26-($A406-1)))</f>
        <v>0</v>
      </c>
      <c r="DD406" s="5">
        <f>$DB$25*(DC406+(1-DC406)*$DB$16)</f>
        <v>0.0</v>
      </c>
      <c r="DE406" s="13">
        <f>DD406*($DB$6+ACUTE_MARGIN)</f>
        <v>0.0</v>
      </c>
      <c r="DF406" s="13">
        <f>IF(DB406=1,$DB$31,$DB$32)</f>
        <v>152394.16214437486</v>
      </c>
      <c r="DG406" s="13">
        <f>DE406-DF406</f>
        <v>-152394.16214437486</v>
      </c>
      <c r="DH406" s="13">
        <f>DH405+DG406</f>
        <v>-10994343.744360738</v>
      </c>
      <c r="DI406">
        <f>IF(DH406=MAX($DH$83:$DH$483),$A406,0)</f>
        <v>0</v>
      </c>
      <c r="DJ406">
        <f>IF(DE406&lt;DF406,$A406,B_MAX+1)</f>
        <v>323</v>
      </c>
      <c r="DK406" s="13">
        <f>IF(DB406=1,$DB$35,$DB$36)</f>
        <v>0</v>
      </c>
      <c r="DL406" s="13">
        <f>OCC_DAYS*$DB$41*R_NF_2023-DD406*MCD_SHARE_FREED*R_WAIT_2023</f>
        <v>151980.48282209205</v>
      </c>
      <c r="DM406">
        <f>IF($A406&lt;=$DB$45,1,0)</f>
        <v>0</v>
      </c>
      <c r="EB406">
        <f>IF($EB$31&lt;=$EB$32,IF($A406&lt;=$EB$7,1,2),IF($A406&lt;=RUNG_BEDS_2,2,1))</f>
        <v>1</v>
      </c>
      <c r="EC406" s="5">
        <f>MIN(1,MAX(0,$EB$26-($A406-1)))</f>
        <v>0</v>
      </c>
      <c r="ED406" s="5">
        <f>$EB$25*(EC406+(1-EC406)*$EB$16)</f>
        <v>0.0</v>
      </c>
      <c r="EE406" s="13">
        <f>ED406*($EB$6+ACUTE_MARGIN)</f>
        <v>0.0</v>
      </c>
      <c r="EF406" s="13">
        <f>IF(EB406=1,$EB$31,$EB$32)</f>
        <v>152394.16214437486</v>
      </c>
      <c r="EG406" s="13">
        <f>EE406-EF406</f>
        <v>-152394.16214437486</v>
      </c>
      <c r="EH406" s="13">
        <f>EH405+EG406</f>
        <v>-10994343.744360738</v>
      </c>
      <c r="EI406">
        <f>IF(EH406=MAX($EH$83:$EH$483),$A406,0)</f>
        <v>0</v>
      </c>
      <c r="EJ406">
        <f>IF(EE406&lt;EF406,$A406,B_MAX+1)</f>
        <v>323</v>
      </c>
      <c r="EK406" s="13">
        <f>IF(EB406=1,$EB$35,$EB$36)</f>
        <v>0</v>
      </c>
      <c r="EL406" s="13">
        <f>OCC_DAYS*$EB$41*R_NF_2023-ED406*MCD_SHARE_FREED*R_WAIT_2023</f>
        <v>50660.16094069735</v>
      </c>
      <c r="EM406">
        <f>IF($A406&lt;=$EB$45,1,0)</f>
        <v>0</v>
      </c>
      <c r="FB406">
        <f>IF($FB$31&lt;=$FB$32,IF($A406&lt;=$FB$7,1,2),IF($A406&lt;=RUNG_BEDS_2,2,1))</f>
        <v>1</v>
      </c>
      <c r="FC406" s="5">
        <f>MIN(1,MAX(0,$FB$26-($A406-1)))</f>
        <v>0</v>
      </c>
      <c r="FD406" s="5">
        <f>$FB$25*(FC406+(1-FC406)*$FB$16)</f>
        <v>0.0</v>
      </c>
      <c r="FE406" s="13">
        <f>FD406*($FB$6+ACUTE_MARGIN)</f>
        <v>0.0</v>
      </c>
      <c r="FF406" s="13">
        <f>IF(FB406=1,$FB$31,$FB$32)</f>
        <v>156636.04979437485</v>
      </c>
      <c r="FG406" s="13">
        <f>FE406-FF406</f>
        <v>-156636.04979437485</v>
      </c>
      <c r="FH406" s="13">
        <f>FH405+FG406</f>
        <v>-12364473.455310842</v>
      </c>
      <c r="FI406">
        <f>IF(FH406=MAX($FH$83:$FH$483),$A406,0)</f>
        <v>0</v>
      </c>
      <c r="FJ406">
        <f>IF(FE406&lt;FF406,$A406,B_MAX+1)</f>
        <v>323</v>
      </c>
      <c r="FK406" s="13">
        <f>IF(FB406=1,$FB$35,$FB$36)</f>
        <v>0</v>
      </c>
      <c r="FL406" s="13">
        <f>OCC_DAYS*$FB$41*R_NF_2023-FD406*MCD_SHARE_FREED*R_WAIT_2023</f>
        <v>151980.48282209205</v>
      </c>
      <c r="FM406">
        <f>IF($A406&lt;=$FB$45,1,0)</f>
        <v>0</v>
      </c>
      <c r="GB406">
        <f>IF($GB$31&lt;=$GB$32,IF($A406&lt;=$GB$7,1,2),IF($A406&lt;=RUNG_BEDS_2,2,1))</f>
        <v>1</v>
      </c>
      <c r="GC406" s="5">
        <f>MIN(1,MAX(0,$GB$26-($A406-1)))</f>
        <v>0</v>
      </c>
      <c r="GD406" s="5">
        <f>$GB$25*(GC406+(1-GC406)*$GB$16)</f>
        <v>0.0</v>
      </c>
      <c r="GE406" s="13">
        <f>GD406*($GB$6+ACUTE_MARGIN)</f>
        <v>0.0</v>
      </c>
      <c r="GF406" s="13">
        <f>IF(GB406=1,$GB$31,$GB$32)</f>
        <v>152394.16214437486</v>
      </c>
      <c r="GG406" s="13">
        <f>GE406-GF406</f>
        <v>-152394.16214437486</v>
      </c>
      <c r="GH406" s="13">
        <f>GH405+GG406</f>
        <v>-10994343.744360738</v>
      </c>
      <c r="GI406">
        <f>IF(GH406=MAX($GH$83:$GH$483),$A406,0)</f>
        <v>0</v>
      </c>
      <c r="GJ406">
        <f>IF(GE406&lt;GF406,$A406,B_MAX+1)</f>
        <v>323</v>
      </c>
      <c r="GK406" s="13">
        <f>IF(GB406=1,$GB$35,$GB$36)</f>
        <v>0</v>
      </c>
      <c r="GL406" s="13">
        <f>OCC_DAYS*$GB$41*R_NF_2023-GD406*MCD_SHARE_FREED*R_WAIT_2023</f>
        <v>151980.48282209205</v>
      </c>
      <c r="GM406">
        <f>IF($A406&lt;=$GB$45,1,0)</f>
        <v>0</v>
      </c>
      <c r="HB406">
        <f>IF($HB$31&lt;=$HB$32,IF($A406&lt;=$HB$7,1,2),IF($A406&lt;=RUNG_BEDS_2,2,1))</f>
        <v>1</v>
      </c>
      <c r="HC406" s="5">
        <f>MIN(1,MAX(0,$HB$26-($A406-1)))</f>
        <v>0</v>
      </c>
      <c r="HD406" s="5">
        <f>$HB$25*(HC406+(1-HC406)*$HB$16)</f>
        <v>0.0</v>
      </c>
      <c r="HE406" s="13">
        <f>HD406*($HB$6+ACUTE_MARGIN)</f>
        <v>0.0</v>
      </c>
      <c r="HF406" s="13">
        <f>IF(HB406=1,$HB$31,$HB$32)</f>
        <v>152456.2970814058</v>
      </c>
      <c r="HG406" s="13">
        <f>HE406-HF406</f>
        <v>-152456.2970814058</v>
      </c>
      <c r="HH406" s="13">
        <f>HH405+HG406</f>
        <v>-11014413.32902178</v>
      </c>
      <c r="HI406">
        <f>IF(HH406=MAX($HH$83:$HH$483),$A406,0)</f>
        <v>0</v>
      </c>
      <c r="HJ406">
        <f>IF(HE406&lt;HF406,$A406,B_MAX+1)</f>
        <v>323</v>
      </c>
      <c r="HK406" s="13">
        <f>IF(HB406=1,$HB$35,$HB$36)</f>
        <v>0</v>
      </c>
      <c r="HL406" s="13">
        <f>OCC_DAYS*$HB$41*R_NF_2023-HD406*MCD_SHARE_FREED*R_WAIT_2023</f>
        <v>151980.48282209205</v>
      </c>
      <c r="HM406">
        <f>IF($A406&lt;=$HB$45,1,0)</f>
        <v>0</v>
      </c>
      <c r="IB406">
        <f>IF($IB$31&lt;=$IB$32,IF($A406&lt;=$IB$7,1,2),IF($A406&lt;=RUNG_BEDS_2,2,1))</f>
        <v>1</v>
      </c>
      <c r="IC406" s="5">
        <f>MIN(1,MAX(0,$IB$26-($A406-1)))</f>
        <v>0</v>
      </c>
      <c r="ID406" s="5">
        <f>$IB$25*(IC406+(1-IC406)*$IB$16)</f>
        <v>0.0</v>
      </c>
      <c r="IE406" s="13">
        <f>ID406*($IB$6+ACUTE_MARGIN)</f>
        <v>0.0</v>
      </c>
      <c r="IF406" s="13">
        <f>IF(IB406=1,$IB$31,$IB$32)</f>
        <v>152734.9994534971</v>
      </c>
      <c r="IG406" s="13">
        <f>IE406-IF406</f>
        <v>-152734.9994534971</v>
      </c>
      <c r="IH406" s="13">
        <f>IH405+IG406</f>
        <v>-11104434.195207305</v>
      </c>
      <c r="II406">
        <f>IF(IH406=MAX($IH$83:$IH$483),$A406,0)</f>
        <v>0</v>
      </c>
      <c r="IJ406">
        <f>IF(IE406&lt;IF406,$A406,B_MAX+1)</f>
        <v>323</v>
      </c>
      <c r="IK406" s="13">
        <f>IF(IB406=1,$IB$35,$IB$36)</f>
        <v>0</v>
      </c>
      <c r="IL406" s="13">
        <f>OCC_DAYS*$IB$41*R_NF_2023-ID406*MCD_SHARE_FREED*R_WAIT_2023</f>
        <v>151980.48282209205</v>
      </c>
      <c r="IM406">
        <f>IF($A406&lt;=$IB$45,1,0)</f>
        <v>0</v>
      </c>
      <c r="JB406">
        <f>IF($JB$31&lt;=$JB$32,IF($A406&lt;=$JB$7,1,2),IF($A406&lt;=RUNG_BEDS_2,2,1))</f>
        <v>1</v>
      </c>
      <c r="JC406" s="5">
        <f>MIN(1,MAX(0,$JB$26-($A406-1)))</f>
        <v>0</v>
      </c>
      <c r="JD406" s="5">
        <f>$JB$25*(JC406+(1-JC406)*$JB$16)</f>
        <v>0.0</v>
      </c>
      <c r="JE406" s="13">
        <f>JD406*($JB$6+ACUTE_MARGIN)</f>
        <v>0.0</v>
      </c>
      <c r="JF406" s="13">
        <f>IF(JB406=1,$JB$31,$JB$32)</f>
        <v>152394.16214437486</v>
      </c>
      <c r="JG406" s="13">
        <f>JE406-JF406</f>
        <v>-152394.16214437486</v>
      </c>
      <c r="JH406" s="13">
        <f>JH405+JG406</f>
        <v>-10994343.744360738</v>
      </c>
      <c r="JI406">
        <f>IF(JH406=MAX($JH$83:$JH$483),$A406,0)</f>
        <v>0</v>
      </c>
      <c r="JJ406">
        <f>IF(JE406&lt;JF406,$A406,B_MAX+1)</f>
        <v>323</v>
      </c>
      <c r="JK406" s="13">
        <f>IF(JB406=1,$JB$35,$JB$36)</f>
        <v>0</v>
      </c>
      <c r="JL406" s="13">
        <f>OCC_DAYS*$JB$41*R_NF_2023-JD406*MCD_SHARE_FREED*R_WAIT_2023</f>
        <v>151980.48282209205</v>
      </c>
      <c r="JM406">
        <f>IF($A406&lt;=$JB$45,1,0)</f>
        <v>0</v>
      </c>
      <c r="KB406">
        <f>IF($KB$31&lt;=$KB$32,IF($A406&lt;=$KB$7,1,2),IF($A406&lt;=RUNG_BEDS_2,2,1))</f>
        <v>1</v>
      </c>
      <c r="KC406" s="5">
        <f>MIN(1,MAX(0,$KB$26-($A406-1)))</f>
        <v>0</v>
      </c>
      <c r="KD406" s="5">
        <f>$KB$25*(KC406+(1-KC406)*$KB$16)</f>
        <v>0.0</v>
      </c>
      <c r="KE406" s="13">
        <f>KD406*($KB$6+ACUTE_MARGIN)</f>
        <v>0.0</v>
      </c>
      <c r="KF406" s="13">
        <f>IF(KB406=1,$KB$31,$KB$32)</f>
        <v>152394.16214437486</v>
      </c>
      <c r="KG406" s="13">
        <f>KE406-KF406</f>
        <v>-152394.16214437486</v>
      </c>
      <c r="KH406" s="13">
        <f>KH405+KG406</f>
        <v>-10994343.744360844</v>
      </c>
      <c r="KI406">
        <f>IF(KH406=MAX($KH$83:$KH$483),$A406,0)</f>
        <v>0</v>
      </c>
      <c r="KJ406">
        <f>IF(KE406&lt;KF406,$A406,B_MAX+1)</f>
        <v>323</v>
      </c>
      <c r="KK406" s="13">
        <f>IF(KB406=1,$KB$35,$KB$36)</f>
        <v>0</v>
      </c>
      <c r="KL406" s="13">
        <f>OCC_DAYS*$KB$41*R_NF_2023-KD406*MCD_SHARE_FREED*R_WAIT_2023</f>
        <v>151980.48282209205</v>
      </c>
      <c r="KM406">
        <f>IF($A406&lt;=$KB$45,1,0)</f>
        <v>0</v>
      </c>
      <c r="LB406">
        <f>IF($LB$31&lt;=$LB$32,IF($A406&lt;=$LB$7,1,2),IF($A406&lt;=RUNG_BEDS_2,2,1))</f>
        <v>1</v>
      </c>
      <c r="LC406" s="5">
        <f>MIN(1,MAX(0,$LB$26-($A406-1)))</f>
        <v>1</v>
      </c>
      <c r="LD406" s="5">
        <f>$LB$25*(LC406+(1-LC406)*$LB$16)</f>
        <v>84.01774238227146</v>
      </c>
      <c r="LE406" s="13">
        <f>LD406*($LB$6+ACUTE_MARGIN)</f>
        <v>84857.91980609419</v>
      </c>
      <c r="LF406" s="13">
        <f>IF(LB406=1,$LB$31,$LB$32)</f>
        <v>152394.16214437486</v>
      </c>
      <c r="LG406" s="13">
        <f>LE406-LF406</f>
        <v>-67536.24233828067</v>
      </c>
      <c r="LH406" s="13">
        <f>LH405+LG406</f>
        <v>-21814206.275264774</v>
      </c>
      <c r="LI406">
        <f>IF(LH406=MAX($LH$83:$LH$483),$A406,0)</f>
        <v>0</v>
      </c>
      <c r="LJ406">
        <f>IF(LE406&lt;LF406,$A406,B_MAX+1)</f>
        <v>323</v>
      </c>
      <c r="LK406" s="13">
        <f>IF(LB406=1,$LB$35,$LB$36)</f>
        <v>0</v>
      </c>
      <c r="LL406" s="13">
        <f>OCC_DAYS*$LB$41*R_NF_2023-LD406*MCD_SHARE_FREED*R_WAIT_2023</f>
        <v>113776.04162887059</v>
      </c>
      <c r="LM406">
        <f>IF($A406&lt;=$LB$45,1,0)</f>
        <v>0</v>
      </c>
      <c r="MB406">
        <f>IF($MB$31&lt;=$MB$32,IF($A406&lt;=$MB$7,1,2),IF($A406&lt;=RUNG_BEDS_2,2,1))</f>
        <v>1</v>
      </c>
      <c r="MC406" s="5">
        <f>MIN(1,MAX(0,$MB$26-($A406-1)))</f>
        <v>0</v>
      </c>
      <c r="MD406" s="5">
        <f>$MB$25*(MC406+(1-MC406)*$MB$16)</f>
        <v>0.0</v>
      </c>
      <c r="ME406" s="13">
        <f>MD406*($MB$6+ACUTE_MARGIN)</f>
        <v>0.0</v>
      </c>
      <c r="MF406" s="13">
        <f>IF(MB406=1,$MB$31,$MB$32)</f>
        <v>152394.16214437486</v>
      </c>
      <c r="MG406" s="13">
        <f>ME406-MF406</f>
        <v>-152394.16214437486</v>
      </c>
      <c r="MH406" s="13">
        <f>MH405+MG406</f>
        <v>-16881619.806159038</v>
      </c>
      <c r="MI406">
        <f>IF(MH406=MAX($MH$83:$MH$483),$A406,0)</f>
        <v>0</v>
      </c>
      <c r="MJ406">
        <f>IF(ME406&lt;MF406,$A406,B_MAX+1)</f>
        <v>323</v>
      </c>
      <c r="MK406" s="13">
        <f>IF(MB406=1,$MB$35,$MB$36)</f>
        <v>0</v>
      </c>
      <c r="ML406" s="13">
        <f>OCC_DAYS*$MB$41*R_NF_2023-MD406*MCD_SHARE_FREED*R_WAIT_2023</f>
        <v>151980.48282209205</v>
      </c>
      <c r="MM406">
        <f>IF($A406&lt;=$MB$45,1,0)</f>
        <v>0</v>
      </c>
      <c r="NB406">
        <f>IF($NB$31&lt;=$NB$32,IF($A406&lt;=$NB$7,1,2),IF($A406&lt;=RUNG_BEDS_2,2,1))</f>
        <v>1</v>
      </c>
      <c r="NC406" s="5">
        <f>MIN(1,MAX(0,$NB$26-($A406-1)))</f>
        <v>0</v>
      </c>
      <c r="ND406" s="5">
        <f>$NB$25*(NC406+(1-NC406)*$NB$16)</f>
        <v>63.013306786703595</v>
      </c>
      <c r="NE406" s="13">
        <f>ND406*($NB$6+ACUTE_MARGIN)</f>
        <v>63643.43985457063</v>
      </c>
      <c r="NF406" s="13">
        <f>IF(NB406=1,$NB$31,$NB$32)</f>
        <v>152394.16214437486</v>
      </c>
      <c r="NG406" s="13">
        <f>NE406-NF406</f>
        <v>-88750.72228980422</v>
      </c>
      <c r="NH406" s="13">
        <f>NH405+NG406</f>
        <v>5244.671597458975</v>
      </c>
      <c r="NI406">
        <f>IF(NH406=MAX($NH$83:$NH$483),$A406,0)</f>
        <v>0</v>
      </c>
      <c r="NJ406">
        <f>IF(NE406&lt;NF406,$A406,B_MAX+1)</f>
        <v>323</v>
      </c>
      <c r="NK406" s="13">
        <f>IF(NB406=1,$NB$35,$NB$36)</f>
        <v>0</v>
      </c>
      <c r="NL406" s="13">
        <f>OCC_DAYS*$NB$41*R_NF_2023-ND406*MCD_SHARE_FREED*R_WAIT_2023</f>
        <v>123327.15192717595</v>
      </c>
      <c r="NM406">
        <f>IF($A406&lt;=$NB$45,1,0)</f>
        <v>0</v>
      </c>
      <c r="OB406">
        <f>IF($OB$31&lt;=$OB$32,IF($A406&lt;=$OB$7,1,2),IF($A406&lt;=RUNG_BEDS_2,2,1))</f>
        <v>1</v>
      </c>
      <c r="OC406" s="5">
        <f>MIN(1,MAX(0,$OB$26-($A406-1)))</f>
        <v>0</v>
      </c>
      <c r="OD406" s="5">
        <f>$OB$25*(OC406+(1-OC406)*$OB$16)</f>
        <v>126.02661357340719</v>
      </c>
      <c r="OE406" s="13">
        <f>OD406*($OB$6+ACUTE_MARGIN)</f>
        <v>127286.87970914126</v>
      </c>
      <c r="OF406" s="13">
        <f>IF(OB406=1,$OB$31,$OB$32)</f>
        <v>152394.16214437486</v>
      </c>
      <c r="OG406" s="13">
        <f>OE406-OF406</f>
        <v>-25107.282435233603</v>
      </c>
      <c r="OH406" s="13">
        <f>OH405+OG406</f>
        <v>11004833.087555872</v>
      </c>
      <c r="OI406">
        <f>IF(OH406=MAX($OH$83:$OH$483),$A406,0)</f>
        <v>0</v>
      </c>
      <c r="OJ406">
        <f>IF(OE406&lt;OF406,$A406,B_MAX+1)</f>
        <v>323</v>
      </c>
      <c r="OK406" s="13">
        <f>IF(OB406=1,$OB$35,$OB$36)</f>
        <v>0</v>
      </c>
      <c r="OL406" s="13">
        <f>OCC_DAYS*$OB$41*R_NF_2023-OD406*MCD_SHARE_FREED*R_WAIT_2023</f>
        <v>94673.82103225985</v>
      </c>
      <c r="OM406">
        <f>IF($A406&lt;=$OB$45,1,0)</f>
        <v>0</v>
      </c>
    </row>
    <row r="407">
      <c r="A407" t="n">
        <v>324</v>
      </c>
      <c r="B407">
        <f>IF($B$31&lt;=$B$32,IF($A407&lt;=$B$7,1,2),IF($A407&lt;=RUNG_BEDS_2,2,1))</f>
        <v>1</v>
      </c>
      <c r="C407" s="5">
        <f>MIN(1,MAX(0,$B$26-($A407-1)))</f>
        <v>0</v>
      </c>
      <c r="D407" s="5">
        <f>$B$25*(C407+(1-C407)*$B$16)</f>
        <v>0.0</v>
      </c>
      <c r="E407" s="13">
        <f>D407*($B$6+ACUTE_MARGIN)</f>
        <v>0.0</v>
      </c>
      <c r="F407" s="13">
        <f>IF(B407=1,$B$31,$B$32)</f>
        <v>152394.16214437486</v>
      </c>
      <c r="G407" s="13">
        <f>E407-F407</f>
        <v>-152394.16214437486</v>
      </c>
      <c r="H407" s="13">
        <f>H406+G407</f>
        <v>-11146737.906505112</v>
      </c>
      <c r="I407">
        <f>IF(H407=MAX($H$83:$H$483),$A407,0)</f>
        <v>0</v>
      </c>
      <c r="J407">
        <f>IF(E407&lt;F407,$A407,B_MAX+1)</f>
        <v>324</v>
      </c>
      <c r="K407" s="13">
        <f>IF(B407=1,$B$35,$B$36)</f>
        <v>0</v>
      </c>
      <c r="L407" s="13">
        <f>OCC_DAYS*$B$41*R_NF_2023-D407*MCD_SHARE_FREED*R_WAIT_2023</f>
        <v>151980.48282209205</v>
      </c>
      <c r="M407">
        <f>IF($A407&lt;=$B$45,1,0)</f>
        <v>0</v>
      </c>
      <c r="AB407">
        <f>IF($AB$31&lt;=$AB$32,IF($A407&lt;=$AB$7,1,2),IF($A407&lt;=RUNG_BEDS_2,2,1))</f>
        <v>1</v>
      </c>
      <c r="AC407" s="5">
        <f>MIN(1,MAX(0,$AB$26-($A407-1)))</f>
        <v>0</v>
      </c>
      <c r="AD407" s="5">
        <f>$AB$25*(AC407+(1-AC407)*$AB$16)</f>
        <v>0.0</v>
      </c>
      <c r="AE407" s="13">
        <f>AD407*($AB$6+ACUTE_MARGIN)</f>
        <v>0.0</v>
      </c>
      <c r="AF407" s="13">
        <f>IF(AB407=1,$AB$31,$AB$32)</f>
        <v>152394.16214437486</v>
      </c>
      <c r="AG407" s="13">
        <f>AE407-AF407</f>
        <v>-152394.16214437486</v>
      </c>
      <c r="AH407" s="13">
        <f>AH406+AG407</f>
        <v>-28557952.252054848</v>
      </c>
      <c r="AI407">
        <f>IF(AH407=MAX($AH$83:$AH$483),$A407,0)</f>
        <v>0</v>
      </c>
      <c r="AJ407">
        <f>IF(AE407&lt;AF407,$A407,B_MAX+1)</f>
        <v>324</v>
      </c>
      <c r="AK407" s="13">
        <f>IF(AB407=1,$AB$35,$AB$36)</f>
        <v>0</v>
      </c>
      <c r="AL407" s="13">
        <f>OCC_DAYS*$AB$41*R_NF_2023-AD407*MCD_SHARE_FREED*R_WAIT_2023</f>
        <v>151980.48282209205</v>
      </c>
      <c r="AM407">
        <f>IF($A407&lt;=$AB$45,1,0)</f>
        <v>0</v>
      </c>
      <c r="BB407">
        <f>IF($BB$31&lt;=$BB$32,IF($A407&lt;=$BB$7,1,2),IF($A407&lt;=RUNG_BEDS_2,2,1))</f>
        <v>1</v>
      </c>
      <c r="BC407" s="5">
        <f>MIN(1,MAX(0,$BB$26-($A407-1)))</f>
        <v>0</v>
      </c>
      <c r="BD407" s="5">
        <f>$BB$25*(BC407+(1-BC407)*$BB$16)</f>
        <v>0.0</v>
      </c>
      <c r="BE407" s="13">
        <f>BD407*($BB$6+ACUTE_MARGIN)</f>
        <v>0.0</v>
      </c>
      <c r="BF407" s="13">
        <f>IF(BB407=1,$BB$31,$BB$32)</f>
        <v>152394.16214437486</v>
      </c>
      <c r="BG407" s="13">
        <f>BE407-BF407</f>
        <v>-152394.16214437486</v>
      </c>
      <c r="BH407" s="13">
        <f>BH406+BG407</f>
        <v>6264476.439044634</v>
      </c>
      <c r="BI407">
        <f>IF(BH407=MAX($BH$83:$BH$483),$A407,0)</f>
        <v>0</v>
      </c>
      <c r="BJ407">
        <f>IF(BE407&lt;BF407,$A407,B_MAX+1)</f>
        <v>324</v>
      </c>
      <c r="BK407" s="13">
        <f>IF(BB407=1,$BB$35,$BB$36)</f>
        <v>0</v>
      </c>
      <c r="BL407" s="13">
        <f>OCC_DAYS*$BB$41*R_NF_2023-BD407*MCD_SHARE_FREED*R_WAIT_2023</f>
        <v>151980.48282209205</v>
      </c>
      <c r="BM407">
        <f>IF($A407&lt;=$BB$45,1,0)</f>
        <v>0</v>
      </c>
      <c r="CB407">
        <f>IF($CB$31&lt;=$CB$32,IF($A407&lt;=$CB$7,1,2),IF($A407&lt;=RUNG_BEDS_2,2,1))</f>
        <v>2</v>
      </c>
      <c r="CC407" s="5">
        <f>MIN(1,MAX(0,$CB$26-($A407-1)))</f>
        <v>0</v>
      </c>
      <c r="CD407" s="5">
        <f>$CB$25*(CC407+(1-CC407)*$CB$16)</f>
        <v>0.0</v>
      </c>
      <c r="CE407" s="13">
        <f>CD407*($CB$6+ACUTE_MARGIN)</f>
        <v>0.0</v>
      </c>
      <c r="CF407" s="13">
        <f>IF(CB407=1,$CB$31,$CB$32)</f>
        <v>160718.36940738867</v>
      </c>
      <c r="CG407" s="13">
        <f>CE407-CF407</f>
        <v>-160718.36940738867</v>
      </c>
      <c r="CH407" s="13">
        <f>CH406+CG407</f>
        <v>-13843781.059721723</v>
      </c>
      <c r="CI407">
        <f>IF(CH407=MAX($CH$83:$CH$483),$A407,0)</f>
        <v>0</v>
      </c>
      <c r="CJ407">
        <f>IF(CE407&lt;CF407,$A407,B_MAX+1)</f>
        <v>324</v>
      </c>
      <c r="CK407" s="13">
        <f>IF(CB407=1,$CB$35,$CB$36)</f>
        <v>1560.1194073886782</v>
      </c>
      <c r="CL407" s="13">
        <f>OCC_DAYS*$CB$41*R_NF_2023-CD407*MCD_SHARE_FREED*R_WAIT_2023</f>
        <v>151980.48282209205</v>
      </c>
      <c r="CM407">
        <f>IF($A407&lt;=$CB$45,1,0)</f>
        <v>0</v>
      </c>
      <c r="DB407">
        <f>IF($DB$31&lt;=$DB$32,IF($A407&lt;=$DB$7,1,2),IF($A407&lt;=RUNG_BEDS_2,2,1))</f>
        <v>1</v>
      </c>
      <c r="DC407" s="5">
        <f>MIN(1,MAX(0,$DB$26-($A407-1)))</f>
        <v>0</v>
      </c>
      <c r="DD407" s="5">
        <f>$DB$25*(DC407+(1-DC407)*$DB$16)</f>
        <v>0.0</v>
      </c>
      <c r="DE407" s="13">
        <f>DD407*($DB$6+ACUTE_MARGIN)</f>
        <v>0.0</v>
      </c>
      <c r="DF407" s="13">
        <f>IF(DB407=1,$DB$31,$DB$32)</f>
        <v>152394.16214437486</v>
      </c>
      <c r="DG407" s="13">
        <f>DE407-DF407</f>
        <v>-152394.16214437486</v>
      </c>
      <c r="DH407" s="13">
        <f>DH406+DG407</f>
        <v>-11146737.906505112</v>
      </c>
      <c r="DI407">
        <f>IF(DH407=MAX($DH$83:$DH$483),$A407,0)</f>
        <v>0</v>
      </c>
      <c r="DJ407">
        <f>IF(DE407&lt;DF407,$A407,B_MAX+1)</f>
        <v>324</v>
      </c>
      <c r="DK407" s="13">
        <f>IF(DB407=1,$DB$35,$DB$36)</f>
        <v>0</v>
      </c>
      <c r="DL407" s="13">
        <f>OCC_DAYS*$DB$41*R_NF_2023-DD407*MCD_SHARE_FREED*R_WAIT_2023</f>
        <v>151980.48282209205</v>
      </c>
      <c r="DM407">
        <f>IF($A407&lt;=$DB$45,1,0)</f>
        <v>0</v>
      </c>
      <c r="EB407">
        <f>IF($EB$31&lt;=$EB$32,IF($A407&lt;=$EB$7,1,2),IF($A407&lt;=RUNG_BEDS_2,2,1))</f>
        <v>1</v>
      </c>
      <c r="EC407" s="5">
        <f>MIN(1,MAX(0,$EB$26-($A407-1)))</f>
        <v>0</v>
      </c>
      <c r="ED407" s="5">
        <f>$EB$25*(EC407+(1-EC407)*$EB$16)</f>
        <v>0.0</v>
      </c>
      <c r="EE407" s="13">
        <f>ED407*($EB$6+ACUTE_MARGIN)</f>
        <v>0.0</v>
      </c>
      <c r="EF407" s="13">
        <f>IF(EB407=1,$EB$31,$EB$32)</f>
        <v>152394.16214437486</v>
      </c>
      <c r="EG407" s="13">
        <f>EE407-EF407</f>
        <v>-152394.16214437486</v>
      </c>
      <c r="EH407" s="13">
        <f>EH406+EG407</f>
        <v>-11146737.906505112</v>
      </c>
      <c r="EI407">
        <f>IF(EH407=MAX($EH$83:$EH$483),$A407,0)</f>
        <v>0</v>
      </c>
      <c r="EJ407">
        <f>IF(EE407&lt;EF407,$A407,B_MAX+1)</f>
        <v>324</v>
      </c>
      <c r="EK407" s="13">
        <f>IF(EB407=1,$EB$35,$EB$36)</f>
        <v>0</v>
      </c>
      <c r="EL407" s="13">
        <f>OCC_DAYS*$EB$41*R_NF_2023-ED407*MCD_SHARE_FREED*R_WAIT_2023</f>
        <v>50660.16094069735</v>
      </c>
      <c r="EM407">
        <f>IF($A407&lt;=$EB$45,1,0)</f>
        <v>0</v>
      </c>
      <c r="FB407">
        <f>IF($FB$31&lt;=$FB$32,IF($A407&lt;=$FB$7,1,2),IF($A407&lt;=RUNG_BEDS_2,2,1))</f>
        <v>1</v>
      </c>
      <c r="FC407" s="5">
        <f>MIN(1,MAX(0,$FB$26-($A407-1)))</f>
        <v>0</v>
      </c>
      <c r="FD407" s="5">
        <f>$FB$25*(FC407+(1-FC407)*$FB$16)</f>
        <v>0.0</v>
      </c>
      <c r="FE407" s="13">
        <f>FD407*($FB$6+ACUTE_MARGIN)</f>
        <v>0.0</v>
      </c>
      <c r="FF407" s="13">
        <f>IF(FB407=1,$FB$31,$FB$32)</f>
        <v>156636.04979437485</v>
      </c>
      <c r="FG407" s="13">
        <f>FE407-FF407</f>
        <v>-156636.04979437485</v>
      </c>
      <c r="FH407" s="13">
        <f>FH406+FG407</f>
        <v>-12521109.505105216</v>
      </c>
      <c r="FI407">
        <f>IF(FH407=MAX($FH$83:$FH$483),$A407,0)</f>
        <v>0</v>
      </c>
      <c r="FJ407">
        <f>IF(FE407&lt;FF407,$A407,B_MAX+1)</f>
        <v>324</v>
      </c>
      <c r="FK407" s="13">
        <f>IF(FB407=1,$FB$35,$FB$36)</f>
        <v>0</v>
      </c>
      <c r="FL407" s="13">
        <f>OCC_DAYS*$FB$41*R_NF_2023-FD407*MCD_SHARE_FREED*R_WAIT_2023</f>
        <v>151980.48282209205</v>
      </c>
      <c r="FM407">
        <f>IF($A407&lt;=$FB$45,1,0)</f>
        <v>0</v>
      </c>
      <c r="GB407">
        <f>IF($GB$31&lt;=$GB$32,IF($A407&lt;=$GB$7,1,2),IF($A407&lt;=RUNG_BEDS_2,2,1))</f>
        <v>1</v>
      </c>
      <c r="GC407" s="5">
        <f>MIN(1,MAX(0,$GB$26-($A407-1)))</f>
        <v>0</v>
      </c>
      <c r="GD407" s="5">
        <f>$GB$25*(GC407+(1-GC407)*$GB$16)</f>
        <v>0.0</v>
      </c>
      <c r="GE407" s="13">
        <f>GD407*($GB$6+ACUTE_MARGIN)</f>
        <v>0.0</v>
      </c>
      <c r="GF407" s="13">
        <f>IF(GB407=1,$GB$31,$GB$32)</f>
        <v>152394.16214437486</v>
      </c>
      <c r="GG407" s="13">
        <f>GE407-GF407</f>
        <v>-152394.16214437486</v>
      </c>
      <c r="GH407" s="13">
        <f>GH406+GG407</f>
        <v>-11146737.906505112</v>
      </c>
      <c r="GI407">
        <f>IF(GH407=MAX($GH$83:$GH$483),$A407,0)</f>
        <v>0</v>
      </c>
      <c r="GJ407">
        <f>IF(GE407&lt;GF407,$A407,B_MAX+1)</f>
        <v>324</v>
      </c>
      <c r="GK407" s="13">
        <f>IF(GB407=1,$GB$35,$GB$36)</f>
        <v>0</v>
      </c>
      <c r="GL407" s="13">
        <f>OCC_DAYS*$GB$41*R_NF_2023-GD407*MCD_SHARE_FREED*R_WAIT_2023</f>
        <v>151980.48282209205</v>
      </c>
      <c r="GM407">
        <f>IF($A407&lt;=$GB$45,1,0)</f>
        <v>0</v>
      </c>
      <c r="HB407">
        <f>IF($HB$31&lt;=$HB$32,IF($A407&lt;=$HB$7,1,2),IF($A407&lt;=RUNG_BEDS_2,2,1))</f>
        <v>1</v>
      </c>
      <c r="HC407" s="5">
        <f>MIN(1,MAX(0,$HB$26-($A407-1)))</f>
        <v>0</v>
      </c>
      <c r="HD407" s="5">
        <f>$HB$25*(HC407+(1-HC407)*$HB$16)</f>
        <v>0.0</v>
      </c>
      <c r="HE407" s="13">
        <f>HD407*($HB$6+ACUTE_MARGIN)</f>
        <v>0.0</v>
      </c>
      <c r="HF407" s="13">
        <f>IF(HB407=1,$HB$31,$HB$32)</f>
        <v>152456.2970814058</v>
      </c>
      <c r="HG407" s="13">
        <f>HE407-HF407</f>
        <v>-152456.2970814058</v>
      </c>
      <c r="HH407" s="13">
        <f>HH406+HG407</f>
        <v>-11166869.626103185</v>
      </c>
      <c r="HI407">
        <f>IF(HH407=MAX($HH$83:$HH$483),$A407,0)</f>
        <v>0</v>
      </c>
      <c r="HJ407">
        <f>IF(HE407&lt;HF407,$A407,B_MAX+1)</f>
        <v>324</v>
      </c>
      <c r="HK407" s="13">
        <f>IF(HB407=1,$HB$35,$HB$36)</f>
        <v>0</v>
      </c>
      <c r="HL407" s="13">
        <f>OCC_DAYS*$HB$41*R_NF_2023-HD407*MCD_SHARE_FREED*R_WAIT_2023</f>
        <v>151980.48282209205</v>
      </c>
      <c r="HM407">
        <f>IF($A407&lt;=$HB$45,1,0)</f>
        <v>0</v>
      </c>
      <c r="IB407">
        <f>IF($IB$31&lt;=$IB$32,IF($A407&lt;=$IB$7,1,2),IF($A407&lt;=RUNG_BEDS_2,2,1))</f>
        <v>1</v>
      </c>
      <c r="IC407" s="5">
        <f>MIN(1,MAX(0,$IB$26-($A407-1)))</f>
        <v>0</v>
      </c>
      <c r="ID407" s="5">
        <f>$IB$25*(IC407+(1-IC407)*$IB$16)</f>
        <v>0.0</v>
      </c>
      <c r="IE407" s="13">
        <f>ID407*($IB$6+ACUTE_MARGIN)</f>
        <v>0.0</v>
      </c>
      <c r="IF407" s="13">
        <f>IF(IB407=1,$IB$31,$IB$32)</f>
        <v>152734.9994534971</v>
      </c>
      <c r="IG407" s="13">
        <f>IE407-IF407</f>
        <v>-152734.9994534971</v>
      </c>
      <c r="IH407" s="13">
        <f>IH406+IG407</f>
        <v>-11257169.194660801</v>
      </c>
      <c r="II407">
        <f>IF(IH407=MAX($IH$83:$IH$483),$A407,0)</f>
        <v>0</v>
      </c>
      <c r="IJ407">
        <f>IF(IE407&lt;IF407,$A407,B_MAX+1)</f>
        <v>324</v>
      </c>
      <c r="IK407" s="13">
        <f>IF(IB407=1,$IB$35,$IB$36)</f>
        <v>0</v>
      </c>
      <c r="IL407" s="13">
        <f>OCC_DAYS*$IB$41*R_NF_2023-ID407*MCD_SHARE_FREED*R_WAIT_2023</f>
        <v>151980.48282209205</v>
      </c>
      <c r="IM407">
        <f>IF($A407&lt;=$IB$45,1,0)</f>
        <v>0</v>
      </c>
      <c r="JB407">
        <f>IF($JB$31&lt;=$JB$32,IF($A407&lt;=$JB$7,1,2),IF($A407&lt;=RUNG_BEDS_2,2,1))</f>
        <v>1</v>
      </c>
      <c r="JC407" s="5">
        <f>MIN(1,MAX(0,$JB$26-($A407-1)))</f>
        <v>0</v>
      </c>
      <c r="JD407" s="5">
        <f>$JB$25*(JC407+(1-JC407)*$JB$16)</f>
        <v>0.0</v>
      </c>
      <c r="JE407" s="13">
        <f>JD407*($JB$6+ACUTE_MARGIN)</f>
        <v>0.0</v>
      </c>
      <c r="JF407" s="13">
        <f>IF(JB407=1,$JB$31,$JB$32)</f>
        <v>152394.16214437486</v>
      </c>
      <c r="JG407" s="13">
        <f>JE407-JF407</f>
        <v>-152394.16214437486</v>
      </c>
      <c r="JH407" s="13">
        <f>JH406+JG407</f>
        <v>-11146737.906505112</v>
      </c>
      <c r="JI407">
        <f>IF(JH407=MAX($JH$83:$JH$483),$A407,0)</f>
        <v>0</v>
      </c>
      <c r="JJ407">
        <f>IF(JE407&lt;JF407,$A407,B_MAX+1)</f>
        <v>324</v>
      </c>
      <c r="JK407" s="13">
        <f>IF(JB407=1,$JB$35,$JB$36)</f>
        <v>0</v>
      </c>
      <c r="JL407" s="13">
        <f>OCC_DAYS*$JB$41*R_NF_2023-JD407*MCD_SHARE_FREED*R_WAIT_2023</f>
        <v>151980.48282209205</v>
      </c>
      <c r="JM407">
        <f>IF($A407&lt;=$JB$45,1,0)</f>
        <v>0</v>
      </c>
      <c r="KB407">
        <f>IF($KB$31&lt;=$KB$32,IF($A407&lt;=$KB$7,1,2),IF($A407&lt;=RUNG_BEDS_2,2,1))</f>
        <v>1</v>
      </c>
      <c r="KC407" s="5">
        <f>MIN(1,MAX(0,$KB$26-($A407-1)))</f>
        <v>0</v>
      </c>
      <c r="KD407" s="5">
        <f>$KB$25*(KC407+(1-KC407)*$KB$16)</f>
        <v>0.0</v>
      </c>
      <c r="KE407" s="13">
        <f>KD407*($KB$6+ACUTE_MARGIN)</f>
        <v>0.0</v>
      </c>
      <c r="KF407" s="13">
        <f>IF(KB407=1,$KB$31,$KB$32)</f>
        <v>152394.16214437486</v>
      </c>
      <c r="KG407" s="13">
        <f>KE407-KF407</f>
        <v>-152394.16214437486</v>
      </c>
      <c r="KH407" s="13">
        <f>KH406+KG407</f>
        <v>-11146737.906505218</v>
      </c>
      <c r="KI407">
        <f>IF(KH407=MAX($KH$83:$KH$483),$A407,0)</f>
        <v>0</v>
      </c>
      <c r="KJ407">
        <f>IF(KE407&lt;KF407,$A407,B_MAX+1)</f>
        <v>324</v>
      </c>
      <c r="KK407" s="13">
        <f>IF(KB407=1,$KB$35,$KB$36)</f>
        <v>0</v>
      </c>
      <c r="KL407" s="13">
        <f>OCC_DAYS*$KB$41*R_NF_2023-KD407*MCD_SHARE_FREED*R_WAIT_2023</f>
        <v>151980.48282209205</v>
      </c>
      <c r="KM407">
        <f>IF($A407&lt;=$KB$45,1,0)</f>
        <v>0</v>
      </c>
      <c r="LB407">
        <f>IF($LB$31&lt;=$LB$32,IF($A407&lt;=$LB$7,1,2),IF($A407&lt;=RUNG_BEDS_2,2,1))</f>
        <v>1</v>
      </c>
      <c r="LC407" s="5">
        <f>MIN(1,MAX(0,$LB$26-($A407-1)))</f>
        <v>1</v>
      </c>
      <c r="LD407" s="5">
        <f>$LB$25*(LC407+(1-LC407)*$LB$16)</f>
        <v>84.01774238227146</v>
      </c>
      <c r="LE407" s="13">
        <f>LD407*($LB$6+ACUTE_MARGIN)</f>
        <v>84857.91980609419</v>
      </c>
      <c r="LF407" s="13">
        <f>IF(LB407=1,$LB$31,$LB$32)</f>
        <v>152394.16214437486</v>
      </c>
      <c r="LG407" s="13">
        <f>LE407-LF407</f>
        <v>-67536.24233828067</v>
      </c>
      <c r="LH407" s="13">
        <f>LH406+LG407</f>
        <v>-21881742.517603055</v>
      </c>
      <c r="LI407">
        <f>IF(LH407=MAX($LH$83:$LH$483),$A407,0)</f>
        <v>0</v>
      </c>
      <c r="LJ407">
        <f>IF(LE407&lt;LF407,$A407,B_MAX+1)</f>
        <v>324</v>
      </c>
      <c r="LK407" s="13">
        <f>IF(LB407=1,$LB$35,$LB$36)</f>
        <v>0</v>
      </c>
      <c r="LL407" s="13">
        <f>OCC_DAYS*$LB$41*R_NF_2023-LD407*MCD_SHARE_FREED*R_WAIT_2023</f>
        <v>113776.04162887059</v>
      </c>
      <c r="LM407">
        <f>IF($A407&lt;=$LB$45,1,0)</f>
        <v>0</v>
      </c>
      <c r="MB407">
        <f>IF($MB$31&lt;=$MB$32,IF($A407&lt;=$MB$7,1,2),IF($A407&lt;=RUNG_BEDS_2,2,1))</f>
        <v>1</v>
      </c>
      <c r="MC407" s="5">
        <f>MIN(1,MAX(0,$MB$26-($A407-1)))</f>
        <v>0</v>
      </c>
      <c r="MD407" s="5">
        <f>$MB$25*(MC407+(1-MC407)*$MB$16)</f>
        <v>0.0</v>
      </c>
      <c r="ME407" s="13">
        <f>MD407*($MB$6+ACUTE_MARGIN)</f>
        <v>0.0</v>
      </c>
      <c r="MF407" s="13">
        <f>IF(MB407=1,$MB$31,$MB$32)</f>
        <v>152394.16214437486</v>
      </c>
      <c r="MG407" s="13">
        <f>ME407-MF407</f>
        <v>-152394.16214437486</v>
      </c>
      <c r="MH407" s="13">
        <f>MH406+MG407</f>
        <v>-17034013.968303412</v>
      </c>
      <c r="MI407">
        <f>IF(MH407=MAX($MH$83:$MH$483),$A407,0)</f>
        <v>0</v>
      </c>
      <c r="MJ407">
        <f>IF(ME407&lt;MF407,$A407,B_MAX+1)</f>
        <v>324</v>
      </c>
      <c r="MK407" s="13">
        <f>IF(MB407=1,$MB$35,$MB$36)</f>
        <v>0</v>
      </c>
      <c r="ML407" s="13">
        <f>OCC_DAYS*$MB$41*R_NF_2023-MD407*MCD_SHARE_FREED*R_WAIT_2023</f>
        <v>151980.48282209205</v>
      </c>
      <c r="MM407">
        <f>IF($A407&lt;=$MB$45,1,0)</f>
        <v>0</v>
      </c>
      <c r="NB407">
        <f>IF($NB$31&lt;=$NB$32,IF($A407&lt;=$NB$7,1,2),IF($A407&lt;=RUNG_BEDS_2,2,1))</f>
        <v>1</v>
      </c>
      <c r="NC407" s="5">
        <f>MIN(1,MAX(0,$NB$26-($A407-1)))</f>
        <v>0</v>
      </c>
      <c r="ND407" s="5">
        <f>$NB$25*(NC407+(1-NC407)*$NB$16)</f>
        <v>63.013306786703595</v>
      </c>
      <c r="NE407" s="13">
        <f>ND407*($NB$6+ACUTE_MARGIN)</f>
        <v>63643.43985457063</v>
      </c>
      <c r="NF407" s="13">
        <f>IF(NB407=1,$NB$31,$NB$32)</f>
        <v>152394.16214437486</v>
      </c>
      <c r="NG407" s="13">
        <f>NE407-NF407</f>
        <v>-88750.72228980422</v>
      </c>
      <c r="NH407" s="13">
        <f>NH406+NG407</f>
        <v>-83506.05069234525</v>
      </c>
      <c r="NI407">
        <f>IF(NH407=MAX($NH$83:$NH$483),$A407,0)</f>
        <v>0</v>
      </c>
      <c r="NJ407">
        <f>IF(NE407&lt;NF407,$A407,B_MAX+1)</f>
        <v>324</v>
      </c>
      <c r="NK407" s="13">
        <f>IF(NB407=1,$NB$35,$NB$36)</f>
        <v>0</v>
      </c>
      <c r="NL407" s="13">
        <f>OCC_DAYS*$NB$41*R_NF_2023-ND407*MCD_SHARE_FREED*R_WAIT_2023</f>
        <v>123327.15192717595</v>
      </c>
      <c r="NM407">
        <f>IF($A407&lt;=$NB$45,1,0)</f>
        <v>0</v>
      </c>
      <c r="OB407">
        <f>IF($OB$31&lt;=$OB$32,IF($A407&lt;=$OB$7,1,2),IF($A407&lt;=RUNG_BEDS_2,2,1))</f>
        <v>1</v>
      </c>
      <c r="OC407" s="5">
        <f>MIN(1,MAX(0,$OB$26-($A407-1)))</f>
        <v>0</v>
      </c>
      <c r="OD407" s="5">
        <f>$OB$25*(OC407+(1-OC407)*$OB$16)</f>
        <v>126.02661357340719</v>
      </c>
      <c r="OE407" s="13">
        <f>OD407*($OB$6+ACUTE_MARGIN)</f>
        <v>127286.87970914126</v>
      </c>
      <c r="OF407" s="13">
        <f>IF(OB407=1,$OB$31,$OB$32)</f>
        <v>152394.16214437486</v>
      </c>
      <c r="OG407" s="13">
        <f>OE407-OF407</f>
        <v>-25107.282435233603</v>
      </c>
      <c r="OH407" s="13">
        <f>OH406+OG407</f>
        <v>10979725.80512064</v>
      </c>
      <c r="OI407">
        <f>IF(OH407=MAX($OH$83:$OH$483),$A407,0)</f>
        <v>0</v>
      </c>
      <c r="OJ407">
        <f>IF(OE407&lt;OF407,$A407,B_MAX+1)</f>
        <v>324</v>
      </c>
      <c r="OK407" s="13">
        <f>IF(OB407=1,$OB$35,$OB$36)</f>
        <v>0</v>
      </c>
      <c r="OL407" s="13">
        <f>OCC_DAYS*$OB$41*R_NF_2023-OD407*MCD_SHARE_FREED*R_WAIT_2023</f>
        <v>94673.82103225985</v>
      </c>
      <c r="OM407">
        <f>IF($A407&lt;=$OB$45,1,0)</f>
        <v>0</v>
      </c>
    </row>
    <row r="408">
      <c r="A408" t="n">
        <v>325</v>
      </c>
      <c r="B408">
        <f>IF($B$31&lt;=$B$32,IF($A408&lt;=$B$7,1,2),IF($A408&lt;=RUNG_BEDS_2,2,1))</f>
        <v>1</v>
      </c>
      <c r="C408" s="5">
        <f>MIN(1,MAX(0,$B$26-($A408-1)))</f>
        <v>0</v>
      </c>
      <c r="D408" s="5">
        <f>$B$25*(C408+(1-C408)*$B$16)</f>
        <v>0.0</v>
      </c>
      <c r="E408" s="13">
        <f>D408*($B$6+ACUTE_MARGIN)</f>
        <v>0.0</v>
      </c>
      <c r="F408" s="13">
        <f>IF(B408=1,$B$31,$B$32)</f>
        <v>152394.16214437486</v>
      </c>
      <c r="G408" s="13">
        <f>E408-F408</f>
        <v>-152394.16214437486</v>
      </c>
      <c r="H408" s="13">
        <f>H407+G408</f>
        <v>-11299132.068649486</v>
      </c>
      <c r="I408">
        <f>IF(H408=MAX($H$83:$H$483),$A408,0)</f>
        <v>0</v>
      </c>
      <c r="J408">
        <f>IF(E408&lt;F408,$A408,B_MAX+1)</f>
        <v>325</v>
      </c>
      <c r="K408" s="13">
        <f>IF(B408=1,$B$35,$B$36)</f>
        <v>0</v>
      </c>
      <c r="L408" s="13">
        <f>OCC_DAYS*$B$41*R_NF_2023-D408*MCD_SHARE_FREED*R_WAIT_2023</f>
        <v>151980.48282209205</v>
      </c>
      <c r="M408">
        <f>IF($A408&lt;=$B$45,1,0)</f>
        <v>0</v>
      </c>
      <c r="AB408">
        <f>IF($AB$31&lt;=$AB$32,IF($A408&lt;=$AB$7,1,2),IF($A408&lt;=RUNG_BEDS_2,2,1))</f>
        <v>1</v>
      </c>
      <c r="AC408" s="5">
        <f>MIN(1,MAX(0,$AB$26-($A408-1)))</f>
        <v>0</v>
      </c>
      <c r="AD408" s="5">
        <f>$AB$25*(AC408+(1-AC408)*$AB$16)</f>
        <v>0.0</v>
      </c>
      <c r="AE408" s="13">
        <f>AD408*($AB$6+ACUTE_MARGIN)</f>
        <v>0.0</v>
      </c>
      <c r="AF408" s="13">
        <f>IF(AB408=1,$AB$31,$AB$32)</f>
        <v>152394.16214437486</v>
      </c>
      <c r="AG408" s="13">
        <f>AE408-AF408</f>
        <v>-152394.16214437486</v>
      </c>
      <c r="AH408" s="13">
        <f>AH407+AG408</f>
        <v>-28710346.414199222</v>
      </c>
      <c r="AI408">
        <f>IF(AH408=MAX($AH$83:$AH$483),$A408,0)</f>
        <v>0</v>
      </c>
      <c r="AJ408">
        <f>IF(AE408&lt;AF408,$A408,B_MAX+1)</f>
        <v>325</v>
      </c>
      <c r="AK408" s="13">
        <f>IF(AB408=1,$AB$35,$AB$36)</f>
        <v>0</v>
      </c>
      <c r="AL408" s="13">
        <f>OCC_DAYS*$AB$41*R_NF_2023-AD408*MCD_SHARE_FREED*R_WAIT_2023</f>
        <v>151980.48282209205</v>
      </c>
      <c r="AM408">
        <f>IF($A408&lt;=$AB$45,1,0)</f>
        <v>0</v>
      </c>
      <c r="BB408">
        <f>IF($BB$31&lt;=$BB$32,IF($A408&lt;=$BB$7,1,2),IF($A408&lt;=RUNG_BEDS_2,2,1))</f>
        <v>1</v>
      </c>
      <c r="BC408" s="5">
        <f>MIN(1,MAX(0,$BB$26-($A408-1)))</f>
        <v>0</v>
      </c>
      <c r="BD408" s="5">
        <f>$BB$25*(BC408+(1-BC408)*$BB$16)</f>
        <v>0.0</v>
      </c>
      <c r="BE408" s="13">
        <f>BD408*($BB$6+ACUTE_MARGIN)</f>
        <v>0.0</v>
      </c>
      <c r="BF408" s="13">
        <f>IF(BB408=1,$BB$31,$BB$32)</f>
        <v>152394.16214437486</v>
      </c>
      <c r="BG408" s="13">
        <f>BE408-BF408</f>
        <v>-152394.16214437486</v>
      </c>
      <c r="BH408" s="13">
        <f>BH407+BG408</f>
        <v>6112082.276900259</v>
      </c>
      <c r="BI408">
        <f>IF(BH408=MAX($BH$83:$BH$483),$A408,0)</f>
        <v>0</v>
      </c>
      <c r="BJ408">
        <f>IF(BE408&lt;BF408,$A408,B_MAX+1)</f>
        <v>325</v>
      </c>
      <c r="BK408" s="13">
        <f>IF(BB408=1,$BB$35,$BB$36)</f>
        <v>0</v>
      </c>
      <c r="BL408" s="13">
        <f>OCC_DAYS*$BB$41*R_NF_2023-BD408*MCD_SHARE_FREED*R_WAIT_2023</f>
        <v>151980.48282209205</v>
      </c>
      <c r="BM408">
        <f>IF($A408&lt;=$BB$45,1,0)</f>
        <v>0</v>
      </c>
      <c r="CB408">
        <f>IF($CB$31&lt;=$CB$32,IF($A408&lt;=$CB$7,1,2),IF($A408&lt;=RUNG_BEDS_2,2,1))</f>
        <v>2</v>
      </c>
      <c r="CC408" s="5">
        <f>MIN(1,MAX(0,$CB$26-($A408-1)))</f>
        <v>0</v>
      </c>
      <c r="CD408" s="5">
        <f>$CB$25*(CC408+(1-CC408)*$CB$16)</f>
        <v>0.0</v>
      </c>
      <c r="CE408" s="13">
        <f>CD408*($CB$6+ACUTE_MARGIN)</f>
        <v>0.0</v>
      </c>
      <c r="CF408" s="13">
        <f>IF(CB408=1,$CB$31,$CB$32)</f>
        <v>160718.36940738867</v>
      </c>
      <c r="CG408" s="13">
        <f>CE408-CF408</f>
        <v>-160718.36940738867</v>
      </c>
      <c r="CH408" s="13">
        <f>CH407+CG408</f>
        <v>-14004499.429129113</v>
      </c>
      <c r="CI408">
        <f>IF(CH408=MAX($CH$83:$CH$483),$A408,0)</f>
        <v>0</v>
      </c>
      <c r="CJ408">
        <f>IF(CE408&lt;CF408,$A408,B_MAX+1)</f>
        <v>325</v>
      </c>
      <c r="CK408" s="13">
        <f>IF(CB408=1,$CB$35,$CB$36)</f>
        <v>1560.1194073886782</v>
      </c>
      <c r="CL408" s="13">
        <f>OCC_DAYS*$CB$41*R_NF_2023-CD408*MCD_SHARE_FREED*R_WAIT_2023</f>
        <v>151980.48282209205</v>
      </c>
      <c r="CM408">
        <f>IF($A408&lt;=$CB$45,1,0)</f>
        <v>0</v>
      </c>
      <c r="DB408">
        <f>IF($DB$31&lt;=$DB$32,IF($A408&lt;=$DB$7,1,2),IF($A408&lt;=RUNG_BEDS_2,2,1))</f>
        <v>1</v>
      </c>
      <c r="DC408" s="5">
        <f>MIN(1,MAX(0,$DB$26-($A408-1)))</f>
        <v>0</v>
      </c>
      <c r="DD408" s="5">
        <f>$DB$25*(DC408+(1-DC408)*$DB$16)</f>
        <v>0.0</v>
      </c>
      <c r="DE408" s="13">
        <f>DD408*($DB$6+ACUTE_MARGIN)</f>
        <v>0.0</v>
      </c>
      <c r="DF408" s="13">
        <f>IF(DB408=1,$DB$31,$DB$32)</f>
        <v>152394.16214437486</v>
      </c>
      <c r="DG408" s="13">
        <f>DE408-DF408</f>
        <v>-152394.16214437486</v>
      </c>
      <c r="DH408" s="13">
        <f>DH407+DG408</f>
        <v>-11299132.068649486</v>
      </c>
      <c r="DI408">
        <f>IF(DH408=MAX($DH$83:$DH$483),$A408,0)</f>
        <v>0</v>
      </c>
      <c r="DJ408">
        <f>IF(DE408&lt;DF408,$A408,B_MAX+1)</f>
        <v>325</v>
      </c>
      <c r="DK408" s="13">
        <f>IF(DB408=1,$DB$35,$DB$36)</f>
        <v>0</v>
      </c>
      <c r="DL408" s="13">
        <f>OCC_DAYS*$DB$41*R_NF_2023-DD408*MCD_SHARE_FREED*R_WAIT_2023</f>
        <v>151980.48282209205</v>
      </c>
      <c r="DM408">
        <f>IF($A408&lt;=$DB$45,1,0)</f>
        <v>0</v>
      </c>
      <c r="EB408">
        <f>IF($EB$31&lt;=$EB$32,IF($A408&lt;=$EB$7,1,2),IF($A408&lt;=RUNG_BEDS_2,2,1))</f>
        <v>1</v>
      </c>
      <c r="EC408" s="5">
        <f>MIN(1,MAX(0,$EB$26-($A408-1)))</f>
        <v>0</v>
      </c>
      <c r="ED408" s="5">
        <f>$EB$25*(EC408+(1-EC408)*$EB$16)</f>
        <v>0.0</v>
      </c>
      <c r="EE408" s="13">
        <f>ED408*($EB$6+ACUTE_MARGIN)</f>
        <v>0.0</v>
      </c>
      <c r="EF408" s="13">
        <f>IF(EB408=1,$EB$31,$EB$32)</f>
        <v>152394.16214437486</v>
      </c>
      <c r="EG408" s="13">
        <f>EE408-EF408</f>
        <v>-152394.16214437486</v>
      </c>
      <c r="EH408" s="13">
        <f>EH407+EG408</f>
        <v>-11299132.068649486</v>
      </c>
      <c r="EI408">
        <f>IF(EH408=MAX($EH$83:$EH$483),$A408,0)</f>
        <v>0</v>
      </c>
      <c r="EJ408">
        <f>IF(EE408&lt;EF408,$A408,B_MAX+1)</f>
        <v>325</v>
      </c>
      <c r="EK408" s="13">
        <f>IF(EB408=1,$EB$35,$EB$36)</f>
        <v>0</v>
      </c>
      <c r="EL408" s="13">
        <f>OCC_DAYS*$EB$41*R_NF_2023-ED408*MCD_SHARE_FREED*R_WAIT_2023</f>
        <v>50660.16094069735</v>
      </c>
      <c r="EM408">
        <f>IF($A408&lt;=$EB$45,1,0)</f>
        <v>0</v>
      </c>
      <c r="FB408">
        <f>IF($FB$31&lt;=$FB$32,IF($A408&lt;=$FB$7,1,2),IF($A408&lt;=RUNG_BEDS_2,2,1))</f>
        <v>1</v>
      </c>
      <c r="FC408" s="5">
        <f>MIN(1,MAX(0,$FB$26-($A408-1)))</f>
        <v>0</v>
      </c>
      <c r="FD408" s="5">
        <f>$FB$25*(FC408+(1-FC408)*$FB$16)</f>
        <v>0.0</v>
      </c>
      <c r="FE408" s="13">
        <f>FD408*($FB$6+ACUTE_MARGIN)</f>
        <v>0.0</v>
      </c>
      <c r="FF408" s="13">
        <f>IF(FB408=1,$FB$31,$FB$32)</f>
        <v>156636.04979437485</v>
      </c>
      <c r="FG408" s="13">
        <f>FE408-FF408</f>
        <v>-156636.04979437485</v>
      </c>
      <c r="FH408" s="13">
        <f>FH407+FG408</f>
        <v>-12677745.55489959</v>
      </c>
      <c r="FI408">
        <f>IF(FH408=MAX($FH$83:$FH$483),$A408,0)</f>
        <v>0</v>
      </c>
      <c r="FJ408">
        <f>IF(FE408&lt;FF408,$A408,B_MAX+1)</f>
        <v>325</v>
      </c>
      <c r="FK408" s="13">
        <f>IF(FB408=1,$FB$35,$FB$36)</f>
        <v>0</v>
      </c>
      <c r="FL408" s="13">
        <f>OCC_DAYS*$FB$41*R_NF_2023-FD408*MCD_SHARE_FREED*R_WAIT_2023</f>
        <v>151980.48282209205</v>
      </c>
      <c r="FM408">
        <f>IF($A408&lt;=$FB$45,1,0)</f>
        <v>0</v>
      </c>
      <c r="GB408">
        <f>IF($GB$31&lt;=$GB$32,IF($A408&lt;=$GB$7,1,2),IF($A408&lt;=RUNG_BEDS_2,2,1))</f>
        <v>1</v>
      </c>
      <c r="GC408" s="5">
        <f>MIN(1,MAX(0,$GB$26-($A408-1)))</f>
        <v>0</v>
      </c>
      <c r="GD408" s="5">
        <f>$GB$25*(GC408+(1-GC408)*$GB$16)</f>
        <v>0.0</v>
      </c>
      <c r="GE408" s="13">
        <f>GD408*($GB$6+ACUTE_MARGIN)</f>
        <v>0.0</v>
      </c>
      <c r="GF408" s="13">
        <f>IF(GB408=1,$GB$31,$GB$32)</f>
        <v>152394.16214437486</v>
      </c>
      <c r="GG408" s="13">
        <f>GE408-GF408</f>
        <v>-152394.16214437486</v>
      </c>
      <c r="GH408" s="13">
        <f>GH407+GG408</f>
        <v>-11299132.068649486</v>
      </c>
      <c r="GI408">
        <f>IF(GH408=MAX($GH$83:$GH$483),$A408,0)</f>
        <v>0</v>
      </c>
      <c r="GJ408">
        <f>IF(GE408&lt;GF408,$A408,B_MAX+1)</f>
        <v>325</v>
      </c>
      <c r="GK408" s="13">
        <f>IF(GB408=1,$GB$35,$GB$36)</f>
        <v>0</v>
      </c>
      <c r="GL408" s="13">
        <f>OCC_DAYS*$GB$41*R_NF_2023-GD408*MCD_SHARE_FREED*R_WAIT_2023</f>
        <v>151980.48282209205</v>
      </c>
      <c r="GM408">
        <f>IF($A408&lt;=$GB$45,1,0)</f>
        <v>0</v>
      </c>
      <c r="HB408">
        <f>IF($HB$31&lt;=$HB$32,IF($A408&lt;=$HB$7,1,2),IF($A408&lt;=RUNG_BEDS_2,2,1))</f>
        <v>1</v>
      </c>
      <c r="HC408" s="5">
        <f>MIN(1,MAX(0,$HB$26-($A408-1)))</f>
        <v>0</v>
      </c>
      <c r="HD408" s="5">
        <f>$HB$25*(HC408+(1-HC408)*$HB$16)</f>
        <v>0.0</v>
      </c>
      <c r="HE408" s="13">
        <f>HD408*($HB$6+ACUTE_MARGIN)</f>
        <v>0.0</v>
      </c>
      <c r="HF408" s="13">
        <f>IF(HB408=1,$HB$31,$HB$32)</f>
        <v>152456.2970814058</v>
      </c>
      <c r="HG408" s="13">
        <f>HE408-HF408</f>
        <v>-152456.2970814058</v>
      </c>
      <c r="HH408" s="13">
        <f>HH407+HG408</f>
        <v>-11319325.92318459</v>
      </c>
      <c r="HI408">
        <f>IF(HH408=MAX($HH$83:$HH$483),$A408,0)</f>
        <v>0</v>
      </c>
      <c r="HJ408">
        <f>IF(HE408&lt;HF408,$A408,B_MAX+1)</f>
        <v>325</v>
      </c>
      <c r="HK408" s="13">
        <f>IF(HB408=1,$HB$35,$HB$36)</f>
        <v>0</v>
      </c>
      <c r="HL408" s="13">
        <f>OCC_DAYS*$HB$41*R_NF_2023-HD408*MCD_SHARE_FREED*R_WAIT_2023</f>
        <v>151980.48282209205</v>
      </c>
      <c r="HM408">
        <f>IF($A408&lt;=$HB$45,1,0)</f>
        <v>0</v>
      </c>
      <c r="IB408">
        <f>IF($IB$31&lt;=$IB$32,IF($A408&lt;=$IB$7,1,2),IF($A408&lt;=RUNG_BEDS_2,2,1))</f>
        <v>1</v>
      </c>
      <c r="IC408" s="5">
        <f>MIN(1,MAX(0,$IB$26-($A408-1)))</f>
        <v>0</v>
      </c>
      <c r="ID408" s="5">
        <f>$IB$25*(IC408+(1-IC408)*$IB$16)</f>
        <v>0.0</v>
      </c>
      <c r="IE408" s="13">
        <f>ID408*($IB$6+ACUTE_MARGIN)</f>
        <v>0.0</v>
      </c>
      <c r="IF408" s="13">
        <f>IF(IB408=1,$IB$31,$IB$32)</f>
        <v>152734.9994534971</v>
      </c>
      <c r="IG408" s="13">
        <f>IE408-IF408</f>
        <v>-152734.9994534971</v>
      </c>
      <c r="IH408" s="13">
        <f>IH407+IG408</f>
        <v>-11409904.194114298</v>
      </c>
      <c r="II408">
        <f>IF(IH408=MAX($IH$83:$IH$483),$A408,0)</f>
        <v>0</v>
      </c>
      <c r="IJ408">
        <f>IF(IE408&lt;IF408,$A408,B_MAX+1)</f>
        <v>325</v>
      </c>
      <c r="IK408" s="13">
        <f>IF(IB408=1,$IB$35,$IB$36)</f>
        <v>0</v>
      </c>
      <c r="IL408" s="13">
        <f>OCC_DAYS*$IB$41*R_NF_2023-ID408*MCD_SHARE_FREED*R_WAIT_2023</f>
        <v>151980.48282209205</v>
      </c>
      <c r="IM408">
        <f>IF($A408&lt;=$IB$45,1,0)</f>
        <v>0</v>
      </c>
      <c r="JB408">
        <f>IF($JB$31&lt;=$JB$32,IF($A408&lt;=$JB$7,1,2),IF($A408&lt;=RUNG_BEDS_2,2,1))</f>
        <v>1</v>
      </c>
      <c r="JC408" s="5">
        <f>MIN(1,MAX(0,$JB$26-($A408-1)))</f>
        <v>0</v>
      </c>
      <c r="JD408" s="5">
        <f>$JB$25*(JC408+(1-JC408)*$JB$16)</f>
        <v>0.0</v>
      </c>
      <c r="JE408" s="13">
        <f>JD408*($JB$6+ACUTE_MARGIN)</f>
        <v>0.0</v>
      </c>
      <c r="JF408" s="13">
        <f>IF(JB408=1,$JB$31,$JB$32)</f>
        <v>152394.16214437486</v>
      </c>
      <c r="JG408" s="13">
        <f>JE408-JF408</f>
        <v>-152394.16214437486</v>
      </c>
      <c r="JH408" s="13">
        <f>JH407+JG408</f>
        <v>-11299132.068649486</v>
      </c>
      <c r="JI408">
        <f>IF(JH408=MAX($JH$83:$JH$483),$A408,0)</f>
        <v>0</v>
      </c>
      <c r="JJ408">
        <f>IF(JE408&lt;JF408,$A408,B_MAX+1)</f>
        <v>325</v>
      </c>
      <c r="JK408" s="13">
        <f>IF(JB408=1,$JB$35,$JB$36)</f>
        <v>0</v>
      </c>
      <c r="JL408" s="13">
        <f>OCC_DAYS*$JB$41*R_NF_2023-JD408*MCD_SHARE_FREED*R_WAIT_2023</f>
        <v>151980.48282209205</v>
      </c>
      <c r="JM408">
        <f>IF($A408&lt;=$JB$45,1,0)</f>
        <v>0</v>
      </c>
      <c r="KB408">
        <f>IF($KB$31&lt;=$KB$32,IF($A408&lt;=$KB$7,1,2),IF($A408&lt;=RUNG_BEDS_2,2,1))</f>
        <v>1</v>
      </c>
      <c r="KC408" s="5">
        <f>MIN(1,MAX(0,$KB$26-($A408-1)))</f>
        <v>0</v>
      </c>
      <c r="KD408" s="5">
        <f>$KB$25*(KC408+(1-KC408)*$KB$16)</f>
        <v>0.0</v>
      </c>
      <c r="KE408" s="13">
        <f>KD408*($KB$6+ACUTE_MARGIN)</f>
        <v>0.0</v>
      </c>
      <c r="KF408" s="13">
        <f>IF(KB408=1,$KB$31,$KB$32)</f>
        <v>152394.16214437486</v>
      </c>
      <c r="KG408" s="13">
        <f>KE408-KF408</f>
        <v>-152394.16214437486</v>
      </c>
      <c r="KH408" s="13">
        <f>KH407+KG408</f>
        <v>-11299132.068649592</v>
      </c>
      <c r="KI408">
        <f>IF(KH408=MAX($KH$83:$KH$483),$A408,0)</f>
        <v>0</v>
      </c>
      <c r="KJ408">
        <f>IF(KE408&lt;KF408,$A408,B_MAX+1)</f>
        <v>325</v>
      </c>
      <c r="KK408" s="13">
        <f>IF(KB408=1,$KB$35,$KB$36)</f>
        <v>0</v>
      </c>
      <c r="KL408" s="13">
        <f>OCC_DAYS*$KB$41*R_NF_2023-KD408*MCD_SHARE_FREED*R_WAIT_2023</f>
        <v>151980.48282209205</v>
      </c>
      <c r="KM408">
        <f>IF($A408&lt;=$KB$45,1,0)</f>
        <v>0</v>
      </c>
      <c r="LB408">
        <f>IF($LB$31&lt;=$LB$32,IF($A408&lt;=$LB$7,1,2),IF($A408&lt;=RUNG_BEDS_2,2,1))</f>
        <v>1</v>
      </c>
      <c r="LC408" s="5">
        <f>MIN(1,MAX(0,$LB$26-($A408-1)))</f>
        <v>1</v>
      </c>
      <c r="LD408" s="5">
        <f>$LB$25*(LC408+(1-LC408)*$LB$16)</f>
        <v>84.01774238227146</v>
      </c>
      <c r="LE408" s="13">
        <f>LD408*($LB$6+ACUTE_MARGIN)</f>
        <v>84857.91980609419</v>
      </c>
      <c r="LF408" s="13">
        <f>IF(LB408=1,$LB$31,$LB$32)</f>
        <v>152394.16214437486</v>
      </c>
      <c r="LG408" s="13">
        <f>LE408-LF408</f>
        <v>-67536.24233828067</v>
      </c>
      <c r="LH408" s="13">
        <f>LH407+LG408</f>
        <v>-21949278.759941336</v>
      </c>
      <c r="LI408">
        <f>IF(LH408=MAX($LH$83:$LH$483),$A408,0)</f>
        <v>0</v>
      </c>
      <c r="LJ408">
        <f>IF(LE408&lt;LF408,$A408,B_MAX+1)</f>
        <v>325</v>
      </c>
      <c r="LK408" s="13">
        <f>IF(LB408=1,$LB$35,$LB$36)</f>
        <v>0</v>
      </c>
      <c r="LL408" s="13">
        <f>OCC_DAYS*$LB$41*R_NF_2023-LD408*MCD_SHARE_FREED*R_WAIT_2023</f>
        <v>113776.04162887059</v>
      </c>
      <c r="LM408">
        <f>IF($A408&lt;=$LB$45,1,0)</f>
        <v>0</v>
      </c>
      <c r="MB408">
        <f>IF($MB$31&lt;=$MB$32,IF($A408&lt;=$MB$7,1,2),IF($A408&lt;=RUNG_BEDS_2,2,1))</f>
        <v>1</v>
      </c>
      <c r="MC408" s="5">
        <f>MIN(1,MAX(0,$MB$26-($A408-1)))</f>
        <v>0</v>
      </c>
      <c r="MD408" s="5">
        <f>$MB$25*(MC408+(1-MC408)*$MB$16)</f>
        <v>0.0</v>
      </c>
      <c r="ME408" s="13">
        <f>MD408*($MB$6+ACUTE_MARGIN)</f>
        <v>0.0</v>
      </c>
      <c r="MF408" s="13">
        <f>IF(MB408=1,$MB$31,$MB$32)</f>
        <v>152394.16214437486</v>
      </c>
      <c r="MG408" s="13">
        <f>ME408-MF408</f>
        <v>-152394.16214437486</v>
      </c>
      <c r="MH408" s="13">
        <f>MH407+MG408</f>
        <v>-17186408.130447786</v>
      </c>
      <c r="MI408">
        <f>IF(MH408=MAX($MH$83:$MH$483),$A408,0)</f>
        <v>0</v>
      </c>
      <c r="MJ408">
        <f>IF(ME408&lt;MF408,$A408,B_MAX+1)</f>
        <v>325</v>
      </c>
      <c r="MK408" s="13">
        <f>IF(MB408=1,$MB$35,$MB$36)</f>
        <v>0</v>
      </c>
      <c r="ML408" s="13">
        <f>OCC_DAYS*$MB$41*R_NF_2023-MD408*MCD_SHARE_FREED*R_WAIT_2023</f>
        <v>151980.48282209205</v>
      </c>
      <c r="MM408">
        <f>IF($A408&lt;=$MB$45,1,0)</f>
        <v>0</v>
      </c>
      <c r="NB408">
        <f>IF($NB$31&lt;=$NB$32,IF($A408&lt;=$NB$7,1,2),IF($A408&lt;=RUNG_BEDS_2,2,1))</f>
        <v>1</v>
      </c>
      <c r="NC408" s="5">
        <f>MIN(1,MAX(0,$NB$26-($A408-1)))</f>
        <v>0</v>
      </c>
      <c r="ND408" s="5">
        <f>$NB$25*(NC408+(1-NC408)*$NB$16)</f>
        <v>63.013306786703595</v>
      </c>
      <c r="NE408" s="13">
        <f>ND408*($NB$6+ACUTE_MARGIN)</f>
        <v>63643.43985457063</v>
      </c>
      <c r="NF408" s="13">
        <f>IF(NB408=1,$NB$31,$NB$32)</f>
        <v>152394.16214437486</v>
      </c>
      <c r="NG408" s="13">
        <f>NE408-NF408</f>
        <v>-88750.72228980422</v>
      </c>
      <c r="NH408" s="13">
        <f>NH407+NG408</f>
        <v>-172256.77298214947</v>
      </c>
      <c r="NI408">
        <f>IF(NH408=MAX($NH$83:$NH$483),$A408,0)</f>
        <v>0</v>
      </c>
      <c r="NJ408">
        <f>IF(NE408&lt;NF408,$A408,B_MAX+1)</f>
        <v>325</v>
      </c>
      <c r="NK408" s="13">
        <f>IF(NB408=1,$NB$35,$NB$36)</f>
        <v>0</v>
      </c>
      <c r="NL408" s="13">
        <f>OCC_DAYS*$NB$41*R_NF_2023-ND408*MCD_SHARE_FREED*R_WAIT_2023</f>
        <v>123327.15192717595</v>
      </c>
      <c r="NM408">
        <f>IF($A408&lt;=$NB$45,1,0)</f>
        <v>0</v>
      </c>
      <c r="OB408">
        <f>IF($OB$31&lt;=$OB$32,IF($A408&lt;=$OB$7,1,2),IF($A408&lt;=RUNG_BEDS_2,2,1))</f>
        <v>1</v>
      </c>
      <c r="OC408" s="5">
        <f>MIN(1,MAX(0,$OB$26-($A408-1)))</f>
        <v>0</v>
      </c>
      <c r="OD408" s="5">
        <f>$OB$25*(OC408+(1-OC408)*$OB$16)</f>
        <v>126.02661357340719</v>
      </c>
      <c r="OE408" s="13">
        <f>OD408*($OB$6+ACUTE_MARGIN)</f>
        <v>127286.87970914126</v>
      </c>
      <c r="OF408" s="13">
        <f>IF(OB408=1,$OB$31,$OB$32)</f>
        <v>152394.16214437486</v>
      </c>
      <c r="OG408" s="13">
        <f>OE408-OF408</f>
        <v>-25107.282435233603</v>
      </c>
      <c r="OH408" s="13">
        <f>OH407+OG408</f>
        <v>10954618.522685407</v>
      </c>
      <c r="OI408">
        <f>IF(OH408=MAX($OH$83:$OH$483),$A408,0)</f>
        <v>0</v>
      </c>
      <c r="OJ408">
        <f>IF(OE408&lt;OF408,$A408,B_MAX+1)</f>
        <v>325</v>
      </c>
      <c r="OK408" s="13">
        <f>IF(OB408=1,$OB$35,$OB$36)</f>
        <v>0</v>
      </c>
      <c r="OL408" s="13">
        <f>OCC_DAYS*$OB$41*R_NF_2023-OD408*MCD_SHARE_FREED*R_WAIT_2023</f>
        <v>94673.82103225985</v>
      </c>
      <c r="OM408">
        <f>IF($A408&lt;=$OB$45,1,0)</f>
        <v>0</v>
      </c>
    </row>
    <row r="409">
      <c r="A409" t="n">
        <v>326</v>
      </c>
      <c r="B409">
        <f>IF($B$31&lt;=$B$32,IF($A409&lt;=$B$7,1,2),IF($A409&lt;=RUNG_BEDS_2,2,1))</f>
        <v>1</v>
      </c>
      <c r="C409" s="5">
        <f>MIN(1,MAX(0,$B$26-($A409-1)))</f>
        <v>0</v>
      </c>
      <c r="D409" s="5">
        <f>$B$25*(C409+(1-C409)*$B$16)</f>
        <v>0.0</v>
      </c>
      <c r="E409" s="13">
        <f>D409*($B$6+ACUTE_MARGIN)</f>
        <v>0.0</v>
      </c>
      <c r="F409" s="13">
        <f>IF(B409=1,$B$31,$B$32)</f>
        <v>152394.16214437486</v>
      </c>
      <c r="G409" s="13">
        <f>E409-F409</f>
        <v>-152394.16214437486</v>
      </c>
      <c r="H409" s="13">
        <f>H408+G409</f>
        <v>-11451526.23079386</v>
      </c>
      <c r="I409">
        <f>IF(H409=MAX($H$83:$H$483),$A409,0)</f>
        <v>0</v>
      </c>
      <c r="J409">
        <f>IF(E409&lt;F409,$A409,B_MAX+1)</f>
        <v>326</v>
      </c>
      <c r="K409" s="13">
        <f>IF(B409=1,$B$35,$B$36)</f>
        <v>0</v>
      </c>
      <c r="L409" s="13">
        <f>OCC_DAYS*$B$41*R_NF_2023-D409*MCD_SHARE_FREED*R_WAIT_2023</f>
        <v>151980.48282209205</v>
      </c>
      <c r="M409">
        <f>IF($A409&lt;=$B$45,1,0)</f>
        <v>0</v>
      </c>
      <c r="AB409">
        <f>IF($AB$31&lt;=$AB$32,IF($A409&lt;=$AB$7,1,2),IF($A409&lt;=RUNG_BEDS_2,2,1))</f>
        <v>1</v>
      </c>
      <c r="AC409" s="5">
        <f>MIN(1,MAX(0,$AB$26-($A409-1)))</f>
        <v>0</v>
      </c>
      <c r="AD409" s="5">
        <f>$AB$25*(AC409+(1-AC409)*$AB$16)</f>
        <v>0.0</v>
      </c>
      <c r="AE409" s="13">
        <f>AD409*($AB$6+ACUTE_MARGIN)</f>
        <v>0.0</v>
      </c>
      <c r="AF409" s="13">
        <f>IF(AB409=1,$AB$31,$AB$32)</f>
        <v>152394.16214437486</v>
      </c>
      <c r="AG409" s="13">
        <f>AE409-AF409</f>
        <v>-152394.16214437486</v>
      </c>
      <c r="AH409" s="13">
        <f>AH408+AG409</f>
        <v>-28862740.576343596</v>
      </c>
      <c r="AI409">
        <f>IF(AH409=MAX($AH$83:$AH$483),$A409,0)</f>
        <v>0</v>
      </c>
      <c r="AJ409">
        <f>IF(AE409&lt;AF409,$A409,B_MAX+1)</f>
        <v>326</v>
      </c>
      <c r="AK409" s="13">
        <f>IF(AB409=1,$AB$35,$AB$36)</f>
        <v>0</v>
      </c>
      <c r="AL409" s="13">
        <f>OCC_DAYS*$AB$41*R_NF_2023-AD409*MCD_SHARE_FREED*R_WAIT_2023</f>
        <v>151980.48282209205</v>
      </c>
      <c r="AM409">
        <f>IF($A409&lt;=$AB$45,1,0)</f>
        <v>0</v>
      </c>
      <c r="BB409">
        <f>IF($BB$31&lt;=$BB$32,IF($A409&lt;=$BB$7,1,2),IF($A409&lt;=RUNG_BEDS_2,2,1))</f>
        <v>1</v>
      </c>
      <c r="BC409" s="5">
        <f>MIN(1,MAX(0,$BB$26-($A409-1)))</f>
        <v>0</v>
      </c>
      <c r="BD409" s="5">
        <f>$BB$25*(BC409+(1-BC409)*$BB$16)</f>
        <v>0.0</v>
      </c>
      <c r="BE409" s="13">
        <f>BD409*($BB$6+ACUTE_MARGIN)</f>
        <v>0.0</v>
      </c>
      <c r="BF409" s="13">
        <f>IF(BB409=1,$BB$31,$BB$32)</f>
        <v>152394.16214437486</v>
      </c>
      <c r="BG409" s="13">
        <f>BE409-BF409</f>
        <v>-152394.16214437486</v>
      </c>
      <c r="BH409" s="13">
        <f>BH408+BG409</f>
        <v>5959688.114755884</v>
      </c>
      <c r="BI409">
        <f>IF(BH409=MAX($BH$83:$BH$483),$A409,0)</f>
        <v>0</v>
      </c>
      <c r="BJ409">
        <f>IF(BE409&lt;BF409,$A409,B_MAX+1)</f>
        <v>326</v>
      </c>
      <c r="BK409" s="13">
        <f>IF(BB409=1,$BB$35,$BB$36)</f>
        <v>0</v>
      </c>
      <c r="BL409" s="13">
        <f>OCC_DAYS*$BB$41*R_NF_2023-BD409*MCD_SHARE_FREED*R_WAIT_2023</f>
        <v>151980.48282209205</v>
      </c>
      <c r="BM409">
        <f>IF($A409&lt;=$BB$45,1,0)</f>
        <v>0</v>
      </c>
      <c r="CB409">
        <f>IF($CB$31&lt;=$CB$32,IF($A409&lt;=$CB$7,1,2),IF($A409&lt;=RUNG_BEDS_2,2,1))</f>
        <v>2</v>
      </c>
      <c r="CC409" s="5">
        <f>MIN(1,MAX(0,$CB$26-($A409-1)))</f>
        <v>0</v>
      </c>
      <c r="CD409" s="5">
        <f>$CB$25*(CC409+(1-CC409)*$CB$16)</f>
        <v>0.0</v>
      </c>
      <c r="CE409" s="13">
        <f>CD409*($CB$6+ACUTE_MARGIN)</f>
        <v>0.0</v>
      </c>
      <c r="CF409" s="13">
        <f>IF(CB409=1,$CB$31,$CB$32)</f>
        <v>160718.36940738867</v>
      </c>
      <c r="CG409" s="13">
        <f>CE409-CF409</f>
        <v>-160718.36940738867</v>
      </c>
      <c r="CH409" s="13">
        <f>CH408+CG409</f>
        <v>-14165217.798536502</v>
      </c>
      <c r="CI409">
        <f>IF(CH409=MAX($CH$83:$CH$483),$A409,0)</f>
        <v>0</v>
      </c>
      <c r="CJ409">
        <f>IF(CE409&lt;CF409,$A409,B_MAX+1)</f>
        <v>326</v>
      </c>
      <c r="CK409" s="13">
        <f>IF(CB409=1,$CB$35,$CB$36)</f>
        <v>1560.1194073886782</v>
      </c>
      <c r="CL409" s="13">
        <f>OCC_DAYS*$CB$41*R_NF_2023-CD409*MCD_SHARE_FREED*R_WAIT_2023</f>
        <v>151980.48282209205</v>
      </c>
      <c r="CM409">
        <f>IF($A409&lt;=$CB$45,1,0)</f>
        <v>0</v>
      </c>
      <c r="DB409">
        <f>IF($DB$31&lt;=$DB$32,IF($A409&lt;=$DB$7,1,2),IF($A409&lt;=RUNG_BEDS_2,2,1))</f>
        <v>1</v>
      </c>
      <c r="DC409" s="5">
        <f>MIN(1,MAX(0,$DB$26-($A409-1)))</f>
        <v>0</v>
      </c>
      <c r="DD409" s="5">
        <f>$DB$25*(DC409+(1-DC409)*$DB$16)</f>
        <v>0.0</v>
      </c>
      <c r="DE409" s="13">
        <f>DD409*($DB$6+ACUTE_MARGIN)</f>
        <v>0.0</v>
      </c>
      <c r="DF409" s="13">
        <f>IF(DB409=1,$DB$31,$DB$32)</f>
        <v>152394.16214437486</v>
      </c>
      <c r="DG409" s="13">
        <f>DE409-DF409</f>
        <v>-152394.16214437486</v>
      </c>
      <c r="DH409" s="13">
        <f>DH408+DG409</f>
        <v>-11451526.23079386</v>
      </c>
      <c r="DI409">
        <f>IF(DH409=MAX($DH$83:$DH$483),$A409,0)</f>
        <v>0</v>
      </c>
      <c r="DJ409">
        <f>IF(DE409&lt;DF409,$A409,B_MAX+1)</f>
        <v>326</v>
      </c>
      <c r="DK409" s="13">
        <f>IF(DB409=1,$DB$35,$DB$36)</f>
        <v>0</v>
      </c>
      <c r="DL409" s="13">
        <f>OCC_DAYS*$DB$41*R_NF_2023-DD409*MCD_SHARE_FREED*R_WAIT_2023</f>
        <v>151980.48282209205</v>
      </c>
      <c r="DM409">
        <f>IF($A409&lt;=$DB$45,1,0)</f>
        <v>0</v>
      </c>
      <c r="EB409">
        <f>IF($EB$31&lt;=$EB$32,IF($A409&lt;=$EB$7,1,2),IF($A409&lt;=RUNG_BEDS_2,2,1))</f>
        <v>1</v>
      </c>
      <c r="EC409" s="5">
        <f>MIN(1,MAX(0,$EB$26-($A409-1)))</f>
        <v>0</v>
      </c>
      <c r="ED409" s="5">
        <f>$EB$25*(EC409+(1-EC409)*$EB$16)</f>
        <v>0.0</v>
      </c>
      <c r="EE409" s="13">
        <f>ED409*($EB$6+ACUTE_MARGIN)</f>
        <v>0.0</v>
      </c>
      <c r="EF409" s="13">
        <f>IF(EB409=1,$EB$31,$EB$32)</f>
        <v>152394.16214437486</v>
      </c>
      <c r="EG409" s="13">
        <f>EE409-EF409</f>
        <v>-152394.16214437486</v>
      </c>
      <c r="EH409" s="13">
        <f>EH408+EG409</f>
        <v>-11451526.23079386</v>
      </c>
      <c r="EI409">
        <f>IF(EH409=MAX($EH$83:$EH$483),$A409,0)</f>
        <v>0</v>
      </c>
      <c r="EJ409">
        <f>IF(EE409&lt;EF409,$A409,B_MAX+1)</f>
        <v>326</v>
      </c>
      <c r="EK409" s="13">
        <f>IF(EB409=1,$EB$35,$EB$36)</f>
        <v>0</v>
      </c>
      <c r="EL409" s="13">
        <f>OCC_DAYS*$EB$41*R_NF_2023-ED409*MCD_SHARE_FREED*R_WAIT_2023</f>
        <v>50660.16094069735</v>
      </c>
      <c r="EM409">
        <f>IF($A409&lt;=$EB$45,1,0)</f>
        <v>0</v>
      </c>
      <c r="FB409">
        <f>IF($FB$31&lt;=$FB$32,IF($A409&lt;=$FB$7,1,2),IF($A409&lt;=RUNG_BEDS_2,2,1))</f>
        <v>1</v>
      </c>
      <c r="FC409" s="5">
        <f>MIN(1,MAX(0,$FB$26-($A409-1)))</f>
        <v>0</v>
      </c>
      <c r="FD409" s="5">
        <f>$FB$25*(FC409+(1-FC409)*$FB$16)</f>
        <v>0.0</v>
      </c>
      <c r="FE409" s="13">
        <f>FD409*($FB$6+ACUTE_MARGIN)</f>
        <v>0.0</v>
      </c>
      <c r="FF409" s="13">
        <f>IF(FB409=1,$FB$31,$FB$32)</f>
        <v>156636.04979437485</v>
      </c>
      <c r="FG409" s="13">
        <f>FE409-FF409</f>
        <v>-156636.04979437485</v>
      </c>
      <c r="FH409" s="13">
        <f>FH408+FG409</f>
        <v>-12834381.604693964</v>
      </c>
      <c r="FI409">
        <f>IF(FH409=MAX($FH$83:$FH$483),$A409,0)</f>
        <v>0</v>
      </c>
      <c r="FJ409">
        <f>IF(FE409&lt;FF409,$A409,B_MAX+1)</f>
        <v>326</v>
      </c>
      <c r="FK409" s="13">
        <f>IF(FB409=1,$FB$35,$FB$36)</f>
        <v>0</v>
      </c>
      <c r="FL409" s="13">
        <f>OCC_DAYS*$FB$41*R_NF_2023-FD409*MCD_SHARE_FREED*R_WAIT_2023</f>
        <v>151980.48282209205</v>
      </c>
      <c r="FM409">
        <f>IF($A409&lt;=$FB$45,1,0)</f>
        <v>0</v>
      </c>
      <c r="GB409">
        <f>IF($GB$31&lt;=$GB$32,IF($A409&lt;=$GB$7,1,2),IF($A409&lt;=RUNG_BEDS_2,2,1))</f>
        <v>1</v>
      </c>
      <c r="GC409" s="5">
        <f>MIN(1,MAX(0,$GB$26-($A409-1)))</f>
        <v>0</v>
      </c>
      <c r="GD409" s="5">
        <f>$GB$25*(GC409+(1-GC409)*$GB$16)</f>
        <v>0.0</v>
      </c>
      <c r="GE409" s="13">
        <f>GD409*($GB$6+ACUTE_MARGIN)</f>
        <v>0.0</v>
      </c>
      <c r="GF409" s="13">
        <f>IF(GB409=1,$GB$31,$GB$32)</f>
        <v>152394.16214437486</v>
      </c>
      <c r="GG409" s="13">
        <f>GE409-GF409</f>
        <v>-152394.16214437486</v>
      </c>
      <c r="GH409" s="13">
        <f>GH408+GG409</f>
        <v>-11451526.23079386</v>
      </c>
      <c r="GI409">
        <f>IF(GH409=MAX($GH$83:$GH$483),$A409,0)</f>
        <v>0</v>
      </c>
      <c r="GJ409">
        <f>IF(GE409&lt;GF409,$A409,B_MAX+1)</f>
        <v>326</v>
      </c>
      <c r="GK409" s="13">
        <f>IF(GB409=1,$GB$35,$GB$36)</f>
        <v>0</v>
      </c>
      <c r="GL409" s="13">
        <f>OCC_DAYS*$GB$41*R_NF_2023-GD409*MCD_SHARE_FREED*R_WAIT_2023</f>
        <v>151980.48282209205</v>
      </c>
      <c r="GM409">
        <f>IF($A409&lt;=$GB$45,1,0)</f>
        <v>0</v>
      </c>
      <c r="HB409">
        <f>IF($HB$31&lt;=$HB$32,IF($A409&lt;=$HB$7,1,2),IF($A409&lt;=RUNG_BEDS_2,2,1))</f>
        <v>1</v>
      </c>
      <c r="HC409" s="5">
        <f>MIN(1,MAX(0,$HB$26-($A409-1)))</f>
        <v>0</v>
      </c>
      <c r="HD409" s="5">
        <f>$HB$25*(HC409+(1-HC409)*$HB$16)</f>
        <v>0.0</v>
      </c>
      <c r="HE409" s="13">
        <f>HD409*($HB$6+ACUTE_MARGIN)</f>
        <v>0.0</v>
      </c>
      <c r="HF409" s="13">
        <f>IF(HB409=1,$HB$31,$HB$32)</f>
        <v>152456.2970814058</v>
      </c>
      <c r="HG409" s="13">
        <f>HE409-HF409</f>
        <v>-152456.2970814058</v>
      </c>
      <c r="HH409" s="13">
        <f>HH408+HG409</f>
        <v>-11471782.220265996</v>
      </c>
      <c r="HI409">
        <f>IF(HH409=MAX($HH$83:$HH$483),$A409,0)</f>
        <v>0</v>
      </c>
      <c r="HJ409">
        <f>IF(HE409&lt;HF409,$A409,B_MAX+1)</f>
        <v>326</v>
      </c>
      <c r="HK409" s="13">
        <f>IF(HB409=1,$HB$35,$HB$36)</f>
        <v>0</v>
      </c>
      <c r="HL409" s="13">
        <f>OCC_DAYS*$HB$41*R_NF_2023-HD409*MCD_SHARE_FREED*R_WAIT_2023</f>
        <v>151980.48282209205</v>
      </c>
      <c r="HM409">
        <f>IF($A409&lt;=$HB$45,1,0)</f>
        <v>0</v>
      </c>
      <c r="IB409">
        <f>IF($IB$31&lt;=$IB$32,IF($A409&lt;=$IB$7,1,2),IF($A409&lt;=RUNG_BEDS_2,2,1))</f>
        <v>1</v>
      </c>
      <c r="IC409" s="5">
        <f>MIN(1,MAX(0,$IB$26-($A409-1)))</f>
        <v>0</v>
      </c>
      <c r="ID409" s="5">
        <f>$IB$25*(IC409+(1-IC409)*$IB$16)</f>
        <v>0.0</v>
      </c>
      <c r="IE409" s="13">
        <f>ID409*($IB$6+ACUTE_MARGIN)</f>
        <v>0.0</v>
      </c>
      <c r="IF409" s="13">
        <f>IF(IB409=1,$IB$31,$IB$32)</f>
        <v>152734.9994534971</v>
      </c>
      <c r="IG409" s="13">
        <f>IE409-IF409</f>
        <v>-152734.9994534971</v>
      </c>
      <c r="IH409" s="13">
        <f>IH408+IG409</f>
        <v>-11562639.193567794</v>
      </c>
      <c r="II409">
        <f>IF(IH409=MAX($IH$83:$IH$483),$A409,0)</f>
        <v>0</v>
      </c>
      <c r="IJ409">
        <f>IF(IE409&lt;IF409,$A409,B_MAX+1)</f>
        <v>326</v>
      </c>
      <c r="IK409" s="13">
        <f>IF(IB409=1,$IB$35,$IB$36)</f>
        <v>0</v>
      </c>
      <c r="IL409" s="13">
        <f>OCC_DAYS*$IB$41*R_NF_2023-ID409*MCD_SHARE_FREED*R_WAIT_2023</f>
        <v>151980.48282209205</v>
      </c>
      <c r="IM409">
        <f>IF($A409&lt;=$IB$45,1,0)</f>
        <v>0</v>
      </c>
      <c r="JB409">
        <f>IF($JB$31&lt;=$JB$32,IF($A409&lt;=$JB$7,1,2),IF($A409&lt;=RUNG_BEDS_2,2,1))</f>
        <v>1</v>
      </c>
      <c r="JC409" s="5">
        <f>MIN(1,MAX(0,$JB$26-($A409-1)))</f>
        <v>0</v>
      </c>
      <c r="JD409" s="5">
        <f>$JB$25*(JC409+(1-JC409)*$JB$16)</f>
        <v>0.0</v>
      </c>
      <c r="JE409" s="13">
        <f>JD409*($JB$6+ACUTE_MARGIN)</f>
        <v>0.0</v>
      </c>
      <c r="JF409" s="13">
        <f>IF(JB409=1,$JB$31,$JB$32)</f>
        <v>152394.16214437486</v>
      </c>
      <c r="JG409" s="13">
        <f>JE409-JF409</f>
        <v>-152394.16214437486</v>
      </c>
      <c r="JH409" s="13">
        <f>JH408+JG409</f>
        <v>-11451526.23079386</v>
      </c>
      <c r="JI409">
        <f>IF(JH409=MAX($JH$83:$JH$483),$A409,0)</f>
        <v>0</v>
      </c>
      <c r="JJ409">
        <f>IF(JE409&lt;JF409,$A409,B_MAX+1)</f>
        <v>326</v>
      </c>
      <c r="JK409" s="13">
        <f>IF(JB409=1,$JB$35,$JB$36)</f>
        <v>0</v>
      </c>
      <c r="JL409" s="13">
        <f>OCC_DAYS*$JB$41*R_NF_2023-JD409*MCD_SHARE_FREED*R_WAIT_2023</f>
        <v>151980.48282209205</v>
      </c>
      <c r="JM409">
        <f>IF($A409&lt;=$JB$45,1,0)</f>
        <v>0</v>
      </c>
      <c r="KB409">
        <f>IF($KB$31&lt;=$KB$32,IF($A409&lt;=$KB$7,1,2),IF($A409&lt;=RUNG_BEDS_2,2,1))</f>
        <v>1</v>
      </c>
      <c r="KC409" s="5">
        <f>MIN(1,MAX(0,$KB$26-($A409-1)))</f>
        <v>0</v>
      </c>
      <c r="KD409" s="5">
        <f>$KB$25*(KC409+(1-KC409)*$KB$16)</f>
        <v>0.0</v>
      </c>
      <c r="KE409" s="13">
        <f>KD409*($KB$6+ACUTE_MARGIN)</f>
        <v>0.0</v>
      </c>
      <c r="KF409" s="13">
        <f>IF(KB409=1,$KB$31,$KB$32)</f>
        <v>152394.16214437486</v>
      </c>
      <c r="KG409" s="13">
        <f>KE409-KF409</f>
        <v>-152394.16214437486</v>
      </c>
      <c r="KH409" s="13">
        <f>KH408+KG409</f>
        <v>-11451526.230793966</v>
      </c>
      <c r="KI409">
        <f>IF(KH409=MAX($KH$83:$KH$483),$A409,0)</f>
        <v>0</v>
      </c>
      <c r="KJ409">
        <f>IF(KE409&lt;KF409,$A409,B_MAX+1)</f>
        <v>326</v>
      </c>
      <c r="KK409" s="13">
        <f>IF(KB409=1,$KB$35,$KB$36)</f>
        <v>0</v>
      </c>
      <c r="KL409" s="13">
        <f>OCC_DAYS*$KB$41*R_NF_2023-KD409*MCD_SHARE_FREED*R_WAIT_2023</f>
        <v>151980.48282209205</v>
      </c>
      <c r="KM409">
        <f>IF($A409&lt;=$KB$45,1,0)</f>
        <v>0</v>
      </c>
      <c r="LB409">
        <f>IF($LB$31&lt;=$LB$32,IF($A409&lt;=$LB$7,1,2),IF($A409&lt;=RUNG_BEDS_2,2,1))</f>
        <v>1</v>
      </c>
      <c r="LC409" s="5">
        <f>MIN(1,MAX(0,$LB$26-($A409-1)))</f>
        <v>1</v>
      </c>
      <c r="LD409" s="5">
        <f>$LB$25*(LC409+(1-LC409)*$LB$16)</f>
        <v>84.01774238227146</v>
      </c>
      <c r="LE409" s="13">
        <f>LD409*($LB$6+ACUTE_MARGIN)</f>
        <v>84857.91980609419</v>
      </c>
      <c r="LF409" s="13">
        <f>IF(LB409=1,$LB$31,$LB$32)</f>
        <v>152394.16214437486</v>
      </c>
      <c r="LG409" s="13">
        <f>LE409-LF409</f>
        <v>-67536.24233828067</v>
      </c>
      <c r="LH409" s="13">
        <f>LH408+LG409</f>
        <v>-22016815.002279617</v>
      </c>
      <c r="LI409">
        <f>IF(LH409=MAX($LH$83:$LH$483),$A409,0)</f>
        <v>0</v>
      </c>
      <c r="LJ409">
        <f>IF(LE409&lt;LF409,$A409,B_MAX+1)</f>
        <v>326</v>
      </c>
      <c r="LK409" s="13">
        <f>IF(LB409=1,$LB$35,$LB$36)</f>
        <v>0</v>
      </c>
      <c r="LL409" s="13">
        <f>OCC_DAYS*$LB$41*R_NF_2023-LD409*MCD_SHARE_FREED*R_WAIT_2023</f>
        <v>113776.04162887059</v>
      </c>
      <c r="LM409">
        <f>IF($A409&lt;=$LB$45,1,0)</f>
        <v>0</v>
      </c>
      <c r="MB409">
        <f>IF($MB$31&lt;=$MB$32,IF($A409&lt;=$MB$7,1,2),IF($A409&lt;=RUNG_BEDS_2,2,1))</f>
        <v>1</v>
      </c>
      <c r="MC409" s="5">
        <f>MIN(1,MAX(0,$MB$26-($A409-1)))</f>
        <v>0</v>
      </c>
      <c r="MD409" s="5">
        <f>$MB$25*(MC409+(1-MC409)*$MB$16)</f>
        <v>0.0</v>
      </c>
      <c r="ME409" s="13">
        <f>MD409*($MB$6+ACUTE_MARGIN)</f>
        <v>0.0</v>
      </c>
      <c r="MF409" s="13">
        <f>IF(MB409=1,$MB$31,$MB$32)</f>
        <v>152394.16214437486</v>
      </c>
      <c r="MG409" s="13">
        <f>ME409-MF409</f>
        <v>-152394.16214437486</v>
      </c>
      <c r="MH409" s="13">
        <f>MH408+MG409</f>
        <v>-17338802.29259216</v>
      </c>
      <c r="MI409">
        <f>IF(MH409=MAX($MH$83:$MH$483),$A409,0)</f>
        <v>0</v>
      </c>
      <c r="MJ409">
        <f>IF(ME409&lt;MF409,$A409,B_MAX+1)</f>
        <v>326</v>
      </c>
      <c r="MK409" s="13">
        <f>IF(MB409=1,$MB$35,$MB$36)</f>
        <v>0</v>
      </c>
      <c r="ML409" s="13">
        <f>OCC_DAYS*$MB$41*R_NF_2023-MD409*MCD_SHARE_FREED*R_WAIT_2023</f>
        <v>151980.48282209205</v>
      </c>
      <c r="MM409">
        <f>IF($A409&lt;=$MB$45,1,0)</f>
        <v>0</v>
      </c>
      <c r="NB409">
        <f>IF($NB$31&lt;=$NB$32,IF($A409&lt;=$NB$7,1,2),IF($A409&lt;=RUNG_BEDS_2,2,1))</f>
        <v>1</v>
      </c>
      <c r="NC409" s="5">
        <f>MIN(1,MAX(0,$NB$26-($A409-1)))</f>
        <v>0</v>
      </c>
      <c r="ND409" s="5">
        <f>$NB$25*(NC409+(1-NC409)*$NB$16)</f>
        <v>63.013306786703595</v>
      </c>
      <c r="NE409" s="13">
        <f>ND409*($NB$6+ACUTE_MARGIN)</f>
        <v>63643.43985457063</v>
      </c>
      <c r="NF409" s="13">
        <f>IF(NB409=1,$NB$31,$NB$32)</f>
        <v>152394.16214437486</v>
      </c>
      <c r="NG409" s="13">
        <f>NE409-NF409</f>
        <v>-88750.72228980422</v>
      </c>
      <c r="NH409" s="13">
        <f>NH408+NG409</f>
        <v>-261007.4952719537</v>
      </c>
      <c r="NI409">
        <f>IF(NH409=MAX($NH$83:$NH$483),$A409,0)</f>
        <v>0</v>
      </c>
      <c r="NJ409">
        <f>IF(NE409&lt;NF409,$A409,B_MAX+1)</f>
        <v>326</v>
      </c>
      <c r="NK409" s="13">
        <f>IF(NB409=1,$NB$35,$NB$36)</f>
        <v>0</v>
      </c>
      <c r="NL409" s="13">
        <f>OCC_DAYS*$NB$41*R_NF_2023-ND409*MCD_SHARE_FREED*R_WAIT_2023</f>
        <v>123327.15192717595</v>
      </c>
      <c r="NM409">
        <f>IF($A409&lt;=$NB$45,1,0)</f>
        <v>0</v>
      </c>
      <c r="OB409">
        <f>IF($OB$31&lt;=$OB$32,IF($A409&lt;=$OB$7,1,2),IF($A409&lt;=RUNG_BEDS_2,2,1))</f>
        <v>1</v>
      </c>
      <c r="OC409" s="5">
        <f>MIN(1,MAX(0,$OB$26-($A409-1)))</f>
        <v>0</v>
      </c>
      <c r="OD409" s="5">
        <f>$OB$25*(OC409+(1-OC409)*$OB$16)</f>
        <v>126.02661357340719</v>
      </c>
      <c r="OE409" s="13">
        <f>OD409*($OB$6+ACUTE_MARGIN)</f>
        <v>127286.87970914126</v>
      </c>
      <c r="OF409" s="13">
        <f>IF(OB409=1,$OB$31,$OB$32)</f>
        <v>152394.16214437486</v>
      </c>
      <c r="OG409" s="13">
        <f>OE409-OF409</f>
        <v>-25107.282435233603</v>
      </c>
      <c r="OH409" s="13">
        <f>OH408+OG409</f>
        <v>10929511.240250174</v>
      </c>
      <c r="OI409">
        <f>IF(OH409=MAX($OH$83:$OH$483),$A409,0)</f>
        <v>0</v>
      </c>
      <c r="OJ409">
        <f>IF(OE409&lt;OF409,$A409,B_MAX+1)</f>
        <v>326</v>
      </c>
      <c r="OK409" s="13">
        <f>IF(OB409=1,$OB$35,$OB$36)</f>
        <v>0</v>
      </c>
      <c r="OL409" s="13">
        <f>OCC_DAYS*$OB$41*R_NF_2023-OD409*MCD_SHARE_FREED*R_WAIT_2023</f>
        <v>94673.82103225985</v>
      </c>
      <c r="OM409">
        <f>IF($A409&lt;=$OB$45,1,0)</f>
        <v>0</v>
      </c>
    </row>
    <row r="410">
      <c r="A410" t="n">
        <v>327</v>
      </c>
      <c r="B410">
        <f>IF($B$31&lt;=$B$32,IF($A410&lt;=$B$7,1,2),IF($A410&lt;=RUNG_BEDS_2,2,1))</f>
        <v>1</v>
      </c>
      <c r="C410" s="5">
        <f>MIN(1,MAX(0,$B$26-($A410-1)))</f>
        <v>0</v>
      </c>
      <c r="D410" s="5">
        <f>$B$25*(C410+(1-C410)*$B$16)</f>
        <v>0.0</v>
      </c>
      <c r="E410" s="13">
        <f>D410*($B$6+ACUTE_MARGIN)</f>
        <v>0.0</v>
      </c>
      <c r="F410" s="13">
        <f>IF(B410=1,$B$31,$B$32)</f>
        <v>152394.16214437486</v>
      </c>
      <c r="G410" s="13">
        <f>E410-F410</f>
        <v>-152394.16214437486</v>
      </c>
      <c r="H410" s="13">
        <f>H409+G410</f>
        <v>-11603920.392938234</v>
      </c>
      <c r="I410">
        <f>IF(H410=MAX($H$83:$H$483),$A410,0)</f>
        <v>0</v>
      </c>
      <c r="J410">
        <f>IF(E410&lt;F410,$A410,B_MAX+1)</f>
        <v>327</v>
      </c>
      <c r="K410" s="13">
        <f>IF(B410=1,$B$35,$B$36)</f>
        <v>0</v>
      </c>
      <c r="L410" s="13">
        <f>OCC_DAYS*$B$41*R_NF_2023-D410*MCD_SHARE_FREED*R_WAIT_2023</f>
        <v>151980.48282209205</v>
      </c>
      <c r="M410">
        <f>IF($A410&lt;=$B$45,1,0)</f>
        <v>0</v>
      </c>
      <c r="AB410">
        <f>IF($AB$31&lt;=$AB$32,IF($A410&lt;=$AB$7,1,2),IF($A410&lt;=RUNG_BEDS_2,2,1))</f>
        <v>1</v>
      </c>
      <c r="AC410" s="5">
        <f>MIN(1,MAX(0,$AB$26-($A410-1)))</f>
        <v>0</v>
      </c>
      <c r="AD410" s="5">
        <f>$AB$25*(AC410+(1-AC410)*$AB$16)</f>
        <v>0.0</v>
      </c>
      <c r="AE410" s="13">
        <f>AD410*($AB$6+ACUTE_MARGIN)</f>
        <v>0.0</v>
      </c>
      <c r="AF410" s="13">
        <f>IF(AB410=1,$AB$31,$AB$32)</f>
        <v>152394.16214437486</v>
      </c>
      <c r="AG410" s="13">
        <f>AE410-AF410</f>
        <v>-152394.16214437486</v>
      </c>
      <c r="AH410" s="13">
        <f>AH409+AG410</f>
        <v>-29015134.73848797</v>
      </c>
      <c r="AI410">
        <f>IF(AH410=MAX($AH$83:$AH$483),$A410,0)</f>
        <v>0</v>
      </c>
      <c r="AJ410">
        <f>IF(AE410&lt;AF410,$A410,B_MAX+1)</f>
        <v>327</v>
      </c>
      <c r="AK410" s="13">
        <f>IF(AB410=1,$AB$35,$AB$36)</f>
        <v>0</v>
      </c>
      <c r="AL410" s="13">
        <f>OCC_DAYS*$AB$41*R_NF_2023-AD410*MCD_SHARE_FREED*R_WAIT_2023</f>
        <v>151980.48282209205</v>
      </c>
      <c r="AM410">
        <f>IF($A410&lt;=$AB$45,1,0)</f>
        <v>0</v>
      </c>
      <c r="BB410">
        <f>IF($BB$31&lt;=$BB$32,IF($A410&lt;=$BB$7,1,2),IF($A410&lt;=RUNG_BEDS_2,2,1))</f>
        <v>1</v>
      </c>
      <c r="BC410" s="5">
        <f>MIN(1,MAX(0,$BB$26-($A410-1)))</f>
        <v>0</v>
      </c>
      <c r="BD410" s="5">
        <f>$BB$25*(BC410+(1-BC410)*$BB$16)</f>
        <v>0.0</v>
      </c>
      <c r="BE410" s="13">
        <f>BD410*($BB$6+ACUTE_MARGIN)</f>
        <v>0.0</v>
      </c>
      <c r="BF410" s="13">
        <f>IF(BB410=1,$BB$31,$BB$32)</f>
        <v>152394.16214437486</v>
      </c>
      <c r="BG410" s="13">
        <f>BE410-BF410</f>
        <v>-152394.16214437486</v>
      </c>
      <c r="BH410" s="13">
        <f>BH409+BG410</f>
        <v>5807293.952611509</v>
      </c>
      <c r="BI410">
        <f>IF(BH410=MAX($BH$83:$BH$483),$A410,0)</f>
        <v>0</v>
      </c>
      <c r="BJ410">
        <f>IF(BE410&lt;BF410,$A410,B_MAX+1)</f>
        <v>327</v>
      </c>
      <c r="BK410" s="13">
        <f>IF(BB410=1,$BB$35,$BB$36)</f>
        <v>0</v>
      </c>
      <c r="BL410" s="13">
        <f>OCC_DAYS*$BB$41*R_NF_2023-BD410*MCD_SHARE_FREED*R_WAIT_2023</f>
        <v>151980.48282209205</v>
      </c>
      <c r="BM410">
        <f>IF($A410&lt;=$BB$45,1,0)</f>
        <v>0</v>
      </c>
      <c r="CB410">
        <f>IF($CB$31&lt;=$CB$32,IF($A410&lt;=$CB$7,1,2),IF($A410&lt;=RUNG_BEDS_2,2,1))</f>
        <v>2</v>
      </c>
      <c r="CC410" s="5">
        <f>MIN(1,MAX(0,$CB$26-($A410-1)))</f>
        <v>0</v>
      </c>
      <c r="CD410" s="5">
        <f>$CB$25*(CC410+(1-CC410)*$CB$16)</f>
        <v>0.0</v>
      </c>
      <c r="CE410" s="13">
        <f>CD410*($CB$6+ACUTE_MARGIN)</f>
        <v>0.0</v>
      </c>
      <c r="CF410" s="13">
        <f>IF(CB410=1,$CB$31,$CB$32)</f>
        <v>160718.36940738867</v>
      </c>
      <c r="CG410" s="13">
        <f>CE410-CF410</f>
        <v>-160718.36940738867</v>
      </c>
      <c r="CH410" s="13">
        <f>CH409+CG410</f>
        <v>-14325936.167943891</v>
      </c>
      <c r="CI410">
        <f>IF(CH410=MAX($CH$83:$CH$483),$A410,0)</f>
        <v>0</v>
      </c>
      <c r="CJ410">
        <f>IF(CE410&lt;CF410,$A410,B_MAX+1)</f>
        <v>327</v>
      </c>
      <c r="CK410" s="13">
        <f>IF(CB410=1,$CB$35,$CB$36)</f>
        <v>1560.1194073886782</v>
      </c>
      <c r="CL410" s="13">
        <f>OCC_DAYS*$CB$41*R_NF_2023-CD410*MCD_SHARE_FREED*R_WAIT_2023</f>
        <v>151980.48282209205</v>
      </c>
      <c r="CM410">
        <f>IF($A410&lt;=$CB$45,1,0)</f>
        <v>0</v>
      </c>
      <c r="DB410">
        <f>IF($DB$31&lt;=$DB$32,IF($A410&lt;=$DB$7,1,2),IF($A410&lt;=RUNG_BEDS_2,2,1))</f>
        <v>1</v>
      </c>
      <c r="DC410" s="5">
        <f>MIN(1,MAX(0,$DB$26-($A410-1)))</f>
        <v>0</v>
      </c>
      <c r="DD410" s="5">
        <f>$DB$25*(DC410+(1-DC410)*$DB$16)</f>
        <v>0.0</v>
      </c>
      <c r="DE410" s="13">
        <f>DD410*($DB$6+ACUTE_MARGIN)</f>
        <v>0.0</v>
      </c>
      <c r="DF410" s="13">
        <f>IF(DB410=1,$DB$31,$DB$32)</f>
        <v>152394.16214437486</v>
      </c>
      <c r="DG410" s="13">
        <f>DE410-DF410</f>
        <v>-152394.16214437486</v>
      </c>
      <c r="DH410" s="13">
        <f>DH409+DG410</f>
        <v>-11603920.392938234</v>
      </c>
      <c r="DI410">
        <f>IF(DH410=MAX($DH$83:$DH$483),$A410,0)</f>
        <v>0</v>
      </c>
      <c r="DJ410">
        <f>IF(DE410&lt;DF410,$A410,B_MAX+1)</f>
        <v>327</v>
      </c>
      <c r="DK410" s="13">
        <f>IF(DB410=1,$DB$35,$DB$36)</f>
        <v>0</v>
      </c>
      <c r="DL410" s="13">
        <f>OCC_DAYS*$DB$41*R_NF_2023-DD410*MCD_SHARE_FREED*R_WAIT_2023</f>
        <v>151980.48282209205</v>
      </c>
      <c r="DM410">
        <f>IF($A410&lt;=$DB$45,1,0)</f>
        <v>0</v>
      </c>
      <c r="EB410">
        <f>IF($EB$31&lt;=$EB$32,IF($A410&lt;=$EB$7,1,2),IF($A410&lt;=RUNG_BEDS_2,2,1))</f>
        <v>1</v>
      </c>
      <c r="EC410" s="5">
        <f>MIN(1,MAX(0,$EB$26-($A410-1)))</f>
        <v>0</v>
      </c>
      <c r="ED410" s="5">
        <f>$EB$25*(EC410+(1-EC410)*$EB$16)</f>
        <v>0.0</v>
      </c>
      <c r="EE410" s="13">
        <f>ED410*($EB$6+ACUTE_MARGIN)</f>
        <v>0.0</v>
      </c>
      <c r="EF410" s="13">
        <f>IF(EB410=1,$EB$31,$EB$32)</f>
        <v>152394.16214437486</v>
      </c>
      <c r="EG410" s="13">
        <f>EE410-EF410</f>
        <v>-152394.16214437486</v>
      </c>
      <c r="EH410" s="13">
        <f>EH409+EG410</f>
        <v>-11603920.392938234</v>
      </c>
      <c r="EI410">
        <f>IF(EH410=MAX($EH$83:$EH$483),$A410,0)</f>
        <v>0</v>
      </c>
      <c r="EJ410">
        <f>IF(EE410&lt;EF410,$A410,B_MAX+1)</f>
        <v>327</v>
      </c>
      <c r="EK410" s="13">
        <f>IF(EB410=1,$EB$35,$EB$36)</f>
        <v>0</v>
      </c>
      <c r="EL410" s="13">
        <f>OCC_DAYS*$EB$41*R_NF_2023-ED410*MCD_SHARE_FREED*R_WAIT_2023</f>
        <v>50660.16094069735</v>
      </c>
      <c r="EM410">
        <f>IF($A410&lt;=$EB$45,1,0)</f>
        <v>0</v>
      </c>
      <c r="FB410">
        <f>IF($FB$31&lt;=$FB$32,IF($A410&lt;=$FB$7,1,2),IF($A410&lt;=RUNG_BEDS_2,2,1))</f>
        <v>1</v>
      </c>
      <c r="FC410" s="5">
        <f>MIN(1,MAX(0,$FB$26-($A410-1)))</f>
        <v>0</v>
      </c>
      <c r="FD410" s="5">
        <f>$FB$25*(FC410+(1-FC410)*$FB$16)</f>
        <v>0.0</v>
      </c>
      <c r="FE410" s="13">
        <f>FD410*($FB$6+ACUTE_MARGIN)</f>
        <v>0.0</v>
      </c>
      <c r="FF410" s="13">
        <f>IF(FB410=1,$FB$31,$FB$32)</f>
        <v>156636.04979437485</v>
      </c>
      <c r="FG410" s="13">
        <f>FE410-FF410</f>
        <v>-156636.04979437485</v>
      </c>
      <c r="FH410" s="13">
        <f>FH409+FG410</f>
        <v>-12991017.654488338</v>
      </c>
      <c r="FI410">
        <f>IF(FH410=MAX($FH$83:$FH$483),$A410,0)</f>
        <v>0</v>
      </c>
      <c r="FJ410">
        <f>IF(FE410&lt;FF410,$A410,B_MAX+1)</f>
        <v>327</v>
      </c>
      <c r="FK410" s="13">
        <f>IF(FB410=1,$FB$35,$FB$36)</f>
        <v>0</v>
      </c>
      <c r="FL410" s="13">
        <f>OCC_DAYS*$FB$41*R_NF_2023-FD410*MCD_SHARE_FREED*R_WAIT_2023</f>
        <v>151980.48282209205</v>
      </c>
      <c r="FM410">
        <f>IF($A410&lt;=$FB$45,1,0)</f>
        <v>0</v>
      </c>
      <c r="GB410">
        <f>IF($GB$31&lt;=$GB$32,IF($A410&lt;=$GB$7,1,2),IF($A410&lt;=RUNG_BEDS_2,2,1))</f>
        <v>1</v>
      </c>
      <c r="GC410" s="5">
        <f>MIN(1,MAX(0,$GB$26-($A410-1)))</f>
        <v>0</v>
      </c>
      <c r="GD410" s="5">
        <f>$GB$25*(GC410+(1-GC410)*$GB$16)</f>
        <v>0.0</v>
      </c>
      <c r="GE410" s="13">
        <f>GD410*($GB$6+ACUTE_MARGIN)</f>
        <v>0.0</v>
      </c>
      <c r="GF410" s="13">
        <f>IF(GB410=1,$GB$31,$GB$32)</f>
        <v>152394.16214437486</v>
      </c>
      <c r="GG410" s="13">
        <f>GE410-GF410</f>
        <v>-152394.16214437486</v>
      </c>
      <c r="GH410" s="13">
        <f>GH409+GG410</f>
        <v>-11603920.392938234</v>
      </c>
      <c r="GI410">
        <f>IF(GH410=MAX($GH$83:$GH$483),$A410,0)</f>
        <v>0</v>
      </c>
      <c r="GJ410">
        <f>IF(GE410&lt;GF410,$A410,B_MAX+1)</f>
        <v>327</v>
      </c>
      <c r="GK410" s="13">
        <f>IF(GB410=1,$GB$35,$GB$36)</f>
        <v>0</v>
      </c>
      <c r="GL410" s="13">
        <f>OCC_DAYS*$GB$41*R_NF_2023-GD410*MCD_SHARE_FREED*R_WAIT_2023</f>
        <v>151980.48282209205</v>
      </c>
      <c r="GM410">
        <f>IF($A410&lt;=$GB$45,1,0)</f>
        <v>0</v>
      </c>
      <c r="HB410">
        <f>IF($HB$31&lt;=$HB$32,IF($A410&lt;=$HB$7,1,2),IF($A410&lt;=RUNG_BEDS_2,2,1))</f>
        <v>1</v>
      </c>
      <c r="HC410" s="5">
        <f>MIN(1,MAX(0,$HB$26-($A410-1)))</f>
        <v>0</v>
      </c>
      <c r="HD410" s="5">
        <f>$HB$25*(HC410+(1-HC410)*$HB$16)</f>
        <v>0.0</v>
      </c>
      <c r="HE410" s="13">
        <f>HD410*($HB$6+ACUTE_MARGIN)</f>
        <v>0.0</v>
      </c>
      <c r="HF410" s="13">
        <f>IF(HB410=1,$HB$31,$HB$32)</f>
        <v>152456.2970814058</v>
      </c>
      <c r="HG410" s="13">
        <f>HE410-HF410</f>
        <v>-152456.2970814058</v>
      </c>
      <c r="HH410" s="13">
        <f>HH409+HG410</f>
        <v>-11624238.517347401</v>
      </c>
      <c r="HI410">
        <f>IF(HH410=MAX($HH$83:$HH$483),$A410,0)</f>
        <v>0</v>
      </c>
      <c r="HJ410">
        <f>IF(HE410&lt;HF410,$A410,B_MAX+1)</f>
        <v>327</v>
      </c>
      <c r="HK410" s="13">
        <f>IF(HB410=1,$HB$35,$HB$36)</f>
        <v>0</v>
      </c>
      <c r="HL410" s="13">
        <f>OCC_DAYS*$HB$41*R_NF_2023-HD410*MCD_SHARE_FREED*R_WAIT_2023</f>
        <v>151980.48282209205</v>
      </c>
      <c r="HM410">
        <f>IF($A410&lt;=$HB$45,1,0)</f>
        <v>0</v>
      </c>
      <c r="IB410">
        <f>IF($IB$31&lt;=$IB$32,IF($A410&lt;=$IB$7,1,2),IF($A410&lt;=RUNG_BEDS_2,2,1))</f>
        <v>1</v>
      </c>
      <c r="IC410" s="5">
        <f>MIN(1,MAX(0,$IB$26-($A410-1)))</f>
        <v>0</v>
      </c>
      <c r="ID410" s="5">
        <f>$IB$25*(IC410+(1-IC410)*$IB$16)</f>
        <v>0.0</v>
      </c>
      <c r="IE410" s="13">
        <f>ID410*($IB$6+ACUTE_MARGIN)</f>
        <v>0.0</v>
      </c>
      <c r="IF410" s="13">
        <f>IF(IB410=1,$IB$31,$IB$32)</f>
        <v>152734.9994534971</v>
      </c>
      <c r="IG410" s="13">
        <f>IE410-IF410</f>
        <v>-152734.9994534971</v>
      </c>
      <c r="IH410" s="13">
        <f>IH409+IG410</f>
        <v>-11715374.19302129</v>
      </c>
      <c r="II410">
        <f>IF(IH410=MAX($IH$83:$IH$483),$A410,0)</f>
        <v>0</v>
      </c>
      <c r="IJ410">
        <f>IF(IE410&lt;IF410,$A410,B_MAX+1)</f>
        <v>327</v>
      </c>
      <c r="IK410" s="13">
        <f>IF(IB410=1,$IB$35,$IB$36)</f>
        <v>0</v>
      </c>
      <c r="IL410" s="13">
        <f>OCC_DAYS*$IB$41*R_NF_2023-ID410*MCD_SHARE_FREED*R_WAIT_2023</f>
        <v>151980.48282209205</v>
      </c>
      <c r="IM410">
        <f>IF($A410&lt;=$IB$45,1,0)</f>
        <v>0</v>
      </c>
      <c r="JB410">
        <f>IF($JB$31&lt;=$JB$32,IF($A410&lt;=$JB$7,1,2),IF($A410&lt;=RUNG_BEDS_2,2,1))</f>
        <v>1</v>
      </c>
      <c r="JC410" s="5">
        <f>MIN(1,MAX(0,$JB$26-($A410-1)))</f>
        <v>0</v>
      </c>
      <c r="JD410" s="5">
        <f>$JB$25*(JC410+(1-JC410)*$JB$16)</f>
        <v>0.0</v>
      </c>
      <c r="JE410" s="13">
        <f>JD410*($JB$6+ACUTE_MARGIN)</f>
        <v>0.0</v>
      </c>
      <c r="JF410" s="13">
        <f>IF(JB410=1,$JB$31,$JB$32)</f>
        <v>152394.16214437486</v>
      </c>
      <c r="JG410" s="13">
        <f>JE410-JF410</f>
        <v>-152394.16214437486</v>
      </c>
      <c r="JH410" s="13">
        <f>JH409+JG410</f>
        <v>-11603920.392938234</v>
      </c>
      <c r="JI410">
        <f>IF(JH410=MAX($JH$83:$JH$483),$A410,0)</f>
        <v>0</v>
      </c>
      <c r="JJ410">
        <f>IF(JE410&lt;JF410,$A410,B_MAX+1)</f>
        <v>327</v>
      </c>
      <c r="JK410" s="13">
        <f>IF(JB410=1,$JB$35,$JB$36)</f>
        <v>0</v>
      </c>
      <c r="JL410" s="13">
        <f>OCC_DAYS*$JB$41*R_NF_2023-JD410*MCD_SHARE_FREED*R_WAIT_2023</f>
        <v>151980.48282209205</v>
      </c>
      <c r="JM410">
        <f>IF($A410&lt;=$JB$45,1,0)</f>
        <v>0</v>
      </c>
      <c r="KB410">
        <f>IF($KB$31&lt;=$KB$32,IF($A410&lt;=$KB$7,1,2),IF($A410&lt;=RUNG_BEDS_2,2,1))</f>
        <v>1</v>
      </c>
      <c r="KC410" s="5">
        <f>MIN(1,MAX(0,$KB$26-($A410-1)))</f>
        <v>0</v>
      </c>
      <c r="KD410" s="5">
        <f>$KB$25*(KC410+(1-KC410)*$KB$16)</f>
        <v>0.0</v>
      </c>
      <c r="KE410" s="13">
        <f>KD410*($KB$6+ACUTE_MARGIN)</f>
        <v>0.0</v>
      </c>
      <c r="KF410" s="13">
        <f>IF(KB410=1,$KB$31,$KB$32)</f>
        <v>152394.16214437486</v>
      </c>
      <c r="KG410" s="13">
        <f>KE410-KF410</f>
        <v>-152394.16214437486</v>
      </c>
      <c r="KH410" s="13">
        <f>KH409+KG410</f>
        <v>-11603920.39293834</v>
      </c>
      <c r="KI410">
        <f>IF(KH410=MAX($KH$83:$KH$483),$A410,0)</f>
        <v>0</v>
      </c>
      <c r="KJ410">
        <f>IF(KE410&lt;KF410,$A410,B_MAX+1)</f>
        <v>327</v>
      </c>
      <c r="KK410" s="13">
        <f>IF(KB410=1,$KB$35,$KB$36)</f>
        <v>0</v>
      </c>
      <c r="KL410" s="13">
        <f>OCC_DAYS*$KB$41*R_NF_2023-KD410*MCD_SHARE_FREED*R_WAIT_2023</f>
        <v>151980.48282209205</v>
      </c>
      <c r="KM410">
        <f>IF($A410&lt;=$KB$45,1,0)</f>
        <v>0</v>
      </c>
      <c r="LB410">
        <f>IF($LB$31&lt;=$LB$32,IF($A410&lt;=$LB$7,1,2),IF($A410&lt;=RUNG_BEDS_2,2,1))</f>
        <v>1</v>
      </c>
      <c r="LC410" s="5">
        <f>MIN(1,MAX(0,$LB$26-($A410-1)))</f>
        <v>1</v>
      </c>
      <c r="LD410" s="5">
        <f>$LB$25*(LC410+(1-LC410)*$LB$16)</f>
        <v>84.01774238227146</v>
      </c>
      <c r="LE410" s="13">
        <f>LD410*($LB$6+ACUTE_MARGIN)</f>
        <v>84857.91980609419</v>
      </c>
      <c r="LF410" s="13">
        <f>IF(LB410=1,$LB$31,$LB$32)</f>
        <v>152394.16214437486</v>
      </c>
      <c r="LG410" s="13">
        <f>LE410-LF410</f>
        <v>-67536.24233828067</v>
      </c>
      <c r="LH410" s="13">
        <f>LH409+LG410</f>
        <v>-22084351.244617898</v>
      </c>
      <c r="LI410">
        <f>IF(LH410=MAX($LH$83:$LH$483),$A410,0)</f>
        <v>0</v>
      </c>
      <c r="LJ410">
        <f>IF(LE410&lt;LF410,$A410,B_MAX+1)</f>
        <v>327</v>
      </c>
      <c r="LK410" s="13">
        <f>IF(LB410=1,$LB$35,$LB$36)</f>
        <v>0</v>
      </c>
      <c r="LL410" s="13">
        <f>OCC_DAYS*$LB$41*R_NF_2023-LD410*MCD_SHARE_FREED*R_WAIT_2023</f>
        <v>113776.04162887059</v>
      </c>
      <c r="LM410">
        <f>IF($A410&lt;=$LB$45,1,0)</f>
        <v>0</v>
      </c>
      <c r="MB410">
        <f>IF($MB$31&lt;=$MB$32,IF($A410&lt;=$MB$7,1,2),IF($A410&lt;=RUNG_BEDS_2,2,1))</f>
        <v>1</v>
      </c>
      <c r="MC410" s="5">
        <f>MIN(1,MAX(0,$MB$26-($A410-1)))</f>
        <v>0</v>
      </c>
      <c r="MD410" s="5">
        <f>$MB$25*(MC410+(1-MC410)*$MB$16)</f>
        <v>0.0</v>
      </c>
      <c r="ME410" s="13">
        <f>MD410*($MB$6+ACUTE_MARGIN)</f>
        <v>0.0</v>
      </c>
      <c r="MF410" s="13">
        <f>IF(MB410=1,$MB$31,$MB$32)</f>
        <v>152394.16214437486</v>
      </c>
      <c r="MG410" s="13">
        <f>ME410-MF410</f>
        <v>-152394.16214437486</v>
      </c>
      <c r="MH410" s="13">
        <f>MH409+MG410</f>
        <v>-17491196.454736535</v>
      </c>
      <c r="MI410">
        <f>IF(MH410=MAX($MH$83:$MH$483),$A410,0)</f>
        <v>0</v>
      </c>
      <c r="MJ410">
        <f>IF(ME410&lt;MF410,$A410,B_MAX+1)</f>
        <v>327</v>
      </c>
      <c r="MK410" s="13">
        <f>IF(MB410=1,$MB$35,$MB$36)</f>
        <v>0</v>
      </c>
      <c r="ML410" s="13">
        <f>OCC_DAYS*$MB$41*R_NF_2023-MD410*MCD_SHARE_FREED*R_WAIT_2023</f>
        <v>151980.48282209205</v>
      </c>
      <c r="MM410">
        <f>IF($A410&lt;=$MB$45,1,0)</f>
        <v>0</v>
      </c>
      <c r="NB410">
        <f>IF($NB$31&lt;=$NB$32,IF($A410&lt;=$NB$7,1,2),IF($A410&lt;=RUNG_BEDS_2,2,1))</f>
        <v>1</v>
      </c>
      <c r="NC410" s="5">
        <f>MIN(1,MAX(0,$NB$26-($A410-1)))</f>
        <v>0</v>
      </c>
      <c r="ND410" s="5">
        <f>$NB$25*(NC410+(1-NC410)*$NB$16)</f>
        <v>63.013306786703595</v>
      </c>
      <c r="NE410" s="13">
        <f>ND410*($NB$6+ACUTE_MARGIN)</f>
        <v>63643.43985457063</v>
      </c>
      <c r="NF410" s="13">
        <f>IF(NB410=1,$NB$31,$NB$32)</f>
        <v>152394.16214437486</v>
      </c>
      <c r="NG410" s="13">
        <f>NE410-NF410</f>
        <v>-88750.72228980422</v>
      </c>
      <c r="NH410" s="13">
        <f>NH409+NG410</f>
        <v>-349758.2175617579</v>
      </c>
      <c r="NI410">
        <f>IF(NH410=MAX($NH$83:$NH$483),$A410,0)</f>
        <v>0</v>
      </c>
      <c r="NJ410">
        <f>IF(NE410&lt;NF410,$A410,B_MAX+1)</f>
        <v>327</v>
      </c>
      <c r="NK410" s="13">
        <f>IF(NB410=1,$NB$35,$NB$36)</f>
        <v>0</v>
      </c>
      <c r="NL410" s="13">
        <f>OCC_DAYS*$NB$41*R_NF_2023-ND410*MCD_SHARE_FREED*R_WAIT_2023</f>
        <v>123327.15192717595</v>
      </c>
      <c r="NM410">
        <f>IF($A410&lt;=$NB$45,1,0)</f>
        <v>0</v>
      </c>
      <c r="OB410">
        <f>IF($OB$31&lt;=$OB$32,IF($A410&lt;=$OB$7,1,2),IF($A410&lt;=RUNG_BEDS_2,2,1))</f>
        <v>1</v>
      </c>
      <c r="OC410" s="5">
        <f>MIN(1,MAX(0,$OB$26-($A410-1)))</f>
        <v>0</v>
      </c>
      <c r="OD410" s="5">
        <f>$OB$25*(OC410+(1-OC410)*$OB$16)</f>
        <v>126.02661357340719</v>
      </c>
      <c r="OE410" s="13">
        <f>OD410*($OB$6+ACUTE_MARGIN)</f>
        <v>127286.87970914126</v>
      </c>
      <c r="OF410" s="13">
        <f>IF(OB410=1,$OB$31,$OB$32)</f>
        <v>152394.16214437486</v>
      </c>
      <c r="OG410" s="13">
        <f>OE410-OF410</f>
        <v>-25107.282435233603</v>
      </c>
      <c r="OH410" s="13">
        <f>OH409+OG410</f>
        <v>10904403.957814941</v>
      </c>
      <c r="OI410">
        <f>IF(OH410=MAX($OH$83:$OH$483),$A410,0)</f>
        <v>0</v>
      </c>
      <c r="OJ410">
        <f>IF(OE410&lt;OF410,$A410,B_MAX+1)</f>
        <v>327</v>
      </c>
      <c r="OK410" s="13">
        <f>IF(OB410=1,$OB$35,$OB$36)</f>
        <v>0</v>
      </c>
      <c r="OL410" s="13">
        <f>OCC_DAYS*$OB$41*R_NF_2023-OD410*MCD_SHARE_FREED*R_WAIT_2023</f>
        <v>94673.82103225985</v>
      </c>
      <c r="OM410">
        <f>IF($A410&lt;=$OB$45,1,0)</f>
        <v>0</v>
      </c>
    </row>
    <row r="411">
      <c r="A411" t="n">
        <v>328</v>
      </c>
      <c r="B411">
        <f>IF($B$31&lt;=$B$32,IF($A411&lt;=$B$7,1,2),IF($A411&lt;=RUNG_BEDS_2,2,1))</f>
        <v>1</v>
      </c>
      <c r="C411" s="5">
        <f>MIN(1,MAX(0,$B$26-($A411-1)))</f>
        <v>0</v>
      </c>
      <c r="D411" s="5">
        <f>$B$25*(C411+(1-C411)*$B$16)</f>
        <v>0.0</v>
      </c>
      <c r="E411" s="13">
        <f>D411*($B$6+ACUTE_MARGIN)</f>
        <v>0.0</v>
      </c>
      <c r="F411" s="13">
        <f>IF(B411=1,$B$31,$B$32)</f>
        <v>152394.16214437486</v>
      </c>
      <c r="G411" s="13">
        <f>E411-F411</f>
        <v>-152394.16214437486</v>
      </c>
      <c r="H411" s="13">
        <f>H410+G411</f>
        <v>-11756314.555082608</v>
      </c>
      <c r="I411">
        <f>IF(H411=MAX($H$83:$H$483),$A411,0)</f>
        <v>0</v>
      </c>
      <c r="J411">
        <f>IF(E411&lt;F411,$A411,B_MAX+1)</f>
        <v>328</v>
      </c>
      <c r="K411" s="13">
        <f>IF(B411=1,$B$35,$B$36)</f>
        <v>0</v>
      </c>
      <c r="L411" s="13">
        <f>OCC_DAYS*$B$41*R_NF_2023-D411*MCD_SHARE_FREED*R_WAIT_2023</f>
        <v>151980.48282209205</v>
      </c>
      <c r="M411">
        <f>IF($A411&lt;=$B$45,1,0)</f>
        <v>0</v>
      </c>
      <c r="AB411">
        <f>IF($AB$31&lt;=$AB$32,IF($A411&lt;=$AB$7,1,2),IF($A411&lt;=RUNG_BEDS_2,2,1))</f>
        <v>1</v>
      </c>
      <c r="AC411" s="5">
        <f>MIN(1,MAX(0,$AB$26-($A411-1)))</f>
        <v>0</v>
      </c>
      <c r="AD411" s="5">
        <f>$AB$25*(AC411+(1-AC411)*$AB$16)</f>
        <v>0.0</v>
      </c>
      <c r="AE411" s="13">
        <f>AD411*($AB$6+ACUTE_MARGIN)</f>
        <v>0.0</v>
      </c>
      <c r="AF411" s="13">
        <f>IF(AB411=1,$AB$31,$AB$32)</f>
        <v>152394.16214437486</v>
      </c>
      <c r="AG411" s="13">
        <f>AE411-AF411</f>
        <v>-152394.16214437486</v>
      </c>
      <c r="AH411" s="13">
        <f>AH410+AG411</f>
        <v>-29167528.900632344</v>
      </c>
      <c r="AI411">
        <f>IF(AH411=MAX($AH$83:$AH$483),$A411,0)</f>
        <v>0</v>
      </c>
      <c r="AJ411">
        <f>IF(AE411&lt;AF411,$A411,B_MAX+1)</f>
        <v>328</v>
      </c>
      <c r="AK411" s="13">
        <f>IF(AB411=1,$AB$35,$AB$36)</f>
        <v>0</v>
      </c>
      <c r="AL411" s="13">
        <f>OCC_DAYS*$AB$41*R_NF_2023-AD411*MCD_SHARE_FREED*R_WAIT_2023</f>
        <v>151980.48282209205</v>
      </c>
      <c r="AM411">
        <f>IF($A411&lt;=$AB$45,1,0)</f>
        <v>0</v>
      </c>
      <c r="BB411">
        <f>IF($BB$31&lt;=$BB$32,IF($A411&lt;=$BB$7,1,2),IF($A411&lt;=RUNG_BEDS_2,2,1))</f>
        <v>1</v>
      </c>
      <c r="BC411" s="5">
        <f>MIN(1,MAX(0,$BB$26-($A411-1)))</f>
        <v>0</v>
      </c>
      <c r="BD411" s="5">
        <f>$BB$25*(BC411+(1-BC411)*$BB$16)</f>
        <v>0.0</v>
      </c>
      <c r="BE411" s="13">
        <f>BD411*($BB$6+ACUTE_MARGIN)</f>
        <v>0.0</v>
      </c>
      <c r="BF411" s="13">
        <f>IF(BB411=1,$BB$31,$BB$32)</f>
        <v>152394.16214437486</v>
      </c>
      <c r="BG411" s="13">
        <f>BE411-BF411</f>
        <v>-152394.16214437486</v>
      </c>
      <c r="BH411" s="13">
        <f>BH410+BG411</f>
        <v>5654899.790467134</v>
      </c>
      <c r="BI411">
        <f>IF(BH411=MAX($BH$83:$BH$483),$A411,0)</f>
        <v>0</v>
      </c>
      <c r="BJ411">
        <f>IF(BE411&lt;BF411,$A411,B_MAX+1)</f>
        <v>328</v>
      </c>
      <c r="BK411" s="13">
        <f>IF(BB411=1,$BB$35,$BB$36)</f>
        <v>0</v>
      </c>
      <c r="BL411" s="13">
        <f>OCC_DAYS*$BB$41*R_NF_2023-BD411*MCD_SHARE_FREED*R_WAIT_2023</f>
        <v>151980.48282209205</v>
      </c>
      <c r="BM411">
        <f>IF($A411&lt;=$BB$45,1,0)</f>
        <v>0</v>
      </c>
      <c r="CB411">
        <f>IF($CB$31&lt;=$CB$32,IF($A411&lt;=$CB$7,1,2),IF($A411&lt;=RUNG_BEDS_2,2,1))</f>
        <v>2</v>
      </c>
      <c r="CC411" s="5">
        <f>MIN(1,MAX(0,$CB$26-($A411-1)))</f>
        <v>0</v>
      </c>
      <c r="CD411" s="5">
        <f>$CB$25*(CC411+(1-CC411)*$CB$16)</f>
        <v>0.0</v>
      </c>
      <c r="CE411" s="13">
        <f>CD411*($CB$6+ACUTE_MARGIN)</f>
        <v>0.0</v>
      </c>
      <c r="CF411" s="13">
        <f>IF(CB411=1,$CB$31,$CB$32)</f>
        <v>160718.36940738867</v>
      </c>
      <c r="CG411" s="13">
        <f>CE411-CF411</f>
        <v>-160718.36940738867</v>
      </c>
      <c r="CH411" s="13">
        <f>CH410+CG411</f>
        <v>-14486654.53735128</v>
      </c>
      <c r="CI411">
        <f>IF(CH411=MAX($CH$83:$CH$483),$A411,0)</f>
        <v>0</v>
      </c>
      <c r="CJ411">
        <f>IF(CE411&lt;CF411,$A411,B_MAX+1)</f>
        <v>328</v>
      </c>
      <c r="CK411" s="13">
        <f>IF(CB411=1,$CB$35,$CB$36)</f>
        <v>1560.1194073886782</v>
      </c>
      <c r="CL411" s="13">
        <f>OCC_DAYS*$CB$41*R_NF_2023-CD411*MCD_SHARE_FREED*R_WAIT_2023</f>
        <v>151980.48282209205</v>
      </c>
      <c r="CM411">
        <f>IF($A411&lt;=$CB$45,1,0)</f>
        <v>0</v>
      </c>
      <c r="DB411">
        <f>IF($DB$31&lt;=$DB$32,IF($A411&lt;=$DB$7,1,2),IF($A411&lt;=RUNG_BEDS_2,2,1))</f>
        <v>1</v>
      </c>
      <c r="DC411" s="5">
        <f>MIN(1,MAX(0,$DB$26-($A411-1)))</f>
        <v>0</v>
      </c>
      <c r="DD411" s="5">
        <f>$DB$25*(DC411+(1-DC411)*$DB$16)</f>
        <v>0.0</v>
      </c>
      <c r="DE411" s="13">
        <f>DD411*($DB$6+ACUTE_MARGIN)</f>
        <v>0.0</v>
      </c>
      <c r="DF411" s="13">
        <f>IF(DB411=1,$DB$31,$DB$32)</f>
        <v>152394.16214437486</v>
      </c>
      <c r="DG411" s="13">
        <f>DE411-DF411</f>
        <v>-152394.16214437486</v>
      </c>
      <c r="DH411" s="13">
        <f>DH410+DG411</f>
        <v>-11756314.555082608</v>
      </c>
      <c r="DI411">
        <f>IF(DH411=MAX($DH$83:$DH$483),$A411,0)</f>
        <v>0</v>
      </c>
      <c r="DJ411">
        <f>IF(DE411&lt;DF411,$A411,B_MAX+1)</f>
        <v>328</v>
      </c>
      <c r="DK411" s="13">
        <f>IF(DB411=1,$DB$35,$DB$36)</f>
        <v>0</v>
      </c>
      <c r="DL411" s="13">
        <f>OCC_DAYS*$DB$41*R_NF_2023-DD411*MCD_SHARE_FREED*R_WAIT_2023</f>
        <v>151980.48282209205</v>
      </c>
      <c r="DM411">
        <f>IF($A411&lt;=$DB$45,1,0)</f>
        <v>0</v>
      </c>
      <c r="EB411">
        <f>IF($EB$31&lt;=$EB$32,IF($A411&lt;=$EB$7,1,2),IF($A411&lt;=RUNG_BEDS_2,2,1))</f>
        <v>1</v>
      </c>
      <c r="EC411" s="5">
        <f>MIN(1,MAX(0,$EB$26-($A411-1)))</f>
        <v>0</v>
      </c>
      <c r="ED411" s="5">
        <f>$EB$25*(EC411+(1-EC411)*$EB$16)</f>
        <v>0.0</v>
      </c>
      <c r="EE411" s="13">
        <f>ED411*($EB$6+ACUTE_MARGIN)</f>
        <v>0.0</v>
      </c>
      <c r="EF411" s="13">
        <f>IF(EB411=1,$EB$31,$EB$32)</f>
        <v>152394.16214437486</v>
      </c>
      <c r="EG411" s="13">
        <f>EE411-EF411</f>
        <v>-152394.16214437486</v>
      </c>
      <c r="EH411" s="13">
        <f>EH410+EG411</f>
        <v>-11756314.555082608</v>
      </c>
      <c r="EI411">
        <f>IF(EH411=MAX($EH$83:$EH$483),$A411,0)</f>
        <v>0</v>
      </c>
      <c r="EJ411">
        <f>IF(EE411&lt;EF411,$A411,B_MAX+1)</f>
        <v>328</v>
      </c>
      <c r="EK411" s="13">
        <f>IF(EB411=1,$EB$35,$EB$36)</f>
        <v>0</v>
      </c>
      <c r="EL411" s="13">
        <f>OCC_DAYS*$EB$41*R_NF_2023-ED411*MCD_SHARE_FREED*R_WAIT_2023</f>
        <v>50660.16094069735</v>
      </c>
      <c r="EM411">
        <f>IF($A411&lt;=$EB$45,1,0)</f>
        <v>0</v>
      </c>
      <c r="FB411">
        <f>IF($FB$31&lt;=$FB$32,IF($A411&lt;=$FB$7,1,2),IF($A411&lt;=RUNG_BEDS_2,2,1))</f>
        <v>1</v>
      </c>
      <c r="FC411" s="5">
        <f>MIN(1,MAX(0,$FB$26-($A411-1)))</f>
        <v>0</v>
      </c>
      <c r="FD411" s="5">
        <f>$FB$25*(FC411+(1-FC411)*$FB$16)</f>
        <v>0.0</v>
      </c>
      <c r="FE411" s="13">
        <f>FD411*($FB$6+ACUTE_MARGIN)</f>
        <v>0.0</v>
      </c>
      <c r="FF411" s="13">
        <f>IF(FB411=1,$FB$31,$FB$32)</f>
        <v>156636.04979437485</v>
      </c>
      <c r="FG411" s="13">
        <f>FE411-FF411</f>
        <v>-156636.04979437485</v>
      </c>
      <c r="FH411" s="13">
        <f>FH410+FG411</f>
        <v>-13147653.704282712</v>
      </c>
      <c r="FI411">
        <f>IF(FH411=MAX($FH$83:$FH$483),$A411,0)</f>
        <v>0</v>
      </c>
      <c r="FJ411">
        <f>IF(FE411&lt;FF411,$A411,B_MAX+1)</f>
        <v>328</v>
      </c>
      <c r="FK411" s="13">
        <f>IF(FB411=1,$FB$35,$FB$36)</f>
        <v>0</v>
      </c>
      <c r="FL411" s="13">
        <f>OCC_DAYS*$FB$41*R_NF_2023-FD411*MCD_SHARE_FREED*R_WAIT_2023</f>
        <v>151980.48282209205</v>
      </c>
      <c r="FM411">
        <f>IF($A411&lt;=$FB$45,1,0)</f>
        <v>0</v>
      </c>
      <c r="GB411">
        <f>IF($GB$31&lt;=$GB$32,IF($A411&lt;=$GB$7,1,2),IF($A411&lt;=RUNG_BEDS_2,2,1))</f>
        <v>1</v>
      </c>
      <c r="GC411" s="5">
        <f>MIN(1,MAX(0,$GB$26-($A411-1)))</f>
        <v>0</v>
      </c>
      <c r="GD411" s="5">
        <f>$GB$25*(GC411+(1-GC411)*$GB$16)</f>
        <v>0.0</v>
      </c>
      <c r="GE411" s="13">
        <f>GD411*($GB$6+ACUTE_MARGIN)</f>
        <v>0.0</v>
      </c>
      <c r="GF411" s="13">
        <f>IF(GB411=1,$GB$31,$GB$32)</f>
        <v>152394.16214437486</v>
      </c>
      <c r="GG411" s="13">
        <f>GE411-GF411</f>
        <v>-152394.16214437486</v>
      </c>
      <c r="GH411" s="13">
        <f>GH410+GG411</f>
        <v>-11756314.555082608</v>
      </c>
      <c r="GI411">
        <f>IF(GH411=MAX($GH$83:$GH$483),$A411,0)</f>
        <v>0</v>
      </c>
      <c r="GJ411">
        <f>IF(GE411&lt;GF411,$A411,B_MAX+1)</f>
        <v>328</v>
      </c>
      <c r="GK411" s="13">
        <f>IF(GB411=1,$GB$35,$GB$36)</f>
        <v>0</v>
      </c>
      <c r="GL411" s="13">
        <f>OCC_DAYS*$GB$41*R_NF_2023-GD411*MCD_SHARE_FREED*R_WAIT_2023</f>
        <v>151980.48282209205</v>
      </c>
      <c r="GM411">
        <f>IF($A411&lt;=$GB$45,1,0)</f>
        <v>0</v>
      </c>
      <c r="HB411">
        <f>IF($HB$31&lt;=$HB$32,IF($A411&lt;=$HB$7,1,2),IF($A411&lt;=RUNG_BEDS_2,2,1))</f>
        <v>1</v>
      </c>
      <c r="HC411" s="5">
        <f>MIN(1,MAX(0,$HB$26-($A411-1)))</f>
        <v>0</v>
      </c>
      <c r="HD411" s="5">
        <f>$HB$25*(HC411+(1-HC411)*$HB$16)</f>
        <v>0.0</v>
      </c>
      <c r="HE411" s="13">
        <f>HD411*($HB$6+ACUTE_MARGIN)</f>
        <v>0.0</v>
      </c>
      <c r="HF411" s="13">
        <f>IF(HB411=1,$HB$31,$HB$32)</f>
        <v>152456.2970814058</v>
      </c>
      <c r="HG411" s="13">
        <f>HE411-HF411</f>
        <v>-152456.2970814058</v>
      </c>
      <c r="HH411" s="13">
        <f>HH410+HG411</f>
        <v>-11776694.814428806</v>
      </c>
      <c r="HI411">
        <f>IF(HH411=MAX($HH$83:$HH$483),$A411,0)</f>
        <v>0</v>
      </c>
      <c r="HJ411">
        <f>IF(HE411&lt;HF411,$A411,B_MAX+1)</f>
        <v>328</v>
      </c>
      <c r="HK411" s="13">
        <f>IF(HB411=1,$HB$35,$HB$36)</f>
        <v>0</v>
      </c>
      <c r="HL411" s="13">
        <f>OCC_DAYS*$HB$41*R_NF_2023-HD411*MCD_SHARE_FREED*R_WAIT_2023</f>
        <v>151980.48282209205</v>
      </c>
      <c r="HM411">
        <f>IF($A411&lt;=$HB$45,1,0)</f>
        <v>0</v>
      </c>
      <c r="IB411">
        <f>IF($IB$31&lt;=$IB$32,IF($A411&lt;=$IB$7,1,2),IF($A411&lt;=RUNG_BEDS_2,2,1))</f>
        <v>1</v>
      </c>
      <c r="IC411" s="5">
        <f>MIN(1,MAX(0,$IB$26-($A411-1)))</f>
        <v>0</v>
      </c>
      <c r="ID411" s="5">
        <f>$IB$25*(IC411+(1-IC411)*$IB$16)</f>
        <v>0.0</v>
      </c>
      <c r="IE411" s="13">
        <f>ID411*($IB$6+ACUTE_MARGIN)</f>
        <v>0.0</v>
      </c>
      <c r="IF411" s="13">
        <f>IF(IB411=1,$IB$31,$IB$32)</f>
        <v>152734.9994534971</v>
      </c>
      <c r="IG411" s="13">
        <f>IE411-IF411</f>
        <v>-152734.9994534971</v>
      </c>
      <c r="IH411" s="13">
        <f>IH410+IG411</f>
        <v>-11868109.192474786</v>
      </c>
      <c r="II411">
        <f>IF(IH411=MAX($IH$83:$IH$483),$A411,0)</f>
        <v>0</v>
      </c>
      <c r="IJ411">
        <f>IF(IE411&lt;IF411,$A411,B_MAX+1)</f>
        <v>328</v>
      </c>
      <c r="IK411" s="13">
        <f>IF(IB411=1,$IB$35,$IB$36)</f>
        <v>0</v>
      </c>
      <c r="IL411" s="13">
        <f>OCC_DAYS*$IB$41*R_NF_2023-ID411*MCD_SHARE_FREED*R_WAIT_2023</f>
        <v>151980.48282209205</v>
      </c>
      <c r="IM411">
        <f>IF($A411&lt;=$IB$45,1,0)</f>
        <v>0</v>
      </c>
      <c r="JB411">
        <f>IF($JB$31&lt;=$JB$32,IF($A411&lt;=$JB$7,1,2),IF($A411&lt;=RUNG_BEDS_2,2,1))</f>
        <v>1</v>
      </c>
      <c r="JC411" s="5">
        <f>MIN(1,MAX(0,$JB$26-($A411-1)))</f>
        <v>0</v>
      </c>
      <c r="JD411" s="5">
        <f>$JB$25*(JC411+(1-JC411)*$JB$16)</f>
        <v>0.0</v>
      </c>
      <c r="JE411" s="13">
        <f>JD411*($JB$6+ACUTE_MARGIN)</f>
        <v>0.0</v>
      </c>
      <c r="JF411" s="13">
        <f>IF(JB411=1,$JB$31,$JB$32)</f>
        <v>152394.16214437486</v>
      </c>
      <c r="JG411" s="13">
        <f>JE411-JF411</f>
        <v>-152394.16214437486</v>
      </c>
      <c r="JH411" s="13">
        <f>JH410+JG411</f>
        <v>-11756314.555082608</v>
      </c>
      <c r="JI411">
        <f>IF(JH411=MAX($JH$83:$JH$483),$A411,0)</f>
        <v>0</v>
      </c>
      <c r="JJ411">
        <f>IF(JE411&lt;JF411,$A411,B_MAX+1)</f>
        <v>328</v>
      </c>
      <c r="JK411" s="13">
        <f>IF(JB411=1,$JB$35,$JB$36)</f>
        <v>0</v>
      </c>
      <c r="JL411" s="13">
        <f>OCC_DAYS*$JB$41*R_NF_2023-JD411*MCD_SHARE_FREED*R_WAIT_2023</f>
        <v>151980.48282209205</v>
      </c>
      <c r="JM411">
        <f>IF($A411&lt;=$JB$45,1,0)</f>
        <v>0</v>
      </c>
      <c r="KB411">
        <f>IF($KB$31&lt;=$KB$32,IF($A411&lt;=$KB$7,1,2),IF($A411&lt;=RUNG_BEDS_2,2,1))</f>
        <v>1</v>
      </c>
      <c r="KC411" s="5">
        <f>MIN(1,MAX(0,$KB$26-($A411-1)))</f>
        <v>0</v>
      </c>
      <c r="KD411" s="5">
        <f>$KB$25*(KC411+(1-KC411)*$KB$16)</f>
        <v>0.0</v>
      </c>
      <c r="KE411" s="13">
        <f>KD411*($KB$6+ACUTE_MARGIN)</f>
        <v>0.0</v>
      </c>
      <c r="KF411" s="13">
        <f>IF(KB411=1,$KB$31,$KB$32)</f>
        <v>152394.16214437486</v>
      </c>
      <c r="KG411" s="13">
        <f>KE411-KF411</f>
        <v>-152394.16214437486</v>
      </c>
      <c r="KH411" s="13">
        <f>KH410+KG411</f>
        <v>-11756314.555082714</v>
      </c>
      <c r="KI411">
        <f>IF(KH411=MAX($KH$83:$KH$483),$A411,0)</f>
        <v>0</v>
      </c>
      <c r="KJ411">
        <f>IF(KE411&lt;KF411,$A411,B_MAX+1)</f>
        <v>328</v>
      </c>
      <c r="KK411" s="13">
        <f>IF(KB411=1,$KB$35,$KB$36)</f>
        <v>0</v>
      </c>
      <c r="KL411" s="13">
        <f>OCC_DAYS*$KB$41*R_NF_2023-KD411*MCD_SHARE_FREED*R_WAIT_2023</f>
        <v>151980.48282209205</v>
      </c>
      <c r="KM411">
        <f>IF($A411&lt;=$KB$45,1,0)</f>
        <v>0</v>
      </c>
      <c r="LB411">
        <f>IF($LB$31&lt;=$LB$32,IF($A411&lt;=$LB$7,1,2),IF($A411&lt;=RUNG_BEDS_2,2,1))</f>
        <v>1</v>
      </c>
      <c r="LC411" s="5">
        <f>MIN(1,MAX(0,$LB$26-($A411-1)))</f>
        <v>1</v>
      </c>
      <c r="LD411" s="5">
        <f>$LB$25*(LC411+(1-LC411)*$LB$16)</f>
        <v>84.01774238227146</v>
      </c>
      <c r="LE411" s="13">
        <f>LD411*($LB$6+ACUTE_MARGIN)</f>
        <v>84857.91980609419</v>
      </c>
      <c r="LF411" s="13">
        <f>IF(LB411=1,$LB$31,$LB$32)</f>
        <v>152394.16214437486</v>
      </c>
      <c r="LG411" s="13">
        <f>LE411-LF411</f>
        <v>-67536.24233828067</v>
      </c>
      <c r="LH411" s="13">
        <f>LH410+LG411</f>
        <v>-22151887.48695618</v>
      </c>
      <c r="LI411">
        <f>IF(LH411=MAX($LH$83:$LH$483),$A411,0)</f>
        <v>0</v>
      </c>
      <c r="LJ411">
        <f>IF(LE411&lt;LF411,$A411,B_MAX+1)</f>
        <v>328</v>
      </c>
      <c r="LK411" s="13">
        <f>IF(LB411=1,$LB$35,$LB$36)</f>
        <v>0</v>
      </c>
      <c r="LL411" s="13">
        <f>OCC_DAYS*$LB$41*R_NF_2023-LD411*MCD_SHARE_FREED*R_WAIT_2023</f>
        <v>113776.04162887059</v>
      </c>
      <c r="LM411">
        <f>IF($A411&lt;=$LB$45,1,0)</f>
        <v>0</v>
      </c>
      <c r="MB411">
        <f>IF($MB$31&lt;=$MB$32,IF($A411&lt;=$MB$7,1,2),IF($A411&lt;=RUNG_BEDS_2,2,1))</f>
        <v>1</v>
      </c>
      <c r="MC411" s="5">
        <f>MIN(1,MAX(0,$MB$26-($A411-1)))</f>
        <v>0</v>
      </c>
      <c r="MD411" s="5">
        <f>$MB$25*(MC411+(1-MC411)*$MB$16)</f>
        <v>0.0</v>
      </c>
      <c r="ME411" s="13">
        <f>MD411*($MB$6+ACUTE_MARGIN)</f>
        <v>0.0</v>
      </c>
      <c r="MF411" s="13">
        <f>IF(MB411=1,$MB$31,$MB$32)</f>
        <v>152394.16214437486</v>
      </c>
      <c r="MG411" s="13">
        <f>ME411-MF411</f>
        <v>-152394.16214437486</v>
      </c>
      <c r="MH411" s="13">
        <f>MH410+MG411</f>
        <v>-17643590.61688091</v>
      </c>
      <c r="MI411">
        <f>IF(MH411=MAX($MH$83:$MH$483),$A411,0)</f>
        <v>0</v>
      </c>
      <c r="MJ411">
        <f>IF(ME411&lt;MF411,$A411,B_MAX+1)</f>
        <v>328</v>
      </c>
      <c r="MK411" s="13">
        <f>IF(MB411=1,$MB$35,$MB$36)</f>
        <v>0</v>
      </c>
      <c r="ML411" s="13">
        <f>OCC_DAYS*$MB$41*R_NF_2023-MD411*MCD_SHARE_FREED*R_WAIT_2023</f>
        <v>151980.48282209205</v>
      </c>
      <c r="MM411">
        <f>IF($A411&lt;=$MB$45,1,0)</f>
        <v>0</v>
      </c>
      <c r="NB411">
        <f>IF($NB$31&lt;=$NB$32,IF($A411&lt;=$NB$7,1,2),IF($A411&lt;=RUNG_BEDS_2,2,1))</f>
        <v>1</v>
      </c>
      <c r="NC411" s="5">
        <f>MIN(1,MAX(0,$NB$26-($A411-1)))</f>
        <v>0</v>
      </c>
      <c r="ND411" s="5">
        <f>$NB$25*(NC411+(1-NC411)*$NB$16)</f>
        <v>63.013306786703595</v>
      </c>
      <c r="NE411" s="13">
        <f>ND411*($NB$6+ACUTE_MARGIN)</f>
        <v>63643.43985457063</v>
      </c>
      <c r="NF411" s="13">
        <f>IF(NB411=1,$NB$31,$NB$32)</f>
        <v>152394.16214437486</v>
      </c>
      <c r="NG411" s="13">
        <f>NE411-NF411</f>
        <v>-88750.72228980422</v>
      </c>
      <c r="NH411" s="13">
        <f>NH410+NG411</f>
        <v>-438508.93985156214</v>
      </c>
      <c r="NI411">
        <f>IF(NH411=MAX($NH$83:$NH$483),$A411,0)</f>
        <v>0</v>
      </c>
      <c r="NJ411">
        <f>IF(NE411&lt;NF411,$A411,B_MAX+1)</f>
        <v>328</v>
      </c>
      <c r="NK411" s="13">
        <f>IF(NB411=1,$NB$35,$NB$36)</f>
        <v>0</v>
      </c>
      <c r="NL411" s="13">
        <f>OCC_DAYS*$NB$41*R_NF_2023-ND411*MCD_SHARE_FREED*R_WAIT_2023</f>
        <v>123327.15192717595</v>
      </c>
      <c r="NM411">
        <f>IF($A411&lt;=$NB$45,1,0)</f>
        <v>0</v>
      </c>
      <c r="OB411">
        <f>IF($OB$31&lt;=$OB$32,IF($A411&lt;=$OB$7,1,2),IF($A411&lt;=RUNG_BEDS_2,2,1))</f>
        <v>1</v>
      </c>
      <c r="OC411" s="5">
        <f>MIN(1,MAX(0,$OB$26-($A411-1)))</f>
        <v>0</v>
      </c>
      <c r="OD411" s="5">
        <f>$OB$25*(OC411+(1-OC411)*$OB$16)</f>
        <v>126.02661357340719</v>
      </c>
      <c r="OE411" s="13">
        <f>OD411*($OB$6+ACUTE_MARGIN)</f>
        <v>127286.87970914126</v>
      </c>
      <c r="OF411" s="13">
        <f>IF(OB411=1,$OB$31,$OB$32)</f>
        <v>152394.16214437486</v>
      </c>
      <c r="OG411" s="13">
        <f>OE411-OF411</f>
        <v>-25107.282435233603</v>
      </c>
      <c r="OH411" s="13">
        <f>OH410+OG411</f>
        <v>10879296.675379708</v>
      </c>
      <c r="OI411">
        <f>IF(OH411=MAX($OH$83:$OH$483),$A411,0)</f>
        <v>0</v>
      </c>
      <c r="OJ411">
        <f>IF(OE411&lt;OF411,$A411,B_MAX+1)</f>
        <v>328</v>
      </c>
      <c r="OK411" s="13">
        <f>IF(OB411=1,$OB$35,$OB$36)</f>
        <v>0</v>
      </c>
      <c r="OL411" s="13">
        <f>OCC_DAYS*$OB$41*R_NF_2023-OD411*MCD_SHARE_FREED*R_WAIT_2023</f>
        <v>94673.82103225985</v>
      </c>
      <c r="OM411">
        <f>IF($A411&lt;=$OB$45,1,0)</f>
        <v>0</v>
      </c>
    </row>
    <row r="412">
      <c r="A412" t="n">
        <v>329</v>
      </c>
      <c r="B412">
        <f>IF($B$31&lt;=$B$32,IF($A412&lt;=$B$7,1,2),IF($A412&lt;=RUNG_BEDS_2,2,1))</f>
        <v>1</v>
      </c>
      <c r="C412" s="5">
        <f>MIN(1,MAX(0,$B$26-($A412-1)))</f>
        <v>0</v>
      </c>
      <c r="D412" s="5">
        <f>$B$25*(C412+(1-C412)*$B$16)</f>
        <v>0.0</v>
      </c>
      <c r="E412" s="13">
        <f>D412*($B$6+ACUTE_MARGIN)</f>
        <v>0.0</v>
      </c>
      <c r="F412" s="13">
        <f>IF(B412=1,$B$31,$B$32)</f>
        <v>152394.16214437486</v>
      </c>
      <c r="G412" s="13">
        <f>E412-F412</f>
        <v>-152394.16214437486</v>
      </c>
      <c r="H412" s="13">
        <f>H411+G412</f>
        <v>-11908708.717226982</v>
      </c>
      <c r="I412">
        <f>IF(H412=MAX($H$83:$H$483),$A412,0)</f>
        <v>0</v>
      </c>
      <c r="J412">
        <f>IF(E412&lt;F412,$A412,B_MAX+1)</f>
        <v>329</v>
      </c>
      <c r="K412" s="13">
        <f>IF(B412=1,$B$35,$B$36)</f>
        <v>0</v>
      </c>
      <c r="L412" s="13">
        <f>OCC_DAYS*$B$41*R_NF_2023-D412*MCD_SHARE_FREED*R_WAIT_2023</f>
        <v>151980.48282209205</v>
      </c>
      <c r="M412">
        <f>IF($A412&lt;=$B$45,1,0)</f>
        <v>0</v>
      </c>
      <c r="AB412">
        <f>IF($AB$31&lt;=$AB$32,IF($A412&lt;=$AB$7,1,2),IF($A412&lt;=RUNG_BEDS_2,2,1))</f>
        <v>1</v>
      </c>
      <c r="AC412" s="5">
        <f>MIN(1,MAX(0,$AB$26-($A412-1)))</f>
        <v>0</v>
      </c>
      <c r="AD412" s="5">
        <f>$AB$25*(AC412+(1-AC412)*$AB$16)</f>
        <v>0.0</v>
      </c>
      <c r="AE412" s="13">
        <f>AD412*($AB$6+ACUTE_MARGIN)</f>
        <v>0.0</v>
      </c>
      <c r="AF412" s="13">
        <f>IF(AB412=1,$AB$31,$AB$32)</f>
        <v>152394.16214437486</v>
      </c>
      <c r="AG412" s="13">
        <f>AE412-AF412</f>
        <v>-152394.16214437486</v>
      </c>
      <c r="AH412" s="13">
        <f>AH411+AG412</f>
        <v>-29319923.06277672</v>
      </c>
      <c r="AI412">
        <f>IF(AH412=MAX($AH$83:$AH$483),$A412,0)</f>
        <v>0</v>
      </c>
      <c r="AJ412">
        <f>IF(AE412&lt;AF412,$A412,B_MAX+1)</f>
        <v>329</v>
      </c>
      <c r="AK412" s="13">
        <f>IF(AB412=1,$AB$35,$AB$36)</f>
        <v>0</v>
      </c>
      <c r="AL412" s="13">
        <f>OCC_DAYS*$AB$41*R_NF_2023-AD412*MCD_SHARE_FREED*R_WAIT_2023</f>
        <v>151980.48282209205</v>
      </c>
      <c r="AM412">
        <f>IF($A412&lt;=$AB$45,1,0)</f>
        <v>0</v>
      </c>
      <c r="BB412">
        <f>IF($BB$31&lt;=$BB$32,IF($A412&lt;=$BB$7,1,2),IF($A412&lt;=RUNG_BEDS_2,2,1))</f>
        <v>1</v>
      </c>
      <c r="BC412" s="5">
        <f>MIN(1,MAX(0,$BB$26-($A412-1)))</f>
        <v>0</v>
      </c>
      <c r="BD412" s="5">
        <f>$BB$25*(BC412+(1-BC412)*$BB$16)</f>
        <v>0.0</v>
      </c>
      <c r="BE412" s="13">
        <f>BD412*($BB$6+ACUTE_MARGIN)</f>
        <v>0.0</v>
      </c>
      <c r="BF412" s="13">
        <f>IF(BB412=1,$BB$31,$BB$32)</f>
        <v>152394.16214437486</v>
      </c>
      <c r="BG412" s="13">
        <f>BE412-BF412</f>
        <v>-152394.16214437486</v>
      </c>
      <c r="BH412" s="13">
        <f>BH411+BG412</f>
        <v>5502505.628322759</v>
      </c>
      <c r="BI412">
        <f>IF(BH412=MAX($BH$83:$BH$483),$A412,0)</f>
        <v>0</v>
      </c>
      <c r="BJ412">
        <f>IF(BE412&lt;BF412,$A412,B_MAX+1)</f>
        <v>329</v>
      </c>
      <c r="BK412" s="13">
        <f>IF(BB412=1,$BB$35,$BB$36)</f>
        <v>0</v>
      </c>
      <c r="BL412" s="13">
        <f>OCC_DAYS*$BB$41*R_NF_2023-BD412*MCD_SHARE_FREED*R_WAIT_2023</f>
        <v>151980.48282209205</v>
      </c>
      <c r="BM412">
        <f>IF($A412&lt;=$BB$45,1,0)</f>
        <v>0</v>
      </c>
      <c r="CB412">
        <f>IF($CB$31&lt;=$CB$32,IF($A412&lt;=$CB$7,1,2),IF($A412&lt;=RUNG_BEDS_2,2,1))</f>
        <v>2</v>
      </c>
      <c r="CC412" s="5">
        <f>MIN(1,MAX(0,$CB$26-($A412-1)))</f>
        <v>0</v>
      </c>
      <c r="CD412" s="5">
        <f>$CB$25*(CC412+(1-CC412)*$CB$16)</f>
        <v>0.0</v>
      </c>
      <c r="CE412" s="13">
        <f>CD412*($CB$6+ACUTE_MARGIN)</f>
        <v>0.0</v>
      </c>
      <c r="CF412" s="13">
        <f>IF(CB412=1,$CB$31,$CB$32)</f>
        <v>160718.36940738867</v>
      </c>
      <c r="CG412" s="13">
        <f>CE412-CF412</f>
        <v>-160718.36940738867</v>
      </c>
      <c r="CH412" s="13">
        <f>CH411+CG412</f>
        <v>-14647372.90675867</v>
      </c>
      <c r="CI412">
        <f>IF(CH412=MAX($CH$83:$CH$483),$A412,0)</f>
        <v>0</v>
      </c>
      <c r="CJ412">
        <f>IF(CE412&lt;CF412,$A412,B_MAX+1)</f>
        <v>329</v>
      </c>
      <c r="CK412" s="13">
        <f>IF(CB412=1,$CB$35,$CB$36)</f>
        <v>1560.1194073886782</v>
      </c>
      <c r="CL412" s="13">
        <f>OCC_DAYS*$CB$41*R_NF_2023-CD412*MCD_SHARE_FREED*R_WAIT_2023</f>
        <v>151980.48282209205</v>
      </c>
      <c r="CM412">
        <f>IF($A412&lt;=$CB$45,1,0)</f>
        <v>0</v>
      </c>
      <c r="DB412">
        <f>IF($DB$31&lt;=$DB$32,IF($A412&lt;=$DB$7,1,2),IF($A412&lt;=RUNG_BEDS_2,2,1))</f>
        <v>1</v>
      </c>
      <c r="DC412" s="5">
        <f>MIN(1,MAX(0,$DB$26-($A412-1)))</f>
        <v>0</v>
      </c>
      <c r="DD412" s="5">
        <f>$DB$25*(DC412+(1-DC412)*$DB$16)</f>
        <v>0.0</v>
      </c>
      <c r="DE412" s="13">
        <f>DD412*($DB$6+ACUTE_MARGIN)</f>
        <v>0.0</v>
      </c>
      <c r="DF412" s="13">
        <f>IF(DB412=1,$DB$31,$DB$32)</f>
        <v>152394.16214437486</v>
      </c>
      <c r="DG412" s="13">
        <f>DE412-DF412</f>
        <v>-152394.16214437486</v>
      </c>
      <c r="DH412" s="13">
        <f>DH411+DG412</f>
        <v>-11908708.717226982</v>
      </c>
      <c r="DI412">
        <f>IF(DH412=MAX($DH$83:$DH$483),$A412,0)</f>
        <v>0</v>
      </c>
      <c r="DJ412">
        <f>IF(DE412&lt;DF412,$A412,B_MAX+1)</f>
        <v>329</v>
      </c>
      <c r="DK412" s="13">
        <f>IF(DB412=1,$DB$35,$DB$36)</f>
        <v>0</v>
      </c>
      <c r="DL412" s="13">
        <f>OCC_DAYS*$DB$41*R_NF_2023-DD412*MCD_SHARE_FREED*R_WAIT_2023</f>
        <v>151980.48282209205</v>
      </c>
      <c r="DM412">
        <f>IF($A412&lt;=$DB$45,1,0)</f>
        <v>0</v>
      </c>
      <c r="EB412">
        <f>IF($EB$31&lt;=$EB$32,IF($A412&lt;=$EB$7,1,2),IF($A412&lt;=RUNG_BEDS_2,2,1))</f>
        <v>1</v>
      </c>
      <c r="EC412" s="5">
        <f>MIN(1,MAX(0,$EB$26-($A412-1)))</f>
        <v>0</v>
      </c>
      <c r="ED412" s="5">
        <f>$EB$25*(EC412+(1-EC412)*$EB$16)</f>
        <v>0.0</v>
      </c>
      <c r="EE412" s="13">
        <f>ED412*($EB$6+ACUTE_MARGIN)</f>
        <v>0.0</v>
      </c>
      <c r="EF412" s="13">
        <f>IF(EB412=1,$EB$31,$EB$32)</f>
        <v>152394.16214437486</v>
      </c>
      <c r="EG412" s="13">
        <f>EE412-EF412</f>
        <v>-152394.16214437486</v>
      </c>
      <c r="EH412" s="13">
        <f>EH411+EG412</f>
        <v>-11908708.717226982</v>
      </c>
      <c r="EI412">
        <f>IF(EH412=MAX($EH$83:$EH$483),$A412,0)</f>
        <v>0</v>
      </c>
      <c r="EJ412">
        <f>IF(EE412&lt;EF412,$A412,B_MAX+1)</f>
        <v>329</v>
      </c>
      <c r="EK412" s="13">
        <f>IF(EB412=1,$EB$35,$EB$36)</f>
        <v>0</v>
      </c>
      <c r="EL412" s="13">
        <f>OCC_DAYS*$EB$41*R_NF_2023-ED412*MCD_SHARE_FREED*R_WAIT_2023</f>
        <v>50660.16094069735</v>
      </c>
      <c r="EM412">
        <f>IF($A412&lt;=$EB$45,1,0)</f>
        <v>0</v>
      </c>
      <c r="FB412">
        <f>IF($FB$31&lt;=$FB$32,IF($A412&lt;=$FB$7,1,2),IF($A412&lt;=RUNG_BEDS_2,2,1))</f>
        <v>1</v>
      </c>
      <c r="FC412" s="5">
        <f>MIN(1,MAX(0,$FB$26-($A412-1)))</f>
        <v>0</v>
      </c>
      <c r="FD412" s="5">
        <f>$FB$25*(FC412+(1-FC412)*$FB$16)</f>
        <v>0.0</v>
      </c>
      <c r="FE412" s="13">
        <f>FD412*($FB$6+ACUTE_MARGIN)</f>
        <v>0.0</v>
      </c>
      <c r="FF412" s="13">
        <f>IF(FB412=1,$FB$31,$FB$32)</f>
        <v>156636.04979437485</v>
      </c>
      <c r="FG412" s="13">
        <f>FE412-FF412</f>
        <v>-156636.04979437485</v>
      </c>
      <c r="FH412" s="13">
        <f>FH411+FG412</f>
        <v>-13304289.754077086</v>
      </c>
      <c r="FI412">
        <f>IF(FH412=MAX($FH$83:$FH$483),$A412,0)</f>
        <v>0</v>
      </c>
      <c r="FJ412">
        <f>IF(FE412&lt;FF412,$A412,B_MAX+1)</f>
        <v>329</v>
      </c>
      <c r="FK412" s="13">
        <f>IF(FB412=1,$FB$35,$FB$36)</f>
        <v>0</v>
      </c>
      <c r="FL412" s="13">
        <f>OCC_DAYS*$FB$41*R_NF_2023-FD412*MCD_SHARE_FREED*R_WAIT_2023</f>
        <v>151980.48282209205</v>
      </c>
      <c r="FM412">
        <f>IF($A412&lt;=$FB$45,1,0)</f>
        <v>0</v>
      </c>
      <c r="GB412">
        <f>IF($GB$31&lt;=$GB$32,IF($A412&lt;=$GB$7,1,2),IF($A412&lt;=RUNG_BEDS_2,2,1))</f>
        <v>1</v>
      </c>
      <c r="GC412" s="5">
        <f>MIN(1,MAX(0,$GB$26-($A412-1)))</f>
        <v>0</v>
      </c>
      <c r="GD412" s="5">
        <f>$GB$25*(GC412+(1-GC412)*$GB$16)</f>
        <v>0.0</v>
      </c>
      <c r="GE412" s="13">
        <f>GD412*($GB$6+ACUTE_MARGIN)</f>
        <v>0.0</v>
      </c>
      <c r="GF412" s="13">
        <f>IF(GB412=1,$GB$31,$GB$32)</f>
        <v>152394.16214437486</v>
      </c>
      <c r="GG412" s="13">
        <f>GE412-GF412</f>
        <v>-152394.16214437486</v>
      </c>
      <c r="GH412" s="13">
        <f>GH411+GG412</f>
        <v>-11908708.717226982</v>
      </c>
      <c r="GI412">
        <f>IF(GH412=MAX($GH$83:$GH$483),$A412,0)</f>
        <v>0</v>
      </c>
      <c r="GJ412">
        <f>IF(GE412&lt;GF412,$A412,B_MAX+1)</f>
        <v>329</v>
      </c>
      <c r="GK412" s="13">
        <f>IF(GB412=1,$GB$35,$GB$36)</f>
        <v>0</v>
      </c>
      <c r="GL412" s="13">
        <f>OCC_DAYS*$GB$41*R_NF_2023-GD412*MCD_SHARE_FREED*R_WAIT_2023</f>
        <v>151980.48282209205</v>
      </c>
      <c r="GM412">
        <f>IF($A412&lt;=$GB$45,1,0)</f>
        <v>0</v>
      </c>
      <c r="HB412">
        <f>IF($HB$31&lt;=$HB$32,IF($A412&lt;=$HB$7,1,2),IF($A412&lt;=RUNG_BEDS_2,2,1))</f>
        <v>1</v>
      </c>
      <c r="HC412" s="5">
        <f>MIN(1,MAX(0,$HB$26-($A412-1)))</f>
        <v>0</v>
      </c>
      <c r="HD412" s="5">
        <f>$HB$25*(HC412+(1-HC412)*$HB$16)</f>
        <v>0.0</v>
      </c>
      <c r="HE412" s="13">
        <f>HD412*($HB$6+ACUTE_MARGIN)</f>
        <v>0.0</v>
      </c>
      <c r="HF412" s="13">
        <f>IF(HB412=1,$HB$31,$HB$32)</f>
        <v>152456.2970814058</v>
      </c>
      <c r="HG412" s="13">
        <f>HE412-HF412</f>
        <v>-152456.2970814058</v>
      </c>
      <c r="HH412" s="13">
        <f>HH411+HG412</f>
        <v>-11929151.111510212</v>
      </c>
      <c r="HI412">
        <f>IF(HH412=MAX($HH$83:$HH$483),$A412,0)</f>
        <v>0</v>
      </c>
      <c r="HJ412">
        <f>IF(HE412&lt;HF412,$A412,B_MAX+1)</f>
        <v>329</v>
      </c>
      <c r="HK412" s="13">
        <f>IF(HB412=1,$HB$35,$HB$36)</f>
        <v>0</v>
      </c>
      <c r="HL412" s="13">
        <f>OCC_DAYS*$HB$41*R_NF_2023-HD412*MCD_SHARE_FREED*R_WAIT_2023</f>
        <v>151980.48282209205</v>
      </c>
      <c r="HM412">
        <f>IF($A412&lt;=$HB$45,1,0)</f>
        <v>0</v>
      </c>
      <c r="IB412">
        <f>IF($IB$31&lt;=$IB$32,IF($A412&lt;=$IB$7,1,2),IF($A412&lt;=RUNG_BEDS_2,2,1))</f>
        <v>1</v>
      </c>
      <c r="IC412" s="5">
        <f>MIN(1,MAX(0,$IB$26-($A412-1)))</f>
        <v>0</v>
      </c>
      <c r="ID412" s="5">
        <f>$IB$25*(IC412+(1-IC412)*$IB$16)</f>
        <v>0.0</v>
      </c>
      <c r="IE412" s="13">
        <f>ID412*($IB$6+ACUTE_MARGIN)</f>
        <v>0.0</v>
      </c>
      <c r="IF412" s="13">
        <f>IF(IB412=1,$IB$31,$IB$32)</f>
        <v>152734.9994534971</v>
      </c>
      <c r="IG412" s="13">
        <f>IE412-IF412</f>
        <v>-152734.9994534971</v>
      </c>
      <c r="IH412" s="13">
        <f>IH411+IG412</f>
        <v>-12020844.191928282</v>
      </c>
      <c r="II412">
        <f>IF(IH412=MAX($IH$83:$IH$483),$A412,0)</f>
        <v>0</v>
      </c>
      <c r="IJ412">
        <f>IF(IE412&lt;IF412,$A412,B_MAX+1)</f>
        <v>329</v>
      </c>
      <c r="IK412" s="13">
        <f>IF(IB412=1,$IB$35,$IB$36)</f>
        <v>0</v>
      </c>
      <c r="IL412" s="13">
        <f>OCC_DAYS*$IB$41*R_NF_2023-ID412*MCD_SHARE_FREED*R_WAIT_2023</f>
        <v>151980.48282209205</v>
      </c>
      <c r="IM412">
        <f>IF($A412&lt;=$IB$45,1,0)</f>
        <v>0</v>
      </c>
      <c r="JB412">
        <f>IF($JB$31&lt;=$JB$32,IF($A412&lt;=$JB$7,1,2),IF($A412&lt;=RUNG_BEDS_2,2,1))</f>
        <v>1</v>
      </c>
      <c r="JC412" s="5">
        <f>MIN(1,MAX(0,$JB$26-($A412-1)))</f>
        <v>0</v>
      </c>
      <c r="JD412" s="5">
        <f>$JB$25*(JC412+(1-JC412)*$JB$16)</f>
        <v>0.0</v>
      </c>
      <c r="JE412" s="13">
        <f>JD412*($JB$6+ACUTE_MARGIN)</f>
        <v>0.0</v>
      </c>
      <c r="JF412" s="13">
        <f>IF(JB412=1,$JB$31,$JB$32)</f>
        <v>152394.16214437486</v>
      </c>
      <c r="JG412" s="13">
        <f>JE412-JF412</f>
        <v>-152394.16214437486</v>
      </c>
      <c r="JH412" s="13">
        <f>JH411+JG412</f>
        <v>-11908708.717226982</v>
      </c>
      <c r="JI412">
        <f>IF(JH412=MAX($JH$83:$JH$483),$A412,0)</f>
        <v>0</v>
      </c>
      <c r="JJ412">
        <f>IF(JE412&lt;JF412,$A412,B_MAX+1)</f>
        <v>329</v>
      </c>
      <c r="JK412" s="13">
        <f>IF(JB412=1,$JB$35,$JB$36)</f>
        <v>0</v>
      </c>
      <c r="JL412" s="13">
        <f>OCC_DAYS*$JB$41*R_NF_2023-JD412*MCD_SHARE_FREED*R_WAIT_2023</f>
        <v>151980.48282209205</v>
      </c>
      <c r="JM412">
        <f>IF($A412&lt;=$JB$45,1,0)</f>
        <v>0</v>
      </c>
      <c r="KB412">
        <f>IF($KB$31&lt;=$KB$32,IF($A412&lt;=$KB$7,1,2),IF($A412&lt;=RUNG_BEDS_2,2,1))</f>
        <v>1</v>
      </c>
      <c r="KC412" s="5">
        <f>MIN(1,MAX(0,$KB$26-($A412-1)))</f>
        <v>0</v>
      </c>
      <c r="KD412" s="5">
        <f>$KB$25*(KC412+(1-KC412)*$KB$16)</f>
        <v>0.0</v>
      </c>
      <c r="KE412" s="13">
        <f>KD412*($KB$6+ACUTE_MARGIN)</f>
        <v>0.0</v>
      </c>
      <c r="KF412" s="13">
        <f>IF(KB412=1,$KB$31,$KB$32)</f>
        <v>152394.16214437486</v>
      </c>
      <c r="KG412" s="13">
        <f>KE412-KF412</f>
        <v>-152394.16214437486</v>
      </c>
      <c r="KH412" s="13">
        <f>KH411+KG412</f>
        <v>-11908708.717227088</v>
      </c>
      <c r="KI412">
        <f>IF(KH412=MAX($KH$83:$KH$483),$A412,0)</f>
        <v>0</v>
      </c>
      <c r="KJ412">
        <f>IF(KE412&lt;KF412,$A412,B_MAX+1)</f>
        <v>329</v>
      </c>
      <c r="KK412" s="13">
        <f>IF(KB412=1,$KB$35,$KB$36)</f>
        <v>0</v>
      </c>
      <c r="KL412" s="13">
        <f>OCC_DAYS*$KB$41*R_NF_2023-KD412*MCD_SHARE_FREED*R_WAIT_2023</f>
        <v>151980.48282209205</v>
      </c>
      <c r="KM412">
        <f>IF($A412&lt;=$KB$45,1,0)</f>
        <v>0</v>
      </c>
      <c r="LB412">
        <f>IF($LB$31&lt;=$LB$32,IF($A412&lt;=$LB$7,1,2),IF($A412&lt;=RUNG_BEDS_2,2,1))</f>
        <v>1</v>
      </c>
      <c r="LC412" s="5">
        <f>MIN(1,MAX(0,$LB$26-($A412-1)))</f>
        <v>1</v>
      </c>
      <c r="LD412" s="5">
        <f>$LB$25*(LC412+(1-LC412)*$LB$16)</f>
        <v>84.01774238227146</v>
      </c>
      <c r="LE412" s="13">
        <f>LD412*($LB$6+ACUTE_MARGIN)</f>
        <v>84857.91980609419</v>
      </c>
      <c r="LF412" s="13">
        <f>IF(LB412=1,$LB$31,$LB$32)</f>
        <v>152394.16214437486</v>
      </c>
      <c r="LG412" s="13">
        <f>LE412-LF412</f>
        <v>-67536.24233828067</v>
      </c>
      <c r="LH412" s="13">
        <f>LH411+LG412</f>
        <v>-22219423.72929446</v>
      </c>
      <c r="LI412">
        <f>IF(LH412=MAX($LH$83:$LH$483),$A412,0)</f>
        <v>0</v>
      </c>
      <c r="LJ412">
        <f>IF(LE412&lt;LF412,$A412,B_MAX+1)</f>
        <v>329</v>
      </c>
      <c r="LK412" s="13">
        <f>IF(LB412=1,$LB$35,$LB$36)</f>
        <v>0</v>
      </c>
      <c r="LL412" s="13">
        <f>OCC_DAYS*$LB$41*R_NF_2023-LD412*MCD_SHARE_FREED*R_WAIT_2023</f>
        <v>113776.04162887059</v>
      </c>
      <c r="LM412">
        <f>IF($A412&lt;=$LB$45,1,0)</f>
        <v>0</v>
      </c>
      <c r="MB412">
        <f>IF($MB$31&lt;=$MB$32,IF($A412&lt;=$MB$7,1,2),IF($A412&lt;=RUNG_BEDS_2,2,1))</f>
        <v>1</v>
      </c>
      <c r="MC412" s="5">
        <f>MIN(1,MAX(0,$MB$26-($A412-1)))</f>
        <v>0</v>
      </c>
      <c r="MD412" s="5">
        <f>$MB$25*(MC412+(1-MC412)*$MB$16)</f>
        <v>0.0</v>
      </c>
      <c r="ME412" s="13">
        <f>MD412*($MB$6+ACUTE_MARGIN)</f>
        <v>0.0</v>
      </c>
      <c r="MF412" s="13">
        <f>IF(MB412=1,$MB$31,$MB$32)</f>
        <v>152394.16214437486</v>
      </c>
      <c r="MG412" s="13">
        <f>ME412-MF412</f>
        <v>-152394.16214437486</v>
      </c>
      <c r="MH412" s="13">
        <f>MH411+MG412</f>
        <v>-17795984.779025283</v>
      </c>
      <c r="MI412">
        <f>IF(MH412=MAX($MH$83:$MH$483),$A412,0)</f>
        <v>0</v>
      </c>
      <c r="MJ412">
        <f>IF(ME412&lt;MF412,$A412,B_MAX+1)</f>
        <v>329</v>
      </c>
      <c r="MK412" s="13">
        <f>IF(MB412=1,$MB$35,$MB$36)</f>
        <v>0</v>
      </c>
      <c r="ML412" s="13">
        <f>OCC_DAYS*$MB$41*R_NF_2023-MD412*MCD_SHARE_FREED*R_WAIT_2023</f>
        <v>151980.48282209205</v>
      </c>
      <c r="MM412">
        <f>IF($A412&lt;=$MB$45,1,0)</f>
        <v>0</v>
      </c>
      <c r="NB412">
        <f>IF($NB$31&lt;=$NB$32,IF($A412&lt;=$NB$7,1,2),IF($A412&lt;=RUNG_BEDS_2,2,1))</f>
        <v>1</v>
      </c>
      <c r="NC412" s="5">
        <f>MIN(1,MAX(0,$NB$26-($A412-1)))</f>
        <v>0</v>
      </c>
      <c r="ND412" s="5">
        <f>$NB$25*(NC412+(1-NC412)*$NB$16)</f>
        <v>63.013306786703595</v>
      </c>
      <c r="NE412" s="13">
        <f>ND412*($NB$6+ACUTE_MARGIN)</f>
        <v>63643.43985457063</v>
      </c>
      <c r="NF412" s="13">
        <f>IF(NB412=1,$NB$31,$NB$32)</f>
        <v>152394.16214437486</v>
      </c>
      <c r="NG412" s="13">
        <f>NE412-NF412</f>
        <v>-88750.72228980422</v>
      </c>
      <c r="NH412" s="13">
        <f>NH411+NG412</f>
        <v>-527259.6621413664</v>
      </c>
      <c r="NI412">
        <f>IF(NH412=MAX($NH$83:$NH$483),$A412,0)</f>
        <v>0</v>
      </c>
      <c r="NJ412">
        <f>IF(NE412&lt;NF412,$A412,B_MAX+1)</f>
        <v>329</v>
      </c>
      <c r="NK412" s="13">
        <f>IF(NB412=1,$NB$35,$NB$36)</f>
        <v>0</v>
      </c>
      <c r="NL412" s="13">
        <f>OCC_DAYS*$NB$41*R_NF_2023-ND412*MCD_SHARE_FREED*R_WAIT_2023</f>
        <v>123327.15192717595</v>
      </c>
      <c r="NM412">
        <f>IF($A412&lt;=$NB$45,1,0)</f>
        <v>0</v>
      </c>
      <c r="OB412">
        <f>IF($OB$31&lt;=$OB$32,IF($A412&lt;=$OB$7,1,2),IF($A412&lt;=RUNG_BEDS_2,2,1))</f>
        <v>1</v>
      </c>
      <c r="OC412" s="5">
        <f>MIN(1,MAX(0,$OB$26-($A412-1)))</f>
        <v>0</v>
      </c>
      <c r="OD412" s="5">
        <f>$OB$25*(OC412+(1-OC412)*$OB$16)</f>
        <v>126.02661357340719</v>
      </c>
      <c r="OE412" s="13">
        <f>OD412*($OB$6+ACUTE_MARGIN)</f>
        <v>127286.87970914126</v>
      </c>
      <c r="OF412" s="13">
        <f>IF(OB412=1,$OB$31,$OB$32)</f>
        <v>152394.16214437486</v>
      </c>
      <c r="OG412" s="13">
        <f>OE412-OF412</f>
        <v>-25107.282435233603</v>
      </c>
      <c r="OH412" s="13">
        <f>OH411+OG412</f>
        <v>10854189.392944476</v>
      </c>
      <c r="OI412">
        <f>IF(OH412=MAX($OH$83:$OH$483),$A412,0)</f>
        <v>0</v>
      </c>
      <c r="OJ412">
        <f>IF(OE412&lt;OF412,$A412,B_MAX+1)</f>
        <v>329</v>
      </c>
      <c r="OK412" s="13">
        <f>IF(OB412=1,$OB$35,$OB$36)</f>
        <v>0</v>
      </c>
      <c r="OL412" s="13">
        <f>OCC_DAYS*$OB$41*R_NF_2023-OD412*MCD_SHARE_FREED*R_WAIT_2023</f>
        <v>94673.82103225985</v>
      </c>
      <c r="OM412">
        <f>IF($A412&lt;=$OB$45,1,0)</f>
        <v>0</v>
      </c>
    </row>
    <row r="413">
      <c r="A413" t="n">
        <v>330</v>
      </c>
      <c r="B413">
        <f>IF($B$31&lt;=$B$32,IF($A413&lt;=$B$7,1,2),IF($A413&lt;=RUNG_BEDS_2,2,1))</f>
        <v>1</v>
      </c>
      <c r="C413" s="5">
        <f>MIN(1,MAX(0,$B$26-($A413-1)))</f>
        <v>0</v>
      </c>
      <c r="D413" s="5">
        <f>$B$25*(C413+(1-C413)*$B$16)</f>
        <v>0.0</v>
      </c>
      <c r="E413" s="13">
        <f>D413*($B$6+ACUTE_MARGIN)</f>
        <v>0.0</v>
      </c>
      <c r="F413" s="13">
        <f>IF(B413=1,$B$31,$B$32)</f>
        <v>152394.16214437486</v>
      </c>
      <c r="G413" s="13">
        <f>E413-F413</f>
        <v>-152394.16214437486</v>
      </c>
      <c r="H413" s="13">
        <f>H412+G413</f>
        <v>-12061102.879371356</v>
      </c>
      <c r="I413">
        <f>IF(H413=MAX($H$83:$H$483),$A413,0)</f>
        <v>0</v>
      </c>
      <c r="J413">
        <f>IF(E413&lt;F413,$A413,B_MAX+1)</f>
        <v>330</v>
      </c>
      <c r="K413" s="13">
        <f>IF(B413=1,$B$35,$B$36)</f>
        <v>0</v>
      </c>
      <c r="L413" s="13">
        <f>OCC_DAYS*$B$41*R_NF_2023-D413*MCD_SHARE_FREED*R_WAIT_2023</f>
        <v>151980.48282209205</v>
      </c>
      <c r="M413">
        <f>IF($A413&lt;=$B$45,1,0)</f>
        <v>0</v>
      </c>
      <c r="AB413">
        <f>IF($AB$31&lt;=$AB$32,IF($A413&lt;=$AB$7,1,2),IF($A413&lt;=RUNG_BEDS_2,2,1))</f>
        <v>1</v>
      </c>
      <c r="AC413" s="5">
        <f>MIN(1,MAX(0,$AB$26-($A413-1)))</f>
        <v>0</v>
      </c>
      <c r="AD413" s="5">
        <f>$AB$25*(AC413+(1-AC413)*$AB$16)</f>
        <v>0.0</v>
      </c>
      <c r="AE413" s="13">
        <f>AD413*($AB$6+ACUTE_MARGIN)</f>
        <v>0.0</v>
      </c>
      <c r="AF413" s="13">
        <f>IF(AB413=1,$AB$31,$AB$32)</f>
        <v>152394.16214437486</v>
      </c>
      <c r="AG413" s="13">
        <f>AE413-AF413</f>
        <v>-152394.16214437486</v>
      </c>
      <c r="AH413" s="13">
        <f>AH412+AG413</f>
        <v>-29472317.224921092</v>
      </c>
      <c r="AI413">
        <f>IF(AH413=MAX($AH$83:$AH$483),$A413,0)</f>
        <v>0</v>
      </c>
      <c r="AJ413">
        <f>IF(AE413&lt;AF413,$A413,B_MAX+1)</f>
        <v>330</v>
      </c>
      <c r="AK413" s="13">
        <f>IF(AB413=1,$AB$35,$AB$36)</f>
        <v>0</v>
      </c>
      <c r="AL413" s="13">
        <f>OCC_DAYS*$AB$41*R_NF_2023-AD413*MCD_SHARE_FREED*R_WAIT_2023</f>
        <v>151980.48282209205</v>
      </c>
      <c r="AM413">
        <f>IF($A413&lt;=$AB$45,1,0)</f>
        <v>0</v>
      </c>
      <c r="BB413">
        <f>IF($BB$31&lt;=$BB$32,IF($A413&lt;=$BB$7,1,2),IF($A413&lt;=RUNG_BEDS_2,2,1))</f>
        <v>1</v>
      </c>
      <c r="BC413" s="5">
        <f>MIN(1,MAX(0,$BB$26-($A413-1)))</f>
        <v>0</v>
      </c>
      <c r="BD413" s="5">
        <f>$BB$25*(BC413+(1-BC413)*$BB$16)</f>
        <v>0.0</v>
      </c>
      <c r="BE413" s="13">
        <f>BD413*($BB$6+ACUTE_MARGIN)</f>
        <v>0.0</v>
      </c>
      <c r="BF413" s="13">
        <f>IF(BB413=1,$BB$31,$BB$32)</f>
        <v>152394.16214437486</v>
      </c>
      <c r="BG413" s="13">
        <f>BE413-BF413</f>
        <v>-152394.16214437486</v>
      </c>
      <c r="BH413" s="13">
        <f>BH412+BG413</f>
        <v>5350111.466178384</v>
      </c>
      <c r="BI413">
        <f>IF(BH413=MAX($BH$83:$BH$483),$A413,0)</f>
        <v>0</v>
      </c>
      <c r="BJ413">
        <f>IF(BE413&lt;BF413,$A413,B_MAX+1)</f>
        <v>330</v>
      </c>
      <c r="BK413" s="13">
        <f>IF(BB413=1,$BB$35,$BB$36)</f>
        <v>0</v>
      </c>
      <c r="BL413" s="13">
        <f>OCC_DAYS*$BB$41*R_NF_2023-BD413*MCD_SHARE_FREED*R_WAIT_2023</f>
        <v>151980.48282209205</v>
      </c>
      <c r="BM413">
        <f>IF($A413&lt;=$BB$45,1,0)</f>
        <v>0</v>
      </c>
      <c r="CB413">
        <f>IF($CB$31&lt;=$CB$32,IF($A413&lt;=$CB$7,1,2),IF($A413&lt;=RUNG_BEDS_2,2,1))</f>
        <v>2</v>
      </c>
      <c r="CC413" s="5">
        <f>MIN(1,MAX(0,$CB$26-($A413-1)))</f>
        <v>0</v>
      </c>
      <c r="CD413" s="5">
        <f>$CB$25*(CC413+(1-CC413)*$CB$16)</f>
        <v>0.0</v>
      </c>
      <c r="CE413" s="13">
        <f>CD413*($CB$6+ACUTE_MARGIN)</f>
        <v>0.0</v>
      </c>
      <c r="CF413" s="13">
        <f>IF(CB413=1,$CB$31,$CB$32)</f>
        <v>160718.36940738867</v>
      </c>
      <c r="CG413" s="13">
        <f>CE413-CF413</f>
        <v>-160718.36940738867</v>
      </c>
      <c r="CH413" s="13">
        <f>CH412+CG413</f>
        <v>-14808091.27616606</v>
      </c>
      <c r="CI413">
        <f>IF(CH413=MAX($CH$83:$CH$483),$A413,0)</f>
        <v>0</v>
      </c>
      <c r="CJ413">
        <f>IF(CE413&lt;CF413,$A413,B_MAX+1)</f>
        <v>330</v>
      </c>
      <c r="CK413" s="13">
        <f>IF(CB413=1,$CB$35,$CB$36)</f>
        <v>1560.1194073886782</v>
      </c>
      <c r="CL413" s="13">
        <f>OCC_DAYS*$CB$41*R_NF_2023-CD413*MCD_SHARE_FREED*R_WAIT_2023</f>
        <v>151980.48282209205</v>
      </c>
      <c r="CM413">
        <f>IF($A413&lt;=$CB$45,1,0)</f>
        <v>0</v>
      </c>
      <c r="DB413">
        <f>IF($DB$31&lt;=$DB$32,IF($A413&lt;=$DB$7,1,2),IF($A413&lt;=RUNG_BEDS_2,2,1))</f>
        <v>1</v>
      </c>
      <c r="DC413" s="5">
        <f>MIN(1,MAX(0,$DB$26-($A413-1)))</f>
        <v>0</v>
      </c>
      <c r="DD413" s="5">
        <f>$DB$25*(DC413+(1-DC413)*$DB$16)</f>
        <v>0.0</v>
      </c>
      <c r="DE413" s="13">
        <f>DD413*($DB$6+ACUTE_MARGIN)</f>
        <v>0.0</v>
      </c>
      <c r="DF413" s="13">
        <f>IF(DB413=1,$DB$31,$DB$32)</f>
        <v>152394.16214437486</v>
      </c>
      <c r="DG413" s="13">
        <f>DE413-DF413</f>
        <v>-152394.16214437486</v>
      </c>
      <c r="DH413" s="13">
        <f>DH412+DG413</f>
        <v>-12061102.879371356</v>
      </c>
      <c r="DI413">
        <f>IF(DH413=MAX($DH$83:$DH$483),$A413,0)</f>
        <v>0</v>
      </c>
      <c r="DJ413">
        <f>IF(DE413&lt;DF413,$A413,B_MAX+1)</f>
        <v>330</v>
      </c>
      <c r="DK413" s="13">
        <f>IF(DB413=1,$DB$35,$DB$36)</f>
        <v>0</v>
      </c>
      <c r="DL413" s="13">
        <f>OCC_DAYS*$DB$41*R_NF_2023-DD413*MCD_SHARE_FREED*R_WAIT_2023</f>
        <v>151980.48282209205</v>
      </c>
      <c r="DM413">
        <f>IF($A413&lt;=$DB$45,1,0)</f>
        <v>0</v>
      </c>
      <c r="EB413">
        <f>IF($EB$31&lt;=$EB$32,IF($A413&lt;=$EB$7,1,2),IF($A413&lt;=RUNG_BEDS_2,2,1))</f>
        <v>1</v>
      </c>
      <c r="EC413" s="5">
        <f>MIN(1,MAX(0,$EB$26-($A413-1)))</f>
        <v>0</v>
      </c>
      <c r="ED413" s="5">
        <f>$EB$25*(EC413+(1-EC413)*$EB$16)</f>
        <v>0.0</v>
      </c>
      <c r="EE413" s="13">
        <f>ED413*($EB$6+ACUTE_MARGIN)</f>
        <v>0.0</v>
      </c>
      <c r="EF413" s="13">
        <f>IF(EB413=1,$EB$31,$EB$32)</f>
        <v>152394.16214437486</v>
      </c>
      <c r="EG413" s="13">
        <f>EE413-EF413</f>
        <v>-152394.16214437486</v>
      </c>
      <c r="EH413" s="13">
        <f>EH412+EG413</f>
        <v>-12061102.879371356</v>
      </c>
      <c r="EI413">
        <f>IF(EH413=MAX($EH$83:$EH$483),$A413,0)</f>
        <v>0</v>
      </c>
      <c r="EJ413">
        <f>IF(EE413&lt;EF413,$A413,B_MAX+1)</f>
        <v>330</v>
      </c>
      <c r="EK413" s="13">
        <f>IF(EB413=1,$EB$35,$EB$36)</f>
        <v>0</v>
      </c>
      <c r="EL413" s="13">
        <f>OCC_DAYS*$EB$41*R_NF_2023-ED413*MCD_SHARE_FREED*R_WAIT_2023</f>
        <v>50660.16094069735</v>
      </c>
      <c r="EM413">
        <f>IF($A413&lt;=$EB$45,1,0)</f>
        <v>0</v>
      </c>
      <c r="FB413">
        <f>IF($FB$31&lt;=$FB$32,IF($A413&lt;=$FB$7,1,2),IF($A413&lt;=RUNG_BEDS_2,2,1))</f>
        <v>1</v>
      </c>
      <c r="FC413" s="5">
        <f>MIN(1,MAX(0,$FB$26-($A413-1)))</f>
        <v>0</v>
      </c>
      <c r="FD413" s="5">
        <f>$FB$25*(FC413+(1-FC413)*$FB$16)</f>
        <v>0.0</v>
      </c>
      <c r="FE413" s="13">
        <f>FD413*($FB$6+ACUTE_MARGIN)</f>
        <v>0.0</v>
      </c>
      <c r="FF413" s="13">
        <f>IF(FB413=1,$FB$31,$FB$32)</f>
        <v>156636.04979437485</v>
      </c>
      <c r="FG413" s="13">
        <f>FE413-FF413</f>
        <v>-156636.04979437485</v>
      </c>
      <c r="FH413" s="13">
        <f>FH412+FG413</f>
        <v>-13460925.80387146</v>
      </c>
      <c r="FI413">
        <f>IF(FH413=MAX($FH$83:$FH$483),$A413,0)</f>
        <v>0</v>
      </c>
      <c r="FJ413">
        <f>IF(FE413&lt;FF413,$A413,B_MAX+1)</f>
        <v>330</v>
      </c>
      <c r="FK413" s="13">
        <f>IF(FB413=1,$FB$35,$FB$36)</f>
        <v>0</v>
      </c>
      <c r="FL413" s="13">
        <f>OCC_DAYS*$FB$41*R_NF_2023-FD413*MCD_SHARE_FREED*R_WAIT_2023</f>
        <v>151980.48282209205</v>
      </c>
      <c r="FM413">
        <f>IF($A413&lt;=$FB$45,1,0)</f>
        <v>0</v>
      </c>
      <c r="GB413">
        <f>IF($GB$31&lt;=$GB$32,IF($A413&lt;=$GB$7,1,2),IF($A413&lt;=RUNG_BEDS_2,2,1))</f>
        <v>1</v>
      </c>
      <c r="GC413" s="5">
        <f>MIN(1,MAX(0,$GB$26-($A413-1)))</f>
        <v>0</v>
      </c>
      <c r="GD413" s="5">
        <f>$GB$25*(GC413+(1-GC413)*$GB$16)</f>
        <v>0.0</v>
      </c>
      <c r="GE413" s="13">
        <f>GD413*($GB$6+ACUTE_MARGIN)</f>
        <v>0.0</v>
      </c>
      <c r="GF413" s="13">
        <f>IF(GB413=1,$GB$31,$GB$32)</f>
        <v>152394.16214437486</v>
      </c>
      <c r="GG413" s="13">
        <f>GE413-GF413</f>
        <v>-152394.16214437486</v>
      </c>
      <c r="GH413" s="13">
        <f>GH412+GG413</f>
        <v>-12061102.879371356</v>
      </c>
      <c r="GI413">
        <f>IF(GH413=MAX($GH$83:$GH$483),$A413,0)</f>
        <v>0</v>
      </c>
      <c r="GJ413">
        <f>IF(GE413&lt;GF413,$A413,B_MAX+1)</f>
        <v>330</v>
      </c>
      <c r="GK413" s="13">
        <f>IF(GB413=1,$GB$35,$GB$36)</f>
        <v>0</v>
      </c>
      <c r="GL413" s="13">
        <f>OCC_DAYS*$GB$41*R_NF_2023-GD413*MCD_SHARE_FREED*R_WAIT_2023</f>
        <v>151980.48282209205</v>
      </c>
      <c r="GM413">
        <f>IF($A413&lt;=$GB$45,1,0)</f>
        <v>0</v>
      </c>
      <c r="HB413">
        <f>IF($HB$31&lt;=$HB$32,IF($A413&lt;=$HB$7,1,2),IF($A413&lt;=RUNG_BEDS_2,2,1))</f>
        <v>1</v>
      </c>
      <c r="HC413" s="5">
        <f>MIN(1,MAX(0,$HB$26-($A413-1)))</f>
        <v>0</v>
      </c>
      <c r="HD413" s="5">
        <f>$HB$25*(HC413+(1-HC413)*$HB$16)</f>
        <v>0.0</v>
      </c>
      <c r="HE413" s="13">
        <f>HD413*($HB$6+ACUTE_MARGIN)</f>
        <v>0.0</v>
      </c>
      <c r="HF413" s="13">
        <f>IF(HB413=1,$HB$31,$HB$32)</f>
        <v>152456.2970814058</v>
      </c>
      <c r="HG413" s="13">
        <f>HE413-HF413</f>
        <v>-152456.2970814058</v>
      </c>
      <c r="HH413" s="13">
        <f>HH412+HG413</f>
        <v>-12081607.408591617</v>
      </c>
      <c r="HI413">
        <f>IF(HH413=MAX($HH$83:$HH$483),$A413,0)</f>
        <v>0</v>
      </c>
      <c r="HJ413">
        <f>IF(HE413&lt;HF413,$A413,B_MAX+1)</f>
        <v>330</v>
      </c>
      <c r="HK413" s="13">
        <f>IF(HB413=1,$HB$35,$HB$36)</f>
        <v>0</v>
      </c>
      <c r="HL413" s="13">
        <f>OCC_DAYS*$HB$41*R_NF_2023-HD413*MCD_SHARE_FREED*R_WAIT_2023</f>
        <v>151980.48282209205</v>
      </c>
      <c r="HM413">
        <f>IF($A413&lt;=$HB$45,1,0)</f>
        <v>0</v>
      </c>
      <c r="IB413">
        <f>IF($IB$31&lt;=$IB$32,IF($A413&lt;=$IB$7,1,2),IF($A413&lt;=RUNG_BEDS_2,2,1))</f>
        <v>1</v>
      </c>
      <c r="IC413" s="5">
        <f>MIN(1,MAX(0,$IB$26-($A413-1)))</f>
        <v>0</v>
      </c>
      <c r="ID413" s="5">
        <f>$IB$25*(IC413+(1-IC413)*$IB$16)</f>
        <v>0.0</v>
      </c>
      <c r="IE413" s="13">
        <f>ID413*($IB$6+ACUTE_MARGIN)</f>
        <v>0.0</v>
      </c>
      <c r="IF413" s="13">
        <f>IF(IB413=1,$IB$31,$IB$32)</f>
        <v>152734.9994534971</v>
      </c>
      <c r="IG413" s="13">
        <f>IE413-IF413</f>
        <v>-152734.9994534971</v>
      </c>
      <c r="IH413" s="13">
        <f>IH412+IG413</f>
        <v>-12173579.191381779</v>
      </c>
      <c r="II413">
        <f>IF(IH413=MAX($IH$83:$IH$483),$A413,0)</f>
        <v>0</v>
      </c>
      <c r="IJ413">
        <f>IF(IE413&lt;IF413,$A413,B_MAX+1)</f>
        <v>330</v>
      </c>
      <c r="IK413" s="13">
        <f>IF(IB413=1,$IB$35,$IB$36)</f>
        <v>0</v>
      </c>
      <c r="IL413" s="13">
        <f>OCC_DAYS*$IB$41*R_NF_2023-ID413*MCD_SHARE_FREED*R_WAIT_2023</f>
        <v>151980.48282209205</v>
      </c>
      <c r="IM413">
        <f>IF($A413&lt;=$IB$45,1,0)</f>
        <v>0</v>
      </c>
      <c r="JB413">
        <f>IF($JB$31&lt;=$JB$32,IF($A413&lt;=$JB$7,1,2),IF($A413&lt;=RUNG_BEDS_2,2,1))</f>
        <v>1</v>
      </c>
      <c r="JC413" s="5">
        <f>MIN(1,MAX(0,$JB$26-($A413-1)))</f>
        <v>0</v>
      </c>
      <c r="JD413" s="5">
        <f>$JB$25*(JC413+(1-JC413)*$JB$16)</f>
        <v>0.0</v>
      </c>
      <c r="JE413" s="13">
        <f>JD413*($JB$6+ACUTE_MARGIN)</f>
        <v>0.0</v>
      </c>
      <c r="JF413" s="13">
        <f>IF(JB413=1,$JB$31,$JB$32)</f>
        <v>152394.16214437486</v>
      </c>
      <c r="JG413" s="13">
        <f>JE413-JF413</f>
        <v>-152394.16214437486</v>
      </c>
      <c r="JH413" s="13">
        <f>JH412+JG413</f>
        <v>-12061102.879371356</v>
      </c>
      <c r="JI413">
        <f>IF(JH413=MAX($JH$83:$JH$483),$A413,0)</f>
        <v>0</v>
      </c>
      <c r="JJ413">
        <f>IF(JE413&lt;JF413,$A413,B_MAX+1)</f>
        <v>330</v>
      </c>
      <c r="JK413" s="13">
        <f>IF(JB413=1,$JB$35,$JB$36)</f>
        <v>0</v>
      </c>
      <c r="JL413" s="13">
        <f>OCC_DAYS*$JB$41*R_NF_2023-JD413*MCD_SHARE_FREED*R_WAIT_2023</f>
        <v>151980.48282209205</v>
      </c>
      <c r="JM413">
        <f>IF($A413&lt;=$JB$45,1,0)</f>
        <v>0</v>
      </c>
      <c r="KB413">
        <f>IF($KB$31&lt;=$KB$32,IF($A413&lt;=$KB$7,1,2),IF($A413&lt;=RUNG_BEDS_2,2,1))</f>
        <v>1</v>
      </c>
      <c r="KC413" s="5">
        <f>MIN(1,MAX(0,$KB$26-($A413-1)))</f>
        <v>0</v>
      </c>
      <c r="KD413" s="5">
        <f>$KB$25*(KC413+(1-KC413)*$KB$16)</f>
        <v>0.0</v>
      </c>
      <c r="KE413" s="13">
        <f>KD413*($KB$6+ACUTE_MARGIN)</f>
        <v>0.0</v>
      </c>
      <c r="KF413" s="13">
        <f>IF(KB413=1,$KB$31,$KB$32)</f>
        <v>152394.16214437486</v>
      </c>
      <c r="KG413" s="13">
        <f>KE413-KF413</f>
        <v>-152394.16214437486</v>
      </c>
      <c r="KH413" s="13">
        <f>KH412+KG413</f>
        <v>-12061102.879371462</v>
      </c>
      <c r="KI413">
        <f>IF(KH413=MAX($KH$83:$KH$483),$A413,0)</f>
        <v>0</v>
      </c>
      <c r="KJ413">
        <f>IF(KE413&lt;KF413,$A413,B_MAX+1)</f>
        <v>330</v>
      </c>
      <c r="KK413" s="13">
        <f>IF(KB413=1,$KB$35,$KB$36)</f>
        <v>0</v>
      </c>
      <c r="KL413" s="13">
        <f>OCC_DAYS*$KB$41*R_NF_2023-KD413*MCD_SHARE_FREED*R_WAIT_2023</f>
        <v>151980.48282209205</v>
      </c>
      <c r="KM413">
        <f>IF($A413&lt;=$KB$45,1,0)</f>
        <v>0</v>
      </c>
      <c r="LB413">
        <f>IF($LB$31&lt;=$LB$32,IF($A413&lt;=$LB$7,1,2),IF($A413&lt;=RUNG_BEDS_2,2,1))</f>
        <v>1</v>
      </c>
      <c r="LC413" s="5">
        <f>MIN(1,MAX(0,$LB$26-($A413-1)))</f>
        <v>1</v>
      </c>
      <c r="LD413" s="5">
        <f>$LB$25*(LC413+(1-LC413)*$LB$16)</f>
        <v>84.01774238227146</v>
      </c>
      <c r="LE413" s="13">
        <f>LD413*($LB$6+ACUTE_MARGIN)</f>
        <v>84857.91980609419</v>
      </c>
      <c r="LF413" s="13">
        <f>IF(LB413=1,$LB$31,$LB$32)</f>
        <v>152394.16214437486</v>
      </c>
      <c r="LG413" s="13">
        <f>LE413-LF413</f>
        <v>-67536.24233828067</v>
      </c>
      <c r="LH413" s="13">
        <f>LH412+LG413</f>
        <v>-22286959.97163274</v>
      </c>
      <c r="LI413">
        <f>IF(LH413=MAX($LH$83:$LH$483),$A413,0)</f>
        <v>0</v>
      </c>
      <c r="LJ413">
        <f>IF(LE413&lt;LF413,$A413,B_MAX+1)</f>
        <v>330</v>
      </c>
      <c r="LK413" s="13">
        <f>IF(LB413=1,$LB$35,$LB$36)</f>
        <v>0</v>
      </c>
      <c r="LL413" s="13">
        <f>OCC_DAYS*$LB$41*R_NF_2023-LD413*MCD_SHARE_FREED*R_WAIT_2023</f>
        <v>113776.04162887059</v>
      </c>
      <c r="LM413">
        <f>IF($A413&lt;=$LB$45,1,0)</f>
        <v>0</v>
      </c>
      <c r="MB413">
        <f>IF($MB$31&lt;=$MB$32,IF($A413&lt;=$MB$7,1,2),IF($A413&lt;=RUNG_BEDS_2,2,1))</f>
        <v>1</v>
      </c>
      <c r="MC413" s="5">
        <f>MIN(1,MAX(0,$MB$26-($A413-1)))</f>
        <v>0</v>
      </c>
      <c r="MD413" s="5">
        <f>$MB$25*(MC413+(1-MC413)*$MB$16)</f>
        <v>0.0</v>
      </c>
      <c r="ME413" s="13">
        <f>MD413*($MB$6+ACUTE_MARGIN)</f>
        <v>0.0</v>
      </c>
      <c r="MF413" s="13">
        <f>IF(MB413=1,$MB$31,$MB$32)</f>
        <v>152394.16214437486</v>
      </c>
      <c r="MG413" s="13">
        <f>ME413-MF413</f>
        <v>-152394.16214437486</v>
      </c>
      <c r="MH413" s="13">
        <f>MH412+MG413</f>
        <v>-17948378.941169657</v>
      </c>
      <c r="MI413">
        <f>IF(MH413=MAX($MH$83:$MH$483),$A413,0)</f>
        <v>0</v>
      </c>
      <c r="MJ413">
        <f>IF(ME413&lt;MF413,$A413,B_MAX+1)</f>
        <v>330</v>
      </c>
      <c r="MK413" s="13">
        <f>IF(MB413=1,$MB$35,$MB$36)</f>
        <v>0</v>
      </c>
      <c r="ML413" s="13">
        <f>OCC_DAYS*$MB$41*R_NF_2023-MD413*MCD_SHARE_FREED*R_WAIT_2023</f>
        <v>151980.48282209205</v>
      </c>
      <c r="MM413">
        <f>IF($A413&lt;=$MB$45,1,0)</f>
        <v>0</v>
      </c>
      <c r="NB413">
        <f>IF($NB$31&lt;=$NB$32,IF($A413&lt;=$NB$7,1,2),IF($A413&lt;=RUNG_BEDS_2,2,1))</f>
        <v>1</v>
      </c>
      <c r="NC413" s="5">
        <f>MIN(1,MAX(0,$NB$26-($A413-1)))</f>
        <v>0</v>
      </c>
      <c r="ND413" s="5">
        <f>$NB$25*(NC413+(1-NC413)*$NB$16)</f>
        <v>63.013306786703595</v>
      </c>
      <c r="NE413" s="13">
        <f>ND413*($NB$6+ACUTE_MARGIN)</f>
        <v>63643.43985457063</v>
      </c>
      <c r="NF413" s="13">
        <f>IF(NB413=1,$NB$31,$NB$32)</f>
        <v>152394.16214437486</v>
      </c>
      <c r="NG413" s="13">
        <f>NE413-NF413</f>
        <v>-88750.72228980422</v>
      </c>
      <c r="NH413" s="13">
        <f>NH412+NG413</f>
        <v>-616010.3844311706</v>
      </c>
      <c r="NI413">
        <f>IF(NH413=MAX($NH$83:$NH$483),$A413,0)</f>
        <v>0</v>
      </c>
      <c r="NJ413">
        <f>IF(NE413&lt;NF413,$A413,B_MAX+1)</f>
        <v>330</v>
      </c>
      <c r="NK413" s="13">
        <f>IF(NB413=1,$NB$35,$NB$36)</f>
        <v>0</v>
      </c>
      <c r="NL413" s="13">
        <f>OCC_DAYS*$NB$41*R_NF_2023-ND413*MCD_SHARE_FREED*R_WAIT_2023</f>
        <v>123327.15192717595</v>
      </c>
      <c r="NM413">
        <f>IF($A413&lt;=$NB$45,1,0)</f>
        <v>0</v>
      </c>
      <c r="OB413">
        <f>IF($OB$31&lt;=$OB$32,IF($A413&lt;=$OB$7,1,2),IF($A413&lt;=RUNG_BEDS_2,2,1))</f>
        <v>1</v>
      </c>
      <c r="OC413" s="5">
        <f>MIN(1,MAX(0,$OB$26-($A413-1)))</f>
        <v>0</v>
      </c>
      <c r="OD413" s="5">
        <f>$OB$25*(OC413+(1-OC413)*$OB$16)</f>
        <v>126.02661357340719</v>
      </c>
      <c r="OE413" s="13">
        <f>OD413*($OB$6+ACUTE_MARGIN)</f>
        <v>127286.87970914126</v>
      </c>
      <c r="OF413" s="13">
        <f>IF(OB413=1,$OB$31,$OB$32)</f>
        <v>152394.16214437486</v>
      </c>
      <c r="OG413" s="13">
        <f>OE413-OF413</f>
        <v>-25107.282435233603</v>
      </c>
      <c r="OH413" s="13">
        <f>OH412+OG413</f>
        <v>10829082.110509243</v>
      </c>
      <c r="OI413">
        <f>IF(OH413=MAX($OH$83:$OH$483),$A413,0)</f>
        <v>0</v>
      </c>
      <c r="OJ413">
        <f>IF(OE413&lt;OF413,$A413,B_MAX+1)</f>
        <v>330</v>
      </c>
      <c r="OK413" s="13">
        <f>IF(OB413=1,$OB$35,$OB$36)</f>
        <v>0</v>
      </c>
      <c r="OL413" s="13">
        <f>OCC_DAYS*$OB$41*R_NF_2023-OD413*MCD_SHARE_FREED*R_WAIT_2023</f>
        <v>94673.82103225985</v>
      </c>
      <c r="OM413">
        <f>IF($A413&lt;=$OB$45,1,0)</f>
        <v>0</v>
      </c>
    </row>
    <row r="414">
      <c r="A414" t="n">
        <v>331</v>
      </c>
      <c r="B414">
        <f>IF($B$31&lt;=$B$32,IF($A414&lt;=$B$7,1,2),IF($A414&lt;=RUNG_BEDS_2,2,1))</f>
        <v>1</v>
      </c>
      <c r="C414" s="5">
        <f>MIN(1,MAX(0,$B$26-($A414-1)))</f>
        <v>0</v>
      </c>
      <c r="D414" s="5">
        <f>$B$25*(C414+(1-C414)*$B$16)</f>
        <v>0.0</v>
      </c>
      <c r="E414" s="13">
        <f>D414*($B$6+ACUTE_MARGIN)</f>
        <v>0.0</v>
      </c>
      <c r="F414" s="13">
        <f>IF(B414=1,$B$31,$B$32)</f>
        <v>152394.16214437486</v>
      </c>
      <c r="G414" s="13">
        <f>E414-F414</f>
        <v>-152394.16214437486</v>
      </c>
      <c r="H414" s="13">
        <f>H413+G414</f>
        <v>-12213497.04151573</v>
      </c>
      <c r="I414">
        <f>IF(H414=MAX($H$83:$H$483),$A414,0)</f>
        <v>0</v>
      </c>
      <c r="J414">
        <f>IF(E414&lt;F414,$A414,B_MAX+1)</f>
        <v>331</v>
      </c>
      <c r="K414" s="13">
        <f>IF(B414=1,$B$35,$B$36)</f>
        <v>0</v>
      </c>
      <c r="L414" s="13">
        <f>OCC_DAYS*$B$41*R_NF_2023-D414*MCD_SHARE_FREED*R_WAIT_2023</f>
        <v>151980.48282209205</v>
      </c>
      <c r="M414">
        <f>IF($A414&lt;=$B$45,1,0)</f>
        <v>0</v>
      </c>
      <c r="AB414">
        <f>IF($AB$31&lt;=$AB$32,IF($A414&lt;=$AB$7,1,2),IF($A414&lt;=RUNG_BEDS_2,2,1))</f>
        <v>1</v>
      </c>
      <c r="AC414" s="5">
        <f>MIN(1,MAX(0,$AB$26-($A414-1)))</f>
        <v>0</v>
      </c>
      <c r="AD414" s="5">
        <f>$AB$25*(AC414+(1-AC414)*$AB$16)</f>
        <v>0.0</v>
      </c>
      <c r="AE414" s="13">
        <f>AD414*($AB$6+ACUTE_MARGIN)</f>
        <v>0.0</v>
      </c>
      <c r="AF414" s="13">
        <f>IF(AB414=1,$AB$31,$AB$32)</f>
        <v>152394.16214437486</v>
      </c>
      <c r="AG414" s="13">
        <f>AE414-AF414</f>
        <v>-152394.16214437486</v>
      </c>
      <c r="AH414" s="13">
        <f>AH413+AG414</f>
        <v>-29624711.387065466</v>
      </c>
      <c r="AI414">
        <f>IF(AH414=MAX($AH$83:$AH$483),$A414,0)</f>
        <v>0</v>
      </c>
      <c r="AJ414">
        <f>IF(AE414&lt;AF414,$A414,B_MAX+1)</f>
        <v>331</v>
      </c>
      <c r="AK414" s="13">
        <f>IF(AB414=1,$AB$35,$AB$36)</f>
        <v>0</v>
      </c>
      <c r="AL414" s="13">
        <f>OCC_DAYS*$AB$41*R_NF_2023-AD414*MCD_SHARE_FREED*R_WAIT_2023</f>
        <v>151980.48282209205</v>
      </c>
      <c r="AM414">
        <f>IF($A414&lt;=$AB$45,1,0)</f>
        <v>0</v>
      </c>
      <c r="BB414">
        <f>IF($BB$31&lt;=$BB$32,IF($A414&lt;=$BB$7,1,2),IF($A414&lt;=RUNG_BEDS_2,2,1))</f>
        <v>1</v>
      </c>
      <c r="BC414" s="5">
        <f>MIN(1,MAX(0,$BB$26-($A414-1)))</f>
        <v>0</v>
      </c>
      <c r="BD414" s="5">
        <f>$BB$25*(BC414+(1-BC414)*$BB$16)</f>
        <v>0.0</v>
      </c>
      <c r="BE414" s="13">
        <f>BD414*($BB$6+ACUTE_MARGIN)</f>
        <v>0.0</v>
      </c>
      <c r="BF414" s="13">
        <f>IF(BB414=1,$BB$31,$BB$32)</f>
        <v>152394.16214437486</v>
      </c>
      <c r="BG414" s="13">
        <f>BE414-BF414</f>
        <v>-152394.16214437486</v>
      </c>
      <c r="BH414" s="13">
        <f>BH413+BG414</f>
        <v>5197717.304034009</v>
      </c>
      <c r="BI414">
        <f>IF(BH414=MAX($BH$83:$BH$483),$A414,0)</f>
        <v>0</v>
      </c>
      <c r="BJ414">
        <f>IF(BE414&lt;BF414,$A414,B_MAX+1)</f>
        <v>331</v>
      </c>
      <c r="BK414" s="13">
        <f>IF(BB414=1,$BB$35,$BB$36)</f>
        <v>0</v>
      </c>
      <c r="BL414" s="13">
        <f>OCC_DAYS*$BB$41*R_NF_2023-BD414*MCD_SHARE_FREED*R_WAIT_2023</f>
        <v>151980.48282209205</v>
      </c>
      <c r="BM414">
        <f>IF($A414&lt;=$BB$45,1,0)</f>
        <v>0</v>
      </c>
      <c r="CB414">
        <f>IF($CB$31&lt;=$CB$32,IF($A414&lt;=$CB$7,1,2),IF($A414&lt;=RUNG_BEDS_2,2,1))</f>
        <v>2</v>
      </c>
      <c r="CC414" s="5">
        <f>MIN(1,MAX(0,$CB$26-($A414-1)))</f>
        <v>0</v>
      </c>
      <c r="CD414" s="5">
        <f>$CB$25*(CC414+(1-CC414)*$CB$16)</f>
        <v>0.0</v>
      </c>
      <c r="CE414" s="13">
        <f>CD414*($CB$6+ACUTE_MARGIN)</f>
        <v>0.0</v>
      </c>
      <c r="CF414" s="13">
        <f>IF(CB414=1,$CB$31,$CB$32)</f>
        <v>160718.36940738867</v>
      </c>
      <c r="CG414" s="13">
        <f>CE414-CF414</f>
        <v>-160718.36940738867</v>
      </c>
      <c r="CH414" s="13">
        <f>CH413+CG414</f>
        <v>-14968809.645573448</v>
      </c>
      <c r="CI414">
        <f>IF(CH414=MAX($CH$83:$CH$483),$A414,0)</f>
        <v>0</v>
      </c>
      <c r="CJ414">
        <f>IF(CE414&lt;CF414,$A414,B_MAX+1)</f>
        <v>331</v>
      </c>
      <c r="CK414" s="13">
        <f>IF(CB414=1,$CB$35,$CB$36)</f>
        <v>1560.1194073886782</v>
      </c>
      <c r="CL414" s="13">
        <f>OCC_DAYS*$CB$41*R_NF_2023-CD414*MCD_SHARE_FREED*R_WAIT_2023</f>
        <v>151980.48282209205</v>
      </c>
      <c r="CM414">
        <f>IF($A414&lt;=$CB$45,1,0)</f>
        <v>0</v>
      </c>
      <c r="DB414">
        <f>IF($DB$31&lt;=$DB$32,IF($A414&lt;=$DB$7,1,2),IF($A414&lt;=RUNG_BEDS_2,2,1))</f>
        <v>1</v>
      </c>
      <c r="DC414" s="5">
        <f>MIN(1,MAX(0,$DB$26-($A414-1)))</f>
        <v>0</v>
      </c>
      <c r="DD414" s="5">
        <f>$DB$25*(DC414+(1-DC414)*$DB$16)</f>
        <v>0.0</v>
      </c>
      <c r="DE414" s="13">
        <f>DD414*($DB$6+ACUTE_MARGIN)</f>
        <v>0.0</v>
      </c>
      <c r="DF414" s="13">
        <f>IF(DB414=1,$DB$31,$DB$32)</f>
        <v>152394.16214437486</v>
      </c>
      <c r="DG414" s="13">
        <f>DE414-DF414</f>
        <v>-152394.16214437486</v>
      </c>
      <c r="DH414" s="13">
        <f>DH413+DG414</f>
        <v>-12213497.04151573</v>
      </c>
      <c r="DI414">
        <f>IF(DH414=MAX($DH$83:$DH$483),$A414,0)</f>
        <v>0</v>
      </c>
      <c r="DJ414">
        <f>IF(DE414&lt;DF414,$A414,B_MAX+1)</f>
        <v>331</v>
      </c>
      <c r="DK414" s="13">
        <f>IF(DB414=1,$DB$35,$DB$36)</f>
        <v>0</v>
      </c>
      <c r="DL414" s="13">
        <f>OCC_DAYS*$DB$41*R_NF_2023-DD414*MCD_SHARE_FREED*R_WAIT_2023</f>
        <v>151980.48282209205</v>
      </c>
      <c r="DM414">
        <f>IF($A414&lt;=$DB$45,1,0)</f>
        <v>0</v>
      </c>
      <c r="EB414">
        <f>IF($EB$31&lt;=$EB$32,IF($A414&lt;=$EB$7,1,2),IF($A414&lt;=RUNG_BEDS_2,2,1))</f>
        <v>1</v>
      </c>
      <c r="EC414" s="5">
        <f>MIN(1,MAX(0,$EB$26-($A414-1)))</f>
        <v>0</v>
      </c>
      <c r="ED414" s="5">
        <f>$EB$25*(EC414+(1-EC414)*$EB$16)</f>
        <v>0.0</v>
      </c>
      <c r="EE414" s="13">
        <f>ED414*($EB$6+ACUTE_MARGIN)</f>
        <v>0.0</v>
      </c>
      <c r="EF414" s="13">
        <f>IF(EB414=1,$EB$31,$EB$32)</f>
        <v>152394.16214437486</v>
      </c>
      <c r="EG414" s="13">
        <f>EE414-EF414</f>
        <v>-152394.16214437486</v>
      </c>
      <c r="EH414" s="13">
        <f>EH413+EG414</f>
        <v>-12213497.04151573</v>
      </c>
      <c r="EI414">
        <f>IF(EH414=MAX($EH$83:$EH$483),$A414,0)</f>
        <v>0</v>
      </c>
      <c r="EJ414">
        <f>IF(EE414&lt;EF414,$A414,B_MAX+1)</f>
        <v>331</v>
      </c>
      <c r="EK414" s="13">
        <f>IF(EB414=1,$EB$35,$EB$36)</f>
        <v>0</v>
      </c>
      <c r="EL414" s="13">
        <f>OCC_DAYS*$EB$41*R_NF_2023-ED414*MCD_SHARE_FREED*R_WAIT_2023</f>
        <v>50660.16094069735</v>
      </c>
      <c r="EM414">
        <f>IF($A414&lt;=$EB$45,1,0)</f>
        <v>0</v>
      </c>
      <c r="FB414">
        <f>IF($FB$31&lt;=$FB$32,IF($A414&lt;=$FB$7,1,2),IF($A414&lt;=RUNG_BEDS_2,2,1))</f>
        <v>1</v>
      </c>
      <c r="FC414" s="5">
        <f>MIN(1,MAX(0,$FB$26-($A414-1)))</f>
        <v>0</v>
      </c>
      <c r="FD414" s="5">
        <f>$FB$25*(FC414+(1-FC414)*$FB$16)</f>
        <v>0.0</v>
      </c>
      <c r="FE414" s="13">
        <f>FD414*($FB$6+ACUTE_MARGIN)</f>
        <v>0.0</v>
      </c>
      <c r="FF414" s="13">
        <f>IF(FB414=1,$FB$31,$FB$32)</f>
        <v>156636.04979437485</v>
      </c>
      <c r="FG414" s="13">
        <f>FE414-FF414</f>
        <v>-156636.04979437485</v>
      </c>
      <c r="FH414" s="13">
        <f>FH413+FG414</f>
        <v>-13617561.853665834</v>
      </c>
      <c r="FI414">
        <f>IF(FH414=MAX($FH$83:$FH$483),$A414,0)</f>
        <v>0</v>
      </c>
      <c r="FJ414">
        <f>IF(FE414&lt;FF414,$A414,B_MAX+1)</f>
        <v>331</v>
      </c>
      <c r="FK414" s="13">
        <f>IF(FB414=1,$FB$35,$FB$36)</f>
        <v>0</v>
      </c>
      <c r="FL414" s="13">
        <f>OCC_DAYS*$FB$41*R_NF_2023-FD414*MCD_SHARE_FREED*R_WAIT_2023</f>
        <v>151980.48282209205</v>
      </c>
      <c r="FM414">
        <f>IF($A414&lt;=$FB$45,1,0)</f>
        <v>0</v>
      </c>
      <c r="GB414">
        <f>IF($GB$31&lt;=$GB$32,IF($A414&lt;=$GB$7,1,2),IF($A414&lt;=RUNG_BEDS_2,2,1))</f>
        <v>1</v>
      </c>
      <c r="GC414" s="5">
        <f>MIN(1,MAX(0,$GB$26-($A414-1)))</f>
        <v>0</v>
      </c>
      <c r="GD414" s="5">
        <f>$GB$25*(GC414+(1-GC414)*$GB$16)</f>
        <v>0.0</v>
      </c>
      <c r="GE414" s="13">
        <f>GD414*($GB$6+ACUTE_MARGIN)</f>
        <v>0.0</v>
      </c>
      <c r="GF414" s="13">
        <f>IF(GB414=1,$GB$31,$GB$32)</f>
        <v>152394.16214437486</v>
      </c>
      <c r="GG414" s="13">
        <f>GE414-GF414</f>
        <v>-152394.16214437486</v>
      </c>
      <c r="GH414" s="13">
        <f>GH413+GG414</f>
        <v>-12213497.04151573</v>
      </c>
      <c r="GI414">
        <f>IF(GH414=MAX($GH$83:$GH$483),$A414,0)</f>
        <v>0</v>
      </c>
      <c r="GJ414">
        <f>IF(GE414&lt;GF414,$A414,B_MAX+1)</f>
        <v>331</v>
      </c>
      <c r="GK414" s="13">
        <f>IF(GB414=1,$GB$35,$GB$36)</f>
        <v>0</v>
      </c>
      <c r="GL414" s="13">
        <f>OCC_DAYS*$GB$41*R_NF_2023-GD414*MCD_SHARE_FREED*R_WAIT_2023</f>
        <v>151980.48282209205</v>
      </c>
      <c r="GM414">
        <f>IF($A414&lt;=$GB$45,1,0)</f>
        <v>0</v>
      </c>
      <c r="HB414">
        <f>IF($HB$31&lt;=$HB$32,IF($A414&lt;=$HB$7,1,2),IF($A414&lt;=RUNG_BEDS_2,2,1))</f>
        <v>1</v>
      </c>
      <c r="HC414" s="5">
        <f>MIN(1,MAX(0,$HB$26-($A414-1)))</f>
        <v>0</v>
      </c>
      <c r="HD414" s="5">
        <f>$HB$25*(HC414+(1-HC414)*$HB$16)</f>
        <v>0.0</v>
      </c>
      <c r="HE414" s="13">
        <f>HD414*($HB$6+ACUTE_MARGIN)</f>
        <v>0.0</v>
      </c>
      <c r="HF414" s="13">
        <f>IF(HB414=1,$HB$31,$HB$32)</f>
        <v>152456.2970814058</v>
      </c>
      <c r="HG414" s="13">
        <f>HE414-HF414</f>
        <v>-152456.2970814058</v>
      </c>
      <c r="HH414" s="13">
        <f>HH413+HG414</f>
        <v>-12234063.705673022</v>
      </c>
      <c r="HI414">
        <f>IF(HH414=MAX($HH$83:$HH$483),$A414,0)</f>
        <v>0</v>
      </c>
      <c r="HJ414">
        <f>IF(HE414&lt;HF414,$A414,B_MAX+1)</f>
        <v>331</v>
      </c>
      <c r="HK414" s="13">
        <f>IF(HB414=1,$HB$35,$HB$36)</f>
        <v>0</v>
      </c>
      <c r="HL414" s="13">
        <f>OCC_DAYS*$HB$41*R_NF_2023-HD414*MCD_SHARE_FREED*R_WAIT_2023</f>
        <v>151980.48282209205</v>
      </c>
      <c r="HM414">
        <f>IF($A414&lt;=$HB$45,1,0)</f>
        <v>0</v>
      </c>
      <c r="IB414">
        <f>IF($IB$31&lt;=$IB$32,IF($A414&lt;=$IB$7,1,2),IF($A414&lt;=RUNG_BEDS_2,2,1))</f>
        <v>1</v>
      </c>
      <c r="IC414" s="5">
        <f>MIN(1,MAX(0,$IB$26-($A414-1)))</f>
        <v>0</v>
      </c>
      <c r="ID414" s="5">
        <f>$IB$25*(IC414+(1-IC414)*$IB$16)</f>
        <v>0.0</v>
      </c>
      <c r="IE414" s="13">
        <f>ID414*($IB$6+ACUTE_MARGIN)</f>
        <v>0.0</v>
      </c>
      <c r="IF414" s="13">
        <f>IF(IB414=1,$IB$31,$IB$32)</f>
        <v>152734.9994534971</v>
      </c>
      <c r="IG414" s="13">
        <f>IE414-IF414</f>
        <v>-152734.9994534971</v>
      </c>
      <c r="IH414" s="13">
        <f>IH413+IG414</f>
        <v>-12326314.190835275</v>
      </c>
      <c r="II414">
        <f>IF(IH414=MAX($IH$83:$IH$483),$A414,0)</f>
        <v>0</v>
      </c>
      <c r="IJ414">
        <f>IF(IE414&lt;IF414,$A414,B_MAX+1)</f>
        <v>331</v>
      </c>
      <c r="IK414" s="13">
        <f>IF(IB414=1,$IB$35,$IB$36)</f>
        <v>0</v>
      </c>
      <c r="IL414" s="13">
        <f>OCC_DAYS*$IB$41*R_NF_2023-ID414*MCD_SHARE_FREED*R_WAIT_2023</f>
        <v>151980.48282209205</v>
      </c>
      <c r="IM414">
        <f>IF($A414&lt;=$IB$45,1,0)</f>
        <v>0</v>
      </c>
      <c r="JB414">
        <f>IF($JB$31&lt;=$JB$32,IF($A414&lt;=$JB$7,1,2),IF($A414&lt;=RUNG_BEDS_2,2,1))</f>
        <v>1</v>
      </c>
      <c r="JC414" s="5">
        <f>MIN(1,MAX(0,$JB$26-($A414-1)))</f>
        <v>0</v>
      </c>
      <c r="JD414" s="5">
        <f>$JB$25*(JC414+(1-JC414)*$JB$16)</f>
        <v>0.0</v>
      </c>
      <c r="JE414" s="13">
        <f>JD414*($JB$6+ACUTE_MARGIN)</f>
        <v>0.0</v>
      </c>
      <c r="JF414" s="13">
        <f>IF(JB414=1,$JB$31,$JB$32)</f>
        <v>152394.16214437486</v>
      </c>
      <c r="JG414" s="13">
        <f>JE414-JF414</f>
        <v>-152394.16214437486</v>
      </c>
      <c r="JH414" s="13">
        <f>JH413+JG414</f>
        <v>-12213497.04151573</v>
      </c>
      <c r="JI414">
        <f>IF(JH414=MAX($JH$83:$JH$483),$A414,0)</f>
        <v>0</v>
      </c>
      <c r="JJ414">
        <f>IF(JE414&lt;JF414,$A414,B_MAX+1)</f>
        <v>331</v>
      </c>
      <c r="JK414" s="13">
        <f>IF(JB414=1,$JB$35,$JB$36)</f>
        <v>0</v>
      </c>
      <c r="JL414" s="13">
        <f>OCC_DAYS*$JB$41*R_NF_2023-JD414*MCD_SHARE_FREED*R_WAIT_2023</f>
        <v>151980.48282209205</v>
      </c>
      <c r="JM414">
        <f>IF($A414&lt;=$JB$45,1,0)</f>
        <v>0</v>
      </c>
      <c r="KB414">
        <f>IF($KB$31&lt;=$KB$32,IF($A414&lt;=$KB$7,1,2),IF($A414&lt;=RUNG_BEDS_2,2,1))</f>
        <v>1</v>
      </c>
      <c r="KC414" s="5">
        <f>MIN(1,MAX(0,$KB$26-($A414-1)))</f>
        <v>0</v>
      </c>
      <c r="KD414" s="5">
        <f>$KB$25*(KC414+(1-KC414)*$KB$16)</f>
        <v>0.0</v>
      </c>
      <c r="KE414" s="13">
        <f>KD414*($KB$6+ACUTE_MARGIN)</f>
        <v>0.0</v>
      </c>
      <c r="KF414" s="13">
        <f>IF(KB414=1,$KB$31,$KB$32)</f>
        <v>152394.16214437486</v>
      </c>
      <c r="KG414" s="13">
        <f>KE414-KF414</f>
        <v>-152394.16214437486</v>
      </c>
      <c r="KH414" s="13">
        <f>KH413+KG414</f>
        <v>-12213497.041515836</v>
      </c>
      <c r="KI414">
        <f>IF(KH414=MAX($KH$83:$KH$483),$A414,0)</f>
        <v>0</v>
      </c>
      <c r="KJ414">
        <f>IF(KE414&lt;KF414,$A414,B_MAX+1)</f>
        <v>331</v>
      </c>
      <c r="KK414" s="13">
        <f>IF(KB414=1,$KB$35,$KB$36)</f>
        <v>0</v>
      </c>
      <c r="KL414" s="13">
        <f>OCC_DAYS*$KB$41*R_NF_2023-KD414*MCD_SHARE_FREED*R_WAIT_2023</f>
        <v>151980.48282209205</v>
      </c>
      <c r="KM414">
        <f>IF($A414&lt;=$KB$45,1,0)</f>
        <v>0</v>
      </c>
      <c r="LB414">
        <f>IF($LB$31&lt;=$LB$32,IF($A414&lt;=$LB$7,1,2),IF($A414&lt;=RUNG_BEDS_2,2,1))</f>
        <v>1</v>
      </c>
      <c r="LC414" s="5">
        <f>MIN(1,MAX(0,$LB$26-($A414-1)))</f>
        <v>1</v>
      </c>
      <c r="LD414" s="5">
        <f>$LB$25*(LC414+(1-LC414)*$LB$16)</f>
        <v>84.01774238227146</v>
      </c>
      <c r="LE414" s="13">
        <f>LD414*($LB$6+ACUTE_MARGIN)</f>
        <v>84857.91980609419</v>
      </c>
      <c r="LF414" s="13">
        <f>IF(LB414=1,$LB$31,$LB$32)</f>
        <v>152394.16214437486</v>
      </c>
      <c r="LG414" s="13">
        <f>LE414-LF414</f>
        <v>-67536.24233828067</v>
      </c>
      <c r="LH414" s="13">
        <f>LH413+LG414</f>
        <v>-22354496.213971023</v>
      </c>
      <c r="LI414">
        <f>IF(LH414=MAX($LH$83:$LH$483),$A414,0)</f>
        <v>0</v>
      </c>
      <c r="LJ414">
        <f>IF(LE414&lt;LF414,$A414,B_MAX+1)</f>
        <v>331</v>
      </c>
      <c r="LK414" s="13">
        <f>IF(LB414=1,$LB$35,$LB$36)</f>
        <v>0</v>
      </c>
      <c r="LL414" s="13">
        <f>OCC_DAYS*$LB$41*R_NF_2023-LD414*MCD_SHARE_FREED*R_WAIT_2023</f>
        <v>113776.04162887059</v>
      </c>
      <c r="LM414">
        <f>IF($A414&lt;=$LB$45,1,0)</f>
        <v>0</v>
      </c>
      <c r="MB414">
        <f>IF($MB$31&lt;=$MB$32,IF($A414&lt;=$MB$7,1,2),IF($A414&lt;=RUNG_BEDS_2,2,1))</f>
        <v>1</v>
      </c>
      <c r="MC414" s="5">
        <f>MIN(1,MAX(0,$MB$26-($A414-1)))</f>
        <v>0</v>
      </c>
      <c r="MD414" s="5">
        <f>$MB$25*(MC414+(1-MC414)*$MB$16)</f>
        <v>0.0</v>
      </c>
      <c r="ME414" s="13">
        <f>MD414*($MB$6+ACUTE_MARGIN)</f>
        <v>0.0</v>
      </c>
      <c r="MF414" s="13">
        <f>IF(MB414=1,$MB$31,$MB$32)</f>
        <v>152394.16214437486</v>
      </c>
      <c r="MG414" s="13">
        <f>ME414-MF414</f>
        <v>-152394.16214437486</v>
      </c>
      <c r="MH414" s="13">
        <f>MH413+MG414</f>
        <v>-18100773.10331403</v>
      </c>
      <c r="MI414">
        <f>IF(MH414=MAX($MH$83:$MH$483),$A414,0)</f>
        <v>0</v>
      </c>
      <c r="MJ414">
        <f>IF(ME414&lt;MF414,$A414,B_MAX+1)</f>
        <v>331</v>
      </c>
      <c r="MK414" s="13">
        <f>IF(MB414=1,$MB$35,$MB$36)</f>
        <v>0</v>
      </c>
      <c r="ML414" s="13">
        <f>OCC_DAYS*$MB$41*R_NF_2023-MD414*MCD_SHARE_FREED*R_WAIT_2023</f>
        <v>151980.48282209205</v>
      </c>
      <c r="MM414">
        <f>IF($A414&lt;=$MB$45,1,0)</f>
        <v>0</v>
      </c>
      <c r="NB414">
        <f>IF($NB$31&lt;=$NB$32,IF($A414&lt;=$NB$7,1,2),IF($A414&lt;=RUNG_BEDS_2,2,1))</f>
        <v>1</v>
      </c>
      <c r="NC414" s="5">
        <f>MIN(1,MAX(0,$NB$26-($A414-1)))</f>
        <v>0</v>
      </c>
      <c r="ND414" s="5">
        <f>$NB$25*(NC414+(1-NC414)*$NB$16)</f>
        <v>63.013306786703595</v>
      </c>
      <c r="NE414" s="13">
        <f>ND414*($NB$6+ACUTE_MARGIN)</f>
        <v>63643.43985457063</v>
      </c>
      <c r="NF414" s="13">
        <f>IF(NB414=1,$NB$31,$NB$32)</f>
        <v>152394.16214437486</v>
      </c>
      <c r="NG414" s="13">
        <f>NE414-NF414</f>
        <v>-88750.72228980422</v>
      </c>
      <c r="NH414" s="13">
        <f>NH413+NG414</f>
        <v>-704761.1067209749</v>
      </c>
      <c r="NI414">
        <f>IF(NH414=MAX($NH$83:$NH$483),$A414,0)</f>
        <v>0</v>
      </c>
      <c r="NJ414">
        <f>IF(NE414&lt;NF414,$A414,B_MAX+1)</f>
        <v>331</v>
      </c>
      <c r="NK414" s="13">
        <f>IF(NB414=1,$NB$35,$NB$36)</f>
        <v>0</v>
      </c>
      <c r="NL414" s="13">
        <f>OCC_DAYS*$NB$41*R_NF_2023-ND414*MCD_SHARE_FREED*R_WAIT_2023</f>
        <v>123327.15192717595</v>
      </c>
      <c r="NM414">
        <f>IF($A414&lt;=$NB$45,1,0)</f>
        <v>0</v>
      </c>
      <c r="OB414">
        <f>IF($OB$31&lt;=$OB$32,IF($A414&lt;=$OB$7,1,2),IF($A414&lt;=RUNG_BEDS_2,2,1))</f>
        <v>1</v>
      </c>
      <c r="OC414" s="5">
        <f>MIN(1,MAX(0,$OB$26-($A414-1)))</f>
        <v>0</v>
      </c>
      <c r="OD414" s="5">
        <f>$OB$25*(OC414+(1-OC414)*$OB$16)</f>
        <v>126.02661357340719</v>
      </c>
      <c r="OE414" s="13">
        <f>OD414*($OB$6+ACUTE_MARGIN)</f>
        <v>127286.87970914126</v>
      </c>
      <c r="OF414" s="13">
        <f>IF(OB414=1,$OB$31,$OB$32)</f>
        <v>152394.16214437486</v>
      </c>
      <c r="OG414" s="13">
        <f>OE414-OF414</f>
        <v>-25107.282435233603</v>
      </c>
      <c r="OH414" s="13">
        <f>OH413+OG414</f>
        <v>10803974.82807401</v>
      </c>
      <c r="OI414">
        <f>IF(OH414=MAX($OH$83:$OH$483),$A414,0)</f>
        <v>0</v>
      </c>
      <c r="OJ414">
        <f>IF(OE414&lt;OF414,$A414,B_MAX+1)</f>
        <v>331</v>
      </c>
      <c r="OK414" s="13">
        <f>IF(OB414=1,$OB$35,$OB$36)</f>
        <v>0</v>
      </c>
      <c r="OL414" s="13">
        <f>OCC_DAYS*$OB$41*R_NF_2023-OD414*MCD_SHARE_FREED*R_WAIT_2023</f>
        <v>94673.82103225985</v>
      </c>
      <c r="OM414">
        <f>IF($A414&lt;=$OB$45,1,0)</f>
        <v>0</v>
      </c>
    </row>
    <row r="415">
      <c r="A415" t="n">
        <v>332</v>
      </c>
      <c r="B415">
        <f>IF($B$31&lt;=$B$32,IF($A415&lt;=$B$7,1,2),IF($A415&lt;=RUNG_BEDS_2,2,1))</f>
        <v>1</v>
      </c>
      <c r="C415" s="5">
        <f>MIN(1,MAX(0,$B$26-($A415-1)))</f>
        <v>0</v>
      </c>
      <c r="D415" s="5">
        <f>$B$25*(C415+(1-C415)*$B$16)</f>
        <v>0.0</v>
      </c>
      <c r="E415" s="13">
        <f>D415*($B$6+ACUTE_MARGIN)</f>
        <v>0.0</v>
      </c>
      <c r="F415" s="13">
        <f>IF(B415=1,$B$31,$B$32)</f>
        <v>152394.16214437486</v>
      </c>
      <c r="G415" s="13">
        <f>E415-F415</f>
        <v>-152394.16214437486</v>
      </c>
      <c r="H415" s="13">
        <f>H414+G415</f>
        <v>-12365891.203660104</v>
      </c>
      <c r="I415">
        <f>IF(H415=MAX($H$83:$H$483),$A415,0)</f>
        <v>0</v>
      </c>
      <c r="J415">
        <f>IF(E415&lt;F415,$A415,B_MAX+1)</f>
        <v>332</v>
      </c>
      <c r="K415" s="13">
        <f>IF(B415=1,$B$35,$B$36)</f>
        <v>0</v>
      </c>
      <c r="L415" s="13">
        <f>OCC_DAYS*$B$41*R_NF_2023-D415*MCD_SHARE_FREED*R_WAIT_2023</f>
        <v>151980.48282209205</v>
      </c>
      <c r="M415">
        <f>IF($A415&lt;=$B$45,1,0)</f>
        <v>0</v>
      </c>
      <c r="AB415">
        <f>IF($AB$31&lt;=$AB$32,IF($A415&lt;=$AB$7,1,2),IF($A415&lt;=RUNG_BEDS_2,2,1))</f>
        <v>1</v>
      </c>
      <c r="AC415" s="5">
        <f>MIN(1,MAX(0,$AB$26-($A415-1)))</f>
        <v>0</v>
      </c>
      <c r="AD415" s="5">
        <f>$AB$25*(AC415+(1-AC415)*$AB$16)</f>
        <v>0.0</v>
      </c>
      <c r="AE415" s="13">
        <f>AD415*($AB$6+ACUTE_MARGIN)</f>
        <v>0.0</v>
      </c>
      <c r="AF415" s="13">
        <f>IF(AB415=1,$AB$31,$AB$32)</f>
        <v>152394.16214437486</v>
      </c>
      <c r="AG415" s="13">
        <f>AE415-AF415</f>
        <v>-152394.16214437486</v>
      </c>
      <c r="AH415" s="13">
        <f>AH414+AG415</f>
        <v>-29777105.54920984</v>
      </c>
      <c r="AI415">
        <f>IF(AH415=MAX($AH$83:$AH$483),$A415,0)</f>
        <v>0</v>
      </c>
      <c r="AJ415">
        <f>IF(AE415&lt;AF415,$A415,B_MAX+1)</f>
        <v>332</v>
      </c>
      <c r="AK415" s="13">
        <f>IF(AB415=1,$AB$35,$AB$36)</f>
        <v>0</v>
      </c>
      <c r="AL415" s="13">
        <f>OCC_DAYS*$AB$41*R_NF_2023-AD415*MCD_SHARE_FREED*R_WAIT_2023</f>
        <v>151980.48282209205</v>
      </c>
      <c r="AM415">
        <f>IF($A415&lt;=$AB$45,1,0)</f>
        <v>0</v>
      </c>
      <c r="BB415">
        <f>IF($BB$31&lt;=$BB$32,IF($A415&lt;=$BB$7,1,2),IF($A415&lt;=RUNG_BEDS_2,2,1))</f>
        <v>1</v>
      </c>
      <c r="BC415" s="5">
        <f>MIN(1,MAX(0,$BB$26-($A415-1)))</f>
        <v>0</v>
      </c>
      <c r="BD415" s="5">
        <f>$BB$25*(BC415+(1-BC415)*$BB$16)</f>
        <v>0.0</v>
      </c>
      <c r="BE415" s="13">
        <f>BD415*($BB$6+ACUTE_MARGIN)</f>
        <v>0.0</v>
      </c>
      <c r="BF415" s="13">
        <f>IF(BB415=1,$BB$31,$BB$32)</f>
        <v>152394.16214437486</v>
      </c>
      <c r="BG415" s="13">
        <f>BE415-BF415</f>
        <v>-152394.16214437486</v>
      </c>
      <c r="BH415" s="13">
        <f>BH414+BG415</f>
        <v>5045323.141889634</v>
      </c>
      <c r="BI415">
        <f>IF(BH415=MAX($BH$83:$BH$483),$A415,0)</f>
        <v>0</v>
      </c>
      <c r="BJ415">
        <f>IF(BE415&lt;BF415,$A415,B_MAX+1)</f>
        <v>332</v>
      </c>
      <c r="BK415" s="13">
        <f>IF(BB415=1,$BB$35,$BB$36)</f>
        <v>0</v>
      </c>
      <c r="BL415" s="13">
        <f>OCC_DAYS*$BB$41*R_NF_2023-BD415*MCD_SHARE_FREED*R_WAIT_2023</f>
        <v>151980.48282209205</v>
      </c>
      <c r="BM415">
        <f>IF($A415&lt;=$BB$45,1,0)</f>
        <v>0</v>
      </c>
      <c r="CB415">
        <f>IF($CB$31&lt;=$CB$32,IF($A415&lt;=$CB$7,1,2),IF($A415&lt;=RUNG_BEDS_2,2,1))</f>
        <v>2</v>
      </c>
      <c r="CC415" s="5">
        <f>MIN(1,MAX(0,$CB$26-($A415-1)))</f>
        <v>0</v>
      </c>
      <c r="CD415" s="5">
        <f>$CB$25*(CC415+(1-CC415)*$CB$16)</f>
        <v>0.0</v>
      </c>
      <c r="CE415" s="13">
        <f>CD415*($CB$6+ACUTE_MARGIN)</f>
        <v>0.0</v>
      </c>
      <c r="CF415" s="13">
        <f>IF(CB415=1,$CB$31,$CB$32)</f>
        <v>160718.36940738867</v>
      </c>
      <c r="CG415" s="13">
        <f>CE415-CF415</f>
        <v>-160718.36940738867</v>
      </c>
      <c r="CH415" s="13">
        <f>CH414+CG415</f>
        <v>-15129528.014980838</v>
      </c>
      <c r="CI415">
        <f>IF(CH415=MAX($CH$83:$CH$483),$A415,0)</f>
        <v>0</v>
      </c>
      <c r="CJ415">
        <f>IF(CE415&lt;CF415,$A415,B_MAX+1)</f>
        <v>332</v>
      </c>
      <c r="CK415" s="13">
        <f>IF(CB415=1,$CB$35,$CB$36)</f>
        <v>1560.1194073886782</v>
      </c>
      <c r="CL415" s="13">
        <f>OCC_DAYS*$CB$41*R_NF_2023-CD415*MCD_SHARE_FREED*R_WAIT_2023</f>
        <v>151980.48282209205</v>
      </c>
      <c r="CM415">
        <f>IF($A415&lt;=$CB$45,1,0)</f>
        <v>0</v>
      </c>
      <c r="DB415">
        <f>IF($DB$31&lt;=$DB$32,IF($A415&lt;=$DB$7,1,2),IF($A415&lt;=RUNG_BEDS_2,2,1))</f>
        <v>1</v>
      </c>
      <c r="DC415" s="5">
        <f>MIN(1,MAX(0,$DB$26-($A415-1)))</f>
        <v>0</v>
      </c>
      <c r="DD415" s="5">
        <f>$DB$25*(DC415+(1-DC415)*$DB$16)</f>
        <v>0.0</v>
      </c>
      <c r="DE415" s="13">
        <f>DD415*($DB$6+ACUTE_MARGIN)</f>
        <v>0.0</v>
      </c>
      <c r="DF415" s="13">
        <f>IF(DB415=1,$DB$31,$DB$32)</f>
        <v>152394.16214437486</v>
      </c>
      <c r="DG415" s="13">
        <f>DE415-DF415</f>
        <v>-152394.16214437486</v>
      </c>
      <c r="DH415" s="13">
        <f>DH414+DG415</f>
        <v>-12365891.203660104</v>
      </c>
      <c r="DI415">
        <f>IF(DH415=MAX($DH$83:$DH$483),$A415,0)</f>
        <v>0</v>
      </c>
      <c r="DJ415">
        <f>IF(DE415&lt;DF415,$A415,B_MAX+1)</f>
        <v>332</v>
      </c>
      <c r="DK415" s="13">
        <f>IF(DB415=1,$DB$35,$DB$36)</f>
        <v>0</v>
      </c>
      <c r="DL415" s="13">
        <f>OCC_DAYS*$DB$41*R_NF_2023-DD415*MCD_SHARE_FREED*R_WAIT_2023</f>
        <v>151980.48282209205</v>
      </c>
      <c r="DM415">
        <f>IF($A415&lt;=$DB$45,1,0)</f>
        <v>0</v>
      </c>
      <c r="EB415">
        <f>IF($EB$31&lt;=$EB$32,IF($A415&lt;=$EB$7,1,2),IF($A415&lt;=RUNG_BEDS_2,2,1))</f>
        <v>1</v>
      </c>
      <c r="EC415" s="5">
        <f>MIN(1,MAX(0,$EB$26-($A415-1)))</f>
        <v>0</v>
      </c>
      <c r="ED415" s="5">
        <f>$EB$25*(EC415+(1-EC415)*$EB$16)</f>
        <v>0.0</v>
      </c>
      <c r="EE415" s="13">
        <f>ED415*($EB$6+ACUTE_MARGIN)</f>
        <v>0.0</v>
      </c>
      <c r="EF415" s="13">
        <f>IF(EB415=1,$EB$31,$EB$32)</f>
        <v>152394.16214437486</v>
      </c>
      <c r="EG415" s="13">
        <f>EE415-EF415</f>
        <v>-152394.16214437486</v>
      </c>
      <c r="EH415" s="13">
        <f>EH414+EG415</f>
        <v>-12365891.203660104</v>
      </c>
      <c r="EI415">
        <f>IF(EH415=MAX($EH$83:$EH$483),$A415,0)</f>
        <v>0</v>
      </c>
      <c r="EJ415">
        <f>IF(EE415&lt;EF415,$A415,B_MAX+1)</f>
        <v>332</v>
      </c>
      <c r="EK415" s="13">
        <f>IF(EB415=1,$EB$35,$EB$36)</f>
        <v>0</v>
      </c>
      <c r="EL415" s="13">
        <f>OCC_DAYS*$EB$41*R_NF_2023-ED415*MCD_SHARE_FREED*R_WAIT_2023</f>
        <v>50660.16094069735</v>
      </c>
      <c r="EM415">
        <f>IF($A415&lt;=$EB$45,1,0)</f>
        <v>0</v>
      </c>
      <c r="FB415">
        <f>IF($FB$31&lt;=$FB$32,IF($A415&lt;=$FB$7,1,2),IF($A415&lt;=RUNG_BEDS_2,2,1))</f>
        <v>1</v>
      </c>
      <c r="FC415" s="5">
        <f>MIN(1,MAX(0,$FB$26-($A415-1)))</f>
        <v>0</v>
      </c>
      <c r="FD415" s="5">
        <f>$FB$25*(FC415+(1-FC415)*$FB$16)</f>
        <v>0.0</v>
      </c>
      <c r="FE415" s="13">
        <f>FD415*($FB$6+ACUTE_MARGIN)</f>
        <v>0.0</v>
      </c>
      <c r="FF415" s="13">
        <f>IF(FB415=1,$FB$31,$FB$32)</f>
        <v>156636.04979437485</v>
      </c>
      <c r="FG415" s="13">
        <f>FE415-FF415</f>
        <v>-156636.04979437485</v>
      </c>
      <c r="FH415" s="13">
        <f>FH414+FG415</f>
        <v>-13774197.903460208</v>
      </c>
      <c r="FI415">
        <f>IF(FH415=MAX($FH$83:$FH$483),$A415,0)</f>
        <v>0</v>
      </c>
      <c r="FJ415">
        <f>IF(FE415&lt;FF415,$A415,B_MAX+1)</f>
        <v>332</v>
      </c>
      <c r="FK415" s="13">
        <f>IF(FB415=1,$FB$35,$FB$36)</f>
        <v>0</v>
      </c>
      <c r="FL415" s="13">
        <f>OCC_DAYS*$FB$41*R_NF_2023-FD415*MCD_SHARE_FREED*R_WAIT_2023</f>
        <v>151980.48282209205</v>
      </c>
      <c r="FM415">
        <f>IF($A415&lt;=$FB$45,1,0)</f>
        <v>0</v>
      </c>
      <c r="GB415">
        <f>IF($GB$31&lt;=$GB$32,IF($A415&lt;=$GB$7,1,2),IF($A415&lt;=RUNG_BEDS_2,2,1))</f>
        <v>1</v>
      </c>
      <c r="GC415" s="5">
        <f>MIN(1,MAX(0,$GB$26-($A415-1)))</f>
        <v>0</v>
      </c>
      <c r="GD415" s="5">
        <f>$GB$25*(GC415+(1-GC415)*$GB$16)</f>
        <v>0.0</v>
      </c>
      <c r="GE415" s="13">
        <f>GD415*($GB$6+ACUTE_MARGIN)</f>
        <v>0.0</v>
      </c>
      <c r="GF415" s="13">
        <f>IF(GB415=1,$GB$31,$GB$32)</f>
        <v>152394.16214437486</v>
      </c>
      <c r="GG415" s="13">
        <f>GE415-GF415</f>
        <v>-152394.16214437486</v>
      </c>
      <c r="GH415" s="13">
        <f>GH414+GG415</f>
        <v>-12365891.203660104</v>
      </c>
      <c r="GI415">
        <f>IF(GH415=MAX($GH$83:$GH$483),$A415,0)</f>
        <v>0</v>
      </c>
      <c r="GJ415">
        <f>IF(GE415&lt;GF415,$A415,B_MAX+1)</f>
        <v>332</v>
      </c>
      <c r="GK415" s="13">
        <f>IF(GB415=1,$GB$35,$GB$36)</f>
        <v>0</v>
      </c>
      <c r="GL415" s="13">
        <f>OCC_DAYS*$GB$41*R_NF_2023-GD415*MCD_SHARE_FREED*R_WAIT_2023</f>
        <v>151980.48282209205</v>
      </c>
      <c r="GM415">
        <f>IF($A415&lt;=$GB$45,1,0)</f>
        <v>0</v>
      </c>
      <c r="HB415">
        <f>IF($HB$31&lt;=$HB$32,IF($A415&lt;=$HB$7,1,2),IF($A415&lt;=RUNG_BEDS_2,2,1))</f>
        <v>1</v>
      </c>
      <c r="HC415" s="5">
        <f>MIN(1,MAX(0,$HB$26-($A415-1)))</f>
        <v>0</v>
      </c>
      <c r="HD415" s="5">
        <f>$HB$25*(HC415+(1-HC415)*$HB$16)</f>
        <v>0.0</v>
      </c>
      <c r="HE415" s="13">
        <f>HD415*($HB$6+ACUTE_MARGIN)</f>
        <v>0.0</v>
      </c>
      <c r="HF415" s="13">
        <f>IF(HB415=1,$HB$31,$HB$32)</f>
        <v>152456.2970814058</v>
      </c>
      <c r="HG415" s="13">
        <f>HE415-HF415</f>
        <v>-152456.2970814058</v>
      </c>
      <c r="HH415" s="13">
        <f>HH414+HG415</f>
        <v>-12386520.002754427</v>
      </c>
      <c r="HI415">
        <f>IF(HH415=MAX($HH$83:$HH$483),$A415,0)</f>
        <v>0</v>
      </c>
      <c r="HJ415">
        <f>IF(HE415&lt;HF415,$A415,B_MAX+1)</f>
        <v>332</v>
      </c>
      <c r="HK415" s="13">
        <f>IF(HB415=1,$HB$35,$HB$36)</f>
        <v>0</v>
      </c>
      <c r="HL415" s="13">
        <f>OCC_DAYS*$HB$41*R_NF_2023-HD415*MCD_SHARE_FREED*R_WAIT_2023</f>
        <v>151980.48282209205</v>
      </c>
      <c r="HM415">
        <f>IF($A415&lt;=$HB$45,1,0)</f>
        <v>0</v>
      </c>
      <c r="IB415">
        <f>IF($IB$31&lt;=$IB$32,IF($A415&lt;=$IB$7,1,2),IF($A415&lt;=RUNG_BEDS_2,2,1))</f>
        <v>1</v>
      </c>
      <c r="IC415" s="5">
        <f>MIN(1,MAX(0,$IB$26-($A415-1)))</f>
        <v>0</v>
      </c>
      <c r="ID415" s="5">
        <f>$IB$25*(IC415+(1-IC415)*$IB$16)</f>
        <v>0.0</v>
      </c>
      <c r="IE415" s="13">
        <f>ID415*($IB$6+ACUTE_MARGIN)</f>
        <v>0.0</v>
      </c>
      <c r="IF415" s="13">
        <f>IF(IB415=1,$IB$31,$IB$32)</f>
        <v>152734.9994534971</v>
      </c>
      <c r="IG415" s="13">
        <f>IE415-IF415</f>
        <v>-152734.9994534971</v>
      </c>
      <c r="IH415" s="13">
        <f>IH414+IG415</f>
        <v>-12479049.190288771</v>
      </c>
      <c r="II415">
        <f>IF(IH415=MAX($IH$83:$IH$483),$A415,0)</f>
        <v>0</v>
      </c>
      <c r="IJ415">
        <f>IF(IE415&lt;IF415,$A415,B_MAX+1)</f>
        <v>332</v>
      </c>
      <c r="IK415" s="13">
        <f>IF(IB415=1,$IB$35,$IB$36)</f>
        <v>0</v>
      </c>
      <c r="IL415" s="13">
        <f>OCC_DAYS*$IB$41*R_NF_2023-ID415*MCD_SHARE_FREED*R_WAIT_2023</f>
        <v>151980.48282209205</v>
      </c>
      <c r="IM415">
        <f>IF($A415&lt;=$IB$45,1,0)</f>
        <v>0</v>
      </c>
      <c r="JB415">
        <f>IF($JB$31&lt;=$JB$32,IF($A415&lt;=$JB$7,1,2),IF($A415&lt;=RUNG_BEDS_2,2,1))</f>
        <v>1</v>
      </c>
      <c r="JC415" s="5">
        <f>MIN(1,MAX(0,$JB$26-($A415-1)))</f>
        <v>0</v>
      </c>
      <c r="JD415" s="5">
        <f>$JB$25*(JC415+(1-JC415)*$JB$16)</f>
        <v>0.0</v>
      </c>
      <c r="JE415" s="13">
        <f>JD415*($JB$6+ACUTE_MARGIN)</f>
        <v>0.0</v>
      </c>
      <c r="JF415" s="13">
        <f>IF(JB415=1,$JB$31,$JB$32)</f>
        <v>152394.16214437486</v>
      </c>
      <c r="JG415" s="13">
        <f>JE415-JF415</f>
        <v>-152394.16214437486</v>
      </c>
      <c r="JH415" s="13">
        <f>JH414+JG415</f>
        <v>-12365891.203660104</v>
      </c>
      <c r="JI415">
        <f>IF(JH415=MAX($JH$83:$JH$483),$A415,0)</f>
        <v>0</v>
      </c>
      <c r="JJ415">
        <f>IF(JE415&lt;JF415,$A415,B_MAX+1)</f>
        <v>332</v>
      </c>
      <c r="JK415" s="13">
        <f>IF(JB415=1,$JB$35,$JB$36)</f>
        <v>0</v>
      </c>
      <c r="JL415" s="13">
        <f>OCC_DAYS*$JB$41*R_NF_2023-JD415*MCD_SHARE_FREED*R_WAIT_2023</f>
        <v>151980.48282209205</v>
      </c>
      <c r="JM415">
        <f>IF($A415&lt;=$JB$45,1,0)</f>
        <v>0</v>
      </c>
      <c r="KB415">
        <f>IF($KB$31&lt;=$KB$32,IF($A415&lt;=$KB$7,1,2),IF($A415&lt;=RUNG_BEDS_2,2,1))</f>
        <v>1</v>
      </c>
      <c r="KC415" s="5">
        <f>MIN(1,MAX(0,$KB$26-($A415-1)))</f>
        <v>0</v>
      </c>
      <c r="KD415" s="5">
        <f>$KB$25*(KC415+(1-KC415)*$KB$16)</f>
        <v>0.0</v>
      </c>
      <c r="KE415" s="13">
        <f>KD415*($KB$6+ACUTE_MARGIN)</f>
        <v>0.0</v>
      </c>
      <c r="KF415" s="13">
        <f>IF(KB415=1,$KB$31,$KB$32)</f>
        <v>152394.16214437486</v>
      </c>
      <c r="KG415" s="13">
        <f>KE415-KF415</f>
        <v>-152394.16214437486</v>
      </c>
      <c r="KH415" s="13">
        <f>KH414+KG415</f>
        <v>-12365891.20366021</v>
      </c>
      <c r="KI415">
        <f>IF(KH415=MAX($KH$83:$KH$483),$A415,0)</f>
        <v>0</v>
      </c>
      <c r="KJ415">
        <f>IF(KE415&lt;KF415,$A415,B_MAX+1)</f>
        <v>332</v>
      </c>
      <c r="KK415" s="13">
        <f>IF(KB415=1,$KB$35,$KB$36)</f>
        <v>0</v>
      </c>
      <c r="KL415" s="13">
        <f>OCC_DAYS*$KB$41*R_NF_2023-KD415*MCD_SHARE_FREED*R_WAIT_2023</f>
        <v>151980.48282209205</v>
      </c>
      <c r="KM415">
        <f>IF($A415&lt;=$KB$45,1,0)</f>
        <v>0</v>
      </c>
      <c r="LB415">
        <f>IF($LB$31&lt;=$LB$32,IF($A415&lt;=$LB$7,1,2),IF($A415&lt;=RUNG_BEDS_2,2,1))</f>
        <v>1</v>
      </c>
      <c r="LC415" s="5">
        <f>MIN(1,MAX(0,$LB$26-($A415-1)))</f>
        <v>1</v>
      </c>
      <c r="LD415" s="5">
        <f>$LB$25*(LC415+(1-LC415)*$LB$16)</f>
        <v>84.01774238227146</v>
      </c>
      <c r="LE415" s="13">
        <f>LD415*($LB$6+ACUTE_MARGIN)</f>
        <v>84857.91980609419</v>
      </c>
      <c r="LF415" s="13">
        <f>IF(LB415=1,$LB$31,$LB$32)</f>
        <v>152394.16214437486</v>
      </c>
      <c r="LG415" s="13">
        <f>LE415-LF415</f>
        <v>-67536.24233828067</v>
      </c>
      <c r="LH415" s="13">
        <f>LH414+LG415</f>
        <v>-22422032.456309304</v>
      </c>
      <c r="LI415">
        <f>IF(LH415=MAX($LH$83:$LH$483),$A415,0)</f>
        <v>0</v>
      </c>
      <c r="LJ415">
        <f>IF(LE415&lt;LF415,$A415,B_MAX+1)</f>
        <v>332</v>
      </c>
      <c r="LK415" s="13">
        <f>IF(LB415=1,$LB$35,$LB$36)</f>
        <v>0</v>
      </c>
      <c r="LL415" s="13">
        <f>OCC_DAYS*$LB$41*R_NF_2023-LD415*MCD_SHARE_FREED*R_WAIT_2023</f>
        <v>113776.04162887059</v>
      </c>
      <c r="LM415">
        <f>IF($A415&lt;=$LB$45,1,0)</f>
        <v>0</v>
      </c>
      <c r="MB415">
        <f>IF($MB$31&lt;=$MB$32,IF($A415&lt;=$MB$7,1,2),IF($A415&lt;=RUNG_BEDS_2,2,1))</f>
        <v>1</v>
      </c>
      <c r="MC415" s="5">
        <f>MIN(1,MAX(0,$MB$26-($A415-1)))</f>
        <v>0</v>
      </c>
      <c r="MD415" s="5">
        <f>$MB$25*(MC415+(1-MC415)*$MB$16)</f>
        <v>0.0</v>
      </c>
      <c r="ME415" s="13">
        <f>MD415*($MB$6+ACUTE_MARGIN)</f>
        <v>0.0</v>
      </c>
      <c r="MF415" s="13">
        <f>IF(MB415=1,$MB$31,$MB$32)</f>
        <v>152394.16214437486</v>
      </c>
      <c r="MG415" s="13">
        <f>ME415-MF415</f>
        <v>-152394.16214437486</v>
      </c>
      <c r="MH415" s="13">
        <f>MH414+MG415</f>
        <v>-18253167.265458405</v>
      </c>
      <c r="MI415">
        <f>IF(MH415=MAX($MH$83:$MH$483),$A415,0)</f>
        <v>0</v>
      </c>
      <c r="MJ415">
        <f>IF(ME415&lt;MF415,$A415,B_MAX+1)</f>
        <v>332</v>
      </c>
      <c r="MK415" s="13">
        <f>IF(MB415=1,$MB$35,$MB$36)</f>
        <v>0</v>
      </c>
      <c r="ML415" s="13">
        <f>OCC_DAYS*$MB$41*R_NF_2023-MD415*MCD_SHARE_FREED*R_WAIT_2023</f>
        <v>151980.48282209205</v>
      </c>
      <c r="MM415">
        <f>IF($A415&lt;=$MB$45,1,0)</f>
        <v>0</v>
      </c>
      <c r="NB415">
        <f>IF($NB$31&lt;=$NB$32,IF($A415&lt;=$NB$7,1,2),IF($A415&lt;=RUNG_BEDS_2,2,1))</f>
        <v>1</v>
      </c>
      <c r="NC415" s="5">
        <f>MIN(1,MAX(0,$NB$26-($A415-1)))</f>
        <v>0</v>
      </c>
      <c r="ND415" s="5">
        <f>$NB$25*(NC415+(1-NC415)*$NB$16)</f>
        <v>63.013306786703595</v>
      </c>
      <c r="NE415" s="13">
        <f>ND415*($NB$6+ACUTE_MARGIN)</f>
        <v>63643.43985457063</v>
      </c>
      <c r="NF415" s="13">
        <f>IF(NB415=1,$NB$31,$NB$32)</f>
        <v>152394.16214437486</v>
      </c>
      <c r="NG415" s="13">
        <f>NE415-NF415</f>
        <v>-88750.72228980422</v>
      </c>
      <c r="NH415" s="13">
        <f>NH414+NG415</f>
        <v>-793511.8290107792</v>
      </c>
      <c r="NI415">
        <f>IF(NH415=MAX($NH$83:$NH$483),$A415,0)</f>
        <v>0</v>
      </c>
      <c r="NJ415">
        <f>IF(NE415&lt;NF415,$A415,B_MAX+1)</f>
        <v>332</v>
      </c>
      <c r="NK415" s="13">
        <f>IF(NB415=1,$NB$35,$NB$36)</f>
        <v>0</v>
      </c>
      <c r="NL415" s="13">
        <f>OCC_DAYS*$NB$41*R_NF_2023-ND415*MCD_SHARE_FREED*R_WAIT_2023</f>
        <v>123327.15192717595</v>
      </c>
      <c r="NM415">
        <f>IF($A415&lt;=$NB$45,1,0)</f>
        <v>0</v>
      </c>
      <c r="OB415">
        <f>IF($OB$31&lt;=$OB$32,IF($A415&lt;=$OB$7,1,2),IF($A415&lt;=RUNG_BEDS_2,2,1))</f>
        <v>1</v>
      </c>
      <c r="OC415" s="5">
        <f>MIN(1,MAX(0,$OB$26-($A415-1)))</f>
        <v>0</v>
      </c>
      <c r="OD415" s="5">
        <f>$OB$25*(OC415+(1-OC415)*$OB$16)</f>
        <v>126.02661357340719</v>
      </c>
      <c r="OE415" s="13">
        <f>OD415*($OB$6+ACUTE_MARGIN)</f>
        <v>127286.87970914126</v>
      </c>
      <c r="OF415" s="13">
        <f>IF(OB415=1,$OB$31,$OB$32)</f>
        <v>152394.16214437486</v>
      </c>
      <c r="OG415" s="13">
        <f>OE415-OF415</f>
        <v>-25107.282435233603</v>
      </c>
      <c r="OH415" s="13">
        <f>OH414+OG415</f>
        <v>10778867.545638777</v>
      </c>
      <c r="OI415">
        <f>IF(OH415=MAX($OH$83:$OH$483),$A415,0)</f>
        <v>0</v>
      </c>
      <c r="OJ415">
        <f>IF(OE415&lt;OF415,$A415,B_MAX+1)</f>
        <v>332</v>
      </c>
      <c r="OK415" s="13">
        <f>IF(OB415=1,$OB$35,$OB$36)</f>
        <v>0</v>
      </c>
      <c r="OL415" s="13">
        <f>OCC_DAYS*$OB$41*R_NF_2023-OD415*MCD_SHARE_FREED*R_WAIT_2023</f>
        <v>94673.82103225985</v>
      </c>
      <c r="OM415">
        <f>IF($A415&lt;=$OB$45,1,0)</f>
        <v>0</v>
      </c>
    </row>
    <row r="416">
      <c r="A416" t="n">
        <v>333</v>
      </c>
      <c r="B416">
        <f>IF($B$31&lt;=$B$32,IF($A416&lt;=$B$7,1,2),IF($A416&lt;=RUNG_BEDS_2,2,1))</f>
        <v>1</v>
      </c>
      <c r="C416" s="5">
        <f>MIN(1,MAX(0,$B$26-($A416-1)))</f>
        <v>0</v>
      </c>
      <c r="D416" s="5">
        <f>$B$25*(C416+(1-C416)*$B$16)</f>
        <v>0.0</v>
      </c>
      <c r="E416" s="13">
        <f>D416*($B$6+ACUTE_MARGIN)</f>
        <v>0.0</v>
      </c>
      <c r="F416" s="13">
        <f>IF(B416=1,$B$31,$B$32)</f>
        <v>152394.16214437486</v>
      </c>
      <c r="G416" s="13">
        <f>E416-F416</f>
        <v>-152394.16214437486</v>
      </c>
      <c r="H416" s="13">
        <f>H415+G416</f>
        <v>-12518285.365804479</v>
      </c>
      <c r="I416">
        <f>IF(H416=MAX($H$83:$H$483),$A416,0)</f>
        <v>0</v>
      </c>
      <c r="J416">
        <f>IF(E416&lt;F416,$A416,B_MAX+1)</f>
        <v>333</v>
      </c>
      <c r="K416" s="13">
        <f>IF(B416=1,$B$35,$B$36)</f>
        <v>0</v>
      </c>
      <c r="L416" s="13">
        <f>OCC_DAYS*$B$41*R_NF_2023-D416*MCD_SHARE_FREED*R_WAIT_2023</f>
        <v>151980.48282209205</v>
      </c>
      <c r="M416">
        <f>IF($A416&lt;=$B$45,1,0)</f>
        <v>0</v>
      </c>
      <c r="AB416">
        <f>IF($AB$31&lt;=$AB$32,IF($A416&lt;=$AB$7,1,2),IF($A416&lt;=RUNG_BEDS_2,2,1))</f>
        <v>1</v>
      </c>
      <c r="AC416" s="5">
        <f>MIN(1,MAX(0,$AB$26-($A416-1)))</f>
        <v>0</v>
      </c>
      <c r="AD416" s="5">
        <f>$AB$25*(AC416+(1-AC416)*$AB$16)</f>
        <v>0.0</v>
      </c>
      <c r="AE416" s="13">
        <f>AD416*($AB$6+ACUTE_MARGIN)</f>
        <v>0.0</v>
      </c>
      <c r="AF416" s="13">
        <f>IF(AB416=1,$AB$31,$AB$32)</f>
        <v>152394.16214437486</v>
      </c>
      <c r="AG416" s="13">
        <f>AE416-AF416</f>
        <v>-152394.16214437486</v>
      </c>
      <c r="AH416" s="13">
        <f>AH415+AG416</f>
        <v>-29929499.711354215</v>
      </c>
      <c r="AI416">
        <f>IF(AH416=MAX($AH$83:$AH$483),$A416,0)</f>
        <v>0</v>
      </c>
      <c r="AJ416">
        <f>IF(AE416&lt;AF416,$A416,B_MAX+1)</f>
        <v>333</v>
      </c>
      <c r="AK416" s="13">
        <f>IF(AB416=1,$AB$35,$AB$36)</f>
        <v>0</v>
      </c>
      <c r="AL416" s="13">
        <f>OCC_DAYS*$AB$41*R_NF_2023-AD416*MCD_SHARE_FREED*R_WAIT_2023</f>
        <v>151980.48282209205</v>
      </c>
      <c r="AM416">
        <f>IF($A416&lt;=$AB$45,1,0)</f>
        <v>0</v>
      </c>
      <c r="BB416">
        <f>IF($BB$31&lt;=$BB$32,IF($A416&lt;=$BB$7,1,2),IF($A416&lt;=RUNG_BEDS_2,2,1))</f>
        <v>1</v>
      </c>
      <c r="BC416" s="5">
        <f>MIN(1,MAX(0,$BB$26-($A416-1)))</f>
        <v>0</v>
      </c>
      <c r="BD416" s="5">
        <f>$BB$25*(BC416+(1-BC416)*$BB$16)</f>
        <v>0.0</v>
      </c>
      <c r="BE416" s="13">
        <f>BD416*($BB$6+ACUTE_MARGIN)</f>
        <v>0.0</v>
      </c>
      <c r="BF416" s="13">
        <f>IF(BB416=1,$BB$31,$BB$32)</f>
        <v>152394.16214437486</v>
      </c>
      <c r="BG416" s="13">
        <f>BE416-BF416</f>
        <v>-152394.16214437486</v>
      </c>
      <c r="BH416" s="13">
        <f>BH415+BG416</f>
        <v>4892928.979745259</v>
      </c>
      <c r="BI416">
        <f>IF(BH416=MAX($BH$83:$BH$483),$A416,0)</f>
        <v>0</v>
      </c>
      <c r="BJ416">
        <f>IF(BE416&lt;BF416,$A416,B_MAX+1)</f>
        <v>333</v>
      </c>
      <c r="BK416" s="13">
        <f>IF(BB416=1,$BB$35,$BB$36)</f>
        <v>0</v>
      </c>
      <c r="BL416" s="13">
        <f>OCC_DAYS*$BB$41*R_NF_2023-BD416*MCD_SHARE_FREED*R_WAIT_2023</f>
        <v>151980.48282209205</v>
      </c>
      <c r="BM416">
        <f>IF($A416&lt;=$BB$45,1,0)</f>
        <v>0</v>
      </c>
      <c r="CB416">
        <f>IF($CB$31&lt;=$CB$32,IF($A416&lt;=$CB$7,1,2),IF($A416&lt;=RUNG_BEDS_2,2,1))</f>
        <v>2</v>
      </c>
      <c r="CC416" s="5">
        <f>MIN(1,MAX(0,$CB$26-($A416-1)))</f>
        <v>0</v>
      </c>
      <c r="CD416" s="5">
        <f>$CB$25*(CC416+(1-CC416)*$CB$16)</f>
        <v>0.0</v>
      </c>
      <c r="CE416" s="13">
        <f>CD416*($CB$6+ACUTE_MARGIN)</f>
        <v>0.0</v>
      </c>
      <c r="CF416" s="13">
        <f>IF(CB416=1,$CB$31,$CB$32)</f>
        <v>160718.36940738867</v>
      </c>
      <c r="CG416" s="13">
        <f>CE416-CF416</f>
        <v>-160718.36940738867</v>
      </c>
      <c r="CH416" s="13">
        <f>CH415+CG416</f>
        <v>-15290246.384388227</v>
      </c>
      <c r="CI416">
        <f>IF(CH416=MAX($CH$83:$CH$483),$A416,0)</f>
        <v>0</v>
      </c>
      <c r="CJ416">
        <f>IF(CE416&lt;CF416,$A416,B_MAX+1)</f>
        <v>333</v>
      </c>
      <c r="CK416" s="13">
        <f>IF(CB416=1,$CB$35,$CB$36)</f>
        <v>1560.1194073886782</v>
      </c>
      <c r="CL416" s="13">
        <f>OCC_DAYS*$CB$41*R_NF_2023-CD416*MCD_SHARE_FREED*R_WAIT_2023</f>
        <v>151980.48282209205</v>
      </c>
      <c r="CM416">
        <f>IF($A416&lt;=$CB$45,1,0)</f>
        <v>0</v>
      </c>
      <c r="DB416">
        <f>IF($DB$31&lt;=$DB$32,IF($A416&lt;=$DB$7,1,2),IF($A416&lt;=RUNG_BEDS_2,2,1))</f>
        <v>1</v>
      </c>
      <c r="DC416" s="5">
        <f>MIN(1,MAX(0,$DB$26-($A416-1)))</f>
        <v>0</v>
      </c>
      <c r="DD416" s="5">
        <f>$DB$25*(DC416+(1-DC416)*$DB$16)</f>
        <v>0.0</v>
      </c>
      <c r="DE416" s="13">
        <f>DD416*($DB$6+ACUTE_MARGIN)</f>
        <v>0.0</v>
      </c>
      <c r="DF416" s="13">
        <f>IF(DB416=1,$DB$31,$DB$32)</f>
        <v>152394.16214437486</v>
      </c>
      <c r="DG416" s="13">
        <f>DE416-DF416</f>
        <v>-152394.16214437486</v>
      </c>
      <c r="DH416" s="13">
        <f>DH415+DG416</f>
        <v>-12518285.365804479</v>
      </c>
      <c r="DI416">
        <f>IF(DH416=MAX($DH$83:$DH$483),$A416,0)</f>
        <v>0</v>
      </c>
      <c r="DJ416">
        <f>IF(DE416&lt;DF416,$A416,B_MAX+1)</f>
        <v>333</v>
      </c>
      <c r="DK416" s="13">
        <f>IF(DB416=1,$DB$35,$DB$36)</f>
        <v>0</v>
      </c>
      <c r="DL416" s="13">
        <f>OCC_DAYS*$DB$41*R_NF_2023-DD416*MCD_SHARE_FREED*R_WAIT_2023</f>
        <v>151980.48282209205</v>
      </c>
      <c r="DM416">
        <f>IF($A416&lt;=$DB$45,1,0)</f>
        <v>0</v>
      </c>
      <c r="EB416">
        <f>IF($EB$31&lt;=$EB$32,IF($A416&lt;=$EB$7,1,2),IF($A416&lt;=RUNG_BEDS_2,2,1))</f>
        <v>1</v>
      </c>
      <c r="EC416" s="5">
        <f>MIN(1,MAX(0,$EB$26-($A416-1)))</f>
        <v>0</v>
      </c>
      <c r="ED416" s="5">
        <f>$EB$25*(EC416+(1-EC416)*$EB$16)</f>
        <v>0.0</v>
      </c>
      <c r="EE416" s="13">
        <f>ED416*($EB$6+ACUTE_MARGIN)</f>
        <v>0.0</v>
      </c>
      <c r="EF416" s="13">
        <f>IF(EB416=1,$EB$31,$EB$32)</f>
        <v>152394.16214437486</v>
      </c>
      <c r="EG416" s="13">
        <f>EE416-EF416</f>
        <v>-152394.16214437486</v>
      </c>
      <c r="EH416" s="13">
        <f>EH415+EG416</f>
        <v>-12518285.365804479</v>
      </c>
      <c r="EI416">
        <f>IF(EH416=MAX($EH$83:$EH$483),$A416,0)</f>
        <v>0</v>
      </c>
      <c r="EJ416">
        <f>IF(EE416&lt;EF416,$A416,B_MAX+1)</f>
        <v>333</v>
      </c>
      <c r="EK416" s="13">
        <f>IF(EB416=1,$EB$35,$EB$36)</f>
        <v>0</v>
      </c>
      <c r="EL416" s="13">
        <f>OCC_DAYS*$EB$41*R_NF_2023-ED416*MCD_SHARE_FREED*R_WAIT_2023</f>
        <v>50660.16094069735</v>
      </c>
      <c r="EM416">
        <f>IF($A416&lt;=$EB$45,1,0)</f>
        <v>0</v>
      </c>
      <c r="FB416">
        <f>IF($FB$31&lt;=$FB$32,IF($A416&lt;=$FB$7,1,2),IF($A416&lt;=RUNG_BEDS_2,2,1))</f>
        <v>1</v>
      </c>
      <c r="FC416" s="5">
        <f>MIN(1,MAX(0,$FB$26-($A416-1)))</f>
        <v>0</v>
      </c>
      <c r="FD416" s="5">
        <f>$FB$25*(FC416+(1-FC416)*$FB$16)</f>
        <v>0.0</v>
      </c>
      <c r="FE416" s="13">
        <f>FD416*($FB$6+ACUTE_MARGIN)</f>
        <v>0.0</v>
      </c>
      <c r="FF416" s="13">
        <f>IF(FB416=1,$FB$31,$FB$32)</f>
        <v>156636.04979437485</v>
      </c>
      <c r="FG416" s="13">
        <f>FE416-FF416</f>
        <v>-156636.04979437485</v>
      </c>
      <c r="FH416" s="13">
        <f>FH415+FG416</f>
        <v>-13930833.953254582</v>
      </c>
      <c r="FI416">
        <f>IF(FH416=MAX($FH$83:$FH$483),$A416,0)</f>
        <v>0</v>
      </c>
      <c r="FJ416">
        <f>IF(FE416&lt;FF416,$A416,B_MAX+1)</f>
        <v>333</v>
      </c>
      <c r="FK416" s="13">
        <f>IF(FB416=1,$FB$35,$FB$36)</f>
        <v>0</v>
      </c>
      <c r="FL416" s="13">
        <f>OCC_DAYS*$FB$41*R_NF_2023-FD416*MCD_SHARE_FREED*R_WAIT_2023</f>
        <v>151980.48282209205</v>
      </c>
      <c r="FM416">
        <f>IF($A416&lt;=$FB$45,1,0)</f>
        <v>0</v>
      </c>
      <c r="GB416">
        <f>IF($GB$31&lt;=$GB$32,IF($A416&lt;=$GB$7,1,2),IF($A416&lt;=RUNG_BEDS_2,2,1))</f>
        <v>1</v>
      </c>
      <c r="GC416" s="5">
        <f>MIN(1,MAX(0,$GB$26-($A416-1)))</f>
        <v>0</v>
      </c>
      <c r="GD416" s="5">
        <f>$GB$25*(GC416+(1-GC416)*$GB$16)</f>
        <v>0.0</v>
      </c>
      <c r="GE416" s="13">
        <f>GD416*($GB$6+ACUTE_MARGIN)</f>
        <v>0.0</v>
      </c>
      <c r="GF416" s="13">
        <f>IF(GB416=1,$GB$31,$GB$32)</f>
        <v>152394.16214437486</v>
      </c>
      <c r="GG416" s="13">
        <f>GE416-GF416</f>
        <v>-152394.16214437486</v>
      </c>
      <c r="GH416" s="13">
        <f>GH415+GG416</f>
        <v>-12518285.365804479</v>
      </c>
      <c r="GI416">
        <f>IF(GH416=MAX($GH$83:$GH$483),$A416,0)</f>
        <v>0</v>
      </c>
      <c r="GJ416">
        <f>IF(GE416&lt;GF416,$A416,B_MAX+1)</f>
        <v>333</v>
      </c>
      <c r="GK416" s="13">
        <f>IF(GB416=1,$GB$35,$GB$36)</f>
        <v>0</v>
      </c>
      <c r="GL416" s="13">
        <f>OCC_DAYS*$GB$41*R_NF_2023-GD416*MCD_SHARE_FREED*R_WAIT_2023</f>
        <v>151980.48282209205</v>
      </c>
      <c r="GM416">
        <f>IF($A416&lt;=$GB$45,1,0)</f>
        <v>0</v>
      </c>
      <c r="HB416">
        <f>IF($HB$31&lt;=$HB$32,IF($A416&lt;=$HB$7,1,2),IF($A416&lt;=RUNG_BEDS_2,2,1))</f>
        <v>1</v>
      </c>
      <c r="HC416" s="5">
        <f>MIN(1,MAX(0,$HB$26-($A416-1)))</f>
        <v>0</v>
      </c>
      <c r="HD416" s="5">
        <f>$HB$25*(HC416+(1-HC416)*$HB$16)</f>
        <v>0.0</v>
      </c>
      <c r="HE416" s="13">
        <f>HD416*($HB$6+ACUTE_MARGIN)</f>
        <v>0.0</v>
      </c>
      <c r="HF416" s="13">
        <f>IF(HB416=1,$HB$31,$HB$32)</f>
        <v>152456.2970814058</v>
      </c>
      <c r="HG416" s="13">
        <f>HE416-HF416</f>
        <v>-152456.2970814058</v>
      </c>
      <c r="HH416" s="13">
        <f>HH415+HG416</f>
        <v>-12538976.299835833</v>
      </c>
      <c r="HI416">
        <f>IF(HH416=MAX($HH$83:$HH$483),$A416,0)</f>
        <v>0</v>
      </c>
      <c r="HJ416">
        <f>IF(HE416&lt;HF416,$A416,B_MAX+1)</f>
        <v>333</v>
      </c>
      <c r="HK416" s="13">
        <f>IF(HB416=1,$HB$35,$HB$36)</f>
        <v>0</v>
      </c>
      <c r="HL416" s="13">
        <f>OCC_DAYS*$HB$41*R_NF_2023-HD416*MCD_SHARE_FREED*R_WAIT_2023</f>
        <v>151980.48282209205</v>
      </c>
      <c r="HM416">
        <f>IF($A416&lt;=$HB$45,1,0)</f>
        <v>0</v>
      </c>
      <c r="IB416">
        <f>IF($IB$31&lt;=$IB$32,IF($A416&lt;=$IB$7,1,2),IF($A416&lt;=RUNG_BEDS_2,2,1))</f>
        <v>1</v>
      </c>
      <c r="IC416" s="5">
        <f>MIN(1,MAX(0,$IB$26-($A416-1)))</f>
        <v>0</v>
      </c>
      <c r="ID416" s="5">
        <f>$IB$25*(IC416+(1-IC416)*$IB$16)</f>
        <v>0.0</v>
      </c>
      <c r="IE416" s="13">
        <f>ID416*($IB$6+ACUTE_MARGIN)</f>
        <v>0.0</v>
      </c>
      <c r="IF416" s="13">
        <f>IF(IB416=1,$IB$31,$IB$32)</f>
        <v>152734.9994534971</v>
      </c>
      <c r="IG416" s="13">
        <f>IE416-IF416</f>
        <v>-152734.9994534971</v>
      </c>
      <c r="IH416" s="13">
        <f>IH415+IG416</f>
        <v>-12631784.189742267</v>
      </c>
      <c r="II416">
        <f>IF(IH416=MAX($IH$83:$IH$483),$A416,0)</f>
        <v>0</v>
      </c>
      <c r="IJ416">
        <f>IF(IE416&lt;IF416,$A416,B_MAX+1)</f>
        <v>333</v>
      </c>
      <c r="IK416" s="13">
        <f>IF(IB416=1,$IB$35,$IB$36)</f>
        <v>0</v>
      </c>
      <c r="IL416" s="13">
        <f>OCC_DAYS*$IB$41*R_NF_2023-ID416*MCD_SHARE_FREED*R_WAIT_2023</f>
        <v>151980.48282209205</v>
      </c>
      <c r="IM416">
        <f>IF($A416&lt;=$IB$45,1,0)</f>
        <v>0</v>
      </c>
      <c r="JB416">
        <f>IF($JB$31&lt;=$JB$32,IF($A416&lt;=$JB$7,1,2),IF($A416&lt;=RUNG_BEDS_2,2,1))</f>
        <v>1</v>
      </c>
      <c r="JC416" s="5">
        <f>MIN(1,MAX(0,$JB$26-($A416-1)))</f>
        <v>0</v>
      </c>
      <c r="JD416" s="5">
        <f>$JB$25*(JC416+(1-JC416)*$JB$16)</f>
        <v>0.0</v>
      </c>
      <c r="JE416" s="13">
        <f>JD416*($JB$6+ACUTE_MARGIN)</f>
        <v>0.0</v>
      </c>
      <c r="JF416" s="13">
        <f>IF(JB416=1,$JB$31,$JB$32)</f>
        <v>152394.16214437486</v>
      </c>
      <c r="JG416" s="13">
        <f>JE416-JF416</f>
        <v>-152394.16214437486</v>
      </c>
      <c r="JH416" s="13">
        <f>JH415+JG416</f>
        <v>-12518285.365804479</v>
      </c>
      <c r="JI416">
        <f>IF(JH416=MAX($JH$83:$JH$483),$A416,0)</f>
        <v>0</v>
      </c>
      <c r="JJ416">
        <f>IF(JE416&lt;JF416,$A416,B_MAX+1)</f>
        <v>333</v>
      </c>
      <c r="JK416" s="13">
        <f>IF(JB416=1,$JB$35,$JB$36)</f>
        <v>0</v>
      </c>
      <c r="JL416" s="13">
        <f>OCC_DAYS*$JB$41*R_NF_2023-JD416*MCD_SHARE_FREED*R_WAIT_2023</f>
        <v>151980.48282209205</v>
      </c>
      <c r="JM416">
        <f>IF($A416&lt;=$JB$45,1,0)</f>
        <v>0</v>
      </c>
      <c r="KB416">
        <f>IF($KB$31&lt;=$KB$32,IF($A416&lt;=$KB$7,1,2),IF($A416&lt;=RUNG_BEDS_2,2,1))</f>
        <v>1</v>
      </c>
      <c r="KC416" s="5">
        <f>MIN(1,MAX(0,$KB$26-($A416-1)))</f>
        <v>0</v>
      </c>
      <c r="KD416" s="5">
        <f>$KB$25*(KC416+(1-KC416)*$KB$16)</f>
        <v>0.0</v>
      </c>
      <c r="KE416" s="13">
        <f>KD416*($KB$6+ACUTE_MARGIN)</f>
        <v>0.0</v>
      </c>
      <c r="KF416" s="13">
        <f>IF(KB416=1,$KB$31,$KB$32)</f>
        <v>152394.16214437486</v>
      </c>
      <c r="KG416" s="13">
        <f>KE416-KF416</f>
        <v>-152394.16214437486</v>
      </c>
      <c r="KH416" s="13">
        <f>KH415+KG416</f>
        <v>-12518285.365804585</v>
      </c>
      <c r="KI416">
        <f>IF(KH416=MAX($KH$83:$KH$483),$A416,0)</f>
        <v>0</v>
      </c>
      <c r="KJ416">
        <f>IF(KE416&lt;KF416,$A416,B_MAX+1)</f>
        <v>333</v>
      </c>
      <c r="KK416" s="13">
        <f>IF(KB416=1,$KB$35,$KB$36)</f>
        <v>0</v>
      </c>
      <c r="KL416" s="13">
        <f>OCC_DAYS*$KB$41*R_NF_2023-KD416*MCD_SHARE_FREED*R_WAIT_2023</f>
        <v>151980.48282209205</v>
      </c>
      <c r="KM416">
        <f>IF($A416&lt;=$KB$45,1,0)</f>
        <v>0</v>
      </c>
      <c r="LB416">
        <f>IF($LB$31&lt;=$LB$32,IF($A416&lt;=$LB$7,1,2),IF($A416&lt;=RUNG_BEDS_2,2,1))</f>
        <v>1</v>
      </c>
      <c r="LC416" s="5">
        <f>MIN(1,MAX(0,$LB$26-($A416-1)))</f>
        <v>1</v>
      </c>
      <c r="LD416" s="5">
        <f>$LB$25*(LC416+(1-LC416)*$LB$16)</f>
        <v>84.01774238227146</v>
      </c>
      <c r="LE416" s="13">
        <f>LD416*($LB$6+ACUTE_MARGIN)</f>
        <v>84857.91980609419</v>
      </c>
      <c r="LF416" s="13">
        <f>IF(LB416=1,$LB$31,$LB$32)</f>
        <v>152394.16214437486</v>
      </c>
      <c r="LG416" s="13">
        <f>LE416-LF416</f>
        <v>-67536.24233828067</v>
      </c>
      <c r="LH416" s="13">
        <f>LH415+LG416</f>
        <v>-22489568.698647585</v>
      </c>
      <c r="LI416">
        <f>IF(LH416=MAX($LH$83:$LH$483),$A416,0)</f>
        <v>0</v>
      </c>
      <c r="LJ416">
        <f>IF(LE416&lt;LF416,$A416,B_MAX+1)</f>
        <v>333</v>
      </c>
      <c r="LK416" s="13">
        <f>IF(LB416=1,$LB$35,$LB$36)</f>
        <v>0</v>
      </c>
      <c r="LL416" s="13">
        <f>OCC_DAYS*$LB$41*R_NF_2023-LD416*MCD_SHARE_FREED*R_WAIT_2023</f>
        <v>113776.04162887059</v>
      </c>
      <c r="LM416">
        <f>IF($A416&lt;=$LB$45,1,0)</f>
        <v>0</v>
      </c>
      <c r="MB416">
        <f>IF($MB$31&lt;=$MB$32,IF($A416&lt;=$MB$7,1,2),IF($A416&lt;=RUNG_BEDS_2,2,1))</f>
        <v>1</v>
      </c>
      <c r="MC416" s="5">
        <f>MIN(1,MAX(0,$MB$26-($A416-1)))</f>
        <v>0</v>
      </c>
      <c r="MD416" s="5">
        <f>$MB$25*(MC416+(1-MC416)*$MB$16)</f>
        <v>0.0</v>
      </c>
      <c r="ME416" s="13">
        <f>MD416*($MB$6+ACUTE_MARGIN)</f>
        <v>0.0</v>
      </c>
      <c r="MF416" s="13">
        <f>IF(MB416=1,$MB$31,$MB$32)</f>
        <v>152394.16214437486</v>
      </c>
      <c r="MG416" s="13">
        <f>ME416-MF416</f>
        <v>-152394.16214437486</v>
      </c>
      <c r="MH416" s="13">
        <f>MH415+MG416</f>
        <v>-18405561.42760278</v>
      </c>
      <c r="MI416">
        <f>IF(MH416=MAX($MH$83:$MH$483),$A416,0)</f>
        <v>0</v>
      </c>
      <c r="MJ416">
        <f>IF(ME416&lt;MF416,$A416,B_MAX+1)</f>
        <v>333</v>
      </c>
      <c r="MK416" s="13">
        <f>IF(MB416=1,$MB$35,$MB$36)</f>
        <v>0</v>
      </c>
      <c r="ML416" s="13">
        <f>OCC_DAYS*$MB$41*R_NF_2023-MD416*MCD_SHARE_FREED*R_WAIT_2023</f>
        <v>151980.48282209205</v>
      </c>
      <c r="MM416">
        <f>IF($A416&lt;=$MB$45,1,0)</f>
        <v>0</v>
      </c>
      <c r="NB416">
        <f>IF($NB$31&lt;=$NB$32,IF($A416&lt;=$NB$7,1,2),IF($A416&lt;=RUNG_BEDS_2,2,1))</f>
        <v>1</v>
      </c>
      <c r="NC416" s="5">
        <f>MIN(1,MAX(0,$NB$26-($A416-1)))</f>
        <v>0</v>
      </c>
      <c r="ND416" s="5">
        <f>$NB$25*(NC416+(1-NC416)*$NB$16)</f>
        <v>63.013306786703595</v>
      </c>
      <c r="NE416" s="13">
        <f>ND416*($NB$6+ACUTE_MARGIN)</f>
        <v>63643.43985457063</v>
      </c>
      <c r="NF416" s="13">
        <f>IF(NB416=1,$NB$31,$NB$32)</f>
        <v>152394.16214437486</v>
      </c>
      <c r="NG416" s="13">
        <f>NE416-NF416</f>
        <v>-88750.72228980422</v>
      </c>
      <c r="NH416" s="13">
        <f>NH415+NG416</f>
        <v>-882262.5513005834</v>
      </c>
      <c r="NI416">
        <f>IF(NH416=MAX($NH$83:$NH$483),$A416,0)</f>
        <v>0</v>
      </c>
      <c r="NJ416">
        <f>IF(NE416&lt;NF416,$A416,B_MAX+1)</f>
        <v>333</v>
      </c>
      <c r="NK416" s="13">
        <f>IF(NB416=1,$NB$35,$NB$36)</f>
        <v>0</v>
      </c>
      <c r="NL416" s="13">
        <f>OCC_DAYS*$NB$41*R_NF_2023-ND416*MCD_SHARE_FREED*R_WAIT_2023</f>
        <v>123327.15192717595</v>
      </c>
      <c r="NM416">
        <f>IF($A416&lt;=$NB$45,1,0)</f>
        <v>0</v>
      </c>
      <c r="OB416">
        <f>IF($OB$31&lt;=$OB$32,IF($A416&lt;=$OB$7,1,2),IF($A416&lt;=RUNG_BEDS_2,2,1))</f>
        <v>1</v>
      </c>
      <c r="OC416" s="5">
        <f>MIN(1,MAX(0,$OB$26-($A416-1)))</f>
        <v>0</v>
      </c>
      <c r="OD416" s="5">
        <f>$OB$25*(OC416+(1-OC416)*$OB$16)</f>
        <v>126.02661357340719</v>
      </c>
      <c r="OE416" s="13">
        <f>OD416*($OB$6+ACUTE_MARGIN)</f>
        <v>127286.87970914126</v>
      </c>
      <c r="OF416" s="13">
        <f>IF(OB416=1,$OB$31,$OB$32)</f>
        <v>152394.16214437486</v>
      </c>
      <c r="OG416" s="13">
        <f>OE416-OF416</f>
        <v>-25107.282435233603</v>
      </c>
      <c r="OH416" s="13">
        <f>OH415+OG416</f>
        <v>10753760.263203545</v>
      </c>
      <c r="OI416">
        <f>IF(OH416=MAX($OH$83:$OH$483),$A416,0)</f>
        <v>0</v>
      </c>
      <c r="OJ416">
        <f>IF(OE416&lt;OF416,$A416,B_MAX+1)</f>
        <v>333</v>
      </c>
      <c r="OK416" s="13">
        <f>IF(OB416=1,$OB$35,$OB$36)</f>
        <v>0</v>
      </c>
      <c r="OL416" s="13">
        <f>OCC_DAYS*$OB$41*R_NF_2023-OD416*MCD_SHARE_FREED*R_WAIT_2023</f>
        <v>94673.82103225985</v>
      </c>
      <c r="OM416">
        <f>IF($A416&lt;=$OB$45,1,0)</f>
        <v>0</v>
      </c>
    </row>
    <row r="417">
      <c r="A417" t="n">
        <v>334</v>
      </c>
      <c r="B417">
        <f>IF($B$31&lt;=$B$32,IF($A417&lt;=$B$7,1,2),IF($A417&lt;=RUNG_BEDS_2,2,1))</f>
        <v>1</v>
      </c>
      <c r="C417" s="5">
        <f>MIN(1,MAX(0,$B$26-($A417-1)))</f>
        <v>0</v>
      </c>
      <c r="D417" s="5">
        <f>$B$25*(C417+(1-C417)*$B$16)</f>
        <v>0.0</v>
      </c>
      <c r="E417" s="13">
        <f>D417*($B$6+ACUTE_MARGIN)</f>
        <v>0.0</v>
      </c>
      <c r="F417" s="13">
        <f>IF(B417=1,$B$31,$B$32)</f>
        <v>152394.16214437486</v>
      </c>
      <c r="G417" s="13">
        <f>E417-F417</f>
        <v>-152394.16214437486</v>
      </c>
      <c r="H417" s="13">
        <f>H416+G417</f>
        <v>-12670679.527948853</v>
      </c>
      <c r="I417">
        <f>IF(H417=MAX($H$83:$H$483),$A417,0)</f>
        <v>0</v>
      </c>
      <c r="J417">
        <f>IF(E417&lt;F417,$A417,B_MAX+1)</f>
        <v>334</v>
      </c>
      <c r="K417" s="13">
        <f>IF(B417=1,$B$35,$B$36)</f>
        <v>0</v>
      </c>
      <c r="L417" s="13">
        <f>OCC_DAYS*$B$41*R_NF_2023-D417*MCD_SHARE_FREED*R_WAIT_2023</f>
        <v>151980.48282209205</v>
      </c>
      <c r="M417">
        <f>IF($A417&lt;=$B$45,1,0)</f>
        <v>0</v>
      </c>
      <c r="AB417">
        <f>IF($AB$31&lt;=$AB$32,IF($A417&lt;=$AB$7,1,2),IF($A417&lt;=RUNG_BEDS_2,2,1))</f>
        <v>1</v>
      </c>
      <c r="AC417" s="5">
        <f>MIN(1,MAX(0,$AB$26-($A417-1)))</f>
        <v>0</v>
      </c>
      <c r="AD417" s="5">
        <f>$AB$25*(AC417+(1-AC417)*$AB$16)</f>
        <v>0.0</v>
      </c>
      <c r="AE417" s="13">
        <f>AD417*($AB$6+ACUTE_MARGIN)</f>
        <v>0.0</v>
      </c>
      <c r="AF417" s="13">
        <f>IF(AB417=1,$AB$31,$AB$32)</f>
        <v>152394.16214437486</v>
      </c>
      <c r="AG417" s="13">
        <f>AE417-AF417</f>
        <v>-152394.16214437486</v>
      </c>
      <c r="AH417" s="13">
        <f>AH416+AG417</f>
        <v>-30081893.87349859</v>
      </c>
      <c r="AI417">
        <f>IF(AH417=MAX($AH$83:$AH$483),$A417,0)</f>
        <v>0</v>
      </c>
      <c r="AJ417">
        <f>IF(AE417&lt;AF417,$A417,B_MAX+1)</f>
        <v>334</v>
      </c>
      <c r="AK417" s="13">
        <f>IF(AB417=1,$AB$35,$AB$36)</f>
        <v>0</v>
      </c>
      <c r="AL417" s="13">
        <f>OCC_DAYS*$AB$41*R_NF_2023-AD417*MCD_SHARE_FREED*R_WAIT_2023</f>
        <v>151980.48282209205</v>
      </c>
      <c r="AM417">
        <f>IF($A417&lt;=$AB$45,1,0)</f>
        <v>0</v>
      </c>
      <c r="BB417">
        <f>IF($BB$31&lt;=$BB$32,IF($A417&lt;=$BB$7,1,2),IF($A417&lt;=RUNG_BEDS_2,2,1))</f>
        <v>1</v>
      </c>
      <c r="BC417" s="5">
        <f>MIN(1,MAX(0,$BB$26-($A417-1)))</f>
        <v>0</v>
      </c>
      <c r="BD417" s="5">
        <f>$BB$25*(BC417+(1-BC417)*$BB$16)</f>
        <v>0.0</v>
      </c>
      <c r="BE417" s="13">
        <f>BD417*($BB$6+ACUTE_MARGIN)</f>
        <v>0.0</v>
      </c>
      <c r="BF417" s="13">
        <f>IF(BB417=1,$BB$31,$BB$32)</f>
        <v>152394.16214437486</v>
      </c>
      <c r="BG417" s="13">
        <f>BE417-BF417</f>
        <v>-152394.16214437486</v>
      </c>
      <c r="BH417" s="13">
        <f>BH416+BG417</f>
        <v>4740534.817600884</v>
      </c>
      <c r="BI417">
        <f>IF(BH417=MAX($BH$83:$BH$483),$A417,0)</f>
        <v>0</v>
      </c>
      <c r="BJ417">
        <f>IF(BE417&lt;BF417,$A417,B_MAX+1)</f>
        <v>334</v>
      </c>
      <c r="BK417" s="13">
        <f>IF(BB417=1,$BB$35,$BB$36)</f>
        <v>0</v>
      </c>
      <c r="BL417" s="13">
        <f>OCC_DAYS*$BB$41*R_NF_2023-BD417*MCD_SHARE_FREED*R_WAIT_2023</f>
        <v>151980.48282209205</v>
      </c>
      <c r="BM417">
        <f>IF($A417&lt;=$BB$45,1,0)</f>
        <v>0</v>
      </c>
      <c r="CB417">
        <f>IF($CB$31&lt;=$CB$32,IF($A417&lt;=$CB$7,1,2),IF($A417&lt;=RUNG_BEDS_2,2,1))</f>
        <v>2</v>
      </c>
      <c r="CC417" s="5">
        <f>MIN(1,MAX(0,$CB$26-($A417-1)))</f>
        <v>0</v>
      </c>
      <c r="CD417" s="5">
        <f>$CB$25*(CC417+(1-CC417)*$CB$16)</f>
        <v>0.0</v>
      </c>
      <c r="CE417" s="13">
        <f>CD417*($CB$6+ACUTE_MARGIN)</f>
        <v>0.0</v>
      </c>
      <c r="CF417" s="13">
        <f>IF(CB417=1,$CB$31,$CB$32)</f>
        <v>160718.36940738867</v>
      </c>
      <c r="CG417" s="13">
        <f>CE417-CF417</f>
        <v>-160718.36940738867</v>
      </c>
      <c r="CH417" s="13">
        <f>CH416+CG417</f>
        <v>-15450964.753795616</v>
      </c>
      <c r="CI417">
        <f>IF(CH417=MAX($CH$83:$CH$483),$A417,0)</f>
        <v>0</v>
      </c>
      <c r="CJ417">
        <f>IF(CE417&lt;CF417,$A417,B_MAX+1)</f>
        <v>334</v>
      </c>
      <c r="CK417" s="13">
        <f>IF(CB417=1,$CB$35,$CB$36)</f>
        <v>1560.1194073886782</v>
      </c>
      <c r="CL417" s="13">
        <f>OCC_DAYS*$CB$41*R_NF_2023-CD417*MCD_SHARE_FREED*R_WAIT_2023</f>
        <v>151980.48282209205</v>
      </c>
      <c r="CM417">
        <f>IF($A417&lt;=$CB$45,1,0)</f>
        <v>0</v>
      </c>
      <c r="DB417">
        <f>IF($DB$31&lt;=$DB$32,IF($A417&lt;=$DB$7,1,2),IF($A417&lt;=RUNG_BEDS_2,2,1))</f>
        <v>1</v>
      </c>
      <c r="DC417" s="5">
        <f>MIN(1,MAX(0,$DB$26-($A417-1)))</f>
        <v>0</v>
      </c>
      <c r="DD417" s="5">
        <f>$DB$25*(DC417+(1-DC417)*$DB$16)</f>
        <v>0.0</v>
      </c>
      <c r="DE417" s="13">
        <f>DD417*($DB$6+ACUTE_MARGIN)</f>
        <v>0.0</v>
      </c>
      <c r="DF417" s="13">
        <f>IF(DB417=1,$DB$31,$DB$32)</f>
        <v>152394.16214437486</v>
      </c>
      <c r="DG417" s="13">
        <f>DE417-DF417</f>
        <v>-152394.16214437486</v>
      </c>
      <c r="DH417" s="13">
        <f>DH416+DG417</f>
        <v>-12670679.527948853</v>
      </c>
      <c r="DI417">
        <f>IF(DH417=MAX($DH$83:$DH$483),$A417,0)</f>
        <v>0</v>
      </c>
      <c r="DJ417">
        <f>IF(DE417&lt;DF417,$A417,B_MAX+1)</f>
        <v>334</v>
      </c>
      <c r="DK417" s="13">
        <f>IF(DB417=1,$DB$35,$DB$36)</f>
        <v>0</v>
      </c>
      <c r="DL417" s="13">
        <f>OCC_DAYS*$DB$41*R_NF_2023-DD417*MCD_SHARE_FREED*R_WAIT_2023</f>
        <v>151980.48282209205</v>
      </c>
      <c r="DM417">
        <f>IF($A417&lt;=$DB$45,1,0)</f>
        <v>0</v>
      </c>
      <c r="EB417">
        <f>IF($EB$31&lt;=$EB$32,IF($A417&lt;=$EB$7,1,2),IF($A417&lt;=RUNG_BEDS_2,2,1))</f>
        <v>1</v>
      </c>
      <c r="EC417" s="5">
        <f>MIN(1,MAX(0,$EB$26-($A417-1)))</f>
        <v>0</v>
      </c>
      <c r="ED417" s="5">
        <f>$EB$25*(EC417+(1-EC417)*$EB$16)</f>
        <v>0.0</v>
      </c>
      <c r="EE417" s="13">
        <f>ED417*($EB$6+ACUTE_MARGIN)</f>
        <v>0.0</v>
      </c>
      <c r="EF417" s="13">
        <f>IF(EB417=1,$EB$31,$EB$32)</f>
        <v>152394.16214437486</v>
      </c>
      <c r="EG417" s="13">
        <f>EE417-EF417</f>
        <v>-152394.16214437486</v>
      </c>
      <c r="EH417" s="13">
        <f>EH416+EG417</f>
        <v>-12670679.527948853</v>
      </c>
      <c r="EI417">
        <f>IF(EH417=MAX($EH$83:$EH$483),$A417,0)</f>
        <v>0</v>
      </c>
      <c r="EJ417">
        <f>IF(EE417&lt;EF417,$A417,B_MAX+1)</f>
        <v>334</v>
      </c>
      <c r="EK417" s="13">
        <f>IF(EB417=1,$EB$35,$EB$36)</f>
        <v>0</v>
      </c>
      <c r="EL417" s="13">
        <f>OCC_DAYS*$EB$41*R_NF_2023-ED417*MCD_SHARE_FREED*R_WAIT_2023</f>
        <v>50660.16094069735</v>
      </c>
      <c r="EM417">
        <f>IF($A417&lt;=$EB$45,1,0)</f>
        <v>0</v>
      </c>
      <c r="FB417">
        <f>IF($FB$31&lt;=$FB$32,IF($A417&lt;=$FB$7,1,2),IF($A417&lt;=RUNG_BEDS_2,2,1))</f>
        <v>1</v>
      </c>
      <c r="FC417" s="5">
        <f>MIN(1,MAX(0,$FB$26-($A417-1)))</f>
        <v>0</v>
      </c>
      <c r="FD417" s="5">
        <f>$FB$25*(FC417+(1-FC417)*$FB$16)</f>
        <v>0.0</v>
      </c>
      <c r="FE417" s="13">
        <f>FD417*($FB$6+ACUTE_MARGIN)</f>
        <v>0.0</v>
      </c>
      <c r="FF417" s="13">
        <f>IF(FB417=1,$FB$31,$FB$32)</f>
        <v>156636.04979437485</v>
      </c>
      <c r="FG417" s="13">
        <f>FE417-FF417</f>
        <v>-156636.04979437485</v>
      </c>
      <c r="FH417" s="13">
        <f>FH416+FG417</f>
        <v>-14087470.003048956</v>
      </c>
      <c r="FI417">
        <f>IF(FH417=MAX($FH$83:$FH$483),$A417,0)</f>
        <v>0</v>
      </c>
      <c r="FJ417">
        <f>IF(FE417&lt;FF417,$A417,B_MAX+1)</f>
        <v>334</v>
      </c>
      <c r="FK417" s="13">
        <f>IF(FB417=1,$FB$35,$FB$36)</f>
        <v>0</v>
      </c>
      <c r="FL417" s="13">
        <f>OCC_DAYS*$FB$41*R_NF_2023-FD417*MCD_SHARE_FREED*R_WAIT_2023</f>
        <v>151980.48282209205</v>
      </c>
      <c r="FM417">
        <f>IF($A417&lt;=$FB$45,1,0)</f>
        <v>0</v>
      </c>
      <c r="GB417">
        <f>IF($GB$31&lt;=$GB$32,IF($A417&lt;=$GB$7,1,2),IF($A417&lt;=RUNG_BEDS_2,2,1))</f>
        <v>1</v>
      </c>
      <c r="GC417" s="5">
        <f>MIN(1,MAX(0,$GB$26-($A417-1)))</f>
        <v>0</v>
      </c>
      <c r="GD417" s="5">
        <f>$GB$25*(GC417+(1-GC417)*$GB$16)</f>
        <v>0.0</v>
      </c>
      <c r="GE417" s="13">
        <f>GD417*($GB$6+ACUTE_MARGIN)</f>
        <v>0.0</v>
      </c>
      <c r="GF417" s="13">
        <f>IF(GB417=1,$GB$31,$GB$32)</f>
        <v>152394.16214437486</v>
      </c>
      <c r="GG417" s="13">
        <f>GE417-GF417</f>
        <v>-152394.16214437486</v>
      </c>
      <c r="GH417" s="13">
        <f>GH416+GG417</f>
        <v>-12670679.527948853</v>
      </c>
      <c r="GI417">
        <f>IF(GH417=MAX($GH$83:$GH$483),$A417,0)</f>
        <v>0</v>
      </c>
      <c r="GJ417">
        <f>IF(GE417&lt;GF417,$A417,B_MAX+1)</f>
        <v>334</v>
      </c>
      <c r="GK417" s="13">
        <f>IF(GB417=1,$GB$35,$GB$36)</f>
        <v>0</v>
      </c>
      <c r="GL417" s="13">
        <f>OCC_DAYS*$GB$41*R_NF_2023-GD417*MCD_SHARE_FREED*R_WAIT_2023</f>
        <v>151980.48282209205</v>
      </c>
      <c r="GM417">
        <f>IF($A417&lt;=$GB$45,1,0)</f>
        <v>0</v>
      </c>
      <c r="HB417">
        <f>IF($HB$31&lt;=$HB$32,IF($A417&lt;=$HB$7,1,2),IF($A417&lt;=RUNG_BEDS_2,2,1))</f>
        <v>1</v>
      </c>
      <c r="HC417" s="5">
        <f>MIN(1,MAX(0,$HB$26-($A417-1)))</f>
        <v>0</v>
      </c>
      <c r="HD417" s="5">
        <f>$HB$25*(HC417+(1-HC417)*$HB$16)</f>
        <v>0.0</v>
      </c>
      <c r="HE417" s="13">
        <f>HD417*($HB$6+ACUTE_MARGIN)</f>
        <v>0.0</v>
      </c>
      <c r="HF417" s="13">
        <f>IF(HB417=1,$HB$31,$HB$32)</f>
        <v>152456.2970814058</v>
      </c>
      <c r="HG417" s="13">
        <f>HE417-HF417</f>
        <v>-152456.2970814058</v>
      </c>
      <c r="HH417" s="13">
        <f>HH416+HG417</f>
        <v>-12691432.596917238</v>
      </c>
      <c r="HI417">
        <f>IF(HH417=MAX($HH$83:$HH$483),$A417,0)</f>
        <v>0</v>
      </c>
      <c r="HJ417">
        <f>IF(HE417&lt;HF417,$A417,B_MAX+1)</f>
        <v>334</v>
      </c>
      <c r="HK417" s="13">
        <f>IF(HB417=1,$HB$35,$HB$36)</f>
        <v>0</v>
      </c>
      <c r="HL417" s="13">
        <f>OCC_DAYS*$HB$41*R_NF_2023-HD417*MCD_SHARE_FREED*R_WAIT_2023</f>
        <v>151980.48282209205</v>
      </c>
      <c r="HM417">
        <f>IF($A417&lt;=$HB$45,1,0)</f>
        <v>0</v>
      </c>
      <c r="IB417">
        <f>IF($IB$31&lt;=$IB$32,IF($A417&lt;=$IB$7,1,2),IF($A417&lt;=RUNG_BEDS_2,2,1))</f>
        <v>1</v>
      </c>
      <c r="IC417" s="5">
        <f>MIN(1,MAX(0,$IB$26-($A417-1)))</f>
        <v>0</v>
      </c>
      <c r="ID417" s="5">
        <f>$IB$25*(IC417+(1-IC417)*$IB$16)</f>
        <v>0.0</v>
      </c>
      <c r="IE417" s="13">
        <f>ID417*($IB$6+ACUTE_MARGIN)</f>
        <v>0.0</v>
      </c>
      <c r="IF417" s="13">
        <f>IF(IB417=1,$IB$31,$IB$32)</f>
        <v>152734.9994534971</v>
      </c>
      <c r="IG417" s="13">
        <f>IE417-IF417</f>
        <v>-152734.9994534971</v>
      </c>
      <c r="IH417" s="13">
        <f>IH416+IG417</f>
        <v>-12784519.189195763</v>
      </c>
      <c r="II417">
        <f>IF(IH417=MAX($IH$83:$IH$483),$A417,0)</f>
        <v>0</v>
      </c>
      <c r="IJ417">
        <f>IF(IE417&lt;IF417,$A417,B_MAX+1)</f>
        <v>334</v>
      </c>
      <c r="IK417" s="13">
        <f>IF(IB417=1,$IB$35,$IB$36)</f>
        <v>0</v>
      </c>
      <c r="IL417" s="13">
        <f>OCC_DAYS*$IB$41*R_NF_2023-ID417*MCD_SHARE_FREED*R_WAIT_2023</f>
        <v>151980.48282209205</v>
      </c>
      <c r="IM417">
        <f>IF($A417&lt;=$IB$45,1,0)</f>
        <v>0</v>
      </c>
      <c r="JB417">
        <f>IF($JB$31&lt;=$JB$32,IF($A417&lt;=$JB$7,1,2),IF($A417&lt;=RUNG_BEDS_2,2,1))</f>
        <v>1</v>
      </c>
      <c r="JC417" s="5">
        <f>MIN(1,MAX(0,$JB$26-($A417-1)))</f>
        <v>0</v>
      </c>
      <c r="JD417" s="5">
        <f>$JB$25*(JC417+(1-JC417)*$JB$16)</f>
        <v>0.0</v>
      </c>
      <c r="JE417" s="13">
        <f>JD417*($JB$6+ACUTE_MARGIN)</f>
        <v>0.0</v>
      </c>
      <c r="JF417" s="13">
        <f>IF(JB417=1,$JB$31,$JB$32)</f>
        <v>152394.16214437486</v>
      </c>
      <c r="JG417" s="13">
        <f>JE417-JF417</f>
        <v>-152394.16214437486</v>
      </c>
      <c r="JH417" s="13">
        <f>JH416+JG417</f>
        <v>-12670679.527948853</v>
      </c>
      <c r="JI417">
        <f>IF(JH417=MAX($JH$83:$JH$483),$A417,0)</f>
        <v>0</v>
      </c>
      <c r="JJ417">
        <f>IF(JE417&lt;JF417,$A417,B_MAX+1)</f>
        <v>334</v>
      </c>
      <c r="JK417" s="13">
        <f>IF(JB417=1,$JB$35,$JB$36)</f>
        <v>0</v>
      </c>
      <c r="JL417" s="13">
        <f>OCC_DAYS*$JB$41*R_NF_2023-JD417*MCD_SHARE_FREED*R_WAIT_2023</f>
        <v>151980.48282209205</v>
      </c>
      <c r="JM417">
        <f>IF($A417&lt;=$JB$45,1,0)</f>
        <v>0</v>
      </c>
      <c r="KB417">
        <f>IF($KB$31&lt;=$KB$32,IF($A417&lt;=$KB$7,1,2),IF($A417&lt;=RUNG_BEDS_2,2,1))</f>
        <v>1</v>
      </c>
      <c r="KC417" s="5">
        <f>MIN(1,MAX(0,$KB$26-($A417-1)))</f>
        <v>0</v>
      </c>
      <c r="KD417" s="5">
        <f>$KB$25*(KC417+(1-KC417)*$KB$16)</f>
        <v>0.0</v>
      </c>
      <c r="KE417" s="13">
        <f>KD417*($KB$6+ACUTE_MARGIN)</f>
        <v>0.0</v>
      </c>
      <c r="KF417" s="13">
        <f>IF(KB417=1,$KB$31,$KB$32)</f>
        <v>152394.16214437486</v>
      </c>
      <c r="KG417" s="13">
        <f>KE417-KF417</f>
        <v>-152394.16214437486</v>
      </c>
      <c r="KH417" s="13">
        <f>KH416+KG417</f>
        <v>-12670679.527948959</v>
      </c>
      <c r="KI417">
        <f>IF(KH417=MAX($KH$83:$KH$483),$A417,0)</f>
        <v>0</v>
      </c>
      <c r="KJ417">
        <f>IF(KE417&lt;KF417,$A417,B_MAX+1)</f>
        <v>334</v>
      </c>
      <c r="KK417" s="13">
        <f>IF(KB417=1,$KB$35,$KB$36)</f>
        <v>0</v>
      </c>
      <c r="KL417" s="13">
        <f>OCC_DAYS*$KB$41*R_NF_2023-KD417*MCD_SHARE_FREED*R_WAIT_2023</f>
        <v>151980.48282209205</v>
      </c>
      <c r="KM417">
        <f>IF($A417&lt;=$KB$45,1,0)</f>
        <v>0</v>
      </c>
      <c r="LB417">
        <f>IF($LB$31&lt;=$LB$32,IF($A417&lt;=$LB$7,1,2),IF($A417&lt;=RUNG_BEDS_2,2,1))</f>
        <v>1</v>
      </c>
      <c r="LC417" s="5">
        <f>MIN(1,MAX(0,$LB$26-($A417-1)))</f>
        <v>1</v>
      </c>
      <c r="LD417" s="5">
        <f>$LB$25*(LC417+(1-LC417)*$LB$16)</f>
        <v>84.01774238227146</v>
      </c>
      <c r="LE417" s="13">
        <f>LD417*($LB$6+ACUTE_MARGIN)</f>
        <v>84857.91980609419</v>
      </c>
      <c r="LF417" s="13">
        <f>IF(LB417=1,$LB$31,$LB$32)</f>
        <v>152394.16214437486</v>
      </c>
      <c r="LG417" s="13">
        <f>LE417-LF417</f>
        <v>-67536.24233828067</v>
      </c>
      <c r="LH417" s="13">
        <f>LH416+LG417</f>
        <v>-22557104.940985866</v>
      </c>
      <c r="LI417">
        <f>IF(LH417=MAX($LH$83:$LH$483),$A417,0)</f>
        <v>0</v>
      </c>
      <c r="LJ417">
        <f>IF(LE417&lt;LF417,$A417,B_MAX+1)</f>
        <v>334</v>
      </c>
      <c r="LK417" s="13">
        <f>IF(LB417=1,$LB$35,$LB$36)</f>
        <v>0</v>
      </c>
      <c r="LL417" s="13">
        <f>OCC_DAYS*$LB$41*R_NF_2023-LD417*MCD_SHARE_FREED*R_WAIT_2023</f>
        <v>113776.04162887059</v>
      </c>
      <c r="LM417">
        <f>IF($A417&lt;=$LB$45,1,0)</f>
        <v>0</v>
      </c>
      <c r="MB417">
        <f>IF($MB$31&lt;=$MB$32,IF($A417&lt;=$MB$7,1,2),IF($A417&lt;=RUNG_BEDS_2,2,1))</f>
        <v>1</v>
      </c>
      <c r="MC417" s="5">
        <f>MIN(1,MAX(0,$MB$26-($A417-1)))</f>
        <v>0</v>
      </c>
      <c r="MD417" s="5">
        <f>$MB$25*(MC417+(1-MC417)*$MB$16)</f>
        <v>0.0</v>
      </c>
      <c r="ME417" s="13">
        <f>MD417*($MB$6+ACUTE_MARGIN)</f>
        <v>0.0</v>
      </c>
      <c r="MF417" s="13">
        <f>IF(MB417=1,$MB$31,$MB$32)</f>
        <v>152394.16214437486</v>
      </c>
      <c r="MG417" s="13">
        <f>ME417-MF417</f>
        <v>-152394.16214437486</v>
      </c>
      <c r="MH417" s="13">
        <f>MH416+MG417</f>
        <v>-18557955.589747153</v>
      </c>
      <c r="MI417">
        <f>IF(MH417=MAX($MH$83:$MH$483),$A417,0)</f>
        <v>0</v>
      </c>
      <c r="MJ417">
        <f>IF(ME417&lt;MF417,$A417,B_MAX+1)</f>
        <v>334</v>
      </c>
      <c r="MK417" s="13">
        <f>IF(MB417=1,$MB$35,$MB$36)</f>
        <v>0</v>
      </c>
      <c r="ML417" s="13">
        <f>OCC_DAYS*$MB$41*R_NF_2023-MD417*MCD_SHARE_FREED*R_WAIT_2023</f>
        <v>151980.48282209205</v>
      </c>
      <c r="MM417">
        <f>IF($A417&lt;=$MB$45,1,0)</f>
        <v>0</v>
      </c>
      <c r="NB417">
        <f>IF($NB$31&lt;=$NB$32,IF($A417&lt;=$NB$7,1,2),IF($A417&lt;=RUNG_BEDS_2,2,1))</f>
        <v>1</v>
      </c>
      <c r="NC417" s="5">
        <f>MIN(1,MAX(0,$NB$26-($A417-1)))</f>
        <v>0</v>
      </c>
      <c r="ND417" s="5">
        <f>$NB$25*(NC417+(1-NC417)*$NB$16)</f>
        <v>63.013306786703595</v>
      </c>
      <c r="NE417" s="13">
        <f>ND417*($NB$6+ACUTE_MARGIN)</f>
        <v>63643.43985457063</v>
      </c>
      <c r="NF417" s="13">
        <f>IF(NB417=1,$NB$31,$NB$32)</f>
        <v>152394.16214437486</v>
      </c>
      <c r="NG417" s="13">
        <f>NE417-NF417</f>
        <v>-88750.72228980422</v>
      </c>
      <c r="NH417" s="13">
        <f>NH416+NG417</f>
        <v>-971013.2735903877</v>
      </c>
      <c r="NI417">
        <f>IF(NH417=MAX($NH$83:$NH$483),$A417,0)</f>
        <v>0</v>
      </c>
      <c r="NJ417">
        <f>IF(NE417&lt;NF417,$A417,B_MAX+1)</f>
        <v>334</v>
      </c>
      <c r="NK417" s="13">
        <f>IF(NB417=1,$NB$35,$NB$36)</f>
        <v>0</v>
      </c>
      <c r="NL417" s="13">
        <f>OCC_DAYS*$NB$41*R_NF_2023-ND417*MCD_SHARE_FREED*R_WAIT_2023</f>
        <v>123327.15192717595</v>
      </c>
      <c r="NM417">
        <f>IF($A417&lt;=$NB$45,1,0)</f>
        <v>0</v>
      </c>
      <c r="OB417">
        <f>IF($OB$31&lt;=$OB$32,IF($A417&lt;=$OB$7,1,2),IF($A417&lt;=RUNG_BEDS_2,2,1))</f>
        <v>1</v>
      </c>
      <c r="OC417" s="5">
        <f>MIN(1,MAX(0,$OB$26-($A417-1)))</f>
        <v>0</v>
      </c>
      <c r="OD417" s="5">
        <f>$OB$25*(OC417+(1-OC417)*$OB$16)</f>
        <v>126.02661357340719</v>
      </c>
      <c r="OE417" s="13">
        <f>OD417*($OB$6+ACUTE_MARGIN)</f>
        <v>127286.87970914126</v>
      </c>
      <c r="OF417" s="13">
        <f>IF(OB417=1,$OB$31,$OB$32)</f>
        <v>152394.16214437486</v>
      </c>
      <c r="OG417" s="13">
        <f>OE417-OF417</f>
        <v>-25107.282435233603</v>
      </c>
      <c r="OH417" s="13">
        <f>OH416+OG417</f>
        <v>10728652.980768312</v>
      </c>
      <c r="OI417">
        <f>IF(OH417=MAX($OH$83:$OH$483),$A417,0)</f>
        <v>0</v>
      </c>
      <c r="OJ417">
        <f>IF(OE417&lt;OF417,$A417,B_MAX+1)</f>
        <v>334</v>
      </c>
      <c r="OK417" s="13">
        <f>IF(OB417=1,$OB$35,$OB$36)</f>
        <v>0</v>
      </c>
      <c r="OL417" s="13">
        <f>OCC_DAYS*$OB$41*R_NF_2023-OD417*MCD_SHARE_FREED*R_WAIT_2023</f>
        <v>94673.82103225985</v>
      </c>
      <c r="OM417">
        <f>IF($A417&lt;=$OB$45,1,0)</f>
        <v>0</v>
      </c>
    </row>
    <row r="418">
      <c r="A418" t="n">
        <v>335</v>
      </c>
      <c r="B418">
        <f>IF($B$31&lt;=$B$32,IF($A418&lt;=$B$7,1,2),IF($A418&lt;=RUNG_BEDS_2,2,1))</f>
        <v>1</v>
      </c>
      <c r="C418" s="5">
        <f>MIN(1,MAX(0,$B$26-($A418-1)))</f>
        <v>0</v>
      </c>
      <c r="D418" s="5">
        <f>$B$25*(C418+(1-C418)*$B$16)</f>
        <v>0.0</v>
      </c>
      <c r="E418" s="13">
        <f>D418*($B$6+ACUTE_MARGIN)</f>
        <v>0.0</v>
      </c>
      <c r="F418" s="13">
        <f>IF(B418=1,$B$31,$B$32)</f>
        <v>152394.16214437486</v>
      </c>
      <c r="G418" s="13">
        <f>E418-F418</f>
        <v>-152394.16214437486</v>
      </c>
      <c r="H418" s="13">
        <f>H417+G418</f>
        <v>-12823073.690093227</v>
      </c>
      <c r="I418">
        <f>IF(H418=MAX($H$83:$H$483),$A418,0)</f>
        <v>0</v>
      </c>
      <c r="J418">
        <f>IF(E418&lt;F418,$A418,B_MAX+1)</f>
        <v>335</v>
      </c>
      <c r="K418" s="13">
        <f>IF(B418=1,$B$35,$B$36)</f>
        <v>0</v>
      </c>
      <c r="L418" s="13">
        <f>OCC_DAYS*$B$41*R_NF_2023-D418*MCD_SHARE_FREED*R_WAIT_2023</f>
        <v>151980.48282209205</v>
      </c>
      <c r="M418">
        <f>IF($A418&lt;=$B$45,1,0)</f>
        <v>0</v>
      </c>
      <c r="AB418">
        <f>IF($AB$31&lt;=$AB$32,IF($A418&lt;=$AB$7,1,2),IF($A418&lt;=RUNG_BEDS_2,2,1))</f>
        <v>1</v>
      </c>
      <c r="AC418" s="5">
        <f>MIN(1,MAX(0,$AB$26-($A418-1)))</f>
        <v>0</v>
      </c>
      <c r="AD418" s="5">
        <f>$AB$25*(AC418+(1-AC418)*$AB$16)</f>
        <v>0.0</v>
      </c>
      <c r="AE418" s="13">
        <f>AD418*($AB$6+ACUTE_MARGIN)</f>
        <v>0.0</v>
      </c>
      <c r="AF418" s="13">
        <f>IF(AB418=1,$AB$31,$AB$32)</f>
        <v>152394.16214437486</v>
      </c>
      <c r="AG418" s="13">
        <f>AE418-AF418</f>
        <v>-152394.16214437486</v>
      </c>
      <c r="AH418" s="13">
        <f>AH417+AG418</f>
        <v>-30234288.035642963</v>
      </c>
      <c r="AI418">
        <f>IF(AH418=MAX($AH$83:$AH$483),$A418,0)</f>
        <v>0</v>
      </c>
      <c r="AJ418">
        <f>IF(AE418&lt;AF418,$A418,B_MAX+1)</f>
        <v>335</v>
      </c>
      <c r="AK418" s="13">
        <f>IF(AB418=1,$AB$35,$AB$36)</f>
        <v>0</v>
      </c>
      <c r="AL418" s="13">
        <f>OCC_DAYS*$AB$41*R_NF_2023-AD418*MCD_SHARE_FREED*R_WAIT_2023</f>
        <v>151980.48282209205</v>
      </c>
      <c r="AM418">
        <f>IF($A418&lt;=$AB$45,1,0)</f>
        <v>0</v>
      </c>
      <c r="BB418">
        <f>IF($BB$31&lt;=$BB$32,IF($A418&lt;=$BB$7,1,2),IF($A418&lt;=RUNG_BEDS_2,2,1))</f>
        <v>1</v>
      </c>
      <c r="BC418" s="5">
        <f>MIN(1,MAX(0,$BB$26-($A418-1)))</f>
        <v>0</v>
      </c>
      <c r="BD418" s="5">
        <f>$BB$25*(BC418+(1-BC418)*$BB$16)</f>
        <v>0.0</v>
      </c>
      <c r="BE418" s="13">
        <f>BD418*($BB$6+ACUTE_MARGIN)</f>
        <v>0.0</v>
      </c>
      <c r="BF418" s="13">
        <f>IF(BB418=1,$BB$31,$BB$32)</f>
        <v>152394.16214437486</v>
      </c>
      <c r="BG418" s="13">
        <f>BE418-BF418</f>
        <v>-152394.16214437486</v>
      </c>
      <c r="BH418" s="13">
        <f>BH417+BG418</f>
        <v>4588140.6554565085</v>
      </c>
      <c r="BI418">
        <f>IF(BH418=MAX($BH$83:$BH$483),$A418,0)</f>
        <v>0</v>
      </c>
      <c r="BJ418">
        <f>IF(BE418&lt;BF418,$A418,B_MAX+1)</f>
        <v>335</v>
      </c>
      <c r="BK418" s="13">
        <f>IF(BB418=1,$BB$35,$BB$36)</f>
        <v>0</v>
      </c>
      <c r="BL418" s="13">
        <f>OCC_DAYS*$BB$41*R_NF_2023-BD418*MCD_SHARE_FREED*R_WAIT_2023</f>
        <v>151980.48282209205</v>
      </c>
      <c r="BM418">
        <f>IF($A418&lt;=$BB$45,1,0)</f>
        <v>0</v>
      </c>
      <c r="CB418">
        <f>IF($CB$31&lt;=$CB$32,IF($A418&lt;=$CB$7,1,2),IF($A418&lt;=RUNG_BEDS_2,2,1))</f>
        <v>2</v>
      </c>
      <c r="CC418" s="5">
        <f>MIN(1,MAX(0,$CB$26-($A418-1)))</f>
        <v>0</v>
      </c>
      <c r="CD418" s="5">
        <f>$CB$25*(CC418+(1-CC418)*$CB$16)</f>
        <v>0.0</v>
      </c>
      <c r="CE418" s="13">
        <f>CD418*($CB$6+ACUTE_MARGIN)</f>
        <v>0.0</v>
      </c>
      <c r="CF418" s="13">
        <f>IF(CB418=1,$CB$31,$CB$32)</f>
        <v>160718.36940738867</v>
      </c>
      <c r="CG418" s="13">
        <f>CE418-CF418</f>
        <v>-160718.36940738867</v>
      </c>
      <c r="CH418" s="13">
        <f>CH417+CG418</f>
        <v>-15611683.123203006</v>
      </c>
      <c r="CI418">
        <f>IF(CH418=MAX($CH$83:$CH$483),$A418,0)</f>
        <v>0</v>
      </c>
      <c r="CJ418">
        <f>IF(CE418&lt;CF418,$A418,B_MAX+1)</f>
        <v>335</v>
      </c>
      <c r="CK418" s="13">
        <f>IF(CB418=1,$CB$35,$CB$36)</f>
        <v>1560.1194073886782</v>
      </c>
      <c r="CL418" s="13">
        <f>OCC_DAYS*$CB$41*R_NF_2023-CD418*MCD_SHARE_FREED*R_WAIT_2023</f>
        <v>151980.48282209205</v>
      </c>
      <c r="CM418">
        <f>IF($A418&lt;=$CB$45,1,0)</f>
        <v>0</v>
      </c>
      <c r="DB418">
        <f>IF($DB$31&lt;=$DB$32,IF($A418&lt;=$DB$7,1,2),IF($A418&lt;=RUNG_BEDS_2,2,1))</f>
        <v>1</v>
      </c>
      <c r="DC418" s="5">
        <f>MIN(1,MAX(0,$DB$26-($A418-1)))</f>
        <v>0</v>
      </c>
      <c r="DD418" s="5">
        <f>$DB$25*(DC418+(1-DC418)*$DB$16)</f>
        <v>0.0</v>
      </c>
      <c r="DE418" s="13">
        <f>DD418*($DB$6+ACUTE_MARGIN)</f>
        <v>0.0</v>
      </c>
      <c r="DF418" s="13">
        <f>IF(DB418=1,$DB$31,$DB$32)</f>
        <v>152394.16214437486</v>
      </c>
      <c r="DG418" s="13">
        <f>DE418-DF418</f>
        <v>-152394.16214437486</v>
      </c>
      <c r="DH418" s="13">
        <f>DH417+DG418</f>
        <v>-12823073.690093227</v>
      </c>
      <c r="DI418">
        <f>IF(DH418=MAX($DH$83:$DH$483),$A418,0)</f>
        <v>0</v>
      </c>
      <c r="DJ418">
        <f>IF(DE418&lt;DF418,$A418,B_MAX+1)</f>
        <v>335</v>
      </c>
      <c r="DK418" s="13">
        <f>IF(DB418=1,$DB$35,$DB$36)</f>
        <v>0</v>
      </c>
      <c r="DL418" s="13">
        <f>OCC_DAYS*$DB$41*R_NF_2023-DD418*MCD_SHARE_FREED*R_WAIT_2023</f>
        <v>151980.48282209205</v>
      </c>
      <c r="DM418">
        <f>IF($A418&lt;=$DB$45,1,0)</f>
        <v>0</v>
      </c>
      <c r="EB418">
        <f>IF($EB$31&lt;=$EB$32,IF($A418&lt;=$EB$7,1,2),IF($A418&lt;=RUNG_BEDS_2,2,1))</f>
        <v>1</v>
      </c>
      <c r="EC418" s="5">
        <f>MIN(1,MAX(0,$EB$26-($A418-1)))</f>
        <v>0</v>
      </c>
      <c r="ED418" s="5">
        <f>$EB$25*(EC418+(1-EC418)*$EB$16)</f>
        <v>0.0</v>
      </c>
      <c r="EE418" s="13">
        <f>ED418*($EB$6+ACUTE_MARGIN)</f>
        <v>0.0</v>
      </c>
      <c r="EF418" s="13">
        <f>IF(EB418=1,$EB$31,$EB$32)</f>
        <v>152394.16214437486</v>
      </c>
      <c r="EG418" s="13">
        <f>EE418-EF418</f>
        <v>-152394.16214437486</v>
      </c>
      <c r="EH418" s="13">
        <f>EH417+EG418</f>
        <v>-12823073.690093227</v>
      </c>
      <c r="EI418">
        <f>IF(EH418=MAX($EH$83:$EH$483),$A418,0)</f>
        <v>0</v>
      </c>
      <c r="EJ418">
        <f>IF(EE418&lt;EF418,$A418,B_MAX+1)</f>
        <v>335</v>
      </c>
      <c r="EK418" s="13">
        <f>IF(EB418=1,$EB$35,$EB$36)</f>
        <v>0</v>
      </c>
      <c r="EL418" s="13">
        <f>OCC_DAYS*$EB$41*R_NF_2023-ED418*MCD_SHARE_FREED*R_WAIT_2023</f>
        <v>50660.16094069735</v>
      </c>
      <c r="EM418">
        <f>IF($A418&lt;=$EB$45,1,0)</f>
        <v>0</v>
      </c>
      <c r="FB418">
        <f>IF($FB$31&lt;=$FB$32,IF($A418&lt;=$FB$7,1,2),IF($A418&lt;=RUNG_BEDS_2,2,1))</f>
        <v>1</v>
      </c>
      <c r="FC418" s="5">
        <f>MIN(1,MAX(0,$FB$26-($A418-1)))</f>
        <v>0</v>
      </c>
      <c r="FD418" s="5">
        <f>$FB$25*(FC418+(1-FC418)*$FB$16)</f>
        <v>0.0</v>
      </c>
      <c r="FE418" s="13">
        <f>FD418*($FB$6+ACUTE_MARGIN)</f>
        <v>0.0</v>
      </c>
      <c r="FF418" s="13">
        <f>IF(FB418=1,$FB$31,$FB$32)</f>
        <v>156636.04979437485</v>
      </c>
      <c r="FG418" s="13">
        <f>FE418-FF418</f>
        <v>-156636.04979437485</v>
      </c>
      <c r="FH418" s="13">
        <f>FH417+FG418</f>
        <v>-14244106.05284333</v>
      </c>
      <c r="FI418">
        <f>IF(FH418=MAX($FH$83:$FH$483),$A418,0)</f>
        <v>0</v>
      </c>
      <c r="FJ418">
        <f>IF(FE418&lt;FF418,$A418,B_MAX+1)</f>
        <v>335</v>
      </c>
      <c r="FK418" s="13">
        <f>IF(FB418=1,$FB$35,$FB$36)</f>
        <v>0</v>
      </c>
      <c r="FL418" s="13">
        <f>OCC_DAYS*$FB$41*R_NF_2023-FD418*MCD_SHARE_FREED*R_WAIT_2023</f>
        <v>151980.48282209205</v>
      </c>
      <c r="FM418">
        <f>IF($A418&lt;=$FB$45,1,0)</f>
        <v>0</v>
      </c>
      <c r="GB418">
        <f>IF($GB$31&lt;=$GB$32,IF($A418&lt;=$GB$7,1,2),IF($A418&lt;=RUNG_BEDS_2,2,1))</f>
        <v>1</v>
      </c>
      <c r="GC418" s="5">
        <f>MIN(1,MAX(0,$GB$26-($A418-1)))</f>
        <v>0</v>
      </c>
      <c r="GD418" s="5">
        <f>$GB$25*(GC418+(1-GC418)*$GB$16)</f>
        <v>0.0</v>
      </c>
      <c r="GE418" s="13">
        <f>GD418*($GB$6+ACUTE_MARGIN)</f>
        <v>0.0</v>
      </c>
      <c r="GF418" s="13">
        <f>IF(GB418=1,$GB$31,$GB$32)</f>
        <v>152394.16214437486</v>
      </c>
      <c r="GG418" s="13">
        <f>GE418-GF418</f>
        <v>-152394.16214437486</v>
      </c>
      <c r="GH418" s="13">
        <f>GH417+GG418</f>
        <v>-12823073.690093227</v>
      </c>
      <c r="GI418">
        <f>IF(GH418=MAX($GH$83:$GH$483),$A418,0)</f>
        <v>0</v>
      </c>
      <c r="GJ418">
        <f>IF(GE418&lt;GF418,$A418,B_MAX+1)</f>
        <v>335</v>
      </c>
      <c r="GK418" s="13">
        <f>IF(GB418=1,$GB$35,$GB$36)</f>
        <v>0</v>
      </c>
      <c r="GL418" s="13">
        <f>OCC_DAYS*$GB$41*R_NF_2023-GD418*MCD_SHARE_FREED*R_WAIT_2023</f>
        <v>151980.48282209205</v>
      </c>
      <c r="GM418">
        <f>IF($A418&lt;=$GB$45,1,0)</f>
        <v>0</v>
      </c>
      <c r="HB418">
        <f>IF($HB$31&lt;=$HB$32,IF($A418&lt;=$HB$7,1,2),IF($A418&lt;=RUNG_BEDS_2,2,1))</f>
        <v>1</v>
      </c>
      <c r="HC418" s="5">
        <f>MIN(1,MAX(0,$HB$26-($A418-1)))</f>
        <v>0</v>
      </c>
      <c r="HD418" s="5">
        <f>$HB$25*(HC418+(1-HC418)*$HB$16)</f>
        <v>0.0</v>
      </c>
      <c r="HE418" s="13">
        <f>HD418*($HB$6+ACUTE_MARGIN)</f>
        <v>0.0</v>
      </c>
      <c r="HF418" s="13">
        <f>IF(HB418=1,$HB$31,$HB$32)</f>
        <v>152456.2970814058</v>
      </c>
      <c r="HG418" s="13">
        <f>HE418-HF418</f>
        <v>-152456.2970814058</v>
      </c>
      <c r="HH418" s="13">
        <f>HH417+HG418</f>
        <v>-12843888.893998643</v>
      </c>
      <c r="HI418">
        <f>IF(HH418=MAX($HH$83:$HH$483),$A418,0)</f>
        <v>0</v>
      </c>
      <c r="HJ418">
        <f>IF(HE418&lt;HF418,$A418,B_MAX+1)</f>
        <v>335</v>
      </c>
      <c r="HK418" s="13">
        <f>IF(HB418=1,$HB$35,$HB$36)</f>
        <v>0</v>
      </c>
      <c r="HL418" s="13">
        <f>OCC_DAYS*$HB$41*R_NF_2023-HD418*MCD_SHARE_FREED*R_WAIT_2023</f>
        <v>151980.48282209205</v>
      </c>
      <c r="HM418">
        <f>IF($A418&lt;=$HB$45,1,0)</f>
        <v>0</v>
      </c>
      <c r="IB418">
        <f>IF($IB$31&lt;=$IB$32,IF($A418&lt;=$IB$7,1,2),IF($A418&lt;=RUNG_BEDS_2,2,1))</f>
        <v>1</v>
      </c>
      <c r="IC418" s="5">
        <f>MIN(1,MAX(0,$IB$26-($A418-1)))</f>
        <v>0</v>
      </c>
      <c r="ID418" s="5">
        <f>$IB$25*(IC418+(1-IC418)*$IB$16)</f>
        <v>0.0</v>
      </c>
      <c r="IE418" s="13">
        <f>ID418*($IB$6+ACUTE_MARGIN)</f>
        <v>0.0</v>
      </c>
      <c r="IF418" s="13">
        <f>IF(IB418=1,$IB$31,$IB$32)</f>
        <v>152734.9994534971</v>
      </c>
      <c r="IG418" s="13">
        <f>IE418-IF418</f>
        <v>-152734.9994534971</v>
      </c>
      <c r="IH418" s="13">
        <f>IH417+IG418</f>
        <v>-12937254.18864926</v>
      </c>
      <c r="II418">
        <f>IF(IH418=MAX($IH$83:$IH$483),$A418,0)</f>
        <v>0</v>
      </c>
      <c r="IJ418">
        <f>IF(IE418&lt;IF418,$A418,B_MAX+1)</f>
        <v>335</v>
      </c>
      <c r="IK418" s="13">
        <f>IF(IB418=1,$IB$35,$IB$36)</f>
        <v>0</v>
      </c>
      <c r="IL418" s="13">
        <f>OCC_DAYS*$IB$41*R_NF_2023-ID418*MCD_SHARE_FREED*R_WAIT_2023</f>
        <v>151980.48282209205</v>
      </c>
      <c r="IM418">
        <f>IF($A418&lt;=$IB$45,1,0)</f>
        <v>0</v>
      </c>
      <c r="JB418">
        <f>IF($JB$31&lt;=$JB$32,IF($A418&lt;=$JB$7,1,2),IF($A418&lt;=RUNG_BEDS_2,2,1))</f>
        <v>1</v>
      </c>
      <c r="JC418" s="5">
        <f>MIN(1,MAX(0,$JB$26-($A418-1)))</f>
        <v>0</v>
      </c>
      <c r="JD418" s="5">
        <f>$JB$25*(JC418+(1-JC418)*$JB$16)</f>
        <v>0.0</v>
      </c>
      <c r="JE418" s="13">
        <f>JD418*($JB$6+ACUTE_MARGIN)</f>
        <v>0.0</v>
      </c>
      <c r="JF418" s="13">
        <f>IF(JB418=1,$JB$31,$JB$32)</f>
        <v>152394.16214437486</v>
      </c>
      <c r="JG418" s="13">
        <f>JE418-JF418</f>
        <v>-152394.16214437486</v>
      </c>
      <c r="JH418" s="13">
        <f>JH417+JG418</f>
        <v>-12823073.690093227</v>
      </c>
      <c r="JI418">
        <f>IF(JH418=MAX($JH$83:$JH$483),$A418,0)</f>
        <v>0</v>
      </c>
      <c r="JJ418">
        <f>IF(JE418&lt;JF418,$A418,B_MAX+1)</f>
        <v>335</v>
      </c>
      <c r="JK418" s="13">
        <f>IF(JB418=1,$JB$35,$JB$36)</f>
        <v>0</v>
      </c>
      <c r="JL418" s="13">
        <f>OCC_DAYS*$JB$41*R_NF_2023-JD418*MCD_SHARE_FREED*R_WAIT_2023</f>
        <v>151980.48282209205</v>
      </c>
      <c r="JM418">
        <f>IF($A418&lt;=$JB$45,1,0)</f>
        <v>0</v>
      </c>
      <c r="KB418">
        <f>IF($KB$31&lt;=$KB$32,IF($A418&lt;=$KB$7,1,2),IF($A418&lt;=RUNG_BEDS_2,2,1))</f>
        <v>1</v>
      </c>
      <c r="KC418" s="5">
        <f>MIN(1,MAX(0,$KB$26-($A418-1)))</f>
        <v>0</v>
      </c>
      <c r="KD418" s="5">
        <f>$KB$25*(KC418+(1-KC418)*$KB$16)</f>
        <v>0.0</v>
      </c>
      <c r="KE418" s="13">
        <f>KD418*($KB$6+ACUTE_MARGIN)</f>
        <v>0.0</v>
      </c>
      <c r="KF418" s="13">
        <f>IF(KB418=1,$KB$31,$KB$32)</f>
        <v>152394.16214437486</v>
      </c>
      <c r="KG418" s="13">
        <f>KE418-KF418</f>
        <v>-152394.16214437486</v>
      </c>
      <c r="KH418" s="13">
        <f>KH417+KG418</f>
        <v>-12823073.690093333</v>
      </c>
      <c r="KI418">
        <f>IF(KH418=MAX($KH$83:$KH$483),$A418,0)</f>
        <v>0</v>
      </c>
      <c r="KJ418">
        <f>IF(KE418&lt;KF418,$A418,B_MAX+1)</f>
        <v>335</v>
      </c>
      <c r="KK418" s="13">
        <f>IF(KB418=1,$KB$35,$KB$36)</f>
        <v>0</v>
      </c>
      <c r="KL418" s="13">
        <f>OCC_DAYS*$KB$41*R_NF_2023-KD418*MCD_SHARE_FREED*R_WAIT_2023</f>
        <v>151980.48282209205</v>
      </c>
      <c r="KM418">
        <f>IF($A418&lt;=$KB$45,1,0)</f>
        <v>0</v>
      </c>
      <c r="LB418">
        <f>IF($LB$31&lt;=$LB$32,IF($A418&lt;=$LB$7,1,2),IF($A418&lt;=RUNG_BEDS_2,2,1))</f>
        <v>1</v>
      </c>
      <c r="LC418" s="5">
        <f>MIN(1,MAX(0,$LB$26-($A418-1)))</f>
        <v>1</v>
      </c>
      <c r="LD418" s="5">
        <f>$LB$25*(LC418+(1-LC418)*$LB$16)</f>
        <v>84.01774238227146</v>
      </c>
      <c r="LE418" s="13">
        <f>LD418*($LB$6+ACUTE_MARGIN)</f>
        <v>84857.91980609419</v>
      </c>
      <c r="LF418" s="13">
        <f>IF(LB418=1,$LB$31,$LB$32)</f>
        <v>152394.16214437486</v>
      </c>
      <c r="LG418" s="13">
        <f>LE418-LF418</f>
        <v>-67536.24233828067</v>
      </c>
      <c r="LH418" s="13">
        <f>LH417+LG418</f>
        <v>-22624641.183324147</v>
      </c>
      <c r="LI418">
        <f>IF(LH418=MAX($LH$83:$LH$483),$A418,0)</f>
        <v>0</v>
      </c>
      <c r="LJ418">
        <f>IF(LE418&lt;LF418,$A418,B_MAX+1)</f>
        <v>335</v>
      </c>
      <c r="LK418" s="13">
        <f>IF(LB418=1,$LB$35,$LB$36)</f>
        <v>0</v>
      </c>
      <c r="LL418" s="13">
        <f>OCC_DAYS*$LB$41*R_NF_2023-LD418*MCD_SHARE_FREED*R_WAIT_2023</f>
        <v>113776.04162887059</v>
      </c>
      <c r="LM418">
        <f>IF($A418&lt;=$LB$45,1,0)</f>
        <v>0</v>
      </c>
      <c r="MB418">
        <f>IF($MB$31&lt;=$MB$32,IF($A418&lt;=$MB$7,1,2),IF($A418&lt;=RUNG_BEDS_2,2,1))</f>
        <v>1</v>
      </c>
      <c r="MC418" s="5">
        <f>MIN(1,MAX(0,$MB$26-($A418-1)))</f>
        <v>0</v>
      </c>
      <c r="MD418" s="5">
        <f>$MB$25*(MC418+(1-MC418)*$MB$16)</f>
        <v>0.0</v>
      </c>
      <c r="ME418" s="13">
        <f>MD418*($MB$6+ACUTE_MARGIN)</f>
        <v>0.0</v>
      </c>
      <c r="MF418" s="13">
        <f>IF(MB418=1,$MB$31,$MB$32)</f>
        <v>152394.16214437486</v>
      </c>
      <c r="MG418" s="13">
        <f>ME418-MF418</f>
        <v>-152394.16214437486</v>
      </c>
      <c r="MH418" s="13">
        <f>MH417+MG418</f>
        <v>-18710349.751891527</v>
      </c>
      <c r="MI418">
        <f>IF(MH418=MAX($MH$83:$MH$483),$A418,0)</f>
        <v>0</v>
      </c>
      <c r="MJ418">
        <f>IF(ME418&lt;MF418,$A418,B_MAX+1)</f>
        <v>335</v>
      </c>
      <c r="MK418" s="13">
        <f>IF(MB418=1,$MB$35,$MB$36)</f>
        <v>0</v>
      </c>
      <c r="ML418" s="13">
        <f>OCC_DAYS*$MB$41*R_NF_2023-MD418*MCD_SHARE_FREED*R_WAIT_2023</f>
        <v>151980.48282209205</v>
      </c>
      <c r="MM418">
        <f>IF($A418&lt;=$MB$45,1,0)</f>
        <v>0</v>
      </c>
      <c r="NB418">
        <f>IF($NB$31&lt;=$NB$32,IF($A418&lt;=$NB$7,1,2),IF($A418&lt;=RUNG_BEDS_2,2,1))</f>
        <v>1</v>
      </c>
      <c r="NC418" s="5">
        <f>MIN(1,MAX(0,$NB$26-($A418-1)))</f>
        <v>0</v>
      </c>
      <c r="ND418" s="5">
        <f>$NB$25*(NC418+(1-NC418)*$NB$16)</f>
        <v>63.013306786703595</v>
      </c>
      <c r="NE418" s="13">
        <f>ND418*($NB$6+ACUTE_MARGIN)</f>
        <v>63643.43985457063</v>
      </c>
      <c r="NF418" s="13">
        <f>IF(NB418=1,$NB$31,$NB$32)</f>
        <v>152394.16214437486</v>
      </c>
      <c r="NG418" s="13">
        <f>NE418-NF418</f>
        <v>-88750.72228980422</v>
      </c>
      <c r="NH418" s="13">
        <f>NH417+NG418</f>
        <v>-1059763.995880192</v>
      </c>
      <c r="NI418">
        <f>IF(NH418=MAX($NH$83:$NH$483),$A418,0)</f>
        <v>0</v>
      </c>
      <c r="NJ418">
        <f>IF(NE418&lt;NF418,$A418,B_MAX+1)</f>
        <v>335</v>
      </c>
      <c r="NK418" s="13">
        <f>IF(NB418=1,$NB$35,$NB$36)</f>
        <v>0</v>
      </c>
      <c r="NL418" s="13">
        <f>OCC_DAYS*$NB$41*R_NF_2023-ND418*MCD_SHARE_FREED*R_WAIT_2023</f>
        <v>123327.15192717595</v>
      </c>
      <c r="NM418">
        <f>IF($A418&lt;=$NB$45,1,0)</f>
        <v>0</v>
      </c>
      <c r="OB418">
        <f>IF($OB$31&lt;=$OB$32,IF($A418&lt;=$OB$7,1,2),IF($A418&lt;=RUNG_BEDS_2,2,1))</f>
        <v>1</v>
      </c>
      <c r="OC418" s="5">
        <f>MIN(1,MAX(0,$OB$26-($A418-1)))</f>
        <v>0</v>
      </c>
      <c r="OD418" s="5">
        <f>$OB$25*(OC418+(1-OC418)*$OB$16)</f>
        <v>126.02661357340719</v>
      </c>
      <c r="OE418" s="13">
        <f>OD418*($OB$6+ACUTE_MARGIN)</f>
        <v>127286.87970914126</v>
      </c>
      <c r="OF418" s="13">
        <f>IF(OB418=1,$OB$31,$OB$32)</f>
        <v>152394.16214437486</v>
      </c>
      <c r="OG418" s="13">
        <f>OE418-OF418</f>
        <v>-25107.282435233603</v>
      </c>
      <c r="OH418" s="13">
        <f>OH417+OG418</f>
        <v>10703545.698333079</v>
      </c>
      <c r="OI418">
        <f>IF(OH418=MAX($OH$83:$OH$483),$A418,0)</f>
        <v>0</v>
      </c>
      <c r="OJ418">
        <f>IF(OE418&lt;OF418,$A418,B_MAX+1)</f>
        <v>335</v>
      </c>
      <c r="OK418" s="13">
        <f>IF(OB418=1,$OB$35,$OB$36)</f>
        <v>0</v>
      </c>
      <c r="OL418" s="13">
        <f>OCC_DAYS*$OB$41*R_NF_2023-OD418*MCD_SHARE_FREED*R_WAIT_2023</f>
        <v>94673.82103225985</v>
      </c>
      <c r="OM418">
        <f>IF($A418&lt;=$OB$45,1,0)</f>
        <v>0</v>
      </c>
    </row>
    <row r="419">
      <c r="A419" t="n">
        <v>336</v>
      </c>
      <c r="B419">
        <f>IF($B$31&lt;=$B$32,IF($A419&lt;=$B$7,1,2),IF($A419&lt;=RUNG_BEDS_2,2,1))</f>
        <v>1</v>
      </c>
      <c r="C419" s="5">
        <f>MIN(1,MAX(0,$B$26-($A419-1)))</f>
        <v>0</v>
      </c>
      <c r="D419" s="5">
        <f>$B$25*(C419+(1-C419)*$B$16)</f>
        <v>0.0</v>
      </c>
      <c r="E419" s="13">
        <f>D419*($B$6+ACUTE_MARGIN)</f>
        <v>0.0</v>
      </c>
      <c r="F419" s="13">
        <f>IF(B419=1,$B$31,$B$32)</f>
        <v>152394.16214437486</v>
      </c>
      <c r="G419" s="13">
        <f>E419-F419</f>
        <v>-152394.16214437486</v>
      </c>
      <c r="H419" s="13">
        <f>H418+G419</f>
        <v>-12975467.8522376</v>
      </c>
      <c r="I419">
        <f>IF(H419=MAX($H$83:$H$483),$A419,0)</f>
        <v>0</v>
      </c>
      <c r="J419">
        <f>IF(E419&lt;F419,$A419,B_MAX+1)</f>
        <v>336</v>
      </c>
      <c r="K419" s="13">
        <f>IF(B419=1,$B$35,$B$36)</f>
        <v>0</v>
      </c>
      <c r="L419" s="13">
        <f>OCC_DAYS*$B$41*R_NF_2023-D419*MCD_SHARE_FREED*R_WAIT_2023</f>
        <v>151980.48282209205</v>
      </c>
      <c r="M419">
        <f>IF($A419&lt;=$B$45,1,0)</f>
        <v>0</v>
      </c>
      <c r="AB419">
        <f>IF($AB$31&lt;=$AB$32,IF($A419&lt;=$AB$7,1,2),IF($A419&lt;=RUNG_BEDS_2,2,1))</f>
        <v>1</v>
      </c>
      <c r="AC419" s="5">
        <f>MIN(1,MAX(0,$AB$26-($A419-1)))</f>
        <v>0</v>
      </c>
      <c r="AD419" s="5">
        <f>$AB$25*(AC419+(1-AC419)*$AB$16)</f>
        <v>0.0</v>
      </c>
      <c r="AE419" s="13">
        <f>AD419*($AB$6+ACUTE_MARGIN)</f>
        <v>0.0</v>
      </c>
      <c r="AF419" s="13">
        <f>IF(AB419=1,$AB$31,$AB$32)</f>
        <v>152394.16214437486</v>
      </c>
      <c r="AG419" s="13">
        <f>AE419-AF419</f>
        <v>-152394.16214437486</v>
      </c>
      <c r="AH419" s="13">
        <f>AH418+AG419</f>
        <v>-30386682.197787337</v>
      </c>
      <c r="AI419">
        <f>IF(AH419=MAX($AH$83:$AH$483),$A419,0)</f>
        <v>0</v>
      </c>
      <c r="AJ419">
        <f>IF(AE419&lt;AF419,$A419,B_MAX+1)</f>
        <v>336</v>
      </c>
      <c r="AK419" s="13">
        <f>IF(AB419=1,$AB$35,$AB$36)</f>
        <v>0</v>
      </c>
      <c r="AL419" s="13">
        <f>OCC_DAYS*$AB$41*R_NF_2023-AD419*MCD_SHARE_FREED*R_WAIT_2023</f>
        <v>151980.48282209205</v>
      </c>
      <c r="AM419">
        <f>IF($A419&lt;=$AB$45,1,0)</f>
        <v>0</v>
      </c>
      <c r="BB419">
        <f>IF($BB$31&lt;=$BB$32,IF($A419&lt;=$BB$7,1,2),IF($A419&lt;=RUNG_BEDS_2,2,1))</f>
        <v>1</v>
      </c>
      <c r="BC419" s="5">
        <f>MIN(1,MAX(0,$BB$26-($A419-1)))</f>
        <v>0</v>
      </c>
      <c r="BD419" s="5">
        <f>$BB$25*(BC419+(1-BC419)*$BB$16)</f>
        <v>0.0</v>
      </c>
      <c r="BE419" s="13">
        <f>BD419*($BB$6+ACUTE_MARGIN)</f>
        <v>0.0</v>
      </c>
      <c r="BF419" s="13">
        <f>IF(BB419=1,$BB$31,$BB$32)</f>
        <v>152394.16214437486</v>
      </c>
      <c r="BG419" s="13">
        <f>BE419-BF419</f>
        <v>-152394.16214437486</v>
      </c>
      <c r="BH419" s="13">
        <f>BH418+BG419</f>
        <v>4435746.4933121335</v>
      </c>
      <c r="BI419">
        <f>IF(BH419=MAX($BH$83:$BH$483),$A419,0)</f>
        <v>0</v>
      </c>
      <c r="BJ419">
        <f>IF(BE419&lt;BF419,$A419,B_MAX+1)</f>
        <v>336</v>
      </c>
      <c r="BK419" s="13">
        <f>IF(BB419=1,$BB$35,$BB$36)</f>
        <v>0</v>
      </c>
      <c r="BL419" s="13">
        <f>OCC_DAYS*$BB$41*R_NF_2023-BD419*MCD_SHARE_FREED*R_WAIT_2023</f>
        <v>151980.48282209205</v>
      </c>
      <c r="BM419">
        <f>IF($A419&lt;=$BB$45,1,0)</f>
        <v>0</v>
      </c>
      <c r="CB419">
        <f>IF($CB$31&lt;=$CB$32,IF($A419&lt;=$CB$7,1,2),IF($A419&lt;=RUNG_BEDS_2,2,1))</f>
        <v>2</v>
      </c>
      <c r="CC419" s="5">
        <f>MIN(1,MAX(0,$CB$26-($A419-1)))</f>
        <v>0</v>
      </c>
      <c r="CD419" s="5">
        <f>$CB$25*(CC419+(1-CC419)*$CB$16)</f>
        <v>0.0</v>
      </c>
      <c r="CE419" s="13">
        <f>CD419*($CB$6+ACUTE_MARGIN)</f>
        <v>0.0</v>
      </c>
      <c r="CF419" s="13">
        <f>IF(CB419=1,$CB$31,$CB$32)</f>
        <v>160718.36940738867</v>
      </c>
      <c r="CG419" s="13">
        <f>CE419-CF419</f>
        <v>-160718.36940738867</v>
      </c>
      <c r="CH419" s="13">
        <f>CH418+CG419</f>
        <v>-15772401.492610395</v>
      </c>
      <c r="CI419">
        <f>IF(CH419=MAX($CH$83:$CH$483),$A419,0)</f>
        <v>0</v>
      </c>
      <c r="CJ419">
        <f>IF(CE419&lt;CF419,$A419,B_MAX+1)</f>
        <v>336</v>
      </c>
      <c r="CK419" s="13">
        <f>IF(CB419=1,$CB$35,$CB$36)</f>
        <v>1560.1194073886782</v>
      </c>
      <c r="CL419" s="13">
        <f>OCC_DAYS*$CB$41*R_NF_2023-CD419*MCD_SHARE_FREED*R_WAIT_2023</f>
        <v>151980.48282209205</v>
      </c>
      <c r="CM419">
        <f>IF($A419&lt;=$CB$45,1,0)</f>
        <v>0</v>
      </c>
      <c r="DB419">
        <f>IF($DB$31&lt;=$DB$32,IF($A419&lt;=$DB$7,1,2),IF($A419&lt;=RUNG_BEDS_2,2,1))</f>
        <v>1</v>
      </c>
      <c r="DC419" s="5">
        <f>MIN(1,MAX(0,$DB$26-($A419-1)))</f>
        <v>0</v>
      </c>
      <c r="DD419" s="5">
        <f>$DB$25*(DC419+(1-DC419)*$DB$16)</f>
        <v>0.0</v>
      </c>
      <c r="DE419" s="13">
        <f>DD419*($DB$6+ACUTE_MARGIN)</f>
        <v>0.0</v>
      </c>
      <c r="DF419" s="13">
        <f>IF(DB419=1,$DB$31,$DB$32)</f>
        <v>152394.16214437486</v>
      </c>
      <c r="DG419" s="13">
        <f>DE419-DF419</f>
        <v>-152394.16214437486</v>
      </c>
      <c r="DH419" s="13">
        <f>DH418+DG419</f>
        <v>-12975467.8522376</v>
      </c>
      <c r="DI419">
        <f>IF(DH419=MAX($DH$83:$DH$483),$A419,0)</f>
        <v>0</v>
      </c>
      <c r="DJ419">
        <f>IF(DE419&lt;DF419,$A419,B_MAX+1)</f>
        <v>336</v>
      </c>
      <c r="DK419" s="13">
        <f>IF(DB419=1,$DB$35,$DB$36)</f>
        <v>0</v>
      </c>
      <c r="DL419" s="13">
        <f>OCC_DAYS*$DB$41*R_NF_2023-DD419*MCD_SHARE_FREED*R_WAIT_2023</f>
        <v>151980.48282209205</v>
      </c>
      <c r="DM419">
        <f>IF($A419&lt;=$DB$45,1,0)</f>
        <v>0</v>
      </c>
      <c r="EB419">
        <f>IF($EB$31&lt;=$EB$32,IF($A419&lt;=$EB$7,1,2),IF($A419&lt;=RUNG_BEDS_2,2,1))</f>
        <v>1</v>
      </c>
      <c r="EC419" s="5">
        <f>MIN(1,MAX(0,$EB$26-($A419-1)))</f>
        <v>0</v>
      </c>
      <c r="ED419" s="5">
        <f>$EB$25*(EC419+(1-EC419)*$EB$16)</f>
        <v>0.0</v>
      </c>
      <c r="EE419" s="13">
        <f>ED419*($EB$6+ACUTE_MARGIN)</f>
        <v>0.0</v>
      </c>
      <c r="EF419" s="13">
        <f>IF(EB419=1,$EB$31,$EB$32)</f>
        <v>152394.16214437486</v>
      </c>
      <c r="EG419" s="13">
        <f>EE419-EF419</f>
        <v>-152394.16214437486</v>
      </c>
      <c r="EH419" s="13">
        <f>EH418+EG419</f>
        <v>-12975467.8522376</v>
      </c>
      <c r="EI419">
        <f>IF(EH419=MAX($EH$83:$EH$483),$A419,0)</f>
        <v>0</v>
      </c>
      <c r="EJ419">
        <f>IF(EE419&lt;EF419,$A419,B_MAX+1)</f>
        <v>336</v>
      </c>
      <c r="EK419" s="13">
        <f>IF(EB419=1,$EB$35,$EB$36)</f>
        <v>0</v>
      </c>
      <c r="EL419" s="13">
        <f>OCC_DAYS*$EB$41*R_NF_2023-ED419*MCD_SHARE_FREED*R_WAIT_2023</f>
        <v>50660.16094069735</v>
      </c>
      <c r="EM419">
        <f>IF($A419&lt;=$EB$45,1,0)</f>
        <v>0</v>
      </c>
      <c r="FB419">
        <f>IF($FB$31&lt;=$FB$32,IF($A419&lt;=$FB$7,1,2),IF($A419&lt;=RUNG_BEDS_2,2,1))</f>
        <v>1</v>
      </c>
      <c r="FC419" s="5">
        <f>MIN(1,MAX(0,$FB$26-($A419-1)))</f>
        <v>0</v>
      </c>
      <c r="FD419" s="5">
        <f>$FB$25*(FC419+(1-FC419)*$FB$16)</f>
        <v>0.0</v>
      </c>
      <c r="FE419" s="13">
        <f>FD419*($FB$6+ACUTE_MARGIN)</f>
        <v>0.0</v>
      </c>
      <c r="FF419" s="13">
        <f>IF(FB419=1,$FB$31,$FB$32)</f>
        <v>156636.04979437485</v>
      </c>
      <c r="FG419" s="13">
        <f>FE419-FF419</f>
        <v>-156636.04979437485</v>
      </c>
      <c r="FH419" s="13">
        <f>FH418+FG419</f>
        <v>-14400742.102637704</v>
      </c>
      <c r="FI419">
        <f>IF(FH419=MAX($FH$83:$FH$483),$A419,0)</f>
        <v>0</v>
      </c>
      <c r="FJ419">
        <f>IF(FE419&lt;FF419,$A419,B_MAX+1)</f>
        <v>336</v>
      </c>
      <c r="FK419" s="13">
        <f>IF(FB419=1,$FB$35,$FB$36)</f>
        <v>0</v>
      </c>
      <c r="FL419" s="13">
        <f>OCC_DAYS*$FB$41*R_NF_2023-FD419*MCD_SHARE_FREED*R_WAIT_2023</f>
        <v>151980.48282209205</v>
      </c>
      <c r="FM419">
        <f>IF($A419&lt;=$FB$45,1,0)</f>
        <v>0</v>
      </c>
      <c r="GB419">
        <f>IF($GB$31&lt;=$GB$32,IF($A419&lt;=$GB$7,1,2),IF($A419&lt;=RUNG_BEDS_2,2,1))</f>
        <v>1</v>
      </c>
      <c r="GC419" s="5">
        <f>MIN(1,MAX(0,$GB$26-($A419-1)))</f>
        <v>0</v>
      </c>
      <c r="GD419" s="5">
        <f>$GB$25*(GC419+(1-GC419)*$GB$16)</f>
        <v>0.0</v>
      </c>
      <c r="GE419" s="13">
        <f>GD419*($GB$6+ACUTE_MARGIN)</f>
        <v>0.0</v>
      </c>
      <c r="GF419" s="13">
        <f>IF(GB419=1,$GB$31,$GB$32)</f>
        <v>152394.16214437486</v>
      </c>
      <c r="GG419" s="13">
        <f>GE419-GF419</f>
        <v>-152394.16214437486</v>
      </c>
      <c r="GH419" s="13">
        <f>GH418+GG419</f>
        <v>-12975467.8522376</v>
      </c>
      <c r="GI419">
        <f>IF(GH419=MAX($GH$83:$GH$483),$A419,0)</f>
        <v>0</v>
      </c>
      <c r="GJ419">
        <f>IF(GE419&lt;GF419,$A419,B_MAX+1)</f>
        <v>336</v>
      </c>
      <c r="GK419" s="13">
        <f>IF(GB419=1,$GB$35,$GB$36)</f>
        <v>0</v>
      </c>
      <c r="GL419" s="13">
        <f>OCC_DAYS*$GB$41*R_NF_2023-GD419*MCD_SHARE_FREED*R_WAIT_2023</f>
        <v>151980.48282209205</v>
      </c>
      <c r="GM419">
        <f>IF($A419&lt;=$GB$45,1,0)</f>
        <v>0</v>
      </c>
      <c r="HB419">
        <f>IF($HB$31&lt;=$HB$32,IF($A419&lt;=$HB$7,1,2),IF($A419&lt;=RUNG_BEDS_2,2,1))</f>
        <v>1</v>
      </c>
      <c r="HC419" s="5">
        <f>MIN(1,MAX(0,$HB$26-($A419-1)))</f>
        <v>0</v>
      </c>
      <c r="HD419" s="5">
        <f>$HB$25*(HC419+(1-HC419)*$HB$16)</f>
        <v>0.0</v>
      </c>
      <c r="HE419" s="13">
        <f>HD419*($HB$6+ACUTE_MARGIN)</f>
        <v>0.0</v>
      </c>
      <c r="HF419" s="13">
        <f>IF(HB419=1,$HB$31,$HB$32)</f>
        <v>152456.2970814058</v>
      </c>
      <c r="HG419" s="13">
        <f>HE419-HF419</f>
        <v>-152456.2970814058</v>
      </c>
      <c r="HH419" s="13">
        <f>HH418+HG419</f>
        <v>-12996345.191080049</v>
      </c>
      <c r="HI419">
        <f>IF(HH419=MAX($HH$83:$HH$483),$A419,0)</f>
        <v>0</v>
      </c>
      <c r="HJ419">
        <f>IF(HE419&lt;HF419,$A419,B_MAX+1)</f>
        <v>336</v>
      </c>
      <c r="HK419" s="13">
        <f>IF(HB419=1,$HB$35,$HB$36)</f>
        <v>0</v>
      </c>
      <c r="HL419" s="13">
        <f>OCC_DAYS*$HB$41*R_NF_2023-HD419*MCD_SHARE_FREED*R_WAIT_2023</f>
        <v>151980.48282209205</v>
      </c>
      <c r="HM419">
        <f>IF($A419&lt;=$HB$45,1,0)</f>
        <v>0</v>
      </c>
      <c r="IB419">
        <f>IF($IB$31&lt;=$IB$32,IF($A419&lt;=$IB$7,1,2),IF($A419&lt;=RUNG_BEDS_2,2,1))</f>
        <v>1</v>
      </c>
      <c r="IC419" s="5">
        <f>MIN(1,MAX(0,$IB$26-($A419-1)))</f>
        <v>0</v>
      </c>
      <c r="ID419" s="5">
        <f>$IB$25*(IC419+(1-IC419)*$IB$16)</f>
        <v>0.0</v>
      </c>
      <c r="IE419" s="13">
        <f>ID419*($IB$6+ACUTE_MARGIN)</f>
        <v>0.0</v>
      </c>
      <c r="IF419" s="13">
        <f>IF(IB419=1,$IB$31,$IB$32)</f>
        <v>152734.9994534971</v>
      </c>
      <c r="IG419" s="13">
        <f>IE419-IF419</f>
        <v>-152734.9994534971</v>
      </c>
      <c r="IH419" s="13">
        <f>IH418+IG419</f>
        <v>-13089989.188102756</v>
      </c>
      <c r="II419">
        <f>IF(IH419=MAX($IH$83:$IH$483),$A419,0)</f>
        <v>0</v>
      </c>
      <c r="IJ419">
        <f>IF(IE419&lt;IF419,$A419,B_MAX+1)</f>
        <v>336</v>
      </c>
      <c r="IK419" s="13">
        <f>IF(IB419=1,$IB$35,$IB$36)</f>
        <v>0</v>
      </c>
      <c r="IL419" s="13">
        <f>OCC_DAYS*$IB$41*R_NF_2023-ID419*MCD_SHARE_FREED*R_WAIT_2023</f>
        <v>151980.48282209205</v>
      </c>
      <c r="IM419">
        <f>IF($A419&lt;=$IB$45,1,0)</f>
        <v>0</v>
      </c>
      <c r="JB419">
        <f>IF($JB$31&lt;=$JB$32,IF($A419&lt;=$JB$7,1,2),IF($A419&lt;=RUNG_BEDS_2,2,1))</f>
        <v>1</v>
      </c>
      <c r="JC419" s="5">
        <f>MIN(1,MAX(0,$JB$26-($A419-1)))</f>
        <v>0</v>
      </c>
      <c r="JD419" s="5">
        <f>$JB$25*(JC419+(1-JC419)*$JB$16)</f>
        <v>0.0</v>
      </c>
      <c r="JE419" s="13">
        <f>JD419*($JB$6+ACUTE_MARGIN)</f>
        <v>0.0</v>
      </c>
      <c r="JF419" s="13">
        <f>IF(JB419=1,$JB$31,$JB$32)</f>
        <v>152394.16214437486</v>
      </c>
      <c r="JG419" s="13">
        <f>JE419-JF419</f>
        <v>-152394.16214437486</v>
      </c>
      <c r="JH419" s="13">
        <f>JH418+JG419</f>
        <v>-12975467.8522376</v>
      </c>
      <c r="JI419">
        <f>IF(JH419=MAX($JH$83:$JH$483),$A419,0)</f>
        <v>0</v>
      </c>
      <c r="JJ419">
        <f>IF(JE419&lt;JF419,$A419,B_MAX+1)</f>
        <v>336</v>
      </c>
      <c r="JK419" s="13">
        <f>IF(JB419=1,$JB$35,$JB$36)</f>
        <v>0</v>
      </c>
      <c r="JL419" s="13">
        <f>OCC_DAYS*$JB$41*R_NF_2023-JD419*MCD_SHARE_FREED*R_WAIT_2023</f>
        <v>151980.48282209205</v>
      </c>
      <c r="JM419">
        <f>IF($A419&lt;=$JB$45,1,0)</f>
        <v>0</v>
      </c>
      <c r="KB419">
        <f>IF($KB$31&lt;=$KB$32,IF($A419&lt;=$KB$7,1,2),IF($A419&lt;=RUNG_BEDS_2,2,1))</f>
        <v>1</v>
      </c>
      <c r="KC419" s="5">
        <f>MIN(1,MAX(0,$KB$26-($A419-1)))</f>
        <v>0</v>
      </c>
      <c r="KD419" s="5">
        <f>$KB$25*(KC419+(1-KC419)*$KB$16)</f>
        <v>0.0</v>
      </c>
      <c r="KE419" s="13">
        <f>KD419*($KB$6+ACUTE_MARGIN)</f>
        <v>0.0</v>
      </c>
      <c r="KF419" s="13">
        <f>IF(KB419=1,$KB$31,$KB$32)</f>
        <v>152394.16214437486</v>
      </c>
      <c r="KG419" s="13">
        <f>KE419-KF419</f>
        <v>-152394.16214437486</v>
      </c>
      <c r="KH419" s="13">
        <f>KH418+KG419</f>
        <v>-12975467.852237707</v>
      </c>
      <c r="KI419">
        <f>IF(KH419=MAX($KH$83:$KH$483),$A419,0)</f>
        <v>0</v>
      </c>
      <c r="KJ419">
        <f>IF(KE419&lt;KF419,$A419,B_MAX+1)</f>
        <v>336</v>
      </c>
      <c r="KK419" s="13">
        <f>IF(KB419=1,$KB$35,$KB$36)</f>
        <v>0</v>
      </c>
      <c r="KL419" s="13">
        <f>OCC_DAYS*$KB$41*R_NF_2023-KD419*MCD_SHARE_FREED*R_WAIT_2023</f>
        <v>151980.48282209205</v>
      </c>
      <c r="KM419">
        <f>IF($A419&lt;=$KB$45,1,0)</f>
        <v>0</v>
      </c>
      <c r="LB419">
        <f>IF($LB$31&lt;=$LB$32,IF($A419&lt;=$LB$7,1,2),IF($A419&lt;=RUNG_BEDS_2,2,1))</f>
        <v>1</v>
      </c>
      <c r="LC419" s="5">
        <f>MIN(1,MAX(0,$LB$26-($A419-1)))</f>
        <v>1</v>
      </c>
      <c r="LD419" s="5">
        <f>$LB$25*(LC419+(1-LC419)*$LB$16)</f>
        <v>84.01774238227146</v>
      </c>
      <c r="LE419" s="13">
        <f>LD419*($LB$6+ACUTE_MARGIN)</f>
        <v>84857.91980609419</v>
      </c>
      <c r="LF419" s="13">
        <f>IF(LB419=1,$LB$31,$LB$32)</f>
        <v>152394.16214437486</v>
      </c>
      <c r="LG419" s="13">
        <f>LE419-LF419</f>
        <v>-67536.24233828067</v>
      </c>
      <c r="LH419" s="13">
        <f>LH418+LG419</f>
        <v>-22692177.42566243</v>
      </c>
      <c r="LI419">
        <f>IF(LH419=MAX($LH$83:$LH$483),$A419,0)</f>
        <v>0</v>
      </c>
      <c r="LJ419">
        <f>IF(LE419&lt;LF419,$A419,B_MAX+1)</f>
        <v>336</v>
      </c>
      <c r="LK419" s="13">
        <f>IF(LB419=1,$LB$35,$LB$36)</f>
        <v>0</v>
      </c>
      <c r="LL419" s="13">
        <f>OCC_DAYS*$LB$41*R_NF_2023-LD419*MCD_SHARE_FREED*R_WAIT_2023</f>
        <v>113776.04162887059</v>
      </c>
      <c r="LM419">
        <f>IF($A419&lt;=$LB$45,1,0)</f>
        <v>0</v>
      </c>
      <c r="MB419">
        <f>IF($MB$31&lt;=$MB$32,IF($A419&lt;=$MB$7,1,2),IF($A419&lt;=RUNG_BEDS_2,2,1))</f>
        <v>1</v>
      </c>
      <c r="MC419" s="5">
        <f>MIN(1,MAX(0,$MB$26-($A419-1)))</f>
        <v>0</v>
      </c>
      <c r="MD419" s="5">
        <f>$MB$25*(MC419+(1-MC419)*$MB$16)</f>
        <v>0.0</v>
      </c>
      <c r="ME419" s="13">
        <f>MD419*($MB$6+ACUTE_MARGIN)</f>
        <v>0.0</v>
      </c>
      <c r="MF419" s="13">
        <f>IF(MB419=1,$MB$31,$MB$32)</f>
        <v>152394.16214437486</v>
      </c>
      <c r="MG419" s="13">
        <f>ME419-MF419</f>
        <v>-152394.16214437486</v>
      </c>
      <c r="MH419" s="13">
        <f>MH418+MG419</f>
        <v>-18862743.9140359</v>
      </c>
      <c r="MI419">
        <f>IF(MH419=MAX($MH$83:$MH$483),$A419,0)</f>
        <v>0</v>
      </c>
      <c r="MJ419">
        <f>IF(ME419&lt;MF419,$A419,B_MAX+1)</f>
        <v>336</v>
      </c>
      <c r="MK419" s="13">
        <f>IF(MB419=1,$MB$35,$MB$36)</f>
        <v>0</v>
      </c>
      <c r="ML419" s="13">
        <f>OCC_DAYS*$MB$41*R_NF_2023-MD419*MCD_SHARE_FREED*R_WAIT_2023</f>
        <v>151980.48282209205</v>
      </c>
      <c r="MM419">
        <f>IF($A419&lt;=$MB$45,1,0)</f>
        <v>0</v>
      </c>
      <c r="NB419">
        <f>IF($NB$31&lt;=$NB$32,IF($A419&lt;=$NB$7,1,2),IF($A419&lt;=RUNG_BEDS_2,2,1))</f>
        <v>1</v>
      </c>
      <c r="NC419" s="5">
        <f>MIN(1,MAX(0,$NB$26-($A419-1)))</f>
        <v>0</v>
      </c>
      <c r="ND419" s="5">
        <f>$NB$25*(NC419+(1-NC419)*$NB$16)</f>
        <v>63.013306786703595</v>
      </c>
      <c r="NE419" s="13">
        <f>ND419*($NB$6+ACUTE_MARGIN)</f>
        <v>63643.43985457063</v>
      </c>
      <c r="NF419" s="13">
        <f>IF(NB419=1,$NB$31,$NB$32)</f>
        <v>152394.16214437486</v>
      </c>
      <c r="NG419" s="13">
        <f>NE419-NF419</f>
        <v>-88750.72228980422</v>
      </c>
      <c r="NH419" s="13">
        <f>NH418+NG419</f>
        <v>-1148514.718169996</v>
      </c>
      <c r="NI419">
        <f>IF(NH419=MAX($NH$83:$NH$483),$A419,0)</f>
        <v>0</v>
      </c>
      <c r="NJ419">
        <f>IF(NE419&lt;NF419,$A419,B_MAX+1)</f>
        <v>336</v>
      </c>
      <c r="NK419" s="13">
        <f>IF(NB419=1,$NB$35,$NB$36)</f>
        <v>0</v>
      </c>
      <c r="NL419" s="13">
        <f>OCC_DAYS*$NB$41*R_NF_2023-ND419*MCD_SHARE_FREED*R_WAIT_2023</f>
        <v>123327.15192717595</v>
      </c>
      <c r="NM419">
        <f>IF($A419&lt;=$NB$45,1,0)</f>
        <v>0</v>
      </c>
      <c r="OB419">
        <f>IF($OB$31&lt;=$OB$32,IF($A419&lt;=$OB$7,1,2),IF($A419&lt;=RUNG_BEDS_2,2,1))</f>
        <v>1</v>
      </c>
      <c r="OC419" s="5">
        <f>MIN(1,MAX(0,$OB$26-($A419-1)))</f>
        <v>0</v>
      </c>
      <c r="OD419" s="5">
        <f>$OB$25*(OC419+(1-OC419)*$OB$16)</f>
        <v>126.02661357340719</v>
      </c>
      <c r="OE419" s="13">
        <f>OD419*($OB$6+ACUTE_MARGIN)</f>
        <v>127286.87970914126</v>
      </c>
      <c r="OF419" s="13">
        <f>IF(OB419=1,$OB$31,$OB$32)</f>
        <v>152394.16214437486</v>
      </c>
      <c r="OG419" s="13">
        <f>OE419-OF419</f>
        <v>-25107.282435233603</v>
      </c>
      <c r="OH419" s="13">
        <f>OH418+OG419</f>
        <v>10678438.415897846</v>
      </c>
      <c r="OI419">
        <f>IF(OH419=MAX($OH$83:$OH$483),$A419,0)</f>
        <v>0</v>
      </c>
      <c r="OJ419">
        <f>IF(OE419&lt;OF419,$A419,B_MAX+1)</f>
        <v>336</v>
      </c>
      <c r="OK419" s="13">
        <f>IF(OB419=1,$OB$35,$OB$36)</f>
        <v>0</v>
      </c>
      <c r="OL419" s="13">
        <f>OCC_DAYS*$OB$41*R_NF_2023-OD419*MCD_SHARE_FREED*R_WAIT_2023</f>
        <v>94673.82103225985</v>
      </c>
      <c r="OM419">
        <f>IF($A419&lt;=$OB$45,1,0)</f>
        <v>0</v>
      </c>
    </row>
    <row r="420">
      <c r="A420" t="n">
        <v>337</v>
      </c>
      <c r="B420">
        <f>IF($B$31&lt;=$B$32,IF($A420&lt;=$B$7,1,2),IF($A420&lt;=RUNG_BEDS_2,2,1))</f>
        <v>1</v>
      </c>
      <c r="C420" s="5">
        <f>MIN(1,MAX(0,$B$26-($A420-1)))</f>
        <v>0</v>
      </c>
      <c r="D420" s="5">
        <f>$B$25*(C420+(1-C420)*$B$16)</f>
        <v>0.0</v>
      </c>
      <c r="E420" s="13">
        <f>D420*($B$6+ACUTE_MARGIN)</f>
        <v>0.0</v>
      </c>
      <c r="F420" s="13">
        <f>IF(B420=1,$B$31,$B$32)</f>
        <v>152394.16214437486</v>
      </c>
      <c r="G420" s="13">
        <f>E420-F420</f>
        <v>-152394.16214437486</v>
      </c>
      <c r="H420" s="13">
        <f>H419+G420</f>
        <v>-13127862.014381975</v>
      </c>
      <c r="I420">
        <f>IF(H420=MAX($H$83:$H$483),$A420,0)</f>
        <v>0</v>
      </c>
      <c r="J420">
        <f>IF(E420&lt;F420,$A420,B_MAX+1)</f>
        <v>337</v>
      </c>
      <c r="K420" s="13">
        <f>IF(B420=1,$B$35,$B$36)</f>
        <v>0</v>
      </c>
      <c r="L420" s="13">
        <f>OCC_DAYS*$B$41*R_NF_2023-D420*MCD_SHARE_FREED*R_WAIT_2023</f>
        <v>151980.48282209205</v>
      </c>
      <c r="M420">
        <f>IF($A420&lt;=$B$45,1,0)</f>
        <v>0</v>
      </c>
      <c r="AB420">
        <f>IF($AB$31&lt;=$AB$32,IF($A420&lt;=$AB$7,1,2),IF($A420&lt;=RUNG_BEDS_2,2,1))</f>
        <v>1</v>
      </c>
      <c r="AC420" s="5">
        <f>MIN(1,MAX(0,$AB$26-($A420-1)))</f>
        <v>0</v>
      </c>
      <c r="AD420" s="5">
        <f>$AB$25*(AC420+(1-AC420)*$AB$16)</f>
        <v>0.0</v>
      </c>
      <c r="AE420" s="13">
        <f>AD420*($AB$6+ACUTE_MARGIN)</f>
        <v>0.0</v>
      </c>
      <c r="AF420" s="13">
        <f>IF(AB420=1,$AB$31,$AB$32)</f>
        <v>152394.16214437486</v>
      </c>
      <c r="AG420" s="13">
        <f>AE420-AF420</f>
        <v>-152394.16214437486</v>
      </c>
      <c r="AH420" s="13">
        <f>AH419+AG420</f>
        <v>-30539076.35993171</v>
      </c>
      <c r="AI420">
        <f>IF(AH420=MAX($AH$83:$AH$483),$A420,0)</f>
        <v>0</v>
      </c>
      <c r="AJ420">
        <f>IF(AE420&lt;AF420,$A420,B_MAX+1)</f>
        <v>337</v>
      </c>
      <c r="AK420" s="13">
        <f>IF(AB420=1,$AB$35,$AB$36)</f>
        <v>0</v>
      </c>
      <c r="AL420" s="13">
        <f>OCC_DAYS*$AB$41*R_NF_2023-AD420*MCD_SHARE_FREED*R_WAIT_2023</f>
        <v>151980.48282209205</v>
      </c>
      <c r="AM420">
        <f>IF($A420&lt;=$AB$45,1,0)</f>
        <v>0</v>
      </c>
      <c r="BB420">
        <f>IF($BB$31&lt;=$BB$32,IF($A420&lt;=$BB$7,1,2),IF($A420&lt;=RUNG_BEDS_2,2,1))</f>
        <v>1</v>
      </c>
      <c r="BC420" s="5">
        <f>MIN(1,MAX(0,$BB$26-($A420-1)))</f>
        <v>0</v>
      </c>
      <c r="BD420" s="5">
        <f>$BB$25*(BC420+(1-BC420)*$BB$16)</f>
        <v>0.0</v>
      </c>
      <c r="BE420" s="13">
        <f>BD420*($BB$6+ACUTE_MARGIN)</f>
        <v>0.0</v>
      </c>
      <c r="BF420" s="13">
        <f>IF(BB420=1,$BB$31,$BB$32)</f>
        <v>152394.16214437486</v>
      </c>
      <c r="BG420" s="13">
        <f>BE420-BF420</f>
        <v>-152394.16214437486</v>
      </c>
      <c r="BH420" s="13">
        <f>BH419+BG420</f>
        <v>4283352.331167758</v>
      </c>
      <c r="BI420">
        <f>IF(BH420=MAX($BH$83:$BH$483),$A420,0)</f>
        <v>0</v>
      </c>
      <c r="BJ420">
        <f>IF(BE420&lt;BF420,$A420,B_MAX+1)</f>
        <v>337</v>
      </c>
      <c r="BK420" s="13">
        <f>IF(BB420=1,$BB$35,$BB$36)</f>
        <v>0</v>
      </c>
      <c r="BL420" s="13">
        <f>OCC_DAYS*$BB$41*R_NF_2023-BD420*MCD_SHARE_FREED*R_WAIT_2023</f>
        <v>151980.48282209205</v>
      </c>
      <c r="BM420">
        <f>IF($A420&lt;=$BB$45,1,0)</f>
        <v>0</v>
      </c>
      <c r="CB420">
        <f>IF($CB$31&lt;=$CB$32,IF($A420&lt;=$CB$7,1,2),IF($A420&lt;=RUNG_BEDS_2,2,1))</f>
        <v>2</v>
      </c>
      <c r="CC420" s="5">
        <f>MIN(1,MAX(0,$CB$26-($A420-1)))</f>
        <v>0</v>
      </c>
      <c r="CD420" s="5">
        <f>$CB$25*(CC420+(1-CC420)*$CB$16)</f>
        <v>0.0</v>
      </c>
      <c r="CE420" s="13">
        <f>CD420*($CB$6+ACUTE_MARGIN)</f>
        <v>0.0</v>
      </c>
      <c r="CF420" s="13">
        <f>IF(CB420=1,$CB$31,$CB$32)</f>
        <v>160718.36940738867</v>
      </c>
      <c r="CG420" s="13">
        <f>CE420-CF420</f>
        <v>-160718.36940738867</v>
      </c>
      <c r="CH420" s="13">
        <f>CH419+CG420</f>
        <v>-15933119.862017784</v>
      </c>
      <c r="CI420">
        <f>IF(CH420=MAX($CH$83:$CH$483),$A420,0)</f>
        <v>0</v>
      </c>
      <c r="CJ420">
        <f>IF(CE420&lt;CF420,$A420,B_MAX+1)</f>
        <v>337</v>
      </c>
      <c r="CK420" s="13">
        <f>IF(CB420=1,$CB$35,$CB$36)</f>
        <v>1560.1194073886782</v>
      </c>
      <c r="CL420" s="13">
        <f>OCC_DAYS*$CB$41*R_NF_2023-CD420*MCD_SHARE_FREED*R_WAIT_2023</f>
        <v>151980.48282209205</v>
      </c>
      <c r="CM420">
        <f>IF($A420&lt;=$CB$45,1,0)</f>
        <v>0</v>
      </c>
      <c r="DB420">
        <f>IF($DB$31&lt;=$DB$32,IF($A420&lt;=$DB$7,1,2),IF($A420&lt;=RUNG_BEDS_2,2,1))</f>
        <v>1</v>
      </c>
      <c r="DC420" s="5">
        <f>MIN(1,MAX(0,$DB$26-($A420-1)))</f>
        <v>0</v>
      </c>
      <c r="DD420" s="5">
        <f>$DB$25*(DC420+(1-DC420)*$DB$16)</f>
        <v>0.0</v>
      </c>
      <c r="DE420" s="13">
        <f>DD420*($DB$6+ACUTE_MARGIN)</f>
        <v>0.0</v>
      </c>
      <c r="DF420" s="13">
        <f>IF(DB420=1,$DB$31,$DB$32)</f>
        <v>152394.16214437486</v>
      </c>
      <c r="DG420" s="13">
        <f>DE420-DF420</f>
        <v>-152394.16214437486</v>
      </c>
      <c r="DH420" s="13">
        <f>DH419+DG420</f>
        <v>-13127862.014381975</v>
      </c>
      <c r="DI420">
        <f>IF(DH420=MAX($DH$83:$DH$483),$A420,0)</f>
        <v>0</v>
      </c>
      <c r="DJ420">
        <f>IF(DE420&lt;DF420,$A420,B_MAX+1)</f>
        <v>337</v>
      </c>
      <c r="DK420" s="13">
        <f>IF(DB420=1,$DB$35,$DB$36)</f>
        <v>0</v>
      </c>
      <c r="DL420" s="13">
        <f>OCC_DAYS*$DB$41*R_NF_2023-DD420*MCD_SHARE_FREED*R_WAIT_2023</f>
        <v>151980.48282209205</v>
      </c>
      <c r="DM420">
        <f>IF($A420&lt;=$DB$45,1,0)</f>
        <v>0</v>
      </c>
      <c r="EB420">
        <f>IF($EB$31&lt;=$EB$32,IF($A420&lt;=$EB$7,1,2),IF($A420&lt;=RUNG_BEDS_2,2,1))</f>
        <v>1</v>
      </c>
      <c r="EC420" s="5">
        <f>MIN(1,MAX(0,$EB$26-($A420-1)))</f>
        <v>0</v>
      </c>
      <c r="ED420" s="5">
        <f>$EB$25*(EC420+(1-EC420)*$EB$16)</f>
        <v>0.0</v>
      </c>
      <c r="EE420" s="13">
        <f>ED420*($EB$6+ACUTE_MARGIN)</f>
        <v>0.0</v>
      </c>
      <c r="EF420" s="13">
        <f>IF(EB420=1,$EB$31,$EB$32)</f>
        <v>152394.16214437486</v>
      </c>
      <c r="EG420" s="13">
        <f>EE420-EF420</f>
        <v>-152394.16214437486</v>
      </c>
      <c r="EH420" s="13">
        <f>EH419+EG420</f>
        <v>-13127862.014381975</v>
      </c>
      <c r="EI420">
        <f>IF(EH420=MAX($EH$83:$EH$483),$A420,0)</f>
        <v>0</v>
      </c>
      <c r="EJ420">
        <f>IF(EE420&lt;EF420,$A420,B_MAX+1)</f>
        <v>337</v>
      </c>
      <c r="EK420" s="13">
        <f>IF(EB420=1,$EB$35,$EB$36)</f>
        <v>0</v>
      </c>
      <c r="EL420" s="13">
        <f>OCC_DAYS*$EB$41*R_NF_2023-ED420*MCD_SHARE_FREED*R_WAIT_2023</f>
        <v>50660.16094069735</v>
      </c>
      <c r="EM420">
        <f>IF($A420&lt;=$EB$45,1,0)</f>
        <v>0</v>
      </c>
      <c r="FB420">
        <f>IF($FB$31&lt;=$FB$32,IF($A420&lt;=$FB$7,1,2),IF($A420&lt;=RUNG_BEDS_2,2,1))</f>
        <v>1</v>
      </c>
      <c r="FC420" s="5">
        <f>MIN(1,MAX(0,$FB$26-($A420-1)))</f>
        <v>0</v>
      </c>
      <c r="FD420" s="5">
        <f>$FB$25*(FC420+(1-FC420)*$FB$16)</f>
        <v>0.0</v>
      </c>
      <c r="FE420" s="13">
        <f>FD420*($FB$6+ACUTE_MARGIN)</f>
        <v>0.0</v>
      </c>
      <c r="FF420" s="13">
        <f>IF(FB420=1,$FB$31,$FB$32)</f>
        <v>156636.04979437485</v>
      </c>
      <c r="FG420" s="13">
        <f>FE420-FF420</f>
        <v>-156636.04979437485</v>
      </c>
      <c r="FH420" s="13">
        <f>FH419+FG420</f>
        <v>-14557378.152432078</v>
      </c>
      <c r="FI420">
        <f>IF(FH420=MAX($FH$83:$FH$483),$A420,0)</f>
        <v>0</v>
      </c>
      <c r="FJ420">
        <f>IF(FE420&lt;FF420,$A420,B_MAX+1)</f>
        <v>337</v>
      </c>
      <c r="FK420" s="13">
        <f>IF(FB420=1,$FB$35,$FB$36)</f>
        <v>0</v>
      </c>
      <c r="FL420" s="13">
        <f>OCC_DAYS*$FB$41*R_NF_2023-FD420*MCD_SHARE_FREED*R_WAIT_2023</f>
        <v>151980.48282209205</v>
      </c>
      <c r="FM420">
        <f>IF($A420&lt;=$FB$45,1,0)</f>
        <v>0</v>
      </c>
      <c r="GB420">
        <f>IF($GB$31&lt;=$GB$32,IF($A420&lt;=$GB$7,1,2),IF($A420&lt;=RUNG_BEDS_2,2,1))</f>
        <v>1</v>
      </c>
      <c r="GC420" s="5">
        <f>MIN(1,MAX(0,$GB$26-($A420-1)))</f>
        <v>0</v>
      </c>
      <c r="GD420" s="5">
        <f>$GB$25*(GC420+(1-GC420)*$GB$16)</f>
        <v>0.0</v>
      </c>
      <c r="GE420" s="13">
        <f>GD420*($GB$6+ACUTE_MARGIN)</f>
        <v>0.0</v>
      </c>
      <c r="GF420" s="13">
        <f>IF(GB420=1,$GB$31,$GB$32)</f>
        <v>152394.16214437486</v>
      </c>
      <c r="GG420" s="13">
        <f>GE420-GF420</f>
        <v>-152394.16214437486</v>
      </c>
      <c r="GH420" s="13">
        <f>GH419+GG420</f>
        <v>-13127862.014381975</v>
      </c>
      <c r="GI420">
        <f>IF(GH420=MAX($GH$83:$GH$483),$A420,0)</f>
        <v>0</v>
      </c>
      <c r="GJ420">
        <f>IF(GE420&lt;GF420,$A420,B_MAX+1)</f>
        <v>337</v>
      </c>
      <c r="GK420" s="13">
        <f>IF(GB420=1,$GB$35,$GB$36)</f>
        <v>0</v>
      </c>
      <c r="GL420" s="13">
        <f>OCC_DAYS*$GB$41*R_NF_2023-GD420*MCD_SHARE_FREED*R_WAIT_2023</f>
        <v>151980.48282209205</v>
      </c>
      <c r="GM420">
        <f>IF($A420&lt;=$GB$45,1,0)</f>
        <v>0</v>
      </c>
      <c r="HB420">
        <f>IF($HB$31&lt;=$HB$32,IF($A420&lt;=$HB$7,1,2),IF($A420&lt;=RUNG_BEDS_2,2,1))</f>
        <v>1</v>
      </c>
      <c r="HC420" s="5">
        <f>MIN(1,MAX(0,$HB$26-($A420-1)))</f>
        <v>0</v>
      </c>
      <c r="HD420" s="5">
        <f>$HB$25*(HC420+(1-HC420)*$HB$16)</f>
        <v>0.0</v>
      </c>
      <c r="HE420" s="13">
        <f>HD420*($HB$6+ACUTE_MARGIN)</f>
        <v>0.0</v>
      </c>
      <c r="HF420" s="13">
        <f>IF(HB420=1,$HB$31,$HB$32)</f>
        <v>152456.2970814058</v>
      </c>
      <c r="HG420" s="13">
        <f>HE420-HF420</f>
        <v>-152456.2970814058</v>
      </c>
      <c r="HH420" s="13">
        <f>HH419+HG420</f>
        <v>-13148801.488161454</v>
      </c>
      <c r="HI420">
        <f>IF(HH420=MAX($HH$83:$HH$483),$A420,0)</f>
        <v>0</v>
      </c>
      <c r="HJ420">
        <f>IF(HE420&lt;HF420,$A420,B_MAX+1)</f>
        <v>337</v>
      </c>
      <c r="HK420" s="13">
        <f>IF(HB420=1,$HB$35,$HB$36)</f>
        <v>0</v>
      </c>
      <c r="HL420" s="13">
        <f>OCC_DAYS*$HB$41*R_NF_2023-HD420*MCD_SHARE_FREED*R_WAIT_2023</f>
        <v>151980.48282209205</v>
      </c>
      <c r="HM420">
        <f>IF($A420&lt;=$HB$45,1,0)</f>
        <v>0</v>
      </c>
      <c r="IB420">
        <f>IF($IB$31&lt;=$IB$32,IF($A420&lt;=$IB$7,1,2),IF($A420&lt;=RUNG_BEDS_2,2,1))</f>
        <v>1</v>
      </c>
      <c r="IC420" s="5">
        <f>MIN(1,MAX(0,$IB$26-($A420-1)))</f>
        <v>0</v>
      </c>
      <c r="ID420" s="5">
        <f>$IB$25*(IC420+(1-IC420)*$IB$16)</f>
        <v>0.0</v>
      </c>
      <c r="IE420" s="13">
        <f>ID420*($IB$6+ACUTE_MARGIN)</f>
        <v>0.0</v>
      </c>
      <c r="IF420" s="13">
        <f>IF(IB420=1,$IB$31,$IB$32)</f>
        <v>152734.9994534971</v>
      </c>
      <c r="IG420" s="13">
        <f>IE420-IF420</f>
        <v>-152734.9994534971</v>
      </c>
      <c r="IH420" s="13">
        <f>IH419+IG420</f>
        <v>-13242724.187556252</v>
      </c>
      <c r="II420">
        <f>IF(IH420=MAX($IH$83:$IH$483),$A420,0)</f>
        <v>0</v>
      </c>
      <c r="IJ420">
        <f>IF(IE420&lt;IF420,$A420,B_MAX+1)</f>
        <v>337</v>
      </c>
      <c r="IK420" s="13">
        <f>IF(IB420=1,$IB$35,$IB$36)</f>
        <v>0</v>
      </c>
      <c r="IL420" s="13">
        <f>OCC_DAYS*$IB$41*R_NF_2023-ID420*MCD_SHARE_FREED*R_WAIT_2023</f>
        <v>151980.48282209205</v>
      </c>
      <c r="IM420">
        <f>IF($A420&lt;=$IB$45,1,0)</f>
        <v>0</v>
      </c>
      <c r="JB420">
        <f>IF($JB$31&lt;=$JB$32,IF($A420&lt;=$JB$7,1,2),IF($A420&lt;=RUNG_BEDS_2,2,1))</f>
        <v>1</v>
      </c>
      <c r="JC420" s="5">
        <f>MIN(1,MAX(0,$JB$26-($A420-1)))</f>
        <v>0</v>
      </c>
      <c r="JD420" s="5">
        <f>$JB$25*(JC420+(1-JC420)*$JB$16)</f>
        <v>0.0</v>
      </c>
      <c r="JE420" s="13">
        <f>JD420*($JB$6+ACUTE_MARGIN)</f>
        <v>0.0</v>
      </c>
      <c r="JF420" s="13">
        <f>IF(JB420=1,$JB$31,$JB$32)</f>
        <v>152394.16214437486</v>
      </c>
      <c r="JG420" s="13">
        <f>JE420-JF420</f>
        <v>-152394.16214437486</v>
      </c>
      <c r="JH420" s="13">
        <f>JH419+JG420</f>
        <v>-13127862.014381975</v>
      </c>
      <c r="JI420">
        <f>IF(JH420=MAX($JH$83:$JH$483),$A420,0)</f>
        <v>0</v>
      </c>
      <c r="JJ420">
        <f>IF(JE420&lt;JF420,$A420,B_MAX+1)</f>
        <v>337</v>
      </c>
      <c r="JK420" s="13">
        <f>IF(JB420=1,$JB$35,$JB$36)</f>
        <v>0</v>
      </c>
      <c r="JL420" s="13">
        <f>OCC_DAYS*$JB$41*R_NF_2023-JD420*MCD_SHARE_FREED*R_WAIT_2023</f>
        <v>151980.48282209205</v>
      </c>
      <c r="JM420">
        <f>IF($A420&lt;=$JB$45,1,0)</f>
        <v>0</v>
      </c>
      <c r="KB420">
        <f>IF($KB$31&lt;=$KB$32,IF($A420&lt;=$KB$7,1,2),IF($A420&lt;=RUNG_BEDS_2,2,1))</f>
        <v>1</v>
      </c>
      <c r="KC420" s="5">
        <f>MIN(1,MAX(0,$KB$26-($A420-1)))</f>
        <v>0</v>
      </c>
      <c r="KD420" s="5">
        <f>$KB$25*(KC420+(1-KC420)*$KB$16)</f>
        <v>0.0</v>
      </c>
      <c r="KE420" s="13">
        <f>KD420*($KB$6+ACUTE_MARGIN)</f>
        <v>0.0</v>
      </c>
      <c r="KF420" s="13">
        <f>IF(KB420=1,$KB$31,$KB$32)</f>
        <v>152394.16214437486</v>
      </c>
      <c r="KG420" s="13">
        <f>KE420-KF420</f>
        <v>-152394.16214437486</v>
      </c>
      <c r="KH420" s="13">
        <f>KH419+KG420</f>
        <v>-13127862.014382081</v>
      </c>
      <c r="KI420">
        <f>IF(KH420=MAX($KH$83:$KH$483),$A420,0)</f>
        <v>0</v>
      </c>
      <c r="KJ420">
        <f>IF(KE420&lt;KF420,$A420,B_MAX+1)</f>
        <v>337</v>
      </c>
      <c r="KK420" s="13">
        <f>IF(KB420=1,$KB$35,$KB$36)</f>
        <v>0</v>
      </c>
      <c r="KL420" s="13">
        <f>OCC_DAYS*$KB$41*R_NF_2023-KD420*MCD_SHARE_FREED*R_WAIT_2023</f>
        <v>151980.48282209205</v>
      </c>
      <c r="KM420">
        <f>IF($A420&lt;=$KB$45,1,0)</f>
        <v>0</v>
      </c>
      <c r="LB420">
        <f>IF($LB$31&lt;=$LB$32,IF($A420&lt;=$LB$7,1,2),IF($A420&lt;=RUNG_BEDS_2,2,1))</f>
        <v>1</v>
      </c>
      <c r="LC420" s="5">
        <f>MIN(1,MAX(0,$LB$26-($A420-1)))</f>
        <v>1</v>
      </c>
      <c r="LD420" s="5">
        <f>$LB$25*(LC420+(1-LC420)*$LB$16)</f>
        <v>84.01774238227146</v>
      </c>
      <c r="LE420" s="13">
        <f>LD420*($LB$6+ACUTE_MARGIN)</f>
        <v>84857.91980609419</v>
      </c>
      <c r="LF420" s="13">
        <f>IF(LB420=1,$LB$31,$LB$32)</f>
        <v>152394.16214437486</v>
      </c>
      <c r="LG420" s="13">
        <f>LE420-LF420</f>
        <v>-67536.24233828067</v>
      </c>
      <c r="LH420" s="13">
        <f>LH419+LG420</f>
        <v>-22759713.66800071</v>
      </c>
      <c r="LI420">
        <f>IF(LH420=MAX($LH$83:$LH$483),$A420,0)</f>
        <v>0</v>
      </c>
      <c r="LJ420">
        <f>IF(LE420&lt;LF420,$A420,B_MAX+1)</f>
        <v>337</v>
      </c>
      <c r="LK420" s="13">
        <f>IF(LB420=1,$LB$35,$LB$36)</f>
        <v>0</v>
      </c>
      <c r="LL420" s="13">
        <f>OCC_DAYS*$LB$41*R_NF_2023-LD420*MCD_SHARE_FREED*R_WAIT_2023</f>
        <v>113776.04162887059</v>
      </c>
      <c r="LM420">
        <f>IF($A420&lt;=$LB$45,1,0)</f>
        <v>0</v>
      </c>
      <c r="MB420">
        <f>IF($MB$31&lt;=$MB$32,IF($A420&lt;=$MB$7,1,2),IF($A420&lt;=RUNG_BEDS_2,2,1))</f>
        <v>1</v>
      </c>
      <c r="MC420" s="5">
        <f>MIN(1,MAX(0,$MB$26-($A420-1)))</f>
        <v>0</v>
      </c>
      <c r="MD420" s="5">
        <f>$MB$25*(MC420+(1-MC420)*$MB$16)</f>
        <v>0.0</v>
      </c>
      <c r="ME420" s="13">
        <f>MD420*($MB$6+ACUTE_MARGIN)</f>
        <v>0.0</v>
      </c>
      <c r="MF420" s="13">
        <f>IF(MB420=1,$MB$31,$MB$32)</f>
        <v>152394.16214437486</v>
      </c>
      <c r="MG420" s="13">
        <f>ME420-MF420</f>
        <v>-152394.16214437486</v>
      </c>
      <c r="MH420" s="13">
        <f>MH419+MG420</f>
        <v>-19015138.076180276</v>
      </c>
      <c r="MI420">
        <f>IF(MH420=MAX($MH$83:$MH$483),$A420,0)</f>
        <v>0</v>
      </c>
      <c r="MJ420">
        <f>IF(ME420&lt;MF420,$A420,B_MAX+1)</f>
        <v>337</v>
      </c>
      <c r="MK420" s="13">
        <f>IF(MB420=1,$MB$35,$MB$36)</f>
        <v>0</v>
      </c>
      <c r="ML420" s="13">
        <f>OCC_DAYS*$MB$41*R_NF_2023-MD420*MCD_SHARE_FREED*R_WAIT_2023</f>
        <v>151980.48282209205</v>
      </c>
      <c r="MM420">
        <f>IF($A420&lt;=$MB$45,1,0)</f>
        <v>0</v>
      </c>
      <c r="NB420">
        <f>IF($NB$31&lt;=$NB$32,IF($A420&lt;=$NB$7,1,2),IF($A420&lt;=RUNG_BEDS_2,2,1))</f>
        <v>1</v>
      </c>
      <c r="NC420" s="5">
        <f>MIN(1,MAX(0,$NB$26-($A420-1)))</f>
        <v>0</v>
      </c>
      <c r="ND420" s="5">
        <f>$NB$25*(NC420+(1-NC420)*$NB$16)</f>
        <v>63.013306786703595</v>
      </c>
      <c r="NE420" s="13">
        <f>ND420*($NB$6+ACUTE_MARGIN)</f>
        <v>63643.43985457063</v>
      </c>
      <c r="NF420" s="13">
        <f>IF(NB420=1,$NB$31,$NB$32)</f>
        <v>152394.16214437486</v>
      </c>
      <c r="NG420" s="13">
        <f>NE420-NF420</f>
        <v>-88750.72228980422</v>
      </c>
      <c r="NH420" s="13">
        <f>NH419+NG420</f>
        <v>-1237265.4404598002</v>
      </c>
      <c r="NI420">
        <f>IF(NH420=MAX($NH$83:$NH$483),$A420,0)</f>
        <v>0</v>
      </c>
      <c r="NJ420">
        <f>IF(NE420&lt;NF420,$A420,B_MAX+1)</f>
        <v>337</v>
      </c>
      <c r="NK420" s="13">
        <f>IF(NB420=1,$NB$35,$NB$36)</f>
        <v>0</v>
      </c>
      <c r="NL420" s="13">
        <f>OCC_DAYS*$NB$41*R_NF_2023-ND420*MCD_SHARE_FREED*R_WAIT_2023</f>
        <v>123327.15192717595</v>
      </c>
      <c r="NM420">
        <f>IF($A420&lt;=$NB$45,1,0)</f>
        <v>0</v>
      </c>
      <c r="OB420">
        <f>IF($OB$31&lt;=$OB$32,IF($A420&lt;=$OB$7,1,2),IF($A420&lt;=RUNG_BEDS_2,2,1))</f>
        <v>1</v>
      </c>
      <c r="OC420" s="5">
        <f>MIN(1,MAX(0,$OB$26-($A420-1)))</f>
        <v>0</v>
      </c>
      <c r="OD420" s="5">
        <f>$OB$25*(OC420+(1-OC420)*$OB$16)</f>
        <v>126.02661357340719</v>
      </c>
      <c r="OE420" s="13">
        <f>OD420*($OB$6+ACUTE_MARGIN)</f>
        <v>127286.87970914126</v>
      </c>
      <c r="OF420" s="13">
        <f>IF(OB420=1,$OB$31,$OB$32)</f>
        <v>152394.16214437486</v>
      </c>
      <c r="OG420" s="13">
        <f>OE420-OF420</f>
        <v>-25107.282435233603</v>
      </c>
      <c r="OH420" s="13">
        <f>OH419+OG420</f>
        <v>10653331.133462613</v>
      </c>
      <c r="OI420">
        <f>IF(OH420=MAX($OH$83:$OH$483),$A420,0)</f>
        <v>0</v>
      </c>
      <c r="OJ420">
        <f>IF(OE420&lt;OF420,$A420,B_MAX+1)</f>
        <v>337</v>
      </c>
      <c r="OK420" s="13">
        <f>IF(OB420=1,$OB$35,$OB$36)</f>
        <v>0</v>
      </c>
      <c r="OL420" s="13">
        <f>OCC_DAYS*$OB$41*R_NF_2023-OD420*MCD_SHARE_FREED*R_WAIT_2023</f>
        <v>94673.82103225985</v>
      </c>
      <c r="OM420">
        <f>IF($A420&lt;=$OB$45,1,0)</f>
        <v>0</v>
      </c>
    </row>
    <row r="421">
      <c r="A421" t="n">
        <v>338</v>
      </c>
      <c r="B421">
        <f>IF($B$31&lt;=$B$32,IF($A421&lt;=$B$7,1,2),IF($A421&lt;=RUNG_BEDS_2,2,1))</f>
        <v>1</v>
      </c>
      <c r="C421" s="5">
        <f>MIN(1,MAX(0,$B$26-($A421-1)))</f>
        <v>0</v>
      </c>
      <c r="D421" s="5">
        <f>$B$25*(C421+(1-C421)*$B$16)</f>
        <v>0.0</v>
      </c>
      <c r="E421" s="13">
        <f>D421*($B$6+ACUTE_MARGIN)</f>
        <v>0.0</v>
      </c>
      <c r="F421" s="13">
        <f>IF(B421=1,$B$31,$B$32)</f>
        <v>152394.16214437486</v>
      </c>
      <c r="G421" s="13">
        <f>E421-F421</f>
        <v>-152394.16214437486</v>
      </c>
      <c r="H421" s="13">
        <f>H420+G421</f>
        <v>-13280256.176526349</v>
      </c>
      <c r="I421">
        <f>IF(H421=MAX($H$83:$H$483),$A421,0)</f>
        <v>0</v>
      </c>
      <c r="J421">
        <f>IF(E421&lt;F421,$A421,B_MAX+1)</f>
        <v>338</v>
      </c>
      <c r="K421" s="13">
        <f>IF(B421=1,$B$35,$B$36)</f>
        <v>0</v>
      </c>
      <c r="L421" s="13">
        <f>OCC_DAYS*$B$41*R_NF_2023-D421*MCD_SHARE_FREED*R_WAIT_2023</f>
        <v>151980.48282209205</v>
      </c>
      <c r="M421">
        <f>IF($A421&lt;=$B$45,1,0)</f>
        <v>0</v>
      </c>
      <c r="AB421">
        <f>IF($AB$31&lt;=$AB$32,IF($A421&lt;=$AB$7,1,2),IF($A421&lt;=RUNG_BEDS_2,2,1))</f>
        <v>1</v>
      </c>
      <c r="AC421" s="5">
        <f>MIN(1,MAX(0,$AB$26-($A421-1)))</f>
        <v>0</v>
      </c>
      <c r="AD421" s="5">
        <f>$AB$25*(AC421+(1-AC421)*$AB$16)</f>
        <v>0.0</v>
      </c>
      <c r="AE421" s="13">
        <f>AD421*($AB$6+ACUTE_MARGIN)</f>
        <v>0.0</v>
      </c>
      <c r="AF421" s="13">
        <f>IF(AB421=1,$AB$31,$AB$32)</f>
        <v>152394.16214437486</v>
      </c>
      <c r="AG421" s="13">
        <f>AE421-AF421</f>
        <v>-152394.16214437486</v>
      </c>
      <c r="AH421" s="13">
        <f>AH420+AG421</f>
        <v>-30691470.522076085</v>
      </c>
      <c r="AI421">
        <f>IF(AH421=MAX($AH$83:$AH$483),$A421,0)</f>
        <v>0</v>
      </c>
      <c r="AJ421">
        <f>IF(AE421&lt;AF421,$A421,B_MAX+1)</f>
        <v>338</v>
      </c>
      <c r="AK421" s="13">
        <f>IF(AB421=1,$AB$35,$AB$36)</f>
        <v>0</v>
      </c>
      <c r="AL421" s="13">
        <f>OCC_DAYS*$AB$41*R_NF_2023-AD421*MCD_SHARE_FREED*R_WAIT_2023</f>
        <v>151980.48282209205</v>
      </c>
      <c r="AM421">
        <f>IF($A421&lt;=$AB$45,1,0)</f>
        <v>0</v>
      </c>
      <c r="BB421">
        <f>IF($BB$31&lt;=$BB$32,IF($A421&lt;=$BB$7,1,2),IF($A421&lt;=RUNG_BEDS_2,2,1))</f>
        <v>1</v>
      </c>
      <c r="BC421" s="5">
        <f>MIN(1,MAX(0,$BB$26-($A421-1)))</f>
        <v>0</v>
      </c>
      <c r="BD421" s="5">
        <f>$BB$25*(BC421+(1-BC421)*$BB$16)</f>
        <v>0.0</v>
      </c>
      <c r="BE421" s="13">
        <f>BD421*($BB$6+ACUTE_MARGIN)</f>
        <v>0.0</v>
      </c>
      <c r="BF421" s="13">
        <f>IF(BB421=1,$BB$31,$BB$32)</f>
        <v>152394.16214437486</v>
      </c>
      <c r="BG421" s="13">
        <f>BE421-BF421</f>
        <v>-152394.16214437486</v>
      </c>
      <c r="BH421" s="13">
        <f>BH420+BG421</f>
        <v>4130958.1690233834</v>
      </c>
      <c r="BI421">
        <f>IF(BH421=MAX($BH$83:$BH$483),$A421,0)</f>
        <v>0</v>
      </c>
      <c r="BJ421">
        <f>IF(BE421&lt;BF421,$A421,B_MAX+1)</f>
        <v>338</v>
      </c>
      <c r="BK421" s="13">
        <f>IF(BB421=1,$BB$35,$BB$36)</f>
        <v>0</v>
      </c>
      <c r="BL421" s="13">
        <f>OCC_DAYS*$BB$41*R_NF_2023-BD421*MCD_SHARE_FREED*R_WAIT_2023</f>
        <v>151980.48282209205</v>
      </c>
      <c r="BM421">
        <f>IF($A421&lt;=$BB$45,1,0)</f>
        <v>0</v>
      </c>
      <c r="CB421">
        <f>IF($CB$31&lt;=$CB$32,IF($A421&lt;=$CB$7,1,2),IF($A421&lt;=RUNG_BEDS_2,2,1))</f>
        <v>2</v>
      </c>
      <c r="CC421" s="5">
        <f>MIN(1,MAX(0,$CB$26-($A421-1)))</f>
        <v>0</v>
      </c>
      <c r="CD421" s="5">
        <f>$CB$25*(CC421+(1-CC421)*$CB$16)</f>
        <v>0.0</v>
      </c>
      <c r="CE421" s="13">
        <f>CD421*($CB$6+ACUTE_MARGIN)</f>
        <v>0.0</v>
      </c>
      <c r="CF421" s="13">
        <f>IF(CB421=1,$CB$31,$CB$32)</f>
        <v>160718.36940738867</v>
      </c>
      <c r="CG421" s="13">
        <f>CE421-CF421</f>
        <v>-160718.36940738867</v>
      </c>
      <c r="CH421" s="13">
        <f>CH420+CG421</f>
        <v>-16093838.231425174</v>
      </c>
      <c r="CI421">
        <f>IF(CH421=MAX($CH$83:$CH$483),$A421,0)</f>
        <v>0</v>
      </c>
      <c r="CJ421">
        <f>IF(CE421&lt;CF421,$A421,B_MAX+1)</f>
        <v>338</v>
      </c>
      <c r="CK421" s="13">
        <f>IF(CB421=1,$CB$35,$CB$36)</f>
        <v>1560.1194073886782</v>
      </c>
      <c r="CL421" s="13">
        <f>OCC_DAYS*$CB$41*R_NF_2023-CD421*MCD_SHARE_FREED*R_WAIT_2023</f>
        <v>151980.48282209205</v>
      </c>
      <c r="CM421">
        <f>IF($A421&lt;=$CB$45,1,0)</f>
        <v>0</v>
      </c>
      <c r="DB421">
        <f>IF($DB$31&lt;=$DB$32,IF($A421&lt;=$DB$7,1,2),IF($A421&lt;=RUNG_BEDS_2,2,1))</f>
        <v>1</v>
      </c>
      <c r="DC421" s="5">
        <f>MIN(1,MAX(0,$DB$26-($A421-1)))</f>
        <v>0</v>
      </c>
      <c r="DD421" s="5">
        <f>$DB$25*(DC421+(1-DC421)*$DB$16)</f>
        <v>0.0</v>
      </c>
      <c r="DE421" s="13">
        <f>DD421*($DB$6+ACUTE_MARGIN)</f>
        <v>0.0</v>
      </c>
      <c r="DF421" s="13">
        <f>IF(DB421=1,$DB$31,$DB$32)</f>
        <v>152394.16214437486</v>
      </c>
      <c r="DG421" s="13">
        <f>DE421-DF421</f>
        <v>-152394.16214437486</v>
      </c>
      <c r="DH421" s="13">
        <f>DH420+DG421</f>
        <v>-13280256.176526349</v>
      </c>
      <c r="DI421">
        <f>IF(DH421=MAX($DH$83:$DH$483),$A421,0)</f>
        <v>0</v>
      </c>
      <c r="DJ421">
        <f>IF(DE421&lt;DF421,$A421,B_MAX+1)</f>
        <v>338</v>
      </c>
      <c r="DK421" s="13">
        <f>IF(DB421=1,$DB$35,$DB$36)</f>
        <v>0</v>
      </c>
      <c r="DL421" s="13">
        <f>OCC_DAYS*$DB$41*R_NF_2023-DD421*MCD_SHARE_FREED*R_WAIT_2023</f>
        <v>151980.48282209205</v>
      </c>
      <c r="DM421">
        <f>IF($A421&lt;=$DB$45,1,0)</f>
        <v>0</v>
      </c>
      <c r="EB421">
        <f>IF($EB$31&lt;=$EB$32,IF($A421&lt;=$EB$7,1,2),IF($A421&lt;=RUNG_BEDS_2,2,1))</f>
        <v>1</v>
      </c>
      <c r="EC421" s="5">
        <f>MIN(1,MAX(0,$EB$26-($A421-1)))</f>
        <v>0</v>
      </c>
      <c r="ED421" s="5">
        <f>$EB$25*(EC421+(1-EC421)*$EB$16)</f>
        <v>0.0</v>
      </c>
      <c r="EE421" s="13">
        <f>ED421*($EB$6+ACUTE_MARGIN)</f>
        <v>0.0</v>
      </c>
      <c r="EF421" s="13">
        <f>IF(EB421=1,$EB$31,$EB$32)</f>
        <v>152394.16214437486</v>
      </c>
      <c r="EG421" s="13">
        <f>EE421-EF421</f>
        <v>-152394.16214437486</v>
      </c>
      <c r="EH421" s="13">
        <f>EH420+EG421</f>
        <v>-13280256.176526349</v>
      </c>
      <c r="EI421">
        <f>IF(EH421=MAX($EH$83:$EH$483),$A421,0)</f>
        <v>0</v>
      </c>
      <c r="EJ421">
        <f>IF(EE421&lt;EF421,$A421,B_MAX+1)</f>
        <v>338</v>
      </c>
      <c r="EK421" s="13">
        <f>IF(EB421=1,$EB$35,$EB$36)</f>
        <v>0</v>
      </c>
      <c r="EL421" s="13">
        <f>OCC_DAYS*$EB$41*R_NF_2023-ED421*MCD_SHARE_FREED*R_WAIT_2023</f>
        <v>50660.16094069735</v>
      </c>
      <c r="EM421">
        <f>IF($A421&lt;=$EB$45,1,0)</f>
        <v>0</v>
      </c>
      <c r="FB421">
        <f>IF($FB$31&lt;=$FB$32,IF($A421&lt;=$FB$7,1,2),IF($A421&lt;=RUNG_BEDS_2,2,1))</f>
        <v>1</v>
      </c>
      <c r="FC421" s="5">
        <f>MIN(1,MAX(0,$FB$26-($A421-1)))</f>
        <v>0</v>
      </c>
      <c r="FD421" s="5">
        <f>$FB$25*(FC421+(1-FC421)*$FB$16)</f>
        <v>0.0</v>
      </c>
      <c r="FE421" s="13">
        <f>FD421*($FB$6+ACUTE_MARGIN)</f>
        <v>0.0</v>
      </c>
      <c r="FF421" s="13">
        <f>IF(FB421=1,$FB$31,$FB$32)</f>
        <v>156636.04979437485</v>
      </c>
      <c r="FG421" s="13">
        <f>FE421-FF421</f>
        <v>-156636.04979437485</v>
      </c>
      <c r="FH421" s="13">
        <f>FH420+FG421</f>
        <v>-14714014.202226453</v>
      </c>
      <c r="FI421">
        <f>IF(FH421=MAX($FH$83:$FH$483),$A421,0)</f>
        <v>0</v>
      </c>
      <c r="FJ421">
        <f>IF(FE421&lt;FF421,$A421,B_MAX+1)</f>
        <v>338</v>
      </c>
      <c r="FK421" s="13">
        <f>IF(FB421=1,$FB$35,$FB$36)</f>
        <v>0</v>
      </c>
      <c r="FL421" s="13">
        <f>OCC_DAYS*$FB$41*R_NF_2023-FD421*MCD_SHARE_FREED*R_WAIT_2023</f>
        <v>151980.48282209205</v>
      </c>
      <c r="FM421">
        <f>IF($A421&lt;=$FB$45,1,0)</f>
        <v>0</v>
      </c>
      <c r="GB421">
        <f>IF($GB$31&lt;=$GB$32,IF($A421&lt;=$GB$7,1,2),IF($A421&lt;=RUNG_BEDS_2,2,1))</f>
        <v>1</v>
      </c>
      <c r="GC421" s="5">
        <f>MIN(1,MAX(0,$GB$26-($A421-1)))</f>
        <v>0</v>
      </c>
      <c r="GD421" s="5">
        <f>$GB$25*(GC421+(1-GC421)*$GB$16)</f>
        <v>0.0</v>
      </c>
      <c r="GE421" s="13">
        <f>GD421*($GB$6+ACUTE_MARGIN)</f>
        <v>0.0</v>
      </c>
      <c r="GF421" s="13">
        <f>IF(GB421=1,$GB$31,$GB$32)</f>
        <v>152394.16214437486</v>
      </c>
      <c r="GG421" s="13">
        <f>GE421-GF421</f>
        <v>-152394.16214437486</v>
      </c>
      <c r="GH421" s="13">
        <f>GH420+GG421</f>
        <v>-13280256.176526349</v>
      </c>
      <c r="GI421">
        <f>IF(GH421=MAX($GH$83:$GH$483),$A421,0)</f>
        <v>0</v>
      </c>
      <c r="GJ421">
        <f>IF(GE421&lt;GF421,$A421,B_MAX+1)</f>
        <v>338</v>
      </c>
      <c r="GK421" s="13">
        <f>IF(GB421=1,$GB$35,$GB$36)</f>
        <v>0</v>
      </c>
      <c r="GL421" s="13">
        <f>OCC_DAYS*$GB$41*R_NF_2023-GD421*MCD_SHARE_FREED*R_WAIT_2023</f>
        <v>151980.48282209205</v>
      </c>
      <c r="GM421">
        <f>IF($A421&lt;=$GB$45,1,0)</f>
        <v>0</v>
      </c>
      <c r="HB421">
        <f>IF($HB$31&lt;=$HB$32,IF($A421&lt;=$HB$7,1,2),IF($A421&lt;=RUNG_BEDS_2,2,1))</f>
        <v>1</v>
      </c>
      <c r="HC421" s="5">
        <f>MIN(1,MAX(0,$HB$26-($A421-1)))</f>
        <v>0</v>
      </c>
      <c r="HD421" s="5">
        <f>$HB$25*(HC421+(1-HC421)*$HB$16)</f>
        <v>0.0</v>
      </c>
      <c r="HE421" s="13">
        <f>HD421*($HB$6+ACUTE_MARGIN)</f>
        <v>0.0</v>
      </c>
      <c r="HF421" s="13">
        <f>IF(HB421=1,$HB$31,$HB$32)</f>
        <v>152456.2970814058</v>
      </c>
      <c r="HG421" s="13">
        <f>HE421-HF421</f>
        <v>-152456.2970814058</v>
      </c>
      <c r="HH421" s="13">
        <f>HH420+HG421</f>
        <v>-13301257.78524286</v>
      </c>
      <c r="HI421">
        <f>IF(HH421=MAX($HH$83:$HH$483),$A421,0)</f>
        <v>0</v>
      </c>
      <c r="HJ421">
        <f>IF(HE421&lt;HF421,$A421,B_MAX+1)</f>
        <v>338</v>
      </c>
      <c r="HK421" s="13">
        <f>IF(HB421=1,$HB$35,$HB$36)</f>
        <v>0</v>
      </c>
      <c r="HL421" s="13">
        <f>OCC_DAYS*$HB$41*R_NF_2023-HD421*MCD_SHARE_FREED*R_WAIT_2023</f>
        <v>151980.48282209205</v>
      </c>
      <c r="HM421">
        <f>IF($A421&lt;=$HB$45,1,0)</f>
        <v>0</v>
      </c>
      <c r="IB421">
        <f>IF($IB$31&lt;=$IB$32,IF($A421&lt;=$IB$7,1,2),IF($A421&lt;=RUNG_BEDS_2,2,1))</f>
        <v>1</v>
      </c>
      <c r="IC421" s="5">
        <f>MIN(1,MAX(0,$IB$26-($A421-1)))</f>
        <v>0</v>
      </c>
      <c r="ID421" s="5">
        <f>$IB$25*(IC421+(1-IC421)*$IB$16)</f>
        <v>0.0</v>
      </c>
      <c r="IE421" s="13">
        <f>ID421*($IB$6+ACUTE_MARGIN)</f>
        <v>0.0</v>
      </c>
      <c r="IF421" s="13">
        <f>IF(IB421=1,$IB$31,$IB$32)</f>
        <v>152734.9994534971</v>
      </c>
      <c r="IG421" s="13">
        <f>IE421-IF421</f>
        <v>-152734.9994534971</v>
      </c>
      <c r="IH421" s="13">
        <f>IH420+IG421</f>
        <v>-13395459.187009748</v>
      </c>
      <c r="II421">
        <f>IF(IH421=MAX($IH$83:$IH$483),$A421,0)</f>
        <v>0</v>
      </c>
      <c r="IJ421">
        <f>IF(IE421&lt;IF421,$A421,B_MAX+1)</f>
        <v>338</v>
      </c>
      <c r="IK421" s="13">
        <f>IF(IB421=1,$IB$35,$IB$36)</f>
        <v>0</v>
      </c>
      <c r="IL421" s="13">
        <f>OCC_DAYS*$IB$41*R_NF_2023-ID421*MCD_SHARE_FREED*R_WAIT_2023</f>
        <v>151980.48282209205</v>
      </c>
      <c r="IM421">
        <f>IF($A421&lt;=$IB$45,1,0)</f>
        <v>0</v>
      </c>
      <c r="JB421">
        <f>IF($JB$31&lt;=$JB$32,IF($A421&lt;=$JB$7,1,2),IF($A421&lt;=RUNG_BEDS_2,2,1))</f>
        <v>1</v>
      </c>
      <c r="JC421" s="5">
        <f>MIN(1,MAX(0,$JB$26-($A421-1)))</f>
        <v>0</v>
      </c>
      <c r="JD421" s="5">
        <f>$JB$25*(JC421+(1-JC421)*$JB$16)</f>
        <v>0.0</v>
      </c>
      <c r="JE421" s="13">
        <f>JD421*($JB$6+ACUTE_MARGIN)</f>
        <v>0.0</v>
      </c>
      <c r="JF421" s="13">
        <f>IF(JB421=1,$JB$31,$JB$32)</f>
        <v>152394.16214437486</v>
      </c>
      <c r="JG421" s="13">
        <f>JE421-JF421</f>
        <v>-152394.16214437486</v>
      </c>
      <c r="JH421" s="13">
        <f>JH420+JG421</f>
        <v>-13280256.176526349</v>
      </c>
      <c r="JI421">
        <f>IF(JH421=MAX($JH$83:$JH$483),$A421,0)</f>
        <v>0</v>
      </c>
      <c r="JJ421">
        <f>IF(JE421&lt;JF421,$A421,B_MAX+1)</f>
        <v>338</v>
      </c>
      <c r="JK421" s="13">
        <f>IF(JB421=1,$JB$35,$JB$36)</f>
        <v>0</v>
      </c>
      <c r="JL421" s="13">
        <f>OCC_DAYS*$JB$41*R_NF_2023-JD421*MCD_SHARE_FREED*R_WAIT_2023</f>
        <v>151980.48282209205</v>
      </c>
      <c r="JM421">
        <f>IF($A421&lt;=$JB$45,1,0)</f>
        <v>0</v>
      </c>
      <c r="KB421">
        <f>IF($KB$31&lt;=$KB$32,IF($A421&lt;=$KB$7,1,2),IF($A421&lt;=RUNG_BEDS_2,2,1))</f>
        <v>1</v>
      </c>
      <c r="KC421" s="5">
        <f>MIN(1,MAX(0,$KB$26-($A421-1)))</f>
        <v>0</v>
      </c>
      <c r="KD421" s="5">
        <f>$KB$25*(KC421+(1-KC421)*$KB$16)</f>
        <v>0.0</v>
      </c>
      <c r="KE421" s="13">
        <f>KD421*($KB$6+ACUTE_MARGIN)</f>
        <v>0.0</v>
      </c>
      <c r="KF421" s="13">
        <f>IF(KB421=1,$KB$31,$KB$32)</f>
        <v>152394.16214437486</v>
      </c>
      <c r="KG421" s="13">
        <f>KE421-KF421</f>
        <v>-152394.16214437486</v>
      </c>
      <c r="KH421" s="13">
        <f>KH420+KG421</f>
        <v>-13280256.176526455</v>
      </c>
      <c r="KI421">
        <f>IF(KH421=MAX($KH$83:$KH$483),$A421,0)</f>
        <v>0</v>
      </c>
      <c r="KJ421">
        <f>IF(KE421&lt;KF421,$A421,B_MAX+1)</f>
        <v>338</v>
      </c>
      <c r="KK421" s="13">
        <f>IF(KB421=1,$KB$35,$KB$36)</f>
        <v>0</v>
      </c>
      <c r="KL421" s="13">
        <f>OCC_DAYS*$KB$41*R_NF_2023-KD421*MCD_SHARE_FREED*R_WAIT_2023</f>
        <v>151980.48282209205</v>
      </c>
      <c r="KM421">
        <f>IF($A421&lt;=$KB$45,1,0)</f>
        <v>0</v>
      </c>
      <c r="LB421">
        <f>IF($LB$31&lt;=$LB$32,IF($A421&lt;=$LB$7,1,2),IF($A421&lt;=RUNG_BEDS_2,2,1))</f>
        <v>1</v>
      </c>
      <c r="LC421" s="5">
        <f>MIN(1,MAX(0,$LB$26-($A421-1)))</f>
        <v>1</v>
      </c>
      <c r="LD421" s="5">
        <f>$LB$25*(LC421+(1-LC421)*$LB$16)</f>
        <v>84.01774238227146</v>
      </c>
      <c r="LE421" s="13">
        <f>LD421*($LB$6+ACUTE_MARGIN)</f>
        <v>84857.91980609419</v>
      </c>
      <c r="LF421" s="13">
        <f>IF(LB421=1,$LB$31,$LB$32)</f>
        <v>152394.16214437486</v>
      </c>
      <c r="LG421" s="13">
        <f>LE421-LF421</f>
        <v>-67536.24233828067</v>
      </c>
      <c r="LH421" s="13">
        <f>LH420+LG421</f>
        <v>-22827249.91033899</v>
      </c>
      <c r="LI421">
        <f>IF(LH421=MAX($LH$83:$LH$483),$A421,0)</f>
        <v>0</v>
      </c>
      <c r="LJ421">
        <f>IF(LE421&lt;LF421,$A421,B_MAX+1)</f>
        <v>338</v>
      </c>
      <c r="LK421" s="13">
        <f>IF(LB421=1,$LB$35,$LB$36)</f>
        <v>0</v>
      </c>
      <c r="LL421" s="13">
        <f>OCC_DAYS*$LB$41*R_NF_2023-LD421*MCD_SHARE_FREED*R_WAIT_2023</f>
        <v>113776.04162887059</v>
      </c>
      <c r="LM421">
        <f>IF($A421&lt;=$LB$45,1,0)</f>
        <v>0</v>
      </c>
      <c r="MB421">
        <f>IF($MB$31&lt;=$MB$32,IF($A421&lt;=$MB$7,1,2),IF($A421&lt;=RUNG_BEDS_2,2,1))</f>
        <v>1</v>
      </c>
      <c r="MC421" s="5">
        <f>MIN(1,MAX(0,$MB$26-($A421-1)))</f>
        <v>0</v>
      </c>
      <c r="MD421" s="5">
        <f>$MB$25*(MC421+(1-MC421)*$MB$16)</f>
        <v>0.0</v>
      </c>
      <c r="ME421" s="13">
        <f>MD421*($MB$6+ACUTE_MARGIN)</f>
        <v>0.0</v>
      </c>
      <c r="MF421" s="13">
        <f>IF(MB421=1,$MB$31,$MB$32)</f>
        <v>152394.16214437486</v>
      </c>
      <c r="MG421" s="13">
        <f>ME421-MF421</f>
        <v>-152394.16214437486</v>
      </c>
      <c r="MH421" s="13">
        <f>MH420+MG421</f>
        <v>-19167532.23832465</v>
      </c>
      <c r="MI421">
        <f>IF(MH421=MAX($MH$83:$MH$483),$A421,0)</f>
        <v>0</v>
      </c>
      <c r="MJ421">
        <f>IF(ME421&lt;MF421,$A421,B_MAX+1)</f>
        <v>338</v>
      </c>
      <c r="MK421" s="13">
        <f>IF(MB421=1,$MB$35,$MB$36)</f>
        <v>0</v>
      </c>
      <c r="ML421" s="13">
        <f>OCC_DAYS*$MB$41*R_NF_2023-MD421*MCD_SHARE_FREED*R_WAIT_2023</f>
        <v>151980.48282209205</v>
      </c>
      <c r="MM421">
        <f>IF($A421&lt;=$MB$45,1,0)</f>
        <v>0</v>
      </c>
      <c r="NB421">
        <f>IF($NB$31&lt;=$NB$32,IF($A421&lt;=$NB$7,1,2),IF($A421&lt;=RUNG_BEDS_2,2,1))</f>
        <v>1</v>
      </c>
      <c r="NC421" s="5">
        <f>MIN(1,MAX(0,$NB$26-($A421-1)))</f>
        <v>0</v>
      </c>
      <c r="ND421" s="5">
        <f>$NB$25*(NC421+(1-NC421)*$NB$16)</f>
        <v>63.013306786703595</v>
      </c>
      <c r="NE421" s="13">
        <f>ND421*($NB$6+ACUTE_MARGIN)</f>
        <v>63643.43985457063</v>
      </c>
      <c r="NF421" s="13">
        <f>IF(NB421=1,$NB$31,$NB$32)</f>
        <v>152394.16214437486</v>
      </c>
      <c r="NG421" s="13">
        <f>NE421-NF421</f>
        <v>-88750.72228980422</v>
      </c>
      <c r="NH421" s="13">
        <f>NH420+NG421</f>
        <v>-1326016.1627496043</v>
      </c>
      <c r="NI421">
        <f>IF(NH421=MAX($NH$83:$NH$483),$A421,0)</f>
        <v>0</v>
      </c>
      <c r="NJ421">
        <f>IF(NE421&lt;NF421,$A421,B_MAX+1)</f>
        <v>338</v>
      </c>
      <c r="NK421" s="13">
        <f>IF(NB421=1,$NB$35,$NB$36)</f>
        <v>0</v>
      </c>
      <c r="NL421" s="13">
        <f>OCC_DAYS*$NB$41*R_NF_2023-ND421*MCD_SHARE_FREED*R_WAIT_2023</f>
        <v>123327.15192717595</v>
      </c>
      <c r="NM421">
        <f>IF($A421&lt;=$NB$45,1,0)</f>
        <v>0</v>
      </c>
      <c r="OB421">
        <f>IF($OB$31&lt;=$OB$32,IF($A421&lt;=$OB$7,1,2),IF($A421&lt;=RUNG_BEDS_2,2,1))</f>
        <v>1</v>
      </c>
      <c r="OC421" s="5">
        <f>MIN(1,MAX(0,$OB$26-($A421-1)))</f>
        <v>0</v>
      </c>
      <c r="OD421" s="5">
        <f>$OB$25*(OC421+(1-OC421)*$OB$16)</f>
        <v>126.02661357340719</v>
      </c>
      <c r="OE421" s="13">
        <f>OD421*($OB$6+ACUTE_MARGIN)</f>
        <v>127286.87970914126</v>
      </c>
      <c r="OF421" s="13">
        <f>IF(OB421=1,$OB$31,$OB$32)</f>
        <v>152394.16214437486</v>
      </c>
      <c r="OG421" s="13">
        <f>OE421-OF421</f>
        <v>-25107.282435233603</v>
      </c>
      <c r="OH421" s="13">
        <f>OH420+OG421</f>
        <v>10628223.85102738</v>
      </c>
      <c r="OI421">
        <f>IF(OH421=MAX($OH$83:$OH$483),$A421,0)</f>
        <v>0</v>
      </c>
      <c r="OJ421">
        <f>IF(OE421&lt;OF421,$A421,B_MAX+1)</f>
        <v>338</v>
      </c>
      <c r="OK421" s="13">
        <f>IF(OB421=1,$OB$35,$OB$36)</f>
        <v>0</v>
      </c>
      <c r="OL421" s="13">
        <f>OCC_DAYS*$OB$41*R_NF_2023-OD421*MCD_SHARE_FREED*R_WAIT_2023</f>
        <v>94673.82103225985</v>
      </c>
      <c r="OM421">
        <f>IF($A421&lt;=$OB$45,1,0)</f>
        <v>0</v>
      </c>
    </row>
    <row r="422">
      <c r="A422" t="n">
        <v>339</v>
      </c>
      <c r="B422">
        <f>IF($B$31&lt;=$B$32,IF($A422&lt;=$B$7,1,2),IF($A422&lt;=RUNG_BEDS_2,2,1))</f>
        <v>1</v>
      </c>
      <c r="C422" s="5">
        <f>MIN(1,MAX(0,$B$26-($A422-1)))</f>
        <v>0</v>
      </c>
      <c r="D422" s="5">
        <f>$B$25*(C422+(1-C422)*$B$16)</f>
        <v>0.0</v>
      </c>
      <c r="E422" s="13">
        <f>D422*($B$6+ACUTE_MARGIN)</f>
        <v>0.0</v>
      </c>
      <c r="F422" s="13">
        <f>IF(B422=1,$B$31,$B$32)</f>
        <v>152394.16214437486</v>
      </c>
      <c r="G422" s="13">
        <f>E422-F422</f>
        <v>-152394.16214437486</v>
      </c>
      <c r="H422" s="13">
        <f>H421+G422</f>
        <v>-13432650.338670723</v>
      </c>
      <c r="I422">
        <f>IF(H422=MAX($H$83:$H$483),$A422,0)</f>
        <v>0</v>
      </c>
      <c r="J422">
        <f>IF(E422&lt;F422,$A422,B_MAX+1)</f>
        <v>339</v>
      </c>
      <c r="K422" s="13">
        <f>IF(B422=1,$B$35,$B$36)</f>
        <v>0</v>
      </c>
      <c r="L422" s="13">
        <f>OCC_DAYS*$B$41*R_NF_2023-D422*MCD_SHARE_FREED*R_WAIT_2023</f>
        <v>151980.48282209205</v>
      </c>
      <c r="M422">
        <f>IF($A422&lt;=$B$45,1,0)</f>
        <v>0</v>
      </c>
      <c r="AB422">
        <f>IF($AB$31&lt;=$AB$32,IF($A422&lt;=$AB$7,1,2),IF($A422&lt;=RUNG_BEDS_2,2,1))</f>
        <v>1</v>
      </c>
      <c r="AC422" s="5">
        <f>MIN(1,MAX(0,$AB$26-($A422-1)))</f>
        <v>0</v>
      </c>
      <c r="AD422" s="5">
        <f>$AB$25*(AC422+(1-AC422)*$AB$16)</f>
        <v>0.0</v>
      </c>
      <c r="AE422" s="13">
        <f>AD422*($AB$6+ACUTE_MARGIN)</f>
        <v>0.0</v>
      </c>
      <c r="AF422" s="13">
        <f>IF(AB422=1,$AB$31,$AB$32)</f>
        <v>152394.16214437486</v>
      </c>
      <c r="AG422" s="13">
        <f>AE422-AF422</f>
        <v>-152394.16214437486</v>
      </c>
      <c r="AH422" s="13">
        <f>AH421+AG422</f>
        <v>-30843864.68422046</v>
      </c>
      <c r="AI422">
        <f>IF(AH422=MAX($AH$83:$AH$483),$A422,0)</f>
        <v>0</v>
      </c>
      <c r="AJ422">
        <f>IF(AE422&lt;AF422,$A422,B_MAX+1)</f>
        <v>339</v>
      </c>
      <c r="AK422" s="13">
        <f>IF(AB422=1,$AB$35,$AB$36)</f>
        <v>0</v>
      </c>
      <c r="AL422" s="13">
        <f>OCC_DAYS*$AB$41*R_NF_2023-AD422*MCD_SHARE_FREED*R_WAIT_2023</f>
        <v>151980.48282209205</v>
      </c>
      <c r="AM422">
        <f>IF($A422&lt;=$AB$45,1,0)</f>
        <v>0</v>
      </c>
      <c r="BB422">
        <f>IF($BB$31&lt;=$BB$32,IF($A422&lt;=$BB$7,1,2),IF($A422&lt;=RUNG_BEDS_2,2,1))</f>
        <v>1</v>
      </c>
      <c r="BC422" s="5">
        <f>MIN(1,MAX(0,$BB$26-($A422-1)))</f>
        <v>0</v>
      </c>
      <c r="BD422" s="5">
        <f>$BB$25*(BC422+(1-BC422)*$BB$16)</f>
        <v>0.0</v>
      </c>
      <c r="BE422" s="13">
        <f>BD422*($BB$6+ACUTE_MARGIN)</f>
        <v>0.0</v>
      </c>
      <c r="BF422" s="13">
        <f>IF(BB422=1,$BB$31,$BB$32)</f>
        <v>152394.16214437486</v>
      </c>
      <c r="BG422" s="13">
        <f>BE422-BF422</f>
        <v>-152394.16214437486</v>
      </c>
      <c r="BH422" s="13">
        <f>BH421+BG422</f>
        <v>3978564.0068790084</v>
      </c>
      <c r="BI422">
        <f>IF(BH422=MAX($BH$83:$BH$483),$A422,0)</f>
        <v>0</v>
      </c>
      <c r="BJ422">
        <f>IF(BE422&lt;BF422,$A422,B_MAX+1)</f>
        <v>339</v>
      </c>
      <c r="BK422" s="13">
        <f>IF(BB422=1,$BB$35,$BB$36)</f>
        <v>0</v>
      </c>
      <c r="BL422" s="13">
        <f>OCC_DAYS*$BB$41*R_NF_2023-BD422*MCD_SHARE_FREED*R_WAIT_2023</f>
        <v>151980.48282209205</v>
      </c>
      <c r="BM422">
        <f>IF($A422&lt;=$BB$45,1,0)</f>
        <v>0</v>
      </c>
      <c r="CB422">
        <f>IF($CB$31&lt;=$CB$32,IF($A422&lt;=$CB$7,1,2),IF($A422&lt;=RUNG_BEDS_2,2,1))</f>
        <v>2</v>
      </c>
      <c r="CC422" s="5">
        <f>MIN(1,MAX(0,$CB$26-($A422-1)))</f>
        <v>0</v>
      </c>
      <c r="CD422" s="5">
        <f>$CB$25*(CC422+(1-CC422)*$CB$16)</f>
        <v>0.0</v>
      </c>
      <c r="CE422" s="13">
        <f>CD422*($CB$6+ACUTE_MARGIN)</f>
        <v>0.0</v>
      </c>
      <c r="CF422" s="13">
        <f>IF(CB422=1,$CB$31,$CB$32)</f>
        <v>160718.36940738867</v>
      </c>
      <c r="CG422" s="13">
        <f>CE422-CF422</f>
        <v>-160718.36940738867</v>
      </c>
      <c r="CH422" s="13">
        <f>CH421+CG422</f>
        <v>-16254556.600832563</v>
      </c>
      <c r="CI422">
        <f>IF(CH422=MAX($CH$83:$CH$483),$A422,0)</f>
        <v>0</v>
      </c>
      <c r="CJ422">
        <f>IF(CE422&lt;CF422,$A422,B_MAX+1)</f>
        <v>339</v>
      </c>
      <c r="CK422" s="13">
        <f>IF(CB422=1,$CB$35,$CB$36)</f>
        <v>1560.1194073886782</v>
      </c>
      <c r="CL422" s="13">
        <f>OCC_DAYS*$CB$41*R_NF_2023-CD422*MCD_SHARE_FREED*R_WAIT_2023</f>
        <v>151980.48282209205</v>
      </c>
      <c r="CM422">
        <f>IF($A422&lt;=$CB$45,1,0)</f>
        <v>0</v>
      </c>
      <c r="DB422">
        <f>IF($DB$31&lt;=$DB$32,IF($A422&lt;=$DB$7,1,2),IF($A422&lt;=RUNG_BEDS_2,2,1))</f>
        <v>1</v>
      </c>
      <c r="DC422" s="5">
        <f>MIN(1,MAX(0,$DB$26-($A422-1)))</f>
        <v>0</v>
      </c>
      <c r="DD422" s="5">
        <f>$DB$25*(DC422+(1-DC422)*$DB$16)</f>
        <v>0.0</v>
      </c>
      <c r="DE422" s="13">
        <f>DD422*($DB$6+ACUTE_MARGIN)</f>
        <v>0.0</v>
      </c>
      <c r="DF422" s="13">
        <f>IF(DB422=1,$DB$31,$DB$32)</f>
        <v>152394.16214437486</v>
      </c>
      <c r="DG422" s="13">
        <f>DE422-DF422</f>
        <v>-152394.16214437486</v>
      </c>
      <c r="DH422" s="13">
        <f>DH421+DG422</f>
        <v>-13432650.338670723</v>
      </c>
      <c r="DI422">
        <f>IF(DH422=MAX($DH$83:$DH$483),$A422,0)</f>
        <v>0</v>
      </c>
      <c r="DJ422">
        <f>IF(DE422&lt;DF422,$A422,B_MAX+1)</f>
        <v>339</v>
      </c>
      <c r="DK422" s="13">
        <f>IF(DB422=1,$DB$35,$DB$36)</f>
        <v>0</v>
      </c>
      <c r="DL422" s="13">
        <f>OCC_DAYS*$DB$41*R_NF_2023-DD422*MCD_SHARE_FREED*R_WAIT_2023</f>
        <v>151980.48282209205</v>
      </c>
      <c r="DM422">
        <f>IF($A422&lt;=$DB$45,1,0)</f>
        <v>0</v>
      </c>
      <c r="EB422">
        <f>IF($EB$31&lt;=$EB$32,IF($A422&lt;=$EB$7,1,2),IF($A422&lt;=RUNG_BEDS_2,2,1))</f>
        <v>1</v>
      </c>
      <c r="EC422" s="5">
        <f>MIN(1,MAX(0,$EB$26-($A422-1)))</f>
        <v>0</v>
      </c>
      <c r="ED422" s="5">
        <f>$EB$25*(EC422+(1-EC422)*$EB$16)</f>
        <v>0.0</v>
      </c>
      <c r="EE422" s="13">
        <f>ED422*($EB$6+ACUTE_MARGIN)</f>
        <v>0.0</v>
      </c>
      <c r="EF422" s="13">
        <f>IF(EB422=1,$EB$31,$EB$32)</f>
        <v>152394.16214437486</v>
      </c>
      <c r="EG422" s="13">
        <f>EE422-EF422</f>
        <v>-152394.16214437486</v>
      </c>
      <c r="EH422" s="13">
        <f>EH421+EG422</f>
        <v>-13432650.338670723</v>
      </c>
      <c r="EI422">
        <f>IF(EH422=MAX($EH$83:$EH$483),$A422,0)</f>
        <v>0</v>
      </c>
      <c r="EJ422">
        <f>IF(EE422&lt;EF422,$A422,B_MAX+1)</f>
        <v>339</v>
      </c>
      <c r="EK422" s="13">
        <f>IF(EB422=1,$EB$35,$EB$36)</f>
        <v>0</v>
      </c>
      <c r="EL422" s="13">
        <f>OCC_DAYS*$EB$41*R_NF_2023-ED422*MCD_SHARE_FREED*R_WAIT_2023</f>
        <v>50660.16094069735</v>
      </c>
      <c r="EM422">
        <f>IF($A422&lt;=$EB$45,1,0)</f>
        <v>0</v>
      </c>
      <c r="FB422">
        <f>IF($FB$31&lt;=$FB$32,IF($A422&lt;=$FB$7,1,2),IF($A422&lt;=RUNG_BEDS_2,2,1))</f>
        <v>1</v>
      </c>
      <c r="FC422" s="5">
        <f>MIN(1,MAX(0,$FB$26-($A422-1)))</f>
        <v>0</v>
      </c>
      <c r="FD422" s="5">
        <f>$FB$25*(FC422+(1-FC422)*$FB$16)</f>
        <v>0.0</v>
      </c>
      <c r="FE422" s="13">
        <f>FD422*($FB$6+ACUTE_MARGIN)</f>
        <v>0.0</v>
      </c>
      <c r="FF422" s="13">
        <f>IF(FB422=1,$FB$31,$FB$32)</f>
        <v>156636.04979437485</v>
      </c>
      <c r="FG422" s="13">
        <f>FE422-FF422</f>
        <v>-156636.04979437485</v>
      </c>
      <c r="FH422" s="13">
        <f>FH421+FG422</f>
        <v>-14870650.252020827</v>
      </c>
      <c r="FI422">
        <f>IF(FH422=MAX($FH$83:$FH$483),$A422,0)</f>
        <v>0</v>
      </c>
      <c r="FJ422">
        <f>IF(FE422&lt;FF422,$A422,B_MAX+1)</f>
        <v>339</v>
      </c>
      <c r="FK422" s="13">
        <f>IF(FB422=1,$FB$35,$FB$36)</f>
        <v>0</v>
      </c>
      <c r="FL422" s="13">
        <f>OCC_DAYS*$FB$41*R_NF_2023-FD422*MCD_SHARE_FREED*R_WAIT_2023</f>
        <v>151980.48282209205</v>
      </c>
      <c r="FM422">
        <f>IF($A422&lt;=$FB$45,1,0)</f>
        <v>0</v>
      </c>
      <c r="GB422">
        <f>IF($GB$31&lt;=$GB$32,IF($A422&lt;=$GB$7,1,2),IF($A422&lt;=RUNG_BEDS_2,2,1))</f>
        <v>1</v>
      </c>
      <c r="GC422" s="5">
        <f>MIN(1,MAX(0,$GB$26-($A422-1)))</f>
        <v>0</v>
      </c>
      <c r="GD422" s="5">
        <f>$GB$25*(GC422+(1-GC422)*$GB$16)</f>
        <v>0.0</v>
      </c>
      <c r="GE422" s="13">
        <f>GD422*($GB$6+ACUTE_MARGIN)</f>
        <v>0.0</v>
      </c>
      <c r="GF422" s="13">
        <f>IF(GB422=1,$GB$31,$GB$32)</f>
        <v>152394.16214437486</v>
      </c>
      <c r="GG422" s="13">
        <f>GE422-GF422</f>
        <v>-152394.16214437486</v>
      </c>
      <c r="GH422" s="13">
        <f>GH421+GG422</f>
        <v>-13432650.338670723</v>
      </c>
      <c r="GI422">
        <f>IF(GH422=MAX($GH$83:$GH$483),$A422,0)</f>
        <v>0</v>
      </c>
      <c r="GJ422">
        <f>IF(GE422&lt;GF422,$A422,B_MAX+1)</f>
        <v>339</v>
      </c>
      <c r="GK422" s="13">
        <f>IF(GB422=1,$GB$35,$GB$36)</f>
        <v>0</v>
      </c>
      <c r="GL422" s="13">
        <f>OCC_DAYS*$GB$41*R_NF_2023-GD422*MCD_SHARE_FREED*R_WAIT_2023</f>
        <v>151980.48282209205</v>
      </c>
      <c r="GM422">
        <f>IF($A422&lt;=$GB$45,1,0)</f>
        <v>0</v>
      </c>
      <c r="HB422">
        <f>IF($HB$31&lt;=$HB$32,IF($A422&lt;=$HB$7,1,2),IF($A422&lt;=RUNG_BEDS_2,2,1))</f>
        <v>1</v>
      </c>
      <c r="HC422" s="5">
        <f>MIN(1,MAX(0,$HB$26-($A422-1)))</f>
        <v>0</v>
      </c>
      <c r="HD422" s="5">
        <f>$HB$25*(HC422+(1-HC422)*$HB$16)</f>
        <v>0.0</v>
      </c>
      <c r="HE422" s="13">
        <f>HD422*($HB$6+ACUTE_MARGIN)</f>
        <v>0.0</v>
      </c>
      <c r="HF422" s="13">
        <f>IF(HB422=1,$HB$31,$HB$32)</f>
        <v>152456.2970814058</v>
      </c>
      <c r="HG422" s="13">
        <f>HE422-HF422</f>
        <v>-152456.2970814058</v>
      </c>
      <c r="HH422" s="13">
        <f>HH421+HG422</f>
        <v>-13453714.082324265</v>
      </c>
      <c r="HI422">
        <f>IF(HH422=MAX($HH$83:$HH$483),$A422,0)</f>
        <v>0</v>
      </c>
      <c r="HJ422">
        <f>IF(HE422&lt;HF422,$A422,B_MAX+1)</f>
        <v>339</v>
      </c>
      <c r="HK422" s="13">
        <f>IF(HB422=1,$HB$35,$HB$36)</f>
        <v>0</v>
      </c>
      <c r="HL422" s="13">
        <f>OCC_DAYS*$HB$41*R_NF_2023-HD422*MCD_SHARE_FREED*R_WAIT_2023</f>
        <v>151980.48282209205</v>
      </c>
      <c r="HM422">
        <f>IF($A422&lt;=$HB$45,1,0)</f>
        <v>0</v>
      </c>
      <c r="IB422">
        <f>IF($IB$31&lt;=$IB$32,IF($A422&lt;=$IB$7,1,2),IF($A422&lt;=RUNG_BEDS_2,2,1))</f>
        <v>1</v>
      </c>
      <c r="IC422" s="5">
        <f>MIN(1,MAX(0,$IB$26-($A422-1)))</f>
        <v>0</v>
      </c>
      <c r="ID422" s="5">
        <f>$IB$25*(IC422+(1-IC422)*$IB$16)</f>
        <v>0.0</v>
      </c>
      <c r="IE422" s="13">
        <f>ID422*($IB$6+ACUTE_MARGIN)</f>
        <v>0.0</v>
      </c>
      <c r="IF422" s="13">
        <f>IF(IB422=1,$IB$31,$IB$32)</f>
        <v>152734.9994534971</v>
      </c>
      <c r="IG422" s="13">
        <f>IE422-IF422</f>
        <v>-152734.9994534971</v>
      </c>
      <c r="IH422" s="13">
        <f>IH421+IG422</f>
        <v>-13548194.186463244</v>
      </c>
      <c r="II422">
        <f>IF(IH422=MAX($IH$83:$IH$483),$A422,0)</f>
        <v>0</v>
      </c>
      <c r="IJ422">
        <f>IF(IE422&lt;IF422,$A422,B_MAX+1)</f>
        <v>339</v>
      </c>
      <c r="IK422" s="13">
        <f>IF(IB422=1,$IB$35,$IB$36)</f>
        <v>0</v>
      </c>
      <c r="IL422" s="13">
        <f>OCC_DAYS*$IB$41*R_NF_2023-ID422*MCD_SHARE_FREED*R_WAIT_2023</f>
        <v>151980.48282209205</v>
      </c>
      <c r="IM422">
        <f>IF($A422&lt;=$IB$45,1,0)</f>
        <v>0</v>
      </c>
      <c r="JB422">
        <f>IF($JB$31&lt;=$JB$32,IF($A422&lt;=$JB$7,1,2),IF($A422&lt;=RUNG_BEDS_2,2,1))</f>
        <v>1</v>
      </c>
      <c r="JC422" s="5">
        <f>MIN(1,MAX(0,$JB$26-($A422-1)))</f>
        <v>0</v>
      </c>
      <c r="JD422" s="5">
        <f>$JB$25*(JC422+(1-JC422)*$JB$16)</f>
        <v>0.0</v>
      </c>
      <c r="JE422" s="13">
        <f>JD422*($JB$6+ACUTE_MARGIN)</f>
        <v>0.0</v>
      </c>
      <c r="JF422" s="13">
        <f>IF(JB422=1,$JB$31,$JB$32)</f>
        <v>152394.16214437486</v>
      </c>
      <c r="JG422" s="13">
        <f>JE422-JF422</f>
        <v>-152394.16214437486</v>
      </c>
      <c r="JH422" s="13">
        <f>JH421+JG422</f>
        <v>-13432650.338670723</v>
      </c>
      <c r="JI422">
        <f>IF(JH422=MAX($JH$83:$JH$483),$A422,0)</f>
        <v>0</v>
      </c>
      <c r="JJ422">
        <f>IF(JE422&lt;JF422,$A422,B_MAX+1)</f>
        <v>339</v>
      </c>
      <c r="JK422" s="13">
        <f>IF(JB422=1,$JB$35,$JB$36)</f>
        <v>0</v>
      </c>
      <c r="JL422" s="13">
        <f>OCC_DAYS*$JB$41*R_NF_2023-JD422*MCD_SHARE_FREED*R_WAIT_2023</f>
        <v>151980.48282209205</v>
      </c>
      <c r="JM422">
        <f>IF($A422&lt;=$JB$45,1,0)</f>
        <v>0</v>
      </c>
      <c r="KB422">
        <f>IF($KB$31&lt;=$KB$32,IF($A422&lt;=$KB$7,1,2),IF($A422&lt;=RUNG_BEDS_2,2,1))</f>
        <v>1</v>
      </c>
      <c r="KC422" s="5">
        <f>MIN(1,MAX(0,$KB$26-($A422-1)))</f>
        <v>0</v>
      </c>
      <c r="KD422" s="5">
        <f>$KB$25*(KC422+(1-KC422)*$KB$16)</f>
        <v>0.0</v>
      </c>
      <c r="KE422" s="13">
        <f>KD422*($KB$6+ACUTE_MARGIN)</f>
        <v>0.0</v>
      </c>
      <c r="KF422" s="13">
        <f>IF(KB422=1,$KB$31,$KB$32)</f>
        <v>152394.16214437486</v>
      </c>
      <c r="KG422" s="13">
        <f>KE422-KF422</f>
        <v>-152394.16214437486</v>
      </c>
      <c r="KH422" s="13">
        <f>KH421+KG422</f>
        <v>-13432650.33867083</v>
      </c>
      <c r="KI422">
        <f>IF(KH422=MAX($KH$83:$KH$483),$A422,0)</f>
        <v>0</v>
      </c>
      <c r="KJ422">
        <f>IF(KE422&lt;KF422,$A422,B_MAX+1)</f>
        <v>339</v>
      </c>
      <c r="KK422" s="13">
        <f>IF(KB422=1,$KB$35,$KB$36)</f>
        <v>0</v>
      </c>
      <c r="KL422" s="13">
        <f>OCC_DAYS*$KB$41*R_NF_2023-KD422*MCD_SHARE_FREED*R_WAIT_2023</f>
        <v>151980.48282209205</v>
      </c>
      <c r="KM422">
        <f>IF($A422&lt;=$KB$45,1,0)</f>
        <v>0</v>
      </c>
      <c r="LB422">
        <f>IF($LB$31&lt;=$LB$32,IF($A422&lt;=$LB$7,1,2),IF($A422&lt;=RUNG_BEDS_2,2,1))</f>
        <v>1</v>
      </c>
      <c r="LC422" s="5">
        <f>MIN(1,MAX(0,$LB$26-($A422-1)))</f>
        <v>1</v>
      </c>
      <c r="LD422" s="5">
        <f>$LB$25*(LC422+(1-LC422)*$LB$16)</f>
        <v>84.01774238227146</v>
      </c>
      <c r="LE422" s="13">
        <f>LD422*($LB$6+ACUTE_MARGIN)</f>
        <v>84857.91980609419</v>
      </c>
      <c r="LF422" s="13">
        <f>IF(LB422=1,$LB$31,$LB$32)</f>
        <v>152394.16214437486</v>
      </c>
      <c r="LG422" s="13">
        <f>LE422-LF422</f>
        <v>-67536.24233828067</v>
      </c>
      <c r="LH422" s="13">
        <f>LH421+LG422</f>
        <v>-22894786.15267727</v>
      </c>
      <c r="LI422">
        <f>IF(LH422=MAX($LH$83:$LH$483),$A422,0)</f>
        <v>0</v>
      </c>
      <c r="LJ422">
        <f>IF(LE422&lt;LF422,$A422,B_MAX+1)</f>
        <v>339</v>
      </c>
      <c r="LK422" s="13">
        <f>IF(LB422=1,$LB$35,$LB$36)</f>
        <v>0</v>
      </c>
      <c r="LL422" s="13">
        <f>OCC_DAYS*$LB$41*R_NF_2023-LD422*MCD_SHARE_FREED*R_WAIT_2023</f>
        <v>113776.04162887059</v>
      </c>
      <c r="LM422">
        <f>IF($A422&lt;=$LB$45,1,0)</f>
        <v>0</v>
      </c>
      <c r="MB422">
        <f>IF($MB$31&lt;=$MB$32,IF($A422&lt;=$MB$7,1,2),IF($A422&lt;=RUNG_BEDS_2,2,1))</f>
        <v>1</v>
      </c>
      <c r="MC422" s="5">
        <f>MIN(1,MAX(0,$MB$26-($A422-1)))</f>
        <v>0</v>
      </c>
      <c r="MD422" s="5">
        <f>$MB$25*(MC422+(1-MC422)*$MB$16)</f>
        <v>0.0</v>
      </c>
      <c r="ME422" s="13">
        <f>MD422*($MB$6+ACUTE_MARGIN)</f>
        <v>0.0</v>
      </c>
      <c r="MF422" s="13">
        <f>IF(MB422=1,$MB$31,$MB$32)</f>
        <v>152394.16214437486</v>
      </c>
      <c r="MG422" s="13">
        <f>ME422-MF422</f>
        <v>-152394.16214437486</v>
      </c>
      <c r="MH422" s="13">
        <f>MH421+MG422</f>
        <v>-19319926.400469024</v>
      </c>
      <c r="MI422">
        <f>IF(MH422=MAX($MH$83:$MH$483),$A422,0)</f>
        <v>0</v>
      </c>
      <c r="MJ422">
        <f>IF(ME422&lt;MF422,$A422,B_MAX+1)</f>
        <v>339</v>
      </c>
      <c r="MK422" s="13">
        <f>IF(MB422=1,$MB$35,$MB$36)</f>
        <v>0</v>
      </c>
      <c r="ML422" s="13">
        <f>OCC_DAYS*$MB$41*R_NF_2023-MD422*MCD_SHARE_FREED*R_WAIT_2023</f>
        <v>151980.48282209205</v>
      </c>
      <c r="MM422">
        <f>IF($A422&lt;=$MB$45,1,0)</f>
        <v>0</v>
      </c>
      <c r="NB422">
        <f>IF($NB$31&lt;=$NB$32,IF($A422&lt;=$NB$7,1,2),IF($A422&lt;=RUNG_BEDS_2,2,1))</f>
        <v>1</v>
      </c>
      <c r="NC422" s="5">
        <f>MIN(1,MAX(0,$NB$26-($A422-1)))</f>
        <v>0</v>
      </c>
      <c r="ND422" s="5">
        <f>$NB$25*(NC422+(1-NC422)*$NB$16)</f>
        <v>63.013306786703595</v>
      </c>
      <c r="NE422" s="13">
        <f>ND422*($NB$6+ACUTE_MARGIN)</f>
        <v>63643.43985457063</v>
      </c>
      <c r="NF422" s="13">
        <f>IF(NB422=1,$NB$31,$NB$32)</f>
        <v>152394.16214437486</v>
      </c>
      <c r="NG422" s="13">
        <f>NE422-NF422</f>
        <v>-88750.72228980422</v>
      </c>
      <c r="NH422" s="13">
        <f>NH421+NG422</f>
        <v>-1414766.8850394085</v>
      </c>
      <c r="NI422">
        <f>IF(NH422=MAX($NH$83:$NH$483),$A422,0)</f>
        <v>0</v>
      </c>
      <c r="NJ422">
        <f>IF(NE422&lt;NF422,$A422,B_MAX+1)</f>
        <v>339</v>
      </c>
      <c r="NK422" s="13">
        <f>IF(NB422=1,$NB$35,$NB$36)</f>
        <v>0</v>
      </c>
      <c r="NL422" s="13">
        <f>OCC_DAYS*$NB$41*R_NF_2023-ND422*MCD_SHARE_FREED*R_WAIT_2023</f>
        <v>123327.15192717595</v>
      </c>
      <c r="NM422">
        <f>IF($A422&lt;=$NB$45,1,0)</f>
        <v>0</v>
      </c>
      <c r="OB422">
        <f>IF($OB$31&lt;=$OB$32,IF($A422&lt;=$OB$7,1,2),IF($A422&lt;=RUNG_BEDS_2,2,1))</f>
        <v>1</v>
      </c>
      <c r="OC422" s="5">
        <f>MIN(1,MAX(0,$OB$26-($A422-1)))</f>
        <v>0</v>
      </c>
      <c r="OD422" s="5">
        <f>$OB$25*(OC422+(1-OC422)*$OB$16)</f>
        <v>126.02661357340719</v>
      </c>
      <c r="OE422" s="13">
        <f>OD422*($OB$6+ACUTE_MARGIN)</f>
        <v>127286.87970914126</v>
      </c>
      <c r="OF422" s="13">
        <f>IF(OB422=1,$OB$31,$OB$32)</f>
        <v>152394.16214437486</v>
      </c>
      <c r="OG422" s="13">
        <f>OE422-OF422</f>
        <v>-25107.282435233603</v>
      </c>
      <c r="OH422" s="13">
        <f>OH421+OG422</f>
        <v>10603116.568592148</v>
      </c>
      <c r="OI422">
        <f>IF(OH422=MAX($OH$83:$OH$483),$A422,0)</f>
        <v>0</v>
      </c>
      <c r="OJ422">
        <f>IF(OE422&lt;OF422,$A422,B_MAX+1)</f>
        <v>339</v>
      </c>
      <c r="OK422" s="13">
        <f>IF(OB422=1,$OB$35,$OB$36)</f>
        <v>0</v>
      </c>
      <c r="OL422" s="13">
        <f>OCC_DAYS*$OB$41*R_NF_2023-OD422*MCD_SHARE_FREED*R_WAIT_2023</f>
        <v>94673.82103225985</v>
      </c>
      <c r="OM422">
        <f>IF($A422&lt;=$OB$45,1,0)</f>
        <v>0</v>
      </c>
    </row>
    <row r="423">
      <c r="A423" t="n">
        <v>340</v>
      </c>
      <c r="B423">
        <f>IF($B$31&lt;=$B$32,IF($A423&lt;=$B$7,1,2),IF($A423&lt;=RUNG_BEDS_2,2,1))</f>
        <v>1</v>
      </c>
      <c r="C423" s="5">
        <f>MIN(1,MAX(0,$B$26-($A423-1)))</f>
        <v>0</v>
      </c>
      <c r="D423" s="5">
        <f>$B$25*(C423+(1-C423)*$B$16)</f>
        <v>0.0</v>
      </c>
      <c r="E423" s="13">
        <f>D423*($B$6+ACUTE_MARGIN)</f>
        <v>0.0</v>
      </c>
      <c r="F423" s="13">
        <f>IF(B423=1,$B$31,$B$32)</f>
        <v>152394.16214437486</v>
      </c>
      <c r="G423" s="13">
        <f>E423-F423</f>
        <v>-152394.16214437486</v>
      </c>
      <c r="H423" s="13">
        <f>H422+G423</f>
        <v>-13585044.500815097</v>
      </c>
      <c r="I423">
        <f>IF(H423=MAX($H$83:$H$483),$A423,0)</f>
        <v>0</v>
      </c>
      <c r="J423">
        <f>IF(E423&lt;F423,$A423,B_MAX+1)</f>
        <v>340</v>
      </c>
      <c r="K423" s="13">
        <f>IF(B423=1,$B$35,$B$36)</f>
        <v>0</v>
      </c>
      <c r="L423" s="13">
        <f>OCC_DAYS*$B$41*R_NF_2023-D423*MCD_SHARE_FREED*R_WAIT_2023</f>
        <v>151980.48282209205</v>
      </c>
      <c r="M423">
        <f>IF($A423&lt;=$B$45,1,0)</f>
        <v>0</v>
      </c>
      <c r="AB423">
        <f>IF($AB$31&lt;=$AB$32,IF($A423&lt;=$AB$7,1,2),IF($A423&lt;=RUNG_BEDS_2,2,1))</f>
        <v>1</v>
      </c>
      <c r="AC423" s="5">
        <f>MIN(1,MAX(0,$AB$26-($A423-1)))</f>
        <v>0</v>
      </c>
      <c r="AD423" s="5">
        <f>$AB$25*(AC423+(1-AC423)*$AB$16)</f>
        <v>0.0</v>
      </c>
      <c r="AE423" s="13">
        <f>AD423*($AB$6+ACUTE_MARGIN)</f>
        <v>0.0</v>
      </c>
      <c r="AF423" s="13">
        <f>IF(AB423=1,$AB$31,$AB$32)</f>
        <v>152394.16214437486</v>
      </c>
      <c r="AG423" s="13">
        <f>AE423-AF423</f>
        <v>-152394.16214437486</v>
      </c>
      <c r="AH423" s="13">
        <f>AH422+AG423</f>
        <v>-30996258.846364833</v>
      </c>
      <c r="AI423">
        <f>IF(AH423=MAX($AH$83:$AH$483),$A423,0)</f>
        <v>0</v>
      </c>
      <c r="AJ423">
        <f>IF(AE423&lt;AF423,$A423,B_MAX+1)</f>
        <v>340</v>
      </c>
      <c r="AK423" s="13">
        <f>IF(AB423=1,$AB$35,$AB$36)</f>
        <v>0</v>
      </c>
      <c r="AL423" s="13">
        <f>OCC_DAYS*$AB$41*R_NF_2023-AD423*MCD_SHARE_FREED*R_WAIT_2023</f>
        <v>151980.48282209205</v>
      </c>
      <c r="AM423">
        <f>IF($A423&lt;=$AB$45,1,0)</f>
        <v>0</v>
      </c>
      <c r="BB423">
        <f>IF($BB$31&lt;=$BB$32,IF($A423&lt;=$BB$7,1,2),IF($A423&lt;=RUNG_BEDS_2,2,1))</f>
        <v>1</v>
      </c>
      <c r="BC423" s="5">
        <f>MIN(1,MAX(0,$BB$26-($A423-1)))</f>
        <v>0</v>
      </c>
      <c r="BD423" s="5">
        <f>$BB$25*(BC423+(1-BC423)*$BB$16)</f>
        <v>0.0</v>
      </c>
      <c r="BE423" s="13">
        <f>BD423*($BB$6+ACUTE_MARGIN)</f>
        <v>0.0</v>
      </c>
      <c r="BF423" s="13">
        <f>IF(BB423=1,$BB$31,$BB$32)</f>
        <v>152394.16214437486</v>
      </c>
      <c r="BG423" s="13">
        <f>BE423-BF423</f>
        <v>-152394.16214437486</v>
      </c>
      <c r="BH423" s="13">
        <f>BH422+BG423</f>
        <v>3826169.8447346333</v>
      </c>
      <c r="BI423">
        <f>IF(BH423=MAX($BH$83:$BH$483),$A423,0)</f>
        <v>0</v>
      </c>
      <c r="BJ423">
        <f>IF(BE423&lt;BF423,$A423,B_MAX+1)</f>
        <v>340</v>
      </c>
      <c r="BK423" s="13">
        <f>IF(BB423=1,$BB$35,$BB$36)</f>
        <v>0</v>
      </c>
      <c r="BL423" s="13">
        <f>OCC_DAYS*$BB$41*R_NF_2023-BD423*MCD_SHARE_FREED*R_WAIT_2023</f>
        <v>151980.48282209205</v>
      </c>
      <c r="BM423">
        <f>IF($A423&lt;=$BB$45,1,0)</f>
        <v>0</v>
      </c>
      <c r="CB423">
        <f>IF($CB$31&lt;=$CB$32,IF($A423&lt;=$CB$7,1,2),IF($A423&lt;=RUNG_BEDS_2,2,1))</f>
        <v>2</v>
      </c>
      <c r="CC423" s="5">
        <f>MIN(1,MAX(0,$CB$26-($A423-1)))</f>
        <v>0</v>
      </c>
      <c r="CD423" s="5">
        <f>$CB$25*(CC423+(1-CC423)*$CB$16)</f>
        <v>0.0</v>
      </c>
      <c r="CE423" s="13">
        <f>CD423*($CB$6+ACUTE_MARGIN)</f>
        <v>0.0</v>
      </c>
      <c r="CF423" s="13">
        <f>IF(CB423=1,$CB$31,$CB$32)</f>
        <v>160718.36940738867</v>
      </c>
      <c r="CG423" s="13">
        <f>CE423-CF423</f>
        <v>-160718.36940738867</v>
      </c>
      <c r="CH423" s="13">
        <f>CH422+CG423</f>
        <v>-16415274.970239952</v>
      </c>
      <c r="CI423">
        <f>IF(CH423=MAX($CH$83:$CH$483),$A423,0)</f>
        <v>0</v>
      </c>
      <c r="CJ423">
        <f>IF(CE423&lt;CF423,$A423,B_MAX+1)</f>
        <v>340</v>
      </c>
      <c r="CK423" s="13">
        <f>IF(CB423=1,$CB$35,$CB$36)</f>
        <v>1560.1194073886782</v>
      </c>
      <c r="CL423" s="13">
        <f>OCC_DAYS*$CB$41*R_NF_2023-CD423*MCD_SHARE_FREED*R_WAIT_2023</f>
        <v>151980.48282209205</v>
      </c>
      <c r="CM423">
        <f>IF($A423&lt;=$CB$45,1,0)</f>
        <v>0</v>
      </c>
      <c r="DB423">
        <f>IF($DB$31&lt;=$DB$32,IF($A423&lt;=$DB$7,1,2),IF($A423&lt;=RUNG_BEDS_2,2,1))</f>
        <v>1</v>
      </c>
      <c r="DC423" s="5">
        <f>MIN(1,MAX(0,$DB$26-($A423-1)))</f>
        <v>0</v>
      </c>
      <c r="DD423" s="5">
        <f>$DB$25*(DC423+(1-DC423)*$DB$16)</f>
        <v>0.0</v>
      </c>
      <c r="DE423" s="13">
        <f>DD423*($DB$6+ACUTE_MARGIN)</f>
        <v>0.0</v>
      </c>
      <c r="DF423" s="13">
        <f>IF(DB423=1,$DB$31,$DB$32)</f>
        <v>152394.16214437486</v>
      </c>
      <c r="DG423" s="13">
        <f>DE423-DF423</f>
        <v>-152394.16214437486</v>
      </c>
      <c r="DH423" s="13">
        <f>DH422+DG423</f>
        <v>-13585044.500815097</v>
      </c>
      <c r="DI423">
        <f>IF(DH423=MAX($DH$83:$DH$483),$A423,0)</f>
        <v>0</v>
      </c>
      <c r="DJ423">
        <f>IF(DE423&lt;DF423,$A423,B_MAX+1)</f>
        <v>340</v>
      </c>
      <c r="DK423" s="13">
        <f>IF(DB423=1,$DB$35,$DB$36)</f>
        <v>0</v>
      </c>
      <c r="DL423" s="13">
        <f>OCC_DAYS*$DB$41*R_NF_2023-DD423*MCD_SHARE_FREED*R_WAIT_2023</f>
        <v>151980.48282209205</v>
      </c>
      <c r="DM423">
        <f>IF($A423&lt;=$DB$45,1,0)</f>
        <v>0</v>
      </c>
      <c r="EB423">
        <f>IF($EB$31&lt;=$EB$32,IF($A423&lt;=$EB$7,1,2),IF($A423&lt;=RUNG_BEDS_2,2,1))</f>
        <v>1</v>
      </c>
      <c r="EC423" s="5">
        <f>MIN(1,MAX(0,$EB$26-($A423-1)))</f>
        <v>0</v>
      </c>
      <c r="ED423" s="5">
        <f>$EB$25*(EC423+(1-EC423)*$EB$16)</f>
        <v>0.0</v>
      </c>
      <c r="EE423" s="13">
        <f>ED423*($EB$6+ACUTE_MARGIN)</f>
        <v>0.0</v>
      </c>
      <c r="EF423" s="13">
        <f>IF(EB423=1,$EB$31,$EB$32)</f>
        <v>152394.16214437486</v>
      </c>
      <c r="EG423" s="13">
        <f>EE423-EF423</f>
        <v>-152394.16214437486</v>
      </c>
      <c r="EH423" s="13">
        <f>EH422+EG423</f>
        <v>-13585044.500815097</v>
      </c>
      <c r="EI423">
        <f>IF(EH423=MAX($EH$83:$EH$483),$A423,0)</f>
        <v>0</v>
      </c>
      <c r="EJ423">
        <f>IF(EE423&lt;EF423,$A423,B_MAX+1)</f>
        <v>340</v>
      </c>
      <c r="EK423" s="13">
        <f>IF(EB423=1,$EB$35,$EB$36)</f>
        <v>0</v>
      </c>
      <c r="EL423" s="13">
        <f>OCC_DAYS*$EB$41*R_NF_2023-ED423*MCD_SHARE_FREED*R_WAIT_2023</f>
        <v>50660.16094069735</v>
      </c>
      <c r="EM423">
        <f>IF($A423&lt;=$EB$45,1,0)</f>
        <v>0</v>
      </c>
      <c r="FB423">
        <f>IF($FB$31&lt;=$FB$32,IF($A423&lt;=$FB$7,1,2),IF($A423&lt;=RUNG_BEDS_2,2,1))</f>
        <v>1</v>
      </c>
      <c r="FC423" s="5">
        <f>MIN(1,MAX(0,$FB$26-($A423-1)))</f>
        <v>0</v>
      </c>
      <c r="FD423" s="5">
        <f>$FB$25*(FC423+(1-FC423)*$FB$16)</f>
        <v>0.0</v>
      </c>
      <c r="FE423" s="13">
        <f>FD423*($FB$6+ACUTE_MARGIN)</f>
        <v>0.0</v>
      </c>
      <c r="FF423" s="13">
        <f>IF(FB423=1,$FB$31,$FB$32)</f>
        <v>156636.04979437485</v>
      </c>
      <c r="FG423" s="13">
        <f>FE423-FF423</f>
        <v>-156636.04979437485</v>
      </c>
      <c r="FH423" s="13">
        <f>FH422+FG423</f>
        <v>-15027286.3018152</v>
      </c>
      <c r="FI423">
        <f>IF(FH423=MAX($FH$83:$FH$483),$A423,0)</f>
        <v>0</v>
      </c>
      <c r="FJ423">
        <f>IF(FE423&lt;FF423,$A423,B_MAX+1)</f>
        <v>340</v>
      </c>
      <c r="FK423" s="13">
        <f>IF(FB423=1,$FB$35,$FB$36)</f>
        <v>0</v>
      </c>
      <c r="FL423" s="13">
        <f>OCC_DAYS*$FB$41*R_NF_2023-FD423*MCD_SHARE_FREED*R_WAIT_2023</f>
        <v>151980.48282209205</v>
      </c>
      <c r="FM423">
        <f>IF($A423&lt;=$FB$45,1,0)</f>
        <v>0</v>
      </c>
      <c r="GB423">
        <f>IF($GB$31&lt;=$GB$32,IF($A423&lt;=$GB$7,1,2),IF($A423&lt;=RUNG_BEDS_2,2,1))</f>
        <v>1</v>
      </c>
      <c r="GC423" s="5">
        <f>MIN(1,MAX(0,$GB$26-($A423-1)))</f>
        <v>0</v>
      </c>
      <c r="GD423" s="5">
        <f>$GB$25*(GC423+(1-GC423)*$GB$16)</f>
        <v>0.0</v>
      </c>
      <c r="GE423" s="13">
        <f>GD423*($GB$6+ACUTE_MARGIN)</f>
        <v>0.0</v>
      </c>
      <c r="GF423" s="13">
        <f>IF(GB423=1,$GB$31,$GB$32)</f>
        <v>152394.16214437486</v>
      </c>
      <c r="GG423" s="13">
        <f>GE423-GF423</f>
        <v>-152394.16214437486</v>
      </c>
      <c r="GH423" s="13">
        <f>GH422+GG423</f>
        <v>-13585044.500815097</v>
      </c>
      <c r="GI423">
        <f>IF(GH423=MAX($GH$83:$GH$483),$A423,0)</f>
        <v>0</v>
      </c>
      <c r="GJ423">
        <f>IF(GE423&lt;GF423,$A423,B_MAX+1)</f>
        <v>340</v>
      </c>
      <c r="GK423" s="13">
        <f>IF(GB423=1,$GB$35,$GB$36)</f>
        <v>0</v>
      </c>
      <c r="GL423" s="13">
        <f>OCC_DAYS*$GB$41*R_NF_2023-GD423*MCD_SHARE_FREED*R_WAIT_2023</f>
        <v>151980.48282209205</v>
      </c>
      <c r="GM423">
        <f>IF($A423&lt;=$GB$45,1,0)</f>
        <v>0</v>
      </c>
      <c r="HB423">
        <f>IF($HB$31&lt;=$HB$32,IF($A423&lt;=$HB$7,1,2),IF($A423&lt;=RUNG_BEDS_2,2,1))</f>
        <v>1</v>
      </c>
      <c r="HC423" s="5">
        <f>MIN(1,MAX(0,$HB$26-($A423-1)))</f>
        <v>0</v>
      </c>
      <c r="HD423" s="5">
        <f>$HB$25*(HC423+(1-HC423)*$HB$16)</f>
        <v>0.0</v>
      </c>
      <c r="HE423" s="13">
        <f>HD423*($HB$6+ACUTE_MARGIN)</f>
        <v>0.0</v>
      </c>
      <c r="HF423" s="13">
        <f>IF(HB423=1,$HB$31,$HB$32)</f>
        <v>152456.2970814058</v>
      </c>
      <c r="HG423" s="13">
        <f>HE423-HF423</f>
        <v>-152456.2970814058</v>
      </c>
      <c r="HH423" s="13">
        <f>HH422+HG423</f>
        <v>-13606170.37940567</v>
      </c>
      <c r="HI423">
        <f>IF(HH423=MAX($HH$83:$HH$483),$A423,0)</f>
        <v>0</v>
      </c>
      <c r="HJ423">
        <f>IF(HE423&lt;HF423,$A423,B_MAX+1)</f>
        <v>340</v>
      </c>
      <c r="HK423" s="13">
        <f>IF(HB423=1,$HB$35,$HB$36)</f>
        <v>0</v>
      </c>
      <c r="HL423" s="13">
        <f>OCC_DAYS*$HB$41*R_NF_2023-HD423*MCD_SHARE_FREED*R_WAIT_2023</f>
        <v>151980.48282209205</v>
      </c>
      <c r="HM423">
        <f>IF($A423&lt;=$HB$45,1,0)</f>
        <v>0</v>
      </c>
      <c r="IB423">
        <f>IF($IB$31&lt;=$IB$32,IF($A423&lt;=$IB$7,1,2),IF($A423&lt;=RUNG_BEDS_2,2,1))</f>
        <v>1</v>
      </c>
      <c r="IC423" s="5">
        <f>MIN(1,MAX(0,$IB$26-($A423-1)))</f>
        <v>0</v>
      </c>
      <c r="ID423" s="5">
        <f>$IB$25*(IC423+(1-IC423)*$IB$16)</f>
        <v>0.0</v>
      </c>
      <c r="IE423" s="13">
        <f>ID423*($IB$6+ACUTE_MARGIN)</f>
        <v>0.0</v>
      </c>
      <c r="IF423" s="13">
        <f>IF(IB423=1,$IB$31,$IB$32)</f>
        <v>152734.9994534971</v>
      </c>
      <c r="IG423" s="13">
        <f>IE423-IF423</f>
        <v>-152734.9994534971</v>
      </c>
      <c r="IH423" s="13">
        <f>IH422+IG423</f>
        <v>-13700929.18591674</v>
      </c>
      <c r="II423">
        <f>IF(IH423=MAX($IH$83:$IH$483),$A423,0)</f>
        <v>0</v>
      </c>
      <c r="IJ423">
        <f>IF(IE423&lt;IF423,$A423,B_MAX+1)</f>
        <v>340</v>
      </c>
      <c r="IK423" s="13">
        <f>IF(IB423=1,$IB$35,$IB$36)</f>
        <v>0</v>
      </c>
      <c r="IL423" s="13">
        <f>OCC_DAYS*$IB$41*R_NF_2023-ID423*MCD_SHARE_FREED*R_WAIT_2023</f>
        <v>151980.48282209205</v>
      </c>
      <c r="IM423">
        <f>IF($A423&lt;=$IB$45,1,0)</f>
        <v>0</v>
      </c>
      <c r="JB423">
        <f>IF($JB$31&lt;=$JB$32,IF($A423&lt;=$JB$7,1,2),IF($A423&lt;=RUNG_BEDS_2,2,1))</f>
        <v>1</v>
      </c>
      <c r="JC423" s="5">
        <f>MIN(1,MAX(0,$JB$26-($A423-1)))</f>
        <v>0</v>
      </c>
      <c r="JD423" s="5">
        <f>$JB$25*(JC423+(1-JC423)*$JB$16)</f>
        <v>0.0</v>
      </c>
      <c r="JE423" s="13">
        <f>JD423*($JB$6+ACUTE_MARGIN)</f>
        <v>0.0</v>
      </c>
      <c r="JF423" s="13">
        <f>IF(JB423=1,$JB$31,$JB$32)</f>
        <v>152394.16214437486</v>
      </c>
      <c r="JG423" s="13">
        <f>JE423-JF423</f>
        <v>-152394.16214437486</v>
      </c>
      <c r="JH423" s="13">
        <f>JH422+JG423</f>
        <v>-13585044.500815097</v>
      </c>
      <c r="JI423">
        <f>IF(JH423=MAX($JH$83:$JH$483),$A423,0)</f>
        <v>0</v>
      </c>
      <c r="JJ423">
        <f>IF(JE423&lt;JF423,$A423,B_MAX+1)</f>
        <v>340</v>
      </c>
      <c r="JK423" s="13">
        <f>IF(JB423=1,$JB$35,$JB$36)</f>
        <v>0</v>
      </c>
      <c r="JL423" s="13">
        <f>OCC_DAYS*$JB$41*R_NF_2023-JD423*MCD_SHARE_FREED*R_WAIT_2023</f>
        <v>151980.48282209205</v>
      </c>
      <c r="JM423">
        <f>IF($A423&lt;=$JB$45,1,0)</f>
        <v>0</v>
      </c>
      <c r="KB423">
        <f>IF($KB$31&lt;=$KB$32,IF($A423&lt;=$KB$7,1,2),IF($A423&lt;=RUNG_BEDS_2,2,1))</f>
        <v>1</v>
      </c>
      <c r="KC423" s="5">
        <f>MIN(1,MAX(0,$KB$26-($A423-1)))</f>
        <v>0</v>
      </c>
      <c r="KD423" s="5">
        <f>$KB$25*(KC423+(1-KC423)*$KB$16)</f>
        <v>0.0</v>
      </c>
      <c r="KE423" s="13">
        <f>KD423*($KB$6+ACUTE_MARGIN)</f>
        <v>0.0</v>
      </c>
      <c r="KF423" s="13">
        <f>IF(KB423=1,$KB$31,$KB$32)</f>
        <v>152394.16214437486</v>
      </c>
      <c r="KG423" s="13">
        <f>KE423-KF423</f>
        <v>-152394.16214437486</v>
      </c>
      <c r="KH423" s="13">
        <f>KH422+KG423</f>
        <v>-13585044.500815203</v>
      </c>
      <c r="KI423">
        <f>IF(KH423=MAX($KH$83:$KH$483),$A423,0)</f>
        <v>0</v>
      </c>
      <c r="KJ423">
        <f>IF(KE423&lt;KF423,$A423,B_MAX+1)</f>
        <v>340</v>
      </c>
      <c r="KK423" s="13">
        <f>IF(KB423=1,$KB$35,$KB$36)</f>
        <v>0</v>
      </c>
      <c r="KL423" s="13">
        <f>OCC_DAYS*$KB$41*R_NF_2023-KD423*MCD_SHARE_FREED*R_WAIT_2023</f>
        <v>151980.48282209205</v>
      </c>
      <c r="KM423">
        <f>IF($A423&lt;=$KB$45,1,0)</f>
        <v>0</v>
      </c>
      <c r="LB423">
        <f>IF($LB$31&lt;=$LB$32,IF($A423&lt;=$LB$7,1,2),IF($A423&lt;=RUNG_BEDS_2,2,1))</f>
        <v>1</v>
      </c>
      <c r="LC423" s="5">
        <f>MIN(1,MAX(0,$LB$26-($A423-1)))</f>
        <v>1</v>
      </c>
      <c r="LD423" s="5">
        <f>$LB$25*(LC423+(1-LC423)*$LB$16)</f>
        <v>84.01774238227146</v>
      </c>
      <c r="LE423" s="13">
        <f>LD423*($LB$6+ACUTE_MARGIN)</f>
        <v>84857.91980609419</v>
      </c>
      <c r="LF423" s="13">
        <f>IF(LB423=1,$LB$31,$LB$32)</f>
        <v>152394.16214437486</v>
      </c>
      <c r="LG423" s="13">
        <f>LE423-LF423</f>
        <v>-67536.24233828067</v>
      </c>
      <c r="LH423" s="13">
        <f>LH422+LG423</f>
        <v>-22962322.395015553</v>
      </c>
      <c r="LI423">
        <f>IF(LH423=MAX($LH$83:$LH$483),$A423,0)</f>
        <v>0</v>
      </c>
      <c r="LJ423">
        <f>IF(LE423&lt;LF423,$A423,B_MAX+1)</f>
        <v>340</v>
      </c>
      <c r="LK423" s="13">
        <f>IF(LB423=1,$LB$35,$LB$36)</f>
        <v>0</v>
      </c>
      <c r="LL423" s="13">
        <f>OCC_DAYS*$LB$41*R_NF_2023-LD423*MCD_SHARE_FREED*R_WAIT_2023</f>
        <v>113776.04162887059</v>
      </c>
      <c r="LM423">
        <f>IF($A423&lt;=$LB$45,1,0)</f>
        <v>0</v>
      </c>
      <c r="MB423">
        <f>IF($MB$31&lt;=$MB$32,IF($A423&lt;=$MB$7,1,2),IF($A423&lt;=RUNG_BEDS_2,2,1))</f>
        <v>1</v>
      </c>
      <c r="MC423" s="5">
        <f>MIN(1,MAX(0,$MB$26-($A423-1)))</f>
        <v>0</v>
      </c>
      <c r="MD423" s="5">
        <f>$MB$25*(MC423+(1-MC423)*$MB$16)</f>
        <v>0.0</v>
      </c>
      <c r="ME423" s="13">
        <f>MD423*($MB$6+ACUTE_MARGIN)</f>
        <v>0.0</v>
      </c>
      <c r="MF423" s="13">
        <f>IF(MB423=1,$MB$31,$MB$32)</f>
        <v>152394.16214437486</v>
      </c>
      <c r="MG423" s="13">
        <f>ME423-MF423</f>
        <v>-152394.16214437486</v>
      </c>
      <c r="MH423" s="13">
        <f>MH422+MG423</f>
        <v>-19472320.562613398</v>
      </c>
      <c r="MI423">
        <f>IF(MH423=MAX($MH$83:$MH$483),$A423,0)</f>
        <v>0</v>
      </c>
      <c r="MJ423">
        <f>IF(ME423&lt;MF423,$A423,B_MAX+1)</f>
        <v>340</v>
      </c>
      <c r="MK423" s="13">
        <f>IF(MB423=1,$MB$35,$MB$36)</f>
        <v>0</v>
      </c>
      <c r="ML423" s="13">
        <f>OCC_DAYS*$MB$41*R_NF_2023-MD423*MCD_SHARE_FREED*R_WAIT_2023</f>
        <v>151980.48282209205</v>
      </c>
      <c r="MM423">
        <f>IF($A423&lt;=$MB$45,1,0)</f>
        <v>0</v>
      </c>
      <c r="NB423">
        <f>IF($NB$31&lt;=$NB$32,IF($A423&lt;=$NB$7,1,2),IF($A423&lt;=RUNG_BEDS_2,2,1))</f>
        <v>1</v>
      </c>
      <c r="NC423" s="5">
        <f>MIN(1,MAX(0,$NB$26-($A423-1)))</f>
        <v>0</v>
      </c>
      <c r="ND423" s="5">
        <f>$NB$25*(NC423+(1-NC423)*$NB$16)</f>
        <v>63.013306786703595</v>
      </c>
      <c r="NE423" s="13">
        <f>ND423*($NB$6+ACUTE_MARGIN)</f>
        <v>63643.43985457063</v>
      </c>
      <c r="NF423" s="13">
        <f>IF(NB423=1,$NB$31,$NB$32)</f>
        <v>152394.16214437486</v>
      </c>
      <c r="NG423" s="13">
        <f>NE423-NF423</f>
        <v>-88750.72228980422</v>
      </c>
      <c r="NH423" s="13">
        <f>NH422+NG423</f>
        <v>-1503517.6073292126</v>
      </c>
      <c r="NI423">
        <f>IF(NH423=MAX($NH$83:$NH$483),$A423,0)</f>
        <v>0</v>
      </c>
      <c r="NJ423">
        <f>IF(NE423&lt;NF423,$A423,B_MAX+1)</f>
        <v>340</v>
      </c>
      <c r="NK423" s="13">
        <f>IF(NB423=1,$NB$35,$NB$36)</f>
        <v>0</v>
      </c>
      <c r="NL423" s="13">
        <f>OCC_DAYS*$NB$41*R_NF_2023-ND423*MCD_SHARE_FREED*R_WAIT_2023</f>
        <v>123327.15192717595</v>
      </c>
      <c r="NM423">
        <f>IF($A423&lt;=$NB$45,1,0)</f>
        <v>0</v>
      </c>
      <c r="OB423">
        <f>IF($OB$31&lt;=$OB$32,IF($A423&lt;=$OB$7,1,2),IF($A423&lt;=RUNG_BEDS_2,2,1))</f>
        <v>1</v>
      </c>
      <c r="OC423" s="5">
        <f>MIN(1,MAX(0,$OB$26-($A423-1)))</f>
        <v>0</v>
      </c>
      <c r="OD423" s="5">
        <f>$OB$25*(OC423+(1-OC423)*$OB$16)</f>
        <v>126.02661357340719</v>
      </c>
      <c r="OE423" s="13">
        <f>OD423*($OB$6+ACUTE_MARGIN)</f>
        <v>127286.87970914126</v>
      </c>
      <c r="OF423" s="13">
        <f>IF(OB423=1,$OB$31,$OB$32)</f>
        <v>152394.16214437486</v>
      </c>
      <c r="OG423" s="13">
        <f>OE423-OF423</f>
        <v>-25107.282435233603</v>
      </c>
      <c r="OH423" s="13">
        <f>OH422+OG423</f>
        <v>10578009.286156915</v>
      </c>
      <c r="OI423">
        <f>IF(OH423=MAX($OH$83:$OH$483),$A423,0)</f>
        <v>0</v>
      </c>
      <c r="OJ423">
        <f>IF(OE423&lt;OF423,$A423,B_MAX+1)</f>
        <v>340</v>
      </c>
      <c r="OK423" s="13">
        <f>IF(OB423=1,$OB$35,$OB$36)</f>
        <v>0</v>
      </c>
      <c r="OL423" s="13">
        <f>OCC_DAYS*$OB$41*R_NF_2023-OD423*MCD_SHARE_FREED*R_WAIT_2023</f>
        <v>94673.82103225985</v>
      </c>
      <c r="OM423">
        <f>IF($A423&lt;=$OB$45,1,0)</f>
        <v>0</v>
      </c>
    </row>
    <row r="424">
      <c r="A424" t="n">
        <v>341</v>
      </c>
      <c r="B424">
        <f>IF($B$31&lt;=$B$32,IF($A424&lt;=$B$7,1,2),IF($A424&lt;=RUNG_BEDS_2,2,1))</f>
        <v>1</v>
      </c>
      <c r="C424" s="5">
        <f>MIN(1,MAX(0,$B$26-($A424-1)))</f>
        <v>0</v>
      </c>
      <c r="D424" s="5">
        <f>$B$25*(C424+(1-C424)*$B$16)</f>
        <v>0.0</v>
      </c>
      <c r="E424" s="13">
        <f>D424*($B$6+ACUTE_MARGIN)</f>
        <v>0.0</v>
      </c>
      <c r="F424" s="13">
        <f>IF(B424=1,$B$31,$B$32)</f>
        <v>152394.16214437486</v>
      </c>
      <c r="G424" s="13">
        <f>E424-F424</f>
        <v>-152394.16214437486</v>
      </c>
      <c r="H424" s="13">
        <f>H423+G424</f>
        <v>-13737438.662959471</v>
      </c>
      <c r="I424">
        <f>IF(H424=MAX($H$83:$H$483),$A424,0)</f>
        <v>0</v>
      </c>
      <c r="J424">
        <f>IF(E424&lt;F424,$A424,B_MAX+1)</f>
        <v>341</v>
      </c>
      <c r="K424" s="13">
        <f>IF(B424=1,$B$35,$B$36)</f>
        <v>0</v>
      </c>
      <c r="L424" s="13">
        <f>OCC_DAYS*$B$41*R_NF_2023-D424*MCD_SHARE_FREED*R_WAIT_2023</f>
        <v>151980.48282209205</v>
      </c>
      <c r="M424">
        <f>IF($A424&lt;=$B$45,1,0)</f>
        <v>0</v>
      </c>
      <c r="AB424">
        <f>IF($AB$31&lt;=$AB$32,IF($A424&lt;=$AB$7,1,2),IF($A424&lt;=RUNG_BEDS_2,2,1))</f>
        <v>1</v>
      </c>
      <c r="AC424" s="5">
        <f>MIN(1,MAX(0,$AB$26-($A424-1)))</f>
        <v>0</v>
      </c>
      <c r="AD424" s="5">
        <f>$AB$25*(AC424+(1-AC424)*$AB$16)</f>
        <v>0.0</v>
      </c>
      <c r="AE424" s="13">
        <f>AD424*($AB$6+ACUTE_MARGIN)</f>
        <v>0.0</v>
      </c>
      <c r="AF424" s="13">
        <f>IF(AB424=1,$AB$31,$AB$32)</f>
        <v>152394.16214437486</v>
      </c>
      <c r="AG424" s="13">
        <f>AE424-AF424</f>
        <v>-152394.16214437486</v>
      </c>
      <c r="AH424" s="13">
        <f>AH423+AG424</f>
        <v>-31148653.008509208</v>
      </c>
      <c r="AI424">
        <f>IF(AH424=MAX($AH$83:$AH$483),$A424,0)</f>
        <v>0</v>
      </c>
      <c r="AJ424">
        <f>IF(AE424&lt;AF424,$A424,B_MAX+1)</f>
        <v>341</v>
      </c>
      <c r="AK424" s="13">
        <f>IF(AB424=1,$AB$35,$AB$36)</f>
        <v>0</v>
      </c>
      <c r="AL424" s="13">
        <f>OCC_DAYS*$AB$41*R_NF_2023-AD424*MCD_SHARE_FREED*R_WAIT_2023</f>
        <v>151980.48282209205</v>
      </c>
      <c r="AM424">
        <f>IF($A424&lt;=$AB$45,1,0)</f>
        <v>0</v>
      </c>
      <c r="BB424">
        <f>IF($BB$31&lt;=$BB$32,IF($A424&lt;=$BB$7,1,2),IF($A424&lt;=RUNG_BEDS_2,2,1))</f>
        <v>1</v>
      </c>
      <c r="BC424" s="5">
        <f>MIN(1,MAX(0,$BB$26-($A424-1)))</f>
        <v>0</v>
      </c>
      <c r="BD424" s="5">
        <f>$BB$25*(BC424+(1-BC424)*$BB$16)</f>
        <v>0.0</v>
      </c>
      <c r="BE424" s="13">
        <f>BD424*($BB$6+ACUTE_MARGIN)</f>
        <v>0.0</v>
      </c>
      <c r="BF424" s="13">
        <f>IF(BB424=1,$BB$31,$BB$32)</f>
        <v>152394.16214437486</v>
      </c>
      <c r="BG424" s="13">
        <f>BE424-BF424</f>
        <v>-152394.16214437486</v>
      </c>
      <c r="BH424" s="13">
        <f>BH423+BG424</f>
        <v>3673775.6825902583</v>
      </c>
      <c r="BI424">
        <f>IF(BH424=MAX($BH$83:$BH$483),$A424,0)</f>
        <v>0</v>
      </c>
      <c r="BJ424">
        <f>IF(BE424&lt;BF424,$A424,B_MAX+1)</f>
        <v>341</v>
      </c>
      <c r="BK424" s="13">
        <f>IF(BB424=1,$BB$35,$BB$36)</f>
        <v>0</v>
      </c>
      <c r="BL424" s="13">
        <f>OCC_DAYS*$BB$41*R_NF_2023-BD424*MCD_SHARE_FREED*R_WAIT_2023</f>
        <v>151980.48282209205</v>
      </c>
      <c r="BM424">
        <f>IF($A424&lt;=$BB$45,1,0)</f>
        <v>0</v>
      </c>
      <c r="CB424">
        <f>IF($CB$31&lt;=$CB$32,IF($A424&lt;=$CB$7,1,2),IF($A424&lt;=RUNG_BEDS_2,2,1))</f>
        <v>2</v>
      </c>
      <c r="CC424" s="5">
        <f>MIN(1,MAX(0,$CB$26-($A424-1)))</f>
        <v>0</v>
      </c>
      <c r="CD424" s="5">
        <f>$CB$25*(CC424+(1-CC424)*$CB$16)</f>
        <v>0.0</v>
      </c>
      <c r="CE424" s="13">
        <f>CD424*($CB$6+ACUTE_MARGIN)</f>
        <v>0.0</v>
      </c>
      <c r="CF424" s="13">
        <f>IF(CB424=1,$CB$31,$CB$32)</f>
        <v>160718.36940738867</v>
      </c>
      <c r="CG424" s="13">
        <f>CE424-CF424</f>
        <v>-160718.36940738867</v>
      </c>
      <c r="CH424" s="13">
        <f>CH423+CG424</f>
        <v>-16575993.339647342</v>
      </c>
      <c r="CI424">
        <f>IF(CH424=MAX($CH$83:$CH$483),$A424,0)</f>
        <v>0</v>
      </c>
      <c r="CJ424">
        <f>IF(CE424&lt;CF424,$A424,B_MAX+1)</f>
        <v>341</v>
      </c>
      <c r="CK424" s="13">
        <f>IF(CB424=1,$CB$35,$CB$36)</f>
        <v>1560.1194073886782</v>
      </c>
      <c r="CL424" s="13">
        <f>OCC_DAYS*$CB$41*R_NF_2023-CD424*MCD_SHARE_FREED*R_WAIT_2023</f>
        <v>151980.48282209205</v>
      </c>
      <c r="CM424">
        <f>IF($A424&lt;=$CB$45,1,0)</f>
        <v>0</v>
      </c>
      <c r="DB424">
        <f>IF($DB$31&lt;=$DB$32,IF($A424&lt;=$DB$7,1,2),IF($A424&lt;=RUNG_BEDS_2,2,1))</f>
        <v>1</v>
      </c>
      <c r="DC424" s="5">
        <f>MIN(1,MAX(0,$DB$26-($A424-1)))</f>
        <v>0</v>
      </c>
      <c r="DD424" s="5">
        <f>$DB$25*(DC424+(1-DC424)*$DB$16)</f>
        <v>0.0</v>
      </c>
      <c r="DE424" s="13">
        <f>DD424*($DB$6+ACUTE_MARGIN)</f>
        <v>0.0</v>
      </c>
      <c r="DF424" s="13">
        <f>IF(DB424=1,$DB$31,$DB$32)</f>
        <v>152394.16214437486</v>
      </c>
      <c r="DG424" s="13">
        <f>DE424-DF424</f>
        <v>-152394.16214437486</v>
      </c>
      <c r="DH424" s="13">
        <f>DH423+DG424</f>
        <v>-13737438.662959471</v>
      </c>
      <c r="DI424">
        <f>IF(DH424=MAX($DH$83:$DH$483),$A424,0)</f>
        <v>0</v>
      </c>
      <c r="DJ424">
        <f>IF(DE424&lt;DF424,$A424,B_MAX+1)</f>
        <v>341</v>
      </c>
      <c r="DK424" s="13">
        <f>IF(DB424=1,$DB$35,$DB$36)</f>
        <v>0</v>
      </c>
      <c r="DL424" s="13">
        <f>OCC_DAYS*$DB$41*R_NF_2023-DD424*MCD_SHARE_FREED*R_WAIT_2023</f>
        <v>151980.48282209205</v>
      </c>
      <c r="DM424">
        <f>IF($A424&lt;=$DB$45,1,0)</f>
        <v>0</v>
      </c>
      <c r="EB424">
        <f>IF($EB$31&lt;=$EB$32,IF($A424&lt;=$EB$7,1,2),IF($A424&lt;=RUNG_BEDS_2,2,1))</f>
        <v>1</v>
      </c>
      <c r="EC424" s="5">
        <f>MIN(1,MAX(0,$EB$26-($A424-1)))</f>
        <v>0</v>
      </c>
      <c r="ED424" s="5">
        <f>$EB$25*(EC424+(1-EC424)*$EB$16)</f>
        <v>0.0</v>
      </c>
      <c r="EE424" s="13">
        <f>ED424*($EB$6+ACUTE_MARGIN)</f>
        <v>0.0</v>
      </c>
      <c r="EF424" s="13">
        <f>IF(EB424=1,$EB$31,$EB$32)</f>
        <v>152394.16214437486</v>
      </c>
      <c r="EG424" s="13">
        <f>EE424-EF424</f>
        <v>-152394.16214437486</v>
      </c>
      <c r="EH424" s="13">
        <f>EH423+EG424</f>
        <v>-13737438.662959471</v>
      </c>
      <c r="EI424">
        <f>IF(EH424=MAX($EH$83:$EH$483),$A424,0)</f>
        <v>0</v>
      </c>
      <c r="EJ424">
        <f>IF(EE424&lt;EF424,$A424,B_MAX+1)</f>
        <v>341</v>
      </c>
      <c r="EK424" s="13">
        <f>IF(EB424=1,$EB$35,$EB$36)</f>
        <v>0</v>
      </c>
      <c r="EL424" s="13">
        <f>OCC_DAYS*$EB$41*R_NF_2023-ED424*MCD_SHARE_FREED*R_WAIT_2023</f>
        <v>50660.16094069735</v>
      </c>
      <c r="EM424">
        <f>IF($A424&lt;=$EB$45,1,0)</f>
        <v>0</v>
      </c>
      <c r="FB424">
        <f>IF($FB$31&lt;=$FB$32,IF($A424&lt;=$FB$7,1,2),IF($A424&lt;=RUNG_BEDS_2,2,1))</f>
        <v>1</v>
      </c>
      <c r="FC424" s="5">
        <f>MIN(1,MAX(0,$FB$26-($A424-1)))</f>
        <v>0</v>
      </c>
      <c r="FD424" s="5">
        <f>$FB$25*(FC424+(1-FC424)*$FB$16)</f>
        <v>0.0</v>
      </c>
      <c r="FE424" s="13">
        <f>FD424*($FB$6+ACUTE_MARGIN)</f>
        <v>0.0</v>
      </c>
      <c r="FF424" s="13">
        <f>IF(FB424=1,$FB$31,$FB$32)</f>
        <v>156636.04979437485</v>
      </c>
      <c r="FG424" s="13">
        <f>FE424-FF424</f>
        <v>-156636.04979437485</v>
      </c>
      <c r="FH424" s="13">
        <f>FH423+FG424</f>
        <v>-15183922.351609575</v>
      </c>
      <c r="FI424">
        <f>IF(FH424=MAX($FH$83:$FH$483),$A424,0)</f>
        <v>0</v>
      </c>
      <c r="FJ424">
        <f>IF(FE424&lt;FF424,$A424,B_MAX+1)</f>
        <v>341</v>
      </c>
      <c r="FK424" s="13">
        <f>IF(FB424=1,$FB$35,$FB$36)</f>
        <v>0</v>
      </c>
      <c r="FL424" s="13">
        <f>OCC_DAYS*$FB$41*R_NF_2023-FD424*MCD_SHARE_FREED*R_WAIT_2023</f>
        <v>151980.48282209205</v>
      </c>
      <c r="FM424">
        <f>IF($A424&lt;=$FB$45,1,0)</f>
        <v>0</v>
      </c>
      <c r="GB424">
        <f>IF($GB$31&lt;=$GB$32,IF($A424&lt;=$GB$7,1,2),IF($A424&lt;=RUNG_BEDS_2,2,1))</f>
        <v>1</v>
      </c>
      <c r="GC424" s="5">
        <f>MIN(1,MAX(0,$GB$26-($A424-1)))</f>
        <v>0</v>
      </c>
      <c r="GD424" s="5">
        <f>$GB$25*(GC424+(1-GC424)*$GB$16)</f>
        <v>0.0</v>
      </c>
      <c r="GE424" s="13">
        <f>GD424*($GB$6+ACUTE_MARGIN)</f>
        <v>0.0</v>
      </c>
      <c r="GF424" s="13">
        <f>IF(GB424=1,$GB$31,$GB$32)</f>
        <v>152394.16214437486</v>
      </c>
      <c r="GG424" s="13">
        <f>GE424-GF424</f>
        <v>-152394.16214437486</v>
      </c>
      <c r="GH424" s="13">
        <f>GH423+GG424</f>
        <v>-13737438.662959471</v>
      </c>
      <c r="GI424">
        <f>IF(GH424=MAX($GH$83:$GH$483),$A424,0)</f>
        <v>0</v>
      </c>
      <c r="GJ424">
        <f>IF(GE424&lt;GF424,$A424,B_MAX+1)</f>
        <v>341</v>
      </c>
      <c r="GK424" s="13">
        <f>IF(GB424=1,$GB$35,$GB$36)</f>
        <v>0</v>
      </c>
      <c r="GL424" s="13">
        <f>OCC_DAYS*$GB$41*R_NF_2023-GD424*MCD_SHARE_FREED*R_WAIT_2023</f>
        <v>151980.48282209205</v>
      </c>
      <c r="GM424">
        <f>IF($A424&lt;=$GB$45,1,0)</f>
        <v>0</v>
      </c>
      <c r="HB424">
        <f>IF($HB$31&lt;=$HB$32,IF($A424&lt;=$HB$7,1,2),IF($A424&lt;=RUNG_BEDS_2,2,1))</f>
        <v>1</v>
      </c>
      <c r="HC424" s="5">
        <f>MIN(1,MAX(0,$HB$26-($A424-1)))</f>
        <v>0</v>
      </c>
      <c r="HD424" s="5">
        <f>$HB$25*(HC424+(1-HC424)*$HB$16)</f>
        <v>0.0</v>
      </c>
      <c r="HE424" s="13">
        <f>HD424*($HB$6+ACUTE_MARGIN)</f>
        <v>0.0</v>
      </c>
      <c r="HF424" s="13">
        <f>IF(HB424=1,$HB$31,$HB$32)</f>
        <v>152456.2970814058</v>
      </c>
      <c r="HG424" s="13">
        <f>HE424-HF424</f>
        <v>-152456.2970814058</v>
      </c>
      <c r="HH424" s="13">
        <f>HH423+HG424</f>
        <v>-13758626.676487075</v>
      </c>
      <c r="HI424">
        <f>IF(HH424=MAX($HH$83:$HH$483),$A424,0)</f>
        <v>0</v>
      </c>
      <c r="HJ424">
        <f>IF(HE424&lt;HF424,$A424,B_MAX+1)</f>
        <v>341</v>
      </c>
      <c r="HK424" s="13">
        <f>IF(HB424=1,$HB$35,$HB$36)</f>
        <v>0</v>
      </c>
      <c r="HL424" s="13">
        <f>OCC_DAYS*$HB$41*R_NF_2023-HD424*MCD_SHARE_FREED*R_WAIT_2023</f>
        <v>151980.48282209205</v>
      </c>
      <c r="HM424">
        <f>IF($A424&lt;=$HB$45,1,0)</f>
        <v>0</v>
      </c>
      <c r="IB424">
        <f>IF($IB$31&lt;=$IB$32,IF($A424&lt;=$IB$7,1,2),IF($A424&lt;=RUNG_BEDS_2,2,1))</f>
        <v>1</v>
      </c>
      <c r="IC424" s="5">
        <f>MIN(1,MAX(0,$IB$26-($A424-1)))</f>
        <v>0</v>
      </c>
      <c r="ID424" s="5">
        <f>$IB$25*(IC424+(1-IC424)*$IB$16)</f>
        <v>0.0</v>
      </c>
      <c r="IE424" s="13">
        <f>ID424*($IB$6+ACUTE_MARGIN)</f>
        <v>0.0</v>
      </c>
      <c r="IF424" s="13">
        <f>IF(IB424=1,$IB$31,$IB$32)</f>
        <v>152734.9994534971</v>
      </c>
      <c r="IG424" s="13">
        <f>IE424-IF424</f>
        <v>-152734.9994534971</v>
      </c>
      <c r="IH424" s="13">
        <f>IH423+IG424</f>
        <v>-13853664.185370237</v>
      </c>
      <c r="II424">
        <f>IF(IH424=MAX($IH$83:$IH$483),$A424,0)</f>
        <v>0</v>
      </c>
      <c r="IJ424">
        <f>IF(IE424&lt;IF424,$A424,B_MAX+1)</f>
        <v>341</v>
      </c>
      <c r="IK424" s="13">
        <f>IF(IB424=1,$IB$35,$IB$36)</f>
        <v>0</v>
      </c>
      <c r="IL424" s="13">
        <f>OCC_DAYS*$IB$41*R_NF_2023-ID424*MCD_SHARE_FREED*R_WAIT_2023</f>
        <v>151980.48282209205</v>
      </c>
      <c r="IM424">
        <f>IF($A424&lt;=$IB$45,1,0)</f>
        <v>0</v>
      </c>
      <c r="JB424">
        <f>IF($JB$31&lt;=$JB$32,IF($A424&lt;=$JB$7,1,2),IF($A424&lt;=RUNG_BEDS_2,2,1))</f>
        <v>1</v>
      </c>
      <c r="JC424" s="5">
        <f>MIN(1,MAX(0,$JB$26-($A424-1)))</f>
        <v>0</v>
      </c>
      <c r="JD424" s="5">
        <f>$JB$25*(JC424+(1-JC424)*$JB$16)</f>
        <v>0.0</v>
      </c>
      <c r="JE424" s="13">
        <f>JD424*($JB$6+ACUTE_MARGIN)</f>
        <v>0.0</v>
      </c>
      <c r="JF424" s="13">
        <f>IF(JB424=1,$JB$31,$JB$32)</f>
        <v>152394.16214437486</v>
      </c>
      <c r="JG424" s="13">
        <f>JE424-JF424</f>
        <v>-152394.16214437486</v>
      </c>
      <c r="JH424" s="13">
        <f>JH423+JG424</f>
        <v>-13737438.662959471</v>
      </c>
      <c r="JI424">
        <f>IF(JH424=MAX($JH$83:$JH$483),$A424,0)</f>
        <v>0</v>
      </c>
      <c r="JJ424">
        <f>IF(JE424&lt;JF424,$A424,B_MAX+1)</f>
        <v>341</v>
      </c>
      <c r="JK424" s="13">
        <f>IF(JB424=1,$JB$35,$JB$36)</f>
        <v>0</v>
      </c>
      <c r="JL424" s="13">
        <f>OCC_DAYS*$JB$41*R_NF_2023-JD424*MCD_SHARE_FREED*R_WAIT_2023</f>
        <v>151980.48282209205</v>
      </c>
      <c r="JM424">
        <f>IF($A424&lt;=$JB$45,1,0)</f>
        <v>0</v>
      </c>
      <c r="KB424">
        <f>IF($KB$31&lt;=$KB$32,IF($A424&lt;=$KB$7,1,2),IF($A424&lt;=RUNG_BEDS_2,2,1))</f>
        <v>1</v>
      </c>
      <c r="KC424" s="5">
        <f>MIN(1,MAX(0,$KB$26-($A424-1)))</f>
        <v>0</v>
      </c>
      <c r="KD424" s="5">
        <f>$KB$25*(KC424+(1-KC424)*$KB$16)</f>
        <v>0.0</v>
      </c>
      <c r="KE424" s="13">
        <f>KD424*($KB$6+ACUTE_MARGIN)</f>
        <v>0.0</v>
      </c>
      <c r="KF424" s="13">
        <f>IF(KB424=1,$KB$31,$KB$32)</f>
        <v>152394.16214437486</v>
      </c>
      <c r="KG424" s="13">
        <f>KE424-KF424</f>
        <v>-152394.16214437486</v>
      </c>
      <c r="KH424" s="13">
        <f>KH423+KG424</f>
        <v>-13737438.662959578</v>
      </c>
      <c r="KI424">
        <f>IF(KH424=MAX($KH$83:$KH$483),$A424,0)</f>
        <v>0</v>
      </c>
      <c r="KJ424">
        <f>IF(KE424&lt;KF424,$A424,B_MAX+1)</f>
        <v>341</v>
      </c>
      <c r="KK424" s="13">
        <f>IF(KB424=1,$KB$35,$KB$36)</f>
        <v>0</v>
      </c>
      <c r="KL424" s="13">
        <f>OCC_DAYS*$KB$41*R_NF_2023-KD424*MCD_SHARE_FREED*R_WAIT_2023</f>
        <v>151980.48282209205</v>
      </c>
      <c r="KM424">
        <f>IF($A424&lt;=$KB$45,1,0)</f>
        <v>0</v>
      </c>
      <c r="LB424">
        <f>IF($LB$31&lt;=$LB$32,IF($A424&lt;=$LB$7,1,2),IF($A424&lt;=RUNG_BEDS_2,2,1))</f>
        <v>1</v>
      </c>
      <c r="LC424" s="5">
        <f>MIN(1,MAX(0,$LB$26-($A424-1)))</f>
        <v>1</v>
      </c>
      <c r="LD424" s="5">
        <f>$LB$25*(LC424+(1-LC424)*$LB$16)</f>
        <v>84.01774238227146</v>
      </c>
      <c r="LE424" s="13">
        <f>LD424*($LB$6+ACUTE_MARGIN)</f>
        <v>84857.91980609419</v>
      </c>
      <c r="LF424" s="13">
        <f>IF(LB424=1,$LB$31,$LB$32)</f>
        <v>152394.16214437486</v>
      </c>
      <c r="LG424" s="13">
        <f>LE424-LF424</f>
        <v>-67536.24233828067</v>
      </c>
      <c r="LH424" s="13">
        <f>LH423+LG424</f>
        <v>-23029858.637353834</v>
      </c>
      <c r="LI424">
        <f>IF(LH424=MAX($LH$83:$LH$483),$A424,0)</f>
        <v>0</v>
      </c>
      <c r="LJ424">
        <f>IF(LE424&lt;LF424,$A424,B_MAX+1)</f>
        <v>341</v>
      </c>
      <c r="LK424" s="13">
        <f>IF(LB424=1,$LB$35,$LB$36)</f>
        <v>0</v>
      </c>
      <c r="LL424" s="13">
        <f>OCC_DAYS*$LB$41*R_NF_2023-LD424*MCD_SHARE_FREED*R_WAIT_2023</f>
        <v>113776.04162887059</v>
      </c>
      <c r="LM424">
        <f>IF($A424&lt;=$LB$45,1,0)</f>
        <v>0</v>
      </c>
      <c r="MB424">
        <f>IF($MB$31&lt;=$MB$32,IF($A424&lt;=$MB$7,1,2),IF($A424&lt;=RUNG_BEDS_2,2,1))</f>
        <v>1</v>
      </c>
      <c r="MC424" s="5">
        <f>MIN(1,MAX(0,$MB$26-($A424-1)))</f>
        <v>0</v>
      </c>
      <c r="MD424" s="5">
        <f>$MB$25*(MC424+(1-MC424)*$MB$16)</f>
        <v>0.0</v>
      </c>
      <c r="ME424" s="13">
        <f>MD424*($MB$6+ACUTE_MARGIN)</f>
        <v>0.0</v>
      </c>
      <c r="MF424" s="13">
        <f>IF(MB424=1,$MB$31,$MB$32)</f>
        <v>152394.16214437486</v>
      </c>
      <c r="MG424" s="13">
        <f>ME424-MF424</f>
        <v>-152394.16214437486</v>
      </c>
      <c r="MH424" s="13">
        <f>MH423+MG424</f>
        <v>-19624714.724757772</v>
      </c>
      <c r="MI424">
        <f>IF(MH424=MAX($MH$83:$MH$483),$A424,0)</f>
        <v>0</v>
      </c>
      <c r="MJ424">
        <f>IF(ME424&lt;MF424,$A424,B_MAX+1)</f>
        <v>341</v>
      </c>
      <c r="MK424" s="13">
        <f>IF(MB424=1,$MB$35,$MB$36)</f>
        <v>0</v>
      </c>
      <c r="ML424" s="13">
        <f>OCC_DAYS*$MB$41*R_NF_2023-MD424*MCD_SHARE_FREED*R_WAIT_2023</f>
        <v>151980.48282209205</v>
      </c>
      <c r="MM424">
        <f>IF($A424&lt;=$MB$45,1,0)</f>
        <v>0</v>
      </c>
      <c r="NB424">
        <f>IF($NB$31&lt;=$NB$32,IF($A424&lt;=$NB$7,1,2),IF($A424&lt;=RUNG_BEDS_2,2,1))</f>
        <v>1</v>
      </c>
      <c r="NC424" s="5">
        <f>MIN(1,MAX(0,$NB$26-($A424-1)))</f>
        <v>0</v>
      </c>
      <c r="ND424" s="5">
        <f>$NB$25*(NC424+(1-NC424)*$NB$16)</f>
        <v>63.013306786703595</v>
      </c>
      <c r="NE424" s="13">
        <f>ND424*($NB$6+ACUTE_MARGIN)</f>
        <v>63643.43985457063</v>
      </c>
      <c r="NF424" s="13">
        <f>IF(NB424=1,$NB$31,$NB$32)</f>
        <v>152394.16214437486</v>
      </c>
      <c r="NG424" s="13">
        <f>NE424-NF424</f>
        <v>-88750.72228980422</v>
      </c>
      <c r="NH424" s="13">
        <f>NH423+NG424</f>
        <v>-1592268.3296190167</v>
      </c>
      <c r="NI424">
        <f>IF(NH424=MAX($NH$83:$NH$483),$A424,0)</f>
        <v>0</v>
      </c>
      <c r="NJ424">
        <f>IF(NE424&lt;NF424,$A424,B_MAX+1)</f>
        <v>341</v>
      </c>
      <c r="NK424" s="13">
        <f>IF(NB424=1,$NB$35,$NB$36)</f>
        <v>0</v>
      </c>
      <c r="NL424" s="13">
        <f>OCC_DAYS*$NB$41*R_NF_2023-ND424*MCD_SHARE_FREED*R_WAIT_2023</f>
        <v>123327.15192717595</v>
      </c>
      <c r="NM424">
        <f>IF($A424&lt;=$NB$45,1,0)</f>
        <v>0</v>
      </c>
      <c r="OB424">
        <f>IF($OB$31&lt;=$OB$32,IF($A424&lt;=$OB$7,1,2),IF($A424&lt;=RUNG_BEDS_2,2,1))</f>
        <v>1</v>
      </c>
      <c r="OC424" s="5">
        <f>MIN(1,MAX(0,$OB$26-($A424-1)))</f>
        <v>0</v>
      </c>
      <c r="OD424" s="5">
        <f>$OB$25*(OC424+(1-OC424)*$OB$16)</f>
        <v>126.02661357340719</v>
      </c>
      <c r="OE424" s="13">
        <f>OD424*($OB$6+ACUTE_MARGIN)</f>
        <v>127286.87970914126</v>
      </c>
      <c r="OF424" s="13">
        <f>IF(OB424=1,$OB$31,$OB$32)</f>
        <v>152394.16214437486</v>
      </c>
      <c r="OG424" s="13">
        <f>OE424-OF424</f>
        <v>-25107.282435233603</v>
      </c>
      <c r="OH424" s="13">
        <f>OH423+OG424</f>
        <v>10552902.003721682</v>
      </c>
      <c r="OI424">
        <f>IF(OH424=MAX($OH$83:$OH$483),$A424,0)</f>
        <v>0</v>
      </c>
      <c r="OJ424">
        <f>IF(OE424&lt;OF424,$A424,B_MAX+1)</f>
        <v>341</v>
      </c>
      <c r="OK424" s="13">
        <f>IF(OB424=1,$OB$35,$OB$36)</f>
        <v>0</v>
      </c>
      <c r="OL424" s="13">
        <f>OCC_DAYS*$OB$41*R_NF_2023-OD424*MCD_SHARE_FREED*R_WAIT_2023</f>
        <v>94673.82103225985</v>
      </c>
      <c r="OM424">
        <f>IF($A424&lt;=$OB$45,1,0)</f>
        <v>0</v>
      </c>
    </row>
    <row r="425">
      <c r="A425" t="n">
        <v>342</v>
      </c>
      <c r="B425">
        <f>IF($B$31&lt;=$B$32,IF($A425&lt;=$B$7,1,2),IF($A425&lt;=RUNG_BEDS_2,2,1))</f>
        <v>1</v>
      </c>
      <c r="C425" s="5">
        <f>MIN(1,MAX(0,$B$26-($A425-1)))</f>
        <v>0</v>
      </c>
      <c r="D425" s="5">
        <f>$B$25*(C425+(1-C425)*$B$16)</f>
        <v>0.0</v>
      </c>
      <c r="E425" s="13">
        <f>D425*($B$6+ACUTE_MARGIN)</f>
        <v>0.0</v>
      </c>
      <c r="F425" s="13">
        <f>IF(B425=1,$B$31,$B$32)</f>
        <v>152394.16214437486</v>
      </c>
      <c r="G425" s="13">
        <f>E425-F425</f>
        <v>-152394.16214437486</v>
      </c>
      <c r="H425" s="13">
        <f>H424+G425</f>
        <v>-13889832.825103845</v>
      </c>
      <c r="I425">
        <f>IF(H425=MAX($H$83:$H$483),$A425,0)</f>
        <v>0</v>
      </c>
      <c r="J425">
        <f>IF(E425&lt;F425,$A425,B_MAX+1)</f>
        <v>342</v>
      </c>
      <c r="K425" s="13">
        <f>IF(B425=1,$B$35,$B$36)</f>
        <v>0</v>
      </c>
      <c r="L425" s="13">
        <f>OCC_DAYS*$B$41*R_NF_2023-D425*MCD_SHARE_FREED*R_WAIT_2023</f>
        <v>151980.48282209205</v>
      </c>
      <c r="M425">
        <f>IF($A425&lt;=$B$45,1,0)</f>
        <v>0</v>
      </c>
      <c r="AB425">
        <f>IF($AB$31&lt;=$AB$32,IF($A425&lt;=$AB$7,1,2),IF($A425&lt;=RUNG_BEDS_2,2,1))</f>
        <v>1</v>
      </c>
      <c r="AC425" s="5">
        <f>MIN(1,MAX(0,$AB$26-($A425-1)))</f>
        <v>0</v>
      </c>
      <c r="AD425" s="5">
        <f>$AB$25*(AC425+(1-AC425)*$AB$16)</f>
        <v>0.0</v>
      </c>
      <c r="AE425" s="13">
        <f>AD425*($AB$6+ACUTE_MARGIN)</f>
        <v>0.0</v>
      </c>
      <c r="AF425" s="13">
        <f>IF(AB425=1,$AB$31,$AB$32)</f>
        <v>152394.16214437486</v>
      </c>
      <c r="AG425" s="13">
        <f>AE425-AF425</f>
        <v>-152394.16214437486</v>
      </c>
      <c r="AH425" s="13">
        <f>AH424+AG425</f>
        <v>-31301047.17065358</v>
      </c>
      <c r="AI425">
        <f>IF(AH425=MAX($AH$83:$AH$483),$A425,0)</f>
        <v>0</v>
      </c>
      <c r="AJ425">
        <f>IF(AE425&lt;AF425,$A425,B_MAX+1)</f>
        <v>342</v>
      </c>
      <c r="AK425" s="13">
        <f>IF(AB425=1,$AB$35,$AB$36)</f>
        <v>0</v>
      </c>
      <c r="AL425" s="13">
        <f>OCC_DAYS*$AB$41*R_NF_2023-AD425*MCD_SHARE_FREED*R_WAIT_2023</f>
        <v>151980.48282209205</v>
      </c>
      <c r="AM425">
        <f>IF($A425&lt;=$AB$45,1,0)</f>
        <v>0</v>
      </c>
      <c r="BB425">
        <f>IF($BB$31&lt;=$BB$32,IF($A425&lt;=$BB$7,1,2),IF($A425&lt;=RUNG_BEDS_2,2,1))</f>
        <v>1</v>
      </c>
      <c r="BC425" s="5">
        <f>MIN(1,MAX(0,$BB$26-($A425-1)))</f>
        <v>0</v>
      </c>
      <c r="BD425" s="5">
        <f>$BB$25*(BC425+(1-BC425)*$BB$16)</f>
        <v>0.0</v>
      </c>
      <c r="BE425" s="13">
        <f>BD425*($BB$6+ACUTE_MARGIN)</f>
        <v>0.0</v>
      </c>
      <c r="BF425" s="13">
        <f>IF(BB425=1,$BB$31,$BB$32)</f>
        <v>152394.16214437486</v>
      </c>
      <c r="BG425" s="13">
        <f>BE425-BF425</f>
        <v>-152394.16214437486</v>
      </c>
      <c r="BH425" s="13">
        <f>BH424+BG425</f>
        <v>3521381.5204458833</v>
      </c>
      <c r="BI425">
        <f>IF(BH425=MAX($BH$83:$BH$483),$A425,0)</f>
        <v>0</v>
      </c>
      <c r="BJ425">
        <f>IF(BE425&lt;BF425,$A425,B_MAX+1)</f>
        <v>342</v>
      </c>
      <c r="BK425" s="13">
        <f>IF(BB425=1,$BB$35,$BB$36)</f>
        <v>0</v>
      </c>
      <c r="BL425" s="13">
        <f>OCC_DAYS*$BB$41*R_NF_2023-BD425*MCD_SHARE_FREED*R_WAIT_2023</f>
        <v>151980.48282209205</v>
      </c>
      <c r="BM425">
        <f>IF($A425&lt;=$BB$45,1,0)</f>
        <v>0</v>
      </c>
      <c r="CB425">
        <f>IF($CB$31&lt;=$CB$32,IF($A425&lt;=$CB$7,1,2),IF($A425&lt;=RUNG_BEDS_2,2,1))</f>
        <v>2</v>
      </c>
      <c r="CC425" s="5">
        <f>MIN(1,MAX(0,$CB$26-($A425-1)))</f>
        <v>0</v>
      </c>
      <c r="CD425" s="5">
        <f>$CB$25*(CC425+(1-CC425)*$CB$16)</f>
        <v>0.0</v>
      </c>
      <c r="CE425" s="13">
        <f>CD425*($CB$6+ACUTE_MARGIN)</f>
        <v>0.0</v>
      </c>
      <c r="CF425" s="13">
        <f>IF(CB425=1,$CB$31,$CB$32)</f>
        <v>160718.36940738867</v>
      </c>
      <c r="CG425" s="13">
        <f>CE425-CF425</f>
        <v>-160718.36940738867</v>
      </c>
      <c r="CH425" s="13">
        <f>CH424+CG425</f>
        <v>-16736711.70905473</v>
      </c>
      <c r="CI425">
        <f>IF(CH425=MAX($CH$83:$CH$483),$A425,0)</f>
        <v>0</v>
      </c>
      <c r="CJ425">
        <f>IF(CE425&lt;CF425,$A425,B_MAX+1)</f>
        <v>342</v>
      </c>
      <c r="CK425" s="13">
        <f>IF(CB425=1,$CB$35,$CB$36)</f>
        <v>1560.1194073886782</v>
      </c>
      <c r="CL425" s="13">
        <f>OCC_DAYS*$CB$41*R_NF_2023-CD425*MCD_SHARE_FREED*R_WAIT_2023</f>
        <v>151980.48282209205</v>
      </c>
      <c r="CM425">
        <f>IF($A425&lt;=$CB$45,1,0)</f>
        <v>0</v>
      </c>
      <c r="DB425">
        <f>IF($DB$31&lt;=$DB$32,IF($A425&lt;=$DB$7,1,2),IF($A425&lt;=RUNG_BEDS_2,2,1))</f>
        <v>1</v>
      </c>
      <c r="DC425" s="5">
        <f>MIN(1,MAX(0,$DB$26-($A425-1)))</f>
        <v>0</v>
      </c>
      <c r="DD425" s="5">
        <f>$DB$25*(DC425+(1-DC425)*$DB$16)</f>
        <v>0.0</v>
      </c>
      <c r="DE425" s="13">
        <f>DD425*($DB$6+ACUTE_MARGIN)</f>
        <v>0.0</v>
      </c>
      <c r="DF425" s="13">
        <f>IF(DB425=1,$DB$31,$DB$32)</f>
        <v>152394.16214437486</v>
      </c>
      <c r="DG425" s="13">
        <f>DE425-DF425</f>
        <v>-152394.16214437486</v>
      </c>
      <c r="DH425" s="13">
        <f>DH424+DG425</f>
        <v>-13889832.825103845</v>
      </c>
      <c r="DI425">
        <f>IF(DH425=MAX($DH$83:$DH$483),$A425,0)</f>
        <v>0</v>
      </c>
      <c r="DJ425">
        <f>IF(DE425&lt;DF425,$A425,B_MAX+1)</f>
        <v>342</v>
      </c>
      <c r="DK425" s="13">
        <f>IF(DB425=1,$DB$35,$DB$36)</f>
        <v>0</v>
      </c>
      <c r="DL425" s="13">
        <f>OCC_DAYS*$DB$41*R_NF_2023-DD425*MCD_SHARE_FREED*R_WAIT_2023</f>
        <v>151980.48282209205</v>
      </c>
      <c r="DM425">
        <f>IF($A425&lt;=$DB$45,1,0)</f>
        <v>0</v>
      </c>
      <c r="EB425">
        <f>IF($EB$31&lt;=$EB$32,IF($A425&lt;=$EB$7,1,2),IF($A425&lt;=RUNG_BEDS_2,2,1))</f>
        <v>1</v>
      </c>
      <c r="EC425" s="5">
        <f>MIN(1,MAX(0,$EB$26-($A425-1)))</f>
        <v>0</v>
      </c>
      <c r="ED425" s="5">
        <f>$EB$25*(EC425+(1-EC425)*$EB$16)</f>
        <v>0.0</v>
      </c>
      <c r="EE425" s="13">
        <f>ED425*($EB$6+ACUTE_MARGIN)</f>
        <v>0.0</v>
      </c>
      <c r="EF425" s="13">
        <f>IF(EB425=1,$EB$31,$EB$32)</f>
        <v>152394.16214437486</v>
      </c>
      <c r="EG425" s="13">
        <f>EE425-EF425</f>
        <v>-152394.16214437486</v>
      </c>
      <c r="EH425" s="13">
        <f>EH424+EG425</f>
        <v>-13889832.825103845</v>
      </c>
      <c r="EI425">
        <f>IF(EH425=MAX($EH$83:$EH$483),$A425,0)</f>
        <v>0</v>
      </c>
      <c r="EJ425">
        <f>IF(EE425&lt;EF425,$A425,B_MAX+1)</f>
        <v>342</v>
      </c>
      <c r="EK425" s="13">
        <f>IF(EB425=1,$EB$35,$EB$36)</f>
        <v>0</v>
      </c>
      <c r="EL425" s="13">
        <f>OCC_DAYS*$EB$41*R_NF_2023-ED425*MCD_SHARE_FREED*R_WAIT_2023</f>
        <v>50660.16094069735</v>
      </c>
      <c r="EM425">
        <f>IF($A425&lt;=$EB$45,1,0)</f>
        <v>0</v>
      </c>
      <c r="FB425">
        <f>IF($FB$31&lt;=$FB$32,IF($A425&lt;=$FB$7,1,2),IF($A425&lt;=RUNG_BEDS_2,2,1))</f>
        <v>1</v>
      </c>
      <c r="FC425" s="5">
        <f>MIN(1,MAX(0,$FB$26-($A425-1)))</f>
        <v>0</v>
      </c>
      <c r="FD425" s="5">
        <f>$FB$25*(FC425+(1-FC425)*$FB$16)</f>
        <v>0.0</v>
      </c>
      <c r="FE425" s="13">
        <f>FD425*($FB$6+ACUTE_MARGIN)</f>
        <v>0.0</v>
      </c>
      <c r="FF425" s="13">
        <f>IF(FB425=1,$FB$31,$FB$32)</f>
        <v>156636.04979437485</v>
      </c>
      <c r="FG425" s="13">
        <f>FE425-FF425</f>
        <v>-156636.04979437485</v>
      </c>
      <c r="FH425" s="13">
        <f>FH424+FG425</f>
        <v>-15340558.401403949</v>
      </c>
      <c r="FI425">
        <f>IF(FH425=MAX($FH$83:$FH$483),$A425,0)</f>
        <v>0</v>
      </c>
      <c r="FJ425">
        <f>IF(FE425&lt;FF425,$A425,B_MAX+1)</f>
        <v>342</v>
      </c>
      <c r="FK425" s="13">
        <f>IF(FB425=1,$FB$35,$FB$36)</f>
        <v>0</v>
      </c>
      <c r="FL425" s="13">
        <f>OCC_DAYS*$FB$41*R_NF_2023-FD425*MCD_SHARE_FREED*R_WAIT_2023</f>
        <v>151980.48282209205</v>
      </c>
      <c r="FM425">
        <f>IF($A425&lt;=$FB$45,1,0)</f>
        <v>0</v>
      </c>
      <c r="GB425">
        <f>IF($GB$31&lt;=$GB$32,IF($A425&lt;=$GB$7,1,2),IF($A425&lt;=RUNG_BEDS_2,2,1))</f>
        <v>1</v>
      </c>
      <c r="GC425" s="5">
        <f>MIN(1,MAX(0,$GB$26-($A425-1)))</f>
        <v>0</v>
      </c>
      <c r="GD425" s="5">
        <f>$GB$25*(GC425+(1-GC425)*$GB$16)</f>
        <v>0.0</v>
      </c>
      <c r="GE425" s="13">
        <f>GD425*($GB$6+ACUTE_MARGIN)</f>
        <v>0.0</v>
      </c>
      <c r="GF425" s="13">
        <f>IF(GB425=1,$GB$31,$GB$32)</f>
        <v>152394.16214437486</v>
      </c>
      <c r="GG425" s="13">
        <f>GE425-GF425</f>
        <v>-152394.16214437486</v>
      </c>
      <c r="GH425" s="13">
        <f>GH424+GG425</f>
        <v>-13889832.825103845</v>
      </c>
      <c r="GI425">
        <f>IF(GH425=MAX($GH$83:$GH$483),$A425,0)</f>
        <v>0</v>
      </c>
      <c r="GJ425">
        <f>IF(GE425&lt;GF425,$A425,B_MAX+1)</f>
        <v>342</v>
      </c>
      <c r="GK425" s="13">
        <f>IF(GB425=1,$GB$35,$GB$36)</f>
        <v>0</v>
      </c>
      <c r="GL425" s="13">
        <f>OCC_DAYS*$GB$41*R_NF_2023-GD425*MCD_SHARE_FREED*R_WAIT_2023</f>
        <v>151980.48282209205</v>
      </c>
      <c r="GM425">
        <f>IF($A425&lt;=$GB$45,1,0)</f>
        <v>0</v>
      </c>
      <c r="HB425">
        <f>IF($HB$31&lt;=$HB$32,IF($A425&lt;=$HB$7,1,2),IF($A425&lt;=RUNG_BEDS_2,2,1))</f>
        <v>1</v>
      </c>
      <c r="HC425" s="5">
        <f>MIN(1,MAX(0,$HB$26-($A425-1)))</f>
        <v>0</v>
      </c>
      <c r="HD425" s="5">
        <f>$HB$25*(HC425+(1-HC425)*$HB$16)</f>
        <v>0.0</v>
      </c>
      <c r="HE425" s="13">
        <f>HD425*($HB$6+ACUTE_MARGIN)</f>
        <v>0.0</v>
      </c>
      <c r="HF425" s="13">
        <f>IF(HB425=1,$HB$31,$HB$32)</f>
        <v>152456.2970814058</v>
      </c>
      <c r="HG425" s="13">
        <f>HE425-HF425</f>
        <v>-152456.2970814058</v>
      </c>
      <c r="HH425" s="13">
        <f>HH424+HG425</f>
        <v>-13911082.97356848</v>
      </c>
      <c r="HI425">
        <f>IF(HH425=MAX($HH$83:$HH$483),$A425,0)</f>
        <v>0</v>
      </c>
      <c r="HJ425">
        <f>IF(HE425&lt;HF425,$A425,B_MAX+1)</f>
        <v>342</v>
      </c>
      <c r="HK425" s="13">
        <f>IF(HB425=1,$HB$35,$HB$36)</f>
        <v>0</v>
      </c>
      <c r="HL425" s="13">
        <f>OCC_DAYS*$HB$41*R_NF_2023-HD425*MCD_SHARE_FREED*R_WAIT_2023</f>
        <v>151980.48282209205</v>
      </c>
      <c r="HM425">
        <f>IF($A425&lt;=$HB$45,1,0)</f>
        <v>0</v>
      </c>
      <c r="IB425">
        <f>IF($IB$31&lt;=$IB$32,IF($A425&lt;=$IB$7,1,2),IF($A425&lt;=RUNG_BEDS_2,2,1))</f>
        <v>1</v>
      </c>
      <c r="IC425" s="5">
        <f>MIN(1,MAX(0,$IB$26-($A425-1)))</f>
        <v>0</v>
      </c>
      <c r="ID425" s="5">
        <f>$IB$25*(IC425+(1-IC425)*$IB$16)</f>
        <v>0.0</v>
      </c>
      <c r="IE425" s="13">
        <f>ID425*($IB$6+ACUTE_MARGIN)</f>
        <v>0.0</v>
      </c>
      <c r="IF425" s="13">
        <f>IF(IB425=1,$IB$31,$IB$32)</f>
        <v>152734.9994534971</v>
      </c>
      <c r="IG425" s="13">
        <f>IE425-IF425</f>
        <v>-152734.9994534971</v>
      </c>
      <c r="IH425" s="13">
        <f>IH424+IG425</f>
        <v>-14006399.184823733</v>
      </c>
      <c r="II425">
        <f>IF(IH425=MAX($IH$83:$IH$483),$A425,0)</f>
        <v>0</v>
      </c>
      <c r="IJ425">
        <f>IF(IE425&lt;IF425,$A425,B_MAX+1)</f>
        <v>342</v>
      </c>
      <c r="IK425" s="13">
        <f>IF(IB425=1,$IB$35,$IB$36)</f>
        <v>0</v>
      </c>
      <c r="IL425" s="13">
        <f>OCC_DAYS*$IB$41*R_NF_2023-ID425*MCD_SHARE_FREED*R_WAIT_2023</f>
        <v>151980.48282209205</v>
      </c>
      <c r="IM425">
        <f>IF($A425&lt;=$IB$45,1,0)</f>
        <v>0</v>
      </c>
      <c r="JB425">
        <f>IF($JB$31&lt;=$JB$32,IF($A425&lt;=$JB$7,1,2),IF($A425&lt;=RUNG_BEDS_2,2,1))</f>
        <v>1</v>
      </c>
      <c r="JC425" s="5">
        <f>MIN(1,MAX(0,$JB$26-($A425-1)))</f>
        <v>0</v>
      </c>
      <c r="JD425" s="5">
        <f>$JB$25*(JC425+(1-JC425)*$JB$16)</f>
        <v>0.0</v>
      </c>
      <c r="JE425" s="13">
        <f>JD425*($JB$6+ACUTE_MARGIN)</f>
        <v>0.0</v>
      </c>
      <c r="JF425" s="13">
        <f>IF(JB425=1,$JB$31,$JB$32)</f>
        <v>152394.16214437486</v>
      </c>
      <c r="JG425" s="13">
        <f>JE425-JF425</f>
        <v>-152394.16214437486</v>
      </c>
      <c r="JH425" s="13">
        <f>JH424+JG425</f>
        <v>-13889832.825103845</v>
      </c>
      <c r="JI425">
        <f>IF(JH425=MAX($JH$83:$JH$483),$A425,0)</f>
        <v>0</v>
      </c>
      <c r="JJ425">
        <f>IF(JE425&lt;JF425,$A425,B_MAX+1)</f>
        <v>342</v>
      </c>
      <c r="JK425" s="13">
        <f>IF(JB425=1,$JB$35,$JB$36)</f>
        <v>0</v>
      </c>
      <c r="JL425" s="13">
        <f>OCC_DAYS*$JB$41*R_NF_2023-JD425*MCD_SHARE_FREED*R_WAIT_2023</f>
        <v>151980.48282209205</v>
      </c>
      <c r="JM425">
        <f>IF($A425&lt;=$JB$45,1,0)</f>
        <v>0</v>
      </c>
      <c r="KB425">
        <f>IF($KB$31&lt;=$KB$32,IF($A425&lt;=$KB$7,1,2),IF($A425&lt;=RUNG_BEDS_2,2,1))</f>
        <v>1</v>
      </c>
      <c r="KC425" s="5">
        <f>MIN(1,MAX(0,$KB$26-($A425-1)))</f>
        <v>0</v>
      </c>
      <c r="KD425" s="5">
        <f>$KB$25*(KC425+(1-KC425)*$KB$16)</f>
        <v>0.0</v>
      </c>
      <c r="KE425" s="13">
        <f>KD425*($KB$6+ACUTE_MARGIN)</f>
        <v>0.0</v>
      </c>
      <c r="KF425" s="13">
        <f>IF(KB425=1,$KB$31,$KB$32)</f>
        <v>152394.16214437486</v>
      </c>
      <c r="KG425" s="13">
        <f>KE425-KF425</f>
        <v>-152394.16214437486</v>
      </c>
      <c r="KH425" s="13">
        <f>KH424+KG425</f>
        <v>-13889832.825103952</v>
      </c>
      <c r="KI425">
        <f>IF(KH425=MAX($KH$83:$KH$483),$A425,0)</f>
        <v>0</v>
      </c>
      <c r="KJ425">
        <f>IF(KE425&lt;KF425,$A425,B_MAX+1)</f>
        <v>342</v>
      </c>
      <c r="KK425" s="13">
        <f>IF(KB425=1,$KB$35,$KB$36)</f>
        <v>0</v>
      </c>
      <c r="KL425" s="13">
        <f>OCC_DAYS*$KB$41*R_NF_2023-KD425*MCD_SHARE_FREED*R_WAIT_2023</f>
        <v>151980.48282209205</v>
      </c>
      <c r="KM425">
        <f>IF($A425&lt;=$KB$45,1,0)</f>
        <v>0</v>
      </c>
      <c r="LB425">
        <f>IF($LB$31&lt;=$LB$32,IF($A425&lt;=$LB$7,1,2),IF($A425&lt;=RUNG_BEDS_2,2,1))</f>
        <v>1</v>
      </c>
      <c r="LC425" s="5">
        <f>MIN(1,MAX(0,$LB$26-($A425-1)))</f>
        <v>1</v>
      </c>
      <c r="LD425" s="5">
        <f>$LB$25*(LC425+(1-LC425)*$LB$16)</f>
        <v>84.01774238227146</v>
      </c>
      <c r="LE425" s="13">
        <f>LD425*($LB$6+ACUTE_MARGIN)</f>
        <v>84857.91980609419</v>
      </c>
      <c r="LF425" s="13">
        <f>IF(LB425=1,$LB$31,$LB$32)</f>
        <v>152394.16214437486</v>
      </c>
      <c r="LG425" s="13">
        <f>LE425-LF425</f>
        <v>-67536.24233828067</v>
      </c>
      <c r="LH425" s="13">
        <f>LH424+LG425</f>
        <v>-23097394.879692115</v>
      </c>
      <c r="LI425">
        <f>IF(LH425=MAX($LH$83:$LH$483),$A425,0)</f>
        <v>0</v>
      </c>
      <c r="LJ425">
        <f>IF(LE425&lt;LF425,$A425,B_MAX+1)</f>
        <v>342</v>
      </c>
      <c r="LK425" s="13">
        <f>IF(LB425=1,$LB$35,$LB$36)</f>
        <v>0</v>
      </c>
      <c r="LL425" s="13">
        <f>OCC_DAYS*$LB$41*R_NF_2023-LD425*MCD_SHARE_FREED*R_WAIT_2023</f>
        <v>113776.04162887059</v>
      </c>
      <c r="LM425">
        <f>IF($A425&lt;=$LB$45,1,0)</f>
        <v>0</v>
      </c>
      <c r="MB425">
        <f>IF($MB$31&lt;=$MB$32,IF($A425&lt;=$MB$7,1,2),IF($A425&lt;=RUNG_BEDS_2,2,1))</f>
        <v>1</v>
      </c>
      <c r="MC425" s="5">
        <f>MIN(1,MAX(0,$MB$26-($A425-1)))</f>
        <v>0</v>
      </c>
      <c r="MD425" s="5">
        <f>$MB$25*(MC425+(1-MC425)*$MB$16)</f>
        <v>0.0</v>
      </c>
      <c r="ME425" s="13">
        <f>MD425*($MB$6+ACUTE_MARGIN)</f>
        <v>0.0</v>
      </c>
      <c r="MF425" s="13">
        <f>IF(MB425=1,$MB$31,$MB$32)</f>
        <v>152394.16214437486</v>
      </c>
      <c r="MG425" s="13">
        <f>ME425-MF425</f>
        <v>-152394.16214437486</v>
      </c>
      <c r="MH425" s="13">
        <f>MH424+MG425</f>
        <v>-19777108.886902146</v>
      </c>
      <c r="MI425">
        <f>IF(MH425=MAX($MH$83:$MH$483),$A425,0)</f>
        <v>0</v>
      </c>
      <c r="MJ425">
        <f>IF(ME425&lt;MF425,$A425,B_MAX+1)</f>
        <v>342</v>
      </c>
      <c r="MK425" s="13">
        <f>IF(MB425=1,$MB$35,$MB$36)</f>
        <v>0</v>
      </c>
      <c r="ML425" s="13">
        <f>OCC_DAYS*$MB$41*R_NF_2023-MD425*MCD_SHARE_FREED*R_WAIT_2023</f>
        <v>151980.48282209205</v>
      </c>
      <c r="MM425">
        <f>IF($A425&lt;=$MB$45,1,0)</f>
        <v>0</v>
      </c>
      <c r="NB425">
        <f>IF($NB$31&lt;=$NB$32,IF($A425&lt;=$NB$7,1,2),IF($A425&lt;=RUNG_BEDS_2,2,1))</f>
        <v>1</v>
      </c>
      <c r="NC425" s="5">
        <f>MIN(1,MAX(0,$NB$26-($A425-1)))</f>
        <v>0</v>
      </c>
      <c r="ND425" s="5">
        <f>$NB$25*(NC425+(1-NC425)*$NB$16)</f>
        <v>63.013306786703595</v>
      </c>
      <c r="NE425" s="13">
        <f>ND425*($NB$6+ACUTE_MARGIN)</f>
        <v>63643.43985457063</v>
      </c>
      <c r="NF425" s="13">
        <f>IF(NB425=1,$NB$31,$NB$32)</f>
        <v>152394.16214437486</v>
      </c>
      <c r="NG425" s="13">
        <f>NE425-NF425</f>
        <v>-88750.72228980422</v>
      </c>
      <c r="NH425" s="13">
        <f>NH424+NG425</f>
        <v>-1681019.0519088209</v>
      </c>
      <c r="NI425">
        <f>IF(NH425=MAX($NH$83:$NH$483),$A425,0)</f>
        <v>0</v>
      </c>
      <c r="NJ425">
        <f>IF(NE425&lt;NF425,$A425,B_MAX+1)</f>
        <v>342</v>
      </c>
      <c r="NK425" s="13">
        <f>IF(NB425=1,$NB$35,$NB$36)</f>
        <v>0</v>
      </c>
      <c r="NL425" s="13">
        <f>OCC_DAYS*$NB$41*R_NF_2023-ND425*MCD_SHARE_FREED*R_WAIT_2023</f>
        <v>123327.15192717595</v>
      </c>
      <c r="NM425">
        <f>IF($A425&lt;=$NB$45,1,0)</f>
        <v>0</v>
      </c>
      <c r="OB425">
        <f>IF($OB$31&lt;=$OB$32,IF($A425&lt;=$OB$7,1,2),IF($A425&lt;=RUNG_BEDS_2,2,1))</f>
        <v>1</v>
      </c>
      <c r="OC425" s="5">
        <f>MIN(1,MAX(0,$OB$26-($A425-1)))</f>
        <v>0</v>
      </c>
      <c r="OD425" s="5">
        <f>$OB$25*(OC425+(1-OC425)*$OB$16)</f>
        <v>126.02661357340719</v>
      </c>
      <c r="OE425" s="13">
        <f>OD425*($OB$6+ACUTE_MARGIN)</f>
        <v>127286.87970914126</v>
      </c>
      <c r="OF425" s="13">
        <f>IF(OB425=1,$OB$31,$OB$32)</f>
        <v>152394.16214437486</v>
      </c>
      <c r="OG425" s="13">
        <f>OE425-OF425</f>
        <v>-25107.282435233603</v>
      </c>
      <c r="OH425" s="13">
        <f>OH424+OG425</f>
        <v>10527794.72128645</v>
      </c>
      <c r="OI425">
        <f>IF(OH425=MAX($OH$83:$OH$483),$A425,0)</f>
        <v>0</v>
      </c>
      <c r="OJ425">
        <f>IF(OE425&lt;OF425,$A425,B_MAX+1)</f>
        <v>342</v>
      </c>
      <c r="OK425" s="13">
        <f>IF(OB425=1,$OB$35,$OB$36)</f>
        <v>0</v>
      </c>
      <c r="OL425" s="13">
        <f>OCC_DAYS*$OB$41*R_NF_2023-OD425*MCD_SHARE_FREED*R_WAIT_2023</f>
        <v>94673.82103225985</v>
      </c>
      <c r="OM425">
        <f>IF($A425&lt;=$OB$45,1,0)</f>
        <v>0</v>
      </c>
    </row>
    <row r="426">
      <c r="A426" t="n">
        <v>343</v>
      </c>
      <c r="B426">
        <f>IF($B$31&lt;=$B$32,IF($A426&lt;=$B$7,1,2),IF($A426&lt;=RUNG_BEDS_2,2,1))</f>
        <v>1</v>
      </c>
      <c r="C426" s="5">
        <f>MIN(1,MAX(0,$B$26-($A426-1)))</f>
        <v>0</v>
      </c>
      <c r="D426" s="5">
        <f>$B$25*(C426+(1-C426)*$B$16)</f>
        <v>0.0</v>
      </c>
      <c r="E426" s="13">
        <f>D426*($B$6+ACUTE_MARGIN)</f>
        <v>0.0</v>
      </c>
      <c r="F426" s="13">
        <f>IF(B426=1,$B$31,$B$32)</f>
        <v>152394.16214437486</v>
      </c>
      <c r="G426" s="13">
        <f>E426-F426</f>
        <v>-152394.16214437486</v>
      </c>
      <c r="H426" s="13">
        <f>H425+G426</f>
        <v>-14042226.98724822</v>
      </c>
      <c r="I426">
        <f>IF(H426=MAX($H$83:$H$483),$A426,0)</f>
        <v>0</v>
      </c>
      <c r="J426">
        <f>IF(E426&lt;F426,$A426,B_MAX+1)</f>
        <v>343</v>
      </c>
      <c r="K426" s="13">
        <f>IF(B426=1,$B$35,$B$36)</f>
        <v>0</v>
      </c>
      <c r="L426" s="13">
        <f>OCC_DAYS*$B$41*R_NF_2023-D426*MCD_SHARE_FREED*R_WAIT_2023</f>
        <v>151980.48282209205</v>
      </c>
      <c r="M426">
        <f>IF($A426&lt;=$B$45,1,0)</f>
        <v>0</v>
      </c>
      <c r="AB426">
        <f>IF($AB$31&lt;=$AB$32,IF($A426&lt;=$AB$7,1,2),IF($A426&lt;=RUNG_BEDS_2,2,1))</f>
        <v>1</v>
      </c>
      <c r="AC426" s="5">
        <f>MIN(1,MAX(0,$AB$26-($A426-1)))</f>
        <v>0</v>
      </c>
      <c r="AD426" s="5">
        <f>$AB$25*(AC426+(1-AC426)*$AB$16)</f>
        <v>0.0</v>
      </c>
      <c r="AE426" s="13">
        <f>AD426*($AB$6+ACUTE_MARGIN)</f>
        <v>0.0</v>
      </c>
      <c r="AF426" s="13">
        <f>IF(AB426=1,$AB$31,$AB$32)</f>
        <v>152394.16214437486</v>
      </c>
      <c r="AG426" s="13">
        <f>AE426-AF426</f>
        <v>-152394.16214437486</v>
      </c>
      <c r="AH426" s="13">
        <f>AH425+AG426</f>
        <v>-31453441.332797956</v>
      </c>
      <c r="AI426">
        <f>IF(AH426=MAX($AH$83:$AH$483),$A426,0)</f>
        <v>0</v>
      </c>
      <c r="AJ426">
        <f>IF(AE426&lt;AF426,$A426,B_MAX+1)</f>
        <v>343</v>
      </c>
      <c r="AK426" s="13">
        <f>IF(AB426=1,$AB$35,$AB$36)</f>
        <v>0</v>
      </c>
      <c r="AL426" s="13">
        <f>OCC_DAYS*$AB$41*R_NF_2023-AD426*MCD_SHARE_FREED*R_WAIT_2023</f>
        <v>151980.48282209205</v>
      </c>
      <c r="AM426">
        <f>IF($A426&lt;=$AB$45,1,0)</f>
        <v>0</v>
      </c>
      <c r="BB426">
        <f>IF($BB$31&lt;=$BB$32,IF($A426&lt;=$BB$7,1,2),IF($A426&lt;=RUNG_BEDS_2,2,1))</f>
        <v>1</v>
      </c>
      <c r="BC426" s="5">
        <f>MIN(1,MAX(0,$BB$26-($A426-1)))</f>
        <v>0</v>
      </c>
      <c r="BD426" s="5">
        <f>$BB$25*(BC426+(1-BC426)*$BB$16)</f>
        <v>0.0</v>
      </c>
      <c r="BE426" s="13">
        <f>BD426*($BB$6+ACUTE_MARGIN)</f>
        <v>0.0</v>
      </c>
      <c r="BF426" s="13">
        <f>IF(BB426=1,$BB$31,$BB$32)</f>
        <v>152394.16214437486</v>
      </c>
      <c r="BG426" s="13">
        <f>BE426-BF426</f>
        <v>-152394.16214437486</v>
      </c>
      <c r="BH426" s="13">
        <f>BH425+BG426</f>
        <v>3368987.3583015082</v>
      </c>
      <c r="BI426">
        <f>IF(BH426=MAX($BH$83:$BH$483),$A426,0)</f>
        <v>0</v>
      </c>
      <c r="BJ426">
        <f>IF(BE426&lt;BF426,$A426,B_MAX+1)</f>
        <v>343</v>
      </c>
      <c r="BK426" s="13">
        <f>IF(BB426=1,$BB$35,$BB$36)</f>
        <v>0</v>
      </c>
      <c r="BL426" s="13">
        <f>OCC_DAYS*$BB$41*R_NF_2023-BD426*MCD_SHARE_FREED*R_WAIT_2023</f>
        <v>151980.48282209205</v>
      </c>
      <c r="BM426">
        <f>IF($A426&lt;=$BB$45,1,0)</f>
        <v>0</v>
      </c>
      <c r="CB426">
        <f>IF($CB$31&lt;=$CB$32,IF($A426&lt;=$CB$7,1,2),IF($A426&lt;=RUNG_BEDS_2,2,1))</f>
        <v>2</v>
      </c>
      <c r="CC426" s="5">
        <f>MIN(1,MAX(0,$CB$26-($A426-1)))</f>
        <v>0</v>
      </c>
      <c r="CD426" s="5">
        <f>$CB$25*(CC426+(1-CC426)*$CB$16)</f>
        <v>0.0</v>
      </c>
      <c r="CE426" s="13">
        <f>CD426*($CB$6+ACUTE_MARGIN)</f>
        <v>0.0</v>
      </c>
      <c r="CF426" s="13">
        <f>IF(CB426=1,$CB$31,$CB$32)</f>
        <v>160718.36940738867</v>
      </c>
      <c r="CG426" s="13">
        <f>CE426-CF426</f>
        <v>-160718.36940738867</v>
      </c>
      <c r="CH426" s="13">
        <f>CH425+CG426</f>
        <v>-16897430.07846212</v>
      </c>
      <c r="CI426">
        <f>IF(CH426=MAX($CH$83:$CH$483),$A426,0)</f>
        <v>0</v>
      </c>
      <c r="CJ426">
        <f>IF(CE426&lt;CF426,$A426,B_MAX+1)</f>
        <v>343</v>
      </c>
      <c r="CK426" s="13">
        <f>IF(CB426=1,$CB$35,$CB$36)</f>
        <v>1560.1194073886782</v>
      </c>
      <c r="CL426" s="13">
        <f>OCC_DAYS*$CB$41*R_NF_2023-CD426*MCD_SHARE_FREED*R_WAIT_2023</f>
        <v>151980.48282209205</v>
      </c>
      <c r="CM426">
        <f>IF($A426&lt;=$CB$45,1,0)</f>
        <v>0</v>
      </c>
      <c r="DB426">
        <f>IF($DB$31&lt;=$DB$32,IF($A426&lt;=$DB$7,1,2),IF($A426&lt;=RUNG_BEDS_2,2,1))</f>
        <v>1</v>
      </c>
      <c r="DC426" s="5">
        <f>MIN(1,MAX(0,$DB$26-($A426-1)))</f>
        <v>0</v>
      </c>
      <c r="DD426" s="5">
        <f>$DB$25*(DC426+(1-DC426)*$DB$16)</f>
        <v>0.0</v>
      </c>
      <c r="DE426" s="13">
        <f>DD426*($DB$6+ACUTE_MARGIN)</f>
        <v>0.0</v>
      </c>
      <c r="DF426" s="13">
        <f>IF(DB426=1,$DB$31,$DB$32)</f>
        <v>152394.16214437486</v>
      </c>
      <c r="DG426" s="13">
        <f>DE426-DF426</f>
        <v>-152394.16214437486</v>
      </c>
      <c r="DH426" s="13">
        <f>DH425+DG426</f>
        <v>-14042226.98724822</v>
      </c>
      <c r="DI426">
        <f>IF(DH426=MAX($DH$83:$DH$483),$A426,0)</f>
        <v>0</v>
      </c>
      <c r="DJ426">
        <f>IF(DE426&lt;DF426,$A426,B_MAX+1)</f>
        <v>343</v>
      </c>
      <c r="DK426" s="13">
        <f>IF(DB426=1,$DB$35,$DB$36)</f>
        <v>0</v>
      </c>
      <c r="DL426" s="13">
        <f>OCC_DAYS*$DB$41*R_NF_2023-DD426*MCD_SHARE_FREED*R_WAIT_2023</f>
        <v>151980.48282209205</v>
      </c>
      <c r="DM426">
        <f>IF($A426&lt;=$DB$45,1,0)</f>
        <v>0</v>
      </c>
      <c r="EB426">
        <f>IF($EB$31&lt;=$EB$32,IF($A426&lt;=$EB$7,1,2),IF($A426&lt;=RUNG_BEDS_2,2,1))</f>
        <v>1</v>
      </c>
      <c r="EC426" s="5">
        <f>MIN(1,MAX(0,$EB$26-($A426-1)))</f>
        <v>0</v>
      </c>
      <c r="ED426" s="5">
        <f>$EB$25*(EC426+(1-EC426)*$EB$16)</f>
        <v>0.0</v>
      </c>
      <c r="EE426" s="13">
        <f>ED426*($EB$6+ACUTE_MARGIN)</f>
        <v>0.0</v>
      </c>
      <c r="EF426" s="13">
        <f>IF(EB426=1,$EB$31,$EB$32)</f>
        <v>152394.16214437486</v>
      </c>
      <c r="EG426" s="13">
        <f>EE426-EF426</f>
        <v>-152394.16214437486</v>
      </c>
      <c r="EH426" s="13">
        <f>EH425+EG426</f>
        <v>-14042226.98724822</v>
      </c>
      <c r="EI426">
        <f>IF(EH426=MAX($EH$83:$EH$483),$A426,0)</f>
        <v>0</v>
      </c>
      <c r="EJ426">
        <f>IF(EE426&lt;EF426,$A426,B_MAX+1)</f>
        <v>343</v>
      </c>
      <c r="EK426" s="13">
        <f>IF(EB426=1,$EB$35,$EB$36)</f>
        <v>0</v>
      </c>
      <c r="EL426" s="13">
        <f>OCC_DAYS*$EB$41*R_NF_2023-ED426*MCD_SHARE_FREED*R_WAIT_2023</f>
        <v>50660.16094069735</v>
      </c>
      <c r="EM426">
        <f>IF($A426&lt;=$EB$45,1,0)</f>
        <v>0</v>
      </c>
      <c r="FB426">
        <f>IF($FB$31&lt;=$FB$32,IF($A426&lt;=$FB$7,1,2),IF($A426&lt;=RUNG_BEDS_2,2,1))</f>
        <v>1</v>
      </c>
      <c r="FC426" s="5">
        <f>MIN(1,MAX(0,$FB$26-($A426-1)))</f>
        <v>0</v>
      </c>
      <c r="FD426" s="5">
        <f>$FB$25*(FC426+(1-FC426)*$FB$16)</f>
        <v>0.0</v>
      </c>
      <c r="FE426" s="13">
        <f>FD426*($FB$6+ACUTE_MARGIN)</f>
        <v>0.0</v>
      </c>
      <c r="FF426" s="13">
        <f>IF(FB426=1,$FB$31,$FB$32)</f>
        <v>156636.04979437485</v>
      </c>
      <c r="FG426" s="13">
        <f>FE426-FF426</f>
        <v>-156636.04979437485</v>
      </c>
      <c r="FH426" s="13">
        <f>FH425+FG426</f>
        <v>-15497194.451198323</v>
      </c>
      <c r="FI426">
        <f>IF(FH426=MAX($FH$83:$FH$483),$A426,0)</f>
        <v>0</v>
      </c>
      <c r="FJ426">
        <f>IF(FE426&lt;FF426,$A426,B_MAX+1)</f>
        <v>343</v>
      </c>
      <c r="FK426" s="13">
        <f>IF(FB426=1,$FB$35,$FB$36)</f>
        <v>0</v>
      </c>
      <c r="FL426" s="13">
        <f>OCC_DAYS*$FB$41*R_NF_2023-FD426*MCD_SHARE_FREED*R_WAIT_2023</f>
        <v>151980.48282209205</v>
      </c>
      <c r="FM426">
        <f>IF($A426&lt;=$FB$45,1,0)</f>
        <v>0</v>
      </c>
      <c r="GB426">
        <f>IF($GB$31&lt;=$GB$32,IF($A426&lt;=$GB$7,1,2),IF($A426&lt;=RUNG_BEDS_2,2,1))</f>
        <v>1</v>
      </c>
      <c r="GC426" s="5">
        <f>MIN(1,MAX(0,$GB$26-($A426-1)))</f>
        <v>0</v>
      </c>
      <c r="GD426" s="5">
        <f>$GB$25*(GC426+(1-GC426)*$GB$16)</f>
        <v>0.0</v>
      </c>
      <c r="GE426" s="13">
        <f>GD426*($GB$6+ACUTE_MARGIN)</f>
        <v>0.0</v>
      </c>
      <c r="GF426" s="13">
        <f>IF(GB426=1,$GB$31,$GB$32)</f>
        <v>152394.16214437486</v>
      </c>
      <c r="GG426" s="13">
        <f>GE426-GF426</f>
        <v>-152394.16214437486</v>
      </c>
      <c r="GH426" s="13">
        <f>GH425+GG426</f>
        <v>-14042226.98724822</v>
      </c>
      <c r="GI426">
        <f>IF(GH426=MAX($GH$83:$GH$483),$A426,0)</f>
        <v>0</v>
      </c>
      <c r="GJ426">
        <f>IF(GE426&lt;GF426,$A426,B_MAX+1)</f>
        <v>343</v>
      </c>
      <c r="GK426" s="13">
        <f>IF(GB426=1,$GB$35,$GB$36)</f>
        <v>0</v>
      </c>
      <c r="GL426" s="13">
        <f>OCC_DAYS*$GB$41*R_NF_2023-GD426*MCD_SHARE_FREED*R_WAIT_2023</f>
        <v>151980.48282209205</v>
      </c>
      <c r="GM426">
        <f>IF($A426&lt;=$GB$45,1,0)</f>
        <v>0</v>
      </c>
      <c r="HB426">
        <f>IF($HB$31&lt;=$HB$32,IF($A426&lt;=$HB$7,1,2),IF($A426&lt;=RUNG_BEDS_2,2,1))</f>
        <v>1</v>
      </c>
      <c r="HC426" s="5">
        <f>MIN(1,MAX(0,$HB$26-($A426-1)))</f>
        <v>0</v>
      </c>
      <c r="HD426" s="5">
        <f>$HB$25*(HC426+(1-HC426)*$HB$16)</f>
        <v>0.0</v>
      </c>
      <c r="HE426" s="13">
        <f>HD426*($HB$6+ACUTE_MARGIN)</f>
        <v>0.0</v>
      </c>
      <c r="HF426" s="13">
        <f>IF(HB426=1,$HB$31,$HB$32)</f>
        <v>152456.2970814058</v>
      </c>
      <c r="HG426" s="13">
        <f>HE426-HF426</f>
        <v>-152456.2970814058</v>
      </c>
      <c r="HH426" s="13">
        <f>HH425+HG426</f>
        <v>-14063539.270649886</v>
      </c>
      <c r="HI426">
        <f>IF(HH426=MAX($HH$83:$HH$483),$A426,0)</f>
        <v>0</v>
      </c>
      <c r="HJ426">
        <f>IF(HE426&lt;HF426,$A426,B_MAX+1)</f>
        <v>343</v>
      </c>
      <c r="HK426" s="13">
        <f>IF(HB426=1,$HB$35,$HB$36)</f>
        <v>0</v>
      </c>
      <c r="HL426" s="13">
        <f>OCC_DAYS*$HB$41*R_NF_2023-HD426*MCD_SHARE_FREED*R_WAIT_2023</f>
        <v>151980.48282209205</v>
      </c>
      <c r="HM426">
        <f>IF($A426&lt;=$HB$45,1,0)</f>
        <v>0</v>
      </c>
      <c r="IB426">
        <f>IF($IB$31&lt;=$IB$32,IF($A426&lt;=$IB$7,1,2),IF($A426&lt;=RUNG_BEDS_2,2,1))</f>
        <v>1</v>
      </c>
      <c r="IC426" s="5">
        <f>MIN(1,MAX(0,$IB$26-($A426-1)))</f>
        <v>0</v>
      </c>
      <c r="ID426" s="5">
        <f>$IB$25*(IC426+(1-IC426)*$IB$16)</f>
        <v>0.0</v>
      </c>
      <c r="IE426" s="13">
        <f>ID426*($IB$6+ACUTE_MARGIN)</f>
        <v>0.0</v>
      </c>
      <c r="IF426" s="13">
        <f>IF(IB426=1,$IB$31,$IB$32)</f>
        <v>152734.9994534971</v>
      </c>
      <c r="IG426" s="13">
        <f>IE426-IF426</f>
        <v>-152734.9994534971</v>
      </c>
      <c r="IH426" s="13">
        <f>IH425+IG426</f>
        <v>-14159134.184277229</v>
      </c>
      <c r="II426">
        <f>IF(IH426=MAX($IH$83:$IH$483),$A426,0)</f>
        <v>0</v>
      </c>
      <c r="IJ426">
        <f>IF(IE426&lt;IF426,$A426,B_MAX+1)</f>
        <v>343</v>
      </c>
      <c r="IK426" s="13">
        <f>IF(IB426=1,$IB$35,$IB$36)</f>
        <v>0</v>
      </c>
      <c r="IL426" s="13">
        <f>OCC_DAYS*$IB$41*R_NF_2023-ID426*MCD_SHARE_FREED*R_WAIT_2023</f>
        <v>151980.48282209205</v>
      </c>
      <c r="IM426">
        <f>IF($A426&lt;=$IB$45,1,0)</f>
        <v>0</v>
      </c>
      <c r="JB426">
        <f>IF($JB$31&lt;=$JB$32,IF($A426&lt;=$JB$7,1,2),IF($A426&lt;=RUNG_BEDS_2,2,1))</f>
        <v>1</v>
      </c>
      <c r="JC426" s="5">
        <f>MIN(1,MAX(0,$JB$26-($A426-1)))</f>
        <v>0</v>
      </c>
      <c r="JD426" s="5">
        <f>$JB$25*(JC426+(1-JC426)*$JB$16)</f>
        <v>0.0</v>
      </c>
      <c r="JE426" s="13">
        <f>JD426*($JB$6+ACUTE_MARGIN)</f>
        <v>0.0</v>
      </c>
      <c r="JF426" s="13">
        <f>IF(JB426=1,$JB$31,$JB$32)</f>
        <v>152394.16214437486</v>
      </c>
      <c r="JG426" s="13">
        <f>JE426-JF426</f>
        <v>-152394.16214437486</v>
      </c>
      <c r="JH426" s="13">
        <f>JH425+JG426</f>
        <v>-14042226.98724822</v>
      </c>
      <c r="JI426">
        <f>IF(JH426=MAX($JH$83:$JH$483),$A426,0)</f>
        <v>0</v>
      </c>
      <c r="JJ426">
        <f>IF(JE426&lt;JF426,$A426,B_MAX+1)</f>
        <v>343</v>
      </c>
      <c r="JK426" s="13">
        <f>IF(JB426=1,$JB$35,$JB$36)</f>
        <v>0</v>
      </c>
      <c r="JL426" s="13">
        <f>OCC_DAYS*$JB$41*R_NF_2023-JD426*MCD_SHARE_FREED*R_WAIT_2023</f>
        <v>151980.48282209205</v>
      </c>
      <c r="JM426">
        <f>IF($A426&lt;=$JB$45,1,0)</f>
        <v>0</v>
      </c>
      <c r="KB426">
        <f>IF($KB$31&lt;=$KB$32,IF($A426&lt;=$KB$7,1,2),IF($A426&lt;=RUNG_BEDS_2,2,1))</f>
        <v>1</v>
      </c>
      <c r="KC426" s="5">
        <f>MIN(1,MAX(0,$KB$26-($A426-1)))</f>
        <v>0</v>
      </c>
      <c r="KD426" s="5">
        <f>$KB$25*(KC426+(1-KC426)*$KB$16)</f>
        <v>0.0</v>
      </c>
      <c r="KE426" s="13">
        <f>KD426*($KB$6+ACUTE_MARGIN)</f>
        <v>0.0</v>
      </c>
      <c r="KF426" s="13">
        <f>IF(KB426=1,$KB$31,$KB$32)</f>
        <v>152394.16214437486</v>
      </c>
      <c r="KG426" s="13">
        <f>KE426-KF426</f>
        <v>-152394.16214437486</v>
      </c>
      <c r="KH426" s="13">
        <f>KH425+KG426</f>
        <v>-14042226.987248326</v>
      </c>
      <c r="KI426">
        <f>IF(KH426=MAX($KH$83:$KH$483),$A426,0)</f>
        <v>0</v>
      </c>
      <c r="KJ426">
        <f>IF(KE426&lt;KF426,$A426,B_MAX+1)</f>
        <v>343</v>
      </c>
      <c r="KK426" s="13">
        <f>IF(KB426=1,$KB$35,$KB$36)</f>
        <v>0</v>
      </c>
      <c r="KL426" s="13">
        <f>OCC_DAYS*$KB$41*R_NF_2023-KD426*MCD_SHARE_FREED*R_WAIT_2023</f>
        <v>151980.48282209205</v>
      </c>
      <c r="KM426">
        <f>IF($A426&lt;=$KB$45,1,0)</f>
        <v>0</v>
      </c>
      <c r="LB426">
        <f>IF($LB$31&lt;=$LB$32,IF($A426&lt;=$LB$7,1,2),IF($A426&lt;=RUNG_BEDS_2,2,1))</f>
        <v>1</v>
      </c>
      <c r="LC426" s="5">
        <f>MIN(1,MAX(0,$LB$26-($A426-1)))</f>
        <v>1</v>
      </c>
      <c r="LD426" s="5">
        <f>$LB$25*(LC426+(1-LC426)*$LB$16)</f>
        <v>84.01774238227146</v>
      </c>
      <c r="LE426" s="13">
        <f>LD426*($LB$6+ACUTE_MARGIN)</f>
        <v>84857.91980609419</v>
      </c>
      <c r="LF426" s="13">
        <f>IF(LB426=1,$LB$31,$LB$32)</f>
        <v>152394.16214437486</v>
      </c>
      <c r="LG426" s="13">
        <f>LE426-LF426</f>
        <v>-67536.24233828067</v>
      </c>
      <c r="LH426" s="13">
        <f>LH425+LG426</f>
        <v>-23164931.122030396</v>
      </c>
      <c r="LI426">
        <f>IF(LH426=MAX($LH$83:$LH$483),$A426,0)</f>
        <v>0</v>
      </c>
      <c r="LJ426">
        <f>IF(LE426&lt;LF426,$A426,B_MAX+1)</f>
        <v>343</v>
      </c>
      <c r="LK426" s="13">
        <f>IF(LB426=1,$LB$35,$LB$36)</f>
        <v>0</v>
      </c>
      <c r="LL426" s="13">
        <f>OCC_DAYS*$LB$41*R_NF_2023-LD426*MCD_SHARE_FREED*R_WAIT_2023</f>
        <v>113776.04162887059</v>
      </c>
      <c r="LM426">
        <f>IF($A426&lt;=$LB$45,1,0)</f>
        <v>0</v>
      </c>
      <c r="MB426">
        <f>IF($MB$31&lt;=$MB$32,IF($A426&lt;=$MB$7,1,2),IF($A426&lt;=RUNG_BEDS_2,2,1))</f>
        <v>1</v>
      </c>
      <c r="MC426" s="5">
        <f>MIN(1,MAX(0,$MB$26-($A426-1)))</f>
        <v>0</v>
      </c>
      <c r="MD426" s="5">
        <f>$MB$25*(MC426+(1-MC426)*$MB$16)</f>
        <v>0.0</v>
      </c>
      <c r="ME426" s="13">
        <f>MD426*($MB$6+ACUTE_MARGIN)</f>
        <v>0.0</v>
      </c>
      <c r="MF426" s="13">
        <f>IF(MB426=1,$MB$31,$MB$32)</f>
        <v>152394.16214437486</v>
      </c>
      <c r="MG426" s="13">
        <f>ME426-MF426</f>
        <v>-152394.16214437486</v>
      </c>
      <c r="MH426" s="13">
        <f>MH425+MG426</f>
        <v>-19929503.04904652</v>
      </c>
      <c r="MI426">
        <f>IF(MH426=MAX($MH$83:$MH$483),$A426,0)</f>
        <v>0</v>
      </c>
      <c r="MJ426">
        <f>IF(ME426&lt;MF426,$A426,B_MAX+1)</f>
        <v>343</v>
      </c>
      <c r="MK426" s="13">
        <f>IF(MB426=1,$MB$35,$MB$36)</f>
        <v>0</v>
      </c>
      <c r="ML426" s="13">
        <f>OCC_DAYS*$MB$41*R_NF_2023-MD426*MCD_SHARE_FREED*R_WAIT_2023</f>
        <v>151980.48282209205</v>
      </c>
      <c r="MM426">
        <f>IF($A426&lt;=$MB$45,1,0)</f>
        <v>0</v>
      </c>
      <c r="NB426">
        <f>IF($NB$31&lt;=$NB$32,IF($A426&lt;=$NB$7,1,2),IF($A426&lt;=RUNG_BEDS_2,2,1))</f>
        <v>1</v>
      </c>
      <c r="NC426" s="5">
        <f>MIN(1,MAX(0,$NB$26-($A426-1)))</f>
        <v>0</v>
      </c>
      <c r="ND426" s="5">
        <f>$NB$25*(NC426+(1-NC426)*$NB$16)</f>
        <v>63.013306786703595</v>
      </c>
      <c r="NE426" s="13">
        <f>ND426*($NB$6+ACUTE_MARGIN)</f>
        <v>63643.43985457063</v>
      </c>
      <c r="NF426" s="13">
        <f>IF(NB426=1,$NB$31,$NB$32)</f>
        <v>152394.16214437486</v>
      </c>
      <c r="NG426" s="13">
        <f>NE426-NF426</f>
        <v>-88750.72228980422</v>
      </c>
      <c r="NH426" s="13">
        <f>NH425+NG426</f>
        <v>-1769769.774198625</v>
      </c>
      <c r="NI426">
        <f>IF(NH426=MAX($NH$83:$NH$483),$A426,0)</f>
        <v>0</v>
      </c>
      <c r="NJ426">
        <f>IF(NE426&lt;NF426,$A426,B_MAX+1)</f>
        <v>343</v>
      </c>
      <c r="NK426" s="13">
        <f>IF(NB426=1,$NB$35,$NB$36)</f>
        <v>0</v>
      </c>
      <c r="NL426" s="13">
        <f>OCC_DAYS*$NB$41*R_NF_2023-ND426*MCD_SHARE_FREED*R_WAIT_2023</f>
        <v>123327.15192717595</v>
      </c>
      <c r="NM426">
        <f>IF($A426&lt;=$NB$45,1,0)</f>
        <v>0</v>
      </c>
      <c r="OB426">
        <f>IF($OB$31&lt;=$OB$32,IF($A426&lt;=$OB$7,1,2),IF($A426&lt;=RUNG_BEDS_2,2,1))</f>
        <v>1</v>
      </c>
      <c r="OC426" s="5">
        <f>MIN(1,MAX(0,$OB$26-($A426-1)))</f>
        <v>0</v>
      </c>
      <c r="OD426" s="5">
        <f>$OB$25*(OC426+(1-OC426)*$OB$16)</f>
        <v>126.02661357340719</v>
      </c>
      <c r="OE426" s="13">
        <f>OD426*($OB$6+ACUTE_MARGIN)</f>
        <v>127286.87970914126</v>
      </c>
      <c r="OF426" s="13">
        <f>IF(OB426=1,$OB$31,$OB$32)</f>
        <v>152394.16214437486</v>
      </c>
      <c r="OG426" s="13">
        <f>OE426-OF426</f>
        <v>-25107.282435233603</v>
      </c>
      <c r="OH426" s="13">
        <f>OH425+OG426</f>
        <v>10502687.438851217</v>
      </c>
      <c r="OI426">
        <f>IF(OH426=MAX($OH$83:$OH$483),$A426,0)</f>
        <v>0</v>
      </c>
      <c r="OJ426">
        <f>IF(OE426&lt;OF426,$A426,B_MAX+1)</f>
        <v>343</v>
      </c>
      <c r="OK426" s="13">
        <f>IF(OB426=1,$OB$35,$OB$36)</f>
        <v>0</v>
      </c>
      <c r="OL426" s="13">
        <f>OCC_DAYS*$OB$41*R_NF_2023-OD426*MCD_SHARE_FREED*R_WAIT_2023</f>
        <v>94673.82103225985</v>
      </c>
      <c r="OM426">
        <f>IF($A426&lt;=$OB$45,1,0)</f>
        <v>0</v>
      </c>
    </row>
    <row r="427">
      <c r="A427" t="n">
        <v>344</v>
      </c>
      <c r="B427">
        <f>IF($B$31&lt;=$B$32,IF($A427&lt;=$B$7,1,2),IF($A427&lt;=RUNG_BEDS_2,2,1))</f>
        <v>1</v>
      </c>
      <c r="C427" s="5">
        <f>MIN(1,MAX(0,$B$26-($A427-1)))</f>
        <v>0</v>
      </c>
      <c r="D427" s="5">
        <f>$B$25*(C427+(1-C427)*$B$16)</f>
        <v>0.0</v>
      </c>
      <c r="E427" s="13">
        <f>D427*($B$6+ACUTE_MARGIN)</f>
        <v>0.0</v>
      </c>
      <c r="F427" s="13">
        <f>IF(B427=1,$B$31,$B$32)</f>
        <v>152394.16214437486</v>
      </c>
      <c r="G427" s="13">
        <f>E427-F427</f>
        <v>-152394.16214437486</v>
      </c>
      <c r="H427" s="13">
        <f>H426+G427</f>
        <v>-14194621.149392594</v>
      </c>
      <c r="I427">
        <f>IF(H427=MAX($H$83:$H$483),$A427,0)</f>
        <v>0</v>
      </c>
      <c r="J427">
        <f>IF(E427&lt;F427,$A427,B_MAX+1)</f>
        <v>344</v>
      </c>
      <c r="K427" s="13">
        <f>IF(B427=1,$B$35,$B$36)</f>
        <v>0</v>
      </c>
      <c r="L427" s="13">
        <f>OCC_DAYS*$B$41*R_NF_2023-D427*MCD_SHARE_FREED*R_WAIT_2023</f>
        <v>151980.48282209205</v>
      </c>
      <c r="M427">
        <f>IF($A427&lt;=$B$45,1,0)</f>
        <v>0</v>
      </c>
      <c r="AB427">
        <f>IF($AB$31&lt;=$AB$32,IF($A427&lt;=$AB$7,1,2),IF($A427&lt;=RUNG_BEDS_2,2,1))</f>
        <v>1</v>
      </c>
      <c r="AC427" s="5">
        <f>MIN(1,MAX(0,$AB$26-($A427-1)))</f>
        <v>0</v>
      </c>
      <c r="AD427" s="5">
        <f>$AB$25*(AC427+(1-AC427)*$AB$16)</f>
        <v>0.0</v>
      </c>
      <c r="AE427" s="13">
        <f>AD427*($AB$6+ACUTE_MARGIN)</f>
        <v>0.0</v>
      </c>
      <c r="AF427" s="13">
        <f>IF(AB427=1,$AB$31,$AB$32)</f>
        <v>152394.16214437486</v>
      </c>
      <c r="AG427" s="13">
        <f>AE427-AF427</f>
        <v>-152394.16214437486</v>
      </c>
      <c r="AH427" s="13">
        <f>AH426+AG427</f>
        <v>-31605835.49494233</v>
      </c>
      <c r="AI427">
        <f>IF(AH427=MAX($AH$83:$AH$483),$A427,0)</f>
        <v>0</v>
      </c>
      <c r="AJ427">
        <f>IF(AE427&lt;AF427,$A427,B_MAX+1)</f>
        <v>344</v>
      </c>
      <c r="AK427" s="13">
        <f>IF(AB427=1,$AB$35,$AB$36)</f>
        <v>0</v>
      </c>
      <c r="AL427" s="13">
        <f>OCC_DAYS*$AB$41*R_NF_2023-AD427*MCD_SHARE_FREED*R_WAIT_2023</f>
        <v>151980.48282209205</v>
      </c>
      <c r="AM427">
        <f>IF($A427&lt;=$AB$45,1,0)</f>
        <v>0</v>
      </c>
      <c r="BB427">
        <f>IF($BB$31&lt;=$BB$32,IF($A427&lt;=$BB$7,1,2),IF($A427&lt;=RUNG_BEDS_2,2,1))</f>
        <v>1</v>
      </c>
      <c r="BC427" s="5">
        <f>MIN(1,MAX(0,$BB$26-($A427-1)))</f>
        <v>0</v>
      </c>
      <c r="BD427" s="5">
        <f>$BB$25*(BC427+(1-BC427)*$BB$16)</f>
        <v>0.0</v>
      </c>
      <c r="BE427" s="13">
        <f>BD427*($BB$6+ACUTE_MARGIN)</f>
        <v>0.0</v>
      </c>
      <c r="BF427" s="13">
        <f>IF(BB427=1,$BB$31,$BB$32)</f>
        <v>152394.16214437486</v>
      </c>
      <c r="BG427" s="13">
        <f>BE427-BF427</f>
        <v>-152394.16214437486</v>
      </c>
      <c r="BH427" s="13">
        <f>BH426+BG427</f>
        <v>3216593.196157133</v>
      </c>
      <c r="BI427">
        <f>IF(BH427=MAX($BH$83:$BH$483),$A427,0)</f>
        <v>0</v>
      </c>
      <c r="BJ427">
        <f>IF(BE427&lt;BF427,$A427,B_MAX+1)</f>
        <v>344</v>
      </c>
      <c r="BK427" s="13">
        <f>IF(BB427=1,$BB$35,$BB$36)</f>
        <v>0</v>
      </c>
      <c r="BL427" s="13">
        <f>OCC_DAYS*$BB$41*R_NF_2023-BD427*MCD_SHARE_FREED*R_WAIT_2023</f>
        <v>151980.48282209205</v>
      </c>
      <c r="BM427">
        <f>IF($A427&lt;=$BB$45,1,0)</f>
        <v>0</v>
      </c>
      <c r="CB427">
        <f>IF($CB$31&lt;=$CB$32,IF($A427&lt;=$CB$7,1,2),IF($A427&lt;=RUNG_BEDS_2,2,1))</f>
        <v>2</v>
      </c>
      <c r="CC427" s="5">
        <f>MIN(1,MAX(0,$CB$26-($A427-1)))</f>
        <v>0</v>
      </c>
      <c r="CD427" s="5">
        <f>$CB$25*(CC427+(1-CC427)*$CB$16)</f>
        <v>0.0</v>
      </c>
      <c r="CE427" s="13">
        <f>CD427*($CB$6+ACUTE_MARGIN)</f>
        <v>0.0</v>
      </c>
      <c r="CF427" s="13">
        <f>IF(CB427=1,$CB$31,$CB$32)</f>
        <v>160718.36940738867</v>
      </c>
      <c r="CG427" s="13">
        <f>CE427-CF427</f>
        <v>-160718.36940738867</v>
      </c>
      <c r="CH427" s="13">
        <f>CH426+CG427</f>
        <v>-17058148.44786951</v>
      </c>
      <c r="CI427">
        <f>IF(CH427=MAX($CH$83:$CH$483),$A427,0)</f>
        <v>0</v>
      </c>
      <c r="CJ427">
        <f>IF(CE427&lt;CF427,$A427,B_MAX+1)</f>
        <v>344</v>
      </c>
      <c r="CK427" s="13">
        <f>IF(CB427=1,$CB$35,$CB$36)</f>
        <v>1560.1194073886782</v>
      </c>
      <c r="CL427" s="13">
        <f>OCC_DAYS*$CB$41*R_NF_2023-CD427*MCD_SHARE_FREED*R_WAIT_2023</f>
        <v>151980.48282209205</v>
      </c>
      <c r="CM427">
        <f>IF($A427&lt;=$CB$45,1,0)</f>
        <v>0</v>
      </c>
      <c r="DB427">
        <f>IF($DB$31&lt;=$DB$32,IF($A427&lt;=$DB$7,1,2),IF($A427&lt;=RUNG_BEDS_2,2,1))</f>
        <v>1</v>
      </c>
      <c r="DC427" s="5">
        <f>MIN(1,MAX(0,$DB$26-($A427-1)))</f>
        <v>0</v>
      </c>
      <c r="DD427" s="5">
        <f>$DB$25*(DC427+(1-DC427)*$DB$16)</f>
        <v>0.0</v>
      </c>
      <c r="DE427" s="13">
        <f>DD427*($DB$6+ACUTE_MARGIN)</f>
        <v>0.0</v>
      </c>
      <c r="DF427" s="13">
        <f>IF(DB427=1,$DB$31,$DB$32)</f>
        <v>152394.16214437486</v>
      </c>
      <c r="DG427" s="13">
        <f>DE427-DF427</f>
        <v>-152394.16214437486</v>
      </c>
      <c r="DH427" s="13">
        <f>DH426+DG427</f>
        <v>-14194621.149392594</v>
      </c>
      <c r="DI427">
        <f>IF(DH427=MAX($DH$83:$DH$483),$A427,0)</f>
        <v>0</v>
      </c>
      <c r="DJ427">
        <f>IF(DE427&lt;DF427,$A427,B_MAX+1)</f>
        <v>344</v>
      </c>
      <c r="DK427" s="13">
        <f>IF(DB427=1,$DB$35,$DB$36)</f>
        <v>0</v>
      </c>
      <c r="DL427" s="13">
        <f>OCC_DAYS*$DB$41*R_NF_2023-DD427*MCD_SHARE_FREED*R_WAIT_2023</f>
        <v>151980.48282209205</v>
      </c>
      <c r="DM427">
        <f>IF($A427&lt;=$DB$45,1,0)</f>
        <v>0</v>
      </c>
      <c r="EB427">
        <f>IF($EB$31&lt;=$EB$32,IF($A427&lt;=$EB$7,1,2),IF($A427&lt;=RUNG_BEDS_2,2,1))</f>
        <v>1</v>
      </c>
      <c r="EC427" s="5">
        <f>MIN(1,MAX(0,$EB$26-($A427-1)))</f>
        <v>0</v>
      </c>
      <c r="ED427" s="5">
        <f>$EB$25*(EC427+(1-EC427)*$EB$16)</f>
        <v>0.0</v>
      </c>
      <c r="EE427" s="13">
        <f>ED427*($EB$6+ACUTE_MARGIN)</f>
        <v>0.0</v>
      </c>
      <c r="EF427" s="13">
        <f>IF(EB427=1,$EB$31,$EB$32)</f>
        <v>152394.16214437486</v>
      </c>
      <c r="EG427" s="13">
        <f>EE427-EF427</f>
        <v>-152394.16214437486</v>
      </c>
      <c r="EH427" s="13">
        <f>EH426+EG427</f>
        <v>-14194621.149392594</v>
      </c>
      <c r="EI427">
        <f>IF(EH427=MAX($EH$83:$EH$483),$A427,0)</f>
        <v>0</v>
      </c>
      <c r="EJ427">
        <f>IF(EE427&lt;EF427,$A427,B_MAX+1)</f>
        <v>344</v>
      </c>
      <c r="EK427" s="13">
        <f>IF(EB427=1,$EB$35,$EB$36)</f>
        <v>0</v>
      </c>
      <c r="EL427" s="13">
        <f>OCC_DAYS*$EB$41*R_NF_2023-ED427*MCD_SHARE_FREED*R_WAIT_2023</f>
        <v>50660.16094069735</v>
      </c>
      <c r="EM427">
        <f>IF($A427&lt;=$EB$45,1,0)</f>
        <v>0</v>
      </c>
      <c r="FB427">
        <f>IF($FB$31&lt;=$FB$32,IF($A427&lt;=$FB$7,1,2),IF($A427&lt;=RUNG_BEDS_2,2,1))</f>
        <v>1</v>
      </c>
      <c r="FC427" s="5">
        <f>MIN(1,MAX(0,$FB$26-($A427-1)))</f>
        <v>0</v>
      </c>
      <c r="FD427" s="5">
        <f>$FB$25*(FC427+(1-FC427)*$FB$16)</f>
        <v>0.0</v>
      </c>
      <c r="FE427" s="13">
        <f>FD427*($FB$6+ACUTE_MARGIN)</f>
        <v>0.0</v>
      </c>
      <c r="FF427" s="13">
        <f>IF(FB427=1,$FB$31,$FB$32)</f>
        <v>156636.04979437485</v>
      </c>
      <c r="FG427" s="13">
        <f>FE427-FF427</f>
        <v>-156636.04979437485</v>
      </c>
      <c r="FH427" s="13">
        <f>FH426+FG427</f>
        <v>-15653830.500992697</v>
      </c>
      <c r="FI427">
        <f>IF(FH427=MAX($FH$83:$FH$483),$A427,0)</f>
        <v>0</v>
      </c>
      <c r="FJ427">
        <f>IF(FE427&lt;FF427,$A427,B_MAX+1)</f>
        <v>344</v>
      </c>
      <c r="FK427" s="13">
        <f>IF(FB427=1,$FB$35,$FB$36)</f>
        <v>0</v>
      </c>
      <c r="FL427" s="13">
        <f>OCC_DAYS*$FB$41*R_NF_2023-FD427*MCD_SHARE_FREED*R_WAIT_2023</f>
        <v>151980.48282209205</v>
      </c>
      <c r="FM427">
        <f>IF($A427&lt;=$FB$45,1,0)</f>
        <v>0</v>
      </c>
      <c r="GB427">
        <f>IF($GB$31&lt;=$GB$32,IF($A427&lt;=$GB$7,1,2),IF($A427&lt;=RUNG_BEDS_2,2,1))</f>
        <v>1</v>
      </c>
      <c r="GC427" s="5">
        <f>MIN(1,MAX(0,$GB$26-($A427-1)))</f>
        <v>0</v>
      </c>
      <c r="GD427" s="5">
        <f>$GB$25*(GC427+(1-GC427)*$GB$16)</f>
        <v>0.0</v>
      </c>
      <c r="GE427" s="13">
        <f>GD427*($GB$6+ACUTE_MARGIN)</f>
        <v>0.0</v>
      </c>
      <c r="GF427" s="13">
        <f>IF(GB427=1,$GB$31,$GB$32)</f>
        <v>152394.16214437486</v>
      </c>
      <c r="GG427" s="13">
        <f>GE427-GF427</f>
        <v>-152394.16214437486</v>
      </c>
      <c r="GH427" s="13">
        <f>GH426+GG427</f>
        <v>-14194621.149392594</v>
      </c>
      <c r="GI427">
        <f>IF(GH427=MAX($GH$83:$GH$483),$A427,0)</f>
        <v>0</v>
      </c>
      <c r="GJ427">
        <f>IF(GE427&lt;GF427,$A427,B_MAX+1)</f>
        <v>344</v>
      </c>
      <c r="GK427" s="13">
        <f>IF(GB427=1,$GB$35,$GB$36)</f>
        <v>0</v>
      </c>
      <c r="GL427" s="13">
        <f>OCC_DAYS*$GB$41*R_NF_2023-GD427*MCD_SHARE_FREED*R_WAIT_2023</f>
        <v>151980.48282209205</v>
      </c>
      <c r="GM427">
        <f>IF($A427&lt;=$GB$45,1,0)</f>
        <v>0</v>
      </c>
      <c r="HB427">
        <f>IF($HB$31&lt;=$HB$32,IF($A427&lt;=$HB$7,1,2),IF($A427&lt;=RUNG_BEDS_2,2,1))</f>
        <v>1</v>
      </c>
      <c r="HC427" s="5">
        <f>MIN(1,MAX(0,$HB$26-($A427-1)))</f>
        <v>0</v>
      </c>
      <c r="HD427" s="5">
        <f>$HB$25*(HC427+(1-HC427)*$HB$16)</f>
        <v>0.0</v>
      </c>
      <c r="HE427" s="13">
        <f>HD427*($HB$6+ACUTE_MARGIN)</f>
        <v>0.0</v>
      </c>
      <c r="HF427" s="13">
        <f>IF(HB427=1,$HB$31,$HB$32)</f>
        <v>152456.2970814058</v>
      </c>
      <c r="HG427" s="13">
        <f>HE427-HF427</f>
        <v>-152456.2970814058</v>
      </c>
      <c r="HH427" s="13">
        <f>HH426+HG427</f>
        <v>-14215995.567731291</v>
      </c>
      <c r="HI427">
        <f>IF(HH427=MAX($HH$83:$HH$483),$A427,0)</f>
        <v>0</v>
      </c>
      <c r="HJ427">
        <f>IF(HE427&lt;HF427,$A427,B_MAX+1)</f>
        <v>344</v>
      </c>
      <c r="HK427" s="13">
        <f>IF(HB427=1,$HB$35,$HB$36)</f>
        <v>0</v>
      </c>
      <c r="HL427" s="13">
        <f>OCC_DAYS*$HB$41*R_NF_2023-HD427*MCD_SHARE_FREED*R_WAIT_2023</f>
        <v>151980.48282209205</v>
      </c>
      <c r="HM427">
        <f>IF($A427&lt;=$HB$45,1,0)</f>
        <v>0</v>
      </c>
      <c r="IB427">
        <f>IF($IB$31&lt;=$IB$32,IF($A427&lt;=$IB$7,1,2),IF($A427&lt;=RUNG_BEDS_2,2,1))</f>
        <v>1</v>
      </c>
      <c r="IC427" s="5">
        <f>MIN(1,MAX(0,$IB$26-($A427-1)))</f>
        <v>0</v>
      </c>
      <c r="ID427" s="5">
        <f>$IB$25*(IC427+(1-IC427)*$IB$16)</f>
        <v>0.0</v>
      </c>
      <c r="IE427" s="13">
        <f>ID427*($IB$6+ACUTE_MARGIN)</f>
        <v>0.0</v>
      </c>
      <c r="IF427" s="13">
        <f>IF(IB427=1,$IB$31,$IB$32)</f>
        <v>152734.9994534971</v>
      </c>
      <c r="IG427" s="13">
        <f>IE427-IF427</f>
        <v>-152734.9994534971</v>
      </c>
      <c r="IH427" s="13">
        <f>IH426+IG427</f>
        <v>-14311869.183730725</v>
      </c>
      <c r="II427">
        <f>IF(IH427=MAX($IH$83:$IH$483),$A427,0)</f>
        <v>0</v>
      </c>
      <c r="IJ427">
        <f>IF(IE427&lt;IF427,$A427,B_MAX+1)</f>
        <v>344</v>
      </c>
      <c r="IK427" s="13">
        <f>IF(IB427=1,$IB$35,$IB$36)</f>
        <v>0</v>
      </c>
      <c r="IL427" s="13">
        <f>OCC_DAYS*$IB$41*R_NF_2023-ID427*MCD_SHARE_FREED*R_WAIT_2023</f>
        <v>151980.48282209205</v>
      </c>
      <c r="IM427">
        <f>IF($A427&lt;=$IB$45,1,0)</f>
        <v>0</v>
      </c>
      <c r="JB427">
        <f>IF($JB$31&lt;=$JB$32,IF($A427&lt;=$JB$7,1,2),IF($A427&lt;=RUNG_BEDS_2,2,1))</f>
        <v>1</v>
      </c>
      <c r="JC427" s="5">
        <f>MIN(1,MAX(0,$JB$26-($A427-1)))</f>
        <v>0</v>
      </c>
      <c r="JD427" s="5">
        <f>$JB$25*(JC427+(1-JC427)*$JB$16)</f>
        <v>0.0</v>
      </c>
      <c r="JE427" s="13">
        <f>JD427*($JB$6+ACUTE_MARGIN)</f>
        <v>0.0</v>
      </c>
      <c r="JF427" s="13">
        <f>IF(JB427=1,$JB$31,$JB$32)</f>
        <v>152394.16214437486</v>
      </c>
      <c r="JG427" s="13">
        <f>JE427-JF427</f>
        <v>-152394.16214437486</v>
      </c>
      <c r="JH427" s="13">
        <f>JH426+JG427</f>
        <v>-14194621.149392594</v>
      </c>
      <c r="JI427">
        <f>IF(JH427=MAX($JH$83:$JH$483),$A427,0)</f>
        <v>0</v>
      </c>
      <c r="JJ427">
        <f>IF(JE427&lt;JF427,$A427,B_MAX+1)</f>
        <v>344</v>
      </c>
      <c r="JK427" s="13">
        <f>IF(JB427=1,$JB$35,$JB$36)</f>
        <v>0</v>
      </c>
      <c r="JL427" s="13">
        <f>OCC_DAYS*$JB$41*R_NF_2023-JD427*MCD_SHARE_FREED*R_WAIT_2023</f>
        <v>151980.48282209205</v>
      </c>
      <c r="JM427">
        <f>IF($A427&lt;=$JB$45,1,0)</f>
        <v>0</v>
      </c>
      <c r="KB427">
        <f>IF($KB$31&lt;=$KB$32,IF($A427&lt;=$KB$7,1,2),IF($A427&lt;=RUNG_BEDS_2,2,1))</f>
        <v>1</v>
      </c>
      <c r="KC427" s="5">
        <f>MIN(1,MAX(0,$KB$26-($A427-1)))</f>
        <v>0</v>
      </c>
      <c r="KD427" s="5">
        <f>$KB$25*(KC427+(1-KC427)*$KB$16)</f>
        <v>0.0</v>
      </c>
      <c r="KE427" s="13">
        <f>KD427*($KB$6+ACUTE_MARGIN)</f>
        <v>0.0</v>
      </c>
      <c r="KF427" s="13">
        <f>IF(KB427=1,$KB$31,$KB$32)</f>
        <v>152394.16214437486</v>
      </c>
      <c r="KG427" s="13">
        <f>KE427-KF427</f>
        <v>-152394.16214437486</v>
      </c>
      <c r="KH427" s="13">
        <f>KH426+KG427</f>
        <v>-14194621.1493927</v>
      </c>
      <c r="KI427">
        <f>IF(KH427=MAX($KH$83:$KH$483),$A427,0)</f>
        <v>0</v>
      </c>
      <c r="KJ427">
        <f>IF(KE427&lt;KF427,$A427,B_MAX+1)</f>
        <v>344</v>
      </c>
      <c r="KK427" s="13">
        <f>IF(KB427=1,$KB$35,$KB$36)</f>
        <v>0</v>
      </c>
      <c r="KL427" s="13">
        <f>OCC_DAYS*$KB$41*R_NF_2023-KD427*MCD_SHARE_FREED*R_WAIT_2023</f>
        <v>151980.48282209205</v>
      </c>
      <c r="KM427">
        <f>IF($A427&lt;=$KB$45,1,0)</f>
        <v>0</v>
      </c>
      <c r="LB427">
        <f>IF($LB$31&lt;=$LB$32,IF($A427&lt;=$LB$7,1,2),IF($A427&lt;=RUNG_BEDS_2,2,1))</f>
        <v>1</v>
      </c>
      <c r="LC427" s="5">
        <f>MIN(1,MAX(0,$LB$26-($A427-1)))</f>
        <v>1</v>
      </c>
      <c r="LD427" s="5">
        <f>$LB$25*(LC427+(1-LC427)*$LB$16)</f>
        <v>84.01774238227146</v>
      </c>
      <c r="LE427" s="13">
        <f>LD427*($LB$6+ACUTE_MARGIN)</f>
        <v>84857.91980609419</v>
      </c>
      <c r="LF427" s="13">
        <f>IF(LB427=1,$LB$31,$LB$32)</f>
        <v>152394.16214437486</v>
      </c>
      <c r="LG427" s="13">
        <f>LE427-LF427</f>
        <v>-67536.24233828067</v>
      </c>
      <c r="LH427" s="13">
        <f>LH426+LG427</f>
        <v>-23232467.364368677</v>
      </c>
      <c r="LI427">
        <f>IF(LH427=MAX($LH$83:$LH$483),$A427,0)</f>
        <v>0</v>
      </c>
      <c r="LJ427">
        <f>IF(LE427&lt;LF427,$A427,B_MAX+1)</f>
        <v>344</v>
      </c>
      <c r="LK427" s="13">
        <f>IF(LB427=1,$LB$35,$LB$36)</f>
        <v>0</v>
      </c>
      <c r="LL427" s="13">
        <f>OCC_DAYS*$LB$41*R_NF_2023-LD427*MCD_SHARE_FREED*R_WAIT_2023</f>
        <v>113776.04162887059</v>
      </c>
      <c r="LM427">
        <f>IF($A427&lt;=$LB$45,1,0)</f>
        <v>0</v>
      </c>
      <c r="MB427">
        <f>IF($MB$31&lt;=$MB$32,IF($A427&lt;=$MB$7,1,2),IF($A427&lt;=RUNG_BEDS_2,2,1))</f>
        <v>1</v>
      </c>
      <c r="MC427" s="5">
        <f>MIN(1,MAX(0,$MB$26-($A427-1)))</f>
        <v>0</v>
      </c>
      <c r="MD427" s="5">
        <f>$MB$25*(MC427+(1-MC427)*$MB$16)</f>
        <v>0.0</v>
      </c>
      <c r="ME427" s="13">
        <f>MD427*($MB$6+ACUTE_MARGIN)</f>
        <v>0.0</v>
      </c>
      <c r="MF427" s="13">
        <f>IF(MB427=1,$MB$31,$MB$32)</f>
        <v>152394.16214437486</v>
      </c>
      <c r="MG427" s="13">
        <f>ME427-MF427</f>
        <v>-152394.16214437486</v>
      </c>
      <c r="MH427" s="13">
        <f>MH426+MG427</f>
        <v>-20081897.211190894</v>
      </c>
      <c r="MI427">
        <f>IF(MH427=MAX($MH$83:$MH$483),$A427,0)</f>
        <v>0</v>
      </c>
      <c r="MJ427">
        <f>IF(ME427&lt;MF427,$A427,B_MAX+1)</f>
        <v>344</v>
      </c>
      <c r="MK427" s="13">
        <f>IF(MB427=1,$MB$35,$MB$36)</f>
        <v>0</v>
      </c>
      <c r="ML427" s="13">
        <f>OCC_DAYS*$MB$41*R_NF_2023-MD427*MCD_SHARE_FREED*R_WAIT_2023</f>
        <v>151980.48282209205</v>
      </c>
      <c r="MM427">
        <f>IF($A427&lt;=$MB$45,1,0)</f>
        <v>0</v>
      </c>
      <c r="NB427">
        <f>IF($NB$31&lt;=$NB$32,IF($A427&lt;=$NB$7,1,2),IF($A427&lt;=RUNG_BEDS_2,2,1))</f>
        <v>1</v>
      </c>
      <c r="NC427" s="5">
        <f>MIN(1,MAX(0,$NB$26-($A427-1)))</f>
        <v>0</v>
      </c>
      <c r="ND427" s="5">
        <f>$NB$25*(NC427+(1-NC427)*$NB$16)</f>
        <v>63.013306786703595</v>
      </c>
      <c r="NE427" s="13">
        <f>ND427*($NB$6+ACUTE_MARGIN)</f>
        <v>63643.43985457063</v>
      </c>
      <c r="NF427" s="13">
        <f>IF(NB427=1,$NB$31,$NB$32)</f>
        <v>152394.16214437486</v>
      </c>
      <c r="NG427" s="13">
        <f>NE427-NF427</f>
        <v>-88750.72228980422</v>
      </c>
      <c r="NH427" s="13">
        <f>NH426+NG427</f>
        <v>-1858520.4964884291</v>
      </c>
      <c r="NI427">
        <f>IF(NH427=MAX($NH$83:$NH$483),$A427,0)</f>
        <v>0</v>
      </c>
      <c r="NJ427">
        <f>IF(NE427&lt;NF427,$A427,B_MAX+1)</f>
        <v>344</v>
      </c>
      <c r="NK427" s="13">
        <f>IF(NB427=1,$NB$35,$NB$36)</f>
        <v>0</v>
      </c>
      <c r="NL427" s="13">
        <f>OCC_DAYS*$NB$41*R_NF_2023-ND427*MCD_SHARE_FREED*R_WAIT_2023</f>
        <v>123327.15192717595</v>
      </c>
      <c r="NM427">
        <f>IF($A427&lt;=$NB$45,1,0)</f>
        <v>0</v>
      </c>
      <c r="OB427">
        <f>IF($OB$31&lt;=$OB$32,IF($A427&lt;=$OB$7,1,2),IF($A427&lt;=RUNG_BEDS_2,2,1))</f>
        <v>1</v>
      </c>
      <c r="OC427" s="5">
        <f>MIN(1,MAX(0,$OB$26-($A427-1)))</f>
        <v>0</v>
      </c>
      <c r="OD427" s="5">
        <f>$OB$25*(OC427+(1-OC427)*$OB$16)</f>
        <v>126.02661357340719</v>
      </c>
      <c r="OE427" s="13">
        <f>OD427*($OB$6+ACUTE_MARGIN)</f>
        <v>127286.87970914126</v>
      </c>
      <c r="OF427" s="13">
        <f>IF(OB427=1,$OB$31,$OB$32)</f>
        <v>152394.16214437486</v>
      </c>
      <c r="OG427" s="13">
        <f>OE427-OF427</f>
        <v>-25107.282435233603</v>
      </c>
      <c r="OH427" s="13">
        <f>OH426+OG427</f>
        <v>10477580.156415984</v>
      </c>
      <c r="OI427">
        <f>IF(OH427=MAX($OH$83:$OH$483),$A427,0)</f>
        <v>0</v>
      </c>
      <c r="OJ427">
        <f>IF(OE427&lt;OF427,$A427,B_MAX+1)</f>
        <v>344</v>
      </c>
      <c r="OK427" s="13">
        <f>IF(OB427=1,$OB$35,$OB$36)</f>
        <v>0</v>
      </c>
      <c r="OL427" s="13">
        <f>OCC_DAYS*$OB$41*R_NF_2023-OD427*MCD_SHARE_FREED*R_WAIT_2023</f>
        <v>94673.82103225985</v>
      </c>
      <c r="OM427">
        <f>IF($A427&lt;=$OB$45,1,0)</f>
        <v>0</v>
      </c>
    </row>
    <row r="428">
      <c r="A428" t="n">
        <v>345</v>
      </c>
      <c r="B428">
        <f>IF($B$31&lt;=$B$32,IF($A428&lt;=$B$7,1,2),IF($A428&lt;=RUNG_BEDS_2,2,1))</f>
        <v>1</v>
      </c>
      <c r="C428" s="5">
        <f>MIN(1,MAX(0,$B$26-($A428-1)))</f>
        <v>0</v>
      </c>
      <c r="D428" s="5">
        <f>$B$25*(C428+(1-C428)*$B$16)</f>
        <v>0.0</v>
      </c>
      <c r="E428" s="13">
        <f>D428*($B$6+ACUTE_MARGIN)</f>
        <v>0.0</v>
      </c>
      <c r="F428" s="13">
        <f>IF(B428=1,$B$31,$B$32)</f>
        <v>152394.16214437486</v>
      </c>
      <c r="G428" s="13">
        <f>E428-F428</f>
        <v>-152394.16214437486</v>
      </c>
      <c r="H428" s="13">
        <f>H427+G428</f>
        <v>-14347015.311536968</v>
      </c>
      <c r="I428">
        <f>IF(H428=MAX($H$83:$H$483),$A428,0)</f>
        <v>0</v>
      </c>
      <c r="J428">
        <f>IF(E428&lt;F428,$A428,B_MAX+1)</f>
        <v>345</v>
      </c>
      <c r="K428" s="13">
        <f>IF(B428=1,$B$35,$B$36)</f>
        <v>0</v>
      </c>
      <c r="L428" s="13">
        <f>OCC_DAYS*$B$41*R_NF_2023-D428*MCD_SHARE_FREED*R_WAIT_2023</f>
        <v>151980.48282209205</v>
      </c>
      <c r="M428">
        <f>IF($A428&lt;=$B$45,1,0)</f>
        <v>0</v>
      </c>
      <c r="AB428">
        <f>IF($AB$31&lt;=$AB$32,IF($A428&lt;=$AB$7,1,2),IF($A428&lt;=RUNG_BEDS_2,2,1))</f>
        <v>1</v>
      </c>
      <c r="AC428" s="5">
        <f>MIN(1,MAX(0,$AB$26-($A428-1)))</f>
        <v>0</v>
      </c>
      <c r="AD428" s="5">
        <f>$AB$25*(AC428+(1-AC428)*$AB$16)</f>
        <v>0.0</v>
      </c>
      <c r="AE428" s="13">
        <f>AD428*($AB$6+ACUTE_MARGIN)</f>
        <v>0.0</v>
      </c>
      <c r="AF428" s="13">
        <f>IF(AB428=1,$AB$31,$AB$32)</f>
        <v>152394.16214437486</v>
      </c>
      <c r="AG428" s="13">
        <f>AE428-AF428</f>
        <v>-152394.16214437486</v>
      </c>
      <c r="AH428" s="13">
        <f>AH427+AG428</f>
        <v>-31758229.657086704</v>
      </c>
      <c r="AI428">
        <f>IF(AH428=MAX($AH$83:$AH$483),$A428,0)</f>
        <v>0</v>
      </c>
      <c r="AJ428">
        <f>IF(AE428&lt;AF428,$A428,B_MAX+1)</f>
        <v>345</v>
      </c>
      <c r="AK428" s="13">
        <f>IF(AB428=1,$AB$35,$AB$36)</f>
        <v>0</v>
      </c>
      <c r="AL428" s="13">
        <f>OCC_DAYS*$AB$41*R_NF_2023-AD428*MCD_SHARE_FREED*R_WAIT_2023</f>
        <v>151980.48282209205</v>
      </c>
      <c r="AM428">
        <f>IF($A428&lt;=$AB$45,1,0)</f>
        <v>0</v>
      </c>
      <c r="BB428">
        <f>IF($BB$31&lt;=$BB$32,IF($A428&lt;=$BB$7,1,2),IF($A428&lt;=RUNG_BEDS_2,2,1))</f>
        <v>1</v>
      </c>
      <c r="BC428" s="5">
        <f>MIN(1,MAX(0,$BB$26-($A428-1)))</f>
        <v>0</v>
      </c>
      <c r="BD428" s="5">
        <f>$BB$25*(BC428+(1-BC428)*$BB$16)</f>
        <v>0.0</v>
      </c>
      <c r="BE428" s="13">
        <f>BD428*($BB$6+ACUTE_MARGIN)</f>
        <v>0.0</v>
      </c>
      <c r="BF428" s="13">
        <f>IF(BB428=1,$BB$31,$BB$32)</f>
        <v>152394.16214437486</v>
      </c>
      <c r="BG428" s="13">
        <f>BE428-BF428</f>
        <v>-152394.16214437486</v>
      </c>
      <c r="BH428" s="13">
        <f>BH427+BG428</f>
        <v>3064199.034012758</v>
      </c>
      <c r="BI428">
        <f>IF(BH428=MAX($BH$83:$BH$483),$A428,0)</f>
        <v>0</v>
      </c>
      <c r="BJ428">
        <f>IF(BE428&lt;BF428,$A428,B_MAX+1)</f>
        <v>345</v>
      </c>
      <c r="BK428" s="13">
        <f>IF(BB428=1,$BB$35,$BB$36)</f>
        <v>0</v>
      </c>
      <c r="BL428" s="13">
        <f>OCC_DAYS*$BB$41*R_NF_2023-BD428*MCD_SHARE_FREED*R_WAIT_2023</f>
        <v>151980.48282209205</v>
      </c>
      <c r="BM428">
        <f>IF($A428&lt;=$BB$45,1,0)</f>
        <v>0</v>
      </c>
      <c r="CB428">
        <f>IF($CB$31&lt;=$CB$32,IF($A428&lt;=$CB$7,1,2),IF($A428&lt;=RUNG_BEDS_2,2,1))</f>
        <v>2</v>
      </c>
      <c r="CC428" s="5">
        <f>MIN(1,MAX(0,$CB$26-($A428-1)))</f>
        <v>0</v>
      </c>
      <c r="CD428" s="5">
        <f>$CB$25*(CC428+(1-CC428)*$CB$16)</f>
        <v>0.0</v>
      </c>
      <c r="CE428" s="13">
        <f>CD428*($CB$6+ACUTE_MARGIN)</f>
        <v>0.0</v>
      </c>
      <c r="CF428" s="13">
        <f>IF(CB428=1,$CB$31,$CB$32)</f>
        <v>160718.36940738867</v>
      </c>
      <c r="CG428" s="13">
        <f>CE428-CF428</f>
        <v>-160718.36940738867</v>
      </c>
      <c r="CH428" s="13">
        <f>CH427+CG428</f>
        <v>-17218866.8172769</v>
      </c>
      <c r="CI428">
        <f>IF(CH428=MAX($CH$83:$CH$483),$A428,0)</f>
        <v>0</v>
      </c>
      <c r="CJ428">
        <f>IF(CE428&lt;CF428,$A428,B_MAX+1)</f>
        <v>345</v>
      </c>
      <c r="CK428" s="13">
        <f>IF(CB428=1,$CB$35,$CB$36)</f>
        <v>1560.1194073886782</v>
      </c>
      <c r="CL428" s="13">
        <f>OCC_DAYS*$CB$41*R_NF_2023-CD428*MCD_SHARE_FREED*R_WAIT_2023</f>
        <v>151980.48282209205</v>
      </c>
      <c r="CM428">
        <f>IF($A428&lt;=$CB$45,1,0)</f>
        <v>0</v>
      </c>
      <c r="DB428">
        <f>IF($DB$31&lt;=$DB$32,IF($A428&lt;=$DB$7,1,2),IF($A428&lt;=RUNG_BEDS_2,2,1))</f>
        <v>1</v>
      </c>
      <c r="DC428" s="5">
        <f>MIN(1,MAX(0,$DB$26-($A428-1)))</f>
        <v>0</v>
      </c>
      <c r="DD428" s="5">
        <f>$DB$25*(DC428+(1-DC428)*$DB$16)</f>
        <v>0.0</v>
      </c>
      <c r="DE428" s="13">
        <f>DD428*($DB$6+ACUTE_MARGIN)</f>
        <v>0.0</v>
      </c>
      <c r="DF428" s="13">
        <f>IF(DB428=1,$DB$31,$DB$32)</f>
        <v>152394.16214437486</v>
      </c>
      <c r="DG428" s="13">
        <f>DE428-DF428</f>
        <v>-152394.16214437486</v>
      </c>
      <c r="DH428" s="13">
        <f>DH427+DG428</f>
        <v>-14347015.311536968</v>
      </c>
      <c r="DI428">
        <f>IF(DH428=MAX($DH$83:$DH$483),$A428,0)</f>
        <v>0</v>
      </c>
      <c r="DJ428">
        <f>IF(DE428&lt;DF428,$A428,B_MAX+1)</f>
        <v>345</v>
      </c>
      <c r="DK428" s="13">
        <f>IF(DB428=1,$DB$35,$DB$36)</f>
        <v>0</v>
      </c>
      <c r="DL428" s="13">
        <f>OCC_DAYS*$DB$41*R_NF_2023-DD428*MCD_SHARE_FREED*R_WAIT_2023</f>
        <v>151980.48282209205</v>
      </c>
      <c r="DM428">
        <f>IF($A428&lt;=$DB$45,1,0)</f>
        <v>0</v>
      </c>
      <c r="EB428">
        <f>IF($EB$31&lt;=$EB$32,IF($A428&lt;=$EB$7,1,2),IF($A428&lt;=RUNG_BEDS_2,2,1))</f>
        <v>1</v>
      </c>
      <c r="EC428" s="5">
        <f>MIN(1,MAX(0,$EB$26-($A428-1)))</f>
        <v>0</v>
      </c>
      <c r="ED428" s="5">
        <f>$EB$25*(EC428+(1-EC428)*$EB$16)</f>
        <v>0.0</v>
      </c>
      <c r="EE428" s="13">
        <f>ED428*($EB$6+ACUTE_MARGIN)</f>
        <v>0.0</v>
      </c>
      <c r="EF428" s="13">
        <f>IF(EB428=1,$EB$31,$EB$32)</f>
        <v>152394.16214437486</v>
      </c>
      <c r="EG428" s="13">
        <f>EE428-EF428</f>
        <v>-152394.16214437486</v>
      </c>
      <c r="EH428" s="13">
        <f>EH427+EG428</f>
        <v>-14347015.311536968</v>
      </c>
      <c r="EI428">
        <f>IF(EH428=MAX($EH$83:$EH$483),$A428,0)</f>
        <v>0</v>
      </c>
      <c r="EJ428">
        <f>IF(EE428&lt;EF428,$A428,B_MAX+1)</f>
        <v>345</v>
      </c>
      <c r="EK428" s="13">
        <f>IF(EB428=1,$EB$35,$EB$36)</f>
        <v>0</v>
      </c>
      <c r="EL428" s="13">
        <f>OCC_DAYS*$EB$41*R_NF_2023-ED428*MCD_SHARE_FREED*R_WAIT_2023</f>
        <v>50660.16094069735</v>
      </c>
      <c r="EM428">
        <f>IF($A428&lt;=$EB$45,1,0)</f>
        <v>0</v>
      </c>
      <c r="FB428">
        <f>IF($FB$31&lt;=$FB$32,IF($A428&lt;=$FB$7,1,2),IF($A428&lt;=RUNG_BEDS_2,2,1))</f>
        <v>1</v>
      </c>
      <c r="FC428" s="5">
        <f>MIN(1,MAX(0,$FB$26-($A428-1)))</f>
        <v>0</v>
      </c>
      <c r="FD428" s="5">
        <f>$FB$25*(FC428+(1-FC428)*$FB$16)</f>
        <v>0.0</v>
      </c>
      <c r="FE428" s="13">
        <f>FD428*($FB$6+ACUTE_MARGIN)</f>
        <v>0.0</v>
      </c>
      <c r="FF428" s="13">
        <f>IF(FB428=1,$FB$31,$FB$32)</f>
        <v>156636.04979437485</v>
      </c>
      <c r="FG428" s="13">
        <f>FE428-FF428</f>
        <v>-156636.04979437485</v>
      </c>
      <c r="FH428" s="13">
        <f>FH427+FG428</f>
        <v>-15810466.55078707</v>
      </c>
      <c r="FI428">
        <f>IF(FH428=MAX($FH$83:$FH$483),$A428,0)</f>
        <v>0</v>
      </c>
      <c r="FJ428">
        <f>IF(FE428&lt;FF428,$A428,B_MAX+1)</f>
        <v>345</v>
      </c>
      <c r="FK428" s="13">
        <f>IF(FB428=1,$FB$35,$FB$36)</f>
        <v>0</v>
      </c>
      <c r="FL428" s="13">
        <f>OCC_DAYS*$FB$41*R_NF_2023-FD428*MCD_SHARE_FREED*R_WAIT_2023</f>
        <v>151980.48282209205</v>
      </c>
      <c r="FM428">
        <f>IF($A428&lt;=$FB$45,1,0)</f>
        <v>0</v>
      </c>
      <c r="GB428">
        <f>IF($GB$31&lt;=$GB$32,IF($A428&lt;=$GB$7,1,2),IF($A428&lt;=RUNG_BEDS_2,2,1))</f>
        <v>1</v>
      </c>
      <c r="GC428" s="5">
        <f>MIN(1,MAX(0,$GB$26-($A428-1)))</f>
        <v>0</v>
      </c>
      <c r="GD428" s="5">
        <f>$GB$25*(GC428+(1-GC428)*$GB$16)</f>
        <v>0.0</v>
      </c>
      <c r="GE428" s="13">
        <f>GD428*($GB$6+ACUTE_MARGIN)</f>
        <v>0.0</v>
      </c>
      <c r="GF428" s="13">
        <f>IF(GB428=1,$GB$31,$GB$32)</f>
        <v>152394.16214437486</v>
      </c>
      <c r="GG428" s="13">
        <f>GE428-GF428</f>
        <v>-152394.16214437486</v>
      </c>
      <c r="GH428" s="13">
        <f>GH427+GG428</f>
        <v>-14347015.311536968</v>
      </c>
      <c r="GI428">
        <f>IF(GH428=MAX($GH$83:$GH$483),$A428,0)</f>
        <v>0</v>
      </c>
      <c r="GJ428">
        <f>IF(GE428&lt;GF428,$A428,B_MAX+1)</f>
        <v>345</v>
      </c>
      <c r="GK428" s="13">
        <f>IF(GB428=1,$GB$35,$GB$36)</f>
        <v>0</v>
      </c>
      <c r="GL428" s="13">
        <f>OCC_DAYS*$GB$41*R_NF_2023-GD428*MCD_SHARE_FREED*R_WAIT_2023</f>
        <v>151980.48282209205</v>
      </c>
      <c r="GM428">
        <f>IF($A428&lt;=$GB$45,1,0)</f>
        <v>0</v>
      </c>
      <c r="HB428">
        <f>IF($HB$31&lt;=$HB$32,IF($A428&lt;=$HB$7,1,2),IF($A428&lt;=RUNG_BEDS_2,2,1))</f>
        <v>1</v>
      </c>
      <c r="HC428" s="5">
        <f>MIN(1,MAX(0,$HB$26-($A428-1)))</f>
        <v>0</v>
      </c>
      <c r="HD428" s="5">
        <f>$HB$25*(HC428+(1-HC428)*$HB$16)</f>
        <v>0.0</v>
      </c>
      <c r="HE428" s="13">
        <f>HD428*($HB$6+ACUTE_MARGIN)</f>
        <v>0.0</v>
      </c>
      <c r="HF428" s="13">
        <f>IF(HB428=1,$HB$31,$HB$32)</f>
        <v>152456.2970814058</v>
      </c>
      <c r="HG428" s="13">
        <f>HE428-HF428</f>
        <v>-152456.2970814058</v>
      </c>
      <c r="HH428" s="13">
        <f>HH427+HG428</f>
        <v>-14368451.864812696</v>
      </c>
      <c r="HI428">
        <f>IF(HH428=MAX($HH$83:$HH$483),$A428,0)</f>
        <v>0</v>
      </c>
      <c r="HJ428">
        <f>IF(HE428&lt;HF428,$A428,B_MAX+1)</f>
        <v>345</v>
      </c>
      <c r="HK428" s="13">
        <f>IF(HB428=1,$HB$35,$HB$36)</f>
        <v>0</v>
      </c>
      <c r="HL428" s="13">
        <f>OCC_DAYS*$HB$41*R_NF_2023-HD428*MCD_SHARE_FREED*R_WAIT_2023</f>
        <v>151980.48282209205</v>
      </c>
      <c r="HM428">
        <f>IF($A428&lt;=$HB$45,1,0)</f>
        <v>0</v>
      </c>
      <c r="IB428">
        <f>IF($IB$31&lt;=$IB$32,IF($A428&lt;=$IB$7,1,2),IF($A428&lt;=RUNG_BEDS_2,2,1))</f>
        <v>1</v>
      </c>
      <c r="IC428" s="5">
        <f>MIN(1,MAX(0,$IB$26-($A428-1)))</f>
        <v>0</v>
      </c>
      <c r="ID428" s="5">
        <f>$IB$25*(IC428+(1-IC428)*$IB$16)</f>
        <v>0.0</v>
      </c>
      <c r="IE428" s="13">
        <f>ID428*($IB$6+ACUTE_MARGIN)</f>
        <v>0.0</v>
      </c>
      <c r="IF428" s="13">
        <f>IF(IB428=1,$IB$31,$IB$32)</f>
        <v>152734.9994534971</v>
      </c>
      <c r="IG428" s="13">
        <f>IE428-IF428</f>
        <v>-152734.9994534971</v>
      </c>
      <c r="IH428" s="13">
        <f>IH427+IG428</f>
        <v>-14464604.183184221</v>
      </c>
      <c r="II428">
        <f>IF(IH428=MAX($IH$83:$IH$483),$A428,0)</f>
        <v>0</v>
      </c>
      <c r="IJ428">
        <f>IF(IE428&lt;IF428,$A428,B_MAX+1)</f>
        <v>345</v>
      </c>
      <c r="IK428" s="13">
        <f>IF(IB428=1,$IB$35,$IB$36)</f>
        <v>0</v>
      </c>
      <c r="IL428" s="13">
        <f>OCC_DAYS*$IB$41*R_NF_2023-ID428*MCD_SHARE_FREED*R_WAIT_2023</f>
        <v>151980.48282209205</v>
      </c>
      <c r="IM428">
        <f>IF($A428&lt;=$IB$45,1,0)</f>
        <v>0</v>
      </c>
      <c r="JB428">
        <f>IF($JB$31&lt;=$JB$32,IF($A428&lt;=$JB$7,1,2),IF($A428&lt;=RUNG_BEDS_2,2,1))</f>
        <v>1</v>
      </c>
      <c r="JC428" s="5">
        <f>MIN(1,MAX(0,$JB$26-($A428-1)))</f>
        <v>0</v>
      </c>
      <c r="JD428" s="5">
        <f>$JB$25*(JC428+(1-JC428)*$JB$16)</f>
        <v>0.0</v>
      </c>
      <c r="JE428" s="13">
        <f>JD428*($JB$6+ACUTE_MARGIN)</f>
        <v>0.0</v>
      </c>
      <c r="JF428" s="13">
        <f>IF(JB428=1,$JB$31,$JB$32)</f>
        <v>152394.16214437486</v>
      </c>
      <c r="JG428" s="13">
        <f>JE428-JF428</f>
        <v>-152394.16214437486</v>
      </c>
      <c r="JH428" s="13">
        <f>JH427+JG428</f>
        <v>-14347015.311536968</v>
      </c>
      <c r="JI428">
        <f>IF(JH428=MAX($JH$83:$JH$483),$A428,0)</f>
        <v>0</v>
      </c>
      <c r="JJ428">
        <f>IF(JE428&lt;JF428,$A428,B_MAX+1)</f>
        <v>345</v>
      </c>
      <c r="JK428" s="13">
        <f>IF(JB428=1,$JB$35,$JB$36)</f>
        <v>0</v>
      </c>
      <c r="JL428" s="13">
        <f>OCC_DAYS*$JB$41*R_NF_2023-JD428*MCD_SHARE_FREED*R_WAIT_2023</f>
        <v>151980.48282209205</v>
      </c>
      <c r="JM428">
        <f>IF($A428&lt;=$JB$45,1,0)</f>
        <v>0</v>
      </c>
      <c r="KB428">
        <f>IF($KB$31&lt;=$KB$32,IF($A428&lt;=$KB$7,1,2),IF($A428&lt;=RUNG_BEDS_2,2,1))</f>
        <v>1</v>
      </c>
      <c r="KC428" s="5">
        <f>MIN(1,MAX(0,$KB$26-($A428-1)))</f>
        <v>0</v>
      </c>
      <c r="KD428" s="5">
        <f>$KB$25*(KC428+(1-KC428)*$KB$16)</f>
        <v>0.0</v>
      </c>
      <c r="KE428" s="13">
        <f>KD428*($KB$6+ACUTE_MARGIN)</f>
        <v>0.0</v>
      </c>
      <c r="KF428" s="13">
        <f>IF(KB428=1,$KB$31,$KB$32)</f>
        <v>152394.16214437486</v>
      </c>
      <c r="KG428" s="13">
        <f>KE428-KF428</f>
        <v>-152394.16214437486</v>
      </c>
      <c r="KH428" s="13">
        <f>KH427+KG428</f>
        <v>-14347015.311537074</v>
      </c>
      <c r="KI428">
        <f>IF(KH428=MAX($KH$83:$KH$483),$A428,0)</f>
        <v>0</v>
      </c>
      <c r="KJ428">
        <f>IF(KE428&lt;KF428,$A428,B_MAX+1)</f>
        <v>345</v>
      </c>
      <c r="KK428" s="13">
        <f>IF(KB428=1,$KB$35,$KB$36)</f>
        <v>0</v>
      </c>
      <c r="KL428" s="13">
        <f>OCC_DAYS*$KB$41*R_NF_2023-KD428*MCD_SHARE_FREED*R_WAIT_2023</f>
        <v>151980.48282209205</v>
      </c>
      <c r="KM428">
        <f>IF($A428&lt;=$KB$45,1,0)</f>
        <v>0</v>
      </c>
      <c r="LB428">
        <f>IF($LB$31&lt;=$LB$32,IF($A428&lt;=$LB$7,1,2),IF($A428&lt;=RUNG_BEDS_2,2,1))</f>
        <v>1</v>
      </c>
      <c r="LC428" s="5">
        <f>MIN(1,MAX(0,$LB$26-($A428-1)))</f>
        <v>1</v>
      </c>
      <c r="LD428" s="5">
        <f>$LB$25*(LC428+(1-LC428)*$LB$16)</f>
        <v>84.01774238227146</v>
      </c>
      <c r="LE428" s="13">
        <f>LD428*($LB$6+ACUTE_MARGIN)</f>
        <v>84857.91980609419</v>
      </c>
      <c r="LF428" s="13">
        <f>IF(LB428=1,$LB$31,$LB$32)</f>
        <v>152394.16214437486</v>
      </c>
      <c r="LG428" s="13">
        <f>LE428-LF428</f>
        <v>-67536.24233828067</v>
      </c>
      <c r="LH428" s="13">
        <f>LH427+LG428</f>
        <v>-23300003.60670696</v>
      </c>
      <c r="LI428">
        <f>IF(LH428=MAX($LH$83:$LH$483),$A428,0)</f>
        <v>0</v>
      </c>
      <c r="LJ428">
        <f>IF(LE428&lt;LF428,$A428,B_MAX+1)</f>
        <v>345</v>
      </c>
      <c r="LK428" s="13">
        <f>IF(LB428=1,$LB$35,$LB$36)</f>
        <v>0</v>
      </c>
      <c r="LL428" s="13">
        <f>OCC_DAYS*$LB$41*R_NF_2023-LD428*MCD_SHARE_FREED*R_WAIT_2023</f>
        <v>113776.04162887059</v>
      </c>
      <c r="LM428">
        <f>IF($A428&lt;=$LB$45,1,0)</f>
        <v>0</v>
      </c>
      <c r="MB428">
        <f>IF($MB$31&lt;=$MB$32,IF($A428&lt;=$MB$7,1,2),IF($A428&lt;=RUNG_BEDS_2,2,1))</f>
        <v>1</v>
      </c>
      <c r="MC428" s="5">
        <f>MIN(1,MAX(0,$MB$26-($A428-1)))</f>
        <v>0</v>
      </c>
      <c r="MD428" s="5">
        <f>$MB$25*(MC428+(1-MC428)*$MB$16)</f>
        <v>0.0</v>
      </c>
      <c r="ME428" s="13">
        <f>MD428*($MB$6+ACUTE_MARGIN)</f>
        <v>0.0</v>
      </c>
      <c r="MF428" s="13">
        <f>IF(MB428=1,$MB$31,$MB$32)</f>
        <v>152394.16214437486</v>
      </c>
      <c r="MG428" s="13">
        <f>ME428-MF428</f>
        <v>-152394.16214437486</v>
      </c>
      <c r="MH428" s="13">
        <f>MH427+MG428</f>
        <v>-20234291.37333527</v>
      </c>
      <c r="MI428">
        <f>IF(MH428=MAX($MH$83:$MH$483),$A428,0)</f>
        <v>0</v>
      </c>
      <c r="MJ428">
        <f>IF(ME428&lt;MF428,$A428,B_MAX+1)</f>
        <v>345</v>
      </c>
      <c r="MK428" s="13">
        <f>IF(MB428=1,$MB$35,$MB$36)</f>
        <v>0</v>
      </c>
      <c r="ML428" s="13">
        <f>OCC_DAYS*$MB$41*R_NF_2023-MD428*MCD_SHARE_FREED*R_WAIT_2023</f>
        <v>151980.48282209205</v>
      </c>
      <c r="MM428">
        <f>IF($A428&lt;=$MB$45,1,0)</f>
        <v>0</v>
      </c>
      <c r="NB428">
        <f>IF($NB$31&lt;=$NB$32,IF($A428&lt;=$NB$7,1,2),IF($A428&lt;=RUNG_BEDS_2,2,1))</f>
        <v>1</v>
      </c>
      <c r="NC428" s="5">
        <f>MIN(1,MAX(0,$NB$26-($A428-1)))</f>
        <v>0</v>
      </c>
      <c r="ND428" s="5">
        <f>$NB$25*(NC428+(1-NC428)*$NB$16)</f>
        <v>63.013306786703595</v>
      </c>
      <c r="NE428" s="13">
        <f>ND428*($NB$6+ACUTE_MARGIN)</f>
        <v>63643.43985457063</v>
      </c>
      <c r="NF428" s="13">
        <f>IF(NB428=1,$NB$31,$NB$32)</f>
        <v>152394.16214437486</v>
      </c>
      <c r="NG428" s="13">
        <f>NE428-NF428</f>
        <v>-88750.72228980422</v>
      </c>
      <c r="NH428" s="13">
        <f>NH427+NG428</f>
        <v>-1947271.2187782333</v>
      </c>
      <c r="NI428">
        <f>IF(NH428=MAX($NH$83:$NH$483),$A428,0)</f>
        <v>0</v>
      </c>
      <c r="NJ428">
        <f>IF(NE428&lt;NF428,$A428,B_MAX+1)</f>
        <v>345</v>
      </c>
      <c r="NK428" s="13">
        <f>IF(NB428=1,$NB$35,$NB$36)</f>
        <v>0</v>
      </c>
      <c r="NL428" s="13">
        <f>OCC_DAYS*$NB$41*R_NF_2023-ND428*MCD_SHARE_FREED*R_WAIT_2023</f>
        <v>123327.15192717595</v>
      </c>
      <c r="NM428">
        <f>IF($A428&lt;=$NB$45,1,0)</f>
        <v>0</v>
      </c>
      <c r="OB428">
        <f>IF($OB$31&lt;=$OB$32,IF($A428&lt;=$OB$7,1,2),IF($A428&lt;=RUNG_BEDS_2,2,1))</f>
        <v>1</v>
      </c>
      <c r="OC428" s="5">
        <f>MIN(1,MAX(0,$OB$26-($A428-1)))</f>
        <v>0</v>
      </c>
      <c r="OD428" s="5">
        <f>$OB$25*(OC428+(1-OC428)*$OB$16)</f>
        <v>126.02661357340719</v>
      </c>
      <c r="OE428" s="13">
        <f>OD428*($OB$6+ACUTE_MARGIN)</f>
        <v>127286.87970914126</v>
      </c>
      <c r="OF428" s="13">
        <f>IF(OB428=1,$OB$31,$OB$32)</f>
        <v>152394.16214437486</v>
      </c>
      <c r="OG428" s="13">
        <f>OE428-OF428</f>
        <v>-25107.282435233603</v>
      </c>
      <c r="OH428" s="13">
        <f>OH427+OG428</f>
        <v>10452472.873980751</v>
      </c>
      <c r="OI428">
        <f>IF(OH428=MAX($OH$83:$OH$483),$A428,0)</f>
        <v>0</v>
      </c>
      <c r="OJ428">
        <f>IF(OE428&lt;OF428,$A428,B_MAX+1)</f>
        <v>345</v>
      </c>
      <c r="OK428" s="13">
        <f>IF(OB428=1,$OB$35,$OB$36)</f>
        <v>0</v>
      </c>
      <c r="OL428" s="13">
        <f>OCC_DAYS*$OB$41*R_NF_2023-OD428*MCD_SHARE_FREED*R_WAIT_2023</f>
        <v>94673.82103225985</v>
      </c>
      <c r="OM428">
        <f>IF($A428&lt;=$OB$45,1,0)</f>
        <v>0</v>
      </c>
    </row>
    <row r="429">
      <c r="A429" t="n">
        <v>346</v>
      </c>
      <c r="B429">
        <f>IF($B$31&lt;=$B$32,IF($A429&lt;=$B$7,1,2),IF($A429&lt;=RUNG_BEDS_2,2,1))</f>
        <v>1</v>
      </c>
      <c r="C429" s="5">
        <f>MIN(1,MAX(0,$B$26-($A429-1)))</f>
        <v>0</v>
      </c>
      <c r="D429" s="5">
        <f>$B$25*(C429+(1-C429)*$B$16)</f>
        <v>0.0</v>
      </c>
      <c r="E429" s="13">
        <f>D429*($B$6+ACUTE_MARGIN)</f>
        <v>0.0</v>
      </c>
      <c r="F429" s="13">
        <f>IF(B429=1,$B$31,$B$32)</f>
        <v>152394.16214437486</v>
      </c>
      <c r="G429" s="13">
        <f>E429-F429</f>
        <v>-152394.16214437486</v>
      </c>
      <c r="H429" s="13">
        <f>H428+G429</f>
        <v>-14499409.473681342</v>
      </c>
      <c r="I429">
        <f>IF(H429=MAX($H$83:$H$483),$A429,0)</f>
        <v>0</v>
      </c>
      <c r="J429">
        <f>IF(E429&lt;F429,$A429,B_MAX+1)</f>
        <v>346</v>
      </c>
      <c r="K429" s="13">
        <f>IF(B429=1,$B$35,$B$36)</f>
        <v>0</v>
      </c>
      <c r="L429" s="13">
        <f>OCC_DAYS*$B$41*R_NF_2023-D429*MCD_SHARE_FREED*R_WAIT_2023</f>
        <v>151980.48282209205</v>
      </c>
      <c r="M429">
        <f>IF($A429&lt;=$B$45,1,0)</f>
        <v>0</v>
      </c>
      <c r="AB429">
        <f>IF($AB$31&lt;=$AB$32,IF($A429&lt;=$AB$7,1,2),IF($A429&lt;=RUNG_BEDS_2,2,1))</f>
        <v>1</v>
      </c>
      <c r="AC429" s="5">
        <f>MIN(1,MAX(0,$AB$26-($A429-1)))</f>
        <v>0</v>
      </c>
      <c r="AD429" s="5">
        <f>$AB$25*(AC429+(1-AC429)*$AB$16)</f>
        <v>0.0</v>
      </c>
      <c r="AE429" s="13">
        <f>AD429*($AB$6+ACUTE_MARGIN)</f>
        <v>0.0</v>
      </c>
      <c r="AF429" s="13">
        <f>IF(AB429=1,$AB$31,$AB$32)</f>
        <v>152394.16214437486</v>
      </c>
      <c r="AG429" s="13">
        <f>AE429-AF429</f>
        <v>-152394.16214437486</v>
      </c>
      <c r="AH429" s="13">
        <f>AH428+AG429</f>
        <v>-31910623.819231078</v>
      </c>
      <c r="AI429">
        <f>IF(AH429=MAX($AH$83:$AH$483),$A429,0)</f>
        <v>0</v>
      </c>
      <c r="AJ429">
        <f>IF(AE429&lt;AF429,$A429,B_MAX+1)</f>
        <v>346</v>
      </c>
      <c r="AK429" s="13">
        <f>IF(AB429=1,$AB$35,$AB$36)</f>
        <v>0</v>
      </c>
      <c r="AL429" s="13">
        <f>OCC_DAYS*$AB$41*R_NF_2023-AD429*MCD_SHARE_FREED*R_WAIT_2023</f>
        <v>151980.48282209205</v>
      </c>
      <c r="AM429">
        <f>IF($A429&lt;=$AB$45,1,0)</f>
        <v>0</v>
      </c>
      <c r="BB429">
        <f>IF($BB$31&lt;=$BB$32,IF($A429&lt;=$BB$7,1,2),IF($A429&lt;=RUNG_BEDS_2,2,1))</f>
        <v>1</v>
      </c>
      <c r="BC429" s="5">
        <f>MIN(1,MAX(0,$BB$26-($A429-1)))</f>
        <v>0</v>
      </c>
      <c r="BD429" s="5">
        <f>$BB$25*(BC429+(1-BC429)*$BB$16)</f>
        <v>0.0</v>
      </c>
      <c r="BE429" s="13">
        <f>BD429*($BB$6+ACUTE_MARGIN)</f>
        <v>0.0</v>
      </c>
      <c r="BF429" s="13">
        <f>IF(BB429=1,$BB$31,$BB$32)</f>
        <v>152394.16214437486</v>
      </c>
      <c r="BG429" s="13">
        <f>BE429-BF429</f>
        <v>-152394.16214437486</v>
      </c>
      <c r="BH429" s="13">
        <f>BH428+BG429</f>
        <v>2911804.871868383</v>
      </c>
      <c r="BI429">
        <f>IF(BH429=MAX($BH$83:$BH$483),$A429,0)</f>
        <v>0</v>
      </c>
      <c r="BJ429">
        <f>IF(BE429&lt;BF429,$A429,B_MAX+1)</f>
        <v>346</v>
      </c>
      <c r="BK429" s="13">
        <f>IF(BB429=1,$BB$35,$BB$36)</f>
        <v>0</v>
      </c>
      <c r="BL429" s="13">
        <f>OCC_DAYS*$BB$41*R_NF_2023-BD429*MCD_SHARE_FREED*R_WAIT_2023</f>
        <v>151980.48282209205</v>
      </c>
      <c r="BM429">
        <f>IF($A429&lt;=$BB$45,1,0)</f>
        <v>0</v>
      </c>
      <c r="CB429">
        <f>IF($CB$31&lt;=$CB$32,IF($A429&lt;=$CB$7,1,2),IF($A429&lt;=RUNG_BEDS_2,2,1))</f>
        <v>2</v>
      </c>
      <c r="CC429" s="5">
        <f>MIN(1,MAX(0,$CB$26-($A429-1)))</f>
        <v>0</v>
      </c>
      <c r="CD429" s="5">
        <f>$CB$25*(CC429+(1-CC429)*$CB$16)</f>
        <v>0.0</v>
      </c>
      <c r="CE429" s="13">
        <f>CD429*($CB$6+ACUTE_MARGIN)</f>
        <v>0.0</v>
      </c>
      <c r="CF429" s="13">
        <f>IF(CB429=1,$CB$31,$CB$32)</f>
        <v>160718.36940738867</v>
      </c>
      <c r="CG429" s="13">
        <f>CE429-CF429</f>
        <v>-160718.36940738867</v>
      </c>
      <c r="CH429" s="13">
        <f>CH428+CG429</f>
        <v>-17379585.186684288</v>
      </c>
      <c r="CI429">
        <f>IF(CH429=MAX($CH$83:$CH$483),$A429,0)</f>
        <v>0</v>
      </c>
      <c r="CJ429">
        <f>IF(CE429&lt;CF429,$A429,B_MAX+1)</f>
        <v>346</v>
      </c>
      <c r="CK429" s="13">
        <f>IF(CB429=1,$CB$35,$CB$36)</f>
        <v>1560.1194073886782</v>
      </c>
      <c r="CL429" s="13">
        <f>OCC_DAYS*$CB$41*R_NF_2023-CD429*MCD_SHARE_FREED*R_WAIT_2023</f>
        <v>151980.48282209205</v>
      </c>
      <c r="CM429">
        <f>IF($A429&lt;=$CB$45,1,0)</f>
        <v>0</v>
      </c>
      <c r="DB429">
        <f>IF($DB$31&lt;=$DB$32,IF($A429&lt;=$DB$7,1,2),IF($A429&lt;=RUNG_BEDS_2,2,1))</f>
        <v>1</v>
      </c>
      <c r="DC429" s="5">
        <f>MIN(1,MAX(0,$DB$26-($A429-1)))</f>
        <v>0</v>
      </c>
      <c r="DD429" s="5">
        <f>$DB$25*(DC429+(1-DC429)*$DB$16)</f>
        <v>0.0</v>
      </c>
      <c r="DE429" s="13">
        <f>DD429*($DB$6+ACUTE_MARGIN)</f>
        <v>0.0</v>
      </c>
      <c r="DF429" s="13">
        <f>IF(DB429=1,$DB$31,$DB$32)</f>
        <v>152394.16214437486</v>
      </c>
      <c r="DG429" s="13">
        <f>DE429-DF429</f>
        <v>-152394.16214437486</v>
      </c>
      <c r="DH429" s="13">
        <f>DH428+DG429</f>
        <v>-14499409.473681342</v>
      </c>
      <c r="DI429">
        <f>IF(DH429=MAX($DH$83:$DH$483),$A429,0)</f>
        <v>0</v>
      </c>
      <c r="DJ429">
        <f>IF(DE429&lt;DF429,$A429,B_MAX+1)</f>
        <v>346</v>
      </c>
      <c r="DK429" s="13">
        <f>IF(DB429=1,$DB$35,$DB$36)</f>
        <v>0</v>
      </c>
      <c r="DL429" s="13">
        <f>OCC_DAYS*$DB$41*R_NF_2023-DD429*MCD_SHARE_FREED*R_WAIT_2023</f>
        <v>151980.48282209205</v>
      </c>
      <c r="DM429">
        <f>IF($A429&lt;=$DB$45,1,0)</f>
        <v>0</v>
      </c>
      <c r="EB429">
        <f>IF($EB$31&lt;=$EB$32,IF($A429&lt;=$EB$7,1,2),IF($A429&lt;=RUNG_BEDS_2,2,1))</f>
        <v>1</v>
      </c>
      <c r="EC429" s="5">
        <f>MIN(1,MAX(0,$EB$26-($A429-1)))</f>
        <v>0</v>
      </c>
      <c r="ED429" s="5">
        <f>$EB$25*(EC429+(1-EC429)*$EB$16)</f>
        <v>0.0</v>
      </c>
      <c r="EE429" s="13">
        <f>ED429*($EB$6+ACUTE_MARGIN)</f>
        <v>0.0</v>
      </c>
      <c r="EF429" s="13">
        <f>IF(EB429=1,$EB$31,$EB$32)</f>
        <v>152394.16214437486</v>
      </c>
      <c r="EG429" s="13">
        <f>EE429-EF429</f>
        <v>-152394.16214437486</v>
      </c>
      <c r="EH429" s="13">
        <f>EH428+EG429</f>
        <v>-14499409.473681342</v>
      </c>
      <c r="EI429">
        <f>IF(EH429=MAX($EH$83:$EH$483),$A429,0)</f>
        <v>0</v>
      </c>
      <c r="EJ429">
        <f>IF(EE429&lt;EF429,$A429,B_MAX+1)</f>
        <v>346</v>
      </c>
      <c r="EK429" s="13">
        <f>IF(EB429=1,$EB$35,$EB$36)</f>
        <v>0</v>
      </c>
      <c r="EL429" s="13">
        <f>OCC_DAYS*$EB$41*R_NF_2023-ED429*MCD_SHARE_FREED*R_WAIT_2023</f>
        <v>50660.16094069735</v>
      </c>
      <c r="EM429">
        <f>IF($A429&lt;=$EB$45,1,0)</f>
        <v>0</v>
      </c>
      <c r="FB429">
        <f>IF($FB$31&lt;=$FB$32,IF($A429&lt;=$FB$7,1,2),IF($A429&lt;=RUNG_BEDS_2,2,1))</f>
        <v>1</v>
      </c>
      <c r="FC429" s="5">
        <f>MIN(1,MAX(0,$FB$26-($A429-1)))</f>
        <v>0</v>
      </c>
      <c r="FD429" s="5">
        <f>$FB$25*(FC429+(1-FC429)*$FB$16)</f>
        <v>0.0</v>
      </c>
      <c r="FE429" s="13">
        <f>FD429*($FB$6+ACUTE_MARGIN)</f>
        <v>0.0</v>
      </c>
      <c r="FF429" s="13">
        <f>IF(FB429=1,$FB$31,$FB$32)</f>
        <v>156636.04979437485</v>
      </c>
      <c r="FG429" s="13">
        <f>FE429-FF429</f>
        <v>-156636.04979437485</v>
      </c>
      <c r="FH429" s="13">
        <f>FH428+FG429</f>
        <v>-15967102.600581445</v>
      </c>
      <c r="FI429">
        <f>IF(FH429=MAX($FH$83:$FH$483),$A429,0)</f>
        <v>0</v>
      </c>
      <c r="FJ429">
        <f>IF(FE429&lt;FF429,$A429,B_MAX+1)</f>
        <v>346</v>
      </c>
      <c r="FK429" s="13">
        <f>IF(FB429=1,$FB$35,$FB$36)</f>
        <v>0</v>
      </c>
      <c r="FL429" s="13">
        <f>OCC_DAYS*$FB$41*R_NF_2023-FD429*MCD_SHARE_FREED*R_WAIT_2023</f>
        <v>151980.48282209205</v>
      </c>
      <c r="FM429">
        <f>IF($A429&lt;=$FB$45,1,0)</f>
        <v>0</v>
      </c>
      <c r="GB429">
        <f>IF($GB$31&lt;=$GB$32,IF($A429&lt;=$GB$7,1,2),IF($A429&lt;=RUNG_BEDS_2,2,1))</f>
        <v>1</v>
      </c>
      <c r="GC429" s="5">
        <f>MIN(1,MAX(0,$GB$26-($A429-1)))</f>
        <v>0</v>
      </c>
      <c r="GD429" s="5">
        <f>$GB$25*(GC429+(1-GC429)*$GB$16)</f>
        <v>0.0</v>
      </c>
      <c r="GE429" s="13">
        <f>GD429*($GB$6+ACUTE_MARGIN)</f>
        <v>0.0</v>
      </c>
      <c r="GF429" s="13">
        <f>IF(GB429=1,$GB$31,$GB$32)</f>
        <v>152394.16214437486</v>
      </c>
      <c r="GG429" s="13">
        <f>GE429-GF429</f>
        <v>-152394.16214437486</v>
      </c>
      <c r="GH429" s="13">
        <f>GH428+GG429</f>
        <v>-14499409.473681342</v>
      </c>
      <c r="GI429">
        <f>IF(GH429=MAX($GH$83:$GH$483),$A429,0)</f>
        <v>0</v>
      </c>
      <c r="GJ429">
        <f>IF(GE429&lt;GF429,$A429,B_MAX+1)</f>
        <v>346</v>
      </c>
      <c r="GK429" s="13">
        <f>IF(GB429=1,$GB$35,$GB$36)</f>
        <v>0</v>
      </c>
      <c r="GL429" s="13">
        <f>OCC_DAYS*$GB$41*R_NF_2023-GD429*MCD_SHARE_FREED*R_WAIT_2023</f>
        <v>151980.48282209205</v>
      </c>
      <c r="GM429">
        <f>IF($A429&lt;=$GB$45,1,0)</f>
        <v>0</v>
      </c>
      <c r="HB429">
        <f>IF($HB$31&lt;=$HB$32,IF($A429&lt;=$HB$7,1,2),IF($A429&lt;=RUNG_BEDS_2,2,1))</f>
        <v>1</v>
      </c>
      <c r="HC429" s="5">
        <f>MIN(1,MAX(0,$HB$26-($A429-1)))</f>
        <v>0</v>
      </c>
      <c r="HD429" s="5">
        <f>$HB$25*(HC429+(1-HC429)*$HB$16)</f>
        <v>0.0</v>
      </c>
      <c r="HE429" s="13">
        <f>HD429*($HB$6+ACUTE_MARGIN)</f>
        <v>0.0</v>
      </c>
      <c r="HF429" s="13">
        <f>IF(HB429=1,$HB$31,$HB$32)</f>
        <v>152456.2970814058</v>
      </c>
      <c r="HG429" s="13">
        <f>HE429-HF429</f>
        <v>-152456.2970814058</v>
      </c>
      <c r="HH429" s="13">
        <f>HH428+HG429</f>
        <v>-14520908.161894102</v>
      </c>
      <c r="HI429">
        <f>IF(HH429=MAX($HH$83:$HH$483),$A429,0)</f>
        <v>0</v>
      </c>
      <c r="HJ429">
        <f>IF(HE429&lt;HF429,$A429,B_MAX+1)</f>
        <v>346</v>
      </c>
      <c r="HK429" s="13">
        <f>IF(HB429=1,$HB$35,$HB$36)</f>
        <v>0</v>
      </c>
      <c r="HL429" s="13">
        <f>OCC_DAYS*$HB$41*R_NF_2023-HD429*MCD_SHARE_FREED*R_WAIT_2023</f>
        <v>151980.48282209205</v>
      </c>
      <c r="HM429">
        <f>IF($A429&lt;=$HB$45,1,0)</f>
        <v>0</v>
      </c>
      <c r="IB429">
        <f>IF($IB$31&lt;=$IB$32,IF($A429&lt;=$IB$7,1,2),IF($A429&lt;=RUNG_BEDS_2,2,1))</f>
        <v>1</v>
      </c>
      <c r="IC429" s="5">
        <f>MIN(1,MAX(0,$IB$26-($A429-1)))</f>
        <v>0</v>
      </c>
      <c r="ID429" s="5">
        <f>$IB$25*(IC429+(1-IC429)*$IB$16)</f>
        <v>0.0</v>
      </c>
      <c r="IE429" s="13">
        <f>ID429*($IB$6+ACUTE_MARGIN)</f>
        <v>0.0</v>
      </c>
      <c r="IF429" s="13">
        <f>IF(IB429=1,$IB$31,$IB$32)</f>
        <v>152734.9994534971</v>
      </c>
      <c r="IG429" s="13">
        <f>IE429-IF429</f>
        <v>-152734.9994534971</v>
      </c>
      <c r="IH429" s="13">
        <f>IH428+IG429</f>
        <v>-14617339.182637718</v>
      </c>
      <c r="II429">
        <f>IF(IH429=MAX($IH$83:$IH$483),$A429,0)</f>
        <v>0</v>
      </c>
      <c r="IJ429">
        <f>IF(IE429&lt;IF429,$A429,B_MAX+1)</f>
        <v>346</v>
      </c>
      <c r="IK429" s="13">
        <f>IF(IB429=1,$IB$35,$IB$36)</f>
        <v>0</v>
      </c>
      <c r="IL429" s="13">
        <f>OCC_DAYS*$IB$41*R_NF_2023-ID429*MCD_SHARE_FREED*R_WAIT_2023</f>
        <v>151980.48282209205</v>
      </c>
      <c r="IM429">
        <f>IF($A429&lt;=$IB$45,1,0)</f>
        <v>0</v>
      </c>
      <c r="JB429">
        <f>IF($JB$31&lt;=$JB$32,IF($A429&lt;=$JB$7,1,2),IF($A429&lt;=RUNG_BEDS_2,2,1))</f>
        <v>1</v>
      </c>
      <c r="JC429" s="5">
        <f>MIN(1,MAX(0,$JB$26-($A429-1)))</f>
        <v>0</v>
      </c>
      <c r="JD429" s="5">
        <f>$JB$25*(JC429+(1-JC429)*$JB$16)</f>
        <v>0.0</v>
      </c>
      <c r="JE429" s="13">
        <f>JD429*($JB$6+ACUTE_MARGIN)</f>
        <v>0.0</v>
      </c>
      <c r="JF429" s="13">
        <f>IF(JB429=1,$JB$31,$JB$32)</f>
        <v>152394.16214437486</v>
      </c>
      <c r="JG429" s="13">
        <f>JE429-JF429</f>
        <v>-152394.16214437486</v>
      </c>
      <c r="JH429" s="13">
        <f>JH428+JG429</f>
        <v>-14499409.473681342</v>
      </c>
      <c r="JI429">
        <f>IF(JH429=MAX($JH$83:$JH$483),$A429,0)</f>
        <v>0</v>
      </c>
      <c r="JJ429">
        <f>IF(JE429&lt;JF429,$A429,B_MAX+1)</f>
        <v>346</v>
      </c>
      <c r="JK429" s="13">
        <f>IF(JB429=1,$JB$35,$JB$36)</f>
        <v>0</v>
      </c>
      <c r="JL429" s="13">
        <f>OCC_DAYS*$JB$41*R_NF_2023-JD429*MCD_SHARE_FREED*R_WAIT_2023</f>
        <v>151980.48282209205</v>
      </c>
      <c r="JM429">
        <f>IF($A429&lt;=$JB$45,1,0)</f>
        <v>0</v>
      </c>
      <c r="KB429">
        <f>IF($KB$31&lt;=$KB$32,IF($A429&lt;=$KB$7,1,2),IF($A429&lt;=RUNG_BEDS_2,2,1))</f>
        <v>1</v>
      </c>
      <c r="KC429" s="5">
        <f>MIN(1,MAX(0,$KB$26-($A429-1)))</f>
        <v>0</v>
      </c>
      <c r="KD429" s="5">
        <f>$KB$25*(KC429+(1-KC429)*$KB$16)</f>
        <v>0.0</v>
      </c>
      <c r="KE429" s="13">
        <f>KD429*($KB$6+ACUTE_MARGIN)</f>
        <v>0.0</v>
      </c>
      <c r="KF429" s="13">
        <f>IF(KB429=1,$KB$31,$KB$32)</f>
        <v>152394.16214437486</v>
      </c>
      <c r="KG429" s="13">
        <f>KE429-KF429</f>
        <v>-152394.16214437486</v>
      </c>
      <c r="KH429" s="13">
        <f>KH428+KG429</f>
        <v>-14499409.473681448</v>
      </c>
      <c r="KI429">
        <f>IF(KH429=MAX($KH$83:$KH$483),$A429,0)</f>
        <v>0</v>
      </c>
      <c r="KJ429">
        <f>IF(KE429&lt;KF429,$A429,B_MAX+1)</f>
        <v>346</v>
      </c>
      <c r="KK429" s="13">
        <f>IF(KB429=1,$KB$35,$KB$36)</f>
        <v>0</v>
      </c>
      <c r="KL429" s="13">
        <f>OCC_DAYS*$KB$41*R_NF_2023-KD429*MCD_SHARE_FREED*R_WAIT_2023</f>
        <v>151980.48282209205</v>
      </c>
      <c r="KM429">
        <f>IF($A429&lt;=$KB$45,1,0)</f>
        <v>0</v>
      </c>
      <c r="LB429">
        <f>IF($LB$31&lt;=$LB$32,IF($A429&lt;=$LB$7,1,2),IF($A429&lt;=RUNG_BEDS_2,2,1))</f>
        <v>1</v>
      </c>
      <c r="LC429" s="5">
        <f>MIN(1,MAX(0,$LB$26-($A429-1)))</f>
        <v>1</v>
      </c>
      <c r="LD429" s="5">
        <f>$LB$25*(LC429+(1-LC429)*$LB$16)</f>
        <v>84.01774238227146</v>
      </c>
      <c r="LE429" s="13">
        <f>LD429*($LB$6+ACUTE_MARGIN)</f>
        <v>84857.91980609419</v>
      </c>
      <c r="LF429" s="13">
        <f>IF(LB429=1,$LB$31,$LB$32)</f>
        <v>152394.16214437486</v>
      </c>
      <c r="LG429" s="13">
        <f>LE429-LF429</f>
        <v>-67536.24233828067</v>
      </c>
      <c r="LH429" s="13">
        <f>LH428+LG429</f>
        <v>-23367539.84904524</v>
      </c>
      <c r="LI429">
        <f>IF(LH429=MAX($LH$83:$LH$483),$A429,0)</f>
        <v>0</v>
      </c>
      <c r="LJ429">
        <f>IF(LE429&lt;LF429,$A429,B_MAX+1)</f>
        <v>346</v>
      </c>
      <c r="LK429" s="13">
        <f>IF(LB429=1,$LB$35,$LB$36)</f>
        <v>0</v>
      </c>
      <c r="LL429" s="13">
        <f>OCC_DAYS*$LB$41*R_NF_2023-LD429*MCD_SHARE_FREED*R_WAIT_2023</f>
        <v>113776.04162887059</v>
      </c>
      <c r="LM429">
        <f>IF($A429&lt;=$LB$45,1,0)</f>
        <v>0</v>
      </c>
      <c r="MB429">
        <f>IF($MB$31&lt;=$MB$32,IF($A429&lt;=$MB$7,1,2),IF($A429&lt;=RUNG_BEDS_2,2,1))</f>
        <v>1</v>
      </c>
      <c r="MC429" s="5">
        <f>MIN(1,MAX(0,$MB$26-($A429-1)))</f>
        <v>0</v>
      </c>
      <c r="MD429" s="5">
        <f>$MB$25*(MC429+(1-MC429)*$MB$16)</f>
        <v>0.0</v>
      </c>
      <c r="ME429" s="13">
        <f>MD429*($MB$6+ACUTE_MARGIN)</f>
        <v>0.0</v>
      </c>
      <c r="MF429" s="13">
        <f>IF(MB429=1,$MB$31,$MB$32)</f>
        <v>152394.16214437486</v>
      </c>
      <c r="MG429" s="13">
        <f>ME429-MF429</f>
        <v>-152394.16214437486</v>
      </c>
      <c r="MH429" s="13">
        <f>MH428+MG429</f>
        <v>-20386685.535479642</v>
      </c>
      <c r="MI429">
        <f>IF(MH429=MAX($MH$83:$MH$483),$A429,0)</f>
        <v>0</v>
      </c>
      <c r="MJ429">
        <f>IF(ME429&lt;MF429,$A429,B_MAX+1)</f>
        <v>346</v>
      </c>
      <c r="MK429" s="13">
        <f>IF(MB429=1,$MB$35,$MB$36)</f>
        <v>0</v>
      </c>
      <c r="ML429" s="13">
        <f>OCC_DAYS*$MB$41*R_NF_2023-MD429*MCD_SHARE_FREED*R_WAIT_2023</f>
        <v>151980.48282209205</v>
      </c>
      <c r="MM429">
        <f>IF($A429&lt;=$MB$45,1,0)</f>
        <v>0</v>
      </c>
      <c r="NB429">
        <f>IF($NB$31&lt;=$NB$32,IF($A429&lt;=$NB$7,1,2),IF($A429&lt;=RUNG_BEDS_2,2,1))</f>
        <v>1</v>
      </c>
      <c r="NC429" s="5">
        <f>MIN(1,MAX(0,$NB$26-($A429-1)))</f>
        <v>0</v>
      </c>
      <c r="ND429" s="5">
        <f>$NB$25*(NC429+(1-NC429)*$NB$16)</f>
        <v>63.013306786703595</v>
      </c>
      <c r="NE429" s="13">
        <f>ND429*($NB$6+ACUTE_MARGIN)</f>
        <v>63643.43985457063</v>
      </c>
      <c r="NF429" s="13">
        <f>IF(NB429=1,$NB$31,$NB$32)</f>
        <v>152394.16214437486</v>
      </c>
      <c r="NG429" s="13">
        <f>NE429-NF429</f>
        <v>-88750.72228980422</v>
      </c>
      <c r="NH429" s="13">
        <f>NH428+NG429</f>
        <v>-2036021.9410680374</v>
      </c>
      <c r="NI429">
        <f>IF(NH429=MAX($NH$83:$NH$483),$A429,0)</f>
        <v>0</v>
      </c>
      <c r="NJ429">
        <f>IF(NE429&lt;NF429,$A429,B_MAX+1)</f>
        <v>346</v>
      </c>
      <c r="NK429" s="13">
        <f>IF(NB429=1,$NB$35,$NB$36)</f>
        <v>0</v>
      </c>
      <c r="NL429" s="13">
        <f>OCC_DAYS*$NB$41*R_NF_2023-ND429*MCD_SHARE_FREED*R_WAIT_2023</f>
        <v>123327.15192717595</v>
      </c>
      <c r="NM429">
        <f>IF($A429&lt;=$NB$45,1,0)</f>
        <v>0</v>
      </c>
      <c r="OB429">
        <f>IF($OB$31&lt;=$OB$32,IF($A429&lt;=$OB$7,1,2),IF($A429&lt;=RUNG_BEDS_2,2,1))</f>
        <v>1</v>
      </c>
      <c r="OC429" s="5">
        <f>MIN(1,MAX(0,$OB$26-($A429-1)))</f>
        <v>0</v>
      </c>
      <c r="OD429" s="5">
        <f>$OB$25*(OC429+(1-OC429)*$OB$16)</f>
        <v>126.02661357340719</v>
      </c>
      <c r="OE429" s="13">
        <f>OD429*($OB$6+ACUTE_MARGIN)</f>
        <v>127286.87970914126</v>
      </c>
      <c r="OF429" s="13">
        <f>IF(OB429=1,$OB$31,$OB$32)</f>
        <v>152394.16214437486</v>
      </c>
      <c r="OG429" s="13">
        <f>OE429-OF429</f>
        <v>-25107.282435233603</v>
      </c>
      <c r="OH429" s="13">
        <f>OH428+OG429</f>
        <v>10427365.591545518</v>
      </c>
      <c r="OI429">
        <f>IF(OH429=MAX($OH$83:$OH$483),$A429,0)</f>
        <v>0</v>
      </c>
      <c r="OJ429">
        <f>IF(OE429&lt;OF429,$A429,B_MAX+1)</f>
        <v>346</v>
      </c>
      <c r="OK429" s="13">
        <f>IF(OB429=1,$OB$35,$OB$36)</f>
        <v>0</v>
      </c>
      <c r="OL429" s="13">
        <f>OCC_DAYS*$OB$41*R_NF_2023-OD429*MCD_SHARE_FREED*R_WAIT_2023</f>
        <v>94673.82103225985</v>
      </c>
      <c r="OM429">
        <f>IF($A429&lt;=$OB$45,1,0)</f>
        <v>0</v>
      </c>
    </row>
    <row r="430">
      <c r="A430" t="n">
        <v>347</v>
      </c>
      <c r="B430">
        <f>IF($B$31&lt;=$B$32,IF($A430&lt;=$B$7,1,2),IF($A430&lt;=RUNG_BEDS_2,2,1))</f>
        <v>1</v>
      </c>
      <c r="C430" s="5">
        <f>MIN(1,MAX(0,$B$26-($A430-1)))</f>
        <v>0</v>
      </c>
      <c r="D430" s="5">
        <f>$B$25*(C430+(1-C430)*$B$16)</f>
        <v>0.0</v>
      </c>
      <c r="E430" s="13">
        <f>D430*($B$6+ACUTE_MARGIN)</f>
        <v>0.0</v>
      </c>
      <c r="F430" s="13">
        <f>IF(B430=1,$B$31,$B$32)</f>
        <v>152394.16214437486</v>
      </c>
      <c r="G430" s="13">
        <f>E430-F430</f>
        <v>-152394.16214437486</v>
      </c>
      <c r="H430" s="13">
        <f>H429+G430</f>
        <v>-14651803.635825716</v>
      </c>
      <c r="I430">
        <f>IF(H430=MAX($H$83:$H$483),$A430,0)</f>
        <v>0</v>
      </c>
      <c r="J430">
        <f>IF(E430&lt;F430,$A430,B_MAX+1)</f>
        <v>347</v>
      </c>
      <c r="K430" s="13">
        <f>IF(B430=1,$B$35,$B$36)</f>
        <v>0</v>
      </c>
      <c r="L430" s="13">
        <f>OCC_DAYS*$B$41*R_NF_2023-D430*MCD_SHARE_FREED*R_WAIT_2023</f>
        <v>151980.48282209205</v>
      </c>
      <c r="M430">
        <f>IF($A430&lt;=$B$45,1,0)</f>
        <v>0</v>
      </c>
      <c r="AB430">
        <f>IF($AB$31&lt;=$AB$32,IF($A430&lt;=$AB$7,1,2),IF($A430&lt;=RUNG_BEDS_2,2,1))</f>
        <v>1</v>
      </c>
      <c r="AC430" s="5">
        <f>MIN(1,MAX(0,$AB$26-($A430-1)))</f>
        <v>0</v>
      </c>
      <c r="AD430" s="5">
        <f>$AB$25*(AC430+(1-AC430)*$AB$16)</f>
        <v>0.0</v>
      </c>
      <c r="AE430" s="13">
        <f>AD430*($AB$6+ACUTE_MARGIN)</f>
        <v>0.0</v>
      </c>
      <c r="AF430" s="13">
        <f>IF(AB430=1,$AB$31,$AB$32)</f>
        <v>152394.16214437486</v>
      </c>
      <c r="AG430" s="13">
        <f>AE430-AF430</f>
        <v>-152394.16214437486</v>
      </c>
      <c r="AH430" s="13">
        <f>AH429+AG430</f>
        <v>-32063017.981375452</v>
      </c>
      <c r="AI430">
        <f>IF(AH430=MAX($AH$83:$AH$483),$A430,0)</f>
        <v>0</v>
      </c>
      <c r="AJ430">
        <f>IF(AE430&lt;AF430,$A430,B_MAX+1)</f>
        <v>347</v>
      </c>
      <c r="AK430" s="13">
        <f>IF(AB430=1,$AB$35,$AB$36)</f>
        <v>0</v>
      </c>
      <c r="AL430" s="13">
        <f>OCC_DAYS*$AB$41*R_NF_2023-AD430*MCD_SHARE_FREED*R_WAIT_2023</f>
        <v>151980.48282209205</v>
      </c>
      <c r="AM430">
        <f>IF($A430&lt;=$AB$45,1,0)</f>
        <v>0</v>
      </c>
      <c r="BB430">
        <f>IF($BB$31&lt;=$BB$32,IF($A430&lt;=$BB$7,1,2),IF($A430&lt;=RUNG_BEDS_2,2,1))</f>
        <v>1</v>
      </c>
      <c r="BC430" s="5">
        <f>MIN(1,MAX(0,$BB$26-($A430-1)))</f>
        <v>0</v>
      </c>
      <c r="BD430" s="5">
        <f>$BB$25*(BC430+(1-BC430)*$BB$16)</f>
        <v>0.0</v>
      </c>
      <c r="BE430" s="13">
        <f>BD430*($BB$6+ACUTE_MARGIN)</f>
        <v>0.0</v>
      </c>
      <c r="BF430" s="13">
        <f>IF(BB430=1,$BB$31,$BB$32)</f>
        <v>152394.16214437486</v>
      </c>
      <c r="BG430" s="13">
        <f>BE430-BF430</f>
        <v>-152394.16214437486</v>
      </c>
      <c r="BH430" s="13">
        <f>BH429+BG430</f>
        <v>2759410.709724008</v>
      </c>
      <c r="BI430">
        <f>IF(BH430=MAX($BH$83:$BH$483),$A430,0)</f>
        <v>0</v>
      </c>
      <c r="BJ430">
        <f>IF(BE430&lt;BF430,$A430,B_MAX+1)</f>
        <v>347</v>
      </c>
      <c r="BK430" s="13">
        <f>IF(BB430=1,$BB$35,$BB$36)</f>
        <v>0</v>
      </c>
      <c r="BL430" s="13">
        <f>OCC_DAYS*$BB$41*R_NF_2023-BD430*MCD_SHARE_FREED*R_WAIT_2023</f>
        <v>151980.48282209205</v>
      </c>
      <c r="BM430">
        <f>IF($A430&lt;=$BB$45,1,0)</f>
        <v>0</v>
      </c>
      <c r="CB430">
        <f>IF($CB$31&lt;=$CB$32,IF($A430&lt;=$CB$7,1,2),IF($A430&lt;=RUNG_BEDS_2,2,1))</f>
        <v>2</v>
      </c>
      <c r="CC430" s="5">
        <f>MIN(1,MAX(0,$CB$26-($A430-1)))</f>
        <v>0</v>
      </c>
      <c r="CD430" s="5">
        <f>$CB$25*(CC430+(1-CC430)*$CB$16)</f>
        <v>0.0</v>
      </c>
      <c r="CE430" s="13">
        <f>CD430*($CB$6+ACUTE_MARGIN)</f>
        <v>0.0</v>
      </c>
      <c r="CF430" s="13">
        <f>IF(CB430=1,$CB$31,$CB$32)</f>
        <v>160718.36940738867</v>
      </c>
      <c r="CG430" s="13">
        <f>CE430-CF430</f>
        <v>-160718.36940738867</v>
      </c>
      <c r="CH430" s="13">
        <f>CH429+CG430</f>
        <v>-17540303.556091677</v>
      </c>
      <c r="CI430">
        <f>IF(CH430=MAX($CH$83:$CH$483),$A430,0)</f>
        <v>0</v>
      </c>
      <c r="CJ430">
        <f>IF(CE430&lt;CF430,$A430,B_MAX+1)</f>
        <v>347</v>
      </c>
      <c r="CK430" s="13">
        <f>IF(CB430=1,$CB$35,$CB$36)</f>
        <v>1560.1194073886782</v>
      </c>
      <c r="CL430" s="13">
        <f>OCC_DAYS*$CB$41*R_NF_2023-CD430*MCD_SHARE_FREED*R_WAIT_2023</f>
        <v>151980.48282209205</v>
      </c>
      <c r="CM430">
        <f>IF($A430&lt;=$CB$45,1,0)</f>
        <v>0</v>
      </c>
      <c r="DB430">
        <f>IF($DB$31&lt;=$DB$32,IF($A430&lt;=$DB$7,1,2),IF($A430&lt;=RUNG_BEDS_2,2,1))</f>
        <v>1</v>
      </c>
      <c r="DC430" s="5">
        <f>MIN(1,MAX(0,$DB$26-($A430-1)))</f>
        <v>0</v>
      </c>
      <c r="DD430" s="5">
        <f>$DB$25*(DC430+(1-DC430)*$DB$16)</f>
        <v>0.0</v>
      </c>
      <c r="DE430" s="13">
        <f>DD430*($DB$6+ACUTE_MARGIN)</f>
        <v>0.0</v>
      </c>
      <c r="DF430" s="13">
        <f>IF(DB430=1,$DB$31,$DB$32)</f>
        <v>152394.16214437486</v>
      </c>
      <c r="DG430" s="13">
        <f>DE430-DF430</f>
        <v>-152394.16214437486</v>
      </c>
      <c r="DH430" s="13">
        <f>DH429+DG430</f>
        <v>-14651803.635825716</v>
      </c>
      <c r="DI430">
        <f>IF(DH430=MAX($DH$83:$DH$483),$A430,0)</f>
        <v>0</v>
      </c>
      <c r="DJ430">
        <f>IF(DE430&lt;DF430,$A430,B_MAX+1)</f>
        <v>347</v>
      </c>
      <c r="DK430" s="13">
        <f>IF(DB430=1,$DB$35,$DB$36)</f>
        <v>0</v>
      </c>
      <c r="DL430" s="13">
        <f>OCC_DAYS*$DB$41*R_NF_2023-DD430*MCD_SHARE_FREED*R_WAIT_2023</f>
        <v>151980.48282209205</v>
      </c>
      <c r="DM430">
        <f>IF($A430&lt;=$DB$45,1,0)</f>
        <v>0</v>
      </c>
      <c r="EB430">
        <f>IF($EB$31&lt;=$EB$32,IF($A430&lt;=$EB$7,1,2),IF($A430&lt;=RUNG_BEDS_2,2,1))</f>
        <v>1</v>
      </c>
      <c r="EC430" s="5">
        <f>MIN(1,MAX(0,$EB$26-($A430-1)))</f>
        <v>0</v>
      </c>
      <c r="ED430" s="5">
        <f>$EB$25*(EC430+(1-EC430)*$EB$16)</f>
        <v>0.0</v>
      </c>
      <c r="EE430" s="13">
        <f>ED430*($EB$6+ACUTE_MARGIN)</f>
        <v>0.0</v>
      </c>
      <c r="EF430" s="13">
        <f>IF(EB430=1,$EB$31,$EB$32)</f>
        <v>152394.16214437486</v>
      </c>
      <c r="EG430" s="13">
        <f>EE430-EF430</f>
        <v>-152394.16214437486</v>
      </c>
      <c r="EH430" s="13">
        <f>EH429+EG430</f>
        <v>-14651803.635825716</v>
      </c>
      <c r="EI430">
        <f>IF(EH430=MAX($EH$83:$EH$483),$A430,0)</f>
        <v>0</v>
      </c>
      <c r="EJ430">
        <f>IF(EE430&lt;EF430,$A430,B_MAX+1)</f>
        <v>347</v>
      </c>
      <c r="EK430" s="13">
        <f>IF(EB430=1,$EB$35,$EB$36)</f>
        <v>0</v>
      </c>
      <c r="EL430" s="13">
        <f>OCC_DAYS*$EB$41*R_NF_2023-ED430*MCD_SHARE_FREED*R_WAIT_2023</f>
        <v>50660.16094069735</v>
      </c>
      <c r="EM430">
        <f>IF($A430&lt;=$EB$45,1,0)</f>
        <v>0</v>
      </c>
      <c r="FB430">
        <f>IF($FB$31&lt;=$FB$32,IF($A430&lt;=$FB$7,1,2),IF($A430&lt;=RUNG_BEDS_2,2,1))</f>
        <v>1</v>
      </c>
      <c r="FC430" s="5">
        <f>MIN(1,MAX(0,$FB$26-($A430-1)))</f>
        <v>0</v>
      </c>
      <c r="FD430" s="5">
        <f>$FB$25*(FC430+(1-FC430)*$FB$16)</f>
        <v>0.0</v>
      </c>
      <c r="FE430" s="13">
        <f>FD430*($FB$6+ACUTE_MARGIN)</f>
        <v>0.0</v>
      </c>
      <c r="FF430" s="13">
        <f>IF(FB430=1,$FB$31,$FB$32)</f>
        <v>156636.04979437485</v>
      </c>
      <c r="FG430" s="13">
        <f>FE430-FF430</f>
        <v>-156636.04979437485</v>
      </c>
      <c r="FH430" s="13">
        <f>FH429+FG430</f>
        <v>-16123738.650375819</v>
      </c>
      <c r="FI430">
        <f>IF(FH430=MAX($FH$83:$FH$483),$A430,0)</f>
        <v>0</v>
      </c>
      <c r="FJ430">
        <f>IF(FE430&lt;FF430,$A430,B_MAX+1)</f>
        <v>347</v>
      </c>
      <c r="FK430" s="13">
        <f>IF(FB430=1,$FB$35,$FB$36)</f>
        <v>0</v>
      </c>
      <c r="FL430" s="13">
        <f>OCC_DAYS*$FB$41*R_NF_2023-FD430*MCD_SHARE_FREED*R_WAIT_2023</f>
        <v>151980.48282209205</v>
      </c>
      <c r="FM430">
        <f>IF($A430&lt;=$FB$45,1,0)</f>
        <v>0</v>
      </c>
      <c r="GB430">
        <f>IF($GB$31&lt;=$GB$32,IF($A430&lt;=$GB$7,1,2),IF($A430&lt;=RUNG_BEDS_2,2,1))</f>
        <v>1</v>
      </c>
      <c r="GC430" s="5">
        <f>MIN(1,MAX(0,$GB$26-($A430-1)))</f>
        <v>0</v>
      </c>
      <c r="GD430" s="5">
        <f>$GB$25*(GC430+(1-GC430)*$GB$16)</f>
        <v>0.0</v>
      </c>
      <c r="GE430" s="13">
        <f>GD430*($GB$6+ACUTE_MARGIN)</f>
        <v>0.0</v>
      </c>
      <c r="GF430" s="13">
        <f>IF(GB430=1,$GB$31,$GB$32)</f>
        <v>152394.16214437486</v>
      </c>
      <c r="GG430" s="13">
        <f>GE430-GF430</f>
        <v>-152394.16214437486</v>
      </c>
      <c r="GH430" s="13">
        <f>GH429+GG430</f>
        <v>-14651803.635825716</v>
      </c>
      <c r="GI430">
        <f>IF(GH430=MAX($GH$83:$GH$483),$A430,0)</f>
        <v>0</v>
      </c>
      <c r="GJ430">
        <f>IF(GE430&lt;GF430,$A430,B_MAX+1)</f>
        <v>347</v>
      </c>
      <c r="GK430" s="13">
        <f>IF(GB430=1,$GB$35,$GB$36)</f>
        <v>0</v>
      </c>
      <c r="GL430" s="13">
        <f>OCC_DAYS*$GB$41*R_NF_2023-GD430*MCD_SHARE_FREED*R_WAIT_2023</f>
        <v>151980.48282209205</v>
      </c>
      <c r="GM430">
        <f>IF($A430&lt;=$GB$45,1,0)</f>
        <v>0</v>
      </c>
      <c r="HB430">
        <f>IF($HB$31&lt;=$HB$32,IF($A430&lt;=$HB$7,1,2),IF($A430&lt;=RUNG_BEDS_2,2,1))</f>
        <v>1</v>
      </c>
      <c r="HC430" s="5">
        <f>MIN(1,MAX(0,$HB$26-($A430-1)))</f>
        <v>0</v>
      </c>
      <c r="HD430" s="5">
        <f>$HB$25*(HC430+(1-HC430)*$HB$16)</f>
        <v>0.0</v>
      </c>
      <c r="HE430" s="13">
        <f>HD430*($HB$6+ACUTE_MARGIN)</f>
        <v>0.0</v>
      </c>
      <c r="HF430" s="13">
        <f>IF(HB430=1,$HB$31,$HB$32)</f>
        <v>152456.2970814058</v>
      </c>
      <c r="HG430" s="13">
        <f>HE430-HF430</f>
        <v>-152456.2970814058</v>
      </c>
      <c r="HH430" s="13">
        <f>HH429+HG430</f>
        <v>-14673364.458975507</v>
      </c>
      <c r="HI430">
        <f>IF(HH430=MAX($HH$83:$HH$483),$A430,0)</f>
        <v>0</v>
      </c>
      <c r="HJ430">
        <f>IF(HE430&lt;HF430,$A430,B_MAX+1)</f>
        <v>347</v>
      </c>
      <c r="HK430" s="13">
        <f>IF(HB430=1,$HB$35,$HB$36)</f>
        <v>0</v>
      </c>
      <c r="HL430" s="13">
        <f>OCC_DAYS*$HB$41*R_NF_2023-HD430*MCD_SHARE_FREED*R_WAIT_2023</f>
        <v>151980.48282209205</v>
      </c>
      <c r="HM430">
        <f>IF($A430&lt;=$HB$45,1,0)</f>
        <v>0</v>
      </c>
      <c r="IB430">
        <f>IF($IB$31&lt;=$IB$32,IF($A430&lt;=$IB$7,1,2),IF($A430&lt;=RUNG_BEDS_2,2,1))</f>
        <v>1</v>
      </c>
      <c r="IC430" s="5">
        <f>MIN(1,MAX(0,$IB$26-($A430-1)))</f>
        <v>0</v>
      </c>
      <c r="ID430" s="5">
        <f>$IB$25*(IC430+(1-IC430)*$IB$16)</f>
        <v>0.0</v>
      </c>
      <c r="IE430" s="13">
        <f>ID430*($IB$6+ACUTE_MARGIN)</f>
        <v>0.0</v>
      </c>
      <c r="IF430" s="13">
        <f>IF(IB430=1,$IB$31,$IB$32)</f>
        <v>152734.9994534971</v>
      </c>
      <c r="IG430" s="13">
        <f>IE430-IF430</f>
        <v>-152734.9994534971</v>
      </c>
      <c r="IH430" s="13">
        <f>IH429+IG430</f>
        <v>-14770074.182091214</v>
      </c>
      <c r="II430">
        <f>IF(IH430=MAX($IH$83:$IH$483),$A430,0)</f>
        <v>0</v>
      </c>
      <c r="IJ430">
        <f>IF(IE430&lt;IF430,$A430,B_MAX+1)</f>
        <v>347</v>
      </c>
      <c r="IK430" s="13">
        <f>IF(IB430=1,$IB$35,$IB$36)</f>
        <v>0</v>
      </c>
      <c r="IL430" s="13">
        <f>OCC_DAYS*$IB$41*R_NF_2023-ID430*MCD_SHARE_FREED*R_WAIT_2023</f>
        <v>151980.48282209205</v>
      </c>
      <c r="IM430">
        <f>IF($A430&lt;=$IB$45,1,0)</f>
        <v>0</v>
      </c>
      <c r="JB430">
        <f>IF($JB$31&lt;=$JB$32,IF($A430&lt;=$JB$7,1,2),IF($A430&lt;=RUNG_BEDS_2,2,1))</f>
        <v>1</v>
      </c>
      <c r="JC430" s="5">
        <f>MIN(1,MAX(0,$JB$26-($A430-1)))</f>
        <v>0</v>
      </c>
      <c r="JD430" s="5">
        <f>$JB$25*(JC430+(1-JC430)*$JB$16)</f>
        <v>0.0</v>
      </c>
      <c r="JE430" s="13">
        <f>JD430*($JB$6+ACUTE_MARGIN)</f>
        <v>0.0</v>
      </c>
      <c r="JF430" s="13">
        <f>IF(JB430=1,$JB$31,$JB$32)</f>
        <v>152394.16214437486</v>
      </c>
      <c r="JG430" s="13">
        <f>JE430-JF430</f>
        <v>-152394.16214437486</v>
      </c>
      <c r="JH430" s="13">
        <f>JH429+JG430</f>
        <v>-14651803.635825716</v>
      </c>
      <c r="JI430">
        <f>IF(JH430=MAX($JH$83:$JH$483),$A430,0)</f>
        <v>0</v>
      </c>
      <c r="JJ430">
        <f>IF(JE430&lt;JF430,$A430,B_MAX+1)</f>
        <v>347</v>
      </c>
      <c r="JK430" s="13">
        <f>IF(JB430=1,$JB$35,$JB$36)</f>
        <v>0</v>
      </c>
      <c r="JL430" s="13">
        <f>OCC_DAYS*$JB$41*R_NF_2023-JD430*MCD_SHARE_FREED*R_WAIT_2023</f>
        <v>151980.48282209205</v>
      </c>
      <c r="JM430">
        <f>IF($A430&lt;=$JB$45,1,0)</f>
        <v>0</v>
      </c>
      <c r="KB430">
        <f>IF($KB$31&lt;=$KB$32,IF($A430&lt;=$KB$7,1,2),IF($A430&lt;=RUNG_BEDS_2,2,1))</f>
        <v>1</v>
      </c>
      <c r="KC430" s="5">
        <f>MIN(1,MAX(0,$KB$26-($A430-1)))</f>
        <v>0</v>
      </c>
      <c r="KD430" s="5">
        <f>$KB$25*(KC430+(1-KC430)*$KB$16)</f>
        <v>0.0</v>
      </c>
      <c r="KE430" s="13">
        <f>KD430*($KB$6+ACUTE_MARGIN)</f>
        <v>0.0</v>
      </c>
      <c r="KF430" s="13">
        <f>IF(KB430=1,$KB$31,$KB$32)</f>
        <v>152394.16214437486</v>
      </c>
      <c r="KG430" s="13">
        <f>KE430-KF430</f>
        <v>-152394.16214437486</v>
      </c>
      <c r="KH430" s="13">
        <f>KH429+KG430</f>
        <v>-14651803.635825822</v>
      </c>
      <c r="KI430">
        <f>IF(KH430=MAX($KH$83:$KH$483),$A430,0)</f>
        <v>0</v>
      </c>
      <c r="KJ430">
        <f>IF(KE430&lt;KF430,$A430,B_MAX+1)</f>
        <v>347</v>
      </c>
      <c r="KK430" s="13">
        <f>IF(KB430=1,$KB$35,$KB$36)</f>
        <v>0</v>
      </c>
      <c r="KL430" s="13">
        <f>OCC_DAYS*$KB$41*R_NF_2023-KD430*MCD_SHARE_FREED*R_WAIT_2023</f>
        <v>151980.48282209205</v>
      </c>
      <c r="KM430">
        <f>IF($A430&lt;=$KB$45,1,0)</f>
        <v>0</v>
      </c>
      <c r="LB430">
        <f>IF($LB$31&lt;=$LB$32,IF($A430&lt;=$LB$7,1,2),IF($A430&lt;=RUNG_BEDS_2,2,1))</f>
        <v>1</v>
      </c>
      <c r="LC430" s="5">
        <f>MIN(1,MAX(0,$LB$26-($A430-1)))</f>
        <v>1</v>
      </c>
      <c r="LD430" s="5">
        <f>$LB$25*(LC430+(1-LC430)*$LB$16)</f>
        <v>84.01774238227146</v>
      </c>
      <c r="LE430" s="13">
        <f>LD430*($LB$6+ACUTE_MARGIN)</f>
        <v>84857.91980609419</v>
      </c>
      <c r="LF430" s="13">
        <f>IF(LB430=1,$LB$31,$LB$32)</f>
        <v>152394.16214437486</v>
      </c>
      <c r="LG430" s="13">
        <f>LE430-LF430</f>
        <v>-67536.24233828067</v>
      </c>
      <c r="LH430" s="13">
        <f>LH429+LG430</f>
        <v>-23435076.09138352</v>
      </c>
      <c r="LI430">
        <f>IF(LH430=MAX($LH$83:$LH$483),$A430,0)</f>
        <v>0</v>
      </c>
      <c r="LJ430">
        <f>IF(LE430&lt;LF430,$A430,B_MAX+1)</f>
        <v>347</v>
      </c>
      <c r="LK430" s="13">
        <f>IF(LB430=1,$LB$35,$LB$36)</f>
        <v>0</v>
      </c>
      <c r="LL430" s="13">
        <f>OCC_DAYS*$LB$41*R_NF_2023-LD430*MCD_SHARE_FREED*R_WAIT_2023</f>
        <v>113776.04162887059</v>
      </c>
      <c r="LM430">
        <f>IF($A430&lt;=$LB$45,1,0)</f>
        <v>0</v>
      </c>
      <c r="MB430">
        <f>IF($MB$31&lt;=$MB$32,IF($A430&lt;=$MB$7,1,2),IF($A430&lt;=RUNG_BEDS_2,2,1))</f>
        <v>1</v>
      </c>
      <c r="MC430" s="5">
        <f>MIN(1,MAX(0,$MB$26-($A430-1)))</f>
        <v>0</v>
      </c>
      <c r="MD430" s="5">
        <f>$MB$25*(MC430+(1-MC430)*$MB$16)</f>
        <v>0.0</v>
      </c>
      <c r="ME430" s="13">
        <f>MD430*($MB$6+ACUTE_MARGIN)</f>
        <v>0.0</v>
      </c>
      <c r="MF430" s="13">
        <f>IF(MB430=1,$MB$31,$MB$32)</f>
        <v>152394.16214437486</v>
      </c>
      <c r="MG430" s="13">
        <f>ME430-MF430</f>
        <v>-152394.16214437486</v>
      </c>
      <c r="MH430" s="13">
        <f>MH429+MG430</f>
        <v>-20539079.697624017</v>
      </c>
      <c r="MI430">
        <f>IF(MH430=MAX($MH$83:$MH$483),$A430,0)</f>
        <v>0</v>
      </c>
      <c r="MJ430">
        <f>IF(ME430&lt;MF430,$A430,B_MAX+1)</f>
        <v>347</v>
      </c>
      <c r="MK430" s="13">
        <f>IF(MB430=1,$MB$35,$MB$36)</f>
        <v>0</v>
      </c>
      <c r="ML430" s="13">
        <f>OCC_DAYS*$MB$41*R_NF_2023-MD430*MCD_SHARE_FREED*R_WAIT_2023</f>
        <v>151980.48282209205</v>
      </c>
      <c r="MM430">
        <f>IF($A430&lt;=$MB$45,1,0)</f>
        <v>0</v>
      </c>
      <c r="NB430">
        <f>IF($NB$31&lt;=$NB$32,IF($A430&lt;=$NB$7,1,2),IF($A430&lt;=RUNG_BEDS_2,2,1))</f>
        <v>1</v>
      </c>
      <c r="NC430" s="5">
        <f>MIN(1,MAX(0,$NB$26-($A430-1)))</f>
        <v>0</v>
      </c>
      <c r="ND430" s="5">
        <f>$NB$25*(NC430+(1-NC430)*$NB$16)</f>
        <v>63.013306786703595</v>
      </c>
      <c r="NE430" s="13">
        <f>ND430*($NB$6+ACUTE_MARGIN)</f>
        <v>63643.43985457063</v>
      </c>
      <c r="NF430" s="13">
        <f>IF(NB430=1,$NB$31,$NB$32)</f>
        <v>152394.16214437486</v>
      </c>
      <c r="NG430" s="13">
        <f>NE430-NF430</f>
        <v>-88750.72228980422</v>
      </c>
      <c r="NH430" s="13">
        <f>NH429+NG430</f>
        <v>-2124772.663357842</v>
      </c>
      <c r="NI430">
        <f>IF(NH430=MAX($NH$83:$NH$483),$A430,0)</f>
        <v>0</v>
      </c>
      <c r="NJ430">
        <f>IF(NE430&lt;NF430,$A430,B_MAX+1)</f>
        <v>347</v>
      </c>
      <c r="NK430" s="13">
        <f>IF(NB430=1,$NB$35,$NB$36)</f>
        <v>0</v>
      </c>
      <c r="NL430" s="13">
        <f>OCC_DAYS*$NB$41*R_NF_2023-ND430*MCD_SHARE_FREED*R_WAIT_2023</f>
        <v>123327.15192717595</v>
      </c>
      <c r="NM430">
        <f>IF($A430&lt;=$NB$45,1,0)</f>
        <v>0</v>
      </c>
      <c r="OB430">
        <f>IF($OB$31&lt;=$OB$32,IF($A430&lt;=$OB$7,1,2),IF($A430&lt;=RUNG_BEDS_2,2,1))</f>
        <v>1</v>
      </c>
      <c r="OC430" s="5">
        <f>MIN(1,MAX(0,$OB$26-($A430-1)))</f>
        <v>0</v>
      </c>
      <c r="OD430" s="5">
        <f>$OB$25*(OC430+(1-OC430)*$OB$16)</f>
        <v>126.02661357340719</v>
      </c>
      <c r="OE430" s="13">
        <f>OD430*($OB$6+ACUTE_MARGIN)</f>
        <v>127286.87970914126</v>
      </c>
      <c r="OF430" s="13">
        <f>IF(OB430=1,$OB$31,$OB$32)</f>
        <v>152394.16214437486</v>
      </c>
      <c r="OG430" s="13">
        <f>OE430-OF430</f>
        <v>-25107.282435233603</v>
      </c>
      <c r="OH430" s="13">
        <f>OH429+OG430</f>
        <v>10402258.309110286</v>
      </c>
      <c r="OI430">
        <f>IF(OH430=MAX($OH$83:$OH$483),$A430,0)</f>
        <v>0</v>
      </c>
      <c r="OJ430">
        <f>IF(OE430&lt;OF430,$A430,B_MAX+1)</f>
        <v>347</v>
      </c>
      <c r="OK430" s="13">
        <f>IF(OB430=1,$OB$35,$OB$36)</f>
        <v>0</v>
      </c>
      <c r="OL430" s="13">
        <f>OCC_DAYS*$OB$41*R_NF_2023-OD430*MCD_SHARE_FREED*R_WAIT_2023</f>
        <v>94673.82103225985</v>
      </c>
      <c r="OM430">
        <f>IF($A430&lt;=$OB$45,1,0)</f>
        <v>0</v>
      </c>
    </row>
    <row r="431">
      <c r="A431" t="n">
        <v>348</v>
      </c>
      <c r="B431">
        <f>IF($B$31&lt;=$B$32,IF($A431&lt;=$B$7,1,2),IF($A431&lt;=RUNG_BEDS_2,2,1))</f>
        <v>1</v>
      </c>
      <c r="C431" s="5">
        <f>MIN(1,MAX(0,$B$26-($A431-1)))</f>
        <v>0</v>
      </c>
      <c r="D431" s="5">
        <f>$B$25*(C431+(1-C431)*$B$16)</f>
        <v>0.0</v>
      </c>
      <c r="E431" s="13">
        <f>D431*($B$6+ACUTE_MARGIN)</f>
        <v>0.0</v>
      </c>
      <c r="F431" s="13">
        <f>IF(B431=1,$B$31,$B$32)</f>
        <v>152394.16214437486</v>
      </c>
      <c r="G431" s="13">
        <f>E431-F431</f>
        <v>-152394.16214437486</v>
      </c>
      <c r="H431" s="13">
        <f>H430+G431</f>
        <v>-14804197.79797009</v>
      </c>
      <c r="I431">
        <f>IF(H431=MAX($H$83:$H$483),$A431,0)</f>
        <v>0</v>
      </c>
      <c r="J431">
        <f>IF(E431&lt;F431,$A431,B_MAX+1)</f>
        <v>348</v>
      </c>
      <c r="K431" s="13">
        <f>IF(B431=1,$B$35,$B$36)</f>
        <v>0</v>
      </c>
      <c r="L431" s="13">
        <f>OCC_DAYS*$B$41*R_NF_2023-D431*MCD_SHARE_FREED*R_WAIT_2023</f>
        <v>151980.48282209205</v>
      </c>
      <c r="M431">
        <f>IF($A431&lt;=$B$45,1,0)</f>
        <v>0</v>
      </c>
      <c r="AB431">
        <f>IF($AB$31&lt;=$AB$32,IF($A431&lt;=$AB$7,1,2),IF($A431&lt;=RUNG_BEDS_2,2,1))</f>
        <v>1</v>
      </c>
      <c r="AC431" s="5">
        <f>MIN(1,MAX(0,$AB$26-($A431-1)))</f>
        <v>0</v>
      </c>
      <c r="AD431" s="5">
        <f>$AB$25*(AC431+(1-AC431)*$AB$16)</f>
        <v>0.0</v>
      </c>
      <c r="AE431" s="13">
        <f>AD431*($AB$6+ACUTE_MARGIN)</f>
        <v>0.0</v>
      </c>
      <c r="AF431" s="13">
        <f>IF(AB431=1,$AB$31,$AB$32)</f>
        <v>152394.16214437486</v>
      </c>
      <c r="AG431" s="13">
        <f>AE431-AF431</f>
        <v>-152394.16214437486</v>
      </c>
      <c r="AH431" s="13">
        <f>AH430+AG431</f>
        <v>-32215412.143519826</v>
      </c>
      <c r="AI431">
        <f>IF(AH431=MAX($AH$83:$AH$483),$A431,0)</f>
        <v>0</v>
      </c>
      <c r="AJ431">
        <f>IF(AE431&lt;AF431,$A431,B_MAX+1)</f>
        <v>348</v>
      </c>
      <c r="AK431" s="13">
        <f>IF(AB431=1,$AB$35,$AB$36)</f>
        <v>0</v>
      </c>
      <c r="AL431" s="13">
        <f>OCC_DAYS*$AB$41*R_NF_2023-AD431*MCD_SHARE_FREED*R_WAIT_2023</f>
        <v>151980.48282209205</v>
      </c>
      <c r="AM431">
        <f>IF($A431&lt;=$AB$45,1,0)</f>
        <v>0</v>
      </c>
      <c r="BB431">
        <f>IF($BB$31&lt;=$BB$32,IF($A431&lt;=$BB$7,1,2),IF($A431&lt;=RUNG_BEDS_2,2,1))</f>
        <v>1</v>
      </c>
      <c r="BC431" s="5">
        <f>MIN(1,MAX(0,$BB$26-($A431-1)))</f>
        <v>0</v>
      </c>
      <c r="BD431" s="5">
        <f>$BB$25*(BC431+(1-BC431)*$BB$16)</f>
        <v>0.0</v>
      </c>
      <c r="BE431" s="13">
        <f>BD431*($BB$6+ACUTE_MARGIN)</f>
        <v>0.0</v>
      </c>
      <c r="BF431" s="13">
        <f>IF(BB431=1,$BB$31,$BB$32)</f>
        <v>152394.16214437486</v>
      </c>
      <c r="BG431" s="13">
        <f>BE431-BF431</f>
        <v>-152394.16214437486</v>
      </c>
      <c r="BH431" s="13">
        <f>BH430+BG431</f>
        <v>2607016.547579633</v>
      </c>
      <c r="BI431">
        <f>IF(BH431=MAX($BH$83:$BH$483),$A431,0)</f>
        <v>0</v>
      </c>
      <c r="BJ431">
        <f>IF(BE431&lt;BF431,$A431,B_MAX+1)</f>
        <v>348</v>
      </c>
      <c r="BK431" s="13">
        <f>IF(BB431=1,$BB$35,$BB$36)</f>
        <v>0</v>
      </c>
      <c r="BL431" s="13">
        <f>OCC_DAYS*$BB$41*R_NF_2023-BD431*MCD_SHARE_FREED*R_WAIT_2023</f>
        <v>151980.48282209205</v>
      </c>
      <c r="BM431">
        <f>IF($A431&lt;=$BB$45,1,0)</f>
        <v>0</v>
      </c>
      <c r="CB431">
        <f>IF($CB$31&lt;=$CB$32,IF($A431&lt;=$CB$7,1,2),IF($A431&lt;=RUNG_BEDS_2,2,1))</f>
        <v>2</v>
      </c>
      <c r="CC431" s="5">
        <f>MIN(1,MAX(0,$CB$26-($A431-1)))</f>
        <v>0</v>
      </c>
      <c r="CD431" s="5">
        <f>$CB$25*(CC431+(1-CC431)*$CB$16)</f>
        <v>0.0</v>
      </c>
      <c r="CE431" s="13">
        <f>CD431*($CB$6+ACUTE_MARGIN)</f>
        <v>0.0</v>
      </c>
      <c r="CF431" s="13">
        <f>IF(CB431=1,$CB$31,$CB$32)</f>
        <v>160718.36940738867</v>
      </c>
      <c r="CG431" s="13">
        <f>CE431-CF431</f>
        <v>-160718.36940738867</v>
      </c>
      <c r="CH431" s="13">
        <f>CH430+CG431</f>
        <v>-17701021.925499067</v>
      </c>
      <c r="CI431">
        <f>IF(CH431=MAX($CH$83:$CH$483),$A431,0)</f>
        <v>0</v>
      </c>
      <c r="CJ431">
        <f>IF(CE431&lt;CF431,$A431,B_MAX+1)</f>
        <v>348</v>
      </c>
      <c r="CK431" s="13">
        <f>IF(CB431=1,$CB$35,$CB$36)</f>
        <v>1560.1194073886782</v>
      </c>
      <c r="CL431" s="13">
        <f>OCC_DAYS*$CB$41*R_NF_2023-CD431*MCD_SHARE_FREED*R_WAIT_2023</f>
        <v>151980.48282209205</v>
      </c>
      <c r="CM431">
        <f>IF($A431&lt;=$CB$45,1,0)</f>
        <v>0</v>
      </c>
      <c r="DB431">
        <f>IF($DB$31&lt;=$DB$32,IF($A431&lt;=$DB$7,1,2),IF($A431&lt;=RUNG_BEDS_2,2,1))</f>
        <v>1</v>
      </c>
      <c r="DC431" s="5">
        <f>MIN(1,MAX(0,$DB$26-($A431-1)))</f>
        <v>0</v>
      </c>
      <c r="DD431" s="5">
        <f>$DB$25*(DC431+(1-DC431)*$DB$16)</f>
        <v>0.0</v>
      </c>
      <c r="DE431" s="13">
        <f>DD431*($DB$6+ACUTE_MARGIN)</f>
        <v>0.0</v>
      </c>
      <c r="DF431" s="13">
        <f>IF(DB431=1,$DB$31,$DB$32)</f>
        <v>152394.16214437486</v>
      </c>
      <c r="DG431" s="13">
        <f>DE431-DF431</f>
        <v>-152394.16214437486</v>
      </c>
      <c r="DH431" s="13">
        <f>DH430+DG431</f>
        <v>-14804197.79797009</v>
      </c>
      <c r="DI431">
        <f>IF(DH431=MAX($DH$83:$DH$483),$A431,0)</f>
        <v>0</v>
      </c>
      <c r="DJ431">
        <f>IF(DE431&lt;DF431,$A431,B_MAX+1)</f>
        <v>348</v>
      </c>
      <c r="DK431" s="13">
        <f>IF(DB431=1,$DB$35,$DB$36)</f>
        <v>0</v>
      </c>
      <c r="DL431" s="13">
        <f>OCC_DAYS*$DB$41*R_NF_2023-DD431*MCD_SHARE_FREED*R_WAIT_2023</f>
        <v>151980.48282209205</v>
      </c>
      <c r="DM431">
        <f>IF($A431&lt;=$DB$45,1,0)</f>
        <v>0</v>
      </c>
      <c r="EB431">
        <f>IF($EB$31&lt;=$EB$32,IF($A431&lt;=$EB$7,1,2),IF($A431&lt;=RUNG_BEDS_2,2,1))</f>
        <v>1</v>
      </c>
      <c r="EC431" s="5">
        <f>MIN(1,MAX(0,$EB$26-($A431-1)))</f>
        <v>0</v>
      </c>
      <c r="ED431" s="5">
        <f>$EB$25*(EC431+(1-EC431)*$EB$16)</f>
        <v>0.0</v>
      </c>
      <c r="EE431" s="13">
        <f>ED431*($EB$6+ACUTE_MARGIN)</f>
        <v>0.0</v>
      </c>
      <c r="EF431" s="13">
        <f>IF(EB431=1,$EB$31,$EB$32)</f>
        <v>152394.16214437486</v>
      </c>
      <c r="EG431" s="13">
        <f>EE431-EF431</f>
        <v>-152394.16214437486</v>
      </c>
      <c r="EH431" s="13">
        <f>EH430+EG431</f>
        <v>-14804197.79797009</v>
      </c>
      <c r="EI431">
        <f>IF(EH431=MAX($EH$83:$EH$483),$A431,0)</f>
        <v>0</v>
      </c>
      <c r="EJ431">
        <f>IF(EE431&lt;EF431,$A431,B_MAX+1)</f>
        <v>348</v>
      </c>
      <c r="EK431" s="13">
        <f>IF(EB431=1,$EB$35,$EB$36)</f>
        <v>0</v>
      </c>
      <c r="EL431" s="13">
        <f>OCC_DAYS*$EB$41*R_NF_2023-ED431*MCD_SHARE_FREED*R_WAIT_2023</f>
        <v>50660.16094069735</v>
      </c>
      <c r="EM431">
        <f>IF($A431&lt;=$EB$45,1,0)</f>
        <v>0</v>
      </c>
      <c r="FB431">
        <f>IF($FB$31&lt;=$FB$32,IF($A431&lt;=$FB$7,1,2),IF($A431&lt;=RUNG_BEDS_2,2,1))</f>
        <v>1</v>
      </c>
      <c r="FC431" s="5">
        <f>MIN(1,MAX(0,$FB$26-($A431-1)))</f>
        <v>0</v>
      </c>
      <c r="FD431" s="5">
        <f>$FB$25*(FC431+(1-FC431)*$FB$16)</f>
        <v>0.0</v>
      </c>
      <c r="FE431" s="13">
        <f>FD431*($FB$6+ACUTE_MARGIN)</f>
        <v>0.0</v>
      </c>
      <c r="FF431" s="13">
        <f>IF(FB431=1,$FB$31,$FB$32)</f>
        <v>156636.04979437485</v>
      </c>
      <c r="FG431" s="13">
        <f>FE431-FF431</f>
        <v>-156636.04979437485</v>
      </c>
      <c r="FH431" s="13">
        <f>FH430+FG431</f>
        <v>-16280374.700170193</v>
      </c>
      <c r="FI431">
        <f>IF(FH431=MAX($FH$83:$FH$483),$A431,0)</f>
        <v>0</v>
      </c>
      <c r="FJ431">
        <f>IF(FE431&lt;FF431,$A431,B_MAX+1)</f>
        <v>348</v>
      </c>
      <c r="FK431" s="13">
        <f>IF(FB431=1,$FB$35,$FB$36)</f>
        <v>0</v>
      </c>
      <c r="FL431" s="13">
        <f>OCC_DAYS*$FB$41*R_NF_2023-FD431*MCD_SHARE_FREED*R_WAIT_2023</f>
        <v>151980.48282209205</v>
      </c>
      <c r="FM431">
        <f>IF($A431&lt;=$FB$45,1,0)</f>
        <v>0</v>
      </c>
      <c r="GB431">
        <f>IF($GB$31&lt;=$GB$32,IF($A431&lt;=$GB$7,1,2),IF($A431&lt;=RUNG_BEDS_2,2,1))</f>
        <v>1</v>
      </c>
      <c r="GC431" s="5">
        <f>MIN(1,MAX(0,$GB$26-($A431-1)))</f>
        <v>0</v>
      </c>
      <c r="GD431" s="5">
        <f>$GB$25*(GC431+(1-GC431)*$GB$16)</f>
        <v>0.0</v>
      </c>
      <c r="GE431" s="13">
        <f>GD431*($GB$6+ACUTE_MARGIN)</f>
        <v>0.0</v>
      </c>
      <c r="GF431" s="13">
        <f>IF(GB431=1,$GB$31,$GB$32)</f>
        <v>152394.16214437486</v>
      </c>
      <c r="GG431" s="13">
        <f>GE431-GF431</f>
        <v>-152394.16214437486</v>
      </c>
      <c r="GH431" s="13">
        <f>GH430+GG431</f>
        <v>-14804197.79797009</v>
      </c>
      <c r="GI431">
        <f>IF(GH431=MAX($GH$83:$GH$483),$A431,0)</f>
        <v>0</v>
      </c>
      <c r="GJ431">
        <f>IF(GE431&lt;GF431,$A431,B_MAX+1)</f>
        <v>348</v>
      </c>
      <c r="GK431" s="13">
        <f>IF(GB431=1,$GB$35,$GB$36)</f>
        <v>0</v>
      </c>
      <c r="GL431" s="13">
        <f>OCC_DAYS*$GB$41*R_NF_2023-GD431*MCD_SHARE_FREED*R_WAIT_2023</f>
        <v>151980.48282209205</v>
      </c>
      <c r="GM431">
        <f>IF($A431&lt;=$GB$45,1,0)</f>
        <v>0</v>
      </c>
      <c r="HB431">
        <f>IF($HB$31&lt;=$HB$32,IF($A431&lt;=$HB$7,1,2),IF($A431&lt;=RUNG_BEDS_2,2,1))</f>
        <v>1</v>
      </c>
      <c r="HC431" s="5">
        <f>MIN(1,MAX(0,$HB$26-($A431-1)))</f>
        <v>0</v>
      </c>
      <c r="HD431" s="5">
        <f>$HB$25*(HC431+(1-HC431)*$HB$16)</f>
        <v>0.0</v>
      </c>
      <c r="HE431" s="13">
        <f>HD431*($HB$6+ACUTE_MARGIN)</f>
        <v>0.0</v>
      </c>
      <c r="HF431" s="13">
        <f>IF(HB431=1,$HB$31,$HB$32)</f>
        <v>152456.2970814058</v>
      </c>
      <c r="HG431" s="13">
        <f>HE431-HF431</f>
        <v>-152456.2970814058</v>
      </c>
      <c r="HH431" s="13">
        <f>HH430+HG431</f>
        <v>-14825820.756056912</v>
      </c>
      <c r="HI431">
        <f>IF(HH431=MAX($HH$83:$HH$483),$A431,0)</f>
        <v>0</v>
      </c>
      <c r="HJ431">
        <f>IF(HE431&lt;HF431,$A431,B_MAX+1)</f>
        <v>348</v>
      </c>
      <c r="HK431" s="13">
        <f>IF(HB431=1,$HB$35,$HB$36)</f>
        <v>0</v>
      </c>
      <c r="HL431" s="13">
        <f>OCC_DAYS*$HB$41*R_NF_2023-HD431*MCD_SHARE_FREED*R_WAIT_2023</f>
        <v>151980.48282209205</v>
      </c>
      <c r="HM431">
        <f>IF($A431&lt;=$HB$45,1,0)</f>
        <v>0</v>
      </c>
      <c r="IB431">
        <f>IF($IB$31&lt;=$IB$32,IF($A431&lt;=$IB$7,1,2),IF($A431&lt;=RUNG_BEDS_2,2,1))</f>
        <v>1</v>
      </c>
      <c r="IC431" s="5">
        <f>MIN(1,MAX(0,$IB$26-($A431-1)))</f>
        <v>0</v>
      </c>
      <c r="ID431" s="5">
        <f>$IB$25*(IC431+(1-IC431)*$IB$16)</f>
        <v>0.0</v>
      </c>
      <c r="IE431" s="13">
        <f>ID431*($IB$6+ACUTE_MARGIN)</f>
        <v>0.0</v>
      </c>
      <c r="IF431" s="13">
        <f>IF(IB431=1,$IB$31,$IB$32)</f>
        <v>152734.9994534971</v>
      </c>
      <c r="IG431" s="13">
        <f>IE431-IF431</f>
        <v>-152734.9994534971</v>
      </c>
      <c r="IH431" s="13">
        <f>IH430+IG431</f>
        <v>-14922809.18154471</v>
      </c>
      <c r="II431">
        <f>IF(IH431=MAX($IH$83:$IH$483),$A431,0)</f>
        <v>0</v>
      </c>
      <c r="IJ431">
        <f>IF(IE431&lt;IF431,$A431,B_MAX+1)</f>
        <v>348</v>
      </c>
      <c r="IK431" s="13">
        <f>IF(IB431=1,$IB$35,$IB$36)</f>
        <v>0</v>
      </c>
      <c r="IL431" s="13">
        <f>OCC_DAYS*$IB$41*R_NF_2023-ID431*MCD_SHARE_FREED*R_WAIT_2023</f>
        <v>151980.48282209205</v>
      </c>
      <c r="IM431">
        <f>IF($A431&lt;=$IB$45,1,0)</f>
        <v>0</v>
      </c>
      <c r="JB431">
        <f>IF($JB$31&lt;=$JB$32,IF($A431&lt;=$JB$7,1,2),IF($A431&lt;=RUNG_BEDS_2,2,1))</f>
        <v>1</v>
      </c>
      <c r="JC431" s="5">
        <f>MIN(1,MAX(0,$JB$26-($A431-1)))</f>
        <v>0</v>
      </c>
      <c r="JD431" s="5">
        <f>$JB$25*(JC431+(1-JC431)*$JB$16)</f>
        <v>0.0</v>
      </c>
      <c r="JE431" s="13">
        <f>JD431*($JB$6+ACUTE_MARGIN)</f>
        <v>0.0</v>
      </c>
      <c r="JF431" s="13">
        <f>IF(JB431=1,$JB$31,$JB$32)</f>
        <v>152394.16214437486</v>
      </c>
      <c r="JG431" s="13">
        <f>JE431-JF431</f>
        <v>-152394.16214437486</v>
      </c>
      <c r="JH431" s="13">
        <f>JH430+JG431</f>
        <v>-14804197.79797009</v>
      </c>
      <c r="JI431">
        <f>IF(JH431=MAX($JH$83:$JH$483),$A431,0)</f>
        <v>0</v>
      </c>
      <c r="JJ431">
        <f>IF(JE431&lt;JF431,$A431,B_MAX+1)</f>
        <v>348</v>
      </c>
      <c r="JK431" s="13">
        <f>IF(JB431=1,$JB$35,$JB$36)</f>
        <v>0</v>
      </c>
      <c r="JL431" s="13">
        <f>OCC_DAYS*$JB$41*R_NF_2023-JD431*MCD_SHARE_FREED*R_WAIT_2023</f>
        <v>151980.48282209205</v>
      </c>
      <c r="JM431">
        <f>IF($A431&lt;=$JB$45,1,0)</f>
        <v>0</v>
      </c>
      <c r="KB431">
        <f>IF($KB$31&lt;=$KB$32,IF($A431&lt;=$KB$7,1,2),IF($A431&lt;=RUNG_BEDS_2,2,1))</f>
        <v>1</v>
      </c>
      <c r="KC431" s="5">
        <f>MIN(1,MAX(0,$KB$26-($A431-1)))</f>
        <v>0</v>
      </c>
      <c r="KD431" s="5">
        <f>$KB$25*(KC431+(1-KC431)*$KB$16)</f>
        <v>0.0</v>
      </c>
      <c r="KE431" s="13">
        <f>KD431*($KB$6+ACUTE_MARGIN)</f>
        <v>0.0</v>
      </c>
      <c r="KF431" s="13">
        <f>IF(KB431=1,$KB$31,$KB$32)</f>
        <v>152394.16214437486</v>
      </c>
      <c r="KG431" s="13">
        <f>KE431-KF431</f>
        <v>-152394.16214437486</v>
      </c>
      <c r="KH431" s="13">
        <f>KH430+KG431</f>
        <v>-14804197.797970196</v>
      </c>
      <c r="KI431">
        <f>IF(KH431=MAX($KH$83:$KH$483),$A431,0)</f>
        <v>0</v>
      </c>
      <c r="KJ431">
        <f>IF(KE431&lt;KF431,$A431,B_MAX+1)</f>
        <v>348</v>
      </c>
      <c r="KK431" s="13">
        <f>IF(KB431=1,$KB$35,$KB$36)</f>
        <v>0</v>
      </c>
      <c r="KL431" s="13">
        <f>OCC_DAYS*$KB$41*R_NF_2023-KD431*MCD_SHARE_FREED*R_WAIT_2023</f>
        <v>151980.48282209205</v>
      </c>
      <c r="KM431">
        <f>IF($A431&lt;=$KB$45,1,0)</f>
        <v>0</v>
      </c>
      <c r="LB431">
        <f>IF($LB$31&lt;=$LB$32,IF($A431&lt;=$LB$7,1,2),IF($A431&lt;=RUNG_BEDS_2,2,1))</f>
        <v>1</v>
      </c>
      <c r="LC431" s="5">
        <f>MIN(1,MAX(0,$LB$26-($A431-1)))</f>
        <v>1</v>
      </c>
      <c r="LD431" s="5">
        <f>$LB$25*(LC431+(1-LC431)*$LB$16)</f>
        <v>84.01774238227146</v>
      </c>
      <c r="LE431" s="13">
        <f>LD431*($LB$6+ACUTE_MARGIN)</f>
        <v>84857.91980609419</v>
      </c>
      <c r="LF431" s="13">
        <f>IF(LB431=1,$LB$31,$LB$32)</f>
        <v>152394.16214437486</v>
      </c>
      <c r="LG431" s="13">
        <f>LE431-LF431</f>
        <v>-67536.24233828067</v>
      </c>
      <c r="LH431" s="13">
        <f>LH430+LG431</f>
        <v>-23502612.3337218</v>
      </c>
      <c r="LI431">
        <f>IF(LH431=MAX($LH$83:$LH$483),$A431,0)</f>
        <v>0</v>
      </c>
      <c r="LJ431">
        <f>IF(LE431&lt;LF431,$A431,B_MAX+1)</f>
        <v>348</v>
      </c>
      <c r="LK431" s="13">
        <f>IF(LB431=1,$LB$35,$LB$36)</f>
        <v>0</v>
      </c>
      <c r="LL431" s="13">
        <f>OCC_DAYS*$LB$41*R_NF_2023-LD431*MCD_SHARE_FREED*R_WAIT_2023</f>
        <v>113776.04162887059</v>
      </c>
      <c r="LM431">
        <f>IF($A431&lt;=$LB$45,1,0)</f>
        <v>0</v>
      </c>
      <c r="MB431">
        <f>IF($MB$31&lt;=$MB$32,IF($A431&lt;=$MB$7,1,2),IF($A431&lt;=RUNG_BEDS_2,2,1))</f>
        <v>1</v>
      </c>
      <c r="MC431" s="5">
        <f>MIN(1,MAX(0,$MB$26-($A431-1)))</f>
        <v>0</v>
      </c>
      <c r="MD431" s="5">
        <f>$MB$25*(MC431+(1-MC431)*$MB$16)</f>
        <v>0.0</v>
      </c>
      <c r="ME431" s="13">
        <f>MD431*($MB$6+ACUTE_MARGIN)</f>
        <v>0.0</v>
      </c>
      <c r="MF431" s="13">
        <f>IF(MB431=1,$MB$31,$MB$32)</f>
        <v>152394.16214437486</v>
      </c>
      <c r="MG431" s="13">
        <f>ME431-MF431</f>
        <v>-152394.16214437486</v>
      </c>
      <c r="MH431" s="13">
        <f>MH430+MG431</f>
        <v>-20691473.85976839</v>
      </c>
      <c r="MI431">
        <f>IF(MH431=MAX($MH$83:$MH$483),$A431,0)</f>
        <v>0</v>
      </c>
      <c r="MJ431">
        <f>IF(ME431&lt;MF431,$A431,B_MAX+1)</f>
        <v>348</v>
      </c>
      <c r="MK431" s="13">
        <f>IF(MB431=1,$MB$35,$MB$36)</f>
        <v>0</v>
      </c>
      <c r="ML431" s="13">
        <f>OCC_DAYS*$MB$41*R_NF_2023-MD431*MCD_SHARE_FREED*R_WAIT_2023</f>
        <v>151980.48282209205</v>
      </c>
      <c r="MM431">
        <f>IF($A431&lt;=$MB$45,1,0)</f>
        <v>0</v>
      </c>
      <c r="NB431">
        <f>IF($NB$31&lt;=$NB$32,IF($A431&lt;=$NB$7,1,2),IF($A431&lt;=RUNG_BEDS_2,2,1))</f>
        <v>1</v>
      </c>
      <c r="NC431" s="5">
        <f>MIN(1,MAX(0,$NB$26-($A431-1)))</f>
        <v>0</v>
      </c>
      <c r="ND431" s="5">
        <f>$NB$25*(NC431+(1-NC431)*$NB$16)</f>
        <v>63.013306786703595</v>
      </c>
      <c r="NE431" s="13">
        <f>ND431*($NB$6+ACUTE_MARGIN)</f>
        <v>63643.43985457063</v>
      </c>
      <c r="NF431" s="13">
        <f>IF(NB431=1,$NB$31,$NB$32)</f>
        <v>152394.16214437486</v>
      </c>
      <c r="NG431" s="13">
        <f>NE431-NF431</f>
        <v>-88750.72228980422</v>
      </c>
      <c r="NH431" s="13">
        <f>NH430+NG431</f>
        <v>-2213523.385647646</v>
      </c>
      <c r="NI431">
        <f>IF(NH431=MAX($NH$83:$NH$483),$A431,0)</f>
        <v>0</v>
      </c>
      <c r="NJ431">
        <f>IF(NE431&lt;NF431,$A431,B_MAX+1)</f>
        <v>348</v>
      </c>
      <c r="NK431" s="13">
        <f>IF(NB431=1,$NB$35,$NB$36)</f>
        <v>0</v>
      </c>
      <c r="NL431" s="13">
        <f>OCC_DAYS*$NB$41*R_NF_2023-ND431*MCD_SHARE_FREED*R_WAIT_2023</f>
        <v>123327.15192717595</v>
      </c>
      <c r="NM431">
        <f>IF($A431&lt;=$NB$45,1,0)</f>
        <v>0</v>
      </c>
      <c r="OB431">
        <f>IF($OB$31&lt;=$OB$32,IF($A431&lt;=$OB$7,1,2),IF($A431&lt;=RUNG_BEDS_2,2,1))</f>
        <v>1</v>
      </c>
      <c r="OC431" s="5">
        <f>MIN(1,MAX(0,$OB$26-($A431-1)))</f>
        <v>0</v>
      </c>
      <c r="OD431" s="5">
        <f>$OB$25*(OC431+(1-OC431)*$OB$16)</f>
        <v>126.02661357340719</v>
      </c>
      <c r="OE431" s="13">
        <f>OD431*($OB$6+ACUTE_MARGIN)</f>
        <v>127286.87970914126</v>
      </c>
      <c r="OF431" s="13">
        <f>IF(OB431=1,$OB$31,$OB$32)</f>
        <v>152394.16214437486</v>
      </c>
      <c r="OG431" s="13">
        <f>OE431-OF431</f>
        <v>-25107.282435233603</v>
      </c>
      <c r="OH431" s="13">
        <f>OH430+OG431</f>
        <v>10377151.026675053</v>
      </c>
      <c r="OI431">
        <f>IF(OH431=MAX($OH$83:$OH$483),$A431,0)</f>
        <v>0</v>
      </c>
      <c r="OJ431">
        <f>IF(OE431&lt;OF431,$A431,B_MAX+1)</f>
        <v>348</v>
      </c>
      <c r="OK431" s="13">
        <f>IF(OB431=1,$OB$35,$OB$36)</f>
        <v>0</v>
      </c>
      <c r="OL431" s="13">
        <f>OCC_DAYS*$OB$41*R_NF_2023-OD431*MCD_SHARE_FREED*R_WAIT_2023</f>
        <v>94673.82103225985</v>
      </c>
      <c r="OM431">
        <f>IF($A431&lt;=$OB$45,1,0)</f>
        <v>0</v>
      </c>
    </row>
    <row r="432">
      <c r="A432" t="n">
        <v>349</v>
      </c>
      <c r="B432">
        <f>IF($B$31&lt;=$B$32,IF($A432&lt;=$B$7,1,2),IF($A432&lt;=RUNG_BEDS_2,2,1))</f>
        <v>1</v>
      </c>
      <c r="C432" s="5">
        <f>MIN(1,MAX(0,$B$26-($A432-1)))</f>
        <v>0</v>
      </c>
      <c r="D432" s="5">
        <f>$B$25*(C432+(1-C432)*$B$16)</f>
        <v>0.0</v>
      </c>
      <c r="E432" s="13">
        <f>D432*($B$6+ACUTE_MARGIN)</f>
        <v>0.0</v>
      </c>
      <c r="F432" s="13">
        <f>IF(B432=1,$B$31,$B$32)</f>
        <v>152394.16214437486</v>
      </c>
      <c r="G432" s="13">
        <f>E432-F432</f>
        <v>-152394.16214437486</v>
      </c>
      <c r="H432" s="13">
        <f>H431+G432</f>
        <v>-14956591.960114464</v>
      </c>
      <c r="I432">
        <f>IF(H432=MAX($H$83:$H$483),$A432,0)</f>
        <v>0</v>
      </c>
      <c r="J432">
        <f>IF(E432&lt;F432,$A432,B_MAX+1)</f>
        <v>349</v>
      </c>
      <c r="K432" s="13">
        <f>IF(B432=1,$B$35,$B$36)</f>
        <v>0</v>
      </c>
      <c r="L432" s="13">
        <f>OCC_DAYS*$B$41*R_NF_2023-D432*MCD_SHARE_FREED*R_WAIT_2023</f>
        <v>151980.48282209205</v>
      </c>
      <c r="M432">
        <f>IF($A432&lt;=$B$45,1,0)</f>
        <v>0</v>
      </c>
      <c r="AB432">
        <f>IF($AB$31&lt;=$AB$32,IF($A432&lt;=$AB$7,1,2),IF($A432&lt;=RUNG_BEDS_2,2,1))</f>
        <v>1</v>
      </c>
      <c r="AC432" s="5">
        <f>MIN(1,MAX(0,$AB$26-($A432-1)))</f>
        <v>0</v>
      </c>
      <c r="AD432" s="5">
        <f>$AB$25*(AC432+(1-AC432)*$AB$16)</f>
        <v>0.0</v>
      </c>
      <c r="AE432" s="13">
        <f>AD432*($AB$6+ACUTE_MARGIN)</f>
        <v>0.0</v>
      </c>
      <c r="AF432" s="13">
        <f>IF(AB432=1,$AB$31,$AB$32)</f>
        <v>152394.16214437486</v>
      </c>
      <c r="AG432" s="13">
        <f>AE432-AF432</f>
        <v>-152394.16214437486</v>
      </c>
      <c r="AH432" s="13">
        <f>AH431+AG432</f>
        <v>-32367806.3056642</v>
      </c>
      <c r="AI432">
        <f>IF(AH432=MAX($AH$83:$AH$483),$A432,0)</f>
        <v>0</v>
      </c>
      <c r="AJ432">
        <f>IF(AE432&lt;AF432,$A432,B_MAX+1)</f>
        <v>349</v>
      </c>
      <c r="AK432" s="13">
        <f>IF(AB432=1,$AB$35,$AB$36)</f>
        <v>0</v>
      </c>
      <c r="AL432" s="13">
        <f>OCC_DAYS*$AB$41*R_NF_2023-AD432*MCD_SHARE_FREED*R_WAIT_2023</f>
        <v>151980.48282209205</v>
      </c>
      <c r="AM432">
        <f>IF($A432&lt;=$AB$45,1,0)</f>
        <v>0</v>
      </c>
      <c r="BB432">
        <f>IF($BB$31&lt;=$BB$32,IF($A432&lt;=$BB$7,1,2),IF($A432&lt;=RUNG_BEDS_2,2,1))</f>
        <v>1</v>
      </c>
      <c r="BC432" s="5">
        <f>MIN(1,MAX(0,$BB$26-($A432-1)))</f>
        <v>0</v>
      </c>
      <c r="BD432" s="5">
        <f>$BB$25*(BC432+(1-BC432)*$BB$16)</f>
        <v>0.0</v>
      </c>
      <c r="BE432" s="13">
        <f>BD432*($BB$6+ACUTE_MARGIN)</f>
        <v>0.0</v>
      </c>
      <c r="BF432" s="13">
        <f>IF(BB432=1,$BB$31,$BB$32)</f>
        <v>152394.16214437486</v>
      </c>
      <c r="BG432" s="13">
        <f>BE432-BF432</f>
        <v>-152394.16214437486</v>
      </c>
      <c r="BH432" s="13">
        <f>BH431+BG432</f>
        <v>2454622.385435258</v>
      </c>
      <c r="BI432">
        <f>IF(BH432=MAX($BH$83:$BH$483),$A432,0)</f>
        <v>0</v>
      </c>
      <c r="BJ432">
        <f>IF(BE432&lt;BF432,$A432,B_MAX+1)</f>
        <v>349</v>
      </c>
      <c r="BK432" s="13">
        <f>IF(BB432=1,$BB$35,$BB$36)</f>
        <v>0</v>
      </c>
      <c r="BL432" s="13">
        <f>OCC_DAYS*$BB$41*R_NF_2023-BD432*MCD_SHARE_FREED*R_WAIT_2023</f>
        <v>151980.48282209205</v>
      </c>
      <c r="BM432">
        <f>IF($A432&lt;=$BB$45,1,0)</f>
        <v>0</v>
      </c>
      <c r="CB432">
        <f>IF($CB$31&lt;=$CB$32,IF($A432&lt;=$CB$7,1,2),IF($A432&lt;=RUNG_BEDS_2,2,1))</f>
        <v>2</v>
      </c>
      <c r="CC432" s="5">
        <f>MIN(1,MAX(0,$CB$26-($A432-1)))</f>
        <v>0</v>
      </c>
      <c r="CD432" s="5">
        <f>$CB$25*(CC432+(1-CC432)*$CB$16)</f>
        <v>0.0</v>
      </c>
      <c r="CE432" s="13">
        <f>CD432*($CB$6+ACUTE_MARGIN)</f>
        <v>0.0</v>
      </c>
      <c r="CF432" s="13">
        <f>IF(CB432=1,$CB$31,$CB$32)</f>
        <v>160718.36940738867</v>
      </c>
      <c r="CG432" s="13">
        <f>CE432-CF432</f>
        <v>-160718.36940738867</v>
      </c>
      <c r="CH432" s="13">
        <f>CH431+CG432</f>
        <v>-17861740.294906456</v>
      </c>
      <c r="CI432">
        <f>IF(CH432=MAX($CH$83:$CH$483),$A432,0)</f>
        <v>0</v>
      </c>
      <c r="CJ432">
        <f>IF(CE432&lt;CF432,$A432,B_MAX+1)</f>
        <v>349</v>
      </c>
      <c r="CK432" s="13">
        <f>IF(CB432=1,$CB$35,$CB$36)</f>
        <v>1560.1194073886782</v>
      </c>
      <c r="CL432" s="13">
        <f>OCC_DAYS*$CB$41*R_NF_2023-CD432*MCD_SHARE_FREED*R_WAIT_2023</f>
        <v>151980.48282209205</v>
      </c>
      <c r="CM432">
        <f>IF($A432&lt;=$CB$45,1,0)</f>
        <v>0</v>
      </c>
      <c r="DB432">
        <f>IF($DB$31&lt;=$DB$32,IF($A432&lt;=$DB$7,1,2),IF($A432&lt;=RUNG_BEDS_2,2,1))</f>
        <v>1</v>
      </c>
      <c r="DC432" s="5">
        <f>MIN(1,MAX(0,$DB$26-($A432-1)))</f>
        <v>0</v>
      </c>
      <c r="DD432" s="5">
        <f>$DB$25*(DC432+(1-DC432)*$DB$16)</f>
        <v>0.0</v>
      </c>
      <c r="DE432" s="13">
        <f>DD432*($DB$6+ACUTE_MARGIN)</f>
        <v>0.0</v>
      </c>
      <c r="DF432" s="13">
        <f>IF(DB432=1,$DB$31,$DB$32)</f>
        <v>152394.16214437486</v>
      </c>
      <c r="DG432" s="13">
        <f>DE432-DF432</f>
        <v>-152394.16214437486</v>
      </c>
      <c r="DH432" s="13">
        <f>DH431+DG432</f>
        <v>-14956591.960114464</v>
      </c>
      <c r="DI432">
        <f>IF(DH432=MAX($DH$83:$DH$483),$A432,0)</f>
        <v>0</v>
      </c>
      <c r="DJ432">
        <f>IF(DE432&lt;DF432,$A432,B_MAX+1)</f>
        <v>349</v>
      </c>
      <c r="DK432" s="13">
        <f>IF(DB432=1,$DB$35,$DB$36)</f>
        <v>0</v>
      </c>
      <c r="DL432" s="13">
        <f>OCC_DAYS*$DB$41*R_NF_2023-DD432*MCD_SHARE_FREED*R_WAIT_2023</f>
        <v>151980.48282209205</v>
      </c>
      <c r="DM432">
        <f>IF($A432&lt;=$DB$45,1,0)</f>
        <v>0</v>
      </c>
      <c r="EB432">
        <f>IF($EB$31&lt;=$EB$32,IF($A432&lt;=$EB$7,1,2),IF($A432&lt;=RUNG_BEDS_2,2,1))</f>
        <v>1</v>
      </c>
      <c r="EC432" s="5">
        <f>MIN(1,MAX(0,$EB$26-($A432-1)))</f>
        <v>0</v>
      </c>
      <c r="ED432" s="5">
        <f>$EB$25*(EC432+(1-EC432)*$EB$16)</f>
        <v>0.0</v>
      </c>
      <c r="EE432" s="13">
        <f>ED432*($EB$6+ACUTE_MARGIN)</f>
        <v>0.0</v>
      </c>
      <c r="EF432" s="13">
        <f>IF(EB432=1,$EB$31,$EB$32)</f>
        <v>152394.16214437486</v>
      </c>
      <c r="EG432" s="13">
        <f>EE432-EF432</f>
        <v>-152394.16214437486</v>
      </c>
      <c r="EH432" s="13">
        <f>EH431+EG432</f>
        <v>-14956591.960114464</v>
      </c>
      <c r="EI432">
        <f>IF(EH432=MAX($EH$83:$EH$483),$A432,0)</f>
        <v>0</v>
      </c>
      <c r="EJ432">
        <f>IF(EE432&lt;EF432,$A432,B_MAX+1)</f>
        <v>349</v>
      </c>
      <c r="EK432" s="13">
        <f>IF(EB432=1,$EB$35,$EB$36)</f>
        <v>0</v>
      </c>
      <c r="EL432" s="13">
        <f>OCC_DAYS*$EB$41*R_NF_2023-ED432*MCD_SHARE_FREED*R_WAIT_2023</f>
        <v>50660.16094069735</v>
      </c>
      <c r="EM432">
        <f>IF($A432&lt;=$EB$45,1,0)</f>
        <v>0</v>
      </c>
      <c r="FB432">
        <f>IF($FB$31&lt;=$FB$32,IF($A432&lt;=$FB$7,1,2),IF($A432&lt;=RUNG_BEDS_2,2,1))</f>
        <v>1</v>
      </c>
      <c r="FC432" s="5">
        <f>MIN(1,MAX(0,$FB$26-($A432-1)))</f>
        <v>0</v>
      </c>
      <c r="FD432" s="5">
        <f>$FB$25*(FC432+(1-FC432)*$FB$16)</f>
        <v>0.0</v>
      </c>
      <c r="FE432" s="13">
        <f>FD432*($FB$6+ACUTE_MARGIN)</f>
        <v>0.0</v>
      </c>
      <c r="FF432" s="13">
        <f>IF(FB432=1,$FB$31,$FB$32)</f>
        <v>156636.04979437485</v>
      </c>
      <c r="FG432" s="13">
        <f>FE432-FF432</f>
        <v>-156636.04979437485</v>
      </c>
      <c r="FH432" s="13">
        <f>FH431+FG432</f>
        <v>-16437010.749964567</v>
      </c>
      <c r="FI432">
        <f>IF(FH432=MAX($FH$83:$FH$483),$A432,0)</f>
        <v>0</v>
      </c>
      <c r="FJ432">
        <f>IF(FE432&lt;FF432,$A432,B_MAX+1)</f>
        <v>349</v>
      </c>
      <c r="FK432" s="13">
        <f>IF(FB432=1,$FB$35,$FB$36)</f>
        <v>0</v>
      </c>
      <c r="FL432" s="13">
        <f>OCC_DAYS*$FB$41*R_NF_2023-FD432*MCD_SHARE_FREED*R_WAIT_2023</f>
        <v>151980.48282209205</v>
      </c>
      <c r="FM432">
        <f>IF($A432&lt;=$FB$45,1,0)</f>
        <v>0</v>
      </c>
      <c r="GB432">
        <f>IF($GB$31&lt;=$GB$32,IF($A432&lt;=$GB$7,1,2),IF($A432&lt;=RUNG_BEDS_2,2,1))</f>
        <v>1</v>
      </c>
      <c r="GC432" s="5">
        <f>MIN(1,MAX(0,$GB$26-($A432-1)))</f>
        <v>0</v>
      </c>
      <c r="GD432" s="5">
        <f>$GB$25*(GC432+(1-GC432)*$GB$16)</f>
        <v>0.0</v>
      </c>
      <c r="GE432" s="13">
        <f>GD432*($GB$6+ACUTE_MARGIN)</f>
        <v>0.0</v>
      </c>
      <c r="GF432" s="13">
        <f>IF(GB432=1,$GB$31,$GB$32)</f>
        <v>152394.16214437486</v>
      </c>
      <c r="GG432" s="13">
        <f>GE432-GF432</f>
        <v>-152394.16214437486</v>
      </c>
      <c r="GH432" s="13">
        <f>GH431+GG432</f>
        <v>-14956591.960114464</v>
      </c>
      <c r="GI432">
        <f>IF(GH432=MAX($GH$83:$GH$483),$A432,0)</f>
        <v>0</v>
      </c>
      <c r="GJ432">
        <f>IF(GE432&lt;GF432,$A432,B_MAX+1)</f>
        <v>349</v>
      </c>
      <c r="GK432" s="13">
        <f>IF(GB432=1,$GB$35,$GB$36)</f>
        <v>0</v>
      </c>
      <c r="GL432" s="13">
        <f>OCC_DAYS*$GB$41*R_NF_2023-GD432*MCD_SHARE_FREED*R_WAIT_2023</f>
        <v>151980.48282209205</v>
      </c>
      <c r="GM432">
        <f>IF($A432&lt;=$GB$45,1,0)</f>
        <v>0</v>
      </c>
      <c r="HB432">
        <f>IF($HB$31&lt;=$HB$32,IF($A432&lt;=$HB$7,1,2),IF($A432&lt;=RUNG_BEDS_2,2,1))</f>
        <v>1</v>
      </c>
      <c r="HC432" s="5">
        <f>MIN(1,MAX(0,$HB$26-($A432-1)))</f>
        <v>0</v>
      </c>
      <c r="HD432" s="5">
        <f>$HB$25*(HC432+(1-HC432)*$HB$16)</f>
        <v>0.0</v>
      </c>
      <c r="HE432" s="13">
        <f>HD432*($HB$6+ACUTE_MARGIN)</f>
        <v>0.0</v>
      </c>
      <c r="HF432" s="13">
        <f>IF(HB432=1,$HB$31,$HB$32)</f>
        <v>152456.2970814058</v>
      </c>
      <c r="HG432" s="13">
        <f>HE432-HF432</f>
        <v>-152456.2970814058</v>
      </c>
      <c r="HH432" s="13">
        <f>HH431+HG432</f>
        <v>-14978277.053138318</v>
      </c>
      <c r="HI432">
        <f>IF(HH432=MAX($HH$83:$HH$483),$A432,0)</f>
        <v>0</v>
      </c>
      <c r="HJ432">
        <f>IF(HE432&lt;HF432,$A432,B_MAX+1)</f>
        <v>349</v>
      </c>
      <c r="HK432" s="13">
        <f>IF(HB432=1,$HB$35,$HB$36)</f>
        <v>0</v>
      </c>
      <c r="HL432" s="13">
        <f>OCC_DAYS*$HB$41*R_NF_2023-HD432*MCD_SHARE_FREED*R_WAIT_2023</f>
        <v>151980.48282209205</v>
      </c>
      <c r="HM432">
        <f>IF($A432&lt;=$HB$45,1,0)</f>
        <v>0</v>
      </c>
      <c r="IB432">
        <f>IF($IB$31&lt;=$IB$32,IF($A432&lt;=$IB$7,1,2),IF($A432&lt;=RUNG_BEDS_2,2,1))</f>
        <v>1</v>
      </c>
      <c r="IC432" s="5">
        <f>MIN(1,MAX(0,$IB$26-($A432-1)))</f>
        <v>0</v>
      </c>
      <c r="ID432" s="5">
        <f>$IB$25*(IC432+(1-IC432)*$IB$16)</f>
        <v>0.0</v>
      </c>
      <c r="IE432" s="13">
        <f>ID432*($IB$6+ACUTE_MARGIN)</f>
        <v>0.0</v>
      </c>
      <c r="IF432" s="13">
        <f>IF(IB432=1,$IB$31,$IB$32)</f>
        <v>152734.9994534971</v>
      </c>
      <c r="IG432" s="13">
        <f>IE432-IF432</f>
        <v>-152734.9994534971</v>
      </c>
      <c r="IH432" s="13">
        <f>IH431+IG432</f>
        <v>-15075544.180998206</v>
      </c>
      <c r="II432">
        <f>IF(IH432=MAX($IH$83:$IH$483),$A432,0)</f>
        <v>0</v>
      </c>
      <c r="IJ432">
        <f>IF(IE432&lt;IF432,$A432,B_MAX+1)</f>
        <v>349</v>
      </c>
      <c r="IK432" s="13">
        <f>IF(IB432=1,$IB$35,$IB$36)</f>
        <v>0</v>
      </c>
      <c r="IL432" s="13">
        <f>OCC_DAYS*$IB$41*R_NF_2023-ID432*MCD_SHARE_FREED*R_WAIT_2023</f>
        <v>151980.48282209205</v>
      </c>
      <c r="IM432">
        <f>IF($A432&lt;=$IB$45,1,0)</f>
        <v>0</v>
      </c>
      <c r="JB432">
        <f>IF($JB$31&lt;=$JB$32,IF($A432&lt;=$JB$7,1,2),IF($A432&lt;=RUNG_BEDS_2,2,1))</f>
        <v>1</v>
      </c>
      <c r="JC432" s="5">
        <f>MIN(1,MAX(0,$JB$26-($A432-1)))</f>
        <v>0</v>
      </c>
      <c r="JD432" s="5">
        <f>$JB$25*(JC432+(1-JC432)*$JB$16)</f>
        <v>0.0</v>
      </c>
      <c r="JE432" s="13">
        <f>JD432*($JB$6+ACUTE_MARGIN)</f>
        <v>0.0</v>
      </c>
      <c r="JF432" s="13">
        <f>IF(JB432=1,$JB$31,$JB$32)</f>
        <v>152394.16214437486</v>
      </c>
      <c r="JG432" s="13">
        <f>JE432-JF432</f>
        <v>-152394.16214437486</v>
      </c>
      <c r="JH432" s="13">
        <f>JH431+JG432</f>
        <v>-14956591.960114464</v>
      </c>
      <c r="JI432">
        <f>IF(JH432=MAX($JH$83:$JH$483),$A432,0)</f>
        <v>0</v>
      </c>
      <c r="JJ432">
        <f>IF(JE432&lt;JF432,$A432,B_MAX+1)</f>
        <v>349</v>
      </c>
      <c r="JK432" s="13">
        <f>IF(JB432=1,$JB$35,$JB$36)</f>
        <v>0</v>
      </c>
      <c r="JL432" s="13">
        <f>OCC_DAYS*$JB$41*R_NF_2023-JD432*MCD_SHARE_FREED*R_WAIT_2023</f>
        <v>151980.48282209205</v>
      </c>
      <c r="JM432">
        <f>IF($A432&lt;=$JB$45,1,0)</f>
        <v>0</v>
      </c>
      <c r="KB432">
        <f>IF($KB$31&lt;=$KB$32,IF($A432&lt;=$KB$7,1,2),IF($A432&lt;=RUNG_BEDS_2,2,1))</f>
        <v>1</v>
      </c>
      <c r="KC432" s="5">
        <f>MIN(1,MAX(0,$KB$26-($A432-1)))</f>
        <v>0</v>
      </c>
      <c r="KD432" s="5">
        <f>$KB$25*(KC432+(1-KC432)*$KB$16)</f>
        <v>0.0</v>
      </c>
      <c r="KE432" s="13">
        <f>KD432*($KB$6+ACUTE_MARGIN)</f>
        <v>0.0</v>
      </c>
      <c r="KF432" s="13">
        <f>IF(KB432=1,$KB$31,$KB$32)</f>
        <v>152394.16214437486</v>
      </c>
      <c r="KG432" s="13">
        <f>KE432-KF432</f>
        <v>-152394.16214437486</v>
      </c>
      <c r="KH432" s="13">
        <f>KH431+KG432</f>
        <v>-14956591.96011457</v>
      </c>
      <c r="KI432">
        <f>IF(KH432=MAX($KH$83:$KH$483),$A432,0)</f>
        <v>0</v>
      </c>
      <c r="KJ432">
        <f>IF(KE432&lt;KF432,$A432,B_MAX+1)</f>
        <v>349</v>
      </c>
      <c r="KK432" s="13">
        <f>IF(KB432=1,$KB$35,$KB$36)</f>
        <v>0</v>
      </c>
      <c r="KL432" s="13">
        <f>OCC_DAYS*$KB$41*R_NF_2023-KD432*MCD_SHARE_FREED*R_WAIT_2023</f>
        <v>151980.48282209205</v>
      </c>
      <c r="KM432">
        <f>IF($A432&lt;=$KB$45,1,0)</f>
        <v>0</v>
      </c>
      <c r="LB432">
        <f>IF($LB$31&lt;=$LB$32,IF($A432&lt;=$LB$7,1,2),IF($A432&lt;=RUNG_BEDS_2,2,1))</f>
        <v>1</v>
      </c>
      <c r="LC432" s="5">
        <f>MIN(1,MAX(0,$LB$26-($A432-1)))</f>
        <v>1</v>
      </c>
      <c r="LD432" s="5">
        <f>$LB$25*(LC432+(1-LC432)*$LB$16)</f>
        <v>84.01774238227146</v>
      </c>
      <c r="LE432" s="13">
        <f>LD432*($LB$6+ACUTE_MARGIN)</f>
        <v>84857.91980609419</v>
      </c>
      <c r="LF432" s="13">
        <f>IF(LB432=1,$LB$31,$LB$32)</f>
        <v>152394.16214437486</v>
      </c>
      <c r="LG432" s="13">
        <f>LE432-LF432</f>
        <v>-67536.24233828067</v>
      </c>
      <c r="LH432" s="13">
        <f>LH431+LG432</f>
        <v>-23570148.576060083</v>
      </c>
      <c r="LI432">
        <f>IF(LH432=MAX($LH$83:$LH$483),$A432,0)</f>
        <v>0</v>
      </c>
      <c r="LJ432">
        <f>IF(LE432&lt;LF432,$A432,B_MAX+1)</f>
        <v>349</v>
      </c>
      <c r="LK432" s="13">
        <f>IF(LB432=1,$LB$35,$LB$36)</f>
        <v>0</v>
      </c>
      <c r="LL432" s="13">
        <f>OCC_DAYS*$LB$41*R_NF_2023-LD432*MCD_SHARE_FREED*R_WAIT_2023</f>
        <v>113776.04162887059</v>
      </c>
      <c r="LM432">
        <f>IF($A432&lt;=$LB$45,1,0)</f>
        <v>0</v>
      </c>
      <c r="MB432">
        <f>IF($MB$31&lt;=$MB$32,IF($A432&lt;=$MB$7,1,2),IF($A432&lt;=RUNG_BEDS_2,2,1))</f>
        <v>1</v>
      </c>
      <c r="MC432" s="5">
        <f>MIN(1,MAX(0,$MB$26-($A432-1)))</f>
        <v>0</v>
      </c>
      <c r="MD432" s="5">
        <f>$MB$25*(MC432+(1-MC432)*$MB$16)</f>
        <v>0.0</v>
      </c>
      <c r="ME432" s="13">
        <f>MD432*($MB$6+ACUTE_MARGIN)</f>
        <v>0.0</v>
      </c>
      <c r="MF432" s="13">
        <f>IF(MB432=1,$MB$31,$MB$32)</f>
        <v>152394.16214437486</v>
      </c>
      <c r="MG432" s="13">
        <f>ME432-MF432</f>
        <v>-152394.16214437486</v>
      </c>
      <c r="MH432" s="13">
        <f>MH431+MG432</f>
        <v>-20843868.021912765</v>
      </c>
      <c r="MI432">
        <f>IF(MH432=MAX($MH$83:$MH$483),$A432,0)</f>
        <v>0</v>
      </c>
      <c r="MJ432">
        <f>IF(ME432&lt;MF432,$A432,B_MAX+1)</f>
        <v>349</v>
      </c>
      <c r="MK432" s="13">
        <f>IF(MB432=1,$MB$35,$MB$36)</f>
        <v>0</v>
      </c>
      <c r="ML432" s="13">
        <f>OCC_DAYS*$MB$41*R_NF_2023-MD432*MCD_SHARE_FREED*R_WAIT_2023</f>
        <v>151980.48282209205</v>
      </c>
      <c r="MM432">
        <f>IF($A432&lt;=$MB$45,1,0)</f>
        <v>0</v>
      </c>
      <c r="NB432">
        <f>IF($NB$31&lt;=$NB$32,IF($A432&lt;=$NB$7,1,2),IF($A432&lt;=RUNG_BEDS_2,2,1))</f>
        <v>1</v>
      </c>
      <c r="NC432" s="5">
        <f>MIN(1,MAX(0,$NB$26-($A432-1)))</f>
        <v>0</v>
      </c>
      <c r="ND432" s="5">
        <f>$NB$25*(NC432+(1-NC432)*$NB$16)</f>
        <v>63.013306786703595</v>
      </c>
      <c r="NE432" s="13">
        <f>ND432*($NB$6+ACUTE_MARGIN)</f>
        <v>63643.43985457063</v>
      </c>
      <c r="NF432" s="13">
        <f>IF(NB432=1,$NB$31,$NB$32)</f>
        <v>152394.16214437486</v>
      </c>
      <c r="NG432" s="13">
        <f>NE432-NF432</f>
        <v>-88750.72228980422</v>
      </c>
      <c r="NH432" s="13">
        <f>NH431+NG432</f>
        <v>-2302274.1079374505</v>
      </c>
      <c r="NI432">
        <f>IF(NH432=MAX($NH$83:$NH$483),$A432,0)</f>
        <v>0</v>
      </c>
      <c r="NJ432">
        <f>IF(NE432&lt;NF432,$A432,B_MAX+1)</f>
        <v>349</v>
      </c>
      <c r="NK432" s="13">
        <f>IF(NB432=1,$NB$35,$NB$36)</f>
        <v>0</v>
      </c>
      <c r="NL432" s="13">
        <f>OCC_DAYS*$NB$41*R_NF_2023-ND432*MCD_SHARE_FREED*R_WAIT_2023</f>
        <v>123327.15192717595</v>
      </c>
      <c r="NM432">
        <f>IF($A432&lt;=$NB$45,1,0)</f>
        <v>0</v>
      </c>
      <c r="OB432">
        <f>IF($OB$31&lt;=$OB$32,IF($A432&lt;=$OB$7,1,2),IF($A432&lt;=RUNG_BEDS_2,2,1))</f>
        <v>1</v>
      </c>
      <c r="OC432" s="5">
        <f>MIN(1,MAX(0,$OB$26-($A432-1)))</f>
        <v>0</v>
      </c>
      <c r="OD432" s="5">
        <f>$OB$25*(OC432+(1-OC432)*$OB$16)</f>
        <v>126.02661357340719</v>
      </c>
      <c r="OE432" s="13">
        <f>OD432*($OB$6+ACUTE_MARGIN)</f>
        <v>127286.87970914126</v>
      </c>
      <c r="OF432" s="13">
        <f>IF(OB432=1,$OB$31,$OB$32)</f>
        <v>152394.16214437486</v>
      </c>
      <c r="OG432" s="13">
        <f>OE432-OF432</f>
        <v>-25107.282435233603</v>
      </c>
      <c r="OH432" s="13">
        <f>OH431+OG432</f>
        <v>10352043.74423982</v>
      </c>
      <c r="OI432">
        <f>IF(OH432=MAX($OH$83:$OH$483),$A432,0)</f>
        <v>0</v>
      </c>
      <c r="OJ432">
        <f>IF(OE432&lt;OF432,$A432,B_MAX+1)</f>
        <v>349</v>
      </c>
      <c r="OK432" s="13">
        <f>IF(OB432=1,$OB$35,$OB$36)</f>
        <v>0</v>
      </c>
      <c r="OL432" s="13">
        <f>OCC_DAYS*$OB$41*R_NF_2023-OD432*MCD_SHARE_FREED*R_WAIT_2023</f>
        <v>94673.82103225985</v>
      </c>
      <c r="OM432">
        <f>IF($A432&lt;=$OB$45,1,0)</f>
        <v>0</v>
      </c>
    </row>
    <row r="433">
      <c r="A433" t="n">
        <v>350</v>
      </c>
      <c r="B433">
        <f>IF($B$31&lt;=$B$32,IF($A433&lt;=$B$7,1,2),IF($A433&lt;=RUNG_BEDS_2,2,1))</f>
        <v>1</v>
      </c>
      <c r="C433" s="5">
        <f>MIN(1,MAX(0,$B$26-($A433-1)))</f>
        <v>0</v>
      </c>
      <c r="D433" s="5">
        <f>$B$25*(C433+(1-C433)*$B$16)</f>
        <v>0.0</v>
      </c>
      <c r="E433" s="13">
        <f>D433*($B$6+ACUTE_MARGIN)</f>
        <v>0.0</v>
      </c>
      <c r="F433" s="13">
        <f>IF(B433=1,$B$31,$B$32)</f>
        <v>152394.16214437486</v>
      </c>
      <c r="G433" s="13">
        <f>E433-F433</f>
        <v>-152394.16214437486</v>
      </c>
      <c r="H433" s="13">
        <f>H432+G433</f>
        <v>-15108986.122258838</v>
      </c>
      <c r="I433">
        <f>IF(H433=MAX($H$83:$H$483),$A433,0)</f>
        <v>0</v>
      </c>
      <c r="J433">
        <f>IF(E433&lt;F433,$A433,B_MAX+1)</f>
        <v>350</v>
      </c>
      <c r="K433" s="13">
        <f>IF(B433=1,$B$35,$B$36)</f>
        <v>0</v>
      </c>
      <c r="L433" s="13">
        <f>OCC_DAYS*$B$41*R_NF_2023-D433*MCD_SHARE_FREED*R_WAIT_2023</f>
        <v>151980.48282209205</v>
      </c>
      <c r="M433">
        <f>IF($A433&lt;=$B$45,1,0)</f>
        <v>0</v>
      </c>
      <c r="AB433">
        <f>IF($AB$31&lt;=$AB$32,IF($A433&lt;=$AB$7,1,2),IF($A433&lt;=RUNG_BEDS_2,2,1))</f>
        <v>1</v>
      </c>
      <c r="AC433" s="5">
        <f>MIN(1,MAX(0,$AB$26-($A433-1)))</f>
        <v>0</v>
      </c>
      <c r="AD433" s="5">
        <f>$AB$25*(AC433+(1-AC433)*$AB$16)</f>
        <v>0.0</v>
      </c>
      <c r="AE433" s="13">
        <f>AD433*($AB$6+ACUTE_MARGIN)</f>
        <v>0.0</v>
      </c>
      <c r="AF433" s="13">
        <f>IF(AB433=1,$AB$31,$AB$32)</f>
        <v>152394.16214437486</v>
      </c>
      <c r="AG433" s="13">
        <f>AE433-AF433</f>
        <v>-152394.16214437486</v>
      </c>
      <c r="AH433" s="13">
        <f>AH432+AG433</f>
        <v>-32520200.467808574</v>
      </c>
      <c r="AI433">
        <f>IF(AH433=MAX($AH$83:$AH$483),$A433,0)</f>
        <v>0</v>
      </c>
      <c r="AJ433">
        <f>IF(AE433&lt;AF433,$A433,B_MAX+1)</f>
        <v>350</v>
      </c>
      <c r="AK433" s="13">
        <f>IF(AB433=1,$AB$35,$AB$36)</f>
        <v>0</v>
      </c>
      <c r="AL433" s="13">
        <f>OCC_DAYS*$AB$41*R_NF_2023-AD433*MCD_SHARE_FREED*R_WAIT_2023</f>
        <v>151980.48282209205</v>
      </c>
      <c r="AM433">
        <f>IF($A433&lt;=$AB$45,1,0)</f>
        <v>0</v>
      </c>
      <c r="BB433">
        <f>IF($BB$31&lt;=$BB$32,IF($A433&lt;=$BB$7,1,2),IF($A433&lt;=RUNG_BEDS_2,2,1))</f>
        <v>1</v>
      </c>
      <c r="BC433" s="5">
        <f>MIN(1,MAX(0,$BB$26-($A433-1)))</f>
        <v>0</v>
      </c>
      <c r="BD433" s="5">
        <f>$BB$25*(BC433+(1-BC433)*$BB$16)</f>
        <v>0.0</v>
      </c>
      <c r="BE433" s="13">
        <f>BD433*($BB$6+ACUTE_MARGIN)</f>
        <v>0.0</v>
      </c>
      <c r="BF433" s="13">
        <f>IF(BB433=1,$BB$31,$BB$32)</f>
        <v>152394.16214437486</v>
      </c>
      <c r="BG433" s="13">
        <f>BE433-BF433</f>
        <v>-152394.16214437486</v>
      </c>
      <c r="BH433" s="13">
        <f>BH432+BG433</f>
        <v>2302228.223290883</v>
      </c>
      <c r="BI433">
        <f>IF(BH433=MAX($BH$83:$BH$483),$A433,0)</f>
        <v>0</v>
      </c>
      <c r="BJ433">
        <f>IF(BE433&lt;BF433,$A433,B_MAX+1)</f>
        <v>350</v>
      </c>
      <c r="BK433" s="13">
        <f>IF(BB433=1,$BB$35,$BB$36)</f>
        <v>0</v>
      </c>
      <c r="BL433" s="13">
        <f>OCC_DAYS*$BB$41*R_NF_2023-BD433*MCD_SHARE_FREED*R_WAIT_2023</f>
        <v>151980.48282209205</v>
      </c>
      <c r="BM433">
        <f>IF($A433&lt;=$BB$45,1,0)</f>
        <v>0</v>
      </c>
      <c r="CB433">
        <f>IF($CB$31&lt;=$CB$32,IF($A433&lt;=$CB$7,1,2),IF($A433&lt;=RUNG_BEDS_2,2,1))</f>
        <v>2</v>
      </c>
      <c r="CC433" s="5">
        <f>MIN(1,MAX(0,$CB$26-($A433-1)))</f>
        <v>0</v>
      </c>
      <c r="CD433" s="5">
        <f>$CB$25*(CC433+(1-CC433)*$CB$16)</f>
        <v>0.0</v>
      </c>
      <c r="CE433" s="13">
        <f>CD433*($CB$6+ACUTE_MARGIN)</f>
        <v>0.0</v>
      </c>
      <c r="CF433" s="13">
        <f>IF(CB433=1,$CB$31,$CB$32)</f>
        <v>160718.36940738867</v>
      </c>
      <c r="CG433" s="13">
        <f>CE433-CF433</f>
        <v>-160718.36940738867</v>
      </c>
      <c r="CH433" s="13">
        <f>CH432+CG433</f>
        <v>-18022458.664313845</v>
      </c>
      <c r="CI433">
        <f>IF(CH433=MAX($CH$83:$CH$483),$A433,0)</f>
        <v>0</v>
      </c>
      <c r="CJ433">
        <f>IF(CE433&lt;CF433,$A433,B_MAX+1)</f>
        <v>350</v>
      </c>
      <c r="CK433" s="13">
        <f>IF(CB433=1,$CB$35,$CB$36)</f>
        <v>1560.1194073886782</v>
      </c>
      <c r="CL433" s="13">
        <f>OCC_DAYS*$CB$41*R_NF_2023-CD433*MCD_SHARE_FREED*R_WAIT_2023</f>
        <v>151980.48282209205</v>
      </c>
      <c r="CM433">
        <f>IF($A433&lt;=$CB$45,1,0)</f>
        <v>0</v>
      </c>
      <c r="DB433">
        <f>IF($DB$31&lt;=$DB$32,IF($A433&lt;=$DB$7,1,2),IF($A433&lt;=RUNG_BEDS_2,2,1))</f>
        <v>1</v>
      </c>
      <c r="DC433" s="5">
        <f>MIN(1,MAX(0,$DB$26-($A433-1)))</f>
        <v>0</v>
      </c>
      <c r="DD433" s="5">
        <f>$DB$25*(DC433+(1-DC433)*$DB$16)</f>
        <v>0.0</v>
      </c>
      <c r="DE433" s="13">
        <f>DD433*($DB$6+ACUTE_MARGIN)</f>
        <v>0.0</v>
      </c>
      <c r="DF433" s="13">
        <f>IF(DB433=1,$DB$31,$DB$32)</f>
        <v>152394.16214437486</v>
      </c>
      <c r="DG433" s="13">
        <f>DE433-DF433</f>
        <v>-152394.16214437486</v>
      </c>
      <c r="DH433" s="13">
        <f>DH432+DG433</f>
        <v>-15108986.122258838</v>
      </c>
      <c r="DI433">
        <f>IF(DH433=MAX($DH$83:$DH$483),$A433,0)</f>
        <v>0</v>
      </c>
      <c r="DJ433">
        <f>IF(DE433&lt;DF433,$A433,B_MAX+1)</f>
        <v>350</v>
      </c>
      <c r="DK433" s="13">
        <f>IF(DB433=1,$DB$35,$DB$36)</f>
        <v>0</v>
      </c>
      <c r="DL433" s="13">
        <f>OCC_DAYS*$DB$41*R_NF_2023-DD433*MCD_SHARE_FREED*R_WAIT_2023</f>
        <v>151980.48282209205</v>
      </c>
      <c r="DM433">
        <f>IF($A433&lt;=$DB$45,1,0)</f>
        <v>0</v>
      </c>
      <c r="EB433">
        <f>IF($EB$31&lt;=$EB$32,IF($A433&lt;=$EB$7,1,2),IF($A433&lt;=RUNG_BEDS_2,2,1))</f>
        <v>1</v>
      </c>
      <c r="EC433" s="5">
        <f>MIN(1,MAX(0,$EB$26-($A433-1)))</f>
        <v>0</v>
      </c>
      <c r="ED433" s="5">
        <f>$EB$25*(EC433+(1-EC433)*$EB$16)</f>
        <v>0.0</v>
      </c>
      <c r="EE433" s="13">
        <f>ED433*($EB$6+ACUTE_MARGIN)</f>
        <v>0.0</v>
      </c>
      <c r="EF433" s="13">
        <f>IF(EB433=1,$EB$31,$EB$32)</f>
        <v>152394.16214437486</v>
      </c>
      <c r="EG433" s="13">
        <f>EE433-EF433</f>
        <v>-152394.16214437486</v>
      </c>
      <c r="EH433" s="13">
        <f>EH432+EG433</f>
        <v>-15108986.122258838</v>
      </c>
      <c r="EI433">
        <f>IF(EH433=MAX($EH$83:$EH$483),$A433,0)</f>
        <v>0</v>
      </c>
      <c r="EJ433">
        <f>IF(EE433&lt;EF433,$A433,B_MAX+1)</f>
        <v>350</v>
      </c>
      <c r="EK433" s="13">
        <f>IF(EB433=1,$EB$35,$EB$36)</f>
        <v>0</v>
      </c>
      <c r="EL433" s="13">
        <f>OCC_DAYS*$EB$41*R_NF_2023-ED433*MCD_SHARE_FREED*R_WAIT_2023</f>
        <v>50660.16094069735</v>
      </c>
      <c r="EM433">
        <f>IF($A433&lt;=$EB$45,1,0)</f>
        <v>0</v>
      </c>
      <c r="FB433">
        <f>IF($FB$31&lt;=$FB$32,IF($A433&lt;=$FB$7,1,2),IF($A433&lt;=RUNG_BEDS_2,2,1))</f>
        <v>1</v>
      </c>
      <c r="FC433" s="5">
        <f>MIN(1,MAX(0,$FB$26-($A433-1)))</f>
        <v>0</v>
      </c>
      <c r="FD433" s="5">
        <f>$FB$25*(FC433+(1-FC433)*$FB$16)</f>
        <v>0.0</v>
      </c>
      <c r="FE433" s="13">
        <f>FD433*($FB$6+ACUTE_MARGIN)</f>
        <v>0.0</v>
      </c>
      <c r="FF433" s="13">
        <f>IF(FB433=1,$FB$31,$FB$32)</f>
        <v>156636.04979437485</v>
      </c>
      <c r="FG433" s="13">
        <f>FE433-FF433</f>
        <v>-156636.04979437485</v>
      </c>
      <c r="FH433" s="13">
        <f>FH432+FG433</f>
        <v>-16593646.799758941</v>
      </c>
      <c r="FI433">
        <f>IF(FH433=MAX($FH$83:$FH$483),$A433,0)</f>
        <v>0</v>
      </c>
      <c r="FJ433">
        <f>IF(FE433&lt;FF433,$A433,B_MAX+1)</f>
        <v>350</v>
      </c>
      <c r="FK433" s="13">
        <f>IF(FB433=1,$FB$35,$FB$36)</f>
        <v>0</v>
      </c>
      <c r="FL433" s="13">
        <f>OCC_DAYS*$FB$41*R_NF_2023-FD433*MCD_SHARE_FREED*R_WAIT_2023</f>
        <v>151980.48282209205</v>
      </c>
      <c r="FM433">
        <f>IF($A433&lt;=$FB$45,1,0)</f>
        <v>0</v>
      </c>
      <c r="GB433">
        <f>IF($GB$31&lt;=$GB$32,IF($A433&lt;=$GB$7,1,2),IF($A433&lt;=RUNG_BEDS_2,2,1))</f>
        <v>1</v>
      </c>
      <c r="GC433" s="5">
        <f>MIN(1,MAX(0,$GB$26-($A433-1)))</f>
        <v>0</v>
      </c>
      <c r="GD433" s="5">
        <f>$GB$25*(GC433+(1-GC433)*$GB$16)</f>
        <v>0.0</v>
      </c>
      <c r="GE433" s="13">
        <f>GD433*($GB$6+ACUTE_MARGIN)</f>
        <v>0.0</v>
      </c>
      <c r="GF433" s="13">
        <f>IF(GB433=1,$GB$31,$GB$32)</f>
        <v>152394.16214437486</v>
      </c>
      <c r="GG433" s="13">
        <f>GE433-GF433</f>
        <v>-152394.16214437486</v>
      </c>
      <c r="GH433" s="13">
        <f>GH432+GG433</f>
        <v>-15108986.122258838</v>
      </c>
      <c r="GI433">
        <f>IF(GH433=MAX($GH$83:$GH$483),$A433,0)</f>
        <v>0</v>
      </c>
      <c r="GJ433">
        <f>IF(GE433&lt;GF433,$A433,B_MAX+1)</f>
        <v>350</v>
      </c>
      <c r="GK433" s="13">
        <f>IF(GB433=1,$GB$35,$GB$36)</f>
        <v>0</v>
      </c>
      <c r="GL433" s="13">
        <f>OCC_DAYS*$GB$41*R_NF_2023-GD433*MCD_SHARE_FREED*R_WAIT_2023</f>
        <v>151980.48282209205</v>
      </c>
      <c r="GM433">
        <f>IF($A433&lt;=$GB$45,1,0)</f>
        <v>0</v>
      </c>
      <c r="HB433">
        <f>IF($HB$31&lt;=$HB$32,IF($A433&lt;=$HB$7,1,2),IF($A433&lt;=RUNG_BEDS_2,2,1))</f>
        <v>1</v>
      </c>
      <c r="HC433" s="5">
        <f>MIN(1,MAX(0,$HB$26-($A433-1)))</f>
        <v>0</v>
      </c>
      <c r="HD433" s="5">
        <f>$HB$25*(HC433+(1-HC433)*$HB$16)</f>
        <v>0.0</v>
      </c>
      <c r="HE433" s="13">
        <f>HD433*($HB$6+ACUTE_MARGIN)</f>
        <v>0.0</v>
      </c>
      <c r="HF433" s="13">
        <f>IF(HB433=1,$HB$31,$HB$32)</f>
        <v>152456.2970814058</v>
      </c>
      <c r="HG433" s="13">
        <f>HE433-HF433</f>
        <v>-152456.2970814058</v>
      </c>
      <c r="HH433" s="13">
        <f>HH432+HG433</f>
        <v>-15130733.350219723</v>
      </c>
      <c r="HI433">
        <f>IF(HH433=MAX($HH$83:$HH$483),$A433,0)</f>
        <v>0</v>
      </c>
      <c r="HJ433">
        <f>IF(HE433&lt;HF433,$A433,B_MAX+1)</f>
        <v>350</v>
      </c>
      <c r="HK433" s="13">
        <f>IF(HB433=1,$HB$35,$HB$36)</f>
        <v>0</v>
      </c>
      <c r="HL433" s="13">
        <f>OCC_DAYS*$HB$41*R_NF_2023-HD433*MCD_SHARE_FREED*R_WAIT_2023</f>
        <v>151980.48282209205</v>
      </c>
      <c r="HM433">
        <f>IF($A433&lt;=$HB$45,1,0)</f>
        <v>0</v>
      </c>
      <c r="IB433">
        <f>IF($IB$31&lt;=$IB$32,IF($A433&lt;=$IB$7,1,2),IF($A433&lt;=RUNG_BEDS_2,2,1))</f>
        <v>1</v>
      </c>
      <c r="IC433" s="5">
        <f>MIN(1,MAX(0,$IB$26-($A433-1)))</f>
        <v>0</v>
      </c>
      <c r="ID433" s="5">
        <f>$IB$25*(IC433+(1-IC433)*$IB$16)</f>
        <v>0.0</v>
      </c>
      <c r="IE433" s="13">
        <f>ID433*($IB$6+ACUTE_MARGIN)</f>
        <v>0.0</v>
      </c>
      <c r="IF433" s="13">
        <f>IF(IB433=1,$IB$31,$IB$32)</f>
        <v>152734.9994534971</v>
      </c>
      <c r="IG433" s="13">
        <f>IE433-IF433</f>
        <v>-152734.9994534971</v>
      </c>
      <c r="IH433" s="13">
        <f>IH432+IG433</f>
        <v>-15228279.180451702</v>
      </c>
      <c r="II433">
        <f>IF(IH433=MAX($IH$83:$IH$483),$A433,0)</f>
        <v>0</v>
      </c>
      <c r="IJ433">
        <f>IF(IE433&lt;IF433,$A433,B_MAX+1)</f>
        <v>350</v>
      </c>
      <c r="IK433" s="13">
        <f>IF(IB433=1,$IB$35,$IB$36)</f>
        <v>0</v>
      </c>
      <c r="IL433" s="13">
        <f>OCC_DAYS*$IB$41*R_NF_2023-ID433*MCD_SHARE_FREED*R_WAIT_2023</f>
        <v>151980.48282209205</v>
      </c>
      <c r="IM433">
        <f>IF($A433&lt;=$IB$45,1,0)</f>
        <v>0</v>
      </c>
      <c r="JB433">
        <f>IF($JB$31&lt;=$JB$32,IF($A433&lt;=$JB$7,1,2),IF($A433&lt;=RUNG_BEDS_2,2,1))</f>
        <v>1</v>
      </c>
      <c r="JC433" s="5">
        <f>MIN(1,MAX(0,$JB$26-($A433-1)))</f>
        <v>0</v>
      </c>
      <c r="JD433" s="5">
        <f>$JB$25*(JC433+(1-JC433)*$JB$16)</f>
        <v>0.0</v>
      </c>
      <c r="JE433" s="13">
        <f>JD433*($JB$6+ACUTE_MARGIN)</f>
        <v>0.0</v>
      </c>
      <c r="JF433" s="13">
        <f>IF(JB433=1,$JB$31,$JB$32)</f>
        <v>152394.16214437486</v>
      </c>
      <c r="JG433" s="13">
        <f>JE433-JF433</f>
        <v>-152394.16214437486</v>
      </c>
      <c r="JH433" s="13">
        <f>JH432+JG433</f>
        <v>-15108986.122258838</v>
      </c>
      <c r="JI433">
        <f>IF(JH433=MAX($JH$83:$JH$483),$A433,0)</f>
        <v>0</v>
      </c>
      <c r="JJ433">
        <f>IF(JE433&lt;JF433,$A433,B_MAX+1)</f>
        <v>350</v>
      </c>
      <c r="JK433" s="13">
        <f>IF(JB433=1,$JB$35,$JB$36)</f>
        <v>0</v>
      </c>
      <c r="JL433" s="13">
        <f>OCC_DAYS*$JB$41*R_NF_2023-JD433*MCD_SHARE_FREED*R_WAIT_2023</f>
        <v>151980.48282209205</v>
      </c>
      <c r="JM433">
        <f>IF($A433&lt;=$JB$45,1,0)</f>
        <v>0</v>
      </c>
      <c r="KB433">
        <f>IF($KB$31&lt;=$KB$32,IF($A433&lt;=$KB$7,1,2),IF($A433&lt;=RUNG_BEDS_2,2,1))</f>
        <v>1</v>
      </c>
      <c r="KC433" s="5">
        <f>MIN(1,MAX(0,$KB$26-($A433-1)))</f>
        <v>0</v>
      </c>
      <c r="KD433" s="5">
        <f>$KB$25*(KC433+(1-KC433)*$KB$16)</f>
        <v>0.0</v>
      </c>
      <c r="KE433" s="13">
        <f>KD433*($KB$6+ACUTE_MARGIN)</f>
        <v>0.0</v>
      </c>
      <c r="KF433" s="13">
        <f>IF(KB433=1,$KB$31,$KB$32)</f>
        <v>152394.16214437486</v>
      </c>
      <c r="KG433" s="13">
        <f>KE433-KF433</f>
        <v>-152394.16214437486</v>
      </c>
      <c r="KH433" s="13">
        <f>KH432+KG433</f>
        <v>-15108986.122258944</v>
      </c>
      <c r="KI433">
        <f>IF(KH433=MAX($KH$83:$KH$483),$A433,0)</f>
        <v>0</v>
      </c>
      <c r="KJ433">
        <f>IF(KE433&lt;KF433,$A433,B_MAX+1)</f>
        <v>350</v>
      </c>
      <c r="KK433" s="13">
        <f>IF(KB433=1,$KB$35,$KB$36)</f>
        <v>0</v>
      </c>
      <c r="KL433" s="13">
        <f>OCC_DAYS*$KB$41*R_NF_2023-KD433*MCD_SHARE_FREED*R_WAIT_2023</f>
        <v>151980.48282209205</v>
      </c>
      <c r="KM433">
        <f>IF($A433&lt;=$KB$45,1,0)</f>
        <v>0</v>
      </c>
      <c r="LB433">
        <f>IF($LB$31&lt;=$LB$32,IF($A433&lt;=$LB$7,1,2),IF($A433&lt;=RUNG_BEDS_2,2,1))</f>
        <v>1</v>
      </c>
      <c r="LC433" s="5">
        <f>MIN(1,MAX(0,$LB$26-($A433-1)))</f>
        <v>1</v>
      </c>
      <c r="LD433" s="5">
        <f>$LB$25*(LC433+(1-LC433)*$LB$16)</f>
        <v>84.01774238227146</v>
      </c>
      <c r="LE433" s="13">
        <f>LD433*($LB$6+ACUTE_MARGIN)</f>
        <v>84857.91980609419</v>
      </c>
      <c r="LF433" s="13">
        <f>IF(LB433=1,$LB$31,$LB$32)</f>
        <v>152394.16214437486</v>
      </c>
      <c r="LG433" s="13">
        <f>LE433-LF433</f>
        <v>-67536.24233828067</v>
      </c>
      <c r="LH433" s="13">
        <f>LH432+LG433</f>
        <v>-23637684.818398364</v>
      </c>
      <c r="LI433">
        <f>IF(LH433=MAX($LH$83:$LH$483),$A433,0)</f>
        <v>0</v>
      </c>
      <c r="LJ433">
        <f>IF(LE433&lt;LF433,$A433,B_MAX+1)</f>
        <v>350</v>
      </c>
      <c r="LK433" s="13">
        <f>IF(LB433=1,$LB$35,$LB$36)</f>
        <v>0</v>
      </c>
      <c r="LL433" s="13">
        <f>OCC_DAYS*$LB$41*R_NF_2023-LD433*MCD_SHARE_FREED*R_WAIT_2023</f>
        <v>113776.04162887059</v>
      </c>
      <c r="LM433">
        <f>IF($A433&lt;=$LB$45,1,0)</f>
        <v>0</v>
      </c>
      <c r="MB433">
        <f>IF($MB$31&lt;=$MB$32,IF($A433&lt;=$MB$7,1,2),IF($A433&lt;=RUNG_BEDS_2,2,1))</f>
        <v>1</v>
      </c>
      <c r="MC433" s="5">
        <f>MIN(1,MAX(0,$MB$26-($A433-1)))</f>
        <v>0</v>
      </c>
      <c r="MD433" s="5">
        <f>$MB$25*(MC433+(1-MC433)*$MB$16)</f>
        <v>0.0</v>
      </c>
      <c r="ME433" s="13">
        <f>MD433*($MB$6+ACUTE_MARGIN)</f>
        <v>0.0</v>
      </c>
      <c r="MF433" s="13">
        <f>IF(MB433=1,$MB$31,$MB$32)</f>
        <v>152394.16214437486</v>
      </c>
      <c r="MG433" s="13">
        <f>ME433-MF433</f>
        <v>-152394.16214437486</v>
      </c>
      <c r="MH433" s="13">
        <f>MH432+MG433</f>
        <v>-20996262.18405714</v>
      </c>
      <c r="MI433">
        <f>IF(MH433=MAX($MH$83:$MH$483),$A433,0)</f>
        <v>0</v>
      </c>
      <c r="MJ433">
        <f>IF(ME433&lt;MF433,$A433,B_MAX+1)</f>
        <v>350</v>
      </c>
      <c r="MK433" s="13">
        <f>IF(MB433=1,$MB$35,$MB$36)</f>
        <v>0</v>
      </c>
      <c r="ML433" s="13">
        <f>OCC_DAYS*$MB$41*R_NF_2023-MD433*MCD_SHARE_FREED*R_WAIT_2023</f>
        <v>151980.48282209205</v>
      </c>
      <c r="MM433">
        <f>IF($A433&lt;=$MB$45,1,0)</f>
        <v>0</v>
      </c>
      <c r="NB433">
        <f>IF($NB$31&lt;=$NB$32,IF($A433&lt;=$NB$7,1,2),IF($A433&lt;=RUNG_BEDS_2,2,1))</f>
        <v>1</v>
      </c>
      <c r="NC433" s="5">
        <f>MIN(1,MAX(0,$NB$26-($A433-1)))</f>
        <v>0</v>
      </c>
      <c r="ND433" s="5">
        <f>$NB$25*(NC433+(1-NC433)*$NB$16)</f>
        <v>63.013306786703595</v>
      </c>
      <c r="NE433" s="13">
        <f>ND433*($NB$6+ACUTE_MARGIN)</f>
        <v>63643.43985457063</v>
      </c>
      <c r="NF433" s="13">
        <f>IF(NB433=1,$NB$31,$NB$32)</f>
        <v>152394.16214437486</v>
      </c>
      <c r="NG433" s="13">
        <f>NE433-NF433</f>
        <v>-88750.72228980422</v>
      </c>
      <c r="NH433" s="13">
        <f>NH432+NG433</f>
        <v>-2391024.830227255</v>
      </c>
      <c r="NI433">
        <f>IF(NH433=MAX($NH$83:$NH$483),$A433,0)</f>
        <v>0</v>
      </c>
      <c r="NJ433">
        <f>IF(NE433&lt;NF433,$A433,B_MAX+1)</f>
        <v>350</v>
      </c>
      <c r="NK433" s="13">
        <f>IF(NB433=1,$NB$35,$NB$36)</f>
        <v>0</v>
      </c>
      <c r="NL433" s="13">
        <f>OCC_DAYS*$NB$41*R_NF_2023-ND433*MCD_SHARE_FREED*R_WAIT_2023</f>
        <v>123327.15192717595</v>
      </c>
      <c r="NM433">
        <f>IF($A433&lt;=$NB$45,1,0)</f>
        <v>0</v>
      </c>
      <c r="OB433">
        <f>IF($OB$31&lt;=$OB$32,IF($A433&lt;=$OB$7,1,2),IF($A433&lt;=RUNG_BEDS_2,2,1))</f>
        <v>1</v>
      </c>
      <c r="OC433" s="5">
        <f>MIN(1,MAX(0,$OB$26-($A433-1)))</f>
        <v>0</v>
      </c>
      <c r="OD433" s="5">
        <f>$OB$25*(OC433+(1-OC433)*$OB$16)</f>
        <v>126.02661357340719</v>
      </c>
      <c r="OE433" s="13">
        <f>OD433*($OB$6+ACUTE_MARGIN)</f>
        <v>127286.87970914126</v>
      </c>
      <c r="OF433" s="13">
        <f>IF(OB433=1,$OB$31,$OB$32)</f>
        <v>152394.16214437486</v>
      </c>
      <c r="OG433" s="13">
        <f>OE433-OF433</f>
        <v>-25107.282435233603</v>
      </c>
      <c r="OH433" s="13">
        <f>OH432+OG433</f>
        <v>10326936.461804587</v>
      </c>
      <c r="OI433">
        <f>IF(OH433=MAX($OH$83:$OH$483),$A433,0)</f>
        <v>0</v>
      </c>
      <c r="OJ433">
        <f>IF(OE433&lt;OF433,$A433,B_MAX+1)</f>
        <v>350</v>
      </c>
      <c r="OK433" s="13">
        <f>IF(OB433=1,$OB$35,$OB$36)</f>
        <v>0</v>
      </c>
      <c r="OL433" s="13">
        <f>OCC_DAYS*$OB$41*R_NF_2023-OD433*MCD_SHARE_FREED*R_WAIT_2023</f>
        <v>94673.82103225985</v>
      </c>
      <c r="OM433">
        <f>IF($A433&lt;=$OB$45,1,0)</f>
        <v>0</v>
      </c>
    </row>
    <row r="434">
      <c r="A434" t="n">
        <v>351</v>
      </c>
      <c r="B434">
        <f>IF($B$31&lt;=$B$32,IF($A434&lt;=$B$7,1,2),IF($A434&lt;=RUNG_BEDS_2,2,1))</f>
        <v>1</v>
      </c>
      <c r="C434" s="5">
        <f>MIN(1,MAX(0,$B$26-($A434-1)))</f>
        <v>0</v>
      </c>
      <c r="D434" s="5">
        <f>$B$25*(C434+(1-C434)*$B$16)</f>
        <v>0.0</v>
      </c>
      <c r="E434" s="13">
        <f>D434*($B$6+ACUTE_MARGIN)</f>
        <v>0.0</v>
      </c>
      <c r="F434" s="13">
        <f>IF(B434=1,$B$31,$B$32)</f>
        <v>152394.16214437486</v>
      </c>
      <c r="G434" s="13">
        <f>E434-F434</f>
        <v>-152394.16214437486</v>
      </c>
      <c r="H434" s="13">
        <f>H433+G434</f>
        <v>-15261380.284403212</v>
      </c>
      <c r="I434">
        <f>IF(H434=MAX($H$83:$H$483),$A434,0)</f>
        <v>0</v>
      </c>
      <c r="J434">
        <f>IF(E434&lt;F434,$A434,B_MAX+1)</f>
        <v>351</v>
      </c>
      <c r="K434" s="13">
        <f>IF(B434=1,$B$35,$B$36)</f>
        <v>0</v>
      </c>
      <c r="L434" s="13">
        <f>OCC_DAYS*$B$41*R_NF_2023-D434*MCD_SHARE_FREED*R_WAIT_2023</f>
        <v>151980.48282209205</v>
      </c>
      <c r="M434">
        <f>IF($A434&lt;=$B$45,1,0)</f>
        <v>0</v>
      </c>
      <c r="AB434">
        <f>IF($AB$31&lt;=$AB$32,IF($A434&lt;=$AB$7,1,2),IF($A434&lt;=RUNG_BEDS_2,2,1))</f>
        <v>1</v>
      </c>
      <c r="AC434" s="5">
        <f>MIN(1,MAX(0,$AB$26-($A434-1)))</f>
        <v>0</v>
      </c>
      <c r="AD434" s="5">
        <f>$AB$25*(AC434+(1-AC434)*$AB$16)</f>
        <v>0.0</v>
      </c>
      <c r="AE434" s="13">
        <f>AD434*($AB$6+ACUTE_MARGIN)</f>
        <v>0.0</v>
      </c>
      <c r="AF434" s="13">
        <f>IF(AB434=1,$AB$31,$AB$32)</f>
        <v>152394.16214437486</v>
      </c>
      <c r="AG434" s="13">
        <f>AE434-AF434</f>
        <v>-152394.16214437486</v>
      </c>
      <c r="AH434" s="13">
        <f>AH433+AG434</f>
        <v>-32672594.62995295</v>
      </c>
      <c r="AI434">
        <f>IF(AH434=MAX($AH$83:$AH$483),$A434,0)</f>
        <v>0</v>
      </c>
      <c r="AJ434">
        <f>IF(AE434&lt;AF434,$A434,B_MAX+1)</f>
        <v>351</v>
      </c>
      <c r="AK434" s="13">
        <f>IF(AB434=1,$AB$35,$AB$36)</f>
        <v>0</v>
      </c>
      <c r="AL434" s="13">
        <f>OCC_DAYS*$AB$41*R_NF_2023-AD434*MCD_SHARE_FREED*R_WAIT_2023</f>
        <v>151980.48282209205</v>
      </c>
      <c r="AM434">
        <f>IF($A434&lt;=$AB$45,1,0)</f>
        <v>0</v>
      </c>
      <c r="BB434">
        <f>IF($BB$31&lt;=$BB$32,IF($A434&lt;=$BB$7,1,2),IF($A434&lt;=RUNG_BEDS_2,2,1))</f>
        <v>1</v>
      </c>
      <c r="BC434" s="5">
        <f>MIN(1,MAX(0,$BB$26-($A434-1)))</f>
        <v>0</v>
      </c>
      <c r="BD434" s="5">
        <f>$BB$25*(BC434+(1-BC434)*$BB$16)</f>
        <v>0.0</v>
      </c>
      <c r="BE434" s="13">
        <f>BD434*($BB$6+ACUTE_MARGIN)</f>
        <v>0.0</v>
      </c>
      <c r="BF434" s="13">
        <f>IF(BB434=1,$BB$31,$BB$32)</f>
        <v>152394.16214437486</v>
      </c>
      <c r="BG434" s="13">
        <f>BE434-BF434</f>
        <v>-152394.16214437486</v>
      </c>
      <c r="BH434" s="13">
        <f>BH433+BG434</f>
        <v>2149834.061146508</v>
      </c>
      <c r="BI434">
        <f>IF(BH434=MAX($BH$83:$BH$483),$A434,0)</f>
        <v>0</v>
      </c>
      <c r="BJ434">
        <f>IF(BE434&lt;BF434,$A434,B_MAX+1)</f>
        <v>351</v>
      </c>
      <c r="BK434" s="13">
        <f>IF(BB434=1,$BB$35,$BB$36)</f>
        <v>0</v>
      </c>
      <c r="BL434" s="13">
        <f>OCC_DAYS*$BB$41*R_NF_2023-BD434*MCD_SHARE_FREED*R_WAIT_2023</f>
        <v>151980.48282209205</v>
      </c>
      <c r="BM434">
        <f>IF($A434&lt;=$BB$45,1,0)</f>
        <v>0</v>
      </c>
      <c r="CB434">
        <f>IF($CB$31&lt;=$CB$32,IF($A434&lt;=$CB$7,1,2),IF($A434&lt;=RUNG_BEDS_2,2,1))</f>
        <v>2</v>
      </c>
      <c r="CC434" s="5">
        <f>MIN(1,MAX(0,$CB$26-($A434-1)))</f>
        <v>0</v>
      </c>
      <c r="CD434" s="5">
        <f>$CB$25*(CC434+(1-CC434)*$CB$16)</f>
        <v>0.0</v>
      </c>
      <c r="CE434" s="13">
        <f>CD434*($CB$6+ACUTE_MARGIN)</f>
        <v>0.0</v>
      </c>
      <c r="CF434" s="13">
        <f>IF(CB434=1,$CB$31,$CB$32)</f>
        <v>160718.36940738867</v>
      </c>
      <c r="CG434" s="13">
        <f>CE434-CF434</f>
        <v>-160718.36940738867</v>
      </c>
      <c r="CH434" s="13">
        <f>CH433+CG434</f>
        <v>-18183177.033721235</v>
      </c>
      <c r="CI434">
        <f>IF(CH434=MAX($CH$83:$CH$483),$A434,0)</f>
        <v>0</v>
      </c>
      <c r="CJ434">
        <f>IF(CE434&lt;CF434,$A434,B_MAX+1)</f>
        <v>351</v>
      </c>
      <c r="CK434" s="13">
        <f>IF(CB434=1,$CB$35,$CB$36)</f>
        <v>1560.1194073886782</v>
      </c>
      <c r="CL434" s="13">
        <f>OCC_DAYS*$CB$41*R_NF_2023-CD434*MCD_SHARE_FREED*R_WAIT_2023</f>
        <v>151980.48282209205</v>
      </c>
      <c r="CM434">
        <f>IF($A434&lt;=$CB$45,1,0)</f>
        <v>0</v>
      </c>
      <c r="DB434">
        <f>IF($DB$31&lt;=$DB$32,IF($A434&lt;=$DB$7,1,2),IF($A434&lt;=RUNG_BEDS_2,2,1))</f>
        <v>1</v>
      </c>
      <c r="DC434" s="5">
        <f>MIN(1,MAX(0,$DB$26-($A434-1)))</f>
        <v>0</v>
      </c>
      <c r="DD434" s="5">
        <f>$DB$25*(DC434+(1-DC434)*$DB$16)</f>
        <v>0.0</v>
      </c>
      <c r="DE434" s="13">
        <f>DD434*($DB$6+ACUTE_MARGIN)</f>
        <v>0.0</v>
      </c>
      <c r="DF434" s="13">
        <f>IF(DB434=1,$DB$31,$DB$32)</f>
        <v>152394.16214437486</v>
      </c>
      <c r="DG434" s="13">
        <f>DE434-DF434</f>
        <v>-152394.16214437486</v>
      </c>
      <c r="DH434" s="13">
        <f>DH433+DG434</f>
        <v>-15261380.284403212</v>
      </c>
      <c r="DI434">
        <f>IF(DH434=MAX($DH$83:$DH$483),$A434,0)</f>
        <v>0</v>
      </c>
      <c r="DJ434">
        <f>IF(DE434&lt;DF434,$A434,B_MAX+1)</f>
        <v>351</v>
      </c>
      <c r="DK434" s="13">
        <f>IF(DB434=1,$DB$35,$DB$36)</f>
        <v>0</v>
      </c>
      <c r="DL434" s="13">
        <f>OCC_DAYS*$DB$41*R_NF_2023-DD434*MCD_SHARE_FREED*R_WAIT_2023</f>
        <v>151980.48282209205</v>
      </c>
      <c r="DM434">
        <f>IF($A434&lt;=$DB$45,1,0)</f>
        <v>0</v>
      </c>
      <c r="EB434">
        <f>IF($EB$31&lt;=$EB$32,IF($A434&lt;=$EB$7,1,2),IF($A434&lt;=RUNG_BEDS_2,2,1))</f>
        <v>1</v>
      </c>
      <c r="EC434" s="5">
        <f>MIN(1,MAX(0,$EB$26-($A434-1)))</f>
        <v>0</v>
      </c>
      <c r="ED434" s="5">
        <f>$EB$25*(EC434+(1-EC434)*$EB$16)</f>
        <v>0.0</v>
      </c>
      <c r="EE434" s="13">
        <f>ED434*($EB$6+ACUTE_MARGIN)</f>
        <v>0.0</v>
      </c>
      <c r="EF434" s="13">
        <f>IF(EB434=1,$EB$31,$EB$32)</f>
        <v>152394.16214437486</v>
      </c>
      <c r="EG434" s="13">
        <f>EE434-EF434</f>
        <v>-152394.16214437486</v>
      </c>
      <c r="EH434" s="13">
        <f>EH433+EG434</f>
        <v>-15261380.284403212</v>
      </c>
      <c r="EI434">
        <f>IF(EH434=MAX($EH$83:$EH$483),$A434,0)</f>
        <v>0</v>
      </c>
      <c r="EJ434">
        <f>IF(EE434&lt;EF434,$A434,B_MAX+1)</f>
        <v>351</v>
      </c>
      <c r="EK434" s="13">
        <f>IF(EB434=1,$EB$35,$EB$36)</f>
        <v>0</v>
      </c>
      <c r="EL434" s="13">
        <f>OCC_DAYS*$EB$41*R_NF_2023-ED434*MCD_SHARE_FREED*R_WAIT_2023</f>
        <v>50660.16094069735</v>
      </c>
      <c r="EM434">
        <f>IF($A434&lt;=$EB$45,1,0)</f>
        <v>0</v>
      </c>
      <c r="FB434">
        <f>IF($FB$31&lt;=$FB$32,IF($A434&lt;=$FB$7,1,2),IF($A434&lt;=RUNG_BEDS_2,2,1))</f>
        <v>1</v>
      </c>
      <c r="FC434" s="5">
        <f>MIN(1,MAX(0,$FB$26-($A434-1)))</f>
        <v>0</v>
      </c>
      <c r="FD434" s="5">
        <f>$FB$25*(FC434+(1-FC434)*$FB$16)</f>
        <v>0.0</v>
      </c>
      <c r="FE434" s="13">
        <f>FD434*($FB$6+ACUTE_MARGIN)</f>
        <v>0.0</v>
      </c>
      <c r="FF434" s="13">
        <f>IF(FB434=1,$FB$31,$FB$32)</f>
        <v>156636.04979437485</v>
      </c>
      <c r="FG434" s="13">
        <f>FE434-FF434</f>
        <v>-156636.04979437485</v>
      </c>
      <c r="FH434" s="13">
        <f>FH433+FG434</f>
        <v>-16750282.849553315</v>
      </c>
      <c r="FI434">
        <f>IF(FH434=MAX($FH$83:$FH$483),$A434,0)</f>
        <v>0</v>
      </c>
      <c r="FJ434">
        <f>IF(FE434&lt;FF434,$A434,B_MAX+1)</f>
        <v>351</v>
      </c>
      <c r="FK434" s="13">
        <f>IF(FB434=1,$FB$35,$FB$36)</f>
        <v>0</v>
      </c>
      <c r="FL434" s="13">
        <f>OCC_DAYS*$FB$41*R_NF_2023-FD434*MCD_SHARE_FREED*R_WAIT_2023</f>
        <v>151980.48282209205</v>
      </c>
      <c r="FM434">
        <f>IF($A434&lt;=$FB$45,1,0)</f>
        <v>0</v>
      </c>
      <c r="GB434">
        <f>IF($GB$31&lt;=$GB$32,IF($A434&lt;=$GB$7,1,2),IF($A434&lt;=RUNG_BEDS_2,2,1))</f>
        <v>1</v>
      </c>
      <c r="GC434" s="5">
        <f>MIN(1,MAX(0,$GB$26-($A434-1)))</f>
        <v>0</v>
      </c>
      <c r="GD434" s="5">
        <f>$GB$25*(GC434+(1-GC434)*$GB$16)</f>
        <v>0.0</v>
      </c>
      <c r="GE434" s="13">
        <f>GD434*($GB$6+ACUTE_MARGIN)</f>
        <v>0.0</v>
      </c>
      <c r="GF434" s="13">
        <f>IF(GB434=1,$GB$31,$GB$32)</f>
        <v>152394.16214437486</v>
      </c>
      <c r="GG434" s="13">
        <f>GE434-GF434</f>
        <v>-152394.16214437486</v>
      </c>
      <c r="GH434" s="13">
        <f>GH433+GG434</f>
        <v>-15261380.284403212</v>
      </c>
      <c r="GI434">
        <f>IF(GH434=MAX($GH$83:$GH$483),$A434,0)</f>
        <v>0</v>
      </c>
      <c r="GJ434">
        <f>IF(GE434&lt;GF434,$A434,B_MAX+1)</f>
        <v>351</v>
      </c>
      <c r="GK434" s="13">
        <f>IF(GB434=1,$GB$35,$GB$36)</f>
        <v>0</v>
      </c>
      <c r="GL434" s="13">
        <f>OCC_DAYS*$GB$41*R_NF_2023-GD434*MCD_SHARE_FREED*R_WAIT_2023</f>
        <v>151980.48282209205</v>
      </c>
      <c r="GM434">
        <f>IF($A434&lt;=$GB$45,1,0)</f>
        <v>0</v>
      </c>
      <c r="HB434">
        <f>IF($HB$31&lt;=$HB$32,IF($A434&lt;=$HB$7,1,2),IF($A434&lt;=RUNG_BEDS_2,2,1))</f>
        <v>1</v>
      </c>
      <c r="HC434" s="5">
        <f>MIN(1,MAX(0,$HB$26-($A434-1)))</f>
        <v>0</v>
      </c>
      <c r="HD434" s="5">
        <f>$HB$25*(HC434+(1-HC434)*$HB$16)</f>
        <v>0.0</v>
      </c>
      <c r="HE434" s="13">
        <f>HD434*($HB$6+ACUTE_MARGIN)</f>
        <v>0.0</v>
      </c>
      <c r="HF434" s="13">
        <f>IF(HB434=1,$HB$31,$HB$32)</f>
        <v>152456.2970814058</v>
      </c>
      <c r="HG434" s="13">
        <f>HE434-HF434</f>
        <v>-152456.2970814058</v>
      </c>
      <c r="HH434" s="13">
        <f>HH433+HG434</f>
        <v>-15283189.647301128</v>
      </c>
      <c r="HI434">
        <f>IF(HH434=MAX($HH$83:$HH$483),$A434,0)</f>
        <v>0</v>
      </c>
      <c r="HJ434">
        <f>IF(HE434&lt;HF434,$A434,B_MAX+1)</f>
        <v>351</v>
      </c>
      <c r="HK434" s="13">
        <f>IF(HB434=1,$HB$35,$HB$36)</f>
        <v>0</v>
      </c>
      <c r="HL434" s="13">
        <f>OCC_DAYS*$HB$41*R_NF_2023-HD434*MCD_SHARE_FREED*R_WAIT_2023</f>
        <v>151980.48282209205</v>
      </c>
      <c r="HM434">
        <f>IF($A434&lt;=$HB$45,1,0)</f>
        <v>0</v>
      </c>
      <c r="IB434">
        <f>IF($IB$31&lt;=$IB$32,IF($A434&lt;=$IB$7,1,2),IF($A434&lt;=RUNG_BEDS_2,2,1))</f>
        <v>1</v>
      </c>
      <c r="IC434" s="5">
        <f>MIN(1,MAX(0,$IB$26-($A434-1)))</f>
        <v>0</v>
      </c>
      <c r="ID434" s="5">
        <f>$IB$25*(IC434+(1-IC434)*$IB$16)</f>
        <v>0.0</v>
      </c>
      <c r="IE434" s="13">
        <f>ID434*($IB$6+ACUTE_MARGIN)</f>
        <v>0.0</v>
      </c>
      <c r="IF434" s="13">
        <f>IF(IB434=1,$IB$31,$IB$32)</f>
        <v>152734.9994534971</v>
      </c>
      <c r="IG434" s="13">
        <f>IE434-IF434</f>
        <v>-152734.9994534971</v>
      </c>
      <c r="IH434" s="13">
        <f>IH433+IG434</f>
        <v>-15381014.179905199</v>
      </c>
      <c r="II434">
        <f>IF(IH434=MAX($IH$83:$IH$483),$A434,0)</f>
        <v>0</v>
      </c>
      <c r="IJ434">
        <f>IF(IE434&lt;IF434,$A434,B_MAX+1)</f>
        <v>351</v>
      </c>
      <c r="IK434" s="13">
        <f>IF(IB434=1,$IB$35,$IB$36)</f>
        <v>0</v>
      </c>
      <c r="IL434" s="13">
        <f>OCC_DAYS*$IB$41*R_NF_2023-ID434*MCD_SHARE_FREED*R_WAIT_2023</f>
        <v>151980.48282209205</v>
      </c>
      <c r="IM434">
        <f>IF($A434&lt;=$IB$45,1,0)</f>
        <v>0</v>
      </c>
      <c r="JB434">
        <f>IF($JB$31&lt;=$JB$32,IF($A434&lt;=$JB$7,1,2),IF($A434&lt;=RUNG_BEDS_2,2,1))</f>
        <v>1</v>
      </c>
      <c r="JC434" s="5">
        <f>MIN(1,MAX(0,$JB$26-($A434-1)))</f>
        <v>0</v>
      </c>
      <c r="JD434" s="5">
        <f>$JB$25*(JC434+(1-JC434)*$JB$16)</f>
        <v>0.0</v>
      </c>
      <c r="JE434" s="13">
        <f>JD434*($JB$6+ACUTE_MARGIN)</f>
        <v>0.0</v>
      </c>
      <c r="JF434" s="13">
        <f>IF(JB434=1,$JB$31,$JB$32)</f>
        <v>152394.16214437486</v>
      </c>
      <c r="JG434" s="13">
        <f>JE434-JF434</f>
        <v>-152394.16214437486</v>
      </c>
      <c r="JH434" s="13">
        <f>JH433+JG434</f>
        <v>-15261380.284403212</v>
      </c>
      <c r="JI434">
        <f>IF(JH434=MAX($JH$83:$JH$483),$A434,0)</f>
        <v>0</v>
      </c>
      <c r="JJ434">
        <f>IF(JE434&lt;JF434,$A434,B_MAX+1)</f>
        <v>351</v>
      </c>
      <c r="JK434" s="13">
        <f>IF(JB434=1,$JB$35,$JB$36)</f>
        <v>0</v>
      </c>
      <c r="JL434" s="13">
        <f>OCC_DAYS*$JB$41*R_NF_2023-JD434*MCD_SHARE_FREED*R_WAIT_2023</f>
        <v>151980.48282209205</v>
      </c>
      <c r="JM434">
        <f>IF($A434&lt;=$JB$45,1,0)</f>
        <v>0</v>
      </c>
      <c r="KB434">
        <f>IF($KB$31&lt;=$KB$32,IF($A434&lt;=$KB$7,1,2),IF($A434&lt;=RUNG_BEDS_2,2,1))</f>
        <v>1</v>
      </c>
      <c r="KC434" s="5">
        <f>MIN(1,MAX(0,$KB$26-($A434-1)))</f>
        <v>0</v>
      </c>
      <c r="KD434" s="5">
        <f>$KB$25*(KC434+(1-KC434)*$KB$16)</f>
        <v>0.0</v>
      </c>
      <c r="KE434" s="13">
        <f>KD434*($KB$6+ACUTE_MARGIN)</f>
        <v>0.0</v>
      </c>
      <c r="KF434" s="13">
        <f>IF(KB434=1,$KB$31,$KB$32)</f>
        <v>152394.16214437486</v>
      </c>
      <c r="KG434" s="13">
        <f>KE434-KF434</f>
        <v>-152394.16214437486</v>
      </c>
      <c r="KH434" s="13">
        <f>KH433+KG434</f>
        <v>-15261380.284403319</v>
      </c>
      <c r="KI434">
        <f>IF(KH434=MAX($KH$83:$KH$483),$A434,0)</f>
        <v>0</v>
      </c>
      <c r="KJ434">
        <f>IF(KE434&lt;KF434,$A434,B_MAX+1)</f>
        <v>351</v>
      </c>
      <c r="KK434" s="13">
        <f>IF(KB434=1,$KB$35,$KB$36)</f>
        <v>0</v>
      </c>
      <c r="KL434" s="13">
        <f>OCC_DAYS*$KB$41*R_NF_2023-KD434*MCD_SHARE_FREED*R_WAIT_2023</f>
        <v>151980.48282209205</v>
      </c>
      <c r="KM434">
        <f>IF($A434&lt;=$KB$45,1,0)</f>
        <v>0</v>
      </c>
      <c r="LB434">
        <f>IF($LB$31&lt;=$LB$32,IF($A434&lt;=$LB$7,1,2),IF($A434&lt;=RUNG_BEDS_2,2,1))</f>
        <v>1</v>
      </c>
      <c r="LC434" s="5">
        <f>MIN(1,MAX(0,$LB$26-($A434-1)))</f>
        <v>1</v>
      </c>
      <c r="LD434" s="5">
        <f>$LB$25*(LC434+(1-LC434)*$LB$16)</f>
        <v>84.01774238227146</v>
      </c>
      <c r="LE434" s="13">
        <f>LD434*($LB$6+ACUTE_MARGIN)</f>
        <v>84857.91980609419</v>
      </c>
      <c r="LF434" s="13">
        <f>IF(LB434=1,$LB$31,$LB$32)</f>
        <v>152394.16214437486</v>
      </c>
      <c r="LG434" s="13">
        <f>LE434-LF434</f>
        <v>-67536.24233828067</v>
      </c>
      <c r="LH434" s="13">
        <f>LH433+LG434</f>
        <v>-23705221.060736645</v>
      </c>
      <c r="LI434">
        <f>IF(LH434=MAX($LH$83:$LH$483),$A434,0)</f>
        <v>0</v>
      </c>
      <c r="LJ434">
        <f>IF(LE434&lt;LF434,$A434,B_MAX+1)</f>
        <v>351</v>
      </c>
      <c r="LK434" s="13">
        <f>IF(LB434=1,$LB$35,$LB$36)</f>
        <v>0</v>
      </c>
      <c r="LL434" s="13">
        <f>OCC_DAYS*$LB$41*R_NF_2023-LD434*MCD_SHARE_FREED*R_WAIT_2023</f>
        <v>113776.04162887059</v>
      </c>
      <c r="LM434">
        <f>IF($A434&lt;=$LB$45,1,0)</f>
        <v>0</v>
      </c>
      <c r="MB434">
        <f>IF($MB$31&lt;=$MB$32,IF($A434&lt;=$MB$7,1,2),IF($A434&lt;=RUNG_BEDS_2,2,1))</f>
        <v>1</v>
      </c>
      <c r="MC434" s="5">
        <f>MIN(1,MAX(0,$MB$26-($A434-1)))</f>
        <v>0</v>
      </c>
      <c r="MD434" s="5">
        <f>$MB$25*(MC434+(1-MC434)*$MB$16)</f>
        <v>0.0</v>
      </c>
      <c r="ME434" s="13">
        <f>MD434*($MB$6+ACUTE_MARGIN)</f>
        <v>0.0</v>
      </c>
      <c r="MF434" s="13">
        <f>IF(MB434=1,$MB$31,$MB$32)</f>
        <v>152394.16214437486</v>
      </c>
      <c r="MG434" s="13">
        <f>ME434-MF434</f>
        <v>-152394.16214437486</v>
      </c>
      <c r="MH434" s="13">
        <f>MH433+MG434</f>
        <v>-21148656.346201513</v>
      </c>
      <c r="MI434">
        <f>IF(MH434=MAX($MH$83:$MH$483),$A434,0)</f>
        <v>0</v>
      </c>
      <c r="MJ434">
        <f>IF(ME434&lt;MF434,$A434,B_MAX+1)</f>
        <v>351</v>
      </c>
      <c r="MK434" s="13">
        <f>IF(MB434=1,$MB$35,$MB$36)</f>
        <v>0</v>
      </c>
      <c r="ML434" s="13">
        <f>OCC_DAYS*$MB$41*R_NF_2023-MD434*MCD_SHARE_FREED*R_WAIT_2023</f>
        <v>151980.48282209205</v>
      </c>
      <c r="MM434">
        <f>IF($A434&lt;=$MB$45,1,0)</f>
        <v>0</v>
      </c>
      <c r="NB434">
        <f>IF($NB$31&lt;=$NB$32,IF($A434&lt;=$NB$7,1,2),IF($A434&lt;=RUNG_BEDS_2,2,1))</f>
        <v>1</v>
      </c>
      <c r="NC434" s="5">
        <f>MIN(1,MAX(0,$NB$26-($A434-1)))</f>
        <v>0</v>
      </c>
      <c r="ND434" s="5">
        <f>$NB$25*(NC434+(1-NC434)*$NB$16)</f>
        <v>63.013306786703595</v>
      </c>
      <c r="NE434" s="13">
        <f>ND434*($NB$6+ACUTE_MARGIN)</f>
        <v>63643.43985457063</v>
      </c>
      <c r="NF434" s="13">
        <f>IF(NB434=1,$NB$31,$NB$32)</f>
        <v>152394.16214437486</v>
      </c>
      <c r="NG434" s="13">
        <f>NE434-NF434</f>
        <v>-88750.72228980422</v>
      </c>
      <c r="NH434" s="13">
        <f>NH433+NG434</f>
        <v>-2479775.5525170593</v>
      </c>
      <c r="NI434">
        <f>IF(NH434=MAX($NH$83:$NH$483),$A434,0)</f>
        <v>0</v>
      </c>
      <c r="NJ434">
        <f>IF(NE434&lt;NF434,$A434,B_MAX+1)</f>
        <v>351</v>
      </c>
      <c r="NK434" s="13">
        <f>IF(NB434=1,$NB$35,$NB$36)</f>
        <v>0</v>
      </c>
      <c r="NL434" s="13">
        <f>OCC_DAYS*$NB$41*R_NF_2023-ND434*MCD_SHARE_FREED*R_WAIT_2023</f>
        <v>123327.15192717595</v>
      </c>
      <c r="NM434">
        <f>IF($A434&lt;=$NB$45,1,0)</f>
        <v>0</v>
      </c>
      <c r="OB434">
        <f>IF($OB$31&lt;=$OB$32,IF($A434&lt;=$OB$7,1,2),IF($A434&lt;=RUNG_BEDS_2,2,1))</f>
        <v>1</v>
      </c>
      <c r="OC434" s="5">
        <f>MIN(1,MAX(0,$OB$26-($A434-1)))</f>
        <v>0</v>
      </c>
      <c r="OD434" s="5">
        <f>$OB$25*(OC434+(1-OC434)*$OB$16)</f>
        <v>126.02661357340719</v>
      </c>
      <c r="OE434" s="13">
        <f>OD434*($OB$6+ACUTE_MARGIN)</f>
        <v>127286.87970914126</v>
      </c>
      <c r="OF434" s="13">
        <f>IF(OB434=1,$OB$31,$OB$32)</f>
        <v>152394.16214437486</v>
      </c>
      <c r="OG434" s="13">
        <f>OE434-OF434</f>
        <v>-25107.282435233603</v>
      </c>
      <c r="OH434" s="13">
        <f>OH433+OG434</f>
        <v>10301829.179369355</v>
      </c>
      <c r="OI434">
        <f>IF(OH434=MAX($OH$83:$OH$483),$A434,0)</f>
        <v>0</v>
      </c>
      <c r="OJ434">
        <f>IF(OE434&lt;OF434,$A434,B_MAX+1)</f>
        <v>351</v>
      </c>
      <c r="OK434" s="13">
        <f>IF(OB434=1,$OB$35,$OB$36)</f>
        <v>0</v>
      </c>
      <c r="OL434" s="13">
        <f>OCC_DAYS*$OB$41*R_NF_2023-OD434*MCD_SHARE_FREED*R_WAIT_2023</f>
        <v>94673.82103225985</v>
      </c>
      <c r="OM434">
        <f>IF($A434&lt;=$OB$45,1,0)</f>
        <v>0</v>
      </c>
    </row>
    <row r="435">
      <c r="A435" t="n">
        <v>352</v>
      </c>
      <c r="B435">
        <f>IF($B$31&lt;=$B$32,IF($A435&lt;=$B$7,1,2),IF($A435&lt;=RUNG_BEDS_2,2,1))</f>
        <v>1</v>
      </c>
      <c r="C435" s="5">
        <f>MIN(1,MAX(0,$B$26-($A435-1)))</f>
        <v>0</v>
      </c>
      <c r="D435" s="5">
        <f>$B$25*(C435+(1-C435)*$B$16)</f>
        <v>0.0</v>
      </c>
      <c r="E435" s="13">
        <f>D435*($B$6+ACUTE_MARGIN)</f>
        <v>0.0</v>
      </c>
      <c r="F435" s="13">
        <f>IF(B435=1,$B$31,$B$32)</f>
        <v>152394.16214437486</v>
      </c>
      <c r="G435" s="13">
        <f>E435-F435</f>
        <v>-152394.16214437486</v>
      </c>
      <c r="H435" s="13">
        <f>H434+G435</f>
        <v>-15413774.446547586</v>
      </c>
      <c r="I435">
        <f>IF(H435=MAX($H$83:$H$483),$A435,0)</f>
        <v>0</v>
      </c>
      <c r="J435">
        <f>IF(E435&lt;F435,$A435,B_MAX+1)</f>
        <v>352</v>
      </c>
      <c r="K435" s="13">
        <f>IF(B435=1,$B$35,$B$36)</f>
        <v>0</v>
      </c>
      <c r="L435" s="13">
        <f>OCC_DAYS*$B$41*R_NF_2023-D435*MCD_SHARE_FREED*R_WAIT_2023</f>
        <v>151980.48282209205</v>
      </c>
      <c r="M435">
        <f>IF($A435&lt;=$B$45,1,0)</f>
        <v>0</v>
      </c>
      <c r="AB435">
        <f>IF($AB$31&lt;=$AB$32,IF($A435&lt;=$AB$7,1,2),IF($A435&lt;=RUNG_BEDS_2,2,1))</f>
        <v>1</v>
      </c>
      <c r="AC435" s="5">
        <f>MIN(1,MAX(0,$AB$26-($A435-1)))</f>
        <v>0</v>
      </c>
      <c r="AD435" s="5">
        <f>$AB$25*(AC435+(1-AC435)*$AB$16)</f>
        <v>0.0</v>
      </c>
      <c r="AE435" s="13">
        <f>AD435*($AB$6+ACUTE_MARGIN)</f>
        <v>0.0</v>
      </c>
      <c r="AF435" s="13">
        <f>IF(AB435=1,$AB$31,$AB$32)</f>
        <v>152394.16214437486</v>
      </c>
      <c r="AG435" s="13">
        <f>AE435-AF435</f>
        <v>-152394.16214437486</v>
      </c>
      <c r="AH435" s="13">
        <f>AH434+AG435</f>
        <v>-32824988.792097323</v>
      </c>
      <c r="AI435">
        <f>IF(AH435=MAX($AH$83:$AH$483),$A435,0)</f>
        <v>0</v>
      </c>
      <c r="AJ435">
        <f>IF(AE435&lt;AF435,$A435,B_MAX+1)</f>
        <v>352</v>
      </c>
      <c r="AK435" s="13">
        <f>IF(AB435=1,$AB$35,$AB$36)</f>
        <v>0</v>
      </c>
      <c r="AL435" s="13">
        <f>OCC_DAYS*$AB$41*R_NF_2023-AD435*MCD_SHARE_FREED*R_WAIT_2023</f>
        <v>151980.48282209205</v>
      </c>
      <c r="AM435">
        <f>IF($A435&lt;=$AB$45,1,0)</f>
        <v>0</v>
      </c>
      <c r="BB435">
        <f>IF($BB$31&lt;=$BB$32,IF($A435&lt;=$BB$7,1,2),IF($A435&lt;=RUNG_BEDS_2,2,1))</f>
        <v>1</v>
      </c>
      <c r="BC435" s="5">
        <f>MIN(1,MAX(0,$BB$26-($A435-1)))</f>
        <v>0</v>
      </c>
      <c r="BD435" s="5">
        <f>$BB$25*(BC435+(1-BC435)*$BB$16)</f>
        <v>0.0</v>
      </c>
      <c r="BE435" s="13">
        <f>BD435*($BB$6+ACUTE_MARGIN)</f>
        <v>0.0</v>
      </c>
      <c r="BF435" s="13">
        <f>IF(BB435=1,$BB$31,$BB$32)</f>
        <v>152394.16214437486</v>
      </c>
      <c r="BG435" s="13">
        <f>BE435-BF435</f>
        <v>-152394.16214437486</v>
      </c>
      <c r="BH435" s="13">
        <f>BH434+BG435</f>
        <v>1997439.8990021332</v>
      </c>
      <c r="BI435">
        <f>IF(BH435=MAX($BH$83:$BH$483),$A435,0)</f>
        <v>0</v>
      </c>
      <c r="BJ435">
        <f>IF(BE435&lt;BF435,$A435,B_MAX+1)</f>
        <v>352</v>
      </c>
      <c r="BK435" s="13">
        <f>IF(BB435=1,$BB$35,$BB$36)</f>
        <v>0</v>
      </c>
      <c r="BL435" s="13">
        <f>OCC_DAYS*$BB$41*R_NF_2023-BD435*MCD_SHARE_FREED*R_WAIT_2023</f>
        <v>151980.48282209205</v>
      </c>
      <c r="BM435">
        <f>IF($A435&lt;=$BB$45,1,0)</f>
        <v>0</v>
      </c>
      <c r="CB435">
        <f>IF($CB$31&lt;=$CB$32,IF($A435&lt;=$CB$7,1,2),IF($A435&lt;=RUNG_BEDS_2,2,1))</f>
        <v>2</v>
      </c>
      <c r="CC435" s="5">
        <f>MIN(1,MAX(0,$CB$26-($A435-1)))</f>
        <v>0</v>
      </c>
      <c r="CD435" s="5">
        <f>$CB$25*(CC435+(1-CC435)*$CB$16)</f>
        <v>0.0</v>
      </c>
      <c r="CE435" s="13">
        <f>CD435*($CB$6+ACUTE_MARGIN)</f>
        <v>0.0</v>
      </c>
      <c r="CF435" s="13">
        <f>IF(CB435=1,$CB$31,$CB$32)</f>
        <v>160718.36940738867</v>
      </c>
      <c r="CG435" s="13">
        <f>CE435-CF435</f>
        <v>-160718.36940738867</v>
      </c>
      <c r="CH435" s="13">
        <f>CH434+CG435</f>
        <v>-18343895.403128624</v>
      </c>
      <c r="CI435">
        <f>IF(CH435=MAX($CH$83:$CH$483),$A435,0)</f>
        <v>0</v>
      </c>
      <c r="CJ435">
        <f>IF(CE435&lt;CF435,$A435,B_MAX+1)</f>
        <v>352</v>
      </c>
      <c r="CK435" s="13">
        <f>IF(CB435=1,$CB$35,$CB$36)</f>
        <v>1560.1194073886782</v>
      </c>
      <c r="CL435" s="13">
        <f>OCC_DAYS*$CB$41*R_NF_2023-CD435*MCD_SHARE_FREED*R_WAIT_2023</f>
        <v>151980.48282209205</v>
      </c>
      <c r="CM435">
        <f>IF($A435&lt;=$CB$45,1,0)</f>
        <v>0</v>
      </c>
      <c r="DB435">
        <f>IF($DB$31&lt;=$DB$32,IF($A435&lt;=$DB$7,1,2),IF($A435&lt;=RUNG_BEDS_2,2,1))</f>
        <v>1</v>
      </c>
      <c r="DC435" s="5">
        <f>MIN(1,MAX(0,$DB$26-($A435-1)))</f>
        <v>0</v>
      </c>
      <c r="DD435" s="5">
        <f>$DB$25*(DC435+(1-DC435)*$DB$16)</f>
        <v>0.0</v>
      </c>
      <c r="DE435" s="13">
        <f>DD435*($DB$6+ACUTE_MARGIN)</f>
        <v>0.0</v>
      </c>
      <c r="DF435" s="13">
        <f>IF(DB435=1,$DB$31,$DB$32)</f>
        <v>152394.16214437486</v>
      </c>
      <c r="DG435" s="13">
        <f>DE435-DF435</f>
        <v>-152394.16214437486</v>
      </c>
      <c r="DH435" s="13">
        <f>DH434+DG435</f>
        <v>-15413774.446547586</v>
      </c>
      <c r="DI435">
        <f>IF(DH435=MAX($DH$83:$DH$483),$A435,0)</f>
        <v>0</v>
      </c>
      <c r="DJ435">
        <f>IF(DE435&lt;DF435,$A435,B_MAX+1)</f>
        <v>352</v>
      </c>
      <c r="DK435" s="13">
        <f>IF(DB435=1,$DB$35,$DB$36)</f>
        <v>0</v>
      </c>
      <c r="DL435" s="13">
        <f>OCC_DAYS*$DB$41*R_NF_2023-DD435*MCD_SHARE_FREED*R_WAIT_2023</f>
        <v>151980.48282209205</v>
      </c>
      <c r="DM435">
        <f>IF($A435&lt;=$DB$45,1,0)</f>
        <v>0</v>
      </c>
      <c r="EB435">
        <f>IF($EB$31&lt;=$EB$32,IF($A435&lt;=$EB$7,1,2),IF($A435&lt;=RUNG_BEDS_2,2,1))</f>
        <v>1</v>
      </c>
      <c r="EC435" s="5">
        <f>MIN(1,MAX(0,$EB$26-($A435-1)))</f>
        <v>0</v>
      </c>
      <c r="ED435" s="5">
        <f>$EB$25*(EC435+(1-EC435)*$EB$16)</f>
        <v>0.0</v>
      </c>
      <c r="EE435" s="13">
        <f>ED435*($EB$6+ACUTE_MARGIN)</f>
        <v>0.0</v>
      </c>
      <c r="EF435" s="13">
        <f>IF(EB435=1,$EB$31,$EB$32)</f>
        <v>152394.16214437486</v>
      </c>
      <c r="EG435" s="13">
        <f>EE435-EF435</f>
        <v>-152394.16214437486</v>
      </c>
      <c r="EH435" s="13">
        <f>EH434+EG435</f>
        <v>-15413774.446547586</v>
      </c>
      <c r="EI435">
        <f>IF(EH435=MAX($EH$83:$EH$483),$A435,0)</f>
        <v>0</v>
      </c>
      <c r="EJ435">
        <f>IF(EE435&lt;EF435,$A435,B_MAX+1)</f>
        <v>352</v>
      </c>
      <c r="EK435" s="13">
        <f>IF(EB435=1,$EB$35,$EB$36)</f>
        <v>0</v>
      </c>
      <c r="EL435" s="13">
        <f>OCC_DAYS*$EB$41*R_NF_2023-ED435*MCD_SHARE_FREED*R_WAIT_2023</f>
        <v>50660.16094069735</v>
      </c>
      <c r="EM435">
        <f>IF($A435&lt;=$EB$45,1,0)</f>
        <v>0</v>
      </c>
      <c r="FB435">
        <f>IF($FB$31&lt;=$FB$32,IF($A435&lt;=$FB$7,1,2),IF($A435&lt;=RUNG_BEDS_2,2,1))</f>
        <v>1</v>
      </c>
      <c r="FC435" s="5">
        <f>MIN(1,MAX(0,$FB$26-($A435-1)))</f>
        <v>0</v>
      </c>
      <c r="FD435" s="5">
        <f>$FB$25*(FC435+(1-FC435)*$FB$16)</f>
        <v>0.0</v>
      </c>
      <c r="FE435" s="13">
        <f>FD435*($FB$6+ACUTE_MARGIN)</f>
        <v>0.0</v>
      </c>
      <c r="FF435" s="13">
        <f>IF(FB435=1,$FB$31,$FB$32)</f>
        <v>156636.04979437485</v>
      </c>
      <c r="FG435" s="13">
        <f>FE435-FF435</f>
        <v>-156636.04979437485</v>
      </c>
      <c r="FH435" s="13">
        <f>FH434+FG435</f>
        <v>-16906918.89934769</v>
      </c>
      <c r="FI435">
        <f>IF(FH435=MAX($FH$83:$FH$483),$A435,0)</f>
        <v>0</v>
      </c>
      <c r="FJ435">
        <f>IF(FE435&lt;FF435,$A435,B_MAX+1)</f>
        <v>352</v>
      </c>
      <c r="FK435" s="13">
        <f>IF(FB435=1,$FB$35,$FB$36)</f>
        <v>0</v>
      </c>
      <c r="FL435" s="13">
        <f>OCC_DAYS*$FB$41*R_NF_2023-FD435*MCD_SHARE_FREED*R_WAIT_2023</f>
        <v>151980.48282209205</v>
      </c>
      <c r="FM435">
        <f>IF($A435&lt;=$FB$45,1,0)</f>
        <v>0</v>
      </c>
      <c r="GB435">
        <f>IF($GB$31&lt;=$GB$32,IF($A435&lt;=$GB$7,1,2),IF($A435&lt;=RUNG_BEDS_2,2,1))</f>
        <v>1</v>
      </c>
      <c r="GC435" s="5">
        <f>MIN(1,MAX(0,$GB$26-($A435-1)))</f>
        <v>0</v>
      </c>
      <c r="GD435" s="5">
        <f>$GB$25*(GC435+(1-GC435)*$GB$16)</f>
        <v>0.0</v>
      </c>
      <c r="GE435" s="13">
        <f>GD435*($GB$6+ACUTE_MARGIN)</f>
        <v>0.0</v>
      </c>
      <c r="GF435" s="13">
        <f>IF(GB435=1,$GB$31,$GB$32)</f>
        <v>152394.16214437486</v>
      </c>
      <c r="GG435" s="13">
        <f>GE435-GF435</f>
        <v>-152394.16214437486</v>
      </c>
      <c r="GH435" s="13">
        <f>GH434+GG435</f>
        <v>-15413774.446547586</v>
      </c>
      <c r="GI435">
        <f>IF(GH435=MAX($GH$83:$GH$483),$A435,0)</f>
        <v>0</v>
      </c>
      <c r="GJ435">
        <f>IF(GE435&lt;GF435,$A435,B_MAX+1)</f>
        <v>352</v>
      </c>
      <c r="GK435" s="13">
        <f>IF(GB435=1,$GB$35,$GB$36)</f>
        <v>0</v>
      </c>
      <c r="GL435" s="13">
        <f>OCC_DAYS*$GB$41*R_NF_2023-GD435*MCD_SHARE_FREED*R_WAIT_2023</f>
        <v>151980.48282209205</v>
      </c>
      <c r="GM435">
        <f>IF($A435&lt;=$GB$45,1,0)</f>
        <v>0</v>
      </c>
      <c r="HB435">
        <f>IF($HB$31&lt;=$HB$32,IF($A435&lt;=$HB$7,1,2),IF($A435&lt;=RUNG_BEDS_2,2,1))</f>
        <v>1</v>
      </c>
      <c r="HC435" s="5">
        <f>MIN(1,MAX(0,$HB$26-($A435-1)))</f>
        <v>0</v>
      </c>
      <c r="HD435" s="5">
        <f>$HB$25*(HC435+(1-HC435)*$HB$16)</f>
        <v>0.0</v>
      </c>
      <c r="HE435" s="13">
        <f>HD435*($HB$6+ACUTE_MARGIN)</f>
        <v>0.0</v>
      </c>
      <c r="HF435" s="13">
        <f>IF(HB435=1,$HB$31,$HB$32)</f>
        <v>152456.2970814058</v>
      </c>
      <c r="HG435" s="13">
        <f>HE435-HF435</f>
        <v>-152456.2970814058</v>
      </c>
      <c r="HH435" s="13">
        <f>HH434+HG435</f>
        <v>-15435645.944382533</v>
      </c>
      <c r="HI435">
        <f>IF(HH435=MAX($HH$83:$HH$483),$A435,0)</f>
        <v>0</v>
      </c>
      <c r="HJ435">
        <f>IF(HE435&lt;HF435,$A435,B_MAX+1)</f>
        <v>352</v>
      </c>
      <c r="HK435" s="13">
        <f>IF(HB435=1,$HB$35,$HB$36)</f>
        <v>0</v>
      </c>
      <c r="HL435" s="13">
        <f>OCC_DAYS*$HB$41*R_NF_2023-HD435*MCD_SHARE_FREED*R_WAIT_2023</f>
        <v>151980.48282209205</v>
      </c>
      <c r="HM435">
        <f>IF($A435&lt;=$HB$45,1,0)</f>
        <v>0</v>
      </c>
      <c r="IB435">
        <f>IF($IB$31&lt;=$IB$32,IF($A435&lt;=$IB$7,1,2),IF($A435&lt;=RUNG_BEDS_2,2,1))</f>
        <v>1</v>
      </c>
      <c r="IC435" s="5">
        <f>MIN(1,MAX(0,$IB$26-($A435-1)))</f>
        <v>0</v>
      </c>
      <c r="ID435" s="5">
        <f>$IB$25*(IC435+(1-IC435)*$IB$16)</f>
        <v>0.0</v>
      </c>
      <c r="IE435" s="13">
        <f>ID435*($IB$6+ACUTE_MARGIN)</f>
        <v>0.0</v>
      </c>
      <c r="IF435" s="13">
        <f>IF(IB435=1,$IB$31,$IB$32)</f>
        <v>152734.9994534971</v>
      </c>
      <c r="IG435" s="13">
        <f>IE435-IF435</f>
        <v>-152734.9994534971</v>
      </c>
      <c r="IH435" s="13">
        <f>IH434+IG435</f>
        <v>-15533749.179358695</v>
      </c>
      <c r="II435">
        <f>IF(IH435=MAX($IH$83:$IH$483),$A435,0)</f>
        <v>0</v>
      </c>
      <c r="IJ435">
        <f>IF(IE435&lt;IF435,$A435,B_MAX+1)</f>
        <v>352</v>
      </c>
      <c r="IK435" s="13">
        <f>IF(IB435=1,$IB$35,$IB$36)</f>
        <v>0</v>
      </c>
      <c r="IL435" s="13">
        <f>OCC_DAYS*$IB$41*R_NF_2023-ID435*MCD_SHARE_FREED*R_WAIT_2023</f>
        <v>151980.48282209205</v>
      </c>
      <c r="IM435">
        <f>IF($A435&lt;=$IB$45,1,0)</f>
        <v>0</v>
      </c>
      <c r="JB435">
        <f>IF($JB$31&lt;=$JB$32,IF($A435&lt;=$JB$7,1,2),IF($A435&lt;=RUNG_BEDS_2,2,1))</f>
        <v>1</v>
      </c>
      <c r="JC435" s="5">
        <f>MIN(1,MAX(0,$JB$26-($A435-1)))</f>
        <v>0</v>
      </c>
      <c r="JD435" s="5">
        <f>$JB$25*(JC435+(1-JC435)*$JB$16)</f>
        <v>0.0</v>
      </c>
      <c r="JE435" s="13">
        <f>JD435*($JB$6+ACUTE_MARGIN)</f>
        <v>0.0</v>
      </c>
      <c r="JF435" s="13">
        <f>IF(JB435=1,$JB$31,$JB$32)</f>
        <v>152394.16214437486</v>
      </c>
      <c r="JG435" s="13">
        <f>JE435-JF435</f>
        <v>-152394.16214437486</v>
      </c>
      <c r="JH435" s="13">
        <f>JH434+JG435</f>
        <v>-15413774.446547586</v>
      </c>
      <c r="JI435">
        <f>IF(JH435=MAX($JH$83:$JH$483),$A435,0)</f>
        <v>0</v>
      </c>
      <c r="JJ435">
        <f>IF(JE435&lt;JF435,$A435,B_MAX+1)</f>
        <v>352</v>
      </c>
      <c r="JK435" s="13">
        <f>IF(JB435=1,$JB$35,$JB$36)</f>
        <v>0</v>
      </c>
      <c r="JL435" s="13">
        <f>OCC_DAYS*$JB$41*R_NF_2023-JD435*MCD_SHARE_FREED*R_WAIT_2023</f>
        <v>151980.48282209205</v>
      </c>
      <c r="JM435">
        <f>IF($A435&lt;=$JB$45,1,0)</f>
        <v>0</v>
      </c>
      <c r="KB435">
        <f>IF($KB$31&lt;=$KB$32,IF($A435&lt;=$KB$7,1,2),IF($A435&lt;=RUNG_BEDS_2,2,1))</f>
        <v>1</v>
      </c>
      <c r="KC435" s="5">
        <f>MIN(1,MAX(0,$KB$26-($A435-1)))</f>
        <v>0</v>
      </c>
      <c r="KD435" s="5">
        <f>$KB$25*(KC435+(1-KC435)*$KB$16)</f>
        <v>0.0</v>
      </c>
      <c r="KE435" s="13">
        <f>KD435*($KB$6+ACUTE_MARGIN)</f>
        <v>0.0</v>
      </c>
      <c r="KF435" s="13">
        <f>IF(KB435=1,$KB$31,$KB$32)</f>
        <v>152394.16214437486</v>
      </c>
      <c r="KG435" s="13">
        <f>KE435-KF435</f>
        <v>-152394.16214437486</v>
      </c>
      <c r="KH435" s="13">
        <f>KH434+KG435</f>
        <v>-15413774.446547693</v>
      </c>
      <c r="KI435">
        <f>IF(KH435=MAX($KH$83:$KH$483),$A435,0)</f>
        <v>0</v>
      </c>
      <c r="KJ435">
        <f>IF(KE435&lt;KF435,$A435,B_MAX+1)</f>
        <v>352</v>
      </c>
      <c r="KK435" s="13">
        <f>IF(KB435=1,$KB$35,$KB$36)</f>
        <v>0</v>
      </c>
      <c r="KL435" s="13">
        <f>OCC_DAYS*$KB$41*R_NF_2023-KD435*MCD_SHARE_FREED*R_WAIT_2023</f>
        <v>151980.48282209205</v>
      </c>
      <c r="KM435">
        <f>IF($A435&lt;=$KB$45,1,0)</f>
        <v>0</v>
      </c>
      <c r="LB435">
        <f>IF($LB$31&lt;=$LB$32,IF($A435&lt;=$LB$7,1,2),IF($A435&lt;=RUNG_BEDS_2,2,1))</f>
        <v>1</v>
      </c>
      <c r="LC435" s="5">
        <f>MIN(1,MAX(0,$LB$26-($A435-1)))</f>
        <v>1</v>
      </c>
      <c r="LD435" s="5">
        <f>$LB$25*(LC435+(1-LC435)*$LB$16)</f>
        <v>84.01774238227146</v>
      </c>
      <c r="LE435" s="13">
        <f>LD435*($LB$6+ACUTE_MARGIN)</f>
        <v>84857.91980609419</v>
      </c>
      <c r="LF435" s="13">
        <f>IF(LB435=1,$LB$31,$LB$32)</f>
        <v>152394.16214437486</v>
      </c>
      <c r="LG435" s="13">
        <f>LE435-LF435</f>
        <v>-67536.24233828067</v>
      </c>
      <c r="LH435" s="13">
        <f>LH434+LG435</f>
        <v>-23772757.303074926</v>
      </c>
      <c r="LI435">
        <f>IF(LH435=MAX($LH$83:$LH$483),$A435,0)</f>
        <v>0</v>
      </c>
      <c r="LJ435">
        <f>IF(LE435&lt;LF435,$A435,B_MAX+1)</f>
        <v>352</v>
      </c>
      <c r="LK435" s="13">
        <f>IF(LB435=1,$LB$35,$LB$36)</f>
        <v>0</v>
      </c>
      <c r="LL435" s="13">
        <f>OCC_DAYS*$LB$41*R_NF_2023-LD435*MCD_SHARE_FREED*R_WAIT_2023</f>
        <v>113776.04162887059</v>
      </c>
      <c r="LM435">
        <f>IF($A435&lt;=$LB$45,1,0)</f>
        <v>0</v>
      </c>
      <c r="MB435">
        <f>IF($MB$31&lt;=$MB$32,IF($A435&lt;=$MB$7,1,2),IF($A435&lt;=RUNG_BEDS_2,2,1))</f>
        <v>1</v>
      </c>
      <c r="MC435" s="5">
        <f>MIN(1,MAX(0,$MB$26-($A435-1)))</f>
        <v>0</v>
      </c>
      <c r="MD435" s="5">
        <f>$MB$25*(MC435+(1-MC435)*$MB$16)</f>
        <v>0.0</v>
      </c>
      <c r="ME435" s="13">
        <f>MD435*($MB$6+ACUTE_MARGIN)</f>
        <v>0.0</v>
      </c>
      <c r="MF435" s="13">
        <f>IF(MB435=1,$MB$31,$MB$32)</f>
        <v>152394.16214437486</v>
      </c>
      <c r="MG435" s="13">
        <f>ME435-MF435</f>
        <v>-152394.16214437486</v>
      </c>
      <c r="MH435" s="13">
        <f>MH434+MG435</f>
        <v>-21301050.508345887</v>
      </c>
      <c r="MI435">
        <f>IF(MH435=MAX($MH$83:$MH$483),$A435,0)</f>
        <v>0</v>
      </c>
      <c r="MJ435">
        <f>IF(ME435&lt;MF435,$A435,B_MAX+1)</f>
        <v>352</v>
      </c>
      <c r="MK435" s="13">
        <f>IF(MB435=1,$MB$35,$MB$36)</f>
        <v>0</v>
      </c>
      <c r="ML435" s="13">
        <f>OCC_DAYS*$MB$41*R_NF_2023-MD435*MCD_SHARE_FREED*R_WAIT_2023</f>
        <v>151980.48282209205</v>
      </c>
      <c r="MM435">
        <f>IF($A435&lt;=$MB$45,1,0)</f>
        <v>0</v>
      </c>
      <c r="NB435">
        <f>IF($NB$31&lt;=$NB$32,IF($A435&lt;=$NB$7,1,2),IF($A435&lt;=RUNG_BEDS_2,2,1))</f>
        <v>1</v>
      </c>
      <c r="NC435" s="5">
        <f>MIN(1,MAX(0,$NB$26-($A435-1)))</f>
        <v>0</v>
      </c>
      <c r="ND435" s="5">
        <f>$NB$25*(NC435+(1-NC435)*$NB$16)</f>
        <v>63.013306786703595</v>
      </c>
      <c r="NE435" s="13">
        <f>ND435*($NB$6+ACUTE_MARGIN)</f>
        <v>63643.43985457063</v>
      </c>
      <c r="NF435" s="13">
        <f>IF(NB435=1,$NB$31,$NB$32)</f>
        <v>152394.16214437486</v>
      </c>
      <c r="NG435" s="13">
        <f>NE435-NF435</f>
        <v>-88750.72228980422</v>
      </c>
      <c r="NH435" s="13">
        <f>NH434+NG435</f>
        <v>-2568526.2748068636</v>
      </c>
      <c r="NI435">
        <f>IF(NH435=MAX($NH$83:$NH$483),$A435,0)</f>
        <v>0</v>
      </c>
      <c r="NJ435">
        <f>IF(NE435&lt;NF435,$A435,B_MAX+1)</f>
        <v>352</v>
      </c>
      <c r="NK435" s="13">
        <f>IF(NB435=1,$NB$35,$NB$36)</f>
        <v>0</v>
      </c>
      <c r="NL435" s="13">
        <f>OCC_DAYS*$NB$41*R_NF_2023-ND435*MCD_SHARE_FREED*R_WAIT_2023</f>
        <v>123327.15192717595</v>
      </c>
      <c r="NM435">
        <f>IF($A435&lt;=$NB$45,1,0)</f>
        <v>0</v>
      </c>
      <c r="OB435">
        <f>IF($OB$31&lt;=$OB$32,IF($A435&lt;=$OB$7,1,2),IF($A435&lt;=RUNG_BEDS_2,2,1))</f>
        <v>1</v>
      </c>
      <c r="OC435" s="5">
        <f>MIN(1,MAX(0,$OB$26-($A435-1)))</f>
        <v>0</v>
      </c>
      <c r="OD435" s="5">
        <f>$OB$25*(OC435+(1-OC435)*$OB$16)</f>
        <v>126.02661357340719</v>
      </c>
      <c r="OE435" s="13">
        <f>OD435*($OB$6+ACUTE_MARGIN)</f>
        <v>127286.87970914126</v>
      </c>
      <c r="OF435" s="13">
        <f>IF(OB435=1,$OB$31,$OB$32)</f>
        <v>152394.16214437486</v>
      </c>
      <c r="OG435" s="13">
        <f>OE435-OF435</f>
        <v>-25107.282435233603</v>
      </c>
      <c r="OH435" s="13">
        <f>OH434+OG435</f>
        <v>10276721.896934122</v>
      </c>
      <c r="OI435">
        <f>IF(OH435=MAX($OH$83:$OH$483),$A435,0)</f>
        <v>0</v>
      </c>
      <c r="OJ435">
        <f>IF(OE435&lt;OF435,$A435,B_MAX+1)</f>
        <v>352</v>
      </c>
      <c r="OK435" s="13">
        <f>IF(OB435=1,$OB$35,$OB$36)</f>
        <v>0</v>
      </c>
      <c r="OL435" s="13">
        <f>OCC_DAYS*$OB$41*R_NF_2023-OD435*MCD_SHARE_FREED*R_WAIT_2023</f>
        <v>94673.82103225985</v>
      </c>
      <c r="OM435">
        <f>IF($A435&lt;=$OB$45,1,0)</f>
        <v>0</v>
      </c>
    </row>
    <row r="436">
      <c r="A436" t="n">
        <v>353</v>
      </c>
      <c r="B436">
        <f>IF($B$31&lt;=$B$32,IF($A436&lt;=$B$7,1,2),IF($A436&lt;=RUNG_BEDS_2,2,1))</f>
        <v>1</v>
      </c>
      <c r="C436" s="5">
        <f>MIN(1,MAX(0,$B$26-($A436-1)))</f>
        <v>0</v>
      </c>
      <c r="D436" s="5">
        <f>$B$25*(C436+(1-C436)*$B$16)</f>
        <v>0.0</v>
      </c>
      <c r="E436" s="13">
        <f>D436*($B$6+ACUTE_MARGIN)</f>
        <v>0.0</v>
      </c>
      <c r="F436" s="13">
        <f>IF(B436=1,$B$31,$B$32)</f>
        <v>152394.16214437486</v>
      </c>
      <c r="G436" s="13">
        <f>E436-F436</f>
        <v>-152394.16214437486</v>
      </c>
      <c r="H436" s="13">
        <f>H435+G436</f>
        <v>-15566168.60869196</v>
      </c>
      <c r="I436">
        <f>IF(H436=MAX($H$83:$H$483),$A436,0)</f>
        <v>0</v>
      </c>
      <c r="J436">
        <f>IF(E436&lt;F436,$A436,B_MAX+1)</f>
        <v>353</v>
      </c>
      <c r="K436" s="13">
        <f>IF(B436=1,$B$35,$B$36)</f>
        <v>0</v>
      </c>
      <c r="L436" s="13">
        <f>OCC_DAYS*$B$41*R_NF_2023-D436*MCD_SHARE_FREED*R_WAIT_2023</f>
        <v>151980.48282209205</v>
      </c>
      <c r="M436">
        <f>IF($A436&lt;=$B$45,1,0)</f>
        <v>0</v>
      </c>
      <c r="AB436">
        <f>IF($AB$31&lt;=$AB$32,IF($A436&lt;=$AB$7,1,2),IF($A436&lt;=RUNG_BEDS_2,2,1))</f>
        <v>1</v>
      </c>
      <c r="AC436" s="5">
        <f>MIN(1,MAX(0,$AB$26-($A436-1)))</f>
        <v>0</v>
      </c>
      <c r="AD436" s="5">
        <f>$AB$25*(AC436+(1-AC436)*$AB$16)</f>
        <v>0.0</v>
      </c>
      <c r="AE436" s="13">
        <f>AD436*($AB$6+ACUTE_MARGIN)</f>
        <v>0.0</v>
      </c>
      <c r="AF436" s="13">
        <f>IF(AB436=1,$AB$31,$AB$32)</f>
        <v>152394.16214437486</v>
      </c>
      <c r="AG436" s="13">
        <f>AE436-AF436</f>
        <v>-152394.16214437486</v>
      </c>
      <c r="AH436" s="13">
        <f>AH435+AG436</f>
        <v>-32977382.954241697</v>
      </c>
      <c r="AI436">
        <f>IF(AH436=MAX($AH$83:$AH$483),$A436,0)</f>
        <v>0</v>
      </c>
      <c r="AJ436">
        <f>IF(AE436&lt;AF436,$A436,B_MAX+1)</f>
        <v>353</v>
      </c>
      <c r="AK436" s="13">
        <f>IF(AB436=1,$AB$35,$AB$36)</f>
        <v>0</v>
      </c>
      <c r="AL436" s="13">
        <f>OCC_DAYS*$AB$41*R_NF_2023-AD436*MCD_SHARE_FREED*R_WAIT_2023</f>
        <v>151980.48282209205</v>
      </c>
      <c r="AM436">
        <f>IF($A436&lt;=$AB$45,1,0)</f>
        <v>0</v>
      </c>
      <c r="BB436">
        <f>IF($BB$31&lt;=$BB$32,IF($A436&lt;=$BB$7,1,2),IF($A436&lt;=RUNG_BEDS_2,2,1))</f>
        <v>1</v>
      </c>
      <c r="BC436" s="5">
        <f>MIN(1,MAX(0,$BB$26-($A436-1)))</f>
        <v>0</v>
      </c>
      <c r="BD436" s="5">
        <f>$BB$25*(BC436+(1-BC436)*$BB$16)</f>
        <v>0.0</v>
      </c>
      <c r="BE436" s="13">
        <f>BD436*($BB$6+ACUTE_MARGIN)</f>
        <v>0.0</v>
      </c>
      <c r="BF436" s="13">
        <f>IF(BB436=1,$BB$31,$BB$32)</f>
        <v>152394.16214437486</v>
      </c>
      <c r="BG436" s="13">
        <f>BE436-BF436</f>
        <v>-152394.16214437486</v>
      </c>
      <c r="BH436" s="13">
        <f>BH435+BG436</f>
        <v>1845045.7368577584</v>
      </c>
      <c r="BI436">
        <f>IF(BH436=MAX($BH$83:$BH$483),$A436,0)</f>
        <v>0</v>
      </c>
      <c r="BJ436">
        <f>IF(BE436&lt;BF436,$A436,B_MAX+1)</f>
        <v>353</v>
      </c>
      <c r="BK436" s="13">
        <f>IF(BB436=1,$BB$35,$BB$36)</f>
        <v>0</v>
      </c>
      <c r="BL436" s="13">
        <f>OCC_DAYS*$BB$41*R_NF_2023-BD436*MCD_SHARE_FREED*R_WAIT_2023</f>
        <v>151980.48282209205</v>
      </c>
      <c r="BM436">
        <f>IF($A436&lt;=$BB$45,1,0)</f>
        <v>0</v>
      </c>
      <c r="CB436">
        <f>IF($CB$31&lt;=$CB$32,IF($A436&lt;=$CB$7,1,2),IF($A436&lt;=RUNG_BEDS_2,2,1))</f>
        <v>2</v>
      </c>
      <c r="CC436" s="5">
        <f>MIN(1,MAX(0,$CB$26-($A436-1)))</f>
        <v>0</v>
      </c>
      <c r="CD436" s="5">
        <f>$CB$25*(CC436+(1-CC436)*$CB$16)</f>
        <v>0.0</v>
      </c>
      <c r="CE436" s="13">
        <f>CD436*($CB$6+ACUTE_MARGIN)</f>
        <v>0.0</v>
      </c>
      <c r="CF436" s="13">
        <f>IF(CB436=1,$CB$31,$CB$32)</f>
        <v>160718.36940738867</v>
      </c>
      <c r="CG436" s="13">
        <f>CE436-CF436</f>
        <v>-160718.36940738867</v>
      </c>
      <c r="CH436" s="13">
        <f>CH435+CG436</f>
        <v>-18504613.772536013</v>
      </c>
      <c r="CI436">
        <f>IF(CH436=MAX($CH$83:$CH$483),$A436,0)</f>
        <v>0</v>
      </c>
      <c r="CJ436">
        <f>IF(CE436&lt;CF436,$A436,B_MAX+1)</f>
        <v>353</v>
      </c>
      <c r="CK436" s="13">
        <f>IF(CB436=1,$CB$35,$CB$36)</f>
        <v>1560.1194073886782</v>
      </c>
      <c r="CL436" s="13">
        <f>OCC_DAYS*$CB$41*R_NF_2023-CD436*MCD_SHARE_FREED*R_WAIT_2023</f>
        <v>151980.48282209205</v>
      </c>
      <c r="CM436">
        <f>IF($A436&lt;=$CB$45,1,0)</f>
        <v>0</v>
      </c>
      <c r="DB436">
        <f>IF($DB$31&lt;=$DB$32,IF($A436&lt;=$DB$7,1,2),IF($A436&lt;=RUNG_BEDS_2,2,1))</f>
        <v>1</v>
      </c>
      <c r="DC436" s="5">
        <f>MIN(1,MAX(0,$DB$26-($A436-1)))</f>
        <v>0</v>
      </c>
      <c r="DD436" s="5">
        <f>$DB$25*(DC436+(1-DC436)*$DB$16)</f>
        <v>0.0</v>
      </c>
      <c r="DE436" s="13">
        <f>DD436*($DB$6+ACUTE_MARGIN)</f>
        <v>0.0</v>
      </c>
      <c r="DF436" s="13">
        <f>IF(DB436=1,$DB$31,$DB$32)</f>
        <v>152394.16214437486</v>
      </c>
      <c r="DG436" s="13">
        <f>DE436-DF436</f>
        <v>-152394.16214437486</v>
      </c>
      <c r="DH436" s="13">
        <f>DH435+DG436</f>
        <v>-15566168.60869196</v>
      </c>
      <c r="DI436">
        <f>IF(DH436=MAX($DH$83:$DH$483),$A436,0)</f>
        <v>0</v>
      </c>
      <c r="DJ436">
        <f>IF(DE436&lt;DF436,$A436,B_MAX+1)</f>
        <v>353</v>
      </c>
      <c r="DK436" s="13">
        <f>IF(DB436=1,$DB$35,$DB$36)</f>
        <v>0</v>
      </c>
      <c r="DL436" s="13">
        <f>OCC_DAYS*$DB$41*R_NF_2023-DD436*MCD_SHARE_FREED*R_WAIT_2023</f>
        <v>151980.48282209205</v>
      </c>
      <c r="DM436">
        <f>IF($A436&lt;=$DB$45,1,0)</f>
        <v>0</v>
      </c>
      <c r="EB436">
        <f>IF($EB$31&lt;=$EB$32,IF($A436&lt;=$EB$7,1,2),IF($A436&lt;=RUNG_BEDS_2,2,1))</f>
        <v>1</v>
      </c>
      <c r="EC436" s="5">
        <f>MIN(1,MAX(0,$EB$26-($A436-1)))</f>
        <v>0</v>
      </c>
      <c r="ED436" s="5">
        <f>$EB$25*(EC436+(1-EC436)*$EB$16)</f>
        <v>0.0</v>
      </c>
      <c r="EE436" s="13">
        <f>ED436*($EB$6+ACUTE_MARGIN)</f>
        <v>0.0</v>
      </c>
      <c r="EF436" s="13">
        <f>IF(EB436=1,$EB$31,$EB$32)</f>
        <v>152394.16214437486</v>
      </c>
      <c r="EG436" s="13">
        <f>EE436-EF436</f>
        <v>-152394.16214437486</v>
      </c>
      <c r="EH436" s="13">
        <f>EH435+EG436</f>
        <v>-15566168.60869196</v>
      </c>
      <c r="EI436">
        <f>IF(EH436=MAX($EH$83:$EH$483),$A436,0)</f>
        <v>0</v>
      </c>
      <c r="EJ436">
        <f>IF(EE436&lt;EF436,$A436,B_MAX+1)</f>
        <v>353</v>
      </c>
      <c r="EK436" s="13">
        <f>IF(EB436=1,$EB$35,$EB$36)</f>
        <v>0</v>
      </c>
      <c r="EL436" s="13">
        <f>OCC_DAYS*$EB$41*R_NF_2023-ED436*MCD_SHARE_FREED*R_WAIT_2023</f>
        <v>50660.16094069735</v>
      </c>
      <c r="EM436">
        <f>IF($A436&lt;=$EB$45,1,0)</f>
        <v>0</v>
      </c>
      <c r="FB436">
        <f>IF($FB$31&lt;=$FB$32,IF($A436&lt;=$FB$7,1,2),IF($A436&lt;=RUNG_BEDS_2,2,1))</f>
        <v>1</v>
      </c>
      <c r="FC436" s="5">
        <f>MIN(1,MAX(0,$FB$26-($A436-1)))</f>
        <v>0</v>
      </c>
      <c r="FD436" s="5">
        <f>$FB$25*(FC436+(1-FC436)*$FB$16)</f>
        <v>0.0</v>
      </c>
      <c r="FE436" s="13">
        <f>FD436*($FB$6+ACUTE_MARGIN)</f>
        <v>0.0</v>
      </c>
      <c r="FF436" s="13">
        <f>IF(FB436=1,$FB$31,$FB$32)</f>
        <v>156636.04979437485</v>
      </c>
      <c r="FG436" s="13">
        <f>FE436-FF436</f>
        <v>-156636.04979437485</v>
      </c>
      <c r="FH436" s="13">
        <f>FH435+FG436</f>
        <v>-17063554.949142065</v>
      </c>
      <c r="FI436">
        <f>IF(FH436=MAX($FH$83:$FH$483),$A436,0)</f>
        <v>0</v>
      </c>
      <c r="FJ436">
        <f>IF(FE436&lt;FF436,$A436,B_MAX+1)</f>
        <v>353</v>
      </c>
      <c r="FK436" s="13">
        <f>IF(FB436=1,$FB$35,$FB$36)</f>
        <v>0</v>
      </c>
      <c r="FL436" s="13">
        <f>OCC_DAYS*$FB$41*R_NF_2023-FD436*MCD_SHARE_FREED*R_WAIT_2023</f>
        <v>151980.48282209205</v>
      </c>
      <c r="FM436">
        <f>IF($A436&lt;=$FB$45,1,0)</f>
        <v>0</v>
      </c>
      <c r="GB436">
        <f>IF($GB$31&lt;=$GB$32,IF($A436&lt;=$GB$7,1,2),IF($A436&lt;=RUNG_BEDS_2,2,1))</f>
        <v>1</v>
      </c>
      <c r="GC436" s="5">
        <f>MIN(1,MAX(0,$GB$26-($A436-1)))</f>
        <v>0</v>
      </c>
      <c r="GD436" s="5">
        <f>$GB$25*(GC436+(1-GC436)*$GB$16)</f>
        <v>0.0</v>
      </c>
      <c r="GE436" s="13">
        <f>GD436*($GB$6+ACUTE_MARGIN)</f>
        <v>0.0</v>
      </c>
      <c r="GF436" s="13">
        <f>IF(GB436=1,$GB$31,$GB$32)</f>
        <v>152394.16214437486</v>
      </c>
      <c r="GG436" s="13">
        <f>GE436-GF436</f>
        <v>-152394.16214437486</v>
      </c>
      <c r="GH436" s="13">
        <f>GH435+GG436</f>
        <v>-15566168.60869196</v>
      </c>
      <c r="GI436">
        <f>IF(GH436=MAX($GH$83:$GH$483),$A436,0)</f>
        <v>0</v>
      </c>
      <c r="GJ436">
        <f>IF(GE436&lt;GF436,$A436,B_MAX+1)</f>
        <v>353</v>
      </c>
      <c r="GK436" s="13">
        <f>IF(GB436=1,$GB$35,$GB$36)</f>
        <v>0</v>
      </c>
      <c r="GL436" s="13">
        <f>OCC_DAYS*$GB$41*R_NF_2023-GD436*MCD_SHARE_FREED*R_WAIT_2023</f>
        <v>151980.48282209205</v>
      </c>
      <c r="GM436">
        <f>IF($A436&lt;=$GB$45,1,0)</f>
        <v>0</v>
      </c>
      <c r="HB436">
        <f>IF($HB$31&lt;=$HB$32,IF($A436&lt;=$HB$7,1,2),IF($A436&lt;=RUNG_BEDS_2,2,1))</f>
        <v>1</v>
      </c>
      <c r="HC436" s="5">
        <f>MIN(1,MAX(0,$HB$26-($A436-1)))</f>
        <v>0</v>
      </c>
      <c r="HD436" s="5">
        <f>$HB$25*(HC436+(1-HC436)*$HB$16)</f>
        <v>0.0</v>
      </c>
      <c r="HE436" s="13">
        <f>HD436*($HB$6+ACUTE_MARGIN)</f>
        <v>0.0</v>
      </c>
      <c r="HF436" s="13">
        <f>IF(HB436=1,$HB$31,$HB$32)</f>
        <v>152456.2970814058</v>
      </c>
      <c r="HG436" s="13">
        <f>HE436-HF436</f>
        <v>-152456.2970814058</v>
      </c>
      <c r="HH436" s="13">
        <f>HH435+HG436</f>
        <v>-15588102.241463939</v>
      </c>
      <c r="HI436">
        <f>IF(HH436=MAX($HH$83:$HH$483),$A436,0)</f>
        <v>0</v>
      </c>
      <c r="HJ436">
        <f>IF(HE436&lt;HF436,$A436,B_MAX+1)</f>
        <v>353</v>
      </c>
      <c r="HK436" s="13">
        <f>IF(HB436=1,$HB$35,$HB$36)</f>
        <v>0</v>
      </c>
      <c r="HL436" s="13">
        <f>OCC_DAYS*$HB$41*R_NF_2023-HD436*MCD_SHARE_FREED*R_WAIT_2023</f>
        <v>151980.48282209205</v>
      </c>
      <c r="HM436">
        <f>IF($A436&lt;=$HB$45,1,0)</f>
        <v>0</v>
      </c>
      <c r="IB436">
        <f>IF($IB$31&lt;=$IB$32,IF($A436&lt;=$IB$7,1,2),IF($A436&lt;=RUNG_BEDS_2,2,1))</f>
        <v>1</v>
      </c>
      <c r="IC436" s="5">
        <f>MIN(1,MAX(0,$IB$26-($A436-1)))</f>
        <v>0</v>
      </c>
      <c r="ID436" s="5">
        <f>$IB$25*(IC436+(1-IC436)*$IB$16)</f>
        <v>0.0</v>
      </c>
      <c r="IE436" s="13">
        <f>ID436*($IB$6+ACUTE_MARGIN)</f>
        <v>0.0</v>
      </c>
      <c r="IF436" s="13">
        <f>IF(IB436=1,$IB$31,$IB$32)</f>
        <v>152734.9994534971</v>
      </c>
      <c r="IG436" s="13">
        <f>IE436-IF436</f>
        <v>-152734.9994534971</v>
      </c>
      <c r="IH436" s="13">
        <f>IH435+IG436</f>
        <v>-15686484.17881219</v>
      </c>
      <c r="II436">
        <f>IF(IH436=MAX($IH$83:$IH$483),$A436,0)</f>
        <v>0</v>
      </c>
      <c r="IJ436">
        <f>IF(IE436&lt;IF436,$A436,B_MAX+1)</f>
        <v>353</v>
      </c>
      <c r="IK436" s="13">
        <f>IF(IB436=1,$IB$35,$IB$36)</f>
        <v>0</v>
      </c>
      <c r="IL436" s="13">
        <f>OCC_DAYS*$IB$41*R_NF_2023-ID436*MCD_SHARE_FREED*R_WAIT_2023</f>
        <v>151980.48282209205</v>
      </c>
      <c r="IM436">
        <f>IF($A436&lt;=$IB$45,1,0)</f>
        <v>0</v>
      </c>
      <c r="JB436">
        <f>IF($JB$31&lt;=$JB$32,IF($A436&lt;=$JB$7,1,2),IF($A436&lt;=RUNG_BEDS_2,2,1))</f>
        <v>1</v>
      </c>
      <c r="JC436" s="5">
        <f>MIN(1,MAX(0,$JB$26-($A436-1)))</f>
        <v>0</v>
      </c>
      <c r="JD436" s="5">
        <f>$JB$25*(JC436+(1-JC436)*$JB$16)</f>
        <v>0.0</v>
      </c>
      <c r="JE436" s="13">
        <f>JD436*($JB$6+ACUTE_MARGIN)</f>
        <v>0.0</v>
      </c>
      <c r="JF436" s="13">
        <f>IF(JB436=1,$JB$31,$JB$32)</f>
        <v>152394.16214437486</v>
      </c>
      <c r="JG436" s="13">
        <f>JE436-JF436</f>
        <v>-152394.16214437486</v>
      </c>
      <c r="JH436" s="13">
        <f>JH435+JG436</f>
        <v>-15566168.60869196</v>
      </c>
      <c r="JI436">
        <f>IF(JH436=MAX($JH$83:$JH$483),$A436,0)</f>
        <v>0</v>
      </c>
      <c r="JJ436">
        <f>IF(JE436&lt;JF436,$A436,B_MAX+1)</f>
        <v>353</v>
      </c>
      <c r="JK436" s="13">
        <f>IF(JB436=1,$JB$35,$JB$36)</f>
        <v>0</v>
      </c>
      <c r="JL436" s="13">
        <f>OCC_DAYS*$JB$41*R_NF_2023-JD436*MCD_SHARE_FREED*R_WAIT_2023</f>
        <v>151980.48282209205</v>
      </c>
      <c r="JM436">
        <f>IF($A436&lt;=$JB$45,1,0)</f>
        <v>0</v>
      </c>
      <c r="KB436">
        <f>IF($KB$31&lt;=$KB$32,IF($A436&lt;=$KB$7,1,2),IF($A436&lt;=RUNG_BEDS_2,2,1))</f>
        <v>1</v>
      </c>
      <c r="KC436" s="5">
        <f>MIN(1,MAX(0,$KB$26-($A436-1)))</f>
        <v>0</v>
      </c>
      <c r="KD436" s="5">
        <f>$KB$25*(KC436+(1-KC436)*$KB$16)</f>
        <v>0.0</v>
      </c>
      <c r="KE436" s="13">
        <f>KD436*($KB$6+ACUTE_MARGIN)</f>
        <v>0.0</v>
      </c>
      <c r="KF436" s="13">
        <f>IF(KB436=1,$KB$31,$KB$32)</f>
        <v>152394.16214437486</v>
      </c>
      <c r="KG436" s="13">
        <f>KE436-KF436</f>
        <v>-152394.16214437486</v>
      </c>
      <c r="KH436" s="13">
        <f>KH435+KG436</f>
        <v>-15566168.608692067</v>
      </c>
      <c r="KI436">
        <f>IF(KH436=MAX($KH$83:$KH$483),$A436,0)</f>
        <v>0</v>
      </c>
      <c r="KJ436">
        <f>IF(KE436&lt;KF436,$A436,B_MAX+1)</f>
        <v>353</v>
      </c>
      <c r="KK436" s="13">
        <f>IF(KB436=1,$KB$35,$KB$36)</f>
        <v>0</v>
      </c>
      <c r="KL436" s="13">
        <f>OCC_DAYS*$KB$41*R_NF_2023-KD436*MCD_SHARE_FREED*R_WAIT_2023</f>
        <v>151980.48282209205</v>
      </c>
      <c r="KM436">
        <f>IF($A436&lt;=$KB$45,1,0)</f>
        <v>0</v>
      </c>
      <c r="LB436">
        <f>IF($LB$31&lt;=$LB$32,IF($A436&lt;=$LB$7,1,2),IF($A436&lt;=RUNG_BEDS_2,2,1))</f>
        <v>1</v>
      </c>
      <c r="LC436" s="5">
        <f>MIN(1,MAX(0,$LB$26-($A436-1)))</f>
        <v>1</v>
      </c>
      <c r="LD436" s="5">
        <f>$LB$25*(LC436+(1-LC436)*$LB$16)</f>
        <v>84.01774238227146</v>
      </c>
      <c r="LE436" s="13">
        <f>LD436*($LB$6+ACUTE_MARGIN)</f>
        <v>84857.91980609419</v>
      </c>
      <c r="LF436" s="13">
        <f>IF(LB436=1,$LB$31,$LB$32)</f>
        <v>152394.16214437486</v>
      </c>
      <c r="LG436" s="13">
        <f>LE436-LF436</f>
        <v>-67536.24233828067</v>
      </c>
      <c r="LH436" s="13">
        <f>LH435+LG436</f>
        <v>-23840293.545413207</v>
      </c>
      <c r="LI436">
        <f>IF(LH436=MAX($LH$83:$LH$483),$A436,0)</f>
        <v>0</v>
      </c>
      <c r="LJ436">
        <f>IF(LE436&lt;LF436,$A436,B_MAX+1)</f>
        <v>353</v>
      </c>
      <c r="LK436" s="13">
        <f>IF(LB436=1,$LB$35,$LB$36)</f>
        <v>0</v>
      </c>
      <c r="LL436" s="13">
        <f>OCC_DAYS*$LB$41*R_NF_2023-LD436*MCD_SHARE_FREED*R_WAIT_2023</f>
        <v>113776.04162887059</v>
      </c>
      <c r="LM436">
        <f>IF($A436&lt;=$LB$45,1,0)</f>
        <v>0</v>
      </c>
      <c r="MB436">
        <f>IF($MB$31&lt;=$MB$32,IF($A436&lt;=$MB$7,1,2),IF($A436&lt;=RUNG_BEDS_2,2,1))</f>
        <v>1</v>
      </c>
      <c r="MC436" s="5">
        <f>MIN(1,MAX(0,$MB$26-($A436-1)))</f>
        <v>0</v>
      </c>
      <c r="MD436" s="5">
        <f>$MB$25*(MC436+(1-MC436)*$MB$16)</f>
        <v>0.0</v>
      </c>
      <c r="ME436" s="13">
        <f>MD436*($MB$6+ACUTE_MARGIN)</f>
        <v>0.0</v>
      </c>
      <c r="MF436" s="13">
        <f>IF(MB436=1,$MB$31,$MB$32)</f>
        <v>152394.16214437486</v>
      </c>
      <c r="MG436" s="13">
        <f>ME436-MF436</f>
        <v>-152394.16214437486</v>
      </c>
      <c r="MH436" s="13">
        <f>MH435+MG436</f>
        <v>-21453444.67049026</v>
      </c>
      <c r="MI436">
        <f>IF(MH436=MAX($MH$83:$MH$483),$A436,0)</f>
        <v>0</v>
      </c>
      <c r="MJ436">
        <f>IF(ME436&lt;MF436,$A436,B_MAX+1)</f>
        <v>353</v>
      </c>
      <c r="MK436" s="13">
        <f>IF(MB436=1,$MB$35,$MB$36)</f>
        <v>0</v>
      </c>
      <c r="ML436" s="13">
        <f>OCC_DAYS*$MB$41*R_NF_2023-MD436*MCD_SHARE_FREED*R_WAIT_2023</f>
        <v>151980.48282209205</v>
      </c>
      <c r="MM436">
        <f>IF($A436&lt;=$MB$45,1,0)</f>
        <v>0</v>
      </c>
      <c r="NB436">
        <f>IF($NB$31&lt;=$NB$32,IF($A436&lt;=$NB$7,1,2),IF($A436&lt;=RUNG_BEDS_2,2,1))</f>
        <v>1</v>
      </c>
      <c r="NC436" s="5">
        <f>MIN(1,MAX(0,$NB$26-($A436-1)))</f>
        <v>0</v>
      </c>
      <c r="ND436" s="5">
        <f>$NB$25*(NC436+(1-NC436)*$NB$16)</f>
        <v>63.013306786703595</v>
      </c>
      <c r="NE436" s="13">
        <f>ND436*($NB$6+ACUTE_MARGIN)</f>
        <v>63643.43985457063</v>
      </c>
      <c r="NF436" s="13">
        <f>IF(NB436=1,$NB$31,$NB$32)</f>
        <v>152394.16214437486</v>
      </c>
      <c r="NG436" s="13">
        <f>NE436-NF436</f>
        <v>-88750.72228980422</v>
      </c>
      <c r="NH436" s="13">
        <f>NH435+NG436</f>
        <v>-2657276.997096668</v>
      </c>
      <c r="NI436">
        <f>IF(NH436=MAX($NH$83:$NH$483),$A436,0)</f>
        <v>0</v>
      </c>
      <c r="NJ436">
        <f>IF(NE436&lt;NF436,$A436,B_MAX+1)</f>
        <v>353</v>
      </c>
      <c r="NK436" s="13">
        <f>IF(NB436=1,$NB$35,$NB$36)</f>
        <v>0</v>
      </c>
      <c r="NL436" s="13">
        <f>OCC_DAYS*$NB$41*R_NF_2023-ND436*MCD_SHARE_FREED*R_WAIT_2023</f>
        <v>123327.15192717595</v>
      </c>
      <c r="NM436">
        <f>IF($A436&lt;=$NB$45,1,0)</f>
        <v>0</v>
      </c>
      <c r="OB436">
        <f>IF($OB$31&lt;=$OB$32,IF($A436&lt;=$OB$7,1,2),IF($A436&lt;=RUNG_BEDS_2,2,1))</f>
        <v>1</v>
      </c>
      <c r="OC436" s="5">
        <f>MIN(1,MAX(0,$OB$26-($A436-1)))</f>
        <v>0</v>
      </c>
      <c r="OD436" s="5">
        <f>$OB$25*(OC436+(1-OC436)*$OB$16)</f>
        <v>126.02661357340719</v>
      </c>
      <c r="OE436" s="13">
        <f>OD436*($OB$6+ACUTE_MARGIN)</f>
        <v>127286.87970914126</v>
      </c>
      <c r="OF436" s="13">
        <f>IF(OB436=1,$OB$31,$OB$32)</f>
        <v>152394.16214437486</v>
      </c>
      <c r="OG436" s="13">
        <f>OE436-OF436</f>
        <v>-25107.282435233603</v>
      </c>
      <c r="OH436" s="13">
        <f>OH435+OG436</f>
        <v>10251614.61449889</v>
      </c>
      <c r="OI436">
        <f>IF(OH436=MAX($OH$83:$OH$483),$A436,0)</f>
        <v>0</v>
      </c>
      <c r="OJ436">
        <f>IF(OE436&lt;OF436,$A436,B_MAX+1)</f>
        <v>353</v>
      </c>
      <c r="OK436" s="13">
        <f>IF(OB436=1,$OB$35,$OB$36)</f>
        <v>0</v>
      </c>
      <c r="OL436" s="13">
        <f>OCC_DAYS*$OB$41*R_NF_2023-OD436*MCD_SHARE_FREED*R_WAIT_2023</f>
        <v>94673.82103225985</v>
      </c>
      <c r="OM436">
        <f>IF($A436&lt;=$OB$45,1,0)</f>
        <v>0</v>
      </c>
    </row>
    <row r="437">
      <c r="A437" t="n">
        <v>354</v>
      </c>
      <c r="B437">
        <f>IF($B$31&lt;=$B$32,IF($A437&lt;=$B$7,1,2),IF($A437&lt;=RUNG_BEDS_2,2,1))</f>
        <v>1</v>
      </c>
      <c r="C437" s="5">
        <f>MIN(1,MAX(0,$B$26-($A437-1)))</f>
        <v>0</v>
      </c>
      <c r="D437" s="5">
        <f>$B$25*(C437+(1-C437)*$B$16)</f>
        <v>0.0</v>
      </c>
      <c r="E437" s="13">
        <f>D437*($B$6+ACUTE_MARGIN)</f>
        <v>0.0</v>
      </c>
      <c r="F437" s="13">
        <f>IF(B437=1,$B$31,$B$32)</f>
        <v>152394.16214437486</v>
      </c>
      <c r="G437" s="13">
        <f>E437-F437</f>
        <v>-152394.16214437486</v>
      </c>
      <c r="H437" s="13">
        <f>H436+G437</f>
        <v>-15718562.770836335</v>
      </c>
      <c r="I437">
        <f>IF(H437=MAX($H$83:$H$483),$A437,0)</f>
        <v>0</v>
      </c>
      <c r="J437">
        <f>IF(E437&lt;F437,$A437,B_MAX+1)</f>
        <v>354</v>
      </c>
      <c r="K437" s="13">
        <f>IF(B437=1,$B$35,$B$36)</f>
        <v>0</v>
      </c>
      <c r="L437" s="13">
        <f>OCC_DAYS*$B$41*R_NF_2023-D437*MCD_SHARE_FREED*R_WAIT_2023</f>
        <v>151980.48282209205</v>
      </c>
      <c r="M437">
        <f>IF($A437&lt;=$B$45,1,0)</f>
        <v>0</v>
      </c>
      <c r="AB437">
        <f>IF($AB$31&lt;=$AB$32,IF($A437&lt;=$AB$7,1,2),IF($A437&lt;=RUNG_BEDS_2,2,1))</f>
        <v>1</v>
      </c>
      <c r="AC437" s="5">
        <f>MIN(1,MAX(0,$AB$26-($A437-1)))</f>
        <v>0</v>
      </c>
      <c r="AD437" s="5">
        <f>$AB$25*(AC437+(1-AC437)*$AB$16)</f>
        <v>0.0</v>
      </c>
      <c r="AE437" s="13">
        <f>AD437*($AB$6+ACUTE_MARGIN)</f>
        <v>0.0</v>
      </c>
      <c r="AF437" s="13">
        <f>IF(AB437=1,$AB$31,$AB$32)</f>
        <v>152394.16214437486</v>
      </c>
      <c r="AG437" s="13">
        <f>AE437-AF437</f>
        <v>-152394.16214437486</v>
      </c>
      <c r="AH437" s="13">
        <f>AH436+AG437</f>
        <v>-33129777.11638607</v>
      </c>
      <c r="AI437">
        <f>IF(AH437=MAX($AH$83:$AH$483),$A437,0)</f>
        <v>0</v>
      </c>
      <c r="AJ437">
        <f>IF(AE437&lt;AF437,$A437,B_MAX+1)</f>
        <v>354</v>
      </c>
      <c r="AK437" s="13">
        <f>IF(AB437=1,$AB$35,$AB$36)</f>
        <v>0</v>
      </c>
      <c r="AL437" s="13">
        <f>OCC_DAYS*$AB$41*R_NF_2023-AD437*MCD_SHARE_FREED*R_WAIT_2023</f>
        <v>151980.48282209205</v>
      </c>
      <c r="AM437">
        <f>IF($A437&lt;=$AB$45,1,0)</f>
        <v>0</v>
      </c>
      <c r="BB437">
        <f>IF($BB$31&lt;=$BB$32,IF($A437&lt;=$BB$7,1,2),IF($A437&lt;=RUNG_BEDS_2,2,1))</f>
        <v>1</v>
      </c>
      <c r="BC437" s="5">
        <f>MIN(1,MAX(0,$BB$26-($A437-1)))</f>
        <v>0</v>
      </c>
      <c r="BD437" s="5">
        <f>$BB$25*(BC437+(1-BC437)*$BB$16)</f>
        <v>0.0</v>
      </c>
      <c r="BE437" s="13">
        <f>BD437*($BB$6+ACUTE_MARGIN)</f>
        <v>0.0</v>
      </c>
      <c r="BF437" s="13">
        <f>IF(BB437=1,$BB$31,$BB$32)</f>
        <v>152394.16214437486</v>
      </c>
      <c r="BG437" s="13">
        <f>BE437-BF437</f>
        <v>-152394.16214437486</v>
      </c>
      <c r="BH437" s="13">
        <f>BH436+BG437</f>
        <v>1692651.5747133836</v>
      </c>
      <c r="BI437">
        <f>IF(BH437=MAX($BH$83:$BH$483),$A437,0)</f>
        <v>0</v>
      </c>
      <c r="BJ437">
        <f>IF(BE437&lt;BF437,$A437,B_MAX+1)</f>
        <v>354</v>
      </c>
      <c r="BK437" s="13">
        <f>IF(BB437=1,$BB$35,$BB$36)</f>
        <v>0</v>
      </c>
      <c r="BL437" s="13">
        <f>OCC_DAYS*$BB$41*R_NF_2023-BD437*MCD_SHARE_FREED*R_WAIT_2023</f>
        <v>151980.48282209205</v>
      </c>
      <c r="BM437">
        <f>IF($A437&lt;=$BB$45,1,0)</f>
        <v>0</v>
      </c>
      <c r="CB437">
        <f>IF($CB$31&lt;=$CB$32,IF($A437&lt;=$CB$7,1,2),IF($A437&lt;=RUNG_BEDS_2,2,1))</f>
        <v>2</v>
      </c>
      <c r="CC437" s="5">
        <f>MIN(1,MAX(0,$CB$26-($A437-1)))</f>
        <v>0</v>
      </c>
      <c r="CD437" s="5">
        <f>$CB$25*(CC437+(1-CC437)*$CB$16)</f>
        <v>0.0</v>
      </c>
      <c r="CE437" s="13">
        <f>CD437*($CB$6+ACUTE_MARGIN)</f>
        <v>0.0</v>
      </c>
      <c r="CF437" s="13">
        <f>IF(CB437=1,$CB$31,$CB$32)</f>
        <v>160718.36940738867</v>
      </c>
      <c r="CG437" s="13">
        <f>CE437-CF437</f>
        <v>-160718.36940738867</v>
      </c>
      <c r="CH437" s="13">
        <f>CH436+CG437</f>
        <v>-18665332.141943403</v>
      </c>
      <c r="CI437">
        <f>IF(CH437=MAX($CH$83:$CH$483),$A437,0)</f>
        <v>0</v>
      </c>
      <c r="CJ437">
        <f>IF(CE437&lt;CF437,$A437,B_MAX+1)</f>
        <v>354</v>
      </c>
      <c r="CK437" s="13">
        <f>IF(CB437=1,$CB$35,$CB$36)</f>
        <v>1560.1194073886782</v>
      </c>
      <c r="CL437" s="13">
        <f>OCC_DAYS*$CB$41*R_NF_2023-CD437*MCD_SHARE_FREED*R_WAIT_2023</f>
        <v>151980.48282209205</v>
      </c>
      <c r="CM437">
        <f>IF($A437&lt;=$CB$45,1,0)</f>
        <v>0</v>
      </c>
      <c r="DB437">
        <f>IF($DB$31&lt;=$DB$32,IF($A437&lt;=$DB$7,1,2),IF($A437&lt;=RUNG_BEDS_2,2,1))</f>
        <v>1</v>
      </c>
      <c r="DC437" s="5">
        <f>MIN(1,MAX(0,$DB$26-($A437-1)))</f>
        <v>0</v>
      </c>
      <c r="DD437" s="5">
        <f>$DB$25*(DC437+(1-DC437)*$DB$16)</f>
        <v>0.0</v>
      </c>
      <c r="DE437" s="13">
        <f>DD437*($DB$6+ACUTE_MARGIN)</f>
        <v>0.0</v>
      </c>
      <c r="DF437" s="13">
        <f>IF(DB437=1,$DB$31,$DB$32)</f>
        <v>152394.16214437486</v>
      </c>
      <c r="DG437" s="13">
        <f>DE437-DF437</f>
        <v>-152394.16214437486</v>
      </c>
      <c r="DH437" s="13">
        <f>DH436+DG437</f>
        <v>-15718562.770836335</v>
      </c>
      <c r="DI437">
        <f>IF(DH437=MAX($DH$83:$DH$483),$A437,0)</f>
        <v>0</v>
      </c>
      <c r="DJ437">
        <f>IF(DE437&lt;DF437,$A437,B_MAX+1)</f>
        <v>354</v>
      </c>
      <c r="DK437" s="13">
        <f>IF(DB437=1,$DB$35,$DB$36)</f>
        <v>0</v>
      </c>
      <c r="DL437" s="13">
        <f>OCC_DAYS*$DB$41*R_NF_2023-DD437*MCD_SHARE_FREED*R_WAIT_2023</f>
        <v>151980.48282209205</v>
      </c>
      <c r="DM437">
        <f>IF($A437&lt;=$DB$45,1,0)</f>
        <v>0</v>
      </c>
      <c r="EB437">
        <f>IF($EB$31&lt;=$EB$32,IF($A437&lt;=$EB$7,1,2),IF($A437&lt;=RUNG_BEDS_2,2,1))</f>
        <v>1</v>
      </c>
      <c r="EC437" s="5">
        <f>MIN(1,MAX(0,$EB$26-($A437-1)))</f>
        <v>0</v>
      </c>
      <c r="ED437" s="5">
        <f>$EB$25*(EC437+(1-EC437)*$EB$16)</f>
        <v>0.0</v>
      </c>
      <c r="EE437" s="13">
        <f>ED437*($EB$6+ACUTE_MARGIN)</f>
        <v>0.0</v>
      </c>
      <c r="EF437" s="13">
        <f>IF(EB437=1,$EB$31,$EB$32)</f>
        <v>152394.16214437486</v>
      </c>
      <c r="EG437" s="13">
        <f>EE437-EF437</f>
        <v>-152394.16214437486</v>
      </c>
      <c r="EH437" s="13">
        <f>EH436+EG437</f>
        <v>-15718562.770836335</v>
      </c>
      <c r="EI437">
        <f>IF(EH437=MAX($EH$83:$EH$483),$A437,0)</f>
        <v>0</v>
      </c>
      <c r="EJ437">
        <f>IF(EE437&lt;EF437,$A437,B_MAX+1)</f>
        <v>354</v>
      </c>
      <c r="EK437" s="13">
        <f>IF(EB437=1,$EB$35,$EB$36)</f>
        <v>0</v>
      </c>
      <c r="EL437" s="13">
        <f>OCC_DAYS*$EB$41*R_NF_2023-ED437*MCD_SHARE_FREED*R_WAIT_2023</f>
        <v>50660.16094069735</v>
      </c>
      <c r="EM437">
        <f>IF($A437&lt;=$EB$45,1,0)</f>
        <v>0</v>
      </c>
      <c r="FB437">
        <f>IF($FB$31&lt;=$FB$32,IF($A437&lt;=$FB$7,1,2),IF($A437&lt;=RUNG_BEDS_2,2,1))</f>
        <v>1</v>
      </c>
      <c r="FC437" s="5">
        <f>MIN(1,MAX(0,$FB$26-($A437-1)))</f>
        <v>0</v>
      </c>
      <c r="FD437" s="5">
        <f>$FB$25*(FC437+(1-FC437)*$FB$16)</f>
        <v>0.0</v>
      </c>
      <c r="FE437" s="13">
        <f>FD437*($FB$6+ACUTE_MARGIN)</f>
        <v>0.0</v>
      </c>
      <c r="FF437" s="13">
        <f>IF(FB437=1,$FB$31,$FB$32)</f>
        <v>156636.04979437485</v>
      </c>
      <c r="FG437" s="13">
        <f>FE437-FF437</f>
        <v>-156636.04979437485</v>
      </c>
      <c r="FH437" s="13">
        <f>FH436+FG437</f>
        <v>-17220190.99893644</v>
      </c>
      <c r="FI437">
        <f>IF(FH437=MAX($FH$83:$FH$483),$A437,0)</f>
        <v>0</v>
      </c>
      <c r="FJ437">
        <f>IF(FE437&lt;FF437,$A437,B_MAX+1)</f>
        <v>354</v>
      </c>
      <c r="FK437" s="13">
        <f>IF(FB437=1,$FB$35,$FB$36)</f>
        <v>0</v>
      </c>
      <c r="FL437" s="13">
        <f>OCC_DAYS*$FB$41*R_NF_2023-FD437*MCD_SHARE_FREED*R_WAIT_2023</f>
        <v>151980.48282209205</v>
      </c>
      <c r="FM437">
        <f>IF($A437&lt;=$FB$45,1,0)</f>
        <v>0</v>
      </c>
      <c r="GB437">
        <f>IF($GB$31&lt;=$GB$32,IF($A437&lt;=$GB$7,1,2),IF($A437&lt;=RUNG_BEDS_2,2,1))</f>
        <v>1</v>
      </c>
      <c r="GC437" s="5">
        <f>MIN(1,MAX(0,$GB$26-($A437-1)))</f>
        <v>0</v>
      </c>
      <c r="GD437" s="5">
        <f>$GB$25*(GC437+(1-GC437)*$GB$16)</f>
        <v>0.0</v>
      </c>
      <c r="GE437" s="13">
        <f>GD437*($GB$6+ACUTE_MARGIN)</f>
        <v>0.0</v>
      </c>
      <c r="GF437" s="13">
        <f>IF(GB437=1,$GB$31,$GB$32)</f>
        <v>152394.16214437486</v>
      </c>
      <c r="GG437" s="13">
        <f>GE437-GF437</f>
        <v>-152394.16214437486</v>
      </c>
      <c r="GH437" s="13">
        <f>GH436+GG437</f>
        <v>-15718562.770836335</v>
      </c>
      <c r="GI437">
        <f>IF(GH437=MAX($GH$83:$GH$483),$A437,0)</f>
        <v>0</v>
      </c>
      <c r="GJ437">
        <f>IF(GE437&lt;GF437,$A437,B_MAX+1)</f>
        <v>354</v>
      </c>
      <c r="GK437" s="13">
        <f>IF(GB437=1,$GB$35,$GB$36)</f>
        <v>0</v>
      </c>
      <c r="GL437" s="13">
        <f>OCC_DAYS*$GB$41*R_NF_2023-GD437*MCD_SHARE_FREED*R_WAIT_2023</f>
        <v>151980.48282209205</v>
      </c>
      <c r="GM437">
        <f>IF($A437&lt;=$GB$45,1,0)</f>
        <v>0</v>
      </c>
      <c r="HB437">
        <f>IF($HB$31&lt;=$HB$32,IF($A437&lt;=$HB$7,1,2),IF($A437&lt;=RUNG_BEDS_2,2,1))</f>
        <v>1</v>
      </c>
      <c r="HC437" s="5">
        <f>MIN(1,MAX(0,$HB$26-($A437-1)))</f>
        <v>0</v>
      </c>
      <c r="HD437" s="5">
        <f>$HB$25*(HC437+(1-HC437)*$HB$16)</f>
        <v>0.0</v>
      </c>
      <c r="HE437" s="13">
        <f>HD437*($HB$6+ACUTE_MARGIN)</f>
        <v>0.0</v>
      </c>
      <c r="HF437" s="13">
        <f>IF(HB437=1,$HB$31,$HB$32)</f>
        <v>152456.2970814058</v>
      </c>
      <c r="HG437" s="13">
        <f>HE437-HF437</f>
        <v>-152456.2970814058</v>
      </c>
      <c r="HH437" s="13">
        <f>HH436+HG437</f>
        <v>-15740558.538545344</v>
      </c>
      <c r="HI437">
        <f>IF(HH437=MAX($HH$83:$HH$483),$A437,0)</f>
        <v>0</v>
      </c>
      <c r="HJ437">
        <f>IF(HE437&lt;HF437,$A437,B_MAX+1)</f>
        <v>354</v>
      </c>
      <c r="HK437" s="13">
        <f>IF(HB437=1,$HB$35,$HB$36)</f>
        <v>0</v>
      </c>
      <c r="HL437" s="13">
        <f>OCC_DAYS*$HB$41*R_NF_2023-HD437*MCD_SHARE_FREED*R_WAIT_2023</f>
        <v>151980.48282209205</v>
      </c>
      <c r="HM437">
        <f>IF($A437&lt;=$HB$45,1,0)</f>
        <v>0</v>
      </c>
      <c r="IB437">
        <f>IF($IB$31&lt;=$IB$32,IF($A437&lt;=$IB$7,1,2),IF($A437&lt;=RUNG_BEDS_2,2,1))</f>
        <v>1</v>
      </c>
      <c r="IC437" s="5">
        <f>MIN(1,MAX(0,$IB$26-($A437-1)))</f>
        <v>0</v>
      </c>
      <c r="ID437" s="5">
        <f>$IB$25*(IC437+(1-IC437)*$IB$16)</f>
        <v>0.0</v>
      </c>
      <c r="IE437" s="13">
        <f>ID437*($IB$6+ACUTE_MARGIN)</f>
        <v>0.0</v>
      </c>
      <c r="IF437" s="13">
        <f>IF(IB437=1,$IB$31,$IB$32)</f>
        <v>152734.9994534971</v>
      </c>
      <c r="IG437" s="13">
        <f>IE437-IF437</f>
        <v>-152734.9994534971</v>
      </c>
      <c r="IH437" s="13">
        <f>IH436+IG437</f>
        <v>-15839219.178265687</v>
      </c>
      <c r="II437">
        <f>IF(IH437=MAX($IH$83:$IH$483),$A437,0)</f>
        <v>0</v>
      </c>
      <c r="IJ437">
        <f>IF(IE437&lt;IF437,$A437,B_MAX+1)</f>
        <v>354</v>
      </c>
      <c r="IK437" s="13">
        <f>IF(IB437=1,$IB$35,$IB$36)</f>
        <v>0</v>
      </c>
      <c r="IL437" s="13">
        <f>OCC_DAYS*$IB$41*R_NF_2023-ID437*MCD_SHARE_FREED*R_WAIT_2023</f>
        <v>151980.48282209205</v>
      </c>
      <c r="IM437">
        <f>IF($A437&lt;=$IB$45,1,0)</f>
        <v>0</v>
      </c>
      <c r="JB437">
        <f>IF($JB$31&lt;=$JB$32,IF($A437&lt;=$JB$7,1,2),IF($A437&lt;=RUNG_BEDS_2,2,1))</f>
        <v>1</v>
      </c>
      <c r="JC437" s="5">
        <f>MIN(1,MAX(0,$JB$26-($A437-1)))</f>
        <v>0</v>
      </c>
      <c r="JD437" s="5">
        <f>$JB$25*(JC437+(1-JC437)*$JB$16)</f>
        <v>0.0</v>
      </c>
      <c r="JE437" s="13">
        <f>JD437*($JB$6+ACUTE_MARGIN)</f>
        <v>0.0</v>
      </c>
      <c r="JF437" s="13">
        <f>IF(JB437=1,$JB$31,$JB$32)</f>
        <v>152394.16214437486</v>
      </c>
      <c r="JG437" s="13">
        <f>JE437-JF437</f>
        <v>-152394.16214437486</v>
      </c>
      <c r="JH437" s="13">
        <f>JH436+JG437</f>
        <v>-15718562.770836335</v>
      </c>
      <c r="JI437">
        <f>IF(JH437=MAX($JH$83:$JH$483),$A437,0)</f>
        <v>0</v>
      </c>
      <c r="JJ437">
        <f>IF(JE437&lt;JF437,$A437,B_MAX+1)</f>
        <v>354</v>
      </c>
      <c r="JK437" s="13">
        <f>IF(JB437=1,$JB$35,$JB$36)</f>
        <v>0</v>
      </c>
      <c r="JL437" s="13">
        <f>OCC_DAYS*$JB$41*R_NF_2023-JD437*MCD_SHARE_FREED*R_WAIT_2023</f>
        <v>151980.48282209205</v>
      </c>
      <c r="JM437">
        <f>IF($A437&lt;=$JB$45,1,0)</f>
        <v>0</v>
      </c>
      <c r="KB437">
        <f>IF($KB$31&lt;=$KB$32,IF($A437&lt;=$KB$7,1,2),IF($A437&lt;=RUNG_BEDS_2,2,1))</f>
        <v>1</v>
      </c>
      <c r="KC437" s="5">
        <f>MIN(1,MAX(0,$KB$26-($A437-1)))</f>
        <v>0</v>
      </c>
      <c r="KD437" s="5">
        <f>$KB$25*(KC437+(1-KC437)*$KB$16)</f>
        <v>0.0</v>
      </c>
      <c r="KE437" s="13">
        <f>KD437*($KB$6+ACUTE_MARGIN)</f>
        <v>0.0</v>
      </c>
      <c r="KF437" s="13">
        <f>IF(KB437=1,$KB$31,$KB$32)</f>
        <v>152394.16214437486</v>
      </c>
      <c r="KG437" s="13">
        <f>KE437-KF437</f>
        <v>-152394.16214437486</v>
      </c>
      <c r="KH437" s="13">
        <f>KH436+KG437</f>
        <v>-15718562.77083644</v>
      </c>
      <c r="KI437">
        <f>IF(KH437=MAX($KH$83:$KH$483),$A437,0)</f>
        <v>0</v>
      </c>
      <c r="KJ437">
        <f>IF(KE437&lt;KF437,$A437,B_MAX+1)</f>
        <v>354</v>
      </c>
      <c r="KK437" s="13">
        <f>IF(KB437=1,$KB$35,$KB$36)</f>
        <v>0</v>
      </c>
      <c r="KL437" s="13">
        <f>OCC_DAYS*$KB$41*R_NF_2023-KD437*MCD_SHARE_FREED*R_WAIT_2023</f>
        <v>151980.48282209205</v>
      </c>
      <c r="KM437">
        <f>IF($A437&lt;=$KB$45,1,0)</f>
        <v>0</v>
      </c>
      <c r="LB437">
        <f>IF($LB$31&lt;=$LB$32,IF($A437&lt;=$LB$7,1,2),IF($A437&lt;=RUNG_BEDS_2,2,1))</f>
        <v>1</v>
      </c>
      <c r="LC437" s="5">
        <f>MIN(1,MAX(0,$LB$26-($A437-1)))</f>
        <v>1</v>
      </c>
      <c r="LD437" s="5">
        <f>$LB$25*(LC437+(1-LC437)*$LB$16)</f>
        <v>84.01774238227146</v>
      </c>
      <c r="LE437" s="13">
        <f>LD437*($LB$6+ACUTE_MARGIN)</f>
        <v>84857.91980609419</v>
      </c>
      <c r="LF437" s="13">
        <f>IF(LB437=1,$LB$31,$LB$32)</f>
        <v>152394.16214437486</v>
      </c>
      <c r="LG437" s="13">
        <f>LE437-LF437</f>
        <v>-67536.24233828067</v>
      </c>
      <c r="LH437" s="13">
        <f>LH436+LG437</f>
        <v>-23907829.78775149</v>
      </c>
      <c r="LI437">
        <f>IF(LH437=MAX($LH$83:$LH$483),$A437,0)</f>
        <v>0</v>
      </c>
      <c r="LJ437">
        <f>IF(LE437&lt;LF437,$A437,B_MAX+1)</f>
        <v>354</v>
      </c>
      <c r="LK437" s="13">
        <f>IF(LB437=1,$LB$35,$LB$36)</f>
        <v>0</v>
      </c>
      <c r="LL437" s="13">
        <f>OCC_DAYS*$LB$41*R_NF_2023-LD437*MCD_SHARE_FREED*R_WAIT_2023</f>
        <v>113776.04162887059</v>
      </c>
      <c r="LM437">
        <f>IF($A437&lt;=$LB$45,1,0)</f>
        <v>0</v>
      </c>
      <c r="MB437">
        <f>IF($MB$31&lt;=$MB$32,IF($A437&lt;=$MB$7,1,2),IF($A437&lt;=RUNG_BEDS_2,2,1))</f>
        <v>1</v>
      </c>
      <c r="MC437" s="5">
        <f>MIN(1,MAX(0,$MB$26-($A437-1)))</f>
        <v>0</v>
      </c>
      <c r="MD437" s="5">
        <f>$MB$25*(MC437+(1-MC437)*$MB$16)</f>
        <v>0.0</v>
      </c>
      <c r="ME437" s="13">
        <f>MD437*($MB$6+ACUTE_MARGIN)</f>
        <v>0.0</v>
      </c>
      <c r="MF437" s="13">
        <f>IF(MB437=1,$MB$31,$MB$32)</f>
        <v>152394.16214437486</v>
      </c>
      <c r="MG437" s="13">
        <f>ME437-MF437</f>
        <v>-152394.16214437486</v>
      </c>
      <c r="MH437" s="13">
        <f>MH436+MG437</f>
        <v>-21605838.832634635</v>
      </c>
      <c r="MI437">
        <f>IF(MH437=MAX($MH$83:$MH$483),$A437,0)</f>
        <v>0</v>
      </c>
      <c r="MJ437">
        <f>IF(ME437&lt;MF437,$A437,B_MAX+1)</f>
        <v>354</v>
      </c>
      <c r="MK437" s="13">
        <f>IF(MB437=1,$MB$35,$MB$36)</f>
        <v>0</v>
      </c>
      <c r="ML437" s="13">
        <f>OCC_DAYS*$MB$41*R_NF_2023-MD437*MCD_SHARE_FREED*R_WAIT_2023</f>
        <v>151980.48282209205</v>
      </c>
      <c r="MM437">
        <f>IF($A437&lt;=$MB$45,1,0)</f>
        <v>0</v>
      </c>
      <c r="NB437">
        <f>IF($NB$31&lt;=$NB$32,IF($A437&lt;=$NB$7,1,2),IF($A437&lt;=RUNG_BEDS_2,2,1))</f>
        <v>1</v>
      </c>
      <c r="NC437" s="5">
        <f>MIN(1,MAX(0,$NB$26-($A437-1)))</f>
        <v>0</v>
      </c>
      <c r="ND437" s="5">
        <f>$NB$25*(NC437+(1-NC437)*$NB$16)</f>
        <v>63.013306786703595</v>
      </c>
      <c r="NE437" s="13">
        <f>ND437*($NB$6+ACUTE_MARGIN)</f>
        <v>63643.43985457063</v>
      </c>
      <c r="NF437" s="13">
        <f>IF(NB437=1,$NB$31,$NB$32)</f>
        <v>152394.16214437486</v>
      </c>
      <c r="NG437" s="13">
        <f>NE437-NF437</f>
        <v>-88750.72228980422</v>
      </c>
      <c r="NH437" s="13">
        <f>NH436+NG437</f>
        <v>-2746027.7193864724</v>
      </c>
      <c r="NI437">
        <f>IF(NH437=MAX($NH$83:$NH$483),$A437,0)</f>
        <v>0</v>
      </c>
      <c r="NJ437">
        <f>IF(NE437&lt;NF437,$A437,B_MAX+1)</f>
        <v>354</v>
      </c>
      <c r="NK437" s="13">
        <f>IF(NB437=1,$NB$35,$NB$36)</f>
        <v>0</v>
      </c>
      <c r="NL437" s="13">
        <f>OCC_DAYS*$NB$41*R_NF_2023-ND437*MCD_SHARE_FREED*R_WAIT_2023</f>
        <v>123327.15192717595</v>
      </c>
      <c r="NM437">
        <f>IF($A437&lt;=$NB$45,1,0)</f>
        <v>0</v>
      </c>
      <c r="OB437">
        <f>IF($OB$31&lt;=$OB$32,IF($A437&lt;=$OB$7,1,2),IF($A437&lt;=RUNG_BEDS_2,2,1))</f>
        <v>1</v>
      </c>
      <c r="OC437" s="5">
        <f>MIN(1,MAX(0,$OB$26-($A437-1)))</f>
        <v>0</v>
      </c>
      <c r="OD437" s="5">
        <f>$OB$25*(OC437+(1-OC437)*$OB$16)</f>
        <v>126.02661357340719</v>
      </c>
      <c r="OE437" s="13">
        <f>OD437*($OB$6+ACUTE_MARGIN)</f>
        <v>127286.87970914126</v>
      </c>
      <c r="OF437" s="13">
        <f>IF(OB437=1,$OB$31,$OB$32)</f>
        <v>152394.16214437486</v>
      </c>
      <c r="OG437" s="13">
        <f>OE437-OF437</f>
        <v>-25107.282435233603</v>
      </c>
      <c r="OH437" s="13">
        <f>OH436+OG437</f>
        <v>10226507.332063656</v>
      </c>
      <c r="OI437">
        <f>IF(OH437=MAX($OH$83:$OH$483),$A437,0)</f>
        <v>0</v>
      </c>
      <c r="OJ437">
        <f>IF(OE437&lt;OF437,$A437,B_MAX+1)</f>
        <v>354</v>
      </c>
      <c r="OK437" s="13">
        <f>IF(OB437=1,$OB$35,$OB$36)</f>
        <v>0</v>
      </c>
      <c r="OL437" s="13">
        <f>OCC_DAYS*$OB$41*R_NF_2023-OD437*MCD_SHARE_FREED*R_WAIT_2023</f>
        <v>94673.82103225985</v>
      </c>
      <c r="OM437">
        <f>IF($A437&lt;=$OB$45,1,0)</f>
        <v>0</v>
      </c>
    </row>
    <row r="438">
      <c r="A438" t="n">
        <v>355</v>
      </c>
      <c r="B438">
        <f>IF($B$31&lt;=$B$32,IF($A438&lt;=$B$7,1,2),IF($A438&lt;=RUNG_BEDS_2,2,1))</f>
        <v>1</v>
      </c>
      <c r="C438" s="5">
        <f>MIN(1,MAX(0,$B$26-($A438-1)))</f>
        <v>0</v>
      </c>
      <c r="D438" s="5">
        <f>$B$25*(C438+(1-C438)*$B$16)</f>
        <v>0.0</v>
      </c>
      <c r="E438" s="13">
        <f>D438*($B$6+ACUTE_MARGIN)</f>
        <v>0.0</v>
      </c>
      <c r="F438" s="13">
        <f>IF(B438=1,$B$31,$B$32)</f>
        <v>152394.16214437486</v>
      </c>
      <c r="G438" s="13">
        <f>E438-F438</f>
        <v>-152394.16214437486</v>
      </c>
      <c r="H438" s="13">
        <f>H437+G438</f>
        <v>-15870956.932980709</v>
      </c>
      <c r="I438">
        <f>IF(H438=MAX($H$83:$H$483),$A438,0)</f>
        <v>0</v>
      </c>
      <c r="J438">
        <f>IF(E438&lt;F438,$A438,B_MAX+1)</f>
        <v>355</v>
      </c>
      <c r="K438" s="13">
        <f>IF(B438=1,$B$35,$B$36)</f>
        <v>0</v>
      </c>
      <c r="L438" s="13">
        <f>OCC_DAYS*$B$41*R_NF_2023-D438*MCD_SHARE_FREED*R_WAIT_2023</f>
        <v>151980.48282209205</v>
      </c>
      <c r="M438">
        <f>IF($A438&lt;=$B$45,1,0)</f>
        <v>0</v>
      </c>
      <c r="AB438">
        <f>IF($AB$31&lt;=$AB$32,IF($A438&lt;=$AB$7,1,2),IF($A438&lt;=RUNG_BEDS_2,2,1))</f>
        <v>1</v>
      </c>
      <c r="AC438" s="5">
        <f>MIN(1,MAX(0,$AB$26-($A438-1)))</f>
        <v>0</v>
      </c>
      <c r="AD438" s="5">
        <f>$AB$25*(AC438+(1-AC438)*$AB$16)</f>
        <v>0.0</v>
      </c>
      <c r="AE438" s="13">
        <f>AD438*($AB$6+ACUTE_MARGIN)</f>
        <v>0.0</v>
      </c>
      <c r="AF438" s="13">
        <f>IF(AB438=1,$AB$31,$AB$32)</f>
        <v>152394.16214437486</v>
      </c>
      <c r="AG438" s="13">
        <f>AE438-AF438</f>
        <v>-152394.16214437486</v>
      </c>
      <c r="AH438" s="13">
        <f>AH437+AG438</f>
        <v>-33282171.278530445</v>
      </c>
      <c r="AI438">
        <f>IF(AH438=MAX($AH$83:$AH$483),$A438,0)</f>
        <v>0</v>
      </c>
      <c r="AJ438">
        <f>IF(AE438&lt;AF438,$A438,B_MAX+1)</f>
        <v>355</v>
      </c>
      <c r="AK438" s="13">
        <f>IF(AB438=1,$AB$35,$AB$36)</f>
        <v>0</v>
      </c>
      <c r="AL438" s="13">
        <f>OCC_DAYS*$AB$41*R_NF_2023-AD438*MCD_SHARE_FREED*R_WAIT_2023</f>
        <v>151980.48282209205</v>
      </c>
      <c r="AM438">
        <f>IF($A438&lt;=$AB$45,1,0)</f>
        <v>0</v>
      </c>
      <c r="BB438">
        <f>IF($BB$31&lt;=$BB$32,IF($A438&lt;=$BB$7,1,2),IF($A438&lt;=RUNG_BEDS_2,2,1))</f>
        <v>1</v>
      </c>
      <c r="BC438" s="5">
        <f>MIN(1,MAX(0,$BB$26-($A438-1)))</f>
        <v>0</v>
      </c>
      <c r="BD438" s="5">
        <f>$BB$25*(BC438+(1-BC438)*$BB$16)</f>
        <v>0.0</v>
      </c>
      <c r="BE438" s="13">
        <f>BD438*($BB$6+ACUTE_MARGIN)</f>
        <v>0.0</v>
      </c>
      <c r="BF438" s="13">
        <f>IF(BB438=1,$BB$31,$BB$32)</f>
        <v>152394.16214437486</v>
      </c>
      <c r="BG438" s="13">
        <f>BE438-BF438</f>
        <v>-152394.16214437486</v>
      </c>
      <c r="BH438" s="13">
        <f>BH437+BG438</f>
        <v>1540257.4125690088</v>
      </c>
      <c r="BI438">
        <f>IF(BH438=MAX($BH$83:$BH$483),$A438,0)</f>
        <v>0</v>
      </c>
      <c r="BJ438">
        <f>IF(BE438&lt;BF438,$A438,B_MAX+1)</f>
        <v>355</v>
      </c>
      <c r="BK438" s="13">
        <f>IF(BB438=1,$BB$35,$BB$36)</f>
        <v>0</v>
      </c>
      <c r="BL438" s="13">
        <f>OCC_DAYS*$BB$41*R_NF_2023-BD438*MCD_SHARE_FREED*R_WAIT_2023</f>
        <v>151980.48282209205</v>
      </c>
      <c r="BM438">
        <f>IF($A438&lt;=$BB$45,1,0)</f>
        <v>0</v>
      </c>
      <c r="CB438">
        <f>IF($CB$31&lt;=$CB$32,IF($A438&lt;=$CB$7,1,2),IF($A438&lt;=RUNG_BEDS_2,2,1))</f>
        <v>2</v>
      </c>
      <c r="CC438" s="5">
        <f>MIN(1,MAX(0,$CB$26-($A438-1)))</f>
        <v>0</v>
      </c>
      <c r="CD438" s="5">
        <f>$CB$25*(CC438+(1-CC438)*$CB$16)</f>
        <v>0.0</v>
      </c>
      <c r="CE438" s="13">
        <f>CD438*($CB$6+ACUTE_MARGIN)</f>
        <v>0.0</v>
      </c>
      <c r="CF438" s="13">
        <f>IF(CB438=1,$CB$31,$CB$32)</f>
        <v>160718.36940738867</v>
      </c>
      <c r="CG438" s="13">
        <f>CE438-CF438</f>
        <v>-160718.36940738867</v>
      </c>
      <c r="CH438" s="13">
        <f>CH437+CG438</f>
        <v>-18826050.511350792</v>
      </c>
      <c r="CI438">
        <f>IF(CH438=MAX($CH$83:$CH$483),$A438,0)</f>
        <v>0</v>
      </c>
      <c r="CJ438">
        <f>IF(CE438&lt;CF438,$A438,B_MAX+1)</f>
        <v>355</v>
      </c>
      <c r="CK438" s="13">
        <f>IF(CB438=1,$CB$35,$CB$36)</f>
        <v>1560.1194073886782</v>
      </c>
      <c r="CL438" s="13">
        <f>OCC_DAYS*$CB$41*R_NF_2023-CD438*MCD_SHARE_FREED*R_WAIT_2023</f>
        <v>151980.48282209205</v>
      </c>
      <c r="CM438">
        <f>IF($A438&lt;=$CB$45,1,0)</f>
        <v>0</v>
      </c>
      <c r="DB438">
        <f>IF($DB$31&lt;=$DB$32,IF($A438&lt;=$DB$7,1,2),IF($A438&lt;=RUNG_BEDS_2,2,1))</f>
        <v>1</v>
      </c>
      <c r="DC438" s="5">
        <f>MIN(1,MAX(0,$DB$26-($A438-1)))</f>
        <v>0</v>
      </c>
      <c r="DD438" s="5">
        <f>$DB$25*(DC438+(1-DC438)*$DB$16)</f>
        <v>0.0</v>
      </c>
      <c r="DE438" s="13">
        <f>DD438*($DB$6+ACUTE_MARGIN)</f>
        <v>0.0</v>
      </c>
      <c r="DF438" s="13">
        <f>IF(DB438=1,$DB$31,$DB$32)</f>
        <v>152394.16214437486</v>
      </c>
      <c r="DG438" s="13">
        <f>DE438-DF438</f>
        <v>-152394.16214437486</v>
      </c>
      <c r="DH438" s="13">
        <f>DH437+DG438</f>
        <v>-15870956.932980709</v>
      </c>
      <c r="DI438">
        <f>IF(DH438=MAX($DH$83:$DH$483),$A438,0)</f>
        <v>0</v>
      </c>
      <c r="DJ438">
        <f>IF(DE438&lt;DF438,$A438,B_MAX+1)</f>
        <v>355</v>
      </c>
      <c r="DK438" s="13">
        <f>IF(DB438=1,$DB$35,$DB$36)</f>
        <v>0</v>
      </c>
      <c r="DL438" s="13">
        <f>OCC_DAYS*$DB$41*R_NF_2023-DD438*MCD_SHARE_FREED*R_WAIT_2023</f>
        <v>151980.48282209205</v>
      </c>
      <c r="DM438">
        <f>IF($A438&lt;=$DB$45,1,0)</f>
        <v>0</v>
      </c>
      <c r="EB438">
        <f>IF($EB$31&lt;=$EB$32,IF($A438&lt;=$EB$7,1,2),IF($A438&lt;=RUNG_BEDS_2,2,1))</f>
        <v>1</v>
      </c>
      <c r="EC438" s="5">
        <f>MIN(1,MAX(0,$EB$26-($A438-1)))</f>
        <v>0</v>
      </c>
      <c r="ED438" s="5">
        <f>$EB$25*(EC438+(1-EC438)*$EB$16)</f>
        <v>0.0</v>
      </c>
      <c r="EE438" s="13">
        <f>ED438*($EB$6+ACUTE_MARGIN)</f>
        <v>0.0</v>
      </c>
      <c r="EF438" s="13">
        <f>IF(EB438=1,$EB$31,$EB$32)</f>
        <v>152394.16214437486</v>
      </c>
      <c r="EG438" s="13">
        <f>EE438-EF438</f>
        <v>-152394.16214437486</v>
      </c>
      <c r="EH438" s="13">
        <f>EH437+EG438</f>
        <v>-15870956.932980709</v>
      </c>
      <c r="EI438">
        <f>IF(EH438=MAX($EH$83:$EH$483),$A438,0)</f>
        <v>0</v>
      </c>
      <c r="EJ438">
        <f>IF(EE438&lt;EF438,$A438,B_MAX+1)</f>
        <v>355</v>
      </c>
      <c r="EK438" s="13">
        <f>IF(EB438=1,$EB$35,$EB$36)</f>
        <v>0</v>
      </c>
      <c r="EL438" s="13">
        <f>OCC_DAYS*$EB$41*R_NF_2023-ED438*MCD_SHARE_FREED*R_WAIT_2023</f>
        <v>50660.16094069735</v>
      </c>
      <c r="EM438">
        <f>IF($A438&lt;=$EB$45,1,0)</f>
        <v>0</v>
      </c>
      <c r="FB438">
        <f>IF($FB$31&lt;=$FB$32,IF($A438&lt;=$FB$7,1,2),IF($A438&lt;=RUNG_BEDS_2,2,1))</f>
        <v>1</v>
      </c>
      <c r="FC438" s="5">
        <f>MIN(1,MAX(0,$FB$26-($A438-1)))</f>
        <v>0</v>
      </c>
      <c r="FD438" s="5">
        <f>$FB$25*(FC438+(1-FC438)*$FB$16)</f>
        <v>0.0</v>
      </c>
      <c r="FE438" s="13">
        <f>FD438*($FB$6+ACUTE_MARGIN)</f>
        <v>0.0</v>
      </c>
      <c r="FF438" s="13">
        <f>IF(FB438=1,$FB$31,$FB$32)</f>
        <v>156636.04979437485</v>
      </c>
      <c r="FG438" s="13">
        <f>FE438-FF438</f>
        <v>-156636.04979437485</v>
      </c>
      <c r="FH438" s="13">
        <f>FH437+FG438</f>
        <v>-17376827.048730817</v>
      </c>
      <c r="FI438">
        <f>IF(FH438=MAX($FH$83:$FH$483),$A438,0)</f>
        <v>0</v>
      </c>
      <c r="FJ438">
        <f>IF(FE438&lt;FF438,$A438,B_MAX+1)</f>
        <v>355</v>
      </c>
      <c r="FK438" s="13">
        <f>IF(FB438=1,$FB$35,$FB$36)</f>
        <v>0</v>
      </c>
      <c r="FL438" s="13">
        <f>OCC_DAYS*$FB$41*R_NF_2023-FD438*MCD_SHARE_FREED*R_WAIT_2023</f>
        <v>151980.48282209205</v>
      </c>
      <c r="FM438">
        <f>IF($A438&lt;=$FB$45,1,0)</f>
        <v>0</v>
      </c>
      <c r="GB438">
        <f>IF($GB$31&lt;=$GB$32,IF($A438&lt;=$GB$7,1,2),IF($A438&lt;=RUNG_BEDS_2,2,1))</f>
        <v>1</v>
      </c>
      <c r="GC438" s="5">
        <f>MIN(1,MAX(0,$GB$26-($A438-1)))</f>
        <v>0</v>
      </c>
      <c r="GD438" s="5">
        <f>$GB$25*(GC438+(1-GC438)*$GB$16)</f>
        <v>0.0</v>
      </c>
      <c r="GE438" s="13">
        <f>GD438*($GB$6+ACUTE_MARGIN)</f>
        <v>0.0</v>
      </c>
      <c r="GF438" s="13">
        <f>IF(GB438=1,$GB$31,$GB$32)</f>
        <v>152394.16214437486</v>
      </c>
      <c r="GG438" s="13">
        <f>GE438-GF438</f>
        <v>-152394.16214437486</v>
      </c>
      <c r="GH438" s="13">
        <f>GH437+GG438</f>
        <v>-15870956.932980709</v>
      </c>
      <c r="GI438">
        <f>IF(GH438=MAX($GH$83:$GH$483),$A438,0)</f>
        <v>0</v>
      </c>
      <c r="GJ438">
        <f>IF(GE438&lt;GF438,$A438,B_MAX+1)</f>
        <v>355</v>
      </c>
      <c r="GK438" s="13">
        <f>IF(GB438=1,$GB$35,$GB$36)</f>
        <v>0</v>
      </c>
      <c r="GL438" s="13">
        <f>OCC_DAYS*$GB$41*R_NF_2023-GD438*MCD_SHARE_FREED*R_WAIT_2023</f>
        <v>151980.48282209205</v>
      </c>
      <c r="GM438">
        <f>IF($A438&lt;=$GB$45,1,0)</f>
        <v>0</v>
      </c>
      <c r="HB438">
        <f>IF($HB$31&lt;=$HB$32,IF($A438&lt;=$HB$7,1,2),IF($A438&lt;=RUNG_BEDS_2,2,1))</f>
        <v>1</v>
      </c>
      <c r="HC438" s="5">
        <f>MIN(1,MAX(0,$HB$26-($A438-1)))</f>
        <v>0</v>
      </c>
      <c r="HD438" s="5">
        <f>$HB$25*(HC438+(1-HC438)*$HB$16)</f>
        <v>0.0</v>
      </c>
      <c r="HE438" s="13">
        <f>HD438*($HB$6+ACUTE_MARGIN)</f>
        <v>0.0</v>
      </c>
      <c r="HF438" s="13">
        <f>IF(HB438=1,$HB$31,$HB$32)</f>
        <v>152456.2970814058</v>
      </c>
      <c r="HG438" s="13">
        <f>HE438-HF438</f>
        <v>-152456.2970814058</v>
      </c>
      <c r="HH438" s="13">
        <f>HH437+HG438</f>
        <v>-15893014.83562675</v>
      </c>
      <c r="HI438">
        <f>IF(HH438=MAX($HH$83:$HH$483),$A438,0)</f>
        <v>0</v>
      </c>
      <c r="HJ438">
        <f>IF(HE438&lt;HF438,$A438,B_MAX+1)</f>
        <v>355</v>
      </c>
      <c r="HK438" s="13">
        <f>IF(HB438=1,$HB$35,$HB$36)</f>
        <v>0</v>
      </c>
      <c r="HL438" s="13">
        <f>OCC_DAYS*$HB$41*R_NF_2023-HD438*MCD_SHARE_FREED*R_WAIT_2023</f>
        <v>151980.48282209205</v>
      </c>
      <c r="HM438">
        <f>IF($A438&lt;=$HB$45,1,0)</f>
        <v>0</v>
      </c>
      <c r="IB438">
        <f>IF($IB$31&lt;=$IB$32,IF($A438&lt;=$IB$7,1,2),IF($A438&lt;=RUNG_BEDS_2,2,1))</f>
        <v>1</v>
      </c>
      <c r="IC438" s="5">
        <f>MIN(1,MAX(0,$IB$26-($A438-1)))</f>
        <v>0</v>
      </c>
      <c r="ID438" s="5">
        <f>$IB$25*(IC438+(1-IC438)*$IB$16)</f>
        <v>0.0</v>
      </c>
      <c r="IE438" s="13">
        <f>ID438*($IB$6+ACUTE_MARGIN)</f>
        <v>0.0</v>
      </c>
      <c r="IF438" s="13">
        <f>IF(IB438=1,$IB$31,$IB$32)</f>
        <v>152734.9994534971</v>
      </c>
      <c r="IG438" s="13">
        <f>IE438-IF438</f>
        <v>-152734.9994534971</v>
      </c>
      <c r="IH438" s="13">
        <f>IH437+IG438</f>
        <v>-15991954.177719183</v>
      </c>
      <c r="II438">
        <f>IF(IH438=MAX($IH$83:$IH$483),$A438,0)</f>
        <v>0</v>
      </c>
      <c r="IJ438">
        <f>IF(IE438&lt;IF438,$A438,B_MAX+1)</f>
        <v>355</v>
      </c>
      <c r="IK438" s="13">
        <f>IF(IB438=1,$IB$35,$IB$36)</f>
        <v>0</v>
      </c>
      <c r="IL438" s="13">
        <f>OCC_DAYS*$IB$41*R_NF_2023-ID438*MCD_SHARE_FREED*R_WAIT_2023</f>
        <v>151980.48282209205</v>
      </c>
      <c r="IM438">
        <f>IF($A438&lt;=$IB$45,1,0)</f>
        <v>0</v>
      </c>
      <c r="JB438">
        <f>IF($JB$31&lt;=$JB$32,IF($A438&lt;=$JB$7,1,2),IF($A438&lt;=RUNG_BEDS_2,2,1))</f>
        <v>1</v>
      </c>
      <c r="JC438" s="5">
        <f>MIN(1,MAX(0,$JB$26-($A438-1)))</f>
        <v>0</v>
      </c>
      <c r="JD438" s="5">
        <f>$JB$25*(JC438+(1-JC438)*$JB$16)</f>
        <v>0.0</v>
      </c>
      <c r="JE438" s="13">
        <f>JD438*($JB$6+ACUTE_MARGIN)</f>
        <v>0.0</v>
      </c>
      <c r="JF438" s="13">
        <f>IF(JB438=1,$JB$31,$JB$32)</f>
        <v>152394.16214437486</v>
      </c>
      <c r="JG438" s="13">
        <f>JE438-JF438</f>
        <v>-152394.16214437486</v>
      </c>
      <c r="JH438" s="13">
        <f>JH437+JG438</f>
        <v>-15870956.932980709</v>
      </c>
      <c r="JI438">
        <f>IF(JH438=MAX($JH$83:$JH$483),$A438,0)</f>
        <v>0</v>
      </c>
      <c r="JJ438">
        <f>IF(JE438&lt;JF438,$A438,B_MAX+1)</f>
        <v>355</v>
      </c>
      <c r="JK438" s="13">
        <f>IF(JB438=1,$JB$35,$JB$36)</f>
        <v>0</v>
      </c>
      <c r="JL438" s="13">
        <f>OCC_DAYS*$JB$41*R_NF_2023-JD438*MCD_SHARE_FREED*R_WAIT_2023</f>
        <v>151980.48282209205</v>
      </c>
      <c r="JM438">
        <f>IF($A438&lt;=$JB$45,1,0)</f>
        <v>0</v>
      </c>
      <c r="KB438">
        <f>IF($KB$31&lt;=$KB$32,IF($A438&lt;=$KB$7,1,2),IF($A438&lt;=RUNG_BEDS_2,2,1))</f>
        <v>1</v>
      </c>
      <c r="KC438" s="5">
        <f>MIN(1,MAX(0,$KB$26-($A438-1)))</f>
        <v>0</v>
      </c>
      <c r="KD438" s="5">
        <f>$KB$25*(KC438+(1-KC438)*$KB$16)</f>
        <v>0.0</v>
      </c>
      <c r="KE438" s="13">
        <f>KD438*($KB$6+ACUTE_MARGIN)</f>
        <v>0.0</v>
      </c>
      <c r="KF438" s="13">
        <f>IF(KB438=1,$KB$31,$KB$32)</f>
        <v>152394.16214437486</v>
      </c>
      <c r="KG438" s="13">
        <f>KE438-KF438</f>
        <v>-152394.16214437486</v>
      </c>
      <c r="KH438" s="13">
        <f>KH437+KG438</f>
        <v>-15870956.932980815</v>
      </c>
      <c r="KI438">
        <f>IF(KH438=MAX($KH$83:$KH$483),$A438,0)</f>
        <v>0</v>
      </c>
      <c r="KJ438">
        <f>IF(KE438&lt;KF438,$A438,B_MAX+1)</f>
        <v>355</v>
      </c>
      <c r="KK438" s="13">
        <f>IF(KB438=1,$KB$35,$KB$36)</f>
        <v>0</v>
      </c>
      <c r="KL438" s="13">
        <f>OCC_DAYS*$KB$41*R_NF_2023-KD438*MCD_SHARE_FREED*R_WAIT_2023</f>
        <v>151980.48282209205</v>
      </c>
      <c r="KM438">
        <f>IF($A438&lt;=$KB$45,1,0)</f>
        <v>0</v>
      </c>
      <c r="LB438">
        <f>IF($LB$31&lt;=$LB$32,IF($A438&lt;=$LB$7,1,2),IF($A438&lt;=RUNG_BEDS_2,2,1))</f>
        <v>1</v>
      </c>
      <c r="LC438" s="5">
        <f>MIN(1,MAX(0,$LB$26-($A438-1)))</f>
        <v>1</v>
      </c>
      <c r="LD438" s="5">
        <f>$LB$25*(LC438+(1-LC438)*$LB$16)</f>
        <v>84.01774238227146</v>
      </c>
      <c r="LE438" s="13">
        <f>LD438*($LB$6+ACUTE_MARGIN)</f>
        <v>84857.91980609419</v>
      </c>
      <c r="LF438" s="13">
        <f>IF(LB438=1,$LB$31,$LB$32)</f>
        <v>152394.16214437486</v>
      </c>
      <c r="LG438" s="13">
        <f>LE438-LF438</f>
        <v>-67536.24233828067</v>
      </c>
      <c r="LH438" s="13">
        <f>LH437+LG438</f>
        <v>-23975366.03008977</v>
      </c>
      <c r="LI438">
        <f>IF(LH438=MAX($LH$83:$LH$483),$A438,0)</f>
        <v>0</v>
      </c>
      <c r="LJ438">
        <f>IF(LE438&lt;LF438,$A438,B_MAX+1)</f>
        <v>355</v>
      </c>
      <c r="LK438" s="13">
        <f>IF(LB438=1,$LB$35,$LB$36)</f>
        <v>0</v>
      </c>
      <c r="LL438" s="13">
        <f>OCC_DAYS*$LB$41*R_NF_2023-LD438*MCD_SHARE_FREED*R_WAIT_2023</f>
        <v>113776.04162887059</v>
      </c>
      <c r="LM438">
        <f>IF($A438&lt;=$LB$45,1,0)</f>
        <v>0</v>
      </c>
      <c r="MB438">
        <f>IF($MB$31&lt;=$MB$32,IF($A438&lt;=$MB$7,1,2),IF($A438&lt;=RUNG_BEDS_2,2,1))</f>
        <v>1</v>
      </c>
      <c r="MC438" s="5">
        <f>MIN(1,MAX(0,$MB$26-($A438-1)))</f>
        <v>0</v>
      </c>
      <c r="MD438" s="5">
        <f>$MB$25*(MC438+(1-MC438)*$MB$16)</f>
        <v>0.0</v>
      </c>
      <c r="ME438" s="13">
        <f>MD438*($MB$6+ACUTE_MARGIN)</f>
        <v>0.0</v>
      </c>
      <c r="MF438" s="13">
        <f>IF(MB438=1,$MB$31,$MB$32)</f>
        <v>152394.16214437486</v>
      </c>
      <c r="MG438" s="13">
        <f>ME438-MF438</f>
        <v>-152394.16214437486</v>
      </c>
      <c r="MH438" s="13">
        <f>MH437+MG438</f>
        <v>-21758232.99477901</v>
      </c>
      <c r="MI438">
        <f>IF(MH438=MAX($MH$83:$MH$483),$A438,0)</f>
        <v>0</v>
      </c>
      <c r="MJ438">
        <f>IF(ME438&lt;MF438,$A438,B_MAX+1)</f>
        <v>355</v>
      </c>
      <c r="MK438" s="13">
        <f>IF(MB438=1,$MB$35,$MB$36)</f>
        <v>0</v>
      </c>
      <c r="ML438" s="13">
        <f>OCC_DAYS*$MB$41*R_NF_2023-MD438*MCD_SHARE_FREED*R_WAIT_2023</f>
        <v>151980.48282209205</v>
      </c>
      <c r="MM438">
        <f>IF($A438&lt;=$MB$45,1,0)</f>
        <v>0</v>
      </c>
      <c r="NB438">
        <f>IF($NB$31&lt;=$NB$32,IF($A438&lt;=$NB$7,1,2),IF($A438&lt;=RUNG_BEDS_2,2,1))</f>
        <v>1</v>
      </c>
      <c r="NC438" s="5">
        <f>MIN(1,MAX(0,$NB$26-($A438-1)))</f>
        <v>0</v>
      </c>
      <c r="ND438" s="5">
        <f>$NB$25*(NC438+(1-NC438)*$NB$16)</f>
        <v>63.013306786703595</v>
      </c>
      <c r="NE438" s="13">
        <f>ND438*($NB$6+ACUTE_MARGIN)</f>
        <v>63643.43985457063</v>
      </c>
      <c r="NF438" s="13">
        <f>IF(NB438=1,$NB$31,$NB$32)</f>
        <v>152394.16214437486</v>
      </c>
      <c r="NG438" s="13">
        <f>NE438-NF438</f>
        <v>-88750.72228980422</v>
      </c>
      <c r="NH438" s="13">
        <f>NH437+NG438</f>
        <v>-2834778.4416762767</v>
      </c>
      <c r="NI438">
        <f>IF(NH438=MAX($NH$83:$NH$483),$A438,0)</f>
        <v>0</v>
      </c>
      <c r="NJ438">
        <f>IF(NE438&lt;NF438,$A438,B_MAX+1)</f>
        <v>355</v>
      </c>
      <c r="NK438" s="13">
        <f>IF(NB438=1,$NB$35,$NB$36)</f>
        <v>0</v>
      </c>
      <c r="NL438" s="13">
        <f>OCC_DAYS*$NB$41*R_NF_2023-ND438*MCD_SHARE_FREED*R_WAIT_2023</f>
        <v>123327.15192717595</v>
      </c>
      <c r="NM438">
        <f>IF($A438&lt;=$NB$45,1,0)</f>
        <v>0</v>
      </c>
      <c r="OB438">
        <f>IF($OB$31&lt;=$OB$32,IF($A438&lt;=$OB$7,1,2),IF($A438&lt;=RUNG_BEDS_2,2,1))</f>
        <v>1</v>
      </c>
      <c r="OC438" s="5">
        <f>MIN(1,MAX(0,$OB$26-($A438-1)))</f>
        <v>0</v>
      </c>
      <c r="OD438" s="5">
        <f>$OB$25*(OC438+(1-OC438)*$OB$16)</f>
        <v>126.02661357340719</v>
      </c>
      <c r="OE438" s="13">
        <f>OD438*($OB$6+ACUTE_MARGIN)</f>
        <v>127286.87970914126</v>
      </c>
      <c r="OF438" s="13">
        <f>IF(OB438=1,$OB$31,$OB$32)</f>
        <v>152394.16214437486</v>
      </c>
      <c r="OG438" s="13">
        <f>OE438-OF438</f>
        <v>-25107.282435233603</v>
      </c>
      <c r="OH438" s="13">
        <f>OH437+OG438</f>
        <v>10201400.049628424</v>
      </c>
      <c r="OI438">
        <f>IF(OH438=MAX($OH$83:$OH$483),$A438,0)</f>
        <v>0</v>
      </c>
      <c r="OJ438">
        <f>IF(OE438&lt;OF438,$A438,B_MAX+1)</f>
        <v>355</v>
      </c>
      <c r="OK438" s="13">
        <f>IF(OB438=1,$OB$35,$OB$36)</f>
        <v>0</v>
      </c>
      <c r="OL438" s="13">
        <f>OCC_DAYS*$OB$41*R_NF_2023-OD438*MCD_SHARE_FREED*R_WAIT_2023</f>
        <v>94673.82103225985</v>
      </c>
      <c r="OM438">
        <f>IF($A438&lt;=$OB$45,1,0)</f>
        <v>0</v>
      </c>
    </row>
    <row r="439">
      <c r="A439" t="n">
        <v>356</v>
      </c>
      <c r="B439">
        <f>IF($B$31&lt;=$B$32,IF($A439&lt;=$B$7,1,2),IF($A439&lt;=RUNG_BEDS_2,2,1))</f>
        <v>1</v>
      </c>
      <c r="C439" s="5">
        <f>MIN(1,MAX(0,$B$26-($A439-1)))</f>
        <v>0</v>
      </c>
      <c r="D439" s="5">
        <f>$B$25*(C439+(1-C439)*$B$16)</f>
        <v>0.0</v>
      </c>
      <c r="E439" s="13">
        <f>D439*($B$6+ACUTE_MARGIN)</f>
        <v>0.0</v>
      </c>
      <c r="F439" s="13">
        <f>IF(B439=1,$B$31,$B$32)</f>
        <v>152394.16214437486</v>
      </c>
      <c r="G439" s="13">
        <f>E439-F439</f>
        <v>-152394.16214437486</v>
      </c>
      <c r="H439" s="13">
        <f>H438+G439</f>
        <v>-16023351.095125083</v>
      </c>
      <c r="I439">
        <f>IF(H439=MAX($H$83:$H$483),$A439,0)</f>
        <v>0</v>
      </c>
      <c r="J439">
        <f>IF(E439&lt;F439,$A439,B_MAX+1)</f>
        <v>356</v>
      </c>
      <c r="K439" s="13">
        <f>IF(B439=1,$B$35,$B$36)</f>
        <v>0</v>
      </c>
      <c r="L439" s="13">
        <f>OCC_DAYS*$B$41*R_NF_2023-D439*MCD_SHARE_FREED*R_WAIT_2023</f>
        <v>151980.48282209205</v>
      </c>
      <c r="M439">
        <f>IF($A439&lt;=$B$45,1,0)</f>
        <v>0</v>
      </c>
      <c r="AB439">
        <f>IF($AB$31&lt;=$AB$32,IF($A439&lt;=$AB$7,1,2),IF($A439&lt;=RUNG_BEDS_2,2,1))</f>
        <v>1</v>
      </c>
      <c r="AC439" s="5">
        <f>MIN(1,MAX(0,$AB$26-($A439-1)))</f>
        <v>0</v>
      </c>
      <c r="AD439" s="5">
        <f>$AB$25*(AC439+(1-AC439)*$AB$16)</f>
        <v>0.0</v>
      </c>
      <c r="AE439" s="13">
        <f>AD439*($AB$6+ACUTE_MARGIN)</f>
        <v>0.0</v>
      </c>
      <c r="AF439" s="13">
        <f>IF(AB439=1,$AB$31,$AB$32)</f>
        <v>152394.16214437486</v>
      </c>
      <c r="AG439" s="13">
        <f>AE439-AF439</f>
        <v>-152394.16214437486</v>
      </c>
      <c r="AH439" s="13">
        <f>AH438+AG439</f>
        <v>-33434565.44067482</v>
      </c>
      <c r="AI439">
        <f>IF(AH439=MAX($AH$83:$AH$483),$A439,0)</f>
        <v>0</v>
      </c>
      <c r="AJ439">
        <f>IF(AE439&lt;AF439,$A439,B_MAX+1)</f>
        <v>356</v>
      </c>
      <c r="AK439" s="13">
        <f>IF(AB439=1,$AB$35,$AB$36)</f>
        <v>0</v>
      </c>
      <c r="AL439" s="13">
        <f>OCC_DAYS*$AB$41*R_NF_2023-AD439*MCD_SHARE_FREED*R_WAIT_2023</f>
        <v>151980.48282209205</v>
      </c>
      <c r="AM439">
        <f>IF($A439&lt;=$AB$45,1,0)</f>
        <v>0</v>
      </c>
      <c r="BB439">
        <f>IF($BB$31&lt;=$BB$32,IF($A439&lt;=$BB$7,1,2),IF($A439&lt;=RUNG_BEDS_2,2,1))</f>
        <v>1</v>
      </c>
      <c r="BC439" s="5">
        <f>MIN(1,MAX(0,$BB$26-($A439-1)))</f>
        <v>0</v>
      </c>
      <c r="BD439" s="5">
        <f>$BB$25*(BC439+(1-BC439)*$BB$16)</f>
        <v>0.0</v>
      </c>
      <c r="BE439" s="13">
        <f>BD439*($BB$6+ACUTE_MARGIN)</f>
        <v>0.0</v>
      </c>
      <c r="BF439" s="13">
        <f>IF(BB439=1,$BB$31,$BB$32)</f>
        <v>152394.16214437486</v>
      </c>
      <c r="BG439" s="13">
        <f>BE439-BF439</f>
        <v>-152394.16214437486</v>
      </c>
      <c r="BH439" s="13">
        <f>BH438+BG439</f>
        <v>1387863.250424634</v>
      </c>
      <c r="BI439">
        <f>IF(BH439=MAX($BH$83:$BH$483),$A439,0)</f>
        <v>0</v>
      </c>
      <c r="BJ439">
        <f>IF(BE439&lt;BF439,$A439,B_MAX+1)</f>
        <v>356</v>
      </c>
      <c r="BK439" s="13">
        <f>IF(BB439=1,$BB$35,$BB$36)</f>
        <v>0</v>
      </c>
      <c r="BL439" s="13">
        <f>OCC_DAYS*$BB$41*R_NF_2023-BD439*MCD_SHARE_FREED*R_WAIT_2023</f>
        <v>151980.48282209205</v>
      </c>
      <c r="BM439">
        <f>IF($A439&lt;=$BB$45,1,0)</f>
        <v>0</v>
      </c>
      <c r="CB439">
        <f>IF($CB$31&lt;=$CB$32,IF($A439&lt;=$CB$7,1,2),IF($A439&lt;=RUNG_BEDS_2,2,1))</f>
        <v>2</v>
      </c>
      <c r="CC439" s="5">
        <f>MIN(1,MAX(0,$CB$26-($A439-1)))</f>
        <v>0</v>
      </c>
      <c r="CD439" s="5">
        <f>$CB$25*(CC439+(1-CC439)*$CB$16)</f>
        <v>0.0</v>
      </c>
      <c r="CE439" s="13">
        <f>CD439*($CB$6+ACUTE_MARGIN)</f>
        <v>0.0</v>
      </c>
      <c r="CF439" s="13">
        <f>IF(CB439=1,$CB$31,$CB$32)</f>
        <v>160718.36940738867</v>
      </c>
      <c r="CG439" s="13">
        <f>CE439-CF439</f>
        <v>-160718.36940738867</v>
      </c>
      <c r="CH439" s="13">
        <f>CH438+CG439</f>
        <v>-18986768.88075818</v>
      </c>
      <c r="CI439">
        <f>IF(CH439=MAX($CH$83:$CH$483),$A439,0)</f>
        <v>0</v>
      </c>
      <c r="CJ439">
        <f>IF(CE439&lt;CF439,$A439,B_MAX+1)</f>
        <v>356</v>
      </c>
      <c r="CK439" s="13">
        <f>IF(CB439=1,$CB$35,$CB$36)</f>
        <v>1560.1194073886782</v>
      </c>
      <c r="CL439" s="13">
        <f>OCC_DAYS*$CB$41*R_NF_2023-CD439*MCD_SHARE_FREED*R_WAIT_2023</f>
        <v>151980.48282209205</v>
      </c>
      <c r="CM439">
        <f>IF($A439&lt;=$CB$45,1,0)</f>
        <v>0</v>
      </c>
      <c r="DB439">
        <f>IF($DB$31&lt;=$DB$32,IF($A439&lt;=$DB$7,1,2),IF($A439&lt;=RUNG_BEDS_2,2,1))</f>
        <v>1</v>
      </c>
      <c r="DC439" s="5">
        <f>MIN(1,MAX(0,$DB$26-($A439-1)))</f>
        <v>0</v>
      </c>
      <c r="DD439" s="5">
        <f>$DB$25*(DC439+(1-DC439)*$DB$16)</f>
        <v>0.0</v>
      </c>
      <c r="DE439" s="13">
        <f>DD439*($DB$6+ACUTE_MARGIN)</f>
        <v>0.0</v>
      </c>
      <c r="DF439" s="13">
        <f>IF(DB439=1,$DB$31,$DB$32)</f>
        <v>152394.16214437486</v>
      </c>
      <c r="DG439" s="13">
        <f>DE439-DF439</f>
        <v>-152394.16214437486</v>
      </c>
      <c r="DH439" s="13">
        <f>DH438+DG439</f>
        <v>-16023351.095125083</v>
      </c>
      <c r="DI439">
        <f>IF(DH439=MAX($DH$83:$DH$483),$A439,0)</f>
        <v>0</v>
      </c>
      <c r="DJ439">
        <f>IF(DE439&lt;DF439,$A439,B_MAX+1)</f>
        <v>356</v>
      </c>
      <c r="DK439" s="13">
        <f>IF(DB439=1,$DB$35,$DB$36)</f>
        <v>0</v>
      </c>
      <c r="DL439" s="13">
        <f>OCC_DAYS*$DB$41*R_NF_2023-DD439*MCD_SHARE_FREED*R_WAIT_2023</f>
        <v>151980.48282209205</v>
      </c>
      <c r="DM439">
        <f>IF($A439&lt;=$DB$45,1,0)</f>
        <v>0</v>
      </c>
      <c r="EB439">
        <f>IF($EB$31&lt;=$EB$32,IF($A439&lt;=$EB$7,1,2),IF($A439&lt;=RUNG_BEDS_2,2,1))</f>
        <v>1</v>
      </c>
      <c r="EC439" s="5">
        <f>MIN(1,MAX(0,$EB$26-($A439-1)))</f>
        <v>0</v>
      </c>
      <c r="ED439" s="5">
        <f>$EB$25*(EC439+(1-EC439)*$EB$16)</f>
        <v>0.0</v>
      </c>
      <c r="EE439" s="13">
        <f>ED439*($EB$6+ACUTE_MARGIN)</f>
        <v>0.0</v>
      </c>
      <c r="EF439" s="13">
        <f>IF(EB439=1,$EB$31,$EB$32)</f>
        <v>152394.16214437486</v>
      </c>
      <c r="EG439" s="13">
        <f>EE439-EF439</f>
        <v>-152394.16214437486</v>
      </c>
      <c r="EH439" s="13">
        <f>EH438+EG439</f>
        <v>-16023351.095125083</v>
      </c>
      <c r="EI439">
        <f>IF(EH439=MAX($EH$83:$EH$483),$A439,0)</f>
        <v>0</v>
      </c>
      <c r="EJ439">
        <f>IF(EE439&lt;EF439,$A439,B_MAX+1)</f>
        <v>356</v>
      </c>
      <c r="EK439" s="13">
        <f>IF(EB439=1,$EB$35,$EB$36)</f>
        <v>0</v>
      </c>
      <c r="EL439" s="13">
        <f>OCC_DAYS*$EB$41*R_NF_2023-ED439*MCD_SHARE_FREED*R_WAIT_2023</f>
        <v>50660.16094069735</v>
      </c>
      <c r="EM439">
        <f>IF($A439&lt;=$EB$45,1,0)</f>
        <v>0</v>
      </c>
      <c r="FB439">
        <f>IF($FB$31&lt;=$FB$32,IF($A439&lt;=$FB$7,1,2),IF($A439&lt;=RUNG_BEDS_2,2,1))</f>
        <v>1</v>
      </c>
      <c r="FC439" s="5">
        <f>MIN(1,MAX(0,$FB$26-($A439-1)))</f>
        <v>0</v>
      </c>
      <c r="FD439" s="5">
        <f>$FB$25*(FC439+(1-FC439)*$FB$16)</f>
        <v>0.0</v>
      </c>
      <c r="FE439" s="13">
        <f>FD439*($FB$6+ACUTE_MARGIN)</f>
        <v>0.0</v>
      </c>
      <c r="FF439" s="13">
        <f>IF(FB439=1,$FB$31,$FB$32)</f>
        <v>156636.04979437485</v>
      </c>
      <c r="FG439" s="13">
        <f>FE439-FF439</f>
        <v>-156636.04979437485</v>
      </c>
      <c r="FH439" s="13">
        <f>FH438+FG439</f>
        <v>-17533463.098525193</v>
      </c>
      <c r="FI439">
        <f>IF(FH439=MAX($FH$83:$FH$483),$A439,0)</f>
        <v>0</v>
      </c>
      <c r="FJ439">
        <f>IF(FE439&lt;FF439,$A439,B_MAX+1)</f>
        <v>356</v>
      </c>
      <c r="FK439" s="13">
        <f>IF(FB439=1,$FB$35,$FB$36)</f>
        <v>0</v>
      </c>
      <c r="FL439" s="13">
        <f>OCC_DAYS*$FB$41*R_NF_2023-FD439*MCD_SHARE_FREED*R_WAIT_2023</f>
        <v>151980.48282209205</v>
      </c>
      <c r="FM439">
        <f>IF($A439&lt;=$FB$45,1,0)</f>
        <v>0</v>
      </c>
      <c r="GB439">
        <f>IF($GB$31&lt;=$GB$32,IF($A439&lt;=$GB$7,1,2),IF($A439&lt;=RUNG_BEDS_2,2,1))</f>
        <v>1</v>
      </c>
      <c r="GC439" s="5">
        <f>MIN(1,MAX(0,$GB$26-($A439-1)))</f>
        <v>0</v>
      </c>
      <c r="GD439" s="5">
        <f>$GB$25*(GC439+(1-GC439)*$GB$16)</f>
        <v>0.0</v>
      </c>
      <c r="GE439" s="13">
        <f>GD439*($GB$6+ACUTE_MARGIN)</f>
        <v>0.0</v>
      </c>
      <c r="GF439" s="13">
        <f>IF(GB439=1,$GB$31,$GB$32)</f>
        <v>152394.16214437486</v>
      </c>
      <c r="GG439" s="13">
        <f>GE439-GF439</f>
        <v>-152394.16214437486</v>
      </c>
      <c r="GH439" s="13">
        <f>GH438+GG439</f>
        <v>-16023351.095125083</v>
      </c>
      <c r="GI439">
        <f>IF(GH439=MAX($GH$83:$GH$483),$A439,0)</f>
        <v>0</v>
      </c>
      <c r="GJ439">
        <f>IF(GE439&lt;GF439,$A439,B_MAX+1)</f>
        <v>356</v>
      </c>
      <c r="GK439" s="13">
        <f>IF(GB439=1,$GB$35,$GB$36)</f>
        <v>0</v>
      </c>
      <c r="GL439" s="13">
        <f>OCC_DAYS*$GB$41*R_NF_2023-GD439*MCD_SHARE_FREED*R_WAIT_2023</f>
        <v>151980.48282209205</v>
      </c>
      <c r="GM439">
        <f>IF($A439&lt;=$GB$45,1,0)</f>
        <v>0</v>
      </c>
      <c r="HB439">
        <f>IF($HB$31&lt;=$HB$32,IF($A439&lt;=$HB$7,1,2),IF($A439&lt;=RUNG_BEDS_2,2,1))</f>
        <v>1</v>
      </c>
      <c r="HC439" s="5">
        <f>MIN(1,MAX(0,$HB$26-($A439-1)))</f>
        <v>0</v>
      </c>
      <c r="HD439" s="5">
        <f>$HB$25*(HC439+(1-HC439)*$HB$16)</f>
        <v>0.0</v>
      </c>
      <c r="HE439" s="13">
        <f>HD439*($HB$6+ACUTE_MARGIN)</f>
        <v>0.0</v>
      </c>
      <c r="HF439" s="13">
        <f>IF(HB439=1,$HB$31,$HB$32)</f>
        <v>152456.2970814058</v>
      </c>
      <c r="HG439" s="13">
        <f>HE439-HF439</f>
        <v>-152456.2970814058</v>
      </c>
      <c r="HH439" s="13">
        <f>HH438+HG439</f>
        <v>-16045471.132708155</v>
      </c>
      <c r="HI439">
        <f>IF(HH439=MAX($HH$83:$HH$483),$A439,0)</f>
        <v>0</v>
      </c>
      <c r="HJ439">
        <f>IF(HE439&lt;HF439,$A439,B_MAX+1)</f>
        <v>356</v>
      </c>
      <c r="HK439" s="13">
        <f>IF(HB439=1,$HB$35,$HB$36)</f>
        <v>0</v>
      </c>
      <c r="HL439" s="13">
        <f>OCC_DAYS*$HB$41*R_NF_2023-HD439*MCD_SHARE_FREED*R_WAIT_2023</f>
        <v>151980.48282209205</v>
      </c>
      <c r="HM439">
        <f>IF($A439&lt;=$HB$45,1,0)</f>
        <v>0</v>
      </c>
      <c r="IB439">
        <f>IF($IB$31&lt;=$IB$32,IF($A439&lt;=$IB$7,1,2),IF($A439&lt;=RUNG_BEDS_2,2,1))</f>
        <v>1</v>
      </c>
      <c r="IC439" s="5">
        <f>MIN(1,MAX(0,$IB$26-($A439-1)))</f>
        <v>0</v>
      </c>
      <c r="ID439" s="5">
        <f>$IB$25*(IC439+(1-IC439)*$IB$16)</f>
        <v>0.0</v>
      </c>
      <c r="IE439" s="13">
        <f>ID439*($IB$6+ACUTE_MARGIN)</f>
        <v>0.0</v>
      </c>
      <c r="IF439" s="13">
        <f>IF(IB439=1,$IB$31,$IB$32)</f>
        <v>152734.9994534971</v>
      </c>
      <c r="IG439" s="13">
        <f>IE439-IF439</f>
        <v>-152734.9994534971</v>
      </c>
      <c r="IH439" s="13">
        <f>IH438+IG439</f>
        <v>-16144689.17717268</v>
      </c>
      <c r="II439">
        <f>IF(IH439=MAX($IH$83:$IH$483),$A439,0)</f>
        <v>0</v>
      </c>
      <c r="IJ439">
        <f>IF(IE439&lt;IF439,$A439,B_MAX+1)</f>
        <v>356</v>
      </c>
      <c r="IK439" s="13">
        <f>IF(IB439=1,$IB$35,$IB$36)</f>
        <v>0</v>
      </c>
      <c r="IL439" s="13">
        <f>OCC_DAYS*$IB$41*R_NF_2023-ID439*MCD_SHARE_FREED*R_WAIT_2023</f>
        <v>151980.48282209205</v>
      </c>
      <c r="IM439">
        <f>IF($A439&lt;=$IB$45,1,0)</f>
        <v>0</v>
      </c>
      <c r="JB439">
        <f>IF($JB$31&lt;=$JB$32,IF($A439&lt;=$JB$7,1,2),IF($A439&lt;=RUNG_BEDS_2,2,1))</f>
        <v>1</v>
      </c>
      <c r="JC439" s="5">
        <f>MIN(1,MAX(0,$JB$26-($A439-1)))</f>
        <v>0</v>
      </c>
      <c r="JD439" s="5">
        <f>$JB$25*(JC439+(1-JC439)*$JB$16)</f>
        <v>0.0</v>
      </c>
      <c r="JE439" s="13">
        <f>JD439*($JB$6+ACUTE_MARGIN)</f>
        <v>0.0</v>
      </c>
      <c r="JF439" s="13">
        <f>IF(JB439=1,$JB$31,$JB$32)</f>
        <v>152394.16214437486</v>
      </c>
      <c r="JG439" s="13">
        <f>JE439-JF439</f>
        <v>-152394.16214437486</v>
      </c>
      <c r="JH439" s="13">
        <f>JH438+JG439</f>
        <v>-16023351.095125083</v>
      </c>
      <c r="JI439">
        <f>IF(JH439=MAX($JH$83:$JH$483),$A439,0)</f>
        <v>0</v>
      </c>
      <c r="JJ439">
        <f>IF(JE439&lt;JF439,$A439,B_MAX+1)</f>
        <v>356</v>
      </c>
      <c r="JK439" s="13">
        <f>IF(JB439=1,$JB$35,$JB$36)</f>
        <v>0</v>
      </c>
      <c r="JL439" s="13">
        <f>OCC_DAYS*$JB$41*R_NF_2023-JD439*MCD_SHARE_FREED*R_WAIT_2023</f>
        <v>151980.48282209205</v>
      </c>
      <c r="JM439">
        <f>IF($A439&lt;=$JB$45,1,0)</f>
        <v>0</v>
      </c>
      <c r="KB439">
        <f>IF($KB$31&lt;=$KB$32,IF($A439&lt;=$KB$7,1,2),IF($A439&lt;=RUNG_BEDS_2,2,1))</f>
        <v>1</v>
      </c>
      <c r="KC439" s="5">
        <f>MIN(1,MAX(0,$KB$26-($A439-1)))</f>
        <v>0</v>
      </c>
      <c r="KD439" s="5">
        <f>$KB$25*(KC439+(1-KC439)*$KB$16)</f>
        <v>0.0</v>
      </c>
      <c r="KE439" s="13">
        <f>KD439*($KB$6+ACUTE_MARGIN)</f>
        <v>0.0</v>
      </c>
      <c r="KF439" s="13">
        <f>IF(KB439=1,$KB$31,$KB$32)</f>
        <v>152394.16214437486</v>
      </c>
      <c r="KG439" s="13">
        <f>KE439-KF439</f>
        <v>-152394.16214437486</v>
      </c>
      <c r="KH439" s="13">
        <f>KH438+KG439</f>
        <v>-16023351.095125189</v>
      </c>
      <c r="KI439">
        <f>IF(KH439=MAX($KH$83:$KH$483),$A439,0)</f>
        <v>0</v>
      </c>
      <c r="KJ439">
        <f>IF(KE439&lt;KF439,$A439,B_MAX+1)</f>
        <v>356</v>
      </c>
      <c r="KK439" s="13">
        <f>IF(KB439=1,$KB$35,$KB$36)</f>
        <v>0</v>
      </c>
      <c r="KL439" s="13">
        <f>OCC_DAYS*$KB$41*R_NF_2023-KD439*MCD_SHARE_FREED*R_WAIT_2023</f>
        <v>151980.48282209205</v>
      </c>
      <c r="KM439">
        <f>IF($A439&lt;=$KB$45,1,0)</f>
        <v>0</v>
      </c>
      <c r="LB439">
        <f>IF($LB$31&lt;=$LB$32,IF($A439&lt;=$LB$7,1,2),IF($A439&lt;=RUNG_BEDS_2,2,1))</f>
        <v>1</v>
      </c>
      <c r="LC439" s="5">
        <f>MIN(1,MAX(0,$LB$26-($A439-1)))</f>
        <v>1</v>
      </c>
      <c r="LD439" s="5">
        <f>$LB$25*(LC439+(1-LC439)*$LB$16)</f>
        <v>84.01774238227146</v>
      </c>
      <c r="LE439" s="13">
        <f>LD439*($LB$6+ACUTE_MARGIN)</f>
        <v>84857.91980609419</v>
      </c>
      <c r="LF439" s="13">
        <f>IF(LB439=1,$LB$31,$LB$32)</f>
        <v>152394.16214437486</v>
      </c>
      <c r="LG439" s="13">
        <f>LE439-LF439</f>
        <v>-67536.24233828067</v>
      </c>
      <c r="LH439" s="13">
        <f>LH438+LG439</f>
        <v>-24042902.27242805</v>
      </c>
      <c r="LI439">
        <f>IF(LH439=MAX($LH$83:$LH$483),$A439,0)</f>
        <v>0</v>
      </c>
      <c r="LJ439">
        <f>IF(LE439&lt;LF439,$A439,B_MAX+1)</f>
        <v>356</v>
      </c>
      <c r="LK439" s="13">
        <f>IF(LB439=1,$LB$35,$LB$36)</f>
        <v>0</v>
      </c>
      <c r="LL439" s="13">
        <f>OCC_DAYS*$LB$41*R_NF_2023-LD439*MCD_SHARE_FREED*R_WAIT_2023</f>
        <v>113776.04162887059</v>
      </c>
      <c r="LM439">
        <f>IF($A439&lt;=$LB$45,1,0)</f>
        <v>0</v>
      </c>
      <c r="MB439">
        <f>IF($MB$31&lt;=$MB$32,IF($A439&lt;=$MB$7,1,2),IF($A439&lt;=RUNG_BEDS_2,2,1))</f>
        <v>1</v>
      </c>
      <c r="MC439" s="5">
        <f>MIN(1,MAX(0,$MB$26-($A439-1)))</f>
        <v>0</v>
      </c>
      <c r="MD439" s="5">
        <f>$MB$25*(MC439+(1-MC439)*$MB$16)</f>
        <v>0.0</v>
      </c>
      <c r="ME439" s="13">
        <f>MD439*($MB$6+ACUTE_MARGIN)</f>
        <v>0.0</v>
      </c>
      <c r="MF439" s="13">
        <f>IF(MB439=1,$MB$31,$MB$32)</f>
        <v>152394.16214437486</v>
      </c>
      <c r="MG439" s="13">
        <f>ME439-MF439</f>
        <v>-152394.16214437486</v>
      </c>
      <c r="MH439" s="13">
        <f>MH438+MG439</f>
        <v>-21910627.156923383</v>
      </c>
      <c r="MI439">
        <f>IF(MH439=MAX($MH$83:$MH$483),$A439,0)</f>
        <v>0</v>
      </c>
      <c r="MJ439">
        <f>IF(ME439&lt;MF439,$A439,B_MAX+1)</f>
        <v>356</v>
      </c>
      <c r="MK439" s="13">
        <f>IF(MB439=1,$MB$35,$MB$36)</f>
        <v>0</v>
      </c>
      <c r="ML439" s="13">
        <f>OCC_DAYS*$MB$41*R_NF_2023-MD439*MCD_SHARE_FREED*R_WAIT_2023</f>
        <v>151980.48282209205</v>
      </c>
      <c r="MM439">
        <f>IF($A439&lt;=$MB$45,1,0)</f>
        <v>0</v>
      </c>
      <c r="NB439">
        <f>IF($NB$31&lt;=$NB$32,IF($A439&lt;=$NB$7,1,2),IF($A439&lt;=RUNG_BEDS_2,2,1))</f>
        <v>1</v>
      </c>
      <c r="NC439" s="5">
        <f>MIN(1,MAX(0,$NB$26-($A439-1)))</f>
        <v>0</v>
      </c>
      <c r="ND439" s="5">
        <f>$NB$25*(NC439+(1-NC439)*$NB$16)</f>
        <v>63.013306786703595</v>
      </c>
      <c r="NE439" s="13">
        <f>ND439*($NB$6+ACUTE_MARGIN)</f>
        <v>63643.43985457063</v>
      </c>
      <c r="NF439" s="13">
        <f>IF(NB439=1,$NB$31,$NB$32)</f>
        <v>152394.16214437486</v>
      </c>
      <c r="NG439" s="13">
        <f>NE439-NF439</f>
        <v>-88750.72228980422</v>
      </c>
      <c r="NH439" s="13">
        <f>NH438+NG439</f>
        <v>-2923529.163966081</v>
      </c>
      <c r="NI439">
        <f>IF(NH439=MAX($NH$83:$NH$483),$A439,0)</f>
        <v>0</v>
      </c>
      <c r="NJ439">
        <f>IF(NE439&lt;NF439,$A439,B_MAX+1)</f>
        <v>356</v>
      </c>
      <c r="NK439" s="13">
        <f>IF(NB439=1,$NB$35,$NB$36)</f>
        <v>0</v>
      </c>
      <c r="NL439" s="13">
        <f>OCC_DAYS*$NB$41*R_NF_2023-ND439*MCD_SHARE_FREED*R_WAIT_2023</f>
        <v>123327.15192717595</v>
      </c>
      <c r="NM439">
        <f>IF($A439&lt;=$NB$45,1,0)</f>
        <v>0</v>
      </c>
      <c r="OB439">
        <f>IF($OB$31&lt;=$OB$32,IF($A439&lt;=$OB$7,1,2),IF($A439&lt;=RUNG_BEDS_2,2,1))</f>
        <v>1</v>
      </c>
      <c r="OC439" s="5">
        <f>MIN(1,MAX(0,$OB$26-($A439-1)))</f>
        <v>0</v>
      </c>
      <c r="OD439" s="5">
        <f>$OB$25*(OC439+(1-OC439)*$OB$16)</f>
        <v>126.02661357340719</v>
      </c>
      <c r="OE439" s="13">
        <f>OD439*($OB$6+ACUTE_MARGIN)</f>
        <v>127286.87970914126</v>
      </c>
      <c r="OF439" s="13">
        <f>IF(OB439=1,$OB$31,$OB$32)</f>
        <v>152394.16214437486</v>
      </c>
      <c r="OG439" s="13">
        <f>OE439-OF439</f>
        <v>-25107.282435233603</v>
      </c>
      <c r="OH439" s="13">
        <f>OH438+OG439</f>
        <v>10176292.76719319</v>
      </c>
      <c r="OI439">
        <f>IF(OH439=MAX($OH$83:$OH$483),$A439,0)</f>
        <v>0</v>
      </c>
      <c r="OJ439">
        <f>IF(OE439&lt;OF439,$A439,B_MAX+1)</f>
        <v>356</v>
      </c>
      <c r="OK439" s="13">
        <f>IF(OB439=1,$OB$35,$OB$36)</f>
        <v>0</v>
      </c>
      <c r="OL439" s="13">
        <f>OCC_DAYS*$OB$41*R_NF_2023-OD439*MCD_SHARE_FREED*R_WAIT_2023</f>
        <v>94673.82103225985</v>
      </c>
      <c r="OM439">
        <f>IF($A439&lt;=$OB$45,1,0)</f>
        <v>0</v>
      </c>
    </row>
    <row r="440">
      <c r="A440" t="n">
        <v>357</v>
      </c>
      <c r="B440">
        <f>IF($B$31&lt;=$B$32,IF($A440&lt;=$B$7,1,2),IF($A440&lt;=RUNG_BEDS_2,2,1))</f>
        <v>1</v>
      </c>
      <c r="C440" s="5">
        <f>MIN(1,MAX(0,$B$26-($A440-1)))</f>
        <v>0</v>
      </c>
      <c r="D440" s="5">
        <f>$B$25*(C440+(1-C440)*$B$16)</f>
        <v>0.0</v>
      </c>
      <c r="E440" s="13">
        <f>D440*($B$6+ACUTE_MARGIN)</f>
        <v>0.0</v>
      </c>
      <c r="F440" s="13">
        <f>IF(B440=1,$B$31,$B$32)</f>
        <v>152394.16214437486</v>
      </c>
      <c r="G440" s="13">
        <f>E440-F440</f>
        <v>-152394.16214437486</v>
      </c>
      <c r="H440" s="13">
        <f>H439+G440</f>
        <v>-16175745.257269457</v>
      </c>
      <c r="I440">
        <f>IF(H440=MAX($H$83:$H$483),$A440,0)</f>
        <v>0</v>
      </c>
      <c r="J440">
        <f>IF(E440&lt;F440,$A440,B_MAX+1)</f>
        <v>357</v>
      </c>
      <c r="K440" s="13">
        <f>IF(B440=1,$B$35,$B$36)</f>
        <v>0</v>
      </c>
      <c r="L440" s="13">
        <f>OCC_DAYS*$B$41*R_NF_2023-D440*MCD_SHARE_FREED*R_WAIT_2023</f>
        <v>151980.48282209205</v>
      </c>
      <c r="M440">
        <f>IF($A440&lt;=$B$45,1,0)</f>
        <v>0</v>
      </c>
      <c r="AB440">
        <f>IF($AB$31&lt;=$AB$32,IF($A440&lt;=$AB$7,1,2),IF($A440&lt;=RUNG_BEDS_2,2,1))</f>
        <v>1</v>
      </c>
      <c r="AC440" s="5">
        <f>MIN(1,MAX(0,$AB$26-($A440-1)))</f>
        <v>0</v>
      </c>
      <c r="AD440" s="5">
        <f>$AB$25*(AC440+(1-AC440)*$AB$16)</f>
        <v>0.0</v>
      </c>
      <c r="AE440" s="13">
        <f>AD440*($AB$6+ACUTE_MARGIN)</f>
        <v>0.0</v>
      </c>
      <c r="AF440" s="13">
        <f>IF(AB440=1,$AB$31,$AB$32)</f>
        <v>152394.16214437486</v>
      </c>
      <c r="AG440" s="13">
        <f>AE440-AF440</f>
        <v>-152394.16214437486</v>
      </c>
      <c r="AH440" s="13">
        <f>AH439+AG440</f>
        <v>-33586959.6028192</v>
      </c>
      <c r="AI440">
        <f>IF(AH440=MAX($AH$83:$AH$483),$A440,0)</f>
        <v>0</v>
      </c>
      <c r="AJ440">
        <f>IF(AE440&lt;AF440,$A440,B_MAX+1)</f>
        <v>357</v>
      </c>
      <c r="AK440" s="13">
        <f>IF(AB440=1,$AB$35,$AB$36)</f>
        <v>0</v>
      </c>
      <c r="AL440" s="13">
        <f>OCC_DAYS*$AB$41*R_NF_2023-AD440*MCD_SHARE_FREED*R_WAIT_2023</f>
        <v>151980.48282209205</v>
      </c>
      <c r="AM440">
        <f>IF($A440&lt;=$AB$45,1,0)</f>
        <v>0</v>
      </c>
      <c r="BB440">
        <f>IF($BB$31&lt;=$BB$32,IF($A440&lt;=$BB$7,1,2),IF($A440&lt;=RUNG_BEDS_2,2,1))</f>
        <v>1</v>
      </c>
      <c r="BC440" s="5">
        <f>MIN(1,MAX(0,$BB$26-($A440-1)))</f>
        <v>0</v>
      </c>
      <c r="BD440" s="5">
        <f>$BB$25*(BC440+(1-BC440)*$BB$16)</f>
        <v>0.0</v>
      </c>
      <c r="BE440" s="13">
        <f>BD440*($BB$6+ACUTE_MARGIN)</f>
        <v>0.0</v>
      </c>
      <c r="BF440" s="13">
        <f>IF(BB440=1,$BB$31,$BB$32)</f>
        <v>152394.16214437486</v>
      </c>
      <c r="BG440" s="13">
        <f>BE440-BF440</f>
        <v>-152394.16214437486</v>
      </c>
      <c r="BH440" s="13">
        <f>BH439+BG440</f>
        <v>1235469.0882802592</v>
      </c>
      <c r="BI440">
        <f>IF(BH440=MAX($BH$83:$BH$483),$A440,0)</f>
        <v>0</v>
      </c>
      <c r="BJ440">
        <f>IF(BE440&lt;BF440,$A440,B_MAX+1)</f>
        <v>357</v>
      </c>
      <c r="BK440" s="13">
        <f>IF(BB440=1,$BB$35,$BB$36)</f>
        <v>0</v>
      </c>
      <c r="BL440" s="13">
        <f>OCC_DAYS*$BB$41*R_NF_2023-BD440*MCD_SHARE_FREED*R_WAIT_2023</f>
        <v>151980.48282209205</v>
      </c>
      <c r="BM440">
        <f>IF($A440&lt;=$BB$45,1,0)</f>
        <v>0</v>
      </c>
      <c r="CB440">
        <f>IF($CB$31&lt;=$CB$32,IF($A440&lt;=$CB$7,1,2),IF($A440&lt;=RUNG_BEDS_2,2,1))</f>
        <v>2</v>
      </c>
      <c r="CC440" s="5">
        <f>MIN(1,MAX(0,$CB$26-($A440-1)))</f>
        <v>0</v>
      </c>
      <c r="CD440" s="5">
        <f>$CB$25*(CC440+(1-CC440)*$CB$16)</f>
        <v>0.0</v>
      </c>
      <c r="CE440" s="13">
        <f>CD440*($CB$6+ACUTE_MARGIN)</f>
        <v>0.0</v>
      </c>
      <c r="CF440" s="13">
        <f>IF(CB440=1,$CB$31,$CB$32)</f>
        <v>160718.36940738867</v>
      </c>
      <c r="CG440" s="13">
        <f>CE440-CF440</f>
        <v>-160718.36940738867</v>
      </c>
      <c r="CH440" s="13">
        <f>CH439+CG440</f>
        <v>-19147487.25016557</v>
      </c>
      <c r="CI440">
        <f>IF(CH440=MAX($CH$83:$CH$483),$A440,0)</f>
        <v>0</v>
      </c>
      <c r="CJ440">
        <f>IF(CE440&lt;CF440,$A440,B_MAX+1)</f>
        <v>357</v>
      </c>
      <c r="CK440" s="13">
        <f>IF(CB440=1,$CB$35,$CB$36)</f>
        <v>1560.1194073886782</v>
      </c>
      <c r="CL440" s="13">
        <f>OCC_DAYS*$CB$41*R_NF_2023-CD440*MCD_SHARE_FREED*R_WAIT_2023</f>
        <v>151980.48282209205</v>
      </c>
      <c r="CM440">
        <f>IF($A440&lt;=$CB$45,1,0)</f>
        <v>0</v>
      </c>
      <c r="DB440">
        <f>IF($DB$31&lt;=$DB$32,IF($A440&lt;=$DB$7,1,2),IF($A440&lt;=RUNG_BEDS_2,2,1))</f>
        <v>1</v>
      </c>
      <c r="DC440" s="5">
        <f>MIN(1,MAX(0,$DB$26-($A440-1)))</f>
        <v>0</v>
      </c>
      <c r="DD440" s="5">
        <f>$DB$25*(DC440+(1-DC440)*$DB$16)</f>
        <v>0.0</v>
      </c>
      <c r="DE440" s="13">
        <f>DD440*($DB$6+ACUTE_MARGIN)</f>
        <v>0.0</v>
      </c>
      <c r="DF440" s="13">
        <f>IF(DB440=1,$DB$31,$DB$32)</f>
        <v>152394.16214437486</v>
      </c>
      <c r="DG440" s="13">
        <f>DE440-DF440</f>
        <v>-152394.16214437486</v>
      </c>
      <c r="DH440" s="13">
        <f>DH439+DG440</f>
        <v>-16175745.257269457</v>
      </c>
      <c r="DI440">
        <f>IF(DH440=MAX($DH$83:$DH$483),$A440,0)</f>
        <v>0</v>
      </c>
      <c r="DJ440">
        <f>IF(DE440&lt;DF440,$A440,B_MAX+1)</f>
        <v>357</v>
      </c>
      <c r="DK440" s="13">
        <f>IF(DB440=1,$DB$35,$DB$36)</f>
        <v>0</v>
      </c>
      <c r="DL440" s="13">
        <f>OCC_DAYS*$DB$41*R_NF_2023-DD440*MCD_SHARE_FREED*R_WAIT_2023</f>
        <v>151980.48282209205</v>
      </c>
      <c r="DM440">
        <f>IF($A440&lt;=$DB$45,1,0)</f>
        <v>0</v>
      </c>
      <c r="EB440">
        <f>IF($EB$31&lt;=$EB$32,IF($A440&lt;=$EB$7,1,2),IF($A440&lt;=RUNG_BEDS_2,2,1))</f>
        <v>1</v>
      </c>
      <c r="EC440" s="5">
        <f>MIN(1,MAX(0,$EB$26-($A440-1)))</f>
        <v>0</v>
      </c>
      <c r="ED440" s="5">
        <f>$EB$25*(EC440+(1-EC440)*$EB$16)</f>
        <v>0.0</v>
      </c>
      <c r="EE440" s="13">
        <f>ED440*($EB$6+ACUTE_MARGIN)</f>
        <v>0.0</v>
      </c>
      <c r="EF440" s="13">
        <f>IF(EB440=1,$EB$31,$EB$32)</f>
        <v>152394.16214437486</v>
      </c>
      <c r="EG440" s="13">
        <f>EE440-EF440</f>
        <v>-152394.16214437486</v>
      </c>
      <c r="EH440" s="13">
        <f>EH439+EG440</f>
        <v>-16175745.257269457</v>
      </c>
      <c r="EI440">
        <f>IF(EH440=MAX($EH$83:$EH$483),$A440,0)</f>
        <v>0</v>
      </c>
      <c r="EJ440">
        <f>IF(EE440&lt;EF440,$A440,B_MAX+1)</f>
        <v>357</v>
      </c>
      <c r="EK440" s="13">
        <f>IF(EB440=1,$EB$35,$EB$36)</f>
        <v>0</v>
      </c>
      <c r="EL440" s="13">
        <f>OCC_DAYS*$EB$41*R_NF_2023-ED440*MCD_SHARE_FREED*R_WAIT_2023</f>
        <v>50660.16094069735</v>
      </c>
      <c r="EM440">
        <f>IF($A440&lt;=$EB$45,1,0)</f>
        <v>0</v>
      </c>
      <c r="FB440">
        <f>IF($FB$31&lt;=$FB$32,IF($A440&lt;=$FB$7,1,2),IF($A440&lt;=RUNG_BEDS_2,2,1))</f>
        <v>1</v>
      </c>
      <c r="FC440" s="5">
        <f>MIN(1,MAX(0,$FB$26-($A440-1)))</f>
        <v>0</v>
      </c>
      <c r="FD440" s="5">
        <f>$FB$25*(FC440+(1-FC440)*$FB$16)</f>
        <v>0.0</v>
      </c>
      <c r="FE440" s="13">
        <f>FD440*($FB$6+ACUTE_MARGIN)</f>
        <v>0.0</v>
      </c>
      <c r="FF440" s="13">
        <f>IF(FB440=1,$FB$31,$FB$32)</f>
        <v>156636.04979437485</v>
      </c>
      <c r="FG440" s="13">
        <f>FE440-FF440</f>
        <v>-156636.04979437485</v>
      </c>
      <c r="FH440" s="13">
        <f>FH439+FG440</f>
        <v>-17690099.14831957</v>
      </c>
      <c r="FI440">
        <f>IF(FH440=MAX($FH$83:$FH$483),$A440,0)</f>
        <v>0</v>
      </c>
      <c r="FJ440">
        <f>IF(FE440&lt;FF440,$A440,B_MAX+1)</f>
        <v>357</v>
      </c>
      <c r="FK440" s="13">
        <f>IF(FB440=1,$FB$35,$FB$36)</f>
        <v>0</v>
      </c>
      <c r="FL440" s="13">
        <f>OCC_DAYS*$FB$41*R_NF_2023-FD440*MCD_SHARE_FREED*R_WAIT_2023</f>
        <v>151980.48282209205</v>
      </c>
      <c r="FM440">
        <f>IF($A440&lt;=$FB$45,1,0)</f>
        <v>0</v>
      </c>
      <c r="GB440">
        <f>IF($GB$31&lt;=$GB$32,IF($A440&lt;=$GB$7,1,2),IF($A440&lt;=RUNG_BEDS_2,2,1))</f>
        <v>1</v>
      </c>
      <c r="GC440" s="5">
        <f>MIN(1,MAX(0,$GB$26-($A440-1)))</f>
        <v>0</v>
      </c>
      <c r="GD440" s="5">
        <f>$GB$25*(GC440+(1-GC440)*$GB$16)</f>
        <v>0.0</v>
      </c>
      <c r="GE440" s="13">
        <f>GD440*($GB$6+ACUTE_MARGIN)</f>
        <v>0.0</v>
      </c>
      <c r="GF440" s="13">
        <f>IF(GB440=1,$GB$31,$GB$32)</f>
        <v>152394.16214437486</v>
      </c>
      <c r="GG440" s="13">
        <f>GE440-GF440</f>
        <v>-152394.16214437486</v>
      </c>
      <c r="GH440" s="13">
        <f>GH439+GG440</f>
        <v>-16175745.257269457</v>
      </c>
      <c r="GI440">
        <f>IF(GH440=MAX($GH$83:$GH$483),$A440,0)</f>
        <v>0</v>
      </c>
      <c r="GJ440">
        <f>IF(GE440&lt;GF440,$A440,B_MAX+1)</f>
        <v>357</v>
      </c>
      <c r="GK440" s="13">
        <f>IF(GB440=1,$GB$35,$GB$36)</f>
        <v>0</v>
      </c>
      <c r="GL440" s="13">
        <f>OCC_DAYS*$GB$41*R_NF_2023-GD440*MCD_SHARE_FREED*R_WAIT_2023</f>
        <v>151980.48282209205</v>
      </c>
      <c r="GM440">
        <f>IF($A440&lt;=$GB$45,1,0)</f>
        <v>0</v>
      </c>
      <c r="HB440">
        <f>IF($HB$31&lt;=$HB$32,IF($A440&lt;=$HB$7,1,2),IF($A440&lt;=RUNG_BEDS_2,2,1))</f>
        <v>1</v>
      </c>
      <c r="HC440" s="5">
        <f>MIN(1,MAX(0,$HB$26-($A440-1)))</f>
        <v>0</v>
      </c>
      <c r="HD440" s="5">
        <f>$HB$25*(HC440+(1-HC440)*$HB$16)</f>
        <v>0.0</v>
      </c>
      <c r="HE440" s="13">
        <f>HD440*($HB$6+ACUTE_MARGIN)</f>
        <v>0.0</v>
      </c>
      <c r="HF440" s="13">
        <f>IF(HB440=1,$HB$31,$HB$32)</f>
        <v>152456.2970814058</v>
      </c>
      <c r="HG440" s="13">
        <f>HE440-HF440</f>
        <v>-152456.2970814058</v>
      </c>
      <c r="HH440" s="13">
        <f>HH439+HG440</f>
        <v>-16197927.42978956</v>
      </c>
      <c r="HI440">
        <f>IF(HH440=MAX($HH$83:$HH$483),$A440,0)</f>
        <v>0</v>
      </c>
      <c r="HJ440">
        <f>IF(HE440&lt;HF440,$A440,B_MAX+1)</f>
        <v>357</v>
      </c>
      <c r="HK440" s="13">
        <f>IF(HB440=1,$HB$35,$HB$36)</f>
        <v>0</v>
      </c>
      <c r="HL440" s="13">
        <f>OCC_DAYS*$HB$41*R_NF_2023-HD440*MCD_SHARE_FREED*R_WAIT_2023</f>
        <v>151980.48282209205</v>
      </c>
      <c r="HM440">
        <f>IF($A440&lt;=$HB$45,1,0)</f>
        <v>0</v>
      </c>
      <c r="IB440">
        <f>IF($IB$31&lt;=$IB$32,IF($A440&lt;=$IB$7,1,2),IF($A440&lt;=RUNG_BEDS_2,2,1))</f>
        <v>1</v>
      </c>
      <c r="IC440" s="5">
        <f>MIN(1,MAX(0,$IB$26-($A440-1)))</f>
        <v>0</v>
      </c>
      <c r="ID440" s="5">
        <f>$IB$25*(IC440+(1-IC440)*$IB$16)</f>
        <v>0.0</v>
      </c>
      <c r="IE440" s="13">
        <f>ID440*($IB$6+ACUTE_MARGIN)</f>
        <v>0.0</v>
      </c>
      <c r="IF440" s="13">
        <f>IF(IB440=1,$IB$31,$IB$32)</f>
        <v>152734.9994534971</v>
      </c>
      <c r="IG440" s="13">
        <f>IE440-IF440</f>
        <v>-152734.9994534971</v>
      </c>
      <c r="IH440" s="13">
        <f>IH439+IG440</f>
        <v>-16297424.176626176</v>
      </c>
      <c r="II440">
        <f>IF(IH440=MAX($IH$83:$IH$483),$A440,0)</f>
        <v>0</v>
      </c>
      <c r="IJ440">
        <f>IF(IE440&lt;IF440,$A440,B_MAX+1)</f>
        <v>357</v>
      </c>
      <c r="IK440" s="13">
        <f>IF(IB440=1,$IB$35,$IB$36)</f>
        <v>0</v>
      </c>
      <c r="IL440" s="13">
        <f>OCC_DAYS*$IB$41*R_NF_2023-ID440*MCD_SHARE_FREED*R_WAIT_2023</f>
        <v>151980.48282209205</v>
      </c>
      <c r="IM440">
        <f>IF($A440&lt;=$IB$45,1,0)</f>
        <v>0</v>
      </c>
      <c r="JB440">
        <f>IF($JB$31&lt;=$JB$32,IF($A440&lt;=$JB$7,1,2),IF($A440&lt;=RUNG_BEDS_2,2,1))</f>
        <v>1</v>
      </c>
      <c r="JC440" s="5">
        <f>MIN(1,MAX(0,$JB$26-($A440-1)))</f>
        <v>0</v>
      </c>
      <c r="JD440" s="5">
        <f>$JB$25*(JC440+(1-JC440)*$JB$16)</f>
        <v>0.0</v>
      </c>
      <c r="JE440" s="13">
        <f>JD440*($JB$6+ACUTE_MARGIN)</f>
        <v>0.0</v>
      </c>
      <c r="JF440" s="13">
        <f>IF(JB440=1,$JB$31,$JB$32)</f>
        <v>152394.16214437486</v>
      </c>
      <c r="JG440" s="13">
        <f>JE440-JF440</f>
        <v>-152394.16214437486</v>
      </c>
      <c r="JH440" s="13">
        <f>JH439+JG440</f>
        <v>-16175745.257269457</v>
      </c>
      <c r="JI440">
        <f>IF(JH440=MAX($JH$83:$JH$483),$A440,0)</f>
        <v>0</v>
      </c>
      <c r="JJ440">
        <f>IF(JE440&lt;JF440,$A440,B_MAX+1)</f>
        <v>357</v>
      </c>
      <c r="JK440" s="13">
        <f>IF(JB440=1,$JB$35,$JB$36)</f>
        <v>0</v>
      </c>
      <c r="JL440" s="13">
        <f>OCC_DAYS*$JB$41*R_NF_2023-JD440*MCD_SHARE_FREED*R_WAIT_2023</f>
        <v>151980.48282209205</v>
      </c>
      <c r="JM440">
        <f>IF($A440&lt;=$JB$45,1,0)</f>
        <v>0</v>
      </c>
      <c r="KB440">
        <f>IF($KB$31&lt;=$KB$32,IF($A440&lt;=$KB$7,1,2),IF($A440&lt;=RUNG_BEDS_2,2,1))</f>
        <v>1</v>
      </c>
      <c r="KC440" s="5">
        <f>MIN(1,MAX(0,$KB$26-($A440-1)))</f>
        <v>0</v>
      </c>
      <c r="KD440" s="5">
        <f>$KB$25*(KC440+(1-KC440)*$KB$16)</f>
        <v>0.0</v>
      </c>
      <c r="KE440" s="13">
        <f>KD440*($KB$6+ACUTE_MARGIN)</f>
        <v>0.0</v>
      </c>
      <c r="KF440" s="13">
        <f>IF(KB440=1,$KB$31,$KB$32)</f>
        <v>152394.16214437486</v>
      </c>
      <c r="KG440" s="13">
        <f>KE440-KF440</f>
        <v>-152394.16214437486</v>
      </c>
      <c r="KH440" s="13">
        <f>KH439+KG440</f>
        <v>-16175745.257269563</v>
      </c>
      <c r="KI440">
        <f>IF(KH440=MAX($KH$83:$KH$483),$A440,0)</f>
        <v>0</v>
      </c>
      <c r="KJ440">
        <f>IF(KE440&lt;KF440,$A440,B_MAX+1)</f>
        <v>357</v>
      </c>
      <c r="KK440" s="13">
        <f>IF(KB440=1,$KB$35,$KB$36)</f>
        <v>0</v>
      </c>
      <c r="KL440" s="13">
        <f>OCC_DAYS*$KB$41*R_NF_2023-KD440*MCD_SHARE_FREED*R_WAIT_2023</f>
        <v>151980.48282209205</v>
      </c>
      <c r="KM440">
        <f>IF($A440&lt;=$KB$45,1,0)</f>
        <v>0</v>
      </c>
      <c r="LB440">
        <f>IF($LB$31&lt;=$LB$32,IF($A440&lt;=$LB$7,1,2),IF($A440&lt;=RUNG_BEDS_2,2,1))</f>
        <v>1</v>
      </c>
      <c r="LC440" s="5">
        <f>MIN(1,MAX(0,$LB$26-($A440-1)))</f>
        <v>1</v>
      </c>
      <c r="LD440" s="5">
        <f>$LB$25*(LC440+(1-LC440)*$LB$16)</f>
        <v>84.01774238227146</v>
      </c>
      <c r="LE440" s="13">
        <f>LD440*($LB$6+ACUTE_MARGIN)</f>
        <v>84857.91980609419</v>
      </c>
      <c r="LF440" s="13">
        <f>IF(LB440=1,$LB$31,$LB$32)</f>
        <v>152394.16214437486</v>
      </c>
      <c r="LG440" s="13">
        <f>LE440-LF440</f>
        <v>-67536.24233828067</v>
      </c>
      <c r="LH440" s="13">
        <f>LH439+LG440</f>
        <v>-24110438.51476633</v>
      </c>
      <c r="LI440">
        <f>IF(LH440=MAX($LH$83:$LH$483),$A440,0)</f>
        <v>0</v>
      </c>
      <c r="LJ440">
        <f>IF(LE440&lt;LF440,$A440,B_MAX+1)</f>
        <v>357</v>
      </c>
      <c r="LK440" s="13">
        <f>IF(LB440=1,$LB$35,$LB$36)</f>
        <v>0</v>
      </c>
      <c r="LL440" s="13">
        <f>OCC_DAYS*$LB$41*R_NF_2023-LD440*MCD_SHARE_FREED*R_WAIT_2023</f>
        <v>113776.04162887059</v>
      </c>
      <c r="LM440">
        <f>IF($A440&lt;=$LB$45,1,0)</f>
        <v>0</v>
      </c>
      <c r="MB440">
        <f>IF($MB$31&lt;=$MB$32,IF($A440&lt;=$MB$7,1,2),IF($A440&lt;=RUNG_BEDS_2,2,1))</f>
        <v>1</v>
      </c>
      <c r="MC440" s="5">
        <f>MIN(1,MAX(0,$MB$26-($A440-1)))</f>
        <v>0</v>
      </c>
      <c r="MD440" s="5">
        <f>$MB$25*(MC440+(1-MC440)*$MB$16)</f>
        <v>0.0</v>
      </c>
      <c r="ME440" s="13">
        <f>MD440*($MB$6+ACUTE_MARGIN)</f>
        <v>0.0</v>
      </c>
      <c r="MF440" s="13">
        <f>IF(MB440=1,$MB$31,$MB$32)</f>
        <v>152394.16214437486</v>
      </c>
      <c r="MG440" s="13">
        <f>ME440-MF440</f>
        <v>-152394.16214437486</v>
      </c>
      <c r="MH440" s="13">
        <f>MH439+MG440</f>
        <v>-22063021.319067758</v>
      </c>
      <c r="MI440">
        <f>IF(MH440=MAX($MH$83:$MH$483),$A440,0)</f>
        <v>0</v>
      </c>
      <c r="MJ440">
        <f>IF(ME440&lt;MF440,$A440,B_MAX+1)</f>
        <v>357</v>
      </c>
      <c r="MK440" s="13">
        <f>IF(MB440=1,$MB$35,$MB$36)</f>
        <v>0</v>
      </c>
      <c r="ML440" s="13">
        <f>OCC_DAYS*$MB$41*R_NF_2023-MD440*MCD_SHARE_FREED*R_WAIT_2023</f>
        <v>151980.48282209205</v>
      </c>
      <c r="MM440">
        <f>IF($A440&lt;=$MB$45,1,0)</f>
        <v>0</v>
      </c>
      <c r="NB440">
        <f>IF($NB$31&lt;=$NB$32,IF($A440&lt;=$NB$7,1,2),IF($A440&lt;=RUNG_BEDS_2,2,1))</f>
        <v>1</v>
      </c>
      <c r="NC440" s="5">
        <f>MIN(1,MAX(0,$NB$26-($A440-1)))</f>
        <v>0</v>
      </c>
      <c r="ND440" s="5">
        <f>$NB$25*(NC440+(1-NC440)*$NB$16)</f>
        <v>63.013306786703595</v>
      </c>
      <c r="NE440" s="13">
        <f>ND440*($NB$6+ACUTE_MARGIN)</f>
        <v>63643.43985457063</v>
      </c>
      <c r="NF440" s="13">
        <f>IF(NB440=1,$NB$31,$NB$32)</f>
        <v>152394.16214437486</v>
      </c>
      <c r="NG440" s="13">
        <f>NE440-NF440</f>
        <v>-88750.72228980422</v>
      </c>
      <c r="NH440" s="13">
        <f>NH439+NG440</f>
        <v>-3012279.8862558855</v>
      </c>
      <c r="NI440">
        <f>IF(NH440=MAX($NH$83:$NH$483),$A440,0)</f>
        <v>0</v>
      </c>
      <c r="NJ440">
        <f>IF(NE440&lt;NF440,$A440,B_MAX+1)</f>
        <v>357</v>
      </c>
      <c r="NK440" s="13">
        <f>IF(NB440=1,$NB$35,$NB$36)</f>
        <v>0</v>
      </c>
      <c r="NL440" s="13">
        <f>OCC_DAYS*$NB$41*R_NF_2023-ND440*MCD_SHARE_FREED*R_WAIT_2023</f>
        <v>123327.15192717595</v>
      </c>
      <c r="NM440">
        <f>IF($A440&lt;=$NB$45,1,0)</f>
        <v>0</v>
      </c>
      <c r="OB440">
        <f>IF($OB$31&lt;=$OB$32,IF($A440&lt;=$OB$7,1,2),IF($A440&lt;=RUNG_BEDS_2,2,1))</f>
        <v>1</v>
      </c>
      <c r="OC440" s="5">
        <f>MIN(1,MAX(0,$OB$26-($A440-1)))</f>
        <v>0</v>
      </c>
      <c r="OD440" s="5">
        <f>$OB$25*(OC440+(1-OC440)*$OB$16)</f>
        <v>126.02661357340719</v>
      </c>
      <c r="OE440" s="13">
        <f>OD440*($OB$6+ACUTE_MARGIN)</f>
        <v>127286.87970914126</v>
      </c>
      <c r="OF440" s="13">
        <f>IF(OB440=1,$OB$31,$OB$32)</f>
        <v>152394.16214437486</v>
      </c>
      <c r="OG440" s="13">
        <f>OE440-OF440</f>
        <v>-25107.282435233603</v>
      </c>
      <c r="OH440" s="13">
        <f>OH439+OG440</f>
        <v>10151185.484757958</v>
      </c>
      <c r="OI440">
        <f>IF(OH440=MAX($OH$83:$OH$483),$A440,0)</f>
        <v>0</v>
      </c>
      <c r="OJ440">
        <f>IF(OE440&lt;OF440,$A440,B_MAX+1)</f>
        <v>357</v>
      </c>
      <c r="OK440" s="13">
        <f>IF(OB440=1,$OB$35,$OB$36)</f>
        <v>0</v>
      </c>
      <c r="OL440" s="13">
        <f>OCC_DAYS*$OB$41*R_NF_2023-OD440*MCD_SHARE_FREED*R_WAIT_2023</f>
        <v>94673.82103225985</v>
      </c>
      <c r="OM440">
        <f>IF($A440&lt;=$OB$45,1,0)</f>
        <v>0</v>
      </c>
    </row>
    <row r="441">
      <c r="A441" t="n">
        <v>358</v>
      </c>
      <c r="B441">
        <f>IF($B$31&lt;=$B$32,IF($A441&lt;=$B$7,1,2),IF($A441&lt;=RUNG_BEDS_2,2,1))</f>
        <v>1</v>
      </c>
      <c r="C441" s="5">
        <f>MIN(1,MAX(0,$B$26-($A441-1)))</f>
        <v>0</v>
      </c>
      <c r="D441" s="5">
        <f>$B$25*(C441+(1-C441)*$B$16)</f>
        <v>0.0</v>
      </c>
      <c r="E441" s="13">
        <f>D441*($B$6+ACUTE_MARGIN)</f>
        <v>0.0</v>
      </c>
      <c r="F441" s="13">
        <f>IF(B441=1,$B$31,$B$32)</f>
        <v>152394.16214437486</v>
      </c>
      <c r="G441" s="13">
        <f>E441-F441</f>
        <v>-152394.16214437486</v>
      </c>
      <c r="H441" s="13">
        <f>H440+G441</f>
        <v>-16328139.419413831</v>
      </c>
      <c r="I441">
        <f>IF(H441=MAX($H$83:$H$483),$A441,0)</f>
        <v>0</v>
      </c>
      <c r="J441">
        <f>IF(E441&lt;F441,$A441,B_MAX+1)</f>
        <v>358</v>
      </c>
      <c r="K441" s="13">
        <f>IF(B441=1,$B$35,$B$36)</f>
        <v>0</v>
      </c>
      <c r="L441" s="13">
        <f>OCC_DAYS*$B$41*R_NF_2023-D441*MCD_SHARE_FREED*R_WAIT_2023</f>
        <v>151980.48282209205</v>
      </c>
      <c r="M441">
        <f>IF($A441&lt;=$B$45,1,0)</f>
        <v>0</v>
      </c>
      <c r="AB441">
        <f>IF($AB$31&lt;=$AB$32,IF($A441&lt;=$AB$7,1,2),IF($A441&lt;=RUNG_BEDS_2,2,1))</f>
        <v>1</v>
      </c>
      <c r="AC441" s="5">
        <f>MIN(1,MAX(0,$AB$26-($A441-1)))</f>
        <v>0</v>
      </c>
      <c r="AD441" s="5">
        <f>$AB$25*(AC441+(1-AC441)*$AB$16)</f>
        <v>0.0</v>
      </c>
      <c r="AE441" s="13">
        <f>AD441*($AB$6+ACUTE_MARGIN)</f>
        <v>0.0</v>
      </c>
      <c r="AF441" s="13">
        <f>IF(AB441=1,$AB$31,$AB$32)</f>
        <v>152394.16214437486</v>
      </c>
      <c r="AG441" s="13">
        <f>AE441-AF441</f>
        <v>-152394.16214437486</v>
      </c>
      <c r="AH441" s="13">
        <f>AH440+AG441</f>
        <v>-33739353.764963575</v>
      </c>
      <c r="AI441">
        <f>IF(AH441=MAX($AH$83:$AH$483),$A441,0)</f>
        <v>0</v>
      </c>
      <c r="AJ441">
        <f>IF(AE441&lt;AF441,$A441,B_MAX+1)</f>
        <v>358</v>
      </c>
      <c r="AK441" s="13">
        <f>IF(AB441=1,$AB$35,$AB$36)</f>
        <v>0</v>
      </c>
      <c r="AL441" s="13">
        <f>OCC_DAYS*$AB$41*R_NF_2023-AD441*MCD_SHARE_FREED*R_WAIT_2023</f>
        <v>151980.48282209205</v>
      </c>
      <c r="AM441">
        <f>IF($A441&lt;=$AB$45,1,0)</f>
        <v>0</v>
      </c>
      <c r="BB441">
        <f>IF($BB$31&lt;=$BB$32,IF($A441&lt;=$BB$7,1,2),IF($A441&lt;=RUNG_BEDS_2,2,1))</f>
        <v>1</v>
      </c>
      <c r="BC441" s="5">
        <f>MIN(1,MAX(0,$BB$26-($A441-1)))</f>
        <v>0</v>
      </c>
      <c r="BD441" s="5">
        <f>$BB$25*(BC441+(1-BC441)*$BB$16)</f>
        <v>0.0</v>
      </c>
      <c r="BE441" s="13">
        <f>BD441*($BB$6+ACUTE_MARGIN)</f>
        <v>0.0</v>
      </c>
      <c r="BF441" s="13">
        <f>IF(BB441=1,$BB$31,$BB$32)</f>
        <v>152394.16214437486</v>
      </c>
      <c r="BG441" s="13">
        <f>BE441-BF441</f>
        <v>-152394.16214437486</v>
      </c>
      <c r="BH441" s="13">
        <f>BH440+BG441</f>
        <v>1083074.9261358844</v>
      </c>
      <c r="BI441">
        <f>IF(BH441=MAX($BH$83:$BH$483),$A441,0)</f>
        <v>0</v>
      </c>
      <c r="BJ441">
        <f>IF(BE441&lt;BF441,$A441,B_MAX+1)</f>
        <v>358</v>
      </c>
      <c r="BK441" s="13">
        <f>IF(BB441=1,$BB$35,$BB$36)</f>
        <v>0</v>
      </c>
      <c r="BL441" s="13">
        <f>OCC_DAYS*$BB$41*R_NF_2023-BD441*MCD_SHARE_FREED*R_WAIT_2023</f>
        <v>151980.48282209205</v>
      </c>
      <c r="BM441">
        <f>IF($A441&lt;=$BB$45,1,0)</f>
        <v>0</v>
      </c>
      <c r="CB441">
        <f>IF($CB$31&lt;=$CB$32,IF($A441&lt;=$CB$7,1,2),IF($A441&lt;=RUNG_BEDS_2,2,1))</f>
        <v>2</v>
      </c>
      <c r="CC441" s="5">
        <f>MIN(1,MAX(0,$CB$26-($A441-1)))</f>
        <v>0</v>
      </c>
      <c r="CD441" s="5">
        <f>$CB$25*(CC441+(1-CC441)*$CB$16)</f>
        <v>0.0</v>
      </c>
      <c r="CE441" s="13">
        <f>CD441*($CB$6+ACUTE_MARGIN)</f>
        <v>0.0</v>
      </c>
      <c r="CF441" s="13">
        <f>IF(CB441=1,$CB$31,$CB$32)</f>
        <v>160718.36940738867</v>
      </c>
      <c r="CG441" s="13">
        <f>CE441-CF441</f>
        <v>-160718.36940738867</v>
      </c>
      <c r="CH441" s="13">
        <f>CH440+CG441</f>
        <v>-19308205.61957296</v>
      </c>
      <c r="CI441">
        <f>IF(CH441=MAX($CH$83:$CH$483),$A441,0)</f>
        <v>0</v>
      </c>
      <c r="CJ441">
        <f>IF(CE441&lt;CF441,$A441,B_MAX+1)</f>
        <v>358</v>
      </c>
      <c r="CK441" s="13">
        <f>IF(CB441=1,$CB$35,$CB$36)</f>
        <v>1560.1194073886782</v>
      </c>
      <c r="CL441" s="13">
        <f>OCC_DAYS*$CB$41*R_NF_2023-CD441*MCD_SHARE_FREED*R_WAIT_2023</f>
        <v>151980.48282209205</v>
      </c>
      <c r="CM441">
        <f>IF($A441&lt;=$CB$45,1,0)</f>
        <v>0</v>
      </c>
      <c r="DB441">
        <f>IF($DB$31&lt;=$DB$32,IF($A441&lt;=$DB$7,1,2),IF($A441&lt;=RUNG_BEDS_2,2,1))</f>
        <v>1</v>
      </c>
      <c r="DC441" s="5">
        <f>MIN(1,MAX(0,$DB$26-($A441-1)))</f>
        <v>0</v>
      </c>
      <c r="DD441" s="5">
        <f>$DB$25*(DC441+(1-DC441)*$DB$16)</f>
        <v>0.0</v>
      </c>
      <c r="DE441" s="13">
        <f>DD441*($DB$6+ACUTE_MARGIN)</f>
        <v>0.0</v>
      </c>
      <c r="DF441" s="13">
        <f>IF(DB441=1,$DB$31,$DB$32)</f>
        <v>152394.16214437486</v>
      </c>
      <c r="DG441" s="13">
        <f>DE441-DF441</f>
        <v>-152394.16214437486</v>
      </c>
      <c r="DH441" s="13">
        <f>DH440+DG441</f>
        <v>-16328139.419413831</v>
      </c>
      <c r="DI441">
        <f>IF(DH441=MAX($DH$83:$DH$483),$A441,0)</f>
        <v>0</v>
      </c>
      <c r="DJ441">
        <f>IF(DE441&lt;DF441,$A441,B_MAX+1)</f>
        <v>358</v>
      </c>
      <c r="DK441" s="13">
        <f>IF(DB441=1,$DB$35,$DB$36)</f>
        <v>0</v>
      </c>
      <c r="DL441" s="13">
        <f>OCC_DAYS*$DB$41*R_NF_2023-DD441*MCD_SHARE_FREED*R_WAIT_2023</f>
        <v>151980.48282209205</v>
      </c>
      <c r="DM441">
        <f>IF($A441&lt;=$DB$45,1,0)</f>
        <v>0</v>
      </c>
      <c r="EB441">
        <f>IF($EB$31&lt;=$EB$32,IF($A441&lt;=$EB$7,1,2),IF($A441&lt;=RUNG_BEDS_2,2,1))</f>
        <v>1</v>
      </c>
      <c r="EC441" s="5">
        <f>MIN(1,MAX(0,$EB$26-($A441-1)))</f>
        <v>0</v>
      </c>
      <c r="ED441" s="5">
        <f>$EB$25*(EC441+(1-EC441)*$EB$16)</f>
        <v>0.0</v>
      </c>
      <c r="EE441" s="13">
        <f>ED441*($EB$6+ACUTE_MARGIN)</f>
        <v>0.0</v>
      </c>
      <c r="EF441" s="13">
        <f>IF(EB441=1,$EB$31,$EB$32)</f>
        <v>152394.16214437486</v>
      </c>
      <c r="EG441" s="13">
        <f>EE441-EF441</f>
        <v>-152394.16214437486</v>
      </c>
      <c r="EH441" s="13">
        <f>EH440+EG441</f>
        <v>-16328139.419413831</v>
      </c>
      <c r="EI441">
        <f>IF(EH441=MAX($EH$83:$EH$483),$A441,0)</f>
        <v>0</v>
      </c>
      <c r="EJ441">
        <f>IF(EE441&lt;EF441,$A441,B_MAX+1)</f>
        <v>358</v>
      </c>
      <c r="EK441" s="13">
        <f>IF(EB441=1,$EB$35,$EB$36)</f>
        <v>0</v>
      </c>
      <c r="EL441" s="13">
        <f>OCC_DAYS*$EB$41*R_NF_2023-ED441*MCD_SHARE_FREED*R_WAIT_2023</f>
        <v>50660.16094069735</v>
      </c>
      <c r="EM441">
        <f>IF($A441&lt;=$EB$45,1,0)</f>
        <v>0</v>
      </c>
      <c r="FB441">
        <f>IF($FB$31&lt;=$FB$32,IF($A441&lt;=$FB$7,1,2),IF($A441&lt;=RUNG_BEDS_2,2,1))</f>
        <v>1</v>
      </c>
      <c r="FC441" s="5">
        <f>MIN(1,MAX(0,$FB$26-($A441-1)))</f>
        <v>0</v>
      </c>
      <c r="FD441" s="5">
        <f>$FB$25*(FC441+(1-FC441)*$FB$16)</f>
        <v>0.0</v>
      </c>
      <c r="FE441" s="13">
        <f>FD441*($FB$6+ACUTE_MARGIN)</f>
        <v>0.0</v>
      </c>
      <c r="FF441" s="13">
        <f>IF(FB441=1,$FB$31,$FB$32)</f>
        <v>156636.04979437485</v>
      </c>
      <c r="FG441" s="13">
        <f>FE441-FF441</f>
        <v>-156636.04979437485</v>
      </c>
      <c r="FH441" s="13">
        <f>FH440+FG441</f>
        <v>-17846735.198113944</v>
      </c>
      <c r="FI441">
        <f>IF(FH441=MAX($FH$83:$FH$483),$A441,0)</f>
        <v>0</v>
      </c>
      <c r="FJ441">
        <f>IF(FE441&lt;FF441,$A441,B_MAX+1)</f>
        <v>358</v>
      </c>
      <c r="FK441" s="13">
        <f>IF(FB441=1,$FB$35,$FB$36)</f>
        <v>0</v>
      </c>
      <c r="FL441" s="13">
        <f>OCC_DAYS*$FB$41*R_NF_2023-FD441*MCD_SHARE_FREED*R_WAIT_2023</f>
        <v>151980.48282209205</v>
      </c>
      <c r="FM441">
        <f>IF($A441&lt;=$FB$45,1,0)</f>
        <v>0</v>
      </c>
      <c r="GB441">
        <f>IF($GB$31&lt;=$GB$32,IF($A441&lt;=$GB$7,1,2),IF($A441&lt;=RUNG_BEDS_2,2,1))</f>
        <v>1</v>
      </c>
      <c r="GC441" s="5">
        <f>MIN(1,MAX(0,$GB$26-($A441-1)))</f>
        <v>0</v>
      </c>
      <c r="GD441" s="5">
        <f>$GB$25*(GC441+(1-GC441)*$GB$16)</f>
        <v>0.0</v>
      </c>
      <c r="GE441" s="13">
        <f>GD441*($GB$6+ACUTE_MARGIN)</f>
        <v>0.0</v>
      </c>
      <c r="GF441" s="13">
        <f>IF(GB441=1,$GB$31,$GB$32)</f>
        <v>152394.16214437486</v>
      </c>
      <c r="GG441" s="13">
        <f>GE441-GF441</f>
        <v>-152394.16214437486</v>
      </c>
      <c r="GH441" s="13">
        <f>GH440+GG441</f>
        <v>-16328139.419413831</v>
      </c>
      <c r="GI441">
        <f>IF(GH441=MAX($GH$83:$GH$483),$A441,0)</f>
        <v>0</v>
      </c>
      <c r="GJ441">
        <f>IF(GE441&lt;GF441,$A441,B_MAX+1)</f>
        <v>358</v>
      </c>
      <c r="GK441" s="13">
        <f>IF(GB441=1,$GB$35,$GB$36)</f>
        <v>0</v>
      </c>
      <c r="GL441" s="13">
        <f>OCC_DAYS*$GB$41*R_NF_2023-GD441*MCD_SHARE_FREED*R_WAIT_2023</f>
        <v>151980.48282209205</v>
      </c>
      <c r="GM441">
        <f>IF($A441&lt;=$GB$45,1,0)</f>
        <v>0</v>
      </c>
      <c r="HB441">
        <f>IF($HB$31&lt;=$HB$32,IF($A441&lt;=$HB$7,1,2),IF($A441&lt;=RUNG_BEDS_2,2,1))</f>
        <v>1</v>
      </c>
      <c r="HC441" s="5">
        <f>MIN(1,MAX(0,$HB$26-($A441-1)))</f>
        <v>0</v>
      </c>
      <c r="HD441" s="5">
        <f>$HB$25*(HC441+(1-HC441)*$HB$16)</f>
        <v>0.0</v>
      </c>
      <c r="HE441" s="13">
        <f>HD441*($HB$6+ACUTE_MARGIN)</f>
        <v>0.0</v>
      </c>
      <c r="HF441" s="13">
        <f>IF(HB441=1,$HB$31,$HB$32)</f>
        <v>152456.2970814058</v>
      </c>
      <c r="HG441" s="13">
        <f>HE441-HF441</f>
        <v>-152456.2970814058</v>
      </c>
      <c r="HH441" s="13">
        <f>HH440+HG441</f>
        <v>-16350383.726870965</v>
      </c>
      <c r="HI441">
        <f>IF(HH441=MAX($HH$83:$HH$483),$A441,0)</f>
        <v>0</v>
      </c>
      <c r="HJ441">
        <f>IF(HE441&lt;HF441,$A441,B_MAX+1)</f>
        <v>358</v>
      </c>
      <c r="HK441" s="13">
        <f>IF(HB441=1,$HB$35,$HB$36)</f>
        <v>0</v>
      </c>
      <c r="HL441" s="13">
        <f>OCC_DAYS*$HB$41*R_NF_2023-HD441*MCD_SHARE_FREED*R_WAIT_2023</f>
        <v>151980.48282209205</v>
      </c>
      <c r="HM441">
        <f>IF($A441&lt;=$HB$45,1,0)</f>
        <v>0</v>
      </c>
      <c r="IB441">
        <f>IF($IB$31&lt;=$IB$32,IF($A441&lt;=$IB$7,1,2),IF($A441&lt;=RUNG_BEDS_2,2,1))</f>
        <v>1</v>
      </c>
      <c r="IC441" s="5">
        <f>MIN(1,MAX(0,$IB$26-($A441-1)))</f>
        <v>0</v>
      </c>
      <c r="ID441" s="5">
        <f>$IB$25*(IC441+(1-IC441)*$IB$16)</f>
        <v>0.0</v>
      </c>
      <c r="IE441" s="13">
        <f>ID441*($IB$6+ACUTE_MARGIN)</f>
        <v>0.0</v>
      </c>
      <c r="IF441" s="13">
        <f>IF(IB441=1,$IB$31,$IB$32)</f>
        <v>152734.9994534971</v>
      </c>
      <c r="IG441" s="13">
        <f>IE441-IF441</f>
        <v>-152734.9994534971</v>
      </c>
      <c r="IH441" s="13">
        <f>IH440+IG441</f>
        <v>-16450159.176079672</v>
      </c>
      <c r="II441">
        <f>IF(IH441=MAX($IH$83:$IH$483),$A441,0)</f>
        <v>0</v>
      </c>
      <c r="IJ441">
        <f>IF(IE441&lt;IF441,$A441,B_MAX+1)</f>
        <v>358</v>
      </c>
      <c r="IK441" s="13">
        <f>IF(IB441=1,$IB$35,$IB$36)</f>
        <v>0</v>
      </c>
      <c r="IL441" s="13">
        <f>OCC_DAYS*$IB$41*R_NF_2023-ID441*MCD_SHARE_FREED*R_WAIT_2023</f>
        <v>151980.48282209205</v>
      </c>
      <c r="IM441">
        <f>IF($A441&lt;=$IB$45,1,0)</f>
        <v>0</v>
      </c>
      <c r="JB441">
        <f>IF($JB$31&lt;=$JB$32,IF($A441&lt;=$JB$7,1,2),IF($A441&lt;=RUNG_BEDS_2,2,1))</f>
        <v>1</v>
      </c>
      <c r="JC441" s="5">
        <f>MIN(1,MAX(0,$JB$26-($A441-1)))</f>
        <v>0</v>
      </c>
      <c r="JD441" s="5">
        <f>$JB$25*(JC441+(1-JC441)*$JB$16)</f>
        <v>0.0</v>
      </c>
      <c r="JE441" s="13">
        <f>JD441*($JB$6+ACUTE_MARGIN)</f>
        <v>0.0</v>
      </c>
      <c r="JF441" s="13">
        <f>IF(JB441=1,$JB$31,$JB$32)</f>
        <v>152394.16214437486</v>
      </c>
      <c r="JG441" s="13">
        <f>JE441-JF441</f>
        <v>-152394.16214437486</v>
      </c>
      <c r="JH441" s="13">
        <f>JH440+JG441</f>
        <v>-16328139.419413831</v>
      </c>
      <c r="JI441">
        <f>IF(JH441=MAX($JH$83:$JH$483),$A441,0)</f>
        <v>0</v>
      </c>
      <c r="JJ441">
        <f>IF(JE441&lt;JF441,$A441,B_MAX+1)</f>
        <v>358</v>
      </c>
      <c r="JK441" s="13">
        <f>IF(JB441=1,$JB$35,$JB$36)</f>
        <v>0</v>
      </c>
      <c r="JL441" s="13">
        <f>OCC_DAYS*$JB$41*R_NF_2023-JD441*MCD_SHARE_FREED*R_WAIT_2023</f>
        <v>151980.48282209205</v>
      </c>
      <c r="JM441">
        <f>IF($A441&lt;=$JB$45,1,0)</f>
        <v>0</v>
      </c>
      <c r="KB441">
        <f>IF($KB$31&lt;=$KB$32,IF($A441&lt;=$KB$7,1,2),IF($A441&lt;=RUNG_BEDS_2,2,1))</f>
        <v>1</v>
      </c>
      <c r="KC441" s="5">
        <f>MIN(1,MAX(0,$KB$26-($A441-1)))</f>
        <v>0</v>
      </c>
      <c r="KD441" s="5">
        <f>$KB$25*(KC441+(1-KC441)*$KB$16)</f>
        <v>0.0</v>
      </c>
      <c r="KE441" s="13">
        <f>KD441*($KB$6+ACUTE_MARGIN)</f>
        <v>0.0</v>
      </c>
      <c r="KF441" s="13">
        <f>IF(KB441=1,$KB$31,$KB$32)</f>
        <v>152394.16214437486</v>
      </c>
      <c r="KG441" s="13">
        <f>KE441-KF441</f>
        <v>-152394.16214437486</v>
      </c>
      <c r="KH441" s="13">
        <f>KH440+KG441</f>
        <v>-16328139.419413937</v>
      </c>
      <c r="KI441">
        <f>IF(KH441=MAX($KH$83:$KH$483),$A441,0)</f>
        <v>0</v>
      </c>
      <c r="KJ441">
        <f>IF(KE441&lt;KF441,$A441,B_MAX+1)</f>
        <v>358</v>
      </c>
      <c r="KK441" s="13">
        <f>IF(KB441=1,$KB$35,$KB$36)</f>
        <v>0</v>
      </c>
      <c r="KL441" s="13">
        <f>OCC_DAYS*$KB$41*R_NF_2023-KD441*MCD_SHARE_FREED*R_WAIT_2023</f>
        <v>151980.48282209205</v>
      </c>
      <c r="KM441">
        <f>IF($A441&lt;=$KB$45,1,0)</f>
        <v>0</v>
      </c>
      <c r="LB441">
        <f>IF($LB$31&lt;=$LB$32,IF($A441&lt;=$LB$7,1,2),IF($A441&lt;=RUNG_BEDS_2,2,1))</f>
        <v>1</v>
      </c>
      <c r="LC441" s="5">
        <f>MIN(1,MAX(0,$LB$26-($A441-1)))</f>
        <v>1</v>
      </c>
      <c r="LD441" s="5">
        <f>$LB$25*(LC441+(1-LC441)*$LB$16)</f>
        <v>84.01774238227146</v>
      </c>
      <c r="LE441" s="13">
        <f>LD441*($LB$6+ACUTE_MARGIN)</f>
        <v>84857.91980609419</v>
      </c>
      <c r="LF441" s="13">
        <f>IF(LB441=1,$LB$31,$LB$32)</f>
        <v>152394.16214437486</v>
      </c>
      <c r="LG441" s="13">
        <f>LE441-LF441</f>
        <v>-67536.24233828067</v>
      </c>
      <c r="LH441" s="13">
        <f>LH440+LG441</f>
        <v>-24177974.757104613</v>
      </c>
      <c r="LI441">
        <f>IF(LH441=MAX($LH$83:$LH$483),$A441,0)</f>
        <v>0</v>
      </c>
      <c r="LJ441">
        <f>IF(LE441&lt;LF441,$A441,B_MAX+1)</f>
        <v>358</v>
      </c>
      <c r="LK441" s="13">
        <f>IF(LB441=1,$LB$35,$LB$36)</f>
        <v>0</v>
      </c>
      <c r="LL441" s="13">
        <f>OCC_DAYS*$LB$41*R_NF_2023-LD441*MCD_SHARE_FREED*R_WAIT_2023</f>
        <v>113776.04162887059</v>
      </c>
      <c r="LM441">
        <f>IF($A441&lt;=$LB$45,1,0)</f>
        <v>0</v>
      </c>
      <c r="MB441">
        <f>IF($MB$31&lt;=$MB$32,IF($A441&lt;=$MB$7,1,2),IF($A441&lt;=RUNG_BEDS_2,2,1))</f>
        <v>1</v>
      </c>
      <c r="MC441" s="5">
        <f>MIN(1,MAX(0,$MB$26-($A441-1)))</f>
        <v>0</v>
      </c>
      <c r="MD441" s="5">
        <f>$MB$25*(MC441+(1-MC441)*$MB$16)</f>
        <v>0.0</v>
      </c>
      <c r="ME441" s="13">
        <f>MD441*($MB$6+ACUTE_MARGIN)</f>
        <v>0.0</v>
      </c>
      <c r="MF441" s="13">
        <f>IF(MB441=1,$MB$31,$MB$32)</f>
        <v>152394.16214437486</v>
      </c>
      <c r="MG441" s="13">
        <f>ME441-MF441</f>
        <v>-152394.16214437486</v>
      </c>
      <c r="MH441" s="13">
        <f>MH440+MG441</f>
        <v>-22215415.48121213</v>
      </c>
      <c r="MI441">
        <f>IF(MH441=MAX($MH$83:$MH$483),$A441,0)</f>
        <v>0</v>
      </c>
      <c r="MJ441">
        <f>IF(ME441&lt;MF441,$A441,B_MAX+1)</f>
        <v>358</v>
      </c>
      <c r="MK441" s="13">
        <f>IF(MB441=1,$MB$35,$MB$36)</f>
        <v>0</v>
      </c>
      <c r="ML441" s="13">
        <f>OCC_DAYS*$MB$41*R_NF_2023-MD441*MCD_SHARE_FREED*R_WAIT_2023</f>
        <v>151980.48282209205</v>
      </c>
      <c r="MM441">
        <f>IF($A441&lt;=$MB$45,1,0)</f>
        <v>0</v>
      </c>
      <c r="NB441">
        <f>IF($NB$31&lt;=$NB$32,IF($A441&lt;=$NB$7,1,2),IF($A441&lt;=RUNG_BEDS_2,2,1))</f>
        <v>1</v>
      </c>
      <c r="NC441" s="5">
        <f>MIN(1,MAX(0,$NB$26-($A441-1)))</f>
        <v>0</v>
      </c>
      <c r="ND441" s="5">
        <f>$NB$25*(NC441+(1-NC441)*$NB$16)</f>
        <v>63.013306786703595</v>
      </c>
      <c r="NE441" s="13">
        <f>ND441*($NB$6+ACUTE_MARGIN)</f>
        <v>63643.43985457063</v>
      </c>
      <c r="NF441" s="13">
        <f>IF(NB441=1,$NB$31,$NB$32)</f>
        <v>152394.16214437486</v>
      </c>
      <c r="NG441" s="13">
        <f>NE441-NF441</f>
        <v>-88750.72228980422</v>
      </c>
      <c r="NH441" s="13">
        <f>NH440+NG441</f>
        <v>-3101030.60854569</v>
      </c>
      <c r="NI441">
        <f>IF(NH441=MAX($NH$83:$NH$483),$A441,0)</f>
        <v>0</v>
      </c>
      <c r="NJ441">
        <f>IF(NE441&lt;NF441,$A441,B_MAX+1)</f>
        <v>358</v>
      </c>
      <c r="NK441" s="13">
        <f>IF(NB441=1,$NB$35,$NB$36)</f>
        <v>0</v>
      </c>
      <c r="NL441" s="13">
        <f>OCC_DAYS*$NB$41*R_NF_2023-ND441*MCD_SHARE_FREED*R_WAIT_2023</f>
        <v>123327.15192717595</v>
      </c>
      <c r="NM441">
        <f>IF($A441&lt;=$NB$45,1,0)</f>
        <v>0</v>
      </c>
      <c r="OB441">
        <f>IF($OB$31&lt;=$OB$32,IF($A441&lt;=$OB$7,1,2),IF($A441&lt;=RUNG_BEDS_2,2,1))</f>
        <v>1</v>
      </c>
      <c r="OC441" s="5">
        <f>MIN(1,MAX(0,$OB$26-($A441-1)))</f>
        <v>0</v>
      </c>
      <c r="OD441" s="5">
        <f>$OB$25*(OC441+(1-OC441)*$OB$16)</f>
        <v>126.02661357340719</v>
      </c>
      <c r="OE441" s="13">
        <f>OD441*($OB$6+ACUTE_MARGIN)</f>
        <v>127286.87970914126</v>
      </c>
      <c r="OF441" s="13">
        <f>IF(OB441=1,$OB$31,$OB$32)</f>
        <v>152394.16214437486</v>
      </c>
      <c r="OG441" s="13">
        <f>OE441-OF441</f>
        <v>-25107.282435233603</v>
      </c>
      <c r="OH441" s="13">
        <f>OH440+OG441</f>
        <v>10126078.202322725</v>
      </c>
      <c r="OI441">
        <f>IF(OH441=MAX($OH$83:$OH$483),$A441,0)</f>
        <v>0</v>
      </c>
      <c r="OJ441">
        <f>IF(OE441&lt;OF441,$A441,B_MAX+1)</f>
        <v>358</v>
      </c>
      <c r="OK441" s="13">
        <f>IF(OB441=1,$OB$35,$OB$36)</f>
        <v>0</v>
      </c>
      <c r="OL441" s="13">
        <f>OCC_DAYS*$OB$41*R_NF_2023-OD441*MCD_SHARE_FREED*R_WAIT_2023</f>
        <v>94673.82103225985</v>
      </c>
      <c r="OM441">
        <f>IF($A441&lt;=$OB$45,1,0)</f>
        <v>0</v>
      </c>
    </row>
    <row r="442">
      <c r="A442" t="n">
        <v>359</v>
      </c>
      <c r="B442">
        <f>IF($B$31&lt;=$B$32,IF($A442&lt;=$B$7,1,2),IF($A442&lt;=RUNG_BEDS_2,2,1))</f>
        <v>1</v>
      </c>
      <c r="C442" s="5">
        <f>MIN(1,MAX(0,$B$26-($A442-1)))</f>
        <v>0</v>
      </c>
      <c r="D442" s="5">
        <f>$B$25*(C442+(1-C442)*$B$16)</f>
        <v>0.0</v>
      </c>
      <c r="E442" s="13">
        <f>D442*($B$6+ACUTE_MARGIN)</f>
        <v>0.0</v>
      </c>
      <c r="F442" s="13">
        <f>IF(B442=1,$B$31,$B$32)</f>
        <v>152394.16214437486</v>
      </c>
      <c r="G442" s="13">
        <f>E442-F442</f>
        <v>-152394.16214437486</v>
      </c>
      <c r="H442" s="13">
        <f>H441+G442</f>
        <v>-16480533.581558205</v>
      </c>
      <c r="I442">
        <f>IF(H442=MAX($H$83:$H$483),$A442,0)</f>
        <v>0</v>
      </c>
      <c r="J442">
        <f>IF(E442&lt;F442,$A442,B_MAX+1)</f>
        <v>359</v>
      </c>
      <c r="K442" s="13">
        <f>IF(B442=1,$B$35,$B$36)</f>
        <v>0</v>
      </c>
      <c r="L442" s="13">
        <f>OCC_DAYS*$B$41*R_NF_2023-D442*MCD_SHARE_FREED*R_WAIT_2023</f>
        <v>151980.48282209205</v>
      </c>
      <c r="M442">
        <f>IF($A442&lt;=$B$45,1,0)</f>
        <v>0</v>
      </c>
      <c r="AB442">
        <f>IF($AB$31&lt;=$AB$32,IF($A442&lt;=$AB$7,1,2),IF($A442&lt;=RUNG_BEDS_2,2,1))</f>
        <v>1</v>
      </c>
      <c r="AC442" s="5">
        <f>MIN(1,MAX(0,$AB$26-($A442-1)))</f>
        <v>0</v>
      </c>
      <c r="AD442" s="5">
        <f>$AB$25*(AC442+(1-AC442)*$AB$16)</f>
        <v>0.0</v>
      </c>
      <c r="AE442" s="13">
        <f>AD442*($AB$6+ACUTE_MARGIN)</f>
        <v>0.0</v>
      </c>
      <c r="AF442" s="13">
        <f>IF(AB442=1,$AB$31,$AB$32)</f>
        <v>152394.16214437486</v>
      </c>
      <c r="AG442" s="13">
        <f>AE442-AF442</f>
        <v>-152394.16214437486</v>
      </c>
      <c r="AH442" s="13">
        <f>AH441+AG442</f>
        <v>-33891747.92710795</v>
      </c>
      <c r="AI442">
        <f>IF(AH442=MAX($AH$83:$AH$483),$A442,0)</f>
        <v>0</v>
      </c>
      <c r="AJ442">
        <f>IF(AE442&lt;AF442,$A442,B_MAX+1)</f>
        <v>359</v>
      </c>
      <c r="AK442" s="13">
        <f>IF(AB442=1,$AB$35,$AB$36)</f>
        <v>0</v>
      </c>
      <c r="AL442" s="13">
        <f>OCC_DAYS*$AB$41*R_NF_2023-AD442*MCD_SHARE_FREED*R_WAIT_2023</f>
        <v>151980.48282209205</v>
      </c>
      <c r="AM442">
        <f>IF($A442&lt;=$AB$45,1,0)</f>
        <v>0</v>
      </c>
      <c r="BB442">
        <f>IF($BB$31&lt;=$BB$32,IF($A442&lt;=$BB$7,1,2),IF($A442&lt;=RUNG_BEDS_2,2,1))</f>
        <v>1</v>
      </c>
      <c r="BC442" s="5">
        <f>MIN(1,MAX(0,$BB$26-($A442-1)))</f>
        <v>0</v>
      </c>
      <c r="BD442" s="5">
        <f>$BB$25*(BC442+(1-BC442)*$BB$16)</f>
        <v>0.0</v>
      </c>
      <c r="BE442" s="13">
        <f>BD442*($BB$6+ACUTE_MARGIN)</f>
        <v>0.0</v>
      </c>
      <c r="BF442" s="13">
        <f>IF(BB442=1,$BB$31,$BB$32)</f>
        <v>152394.16214437486</v>
      </c>
      <c r="BG442" s="13">
        <f>BE442-BF442</f>
        <v>-152394.16214437486</v>
      </c>
      <c r="BH442" s="13">
        <f>BH441+BG442</f>
        <v>930680.7639915096</v>
      </c>
      <c r="BI442">
        <f>IF(BH442=MAX($BH$83:$BH$483),$A442,0)</f>
        <v>0</v>
      </c>
      <c r="BJ442">
        <f>IF(BE442&lt;BF442,$A442,B_MAX+1)</f>
        <v>359</v>
      </c>
      <c r="BK442" s="13">
        <f>IF(BB442=1,$BB$35,$BB$36)</f>
        <v>0</v>
      </c>
      <c r="BL442" s="13">
        <f>OCC_DAYS*$BB$41*R_NF_2023-BD442*MCD_SHARE_FREED*R_WAIT_2023</f>
        <v>151980.48282209205</v>
      </c>
      <c r="BM442">
        <f>IF($A442&lt;=$BB$45,1,0)</f>
        <v>0</v>
      </c>
      <c r="CB442">
        <f>IF($CB$31&lt;=$CB$32,IF($A442&lt;=$CB$7,1,2),IF($A442&lt;=RUNG_BEDS_2,2,1))</f>
        <v>2</v>
      </c>
      <c r="CC442" s="5">
        <f>MIN(1,MAX(0,$CB$26-($A442-1)))</f>
        <v>0</v>
      </c>
      <c r="CD442" s="5">
        <f>$CB$25*(CC442+(1-CC442)*$CB$16)</f>
        <v>0.0</v>
      </c>
      <c r="CE442" s="13">
        <f>CD442*($CB$6+ACUTE_MARGIN)</f>
        <v>0.0</v>
      </c>
      <c r="CF442" s="13">
        <f>IF(CB442=1,$CB$31,$CB$32)</f>
        <v>160718.36940738867</v>
      </c>
      <c r="CG442" s="13">
        <f>CE442-CF442</f>
        <v>-160718.36940738867</v>
      </c>
      <c r="CH442" s="13">
        <f>CH441+CG442</f>
        <v>-19468923.98898035</v>
      </c>
      <c r="CI442">
        <f>IF(CH442=MAX($CH$83:$CH$483),$A442,0)</f>
        <v>0</v>
      </c>
      <c r="CJ442">
        <f>IF(CE442&lt;CF442,$A442,B_MAX+1)</f>
        <v>359</v>
      </c>
      <c r="CK442" s="13">
        <f>IF(CB442=1,$CB$35,$CB$36)</f>
        <v>1560.1194073886782</v>
      </c>
      <c r="CL442" s="13">
        <f>OCC_DAYS*$CB$41*R_NF_2023-CD442*MCD_SHARE_FREED*R_WAIT_2023</f>
        <v>151980.48282209205</v>
      </c>
      <c r="CM442">
        <f>IF($A442&lt;=$CB$45,1,0)</f>
        <v>0</v>
      </c>
      <c r="DB442">
        <f>IF($DB$31&lt;=$DB$32,IF($A442&lt;=$DB$7,1,2),IF($A442&lt;=RUNG_BEDS_2,2,1))</f>
        <v>1</v>
      </c>
      <c r="DC442" s="5">
        <f>MIN(1,MAX(0,$DB$26-($A442-1)))</f>
        <v>0</v>
      </c>
      <c r="DD442" s="5">
        <f>$DB$25*(DC442+(1-DC442)*$DB$16)</f>
        <v>0.0</v>
      </c>
      <c r="DE442" s="13">
        <f>DD442*($DB$6+ACUTE_MARGIN)</f>
        <v>0.0</v>
      </c>
      <c r="DF442" s="13">
        <f>IF(DB442=1,$DB$31,$DB$32)</f>
        <v>152394.16214437486</v>
      </c>
      <c r="DG442" s="13">
        <f>DE442-DF442</f>
        <v>-152394.16214437486</v>
      </c>
      <c r="DH442" s="13">
        <f>DH441+DG442</f>
        <v>-16480533.581558205</v>
      </c>
      <c r="DI442">
        <f>IF(DH442=MAX($DH$83:$DH$483),$A442,0)</f>
        <v>0</v>
      </c>
      <c r="DJ442">
        <f>IF(DE442&lt;DF442,$A442,B_MAX+1)</f>
        <v>359</v>
      </c>
      <c r="DK442" s="13">
        <f>IF(DB442=1,$DB$35,$DB$36)</f>
        <v>0</v>
      </c>
      <c r="DL442" s="13">
        <f>OCC_DAYS*$DB$41*R_NF_2023-DD442*MCD_SHARE_FREED*R_WAIT_2023</f>
        <v>151980.48282209205</v>
      </c>
      <c r="DM442">
        <f>IF($A442&lt;=$DB$45,1,0)</f>
        <v>0</v>
      </c>
      <c r="EB442">
        <f>IF($EB$31&lt;=$EB$32,IF($A442&lt;=$EB$7,1,2),IF($A442&lt;=RUNG_BEDS_2,2,1))</f>
        <v>1</v>
      </c>
      <c r="EC442" s="5">
        <f>MIN(1,MAX(0,$EB$26-($A442-1)))</f>
        <v>0</v>
      </c>
      <c r="ED442" s="5">
        <f>$EB$25*(EC442+(1-EC442)*$EB$16)</f>
        <v>0.0</v>
      </c>
      <c r="EE442" s="13">
        <f>ED442*($EB$6+ACUTE_MARGIN)</f>
        <v>0.0</v>
      </c>
      <c r="EF442" s="13">
        <f>IF(EB442=1,$EB$31,$EB$32)</f>
        <v>152394.16214437486</v>
      </c>
      <c r="EG442" s="13">
        <f>EE442-EF442</f>
        <v>-152394.16214437486</v>
      </c>
      <c r="EH442" s="13">
        <f>EH441+EG442</f>
        <v>-16480533.581558205</v>
      </c>
      <c r="EI442">
        <f>IF(EH442=MAX($EH$83:$EH$483),$A442,0)</f>
        <v>0</v>
      </c>
      <c r="EJ442">
        <f>IF(EE442&lt;EF442,$A442,B_MAX+1)</f>
        <v>359</v>
      </c>
      <c r="EK442" s="13">
        <f>IF(EB442=1,$EB$35,$EB$36)</f>
        <v>0</v>
      </c>
      <c r="EL442" s="13">
        <f>OCC_DAYS*$EB$41*R_NF_2023-ED442*MCD_SHARE_FREED*R_WAIT_2023</f>
        <v>50660.16094069735</v>
      </c>
      <c r="EM442">
        <f>IF($A442&lt;=$EB$45,1,0)</f>
        <v>0</v>
      </c>
      <c r="FB442">
        <f>IF($FB$31&lt;=$FB$32,IF($A442&lt;=$FB$7,1,2),IF($A442&lt;=RUNG_BEDS_2,2,1))</f>
        <v>1</v>
      </c>
      <c r="FC442" s="5">
        <f>MIN(1,MAX(0,$FB$26-($A442-1)))</f>
        <v>0</v>
      </c>
      <c r="FD442" s="5">
        <f>$FB$25*(FC442+(1-FC442)*$FB$16)</f>
        <v>0.0</v>
      </c>
      <c r="FE442" s="13">
        <f>FD442*($FB$6+ACUTE_MARGIN)</f>
        <v>0.0</v>
      </c>
      <c r="FF442" s="13">
        <f>IF(FB442=1,$FB$31,$FB$32)</f>
        <v>156636.04979437485</v>
      </c>
      <c r="FG442" s="13">
        <f>FE442-FF442</f>
        <v>-156636.04979437485</v>
      </c>
      <c r="FH442" s="13">
        <f>FH441+FG442</f>
        <v>-18003371.24790832</v>
      </c>
      <c r="FI442">
        <f>IF(FH442=MAX($FH$83:$FH$483),$A442,0)</f>
        <v>0</v>
      </c>
      <c r="FJ442">
        <f>IF(FE442&lt;FF442,$A442,B_MAX+1)</f>
        <v>359</v>
      </c>
      <c r="FK442" s="13">
        <f>IF(FB442=1,$FB$35,$FB$36)</f>
        <v>0</v>
      </c>
      <c r="FL442" s="13">
        <f>OCC_DAYS*$FB$41*R_NF_2023-FD442*MCD_SHARE_FREED*R_WAIT_2023</f>
        <v>151980.48282209205</v>
      </c>
      <c r="FM442">
        <f>IF($A442&lt;=$FB$45,1,0)</f>
        <v>0</v>
      </c>
      <c r="GB442">
        <f>IF($GB$31&lt;=$GB$32,IF($A442&lt;=$GB$7,1,2),IF($A442&lt;=RUNG_BEDS_2,2,1))</f>
        <v>1</v>
      </c>
      <c r="GC442" s="5">
        <f>MIN(1,MAX(0,$GB$26-($A442-1)))</f>
        <v>0</v>
      </c>
      <c r="GD442" s="5">
        <f>$GB$25*(GC442+(1-GC442)*$GB$16)</f>
        <v>0.0</v>
      </c>
      <c r="GE442" s="13">
        <f>GD442*($GB$6+ACUTE_MARGIN)</f>
        <v>0.0</v>
      </c>
      <c r="GF442" s="13">
        <f>IF(GB442=1,$GB$31,$GB$32)</f>
        <v>152394.16214437486</v>
      </c>
      <c r="GG442" s="13">
        <f>GE442-GF442</f>
        <v>-152394.16214437486</v>
      </c>
      <c r="GH442" s="13">
        <f>GH441+GG442</f>
        <v>-16480533.581558205</v>
      </c>
      <c r="GI442">
        <f>IF(GH442=MAX($GH$83:$GH$483),$A442,0)</f>
        <v>0</v>
      </c>
      <c r="GJ442">
        <f>IF(GE442&lt;GF442,$A442,B_MAX+1)</f>
        <v>359</v>
      </c>
      <c r="GK442" s="13">
        <f>IF(GB442=1,$GB$35,$GB$36)</f>
        <v>0</v>
      </c>
      <c r="GL442" s="13">
        <f>OCC_DAYS*$GB$41*R_NF_2023-GD442*MCD_SHARE_FREED*R_WAIT_2023</f>
        <v>151980.48282209205</v>
      </c>
      <c r="GM442">
        <f>IF($A442&lt;=$GB$45,1,0)</f>
        <v>0</v>
      </c>
      <c r="HB442">
        <f>IF($HB$31&lt;=$HB$32,IF($A442&lt;=$HB$7,1,2),IF($A442&lt;=RUNG_BEDS_2,2,1))</f>
        <v>1</v>
      </c>
      <c r="HC442" s="5">
        <f>MIN(1,MAX(0,$HB$26-($A442-1)))</f>
        <v>0</v>
      </c>
      <c r="HD442" s="5">
        <f>$HB$25*(HC442+(1-HC442)*$HB$16)</f>
        <v>0.0</v>
      </c>
      <c r="HE442" s="13">
        <f>HD442*($HB$6+ACUTE_MARGIN)</f>
        <v>0.0</v>
      </c>
      <c r="HF442" s="13">
        <f>IF(HB442=1,$HB$31,$HB$32)</f>
        <v>152456.2970814058</v>
      </c>
      <c r="HG442" s="13">
        <f>HE442-HF442</f>
        <v>-152456.2970814058</v>
      </c>
      <c r="HH442" s="13">
        <f>HH441+HG442</f>
        <v>-16502840.02395237</v>
      </c>
      <c r="HI442">
        <f>IF(HH442=MAX($HH$83:$HH$483),$A442,0)</f>
        <v>0</v>
      </c>
      <c r="HJ442">
        <f>IF(HE442&lt;HF442,$A442,B_MAX+1)</f>
        <v>359</v>
      </c>
      <c r="HK442" s="13">
        <f>IF(HB442=1,$HB$35,$HB$36)</f>
        <v>0</v>
      </c>
      <c r="HL442" s="13">
        <f>OCC_DAYS*$HB$41*R_NF_2023-HD442*MCD_SHARE_FREED*R_WAIT_2023</f>
        <v>151980.48282209205</v>
      </c>
      <c r="HM442">
        <f>IF($A442&lt;=$HB$45,1,0)</f>
        <v>0</v>
      </c>
      <c r="IB442">
        <f>IF($IB$31&lt;=$IB$32,IF($A442&lt;=$IB$7,1,2),IF($A442&lt;=RUNG_BEDS_2,2,1))</f>
        <v>1</v>
      </c>
      <c r="IC442" s="5">
        <f>MIN(1,MAX(0,$IB$26-($A442-1)))</f>
        <v>0</v>
      </c>
      <c r="ID442" s="5">
        <f>$IB$25*(IC442+(1-IC442)*$IB$16)</f>
        <v>0.0</v>
      </c>
      <c r="IE442" s="13">
        <f>ID442*($IB$6+ACUTE_MARGIN)</f>
        <v>0.0</v>
      </c>
      <c r="IF442" s="13">
        <f>IF(IB442=1,$IB$31,$IB$32)</f>
        <v>152734.9994534971</v>
      </c>
      <c r="IG442" s="13">
        <f>IE442-IF442</f>
        <v>-152734.9994534971</v>
      </c>
      <c r="IH442" s="13">
        <f>IH441+IG442</f>
        <v>-16602894.175533168</v>
      </c>
      <c r="II442">
        <f>IF(IH442=MAX($IH$83:$IH$483),$A442,0)</f>
        <v>0</v>
      </c>
      <c r="IJ442">
        <f>IF(IE442&lt;IF442,$A442,B_MAX+1)</f>
        <v>359</v>
      </c>
      <c r="IK442" s="13">
        <f>IF(IB442=1,$IB$35,$IB$36)</f>
        <v>0</v>
      </c>
      <c r="IL442" s="13">
        <f>OCC_DAYS*$IB$41*R_NF_2023-ID442*MCD_SHARE_FREED*R_WAIT_2023</f>
        <v>151980.48282209205</v>
      </c>
      <c r="IM442">
        <f>IF($A442&lt;=$IB$45,1,0)</f>
        <v>0</v>
      </c>
      <c r="JB442">
        <f>IF($JB$31&lt;=$JB$32,IF($A442&lt;=$JB$7,1,2),IF($A442&lt;=RUNG_BEDS_2,2,1))</f>
        <v>1</v>
      </c>
      <c r="JC442" s="5">
        <f>MIN(1,MAX(0,$JB$26-($A442-1)))</f>
        <v>0</v>
      </c>
      <c r="JD442" s="5">
        <f>$JB$25*(JC442+(1-JC442)*$JB$16)</f>
        <v>0.0</v>
      </c>
      <c r="JE442" s="13">
        <f>JD442*($JB$6+ACUTE_MARGIN)</f>
        <v>0.0</v>
      </c>
      <c r="JF442" s="13">
        <f>IF(JB442=1,$JB$31,$JB$32)</f>
        <v>152394.16214437486</v>
      </c>
      <c r="JG442" s="13">
        <f>JE442-JF442</f>
        <v>-152394.16214437486</v>
      </c>
      <c r="JH442" s="13">
        <f>JH441+JG442</f>
        <v>-16480533.581558205</v>
      </c>
      <c r="JI442">
        <f>IF(JH442=MAX($JH$83:$JH$483),$A442,0)</f>
        <v>0</v>
      </c>
      <c r="JJ442">
        <f>IF(JE442&lt;JF442,$A442,B_MAX+1)</f>
        <v>359</v>
      </c>
      <c r="JK442" s="13">
        <f>IF(JB442=1,$JB$35,$JB$36)</f>
        <v>0</v>
      </c>
      <c r="JL442" s="13">
        <f>OCC_DAYS*$JB$41*R_NF_2023-JD442*MCD_SHARE_FREED*R_WAIT_2023</f>
        <v>151980.48282209205</v>
      </c>
      <c r="JM442">
        <f>IF($A442&lt;=$JB$45,1,0)</f>
        <v>0</v>
      </c>
      <c r="KB442">
        <f>IF($KB$31&lt;=$KB$32,IF($A442&lt;=$KB$7,1,2),IF($A442&lt;=RUNG_BEDS_2,2,1))</f>
        <v>1</v>
      </c>
      <c r="KC442" s="5">
        <f>MIN(1,MAX(0,$KB$26-($A442-1)))</f>
        <v>0</v>
      </c>
      <c r="KD442" s="5">
        <f>$KB$25*(KC442+(1-KC442)*$KB$16)</f>
        <v>0.0</v>
      </c>
      <c r="KE442" s="13">
        <f>KD442*($KB$6+ACUTE_MARGIN)</f>
        <v>0.0</v>
      </c>
      <c r="KF442" s="13">
        <f>IF(KB442=1,$KB$31,$KB$32)</f>
        <v>152394.16214437486</v>
      </c>
      <c r="KG442" s="13">
        <f>KE442-KF442</f>
        <v>-152394.16214437486</v>
      </c>
      <c r="KH442" s="13">
        <f>KH441+KG442</f>
        <v>-16480533.581558311</v>
      </c>
      <c r="KI442">
        <f>IF(KH442=MAX($KH$83:$KH$483),$A442,0)</f>
        <v>0</v>
      </c>
      <c r="KJ442">
        <f>IF(KE442&lt;KF442,$A442,B_MAX+1)</f>
        <v>359</v>
      </c>
      <c r="KK442" s="13">
        <f>IF(KB442=1,$KB$35,$KB$36)</f>
        <v>0</v>
      </c>
      <c r="KL442" s="13">
        <f>OCC_DAYS*$KB$41*R_NF_2023-KD442*MCD_SHARE_FREED*R_WAIT_2023</f>
        <v>151980.48282209205</v>
      </c>
      <c r="KM442">
        <f>IF($A442&lt;=$KB$45,1,0)</f>
        <v>0</v>
      </c>
      <c r="LB442">
        <f>IF($LB$31&lt;=$LB$32,IF($A442&lt;=$LB$7,1,2),IF($A442&lt;=RUNG_BEDS_2,2,1))</f>
        <v>1</v>
      </c>
      <c r="LC442" s="5">
        <f>MIN(1,MAX(0,$LB$26-($A442-1)))</f>
        <v>1</v>
      </c>
      <c r="LD442" s="5">
        <f>$LB$25*(LC442+(1-LC442)*$LB$16)</f>
        <v>84.01774238227146</v>
      </c>
      <c r="LE442" s="13">
        <f>LD442*($LB$6+ACUTE_MARGIN)</f>
        <v>84857.91980609419</v>
      </c>
      <c r="LF442" s="13">
        <f>IF(LB442=1,$LB$31,$LB$32)</f>
        <v>152394.16214437486</v>
      </c>
      <c r="LG442" s="13">
        <f>LE442-LF442</f>
        <v>-67536.24233828067</v>
      </c>
      <c r="LH442" s="13">
        <f>LH441+LG442</f>
        <v>-24245510.999442894</v>
      </c>
      <c r="LI442">
        <f>IF(LH442=MAX($LH$83:$LH$483),$A442,0)</f>
        <v>0</v>
      </c>
      <c r="LJ442">
        <f>IF(LE442&lt;LF442,$A442,B_MAX+1)</f>
        <v>359</v>
      </c>
      <c r="LK442" s="13">
        <f>IF(LB442=1,$LB$35,$LB$36)</f>
        <v>0</v>
      </c>
      <c r="LL442" s="13">
        <f>OCC_DAYS*$LB$41*R_NF_2023-LD442*MCD_SHARE_FREED*R_WAIT_2023</f>
        <v>113776.04162887059</v>
      </c>
      <c r="LM442">
        <f>IF($A442&lt;=$LB$45,1,0)</f>
        <v>0</v>
      </c>
      <c r="MB442">
        <f>IF($MB$31&lt;=$MB$32,IF($A442&lt;=$MB$7,1,2),IF($A442&lt;=RUNG_BEDS_2,2,1))</f>
        <v>1</v>
      </c>
      <c r="MC442" s="5">
        <f>MIN(1,MAX(0,$MB$26-($A442-1)))</f>
        <v>0</v>
      </c>
      <c r="MD442" s="5">
        <f>$MB$25*(MC442+(1-MC442)*$MB$16)</f>
        <v>0.0</v>
      </c>
      <c r="ME442" s="13">
        <f>MD442*($MB$6+ACUTE_MARGIN)</f>
        <v>0.0</v>
      </c>
      <c r="MF442" s="13">
        <f>IF(MB442=1,$MB$31,$MB$32)</f>
        <v>152394.16214437486</v>
      </c>
      <c r="MG442" s="13">
        <f>ME442-MF442</f>
        <v>-152394.16214437486</v>
      </c>
      <c r="MH442" s="13">
        <f>MH441+MG442</f>
        <v>-22367809.643356506</v>
      </c>
      <c r="MI442">
        <f>IF(MH442=MAX($MH$83:$MH$483),$A442,0)</f>
        <v>0</v>
      </c>
      <c r="MJ442">
        <f>IF(ME442&lt;MF442,$A442,B_MAX+1)</f>
        <v>359</v>
      </c>
      <c r="MK442" s="13">
        <f>IF(MB442=1,$MB$35,$MB$36)</f>
        <v>0</v>
      </c>
      <c r="ML442" s="13">
        <f>OCC_DAYS*$MB$41*R_NF_2023-MD442*MCD_SHARE_FREED*R_WAIT_2023</f>
        <v>151980.48282209205</v>
      </c>
      <c r="MM442">
        <f>IF($A442&lt;=$MB$45,1,0)</f>
        <v>0</v>
      </c>
      <c r="NB442">
        <f>IF($NB$31&lt;=$NB$32,IF($A442&lt;=$NB$7,1,2),IF($A442&lt;=RUNG_BEDS_2,2,1))</f>
        <v>1</v>
      </c>
      <c r="NC442" s="5">
        <f>MIN(1,MAX(0,$NB$26-($A442-1)))</f>
        <v>0</v>
      </c>
      <c r="ND442" s="5">
        <f>$NB$25*(NC442+(1-NC442)*$NB$16)</f>
        <v>63.013306786703595</v>
      </c>
      <c r="NE442" s="13">
        <f>ND442*($NB$6+ACUTE_MARGIN)</f>
        <v>63643.43985457063</v>
      </c>
      <c r="NF442" s="13">
        <f>IF(NB442=1,$NB$31,$NB$32)</f>
        <v>152394.16214437486</v>
      </c>
      <c r="NG442" s="13">
        <f>NE442-NF442</f>
        <v>-88750.72228980422</v>
      </c>
      <c r="NH442" s="13">
        <f>NH441+NG442</f>
        <v>-3189781.330835494</v>
      </c>
      <c r="NI442">
        <f>IF(NH442=MAX($NH$83:$NH$483),$A442,0)</f>
        <v>0</v>
      </c>
      <c r="NJ442">
        <f>IF(NE442&lt;NF442,$A442,B_MAX+1)</f>
        <v>359</v>
      </c>
      <c r="NK442" s="13">
        <f>IF(NB442=1,$NB$35,$NB$36)</f>
        <v>0</v>
      </c>
      <c r="NL442" s="13">
        <f>OCC_DAYS*$NB$41*R_NF_2023-ND442*MCD_SHARE_FREED*R_WAIT_2023</f>
        <v>123327.15192717595</v>
      </c>
      <c r="NM442">
        <f>IF($A442&lt;=$NB$45,1,0)</f>
        <v>0</v>
      </c>
      <c r="OB442">
        <f>IF($OB$31&lt;=$OB$32,IF($A442&lt;=$OB$7,1,2),IF($A442&lt;=RUNG_BEDS_2,2,1))</f>
        <v>1</v>
      </c>
      <c r="OC442" s="5">
        <f>MIN(1,MAX(0,$OB$26-($A442-1)))</f>
        <v>0</v>
      </c>
      <c r="OD442" s="5">
        <f>$OB$25*(OC442+(1-OC442)*$OB$16)</f>
        <v>126.02661357340719</v>
      </c>
      <c r="OE442" s="13">
        <f>OD442*($OB$6+ACUTE_MARGIN)</f>
        <v>127286.87970914126</v>
      </c>
      <c r="OF442" s="13">
        <f>IF(OB442=1,$OB$31,$OB$32)</f>
        <v>152394.16214437486</v>
      </c>
      <c r="OG442" s="13">
        <f>OE442-OF442</f>
        <v>-25107.282435233603</v>
      </c>
      <c r="OH442" s="13">
        <f>OH441+OG442</f>
        <v>10100970.919887492</v>
      </c>
      <c r="OI442">
        <f>IF(OH442=MAX($OH$83:$OH$483),$A442,0)</f>
        <v>0</v>
      </c>
      <c r="OJ442">
        <f>IF(OE442&lt;OF442,$A442,B_MAX+1)</f>
        <v>359</v>
      </c>
      <c r="OK442" s="13">
        <f>IF(OB442=1,$OB$35,$OB$36)</f>
        <v>0</v>
      </c>
      <c r="OL442" s="13">
        <f>OCC_DAYS*$OB$41*R_NF_2023-OD442*MCD_SHARE_FREED*R_WAIT_2023</f>
        <v>94673.82103225985</v>
      </c>
      <c r="OM442">
        <f>IF($A442&lt;=$OB$45,1,0)</f>
        <v>0</v>
      </c>
    </row>
    <row r="443">
      <c r="A443" t="n">
        <v>360</v>
      </c>
      <c r="B443">
        <f>IF($B$31&lt;=$B$32,IF($A443&lt;=$B$7,1,2),IF($A443&lt;=RUNG_BEDS_2,2,1))</f>
        <v>1</v>
      </c>
      <c r="C443" s="5">
        <f>MIN(1,MAX(0,$B$26-($A443-1)))</f>
        <v>0</v>
      </c>
      <c r="D443" s="5">
        <f>$B$25*(C443+(1-C443)*$B$16)</f>
        <v>0.0</v>
      </c>
      <c r="E443" s="13">
        <f>D443*($B$6+ACUTE_MARGIN)</f>
        <v>0.0</v>
      </c>
      <c r="F443" s="13">
        <f>IF(B443=1,$B$31,$B$32)</f>
        <v>152394.16214437486</v>
      </c>
      <c r="G443" s="13">
        <f>E443-F443</f>
        <v>-152394.16214437486</v>
      </c>
      <c r="H443" s="13">
        <f>H442+G443</f>
        <v>-16632927.74370258</v>
      </c>
      <c r="I443">
        <f>IF(H443=MAX($H$83:$H$483),$A443,0)</f>
        <v>0</v>
      </c>
      <c r="J443">
        <f>IF(E443&lt;F443,$A443,B_MAX+1)</f>
        <v>360</v>
      </c>
      <c r="K443" s="13">
        <f>IF(B443=1,$B$35,$B$36)</f>
        <v>0</v>
      </c>
      <c r="L443" s="13">
        <f>OCC_DAYS*$B$41*R_NF_2023-D443*MCD_SHARE_FREED*R_WAIT_2023</f>
        <v>151980.48282209205</v>
      </c>
      <c r="M443">
        <f>IF($A443&lt;=$B$45,1,0)</f>
        <v>0</v>
      </c>
      <c r="AB443">
        <f>IF($AB$31&lt;=$AB$32,IF($A443&lt;=$AB$7,1,2),IF($A443&lt;=RUNG_BEDS_2,2,1))</f>
        <v>1</v>
      </c>
      <c r="AC443" s="5">
        <f>MIN(1,MAX(0,$AB$26-($A443-1)))</f>
        <v>0</v>
      </c>
      <c r="AD443" s="5">
        <f>$AB$25*(AC443+(1-AC443)*$AB$16)</f>
        <v>0.0</v>
      </c>
      <c r="AE443" s="13">
        <f>AD443*($AB$6+ACUTE_MARGIN)</f>
        <v>0.0</v>
      </c>
      <c r="AF443" s="13">
        <f>IF(AB443=1,$AB$31,$AB$32)</f>
        <v>152394.16214437486</v>
      </c>
      <c r="AG443" s="13">
        <f>AE443-AF443</f>
        <v>-152394.16214437486</v>
      </c>
      <c r="AH443" s="13">
        <f>AH442+AG443</f>
        <v>-34044142.08925233</v>
      </c>
      <c r="AI443">
        <f>IF(AH443=MAX($AH$83:$AH$483),$A443,0)</f>
        <v>0</v>
      </c>
      <c r="AJ443">
        <f>IF(AE443&lt;AF443,$A443,B_MAX+1)</f>
        <v>360</v>
      </c>
      <c r="AK443" s="13">
        <f>IF(AB443=1,$AB$35,$AB$36)</f>
        <v>0</v>
      </c>
      <c r="AL443" s="13">
        <f>OCC_DAYS*$AB$41*R_NF_2023-AD443*MCD_SHARE_FREED*R_WAIT_2023</f>
        <v>151980.48282209205</v>
      </c>
      <c r="AM443">
        <f>IF($A443&lt;=$AB$45,1,0)</f>
        <v>0</v>
      </c>
      <c r="BB443">
        <f>IF($BB$31&lt;=$BB$32,IF($A443&lt;=$BB$7,1,2),IF($A443&lt;=RUNG_BEDS_2,2,1))</f>
        <v>1</v>
      </c>
      <c r="BC443" s="5">
        <f>MIN(1,MAX(0,$BB$26-($A443-1)))</f>
        <v>0</v>
      </c>
      <c r="BD443" s="5">
        <f>$BB$25*(BC443+(1-BC443)*$BB$16)</f>
        <v>0.0</v>
      </c>
      <c r="BE443" s="13">
        <f>BD443*($BB$6+ACUTE_MARGIN)</f>
        <v>0.0</v>
      </c>
      <c r="BF443" s="13">
        <f>IF(BB443=1,$BB$31,$BB$32)</f>
        <v>152394.16214437486</v>
      </c>
      <c r="BG443" s="13">
        <f>BE443-BF443</f>
        <v>-152394.16214437486</v>
      </c>
      <c r="BH443" s="13">
        <f>BH442+BG443</f>
        <v>778286.6018471348</v>
      </c>
      <c r="BI443">
        <f>IF(BH443=MAX($BH$83:$BH$483),$A443,0)</f>
        <v>0</v>
      </c>
      <c r="BJ443">
        <f>IF(BE443&lt;BF443,$A443,B_MAX+1)</f>
        <v>360</v>
      </c>
      <c r="BK443" s="13">
        <f>IF(BB443=1,$BB$35,$BB$36)</f>
        <v>0</v>
      </c>
      <c r="BL443" s="13">
        <f>OCC_DAYS*$BB$41*R_NF_2023-BD443*MCD_SHARE_FREED*R_WAIT_2023</f>
        <v>151980.48282209205</v>
      </c>
      <c r="BM443">
        <f>IF($A443&lt;=$BB$45,1,0)</f>
        <v>0</v>
      </c>
      <c r="CB443">
        <f>IF($CB$31&lt;=$CB$32,IF($A443&lt;=$CB$7,1,2),IF($A443&lt;=RUNG_BEDS_2,2,1))</f>
        <v>2</v>
      </c>
      <c r="CC443" s="5">
        <f>MIN(1,MAX(0,$CB$26-($A443-1)))</f>
        <v>0</v>
      </c>
      <c r="CD443" s="5">
        <f>$CB$25*(CC443+(1-CC443)*$CB$16)</f>
        <v>0.0</v>
      </c>
      <c r="CE443" s="13">
        <f>CD443*($CB$6+ACUTE_MARGIN)</f>
        <v>0.0</v>
      </c>
      <c r="CF443" s="13">
        <f>IF(CB443=1,$CB$31,$CB$32)</f>
        <v>160718.36940738867</v>
      </c>
      <c r="CG443" s="13">
        <f>CE443-CF443</f>
        <v>-160718.36940738867</v>
      </c>
      <c r="CH443" s="13">
        <f>CH442+CG443</f>
        <v>-19629642.35838774</v>
      </c>
      <c r="CI443">
        <f>IF(CH443=MAX($CH$83:$CH$483),$A443,0)</f>
        <v>0</v>
      </c>
      <c r="CJ443">
        <f>IF(CE443&lt;CF443,$A443,B_MAX+1)</f>
        <v>360</v>
      </c>
      <c r="CK443" s="13">
        <f>IF(CB443=1,$CB$35,$CB$36)</f>
        <v>1560.1194073886782</v>
      </c>
      <c r="CL443" s="13">
        <f>OCC_DAYS*$CB$41*R_NF_2023-CD443*MCD_SHARE_FREED*R_WAIT_2023</f>
        <v>151980.48282209205</v>
      </c>
      <c r="CM443">
        <f>IF($A443&lt;=$CB$45,1,0)</f>
        <v>0</v>
      </c>
      <c r="DB443">
        <f>IF($DB$31&lt;=$DB$32,IF($A443&lt;=$DB$7,1,2),IF($A443&lt;=RUNG_BEDS_2,2,1))</f>
        <v>1</v>
      </c>
      <c r="DC443" s="5">
        <f>MIN(1,MAX(0,$DB$26-($A443-1)))</f>
        <v>0</v>
      </c>
      <c r="DD443" s="5">
        <f>$DB$25*(DC443+(1-DC443)*$DB$16)</f>
        <v>0.0</v>
      </c>
      <c r="DE443" s="13">
        <f>DD443*($DB$6+ACUTE_MARGIN)</f>
        <v>0.0</v>
      </c>
      <c r="DF443" s="13">
        <f>IF(DB443=1,$DB$31,$DB$32)</f>
        <v>152394.16214437486</v>
      </c>
      <c r="DG443" s="13">
        <f>DE443-DF443</f>
        <v>-152394.16214437486</v>
      </c>
      <c r="DH443" s="13">
        <f>DH442+DG443</f>
        <v>-16632927.74370258</v>
      </c>
      <c r="DI443">
        <f>IF(DH443=MAX($DH$83:$DH$483),$A443,0)</f>
        <v>0</v>
      </c>
      <c r="DJ443">
        <f>IF(DE443&lt;DF443,$A443,B_MAX+1)</f>
        <v>360</v>
      </c>
      <c r="DK443" s="13">
        <f>IF(DB443=1,$DB$35,$DB$36)</f>
        <v>0</v>
      </c>
      <c r="DL443" s="13">
        <f>OCC_DAYS*$DB$41*R_NF_2023-DD443*MCD_SHARE_FREED*R_WAIT_2023</f>
        <v>151980.48282209205</v>
      </c>
      <c r="DM443">
        <f>IF($A443&lt;=$DB$45,1,0)</f>
        <v>0</v>
      </c>
      <c r="EB443">
        <f>IF($EB$31&lt;=$EB$32,IF($A443&lt;=$EB$7,1,2),IF($A443&lt;=RUNG_BEDS_2,2,1))</f>
        <v>1</v>
      </c>
      <c r="EC443" s="5">
        <f>MIN(1,MAX(0,$EB$26-($A443-1)))</f>
        <v>0</v>
      </c>
      <c r="ED443" s="5">
        <f>$EB$25*(EC443+(1-EC443)*$EB$16)</f>
        <v>0.0</v>
      </c>
      <c r="EE443" s="13">
        <f>ED443*($EB$6+ACUTE_MARGIN)</f>
        <v>0.0</v>
      </c>
      <c r="EF443" s="13">
        <f>IF(EB443=1,$EB$31,$EB$32)</f>
        <v>152394.16214437486</v>
      </c>
      <c r="EG443" s="13">
        <f>EE443-EF443</f>
        <v>-152394.16214437486</v>
      </c>
      <c r="EH443" s="13">
        <f>EH442+EG443</f>
        <v>-16632927.74370258</v>
      </c>
      <c r="EI443">
        <f>IF(EH443=MAX($EH$83:$EH$483),$A443,0)</f>
        <v>0</v>
      </c>
      <c r="EJ443">
        <f>IF(EE443&lt;EF443,$A443,B_MAX+1)</f>
        <v>360</v>
      </c>
      <c r="EK443" s="13">
        <f>IF(EB443=1,$EB$35,$EB$36)</f>
        <v>0</v>
      </c>
      <c r="EL443" s="13">
        <f>OCC_DAYS*$EB$41*R_NF_2023-ED443*MCD_SHARE_FREED*R_WAIT_2023</f>
        <v>50660.16094069735</v>
      </c>
      <c r="EM443">
        <f>IF($A443&lt;=$EB$45,1,0)</f>
        <v>0</v>
      </c>
      <c r="FB443">
        <f>IF($FB$31&lt;=$FB$32,IF($A443&lt;=$FB$7,1,2),IF($A443&lt;=RUNG_BEDS_2,2,1))</f>
        <v>1</v>
      </c>
      <c r="FC443" s="5">
        <f>MIN(1,MAX(0,$FB$26-($A443-1)))</f>
        <v>0</v>
      </c>
      <c r="FD443" s="5">
        <f>$FB$25*(FC443+(1-FC443)*$FB$16)</f>
        <v>0.0</v>
      </c>
      <c r="FE443" s="13">
        <f>FD443*($FB$6+ACUTE_MARGIN)</f>
        <v>0.0</v>
      </c>
      <c r="FF443" s="13">
        <f>IF(FB443=1,$FB$31,$FB$32)</f>
        <v>156636.04979437485</v>
      </c>
      <c r="FG443" s="13">
        <f>FE443-FF443</f>
        <v>-156636.04979437485</v>
      </c>
      <c r="FH443" s="13">
        <f>FH442+FG443</f>
        <v>-18160007.297702696</v>
      </c>
      <c r="FI443">
        <f>IF(FH443=MAX($FH$83:$FH$483),$A443,0)</f>
        <v>0</v>
      </c>
      <c r="FJ443">
        <f>IF(FE443&lt;FF443,$A443,B_MAX+1)</f>
        <v>360</v>
      </c>
      <c r="FK443" s="13">
        <f>IF(FB443=1,$FB$35,$FB$36)</f>
        <v>0</v>
      </c>
      <c r="FL443" s="13">
        <f>OCC_DAYS*$FB$41*R_NF_2023-FD443*MCD_SHARE_FREED*R_WAIT_2023</f>
        <v>151980.48282209205</v>
      </c>
      <c r="FM443">
        <f>IF($A443&lt;=$FB$45,1,0)</f>
        <v>0</v>
      </c>
      <c r="GB443">
        <f>IF($GB$31&lt;=$GB$32,IF($A443&lt;=$GB$7,1,2),IF($A443&lt;=RUNG_BEDS_2,2,1))</f>
        <v>1</v>
      </c>
      <c r="GC443" s="5">
        <f>MIN(1,MAX(0,$GB$26-($A443-1)))</f>
        <v>0</v>
      </c>
      <c r="GD443" s="5">
        <f>$GB$25*(GC443+(1-GC443)*$GB$16)</f>
        <v>0.0</v>
      </c>
      <c r="GE443" s="13">
        <f>GD443*($GB$6+ACUTE_MARGIN)</f>
        <v>0.0</v>
      </c>
      <c r="GF443" s="13">
        <f>IF(GB443=1,$GB$31,$GB$32)</f>
        <v>152394.16214437486</v>
      </c>
      <c r="GG443" s="13">
        <f>GE443-GF443</f>
        <v>-152394.16214437486</v>
      </c>
      <c r="GH443" s="13">
        <f>GH442+GG443</f>
        <v>-16632927.74370258</v>
      </c>
      <c r="GI443">
        <f>IF(GH443=MAX($GH$83:$GH$483),$A443,0)</f>
        <v>0</v>
      </c>
      <c r="GJ443">
        <f>IF(GE443&lt;GF443,$A443,B_MAX+1)</f>
        <v>360</v>
      </c>
      <c r="GK443" s="13">
        <f>IF(GB443=1,$GB$35,$GB$36)</f>
        <v>0</v>
      </c>
      <c r="GL443" s="13">
        <f>OCC_DAYS*$GB$41*R_NF_2023-GD443*MCD_SHARE_FREED*R_WAIT_2023</f>
        <v>151980.48282209205</v>
      </c>
      <c r="GM443">
        <f>IF($A443&lt;=$GB$45,1,0)</f>
        <v>0</v>
      </c>
      <c r="HB443">
        <f>IF($HB$31&lt;=$HB$32,IF($A443&lt;=$HB$7,1,2),IF($A443&lt;=RUNG_BEDS_2,2,1))</f>
        <v>1</v>
      </c>
      <c r="HC443" s="5">
        <f>MIN(1,MAX(0,$HB$26-($A443-1)))</f>
        <v>0</v>
      </c>
      <c r="HD443" s="5">
        <f>$HB$25*(HC443+(1-HC443)*$HB$16)</f>
        <v>0.0</v>
      </c>
      <c r="HE443" s="13">
        <f>HD443*($HB$6+ACUTE_MARGIN)</f>
        <v>0.0</v>
      </c>
      <c r="HF443" s="13">
        <f>IF(HB443=1,$HB$31,$HB$32)</f>
        <v>152456.2970814058</v>
      </c>
      <c r="HG443" s="13">
        <f>HE443-HF443</f>
        <v>-152456.2970814058</v>
      </c>
      <c r="HH443" s="13">
        <f>HH442+HG443</f>
        <v>-16655296.321033776</v>
      </c>
      <c r="HI443">
        <f>IF(HH443=MAX($HH$83:$HH$483),$A443,0)</f>
        <v>0</v>
      </c>
      <c r="HJ443">
        <f>IF(HE443&lt;HF443,$A443,B_MAX+1)</f>
        <v>360</v>
      </c>
      <c r="HK443" s="13">
        <f>IF(HB443=1,$HB$35,$HB$36)</f>
        <v>0</v>
      </c>
      <c r="HL443" s="13">
        <f>OCC_DAYS*$HB$41*R_NF_2023-HD443*MCD_SHARE_FREED*R_WAIT_2023</f>
        <v>151980.48282209205</v>
      </c>
      <c r="HM443">
        <f>IF($A443&lt;=$HB$45,1,0)</f>
        <v>0</v>
      </c>
      <c r="IB443">
        <f>IF($IB$31&lt;=$IB$32,IF($A443&lt;=$IB$7,1,2),IF($A443&lt;=RUNG_BEDS_2,2,1))</f>
        <v>1</v>
      </c>
      <c r="IC443" s="5">
        <f>MIN(1,MAX(0,$IB$26-($A443-1)))</f>
        <v>0</v>
      </c>
      <c r="ID443" s="5">
        <f>$IB$25*(IC443+(1-IC443)*$IB$16)</f>
        <v>0.0</v>
      </c>
      <c r="IE443" s="13">
        <f>ID443*($IB$6+ACUTE_MARGIN)</f>
        <v>0.0</v>
      </c>
      <c r="IF443" s="13">
        <f>IF(IB443=1,$IB$31,$IB$32)</f>
        <v>152734.9994534971</v>
      </c>
      <c r="IG443" s="13">
        <f>IE443-IF443</f>
        <v>-152734.9994534971</v>
      </c>
      <c r="IH443" s="13">
        <f>IH442+IG443</f>
        <v>-16755629.174986664</v>
      </c>
      <c r="II443">
        <f>IF(IH443=MAX($IH$83:$IH$483),$A443,0)</f>
        <v>0</v>
      </c>
      <c r="IJ443">
        <f>IF(IE443&lt;IF443,$A443,B_MAX+1)</f>
        <v>360</v>
      </c>
      <c r="IK443" s="13">
        <f>IF(IB443=1,$IB$35,$IB$36)</f>
        <v>0</v>
      </c>
      <c r="IL443" s="13">
        <f>OCC_DAYS*$IB$41*R_NF_2023-ID443*MCD_SHARE_FREED*R_WAIT_2023</f>
        <v>151980.48282209205</v>
      </c>
      <c r="IM443">
        <f>IF($A443&lt;=$IB$45,1,0)</f>
        <v>0</v>
      </c>
      <c r="JB443">
        <f>IF($JB$31&lt;=$JB$32,IF($A443&lt;=$JB$7,1,2),IF($A443&lt;=RUNG_BEDS_2,2,1))</f>
        <v>1</v>
      </c>
      <c r="JC443" s="5">
        <f>MIN(1,MAX(0,$JB$26-($A443-1)))</f>
        <v>0</v>
      </c>
      <c r="JD443" s="5">
        <f>$JB$25*(JC443+(1-JC443)*$JB$16)</f>
        <v>0.0</v>
      </c>
      <c r="JE443" s="13">
        <f>JD443*($JB$6+ACUTE_MARGIN)</f>
        <v>0.0</v>
      </c>
      <c r="JF443" s="13">
        <f>IF(JB443=1,$JB$31,$JB$32)</f>
        <v>152394.16214437486</v>
      </c>
      <c r="JG443" s="13">
        <f>JE443-JF443</f>
        <v>-152394.16214437486</v>
      </c>
      <c r="JH443" s="13">
        <f>JH442+JG443</f>
        <v>-16632927.74370258</v>
      </c>
      <c r="JI443">
        <f>IF(JH443=MAX($JH$83:$JH$483),$A443,0)</f>
        <v>0</v>
      </c>
      <c r="JJ443">
        <f>IF(JE443&lt;JF443,$A443,B_MAX+1)</f>
        <v>360</v>
      </c>
      <c r="JK443" s="13">
        <f>IF(JB443=1,$JB$35,$JB$36)</f>
        <v>0</v>
      </c>
      <c r="JL443" s="13">
        <f>OCC_DAYS*$JB$41*R_NF_2023-JD443*MCD_SHARE_FREED*R_WAIT_2023</f>
        <v>151980.48282209205</v>
      </c>
      <c r="JM443">
        <f>IF($A443&lt;=$JB$45,1,0)</f>
        <v>0</v>
      </c>
      <c r="KB443">
        <f>IF($KB$31&lt;=$KB$32,IF($A443&lt;=$KB$7,1,2),IF($A443&lt;=RUNG_BEDS_2,2,1))</f>
        <v>1</v>
      </c>
      <c r="KC443" s="5">
        <f>MIN(1,MAX(0,$KB$26-($A443-1)))</f>
        <v>0</v>
      </c>
      <c r="KD443" s="5">
        <f>$KB$25*(KC443+(1-KC443)*$KB$16)</f>
        <v>0.0</v>
      </c>
      <c r="KE443" s="13">
        <f>KD443*($KB$6+ACUTE_MARGIN)</f>
        <v>0.0</v>
      </c>
      <c r="KF443" s="13">
        <f>IF(KB443=1,$KB$31,$KB$32)</f>
        <v>152394.16214437486</v>
      </c>
      <c r="KG443" s="13">
        <f>KE443-KF443</f>
        <v>-152394.16214437486</v>
      </c>
      <c r="KH443" s="13">
        <f>KH442+KG443</f>
        <v>-16632927.743702685</v>
      </c>
      <c r="KI443">
        <f>IF(KH443=MAX($KH$83:$KH$483),$A443,0)</f>
        <v>0</v>
      </c>
      <c r="KJ443">
        <f>IF(KE443&lt;KF443,$A443,B_MAX+1)</f>
        <v>360</v>
      </c>
      <c r="KK443" s="13">
        <f>IF(KB443=1,$KB$35,$KB$36)</f>
        <v>0</v>
      </c>
      <c r="KL443" s="13">
        <f>OCC_DAYS*$KB$41*R_NF_2023-KD443*MCD_SHARE_FREED*R_WAIT_2023</f>
        <v>151980.48282209205</v>
      </c>
      <c r="KM443">
        <f>IF($A443&lt;=$KB$45,1,0)</f>
        <v>0</v>
      </c>
      <c r="LB443">
        <f>IF($LB$31&lt;=$LB$32,IF($A443&lt;=$LB$7,1,2),IF($A443&lt;=RUNG_BEDS_2,2,1))</f>
        <v>1</v>
      </c>
      <c r="LC443" s="5">
        <f>MIN(1,MAX(0,$LB$26-($A443-1)))</f>
        <v>1</v>
      </c>
      <c r="LD443" s="5">
        <f>$LB$25*(LC443+(1-LC443)*$LB$16)</f>
        <v>84.01774238227146</v>
      </c>
      <c r="LE443" s="13">
        <f>LD443*($LB$6+ACUTE_MARGIN)</f>
        <v>84857.91980609419</v>
      </c>
      <c r="LF443" s="13">
        <f>IF(LB443=1,$LB$31,$LB$32)</f>
        <v>152394.16214437486</v>
      </c>
      <c r="LG443" s="13">
        <f>LE443-LF443</f>
        <v>-67536.24233828067</v>
      </c>
      <c r="LH443" s="13">
        <f>LH442+LG443</f>
        <v>-24313047.241781175</v>
      </c>
      <c r="LI443">
        <f>IF(LH443=MAX($LH$83:$LH$483),$A443,0)</f>
        <v>0</v>
      </c>
      <c r="LJ443">
        <f>IF(LE443&lt;LF443,$A443,B_MAX+1)</f>
        <v>360</v>
      </c>
      <c r="LK443" s="13">
        <f>IF(LB443=1,$LB$35,$LB$36)</f>
        <v>0</v>
      </c>
      <c r="LL443" s="13">
        <f>OCC_DAYS*$LB$41*R_NF_2023-LD443*MCD_SHARE_FREED*R_WAIT_2023</f>
        <v>113776.04162887059</v>
      </c>
      <c r="LM443">
        <f>IF($A443&lt;=$LB$45,1,0)</f>
        <v>0</v>
      </c>
      <c r="MB443">
        <f>IF($MB$31&lt;=$MB$32,IF($A443&lt;=$MB$7,1,2),IF($A443&lt;=RUNG_BEDS_2,2,1))</f>
        <v>1</v>
      </c>
      <c r="MC443" s="5">
        <f>MIN(1,MAX(0,$MB$26-($A443-1)))</f>
        <v>0</v>
      </c>
      <c r="MD443" s="5">
        <f>$MB$25*(MC443+(1-MC443)*$MB$16)</f>
        <v>0.0</v>
      </c>
      <c r="ME443" s="13">
        <f>MD443*($MB$6+ACUTE_MARGIN)</f>
        <v>0.0</v>
      </c>
      <c r="MF443" s="13">
        <f>IF(MB443=1,$MB$31,$MB$32)</f>
        <v>152394.16214437486</v>
      </c>
      <c r="MG443" s="13">
        <f>ME443-MF443</f>
        <v>-152394.16214437486</v>
      </c>
      <c r="MH443" s="13">
        <f>MH442+MG443</f>
        <v>-22520203.80550088</v>
      </c>
      <c r="MI443">
        <f>IF(MH443=MAX($MH$83:$MH$483),$A443,0)</f>
        <v>0</v>
      </c>
      <c r="MJ443">
        <f>IF(ME443&lt;MF443,$A443,B_MAX+1)</f>
        <v>360</v>
      </c>
      <c r="MK443" s="13">
        <f>IF(MB443=1,$MB$35,$MB$36)</f>
        <v>0</v>
      </c>
      <c r="ML443" s="13">
        <f>OCC_DAYS*$MB$41*R_NF_2023-MD443*MCD_SHARE_FREED*R_WAIT_2023</f>
        <v>151980.48282209205</v>
      </c>
      <c r="MM443">
        <f>IF($A443&lt;=$MB$45,1,0)</f>
        <v>0</v>
      </c>
      <c r="NB443">
        <f>IF($NB$31&lt;=$NB$32,IF($A443&lt;=$NB$7,1,2),IF($A443&lt;=RUNG_BEDS_2,2,1))</f>
        <v>1</v>
      </c>
      <c r="NC443" s="5">
        <f>MIN(1,MAX(0,$NB$26-($A443-1)))</f>
        <v>0</v>
      </c>
      <c r="ND443" s="5">
        <f>$NB$25*(NC443+(1-NC443)*$NB$16)</f>
        <v>63.013306786703595</v>
      </c>
      <c r="NE443" s="13">
        <f>ND443*($NB$6+ACUTE_MARGIN)</f>
        <v>63643.43985457063</v>
      </c>
      <c r="NF443" s="13">
        <f>IF(NB443=1,$NB$31,$NB$32)</f>
        <v>152394.16214437486</v>
      </c>
      <c r="NG443" s="13">
        <f>NE443-NF443</f>
        <v>-88750.72228980422</v>
      </c>
      <c r="NH443" s="13">
        <f>NH442+NG443</f>
        <v>-3278532.0531252986</v>
      </c>
      <c r="NI443">
        <f>IF(NH443=MAX($NH$83:$NH$483),$A443,0)</f>
        <v>0</v>
      </c>
      <c r="NJ443">
        <f>IF(NE443&lt;NF443,$A443,B_MAX+1)</f>
        <v>360</v>
      </c>
      <c r="NK443" s="13">
        <f>IF(NB443=1,$NB$35,$NB$36)</f>
        <v>0</v>
      </c>
      <c r="NL443" s="13">
        <f>OCC_DAYS*$NB$41*R_NF_2023-ND443*MCD_SHARE_FREED*R_WAIT_2023</f>
        <v>123327.15192717595</v>
      </c>
      <c r="NM443">
        <f>IF($A443&lt;=$NB$45,1,0)</f>
        <v>0</v>
      </c>
      <c r="OB443">
        <f>IF($OB$31&lt;=$OB$32,IF($A443&lt;=$OB$7,1,2),IF($A443&lt;=RUNG_BEDS_2,2,1))</f>
        <v>1</v>
      </c>
      <c r="OC443" s="5">
        <f>MIN(1,MAX(0,$OB$26-($A443-1)))</f>
        <v>0</v>
      </c>
      <c r="OD443" s="5">
        <f>$OB$25*(OC443+(1-OC443)*$OB$16)</f>
        <v>126.02661357340719</v>
      </c>
      <c r="OE443" s="13">
        <f>OD443*($OB$6+ACUTE_MARGIN)</f>
        <v>127286.87970914126</v>
      </c>
      <c r="OF443" s="13">
        <f>IF(OB443=1,$OB$31,$OB$32)</f>
        <v>152394.16214437486</v>
      </c>
      <c r="OG443" s="13">
        <f>OE443-OF443</f>
        <v>-25107.282435233603</v>
      </c>
      <c r="OH443" s="13">
        <f>OH442+OG443</f>
        <v>10075863.63745226</v>
      </c>
      <c r="OI443">
        <f>IF(OH443=MAX($OH$83:$OH$483),$A443,0)</f>
        <v>0</v>
      </c>
      <c r="OJ443">
        <f>IF(OE443&lt;OF443,$A443,B_MAX+1)</f>
        <v>360</v>
      </c>
      <c r="OK443" s="13">
        <f>IF(OB443=1,$OB$35,$OB$36)</f>
        <v>0</v>
      </c>
      <c r="OL443" s="13">
        <f>OCC_DAYS*$OB$41*R_NF_2023-OD443*MCD_SHARE_FREED*R_WAIT_2023</f>
        <v>94673.82103225985</v>
      </c>
      <c r="OM443">
        <f>IF($A443&lt;=$OB$45,1,0)</f>
        <v>0</v>
      </c>
    </row>
    <row r="444">
      <c r="A444" t="n">
        <v>361</v>
      </c>
      <c r="B444">
        <f>IF($B$31&lt;=$B$32,IF($A444&lt;=$B$7,1,2),IF($A444&lt;=RUNG_BEDS_2,2,1))</f>
        <v>1</v>
      </c>
      <c r="C444" s="5">
        <f>MIN(1,MAX(0,$B$26-($A444-1)))</f>
        <v>0</v>
      </c>
      <c r="D444" s="5">
        <f>$B$25*(C444+(1-C444)*$B$16)</f>
        <v>0.0</v>
      </c>
      <c r="E444" s="13">
        <f>D444*($B$6+ACUTE_MARGIN)</f>
        <v>0.0</v>
      </c>
      <c r="F444" s="13">
        <f>IF(B444=1,$B$31,$B$32)</f>
        <v>152394.16214437486</v>
      </c>
      <c r="G444" s="13">
        <f>E444-F444</f>
        <v>-152394.16214437486</v>
      </c>
      <c r="H444" s="13">
        <f>H443+G444</f>
        <v>-16785321.905846953</v>
      </c>
      <c r="I444">
        <f>IF(H444=MAX($H$83:$H$483),$A444,0)</f>
        <v>0</v>
      </c>
      <c r="J444">
        <f>IF(E444&lt;F444,$A444,B_MAX+1)</f>
        <v>361</v>
      </c>
      <c r="K444" s="13">
        <f>IF(B444=1,$B$35,$B$36)</f>
        <v>0</v>
      </c>
      <c r="L444" s="13">
        <f>OCC_DAYS*$B$41*R_NF_2023-D444*MCD_SHARE_FREED*R_WAIT_2023</f>
        <v>151980.48282209205</v>
      </c>
      <c r="M444">
        <f>IF($A444&lt;=$B$45,1,0)</f>
        <v>0</v>
      </c>
      <c r="AB444">
        <f>IF($AB$31&lt;=$AB$32,IF($A444&lt;=$AB$7,1,2),IF($A444&lt;=RUNG_BEDS_2,2,1))</f>
        <v>1</v>
      </c>
      <c r="AC444" s="5">
        <f>MIN(1,MAX(0,$AB$26-($A444-1)))</f>
        <v>0</v>
      </c>
      <c r="AD444" s="5">
        <f>$AB$25*(AC444+(1-AC444)*$AB$16)</f>
        <v>0.0</v>
      </c>
      <c r="AE444" s="13">
        <f>AD444*($AB$6+ACUTE_MARGIN)</f>
        <v>0.0</v>
      </c>
      <c r="AF444" s="13">
        <f>IF(AB444=1,$AB$31,$AB$32)</f>
        <v>152394.16214437486</v>
      </c>
      <c r="AG444" s="13">
        <f>AE444-AF444</f>
        <v>-152394.16214437486</v>
      </c>
      <c r="AH444" s="13">
        <f>AH443+AG444</f>
        <v>-34196536.25139671</v>
      </c>
      <c r="AI444">
        <f>IF(AH444=MAX($AH$83:$AH$483),$A444,0)</f>
        <v>0</v>
      </c>
      <c r="AJ444">
        <f>IF(AE444&lt;AF444,$A444,B_MAX+1)</f>
        <v>361</v>
      </c>
      <c r="AK444" s="13">
        <f>IF(AB444=1,$AB$35,$AB$36)</f>
        <v>0</v>
      </c>
      <c r="AL444" s="13">
        <f>OCC_DAYS*$AB$41*R_NF_2023-AD444*MCD_SHARE_FREED*R_WAIT_2023</f>
        <v>151980.48282209205</v>
      </c>
      <c r="AM444">
        <f>IF($A444&lt;=$AB$45,1,0)</f>
        <v>0</v>
      </c>
      <c r="BB444">
        <f>IF($BB$31&lt;=$BB$32,IF($A444&lt;=$BB$7,1,2),IF($A444&lt;=RUNG_BEDS_2,2,1))</f>
        <v>1</v>
      </c>
      <c r="BC444" s="5">
        <f>MIN(1,MAX(0,$BB$26-($A444-1)))</f>
        <v>0</v>
      </c>
      <c r="BD444" s="5">
        <f>$BB$25*(BC444+(1-BC444)*$BB$16)</f>
        <v>0.0</v>
      </c>
      <c r="BE444" s="13">
        <f>BD444*($BB$6+ACUTE_MARGIN)</f>
        <v>0.0</v>
      </c>
      <c r="BF444" s="13">
        <f>IF(BB444=1,$BB$31,$BB$32)</f>
        <v>152394.16214437486</v>
      </c>
      <c r="BG444" s="13">
        <f>BE444-BF444</f>
        <v>-152394.16214437486</v>
      </c>
      <c r="BH444" s="13">
        <f>BH443+BG444</f>
        <v>625892.43970276</v>
      </c>
      <c r="BI444">
        <f>IF(BH444=MAX($BH$83:$BH$483),$A444,0)</f>
        <v>0</v>
      </c>
      <c r="BJ444">
        <f>IF(BE444&lt;BF444,$A444,B_MAX+1)</f>
        <v>361</v>
      </c>
      <c r="BK444" s="13">
        <f>IF(BB444=1,$BB$35,$BB$36)</f>
        <v>0</v>
      </c>
      <c r="BL444" s="13">
        <f>OCC_DAYS*$BB$41*R_NF_2023-BD444*MCD_SHARE_FREED*R_WAIT_2023</f>
        <v>151980.48282209205</v>
      </c>
      <c r="BM444">
        <f>IF($A444&lt;=$BB$45,1,0)</f>
        <v>0</v>
      </c>
      <c r="CB444">
        <f>IF($CB$31&lt;=$CB$32,IF($A444&lt;=$CB$7,1,2),IF($A444&lt;=RUNG_BEDS_2,2,1))</f>
        <v>2</v>
      </c>
      <c r="CC444" s="5">
        <f>MIN(1,MAX(0,$CB$26-($A444-1)))</f>
        <v>0</v>
      </c>
      <c r="CD444" s="5">
        <f>$CB$25*(CC444+(1-CC444)*$CB$16)</f>
        <v>0.0</v>
      </c>
      <c r="CE444" s="13">
        <f>CD444*($CB$6+ACUTE_MARGIN)</f>
        <v>0.0</v>
      </c>
      <c r="CF444" s="13">
        <f>IF(CB444=1,$CB$31,$CB$32)</f>
        <v>160718.36940738867</v>
      </c>
      <c r="CG444" s="13">
        <f>CE444-CF444</f>
        <v>-160718.36940738867</v>
      </c>
      <c r="CH444" s="13">
        <f>CH443+CG444</f>
        <v>-19790360.727795128</v>
      </c>
      <c r="CI444">
        <f>IF(CH444=MAX($CH$83:$CH$483),$A444,0)</f>
        <v>0</v>
      </c>
      <c r="CJ444">
        <f>IF(CE444&lt;CF444,$A444,B_MAX+1)</f>
        <v>361</v>
      </c>
      <c r="CK444" s="13">
        <f>IF(CB444=1,$CB$35,$CB$36)</f>
        <v>1560.1194073886782</v>
      </c>
      <c r="CL444" s="13">
        <f>OCC_DAYS*$CB$41*R_NF_2023-CD444*MCD_SHARE_FREED*R_WAIT_2023</f>
        <v>151980.48282209205</v>
      </c>
      <c r="CM444">
        <f>IF($A444&lt;=$CB$45,1,0)</f>
        <v>0</v>
      </c>
      <c r="DB444">
        <f>IF($DB$31&lt;=$DB$32,IF($A444&lt;=$DB$7,1,2),IF($A444&lt;=RUNG_BEDS_2,2,1))</f>
        <v>1</v>
      </c>
      <c r="DC444" s="5">
        <f>MIN(1,MAX(0,$DB$26-($A444-1)))</f>
        <v>0</v>
      </c>
      <c r="DD444" s="5">
        <f>$DB$25*(DC444+(1-DC444)*$DB$16)</f>
        <v>0.0</v>
      </c>
      <c r="DE444" s="13">
        <f>DD444*($DB$6+ACUTE_MARGIN)</f>
        <v>0.0</v>
      </c>
      <c r="DF444" s="13">
        <f>IF(DB444=1,$DB$31,$DB$32)</f>
        <v>152394.16214437486</v>
      </c>
      <c r="DG444" s="13">
        <f>DE444-DF444</f>
        <v>-152394.16214437486</v>
      </c>
      <c r="DH444" s="13">
        <f>DH443+DG444</f>
        <v>-16785321.905846953</v>
      </c>
      <c r="DI444">
        <f>IF(DH444=MAX($DH$83:$DH$483),$A444,0)</f>
        <v>0</v>
      </c>
      <c r="DJ444">
        <f>IF(DE444&lt;DF444,$A444,B_MAX+1)</f>
        <v>361</v>
      </c>
      <c r="DK444" s="13">
        <f>IF(DB444=1,$DB$35,$DB$36)</f>
        <v>0</v>
      </c>
      <c r="DL444" s="13">
        <f>OCC_DAYS*$DB$41*R_NF_2023-DD444*MCD_SHARE_FREED*R_WAIT_2023</f>
        <v>151980.48282209205</v>
      </c>
      <c r="DM444">
        <f>IF($A444&lt;=$DB$45,1,0)</f>
        <v>0</v>
      </c>
      <c r="EB444">
        <f>IF($EB$31&lt;=$EB$32,IF($A444&lt;=$EB$7,1,2),IF($A444&lt;=RUNG_BEDS_2,2,1))</f>
        <v>1</v>
      </c>
      <c r="EC444" s="5">
        <f>MIN(1,MAX(0,$EB$26-($A444-1)))</f>
        <v>0</v>
      </c>
      <c r="ED444" s="5">
        <f>$EB$25*(EC444+(1-EC444)*$EB$16)</f>
        <v>0.0</v>
      </c>
      <c r="EE444" s="13">
        <f>ED444*($EB$6+ACUTE_MARGIN)</f>
        <v>0.0</v>
      </c>
      <c r="EF444" s="13">
        <f>IF(EB444=1,$EB$31,$EB$32)</f>
        <v>152394.16214437486</v>
      </c>
      <c r="EG444" s="13">
        <f>EE444-EF444</f>
        <v>-152394.16214437486</v>
      </c>
      <c r="EH444" s="13">
        <f>EH443+EG444</f>
        <v>-16785321.905846953</v>
      </c>
      <c r="EI444">
        <f>IF(EH444=MAX($EH$83:$EH$483),$A444,0)</f>
        <v>0</v>
      </c>
      <c r="EJ444">
        <f>IF(EE444&lt;EF444,$A444,B_MAX+1)</f>
        <v>361</v>
      </c>
      <c r="EK444" s="13">
        <f>IF(EB444=1,$EB$35,$EB$36)</f>
        <v>0</v>
      </c>
      <c r="EL444" s="13">
        <f>OCC_DAYS*$EB$41*R_NF_2023-ED444*MCD_SHARE_FREED*R_WAIT_2023</f>
        <v>50660.16094069735</v>
      </c>
      <c r="EM444">
        <f>IF($A444&lt;=$EB$45,1,0)</f>
        <v>0</v>
      </c>
      <c r="FB444">
        <f>IF($FB$31&lt;=$FB$32,IF($A444&lt;=$FB$7,1,2),IF($A444&lt;=RUNG_BEDS_2,2,1))</f>
        <v>1</v>
      </c>
      <c r="FC444" s="5">
        <f>MIN(1,MAX(0,$FB$26-($A444-1)))</f>
        <v>0</v>
      </c>
      <c r="FD444" s="5">
        <f>$FB$25*(FC444+(1-FC444)*$FB$16)</f>
        <v>0.0</v>
      </c>
      <c r="FE444" s="13">
        <f>FD444*($FB$6+ACUTE_MARGIN)</f>
        <v>0.0</v>
      </c>
      <c r="FF444" s="13">
        <f>IF(FB444=1,$FB$31,$FB$32)</f>
        <v>156636.04979437485</v>
      </c>
      <c r="FG444" s="13">
        <f>FE444-FF444</f>
        <v>-156636.04979437485</v>
      </c>
      <c r="FH444" s="13">
        <f>FH443+FG444</f>
        <v>-18316643.347497072</v>
      </c>
      <c r="FI444">
        <f>IF(FH444=MAX($FH$83:$FH$483),$A444,0)</f>
        <v>0</v>
      </c>
      <c r="FJ444">
        <f>IF(FE444&lt;FF444,$A444,B_MAX+1)</f>
        <v>361</v>
      </c>
      <c r="FK444" s="13">
        <f>IF(FB444=1,$FB$35,$FB$36)</f>
        <v>0</v>
      </c>
      <c r="FL444" s="13">
        <f>OCC_DAYS*$FB$41*R_NF_2023-FD444*MCD_SHARE_FREED*R_WAIT_2023</f>
        <v>151980.48282209205</v>
      </c>
      <c r="FM444">
        <f>IF($A444&lt;=$FB$45,1,0)</f>
        <v>0</v>
      </c>
      <c r="GB444">
        <f>IF($GB$31&lt;=$GB$32,IF($A444&lt;=$GB$7,1,2),IF($A444&lt;=RUNG_BEDS_2,2,1))</f>
        <v>1</v>
      </c>
      <c r="GC444" s="5">
        <f>MIN(1,MAX(0,$GB$26-($A444-1)))</f>
        <v>0</v>
      </c>
      <c r="GD444" s="5">
        <f>$GB$25*(GC444+(1-GC444)*$GB$16)</f>
        <v>0.0</v>
      </c>
      <c r="GE444" s="13">
        <f>GD444*($GB$6+ACUTE_MARGIN)</f>
        <v>0.0</v>
      </c>
      <c r="GF444" s="13">
        <f>IF(GB444=1,$GB$31,$GB$32)</f>
        <v>152394.16214437486</v>
      </c>
      <c r="GG444" s="13">
        <f>GE444-GF444</f>
        <v>-152394.16214437486</v>
      </c>
      <c r="GH444" s="13">
        <f>GH443+GG444</f>
        <v>-16785321.905846953</v>
      </c>
      <c r="GI444">
        <f>IF(GH444=MAX($GH$83:$GH$483),$A444,0)</f>
        <v>0</v>
      </c>
      <c r="GJ444">
        <f>IF(GE444&lt;GF444,$A444,B_MAX+1)</f>
        <v>361</v>
      </c>
      <c r="GK444" s="13">
        <f>IF(GB444=1,$GB$35,$GB$36)</f>
        <v>0</v>
      </c>
      <c r="GL444" s="13">
        <f>OCC_DAYS*$GB$41*R_NF_2023-GD444*MCD_SHARE_FREED*R_WAIT_2023</f>
        <v>151980.48282209205</v>
      </c>
      <c r="GM444">
        <f>IF($A444&lt;=$GB$45,1,0)</f>
        <v>0</v>
      </c>
      <c r="HB444">
        <f>IF($HB$31&lt;=$HB$32,IF($A444&lt;=$HB$7,1,2),IF($A444&lt;=RUNG_BEDS_2,2,1))</f>
        <v>1</v>
      </c>
      <c r="HC444" s="5">
        <f>MIN(1,MAX(0,$HB$26-($A444-1)))</f>
        <v>0</v>
      </c>
      <c r="HD444" s="5">
        <f>$HB$25*(HC444+(1-HC444)*$HB$16)</f>
        <v>0.0</v>
      </c>
      <c r="HE444" s="13">
        <f>HD444*($HB$6+ACUTE_MARGIN)</f>
        <v>0.0</v>
      </c>
      <c r="HF444" s="13">
        <f>IF(HB444=1,$HB$31,$HB$32)</f>
        <v>152456.2970814058</v>
      </c>
      <c r="HG444" s="13">
        <f>HE444-HF444</f>
        <v>-152456.2970814058</v>
      </c>
      <c r="HH444" s="13">
        <f>HH443+HG444</f>
        <v>-16807752.618115183</v>
      </c>
      <c r="HI444">
        <f>IF(HH444=MAX($HH$83:$HH$483),$A444,0)</f>
        <v>0</v>
      </c>
      <c r="HJ444">
        <f>IF(HE444&lt;HF444,$A444,B_MAX+1)</f>
        <v>361</v>
      </c>
      <c r="HK444" s="13">
        <f>IF(HB444=1,$HB$35,$HB$36)</f>
        <v>0</v>
      </c>
      <c r="HL444" s="13">
        <f>OCC_DAYS*$HB$41*R_NF_2023-HD444*MCD_SHARE_FREED*R_WAIT_2023</f>
        <v>151980.48282209205</v>
      </c>
      <c r="HM444">
        <f>IF($A444&lt;=$HB$45,1,0)</f>
        <v>0</v>
      </c>
      <c r="IB444">
        <f>IF($IB$31&lt;=$IB$32,IF($A444&lt;=$IB$7,1,2),IF($A444&lt;=RUNG_BEDS_2,2,1))</f>
        <v>1</v>
      </c>
      <c r="IC444" s="5">
        <f>MIN(1,MAX(0,$IB$26-($A444-1)))</f>
        <v>0</v>
      </c>
      <c r="ID444" s="5">
        <f>$IB$25*(IC444+(1-IC444)*$IB$16)</f>
        <v>0.0</v>
      </c>
      <c r="IE444" s="13">
        <f>ID444*($IB$6+ACUTE_MARGIN)</f>
        <v>0.0</v>
      </c>
      <c r="IF444" s="13">
        <f>IF(IB444=1,$IB$31,$IB$32)</f>
        <v>152734.9994534971</v>
      </c>
      <c r="IG444" s="13">
        <f>IE444-IF444</f>
        <v>-152734.9994534971</v>
      </c>
      <c r="IH444" s="13">
        <f>IH443+IG444</f>
        <v>-16908364.17444016</v>
      </c>
      <c r="II444">
        <f>IF(IH444=MAX($IH$83:$IH$483),$A444,0)</f>
        <v>0</v>
      </c>
      <c r="IJ444">
        <f>IF(IE444&lt;IF444,$A444,B_MAX+1)</f>
        <v>361</v>
      </c>
      <c r="IK444" s="13">
        <f>IF(IB444=1,$IB$35,$IB$36)</f>
        <v>0</v>
      </c>
      <c r="IL444" s="13">
        <f>OCC_DAYS*$IB$41*R_NF_2023-ID444*MCD_SHARE_FREED*R_WAIT_2023</f>
        <v>151980.48282209205</v>
      </c>
      <c r="IM444">
        <f>IF($A444&lt;=$IB$45,1,0)</f>
        <v>0</v>
      </c>
      <c r="JB444">
        <f>IF($JB$31&lt;=$JB$32,IF($A444&lt;=$JB$7,1,2),IF($A444&lt;=RUNG_BEDS_2,2,1))</f>
        <v>1</v>
      </c>
      <c r="JC444" s="5">
        <f>MIN(1,MAX(0,$JB$26-($A444-1)))</f>
        <v>0</v>
      </c>
      <c r="JD444" s="5">
        <f>$JB$25*(JC444+(1-JC444)*$JB$16)</f>
        <v>0.0</v>
      </c>
      <c r="JE444" s="13">
        <f>JD444*($JB$6+ACUTE_MARGIN)</f>
        <v>0.0</v>
      </c>
      <c r="JF444" s="13">
        <f>IF(JB444=1,$JB$31,$JB$32)</f>
        <v>152394.16214437486</v>
      </c>
      <c r="JG444" s="13">
        <f>JE444-JF444</f>
        <v>-152394.16214437486</v>
      </c>
      <c r="JH444" s="13">
        <f>JH443+JG444</f>
        <v>-16785321.905846953</v>
      </c>
      <c r="JI444">
        <f>IF(JH444=MAX($JH$83:$JH$483),$A444,0)</f>
        <v>0</v>
      </c>
      <c r="JJ444">
        <f>IF(JE444&lt;JF444,$A444,B_MAX+1)</f>
        <v>361</v>
      </c>
      <c r="JK444" s="13">
        <f>IF(JB444=1,$JB$35,$JB$36)</f>
        <v>0</v>
      </c>
      <c r="JL444" s="13">
        <f>OCC_DAYS*$JB$41*R_NF_2023-JD444*MCD_SHARE_FREED*R_WAIT_2023</f>
        <v>151980.48282209205</v>
      </c>
      <c r="JM444">
        <f>IF($A444&lt;=$JB$45,1,0)</f>
        <v>0</v>
      </c>
      <c r="KB444">
        <f>IF($KB$31&lt;=$KB$32,IF($A444&lt;=$KB$7,1,2),IF($A444&lt;=RUNG_BEDS_2,2,1))</f>
        <v>1</v>
      </c>
      <c r="KC444" s="5">
        <f>MIN(1,MAX(0,$KB$26-($A444-1)))</f>
        <v>0</v>
      </c>
      <c r="KD444" s="5">
        <f>$KB$25*(KC444+(1-KC444)*$KB$16)</f>
        <v>0.0</v>
      </c>
      <c r="KE444" s="13">
        <f>KD444*($KB$6+ACUTE_MARGIN)</f>
        <v>0.0</v>
      </c>
      <c r="KF444" s="13">
        <f>IF(KB444=1,$KB$31,$KB$32)</f>
        <v>152394.16214437486</v>
      </c>
      <c r="KG444" s="13">
        <f>KE444-KF444</f>
        <v>-152394.16214437486</v>
      </c>
      <c r="KH444" s="13">
        <f>KH443+KG444</f>
        <v>-16785321.90584706</v>
      </c>
      <c r="KI444">
        <f>IF(KH444=MAX($KH$83:$KH$483),$A444,0)</f>
        <v>0</v>
      </c>
      <c r="KJ444">
        <f>IF(KE444&lt;KF444,$A444,B_MAX+1)</f>
        <v>361</v>
      </c>
      <c r="KK444" s="13">
        <f>IF(KB444=1,$KB$35,$KB$36)</f>
        <v>0</v>
      </c>
      <c r="KL444" s="13">
        <f>OCC_DAYS*$KB$41*R_NF_2023-KD444*MCD_SHARE_FREED*R_WAIT_2023</f>
        <v>151980.48282209205</v>
      </c>
      <c r="KM444">
        <f>IF($A444&lt;=$KB$45,1,0)</f>
        <v>0</v>
      </c>
      <c r="LB444">
        <f>IF($LB$31&lt;=$LB$32,IF($A444&lt;=$LB$7,1,2),IF($A444&lt;=RUNG_BEDS_2,2,1))</f>
        <v>1</v>
      </c>
      <c r="LC444" s="5">
        <f>MIN(1,MAX(0,$LB$26-($A444-1)))</f>
        <v>1</v>
      </c>
      <c r="LD444" s="5">
        <f>$LB$25*(LC444+(1-LC444)*$LB$16)</f>
        <v>84.01774238227146</v>
      </c>
      <c r="LE444" s="13">
        <f>LD444*($LB$6+ACUTE_MARGIN)</f>
        <v>84857.91980609419</v>
      </c>
      <c r="LF444" s="13">
        <f>IF(LB444=1,$LB$31,$LB$32)</f>
        <v>152394.16214437486</v>
      </c>
      <c r="LG444" s="13">
        <f>LE444-LF444</f>
        <v>-67536.24233828067</v>
      </c>
      <c r="LH444" s="13">
        <f>LH443+LG444</f>
        <v>-24380583.484119456</v>
      </c>
      <c r="LI444">
        <f>IF(LH444=MAX($LH$83:$LH$483),$A444,0)</f>
        <v>0</v>
      </c>
      <c r="LJ444">
        <f>IF(LE444&lt;LF444,$A444,B_MAX+1)</f>
        <v>361</v>
      </c>
      <c r="LK444" s="13">
        <f>IF(LB444=1,$LB$35,$LB$36)</f>
        <v>0</v>
      </c>
      <c r="LL444" s="13">
        <f>OCC_DAYS*$LB$41*R_NF_2023-LD444*MCD_SHARE_FREED*R_WAIT_2023</f>
        <v>113776.04162887059</v>
      </c>
      <c r="LM444">
        <f>IF($A444&lt;=$LB$45,1,0)</f>
        <v>0</v>
      </c>
      <c r="MB444">
        <f>IF($MB$31&lt;=$MB$32,IF($A444&lt;=$MB$7,1,2),IF($A444&lt;=RUNG_BEDS_2,2,1))</f>
        <v>1</v>
      </c>
      <c r="MC444" s="5">
        <f>MIN(1,MAX(0,$MB$26-($A444-1)))</f>
        <v>0</v>
      </c>
      <c r="MD444" s="5">
        <f>$MB$25*(MC444+(1-MC444)*$MB$16)</f>
        <v>0.0</v>
      </c>
      <c r="ME444" s="13">
        <f>MD444*($MB$6+ACUTE_MARGIN)</f>
        <v>0.0</v>
      </c>
      <c r="MF444" s="13">
        <f>IF(MB444=1,$MB$31,$MB$32)</f>
        <v>152394.16214437486</v>
      </c>
      <c r="MG444" s="13">
        <f>ME444-MF444</f>
        <v>-152394.16214437486</v>
      </c>
      <c r="MH444" s="13">
        <f>MH443+MG444</f>
        <v>-22672597.967645254</v>
      </c>
      <c r="MI444">
        <f>IF(MH444=MAX($MH$83:$MH$483),$A444,0)</f>
        <v>0</v>
      </c>
      <c r="MJ444">
        <f>IF(ME444&lt;MF444,$A444,B_MAX+1)</f>
        <v>361</v>
      </c>
      <c r="MK444" s="13">
        <f>IF(MB444=1,$MB$35,$MB$36)</f>
        <v>0</v>
      </c>
      <c r="ML444" s="13">
        <f>OCC_DAYS*$MB$41*R_NF_2023-MD444*MCD_SHARE_FREED*R_WAIT_2023</f>
        <v>151980.48282209205</v>
      </c>
      <c r="MM444">
        <f>IF($A444&lt;=$MB$45,1,0)</f>
        <v>0</v>
      </c>
      <c r="NB444">
        <f>IF($NB$31&lt;=$NB$32,IF($A444&lt;=$NB$7,1,2),IF($A444&lt;=RUNG_BEDS_2,2,1))</f>
        <v>1</v>
      </c>
      <c r="NC444" s="5">
        <f>MIN(1,MAX(0,$NB$26-($A444-1)))</f>
        <v>0</v>
      </c>
      <c r="ND444" s="5">
        <f>$NB$25*(NC444+(1-NC444)*$NB$16)</f>
        <v>63.013306786703595</v>
      </c>
      <c r="NE444" s="13">
        <f>ND444*($NB$6+ACUTE_MARGIN)</f>
        <v>63643.43985457063</v>
      </c>
      <c r="NF444" s="13">
        <f>IF(NB444=1,$NB$31,$NB$32)</f>
        <v>152394.16214437486</v>
      </c>
      <c r="NG444" s="13">
        <f>NE444-NF444</f>
        <v>-88750.72228980422</v>
      </c>
      <c r="NH444" s="13">
        <f>NH443+NG444</f>
        <v>-3367282.775415103</v>
      </c>
      <c r="NI444">
        <f>IF(NH444=MAX($NH$83:$NH$483),$A444,0)</f>
        <v>0</v>
      </c>
      <c r="NJ444">
        <f>IF(NE444&lt;NF444,$A444,B_MAX+1)</f>
        <v>361</v>
      </c>
      <c r="NK444" s="13">
        <f>IF(NB444=1,$NB$35,$NB$36)</f>
        <v>0</v>
      </c>
      <c r="NL444" s="13">
        <f>OCC_DAYS*$NB$41*R_NF_2023-ND444*MCD_SHARE_FREED*R_WAIT_2023</f>
        <v>123327.15192717595</v>
      </c>
      <c r="NM444">
        <f>IF($A444&lt;=$NB$45,1,0)</f>
        <v>0</v>
      </c>
      <c r="OB444">
        <f>IF($OB$31&lt;=$OB$32,IF($A444&lt;=$OB$7,1,2),IF($A444&lt;=RUNG_BEDS_2,2,1))</f>
        <v>1</v>
      </c>
      <c r="OC444" s="5">
        <f>MIN(1,MAX(0,$OB$26-($A444-1)))</f>
        <v>0</v>
      </c>
      <c r="OD444" s="5">
        <f>$OB$25*(OC444+(1-OC444)*$OB$16)</f>
        <v>126.02661357340719</v>
      </c>
      <c r="OE444" s="13">
        <f>OD444*($OB$6+ACUTE_MARGIN)</f>
        <v>127286.87970914126</v>
      </c>
      <c r="OF444" s="13">
        <f>IF(OB444=1,$OB$31,$OB$32)</f>
        <v>152394.16214437486</v>
      </c>
      <c r="OG444" s="13">
        <f>OE444-OF444</f>
        <v>-25107.282435233603</v>
      </c>
      <c r="OH444" s="13">
        <f>OH443+OG444</f>
        <v>10050756.355017027</v>
      </c>
      <c r="OI444">
        <f>IF(OH444=MAX($OH$83:$OH$483),$A444,0)</f>
        <v>0</v>
      </c>
      <c r="OJ444">
        <f>IF(OE444&lt;OF444,$A444,B_MAX+1)</f>
        <v>361</v>
      </c>
      <c r="OK444" s="13">
        <f>IF(OB444=1,$OB$35,$OB$36)</f>
        <v>0</v>
      </c>
      <c r="OL444" s="13">
        <f>OCC_DAYS*$OB$41*R_NF_2023-OD444*MCD_SHARE_FREED*R_WAIT_2023</f>
        <v>94673.82103225985</v>
      </c>
      <c r="OM444">
        <f>IF($A444&lt;=$OB$45,1,0)</f>
        <v>0</v>
      </c>
    </row>
    <row r="445">
      <c r="A445" t="n">
        <v>362</v>
      </c>
      <c r="B445">
        <f>IF($B$31&lt;=$B$32,IF($A445&lt;=$B$7,1,2),IF($A445&lt;=RUNG_BEDS_2,2,1))</f>
        <v>1</v>
      </c>
      <c r="C445" s="5">
        <f>MIN(1,MAX(0,$B$26-($A445-1)))</f>
        <v>0</v>
      </c>
      <c r="D445" s="5">
        <f>$B$25*(C445+(1-C445)*$B$16)</f>
        <v>0.0</v>
      </c>
      <c r="E445" s="13">
        <f>D445*($B$6+ACUTE_MARGIN)</f>
        <v>0.0</v>
      </c>
      <c r="F445" s="13">
        <f>IF(B445=1,$B$31,$B$32)</f>
        <v>152394.16214437486</v>
      </c>
      <c r="G445" s="13">
        <f>E445-F445</f>
        <v>-152394.16214437486</v>
      </c>
      <c r="H445" s="13">
        <f>H444+G445</f>
        <v>-16937716.067991327</v>
      </c>
      <c r="I445">
        <f>IF(H445=MAX($H$83:$H$483),$A445,0)</f>
        <v>0</v>
      </c>
      <c r="J445">
        <f>IF(E445&lt;F445,$A445,B_MAX+1)</f>
        <v>362</v>
      </c>
      <c r="K445" s="13">
        <f>IF(B445=1,$B$35,$B$36)</f>
        <v>0</v>
      </c>
      <c r="L445" s="13">
        <f>OCC_DAYS*$B$41*R_NF_2023-D445*MCD_SHARE_FREED*R_WAIT_2023</f>
        <v>151980.48282209205</v>
      </c>
      <c r="M445">
        <f>IF($A445&lt;=$B$45,1,0)</f>
        <v>0</v>
      </c>
      <c r="AB445">
        <f>IF($AB$31&lt;=$AB$32,IF($A445&lt;=$AB$7,1,2),IF($A445&lt;=RUNG_BEDS_2,2,1))</f>
        <v>1</v>
      </c>
      <c r="AC445" s="5">
        <f>MIN(1,MAX(0,$AB$26-($A445-1)))</f>
        <v>0</v>
      </c>
      <c r="AD445" s="5">
        <f>$AB$25*(AC445+(1-AC445)*$AB$16)</f>
        <v>0.0</v>
      </c>
      <c r="AE445" s="13">
        <f>AD445*($AB$6+ACUTE_MARGIN)</f>
        <v>0.0</v>
      </c>
      <c r="AF445" s="13">
        <f>IF(AB445=1,$AB$31,$AB$32)</f>
        <v>152394.16214437486</v>
      </c>
      <c r="AG445" s="13">
        <f>AE445-AF445</f>
        <v>-152394.16214437486</v>
      </c>
      <c r="AH445" s="13">
        <f>AH444+AG445</f>
        <v>-34348930.413541086</v>
      </c>
      <c r="AI445">
        <f>IF(AH445=MAX($AH$83:$AH$483),$A445,0)</f>
        <v>0</v>
      </c>
      <c r="AJ445">
        <f>IF(AE445&lt;AF445,$A445,B_MAX+1)</f>
        <v>362</v>
      </c>
      <c r="AK445" s="13">
        <f>IF(AB445=1,$AB$35,$AB$36)</f>
        <v>0</v>
      </c>
      <c r="AL445" s="13">
        <f>OCC_DAYS*$AB$41*R_NF_2023-AD445*MCD_SHARE_FREED*R_WAIT_2023</f>
        <v>151980.48282209205</v>
      </c>
      <c r="AM445">
        <f>IF($A445&lt;=$AB$45,1,0)</f>
        <v>0</v>
      </c>
      <c r="BB445">
        <f>IF($BB$31&lt;=$BB$32,IF($A445&lt;=$BB$7,1,2),IF($A445&lt;=RUNG_BEDS_2,2,1))</f>
        <v>1</v>
      </c>
      <c r="BC445" s="5">
        <f>MIN(1,MAX(0,$BB$26-($A445-1)))</f>
        <v>0</v>
      </c>
      <c r="BD445" s="5">
        <f>$BB$25*(BC445+(1-BC445)*$BB$16)</f>
        <v>0.0</v>
      </c>
      <c r="BE445" s="13">
        <f>BD445*($BB$6+ACUTE_MARGIN)</f>
        <v>0.0</v>
      </c>
      <c r="BF445" s="13">
        <f>IF(BB445=1,$BB$31,$BB$32)</f>
        <v>152394.16214437486</v>
      </c>
      <c r="BG445" s="13">
        <f>BE445-BF445</f>
        <v>-152394.16214437486</v>
      </c>
      <c r="BH445" s="13">
        <f>BH444+BG445</f>
        <v>473498.2775583851</v>
      </c>
      <c r="BI445">
        <f>IF(BH445=MAX($BH$83:$BH$483),$A445,0)</f>
        <v>0</v>
      </c>
      <c r="BJ445">
        <f>IF(BE445&lt;BF445,$A445,B_MAX+1)</f>
        <v>362</v>
      </c>
      <c r="BK445" s="13">
        <f>IF(BB445=1,$BB$35,$BB$36)</f>
        <v>0</v>
      </c>
      <c r="BL445" s="13">
        <f>OCC_DAYS*$BB$41*R_NF_2023-BD445*MCD_SHARE_FREED*R_WAIT_2023</f>
        <v>151980.48282209205</v>
      </c>
      <c r="BM445">
        <f>IF($A445&lt;=$BB$45,1,0)</f>
        <v>0</v>
      </c>
      <c r="CB445">
        <f>IF($CB$31&lt;=$CB$32,IF($A445&lt;=$CB$7,1,2),IF($A445&lt;=RUNG_BEDS_2,2,1))</f>
        <v>2</v>
      </c>
      <c r="CC445" s="5">
        <f>MIN(1,MAX(0,$CB$26-($A445-1)))</f>
        <v>0</v>
      </c>
      <c r="CD445" s="5">
        <f>$CB$25*(CC445+(1-CC445)*$CB$16)</f>
        <v>0.0</v>
      </c>
      <c r="CE445" s="13">
        <f>CD445*($CB$6+ACUTE_MARGIN)</f>
        <v>0.0</v>
      </c>
      <c r="CF445" s="13">
        <f>IF(CB445=1,$CB$31,$CB$32)</f>
        <v>160718.36940738867</v>
      </c>
      <c r="CG445" s="13">
        <f>CE445-CF445</f>
        <v>-160718.36940738867</v>
      </c>
      <c r="CH445" s="13">
        <f>CH444+CG445</f>
        <v>-19951079.097202517</v>
      </c>
      <c r="CI445">
        <f>IF(CH445=MAX($CH$83:$CH$483),$A445,0)</f>
        <v>0</v>
      </c>
      <c r="CJ445">
        <f>IF(CE445&lt;CF445,$A445,B_MAX+1)</f>
        <v>362</v>
      </c>
      <c r="CK445" s="13">
        <f>IF(CB445=1,$CB$35,$CB$36)</f>
        <v>1560.1194073886782</v>
      </c>
      <c r="CL445" s="13">
        <f>OCC_DAYS*$CB$41*R_NF_2023-CD445*MCD_SHARE_FREED*R_WAIT_2023</f>
        <v>151980.48282209205</v>
      </c>
      <c r="CM445">
        <f>IF($A445&lt;=$CB$45,1,0)</f>
        <v>0</v>
      </c>
      <c r="DB445">
        <f>IF($DB$31&lt;=$DB$32,IF($A445&lt;=$DB$7,1,2),IF($A445&lt;=RUNG_BEDS_2,2,1))</f>
        <v>1</v>
      </c>
      <c r="DC445" s="5">
        <f>MIN(1,MAX(0,$DB$26-($A445-1)))</f>
        <v>0</v>
      </c>
      <c r="DD445" s="5">
        <f>$DB$25*(DC445+(1-DC445)*$DB$16)</f>
        <v>0.0</v>
      </c>
      <c r="DE445" s="13">
        <f>DD445*($DB$6+ACUTE_MARGIN)</f>
        <v>0.0</v>
      </c>
      <c r="DF445" s="13">
        <f>IF(DB445=1,$DB$31,$DB$32)</f>
        <v>152394.16214437486</v>
      </c>
      <c r="DG445" s="13">
        <f>DE445-DF445</f>
        <v>-152394.16214437486</v>
      </c>
      <c r="DH445" s="13">
        <f>DH444+DG445</f>
        <v>-16937716.067991327</v>
      </c>
      <c r="DI445">
        <f>IF(DH445=MAX($DH$83:$DH$483),$A445,0)</f>
        <v>0</v>
      </c>
      <c r="DJ445">
        <f>IF(DE445&lt;DF445,$A445,B_MAX+1)</f>
        <v>362</v>
      </c>
      <c r="DK445" s="13">
        <f>IF(DB445=1,$DB$35,$DB$36)</f>
        <v>0</v>
      </c>
      <c r="DL445" s="13">
        <f>OCC_DAYS*$DB$41*R_NF_2023-DD445*MCD_SHARE_FREED*R_WAIT_2023</f>
        <v>151980.48282209205</v>
      </c>
      <c r="DM445">
        <f>IF($A445&lt;=$DB$45,1,0)</f>
        <v>0</v>
      </c>
      <c r="EB445">
        <f>IF($EB$31&lt;=$EB$32,IF($A445&lt;=$EB$7,1,2),IF($A445&lt;=RUNG_BEDS_2,2,1))</f>
        <v>1</v>
      </c>
      <c r="EC445" s="5">
        <f>MIN(1,MAX(0,$EB$26-($A445-1)))</f>
        <v>0</v>
      </c>
      <c r="ED445" s="5">
        <f>$EB$25*(EC445+(1-EC445)*$EB$16)</f>
        <v>0.0</v>
      </c>
      <c r="EE445" s="13">
        <f>ED445*($EB$6+ACUTE_MARGIN)</f>
        <v>0.0</v>
      </c>
      <c r="EF445" s="13">
        <f>IF(EB445=1,$EB$31,$EB$32)</f>
        <v>152394.16214437486</v>
      </c>
      <c r="EG445" s="13">
        <f>EE445-EF445</f>
        <v>-152394.16214437486</v>
      </c>
      <c r="EH445" s="13">
        <f>EH444+EG445</f>
        <v>-16937716.067991327</v>
      </c>
      <c r="EI445">
        <f>IF(EH445=MAX($EH$83:$EH$483),$A445,0)</f>
        <v>0</v>
      </c>
      <c r="EJ445">
        <f>IF(EE445&lt;EF445,$A445,B_MAX+1)</f>
        <v>362</v>
      </c>
      <c r="EK445" s="13">
        <f>IF(EB445=1,$EB$35,$EB$36)</f>
        <v>0</v>
      </c>
      <c r="EL445" s="13">
        <f>OCC_DAYS*$EB$41*R_NF_2023-ED445*MCD_SHARE_FREED*R_WAIT_2023</f>
        <v>50660.16094069735</v>
      </c>
      <c r="EM445">
        <f>IF($A445&lt;=$EB$45,1,0)</f>
        <v>0</v>
      </c>
      <c r="FB445">
        <f>IF($FB$31&lt;=$FB$32,IF($A445&lt;=$FB$7,1,2),IF($A445&lt;=RUNG_BEDS_2,2,1))</f>
        <v>1</v>
      </c>
      <c r="FC445" s="5">
        <f>MIN(1,MAX(0,$FB$26-($A445-1)))</f>
        <v>0</v>
      </c>
      <c r="FD445" s="5">
        <f>$FB$25*(FC445+(1-FC445)*$FB$16)</f>
        <v>0.0</v>
      </c>
      <c r="FE445" s="13">
        <f>FD445*($FB$6+ACUTE_MARGIN)</f>
        <v>0.0</v>
      </c>
      <c r="FF445" s="13">
        <f>IF(FB445=1,$FB$31,$FB$32)</f>
        <v>156636.04979437485</v>
      </c>
      <c r="FG445" s="13">
        <f>FE445-FF445</f>
        <v>-156636.04979437485</v>
      </c>
      <c r="FH445" s="13">
        <f>FH444+FG445</f>
        <v>-18473279.397291448</v>
      </c>
      <c r="FI445">
        <f>IF(FH445=MAX($FH$83:$FH$483),$A445,0)</f>
        <v>0</v>
      </c>
      <c r="FJ445">
        <f>IF(FE445&lt;FF445,$A445,B_MAX+1)</f>
        <v>362</v>
      </c>
      <c r="FK445" s="13">
        <f>IF(FB445=1,$FB$35,$FB$36)</f>
        <v>0</v>
      </c>
      <c r="FL445" s="13">
        <f>OCC_DAYS*$FB$41*R_NF_2023-FD445*MCD_SHARE_FREED*R_WAIT_2023</f>
        <v>151980.48282209205</v>
      </c>
      <c r="FM445">
        <f>IF($A445&lt;=$FB$45,1,0)</f>
        <v>0</v>
      </c>
      <c r="GB445">
        <f>IF($GB$31&lt;=$GB$32,IF($A445&lt;=$GB$7,1,2),IF($A445&lt;=RUNG_BEDS_2,2,1))</f>
        <v>1</v>
      </c>
      <c r="GC445" s="5">
        <f>MIN(1,MAX(0,$GB$26-($A445-1)))</f>
        <v>0</v>
      </c>
      <c r="GD445" s="5">
        <f>$GB$25*(GC445+(1-GC445)*$GB$16)</f>
        <v>0.0</v>
      </c>
      <c r="GE445" s="13">
        <f>GD445*($GB$6+ACUTE_MARGIN)</f>
        <v>0.0</v>
      </c>
      <c r="GF445" s="13">
        <f>IF(GB445=1,$GB$31,$GB$32)</f>
        <v>152394.16214437486</v>
      </c>
      <c r="GG445" s="13">
        <f>GE445-GF445</f>
        <v>-152394.16214437486</v>
      </c>
      <c r="GH445" s="13">
        <f>GH444+GG445</f>
        <v>-16937716.067991327</v>
      </c>
      <c r="GI445">
        <f>IF(GH445=MAX($GH$83:$GH$483),$A445,0)</f>
        <v>0</v>
      </c>
      <c r="GJ445">
        <f>IF(GE445&lt;GF445,$A445,B_MAX+1)</f>
        <v>362</v>
      </c>
      <c r="GK445" s="13">
        <f>IF(GB445=1,$GB$35,$GB$36)</f>
        <v>0</v>
      </c>
      <c r="GL445" s="13">
        <f>OCC_DAYS*$GB$41*R_NF_2023-GD445*MCD_SHARE_FREED*R_WAIT_2023</f>
        <v>151980.48282209205</v>
      </c>
      <c r="GM445">
        <f>IF($A445&lt;=$GB$45,1,0)</f>
        <v>0</v>
      </c>
      <c r="HB445">
        <f>IF($HB$31&lt;=$HB$32,IF($A445&lt;=$HB$7,1,2),IF($A445&lt;=RUNG_BEDS_2,2,1))</f>
        <v>1</v>
      </c>
      <c r="HC445" s="5">
        <f>MIN(1,MAX(0,$HB$26-($A445-1)))</f>
        <v>0</v>
      </c>
      <c r="HD445" s="5">
        <f>$HB$25*(HC445+(1-HC445)*$HB$16)</f>
        <v>0.0</v>
      </c>
      <c r="HE445" s="13">
        <f>HD445*($HB$6+ACUTE_MARGIN)</f>
        <v>0.0</v>
      </c>
      <c r="HF445" s="13">
        <f>IF(HB445=1,$HB$31,$HB$32)</f>
        <v>152456.2970814058</v>
      </c>
      <c r="HG445" s="13">
        <f>HE445-HF445</f>
        <v>-152456.2970814058</v>
      </c>
      <c r="HH445" s="13">
        <f>HH444+HG445</f>
        <v>-16960208.91519659</v>
      </c>
      <c r="HI445">
        <f>IF(HH445=MAX($HH$83:$HH$483),$A445,0)</f>
        <v>0</v>
      </c>
      <c r="HJ445">
        <f>IF(HE445&lt;HF445,$A445,B_MAX+1)</f>
        <v>362</v>
      </c>
      <c r="HK445" s="13">
        <f>IF(HB445=1,$HB$35,$HB$36)</f>
        <v>0</v>
      </c>
      <c r="HL445" s="13">
        <f>OCC_DAYS*$HB$41*R_NF_2023-HD445*MCD_SHARE_FREED*R_WAIT_2023</f>
        <v>151980.48282209205</v>
      </c>
      <c r="HM445">
        <f>IF($A445&lt;=$HB$45,1,0)</f>
        <v>0</v>
      </c>
      <c r="IB445">
        <f>IF($IB$31&lt;=$IB$32,IF($A445&lt;=$IB$7,1,2),IF($A445&lt;=RUNG_BEDS_2,2,1))</f>
        <v>1</v>
      </c>
      <c r="IC445" s="5">
        <f>MIN(1,MAX(0,$IB$26-($A445-1)))</f>
        <v>0</v>
      </c>
      <c r="ID445" s="5">
        <f>$IB$25*(IC445+(1-IC445)*$IB$16)</f>
        <v>0.0</v>
      </c>
      <c r="IE445" s="13">
        <f>ID445*($IB$6+ACUTE_MARGIN)</f>
        <v>0.0</v>
      </c>
      <c r="IF445" s="13">
        <f>IF(IB445=1,$IB$31,$IB$32)</f>
        <v>152734.9994534971</v>
      </c>
      <c r="IG445" s="13">
        <f>IE445-IF445</f>
        <v>-152734.9994534971</v>
      </c>
      <c r="IH445" s="13">
        <f>IH444+IG445</f>
        <v>-17061099.173893657</v>
      </c>
      <c r="II445">
        <f>IF(IH445=MAX($IH$83:$IH$483),$A445,0)</f>
        <v>0</v>
      </c>
      <c r="IJ445">
        <f>IF(IE445&lt;IF445,$A445,B_MAX+1)</f>
        <v>362</v>
      </c>
      <c r="IK445" s="13">
        <f>IF(IB445=1,$IB$35,$IB$36)</f>
        <v>0</v>
      </c>
      <c r="IL445" s="13">
        <f>OCC_DAYS*$IB$41*R_NF_2023-ID445*MCD_SHARE_FREED*R_WAIT_2023</f>
        <v>151980.48282209205</v>
      </c>
      <c r="IM445">
        <f>IF($A445&lt;=$IB$45,1,0)</f>
        <v>0</v>
      </c>
      <c r="JB445">
        <f>IF($JB$31&lt;=$JB$32,IF($A445&lt;=$JB$7,1,2),IF($A445&lt;=RUNG_BEDS_2,2,1))</f>
        <v>1</v>
      </c>
      <c r="JC445" s="5">
        <f>MIN(1,MAX(0,$JB$26-($A445-1)))</f>
        <v>0</v>
      </c>
      <c r="JD445" s="5">
        <f>$JB$25*(JC445+(1-JC445)*$JB$16)</f>
        <v>0.0</v>
      </c>
      <c r="JE445" s="13">
        <f>JD445*($JB$6+ACUTE_MARGIN)</f>
        <v>0.0</v>
      </c>
      <c r="JF445" s="13">
        <f>IF(JB445=1,$JB$31,$JB$32)</f>
        <v>152394.16214437486</v>
      </c>
      <c r="JG445" s="13">
        <f>JE445-JF445</f>
        <v>-152394.16214437486</v>
      </c>
      <c r="JH445" s="13">
        <f>JH444+JG445</f>
        <v>-16937716.067991327</v>
      </c>
      <c r="JI445">
        <f>IF(JH445=MAX($JH$83:$JH$483),$A445,0)</f>
        <v>0</v>
      </c>
      <c r="JJ445">
        <f>IF(JE445&lt;JF445,$A445,B_MAX+1)</f>
        <v>362</v>
      </c>
      <c r="JK445" s="13">
        <f>IF(JB445=1,$JB$35,$JB$36)</f>
        <v>0</v>
      </c>
      <c r="JL445" s="13">
        <f>OCC_DAYS*$JB$41*R_NF_2023-JD445*MCD_SHARE_FREED*R_WAIT_2023</f>
        <v>151980.48282209205</v>
      </c>
      <c r="JM445">
        <f>IF($A445&lt;=$JB$45,1,0)</f>
        <v>0</v>
      </c>
      <c r="KB445">
        <f>IF($KB$31&lt;=$KB$32,IF($A445&lt;=$KB$7,1,2),IF($A445&lt;=RUNG_BEDS_2,2,1))</f>
        <v>1</v>
      </c>
      <c r="KC445" s="5">
        <f>MIN(1,MAX(0,$KB$26-($A445-1)))</f>
        <v>0</v>
      </c>
      <c r="KD445" s="5">
        <f>$KB$25*(KC445+(1-KC445)*$KB$16)</f>
        <v>0.0</v>
      </c>
      <c r="KE445" s="13">
        <f>KD445*($KB$6+ACUTE_MARGIN)</f>
        <v>0.0</v>
      </c>
      <c r="KF445" s="13">
        <f>IF(KB445=1,$KB$31,$KB$32)</f>
        <v>152394.16214437486</v>
      </c>
      <c r="KG445" s="13">
        <f>KE445-KF445</f>
        <v>-152394.16214437486</v>
      </c>
      <c r="KH445" s="13">
        <f>KH444+KG445</f>
        <v>-16937716.067991436</v>
      </c>
      <c r="KI445">
        <f>IF(KH445=MAX($KH$83:$KH$483),$A445,0)</f>
        <v>0</v>
      </c>
      <c r="KJ445">
        <f>IF(KE445&lt;KF445,$A445,B_MAX+1)</f>
        <v>362</v>
      </c>
      <c r="KK445" s="13">
        <f>IF(KB445=1,$KB$35,$KB$36)</f>
        <v>0</v>
      </c>
      <c r="KL445" s="13">
        <f>OCC_DAYS*$KB$41*R_NF_2023-KD445*MCD_SHARE_FREED*R_WAIT_2023</f>
        <v>151980.48282209205</v>
      </c>
      <c r="KM445">
        <f>IF($A445&lt;=$KB$45,1,0)</f>
        <v>0</v>
      </c>
      <c r="LB445">
        <f>IF($LB$31&lt;=$LB$32,IF($A445&lt;=$LB$7,1,2),IF($A445&lt;=RUNG_BEDS_2,2,1))</f>
        <v>1</v>
      </c>
      <c r="LC445" s="5">
        <f>MIN(1,MAX(0,$LB$26-($A445-1)))</f>
        <v>1</v>
      </c>
      <c r="LD445" s="5">
        <f>$LB$25*(LC445+(1-LC445)*$LB$16)</f>
        <v>84.01774238227146</v>
      </c>
      <c r="LE445" s="13">
        <f>LD445*($LB$6+ACUTE_MARGIN)</f>
        <v>84857.91980609419</v>
      </c>
      <c r="LF445" s="13">
        <f>IF(LB445=1,$LB$31,$LB$32)</f>
        <v>152394.16214437486</v>
      </c>
      <c r="LG445" s="13">
        <f>LE445-LF445</f>
        <v>-67536.24233828067</v>
      </c>
      <c r="LH445" s="13">
        <f>LH444+LG445</f>
        <v>-24448119.726457737</v>
      </c>
      <c r="LI445">
        <f>IF(LH445=MAX($LH$83:$LH$483),$A445,0)</f>
        <v>0</v>
      </c>
      <c r="LJ445">
        <f>IF(LE445&lt;LF445,$A445,B_MAX+1)</f>
        <v>362</v>
      </c>
      <c r="LK445" s="13">
        <f>IF(LB445=1,$LB$35,$LB$36)</f>
        <v>0</v>
      </c>
      <c r="LL445" s="13">
        <f>OCC_DAYS*$LB$41*R_NF_2023-LD445*MCD_SHARE_FREED*R_WAIT_2023</f>
        <v>113776.04162887059</v>
      </c>
      <c r="LM445">
        <f>IF($A445&lt;=$LB$45,1,0)</f>
        <v>0</v>
      </c>
      <c r="MB445">
        <f>IF($MB$31&lt;=$MB$32,IF($A445&lt;=$MB$7,1,2),IF($A445&lt;=RUNG_BEDS_2,2,1))</f>
        <v>1</v>
      </c>
      <c r="MC445" s="5">
        <f>MIN(1,MAX(0,$MB$26-($A445-1)))</f>
        <v>0</v>
      </c>
      <c r="MD445" s="5">
        <f>$MB$25*(MC445+(1-MC445)*$MB$16)</f>
        <v>0.0</v>
      </c>
      <c r="ME445" s="13">
        <f>MD445*($MB$6+ACUTE_MARGIN)</f>
        <v>0.0</v>
      </c>
      <c r="MF445" s="13">
        <f>IF(MB445=1,$MB$31,$MB$32)</f>
        <v>152394.16214437486</v>
      </c>
      <c r="MG445" s="13">
        <f>ME445-MF445</f>
        <v>-152394.16214437486</v>
      </c>
      <c r="MH445" s="13">
        <f>MH444+MG445</f>
        <v>-22824992.129789628</v>
      </c>
      <c r="MI445">
        <f>IF(MH445=MAX($MH$83:$MH$483),$A445,0)</f>
        <v>0</v>
      </c>
      <c r="MJ445">
        <f>IF(ME445&lt;MF445,$A445,B_MAX+1)</f>
        <v>362</v>
      </c>
      <c r="MK445" s="13">
        <f>IF(MB445=1,$MB$35,$MB$36)</f>
        <v>0</v>
      </c>
      <c r="ML445" s="13">
        <f>OCC_DAYS*$MB$41*R_NF_2023-MD445*MCD_SHARE_FREED*R_WAIT_2023</f>
        <v>151980.48282209205</v>
      </c>
      <c r="MM445">
        <f>IF($A445&lt;=$MB$45,1,0)</f>
        <v>0</v>
      </c>
      <c r="NB445">
        <f>IF($NB$31&lt;=$NB$32,IF($A445&lt;=$NB$7,1,2),IF($A445&lt;=RUNG_BEDS_2,2,1))</f>
        <v>1</v>
      </c>
      <c r="NC445" s="5">
        <f>MIN(1,MAX(0,$NB$26-($A445-1)))</f>
        <v>0</v>
      </c>
      <c r="ND445" s="5">
        <f>$NB$25*(NC445+(1-NC445)*$NB$16)</f>
        <v>63.013306786703595</v>
      </c>
      <c r="NE445" s="13">
        <f>ND445*($NB$6+ACUTE_MARGIN)</f>
        <v>63643.43985457063</v>
      </c>
      <c r="NF445" s="13">
        <f>IF(NB445=1,$NB$31,$NB$32)</f>
        <v>152394.16214437486</v>
      </c>
      <c r="NG445" s="13">
        <f>NE445-NF445</f>
        <v>-88750.72228980422</v>
      </c>
      <c r="NH445" s="13">
        <f>NH444+NG445</f>
        <v>-3456033.4977049073</v>
      </c>
      <c r="NI445">
        <f>IF(NH445=MAX($NH$83:$NH$483),$A445,0)</f>
        <v>0</v>
      </c>
      <c r="NJ445">
        <f>IF(NE445&lt;NF445,$A445,B_MAX+1)</f>
        <v>362</v>
      </c>
      <c r="NK445" s="13">
        <f>IF(NB445=1,$NB$35,$NB$36)</f>
        <v>0</v>
      </c>
      <c r="NL445" s="13">
        <f>OCC_DAYS*$NB$41*R_NF_2023-ND445*MCD_SHARE_FREED*R_WAIT_2023</f>
        <v>123327.15192717595</v>
      </c>
      <c r="NM445">
        <f>IF($A445&lt;=$NB$45,1,0)</f>
        <v>0</v>
      </c>
      <c r="OB445">
        <f>IF($OB$31&lt;=$OB$32,IF($A445&lt;=$OB$7,1,2),IF($A445&lt;=RUNG_BEDS_2,2,1))</f>
        <v>1</v>
      </c>
      <c r="OC445" s="5">
        <f>MIN(1,MAX(0,$OB$26-($A445-1)))</f>
        <v>0</v>
      </c>
      <c r="OD445" s="5">
        <f>$OB$25*(OC445+(1-OC445)*$OB$16)</f>
        <v>126.02661357340719</v>
      </c>
      <c r="OE445" s="13">
        <f>OD445*($OB$6+ACUTE_MARGIN)</f>
        <v>127286.87970914126</v>
      </c>
      <c r="OF445" s="13">
        <f>IF(OB445=1,$OB$31,$OB$32)</f>
        <v>152394.16214437486</v>
      </c>
      <c r="OG445" s="13">
        <f>OE445-OF445</f>
        <v>-25107.282435233603</v>
      </c>
      <c r="OH445" s="13">
        <f>OH444+OG445</f>
        <v>10025649.072581794</v>
      </c>
      <c r="OI445">
        <f>IF(OH445=MAX($OH$83:$OH$483),$A445,0)</f>
        <v>0</v>
      </c>
      <c r="OJ445">
        <f>IF(OE445&lt;OF445,$A445,B_MAX+1)</f>
        <v>362</v>
      </c>
      <c r="OK445" s="13">
        <f>IF(OB445=1,$OB$35,$OB$36)</f>
        <v>0</v>
      </c>
      <c r="OL445" s="13">
        <f>OCC_DAYS*$OB$41*R_NF_2023-OD445*MCD_SHARE_FREED*R_WAIT_2023</f>
        <v>94673.82103225985</v>
      </c>
      <c r="OM445">
        <f>IF($A445&lt;=$OB$45,1,0)</f>
        <v>0</v>
      </c>
    </row>
    <row r="446">
      <c r="A446" t="n">
        <v>363</v>
      </c>
      <c r="B446">
        <f>IF($B$31&lt;=$B$32,IF($A446&lt;=$B$7,1,2),IF($A446&lt;=RUNG_BEDS_2,2,1))</f>
        <v>1</v>
      </c>
      <c r="C446" s="5">
        <f>MIN(1,MAX(0,$B$26-($A446-1)))</f>
        <v>0</v>
      </c>
      <c r="D446" s="5">
        <f>$B$25*(C446+(1-C446)*$B$16)</f>
        <v>0.0</v>
      </c>
      <c r="E446" s="13">
        <f>D446*($B$6+ACUTE_MARGIN)</f>
        <v>0.0</v>
      </c>
      <c r="F446" s="13">
        <f>IF(B446=1,$B$31,$B$32)</f>
        <v>152394.16214437486</v>
      </c>
      <c r="G446" s="13">
        <f>E446-F446</f>
        <v>-152394.16214437486</v>
      </c>
      <c r="H446" s="13">
        <f>H445+G446</f>
        <v>-17090110.2301357</v>
      </c>
      <c r="I446">
        <f>IF(H446=MAX($H$83:$H$483),$A446,0)</f>
        <v>0</v>
      </c>
      <c r="J446">
        <f>IF(E446&lt;F446,$A446,B_MAX+1)</f>
        <v>363</v>
      </c>
      <c r="K446" s="13">
        <f>IF(B446=1,$B$35,$B$36)</f>
        <v>0</v>
      </c>
      <c r="L446" s="13">
        <f>OCC_DAYS*$B$41*R_NF_2023-D446*MCD_SHARE_FREED*R_WAIT_2023</f>
        <v>151980.48282209205</v>
      </c>
      <c r="M446">
        <f>IF($A446&lt;=$B$45,1,0)</f>
        <v>0</v>
      </c>
      <c r="AB446">
        <f>IF($AB$31&lt;=$AB$32,IF($A446&lt;=$AB$7,1,2),IF($A446&lt;=RUNG_BEDS_2,2,1))</f>
        <v>1</v>
      </c>
      <c r="AC446" s="5">
        <f>MIN(1,MAX(0,$AB$26-($A446-1)))</f>
        <v>0</v>
      </c>
      <c r="AD446" s="5">
        <f>$AB$25*(AC446+(1-AC446)*$AB$16)</f>
        <v>0.0</v>
      </c>
      <c r="AE446" s="13">
        <f>AD446*($AB$6+ACUTE_MARGIN)</f>
        <v>0.0</v>
      </c>
      <c r="AF446" s="13">
        <f>IF(AB446=1,$AB$31,$AB$32)</f>
        <v>152394.16214437486</v>
      </c>
      <c r="AG446" s="13">
        <f>AE446-AF446</f>
        <v>-152394.16214437486</v>
      </c>
      <c r="AH446" s="13">
        <f>AH445+AG446</f>
        <v>-34501324.575685464</v>
      </c>
      <c r="AI446">
        <f>IF(AH446=MAX($AH$83:$AH$483),$A446,0)</f>
        <v>0</v>
      </c>
      <c r="AJ446">
        <f>IF(AE446&lt;AF446,$A446,B_MAX+1)</f>
        <v>363</v>
      </c>
      <c r="AK446" s="13">
        <f>IF(AB446=1,$AB$35,$AB$36)</f>
        <v>0</v>
      </c>
      <c r="AL446" s="13">
        <f>OCC_DAYS*$AB$41*R_NF_2023-AD446*MCD_SHARE_FREED*R_WAIT_2023</f>
        <v>151980.48282209205</v>
      </c>
      <c r="AM446">
        <f>IF($A446&lt;=$AB$45,1,0)</f>
        <v>0</v>
      </c>
      <c r="BB446">
        <f>IF($BB$31&lt;=$BB$32,IF($A446&lt;=$BB$7,1,2),IF($A446&lt;=RUNG_BEDS_2,2,1))</f>
        <v>1</v>
      </c>
      <c r="BC446" s="5">
        <f>MIN(1,MAX(0,$BB$26-($A446-1)))</f>
        <v>0</v>
      </c>
      <c r="BD446" s="5">
        <f>$BB$25*(BC446+(1-BC446)*$BB$16)</f>
        <v>0.0</v>
      </c>
      <c r="BE446" s="13">
        <f>BD446*($BB$6+ACUTE_MARGIN)</f>
        <v>0.0</v>
      </c>
      <c r="BF446" s="13">
        <f>IF(BB446=1,$BB$31,$BB$32)</f>
        <v>152394.16214437486</v>
      </c>
      <c r="BG446" s="13">
        <f>BE446-BF446</f>
        <v>-152394.16214437486</v>
      </c>
      <c r="BH446" s="13">
        <f>BH445+BG446</f>
        <v>321104.11541401024</v>
      </c>
      <c r="BI446">
        <f>IF(BH446=MAX($BH$83:$BH$483),$A446,0)</f>
        <v>0</v>
      </c>
      <c r="BJ446">
        <f>IF(BE446&lt;BF446,$A446,B_MAX+1)</f>
        <v>363</v>
      </c>
      <c r="BK446" s="13">
        <f>IF(BB446=1,$BB$35,$BB$36)</f>
        <v>0</v>
      </c>
      <c r="BL446" s="13">
        <f>OCC_DAYS*$BB$41*R_NF_2023-BD446*MCD_SHARE_FREED*R_WAIT_2023</f>
        <v>151980.48282209205</v>
      </c>
      <c r="BM446">
        <f>IF($A446&lt;=$BB$45,1,0)</f>
        <v>0</v>
      </c>
      <c r="CB446">
        <f>IF($CB$31&lt;=$CB$32,IF($A446&lt;=$CB$7,1,2),IF($A446&lt;=RUNG_BEDS_2,2,1))</f>
        <v>2</v>
      </c>
      <c r="CC446" s="5">
        <f>MIN(1,MAX(0,$CB$26-($A446-1)))</f>
        <v>0</v>
      </c>
      <c r="CD446" s="5">
        <f>$CB$25*(CC446+(1-CC446)*$CB$16)</f>
        <v>0.0</v>
      </c>
      <c r="CE446" s="13">
        <f>CD446*($CB$6+ACUTE_MARGIN)</f>
        <v>0.0</v>
      </c>
      <c r="CF446" s="13">
        <f>IF(CB446=1,$CB$31,$CB$32)</f>
        <v>160718.36940738867</v>
      </c>
      <c r="CG446" s="13">
        <f>CE446-CF446</f>
        <v>-160718.36940738867</v>
      </c>
      <c r="CH446" s="13">
        <f>CH445+CG446</f>
        <v>-20111797.466609906</v>
      </c>
      <c r="CI446">
        <f>IF(CH446=MAX($CH$83:$CH$483),$A446,0)</f>
        <v>0</v>
      </c>
      <c r="CJ446">
        <f>IF(CE446&lt;CF446,$A446,B_MAX+1)</f>
        <v>363</v>
      </c>
      <c r="CK446" s="13">
        <f>IF(CB446=1,$CB$35,$CB$36)</f>
        <v>1560.1194073886782</v>
      </c>
      <c r="CL446" s="13">
        <f>OCC_DAYS*$CB$41*R_NF_2023-CD446*MCD_SHARE_FREED*R_WAIT_2023</f>
        <v>151980.48282209205</v>
      </c>
      <c r="CM446">
        <f>IF($A446&lt;=$CB$45,1,0)</f>
        <v>0</v>
      </c>
      <c r="DB446">
        <f>IF($DB$31&lt;=$DB$32,IF($A446&lt;=$DB$7,1,2),IF($A446&lt;=RUNG_BEDS_2,2,1))</f>
        <v>1</v>
      </c>
      <c r="DC446" s="5">
        <f>MIN(1,MAX(0,$DB$26-($A446-1)))</f>
        <v>0</v>
      </c>
      <c r="DD446" s="5">
        <f>$DB$25*(DC446+(1-DC446)*$DB$16)</f>
        <v>0.0</v>
      </c>
      <c r="DE446" s="13">
        <f>DD446*($DB$6+ACUTE_MARGIN)</f>
        <v>0.0</v>
      </c>
      <c r="DF446" s="13">
        <f>IF(DB446=1,$DB$31,$DB$32)</f>
        <v>152394.16214437486</v>
      </c>
      <c r="DG446" s="13">
        <f>DE446-DF446</f>
        <v>-152394.16214437486</v>
      </c>
      <c r="DH446" s="13">
        <f>DH445+DG446</f>
        <v>-17090110.2301357</v>
      </c>
      <c r="DI446">
        <f>IF(DH446=MAX($DH$83:$DH$483),$A446,0)</f>
        <v>0</v>
      </c>
      <c r="DJ446">
        <f>IF(DE446&lt;DF446,$A446,B_MAX+1)</f>
        <v>363</v>
      </c>
      <c r="DK446" s="13">
        <f>IF(DB446=1,$DB$35,$DB$36)</f>
        <v>0</v>
      </c>
      <c r="DL446" s="13">
        <f>OCC_DAYS*$DB$41*R_NF_2023-DD446*MCD_SHARE_FREED*R_WAIT_2023</f>
        <v>151980.48282209205</v>
      </c>
      <c r="DM446">
        <f>IF($A446&lt;=$DB$45,1,0)</f>
        <v>0</v>
      </c>
      <c r="EB446">
        <f>IF($EB$31&lt;=$EB$32,IF($A446&lt;=$EB$7,1,2),IF($A446&lt;=RUNG_BEDS_2,2,1))</f>
        <v>1</v>
      </c>
      <c r="EC446" s="5">
        <f>MIN(1,MAX(0,$EB$26-($A446-1)))</f>
        <v>0</v>
      </c>
      <c r="ED446" s="5">
        <f>$EB$25*(EC446+(1-EC446)*$EB$16)</f>
        <v>0.0</v>
      </c>
      <c r="EE446" s="13">
        <f>ED446*($EB$6+ACUTE_MARGIN)</f>
        <v>0.0</v>
      </c>
      <c r="EF446" s="13">
        <f>IF(EB446=1,$EB$31,$EB$32)</f>
        <v>152394.16214437486</v>
      </c>
      <c r="EG446" s="13">
        <f>EE446-EF446</f>
        <v>-152394.16214437486</v>
      </c>
      <c r="EH446" s="13">
        <f>EH445+EG446</f>
        <v>-17090110.2301357</v>
      </c>
      <c r="EI446">
        <f>IF(EH446=MAX($EH$83:$EH$483),$A446,0)</f>
        <v>0</v>
      </c>
      <c r="EJ446">
        <f>IF(EE446&lt;EF446,$A446,B_MAX+1)</f>
        <v>363</v>
      </c>
      <c r="EK446" s="13">
        <f>IF(EB446=1,$EB$35,$EB$36)</f>
        <v>0</v>
      </c>
      <c r="EL446" s="13">
        <f>OCC_DAYS*$EB$41*R_NF_2023-ED446*MCD_SHARE_FREED*R_WAIT_2023</f>
        <v>50660.16094069735</v>
      </c>
      <c r="EM446">
        <f>IF($A446&lt;=$EB$45,1,0)</f>
        <v>0</v>
      </c>
      <c r="FB446">
        <f>IF($FB$31&lt;=$FB$32,IF($A446&lt;=$FB$7,1,2),IF($A446&lt;=RUNG_BEDS_2,2,1))</f>
        <v>1</v>
      </c>
      <c r="FC446" s="5">
        <f>MIN(1,MAX(0,$FB$26-($A446-1)))</f>
        <v>0</v>
      </c>
      <c r="FD446" s="5">
        <f>$FB$25*(FC446+(1-FC446)*$FB$16)</f>
        <v>0.0</v>
      </c>
      <c r="FE446" s="13">
        <f>FD446*($FB$6+ACUTE_MARGIN)</f>
        <v>0.0</v>
      </c>
      <c r="FF446" s="13">
        <f>IF(FB446=1,$FB$31,$FB$32)</f>
        <v>156636.04979437485</v>
      </c>
      <c r="FG446" s="13">
        <f>FE446-FF446</f>
        <v>-156636.04979437485</v>
      </c>
      <c r="FH446" s="13">
        <f>FH445+FG446</f>
        <v>-18629915.447085824</v>
      </c>
      <c r="FI446">
        <f>IF(FH446=MAX($FH$83:$FH$483),$A446,0)</f>
        <v>0</v>
      </c>
      <c r="FJ446">
        <f>IF(FE446&lt;FF446,$A446,B_MAX+1)</f>
        <v>363</v>
      </c>
      <c r="FK446" s="13">
        <f>IF(FB446=1,$FB$35,$FB$36)</f>
        <v>0</v>
      </c>
      <c r="FL446" s="13">
        <f>OCC_DAYS*$FB$41*R_NF_2023-FD446*MCD_SHARE_FREED*R_WAIT_2023</f>
        <v>151980.48282209205</v>
      </c>
      <c r="FM446">
        <f>IF($A446&lt;=$FB$45,1,0)</f>
        <v>0</v>
      </c>
      <c r="GB446">
        <f>IF($GB$31&lt;=$GB$32,IF($A446&lt;=$GB$7,1,2),IF($A446&lt;=RUNG_BEDS_2,2,1))</f>
        <v>1</v>
      </c>
      <c r="GC446" s="5">
        <f>MIN(1,MAX(0,$GB$26-($A446-1)))</f>
        <v>0</v>
      </c>
      <c r="GD446" s="5">
        <f>$GB$25*(GC446+(1-GC446)*$GB$16)</f>
        <v>0.0</v>
      </c>
      <c r="GE446" s="13">
        <f>GD446*($GB$6+ACUTE_MARGIN)</f>
        <v>0.0</v>
      </c>
      <c r="GF446" s="13">
        <f>IF(GB446=1,$GB$31,$GB$32)</f>
        <v>152394.16214437486</v>
      </c>
      <c r="GG446" s="13">
        <f>GE446-GF446</f>
        <v>-152394.16214437486</v>
      </c>
      <c r="GH446" s="13">
        <f>GH445+GG446</f>
        <v>-17090110.2301357</v>
      </c>
      <c r="GI446">
        <f>IF(GH446=MAX($GH$83:$GH$483),$A446,0)</f>
        <v>0</v>
      </c>
      <c r="GJ446">
        <f>IF(GE446&lt;GF446,$A446,B_MAX+1)</f>
        <v>363</v>
      </c>
      <c r="GK446" s="13">
        <f>IF(GB446=1,$GB$35,$GB$36)</f>
        <v>0</v>
      </c>
      <c r="GL446" s="13">
        <f>OCC_DAYS*$GB$41*R_NF_2023-GD446*MCD_SHARE_FREED*R_WAIT_2023</f>
        <v>151980.48282209205</v>
      </c>
      <c r="GM446">
        <f>IF($A446&lt;=$GB$45,1,0)</f>
        <v>0</v>
      </c>
      <c r="HB446">
        <f>IF($HB$31&lt;=$HB$32,IF($A446&lt;=$HB$7,1,2),IF($A446&lt;=RUNG_BEDS_2,2,1))</f>
        <v>1</v>
      </c>
      <c r="HC446" s="5">
        <f>MIN(1,MAX(0,$HB$26-($A446-1)))</f>
        <v>0</v>
      </c>
      <c r="HD446" s="5">
        <f>$HB$25*(HC446+(1-HC446)*$HB$16)</f>
        <v>0.0</v>
      </c>
      <c r="HE446" s="13">
        <f>HD446*($HB$6+ACUTE_MARGIN)</f>
        <v>0.0</v>
      </c>
      <c r="HF446" s="13">
        <f>IF(HB446=1,$HB$31,$HB$32)</f>
        <v>152456.2970814058</v>
      </c>
      <c r="HG446" s="13">
        <f>HE446-HF446</f>
        <v>-152456.2970814058</v>
      </c>
      <c r="HH446" s="13">
        <f>HH445+HG446</f>
        <v>-17112665.212277997</v>
      </c>
      <c r="HI446">
        <f>IF(HH446=MAX($HH$83:$HH$483),$A446,0)</f>
        <v>0</v>
      </c>
      <c r="HJ446">
        <f>IF(HE446&lt;HF446,$A446,B_MAX+1)</f>
        <v>363</v>
      </c>
      <c r="HK446" s="13">
        <f>IF(HB446=1,$HB$35,$HB$36)</f>
        <v>0</v>
      </c>
      <c r="HL446" s="13">
        <f>OCC_DAYS*$HB$41*R_NF_2023-HD446*MCD_SHARE_FREED*R_WAIT_2023</f>
        <v>151980.48282209205</v>
      </c>
      <c r="HM446">
        <f>IF($A446&lt;=$HB$45,1,0)</f>
        <v>0</v>
      </c>
      <c r="IB446">
        <f>IF($IB$31&lt;=$IB$32,IF($A446&lt;=$IB$7,1,2),IF($A446&lt;=RUNG_BEDS_2,2,1))</f>
        <v>1</v>
      </c>
      <c r="IC446" s="5">
        <f>MIN(1,MAX(0,$IB$26-($A446-1)))</f>
        <v>0</v>
      </c>
      <c r="ID446" s="5">
        <f>$IB$25*(IC446+(1-IC446)*$IB$16)</f>
        <v>0.0</v>
      </c>
      <c r="IE446" s="13">
        <f>ID446*($IB$6+ACUTE_MARGIN)</f>
        <v>0.0</v>
      </c>
      <c r="IF446" s="13">
        <f>IF(IB446=1,$IB$31,$IB$32)</f>
        <v>152734.9994534971</v>
      </c>
      <c r="IG446" s="13">
        <f>IE446-IF446</f>
        <v>-152734.9994534971</v>
      </c>
      <c r="IH446" s="13">
        <f>IH445+IG446</f>
        <v>-17213834.173347153</v>
      </c>
      <c r="II446">
        <f>IF(IH446=MAX($IH$83:$IH$483),$A446,0)</f>
        <v>0</v>
      </c>
      <c r="IJ446">
        <f>IF(IE446&lt;IF446,$A446,B_MAX+1)</f>
        <v>363</v>
      </c>
      <c r="IK446" s="13">
        <f>IF(IB446=1,$IB$35,$IB$36)</f>
        <v>0</v>
      </c>
      <c r="IL446" s="13">
        <f>OCC_DAYS*$IB$41*R_NF_2023-ID446*MCD_SHARE_FREED*R_WAIT_2023</f>
        <v>151980.48282209205</v>
      </c>
      <c r="IM446">
        <f>IF($A446&lt;=$IB$45,1,0)</f>
        <v>0</v>
      </c>
      <c r="JB446">
        <f>IF($JB$31&lt;=$JB$32,IF($A446&lt;=$JB$7,1,2),IF($A446&lt;=RUNG_BEDS_2,2,1))</f>
        <v>1</v>
      </c>
      <c r="JC446" s="5">
        <f>MIN(1,MAX(0,$JB$26-($A446-1)))</f>
        <v>0</v>
      </c>
      <c r="JD446" s="5">
        <f>$JB$25*(JC446+(1-JC446)*$JB$16)</f>
        <v>0.0</v>
      </c>
      <c r="JE446" s="13">
        <f>JD446*($JB$6+ACUTE_MARGIN)</f>
        <v>0.0</v>
      </c>
      <c r="JF446" s="13">
        <f>IF(JB446=1,$JB$31,$JB$32)</f>
        <v>152394.16214437486</v>
      </c>
      <c r="JG446" s="13">
        <f>JE446-JF446</f>
        <v>-152394.16214437486</v>
      </c>
      <c r="JH446" s="13">
        <f>JH445+JG446</f>
        <v>-17090110.2301357</v>
      </c>
      <c r="JI446">
        <f>IF(JH446=MAX($JH$83:$JH$483),$A446,0)</f>
        <v>0</v>
      </c>
      <c r="JJ446">
        <f>IF(JE446&lt;JF446,$A446,B_MAX+1)</f>
        <v>363</v>
      </c>
      <c r="JK446" s="13">
        <f>IF(JB446=1,$JB$35,$JB$36)</f>
        <v>0</v>
      </c>
      <c r="JL446" s="13">
        <f>OCC_DAYS*$JB$41*R_NF_2023-JD446*MCD_SHARE_FREED*R_WAIT_2023</f>
        <v>151980.48282209205</v>
      </c>
      <c r="JM446">
        <f>IF($A446&lt;=$JB$45,1,0)</f>
        <v>0</v>
      </c>
      <c r="KB446">
        <f>IF($KB$31&lt;=$KB$32,IF($A446&lt;=$KB$7,1,2),IF($A446&lt;=RUNG_BEDS_2,2,1))</f>
        <v>1</v>
      </c>
      <c r="KC446" s="5">
        <f>MIN(1,MAX(0,$KB$26-($A446-1)))</f>
        <v>0</v>
      </c>
      <c r="KD446" s="5">
        <f>$KB$25*(KC446+(1-KC446)*$KB$16)</f>
        <v>0.0</v>
      </c>
      <c r="KE446" s="13">
        <f>KD446*($KB$6+ACUTE_MARGIN)</f>
        <v>0.0</v>
      </c>
      <c r="KF446" s="13">
        <f>IF(KB446=1,$KB$31,$KB$32)</f>
        <v>152394.16214437486</v>
      </c>
      <c r="KG446" s="13">
        <f>KE446-KF446</f>
        <v>-152394.16214437486</v>
      </c>
      <c r="KH446" s="13">
        <f>KH445+KG446</f>
        <v>-17090110.23013581</v>
      </c>
      <c r="KI446">
        <f>IF(KH446=MAX($KH$83:$KH$483),$A446,0)</f>
        <v>0</v>
      </c>
      <c r="KJ446">
        <f>IF(KE446&lt;KF446,$A446,B_MAX+1)</f>
        <v>363</v>
      </c>
      <c r="KK446" s="13">
        <f>IF(KB446=1,$KB$35,$KB$36)</f>
        <v>0</v>
      </c>
      <c r="KL446" s="13">
        <f>OCC_DAYS*$KB$41*R_NF_2023-KD446*MCD_SHARE_FREED*R_WAIT_2023</f>
        <v>151980.48282209205</v>
      </c>
      <c r="KM446">
        <f>IF($A446&lt;=$KB$45,1,0)</f>
        <v>0</v>
      </c>
      <c r="LB446">
        <f>IF($LB$31&lt;=$LB$32,IF($A446&lt;=$LB$7,1,2),IF($A446&lt;=RUNG_BEDS_2,2,1))</f>
        <v>1</v>
      </c>
      <c r="LC446" s="5">
        <f>MIN(1,MAX(0,$LB$26-($A446-1)))</f>
        <v>1</v>
      </c>
      <c r="LD446" s="5">
        <f>$LB$25*(LC446+(1-LC446)*$LB$16)</f>
        <v>84.01774238227146</v>
      </c>
      <c r="LE446" s="13">
        <f>LD446*($LB$6+ACUTE_MARGIN)</f>
        <v>84857.91980609419</v>
      </c>
      <c r="LF446" s="13">
        <f>IF(LB446=1,$LB$31,$LB$32)</f>
        <v>152394.16214437486</v>
      </c>
      <c r="LG446" s="13">
        <f>LE446-LF446</f>
        <v>-67536.24233828067</v>
      </c>
      <c r="LH446" s="13">
        <f>LH445+LG446</f>
        <v>-24515655.96879602</v>
      </c>
      <c r="LI446">
        <f>IF(LH446=MAX($LH$83:$LH$483),$A446,0)</f>
        <v>0</v>
      </c>
      <c r="LJ446">
        <f>IF(LE446&lt;LF446,$A446,B_MAX+1)</f>
        <v>363</v>
      </c>
      <c r="LK446" s="13">
        <f>IF(LB446=1,$LB$35,$LB$36)</f>
        <v>0</v>
      </c>
      <c r="LL446" s="13">
        <f>OCC_DAYS*$LB$41*R_NF_2023-LD446*MCD_SHARE_FREED*R_WAIT_2023</f>
        <v>113776.04162887059</v>
      </c>
      <c r="LM446">
        <f>IF($A446&lt;=$LB$45,1,0)</f>
        <v>0</v>
      </c>
      <c r="MB446">
        <f>IF($MB$31&lt;=$MB$32,IF($A446&lt;=$MB$7,1,2),IF($A446&lt;=RUNG_BEDS_2,2,1))</f>
        <v>1</v>
      </c>
      <c r="MC446" s="5">
        <f>MIN(1,MAX(0,$MB$26-($A446-1)))</f>
        <v>0</v>
      </c>
      <c r="MD446" s="5">
        <f>$MB$25*(MC446+(1-MC446)*$MB$16)</f>
        <v>0.0</v>
      </c>
      <c r="ME446" s="13">
        <f>MD446*($MB$6+ACUTE_MARGIN)</f>
        <v>0.0</v>
      </c>
      <c r="MF446" s="13">
        <f>IF(MB446=1,$MB$31,$MB$32)</f>
        <v>152394.16214437486</v>
      </c>
      <c r="MG446" s="13">
        <f>ME446-MF446</f>
        <v>-152394.16214437486</v>
      </c>
      <c r="MH446" s="13">
        <f>MH445+MG446</f>
        <v>-22977386.291934002</v>
      </c>
      <c r="MI446">
        <f>IF(MH446=MAX($MH$83:$MH$483),$A446,0)</f>
        <v>0</v>
      </c>
      <c r="MJ446">
        <f>IF(ME446&lt;MF446,$A446,B_MAX+1)</f>
        <v>363</v>
      </c>
      <c r="MK446" s="13">
        <f>IF(MB446=1,$MB$35,$MB$36)</f>
        <v>0</v>
      </c>
      <c r="ML446" s="13">
        <f>OCC_DAYS*$MB$41*R_NF_2023-MD446*MCD_SHARE_FREED*R_WAIT_2023</f>
        <v>151980.48282209205</v>
      </c>
      <c r="MM446">
        <f>IF($A446&lt;=$MB$45,1,0)</f>
        <v>0</v>
      </c>
      <c r="NB446">
        <f>IF($NB$31&lt;=$NB$32,IF($A446&lt;=$NB$7,1,2),IF($A446&lt;=RUNG_BEDS_2,2,1))</f>
        <v>1</v>
      </c>
      <c r="NC446" s="5">
        <f>MIN(1,MAX(0,$NB$26-($A446-1)))</f>
        <v>0</v>
      </c>
      <c r="ND446" s="5">
        <f>$NB$25*(NC446+(1-NC446)*$NB$16)</f>
        <v>63.013306786703595</v>
      </c>
      <c r="NE446" s="13">
        <f>ND446*($NB$6+ACUTE_MARGIN)</f>
        <v>63643.43985457063</v>
      </c>
      <c r="NF446" s="13">
        <f>IF(NB446=1,$NB$31,$NB$32)</f>
        <v>152394.16214437486</v>
      </c>
      <c r="NG446" s="13">
        <f>NE446-NF446</f>
        <v>-88750.72228980422</v>
      </c>
      <c r="NH446" s="13">
        <f>NH445+NG446</f>
        <v>-3544784.2199947117</v>
      </c>
      <c r="NI446">
        <f>IF(NH446=MAX($NH$83:$NH$483),$A446,0)</f>
        <v>0</v>
      </c>
      <c r="NJ446">
        <f>IF(NE446&lt;NF446,$A446,B_MAX+1)</f>
        <v>363</v>
      </c>
      <c r="NK446" s="13">
        <f>IF(NB446=1,$NB$35,$NB$36)</f>
        <v>0</v>
      </c>
      <c r="NL446" s="13">
        <f>OCC_DAYS*$NB$41*R_NF_2023-ND446*MCD_SHARE_FREED*R_WAIT_2023</f>
        <v>123327.15192717595</v>
      </c>
      <c r="NM446">
        <f>IF($A446&lt;=$NB$45,1,0)</f>
        <v>0</v>
      </c>
      <c r="OB446">
        <f>IF($OB$31&lt;=$OB$32,IF($A446&lt;=$OB$7,1,2),IF($A446&lt;=RUNG_BEDS_2,2,1))</f>
        <v>1</v>
      </c>
      <c r="OC446" s="5">
        <f>MIN(1,MAX(0,$OB$26-($A446-1)))</f>
        <v>0</v>
      </c>
      <c r="OD446" s="5">
        <f>$OB$25*(OC446+(1-OC446)*$OB$16)</f>
        <v>126.02661357340719</v>
      </c>
      <c r="OE446" s="13">
        <f>OD446*($OB$6+ACUTE_MARGIN)</f>
        <v>127286.87970914126</v>
      </c>
      <c r="OF446" s="13">
        <f>IF(OB446=1,$OB$31,$OB$32)</f>
        <v>152394.16214437486</v>
      </c>
      <c r="OG446" s="13">
        <f>OE446-OF446</f>
        <v>-25107.282435233603</v>
      </c>
      <c r="OH446" s="13">
        <f>OH445+OG446</f>
        <v>10000541.790146561</v>
      </c>
      <c r="OI446">
        <f>IF(OH446=MAX($OH$83:$OH$483),$A446,0)</f>
        <v>0</v>
      </c>
      <c r="OJ446">
        <f>IF(OE446&lt;OF446,$A446,B_MAX+1)</f>
        <v>363</v>
      </c>
      <c r="OK446" s="13">
        <f>IF(OB446=1,$OB$35,$OB$36)</f>
        <v>0</v>
      </c>
      <c r="OL446" s="13">
        <f>OCC_DAYS*$OB$41*R_NF_2023-OD446*MCD_SHARE_FREED*R_WAIT_2023</f>
        <v>94673.82103225985</v>
      </c>
      <c r="OM446">
        <f>IF($A446&lt;=$OB$45,1,0)</f>
        <v>0</v>
      </c>
    </row>
    <row r="447">
      <c r="A447" t="n">
        <v>364</v>
      </c>
      <c r="B447">
        <f>IF($B$31&lt;=$B$32,IF($A447&lt;=$B$7,1,2),IF($A447&lt;=RUNG_BEDS_2,2,1))</f>
        <v>1</v>
      </c>
      <c r="C447" s="5">
        <f>MIN(1,MAX(0,$B$26-($A447-1)))</f>
        <v>0</v>
      </c>
      <c r="D447" s="5">
        <f>$B$25*(C447+(1-C447)*$B$16)</f>
        <v>0.0</v>
      </c>
      <c r="E447" s="13">
        <f>D447*($B$6+ACUTE_MARGIN)</f>
        <v>0.0</v>
      </c>
      <c r="F447" s="13">
        <f>IF(B447=1,$B$31,$B$32)</f>
        <v>152394.16214437486</v>
      </c>
      <c r="G447" s="13">
        <f>E447-F447</f>
        <v>-152394.16214437486</v>
      </c>
      <c r="H447" s="13">
        <f>H446+G447</f>
        <v>-17242504.392280076</v>
      </c>
      <c r="I447">
        <f>IF(H447=MAX($H$83:$H$483),$A447,0)</f>
        <v>0</v>
      </c>
      <c r="J447">
        <f>IF(E447&lt;F447,$A447,B_MAX+1)</f>
        <v>364</v>
      </c>
      <c r="K447" s="13">
        <f>IF(B447=1,$B$35,$B$36)</f>
        <v>0</v>
      </c>
      <c r="L447" s="13">
        <f>OCC_DAYS*$B$41*R_NF_2023-D447*MCD_SHARE_FREED*R_WAIT_2023</f>
        <v>151980.48282209205</v>
      </c>
      <c r="M447">
        <f>IF($A447&lt;=$B$45,1,0)</f>
        <v>0</v>
      </c>
      <c r="AB447">
        <f>IF($AB$31&lt;=$AB$32,IF($A447&lt;=$AB$7,1,2),IF($A447&lt;=RUNG_BEDS_2,2,1))</f>
        <v>1</v>
      </c>
      <c r="AC447" s="5">
        <f>MIN(1,MAX(0,$AB$26-($A447-1)))</f>
        <v>0</v>
      </c>
      <c r="AD447" s="5">
        <f>$AB$25*(AC447+(1-AC447)*$AB$16)</f>
        <v>0.0</v>
      </c>
      <c r="AE447" s="13">
        <f>AD447*($AB$6+ACUTE_MARGIN)</f>
        <v>0.0</v>
      </c>
      <c r="AF447" s="13">
        <f>IF(AB447=1,$AB$31,$AB$32)</f>
        <v>152394.16214437486</v>
      </c>
      <c r="AG447" s="13">
        <f>AE447-AF447</f>
        <v>-152394.16214437486</v>
      </c>
      <c r="AH447" s="13">
        <f>AH446+AG447</f>
        <v>-34653718.73782984</v>
      </c>
      <c r="AI447">
        <f>IF(AH447=MAX($AH$83:$AH$483),$A447,0)</f>
        <v>0</v>
      </c>
      <c r="AJ447">
        <f>IF(AE447&lt;AF447,$A447,B_MAX+1)</f>
        <v>364</v>
      </c>
      <c r="AK447" s="13">
        <f>IF(AB447=1,$AB$35,$AB$36)</f>
        <v>0</v>
      </c>
      <c r="AL447" s="13">
        <f>OCC_DAYS*$AB$41*R_NF_2023-AD447*MCD_SHARE_FREED*R_WAIT_2023</f>
        <v>151980.48282209205</v>
      </c>
      <c r="AM447">
        <f>IF($A447&lt;=$AB$45,1,0)</f>
        <v>0</v>
      </c>
      <c r="BB447">
        <f>IF($BB$31&lt;=$BB$32,IF($A447&lt;=$BB$7,1,2),IF($A447&lt;=RUNG_BEDS_2,2,1))</f>
        <v>1</v>
      </c>
      <c r="BC447" s="5">
        <f>MIN(1,MAX(0,$BB$26-($A447-1)))</f>
        <v>0</v>
      </c>
      <c r="BD447" s="5">
        <f>$BB$25*(BC447+(1-BC447)*$BB$16)</f>
        <v>0.0</v>
      </c>
      <c r="BE447" s="13">
        <f>BD447*($BB$6+ACUTE_MARGIN)</f>
        <v>0.0</v>
      </c>
      <c r="BF447" s="13">
        <f>IF(BB447=1,$BB$31,$BB$32)</f>
        <v>152394.16214437486</v>
      </c>
      <c r="BG447" s="13">
        <f>BE447-BF447</f>
        <v>-152394.16214437486</v>
      </c>
      <c r="BH447" s="13">
        <f>BH446+BG447</f>
        <v>168709.95326963539</v>
      </c>
      <c r="BI447">
        <f>IF(BH447=MAX($BH$83:$BH$483),$A447,0)</f>
        <v>0</v>
      </c>
      <c r="BJ447">
        <f>IF(BE447&lt;BF447,$A447,B_MAX+1)</f>
        <v>364</v>
      </c>
      <c r="BK447" s="13">
        <f>IF(BB447=1,$BB$35,$BB$36)</f>
        <v>0</v>
      </c>
      <c r="BL447" s="13">
        <f>OCC_DAYS*$BB$41*R_NF_2023-BD447*MCD_SHARE_FREED*R_WAIT_2023</f>
        <v>151980.48282209205</v>
      </c>
      <c r="BM447">
        <f>IF($A447&lt;=$BB$45,1,0)</f>
        <v>0</v>
      </c>
      <c r="CB447">
        <f>IF($CB$31&lt;=$CB$32,IF($A447&lt;=$CB$7,1,2),IF($A447&lt;=RUNG_BEDS_2,2,1))</f>
        <v>2</v>
      </c>
      <c r="CC447" s="5">
        <f>MIN(1,MAX(0,$CB$26-($A447-1)))</f>
        <v>0</v>
      </c>
      <c r="CD447" s="5">
        <f>$CB$25*(CC447+(1-CC447)*$CB$16)</f>
        <v>0.0</v>
      </c>
      <c r="CE447" s="13">
        <f>CD447*($CB$6+ACUTE_MARGIN)</f>
        <v>0.0</v>
      </c>
      <c r="CF447" s="13">
        <f>IF(CB447=1,$CB$31,$CB$32)</f>
        <v>160718.36940738867</v>
      </c>
      <c r="CG447" s="13">
        <f>CE447-CF447</f>
        <v>-160718.36940738867</v>
      </c>
      <c r="CH447" s="13">
        <f>CH446+CG447</f>
        <v>-20272515.836017296</v>
      </c>
      <c r="CI447">
        <f>IF(CH447=MAX($CH$83:$CH$483),$A447,0)</f>
        <v>0</v>
      </c>
      <c r="CJ447">
        <f>IF(CE447&lt;CF447,$A447,B_MAX+1)</f>
        <v>364</v>
      </c>
      <c r="CK447" s="13">
        <f>IF(CB447=1,$CB$35,$CB$36)</f>
        <v>1560.1194073886782</v>
      </c>
      <c r="CL447" s="13">
        <f>OCC_DAYS*$CB$41*R_NF_2023-CD447*MCD_SHARE_FREED*R_WAIT_2023</f>
        <v>151980.48282209205</v>
      </c>
      <c r="CM447">
        <f>IF($A447&lt;=$CB$45,1,0)</f>
        <v>0</v>
      </c>
      <c r="DB447">
        <f>IF($DB$31&lt;=$DB$32,IF($A447&lt;=$DB$7,1,2),IF($A447&lt;=RUNG_BEDS_2,2,1))</f>
        <v>1</v>
      </c>
      <c r="DC447" s="5">
        <f>MIN(1,MAX(0,$DB$26-($A447-1)))</f>
        <v>0</v>
      </c>
      <c r="DD447" s="5">
        <f>$DB$25*(DC447+(1-DC447)*$DB$16)</f>
        <v>0.0</v>
      </c>
      <c r="DE447" s="13">
        <f>DD447*($DB$6+ACUTE_MARGIN)</f>
        <v>0.0</v>
      </c>
      <c r="DF447" s="13">
        <f>IF(DB447=1,$DB$31,$DB$32)</f>
        <v>152394.16214437486</v>
      </c>
      <c r="DG447" s="13">
        <f>DE447-DF447</f>
        <v>-152394.16214437486</v>
      </c>
      <c r="DH447" s="13">
        <f>DH446+DG447</f>
        <v>-17242504.392280076</v>
      </c>
      <c r="DI447">
        <f>IF(DH447=MAX($DH$83:$DH$483),$A447,0)</f>
        <v>0</v>
      </c>
      <c r="DJ447">
        <f>IF(DE447&lt;DF447,$A447,B_MAX+1)</f>
        <v>364</v>
      </c>
      <c r="DK447" s="13">
        <f>IF(DB447=1,$DB$35,$DB$36)</f>
        <v>0</v>
      </c>
      <c r="DL447" s="13">
        <f>OCC_DAYS*$DB$41*R_NF_2023-DD447*MCD_SHARE_FREED*R_WAIT_2023</f>
        <v>151980.48282209205</v>
      </c>
      <c r="DM447">
        <f>IF($A447&lt;=$DB$45,1,0)</f>
        <v>0</v>
      </c>
      <c r="EB447">
        <f>IF($EB$31&lt;=$EB$32,IF($A447&lt;=$EB$7,1,2),IF($A447&lt;=RUNG_BEDS_2,2,1))</f>
        <v>1</v>
      </c>
      <c r="EC447" s="5">
        <f>MIN(1,MAX(0,$EB$26-($A447-1)))</f>
        <v>0</v>
      </c>
      <c r="ED447" s="5">
        <f>$EB$25*(EC447+(1-EC447)*$EB$16)</f>
        <v>0.0</v>
      </c>
      <c r="EE447" s="13">
        <f>ED447*($EB$6+ACUTE_MARGIN)</f>
        <v>0.0</v>
      </c>
      <c r="EF447" s="13">
        <f>IF(EB447=1,$EB$31,$EB$32)</f>
        <v>152394.16214437486</v>
      </c>
      <c r="EG447" s="13">
        <f>EE447-EF447</f>
        <v>-152394.16214437486</v>
      </c>
      <c r="EH447" s="13">
        <f>EH446+EG447</f>
        <v>-17242504.392280076</v>
      </c>
      <c r="EI447">
        <f>IF(EH447=MAX($EH$83:$EH$483),$A447,0)</f>
        <v>0</v>
      </c>
      <c r="EJ447">
        <f>IF(EE447&lt;EF447,$A447,B_MAX+1)</f>
        <v>364</v>
      </c>
      <c r="EK447" s="13">
        <f>IF(EB447=1,$EB$35,$EB$36)</f>
        <v>0</v>
      </c>
      <c r="EL447" s="13">
        <f>OCC_DAYS*$EB$41*R_NF_2023-ED447*MCD_SHARE_FREED*R_WAIT_2023</f>
        <v>50660.16094069735</v>
      </c>
      <c r="EM447">
        <f>IF($A447&lt;=$EB$45,1,0)</f>
        <v>0</v>
      </c>
      <c r="FB447">
        <f>IF($FB$31&lt;=$FB$32,IF($A447&lt;=$FB$7,1,2),IF($A447&lt;=RUNG_BEDS_2,2,1))</f>
        <v>1</v>
      </c>
      <c r="FC447" s="5">
        <f>MIN(1,MAX(0,$FB$26-($A447-1)))</f>
        <v>0</v>
      </c>
      <c r="FD447" s="5">
        <f>$FB$25*(FC447+(1-FC447)*$FB$16)</f>
        <v>0.0</v>
      </c>
      <c r="FE447" s="13">
        <f>FD447*($FB$6+ACUTE_MARGIN)</f>
        <v>0.0</v>
      </c>
      <c r="FF447" s="13">
        <f>IF(FB447=1,$FB$31,$FB$32)</f>
        <v>156636.04979437485</v>
      </c>
      <c r="FG447" s="13">
        <f>FE447-FF447</f>
        <v>-156636.04979437485</v>
      </c>
      <c r="FH447" s="13">
        <f>FH446+FG447</f>
        <v>-18786551.4968802</v>
      </c>
      <c r="FI447">
        <f>IF(FH447=MAX($FH$83:$FH$483),$A447,0)</f>
        <v>0</v>
      </c>
      <c r="FJ447">
        <f>IF(FE447&lt;FF447,$A447,B_MAX+1)</f>
        <v>364</v>
      </c>
      <c r="FK447" s="13">
        <f>IF(FB447=1,$FB$35,$FB$36)</f>
        <v>0</v>
      </c>
      <c r="FL447" s="13">
        <f>OCC_DAYS*$FB$41*R_NF_2023-FD447*MCD_SHARE_FREED*R_WAIT_2023</f>
        <v>151980.48282209205</v>
      </c>
      <c r="FM447">
        <f>IF($A447&lt;=$FB$45,1,0)</f>
        <v>0</v>
      </c>
      <c r="GB447">
        <f>IF($GB$31&lt;=$GB$32,IF($A447&lt;=$GB$7,1,2),IF($A447&lt;=RUNG_BEDS_2,2,1))</f>
        <v>1</v>
      </c>
      <c r="GC447" s="5">
        <f>MIN(1,MAX(0,$GB$26-($A447-1)))</f>
        <v>0</v>
      </c>
      <c r="GD447" s="5">
        <f>$GB$25*(GC447+(1-GC447)*$GB$16)</f>
        <v>0.0</v>
      </c>
      <c r="GE447" s="13">
        <f>GD447*($GB$6+ACUTE_MARGIN)</f>
        <v>0.0</v>
      </c>
      <c r="GF447" s="13">
        <f>IF(GB447=1,$GB$31,$GB$32)</f>
        <v>152394.16214437486</v>
      </c>
      <c r="GG447" s="13">
        <f>GE447-GF447</f>
        <v>-152394.16214437486</v>
      </c>
      <c r="GH447" s="13">
        <f>GH446+GG447</f>
        <v>-17242504.392280076</v>
      </c>
      <c r="GI447">
        <f>IF(GH447=MAX($GH$83:$GH$483),$A447,0)</f>
        <v>0</v>
      </c>
      <c r="GJ447">
        <f>IF(GE447&lt;GF447,$A447,B_MAX+1)</f>
        <v>364</v>
      </c>
      <c r="GK447" s="13">
        <f>IF(GB447=1,$GB$35,$GB$36)</f>
        <v>0</v>
      </c>
      <c r="GL447" s="13">
        <f>OCC_DAYS*$GB$41*R_NF_2023-GD447*MCD_SHARE_FREED*R_WAIT_2023</f>
        <v>151980.48282209205</v>
      </c>
      <c r="GM447">
        <f>IF($A447&lt;=$GB$45,1,0)</f>
        <v>0</v>
      </c>
      <c r="HB447">
        <f>IF($HB$31&lt;=$HB$32,IF($A447&lt;=$HB$7,1,2),IF($A447&lt;=RUNG_BEDS_2,2,1))</f>
        <v>1</v>
      </c>
      <c r="HC447" s="5">
        <f>MIN(1,MAX(0,$HB$26-($A447-1)))</f>
        <v>0</v>
      </c>
      <c r="HD447" s="5">
        <f>$HB$25*(HC447+(1-HC447)*$HB$16)</f>
        <v>0.0</v>
      </c>
      <c r="HE447" s="13">
        <f>HD447*($HB$6+ACUTE_MARGIN)</f>
        <v>0.0</v>
      </c>
      <c r="HF447" s="13">
        <f>IF(HB447=1,$HB$31,$HB$32)</f>
        <v>152456.2970814058</v>
      </c>
      <c r="HG447" s="13">
        <f>HE447-HF447</f>
        <v>-152456.2970814058</v>
      </c>
      <c r="HH447" s="13">
        <f>HH446+HG447</f>
        <v>-17265121.509359404</v>
      </c>
      <c r="HI447">
        <f>IF(HH447=MAX($HH$83:$HH$483),$A447,0)</f>
        <v>0</v>
      </c>
      <c r="HJ447">
        <f>IF(HE447&lt;HF447,$A447,B_MAX+1)</f>
        <v>364</v>
      </c>
      <c r="HK447" s="13">
        <f>IF(HB447=1,$HB$35,$HB$36)</f>
        <v>0</v>
      </c>
      <c r="HL447" s="13">
        <f>OCC_DAYS*$HB$41*R_NF_2023-HD447*MCD_SHARE_FREED*R_WAIT_2023</f>
        <v>151980.48282209205</v>
      </c>
      <c r="HM447">
        <f>IF($A447&lt;=$HB$45,1,0)</f>
        <v>0</v>
      </c>
      <c r="IB447">
        <f>IF($IB$31&lt;=$IB$32,IF($A447&lt;=$IB$7,1,2),IF($A447&lt;=RUNG_BEDS_2,2,1))</f>
        <v>1</v>
      </c>
      <c r="IC447" s="5">
        <f>MIN(1,MAX(0,$IB$26-($A447-1)))</f>
        <v>0</v>
      </c>
      <c r="ID447" s="5">
        <f>$IB$25*(IC447+(1-IC447)*$IB$16)</f>
        <v>0.0</v>
      </c>
      <c r="IE447" s="13">
        <f>ID447*($IB$6+ACUTE_MARGIN)</f>
        <v>0.0</v>
      </c>
      <c r="IF447" s="13">
        <f>IF(IB447=1,$IB$31,$IB$32)</f>
        <v>152734.9994534971</v>
      </c>
      <c r="IG447" s="13">
        <f>IE447-IF447</f>
        <v>-152734.9994534971</v>
      </c>
      <c r="IH447" s="13">
        <f>IH446+IG447</f>
        <v>-17366569.17280065</v>
      </c>
      <c r="II447">
        <f>IF(IH447=MAX($IH$83:$IH$483),$A447,0)</f>
        <v>0</v>
      </c>
      <c r="IJ447">
        <f>IF(IE447&lt;IF447,$A447,B_MAX+1)</f>
        <v>364</v>
      </c>
      <c r="IK447" s="13">
        <f>IF(IB447=1,$IB$35,$IB$36)</f>
        <v>0</v>
      </c>
      <c r="IL447" s="13">
        <f>OCC_DAYS*$IB$41*R_NF_2023-ID447*MCD_SHARE_FREED*R_WAIT_2023</f>
        <v>151980.48282209205</v>
      </c>
      <c r="IM447">
        <f>IF($A447&lt;=$IB$45,1,0)</f>
        <v>0</v>
      </c>
      <c r="JB447">
        <f>IF($JB$31&lt;=$JB$32,IF($A447&lt;=$JB$7,1,2),IF($A447&lt;=RUNG_BEDS_2,2,1))</f>
        <v>1</v>
      </c>
      <c r="JC447" s="5">
        <f>MIN(1,MAX(0,$JB$26-($A447-1)))</f>
        <v>0</v>
      </c>
      <c r="JD447" s="5">
        <f>$JB$25*(JC447+(1-JC447)*$JB$16)</f>
        <v>0.0</v>
      </c>
      <c r="JE447" s="13">
        <f>JD447*($JB$6+ACUTE_MARGIN)</f>
        <v>0.0</v>
      </c>
      <c r="JF447" s="13">
        <f>IF(JB447=1,$JB$31,$JB$32)</f>
        <v>152394.16214437486</v>
      </c>
      <c r="JG447" s="13">
        <f>JE447-JF447</f>
        <v>-152394.16214437486</v>
      </c>
      <c r="JH447" s="13">
        <f>JH446+JG447</f>
        <v>-17242504.392280076</v>
      </c>
      <c r="JI447">
        <f>IF(JH447=MAX($JH$83:$JH$483),$A447,0)</f>
        <v>0</v>
      </c>
      <c r="JJ447">
        <f>IF(JE447&lt;JF447,$A447,B_MAX+1)</f>
        <v>364</v>
      </c>
      <c r="JK447" s="13">
        <f>IF(JB447=1,$JB$35,$JB$36)</f>
        <v>0</v>
      </c>
      <c r="JL447" s="13">
        <f>OCC_DAYS*$JB$41*R_NF_2023-JD447*MCD_SHARE_FREED*R_WAIT_2023</f>
        <v>151980.48282209205</v>
      </c>
      <c r="JM447">
        <f>IF($A447&lt;=$JB$45,1,0)</f>
        <v>0</v>
      </c>
      <c r="KB447">
        <f>IF($KB$31&lt;=$KB$32,IF($A447&lt;=$KB$7,1,2),IF($A447&lt;=RUNG_BEDS_2,2,1))</f>
        <v>1</v>
      </c>
      <c r="KC447" s="5">
        <f>MIN(1,MAX(0,$KB$26-($A447-1)))</f>
        <v>0</v>
      </c>
      <c r="KD447" s="5">
        <f>$KB$25*(KC447+(1-KC447)*$KB$16)</f>
        <v>0.0</v>
      </c>
      <c r="KE447" s="13">
        <f>KD447*($KB$6+ACUTE_MARGIN)</f>
        <v>0.0</v>
      </c>
      <c r="KF447" s="13">
        <f>IF(KB447=1,$KB$31,$KB$32)</f>
        <v>152394.16214437486</v>
      </c>
      <c r="KG447" s="13">
        <f>KE447-KF447</f>
        <v>-152394.16214437486</v>
      </c>
      <c r="KH447" s="13">
        <f>KH446+KG447</f>
        <v>-17242504.392280184</v>
      </c>
      <c r="KI447">
        <f>IF(KH447=MAX($KH$83:$KH$483),$A447,0)</f>
        <v>0</v>
      </c>
      <c r="KJ447">
        <f>IF(KE447&lt;KF447,$A447,B_MAX+1)</f>
        <v>364</v>
      </c>
      <c r="KK447" s="13">
        <f>IF(KB447=1,$KB$35,$KB$36)</f>
        <v>0</v>
      </c>
      <c r="KL447" s="13">
        <f>OCC_DAYS*$KB$41*R_NF_2023-KD447*MCD_SHARE_FREED*R_WAIT_2023</f>
        <v>151980.48282209205</v>
      </c>
      <c r="KM447">
        <f>IF($A447&lt;=$KB$45,1,0)</f>
        <v>0</v>
      </c>
      <c r="LB447">
        <f>IF($LB$31&lt;=$LB$32,IF($A447&lt;=$LB$7,1,2),IF($A447&lt;=RUNG_BEDS_2,2,1))</f>
        <v>1</v>
      </c>
      <c r="LC447" s="5">
        <f>MIN(1,MAX(0,$LB$26-($A447-1)))</f>
        <v>1</v>
      </c>
      <c r="LD447" s="5">
        <f>$LB$25*(LC447+(1-LC447)*$LB$16)</f>
        <v>84.01774238227146</v>
      </c>
      <c r="LE447" s="13">
        <f>LD447*($LB$6+ACUTE_MARGIN)</f>
        <v>84857.91980609419</v>
      </c>
      <c r="LF447" s="13">
        <f>IF(LB447=1,$LB$31,$LB$32)</f>
        <v>152394.16214437486</v>
      </c>
      <c r="LG447" s="13">
        <f>LE447-LF447</f>
        <v>-67536.24233828067</v>
      </c>
      <c r="LH447" s="13">
        <f>LH446+LG447</f>
        <v>-24583192.2111343</v>
      </c>
      <c r="LI447">
        <f>IF(LH447=MAX($LH$83:$LH$483),$A447,0)</f>
        <v>0</v>
      </c>
      <c r="LJ447">
        <f>IF(LE447&lt;LF447,$A447,B_MAX+1)</f>
        <v>364</v>
      </c>
      <c r="LK447" s="13">
        <f>IF(LB447=1,$LB$35,$LB$36)</f>
        <v>0</v>
      </c>
      <c r="LL447" s="13">
        <f>OCC_DAYS*$LB$41*R_NF_2023-LD447*MCD_SHARE_FREED*R_WAIT_2023</f>
        <v>113776.04162887059</v>
      </c>
      <c r="LM447">
        <f>IF($A447&lt;=$LB$45,1,0)</f>
        <v>0</v>
      </c>
      <c r="MB447">
        <f>IF($MB$31&lt;=$MB$32,IF($A447&lt;=$MB$7,1,2),IF($A447&lt;=RUNG_BEDS_2,2,1))</f>
        <v>1</v>
      </c>
      <c r="MC447" s="5">
        <f>MIN(1,MAX(0,$MB$26-($A447-1)))</f>
        <v>0</v>
      </c>
      <c r="MD447" s="5">
        <f>$MB$25*(MC447+(1-MC447)*$MB$16)</f>
        <v>0.0</v>
      </c>
      <c r="ME447" s="13">
        <f>MD447*($MB$6+ACUTE_MARGIN)</f>
        <v>0.0</v>
      </c>
      <c r="MF447" s="13">
        <f>IF(MB447=1,$MB$31,$MB$32)</f>
        <v>152394.16214437486</v>
      </c>
      <c r="MG447" s="13">
        <f>ME447-MF447</f>
        <v>-152394.16214437486</v>
      </c>
      <c r="MH447" s="13">
        <f>MH446+MG447</f>
        <v>-23129780.454078376</v>
      </c>
      <c r="MI447">
        <f>IF(MH447=MAX($MH$83:$MH$483),$A447,0)</f>
        <v>0</v>
      </c>
      <c r="MJ447">
        <f>IF(ME447&lt;MF447,$A447,B_MAX+1)</f>
        <v>364</v>
      </c>
      <c r="MK447" s="13">
        <f>IF(MB447=1,$MB$35,$MB$36)</f>
        <v>0</v>
      </c>
      <c r="ML447" s="13">
        <f>OCC_DAYS*$MB$41*R_NF_2023-MD447*MCD_SHARE_FREED*R_WAIT_2023</f>
        <v>151980.48282209205</v>
      </c>
      <c r="MM447">
        <f>IF($A447&lt;=$MB$45,1,0)</f>
        <v>0</v>
      </c>
      <c r="NB447">
        <f>IF($NB$31&lt;=$NB$32,IF($A447&lt;=$NB$7,1,2),IF($A447&lt;=RUNG_BEDS_2,2,1))</f>
        <v>1</v>
      </c>
      <c r="NC447" s="5">
        <f>MIN(1,MAX(0,$NB$26-($A447-1)))</f>
        <v>0</v>
      </c>
      <c r="ND447" s="5">
        <f>$NB$25*(NC447+(1-NC447)*$NB$16)</f>
        <v>63.013306786703595</v>
      </c>
      <c r="NE447" s="13">
        <f>ND447*($NB$6+ACUTE_MARGIN)</f>
        <v>63643.43985457063</v>
      </c>
      <c r="NF447" s="13">
        <f>IF(NB447=1,$NB$31,$NB$32)</f>
        <v>152394.16214437486</v>
      </c>
      <c r="NG447" s="13">
        <f>NE447-NF447</f>
        <v>-88750.72228980422</v>
      </c>
      <c r="NH447" s="13">
        <f>NH446+NG447</f>
        <v>-3633534.942284516</v>
      </c>
      <c r="NI447">
        <f>IF(NH447=MAX($NH$83:$NH$483),$A447,0)</f>
        <v>0</v>
      </c>
      <c r="NJ447">
        <f>IF(NE447&lt;NF447,$A447,B_MAX+1)</f>
        <v>364</v>
      </c>
      <c r="NK447" s="13">
        <f>IF(NB447=1,$NB$35,$NB$36)</f>
        <v>0</v>
      </c>
      <c r="NL447" s="13">
        <f>OCC_DAYS*$NB$41*R_NF_2023-ND447*MCD_SHARE_FREED*R_WAIT_2023</f>
        <v>123327.15192717595</v>
      </c>
      <c r="NM447">
        <f>IF($A447&lt;=$NB$45,1,0)</f>
        <v>0</v>
      </c>
      <c r="OB447">
        <f>IF($OB$31&lt;=$OB$32,IF($A447&lt;=$OB$7,1,2),IF($A447&lt;=RUNG_BEDS_2,2,1))</f>
        <v>1</v>
      </c>
      <c r="OC447" s="5">
        <f>MIN(1,MAX(0,$OB$26-($A447-1)))</f>
        <v>0</v>
      </c>
      <c r="OD447" s="5">
        <f>$OB$25*(OC447+(1-OC447)*$OB$16)</f>
        <v>126.02661357340719</v>
      </c>
      <c r="OE447" s="13">
        <f>OD447*($OB$6+ACUTE_MARGIN)</f>
        <v>127286.87970914126</v>
      </c>
      <c r="OF447" s="13">
        <f>IF(OB447=1,$OB$31,$OB$32)</f>
        <v>152394.16214437486</v>
      </c>
      <c r="OG447" s="13">
        <f>OE447-OF447</f>
        <v>-25107.282435233603</v>
      </c>
      <c r="OH447" s="13">
        <f>OH446+OG447</f>
        <v>9975434.507711329</v>
      </c>
      <c r="OI447">
        <f>IF(OH447=MAX($OH$83:$OH$483),$A447,0)</f>
        <v>0</v>
      </c>
      <c r="OJ447">
        <f>IF(OE447&lt;OF447,$A447,B_MAX+1)</f>
        <v>364</v>
      </c>
      <c r="OK447" s="13">
        <f>IF(OB447=1,$OB$35,$OB$36)</f>
        <v>0</v>
      </c>
      <c r="OL447" s="13">
        <f>OCC_DAYS*$OB$41*R_NF_2023-OD447*MCD_SHARE_FREED*R_WAIT_2023</f>
        <v>94673.82103225985</v>
      </c>
      <c r="OM447">
        <f>IF($A447&lt;=$OB$45,1,0)</f>
        <v>0</v>
      </c>
    </row>
    <row r="448">
      <c r="A448" t="n">
        <v>365</v>
      </c>
      <c r="B448">
        <f>IF($B$31&lt;=$B$32,IF($A448&lt;=$B$7,1,2),IF($A448&lt;=RUNG_BEDS_2,2,1))</f>
        <v>1</v>
      </c>
      <c r="C448" s="5">
        <f>MIN(1,MAX(0,$B$26-($A448-1)))</f>
        <v>0</v>
      </c>
      <c r="D448" s="5">
        <f>$B$25*(C448+(1-C448)*$B$16)</f>
        <v>0.0</v>
      </c>
      <c r="E448" s="13">
        <f>D448*($B$6+ACUTE_MARGIN)</f>
        <v>0.0</v>
      </c>
      <c r="F448" s="13">
        <f>IF(B448=1,$B$31,$B$32)</f>
        <v>152394.16214437486</v>
      </c>
      <c r="G448" s="13">
        <f>E448-F448</f>
        <v>-152394.16214437486</v>
      </c>
      <c r="H448" s="13">
        <f>H447+G448</f>
        <v>-17394898.55442445</v>
      </c>
      <c r="I448">
        <f>IF(H448=MAX($H$83:$H$483),$A448,0)</f>
        <v>0</v>
      </c>
      <c r="J448">
        <f>IF(E448&lt;F448,$A448,B_MAX+1)</f>
        <v>365</v>
      </c>
      <c r="K448" s="13">
        <f>IF(B448=1,$B$35,$B$36)</f>
        <v>0</v>
      </c>
      <c r="L448" s="13">
        <f>OCC_DAYS*$B$41*R_NF_2023-D448*MCD_SHARE_FREED*R_WAIT_2023</f>
        <v>151980.48282209205</v>
      </c>
      <c r="M448">
        <f>IF($A448&lt;=$B$45,1,0)</f>
        <v>0</v>
      </c>
      <c r="AB448">
        <f>IF($AB$31&lt;=$AB$32,IF($A448&lt;=$AB$7,1,2),IF($A448&lt;=RUNG_BEDS_2,2,1))</f>
        <v>1</v>
      </c>
      <c r="AC448" s="5">
        <f>MIN(1,MAX(0,$AB$26-($A448-1)))</f>
        <v>0</v>
      </c>
      <c r="AD448" s="5">
        <f>$AB$25*(AC448+(1-AC448)*$AB$16)</f>
        <v>0.0</v>
      </c>
      <c r="AE448" s="13">
        <f>AD448*($AB$6+ACUTE_MARGIN)</f>
        <v>0.0</v>
      </c>
      <c r="AF448" s="13">
        <f>IF(AB448=1,$AB$31,$AB$32)</f>
        <v>152394.16214437486</v>
      </c>
      <c r="AG448" s="13">
        <f>AE448-AF448</f>
        <v>-152394.16214437486</v>
      </c>
      <c r="AH448" s="13">
        <f>AH447+AG448</f>
        <v>-34806112.89997422</v>
      </c>
      <c r="AI448">
        <f>IF(AH448=MAX($AH$83:$AH$483),$A448,0)</f>
        <v>0</v>
      </c>
      <c r="AJ448">
        <f>IF(AE448&lt;AF448,$A448,B_MAX+1)</f>
        <v>365</v>
      </c>
      <c r="AK448" s="13">
        <f>IF(AB448=1,$AB$35,$AB$36)</f>
        <v>0</v>
      </c>
      <c r="AL448" s="13">
        <f>OCC_DAYS*$AB$41*R_NF_2023-AD448*MCD_SHARE_FREED*R_WAIT_2023</f>
        <v>151980.48282209205</v>
      </c>
      <c r="AM448">
        <f>IF($A448&lt;=$AB$45,1,0)</f>
        <v>0</v>
      </c>
      <c r="BB448">
        <f>IF($BB$31&lt;=$BB$32,IF($A448&lt;=$BB$7,1,2),IF($A448&lt;=RUNG_BEDS_2,2,1))</f>
        <v>1</v>
      </c>
      <c r="BC448" s="5">
        <f>MIN(1,MAX(0,$BB$26-($A448-1)))</f>
        <v>0</v>
      </c>
      <c r="BD448" s="5">
        <f>$BB$25*(BC448+(1-BC448)*$BB$16)</f>
        <v>0.0</v>
      </c>
      <c r="BE448" s="13">
        <f>BD448*($BB$6+ACUTE_MARGIN)</f>
        <v>0.0</v>
      </c>
      <c r="BF448" s="13">
        <f>IF(BB448=1,$BB$31,$BB$32)</f>
        <v>152394.16214437486</v>
      </c>
      <c r="BG448" s="13">
        <f>BE448-BF448</f>
        <v>-152394.16214437486</v>
      </c>
      <c r="BH448" s="13">
        <f>BH447+BG448</f>
        <v>16315.791125260526</v>
      </c>
      <c r="BI448">
        <f>IF(BH448=MAX($BH$83:$BH$483),$A448,0)</f>
        <v>0</v>
      </c>
      <c r="BJ448">
        <f>IF(BE448&lt;BF448,$A448,B_MAX+1)</f>
        <v>365</v>
      </c>
      <c r="BK448" s="13">
        <f>IF(BB448=1,$BB$35,$BB$36)</f>
        <v>0</v>
      </c>
      <c r="BL448" s="13">
        <f>OCC_DAYS*$BB$41*R_NF_2023-BD448*MCD_SHARE_FREED*R_WAIT_2023</f>
        <v>151980.48282209205</v>
      </c>
      <c r="BM448">
        <f>IF($A448&lt;=$BB$45,1,0)</f>
        <v>0</v>
      </c>
      <c r="CB448">
        <f>IF($CB$31&lt;=$CB$32,IF($A448&lt;=$CB$7,1,2),IF($A448&lt;=RUNG_BEDS_2,2,1))</f>
        <v>2</v>
      </c>
      <c r="CC448" s="5">
        <f>MIN(1,MAX(0,$CB$26-($A448-1)))</f>
        <v>0</v>
      </c>
      <c r="CD448" s="5">
        <f>$CB$25*(CC448+(1-CC448)*$CB$16)</f>
        <v>0.0</v>
      </c>
      <c r="CE448" s="13">
        <f>CD448*($CB$6+ACUTE_MARGIN)</f>
        <v>0.0</v>
      </c>
      <c r="CF448" s="13">
        <f>IF(CB448=1,$CB$31,$CB$32)</f>
        <v>160718.36940738867</v>
      </c>
      <c r="CG448" s="13">
        <f>CE448-CF448</f>
        <v>-160718.36940738867</v>
      </c>
      <c r="CH448" s="13">
        <f>CH447+CG448</f>
        <v>-20433234.205424685</v>
      </c>
      <c r="CI448">
        <f>IF(CH448=MAX($CH$83:$CH$483),$A448,0)</f>
        <v>0</v>
      </c>
      <c r="CJ448">
        <f>IF(CE448&lt;CF448,$A448,B_MAX+1)</f>
        <v>365</v>
      </c>
      <c r="CK448" s="13">
        <f>IF(CB448=1,$CB$35,$CB$36)</f>
        <v>1560.1194073886782</v>
      </c>
      <c r="CL448" s="13">
        <f>OCC_DAYS*$CB$41*R_NF_2023-CD448*MCD_SHARE_FREED*R_WAIT_2023</f>
        <v>151980.48282209205</v>
      </c>
      <c r="CM448">
        <f>IF($A448&lt;=$CB$45,1,0)</f>
        <v>0</v>
      </c>
      <c r="DB448">
        <f>IF($DB$31&lt;=$DB$32,IF($A448&lt;=$DB$7,1,2),IF($A448&lt;=RUNG_BEDS_2,2,1))</f>
        <v>1</v>
      </c>
      <c r="DC448" s="5">
        <f>MIN(1,MAX(0,$DB$26-($A448-1)))</f>
        <v>0</v>
      </c>
      <c r="DD448" s="5">
        <f>$DB$25*(DC448+(1-DC448)*$DB$16)</f>
        <v>0.0</v>
      </c>
      <c r="DE448" s="13">
        <f>DD448*($DB$6+ACUTE_MARGIN)</f>
        <v>0.0</v>
      </c>
      <c r="DF448" s="13">
        <f>IF(DB448=1,$DB$31,$DB$32)</f>
        <v>152394.16214437486</v>
      </c>
      <c r="DG448" s="13">
        <f>DE448-DF448</f>
        <v>-152394.16214437486</v>
      </c>
      <c r="DH448" s="13">
        <f>DH447+DG448</f>
        <v>-17394898.55442445</v>
      </c>
      <c r="DI448">
        <f>IF(DH448=MAX($DH$83:$DH$483),$A448,0)</f>
        <v>0</v>
      </c>
      <c r="DJ448">
        <f>IF(DE448&lt;DF448,$A448,B_MAX+1)</f>
        <v>365</v>
      </c>
      <c r="DK448" s="13">
        <f>IF(DB448=1,$DB$35,$DB$36)</f>
        <v>0</v>
      </c>
      <c r="DL448" s="13">
        <f>OCC_DAYS*$DB$41*R_NF_2023-DD448*MCD_SHARE_FREED*R_WAIT_2023</f>
        <v>151980.48282209205</v>
      </c>
      <c r="DM448">
        <f>IF($A448&lt;=$DB$45,1,0)</f>
        <v>0</v>
      </c>
      <c r="EB448">
        <f>IF($EB$31&lt;=$EB$32,IF($A448&lt;=$EB$7,1,2),IF($A448&lt;=RUNG_BEDS_2,2,1))</f>
        <v>1</v>
      </c>
      <c r="EC448" s="5">
        <f>MIN(1,MAX(0,$EB$26-($A448-1)))</f>
        <v>0</v>
      </c>
      <c r="ED448" s="5">
        <f>$EB$25*(EC448+(1-EC448)*$EB$16)</f>
        <v>0.0</v>
      </c>
      <c r="EE448" s="13">
        <f>ED448*($EB$6+ACUTE_MARGIN)</f>
        <v>0.0</v>
      </c>
      <c r="EF448" s="13">
        <f>IF(EB448=1,$EB$31,$EB$32)</f>
        <v>152394.16214437486</v>
      </c>
      <c r="EG448" s="13">
        <f>EE448-EF448</f>
        <v>-152394.16214437486</v>
      </c>
      <c r="EH448" s="13">
        <f>EH447+EG448</f>
        <v>-17394898.55442445</v>
      </c>
      <c r="EI448">
        <f>IF(EH448=MAX($EH$83:$EH$483),$A448,0)</f>
        <v>0</v>
      </c>
      <c r="EJ448">
        <f>IF(EE448&lt;EF448,$A448,B_MAX+1)</f>
        <v>365</v>
      </c>
      <c r="EK448" s="13">
        <f>IF(EB448=1,$EB$35,$EB$36)</f>
        <v>0</v>
      </c>
      <c r="EL448" s="13">
        <f>OCC_DAYS*$EB$41*R_NF_2023-ED448*MCD_SHARE_FREED*R_WAIT_2023</f>
        <v>50660.16094069735</v>
      </c>
      <c r="EM448">
        <f>IF($A448&lt;=$EB$45,1,0)</f>
        <v>0</v>
      </c>
      <c r="FB448">
        <f>IF($FB$31&lt;=$FB$32,IF($A448&lt;=$FB$7,1,2),IF($A448&lt;=RUNG_BEDS_2,2,1))</f>
        <v>1</v>
      </c>
      <c r="FC448" s="5">
        <f>MIN(1,MAX(0,$FB$26-($A448-1)))</f>
        <v>0</v>
      </c>
      <c r="FD448" s="5">
        <f>$FB$25*(FC448+(1-FC448)*$FB$16)</f>
        <v>0.0</v>
      </c>
      <c r="FE448" s="13">
        <f>FD448*($FB$6+ACUTE_MARGIN)</f>
        <v>0.0</v>
      </c>
      <c r="FF448" s="13">
        <f>IF(FB448=1,$FB$31,$FB$32)</f>
        <v>156636.04979437485</v>
      </c>
      <c r="FG448" s="13">
        <f>FE448-FF448</f>
        <v>-156636.04979437485</v>
      </c>
      <c r="FH448" s="13">
        <f>FH447+FG448</f>
        <v>-18943187.546674576</v>
      </c>
      <c r="FI448">
        <f>IF(FH448=MAX($FH$83:$FH$483),$A448,0)</f>
        <v>0</v>
      </c>
      <c r="FJ448">
        <f>IF(FE448&lt;FF448,$A448,B_MAX+1)</f>
        <v>365</v>
      </c>
      <c r="FK448" s="13">
        <f>IF(FB448=1,$FB$35,$FB$36)</f>
        <v>0</v>
      </c>
      <c r="FL448" s="13">
        <f>OCC_DAYS*$FB$41*R_NF_2023-FD448*MCD_SHARE_FREED*R_WAIT_2023</f>
        <v>151980.48282209205</v>
      </c>
      <c r="FM448">
        <f>IF($A448&lt;=$FB$45,1,0)</f>
        <v>0</v>
      </c>
      <c r="GB448">
        <f>IF($GB$31&lt;=$GB$32,IF($A448&lt;=$GB$7,1,2),IF($A448&lt;=RUNG_BEDS_2,2,1))</f>
        <v>1</v>
      </c>
      <c r="GC448" s="5">
        <f>MIN(1,MAX(0,$GB$26-($A448-1)))</f>
        <v>0</v>
      </c>
      <c r="GD448" s="5">
        <f>$GB$25*(GC448+(1-GC448)*$GB$16)</f>
        <v>0.0</v>
      </c>
      <c r="GE448" s="13">
        <f>GD448*($GB$6+ACUTE_MARGIN)</f>
        <v>0.0</v>
      </c>
      <c r="GF448" s="13">
        <f>IF(GB448=1,$GB$31,$GB$32)</f>
        <v>152394.16214437486</v>
      </c>
      <c r="GG448" s="13">
        <f>GE448-GF448</f>
        <v>-152394.16214437486</v>
      </c>
      <c r="GH448" s="13">
        <f>GH447+GG448</f>
        <v>-17394898.55442445</v>
      </c>
      <c r="GI448">
        <f>IF(GH448=MAX($GH$83:$GH$483),$A448,0)</f>
        <v>0</v>
      </c>
      <c r="GJ448">
        <f>IF(GE448&lt;GF448,$A448,B_MAX+1)</f>
        <v>365</v>
      </c>
      <c r="GK448" s="13">
        <f>IF(GB448=1,$GB$35,$GB$36)</f>
        <v>0</v>
      </c>
      <c r="GL448" s="13">
        <f>OCC_DAYS*$GB$41*R_NF_2023-GD448*MCD_SHARE_FREED*R_WAIT_2023</f>
        <v>151980.48282209205</v>
      </c>
      <c r="GM448">
        <f>IF($A448&lt;=$GB$45,1,0)</f>
        <v>0</v>
      </c>
      <c r="HB448">
        <f>IF($HB$31&lt;=$HB$32,IF($A448&lt;=$HB$7,1,2),IF($A448&lt;=RUNG_BEDS_2,2,1))</f>
        <v>1</v>
      </c>
      <c r="HC448" s="5">
        <f>MIN(1,MAX(0,$HB$26-($A448-1)))</f>
        <v>0</v>
      </c>
      <c r="HD448" s="5">
        <f>$HB$25*(HC448+(1-HC448)*$HB$16)</f>
        <v>0.0</v>
      </c>
      <c r="HE448" s="13">
        <f>HD448*($HB$6+ACUTE_MARGIN)</f>
        <v>0.0</v>
      </c>
      <c r="HF448" s="13">
        <f>IF(HB448=1,$HB$31,$HB$32)</f>
        <v>152456.2970814058</v>
      </c>
      <c r="HG448" s="13">
        <f>HE448-HF448</f>
        <v>-152456.2970814058</v>
      </c>
      <c r="HH448" s="13">
        <f>HH447+HG448</f>
        <v>-17417577.80644081</v>
      </c>
      <c r="HI448">
        <f>IF(HH448=MAX($HH$83:$HH$483),$A448,0)</f>
        <v>0</v>
      </c>
      <c r="HJ448">
        <f>IF(HE448&lt;HF448,$A448,B_MAX+1)</f>
        <v>365</v>
      </c>
      <c r="HK448" s="13">
        <f>IF(HB448=1,$HB$35,$HB$36)</f>
        <v>0</v>
      </c>
      <c r="HL448" s="13">
        <f>OCC_DAYS*$HB$41*R_NF_2023-HD448*MCD_SHARE_FREED*R_WAIT_2023</f>
        <v>151980.48282209205</v>
      </c>
      <c r="HM448">
        <f>IF($A448&lt;=$HB$45,1,0)</f>
        <v>0</v>
      </c>
      <c r="IB448">
        <f>IF($IB$31&lt;=$IB$32,IF($A448&lt;=$IB$7,1,2),IF($A448&lt;=RUNG_BEDS_2,2,1))</f>
        <v>1</v>
      </c>
      <c r="IC448" s="5">
        <f>MIN(1,MAX(0,$IB$26-($A448-1)))</f>
        <v>0</v>
      </c>
      <c r="ID448" s="5">
        <f>$IB$25*(IC448+(1-IC448)*$IB$16)</f>
        <v>0.0</v>
      </c>
      <c r="IE448" s="13">
        <f>ID448*($IB$6+ACUTE_MARGIN)</f>
        <v>0.0</v>
      </c>
      <c r="IF448" s="13">
        <f>IF(IB448=1,$IB$31,$IB$32)</f>
        <v>152734.9994534971</v>
      </c>
      <c r="IG448" s="13">
        <f>IE448-IF448</f>
        <v>-152734.9994534971</v>
      </c>
      <c r="IH448" s="13">
        <f>IH447+IG448</f>
        <v>-17519304.172254145</v>
      </c>
      <c r="II448">
        <f>IF(IH448=MAX($IH$83:$IH$483),$A448,0)</f>
        <v>0</v>
      </c>
      <c r="IJ448">
        <f>IF(IE448&lt;IF448,$A448,B_MAX+1)</f>
        <v>365</v>
      </c>
      <c r="IK448" s="13">
        <f>IF(IB448=1,$IB$35,$IB$36)</f>
        <v>0</v>
      </c>
      <c r="IL448" s="13">
        <f>OCC_DAYS*$IB$41*R_NF_2023-ID448*MCD_SHARE_FREED*R_WAIT_2023</f>
        <v>151980.48282209205</v>
      </c>
      <c r="IM448">
        <f>IF($A448&lt;=$IB$45,1,0)</f>
        <v>0</v>
      </c>
      <c r="JB448">
        <f>IF($JB$31&lt;=$JB$32,IF($A448&lt;=$JB$7,1,2),IF($A448&lt;=RUNG_BEDS_2,2,1))</f>
        <v>1</v>
      </c>
      <c r="JC448" s="5">
        <f>MIN(1,MAX(0,$JB$26-($A448-1)))</f>
        <v>0</v>
      </c>
      <c r="JD448" s="5">
        <f>$JB$25*(JC448+(1-JC448)*$JB$16)</f>
        <v>0.0</v>
      </c>
      <c r="JE448" s="13">
        <f>JD448*($JB$6+ACUTE_MARGIN)</f>
        <v>0.0</v>
      </c>
      <c r="JF448" s="13">
        <f>IF(JB448=1,$JB$31,$JB$32)</f>
        <v>152394.16214437486</v>
      </c>
      <c r="JG448" s="13">
        <f>JE448-JF448</f>
        <v>-152394.16214437486</v>
      </c>
      <c r="JH448" s="13">
        <f>JH447+JG448</f>
        <v>-17394898.55442445</v>
      </c>
      <c r="JI448">
        <f>IF(JH448=MAX($JH$83:$JH$483),$A448,0)</f>
        <v>0</v>
      </c>
      <c r="JJ448">
        <f>IF(JE448&lt;JF448,$A448,B_MAX+1)</f>
        <v>365</v>
      </c>
      <c r="JK448" s="13">
        <f>IF(JB448=1,$JB$35,$JB$36)</f>
        <v>0</v>
      </c>
      <c r="JL448" s="13">
        <f>OCC_DAYS*$JB$41*R_NF_2023-JD448*MCD_SHARE_FREED*R_WAIT_2023</f>
        <v>151980.48282209205</v>
      </c>
      <c r="JM448">
        <f>IF($A448&lt;=$JB$45,1,0)</f>
        <v>0</v>
      </c>
      <c r="KB448">
        <f>IF($KB$31&lt;=$KB$32,IF($A448&lt;=$KB$7,1,2),IF($A448&lt;=RUNG_BEDS_2,2,1))</f>
        <v>1</v>
      </c>
      <c r="KC448" s="5">
        <f>MIN(1,MAX(0,$KB$26-($A448-1)))</f>
        <v>0</v>
      </c>
      <c r="KD448" s="5">
        <f>$KB$25*(KC448+(1-KC448)*$KB$16)</f>
        <v>0.0</v>
      </c>
      <c r="KE448" s="13">
        <f>KD448*($KB$6+ACUTE_MARGIN)</f>
        <v>0.0</v>
      </c>
      <c r="KF448" s="13">
        <f>IF(KB448=1,$KB$31,$KB$32)</f>
        <v>152394.16214437486</v>
      </c>
      <c r="KG448" s="13">
        <f>KE448-KF448</f>
        <v>-152394.16214437486</v>
      </c>
      <c r="KH448" s="13">
        <f>KH447+KG448</f>
        <v>-17394898.554424558</v>
      </c>
      <c r="KI448">
        <f>IF(KH448=MAX($KH$83:$KH$483),$A448,0)</f>
        <v>0</v>
      </c>
      <c r="KJ448">
        <f>IF(KE448&lt;KF448,$A448,B_MAX+1)</f>
        <v>365</v>
      </c>
      <c r="KK448" s="13">
        <f>IF(KB448=1,$KB$35,$KB$36)</f>
        <v>0</v>
      </c>
      <c r="KL448" s="13">
        <f>OCC_DAYS*$KB$41*R_NF_2023-KD448*MCD_SHARE_FREED*R_WAIT_2023</f>
        <v>151980.48282209205</v>
      </c>
      <c r="KM448">
        <f>IF($A448&lt;=$KB$45,1,0)</f>
        <v>0</v>
      </c>
      <c r="LB448">
        <f>IF($LB$31&lt;=$LB$32,IF($A448&lt;=$LB$7,1,2),IF($A448&lt;=RUNG_BEDS_2,2,1))</f>
        <v>1</v>
      </c>
      <c r="LC448" s="5">
        <f>MIN(1,MAX(0,$LB$26-($A448-1)))</f>
        <v>1</v>
      </c>
      <c r="LD448" s="5">
        <f>$LB$25*(LC448+(1-LC448)*$LB$16)</f>
        <v>84.01774238227146</v>
      </c>
      <c r="LE448" s="13">
        <f>LD448*($LB$6+ACUTE_MARGIN)</f>
        <v>84857.91980609419</v>
      </c>
      <c r="LF448" s="13">
        <f>IF(LB448=1,$LB$31,$LB$32)</f>
        <v>152394.16214437486</v>
      </c>
      <c r="LG448" s="13">
        <f>LE448-LF448</f>
        <v>-67536.24233828067</v>
      </c>
      <c r="LH448" s="13">
        <f>LH447+LG448</f>
        <v>-24650728.45347258</v>
      </c>
      <c r="LI448">
        <f>IF(LH448=MAX($LH$83:$LH$483),$A448,0)</f>
        <v>0</v>
      </c>
      <c r="LJ448">
        <f>IF(LE448&lt;LF448,$A448,B_MAX+1)</f>
        <v>365</v>
      </c>
      <c r="LK448" s="13">
        <f>IF(LB448=1,$LB$35,$LB$36)</f>
        <v>0</v>
      </c>
      <c r="LL448" s="13">
        <f>OCC_DAYS*$LB$41*R_NF_2023-LD448*MCD_SHARE_FREED*R_WAIT_2023</f>
        <v>113776.04162887059</v>
      </c>
      <c r="LM448">
        <f>IF($A448&lt;=$LB$45,1,0)</f>
        <v>0</v>
      </c>
      <c r="MB448">
        <f>IF($MB$31&lt;=$MB$32,IF($A448&lt;=$MB$7,1,2),IF($A448&lt;=RUNG_BEDS_2,2,1))</f>
        <v>1</v>
      </c>
      <c r="MC448" s="5">
        <f>MIN(1,MAX(0,$MB$26-($A448-1)))</f>
        <v>0</v>
      </c>
      <c r="MD448" s="5">
        <f>$MB$25*(MC448+(1-MC448)*$MB$16)</f>
        <v>0.0</v>
      </c>
      <c r="ME448" s="13">
        <f>MD448*($MB$6+ACUTE_MARGIN)</f>
        <v>0.0</v>
      </c>
      <c r="MF448" s="13">
        <f>IF(MB448=1,$MB$31,$MB$32)</f>
        <v>152394.16214437486</v>
      </c>
      <c r="MG448" s="13">
        <f>ME448-MF448</f>
        <v>-152394.16214437486</v>
      </c>
      <c r="MH448" s="13">
        <f>MH447+MG448</f>
        <v>-23282174.61622275</v>
      </c>
      <c r="MI448">
        <f>IF(MH448=MAX($MH$83:$MH$483),$A448,0)</f>
        <v>0</v>
      </c>
      <c r="MJ448">
        <f>IF(ME448&lt;MF448,$A448,B_MAX+1)</f>
        <v>365</v>
      </c>
      <c r="MK448" s="13">
        <f>IF(MB448=1,$MB$35,$MB$36)</f>
        <v>0</v>
      </c>
      <c r="ML448" s="13">
        <f>OCC_DAYS*$MB$41*R_NF_2023-MD448*MCD_SHARE_FREED*R_WAIT_2023</f>
        <v>151980.48282209205</v>
      </c>
      <c r="MM448">
        <f>IF($A448&lt;=$MB$45,1,0)</f>
        <v>0</v>
      </c>
      <c r="NB448">
        <f>IF($NB$31&lt;=$NB$32,IF($A448&lt;=$NB$7,1,2),IF($A448&lt;=RUNG_BEDS_2,2,1))</f>
        <v>1</v>
      </c>
      <c r="NC448" s="5">
        <f>MIN(1,MAX(0,$NB$26-($A448-1)))</f>
        <v>0</v>
      </c>
      <c r="ND448" s="5">
        <f>$NB$25*(NC448+(1-NC448)*$NB$16)</f>
        <v>63.013306786703595</v>
      </c>
      <c r="NE448" s="13">
        <f>ND448*($NB$6+ACUTE_MARGIN)</f>
        <v>63643.43985457063</v>
      </c>
      <c r="NF448" s="13">
        <f>IF(NB448=1,$NB$31,$NB$32)</f>
        <v>152394.16214437486</v>
      </c>
      <c r="NG448" s="13">
        <f>NE448-NF448</f>
        <v>-88750.72228980422</v>
      </c>
      <c r="NH448" s="13">
        <f>NH447+NG448</f>
        <v>-3722285.6645743204</v>
      </c>
      <c r="NI448">
        <f>IF(NH448=MAX($NH$83:$NH$483),$A448,0)</f>
        <v>0</v>
      </c>
      <c r="NJ448">
        <f>IF(NE448&lt;NF448,$A448,B_MAX+1)</f>
        <v>365</v>
      </c>
      <c r="NK448" s="13">
        <f>IF(NB448=1,$NB$35,$NB$36)</f>
        <v>0</v>
      </c>
      <c r="NL448" s="13">
        <f>OCC_DAYS*$NB$41*R_NF_2023-ND448*MCD_SHARE_FREED*R_WAIT_2023</f>
        <v>123327.15192717595</v>
      </c>
      <c r="NM448">
        <f>IF($A448&lt;=$NB$45,1,0)</f>
        <v>0</v>
      </c>
      <c r="OB448">
        <f>IF($OB$31&lt;=$OB$32,IF($A448&lt;=$OB$7,1,2),IF($A448&lt;=RUNG_BEDS_2,2,1))</f>
        <v>1</v>
      </c>
      <c r="OC448" s="5">
        <f>MIN(1,MAX(0,$OB$26-($A448-1)))</f>
        <v>0</v>
      </c>
      <c r="OD448" s="5">
        <f>$OB$25*(OC448+(1-OC448)*$OB$16)</f>
        <v>126.02661357340719</v>
      </c>
      <c r="OE448" s="13">
        <f>OD448*($OB$6+ACUTE_MARGIN)</f>
        <v>127286.87970914126</v>
      </c>
      <c r="OF448" s="13">
        <f>IF(OB448=1,$OB$31,$OB$32)</f>
        <v>152394.16214437486</v>
      </c>
      <c r="OG448" s="13">
        <f>OE448-OF448</f>
        <v>-25107.282435233603</v>
      </c>
      <c r="OH448" s="13">
        <f>OH447+OG448</f>
        <v>9950327.225276096</v>
      </c>
      <c r="OI448">
        <f>IF(OH448=MAX($OH$83:$OH$483),$A448,0)</f>
        <v>0</v>
      </c>
      <c r="OJ448">
        <f>IF(OE448&lt;OF448,$A448,B_MAX+1)</f>
        <v>365</v>
      </c>
      <c r="OK448" s="13">
        <f>IF(OB448=1,$OB$35,$OB$36)</f>
        <v>0</v>
      </c>
      <c r="OL448" s="13">
        <f>OCC_DAYS*$OB$41*R_NF_2023-OD448*MCD_SHARE_FREED*R_WAIT_2023</f>
        <v>94673.82103225985</v>
      </c>
      <c r="OM448">
        <f>IF($A448&lt;=$OB$45,1,0)</f>
        <v>0</v>
      </c>
    </row>
    <row r="449">
      <c r="A449" t="n">
        <v>366</v>
      </c>
      <c r="B449">
        <f>IF($B$31&lt;=$B$32,IF($A449&lt;=$B$7,1,2),IF($A449&lt;=RUNG_BEDS_2,2,1))</f>
        <v>1</v>
      </c>
      <c r="C449" s="5">
        <f>MIN(1,MAX(0,$B$26-($A449-1)))</f>
        <v>0</v>
      </c>
      <c r="D449" s="5">
        <f>$B$25*(C449+(1-C449)*$B$16)</f>
        <v>0.0</v>
      </c>
      <c r="E449" s="13">
        <f>D449*($B$6+ACUTE_MARGIN)</f>
        <v>0.0</v>
      </c>
      <c r="F449" s="13">
        <f>IF(B449=1,$B$31,$B$32)</f>
        <v>152394.16214437486</v>
      </c>
      <c r="G449" s="13">
        <f>E449-F449</f>
        <v>-152394.16214437486</v>
      </c>
      <c r="H449" s="13">
        <f>H448+G449</f>
        <v>-17547292.716568824</v>
      </c>
      <c r="I449">
        <f>IF(H449=MAX($H$83:$H$483),$A449,0)</f>
        <v>0</v>
      </c>
      <c r="J449">
        <f>IF(E449&lt;F449,$A449,B_MAX+1)</f>
        <v>366</v>
      </c>
      <c r="K449" s="13">
        <f>IF(B449=1,$B$35,$B$36)</f>
        <v>0</v>
      </c>
      <c r="L449" s="13">
        <f>OCC_DAYS*$B$41*R_NF_2023-D449*MCD_SHARE_FREED*R_WAIT_2023</f>
        <v>151980.48282209205</v>
      </c>
      <c r="M449">
        <f>IF($A449&lt;=$B$45,1,0)</f>
        <v>0</v>
      </c>
      <c r="AB449">
        <f>IF($AB$31&lt;=$AB$32,IF($A449&lt;=$AB$7,1,2),IF($A449&lt;=RUNG_BEDS_2,2,1))</f>
        <v>1</v>
      </c>
      <c r="AC449" s="5">
        <f>MIN(1,MAX(0,$AB$26-($A449-1)))</f>
        <v>0</v>
      </c>
      <c r="AD449" s="5">
        <f>$AB$25*(AC449+(1-AC449)*$AB$16)</f>
        <v>0.0</v>
      </c>
      <c r="AE449" s="13">
        <f>AD449*($AB$6+ACUTE_MARGIN)</f>
        <v>0.0</v>
      </c>
      <c r="AF449" s="13">
        <f>IF(AB449=1,$AB$31,$AB$32)</f>
        <v>152394.16214437486</v>
      </c>
      <c r="AG449" s="13">
        <f>AE449-AF449</f>
        <v>-152394.16214437486</v>
      </c>
      <c r="AH449" s="13">
        <f>AH448+AG449</f>
        <v>-34958507.0621186</v>
      </c>
      <c r="AI449">
        <f>IF(AH449=MAX($AH$83:$AH$483),$A449,0)</f>
        <v>0</v>
      </c>
      <c r="AJ449">
        <f>IF(AE449&lt;AF449,$A449,B_MAX+1)</f>
        <v>366</v>
      </c>
      <c r="AK449" s="13">
        <f>IF(AB449=1,$AB$35,$AB$36)</f>
        <v>0</v>
      </c>
      <c r="AL449" s="13">
        <f>OCC_DAYS*$AB$41*R_NF_2023-AD449*MCD_SHARE_FREED*R_WAIT_2023</f>
        <v>151980.48282209205</v>
      </c>
      <c r="AM449">
        <f>IF($A449&lt;=$AB$45,1,0)</f>
        <v>0</v>
      </c>
      <c r="BB449">
        <f>IF($BB$31&lt;=$BB$32,IF($A449&lt;=$BB$7,1,2),IF($A449&lt;=RUNG_BEDS_2,2,1))</f>
        <v>1</v>
      </c>
      <c r="BC449" s="5">
        <f>MIN(1,MAX(0,$BB$26-($A449-1)))</f>
        <v>0</v>
      </c>
      <c r="BD449" s="5">
        <f>$BB$25*(BC449+(1-BC449)*$BB$16)</f>
        <v>0.0</v>
      </c>
      <c r="BE449" s="13">
        <f>BD449*($BB$6+ACUTE_MARGIN)</f>
        <v>0.0</v>
      </c>
      <c r="BF449" s="13">
        <f>IF(BB449=1,$BB$31,$BB$32)</f>
        <v>152394.16214437486</v>
      </c>
      <c r="BG449" s="13">
        <f>BE449-BF449</f>
        <v>-152394.16214437486</v>
      </c>
      <c r="BH449" s="13">
        <f>BH448+BG449</f>
        <v>-136078.37101911433</v>
      </c>
      <c r="BI449">
        <f>IF(BH449=MAX($BH$83:$BH$483),$A449,0)</f>
        <v>0</v>
      </c>
      <c r="BJ449">
        <f>IF(BE449&lt;BF449,$A449,B_MAX+1)</f>
        <v>366</v>
      </c>
      <c r="BK449" s="13">
        <f>IF(BB449=1,$BB$35,$BB$36)</f>
        <v>0</v>
      </c>
      <c r="BL449" s="13">
        <f>OCC_DAYS*$BB$41*R_NF_2023-BD449*MCD_SHARE_FREED*R_WAIT_2023</f>
        <v>151980.48282209205</v>
      </c>
      <c r="BM449">
        <f>IF($A449&lt;=$BB$45,1,0)</f>
        <v>0</v>
      </c>
      <c r="CB449">
        <f>IF($CB$31&lt;=$CB$32,IF($A449&lt;=$CB$7,1,2),IF($A449&lt;=RUNG_BEDS_2,2,1))</f>
        <v>2</v>
      </c>
      <c r="CC449" s="5">
        <f>MIN(1,MAX(0,$CB$26-($A449-1)))</f>
        <v>0</v>
      </c>
      <c r="CD449" s="5">
        <f>$CB$25*(CC449+(1-CC449)*$CB$16)</f>
        <v>0.0</v>
      </c>
      <c r="CE449" s="13">
        <f>CD449*($CB$6+ACUTE_MARGIN)</f>
        <v>0.0</v>
      </c>
      <c r="CF449" s="13">
        <f>IF(CB449=1,$CB$31,$CB$32)</f>
        <v>160718.36940738867</v>
      </c>
      <c r="CG449" s="13">
        <f>CE449-CF449</f>
        <v>-160718.36940738867</v>
      </c>
      <c r="CH449" s="13">
        <f>CH448+CG449</f>
        <v>-20593952.574832074</v>
      </c>
      <c r="CI449">
        <f>IF(CH449=MAX($CH$83:$CH$483),$A449,0)</f>
        <v>0</v>
      </c>
      <c r="CJ449">
        <f>IF(CE449&lt;CF449,$A449,B_MAX+1)</f>
        <v>366</v>
      </c>
      <c r="CK449" s="13">
        <f>IF(CB449=1,$CB$35,$CB$36)</f>
        <v>1560.1194073886782</v>
      </c>
      <c r="CL449" s="13">
        <f>OCC_DAYS*$CB$41*R_NF_2023-CD449*MCD_SHARE_FREED*R_WAIT_2023</f>
        <v>151980.48282209205</v>
      </c>
      <c r="CM449">
        <f>IF($A449&lt;=$CB$45,1,0)</f>
        <v>0</v>
      </c>
      <c r="DB449">
        <f>IF($DB$31&lt;=$DB$32,IF($A449&lt;=$DB$7,1,2),IF($A449&lt;=RUNG_BEDS_2,2,1))</f>
        <v>1</v>
      </c>
      <c r="DC449" s="5">
        <f>MIN(1,MAX(0,$DB$26-($A449-1)))</f>
        <v>0</v>
      </c>
      <c r="DD449" s="5">
        <f>$DB$25*(DC449+(1-DC449)*$DB$16)</f>
        <v>0.0</v>
      </c>
      <c r="DE449" s="13">
        <f>DD449*($DB$6+ACUTE_MARGIN)</f>
        <v>0.0</v>
      </c>
      <c r="DF449" s="13">
        <f>IF(DB449=1,$DB$31,$DB$32)</f>
        <v>152394.16214437486</v>
      </c>
      <c r="DG449" s="13">
        <f>DE449-DF449</f>
        <v>-152394.16214437486</v>
      </c>
      <c r="DH449" s="13">
        <f>DH448+DG449</f>
        <v>-17547292.716568824</v>
      </c>
      <c r="DI449">
        <f>IF(DH449=MAX($DH$83:$DH$483),$A449,0)</f>
        <v>0</v>
      </c>
      <c r="DJ449">
        <f>IF(DE449&lt;DF449,$A449,B_MAX+1)</f>
        <v>366</v>
      </c>
      <c r="DK449" s="13">
        <f>IF(DB449=1,$DB$35,$DB$36)</f>
        <v>0</v>
      </c>
      <c r="DL449" s="13">
        <f>OCC_DAYS*$DB$41*R_NF_2023-DD449*MCD_SHARE_FREED*R_WAIT_2023</f>
        <v>151980.48282209205</v>
      </c>
      <c r="DM449">
        <f>IF($A449&lt;=$DB$45,1,0)</f>
        <v>0</v>
      </c>
      <c r="EB449">
        <f>IF($EB$31&lt;=$EB$32,IF($A449&lt;=$EB$7,1,2),IF($A449&lt;=RUNG_BEDS_2,2,1))</f>
        <v>1</v>
      </c>
      <c r="EC449" s="5">
        <f>MIN(1,MAX(0,$EB$26-($A449-1)))</f>
        <v>0</v>
      </c>
      <c r="ED449" s="5">
        <f>$EB$25*(EC449+(1-EC449)*$EB$16)</f>
        <v>0.0</v>
      </c>
      <c r="EE449" s="13">
        <f>ED449*($EB$6+ACUTE_MARGIN)</f>
        <v>0.0</v>
      </c>
      <c r="EF449" s="13">
        <f>IF(EB449=1,$EB$31,$EB$32)</f>
        <v>152394.16214437486</v>
      </c>
      <c r="EG449" s="13">
        <f>EE449-EF449</f>
        <v>-152394.16214437486</v>
      </c>
      <c r="EH449" s="13">
        <f>EH448+EG449</f>
        <v>-17547292.716568824</v>
      </c>
      <c r="EI449">
        <f>IF(EH449=MAX($EH$83:$EH$483),$A449,0)</f>
        <v>0</v>
      </c>
      <c r="EJ449">
        <f>IF(EE449&lt;EF449,$A449,B_MAX+1)</f>
        <v>366</v>
      </c>
      <c r="EK449" s="13">
        <f>IF(EB449=1,$EB$35,$EB$36)</f>
        <v>0</v>
      </c>
      <c r="EL449" s="13">
        <f>OCC_DAYS*$EB$41*R_NF_2023-ED449*MCD_SHARE_FREED*R_WAIT_2023</f>
        <v>50660.16094069735</v>
      </c>
      <c r="EM449">
        <f>IF($A449&lt;=$EB$45,1,0)</f>
        <v>0</v>
      </c>
      <c r="FB449">
        <f>IF($FB$31&lt;=$FB$32,IF($A449&lt;=$FB$7,1,2),IF($A449&lt;=RUNG_BEDS_2,2,1))</f>
        <v>1</v>
      </c>
      <c r="FC449" s="5">
        <f>MIN(1,MAX(0,$FB$26-($A449-1)))</f>
        <v>0</v>
      </c>
      <c r="FD449" s="5">
        <f>$FB$25*(FC449+(1-FC449)*$FB$16)</f>
        <v>0.0</v>
      </c>
      <c r="FE449" s="13">
        <f>FD449*($FB$6+ACUTE_MARGIN)</f>
        <v>0.0</v>
      </c>
      <c r="FF449" s="13">
        <f>IF(FB449=1,$FB$31,$FB$32)</f>
        <v>156636.04979437485</v>
      </c>
      <c r="FG449" s="13">
        <f>FE449-FF449</f>
        <v>-156636.04979437485</v>
      </c>
      <c r="FH449" s="13">
        <f>FH448+FG449</f>
        <v>-19099823.59646895</v>
      </c>
      <c r="FI449">
        <f>IF(FH449=MAX($FH$83:$FH$483),$A449,0)</f>
        <v>0</v>
      </c>
      <c r="FJ449">
        <f>IF(FE449&lt;FF449,$A449,B_MAX+1)</f>
        <v>366</v>
      </c>
      <c r="FK449" s="13">
        <f>IF(FB449=1,$FB$35,$FB$36)</f>
        <v>0</v>
      </c>
      <c r="FL449" s="13">
        <f>OCC_DAYS*$FB$41*R_NF_2023-FD449*MCD_SHARE_FREED*R_WAIT_2023</f>
        <v>151980.48282209205</v>
      </c>
      <c r="FM449">
        <f>IF($A449&lt;=$FB$45,1,0)</f>
        <v>0</v>
      </c>
      <c r="GB449">
        <f>IF($GB$31&lt;=$GB$32,IF($A449&lt;=$GB$7,1,2),IF($A449&lt;=RUNG_BEDS_2,2,1))</f>
        <v>1</v>
      </c>
      <c r="GC449" s="5">
        <f>MIN(1,MAX(0,$GB$26-($A449-1)))</f>
        <v>0</v>
      </c>
      <c r="GD449" s="5">
        <f>$GB$25*(GC449+(1-GC449)*$GB$16)</f>
        <v>0.0</v>
      </c>
      <c r="GE449" s="13">
        <f>GD449*($GB$6+ACUTE_MARGIN)</f>
        <v>0.0</v>
      </c>
      <c r="GF449" s="13">
        <f>IF(GB449=1,$GB$31,$GB$32)</f>
        <v>152394.16214437486</v>
      </c>
      <c r="GG449" s="13">
        <f>GE449-GF449</f>
        <v>-152394.16214437486</v>
      </c>
      <c r="GH449" s="13">
        <f>GH448+GG449</f>
        <v>-17547292.716568824</v>
      </c>
      <c r="GI449">
        <f>IF(GH449=MAX($GH$83:$GH$483),$A449,0)</f>
        <v>0</v>
      </c>
      <c r="GJ449">
        <f>IF(GE449&lt;GF449,$A449,B_MAX+1)</f>
        <v>366</v>
      </c>
      <c r="GK449" s="13">
        <f>IF(GB449=1,$GB$35,$GB$36)</f>
        <v>0</v>
      </c>
      <c r="GL449" s="13">
        <f>OCC_DAYS*$GB$41*R_NF_2023-GD449*MCD_SHARE_FREED*R_WAIT_2023</f>
        <v>151980.48282209205</v>
      </c>
      <c r="GM449">
        <f>IF($A449&lt;=$GB$45,1,0)</f>
        <v>0</v>
      </c>
      <c r="HB449">
        <f>IF($HB$31&lt;=$HB$32,IF($A449&lt;=$HB$7,1,2),IF($A449&lt;=RUNG_BEDS_2,2,1))</f>
        <v>1</v>
      </c>
      <c r="HC449" s="5">
        <f>MIN(1,MAX(0,$HB$26-($A449-1)))</f>
        <v>0</v>
      </c>
      <c r="HD449" s="5">
        <f>$HB$25*(HC449+(1-HC449)*$HB$16)</f>
        <v>0.0</v>
      </c>
      <c r="HE449" s="13">
        <f>HD449*($HB$6+ACUTE_MARGIN)</f>
        <v>0.0</v>
      </c>
      <c r="HF449" s="13">
        <f>IF(HB449=1,$HB$31,$HB$32)</f>
        <v>152456.2970814058</v>
      </c>
      <c r="HG449" s="13">
        <f>HE449-HF449</f>
        <v>-152456.2970814058</v>
      </c>
      <c r="HH449" s="13">
        <f>HH448+HG449</f>
        <v>-17570034.10352222</v>
      </c>
      <c r="HI449">
        <f>IF(HH449=MAX($HH$83:$HH$483),$A449,0)</f>
        <v>0</v>
      </c>
      <c r="HJ449">
        <f>IF(HE449&lt;HF449,$A449,B_MAX+1)</f>
        <v>366</v>
      </c>
      <c r="HK449" s="13">
        <f>IF(HB449=1,$HB$35,$HB$36)</f>
        <v>0</v>
      </c>
      <c r="HL449" s="13">
        <f>OCC_DAYS*$HB$41*R_NF_2023-HD449*MCD_SHARE_FREED*R_WAIT_2023</f>
        <v>151980.48282209205</v>
      </c>
      <c r="HM449">
        <f>IF($A449&lt;=$HB$45,1,0)</f>
        <v>0</v>
      </c>
      <c r="IB449">
        <f>IF($IB$31&lt;=$IB$32,IF($A449&lt;=$IB$7,1,2),IF($A449&lt;=RUNG_BEDS_2,2,1))</f>
        <v>1</v>
      </c>
      <c r="IC449" s="5">
        <f>MIN(1,MAX(0,$IB$26-($A449-1)))</f>
        <v>0</v>
      </c>
      <c r="ID449" s="5">
        <f>$IB$25*(IC449+(1-IC449)*$IB$16)</f>
        <v>0.0</v>
      </c>
      <c r="IE449" s="13">
        <f>ID449*($IB$6+ACUTE_MARGIN)</f>
        <v>0.0</v>
      </c>
      <c r="IF449" s="13">
        <f>IF(IB449=1,$IB$31,$IB$32)</f>
        <v>152734.9994534971</v>
      </c>
      <c r="IG449" s="13">
        <f>IE449-IF449</f>
        <v>-152734.9994534971</v>
      </c>
      <c r="IH449" s="13">
        <f>IH448+IG449</f>
        <v>-17672039.17170764</v>
      </c>
      <c r="II449">
        <f>IF(IH449=MAX($IH$83:$IH$483),$A449,0)</f>
        <v>0</v>
      </c>
      <c r="IJ449">
        <f>IF(IE449&lt;IF449,$A449,B_MAX+1)</f>
        <v>366</v>
      </c>
      <c r="IK449" s="13">
        <f>IF(IB449=1,$IB$35,$IB$36)</f>
        <v>0</v>
      </c>
      <c r="IL449" s="13">
        <f>OCC_DAYS*$IB$41*R_NF_2023-ID449*MCD_SHARE_FREED*R_WAIT_2023</f>
        <v>151980.48282209205</v>
      </c>
      <c r="IM449">
        <f>IF($A449&lt;=$IB$45,1,0)</f>
        <v>0</v>
      </c>
      <c r="JB449">
        <f>IF($JB$31&lt;=$JB$32,IF($A449&lt;=$JB$7,1,2),IF($A449&lt;=RUNG_BEDS_2,2,1))</f>
        <v>1</v>
      </c>
      <c r="JC449" s="5">
        <f>MIN(1,MAX(0,$JB$26-($A449-1)))</f>
        <v>0</v>
      </c>
      <c r="JD449" s="5">
        <f>$JB$25*(JC449+(1-JC449)*$JB$16)</f>
        <v>0.0</v>
      </c>
      <c r="JE449" s="13">
        <f>JD449*($JB$6+ACUTE_MARGIN)</f>
        <v>0.0</v>
      </c>
      <c r="JF449" s="13">
        <f>IF(JB449=1,$JB$31,$JB$32)</f>
        <v>152394.16214437486</v>
      </c>
      <c r="JG449" s="13">
        <f>JE449-JF449</f>
        <v>-152394.16214437486</v>
      </c>
      <c r="JH449" s="13">
        <f>JH448+JG449</f>
        <v>-17547292.716568824</v>
      </c>
      <c r="JI449">
        <f>IF(JH449=MAX($JH$83:$JH$483),$A449,0)</f>
        <v>0</v>
      </c>
      <c r="JJ449">
        <f>IF(JE449&lt;JF449,$A449,B_MAX+1)</f>
        <v>366</v>
      </c>
      <c r="JK449" s="13">
        <f>IF(JB449=1,$JB$35,$JB$36)</f>
        <v>0</v>
      </c>
      <c r="JL449" s="13">
        <f>OCC_DAYS*$JB$41*R_NF_2023-JD449*MCD_SHARE_FREED*R_WAIT_2023</f>
        <v>151980.48282209205</v>
      </c>
      <c r="JM449">
        <f>IF($A449&lt;=$JB$45,1,0)</f>
        <v>0</v>
      </c>
      <c r="KB449">
        <f>IF($KB$31&lt;=$KB$32,IF($A449&lt;=$KB$7,1,2),IF($A449&lt;=RUNG_BEDS_2,2,1))</f>
        <v>1</v>
      </c>
      <c r="KC449" s="5">
        <f>MIN(1,MAX(0,$KB$26-($A449-1)))</f>
        <v>0</v>
      </c>
      <c r="KD449" s="5">
        <f>$KB$25*(KC449+(1-KC449)*$KB$16)</f>
        <v>0.0</v>
      </c>
      <c r="KE449" s="13">
        <f>KD449*($KB$6+ACUTE_MARGIN)</f>
        <v>0.0</v>
      </c>
      <c r="KF449" s="13">
        <f>IF(KB449=1,$KB$31,$KB$32)</f>
        <v>152394.16214437486</v>
      </c>
      <c r="KG449" s="13">
        <f>KE449-KF449</f>
        <v>-152394.16214437486</v>
      </c>
      <c r="KH449" s="13">
        <f>KH448+KG449</f>
        <v>-17547292.716568932</v>
      </c>
      <c r="KI449">
        <f>IF(KH449=MAX($KH$83:$KH$483),$A449,0)</f>
        <v>0</v>
      </c>
      <c r="KJ449">
        <f>IF(KE449&lt;KF449,$A449,B_MAX+1)</f>
        <v>366</v>
      </c>
      <c r="KK449" s="13">
        <f>IF(KB449=1,$KB$35,$KB$36)</f>
        <v>0</v>
      </c>
      <c r="KL449" s="13">
        <f>OCC_DAYS*$KB$41*R_NF_2023-KD449*MCD_SHARE_FREED*R_WAIT_2023</f>
        <v>151980.48282209205</v>
      </c>
      <c r="KM449">
        <f>IF($A449&lt;=$KB$45,1,0)</f>
        <v>0</v>
      </c>
      <c r="LB449">
        <f>IF($LB$31&lt;=$LB$32,IF($A449&lt;=$LB$7,1,2),IF($A449&lt;=RUNG_BEDS_2,2,1))</f>
        <v>1</v>
      </c>
      <c r="LC449" s="5">
        <f>MIN(1,MAX(0,$LB$26-($A449-1)))</f>
        <v>1</v>
      </c>
      <c r="LD449" s="5">
        <f>$LB$25*(LC449+(1-LC449)*$LB$16)</f>
        <v>84.01774238227146</v>
      </c>
      <c r="LE449" s="13">
        <f>LD449*($LB$6+ACUTE_MARGIN)</f>
        <v>84857.91980609419</v>
      </c>
      <c r="LF449" s="13">
        <f>IF(LB449=1,$LB$31,$LB$32)</f>
        <v>152394.16214437486</v>
      </c>
      <c r="LG449" s="13">
        <f>LE449-LF449</f>
        <v>-67536.24233828067</v>
      </c>
      <c r="LH449" s="13">
        <f>LH448+LG449</f>
        <v>-24718264.695810862</v>
      </c>
      <c r="LI449">
        <f>IF(LH449=MAX($LH$83:$LH$483),$A449,0)</f>
        <v>0</v>
      </c>
      <c r="LJ449">
        <f>IF(LE449&lt;LF449,$A449,B_MAX+1)</f>
        <v>366</v>
      </c>
      <c r="LK449" s="13">
        <f>IF(LB449=1,$LB$35,$LB$36)</f>
        <v>0</v>
      </c>
      <c r="LL449" s="13">
        <f>OCC_DAYS*$LB$41*R_NF_2023-LD449*MCD_SHARE_FREED*R_WAIT_2023</f>
        <v>113776.04162887059</v>
      </c>
      <c r="LM449">
        <f>IF($A449&lt;=$LB$45,1,0)</f>
        <v>0</v>
      </c>
      <c r="MB449">
        <f>IF($MB$31&lt;=$MB$32,IF($A449&lt;=$MB$7,1,2),IF($A449&lt;=RUNG_BEDS_2,2,1))</f>
        <v>1</v>
      </c>
      <c r="MC449" s="5">
        <f>MIN(1,MAX(0,$MB$26-($A449-1)))</f>
        <v>0</v>
      </c>
      <c r="MD449" s="5">
        <f>$MB$25*(MC449+(1-MC449)*$MB$16)</f>
        <v>0.0</v>
      </c>
      <c r="ME449" s="13">
        <f>MD449*($MB$6+ACUTE_MARGIN)</f>
        <v>0.0</v>
      </c>
      <c r="MF449" s="13">
        <f>IF(MB449=1,$MB$31,$MB$32)</f>
        <v>152394.16214437486</v>
      </c>
      <c r="MG449" s="13">
        <f>ME449-MF449</f>
        <v>-152394.16214437486</v>
      </c>
      <c r="MH449" s="13">
        <f>MH448+MG449</f>
        <v>-23434568.778367124</v>
      </c>
      <c r="MI449">
        <f>IF(MH449=MAX($MH$83:$MH$483),$A449,0)</f>
        <v>0</v>
      </c>
      <c r="MJ449">
        <f>IF(ME449&lt;MF449,$A449,B_MAX+1)</f>
        <v>366</v>
      </c>
      <c r="MK449" s="13">
        <f>IF(MB449=1,$MB$35,$MB$36)</f>
        <v>0</v>
      </c>
      <c r="ML449" s="13">
        <f>OCC_DAYS*$MB$41*R_NF_2023-MD449*MCD_SHARE_FREED*R_WAIT_2023</f>
        <v>151980.48282209205</v>
      </c>
      <c r="MM449">
        <f>IF($A449&lt;=$MB$45,1,0)</f>
        <v>0</v>
      </c>
      <c r="NB449">
        <f>IF($NB$31&lt;=$NB$32,IF($A449&lt;=$NB$7,1,2),IF($A449&lt;=RUNG_BEDS_2,2,1))</f>
        <v>1</v>
      </c>
      <c r="NC449" s="5">
        <f>MIN(1,MAX(0,$NB$26-($A449-1)))</f>
        <v>0</v>
      </c>
      <c r="ND449" s="5">
        <f>$NB$25*(NC449+(1-NC449)*$NB$16)</f>
        <v>63.013306786703595</v>
      </c>
      <c r="NE449" s="13">
        <f>ND449*($NB$6+ACUTE_MARGIN)</f>
        <v>63643.43985457063</v>
      </c>
      <c r="NF449" s="13">
        <f>IF(NB449=1,$NB$31,$NB$32)</f>
        <v>152394.16214437486</v>
      </c>
      <c r="NG449" s="13">
        <f>NE449-NF449</f>
        <v>-88750.72228980422</v>
      </c>
      <c r="NH449" s="13">
        <f>NH448+NG449</f>
        <v>-3811036.386864125</v>
      </c>
      <c r="NI449">
        <f>IF(NH449=MAX($NH$83:$NH$483),$A449,0)</f>
        <v>0</v>
      </c>
      <c r="NJ449">
        <f>IF(NE449&lt;NF449,$A449,B_MAX+1)</f>
        <v>366</v>
      </c>
      <c r="NK449" s="13">
        <f>IF(NB449=1,$NB$35,$NB$36)</f>
        <v>0</v>
      </c>
      <c r="NL449" s="13">
        <f>OCC_DAYS*$NB$41*R_NF_2023-ND449*MCD_SHARE_FREED*R_WAIT_2023</f>
        <v>123327.15192717595</v>
      </c>
      <c r="NM449">
        <f>IF($A449&lt;=$NB$45,1,0)</f>
        <v>0</v>
      </c>
      <c r="OB449">
        <f>IF($OB$31&lt;=$OB$32,IF($A449&lt;=$OB$7,1,2),IF($A449&lt;=RUNG_BEDS_2,2,1))</f>
        <v>1</v>
      </c>
      <c r="OC449" s="5">
        <f>MIN(1,MAX(0,$OB$26-($A449-1)))</f>
        <v>0</v>
      </c>
      <c r="OD449" s="5">
        <f>$OB$25*(OC449+(1-OC449)*$OB$16)</f>
        <v>126.02661357340719</v>
      </c>
      <c r="OE449" s="13">
        <f>OD449*($OB$6+ACUTE_MARGIN)</f>
        <v>127286.87970914126</v>
      </c>
      <c r="OF449" s="13">
        <f>IF(OB449=1,$OB$31,$OB$32)</f>
        <v>152394.16214437486</v>
      </c>
      <c r="OG449" s="13">
        <f>OE449-OF449</f>
        <v>-25107.282435233603</v>
      </c>
      <c r="OH449" s="13">
        <f>OH448+OG449</f>
        <v>9925219.942840863</v>
      </c>
      <c r="OI449">
        <f>IF(OH449=MAX($OH$83:$OH$483),$A449,0)</f>
        <v>0</v>
      </c>
      <c r="OJ449">
        <f>IF(OE449&lt;OF449,$A449,B_MAX+1)</f>
        <v>366</v>
      </c>
      <c r="OK449" s="13">
        <f>IF(OB449=1,$OB$35,$OB$36)</f>
        <v>0</v>
      </c>
      <c r="OL449" s="13">
        <f>OCC_DAYS*$OB$41*R_NF_2023-OD449*MCD_SHARE_FREED*R_WAIT_2023</f>
        <v>94673.82103225985</v>
      </c>
      <c r="OM449">
        <f>IF($A449&lt;=$OB$45,1,0)</f>
        <v>0</v>
      </c>
    </row>
    <row r="450">
      <c r="A450" t="n">
        <v>367</v>
      </c>
      <c r="B450">
        <f>IF($B$31&lt;=$B$32,IF($A450&lt;=$B$7,1,2),IF($A450&lt;=RUNG_BEDS_2,2,1))</f>
        <v>1</v>
      </c>
      <c r="C450" s="5">
        <f>MIN(1,MAX(0,$B$26-($A450-1)))</f>
        <v>0</v>
      </c>
      <c r="D450" s="5">
        <f>$B$25*(C450+(1-C450)*$B$16)</f>
        <v>0.0</v>
      </c>
      <c r="E450" s="13">
        <f>D450*($B$6+ACUTE_MARGIN)</f>
        <v>0.0</v>
      </c>
      <c r="F450" s="13">
        <f>IF(B450=1,$B$31,$B$32)</f>
        <v>152394.16214437486</v>
      </c>
      <c r="G450" s="13">
        <f>E450-F450</f>
        <v>-152394.16214437486</v>
      </c>
      <c r="H450" s="13">
        <f>H449+G450</f>
        <v>-17699686.878713198</v>
      </c>
      <c r="I450">
        <f>IF(H450=MAX($H$83:$H$483),$A450,0)</f>
        <v>0</v>
      </c>
      <c r="J450">
        <f>IF(E450&lt;F450,$A450,B_MAX+1)</f>
        <v>367</v>
      </c>
      <c r="K450" s="13">
        <f>IF(B450=1,$B$35,$B$36)</f>
        <v>0</v>
      </c>
      <c r="L450" s="13">
        <f>OCC_DAYS*$B$41*R_NF_2023-D450*MCD_SHARE_FREED*R_WAIT_2023</f>
        <v>151980.48282209205</v>
      </c>
      <c r="M450">
        <f>IF($A450&lt;=$B$45,1,0)</f>
        <v>0</v>
      </c>
      <c r="AB450">
        <f>IF($AB$31&lt;=$AB$32,IF($A450&lt;=$AB$7,1,2),IF($A450&lt;=RUNG_BEDS_2,2,1))</f>
        <v>1</v>
      </c>
      <c r="AC450" s="5">
        <f>MIN(1,MAX(0,$AB$26-($A450-1)))</f>
        <v>0</v>
      </c>
      <c r="AD450" s="5">
        <f>$AB$25*(AC450+(1-AC450)*$AB$16)</f>
        <v>0.0</v>
      </c>
      <c r="AE450" s="13">
        <f>AD450*($AB$6+ACUTE_MARGIN)</f>
        <v>0.0</v>
      </c>
      <c r="AF450" s="13">
        <f>IF(AB450=1,$AB$31,$AB$32)</f>
        <v>152394.16214437486</v>
      </c>
      <c r="AG450" s="13">
        <f>AE450-AF450</f>
        <v>-152394.16214437486</v>
      </c>
      <c r="AH450" s="13">
        <f>AH449+AG450</f>
        <v>-35110901.224262975</v>
      </c>
      <c r="AI450">
        <f>IF(AH450=MAX($AH$83:$AH$483),$A450,0)</f>
        <v>0</v>
      </c>
      <c r="AJ450">
        <f>IF(AE450&lt;AF450,$A450,B_MAX+1)</f>
        <v>367</v>
      </c>
      <c r="AK450" s="13">
        <f>IF(AB450=1,$AB$35,$AB$36)</f>
        <v>0</v>
      </c>
      <c r="AL450" s="13">
        <f>OCC_DAYS*$AB$41*R_NF_2023-AD450*MCD_SHARE_FREED*R_WAIT_2023</f>
        <v>151980.48282209205</v>
      </c>
      <c r="AM450">
        <f>IF($A450&lt;=$AB$45,1,0)</f>
        <v>0</v>
      </c>
      <c r="BB450">
        <f>IF($BB$31&lt;=$BB$32,IF($A450&lt;=$BB$7,1,2),IF($A450&lt;=RUNG_BEDS_2,2,1))</f>
        <v>1</v>
      </c>
      <c r="BC450" s="5">
        <f>MIN(1,MAX(0,$BB$26-($A450-1)))</f>
        <v>0</v>
      </c>
      <c r="BD450" s="5">
        <f>$BB$25*(BC450+(1-BC450)*$BB$16)</f>
        <v>0.0</v>
      </c>
      <c r="BE450" s="13">
        <f>BD450*($BB$6+ACUTE_MARGIN)</f>
        <v>0.0</v>
      </c>
      <c r="BF450" s="13">
        <f>IF(BB450=1,$BB$31,$BB$32)</f>
        <v>152394.16214437486</v>
      </c>
      <c r="BG450" s="13">
        <f>BE450-BF450</f>
        <v>-152394.16214437486</v>
      </c>
      <c r="BH450" s="13">
        <f>BH449+BG450</f>
        <v>-288472.5331634892</v>
      </c>
      <c r="BI450">
        <f>IF(BH450=MAX($BH$83:$BH$483),$A450,0)</f>
        <v>0</v>
      </c>
      <c r="BJ450">
        <f>IF(BE450&lt;BF450,$A450,B_MAX+1)</f>
        <v>367</v>
      </c>
      <c r="BK450" s="13">
        <f>IF(BB450=1,$BB$35,$BB$36)</f>
        <v>0</v>
      </c>
      <c r="BL450" s="13">
        <f>OCC_DAYS*$BB$41*R_NF_2023-BD450*MCD_SHARE_FREED*R_WAIT_2023</f>
        <v>151980.48282209205</v>
      </c>
      <c r="BM450">
        <f>IF($A450&lt;=$BB$45,1,0)</f>
        <v>0</v>
      </c>
      <c r="CB450">
        <f>IF($CB$31&lt;=$CB$32,IF($A450&lt;=$CB$7,1,2),IF($A450&lt;=RUNG_BEDS_2,2,1))</f>
        <v>2</v>
      </c>
      <c r="CC450" s="5">
        <f>MIN(1,MAX(0,$CB$26-($A450-1)))</f>
        <v>0</v>
      </c>
      <c r="CD450" s="5">
        <f>$CB$25*(CC450+(1-CC450)*$CB$16)</f>
        <v>0.0</v>
      </c>
      <c r="CE450" s="13">
        <f>CD450*($CB$6+ACUTE_MARGIN)</f>
        <v>0.0</v>
      </c>
      <c r="CF450" s="13">
        <f>IF(CB450=1,$CB$31,$CB$32)</f>
        <v>160718.36940738867</v>
      </c>
      <c r="CG450" s="13">
        <f>CE450-CF450</f>
        <v>-160718.36940738867</v>
      </c>
      <c r="CH450" s="13">
        <f>CH449+CG450</f>
        <v>-20754670.944239464</v>
      </c>
      <c r="CI450">
        <f>IF(CH450=MAX($CH$83:$CH$483),$A450,0)</f>
        <v>0</v>
      </c>
      <c r="CJ450">
        <f>IF(CE450&lt;CF450,$A450,B_MAX+1)</f>
        <v>367</v>
      </c>
      <c r="CK450" s="13">
        <f>IF(CB450=1,$CB$35,$CB$36)</f>
        <v>1560.1194073886782</v>
      </c>
      <c r="CL450" s="13">
        <f>OCC_DAYS*$CB$41*R_NF_2023-CD450*MCD_SHARE_FREED*R_WAIT_2023</f>
        <v>151980.48282209205</v>
      </c>
      <c r="CM450">
        <f>IF($A450&lt;=$CB$45,1,0)</f>
        <v>0</v>
      </c>
      <c r="DB450">
        <f>IF($DB$31&lt;=$DB$32,IF($A450&lt;=$DB$7,1,2),IF($A450&lt;=RUNG_BEDS_2,2,1))</f>
        <v>1</v>
      </c>
      <c r="DC450" s="5">
        <f>MIN(1,MAX(0,$DB$26-($A450-1)))</f>
        <v>0</v>
      </c>
      <c r="DD450" s="5">
        <f>$DB$25*(DC450+(1-DC450)*$DB$16)</f>
        <v>0.0</v>
      </c>
      <c r="DE450" s="13">
        <f>DD450*($DB$6+ACUTE_MARGIN)</f>
        <v>0.0</v>
      </c>
      <c r="DF450" s="13">
        <f>IF(DB450=1,$DB$31,$DB$32)</f>
        <v>152394.16214437486</v>
      </c>
      <c r="DG450" s="13">
        <f>DE450-DF450</f>
        <v>-152394.16214437486</v>
      </c>
      <c r="DH450" s="13">
        <f>DH449+DG450</f>
        <v>-17699686.878713198</v>
      </c>
      <c r="DI450">
        <f>IF(DH450=MAX($DH$83:$DH$483),$A450,0)</f>
        <v>0</v>
      </c>
      <c r="DJ450">
        <f>IF(DE450&lt;DF450,$A450,B_MAX+1)</f>
        <v>367</v>
      </c>
      <c r="DK450" s="13">
        <f>IF(DB450=1,$DB$35,$DB$36)</f>
        <v>0</v>
      </c>
      <c r="DL450" s="13">
        <f>OCC_DAYS*$DB$41*R_NF_2023-DD450*MCD_SHARE_FREED*R_WAIT_2023</f>
        <v>151980.48282209205</v>
      </c>
      <c r="DM450">
        <f>IF($A450&lt;=$DB$45,1,0)</f>
        <v>0</v>
      </c>
      <c r="EB450">
        <f>IF($EB$31&lt;=$EB$32,IF($A450&lt;=$EB$7,1,2),IF($A450&lt;=RUNG_BEDS_2,2,1))</f>
        <v>1</v>
      </c>
      <c r="EC450" s="5">
        <f>MIN(1,MAX(0,$EB$26-($A450-1)))</f>
        <v>0</v>
      </c>
      <c r="ED450" s="5">
        <f>$EB$25*(EC450+(1-EC450)*$EB$16)</f>
        <v>0.0</v>
      </c>
      <c r="EE450" s="13">
        <f>ED450*($EB$6+ACUTE_MARGIN)</f>
        <v>0.0</v>
      </c>
      <c r="EF450" s="13">
        <f>IF(EB450=1,$EB$31,$EB$32)</f>
        <v>152394.16214437486</v>
      </c>
      <c r="EG450" s="13">
        <f>EE450-EF450</f>
        <v>-152394.16214437486</v>
      </c>
      <c r="EH450" s="13">
        <f>EH449+EG450</f>
        <v>-17699686.878713198</v>
      </c>
      <c r="EI450">
        <f>IF(EH450=MAX($EH$83:$EH$483),$A450,0)</f>
        <v>0</v>
      </c>
      <c r="EJ450">
        <f>IF(EE450&lt;EF450,$A450,B_MAX+1)</f>
        <v>367</v>
      </c>
      <c r="EK450" s="13">
        <f>IF(EB450=1,$EB$35,$EB$36)</f>
        <v>0</v>
      </c>
      <c r="EL450" s="13">
        <f>OCC_DAYS*$EB$41*R_NF_2023-ED450*MCD_SHARE_FREED*R_WAIT_2023</f>
        <v>50660.16094069735</v>
      </c>
      <c r="EM450">
        <f>IF($A450&lt;=$EB$45,1,0)</f>
        <v>0</v>
      </c>
      <c r="FB450">
        <f>IF($FB$31&lt;=$FB$32,IF($A450&lt;=$FB$7,1,2),IF($A450&lt;=RUNG_BEDS_2,2,1))</f>
        <v>1</v>
      </c>
      <c r="FC450" s="5">
        <f>MIN(1,MAX(0,$FB$26-($A450-1)))</f>
        <v>0</v>
      </c>
      <c r="FD450" s="5">
        <f>$FB$25*(FC450+(1-FC450)*$FB$16)</f>
        <v>0.0</v>
      </c>
      <c r="FE450" s="13">
        <f>FD450*($FB$6+ACUTE_MARGIN)</f>
        <v>0.0</v>
      </c>
      <c r="FF450" s="13">
        <f>IF(FB450=1,$FB$31,$FB$32)</f>
        <v>156636.04979437485</v>
      </c>
      <c r="FG450" s="13">
        <f>FE450-FF450</f>
        <v>-156636.04979437485</v>
      </c>
      <c r="FH450" s="13">
        <f>FH449+FG450</f>
        <v>-19256459.646263327</v>
      </c>
      <c r="FI450">
        <f>IF(FH450=MAX($FH$83:$FH$483),$A450,0)</f>
        <v>0</v>
      </c>
      <c r="FJ450">
        <f>IF(FE450&lt;FF450,$A450,B_MAX+1)</f>
        <v>367</v>
      </c>
      <c r="FK450" s="13">
        <f>IF(FB450=1,$FB$35,$FB$36)</f>
        <v>0</v>
      </c>
      <c r="FL450" s="13">
        <f>OCC_DAYS*$FB$41*R_NF_2023-FD450*MCD_SHARE_FREED*R_WAIT_2023</f>
        <v>151980.48282209205</v>
      </c>
      <c r="FM450">
        <f>IF($A450&lt;=$FB$45,1,0)</f>
        <v>0</v>
      </c>
      <c r="GB450">
        <f>IF($GB$31&lt;=$GB$32,IF($A450&lt;=$GB$7,1,2),IF($A450&lt;=RUNG_BEDS_2,2,1))</f>
        <v>1</v>
      </c>
      <c r="GC450" s="5">
        <f>MIN(1,MAX(0,$GB$26-($A450-1)))</f>
        <v>0</v>
      </c>
      <c r="GD450" s="5">
        <f>$GB$25*(GC450+(1-GC450)*$GB$16)</f>
        <v>0.0</v>
      </c>
      <c r="GE450" s="13">
        <f>GD450*($GB$6+ACUTE_MARGIN)</f>
        <v>0.0</v>
      </c>
      <c r="GF450" s="13">
        <f>IF(GB450=1,$GB$31,$GB$32)</f>
        <v>152394.16214437486</v>
      </c>
      <c r="GG450" s="13">
        <f>GE450-GF450</f>
        <v>-152394.16214437486</v>
      </c>
      <c r="GH450" s="13">
        <f>GH449+GG450</f>
        <v>-17699686.878713198</v>
      </c>
      <c r="GI450">
        <f>IF(GH450=MAX($GH$83:$GH$483),$A450,0)</f>
        <v>0</v>
      </c>
      <c r="GJ450">
        <f>IF(GE450&lt;GF450,$A450,B_MAX+1)</f>
        <v>367</v>
      </c>
      <c r="GK450" s="13">
        <f>IF(GB450=1,$GB$35,$GB$36)</f>
        <v>0</v>
      </c>
      <c r="GL450" s="13">
        <f>OCC_DAYS*$GB$41*R_NF_2023-GD450*MCD_SHARE_FREED*R_WAIT_2023</f>
        <v>151980.48282209205</v>
      </c>
      <c r="GM450">
        <f>IF($A450&lt;=$GB$45,1,0)</f>
        <v>0</v>
      </c>
      <c r="HB450">
        <f>IF($HB$31&lt;=$HB$32,IF($A450&lt;=$HB$7,1,2),IF($A450&lt;=RUNG_BEDS_2,2,1))</f>
        <v>1</v>
      </c>
      <c r="HC450" s="5">
        <f>MIN(1,MAX(0,$HB$26-($A450-1)))</f>
        <v>0</v>
      </c>
      <c r="HD450" s="5">
        <f>$HB$25*(HC450+(1-HC450)*$HB$16)</f>
        <v>0.0</v>
      </c>
      <c r="HE450" s="13">
        <f>HD450*($HB$6+ACUTE_MARGIN)</f>
        <v>0.0</v>
      </c>
      <c r="HF450" s="13">
        <f>IF(HB450=1,$HB$31,$HB$32)</f>
        <v>152456.2970814058</v>
      </c>
      <c r="HG450" s="13">
        <f>HE450-HF450</f>
        <v>-152456.2970814058</v>
      </c>
      <c r="HH450" s="13">
        <f>HH449+HG450</f>
        <v>-17722490.400603626</v>
      </c>
      <c r="HI450">
        <f>IF(HH450=MAX($HH$83:$HH$483),$A450,0)</f>
        <v>0</v>
      </c>
      <c r="HJ450">
        <f>IF(HE450&lt;HF450,$A450,B_MAX+1)</f>
        <v>367</v>
      </c>
      <c r="HK450" s="13">
        <f>IF(HB450=1,$HB$35,$HB$36)</f>
        <v>0</v>
      </c>
      <c r="HL450" s="13">
        <f>OCC_DAYS*$HB$41*R_NF_2023-HD450*MCD_SHARE_FREED*R_WAIT_2023</f>
        <v>151980.48282209205</v>
      </c>
      <c r="HM450">
        <f>IF($A450&lt;=$HB$45,1,0)</f>
        <v>0</v>
      </c>
      <c r="IB450">
        <f>IF($IB$31&lt;=$IB$32,IF($A450&lt;=$IB$7,1,2),IF($A450&lt;=RUNG_BEDS_2,2,1))</f>
        <v>1</v>
      </c>
      <c r="IC450" s="5">
        <f>MIN(1,MAX(0,$IB$26-($A450-1)))</f>
        <v>0</v>
      </c>
      <c r="ID450" s="5">
        <f>$IB$25*(IC450+(1-IC450)*$IB$16)</f>
        <v>0.0</v>
      </c>
      <c r="IE450" s="13">
        <f>ID450*($IB$6+ACUTE_MARGIN)</f>
        <v>0.0</v>
      </c>
      <c r="IF450" s="13">
        <f>IF(IB450=1,$IB$31,$IB$32)</f>
        <v>152734.9994534971</v>
      </c>
      <c r="IG450" s="13">
        <f>IE450-IF450</f>
        <v>-152734.9994534971</v>
      </c>
      <c r="IH450" s="13">
        <f>IH449+IG450</f>
        <v>-17824774.171161138</v>
      </c>
      <c r="II450">
        <f>IF(IH450=MAX($IH$83:$IH$483),$A450,0)</f>
        <v>0</v>
      </c>
      <c r="IJ450">
        <f>IF(IE450&lt;IF450,$A450,B_MAX+1)</f>
        <v>367</v>
      </c>
      <c r="IK450" s="13">
        <f>IF(IB450=1,$IB$35,$IB$36)</f>
        <v>0</v>
      </c>
      <c r="IL450" s="13">
        <f>OCC_DAYS*$IB$41*R_NF_2023-ID450*MCD_SHARE_FREED*R_WAIT_2023</f>
        <v>151980.48282209205</v>
      </c>
      <c r="IM450">
        <f>IF($A450&lt;=$IB$45,1,0)</f>
        <v>0</v>
      </c>
      <c r="JB450">
        <f>IF($JB$31&lt;=$JB$32,IF($A450&lt;=$JB$7,1,2),IF($A450&lt;=RUNG_BEDS_2,2,1))</f>
        <v>1</v>
      </c>
      <c r="JC450" s="5">
        <f>MIN(1,MAX(0,$JB$26-($A450-1)))</f>
        <v>0</v>
      </c>
      <c r="JD450" s="5">
        <f>$JB$25*(JC450+(1-JC450)*$JB$16)</f>
        <v>0.0</v>
      </c>
      <c r="JE450" s="13">
        <f>JD450*($JB$6+ACUTE_MARGIN)</f>
        <v>0.0</v>
      </c>
      <c r="JF450" s="13">
        <f>IF(JB450=1,$JB$31,$JB$32)</f>
        <v>152394.16214437486</v>
      </c>
      <c r="JG450" s="13">
        <f>JE450-JF450</f>
        <v>-152394.16214437486</v>
      </c>
      <c r="JH450" s="13">
        <f>JH449+JG450</f>
        <v>-17699686.878713198</v>
      </c>
      <c r="JI450">
        <f>IF(JH450=MAX($JH$83:$JH$483),$A450,0)</f>
        <v>0</v>
      </c>
      <c r="JJ450">
        <f>IF(JE450&lt;JF450,$A450,B_MAX+1)</f>
        <v>367</v>
      </c>
      <c r="JK450" s="13">
        <f>IF(JB450=1,$JB$35,$JB$36)</f>
        <v>0</v>
      </c>
      <c r="JL450" s="13">
        <f>OCC_DAYS*$JB$41*R_NF_2023-JD450*MCD_SHARE_FREED*R_WAIT_2023</f>
        <v>151980.48282209205</v>
      </c>
      <c r="JM450">
        <f>IF($A450&lt;=$JB$45,1,0)</f>
        <v>0</v>
      </c>
      <c r="KB450">
        <f>IF($KB$31&lt;=$KB$32,IF($A450&lt;=$KB$7,1,2),IF($A450&lt;=RUNG_BEDS_2,2,1))</f>
        <v>1</v>
      </c>
      <c r="KC450" s="5">
        <f>MIN(1,MAX(0,$KB$26-($A450-1)))</f>
        <v>0</v>
      </c>
      <c r="KD450" s="5">
        <f>$KB$25*(KC450+(1-KC450)*$KB$16)</f>
        <v>0.0</v>
      </c>
      <c r="KE450" s="13">
        <f>KD450*($KB$6+ACUTE_MARGIN)</f>
        <v>0.0</v>
      </c>
      <c r="KF450" s="13">
        <f>IF(KB450=1,$KB$31,$KB$32)</f>
        <v>152394.16214437486</v>
      </c>
      <c r="KG450" s="13">
        <f>KE450-KF450</f>
        <v>-152394.16214437486</v>
      </c>
      <c r="KH450" s="13">
        <f>KH449+KG450</f>
        <v>-17699686.878713306</v>
      </c>
      <c r="KI450">
        <f>IF(KH450=MAX($KH$83:$KH$483),$A450,0)</f>
        <v>0</v>
      </c>
      <c r="KJ450">
        <f>IF(KE450&lt;KF450,$A450,B_MAX+1)</f>
        <v>367</v>
      </c>
      <c r="KK450" s="13">
        <f>IF(KB450=1,$KB$35,$KB$36)</f>
        <v>0</v>
      </c>
      <c r="KL450" s="13">
        <f>OCC_DAYS*$KB$41*R_NF_2023-KD450*MCD_SHARE_FREED*R_WAIT_2023</f>
        <v>151980.48282209205</v>
      </c>
      <c r="KM450">
        <f>IF($A450&lt;=$KB$45,1,0)</f>
        <v>0</v>
      </c>
      <c r="LB450">
        <f>IF($LB$31&lt;=$LB$32,IF($A450&lt;=$LB$7,1,2),IF($A450&lt;=RUNG_BEDS_2,2,1))</f>
        <v>1</v>
      </c>
      <c r="LC450" s="5">
        <f>MIN(1,MAX(0,$LB$26-($A450-1)))</f>
        <v>1</v>
      </c>
      <c r="LD450" s="5">
        <f>$LB$25*(LC450+(1-LC450)*$LB$16)</f>
        <v>84.01774238227146</v>
      </c>
      <c r="LE450" s="13">
        <f>LD450*($LB$6+ACUTE_MARGIN)</f>
        <v>84857.91980609419</v>
      </c>
      <c r="LF450" s="13">
        <f>IF(LB450=1,$LB$31,$LB$32)</f>
        <v>152394.16214437486</v>
      </c>
      <c r="LG450" s="13">
        <f>LE450-LF450</f>
        <v>-67536.24233828067</v>
      </c>
      <c r="LH450" s="13">
        <f>LH449+LG450</f>
        <v>-24785800.938149143</v>
      </c>
      <c r="LI450">
        <f>IF(LH450=MAX($LH$83:$LH$483),$A450,0)</f>
        <v>0</v>
      </c>
      <c r="LJ450">
        <f>IF(LE450&lt;LF450,$A450,B_MAX+1)</f>
        <v>367</v>
      </c>
      <c r="LK450" s="13">
        <f>IF(LB450=1,$LB$35,$LB$36)</f>
        <v>0</v>
      </c>
      <c r="LL450" s="13">
        <f>OCC_DAYS*$LB$41*R_NF_2023-LD450*MCD_SHARE_FREED*R_WAIT_2023</f>
        <v>113776.04162887059</v>
      </c>
      <c r="LM450">
        <f>IF($A450&lt;=$LB$45,1,0)</f>
        <v>0</v>
      </c>
      <c r="MB450">
        <f>IF($MB$31&lt;=$MB$32,IF($A450&lt;=$MB$7,1,2),IF($A450&lt;=RUNG_BEDS_2,2,1))</f>
        <v>1</v>
      </c>
      <c r="MC450" s="5">
        <f>MIN(1,MAX(0,$MB$26-($A450-1)))</f>
        <v>0</v>
      </c>
      <c r="MD450" s="5">
        <f>$MB$25*(MC450+(1-MC450)*$MB$16)</f>
        <v>0.0</v>
      </c>
      <c r="ME450" s="13">
        <f>MD450*($MB$6+ACUTE_MARGIN)</f>
        <v>0.0</v>
      </c>
      <c r="MF450" s="13">
        <f>IF(MB450=1,$MB$31,$MB$32)</f>
        <v>152394.16214437486</v>
      </c>
      <c r="MG450" s="13">
        <f>ME450-MF450</f>
        <v>-152394.16214437486</v>
      </c>
      <c r="MH450" s="13">
        <f>MH449+MG450</f>
        <v>-23586962.9405115</v>
      </c>
      <c r="MI450">
        <f>IF(MH450=MAX($MH$83:$MH$483),$A450,0)</f>
        <v>0</v>
      </c>
      <c r="MJ450">
        <f>IF(ME450&lt;MF450,$A450,B_MAX+1)</f>
        <v>367</v>
      </c>
      <c r="MK450" s="13">
        <f>IF(MB450=1,$MB$35,$MB$36)</f>
        <v>0</v>
      </c>
      <c r="ML450" s="13">
        <f>OCC_DAYS*$MB$41*R_NF_2023-MD450*MCD_SHARE_FREED*R_WAIT_2023</f>
        <v>151980.48282209205</v>
      </c>
      <c r="MM450">
        <f>IF($A450&lt;=$MB$45,1,0)</f>
        <v>0</v>
      </c>
      <c r="NB450">
        <f>IF($NB$31&lt;=$NB$32,IF($A450&lt;=$NB$7,1,2),IF($A450&lt;=RUNG_BEDS_2,2,1))</f>
        <v>1</v>
      </c>
      <c r="NC450" s="5">
        <f>MIN(1,MAX(0,$NB$26-($A450-1)))</f>
        <v>0</v>
      </c>
      <c r="ND450" s="5">
        <f>$NB$25*(NC450+(1-NC450)*$NB$16)</f>
        <v>63.013306786703595</v>
      </c>
      <c r="NE450" s="13">
        <f>ND450*($NB$6+ACUTE_MARGIN)</f>
        <v>63643.43985457063</v>
      </c>
      <c r="NF450" s="13">
        <f>IF(NB450=1,$NB$31,$NB$32)</f>
        <v>152394.16214437486</v>
      </c>
      <c r="NG450" s="13">
        <f>NE450-NF450</f>
        <v>-88750.72228980422</v>
      </c>
      <c r="NH450" s="13">
        <f>NH449+NG450</f>
        <v>-3899787.109153929</v>
      </c>
      <c r="NI450">
        <f>IF(NH450=MAX($NH$83:$NH$483),$A450,0)</f>
        <v>0</v>
      </c>
      <c r="NJ450">
        <f>IF(NE450&lt;NF450,$A450,B_MAX+1)</f>
        <v>367</v>
      </c>
      <c r="NK450" s="13">
        <f>IF(NB450=1,$NB$35,$NB$36)</f>
        <v>0</v>
      </c>
      <c r="NL450" s="13">
        <f>OCC_DAYS*$NB$41*R_NF_2023-ND450*MCD_SHARE_FREED*R_WAIT_2023</f>
        <v>123327.15192717595</v>
      </c>
      <c r="NM450">
        <f>IF($A450&lt;=$NB$45,1,0)</f>
        <v>0</v>
      </c>
      <c r="OB450">
        <f>IF($OB$31&lt;=$OB$32,IF($A450&lt;=$OB$7,1,2),IF($A450&lt;=RUNG_BEDS_2,2,1))</f>
        <v>1</v>
      </c>
      <c r="OC450" s="5">
        <f>MIN(1,MAX(0,$OB$26-($A450-1)))</f>
        <v>0</v>
      </c>
      <c r="OD450" s="5">
        <f>$OB$25*(OC450+(1-OC450)*$OB$16)</f>
        <v>126.02661357340719</v>
      </c>
      <c r="OE450" s="13">
        <f>OD450*($OB$6+ACUTE_MARGIN)</f>
        <v>127286.87970914126</v>
      </c>
      <c r="OF450" s="13">
        <f>IF(OB450=1,$OB$31,$OB$32)</f>
        <v>152394.16214437486</v>
      </c>
      <c r="OG450" s="13">
        <f>OE450-OF450</f>
        <v>-25107.282435233603</v>
      </c>
      <c r="OH450" s="13">
        <f>OH449+OG450</f>
        <v>9900112.66040563</v>
      </c>
      <c r="OI450">
        <f>IF(OH450=MAX($OH$83:$OH$483),$A450,0)</f>
        <v>0</v>
      </c>
      <c r="OJ450">
        <f>IF(OE450&lt;OF450,$A450,B_MAX+1)</f>
        <v>367</v>
      </c>
      <c r="OK450" s="13">
        <f>IF(OB450=1,$OB$35,$OB$36)</f>
        <v>0</v>
      </c>
      <c r="OL450" s="13">
        <f>OCC_DAYS*$OB$41*R_NF_2023-OD450*MCD_SHARE_FREED*R_WAIT_2023</f>
        <v>94673.82103225985</v>
      </c>
      <c r="OM450">
        <f>IF($A450&lt;=$OB$45,1,0)</f>
        <v>0</v>
      </c>
    </row>
    <row r="451">
      <c r="A451" t="n">
        <v>368</v>
      </c>
      <c r="B451">
        <f>IF($B$31&lt;=$B$32,IF($A451&lt;=$B$7,1,2),IF($A451&lt;=RUNG_BEDS_2,2,1))</f>
        <v>1</v>
      </c>
      <c r="C451" s="5">
        <f>MIN(1,MAX(0,$B$26-($A451-1)))</f>
        <v>0</v>
      </c>
      <c r="D451" s="5">
        <f>$B$25*(C451+(1-C451)*$B$16)</f>
        <v>0.0</v>
      </c>
      <c r="E451" s="13">
        <f>D451*($B$6+ACUTE_MARGIN)</f>
        <v>0.0</v>
      </c>
      <c r="F451" s="13">
        <f>IF(B451=1,$B$31,$B$32)</f>
        <v>152394.16214437486</v>
      </c>
      <c r="G451" s="13">
        <f>E451-F451</f>
        <v>-152394.16214437486</v>
      </c>
      <c r="H451" s="13">
        <f>H450+G451</f>
        <v>-17852081.040857572</v>
      </c>
      <c r="I451">
        <f>IF(H451=MAX($H$83:$H$483),$A451,0)</f>
        <v>0</v>
      </c>
      <c r="J451">
        <f>IF(E451&lt;F451,$A451,B_MAX+1)</f>
        <v>368</v>
      </c>
      <c r="K451" s="13">
        <f>IF(B451=1,$B$35,$B$36)</f>
        <v>0</v>
      </c>
      <c r="L451" s="13">
        <f>OCC_DAYS*$B$41*R_NF_2023-D451*MCD_SHARE_FREED*R_WAIT_2023</f>
        <v>151980.48282209205</v>
      </c>
      <c r="M451">
        <f>IF($A451&lt;=$B$45,1,0)</f>
        <v>0</v>
      </c>
      <c r="AB451">
        <f>IF($AB$31&lt;=$AB$32,IF($A451&lt;=$AB$7,1,2),IF($A451&lt;=RUNG_BEDS_2,2,1))</f>
        <v>1</v>
      </c>
      <c r="AC451" s="5">
        <f>MIN(1,MAX(0,$AB$26-($A451-1)))</f>
        <v>0</v>
      </c>
      <c r="AD451" s="5">
        <f>$AB$25*(AC451+(1-AC451)*$AB$16)</f>
        <v>0.0</v>
      </c>
      <c r="AE451" s="13">
        <f>AD451*($AB$6+ACUTE_MARGIN)</f>
        <v>0.0</v>
      </c>
      <c r="AF451" s="13">
        <f>IF(AB451=1,$AB$31,$AB$32)</f>
        <v>152394.16214437486</v>
      </c>
      <c r="AG451" s="13">
        <f>AE451-AF451</f>
        <v>-152394.16214437486</v>
      </c>
      <c r="AH451" s="13">
        <f>AH450+AG451</f>
        <v>-35263295.38640735</v>
      </c>
      <c r="AI451">
        <f>IF(AH451=MAX($AH$83:$AH$483),$A451,0)</f>
        <v>0</v>
      </c>
      <c r="AJ451">
        <f>IF(AE451&lt;AF451,$A451,B_MAX+1)</f>
        <v>368</v>
      </c>
      <c r="AK451" s="13">
        <f>IF(AB451=1,$AB$35,$AB$36)</f>
        <v>0</v>
      </c>
      <c r="AL451" s="13">
        <f>OCC_DAYS*$AB$41*R_NF_2023-AD451*MCD_SHARE_FREED*R_WAIT_2023</f>
        <v>151980.48282209205</v>
      </c>
      <c r="AM451">
        <f>IF($A451&lt;=$AB$45,1,0)</f>
        <v>0</v>
      </c>
      <c r="BB451">
        <f>IF($BB$31&lt;=$BB$32,IF($A451&lt;=$BB$7,1,2),IF($A451&lt;=RUNG_BEDS_2,2,1))</f>
        <v>1</v>
      </c>
      <c r="BC451" s="5">
        <f>MIN(1,MAX(0,$BB$26-($A451-1)))</f>
        <v>0</v>
      </c>
      <c r="BD451" s="5">
        <f>$BB$25*(BC451+(1-BC451)*$BB$16)</f>
        <v>0.0</v>
      </c>
      <c r="BE451" s="13">
        <f>BD451*($BB$6+ACUTE_MARGIN)</f>
        <v>0.0</v>
      </c>
      <c r="BF451" s="13">
        <f>IF(BB451=1,$BB$31,$BB$32)</f>
        <v>152394.16214437486</v>
      </c>
      <c r="BG451" s="13">
        <f>BE451-BF451</f>
        <v>-152394.16214437486</v>
      </c>
      <c r="BH451" s="13">
        <f>BH450+BG451</f>
        <v>-440866.69530786405</v>
      </c>
      <c r="BI451">
        <f>IF(BH451=MAX($BH$83:$BH$483),$A451,0)</f>
        <v>0</v>
      </c>
      <c r="BJ451">
        <f>IF(BE451&lt;BF451,$A451,B_MAX+1)</f>
        <v>368</v>
      </c>
      <c r="BK451" s="13">
        <f>IF(BB451=1,$BB$35,$BB$36)</f>
        <v>0</v>
      </c>
      <c r="BL451" s="13">
        <f>OCC_DAYS*$BB$41*R_NF_2023-BD451*MCD_SHARE_FREED*R_WAIT_2023</f>
        <v>151980.48282209205</v>
      </c>
      <c r="BM451">
        <f>IF($A451&lt;=$BB$45,1,0)</f>
        <v>0</v>
      </c>
      <c r="CB451">
        <f>IF($CB$31&lt;=$CB$32,IF($A451&lt;=$CB$7,1,2),IF($A451&lt;=RUNG_BEDS_2,2,1))</f>
        <v>2</v>
      </c>
      <c r="CC451" s="5">
        <f>MIN(1,MAX(0,$CB$26-($A451-1)))</f>
        <v>0</v>
      </c>
      <c r="CD451" s="5">
        <f>$CB$25*(CC451+(1-CC451)*$CB$16)</f>
        <v>0.0</v>
      </c>
      <c r="CE451" s="13">
        <f>CD451*($CB$6+ACUTE_MARGIN)</f>
        <v>0.0</v>
      </c>
      <c r="CF451" s="13">
        <f>IF(CB451=1,$CB$31,$CB$32)</f>
        <v>160718.36940738867</v>
      </c>
      <c r="CG451" s="13">
        <f>CE451-CF451</f>
        <v>-160718.36940738867</v>
      </c>
      <c r="CH451" s="13">
        <f>CH450+CG451</f>
        <v>-20915389.313646853</v>
      </c>
      <c r="CI451">
        <f>IF(CH451=MAX($CH$83:$CH$483),$A451,0)</f>
        <v>0</v>
      </c>
      <c r="CJ451">
        <f>IF(CE451&lt;CF451,$A451,B_MAX+1)</f>
        <v>368</v>
      </c>
      <c r="CK451" s="13">
        <f>IF(CB451=1,$CB$35,$CB$36)</f>
        <v>1560.1194073886782</v>
      </c>
      <c r="CL451" s="13">
        <f>OCC_DAYS*$CB$41*R_NF_2023-CD451*MCD_SHARE_FREED*R_WAIT_2023</f>
        <v>151980.48282209205</v>
      </c>
      <c r="CM451">
        <f>IF($A451&lt;=$CB$45,1,0)</f>
        <v>0</v>
      </c>
      <c r="DB451">
        <f>IF($DB$31&lt;=$DB$32,IF($A451&lt;=$DB$7,1,2),IF($A451&lt;=RUNG_BEDS_2,2,1))</f>
        <v>1</v>
      </c>
      <c r="DC451" s="5">
        <f>MIN(1,MAX(0,$DB$26-($A451-1)))</f>
        <v>0</v>
      </c>
      <c r="DD451" s="5">
        <f>$DB$25*(DC451+(1-DC451)*$DB$16)</f>
        <v>0.0</v>
      </c>
      <c r="DE451" s="13">
        <f>DD451*($DB$6+ACUTE_MARGIN)</f>
        <v>0.0</v>
      </c>
      <c r="DF451" s="13">
        <f>IF(DB451=1,$DB$31,$DB$32)</f>
        <v>152394.16214437486</v>
      </c>
      <c r="DG451" s="13">
        <f>DE451-DF451</f>
        <v>-152394.16214437486</v>
      </c>
      <c r="DH451" s="13">
        <f>DH450+DG451</f>
        <v>-17852081.040857572</v>
      </c>
      <c r="DI451">
        <f>IF(DH451=MAX($DH$83:$DH$483),$A451,0)</f>
        <v>0</v>
      </c>
      <c r="DJ451">
        <f>IF(DE451&lt;DF451,$A451,B_MAX+1)</f>
        <v>368</v>
      </c>
      <c r="DK451" s="13">
        <f>IF(DB451=1,$DB$35,$DB$36)</f>
        <v>0</v>
      </c>
      <c r="DL451" s="13">
        <f>OCC_DAYS*$DB$41*R_NF_2023-DD451*MCD_SHARE_FREED*R_WAIT_2023</f>
        <v>151980.48282209205</v>
      </c>
      <c r="DM451">
        <f>IF($A451&lt;=$DB$45,1,0)</f>
        <v>0</v>
      </c>
      <c r="EB451">
        <f>IF($EB$31&lt;=$EB$32,IF($A451&lt;=$EB$7,1,2),IF($A451&lt;=RUNG_BEDS_2,2,1))</f>
        <v>1</v>
      </c>
      <c r="EC451" s="5">
        <f>MIN(1,MAX(0,$EB$26-($A451-1)))</f>
        <v>0</v>
      </c>
      <c r="ED451" s="5">
        <f>$EB$25*(EC451+(1-EC451)*$EB$16)</f>
        <v>0.0</v>
      </c>
      <c r="EE451" s="13">
        <f>ED451*($EB$6+ACUTE_MARGIN)</f>
        <v>0.0</v>
      </c>
      <c r="EF451" s="13">
        <f>IF(EB451=1,$EB$31,$EB$32)</f>
        <v>152394.16214437486</v>
      </c>
      <c r="EG451" s="13">
        <f>EE451-EF451</f>
        <v>-152394.16214437486</v>
      </c>
      <c r="EH451" s="13">
        <f>EH450+EG451</f>
        <v>-17852081.040857572</v>
      </c>
      <c r="EI451">
        <f>IF(EH451=MAX($EH$83:$EH$483),$A451,0)</f>
        <v>0</v>
      </c>
      <c r="EJ451">
        <f>IF(EE451&lt;EF451,$A451,B_MAX+1)</f>
        <v>368</v>
      </c>
      <c r="EK451" s="13">
        <f>IF(EB451=1,$EB$35,$EB$36)</f>
        <v>0</v>
      </c>
      <c r="EL451" s="13">
        <f>OCC_DAYS*$EB$41*R_NF_2023-ED451*MCD_SHARE_FREED*R_WAIT_2023</f>
        <v>50660.16094069735</v>
      </c>
      <c r="EM451">
        <f>IF($A451&lt;=$EB$45,1,0)</f>
        <v>0</v>
      </c>
      <c r="FB451">
        <f>IF($FB$31&lt;=$FB$32,IF($A451&lt;=$FB$7,1,2),IF($A451&lt;=RUNG_BEDS_2,2,1))</f>
        <v>1</v>
      </c>
      <c r="FC451" s="5">
        <f>MIN(1,MAX(0,$FB$26-($A451-1)))</f>
        <v>0</v>
      </c>
      <c r="FD451" s="5">
        <f>$FB$25*(FC451+(1-FC451)*$FB$16)</f>
        <v>0.0</v>
      </c>
      <c r="FE451" s="13">
        <f>FD451*($FB$6+ACUTE_MARGIN)</f>
        <v>0.0</v>
      </c>
      <c r="FF451" s="13">
        <f>IF(FB451=1,$FB$31,$FB$32)</f>
        <v>156636.04979437485</v>
      </c>
      <c r="FG451" s="13">
        <f>FE451-FF451</f>
        <v>-156636.04979437485</v>
      </c>
      <c r="FH451" s="13">
        <f>FH450+FG451</f>
        <v>-19413095.696057703</v>
      </c>
      <c r="FI451">
        <f>IF(FH451=MAX($FH$83:$FH$483),$A451,0)</f>
        <v>0</v>
      </c>
      <c r="FJ451">
        <f>IF(FE451&lt;FF451,$A451,B_MAX+1)</f>
        <v>368</v>
      </c>
      <c r="FK451" s="13">
        <f>IF(FB451=1,$FB$35,$FB$36)</f>
        <v>0</v>
      </c>
      <c r="FL451" s="13">
        <f>OCC_DAYS*$FB$41*R_NF_2023-FD451*MCD_SHARE_FREED*R_WAIT_2023</f>
        <v>151980.48282209205</v>
      </c>
      <c r="FM451">
        <f>IF($A451&lt;=$FB$45,1,0)</f>
        <v>0</v>
      </c>
      <c r="GB451">
        <f>IF($GB$31&lt;=$GB$32,IF($A451&lt;=$GB$7,1,2),IF($A451&lt;=RUNG_BEDS_2,2,1))</f>
        <v>1</v>
      </c>
      <c r="GC451" s="5">
        <f>MIN(1,MAX(0,$GB$26-($A451-1)))</f>
        <v>0</v>
      </c>
      <c r="GD451" s="5">
        <f>$GB$25*(GC451+(1-GC451)*$GB$16)</f>
        <v>0.0</v>
      </c>
      <c r="GE451" s="13">
        <f>GD451*($GB$6+ACUTE_MARGIN)</f>
        <v>0.0</v>
      </c>
      <c r="GF451" s="13">
        <f>IF(GB451=1,$GB$31,$GB$32)</f>
        <v>152394.16214437486</v>
      </c>
      <c r="GG451" s="13">
        <f>GE451-GF451</f>
        <v>-152394.16214437486</v>
      </c>
      <c r="GH451" s="13">
        <f>GH450+GG451</f>
        <v>-17852081.040857572</v>
      </c>
      <c r="GI451">
        <f>IF(GH451=MAX($GH$83:$GH$483),$A451,0)</f>
        <v>0</v>
      </c>
      <c r="GJ451">
        <f>IF(GE451&lt;GF451,$A451,B_MAX+1)</f>
        <v>368</v>
      </c>
      <c r="GK451" s="13">
        <f>IF(GB451=1,$GB$35,$GB$36)</f>
        <v>0</v>
      </c>
      <c r="GL451" s="13">
        <f>OCC_DAYS*$GB$41*R_NF_2023-GD451*MCD_SHARE_FREED*R_WAIT_2023</f>
        <v>151980.48282209205</v>
      </c>
      <c r="GM451">
        <f>IF($A451&lt;=$GB$45,1,0)</f>
        <v>0</v>
      </c>
      <c r="HB451">
        <f>IF($HB$31&lt;=$HB$32,IF($A451&lt;=$HB$7,1,2),IF($A451&lt;=RUNG_BEDS_2,2,1))</f>
        <v>1</v>
      </c>
      <c r="HC451" s="5">
        <f>MIN(1,MAX(0,$HB$26-($A451-1)))</f>
        <v>0</v>
      </c>
      <c r="HD451" s="5">
        <f>$HB$25*(HC451+(1-HC451)*$HB$16)</f>
        <v>0.0</v>
      </c>
      <c r="HE451" s="13">
        <f>HD451*($HB$6+ACUTE_MARGIN)</f>
        <v>0.0</v>
      </c>
      <c r="HF451" s="13">
        <f>IF(HB451=1,$HB$31,$HB$32)</f>
        <v>152456.2970814058</v>
      </c>
      <c r="HG451" s="13">
        <f>HE451-HF451</f>
        <v>-152456.2970814058</v>
      </c>
      <c r="HH451" s="13">
        <f>HH450+HG451</f>
        <v>-17874946.697685033</v>
      </c>
      <c r="HI451">
        <f>IF(HH451=MAX($HH$83:$HH$483),$A451,0)</f>
        <v>0</v>
      </c>
      <c r="HJ451">
        <f>IF(HE451&lt;HF451,$A451,B_MAX+1)</f>
        <v>368</v>
      </c>
      <c r="HK451" s="13">
        <f>IF(HB451=1,$HB$35,$HB$36)</f>
        <v>0</v>
      </c>
      <c r="HL451" s="13">
        <f>OCC_DAYS*$HB$41*R_NF_2023-HD451*MCD_SHARE_FREED*R_WAIT_2023</f>
        <v>151980.48282209205</v>
      </c>
      <c r="HM451">
        <f>IF($A451&lt;=$HB$45,1,0)</f>
        <v>0</v>
      </c>
      <c r="IB451">
        <f>IF($IB$31&lt;=$IB$32,IF($A451&lt;=$IB$7,1,2),IF($A451&lt;=RUNG_BEDS_2,2,1))</f>
        <v>1</v>
      </c>
      <c r="IC451" s="5">
        <f>MIN(1,MAX(0,$IB$26-($A451-1)))</f>
        <v>0</v>
      </c>
      <c r="ID451" s="5">
        <f>$IB$25*(IC451+(1-IC451)*$IB$16)</f>
        <v>0.0</v>
      </c>
      <c r="IE451" s="13">
        <f>ID451*($IB$6+ACUTE_MARGIN)</f>
        <v>0.0</v>
      </c>
      <c r="IF451" s="13">
        <f>IF(IB451=1,$IB$31,$IB$32)</f>
        <v>152734.9994534971</v>
      </c>
      <c r="IG451" s="13">
        <f>IE451-IF451</f>
        <v>-152734.9994534971</v>
      </c>
      <c r="IH451" s="13">
        <f>IH450+IG451</f>
        <v>-17977509.170614634</v>
      </c>
      <c r="II451">
        <f>IF(IH451=MAX($IH$83:$IH$483),$A451,0)</f>
        <v>0</v>
      </c>
      <c r="IJ451">
        <f>IF(IE451&lt;IF451,$A451,B_MAX+1)</f>
        <v>368</v>
      </c>
      <c r="IK451" s="13">
        <f>IF(IB451=1,$IB$35,$IB$36)</f>
        <v>0</v>
      </c>
      <c r="IL451" s="13">
        <f>OCC_DAYS*$IB$41*R_NF_2023-ID451*MCD_SHARE_FREED*R_WAIT_2023</f>
        <v>151980.48282209205</v>
      </c>
      <c r="IM451">
        <f>IF($A451&lt;=$IB$45,1,0)</f>
        <v>0</v>
      </c>
      <c r="JB451">
        <f>IF($JB$31&lt;=$JB$32,IF($A451&lt;=$JB$7,1,2),IF($A451&lt;=RUNG_BEDS_2,2,1))</f>
        <v>1</v>
      </c>
      <c r="JC451" s="5">
        <f>MIN(1,MAX(0,$JB$26-($A451-1)))</f>
        <v>0</v>
      </c>
      <c r="JD451" s="5">
        <f>$JB$25*(JC451+(1-JC451)*$JB$16)</f>
        <v>0.0</v>
      </c>
      <c r="JE451" s="13">
        <f>JD451*($JB$6+ACUTE_MARGIN)</f>
        <v>0.0</v>
      </c>
      <c r="JF451" s="13">
        <f>IF(JB451=1,$JB$31,$JB$32)</f>
        <v>152394.16214437486</v>
      </c>
      <c r="JG451" s="13">
        <f>JE451-JF451</f>
        <v>-152394.16214437486</v>
      </c>
      <c r="JH451" s="13">
        <f>JH450+JG451</f>
        <v>-17852081.040857572</v>
      </c>
      <c r="JI451">
        <f>IF(JH451=MAX($JH$83:$JH$483),$A451,0)</f>
        <v>0</v>
      </c>
      <c r="JJ451">
        <f>IF(JE451&lt;JF451,$A451,B_MAX+1)</f>
        <v>368</v>
      </c>
      <c r="JK451" s="13">
        <f>IF(JB451=1,$JB$35,$JB$36)</f>
        <v>0</v>
      </c>
      <c r="JL451" s="13">
        <f>OCC_DAYS*$JB$41*R_NF_2023-JD451*MCD_SHARE_FREED*R_WAIT_2023</f>
        <v>151980.48282209205</v>
      </c>
      <c r="JM451">
        <f>IF($A451&lt;=$JB$45,1,0)</f>
        <v>0</v>
      </c>
      <c r="KB451">
        <f>IF($KB$31&lt;=$KB$32,IF($A451&lt;=$KB$7,1,2),IF($A451&lt;=RUNG_BEDS_2,2,1))</f>
        <v>1</v>
      </c>
      <c r="KC451" s="5">
        <f>MIN(1,MAX(0,$KB$26-($A451-1)))</f>
        <v>0</v>
      </c>
      <c r="KD451" s="5">
        <f>$KB$25*(KC451+(1-KC451)*$KB$16)</f>
        <v>0.0</v>
      </c>
      <c r="KE451" s="13">
        <f>KD451*($KB$6+ACUTE_MARGIN)</f>
        <v>0.0</v>
      </c>
      <c r="KF451" s="13">
        <f>IF(KB451=1,$KB$31,$KB$32)</f>
        <v>152394.16214437486</v>
      </c>
      <c r="KG451" s="13">
        <f>KE451-KF451</f>
        <v>-152394.16214437486</v>
      </c>
      <c r="KH451" s="13">
        <f>KH450+KG451</f>
        <v>-17852081.04085768</v>
      </c>
      <c r="KI451">
        <f>IF(KH451=MAX($KH$83:$KH$483),$A451,0)</f>
        <v>0</v>
      </c>
      <c r="KJ451">
        <f>IF(KE451&lt;KF451,$A451,B_MAX+1)</f>
        <v>368</v>
      </c>
      <c r="KK451" s="13">
        <f>IF(KB451=1,$KB$35,$KB$36)</f>
        <v>0</v>
      </c>
      <c r="KL451" s="13">
        <f>OCC_DAYS*$KB$41*R_NF_2023-KD451*MCD_SHARE_FREED*R_WAIT_2023</f>
        <v>151980.48282209205</v>
      </c>
      <c r="KM451">
        <f>IF($A451&lt;=$KB$45,1,0)</f>
        <v>0</v>
      </c>
      <c r="LB451">
        <f>IF($LB$31&lt;=$LB$32,IF($A451&lt;=$LB$7,1,2),IF($A451&lt;=RUNG_BEDS_2,2,1))</f>
        <v>1</v>
      </c>
      <c r="LC451" s="5">
        <f>MIN(1,MAX(0,$LB$26-($A451-1)))</f>
        <v>1</v>
      </c>
      <c r="LD451" s="5">
        <f>$LB$25*(LC451+(1-LC451)*$LB$16)</f>
        <v>84.01774238227146</v>
      </c>
      <c r="LE451" s="13">
        <f>LD451*($LB$6+ACUTE_MARGIN)</f>
        <v>84857.91980609419</v>
      </c>
      <c r="LF451" s="13">
        <f>IF(LB451=1,$LB$31,$LB$32)</f>
        <v>152394.16214437486</v>
      </c>
      <c r="LG451" s="13">
        <f>LE451-LF451</f>
        <v>-67536.24233828067</v>
      </c>
      <c r="LH451" s="13">
        <f>LH450+LG451</f>
        <v>-24853337.180487424</v>
      </c>
      <c r="LI451">
        <f>IF(LH451=MAX($LH$83:$LH$483),$A451,0)</f>
        <v>0</v>
      </c>
      <c r="LJ451">
        <f>IF(LE451&lt;LF451,$A451,B_MAX+1)</f>
        <v>368</v>
      </c>
      <c r="LK451" s="13">
        <f>IF(LB451=1,$LB$35,$LB$36)</f>
        <v>0</v>
      </c>
      <c r="LL451" s="13">
        <f>OCC_DAYS*$LB$41*R_NF_2023-LD451*MCD_SHARE_FREED*R_WAIT_2023</f>
        <v>113776.04162887059</v>
      </c>
      <c r="LM451">
        <f>IF($A451&lt;=$LB$45,1,0)</f>
        <v>0</v>
      </c>
      <c r="MB451">
        <f>IF($MB$31&lt;=$MB$32,IF($A451&lt;=$MB$7,1,2),IF($A451&lt;=RUNG_BEDS_2,2,1))</f>
        <v>1</v>
      </c>
      <c r="MC451" s="5">
        <f>MIN(1,MAX(0,$MB$26-($A451-1)))</f>
        <v>0</v>
      </c>
      <c r="MD451" s="5">
        <f>$MB$25*(MC451+(1-MC451)*$MB$16)</f>
        <v>0.0</v>
      </c>
      <c r="ME451" s="13">
        <f>MD451*($MB$6+ACUTE_MARGIN)</f>
        <v>0.0</v>
      </c>
      <c r="MF451" s="13">
        <f>IF(MB451=1,$MB$31,$MB$32)</f>
        <v>152394.16214437486</v>
      </c>
      <c r="MG451" s="13">
        <f>ME451-MF451</f>
        <v>-152394.16214437486</v>
      </c>
      <c r="MH451" s="13">
        <f>MH450+MG451</f>
        <v>-23739357.102655873</v>
      </c>
      <c r="MI451">
        <f>IF(MH451=MAX($MH$83:$MH$483),$A451,0)</f>
        <v>0</v>
      </c>
      <c r="MJ451">
        <f>IF(ME451&lt;MF451,$A451,B_MAX+1)</f>
        <v>368</v>
      </c>
      <c r="MK451" s="13">
        <f>IF(MB451=1,$MB$35,$MB$36)</f>
        <v>0</v>
      </c>
      <c r="ML451" s="13">
        <f>OCC_DAYS*$MB$41*R_NF_2023-MD451*MCD_SHARE_FREED*R_WAIT_2023</f>
        <v>151980.48282209205</v>
      </c>
      <c r="MM451">
        <f>IF($A451&lt;=$MB$45,1,0)</f>
        <v>0</v>
      </c>
      <c r="NB451">
        <f>IF($NB$31&lt;=$NB$32,IF($A451&lt;=$NB$7,1,2),IF($A451&lt;=RUNG_BEDS_2,2,1))</f>
        <v>1</v>
      </c>
      <c r="NC451" s="5">
        <f>MIN(1,MAX(0,$NB$26-($A451-1)))</f>
        <v>0</v>
      </c>
      <c r="ND451" s="5">
        <f>$NB$25*(NC451+(1-NC451)*$NB$16)</f>
        <v>63.013306786703595</v>
      </c>
      <c r="NE451" s="13">
        <f>ND451*($NB$6+ACUTE_MARGIN)</f>
        <v>63643.43985457063</v>
      </c>
      <c r="NF451" s="13">
        <f>IF(NB451=1,$NB$31,$NB$32)</f>
        <v>152394.16214437486</v>
      </c>
      <c r="NG451" s="13">
        <f>NE451-NF451</f>
        <v>-88750.72228980422</v>
      </c>
      <c r="NH451" s="13">
        <f>NH450+NG451</f>
        <v>-3988537.8314437335</v>
      </c>
      <c r="NI451">
        <f>IF(NH451=MAX($NH$83:$NH$483),$A451,0)</f>
        <v>0</v>
      </c>
      <c r="NJ451">
        <f>IF(NE451&lt;NF451,$A451,B_MAX+1)</f>
        <v>368</v>
      </c>
      <c r="NK451" s="13">
        <f>IF(NB451=1,$NB$35,$NB$36)</f>
        <v>0</v>
      </c>
      <c r="NL451" s="13">
        <f>OCC_DAYS*$NB$41*R_NF_2023-ND451*MCD_SHARE_FREED*R_WAIT_2023</f>
        <v>123327.15192717595</v>
      </c>
      <c r="NM451">
        <f>IF($A451&lt;=$NB$45,1,0)</f>
        <v>0</v>
      </c>
      <c r="OB451">
        <f>IF($OB$31&lt;=$OB$32,IF($A451&lt;=$OB$7,1,2),IF($A451&lt;=RUNG_BEDS_2,2,1))</f>
        <v>1</v>
      </c>
      <c r="OC451" s="5">
        <f>MIN(1,MAX(0,$OB$26-($A451-1)))</f>
        <v>0</v>
      </c>
      <c r="OD451" s="5">
        <f>$OB$25*(OC451+(1-OC451)*$OB$16)</f>
        <v>126.02661357340719</v>
      </c>
      <c r="OE451" s="13">
        <f>OD451*($OB$6+ACUTE_MARGIN)</f>
        <v>127286.87970914126</v>
      </c>
      <c r="OF451" s="13">
        <f>IF(OB451=1,$OB$31,$OB$32)</f>
        <v>152394.16214437486</v>
      </c>
      <c r="OG451" s="13">
        <f>OE451-OF451</f>
        <v>-25107.282435233603</v>
      </c>
      <c r="OH451" s="13">
        <f>OH450+OG451</f>
        <v>9875005.377970397</v>
      </c>
      <c r="OI451">
        <f>IF(OH451=MAX($OH$83:$OH$483),$A451,0)</f>
        <v>0</v>
      </c>
      <c r="OJ451">
        <f>IF(OE451&lt;OF451,$A451,B_MAX+1)</f>
        <v>368</v>
      </c>
      <c r="OK451" s="13">
        <f>IF(OB451=1,$OB$35,$OB$36)</f>
        <v>0</v>
      </c>
      <c r="OL451" s="13">
        <f>OCC_DAYS*$OB$41*R_NF_2023-OD451*MCD_SHARE_FREED*R_WAIT_2023</f>
        <v>94673.82103225985</v>
      </c>
      <c r="OM451">
        <f>IF($A451&lt;=$OB$45,1,0)</f>
        <v>0</v>
      </c>
    </row>
    <row r="452">
      <c r="A452" t="n">
        <v>369</v>
      </c>
      <c r="B452">
        <f>IF($B$31&lt;=$B$32,IF($A452&lt;=$B$7,1,2),IF($A452&lt;=RUNG_BEDS_2,2,1))</f>
        <v>1</v>
      </c>
      <c r="C452" s="5">
        <f>MIN(1,MAX(0,$B$26-($A452-1)))</f>
        <v>0</v>
      </c>
      <c r="D452" s="5">
        <f>$B$25*(C452+(1-C452)*$B$16)</f>
        <v>0.0</v>
      </c>
      <c r="E452" s="13">
        <f>D452*($B$6+ACUTE_MARGIN)</f>
        <v>0.0</v>
      </c>
      <c r="F452" s="13">
        <f>IF(B452=1,$B$31,$B$32)</f>
        <v>152394.16214437486</v>
      </c>
      <c r="G452" s="13">
        <f>E452-F452</f>
        <v>-152394.16214437486</v>
      </c>
      <c r="H452" s="13">
        <f>H451+G452</f>
        <v>-18004475.203001946</v>
      </c>
      <c r="I452">
        <f>IF(H452=MAX($H$83:$H$483),$A452,0)</f>
        <v>0</v>
      </c>
      <c r="J452">
        <f>IF(E452&lt;F452,$A452,B_MAX+1)</f>
        <v>369</v>
      </c>
      <c r="K452" s="13">
        <f>IF(B452=1,$B$35,$B$36)</f>
        <v>0</v>
      </c>
      <c r="L452" s="13">
        <f>OCC_DAYS*$B$41*R_NF_2023-D452*MCD_SHARE_FREED*R_WAIT_2023</f>
        <v>151980.48282209205</v>
      </c>
      <c r="M452">
        <f>IF($A452&lt;=$B$45,1,0)</f>
        <v>0</v>
      </c>
      <c r="AB452">
        <f>IF($AB$31&lt;=$AB$32,IF($A452&lt;=$AB$7,1,2),IF($A452&lt;=RUNG_BEDS_2,2,1))</f>
        <v>1</v>
      </c>
      <c r="AC452" s="5">
        <f>MIN(1,MAX(0,$AB$26-($A452-1)))</f>
        <v>0</v>
      </c>
      <c r="AD452" s="5">
        <f>$AB$25*(AC452+(1-AC452)*$AB$16)</f>
        <v>0.0</v>
      </c>
      <c r="AE452" s="13">
        <f>AD452*($AB$6+ACUTE_MARGIN)</f>
        <v>0.0</v>
      </c>
      <c r="AF452" s="13">
        <f>IF(AB452=1,$AB$31,$AB$32)</f>
        <v>152394.16214437486</v>
      </c>
      <c r="AG452" s="13">
        <f>AE452-AF452</f>
        <v>-152394.16214437486</v>
      </c>
      <c r="AH452" s="13">
        <f>AH451+AG452</f>
        <v>-35415689.54855173</v>
      </c>
      <c r="AI452">
        <f>IF(AH452=MAX($AH$83:$AH$483),$A452,0)</f>
        <v>0</v>
      </c>
      <c r="AJ452">
        <f>IF(AE452&lt;AF452,$A452,B_MAX+1)</f>
        <v>369</v>
      </c>
      <c r="AK452" s="13">
        <f>IF(AB452=1,$AB$35,$AB$36)</f>
        <v>0</v>
      </c>
      <c r="AL452" s="13">
        <f>OCC_DAYS*$AB$41*R_NF_2023-AD452*MCD_SHARE_FREED*R_WAIT_2023</f>
        <v>151980.48282209205</v>
      </c>
      <c r="AM452">
        <f>IF($A452&lt;=$AB$45,1,0)</f>
        <v>0</v>
      </c>
      <c r="BB452">
        <f>IF($BB$31&lt;=$BB$32,IF($A452&lt;=$BB$7,1,2),IF($A452&lt;=RUNG_BEDS_2,2,1))</f>
        <v>1</v>
      </c>
      <c r="BC452" s="5">
        <f>MIN(1,MAX(0,$BB$26-($A452-1)))</f>
        <v>0</v>
      </c>
      <c r="BD452" s="5">
        <f>$BB$25*(BC452+(1-BC452)*$BB$16)</f>
        <v>0.0</v>
      </c>
      <c r="BE452" s="13">
        <f>BD452*($BB$6+ACUTE_MARGIN)</f>
        <v>0.0</v>
      </c>
      <c r="BF452" s="13">
        <f>IF(BB452=1,$BB$31,$BB$32)</f>
        <v>152394.16214437486</v>
      </c>
      <c r="BG452" s="13">
        <f>BE452-BF452</f>
        <v>-152394.16214437486</v>
      </c>
      <c r="BH452" s="13">
        <f>BH451+BG452</f>
        <v>-593260.8574522389</v>
      </c>
      <c r="BI452">
        <f>IF(BH452=MAX($BH$83:$BH$483),$A452,0)</f>
        <v>0</v>
      </c>
      <c r="BJ452">
        <f>IF(BE452&lt;BF452,$A452,B_MAX+1)</f>
        <v>369</v>
      </c>
      <c r="BK452" s="13">
        <f>IF(BB452=1,$BB$35,$BB$36)</f>
        <v>0</v>
      </c>
      <c r="BL452" s="13">
        <f>OCC_DAYS*$BB$41*R_NF_2023-BD452*MCD_SHARE_FREED*R_WAIT_2023</f>
        <v>151980.48282209205</v>
      </c>
      <c r="BM452">
        <f>IF($A452&lt;=$BB$45,1,0)</f>
        <v>0</v>
      </c>
      <c r="CB452">
        <f>IF($CB$31&lt;=$CB$32,IF($A452&lt;=$CB$7,1,2),IF($A452&lt;=RUNG_BEDS_2,2,1))</f>
        <v>2</v>
      </c>
      <c r="CC452" s="5">
        <f>MIN(1,MAX(0,$CB$26-($A452-1)))</f>
        <v>0</v>
      </c>
      <c r="CD452" s="5">
        <f>$CB$25*(CC452+(1-CC452)*$CB$16)</f>
        <v>0.0</v>
      </c>
      <c r="CE452" s="13">
        <f>CD452*($CB$6+ACUTE_MARGIN)</f>
        <v>0.0</v>
      </c>
      <c r="CF452" s="13">
        <f>IF(CB452=1,$CB$31,$CB$32)</f>
        <v>160718.36940738867</v>
      </c>
      <c r="CG452" s="13">
        <f>CE452-CF452</f>
        <v>-160718.36940738867</v>
      </c>
      <c r="CH452" s="13">
        <f>CH451+CG452</f>
        <v>-21076107.683054242</v>
      </c>
      <c r="CI452">
        <f>IF(CH452=MAX($CH$83:$CH$483),$A452,0)</f>
        <v>0</v>
      </c>
      <c r="CJ452">
        <f>IF(CE452&lt;CF452,$A452,B_MAX+1)</f>
        <v>369</v>
      </c>
      <c r="CK452" s="13">
        <f>IF(CB452=1,$CB$35,$CB$36)</f>
        <v>1560.1194073886782</v>
      </c>
      <c r="CL452" s="13">
        <f>OCC_DAYS*$CB$41*R_NF_2023-CD452*MCD_SHARE_FREED*R_WAIT_2023</f>
        <v>151980.48282209205</v>
      </c>
      <c r="CM452">
        <f>IF($A452&lt;=$CB$45,1,0)</f>
        <v>0</v>
      </c>
      <c r="DB452">
        <f>IF($DB$31&lt;=$DB$32,IF($A452&lt;=$DB$7,1,2),IF($A452&lt;=RUNG_BEDS_2,2,1))</f>
        <v>1</v>
      </c>
      <c r="DC452" s="5">
        <f>MIN(1,MAX(0,$DB$26-($A452-1)))</f>
        <v>0</v>
      </c>
      <c r="DD452" s="5">
        <f>$DB$25*(DC452+(1-DC452)*$DB$16)</f>
        <v>0.0</v>
      </c>
      <c r="DE452" s="13">
        <f>DD452*($DB$6+ACUTE_MARGIN)</f>
        <v>0.0</v>
      </c>
      <c r="DF452" s="13">
        <f>IF(DB452=1,$DB$31,$DB$32)</f>
        <v>152394.16214437486</v>
      </c>
      <c r="DG452" s="13">
        <f>DE452-DF452</f>
        <v>-152394.16214437486</v>
      </c>
      <c r="DH452" s="13">
        <f>DH451+DG452</f>
        <v>-18004475.203001946</v>
      </c>
      <c r="DI452">
        <f>IF(DH452=MAX($DH$83:$DH$483),$A452,0)</f>
        <v>0</v>
      </c>
      <c r="DJ452">
        <f>IF(DE452&lt;DF452,$A452,B_MAX+1)</f>
        <v>369</v>
      </c>
      <c r="DK452" s="13">
        <f>IF(DB452=1,$DB$35,$DB$36)</f>
        <v>0</v>
      </c>
      <c r="DL452" s="13">
        <f>OCC_DAYS*$DB$41*R_NF_2023-DD452*MCD_SHARE_FREED*R_WAIT_2023</f>
        <v>151980.48282209205</v>
      </c>
      <c r="DM452">
        <f>IF($A452&lt;=$DB$45,1,0)</f>
        <v>0</v>
      </c>
      <c r="EB452">
        <f>IF($EB$31&lt;=$EB$32,IF($A452&lt;=$EB$7,1,2),IF($A452&lt;=RUNG_BEDS_2,2,1))</f>
        <v>1</v>
      </c>
      <c r="EC452" s="5">
        <f>MIN(1,MAX(0,$EB$26-($A452-1)))</f>
        <v>0</v>
      </c>
      <c r="ED452" s="5">
        <f>$EB$25*(EC452+(1-EC452)*$EB$16)</f>
        <v>0.0</v>
      </c>
      <c r="EE452" s="13">
        <f>ED452*($EB$6+ACUTE_MARGIN)</f>
        <v>0.0</v>
      </c>
      <c r="EF452" s="13">
        <f>IF(EB452=1,$EB$31,$EB$32)</f>
        <v>152394.16214437486</v>
      </c>
      <c r="EG452" s="13">
        <f>EE452-EF452</f>
        <v>-152394.16214437486</v>
      </c>
      <c r="EH452" s="13">
        <f>EH451+EG452</f>
        <v>-18004475.203001946</v>
      </c>
      <c r="EI452">
        <f>IF(EH452=MAX($EH$83:$EH$483),$A452,0)</f>
        <v>0</v>
      </c>
      <c r="EJ452">
        <f>IF(EE452&lt;EF452,$A452,B_MAX+1)</f>
        <v>369</v>
      </c>
      <c r="EK452" s="13">
        <f>IF(EB452=1,$EB$35,$EB$36)</f>
        <v>0</v>
      </c>
      <c r="EL452" s="13">
        <f>OCC_DAYS*$EB$41*R_NF_2023-ED452*MCD_SHARE_FREED*R_WAIT_2023</f>
        <v>50660.16094069735</v>
      </c>
      <c r="EM452">
        <f>IF($A452&lt;=$EB$45,1,0)</f>
        <v>0</v>
      </c>
      <c r="FB452">
        <f>IF($FB$31&lt;=$FB$32,IF($A452&lt;=$FB$7,1,2),IF($A452&lt;=RUNG_BEDS_2,2,1))</f>
        <v>1</v>
      </c>
      <c r="FC452" s="5">
        <f>MIN(1,MAX(0,$FB$26-($A452-1)))</f>
        <v>0</v>
      </c>
      <c r="FD452" s="5">
        <f>$FB$25*(FC452+(1-FC452)*$FB$16)</f>
        <v>0.0</v>
      </c>
      <c r="FE452" s="13">
        <f>FD452*($FB$6+ACUTE_MARGIN)</f>
        <v>0.0</v>
      </c>
      <c r="FF452" s="13">
        <f>IF(FB452=1,$FB$31,$FB$32)</f>
        <v>156636.04979437485</v>
      </c>
      <c r="FG452" s="13">
        <f>FE452-FF452</f>
        <v>-156636.04979437485</v>
      </c>
      <c r="FH452" s="13">
        <f>FH451+FG452</f>
        <v>-19569731.74585208</v>
      </c>
      <c r="FI452">
        <f>IF(FH452=MAX($FH$83:$FH$483),$A452,0)</f>
        <v>0</v>
      </c>
      <c r="FJ452">
        <f>IF(FE452&lt;FF452,$A452,B_MAX+1)</f>
        <v>369</v>
      </c>
      <c r="FK452" s="13">
        <f>IF(FB452=1,$FB$35,$FB$36)</f>
        <v>0</v>
      </c>
      <c r="FL452" s="13">
        <f>OCC_DAYS*$FB$41*R_NF_2023-FD452*MCD_SHARE_FREED*R_WAIT_2023</f>
        <v>151980.48282209205</v>
      </c>
      <c r="FM452">
        <f>IF($A452&lt;=$FB$45,1,0)</f>
        <v>0</v>
      </c>
      <c r="GB452">
        <f>IF($GB$31&lt;=$GB$32,IF($A452&lt;=$GB$7,1,2),IF($A452&lt;=RUNG_BEDS_2,2,1))</f>
        <v>1</v>
      </c>
      <c r="GC452" s="5">
        <f>MIN(1,MAX(0,$GB$26-($A452-1)))</f>
        <v>0</v>
      </c>
      <c r="GD452" s="5">
        <f>$GB$25*(GC452+(1-GC452)*$GB$16)</f>
        <v>0.0</v>
      </c>
      <c r="GE452" s="13">
        <f>GD452*($GB$6+ACUTE_MARGIN)</f>
        <v>0.0</v>
      </c>
      <c r="GF452" s="13">
        <f>IF(GB452=1,$GB$31,$GB$32)</f>
        <v>152394.16214437486</v>
      </c>
      <c r="GG452" s="13">
        <f>GE452-GF452</f>
        <v>-152394.16214437486</v>
      </c>
      <c r="GH452" s="13">
        <f>GH451+GG452</f>
        <v>-18004475.203001946</v>
      </c>
      <c r="GI452">
        <f>IF(GH452=MAX($GH$83:$GH$483),$A452,0)</f>
        <v>0</v>
      </c>
      <c r="GJ452">
        <f>IF(GE452&lt;GF452,$A452,B_MAX+1)</f>
        <v>369</v>
      </c>
      <c r="GK452" s="13">
        <f>IF(GB452=1,$GB$35,$GB$36)</f>
        <v>0</v>
      </c>
      <c r="GL452" s="13">
        <f>OCC_DAYS*$GB$41*R_NF_2023-GD452*MCD_SHARE_FREED*R_WAIT_2023</f>
        <v>151980.48282209205</v>
      </c>
      <c r="GM452">
        <f>IF($A452&lt;=$GB$45,1,0)</f>
        <v>0</v>
      </c>
      <c r="HB452">
        <f>IF($HB$31&lt;=$HB$32,IF($A452&lt;=$HB$7,1,2),IF($A452&lt;=RUNG_BEDS_2,2,1))</f>
        <v>1</v>
      </c>
      <c r="HC452" s="5">
        <f>MIN(1,MAX(0,$HB$26-($A452-1)))</f>
        <v>0</v>
      </c>
      <c r="HD452" s="5">
        <f>$HB$25*(HC452+(1-HC452)*$HB$16)</f>
        <v>0.0</v>
      </c>
      <c r="HE452" s="13">
        <f>HD452*($HB$6+ACUTE_MARGIN)</f>
        <v>0.0</v>
      </c>
      <c r="HF452" s="13">
        <f>IF(HB452=1,$HB$31,$HB$32)</f>
        <v>152456.2970814058</v>
      </c>
      <c r="HG452" s="13">
        <f>HE452-HF452</f>
        <v>-152456.2970814058</v>
      </c>
      <c r="HH452" s="13">
        <f>HH451+HG452</f>
        <v>-18027402.99476644</v>
      </c>
      <c r="HI452">
        <f>IF(HH452=MAX($HH$83:$HH$483),$A452,0)</f>
        <v>0</v>
      </c>
      <c r="HJ452">
        <f>IF(HE452&lt;HF452,$A452,B_MAX+1)</f>
        <v>369</v>
      </c>
      <c r="HK452" s="13">
        <f>IF(HB452=1,$HB$35,$HB$36)</f>
        <v>0</v>
      </c>
      <c r="HL452" s="13">
        <f>OCC_DAYS*$HB$41*R_NF_2023-HD452*MCD_SHARE_FREED*R_WAIT_2023</f>
        <v>151980.48282209205</v>
      </c>
      <c r="HM452">
        <f>IF($A452&lt;=$HB$45,1,0)</f>
        <v>0</v>
      </c>
      <c r="IB452">
        <f>IF($IB$31&lt;=$IB$32,IF($A452&lt;=$IB$7,1,2),IF($A452&lt;=RUNG_BEDS_2,2,1))</f>
        <v>1</v>
      </c>
      <c r="IC452" s="5">
        <f>MIN(1,MAX(0,$IB$26-($A452-1)))</f>
        <v>0</v>
      </c>
      <c r="ID452" s="5">
        <f>$IB$25*(IC452+(1-IC452)*$IB$16)</f>
        <v>0.0</v>
      </c>
      <c r="IE452" s="13">
        <f>ID452*($IB$6+ACUTE_MARGIN)</f>
        <v>0.0</v>
      </c>
      <c r="IF452" s="13">
        <f>IF(IB452=1,$IB$31,$IB$32)</f>
        <v>152734.9994534971</v>
      </c>
      <c r="IG452" s="13">
        <f>IE452-IF452</f>
        <v>-152734.9994534971</v>
      </c>
      <c r="IH452" s="13">
        <f>IH451+IG452</f>
        <v>-18130244.17006813</v>
      </c>
      <c r="II452">
        <f>IF(IH452=MAX($IH$83:$IH$483),$A452,0)</f>
        <v>0</v>
      </c>
      <c r="IJ452">
        <f>IF(IE452&lt;IF452,$A452,B_MAX+1)</f>
        <v>369</v>
      </c>
      <c r="IK452" s="13">
        <f>IF(IB452=1,$IB$35,$IB$36)</f>
        <v>0</v>
      </c>
      <c r="IL452" s="13">
        <f>OCC_DAYS*$IB$41*R_NF_2023-ID452*MCD_SHARE_FREED*R_WAIT_2023</f>
        <v>151980.48282209205</v>
      </c>
      <c r="IM452">
        <f>IF($A452&lt;=$IB$45,1,0)</f>
        <v>0</v>
      </c>
      <c r="JB452">
        <f>IF($JB$31&lt;=$JB$32,IF($A452&lt;=$JB$7,1,2),IF($A452&lt;=RUNG_BEDS_2,2,1))</f>
        <v>1</v>
      </c>
      <c r="JC452" s="5">
        <f>MIN(1,MAX(0,$JB$26-($A452-1)))</f>
        <v>0</v>
      </c>
      <c r="JD452" s="5">
        <f>$JB$25*(JC452+(1-JC452)*$JB$16)</f>
        <v>0.0</v>
      </c>
      <c r="JE452" s="13">
        <f>JD452*($JB$6+ACUTE_MARGIN)</f>
        <v>0.0</v>
      </c>
      <c r="JF452" s="13">
        <f>IF(JB452=1,$JB$31,$JB$32)</f>
        <v>152394.16214437486</v>
      </c>
      <c r="JG452" s="13">
        <f>JE452-JF452</f>
        <v>-152394.16214437486</v>
      </c>
      <c r="JH452" s="13">
        <f>JH451+JG452</f>
        <v>-18004475.203001946</v>
      </c>
      <c r="JI452">
        <f>IF(JH452=MAX($JH$83:$JH$483),$A452,0)</f>
        <v>0</v>
      </c>
      <c r="JJ452">
        <f>IF(JE452&lt;JF452,$A452,B_MAX+1)</f>
        <v>369</v>
      </c>
      <c r="JK452" s="13">
        <f>IF(JB452=1,$JB$35,$JB$36)</f>
        <v>0</v>
      </c>
      <c r="JL452" s="13">
        <f>OCC_DAYS*$JB$41*R_NF_2023-JD452*MCD_SHARE_FREED*R_WAIT_2023</f>
        <v>151980.48282209205</v>
      </c>
      <c r="JM452">
        <f>IF($A452&lt;=$JB$45,1,0)</f>
        <v>0</v>
      </c>
      <c r="KB452">
        <f>IF($KB$31&lt;=$KB$32,IF($A452&lt;=$KB$7,1,2),IF($A452&lt;=RUNG_BEDS_2,2,1))</f>
        <v>1</v>
      </c>
      <c r="KC452" s="5">
        <f>MIN(1,MAX(0,$KB$26-($A452-1)))</f>
        <v>0</v>
      </c>
      <c r="KD452" s="5">
        <f>$KB$25*(KC452+(1-KC452)*$KB$16)</f>
        <v>0.0</v>
      </c>
      <c r="KE452" s="13">
        <f>KD452*($KB$6+ACUTE_MARGIN)</f>
        <v>0.0</v>
      </c>
      <c r="KF452" s="13">
        <f>IF(KB452=1,$KB$31,$KB$32)</f>
        <v>152394.16214437486</v>
      </c>
      <c r="KG452" s="13">
        <f>KE452-KF452</f>
        <v>-152394.16214437486</v>
      </c>
      <c r="KH452" s="13">
        <f>KH451+KG452</f>
        <v>-18004475.203002054</v>
      </c>
      <c r="KI452">
        <f>IF(KH452=MAX($KH$83:$KH$483),$A452,0)</f>
        <v>0</v>
      </c>
      <c r="KJ452">
        <f>IF(KE452&lt;KF452,$A452,B_MAX+1)</f>
        <v>369</v>
      </c>
      <c r="KK452" s="13">
        <f>IF(KB452=1,$KB$35,$KB$36)</f>
        <v>0</v>
      </c>
      <c r="KL452" s="13">
        <f>OCC_DAYS*$KB$41*R_NF_2023-KD452*MCD_SHARE_FREED*R_WAIT_2023</f>
        <v>151980.48282209205</v>
      </c>
      <c r="KM452">
        <f>IF($A452&lt;=$KB$45,1,0)</f>
        <v>0</v>
      </c>
      <c r="LB452">
        <f>IF($LB$31&lt;=$LB$32,IF($A452&lt;=$LB$7,1,2),IF($A452&lt;=RUNG_BEDS_2,2,1))</f>
        <v>1</v>
      </c>
      <c r="LC452" s="5">
        <f>MIN(1,MAX(0,$LB$26-($A452-1)))</f>
        <v>1</v>
      </c>
      <c r="LD452" s="5">
        <f>$LB$25*(LC452+(1-LC452)*$LB$16)</f>
        <v>84.01774238227146</v>
      </c>
      <c r="LE452" s="13">
        <f>LD452*($LB$6+ACUTE_MARGIN)</f>
        <v>84857.91980609419</v>
      </c>
      <c r="LF452" s="13">
        <f>IF(LB452=1,$LB$31,$LB$32)</f>
        <v>152394.16214437486</v>
      </c>
      <c r="LG452" s="13">
        <f>LE452-LF452</f>
        <v>-67536.24233828067</v>
      </c>
      <c r="LH452" s="13">
        <f>LH451+LG452</f>
        <v>-24920873.422825705</v>
      </c>
      <c r="LI452">
        <f>IF(LH452=MAX($LH$83:$LH$483),$A452,0)</f>
        <v>0</v>
      </c>
      <c r="LJ452">
        <f>IF(LE452&lt;LF452,$A452,B_MAX+1)</f>
        <v>369</v>
      </c>
      <c r="LK452" s="13">
        <f>IF(LB452=1,$LB$35,$LB$36)</f>
        <v>0</v>
      </c>
      <c r="LL452" s="13">
        <f>OCC_DAYS*$LB$41*R_NF_2023-LD452*MCD_SHARE_FREED*R_WAIT_2023</f>
        <v>113776.04162887059</v>
      </c>
      <c r="LM452">
        <f>IF($A452&lt;=$LB$45,1,0)</f>
        <v>0</v>
      </c>
      <c r="MB452">
        <f>IF($MB$31&lt;=$MB$32,IF($A452&lt;=$MB$7,1,2),IF($A452&lt;=RUNG_BEDS_2,2,1))</f>
        <v>1</v>
      </c>
      <c r="MC452" s="5">
        <f>MIN(1,MAX(0,$MB$26-($A452-1)))</f>
        <v>0</v>
      </c>
      <c r="MD452" s="5">
        <f>$MB$25*(MC452+(1-MC452)*$MB$16)</f>
        <v>0.0</v>
      </c>
      <c r="ME452" s="13">
        <f>MD452*($MB$6+ACUTE_MARGIN)</f>
        <v>0.0</v>
      </c>
      <c r="MF452" s="13">
        <f>IF(MB452=1,$MB$31,$MB$32)</f>
        <v>152394.16214437486</v>
      </c>
      <c r="MG452" s="13">
        <f>ME452-MF452</f>
        <v>-152394.16214437486</v>
      </c>
      <c r="MH452" s="13">
        <f>MH451+MG452</f>
        <v>-23891751.264800247</v>
      </c>
      <c r="MI452">
        <f>IF(MH452=MAX($MH$83:$MH$483),$A452,0)</f>
        <v>0</v>
      </c>
      <c r="MJ452">
        <f>IF(ME452&lt;MF452,$A452,B_MAX+1)</f>
        <v>369</v>
      </c>
      <c r="MK452" s="13">
        <f>IF(MB452=1,$MB$35,$MB$36)</f>
        <v>0</v>
      </c>
      <c r="ML452" s="13">
        <f>OCC_DAYS*$MB$41*R_NF_2023-MD452*MCD_SHARE_FREED*R_WAIT_2023</f>
        <v>151980.48282209205</v>
      </c>
      <c r="MM452">
        <f>IF($A452&lt;=$MB$45,1,0)</f>
        <v>0</v>
      </c>
      <c r="NB452">
        <f>IF($NB$31&lt;=$NB$32,IF($A452&lt;=$NB$7,1,2),IF($A452&lt;=RUNG_BEDS_2,2,1))</f>
        <v>1</v>
      </c>
      <c r="NC452" s="5">
        <f>MIN(1,MAX(0,$NB$26-($A452-1)))</f>
        <v>0</v>
      </c>
      <c r="ND452" s="5">
        <f>$NB$25*(NC452+(1-NC452)*$NB$16)</f>
        <v>63.013306786703595</v>
      </c>
      <c r="NE452" s="13">
        <f>ND452*($NB$6+ACUTE_MARGIN)</f>
        <v>63643.43985457063</v>
      </c>
      <c r="NF452" s="13">
        <f>IF(NB452=1,$NB$31,$NB$32)</f>
        <v>152394.16214437486</v>
      </c>
      <c r="NG452" s="13">
        <f>NE452-NF452</f>
        <v>-88750.72228980422</v>
      </c>
      <c r="NH452" s="13">
        <f>NH451+NG452</f>
        <v>-4077288.553733538</v>
      </c>
      <c r="NI452">
        <f>IF(NH452=MAX($NH$83:$NH$483),$A452,0)</f>
        <v>0</v>
      </c>
      <c r="NJ452">
        <f>IF(NE452&lt;NF452,$A452,B_MAX+1)</f>
        <v>369</v>
      </c>
      <c r="NK452" s="13">
        <f>IF(NB452=1,$NB$35,$NB$36)</f>
        <v>0</v>
      </c>
      <c r="NL452" s="13">
        <f>OCC_DAYS*$NB$41*R_NF_2023-ND452*MCD_SHARE_FREED*R_WAIT_2023</f>
        <v>123327.15192717595</v>
      </c>
      <c r="NM452">
        <f>IF($A452&lt;=$NB$45,1,0)</f>
        <v>0</v>
      </c>
      <c r="OB452">
        <f>IF($OB$31&lt;=$OB$32,IF($A452&lt;=$OB$7,1,2),IF($A452&lt;=RUNG_BEDS_2,2,1))</f>
        <v>1</v>
      </c>
      <c r="OC452" s="5">
        <f>MIN(1,MAX(0,$OB$26-($A452-1)))</f>
        <v>0</v>
      </c>
      <c r="OD452" s="5">
        <f>$OB$25*(OC452+(1-OC452)*$OB$16)</f>
        <v>126.02661357340719</v>
      </c>
      <c r="OE452" s="13">
        <f>OD452*($OB$6+ACUTE_MARGIN)</f>
        <v>127286.87970914126</v>
      </c>
      <c r="OF452" s="13">
        <f>IF(OB452=1,$OB$31,$OB$32)</f>
        <v>152394.16214437486</v>
      </c>
      <c r="OG452" s="13">
        <f>OE452-OF452</f>
        <v>-25107.282435233603</v>
      </c>
      <c r="OH452" s="13">
        <f>OH451+OG452</f>
        <v>9849898.095535165</v>
      </c>
      <c r="OI452">
        <f>IF(OH452=MAX($OH$83:$OH$483),$A452,0)</f>
        <v>0</v>
      </c>
      <c r="OJ452">
        <f>IF(OE452&lt;OF452,$A452,B_MAX+1)</f>
        <v>369</v>
      </c>
      <c r="OK452" s="13">
        <f>IF(OB452=1,$OB$35,$OB$36)</f>
        <v>0</v>
      </c>
      <c r="OL452" s="13">
        <f>OCC_DAYS*$OB$41*R_NF_2023-OD452*MCD_SHARE_FREED*R_WAIT_2023</f>
        <v>94673.82103225985</v>
      </c>
      <c r="OM452">
        <f>IF($A452&lt;=$OB$45,1,0)</f>
        <v>0</v>
      </c>
    </row>
    <row r="453">
      <c r="A453" t="n">
        <v>370</v>
      </c>
      <c r="B453">
        <f>IF($B$31&lt;=$B$32,IF($A453&lt;=$B$7,1,2),IF($A453&lt;=RUNG_BEDS_2,2,1))</f>
        <v>1</v>
      </c>
      <c r="C453" s="5">
        <f>MIN(1,MAX(0,$B$26-($A453-1)))</f>
        <v>0</v>
      </c>
      <c r="D453" s="5">
        <f>$B$25*(C453+(1-C453)*$B$16)</f>
        <v>0.0</v>
      </c>
      <c r="E453" s="13">
        <f>D453*($B$6+ACUTE_MARGIN)</f>
        <v>0.0</v>
      </c>
      <c r="F453" s="13">
        <f>IF(B453=1,$B$31,$B$32)</f>
        <v>152394.16214437486</v>
      </c>
      <c r="G453" s="13">
        <f>E453-F453</f>
        <v>-152394.16214437486</v>
      </c>
      <c r="H453" s="13">
        <f>H452+G453</f>
        <v>-18156869.36514632</v>
      </c>
      <c r="I453">
        <f>IF(H453=MAX($H$83:$H$483),$A453,0)</f>
        <v>0</v>
      </c>
      <c r="J453">
        <f>IF(E453&lt;F453,$A453,B_MAX+1)</f>
        <v>370</v>
      </c>
      <c r="K453" s="13">
        <f>IF(B453=1,$B$35,$B$36)</f>
        <v>0</v>
      </c>
      <c r="L453" s="13">
        <f>OCC_DAYS*$B$41*R_NF_2023-D453*MCD_SHARE_FREED*R_WAIT_2023</f>
        <v>151980.48282209205</v>
      </c>
      <c r="M453">
        <f>IF($A453&lt;=$B$45,1,0)</f>
        <v>0</v>
      </c>
      <c r="AB453">
        <f>IF($AB$31&lt;=$AB$32,IF($A453&lt;=$AB$7,1,2),IF($A453&lt;=RUNG_BEDS_2,2,1))</f>
        <v>1</v>
      </c>
      <c r="AC453" s="5">
        <f>MIN(1,MAX(0,$AB$26-($A453-1)))</f>
        <v>0</v>
      </c>
      <c r="AD453" s="5">
        <f>$AB$25*(AC453+(1-AC453)*$AB$16)</f>
        <v>0.0</v>
      </c>
      <c r="AE453" s="13">
        <f>AD453*($AB$6+ACUTE_MARGIN)</f>
        <v>0.0</v>
      </c>
      <c r="AF453" s="13">
        <f>IF(AB453=1,$AB$31,$AB$32)</f>
        <v>152394.16214437486</v>
      </c>
      <c r="AG453" s="13">
        <f>AE453-AF453</f>
        <v>-152394.16214437486</v>
      </c>
      <c r="AH453" s="13">
        <f>AH452+AG453</f>
        <v>-35568083.71069611</v>
      </c>
      <c r="AI453">
        <f>IF(AH453=MAX($AH$83:$AH$483),$A453,0)</f>
        <v>0</v>
      </c>
      <c r="AJ453">
        <f>IF(AE453&lt;AF453,$A453,B_MAX+1)</f>
        <v>370</v>
      </c>
      <c r="AK453" s="13">
        <f>IF(AB453=1,$AB$35,$AB$36)</f>
        <v>0</v>
      </c>
      <c r="AL453" s="13">
        <f>OCC_DAYS*$AB$41*R_NF_2023-AD453*MCD_SHARE_FREED*R_WAIT_2023</f>
        <v>151980.48282209205</v>
      </c>
      <c r="AM453">
        <f>IF($A453&lt;=$AB$45,1,0)</f>
        <v>0</v>
      </c>
      <c r="BB453">
        <f>IF($BB$31&lt;=$BB$32,IF($A453&lt;=$BB$7,1,2),IF($A453&lt;=RUNG_BEDS_2,2,1))</f>
        <v>1</v>
      </c>
      <c r="BC453" s="5">
        <f>MIN(1,MAX(0,$BB$26-($A453-1)))</f>
        <v>0</v>
      </c>
      <c r="BD453" s="5">
        <f>$BB$25*(BC453+(1-BC453)*$BB$16)</f>
        <v>0.0</v>
      </c>
      <c r="BE453" s="13">
        <f>BD453*($BB$6+ACUTE_MARGIN)</f>
        <v>0.0</v>
      </c>
      <c r="BF453" s="13">
        <f>IF(BB453=1,$BB$31,$BB$32)</f>
        <v>152394.16214437486</v>
      </c>
      <c r="BG453" s="13">
        <f>BE453-BF453</f>
        <v>-152394.16214437486</v>
      </c>
      <c r="BH453" s="13">
        <f>BH452+BG453</f>
        <v>-745655.0195966137</v>
      </c>
      <c r="BI453">
        <f>IF(BH453=MAX($BH$83:$BH$483),$A453,0)</f>
        <v>0</v>
      </c>
      <c r="BJ453">
        <f>IF(BE453&lt;BF453,$A453,B_MAX+1)</f>
        <v>370</v>
      </c>
      <c r="BK453" s="13">
        <f>IF(BB453=1,$BB$35,$BB$36)</f>
        <v>0</v>
      </c>
      <c r="BL453" s="13">
        <f>OCC_DAYS*$BB$41*R_NF_2023-BD453*MCD_SHARE_FREED*R_WAIT_2023</f>
        <v>151980.48282209205</v>
      </c>
      <c r="BM453">
        <f>IF($A453&lt;=$BB$45,1,0)</f>
        <v>0</v>
      </c>
      <c r="CB453">
        <f>IF($CB$31&lt;=$CB$32,IF($A453&lt;=$CB$7,1,2),IF($A453&lt;=RUNG_BEDS_2,2,1))</f>
        <v>2</v>
      </c>
      <c r="CC453" s="5">
        <f>MIN(1,MAX(0,$CB$26-($A453-1)))</f>
        <v>0</v>
      </c>
      <c r="CD453" s="5">
        <f>$CB$25*(CC453+(1-CC453)*$CB$16)</f>
        <v>0.0</v>
      </c>
      <c r="CE453" s="13">
        <f>CD453*($CB$6+ACUTE_MARGIN)</f>
        <v>0.0</v>
      </c>
      <c r="CF453" s="13">
        <f>IF(CB453=1,$CB$31,$CB$32)</f>
        <v>160718.36940738867</v>
      </c>
      <c r="CG453" s="13">
        <f>CE453-CF453</f>
        <v>-160718.36940738867</v>
      </c>
      <c r="CH453" s="13">
        <f>CH452+CG453</f>
        <v>-21236826.05246163</v>
      </c>
      <c r="CI453">
        <f>IF(CH453=MAX($CH$83:$CH$483),$A453,0)</f>
        <v>0</v>
      </c>
      <c r="CJ453">
        <f>IF(CE453&lt;CF453,$A453,B_MAX+1)</f>
        <v>370</v>
      </c>
      <c r="CK453" s="13">
        <f>IF(CB453=1,$CB$35,$CB$36)</f>
        <v>1560.1194073886782</v>
      </c>
      <c r="CL453" s="13">
        <f>OCC_DAYS*$CB$41*R_NF_2023-CD453*MCD_SHARE_FREED*R_WAIT_2023</f>
        <v>151980.48282209205</v>
      </c>
      <c r="CM453">
        <f>IF($A453&lt;=$CB$45,1,0)</f>
        <v>0</v>
      </c>
      <c r="DB453">
        <f>IF($DB$31&lt;=$DB$32,IF($A453&lt;=$DB$7,1,2),IF($A453&lt;=RUNG_BEDS_2,2,1))</f>
        <v>1</v>
      </c>
      <c r="DC453" s="5">
        <f>MIN(1,MAX(0,$DB$26-($A453-1)))</f>
        <v>0</v>
      </c>
      <c r="DD453" s="5">
        <f>$DB$25*(DC453+(1-DC453)*$DB$16)</f>
        <v>0.0</v>
      </c>
      <c r="DE453" s="13">
        <f>DD453*($DB$6+ACUTE_MARGIN)</f>
        <v>0.0</v>
      </c>
      <c r="DF453" s="13">
        <f>IF(DB453=1,$DB$31,$DB$32)</f>
        <v>152394.16214437486</v>
      </c>
      <c r="DG453" s="13">
        <f>DE453-DF453</f>
        <v>-152394.16214437486</v>
      </c>
      <c r="DH453" s="13">
        <f>DH452+DG453</f>
        <v>-18156869.36514632</v>
      </c>
      <c r="DI453">
        <f>IF(DH453=MAX($DH$83:$DH$483),$A453,0)</f>
        <v>0</v>
      </c>
      <c r="DJ453">
        <f>IF(DE453&lt;DF453,$A453,B_MAX+1)</f>
        <v>370</v>
      </c>
      <c r="DK453" s="13">
        <f>IF(DB453=1,$DB$35,$DB$36)</f>
        <v>0</v>
      </c>
      <c r="DL453" s="13">
        <f>OCC_DAYS*$DB$41*R_NF_2023-DD453*MCD_SHARE_FREED*R_WAIT_2023</f>
        <v>151980.48282209205</v>
      </c>
      <c r="DM453">
        <f>IF($A453&lt;=$DB$45,1,0)</f>
        <v>0</v>
      </c>
      <c r="EB453">
        <f>IF($EB$31&lt;=$EB$32,IF($A453&lt;=$EB$7,1,2),IF($A453&lt;=RUNG_BEDS_2,2,1))</f>
        <v>1</v>
      </c>
      <c r="EC453" s="5">
        <f>MIN(1,MAX(0,$EB$26-($A453-1)))</f>
        <v>0</v>
      </c>
      <c r="ED453" s="5">
        <f>$EB$25*(EC453+(1-EC453)*$EB$16)</f>
        <v>0.0</v>
      </c>
      <c r="EE453" s="13">
        <f>ED453*($EB$6+ACUTE_MARGIN)</f>
        <v>0.0</v>
      </c>
      <c r="EF453" s="13">
        <f>IF(EB453=1,$EB$31,$EB$32)</f>
        <v>152394.16214437486</v>
      </c>
      <c r="EG453" s="13">
        <f>EE453-EF453</f>
        <v>-152394.16214437486</v>
      </c>
      <c r="EH453" s="13">
        <f>EH452+EG453</f>
        <v>-18156869.36514632</v>
      </c>
      <c r="EI453">
        <f>IF(EH453=MAX($EH$83:$EH$483),$A453,0)</f>
        <v>0</v>
      </c>
      <c r="EJ453">
        <f>IF(EE453&lt;EF453,$A453,B_MAX+1)</f>
        <v>370</v>
      </c>
      <c r="EK453" s="13">
        <f>IF(EB453=1,$EB$35,$EB$36)</f>
        <v>0</v>
      </c>
      <c r="EL453" s="13">
        <f>OCC_DAYS*$EB$41*R_NF_2023-ED453*MCD_SHARE_FREED*R_WAIT_2023</f>
        <v>50660.16094069735</v>
      </c>
      <c r="EM453">
        <f>IF($A453&lt;=$EB$45,1,0)</f>
        <v>0</v>
      </c>
      <c r="FB453">
        <f>IF($FB$31&lt;=$FB$32,IF($A453&lt;=$FB$7,1,2),IF($A453&lt;=RUNG_BEDS_2,2,1))</f>
        <v>1</v>
      </c>
      <c r="FC453" s="5">
        <f>MIN(1,MAX(0,$FB$26-($A453-1)))</f>
        <v>0</v>
      </c>
      <c r="FD453" s="5">
        <f>$FB$25*(FC453+(1-FC453)*$FB$16)</f>
        <v>0.0</v>
      </c>
      <c r="FE453" s="13">
        <f>FD453*($FB$6+ACUTE_MARGIN)</f>
        <v>0.0</v>
      </c>
      <c r="FF453" s="13">
        <f>IF(FB453=1,$FB$31,$FB$32)</f>
        <v>156636.04979437485</v>
      </c>
      <c r="FG453" s="13">
        <f>FE453-FF453</f>
        <v>-156636.04979437485</v>
      </c>
      <c r="FH453" s="13">
        <f>FH452+FG453</f>
        <v>-19726367.795646455</v>
      </c>
      <c r="FI453">
        <f>IF(FH453=MAX($FH$83:$FH$483),$A453,0)</f>
        <v>0</v>
      </c>
      <c r="FJ453">
        <f>IF(FE453&lt;FF453,$A453,B_MAX+1)</f>
        <v>370</v>
      </c>
      <c r="FK453" s="13">
        <f>IF(FB453=1,$FB$35,$FB$36)</f>
        <v>0</v>
      </c>
      <c r="FL453" s="13">
        <f>OCC_DAYS*$FB$41*R_NF_2023-FD453*MCD_SHARE_FREED*R_WAIT_2023</f>
        <v>151980.48282209205</v>
      </c>
      <c r="FM453">
        <f>IF($A453&lt;=$FB$45,1,0)</f>
        <v>0</v>
      </c>
      <c r="GB453">
        <f>IF($GB$31&lt;=$GB$32,IF($A453&lt;=$GB$7,1,2),IF($A453&lt;=RUNG_BEDS_2,2,1))</f>
        <v>1</v>
      </c>
      <c r="GC453" s="5">
        <f>MIN(1,MAX(0,$GB$26-($A453-1)))</f>
        <v>0</v>
      </c>
      <c r="GD453" s="5">
        <f>$GB$25*(GC453+(1-GC453)*$GB$16)</f>
        <v>0.0</v>
      </c>
      <c r="GE453" s="13">
        <f>GD453*($GB$6+ACUTE_MARGIN)</f>
        <v>0.0</v>
      </c>
      <c r="GF453" s="13">
        <f>IF(GB453=1,$GB$31,$GB$32)</f>
        <v>152394.16214437486</v>
      </c>
      <c r="GG453" s="13">
        <f>GE453-GF453</f>
        <v>-152394.16214437486</v>
      </c>
      <c r="GH453" s="13">
        <f>GH452+GG453</f>
        <v>-18156869.36514632</v>
      </c>
      <c r="GI453">
        <f>IF(GH453=MAX($GH$83:$GH$483),$A453,0)</f>
        <v>0</v>
      </c>
      <c r="GJ453">
        <f>IF(GE453&lt;GF453,$A453,B_MAX+1)</f>
        <v>370</v>
      </c>
      <c r="GK453" s="13">
        <f>IF(GB453=1,$GB$35,$GB$36)</f>
        <v>0</v>
      </c>
      <c r="GL453" s="13">
        <f>OCC_DAYS*$GB$41*R_NF_2023-GD453*MCD_SHARE_FREED*R_WAIT_2023</f>
        <v>151980.48282209205</v>
      </c>
      <c r="GM453">
        <f>IF($A453&lt;=$GB$45,1,0)</f>
        <v>0</v>
      </c>
      <c r="HB453">
        <f>IF($HB$31&lt;=$HB$32,IF($A453&lt;=$HB$7,1,2),IF($A453&lt;=RUNG_BEDS_2,2,1))</f>
        <v>1</v>
      </c>
      <c r="HC453" s="5">
        <f>MIN(1,MAX(0,$HB$26-($A453-1)))</f>
        <v>0</v>
      </c>
      <c r="HD453" s="5">
        <f>$HB$25*(HC453+(1-HC453)*$HB$16)</f>
        <v>0.0</v>
      </c>
      <c r="HE453" s="13">
        <f>HD453*($HB$6+ACUTE_MARGIN)</f>
        <v>0.0</v>
      </c>
      <c r="HF453" s="13">
        <f>IF(HB453=1,$HB$31,$HB$32)</f>
        <v>152456.2970814058</v>
      </c>
      <c r="HG453" s="13">
        <f>HE453-HF453</f>
        <v>-152456.2970814058</v>
      </c>
      <c r="HH453" s="13">
        <f>HH452+HG453</f>
        <v>-18179859.291847847</v>
      </c>
      <c r="HI453">
        <f>IF(HH453=MAX($HH$83:$HH$483),$A453,0)</f>
        <v>0</v>
      </c>
      <c r="HJ453">
        <f>IF(HE453&lt;HF453,$A453,B_MAX+1)</f>
        <v>370</v>
      </c>
      <c r="HK453" s="13">
        <f>IF(HB453=1,$HB$35,$HB$36)</f>
        <v>0</v>
      </c>
      <c r="HL453" s="13">
        <f>OCC_DAYS*$HB$41*R_NF_2023-HD453*MCD_SHARE_FREED*R_WAIT_2023</f>
        <v>151980.48282209205</v>
      </c>
      <c r="HM453">
        <f>IF($A453&lt;=$HB$45,1,0)</f>
        <v>0</v>
      </c>
      <c r="IB453">
        <f>IF($IB$31&lt;=$IB$32,IF($A453&lt;=$IB$7,1,2),IF($A453&lt;=RUNG_BEDS_2,2,1))</f>
        <v>1</v>
      </c>
      <c r="IC453" s="5">
        <f>MIN(1,MAX(0,$IB$26-($A453-1)))</f>
        <v>0</v>
      </c>
      <c r="ID453" s="5">
        <f>$IB$25*(IC453+(1-IC453)*$IB$16)</f>
        <v>0.0</v>
      </c>
      <c r="IE453" s="13">
        <f>ID453*($IB$6+ACUTE_MARGIN)</f>
        <v>0.0</v>
      </c>
      <c r="IF453" s="13">
        <f>IF(IB453=1,$IB$31,$IB$32)</f>
        <v>152734.9994534971</v>
      </c>
      <c r="IG453" s="13">
        <f>IE453-IF453</f>
        <v>-152734.9994534971</v>
      </c>
      <c r="IH453" s="13">
        <f>IH452+IG453</f>
        <v>-18282979.169521626</v>
      </c>
      <c r="II453">
        <f>IF(IH453=MAX($IH$83:$IH$483),$A453,0)</f>
        <v>0</v>
      </c>
      <c r="IJ453">
        <f>IF(IE453&lt;IF453,$A453,B_MAX+1)</f>
        <v>370</v>
      </c>
      <c r="IK453" s="13">
        <f>IF(IB453=1,$IB$35,$IB$36)</f>
        <v>0</v>
      </c>
      <c r="IL453" s="13">
        <f>OCC_DAYS*$IB$41*R_NF_2023-ID453*MCD_SHARE_FREED*R_WAIT_2023</f>
        <v>151980.48282209205</v>
      </c>
      <c r="IM453">
        <f>IF($A453&lt;=$IB$45,1,0)</f>
        <v>0</v>
      </c>
      <c r="JB453">
        <f>IF($JB$31&lt;=$JB$32,IF($A453&lt;=$JB$7,1,2),IF($A453&lt;=RUNG_BEDS_2,2,1))</f>
        <v>1</v>
      </c>
      <c r="JC453" s="5">
        <f>MIN(1,MAX(0,$JB$26-($A453-1)))</f>
        <v>0</v>
      </c>
      <c r="JD453" s="5">
        <f>$JB$25*(JC453+(1-JC453)*$JB$16)</f>
        <v>0.0</v>
      </c>
      <c r="JE453" s="13">
        <f>JD453*($JB$6+ACUTE_MARGIN)</f>
        <v>0.0</v>
      </c>
      <c r="JF453" s="13">
        <f>IF(JB453=1,$JB$31,$JB$32)</f>
        <v>152394.16214437486</v>
      </c>
      <c r="JG453" s="13">
        <f>JE453-JF453</f>
        <v>-152394.16214437486</v>
      </c>
      <c r="JH453" s="13">
        <f>JH452+JG453</f>
        <v>-18156869.36514632</v>
      </c>
      <c r="JI453">
        <f>IF(JH453=MAX($JH$83:$JH$483),$A453,0)</f>
        <v>0</v>
      </c>
      <c r="JJ453">
        <f>IF(JE453&lt;JF453,$A453,B_MAX+1)</f>
        <v>370</v>
      </c>
      <c r="JK453" s="13">
        <f>IF(JB453=1,$JB$35,$JB$36)</f>
        <v>0</v>
      </c>
      <c r="JL453" s="13">
        <f>OCC_DAYS*$JB$41*R_NF_2023-JD453*MCD_SHARE_FREED*R_WAIT_2023</f>
        <v>151980.48282209205</v>
      </c>
      <c r="JM453">
        <f>IF($A453&lt;=$JB$45,1,0)</f>
        <v>0</v>
      </c>
      <c r="KB453">
        <f>IF($KB$31&lt;=$KB$32,IF($A453&lt;=$KB$7,1,2),IF($A453&lt;=RUNG_BEDS_2,2,1))</f>
        <v>1</v>
      </c>
      <c r="KC453" s="5">
        <f>MIN(1,MAX(0,$KB$26-($A453-1)))</f>
        <v>0</v>
      </c>
      <c r="KD453" s="5">
        <f>$KB$25*(KC453+(1-KC453)*$KB$16)</f>
        <v>0.0</v>
      </c>
      <c r="KE453" s="13">
        <f>KD453*($KB$6+ACUTE_MARGIN)</f>
        <v>0.0</v>
      </c>
      <c r="KF453" s="13">
        <f>IF(KB453=1,$KB$31,$KB$32)</f>
        <v>152394.16214437486</v>
      </c>
      <c r="KG453" s="13">
        <f>KE453-KF453</f>
        <v>-152394.16214437486</v>
      </c>
      <c r="KH453" s="13">
        <f>KH452+KG453</f>
        <v>-18156869.36514643</v>
      </c>
      <c r="KI453">
        <f>IF(KH453=MAX($KH$83:$KH$483),$A453,0)</f>
        <v>0</v>
      </c>
      <c r="KJ453">
        <f>IF(KE453&lt;KF453,$A453,B_MAX+1)</f>
        <v>370</v>
      </c>
      <c r="KK453" s="13">
        <f>IF(KB453=1,$KB$35,$KB$36)</f>
        <v>0</v>
      </c>
      <c r="KL453" s="13">
        <f>OCC_DAYS*$KB$41*R_NF_2023-KD453*MCD_SHARE_FREED*R_WAIT_2023</f>
        <v>151980.48282209205</v>
      </c>
      <c r="KM453">
        <f>IF($A453&lt;=$KB$45,1,0)</f>
        <v>0</v>
      </c>
      <c r="LB453">
        <f>IF($LB$31&lt;=$LB$32,IF($A453&lt;=$LB$7,1,2),IF($A453&lt;=RUNG_BEDS_2,2,1))</f>
        <v>1</v>
      </c>
      <c r="LC453" s="5">
        <f>MIN(1,MAX(0,$LB$26-($A453-1)))</f>
        <v>1</v>
      </c>
      <c r="LD453" s="5">
        <f>$LB$25*(LC453+(1-LC453)*$LB$16)</f>
        <v>84.01774238227146</v>
      </c>
      <c r="LE453" s="13">
        <f>LD453*($LB$6+ACUTE_MARGIN)</f>
        <v>84857.91980609419</v>
      </c>
      <c r="LF453" s="13">
        <f>IF(LB453=1,$LB$31,$LB$32)</f>
        <v>152394.16214437486</v>
      </c>
      <c r="LG453" s="13">
        <f>LE453-LF453</f>
        <v>-67536.24233828067</v>
      </c>
      <c r="LH453" s="13">
        <f>LH452+LG453</f>
        <v>-24988409.665163986</v>
      </c>
      <c r="LI453">
        <f>IF(LH453=MAX($LH$83:$LH$483),$A453,0)</f>
        <v>0</v>
      </c>
      <c r="LJ453">
        <f>IF(LE453&lt;LF453,$A453,B_MAX+1)</f>
        <v>370</v>
      </c>
      <c r="LK453" s="13">
        <f>IF(LB453=1,$LB$35,$LB$36)</f>
        <v>0</v>
      </c>
      <c r="LL453" s="13">
        <f>OCC_DAYS*$LB$41*R_NF_2023-LD453*MCD_SHARE_FREED*R_WAIT_2023</f>
        <v>113776.04162887059</v>
      </c>
      <c r="LM453">
        <f>IF($A453&lt;=$LB$45,1,0)</f>
        <v>0</v>
      </c>
      <c r="MB453">
        <f>IF($MB$31&lt;=$MB$32,IF($A453&lt;=$MB$7,1,2),IF($A453&lt;=RUNG_BEDS_2,2,1))</f>
        <v>1</v>
      </c>
      <c r="MC453" s="5">
        <f>MIN(1,MAX(0,$MB$26-($A453-1)))</f>
        <v>0</v>
      </c>
      <c r="MD453" s="5">
        <f>$MB$25*(MC453+(1-MC453)*$MB$16)</f>
        <v>0.0</v>
      </c>
      <c r="ME453" s="13">
        <f>MD453*($MB$6+ACUTE_MARGIN)</f>
        <v>0.0</v>
      </c>
      <c r="MF453" s="13">
        <f>IF(MB453=1,$MB$31,$MB$32)</f>
        <v>152394.16214437486</v>
      </c>
      <c r="MG453" s="13">
        <f>ME453-MF453</f>
        <v>-152394.16214437486</v>
      </c>
      <c r="MH453" s="13">
        <f>MH452+MG453</f>
        <v>-24044145.42694462</v>
      </c>
      <c r="MI453">
        <f>IF(MH453=MAX($MH$83:$MH$483),$A453,0)</f>
        <v>0</v>
      </c>
      <c r="MJ453">
        <f>IF(ME453&lt;MF453,$A453,B_MAX+1)</f>
        <v>370</v>
      </c>
      <c r="MK453" s="13">
        <f>IF(MB453=1,$MB$35,$MB$36)</f>
        <v>0</v>
      </c>
      <c r="ML453" s="13">
        <f>OCC_DAYS*$MB$41*R_NF_2023-MD453*MCD_SHARE_FREED*R_WAIT_2023</f>
        <v>151980.48282209205</v>
      </c>
      <c r="MM453">
        <f>IF($A453&lt;=$MB$45,1,0)</f>
        <v>0</v>
      </c>
      <c r="NB453">
        <f>IF($NB$31&lt;=$NB$32,IF($A453&lt;=$NB$7,1,2),IF($A453&lt;=RUNG_BEDS_2,2,1))</f>
        <v>1</v>
      </c>
      <c r="NC453" s="5">
        <f>MIN(1,MAX(0,$NB$26-($A453-1)))</f>
        <v>0</v>
      </c>
      <c r="ND453" s="5">
        <f>$NB$25*(NC453+(1-NC453)*$NB$16)</f>
        <v>63.013306786703595</v>
      </c>
      <c r="NE453" s="13">
        <f>ND453*($NB$6+ACUTE_MARGIN)</f>
        <v>63643.43985457063</v>
      </c>
      <c r="NF453" s="13">
        <f>IF(NB453=1,$NB$31,$NB$32)</f>
        <v>152394.16214437486</v>
      </c>
      <c r="NG453" s="13">
        <f>NE453-NF453</f>
        <v>-88750.72228980422</v>
      </c>
      <c r="NH453" s="13">
        <f>NH452+NG453</f>
        <v>-4166039.2760233423</v>
      </c>
      <c r="NI453">
        <f>IF(NH453=MAX($NH$83:$NH$483),$A453,0)</f>
        <v>0</v>
      </c>
      <c r="NJ453">
        <f>IF(NE453&lt;NF453,$A453,B_MAX+1)</f>
        <v>370</v>
      </c>
      <c r="NK453" s="13">
        <f>IF(NB453=1,$NB$35,$NB$36)</f>
        <v>0</v>
      </c>
      <c r="NL453" s="13">
        <f>OCC_DAYS*$NB$41*R_NF_2023-ND453*MCD_SHARE_FREED*R_WAIT_2023</f>
        <v>123327.15192717595</v>
      </c>
      <c r="NM453">
        <f>IF($A453&lt;=$NB$45,1,0)</f>
        <v>0</v>
      </c>
      <c r="OB453">
        <f>IF($OB$31&lt;=$OB$32,IF($A453&lt;=$OB$7,1,2),IF($A453&lt;=RUNG_BEDS_2,2,1))</f>
        <v>1</v>
      </c>
      <c r="OC453" s="5">
        <f>MIN(1,MAX(0,$OB$26-($A453-1)))</f>
        <v>0</v>
      </c>
      <c r="OD453" s="5">
        <f>$OB$25*(OC453+(1-OC453)*$OB$16)</f>
        <v>126.02661357340719</v>
      </c>
      <c r="OE453" s="13">
        <f>OD453*($OB$6+ACUTE_MARGIN)</f>
        <v>127286.87970914126</v>
      </c>
      <c r="OF453" s="13">
        <f>IF(OB453=1,$OB$31,$OB$32)</f>
        <v>152394.16214437486</v>
      </c>
      <c r="OG453" s="13">
        <f>OE453-OF453</f>
        <v>-25107.282435233603</v>
      </c>
      <c r="OH453" s="13">
        <f>OH452+OG453</f>
        <v>9824790.813099932</v>
      </c>
      <c r="OI453">
        <f>IF(OH453=MAX($OH$83:$OH$483),$A453,0)</f>
        <v>0</v>
      </c>
      <c r="OJ453">
        <f>IF(OE453&lt;OF453,$A453,B_MAX+1)</f>
        <v>370</v>
      </c>
      <c r="OK453" s="13">
        <f>IF(OB453=1,$OB$35,$OB$36)</f>
        <v>0</v>
      </c>
      <c r="OL453" s="13">
        <f>OCC_DAYS*$OB$41*R_NF_2023-OD453*MCD_SHARE_FREED*R_WAIT_2023</f>
        <v>94673.82103225985</v>
      </c>
      <c r="OM453">
        <f>IF($A453&lt;=$OB$45,1,0)</f>
        <v>0</v>
      </c>
    </row>
    <row r="454">
      <c r="A454" t="n">
        <v>371</v>
      </c>
      <c r="B454">
        <f>IF($B$31&lt;=$B$32,IF($A454&lt;=$B$7,1,2),IF($A454&lt;=RUNG_BEDS_2,2,1))</f>
        <v>1</v>
      </c>
      <c r="C454" s="5">
        <f>MIN(1,MAX(0,$B$26-($A454-1)))</f>
        <v>0</v>
      </c>
      <c r="D454" s="5">
        <f>$B$25*(C454+(1-C454)*$B$16)</f>
        <v>0.0</v>
      </c>
      <c r="E454" s="13">
        <f>D454*($B$6+ACUTE_MARGIN)</f>
        <v>0.0</v>
      </c>
      <c r="F454" s="13">
        <f>IF(B454=1,$B$31,$B$32)</f>
        <v>152394.16214437486</v>
      </c>
      <c r="G454" s="13">
        <f>E454-F454</f>
        <v>-152394.16214437486</v>
      </c>
      <c r="H454" s="13">
        <f>H453+G454</f>
        <v>-18309263.527290694</v>
      </c>
      <c r="I454">
        <f>IF(H454=MAX($H$83:$H$483),$A454,0)</f>
        <v>0</v>
      </c>
      <c r="J454">
        <f>IF(E454&lt;F454,$A454,B_MAX+1)</f>
        <v>371</v>
      </c>
      <c r="K454" s="13">
        <f>IF(B454=1,$B$35,$B$36)</f>
        <v>0</v>
      </c>
      <c r="L454" s="13">
        <f>OCC_DAYS*$B$41*R_NF_2023-D454*MCD_SHARE_FREED*R_WAIT_2023</f>
        <v>151980.48282209205</v>
      </c>
      <c r="M454">
        <f>IF($A454&lt;=$B$45,1,0)</f>
        <v>0</v>
      </c>
      <c r="AB454">
        <f>IF($AB$31&lt;=$AB$32,IF($A454&lt;=$AB$7,1,2),IF($A454&lt;=RUNG_BEDS_2,2,1))</f>
        <v>1</v>
      </c>
      <c r="AC454" s="5">
        <f>MIN(1,MAX(0,$AB$26-($A454-1)))</f>
        <v>0</v>
      </c>
      <c r="AD454" s="5">
        <f>$AB$25*(AC454+(1-AC454)*$AB$16)</f>
        <v>0.0</v>
      </c>
      <c r="AE454" s="13">
        <f>AD454*($AB$6+ACUTE_MARGIN)</f>
        <v>0.0</v>
      </c>
      <c r="AF454" s="13">
        <f>IF(AB454=1,$AB$31,$AB$32)</f>
        <v>152394.16214437486</v>
      </c>
      <c r="AG454" s="13">
        <f>AE454-AF454</f>
        <v>-152394.16214437486</v>
      </c>
      <c r="AH454" s="13">
        <f>AH453+AG454</f>
        <v>-35720477.87284049</v>
      </c>
      <c r="AI454">
        <f>IF(AH454=MAX($AH$83:$AH$483),$A454,0)</f>
        <v>0</v>
      </c>
      <c r="AJ454">
        <f>IF(AE454&lt;AF454,$A454,B_MAX+1)</f>
        <v>371</v>
      </c>
      <c r="AK454" s="13">
        <f>IF(AB454=1,$AB$35,$AB$36)</f>
        <v>0</v>
      </c>
      <c r="AL454" s="13">
        <f>OCC_DAYS*$AB$41*R_NF_2023-AD454*MCD_SHARE_FREED*R_WAIT_2023</f>
        <v>151980.48282209205</v>
      </c>
      <c r="AM454">
        <f>IF($A454&lt;=$AB$45,1,0)</f>
        <v>0</v>
      </c>
      <c r="BB454">
        <f>IF($BB$31&lt;=$BB$32,IF($A454&lt;=$BB$7,1,2),IF($A454&lt;=RUNG_BEDS_2,2,1))</f>
        <v>1</v>
      </c>
      <c r="BC454" s="5">
        <f>MIN(1,MAX(0,$BB$26-($A454-1)))</f>
        <v>0</v>
      </c>
      <c r="BD454" s="5">
        <f>$BB$25*(BC454+(1-BC454)*$BB$16)</f>
        <v>0.0</v>
      </c>
      <c r="BE454" s="13">
        <f>BD454*($BB$6+ACUTE_MARGIN)</f>
        <v>0.0</v>
      </c>
      <c r="BF454" s="13">
        <f>IF(BB454=1,$BB$31,$BB$32)</f>
        <v>152394.16214437486</v>
      </c>
      <c r="BG454" s="13">
        <f>BE454-BF454</f>
        <v>-152394.16214437486</v>
      </c>
      <c r="BH454" s="13">
        <f>BH453+BG454</f>
        <v>-898049.1817409885</v>
      </c>
      <c r="BI454">
        <f>IF(BH454=MAX($BH$83:$BH$483),$A454,0)</f>
        <v>0</v>
      </c>
      <c r="BJ454">
        <f>IF(BE454&lt;BF454,$A454,B_MAX+1)</f>
        <v>371</v>
      </c>
      <c r="BK454" s="13">
        <f>IF(BB454=1,$BB$35,$BB$36)</f>
        <v>0</v>
      </c>
      <c r="BL454" s="13">
        <f>OCC_DAYS*$BB$41*R_NF_2023-BD454*MCD_SHARE_FREED*R_WAIT_2023</f>
        <v>151980.48282209205</v>
      </c>
      <c r="BM454">
        <f>IF($A454&lt;=$BB$45,1,0)</f>
        <v>0</v>
      </c>
      <c r="CB454">
        <f>IF($CB$31&lt;=$CB$32,IF($A454&lt;=$CB$7,1,2),IF($A454&lt;=RUNG_BEDS_2,2,1))</f>
        <v>2</v>
      </c>
      <c r="CC454" s="5">
        <f>MIN(1,MAX(0,$CB$26-($A454-1)))</f>
        <v>0</v>
      </c>
      <c r="CD454" s="5">
        <f>$CB$25*(CC454+(1-CC454)*$CB$16)</f>
        <v>0.0</v>
      </c>
      <c r="CE454" s="13">
        <f>CD454*($CB$6+ACUTE_MARGIN)</f>
        <v>0.0</v>
      </c>
      <c r="CF454" s="13">
        <f>IF(CB454=1,$CB$31,$CB$32)</f>
        <v>160718.36940738867</v>
      </c>
      <c r="CG454" s="13">
        <f>CE454-CF454</f>
        <v>-160718.36940738867</v>
      </c>
      <c r="CH454" s="13">
        <f>CH453+CG454</f>
        <v>-21397544.42186902</v>
      </c>
      <c r="CI454">
        <f>IF(CH454=MAX($CH$83:$CH$483),$A454,0)</f>
        <v>0</v>
      </c>
      <c r="CJ454">
        <f>IF(CE454&lt;CF454,$A454,B_MAX+1)</f>
        <v>371</v>
      </c>
      <c r="CK454" s="13">
        <f>IF(CB454=1,$CB$35,$CB$36)</f>
        <v>1560.1194073886782</v>
      </c>
      <c r="CL454" s="13">
        <f>OCC_DAYS*$CB$41*R_NF_2023-CD454*MCD_SHARE_FREED*R_WAIT_2023</f>
        <v>151980.48282209205</v>
      </c>
      <c r="CM454">
        <f>IF($A454&lt;=$CB$45,1,0)</f>
        <v>0</v>
      </c>
      <c r="DB454">
        <f>IF($DB$31&lt;=$DB$32,IF($A454&lt;=$DB$7,1,2),IF($A454&lt;=RUNG_BEDS_2,2,1))</f>
        <v>1</v>
      </c>
      <c r="DC454" s="5">
        <f>MIN(1,MAX(0,$DB$26-($A454-1)))</f>
        <v>0</v>
      </c>
      <c r="DD454" s="5">
        <f>$DB$25*(DC454+(1-DC454)*$DB$16)</f>
        <v>0.0</v>
      </c>
      <c r="DE454" s="13">
        <f>DD454*($DB$6+ACUTE_MARGIN)</f>
        <v>0.0</v>
      </c>
      <c r="DF454" s="13">
        <f>IF(DB454=1,$DB$31,$DB$32)</f>
        <v>152394.16214437486</v>
      </c>
      <c r="DG454" s="13">
        <f>DE454-DF454</f>
        <v>-152394.16214437486</v>
      </c>
      <c r="DH454" s="13">
        <f>DH453+DG454</f>
        <v>-18309263.527290694</v>
      </c>
      <c r="DI454">
        <f>IF(DH454=MAX($DH$83:$DH$483),$A454,0)</f>
        <v>0</v>
      </c>
      <c r="DJ454">
        <f>IF(DE454&lt;DF454,$A454,B_MAX+1)</f>
        <v>371</v>
      </c>
      <c r="DK454" s="13">
        <f>IF(DB454=1,$DB$35,$DB$36)</f>
        <v>0</v>
      </c>
      <c r="DL454" s="13">
        <f>OCC_DAYS*$DB$41*R_NF_2023-DD454*MCD_SHARE_FREED*R_WAIT_2023</f>
        <v>151980.48282209205</v>
      </c>
      <c r="DM454">
        <f>IF($A454&lt;=$DB$45,1,0)</f>
        <v>0</v>
      </c>
      <c r="EB454">
        <f>IF($EB$31&lt;=$EB$32,IF($A454&lt;=$EB$7,1,2),IF($A454&lt;=RUNG_BEDS_2,2,1))</f>
        <v>1</v>
      </c>
      <c r="EC454" s="5">
        <f>MIN(1,MAX(0,$EB$26-($A454-1)))</f>
        <v>0</v>
      </c>
      <c r="ED454" s="5">
        <f>$EB$25*(EC454+(1-EC454)*$EB$16)</f>
        <v>0.0</v>
      </c>
      <c r="EE454" s="13">
        <f>ED454*($EB$6+ACUTE_MARGIN)</f>
        <v>0.0</v>
      </c>
      <c r="EF454" s="13">
        <f>IF(EB454=1,$EB$31,$EB$32)</f>
        <v>152394.16214437486</v>
      </c>
      <c r="EG454" s="13">
        <f>EE454-EF454</f>
        <v>-152394.16214437486</v>
      </c>
      <c r="EH454" s="13">
        <f>EH453+EG454</f>
        <v>-18309263.527290694</v>
      </c>
      <c r="EI454">
        <f>IF(EH454=MAX($EH$83:$EH$483),$A454,0)</f>
        <v>0</v>
      </c>
      <c r="EJ454">
        <f>IF(EE454&lt;EF454,$A454,B_MAX+1)</f>
        <v>371</v>
      </c>
      <c r="EK454" s="13">
        <f>IF(EB454=1,$EB$35,$EB$36)</f>
        <v>0</v>
      </c>
      <c r="EL454" s="13">
        <f>OCC_DAYS*$EB$41*R_NF_2023-ED454*MCD_SHARE_FREED*R_WAIT_2023</f>
        <v>50660.16094069735</v>
      </c>
      <c r="EM454">
        <f>IF($A454&lt;=$EB$45,1,0)</f>
        <v>0</v>
      </c>
      <c r="FB454">
        <f>IF($FB$31&lt;=$FB$32,IF($A454&lt;=$FB$7,1,2),IF($A454&lt;=RUNG_BEDS_2,2,1))</f>
        <v>1</v>
      </c>
      <c r="FC454" s="5">
        <f>MIN(1,MAX(0,$FB$26-($A454-1)))</f>
        <v>0</v>
      </c>
      <c r="FD454" s="5">
        <f>$FB$25*(FC454+(1-FC454)*$FB$16)</f>
        <v>0.0</v>
      </c>
      <c r="FE454" s="13">
        <f>FD454*($FB$6+ACUTE_MARGIN)</f>
        <v>0.0</v>
      </c>
      <c r="FF454" s="13">
        <f>IF(FB454=1,$FB$31,$FB$32)</f>
        <v>156636.04979437485</v>
      </c>
      <c r="FG454" s="13">
        <f>FE454-FF454</f>
        <v>-156636.04979437485</v>
      </c>
      <c r="FH454" s="13">
        <f>FH453+FG454</f>
        <v>-19883003.84544083</v>
      </c>
      <c r="FI454">
        <f>IF(FH454=MAX($FH$83:$FH$483),$A454,0)</f>
        <v>0</v>
      </c>
      <c r="FJ454">
        <f>IF(FE454&lt;FF454,$A454,B_MAX+1)</f>
        <v>371</v>
      </c>
      <c r="FK454" s="13">
        <f>IF(FB454=1,$FB$35,$FB$36)</f>
        <v>0</v>
      </c>
      <c r="FL454" s="13">
        <f>OCC_DAYS*$FB$41*R_NF_2023-FD454*MCD_SHARE_FREED*R_WAIT_2023</f>
        <v>151980.48282209205</v>
      </c>
      <c r="FM454">
        <f>IF($A454&lt;=$FB$45,1,0)</f>
        <v>0</v>
      </c>
      <c r="GB454">
        <f>IF($GB$31&lt;=$GB$32,IF($A454&lt;=$GB$7,1,2),IF($A454&lt;=RUNG_BEDS_2,2,1))</f>
        <v>1</v>
      </c>
      <c r="GC454" s="5">
        <f>MIN(1,MAX(0,$GB$26-($A454-1)))</f>
        <v>0</v>
      </c>
      <c r="GD454" s="5">
        <f>$GB$25*(GC454+(1-GC454)*$GB$16)</f>
        <v>0.0</v>
      </c>
      <c r="GE454" s="13">
        <f>GD454*($GB$6+ACUTE_MARGIN)</f>
        <v>0.0</v>
      </c>
      <c r="GF454" s="13">
        <f>IF(GB454=1,$GB$31,$GB$32)</f>
        <v>152394.16214437486</v>
      </c>
      <c r="GG454" s="13">
        <f>GE454-GF454</f>
        <v>-152394.16214437486</v>
      </c>
      <c r="GH454" s="13">
        <f>GH453+GG454</f>
        <v>-18309263.527290694</v>
      </c>
      <c r="GI454">
        <f>IF(GH454=MAX($GH$83:$GH$483),$A454,0)</f>
        <v>0</v>
      </c>
      <c r="GJ454">
        <f>IF(GE454&lt;GF454,$A454,B_MAX+1)</f>
        <v>371</v>
      </c>
      <c r="GK454" s="13">
        <f>IF(GB454=1,$GB$35,$GB$36)</f>
        <v>0</v>
      </c>
      <c r="GL454" s="13">
        <f>OCC_DAYS*$GB$41*R_NF_2023-GD454*MCD_SHARE_FREED*R_WAIT_2023</f>
        <v>151980.48282209205</v>
      </c>
      <c r="GM454">
        <f>IF($A454&lt;=$GB$45,1,0)</f>
        <v>0</v>
      </c>
      <c r="HB454">
        <f>IF($HB$31&lt;=$HB$32,IF($A454&lt;=$HB$7,1,2),IF($A454&lt;=RUNG_BEDS_2,2,1))</f>
        <v>1</v>
      </c>
      <c r="HC454" s="5">
        <f>MIN(1,MAX(0,$HB$26-($A454-1)))</f>
        <v>0</v>
      </c>
      <c r="HD454" s="5">
        <f>$HB$25*(HC454+(1-HC454)*$HB$16)</f>
        <v>0.0</v>
      </c>
      <c r="HE454" s="13">
        <f>HD454*($HB$6+ACUTE_MARGIN)</f>
        <v>0.0</v>
      </c>
      <c r="HF454" s="13">
        <f>IF(HB454=1,$HB$31,$HB$32)</f>
        <v>152456.2970814058</v>
      </c>
      <c r="HG454" s="13">
        <f>HE454-HF454</f>
        <v>-152456.2970814058</v>
      </c>
      <c r="HH454" s="13">
        <f>HH453+HG454</f>
        <v>-18332315.588929255</v>
      </c>
      <c r="HI454">
        <f>IF(HH454=MAX($HH$83:$HH$483),$A454,0)</f>
        <v>0</v>
      </c>
      <c r="HJ454">
        <f>IF(HE454&lt;HF454,$A454,B_MAX+1)</f>
        <v>371</v>
      </c>
      <c r="HK454" s="13">
        <f>IF(HB454=1,$HB$35,$HB$36)</f>
        <v>0</v>
      </c>
      <c r="HL454" s="13">
        <f>OCC_DAYS*$HB$41*R_NF_2023-HD454*MCD_SHARE_FREED*R_WAIT_2023</f>
        <v>151980.48282209205</v>
      </c>
      <c r="HM454">
        <f>IF($A454&lt;=$HB$45,1,0)</f>
        <v>0</v>
      </c>
      <c r="IB454">
        <f>IF($IB$31&lt;=$IB$32,IF($A454&lt;=$IB$7,1,2),IF($A454&lt;=RUNG_BEDS_2,2,1))</f>
        <v>1</v>
      </c>
      <c r="IC454" s="5">
        <f>MIN(1,MAX(0,$IB$26-($A454-1)))</f>
        <v>0</v>
      </c>
      <c r="ID454" s="5">
        <f>$IB$25*(IC454+(1-IC454)*$IB$16)</f>
        <v>0.0</v>
      </c>
      <c r="IE454" s="13">
        <f>ID454*($IB$6+ACUTE_MARGIN)</f>
        <v>0.0</v>
      </c>
      <c r="IF454" s="13">
        <f>IF(IB454=1,$IB$31,$IB$32)</f>
        <v>152734.9994534971</v>
      </c>
      <c r="IG454" s="13">
        <f>IE454-IF454</f>
        <v>-152734.9994534971</v>
      </c>
      <c r="IH454" s="13">
        <f>IH453+IG454</f>
        <v>-18435714.168975122</v>
      </c>
      <c r="II454">
        <f>IF(IH454=MAX($IH$83:$IH$483),$A454,0)</f>
        <v>0</v>
      </c>
      <c r="IJ454">
        <f>IF(IE454&lt;IF454,$A454,B_MAX+1)</f>
        <v>371</v>
      </c>
      <c r="IK454" s="13">
        <f>IF(IB454=1,$IB$35,$IB$36)</f>
        <v>0</v>
      </c>
      <c r="IL454" s="13">
        <f>OCC_DAYS*$IB$41*R_NF_2023-ID454*MCD_SHARE_FREED*R_WAIT_2023</f>
        <v>151980.48282209205</v>
      </c>
      <c r="IM454">
        <f>IF($A454&lt;=$IB$45,1,0)</f>
        <v>0</v>
      </c>
      <c r="JB454">
        <f>IF($JB$31&lt;=$JB$32,IF($A454&lt;=$JB$7,1,2),IF($A454&lt;=RUNG_BEDS_2,2,1))</f>
        <v>1</v>
      </c>
      <c r="JC454" s="5">
        <f>MIN(1,MAX(0,$JB$26-($A454-1)))</f>
        <v>0</v>
      </c>
      <c r="JD454" s="5">
        <f>$JB$25*(JC454+(1-JC454)*$JB$16)</f>
        <v>0.0</v>
      </c>
      <c r="JE454" s="13">
        <f>JD454*($JB$6+ACUTE_MARGIN)</f>
        <v>0.0</v>
      </c>
      <c r="JF454" s="13">
        <f>IF(JB454=1,$JB$31,$JB$32)</f>
        <v>152394.16214437486</v>
      </c>
      <c r="JG454" s="13">
        <f>JE454-JF454</f>
        <v>-152394.16214437486</v>
      </c>
      <c r="JH454" s="13">
        <f>JH453+JG454</f>
        <v>-18309263.527290694</v>
      </c>
      <c r="JI454">
        <f>IF(JH454=MAX($JH$83:$JH$483),$A454,0)</f>
        <v>0</v>
      </c>
      <c r="JJ454">
        <f>IF(JE454&lt;JF454,$A454,B_MAX+1)</f>
        <v>371</v>
      </c>
      <c r="JK454" s="13">
        <f>IF(JB454=1,$JB$35,$JB$36)</f>
        <v>0</v>
      </c>
      <c r="JL454" s="13">
        <f>OCC_DAYS*$JB$41*R_NF_2023-JD454*MCD_SHARE_FREED*R_WAIT_2023</f>
        <v>151980.48282209205</v>
      </c>
      <c r="JM454">
        <f>IF($A454&lt;=$JB$45,1,0)</f>
        <v>0</v>
      </c>
      <c r="KB454">
        <f>IF($KB$31&lt;=$KB$32,IF($A454&lt;=$KB$7,1,2),IF($A454&lt;=RUNG_BEDS_2,2,1))</f>
        <v>1</v>
      </c>
      <c r="KC454" s="5">
        <f>MIN(1,MAX(0,$KB$26-($A454-1)))</f>
        <v>0</v>
      </c>
      <c r="KD454" s="5">
        <f>$KB$25*(KC454+(1-KC454)*$KB$16)</f>
        <v>0.0</v>
      </c>
      <c r="KE454" s="13">
        <f>KD454*($KB$6+ACUTE_MARGIN)</f>
        <v>0.0</v>
      </c>
      <c r="KF454" s="13">
        <f>IF(KB454=1,$KB$31,$KB$32)</f>
        <v>152394.16214437486</v>
      </c>
      <c r="KG454" s="13">
        <f>KE454-KF454</f>
        <v>-152394.16214437486</v>
      </c>
      <c r="KH454" s="13">
        <f>KH453+KG454</f>
        <v>-18309263.527290802</v>
      </c>
      <c r="KI454">
        <f>IF(KH454=MAX($KH$83:$KH$483),$A454,0)</f>
        <v>0</v>
      </c>
      <c r="KJ454">
        <f>IF(KE454&lt;KF454,$A454,B_MAX+1)</f>
        <v>371</v>
      </c>
      <c r="KK454" s="13">
        <f>IF(KB454=1,$KB$35,$KB$36)</f>
        <v>0</v>
      </c>
      <c r="KL454" s="13">
        <f>OCC_DAYS*$KB$41*R_NF_2023-KD454*MCD_SHARE_FREED*R_WAIT_2023</f>
        <v>151980.48282209205</v>
      </c>
      <c r="KM454">
        <f>IF($A454&lt;=$KB$45,1,0)</f>
        <v>0</v>
      </c>
      <c r="LB454">
        <f>IF($LB$31&lt;=$LB$32,IF($A454&lt;=$LB$7,1,2),IF($A454&lt;=RUNG_BEDS_2,2,1))</f>
        <v>1</v>
      </c>
      <c r="LC454" s="5">
        <f>MIN(1,MAX(0,$LB$26-($A454-1)))</f>
        <v>1</v>
      </c>
      <c r="LD454" s="5">
        <f>$LB$25*(LC454+(1-LC454)*$LB$16)</f>
        <v>84.01774238227146</v>
      </c>
      <c r="LE454" s="13">
        <f>LD454*($LB$6+ACUTE_MARGIN)</f>
        <v>84857.91980609419</v>
      </c>
      <c r="LF454" s="13">
        <f>IF(LB454=1,$LB$31,$LB$32)</f>
        <v>152394.16214437486</v>
      </c>
      <c r="LG454" s="13">
        <f>LE454-LF454</f>
        <v>-67536.24233828067</v>
      </c>
      <c r="LH454" s="13">
        <f>LH453+LG454</f>
        <v>-25055945.907502268</v>
      </c>
      <c r="LI454">
        <f>IF(LH454=MAX($LH$83:$LH$483),$A454,0)</f>
        <v>0</v>
      </c>
      <c r="LJ454">
        <f>IF(LE454&lt;LF454,$A454,B_MAX+1)</f>
        <v>371</v>
      </c>
      <c r="LK454" s="13">
        <f>IF(LB454=1,$LB$35,$LB$36)</f>
        <v>0</v>
      </c>
      <c r="LL454" s="13">
        <f>OCC_DAYS*$LB$41*R_NF_2023-LD454*MCD_SHARE_FREED*R_WAIT_2023</f>
        <v>113776.04162887059</v>
      </c>
      <c r="LM454">
        <f>IF($A454&lt;=$LB$45,1,0)</f>
        <v>0</v>
      </c>
      <c r="MB454">
        <f>IF($MB$31&lt;=$MB$32,IF($A454&lt;=$MB$7,1,2),IF($A454&lt;=RUNG_BEDS_2,2,1))</f>
        <v>1</v>
      </c>
      <c r="MC454" s="5">
        <f>MIN(1,MAX(0,$MB$26-($A454-1)))</f>
        <v>0</v>
      </c>
      <c r="MD454" s="5">
        <f>$MB$25*(MC454+(1-MC454)*$MB$16)</f>
        <v>0.0</v>
      </c>
      <c r="ME454" s="13">
        <f>MD454*($MB$6+ACUTE_MARGIN)</f>
        <v>0.0</v>
      </c>
      <c r="MF454" s="13">
        <f>IF(MB454=1,$MB$31,$MB$32)</f>
        <v>152394.16214437486</v>
      </c>
      <c r="MG454" s="13">
        <f>ME454-MF454</f>
        <v>-152394.16214437486</v>
      </c>
      <c r="MH454" s="13">
        <f>MH453+MG454</f>
        <v>-24196539.589088995</v>
      </c>
      <c r="MI454">
        <f>IF(MH454=MAX($MH$83:$MH$483),$A454,0)</f>
        <v>0</v>
      </c>
      <c r="MJ454">
        <f>IF(ME454&lt;MF454,$A454,B_MAX+1)</f>
        <v>371</v>
      </c>
      <c r="MK454" s="13">
        <f>IF(MB454=1,$MB$35,$MB$36)</f>
        <v>0</v>
      </c>
      <c r="ML454" s="13">
        <f>OCC_DAYS*$MB$41*R_NF_2023-MD454*MCD_SHARE_FREED*R_WAIT_2023</f>
        <v>151980.48282209205</v>
      </c>
      <c r="MM454">
        <f>IF($A454&lt;=$MB$45,1,0)</f>
        <v>0</v>
      </c>
      <c r="NB454">
        <f>IF($NB$31&lt;=$NB$32,IF($A454&lt;=$NB$7,1,2),IF($A454&lt;=RUNG_BEDS_2,2,1))</f>
        <v>1</v>
      </c>
      <c r="NC454" s="5">
        <f>MIN(1,MAX(0,$NB$26-($A454-1)))</f>
        <v>0</v>
      </c>
      <c r="ND454" s="5">
        <f>$NB$25*(NC454+(1-NC454)*$NB$16)</f>
        <v>63.013306786703595</v>
      </c>
      <c r="NE454" s="13">
        <f>ND454*($NB$6+ACUTE_MARGIN)</f>
        <v>63643.43985457063</v>
      </c>
      <c r="NF454" s="13">
        <f>IF(NB454=1,$NB$31,$NB$32)</f>
        <v>152394.16214437486</v>
      </c>
      <c r="NG454" s="13">
        <f>NE454-NF454</f>
        <v>-88750.72228980422</v>
      </c>
      <c r="NH454" s="13">
        <f>NH453+NG454</f>
        <v>-4254789.998313147</v>
      </c>
      <c r="NI454">
        <f>IF(NH454=MAX($NH$83:$NH$483),$A454,0)</f>
        <v>0</v>
      </c>
      <c r="NJ454">
        <f>IF(NE454&lt;NF454,$A454,B_MAX+1)</f>
        <v>371</v>
      </c>
      <c r="NK454" s="13">
        <f>IF(NB454=1,$NB$35,$NB$36)</f>
        <v>0</v>
      </c>
      <c r="NL454" s="13">
        <f>OCC_DAYS*$NB$41*R_NF_2023-ND454*MCD_SHARE_FREED*R_WAIT_2023</f>
        <v>123327.15192717595</v>
      </c>
      <c r="NM454">
        <f>IF($A454&lt;=$NB$45,1,0)</f>
        <v>0</v>
      </c>
      <c r="OB454">
        <f>IF($OB$31&lt;=$OB$32,IF($A454&lt;=$OB$7,1,2),IF($A454&lt;=RUNG_BEDS_2,2,1))</f>
        <v>1</v>
      </c>
      <c r="OC454" s="5">
        <f>MIN(1,MAX(0,$OB$26-($A454-1)))</f>
        <v>0</v>
      </c>
      <c r="OD454" s="5">
        <f>$OB$25*(OC454+(1-OC454)*$OB$16)</f>
        <v>126.02661357340719</v>
      </c>
      <c r="OE454" s="13">
        <f>OD454*($OB$6+ACUTE_MARGIN)</f>
        <v>127286.87970914126</v>
      </c>
      <c r="OF454" s="13">
        <f>IF(OB454=1,$OB$31,$OB$32)</f>
        <v>152394.16214437486</v>
      </c>
      <c r="OG454" s="13">
        <f>OE454-OF454</f>
        <v>-25107.282435233603</v>
      </c>
      <c r="OH454" s="13">
        <f>OH453+OG454</f>
        <v>9799683.5306647</v>
      </c>
      <c r="OI454">
        <f>IF(OH454=MAX($OH$83:$OH$483),$A454,0)</f>
        <v>0</v>
      </c>
      <c r="OJ454">
        <f>IF(OE454&lt;OF454,$A454,B_MAX+1)</f>
        <v>371</v>
      </c>
      <c r="OK454" s="13">
        <f>IF(OB454=1,$OB$35,$OB$36)</f>
        <v>0</v>
      </c>
      <c r="OL454" s="13">
        <f>OCC_DAYS*$OB$41*R_NF_2023-OD454*MCD_SHARE_FREED*R_WAIT_2023</f>
        <v>94673.82103225985</v>
      </c>
      <c r="OM454">
        <f>IF($A454&lt;=$OB$45,1,0)</f>
        <v>0</v>
      </c>
    </row>
    <row r="455">
      <c r="A455" t="n">
        <v>372</v>
      </c>
      <c r="B455">
        <f>IF($B$31&lt;=$B$32,IF($A455&lt;=$B$7,1,2),IF($A455&lt;=RUNG_BEDS_2,2,1))</f>
        <v>1</v>
      </c>
      <c r="C455" s="5">
        <f>MIN(1,MAX(0,$B$26-($A455-1)))</f>
        <v>0</v>
      </c>
      <c r="D455" s="5">
        <f>$B$25*(C455+(1-C455)*$B$16)</f>
        <v>0.0</v>
      </c>
      <c r="E455" s="13">
        <f>D455*($B$6+ACUTE_MARGIN)</f>
        <v>0.0</v>
      </c>
      <c r="F455" s="13">
        <f>IF(B455=1,$B$31,$B$32)</f>
        <v>152394.16214437486</v>
      </c>
      <c r="G455" s="13">
        <f>E455-F455</f>
        <v>-152394.16214437486</v>
      </c>
      <c r="H455" s="13">
        <f>H454+G455</f>
        <v>-18461657.68943507</v>
      </c>
      <c r="I455">
        <f>IF(H455=MAX($H$83:$H$483),$A455,0)</f>
        <v>0</v>
      </c>
      <c r="J455">
        <f>IF(E455&lt;F455,$A455,B_MAX+1)</f>
        <v>372</v>
      </c>
      <c r="K455" s="13">
        <f>IF(B455=1,$B$35,$B$36)</f>
        <v>0</v>
      </c>
      <c r="L455" s="13">
        <f>OCC_DAYS*$B$41*R_NF_2023-D455*MCD_SHARE_FREED*R_WAIT_2023</f>
        <v>151980.48282209205</v>
      </c>
      <c r="M455">
        <f>IF($A455&lt;=$B$45,1,0)</f>
        <v>0</v>
      </c>
      <c r="AB455">
        <f>IF($AB$31&lt;=$AB$32,IF($A455&lt;=$AB$7,1,2),IF($A455&lt;=RUNG_BEDS_2,2,1))</f>
        <v>1</v>
      </c>
      <c r="AC455" s="5">
        <f>MIN(1,MAX(0,$AB$26-($A455-1)))</f>
        <v>0</v>
      </c>
      <c r="AD455" s="5">
        <f>$AB$25*(AC455+(1-AC455)*$AB$16)</f>
        <v>0.0</v>
      </c>
      <c r="AE455" s="13">
        <f>AD455*($AB$6+ACUTE_MARGIN)</f>
        <v>0.0</v>
      </c>
      <c r="AF455" s="13">
        <f>IF(AB455=1,$AB$31,$AB$32)</f>
        <v>152394.16214437486</v>
      </c>
      <c r="AG455" s="13">
        <f>AE455-AF455</f>
        <v>-152394.16214437486</v>
      </c>
      <c r="AH455" s="13">
        <f>AH454+AG455</f>
        <v>-35872872.034984864</v>
      </c>
      <c r="AI455">
        <f>IF(AH455=MAX($AH$83:$AH$483),$A455,0)</f>
        <v>0</v>
      </c>
      <c r="AJ455">
        <f>IF(AE455&lt;AF455,$A455,B_MAX+1)</f>
        <v>372</v>
      </c>
      <c r="AK455" s="13">
        <f>IF(AB455=1,$AB$35,$AB$36)</f>
        <v>0</v>
      </c>
      <c r="AL455" s="13">
        <f>OCC_DAYS*$AB$41*R_NF_2023-AD455*MCD_SHARE_FREED*R_WAIT_2023</f>
        <v>151980.48282209205</v>
      </c>
      <c r="AM455">
        <f>IF($A455&lt;=$AB$45,1,0)</f>
        <v>0</v>
      </c>
      <c r="BB455">
        <f>IF($BB$31&lt;=$BB$32,IF($A455&lt;=$BB$7,1,2),IF($A455&lt;=RUNG_BEDS_2,2,1))</f>
        <v>1</v>
      </c>
      <c r="BC455" s="5">
        <f>MIN(1,MAX(0,$BB$26-($A455-1)))</f>
        <v>0</v>
      </c>
      <c r="BD455" s="5">
        <f>$BB$25*(BC455+(1-BC455)*$BB$16)</f>
        <v>0.0</v>
      </c>
      <c r="BE455" s="13">
        <f>BD455*($BB$6+ACUTE_MARGIN)</f>
        <v>0.0</v>
      </c>
      <c r="BF455" s="13">
        <f>IF(BB455=1,$BB$31,$BB$32)</f>
        <v>152394.16214437486</v>
      </c>
      <c r="BG455" s="13">
        <f>BE455-BF455</f>
        <v>-152394.16214437486</v>
      </c>
      <c r="BH455" s="13">
        <f>BH454+BG455</f>
        <v>-1050443.3438853633</v>
      </c>
      <c r="BI455">
        <f>IF(BH455=MAX($BH$83:$BH$483),$A455,0)</f>
        <v>0</v>
      </c>
      <c r="BJ455">
        <f>IF(BE455&lt;BF455,$A455,B_MAX+1)</f>
        <v>372</v>
      </c>
      <c r="BK455" s="13">
        <f>IF(BB455=1,$BB$35,$BB$36)</f>
        <v>0</v>
      </c>
      <c r="BL455" s="13">
        <f>OCC_DAYS*$BB$41*R_NF_2023-BD455*MCD_SHARE_FREED*R_WAIT_2023</f>
        <v>151980.48282209205</v>
      </c>
      <c r="BM455">
        <f>IF($A455&lt;=$BB$45,1,0)</f>
        <v>0</v>
      </c>
      <c r="CB455">
        <f>IF($CB$31&lt;=$CB$32,IF($A455&lt;=$CB$7,1,2),IF($A455&lt;=RUNG_BEDS_2,2,1))</f>
        <v>2</v>
      </c>
      <c r="CC455" s="5">
        <f>MIN(1,MAX(0,$CB$26-($A455-1)))</f>
        <v>0</v>
      </c>
      <c r="CD455" s="5">
        <f>$CB$25*(CC455+(1-CC455)*$CB$16)</f>
        <v>0.0</v>
      </c>
      <c r="CE455" s="13">
        <f>CD455*($CB$6+ACUTE_MARGIN)</f>
        <v>0.0</v>
      </c>
      <c r="CF455" s="13">
        <f>IF(CB455=1,$CB$31,$CB$32)</f>
        <v>160718.36940738867</v>
      </c>
      <c r="CG455" s="13">
        <f>CE455-CF455</f>
        <v>-160718.36940738867</v>
      </c>
      <c r="CH455" s="13">
        <f>CH454+CG455</f>
        <v>-21558262.79127641</v>
      </c>
      <c r="CI455">
        <f>IF(CH455=MAX($CH$83:$CH$483),$A455,0)</f>
        <v>0</v>
      </c>
      <c r="CJ455">
        <f>IF(CE455&lt;CF455,$A455,B_MAX+1)</f>
        <v>372</v>
      </c>
      <c r="CK455" s="13">
        <f>IF(CB455=1,$CB$35,$CB$36)</f>
        <v>1560.1194073886782</v>
      </c>
      <c r="CL455" s="13">
        <f>OCC_DAYS*$CB$41*R_NF_2023-CD455*MCD_SHARE_FREED*R_WAIT_2023</f>
        <v>151980.48282209205</v>
      </c>
      <c r="CM455">
        <f>IF($A455&lt;=$CB$45,1,0)</f>
        <v>0</v>
      </c>
      <c r="DB455">
        <f>IF($DB$31&lt;=$DB$32,IF($A455&lt;=$DB$7,1,2),IF($A455&lt;=RUNG_BEDS_2,2,1))</f>
        <v>1</v>
      </c>
      <c r="DC455" s="5">
        <f>MIN(1,MAX(0,$DB$26-($A455-1)))</f>
        <v>0</v>
      </c>
      <c r="DD455" s="5">
        <f>$DB$25*(DC455+(1-DC455)*$DB$16)</f>
        <v>0.0</v>
      </c>
      <c r="DE455" s="13">
        <f>DD455*($DB$6+ACUTE_MARGIN)</f>
        <v>0.0</v>
      </c>
      <c r="DF455" s="13">
        <f>IF(DB455=1,$DB$31,$DB$32)</f>
        <v>152394.16214437486</v>
      </c>
      <c r="DG455" s="13">
        <f>DE455-DF455</f>
        <v>-152394.16214437486</v>
      </c>
      <c r="DH455" s="13">
        <f>DH454+DG455</f>
        <v>-18461657.68943507</v>
      </c>
      <c r="DI455">
        <f>IF(DH455=MAX($DH$83:$DH$483),$A455,0)</f>
        <v>0</v>
      </c>
      <c r="DJ455">
        <f>IF(DE455&lt;DF455,$A455,B_MAX+1)</f>
        <v>372</v>
      </c>
      <c r="DK455" s="13">
        <f>IF(DB455=1,$DB$35,$DB$36)</f>
        <v>0</v>
      </c>
      <c r="DL455" s="13">
        <f>OCC_DAYS*$DB$41*R_NF_2023-DD455*MCD_SHARE_FREED*R_WAIT_2023</f>
        <v>151980.48282209205</v>
      </c>
      <c r="DM455">
        <f>IF($A455&lt;=$DB$45,1,0)</f>
        <v>0</v>
      </c>
      <c r="EB455">
        <f>IF($EB$31&lt;=$EB$32,IF($A455&lt;=$EB$7,1,2),IF($A455&lt;=RUNG_BEDS_2,2,1))</f>
        <v>1</v>
      </c>
      <c r="EC455" s="5">
        <f>MIN(1,MAX(0,$EB$26-($A455-1)))</f>
        <v>0</v>
      </c>
      <c r="ED455" s="5">
        <f>$EB$25*(EC455+(1-EC455)*$EB$16)</f>
        <v>0.0</v>
      </c>
      <c r="EE455" s="13">
        <f>ED455*($EB$6+ACUTE_MARGIN)</f>
        <v>0.0</v>
      </c>
      <c r="EF455" s="13">
        <f>IF(EB455=1,$EB$31,$EB$32)</f>
        <v>152394.16214437486</v>
      </c>
      <c r="EG455" s="13">
        <f>EE455-EF455</f>
        <v>-152394.16214437486</v>
      </c>
      <c r="EH455" s="13">
        <f>EH454+EG455</f>
        <v>-18461657.68943507</v>
      </c>
      <c r="EI455">
        <f>IF(EH455=MAX($EH$83:$EH$483),$A455,0)</f>
        <v>0</v>
      </c>
      <c r="EJ455">
        <f>IF(EE455&lt;EF455,$A455,B_MAX+1)</f>
        <v>372</v>
      </c>
      <c r="EK455" s="13">
        <f>IF(EB455=1,$EB$35,$EB$36)</f>
        <v>0</v>
      </c>
      <c r="EL455" s="13">
        <f>OCC_DAYS*$EB$41*R_NF_2023-ED455*MCD_SHARE_FREED*R_WAIT_2023</f>
        <v>50660.16094069735</v>
      </c>
      <c r="EM455">
        <f>IF($A455&lt;=$EB$45,1,0)</f>
        <v>0</v>
      </c>
      <c r="FB455">
        <f>IF($FB$31&lt;=$FB$32,IF($A455&lt;=$FB$7,1,2),IF($A455&lt;=RUNG_BEDS_2,2,1))</f>
        <v>1</v>
      </c>
      <c r="FC455" s="5">
        <f>MIN(1,MAX(0,$FB$26-($A455-1)))</f>
        <v>0</v>
      </c>
      <c r="FD455" s="5">
        <f>$FB$25*(FC455+(1-FC455)*$FB$16)</f>
        <v>0.0</v>
      </c>
      <c r="FE455" s="13">
        <f>FD455*($FB$6+ACUTE_MARGIN)</f>
        <v>0.0</v>
      </c>
      <c r="FF455" s="13">
        <f>IF(FB455=1,$FB$31,$FB$32)</f>
        <v>156636.04979437485</v>
      </c>
      <c r="FG455" s="13">
        <f>FE455-FF455</f>
        <v>-156636.04979437485</v>
      </c>
      <c r="FH455" s="13">
        <f>FH454+FG455</f>
        <v>-20039639.895235207</v>
      </c>
      <c r="FI455">
        <f>IF(FH455=MAX($FH$83:$FH$483),$A455,0)</f>
        <v>0</v>
      </c>
      <c r="FJ455">
        <f>IF(FE455&lt;FF455,$A455,B_MAX+1)</f>
        <v>372</v>
      </c>
      <c r="FK455" s="13">
        <f>IF(FB455=1,$FB$35,$FB$36)</f>
        <v>0</v>
      </c>
      <c r="FL455" s="13">
        <f>OCC_DAYS*$FB$41*R_NF_2023-FD455*MCD_SHARE_FREED*R_WAIT_2023</f>
        <v>151980.48282209205</v>
      </c>
      <c r="FM455">
        <f>IF($A455&lt;=$FB$45,1,0)</f>
        <v>0</v>
      </c>
      <c r="GB455">
        <f>IF($GB$31&lt;=$GB$32,IF($A455&lt;=$GB$7,1,2),IF($A455&lt;=RUNG_BEDS_2,2,1))</f>
        <v>1</v>
      </c>
      <c r="GC455" s="5">
        <f>MIN(1,MAX(0,$GB$26-($A455-1)))</f>
        <v>0</v>
      </c>
      <c r="GD455" s="5">
        <f>$GB$25*(GC455+(1-GC455)*$GB$16)</f>
        <v>0.0</v>
      </c>
      <c r="GE455" s="13">
        <f>GD455*($GB$6+ACUTE_MARGIN)</f>
        <v>0.0</v>
      </c>
      <c r="GF455" s="13">
        <f>IF(GB455=1,$GB$31,$GB$32)</f>
        <v>152394.16214437486</v>
      </c>
      <c r="GG455" s="13">
        <f>GE455-GF455</f>
        <v>-152394.16214437486</v>
      </c>
      <c r="GH455" s="13">
        <f>GH454+GG455</f>
        <v>-18461657.68943507</v>
      </c>
      <c r="GI455">
        <f>IF(GH455=MAX($GH$83:$GH$483),$A455,0)</f>
        <v>0</v>
      </c>
      <c r="GJ455">
        <f>IF(GE455&lt;GF455,$A455,B_MAX+1)</f>
        <v>372</v>
      </c>
      <c r="GK455" s="13">
        <f>IF(GB455=1,$GB$35,$GB$36)</f>
        <v>0</v>
      </c>
      <c r="GL455" s="13">
        <f>OCC_DAYS*$GB$41*R_NF_2023-GD455*MCD_SHARE_FREED*R_WAIT_2023</f>
        <v>151980.48282209205</v>
      </c>
      <c r="GM455">
        <f>IF($A455&lt;=$GB$45,1,0)</f>
        <v>0</v>
      </c>
      <c r="HB455">
        <f>IF($HB$31&lt;=$HB$32,IF($A455&lt;=$HB$7,1,2),IF($A455&lt;=RUNG_BEDS_2,2,1))</f>
        <v>1</v>
      </c>
      <c r="HC455" s="5">
        <f>MIN(1,MAX(0,$HB$26-($A455-1)))</f>
        <v>0</v>
      </c>
      <c r="HD455" s="5">
        <f>$HB$25*(HC455+(1-HC455)*$HB$16)</f>
        <v>0.0</v>
      </c>
      <c r="HE455" s="13">
        <f>HD455*($HB$6+ACUTE_MARGIN)</f>
        <v>0.0</v>
      </c>
      <c r="HF455" s="13">
        <f>IF(HB455=1,$HB$31,$HB$32)</f>
        <v>152456.2970814058</v>
      </c>
      <c r="HG455" s="13">
        <f>HE455-HF455</f>
        <v>-152456.2970814058</v>
      </c>
      <c r="HH455" s="13">
        <f>HH454+HG455</f>
        <v>-18484771.88601066</v>
      </c>
      <c r="HI455">
        <f>IF(HH455=MAX($HH$83:$HH$483),$A455,0)</f>
        <v>0</v>
      </c>
      <c r="HJ455">
        <f>IF(HE455&lt;HF455,$A455,B_MAX+1)</f>
        <v>372</v>
      </c>
      <c r="HK455" s="13">
        <f>IF(HB455=1,$HB$35,$HB$36)</f>
        <v>0</v>
      </c>
      <c r="HL455" s="13">
        <f>OCC_DAYS*$HB$41*R_NF_2023-HD455*MCD_SHARE_FREED*R_WAIT_2023</f>
        <v>151980.48282209205</v>
      </c>
      <c r="HM455">
        <f>IF($A455&lt;=$HB$45,1,0)</f>
        <v>0</v>
      </c>
      <c r="IB455">
        <f>IF($IB$31&lt;=$IB$32,IF($A455&lt;=$IB$7,1,2),IF($A455&lt;=RUNG_BEDS_2,2,1))</f>
        <v>1</v>
      </c>
      <c r="IC455" s="5">
        <f>MIN(1,MAX(0,$IB$26-($A455-1)))</f>
        <v>0</v>
      </c>
      <c r="ID455" s="5">
        <f>$IB$25*(IC455+(1-IC455)*$IB$16)</f>
        <v>0.0</v>
      </c>
      <c r="IE455" s="13">
        <f>ID455*($IB$6+ACUTE_MARGIN)</f>
        <v>0.0</v>
      </c>
      <c r="IF455" s="13">
        <f>IF(IB455=1,$IB$31,$IB$32)</f>
        <v>152734.9994534971</v>
      </c>
      <c r="IG455" s="13">
        <f>IE455-IF455</f>
        <v>-152734.9994534971</v>
      </c>
      <c r="IH455" s="13">
        <f>IH454+IG455</f>
        <v>-18588449.16842862</v>
      </c>
      <c r="II455">
        <f>IF(IH455=MAX($IH$83:$IH$483),$A455,0)</f>
        <v>0</v>
      </c>
      <c r="IJ455">
        <f>IF(IE455&lt;IF455,$A455,B_MAX+1)</f>
        <v>372</v>
      </c>
      <c r="IK455" s="13">
        <f>IF(IB455=1,$IB$35,$IB$36)</f>
        <v>0</v>
      </c>
      <c r="IL455" s="13">
        <f>OCC_DAYS*$IB$41*R_NF_2023-ID455*MCD_SHARE_FREED*R_WAIT_2023</f>
        <v>151980.48282209205</v>
      </c>
      <c r="IM455">
        <f>IF($A455&lt;=$IB$45,1,0)</f>
        <v>0</v>
      </c>
      <c r="JB455">
        <f>IF($JB$31&lt;=$JB$32,IF($A455&lt;=$JB$7,1,2),IF($A455&lt;=RUNG_BEDS_2,2,1))</f>
        <v>1</v>
      </c>
      <c r="JC455" s="5">
        <f>MIN(1,MAX(0,$JB$26-($A455-1)))</f>
        <v>0</v>
      </c>
      <c r="JD455" s="5">
        <f>$JB$25*(JC455+(1-JC455)*$JB$16)</f>
        <v>0.0</v>
      </c>
      <c r="JE455" s="13">
        <f>JD455*($JB$6+ACUTE_MARGIN)</f>
        <v>0.0</v>
      </c>
      <c r="JF455" s="13">
        <f>IF(JB455=1,$JB$31,$JB$32)</f>
        <v>152394.16214437486</v>
      </c>
      <c r="JG455" s="13">
        <f>JE455-JF455</f>
        <v>-152394.16214437486</v>
      </c>
      <c r="JH455" s="13">
        <f>JH454+JG455</f>
        <v>-18461657.68943507</v>
      </c>
      <c r="JI455">
        <f>IF(JH455=MAX($JH$83:$JH$483),$A455,0)</f>
        <v>0</v>
      </c>
      <c r="JJ455">
        <f>IF(JE455&lt;JF455,$A455,B_MAX+1)</f>
        <v>372</v>
      </c>
      <c r="JK455" s="13">
        <f>IF(JB455=1,$JB$35,$JB$36)</f>
        <v>0</v>
      </c>
      <c r="JL455" s="13">
        <f>OCC_DAYS*$JB$41*R_NF_2023-JD455*MCD_SHARE_FREED*R_WAIT_2023</f>
        <v>151980.48282209205</v>
      </c>
      <c r="JM455">
        <f>IF($A455&lt;=$JB$45,1,0)</f>
        <v>0</v>
      </c>
      <c r="KB455">
        <f>IF($KB$31&lt;=$KB$32,IF($A455&lt;=$KB$7,1,2),IF($A455&lt;=RUNG_BEDS_2,2,1))</f>
        <v>1</v>
      </c>
      <c r="KC455" s="5">
        <f>MIN(1,MAX(0,$KB$26-($A455-1)))</f>
        <v>0</v>
      </c>
      <c r="KD455" s="5">
        <f>$KB$25*(KC455+(1-KC455)*$KB$16)</f>
        <v>0.0</v>
      </c>
      <c r="KE455" s="13">
        <f>KD455*($KB$6+ACUTE_MARGIN)</f>
        <v>0.0</v>
      </c>
      <c r="KF455" s="13">
        <f>IF(KB455=1,$KB$31,$KB$32)</f>
        <v>152394.16214437486</v>
      </c>
      <c r="KG455" s="13">
        <f>KE455-KF455</f>
        <v>-152394.16214437486</v>
      </c>
      <c r="KH455" s="13">
        <f>KH454+KG455</f>
        <v>-18461657.689435177</v>
      </c>
      <c r="KI455">
        <f>IF(KH455=MAX($KH$83:$KH$483),$A455,0)</f>
        <v>0</v>
      </c>
      <c r="KJ455">
        <f>IF(KE455&lt;KF455,$A455,B_MAX+1)</f>
        <v>372</v>
      </c>
      <c r="KK455" s="13">
        <f>IF(KB455=1,$KB$35,$KB$36)</f>
        <v>0</v>
      </c>
      <c r="KL455" s="13">
        <f>OCC_DAYS*$KB$41*R_NF_2023-KD455*MCD_SHARE_FREED*R_WAIT_2023</f>
        <v>151980.48282209205</v>
      </c>
      <c r="KM455">
        <f>IF($A455&lt;=$KB$45,1,0)</f>
        <v>0</v>
      </c>
      <c r="LB455">
        <f>IF($LB$31&lt;=$LB$32,IF($A455&lt;=$LB$7,1,2),IF($A455&lt;=RUNG_BEDS_2,2,1))</f>
        <v>1</v>
      </c>
      <c r="LC455" s="5">
        <f>MIN(1,MAX(0,$LB$26-($A455-1)))</f>
        <v>1</v>
      </c>
      <c r="LD455" s="5">
        <f>$LB$25*(LC455+(1-LC455)*$LB$16)</f>
        <v>84.01774238227146</v>
      </c>
      <c r="LE455" s="13">
        <f>LD455*($LB$6+ACUTE_MARGIN)</f>
        <v>84857.91980609419</v>
      </c>
      <c r="LF455" s="13">
        <f>IF(LB455=1,$LB$31,$LB$32)</f>
        <v>152394.16214437486</v>
      </c>
      <c r="LG455" s="13">
        <f>LE455-LF455</f>
        <v>-67536.24233828067</v>
      </c>
      <c r="LH455" s="13">
        <f>LH454+LG455</f>
        <v>-25123482.14984055</v>
      </c>
      <c r="LI455">
        <f>IF(LH455=MAX($LH$83:$LH$483),$A455,0)</f>
        <v>0</v>
      </c>
      <c r="LJ455">
        <f>IF(LE455&lt;LF455,$A455,B_MAX+1)</f>
        <v>372</v>
      </c>
      <c r="LK455" s="13">
        <f>IF(LB455=1,$LB$35,$LB$36)</f>
        <v>0</v>
      </c>
      <c r="LL455" s="13">
        <f>OCC_DAYS*$LB$41*R_NF_2023-LD455*MCD_SHARE_FREED*R_WAIT_2023</f>
        <v>113776.04162887059</v>
      </c>
      <c r="LM455">
        <f>IF($A455&lt;=$LB$45,1,0)</f>
        <v>0</v>
      </c>
      <c r="MB455">
        <f>IF($MB$31&lt;=$MB$32,IF($A455&lt;=$MB$7,1,2),IF($A455&lt;=RUNG_BEDS_2,2,1))</f>
        <v>1</v>
      </c>
      <c r="MC455" s="5">
        <f>MIN(1,MAX(0,$MB$26-($A455-1)))</f>
        <v>0</v>
      </c>
      <c r="MD455" s="5">
        <f>$MB$25*(MC455+(1-MC455)*$MB$16)</f>
        <v>0.0</v>
      </c>
      <c r="ME455" s="13">
        <f>MD455*($MB$6+ACUTE_MARGIN)</f>
        <v>0.0</v>
      </c>
      <c r="MF455" s="13">
        <f>IF(MB455=1,$MB$31,$MB$32)</f>
        <v>152394.16214437486</v>
      </c>
      <c r="MG455" s="13">
        <f>ME455-MF455</f>
        <v>-152394.16214437486</v>
      </c>
      <c r="MH455" s="13">
        <f>MH454+MG455</f>
        <v>-24348933.75123337</v>
      </c>
      <c r="MI455">
        <f>IF(MH455=MAX($MH$83:$MH$483),$A455,0)</f>
        <v>0</v>
      </c>
      <c r="MJ455">
        <f>IF(ME455&lt;MF455,$A455,B_MAX+1)</f>
        <v>372</v>
      </c>
      <c r="MK455" s="13">
        <f>IF(MB455=1,$MB$35,$MB$36)</f>
        <v>0</v>
      </c>
      <c r="ML455" s="13">
        <f>OCC_DAYS*$MB$41*R_NF_2023-MD455*MCD_SHARE_FREED*R_WAIT_2023</f>
        <v>151980.48282209205</v>
      </c>
      <c r="MM455">
        <f>IF($A455&lt;=$MB$45,1,0)</f>
        <v>0</v>
      </c>
      <c r="NB455">
        <f>IF($NB$31&lt;=$NB$32,IF($A455&lt;=$NB$7,1,2),IF($A455&lt;=RUNG_BEDS_2,2,1))</f>
        <v>1</v>
      </c>
      <c r="NC455" s="5">
        <f>MIN(1,MAX(0,$NB$26-($A455-1)))</f>
        <v>0</v>
      </c>
      <c r="ND455" s="5">
        <f>$NB$25*(NC455+(1-NC455)*$NB$16)</f>
        <v>63.013306786703595</v>
      </c>
      <c r="NE455" s="13">
        <f>ND455*($NB$6+ACUTE_MARGIN)</f>
        <v>63643.43985457063</v>
      </c>
      <c r="NF455" s="13">
        <f>IF(NB455=1,$NB$31,$NB$32)</f>
        <v>152394.16214437486</v>
      </c>
      <c r="NG455" s="13">
        <f>NE455-NF455</f>
        <v>-88750.72228980422</v>
      </c>
      <c r="NH455" s="13">
        <f>NH454+NG455</f>
        <v>-4343540.720602951</v>
      </c>
      <c r="NI455">
        <f>IF(NH455=MAX($NH$83:$NH$483),$A455,0)</f>
        <v>0</v>
      </c>
      <c r="NJ455">
        <f>IF(NE455&lt;NF455,$A455,B_MAX+1)</f>
        <v>372</v>
      </c>
      <c r="NK455" s="13">
        <f>IF(NB455=1,$NB$35,$NB$36)</f>
        <v>0</v>
      </c>
      <c r="NL455" s="13">
        <f>OCC_DAYS*$NB$41*R_NF_2023-ND455*MCD_SHARE_FREED*R_WAIT_2023</f>
        <v>123327.15192717595</v>
      </c>
      <c r="NM455">
        <f>IF($A455&lt;=$NB$45,1,0)</f>
        <v>0</v>
      </c>
      <c r="OB455">
        <f>IF($OB$31&lt;=$OB$32,IF($A455&lt;=$OB$7,1,2),IF($A455&lt;=RUNG_BEDS_2,2,1))</f>
        <v>1</v>
      </c>
      <c r="OC455" s="5">
        <f>MIN(1,MAX(0,$OB$26-($A455-1)))</f>
        <v>0</v>
      </c>
      <c r="OD455" s="5">
        <f>$OB$25*(OC455+(1-OC455)*$OB$16)</f>
        <v>126.02661357340719</v>
      </c>
      <c r="OE455" s="13">
        <f>OD455*($OB$6+ACUTE_MARGIN)</f>
        <v>127286.87970914126</v>
      </c>
      <c r="OF455" s="13">
        <f>IF(OB455=1,$OB$31,$OB$32)</f>
        <v>152394.16214437486</v>
      </c>
      <c r="OG455" s="13">
        <f>OE455-OF455</f>
        <v>-25107.282435233603</v>
      </c>
      <c r="OH455" s="13">
        <f>OH454+OG455</f>
        <v>9774576.248229466</v>
      </c>
      <c r="OI455">
        <f>IF(OH455=MAX($OH$83:$OH$483),$A455,0)</f>
        <v>0</v>
      </c>
      <c r="OJ455">
        <f>IF(OE455&lt;OF455,$A455,B_MAX+1)</f>
        <v>372</v>
      </c>
      <c r="OK455" s="13">
        <f>IF(OB455=1,$OB$35,$OB$36)</f>
        <v>0</v>
      </c>
      <c r="OL455" s="13">
        <f>OCC_DAYS*$OB$41*R_NF_2023-OD455*MCD_SHARE_FREED*R_WAIT_2023</f>
        <v>94673.82103225985</v>
      </c>
      <c r="OM455">
        <f>IF($A455&lt;=$OB$45,1,0)</f>
        <v>0</v>
      </c>
    </row>
    <row r="456">
      <c r="A456" t="n">
        <v>373</v>
      </c>
      <c r="B456">
        <f>IF($B$31&lt;=$B$32,IF($A456&lt;=$B$7,1,2),IF($A456&lt;=RUNG_BEDS_2,2,1))</f>
        <v>1</v>
      </c>
      <c r="C456" s="5">
        <f>MIN(1,MAX(0,$B$26-($A456-1)))</f>
        <v>0</v>
      </c>
      <c r="D456" s="5">
        <f>$B$25*(C456+(1-C456)*$B$16)</f>
        <v>0.0</v>
      </c>
      <c r="E456" s="13">
        <f>D456*($B$6+ACUTE_MARGIN)</f>
        <v>0.0</v>
      </c>
      <c r="F456" s="13">
        <f>IF(B456=1,$B$31,$B$32)</f>
        <v>152394.16214437486</v>
      </c>
      <c r="G456" s="13">
        <f>E456-F456</f>
        <v>-152394.16214437486</v>
      </c>
      <c r="H456" s="13">
        <f>H455+G456</f>
        <v>-18614051.851579443</v>
      </c>
      <c r="I456">
        <f>IF(H456=MAX($H$83:$H$483),$A456,0)</f>
        <v>0</v>
      </c>
      <c r="J456">
        <f>IF(E456&lt;F456,$A456,B_MAX+1)</f>
        <v>373</v>
      </c>
      <c r="K456" s="13">
        <f>IF(B456=1,$B$35,$B$36)</f>
        <v>0</v>
      </c>
      <c r="L456" s="13">
        <f>OCC_DAYS*$B$41*R_NF_2023-D456*MCD_SHARE_FREED*R_WAIT_2023</f>
        <v>151980.48282209205</v>
      </c>
      <c r="M456">
        <f>IF($A456&lt;=$B$45,1,0)</f>
        <v>0</v>
      </c>
      <c r="AB456">
        <f>IF($AB$31&lt;=$AB$32,IF($A456&lt;=$AB$7,1,2),IF($A456&lt;=RUNG_BEDS_2,2,1))</f>
        <v>1</v>
      </c>
      <c r="AC456" s="5">
        <f>MIN(1,MAX(0,$AB$26-($A456-1)))</f>
        <v>0</v>
      </c>
      <c r="AD456" s="5">
        <f>$AB$25*(AC456+(1-AC456)*$AB$16)</f>
        <v>0.0</v>
      </c>
      <c r="AE456" s="13">
        <f>AD456*($AB$6+ACUTE_MARGIN)</f>
        <v>0.0</v>
      </c>
      <c r="AF456" s="13">
        <f>IF(AB456=1,$AB$31,$AB$32)</f>
        <v>152394.16214437486</v>
      </c>
      <c r="AG456" s="13">
        <f>AE456-AF456</f>
        <v>-152394.16214437486</v>
      </c>
      <c r="AH456" s="13">
        <f>AH455+AG456</f>
        <v>-36025266.19712924</v>
      </c>
      <c r="AI456">
        <f>IF(AH456=MAX($AH$83:$AH$483),$A456,0)</f>
        <v>0</v>
      </c>
      <c r="AJ456">
        <f>IF(AE456&lt;AF456,$A456,B_MAX+1)</f>
        <v>373</v>
      </c>
      <c r="AK456" s="13">
        <f>IF(AB456=1,$AB$35,$AB$36)</f>
        <v>0</v>
      </c>
      <c r="AL456" s="13">
        <f>OCC_DAYS*$AB$41*R_NF_2023-AD456*MCD_SHARE_FREED*R_WAIT_2023</f>
        <v>151980.48282209205</v>
      </c>
      <c r="AM456">
        <f>IF($A456&lt;=$AB$45,1,0)</f>
        <v>0</v>
      </c>
      <c r="BB456">
        <f>IF($BB$31&lt;=$BB$32,IF($A456&lt;=$BB$7,1,2),IF($A456&lt;=RUNG_BEDS_2,2,1))</f>
        <v>1</v>
      </c>
      <c r="BC456" s="5">
        <f>MIN(1,MAX(0,$BB$26-($A456-1)))</f>
        <v>0</v>
      </c>
      <c r="BD456" s="5">
        <f>$BB$25*(BC456+(1-BC456)*$BB$16)</f>
        <v>0.0</v>
      </c>
      <c r="BE456" s="13">
        <f>BD456*($BB$6+ACUTE_MARGIN)</f>
        <v>0.0</v>
      </c>
      <c r="BF456" s="13">
        <f>IF(BB456=1,$BB$31,$BB$32)</f>
        <v>152394.16214437486</v>
      </c>
      <c r="BG456" s="13">
        <f>BE456-BF456</f>
        <v>-152394.16214437486</v>
      </c>
      <c r="BH456" s="13">
        <f>BH455+BG456</f>
        <v>-1202837.506029738</v>
      </c>
      <c r="BI456">
        <f>IF(BH456=MAX($BH$83:$BH$483),$A456,0)</f>
        <v>0</v>
      </c>
      <c r="BJ456">
        <f>IF(BE456&lt;BF456,$A456,B_MAX+1)</f>
        <v>373</v>
      </c>
      <c r="BK456" s="13">
        <f>IF(BB456=1,$BB$35,$BB$36)</f>
        <v>0</v>
      </c>
      <c r="BL456" s="13">
        <f>OCC_DAYS*$BB$41*R_NF_2023-BD456*MCD_SHARE_FREED*R_WAIT_2023</f>
        <v>151980.48282209205</v>
      </c>
      <c r="BM456">
        <f>IF($A456&lt;=$BB$45,1,0)</f>
        <v>0</v>
      </c>
      <c r="CB456">
        <f>IF($CB$31&lt;=$CB$32,IF($A456&lt;=$CB$7,1,2),IF($A456&lt;=RUNG_BEDS_2,2,1))</f>
        <v>2</v>
      </c>
      <c r="CC456" s="5">
        <f>MIN(1,MAX(0,$CB$26-($A456-1)))</f>
        <v>0</v>
      </c>
      <c r="CD456" s="5">
        <f>$CB$25*(CC456+(1-CC456)*$CB$16)</f>
        <v>0.0</v>
      </c>
      <c r="CE456" s="13">
        <f>CD456*($CB$6+ACUTE_MARGIN)</f>
        <v>0.0</v>
      </c>
      <c r="CF456" s="13">
        <f>IF(CB456=1,$CB$31,$CB$32)</f>
        <v>160718.36940738867</v>
      </c>
      <c r="CG456" s="13">
        <f>CE456-CF456</f>
        <v>-160718.36940738867</v>
      </c>
      <c r="CH456" s="13">
        <f>CH455+CG456</f>
        <v>-21718981.1606838</v>
      </c>
      <c r="CI456">
        <f>IF(CH456=MAX($CH$83:$CH$483),$A456,0)</f>
        <v>0</v>
      </c>
      <c r="CJ456">
        <f>IF(CE456&lt;CF456,$A456,B_MAX+1)</f>
        <v>373</v>
      </c>
      <c r="CK456" s="13">
        <f>IF(CB456=1,$CB$35,$CB$36)</f>
        <v>1560.1194073886782</v>
      </c>
      <c r="CL456" s="13">
        <f>OCC_DAYS*$CB$41*R_NF_2023-CD456*MCD_SHARE_FREED*R_WAIT_2023</f>
        <v>151980.48282209205</v>
      </c>
      <c r="CM456">
        <f>IF($A456&lt;=$CB$45,1,0)</f>
        <v>0</v>
      </c>
      <c r="DB456">
        <f>IF($DB$31&lt;=$DB$32,IF($A456&lt;=$DB$7,1,2),IF($A456&lt;=RUNG_BEDS_2,2,1))</f>
        <v>1</v>
      </c>
      <c r="DC456" s="5">
        <f>MIN(1,MAX(0,$DB$26-($A456-1)))</f>
        <v>0</v>
      </c>
      <c r="DD456" s="5">
        <f>$DB$25*(DC456+(1-DC456)*$DB$16)</f>
        <v>0.0</v>
      </c>
      <c r="DE456" s="13">
        <f>DD456*($DB$6+ACUTE_MARGIN)</f>
        <v>0.0</v>
      </c>
      <c r="DF456" s="13">
        <f>IF(DB456=1,$DB$31,$DB$32)</f>
        <v>152394.16214437486</v>
      </c>
      <c r="DG456" s="13">
        <f>DE456-DF456</f>
        <v>-152394.16214437486</v>
      </c>
      <c r="DH456" s="13">
        <f>DH455+DG456</f>
        <v>-18614051.851579443</v>
      </c>
      <c r="DI456">
        <f>IF(DH456=MAX($DH$83:$DH$483),$A456,0)</f>
        <v>0</v>
      </c>
      <c r="DJ456">
        <f>IF(DE456&lt;DF456,$A456,B_MAX+1)</f>
        <v>373</v>
      </c>
      <c r="DK456" s="13">
        <f>IF(DB456=1,$DB$35,$DB$36)</f>
        <v>0</v>
      </c>
      <c r="DL456" s="13">
        <f>OCC_DAYS*$DB$41*R_NF_2023-DD456*MCD_SHARE_FREED*R_WAIT_2023</f>
        <v>151980.48282209205</v>
      </c>
      <c r="DM456">
        <f>IF($A456&lt;=$DB$45,1,0)</f>
        <v>0</v>
      </c>
      <c r="EB456">
        <f>IF($EB$31&lt;=$EB$32,IF($A456&lt;=$EB$7,1,2),IF($A456&lt;=RUNG_BEDS_2,2,1))</f>
        <v>1</v>
      </c>
      <c r="EC456" s="5">
        <f>MIN(1,MAX(0,$EB$26-($A456-1)))</f>
        <v>0</v>
      </c>
      <c r="ED456" s="5">
        <f>$EB$25*(EC456+(1-EC456)*$EB$16)</f>
        <v>0.0</v>
      </c>
      <c r="EE456" s="13">
        <f>ED456*($EB$6+ACUTE_MARGIN)</f>
        <v>0.0</v>
      </c>
      <c r="EF456" s="13">
        <f>IF(EB456=1,$EB$31,$EB$32)</f>
        <v>152394.16214437486</v>
      </c>
      <c r="EG456" s="13">
        <f>EE456-EF456</f>
        <v>-152394.16214437486</v>
      </c>
      <c r="EH456" s="13">
        <f>EH455+EG456</f>
        <v>-18614051.851579443</v>
      </c>
      <c r="EI456">
        <f>IF(EH456=MAX($EH$83:$EH$483),$A456,0)</f>
        <v>0</v>
      </c>
      <c r="EJ456">
        <f>IF(EE456&lt;EF456,$A456,B_MAX+1)</f>
        <v>373</v>
      </c>
      <c r="EK456" s="13">
        <f>IF(EB456=1,$EB$35,$EB$36)</f>
        <v>0</v>
      </c>
      <c r="EL456" s="13">
        <f>OCC_DAYS*$EB$41*R_NF_2023-ED456*MCD_SHARE_FREED*R_WAIT_2023</f>
        <v>50660.16094069735</v>
      </c>
      <c r="EM456">
        <f>IF($A456&lt;=$EB$45,1,0)</f>
        <v>0</v>
      </c>
      <c r="FB456">
        <f>IF($FB$31&lt;=$FB$32,IF($A456&lt;=$FB$7,1,2),IF($A456&lt;=RUNG_BEDS_2,2,1))</f>
        <v>1</v>
      </c>
      <c r="FC456" s="5">
        <f>MIN(1,MAX(0,$FB$26-($A456-1)))</f>
        <v>0</v>
      </c>
      <c r="FD456" s="5">
        <f>$FB$25*(FC456+(1-FC456)*$FB$16)</f>
        <v>0.0</v>
      </c>
      <c r="FE456" s="13">
        <f>FD456*($FB$6+ACUTE_MARGIN)</f>
        <v>0.0</v>
      </c>
      <c r="FF456" s="13">
        <f>IF(FB456=1,$FB$31,$FB$32)</f>
        <v>156636.04979437485</v>
      </c>
      <c r="FG456" s="13">
        <f>FE456-FF456</f>
        <v>-156636.04979437485</v>
      </c>
      <c r="FH456" s="13">
        <f>FH455+FG456</f>
        <v>-20196275.945029583</v>
      </c>
      <c r="FI456">
        <f>IF(FH456=MAX($FH$83:$FH$483),$A456,0)</f>
        <v>0</v>
      </c>
      <c r="FJ456">
        <f>IF(FE456&lt;FF456,$A456,B_MAX+1)</f>
        <v>373</v>
      </c>
      <c r="FK456" s="13">
        <f>IF(FB456=1,$FB$35,$FB$36)</f>
        <v>0</v>
      </c>
      <c r="FL456" s="13">
        <f>OCC_DAYS*$FB$41*R_NF_2023-FD456*MCD_SHARE_FREED*R_WAIT_2023</f>
        <v>151980.48282209205</v>
      </c>
      <c r="FM456">
        <f>IF($A456&lt;=$FB$45,1,0)</f>
        <v>0</v>
      </c>
      <c r="GB456">
        <f>IF($GB$31&lt;=$GB$32,IF($A456&lt;=$GB$7,1,2),IF($A456&lt;=RUNG_BEDS_2,2,1))</f>
        <v>1</v>
      </c>
      <c r="GC456" s="5">
        <f>MIN(1,MAX(0,$GB$26-($A456-1)))</f>
        <v>0</v>
      </c>
      <c r="GD456" s="5">
        <f>$GB$25*(GC456+(1-GC456)*$GB$16)</f>
        <v>0.0</v>
      </c>
      <c r="GE456" s="13">
        <f>GD456*($GB$6+ACUTE_MARGIN)</f>
        <v>0.0</v>
      </c>
      <c r="GF456" s="13">
        <f>IF(GB456=1,$GB$31,$GB$32)</f>
        <v>152394.16214437486</v>
      </c>
      <c r="GG456" s="13">
        <f>GE456-GF456</f>
        <v>-152394.16214437486</v>
      </c>
      <c r="GH456" s="13">
        <f>GH455+GG456</f>
        <v>-18614051.851579443</v>
      </c>
      <c r="GI456">
        <f>IF(GH456=MAX($GH$83:$GH$483),$A456,0)</f>
        <v>0</v>
      </c>
      <c r="GJ456">
        <f>IF(GE456&lt;GF456,$A456,B_MAX+1)</f>
        <v>373</v>
      </c>
      <c r="GK456" s="13">
        <f>IF(GB456=1,$GB$35,$GB$36)</f>
        <v>0</v>
      </c>
      <c r="GL456" s="13">
        <f>OCC_DAYS*$GB$41*R_NF_2023-GD456*MCD_SHARE_FREED*R_WAIT_2023</f>
        <v>151980.48282209205</v>
      </c>
      <c r="GM456">
        <f>IF($A456&lt;=$GB$45,1,0)</f>
        <v>0</v>
      </c>
      <c r="HB456">
        <f>IF($HB$31&lt;=$HB$32,IF($A456&lt;=$HB$7,1,2),IF($A456&lt;=RUNG_BEDS_2,2,1))</f>
        <v>1</v>
      </c>
      <c r="HC456" s="5">
        <f>MIN(1,MAX(0,$HB$26-($A456-1)))</f>
        <v>0</v>
      </c>
      <c r="HD456" s="5">
        <f>$HB$25*(HC456+(1-HC456)*$HB$16)</f>
        <v>0.0</v>
      </c>
      <c r="HE456" s="13">
        <f>HD456*($HB$6+ACUTE_MARGIN)</f>
        <v>0.0</v>
      </c>
      <c r="HF456" s="13">
        <f>IF(HB456=1,$HB$31,$HB$32)</f>
        <v>152456.2970814058</v>
      </c>
      <c r="HG456" s="13">
        <f>HE456-HF456</f>
        <v>-152456.2970814058</v>
      </c>
      <c r="HH456" s="13">
        <f>HH455+HG456</f>
        <v>-18637228.18309207</v>
      </c>
      <c r="HI456">
        <f>IF(HH456=MAX($HH$83:$HH$483),$A456,0)</f>
        <v>0</v>
      </c>
      <c r="HJ456">
        <f>IF(HE456&lt;HF456,$A456,B_MAX+1)</f>
        <v>373</v>
      </c>
      <c r="HK456" s="13">
        <f>IF(HB456=1,$HB$35,$HB$36)</f>
        <v>0</v>
      </c>
      <c r="HL456" s="13">
        <f>OCC_DAYS*$HB$41*R_NF_2023-HD456*MCD_SHARE_FREED*R_WAIT_2023</f>
        <v>151980.48282209205</v>
      </c>
      <c r="HM456">
        <f>IF($A456&lt;=$HB$45,1,0)</f>
        <v>0</v>
      </c>
      <c r="IB456">
        <f>IF($IB$31&lt;=$IB$32,IF($A456&lt;=$IB$7,1,2),IF($A456&lt;=RUNG_BEDS_2,2,1))</f>
        <v>1</v>
      </c>
      <c r="IC456" s="5">
        <f>MIN(1,MAX(0,$IB$26-($A456-1)))</f>
        <v>0</v>
      </c>
      <c r="ID456" s="5">
        <f>$IB$25*(IC456+(1-IC456)*$IB$16)</f>
        <v>0.0</v>
      </c>
      <c r="IE456" s="13">
        <f>ID456*($IB$6+ACUTE_MARGIN)</f>
        <v>0.0</v>
      </c>
      <c r="IF456" s="13">
        <f>IF(IB456=1,$IB$31,$IB$32)</f>
        <v>152734.9994534971</v>
      </c>
      <c r="IG456" s="13">
        <f>IE456-IF456</f>
        <v>-152734.9994534971</v>
      </c>
      <c r="IH456" s="13">
        <f>IH455+IG456</f>
        <v>-18741184.167882115</v>
      </c>
      <c r="II456">
        <f>IF(IH456=MAX($IH$83:$IH$483),$A456,0)</f>
        <v>0</v>
      </c>
      <c r="IJ456">
        <f>IF(IE456&lt;IF456,$A456,B_MAX+1)</f>
        <v>373</v>
      </c>
      <c r="IK456" s="13">
        <f>IF(IB456=1,$IB$35,$IB$36)</f>
        <v>0</v>
      </c>
      <c r="IL456" s="13">
        <f>OCC_DAYS*$IB$41*R_NF_2023-ID456*MCD_SHARE_FREED*R_WAIT_2023</f>
        <v>151980.48282209205</v>
      </c>
      <c r="IM456">
        <f>IF($A456&lt;=$IB$45,1,0)</f>
        <v>0</v>
      </c>
      <c r="JB456">
        <f>IF($JB$31&lt;=$JB$32,IF($A456&lt;=$JB$7,1,2),IF($A456&lt;=RUNG_BEDS_2,2,1))</f>
        <v>1</v>
      </c>
      <c r="JC456" s="5">
        <f>MIN(1,MAX(0,$JB$26-($A456-1)))</f>
        <v>0</v>
      </c>
      <c r="JD456" s="5">
        <f>$JB$25*(JC456+(1-JC456)*$JB$16)</f>
        <v>0.0</v>
      </c>
      <c r="JE456" s="13">
        <f>JD456*($JB$6+ACUTE_MARGIN)</f>
        <v>0.0</v>
      </c>
      <c r="JF456" s="13">
        <f>IF(JB456=1,$JB$31,$JB$32)</f>
        <v>152394.16214437486</v>
      </c>
      <c r="JG456" s="13">
        <f>JE456-JF456</f>
        <v>-152394.16214437486</v>
      </c>
      <c r="JH456" s="13">
        <f>JH455+JG456</f>
        <v>-18614051.851579443</v>
      </c>
      <c r="JI456">
        <f>IF(JH456=MAX($JH$83:$JH$483),$A456,0)</f>
        <v>0</v>
      </c>
      <c r="JJ456">
        <f>IF(JE456&lt;JF456,$A456,B_MAX+1)</f>
        <v>373</v>
      </c>
      <c r="JK456" s="13">
        <f>IF(JB456=1,$JB$35,$JB$36)</f>
        <v>0</v>
      </c>
      <c r="JL456" s="13">
        <f>OCC_DAYS*$JB$41*R_NF_2023-JD456*MCD_SHARE_FREED*R_WAIT_2023</f>
        <v>151980.48282209205</v>
      </c>
      <c r="JM456">
        <f>IF($A456&lt;=$JB$45,1,0)</f>
        <v>0</v>
      </c>
      <c r="KB456">
        <f>IF($KB$31&lt;=$KB$32,IF($A456&lt;=$KB$7,1,2),IF($A456&lt;=RUNG_BEDS_2,2,1))</f>
        <v>1</v>
      </c>
      <c r="KC456" s="5">
        <f>MIN(1,MAX(0,$KB$26-($A456-1)))</f>
        <v>0</v>
      </c>
      <c r="KD456" s="5">
        <f>$KB$25*(KC456+(1-KC456)*$KB$16)</f>
        <v>0.0</v>
      </c>
      <c r="KE456" s="13">
        <f>KD456*($KB$6+ACUTE_MARGIN)</f>
        <v>0.0</v>
      </c>
      <c r="KF456" s="13">
        <f>IF(KB456=1,$KB$31,$KB$32)</f>
        <v>152394.16214437486</v>
      </c>
      <c r="KG456" s="13">
        <f>KE456-KF456</f>
        <v>-152394.16214437486</v>
      </c>
      <c r="KH456" s="13">
        <f>KH455+KG456</f>
        <v>-18614051.85157955</v>
      </c>
      <c r="KI456">
        <f>IF(KH456=MAX($KH$83:$KH$483),$A456,0)</f>
        <v>0</v>
      </c>
      <c r="KJ456">
        <f>IF(KE456&lt;KF456,$A456,B_MAX+1)</f>
        <v>373</v>
      </c>
      <c r="KK456" s="13">
        <f>IF(KB456=1,$KB$35,$KB$36)</f>
        <v>0</v>
      </c>
      <c r="KL456" s="13">
        <f>OCC_DAYS*$KB$41*R_NF_2023-KD456*MCD_SHARE_FREED*R_WAIT_2023</f>
        <v>151980.48282209205</v>
      </c>
      <c r="KM456">
        <f>IF($A456&lt;=$KB$45,1,0)</f>
        <v>0</v>
      </c>
      <c r="LB456">
        <f>IF($LB$31&lt;=$LB$32,IF($A456&lt;=$LB$7,1,2),IF($A456&lt;=RUNG_BEDS_2,2,1))</f>
        <v>1</v>
      </c>
      <c r="LC456" s="5">
        <f>MIN(1,MAX(0,$LB$26-($A456-1)))</f>
        <v>1</v>
      </c>
      <c r="LD456" s="5">
        <f>$LB$25*(LC456+(1-LC456)*$LB$16)</f>
        <v>84.01774238227146</v>
      </c>
      <c r="LE456" s="13">
        <f>LD456*($LB$6+ACUTE_MARGIN)</f>
        <v>84857.91980609419</v>
      </c>
      <c r="LF456" s="13">
        <f>IF(LB456=1,$LB$31,$LB$32)</f>
        <v>152394.16214437486</v>
      </c>
      <c r="LG456" s="13">
        <f>LE456-LF456</f>
        <v>-67536.24233828067</v>
      </c>
      <c r="LH456" s="13">
        <f>LH455+LG456</f>
        <v>-25191018.39217883</v>
      </c>
      <c r="LI456">
        <f>IF(LH456=MAX($LH$83:$LH$483),$A456,0)</f>
        <v>0</v>
      </c>
      <c r="LJ456">
        <f>IF(LE456&lt;LF456,$A456,B_MAX+1)</f>
        <v>373</v>
      </c>
      <c r="LK456" s="13">
        <f>IF(LB456=1,$LB$35,$LB$36)</f>
        <v>0</v>
      </c>
      <c r="LL456" s="13">
        <f>OCC_DAYS*$LB$41*R_NF_2023-LD456*MCD_SHARE_FREED*R_WAIT_2023</f>
        <v>113776.04162887059</v>
      </c>
      <c r="LM456">
        <f>IF($A456&lt;=$LB$45,1,0)</f>
        <v>0</v>
      </c>
      <c r="MB456">
        <f>IF($MB$31&lt;=$MB$32,IF($A456&lt;=$MB$7,1,2),IF($A456&lt;=RUNG_BEDS_2,2,1))</f>
        <v>1</v>
      </c>
      <c r="MC456" s="5">
        <f>MIN(1,MAX(0,$MB$26-($A456-1)))</f>
        <v>0</v>
      </c>
      <c r="MD456" s="5">
        <f>$MB$25*(MC456+(1-MC456)*$MB$16)</f>
        <v>0.0</v>
      </c>
      <c r="ME456" s="13">
        <f>MD456*($MB$6+ACUTE_MARGIN)</f>
        <v>0.0</v>
      </c>
      <c r="MF456" s="13">
        <f>IF(MB456=1,$MB$31,$MB$32)</f>
        <v>152394.16214437486</v>
      </c>
      <c r="MG456" s="13">
        <f>ME456-MF456</f>
        <v>-152394.16214437486</v>
      </c>
      <c r="MH456" s="13">
        <f>MH455+MG456</f>
        <v>-24501327.913377743</v>
      </c>
      <c r="MI456">
        <f>IF(MH456=MAX($MH$83:$MH$483),$A456,0)</f>
        <v>0</v>
      </c>
      <c r="MJ456">
        <f>IF(ME456&lt;MF456,$A456,B_MAX+1)</f>
        <v>373</v>
      </c>
      <c r="MK456" s="13">
        <f>IF(MB456=1,$MB$35,$MB$36)</f>
        <v>0</v>
      </c>
      <c r="ML456" s="13">
        <f>OCC_DAYS*$MB$41*R_NF_2023-MD456*MCD_SHARE_FREED*R_WAIT_2023</f>
        <v>151980.48282209205</v>
      </c>
      <c r="MM456">
        <f>IF($A456&lt;=$MB$45,1,0)</f>
        <v>0</v>
      </c>
      <c r="NB456">
        <f>IF($NB$31&lt;=$NB$32,IF($A456&lt;=$NB$7,1,2),IF($A456&lt;=RUNG_BEDS_2,2,1))</f>
        <v>1</v>
      </c>
      <c r="NC456" s="5">
        <f>MIN(1,MAX(0,$NB$26-($A456-1)))</f>
        <v>0</v>
      </c>
      <c r="ND456" s="5">
        <f>$NB$25*(NC456+(1-NC456)*$NB$16)</f>
        <v>63.013306786703595</v>
      </c>
      <c r="NE456" s="13">
        <f>ND456*($NB$6+ACUTE_MARGIN)</f>
        <v>63643.43985457063</v>
      </c>
      <c r="NF456" s="13">
        <f>IF(NB456=1,$NB$31,$NB$32)</f>
        <v>152394.16214437486</v>
      </c>
      <c r="NG456" s="13">
        <f>NE456-NF456</f>
        <v>-88750.72228980422</v>
      </c>
      <c r="NH456" s="13">
        <f>NH455+NG456</f>
        <v>-4432291.442892755</v>
      </c>
      <c r="NI456">
        <f>IF(NH456=MAX($NH$83:$NH$483),$A456,0)</f>
        <v>0</v>
      </c>
      <c r="NJ456">
        <f>IF(NE456&lt;NF456,$A456,B_MAX+1)</f>
        <v>373</v>
      </c>
      <c r="NK456" s="13">
        <f>IF(NB456=1,$NB$35,$NB$36)</f>
        <v>0</v>
      </c>
      <c r="NL456" s="13">
        <f>OCC_DAYS*$NB$41*R_NF_2023-ND456*MCD_SHARE_FREED*R_WAIT_2023</f>
        <v>123327.15192717595</v>
      </c>
      <c r="NM456">
        <f>IF($A456&lt;=$NB$45,1,0)</f>
        <v>0</v>
      </c>
      <c r="OB456">
        <f>IF($OB$31&lt;=$OB$32,IF($A456&lt;=$OB$7,1,2),IF($A456&lt;=RUNG_BEDS_2,2,1))</f>
        <v>1</v>
      </c>
      <c r="OC456" s="5">
        <f>MIN(1,MAX(0,$OB$26-($A456-1)))</f>
        <v>0</v>
      </c>
      <c r="OD456" s="5">
        <f>$OB$25*(OC456+(1-OC456)*$OB$16)</f>
        <v>126.02661357340719</v>
      </c>
      <c r="OE456" s="13">
        <f>OD456*($OB$6+ACUTE_MARGIN)</f>
        <v>127286.87970914126</v>
      </c>
      <c r="OF456" s="13">
        <f>IF(OB456=1,$OB$31,$OB$32)</f>
        <v>152394.16214437486</v>
      </c>
      <c r="OG456" s="13">
        <f>OE456-OF456</f>
        <v>-25107.282435233603</v>
      </c>
      <c r="OH456" s="13">
        <f>OH455+OG456</f>
        <v>9749468.965794234</v>
      </c>
      <c r="OI456">
        <f>IF(OH456=MAX($OH$83:$OH$483),$A456,0)</f>
        <v>0</v>
      </c>
      <c r="OJ456">
        <f>IF(OE456&lt;OF456,$A456,B_MAX+1)</f>
        <v>373</v>
      </c>
      <c r="OK456" s="13">
        <f>IF(OB456=1,$OB$35,$OB$36)</f>
        <v>0</v>
      </c>
      <c r="OL456" s="13">
        <f>OCC_DAYS*$OB$41*R_NF_2023-OD456*MCD_SHARE_FREED*R_WAIT_2023</f>
        <v>94673.82103225985</v>
      </c>
      <c r="OM456">
        <f>IF($A456&lt;=$OB$45,1,0)</f>
        <v>0</v>
      </c>
    </row>
    <row r="457">
      <c r="A457" t="n">
        <v>374</v>
      </c>
      <c r="B457">
        <f>IF($B$31&lt;=$B$32,IF($A457&lt;=$B$7,1,2),IF($A457&lt;=RUNG_BEDS_2,2,1))</f>
        <v>1</v>
      </c>
      <c r="C457" s="5">
        <f>MIN(1,MAX(0,$B$26-($A457-1)))</f>
        <v>0</v>
      </c>
      <c r="D457" s="5">
        <f>$B$25*(C457+(1-C457)*$B$16)</f>
        <v>0.0</v>
      </c>
      <c r="E457" s="13">
        <f>D457*($B$6+ACUTE_MARGIN)</f>
        <v>0.0</v>
      </c>
      <c r="F457" s="13">
        <f>IF(B457=1,$B$31,$B$32)</f>
        <v>152394.16214437486</v>
      </c>
      <c r="G457" s="13">
        <f>E457-F457</f>
        <v>-152394.16214437486</v>
      </c>
      <c r="H457" s="13">
        <f>H456+G457</f>
        <v>-18766446.013723817</v>
      </c>
      <c r="I457">
        <f>IF(H457=MAX($H$83:$H$483),$A457,0)</f>
        <v>0</v>
      </c>
      <c r="J457">
        <f>IF(E457&lt;F457,$A457,B_MAX+1)</f>
        <v>374</v>
      </c>
      <c r="K457" s="13">
        <f>IF(B457=1,$B$35,$B$36)</f>
        <v>0</v>
      </c>
      <c r="L457" s="13">
        <f>OCC_DAYS*$B$41*R_NF_2023-D457*MCD_SHARE_FREED*R_WAIT_2023</f>
        <v>151980.48282209205</v>
      </c>
      <c r="M457">
        <f>IF($A457&lt;=$B$45,1,0)</f>
        <v>0</v>
      </c>
      <c r="AB457">
        <f>IF($AB$31&lt;=$AB$32,IF($A457&lt;=$AB$7,1,2),IF($A457&lt;=RUNG_BEDS_2,2,1))</f>
        <v>1</v>
      </c>
      <c r="AC457" s="5">
        <f>MIN(1,MAX(0,$AB$26-($A457-1)))</f>
        <v>0</v>
      </c>
      <c r="AD457" s="5">
        <f>$AB$25*(AC457+(1-AC457)*$AB$16)</f>
        <v>0.0</v>
      </c>
      <c r="AE457" s="13">
        <f>AD457*($AB$6+ACUTE_MARGIN)</f>
        <v>0.0</v>
      </c>
      <c r="AF457" s="13">
        <f>IF(AB457=1,$AB$31,$AB$32)</f>
        <v>152394.16214437486</v>
      </c>
      <c r="AG457" s="13">
        <f>AE457-AF457</f>
        <v>-152394.16214437486</v>
      </c>
      <c r="AH457" s="13">
        <f>AH456+AG457</f>
        <v>-36177660.35927362</v>
      </c>
      <c r="AI457">
        <f>IF(AH457=MAX($AH$83:$AH$483),$A457,0)</f>
        <v>0</v>
      </c>
      <c r="AJ457">
        <f>IF(AE457&lt;AF457,$A457,B_MAX+1)</f>
        <v>374</v>
      </c>
      <c r="AK457" s="13">
        <f>IF(AB457=1,$AB$35,$AB$36)</f>
        <v>0</v>
      </c>
      <c r="AL457" s="13">
        <f>OCC_DAYS*$AB$41*R_NF_2023-AD457*MCD_SHARE_FREED*R_WAIT_2023</f>
        <v>151980.48282209205</v>
      </c>
      <c r="AM457">
        <f>IF($A457&lt;=$AB$45,1,0)</f>
        <v>0</v>
      </c>
      <c r="BB457">
        <f>IF($BB$31&lt;=$BB$32,IF($A457&lt;=$BB$7,1,2),IF($A457&lt;=RUNG_BEDS_2,2,1))</f>
        <v>1</v>
      </c>
      <c r="BC457" s="5">
        <f>MIN(1,MAX(0,$BB$26-($A457-1)))</f>
        <v>0</v>
      </c>
      <c r="BD457" s="5">
        <f>$BB$25*(BC457+(1-BC457)*$BB$16)</f>
        <v>0.0</v>
      </c>
      <c r="BE457" s="13">
        <f>BD457*($BB$6+ACUTE_MARGIN)</f>
        <v>0.0</v>
      </c>
      <c r="BF457" s="13">
        <f>IF(BB457=1,$BB$31,$BB$32)</f>
        <v>152394.16214437486</v>
      </c>
      <c r="BG457" s="13">
        <f>BE457-BF457</f>
        <v>-152394.16214437486</v>
      </c>
      <c r="BH457" s="13">
        <f>BH456+BG457</f>
        <v>-1355231.668174113</v>
      </c>
      <c r="BI457">
        <f>IF(BH457=MAX($BH$83:$BH$483),$A457,0)</f>
        <v>0</v>
      </c>
      <c r="BJ457">
        <f>IF(BE457&lt;BF457,$A457,B_MAX+1)</f>
        <v>374</v>
      </c>
      <c r="BK457" s="13">
        <f>IF(BB457=1,$BB$35,$BB$36)</f>
        <v>0</v>
      </c>
      <c r="BL457" s="13">
        <f>OCC_DAYS*$BB$41*R_NF_2023-BD457*MCD_SHARE_FREED*R_WAIT_2023</f>
        <v>151980.48282209205</v>
      </c>
      <c r="BM457">
        <f>IF($A457&lt;=$BB$45,1,0)</f>
        <v>0</v>
      </c>
      <c r="CB457">
        <f>IF($CB$31&lt;=$CB$32,IF($A457&lt;=$CB$7,1,2),IF($A457&lt;=RUNG_BEDS_2,2,1))</f>
        <v>2</v>
      </c>
      <c r="CC457" s="5">
        <f>MIN(1,MAX(0,$CB$26-($A457-1)))</f>
        <v>0</v>
      </c>
      <c r="CD457" s="5">
        <f>$CB$25*(CC457+(1-CC457)*$CB$16)</f>
        <v>0.0</v>
      </c>
      <c r="CE457" s="13">
        <f>CD457*($CB$6+ACUTE_MARGIN)</f>
        <v>0.0</v>
      </c>
      <c r="CF457" s="13">
        <f>IF(CB457=1,$CB$31,$CB$32)</f>
        <v>160718.36940738867</v>
      </c>
      <c r="CG457" s="13">
        <f>CE457-CF457</f>
        <v>-160718.36940738867</v>
      </c>
      <c r="CH457" s="13">
        <f>CH456+CG457</f>
        <v>-21879699.53009119</v>
      </c>
      <c r="CI457">
        <f>IF(CH457=MAX($CH$83:$CH$483),$A457,0)</f>
        <v>0</v>
      </c>
      <c r="CJ457">
        <f>IF(CE457&lt;CF457,$A457,B_MAX+1)</f>
        <v>374</v>
      </c>
      <c r="CK457" s="13">
        <f>IF(CB457=1,$CB$35,$CB$36)</f>
        <v>1560.1194073886782</v>
      </c>
      <c r="CL457" s="13">
        <f>OCC_DAYS*$CB$41*R_NF_2023-CD457*MCD_SHARE_FREED*R_WAIT_2023</f>
        <v>151980.48282209205</v>
      </c>
      <c r="CM457">
        <f>IF($A457&lt;=$CB$45,1,0)</f>
        <v>0</v>
      </c>
      <c r="DB457">
        <f>IF($DB$31&lt;=$DB$32,IF($A457&lt;=$DB$7,1,2),IF($A457&lt;=RUNG_BEDS_2,2,1))</f>
        <v>1</v>
      </c>
      <c r="DC457" s="5">
        <f>MIN(1,MAX(0,$DB$26-($A457-1)))</f>
        <v>0</v>
      </c>
      <c r="DD457" s="5">
        <f>$DB$25*(DC457+(1-DC457)*$DB$16)</f>
        <v>0.0</v>
      </c>
      <c r="DE457" s="13">
        <f>DD457*($DB$6+ACUTE_MARGIN)</f>
        <v>0.0</v>
      </c>
      <c r="DF457" s="13">
        <f>IF(DB457=1,$DB$31,$DB$32)</f>
        <v>152394.16214437486</v>
      </c>
      <c r="DG457" s="13">
        <f>DE457-DF457</f>
        <v>-152394.16214437486</v>
      </c>
      <c r="DH457" s="13">
        <f>DH456+DG457</f>
        <v>-18766446.013723817</v>
      </c>
      <c r="DI457">
        <f>IF(DH457=MAX($DH$83:$DH$483),$A457,0)</f>
        <v>0</v>
      </c>
      <c r="DJ457">
        <f>IF(DE457&lt;DF457,$A457,B_MAX+1)</f>
        <v>374</v>
      </c>
      <c r="DK457" s="13">
        <f>IF(DB457=1,$DB$35,$DB$36)</f>
        <v>0</v>
      </c>
      <c r="DL457" s="13">
        <f>OCC_DAYS*$DB$41*R_NF_2023-DD457*MCD_SHARE_FREED*R_WAIT_2023</f>
        <v>151980.48282209205</v>
      </c>
      <c r="DM457">
        <f>IF($A457&lt;=$DB$45,1,0)</f>
        <v>0</v>
      </c>
      <c r="EB457">
        <f>IF($EB$31&lt;=$EB$32,IF($A457&lt;=$EB$7,1,2),IF($A457&lt;=RUNG_BEDS_2,2,1))</f>
        <v>1</v>
      </c>
      <c r="EC457" s="5">
        <f>MIN(1,MAX(0,$EB$26-($A457-1)))</f>
        <v>0</v>
      </c>
      <c r="ED457" s="5">
        <f>$EB$25*(EC457+(1-EC457)*$EB$16)</f>
        <v>0.0</v>
      </c>
      <c r="EE457" s="13">
        <f>ED457*($EB$6+ACUTE_MARGIN)</f>
        <v>0.0</v>
      </c>
      <c r="EF457" s="13">
        <f>IF(EB457=1,$EB$31,$EB$32)</f>
        <v>152394.16214437486</v>
      </c>
      <c r="EG457" s="13">
        <f>EE457-EF457</f>
        <v>-152394.16214437486</v>
      </c>
      <c r="EH457" s="13">
        <f>EH456+EG457</f>
        <v>-18766446.013723817</v>
      </c>
      <c r="EI457">
        <f>IF(EH457=MAX($EH$83:$EH$483),$A457,0)</f>
        <v>0</v>
      </c>
      <c r="EJ457">
        <f>IF(EE457&lt;EF457,$A457,B_MAX+1)</f>
        <v>374</v>
      </c>
      <c r="EK457" s="13">
        <f>IF(EB457=1,$EB$35,$EB$36)</f>
        <v>0</v>
      </c>
      <c r="EL457" s="13">
        <f>OCC_DAYS*$EB$41*R_NF_2023-ED457*MCD_SHARE_FREED*R_WAIT_2023</f>
        <v>50660.16094069735</v>
      </c>
      <c r="EM457">
        <f>IF($A457&lt;=$EB$45,1,0)</f>
        <v>0</v>
      </c>
      <c r="FB457">
        <f>IF($FB$31&lt;=$FB$32,IF($A457&lt;=$FB$7,1,2),IF($A457&lt;=RUNG_BEDS_2,2,1))</f>
        <v>1</v>
      </c>
      <c r="FC457" s="5">
        <f>MIN(1,MAX(0,$FB$26-($A457-1)))</f>
        <v>0</v>
      </c>
      <c r="FD457" s="5">
        <f>$FB$25*(FC457+(1-FC457)*$FB$16)</f>
        <v>0.0</v>
      </c>
      <c r="FE457" s="13">
        <f>FD457*($FB$6+ACUTE_MARGIN)</f>
        <v>0.0</v>
      </c>
      <c r="FF457" s="13">
        <f>IF(FB457=1,$FB$31,$FB$32)</f>
        <v>156636.04979437485</v>
      </c>
      <c r="FG457" s="13">
        <f>FE457-FF457</f>
        <v>-156636.04979437485</v>
      </c>
      <c r="FH457" s="13">
        <f>FH456+FG457</f>
        <v>-20352911.99482396</v>
      </c>
      <c r="FI457">
        <f>IF(FH457=MAX($FH$83:$FH$483),$A457,0)</f>
        <v>0</v>
      </c>
      <c r="FJ457">
        <f>IF(FE457&lt;FF457,$A457,B_MAX+1)</f>
        <v>374</v>
      </c>
      <c r="FK457" s="13">
        <f>IF(FB457=1,$FB$35,$FB$36)</f>
        <v>0</v>
      </c>
      <c r="FL457" s="13">
        <f>OCC_DAYS*$FB$41*R_NF_2023-FD457*MCD_SHARE_FREED*R_WAIT_2023</f>
        <v>151980.48282209205</v>
      </c>
      <c r="FM457">
        <f>IF($A457&lt;=$FB$45,1,0)</f>
        <v>0</v>
      </c>
      <c r="GB457">
        <f>IF($GB$31&lt;=$GB$32,IF($A457&lt;=$GB$7,1,2),IF($A457&lt;=RUNG_BEDS_2,2,1))</f>
        <v>1</v>
      </c>
      <c r="GC457" s="5">
        <f>MIN(1,MAX(0,$GB$26-($A457-1)))</f>
        <v>0</v>
      </c>
      <c r="GD457" s="5">
        <f>$GB$25*(GC457+(1-GC457)*$GB$16)</f>
        <v>0.0</v>
      </c>
      <c r="GE457" s="13">
        <f>GD457*($GB$6+ACUTE_MARGIN)</f>
        <v>0.0</v>
      </c>
      <c r="GF457" s="13">
        <f>IF(GB457=1,$GB$31,$GB$32)</f>
        <v>152394.16214437486</v>
      </c>
      <c r="GG457" s="13">
        <f>GE457-GF457</f>
        <v>-152394.16214437486</v>
      </c>
      <c r="GH457" s="13">
        <f>GH456+GG457</f>
        <v>-18766446.013723817</v>
      </c>
      <c r="GI457">
        <f>IF(GH457=MAX($GH$83:$GH$483),$A457,0)</f>
        <v>0</v>
      </c>
      <c r="GJ457">
        <f>IF(GE457&lt;GF457,$A457,B_MAX+1)</f>
        <v>374</v>
      </c>
      <c r="GK457" s="13">
        <f>IF(GB457=1,$GB$35,$GB$36)</f>
        <v>0</v>
      </c>
      <c r="GL457" s="13">
        <f>OCC_DAYS*$GB$41*R_NF_2023-GD457*MCD_SHARE_FREED*R_WAIT_2023</f>
        <v>151980.48282209205</v>
      </c>
      <c r="GM457">
        <f>IF($A457&lt;=$GB$45,1,0)</f>
        <v>0</v>
      </c>
      <c r="HB457">
        <f>IF($HB$31&lt;=$HB$32,IF($A457&lt;=$HB$7,1,2),IF($A457&lt;=RUNG_BEDS_2,2,1))</f>
        <v>1</v>
      </c>
      <c r="HC457" s="5">
        <f>MIN(1,MAX(0,$HB$26-($A457-1)))</f>
        <v>0</v>
      </c>
      <c r="HD457" s="5">
        <f>$HB$25*(HC457+(1-HC457)*$HB$16)</f>
        <v>0.0</v>
      </c>
      <c r="HE457" s="13">
        <f>HD457*($HB$6+ACUTE_MARGIN)</f>
        <v>0.0</v>
      </c>
      <c r="HF457" s="13">
        <f>IF(HB457=1,$HB$31,$HB$32)</f>
        <v>152456.2970814058</v>
      </c>
      <c r="HG457" s="13">
        <f>HE457-HF457</f>
        <v>-152456.2970814058</v>
      </c>
      <c r="HH457" s="13">
        <f>HH456+HG457</f>
        <v>-18789684.480173476</v>
      </c>
      <c r="HI457">
        <f>IF(HH457=MAX($HH$83:$HH$483),$A457,0)</f>
        <v>0</v>
      </c>
      <c r="HJ457">
        <f>IF(HE457&lt;HF457,$A457,B_MAX+1)</f>
        <v>374</v>
      </c>
      <c r="HK457" s="13">
        <f>IF(HB457=1,$HB$35,$HB$36)</f>
        <v>0</v>
      </c>
      <c r="HL457" s="13">
        <f>OCC_DAYS*$HB$41*R_NF_2023-HD457*MCD_SHARE_FREED*R_WAIT_2023</f>
        <v>151980.48282209205</v>
      </c>
      <c r="HM457">
        <f>IF($A457&lt;=$HB$45,1,0)</f>
        <v>0</v>
      </c>
      <c r="IB457">
        <f>IF($IB$31&lt;=$IB$32,IF($A457&lt;=$IB$7,1,2),IF($A457&lt;=RUNG_BEDS_2,2,1))</f>
        <v>1</v>
      </c>
      <c r="IC457" s="5">
        <f>MIN(1,MAX(0,$IB$26-($A457-1)))</f>
        <v>0</v>
      </c>
      <c r="ID457" s="5">
        <f>$IB$25*(IC457+(1-IC457)*$IB$16)</f>
        <v>0.0</v>
      </c>
      <c r="IE457" s="13">
        <f>ID457*($IB$6+ACUTE_MARGIN)</f>
        <v>0.0</v>
      </c>
      <c r="IF457" s="13">
        <f>IF(IB457=1,$IB$31,$IB$32)</f>
        <v>152734.9994534971</v>
      </c>
      <c r="IG457" s="13">
        <f>IE457-IF457</f>
        <v>-152734.9994534971</v>
      </c>
      <c r="IH457" s="13">
        <f>IH456+IG457</f>
        <v>-18893919.16733561</v>
      </c>
      <c r="II457">
        <f>IF(IH457=MAX($IH$83:$IH$483),$A457,0)</f>
        <v>0</v>
      </c>
      <c r="IJ457">
        <f>IF(IE457&lt;IF457,$A457,B_MAX+1)</f>
        <v>374</v>
      </c>
      <c r="IK457" s="13">
        <f>IF(IB457=1,$IB$35,$IB$36)</f>
        <v>0</v>
      </c>
      <c r="IL457" s="13">
        <f>OCC_DAYS*$IB$41*R_NF_2023-ID457*MCD_SHARE_FREED*R_WAIT_2023</f>
        <v>151980.48282209205</v>
      </c>
      <c r="IM457">
        <f>IF($A457&lt;=$IB$45,1,0)</f>
        <v>0</v>
      </c>
      <c r="JB457">
        <f>IF($JB$31&lt;=$JB$32,IF($A457&lt;=$JB$7,1,2),IF($A457&lt;=RUNG_BEDS_2,2,1))</f>
        <v>1</v>
      </c>
      <c r="JC457" s="5">
        <f>MIN(1,MAX(0,$JB$26-($A457-1)))</f>
        <v>0</v>
      </c>
      <c r="JD457" s="5">
        <f>$JB$25*(JC457+(1-JC457)*$JB$16)</f>
        <v>0.0</v>
      </c>
      <c r="JE457" s="13">
        <f>JD457*($JB$6+ACUTE_MARGIN)</f>
        <v>0.0</v>
      </c>
      <c r="JF457" s="13">
        <f>IF(JB457=1,$JB$31,$JB$32)</f>
        <v>152394.16214437486</v>
      </c>
      <c r="JG457" s="13">
        <f>JE457-JF457</f>
        <v>-152394.16214437486</v>
      </c>
      <c r="JH457" s="13">
        <f>JH456+JG457</f>
        <v>-18766446.013723817</v>
      </c>
      <c r="JI457">
        <f>IF(JH457=MAX($JH$83:$JH$483),$A457,0)</f>
        <v>0</v>
      </c>
      <c r="JJ457">
        <f>IF(JE457&lt;JF457,$A457,B_MAX+1)</f>
        <v>374</v>
      </c>
      <c r="JK457" s="13">
        <f>IF(JB457=1,$JB$35,$JB$36)</f>
        <v>0</v>
      </c>
      <c r="JL457" s="13">
        <f>OCC_DAYS*$JB$41*R_NF_2023-JD457*MCD_SHARE_FREED*R_WAIT_2023</f>
        <v>151980.48282209205</v>
      </c>
      <c r="JM457">
        <f>IF($A457&lt;=$JB$45,1,0)</f>
        <v>0</v>
      </c>
      <c r="KB457">
        <f>IF($KB$31&lt;=$KB$32,IF($A457&lt;=$KB$7,1,2),IF($A457&lt;=RUNG_BEDS_2,2,1))</f>
        <v>1</v>
      </c>
      <c r="KC457" s="5">
        <f>MIN(1,MAX(0,$KB$26-($A457-1)))</f>
        <v>0</v>
      </c>
      <c r="KD457" s="5">
        <f>$KB$25*(KC457+(1-KC457)*$KB$16)</f>
        <v>0.0</v>
      </c>
      <c r="KE457" s="13">
        <f>KD457*($KB$6+ACUTE_MARGIN)</f>
        <v>0.0</v>
      </c>
      <c r="KF457" s="13">
        <f>IF(KB457=1,$KB$31,$KB$32)</f>
        <v>152394.16214437486</v>
      </c>
      <c r="KG457" s="13">
        <f>KE457-KF457</f>
        <v>-152394.16214437486</v>
      </c>
      <c r="KH457" s="13">
        <f>KH456+KG457</f>
        <v>-18766446.013723925</v>
      </c>
      <c r="KI457">
        <f>IF(KH457=MAX($KH$83:$KH$483),$A457,0)</f>
        <v>0</v>
      </c>
      <c r="KJ457">
        <f>IF(KE457&lt;KF457,$A457,B_MAX+1)</f>
        <v>374</v>
      </c>
      <c r="KK457" s="13">
        <f>IF(KB457=1,$KB$35,$KB$36)</f>
        <v>0</v>
      </c>
      <c r="KL457" s="13">
        <f>OCC_DAYS*$KB$41*R_NF_2023-KD457*MCD_SHARE_FREED*R_WAIT_2023</f>
        <v>151980.48282209205</v>
      </c>
      <c r="KM457">
        <f>IF($A457&lt;=$KB$45,1,0)</f>
        <v>0</v>
      </c>
      <c r="LB457">
        <f>IF($LB$31&lt;=$LB$32,IF($A457&lt;=$LB$7,1,2),IF($A457&lt;=RUNG_BEDS_2,2,1))</f>
        <v>1</v>
      </c>
      <c r="LC457" s="5">
        <f>MIN(1,MAX(0,$LB$26-($A457-1)))</f>
        <v>1</v>
      </c>
      <c r="LD457" s="5">
        <f>$LB$25*(LC457+(1-LC457)*$LB$16)</f>
        <v>84.01774238227146</v>
      </c>
      <c r="LE457" s="13">
        <f>LD457*($LB$6+ACUTE_MARGIN)</f>
        <v>84857.91980609419</v>
      </c>
      <c r="LF457" s="13">
        <f>IF(LB457=1,$LB$31,$LB$32)</f>
        <v>152394.16214437486</v>
      </c>
      <c r="LG457" s="13">
        <f>LE457-LF457</f>
        <v>-67536.24233828067</v>
      </c>
      <c r="LH457" s="13">
        <f>LH456+LG457</f>
        <v>-25258554.63451711</v>
      </c>
      <c r="LI457">
        <f>IF(LH457=MAX($LH$83:$LH$483),$A457,0)</f>
        <v>0</v>
      </c>
      <c r="LJ457">
        <f>IF(LE457&lt;LF457,$A457,B_MAX+1)</f>
        <v>374</v>
      </c>
      <c r="LK457" s="13">
        <f>IF(LB457=1,$LB$35,$LB$36)</f>
        <v>0</v>
      </c>
      <c r="LL457" s="13">
        <f>OCC_DAYS*$LB$41*R_NF_2023-LD457*MCD_SHARE_FREED*R_WAIT_2023</f>
        <v>113776.04162887059</v>
      </c>
      <c r="LM457">
        <f>IF($A457&lt;=$LB$45,1,0)</f>
        <v>0</v>
      </c>
      <c r="MB457">
        <f>IF($MB$31&lt;=$MB$32,IF($A457&lt;=$MB$7,1,2),IF($A457&lt;=RUNG_BEDS_2,2,1))</f>
        <v>1</v>
      </c>
      <c r="MC457" s="5">
        <f>MIN(1,MAX(0,$MB$26-($A457-1)))</f>
        <v>0</v>
      </c>
      <c r="MD457" s="5">
        <f>$MB$25*(MC457+(1-MC457)*$MB$16)</f>
        <v>0.0</v>
      </c>
      <c r="ME457" s="13">
        <f>MD457*($MB$6+ACUTE_MARGIN)</f>
        <v>0.0</v>
      </c>
      <c r="MF457" s="13">
        <f>IF(MB457=1,$MB$31,$MB$32)</f>
        <v>152394.16214437486</v>
      </c>
      <c r="MG457" s="13">
        <f>ME457-MF457</f>
        <v>-152394.16214437486</v>
      </c>
      <c r="MH457" s="13">
        <f>MH456+MG457</f>
        <v>-24653722.075522117</v>
      </c>
      <c r="MI457">
        <f>IF(MH457=MAX($MH$83:$MH$483),$A457,0)</f>
        <v>0</v>
      </c>
      <c r="MJ457">
        <f>IF(ME457&lt;MF457,$A457,B_MAX+1)</f>
        <v>374</v>
      </c>
      <c r="MK457" s="13">
        <f>IF(MB457=1,$MB$35,$MB$36)</f>
        <v>0</v>
      </c>
      <c r="ML457" s="13">
        <f>OCC_DAYS*$MB$41*R_NF_2023-MD457*MCD_SHARE_FREED*R_WAIT_2023</f>
        <v>151980.48282209205</v>
      </c>
      <c r="MM457">
        <f>IF($A457&lt;=$MB$45,1,0)</f>
        <v>0</v>
      </c>
      <c r="NB457">
        <f>IF($NB$31&lt;=$NB$32,IF($A457&lt;=$NB$7,1,2),IF($A457&lt;=RUNG_BEDS_2,2,1))</f>
        <v>1</v>
      </c>
      <c r="NC457" s="5">
        <f>MIN(1,MAX(0,$NB$26-($A457-1)))</f>
        <v>0</v>
      </c>
      <c r="ND457" s="5">
        <f>$NB$25*(NC457+(1-NC457)*$NB$16)</f>
        <v>63.013306786703595</v>
      </c>
      <c r="NE457" s="13">
        <f>ND457*($NB$6+ACUTE_MARGIN)</f>
        <v>63643.43985457063</v>
      </c>
      <c r="NF457" s="13">
        <f>IF(NB457=1,$NB$31,$NB$32)</f>
        <v>152394.16214437486</v>
      </c>
      <c r="NG457" s="13">
        <f>NE457-NF457</f>
        <v>-88750.72228980422</v>
      </c>
      <c r="NH457" s="13">
        <f>NH456+NG457</f>
        <v>-4521042.16518256</v>
      </c>
      <c r="NI457">
        <f>IF(NH457=MAX($NH$83:$NH$483),$A457,0)</f>
        <v>0</v>
      </c>
      <c r="NJ457">
        <f>IF(NE457&lt;NF457,$A457,B_MAX+1)</f>
        <v>374</v>
      </c>
      <c r="NK457" s="13">
        <f>IF(NB457=1,$NB$35,$NB$36)</f>
        <v>0</v>
      </c>
      <c r="NL457" s="13">
        <f>OCC_DAYS*$NB$41*R_NF_2023-ND457*MCD_SHARE_FREED*R_WAIT_2023</f>
        <v>123327.15192717595</v>
      </c>
      <c r="NM457">
        <f>IF($A457&lt;=$NB$45,1,0)</f>
        <v>0</v>
      </c>
      <c r="OB457">
        <f>IF($OB$31&lt;=$OB$32,IF($A457&lt;=$OB$7,1,2),IF($A457&lt;=RUNG_BEDS_2,2,1))</f>
        <v>1</v>
      </c>
      <c r="OC457" s="5">
        <f>MIN(1,MAX(0,$OB$26-($A457-1)))</f>
        <v>0</v>
      </c>
      <c r="OD457" s="5">
        <f>$OB$25*(OC457+(1-OC457)*$OB$16)</f>
        <v>126.02661357340719</v>
      </c>
      <c r="OE457" s="13">
        <f>OD457*($OB$6+ACUTE_MARGIN)</f>
        <v>127286.87970914126</v>
      </c>
      <c r="OF457" s="13">
        <f>IF(OB457=1,$OB$31,$OB$32)</f>
        <v>152394.16214437486</v>
      </c>
      <c r="OG457" s="13">
        <f>OE457-OF457</f>
        <v>-25107.282435233603</v>
      </c>
      <c r="OH457" s="13">
        <f>OH456+OG457</f>
        <v>9724361.683359</v>
      </c>
      <c r="OI457">
        <f>IF(OH457=MAX($OH$83:$OH$483),$A457,0)</f>
        <v>0</v>
      </c>
      <c r="OJ457">
        <f>IF(OE457&lt;OF457,$A457,B_MAX+1)</f>
        <v>374</v>
      </c>
      <c r="OK457" s="13">
        <f>IF(OB457=1,$OB$35,$OB$36)</f>
        <v>0</v>
      </c>
      <c r="OL457" s="13">
        <f>OCC_DAYS*$OB$41*R_NF_2023-OD457*MCD_SHARE_FREED*R_WAIT_2023</f>
        <v>94673.82103225985</v>
      </c>
      <c r="OM457">
        <f>IF($A457&lt;=$OB$45,1,0)</f>
        <v>0</v>
      </c>
    </row>
    <row r="458">
      <c r="A458" t="n">
        <v>375</v>
      </c>
      <c r="B458">
        <f>IF($B$31&lt;=$B$32,IF($A458&lt;=$B$7,1,2),IF($A458&lt;=RUNG_BEDS_2,2,1))</f>
        <v>1</v>
      </c>
      <c r="C458" s="5">
        <f>MIN(1,MAX(0,$B$26-($A458-1)))</f>
        <v>0</v>
      </c>
      <c r="D458" s="5">
        <f>$B$25*(C458+(1-C458)*$B$16)</f>
        <v>0.0</v>
      </c>
      <c r="E458" s="13">
        <f>D458*($B$6+ACUTE_MARGIN)</f>
        <v>0.0</v>
      </c>
      <c r="F458" s="13">
        <f>IF(B458=1,$B$31,$B$32)</f>
        <v>152394.16214437486</v>
      </c>
      <c r="G458" s="13">
        <f>E458-F458</f>
        <v>-152394.16214437486</v>
      </c>
      <c r="H458" s="13">
        <f>H457+G458</f>
        <v>-18918840.17586819</v>
      </c>
      <c r="I458">
        <f>IF(H458=MAX($H$83:$H$483),$A458,0)</f>
        <v>0</v>
      </c>
      <c r="J458">
        <f>IF(E458&lt;F458,$A458,B_MAX+1)</f>
        <v>375</v>
      </c>
      <c r="K458" s="13">
        <f>IF(B458=1,$B$35,$B$36)</f>
        <v>0</v>
      </c>
      <c r="L458" s="13">
        <f>OCC_DAYS*$B$41*R_NF_2023-D458*MCD_SHARE_FREED*R_WAIT_2023</f>
        <v>151980.48282209205</v>
      </c>
      <c r="M458">
        <f>IF($A458&lt;=$B$45,1,0)</f>
        <v>0</v>
      </c>
      <c r="AB458">
        <f>IF($AB$31&lt;=$AB$32,IF($A458&lt;=$AB$7,1,2),IF($A458&lt;=RUNG_BEDS_2,2,1))</f>
        <v>1</v>
      </c>
      <c r="AC458" s="5">
        <f>MIN(1,MAX(0,$AB$26-($A458-1)))</f>
        <v>0</v>
      </c>
      <c r="AD458" s="5">
        <f>$AB$25*(AC458+(1-AC458)*$AB$16)</f>
        <v>0.0</v>
      </c>
      <c r="AE458" s="13">
        <f>AD458*($AB$6+ACUTE_MARGIN)</f>
        <v>0.0</v>
      </c>
      <c r="AF458" s="13">
        <f>IF(AB458=1,$AB$31,$AB$32)</f>
        <v>152394.16214437486</v>
      </c>
      <c r="AG458" s="13">
        <f>AE458-AF458</f>
        <v>-152394.16214437486</v>
      </c>
      <c r="AH458" s="13">
        <f>AH457+AG458</f>
        <v>-36330054.521418</v>
      </c>
      <c r="AI458">
        <f>IF(AH458=MAX($AH$83:$AH$483),$A458,0)</f>
        <v>0</v>
      </c>
      <c r="AJ458">
        <f>IF(AE458&lt;AF458,$A458,B_MAX+1)</f>
        <v>375</v>
      </c>
      <c r="AK458" s="13">
        <f>IF(AB458=1,$AB$35,$AB$36)</f>
        <v>0</v>
      </c>
      <c r="AL458" s="13">
        <f>OCC_DAYS*$AB$41*R_NF_2023-AD458*MCD_SHARE_FREED*R_WAIT_2023</f>
        <v>151980.48282209205</v>
      </c>
      <c r="AM458">
        <f>IF($A458&lt;=$AB$45,1,0)</f>
        <v>0</v>
      </c>
      <c r="BB458">
        <f>IF($BB$31&lt;=$BB$32,IF($A458&lt;=$BB$7,1,2),IF($A458&lt;=RUNG_BEDS_2,2,1))</f>
        <v>1</v>
      </c>
      <c r="BC458" s="5">
        <f>MIN(1,MAX(0,$BB$26-($A458-1)))</f>
        <v>0</v>
      </c>
      <c r="BD458" s="5">
        <f>$BB$25*(BC458+(1-BC458)*$BB$16)</f>
        <v>0.0</v>
      </c>
      <c r="BE458" s="13">
        <f>BD458*($BB$6+ACUTE_MARGIN)</f>
        <v>0.0</v>
      </c>
      <c r="BF458" s="13">
        <f>IF(BB458=1,$BB$31,$BB$32)</f>
        <v>152394.16214437486</v>
      </c>
      <c r="BG458" s="13">
        <f>BE458-BF458</f>
        <v>-152394.16214437486</v>
      </c>
      <c r="BH458" s="13">
        <f>BH457+BG458</f>
        <v>-1507625.8303184877</v>
      </c>
      <c r="BI458">
        <f>IF(BH458=MAX($BH$83:$BH$483),$A458,0)</f>
        <v>0</v>
      </c>
      <c r="BJ458">
        <f>IF(BE458&lt;BF458,$A458,B_MAX+1)</f>
        <v>375</v>
      </c>
      <c r="BK458" s="13">
        <f>IF(BB458=1,$BB$35,$BB$36)</f>
        <v>0</v>
      </c>
      <c r="BL458" s="13">
        <f>OCC_DAYS*$BB$41*R_NF_2023-BD458*MCD_SHARE_FREED*R_WAIT_2023</f>
        <v>151980.48282209205</v>
      </c>
      <c r="BM458">
        <f>IF($A458&lt;=$BB$45,1,0)</f>
        <v>0</v>
      </c>
      <c r="CB458">
        <f>IF($CB$31&lt;=$CB$32,IF($A458&lt;=$CB$7,1,2),IF($A458&lt;=RUNG_BEDS_2,2,1))</f>
        <v>2</v>
      </c>
      <c r="CC458" s="5">
        <f>MIN(1,MAX(0,$CB$26-($A458-1)))</f>
        <v>0</v>
      </c>
      <c r="CD458" s="5">
        <f>$CB$25*(CC458+(1-CC458)*$CB$16)</f>
        <v>0.0</v>
      </c>
      <c r="CE458" s="13">
        <f>CD458*($CB$6+ACUTE_MARGIN)</f>
        <v>0.0</v>
      </c>
      <c r="CF458" s="13">
        <f>IF(CB458=1,$CB$31,$CB$32)</f>
        <v>160718.36940738867</v>
      </c>
      <c r="CG458" s="13">
        <f>CE458-CF458</f>
        <v>-160718.36940738867</v>
      </c>
      <c r="CH458" s="13">
        <f>CH457+CG458</f>
        <v>-22040417.89949858</v>
      </c>
      <c r="CI458">
        <f>IF(CH458=MAX($CH$83:$CH$483),$A458,0)</f>
        <v>0</v>
      </c>
      <c r="CJ458">
        <f>IF(CE458&lt;CF458,$A458,B_MAX+1)</f>
        <v>375</v>
      </c>
      <c r="CK458" s="13">
        <f>IF(CB458=1,$CB$35,$CB$36)</f>
        <v>1560.1194073886782</v>
      </c>
      <c r="CL458" s="13">
        <f>OCC_DAYS*$CB$41*R_NF_2023-CD458*MCD_SHARE_FREED*R_WAIT_2023</f>
        <v>151980.48282209205</v>
      </c>
      <c r="CM458">
        <f>IF($A458&lt;=$CB$45,1,0)</f>
        <v>0</v>
      </c>
      <c r="DB458">
        <f>IF($DB$31&lt;=$DB$32,IF($A458&lt;=$DB$7,1,2),IF($A458&lt;=RUNG_BEDS_2,2,1))</f>
        <v>1</v>
      </c>
      <c r="DC458" s="5">
        <f>MIN(1,MAX(0,$DB$26-($A458-1)))</f>
        <v>0</v>
      </c>
      <c r="DD458" s="5">
        <f>$DB$25*(DC458+(1-DC458)*$DB$16)</f>
        <v>0.0</v>
      </c>
      <c r="DE458" s="13">
        <f>DD458*($DB$6+ACUTE_MARGIN)</f>
        <v>0.0</v>
      </c>
      <c r="DF458" s="13">
        <f>IF(DB458=1,$DB$31,$DB$32)</f>
        <v>152394.16214437486</v>
      </c>
      <c r="DG458" s="13">
        <f>DE458-DF458</f>
        <v>-152394.16214437486</v>
      </c>
      <c r="DH458" s="13">
        <f>DH457+DG458</f>
        <v>-18918840.17586819</v>
      </c>
      <c r="DI458">
        <f>IF(DH458=MAX($DH$83:$DH$483),$A458,0)</f>
        <v>0</v>
      </c>
      <c r="DJ458">
        <f>IF(DE458&lt;DF458,$A458,B_MAX+1)</f>
        <v>375</v>
      </c>
      <c r="DK458" s="13">
        <f>IF(DB458=1,$DB$35,$DB$36)</f>
        <v>0</v>
      </c>
      <c r="DL458" s="13">
        <f>OCC_DAYS*$DB$41*R_NF_2023-DD458*MCD_SHARE_FREED*R_WAIT_2023</f>
        <v>151980.48282209205</v>
      </c>
      <c r="DM458">
        <f>IF($A458&lt;=$DB$45,1,0)</f>
        <v>0</v>
      </c>
      <c r="EB458">
        <f>IF($EB$31&lt;=$EB$32,IF($A458&lt;=$EB$7,1,2),IF($A458&lt;=RUNG_BEDS_2,2,1))</f>
        <v>1</v>
      </c>
      <c r="EC458" s="5">
        <f>MIN(1,MAX(0,$EB$26-($A458-1)))</f>
        <v>0</v>
      </c>
      <c r="ED458" s="5">
        <f>$EB$25*(EC458+(1-EC458)*$EB$16)</f>
        <v>0.0</v>
      </c>
      <c r="EE458" s="13">
        <f>ED458*($EB$6+ACUTE_MARGIN)</f>
        <v>0.0</v>
      </c>
      <c r="EF458" s="13">
        <f>IF(EB458=1,$EB$31,$EB$32)</f>
        <v>152394.16214437486</v>
      </c>
      <c r="EG458" s="13">
        <f>EE458-EF458</f>
        <v>-152394.16214437486</v>
      </c>
      <c r="EH458" s="13">
        <f>EH457+EG458</f>
        <v>-18918840.17586819</v>
      </c>
      <c r="EI458">
        <f>IF(EH458=MAX($EH$83:$EH$483),$A458,0)</f>
        <v>0</v>
      </c>
      <c r="EJ458">
        <f>IF(EE458&lt;EF458,$A458,B_MAX+1)</f>
        <v>375</v>
      </c>
      <c r="EK458" s="13">
        <f>IF(EB458=1,$EB$35,$EB$36)</f>
        <v>0</v>
      </c>
      <c r="EL458" s="13">
        <f>OCC_DAYS*$EB$41*R_NF_2023-ED458*MCD_SHARE_FREED*R_WAIT_2023</f>
        <v>50660.16094069735</v>
      </c>
      <c r="EM458">
        <f>IF($A458&lt;=$EB$45,1,0)</f>
        <v>0</v>
      </c>
      <c r="FB458">
        <f>IF($FB$31&lt;=$FB$32,IF($A458&lt;=$FB$7,1,2),IF($A458&lt;=RUNG_BEDS_2,2,1))</f>
        <v>1</v>
      </c>
      <c r="FC458" s="5">
        <f>MIN(1,MAX(0,$FB$26-($A458-1)))</f>
        <v>0</v>
      </c>
      <c r="FD458" s="5">
        <f>$FB$25*(FC458+(1-FC458)*$FB$16)</f>
        <v>0.0</v>
      </c>
      <c r="FE458" s="13">
        <f>FD458*($FB$6+ACUTE_MARGIN)</f>
        <v>0.0</v>
      </c>
      <c r="FF458" s="13">
        <f>IF(FB458=1,$FB$31,$FB$32)</f>
        <v>156636.04979437485</v>
      </c>
      <c r="FG458" s="13">
        <f>FE458-FF458</f>
        <v>-156636.04979437485</v>
      </c>
      <c r="FH458" s="13">
        <f>FH457+FG458</f>
        <v>-20509548.044618335</v>
      </c>
      <c r="FI458">
        <f>IF(FH458=MAX($FH$83:$FH$483),$A458,0)</f>
        <v>0</v>
      </c>
      <c r="FJ458">
        <f>IF(FE458&lt;FF458,$A458,B_MAX+1)</f>
        <v>375</v>
      </c>
      <c r="FK458" s="13">
        <f>IF(FB458=1,$FB$35,$FB$36)</f>
        <v>0</v>
      </c>
      <c r="FL458" s="13">
        <f>OCC_DAYS*$FB$41*R_NF_2023-FD458*MCD_SHARE_FREED*R_WAIT_2023</f>
        <v>151980.48282209205</v>
      </c>
      <c r="FM458">
        <f>IF($A458&lt;=$FB$45,1,0)</f>
        <v>0</v>
      </c>
      <c r="GB458">
        <f>IF($GB$31&lt;=$GB$32,IF($A458&lt;=$GB$7,1,2),IF($A458&lt;=RUNG_BEDS_2,2,1))</f>
        <v>1</v>
      </c>
      <c r="GC458" s="5">
        <f>MIN(1,MAX(0,$GB$26-($A458-1)))</f>
        <v>0</v>
      </c>
      <c r="GD458" s="5">
        <f>$GB$25*(GC458+(1-GC458)*$GB$16)</f>
        <v>0.0</v>
      </c>
      <c r="GE458" s="13">
        <f>GD458*($GB$6+ACUTE_MARGIN)</f>
        <v>0.0</v>
      </c>
      <c r="GF458" s="13">
        <f>IF(GB458=1,$GB$31,$GB$32)</f>
        <v>152394.16214437486</v>
      </c>
      <c r="GG458" s="13">
        <f>GE458-GF458</f>
        <v>-152394.16214437486</v>
      </c>
      <c r="GH458" s="13">
        <f>GH457+GG458</f>
        <v>-18918840.17586819</v>
      </c>
      <c r="GI458">
        <f>IF(GH458=MAX($GH$83:$GH$483),$A458,0)</f>
        <v>0</v>
      </c>
      <c r="GJ458">
        <f>IF(GE458&lt;GF458,$A458,B_MAX+1)</f>
        <v>375</v>
      </c>
      <c r="GK458" s="13">
        <f>IF(GB458=1,$GB$35,$GB$36)</f>
        <v>0</v>
      </c>
      <c r="GL458" s="13">
        <f>OCC_DAYS*$GB$41*R_NF_2023-GD458*MCD_SHARE_FREED*R_WAIT_2023</f>
        <v>151980.48282209205</v>
      </c>
      <c r="GM458">
        <f>IF($A458&lt;=$GB$45,1,0)</f>
        <v>0</v>
      </c>
      <c r="HB458">
        <f>IF($HB$31&lt;=$HB$32,IF($A458&lt;=$HB$7,1,2),IF($A458&lt;=RUNG_BEDS_2,2,1))</f>
        <v>1</v>
      </c>
      <c r="HC458" s="5">
        <f>MIN(1,MAX(0,$HB$26-($A458-1)))</f>
        <v>0</v>
      </c>
      <c r="HD458" s="5">
        <f>$HB$25*(HC458+(1-HC458)*$HB$16)</f>
        <v>0.0</v>
      </c>
      <c r="HE458" s="13">
        <f>HD458*($HB$6+ACUTE_MARGIN)</f>
        <v>0.0</v>
      </c>
      <c r="HF458" s="13">
        <f>IF(HB458=1,$HB$31,$HB$32)</f>
        <v>152456.2970814058</v>
      </c>
      <c r="HG458" s="13">
        <f>HE458-HF458</f>
        <v>-152456.2970814058</v>
      </c>
      <c r="HH458" s="13">
        <f>HH457+HG458</f>
        <v>-18942140.777254883</v>
      </c>
      <c r="HI458">
        <f>IF(HH458=MAX($HH$83:$HH$483),$A458,0)</f>
        <v>0</v>
      </c>
      <c r="HJ458">
        <f>IF(HE458&lt;HF458,$A458,B_MAX+1)</f>
        <v>375</v>
      </c>
      <c r="HK458" s="13">
        <f>IF(HB458=1,$HB$35,$HB$36)</f>
        <v>0</v>
      </c>
      <c r="HL458" s="13">
        <f>OCC_DAYS*$HB$41*R_NF_2023-HD458*MCD_SHARE_FREED*R_WAIT_2023</f>
        <v>151980.48282209205</v>
      </c>
      <c r="HM458">
        <f>IF($A458&lt;=$HB$45,1,0)</f>
        <v>0</v>
      </c>
      <c r="IB458">
        <f>IF($IB$31&lt;=$IB$32,IF($A458&lt;=$IB$7,1,2),IF($A458&lt;=RUNG_BEDS_2,2,1))</f>
        <v>1</v>
      </c>
      <c r="IC458" s="5">
        <f>MIN(1,MAX(0,$IB$26-($A458-1)))</f>
        <v>0</v>
      </c>
      <c r="ID458" s="5">
        <f>$IB$25*(IC458+(1-IC458)*$IB$16)</f>
        <v>0.0</v>
      </c>
      <c r="IE458" s="13">
        <f>ID458*($IB$6+ACUTE_MARGIN)</f>
        <v>0.0</v>
      </c>
      <c r="IF458" s="13">
        <f>IF(IB458=1,$IB$31,$IB$32)</f>
        <v>152734.9994534971</v>
      </c>
      <c r="IG458" s="13">
        <f>IE458-IF458</f>
        <v>-152734.9994534971</v>
      </c>
      <c r="IH458" s="13">
        <f>IH457+IG458</f>
        <v>-19046654.166789107</v>
      </c>
      <c r="II458">
        <f>IF(IH458=MAX($IH$83:$IH$483),$A458,0)</f>
        <v>0</v>
      </c>
      <c r="IJ458">
        <f>IF(IE458&lt;IF458,$A458,B_MAX+1)</f>
        <v>375</v>
      </c>
      <c r="IK458" s="13">
        <f>IF(IB458=1,$IB$35,$IB$36)</f>
        <v>0</v>
      </c>
      <c r="IL458" s="13">
        <f>OCC_DAYS*$IB$41*R_NF_2023-ID458*MCD_SHARE_FREED*R_WAIT_2023</f>
        <v>151980.48282209205</v>
      </c>
      <c r="IM458">
        <f>IF($A458&lt;=$IB$45,1,0)</f>
        <v>0</v>
      </c>
      <c r="JB458">
        <f>IF($JB$31&lt;=$JB$32,IF($A458&lt;=$JB$7,1,2),IF($A458&lt;=RUNG_BEDS_2,2,1))</f>
        <v>1</v>
      </c>
      <c r="JC458" s="5">
        <f>MIN(1,MAX(0,$JB$26-($A458-1)))</f>
        <v>0</v>
      </c>
      <c r="JD458" s="5">
        <f>$JB$25*(JC458+(1-JC458)*$JB$16)</f>
        <v>0.0</v>
      </c>
      <c r="JE458" s="13">
        <f>JD458*($JB$6+ACUTE_MARGIN)</f>
        <v>0.0</v>
      </c>
      <c r="JF458" s="13">
        <f>IF(JB458=1,$JB$31,$JB$32)</f>
        <v>152394.16214437486</v>
      </c>
      <c r="JG458" s="13">
        <f>JE458-JF458</f>
        <v>-152394.16214437486</v>
      </c>
      <c r="JH458" s="13">
        <f>JH457+JG458</f>
        <v>-18918840.17586819</v>
      </c>
      <c r="JI458">
        <f>IF(JH458=MAX($JH$83:$JH$483),$A458,0)</f>
        <v>0</v>
      </c>
      <c r="JJ458">
        <f>IF(JE458&lt;JF458,$A458,B_MAX+1)</f>
        <v>375</v>
      </c>
      <c r="JK458" s="13">
        <f>IF(JB458=1,$JB$35,$JB$36)</f>
        <v>0</v>
      </c>
      <c r="JL458" s="13">
        <f>OCC_DAYS*$JB$41*R_NF_2023-JD458*MCD_SHARE_FREED*R_WAIT_2023</f>
        <v>151980.48282209205</v>
      </c>
      <c r="JM458">
        <f>IF($A458&lt;=$JB$45,1,0)</f>
        <v>0</v>
      </c>
      <c r="KB458">
        <f>IF($KB$31&lt;=$KB$32,IF($A458&lt;=$KB$7,1,2),IF($A458&lt;=RUNG_BEDS_2,2,1))</f>
        <v>1</v>
      </c>
      <c r="KC458" s="5">
        <f>MIN(1,MAX(0,$KB$26-($A458-1)))</f>
        <v>0</v>
      </c>
      <c r="KD458" s="5">
        <f>$KB$25*(KC458+(1-KC458)*$KB$16)</f>
        <v>0.0</v>
      </c>
      <c r="KE458" s="13">
        <f>KD458*($KB$6+ACUTE_MARGIN)</f>
        <v>0.0</v>
      </c>
      <c r="KF458" s="13">
        <f>IF(KB458=1,$KB$31,$KB$32)</f>
        <v>152394.16214437486</v>
      </c>
      <c r="KG458" s="13">
        <f>KE458-KF458</f>
        <v>-152394.16214437486</v>
      </c>
      <c r="KH458" s="13">
        <f>KH457+KG458</f>
        <v>-18918840.1758683</v>
      </c>
      <c r="KI458">
        <f>IF(KH458=MAX($KH$83:$KH$483),$A458,0)</f>
        <v>0</v>
      </c>
      <c r="KJ458">
        <f>IF(KE458&lt;KF458,$A458,B_MAX+1)</f>
        <v>375</v>
      </c>
      <c r="KK458" s="13">
        <f>IF(KB458=1,$KB$35,$KB$36)</f>
        <v>0</v>
      </c>
      <c r="KL458" s="13">
        <f>OCC_DAYS*$KB$41*R_NF_2023-KD458*MCD_SHARE_FREED*R_WAIT_2023</f>
        <v>151980.48282209205</v>
      </c>
      <c r="KM458">
        <f>IF($A458&lt;=$KB$45,1,0)</f>
        <v>0</v>
      </c>
      <c r="LB458">
        <f>IF($LB$31&lt;=$LB$32,IF($A458&lt;=$LB$7,1,2),IF($A458&lt;=RUNG_BEDS_2,2,1))</f>
        <v>1</v>
      </c>
      <c r="LC458" s="5">
        <f>MIN(1,MAX(0,$LB$26-($A458-1)))</f>
        <v>1</v>
      </c>
      <c r="LD458" s="5">
        <f>$LB$25*(LC458+(1-LC458)*$LB$16)</f>
        <v>84.01774238227146</v>
      </c>
      <c r="LE458" s="13">
        <f>LD458*($LB$6+ACUTE_MARGIN)</f>
        <v>84857.91980609419</v>
      </c>
      <c r="LF458" s="13">
        <f>IF(LB458=1,$LB$31,$LB$32)</f>
        <v>152394.16214437486</v>
      </c>
      <c r="LG458" s="13">
        <f>LE458-LF458</f>
        <v>-67536.24233828067</v>
      </c>
      <c r="LH458" s="13">
        <f>LH457+LG458</f>
        <v>-25326090.876855392</v>
      </c>
      <c r="LI458">
        <f>IF(LH458=MAX($LH$83:$LH$483),$A458,0)</f>
        <v>0</v>
      </c>
      <c r="LJ458">
        <f>IF(LE458&lt;LF458,$A458,B_MAX+1)</f>
        <v>375</v>
      </c>
      <c r="LK458" s="13">
        <f>IF(LB458=1,$LB$35,$LB$36)</f>
        <v>0</v>
      </c>
      <c r="LL458" s="13">
        <f>OCC_DAYS*$LB$41*R_NF_2023-LD458*MCD_SHARE_FREED*R_WAIT_2023</f>
        <v>113776.04162887059</v>
      </c>
      <c r="LM458">
        <f>IF($A458&lt;=$LB$45,1,0)</f>
        <v>0</v>
      </c>
      <c r="MB458">
        <f>IF($MB$31&lt;=$MB$32,IF($A458&lt;=$MB$7,1,2),IF($A458&lt;=RUNG_BEDS_2,2,1))</f>
        <v>1</v>
      </c>
      <c r="MC458" s="5">
        <f>MIN(1,MAX(0,$MB$26-($A458-1)))</f>
        <v>0</v>
      </c>
      <c r="MD458" s="5">
        <f>$MB$25*(MC458+(1-MC458)*$MB$16)</f>
        <v>0.0</v>
      </c>
      <c r="ME458" s="13">
        <f>MD458*($MB$6+ACUTE_MARGIN)</f>
        <v>0.0</v>
      </c>
      <c r="MF458" s="13">
        <f>IF(MB458=1,$MB$31,$MB$32)</f>
        <v>152394.16214437486</v>
      </c>
      <c r="MG458" s="13">
        <f>ME458-MF458</f>
        <v>-152394.16214437486</v>
      </c>
      <c r="MH458" s="13">
        <f>MH457+MG458</f>
        <v>-24806116.23766649</v>
      </c>
      <c r="MI458">
        <f>IF(MH458=MAX($MH$83:$MH$483),$A458,0)</f>
        <v>0</v>
      </c>
      <c r="MJ458">
        <f>IF(ME458&lt;MF458,$A458,B_MAX+1)</f>
        <v>375</v>
      </c>
      <c r="MK458" s="13">
        <f>IF(MB458=1,$MB$35,$MB$36)</f>
        <v>0</v>
      </c>
      <c r="ML458" s="13">
        <f>OCC_DAYS*$MB$41*R_NF_2023-MD458*MCD_SHARE_FREED*R_WAIT_2023</f>
        <v>151980.48282209205</v>
      </c>
      <c r="MM458">
        <f>IF($A458&lt;=$MB$45,1,0)</f>
        <v>0</v>
      </c>
      <c r="NB458">
        <f>IF($NB$31&lt;=$NB$32,IF($A458&lt;=$NB$7,1,2),IF($A458&lt;=RUNG_BEDS_2,2,1))</f>
        <v>1</v>
      </c>
      <c r="NC458" s="5">
        <f>MIN(1,MAX(0,$NB$26-($A458-1)))</f>
        <v>0</v>
      </c>
      <c r="ND458" s="5">
        <f>$NB$25*(NC458+(1-NC458)*$NB$16)</f>
        <v>63.013306786703595</v>
      </c>
      <c r="NE458" s="13">
        <f>ND458*($NB$6+ACUTE_MARGIN)</f>
        <v>63643.43985457063</v>
      </c>
      <c r="NF458" s="13">
        <f>IF(NB458=1,$NB$31,$NB$32)</f>
        <v>152394.16214437486</v>
      </c>
      <c r="NG458" s="13">
        <f>NE458-NF458</f>
        <v>-88750.72228980422</v>
      </c>
      <c r="NH458" s="13">
        <f>NH457+NG458</f>
        <v>-4609792.887472364</v>
      </c>
      <c r="NI458">
        <f>IF(NH458=MAX($NH$83:$NH$483),$A458,0)</f>
        <v>0</v>
      </c>
      <c r="NJ458">
        <f>IF(NE458&lt;NF458,$A458,B_MAX+1)</f>
        <v>375</v>
      </c>
      <c r="NK458" s="13">
        <f>IF(NB458=1,$NB$35,$NB$36)</f>
        <v>0</v>
      </c>
      <c r="NL458" s="13">
        <f>OCC_DAYS*$NB$41*R_NF_2023-ND458*MCD_SHARE_FREED*R_WAIT_2023</f>
        <v>123327.15192717595</v>
      </c>
      <c r="NM458">
        <f>IF($A458&lt;=$NB$45,1,0)</f>
        <v>0</v>
      </c>
      <c r="OB458">
        <f>IF($OB$31&lt;=$OB$32,IF($A458&lt;=$OB$7,1,2),IF($A458&lt;=RUNG_BEDS_2,2,1))</f>
        <v>1</v>
      </c>
      <c r="OC458" s="5">
        <f>MIN(1,MAX(0,$OB$26-($A458-1)))</f>
        <v>0</v>
      </c>
      <c r="OD458" s="5">
        <f>$OB$25*(OC458+(1-OC458)*$OB$16)</f>
        <v>126.02661357340719</v>
      </c>
      <c r="OE458" s="13">
        <f>OD458*($OB$6+ACUTE_MARGIN)</f>
        <v>127286.87970914126</v>
      </c>
      <c r="OF458" s="13">
        <f>IF(OB458=1,$OB$31,$OB$32)</f>
        <v>152394.16214437486</v>
      </c>
      <c r="OG458" s="13">
        <f>OE458-OF458</f>
        <v>-25107.282435233603</v>
      </c>
      <c r="OH458" s="13">
        <f>OH457+OG458</f>
        <v>9699254.400923768</v>
      </c>
      <c r="OI458">
        <f>IF(OH458=MAX($OH$83:$OH$483),$A458,0)</f>
        <v>0</v>
      </c>
      <c r="OJ458">
        <f>IF(OE458&lt;OF458,$A458,B_MAX+1)</f>
        <v>375</v>
      </c>
      <c r="OK458" s="13">
        <f>IF(OB458=1,$OB$35,$OB$36)</f>
        <v>0</v>
      </c>
      <c r="OL458" s="13">
        <f>OCC_DAYS*$OB$41*R_NF_2023-OD458*MCD_SHARE_FREED*R_WAIT_2023</f>
        <v>94673.82103225985</v>
      </c>
      <c r="OM458">
        <f>IF($A458&lt;=$OB$45,1,0)</f>
        <v>0</v>
      </c>
    </row>
    <row r="459">
      <c r="A459" t="n">
        <v>376</v>
      </c>
      <c r="B459">
        <f>IF($B$31&lt;=$B$32,IF($A459&lt;=$B$7,1,2),IF($A459&lt;=RUNG_BEDS_2,2,1))</f>
        <v>1</v>
      </c>
      <c r="C459" s="5">
        <f>MIN(1,MAX(0,$B$26-($A459-1)))</f>
        <v>0</v>
      </c>
      <c r="D459" s="5">
        <f>$B$25*(C459+(1-C459)*$B$16)</f>
        <v>0.0</v>
      </c>
      <c r="E459" s="13">
        <f>D459*($B$6+ACUTE_MARGIN)</f>
        <v>0.0</v>
      </c>
      <c r="F459" s="13">
        <f>IF(B459=1,$B$31,$B$32)</f>
        <v>152394.16214437486</v>
      </c>
      <c r="G459" s="13">
        <f>E459-F459</f>
        <v>-152394.16214437486</v>
      </c>
      <c r="H459" s="13">
        <f>H458+G459</f>
        <v>-19071234.338012565</v>
      </c>
      <c r="I459">
        <f>IF(H459=MAX($H$83:$H$483),$A459,0)</f>
        <v>0</v>
      </c>
      <c r="J459">
        <f>IF(E459&lt;F459,$A459,B_MAX+1)</f>
        <v>376</v>
      </c>
      <c r="K459" s="13">
        <f>IF(B459=1,$B$35,$B$36)</f>
        <v>0</v>
      </c>
      <c r="L459" s="13">
        <f>OCC_DAYS*$B$41*R_NF_2023-D459*MCD_SHARE_FREED*R_WAIT_2023</f>
        <v>151980.48282209205</v>
      </c>
      <c r="M459">
        <f>IF($A459&lt;=$B$45,1,0)</f>
        <v>0</v>
      </c>
      <c r="AB459">
        <f>IF($AB$31&lt;=$AB$32,IF($A459&lt;=$AB$7,1,2),IF($A459&lt;=RUNG_BEDS_2,2,1))</f>
        <v>1</v>
      </c>
      <c r="AC459" s="5">
        <f>MIN(1,MAX(0,$AB$26-($A459-1)))</f>
        <v>0</v>
      </c>
      <c r="AD459" s="5">
        <f>$AB$25*(AC459+(1-AC459)*$AB$16)</f>
        <v>0.0</v>
      </c>
      <c r="AE459" s="13">
        <f>AD459*($AB$6+ACUTE_MARGIN)</f>
        <v>0.0</v>
      </c>
      <c r="AF459" s="13">
        <f>IF(AB459=1,$AB$31,$AB$32)</f>
        <v>152394.16214437486</v>
      </c>
      <c r="AG459" s="13">
        <f>AE459-AF459</f>
        <v>-152394.16214437486</v>
      </c>
      <c r="AH459" s="13">
        <f>AH458+AG459</f>
        <v>-36482448.683562376</v>
      </c>
      <c r="AI459">
        <f>IF(AH459=MAX($AH$83:$AH$483),$A459,0)</f>
        <v>0</v>
      </c>
      <c r="AJ459">
        <f>IF(AE459&lt;AF459,$A459,B_MAX+1)</f>
        <v>376</v>
      </c>
      <c r="AK459" s="13">
        <f>IF(AB459=1,$AB$35,$AB$36)</f>
        <v>0</v>
      </c>
      <c r="AL459" s="13">
        <f>OCC_DAYS*$AB$41*R_NF_2023-AD459*MCD_SHARE_FREED*R_WAIT_2023</f>
        <v>151980.48282209205</v>
      </c>
      <c r="AM459">
        <f>IF($A459&lt;=$AB$45,1,0)</f>
        <v>0</v>
      </c>
      <c r="BB459">
        <f>IF($BB$31&lt;=$BB$32,IF($A459&lt;=$BB$7,1,2),IF($A459&lt;=RUNG_BEDS_2,2,1))</f>
        <v>1</v>
      </c>
      <c r="BC459" s="5">
        <f>MIN(1,MAX(0,$BB$26-($A459-1)))</f>
        <v>0</v>
      </c>
      <c r="BD459" s="5">
        <f>$BB$25*(BC459+(1-BC459)*$BB$16)</f>
        <v>0.0</v>
      </c>
      <c r="BE459" s="13">
        <f>BD459*($BB$6+ACUTE_MARGIN)</f>
        <v>0.0</v>
      </c>
      <c r="BF459" s="13">
        <f>IF(BB459=1,$BB$31,$BB$32)</f>
        <v>152394.16214437486</v>
      </c>
      <c r="BG459" s="13">
        <f>BE459-BF459</f>
        <v>-152394.16214437486</v>
      </c>
      <c r="BH459" s="13">
        <f>BH458+BG459</f>
        <v>-1660019.9924628625</v>
      </c>
      <c r="BI459">
        <f>IF(BH459=MAX($BH$83:$BH$483),$A459,0)</f>
        <v>0</v>
      </c>
      <c r="BJ459">
        <f>IF(BE459&lt;BF459,$A459,B_MAX+1)</f>
        <v>376</v>
      </c>
      <c r="BK459" s="13">
        <f>IF(BB459=1,$BB$35,$BB$36)</f>
        <v>0</v>
      </c>
      <c r="BL459" s="13">
        <f>OCC_DAYS*$BB$41*R_NF_2023-BD459*MCD_SHARE_FREED*R_WAIT_2023</f>
        <v>151980.48282209205</v>
      </c>
      <c r="BM459">
        <f>IF($A459&lt;=$BB$45,1,0)</f>
        <v>0</v>
      </c>
      <c r="CB459">
        <f>IF($CB$31&lt;=$CB$32,IF($A459&lt;=$CB$7,1,2),IF($A459&lt;=RUNG_BEDS_2,2,1))</f>
        <v>2</v>
      </c>
      <c r="CC459" s="5">
        <f>MIN(1,MAX(0,$CB$26-($A459-1)))</f>
        <v>0</v>
      </c>
      <c r="CD459" s="5">
        <f>$CB$25*(CC459+(1-CC459)*$CB$16)</f>
        <v>0.0</v>
      </c>
      <c r="CE459" s="13">
        <f>CD459*($CB$6+ACUTE_MARGIN)</f>
        <v>0.0</v>
      </c>
      <c r="CF459" s="13">
        <f>IF(CB459=1,$CB$31,$CB$32)</f>
        <v>160718.36940738867</v>
      </c>
      <c r="CG459" s="13">
        <f>CE459-CF459</f>
        <v>-160718.36940738867</v>
      </c>
      <c r="CH459" s="13">
        <f>CH458+CG459</f>
        <v>-22201136.268905967</v>
      </c>
      <c r="CI459">
        <f>IF(CH459=MAX($CH$83:$CH$483),$A459,0)</f>
        <v>0</v>
      </c>
      <c r="CJ459">
        <f>IF(CE459&lt;CF459,$A459,B_MAX+1)</f>
        <v>376</v>
      </c>
      <c r="CK459" s="13">
        <f>IF(CB459=1,$CB$35,$CB$36)</f>
        <v>1560.1194073886782</v>
      </c>
      <c r="CL459" s="13">
        <f>OCC_DAYS*$CB$41*R_NF_2023-CD459*MCD_SHARE_FREED*R_WAIT_2023</f>
        <v>151980.48282209205</v>
      </c>
      <c r="CM459">
        <f>IF($A459&lt;=$CB$45,1,0)</f>
        <v>0</v>
      </c>
      <c r="DB459">
        <f>IF($DB$31&lt;=$DB$32,IF($A459&lt;=$DB$7,1,2),IF($A459&lt;=RUNG_BEDS_2,2,1))</f>
        <v>1</v>
      </c>
      <c r="DC459" s="5">
        <f>MIN(1,MAX(0,$DB$26-($A459-1)))</f>
        <v>0</v>
      </c>
      <c r="DD459" s="5">
        <f>$DB$25*(DC459+(1-DC459)*$DB$16)</f>
        <v>0.0</v>
      </c>
      <c r="DE459" s="13">
        <f>DD459*($DB$6+ACUTE_MARGIN)</f>
        <v>0.0</v>
      </c>
      <c r="DF459" s="13">
        <f>IF(DB459=1,$DB$31,$DB$32)</f>
        <v>152394.16214437486</v>
      </c>
      <c r="DG459" s="13">
        <f>DE459-DF459</f>
        <v>-152394.16214437486</v>
      </c>
      <c r="DH459" s="13">
        <f>DH458+DG459</f>
        <v>-19071234.338012565</v>
      </c>
      <c r="DI459">
        <f>IF(DH459=MAX($DH$83:$DH$483),$A459,0)</f>
        <v>0</v>
      </c>
      <c r="DJ459">
        <f>IF(DE459&lt;DF459,$A459,B_MAX+1)</f>
        <v>376</v>
      </c>
      <c r="DK459" s="13">
        <f>IF(DB459=1,$DB$35,$DB$36)</f>
        <v>0</v>
      </c>
      <c r="DL459" s="13">
        <f>OCC_DAYS*$DB$41*R_NF_2023-DD459*MCD_SHARE_FREED*R_WAIT_2023</f>
        <v>151980.48282209205</v>
      </c>
      <c r="DM459">
        <f>IF($A459&lt;=$DB$45,1,0)</f>
        <v>0</v>
      </c>
      <c r="EB459">
        <f>IF($EB$31&lt;=$EB$32,IF($A459&lt;=$EB$7,1,2),IF($A459&lt;=RUNG_BEDS_2,2,1))</f>
        <v>1</v>
      </c>
      <c r="EC459" s="5">
        <f>MIN(1,MAX(0,$EB$26-($A459-1)))</f>
        <v>0</v>
      </c>
      <c r="ED459" s="5">
        <f>$EB$25*(EC459+(1-EC459)*$EB$16)</f>
        <v>0.0</v>
      </c>
      <c r="EE459" s="13">
        <f>ED459*($EB$6+ACUTE_MARGIN)</f>
        <v>0.0</v>
      </c>
      <c r="EF459" s="13">
        <f>IF(EB459=1,$EB$31,$EB$32)</f>
        <v>152394.16214437486</v>
      </c>
      <c r="EG459" s="13">
        <f>EE459-EF459</f>
        <v>-152394.16214437486</v>
      </c>
      <c r="EH459" s="13">
        <f>EH458+EG459</f>
        <v>-19071234.338012565</v>
      </c>
      <c r="EI459">
        <f>IF(EH459=MAX($EH$83:$EH$483),$A459,0)</f>
        <v>0</v>
      </c>
      <c r="EJ459">
        <f>IF(EE459&lt;EF459,$A459,B_MAX+1)</f>
        <v>376</v>
      </c>
      <c r="EK459" s="13">
        <f>IF(EB459=1,$EB$35,$EB$36)</f>
        <v>0</v>
      </c>
      <c r="EL459" s="13">
        <f>OCC_DAYS*$EB$41*R_NF_2023-ED459*MCD_SHARE_FREED*R_WAIT_2023</f>
        <v>50660.16094069735</v>
      </c>
      <c r="EM459">
        <f>IF($A459&lt;=$EB$45,1,0)</f>
        <v>0</v>
      </c>
      <c r="FB459">
        <f>IF($FB$31&lt;=$FB$32,IF($A459&lt;=$FB$7,1,2),IF($A459&lt;=RUNG_BEDS_2,2,1))</f>
        <v>1</v>
      </c>
      <c r="FC459" s="5">
        <f>MIN(1,MAX(0,$FB$26-($A459-1)))</f>
        <v>0</v>
      </c>
      <c r="FD459" s="5">
        <f>$FB$25*(FC459+(1-FC459)*$FB$16)</f>
        <v>0.0</v>
      </c>
      <c r="FE459" s="13">
        <f>FD459*($FB$6+ACUTE_MARGIN)</f>
        <v>0.0</v>
      </c>
      <c r="FF459" s="13">
        <f>IF(FB459=1,$FB$31,$FB$32)</f>
        <v>156636.04979437485</v>
      </c>
      <c r="FG459" s="13">
        <f>FE459-FF459</f>
        <v>-156636.04979437485</v>
      </c>
      <c r="FH459" s="13">
        <f>FH458+FG459</f>
        <v>-20666184.09441271</v>
      </c>
      <c r="FI459">
        <f>IF(FH459=MAX($FH$83:$FH$483),$A459,0)</f>
        <v>0</v>
      </c>
      <c r="FJ459">
        <f>IF(FE459&lt;FF459,$A459,B_MAX+1)</f>
        <v>376</v>
      </c>
      <c r="FK459" s="13">
        <f>IF(FB459=1,$FB$35,$FB$36)</f>
        <v>0</v>
      </c>
      <c r="FL459" s="13">
        <f>OCC_DAYS*$FB$41*R_NF_2023-FD459*MCD_SHARE_FREED*R_WAIT_2023</f>
        <v>151980.48282209205</v>
      </c>
      <c r="FM459">
        <f>IF($A459&lt;=$FB$45,1,0)</f>
        <v>0</v>
      </c>
      <c r="GB459">
        <f>IF($GB$31&lt;=$GB$32,IF($A459&lt;=$GB$7,1,2),IF($A459&lt;=RUNG_BEDS_2,2,1))</f>
        <v>1</v>
      </c>
      <c r="GC459" s="5">
        <f>MIN(1,MAX(0,$GB$26-($A459-1)))</f>
        <v>0</v>
      </c>
      <c r="GD459" s="5">
        <f>$GB$25*(GC459+(1-GC459)*$GB$16)</f>
        <v>0.0</v>
      </c>
      <c r="GE459" s="13">
        <f>GD459*($GB$6+ACUTE_MARGIN)</f>
        <v>0.0</v>
      </c>
      <c r="GF459" s="13">
        <f>IF(GB459=1,$GB$31,$GB$32)</f>
        <v>152394.16214437486</v>
      </c>
      <c r="GG459" s="13">
        <f>GE459-GF459</f>
        <v>-152394.16214437486</v>
      </c>
      <c r="GH459" s="13">
        <f>GH458+GG459</f>
        <v>-19071234.338012565</v>
      </c>
      <c r="GI459">
        <f>IF(GH459=MAX($GH$83:$GH$483),$A459,0)</f>
        <v>0</v>
      </c>
      <c r="GJ459">
        <f>IF(GE459&lt;GF459,$A459,B_MAX+1)</f>
        <v>376</v>
      </c>
      <c r="GK459" s="13">
        <f>IF(GB459=1,$GB$35,$GB$36)</f>
        <v>0</v>
      </c>
      <c r="GL459" s="13">
        <f>OCC_DAYS*$GB$41*R_NF_2023-GD459*MCD_SHARE_FREED*R_WAIT_2023</f>
        <v>151980.48282209205</v>
      </c>
      <c r="GM459">
        <f>IF($A459&lt;=$GB$45,1,0)</f>
        <v>0</v>
      </c>
      <c r="HB459">
        <f>IF($HB$31&lt;=$HB$32,IF($A459&lt;=$HB$7,1,2),IF($A459&lt;=RUNG_BEDS_2,2,1))</f>
        <v>1</v>
      </c>
      <c r="HC459" s="5">
        <f>MIN(1,MAX(0,$HB$26-($A459-1)))</f>
        <v>0</v>
      </c>
      <c r="HD459" s="5">
        <f>$HB$25*(HC459+(1-HC459)*$HB$16)</f>
        <v>0.0</v>
      </c>
      <c r="HE459" s="13">
        <f>HD459*($HB$6+ACUTE_MARGIN)</f>
        <v>0.0</v>
      </c>
      <c r="HF459" s="13">
        <f>IF(HB459=1,$HB$31,$HB$32)</f>
        <v>152456.2970814058</v>
      </c>
      <c r="HG459" s="13">
        <f>HE459-HF459</f>
        <v>-152456.2970814058</v>
      </c>
      <c r="HH459" s="13">
        <f>HH458+HG459</f>
        <v>-19094597.07433629</v>
      </c>
      <c r="HI459">
        <f>IF(HH459=MAX($HH$83:$HH$483),$A459,0)</f>
        <v>0</v>
      </c>
      <c r="HJ459">
        <f>IF(HE459&lt;HF459,$A459,B_MAX+1)</f>
        <v>376</v>
      </c>
      <c r="HK459" s="13">
        <f>IF(HB459=1,$HB$35,$HB$36)</f>
        <v>0</v>
      </c>
      <c r="HL459" s="13">
        <f>OCC_DAYS*$HB$41*R_NF_2023-HD459*MCD_SHARE_FREED*R_WAIT_2023</f>
        <v>151980.48282209205</v>
      </c>
      <c r="HM459">
        <f>IF($A459&lt;=$HB$45,1,0)</f>
        <v>0</v>
      </c>
      <c r="IB459">
        <f>IF($IB$31&lt;=$IB$32,IF($A459&lt;=$IB$7,1,2),IF($A459&lt;=RUNG_BEDS_2,2,1))</f>
        <v>1</v>
      </c>
      <c r="IC459" s="5">
        <f>MIN(1,MAX(0,$IB$26-($A459-1)))</f>
        <v>0</v>
      </c>
      <c r="ID459" s="5">
        <f>$IB$25*(IC459+(1-IC459)*$IB$16)</f>
        <v>0.0</v>
      </c>
      <c r="IE459" s="13">
        <f>ID459*($IB$6+ACUTE_MARGIN)</f>
        <v>0.0</v>
      </c>
      <c r="IF459" s="13">
        <f>IF(IB459=1,$IB$31,$IB$32)</f>
        <v>152734.9994534971</v>
      </c>
      <c r="IG459" s="13">
        <f>IE459-IF459</f>
        <v>-152734.9994534971</v>
      </c>
      <c r="IH459" s="13">
        <f>IH458+IG459</f>
        <v>-19199389.166242603</v>
      </c>
      <c r="II459">
        <f>IF(IH459=MAX($IH$83:$IH$483),$A459,0)</f>
        <v>0</v>
      </c>
      <c r="IJ459">
        <f>IF(IE459&lt;IF459,$A459,B_MAX+1)</f>
        <v>376</v>
      </c>
      <c r="IK459" s="13">
        <f>IF(IB459=1,$IB$35,$IB$36)</f>
        <v>0</v>
      </c>
      <c r="IL459" s="13">
        <f>OCC_DAYS*$IB$41*R_NF_2023-ID459*MCD_SHARE_FREED*R_WAIT_2023</f>
        <v>151980.48282209205</v>
      </c>
      <c r="IM459">
        <f>IF($A459&lt;=$IB$45,1,0)</f>
        <v>0</v>
      </c>
      <c r="JB459">
        <f>IF($JB$31&lt;=$JB$32,IF($A459&lt;=$JB$7,1,2),IF($A459&lt;=RUNG_BEDS_2,2,1))</f>
        <v>1</v>
      </c>
      <c r="JC459" s="5">
        <f>MIN(1,MAX(0,$JB$26-($A459-1)))</f>
        <v>0</v>
      </c>
      <c r="JD459" s="5">
        <f>$JB$25*(JC459+(1-JC459)*$JB$16)</f>
        <v>0.0</v>
      </c>
      <c r="JE459" s="13">
        <f>JD459*($JB$6+ACUTE_MARGIN)</f>
        <v>0.0</v>
      </c>
      <c r="JF459" s="13">
        <f>IF(JB459=1,$JB$31,$JB$32)</f>
        <v>152394.16214437486</v>
      </c>
      <c r="JG459" s="13">
        <f>JE459-JF459</f>
        <v>-152394.16214437486</v>
      </c>
      <c r="JH459" s="13">
        <f>JH458+JG459</f>
        <v>-19071234.338012565</v>
      </c>
      <c r="JI459">
        <f>IF(JH459=MAX($JH$83:$JH$483),$A459,0)</f>
        <v>0</v>
      </c>
      <c r="JJ459">
        <f>IF(JE459&lt;JF459,$A459,B_MAX+1)</f>
        <v>376</v>
      </c>
      <c r="JK459" s="13">
        <f>IF(JB459=1,$JB$35,$JB$36)</f>
        <v>0</v>
      </c>
      <c r="JL459" s="13">
        <f>OCC_DAYS*$JB$41*R_NF_2023-JD459*MCD_SHARE_FREED*R_WAIT_2023</f>
        <v>151980.48282209205</v>
      </c>
      <c r="JM459">
        <f>IF($A459&lt;=$JB$45,1,0)</f>
        <v>0</v>
      </c>
      <c r="KB459">
        <f>IF($KB$31&lt;=$KB$32,IF($A459&lt;=$KB$7,1,2),IF($A459&lt;=RUNG_BEDS_2,2,1))</f>
        <v>1</v>
      </c>
      <c r="KC459" s="5">
        <f>MIN(1,MAX(0,$KB$26-($A459-1)))</f>
        <v>0</v>
      </c>
      <c r="KD459" s="5">
        <f>$KB$25*(KC459+(1-KC459)*$KB$16)</f>
        <v>0.0</v>
      </c>
      <c r="KE459" s="13">
        <f>KD459*($KB$6+ACUTE_MARGIN)</f>
        <v>0.0</v>
      </c>
      <c r="KF459" s="13">
        <f>IF(KB459=1,$KB$31,$KB$32)</f>
        <v>152394.16214437486</v>
      </c>
      <c r="KG459" s="13">
        <f>KE459-KF459</f>
        <v>-152394.16214437486</v>
      </c>
      <c r="KH459" s="13">
        <f>KH458+KG459</f>
        <v>-19071234.338012673</v>
      </c>
      <c r="KI459">
        <f>IF(KH459=MAX($KH$83:$KH$483),$A459,0)</f>
        <v>0</v>
      </c>
      <c r="KJ459">
        <f>IF(KE459&lt;KF459,$A459,B_MAX+1)</f>
        <v>376</v>
      </c>
      <c r="KK459" s="13">
        <f>IF(KB459=1,$KB$35,$KB$36)</f>
        <v>0</v>
      </c>
      <c r="KL459" s="13">
        <f>OCC_DAYS*$KB$41*R_NF_2023-KD459*MCD_SHARE_FREED*R_WAIT_2023</f>
        <v>151980.48282209205</v>
      </c>
      <c r="KM459">
        <f>IF($A459&lt;=$KB$45,1,0)</f>
        <v>0</v>
      </c>
      <c r="LB459">
        <f>IF($LB$31&lt;=$LB$32,IF($A459&lt;=$LB$7,1,2),IF($A459&lt;=RUNG_BEDS_2,2,1))</f>
        <v>1</v>
      </c>
      <c r="LC459" s="5">
        <f>MIN(1,MAX(0,$LB$26-($A459-1)))</f>
        <v>1</v>
      </c>
      <c r="LD459" s="5">
        <f>$LB$25*(LC459+(1-LC459)*$LB$16)</f>
        <v>84.01774238227146</v>
      </c>
      <c r="LE459" s="13">
        <f>LD459*($LB$6+ACUTE_MARGIN)</f>
        <v>84857.91980609419</v>
      </c>
      <c r="LF459" s="13">
        <f>IF(LB459=1,$LB$31,$LB$32)</f>
        <v>152394.16214437486</v>
      </c>
      <c r="LG459" s="13">
        <f>LE459-LF459</f>
        <v>-67536.24233828067</v>
      </c>
      <c r="LH459" s="13">
        <f>LH458+LG459</f>
        <v>-25393627.119193673</v>
      </c>
      <c r="LI459">
        <f>IF(LH459=MAX($LH$83:$LH$483),$A459,0)</f>
        <v>0</v>
      </c>
      <c r="LJ459">
        <f>IF(LE459&lt;LF459,$A459,B_MAX+1)</f>
        <v>376</v>
      </c>
      <c r="LK459" s="13">
        <f>IF(LB459=1,$LB$35,$LB$36)</f>
        <v>0</v>
      </c>
      <c r="LL459" s="13">
        <f>OCC_DAYS*$LB$41*R_NF_2023-LD459*MCD_SHARE_FREED*R_WAIT_2023</f>
        <v>113776.04162887059</v>
      </c>
      <c r="LM459">
        <f>IF($A459&lt;=$LB$45,1,0)</f>
        <v>0</v>
      </c>
      <c r="MB459">
        <f>IF($MB$31&lt;=$MB$32,IF($A459&lt;=$MB$7,1,2),IF($A459&lt;=RUNG_BEDS_2,2,1))</f>
        <v>1</v>
      </c>
      <c r="MC459" s="5">
        <f>MIN(1,MAX(0,$MB$26-($A459-1)))</f>
        <v>0</v>
      </c>
      <c r="MD459" s="5">
        <f>$MB$25*(MC459+(1-MC459)*$MB$16)</f>
        <v>0.0</v>
      </c>
      <c r="ME459" s="13">
        <f>MD459*($MB$6+ACUTE_MARGIN)</f>
        <v>0.0</v>
      </c>
      <c r="MF459" s="13">
        <f>IF(MB459=1,$MB$31,$MB$32)</f>
        <v>152394.16214437486</v>
      </c>
      <c r="MG459" s="13">
        <f>ME459-MF459</f>
        <v>-152394.16214437486</v>
      </c>
      <c r="MH459" s="13">
        <f>MH458+MG459</f>
        <v>-24958510.399810866</v>
      </c>
      <c r="MI459">
        <f>IF(MH459=MAX($MH$83:$MH$483),$A459,0)</f>
        <v>0</v>
      </c>
      <c r="MJ459">
        <f>IF(ME459&lt;MF459,$A459,B_MAX+1)</f>
        <v>376</v>
      </c>
      <c r="MK459" s="13">
        <f>IF(MB459=1,$MB$35,$MB$36)</f>
        <v>0</v>
      </c>
      <c r="ML459" s="13">
        <f>OCC_DAYS*$MB$41*R_NF_2023-MD459*MCD_SHARE_FREED*R_WAIT_2023</f>
        <v>151980.48282209205</v>
      </c>
      <c r="MM459">
        <f>IF($A459&lt;=$MB$45,1,0)</f>
        <v>0</v>
      </c>
      <c r="NB459">
        <f>IF($NB$31&lt;=$NB$32,IF($A459&lt;=$NB$7,1,2),IF($A459&lt;=RUNG_BEDS_2,2,1))</f>
        <v>1</v>
      </c>
      <c r="NC459" s="5">
        <f>MIN(1,MAX(0,$NB$26-($A459-1)))</f>
        <v>0</v>
      </c>
      <c r="ND459" s="5">
        <f>$NB$25*(NC459+(1-NC459)*$NB$16)</f>
        <v>63.013306786703595</v>
      </c>
      <c r="NE459" s="13">
        <f>ND459*($NB$6+ACUTE_MARGIN)</f>
        <v>63643.43985457063</v>
      </c>
      <c r="NF459" s="13">
        <f>IF(NB459=1,$NB$31,$NB$32)</f>
        <v>152394.16214437486</v>
      </c>
      <c r="NG459" s="13">
        <f>NE459-NF459</f>
        <v>-88750.72228980422</v>
      </c>
      <c r="NH459" s="13">
        <f>NH458+NG459</f>
        <v>-4698543.6097621685</v>
      </c>
      <c r="NI459">
        <f>IF(NH459=MAX($NH$83:$NH$483),$A459,0)</f>
        <v>0</v>
      </c>
      <c r="NJ459">
        <f>IF(NE459&lt;NF459,$A459,B_MAX+1)</f>
        <v>376</v>
      </c>
      <c r="NK459" s="13">
        <f>IF(NB459=1,$NB$35,$NB$36)</f>
        <v>0</v>
      </c>
      <c r="NL459" s="13">
        <f>OCC_DAYS*$NB$41*R_NF_2023-ND459*MCD_SHARE_FREED*R_WAIT_2023</f>
        <v>123327.15192717595</v>
      </c>
      <c r="NM459">
        <f>IF($A459&lt;=$NB$45,1,0)</f>
        <v>0</v>
      </c>
      <c r="OB459">
        <f>IF($OB$31&lt;=$OB$32,IF($A459&lt;=$OB$7,1,2),IF($A459&lt;=RUNG_BEDS_2,2,1))</f>
        <v>1</v>
      </c>
      <c r="OC459" s="5">
        <f>MIN(1,MAX(0,$OB$26-($A459-1)))</f>
        <v>0</v>
      </c>
      <c r="OD459" s="5">
        <f>$OB$25*(OC459+(1-OC459)*$OB$16)</f>
        <v>126.02661357340719</v>
      </c>
      <c r="OE459" s="13">
        <f>OD459*($OB$6+ACUTE_MARGIN)</f>
        <v>127286.87970914126</v>
      </c>
      <c r="OF459" s="13">
        <f>IF(OB459=1,$OB$31,$OB$32)</f>
        <v>152394.16214437486</v>
      </c>
      <c r="OG459" s="13">
        <f>OE459-OF459</f>
        <v>-25107.282435233603</v>
      </c>
      <c r="OH459" s="13">
        <f>OH458+OG459</f>
        <v>9674147.118488535</v>
      </c>
      <c r="OI459">
        <f>IF(OH459=MAX($OH$83:$OH$483),$A459,0)</f>
        <v>0</v>
      </c>
      <c r="OJ459">
        <f>IF(OE459&lt;OF459,$A459,B_MAX+1)</f>
        <v>376</v>
      </c>
      <c r="OK459" s="13">
        <f>IF(OB459=1,$OB$35,$OB$36)</f>
        <v>0</v>
      </c>
      <c r="OL459" s="13">
        <f>OCC_DAYS*$OB$41*R_NF_2023-OD459*MCD_SHARE_FREED*R_WAIT_2023</f>
        <v>94673.82103225985</v>
      </c>
      <c r="OM459">
        <f>IF($A459&lt;=$OB$45,1,0)</f>
        <v>0</v>
      </c>
    </row>
    <row r="460">
      <c r="A460" t="n">
        <v>377</v>
      </c>
      <c r="B460">
        <f>IF($B$31&lt;=$B$32,IF($A460&lt;=$B$7,1,2),IF($A460&lt;=RUNG_BEDS_2,2,1))</f>
        <v>1</v>
      </c>
      <c r="C460" s="5">
        <f>MIN(1,MAX(0,$B$26-($A460-1)))</f>
        <v>0</v>
      </c>
      <c r="D460" s="5">
        <f>$B$25*(C460+(1-C460)*$B$16)</f>
        <v>0.0</v>
      </c>
      <c r="E460" s="13">
        <f>D460*($B$6+ACUTE_MARGIN)</f>
        <v>0.0</v>
      </c>
      <c r="F460" s="13">
        <f>IF(B460=1,$B$31,$B$32)</f>
        <v>152394.16214437486</v>
      </c>
      <c r="G460" s="13">
        <f>E460-F460</f>
        <v>-152394.16214437486</v>
      </c>
      <c r="H460" s="13">
        <f>H459+G460</f>
        <v>-19223628.50015694</v>
      </c>
      <c r="I460">
        <f>IF(H460=MAX($H$83:$H$483),$A460,0)</f>
        <v>0</v>
      </c>
      <c r="J460">
        <f>IF(E460&lt;F460,$A460,B_MAX+1)</f>
        <v>377</v>
      </c>
      <c r="K460" s="13">
        <f>IF(B460=1,$B$35,$B$36)</f>
        <v>0</v>
      </c>
      <c r="L460" s="13">
        <f>OCC_DAYS*$B$41*R_NF_2023-D460*MCD_SHARE_FREED*R_WAIT_2023</f>
        <v>151980.48282209205</v>
      </c>
      <c r="M460">
        <f>IF($A460&lt;=$B$45,1,0)</f>
        <v>0</v>
      </c>
      <c r="AB460">
        <f>IF($AB$31&lt;=$AB$32,IF($A460&lt;=$AB$7,1,2),IF($A460&lt;=RUNG_BEDS_2,2,1))</f>
        <v>1</v>
      </c>
      <c r="AC460" s="5">
        <f>MIN(1,MAX(0,$AB$26-($A460-1)))</f>
        <v>0</v>
      </c>
      <c r="AD460" s="5">
        <f>$AB$25*(AC460+(1-AC460)*$AB$16)</f>
        <v>0.0</v>
      </c>
      <c r="AE460" s="13">
        <f>AD460*($AB$6+ACUTE_MARGIN)</f>
        <v>0.0</v>
      </c>
      <c r="AF460" s="13">
        <f>IF(AB460=1,$AB$31,$AB$32)</f>
        <v>152394.16214437486</v>
      </c>
      <c r="AG460" s="13">
        <f>AE460-AF460</f>
        <v>-152394.16214437486</v>
      </c>
      <c r="AH460" s="13">
        <f>AH459+AG460</f>
        <v>-36634842.84570675</v>
      </c>
      <c r="AI460">
        <f>IF(AH460=MAX($AH$83:$AH$483),$A460,0)</f>
        <v>0</v>
      </c>
      <c r="AJ460">
        <f>IF(AE460&lt;AF460,$A460,B_MAX+1)</f>
        <v>377</v>
      </c>
      <c r="AK460" s="13">
        <f>IF(AB460=1,$AB$35,$AB$36)</f>
        <v>0</v>
      </c>
      <c r="AL460" s="13">
        <f>OCC_DAYS*$AB$41*R_NF_2023-AD460*MCD_SHARE_FREED*R_WAIT_2023</f>
        <v>151980.48282209205</v>
      </c>
      <c r="AM460">
        <f>IF($A460&lt;=$AB$45,1,0)</f>
        <v>0</v>
      </c>
      <c r="BB460">
        <f>IF($BB$31&lt;=$BB$32,IF($A460&lt;=$BB$7,1,2),IF($A460&lt;=RUNG_BEDS_2,2,1))</f>
        <v>1</v>
      </c>
      <c r="BC460" s="5">
        <f>MIN(1,MAX(0,$BB$26-($A460-1)))</f>
        <v>0</v>
      </c>
      <c r="BD460" s="5">
        <f>$BB$25*(BC460+(1-BC460)*$BB$16)</f>
        <v>0.0</v>
      </c>
      <c r="BE460" s="13">
        <f>BD460*($BB$6+ACUTE_MARGIN)</f>
        <v>0.0</v>
      </c>
      <c r="BF460" s="13">
        <f>IF(BB460=1,$BB$31,$BB$32)</f>
        <v>152394.16214437486</v>
      </c>
      <c r="BG460" s="13">
        <f>BE460-BF460</f>
        <v>-152394.16214437486</v>
      </c>
      <c r="BH460" s="13">
        <f>BH459+BG460</f>
        <v>-1812414.1546072373</v>
      </c>
      <c r="BI460">
        <f>IF(BH460=MAX($BH$83:$BH$483),$A460,0)</f>
        <v>0</v>
      </c>
      <c r="BJ460">
        <f>IF(BE460&lt;BF460,$A460,B_MAX+1)</f>
        <v>377</v>
      </c>
      <c r="BK460" s="13">
        <f>IF(BB460=1,$BB$35,$BB$36)</f>
        <v>0</v>
      </c>
      <c r="BL460" s="13">
        <f>OCC_DAYS*$BB$41*R_NF_2023-BD460*MCD_SHARE_FREED*R_WAIT_2023</f>
        <v>151980.48282209205</v>
      </c>
      <c r="BM460">
        <f>IF($A460&lt;=$BB$45,1,0)</f>
        <v>0</v>
      </c>
      <c r="CB460">
        <f>IF($CB$31&lt;=$CB$32,IF($A460&lt;=$CB$7,1,2),IF($A460&lt;=RUNG_BEDS_2,2,1))</f>
        <v>2</v>
      </c>
      <c r="CC460" s="5">
        <f>MIN(1,MAX(0,$CB$26-($A460-1)))</f>
        <v>0</v>
      </c>
      <c r="CD460" s="5">
        <f>$CB$25*(CC460+(1-CC460)*$CB$16)</f>
        <v>0.0</v>
      </c>
      <c r="CE460" s="13">
        <f>CD460*($CB$6+ACUTE_MARGIN)</f>
        <v>0.0</v>
      </c>
      <c r="CF460" s="13">
        <f>IF(CB460=1,$CB$31,$CB$32)</f>
        <v>160718.36940738867</v>
      </c>
      <c r="CG460" s="13">
        <f>CE460-CF460</f>
        <v>-160718.36940738867</v>
      </c>
      <c r="CH460" s="13">
        <f>CH459+CG460</f>
        <v>-22361854.638313357</v>
      </c>
      <c r="CI460">
        <f>IF(CH460=MAX($CH$83:$CH$483),$A460,0)</f>
        <v>0</v>
      </c>
      <c r="CJ460">
        <f>IF(CE460&lt;CF460,$A460,B_MAX+1)</f>
        <v>377</v>
      </c>
      <c r="CK460" s="13">
        <f>IF(CB460=1,$CB$35,$CB$36)</f>
        <v>1560.1194073886782</v>
      </c>
      <c r="CL460" s="13">
        <f>OCC_DAYS*$CB$41*R_NF_2023-CD460*MCD_SHARE_FREED*R_WAIT_2023</f>
        <v>151980.48282209205</v>
      </c>
      <c r="CM460">
        <f>IF($A460&lt;=$CB$45,1,0)</f>
        <v>0</v>
      </c>
      <c r="DB460">
        <f>IF($DB$31&lt;=$DB$32,IF($A460&lt;=$DB$7,1,2),IF($A460&lt;=RUNG_BEDS_2,2,1))</f>
        <v>1</v>
      </c>
      <c r="DC460" s="5">
        <f>MIN(1,MAX(0,$DB$26-($A460-1)))</f>
        <v>0</v>
      </c>
      <c r="DD460" s="5">
        <f>$DB$25*(DC460+(1-DC460)*$DB$16)</f>
        <v>0.0</v>
      </c>
      <c r="DE460" s="13">
        <f>DD460*($DB$6+ACUTE_MARGIN)</f>
        <v>0.0</v>
      </c>
      <c r="DF460" s="13">
        <f>IF(DB460=1,$DB$31,$DB$32)</f>
        <v>152394.16214437486</v>
      </c>
      <c r="DG460" s="13">
        <f>DE460-DF460</f>
        <v>-152394.16214437486</v>
      </c>
      <c r="DH460" s="13">
        <f>DH459+DG460</f>
        <v>-19223628.50015694</v>
      </c>
      <c r="DI460">
        <f>IF(DH460=MAX($DH$83:$DH$483),$A460,0)</f>
        <v>0</v>
      </c>
      <c r="DJ460">
        <f>IF(DE460&lt;DF460,$A460,B_MAX+1)</f>
        <v>377</v>
      </c>
      <c r="DK460" s="13">
        <f>IF(DB460=1,$DB$35,$DB$36)</f>
        <v>0</v>
      </c>
      <c r="DL460" s="13">
        <f>OCC_DAYS*$DB$41*R_NF_2023-DD460*MCD_SHARE_FREED*R_WAIT_2023</f>
        <v>151980.48282209205</v>
      </c>
      <c r="DM460">
        <f>IF($A460&lt;=$DB$45,1,0)</f>
        <v>0</v>
      </c>
      <c r="EB460">
        <f>IF($EB$31&lt;=$EB$32,IF($A460&lt;=$EB$7,1,2),IF($A460&lt;=RUNG_BEDS_2,2,1))</f>
        <v>1</v>
      </c>
      <c r="EC460" s="5">
        <f>MIN(1,MAX(0,$EB$26-($A460-1)))</f>
        <v>0</v>
      </c>
      <c r="ED460" s="5">
        <f>$EB$25*(EC460+(1-EC460)*$EB$16)</f>
        <v>0.0</v>
      </c>
      <c r="EE460" s="13">
        <f>ED460*($EB$6+ACUTE_MARGIN)</f>
        <v>0.0</v>
      </c>
      <c r="EF460" s="13">
        <f>IF(EB460=1,$EB$31,$EB$32)</f>
        <v>152394.16214437486</v>
      </c>
      <c r="EG460" s="13">
        <f>EE460-EF460</f>
        <v>-152394.16214437486</v>
      </c>
      <c r="EH460" s="13">
        <f>EH459+EG460</f>
        <v>-19223628.50015694</v>
      </c>
      <c r="EI460">
        <f>IF(EH460=MAX($EH$83:$EH$483),$A460,0)</f>
        <v>0</v>
      </c>
      <c r="EJ460">
        <f>IF(EE460&lt;EF460,$A460,B_MAX+1)</f>
        <v>377</v>
      </c>
      <c r="EK460" s="13">
        <f>IF(EB460=1,$EB$35,$EB$36)</f>
        <v>0</v>
      </c>
      <c r="EL460" s="13">
        <f>OCC_DAYS*$EB$41*R_NF_2023-ED460*MCD_SHARE_FREED*R_WAIT_2023</f>
        <v>50660.16094069735</v>
      </c>
      <c r="EM460">
        <f>IF($A460&lt;=$EB$45,1,0)</f>
        <v>0</v>
      </c>
      <c r="FB460">
        <f>IF($FB$31&lt;=$FB$32,IF($A460&lt;=$FB$7,1,2),IF($A460&lt;=RUNG_BEDS_2,2,1))</f>
        <v>1</v>
      </c>
      <c r="FC460" s="5">
        <f>MIN(1,MAX(0,$FB$26-($A460-1)))</f>
        <v>0</v>
      </c>
      <c r="FD460" s="5">
        <f>$FB$25*(FC460+(1-FC460)*$FB$16)</f>
        <v>0.0</v>
      </c>
      <c r="FE460" s="13">
        <f>FD460*($FB$6+ACUTE_MARGIN)</f>
        <v>0.0</v>
      </c>
      <c r="FF460" s="13">
        <f>IF(FB460=1,$FB$31,$FB$32)</f>
        <v>156636.04979437485</v>
      </c>
      <c r="FG460" s="13">
        <f>FE460-FF460</f>
        <v>-156636.04979437485</v>
      </c>
      <c r="FH460" s="13">
        <f>FH459+FG460</f>
        <v>-20822820.144207086</v>
      </c>
      <c r="FI460">
        <f>IF(FH460=MAX($FH$83:$FH$483),$A460,0)</f>
        <v>0</v>
      </c>
      <c r="FJ460">
        <f>IF(FE460&lt;FF460,$A460,B_MAX+1)</f>
        <v>377</v>
      </c>
      <c r="FK460" s="13">
        <f>IF(FB460=1,$FB$35,$FB$36)</f>
        <v>0</v>
      </c>
      <c r="FL460" s="13">
        <f>OCC_DAYS*$FB$41*R_NF_2023-FD460*MCD_SHARE_FREED*R_WAIT_2023</f>
        <v>151980.48282209205</v>
      </c>
      <c r="FM460">
        <f>IF($A460&lt;=$FB$45,1,0)</f>
        <v>0</v>
      </c>
      <c r="GB460">
        <f>IF($GB$31&lt;=$GB$32,IF($A460&lt;=$GB$7,1,2),IF($A460&lt;=RUNG_BEDS_2,2,1))</f>
        <v>1</v>
      </c>
      <c r="GC460" s="5">
        <f>MIN(1,MAX(0,$GB$26-($A460-1)))</f>
        <v>0</v>
      </c>
      <c r="GD460" s="5">
        <f>$GB$25*(GC460+(1-GC460)*$GB$16)</f>
        <v>0.0</v>
      </c>
      <c r="GE460" s="13">
        <f>GD460*($GB$6+ACUTE_MARGIN)</f>
        <v>0.0</v>
      </c>
      <c r="GF460" s="13">
        <f>IF(GB460=1,$GB$31,$GB$32)</f>
        <v>152394.16214437486</v>
      </c>
      <c r="GG460" s="13">
        <f>GE460-GF460</f>
        <v>-152394.16214437486</v>
      </c>
      <c r="GH460" s="13">
        <f>GH459+GG460</f>
        <v>-19223628.50015694</v>
      </c>
      <c r="GI460">
        <f>IF(GH460=MAX($GH$83:$GH$483),$A460,0)</f>
        <v>0</v>
      </c>
      <c r="GJ460">
        <f>IF(GE460&lt;GF460,$A460,B_MAX+1)</f>
        <v>377</v>
      </c>
      <c r="GK460" s="13">
        <f>IF(GB460=1,$GB$35,$GB$36)</f>
        <v>0</v>
      </c>
      <c r="GL460" s="13">
        <f>OCC_DAYS*$GB$41*R_NF_2023-GD460*MCD_SHARE_FREED*R_WAIT_2023</f>
        <v>151980.48282209205</v>
      </c>
      <c r="GM460">
        <f>IF($A460&lt;=$GB$45,1,0)</f>
        <v>0</v>
      </c>
      <c r="HB460">
        <f>IF($HB$31&lt;=$HB$32,IF($A460&lt;=$HB$7,1,2),IF($A460&lt;=RUNG_BEDS_2,2,1))</f>
        <v>1</v>
      </c>
      <c r="HC460" s="5">
        <f>MIN(1,MAX(0,$HB$26-($A460-1)))</f>
        <v>0</v>
      </c>
      <c r="HD460" s="5">
        <f>$HB$25*(HC460+(1-HC460)*$HB$16)</f>
        <v>0.0</v>
      </c>
      <c r="HE460" s="13">
        <f>HD460*($HB$6+ACUTE_MARGIN)</f>
        <v>0.0</v>
      </c>
      <c r="HF460" s="13">
        <f>IF(HB460=1,$HB$31,$HB$32)</f>
        <v>152456.2970814058</v>
      </c>
      <c r="HG460" s="13">
        <f>HE460-HF460</f>
        <v>-152456.2970814058</v>
      </c>
      <c r="HH460" s="13">
        <f>HH459+HG460</f>
        <v>-19247053.371417698</v>
      </c>
      <c r="HI460">
        <f>IF(HH460=MAX($HH$83:$HH$483),$A460,0)</f>
        <v>0</v>
      </c>
      <c r="HJ460">
        <f>IF(HE460&lt;HF460,$A460,B_MAX+1)</f>
        <v>377</v>
      </c>
      <c r="HK460" s="13">
        <f>IF(HB460=1,$HB$35,$HB$36)</f>
        <v>0</v>
      </c>
      <c r="HL460" s="13">
        <f>OCC_DAYS*$HB$41*R_NF_2023-HD460*MCD_SHARE_FREED*R_WAIT_2023</f>
        <v>151980.48282209205</v>
      </c>
      <c r="HM460">
        <f>IF($A460&lt;=$HB$45,1,0)</f>
        <v>0</v>
      </c>
      <c r="IB460">
        <f>IF($IB$31&lt;=$IB$32,IF($A460&lt;=$IB$7,1,2),IF($A460&lt;=RUNG_BEDS_2,2,1))</f>
        <v>1</v>
      </c>
      <c r="IC460" s="5">
        <f>MIN(1,MAX(0,$IB$26-($A460-1)))</f>
        <v>0</v>
      </c>
      <c r="ID460" s="5">
        <f>$IB$25*(IC460+(1-IC460)*$IB$16)</f>
        <v>0.0</v>
      </c>
      <c r="IE460" s="13">
        <f>ID460*($IB$6+ACUTE_MARGIN)</f>
        <v>0.0</v>
      </c>
      <c r="IF460" s="13">
        <f>IF(IB460=1,$IB$31,$IB$32)</f>
        <v>152734.9994534971</v>
      </c>
      <c r="IG460" s="13">
        <f>IE460-IF460</f>
        <v>-152734.9994534971</v>
      </c>
      <c r="IH460" s="13">
        <f>IH459+IG460</f>
        <v>-19352124.1656961</v>
      </c>
      <c r="II460">
        <f>IF(IH460=MAX($IH$83:$IH$483),$A460,0)</f>
        <v>0</v>
      </c>
      <c r="IJ460">
        <f>IF(IE460&lt;IF460,$A460,B_MAX+1)</f>
        <v>377</v>
      </c>
      <c r="IK460" s="13">
        <f>IF(IB460=1,$IB$35,$IB$36)</f>
        <v>0</v>
      </c>
      <c r="IL460" s="13">
        <f>OCC_DAYS*$IB$41*R_NF_2023-ID460*MCD_SHARE_FREED*R_WAIT_2023</f>
        <v>151980.48282209205</v>
      </c>
      <c r="IM460">
        <f>IF($A460&lt;=$IB$45,1,0)</f>
        <v>0</v>
      </c>
      <c r="JB460">
        <f>IF($JB$31&lt;=$JB$32,IF($A460&lt;=$JB$7,1,2),IF($A460&lt;=RUNG_BEDS_2,2,1))</f>
        <v>1</v>
      </c>
      <c r="JC460" s="5">
        <f>MIN(1,MAX(0,$JB$26-($A460-1)))</f>
        <v>0</v>
      </c>
      <c r="JD460" s="5">
        <f>$JB$25*(JC460+(1-JC460)*$JB$16)</f>
        <v>0.0</v>
      </c>
      <c r="JE460" s="13">
        <f>JD460*($JB$6+ACUTE_MARGIN)</f>
        <v>0.0</v>
      </c>
      <c r="JF460" s="13">
        <f>IF(JB460=1,$JB$31,$JB$32)</f>
        <v>152394.16214437486</v>
      </c>
      <c r="JG460" s="13">
        <f>JE460-JF460</f>
        <v>-152394.16214437486</v>
      </c>
      <c r="JH460" s="13">
        <f>JH459+JG460</f>
        <v>-19223628.50015694</v>
      </c>
      <c r="JI460">
        <f>IF(JH460=MAX($JH$83:$JH$483),$A460,0)</f>
        <v>0</v>
      </c>
      <c r="JJ460">
        <f>IF(JE460&lt;JF460,$A460,B_MAX+1)</f>
        <v>377</v>
      </c>
      <c r="JK460" s="13">
        <f>IF(JB460=1,$JB$35,$JB$36)</f>
        <v>0</v>
      </c>
      <c r="JL460" s="13">
        <f>OCC_DAYS*$JB$41*R_NF_2023-JD460*MCD_SHARE_FREED*R_WAIT_2023</f>
        <v>151980.48282209205</v>
      </c>
      <c r="JM460">
        <f>IF($A460&lt;=$JB$45,1,0)</f>
        <v>0</v>
      </c>
      <c r="KB460">
        <f>IF($KB$31&lt;=$KB$32,IF($A460&lt;=$KB$7,1,2),IF($A460&lt;=RUNG_BEDS_2,2,1))</f>
        <v>1</v>
      </c>
      <c r="KC460" s="5">
        <f>MIN(1,MAX(0,$KB$26-($A460-1)))</f>
        <v>0</v>
      </c>
      <c r="KD460" s="5">
        <f>$KB$25*(KC460+(1-KC460)*$KB$16)</f>
        <v>0.0</v>
      </c>
      <c r="KE460" s="13">
        <f>KD460*($KB$6+ACUTE_MARGIN)</f>
        <v>0.0</v>
      </c>
      <c r="KF460" s="13">
        <f>IF(KB460=1,$KB$31,$KB$32)</f>
        <v>152394.16214437486</v>
      </c>
      <c r="KG460" s="13">
        <f>KE460-KF460</f>
        <v>-152394.16214437486</v>
      </c>
      <c r="KH460" s="13">
        <f>KH459+KG460</f>
        <v>-19223628.500157047</v>
      </c>
      <c r="KI460">
        <f>IF(KH460=MAX($KH$83:$KH$483),$A460,0)</f>
        <v>0</v>
      </c>
      <c r="KJ460">
        <f>IF(KE460&lt;KF460,$A460,B_MAX+1)</f>
        <v>377</v>
      </c>
      <c r="KK460" s="13">
        <f>IF(KB460=1,$KB$35,$KB$36)</f>
        <v>0</v>
      </c>
      <c r="KL460" s="13">
        <f>OCC_DAYS*$KB$41*R_NF_2023-KD460*MCD_SHARE_FREED*R_WAIT_2023</f>
        <v>151980.48282209205</v>
      </c>
      <c r="KM460">
        <f>IF($A460&lt;=$KB$45,1,0)</f>
        <v>0</v>
      </c>
      <c r="LB460">
        <f>IF($LB$31&lt;=$LB$32,IF($A460&lt;=$LB$7,1,2),IF($A460&lt;=RUNG_BEDS_2,2,1))</f>
        <v>1</v>
      </c>
      <c r="LC460" s="5">
        <f>MIN(1,MAX(0,$LB$26-($A460-1)))</f>
        <v>1</v>
      </c>
      <c r="LD460" s="5">
        <f>$LB$25*(LC460+(1-LC460)*$LB$16)</f>
        <v>84.01774238227146</v>
      </c>
      <c r="LE460" s="13">
        <f>LD460*($LB$6+ACUTE_MARGIN)</f>
        <v>84857.91980609419</v>
      </c>
      <c r="LF460" s="13">
        <f>IF(LB460=1,$LB$31,$LB$32)</f>
        <v>152394.16214437486</v>
      </c>
      <c r="LG460" s="13">
        <f>LE460-LF460</f>
        <v>-67536.24233828067</v>
      </c>
      <c r="LH460" s="13">
        <f>LH459+LG460</f>
        <v>-25461163.361531954</v>
      </c>
      <c r="LI460">
        <f>IF(LH460=MAX($LH$83:$LH$483),$A460,0)</f>
        <v>0</v>
      </c>
      <c r="LJ460">
        <f>IF(LE460&lt;LF460,$A460,B_MAX+1)</f>
        <v>377</v>
      </c>
      <c r="LK460" s="13">
        <f>IF(LB460=1,$LB$35,$LB$36)</f>
        <v>0</v>
      </c>
      <c r="LL460" s="13">
        <f>OCC_DAYS*$LB$41*R_NF_2023-LD460*MCD_SHARE_FREED*R_WAIT_2023</f>
        <v>113776.04162887059</v>
      </c>
      <c r="LM460">
        <f>IF($A460&lt;=$LB$45,1,0)</f>
        <v>0</v>
      </c>
      <c r="MB460">
        <f>IF($MB$31&lt;=$MB$32,IF($A460&lt;=$MB$7,1,2),IF($A460&lt;=RUNG_BEDS_2,2,1))</f>
        <v>1</v>
      </c>
      <c r="MC460" s="5">
        <f>MIN(1,MAX(0,$MB$26-($A460-1)))</f>
        <v>0</v>
      </c>
      <c r="MD460" s="5">
        <f>$MB$25*(MC460+(1-MC460)*$MB$16)</f>
        <v>0.0</v>
      </c>
      <c r="ME460" s="13">
        <f>MD460*($MB$6+ACUTE_MARGIN)</f>
        <v>0.0</v>
      </c>
      <c r="MF460" s="13">
        <f>IF(MB460=1,$MB$31,$MB$32)</f>
        <v>152394.16214437486</v>
      </c>
      <c r="MG460" s="13">
        <f>ME460-MF460</f>
        <v>-152394.16214437486</v>
      </c>
      <c r="MH460" s="13">
        <f>MH459+MG460</f>
        <v>-25110904.56195524</v>
      </c>
      <c r="MI460">
        <f>IF(MH460=MAX($MH$83:$MH$483),$A460,0)</f>
        <v>0</v>
      </c>
      <c r="MJ460">
        <f>IF(ME460&lt;MF460,$A460,B_MAX+1)</f>
        <v>377</v>
      </c>
      <c r="MK460" s="13">
        <f>IF(MB460=1,$MB$35,$MB$36)</f>
        <v>0</v>
      </c>
      <c r="ML460" s="13">
        <f>OCC_DAYS*$MB$41*R_NF_2023-MD460*MCD_SHARE_FREED*R_WAIT_2023</f>
        <v>151980.48282209205</v>
      </c>
      <c r="MM460">
        <f>IF($A460&lt;=$MB$45,1,0)</f>
        <v>0</v>
      </c>
      <c r="NB460">
        <f>IF($NB$31&lt;=$NB$32,IF($A460&lt;=$NB$7,1,2),IF($A460&lt;=RUNG_BEDS_2,2,1))</f>
        <v>1</v>
      </c>
      <c r="NC460" s="5">
        <f>MIN(1,MAX(0,$NB$26-($A460-1)))</f>
        <v>0</v>
      </c>
      <c r="ND460" s="5">
        <f>$NB$25*(NC460+(1-NC460)*$NB$16)</f>
        <v>63.013306786703595</v>
      </c>
      <c r="NE460" s="13">
        <f>ND460*($NB$6+ACUTE_MARGIN)</f>
        <v>63643.43985457063</v>
      </c>
      <c r="NF460" s="13">
        <f>IF(NB460=1,$NB$31,$NB$32)</f>
        <v>152394.16214437486</v>
      </c>
      <c r="NG460" s="13">
        <f>NE460-NF460</f>
        <v>-88750.72228980422</v>
      </c>
      <c r="NH460" s="13">
        <f>NH459+NG460</f>
        <v>-4787294.332051973</v>
      </c>
      <c r="NI460">
        <f>IF(NH460=MAX($NH$83:$NH$483),$A460,0)</f>
        <v>0</v>
      </c>
      <c r="NJ460">
        <f>IF(NE460&lt;NF460,$A460,B_MAX+1)</f>
        <v>377</v>
      </c>
      <c r="NK460" s="13">
        <f>IF(NB460=1,$NB$35,$NB$36)</f>
        <v>0</v>
      </c>
      <c r="NL460" s="13">
        <f>OCC_DAYS*$NB$41*R_NF_2023-ND460*MCD_SHARE_FREED*R_WAIT_2023</f>
        <v>123327.15192717595</v>
      </c>
      <c r="NM460">
        <f>IF($A460&lt;=$NB$45,1,0)</f>
        <v>0</v>
      </c>
      <c r="OB460">
        <f>IF($OB$31&lt;=$OB$32,IF($A460&lt;=$OB$7,1,2),IF($A460&lt;=RUNG_BEDS_2,2,1))</f>
        <v>1</v>
      </c>
      <c r="OC460" s="5">
        <f>MIN(1,MAX(0,$OB$26-($A460-1)))</f>
        <v>0</v>
      </c>
      <c r="OD460" s="5">
        <f>$OB$25*(OC460+(1-OC460)*$OB$16)</f>
        <v>126.02661357340719</v>
      </c>
      <c r="OE460" s="13">
        <f>OD460*($OB$6+ACUTE_MARGIN)</f>
        <v>127286.87970914126</v>
      </c>
      <c r="OF460" s="13">
        <f>IF(OB460=1,$OB$31,$OB$32)</f>
        <v>152394.16214437486</v>
      </c>
      <c r="OG460" s="13">
        <f>OE460-OF460</f>
        <v>-25107.282435233603</v>
      </c>
      <c r="OH460" s="13">
        <f>OH459+OG460</f>
        <v>9649039.836053303</v>
      </c>
      <c r="OI460">
        <f>IF(OH460=MAX($OH$83:$OH$483),$A460,0)</f>
        <v>0</v>
      </c>
      <c r="OJ460">
        <f>IF(OE460&lt;OF460,$A460,B_MAX+1)</f>
        <v>377</v>
      </c>
      <c r="OK460" s="13">
        <f>IF(OB460=1,$OB$35,$OB$36)</f>
        <v>0</v>
      </c>
      <c r="OL460" s="13">
        <f>OCC_DAYS*$OB$41*R_NF_2023-OD460*MCD_SHARE_FREED*R_WAIT_2023</f>
        <v>94673.82103225985</v>
      </c>
      <c r="OM460">
        <f>IF($A460&lt;=$OB$45,1,0)</f>
        <v>0</v>
      </c>
    </row>
    <row r="461">
      <c r="A461" t="n">
        <v>378</v>
      </c>
      <c r="B461">
        <f>IF($B$31&lt;=$B$32,IF($A461&lt;=$B$7,1,2),IF($A461&lt;=RUNG_BEDS_2,2,1))</f>
        <v>1</v>
      </c>
      <c r="C461" s="5">
        <f>MIN(1,MAX(0,$B$26-($A461-1)))</f>
        <v>0</v>
      </c>
      <c r="D461" s="5">
        <f>$B$25*(C461+(1-C461)*$B$16)</f>
        <v>0.0</v>
      </c>
      <c r="E461" s="13">
        <f>D461*($B$6+ACUTE_MARGIN)</f>
        <v>0.0</v>
      </c>
      <c r="F461" s="13">
        <f>IF(B461=1,$B$31,$B$32)</f>
        <v>152394.16214437486</v>
      </c>
      <c r="G461" s="13">
        <f>E461-F461</f>
        <v>-152394.16214437486</v>
      </c>
      <c r="H461" s="13">
        <f>H460+G461</f>
        <v>-19376022.662301313</v>
      </c>
      <c r="I461">
        <f>IF(H461=MAX($H$83:$H$483),$A461,0)</f>
        <v>0</v>
      </c>
      <c r="J461">
        <f>IF(E461&lt;F461,$A461,B_MAX+1)</f>
        <v>378</v>
      </c>
      <c r="K461" s="13">
        <f>IF(B461=1,$B$35,$B$36)</f>
        <v>0</v>
      </c>
      <c r="L461" s="13">
        <f>OCC_DAYS*$B$41*R_NF_2023-D461*MCD_SHARE_FREED*R_WAIT_2023</f>
        <v>151980.48282209205</v>
      </c>
      <c r="M461">
        <f>IF($A461&lt;=$B$45,1,0)</f>
        <v>0</v>
      </c>
      <c r="AB461">
        <f>IF($AB$31&lt;=$AB$32,IF($A461&lt;=$AB$7,1,2),IF($A461&lt;=RUNG_BEDS_2,2,1))</f>
        <v>1</v>
      </c>
      <c r="AC461" s="5">
        <f>MIN(1,MAX(0,$AB$26-($A461-1)))</f>
        <v>0</v>
      </c>
      <c r="AD461" s="5">
        <f>$AB$25*(AC461+(1-AC461)*$AB$16)</f>
        <v>0.0</v>
      </c>
      <c r="AE461" s="13">
        <f>AD461*($AB$6+ACUTE_MARGIN)</f>
        <v>0.0</v>
      </c>
      <c r="AF461" s="13">
        <f>IF(AB461=1,$AB$31,$AB$32)</f>
        <v>152394.16214437486</v>
      </c>
      <c r="AG461" s="13">
        <f>AE461-AF461</f>
        <v>-152394.16214437486</v>
      </c>
      <c r="AH461" s="13">
        <f>AH460+AG461</f>
        <v>-36787237.00785113</v>
      </c>
      <c r="AI461">
        <f>IF(AH461=MAX($AH$83:$AH$483),$A461,0)</f>
        <v>0</v>
      </c>
      <c r="AJ461">
        <f>IF(AE461&lt;AF461,$A461,B_MAX+1)</f>
        <v>378</v>
      </c>
      <c r="AK461" s="13">
        <f>IF(AB461=1,$AB$35,$AB$36)</f>
        <v>0</v>
      </c>
      <c r="AL461" s="13">
        <f>OCC_DAYS*$AB$41*R_NF_2023-AD461*MCD_SHARE_FREED*R_WAIT_2023</f>
        <v>151980.48282209205</v>
      </c>
      <c r="AM461">
        <f>IF($A461&lt;=$AB$45,1,0)</f>
        <v>0</v>
      </c>
      <c r="BB461">
        <f>IF($BB$31&lt;=$BB$32,IF($A461&lt;=$BB$7,1,2),IF($A461&lt;=RUNG_BEDS_2,2,1))</f>
        <v>1</v>
      </c>
      <c r="BC461" s="5">
        <f>MIN(1,MAX(0,$BB$26-($A461-1)))</f>
        <v>0</v>
      </c>
      <c r="BD461" s="5">
        <f>$BB$25*(BC461+(1-BC461)*$BB$16)</f>
        <v>0.0</v>
      </c>
      <c r="BE461" s="13">
        <f>BD461*($BB$6+ACUTE_MARGIN)</f>
        <v>0.0</v>
      </c>
      <c r="BF461" s="13">
        <f>IF(BB461=1,$BB$31,$BB$32)</f>
        <v>152394.16214437486</v>
      </c>
      <c r="BG461" s="13">
        <f>BE461-BF461</f>
        <v>-152394.16214437486</v>
      </c>
      <c r="BH461" s="13">
        <f>BH460+BG461</f>
        <v>-1964808.3167516121</v>
      </c>
      <c r="BI461">
        <f>IF(BH461=MAX($BH$83:$BH$483),$A461,0)</f>
        <v>0</v>
      </c>
      <c r="BJ461">
        <f>IF(BE461&lt;BF461,$A461,B_MAX+1)</f>
        <v>378</v>
      </c>
      <c r="BK461" s="13">
        <f>IF(BB461=1,$BB$35,$BB$36)</f>
        <v>0</v>
      </c>
      <c r="BL461" s="13">
        <f>OCC_DAYS*$BB$41*R_NF_2023-BD461*MCD_SHARE_FREED*R_WAIT_2023</f>
        <v>151980.48282209205</v>
      </c>
      <c r="BM461">
        <f>IF($A461&lt;=$BB$45,1,0)</f>
        <v>0</v>
      </c>
      <c r="CB461">
        <f>IF($CB$31&lt;=$CB$32,IF($A461&lt;=$CB$7,1,2),IF($A461&lt;=RUNG_BEDS_2,2,1))</f>
        <v>2</v>
      </c>
      <c r="CC461" s="5">
        <f>MIN(1,MAX(0,$CB$26-($A461-1)))</f>
        <v>0</v>
      </c>
      <c r="CD461" s="5">
        <f>$CB$25*(CC461+(1-CC461)*$CB$16)</f>
        <v>0.0</v>
      </c>
      <c r="CE461" s="13">
        <f>CD461*($CB$6+ACUTE_MARGIN)</f>
        <v>0.0</v>
      </c>
      <c r="CF461" s="13">
        <f>IF(CB461=1,$CB$31,$CB$32)</f>
        <v>160718.36940738867</v>
      </c>
      <c r="CG461" s="13">
        <f>CE461-CF461</f>
        <v>-160718.36940738867</v>
      </c>
      <c r="CH461" s="13">
        <f>CH460+CG461</f>
        <v>-22522573.007720746</v>
      </c>
      <c r="CI461">
        <f>IF(CH461=MAX($CH$83:$CH$483),$A461,0)</f>
        <v>0</v>
      </c>
      <c r="CJ461">
        <f>IF(CE461&lt;CF461,$A461,B_MAX+1)</f>
        <v>378</v>
      </c>
      <c r="CK461" s="13">
        <f>IF(CB461=1,$CB$35,$CB$36)</f>
        <v>1560.1194073886782</v>
      </c>
      <c r="CL461" s="13">
        <f>OCC_DAYS*$CB$41*R_NF_2023-CD461*MCD_SHARE_FREED*R_WAIT_2023</f>
        <v>151980.48282209205</v>
      </c>
      <c r="CM461">
        <f>IF($A461&lt;=$CB$45,1,0)</f>
        <v>0</v>
      </c>
      <c r="DB461">
        <f>IF($DB$31&lt;=$DB$32,IF($A461&lt;=$DB$7,1,2),IF($A461&lt;=RUNG_BEDS_2,2,1))</f>
        <v>1</v>
      </c>
      <c r="DC461" s="5">
        <f>MIN(1,MAX(0,$DB$26-($A461-1)))</f>
        <v>0</v>
      </c>
      <c r="DD461" s="5">
        <f>$DB$25*(DC461+(1-DC461)*$DB$16)</f>
        <v>0.0</v>
      </c>
      <c r="DE461" s="13">
        <f>DD461*($DB$6+ACUTE_MARGIN)</f>
        <v>0.0</v>
      </c>
      <c r="DF461" s="13">
        <f>IF(DB461=1,$DB$31,$DB$32)</f>
        <v>152394.16214437486</v>
      </c>
      <c r="DG461" s="13">
        <f>DE461-DF461</f>
        <v>-152394.16214437486</v>
      </c>
      <c r="DH461" s="13">
        <f>DH460+DG461</f>
        <v>-19376022.662301313</v>
      </c>
      <c r="DI461">
        <f>IF(DH461=MAX($DH$83:$DH$483),$A461,0)</f>
        <v>0</v>
      </c>
      <c r="DJ461">
        <f>IF(DE461&lt;DF461,$A461,B_MAX+1)</f>
        <v>378</v>
      </c>
      <c r="DK461" s="13">
        <f>IF(DB461=1,$DB$35,$DB$36)</f>
        <v>0</v>
      </c>
      <c r="DL461" s="13">
        <f>OCC_DAYS*$DB$41*R_NF_2023-DD461*MCD_SHARE_FREED*R_WAIT_2023</f>
        <v>151980.48282209205</v>
      </c>
      <c r="DM461">
        <f>IF($A461&lt;=$DB$45,1,0)</f>
        <v>0</v>
      </c>
      <c r="EB461">
        <f>IF($EB$31&lt;=$EB$32,IF($A461&lt;=$EB$7,1,2),IF($A461&lt;=RUNG_BEDS_2,2,1))</f>
        <v>1</v>
      </c>
      <c r="EC461" s="5">
        <f>MIN(1,MAX(0,$EB$26-($A461-1)))</f>
        <v>0</v>
      </c>
      <c r="ED461" s="5">
        <f>$EB$25*(EC461+(1-EC461)*$EB$16)</f>
        <v>0.0</v>
      </c>
      <c r="EE461" s="13">
        <f>ED461*($EB$6+ACUTE_MARGIN)</f>
        <v>0.0</v>
      </c>
      <c r="EF461" s="13">
        <f>IF(EB461=1,$EB$31,$EB$32)</f>
        <v>152394.16214437486</v>
      </c>
      <c r="EG461" s="13">
        <f>EE461-EF461</f>
        <v>-152394.16214437486</v>
      </c>
      <c r="EH461" s="13">
        <f>EH460+EG461</f>
        <v>-19376022.662301313</v>
      </c>
      <c r="EI461">
        <f>IF(EH461=MAX($EH$83:$EH$483),$A461,0)</f>
        <v>0</v>
      </c>
      <c r="EJ461">
        <f>IF(EE461&lt;EF461,$A461,B_MAX+1)</f>
        <v>378</v>
      </c>
      <c r="EK461" s="13">
        <f>IF(EB461=1,$EB$35,$EB$36)</f>
        <v>0</v>
      </c>
      <c r="EL461" s="13">
        <f>OCC_DAYS*$EB$41*R_NF_2023-ED461*MCD_SHARE_FREED*R_WAIT_2023</f>
        <v>50660.16094069735</v>
      </c>
      <c r="EM461">
        <f>IF($A461&lt;=$EB$45,1,0)</f>
        <v>0</v>
      </c>
      <c r="FB461">
        <f>IF($FB$31&lt;=$FB$32,IF($A461&lt;=$FB$7,1,2),IF($A461&lt;=RUNG_BEDS_2,2,1))</f>
        <v>1</v>
      </c>
      <c r="FC461" s="5">
        <f>MIN(1,MAX(0,$FB$26-($A461-1)))</f>
        <v>0</v>
      </c>
      <c r="FD461" s="5">
        <f>$FB$25*(FC461+(1-FC461)*$FB$16)</f>
        <v>0.0</v>
      </c>
      <c r="FE461" s="13">
        <f>FD461*($FB$6+ACUTE_MARGIN)</f>
        <v>0.0</v>
      </c>
      <c r="FF461" s="13">
        <f>IF(FB461=1,$FB$31,$FB$32)</f>
        <v>156636.04979437485</v>
      </c>
      <c r="FG461" s="13">
        <f>FE461-FF461</f>
        <v>-156636.04979437485</v>
      </c>
      <c r="FH461" s="13">
        <f>FH460+FG461</f>
        <v>-20979456.194001462</v>
      </c>
      <c r="FI461">
        <f>IF(FH461=MAX($FH$83:$FH$483),$A461,0)</f>
        <v>0</v>
      </c>
      <c r="FJ461">
        <f>IF(FE461&lt;FF461,$A461,B_MAX+1)</f>
        <v>378</v>
      </c>
      <c r="FK461" s="13">
        <f>IF(FB461=1,$FB$35,$FB$36)</f>
        <v>0</v>
      </c>
      <c r="FL461" s="13">
        <f>OCC_DAYS*$FB$41*R_NF_2023-FD461*MCD_SHARE_FREED*R_WAIT_2023</f>
        <v>151980.48282209205</v>
      </c>
      <c r="FM461">
        <f>IF($A461&lt;=$FB$45,1,0)</f>
        <v>0</v>
      </c>
      <c r="GB461">
        <f>IF($GB$31&lt;=$GB$32,IF($A461&lt;=$GB$7,1,2),IF($A461&lt;=RUNG_BEDS_2,2,1))</f>
        <v>1</v>
      </c>
      <c r="GC461" s="5">
        <f>MIN(1,MAX(0,$GB$26-($A461-1)))</f>
        <v>0</v>
      </c>
      <c r="GD461" s="5">
        <f>$GB$25*(GC461+(1-GC461)*$GB$16)</f>
        <v>0.0</v>
      </c>
      <c r="GE461" s="13">
        <f>GD461*($GB$6+ACUTE_MARGIN)</f>
        <v>0.0</v>
      </c>
      <c r="GF461" s="13">
        <f>IF(GB461=1,$GB$31,$GB$32)</f>
        <v>152394.16214437486</v>
      </c>
      <c r="GG461" s="13">
        <f>GE461-GF461</f>
        <v>-152394.16214437486</v>
      </c>
      <c r="GH461" s="13">
        <f>GH460+GG461</f>
        <v>-19376022.662301313</v>
      </c>
      <c r="GI461">
        <f>IF(GH461=MAX($GH$83:$GH$483),$A461,0)</f>
        <v>0</v>
      </c>
      <c r="GJ461">
        <f>IF(GE461&lt;GF461,$A461,B_MAX+1)</f>
        <v>378</v>
      </c>
      <c r="GK461" s="13">
        <f>IF(GB461=1,$GB$35,$GB$36)</f>
        <v>0</v>
      </c>
      <c r="GL461" s="13">
        <f>OCC_DAYS*$GB$41*R_NF_2023-GD461*MCD_SHARE_FREED*R_WAIT_2023</f>
        <v>151980.48282209205</v>
      </c>
      <c r="GM461">
        <f>IF($A461&lt;=$GB$45,1,0)</f>
        <v>0</v>
      </c>
      <c r="HB461">
        <f>IF($HB$31&lt;=$HB$32,IF($A461&lt;=$HB$7,1,2),IF($A461&lt;=RUNG_BEDS_2,2,1))</f>
        <v>1</v>
      </c>
      <c r="HC461" s="5">
        <f>MIN(1,MAX(0,$HB$26-($A461-1)))</f>
        <v>0</v>
      </c>
      <c r="HD461" s="5">
        <f>$HB$25*(HC461+(1-HC461)*$HB$16)</f>
        <v>0.0</v>
      </c>
      <c r="HE461" s="13">
        <f>HD461*($HB$6+ACUTE_MARGIN)</f>
        <v>0.0</v>
      </c>
      <c r="HF461" s="13">
        <f>IF(HB461=1,$HB$31,$HB$32)</f>
        <v>152456.2970814058</v>
      </c>
      <c r="HG461" s="13">
        <f>HE461-HF461</f>
        <v>-152456.2970814058</v>
      </c>
      <c r="HH461" s="13">
        <f>HH460+HG461</f>
        <v>-19399509.668499105</v>
      </c>
      <c r="HI461">
        <f>IF(HH461=MAX($HH$83:$HH$483),$A461,0)</f>
        <v>0</v>
      </c>
      <c r="HJ461">
        <f>IF(HE461&lt;HF461,$A461,B_MAX+1)</f>
        <v>378</v>
      </c>
      <c r="HK461" s="13">
        <f>IF(HB461=1,$HB$35,$HB$36)</f>
        <v>0</v>
      </c>
      <c r="HL461" s="13">
        <f>OCC_DAYS*$HB$41*R_NF_2023-HD461*MCD_SHARE_FREED*R_WAIT_2023</f>
        <v>151980.48282209205</v>
      </c>
      <c r="HM461">
        <f>IF($A461&lt;=$HB$45,1,0)</f>
        <v>0</v>
      </c>
      <c r="IB461">
        <f>IF($IB$31&lt;=$IB$32,IF($A461&lt;=$IB$7,1,2),IF($A461&lt;=RUNG_BEDS_2,2,1))</f>
        <v>1</v>
      </c>
      <c r="IC461" s="5">
        <f>MIN(1,MAX(0,$IB$26-($A461-1)))</f>
        <v>0</v>
      </c>
      <c r="ID461" s="5">
        <f>$IB$25*(IC461+(1-IC461)*$IB$16)</f>
        <v>0.0</v>
      </c>
      <c r="IE461" s="13">
        <f>ID461*($IB$6+ACUTE_MARGIN)</f>
        <v>0.0</v>
      </c>
      <c r="IF461" s="13">
        <f>IF(IB461=1,$IB$31,$IB$32)</f>
        <v>152734.9994534971</v>
      </c>
      <c r="IG461" s="13">
        <f>IE461-IF461</f>
        <v>-152734.9994534971</v>
      </c>
      <c r="IH461" s="13">
        <f>IH460+IG461</f>
        <v>-19504859.165149596</v>
      </c>
      <c r="II461">
        <f>IF(IH461=MAX($IH$83:$IH$483),$A461,0)</f>
        <v>0</v>
      </c>
      <c r="IJ461">
        <f>IF(IE461&lt;IF461,$A461,B_MAX+1)</f>
        <v>378</v>
      </c>
      <c r="IK461" s="13">
        <f>IF(IB461=1,$IB$35,$IB$36)</f>
        <v>0</v>
      </c>
      <c r="IL461" s="13">
        <f>OCC_DAYS*$IB$41*R_NF_2023-ID461*MCD_SHARE_FREED*R_WAIT_2023</f>
        <v>151980.48282209205</v>
      </c>
      <c r="IM461">
        <f>IF($A461&lt;=$IB$45,1,0)</f>
        <v>0</v>
      </c>
      <c r="JB461">
        <f>IF($JB$31&lt;=$JB$32,IF($A461&lt;=$JB$7,1,2),IF($A461&lt;=RUNG_BEDS_2,2,1))</f>
        <v>1</v>
      </c>
      <c r="JC461" s="5">
        <f>MIN(1,MAX(0,$JB$26-($A461-1)))</f>
        <v>0</v>
      </c>
      <c r="JD461" s="5">
        <f>$JB$25*(JC461+(1-JC461)*$JB$16)</f>
        <v>0.0</v>
      </c>
      <c r="JE461" s="13">
        <f>JD461*($JB$6+ACUTE_MARGIN)</f>
        <v>0.0</v>
      </c>
      <c r="JF461" s="13">
        <f>IF(JB461=1,$JB$31,$JB$32)</f>
        <v>152394.16214437486</v>
      </c>
      <c r="JG461" s="13">
        <f>JE461-JF461</f>
        <v>-152394.16214437486</v>
      </c>
      <c r="JH461" s="13">
        <f>JH460+JG461</f>
        <v>-19376022.662301313</v>
      </c>
      <c r="JI461">
        <f>IF(JH461=MAX($JH$83:$JH$483),$A461,0)</f>
        <v>0</v>
      </c>
      <c r="JJ461">
        <f>IF(JE461&lt;JF461,$A461,B_MAX+1)</f>
        <v>378</v>
      </c>
      <c r="JK461" s="13">
        <f>IF(JB461=1,$JB$35,$JB$36)</f>
        <v>0</v>
      </c>
      <c r="JL461" s="13">
        <f>OCC_DAYS*$JB$41*R_NF_2023-JD461*MCD_SHARE_FREED*R_WAIT_2023</f>
        <v>151980.48282209205</v>
      </c>
      <c r="JM461">
        <f>IF($A461&lt;=$JB$45,1,0)</f>
        <v>0</v>
      </c>
      <c r="KB461">
        <f>IF($KB$31&lt;=$KB$32,IF($A461&lt;=$KB$7,1,2),IF($A461&lt;=RUNG_BEDS_2,2,1))</f>
        <v>1</v>
      </c>
      <c r="KC461" s="5">
        <f>MIN(1,MAX(0,$KB$26-($A461-1)))</f>
        <v>0</v>
      </c>
      <c r="KD461" s="5">
        <f>$KB$25*(KC461+(1-KC461)*$KB$16)</f>
        <v>0.0</v>
      </c>
      <c r="KE461" s="13">
        <f>KD461*($KB$6+ACUTE_MARGIN)</f>
        <v>0.0</v>
      </c>
      <c r="KF461" s="13">
        <f>IF(KB461=1,$KB$31,$KB$32)</f>
        <v>152394.16214437486</v>
      </c>
      <c r="KG461" s="13">
        <f>KE461-KF461</f>
        <v>-152394.16214437486</v>
      </c>
      <c r="KH461" s="13">
        <f>KH460+KG461</f>
        <v>-19376022.66230142</v>
      </c>
      <c r="KI461">
        <f>IF(KH461=MAX($KH$83:$KH$483),$A461,0)</f>
        <v>0</v>
      </c>
      <c r="KJ461">
        <f>IF(KE461&lt;KF461,$A461,B_MAX+1)</f>
        <v>378</v>
      </c>
      <c r="KK461" s="13">
        <f>IF(KB461=1,$KB$35,$KB$36)</f>
        <v>0</v>
      </c>
      <c r="KL461" s="13">
        <f>OCC_DAYS*$KB$41*R_NF_2023-KD461*MCD_SHARE_FREED*R_WAIT_2023</f>
        <v>151980.48282209205</v>
      </c>
      <c r="KM461">
        <f>IF($A461&lt;=$KB$45,1,0)</f>
        <v>0</v>
      </c>
      <c r="LB461">
        <f>IF($LB$31&lt;=$LB$32,IF($A461&lt;=$LB$7,1,2),IF($A461&lt;=RUNG_BEDS_2,2,1))</f>
        <v>1</v>
      </c>
      <c r="LC461" s="5">
        <f>MIN(1,MAX(0,$LB$26-($A461-1)))</f>
        <v>1</v>
      </c>
      <c r="LD461" s="5">
        <f>$LB$25*(LC461+(1-LC461)*$LB$16)</f>
        <v>84.01774238227146</v>
      </c>
      <c r="LE461" s="13">
        <f>LD461*($LB$6+ACUTE_MARGIN)</f>
        <v>84857.91980609419</v>
      </c>
      <c r="LF461" s="13">
        <f>IF(LB461=1,$LB$31,$LB$32)</f>
        <v>152394.16214437486</v>
      </c>
      <c r="LG461" s="13">
        <f>LE461-LF461</f>
        <v>-67536.24233828067</v>
      </c>
      <c r="LH461" s="13">
        <f>LH460+LG461</f>
        <v>-25528699.603870235</v>
      </c>
      <c r="LI461">
        <f>IF(LH461=MAX($LH$83:$LH$483),$A461,0)</f>
        <v>0</v>
      </c>
      <c r="LJ461">
        <f>IF(LE461&lt;LF461,$A461,B_MAX+1)</f>
        <v>378</v>
      </c>
      <c r="LK461" s="13">
        <f>IF(LB461=1,$LB$35,$LB$36)</f>
        <v>0</v>
      </c>
      <c r="LL461" s="13">
        <f>OCC_DAYS*$LB$41*R_NF_2023-LD461*MCD_SHARE_FREED*R_WAIT_2023</f>
        <v>113776.04162887059</v>
      </c>
      <c r="LM461">
        <f>IF($A461&lt;=$LB$45,1,0)</f>
        <v>0</v>
      </c>
      <c r="MB461">
        <f>IF($MB$31&lt;=$MB$32,IF($A461&lt;=$MB$7,1,2),IF($A461&lt;=RUNG_BEDS_2,2,1))</f>
        <v>1</v>
      </c>
      <c r="MC461" s="5">
        <f>MIN(1,MAX(0,$MB$26-($A461-1)))</f>
        <v>0</v>
      </c>
      <c r="MD461" s="5">
        <f>$MB$25*(MC461+(1-MC461)*$MB$16)</f>
        <v>0.0</v>
      </c>
      <c r="ME461" s="13">
        <f>MD461*($MB$6+ACUTE_MARGIN)</f>
        <v>0.0</v>
      </c>
      <c r="MF461" s="13">
        <f>IF(MB461=1,$MB$31,$MB$32)</f>
        <v>152394.16214437486</v>
      </c>
      <c r="MG461" s="13">
        <f>ME461-MF461</f>
        <v>-152394.16214437486</v>
      </c>
      <c r="MH461" s="13">
        <f>MH460+MG461</f>
        <v>-25263298.724099614</v>
      </c>
      <c r="MI461">
        <f>IF(MH461=MAX($MH$83:$MH$483),$A461,0)</f>
        <v>0</v>
      </c>
      <c r="MJ461">
        <f>IF(ME461&lt;MF461,$A461,B_MAX+1)</f>
        <v>378</v>
      </c>
      <c r="MK461" s="13">
        <f>IF(MB461=1,$MB$35,$MB$36)</f>
        <v>0</v>
      </c>
      <c r="ML461" s="13">
        <f>OCC_DAYS*$MB$41*R_NF_2023-MD461*MCD_SHARE_FREED*R_WAIT_2023</f>
        <v>151980.48282209205</v>
      </c>
      <c r="MM461">
        <f>IF($A461&lt;=$MB$45,1,0)</f>
        <v>0</v>
      </c>
      <c r="NB461">
        <f>IF($NB$31&lt;=$NB$32,IF($A461&lt;=$NB$7,1,2),IF($A461&lt;=RUNG_BEDS_2,2,1))</f>
        <v>1</v>
      </c>
      <c r="NC461" s="5">
        <f>MIN(1,MAX(0,$NB$26-($A461-1)))</f>
        <v>0</v>
      </c>
      <c r="ND461" s="5">
        <f>$NB$25*(NC461+(1-NC461)*$NB$16)</f>
        <v>63.013306786703595</v>
      </c>
      <c r="NE461" s="13">
        <f>ND461*($NB$6+ACUTE_MARGIN)</f>
        <v>63643.43985457063</v>
      </c>
      <c r="NF461" s="13">
        <f>IF(NB461=1,$NB$31,$NB$32)</f>
        <v>152394.16214437486</v>
      </c>
      <c r="NG461" s="13">
        <f>NE461-NF461</f>
        <v>-88750.72228980422</v>
      </c>
      <c r="NH461" s="13">
        <f>NH460+NG461</f>
        <v>-4876045.054341777</v>
      </c>
      <c r="NI461">
        <f>IF(NH461=MAX($NH$83:$NH$483),$A461,0)</f>
        <v>0</v>
      </c>
      <c r="NJ461">
        <f>IF(NE461&lt;NF461,$A461,B_MAX+1)</f>
        <v>378</v>
      </c>
      <c r="NK461" s="13">
        <f>IF(NB461=1,$NB$35,$NB$36)</f>
        <v>0</v>
      </c>
      <c r="NL461" s="13">
        <f>OCC_DAYS*$NB$41*R_NF_2023-ND461*MCD_SHARE_FREED*R_WAIT_2023</f>
        <v>123327.15192717595</v>
      </c>
      <c r="NM461">
        <f>IF($A461&lt;=$NB$45,1,0)</f>
        <v>0</v>
      </c>
      <c r="OB461">
        <f>IF($OB$31&lt;=$OB$32,IF($A461&lt;=$OB$7,1,2),IF($A461&lt;=RUNG_BEDS_2,2,1))</f>
        <v>1</v>
      </c>
      <c r="OC461" s="5">
        <f>MIN(1,MAX(0,$OB$26-($A461-1)))</f>
        <v>0</v>
      </c>
      <c r="OD461" s="5">
        <f>$OB$25*(OC461+(1-OC461)*$OB$16)</f>
        <v>126.02661357340719</v>
      </c>
      <c r="OE461" s="13">
        <f>OD461*($OB$6+ACUTE_MARGIN)</f>
        <v>127286.87970914126</v>
      </c>
      <c r="OF461" s="13">
        <f>IF(OB461=1,$OB$31,$OB$32)</f>
        <v>152394.16214437486</v>
      </c>
      <c r="OG461" s="13">
        <f>OE461-OF461</f>
        <v>-25107.282435233603</v>
      </c>
      <c r="OH461" s="13">
        <f>OH460+OG461</f>
        <v>9623932.55361807</v>
      </c>
      <c r="OI461">
        <f>IF(OH461=MAX($OH$83:$OH$483),$A461,0)</f>
        <v>0</v>
      </c>
      <c r="OJ461">
        <f>IF(OE461&lt;OF461,$A461,B_MAX+1)</f>
        <v>378</v>
      </c>
      <c r="OK461" s="13">
        <f>IF(OB461=1,$OB$35,$OB$36)</f>
        <v>0</v>
      </c>
      <c r="OL461" s="13">
        <f>OCC_DAYS*$OB$41*R_NF_2023-OD461*MCD_SHARE_FREED*R_WAIT_2023</f>
        <v>94673.82103225985</v>
      </c>
      <c r="OM461">
        <f>IF($A461&lt;=$OB$45,1,0)</f>
        <v>0</v>
      </c>
    </row>
    <row r="462">
      <c r="A462" t="n">
        <v>379</v>
      </c>
      <c r="B462">
        <f>IF($B$31&lt;=$B$32,IF($A462&lt;=$B$7,1,2),IF($A462&lt;=RUNG_BEDS_2,2,1))</f>
        <v>1</v>
      </c>
      <c r="C462" s="5">
        <f>MIN(1,MAX(0,$B$26-($A462-1)))</f>
        <v>0</v>
      </c>
      <c r="D462" s="5">
        <f>$B$25*(C462+(1-C462)*$B$16)</f>
        <v>0.0</v>
      </c>
      <c r="E462" s="13">
        <f>D462*($B$6+ACUTE_MARGIN)</f>
        <v>0.0</v>
      </c>
      <c r="F462" s="13">
        <f>IF(B462=1,$B$31,$B$32)</f>
        <v>152394.16214437486</v>
      </c>
      <c r="G462" s="13">
        <f>E462-F462</f>
        <v>-152394.16214437486</v>
      </c>
      <c r="H462" s="13">
        <f>H461+G462</f>
        <v>-19528416.824445687</v>
      </c>
      <c r="I462">
        <f>IF(H462=MAX($H$83:$H$483),$A462,0)</f>
        <v>0</v>
      </c>
      <c r="J462">
        <f>IF(E462&lt;F462,$A462,B_MAX+1)</f>
        <v>379</v>
      </c>
      <c r="K462" s="13">
        <f>IF(B462=1,$B$35,$B$36)</f>
        <v>0</v>
      </c>
      <c r="L462" s="13">
        <f>OCC_DAYS*$B$41*R_NF_2023-D462*MCD_SHARE_FREED*R_WAIT_2023</f>
        <v>151980.48282209205</v>
      </c>
      <c r="M462">
        <f>IF($A462&lt;=$B$45,1,0)</f>
        <v>0</v>
      </c>
      <c r="AB462">
        <f>IF($AB$31&lt;=$AB$32,IF($A462&lt;=$AB$7,1,2),IF($A462&lt;=RUNG_BEDS_2,2,1))</f>
        <v>1</v>
      </c>
      <c r="AC462" s="5">
        <f>MIN(1,MAX(0,$AB$26-($A462-1)))</f>
        <v>0</v>
      </c>
      <c r="AD462" s="5">
        <f>$AB$25*(AC462+(1-AC462)*$AB$16)</f>
        <v>0.0</v>
      </c>
      <c r="AE462" s="13">
        <f>AD462*($AB$6+ACUTE_MARGIN)</f>
        <v>0.0</v>
      </c>
      <c r="AF462" s="13">
        <f>IF(AB462=1,$AB$31,$AB$32)</f>
        <v>152394.16214437486</v>
      </c>
      <c r="AG462" s="13">
        <f>AE462-AF462</f>
        <v>-152394.16214437486</v>
      </c>
      <c r="AH462" s="13">
        <f>AH461+AG462</f>
        <v>-36939631.16999551</v>
      </c>
      <c r="AI462">
        <f>IF(AH462=MAX($AH$83:$AH$483),$A462,0)</f>
        <v>0</v>
      </c>
      <c r="AJ462">
        <f>IF(AE462&lt;AF462,$A462,B_MAX+1)</f>
        <v>379</v>
      </c>
      <c r="AK462" s="13">
        <f>IF(AB462=1,$AB$35,$AB$36)</f>
        <v>0</v>
      </c>
      <c r="AL462" s="13">
        <f>OCC_DAYS*$AB$41*R_NF_2023-AD462*MCD_SHARE_FREED*R_WAIT_2023</f>
        <v>151980.48282209205</v>
      </c>
      <c r="AM462">
        <f>IF($A462&lt;=$AB$45,1,0)</f>
        <v>0</v>
      </c>
      <c r="BB462">
        <f>IF($BB$31&lt;=$BB$32,IF($A462&lt;=$BB$7,1,2),IF($A462&lt;=RUNG_BEDS_2,2,1))</f>
        <v>1</v>
      </c>
      <c r="BC462" s="5">
        <f>MIN(1,MAX(0,$BB$26-($A462-1)))</f>
        <v>0</v>
      </c>
      <c r="BD462" s="5">
        <f>$BB$25*(BC462+(1-BC462)*$BB$16)</f>
        <v>0.0</v>
      </c>
      <c r="BE462" s="13">
        <f>BD462*($BB$6+ACUTE_MARGIN)</f>
        <v>0.0</v>
      </c>
      <c r="BF462" s="13">
        <f>IF(BB462=1,$BB$31,$BB$32)</f>
        <v>152394.16214437486</v>
      </c>
      <c r="BG462" s="13">
        <f>BE462-BF462</f>
        <v>-152394.16214437486</v>
      </c>
      <c r="BH462" s="13">
        <f>BH461+BG462</f>
        <v>-2117202.478895987</v>
      </c>
      <c r="BI462">
        <f>IF(BH462=MAX($BH$83:$BH$483),$A462,0)</f>
        <v>0</v>
      </c>
      <c r="BJ462">
        <f>IF(BE462&lt;BF462,$A462,B_MAX+1)</f>
        <v>379</v>
      </c>
      <c r="BK462" s="13">
        <f>IF(BB462=1,$BB$35,$BB$36)</f>
        <v>0</v>
      </c>
      <c r="BL462" s="13">
        <f>OCC_DAYS*$BB$41*R_NF_2023-BD462*MCD_SHARE_FREED*R_WAIT_2023</f>
        <v>151980.48282209205</v>
      </c>
      <c r="BM462">
        <f>IF($A462&lt;=$BB$45,1,0)</f>
        <v>0</v>
      </c>
      <c r="CB462">
        <f>IF($CB$31&lt;=$CB$32,IF($A462&lt;=$CB$7,1,2),IF($A462&lt;=RUNG_BEDS_2,2,1))</f>
        <v>2</v>
      </c>
      <c r="CC462" s="5">
        <f>MIN(1,MAX(0,$CB$26-($A462-1)))</f>
        <v>0</v>
      </c>
      <c r="CD462" s="5">
        <f>$CB$25*(CC462+(1-CC462)*$CB$16)</f>
        <v>0.0</v>
      </c>
      <c r="CE462" s="13">
        <f>CD462*($CB$6+ACUTE_MARGIN)</f>
        <v>0.0</v>
      </c>
      <c r="CF462" s="13">
        <f>IF(CB462=1,$CB$31,$CB$32)</f>
        <v>160718.36940738867</v>
      </c>
      <c r="CG462" s="13">
        <f>CE462-CF462</f>
        <v>-160718.36940738867</v>
      </c>
      <c r="CH462" s="13">
        <f>CH461+CG462</f>
        <v>-22683291.377128135</v>
      </c>
      <c r="CI462">
        <f>IF(CH462=MAX($CH$83:$CH$483),$A462,0)</f>
        <v>0</v>
      </c>
      <c r="CJ462">
        <f>IF(CE462&lt;CF462,$A462,B_MAX+1)</f>
        <v>379</v>
      </c>
      <c r="CK462" s="13">
        <f>IF(CB462=1,$CB$35,$CB$36)</f>
        <v>1560.1194073886782</v>
      </c>
      <c r="CL462" s="13">
        <f>OCC_DAYS*$CB$41*R_NF_2023-CD462*MCD_SHARE_FREED*R_WAIT_2023</f>
        <v>151980.48282209205</v>
      </c>
      <c r="CM462">
        <f>IF($A462&lt;=$CB$45,1,0)</f>
        <v>0</v>
      </c>
      <c r="DB462">
        <f>IF($DB$31&lt;=$DB$32,IF($A462&lt;=$DB$7,1,2),IF($A462&lt;=RUNG_BEDS_2,2,1))</f>
        <v>1</v>
      </c>
      <c r="DC462" s="5">
        <f>MIN(1,MAX(0,$DB$26-($A462-1)))</f>
        <v>0</v>
      </c>
      <c r="DD462" s="5">
        <f>$DB$25*(DC462+(1-DC462)*$DB$16)</f>
        <v>0.0</v>
      </c>
      <c r="DE462" s="13">
        <f>DD462*($DB$6+ACUTE_MARGIN)</f>
        <v>0.0</v>
      </c>
      <c r="DF462" s="13">
        <f>IF(DB462=1,$DB$31,$DB$32)</f>
        <v>152394.16214437486</v>
      </c>
      <c r="DG462" s="13">
        <f>DE462-DF462</f>
        <v>-152394.16214437486</v>
      </c>
      <c r="DH462" s="13">
        <f>DH461+DG462</f>
        <v>-19528416.824445687</v>
      </c>
      <c r="DI462">
        <f>IF(DH462=MAX($DH$83:$DH$483),$A462,0)</f>
        <v>0</v>
      </c>
      <c r="DJ462">
        <f>IF(DE462&lt;DF462,$A462,B_MAX+1)</f>
        <v>379</v>
      </c>
      <c r="DK462" s="13">
        <f>IF(DB462=1,$DB$35,$DB$36)</f>
        <v>0</v>
      </c>
      <c r="DL462" s="13">
        <f>OCC_DAYS*$DB$41*R_NF_2023-DD462*MCD_SHARE_FREED*R_WAIT_2023</f>
        <v>151980.48282209205</v>
      </c>
      <c r="DM462">
        <f>IF($A462&lt;=$DB$45,1,0)</f>
        <v>0</v>
      </c>
      <c r="EB462">
        <f>IF($EB$31&lt;=$EB$32,IF($A462&lt;=$EB$7,1,2),IF($A462&lt;=RUNG_BEDS_2,2,1))</f>
        <v>1</v>
      </c>
      <c r="EC462" s="5">
        <f>MIN(1,MAX(0,$EB$26-($A462-1)))</f>
        <v>0</v>
      </c>
      <c r="ED462" s="5">
        <f>$EB$25*(EC462+(1-EC462)*$EB$16)</f>
        <v>0.0</v>
      </c>
      <c r="EE462" s="13">
        <f>ED462*($EB$6+ACUTE_MARGIN)</f>
        <v>0.0</v>
      </c>
      <c r="EF462" s="13">
        <f>IF(EB462=1,$EB$31,$EB$32)</f>
        <v>152394.16214437486</v>
      </c>
      <c r="EG462" s="13">
        <f>EE462-EF462</f>
        <v>-152394.16214437486</v>
      </c>
      <c r="EH462" s="13">
        <f>EH461+EG462</f>
        <v>-19528416.824445687</v>
      </c>
      <c r="EI462">
        <f>IF(EH462=MAX($EH$83:$EH$483),$A462,0)</f>
        <v>0</v>
      </c>
      <c r="EJ462">
        <f>IF(EE462&lt;EF462,$A462,B_MAX+1)</f>
        <v>379</v>
      </c>
      <c r="EK462" s="13">
        <f>IF(EB462=1,$EB$35,$EB$36)</f>
        <v>0</v>
      </c>
      <c r="EL462" s="13">
        <f>OCC_DAYS*$EB$41*R_NF_2023-ED462*MCD_SHARE_FREED*R_WAIT_2023</f>
        <v>50660.16094069735</v>
      </c>
      <c r="EM462">
        <f>IF($A462&lt;=$EB$45,1,0)</f>
        <v>0</v>
      </c>
      <c r="FB462">
        <f>IF($FB$31&lt;=$FB$32,IF($A462&lt;=$FB$7,1,2),IF($A462&lt;=RUNG_BEDS_2,2,1))</f>
        <v>1</v>
      </c>
      <c r="FC462" s="5">
        <f>MIN(1,MAX(0,$FB$26-($A462-1)))</f>
        <v>0</v>
      </c>
      <c r="FD462" s="5">
        <f>$FB$25*(FC462+(1-FC462)*$FB$16)</f>
        <v>0.0</v>
      </c>
      <c r="FE462" s="13">
        <f>FD462*($FB$6+ACUTE_MARGIN)</f>
        <v>0.0</v>
      </c>
      <c r="FF462" s="13">
        <f>IF(FB462=1,$FB$31,$FB$32)</f>
        <v>156636.04979437485</v>
      </c>
      <c r="FG462" s="13">
        <f>FE462-FF462</f>
        <v>-156636.04979437485</v>
      </c>
      <c r="FH462" s="13">
        <f>FH461+FG462</f>
        <v>-21136092.24379584</v>
      </c>
      <c r="FI462">
        <f>IF(FH462=MAX($FH$83:$FH$483),$A462,0)</f>
        <v>0</v>
      </c>
      <c r="FJ462">
        <f>IF(FE462&lt;FF462,$A462,B_MAX+1)</f>
        <v>379</v>
      </c>
      <c r="FK462" s="13">
        <f>IF(FB462=1,$FB$35,$FB$36)</f>
        <v>0</v>
      </c>
      <c r="FL462" s="13">
        <f>OCC_DAYS*$FB$41*R_NF_2023-FD462*MCD_SHARE_FREED*R_WAIT_2023</f>
        <v>151980.48282209205</v>
      </c>
      <c r="FM462">
        <f>IF($A462&lt;=$FB$45,1,0)</f>
        <v>0</v>
      </c>
      <c r="GB462">
        <f>IF($GB$31&lt;=$GB$32,IF($A462&lt;=$GB$7,1,2),IF($A462&lt;=RUNG_BEDS_2,2,1))</f>
        <v>1</v>
      </c>
      <c r="GC462" s="5">
        <f>MIN(1,MAX(0,$GB$26-($A462-1)))</f>
        <v>0</v>
      </c>
      <c r="GD462" s="5">
        <f>$GB$25*(GC462+(1-GC462)*$GB$16)</f>
        <v>0.0</v>
      </c>
      <c r="GE462" s="13">
        <f>GD462*($GB$6+ACUTE_MARGIN)</f>
        <v>0.0</v>
      </c>
      <c r="GF462" s="13">
        <f>IF(GB462=1,$GB$31,$GB$32)</f>
        <v>152394.16214437486</v>
      </c>
      <c r="GG462" s="13">
        <f>GE462-GF462</f>
        <v>-152394.16214437486</v>
      </c>
      <c r="GH462" s="13">
        <f>GH461+GG462</f>
        <v>-19528416.824445687</v>
      </c>
      <c r="GI462">
        <f>IF(GH462=MAX($GH$83:$GH$483),$A462,0)</f>
        <v>0</v>
      </c>
      <c r="GJ462">
        <f>IF(GE462&lt;GF462,$A462,B_MAX+1)</f>
        <v>379</v>
      </c>
      <c r="GK462" s="13">
        <f>IF(GB462=1,$GB$35,$GB$36)</f>
        <v>0</v>
      </c>
      <c r="GL462" s="13">
        <f>OCC_DAYS*$GB$41*R_NF_2023-GD462*MCD_SHARE_FREED*R_WAIT_2023</f>
        <v>151980.48282209205</v>
      </c>
      <c r="GM462">
        <f>IF($A462&lt;=$GB$45,1,0)</f>
        <v>0</v>
      </c>
      <c r="HB462">
        <f>IF($HB$31&lt;=$HB$32,IF($A462&lt;=$HB$7,1,2),IF($A462&lt;=RUNG_BEDS_2,2,1))</f>
        <v>1</v>
      </c>
      <c r="HC462" s="5">
        <f>MIN(1,MAX(0,$HB$26-($A462-1)))</f>
        <v>0</v>
      </c>
      <c r="HD462" s="5">
        <f>$HB$25*(HC462+(1-HC462)*$HB$16)</f>
        <v>0.0</v>
      </c>
      <c r="HE462" s="13">
        <f>HD462*($HB$6+ACUTE_MARGIN)</f>
        <v>0.0</v>
      </c>
      <c r="HF462" s="13">
        <f>IF(HB462=1,$HB$31,$HB$32)</f>
        <v>152456.2970814058</v>
      </c>
      <c r="HG462" s="13">
        <f>HE462-HF462</f>
        <v>-152456.2970814058</v>
      </c>
      <c r="HH462" s="13">
        <f>HH461+HG462</f>
        <v>-19551965.96558051</v>
      </c>
      <c r="HI462">
        <f>IF(HH462=MAX($HH$83:$HH$483),$A462,0)</f>
        <v>0</v>
      </c>
      <c r="HJ462">
        <f>IF(HE462&lt;HF462,$A462,B_MAX+1)</f>
        <v>379</v>
      </c>
      <c r="HK462" s="13">
        <f>IF(HB462=1,$HB$35,$HB$36)</f>
        <v>0</v>
      </c>
      <c r="HL462" s="13">
        <f>OCC_DAYS*$HB$41*R_NF_2023-HD462*MCD_SHARE_FREED*R_WAIT_2023</f>
        <v>151980.48282209205</v>
      </c>
      <c r="HM462">
        <f>IF($A462&lt;=$HB$45,1,0)</f>
        <v>0</v>
      </c>
      <c r="IB462">
        <f>IF($IB$31&lt;=$IB$32,IF($A462&lt;=$IB$7,1,2),IF($A462&lt;=RUNG_BEDS_2,2,1))</f>
        <v>1</v>
      </c>
      <c r="IC462" s="5">
        <f>MIN(1,MAX(0,$IB$26-($A462-1)))</f>
        <v>0</v>
      </c>
      <c r="ID462" s="5">
        <f>$IB$25*(IC462+(1-IC462)*$IB$16)</f>
        <v>0.0</v>
      </c>
      <c r="IE462" s="13">
        <f>ID462*($IB$6+ACUTE_MARGIN)</f>
        <v>0.0</v>
      </c>
      <c r="IF462" s="13">
        <f>IF(IB462=1,$IB$31,$IB$32)</f>
        <v>152734.9994534971</v>
      </c>
      <c r="IG462" s="13">
        <f>IE462-IF462</f>
        <v>-152734.9994534971</v>
      </c>
      <c r="IH462" s="13">
        <f>IH461+IG462</f>
        <v>-19657594.16460309</v>
      </c>
      <c r="II462">
        <f>IF(IH462=MAX($IH$83:$IH$483),$A462,0)</f>
        <v>0</v>
      </c>
      <c r="IJ462">
        <f>IF(IE462&lt;IF462,$A462,B_MAX+1)</f>
        <v>379</v>
      </c>
      <c r="IK462" s="13">
        <f>IF(IB462=1,$IB$35,$IB$36)</f>
        <v>0</v>
      </c>
      <c r="IL462" s="13">
        <f>OCC_DAYS*$IB$41*R_NF_2023-ID462*MCD_SHARE_FREED*R_WAIT_2023</f>
        <v>151980.48282209205</v>
      </c>
      <c r="IM462">
        <f>IF($A462&lt;=$IB$45,1,0)</f>
        <v>0</v>
      </c>
      <c r="JB462">
        <f>IF($JB$31&lt;=$JB$32,IF($A462&lt;=$JB$7,1,2),IF($A462&lt;=RUNG_BEDS_2,2,1))</f>
        <v>1</v>
      </c>
      <c r="JC462" s="5">
        <f>MIN(1,MAX(0,$JB$26-($A462-1)))</f>
        <v>0</v>
      </c>
      <c r="JD462" s="5">
        <f>$JB$25*(JC462+(1-JC462)*$JB$16)</f>
        <v>0.0</v>
      </c>
      <c r="JE462" s="13">
        <f>JD462*($JB$6+ACUTE_MARGIN)</f>
        <v>0.0</v>
      </c>
      <c r="JF462" s="13">
        <f>IF(JB462=1,$JB$31,$JB$32)</f>
        <v>152394.16214437486</v>
      </c>
      <c r="JG462" s="13">
        <f>JE462-JF462</f>
        <v>-152394.16214437486</v>
      </c>
      <c r="JH462" s="13">
        <f>JH461+JG462</f>
        <v>-19528416.824445687</v>
      </c>
      <c r="JI462">
        <f>IF(JH462=MAX($JH$83:$JH$483),$A462,0)</f>
        <v>0</v>
      </c>
      <c r="JJ462">
        <f>IF(JE462&lt;JF462,$A462,B_MAX+1)</f>
        <v>379</v>
      </c>
      <c r="JK462" s="13">
        <f>IF(JB462=1,$JB$35,$JB$36)</f>
        <v>0</v>
      </c>
      <c r="JL462" s="13">
        <f>OCC_DAYS*$JB$41*R_NF_2023-JD462*MCD_SHARE_FREED*R_WAIT_2023</f>
        <v>151980.48282209205</v>
      </c>
      <c r="JM462">
        <f>IF($A462&lt;=$JB$45,1,0)</f>
        <v>0</v>
      </c>
      <c r="KB462">
        <f>IF($KB$31&lt;=$KB$32,IF($A462&lt;=$KB$7,1,2),IF($A462&lt;=RUNG_BEDS_2,2,1))</f>
        <v>1</v>
      </c>
      <c r="KC462" s="5">
        <f>MIN(1,MAX(0,$KB$26-($A462-1)))</f>
        <v>0</v>
      </c>
      <c r="KD462" s="5">
        <f>$KB$25*(KC462+(1-KC462)*$KB$16)</f>
        <v>0.0</v>
      </c>
      <c r="KE462" s="13">
        <f>KD462*($KB$6+ACUTE_MARGIN)</f>
        <v>0.0</v>
      </c>
      <c r="KF462" s="13">
        <f>IF(KB462=1,$KB$31,$KB$32)</f>
        <v>152394.16214437486</v>
      </c>
      <c r="KG462" s="13">
        <f>KE462-KF462</f>
        <v>-152394.16214437486</v>
      </c>
      <c r="KH462" s="13">
        <f>KH461+KG462</f>
        <v>-19528416.824445795</v>
      </c>
      <c r="KI462">
        <f>IF(KH462=MAX($KH$83:$KH$483),$A462,0)</f>
        <v>0</v>
      </c>
      <c r="KJ462">
        <f>IF(KE462&lt;KF462,$A462,B_MAX+1)</f>
        <v>379</v>
      </c>
      <c r="KK462" s="13">
        <f>IF(KB462=1,$KB$35,$KB$36)</f>
        <v>0</v>
      </c>
      <c r="KL462" s="13">
        <f>OCC_DAYS*$KB$41*R_NF_2023-KD462*MCD_SHARE_FREED*R_WAIT_2023</f>
        <v>151980.48282209205</v>
      </c>
      <c r="KM462">
        <f>IF($A462&lt;=$KB$45,1,0)</f>
        <v>0</v>
      </c>
      <c r="LB462">
        <f>IF($LB$31&lt;=$LB$32,IF($A462&lt;=$LB$7,1,2),IF($A462&lt;=RUNG_BEDS_2,2,1))</f>
        <v>1</v>
      </c>
      <c r="LC462" s="5">
        <f>MIN(1,MAX(0,$LB$26-($A462-1)))</f>
        <v>1</v>
      </c>
      <c r="LD462" s="5">
        <f>$LB$25*(LC462+(1-LC462)*$LB$16)</f>
        <v>84.01774238227146</v>
      </c>
      <c r="LE462" s="13">
        <f>LD462*($LB$6+ACUTE_MARGIN)</f>
        <v>84857.91980609419</v>
      </c>
      <c r="LF462" s="13">
        <f>IF(LB462=1,$LB$31,$LB$32)</f>
        <v>152394.16214437486</v>
      </c>
      <c r="LG462" s="13">
        <f>LE462-LF462</f>
        <v>-67536.24233828067</v>
      </c>
      <c r="LH462" s="13">
        <f>LH461+LG462</f>
        <v>-25596235.846208517</v>
      </c>
      <c r="LI462">
        <f>IF(LH462=MAX($LH$83:$LH$483),$A462,0)</f>
        <v>0</v>
      </c>
      <c r="LJ462">
        <f>IF(LE462&lt;LF462,$A462,B_MAX+1)</f>
        <v>379</v>
      </c>
      <c r="LK462" s="13">
        <f>IF(LB462=1,$LB$35,$LB$36)</f>
        <v>0</v>
      </c>
      <c r="LL462" s="13">
        <f>OCC_DAYS*$LB$41*R_NF_2023-LD462*MCD_SHARE_FREED*R_WAIT_2023</f>
        <v>113776.04162887059</v>
      </c>
      <c r="LM462">
        <f>IF($A462&lt;=$LB$45,1,0)</f>
        <v>0</v>
      </c>
      <c r="MB462">
        <f>IF($MB$31&lt;=$MB$32,IF($A462&lt;=$MB$7,1,2),IF($A462&lt;=RUNG_BEDS_2,2,1))</f>
        <v>1</v>
      </c>
      <c r="MC462" s="5">
        <f>MIN(1,MAX(0,$MB$26-($A462-1)))</f>
        <v>0</v>
      </c>
      <c r="MD462" s="5">
        <f>$MB$25*(MC462+(1-MC462)*$MB$16)</f>
        <v>0.0</v>
      </c>
      <c r="ME462" s="13">
        <f>MD462*($MB$6+ACUTE_MARGIN)</f>
        <v>0.0</v>
      </c>
      <c r="MF462" s="13">
        <f>IF(MB462=1,$MB$31,$MB$32)</f>
        <v>152394.16214437486</v>
      </c>
      <c r="MG462" s="13">
        <f>ME462-MF462</f>
        <v>-152394.16214437486</v>
      </c>
      <c r="MH462" s="13">
        <f>MH461+MG462</f>
        <v>-25415692.886243988</v>
      </c>
      <c r="MI462">
        <f>IF(MH462=MAX($MH$83:$MH$483),$A462,0)</f>
        <v>0</v>
      </c>
      <c r="MJ462">
        <f>IF(ME462&lt;MF462,$A462,B_MAX+1)</f>
        <v>379</v>
      </c>
      <c r="MK462" s="13">
        <f>IF(MB462=1,$MB$35,$MB$36)</f>
        <v>0</v>
      </c>
      <c r="ML462" s="13">
        <f>OCC_DAYS*$MB$41*R_NF_2023-MD462*MCD_SHARE_FREED*R_WAIT_2023</f>
        <v>151980.48282209205</v>
      </c>
      <c r="MM462">
        <f>IF($A462&lt;=$MB$45,1,0)</f>
        <v>0</v>
      </c>
      <c r="NB462">
        <f>IF($NB$31&lt;=$NB$32,IF($A462&lt;=$NB$7,1,2),IF($A462&lt;=RUNG_BEDS_2,2,1))</f>
        <v>1</v>
      </c>
      <c r="NC462" s="5">
        <f>MIN(1,MAX(0,$NB$26-($A462-1)))</f>
        <v>0</v>
      </c>
      <c r="ND462" s="5">
        <f>$NB$25*(NC462+(1-NC462)*$NB$16)</f>
        <v>63.013306786703595</v>
      </c>
      <c r="NE462" s="13">
        <f>ND462*($NB$6+ACUTE_MARGIN)</f>
        <v>63643.43985457063</v>
      </c>
      <c r="NF462" s="13">
        <f>IF(NB462=1,$NB$31,$NB$32)</f>
        <v>152394.16214437486</v>
      </c>
      <c r="NG462" s="13">
        <f>NE462-NF462</f>
        <v>-88750.72228980422</v>
      </c>
      <c r="NH462" s="13">
        <f>NH461+NG462</f>
        <v>-4964795.776631582</v>
      </c>
      <c r="NI462">
        <f>IF(NH462=MAX($NH$83:$NH$483),$A462,0)</f>
        <v>0</v>
      </c>
      <c r="NJ462">
        <f>IF(NE462&lt;NF462,$A462,B_MAX+1)</f>
        <v>379</v>
      </c>
      <c r="NK462" s="13">
        <f>IF(NB462=1,$NB$35,$NB$36)</f>
        <v>0</v>
      </c>
      <c r="NL462" s="13">
        <f>OCC_DAYS*$NB$41*R_NF_2023-ND462*MCD_SHARE_FREED*R_WAIT_2023</f>
        <v>123327.15192717595</v>
      </c>
      <c r="NM462">
        <f>IF($A462&lt;=$NB$45,1,0)</f>
        <v>0</v>
      </c>
      <c r="OB462">
        <f>IF($OB$31&lt;=$OB$32,IF($A462&lt;=$OB$7,1,2),IF($A462&lt;=RUNG_BEDS_2,2,1))</f>
        <v>1</v>
      </c>
      <c r="OC462" s="5">
        <f>MIN(1,MAX(0,$OB$26-($A462-1)))</f>
        <v>0</v>
      </c>
      <c r="OD462" s="5">
        <f>$OB$25*(OC462+(1-OC462)*$OB$16)</f>
        <v>126.02661357340719</v>
      </c>
      <c r="OE462" s="13">
        <f>OD462*($OB$6+ACUTE_MARGIN)</f>
        <v>127286.87970914126</v>
      </c>
      <c r="OF462" s="13">
        <f>IF(OB462=1,$OB$31,$OB$32)</f>
        <v>152394.16214437486</v>
      </c>
      <c r="OG462" s="13">
        <f>OE462-OF462</f>
        <v>-25107.282435233603</v>
      </c>
      <c r="OH462" s="13">
        <f>OH461+OG462</f>
        <v>9598825.271182837</v>
      </c>
      <c r="OI462">
        <f>IF(OH462=MAX($OH$83:$OH$483),$A462,0)</f>
        <v>0</v>
      </c>
      <c r="OJ462">
        <f>IF(OE462&lt;OF462,$A462,B_MAX+1)</f>
        <v>379</v>
      </c>
      <c r="OK462" s="13">
        <f>IF(OB462=1,$OB$35,$OB$36)</f>
        <v>0</v>
      </c>
      <c r="OL462" s="13">
        <f>OCC_DAYS*$OB$41*R_NF_2023-OD462*MCD_SHARE_FREED*R_WAIT_2023</f>
        <v>94673.82103225985</v>
      </c>
      <c r="OM462">
        <f>IF($A462&lt;=$OB$45,1,0)</f>
        <v>0</v>
      </c>
    </row>
    <row r="463">
      <c r="A463" t="n">
        <v>380</v>
      </c>
      <c r="B463">
        <f>IF($B$31&lt;=$B$32,IF($A463&lt;=$B$7,1,2),IF($A463&lt;=RUNG_BEDS_2,2,1))</f>
        <v>1</v>
      </c>
      <c r="C463" s="5">
        <f>MIN(1,MAX(0,$B$26-($A463-1)))</f>
        <v>0</v>
      </c>
      <c r="D463" s="5">
        <f>$B$25*(C463+(1-C463)*$B$16)</f>
        <v>0.0</v>
      </c>
      <c r="E463" s="13">
        <f>D463*($B$6+ACUTE_MARGIN)</f>
        <v>0.0</v>
      </c>
      <c r="F463" s="13">
        <f>IF(B463=1,$B$31,$B$32)</f>
        <v>152394.16214437486</v>
      </c>
      <c r="G463" s="13">
        <f>E463-F463</f>
        <v>-152394.16214437486</v>
      </c>
      <c r="H463" s="13">
        <f>H462+G463</f>
        <v>-19680810.98659006</v>
      </c>
      <c r="I463">
        <f>IF(H463=MAX($H$83:$H$483),$A463,0)</f>
        <v>0</v>
      </c>
      <c r="J463">
        <f>IF(E463&lt;F463,$A463,B_MAX+1)</f>
        <v>380</v>
      </c>
      <c r="K463" s="13">
        <f>IF(B463=1,$B$35,$B$36)</f>
        <v>0</v>
      </c>
      <c r="L463" s="13">
        <f>OCC_DAYS*$B$41*R_NF_2023-D463*MCD_SHARE_FREED*R_WAIT_2023</f>
        <v>151980.48282209205</v>
      </c>
      <c r="M463">
        <f>IF($A463&lt;=$B$45,1,0)</f>
        <v>0</v>
      </c>
      <c r="AB463">
        <f>IF($AB$31&lt;=$AB$32,IF($A463&lt;=$AB$7,1,2),IF($A463&lt;=RUNG_BEDS_2,2,1))</f>
        <v>1</v>
      </c>
      <c r="AC463" s="5">
        <f>MIN(1,MAX(0,$AB$26-($A463-1)))</f>
        <v>0</v>
      </c>
      <c r="AD463" s="5">
        <f>$AB$25*(AC463+(1-AC463)*$AB$16)</f>
        <v>0.0</v>
      </c>
      <c r="AE463" s="13">
        <f>AD463*($AB$6+ACUTE_MARGIN)</f>
        <v>0.0</v>
      </c>
      <c r="AF463" s="13">
        <f>IF(AB463=1,$AB$31,$AB$32)</f>
        <v>152394.16214437486</v>
      </c>
      <c r="AG463" s="13">
        <f>AE463-AF463</f>
        <v>-152394.16214437486</v>
      </c>
      <c r="AH463" s="13">
        <f>AH462+AG463</f>
        <v>-37092025.33213989</v>
      </c>
      <c r="AI463">
        <f>IF(AH463=MAX($AH$83:$AH$483),$A463,0)</f>
        <v>0</v>
      </c>
      <c r="AJ463">
        <f>IF(AE463&lt;AF463,$A463,B_MAX+1)</f>
        <v>380</v>
      </c>
      <c r="AK463" s="13">
        <f>IF(AB463=1,$AB$35,$AB$36)</f>
        <v>0</v>
      </c>
      <c r="AL463" s="13">
        <f>OCC_DAYS*$AB$41*R_NF_2023-AD463*MCD_SHARE_FREED*R_WAIT_2023</f>
        <v>151980.48282209205</v>
      </c>
      <c r="AM463">
        <f>IF($A463&lt;=$AB$45,1,0)</f>
        <v>0</v>
      </c>
      <c r="BB463">
        <f>IF($BB$31&lt;=$BB$32,IF($A463&lt;=$BB$7,1,2),IF($A463&lt;=RUNG_BEDS_2,2,1))</f>
        <v>1</v>
      </c>
      <c r="BC463" s="5">
        <f>MIN(1,MAX(0,$BB$26-($A463-1)))</f>
        <v>0</v>
      </c>
      <c r="BD463" s="5">
        <f>$BB$25*(BC463+(1-BC463)*$BB$16)</f>
        <v>0.0</v>
      </c>
      <c r="BE463" s="13">
        <f>BD463*($BB$6+ACUTE_MARGIN)</f>
        <v>0.0</v>
      </c>
      <c r="BF463" s="13">
        <f>IF(BB463=1,$BB$31,$BB$32)</f>
        <v>152394.16214437486</v>
      </c>
      <c r="BG463" s="13">
        <f>BE463-BF463</f>
        <v>-152394.16214437486</v>
      </c>
      <c r="BH463" s="13">
        <f>BH462+BG463</f>
        <v>-2269596.641040362</v>
      </c>
      <c r="BI463">
        <f>IF(BH463=MAX($BH$83:$BH$483),$A463,0)</f>
        <v>0</v>
      </c>
      <c r="BJ463">
        <f>IF(BE463&lt;BF463,$A463,B_MAX+1)</f>
        <v>380</v>
      </c>
      <c r="BK463" s="13">
        <f>IF(BB463=1,$BB$35,$BB$36)</f>
        <v>0</v>
      </c>
      <c r="BL463" s="13">
        <f>OCC_DAYS*$BB$41*R_NF_2023-BD463*MCD_SHARE_FREED*R_WAIT_2023</f>
        <v>151980.48282209205</v>
      </c>
      <c r="BM463">
        <f>IF($A463&lt;=$BB$45,1,0)</f>
        <v>0</v>
      </c>
      <c r="CB463">
        <f>IF($CB$31&lt;=$CB$32,IF($A463&lt;=$CB$7,1,2),IF($A463&lt;=RUNG_BEDS_2,2,1))</f>
        <v>2</v>
      </c>
      <c r="CC463" s="5">
        <f>MIN(1,MAX(0,$CB$26-($A463-1)))</f>
        <v>0</v>
      </c>
      <c r="CD463" s="5">
        <f>$CB$25*(CC463+(1-CC463)*$CB$16)</f>
        <v>0.0</v>
      </c>
      <c r="CE463" s="13">
        <f>CD463*($CB$6+ACUTE_MARGIN)</f>
        <v>0.0</v>
      </c>
      <c r="CF463" s="13">
        <f>IF(CB463=1,$CB$31,$CB$32)</f>
        <v>160718.36940738867</v>
      </c>
      <c r="CG463" s="13">
        <f>CE463-CF463</f>
        <v>-160718.36940738867</v>
      </c>
      <c r="CH463" s="13">
        <f>CH462+CG463</f>
        <v>-22844009.746535525</v>
      </c>
      <c r="CI463">
        <f>IF(CH463=MAX($CH$83:$CH$483),$A463,0)</f>
        <v>0</v>
      </c>
      <c r="CJ463">
        <f>IF(CE463&lt;CF463,$A463,B_MAX+1)</f>
        <v>380</v>
      </c>
      <c r="CK463" s="13">
        <f>IF(CB463=1,$CB$35,$CB$36)</f>
        <v>1560.1194073886782</v>
      </c>
      <c r="CL463" s="13">
        <f>OCC_DAYS*$CB$41*R_NF_2023-CD463*MCD_SHARE_FREED*R_WAIT_2023</f>
        <v>151980.48282209205</v>
      </c>
      <c r="CM463">
        <f>IF($A463&lt;=$CB$45,1,0)</f>
        <v>0</v>
      </c>
      <c r="DB463">
        <f>IF($DB$31&lt;=$DB$32,IF($A463&lt;=$DB$7,1,2),IF($A463&lt;=RUNG_BEDS_2,2,1))</f>
        <v>1</v>
      </c>
      <c r="DC463" s="5">
        <f>MIN(1,MAX(0,$DB$26-($A463-1)))</f>
        <v>0</v>
      </c>
      <c r="DD463" s="5">
        <f>$DB$25*(DC463+(1-DC463)*$DB$16)</f>
        <v>0.0</v>
      </c>
      <c r="DE463" s="13">
        <f>DD463*($DB$6+ACUTE_MARGIN)</f>
        <v>0.0</v>
      </c>
      <c r="DF463" s="13">
        <f>IF(DB463=1,$DB$31,$DB$32)</f>
        <v>152394.16214437486</v>
      </c>
      <c r="DG463" s="13">
        <f>DE463-DF463</f>
        <v>-152394.16214437486</v>
      </c>
      <c r="DH463" s="13">
        <f>DH462+DG463</f>
        <v>-19680810.98659006</v>
      </c>
      <c r="DI463">
        <f>IF(DH463=MAX($DH$83:$DH$483),$A463,0)</f>
        <v>0</v>
      </c>
      <c r="DJ463">
        <f>IF(DE463&lt;DF463,$A463,B_MAX+1)</f>
        <v>380</v>
      </c>
      <c r="DK463" s="13">
        <f>IF(DB463=1,$DB$35,$DB$36)</f>
        <v>0</v>
      </c>
      <c r="DL463" s="13">
        <f>OCC_DAYS*$DB$41*R_NF_2023-DD463*MCD_SHARE_FREED*R_WAIT_2023</f>
        <v>151980.48282209205</v>
      </c>
      <c r="DM463">
        <f>IF($A463&lt;=$DB$45,1,0)</f>
        <v>0</v>
      </c>
      <c r="EB463">
        <f>IF($EB$31&lt;=$EB$32,IF($A463&lt;=$EB$7,1,2),IF($A463&lt;=RUNG_BEDS_2,2,1))</f>
        <v>1</v>
      </c>
      <c r="EC463" s="5">
        <f>MIN(1,MAX(0,$EB$26-($A463-1)))</f>
        <v>0</v>
      </c>
      <c r="ED463" s="5">
        <f>$EB$25*(EC463+(1-EC463)*$EB$16)</f>
        <v>0.0</v>
      </c>
      <c r="EE463" s="13">
        <f>ED463*($EB$6+ACUTE_MARGIN)</f>
        <v>0.0</v>
      </c>
      <c r="EF463" s="13">
        <f>IF(EB463=1,$EB$31,$EB$32)</f>
        <v>152394.16214437486</v>
      </c>
      <c r="EG463" s="13">
        <f>EE463-EF463</f>
        <v>-152394.16214437486</v>
      </c>
      <c r="EH463" s="13">
        <f>EH462+EG463</f>
        <v>-19680810.98659006</v>
      </c>
      <c r="EI463">
        <f>IF(EH463=MAX($EH$83:$EH$483),$A463,0)</f>
        <v>0</v>
      </c>
      <c r="EJ463">
        <f>IF(EE463&lt;EF463,$A463,B_MAX+1)</f>
        <v>380</v>
      </c>
      <c r="EK463" s="13">
        <f>IF(EB463=1,$EB$35,$EB$36)</f>
        <v>0</v>
      </c>
      <c r="EL463" s="13">
        <f>OCC_DAYS*$EB$41*R_NF_2023-ED463*MCD_SHARE_FREED*R_WAIT_2023</f>
        <v>50660.16094069735</v>
      </c>
      <c r="EM463">
        <f>IF($A463&lt;=$EB$45,1,0)</f>
        <v>0</v>
      </c>
      <c r="FB463">
        <f>IF($FB$31&lt;=$FB$32,IF($A463&lt;=$FB$7,1,2),IF($A463&lt;=RUNG_BEDS_2,2,1))</f>
        <v>1</v>
      </c>
      <c r="FC463" s="5">
        <f>MIN(1,MAX(0,$FB$26-($A463-1)))</f>
        <v>0</v>
      </c>
      <c r="FD463" s="5">
        <f>$FB$25*(FC463+(1-FC463)*$FB$16)</f>
        <v>0.0</v>
      </c>
      <c r="FE463" s="13">
        <f>FD463*($FB$6+ACUTE_MARGIN)</f>
        <v>0.0</v>
      </c>
      <c r="FF463" s="13">
        <f>IF(FB463=1,$FB$31,$FB$32)</f>
        <v>156636.04979437485</v>
      </c>
      <c r="FG463" s="13">
        <f>FE463-FF463</f>
        <v>-156636.04979437485</v>
      </c>
      <c r="FH463" s="13">
        <f>FH462+FG463</f>
        <v>-21292728.293590214</v>
      </c>
      <c r="FI463">
        <f>IF(FH463=MAX($FH$83:$FH$483),$A463,0)</f>
        <v>0</v>
      </c>
      <c r="FJ463">
        <f>IF(FE463&lt;FF463,$A463,B_MAX+1)</f>
        <v>380</v>
      </c>
      <c r="FK463" s="13">
        <f>IF(FB463=1,$FB$35,$FB$36)</f>
        <v>0</v>
      </c>
      <c r="FL463" s="13">
        <f>OCC_DAYS*$FB$41*R_NF_2023-FD463*MCD_SHARE_FREED*R_WAIT_2023</f>
        <v>151980.48282209205</v>
      </c>
      <c r="FM463">
        <f>IF($A463&lt;=$FB$45,1,0)</f>
        <v>0</v>
      </c>
      <c r="GB463">
        <f>IF($GB$31&lt;=$GB$32,IF($A463&lt;=$GB$7,1,2),IF($A463&lt;=RUNG_BEDS_2,2,1))</f>
        <v>1</v>
      </c>
      <c r="GC463" s="5">
        <f>MIN(1,MAX(0,$GB$26-($A463-1)))</f>
        <v>0</v>
      </c>
      <c r="GD463" s="5">
        <f>$GB$25*(GC463+(1-GC463)*$GB$16)</f>
        <v>0.0</v>
      </c>
      <c r="GE463" s="13">
        <f>GD463*($GB$6+ACUTE_MARGIN)</f>
        <v>0.0</v>
      </c>
      <c r="GF463" s="13">
        <f>IF(GB463=1,$GB$31,$GB$32)</f>
        <v>152394.16214437486</v>
      </c>
      <c r="GG463" s="13">
        <f>GE463-GF463</f>
        <v>-152394.16214437486</v>
      </c>
      <c r="GH463" s="13">
        <f>GH462+GG463</f>
        <v>-19680810.98659006</v>
      </c>
      <c r="GI463">
        <f>IF(GH463=MAX($GH$83:$GH$483),$A463,0)</f>
        <v>0</v>
      </c>
      <c r="GJ463">
        <f>IF(GE463&lt;GF463,$A463,B_MAX+1)</f>
        <v>380</v>
      </c>
      <c r="GK463" s="13">
        <f>IF(GB463=1,$GB$35,$GB$36)</f>
        <v>0</v>
      </c>
      <c r="GL463" s="13">
        <f>OCC_DAYS*$GB$41*R_NF_2023-GD463*MCD_SHARE_FREED*R_WAIT_2023</f>
        <v>151980.48282209205</v>
      </c>
      <c r="GM463">
        <f>IF($A463&lt;=$GB$45,1,0)</f>
        <v>0</v>
      </c>
      <c r="HB463">
        <f>IF($HB$31&lt;=$HB$32,IF($A463&lt;=$HB$7,1,2),IF($A463&lt;=RUNG_BEDS_2,2,1))</f>
        <v>1</v>
      </c>
      <c r="HC463" s="5">
        <f>MIN(1,MAX(0,$HB$26-($A463-1)))</f>
        <v>0</v>
      </c>
      <c r="HD463" s="5">
        <f>$HB$25*(HC463+(1-HC463)*$HB$16)</f>
        <v>0.0</v>
      </c>
      <c r="HE463" s="13">
        <f>HD463*($HB$6+ACUTE_MARGIN)</f>
        <v>0.0</v>
      </c>
      <c r="HF463" s="13">
        <f>IF(HB463=1,$HB$31,$HB$32)</f>
        <v>152456.2970814058</v>
      </c>
      <c r="HG463" s="13">
        <f>HE463-HF463</f>
        <v>-152456.2970814058</v>
      </c>
      <c r="HH463" s="13">
        <f>HH462+HG463</f>
        <v>-19704422.26266192</v>
      </c>
      <c r="HI463">
        <f>IF(HH463=MAX($HH$83:$HH$483),$A463,0)</f>
        <v>0</v>
      </c>
      <c r="HJ463">
        <f>IF(HE463&lt;HF463,$A463,B_MAX+1)</f>
        <v>380</v>
      </c>
      <c r="HK463" s="13">
        <f>IF(HB463=1,$HB$35,$HB$36)</f>
        <v>0</v>
      </c>
      <c r="HL463" s="13">
        <f>OCC_DAYS*$HB$41*R_NF_2023-HD463*MCD_SHARE_FREED*R_WAIT_2023</f>
        <v>151980.48282209205</v>
      </c>
      <c r="HM463">
        <f>IF($A463&lt;=$HB$45,1,0)</f>
        <v>0</v>
      </c>
      <c r="IB463">
        <f>IF($IB$31&lt;=$IB$32,IF($A463&lt;=$IB$7,1,2),IF($A463&lt;=RUNG_BEDS_2,2,1))</f>
        <v>1</v>
      </c>
      <c r="IC463" s="5">
        <f>MIN(1,MAX(0,$IB$26-($A463-1)))</f>
        <v>0</v>
      </c>
      <c r="ID463" s="5">
        <f>$IB$25*(IC463+(1-IC463)*$IB$16)</f>
        <v>0.0</v>
      </c>
      <c r="IE463" s="13">
        <f>ID463*($IB$6+ACUTE_MARGIN)</f>
        <v>0.0</v>
      </c>
      <c r="IF463" s="13">
        <f>IF(IB463=1,$IB$31,$IB$32)</f>
        <v>152734.9994534971</v>
      </c>
      <c r="IG463" s="13">
        <f>IE463-IF463</f>
        <v>-152734.9994534971</v>
      </c>
      <c r="IH463" s="13">
        <f>IH462+IG463</f>
        <v>-19810329.164056588</v>
      </c>
      <c r="II463">
        <f>IF(IH463=MAX($IH$83:$IH$483),$A463,0)</f>
        <v>0</v>
      </c>
      <c r="IJ463">
        <f>IF(IE463&lt;IF463,$A463,B_MAX+1)</f>
        <v>380</v>
      </c>
      <c r="IK463" s="13">
        <f>IF(IB463=1,$IB$35,$IB$36)</f>
        <v>0</v>
      </c>
      <c r="IL463" s="13">
        <f>OCC_DAYS*$IB$41*R_NF_2023-ID463*MCD_SHARE_FREED*R_WAIT_2023</f>
        <v>151980.48282209205</v>
      </c>
      <c r="IM463">
        <f>IF($A463&lt;=$IB$45,1,0)</f>
        <v>0</v>
      </c>
      <c r="JB463">
        <f>IF($JB$31&lt;=$JB$32,IF($A463&lt;=$JB$7,1,2),IF($A463&lt;=RUNG_BEDS_2,2,1))</f>
        <v>1</v>
      </c>
      <c r="JC463" s="5">
        <f>MIN(1,MAX(0,$JB$26-($A463-1)))</f>
        <v>0</v>
      </c>
      <c r="JD463" s="5">
        <f>$JB$25*(JC463+(1-JC463)*$JB$16)</f>
        <v>0.0</v>
      </c>
      <c r="JE463" s="13">
        <f>JD463*($JB$6+ACUTE_MARGIN)</f>
        <v>0.0</v>
      </c>
      <c r="JF463" s="13">
        <f>IF(JB463=1,$JB$31,$JB$32)</f>
        <v>152394.16214437486</v>
      </c>
      <c r="JG463" s="13">
        <f>JE463-JF463</f>
        <v>-152394.16214437486</v>
      </c>
      <c r="JH463" s="13">
        <f>JH462+JG463</f>
        <v>-19680810.98659006</v>
      </c>
      <c r="JI463">
        <f>IF(JH463=MAX($JH$83:$JH$483),$A463,0)</f>
        <v>0</v>
      </c>
      <c r="JJ463">
        <f>IF(JE463&lt;JF463,$A463,B_MAX+1)</f>
        <v>380</v>
      </c>
      <c r="JK463" s="13">
        <f>IF(JB463=1,$JB$35,$JB$36)</f>
        <v>0</v>
      </c>
      <c r="JL463" s="13">
        <f>OCC_DAYS*$JB$41*R_NF_2023-JD463*MCD_SHARE_FREED*R_WAIT_2023</f>
        <v>151980.48282209205</v>
      </c>
      <c r="JM463">
        <f>IF($A463&lt;=$JB$45,1,0)</f>
        <v>0</v>
      </c>
      <c r="KB463">
        <f>IF($KB$31&lt;=$KB$32,IF($A463&lt;=$KB$7,1,2),IF($A463&lt;=RUNG_BEDS_2,2,1))</f>
        <v>1</v>
      </c>
      <c r="KC463" s="5">
        <f>MIN(1,MAX(0,$KB$26-($A463-1)))</f>
        <v>0</v>
      </c>
      <c r="KD463" s="5">
        <f>$KB$25*(KC463+(1-KC463)*$KB$16)</f>
        <v>0.0</v>
      </c>
      <c r="KE463" s="13">
        <f>KD463*($KB$6+ACUTE_MARGIN)</f>
        <v>0.0</v>
      </c>
      <c r="KF463" s="13">
        <f>IF(KB463=1,$KB$31,$KB$32)</f>
        <v>152394.16214437486</v>
      </c>
      <c r="KG463" s="13">
        <f>KE463-KF463</f>
        <v>-152394.16214437486</v>
      </c>
      <c r="KH463" s="13">
        <f>KH462+KG463</f>
        <v>-19680810.98659017</v>
      </c>
      <c r="KI463">
        <f>IF(KH463=MAX($KH$83:$KH$483),$A463,0)</f>
        <v>0</v>
      </c>
      <c r="KJ463">
        <f>IF(KE463&lt;KF463,$A463,B_MAX+1)</f>
        <v>380</v>
      </c>
      <c r="KK463" s="13">
        <f>IF(KB463=1,$KB$35,$KB$36)</f>
        <v>0</v>
      </c>
      <c r="KL463" s="13">
        <f>OCC_DAYS*$KB$41*R_NF_2023-KD463*MCD_SHARE_FREED*R_WAIT_2023</f>
        <v>151980.48282209205</v>
      </c>
      <c r="KM463">
        <f>IF($A463&lt;=$KB$45,1,0)</f>
        <v>0</v>
      </c>
      <c r="LB463">
        <f>IF($LB$31&lt;=$LB$32,IF($A463&lt;=$LB$7,1,2),IF($A463&lt;=RUNG_BEDS_2,2,1))</f>
        <v>1</v>
      </c>
      <c r="LC463" s="5">
        <f>MIN(1,MAX(0,$LB$26-($A463-1)))</f>
        <v>1</v>
      </c>
      <c r="LD463" s="5">
        <f>$LB$25*(LC463+(1-LC463)*$LB$16)</f>
        <v>84.01774238227146</v>
      </c>
      <c r="LE463" s="13">
        <f>LD463*($LB$6+ACUTE_MARGIN)</f>
        <v>84857.91980609419</v>
      </c>
      <c r="LF463" s="13">
        <f>IF(LB463=1,$LB$31,$LB$32)</f>
        <v>152394.16214437486</v>
      </c>
      <c r="LG463" s="13">
        <f>LE463-LF463</f>
        <v>-67536.24233828067</v>
      </c>
      <c r="LH463" s="13">
        <f>LH462+LG463</f>
        <v>-25663772.088546798</v>
      </c>
      <c r="LI463">
        <f>IF(LH463=MAX($LH$83:$LH$483),$A463,0)</f>
        <v>0</v>
      </c>
      <c r="LJ463">
        <f>IF(LE463&lt;LF463,$A463,B_MAX+1)</f>
        <v>380</v>
      </c>
      <c r="LK463" s="13">
        <f>IF(LB463=1,$LB$35,$LB$36)</f>
        <v>0</v>
      </c>
      <c r="LL463" s="13">
        <f>OCC_DAYS*$LB$41*R_NF_2023-LD463*MCD_SHARE_FREED*R_WAIT_2023</f>
        <v>113776.04162887059</v>
      </c>
      <c r="LM463">
        <f>IF($A463&lt;=$LB$45,1,0)</f>
        <v>0</v>
      </c>
      <c r="MB463">
        <f>IF($MB$31&lt;=$MB$32,IF($A463&lt;=$MB$7,1,2),IF($A463&lt;=RUNG_BEDS_2,2,1))</f>
        <v>1</v>
      </c>
      <c r="MC463" s="5">
        <f>MIN(1,MAX(0,$MB$26-($A463-1)))</f>
        <v>0</v>
      </c>
      <c r="MD463" s="5">
        <f>$MB$25*(MC463+(1-MC463)*$MB$16)</f>
        <v>0.0</v>
      </c>
      <c r="ME463" s="13">
        <f>MD463*($MB$6+ACUTE_MARGIN)</f>
        <v>0.0</v>
      </c>
      <c r="MF463" s="13">
        <f>IF(MB463=1,$MB$31,$MB$32)</f>
        <v>152394.16214437486</v>
      </c>
      <c r="MG463" s="13">
        <f>ME463-MF463</f>
        <v>-152394.16214437486</v>
      </c>
      <c r="MH463" s="13">
        <f>MH462+MG463</f>
        <v>-25568087.048388362</v>
      </c>
      <c r="MI463">
        <f>IF(MH463=MAX($MH$83:$MH$483),$A463,0)</f>
        <v>0</v>
      </c>
      <c r="MJ463">
        <f>IF(ME463&lt;MF463,$A463,B_MAX+1)</f>
        <v>380</v>
      </c>
      <c r="MK463" s="13">
        <f>IF(MB463=1,$MB$35,$MB$36)</f>
        <v>0</v>
      </c>
      <c r="ML463" s="13">
        <f>OCC_DAYS*$MB$41*R_NF_2023-MD463*MCD_SHARE_FREED*R_WAIT_2023</f>
        <v>151980.48282209205</v>
      </c>
      <c r="MM463">
        <f>IF($A463&lt;=$MB$45,1,0)</f>
        <v>0</v>
      </c>
      <c r="NB463">
        <f>IF($NB$31&lt;=$NB$32,IF($A463&lt;=$NB$7,1,2),IF($A463&lt;=RUNG_BEDS_2,2,1))</f>
        <v>1</v>
      </c>
      <c r="NC463" s="5">
        <f>MIN(1,MAX(0,$NB$26-($A463-1)))</f>
        <v>0</v>
      </c>
      <c r="ND463" s="5">
        <f>$NB$25*(NC463+(1-NC463)*$NB$16)</f>
        <v>63.013306786703595</v>
      </c>
      <c r="NE463" s="13">
        <f>ND463*($NB$6+ACUTE_MARGIN)</f>
        <v>63643.43985457063</v>
      </c>
      <c r="NF463" s="13">
        <f>IF(NB463=1,$NB$31,$NB$32)</f>
        <v>152394.16214437486</v>
      </c>
      <c r="NG463" s="13">
        <f>NE463-NF463</f>
        <v>-88750.72228980422</v>
      </c>
      <c r="NH463" s="13">
        <f>NH462+NG463</f>
        <v>-5053546.498921386</v>
      </c>
      <c r="NI463">
        <f>IF(NH463=MAX($NH$83:$NH$483),$A463,0)</f>
        <v>0</v>
      </c>
      <c r="NJ463">
        <f>IF(NE463&lt;NF463,$A463,B_MAX+1)</f>
        <v>380</v>
      </c>
      <c r="NK463" s="13">
        <f>IF(NB463=1,$NB$35,$NB$36)</f>
        <v>0</v>
      </c>
      <c r="NL463" s="13">
        <f>OCC_DAYS*$NB$41*R_NF_2023-ND463*MCD_SHARE_FREED*R_WAIT_2023</f>
        <v>123327.15192717595</v>
      </c>
      <c r="NM463">
        <f>IF($A463&lt;=$NB$45,1,0)</f>
        <v>0</v>
      </c>
      <c r="OB463">
        <f>IF($OB$31&lt;=$OB$32,IF($A463&lt;=$OB$7,1,2),IF($A463&lt;=RUNG_BEDS_2,2,1))</f>
        <v>1</v>
      </c>
      <c r="OC463" s="5">
        <f>MIN(1,MAX(0,$OB$26-($A463-1)))</f>
        <v>0</v>
      </c>
      <c r="OD463" s="5">
        <f>$OB$25*(OC463+(1-OC463)*$OB$16)</f>
        <v>126.02661357340719</v>
      </c>
      <c r="OE463" s="13">
        <f>OD463*($OB$6+ACUTE_MARGIN)</f>
        <v>127286.87970914126</v>
      </c>
      <c r="OF463" s="13">
        <f>IF(OB463=1,$OB$31,$OB$32)</f>
        <v>152394.16214437486</v>
      </c>
      <c r="OG463" s="13">
        <f>OE463-OF463</f>
        <v>-25107.282435233603</v>
      </c>
      <c r="OH463" s="13">
        <f>OH462+OG463</f>
        <v>9573717.988747604</v>
      </c>
      <c r="OI463">
        <f>IF(OH463=MAX($OH$83:$OH$483),$A463,0)</f>
        <v>0</v>
      </c>
      <c r="OJ463">
        <f>IF(OE463&lt;OF463,$A463,B_MAX+1)</f>
        <v>380</v>
      </c>
      <c r="OK463" s="13">
        <f>IF(OB463=1,$OB$35,$OB$36)</f>
        <v>0</v>
      </c>
      <c r="OL463" s="13">
        <f>OCC_DAYS*$OB$41*R_NF_2023-OD463*MCD_SHARE_FREED*R_WAIT_2023</f>
        <v>94673.82103225985</v>
      </c>
      <c r="OM463">
        <f>IF($A463&lt;=$OB$45,1,0)</f>
        <v>0</v>
      </c>
    </row>
    <row r="464">
      <c r="A464" t="n">
        <v>381</v>
      </c>
      <c r="B464">
        <f>IF($B$31&lt;=$B$32,IF($A464&lt;=$B$7,1,2),IF($A464&lt;=RUNG_BEDS_2,2,1))</f>
        <v>1</v>
      </c>
      <c r="C464" s="5">
        <f>MIN(1,MAX(0,$B$26-($A464-1)))</f>
        <v>0</v>
      </c>
      <c r="D464" s="5">
        <f>$B$25*(C464+(1-C464)*$B$16)</f>
        <v>0.0</v>
      </c>
      <c r="E464" s="13">
        <f>D464*($B$6+ACUTE_MARGIN)</f>
        <v>0.0</v>
      </c>
      <c r="F464" s="13">
        <f>IF(B464=1,$B$31,$B$32)</f>
        <v>152394.16214437486</v>
      </c>
      <c r="G464" s="13">
        <f>E464-F464</f>
        <v>-152394.16214437486</v>
      </c>
      <c r="H464" s="13">
        <f>H463+G464</f>
        <v>-19833205.148734435</v>
      </c>
      <c r="I464">
        <f>IF(H464=MAX($H$83:$H$483),$A464,0)</f>
        <v>0</v>
      </c>
      <c r="J464">
        <f>IF(E464&lt;F464,$A464,B_MAX+1)</f>
        <v>381</v>
      </c>
      <c r="K464" s="13">
        <f>IF(B464=1,$B$35,$B$36)</f>
        <v>0</v>
      </c>
      <c r="L464" s="13">
        <f>OCC_DAYS*$B$41*R_NF_2023-D464*MCD_SHARE_FREED*R_WAIT_2023</f>
        <v>151980.48282209205</v>
      </c>
      <c r="M464">
        <f>IF($A464&lt;=$B$45,1,0)</f>
        <v>0</v>
      </c>
      <c r="AB464">
        <f>IF($AB$31&lt;=$AB$32,IF($A464&lt;=$AB$7,1,2),IF($A464&lt;=RUNG_BEDS_2,2,1))</f>
        <v>1</v>
      </c>
      <c r="AC464" s="5">
        <f>MIN(1,MAX(0,$AB$26-($A464-1)))</f>
        <v>0</v>
      </c>
      <c r="AD464" s="5">
        <f>$AB$25*(AC464+(1-AC464)*$AB$16)</f>
        <v>0.0</v>
      </c>
      <c r="AE464" s="13">
        <f>AD464*($AB$6+ACUTE_MARGIN)</f>
        <v>0.0</v>
      </c>
      <c r="AF464" s="13">
        <f>IF(AB464=1,$AB$31,$AB$32)</f>
        <v>152394.16214437486</v>
      </c>
      <c r="AG464" s="13">
        <f>AE464-AF464</f>
        <v>-152394.16214437486</v>
      </c>
      <c r="AH464" s="13">
        <f>AH463+AG464</f>
        <v>-37244419.494284265</v>
      </c>
      <c r="AI464">
        <f>IF(AH464=MAX($AH$83:$AH$483),$A464,0)</f>
        <v>0</v>
      </c>
      <c r="AJ464">
        <f>IF(AE464&lt;AF464,$A464,B_MAX+1)</f>
        <v>381</v>
      </c>
      <c r="AK464" s="13">
        <f>IF(AB464=1,$AB$35,$AB$36)</f>
        <v>0</v>
      </c>
      <c r="AL464" s="13">
        <f>OCC_DAYS*$AB$41*R_NF_2023-AD464*MCD_SHARE_FREED*R_WAIT_2023</f>
        <v>151980.48282209205</v>
      </c>
      <c r="AM464">
        <f>IF($A464&lt;=$AB$45,1,0)</f>
        <v>0</v>
      </c>
      <c r="BB464">
        <f>IF($BB$31&lt;=$BB$32,IF($A464&lt;=$BB$7,1,2),IF($A464&lt;=RUNG_BEDS_2,2,1))</f>
        <v>1</v>
      </c>
      <c r="BC464" s="5">
        <f>MIN(1,MAX(0,$BB$26-($A464-1)))</f>
        <v>0</v>
      </c>
      <c r="BD464" s="5">
        <f>$BB$25*(BC464+(1-BC464)*$BB$16)</f>
        <v>0.0</v>
      </c>
      <c r="BE464" s="13">
        <f>BD464*($BB$6+ACUTE_MARGIN)</f>
        <v>0.0</v>
      </c>
      <c r="BF464" s="13">
        <f>IF(BB464=1,$BB$31,$BB$32)</f>
        <v>152394.16214437486</v>
      </c>
      <c r="BG464" s="13">
        <f>BE464-BF464</f>
        <v>-152394.16214437486</v>
      </c>
      <c r="BH464" s="13">
        <f>BH463+BG464</f>
        <v>-2421990.803184737</v>
      </c>
      <c r="BI464">
        <f>IF(BH464=MAX($BH$83:$BH$483),$A464,0)</f>
        <v>0</v>
      </c>
      <c r="BJ464">
        <f>IF(BE464&lt;BF464,$A464,B_MAX+1)</f>
        <v>381</v>
      </c>
      <c r="BK464" s="13">
        <f>IF(BB464=1,$BB$35,$BB$36)</f>
        <v>0</v>
      </c>
      <c r="BL464" s="13">
        <f>OCC_DAYS*$BB$41*R_NF_2023-BD464*MCD_SHARE_FREED*R_WAIT_2023</f>
        <v>151980.48282209205</v>
      </c>
      <c r="BM464">
        <f>IF($A464&lt;=$BB$45,1,0)</f>
        <v>0</v>
      </c>
      <c r="CB464">
        <f>IF($CB$31&lt;=$CB$32,IF($A464&lt;=$CB$7,1,2),IF($A464&lt;=RUNG_BEDS_2,2,1))</f>
        <v>2</v>
      </c>
      <c r="CC464" s="5">
        <f>MIN(1,MAX(0,$CB$26-($A464-1)))</f>
        <v>0</v>
      </c>
      <c r="CD464" s="5">
        <f>$CB$25*(CC464+(1-CC464)*$CB$16)</f>
        <v>0.0</v>
      </c>
      <c r="CE464" s="13">
        <f>CD464*($CB$6+ACUTE_MARGIN)</f>
        <v>0.0</v>
      </c>
      <c r="CF464" s="13">
        <f>IF(CB464=1,$CB$31,$CB$32)</f>
        <v>160718.36940738867</v>
      </c>
      <c r="CG464" s="13">
        <f>CE464-CF464</f>
        <v>-160718.36940738867</v>
      </c>
      <c r="CH464" s="13">
        <f>CH463+CG464</f>
        <v>-23004728.115942914</v>
      </c>
      <c r="CI464">
        <f>IF(CH464=MAX($CH$83:$CH$483),$A464,0)</f>
        <v>0</v>
      </c>
      <c r="CJ464">
        <f>IF(CE464&lt;CF464,$A464,B_MAX+1)</f>
        <v>381</v>
      </c>
      <c r="CK464" s="13">
        <f>IF(CB464=1,$CB$35,$CB$36)</f>
        <v>1560.1194073886782</v>
      </c>
      <c r="CL464" s="13">
        <f>OCC_DAYS*$CB$41*R_NF_2023-CD464*MCD_SHARE_FREED*R_WAIT_2023</f>
        <v>151980.48282209205</v>
      </c>
      <c r="CM464">
        <f>IF($A464&lt;=$CB$45,1,0)</f>
        <v>0</v>
      </c>
      <c r="DB464">
        <f>IF($DB$31&lt;=$DB$32,IF($A464&lt;=$DB$7,1,2),IF($A464&lt;=RUNG_BEDS_2,2,1))</f>
        <v>1</v>
      </c>
      <c r="DC464" s="5">
        <f>MIN(1,MAX(0,$DB$26-($A464-1)))</f>
        <v>0</v>
      </c>
      <c r="DD464" s="5">
        <f>$DB$25*(DC464+(1-DC464)*$DB$16)</f>
        <v>0.0</v>
      </c>
      <c r="DE464" s="13">
        <f>DD464*($DB$6+ACUTE_MARGIN)</f>
        <v>0.0</v>
      </c>
      <c r="DF464" s="13">
        <f>IF(DB464=1,$DB$31,$DB$32)</f>
        <v>152394.16214437486</v>
      </c>
      <c r="DG464" s="13">
        <f>DE464-DF464</f>
        <v>-152394.16214437486</v>
      </c>
      <c r="DH464" s="13">
        <f>DH463+DG464</f>
        <v>-19833205.148734435</v>
      </c>
      <c r="DI464">
        <f>IF(DH464=MAX($DH$83:$DH$483),$A464,0)</f>
        <v>0</v>
      </c>
      <c r="DJ464">
        <f>IF(DE464&lt;DF464,$A464,B_MAX+1)</f>
        <v>381</v>
      </c>
      <c r="DK464" s="13">
        <f>IF(DB464=1,$DB$35,$DB$36)</f>
        <v>0</v>
      </c>
      <c r="DL464" s="13">
        <f>OCC_DAYS*$DB$41*R_NF_2023-DD464*MCD_SHARE_FREED*R_WAIT_2023</f>
        <v>151980.48282209205</v>
      </c>
      <c r="DM464">
        <f>IF($A464&lt;=$DB$45,1,0)</f>
        <v>0</v>
      </c>
      <c r="EB464">
        <f>IF($EB$31&lt;=$EB$32,IF($A464&lt;=$EB$7,1,2),IF($A464&lt;=RUNG_BEDS_2,2,1))</f>
        <v>1</v>
      </c>
      <c r="EC464" s="5">
        <f>MIN(1,MAX(0,$EB$26-($A464-1)))</f>
        <v>0</v>
      </c>
      <c r="ED464" s="5">
        <f>$EB$25*(EC464+(1-EC464)*$EB$16)</f>
        <v>0.0</v>
      </c>
      <c r="EE464" s="13">
        <f>ED464*($EB$6+ACUTE_MARGIN)</f>
        <v>0.0</v>
      </c>
      <c r="EF464" s="13">
        <f>IF(EB464=1,$EB$31,$EB$32)</f>
        <v>152394.16214437486</v>
      </c>
      <c r="EG464" s="13">
        <f>EE464-EF464</f>
        <v>-152394.16214437486</v>
      </c>
      <c r="EH464" s="13">
        <f>EH463+EG464</f>
        <v>-19833205.148734435</v>
      </c>
      <c r="EI464">
        <f>IF(EH464=MAX($EH$83:$EH$483),$A464,0)</f>
        <v>0</v>
      </c>
      <c r="EJ464">
        <f>IF(EE464&lt;EF464,$A464,B_MAX+1)</f>
        <v>381</v>
      </c>
      <c r="EK464" s="13">
        <f>IF(EB464=1,$EB$35,$EB$36)</f>
        <v>0</v>
      </c>
      <c r="EL464" s="13">
        <f>OCC_DAYS*$EB$41*R_NF_2023-ED464*MCD_SHARE_FREED*R_WAIT_2023</f>
        <v>50660.16094069735</v>
      </c>
      <c r="EM464">
        <f>IF($A464&lt;=$EB$45,1,0)</f>
        <v>0</v>
      </c>
      <c r="FB464">
        <f>IF($FB$31&lt;=$FB$32,IF($A464&lt;=$FB$7,1,2),IF($A464&lt;=RUNG_BEDS_2,2,1))</f>
        <v>1</v>
      </c>
      <c r="FC464" s="5">
        <f>MIN(1,MAX(0,$FB$26-($A464-1)))</f>
        <v>0</v>
      </c>
      <c r="FD464" s="5">
        <f>$FB$25*(FC464+(1-FC464)*$FB$16)</f>
        <v>0.0</v>
      </c>
      <c r="FE464" s="13">
        <f>FD464*($FB$6+ACUTE_MARGIN)</f>
        <v>0.0</v>
      </c>
      <c r="FF464" s="13">
        <f>IF(FB464=1,$FB$31,$FB$32)</f>
        <v>156636.04979437485</v>
      </c>
      <c r="FG464" s="13">
        <f>FE464-FF464</f>
        <v>-156636.04979437485</v>
      </c>
      <c r="FH464" s="13">
        <f>FH463+FG464</f>
        <v>-21449364.34338459</v>
      </c>
      <c r="FI464">
        <f>IF(FH464=MAX($FH$83:$FH$483),$A464,0)</f>
        <v>0</v>
      </c>
      <c r="FJ464">
        <f>IF(FE464&lt;FF464,$A464,B_MAX+1)</f>
        <v>381</v>
      </c>
      <c r="FK464" s="13">
        <f>IF(FB464=1,$FB$35,$FB$36)</f>
        <v>0</v>
      </c>
      <c r="FL464" s="13">
        <f>OCC_DAYS*$FB$41*R_NF_2023-FD464*MCD_SHARE_FREED*R_WAIT_2023</f>
        <v>151980.48282209205</v>
      </c>
      <c r="FM464">
        <f>IF($A464&lt;=$FB$45,1,0)</f>
        <v>0</v>
      </c>
      <c r="GB464">
        <f>IF($GB$31&lt;=$GB$32,IF($A464&lt;=$GB$7,1,2),IF($A464&lt;=RUNG_BEDS_2,2,1))</f>
        <v>1</v>
      </c>
      <c r="GC464" s="5">
        <f>MIN(1,MAX(0,$GB$26-($A464-1)))</f>
        <v>0</v>
      </c>
      <c r="GD464" s="5">
        <f>$GB$25*(GC464+(1-GC464)*$GB$16)</f>
        <v>0.0</v>
      </c>
      <c r="GE464" s="13">
        <f>GD464*($GB$6+ACUTE_MARGIN)</f>
        <v>0.0</v>
      </c>
      <c r="GF464" s="13">
        <f>IF(GB464=1,$GB$31,$GB$32)</f>
        <v>152394.16214437486</v>
      </c>
      <c r="GG464" s="13">
        <f>GE464-GF464</f>
        <v>-152394.16214437486</v>
      </c>
      <c r="GH464" s="13">
        <f>GH463+GG464</f>
        <v>-19833205.148734435</v>
      </c>
      <c r="GI464">
        <f>IF(GH464=MAX($GH$83:$GH$483),$A464,0)</f>
        <v>0</v>
      </c>
      <c r="GJ464">
        <f>IF(GE464&lt;GF464,$A464,B_MAX+1)</f>
        <v>381</v>
      </c>
      <c r="GK464" s="13">
        <f>IF(GB464=1,$GB$35,$GB$36)</f>
        <v>0</v>
      </c>
      <c r="GL464" s="13">
        <f>OCC_DAYS*$GB$41*R_NF_2023-GD464*MCD_SHARE_FREED*R_WAIT_2023</f>
        <v>151980.48282209205</v>
      </c>
      <c r="GM464">
        <f>IF($A464&lt;=$GB$45,1,0)</f>
        <v>0</v>
      </c>
      <c r="HB464">
        <f>IF($HB$31&lt;=$HB$32,IF($A464&lt;=$HB$7,1,2),IF($A464&lt;=RUNG_BEDS_2,2,1))</f>
        <v>1</v>
      </c>
      <c r="HC464" s="5">
        <f>MIN(1,MAX(0,$HB$26-($A464-1)))</f>
        <v>0</v>
      </c>
      <c r="HD464" s="5">
        <f>$HB$25*(HC464+(1-HC464)*$HB$16)</f>
        <v>0.0</v>
      </c>
      <c r="HE464" s="13">
        <f>HD464*($HB$6+ACUTE_MARGIN)</f>
        <v>0.0</v>
      </c>
      <c r="HF464" s="13">
        <f>IF(HB464=1,$HB$31,$HB$32)</f>
        <v>152456.2970814058</v>
      </c>
      <c r="HG464" s="13">
        <f>HE464-HF464</f>
        <v>-152456.2970814058</v>
      </c>
      <c r="HH464" s="13">
        <f>HH463+HG464</f>
        <v>-19856878.559743326</v>
      </c>
      <c r="HI464">
        <f>IF(HH464=MAX($HH$83:$HH$483),$A464,0)</f>
        <v>0</v>
      </c>
      <c r="HJ464">
        <f>IF(HE464&lt;HF464,$A464,B_MAX+1)</f>
        <v>381</v>
      </c>
      <c r="HK464" s="13">
        <f>IF(HB464=1,$HB$35,$HB$36)</f>
        <v>0</v>
      </c>
      <c r="HL464" s="13">
        <f>OCC_DAYS*$HB$41*R_NF_2023-HD464*MCD_SHARE_FREED*R_WAIT_2023</f>
        <v>151980.48282209205</v>
      </c>
      <c r="HM464">
        <f>IF($A464&lt;=$HB$45,1,0)</f>
        <v>0</v>
      </c>
      <c r="IB464">
        <f>IF($IB$31&lt;=$IB$32,IF($A464&lt;=$IB$7,1,2),IF($A464&lt;=RUNG_BEDS_2,2,1))</f>
        <v>1</v>
      </c>
      <c r="IC464" s="5">
        <f>MIN(1,MAX(0,$IB$26-($A464-1)))</f>
        <v>0</v>
      </c>
      <c r="ID464" s="5">
        <f>$IB$25*(IC464+(1-IC464)*$IB$16)</f>
        <v>0.0</v>
      </c>
      <c r="IE464" s="13">
        <f>ID464*($IB$6+ACUTE_MARGIN)</f>
        <v>0.0</v>
      </c>
      <c r="IF464" s="13">
        <f>IF(IB464=1,$IB$31,$IB$32)</f>
        <v>152734.9994534971</v>
      </c>
      <c r="IG464" s="13">
        <f>IE464-IF464</f>
        <v>-152734.9994534971</v>
      </c>
      <c r="IH464" s="13">
        <f>IH463+IG464</f>
        <v>-19963064.163510084</v>
      </c>
      <c r="II464">
        <f>IF(IH464=MAX($IH$83:$IH$483),$A464,0)</f>
        <v>0</v>
      </c>
      <c r="IJ464">
        <f>IF(IE464&lt;IF464,$A464,B_MAX+1)</f>
        <v>381</v>
      </c>
      <c r="IK464" s="13">
        <f>IF(IB464=1,$IB$35,$IB$36)</f>
        <v>0</v>
      </c>
      <c r="IL464" s="13">
        <f>OCC_DAYS*$IB$41*R_NF_2023-ID464*MCD_SHARE_FREED*R_WAIT_2023</f>
        <v>151980.48282209205</v>
      </c>
      <c r="IM464">
        <f>IF($A464&lt;=$IB$45,1,0)</f>
        <v>0</v>
      </c>
      <c r="JB464">
        <f>IF($JB$31&lt;=$JB$32,IF($A464&lt;=$JB$7,1,2),IF($A464&lt;=RUNG_BEDS_2,2,1))</f>
        <v>1</v>
      </c>
      <c r="JC464" s="5">
        <f>MIN(1,MAX(0,$JB$26-($A464-1)))</f>
        <v>0</v>
      </c>
      <c r="JD464" s="5">
        <f>$JB$25*(JC464+(1-JC464)*$JB$16)</f>
        <v>0.0</v>
      </c>
      <c r="JE464" s="13">
        <f>JD464*($JB$6+ACUTE_MARGIN)</f>
        <v>0.0</v>
      </c>
      <c r="JF464" s="13">
        <f>IF(JB464=1,$JB$31,$JB$32)</f>
        <v>152394.16214437486</v>
      </c>
      <c r="JG464" s="13">
        <f>JE464-JF464</f>
        <v>-152394.16214437486</v>
      </c>
      <c r="JH464" s="13">
        <f>JH463+JG464</f>
        <v>-19833205.148734435</v>
      </c>
      <c r="JI464">
        <f>IF(JH464=MAX($JH$83:$JH$483),$A464,0)</f>
        <v>0</v>
      </c>
      <c r="JJ464">
        <f>IF(JE464&lt;JF464,$A464,B_MAX+1)</f>
        <v>381</v>
      </c>
      <c r="JK464" s="13">
        <f>IF(JB464=1,$JB$35,$JB$36)</f>
        <v>0</v>
      </c>
      <c r="JL464" s="13">
        <f>OCC_DAYS*$JB$41*R_NF_2023-JD464*MCD_SHARE_FREED*R_WAIT_2023</f>
        <v>151980.48282209205</v>
      </c>
      <c r="JM464">
        <f>IF($A464&lt;=$JB$45,1,0)</f>
        <v>0</v>
      </c>
      <c r="KB464">
        <f>IF($KB$31&lt;=$KB$32,IF($A464&lt;=$KB$7,1,2),IF($A464&lt;=RUNG_BEDS_2,2,1))</f>
        <v>1</v>
      </c>
      <c r="KC464" s="5">
        <f>MIN(1,MAX(0,$KB$26-($A464-1)))</f>
        <v>0</v>
      </c>
      <c r="KD464" s="5">
        <f>$KB$25*(KC464+(1-KC464)*$KB$16)</f>
        <v>0.0</v>
      </c>
      <c r="KE464" s="13">
        <f>KD464*($KB$6+ACUTE_MARGIN)</f>
        <v>0.0</v>
      </c>
      <c r="KF464" s="13">
        <f>IF(KB464=1,$KB$31,$KB$32)</f>
        <v>152394.16214437486</v>
      </c>
      <c r="KG464" s="13">
        <f>KE464-KF464</f>
        <v>-152394.16214437486</v>
      </c>
      <c r="KH464" s="13">
        <f>KH463+KG464</f>
        <v>-19833205.148734543</v>
      </c>
      <c r="KI464">
        <f>IF(KH464=MAX($KH$83:$KH$483),$A464,0)</f>
        <v>0</v>
      </c>
      <c r="KJ464">
        <f>IF(KE464&lt;KF464,$A464,B_MAX+1)</f>
        <v>381</v>
      </c>
      <c r="KK464" s="13">
        <f>IF(KB464=1,$KB$35,$KB$36)</f>
        <v>0</v>
      </c>
      <c r="KL464" s="13">
        <f>OCC_DAYS*$KB$41*R_NF_2023-KD464*MCD_SHARE_FREED*R_WAIT_2023</f>
        <v>151980.48282209205</v>
      </c>
      <c r="KM464">
        <f>IF($A464&lt;=$KB$45,1,0)</f>
        <v>0</v>
      </c>
      <c r="LB464">
        <f>IF($LB$31&lt;=$LB$32,IF($A464&lt;=$LB$7,1,2),IF($A464&lt;=RUNG_BEDS_2,2,1))</f>
        <v>1</v>
      </c>
      <c r="LC464" s="5">
        <f>MIN(1,MAX(0,$LB$26-($A464-1)))</f>
        <v>1</v>
      </c>
      <c r="LD464" s="5">
        <f>$LB$25*(LC464+(1-LC464)*$LB$16)</f>
        <v>84.01774238227146</v>
      </c>
      <c r="LE464" s="13">
        <f>LD464*($LB$6+ACUTE_MARGIN)</f>
        <v>84857.91980609419</v>
      </c>
      <c r="LF464" s="13">
        <f>IF(LB464=1,$LB$31,$LB$32)</f>
        <v>152394.16214437486</v>
      </c>
      <c r="LG464" s="13">
        <f>LE464-LF464</f>
        <v>-67536.24233828067</v>
      </c>
      <c r="LH464" s="13">
        <f>LH463+LG464</f>
        <v>-25731308.33088508</v>
      </c>
      <c r="LI464">
        <f>IF(LH464=MAX($LH$83:$LH$483),$A464,0)</f>
        <v>0</v>
      </c>
      <c r="LJ464">
        <f>IF(LE464&lt;LF464,$A464,B_MAX+1)</f>
        <v>381</v>
      </c>
      <c r="LK464" s="13">
        <f>IF(LB464=1,$LB$35,$LB$36)</f>
        <v>0</v>
      </c>
      <c r="LL464" s="13">
        <f>OCC_DAYS*$LB$41*R_NF_2023-LD464*MCD_SHARE_FREED*R_WAIT_2023</f>
        <v>113776.04162887059</v>
      </c>
      <c r="LM464">
        <f>IF($A464&lt;=$LB$45,1,0)</f>
        <v>0</v>
      </c>
      <c r="MB464">
        <f>IF($MB$31&lt;=$MB$32,IF($A464&lt;=$MB$7,1,2),IF($A464&lt;=RUNG_BEDS_2,2,1))</f>
        <v>1</v>
      </c>
      <c r="MC464" s="5">
        <f>MIN(1,MAX(0,$MB$26-($A464-1)))</f>
        <v>0</v>
      </c>
      <c r="MD464" s="5">
        <f>$MB$25*(MC464+(1-MC464)*$MB$16)</f>
        <v>0.0</v>
      </c>
      <c r="ME464" s="13">
        <f>MD464*($MB$6+ACUTE_MARGIN)</f>
        <v>0.0</v>
      </c>
      <c r="MF464" s="13">
        <f>IF(MB464=1,$MB$31,$MB$32)</f>
        <v>152394.16214437486</v>
      </c>
      <c r="MG464" s="13">
        <f>ME464-MF464</f>
        <v>-152394.16214437486</v>
      </c>
      <c r="MH464" s="13">
        <f>MH463+MG464</f>
        <v>-25720481.210532736</v>
      </c>
      <c r="MI464">
        <f>IF(MH464=MAX($MH$83:$MH$483),$A464,0)</f>
        <v>0</v>
      </c>
      <c r="MJ464">
        <f>IF(ME464&lt;MF464,$A464,B_MAX+1)</f>
        <v>381</v>
      </c>
      <c r="MK464" s="13">
        <f>IF(MB464=1,$MB$35,$MB$36)</f>
        <v>0</v>
      </c>
      <c r="ML464" s="13">
        <f>OCC_DAYS*$MB$41*R_NF_2023-MD464*MCD_SHARE_FREED*R_WAIT_2023</f>
        <v>151980.48282209205</v>
      </c>
      <c r="MM464">
        <f>IF($A464&lt;=$MB$45,1,0)</f>
        <v>0</v>
      </c>
      <c r="NB464">
        <f>IF($NB$31&lt;=$NB$32,IF($A464&lt;=$NB$7,1,2),IF($A464&lt;=RUNG_BEDS_2,2,1))</f>
        <v>1</v>
      </c>
      <c r="NC464" s="5">
        <f>MIN(1,MAX(0,$NB$26-($A464-1)))</f>
        <v>0</v>
      </c>
      <c r="ND464" s="5">
        <f>$NB$25*(NC464+(1-NC464)*$NB$16)</f>
        <v>63.013306786703595</v>
      </c>
      <c r="NE464" s="13">
        <f>ND464*($NB$6+ACUTE_MARGIN)</f>
        <v>63643.43985457063</v>
      </c>
      <c r="NF464" s="13">
        <f>IF(NB464=1,$NB$31,$NB$32)</f>
        <v>152394.16214437486</v>
      </c>
      <c r="NG464" s="13">
        <f>NE464-NF464</f>
        <v>-88750.72228980422</v>
      </c>
      <c r="NH464" s="13">
        <f>NH463+NG464</f>
        <v>-5142297.22121119</v>
      </c>
      <c r="NI464">
        <f>IF(NH464=MAX($NH$83:$NH$483),$A464,0)</f>
        <v>0</v>
      </c>
      <c r="NJ464">
        <f>IF(NE464&lt;NF464,$A464,B_MAX+1)</f>
        <v>381</v>
      </c>
      <c r="NK464" s="13">
        <f>IF(NB464=1,$NB$35,$NB$36)</f>
        <v>0</v>
      </c>
      <c r="NL464" s="13">
        <f>OCC_DAYS*$NB$41*R_NF_2023-ND464*MCD_SHARE_FREED*R_WAIT_2023</f>
        <v>123327.15192717595</v>
      </c>
      <c r="NM464">
        <f>IF($A464&lt;=$NB$45,1,0)</f>
        <v>0</v>
      </c>
      <c r="OB464">
        <f>IF($OB$31&lt;=$OB$32,IF($A464&lt;=$OB$7,1,2),IF($A464&lt;=RUNG_BEDS_2,2,1))</f>
        <v>1</v>
      </c>
      <c r="OC464" s="5">
        <f>MIN(1,MAX(0,$OB$26-($A464-1)))</f>
        <v>0</v>
      </c>
      <c r="OD464" s="5">
        <f>$OB$25*(OC464+(1-OC464)*$OB$16)</f>
        <v>126.02661357340719</v>
      </c>
      <c r="OE464" s="13">
        <f>OD464*($OB$6+ACUTE_MARGIN)</f>
        <v>127286.87970914126</v>
      </c>
      <c r="OF464" s="13">
        <f>IF(OB464=1,$OB$31,$OB$32)</f>
        <v>152394.16214437486</v>
      </c>
      <c r="OG464" s="13">
        <f>OE464-OF464</f>
        <v>-25107.282435233603</v>
      </c>
      <c r="OH464" s="13">
        <f>OH463+OG464</f>
        <v>9548610.706312371</v>
      </c>
      <c r="OI464">
        <f>IF(OH464=MAX($OH$83:$OH$483),$A464,0)</f>
        <v>0</v>
      </c>
      <c r="OJ464">
        <f>IF(OE464&lt;OF464,$A464,B_MAX+1)</f>
        <v>381</v>
      </c>
      <c r="OK464" s="13">
        <f>IF(OB464=1,$OB$35,$OB$36)</f>
        <v>0</v>
      </c>
      <c r="OL464" s="13">
        <f>OCC_DAYS*$OB$41*R_NF_2023-OD464*MCD_SHARE_FREED*R_WAIT_2023</f>
        <v>94673.82103225985</v>
      </c>
      <c r="OM464">
        <f>IF($A464&lt;=$OB$45,1,0)</f>
        <v>0</v>
      </c>
    </row>
    <row r="465">
      <c r="A465" t="n">
        <v>382</v>
      </c>
      <c r="B465">
        <f>IF($B$31&lt;=$B$32,IF($A465&lt;=$B$7,1,2),IF($A465&lt;=RUNG_BEDS_2,2,1))</f>
        <v>1</v>
      </c>
      <c r="C465" s="5">
        <f>MIN(1,MAX(0,$B$26-($A465-1)))</f>
        <v>0</v>
      </c>
      <c r="D465" s="5">
        <f>$B$25*(C465+(1-C465)*$B$16)</f>
        <v>0.0</v>
      </c>
      <c r="E465" s="13">
        <f>D465*($B$6+ACUTE_MARGIN)</f>
        <v>0.0</v>
      </c>
      <c r="F465" s="13">
        <f>IF(B465=1,$B$31,$B$32)</f>
        <v>152394.16214437486</v>
      </c>
      <c r="G465" s="13">
        <f>E465-F465</f>
        <v>-152394.16214437486</v>
      </c>
      <c r="H465" s="13">
        <f>H464+G465</f>
        <v>-19985599.31087881</v>
      </c>
      <c r="I465">
        <f>IF(H465=MAX($H$83:$H$483),$A465,0)</f>
        <v>0</v>
      </c>
      <c r="J465">
        <f>IF(E465&lt;F465,$A465,B_MAX+1)</f>
        <v>382</v>
      </c>
      <c r="K465" s="13">
        <f>IF(B465=1,$B$35,$B$36)</f>
        <v>0</v>
      </c>
      <c r="L465" s="13">
        <f>OCC_DAYS*$B$41*R_NF_2023-D465*MCD_SHARE_FREED*R_WAIT_2023</f>
        <v>151980.48282209205</v>
      </c>
      <c r="M465">
        <f>IF($A465&lt;=$B$45,1,0)</f>
        <v>0</v>
      </c>
      <c r="AB465">
        <f>IF($AB$31&lt;=$AB$32,IF($A465&lt;=$AB$7,1,2),IF($A465&lt;=RUNG_BEDS_2,2,1))</f>
        <v>1</v>
      </c>
      <c r="AC465" s="5">
        <f>MIN(1,MAX(0,$AB$26-($A465-1)))</f>
        <v>0</v>
      </c>
      <c r="AD465" s="5">
        <f>$AB$25*(AC465+(1-AC465)*$AB$16)</f>
        <v>0.0</v>
      </c>
      <c r="AE465" s="13">
        <f>AD465*($AB$6+ACUTE_MARGIN)</f>
        <v>0.0</v>
      </c>
      <c r="AF465" s="13">
        <f>IF(AB465=1,$AB$31,$AB$32)</f>
        <v>152394.16214437486</v>
      </c>
      <c r="AG465" s="13">
        <f>AE465-AF465</f>
        <v>-152394.16214437486</v>
      </c>
      <c r="AH465" s="13">
        <f>AH464+AG465</f>
        <v>-37396813.65642864</v>
      </c>
      <c r="AI465">
        <f>IF(AH465=MAX($AH$83:$AH$483),$A465,0)</f>
        <v>0</v>
      </c>
      <c r="AJ465">
        <f>IF(AE465&lt;AF465,$A465,B_MAX+1)</f>
        <v>382</v>
      </c>
      <c r="AK465" s="13">
        <f>IF(AB465=1,$AB$35,$AB$36)</f>
        <v>0</v>
      </c>
      <c r="AL465" s="13">
        <f>OCC_DAYS*$AB$41*R_NF_2023-AD465*MCD_SHARE_FREED*R_WAIT_2023</f>
        <v>151980.48282209205</v>
      </c>
      <c r="AM465">
        <f>IF($A465&lt;=$AB$45,1,0)</f>
        <v>0</v>
      </c>
      <c r="BB465">
        <f>IF($BB$31&lt;=$BB$32,IF($A465&lt;=$BB$7,1,2),IF($A465&lt;=RUNG_BEDS_2,2,1))</f>
        <v>1</v>
      </c>
      <c r="BC465" s="5">
        <f>MIN(1,MAX(0,$BB$26-($A465-1)))</f>
        <v>0</v>
      </c>
      <c r="BD465" s="5">
        <f>$BB$25*(BC465+(1-BC465)*$BB$16)</f>
        <v>0.0</v>
      </c>
      <c r="BE465" s="13">
        <f>BD465*($BB$6+ACUTE_MARGIN)</f>
        <v>0.0</v>
      </c>
      <c r="BF465" s="13">
        <f>IF(BB465=1,$BB$31,$BB$32)</f>
        <v>152394.16214437486</v>
      </c>
      <c r="BG465" s="13">
        <f>BE465-BF465</f>
        <v>-152394.16214437486</v>
      </c>
      <c r="BH465" s="13">
        <f>BH464+BG465</f>
        <v>-2574384.965329112</v>
      </c>
      <c r="BI465">
        <f>IF(BH465=MAX($BH$83:$BH$483),$A465,0)</f>
        <v>0</v>
      </c>
      <c r="BJ465">
        <f>IF(BE465&lt;BF465,$A465,B_MAX+1)</f>
        <v>382</v>
      </c>
      <c r="BK465" s="13">
        <f>IF(BB465=1,$BB$35,$BB$36)</f>
        <v>0</v>
      </c>
      <c r="BL465" s="13">
        <f>OCC_DAYS*$BB$41*R_NF_2023-BD465*MCD_SHARE_FREED*R_WAIT_2023</f>
        <v>151980.48282209205</v>
      </c>
      <c r="BM465">
        <f>IF($A465&lt;=$BB$45,1,0)</f>
        <v>0</v>
      </c>
      <c r="CB465">
        <f>IF($CB$31&lt;=$CB$32,IF($A465&lt;=$CB$7,1,2),IF($A465&lt;=RUNG_BEDS_2,2,1))</f>
        <v>2</v>
      </c>
      <c r="CC465" s="5">
        <f>MIN(1,MAX(0,$CB$26-($A465-1)))</f>
        <v>0</v>
      </c>
      <c r="CD465" s="5">
        <f>$CB$25*(CC465+(1-CC465)*$CB$16)</f>
        <v>0.0</v>
      </c>
      <c r="CE465" s="13">
        <f>CD465*($CB$6+ACUTE_MARGIN)</f>
        <v>0.0</v>
      </c>
      <c r="CF465" s="13">
        <f>IF(CB465=1,$CB$31,$CB$32)</f>
        <v>160718.36940738867</v>
      </c>
      <c r="CG465" s="13">
        <f>CE465-CF465</f>
        <v>-160718.36940738867</v>
      </c>
      <c r="CH465" s="13">
        <f>CH464+CG465</f>
        <v>-23165446.485350303</v>
      </c>
      <c r="CI465">
        <f>IF(CH465=MAX($CH$83:$CH$483),$A465,0)</f>
        <v>0</v>
      </c>
      <c r="CJ465">
        <f>IF(CE465&lt;CF465,$A465,B_MAX+1)</f>
        <v>382</v>
      </c>
      <c r="CK465" s="13">
        <f>IF(CB465=1,$CB$35,$CB$36)</f>
        <v>1560.1194073886782</v>
      </c>
      <c r="CL465" s="13">
        <f>OCC_DAYS*$CB$41*R_NF_2023-CD465*MCD_SHARE_FREED*R_WAIT_2023</f>
        <v>151980.48282209205</v>
      </c>
      <c r="CM465">
        <f>IF($A465&lt;=$CB$45,1,0)</f>
        <v>0</v>
      </c>
      <c r="DB465">
        <f>IF($DB$31&lt;=$DB$32,IF($A465&lt;=$DB$7,1,2),IF($A465&lt;=RUNG_BEDS_2,2,1))</f>
        <v>1</v>
      </c>
      <c r="DC465" s="5">
        <f>MIN(1,MAX(0,$DB$26-($A465-1)))</f>
        <v>0</v>
      </c>
      <c r="DD465" s="5">
        <f>$DB$25*(DC465+(1-DC465)*$DB$16)</f>
        <v>0.0</v>
      </c>
      <c r="DE465" s="13">
        <f>DD465*($DB$6+ACUTE_MARGIN)</f>
        <v>0.0</v>
      </c>
      <c r="DF465" s="13">
        <f>IF(DB465=1,$DB$31,$DB$32)</f>
        <v>152394.16214437486</v>
      </c>
      <c r="DG465" s="13">
        <f>DE465-DF465</f>
        <v>-152394.16214437486</v>
      </c>
      <c r="DH465" s="13">
        <f>DH464+DG465</f>
        <v>-19985599.31087881</v>
      </c>
      <c r="DI465">
        <f>IF(DH465=MAX($DH$83:$DH$483),$A465,0)</f>
        <v>0</v>
      </c>
      <c r="DJ465">
        <f>IF(DE465&lt;DF465,$A465,B_MAX+1)</f>
        <v>382</v>
      </c>
      <c r="DK465" s="13">
        <f>IF(DB465=1,$DB$35,$DB$36)</f>
        <v>0</v>
      </c>
      <c r="DL465" s="13">
        <f>OCC_DAYS*$DB$41*R_NF_2023-DD465*MCD_SHARE_FREED*R_WAIT_2023</f>
        <v>151980.48282209205</v>
      </c>
      <c r="DM465">
        <f>IF($A465&lt;=$DB$45,1,0)</f>
        <v>0</v>
      </c>
      <c r="EB465">
        <f>IF($EB$31&lt;=$EB$32,IF($A465&lt;=$EB$7,1,2),IF($A465&lt;=RUNG_BEDS_2,2,1))</f>
        <v>1</v>
      </c>
      <c r="EC465" s="5">
        <f>MIN(1,MAX(0,$EB$26-($A465-1)))</f>
        <v>0</v>
      </c>
      <c r="ED465" s="5">
        <f>$EB$25*(EC465+(1-EC465)*$EB$16)</f>
        <v>0.0</v>
      </c>
      <c r="EE465" s="13">
        <f>ED465*($EB$6+ACUTE_MARGIN)</f>
        <v>0.0</v>
      </c>
      <c r="EF465" s="13">
        <f>IF(EB465=1,$EB$31,$EB$32)</f>
        <v>152394.16214437486</v>
      </c>
      <c r="EG465" s="13">
        <f>EE465-EF465</f>
        <v>-152394.16214437486</v>
      </c>
      <c r="EH465" s="13">
        <f>EH464+EG465</f>
        <v>-19985599.31087881</v>
      </c>
      <c r="EI465">
        <f>IF(EH465=MAX($EH$83:$EH$483),$A465,0)</f>
        <v>0</v>
      </c>
      <c r="EJ465">
        <f>IF(EE465&lt;EF465,$A465,B_MAX+1)</f>
        <v>382</v>
      </c>
      <c r="EK465" s="13">
        <f>IF(EB465=1,$EB$35,$EB$36)</f>
        <v>0</v>
      </c>
      <c r="EL465" s="13">
        <f>OCC_DAYS*$EB$41*R_NF_2023-ED465*MCD_SHARE_FREED*R_WAIT_2023</f>
        <v>50660.16094069735</v>
      </c>
      <c r="EM465">
        <f>IF($A465&lt;=$EB$45,1,0)</f>
        <v>0</v>
      </c>
      <c r="FB465">
        <f>IF($FB$31&lt;=$FB$32,IF($A465&lt;=$FB$7,1,2),IF($A465&lt;=RUNG_BEDS_2,2,1))</f>
        <v>1</v>
      </c>
      <c r="FC465" s="5">
        <f>MIN(1,MAX(0,$FB$26-($A465-1)))</f>
        <v>0</v>
      </c>
      <c r="FD465" s="5">
        <f>$FB$25*(FC465+(1-FC465)*$FB$16)</f>
        <v>0.0</v>
      </c>
      <c r="FE465" s="13">
        <f>FD465*($FB$6+ACUTE_MARGIN)</f>
        <v>0.0</v>
      </c>
      <c r="FF465" s="13">
        <f>IF(FB465=1,$FB$31,$FB$32)</f>
        <v>156636.04979437485</v>
      </c>
      <c r="FG465" s="13">
        <f>FE465-FF465</f>
        <v>-156636.04979437485</v>
      </c>
      <c r="FH465" s="13">
        <f>FH464+FG465</f>
        <v>-21606000.393178966</v>
      </c>
      <c r="FI465">
        <f>IF(FH465=MAX($FH$83:$FH$483),$A465,0)</f>
        <v>0</v>
      </c>
      <c r="FJ465">
        <f>IF(FE465&lt;FF465,$A465,B_MAX+1)</f>
        <v>382</v>
      </c>
      <c r="FK465" s="13">
        <f>IF(FB465=1,$FB$35,$FB$36)</f>
        <v>0</v>
      </c>
      <c r="FL465" s="13">
        <f>OCC_DAYS*$FB$41*R_NF_2023-FD465*MCD_SHARE_FREED*R_WAIT_2023</f>
        <v>151980.48282209205</v>
      </c>
      <c r="FM465">
        <f>IF($A465&lt;=$FB$45,1,0)</f>
        <v>0</v>
      </c>
      <c r="GB465">
        <f>IF($GB$31&lt;=$GB$32,IF($A465&lt;=$GB$7,1,2),IF($A465&lt;=RUNG_BEDS_2,2,1))</f>
        <v>1</v>
      </c>
      <c r="GC465" s="5">
        <f>MIN(1,MAX(0,$GB$26-($A465-1)))</f>
        <v>0</v>
      </c>
      <c r="GD465" s="5">
        <f>$GB$25*(GC465+(1-GC465)*$GB$16)</f>
        <v>0.0</v>
      </c>
      <c r="GE465" s="13">
        <f>GD465*($GB$6+ACUTE_MARGIN)</f>
        <v>0.0</v>
      </c>
      <c r="GF465" s="13">
        <f>IF(GB465=1,$GB$31,$GB$32)</f>
        <v>152394.16214437486</v>
      </c>
      <c r="GG465" s="13">
        <f>GE465-GF465</f>
        <v>-152394.16214437486</v>
      </c>
      <c r="GH465" s="13">
        <f>GH464+GG465</f>
        <v>-19985599.31087881</v>
      </c>
      <c r="GI465">
        <f>IF(GH465=MAX($GH$83:$GH$483),$A465,0)</f>
        <v>0</v>
      </c>
      <c r="GJ465">
        <f>IF(GE465&lt;GF465,$A465,B_MAX+1)</f>
        <v>382</v>
      </c>
      <c r="GK465" s="13">
        <f>IF(GB465=1,$GB$35,$GB$36)</f>
        <v>0</v>
      </c>
      <c r="GL465" s="13">
        <f>OCC_DAYS*$GB$41*R_NF_2023-GD465*MCD_SHARE_FREED*R_WAIT_2023</f>
        <v>151980.48282209205</v>
      </c>
      <c r="GM465">
        <f>IF($A465&lt;=$GB$45,1,0)</f>
        <v>0</v>
      </c>
      <c r="HB465">
        <f>IF($HB$31&lt;=$HB$32,IF($A465&lt;=$HB$7,1,2),IF($A465&lt;=RUNG_BEDS_2,2,1))</f>
        <v>1</v>
      </c>
      <c r="HC465" s="5">
        <f>MIN(1,MAX(0,$HB$26-($A465-1)))</f>
        <v>0</v>
      </c>
      <c r="HD465" s="5">
        <f>$HB$25*(HC465+(1-HC465)*$HB$16)</f>
        <v>0.0</v>
      </c>
      <c r="HE465" s="13">
        <f>HD465*($HB$6+ACUTE_MARGIN)</f>
        <v>0.0</v>
      </c>
      <c r="HF465" s="13">
        <f>IF(HB465=1,$HB$31,$HB$32)</f>
        <v>152456.2970814058</v>
      </c>
      <c r="HG465" s="13">
        <f>HE465-HF465</f>
        <v>-152456.2970814058</v>
      </c>
      <c r="HH465" s="13">
        <f>HH464+HG465</f>
        <v>-20009334.856824733</v>
      </c>
      <c r="HI465">
        <f>IF(HH465=MAX($HH$83:$HH$483),$A465,0)</f>
        <v>0</v>
      </c>
      <c r="HJ465">
        <f>IF(HE465&lt;HF465,$A465,B_MAX+1)</f>
        <v>382</v>
      </c>
      <c r="HK465" s="13">
        <f>IF(HB465=1,$HB$35,$HB$36)</f>
        <v>0</v>
      </c>
      <c r="HL465" s="13">
        <f>OCC_DAYS*$HB$41*R_NF_2023-HD465*MCD_SHARE_FREED*R_WAIT_2023</f>
        <v>151980.48282209205</v>
      </c>
      <c r="HM465">
        <f>IF($A465&lt;=$HB$45,1,0)</f>
        <v>0</v>
      </c>
      <c r="IB465">
        <f>IF($IB$31&lt;=$IB$32,IF($A465&lt;=$IB$7,1,2),IF($A465&lt;=RUNG_BEDS_2,2,1))</f>
        <v>1</v>
      </c>
      <c r="IC465" s="5">
        <f>MIN(1,MAX(0,$IB$26-($A465-1)))</f>
        <v>0</v>
      </c>
      <c r="ID465" s="5">
        <f>$IB$25*(IC465+(1-IC465)*$IB$16)</f>
        <v>0.0</v>
      </c>
      <c r="IE465" s="13">
        <f>ID465*($IB$6+ACUTE_MARGIN)</f>
        <v>0.0</v>
      </c>
      <c r="IF465" s="13">
        <f>IF(IB465=1,$IB$31,$IB$32)</f>
        <v>152734.9994534971</v>
      </c>
      <c r="IG465" s="13">
        <f>IE465-IF465</f>
        <v>-152734.9994534971</v>
      </c>
      <c r="IH465" s="13">
        <f>IH464+IG465</f>
        <v>-20115799.16296358</v>
      </c>
      <c r="II465">
        <f>IF(IH465=MAX($IH$83:$IH$483),$A465,0)</f>
        <v>0</v>
      </c>
      <c r="IJ465">
        <f>IF(IE465&lt;IF465,$A465,B_MAX+1)</f>
        <v>382</v>
      </c>
      <c r="IK465" s="13">
        <f>IF(IB465=1,$IB$35,$IB$36)</f>
        <v>0</v>
      </c>
      <c r="IL465" s="13">
        <f>OCC_DAYS*$IB$41*R_NF_2023-ID465*MCD_SHARE_FREED*R_WAIT_2023</f>
        <v>151980.48282209205</v>
      </c>
      <c r="IM465">
        <f>IF($A465&lt;=$IB$45,1,0)</f>
        <v>0</v>
      </c>
      <c r="JB465">
        <f>IF($JB$31&lt;=$JB$32,IF($A465&lt;=$JB$7,1,2),IF($A465&lt;=RUNG_BEDS_2,2,1))</f>
        <v>1</v>
      </c>
      <c r="JC465" s="5">
        <f>MIN(1,MAX(0,$JB$26-($A465-1)))</f>
        <v>0</v>
      </c>
      <c r="JD465" s="5">
        <f>$JB$25*(JC465+(1-JC465)*$JB$16)</f>
        <v>0.0</v>
      </c>
      <c r="JE465" s="13">
        <f>JD465*($JB$6+ACUTE_MARGIN)</f>
        <v>0.0</v>
      </c>
      <c r="JF465" s="13">
        <f>IF(JB465=1,$JB$31,$JB$32)</f>
        <v>152394.16214437486</v>
      </c>
      <c r="JG465" s="13">
        <f>JE465-JF465</f>
        <v>-152394.16214437486</v>
      </c>
      <c r="JH465" s="13">
        <f>JH464+JG465</f>
        <v>-19985599.31087881</v>
      </c>
      <c r="JI465">
        <f>IF(JH465=MAX($JH$83:$JH$483),$A465,0)</f>
        <v>0</v>
      </c>
      <c r="JJ465">
        <f>IF(JE465&lt;JF465,$A465,B_MAX+1)</f>
        <v>382</v>
      </c>
      <c r="JK465" s="13">
        <f>IF(JB465=1,$JB$35,$JB$36)</f>
        <v>0</v>
      </c>
      <c r="JL465" s="13">
        <f>OCC_DAYS*$JB$41*R_NF_2023-JD465*MCD_SHARE_FREED*R_WAIT_2023</f>
        <v>151980.48282209205</v>
      </c>
      <c r="JM465">
        <f>IF($A465&lt;=$JB$45,1,0)</f>
        <v>0</v>
      </c>
      <c r="KB465">
        <f>IF($KB$31&lt;=$KB$32,IF($A465&lt;=$KB$7,1,2),IF($A465&lt;=RUNG_BEDS_2,2,1))</f>
        <v>1</v>
      </c>
      <c r="KC465" s="5">
        <f>MIN(1,MAX(0,$KB$26-($A465-1)))</f>
        <v>0</v>
      </c>
      <c r="KD465" s="5">
        <f>$KB$25*(KC465+(1-KC465)*$KB$16)</f>
        <v>0.0</v>
      </c>
      <c r="KE465" s="13">
        <f>KD465*($KB$6+ACUTE_MARGIN)</f>
        <v>0.0</v>
      </c>
      <c r="KF465" s="13">
        <f>IF(KB465=1,$KB$31,$KB$32)</f>
        <v>152394.16214437486</v>
      </c>
      <c r="KG465" s="13">
        <f>KE465-KF465</f>
        <v>-152394.16214437486</v>
      </c>
      <c r="KH465" s="13">
        <f>KH464+KG465</f>
        <v>-19985599.310878918</v>
      </c>
      <c r="KI465">
        <f>IF(KH465=MAX($KH$83:$KH$483),$A465,0)</f>
        <v>0</v>
      </c>
      <c r="KJ465">
        <f>IF(KE465&lt;KF465,$A465,B_MAX+1)</f>
        <v>382</v>
      </c>
      <c r="KK465" s="13">
        <f>IF(KB465=1,$KB$35,$KB$36)</f>
        <v>0</v>
      </c>
      <c r="KL465" s="13">
        <f>OCC_DAYS*$KB$41*R_NF_2023-KD465*MCD_SHARE_FREED*R_WAIT_2023</f>
        <v>151980.48282209205</v>
      </c>
      <c r="KM465">
        <f>IF($A465&lt;=$KB$45,1,0)</f>
        <v>0</v>
      </c>
      <c r="LB465">
        <f>IF($LB$31&lt;=$LB$32,IF($A465&lt;=$LB$7,1,2),IF($A465&lt;=RUNG_BEDS_2,2,1))</f>
        <v>1</v>
      </c>
      <c r="LC465" s="5">
        <f>MIN(1,MAX(0,$LB$26-($A465-1)))</f>
        <v>1</v>
      </c>
      <c r="LD465" s="5">
        <f>$LB$25*(LC465+(1-LC465)*$LB$16)</f>
        <v>84.01774238227146</v>
      </c>
      <c r="LE465" s="13">
        <f>LD465*($LB$6+ACUTE_MARGIN)</f>
        <v>84857.91980609419</v>
      </c>
      <c r="LF465" s="13">
        <f>IF(LB465=1,$LB$31,$LB$32)</f>
        <v>152394.16214437486</v>
      </c>
      <c r="LG465" s="13">
        <f>LE465-LF465</f>
        <v>-67536.24233828067</v>
      </c>
      <c r="LH465" s="13">
        <f>LH464+LG465</f>
        <v>-25798844.57322336</v>
      </c>
      <c r="LI465">
        <f>IF(LH465=MAX($LH$83:$LH$483),$A465,0)</f>
        <v>0</v>
      </c>
      <c r="LJ465">
        <f>IF(LE465&lt;LF465,$A465,B_MAX+1)</f>
        <v>382</v>
      </c>
      <c r="LK465" s="13">
        <f>IF(LB465=1,$LB$35,$LB$36)</f>
        <v>0</v>
      </c>
      <c r="LL465" s="13">
        <f>OCC_DAYS*$LB$41*R_NF_2023-LD465*MCD_SHARE_FREED*R_WAIT_2023</f>
        <v>113776.04162887059</v>
      </c>
      <c r="LM465">
        <f>IF($A465&lt;=$LB$45,1,0)</f>
        <v>0</v>
      </c>
      <c r="MB465">
        <f>IF($MB$31&lt;=$MB$32,IF($A465&lt;=$MB$7,1,2),IF($A465&lt;=RUNG_BEDS_2,2,1))</f>
        <v>1</v>
      </c>
      <c r="MC465" s="5">
        <f>MIN(1,MAX(0,$MB$26-($A465-1)))</f>
        <v>0</v>
      </c>
      <c r="MD465" s="5">
        <f>$MB$25*(MC465+(1-MC465)*$MB$16)</f>
        <v>0.0</v>
      </c>
      <c r="ME465" s="13">
        <f>MD465*($MB$6+ACUTE_MARGIN)</f>
        <v>0.0</v>
      </c>
      <c r="MF465" s="13">
        <f>IF(MB465=1,$MB$31,$MB$32)</f>
        <v>152394.16214437486</v>
      </c>
      <c r="MG465" s="13">
        <f>ME465-MF465</f>
        <v>-152394.16214437486</v>
      </c>
      <c r="MH465" s="13">
        <f>MH464+MG465</f>
        <v>-25872875.37267711</v>
      </c>
      <c r="MI465">
        <f>IF(MH465=MAX($MH$83:$MH$483),$A465,0)</f>
        <v>0</v>
      </c>
      <c r="MJ465">
        <f>IF(ME465&lt;MF465,$A465,B_MAX+1)</f>
        <v>382</v>
      </c>
      <c r="MK465" s="13">
        <f>IF(MB465=1,$MB$35,$MB$36)</f>
        <v>0</v>
      </c>
      <c r="ML465" s="13">
        <f>OCC_DAYS*$MB$41*R_NF_2023-MD465*MCD_SHARE_FREED*R_WAIT_2023</f>
        <v>151980.48282209205</v>
      </c>
      <c r="MM465">
        <f>IF($A465&lt;=$MB$45,1,0)</f>
        <v>0</v>
      </c>
      <c r="NB465">
        <f>IF($NB$31&lt;=$NB$32,IF($A465&lt;=$NB$7,1,2),IF($A465&lt;=RUNG_BEDS_2,2,1))</f>
        <v>1</v>
      </c>
      <c r="NC465" s="5">
        <f>MIN(1,MAX(0,$NB$26-($A465-1)))</f>
        <v>0</v>
      </c>
      <c r="ND465" s="5">
        <f>$NB$25*(NC465+(1-NC465)*$NB$16)</f>
        <v>63.013306786703595</v>
      </c>
      <c r="NE465" s="13">
        <f>ND465*($NB$6+ACUTE_MARGIN)</f>
        <v>63643.43985457063</v>
      </c>
      <c r="NF465" s="13">
        <f>IF(NB465=1,$NB$31,$NB$32)</f>
        <v>152394.16214437486</v>
      </c>
      <c r="NG465" s="13">
        <f>NE465-NF465</f>
        <v>-88750.72228980422</v>
      </c>
      <c r="NH465" s="13">
        <f>NH464+NG465</f>
        <v>-5231047.943500995</v>
      </c>
      <c r="NI465">
        <f>IF(NH465=MAX($NH$83:$NH$483),$A465,0)</f>
        <v>0</v>
      </c>
      <c r="NJ465">
        <f>IF(NE465&lt;NF465,$A465,B_MAX+1)</f>
        <v>382</v>
      </c>
      <c r="NK465" s="13">
        <f>IF(NB465=1,$NB$35,$NB$36)</f>
        <v>0</v>
      </c>
      <c r="NL465" s="13">
        <f>OCC_DAYS*$NB$41*R_NF_2023-ND465*MCD_SHARE_FREED*R_WAIT_2023</f>
        <v>123327.15192717595</v>
      </c>
      <c r="NM465">
        <f>IF($A465&lt;=$NB$45,1,0)</f>
        <v>0</v>
      </c>
      <c r="OB465">
        <f>IF($OB$31&lt;=$OB$32,IF($A465&lt;=$OB$7,1,2),IF($A465&lt;=RUNG_BEDS_2,2,1))</f>
        <v>1</v>
      </c>
      <c r="OC465" s="5">
        <f>MIN(1,MAX(0,$OB$26-($A465-1)))</f>
        <v>0</v>
      </c>
      <c r="OD465" s="5">
        <f>$OB$25*(OC465+(1-OC465)*$OB$16)</f>
        <v>126.02661357340719</v>
      </c>
      <c r="OE465" s="13">
        <f>OD465*($OB$6+ACUTE_MARGIN)</f>
        <v>127286.87970914126</v>
      </c>
      <c r="OF465" s="13">
        <f>IF(OB465=1,$OB$31,$OB$32)</f>
        <v>152394.16214437486</v>
      </c>
      <c r="OG465" s="13">
        <f>OE465-OF465</f>
        <v>-25107.282435233603</v>
      </c>
      <c r="OH465" s="13">
        <f>OH464+OG465</f>
        <v>9523503.423877139</v>
      </c>
      <c r="OI465">
        <f>IF(OH465=MAX($OH$83:$OH$483),$A465,0)</f>
        <v>0</v>
      </c>
      <c r="OJ465">
        <f>IF(OE465&lt;OF465,$A465,B_MAX+1)</f>
        <v>382</v>
      </c>
      <c r="OK465" s="13">
        <f>IF(OB465=1,$OB$35,$OB$36)</f>
        <v>0</v>
      </c>
      <c r="OL465" s="13">
        <f>OCC_DAYS*$OB$41*R_NF_2023-OD465*MCD_SHARE_FREED*R_WAIT_2023</f>
        <v>94673.82103225985</v>
      </c>
      <c r="OM465">
        <f>IF($A465&lt;=$OB$45,1,0)</f>
        <v>0</v>
      </c>
    </row>
    <row r="466">
      <c r="A466" t="n">
        <v>383</v>
      </c>
      <c r="B466">
        <f>IF($B$31&lt;=$B$32,IF($A466&lt;=$B$7,1,2),IF($A466&lt;=RUNG_BEDS_2,2,1))</f>
        <v>1</v>
      </c>
      <c r="C466" s="5">
        <f>MIN(1,MAX(0,$B$26-($A466-1)))</f>
        <v>0</v>
      </c>
      <c r="D466" s="5">
        <f>$B$25*(C466+(1-C466)*$B$16)</f>
        <v>0.0</v>
      </c>
      <c r="E466" s="13">
        <f>D466*($B$6+ACUTE_MARGIN)</f>
        <v>0.0</v>
      </c>
      <c r="F466" s="13">
        <f>IF(B466=1,$B$31,$B$32)</f>
        <v>152394.16214437486</v>
      </c>
      <c r="G466" s="13">
        <f>E466-F466</f>
        <v>-152394.16214437486</v>
      </c>
      <c r="H466" s="13">
        <f>H465+G466</f>
        <v>-20137993.473023184</v>
      </c>
      <c r="I466">
        <f>IF(H466=MAX($H$83:$H$483),$A466,0)</f>
        <v>0</v>
      </c>
      <c r="J466">
        <f>IF(E466&lt;F466,$A466,B_MAX+1)</f>
        <v>383</v>
      </c>
      <c r="K466" s="13">
        <f>IF(B466=1,$B$35,$B$36)</f>
        <v>0</v>
      </c>
      <c r="L466" s="13">
        <f>OCC_DAYS*$B$41*R_NF_2023-D466*MCD_SHARE_FREED*R_WAIT_2023</f>
        <v>151980.48282209205</v>
      </c>
      <c r="M466">
        <f>IF($A466&lt;=$B$45,1,0)</f>
        <v>0</v>
      </c>
      <c r="AB466">
        <f>IF($AB$31&lt;=$AB$32,IF($A466&lt;=$AB$7,1,2),IF($A466&lt;=RUNG_BEDS_2,2,1))</f>
        <v>1</v>
      </c>
      <c r="AC466" s="5">
        <f>MIN(1,MAX(0,$AB$26-($A466-1)))</f>
        <v>0</v>
      </c>
      <c r="AD466" s="5">
        <f>$AB$25*(AC466+(1-AC466)*$AB$16)</f>
        <v>0.0</v>
      </c>
      <c r="AE466" s="13">
        <f>AD466*($AB$6+ACUTE_MARGIN)</f>
        <v>0.0</v>
      </c>
      <c r="AF466" s="13">
        <f>IF(AB466=1,$AB$31,$AB$32)</f>
        <v>152394.16214437486</v>
      </c>
      <c r="AG466" s="13">
        <f>AE466-AF466</f>
        <v>-152394.16214437486</v>
      </c>
      <c r="AH466" s="13">
        <f>AH465+AG466</f>
        <v>-37549207.81857302</v>
      </c>
      <c r="AI466">
        <f>IF(AH466=MAX($AH$83:$AH$483),$A466,0)</f>
        <v>0</v>
      </c>
      <c r="AJ466">
        <f>IF(AE466&lt;AF466,$A466,B_MAX+1)</f>
        <v>383</v>
      </c>
      <c r="AK466" s="13">
        <f>IF(AB466=1,$AB$35,$AB$36)</f>
        <v>0</v>
      </c>
      <c r="AL466" s="13">
        <f>OCC_DAYS*$AB$41*R_NF_2023-AD466*MCD_SHARE_FREED*R_WAIT_2023</f>
        <v>151980.48282209205</v>
      </c>
      <c r="AM466">
        <f>IF($A466&lt;=$AB$45,1,0)</f>
        <v>0</v>
      </c>
      <c r="BB466">
        <f>IF($BB$31&lt;=$BB$32,IF($A466&lt;=$BB$7,1,2),IF($A466&lt;=RUNG_BEDS_2,2,1))</f>
        <v>1</v>
      </c>
      <c r="BC466" s="5">
        <f>MIN(1,MAX(0,$BB$26-($A466-1)))</f>
        <v>0</v>
      </c>
      <c r="BD466" s="5">
        <f>$BB$25*(BC466+(1-BC466)*$BB$16)</f>
        <v>0.0</v>
      </c>
      <c r="BE466" s="13">
        <f>BD466*($BB$6+ACUTE_MARGIN)</f>
        <v>0.0</v>
      </c>
      <c r="BF466" s="13">
        <f>IF(BB466=1,$BB$31,$BB$32)</f>
        <v>152394.16214437486</v>
      </c>
      <c r="BG466" s="13">
        <f>BE466-BF466</f>
        <v>-152394.16214437486</v>
      </c>
      <c r="BH466" s="13">
        <f>BH465+BG466</f>
        <v>-2726779.127473487</v>
      </c>
      <c r="BI466">
        <f>IF(BH466=MAX($BH$83:$BH$483),$A466,0)</f>
        <v>0</v>
      </c>
      <c r="BJ466">
        <f>IF(BE466&lt;BF466,$A466,B_MAX+1)</f>
        <v>383</v>
      </c>
      <c r="BK466" s="13">
        <f>IF(BB466=1,$BB$35,$BB$36)</f>
        <v>0</v>
      </c>
      <c r="BL466" s="13">
        <f>OCC_DAYS*$BB$41*R_NF_2023-BD466*MCD_SHARE_FREED*R_WAIT_2023</f>
        <v>151980.48282209205</v>
      </c>
      <c r="BM466">
        <f>IF($A466&lt;=$BB$45,1,0)</f>
        <v>0</v>
      </c>
      <c r="CB466">
        <f>IF($CB$31&lt;=$CB$32,IF($A466&lt;=$CB$7,1,2),IF($A466&lt;=RUNG_BEDS_2,2,1))</f>
        <v>2</v>
      </c>
      <c r="CC466" s="5">
        <f>MIN(1,MAX(0,$CB$26-($A466-1)))</f>
        <v>0</v>
      </c>
      <c r="CD466" s="5">
        <f>$CB$25*(CC466+(1-CC466)*$CB$16)</f>
        <v>0.0</v>
      </c>
      <c r="CE466" s="13">
        <f>CD466*($CB$6+ACUTE_MARGIN)</f>
        <v>0.0</v>
      </c>
      <c r="CF466" s="13">
        <f>IF(CB466=1,$CB$31,$CB$32)</f>
        <v>160718.36940738867</v>
      </c>
      <c r="CG466" s="13">
        <f>CE466-CF466</f>
        <v>-160718.36940738867</v>
      </c>
      <c r="CH466" s="13">
        <f>CH465+CG466</f>
        <v>-23326164.854757693</v>
      </c>
      <c r="CI466">
        <f>IF(CH466=MAX($CH$83:$CH$483),$A466,0)</f>
        <v>0</v>
      </c>
      <c r="CJ466">
        <f>IF(CE466&lt;CF466,$A466,B_MAX+1)</f>
        <v>383</v>
      </c>
      <c r="CK466" s="13">
        <f>IF(CB466=1,$CB$35,$CB$36)</f>
        <v>1560.1194073886782</v>
      </c>
      <c r="CL466" s="13">
        <f>OCC_DAYS*$CB$41*R_NF_2023-CD466*MCD_SHARE_FREED*R_WAIT_2023</f>
        <v>151980.48282209205</v>
      </c>
      <c r="CM466">
        <f>IF($A466&lt;=$CB$45,1,0)</f>
        <v>0</v>
      </c>
      <c r="DB466">
        <f>IF($DB$31&lt;=$DB$32,IF($A466&lt;=$DB$7,1,2),IF($A466&lt;=RUNG_BEDS_2,2,1))</f>
        <v>1</v>
      </c>
      <c r="DC466" s="5">
        <f>MIN(1,MAX(0,$DB$26-($A466-1)))</f>
        <v>0</v>
      </c>
      <c r="DD466" s="5">
        <f>$DB$25*(DC466+(1-DC466)*$DB$16)</f>
        <v>0.0</v>
      </c>
      <c r="DE466" s="13">
        <f>DD466*($DB$6+ACUTE_MARGIN)</f>
        <v>0.0</v>
      </c>
      <c r="DF466" s="13">
        <f>IF(DB466=1,$DB$31,$DB$32)</f>
        <v>152394.16214437486</v>
      </c>
      <c r="DG466" s="13">
        <f>DE466-DF466</f>
        <v>-152394.16214437486</v>
      </c>
      <c r="DH466" s="13">
        <f>DH465+DG466</f>
        <v>-20137993.473023184</v>
      </c>
      <c r="DI466">
        <f>IF(DH466=MAX($DH$83:$DH$483),$A466,0)</f>
        <v>0</v>
      </c>
      <c r="DJ466">
        <f>IF(DE466&lt;DF466,$A466,B_MAX+1)</f>
        <v>383</v>
      </c>
      <c r="DK466" s="13">
        <f>IF(DB466=1,$DB$35,$DB$36)</f>
        <v>0</v>
      </c>
      <c r="DL466" s="13">
        <f>OCC_DAYS*$DB$41*R_NF_2023-DD466*MCD_SHARE_FREED*R_WAIT_2023</f>
        <v>151980.48282209205</v>
      </c>
      <c r="DM466">
        <f>IF($A466&lt;=$DB$45,1,0)</f>
        <v>0</v>
      </c>
      <c r="EB466">
        <f>IF($EB$31&lt;=$EB$32,IF($A466&lt;=$EB$7,1,2),IF($A466&lt;=RUNG_BEDS_2,2,1))</f>
        <v>1</v>
      </c>
      <c r="EC466" s="5">
        <f>MIN(1,MAX(0,$EB$26-($A466-1)))</f>
        <v>0</v>
      </c>
      <c r="ED466" s="5">
        <f>$EB$25*(EC466+(1-EC466)*$EB$16)</f>
        <v>0.0</v>
      </c>
      <c r="EE466" s="13">
        <f>ED466*($EB$6+ACUTE_MARGIN)</f>
        <v>0.0</v>
      </c>
      <c r="EF466" s="13">
        <f>IF(EB466=1,$EB$31,$EB$32)</f>
        <v>152394.16214437486</v>
      </c>
      <c r="EG466" s="13">
        <f>EE466-EF466</f>
        <v>-152394.16214437486</v>
      </c>
      <c r="EH466" s="13">
        <f>EH465+EG466</f>
        <v>-20137993.473023184</v>
      </c>
      <c r="EI466">
        <f>IF(EH466=MAX($EH$83:$EH$483),$A466,0)</f>
        <v>0</v>
      </c>
      <c r="EJ466">
        <f>IF(EE466&lt;EF466,$A466,B_MAX+1)</f>
        <v>383</v>
      </c>
      <c r="EK466" s="13">
        <f>IF(EB466=1,$EB$35,$EB$36)</f>
        <v>0</v>
      </c>
      <c r="EL466" s="13">
        <f>OCC_DAYS*$EB$41*R_NF_2023-ED466*MCD_SHARE_FREED*R_WAIT_2023</f>
        <v>50660.16094069735</v>
      </c>
      <c r="EM466">
        <f>IF($A466&lt;=$EB$45,1,0)</f>
        <v>0</v>
      </c>
      <c r="FB466">
        <f>IF($FB$31&lt;=$FB$32,IF($A466&lt;=$FB$7,1,2),IF($A466&lt;=RUNG_BEDS_2,2,1))</f>
        <v>1</v>
      </c>
      <c r="FC466" s="5">
        <f>MIN(1,MAX(0,$FB$26-($A466-1)))</f>
        <v>0</v>
      </c>
      <c r="FD466" s="5">
        <f>$FB$25*(FC466+(1-FC466)*$FB$16)</f>
        <v>0.0</v>
      </c>
      <c r="FE466" s="13">
        <f>FD466*($FB$6+ACUTE_MARGIN)</f>
        <v>0.0</v>
      </c>
      <c r="FF466" s="13">
        <f>IF(FB466=1,$FB$31,$FB$32)</f>
        <v>156636.04979437485</v>
      </c>
      <c r="FG466" s="13">
        <f>FE466-FF466</f>
        <v>-156636.04979437485</v>
      </c>
      <c r="FH466" s="13">
        <f>FH465+FG466</f>
        <v>-21762636.44297334</v>
      </c>
      <c r="FI466">
        <f>IF(FH466=MAX($FH$83:$FH$483),$A466,0)</f>
        <v>0</v>
      </c>
      <c r="FJ466">
        <f>IF(FE466&lt;FF466,$A466,B_MAX+1)</f>
        <v>383</v>
      </c>
      <c r="FK466" s="13">
        <f>IF(FB466=1,$FB$35,$FB$36)</f>
        <v>0</v>
      </c>
      <c r="FL466" s="13">
        <f>OCC_DAYS*$FB$41*R_NF_2023-FD466*MCD_SHARE_FREED*R_WAIT_2023</f>
        <v>151980.48282209205</v>
      </c>
      <c r="FM466">
        <f>IF($A466&lt;=$FB$45,1,0)</f>
        <v>0</v>
      </c>
      <c r="GB466">
        <f>IF($GB$31&lt;=$GB$32,IF($A466&lt;=$GB$7,1,2),IF($A466&lt;=RUNG_BEDS_2,2,1))</f>
        <v>1</v>
      </c>
      <c r="GC466" s="5">
        <f>MIN(1,MAX(0,$GB$26-($A466-1)))</f>
        <v>0</v>
      </c>
      <c r="GD466" s="5">
        <f>$GB$25*(GC466+(1-GC466)*$GB$16)</f>
        <v>0.0</v>
      </c>
      <c r="GE466" s="13">
        <f>GD466*($GB$6+ACUTE_MARGIN)</f>
        <v>0.0</v>
      </c>
      <c r="GF466" s="13">
        <f>IF(GB466=1,$GB$31,$GB$32)</f>
        <v>152394.16214437486</v>
      </c>
      <c r="GG466" s="13">
        <f>GE466-GF466</f>
        <v>-152394.16214437486</v>
      </c>
      <c r="GH466" s="13">
        <f>GH465+GG466</f>
        <v>-20137993.473023184</v>
      </c>
      <c r="GI466">
        <f>IF(GH466=MAX($GH$83:$GH$483),$A466,0)</f>
        <v>0</v>
      </c>
      <c r="GJ466">
        <f>IF(GE466&lt;GF466,$A466,B_MAX+1)</f>
        <v>383</v>
      </c>
      <c r="GK466" s="13">
        <f>IF(GB466=1,$GB$35,$GB$36)</f>
        <v>0</v>
      </c>
      <c r="GL466" s="13">
        <f>OCC_DAYS*$GB$41*R_NF_2023-GD466*MCD_SHARE_FREED*R_WAIT_2023</f>
        <v>151980.48282209205</v>
      </c>
      <c r="GM466">
        <f>IF($A466&lt;=$GB$45,1,0)</f>
        <v>0</v>
      </c>
      <c r="HB466">
        <f>IF($HB$31&lt;=$HB$32,IF($A466&lt;=$HB$7,1,2),IF($A466&lt;=RUNG_BEDS_2,2,1))</f>
        <v>1</v>
      </c>
      <c r="HC466" s="5">
        <f>MIN(1,MAX(0,$HB$26-($A466-1)))</f>
        <v>0</v>
      </c>
      <c r="HD466" s="5">
        <f>$HB$25*(HC466+(1-HC466)*$HB$16)</f>
        <v>0.0</v>
      </c>
      <c r="HE466" s="13">
        <f>HD466*($HB$6+ACUTE_MARGIN)</f>
        <v>0.0</v>
      </c>
      <c r="HF466" s="13">
        <f>IF(HB466=1,$HB$31,$HB$32)</f>
        <v>152456.2970814058</v>
      </c>
      <c r="HG466" s="13">
        <f>HE466-HF466</f>
        <v>-152456.2970814058</v>
      </c>
      <c r="HH466" s="13">
        <f>HH465+HG466</f>
        <v>-20161791.15390614</v>
      </c>
      <c r="HI466">
        <f>IF(HH466=MAX($HH$83:$HH$483),$A466,0)</f>
        <v>0</v>
      </c>
      <c r="HJ466">
        <f>IF(HE466&lt;HF466,$A466,B_MAX+1)</f>
        <v>383</v>
      </c>
      <c r="HK466" s="13">
        <f>IF(HB466=1,$HB$35,$HB$36)</f>
        <v>0</v>
      </c>
      <c r="HL466" s="13">
        <f>OCC_DAYS*$HB$41*R_NF_2023-HD466*MCD_SHARE_FREED*R_WAIT_2023</f>
        <v>151980.48282209205</v>
      </c>
      <c r="HM466">
        <f>IF($A466&lt;=$HB$45,1,0)</f>
        <v>0</v>
      </c>
      <c r="IB466">
        <f>IF($IB$31&lt;=$IB$32,IF($A466&lt;=$IB$7,1,2),IF($A466&lt;=RUNG_BEDS_2,2,1))</f>
        <v>1</v>
      </c>
      <c r="IC466" s="5">
        <f>MIN(1,MAX(0,$IB$26-($A466-1)))</f>
        <v>0</v>
      </c>
      <c r="ID466" s="5">
        <f>$IB$25*(IC466+(1-IC466)*$IB$16)</f>
        <v>0.0</v>
      </c>
      <c r="IE466" s="13">
        <f>ID466*($IB$6+ACUTE_MARGIN)</f>
        <v>0.0</v>
      </c>
      <c r="IF466" s="13">
        <f>IF(IB466=1,$IB$31,$IB$32)</f>
        <v>152734.9994534971</v>
      </c>
      <c r="IG466" s="13">
        <f>IE466-IF466</f>
        <v>-152734.9994534971</v>
      </c>
      <c r="IH466" s="13">
        <f>IH465+IG466</f>
        <v>-20268534.162417077</v>
      </c>
      <c r="II466">
        <f>IF(IH466=MAX($IH$83:$IH$483),$A466,0)</f>
        <v>0</v>
      </c>
      <c r="IJ466">
        <f>IF(IE466&lt;IF466,$A466,B_MAX+1)</f>
        <v>383</v>
      </c>
      <c r="IK466" s="13">
        <f>IF(IB466=1,$IB$35,$IB$36)</f>
        <v>0</v>
      </c>
      <c r="IL466" s="13">
        <f>OCC_DAYS*$IB$41*R_NF_2023-ID466*MCD_SHARE_FREED*R_WAIT_2023</f>
        <v>151980.48282209205</v>
      </c>
      <c r="IM466">
        <f>IF($A466&lt;=$IB$45,1,0)</f>
        <v>0</v>
      </c>
      <c r="JB466">
        <f>IF($JB$31&lt;=$JB$32,IF($A466&lt;=$JB$7,1,2),IF($A466&lt;=RUNG_BEDS_2,2,1))</f>
        <v>1</v>
      </c>
      <c r="JC466" s="5">
        <f>MIN(1,MAX(0,$JB$26-($A466-1)))</f>
        <v>0</v>
      </c>
      <c r="JD466" s="5">
        <f>$JB$25*(JC466+(1-JC466)*$JB$16)</f>
        <v>0.0</v>
      </c>
      <c r="JE466" s="13">
        <f>JD466*($JB$6+ACUTE_MARGIN)</f>
        <v>0.0</v>
      </c>
      <c r="JF466" s="13">
        <f>IF(JB466=1,$JB$31,$JB$32)</f>
        <v>152394.16214437486</v>
      </c>
      <c r="JG466" s="13">
        <f>JE466-JF466</f>
        <v>-152394.16214437486</v>
      </c>
      <c r="JH466" s="13">
        <f>JH465+JG466</f>
        <v>-20137993.473023184</v>
      </c>
      <c r="JI466">
        <f>IF(JH466=MAX($JH$83:$JH$483),$A466,0)</f>
        <v>0</v>
      </c>
      <c r="JJ466">
        <f>IF(JE466&lt;JF466,$A466,B_MAX+1)</f>
        <v>383</v>
      </c>
      <c r="JK466" s="13">
        <f>IF(JB466=1,$JB$35,$JB$36)</f>
        <v>0</v>
      </c>
      <c r="JL466" s="13">
        <f>OCC_DAYS*$JB$41*R_NF_2023-JD466*MCD_SHARE_FREED*R_WAIT_2023</f>
        <v>151980.48282209205</v>
      </c>
      <c r="JM466">
        <f>IF($A466&lt;=$JB$45,1,0)</f>
        <v>0</v>
      </c>
      <c r="KB466">
        <f>IF($KB$31&lt;=$KB$32,IF($A466&lt;=$KB$7,1,2),IF($A466&lt;=RUNG_BEDS_2,2,1))</f>
        <v>1</v>
      </c>
      <c r="KC466" s="5">
        <f>MIN(1,MAX(0,$KB$26-($A466-1)))</f>
        <v>0</v>
      </c>
      <c r="KD466" s="5">
        <f>$KB$25*(KC466+(1-KC466)*$KB$16)</f>
        <v>0.0</v>
      </c>
      <c r="KE466" s="13">
        <f>KD466*($KB$6+ACUTE_MARGIN)</f>
        <v>0.0</v>
      </c>
      <c r="KF466" s="13">
        <f>IF(KB466=1,$KB$31,$KB$32)</f>
        <v>152394.16214437486</v>
      </c>
      <c r="KG466" s="13">
        <f>KE466-KF466</f>
        <v>-152394.16214437486</v>
      </c>
      <c r="KH466" s="13">
        <f>KH465+KG466</f>
        <v>-20137993.47302329</v>
      </c>
      <c r="KI466">
        <f>IF(KH466=MAX($KH$83:$KH$483),$A466,0)</f>
        <v>0</v>
      </c>
      <c r="KJ466">
        <f>IF(KE466&lt;KF466,$A466,B_MAX+1)</f>
        <v>383</v>
      </c>
      <c r="KK466" s="13">
        <f>IF(KB466=1,$KB$35,$KB$36)</f>
        <v>0</v>
      </c>
      <c r="KL466" s="13">
        <f>OCC_DAYS*$KB$41*R_NF_2023-KD466*MCD_SHARE_FREED*R_WAIT_2023</f>
        <v>151980.48282209205</v>
      </c>
      <c r="KM466">
        <f>IF($A466&lt;=$KB$45,1,0)</f>
        <v>0</v>
      </c>
      <c r="LB466">
        <f>IF($LB$31&lt;=$LB$32,IF($A466&lt;=$LB$7,1,2),IF($A466&lt;=RUNG_BEDS_2,2,1))</f>
        <v>1</v>
      </c>
      <c r="LC466" s="5">
        <f>MIN(1,MAX(0,$LB$26-($A466-1)))</f>
        <v>1</v>
      </c>
      <c r="LD466" s="5">
        <f>$LB$25*(LC466+(1-LC466)*$LB$16)</f>
        <v>84.01774238227146</v>
      </c>
      <c r="LE466" s="13">
        <f>LD466*($LB$6+ACUTE_MARGIN)</f>
        <v>84857.91980609419</v>
      </c>
      <c r="LF466" s="13">
        <f>IF(LB466=1,$LB$31,$LB$32)</f>
        <v>152394.16214437486</v>
      </c>
      <c r="LG466" s="13">
        <f>LE466-LF466</f>
        <v>-67536.24233828067</v>
      </c>
      <c r="LH466" s="13">
        <f>LH465+LG466</f>
        <v>-25866380.81556164</v>
      </c>
      <c r="LI466">
        <f>IF(LH466=MAX($LH$83:$LH$483),$A466,0)</f>
        <v>0</v>
      </c>
      <c r="LJ466">
        <f>IF(LE466&lt;LF466,$A466,B_MAX+1)</f>
        <v>383</v>
      </c>
      <c r="LK466" s="13">
        <f>IF(LB466=1,$LB$35,$LB$36)</f>
        <v>0</v>
      </c>
      <c r="LL466" s="13">
        <f>OCC_DAYS*$LB$41*R_NF_2023-LD466*MCD_SHARE_FREED*R_WAIT_2023</f>
        <v>113776.04162887059</v>
      </c>
      <c r="LM466">
        <f>IF($A466&lt;=$LB$45,1,0)</f>
        <v>0</v>
      </c>
      <c r="MB466">
        <f>IF($MB$31&lt;=$MB$32,IF($A466&lt;=$MB$7,1,2),IF($A466&lt;=RUNG_BEDS_2,2,1))</f>
        <v>1</v>
      </c>
      <c r="MC466" s="5">
        <f>MIN(1,MAX(0,$MB$26-($A466-1)))</f>
        <v>0</v>
      </c>
      <c r="MD466" s="5">
        <f>$MB$25*(MC466+(1-MC466)*$MB$16)</f>
        <v>0.0</v>
      </c>
      <c r="ME466" s="13">
        <f>MD466*($MB$6+ACUTE_MARGIN)</f>
        <v>0.0</v>
      </c>
      <c r="MF466" s="13">
        <f>IF(MB466=1,$MB$31,$MB$32)</f>
        <v>152394.16214437486</v>
      </c>
      <c r="MG466" s="13">
        <f>ME466-MF466</f>
        <v>-152394.16214437486</v>
      </c>
      <c r="MH466" s="13">
        <f>MH465+MG466</f>
        <v>-26025269.534821484</v>
      </c>
      <c r="MI466">
        <f>IF(MH466=MAX($MH$83:$MH$483),$A466,0)</f>
        <v>0</v>
      </c>
      <c r="MJ466">
        <f>IF(ME466&lt;MF466,$A466,B_MAX+1)</f>
        <v>383</v>
      </c>
      <c r="MK466" s="13">
        <f>IF(MB466=1,$MB$35,$MB$36)</f>
        <v>0</v>
      </c>
      <c r="ML466" s="13">
        <f>OCC_DAYS*$MB$41*R_NF_2023-MD466*MCD_SHARE_FREED*R_WAIT_2023</f>
        <v>151980.48282209205</v>
      </c>
      <c r="MM466">
        <f>IF($A466&lt;=$MB$45,1,0)</f>
        <v>0</v>
      </c>
      <c r="NB466">
        <f>IF($NB$31&lt;=$NB$32,IF($A466&lt;=$NB$7,1,2),IF($A466&lt;=RUNG_BEDS_2,2,1))</f>
        <v>1</v>
      </c>
      <c r="NC466" s="5">
        <f>MIN(1,MAX(0,$NB$26-($A466-1)))</f>
        <v>0</v>
      </c>
      <c r="ND466" s="5">
        <f>$NB$25*(NC466+(1-NC466)*$NB$16)</f>
        <v>63.013306786703595</v>
      </c>
      <c r="NE466" s="13">
        <f>ND466*($NB$6+ACUTE_MARGIN)</f>
        <v>63643.43985457063</v>
      </c>
      <c r="NF466" s="13">
        <f>IF(NB466=1,$NB$31,$NB$32)</f>
        <v>152394.16214437486</v>
      </c>
      <c r="NG466" s="13">
        <f>NE466-NF466</f>
        <v>-88750.72228980422</v>
      </c>
      <c r="NH466" s="13">
        <f>NH465+NG466</f>
        <v>-5319798.665790799</v>
      </c>
      <c r="NI466">
        <f>IF(NH466=MAX($NH$83:$NH$483),$A466,0)</f>
        <v>0</v>
      </c>
      <c r="NJ466">
        <f>IF(NE466&lt;NF466,$A466,B_MAX+1)</f>
        <v>383</v>
      </c>
      <c r="NK466" s="13">
        <f>IF(NB466=1,$NB$35,$NB$36)</f>
        <v>0</v>
      </c>
      <c r="NL466" s="13">
        <f>OCC_DAYS*$NB$41*R_NF_2023-ND466*MCD_SHARE_FREED*R_WAIT_2023</f>
        <v>123327.15192717595</v>
      </c>
      <c r="NM466">
        <f>IF($A466&lt;=$NB$45,1,0)</f>
        <v>0</v>
      </c>
      <c r="OB466">
        <f>IF($OB$31&lt;=$OB$32,IF($A466&lt;=$OB$7,1,2),IF($A466&lt;=RUNG_BEDS_2,2,1))</f>
        <v>1</v>
      </c>
      <c r="OC466" s="5">
        <f>MIN(1,MAX(0,$OB$26-($A466-1)))</f>
        <v>0</v>
      </c>
      <c r="OD466" s="5">
        <f>$OB$25*(OC466+(1-OC466)*$OB$16)</f>
        <v>126.02661357340719</v>
      </c>
      <c r="OE466" s="13">
        <f>OD466*($OB$6+ACUTE_MARGIN)</f>
        <v>127286.87970914126</v>
      </c>
      <c r="OF466" s="13">
        <f>IF(OB466=1,$OB$31,$OB$32)</f>
        <v>152394.16214437486</v>
      </c>
      <c r="OG466" s="13">
        <f>OE466-OF466</f>
        <v>-25107.282435233603</v>
      </c>
      <c r="OH466" s="13">
        <f>OH465+OG466</f>
        <v>9498396.141441906</v>
      </c>
      <c r="OI466">
        <f>IF(OH466=MAX($OH$83:$OH$483),$A466,0)</f>
        <v>0</v>
      </c>
      <c r="OJ466">
        <f>IF(OE466&lt;OF466,$A466,B_MAX+1)</f>
        <v>383</v>
      </c>
      <c r="OK466" s="13">
        <f>IF(OB466=1,$OB$35,$OB$36)</f>
        <v>0</v>
      </c>
      <c r="OL466" s="13">
        <f>OCC_DAYS*$OB$41*R_NF_2023-OD466*MCD_SHARE_FREED*R_WAIT_2023</f>
        <v>94673.82103225985</v>
      </c>
      <c r="OM466">
        <f>IF($A466&lt;=$OB$45,1,0)</f>
        <v>0</v>
      </c>
    </row>
    <row r="467">
      <c r="A467" t="n">
        <v>384</v>
      </c>
      <c r="B467">
        <f>IF($B$31&lt;=$B$32,IF($A467&lt;=$B$7,1,2),IF($A467&lt;=RUNG_BEDS_2,2,1))</f>
        <v>1</v>
      </c>
      <c r="C467" s="5">
        <f>MIN(1,MAX(0,$B$26-($A467-1)))</f>
        <v>0</v>
      </c>
      <c r="D467" s="5">
        <f>$B$25*(C467+(1-C467)*$B$16)</f>
        <v>0.0</v>
      </c>
      <c r="E467" s="13">
        <f>D467*($B$6+ACUTE_MARGIN)</f>
        <v>0.0</v>
      </c>
      <c r="F467" s="13">
        <f>IF(B467=1,$B$31,$B$32)</f>
        <v>152394.16214437486</v>
      </c>
      <c r="G467" s="13">
        <f>E467-F467</f>
        <v>-152394.16214437486</v>
      </c>
      <c r="H467" s="13">
        <f>H466+G467</f>
        <v>-20290387.635167558</v>
      </c>
      <c r="I467">
        <f>IF(H467=MAX($H$83:$H$483),$A467,0)</f>
        <v>0</v>
      </c>
      <c r="J467">
        <f>IF(E467&lt;F467,$A467,B_MAX+1)</f>
        <v>384</v>
      </c>
      <c r="K467" s="13">
        <f>IF(B467=1,$B$35,$B$36)</f>
        <v>0</v>
      </c>
      <c r="L467" s="13">
        <f>OCC_DAYS*$B$41*R_NF_2023-D467*MCD_SHARE_FREED*R_WAIT_2023</f>
        <v>151980.48282209205</v>
      </c>
      <c r="M467">
        <f>IF($A467&lt;=$B$45,1,0)</f>
        <v>0</v>
      </c>
      <c r="AB467">
        <f>IF($AB$31&lt;=$AB$32,IF($A467&lt;=$AB$7,1,2),IF($A467&lt;=RUNG_BEDS_2,2,1))</f>
        <v>1</v>
      </c>
      <c r="AC467" s="5">
        <f>MIN(1,MAX(0,$AB$26-($A467-1)))</f>
        <v>0</v>
      </c>
      <c r="AD467" s="5">
        <f>$AB$25*(AC467+(1-AC467)*$AB$16)</f>
        <v>0.0</v>
      </c>
      <c r="AE467" s="13">
        <f>AD467*($AB$6+ACUTE_MARGIN)</f>
        <v>0.0</v>
      </c>
      <c r="AF467" s="13">
        <f>IF(AB467=1,$AB$31,$AB$32)</f>
        <v>152394.16214437486</v>
      </c>
      <c r="AG467" s="13">
        <f>AE467-AF467</f>
        <v>-152394.16214437486</v>
      </c>
      <c r="AH467" s="13">
        <f>AH466+AG467</f>
        <v>-37701601.9807174</v>
      </c>
      <c r="AI467">
        <f>IF(AH467=MAX($AH$83:$AH$483),$A467,0)</f>
        <v>0</v>
      </c>
      <c r="AJ467">
        <f>IF(AE467&lt;AF467,$A467,B_MAX+1)</f>
        <v>384</v>
      </c>
      <c r="AK467" s="13">
        <f>IF(AB467=1,$AB$35,$AB$36)</f>
        <v>0</v>
      </c>
      <c r="AL467" s="13">
        <f>OCC_DAYS*$AB$41*R_NF_2023-AD467*MCD_SHARE_FREED*R_WAIT_2023</f>
        <v>151980.48282209205</v>
      </c>
      <c r="AM467">
        <f>IF($A467&lt;=$AB$45,1,0)</f>
        <v>0</v>
      </c>
      <c r="BB467">
        <f>IF($BB$31&lt;=$BB$32,IF($A467&lt;=$BB$7,1,2),IF($A467&lt;=RUNG_BEDS_2,2,1))</f>
        <v>1</v>
      </c>
      <c r="BC467" s="5">
        <f>MIN(1,MAX(0,$BB$26-($A467-1)))</f>
        <v>0</v>
      </c>
      <c r="BD467" s="5">
        <f>$BB$25*(BC467+(1-BC467)*$BB$16)</f>
        <v>0.0</v>
      </c>
      <c r="BE467" s="13">
        <f>BD467*($BB$6+ACUTE_MARGIN)</f>
        <v>0.0</v>
      </c>
      <c r="BF467" s="13">
        <f>IF(BB467=1,$BB$31,$BB$32)</f>
        <v>152394.16214437486</v>
      </c>
      <c r="BG467" s="13">
        <f>BE467-BF467</f>
        <v>-152394.16214437486</v>
      </c>
      <c r="BH467" s="13">
        <f>BH466+BG467</f>
        <v>-2879173.289617862</v>
      </c>
      <c r="BI467">
        <f>IF(BH467=MAX($BH$83:$BH$483),$A467,0)</f>
        <v>0</v>
      </c>
      <c r="BJ467">
        <f>IF(BE467&lt;BF467,$A467,B_MAX+1)</f>
        <v>384</v>
      </c>
      <c r="BK467" s="13">
        <f>IF(BB467=1,$BB$35,$BB$36)</f>
        <v>0</v>
      </c>
      <c r="BL467" s="13">
        <f>OCC_DAYS*$BB$41*R_NF_2023-BD467*MCD_SHARE_FREED*R_WAIT_2023</f>
        <v>151980.48282209205</v>
      </c>
      <c r="BM467">
        <f>IF($A467&lt;=$BB$45,1,0)</f>
        <v>0</v>
      </c>
      <c r="CB467">
        <f>IF($CB$31&lt;=$CB$32,IF($A467&lt;=$CB$7,1,2),IF($A467&lt;=RUNG_BEDS_2,2,1))</f>
        <v>2</v>
      </c>
      <c r="CC467" s="5">
        <f>MIN(1,MAX(0,$CB$26-($A467-1)))</f>
        <v>0</v>
      </c>
      <c r="CD467" s="5">
        <f>$CB$25*(CC467+(1-CC467)*$CB$16)</f>
        <v>0.0</v>
      </c>
      <c r="CE467" s="13">
        <f>CD467*($CB$6+ACUTE_MARGIN)</f>
        <v>0.0</v>
      </c>
      <c r="CF467" s="13">
        <f>IF(CB467=1,$CB$31,$CB$32)</f>
        <v>160718.36940738867</v>
      </c>
      <c r="CG467" s="13">
        <f>CE467-CF467</f>
        <v>-160718.36940738867</v>
      </c>
      <c r="CH467" s="13">
        <f>CH466+CG467</f>
        <v>-23486883.224165082</v>
      </c>
      <c r="CI467">
        <f>IF(CH467=MAX($CH$83:$CH$483),$A467,0)</f>
        <v>0</v>
      </c>
      <c r="CJ467">
        <f>IF(CE467&lt;CF467,$A467,B_MAX+1)</f>
        <v>384</v>
      </c>
      <c r="CK467" s="13">
        <f>IF(CB467=1,$CB$35,$CB$36)</f>
        <v>1560.1194073886782</v>
      </c>
      <c r="CL467" s="13">
        <f>OCC_DAYS*$CB$41*R_NF_2023-CD467*MCD_SHARE_FREED*R_WAIT_2023</f>
        <v>151980.48282209205</v>
      </c>
      <c r="CM467">
        <f>IF($A467&lt;=$CB$45,1,0)</f>
        <v>0</v>
      </c>
      <c r="DB467">
        <f>IF($DB$31&lt;=$DB$32,IF($A467&lt;=$DB$7,1,2),IF($A467&lt;=RUNG_BEDS_2,2,1))</f>
        <v>1</v>
      </c>
      <c r="DC467" s="5">
        <f>MIN(1,MAX(0,$DB$26-($A467-1)))</f>
        <v>0</v>
      </c>
      <c r="DD467" s="5">
        <f>$DB$25*(DC467+(1-DC467)*$DB$16)</f>
        <v>0.0</v>
      </c>
      <c r="DE467" s="13">
        <f>DD467*($DB$6+ACUTE_MARGIN)</f>
        <v>0.0</v>
      </c>
      <c r="DF467" s="13">
        <f>IF(DB467=1,$DB$31,$DB$32)</f>
        <v>152394.16214437486</v>
      </c>
      <c r="DG467" s="13">
        <f>DE467-DF467</f>
        <v>-152394.16214437486</v>
      </c>
      <c r="DH467" s="13">
        <f>DH466+DG467</f>
        <v>-20290387.635167558</v>
      </c>
      <c r="DI467">
        <f>IF(DH467=MAX($DH$83:$DH$483),$A467,0)</f>
        <v>0</v>
      </c>
      <c r="DJ467">
        <f>IF(DE467&lt;DF467,$A467,B_MAX+1)</f>
        <v>384</v>
      </c>
      <c r="DK467" s="13">
        <f>IF(DB467=1,$DB$35,$DB$36)</f>
        <v>0</v>
      </c>
      <c r="DL467" s="13">
        <f>OCC_DAYS*$DB$41*R_NF_2023-DD467*MCD_SHARE_FREED*R_WAIT_2023</f>
        <v>151980.48282209205</v>
      </c>
      <c r="DM467">
        <f>IF($A467&lt;=$DB$45,1,0)</f>
        <v>0</v>
      </c>
      <c r="EB467">
        <f>IF($EB$31&lt;=$EB$32,IF($A467&lt;=$EB$7,1,2),IF($A467&lt;=RUNG_BEDS_2,2,1))</f>
        <v>1</v>
      </c>
      <c r="EC467" s="5">
        <f>MIN(1,MAX(0,$EB$26-($A467-1)))</f>
        <v>0</v>
      </c>
      <c r="ED467" s="5">
        <f>$EB$25*(EC467+(1-EC467)*$EB$16)</f>
        <v>0.0</v>
      </c>
      <c r="EE467" s="13">
        <f>ED467*($EB$6+ACUTE_MARGIN)</f>
        <v>0.0</v>
      </c>
      <c r="EF467" s="13">
        <f>IF(EB467=1,$EB$31,$EB$32)</f>
        <v>152394.16214437486</v>
      </c>
      <c r="EG467" s="13">
        <f>EE467-EF467</f>
        <v>-152394.16214437486</v>
      </c>
      <c r="EH467" s="13">
        <f>EH466+EG467</f>
        <v>-20290387.635167558</v>
      </c>
      <c r="EI467">
        <f>IF(EH467=MAX($EH$83:$EH$483),$A467,0)</f>
        <v>0</v>
      </c>
      <c r="EJ467">
        <f>IF(EE467&lt;EF467,$A467,B_MAX+1)</f>
        <v>384</v>
      </c>
      <c r="EK467" s="13">
        <f>IF(EB467=1,$EB$35,$EB$36)</f>
        <v>0</v>
      </c>
      <c r="EL467" s="13">
        <f>OCC_DAYS*$EB$41*R_NF_2023-ED467*MCD_SHARE_FREED*R_WAIT_2023</f>
        <v>50660.16094069735</v>
      </c>
      <c r="EM467">
        <f>IF($A467&lt;=$EB$45,1,0)</f>
        <v>0</v>
      </c>
      <c r="FB467">
        <f>IF($FB$31&lt;=$FB$32,IF($A467&lt;=$FB$7,1,2),IF($A467&lt;=RUNG_BEDS_2,2,1))</f>
        <v>1</v>
      </c>
      <c r="FC467" s="5">
        <f>MIN(1,MAX(0,$FB$26-($A467-1)))</f>
        <v>0</v>
      </c>
      <c r="FD467" s="5">
        <f>$FB$25*(FC467+(1-FC467)*$FB$16)</f>
        <v>0.0</v>
      </c>
      <c r="FE467" s="13">
        <f>FD467*($FB$6+ACUTE_MARGIN)</f>
        <v>0.0</v>
      </c>
      <c r="FF467" s="13">
        <f>IF(FB467=1,$FB$31,$FB$32)</f>
        <v>156636.04979437485</v>
      </c>
      <c r="FG467" s="13">
        <f>FE467-FF467</f>
        <v>-156636.04979437485</v>
      </c>
      <c r="FH467" s="13">
        <f>FH466+FG467</f>
        <v>-21919272.492767718</v>
      </c>
      <c r="FI467">
        <f>IF(FH467=MAX($FH$83:$FH$483),$A467,0)</f>
        <v>0</v>
      </c>
      <c r="FJ467">
        <f>IF(FE467&lt;FF467,$A467,B_MAX+1)</f>
        <v>384</v>
      </c>
      <c r="FK467" s="13">
        <f>IF(FB467=1,$FB$35,$FB$36)</f>
        <v>0</v>
      </c>
      <c r="FL467" s="13">
        <f>OCC_DAYS*$FB$41*R_NF_2023-FD467*MCD_SHARE_FREED*R_WAIT_2023</f>
        <v>151980.48282209205</v>
      </c>
      <c r="FM467">
        <f>IF($A467&lt;=$FB$45,1,0)</f>
        <v>0</v>
      </c>
      <c r="GB467">
        <f>IF($GB$31&lt;=$GB$32,IF($A467&lt;=$GB$7,1,2),IF($A467&lt;=RUNG_BEDS_2,2,1))</f>
        <v>1</v>
      </c>
      <c r="GC467" s="5">
        <f>MIN(1,MAX(0,$GB$26-($A467-1)))</f>
        <v>0</v>
      </c>
      <c r="GD467" s="5">
        <f>$GB$25*(GC467+(1-GC467)*$GB$16)</f>
        <v>0.0</v>
      </c>
      <c r="GE467" s="13">
        <f>GD467*($GB$6+ACUTE_MARGIN)</f>
        <v>0.0</v>
      </c>
      <c r="GF467" s="13">
        <f>IF(GB467=1,$GB$31,$GB$32)</f>
        <v>152394.16214437486</v>
      </c>
      <c r="GG467" s="13">
        <f>GE467-GF467</f>
        <v>-152394.16214437486</v>
      </c>
      <c r="GH467" s="13">
        <f>GH466+GG467</f>
        <v>-20290387.635167558</v>
      </c>
      <c r="GI467">
        <f>IF(GH467=MAX($GH$83:$GH$483),$A467,0)</f>
        <v>0</v>
      </c>
      <c r="GJ467">
        <f>IF(GE467&lt;GF467,$A467,B_MAX+1)</f>
        <v>384</v>
      </c>
      <c r="GK467" s="13">
        <f>IF(GB467=1,$GB$35,$GB$36)</f>
        <v>0</v>
      </c>
      <c r="GL467" s="13">
        <f>OCC_DAYS*$GB$41*R_NF_2023-GD467*MCD_SHARE_FREED*R_WAIT_2023</f>
        <v>151980.48282209205</v>
      </c>
      <c r="GM467">
        <f>IF($A467&lt;=$GB$45,1,0)</f>
        <v>0</v>
      </c>
      <c r="HB467">
        <f>IF($HB$31&lt;=$HB$32,IF($A467&lt;=$HB$7,1,2),IF($A467&lt;=RUNG_BEDS_2,2,1))</f>
        <v>1</v>
      </c>
      <c r="HC467" s="5">
        <f>MIN(1,MAX(0,$HB$26-($A467-1)))</f>
        <v>0</v>
      </c>
      <c r="HD467" s="5">
        <f>$HB$25*(HC467+(1-HC467)*$HB$16)</f>
        <v>0.0</v>
      </c>
      <c r="HE467" s="13">
        <f>HD467*($HB$6+ACUTE_MARGIN)</f>
        <v>0.0</v>
      </c>
      <c r="HF467" s="13">
        <f>IF(HB467=1,$HB$31,$HB$32)</f>
        <v>152456.2970814058</v>
      </c>
      <c r="HG467" s="13">
        <f>HE467-HF467</f>
        <v>-152456.2970814058</v>
      </c>
      <c r="HH467" s="13">
        <f>HH466+HG467</f>
        <v>-20314247.450987548</v>
      </c>
      <c r="HI467">
        <f>IF(HH467=MAX($HH$83:$HH$483),$A467,0)</f>
        <v>0</v>
      </c>
      <c r="HJ467">
        <f>IF(HE467&lt;HF467,$A467,B_MAX+1)</f>
        <v>384</v>
      </c>
      <c r="HK467" s="13">
        <f>IF(HB467=1,$HB$35,$HB$36)</f>
        <v>0</v>
      </c>
      <c r="HL467" s="13">
        <f>OCC_DAYS*$HB$41*R_NF_2023-HD467*MCD_SHARE_FREED*R_WAIT_2023</f>
        <v>151980.48282209205</v>
      </c>
      <c r="HM467">
        <f>IF($A467&lt;=$HB$45,1,0)</f>
        <v>0</v>
      </c>
      <c r="IB467">
        <f>IF($IB$31&lt;=$IB$32,IF($A467&lt;=$IB$7,1,2),IF($A467&lt;=RUNG_BEDS_2,2,1))</f>
        <v>1</v>
      </c>
      <c r="IC467" s="5">
        <f>MIN(1,MAX(0,$IB$26-($A467-1)))</f>
        <v>0</v>
      </c>
      <c r="ID467" s="5">
        <f>$IB$25*(IC467+(1-IC467)*$IB$16)</f>
        <v>0.0</v>
      </c>
      <c r="IE467" s="13">
        <f>ID467*($IB$6+ACUTE_MARGIN)</f>
        <v>0.0</v>
      </c>
      <c r="IF467" s="13">
        <f>IF(IB467=1,$IB$31,$IB$32)</f>
        <v>152734.9994534971</v>
      </c>
      <c r="IG467" s="13">
        <f>IE467-IF467</f>
        <v>-152734.9994534971</v>
      </c>
      <c r="IH467" s="13">
        <f>IH466+IG467</f>
        <v>-20421269.161870573</v>
      </c>
      <c r="II467">
        <f>IF(IH467=MAX($IH$83:$IH$483),$A467,0)</f>
        <v>0</v>
      </c>
      <c r="IJ467">
        <f>IF(IE467&lt;IF467,$A467,B_MAX+1)</f>
        <v>384</v>
      </c>
      <c r="IK467" s="13">
        <f>IF(IB467=1,$IB$35,$IB$36)</f>
        <v>0</v>
      </c>
      <c r="IL467" s="13">
        <f>OCC_DAYS*$IB$41*R_NF_2023-ID467*MCD_SHARE_FREED*R_WAIT_2023</f>
        <v>151980.48282209205</v>
      </c>
      <c r="IM467">
        <f>IF($A467&lt;=$IB$45,1,0)</f>
        <v>0</v>
      </c>
      <c r="JB467">
        <f>IF($JB$31&lt;=$JB$32,IF($A467&lt;=$JB$7,1,2),IF($A467&lt;=RUNG_BEDS_2,2,1))</f>
        <v>1</v>
      </c>
      <c r="JC467" s="5">
        <f>MIN(1,MAX(0,$JB$26-($A467-1)))</f>
        <v>0</v>
      </c>
      <c r="JD467" s="5">
        <f>$JB$25*(JC467+(1-JC467)*$JB$16)</f>
        <v>0.0</v>
      </c>
      <c r="JE467" s="13">
        <f>JD467*($JB$6+ACUTE_MARGIN)</f>
        <v>0.0</v>
      </c>
      <c r="JF467" s="13">
        <f>IF(JB467=1,$JB$31,$JB$32)</f>
        <v>152394.16214437486</v>
      </c>
      <c r="JG467" s="13">
        <f>JE467-JF467</f>
        <v>-152394.16214437486</v>
      </c>
      <c r="JH467" s="13">
        <f>JH466+JG467</f>
        <v>-20290387.635167558</v>
      </c>
      <c r="JI467">
        <f>IF(JH467=MAX($JH$83:$JH$483),$A467,0)</f>
        <v>0</v>
      </c>
      <c r="JJ467">
        <f>IF(JE467&lt;JF467,$A467,B_MAX+1)</f>
        <v>384</v>
      </c>
      <c r="JK467" s="13">
        <f>IF(JB467=1,$JB$35,$JB$36)</f>
        <v>0</v>
      </c>
      <c r="JL467" s="13">
        <f>OCC_DAYS*$JB$41*R_NF_2023-JD467*MCD_SHARE_FREED*R_WAIT_2023</f>
        <v>151980.48282209205</v>
      </c>
      <c r="JM467">
        <f>IF($A467&lt;=$JB$45,1,0)</f>
        <v>0</v>
      </c>
      <c r="KB467">
        <f>IF($KB$31&lt;=$KB$32,IF($A467&lt;=$KB$7,1,2),IF($A467&lt;=RUNG_BEDS_2,2,1))</f>
        <v>1</v>
      </c>
      <c r="KC467" s="5">
        <f>MIN(1,MAX(0,$KB$26-($A467-1)))</f>
        <v>0</v>
      </c>
      <c r="KD467" s="5">
        <f>$KB$25*(KC467+(1-KC467)*$KB$16)</f>
        <v>0.0</v>
      </c>
      <c r="KE467" s="13">
        <f>KD467*($KB$6+ACUTE_MARGIN)</f>
        <v>0.0</v>
      </c>
      <c r="KF467" s="13">
        <f>IF(KB467=1,$KB$31,$KB$32)</f>
        <v>152394.16214437486</v>
      </c>
      <c r="KG467" s="13">
        <f>KE467-KF467</f>
        <v>-152394.16214437486</v>
      </c>
      <c r="KH467" s="13">
        <f>KH466+KG467</f>
        <v>-20290387.635167666</v>
      </c>
      <c r="KI467">
        <f>IF(KH467=MAX($KH$83:$KH$483),$A467,0)</f>
        <v>0</v>
      </c>
      <c r="KJ467">
        <f>IF(KE467&lt;KF467,$A467,B_MAX+1)</f>
        <v>384</v>
      </c>
      <c r="KK467" s="13">
        <f>IF(KB467=1,$KB$35,$KB$36)</f>
        <v>0</v>
      </c>
      <c r="KL467" s="13">
        <f>OCC_DAYS*$KB$41*R_NF_2023-KD467*MCD_SHARE_FREED*R_WAIT_2023</f>
        <v>151980.48282209205</v>
      </c>
      <c r="KM467">
        <f>IF($A467&lt;=$KB$45,1,0)</f>
        <v>0</v>
      </c>
      <c r="LB467">
        <f>IF($LB$31&lt;=$LB$32,IF($A467&lt;=$LB$7,1,2),IF($A467&lt;=RUNG_BEDS_2,2,1))</f>
        <v>1</v>
      </c>
      <c r="LC467" s="5">
        <f>MIN(1,MAX(0,$LB$26-($A467-1)))</f>
        <v>1</v>
      </c>
      <c r="LD467" s="5">
        <f>$LB$25*(LC467+(1-LC467)*$LB$16)</f>
        <v>84.01774238227146</v>
      </c>
      <c r="LE467" s="13">
        <f>LD467*($LB$6+ACUTE_MARGIN)</f>
        <v>84857.91980609419</v>
      </c>
      <c r="LF467" s="13">
        <f>IF(LB467=1,$LB$31,$LB$32)</f>
        <v>152394.16214437486</v>
      </c>
      <c r="LG467" s="13">
        <f>LE467-LF467</f>
        <v>-67536.24233828067</v>
      </c>
      <c r="LH467" s="13">
        <f>LH466+LG467</f>
        <v>-25933917.057899922</v>
      </c>
      <c r="LI467">
        <f>IF(LH467=MAX($LH$83:$LH$483),$A467,0)</f>
        <v>0</v>
      </c>
      <c r="LJ467">
        <f>IF(LE467&lt;LF467,$A467,B_MAX+1)</f>
        <v>384</v>
      </c>
      <c r="LK467" s="13">
        <f>IF(LB467=1,$LB$35,$LB$36)</f>
        <v>0</v>
      </c>
      <c r="LL467" s="13">
        <f>OCC_DAYS*$LB$41*R_NF_2023-LD467*MCD_SHARE_FREED*R_WAIT_2023</f>
        <v>113776.04162887059</v>
      </c>
      <c r="LM467">
        <f>IF($A467&lt;=$LB$45,1,0)</f>
        <v>0</v>
      </c>
      <c r="MB467">
        <f>IF($MB$31&lt;=$MB$32,IF($A467&lt;=$MB$7,1,2),IF($A467&lt;=RUNG_BEDS_2,2,1))</f>
        <v>1</v>
      </c>
      <c r="MC467" s="5">
        <f>MIN(1,MAX(0,$MB$26-($A467-1)))</f>
        <v>0</v>
      </c>
      <c r="MD467" s="5">
        <f>$MB$25*(MC467+(1-MC467)*$MB$16)</f>
        <v>0.0</v>
      </c>
      <c r="ME467" s="13">
        <f>MD467*($MB$6+ACUTE_MARGIN)</f>
        <v>0.0</v>
      </c>
      <c r="MF467" s="13">
        <f>IF(MB467=1,$MB$31,$MB$32)</f>
        <v>152394.16214437486</v>
      </c>
      <c r="MG467" s="13">
        <f>ME467-MF467</f>
        <v>-152394.16214437486</v>
      </c>
      <c r="MH467" s="13">
        <f>MH466+MG467</f>
        <v>-26177663.69696586</v>
      </c>
      <c r="MI467">
        <f>IF(MH467=MAX($MH$83:$MH$483),$A467,0)</f>
        <v>0</v>
      </c>
      <c r="MJ467">
        <f>IF(ME467&lt;MF467,$A467,B_MAX+1)</f>
        <v>384</v>
      </c>
      <c r="MK467" s="13">
        <f>IF(MB467=1,$MB$35,$MB$36)</f>
        <v>0</v>
      </c>
      <c r="ML467" s="13">
        <f>OCC_DAYS*$MB$41*R_NF_2023-MD467*MCD_SHARE_FREED*R_WAIT_2023</f>
        <v>151980.48282209205</v>
      </c>
      <c r="MM467">
        <f>IF($A467&lt;=$MB$45,1,0)</f>
        <v>0</v>
      </c>
      <c r="NB467">
        <f>IF($NB$31&lt;=$NB$32,IF($A467&lt;=$NB$7,1,2),IF($A467&lt;=RUNG_BEDS_2,2,1))</f>
        <v>1</v>
      </c>
      <c r="NC467" s="5">
        <f>MIN(1,MAX(0,$NB$26-($A467-1)))</f>
        <v>0</v>
      </c>
      <c r="ND467" s="5">
        <f>$NB$25*(NC467+(1-NC467)*$NB$16)</f>
        <v>63.013306786703595</v>
      </c>
      <c r="NE467" s="13">
        <f>ND467*($NB$6+ACUTE_MARGIN)</f>
        <v>63643.43985457063</v>
      </c>
      <c r="NF467" s="13">
        <f>IF(NB467=1,$NB$31,$NB$32)</f>
        <v>152394.16214437486</v>
      </c>
      <c r="NG467" s="13">
        <f>NE467-NF467</f>
        <v>-88750.72228980422</v>
      </c>
      <c r="NH467" s="13">
        <f>NH466+NG467</f>
        <v>-5408549.388080603</v>
      </c>
      <c r="NI467">
        <f>IF(NH467=MAX($NH$83:$NH$483),$A467,0)</f>
        <v>0</v>
      </c>
      <c r="NJ467">
        <f>IF(NE467&lt;NF467,$A467,B_MAX+1)</f>
        <v>384</v>
      </c>
      <c r="NK467" s="13">
        <f>IF(NB467=1,$NB$35,$NB$36)</f>
        <v>0</v>
      </c>
      <c r="NL467" s="13">
        <f>OCC_DAYS*$NB$41*R_NF_2023-ND467*MCD_SHARE_FREED*R_WAIT_2023</f>
        <v>123327.15192717595</v>
      </c>
      <c r="NM467">
        <f>IF($A467&lt;=$NB$45,1,0)</f>
        <v>0</v>
      </c>
      <c r="OB467">
        <f>IF($OB$31&lt;=$OB$32,IF($A467&lt;=$OB$7,1,2),IF($A467&lt;=RUNG_BEDS_2,2,1))</f>
        <v>1</v>
      </c>
      <c r="OC467" s="5">
        <f>MIN(1,MAX(0,$OB$26-($A467-1)))</f>
        <v>0</v>
      </c>
      <c r="OD467" s="5">
        <f>$OB$25*(OC467+(1-OC467)*$OB$16)</f>
        <v>126.02661357340719</v>
      </c>
      <c r="OE467" s="13">
        <f>OD467*($OB$6+ACUTE_MARGIN)</f>
        <v>127286.87970914126</v>
      </c>
      <c r="OF467" s="13">
        <f>IF(OB467=1,$OB$31,$OB$32)</f>
        <v>152394.16214437486</v>
      </c>
      <c r="OG467" s="13">
        <f>OE467-OF467</f>
        <v>-25107.282435233603</v>
      </c>
      <c r="OH467" s="13">
        <f>OH466+OG467</f>
        <v>9473288.859006673</v>
      </c>
      <c r="OI467">
        <f>IF(OH467=MAX($OH$83:$OH$483),$A467,0)</f>
        <v>0</v>
      </c>
      <c r="OJ467">
        <f>IF(OE467&lt;OF467,$A467,B_MAX+1)</f>
        <v>384</v>
      </c>
      <c r="OK467" s="13">
        <f>IF(OB467=1,$OB$35,$OB$36)</f>
        <v>0</v>
      </c>
      <c r="OL467" s="13">
        <f>OCC_DAYS*$OB$41*R_NF_2023-OD467*MCD_SHARE_FREED*R_WAIT_2023</f>
        <v>94673.82103225985</v>
      </c>
      <c r="OM467">
        <f>IF($A467&lt;=$OB$45,1,0)</f>
        <v>0</v>
      </c>
    </row>
    <row r="468">
      <c r="A468" t="n">
        <v>385</v>
      </c>
      <c r="B468">
        <f>IF($B$31&lt;=$B$32,IF($A468&lt;=$B$7,1,2),IF($A468&lt;=RUNG_BEDS_2,2,1))</f>
        <v>1</v>
      </c>
      <c r="C468" s="5">
        <f>MIN(1,MAX(0,$B$26-($A468-1)))</f>
        <v>0</v>
      </c>
      <c r="D468" s="5">
        <f>$B$25*(C468+(1-C468)*$B$16)</f>
        <v>0.0</v>
      </c>
      <c r="E468" s="13">
        <f>D468*($B$6+ACUTE_MARGIN)</f>
        <v>0.0</v>
      </c>
      <c r="F468" s="13">
        <f>IF(B468=1,$B$31,$B$32)</f>
        <v>152394.16214437486</v>
      </c>
      <c r="G468" s="13">
        <f>E468-F468</f>
        <v>-152394.16214437486</v>
      </c>
      <c r="H468" s="13">
        <f>H467+G468</f>
        <v>-20442781.79731193</v>
      </c>
      <c r="I468">
        <f>IF(H468=MAX($H$83:$H$483),$A468,0)</f>
        <v>0</v>
      </c>
      <c r="J468">
        <f>IF(E468&lt;F468,$A468,B_MAX+1)</f>
        <v>385</v>
      </c>
      <c r="K468" s="13">
        <f>IF(B468=1,$B$35,$B$36)</f>
        <v>0</v>
      </c>
      <c r="L468" s="13">
        <f>OCC_DAYS*$B$41*R_NF_2023-D468*MCD_SHARE_FREED*R_WAIT_2023</f>
        <v>151980.48282209205</v>
      </c>
      <c r="M468">
        <f>IF($A468&lt;=$B$45,1,0)</f>
        <v>0</v>
      </c>
      <c r="AB468">
        <f>IF($AB$31&lt;=$AB$32,IF($A468&lt;=$AB$7,1,2),IF($A468&lt;=RUNG_BEDS_2,2,1))</f>
        <v>1</v>
      </c>
      <c r="AC468" s="5">
        <f>MIN(1,MAX(0,$AB$26-($A468-1)))</f>
        <v>0</v>
      </c>
      <c r="AD468" s="5">
        <f>$AB$25*(AC468+(1-AC468)*$AB$16)</f>
        <v>0.0</v>
      </c>
      <c r="AE468" s="13">
        <f>AD468*($AB$6+ACUTE_MARGIN)</f>
        <v>0.0</v>
      </c>
      <c r="AF468" s="13">
        <f>IF(AB468=1,$AB$31,$AB$32)</f>
        <v>152394.16214437486</v>
      </c>
      <c r="AG468" s="13">
        <f>AE468-AF468</f>
        <v>-152394.16214437486</v>
      </c>
      <c r="AH468" s="13">
        <f>AH467+AG468</f>
        <v>-37853996.142861776</v>
      </c>
      <c r="AI468">
        <f>IF(AH468=MAX($AH$83:$AH$483),$A468,0)</f>
        <v>0</v>
      </c>
      <c r="AJ468">
        <f>IF(AE468&lt;AF468,$A468,B_MAX+1)</f>
        <v>385</v>
      </c>
      <c r="AK468" s="13">
        <f>IF(AB468=1,$AB$35,$AB$36)</f>
        <v>0</v>
      </c>
      <c r="AL468" s="13">
        <f>OCC_DAYS*$AB$41*R_NF_2023-AD468*MCD_SHARE_FREED*R_WAIT_2023</f>
        <v>151980.48282209205</v>
      </c>
      <c r="AM468">
        <f>IF($A468&lt;=$AB$45,1,0)</f>
        <v>0</v>
      </c>
      <c r="BB468">
        <f>IF($BB$31&lt;=$BB$32,IF($A468&lt;=$BB$7,1,2),IF($A468&lt;=RUNG_BEDS_2,2,1))</f>
        <v>1</v>
      </c>
      <c r="BC468" s="5">
        <f>MIN(1,MAX(0,$BB$26-($A468-1)))</f>
        <v>0</v>
      </c>
      <c r="BD468" s="5">
        <f>$BB$25*(BC468+(1-BC468)*$BB$16)</f>
        <v>0.0</v>
      </c>
      <c r="BE468" s="13">
        <f>BD468*($BB$6+ACUTE_MARGIN)</f>
        <v>0.0</v>
      </c>
      <c r="BF468" s="13">
        <f>IF(BB468=1,$BB$31,$BB$32)</f>
        <v>152394.16214437486</v>
      </c>
      <c r="BG468" s="13">
        <f>BE468-BF468</f>
        <v>-152394.16214437486</v>
      </c>
      <c r="BH468" s="13">
        <f>BH467+BG468</f>
        <v>-3031567.451762237</v>
      </c>
      <c r="BI468">
        <f>IF(BH468=MAX($BH$83:$BH$483),$A468,0)</f>
        <v>0</v>
      </c>
      <c r="BJ468">
        <f>IF(BE468&lt;BF468,$A468,B_MAX+1)</f>
        <v>385</v>
      </c>
      <c r="BK468" s="13">
        <f>IF(BB468=1,$BB$35,$BB$36)</f>
        <v>0</v>
      </c>
      <c r="BL468" s="13">
        <f>OCC_DAYS*$BB$41*R_NF_2023-BD468*MCD_SHARE_FREED*R_WAIT_2023</f>
        <v>151980.48282209205</v>
      </c>
      <c r="BM468">
        <f>IF($A468&lt;=$BB$45,1,0)</f>
        <v>0</v>
      </c>
      <c r="CB468">
        <f>IF($CB$31&lt;=$CB$32,IF($A468&lt;=$CB$7,1,2),IF($A468&lt;=RUNG_BEDS_2,2,1))</f>
        <v>2</v>
      </c>
      <c r="CC468" s="5">
        <f>MIN(1,MAX(0,$CB$26-($A468-1)))</f>
        <v>0</v>
      </c>
      <c r="CD468" s="5">
        <f>$CB$25*(CC468+(1-CC468)*$CB$16)</f>
        <v>0.0</v>
      </c>
      <c r="CE468" s="13">
        <f>CD468*($CB$6+ACUTE_MARGIN)</f>
        <v>0.0</v>
      </c>
      <c r="CF468" s="13">
        <f>IF(CB468=1,$CB$31,$CB$32)</f>
        <v>160718.36940738867</v>
      </c>
      <c r="CG468" s="13">
        <f>CE468-CF468</f>
        <v>-160718.36940738867</v>
      </c>
      <c r="CH468" s="13">
        <f>CH467+CG468</f>
        <v>-23647601.59357247</v>
      </c>
      <c r="CI468">
        <f>IF(CH468=MAX($CH$83:$CH$483),$A468,0)</f>
        <v>0</v>
      </c>
      <c r="CJ468">
        <f>IF(CE468&lt;CF468,$A468,B_MAX+1)</f>
        <v>385</v>
      </c>
      <c r="CK468" s="13">
        <f>IF(CB468=1,$CB$35,$CB$36)</f>
        <v>1560.1194073886782</v>
      </c>
      <c r="CL468" s="13">
        <f>OCC_DAYS*$CB$41*R_NF_2023-CD468*MCD_SHARE_FREED*R_WAIT_2023</f>
        <v>151980.48282209205</v>
      </c>
      <c r="CM468">
        <f>IF($A468&lt;=$CB$45,1,0)</f>
        <v>0</v>
      </c>
      <c r="DB468">
        <f>IF($DB$31&lt;=$DB$32,IF($A468&lt;=$DB$7,1,2),IF($A468&lt;=RUNG_BEDS_2,2,1))</f>
        <v>1</v>
      </c>
      <c r="DC468" s="5">
        <f>MIN(1,MAX(0,$DB$26-($A468-1)))</f>
        <v>0</v>
      </c>
      <c r="DD468" s="5">
        <f>$DB$25*(DC468+(1-DC468)*$DB$16)</f>
        <v>0.0</v>
      </c>
      <c r="DE468" s="13">
        <f>DD468*($DB$6+ACUTE_MARGIN)</f>
        <v>0.0</v>
      </c>
      <c r="DF468" s="13">
        <f>IF(DB468=1,$DB$31,$DB$32)</f>
        <v>152394.16214437486</v>
      </c>
      <c r="DG468" s="13">
        <f>DE468-DF468</f>
        <v>-152394.16214437486</v>
      </c>
      <c r="DH468" s="13">
        <f>DH467+DG468</f>
        <v>-20442781.79731193</v>
      </c>
      <c r="DI468">
        <f>IF(DH468=MAX($DH$83:$DH$483),$A468,0)</f>
        <v>0</v>
      </c>
      <c r="DJ468">
        <f>IF(DE468&lt;DF468,$A468,B_MAX+1)</f>
        <v>385</v>
      </c>
      <c r="DK468" s="13">
        <f>IF(DB468=1,$DB$35,$DB$36)</f>
        <v>0</v>
      </c>
      <c r="DL468" s="13">
        <f>OCC_DAYS*$DB$41*R_NF_2023-DD468*MCD_SHARE_FREED*R_WAIT_2023</f>
        <v>151980.48282209205</v>
      </c>
      <c r="DM468">
        <f>IF($A468&lt;=$DB$45,1,0)</f>
        <v>0</v>
      </c>
      <c r="EB468">
        <f>IF($EB$31&lt;=$EB$32,IF($A468&lt;=$EB$7,1,2),IF($A468&lt;=RUNG_BEDS_2,2,1))</f>
        <v>1</v>
      </c>
      <c r="EC468" s="5">
        <f>MIN(1,MAX(0,$EB$26-($A468-1)))</f>
        <v>0</v>
      </c>
      <c r="ED468" s="5">
        <f>$EB$25*(EC468+(1-EC468)*$EB$16)</f>
        <v>0.0</v>
      </c>
      <c r="EE468" s="13">
        <f>ED468*($EB$6+ACUTE_MARGIN)</f>
        <v>0.0</v>
      </c>
      <c r="EF468" s="13">
        <f>IF(EB468=1,$EB$31,$EB$32)</f>
        <v>152394.16214437486</v>
      </c>
      <c r="EG468" s="13">
        <f>EE468-EF468</f>
        <v>-152394.16214437486</v>
      </c>
      <c r="EH468" s="13">
        <f>EH467+EG468</f>
        <v>-20442781.79731193</v>
      </c>
      <c r="EI468">
        <f>IF(EH468=MAX($EH$83:$EH$483),$A468,0)</f>
        <v>0</v>
      </c>
      <c r="EJ468">
        <f>IF(EE468&lt;EF468,$A468,B_MAX+1)</f>
        <v>385</v>
      </c>
      <c r="EK468" s="13">
        <f>IF(EB468=1,$EB$35,$EB$36)</f>
        <v>0</v>
      </c>
      <c r="EL468" s="13">
        <f>OCC_DAYS*$EB$41*R_NF_2023-ED468*MCD_SHARE_FREED*R_WAIT_2023</f>
        <v>50660.16094069735</v>
      </c>
      <c r="EM468">
        <f>IF($A468&lt;=$EB$45,1,0)</f>
        <v>0</v>
      </c>
      <c r="FB468">
        <f>IF($FB$31&lt;=$FB$32,IF($A468&lt;=$FB$7,1,2),IF($A468&lt;=RUNG_BEDS_2,2,1))</f>
        <v>1</v>
      </c>
      <c r="FC468" s="5">
        <f>MIN(1,MAX(0,$FB$26-($A468-1)))</f>
        <v>0</v>
      </c>
      <c r="FD468" s="5">
        <f>$FB$25*(FC468+(1-FC468)*$FB$16)</f>
        <v>0.0</v>
      </c>
      <c r="FE468" s="13">
        <f>FD468*($FB$6+ACUTE_MARGIN)</f>
        <v>0.0</v>
      </c>
      <c r="FF468" s="13">
        <f>IF(FB468=1,$FB$31,$FB$32)</f>
        <v>156636.04979437485</v>
      </c>
      <c r="FG468" s="13">
        <f>FE468-FF468</f>
        <v>-156636.04979437485</v>
      </c>
      <c r="FH468" s="13">
        <f>FH467+FG468</f>
        <v>-22075908.542562094</v>
      </c>
      <c r="FI468">
        <f>IF(FH468=MAX($FH$83:$FH$483),$A468,0)</f>
        <v>0</v>
      </c>
      <c r="FJ468">
        <f>IF(FE468&lt;FF468,$A468,B_MAX+1)</f>
        <v>385</v>
      </c>
      <c r="FK468" s="13">
        <f>IF(FB468=1,$FB$35,$FB$36)</f>
        <v>0</v>
      </c>
      <c r="FL468" s="13">
        <f>OCC_DAYS*$FB$41*R_NF_2023-FD468*MCD_SHARE_FREED*R_WAIT_2023</f>
        <v>151980.48282209205</v>
      </c>
      <c r="FM468">
        <f>IF($A468&lt;=$FB$45,1,0)</f>
        <v>0</v>
      </c>
      <c r="GB468">
        <f>IF($GB$31&lt;=$GB$32,IF($A468&lt;=$GB$7,1,2),IF($A468&lt;=RUNG_BEDS_2,2,1))</f>
        <v>1</v>
      </c>
      <c r="GC468" s="5">
        <f>MIN(1,MAX(0,$GB$26-($A468-1)))</f>
        <v>0</v>
      </c>
      <c r="GD468" s="5">
        <f>$GB$25*(GC468+(1-GC468)*$GB$16)</f>
        <v>0.0</v>
      </c>
      <c r="GE468" s="13">
        <f>GD468*($GB$6+ACUTE_MARGIN)</f>
        <v>0.0</v>
      </c>
      <c r="GF468" s="13">
        <f>IF(GB468=1,$GB$31,$GB$32)</f>
        <v>152394.16214437486</v>
      </c>
      <c r="GG468" s="13">
        <f>GE468-GF468</f>
        <v>-152394.16214437486</v>
      </c>
      <c r="GH468" s="13">
        <f>GH467+GG468</f>
        <v>-20442781.79731193</v>
      </c>
      <c r="GI468">
        <f>IF(GH468=MAX($GH$83:$GH$483),$A468,0)</f>
        <v>0</v>
      </c>
      <c r="GJ468">
        <f>IF(GE468&lt;GF468,$A468,B_MAX+1)</f>
        <v>385</v>
      </c>
      <c r="GK468" s="13">
        <f>IF(GB468=1,$GB$35,$GB$36)</f>
        <v>0</v>
      </c>
      <c r="GL468" s="13">
        <f>OCC_DAYS*$GB$41*R_NF_2023-GD468*MCD_SHARE_FREED*R_WAIT_2023</f>
        <v>151980.48282209205</v>
      </c>
      <c r="GM468">
        <f>IF($A468&lt;=$GB$45,1,0)</f>
        <v>0</v>
      </c>
      <c r="HB468">
        <f>IF($HB$31&lt;=$HB$32,IF($A468&lt;=$HB$7,1,2),IF($A468&lt;=RUNG_BEDS_2,2,1))</f>
        <v>1</v>
      </c>
      <c r="HC468" s="5">
        <f>MIN(1,MAX(0,$HB$26-($A468-1)))</f>
        <v>0</v>
      </c>
      <c r="HD468" s="5">
        <f>$HB$25*(HC468+(1-HC468)*$HB$16)</f>
        <v>0.0</v>
      </c>
      <c r="HE468" s="13">
        <f>HD468*($HB$6+ACUTE_MARGIN)</f>
        <v>0.0</v>
      </c>
      <c r="HF468" s="13">
        <f>IF(HB468=1,$HB$31,$HB$32)</f>
        <v>152456.2970814058</v>
      </c>
      <c r="HG468" s="13">
        <f>HE468-HF468</f>
        <v>-152456.2970814058</v>
      </c>
      <c r="HH468" s="13">
        <f>HH467+HG468</f>
        <v>-20466703.748068955</v>
      </c>
      <c r="HI468">
        <f>IF(HH468=MAX($HH$83:$HH$483),$A468,0)</f>
        <v>0</v>
      </c>
      <c r="HJ468">
        <f>IF(HE468&lt;HF468,$A468,B_MAX+1)</f>
        <v>385</v>
      </c>
      <c r="HK468" s="13">
        <f>IF(HB468=1,$HB$35,$HB$36)</f>
        <v>0</v>
      </c>
      <c r="HL468" s="13">
        <f>OCC_DAYS*$HB$41*R_NF_2023-HD468*MCD_SHARE_FREED*R_WAIT_2023</f>
        <v>151980.48282209205</v>
      </c>
      <c r="HM468">
        <f>IF($A468&lt;=$HB$45,1,0)</f>
        <v>0</v>
      </c>
      <c r="IB468">
        <f>IF($IB$31&lt;=$IB$32,IF($A468&lt;=$IB$7,1,2),IF($A468&lt;=RUNG_BEDS_2,2,1))</f>
        <v>1</v>
      </c>
      <c r="IC468" s="5">
        <f>MIN(1,MAX(0,$IB$26-($A468-1)))</f>
        <v>0</v>
      </c>
      <c r="ID468" s="5">
        <f>$IB$25*(IC468+(1-IC468)*$IB$16)</f>
        <v>0.0</v>
      </c>
      <c r="IE468" s="13">
        <f>ID468*($IB$6+ACUTE_MARGIN)</f>
        <v>0.0</v>
      </c>
      <c r="IF468" s="13">
        <f>IF(IB468=1,$IB$31,$IB$32)</f>
        <v>152734.9994534971</v>
      </c>
      <c r="IG468" s="13">
        <f>IE468-IF468</f>
        <v>-152734.9994534971</v>
      </c>
      <c r="IH468" s="13">
        <f>IH467+IG468</f>
        <v>-20574004.16132407</v>
      </c>
      <c r="II468">
        <f>IF(IH468=MAX($IH$83:$IH$483),$A468,0)</f>
        <v>0</v>
      </c>
      <c r="IJ468">
        <f>IF(IE468&lt;IF468,$A468,B_MAX+1)</f>
        <v>385</v>
      </c>
      <c r="IK468" s="13">
        <f>IF(IB468=1,$IB$35,$IB$36)</f>
        <v>0</v>
      </c>
      <c r="IL468" s="13">
        <f>OCC_DAYS*$IB$41*R_NF_2023-ID468*MCD_SHARE_FREED*R_WAIT_2023</f>
        <v>151980.48282209205</v>
      </c>
      <c r="IM468">
        <f>IF($A468&lt;=$IB$45,1,0)</f>
        <v>0</v>
      </c>
      <c r="JB468">
        <f>IF($JB$31&lt;=$JB$32,IF($A468&lt;=$JB$7,1,2),IF($A468&lt;=RUNG_BEDS_2,2,1))</f>
        <v>1</v>
      </c>
      <c r="JC468" s="5">
        <f>MIN(1,MAX(0,$JB$26-($A468-1)))</f>
        <v>0</v>
      </c>
      <c r="JD468" s="5">
        <f>$JB$25*(JC468+(1-JC468)*$JB$16)</f>
        <v>0.0</v>
      </c>
      <c r="JE468" s="13">
        <f>JD468*($JB$6+ACUTE_MARGIN)</f>
        <v>0.0</v>
      </c>
      <c r="JF468" s="13">
        <f>IF(JB468=1,$JB$31,$JB$32)</f>
        <v>152394.16214437486</v>
      </c>
      <c r="JG468" s="13">
        <f>JE468-JF468</f>
        <v>-152394.16214437486</v>
      </c>
      <c r="JH468" s="13">
        <f>JH467+JG468</f>
        <v>-20442781.79731193</v>
      </c>
      <c r="JI468">
        <f>IF(JH468=MAX($JH$83:$JH$483),$A468,0)</f>
        <v>0</v>
      </c>
      <c r="JJ468">
        <f>IF(JE468&lt;JF468,$A468,B_MAX+1)</f>
        <v>385</v>
      </c>
      <c r="JK468" s="13">
        <f>IF(JB468=1,$JB$35,$JB$36)</f>
        <v>0</v>
      </c>
      <c r="JL468" s="13">
        <f>OCC_DAYS*$JB$41*R_NF_2023-JD468*MCD_SHARE_FREED*R_WAIT_2023</f>
        <v>151980.48282209205</v>
      </c>
      <c r="JM468">
        <f>IF($A468&lt;=$JB$45,1,0)</f>
        <v>0</v>
      </c>
      <c r="KB468">
        <f>IF($KB$31&lt;=$KB$32,IF($A468&lt;=$KB$7,1,2),IF($A468&lt;=RUNG_BEDS_2,2,1))</f>
        <v>1</v>
      </c>
      <c r="KC468" s="5">
        <f>MIN(1,MAX(0,$KB$26-($A468-1)))</f>
        <v>0</v>
      </c>
      <c r="KD468" s="5">
        <f>$KB$25*(KC468+(1-KC468)*$KB$16)</f>
        <v>0.0</v>
      </c>
      <c r="KE468" s="13">
        <f>KD468*($KB$6+ACUTE_MARGIN)</f>
        <v>0.0</v>
      </c>
      <c r="KF468" s="13">
        <f>IF(KB468=1,$KB$31,$KB$32)</f>
        <v>152394.16214437486</v>
      </c>
      <c r="KG468" s="13">
        <f>KE468-KF468</f>
        <v>-152394.16214437486</v>
      </c>
      <c r="KH468" s="13">
        <f>KH467+KG468</f>
        <v>-20442781.79731204</v>
      </c>
      <c r="KI468">
        <f>IF(KH468=MAX($KH$83:$KH$483),$A468,0)</f>
        <v>0</v>
      </c>
      <c r="KJ468">
        <f>IF(KE468&lt;KF468,$A468,B_MAX+1)</f>
        <v>385</v>
      </c>
      <c r="KK468" s="13">
        <f>IF(KB468=1,$KB$35,$KB$36)</f>
        <v>0</v>
      </c>
      <c r="KL468" s="13">
        <f>OCC_DAYS*$KB$41*R_NF_2023-KD468*MCD_SHARE_FREED*R_WAIT_2023</f>
        <v>151980.48282209205</v>
      </c>
      <c r="KM468">
        <f>IF($A468&lt;=$KB$45,1,0)</f>
        <v>0</v>
      </c>
      <c r="LB468">
        <f>IF($LB$31&lt;=$LB$32,IF($A468&lt;=$LB$7,1,2),IF($A468&lt;=RUNG_BEDS_2,2,1))</f>
        <v>1</v>
      </c>
      <c r="LC468" s="5">
        <f>MIN(1,MAX(0,$LB$26-($A468-1)))</f>
        <v>1</v>
      </c>
      <c r="LD468" s="5">
        <f>$LB$25*(LC468+(1-LC468)*$LB$16)</f>
        <v>84.01774238227146</v>
      </c>
      <c r="LE468" s="13">
        <f>LD468*($LB$6+ACUTE_MARGIN)</f>
        <v>84857.91980609419</v>
      </c>
      <c r="LF468" s="13">
        <f>IF(LB468=1,$LB$31,$LB$32)</f>
        <v>152394.16214437486</v>
      </c>
      <c r="LG468" s="13">
        <f>LE468-LF468</f>
        <v>-67536.24233828067</v>
      </c>
      <c r="LH468" s="13">
        <f>LH467+LG468</f>
        <v>-26001453.300238203</v>
      </c>
      <c r="LI468">
        <f>IF(LH468=MAX($LH$83:$LH$483),$A468,0)</f>
        <v>0</v>
      </c>
      <c r="LJ468">
        <f>IF(LE468&lt;LF468,$A468,B_MAX+1)</f>
        <v>385</v>
      </c>
      <c r="LK468" s="13">
        <f>IF(LB468=1,$LB$35,$LB$36)</f>
        <v>0</v>
      </c>
      <c r="LL468" s="13">
        <f>OCC_DAYS*$LB$41*R_NF_2023-LD468*MCD_SHARE_FREED*R_WAIT_2023</f>
        <v>113776.04162887059</v>
      </c>
      <c r="LM468">
        <f>IF($A468&lt;=$LB$45,1,0)</f>
        <v>0</v>
      </c>
      <c r="MB468">
        <f>IF($MB$31&lt;=$MB$32,IF($A468&lt;=$MB$7,1,2),IF($A468&lt;=RUNG_BEDS_2,2,1))</f>
        <v>1</v>
      </c>
      <c r="MC468" s="5">
        <f>MIN(1,MAX(0,$MB$26-($A468-1)))</f>
        <v>0</v>
      </c>
      <c r="MD468" s="5">
        <f>$MB$25*(MC468+(1-MC468)*$MB$16)</f>
        <v>0.0</v>
      </c>
      <c r="ME468" s="13">
        <f>MD468*($MB$6+ACUTE_MARGIN)</f>
        <v>0.0</v>
      </c>
      <c r="MF468" s="13">
        <f>IF(MB468=1,$MB$31,$MB$32)</f>
        <v>152394.16214437486</v>
      </c>
      <c r="MG468" s="13">
        <f>ME468-MF468</f>
        <v>-152394.16214437486</v>
      </c>
      <c r="MH468" s="13">
        <f>MH467+MG468</f>
        <v>-26330057.859110232</v>
      </c>
      <c r="MI468">
        <f>IF(MH468=MAX($MH$83:$MH$483),$A468,0)</f>
        <v>0</v>
      </c>
      <c r="MJ468">
        <f>IF(ME468&lt;MF468,$A468,B_MAX+1)</f>
        <v>385</v>
      </c>
      <c r="MK468" s="13">
        <f>IF(MB468=1,$MB$35,$MB$36)</f>
        <v>0</v>
      </c>
      <c r="ML468" s="13">
        <f>OCC_DAYS*$MB$41*R_NF_2023-MD468*MCD_SHARE_FREED*R_WAIT_2023</f>
        <v>151980.48282209205</v>
      </c>
      <c r="MM468">
        <f>IF($A468&lt;=$MB$45,1,0)</f>
        <v>0</v>
      </c>
      <c r="NB468">
        <f>IF($NB$31&lt;=$NB$32,IF($A468&lt;=$NB$7,1,2),IF($A468&lt;=RUNG_BEDS_2,2,1))</f>
        <v>1</v>
      </c>
      <c r="NC468" s="5">
        <f>MIN(1,MAX(0,$NB$26-($A468-1)))</f>
        <v>0</v>
      </c>
      <c r="ND468" s="5">
        <f>$NB$25*(NC468+(1-NC468)*$NB$16)</f>
        <v>63.013306786703595</v>
      </c>
      <c r="NE468" s="13">
        <f>ND468*($NB$6+ACUTE_MARGIN)</f>
        <v>63643.43985457063</v>
      </c>
      <c r="NF468" s="13">
        <f>IF(NB468=1,$NB$31,$NB$32)</f>
        <v>152394.16214437486</v>
      </c>
      <c r="NG468" s="13">
        <f>NE468-NF468</f>
        <v>-88750.72228980422</v>
      </c>
      <c r="NH468" s="13">
        <f>NH467+NG468</f>
        <v>-5497300.110370408</v>
      </c>
      <c r="NI468">
        <f>IF(NH468=MAX($NH$83:$NH$483),$A468,0)</f>
        <v>0</v>
      </c>
      <c r="NJ468">
        <f>IF(NE468&lt;NF468,$A468,B_MAX+1)</f>
        <v>385</v>
      </c>
      <c r="NK468" s="13">
        <f>IF(NB468=1,$NB$35,$NB$36)</f>
        <v>0</v>
      </c>
      <c r="NL468" s="13">
        <f>OCC_DAYS*$NB$41*R_NF_2023-ND468*MCD_SHARE_FREED*R_WAIT_2023</f>
        <v>123327.15192717595</v>
      </c>
      <c r="NM468">
        <f>IF($A468&lt;=$NB$45,1,0)</f>
        <v>0</v>
      </c>
      <c r="OB468">
        <f>IF($OB$31&lt;=$OB$32,IF($A468&lt;=$OB$7,1,2),IF($A468&lt;=RUNG_BEDS_2,2,1))</f>
        <v>1</v>
      </c>
      <c r="OC468" s="5">
        <f>MIN(1,MAX(0,$OB$26-($A468-1)))</f>
        <v>0</v>
      </c>
      <c r="OD468" s="5">
        <f>$OB$25*(OC468+(1-OC468)*$OB$16)</f>
        <v>126.02661357340719</v>
      </c>
      <c r="OE468" s="13">
        <f>OD468*($OB$6+ACUTE_MARGIN)</f>
        <v>127286.87970914126</v>
      </c>
      <c r="OF468" s="13">
        <f>IF(OB468=1,$OB$31,$OB$32)</f>
        <v>152394.16214437486</v>
      </c>
      <c r="OG468" s="13">
        <f>OE468-OF468</f>
        <v>-25107.282435233603</v>
      </c>
      <c r="OH468" s="13">
        <f>OH467+OG468</f>
        <v>9448181.57657144</v>
      </c>
      <c r="OI468">
        <f>IF(OH468=MAX($OH$83:$OH$483),$A468,0)</f>
        <v>0</v>
      </c>
      <c r="OJ468">
        <f>IF(OE468&lt;OF468,$A468,B_MAX+1)</f>
        <v>385</v>
      </c>
      <c r="OK468" s="13">
        <f>IF(OB468=1,$OB$35,$OB$36)</f>
        <v>0</v>
      </c>
      <c r="OL468" s="13">
        <f>OCC_DAYS*$OB$41*R_NF_2023-OD468*MCD_SHARE_FREED*R_WAIT_2023</f>
        <v>94673.82103225985</v>
      </c>
      <c r="OM468">
        <f>IF($A468&lt;=$OB$45,1,0)</f>
        <v>0</v>
      </c>
    </row>
    <row r="469">
      <c r="A469" t="n">
        <v>386</v>
      </c>
      <c r="B469">
        <f>IF($B$31&lt;=$B$32,IF($A469&lt;=$B$7,1,2),IF($A469&lt;=RUNG_BEDS_2,2,1))</f>
        <v>1</v>
      </c>
      <c r="C469" s="5">
        <f>MIN(1,MAX(0,$B$26-($A469-1)))</f>
        <v>0</v>
      </c>
      <c r="D469" s="5">
        <f>$B$25*(C469+(1-C469)*$B$16)</f>
        <v>0.0</v>
      </c>
      <c r="E469" s="13">
        <f>D469*($B$6+ACUTE_MARGIN)</f>
        <v>0.0</v>
      </c>
      <c r="F469" s="13">
        <f>IF(B469=1,$B$31,$B$32)</f>
        <v>152394.16214437486</v>
      </c>
      <c r="G469" s="13">
        <f>E469-F469</f>
        <v>-152394.16214437486</v>
      </c>
      <c r="H469" s="13">
        <f>H468+G469</f>
        <v>-20595175.959456306</v>
      </c>
      <c r="I469">
        <f>IF(H469=MAX($H$83:$H$483),$A469,0)</f>
        <v>0</v>
      </c>
      <c r="J469">
        <f>IF(E469&lt;F469,$A469,B_MAX+1)</f>
        <v>386</v>
      </c>
      <c r="K469" s="13">
        <f>IF(B469=1,$B$35,$B$36)</f>
        <v>0</v>
      </c>
      <c r="L469" s="13">
        <f>OCC_DAYS*$B$41*R_NF_2023-D469*MCD_SHARE_FREED*R_WAIT_2023</f>
        <v>151980.48282209205</v>
      </c>
      <c r="M469">
        <f>IF($A469&lt;=$B$45,1,0)</f>
        <v>0</v>
      </c>
      <c r="AB469">
        <f>IF($AB$31&lt;=$AB$32,IF($A469&lt;=$AB$7,1,2),IF($A469&lt;=RUNG_BEDS_2,2,1))</f>
        <v>1</v>
      </c>
      <c r="AC469" s="5">
        <f>MIN(1,MAX(0,$AB$26-($A469-1)))</f>
        <v>0</v>
      </c>
      <c r="AD469" s="5">
        <f>$AB$25*(AC469+(1-AC469)*$AB$16)</f>
        <v>0.0</v>
      </c>
      <c r="AE469" s="13">
        <f>AD469*($AB$6+ACUTE_MARGIN)</f>
        <v>0.0</v>
      </c>
      <c r="AF469" s="13">
        <f>IF(AB469=1,$AB$31,$AB$32)</f>
        <v>152394.16214437486</v>
      </c>
      <c r="AG469" s="13">
        <f>AE469-AF469</f>
        <v>-152394.16214437486</v>
      </c>
      <c r="AH469" s="13">
        <f>AH468+AG469</f>
        <v>-38006390.305006154</v>
      </c>
      <c r="AI469">
        <f>IF(AH469=MAX($AH$83:$AH$483),$A469,0)</f>
        <v>0</v>
      </c>
      <c r="AJ469">
        <f>IF(AE469&lt;AF469,$A469,B_MAX+1)</f>
        <v>386</v>
      </c>
      <c r="AK469" s="13">
        <f>IF(AB469=1,$AB$35,$AB$36)</f>
        <v>0</v>
      </c>
      <c r="AL469" s="13">
        <f>OCC_DAYS*$AB$41*R_NF_2023-AD469*MCD_SHARE_FREED*R_WAIT_2023</f>
        <v>151980.48282209205</v>
      </c>
      <c r="AM469">
        <f>IF($A469&lt;=$AB$45,1,0)</f>
        <v>0</v>
      </c>
      <c r="BB469">
        <f>IF($BB$31&lt;=$BB$32,IF($A469&lt;=$BB$7,1,2),IF($A469&lt;=RUNG_BEDS_2,2,1))</f>
        <v>1</v>
      </c>
      <c r="BC469" s="5">
        <f>MIN(1,MAX(0,$BB$26-($A469-1)))</f>
        <v>0</v>
      </c>
      <c r="BD469" s="5">
        <f>$BB$25*(BC469+(1-BC469)*$BB$16)</f>
        <v>0.0</v>
      </c>
      <c r="BE469" s="13">
        <f>BD469*($BB$6+ACUTE_MARGIN)</f>
        <v>0.0</v>
      </c>
      <c r="BF469" s="13">
        <f>IF(BB469=1,$BB$31,$BB$32)</f>
        <v>152394.16214437486</v>
      </c>
      <c r="BG469" s="13">
        <f>BE469-BF469</f>
        <v>-152394.16214437486</v>
      </c>
      <c r="BH469" s="13">
        <f>BH468+BG469</f>
        <v>-3183961.613906612</v>
      </c>
      <c r="BI469">
        <f>IF(BH469=MAX($BH$83:$BH$483),$A469,0)</f>
        <v>0</v>
      </c>
      <c r="BJ469">
        <f>IF(BE469&lt;BF469,$A469,B_MAX+1)</f>
        <v>386</v>
      </c>
      <c r="BK469" s="13">
        <f>IF(BB469=1,$BB$35,$BB$36)</f>
        <v>0</v>
      </c>
      <c r="BL469" s="13">
        <f>OCC_DAYS*$BB$41*R_NF_2023-BD469*MCD_SHARE_FREED*R_WAIT_2023</f>
        <v>151980.48282209205</v>
      </c>
      <c r="BM469">
        <f>IF($A469&lt;=$BB$45,1,0)</f>
        <v>0</v>
      </c>
      <c r="CB469">
        <f>IF($CB$31&lt;=$CB$32,IF($A469&lt;=$CB$7,1,2),IF($A469&lt;=RUNG_BEDS_2,2,1))</f>
        <v>2</v>
      </c>
      <c r="CC469" s="5">
        <f>MIN(1,MAX(0,$CB$26-($A469-1)))</f>
        <v>0</v>
      </c>
      <c r="CD469" s="5">
        <f>$CB$25*(CC469+(1-CC469)*$CB$16)</f>
        <v>0.0</v>
      </c>
      <c r="CE469" s="13">
        <f>CD469*($CB$6+ACUTE_MARGIN)</f>
        <v>0.0</v>
      </c>
      <c r="CF469" s="13">
        <f>IF(CB469=1,$CB$31,$CB$32)</f>
        <v>160718.36940738867</v>
      </c>
      <c r="CG469" s="13">
        <f>CE469-CF469</f>
        <v>-160718.36940738867</v>
      </c>
      <c r="CH469" s="13">
        <f>CH468+CG469</f>
        <v>-23808319.96297986</v>
      </c>
      <c r="CI469">
        <f>IF(CH469=MAX($CH$83:$CH$483),$A469,0)</f>
        <v>0</v>
      </c>
      <c r="CJ469">
        <f>IF(CE469&lt;CF469,$A469,B_MAX+1)</f>
        <v>386</v>
      </c>
      <c r="CK469" s="13">
        <f>IF(CB469=1,$CB$35,$CB$36)</f>
        <v>1560.1194073886782</v>
      </c>
      <c r="CL469" s="13">
        <f>OCC_DAYS*$CB$41*R_NF_2023-CD469*MCD_SHARE_FREED*R_WAIT_2023</f>
        <v>151980.48282209205</v>
      </c>
      <c r="CM469">
        <f>IF($A469&lt;=$CB$45,1,0)</f>
        <v>0</v>
      </c>
      <c r="DB469">
        <f>IF($DB$31&lt;=$DB$32,IF($A469&lt;=$DB$7,1,2),IF($A469&lt;=RUNG_BEDS_2,2,1))</f>
        <v>1</v>
      </c>
      <c r="DC469" s="5">
        <f>MIN(1,MAX(0,$DB$26-($A469-1)))</f>
        <v>0</v>
      </c>
      <c r="DD469" s="5">
        <f>$DB$25*(DC469+(1-DC469)*$DB$16)</f>
        <v>0.0</v>
      </c>
      <c r="DE469" s="13">
        <f>DD469*($DB$6+ACUTE_MARGIN)</f>
        <v>0.0</v>
      </c>
      <c r="DF469" s="13">
        <f>IF(DB469=1,$DB$31,$DB$32)</f>
        <v>152394.16214437486</v>
      </c>
      <c r="DG469" s="13">
        <f>DE469-DF469</f>
        <v>-152394.16214437486</v>
      </c>
      <c r="DH469" s="13">
        <f>DH468+DG469</f>
        <v>-20595175.959456306</v>
      </c>
      <c r="DI469">
        <f>IF(DH469=MAX($DH$83:$DH$483),$A469,0)</f>
        <v>0</v>
      </c>
      <c r="DJ469">
        <f>IF(DE469&lt;DF469,$A469,B_MAX+1)</f>
        <v>386</v>
      </c>
      <c r="DK469" s="13">
        <f>IF(DB469=1,$DB$35,$DB$36)</f>
        <v>0</v>
      </c>
      <c r="DL469" s="13">
        <f>OCC_DAYS*$DB$41*R_NF_2023-DD469*MCD_SHARE_FREED*R_WAIT_2023</f>
        <v>151980.48282209205</v>
      </c>
      <c r="DM469">
        <f>IF($A469&lt;=$DB$45,1,0)</f>
        <v>0</v>
      </c>
      <c r="EB469">
        <f>IF($EB$31&lt;=$EB$32,IF($A469&lt;=$EB$7,1,2),IF($A469&lt;=RUNG_BEDS_2,2,1))</f>
        <v>1</v>
      </c>
      <c r="EC469" s="5">
        <f>MIN(1,MAX(0,$EB$26-($A469-1)))</f>
        <v>0</v>
      </c>
      <c r="ED469" s="5">
        <f>$EB$25*(EC469+(1-EC469)*$EB$16)</f>
        <v>0.0</v>
      </c>
      <c r="EE469" s="13">
        <f>ED469*($EB$6+ACUTE_MARGIN)</f>
        <v>0.0</v>
      </c>
      <c r="EF469" s="13">
        <f>IF(EB469=1,$EB$31,$EB$32)</f>
        <v>152394.16214437486</v>
      </c>
      <c r="EG469" s="13">
        <f>EE469-EF469</f>
        <v>-152394.16214437486</v>
      </c>
      <c r="EH469" s="13">
        <f>EH468+EG469</f>
        <v>-20595175.959456306</v>
      </c>
      <c r="EI469">
        <f>IF(EH469=MAX($EH$83:$EH$483),$A469,0)</f>
        <v>0</v>
      </c>
      <c r="EJ469">
        <f>IF(EE469&lt;EF469,$A469,B_MAX+1)</f>
        <v>386</v>
      </c>
      <c r="EK469" s="13">
        <f>IF(EB469=1,$EB$35,$EB$36)</f>
        <v>0</v>
      </c>
      <c r="EL469" s="13">
        <f>OCC_DAYS*$EB$41*R_NF_2023-ED469*MCD_SHARE_FREED*R_WAIT_2023</f>
        <v>50660.16094069735</v>
      </c>
      <c r="EM469">
        <f>IF($A469&lt;=$EB$45,1,0)</f>
        <v>0</v>
      </c>
      <c r="FB469">
        <f>IF($FB$31&lt;=$FB$32,IF($A469&lt;=$FB$7,1,2),IF($A469&lt;=RUNG_BEDS_2,2,1))</f>
        <v>1</v>
      </c>
      <c r="FC469" s="5">
        <f>MIN(1,MAX(0,$FB$26-($A469-1)))</f>
        <v>0</v>
      </c>
      <c r="FD469" s="5">
        <f>$FB$25*(FC469+(1-FC469)*$FB$16)</f>
        <v>0.0</v>
      </c>
      <c r="FE469" s="13">
        <f>FD469*($FB$6+ACUTE_MARGIN)</f>
        <v>0.0</v>
      </c>
      <c r="FF469" s="13">
        <f>IF(FB469=1,$FB$31,$FB$32)</f>
        <v>156636.04979437485</v>
      </c>
      <c r="FG469" s="13">
        <f>FE469-FF469</f>
        <v>-156636.04979437485</v>
      </c>
      <c r="FH469" s="13">
        <f>FH468+FG469</f>
        <v>-22232544.59235647</v>
      </c>
      <c r="FI469">
        <f>IF(FH469=MAX($FH$83:$FH$483),$A469,0)</f>
        <v>0</v>
      </c>
      <c r="FJ469">
        <f>IF(FE469&lt;FF469,$A469,B_MAX+1)</f>
        <v>386</v>
      </c>
      <c r="FK469" s="13">
        <f>IF(FB469=1,$FB$35,$FB$36)</f>
        <v>0</v>
      </c>
      <c r="FL469" s="13">
        <f>OCC_DAYS*$FB$41*R_NF_2023-FD469*MCD_SHARE_FREED*R_WAIT_2023</f>
        <v>151980.48282209205</v>
      </c>
      <c r="FM469">
        <f>IF($A469&lt;=$FB$45,1,0)</f>
        <v>0</v>
      </c>
      <c r="GB469">
        <f>IF($GB$31&lt;=$GB$32,IF($A469&lt;=$GB$7,1,2),IF($A469&lt;=RUNG_BEDS_2,2,1))</f>
        <v>1</v>
      </c>
      <c r="GC469" s="5">
        <f>MIN(1,MAX(0,$GB$26-($A469-1)))</f>
        <v>0</v>
      </c>
      <c r="GD469" s="5">
        <f>$GB$25*(GC469+(1-GC469)*$GB$16)</f>
        <v>0.0</v>
      </c>
      <c r="GE469" s="13">
        <f>GD469*($GB$6+ACUTE_MARGIN)</f>
        <v>0.0</v>
      </c>
      <c r="GF469" s="13">
        <f>IF(GB469=1,$GB$31,$GB$32)</f>
        <v>152394.16214437486</v>
      </c>
      <c r="GG469" s="13">
        <f>GE469-GF469</f>
        <v>-152394.16214437486</v>
      </c>
      <c r="GH469" s="13">
        <f>GH468+GG469</f>
        <v>-20595175.959456306</v>
      </c>
      <c r="GI469">
        <f>IF(GH469=MAX($GH$83:$GH$483),$A469,0)</f>
        <v>0</v>
      </c>
      <c r="GJ469">
        <f>IF(GE469&lt;GF469,$A469,B_MAX+1)</f>
        <v>386</v>
      </c>
      <c r="GK469" s="13">
        <f>IF(GB469=1,$GB$35,$GB$36)</f>
        <v>0</v>
      </c>
      <c r="GL469" s="13">
        <f>OCC_DAYS*$GB$41*R_NF_2023-GD469*MCD_SHARE_FREED*R_WAIT_2023</f>
        <v>151980.48282209205</v>
      </c>
      <c r="GM469">
        <f>IF($A469&lt;=$GB$45,1,0)</f>
        <v>0</v>
      </c>
      <c r="HB469">
        <f>IF($HB$31&lt;=$HB$32,IF($A469&lt;=$HB$7,1,2),IF($A469&lt;=RUNG_BEDS_2,2,1))</f>
        <v>1</v>
      </c>
      <c r="HC469" s="5">
        <f>MIN(1,MAX(0,$HB$26-($A469-1)))</f>
        <v>0</v>
      </c>
      <c r="HD469" s="5">
        <f>$HB$25*(HC469+(1-HC469)*$HB$16)</f>
        <v>0.0</v>
      </c>
      <c r="HE469" s="13">
        <f>HD469*($HB$6+ACUTE_MARGIN)</f>
        <v>0.0</v>
      </c>
      <c r="HF469" s="13">
        <f>IF(HB469=1,$HB$31,$HB$32)</f>
        <v>152456.2970814058</v>
      </c>
      <c r="HG469" s="13">
        <f>HE469-HF469</f>
        <v>-152456.2970814058</v>
      </c>
      <c r="HH469" s="13">
        <f>HH468+HG469</f>
        <v>-20619160.045150362</v>
      </c>
      <c r="HI469">
        <f>IF(HH469=MAX($HH$83:$HH$483),$A469,0)</f>
        <v>0</v>
      </c>
      <c r="HJ469">
        <f>IF(HE469&lt;HF469,$A469,B_MAX+1)</f>
        <v>386</v>
      </c>
      <c r="HK469" s="13">
        <f>IF(HB469=1,$HB$35,$HB$36)</f>
        <v>0</v>
      </c>
      <c r="HL469" s="13">
        <f>OCC_DAYS*$HB$41*R_NF_2023-HD469*MCD_SHARE_FREED*R_WAIT_2023</f>
        <v>151980.48282209205</v>
      </c>
      <c r="HM469">
        <f>IF($A469&lt;=$HB$45,1,0)</f>
        <v>0</v>
      </c>
      <c r="IB469">
        <f>IF($IB$31&lt;=$IB$32,IF($A469&lt;=$IB$7,1,2),IF($A469&lt;=RUNG_BEDS_2,2,1))</f>
        <v>1</v>
      </c>
      <c r="IC469" s="5">
        <f>MIN(1,MAX(0,$IB$26-($A469-1)))</f>
        <v>0</v>
      </c>
      <c r="ID469" s="5">
        <f>$IB$25*(IC469+(1-IC469)*$IB$16)</f>
        <v>0.0</v>
      </c>
      <c r="IE469" s="13">
        <f>ID469*($IB$6+ACUTE_MARGIN)</f>
        <v>0.0</v>
      </c>
      <c r="IF469" s="13">
        <f>IF(IB469=1,$IB$31,$IB$32)</f>
        <v>152734.9994534971</v>
      </c>
      <c r="IG469" s="13">
        <f>IE469-IF469</f>
        <v>-152734.9994534971</v>
      </c>
      <c r="IH469" s="13">
        <f>IH468+IG469</f>
        <v>-20726739.160777565</v>
      </c>
      <c r="II469">
        <f>IF(IH469=MAX($IH$83:$IH$483),$A469,0)</f>
        <v>0</v>
      </c>
      <c r="IJ469">
        <f>IF(IE469&lt;IF469,$A469,B_MAX+1)</f>
        <v>386</v>
      </c>
      <c r="IK469" s="13">
        <f>IF(IB469=1,$IB$35,$IB$36)</f>
        <v>0</v>
      </c>
      <c r="IL469" s="13">
        <f>OCC_DAYS*$IB$41*R_NF_2023-ID469*MCD_SHARE_FREED*R_WAIT_2023</f>
        <v>151980.48282209205</v>
      </c>
      <c r="IM469">
        <f>IF($A469&lt;=$IB$45,1,0)</f>
        <v>0</v>
      </c>
      <c r="JB469">
        <f>IF($JB$31&lt;=$JB$32,IF($A469&lt;=$JB$7,1,2),IF($A469&lt;=RUNG_BEDS_2,2,1))</f>
        <v>1</v>
      </c>
      <c r="JC469" s="5">
        <f>MIN(1,MAX(0,$JB$26-($A469-1)))</f>
        <v>0</v>
      </c>
      <c r="JD469" s="5">
        <f>$JB$25*(JC469+(1-JC469)*$JB$16)</f>
        <v>0.0</v>
      </c>
      <c r="JE469" s="13">
        <f>JD469*($JB$6+ACUTE_MARGIN)</f>
        <v>0.0</v>
      </c>
      <c r="JF469" s="13">
        <f>IF(JB469=1,$JB$31,$JB$32)</f>
        <v>152394.16214437486</v>
      </c>
      <c r="JG469" s="13">
        <f>JE469-JF469</f>
        <v>-152394.16214437486</v>
      </c>
      <c r="JH469" s="13">
        <f>JH468+JG469</f>
        <v>-20595175.959456306</v>
      </c>
      <c r="JI469">
        <f>IF(JH469=MAX($JH$83:$JH$483),$A469,0)</f>
        <v>0</v>
      </c>
      <c r="JJ469">
        <f>IF(JE469&lt;JF469,$A469,B_MAX+1)</f>
        <v>386</v>
      </c>
      <c r="JK469" s="13">
        <f>IF(JB469=1,$JB$35,$JB$36)</f>
        <v>0</v>
      </c>
      <c r="JL469" s="13">
        <f>OCC_DAYS*$JB$41*R_NF_2023-JD469*MCD_SHARE_FREED*R_WAIT_2023</f>
        <v>151980.48282209205</v>
      </c>
      <c r="JM469">
        <f>IF($A469&lt;=$JB$45,1,0)</f>
        <v>0</v>
      </c>
      <c r="KB469">
        <f>IF($KB$31&lt;=$KB$32,IF($A469&lt;=$KB$7,1,2),IF($A469&lt;=RUNG_BEDS_2,2,1))</f>
        <v>1</v>
      </c>
      <c r="KC469" s="5">
        <f>MIN(1,MAX(0,$KB$26-($A469-1)))</f>
        <v>0</v>
      </c>
      <c r="KD469" s="5">
        <f>$KB$25*(KC469+(1-KC469)*$KB$16)</f>
        <v>0.0</v>
      </c>
      <c r="KE469" s="13">
        <f>KD469*($KB$6+ACUTE_MARGIN)</f>
        <v>0.0</v>
      </c>
      <c r="KF469" s="13">
        <f>IF(KB469=1,$KB$31,$KB$32)</f>
        <v>152394.16214437486</v>
      </c>
      <c r="KG469" s="13">
        <f>KE469-KF469</f>
        <v>-152394.16214437486</v>
      </c>
      <c r="KH469" s="13">
        <f>KH468+KG469</f>
        <v>-20595175.959456414</v>
      </c>
      <c r="KI469">
        <f>IF(KH469=MAX($KH$83:$KH$483),$A469,0)</f>
        <v>0</v>
      </c>
      <c r="KJ469">
        <f>IF(KE469&lt;KF469,$A469,B_MAX+1)</f>
        <v>386</v>
      </c>
      <c r="KK469" s="13">
        <f>IF(KB469=1,$KB$35,$KB$36)</f>
        <v>0</v>
      </c>
      <c r="KL469" s="13">
        <f>OCC_DAYS*$KB$41*R_NF_2023-KD469*MCD_SHARE_FREED*R_WAIT_2023</f>
        <v>151980.48282209205</v>
      </c>
      <c r="KM469">
        <f>IF($A469&lt;=$KB$45,1,0)</f>
        <v>0</v>
      </c>
      <c r="LB469">
        <f>IF($LB$31&lt;=$LB$32,IF($A469&lt;=$LB$7,1,2),IF($A469&lt;=RUNG_BEDS_2,2,1))</f>
        <v>1</v>
      </c>
      <c r="LC469" s="5">
        <f>MIN(1,MAX(0,$LB$26-($A469-1)))</f>
        <v>1</v>
      </c>
      <c r="LD469" s="5">
        <f>$LB$25*(LC469+(1-LC469)*$LB$16)</f>
        <v>84.01774238227146</v>
      </c>
      <c r="LE469" s="13">
        <f>LD469*($LB$6+ACUTE_MARGIN)</f>
        <v>84857.91980609419</v>
      </c>
      <c r="LF469" s="13">
        <f>IF(LB469=1,$LB$31,$LB$32)</f>
        <v>152394.16214437486</v>
      </c>
      <c r="LG469" s="13">
        <f>LE469-LF469</f>
        <v>-67536.24233828067</v>
      </c>
      <c r="LH469" s="13">
        <f>LH468+LG469</f>
        <v>-26068989.542576484</v>
      </c>
      <c r="LI469">
        <f>IF(LH469=MAX($LH$83:$LH$483),$A469,0)</f>
        <v>0</v>
      </c>
      <c r="LJ469">
        <f>IF(LE469&lt;LF469,$A469,B_MAX+1)</f>
        <v>386</v>
      </c>
      <c r="LK469" s="13">
        <f>IF(LB469=1,$LB$35,$LB$36)</f>
        <v>0</v>
      </c>
      <c r="LL469" s="13">
        <f>OCC_DAYS*$LB$41*R_NF_2023-LD469*MCD_SHARE_FREED*R_WAIT_2023</f>
        <v>113776.04162887059</v>
      </c>
      <c r="LM469">
        <f>IF($A469&lt;=$LB$45,1,0)</f>
        <v>0</v>
      </c>
      <c r="MB469">
        <f>IF($MB$31&lt;=$MB$32,IF($A469&lt;=$MB$7,1,2),IF($A469&lt;=RUNG_BEDS_2,2,1))</f>
        <v>1</v>
      </c>
      <c r="MC469" s="5">
        <f>MIN(1,MAX(0,$MB$26-($A469-1)))</f>
        <v>0</v>
      </c>
      <c r="MD469" s="5">
        <f>$MB$25*(MC469+(1-MC469)*$MB$16)</f>
        <v>0.0</v>
      </c>
      <c r="ME469" s="13">
        <f>MD469*($MB$6+ACUTE_MARGIN)</f>
        <v>0.0</v>
      </c>
      <c r="MF469" s="13">
        <f>IF(MB469=1,$MB$31,$MB$32)</f>
        <v>152394.16214437486</v>
      </c>
      <c r="MG469" s="13">
        <f>ME469-MF469</f>
        <v>-152394.16214437486</v>
      </c>
      <c r="MH469" s="13">
        <f>MH468+MG469</f>
        <v>-26482452.021254607</v>
      </c>
      <c r="MI469">
        <f>IF(MH469=MAX($MH$83:$MH$483),$A469,0)</f>
        <v>0</v>
      </c>
      <c r="MJ469">
        <f>IF(ME469&lt;MF469,$A469,B_MAX+1)</f>
        <v>386</v>
      </c>
      <c r="MK469" s="13">
        <f>IF(MB469=1,$MB$35,$MB$36)</f>
        <v>0</v>
      </c>
      <c r="ML469" s="13">
        <f>OCC_DAYS*$MB$41*R_NF_2023-MD469*MCD_SHARE_FREED*R_WAIT_2023</f>
        <v>151980.48282209205</v>
      </c>
      <c r="MM469">
        <f>IF($A469&lt;=$MB$45,1,0)</f>
        <v>0</v>
      </c>
      <c r="NB469">
        <f>IF($NB$31&lt;=$NB$32,IF($A469&lt;=$NB$7,1,2),IF($A469&lt;=RUNG_BEDS_2,2,1))</f>
        <v>1</v>
      </c>
      <c r="NC469" s="5">
        <f>MIN(1,MAX(0,$NB$26-($A469-1)))</f>
        <v>0</v>
      </c>
      <c r="ND469" s="5">
        <f>$NB$25*(NC469+(1-NC469)*$NB$16)</f>
        <v>63.013306786703595</v>
      </c>
      <c r="NE469" s="13">
        <f>ND469*($NB$6+ACUTE_MARGIN)</f>
        <v>63643.43985457063</v>
      </c>
      <c r="NF469" s="13">
        <f>IF(NB469=1,$NB$31,$NB$32)</f>
        <v>152394.16214437486</v>
      </c>
      <c r="NG469" s="13">
        <f>NE469-NF469</f>
        <v>-88750.72228980422</v>
      </c>
      <c r="NH469" s="13">
        <f>NH468+NG469</f>
        <v>-5586050.832660212</v>
      </c>
      <c r="NI469">
        <f>IF(NH469=MAX($NH$83:$NH$483),$A469,0)</f>
        <v>0</v>
      </c>
      <c r="NJ469">
        <f>IF(NE469&lt;NF469,$A469,B_MAX+1)</f>
        <v>386</v>
      </c>
      <c r="NK469" s="13">
        <f>IF(NB469=1,$NB$35,$NB$36)</f>
        <v>0</v>
      </c>
      <c r="NL469" s="13">
        <f>OCC_DAYS*$NB$41*R_NF_2023-ND469*MCD_SHARE_FREED*R_WAIT_2023</f>
        <v>123327.15192717595</v>
      </c>
      <c r="NM469">
        <f>IF($A469&lt;=$NB$45,1,0)</f>
        <v>0</v>
      </c>
      <c r="OB469">
        <f>IF($OB$31&lt;=$OB$32,IF($A469&lt;=$OB$7,1,2),IF($A469&lt;=RUNG_BEDS_2,2,1))</f>
        <v>1</v>
      </c>
      <c r="OC469" s="5">
        <f>MIN(1,MAX(0,$OB$26-($A469-1)))</f>
        <v>0</v>
      </c>
      <c r="OD469" s="5">
        <f>$OB$25*(OC469+(1-OC469)*$OB$16)</f>
        <v>126.02661357340719</v>
      </c>
      <c r="OE469" s="13">
        <f>OD469*($OB$6+ACUTE_MARGIN)</f>
        <v>127286.87970914126</v>
      </c>
      <c r="OF469" s="13">
        <f>IF(OB469=1,$OB$31,$OB$32)</f>
        <v>152394.16214437486</v>
      </c>
      <c r="OG469" s="13">
        <f>OE469-OF469</f>
        <v>-25107.282435233603</v>
      </c>
      <c r="OH469" s="13">
        <f>OH468+OG469</f>
        <v>9423074.294136208</v>
      </c>
      <c r="OI469">
        <f>IF(OH469=MAX($OH$83:$OH$483),$A469,0)</f>
        <v>0</v>
      </c>
      <c r="OJ469">
        <f>IF(OE469&lt;OF469,$A469,B_MAX+1)</f>
        <v>386</v>
      </c>
      <c r="OK469" s="13">
        <f>IF(OB469=1,$OB$35,$OB$36)</f>
        <v>0</v>
      </c>
      <c r="OL469" s="13">
        <f>OCC_DAYS*$OB$41*R_NF_2023-OD469*MCD_SHARE_FREED*R_WAIT_2023</f>
        <v>94673.82103225985</v>
      </c>
      <c r="OM469">
        <f>IF($A469&lt;=$OB$45,1,0)</f>
        <v>0</v>
      </c>
    </row>
    <row r="470">
      <c r="A470" t="n">
        <v>387</v>
      </c>
      <c r="B470">
        <f>IF($B$31&lt;=$B$32,IF($A470&lt;=$B$7,1,2),IF($A470&lt;=RUNG_BEDS_2,2,1))</f>
        <v>1</v>
      </c>
      <c r="C470" s="5">
        <f>MIN(1,MAX(0,$B$26-($A470-1)))</f>
        <v>0</v>
      </c>
      <c r="D470" s="5">
        <f>$B$25*(C470+(1-C470)*$B$16)</f>
        <v>0.0</v>
      </c>
      <c r="E470" s="13">
        <f>D470*($B$6+ACUTE_MARGIN)</f>
        <v>0.0</v>
      </c>
      <c r="F470" s="13">
        <f>IF(B470=1,$B$31,$B$32)</f>
        <v>152394.16214437486</v>
      </c>
      <c r="G470" s="13">
        <f>E470-F470</f>
        <v>-152394.16214437486</v>
      </c>
      <c r="H470" s="13">
        <f>H469+G470</f>
        <v>-20747570.12160068</v>
      </c>
      <c r="I470">
        <f>IF(H470=MAX($H$83:$H$483),$A470,0)</f>
        <v>0</v>
      </c>
      <c r="J470">
        <f>IF(E470&lt;F470,$A470,B_MAX+1)</f>
        <v>387</v>
      </c>
      <c r="K470" s="13">
        <f>IF(B470=1,$B$35,$B$36)</f>
        <v>0</v>
      </c>
      <c r="L470" s="13">
        <f>OCC_DAYS*$B$41*R_NF_2023-D470*MCD_SHARE_FREED*R_WAIT_2023</f>
        <v>151980.48282209205</v>
      </c>
      <c r="M470">
        <f>IF($A470&lt;=$B$45,1,0)</f>
        <v>0</v>
      </c>
      <c r="AB470">
        <f>IF($AB$31&lt;=$AB$32,IF($A470&lt;=$AB$7,1,2),IF($A470&lt;=RUNG_BEDS_2,2,1))</f>
        <v>1</v>
      </c>
      <c r="AC470" s="5">
        <f>MIN(1,MAX(0,$AB$26-($A470-1)))</f>
        <v>0</v>
      </c>
      <c r="AD470" s="5">
        <f>$AB$25*(AC470+(1-AC470)*$AB$16)</f>
        <v>0.0</v>
      </c>
      <c r="AE470" s="13">
        <f>AD470*($AB$6+ACUTE_MARGIN)</f>
        <v>0.0</v>
      </c>
      <c r="AF470" s="13">
        <f>IF(AB470=1,$AB$31,$AB$32)</f>
        <v>152394.16214437486</v>
      </c>
      <c r="AG470" s="13">
        <f>AE470-AF470</f>
        <v>-152394.16214437486</v>
      </c>
      <c r="AH470" s="13">
        <f>AH469+AG470</f>
        <v>-38158784.46715053</v>
      </c>
      <c r="AI470">
        <f>IF(AH470=MAX($AH$83:$AH$483),$A470,0)</f>
        <v>0</v>
      </c>
      <c r="AJ470">
        <f>IF(AE470&lt;AF470,$A470,B_MAX+1)</f>
        <v>387</v>
      </c>
      <c r="AK470" s="13">
        <f>IF(AB470=1,$AB$35,$AB$36)</f>
        <v>0</v>
      </c>
      <c r="AL470" s="13">
        <f>OCC_DAYS*$AB$41*R_NF_2023-AD470*MCD_SHARE_FREED*R_WAIT_2023</f>
        <v>151980.48282209205</v>
      </c>
      <c r="AM470">
        <f>IF($A470&lt;=$AB$45,1,0)</f>
        <v>0</v>
      </c>
      <c r="BB470">
        <f>IF($BB$31&lt;=$BB$32,IF($A470&lt;=$BB$7,1,2),IF($A470&lt;=RUNG_BEDS_2,2,1))</f>
        <v>1</v>
      </c>
      <c r="BC470" s="5">
        <f>MIN(1,MAX(0,$BB$26-($A470-1)))</f>
        <v>0</v>
      </c>
      <c r="BD470" s="5">
        <f>$BB$25*(BC470+(1-BC470)*$BB$16)</f>
        <v>0.0</v>
      </c>
      <c r="BE470" s="13">
        <f>BD470*($BB$6+ACUTE_MARGIN)</f>
        <v>0.0</v>
      </c>
      <c r="BF470" s="13">
        <f>IF(BB470=1,$BB$31,$BB$32)</f>
        <v>152394.16214437486</v>
      </c>
      <c r="BG470" s="13">
        <f>BE470-BF470</f>
        <v>-152394.16214437486</v>
      </c>
      <c r="BH470" s="13">
        <f>BH469+BG470</f>
        <v>-3336355.776050987</v>
      </c>
      <c r="BI470">
        <f>IF(BH470=MAX($BH$83:$BH$483),$A470,0)</f>
        <v>0</v>
      </c>
      <c r="BJ470">
        <f>IF(BE470&lt;BF470,$A470,B_MAX+1)</f>
        <v>387</v>
      </c>
      <c r="BK470" s="13">
        <f>IF(BB470=1,$BB$35,$BB$36)</f>
        <v>0</v>
      </c>
      <c r="BL470" s="13">
        <f>OCC_DAYS*$BB$41*R_NF_2023-BD470*MCD_SHARE_FREED*R_WAIT_2023</f>
        <v>151980.48282209205</v>
      </c>
      <c r="BM470">
        <f>IF($A470&lt;=$BB$45,1,0)</f>
        <v>0</v>
      </c>
      <c r="CB470">
        <f>IF($CB$31&lt;=$CB$32,IF($A470&lt;=$CB$7,1,2),IF($A470&lt;=RUNG_BEDS_2,2,1))</f>
        <v>2</v>
      </c>
      <c r="CC470" s="5">
        <f>MIN(1,MAX(0,$CB$26-($A470-1)))</f>
        <v>0</v>
      </c>
      <c r="CD470" s="5">
        <f>$CB$25*(CC470+(1-CC470)*$CB$16)</f>
        <v>0.0</v>
      </c>
      <c r="CE470" s="13">
        <f>CD470*($CB$6+ACUTE_MARGIN)</f>
        <v>0.0</v>
      </c>
      <c r="CF470" s="13">
        <f>IF(CB470=1,$CB$31,$CB$32)</f>
        <v>160718.36940738867</v>
      </c>
      <c r="CG470" s="13">
        <f>CE470-CF470</f>
        <v>-160718.36940738867</v>
      </c>
      <c r="CH470" s="13">
        <f>CH469+CG470</f>
        <v>-23969038.33238725</v>
      </c>
      <c r="CI470">
        <f>IF(CH470=MAX($CH$83:$CH$483),$A470,0)</f>
        <v>0</v>
      </c>
      <c r="CJ470">
        <f>IF(CE470&lt;CF470,$A470,B_MAX+1)</f>
        <v>387</v>
      </c>
      <c r="CK470" s="13">
        <f>IF(CB470=1,$CB$35,$CB$36)</f>
        <v>1560.1194073886782</v>
      </c>
      <c r="CL470" s="13">
        <f>OCC_DAYS*$CB$41*R_NF_2023-CD470*MCD_SHARE_FREED*R_WAIT_2023</f>
        <v>151980.48282209205</v>
      </c>
      <c r="CM470">
        <f>IF($A470&lt;=$CB$45,1,0)</f>
        <v>0</v>
      </c>
      <c r="DB470">
        <f>IF($DB$31&lt;=$DB$32,IF($A470&lt;=$DB$7,1,2),IF($A470&lt;=RUNG_BEDS_2,2,1))</f>
        <v>1</v>
      </c>
      <c r="DC470" s="5">
        <f>MIN(1,MAX(0,$DB$26-($A470-1)))</f>
        <v>0</v>
      </c>
      <c r="DD470" s="5">
        <f>$DB$25*(DC470+(1-DC470)*$DB$16)</f>
        <v>0.0</v>
      </c>
      <c r="DE470" s="13">
        <f>DD470*($DB$6+ACUTE_MARGIN)</f>
        <v>0.0</v>
      </c>
      <c r="DF470" s="13">
        <f>IF(DB470=1,$DB$31,$DB$32)</f>
        <v>152394.16214437486</v>
      </c>
      <c r="DG470" s="13">
        <f>DE470-DF470</f>
        <v>-152394.16214437486</v>
      </c>
      <c r="DH470" s="13">
        <f>DH469+DG470</f>
        <v>-20747570.12160068</v>
      </c>
      <c r="DI470">
        <f>IF(DH470=MAX($DH$83:$DH$483),$A470,0)</f>
        <v>0</v>
      </c>
      <c r="DJ470">
        <f>IF(DE470&lt;DF470,$A470,B_MAX+1)</f>
        <v>387</v>
      </c>
      <c r="DK470" s="13">
        <f>IF(DB470=1,$DB$35,$DB$36)</f>
        <v>0</v>
      </c>
      <c r="DL470" s="13">
        <f>OCC_DAYS*$DB$41*R_NF_2023-DD470*MCD_SHARE_FREED*R_WAIT_2023</f>
        <v>151980.48282209205</v>
      </c>
      <c r="DM470">
        <f>IF($A470&lt;=$DB$45,1,0)</f>
        <v>0</v>
      </c>
      <c r="EB470">
        <f>IF($EB$31&lt;=$EB$32,IF($A470&lt;=$EB$7,1,2),IF($A470&lt;=RUNG_BEDS_2,2,1))</f>
        <v>1</v>
      </c>
      <c r="EC470" s="5">
        <f>MIN(1,MAX(0,$EB$26-($A470-1)))</f>
        <v>0</v>
      </c>
      <c r="ED470" s="5">
        <f>$EB$25*(EC470+(1-EC470)*$EB$16)</f>
        <v>0.0</v>
      </c>
      <c r="EE470" s="13">
        <f>ED470*($EB$6+ACUTE_MARGIN)</f>
        <v>0.0</v>
      </c>
      <c r="EF470" s="13">
        <f>IF(EB470=1,$EB$31,$EB$32)</f>
        <v>152394.16214437486</v>
      </c>
      <c r="EG470" s="13">
        <f>EE470-EF470</f>
        <v>-152394.16214437486</v>
      </c>
      <c r="EH470" s="13">
        <f>EH469+EG470</f>
        <v>-20747570.12160068</v>
      </c>
      <c r="EI470">
        <f>IF(EH470=MAX($EH$83:$EH$483),$A470,0)</f>
        <v>0</v>
      </c>
      <c r="EJ470">
        <f>IF(EE470&lt;EF470,$A470,B_MAX+1)</f>
        <v>387</v>
      </c>
      <c r="EK470" s="13">
        <f>IF(EB470=1,$EB$35,$EB$36)</f>
        <v>0</v>
      </c>
      <c r="EL470" s="13">
        <f>OCC_DAYS*$EB$41*R_NF_2023-ED470*MCD_SHARE_FREED*R_WAIT_2023</f>
        <v>50660.16094069735</v>
      </c>
      <c r="EM470">
        <f>IF($A470&lt;=$EB$45,1,0)</f>
        <v>0</v>
      </c>
      <c r="FB470">
        <f>IF($FB$31&lt;=$FB$32,IF($A470&lt;=$FB$7,1,2),IF($A470&lt;=RUNG_BEDS_2,2,1))</f>
        <v>1</v>
      </c>
      <c r="FC470" s="5">
        <f>MIN(1,MAX(0,$FB$26-($A470-1)))</f>
        <v>0</v>
      </c>
      <c r="FD470" s="5">
        <f>$FB$25*(FC470+(1-FC470)*$FB$16)</f>
        <v>0.0</v>
      </c>
      <c r="FE470" s="13">
        <f>FD470*($FB$6+ACUTE_MARGIN)</f>
        <v>0.0</v>
      </c>
      <c r="FF470" s="13">
        <f>IF(FB470=1,$FB$31,$FB$32)</f>
        <v>156636.04979437485</v>
      </c>
      <c r="FG470" s="13">
        <f>FE470-FF470</f>
        <v>-156636.04979437485</v>
      </c>
      <c r="FH470" s="13">
        <f>FH469+FG470</f>
        <v>-22389180.642150845</v>
      </c>
      <c r="FI470">
        <f>IF(FH470=MAX($FH$83:$FH$483),$A470,0)</f>
        <v>0</v>
      </c>
      <c r="FJ470">
        <f>IF(FE470&lt;FF470,$A470,B_MAX+1)</f>
        <v>387</v>
      </c>
      <c r="FK470" s="13">
        <f>IF(FB470=1,$FB$35,$FB$36)</f>
        <v>0</v>
      </c>
      <c r="FL470" s="13">
        <f>OCC_DAYS*$FB$41*R_NF_2023-FD470*MCD_SHARE_FREED*R_WAIT_2023</f>
        <v>151980.48282209205</v>
      </c>
      <c r="FM470">
        <f>IF($A470&lt;=$FB$45,1,0)</f>
        <v>0</v>
      </c>
      <c r="GB470">
        <f>IF($GB$31&lt;=$GB$32,IF($A470&lt;=$GB$7,1,2),IF($A470&lt;=RUNG_BEDS_2,2,1))</f>
        <v>1</v>
      </c>
      <c r="GC470" s="5">
        <f>MIN(1,MAX(0,$GB$26-($A470-1)))</f>
        <v>0</v>
      </c>
      <c r="GD470" s="5">
        <f>$GB$25*(GC470+(1-GC470)*$GB$16)</f>
        <v>0.0</v>
      </c>
      <c r="GE470" s="13">
        <f>GD470*($GB$6+ACUTE_MARGIN)</f>
        <v>0.0</v>
      </c>
      <c r="GF470" s="13">
        <f>IF(GB470=1,$GB$31,$GB$32)</f>
        <v>152394.16214437486</v>
      </c>
      <c r="GG470" s="13">
        <f>GE470-GF470</f>
        <v>-152394.16214437486</v>
      </c>
      <c r="GH470" s="13">
        <f>GH469+GG470</f>
        <v>-20747570.12160068</v>
      </c>
      <c r="GI470">
        <f>IF(GH470=MAX($GH$83:$GH$483),$A470,0)</f>
        <v>0</v>
      </c>
      <c r="GJ470">
        <f>IF(GE470&lt;GF470,$A470,B_MAX+1)</f>
        <v>387</v>
      </c>
      <c r="GK470" s="13">
        <f>IF(GB470=1,$GB$35,$GB$36)</f>
        <v>0</v>
      </c>
      <c r="GL470" s="13">
        <f>OCC_DAYS*$GB$41*R_NF_2023-GD470*MCD_SHARE_FREED*R_WAIT_2023</f>
        <v>151980.48282209205</v>
      </c>
      <c r="GM470">
        <f>IF($A470&lt;=$GB$45,1,0)</f>
        <v>0</v>
      </c>
      <c r="HB470">
        <f>IF($HB$31&lt;=$HB$32,IF($A470&lt;=$HB$7,1,2),IF($A470&lt;=RUNG_BEDS_2,2,1))</f>
        <v>1</v>
      </c>
      <c r="HC470" s="5">
        <f>MIN(1,MAX(0,$HB$26-($A470-1)))</f>
        <v>0</v>
      </c>
      <c r="HD470" s="5">
        <f>$HB$25*(HC470+(1-HC470)*$HB$16)</f>
        <v>0.0</v>
      </c>
      <c r="HE470" s="13">
        <f>HD470*($HB$6+ACUTE_MARGIN)</f>
        <v>0.0</v>
      </c>
      <c r="HF470" s="13">
        <f>IF(HB470=1,$HB$31,$HB$32)</f>
        <v>152456.2970814058</v>
      </c>
      <c r="HG470" s="13">
        <f>HE470-HF470</f>
        <v>-152456.2970814058</v>
      </c>
      <c r="HH470" s="13">
        <f>HH469+HG470</f>
        <v>-20771616.34223177</v>
      </c>
      <c r="HI470">
        <f>IF(HH470=MAX($HH$83:$HH$483),$A470,0)</f>
        <v>0</v>
      </c>
      <c r="HJ470">
        <f>IF(HE470&lt;HF470,$A470,B_MAX+1)</f>
        <v>387</v>
      </c>
      <c r="HK470" s="13">
        <f>IF(HB470=1,$HB$35,$HB$36)</f>
        <v>0</v>
      </c>
      <c r="HL470" s="13">
        <f>OCC_DAYS*$HB$41*R_NF_2023-HD470*MCD_SHARE_FREED*R_WAIT_2023</f>
        <v>151980.48282209205</v>
      </c>
      <c r="HM470">
        <f>IF($A470&lt;=$HB$45,1,0)</f>
        <v>0</v>
      </c>
      <c r="IB470">
        <f>IF($IB$31&lt;=$IB$32,IF($A470&lt;=$IB$7,1,2),IF($A470&lt;=RUNG_BEDS_2,2,1))</f>
        <v>1</v>
      </c>
      <c r="IC470" s="5">
        <f>MIN(1,MAX(0,$IB$26-($A470-1)))</f>
        <v>0</v>
      </c>
      <c r="ID470" s="5">
        <f>$IB$25*(IC470+(1-IC470)*$IB$16)</f>
        <v>0.0</v>
      </c>
      <c r="IE470" s="13">
        <f>ID470*($IB$6+ACUTE_MARGIN)</f>
        <v>0.0</v>
      </c>
      <c r="IF470" s="13">
        <f>IF(IB470=1,$IB$31,$IB$32)</f>
        <v>152734.9994534971</v>
      </c>
      <c r="IG470" s="13">
        <f>IE470-IF470</f>
        <v>-152734.9994534971</v>
      </c>
      <c r="IH470" s="13">
        <f>IH469+IG470</f>
        <v>-20879474.16023106</v>
      </c>
      <c r="II470">
        <f>IF(IH470=MAX($IH$83:$IH$483),$A470,0)</f>
        <v>0</v>
      </c>
      <c r="IJ470">
        <f>IF(IE470&lt;IF470,$A470,B_MAX+1)</f>
        <v>387</v>
      </c>
      <c r="IK470" s="13">
        <f>IF(IB470=1,$IB$35,$IB$36)</f>
        <v>0</v>
      </c>
      <c r="IL470" s="13">
        <f>OCC_DAYS*$IB$41*R_NF_2023-ID470*MCD_SHARE_FREED*R_WAIT_2023</f>
        <v>151980.48282209205</v>
      </c>
      <c r="IM470">
        <f>IF($A470&lt;=$IB$45,1,0)</f>
        <v>0</v>
      </c>
      <c r="JB470">
        <f>IF($JB$31&lt;=$JB$32,IF($A470&lt;=$JB$7,1,2),IF($A470&lt;=RUNG_BEDS_2,2,1))</f>
        <v>1</v>
      </c>
      <c r="JC470" s="5">
        <f>MIN(1,MAX(0,$JB$26-($A470-1)))</f>
        <v>0</v>
      </c>
      <c r="JD470" s="5">
        <f>$JB$25*(JC470+(1-JC470)*$JB$16)</f>
        <v>0.0</v>
      </c>
      <c r="JE470" s="13">
        <f>JD470*($JB$6+ACUTE_MARGIN)</f>
        <v>0.0</v>
      </c>
      <c r="JF470" s="13">
        <f>IF(JB470=1,$JB$31,$JB$32)</f>
        <v>152394.16214437486</v>
      </c>
      <c r="JG470" s="13">
        <f>JE470-JF470</f>
        <v>-152394.16214437486</v>
      </c>
      <c r="JH470" s="13">
        <f>JH469+JG470</f>
        <v>-20747570.12160068</v>
      </c>
      <c r="JI470">
        <f>IF(JH470=MAX($JH$83:$JH$483),$A470,0)</f>
        <v>0</v>
      </c>
      <c r="JJ470">
        <f>IF(JE470&lt;JF470,$A470,B_MAX+1)</f>
        <v>387</v>
      </c>
      <c r="JK470" s="13">
        <f>IF(JB470=1,$JB$35,$JB$36)</f>
        <v>0</v>
      </c>
      <c r="JL470" s="13">
        <f>OCC_DAYS*$JB$41*R_NF_2023-JD470*MCD_SHARE_FREED*R_WAIT_2023</f>
        <v>151980.48282209205</v>
      </c>
      <c r="JM470">
        <f>IF($A470&lt;=$JB$45,1,0)</f>
        <v>0</v>
      </c>
      <c r="KB470">
        <f>IF($KB$31&lt;=$KB$32,IF($A470&lt;=$KB$7,1,2),IF($A470&lt;=RUNG_BEDS_2,2,1))</f>
        <v>1</v>
      </c>
      <c r="KC470" s="5">
        <f>MIN(1,MAX(0,$KB$26-($A470-1)))</f>
        <v>0</v>
      </c>
      <c r="KD470" s="5">
        <f>$KB$25*(KC470+(1-KC470)*$KB$16)</f>
        <v>0.0</v>
      </c>
      <c r="KE470" s="13">
        <f>KD470*($KB$6+ACUTE_MARGIN)</f>
        <v>0.0</v>
      </c>
      <c r="KF470" s="13">
        <f>IF(KB470=1,$KB$31,$KB$32)</f>
        <v>152394.16214437486</v>
      </c>
      <c r="KG470" s="13">
        <f>KE470-KF470</f>
        <v>-152394.16214437486</v>
      </c>
      <c r="KH470" s="13">
        <f>KH469+KG470</f>
        <v>-20747570.121600788</v>
      </c>
      <c r="KI470">
        <f>IF(KH470=MAX($KH$83:$KH$483),$A470,0)</f>
        <v>0</v>
      </c>
      <c r="KJ470">
        <f>IF(KE470&lt;KF470,$A470,B_MAX+1)</f>
        <v>387</v>
      </c>
      <c r="KK470" s="13">
        <f>IF(KB470=1,$KB$35,$KB$36)</f>
        <v>0</v>
      </c>
      <c r="KL470" s="13">
        <f>OCC_DAYS*$KB$41*R_NF_2023-KD470*MCD_SHARE_FREED*R_WAIT_2023</f>
        <v>151980.48282209205</v>
      </c>
      <c r="KM470">
        <f>IF($A470&lt;=$KB$45,1,0)</f>
        <v>0</v>
      </c>
      <c r="LB470">
        <f>IF($LB$31&lt;=$LB$32,IF($A470&lt;=$LB$7,1,2),IF($A470&lt;=RUNG_BEDS_2,2,1))</f>
        <v>1</v>
      </c>
      <c r="LC470" s="5">
        <f>MIN(1,MAX(0,$LB$26-($A470-1)))</f>
        <v>1</v>
      </c>
      <c r="LD470" s="5">
        <f>$LB$25*(LC470+(1-LC470)*$LB$16)</f>
        <v>84.01774238227146</v>
      </c>
      <c r="LE470" s="13">
        <f>LD470*($LB$6+ACUTE_MARGIN)</f>
        <v>84857.91980609419</v>
      </c>
      <c r="LF470" s="13">
        <f>IF(LB470=1,$LB$31,$LB$32)</f>
        <v>152394.16214437486</v>
      </c>
      <c r="LG470" s="13">
        <f>LE470-LF470</f>
        <v>-67536.24233828067</v>
      </c>
      <c r="LH470" s="13">
        <f>LH469+LG470</f>
        <v>-26136525.784914766</v>
      </c>
      <c r="LI470">
        <f>IF(LH470=MAX($LH$83:$LH$483),$A470,0)</f>
        <v>0</v>
      </c>
      <c r="LJ470">
        <f>IF(LE470&lt;LF470,$A470,B_MAX+1)</f>
        <v>387</v>
      </c>
      <c r="LK470" s="13">
        <f>IF(LB470=1,$LB$35,$LB$36)</f>
        <v>0</v>
      </c>
      <c r="LL470" s="13">
        <f>OCC_DAYS*$LB$41*R_NF_2023-LD470*MCD_SHARE_FREED*R_WAIT_2023</f>
        <v>113776.04162887059</v>
      </c>
      <c r="LM470">
        <f>IF($A470&lt;=$LB$45,1,0)</f>
        <v>0</v>
      </c>
      <c r="MB470">
        <f>IF($MB$31&lt;=$MB$32,IF($A470&lt;=$MB$7,1,2),IF($A470&lt;=RUNG_BEDS_2,2,1))</f>
        <v>1</v>
      </c>
      <c r="MC470" s="5">
        <f>MIN(1,MAX(0,$MB$26-($A470-1)))</f>
        <v>0</v>
      </c>
      <c r="MD470" s="5">
        <f>$MB$25*(MC470+(1-MC470)*$MB$16)</f>
        <v>0.0</v>
      </c>
      <c r="ME470" s="13">
        <f>MD470*($MB$6+ACUTE_MARGIN)</f>
        <v>0.0</v>
      </c>
      <c r="MF470" s="13">
        <f>IF(MB470=1,$MB$31,$MB$32)</f>
        <v>152394.16214437486</v>
      </c>
      <c r="MG470" s="13">
        <f>ME470-MF470</f>
        <v>-152394.16214437486</v>
      </c>
      <c r="MH470" s="13">
        <f>MH469+MG470</f>
        <v>-26634846.18339898</v>
      </c>
      <c r="MI470">
        <f>IF(MH470=MAX($MH$83:$MH$483),$A470,0)</f>
        <v>0</v>
      </c>
      <c r="MJ470">
        <f>IF(ME470&lt;MF470,$A470,B_MAX+1)</f>
        <v>387</v>
      </c>
      <c r="MK470" s="13">
        <f>IF(MB470=1,$MB$35,$MB$36)</f>
        <v>0</v>
      </c>
      <c r="ML470" s="13">
        <f>OCC_DAYS*$MB$41*R_NF_2023-MD470*MCD_SHARE_FREED*R_WAIT_2023</f>
        <v>151980.48282209205</v>
      </c>
      <c r="MM470">
        <f>IF($A470&lt;=$MB$45,1,0)</f>
        <v>0</v>
      </c>
      <c r="NB470">
        <f>IF($NB$31&lt;=$NB$32,IF($A470&lt;=$NB$7,1,2),IF($A470&lt;=RUNG_BEDS_2,2,1))</f>
        <v>1</v>
      </c>
      <c r="NC470" s="5">
        <f>MIN(1,MAX(0,$NB$26-($A470-1)))</f>
        <v>0</v>
      </c>
      <c r="ND470" s="5">
        <f>$NB$25*(NC470+(1-NC470)*$NB$16)</f>
        <v>63.013306786703595</v>
      </c>
      <c r="NE470" s="13">
        <f>ND470*($NB$6+ACUTE_MARGIN)</f>
        <v>63643.43985457063</v>
      </c>
      <c r="NF470" s="13">
        <f>IF(NB470=1,$NB$31,$NB$32)</f>
        <v>152394.16214437486</v>
      </c>
      <c r="NG470" s="13">
        <f>NE470-NF470</f>
        <v>-88750.72228980422</v>
      </c>
      <c r="NH470" s="13">
        <f>NH469+NG470</f>
        <v>-5674801.554950017</v>
      </c>
      <c r="NI470">
        <f>IF(NH470=MAX($NH$83:$NH$483),$A470,0)</f>
        <v>0</v>
      </c>
      <c r="NJ470">
        <f>IF(NE470&lt;NF470,$A470,B_MAX+1)</f>
        <v>387</v>
      </c>
      <c r="NK470" s="13">
        <f>IF(NB470=1,$NB$35,$NB$36)</f>
        <v>0</v>
      </c>
      <c r="NL470" s="13">
        <f>OCC_DAYS*$NB$41*R_NF_2023-ND470*MCD_SHARE_FREED*R_WAIT_2023</f>
        <v>123327.15192717595</v>
      </c>
      <c r="NM470">
        <f>IF($A470&lt;=$NB$45,1,0)</f>
        <v>0</v>
      </c>
      <c r="OB470">
        <f>IF($OB$31&lt;=$OB$32,IF($A470&lt;=$OB$7,1,2),IF($A470&lt;=RUNG_BEDS_2,2,1))</f>
        <v>1</v>
      </c>
      <c r="OC470" s="5">
        <f>MIN(1,MAX(0,$OB$26-($A470-1)))</f>
        <v>0</v>
      </c>
      <c r="OD470" s="5">
        <f>$OB$25*(OC470+(1-OC470)*$OB$16)</f>
        <v>126.02661357340719</v>
      </c>
      <c r="OE470" s="13">
        <f>OD470*($OB$6+ACUTE_MARGIN)</f>
        <v>127286.87970914126</v>
      </c>
      <c r="OF470" s="13">
        <f>IF(OB470=1,$OB$31,$OB$32)</f>
        <v>152394.16214437486</v>
      </c>
      <c r="OG470" s="13">
        <f>OE470-OF470</f>
        <v>-25107.282435233603</v>
      </c>
      <c r="OH470" s="13">
        <f>OH469+OG470</f>
        <v>9397967.011700975</v>
      </c>
      <c r="OI470">
        <f>IF(OH470=MAX($OH$83:$OH$483),$A470,0)</f>
        <v>0</v>
      </c>
      <c r="OJ470">
        <f>IF(OE470&lt;OF470,$A470,B_MAX+1)</f>
        <v>387</v>
      </c>
      <c r="OK470" s="13">
        <f>IF(OB470=1,$OB$35,$OB$36)</f>
        <v>0</v>
      </c>
      <c r="OL470" s="13">
        <f>OCC_DAYS*$OB$41*R_NF_2023-OD470*MCD_SHARE_FREED*R_WAIT_2023</f>
        <v>94673.82103225985</v>
      </c>
      <c r="OM470">
        <f>IF($A470&lt;=$OB$45,1,0)</f>
        <v>0</v>
      </c>
    </row>
    <row r="471">
      <c r="A471" t="n">
        <v>388</v>
      </c>
      <c r="B471">
        <f>IF($B$31&lt;=$B$32,IF($A471&lt;=$B$7,1,2),IF($A471&lt;=RUNG_BEDS_2,2,1))</f>
        <v>1</v>
      </c>
      <c r="C471" s="5">
        <f>MIN(1,MAX(0,$B$26-($A471-1)))</f>
        <v>0</v>
      </c>
      <c r="D471" s="5">
        <f>$B$25*(C471+(1-C471)*$B$16)</f>
        <v>0.0</v>
      </c>
      <c r="E471" s="13">
        <f>D471*($B$6+ACUTE_MARGIN)</f>
        <v>0.0</v>
      </c>
      <c r="F471" s="13">
        <f>IF(B471=1,$B$31,$B$32)</f>
        <v>152394.16214437486</v>
      </c>
      <c r="G471" s="13">
        <f>E471-F471</f>
        <v>-152394.16214437486</v>
      </c>
      <c r="H471" s="13">
        <f>H470+G471</f>
        <v>-20899964.283745054</v>
      </c>
      <c r="I471">
        <f>IF(H471=MAX($H$83:$H$483),$A471,0)</f>
        <v>0</v>
      </c>
      <c r="J471">
        <f>IF(E471&lt;F471,$A471,B_MAX+1)</f>
        <v>388</v>
      </c>
      <c r="K471" s="13">
        <f>IF(B471=1,$B$35,$B$36)</f>
        <v>0</v>
      </c>
      <c r="L471" s="13">
        <f>OCC_DAYS*$B$41*R_NF_2023-D471*MCD_SHARE_FREED*R_WAIT_2023</f>
        <v>151980.48282209205</v>
      </c>
      <c r="M471">
        <f>IF($A471&lt;=$B$45,1,0)</f>
        <v>0</v>
      </c>
      <c r="AB471">
        <f>IF($AB$31&lt;=$AB$32,IF($A471&lt;=$AB$7,1,2),IF($A471&lt;=RUNG_BEDS_2,2,1))</f>
        <v>1</v>
      </c>
      <c r="AC471" s="5">
        <f>MIN(1,MAX(0,$AB$26-($A471-1)))</f>
        <v>0</v>
      </c>
      <c r="AD471" s="5">
        <f>$AB$25*(AC471+(1-AC471)*$AB$16)</f>
        <v>0.0</v>
      </c>
      <c r="AE471" s="13">
        <f>AD471*($AB$6+ACUTE_MARGIN)</f>
        <v>0.0</v>
      </c>
      <c r="AF471" s="13">
        <f>IF(AB471=1,$AB$31,$AB$32)</f>
        <v>152394.16214437486</v>
      </c>
      <c r="AG471" s="13">
        <f>AE471-AF471</f>
        <v>-152394.16214437486</v>
      </c>
      <c r="AH471" s="13">
        <f>AH470+AG471</f>
        <v>-38311178.62929491</v>
      </c>
      <c r="AI471">
        <f>IF(AH471=MAX($AH$83:$AH$483),$A471,0)</f>
        <v>0</v>
      </c>
      <c r="AJ471">
        <f>IF(AE471&lt;AF471,$A471,B_MAX+1)</f>
        <v>388</v>
      </c>
      <c r="AK471" s="13">
        <f>IF(AB471=1,$AB$35,$AB$36)</f>
        <v>0</v>
      </c>
      <c r="AL471" s="13">
        <f>OCC_DAYS*$AB$41*R_NF_2023-AD471*MCD_SHARE_FREED*R_WAIT_2023</f>
        <v>151980.48282209205</v>
      </c>
      <c r="AM471">
        <f>IF($A471&lt;=$AB$45,1,0)</f>
        <v>0</v>
      </c>
      <c r="BB471">
        <f>IF($BB$31&lt;=$BB$32,IF($A471&lt;=$BB$7,1,2),IF($A471&lt;=RUNG_BEDS_2,2,1))</f>
        <v>1</v>
      </c>
      <c r="BC471" s="5">
        <f>MIN(1,MAX(0,$BB$26-($A471-1)))</f>
        <v>0</v>
      </c>
      <c r="BD471" s="5">
        <f>$BB$25*(BC471+(1-BC471)*$BB$16)</f>
        <v>0.0</v>
      </c>
      <c r="BE471" s="13">
        <f>BD471*($BB$6+ACUTE_MARGIN)</f>
        <v>0.0</v>
      </c>
      <c r="BF471" s="13">
        <f>IF(BB471=1,$BB$31,$BB$32)</f>
        <v>152394.16214437486</v>
      </c>
      <c r="BG471" s="13">
        <f>BE471-BF471</f>
        <v>-152394.16214437486</v>
      </c>
      <c r="BH471" s="13">
        <f>BH470+BG471</f>
        <v>-3488749.938195362</v>
      </c>
      <c r="BI471">
        <f>IF(BH471=MAX($BH$83:$BH$483),$A471,0)</f>
        <v>0</v>
      </c>
      <c r="BJ471">
        <f>IF(BE471&lt;BF471,$A471,B_MAX+1)</f>
        <v>388</v>
      </c>
      <c r="BK471" s="13">
        <f>IF(BB471=1,$BB$35,$BB$36)</f>
        <v>0</v>
      </c>
      <c r="BL471" s="13">
        <f>OCC_DAYS*$BB$41*R_NF_2023-BD471*MCD_SHARE_FREED*R_WAIT_2023</f>
        <v>151980.48282209205</v>
      </c>
      <c r="BM471">
        <f>IF($A471&lt;=$BB$45,1,0)</f>
        <v>0</v>
      </c>
      <c r="CB471">
        <f>IF($CB$31&lt;=$CB$32,IF($A471&lt;=$CB$7,1,2),IF($A471&lt;=RUNG_BEDS_2,2,1))</f>
        <v>2</v>
      </c>
      <c r="CC471" s="5">
        <f>MIN(1,MAX(0,$CB$26-($A471-1)))</f>
        <v>0</v>
      </c>
      <c r="CD471" s="5">
        <f>$CB$25*(CC471+(1-CC471)*$CB$16)</f>
        <v>0.0</v>
      </c>
      <c r="CE471" s="13">
        <f>CD471*($CB$6+ACUTE_MARGIN)</f>
        <v>0.0</v>
      </c>
      <c r="CF471" s="13">
        <f>IF(CB471=1,$CB$31,$CB$32)</f>
        <v>160718.36940738867</v>
      </c>
      <c r="CG471" s="13">
        <f>CE471-CF471</f>
        <v>-160718.36940738867</v>
      </c>
      <c r="CH471" s="13">
        <f>CH470+CG471</f>
        <v>-24129756.70179464</v>
      </c>
      <c r="CI471">
        <f>IF(CH471=MAX($CH$83:$CH$483),$A471,0)</f>
        <v>0</v>
      </c>
      <c r="CJ471">
        <f>IF(CE471&lt;CF471,$A471,B_MAX+1)</f>
        <v>388</v>
      </c>
      <c r="CK471" s="13">
        <f>IF(CB471=1,$CB$35,$CB$36)</f>
        <v>1560.1194073886782</v>
      </c>
      <c r="CL471" s="13">
        <f>OCC_DAYS*$CB$41*R_NF_2023-CD471*MCD_SHARE_FREED*R_WAIT_2023</f>
        <v>151980.48282209205</v>
      </c>
      <c r="CM471">
        <f>IF($A471&lt;=$CB$45,1,0)</f>
        <v>0</v>
      </c>
      <c r="DB471">
        <f>IF($DB$31&lt;=$DB$32,IF($A471&lt;=$DB$7,1,2),IF($A471&lt;=RUNG_BEDS_2,2,1))</f>
        <v>1</v>
      </c>
      <c r="DC471" s="5">
        <f>MIN(1,MAX(0,$DB$26-($A471-1)))</f>
        <v>0</v>
      </c>
      <c r="DD471" s="5">
        <f>$DB$25*(DC471+(1-DC471)*$DB$16)</f>
        <v>0.0</v>
      </c>
      <c r="DE471" s="13">
        <f>DD471*($DB$6+ACUTE_MARGIN)</f>
        <v>0.0</v>
      </c>
      <c r="DF471" s="13">
        <f>IF(DB471=1,$DB$31,$DB$32)</f>
        <v>152394.16214437486</v>
      </c>
      <c r="DG471" s="13">
        <f>DE471-DF471</f>
        <v>-152394.16214437486</v>
      </c>
      <c r="DH471" s="13">
        <f>DH470+DG471</f>
        <v>-20899964.283745054</v>
      </c>
      <c r="DI471">
        <f>IF(DH471=MAX($DH$83:$DH$483),$A471,0)</f>
        <v>0</v>
      </c>
      <c r="DJ471">
        <f>IF(DE471&lt;DF471,$A471,B_MAX+1)</f>
        <v>388</v>
      </c>
      <c r="DK471" s="13">
        <f>IF(DB471=1,$DB$35,$DB$36)</f>
        <v>0</v>
      </c>
      <c r="DL471" s="13">
        <f>OCC_DAYS*$DB$41*R_NF_2023-DD471*MCD_SHARE_FREED*R_WAIT_2023</f>
        <v>151980.48282209205</v>
      </c>
      <c r="DM471">
        <f>IF($A471&lt;=$DB$45,1,0)</f>
        <v>0</v>
      </c>
      <c r="EB471">
        <f>IF($EB$31&lt;=$EB$32,IF($A471&lt;=$EB$7,1,2),IF($A471&lt;=RUNG_BEDS_2,2,1))</f>
        <v>1</v>
      </c>
      <c r="EC471" s="5">
        <f>MIN(1,MAX(0,$EB$26-($A471-1)))</f>
        <v>0</v>
      </c>
      <c r="ED471" s="5">
        <f>$EB$25*(EC471+(1-EC471)*$EB$16)</f>
        <v>0.0</v>
      </c>
      <c r="EE471" s="13">
        <f>ED471*($EB$6+ACUTE_MARGIN)</f>
        <v>0.0</v>
      </c>
      <c r="EF471" s="13">
        <f>IF(EB471=1,$EB$31,$EB$32)</f>
        <v>152394.16214437486</v>
      </c>
      <c r="EG471" s="13">
        <f>EE471-EF471</f>
        <v>-152394.16214437486</v>
      </c>
      <c r="EH471" s="13">
        <f>EH470+EG471</f>
        <v>-20899964.283745054</v>
      </c>
      <c r="EI471">
        <f>IF(EH471=MAX($EH$83:$EH$483),$A471,0)</f>
        <v>0</v>
      </c>
      <c r="EJ471">
        <f>IF(EE471&lt;EF471,$A471,B_MAX+1)</f>
        <v>388</v>
      </c>
      <c r="EK471" s="13">
        <f>IF(EB471=1,$EB$35,$EB$36)</f>
        <v>0</v>
      </c>
      <c r="EL471" s="13">
        <f>OCC_DAYS*$EB$41*R_NF_2023-ED471*MCD_SHARE_FREED*R_WAIT_2023</f>
        <v>50660.16094069735</v>
      </c>
      <c r="EM471">
        <f>IF($A471&lt;=$EB$45,1,0)</f>
        <v>0</v>
      </c>
      <c r="FB471">
        <f>IF($FB$31&lt;=$FB$32,IF($A471&lt;=$FB$7,1,2),IF($A471&lt;=RUNG_BEDS_2,2,1))</f>
        <v>1</v>
      </c>
      <c r="FC471" s="5">
        <f>MIN(1,MAX(0,$FB$26-($A471-1)))</f>
        <v>0</v>
      </c>
      <c r="FD471" s="5">
        <f>$FB$25*(FC471+(1-FC471)*$FB$16)</f>
        <v>0.0</v>
      </c>
      <c r="FE471" s="13">
        <f>FD471*($FB$6+ACUTE_MARGIN)</f>
        <v>0.0</v>
      </c>
      <c r="FF471" s="13">
        <f>IF(FB471=1,$FB$31,$FB$32)</f>
        <v>156636.04979437485</v>
      </c>
      <c r="FG471" s="13">
        <f>FE471-FF471</f>
        <v>-156636.04979437485</v>
      </c>
      <c r="FH471" s="13">
        <f>FH470+FG471</f>
        <v>-22545816.69194522</v>
      </c>
      <c r="FI471">
        <f>IF(FH471=MAX($FH$83:$FH$483),$A471,0)</f>
        <v>0</v>
      </c>
      <c r="FJ471">
        <f>IF(FE471&lt;FF471,$A471,B_MAX+1)</f>
        <v>388</v>
      </c>
      <c r="FK471" s="13">
        <f>IF(FB471=1,$FB$35,$FB$36)</f>
        <v>0</v>
      </c>
      <c r="FL471" s="13">
        <f>OCC_DAYS*$FB$41*R_NF_2023-FD471*MCD_SHARE_FREED*R_WAIT_2023</f>
        <v>151980.48282209205</v>
      </c>
      <c r="FM471">
        <f>IF($A471&lt;=$FB$45,1,0)</f>
        <v>0</v>
      </c>
      <c r="GB471">
        <f>IF($GB$31&lt;=$GB$32,IF($A471&lt;=$GB$7,1,2),IF($A471&lt;=RUNG_BEDS_2,2,1))</f>
        <v>1</v>
      </c>
      <c r="GC471" s="5">
        <f>MIN(1,MAX(0,$GB$26-($A471-1)))</f>
        <v>0</v>
      </c>
      <c r="GD471" s="5">
        <f>$GB$25*(GC471+(1-GC471)*$GB$16)</f>
        <v>0.0</v>
      </c>
      <c r="GE471" s="13">
        <f>GD471*($GB$6+ACUTE_MARGIN)</f>
        <v>0.0</v>
      </c>
      <c r="GF471" s="13">
        <f>IF(GB471=1,$GB$31,$GB$32)</f>
        <v>152394.16214437486</v>
      </c>
      <c r="GG471" s="13">
        <f>GE471-GF471</f>
        <v>-152394.16214437486</v>
      </c>
      <c r="GH471" s="13">
        <f>GH470+GG471</f>
        <v>-20899964.283745054</v>
      </c>
      <c r="GI471">
        <f>IF(GH471=MAX($GH$83:$GH$483),$A471,0)</f>
        <v>0</v>
      </c>
      <c r="GJ471">
        <f>IF(GE471&lt;GF471,$A471,B_MAX+1)</f>
        <v>388</v>
      </c>
      <c r="GK471" s="13">
        <f>IF(GB471=1,$GB$35,$GB$36)</f>
        <v>0</v>
      </c>
      <c r="GL471" s="13">
        <f>OCC_DAYS*$GB$41*R_NF_2023-GD471*MCD_SHARE_FREED*R_WAIT_2023</f>
        <v>151980.48282209205</v>
      </c>
      <c r="GM471">
        <f>IF($A471&lt;=$GB$45,1,0)</f>
        <v>0</v>
      </c>
      <c r="HB471">
        <f>IF($HB$31&lt;=$HB$32,IF($A471&lt;=$HB$7,1,2),IF($A471&lt;=RUNG_BEDS_2,2,1))</f>
        <v>1</v>
      </c>
      <c r="HC471" s="5">
        <f>MIN(1,MAX(0,$HB$26-($A471-1)))</f>
        <v>0</v>
      </c>
      <c r="HD471" s="5">
        <f>$HB$25*(HC471+(1-HC471)*$HB$16)</f>
        <v>0.0</v>
      </c>
      <c r="HE471" s="13">
        <f>HD471*($HB$6+ACUTE_MARGIN)</f>
        <v>0.0</v>
      </c>
      <c r="HF471" s="13">
        <f>IF(HB471=1,$HB$31,$HB$32)</f>
        <v>152456.2970814058</v>
      </c>
      <c r="HG471" s="13">
        <f>HE471-HF471</f>
        <v>-152456.2970814058</v>
      </c>
      <c r="HH471" s="13">
        <f>HH470+HG471</f>
        <v>-20924072.639313176</v>
      </c>
      <c r="HI471">
        <f>IF(HH471=MAX($HH$83:$HH$483),$A471,0)</f>
        <v>0</v>
      </c>
      <c r="HJ471">
        <f>IF(HE471&lt;HF471,$A471,B_MAX+1)</f>
        <v>388</v>
      </c>
      <c r="HK471" s="13">
        <f>IF(HB471=1,$HB$35,$HB$36)</f>
        <v>0</v>
      </c>
      <c r="HL471" s="13">
        <f>OCC_DAYS*$HB$41*R_NF_2023-HD471*MCD_SHARE_FREED*R_WAIT_2023</f>
        <v>151980.48282209205</v>
      </c>
      <c r="HM471">
        <f>IF($A471&lt;=$HB$45,1,0)</f>
        <v>0</v>
      </c>
      <c r="IB471">
        <f>IF($IB$31&lt;=$IB$32,IF($A471&lt;=$IB$7,1,2),IF($A471&lt;=RUNG_BEDS_2,2,1))</f>
        <v>1</v>
      </c>
      <c r="IC471" s="5">
        <f>MIN(1,MAX(0,$IB$26-($A471-1)))</f>
        <v>0</v>
      </c>
      <c r="ID471" s="5">
        <f>$IB$25*(IC471+(1-IC471)*$IB$16)</f>
        <v>0.0</v>
      </c>
      <c r="IE471" s="13">
        <f>ID471*($IB$6+ACUTE_MARGIN)</f>
        <v>0.0</v>
      </c>
      <c r="IF471" s="13">
        <f>IF(IB471=1,$IB$31,$IB$32)</f>
        <v>152734.9994534971</v>
      </c>
      <c r="IG471" s="13">
        <f>IE471-IF471</f>
        <v>-152734.9994534971</v>
      </c>
      <c r="IH471" s="13">
        <f>IH470+IG471</f>
        <v>-21032209.159684557</v>
      </c>
      <c r="II471">
        <f>IF(IH471=MAX($IH$83:$IH$483),$A471,0)</f>
        <v>0</v>
      </c>
      <c r="IJ471">
        <f>IF(IE471&lt;IF471,$A471,B_MAX+1)</f>
        <v>388</v>
      </c>
      <c r="IK471" s="13">
        <f>IF(IB471=1,$IB$35,$IB$36)</f>
        <v>0</v>
      </c>
      <c r="IL471" s="13">
        <f>OCC_DAYS*$IB$41*R_NF_2023-ID471*MCD_SHARE_FREED*R_WAIT_2023</f>
        <v>151980.48282209205</v>
      </c>
      <c r="IM471">
        <f>IF($A471&lt;=$IB$45,1,0)</f>
        <v>0</v>
      </c>
      <c r="JB471">
        <f>IF($JB$31&lt;=$JB$32,IF($A471&lt;=$JB$7,1,2),IF($A471&lt;=RUNG_BEDS_2,2,1))</f>
        <v>1</v>
      </c>
      <c r="JC471" s="5">
        <f>MIN(1,MAX(0,$JB$26-($A471-1)))</f>
        <v>0</v>
      </c>
      <c r="JD471" s="5">
        <f>$JB$25*(JC471+(1-JC471)*$JB$16)</f>
        <v>0.0</v>
      </c>
      <c r="JE471" s="13">
        <f>JD471*($JB$6+ACUTE_MARGIN)</f>
        <v>0.0</v>
      </c>
      <c r="JF471" s="13">
        <f>IF(JB471=1,$JB$31,$JB$32)</f>
        <v>152394.16214437486</v>
      </c>
      <c r="JG471" s="13">
        <f>JE471-JF471</f>
        <v>-152394.16214437486</v>
      </c>
      <c r="JH471" s="13">
        <f>JH470+JG471</f>
        <v>-20899964.283745054</v>
      </c>
      <c r="JI471">
        <f>IF(JH471=MAX($JH$83:$JH$483),$A471,0)</f>
        <v>0</v>
      </c>
      <c r="JJ471">
        <f>IF(JE471&lt;JF471,$A471,B_MAX+1)</f>
        <v>388</v>
      </c>
      <c r="JK471" s="13">
        <f>IF(JB471=1,$JB$35,$JB$36)</f>
        <v>0</v>
      </c>
      <c r="JL471" s="13">
        <f>OCC_DAYS*$JB$41*R_NF_2023-JD471*MCD_SHARE_FREED*R_WAIT_2023</f>
        <v>151980.48282209205</v>
      </c>
      <c r="JM471">
        <f>IF($A471&lt;=$JB$45,1,0)</f>
        <v>0</v>
      </c>
      <c r="KB471">
        <f>IF($KB$31&lt;=$KB$32,IF($A471&lt;=$KB$7,1,2),IF($A471&lt;=RUNG_BEDS_2,2,1))</f>
        <v>1</v>
      </c>
      <c r="KC471" s="5">
        <f>MIN(1,MAX(0,$KB$26-($A471-1)))</f>
        <v>0</v>
      </c>
      <c r="KD471" s="5">
        <f>$KB$25*(KC471+(1-KC471)*$KB$16)</f>
        <v>0.0</v>
      </c>
      <c r="KE471" s="13">
        <f>KD471*($KB$6+ACUTE_MARGIN)</f>
        <v>0.0</v>
      </c>
      <c r="KF471" s="13">
        <f>IF(KB471=1,$KB$31,$KB$32)</f>
        <v>152394.16214437486</v>
      </c>
      <c r="KG471" s="13">
        <f>KE471-KF471</f>
        <v>-152394.16214437486</v>
      </c>
      <c r="KH471" s="13">
        <f>KH470+KG471</f>
        <v>-20899964.283745162</v>
      </c>
      <c r="KI471">
        <f>IF(KH471=MAX($KH$83:$KH$483),$A471,0)</f>
        <v>0</v>
      </c>
      <c r="KJ471">
        <f>IF(KE471&lt;KF471,$A471,B_MAX+1)</f>
        <v>388</v>
      </c>
      <c r="KK471" s="13">
        <f>IF(KB471=1,$KB$35,$KB$36)</f>
        <v>0</v>
      </c>
      <c r="KL471" s="13">
        <f>OCC_DAYS*$KB$41*R_NF_2023-KD471*MCD_SHARE_FREED*R_WAIT_2023</f>
        <v>151980.48282209205</v>
      </c>
      <c r="KM471">
        <f>IF($A471&lt;=$KB$45,1,0)</f>
        <v>0</v>
      </c>
      <c r="LB471">
        <f>IF($LB$31&lt;=$LB$32,IF($A471&lt;=$LB$7,1,2),IF($A471&lt;=RUNG_BEDS_2,2,1))</f>
        <v>1</v>
      </c>
      <c r="LC471" s="5">
        <f>MIN(1,MAX(0,$LB$26-($A471-1)))</f>
        <v>1</v>
      </c>
      <c r="LD471" s="5">
        <f>$LB$25*(LC471+(1-LC471)*$LB$16)</f>
        <v>84.01774238227146</v>
      </c>
      <c r="LE471" s="13">
        <f>LD471*($LB$6+ACUTE_MARGIN)</f>
        <v>84857.91980609419</v>
      </c>
      <c r="LF471" s="13">
        <f>IF(LB471=1,$LB$31,$LB$32)</f>
        <v>152394.16214437486</v>
      </c>
      <c r="LG471" s="13">
        <f>LE471-LF471</f>
        <v>-67536.24233828067</v>
      </c>
      <c r="LH471" s="13">
        <f>LH470+LG471</f>
        <v>-26204062.027253047</v>
      </c>
      <c r="LI471">
        <f>IF(LH471=MAX($LH$83:$LH$483),$A471,0)</f>
        <v>0</v>
      </c>
      <c r="LJ471">
        <f>IF(LE471&lt;LF471,$A471,B_MAX+1)</f>
        <v>388</v>
      </c>
      <c r="LK471" s="13">
        <f>IF(LB471=1,$LB$35,$LB$36)</f>
        <v>0</v>
      </c>
      <c r="LL471" s="13">
        <f>OCC_DAYS*$LB$41*R_NF_2023-LD471*MCD_SHARE_FREED*R_WAIT_2023</f>
        <v>113776.04162887059</v>
      </c>
      <c r="LM471">
        <f>IF($A471&lt;=$LB$45,1,0)</f>
        <v>0</v>
      </c>
      <c r="MB471">
        <f>IF($MB$31&lt;=$MB$32,IF($A471&lt;=$MB$7,1,2),IF($A471&lt;=RUNG_BEDS_2,2,1))</f>
        <v>1</v>
      </c>
      <c r="MC471" s="5">
        <f>MIN(1,MAX(0,$MB$26-($A471-1)))</f>
        <v>0</v>
      </c>
      <c r="MD471" s="5">
        <f>$MB$25*(MC471+(1-MC471)*$MB$16)</f>
        <v>0.0</v>
      </c>
      <c r="ME471" s="13">
        <f>MD471*($MB$6+ACUTE_MARGIN)</f>
        <v>0.0</v>
      </c>
      <c r="MF471" s="13">
        <f>IF(MB471=1,$MB$31,$MB$32)</f>
        <v>152394.16214437486</v>
      </c>
      <c r="MG471" s="13">
        <f>ME471-MF471</f>
        <v>-152394.16214437486</v>
      </c>
      <c r="MH471" s="13">
        <f>MH470+MG471</f>
        <v>-26787240.345543355</v>
      </c>
      <c r="MI471">
        <f>IF(MH471=MAX($MH$83:$MH$483),$A471,0)</f>
        <v>0</v>
      </c>
      <c r="MJ471">
        <f>IF(ME471&lt;MF471,$A471,B_MAX+1)</f>
        <v>388</v>
      </c>
      <c r="MK471" s="13">
        <f>IF(MB471=1,$MB$35,$MB$36)</f>
        <v>0</v>
      </c>
      <c r="ML471" s="13">
        <f>OCC_DAYS*$MB$41*R_NF_2023-MD471*MCD_SHARE_FREED*R_WAIT_2023</f>
        <v>151980.48282209205</v>
      </c>
      <c r="MM471">
        <f>IF($A471&lt;=$MB$45,1,0)</f>
        <v>0</v>
      </c>
      <c r="NB471">
        <f>IF($NB$31&lt;=$NB$32,IF($A471&lt;=$NB$7,1,2),IF($A471&lt;=RUNG_BEDS_2,2,1))</f>
        <v>1</v>
      </c>
      <c r="NC471" s="5">
        <f>MIN(1,MAX(0,$NB$26-($A471-1)))</f>
        <v>0</v>
      </c>
      <c r="ND471" s="5">
        <f>$NB$25*(NC471+(1-NC471)*$NB$16)</f>
        <v>63.013306786703595</v>
      </c>
      <c r="NE471" s="13">
        <f>ND471*($NB$6+ACUTE_MARGIN)</f>
        <v>63643.43985457063</v>
      </c>
      <c r="NF471" s="13">
        <f>IF(NB471=1,$NB$31,$NB$32)</f>
        <v>152394.16214437486</v>
      </c>
      <c r="NG471" s="13">
        <f>NE471-NF471</f>
        <v>-88750.72228980422</v>
      </c>
      <c r="NH471" s="13">
        <f>NH470+NG471</f>
        <v>-5763552.277239821</v>
      </c>
      <c r="NI471">
        <f>IF(NH471=MAX($NH$83:$NH$483),$A471,0)</f>
        <v>0</v>
      </c>
      <c r="NJ471">
        <f>IF(NE471&lt;NF471,$A471,B_MAX+1)</f>
        <v>388</v>
      </c>
      <c r="NK471" s="13">
        <f>IF(NB471=1,$NB$35,$NB$36)</f>
        <v>0</v>
      </c>
      <c r="NL471" s="13">
        <f>OCC_DAYS*$NB$41*R_NF_2023-ND471*MCD_SHARE_FREED*R_WAIT_2023</f>
        <v>123327.15192717595</v>
      </c>
      <c r="NM471">
        <f>IF($A471&lt;=$NB$45,1,0)</f>
        <v>0</v>
      </c>
      <c r="OB471">
        <f>IF($OB$31&lt;=$OB$32,IF($A471&lt;=$OB$7,1,2),IF($A471&lt;=RUNG_BEDS_2,2,1))</f>
        <v>1</v>
      </c>
      <c r="OC471" s="5">
        <f>MIN(1,MAX(0,$OB$26-($A471-1)))</f>
        <v>0</v>
      </c>
      <c r="OD471" s="5">
        <f>$OB$25*(OC471+(1-OC471)*$OB$16)</f>
        <v>126.02661357340719</v>
      </c>
      <c r="OE471" s="13">
        <f>OD471*($OB$6+ACUTE_MARGIN)</f>
        <v>127286.87970914126</v>
      </c>
      <c r="OF471" s="13">
        <f>IF(OB471=1,$OB$31,$OB$32)</f>
        <v>152394.16214437486</v>
      </c>
      <c r="OG471" s="13">
        <f>OE471-OF471</f>
        <v>-25107.282435233603</v>
      </c>
      <c r="OH471" s="13">
        <f>OH470+OG471</f>
        <v>9372859.729265742</v>
      </c>
      <c r="OI471">
        <f>IF(OH471=MAX($OH$83:$OH$483),$A471,0)</f>
        <v>0</v>
      </c>
      <c r="OJ471">
        <f>IF(OE471&lt;OF471,$A471,B_MAX+1)</f>
        <v>388</v>
      </c>
      <c r="OK471" s="13">
        <f>IF(OB471=1,$OB$35,$OB$36)</f>
        <v>0</v>
      </c>
      <c r="OL471" s="13">
        <f>OCC_DAYS*$OB$41*R_NF_2023-OD471*MCD_SHARE_FREED*R_WAIT_2023</f>
        <v>94673.82103225985</v>
      </c>
      <c r="OM471">
        <f>IF($A471&lt;=$OB$45,1,0)</f>
        <v>0</v>
      </c>
    </row>
    <row r="472">
      <c r="A472" t="n">
        <v>389</v>
      </c>
      <c r="B472">
        <f>IF($B$31&lt;=$B$32,IF($A472&lt;=$B$7,1,2),IF($A472&lt;=RUNG_BEDS_2,2,1))</f>
        <v>1</v>
      </c>
      <c r="C472" s="5">
        <f>MIN(1,MAX(0,$B$26-($A472-1)))</f>
        <v>0</v>
      </c>
      <c r="D472" s="5">
        <f>$B$25*(C472+(1-C472)*$B$16)</f>
        <v>0.0</v>
      </c>
      <c r="E472" s="13">
        <f>D472*($B$6+ACUTE_MARGIN)</f>
        <v>0.0</v>
      </c>
      <c r="F472" s="13">
        <f>IF(B472=1,$B$31,$B$32)</f>
        <v>152394.16214437486</v>
      </c>
      <c r="G472" s="13">
        <f>E472-F472</f>
        <v>-152394.16214437486</v>
      </c>
      <c r="H472" s="13">
        <f>H471+G472</f>
        <v>-21052358.44588943</v>
      </c>
      <c r="I472">
        <f>IF(H472=MAX($H$83:$H$483),$A472,0)</f>
        <v>0</v>
      </c>
      <c r="J472">
        <f>IF(E472&lt;F472,$A472,B_MAX+1)</f>
        <v>389</v>
      </c>
      <c r="K472" s="13">
        <f>IF(B472=1,$B$35,$B$36)</f>
        <v>0</v>
      </c>
      <c r="L472" s="13">
        <f>OCC_DAYS*$B$41*R_NF_2023-D472*MCD_SHARE_FREED*R_WAIT_2023</f>
        <v>151980.48282209205</v>
      </c>
      <c r="M472">
        <f>IF($A472&lt;=$B$45,1,0)</f>
        <v>0</v>
      </c>
      <c r="AB472">
        <f>IF($AB$31&lt;=$AB$32,IF($A472&lt;=$AB$7,1,2),IF($A472&lt;=RUNG_BEDS_2,2,1))</f>
        <v>1</v>
      </c>
      <c r="AC472" s="5">
        <f>MIN(1,MAX(0,$AB$26-($A472-1)))</f>
        <v>0</v>
      </c>
      <c r="AD472" s="5">
        <f>$AB$25*(AC472+(1-AC472)*$AB$16)</f>
        <v>0.0</v>
      </c>
      <c r="AE472" s="13">
        <f>AD472*($AB$6+ACUTE_MARGIN)</f>
        <v>0.0</v>
      </c>
      <c r="AF472" s="13">
        <f>IF(AB472=1,$AB$31,$AB$32)</f>
        <v>152394.16214437486</v>
      </c>
      <c r="AG472" s="13">
        <f>AE472-AF472</f>
        <v>-152394.16214437486</v>
      </c>
      <c r="AH472" s="13">
        <f>AH471+AG472</f>
        <v>-38463572.79143929</v>
      </c>
      <c r="AI472">
        <f>IF(AH472=MAX($AH$83:$AH$483),$A472,0)</f>
        <v>0</v>
      </c>
      <c r="AJ472">
        <f>IF(AE472&lt;AF472,$A472,B_MAX+1)</f>
        <v>389</v>
      </c>
      <c r="AK472" s="13">
        <f>IF(AB472=1,$AB$35,$AB$36)</f>
        <v>0</v>
      </c>
      <c r="AL472" s="13">
        <f>OCC_DAYS*$AB$41*R_NF_2023-AD472*MCD_SHARE_FREED*R_WAIT_2023</f>
        <v>151980.48282209205</v>
      </c>
      <c r="AM472">
        <f>IF($A472&lt;=$AB$45,1,0)</f>
        <v>0</v>
      </c>
      <c r="BB472">
        <f>IF($BB$31&lt;=$BB$32,IF($A472&lt;=$BB$7,1,2),IF($A472&lt;=RUNG_BEDS_2,2,1))</f>
        <v>1</v>
      </c>
      <c r="BC472" s="5">
        <f>MIN(1,MAX(0,$BB$26-($A472-1)))</f>
        <v>0</v>
      </c>
      <c r="BD472" s="5">
        <f>$BB$25*(BC472+(1-BC472)*$BB$16)</f>
        <v>0.0</v>
      </c>
      <c r="BE472" s="13">
        <f>BD472*($BB$6+ACUTE_MARGIN)</f>
        <v>0.0</v>
      </c>
      <c r="BF472" s="13">
        <f>IF(BB472=1,$BB$31,$BB$32)</f>
        <v>152394.16214437486</v>
      </c>
      <c r="BG472" s="13">
        <f>BE472-BF472</f>
        <v>-152394.16214437486</v>
      </c>
      <c r="BH472" s="13">
        <f>BH471+BG472</f>
        <v>-3641144.1003397373</v>
      </c>
      <c r="BI472">
        <f>IF(BH472=MAX($BH$83:$BH$483),$A472,0)</f>
        <v>0</v>
      </c>
      <c r="BJ472">
        <f>IF(BE472&lt;BF472,$A472,B_MAX+1)</f>
        <v>389</v>
      </c>
      <c r="BK472" s="13">
        <f>IF(BB472=1,$BB$35,$BB$36)</f>
        <v>0</v>
      </c>
      <c r="BL472" s="13">
        <f>OCC_DAYS*$BB$41*R_NF_2023-BD472*MCD_SHARE_FREED*R_WAIT_2023</f>
        <v>151980.48282209205</v>
      </c>
      <c r="BM472">
        <f>IF($A472&lt;=$BB$45,1,0)</f>
        <v>0</v>
      </c>
      <c r="CB472">
        <f>IF($CB$31&lt;=$CB$32,IF($A472&lt;=$CB$7,1,2),IF($A472&lt;=RUNG_BEDS_2,2,1))</f>
        <v>2</v>
      </c>
      <c r="CC472" s="5">
        <f>MIN(1,MAX(0,$CB$26-($A472-1)))</f>
        <v>0</v>
      </c>
      <c r="CD472" s="5">
        <f>$CB$25*(CC472+(1-CC472)*$CB$16)</f>
        <v>0.0</v>
      </c>
      <c r="CE472" s="13">
        <f>CD472*($CB$6+ACUTE_MARGIN)</f>
        <v>0.0</v>
      </c>
      <c r="CF472" s="13">
        <f>IF(CB472=1,$CB$31,$CB$32)</f>
        <v>160718.36940738867</v>
      </c>
      <c r="CG472" s="13">
        <f>CE472-CF472</f>
        <v>-160718.36940738867</v>
      </c>
      <c r="CH472" s="13">
        <f>CH471+CG472</f>
        <v>-24290475.07120203</v>
      </c>
      <c r="CI472">
        <f>IF(CH472=MAX($CH$83:$CH$483),$A472,0)</f>
        <v>0</v>
      </c>
      <c r="CJ472">
        <f>IF(CE472&lt;CF472,$A472,B_MAX+1)</f>
        <v>389</v>
      </c>
      <c r="CK472" s="13">
        <f>IF(CB472=1,$CB$35,$CB$36)</f>
        <v>1560.1194073886782</v>
      </c>
      <c r="CL472" s="13">
        <f>OCC_DAYS*$CB$41*R_NF_2023-CD472*MCD_SHARE_FREED*R_WAIT_2023</f>
        <v>151980.48282209205</v>
      </c>
      <c r="CM472">
        <f>IF($A472&lt;=$CB$45,1,0)</f>
        <v>0</v>
      </c>
      <c r="DB472">
        <f>IF($DB$31&lt;=$DB$32,IF($A472&lt;=$DB$7,1,2),IF($A472&lt;=RUNG_BEDS_2,2,1))</f>
        <v>1</v>
      </c>
      <c r="DC472" s="5">
        <f>MIN(1,MAX(0,$DB$26-($A472-1)))</f>
        <v>0</v>
      </c>
      <c r="DD472" s="5">
        <f>$DB$25*(DC472+(1-DC472)*$DB$16)</f>
        <v>0.0</v>
      </c>
      <c r="DE472" s="13">
        <f>DD472*($DB$6+ACUTE_MARGIN)</f>
        <v>0.0</v>
      </c>
      <c r="DF472" s="13">
        <f>IF(DB472=1,$DB$31,$DB$32)</f>
        <v>152394.16214437486</v>
      </c>
      <c r="DG472" s="13">
        <f>DE472-DF472</f>
        <v>-152394.16214437486</v>
      </c>
      <c r="DH472" s="13">
        <f>DH471+DG472</f>
        <v>-21052358.44588943</v>
      </c>
      <c r="DI472">
        <f>IF(DH472=MAX($DH$83:$DH$483),$A472,0)</f>
        <v>0</v>
      </c>
      <c r="DJ472">
        <f>IF(DE472&lt;DF472,$A472,B_MAX+1)</f>
        <v>389</v>
      </c>
      <c r="DK472" s="13">
        <f>IF(DB472=1,$DB$35,$DB$36)</f>
        <v>0</v>
      </c>
      <c r="DL472" s="13">
        <f>OCC_DAYS*$DB$41*R_NF_2023-DD472*MCD_SHARE_FREED*R_WAIT_2023</f>
        <v>151980.48282209205</v>
      </c>
      <c r="DM472">
        <f>IF($A472&lt;=$DB$45,1,0)</f>
        <v>0</v>
      </c>
      <c r="EB472">
        <f>IF($EB$31&lt;=$EB$32,IF($A472&lt;=$EB$7,1,2),IF($A472&lt;=RUNG_BEDS_2,2,1))</f>
        <v>1</v>
      </c>
      <c r="EC472" s="5">
        <f>MIN(1,MAX(0,$EB$26-($A472-1)))</f>
        <v>0</v>
      </c>
      <c r="ED472" s="5">
        <f>$EB$25*(EC472+(1-EC472)*$EB$16)</f>
        <v>0.0</v>
      </c>
      <c r="EE472" s="13">
        <f>ED472*($EB$6+ACUTE_MARGIN)</f>
        <v>0.0</v>
      </c>
      <c r="EF472" s="13">
        <f>IF(EB472=1,$EB$31,$EB$32)</f>
        <v>152394.16214437486</v>
      </c>
      <c r="EG472" s="13">
        <f>EE472-EF472</f>
        <v>-152394.16214437486</v>
      </c>
      <c r="EH472" s="13">
        <f>EH471+EG472</f>
        <v>-21052358.44588943</v>
      </c>
      <c r="EI472">
        <f>IF(EH472=MAX($EH$83:$EH$483),$A472,0)</f>
        <v>0</v>
      </c>
      <c r="EJ472">
        <f>IF(EE472&lt;EF472,$A472,B_MAX+1)</f>
        <v>389</v>
      </c>
      <c r="EK472" s="13">
        <f>IF(EB472=1,$EB$35,$EB$36)</f>
        <v>0</v>
      </c>
      <c r="EL472" s="13">
        <f>OCC_DAYS*$EB$41*R_NF_2023-ED472*MCD_SHARE_FREED*R_WAIT_2023</f>
        <v>50660.16094069735</v>
      </c>
      <c r="EM472">
        <f>IF($A472&lt;=$EB$45,1,0)</f>
        <v>0</v>
      </c>
      <c r="FB472">
        <f>IF($FB$31&lt;=$FB$32,IF($A472&lt;=$FB$7,1,2),IF($A472&lt;=RUNG_BEDS_2,2,1))</f>
        <v>1</v>
      </c>
      <c r="FC472" s="5">
        <f>MIN(1,MAX(0,$FB$26-($A472-1)))</f>
        <v>0</v>
      </c>
      <c r="FD472" s="5">
        <f>$FB$25*(FC472+(1-FC472)*$FB$16)</f>
        <v>0.0</v>
      </c>
      <c r="FE472" s="13">
        <f>FD472*($FB$6+ACUTE_MARGIN)</f>
        <v>0.0</v>
      </c>
      <c r="FF472" s="13">
        <f>IF(FB472=1,$FB$31,$FB$32)</f>
        <v>156636.04979437485</v>
      </c>
      <c r="FG472" s="13">
        <f>FE472-FF472</f>
        <v>-156636.04979437485</v>
      </c>
      <c r="FH472" s="13">
        <f>FH471+FG472</f>
        <v>-22702452.741739597</v>
      </c>
      <c r="FI472">
        <f>IF(FH472=MAX($FH$83:$FH$483),$A472,0)</f>
        <v>0</v>
      </c>
      <c r="FJ472">
        <f>IF(FE472&lt;FF472,$A472,B_MAX+1)</f>
        <v>389</v>
      </c>
      <c r="FK472" s="13">
        <f>IF(FB472=1,$FB$35,$FB$36)</f>
        <v>0</v>
      </c>
      <c r="FL472" s="13">
        <f>OCC_DAYS*$FB$41*R_NF_2023-FD472*MCD_SHARE_FREED*R_WAIT_2023</f>
        <v>151980.48282209205</v>
      </c>
      <c r="FM472">
        <f>IF($A472&lt;=$FB$45,1,0)</f>
        <v>0</v>
      </c>
      <c r="GB472">
        <f>IF($GB$31&lt;=$GB$32,IF($A472&lt;=$GB$7,1,2),IF($A472&lt;=RUNG_BEDS_2,2,1))</f>
        <v>1</v>
      </c>
      <c r="GC472" s="5">
        <f>MIN(1,MAX(0,$GB$26-($A472-1)))</f>
        <v>0</v>
      </c>
      <c r="GD472" s="5">
        <f>$GB$25*(GC472+(1-GC472)*$GB$16)</f>
        <v>0.0</v>
      </c>
      <c r="GE472" s="13">
        <f>GD472*($GB$6+ACUTE_MARGIN)</f>
        <v>0.0</v>
      </c>
      <c r="GF472" s="13">
        <f>IF(GB472=1,$GB$31,$GB$32)</f>
        <v>152394.16214437486</v>
      </c>
      <c r="GG472" s="13">
        <f>GE472-GF472</f>
        <v>-152394.16214437486</v>
      </c>
      <c r="GH472" s="13">
        <f>GH471+GG472</f>
        <v>-21052358.44588943</v>
      </c>
      <c r="GI472">
        <f>IF(GH472=MAX($GH$83:$GH$483),$A472,0)</f>
        <v>0</v>
      </c>
      <c r="GJ472">
        <f>IF(GE472&lt;GF472,$A472,B_MAX+1)</f>
        <v>389</v>
      </c>
      <c r="GK472" s="13">
        <f>IF(GB472=1,$GB$35,$GB$36)</f>
        <v>0</v>
      </c>
      <c r="GL472" s="13">
        <f>OCC_DAYS*$GB$41*R_NF_2023-GD472*MCD_SHARE_FREED*R_WAIT_2023</f>
        <v>151980.48282209205</v>
      </c>
      <c r="GM472">
        <f>IF($A472&lt;=$GB$45,1,0)</f>
        <v>0</v>
      </c>
      <c r="HB472">
        <f>IF($HB$31&lt;=$HB$32,IF($A472&lt;=$HB$7,1,2),IF($A472&lt;=RUNG_BEDS_2,2,1))</f>
        <v>1</v>
      </c>
      <c r="HC472" s="5">
        <f>MIN(1,MAX(0,$HB$26-($A472-1)))</f>
        <v>0</v>
      </c>
      <c r="HD472" s="5">
        <f>$HB$25*(HC472+(1-HC472)*$HB$16)</f>
        <v>0.0</v>
      </c>
      <c r="HE472" s="13">
        <f>HD472*($HB$6+ACUTE_MARGIN)</f>
        <v>0.0</v>
      </c>
      <c r="HF472" s="13">
        <f>IF(HB472=1,$HB$31,$HB$32)</f>
        <v>152456.2970814058</v>
      </c>
      <c r="HG472" s="13">
        <f>HE472-HF472</f>
        <v>-152456.2970814058</v>
      </c>
      <c r="HH472" s="13">
        <f>HH471+HG472</f>
        <v>-21076528.936394583</v>
      </c>
      <c r="HI472">
        <f>IF(HH472=MAX($HH$83:$HH$483),$A472,0)</f>
        <v>0</v>
      </c>
      <c r="HJ472">
        <f>IF(HE472&lt;HF472,$A472,B_MAX+1)</f>
        <v>389</v>
      </c>
      <c r="HK472" s="13">
        <f>IF(HB472=1,$HB$35,$HB$36)</f>
        <v>0</v>
      </c>
      <c r="HL472" s="13">
        <f>OCC_DAYS*$HB$41*R_NF_2023-HD472*MCD_SHARE_FREED*R_WAIT_2023</f>
        <v>151980.48282209205</v>
      </c>
      <c r="HM472">
        <f>IF($A472&lt;=$HB$45,1,0)</f>
        <v>0</v>
      </c>
      <c r="IB472">
        <f>IF($IB$31&lt;=$IB$32,IF($A472&lt;=$IB$7,1,2),IF($A472&lt;=RUNG_BEDS_2,2,1))</f>
        <v>1</v>
      </c>
      <c r="IC472" s="5">
        <f>MIN(1,MAX(0,$IB$26-($A472-1)))</f>
        <v>0</v>
      </c>
      <c r="ID472" s="5">
        <f>$IB$25*(IC472+(1-IC472)*$IB$16)</f>
        <v>0.0</v>
      </c>
      <c r="IE472" s="13">
        <f>ID472*($IB$6+ACUTE_MARGIN)</f>
        <v>0.0</v>
      </c>
      <c r="IF472" s="13">
        <f>IF(IB472=1,$IB$31,$IB$32)</f>
        <v>152734.9994534971</v>
      </c>
      <c r="IG472" s="13">
        <f>IE472-IF472</f>
        <v>-152734.9994534971</v>
      </c>
      <c r="IH472" s="13">
        <f>IH471+IG472</f>
        <v>-21184944.159138054</v>
      </c>
      <c r="II472">
        <f>IF(IH472=MAX($IH$83:$IH$483),$A472,0)</f>
        <v>0</v>
      </c>
      <c r="IJ472">
        <f>IF(IE472&lt;IF472,$A472,B_MAX+1)</f>
        <v>389</v>
      </c>
      <c r="IK472" s="13">
        <f>IF(IB472=1,$IB$35,$IB$36)</f>
        <v>0</v>
      </c>
      <c r="IL472" s="13">
        <f>OCC_DAYS*$IB$41*R_NF_2023-ID472*MCD_SHARE_FREED*R_WAIT_2023</f>
        <v>151980.48282209205</v>
      </c>
      <c r="IM472">
        <f>IF($A472&lt;=$IB$45,1,0)</f>
        <v>0</v>
      </c>
      <c r="JB472">
        <f>IF($JB$31&lt;=$JB$32,IF($A472&lt;=$JB$7,1,2),IF($A472&lt;=RUNG_BEDS_2,2,1))</f>
        <v>1</v>
      </c>
      <c r="JC472" s="5">
        <f>MIN(1,MAX(0,$JB$26-($A472-1)))</f>
        <v>0</v>
      </c>
      <c r="JD472" s="5">
        <f>$JB$25*(JC472+(1-JC472)*$JB$16)</f>
        <v>0.0</v>
      </c>
      <c r="JE472" s="13">
        <f>JD472*($JB$6+ACUTE_MARGIN)</f>
        <v>0.0</v>
      </c>
      <c r="JF472" s="13">
        <f>IF(JB472=1,$JB$31,$JB$32)</f>
        <v>152394.16214437486</v>
      </c>
      <c r="JG472" s="13">
        <f>JE472-JF472</f>
        <v>-152394.16214437486</v>
      </c>
      <c r="JH472" s="13">
        <f>JH471+JG472</f>
        <v>-21052358.44588943</v>
      </c>
      <c r="JI472">
        <f>IF(JH472=MAX($JH$83:$JH$483),$A472,0)</f>
        <v>0</v>
      </c>
      <c r="JJ472">
        <f>IF(JE472&lt;JF472,$A472,B_MAX+1)</f>
        <v>389</v>
      </c>
      <c r="JK472" s="13">
        <f>IF(JB472=1,$JB$35,$JB$36)</f>
        <v>0</v>
      </c>
      <c r="JL472" s="13">
        <f>OCC_DAYS*$JB$41*R_NF_2023-JD472*MCD_SHARE_FREED*R_WAIT_2023</f>
        <v>151980.48282209205</v>
      </c>
      <c r="JM472">
        <f>IF($A472&lt;=$JB$45,1,0)</f>
        <v>0</v>
      </c>
      <c r="KB472">
        <f>IF($KB$31&lt;=$KB$32,IF($A472&lt;=$KB$7,1,2),IF($A472&lt;=RUNG_BEDS_2,2,1))</f>
        <v>1</v>
      </c>
      <c r="KC472" s="5">
        <f>MIN(1,MAX(0,$KB$26-($A472-1)))</f>
        <v>0</v>
      </c>
      <c r="KD472" s="5">
        <f>$KB$25*(KC472+(1-KC472)*$KB$16)</f>
        <v>0.0</v>
      </c>
      <c r="KE472" s="13">
        <f>KD472*($KB$6+ACUTE_MARGIN)</f>
        <v>0.0</v>
      </c>
      <c r="KF472" s="13">
        <f>IF(KB472=1,$KB$31,$KB$32)</f>
        <v>152394.16214437486</v>
      </c>
      <c r="KG472" s="13">
        <f>KE472-KF472</f>
        <v>-152394.16214437486</v>
      </c>
      <c r="KH472" s="13">
        <f>KH471+KG472</f>
        <v>-21052358.445889536</v>
      </c>
      <c r="KI472">
        <f>IF(KH472=MAX($KH$83:$KH$483),$A472,0)</f>
        <v>0</v>
      </c>
      <c r="KJ472">
        <f>IF(KE472&lt;KF472,$A472,B_MAX+1)</f>
        <v>389</v>
      </c>
      <c r="KK472" s="13">
        <f>IF(KB472=1,$KB$35,$KB$36)</f>
        <v>0</v>
      </c>
      <c r="KL472" s="13">
        <f>OCC_DAYS*$KB$41*R_NF_2023-KD472*MCD_SHARE_FREED*R_WAIT_2023</f>
        <v>151980.48282209205</v>
      </c>
      <c r="KM472">
        <f>IF($A472&lt;=$KB$45,1,0)</f>
        <v>0</v>
      </c>
      <c r="LB472">
        <f>IF($LB$31&lt;=$LB$32,IF($A472&lt;=$LB$7,1,2),IF($A472&lt;=RUNG_BEDS_2,2,1))</f>
        <v>1</v>
      </c>
      <c r="LC472" s="5">
        <f>MIN(1,MAX(0,$LB$26-($A472-1)))</f>
        <v>1</v>
      </c>
      <c r="LD472" s="5">
        <f>$LB$25*(LC472+(1-LC472)*$LB$16)</f>
        <v>84.01774238227146</v>
      </c>
      <c r="LE472" s="13">
        <f>LD472*($LB$6+ACUTE_MARGIN)</f>
        <v>84857.91980609419</v>
      </c>
      <c r="LF472" s="13">
        <f>IF(LB472=1,$LB$31,$LB$32)</f>
        <v>152394.16214437486</v>
      </c>
      <c r="LG472" s="13">
        <f>LE472-LF472</f>
        <v>-67536.24233828067</v>
      </c>
      <c r="LH472" s="13">
        <f>LH471+LG472</f>
        <v>-26271598.269591328</v>
      </c>
      <c r="LI472">
        <f>IF(LH472=MAX($LH$83:$LH$483),$A472,0)</f>
        <v>0</v>
      </c>
      <c r="LJ472">
        <f>IF(LE472&lt;LF472,$A472,B_MAX+1)</f>
        <v>389</v>
      </c>
      <c r="LK472" s="13">
        <f>IF(LB472=1,$LB$35,$LB$36)</f>
        <v>0</v>
      </c>
      <c r="LL472" s="13">
        <f>OCC_DAYS*$LB$41*R_NF_2023-LD472*MCD_SHARE_FREED*R_WAIT_2023</f>
        <v>113776.04162887059</v>
      </c>
      <c r="LM472">
        <f>IF($A472&lt;=$LB$45,1,0)</f>
        <v>0</v>
      </c>
      <c r="MB472">
        <f>IF($MB$31&lt;=$MB$32,IF($A472&lt;=$MB$7,1,2),IF($A472&lt;=RUNG_BEDS_2,2,1))</f>
        <v>1</v>
      </c>
      <c r="MC472" s="5">
        <f>MIN(1,MAX(0,$MB$26-($A472-1)))</f>
        <v>0</v>
      </c>
      <c r="MD472" s="5">
        <f>$MB$25*(MC472+(1-MC472)*$MB$16)</f>
        <v>0.0</v>
      </c>
      <c r="ME472" s="13">
        <f>MD472*($MB$6+ACUTE_MARGIN)</f>
        <v>0.0</v>
      </c>
      <c r="MF472" s="13">
        <f>IF(MB472=1,$MB$31,$MB$32)</f>
        <v>152394.16214437486</v>
      </c>
      <c r="MG472" s="13">
        <f>ME472-MF472</f>
        <v>-152394.16214437486</v>
      </c>
      <c r="MH472" s="13">
        <f>MH471+MG472</f>
        <v>-26939634.50768773</v>
      </c>
      <c r="MI472">
        <f>IF(MH472=MAX($MH$83:$MH$483),$A472,0)</f>
        <v>0</v>
      </c>
      <c r="MJ472">
        <f>IF(ME472&lt;MF472,$A472,B_MAX+1)</f>
        <v>389</v>
      </c>
      <c r="MK472" s="13">
        <f>IF(MB472=1,$MB$35,$MB$36)</f>
        <v>0</v>
      </c>
      <c r="ML472" s="13">
        <f>OCC_DAYS*$MB$41*R_NF_2023-MD472*MCD_SHARE_FREED*R_WAIT_2023</f>
        <v>151980.48282209205</v>
      </c>
      <c r="MM472">
        <f>IF($A472&lt;=$MB$45,1,0)</f>
        <v>0</v>
      </c>
      <c r="NB472">
        <f>IF($NB$31&lt;=$NB$32,IF($A472&lt;=$NB$7,1,2),IF($A472&lt;=RUNG_BEDS_2,2,1))</f>
        <v>1</v>
      </c>
      <c r="NC472" s="5">
        <f>MIN(1,MAX(0,$NB$26-($A472-1)))</f>
        <v>0</v>
      </c>
      <c r="ND472" s="5">
        <f>$NB$25*(NC472+(1-NC472)*$NB$16)</f>
        <v>63.013306786703595</v>
      </c>
      <c r="NE472" s="13">
        <f>ND472*($NB$6+ACUTE_MARGIN)</f>
        <v>63643.43985457063</v>
      </c>
      <c r="NF472" s="13">
        <f>IF(NB472=1,$NB$31,$NB$32)</f>
        <v>152394.16214437486</v>
      </c>
      <c r="NG472" s="13">
        <f>NE472-NF472</f>
        <v>-88750.72228980422</v>
      </c>
      <c r="NH472" s="13">
        <f>NH471+NG472</f>
        <v>-5852302.999529625</v>
      </c>
      <c r="NI472">
        <f>IF(NH472=MAX($NH$83:$NH$483),$A472,0)</f>
        <v>0</v>
      </c>
      <c r="NJ472">
        <f>IF(NE472&lt;NF472,$A472,B_MAX+1)</f>
        <v>389</v>
      </c>
      <c r="NK472" s="13">
        <f>IF(NB472=1,$NB$35,$NB$36)</f>
        <v>0</v>
      </c>
      <c r="NL472" s="13">
        <f>OCC_DAYS*$NB$41*R_NF_2023-ND472*MCD_SHARE_FREED*R_WAIT_2023</f>
        <v>123327.15192717595</v>
      </c>
      <c r="NM472">
        <f>IF($A472&lt;=$NB$45,1,0)</f>
        <v>0</v>
      </c>
      <c r="OB472">
        <f>IF($OB$31&lt;=$OB$32,IF($A472&lt;=$OB$7,1,2),IF($A472&lt;=RUNG_BEDS_2,2,1))</f>
        <v>1</v>
      </c>
      <c r="OC472" s="5">
        <f>MIN(1,MAX(0,$OB$26-($A472-1)))</f>
        <v>0</v>
      </c>
      <c r="OD472" s="5">
        <f>$OB$25*(OC472+(1-OC472)*$OB$16)</f>
        <v>126.02661357340719</v>
      </c>
      <c r="OE472" s="13">
        <f>OD472*($OB$6+ACUTE_MARGIN)</f>
        <v>127286.87970914126</v>
      </c>
      <c r="OF472" s="13">
        <f>IF(OB472=1,$OB$31,$OB$32)</f>
        <v>152394.16214437486</v>
      </c>
      <c r="OG472" s="13">
        <f>OE472-OF472</f>
        <v>-25107.282435233603</v>
      </c>
      <c r="OH472" s="13">
        <f>OH471+OG472</f>
        <v>9347752.44683051</v>
      </c>
      <c r="OI472">
        <f>IF(OH472=MAX($OH$83:$OH$483),$A472,0)</f>
        <v>0</v>
      </c>
      <c r="OJ472">
        <f>IF(OE472&lt;OF472,$A472,B_MAX+1)</f>
        <v>389</v>
      </c>
      <c r="OK472" s="13">
        <f>IF(OB472=1,$OB$35,$OB$36)</f>
        <v>0</v>
      </c>
      <c r="OL472" s="13">
        <f>OCC_DAYS*$OB$41*R_NF_2023-OD472*MCD_SHARE_FREED*R_WAIT_2023</f>
        <v>94673.82103225985</v>
      </c>
      <c r="OM472">
        <f>IF($A472&lt;=$OB$45,1,0)</f>
        <v>0</v>
      </c>
    </row>
    <row r="473">
      <c r="A473" t="n">
        <v>390</v>
      </c>
      <c r="B473">
        <f>IF($B$31&lt;=$B$32,IF($A473&lt;=$B$7,1,2),IF($A473&lt;=RUNG_BEDS_2,2,1))</f>
        <v>1</v>
      </c>
      <c r="C473" s="5">
        <f>MIN(1,MAX(0,$B$26-($A473-1)))</f>
        <v>0</v>
      </c>
      <c r="D473" s="5">
        <f>$B$25*(C473+(1-C473)*$B$16)</f>
        <v>0.0</v>
      </c>
      <c r="E473" s="13">
        <f>D473*($B$6+ACUTE_MARGIN)</f>
        <v>0.0</v>
      </c>
      <c r="F473" s="13">
        <f>IF(B473=1,$B$31,$B$32)</f>
        <v>152394.16214437486</v>
      </c>
      <c r="G473" s="13">
        <f>E473-F473</f>
        <v>-152394.16214437486</v>
      </c>
      <c r="H473" s="13">
        <f>H472+G473</f>
        <v>-21204752.608033802</v>
      </c>
      <c r="I473">
        <f>IF(H473=MAX($H$83:$H$483),$A473,0)</f>
        <v>0</v>
      </c>
      <c r="J473">
        <f>IF(E473&lt;F473,$A473,B_MAX+1)</f>
        <v>390</v>
      </c>
      <c r="K473" s="13">
        <f>IF(B473=1,$B$35,$B$36)</f>
        <v>0</v>
      </c>
      <c r="L473" s="13">
        <f>OCC_DAYS*$B$41*R_NF_2023-D473*MCD_SHARE_FREED*R_WAIT_2023</f>
        <v>151980.48282209205</v>
      </c>
      <c r="M473">
        <f>IF($A473&lt;=$B$45,1,0)</f>
        <v>0</v>
      </c>
      <c r="AB473">
        <f>IF($AB$31&lt;=$AB$32,IF($A473&lt;=$AB$7,1,2),IF($A473&lt;=RUNG_BEDS_2,2,1))</f>
        <v>1</v>
      </c>
      <c r="AC473" s="5">
        <f>MIN(1,MAX(0,$AB$26-($A473-1)))</f>
        <v>0</v>
      </c>
      <c r="AD473" s="5">
        <f>$AB$25*(AC473+(1-AC473)*$AB$16)</f>
        <v>0.0</v>
      </c>
      <c r="AE473" s="13">
        <f>AD473*($AB$6+ACUTE_MARGIN)</f>
        <v>0.0</v>
      </c>
      <c r="AF473" s="13">
        <f>IF(AB473=1,$AB$31,$AB$32)</f>
        <v>152394.16214437486</v>
      </c>
      <c r="AG473" s="13">
        <f>AE473-AF473</f>
        <v>-152394.16214437486</v>
      </c>
      <c r="AH473" s="13">
        <f>AH472+AG473</f>
        <v>-38615966.953583665</v>
      </c>
      <c r="AI473">
        <f>IF(AH473=MAX($AH$83:$AH$483),$A473,0)</f>
        <v>0</v>
      </c>
      <c r="AJ473">
        <f>IF(AE473&lt;AF473,$A473,B_MAX+1)</f>
        <v>390</v>
      </c>
      <c r="AK473" s="13">
        <f>IF(AB473=1,$AB$35,$AB$36)</f>
        <v>0</v>
      </c>
      <c r="AL473" s="13">
        <f>OCC_DAYS*$AB$41*R_NF_2023-AD473*MCD_SHARE_FREED*R_WAIT_2023</f>
        <v>151980.48282209205</v>
      </c>
      <c r="AM473">
        <f>IF($A473&lt;=$AB$45,1,0)</f>
        <v>0</v>
      </c>
      <c r="BB473">
        <f>IF($BB$31&lt;=$BB$32,IF($A473&lt;=$BB$7,1,2),IF($A473&lt;=RUNG_BEDS_2,2,1))</f>
        <v>1</v>
      </c>
      <c r="BC473" s="5">
        <f>MIN(1,MAX(0,$BB$26-($A473-1)))</f>
        <v>0</v>
      </c>
      <c r="BD473" s="5">
        <f>$BB$25*(BC473+(1-BC473)*$BB$16)</f>
        <v>0.0</v>
      </c>
      <c r="BE473" s="13">
        <f>BD473*($BB$6+ACUTE_MARGIN)</f>
        <v>0.0</v>
      </c>
      <c r="BF473" s="13">
        <f>IF(BB473=1,$BB$31,$BB$32)</f>
        <v>152394.16214437486</v>
      </c>
      <c r="BG473" s="13">
        <f>BE473-BF473</f>
        <v>-152394.16214437486</v>
      </c>
      <c r="BH473" s="13">
        <f>BH472+BG473</f>
        <v>-3793538.2624841123</v>
      </c>
      <c r="BI473">
        <f>IF(BH473=MAX($BH$83:$BH$483),$A473,0)</f>
        <v>0</v>
      </c>
      <c r="BJ473">
        <f>IF(BE473&lt;BF473,$A473,B_MAX+1)</f>
        <v>390</v>
      </c>
      <c r="BK473" s="13">
        <f>IF(BB473=1,$BB$35,$BB$36)</f>
        <v>0</v>
      </c>
      <c r="BL473" s="13">
        <f>OCC_DAYS*$BB$41*R_NF_2023-BD473*MCD_SHARE_FREED*R_WAIT_2023</f>
        <v>151980.48282209205</v>
      </c>
      <c r="BM473">
        <f>IF($A473&lt;=$BB$45,1,0)</f>
        <v>0</v>
      </c>
      <c r="CB473">
        <f>IF($CB$31&lt;=$CB$32,IF($A473&lt;=$CB$7,1,2),IF($A473&lt;=RUNG_BEDS_2,2,1))</f>
        <v>2</v>
      </c>
      <c r="CC473" s="5">
        <f>MIN(1,MAX(0,$CB$26-($A473-1)))</f>
        <v>0</v>
      </c>
      <c r="CD473" s="5">
        <f>$CB$25*(CC473+(1-CC473)*$CB$16)</f>
        <v>0.0</v>
      </c>
      <c r="CE473" s="13">
        <f>CD473*($CB$6+ACUTE_MARGIN)</f>
        <v>0.0</v>
      </c>
      <c r="CF473" s="13">
        <f>IF(CB473=1,$CB$31,$CB$32)</f>
        <v>160718.36940738867</v>
      </c>
      <c r="CG473" s="13">
        <f>CE473-CF473</f>
        <v>-160718.36940738867</v>
      </c>
      <c r="CH473" s="13">
        <f>CH472+CG473</f>
        <v>-24451193.440609418</v>
      </c>
      <c r="CI473">
        <f>IF(CH473=MAX($CH$83:$CH$483),$A473,0)</f>
        <v>0</v>
      </c>
      <c r="CJ473">
        <f>IF(CE473&lt;CF473,$A473,B_MAX+1)</f>
        <v>390</v>
      </c>
      <c r="CK473" s="13">
        <f>IF(CB473=1,$CB$35,$CB$36)</f>
        <v>1560.1194073886782</v>
      </c>
      <c r="CL473" s="13">
        <f>OCC_DAYS*$CB$41*R_NF_2023-CD473*MCD_SHARE_FREED*R_WAIT_2023</f>
        <v>151980.48282209205</v>
      </c>
      <c r="CM473">
        <f>IF($A473&lt;=$CB$45,1,0)</f>
        <v>0</v>
      </c>
      <c r="DB473">
        <f>IF($DB$31&lt;=$DB$32,IF($A473&lt;=$DB$7,1,2),IF($A473&lt;=RUNG_BEDS_2,2,1))</f>
        <v>1</v>
      </c>
      <c r="DC473" s="5">
        <f>MIN(1,MAX(0,$DB$26-($A473-1)))</f>
        <v>0</v>
      </c>
      <c r="DD473" s="5">
        <f>$DB$25*(DC473+(1-DC473)*$DB$16)</f>
        <v>0.0</v>
      </c>
      <c r="DE473" s="13">
        <f>DD473*($DB$6+ACUTE_MARGIN)</f>
        <v>0.0</v>
      </c>
      <c r="DF473" s="13">
        <f>IF(DB473=1,$DB$31,$DB$32)</f>
        <v>152394.16214437486</v>
      </c>
      <c r="DG473" s="13">
        <f>DE473-DF473</f>
        <v>-152394.16214437486</v>
      </c>
      <c r="DH473" s="13">
        <f>DH472+DG473</f>
        <v>-21204752.608033802</v>
      </c>
      <c r="DI473">
        <f>IF(DH473=MAX($DH$83:$DH$483),$A473,0)</f>
        <v>0</v>
      </c>
      <c r="DJ473">
        <f>IF(DE473&lt;DF473,$A473,B_MAX+1)</f>
        <v>390</v>
      </c>
      <c r="DK473" s="13">
        <f>IF(DB473=1,$DB$35,$DB$36)</f>
        <v>0</v>
      </c>
      <c r="DL473" s="13">
        <f>OCC_DAYS*$DB$41*R_NF_2023-DD473*MCD_SHARE_FREED*R_WAIT_2023</f>
        <v>151980.48282209205</v>
      </c>
      <c r="DM473">
        <f>IF($A473&lt;=$DB$45,1,0)</f>
        <v>0</v>
      </c>
      <c r="EB473">
        <f>IF($EB$31&lt;=$EB$32,IF($A473&lt;=$EB$7,1,2),IF($A473&lt;=RUNG_BEDS_2,2,1))</f>
        <v>1</v>
      </c>
      <c r="EC473" s="5">
        <f>MIN(1,MAX(0,$EB$26-($A473-1)))</f>
        <v>0</v>
      </c>
      <c r="ED473" s="5">
        <f>$EB$25*(EC473+(1-EC473)*$EB$16)</f>
        <v>0.0</v>
      </c>
      <c r="EE473" s="13">
        <f>ED473*($EB$6+ACUTE_MARGIN)</f>
        <v>0.0</v>
      </c>
      <c r="EF473" s="13">
        <f>IF(EB473=1,$EB$31,$EB$32)</f>
        <v>152394.16214437486</v>
      </c>
      <c r="EG473" s="13">
        <f>EE473-EF473</f>
        <v>-152394.16214437486</v>
      </c>
      <c r="EH473" s="13">
        <f>EH472+EG473</f>
        <v>-21204752.608033802</v>
      </c>
      <c r="EI473">
        <f>IF(EH473=MAX($EH$83:$EH$483),$A473,0)</f>
        <v>0</v>
      </c>
      <c r="EJ473">
        <f>IF(EE473&lt;EF473,$A473,B_MAX+1)</f>
        <v>390</v>
      </c>
      <c r="EK473" s="13">
        <f>IF(EB473=1,$EB$35,$EB$36)</f>
        <v>0</v>
      </c>
      <c r="EL473" s="13">
        <f>OCC_DAYS*$EB$41*R_NF_2023-ED473*MCD_SHARE_FREED*R_WAIT_2023</f>
        <v>50660.16094069735</v>
      </c>
      <c r="EM473">
        <f>IF($A473&lt;=$EB$45,1,0)</f>
        <v>0</v>
      </c>
      <c r="FB473">
        <f>IF($FB$31&lt;=$FB$32,IF($A473&lt;=$FB$7,1,2),IF($A473&lt;=RUNG_BEDS_2,2,1))</f>
        <v>1</v>
      </c>
      <c r="FC473" s="5">
        <f>MIN(1,MAX(0,$FB$26-($A473-1)))</f>
        <v>0</v>
      </c>
      <c r="FD473" s="5">
        <f>$FB$25*(FC473+(1-FC473)*$FB$16)</f>
        <v>0.0</v>
      </c>
      <c r="FE473" s="13">
        <f>FD473*($FB$6+ACUTE_MARGIN)</f>
        <v>0.0</v>
      </c>
      <c r="FF473" s="13">
        <f>IF(FB473=1,$FB$31,$FB$32)</f>
        <v>156636.04979437485</v>
      </c>
      <c r="FG473" s="13">
        <f>FE473-FF473</f>
        <v>-156636.04979437485</v>
      </c>
      <c r="FH473" s="13">
        <f>FH472+FG473</f>
        <v>-22859088.791533973</v>
      </c>
      <c r="FI473">
        <f>IF(FH473=MAX($FH$83:$FH$483),$A473,0)</f>
        <v>0</v>
      </c>
      <c r="FJ473">
        <f>IF(FE473&lt;FF473,$A473,B_MAX+1)</f>
        <v>390</v>
      </c>
      <c r="FK473" s="13">
        <f>IF(FB473=1,$FB$35,$FB$36)</f>
        <v>0</v>
      </c>
      <c r="FL473" s="13">
        <f>OCC_DAYS*$FB$41*R_NF_2023-FD473*MCD_SHARE_FREED*R_WAIT_2023</f>
        <v>151980.48282209205</v>
      </c>
      <c r="FM473">
        <f>IF($A473&lt;=$FB$45,1,0)</f>
        <v>0</v>
      </c>
      <c r="GB473">
        <f>IF($GB$31&lt;=$GB$32,IF($A473&lt;=$GB$7,1,2),IF($A473&lt;=RUNG_BEDS_2,2,1))</f>
        <v>1</v>
      </c>
      <c r="GC473" s="5">
        <f>MIN(1,MAX(0,$GB$26-($A473-1)))</f>
        <v>0</v>
      </c>
      <c r="GD473" s="5">
        <f>$GB$25*(GC473+(1-GC473)*$GB$16)</f>
        <v>0.0</v>
      </c>
      <c r="GE473" s="13">
        <f>GD473*($GB$6+ACUTE_MARGIN)</f>
        <v>0.0</v>
      </c>
      <c r="GF473" s="13">
        <f>IF(GB473=1,$GB$31,$GB$32)</f>
        <v>152394.16214437486</v>
      </c>
      <c r="GG473" s="13">
        <f>GE473-GF473</f>
        <v>-152394.16214437486</v>
      </c>
      <c r="GH473" s="13">
        <f>GH472+GG473</f>
        <v>-21204752.608033802</v>
      </c>
      <c r="GI473">
        <f>IF(GH473=MAX($GH$83:$GH$483),$A473,0)</f>
        <v>0</v>
      </c>
      <c r="GJ473">
        <f>IF(GE473&lt;GF473,$A473,B_MAX+1)</f>
        <v>390</v>
      </c>
      <c r="GK473" s="13">
        <f>IF(GB473=1,$GB$35,$GB$36)</f>
        <v>0</v>
      </c>
      <c r="GL473" s="13">
        <f>OCC_DAYS*$GB$41*R_NF_2023-GD473*MCD_SHARE_FREED*R_WAIT_2023</f>
        <v>151980.48282209205</v>
      </c>
      <c r="GM473">
        <f>IF($A473&lt;=$GB$45,1,0)</f>
        <v>0</v>
      </c>
      <c r="HB473">
        <f>IF($HB$31&lt;=$HB$32,IF($A473&lt;=$HB$7,1,2),IF($A473&lt;=RUNG_BEDS_2,2,1))</f>
        <v>1</v>
      </c>
      <c r="HC473" s="5">
        <f>MIN(1,MAX(0,$HB$26-($A473-1)))</f>
        <v>0</v>
      </c>
      <c r="HD473" s="5">
        <f>$HB$25*(HC473+(1-HC473)*$HB$16)</f>
        <v>0.0</v>
      </c>
      <c r="HE473" s="13">
        <f>HD473*($HB$6+ACUTE_MARGIN)</f>
        <v>0.0</v>
      </c>
      <c r="HF473" s="13">
        <f>IF(HB473=1,$HB$31,$HB$32)</f>
        <v>152456.2970814058</v>
      </c>
      <c r="HG473" s="13">
        <f>HE473-HF473</f>
        <v>-152456.2970814058</v>
      </c>
      <c r="HH473" s="13">
        <f>HH472+HG473</f>
        <v>-21228985.23347599</v>
      </c>
      <c r="HI473">
        <f>IF(HH473=MAX($HH$83:$HH$483),$A473,0)</f>
        <v>0</v>
      </c>
      <c r="HJ473">
        <f>IF(HE473&lt;HF473,$A473,B_MAX+1)</f>
        <v>390</v>
      </c>
      <c r="HK473" s="13">
        <f>IF(HB473=1,$HB$35,$HB$36)</f>
        <v>0</v>
      </c>
      <c r="HL473" s="13">
        <f>OCC_DAYS*$HB$41*R_NF_2023-HD473*MCD_SHARE_FREED*R_WAIT_2023</f>
        <v>151980.48282209205</v>
      </c>
      <c r="HM473">
        <f>IF($A473&lt;=$HB$45,1,0)</f>
        <v>0</v>
      </c>
      <c r="IB473">
        <f>IF($IB$31&lt;=$IB$32,IF($A473&lt;=$IB$7,1,2),IF($A473&lt;=RUNG_BEDS_2,2,1))</f>
        <v>1</v>
      </c>
      <c r="IC473" s="5">
        <f>MIN(1,MAX(0,$IB$26-($A473-1)))</f>
        <v>0</v>
      </c>
      <c r="ID473" s="5">
        <f>$IB$25*(IC473+(1-IC473)*$IB$16)</f>
        <v>0.0</v>
      </c>
      <c r="IE473" s="13">
        <f>ID473*($IB$6+ACUTE_MARGIN)</f>
        <v>0.0</v>
      </c>
      <c r="IF473" s="13">
        <f>IF(IB473=1,$IB$31,$IB$32)</f>
        <v>152734.9994534971</v>
      </c>
      <c r="IG473" s="13">
        <f>IE473-IF473</f>
        <v>-152734.9994534971</v>
      </c>
      <c r="IH473" s="13">
        <f>IH472+IG473</f>
        <v>-21337679.15859155</v>
      </c>
      <c r="II473">
        <f>IF(IH473=MAX($IH$83:$IH$483),$A473,0)</f>
        <v>0</v>
      </c>
      <c r="IJ473">
        <f>IF(IE473&lt;IF473,$A473,B_MAX+1)</f>
        <v>390</v>
      </c>
      <c r="IK473" s="13">
        <f>IF(IB473=1,$IB$35,$IB$36)</f>
        <v>0</v>
      </c>
      <c r="IL473" s="13">
        <f>OCC_DAYS*$IB$41*R_NF_2023-ID473*MCD_SHARE_FREED*R_WAIT_2023</f>
        <v>151980.48282209205</v>
      </c>
      <c r="IM473">
        <f>IF($A473&lt;=$IB$45,1,0)</f>
        <v>0</v>
      </c>
      <c r="JB473">
        <f>IF($JB$31&lt;=$JB$32,IF($A473&lt;=$JB$7,1,2),IF($A473&lt;=RUNG_BEDS_2,2,1))</f>
        <v>1</v>
      </c>
      <c r="JC473" s="5">
        <f>MIN(1,MAX(0,$JB$26-($A473-1)))</f>
        <v>0</v>
      </c>
      <c r="JD473" s="5">
        <f>$JB$25*(JC473+(1-JC473)*$JB$16)</f>
        <v>0.0</v>
      </c>
      <c r="JE473" s="13">
        <f>JD473*($JB$6+ACUTE_MARGIN)</f>
        <v>0.0</v>
      </c>
      <c r="JF473" s="13">
        <f>IF(JB473=1,$JB$31,$JB$32)</f>
        <v>152394.16214437486</v>
      </c>
      <c r="JG473" s="13">
        <f>JE473-JF473</f>
        <v>-152394.16214437486</v>
      </c>
      <c r="JH473" s="13">
        <f>JH472+JG473</f>
        <v>-21204752.608033802</v>
      </c>
      <c r="JI473">
        <f>IF(JH473=MAX($JH$83:$JH$483),$A473,0)</f>
        <v>0</v>
      </c>
      <c r="JJ473">
        <f>IF(JE473&lt;JF473,$A473,B_MAX+1)</f>
        <v>390</v>
      </c>
      <c r="JK473" s="13">
        <f>IF(JB473=1,$JB$35,$JB$36)</f>
        <v>0</v>
      </c>
      <c r="JL473" s="13">
        <f>OCC_DAYS*$JB$41*R_NF_2023-JD473*MCD_SHARE_FREED*R_WAIT_2023</f>
        <v>151980.48282209205</v>
      </c>
      <c r="JM473">
        <f>IF($A473&lt;=$JB$45,1,0)</f>
        <v>0</v>
      </c>
      <c r="KB473">
        <f>IF($KB$31&lt;=$KB$32,IF($A473&lt;=$KB$7,1,2),IF($A473&lt;=RUNG_BEDS_2,2,1))</f>
        <v>1</v>
      </c>
      <c r="KC473" s="5">
        <f>MIN(1,MAX(0,$KB$26-($A473-1)))</f>
        <v>0</v>
      </c>
      <c r="KD473" s="5">
        <f>$KB$25*(KC473+(1-KC473)*$KB$16)</f>
        <v>0.0</v>
      </c>
      <c r="KE473" s="13">
        <f>KD473*($KB$6+ACUTE_MARGIN)</f>
        <v>0.0</v>
      </c>
      <c r="KF473" s="13">
        <f>IF(KB473=1,$KB$31,$KB$32)</f>
        <v>152394.16214437486</v>
      </c>
      <c r="KG473" s="13">
        <f>KE473-KF473</f>
        <v>-152394.16214437486</v>
      </c>
      <c r="KH473" s="13">
        <f>KH472+KG473</f>
        <v>-21204752.60803391</v>
      </c>
      <c r="KI473">
        <f>IF(KH473=MAX($KH$83:$KH$483),$A473,0)</f>
        <v>0</v>
      </c>
      <c r="KJ473">
        <f>IF(KE473&lt;KF473,$A473,B_MAX+1)</f>
        <v>390</v>
      </c>
      <c r="KK473" s="13">
        <f>IF(KB473=1,$KB$35,$KB$36)</f>
        <v>0</v>
      </c>
      <c r="KL473" s="13">
        <f>OCC_DAYS*$KB$41*R_NF_2023-KD473*MCD_SHARE_FREED*R_WAIT_2023</f>
        <v>151980.48282209205</v>
      </c>
      <c r="KM473">
        <f>IF($A473&lt;=$KB$45,1,0)</f>
        <v>0</v>
      </c>
      <c r="LB473">
        <f>IF($LB$31&lt;=$LB$32,IF($A473&lt;=$LB$7,1,2),IF($A473&lt;=RUNG_BEDS_2,2,1))</f>
        <v>1</v>
      </c>
      <c r="LC473" s="5">
        <f>MIN(1,MAX(0,$LB$26-($A473-1)))</f>
        <v>1</v>
      </c>
      <c r="LD473" s="5">
        <f>$LB$25*(LC473+(1-LC473)*$LB$16)</f>
        <v>84.01774238227146</v>
      </c>
      <c r="LE473" s="13">
        <f>LD473*($LB$6+ACUTE_MARGIN)</f>
        <v>84857.91980609419</v>
      </c>
      <c r="LF473" s="13">
        <f>IF(LB473=1,$LB$31,$LB$32)</f>
        <v>152394.16214437486</v>
      </c>
      <c r="LG473" s="13">
        <f>LE473-LF473</f>
        <v>-67536.24233828067</v>
      </c>
      <c r="LH473" s="13">
        <f>LH472+LG473</f>
        <v>-26339134.51192961</v>
      </c>
      <c r="LI473">
        <f>IF(LH473=MAX($LH$83:$LH$483),$A473,0)</f>
        <v>0</v>
      </c>
      <c r="LJ473">
        <f>IF(LE473&lt;LF473,$A473,B_MAX+1)</f>
        <v>390</v>
      </c>
      <c r="LK473" s="13">
        <f>IF(LB473=1,$LB$35,$LB$36)</f>
        <v>0</v>
      </c>
      <c r="LL473" s="13">
        <f>OCC_DAYS*$LB$41*R_NF_2023-LD473*MCD_SHARE_FREED*R_WAIT_2023</f>
        <v>113776.04162887059</v>
      </c>
      <c r="LM473">
        <f>IF($A473&lt;=$LB$45,1,0)</f>
        <v>0</v>
      </c>
      <c r="MB473">
        <f>IF($MB$31&lt;=$MB$32,IF($A473&lt;=$MB$7,1,2),IF($A473&lt;=RUNG_BEDS_2,2,1))</f>
        <v>1</v>
      </c>
      <c r="MC473" s="5">
        <f>MIN(1,MAX(0,$MB$26-($A473-1)))</f>
        <v>0</v>
      </c>
      <c r="MD473" s="5">
        <f>$MB$25*(MC473+(1-MC473)*$MB$16)</f>
        <v>0.0</v>
      </c>
      <c r="ME473" s="13">
        <f>MD473*($MB$6+ACUTE_MARGIN)</f>
        <v>0.0</v>
      </c>
      <c r="MF473" s="13">
        <f>IF(MB473=1,$MB$31,$MB$32)</f>
        <v>152394.16214437486</v>
      </c>
      <c r="MG473" s="13">
        <f>ME473-MF473</f>
        <v>-152394.16214437486</v>
      </c>
      <c r="MH473" s="13">
        <f>MH472+MG473</f>
        <v>-27092028.669832103</v>
      </c>
      <c r="MI473">
        <f>IF(MH473=MAX($MH$83:$MH$483),$A473,0)</f>
        <v>0</v>
      </c>
      <c r="MJ473">
        <f>IF(ME473&lt;MF473,$A473,B_MAX+1)</f>
        <v>390</v>
      </c>
      <c r="MK473" s="13">
        <f>IF(MB473=1,$MB$35,$MB$36)</f>
        <v>0</v>
      </c>
      <c r="ML473" s="13">
        <f>OCC_DAYS*$MB$41*R_NF_2023-MD473*MCD_SHARE_FREED*R_WAIT_2023</f>
        <v>151980.48282209205</v>
      </c>
      <c r="MM473">
        <f>IF($A473&lt;=$MB$45,1,0)</f>
        <v>0</v>
      </c>
      <c r="NB473">
        <f>IF($NB$31&lt;=$NB$32,IF($A473&lt;=$NB$7,1,2),IF($A473&lt;=RUNG_BEDS_2,2,1))</f>
        <v>1</v>
      </c>
      <c r="NC473" s="5">
        <f>MIN(1,MAX(0,$NB$26-($A473-1)))</f>
        <v>0</v>
      </c>
      <c r="ND473" s="5">
        <f>$NB$25*(NC473+(1-NC473)*$NB$16)</f>
        <v>63.013306786703595</v>
      </c>
      <c r="NE473" s="13">
        <f>ND473*($NB$6+ACUTE_MARGIN)</f>
        <v>63643.43985457063</v>
      </c>
      <c r="NF473" s="13">
        <f>IF(NB473=1,$NB$31,$NB$32)</f>
        <v>152394.16214437486</v>
      </c>
      <c r="NG473" s="13">
        <f>NE473-NF473</f>
        <v>-88750.72228980422</v>
      </c>
      <c r="NH473" s="13">
        <f>NH472+NG473</f>
        <v>-5941053.72181943</v>
      </c>
      <c r="NI473">
        <f>IF(NH473=MAX($NH$83:$NH$483),$A473,0)</f>
        <v>0</v>
      </c>
      <c r="NJ473">
        <f>IF(NE473&lt;NF473,$A473,B_MAX+1)</f>
        <v>390</v>
      </c>
      <c r="NK473" s="13">
        <f>IF(NB473=1,$NB$35,$NB$36)</f>
        <v>0</v>
      </c>
      <c r="NL473" s="13">
        <f>OCC_DAYS*$NB$41*R_NF_2023-ND473*MCD_SHARE_FREED*R_WAIT_2023</f>
        <v>123327.15192717595</v>
      </c>
      <c r="NM473">
        <f>IF($A473&lt;=$NB$45,1,0)</f>
        <v>0</v>
      </c>
      <c r="OB473">
        <f>IF($OB$31&lt;=$OB$32,IF($A473&lt;=$OB$7,1,2),IF($A473&lt;=RUNG_BEDS_2,2,1))</f>
        <v>1</v>
      </c>
      <c r="OC473" s="5">
        <f>MIN(1,MAX(0,$OB$26-($A473-1)))</f>
        <v>0</v>
      </c>
      <c r="OD473" s="5">
        <f>$OB$25*(OC473+(1-OC473)*$OB$16)</f>
        <v>126.02661357340719</v>
      </c>
      <c r="OE473" s="13">
        <f>OD473*($OB$6+ACUTE_MARGIN)</f>
        <v>127286.87970914126</v>
      </c>
      <c r="OF473" s="13">
        <f>IF(OB473=1,$OB$31,$OB$32)</f>
        <v>152394.16214437486</v>
      </c>
      <c r="OG473" s="13">
        <f>OE473-OF473</f>
        <v>-25107.282435233603</v>
      </c>
      <c r="OH473" s="13">
        <f>OH472+OG473</f>
        <v>9322645.164395276</v>
      </c>
      <c r="OI473">
        <f>IF(OH473=MAX($OH$83:$OH$483),$A473,0)</f>
        <v>0</v>
      </c>
      <c r="OJ473">
        <f>IF(OE473&lt;OF473,$A473,B_MAX+1)</f>
        <v>390</v>
      </c>
      <c r="OK473" s="13">
        <f>IF(OB473=1,$OB$35,$OB$36)</f>
        <v>0</v>
      </c>
      <c r="OL473" s="13">
        <f>OCC_DAYS*$OB$41*R_NF_2023-OD473*MCD_SHARE_FREED*R_WAIT_2023</f>
        <v>94673.82103225985</v>
      </c>
      <c r="OM473">
        <f>IF($A473&lt;=$OB$45,1,0)</f>
        <v>0</v>
      </c>
    </row>
    <row r="474">
      <c r="A474" t="n">
        <v>391</v>
      </c>
      <c r="B474">
        <f>IF($B$31&lt;=$B$32,IF($A474&lt;=$B$7,1,2),IF($A474&lt;=RUNG_BEDS_2,2,1))</f>
        <v>1</v>
      </c>
      <c r="C474" s="5">
        <f>MIN(1,MAX(0,$B$26-($A474-1)))</f>
        <v>0</v>
      </c>
      <c r="D474" s="5">
        <f>$B$25*(C474+(1-C474)*$B$16)</f>
        <v>0.0</v>
      </c>
      <c r="E474" s="13">
        <f>D474*($B$6+ACUTE_MARGIN)</f>
        <v>0.0</v>
      </c>
      <c r="F474" s="13">
        <f>IF(B474=1,$B$31,$B$32)</f>
        <v>152394.16214437486</v>
      </c>
      <c r="G474" s="13">
        <f>E474-F474</f>
        <v>-152394.16214437486</v>
      </c>
      <c r="H474" s="13">
        <f>H473+G474</f>
        <v>-21357146.770178176</v>
      </c>
      <c r="I474">
        <f>IF(H474=MAX($H$83:$H$483),$A474,0)</f>
        <v>0</v>
      </c>
      <c r="J474">
        <f>IF(E474&lt;F474,$A474,B_MAX+1)</f>
        <v>391</v>
      </c>
      <c r="K474" s="13">
        <f>IF(B474=1,$B$35,$B$36)</f>
        <v>0</v>
      </c>
      <c r="L474" s="13">
        <f>OCC_DAYS*$B$41*R_NF_2023-D474*MCD_SHARE_FREED*R_WAIT_2023</f>
        <v>151980.48282209205</v>
      </c>
      <c r="M474">
        <f>IF($A474&lt;=$B$45,1,0)</f>
        <v>0</v>
      </c>
      <c r="AB474">
        <f>IF($AB$31&lt;=$AB$32,IF($A474&lt;=$AB$7,1,2),IF($A474&lt;=RUNG_BEDS_2,2,1))</f>
        <v>1</v>
      </c>
      <c r="AC474" s="5">
        <f>MIN(1,MAX(0,$AB$26-($A474-1)))</f>
        <v>0</v>
      </c>
      <c r="AD474" s="5">
        <f>$AB$25*(AC474+(1-AC474)*$AB$16)</f>
        <v>0.0</v>
      </c>
      <c r="AE474" s="13">
        <f>AD474*($AB$6+ACUTE_MARGIN)</f>
        <v>0.0</v>
      </c>
      <c r="AF474" s="13">
        <f>IF(AB474=1,$AB$31,$AB$32)</f>
        <v>152394.16214437486</v>
      </c>
      <c r="AG474" s="13">
        <f>AE474-AF474</f>
        <v>-152394.16214437486</v>
      </c>
      <c r="AH474" s="13">
        <f>AH473+AG474</f>
        <v>-38768361.11572804</v>
      </c>
      <c r="AI474">
        <f>IF(AH474=MAX($AH$83:$AH$483),$A474,0)</f>
        <v>0</v>
      </c>
      <c r="AJ474">
        <f>IF(AE474&lt;AF474,$A474,B_MAX+1)</f>
        <v>391</v>
      </c>
      <c r="AK474" s="13">
        <f>IF(AB474=1,$AB$35,$AB$36)</f>
        <v>0</v>
      </c>
      <c r="AL474" s="13">
        <f>OCC_DAYS*$AB$41*R_NF_2023-AD474*MCD_SHARE_FREED*R_WAIT_2023</f>
        <v>151980.48282209205</v>
      </c>
      <c r="AM474">
        <f>IF($A474&lt;=$AB$45,1,0)</f>
        <v>0</v>
      </c>
      <c r="BB474">
        <f>IF($BB$31&lt;=$BB$32,IF($A474&lt;=$BB$7,1,2),IF($A474&lt;=RUNG_BEDS_2,2,1))</f>
        <v>1</v>
      </c>
      <c r="BC474" s="5">
        <f>MIN(1,MAX(0,$BB$26-($A474-1)))</f>
        <v>0</v>
      </c>
      <c r="BD474" s="5">
        <f>$BB$25*(BC474+(1-BC474)*$BB$16)</f>
        <v>0.0</v>
      </c>
      <c r="BE474" s="13">
        <f>BD474*($BB$6+ACUTE_MARGIN)</f>
        <v>0.0</v>
      </c>
      <c r="BF474" s="13">
        <f>IF(BB474=1,$BB$31,$BB$32)</f>
        <v>152394.16214437486</v>
      </c>
      <c r="BG474" s="13">
        <f>BE474-BF474</f>
        <v>-152394.16214437486</v>
      </c>
      <c r="BH474" s="13">
        <f>BH473+BG474</f>
        <v>-3945932.4246284873</v>
      </c>
      <c r="BI474">
        <f>IF(BH474=MAX($BH$83:$BH$483),$A474,0)</f>
        <v>0</v>
      </c>
      <c r="BJ474">
        <f>IF(BE474&lt;BF474,$A474,B_MAX+1)</f>
        <v>391</v>
      </c>
      <c r="BK474" s="13">
        <f>IF(BB474=1,$BB$35,$BB$36)</f>
        <v>0</v>
      </c>
      <c r="BL474" s="13">
        <f>OCC_DAYS*$BB$41*R_NF_2023-BD474*MCD_SHARE_FREED*R_WAIT_2023</f>
        <v>151980.48282209205</v>
      </c>
      <c r="BM474">
        <f>IF($A474&lt;=$BB$45,1,0)</f>
        <v>0</v>
      </c>
      <c r="CB474">
        <f>IF($CB$31&lt;=$CB$32,IF($A474&lt;=$CB$7,1,2),IF($A474&lt;=RUNG_BEDS_2,2,1))</f>
        <v>2</v>
      </c>
      <c r="CC474" s="5">
        <f>MIN(1,MAX(0,$CB$26-($A474-1)))</f>
        <v>0</v>
      </c>
      <c r="CD474" s="5">
        <f>$CB$25*(CC474+(1-CC474)*$CB$16)</f>
        <v>0.0</v>
      </c>
      <c r="CE474" s="13">
        <f>CD474*($CB$6+ACUTE_MARGIN)</f>
        <v>0.0</v>
      </c>
      <c r="CF474" s="13">
        <f>IF(CB474=1,$CB$31,$CB$32)</f>
        <v>160718.36940738867</v>
      </c>
      <c r="CG474" s="13">
        <f>CE474-CF474</f>
        <v>-160718.36940738867</v>
      </c>
      <c r="CH474" s="13">
        <f>CH473+CG474</f>
        <v>-24611911.810016807</v>
      </c>
      <c r="CI474">
        <f>IF(CH474=MAX($CH$83:$CH$483),$A474,0)</f>
        <v>0</v>
      </c>
      <c r="CJ474">
        <f>IF(CE474&lt;CF474,$A474,B_MAX+1)</f>
        <v>391</v>
      </c>
      <c r="CK474" s="13">
        <f>IF(CB474=1,$CB$35,$CB$36)</f>
        <v>1560.1194073886782</v>
      </c>
      <c r="CL474" s="13">
        <f>OCC_DAYS*$CB$41*R_NF_2023-CD474*MCD_SHARE_FREED*R_WAIT_2023</f>
        <v>151980.48282209205</v>
      </c>
      <c r="CM474">
        <f>IF($A474&lt;=$CB$45,1,0)</f>
        <v>0</v>
      </c>
      <c r="DB474">
        <f>IF($DB$31&lt;=$DB$32,IF($A474&lt;=$DB$7,1,2),IF($A474&lt;=RUNG_BEDS_2,2,1))</f>
        <v>1</v>
      </c>
      <c r="DC474" s="5">
        <f>MIN(1,MAX(0,$DB$26-($A474-1)))</f>
        <v>0</v>
      </c>
      <c r="DD474" s="5">
        <f>$DB$25*(DC474+(1-DC474)*$DB$16)</f>
        <v>0.0</v>
      </c>
      <c r="DE474" s="13">
        <f>DD474*($DB$6+ACUTE_MARGIN)</f>
        <v>0.0</v>
      </c>
      <c r="DF474" s="13">
        <f>IF(DB474=1,$DB$31,$DB$32)</f>
        <v>152394.16214437486</v>
      </c>
      <c r="DG474" s="13">
        <f>DE474-DF474</f>
        <v>-152394.16214437486</v>
      </c>
      <c r="DH474" s="13">
        <f>DH473+DG474</f>
        <v>-21357146.770178176</v>
      </c>
      <c r="DI474">
        <f>IF(DH474=MAX($DH$83:$DH$483),$A474,0)</f>
        <v>0</v>
      </c>
      <c r="DJ474">
        <f>IF(DE474&lt;DF474,$A474,B_MAX+1)</f>
        <v>391</v>
      </c>
      <c r="DK474" s="13">
        <f>IF(DB474=1,$DB$35,$DB$36)</f>
        <v>0</v>
      </c>
      <c r="DL474" s="13">
        <f>OCC_DAYS*$DB$41*R_NF_2023-DD474*MCD_SHARE_FREED*R_WAIT_2023</f>
        <v>151980.48282209205</v>
      </c>
      <c r="DM474">
        <f>IF($A474&lt;=$DB$45,1,0)</f>
        <v>0</v>
      </c>
      <c r="EB474">
        <f>IF($EB$31&lt;=$EB$32,IF($A474&lt;=$EB$7,1,2),IF($A474&lt;=RUNG_BEDS_2,2,1))</f>
        <v>1</v>
      </c>
      <c r="EC474" s="5">
        <f>MIN(1,MAX(0,$EB$26-($A474-1)))</f>
        <v>0</v>
      </c>
      <c r="ED474" s="5">
        <f>$EB$25*(EC474+(1-EC474)*$EB$16)</f>
        <v>0.0</v>
      </c>
      <c r="EE474" s="13">
        <f>ED474*($EB$6+ACUTE_MARGIN)</f>
        <v>0.0</v>
      </c>
      <c r="EF474" s="13">
        <f>IF(EB474=1,$EB$31,$EB$32)</f>
        <v>152394.16214437486</v>
      </c>
      <c r="EG474" s="13">
        <f>EE474-EF474</f>
        <v>-152394.16214437486</v>
      </c>
      <c r="EH474" s="13">
        <f>EH473+EG474</f>
        <v>-21357146.770178176</v>
      </c>
      <c r="EI474">
        <f>IF(EH474=MAX($EH$83:$EH$483),$A474,0)</f>
        <v>0</v>
      </c>
      <c r="EJ474">
        <f>IF(EE474&lt;EF474,$A474,B_MAX+1)</f>
        <v>391</v>
      </c>
      <c r="EK474" s="13">
        <f>IF(EB474=1,$EB$35,$EB$36)</f>
        <v>0</v>
      </c>
      <c r="EL474" s="13">
        <f>OCC_DAYS*$EB$41*R_NF_2023-ED474*MCD_SHARE_FREED*R_WAIT_2023</f>
        <v>50660.16094069735</v>
      </c>
      <c r="EM474">
        <f>IF($A474&lt;=$EB$45,1,0)</f>
        <v>0</v>
      </c>
      <c r="FB474">
        <f>IF($FB$31&lt;=$FB$32,IF($A474&lt;=$FB$7,1,2),IF($A474&lt;=RUNG_BEDS_2,2,1))</f>
        <v>1</v>
      </c>
      <c r="FC474" s="5">
        <f>MIN(1,MAX(0,$FB$26-($A474-1)))</f>
        <v>0</v>
      </c>
      <c r="FD474" s="5">
        <f>$FB$25*(FC474+(1-FC474)*$FB$16)</f>
        <v>0.0</v>
      </c>
      <c r="FE474" s="13">
        <f>FD474*($FB$6+ACUTE_MARGIN)</f>
        <v>0.0</v>
      </c>
      <c r="FF474" s="13">
        <f>IF(FB474=1,$FB$31,$FB$32)</f>
        <v>156636.04979437485</v>
      </c>
      <c r="FG474" s="13">
        <f>FE474-FF474</f>
        <v>-156636.04979437485</v>
      </c>
      <c r="FH474" s="13">
        <f>FH473+FG474</f>
        <v>-23015724.84132835</v>
      </c>
      <c r="FI474">
        <f>IF(FH474=MAX($FH$83:$FH$483),$A474,0)</f>
        <v>0</v>
      </c>
      <c r="FJ474">
        <f>IF(FE474&lt;FF474,$A474,B_MAX+1)</f>
        <v>391</v>
      </c>
      <c r="FK474" s="13">
        <f>IF(FB474=1,$FB$35,$FB$36)</f>
        <v>0</v>
      </c>
      <c r="FL474" s="13">
        <f>OCC_DAYS*$FB$41*R_NF_2023-FD474*MCD_SHARE_FREED*R_WAIT_2023</f>
        <v>151980.48282209205</v>
      </c>
      <c r="FM474">
        <f>IF($A474&lt;=$FB$45,1,0)</f>
        <v>0</v>
      </c>
      <c r="GB474">
        <f>IF($GB$31&lt;=$GB$32,IF($A474&lt;=$GB$7,1,2),IF($A474&lt;=RUNG_BEDS_2,2,1))</f>
        <v>1</v>
      </c>
      <c r="GC474" s="5">
        <f>MIN(1,MAX(0,$GB$26-($A474-1)))</f>
        <v>0</v>
      </c>
      <c r="GD474" s="5">
        <f>$GB$25*(GC474+(1-GC474)*$GB$16)</f>
        <v>0.0</v>
      </c>
      <c r="GE474" s="13">
        <f>GD474*($GB$6+ACUTE_MARGIN)</f>
        <v>0.0</v>
      </c>
      <c r="GF474" s="13">
        <f>IF(GB474=1,$GB$31,$GB$32)</f>
        <v>152394.16214437486</v>
      </c>
      <c r="GG474" s="13">
        <f>GE474-GF474</f>
        <v>-152394.16214437486</v>
      </c>
      <c r="GH474" s="13">
        <f>GH473+GG474</f>
        <v>-21357146.770178176</v>
      </c>
      <c r="GI474">
        <f>IF(GH474=MAX($GH$83:$GH$483),$A474,0)</f>
        <v>0</v>
      </c>
      <c r="GJ474">
        <f>IF(GE474&lt;GF474,$A474,B_MAX+1)</f>
        <v>391</v>
      </c>
      <c r="GK474" s="13">
        <f>IF(GB474=1,$GB$35,$GB$36)</f>
        <v>0</v>
      </c>
      <c r="GL474" s="13">
        <f>OCC_DAYS*$GB$41*R_NF_2023-GD474*MCD_SHARE_FREED*R_WAIT_2023</f>
        <v>151980.48282209205</v>
      </c>
      <c r="GM474">
        <f>IF($A474&lt;=$GB$45,1,0)</f>
        <v>0</v>
      </c>
      <c r="HB474">
        <f>IF($HB$31&lt;=$HB$32,IF($A474&lt;=$HB$7,1,2),IF($A474&lt;=RUNG_BEDS_2,2,1))</f>
        <v>1</v>
      </c>
      <c r="HC474" s="5">
        <f>MIN(1,MAX(0,$HB$26-($A474-1)))</f>
        <v>0</v>
      </c>
      <c r="HD474" s="5">
        <f>$HB$25*(HC474+(1-HC474)*$HB$16)</f>
        <v>0.0</v>
      </c>
      <c r="HE474" s="13">
        <f>HD474*($HB$6+ACUTE_MARGIN)</f>
        <v>0.0</v>
      </c>
      <c r="HF474" s="13">
        <f>IF(HB474=1,$HB$31,$HB$32)</f>
        <v>152456.2970814058</v>
      </c>
      <c r="HG474" s="13">
        <f>HE474-HF474</f>
        <v>-152456.2970814058</v>
      </c>
      <c r="HH474" s="13">
        <f>HH473+HG474</f>
        <v>-21381441.530557398</v>
      </c>
      <c r="HI474">
        <f>IF(HH474=MAX($HH$83:$HH$483),$A474,0)</f>
        <v>0</v>
      </c>
      <c r="HJ474">
        <f>IF(HE474&lt;HF474,$A474,B_MAX+1)</f>
        <v>391</v>
      </c>
      <c r="HK474" s="13">
        <f>IF(HB474=1,$HB$35,$HB$36)</f>
        <v>0</v>
      </c>
      <c r="HL474" s="13">
        <f>OCC_DAYS*$HB$41*R_NF_2023-HD474*MCD_SHARE_FREED*R_WAIT_2023</f>
        <v>151980.48282209205</v>
      </c>
      <c r="HM474">
        <f>IF($A474&lt;=$HB$45,1,0)</f>
        <v>0</v>
      </c>
      <c r="IB474">
        <f>IF($IB$31&lt;=$IB$32,IF($A474&lt;=$IB$7,1,2),IF($A474&lt;=RUNG_BEDS_2,2,1))</f>
        <v>1</v>
      </c>
      <c r="IC474" s="5">
        <f>MIN(1,MAX(0,$IB$26-($A474-1)))</f>
        <v>0</v>
      </c>
      <c r="ID474" s="5">
        <f>$IB$25*(IC474+(1-IC474)*$IB$16)</f>
        <v>0.0</v>
      </c>
      <c r="IE474" s="13">
        <f>ID474*($IB$6+ACUTE_MARGIN)</f>
        <v>0.0</v>
      </c>
      <c r="IF474" s="13">
        <f>IF(IB474=1,$IB$31,$IB$32)</f>
        <v>152734.9994534971</v>
      </c>
      <c r="IG474" s="13">
        <f>IE474-IF474</f>
        <v>-152734.9994534971</v>
      </c>
      <c r="IH474" s="13">
        <f>IH473+IG474</f>
        <v>-21490414.158045046</v>
      </c>
      <c r="II474">
        <f>IF(IH474=MAX($IH$83:$IH$483),$A474,0)</f>
        <v>0</v>
      </c>
      <c r="IJ474">
        <f>IF(IE474&lt;IF474,$A474,B_MAX+1)</f>
        <v>391</v>
      </c>
      <c r="IK474" s="13">
        <f>IF(IB474=1,$IB$35,$IB$36)</f>
        <v>0</v>
      </c>
      <c r="IL474" s="13">
        <f>OCC_DAYS*$IB$41*R_NF_2023-ID474*MCD_SHARE_FREED*R_WAIT_2023</f>
        <v>151980.48282209205</v>
      </c>
      <c r="IM474">
        <f>IF($A474&lt;=$IB$45,1,0)</f>
        <v>0</v>
      </c>
      <c r="JB474">
        <f>IF($JB$31&lt;=$JB$32,IF($A474&lt;=$JB$7,1,2),IF($A474&lt;=RUNG_BEDS_2,2,1))</f>
        <v>1</v>
      </c>
      <c r="JC474" s="5">
        <f>MIN(1,MAX(0,$JB$26-($A474-1)))</f>
        <v>0</v>
      </c>
      <c r="JD474" s="5">
        <f>$JB$25*(JC474+(1-JC474)*$JB$16)</f>
        <v>0.0</v>
      </c>
      <c r="JE474" s="13">
        <f>JD474*($JB$6+ACUTE_MARGIN)</f>
        <v>0.0</v>
      </c>
      <c r="JF474" s="13">
        <f>IF(JB474=1,$JB$31,$JB$32)</f>
        <v>152394.16214437486</v>
      </c>
      <c r="JG474" s="13">
        <f>JE474-JF474</f>
        <v>-152394.16214437486</v>
      </c>
      <c r="JH474" s="13">
        <f>JH473+JG474</f>
        <v>-21357146.770178176</v>
      </c>
      <c r="JI474">
        <f>IF(JH474=MAX($JH$83:$JH$483),$A474,0)</f>
        <v>0</v>
      </c>
      <c r="JJ474">
        <f>IF(JE474&lt;JF474,$A474,B_MAX+1)</f>
        <v>391</v>
      </c>
      <c r="JK474" s="13">
        <f>IF(JB474=1,$JB$35,$JB$36)</f>
        <v>0</v>
      </c>
      <c r="JL474" s="13">
        <f>OCC_DAYS*$JB$41*R_NF_2023-JD474*MCD_SHARE_FREED*R_WAIT_2023</f>
        <v>151980.48282209205</v>
      </c>
      <c r="JM474">
        <f>IF($A474&lt;=$JB$45,1,0)</f>
        <v>0</v>
      </c>
      <c r="KB474">
        <f>IF($KB$31&lt;=$KB$32,IF($A474&lt;=$KB$7,1,2),IF($A474&lt;=RUNG_BEDS_2,2,1))</f>
        <v>1</v>
      </c>
      <c r="KC474" s="5">
        <f>MIN(1,MAX(0,$KB$26-($A474-1)))</f>
        <v>0</v>
      </c>
      <c r="KD474" s="5">
        <f>$KB$25*(KC474+(1-KC474)*$KB$16)</f>
        <v>0.0</v>
      </c>
      <c r="KE474" s="13">
        <f>KD474*($KB$6+ACUTE_MARGIN)</f>
        <v>0.0</v>
      </c>
      <c r="KF474" s="13">
        <f>IF(KB474=1,$KB$31,$KB$32)</f>
        <v>152394.16214437486</v>
      </c>
      <c r="KG474" s="13">
        <f>KE474-KF474</f>
        <v>-152394.16214437486</v>
      </c>
      <c r="KH474" s="13">
        <f>KH473+KG474</f>
        <v>-21357146.770178284</v>
      </c>
      <c r="KI474">
        <f>IF(KH474=MAX($KH$83:$KH$483),$A474,0)</f>
        <v>0</v>
      </c>
      <c r="KJ474">
        <f>IF(KE474&lt;KF474,$A474,B_MAX+1)</f>
        <v>391</v>
      </c>
      <c r="KK474" s="13">
        <f>IF(KB474=1,$KB$35,$KB$36)</f>
        <v>0</v>
      </c>
      <c r="KL474" s="13">
        <f>OCC_DAYS*$KB$41*R_NF_2023-KD474*MCD_SHARE_FREED*R_WAIT_2023</f>
        <v>151980.48282209205</v>
      </c>
      <c r="KM474">
        <f>IF($A474&lt;=$KB$45,1,0)</f>
        <v>0</v>
      </c>
      <c r="LB474">
        <f>IF($LB$31&lt;=$LB$32,IF($A474&lt;=$LB$7,1,2),IF($A474&lt;=RUNG_BEDS_2,2,1))</f>
        <v>1</v>
      </c>
      <c r="LC474" s="5">
        <f>MIN(1,MAX(0,$LB$26-($A474-1)))</f>
        <v>1</v>
      </c>
      <c r="LD474" s="5">
        <f>$LB$25*(LC474+(1-LC474)*$LB$16)</f>
        <v>84.01774238227146</v>
      </c>
      <c r="LE474" s="13">
        <f>LD474*($LB$6+ACUTE_MARGIN)</f>
        <v>84857.91980609419</v>
      </c>
      <c r="LF474" s="13">
        <f>IF(LB474=1,$LB$31,$LB$32)</f>
        <v>152394.16214437486</v>
      </c>
      <c r="LG474" s="13">
        <f>LE474-LF474</f>
        <v>-67536.24233828067</v>
      </c>
      <c r="LH474" s="13">
        <f>LH473+LG474</f>
        <v>-26406670.75426789</v>
      </c>
      <c r="LI474">
        <f>IF(LH474=MAX($LH$83:$LH$483),$A474,0)</f>
        <v>0</v>
      </c>
      <c r="LJ474">
        <f>IF(LE474&lt;LF474,$A474,B_MAX+1)</f>
        <v>391</v>
      </c>
      <c r="LK474" s="13">
        <f>IF(LB474=1,$LB$35,$LB$36)</f>
        <v>0</v>
      </c>
      <c r="LL474" s="13">
        <f>OCC_DAYS*$LB$41*R_NF_2023-LD474*MCD_SHARE_FREED*R_WAIT_2023</f>
        <v>113776.04162887059</v>
      </c>
      <c r="LM474">
        <f>IF($A474&lt;=$LB$45,1,0)</f>
        <v>0</v>
      </c>
      <c r="MB474">
        <f>IF($MB$31&lt;=$MB$32,IF($A474&lt;=$MB$7,1,2),IF($A474&lt;=RUNG_BEDS_2,2,1))</f>
        <v>1</v>
      </c>
      <c r="MC474" s="5">
        <f>MIN(1,MAX(0,$MB$26-($A474-1)))</f>
        <v>0</v>
      </c>
      <c r="MD474" s="5">
        <f>$MB$25*(MC474+(1-MC474)*$MB$16)</f>
        <v>0.0</v>
      </c>
      <c r="ME474" s="13">
        <f>MD474*($MB$6+ACUTE_MARGIN)</f>
        <v>0.0</v>
      </c>
      <c r="MF474" s="13">
        <f>IF(MB474=1,$MB$31,$MB$32)</f>
        <v>152394.16214437486</v>
      </c>
      <c r="MG474" s="13">
        <f>ME474-MF474</f>
        <v>-152394.16214437486</v>
      </c>
      <c r="MH474" s="13">
        <f>MH473+MG474</f>
        <v>-27244422.831976477</v>
      </c>
      <c r="MI474">
        <f>IF(MH474=MAX($MH$83:$MH$483),$A474,0)</f>
        <v>0</v>
      </c>
      <c r="MJ474">
        <f>IF(ME474&lt;MF474,$A474,B_MAX+1)</f>
        <v>391</v>
      </c>
      <c r="MK474" s="13">
        <f>IF(MB474=1,$MB$35,$MB$36)</f>
        <v>0</v>
      </c>
      <c r="ML474" s="13">
        <f>OCC_DAYS*$MB$41*R_NF_2023-MD474*MCD_SHARE_FREED*R_WAIT_2023</f>
        <v>151980.48282209205</v>
      </c>
      <c r="MM474">
        <f>IF($A474&lt;=$MB$45,1,0)</f>
        <v>0</v>
      </c>
      <c r="NB474">
        <f>IF($NB$31&lt;=$NB$32,IF($A474&lt;=$NB$7,1,2),IF($A474&lt;=RUNG_BEDS_2,2,1))</f>
        <v>1</v>
      </c>
      <c r="NC474" s="5">
        <f>MIN(1,MAX(0,$NB$26-($A474-1)))</f>
        <v>0</v>
      </c>
      <c r="ND474" s="5">
        <f>$NB$25*(NC474+(1-NC474)*$NB$16)</f>
        <v>63.013306786703595</v>
      </c>
      <c r="NE474" s="13">
        <f>ND474*($NB$6+ACUTE_MARGIN)</f>
        <v>63643.43985457063</v>
      </c>
      <c r="NF474" s="13">
        <f>IF(NB474=1,$NB$31,$NB$32)</f>
        <v>152394.16214437486</v>
      </c>
      <c r="NG474" s="13">
        <f>NE474-NF474</f>
        <v>-88750.72228980422</v>
      </c>
      <c r="NH474" s="13">
        <f>NH473+NG474</f>
        <v>-6029804.444109234</v>
      </c>
      <c r="NI474">
        <f>IF(NH474=MAX($NH$83:$NH$483),$A474,0)</f>
        <v>0</v>
      </c>
      <c r="NJ474">
        <f>IF(NE474&lt;NF474,$A474,B_MAX+1)</f>
        <v>391</v>
      </c>
      <c r="NK474" s="13">
        <f>IF(NB474=1,$NB$35,$NB$36)</f>
        <v>0</v>
      </c>
      <c r="NL474" s="13">
        <f>OCC_DAYS*$NB$41*R_NF_2023-ND474*MCD_SHARE_FREED*R_WAIT_2023</f>
        <v>123327.15192717595</v>
      </c>
      <c r="NM474">
        <f>IF($A474&lt;=$NB$45,1,0)</f>
        <v>0</v>
      </c>
      <c r="OB474">
        <f>IF($OB$31&lt;=$OB$32,IF($A474&lt;=$OB$7,1,2),IF($A474&lt;=RUNG_BEDS_2,2,1))</f>
        <v>1</v>
      </c>
      <c r="OC474" s="5">
        <f>MIN(1,MAX(0,$OB$26-($A474-1)))</f>
        <v>0</v>
      </c>
      <c r="OD474" s="5">
        <f>$OB$25*(OC474+(1-OC474)*$OB$16)</f>
        <v>126.02661357340719</v>
      </c>
      <c r="OE474" s="13">
        <f>OD474*($OB$6+ACUTE_MARGIN)</f>
        <v>127286.87970914126</v>
      </c>
      <c r="OF474" s="13">
        <f>IF(OB474=1,$OB$31,$OB$32)</f>
        <v>152394.16214437486</v>
      </c>
      <c r="OG474" s="13">
        <f>OE474-OF474</f>
        <v>-25107.282435233603</v>
      </c>
      <c r="OH474" s="13">
        <f>OH473+OG474</f>
        <v>9297537.881960044</v>
      </c>
      <c r="OI474">
        <f>IF(OH474=MAX($OH$83:$OH$483),$A474,0)</f>
        <v>0</v>
      </c>
      <c r="OJ474">
        <f>IF(OE474&lt;OF474,$A474,B_MAX+1)</f>
        <v>391</v>
      </c>
      <c r="OK474" s="13">
        <f>IF(OB474=1,$OB$35,$OB$36)</f>
        <v>0</v>
      </c>
      <c r="OL474" s="13">
        <f>OCC_DAYS*$OB$41*R_NF_2023-OD474*MCD_SHARE_FREED*R_WAIT_2023</f>
        <v>94673.82103225985</v>
      </c>
      <c r="OM474">
        <f>IF($A474&lt;=$OB$45,1,0)</f>
        <v>0</v>
      </c>
    </row>
    <row r="475">
      <c r="A475" t="n">
        <v>392</v>
      </c>
      <c r="B475">
        <f>IF($B$31&lt;=$B$32,IF($A475&lt;=$B$7,1,2),IF($A475&lt;=RUNG_BEDS_2,2,1))</f>
        <v>1</v>
      </c>
      <c r="C475" s="5">
        <f>MIN(1,MAX(0,$B$26-($A475-1)))</f>
        <v>0</v>
      </c>
      <c r="D475" s="5">
        <f>$B$25*(C475+(1-C475)*$B$16)</f>
        <v>0.0</v>
      </c>
      <c r="E475" s="13">
        <f>D475*($B$6+ACUTE_MARGIN)</f>
        <v>0.0</v>
      </c>
      <c r="F475" s="13">
        <f>IF(B475=1,$B$31,$B$32)</f>
        <v>152394.16214437486</v>
      </c>
      <c r="G475" s="13">
        <f>E475-F475</f>
        <v>-152394.16214437486</v>
      </c>
      <c r="H475" s="13">
        <f>H474+G475</f>
        <v>-21509540.93232255</v>
      </c>
      <c r="I475">
        <f>IF(H475=MAX($H$83:$H$483),$A475,0)</f>
        <v>0</v>
      </c>
      <c r="J475">
        <f>IF(E475&lt;F475,$A475,B_MAX+1)</f>
        <v>392</v>
      </c>
      <c r="K475" s="13">
        <f>IF(B475=1,$B$35,$B$36)</f>
        <v>0</v>
      </c>
      <c r="L475" s="13">
        <f>OCC_DAYS*$B$41*R_NF_2023-D475*MCD_SHARE_FREED*R_WAIT_2023</f>
        <v>151980.48282209205</v>
      </c>
      <c r="M475">
        <f>IF($A475&lt;=$B$45,1,0)</f>
        <v>0</v>
      </c>
      <c r="AB475">
        <f>IF($AB$31&lt;=$AB$32,IF($A475&lt;=$AB$7,1,2),IF($A475&lt;=RUNG_BEDS_2,2,1))</f>
        <v>1</v>
      </c>
      <c r="AC475" s="5">
        <f>MIN(1,MAX(0,$AB$26-($A475-1)))</f>
        <v>0</v>
      </c>
      <c r="AD475" s="5">
        <f>$AB$25*(AC475+(1-AC475)*$AB$16)</f>
        <v>0.0</v>
      </c>
      <c r="AE475" s="13">
        <f>AD475*($AB$6+ACUTE_MARGIN)</f>
        <v>0.0</v>
      </c>
      <c r="AF475" s="13">
        <f>IF(AB475=1,$AB$31,$AB$32)</f>
        <v>152394.16214437486</v>
      </c>
      <c r="AG475" s="13">
        <f>AE475-AF475</f>
        <v>-152394.16214437486</v>
      </c>
      <c r="AH475" s="13">
        <f>AH474+AG475</f>
        <v>-38920755.27787242</v>
      </c>
      <c r="AI475">
        <f>IF(AH475=MAX($AH$83:$AH$483),$A475,0)</f>
        <v>0</v>
      </c>
      <c r="AJ475">
        <f>IF(AE475&lt;AF475,$A475,B_MAX+1)</f>
        <v>392</v>
      </c>
      <c r="AK475" s="13">
        <f>IF(AB475=1,$AB$35,$AB$36)</f>
        <v>0</v>
      </c>
      <c r="AL475" s="13">
        <f>OCC_DAYS*$AB$41*R_NF_2023-AD475*MCD_SHARE_FREED*R_WAIT_2023</f>
        <v>151980.48282209205</v>
      </c>
      <c r="AM475">
        <f>IF($A475&lt;=$AB$45,1,0)</f>
        <v>0</v>
      </c>
      <c r="BB475">
        <f>IF($BB$31&lt;=$BB$32,IF($A475&lt;=$BB$7,1,2),IF($A475&lt;=RUNG_BEDS_2,2,1))</f>
        <v>1</v>
      </c>
      <c r="BC475" s="5">
        <f>MIN(1,MAX(0,$BB$26-($A475-1)))</f>
        <v>0</v>
      </c>
      <c r="BD475" s="5">
        <f>$BB$25*(BC475+(1-BC475)*$BB$16)</f>
        <v>0.0</v>
      </c>
      <c r="BE475" s="13">
        <f>BD475*($BB$6+ACUTE_MARGIN)</f>
        <v>0.0</v>
      </c>
      <c r="BF475" s="13">
        <f>IF(BB475=1,$BB$31,$BB$32)</f>
        <v>152394.16214437486</v>
      </c>
      <c r="BG475" s="13">
        <f>BE475-BF475</f>
        <v>-152394.16214437486</v>
      </c>
      <c r="BH475" s="13">
        <f>BH474+BG475</f>
        <v>-4098326.5867728624</v>
      </c>
      <c r="BI475">
        <f>IF(BH475=MAX($BH$83:$BH$483),$A475,0)</f>
        <v>0</v>
      </c>
      <c r="BJ475">
        <f>IF(BE475&lt;BF475,$A475,B_MAX+1)</f>
        <v>392</v>
      </c>
      <c r="BK475" s="13">
        <f>IF(BB475=1,$BB$35,$BB$36)</f>
        <v>0</v>
      </c>
      <c r="BL475" s="13">
        <f>OCC_DAYS*$BB$41*R_NF_2023-BD475*MCD_SHARE_FREED*R_WAIT_2023</f>
        <v>151980.48282209205</v>
      </c>
      <c r="BM475">
        <f>IF($A475&lt;=$BB$45,1,0)</f>
        <v>0</v>
      </c>
      <c r="CB475">
        <f>IF($CB$31&lt;=$CB$32,IF($A475&lt;=$CB$7,1,2),IF($A475&lt;=RUNG_BEDS_2,2,1))</f>
        <v>2</v>
      </c>
      <c r="CC475" s="5">
        <f>MIN(1,MAX(0,$CB$26-($A475-1)))</f>
        <v>0</v>
      </c>
      <c r="CD475" s="5">
        <f>$CB$25*(CC475+(1-CC475)*$CB$16)</f>
        <v>0.0</v>
      </c>
      <c r="CE475" s="13">
        <f>CD475*($CB$6+ACUTE_MARGIN)</f>
        <v>0.0</v>
      </c>
      <c r="CF475" s="13">
        <f>IF(CB475=1,$CB$31,$CB$32)</f>
        <v>160718.36940738867</v>
      </c>
      <c r="CG475" s="13">
        <f>CE475-CF475</f>
        <v>-160718.36940738867</v>
      </c>
      <c r="CH475" s="13">
        <f>CH474+CG475</f>
        <v>-24772630.179424196</v>
      </c>
      <c r="CI475">
        <f>IF(CH475=MAX($CH$83:$CH$483),$A475,0)</f>
        <v>0</v>
      </c>
      <c r="CJ475">
        <f>IF(CE475&lt;CF475,$A475,B_MAX+1)</f>
        <v>392</v>
      </c>
      <c r="CK475" s="13">
        <f>IF(CB475=1,$CB$35,$CB$36)</f>
        <v>1560.1194073886782</v>
      </c>
      <c r="CL475" s="13">
        <f>OCC_DAYS*$CB$41*R_NF_2023-CD475*MCD_SHARE_FREED*R_WAIT_2023</f>
        <v>151980.48282209205</v>
      </c>
      <c r="CM475">
        <f>IF($A475&lt;=$CB$45,1,0)</f>
        <v>0</v>
      </c>
      <c r="DB475">
        <f>IF($DB$31&lt;=$DB$32,IF($A475&lt;=$DB$7,1,2),IF($A475&lt;=RUNG_BEDS_2,2,1))</f>
        <v>1</v>
      </c>
      <c r="DC475" s="5">
        <f>MIN(1,MAX(0,$DB$26-($A475-1)))</f>
        <v>0</v>
      </c>
      <c r="DD475" s="5">
        <f>$DB$25*(DC475+(1-DC475)*$DB$16)</f>
        <v>0.0</v>
      </c>
      <c r="DE475" s="13">
        <f>DD475*($DB$6+ACUTE_MARGIN)</f>
        <v>0.0</v>
      </c>
      <c r="DF475" s="13">
        <f>IF(DB475=1,$DB$31,$DB$32)</f>
        <v>152394.16214437486</v>
      </c>
      <c r="DG475" s="13">
        <f>DE475-DF475</f>
        <v>-152394.16214437486</v>
      </c>
      <c r="DH475" s="13">
        <f>DH474+DG475</f>
        <v>-21509540.93232255</v>
      </c>
      <c r="DI475">
        <f>IF(DH475=MAX($DH$83:$DH$483),$A475,0)</f>
        <v>0</v>
      </c>
      <c r="DJ475">
        <f>IF(DE475&lt;DF475,$A475,B_MAX+1)</f>
        <v>392</v>
      </c>
      <c r="DK475" s="13">
        <f>IF(DB475=1,$DB$35,$DB$36)</f>
        <v>0</v>
      </c>
      <c r="DL475" s="13">
        <f>OCC_DAYS*$DB$41*R_NF_2023-DD475*MCD_SHARE_FREED*R_WAIT_2023</f>
        <v>151980.48282209205</v>
      </c>
      <c r="DM475">
        <f>IF($A475&lt;=$DB$45,1,0)</f>
        <v>0</v>
      </c>
      <c r="EB475">
        <f>IF($EB$31&lt;=$EB$32,IF($A475&lt;=$EB$7,1,2),IF($A475&lt;=RUNG_BEDS_2,2,1))</f>
        <v>1</v>
      </c>
      <c r="EC475" s="5">
        <f>MIN(1,MAX(0,$EB$26-($A475-1)))</f>
        <v>0</v>
      </c>
      <c r="ED475" s="5">
        <f>$EB$25*(EC475+(1-EC475)*$EB$16)</f>
        <v>0.0</v>
      </c>
      <c r="EE475" s="13">
        <f>ED475*($EB$6+ACUTE_MARGIN)</f>
        <v>0.0</v>
      </c>
      <c r="EF475" s="13">
        <f>IF(EB475=1,$EB$31,$EB$32)</f>
        <v>152394.16214437486</v>
      </c>
      <c r="EG475" s="13">
        <f>EE475-EF475</f>
        <v>-152394.16214437486</v>
      </c>
      <c r="EH475" s="13">
        <f>EH474+EG475</f>
        <v>-21509540.93232255</v>
      </c>
      <c r="EI475">
        <f>IF(EH475=MAX($EH$83:$EH$483),$A475,0)</f>
        <v>0</v>
      </c>
      <c r="EJ475">
        <f>IF(EE475&lt;EF475,$A475,B_MAX+1)</f>
        <v>392</v>
      </c>
      <c r="EK475" s="13">
        <f>IF(EB475=1,$EB$35,$EB$36)</f>
        <v>0</v>
      </c>
      <c r="EL475" s="13">
        <f>OCC_DAYS*$EB$41*R_NF_2023-ED475*MCD_SHARE_FREED*R_WAIT_2023</f>
        <v>50660.16094069735</v>
      </c>
      <c r="EM475">
        <f>IF($A475&lt;=$EB$45,1,0)</f>
        <v>0</v>
      </c>
      <c r="FB475">
        <f>IF($FB$31&lt;=$FB$32,IF($A475&lt;=$FB$7,1,2),IF($A475&lt;=RUNG_BEDS_2,2,1))</f>
        <v>1</v>
      </c>
      <c r="FC475" s="5">
        <f>MIN(1,MAX(0,$FB$26-($A475-1)))</f>
        <v>0</v>
      </c>
      <c r="FD475" s="5">
        <f>$FB$25*(FC475+(1-FC475)*$FB$16)</f>
        <v>0.0</v>
      </c>
      <c r="FE475" s="13">
        <f>FD475*($FB$6+ACUTE_MARGIN)</f>
        <v>0.0</v>
      </c>
      <c r="FF475" s="13">
        <f>IF(FB475=1,$FB$31,$FB$32)</f>
        <v>156636.04979437485</v>
      </c>
      <c r="FG475" s="13">
        <f>FE475-FF475</f>
        <v>-156636.04979437485</v>
      </c>
      <c r="FH475" s="13">
        <f>FH474+FG475</f>
        <v>-23172360.891122725</v>
      </c>
      <c r="FI475">
        <f>IF(FH475=MAX($FH$83:$FH$483),$A475,0)</f>
        <v>0</v>
      </c>
      <c r="FJ475">
        <f>IF(FE475&lt;FF475,$A475,B_MAX+1)</f>
        <v>392</v>
      </c>
      <c r="FK475" s="13">
        <f>IF(FB475=1,$FB$35,$FB$36)</f>
        <v>0</v>
      </c>
      <c r="FL475" s="13">
        <f>OCC_DAYS*$FB$41*R_NF_2023-FD475*MCD_SHARE_FREED*R_WAIT_2023</f>
        <v>151980.48282209205</v>
      </c>
      <c r="FM475">
        <f>IF($A475&lt;=$FB$45,1,0)</f>
        <v>0</v>
      </c>
      <c r="GB475">
        <f>IF($GB$31&lt;=$GB$32,IF($A475&lt;=$GB$7,1,2),IF($A475&lt;=RUNG_BEDS_2,2,1))</f>
        <v>1</v>
      </c>
      <c r="GC475" s="5">
        <f>MIN(1,MAX(0,$GB$26-($A475-1)))</f>
        <v>0</v>
      </c>
      <c r="GD475" s="5">
        <f>$GB$25*(GC475+(1-GC475)*$GB$16)</f>
        <v>0.0</v>
      </c>
      <c r="GE475" s="13">
        <f>GD475*($GB$6+ACUTE_MARGIN)</f>
        <v>0.0</v>
      </c>
      <c r="GF475" s="13">
        <f>IF(GB475=1,$GB$31,$GB$32)</f>
        <v>152394.16214437486</v>
      </c>
      <c r="GG475" s="13">
        <f>GE475-GF475</f>
        <v>-152394.16214437486</v>
      </c>
      <c r="GH475" s="13">
        <f>GH474+GG475</f>
        <v>-21509540.93232255</v>
      </c>
      <c r="GI475">
        <f>IF(GH475=MAX($GH$83:$GH$483),$A475,0)</f>
        <v>0</v>
      </c>
      <c r="GJ475">
        <f>IF(GE475&lt;GF475,$A475,B_MAX+1)</f>
        <v>392</v>
      </c>
      <c r="GK475" s="13">
        <f>IF(GB475=1,$GB$35,$GB$36)</f>
        <v>0</v>
      </c>
      <c r="GL475" s="13">
        <f>OCC_DAYS*$GB$41*R_NF_2023-GD475*MCD_SHARE_FREED*R_WAIT_2023</f>
        <v>151980.48282209205</v>
      </c>
      <c r="GM475">
        <f>IF($A475&lt;=$GB$45,1,0)</f>
        <v>0</v>
      </c>
      <c r="HB475">
        <f>IF($HB$31&lt;=$HB$32,IF($A475&lt;=$HB$7,1,2),IF($A475&lt;=RUNG_BEDS_2,2,1))</f>
        <v>1</v>
      </c>
      <c r="HC475" s="5">
        <f>MIN(1,MAX(0,$HB$26-($A475-1)))</f>
        <v>0</v>
      </c>
      <c r="HD475" s="5">
        <f>$HB$25*(HC475+(1-HC475)*$HB$16)</f>
        <v>0.0</v>
      </c>
      <c r="HE475" s="13">
        <f>HD475*($HB$6+ACUTE_MARGIN)</f>
        <v>0.0</v>
      </c>
      <c r="HF475" s="13">
        <f>IF(HB475=1,$HB$31,$HB$32)</f>
        <v>152456.2970814058</v>
      </c>
      <c r="HG475" s="13">
        <f>HE475-HF475</f>
        <v>-152456.2970814058</v>
      </c>
      <c r="HH475" s="13">
        <f>HH474+HG475</f>
        <v>-21533897.827638805</v>
      </c>
      <c r="HI475">
        <f>IF(HH475=MAX($HH$83:$HH$483),$A475,0)</f>
        <v>0</v>
      </c>
      <c r="HJ475">
        <f>IF(HE475&lt;HF475,$A475,B_MAX+1)</f>
        <v>392</v>
      </c>
      <c r="HK475" s="13">
        <f>IF(HB475=1,$HB$35,$HB$36)</f>
        <v>0</v>
      </c>
      <c r="HL475" s="13">
        <f>OCC_DAYS*$HB$41*R_NF_2023-HD475*MCD_SHARE_FREED*R_WAIT_2023</f>
        <v>151980.48282209205</v>
      </c>
      <c r="HM475">
        <f>IF($A475&lt;=$HB$45,1,0)</f>
        <v>0</v>
      </c>
      <c r="IB475">
        <f>IF($IB$31&lt;=$IB$32,IF($A475&lt;=$IB$7,1,2),IF($A475&lt;=RUNG_BEDS_2,2,1))</f>
        <v>1</v>
      </c>
      <c r="IC475" s="5">
        <f>MIN(1,MAX(0,$IB$26-($A475-1)))</f>
        <v>0</v>
      </c>
      <c r="ID475" s="5">
        <f>$IB$25*(IC475+(1-IC475)*$IB$16)</f>
        <v>0.0</v>
      </c>
      <c r="IE475" s="13">
        <f>ID475*($IB$6+ACUTE_MARGIN)</f>
        <v>0.0</v>
      </c>
      <c r="IF475" s="13">
        <f>IF(IB475=1,$IB$31,$IB$32)</f>
        <v>152734.9994534971</v>
      </c>
      <c r="IG475" s="13">
        <f>IE475-IF475</f>
        <v>-152734.9994534971</v>
      </c>
      <c r="IH475" s="13">
        <f>IH474+IG475</f>
        <v>-21643149.157498542</v>
      </c>
      <c r="II475">
        <f>IF(IH475=MAX($IH$83:$IH$483),$A475,0)</f>
        <v>0</v>
      </c>
      <c r="IJ475">
        <f>IF(IE475&lt;IF475,$A475,B_MAX+1)</f>
        <v>392</v>
      </c>
      <c r="IK475" s="13">
        <f>IF(IB475=1,$IB$35,$IB$36)</f>
        <v>0</v>
      </c>
      <c r="IL475" s="13">
        <f>OCC_DAYS*$IB$41*R_NF_2023-ID475*MCD_SHARE_FREED*R_WAIT_2023</f>
        <v>151980.48282209205</v>
      </c>
      <c r="IM475">
        <f>IF($A475&lt;=$IB$45,1,0)</f>
        <v>0</v>
      </c>
      <c r="JB475">
        <f>IF($JB$31&lt;=$JB$32,IF($A475&lt;=$JB$7,1,2),IF($A475&lt;=RUNG_BEDS_2,2,1))</f>
        <v>1</v>
      </c>
      <c r="JC475" s="5">
        <f>MIN(1,MAX(0,$JB$26-($A475-1)))</f>
        <v>0</v>
      </c>
      <c r="JD475" s="5">
        <f>$JB$25*(JC475+(1-JC475)*$JB$16)</f>
        <v>0.0</v>
      </c>
      <c r="JE475" s="13">
        <f>JD475*($JB$6+ACUTE_MARGIN)</f>
        <v>0.0</v>
      </c>
      <c r="JF475" s="13">
        <f>IF(JB475=1,$JB$31,$JB$32)</f>
        <v>152394.16214437486</v>
      </c>
      <c r="JG475" s="13">
        <f>JE475-JF475</f>
        <v>-152394.16214437486</v>
      </c>
      <c r="JH475" s="13">
        <f>JH474+JG475</f>
        <v>-21509540.93232255</v>
      </c>
      <c r="JI475">
        <f>IF(JH475=MAX($JH$83:$JH$483),$A475,0)</f>
        <v>0</v>
      </c>
      <c r="JJ475">
        <f>IF(JE475&lt;JF475,$A475,B_MAX+1)</f>
        <v>392</v>
      </c>
      <c r="JK475" s="13">
        <f>IF(JB475=1,$JB$35,$JB$36)</f>
        <v>0</v>
      </c>
      <c r="JL475" s="13">
        <f>OCC_DAYS*$JB$41*R_NF_2023-JD475*MCD_SHARE_FREED*R_WAIT_2023</f>
        <v>151980.48282209205</v>
      </c>
      <c r="JM475">
        <f>IF($A475&lt;=$JB$45,1,0)</f>
        <v>0</v>
      </c>
      <c r="KB475">
        <f>IF($KB$31&lt;=$KB$32,IF($A475&lt;=$KB$7,1,2),IF($A475&lt;=RUNG_BEDS_2,2,1))</f>
        <v>1</v>
      </c>
      <c r="KC475" s="5">
        <f>MIN(1,MAX(0,$KB$26-($A475-1)))</f>
        <v>0</v>
      </c>
      <c r="KD475" s="5">
        <f>$KB$25*(KC475+(1-KC475)*$KB$16)</f>
        <v>0.0</v>
      </c>
      <c r="KE475" s="13">
        <f>KD475*($KB$6+ACUTE_MARGIN)</f>
        <v>0.0</v>
      </c>
      <c r="KF475" s="13">
        <f>IF(KB475=1,$KB$31,$KB$32)</f>
        <v>152394.16214437486</v>
      </c>
      <c r="KG475" s="13">
        <f>KE475-KF475</f>
        <v>-152394.16214437486</v>
      </c>
      <c r="KH475" s="13">
        <f>KH474+KG475</f>
        <v>-21509540.93232266</v>
      </c>
      <c r="KI475">
        <f>IF(KH475=MAX($KH$83:$KH$483),$A475,0)</f>
        <v>0</v>
      </c>
      <c r="KJ475">
        <f>IF(KE475&lt;KF475,$A475,B_MAX+1)</f>
        <v>392</v>
      </c>
      <c r="KK475" s="13">
        <f>IF(KB475=1,$KB$35,$KB$36)</f>
        <v>0</v>
      </c>
      <c r="KL475" s="13">
        <f>OCC_DAYS*$KB$41*R_NF_2023-KD475*MCD_SHARE_FREED*R_WAIT_2023</f>
        <v>151980.48282209205</v>
      </c>
      <c r="KM475">
        <f>IF($A475&lt;=$KB$45,1,0)</f>
        <v>0</v>
      </c>
      <c r="LB475">
        <f>IF($LB$31&lt;=$LB$32,IF($A475&lt;=$LB$7,1,2),IF($A475&lt;=RUNG_BEDS_2,2,1))</f>
        <v>1</v>
      </c>
      <c r="LC475" s="5">
        <f>MIN(1,MAX(0,$LB$26-($A475-1)))</f>
        <v>1</v>
      </c>
      <c r="LD475" s="5">
        <f>$LB$25*(LC475+(1-LC475)*$LB$16)</f>
        <v>84.01774238227146</v>
      </c>
      <c r="LE475" s="13">
        <f>LD475*($LB$6+ACUTE_MARGIN)</f>
        <v>84857.91980609419</v>
      </c>
      <c r="LF475" s="13">
        <f>IF(LB475=1,$LB$31,$LB$32)</f>
        <v>152394.16214437486</v>
      </c>
      <c r="LG475" s="13">
        <f>LE475-LF475</f>
        <v>-67536.24233828067</v>
      </c>
      <c r="LH475" s="13">
        <f>LH474+LG475</f>
        <v>-26474206.99660617</v>
      </c>
      <c r="LI475">
        <f>IF(LH475=MAX($LH$83:$LH$483),$A475,0)</f>
        <v>0</v>
      </c>
      <c r="LJ475">
        <f>IF(LE475&lt;LF475,$A475,B_MAX+1)</f>
        <v>392</v>
      </c>
      <c r="LK475" s="13">
        <f>IF(LB475=1,$LB$35,$LB$36)</f>
        <v>0</v>
      </c>
      <c r="LL475" s="13">
        <f>OCC_DAYS*$LB$41*R_NF_2023-LD475*MCD_SHARE_FREED*R_WAIT_2023</f>
        <v>113776.04162887059</v>
      </c>
      <c r="LM475">
        <f>IF($A475&lt;=$LB$45,1,0)</f>
        <v>0</v>
      </c>
      <c r="MB475">
        <f>IF($MB$31&lt;=$MB$32,IF($A475&lt;=$MB$7,1,2),IF($A475&lt;=RUNG_BEDS_2,2,1))</f>
        <v>1</v>
      </c>
      <c r="MC475" s="5">
        <f>MIN(1,MAX(0,$MB$26-($A475-1)))</f>
        <v>0</v>
      </c>
      <c r="MD475" s="5">
        <f>$MB$25*(MC475+(1-MC475)*$MB$16)</f>
        <v>0.0</v>
      </c>
      <c r="ME475" s="13">
        <f>MD475*($MB$6+ACUTE_MARGIN)</f>
        <v>0.0</v>
      </c>
      <c r="MF475" s="13">
        <f>IF(MB475=1,$MB$31,$MB$32)</f>
        <v>152394.16214437486</v>
      </c>
      <c r="MG475" s="13">
        <f>ME475-MF475</f>
        <v>-152394.16214437486</v>
      </c>
      <c r="MH475" s="13">
        <f>MH474+MG475</f>
        <v>-27396816.99412085</v>
      </c>
      <c r="MI475">
        <f>IF(MH475=MAX($MH$83:$MH$483),$A475,0)</f>
        <v>0</v>
      </c>
      <c r="MJ475">
        <f>IF(ME475&lt;MF475,$A475,B_MAX+1)</f>
        <v>392</v>
      </c>
      <c r="MK475" s="13">
        <f>IF(MB475=1,$MB$35,$MB$36)</f>
        <v>0</v>
      </c>
      <c r="ML475" s="13">
        <f>OCC_DAYS*$MB$41*R_NF_2023-MD475*MCD_SHARE_FREED*R_WAIT_2023</f>
        <v>151980.48282209205</v>
      </c>
      <c r="MM475">
        <f>IF($A475&lt;=$MB$45,1,0)</f>
        <v>0</v>
      </c>
      <c r="NB475">
        <f>IF($NB$31&lt;=$NB$32,IF($A475&lt;=$NB$7,1,2),IF($A475&lt;=RUNG_BEDS_2,2,1))</f>
        <v>1</v>
      </c>
      <c r="NC475" s="5">
        <f>MIN(1,MAX(0,$NB$26-($A475-1)))</f>
        <v>0</v>
      </c>
      <c r="ND475" s="5">
        <f>$NB$25*(NC475+(1-NC475)*$NB$16)</f>
        <v>63.013306786703595</v>
      </c>
      <c r="NE475" s="13">
        <f>ND475*($NB$6+ACUTE_MARGIN)</f>
        <v>63643.43985457063</v>
      </c>
      <c r="NF475" s="13">
        <f>IF(NB475=1,$NB$31,$NB$32)</f>
        <v>152394.16214437486</v>
      </c>
      <c r="NG475" s="13">
        <f>NE475-NF475</f>
        <v>-88750.72228980422</v>
      </c>
      <c r="NH475" s="13">
        <f>NH474+NG475</f>
        <v>-6118555.166399038</v>
      </c>
      <c r="NI475">
        <f>IF(NH475=MAX($NH$83:$NH$483),$A475,0)</f>
        <v>0</v>
      </c>
      <c r="NJ475">
        <f>IF(NE475&lt;NF475,$A475,B_MAX+1)</f>
        <v>392</v>
      </c>
      <c r="NK475" s="13">
        <f>IF(NB475=1,$NB$35,$NB$36)</f>
        <v>0</v>
      </c>
      <c r="NL475" s="13">
        <f>OCC_DAYS*$NB$41*R_NF_2023-ND475*MCD_SHARE_FREED*R_WAIT_2023</f>
        <v>123327.15192717595</v>
      </c>
      <c r="NM475">
        <f>IF($A475&lt;=$NB$45,1,0)</f>
        <v>0</v>
      </c>
      <c r="OB475">
        <f>IF($OB$31&lt;=$OB$32,IF($A475&lt;=$OB$7,1,2),IF($A475&lt;=RUNG_BEDS_2,2,1))</f>
        <v>1</v>
      </c>
      <c r="OC475" s="5">
        <f>MIN(1,MAX(0,$OB$26-($A475-1)))</f>
        <v>0</v>
      </c>
      <c r="OD475" s="5">
        <f>$OB$25*(OC475+(1-OC475)*$OB$16)</f>
        <v>126.02661357340719</v>
      </c>
      <c r="OE475" s="13">
        <f>OD475*($OB$6+ACUTE_MARGIN)</f>
        <v>127286.87970914126</v>
      </c>
      <c r="OF475" s="13">
        <f>IF(OB475=1,$OB$31,$OB$32)</f>
        <v>152394.16214437486</v>
      </c>
      <c r="OG475" s="13">
        <f>OE475-OF475</f>
        <v>-25107.282435233603</v>
      </c>
      <c r="OH475" s="13">
        <f>OH474+OG475</f>
        <v>9272430.59952481</v>
      </c>
      <c r="OI475">
        <f>IF(OH475=MAX($OH$83:$OH$483),$A475,0)</f>
        <v>0</v>
      </c>
      <c r="OJ475">
        <f>IF(OE475&lt;OF475,$A475,B_MAX+1)</f>
        <v>392</v>
      </c>
      <c r="OK475" s="13">
        <f>IF(OB475=1,$OB$35,$OB$36)</f>
        <v>0</v>
      </c>
      <c r="OL475" s="13">
        <f>OCC_DAYS*$OB$41*R_NF_2023-OD475*MCD_SHARE_FREED*R_WAIT_2023</f>
        <v>94673.82103225985</v>
      </c>
      <c r="OM475">
        <f>IF($A475&lt;=$OB$45,1,0)</f>
        <v>0</v>
      </c>
    </row>
    <row r="476">
      <c r="A476" t="n">
        <v>393</v>
      </c>
      <c r="B476">
        <f>IF($B$31&lt;=$B$32,IF($A476&lt;=$B$7,1,2),IF($A476&lt;=RUNG_BEDS_2,2,1))</f>
        <v>1</v>
      </c>
      <c r="C476" s="5">
        <f>MIN(1,MAX(0,$B$26-($A476-1)))</f>
        <v>0</v>
      </c>
      <c r="D476" s="5">
        <f>$B$25*(C476+(1-C476)*$B$16)</f>
        <v>0.0</v>
      </c>
      <c r="E476" s="13">
        <f>D476*($B$6+ACUTE_MARGIN)</f>
        <v>0.0</v>
      </c>
      <c r="F476" s="13">
        <f>IF(B476=1,$B$31,$B$32)</f>
        <v>152394.16214437486</v>
      </c>
      <c r="G476" s="13">
        <f>E476-F476</f>
        <v>-152394.16214437486</v>
      </c>
      <c r="H476" s="13">
        <f>H475+G476</f>
        <v>-21661935.094466925</v>
      </c>
      <c r="I476">
        <f>IF(H476=MAX($H$83:$H$483),$A476,0)</f>
        <v>0</v>
      </c>
      <c r="J476">
        <f>IF(E476&lt;F476,$A476,B_MAX+1)</f>
        <v>393</v>
      </c>
      <c r="K476" s="13">
        <f>IF(B476=1,$B$35,$B$36)</f>
        <v>0</v>
      </c>
      <c r="L476" s="13">
        <f>OCC_DAYS*$B$41*R_NF_2023-D476*MCD_SHARE_FREED*R_WAIT_2023</f>
        <v>151980.48282209205</v>
      </c>
      <c r="M476">
        <f>IF($A476&lt;=$B$45,1,0)</f>
        <v>0</v>
      </c>
      <c r="AB476">
        <f>IF($AB$31&lt;=$AB$32,IF($A476&lt;=$AB$7,1,2),IF($A476&lt;=RUNG_BEDS_2,2,1))</f>
        <v>1</v>
      </c>
      <c r="AC476" s="5">
        <f>MIN(1,MAX(0,$AB$26-($A476-1)))</f>
        <v>0</v>
      </c>
      <c r="AD476" s="5">
        <f>$AB$25*(AC476+(1-AC476)*$AB$16)</f>
        <v>0.0</v>
      </c>
      <c r="AE476" s="13">
        <f>AD476*($AB$6+ACUTE_MARGIN)</f>
        <v>0.0</v>
      </c>
      <c r="AF476" s="13">
        <f>IF(AB476=1,$AB$31,$AB$32)</f>
        <v>152394.16214437486</v>
      </c>
      <c r="AG476" s="13">
        <f>AE476-AF476</f>
        <v>-152394.16214437486</v>
      </c>
      <c r="AH476" s="13">
        <f>AH475+AG476</f>
        <v>-39073149.4400168</v>
      </c>
      <c r="AI476">
        <f>IF(AH476=MAX($AH$83:$AH$483),$A476,0)</f>
        <v>0</v>
      </c>
      <c r="AJ476">
        <f>IF(AE476&lt;AF476,$A476,B_MAX+1)</f>
        <v>393</v>
      </c>
      <c r="AK476" s="13">
        <f>IF(AB476=1,$AB$35,$AB$36)</f>
        <v>0</v>
      </c>
      <c r="AL476" s="13">
        <f>OCC_DAYS*$AB$41*R_NF_2023-AD476*MCD_SHARE_FREED*R_WAIT_2023</f>
        <v>151980.48282209205</v>
      </c>
      <c r="AM476">
        <f>IF($A476&lt;=$AB$45,1,0)</f>
        <v>0</v>
      </c>
      <c r="BB476">
        <f>IF($BB$31&lt;=$BB$32,IF($A476&lt;=$BB$7,1,2),IF($A476&lt;=RUNG_BEDS_2,2,1))</f>
        <v>1</v>
      </c>
      <c r="BC476" s="5">
        <f>MIN(1,MAX(0,$BB$26-($A476-1)))</f>
        <v>0</v>
      </c>
      <c r="BD476" s="5">
        <f>$BB$25*(BC476+(1-BC476)*$BB$16)</f>
        <v>0.0</v>
      </c>
      <c r="BE476" s="13">
        <f>BD476*($BB$6+ACUTE_MARGIN)</f>
        <v>0.0</v>
      </c>
      <c r="BF476" s="13">
        <f>IF(BB476=1,$BB$31,$BB$32)</f>
        <v>152394.16214437486</v>
      </c>
      <c r="BG476" s="13">
        <f>BE476-BF476</f>
        <v>-152394.16214437486</v>
      </c>
      <c r="BH476" s="13">
        <f>BH475+BG476</f>
        <v>-4250720.748917237</v>
      </c>
      <c r="BI476">
        <f>IF(BH476=MAX($BH$83:$BH$483),$A476,0)</f>
        <v>0</v>
      </c>
      <c r="BJ476">
        <f>IF(BE476&lt;BF476,$A476,B_MAX+1)</f>
        <v>393</v>
      </c>
      <c r="BK476" s="13">
        <f>IF(BB476=1,$BB$35,$BB$36)</f>
        <v>0</v>
      </c>
      <c r="BL476" s="13">
        <f>OCC_DAYS*$BB$41*R_NF_2023-BD476*MCD_SHARE_FREED*R_WAIT_2023</f>
        <v>151980.48282209205</v>
      </c>
      <c r="BM476">
        <f>IF($A476&lt;=$BB$45,1,0)</f>
        <v>0</v>
      </c>
      <c r="CB476">
        <f>IF($CB$31&lt;=$CB$32,IF($A476&lt;=$CB$7,1,2),IF($A476&lt;=RUNG_BEDS_2,2,1))</f>
        <v>2</v>
      </c>
      <c r="CC476" s="5">
        <f>MIN(1,MAX(0,$CB$26-($A476-1)))</f>
        <v>0</v>
      </c>
      <c r="CD476" s="5">
        <f>$CB$25*(CC476+(1-CC476)*$CB$16)</f>
        <v>0.0</v>
      </c>
      <c r="CE476" s="13">
        <f>CD476*($CB$6+ACUTE_MARGIN)</f>
        <v>0.0</v>
      </c>
      <c r="CF476" s="13">
        <f>IF(CB476=1,$CB$31,$CB$32)</f>
        <v>160718.36940738867</v>
      </c>
      <c r="CG476" s="13">
        <f>CE476-CF476</f>
        <v>-160718.36940738867</v>
      </c>
      <c r="CH476" s="13">
        <f>CH475+CG476</f>
        <v>-24933348.548831586</v>
      </c>
      <c r="CI476">
        <f>IF(CH476=MAX($CH$83:$CH$483),$A476,0)</f>
        <v>0</v>
      </c>
      <c r="CJ476">
        <f>IF(CE476&lt;CF476,$A476,B_MAX+1)</f>
        <v>393</v>
      </c>
      <c r="CK476" s="13">
        <f>IF(CB476=1,$CB$35,$CB$36)</f>
        <v>1560.1194073886782</v>
      </c>
      <c r="CL476" s="13">
        <f>OCC_DAYS*$CB$41*R_NF_2023-CD476*MCD_SHARE_FREED*R_WAIT_2023</f>
        <v>151980.48282209205</v>
      </c>
      <c r="CM476">
        <f>IF($A476&lt;=$CB$45,1,0)</f>
        <v>0</v>
      </c>
      <c r="DB476">
        <f>IF($DB$31&lt;=$DB$32,IF($A476&lt;=$DB$7,1,2),IF($A476&lt;=RUNG_BEDS_2,2,1))</f>
        <v>1</v>
      </c>
      <c r="DC476" s="5">
        <f>MIN(1,MAX(0,$DB$26-($A476-1)))</f>
        <v>0</v>
      </c>
      <c r="DD476" s="5">
        <f>$DB$25*(DC476+(1-DC476)*$DB$16)</f>
        <v>0.0</v>
      </c>
      <c r="DE476" s="13">
        <f>DD476*($DB$6+ACUTE_MARGIN)</f>
        <v>0.0</v>
      </c>
      <c r="DF476" s="13">
        <f>IF(DB476=1,$DB$31,$DB$32)</f>
        <v>152394.16214437486</v>
      </c>
      <c r="DG476" s="13">
        <f>DE476-DF476</f>
        <v>-152394.16214437486</v>
      </c>
      <c r="DH476" s="13">
        <f>DH475+DG476</f>
        <v>-21661935.094466925</v>
      </c>
      <c r="DI476">
        <f>IF(DH476=MAX($DH$83:$DH$483),$A476,0)</f>
        <v>0</v>
      </c>
      <c r="DJ476">
        <f>IF(DE476&lt;DF476,$A476,B_MAX+1)</f>
        <v>393</v>
      </c>
      <c r="DK476" s="13">
        <f>IF(DB476=1,$DB$35,$DB$36)</f>
        <v>0</v>
      </c>
      <c r="DL476" s="13">
        <f>OCC_DAYS*$DB$41*R_NF_2023-DD476*MCD_SHARE_FREED*R_WAIT_2023</f>
        <v>151980.48282209205</v>
      </c>
      <c r="DM476">
        <f>IF($A476&lt;=$DB$45,1,0)</f>
        <v>0</v>
      </c>
      <c r="EB476">
        <f>IF($EB$31&lt;=$EB$32,IF($A476&lt;=$EB$7,1,2),IF($A476&lt;=RUNG_BEDS_2,2,1))</f>
        <v>1</v>
      </c>
      <c r="EC476" s="5">
        <f>MIN(1,MAX(0,$EB$26-($A476-1)))</f>
        <v>0</v>
      </c>
      <c r="ED476" s="5">
        <f>$EB$25*(EC476+(1-EC476)*$EB$16)</f>
        <v>0.0</v>
      </c>
      <c r="EE476" s="13">
        <f>ED476*($EB$6+ACUTE_MARGIN)</f>
        <v>0.0</v>
      </c>
      <c r="EF476" s="13">
        <f>IF(EB476=1,$EB$31,$EB$32)</f>
        <v>152394.16214437486</v>
      </c>
      <c r="EG476" s="13">
        <f>EE476-EF476</f>
        <v>-152394.16214437486</v>
      </c>
      <c r="EH476" s="13">
        <f>EH475+EG476</f>
        <v>-21661935.094466925</v>
      </c>
      <c r="EI476">
        <f>IF(EH476=MAX($EH$83:$EH$483),$A476,0)</f>
        <v>0</v>
      </c>
      <c r="EJ476">
        <f>IF(EE476&lt;EF476,$A476,B_MAX+1)</f>
        <v>393</v>
      </c>
      <c r="EK476" s="13">
        <f>IF(EB476=1,$EB$35,$EB$36)</f>
        <v>0</v>
      </c>
      <c r="EL476" s="13">
        <f>OCC_DAYS*$EB$41*R_NF_2023-ED476*MCD_SHARE_FREED*R_WAIT_2023</f>
        <v>50660.16094069735</v>
      </c>
      <c r="EM476">
        <f>IF($A476&lt;=$EB$45,1,0)</f>
        <v>0</v>
      </c>
      <c r="FB476">
        <f>IF($FB$31&lt;=$FB$32,IF($A476&lt;=$FB$7,1,2),IF($A476&lt;=RUNG_BEDS_2,2,1))</f>
        <v>1</v>
      </c>
      <c r="FC476" s="5">
        <f>MIN(1,MAX(0,$FB$26-($A476-1)))</f>
        <v>0</v>
      </c>
      <c r="FD476" s="5">
        <f>$FB$25*(FC476+(1-FC476)*$FB$16)</f>
        <v>0.0</v>
      </c>
      <c r="FE476" s="13">
        <f>FD476*($FB$6+ACUTE_MARGIN)</f>
        <v>0.0</v>
      </c>
      <c r="FF476" s="13">
        <f>IF(FB476=1,$FB$31,$FB$32)</f>
        <v>156636.04979437485</v>
      </c>
      <c r="FG476" s="13">
        <f>FE476-FF476</f>
        <v>-156636.04979437485</v>
      </c>
      <c r="FH476" s="13">
        <f>FH475+FG476</f>
        <v>-23328996.9409171</v>
      </c>
      <c r="FI476">
        <f>IF(FH476=MAX($FH$83:$FH$483),$A476,0)</f>
        <v>0</v>
      </c>
      <c r="FJ476">
        <f>IF(FE476&lt;FF476,$A476,B_MAX+1)</f>
        <v>393</v>
      </c>
      <c r="FK476" s="13">
        <f>IF(FB476=1,$FB$35,$FB$36)</f>
        <v>0</v>
      </c>
      <c r="FL476" s="13">
        <f>OCC_DAYS*$FB$41*R_NF_2023-FD476*MCD_SHARE_FREED*R_WAIT_2023</f>
        <v>151980.48282209205</v>
      </c>
      <c r="FM476">
        <f>IF($A476&lt;=$FB$45,1,0)</f>
        <v>0</v>
      </c>
      <c r="GB476">
        <f>IF($GB$31&lt;=$GB$32,IF($A476&lt;=$GB$7,1,2),IF($A476&lt;=RUNG_BEDS_2,2,1))</f>
        <v>1</v>
      </c>
      <c r="GC476" s="5">
        <f>MIN(1,MAX(0,$GB$26-($A476-1)))</f>
        <v>0</v>
      </c>
      <c r="GD476" s="5">
        <f>$GB$25*(GC476+(1-GC476)*$GB$16)</f>
        <v>0.0</v>
      </c>
      <c r="GE476" s="13">
        <f>GD476*($GB$6+ACUTE_MARGIN)</f>
        <v>0.0</v>
      </c>
      <c r="GF476" s="13">
        <f>IF(GB476=1,$GB$31,$GB$32)</f>
        <v>152394.16214437486</v>
      </c>
      <c r="GG476" s="13">
        <f>GE476-GF476</f>
        <v>-152394.16214437486</v>
      </c>
      <c r="GH476" s="13">
        <f>GH475+GG476</f>
        <v>-21661935.094466925</v>
      </c>
      <c r="GI476">
        <f>IF(GH476=MAX($GH$83:$GH$483),$A476,0)</f>
        <v>0</v>
      </c>
      <c r="GJ476">
        <f>IF(GE476&lt;GF476,$A476,B_MAX+1)</f>
        <v>393</v>
      </c>
      <c r="GK476" s="13">
        <f>IF(GB476=1,$GB$35,$GB$36)</f>
        <v>0</v>
      </c>
      <c r="GL476" s="13">
        <f>OCC_DAYS*$GB$41*R_NF_2023-GD476*MCD_SHARE_FREED*R_WAIT_2023</f>
        <v>151980.48282209205</v>
      </c>
      <c r="GM476">
        <f>IF($A476&lt;=$GB$45,1,0)</f>
        <v>0</v>
      </c>
      <c r="HB476">
        <f>IF($HB$31&lt;=$HB$32,IF($A476&lt;=$HB$7,1,2),IF($A476&lt;=RUNG_BEDS_2,2,1))</f>
        <v>1</v>
      </c>
      <c r="HC476" s="5">
        <f>MIN(1,MAX(0,$HB$26-($A476-1)))</f>
        <v>0</v>
      </c>
      <c r="HD476" s="5">
        <f>$HB$25*(HC476+(1-HC476)*$HB$16)</f>
        <v>0.0</v>
      </c>
      <c r="HE476" s="13">
        <f>HD476*($HB$6+ACUTE_MARGIN)</f>
        <v>0.0</v>
      </c>
      <c r="HF476" s="13">
        <f>IF(HB476=1,$HB$31,$HB$32)</f>
        <v>152456.2970814058</v>
      </c>
      <c r="HG476" s="13">
        <f>HE476-HF476</f>
        <v>-152456.2970814058</v>
      </c>
      <c r="HH476" s="13">
        <f>HH475+HG476</f>
        <v>-21686354.124720212</v>
      </c>
      <c r="HI476">
        <f>IF(HH476=MAX($HH$83:$HH$483),$A476,0)</f>
        <v>0</v>
      </c>
      <c r="HJ476">
        <f>IF(HE476&lt;HF476,$A476,B_MAX+1)</f>
        <v>393</v>
      </c>
      <c r="HK476" s="13">
        <f>IF(HB476=1,$HB$35,$HB$36)</f>
        <v>0</v>
      </c>
      <c r="HL476" s="13">
        <f>OCC_DAYS*$HB$41*R_NF_2023-HD476*MCD_SHARE_FREED*R_WAIT_2023</f>
        <v>151980.48282209205</v>
      </c>
      <c r="HM476">
        <f>IF($A476&lt;=$HB$45,1,0)</f>
        <v>0</v>
      </c>
      <c r="IB476">
        <f>IF($IB$31&lt;=$IB$32,IF($A476&lt;=$IB$7,1,2),IF($A476&lt;=RUNG_BEDS_2,2,1))</f>
        <v>1</v>
      </c>
      <c r="IC476" s="5">
        <f>MIN(1,MAX(0,$IB$26-($A476-1)))</f>
        <v>0</v>
      </c>
      <c r="ID476" s="5">
        <f>$IB$25*(IC476+(1-IC476)*$IB$16)</f>
        <v>0.0</v>
      </c>
      <c r="IE476" s="13">
        <f>ID476*($IB$6+ACUTE_MARGIN)</f>
        <v>0.0</v>
      </c>
      <c r="IF476" s="13">
        <f>IF(IB476=1,$IB$31,$IB$32)</f>
        <v>152734.9994534971</v>
      </c>
      <c r="IG476" s="13">
        <f>IE476-IF476</f>
        <v>-152734.9994534971</v>
      </c>
      <c r="IH476" s="13">
        <f>IH475+IG476</f>
        <v>-21795884.15695204</v>
      </c>
      <c r="II476">
        <f>IF(IH476=MAX($IH$83:$IH$483),$A476,0)</f>
        <v>0</v>
      </c>
      <c r="IJ476">
        <f>IF(IE476&lt;IF476,$A476,B_MAX+1)</f>
        <v>393</v>
      </c>
      <c r="IK476" s="13">
        <f>IF(IB476=1,$IB$35,$IB$36)</f>
        <v>0</v>
      </c>
      <c r="IL476" s="13">
        <f>OCC_DAYS*$IB$41*R_NF_2023-ID476*MCD_SHARE_FREED*R_WAIT_2023</f>
        <v>151980.48282209205</v>
      </c>
      <c r="IM476">
        <f>IF($A476&lt;=$IB$45,1,0)</f>
        <v>0</v>
      </c>
      <c r="JB476">
        <f>IF($JB$31&lt;=$JB$32,IF($A476&lt;=$JB$7,1,2),IF($A476&lt;=RUNG_BEDS_2,2,1))</f>
        <v>1</v>
      </c>
      <c r="JC476" s="5">
        <f>MIN(1,MAX(0,$JB$26-($A476-1)))</f>
        <v>0</v>
      </c>
      <c r="JD476" s="5">
        <f>$JB$25*(JC476+(1-JC476)*$JB$16)</f>
        <v>0.0</v>
      </c>
      <c r="JE476" s="13">
        <f>JD476*($JB$6+ACUTE_MARGIN)</f>
        <v>0.0</v>
      </c>
      <c r="JF476" s="13">
        <f>IF(JB476=1,$JB$31,$JB$32)</f>
        <v>152394.16214437486</v>
      </c>
      <c r="JG476" s="13">
        <f>JE476-JF476</f>
        <v>-152394.16214437486</v>
      </c>
      <c r="JH476" s="13">
        <f>JH475+JG476</f>
        <v>-21661935.094466925</v>
      </c>
      <c r="JI476">
        <f>IF(JH476=MAX($JH$83:$JH$483),$A476,0)</f>
        <v>0</v>
      </c>
      <c r="JJ476">
        <f>IF(JE476&lt;JF476,$A476,B_MAX+1)</f>
        <v>393</v>
      </c>
      <c r="JK476" s="13">
        <f>IF(JB476=1,$JB$35,$JB$36)</f>
        <v>0</v>
      </c>
      <c r="JL476" s="13">
        <f>OCC_DAYS*$JB$41*R_NF_2023-JD476*MCD_SHARE_FREED*R_WAIT_2023</f>
        <v>151980.48282209205</v>
      </c>
      <c r="JM476">
        <f>IF($A476&lt;=$JB$45,1,0)</f>
        <v>0</v>
      </c>
      <c r="KB476">
        <f>IF($KB$31&lt;=$KB$32,IF($A476&lt;=$KB$7,1,2),IF($A476&lt;=RUNG_BEDS_2,2,1))</f>
        <v>1</v>
      </c>
      <c r="KC476" s="5">
        <f>MIN(1,MAX(0,$KB$26-($A476-1)))</f>
        <v>0</v>
      </c>
      <c r="KD476" s="5">
        <f>$KB$25*(KC476+(1-KC476)*$KB$16)</f>
        <v>0.0</v>
      </c>
      <c r="KE476" s="13">
        <f>KD476*($KB$6+ACUTE_MARGIN)</f>
        <v>0.0</v>
      </c>
      <c r="KF476" s="13">
        <f>IF(KB476=1,$KB$31,$KB$32)</f>
        <v>152394.16214437486</v>
      </c>
      <c r="KG476" s="13">
        <f>KE476-KF476</f>
        <v>-152394.16214437486</v>
      </c>
      <c r="KH476" s="13">
        <f>KH475+KG476</f>
        <v>-21661935.094467033</v>
      </c>
      <c r="KI476">
        <f>IF(KH476=MAX($KH$83:$KH$483),$A476,0)</f>
        <v>0</v>
      </c>
      <c r="KJ476">
        <f>IF(KE476&lt;KF476,$A476,B_MAX+1)</f>
        <v>393</v>
      </c>
      <c r="KK476" s="13">
        <f>IF(KB476=1,$KB$35,$KB$36)</f>
        <v>0</v>
      </c>
      <c r="KL476" s="13">
        <f>OCC_DAYS*$KB$41*R_NF_2023-KD476*MCD_SHARE_FREED*R_WAIT_2023</f>
        <v>151980.48282209205</v>
      </c>
      <c r="KM476">
        <f>IF($A476&lt;=$KB$45,1,0)</f>
        <v>0</v>
      </c>
      <c r="LB476">
        <f>IF($LB$31&lt;=$LB$32,IF($A476&lt;=$LB$7,1,2),IF($A476&lt;=RUNG_BEDS_2,2,1))</f>
        <v>1</v>
      </c>
      <c r="LC476" s="5">
        <f>MIN(1,MAX(0,$LB$26-($A476-1)))</f>
        <v>1</v>
      </c>
      <c r="LD476" s="5">
        <f>$LB$25*(LC476+(1-LC476)*$LB$16)</f>
        <v>84.01774238227146</v>
      </c>
      <c r="LE476" s="13">
        <f>LD476*($LB$6+ACUTE_MARGIN)</f>
        <v>84857.91980609419</v>
      </c>
      <c r="LF476" s="13">
        <f>IF(LB476=1,$LB$31,$LB$32)</f>
        <v>152394.16214437486</v>
      </c>
      <c r="LG476" s="13">
        <f>LE476-LF476</f>
        <v>-67536.24233828067</v>
      </c>
      <c r="LH476" s="13">
        <f>LH475+LG476</f>
        <v>-26541743.238944452</v>
      </c>
      <c r="LI476">
        <f>IF(LH476=MAX($LH$83:$LH$483),$A476,0)</f>
        <v>0</v>
      </c>
      <c r="LJ476">
        <f>IF(LE476&lt;LF476,$A476,B_MAX+1)</f>
        <v>393</v>
      </c>
      <c r="LK476" s="13">
        <f>IF(LB476=1,$LB$35,$LB$36)</f>
        <v>0</v>
      </c>
      <c r="LL476" s="13">
        <f>OCC_DAYS*$LB$41*R_NF_2023-LD476*MCD_SHARE_FREED*R_WAIT_2023</f>
        <v>113776.04162887059</v>
      </c>
      <c r="LM476">
        <f>IF($A476&lt;=$LB$45,1,0)</f>
        <v>0</v>
      </c>
      <c r="MB476">
        <f>IF($MB$31&lt;=$MB$32,IF($A476&lt;=$MB$7,1,2),IF($A476&lt;=RUNG_BEDS_2,2,1))</f>
        <v>1</v>
      </c>
      <c r="MC476" s="5">
        <f>MIN(1,MAX(0,$MB$26-($A476-1)))</f>
        <v>0</v>
      </c>
      <c r="MD476" s="5">
        <f>$MB$25*(MC476+(1-MC476)*$MB$16)</f>
        <v>0.0</v>
      </c>
      <c r="ME476" s="13">
        <f>MD476*($MB$6+ACUTE_MARGIN)</f>
        <v>0.0</v>
      </c>
      <c r="MF476" s="13">
        <f>IF(MB476=1,$MB$31,$MB$32)</f>
        <v>152394.16214437486</v>
      </c>
      <c r="MG476" s="13">
        <f>ME476-MF476</f>
        <v>-152394.16214437486</v>
      </c>
      <c r="MH476" s="13">
        <f>MH475+MG476</f>
        <v>-27549211.156265225</v>
      </c>
      <c r="MI476">
        <f>IF(MH476=MAX($MH$83:$MH$483),$A476,0)</f>
        <v>0</v>
      </c>
      <c r="MJ476">
        <f>IF(ME476&lt;MF476,$A476,B_MAX+1)</f>
        <v>393</v>
      </c>
      <c r="MK476" s="13">
        <f>IF(MB476=1,$MB$35,$MB$36)</f>
        <v>0</v>
      </c>
      <c r="ML476" s="13">
        <f>OCC_DAYS*$MB$41*R_NF_2023-MD476*MCD_SHARE_FREED*R_WAIT_2023</f>
        <v>151980.48282209205</v>
      </c>
      <c r="MM476">
        <f>IF($A476&lt;=$MB$45,1,0)</f>
        <v>0</v>
      </c>
      <c r="NB476">
        <f>IF($NB$31&lt;=$NB$32,IF($A476&lt;=$NB$7,1,2),IF($A476&lt;=RUNG_BEDS_2,2,1))</f>
        <v>1</v>
      </c>
      <c r="NC476" s="5">
        <f>MIN(1,MAX(0,$NB$26-($A476-1)))</f>
        <v>0</v>
      </c>
      <c r="ND476" s="5">
        <f>$NB$25*(NC476+(1-NC476)*$NB$16)</f>
        <v>63.013306786703595</v>
      </c>
      <c r="NE476" s="13">
        <f>ND476*($NB$6+ACUTE_MARGIN)</f>
        <v>63643.43985457063</v>
      </c>
      <c r="NF476" s="13">
        <f>IF(NB476=1,$NB$31,$NB$32)</f>
        <v>152394.16214437486</v>
      </c>
      <c r="NG476" s="13">
        <f>NE476-NF476</f>
        <v>-88750.72228980422</v>
      </c>
      <c r="NH476" s="13">
        <f>NH475+NG476</f>
        <v>-6207305.888688843</v>
      </c>
      <c r="NI476">
        <f>IF(NH476=MAX($NH$83:$NH$483),$A476,0)</f>
        <v>0</v>
      </c>
      <c r="NJ476">
        <f>IF(NE476&lt;NF476,$A476,B_MAX+1)</f>
        <v>393</v>
      </c>
      <c r="NK476" s="13">
        <f>IF(NB476=1,$NB$35,$NB$36)</f>
        <v>0</v>
      </c>
      <c r="NL476" s="13">
        <f>OCC_DAYS*$NB$41*R_NF_2023-ND476*MCD_SHARE_FREED*R_WAIT_2023</f>
        <v>123327.15192717595</v>
      </c>
      <c r="NM476">
        <f>IF($A476&lt;=$NB$45,1,0)</f>
        <v>0</v>
      </c>
      <c r="OB476">
        <f>IF($OB$31&lt;=$OB$32,IF($A476&lt;=$OB$7,1,2),IF($A476&lt;=RUNG_BEDS_2,2,1))</f>
        <v>1</v>
      </c>
      <c r="OC476" s="5">
        <f>MIN(1,MAX(0,$OB$26-($A476-1)))</f>
        <v>0</v>
      </c>
      <c r="OD476" s="5">
        <f>$OB$25*(OC476+(1-OC476)*$OB$16)</f>
        <v>126.02661357340719</v>
      </c>
      <c r="OE476" s="13">
        <f>OD476*($OB$6+ACUTE_MARGIN)</f>
        <v>127286.87970914126</v>
      </c>
      <c r="OF476" s="13">
        <f>IF(OB476=1,$OB$31,$OB$32)</f>
        <v>152394.16214437486</v>
      </c>
      <c r="OG476" s="13">
        <f>OE476-OF476</f>
        <v>-25107.282435233603</v>
      </c>
      <c r="OH476" s="13">
        <f>OH475+OG476</f>
        <v>9247323.317089578</v>
      </c>
      <c r="OI476">
        <f>IF(OH476=MAX($OH$83:$OH$483),$A476,0)</f>
        <v>0</v>
      </c>
      <c r="OJ476">
        <f>IF(OE476&lt;OF476,$A476,B_MAX+1)</f>
        <v>393</v>
      </c>
      <c r="OK476" s="13">
        <f>IF(OB476=1,$OB$35,$OB$36)</f>
        <v>0</v>
      </c>
      <c r="OL476" s="13">
        <f>OCC_DAYS*$OB$41*R_NF_2023-OD476*MCD_SHARE_FREED*R_WAIT_2023</f>
        <v>94673.82103225985</v>
      </c>
      <c r="OM476">
        <f>IF($A476&lt;=$OB$45,1,0)</f>
        <v>0</v>
      </c>
    </row>
    <row r="477">
      <c r="A477" t="n">
        <v>394</v>
      </c>
      <c r="B477">
        <f>IF($B$31&lt;=$B$32,IF($A477&lt;=$B$7,1,2),IF($A477&lt;=RUNG_BEDS_2,2,1))</f>
        <v>1</v>
      </c>
      <c r="C477" s="5">
        <f>MIN(1,MAX(0,$B$26-($A477-1)))</f>
        <v>0</v>
      </c>
      <c r="D477" s="5">
        <f>$B$25*(C477+(1-C477)*$B$16)</f>
        <v>0.0</v>
      </c>
      <c r="E477" s="13">
        <f>D477*($B$6+ACUTE_MARGIN)</f>
        <v>0.0</v>
      </c>
      <c r="F477" s="13">
        <f>IF(B477=1,$B$31,$B$32)</f>
        <v>152394.16214437486</v>
      </c>
      <c r="G477" s="13">
        <f>E477-F477</f>
        <v>-152394.16214437486</v>
      </c>
      <c r="H477" s="13">
        <f>H476+G477</f>
        <v>-21814329.2566113</v>
      </c>
      <c r="I477">
        <f>IF(H477=MAX($H$83:$H$483),$A477,0)</f>
        <v>0</v>
      </c>
      <c r="J477">
        <f>IF(E477&lt;F477,$A477,B_MAX+1)</f>
        <v>394</v>
      </c>
      <c r="K477" s="13">
        <f>IF(B477=1,$B$35,$B$36)</f>
        <v>0</v>
      </c>
      <c r="L477" s="13">
        <f>OCC_DAYS*$B$41*R_NF_2023-D477*MCD_SHARE_FREED*R_WAIT_2023</f>
        <v>151980.48282209205</v>
      </c>
      <c r="M477">
        <f>IF($A477&lt;=$B$45,1,0)</f>
        <v>0</v>
      </c>
      <c r="AB477">
        <f>IF($AB$31&lt;=$AB$32,IF($A477&lt;=$AB$7,1,2),IF($A477&lt;=RUNG_BEDS_2,2,1))</f>
        <v>1</v>
      </c>
      <c r="AC477" s="5">
        <f>MIN(1,MAX(0,$AB$26-($A477-1)))</f>
        <v>0</v>
      </c>
      <c r="AD477" s="5">
        <f>$AB$25*(AC477+(1-AC477)*$AB$16)</f>
        <v>0.0</v>
      </c>
      <c r="AE477" s="13">
        <f>AD477*($AB$6+ACUTE_MARGIN)</f>
        <v>0.0</v>
      </c>
      <c r="AF477" s="13">
        <f>IF(AB477=1,$AB$31,$AB$32)</f>
        <v>152394.16214437486</v>
      </c>
      <c r="AG477" s="13">
        <f>AE477-AF477</f>
        <v>-152394.16214437486</v>
      </c>
      <c r="AH477" s="13">
        <f>AH476+AG477</f>
        <v>-39225543.60216118</v>
      </c>
      <c r="AI477">
        <f>IF(AH477=MAX($AH$83:$AH$483),$A477,0)</f>
        <v>0</v>
      </c>
      <c r="AJ477">
        <f>IF(AE477&lt;AF477,$A477,B_MAX+1)</f>
        <v>394</v>
      </c>
      <c r="AK477" s="13">
        <f>IF(AB477=1,$AB$35,$AB$36)</f>
        <v>0</v>
      </c>
      <c r="AL477" s="13">
        <f>OCC_DAYS*$AB$41*R_NF_2023-AD477*MCD_SHARE_FREED*R_WAIT_2023</f>
        <v>151980.48282209205</v>
      </c>
      <c r="AM477">
        <f>IF($A477&lt;=$AB$45,1,0)</f>
        <v>0</v>
      </c>
      <c r="BB477">
        <f>IF($BB$31&lt;=$BB$32,IF($A477&lt;=$BB$7,1,2),IF($A477&lt;=RUNG_BEDS_2,2,1))</f>
        <v>1</v>
      </c>
      <c r="BC477" s="5">
        <f>MIN(1,MAX(0,$BB$26-($A477-1)))</f>
        <v>0</v>
      </c>
      <c r="BD477" s="5">
        <f>$BB$25*(BC477+(1-BC477)*$BB$16)</f>
        <v>0.0</v>
      </c>
      <c r="BE477" s="13">
        <f>BD477*($BB$6+ACUTE_MARGIN)</f>
        <v>0.0</v>
      </c>
      <c r="BF477" s="13">
        <f>IF(BB477=1,$BB$31,$BB$32)</f>
        <v>152394.16214437486</v>
      </c>
      <c r="BG477" s="13">
        <f>BE477-BF477</f>
        <v>-152394.16214437486</v>
      </c>
      <c r="BH477" s="13">
        <f>BH476+BG477</f>
        <v>-4403114.911061612</v>
      </c>
      <c r="BI477">
        <f>IF(BH477=MAX($BH$83:$BH$483),$A477,0)</f>
        <v>0</v>
      </c>
      <c r="BJ477">
        <f>IF(BE477&lt;BF477,$A477,B_MAX+1)</f>
        <v>394</v>
      </c>
      <c r="BK477" s="13">
        <f>IF(BB477=1,$BB$35,$BB$36)</f>
        <v>0</v>
      </c>
      <c r="BL477" s="13">
        <f>OCC_DAYS*$BB$41*R_NF_2023-BD477*MCD_SHARE_FREED*R_WAIT_2023</f>
        <v>151980.48282209205</v>
      </c>
      <c r="BM477">
        <f>IF($A477&lt;=$BB$45,1,0)</f>
        <v>0</v>
      </c>
      <c r="CB477">
        <f>IF($CB$31&lt;=$CB$32,IF($A477&lt;=$CB$7,1,2),IF($A477&lt;=RUNG_BEDS_2,2,1))</f>
        <v>2</v>
      </c>
      <c r="CC477" s="5">
        <f>MIN(1,MAX(0,$CB$26-($A477-1)))</f>
        <v>0</v>
      </c>
      <c r="CD477" s="5">
        <f>$CB$25*(CC477+(1-CC477)*$CB$16)</f>
        <v>0.0</v>
      </c>
      <c r="CE477" s="13">
        <f>CD477*($CB$6+ACUTE_MARGIN)</f>
        <v>0.0</v>
      </c>
      <c r="CF477" s="13">
        <f>IF(CB477=1,$CB$31,$CB$32)</f>
        <v>160718.36940738867</v>
      </c>
      <c r="CG477" s="13">
        <f>CE477-CF477</f>
        <v>-160718.36940738867</v>
      </c>
      <c r="CH477" s="13">
        <f>CH476+CG477</f>
        <v>-25094066.918238975</v>
      </c>
      <c r="CI477">
        <f>IF(CH477=MAX($CH$83:$CH$483),$A477,0)</f>
        <v>0</v>
      </c>
      <c r="CJ477">
        <f>IF(CE477&lt;CF477,$A477,B_MAX+1)</f>
        <v>394</v>
      </c>
      <c r="CK477" s="13">
        <f>IF(CB477=1,$CB$35,$CB$36)</f>
        <v>1560.1194073886782</v>
      </c>
      <c r="CL477" s="13">
        <f>OCC_DAYS*$CB$41*R_NF_2023-CD477*MCD_SHARE_FREED*R_WAIT_2023</f>
        <v>151980.48282209205</v>
      </c>
      <c r="CM477">
        <f>IF($A477&lt;=$CB$45,1,0)</f>
        <v>0</v>
      </c>
      <c r="DB477">
        <f>IF($DB$31&lt;=$DB$32,IF($A477&lt;=$DB$7,1,2),IF($A477&lt;=RUNG_BEDS_2,2,1))</f>
        <v>1</v>
      </c>
      <c r="DC477" s="5">
        <f>MIN(1,MAX(0,$DB$26-($A477-1)))</f>
        <v>0</v>
      </c>
      <c r="DD477" s="5">
        <f>$DB$25*(DC477+(1-DC477)*$DB$16)</f>
        <v>0.0</v>
      </c>
      <c r="DE477" s="13">
        <f>DD477*($DB$6+ACUTE_MARGIN)</f>
        <v>0.0</v>
      </c>
      <c r="DF477" s="13">
        <f>IF(DB477=1,$DB$31,$DB$32)</f>
        <v>152394.16214437486</v>
      </c>
      <c r="DG477" s="13">
        <f>DE477-DF477</f>
        <v>-152394.16214437486</v>
      </c>
      <c r="DH477" s="13">
        <f>DH476+DG477</f>
        <v>-21814329.2566113</v>
      </c>
      <c r="DI477">
        <f>IF(DH477=MAX($DH$83:$DH$483),$A477,0)</f>
        <v>0</v>
      </c>
      <c r="DJ477">
        <f>IF(DE477&lt;DF477,$A477,B_MAX+1)</f>
        <v>394</v>
      </c>
      <c r="DK477" s="13">
        <f>IF(DB477=1,$DB$35,$DB$36)</f>
        <v>0</v>
      </c>
      <c r="DL477" s="13">
        <f>OCC_DAYS*$DB$41*R_NF_2023-DD477*MCD_SHARE_FREED*R_WAIT_2023</f>
        <v>151980.48282209205</v>
      </c>
      <c r="DM477">
        <f>IF($A477&lt;=$DB$45,1,0)</f>
        <v>0</v>
      </c>
      <c r="EB477">
        <f>IF($EB$31&lt;=$EB$32,IF($A477&lt;=$EB$7,1,2),IF($A477&lt;=RUNG_BEDS_2,2,1))</f>
        <v>1</v>
      </c>
      <c r="EC477" s="5">
        <f>MIN(1,MAX(0,$EB$26-($A477-1)))</f>
        <v>0</v>
      </c>
      <c r="ED477" s="5">
        <f>$EB$25*(EC477+(1-EC477)*$EB$16)</f>
        <v>0.0</v>
      </c>
      <c r="EE477" s="13">
        <f>ED477*($EB$6+ACUTE_MARGIN)</f>
        <v>0.0</v>
      </c>
      <c r="EF477" s="13">
        <f>IF(EB477=1,$EB$31,$EB$32)</f>
        <v>152394.16214437486</v>
      </c>
      <c r="EG477" s="13">
        <f>EE477-EF477</f>
        <v>-152394.16214437486</v>
      </c>
      <c r="EH477" s="13">
        <f>EH476+EG477</f>
        <v>-21814329.2566113</v>
      </c>
      <c r="EI477">
        <f>IF(EH477=MAX($EH$83:$EH$483),$A477,0)</f>
        <v>0</v>
      </c>
      <c r="EJ477">
        <f>IF(EE477&lt;EF477,$A477,B_MAX+1)</f>
        <v>394</v>
      </c>
      <c r="EK477" s="13">
        <f>IF(EB477=1,$EB$35,$EB$36)</f>
        <v>0</v>
      </c>
      <c r="EL477" s="13">
        <f>OCC_DAYS*$EB$41*R_NF_2023-ED477*MCD_SHARE_FREED*R_WAIT_2023</f>
        <v>50660.16094069735</v>
      </c>
      <c r="EM477">
        <f>IF($A477&lt;=$EB$45,1,0)</f>
        <v>0</v>
      </c>
      <c r="FB477">
        <f>IF($FB$31&lt;=$FB$32,IF($A477&lt;=$FB$7,1,2),IF($A477&lt;=RUNG_BEDS_2,2,1))</f>
        <v>1</v>
      </c>
      <c r="FC477" s="5">
        <f>MIN(1,MAX(0,$FB$26-($A477-1)))</f>
        <v>0</v>
      </c>
      <c r="FD477" s="5">
        <f>$FB$25*(FC477+(1-FC477)*$FB$16)</f>
        <v>0.0</v>
      </c>
      <c r="FE477" s="13">
        <f>FD477*($FB$6+ACUTE_MARGIN)</f>
        <v>0.0</v>
      </c>
      <c r="FF477" s="13">
        <f>IF(FB477=1,$FB$31,$FB$32)</f>
        <v>156636.04979437485</v>
      </c>
      <c r="FG477" s="13">
        <f>FE477-FF477</f>
        <v>-156636.04979437485</v>
      </c>
      <c r="FH477" s="13">
        <f>FH476+FG477</f>
        <v>-23485632.990711477</v>
      </c>
      <c r="FI477">
        <f>IF(FH477=MAX($FH$83:$FH$483),$A477,0)</f>
        <v>0</v>
      </c>
      <c r="FJ477">
        <f>IF(FE477&lt;FF477,$A477,B_MAX+1)</f>
        <v>394</v>
      </c>
      <c r="FK477" s="13">
        <f>IF(FB477=1,$FB$35,$FB$36)</f>
        <v>0</v>
      </c>
      <c r="FL477" s="13">
        <f>OCC_DAYS*$FB$41*R_NF_2023-FD477*MCD_SHARE_FREED*R_WAIT_2023</f>
        <v>151980.48282209205</v>
      </c>
      <c r="FM477">
        <f>IF($A477&lt;=$FB$45,1,0)</f>
        <v>0</v>
      </c>
      <c r="GB477">
        <f>IF($GB$31&lt;=$GB$32,IF($A477&lt;=$GB$7,1,2),IF($A477&lt;=RUNG_BEDS_2,2,1))</f>
        <v>1</v>
      </c>
      <c r="GC477" s="5">
        <f>MIN(1,MAX(0,$GB$26-($A477-1)))</f>
        <v>0</v>
      </c>
      <c r="GD477" s="5">
        <f>$GB$25*(GC477+(1-GC477)*$GB$16)</f>
        <v>0.0</v>
      </c>
      <c r="GE477" s="13">
        <f>GD477*($GB$6+ACUTE_MARGIN)</f>
        <v>0.0</v>
      </c>
      <c r="GF477" s="13">
        <f>IF(GB477=1,$GB$31,$GB$32)</f>
        <v>152394.16214437486</v>
      </c>
      <c r="GG477" s="13">
        <f>GE477-GF477</f>
        <v>-152394.16214437486</v>
      </c>
      <c r="GH477" s="13">
        <f>GH476+GG477</f>
        <v>-21814329.2566113</v>
      </c>
      <c r="GI477">
        <f>IF(GH477=MAX($GH$83:$GH$483),$A477,0)</f>
        <v>0</v>
      </c>
      <c r="GJ477">
        <f>IF(GE477&lt;GF477,$A477,B_MAX+1)</f>
        <v>394</v>
      </c>
      <c r="GK477" s="13">
        <f>IF(GB477=1,$GB$35,$GB$36)</f>
        <v>0</v>
      </c>
      <c r="GL477" s="13">
        <f>OCC_DAYS*$GB$41*R_NF_2023-GD477*MCD_SHARE_FREED*R_WAIT_2023</f>
        <v>151980.48282209205</v>
      </c>
      <c r="GM477">
        <f>IF($A477&lt;=$GB$45,1,0)</f>
        <v>0</v>
      </c>
      <c r="HB477">
        <f>IF($HB$31&lt;=$HB$32,IF($A477&lt;=$HB$7,1,2),IF($A477&lt;=RUNG_BEDS_2,2,1))</f>
        <v>1</v>
      </c>
      <c r="HC477" s="5">
        <f>MIN(1,MAX(0,$HB$26-($A477-1)))</f>
        <v>0</v>
      </c>
      <c r="HD477" s="5">
        <f>$HB$25*(HC477+(1-HC477)*$HB$16)</f>
        <v>0.0</v>
      </c>
      <c r="HE477" s="13">
        <f>HD477*($HB$6+ACUTE_MARGIN)</f>
        <v>0.0</v>
      </c>
      <c r="HF477" s="13">
        <f>IF(HB477=1,$HB$31,$HB$32)</f>
        <v>152456.2970814058</v>
      </c>
      <c r="HG477" s="13">
        <f>HE477-HF477</f>
        <v>-152456.2970814058</v>
      </c>
      <c r="HH477" s="13">
        <f>HH476+HG477</f>
        <v>-21838810.42180162</v>
      </c>
      <c r="HI477">
        <f>IF(HH477=MAX($HH$83:$HH$483),$A477,0)</f>
        <v>0</v>
      </c>
      <c r="HJ477">
        <f>IF(HE477&lt;HF477,$A477,B_MAX+1)</f>
        <v>394</v>
      </c>
      <c r="HK477" s="13">
        <f>IF(HB477=1,$HB$35,$HB$36)</f>
        <v>0</v>
      </c>
      <c r="HL477" s="13">
        <f>OCC_DAYS*$HB$41*R_NF_2023-HD477*MCD_SHARE_FREED*R_WAIT_2023</f>
        <v>151980.48282209205</v>
      </c>
      <c r="HM477">
        <f>IF($A477&lt;=$HB$45,1,0)</f>
        <v>0</v>
      </c>
      <c r="IB477">
        <f>IF($IB$31&lt;=$IB$32,IF($A477&lt;=$IB$7,1,2),IF($A477&lt;=RUNG_BEDS_2,2,1))</f>
        <v>1</v>
      </c>
      <c r="IC477" s="5">
        <f>MIN(1,MAX(0,$IB$26-($A477-1)))</f>
        <v>0</v>
      </c>
      <c r="ID477" s="5">
        <f>$IB$25*(IC477+(1-IC477)*$IB$16)</f>
        <v>0.0</v>
      </c>
      <c r="IE477" s="13">
        <f>ID477*($IB$6+ACUTE_MARGIN)</f>
        <v>0.0</v>
      </c>
      <c r="IF477" s="13">
        <f>IF(IB477=1,$IB$31,$IB$32)</f>
        <v>152734.9994534971</v>
      </c>
      <c r="IG477" s="13">
        <f>IE477-IF477</f>
        <v>-152734.9994534971</v>
      </c>
      <c r="IH477" s="13">
        <f>IH476+IG477</f>
        <v>-21948619.156405535</v>
      </c>
      <c r="II477">
        <f>IF(IH477=MAX($IH$83:$IH$483),$A477,0)</f>
        <v>0</v>
      </c>
      <c r="IJ477">
        <f>IF(IE477&lt;IF477,$A477,B_MAX+1)</f>
        <v>394</v>
      </c>
      <c r="IK477" s="13">
        <f>IF(IB477=1,$IB$35,$IB$36)</f>
        <v>0</v>
      </c>
      <c r="IL477" s="13">
        <f>OCC_DAYS*$IB$41*R_NF_2023-ID477*MCD_SHARE_FREED*R_WAIT_2023</f>
        <v>151980.48282209205</v>
      </c>
      <c r="IM477">
        <f>IF($A477&lt;=$IB$45,1,0)</f>
        <v>0</v>
      </c>
      <c r="JB477">
        <f>IF($JB$31&lt;=$JB$32,IF($A477&lt;=$JB$7,1,2),IF($A477&lt;=RUNG_BEDS_2,2,1))</f>
        <v>1</v>
      </c>
      <c r="JC477" s="5">
        <f>MIN(1,MAX(0,$JB$26-($A477-1)))</f>
        <v>0</v>
      </c>
      <c r="JD477" s="5">
        <f>$JB$25*(JC477+(1-JC477)*$JB$16)</f>
        <v>0.0</v>
      </c>
      <c r="JE477" s="13">
        <f>JD477*($JB$6+ACUTE_MARGIN)</f>
        <v>0.0</v>
      </c>
      <c r="JF477" s="13">
        <f>IF(JB477=1,$JB$31,$JB$32)</f>
        <v>152394.16214437486</v>
      </c>
      <c r="JG477" s="13">
        <f>JE477-JF477</f>
        <v>-152394.16214437486</v>
      </c>
      <c r="JH477" s="13">
        <f>JH476+JG477</f>
        <v>-21814329.2566113</v>
      </c>
      <c r="JI477">
        <f>IF(JH477=MAX($JH$83:$JH$483),$A477,0)</f>
        <v>0</v>
      </c>
      <c r="JJ477">
        <f>IF(JE477&lt;JF477,$A477,B_MAX+1)</f>
        <v>394</v>
      </c>
      <c r="JK477" s="13">
        <f>IF(JB477=1,$JB$35,$JB$36)</f>
        <v>0</v>
      </c>
      <c r="JL477" s="13">
        <f>OCC_DAYS*$JB$41*R_NF_2023-JD477*MCD_SHARE_FREED*R_WAIT_2023</f>
        <v>151980.48282209205</v>
      </c>
      <c r="JM477">
        <f>IF($A477&lt;=$JB$45,1,0)</f>
        <v>0</v>
      </c>
      <c r="KB477">
        <f>IF($KB$31&lt;=$KB$32,IF($A477&lt;=$KB$7,1,2),IF($A477&lt;=RUNG_BEDS_2,2,1))</f>
        <v>1</v>
      </c>
      <c r="KC477" s="5">
        <f>MIN(1,MAX(0,$KB$26-($A477-1)))</f>
        <v>0</v>
      </c>
      <c r="KD477" s="5">
        <f>$KB$25*(KC477+(1-KC477)*$KB$16)</f>
        <v>0.0</v>
      </c>
      <c r="KE477" s="13">
        <f>KD477*($KB$6+ACUTE_MARGIN)</f>
        <v>0.0</v>
      </c>
      <c r="KF477" s="13">
        <f>IF(KB477=1,$KB$31,$KB$32)</f>
        <v>152394.16214437486</v>
      </c>
      <c r="KG477" s="13">
        <f>KE477-KF477</f>
        <v>-152394.16214437486</v>
      </c>
      <c r="KH477" s="13">
        <f>KH476+KG477</f>
        <v>-21814329.256611407</v>
      </c>
      <c r="KI477">
        <f>IF(KH477=MAX($KH$83:$KH$483),$A477,0)</f>
        <v>0</v>
      </c>
      <c r="KJ477">
        <f>IF(KE477&lt;KF477,$A477,B_MAX+1)</f>
        <v>394</v>
      </c>
      <c r="KK477" s="13">
        <f>IF(KB477=1,$KB$35,$KB$36)</f>
        <v>0</v>
      </c>
      <c r="KL477" s="13">
        <f>OCC_DAYS*$KB$41*R_NF_2023-KD477*MCD_SHARE_FREED*R_WAIT_2023</f>
        <v>151980.48282209205</v>
      </c>
      <c r="KM477">
        <f>IF($A477&lt;=$KB$45,1,0)</f>
        <v>0</v>
      </c>
      <c r="LB477">
        <f>IF($LB$31&lt;=$LB$32,IF($A477&lt;=$LB$7,1,2),IF($A477&lt;=RUNG_BEDS_2,2,1))</f>
        <v>1</v>
      </c>
      <c r="LC477" s="5">
        <f>MIN(1,MAX(0,$LB$26-($A477-1)))</f>
        <v>1</v>
      </c>
      <c r="LD477" s="5">
        <f>$LB$25*(LC477+(1-LC477)*$LB$16)</f>
        <v>84.01774238227146</v>
      </c>
      <c r="LE477" s="13">
        <f>LD477*($LB$6+ACUTE_MARGIN)</f>
        <v>84857.91980609419</v>
      </c>
      <c r="LF477" s="13">
        <f>IF(LB477=1,$LB$31,$LB$32)</f>
        <v>152394.16214437486</v>
      </c>
      <c r="LG477" s="13">
        <f>LE477-LF477</f>
        <v>-67536.24233828067</v>
      </c>
      <c r="LH477" s="13">
        <f>LH476+LG477</f>
        <v>-26609279.481282733</v>
      </c>
      <c r="LI477">
        <f>IF(LH477=MAX($LH$83:$LH$483),$A477,0)</f>
        <v>0</v>
      </c>
      <c r="LJ477">
        <f>IF(LE477&lt;LF477,$A477,B_MAX+1)</f>
        <v>394</v>
      </c>
      <c r="LK477" s="13">
        <f>IF(LB477=1,$LB$35,$LB$36)</f>
        <v>0</v>
      </c>
      <c r="LL477" s="13">
        <f>OCC_DAYS*$LB$41*R_NF_2023-LD477*MCD_SHARE_FREED*R_WAIT_2023</f>
        <v>113776.04162887059</v>
      </c>
      <c r="LM477">
        <f>IF($A477&lt;=$LB$45,1,0)</f>
        <v>0</v>
      </c>
      <c r="MB477">
        <f>IF($MB$31&lt;=$MB$32,IF($A477&lt;=$MB$7,1,2),IF($A477&lt;=RUNG_BEDS_2,2,1))</f>
        <v>1</v>
      </c>
      <c r="MC477" s="5">
        <f>MIN(1,MAX(0,$MB$26-($A477-1)))</f>
        <v>0</v>
      </c>
      <c r="MD477" s="5">
        <f>$MB$25*(MC477+(1-MC477)*$MB$16)</f>
        <v>0.0</v>
      </c>
      <c r="ME477" s="13">
        <f>MD477*($MB$6+ACUTE_MARGIN)</f>
        <v>0.0</v>
      </c>
      <c r="MF477" s="13">
        <f>IF(MB477=1,$MB$31,$MB$32)</f>
        <v>152394.16214437486</v>
      </c>
      <c r="MG477" s="13">
        <f>ME477-MF477</f>
        <v>-152394.16214437486</v>
      </c>
      <c r="MH477" s="13">
        <f>MH476+MG477</f>
        <v>-27701605.3184096</v>
      </c>
      <c r="MI477">
        <f>IF(MH477=MAX($MH$83:$MH$483),$A477,0)</f>
        <v>0</v>
      </c>
      <c r="MJ477">
        <f>IF(ME477&lt;MF477,$A477,B_MAX+1)</f>
        <v>394</v>
      </c>
      <c r="MK477" s="13">
        <f>IF(MB477=1,$MB$35,$MB$36)</f>
        <v>0</v>
      </c>
      <c r="ML477" s="13">
        <f>OCC_DAYS*$MB$41*R_NF_2023-MD477*MCD_SHARE_FREED*R_WAIT_2023</f>
        <v>151980.48282209205</v>
      </c>
      <c r="MM477">
        <f>IF($A477&lt;=$MB$45,1,0)</f>
        <v>0</v>
      </c>
      <c r="NB477">
        <f>IF($NB$31&lt;=$NB$32,IF($A477&lt;=$NB$7,1,2),IF($A477&lt;=RUNG_BEDS_2,2,1))</f>
        <v>1</v>
      </c>
      <c r="NC477" s="5">
        <f>MIN(1,MAX(0,$NB$26-($A477-1)))</f>
        <v>0</v>
      </c>
      <c r="ND477" s="5">
        <f>$NB$25*(NC477+(1-NC477)*$NB$16)</f>
        <v>63.013306786703595</v>
      </c>
      <c r="NE477" s="13">
        <f>ND477*($NB$6+ACUTE_MARGIN)</f>
        <v>63643.43985457063</v>
      </c>
      <c r="NF477" s="13">
        <f>IF(NB477=1,$NB$31,$NB$32)</f>
        <v>152394.16214437486</v>
      </c>
      <c r="NG477" s="13">
        <f>NE477-NF477</f>
        <v>-88750.72228980422</v>
      </c>
      <c r="NH477" s="13">
        <f>NH476+NG477</f>
        <v>-6296056.610978647</v>
      </c>
      <c r="NI477">
        <f>IF(NH477=MAX($NH$83:$NH$483),$A477,0)</f>
        <v>0</v>
      </c>
      <c r="NJ477">
        <f>IF(NE477&lt;NF477,$A477,B_MAX+1)</f>
        <v>394</v>
      </c>
      <c r="NK477" s="13">
        <f>IF(NB477=1,$NB$35,$NB$36)</f>
        <v>0</v>
      </c>
      <c r="NL477" s="13">
        <f>OCC_DAYS*$NB$41*R_NF_2023-ND477*MCD_SHARE_FREED*R_WAIT_2023</f>
        <v>123327.15192717595</v>
      </c>
      <c r="NM477">
        <f>IF($A477&lt;=$NB$45,1,0)</f>
        <v>0</v>
      </c>
      <c r="OB477">
        <f>IF($OB$31&lt;=$OB$32,IF($A477&lt;=$OB$7,1,2),IF($A477&lt;=RUNG_BEDS_2,2,1))</f>
        <v>1</v>
      </c>
      <c r="OC477" s="5">
        <f>MIN(1,MAX(0,$OB$26-($A477-1)))</f>
        <v>0</v>
      </c>
      <c r="OD477" s="5">
        <f>$OB$25*(OC477+(1-OC477)*$OB$16)</f>
        <v>126.02661357340719</v>
      </c>
      <c r="OE477" s="13">
        <f>OD477*($OB$6+ACUTE_MARGIN)</f>
        <v>127286.87970914126</v>
      </c>
      <c r="OF477" s="13">
        <f>IF(OB477=1,$OB$31,$OB$32)</f>
        <v>152394.16214437486</v>
      </c>
      <c r="OG477" s="13">
        <f>OE477-OF477</f>
        <v>-25107.282435233603</v>
      </c>
      <c r="OH477" s="13">
        <f>OH476+OG477</f>
        <v>9222216.034654345</v>
      </c>
      <c r="OI477">
        <f>IF(OH477=MAX($OH$83:$OH$483),$A477,0)</f>
        <v>0</v>
      </c>
      <c r="OJ477">
        <f>IF(OE477&lt;OF477,$A477,B_MAX+1)</f>
        <v>394</v>
      </c>
      <c r="OK477" s="13">
        <f>IF(OB477=1,$OB$35,$OB$36)</f>
        <v>0</v>
      </c>
      <c r="OL477" s="13">
        <f>OCC_DAYS*$OB$41*R_NF_2023-OD477*MCD_SHARE_FREED*R_WAIT_2023</f>
        <v>94673.82103225985</v>
      </c>
      <c r="OM477">
        <f>IF($A477&lt;=$OB$45,1,0)</f>
        <v>0</v>
      </c>
    </row>
    <row r="478">
      <c r="A478" t="n">
        <v>395</v>
      </c>
      <c r="B478">
        <f>IF($B$31&lt;=$B$32,IF($A478&lt;=$B$7,1,2),IF($A478&lt;=RUNG_BEDS_2,2,1))</f>
        <v>1</v>
      </c>
      <c r="C478" s="5">
        <f>MIN(1,MAX(0,$B$26-($A478-1)))</f>
        <v>0</v>
      </c>
      <c r="D478" s="5">
        <f>$B$25*(C478+(1-C478)*$B$16)</f>
        <v>0.0</v>
      </c>
      <c r="E478" s="13">
        <f>D478*($B$6+ACUTE_MARGIN)</f>
        <v>0.0</v>
      </c>
      <c r="F478" s="13">
        <f>IF(B478=1,$B$31,$B$32)</f>
        <v>152394.16214437486</v>
      </c>
      <c r="G478" s="13">
        <f>E478-F478</f>
        <v>-152394.16214437486</v>
      </c>
      <c r="H478" s="13">
        <f>H477+G478</f>
        <v>-21966723.418755673</v>
      </c>
      <c r="I478">
        <f>IF(H478=MAX($H$83:$H$483),$A478,0)</f>
        <v>0</v>
      </c>
      <c r="J478">
        <f>IF(E478&lt;F478,$A478,B_MAX+1)</f>
        <v>395</v>
      </c>
      <c r="K478" s="13">
        <f>IF(B478=1,$B$35,$B$36)</f>
        <v>0</v>
      </c>
      <c r="L478" s="13">
        <f>OCC_DAYS*$B$41*R_NF_2023-D478*MCD_SHARE_FREED*R_WAIT_2023</f>
        <v>151980.48282209205</v>
      </c>
      <c r="M478">
        <f>IF($A478&lt;=$B$45,1,0)</f>
        <v>0</v>
      </c>
      <c r="AB478">
        <f>IF($AB$31&lt;=$AB$32,IF($A478&lt;=$AB$7,1,2),IF($A478&lt;=RUNG_BEDS_2,2,1))</f>
        <v>1</v>
      </c>
      <c r="AC478" s="5">
        <f>MIN(1,MAX(0,$AB$26-($A478-1)))</f>
        <v>0</v>
      </c>
      <c r="AD478" s="5">
        <f>$AB$25*(AC478+(1-AC478)*$AB$16)</f>
        <v>0.0</v>
      </c>
      <c r="AE478" s="13">
        <f>AD478*($AB$6+ACUTE_MARGIN)</f>
        <v>0.0</v>
      </c>
      <c r="AF478" s="13">
        <f>IF(AB478=1,$AB$31,$AB$32)</f>
        <v>152394.16214437486</v>
      </c>
      <c r="AG478" s="13">
        <f>AE478-AF478</f>
        <v>-152394.16214437486</v>
      </c>
      <c r="AH478" s="13">
        <f>AH477+AG478</f>
        <v>-39377937.764305554</v>
      </c>
      <c r="AI478">
        <f>IF(AH478=MAX($AH$83:$AH$483),$A478,0)</f>
        <v>0</v>
      </c>
      <c r="AJ478">
        <f>IF(AE478&lt;AF478,$A478,B_MAX+1)</f>
        <v>395</v>
      </c>
      <c r="AK478" s="13">
        <f>IF(AB478=1,$AB$35,$AB$36)</f>
        <v>0</v>
      </c>
      <c r="AL478" s="13">
        <f>OCC_DAYS*$AB$41*R_NF_2023-AD478*MCD_SHARE_FREED*R_WAIT_2023</f>
        <v>151980.48282209205</v>
      </c>
      <c r="AM478">
        <f>IF($A478&lt;=$AB$45,1,0)</f>
        <v>0</v>
      </c>
      <c r="BB478">
        <f>IF($BB$31&lt;=$BB$32,IF($A478&lt;=$BB$7,1,2),IF($A478&lt;=RUNG_BEDS_2,2,1))</f>
        <v>1</v>
      </c>
      <c r="BC478" s="5">
        <f>MIN(1,MAX(0,$BB$26-($A478-1)))</f>
        <v>0</v>
      </c>
      <c r="BD478" s="5">
        <f>$BB$25*(BC478+(1-BC478)*$BB$16)</f>
        <v>0.0</v>
      </c>
      <c r="BE478" s="13">
        <f>BD478*($BB$6+ACUTE_MARGIN)</f>
        <v>0.0</v>
      </c>
      <c r="BF478" s="13">
        <f>IF(BB478=1,$BB$31,$BB$32)</f>
        <v>152394.16214437486</v>
      </c>
      <c r="BG478" s="13">
        <f>BE478-BF478</f>
        <v>-152394.16214437486</v>
      </c>
      <c r="BH478" s="13">
        <f>BH477+BG478</f>
        <v>-4555509.073205987</v>
      </c>
      <c r="BI478">
        <f>IF(BH478=MAX($BH$83:$BH$483),$A478,0)</f>
        <v>0</v>
      </c>
      <c r="BJ478">
        <f>IF(BE478&lt;BF478,$A478,B_MAX+1)</f>
        <v>395</v>
      </c>
      <c r="BK478" s="13">
        <f>IF(BB478=1,$BB$35,$BB$36)</f>
        <v>0</v>
      </c>
      <c r="BL478" s="13">
        <f>OCC_DAYS*$BB$41*R_NF_2023-BD478*MCD_SHARE_FREED*R_WAIT_2023</f>
        <v>151980.48282209205</v>
      </c>
      <c r="BM478">
        <f>IF($A478&lt;=$BB$45,1,0)</f>
        <v>0</v>
      </c>
      <c r="CB478">
        <f>IF($CB$31&lt;=$CB$32,IF($A478&lt;=$CB$7,1,2),IF($A478&lt;=RUNG_BEDS_2,2,1))</f>
        <v>2</v>
      </c>
      <c r="CC478" s="5">
        <f>MIN(1,MAX(0,$CB$26-($A478-1)))</f>
        <v>0</v>
      </c>
      <c r="CD478" s="5">
        <f>$CB$25*(CC478+(1-CC478)*$CB$16)</f>
        <v>0.0</v>
      </c>
      <c r="CE478" s="13">
        <f>CD478*($CB$6+ACUTE_MARGIN)</f>
        <v>0.0</v>
      </c>
      <c r="CF478" s="13">
        <f>IF(CB478=1,$CB$31,$CB$32)</f>
        <v>160718.36940738867</v>
      </c>
      <c r="CG478" s="13">
        <f>CE478-CF478</f>
        <v>-160718.36940738867</v>
      </c>
      <c r="CH478" s="13">
        <f>CH477+CG478</f>
        <v>-25254785.287646364</v>
      </c>
      <c r="CI478">
        <f>IF(CH478=MAX($CH$83:$CH$483),$A478,0)</f>
        <v>0</v>
      </c>
      <c r="CJ478">
        <f>IF(CE478&lt;CF478,$A478,B_MAX+1)</f>
        <v>395</v>
      </c>
      <c r="CK478" s="13">
        <f>IF(CB478=1,$CB$35,$CB$36)</f>
        <v>1560.1194073886782</v>
      </c>
      <c r="CL478" s="13">
        <f>OCC_DAYS*$CB$41*R_NF_2023-CD478*MCD_SHARE_FREED*R_WAIT_2023</f>
        <v>151980.48282209205</v>
      </c>
      <c r="CM478">
        <f>IF($A478&lt;=$CB$45,1,0)</f>
        <v>0</v>
      </c>
      <c r="DB478">
        <f>IF($DB$31&lt;=$DB$32,IF($A478&lt;=$DB$7,1,2),IF($A478&lt;=RUNG_BEDS_2,2,1))</f>
        <v>1</v>
      </c>
      <c r="DC478" s="5">
        <f>MIN(1,MAX(0,$DB$26-($A478-1)))</f>
        <v>0</v>
      </c>
      <c r="DD478" s="5">
        <f>$DB$25*(DC478+(1-DC478)*$DB$16)</f>
        <v>0.0</v>
      </c>
      <c r="DE478" s="13">
        <f>DD478*($DB$6+ACUTE_MARGIN)</f>
        <v>0.0</v>
      </c>
      <c r="DF478" s="13">
        <f>IF(DB478=1,$DB$31,$DB$32)</f>
        <v>152394.16214437486</v>
      </c>
      <c r="DG478" s="13">
        <f>DE478-DF478</f>
        <v>-152394.16214437486</v>
      </c>
      <c r="DH478" s="13">
        <f>DH477+DG478</f>
        <v>-21966723.418755673</v>
      </c>
      <c r="DI478">
        <f>IF(DH478=MAX($DH$83:$DH$483),$A478,0)</f>
        <v>0</v>
      </c>
      <c r="DJ478">
        <f>IF(DE478&lt;DF478,$A478,B_MAX+1)</f>
        <v>395</v>
      </c>
      <c r="DK478" s="13">
        <f>IF(DB478=1,$DB$35,$DB$36)</f>
        <v>0</v>
      </c>
      <c r="DL478" s="13">
        <f>OCC_DAYS*$DB$41*R_NF_2023-DD478*MCD_SHARE_FREED*R_WAIT_2023</f>
        <v>151980.48282209205</v>
      </c>
      <c r="DM478">
        <f>IF($A478&lt;=$DB$45,1,0)</f>
        <v>0</v>
      </c>
      <c r="EB478">
        <f>IF($EB$31&lt;=$EB$32,IF($A478&lt;=$EB$7,1,2),IF($A478&lt;=RUNG_BEDS_2,2,1))</f>
        <v>1</v>
      </c>
      <c r="EC478" s="5">
        <f>MIN(1,MAX(0,$EB$26-($A478-1)))</f>
        <v>0</v>
      </c>
      <c r="ED478" s="5">
        <f>$EB$25*(EC478+(1-EC478)*$EB$16)</f>
        <v>0.0</v>
      </c>
      <c r="EE478" s="13">
        <f>ED478*($EB$6+ACUTE_MARGIN)</f>
        <v>0.0</v>
      </c>
      <c r="EF478" s="13">
        <f>IF(EB478=1,$EB$31,$EB$32)</f>
        <v>152394.16214437486</v>
      </c>
      <c r="EG478" s="13">
        <f>EE478-EF478</f>
        <v>-152394.16214437486</v>
      </c>
      <c r="EH478" s="13">
        <f>EH477+EG478</f>
        <v>-21966723.418755673</v>
      </c>
      <c r="EI478">
        <f>IF(EH478=MAX($EH$83:$EH$483),$A478,0)</f>
        <v>0</v>
      </c>
      <c r="EJ478">
        <f>IF(EE478&lt;EF478,$A478,B_MAX+1)</f>
        <v>395</v>
      </c>
      <c r="EK478" s="13">
        <f>IF(EB478=1,$EB$35,$EB$36)</f>
        <v>0</v>
      </c>
      <c r="EL478" s="13">
        <f>OCC_DAYS*$EB$41*R_NF_2023-ED478*MCD_SHARE_FREED*R_WAIT_2023</f>
        <v>50660.16094069735</v>
      </c>
      <c r="EM478">
        <f>IF($A478&lt;=$EB$45,1,0)</f>
        <v>0</v>
      </c>
      <c r="FB478">
        <f>IF($FB$31&lt;=$FB$32,IF($A478&lt;=$FB$7,1,2),IF($A478&lt;=RUNG_BEDS_2,2,1))</f>
        <v>1</v>
      </c>
      <c r="FC478" s="5">
        <f>MIN(1,MAX(0,$FB$26-($A478-1)))</f>
        <v>0</v>
      </c>
      <c r="FD478" s="5">
        <f>$FB$25*(FC478+(1-FC478)*$FB$16)</f>
        <v>0.0</v>
      </c>
      <c r="FE478" s="13">
        <f>FD478*($FB$6+ACUTE_MARGIN)</f>
        <v>0.0</v>
      </c>
      <c r="FF478" s="13">
        <f>IF(FB478=1,$FB$31,$FB$32)</f>
        <v>156636.04979437485</v>
      </c>
      <c r="FG478" s="13">
        <f>FE478-FF478</f>
        <v>-156636.04979437485</v>
      </c>
      <c r="FH478" s="13">
        <f>FH477+FG478</f>
        <v>-23642269.040505853</v>
      </c>
      <c r="FI478">
        <f>IF(FH478=MAX($FH$83:$FH$483),$A478,0)</f>
        <v>0</v>
      </c>
      <c r="FJ478">
        <f>IF(FE478&lt;FF478,$A478,B_MAX+1)</f>
        <v>395</v>
      </c>
      <c r="FK478" s="13">
        <f>IF(FB478=1,$FB$35,$FB$36)</f>
        <v>0</v>
      </c>
      <c r="FL478" s="13">
        <f>OCC_DAYS*$FB$41*R_NF_2023-FD478*MCD_SHARE_FREED*R_WAIT_2023</f>
        <v>151980.48282209205</v>
      </c>
      <c r="FM478">
        <f>IF($A478&lt;=$FB$45,1,0)</f>
        <v>0</v>
      </c>
      <c r="GB478">
        <f>IF($GB$31&lt;=$GB$32,IF($A478&lt;=$GB$7,1,2),IF($A478&lt;=RUNG_BEDS_2,2,1))</f>
        <v>1</v>
      </c>
      <c r="GC478" s="5">
        <f>MIN(1,MAX(0,$GB$26-($A478-1)))</f>
        <v>0</v>
      </c>
      <c r="GD478" s="5">
        <f>$GB$25*(GC478+(1-GC478)*$GB$16)</f>
        <v>0.0</v>
      </c>
      <c r="GE478" s="13">
        <f>GD478*($GB$6+ACUTE_MARGIN)</f>
        <v>0.0</v>
      </c>
      <c r="GF478" s="13">
        <f>IF(GB478=1,$GB$31,$GB$32)</f>
        <v>152394.16214437486</v>
      </c>
      <c r="GG478" s="13">
        <f>GE478-GF478</f>
        <v>-152394.16214437486</v>
      </c>
      <c r="GH478" s="13">
        <f>GH477+GG478</f>
        <v>-21966723.418755673</v>
      </c>
      <c r="GI478">
        <f>IF(GH478=MAX($GH$83:$GH$483),$A478,0)</f>
        <v>0</v>
      </c>
      <c r="GJ478">
        <f>IF(GE478&lt;GF478,$A478,B_MAX+1)</f>
        <v>395</v>
      </c>
      <c r="GK478" s="13">
        <f>IF(GB478=1,$GB$35,$GB$36)</f>
        <v>0</v>
      </c>
      <c r="GL478" s="13">
        <f>OCC_DAYS*$GB$41*R_NF_2023-GD478*MCD_SHARE_FREED*R_WAIT_2023</f>
        <v>151980.48282209205</v>
      </c>
      <c r="GM478">
        <f>IF($A478&lt;=$GB$45,1,0)</f>
        <v>0</v>
      </c>
      <c r="HB478">
        <f>IF($HB$31&lt;=$HB$32,IF($A478&lt;=$HB$7,1,2),IF($A478&lt;=RUNG_BEDS_2,2,1))</f>
        <v>1</v>
      </c>
      <c r="HC478" s="5">
        <f>MIN(1,MAX(0,$HB$26-($A478-1)))</f>
        <v>0</v>
      </c>
      <c r="HD478" s="5">
        <f>$HB$25*(HC478+(1-HC478)*$HB$16)</f>
        <v>0.0</v>
      </c>
      <c r="HE478" s="13">
        <f>HD478*($HB$6+ACUTE_MARGIN)</f>
        <v>0.0</v>
      </c>
      <c r="HF478" s="13">
        <f>IF(HB478=1,$HB$31,$HB$32)</f>
        <v>152456.2970814058</v>
      </c>
      <c r="HG478" s="13">
        <f>HE478-HF478</f>
        <v>-152456.2970814058</v>
      </c>
      <c r="HH478" s="13">
        <f>HH477+HG478</f>
        <v>-21991266.718883026</v>
      </c>
      <c r="HI478">
        <f>IF(HH478=MAX($HH$83:$HH$483),$A478,0)</f>
        <v>0</v>
      </c>
      <c r="HJ478">
        <f>IF(HE478&lt;HF478,$A478,B_MAX+1)</f>
        <v>395</v>
      </c>
      <c r="HK478" s="13">
        <f>IF(HB478=1,$HB$35,$HB$36)</f>
        <v>0</v>
      </c>
      <c r="HL478" s="13">
        <f>OCC_DAYS*$HB$41*R_NF_2023-HD478*MCD_SHARE_FREED*R_WAIT_2023</f>
        <v>151980.48282209205</v>
      </c>
      <c r="HM478">
        <f>IF($A478&lt;=$HB$45,1,0)</f>
        <v>0</v>
      </c>
      <c r="IB478">
        <f>IF($IB$31&lt;=$IB$32,IF($A478&lt;=$IB$7,1,2),IF($A478&lt;=RUNG_BEDS_2,2,1))</f>
        <v>1</v>
      </c>
      <c r="IC478" s="5">
        <f>MIN(1,MAX(0,$IB$26-($A478-1)))</f>
        <v>0</v>
      </c>
      <c r="ID478" s="5">
        <f>$IB$25*(IC478+(1-IC478)*$IB$16)</f>
        <v>0.0</v>
      </c>
      <c r="IE478" s="13">
        <f>ID478*($IB$6+ACUTE_MARGIN)</f>
        <v>0.0</v>
      </c>
      <c r="IF478" s="13">
        <f>IF(IB478=1,$IB$31,$IB$32)</f>
        <v>152734.9994534971</v>
      </c>
      <c r="IG478" s="13">
        <f>IE478-IF478</f>
        <v>-152734.9994534971</v>
      </c>
      <c r="IH478" s="13">
        <f>IH477+IG478</f>
        <v>-22101354.15585903</v>
      </c>
      <c r="II478">
        <f>IF(IH478=MAX($IH$83:$IH$483),$A478,0)</f>
        <v>0</v>
      </c>
      <c r="IJ478">
        <f>IF(IE478&lt;IF478,$A478,B_MAX+1)</f>
        <v>395</v>
      </c>
      <c r="IK478" s="13">
        <f>IF(IB478=1,$IB$35,$IB$36)</f>
        <v>0</v>
      </c>
      <c r="IL478" s="13">
        <f>OCC_DAYS*$IB$41*R_NF_2023-ID478*MCD_SHARE_FREED*R_WAIT_2023</f>
        <v>151980.48282209205</v>
      </c>
      <c r="IM478">
        <f>IF($A478&lt;=$IB$45,1,0)</f>
        <v>0</v>
      </c>
      <c r="JB478">
        <f>IF($JB$31&lt;=$JB$32,IF($A478&lt;=$JB$7,1,2),IF($A478&lt;=RUNG_BEDS_2,2,1))</f>
        <v>1</v>
      </c>
      <c r="JC478" s="5">
        <f>MIN(1,MAX(0,$JB$26-($A478-1)))</f>
        <v>0</v>
      </c>
      <c r="JD478" s="5">
        <f>$JB$25*(JC478+(1-JC478)*$JB$16)</f>
        <v>0.0</v>
      </c>
      <c r="JE478" s="13">
        <f>JD478*($JB$6+ACUTE_MARGIN)</f>
        <v>0.0</v>
      </c>
      <c r="JF478" s="13">
        <f>IF(JB478=1,$JB$31,$JB$32)</f>
        <v>152394.16214437486</v>
      </c>
      <c r="JG478" s="13">
        <f>JE478-JF478</f>
        <v>-152394.16214437486</v>
      </c>
      <c r="JH478" s="13">
        <f>JH477+JG478</f>
        <v>-21966723.418755673</v>
      </c>
      <c r="JI478">
        <f>IF(JH478=MAX($JH$83:$JH$483),$A478,0)</f>
        <v>0</v>
      </c>
      <c r="JJ478">
        <f>IF(JE478&lt;JF478,$A478,B_MAX+1)</f>
        <v>395</v>
      </c>
      <c r="JK478" s="13">
        <f>IF(JB478=1,$JB$35,$JB$36)</f>
        <v>0</v>
      </c>
      <c r="JL478" s="13">
        <f>OCC_DAYS*$JB$41*R_NF_2023-JD478*MCD_SHARE_FREED*R_WAIT_2023</f>
        <v>151980.48282209205</v>
      </c>
      <c r="JM478">
        <f>IF($A478&lt;=$JB$45,1,0)</f>
        <v>0</v>
      </c>
      <c r="KB478">
        <f>IF($KB$31&lt;=$KB$32,IF($A478&lt;=$KB$7,1,2),IF($A478&lt;=RUNG_BEDS_2,2,1))</f>
        <v>1</v>
      </c>
      <c r="KC478" s="5">
        <f>MIN(1,MAX(0,$KB$26-($A478-1)))</f>
        <v>0</v>
      </c>
      <c r="KD478" s="5">
        <f>$KB$25*(KC478+(1-KC478)*$KB$16)</f>
        <v>0.0</v>
      </c>
      <c r="KE478" s="13">
        <f>KD478*($KB$6+ACUTE_MARGIN)</f>
        <v>0.0</v>
      </c>
      <c r="KF478" s="13">
        <f>IF(KB478=1,$KB$31,$KB$32)</f>
        <v>152394.16214437486</v>
      </c>
      <c r="KG478" s="13">
        <f>KE478-KF478</f>
        <v>-152394.16214437486</v>
      </c>
      <c r="KH478" s="13">
        <f>KH477+KG478</f>
        <v>-21966723.41875578</v>
      </c>
      <c r="KI478">
        <f>IF(KH478=MAX($KH$83:$KH$483),$A478,0)</f>
        <v>0</v>
      </c>
      <c r="KJ478">
        <f>IF(KE478&lt;KF478,$A478,B_MAX+1)</f>
        <v>395</v>
      </c>
      <c r="KK478" s="13">
        <f>IF(KB478=1,$KB$35,$KB$36)</f>
        <v>0</v>
      </c>
      <c r="KL478" s="13">
        <f>OCC_DAYS*$KB$41*R_NF_2023-KD478*MCD_SHARE_FREED*R_WAIT_2023</f>
        <v>151980.48282209205</v>
      </c>
      <c r="KM478">
        <f>IF($A478&lt;=$KB$45,1,0)</f>
        <v>0</v>
      </c>
      <c r="LB478">
        <f>IF($LB$31&lt;=$LB$32,IF($A478&lt;=$LB$7,1,2),IF($A478&lt;=RUNG_BEDS_2,2,1))</f>
        <v>1</v>
      </c>
      <c r="LC478" s="5">
        <f>MIN(1,MAX(0,$LB$26-($A478-1)))</f>
        <v>1</v>
      </c>
      <c r="LD478" s="5">
        <f>$LB$25*(LC478+(1-LC478)*$LB$16)</f>
        <v>84.01774238227146</v>
      </c>
      <c r="LE478" s="13">
        <f>LD478*($LB$6+ACUTE_MARGIN)</f>
        <v>84857.91980609419</v>
      </c>
      <c r="LF478" s="13">
        <f>IF(LB478=1,$LB$31,$LB$32)</f>
        <v>152394.16214437486</v>
      </c>
      <c r="LG478" s="13">
        <f>LE478-LF478</f>
        <v>-67536.24233828067</v>
      </c>
      <c r="LH478" s="13">
        <f>LH477+LG478</f>
        <v>-26676815.723621015</v>
      </c>
      <c r="LI478">
        <f>IF(LH478=MAX($LH$83:$LH$483),$A478,0)</f>
        <v>0</v>
      </c>
      <c r="LJ478">
        <f>IF(LE478&lt;LF478,$A478,B_MAX+1)</f>
        <v>395</v>
      </c>
      <c r="LK478" s="13">
        <f>IF(LB478=1,$LB$35,$LB$36)</f>
        <v>0</v>
      </c>
      <c r="LL478" s="13">
        <f>OCC_DAYS*$LB$41*R_NF_2023-LD478*MCD_SHARE_FREED*R_WAIT_2023</f>
        <v>113776.04162887059</v>
      </c>
      <c r="LM478">
        <f>IF($A478&lt;=$LB$45,1,0)</f>
        <v>0</v>
      </c>
      <c r="MB478">
        <f>IF($MB$31&lt;=$MB$32,IF($A478&lt;=$MB$7,1,2),IF($A478&lt;=RUNG_BEDS_2,2,1))</f>
        <v>1</v>
      </c>
      <c r="MC478" s="5">
        <f>MIN(1,MAX(0,$MB$26-($A478-1)))</f>
        <v>0</v>
      </c>
      <c r="MD478" s="5">
        <f>$MB$25*(MC478+(1-MC478)*$MB$16)</f>
        <v>0.0</v>
      </c>
      <c r="ME478" s="13">
        <f>MD478*($MB$6+ACUTE_MARGIN)</f>
        <v>0.0</v>
      </c>
      <c r="MF478" s="13">
        <f>IF(MB478=1,$MB$31,$MB$32)</f>
        <v>152394.16214437486</v>
      </c>
      <c r="MG478" s="13">
        <f>ME478-MF478</f>
        <v>-152394.16214437486</v>
      </c>
      <c r="MH478" s="13">
        <f>MH477+MG478</f>
        <v>-27853999.480553973</v>
      </c>
      <c r="MI478">
        <f>IF(MH478=MAX($MH$83:$MH$483),$A478,0)</f>
        <v>0</v>
      </c>
      <c r="MJ478">
        <f>IF(ME478&lt;MF478,$A478,B_MAX+1)</f>
        <v>395</v>
      </c>
      <c r="MK478" s="13">
        <f>IF(MB478=1,$MB$35,$MB$36)</f>
        <v>0</v>
      </c>
      <c r="ML478" s="13">
        <f>OCC_DAYS*$MB$41*R_NF_2023-MD478*MCD_SHARE_FREED*R_WAIT_2023</f>
        <v>151980.48282209205</v>
      </c>
      <c r="MM478">
        <f>IF($A478&lt;=$MB$45,1,0)</f>
        <v>0</v>
      </c>
      <c r="NB478">
        <f>IF($NB$31&lt;=$NB$32,IF($A478&lt;=$NB$7,1,2),IF($A478&lt;=RUNG_BEDS_2,2,1))</f>
        <v>1</v>
      </c>
      <c r="NC478" s="5">
        <f>MIN(1,MAX(0,$NB$26-($A478-1)))</f>
        <v>0</v>
      </c>
      <c r="ND478" s="5">
        <f>$NB$25*(NC478+(1-NC478)*$NB$16)</f>
        <v>63.013306786703595</v>
      </c>
      <c r="NE478" s="13">
        <f>ND478*($NB$6+ACUTE_MARGIN)</f>
        <v>63643.43985457063</v>
      </c>
      <c r="NF478" s="13">
        <f>IF(NB478=1,$NB$31,$NB$32)</f>
        <v>152394.16214437486</v>
      </c>
      <c r="NG478" s="13">
        <f>NE478-NF478</f>
        <v>-88750.72228980422</v>
      </c>
      <c r="NH478" s="13">
        <f>NH477+NG478</f>
        <v>-6384807.3332684515</v>
      </c>
      <c r="NI478">
        <f>IF(NH478=MAX($NH$83:$NH$483),$A478,0)</f>
        <v>0</v>
      </c>
      <c r="NJ478">
        <f>IF(NE478&lt;NF478,$A478,B_MAX+1)</f>
        <v>395</v>
      </c>
      <c r="NK478" s="13">
        <f>IF(NB478=1,$NB$35,$NB$36)</f>
        <v>0</v>
      </c>
      <c r="NL478" s="13">
        <f>OCC_DAYS*$NB$41*R_NF_2023-ND478*MCD_SHARE_FREED*R_WAIT_2023</f>
        <v>123327.15192717595</v>
      </c>
      <c r="NM478">
        <f>IF($A478&lt;=$NB$45,1,0)</f>
        <v>0</v>
      </c>
      <c r="OB478">
        <f>IF($OB$31&lt;=$OB$32,IF($A478&lt;=$OB$7,1,2),IF($A478&lt;=RUNG_BEDS_2,2,1))</f>
        <v>1</v>
      </c>
      <c r="OC478" s="5">
        <f>MIN(1,MAX(0,$OB$26-($A478-1)))</f>
        <v>0</v>
      </c>
      <c r="OD478" s="5">
        <f>$OB$25*(OC478+(1-OC478)*$OB$16)</f>
        <v>126.02661357340719</v>
      </c>
      <c r="OE478" s="13">
        <f>OD478*($OB$6+ACUTE_MARGIN)</f>
        <v>127286.87970914126</v>
      </c>
      <c r="OF478" s="13">
        <f>IF(OB478=1,$OB$31,$OB$32)</f>
        <v>152394.16214437486</v>
      </c>
      <c r="OG478" s="13">
        <f>OE478-OF478</f>
        <v>-25107.282435233603</v>
      </c>
      <c r="OH478" s="13">
        <f>OH477+OG478</f>
        <v>9197108.752219113</v>
      </c>
      <c r="OI478">
        <f>IF(OH478=MAX($OH$83:$OH$483),$A478,0)</f>
        <v>0</v>
      </c>
      <c r="OJ478">
        <f>IF(OE478&lt;OF478,$A478,B_MAX+1)</f>
        <v>395</v>
      </c>
      <c r="OK478" s="13">
        <f>IF(OB478=1,$OB$35,$OB$36)</f>
        <v>0</v>
      </c>
      <c r="OL478" s="13">
        <f>OCC_DAYS*$OB$41*R_NF_2023-OD478*MCD_SHARE_FREED*R_WAIT_2023</f>
        <v>94673.82103225985</v>
      </c>
      <c r="OM478">
        <f>IF($A478&lt;=$OB$45,1,0)</f>
        <v>0</v>
      </c>
    </row>
    <row r="479">
      <c r="A479" t="n">
        <v>396</v>
      </c>
      <c r="B479">
        <f>IF($B$31&lt;=$B$32,IF($A479&lt;=$B$7,1,2),IF($A479&lt;=RUNG_BEDS_2,2,1))</f>
        <v>1</v>
      </c>
      <c r="C479" s="5">
        <f>MIN(1,MAX(0,$B$26-($A479-1)))</f>
        <v>0</v>
      </c>
      <c r="D479" s="5">
        <f>$B$25*(C479+(1-C479)*$B$16)</f>
        <v>0.0</v>
      </c>
      <c r="E479" s="13">
        <f>D479*($B$6+ACUTE_MARGIN)</f>
        <v>0.0</v>
      </c>
      <c r="F479" s="13">
        <f>IF(B479=1,$B$31,$B$32)</f>
        <v>152394.16214437486</v>
      </c>
      <c r="G479" s="13">
        <f>E479-F479</f>
        <v>-152394.16214437486</v>
      </c>
      <c r="H479" s="13">
        <f>H478+G479</f>
        <v>-22119117.580900047</v>
      </c>
      <c r="I479">
        <f>IF(H479=MAX($H$83:$H$483),$A479,0)</f>
        <v>0</v>
      </c>
      <c r="J479">
        <f>IF(E479&lt;F479,$A479,B_MAX+1)</f>
        <v>396</v>
      </c>
      <c r="K479" s="13">
        <f>IF(B479=1,$B$35,$B$36)</f>
        <v>0</v>
      </c>
      <c r="L479" s="13">
        <f>OCC_DAYS*$B$41*R_NF_2023-D479*MCD_SHARE_FREED*R_WAIT_2023</f>
        <v>151980.48282209205</v>
      </c>
      <c r="M479">
        <f>IF($A479&lt;=$B$45,1,0)</f>
        <v>0</v>
      </c>
      <c r="AB479">
        <f>IF($AB$31&lt;=$AB$32,IF($A479&lt;=$AB$7,1,2),IF($A479&lt;=RUNG_BEDS_2,2,1))</f>
        <v>1</v>
      </c>
      <c r="AC479" s="5">
        <f>MIN(1,MAX(0,$AB$26-($A479-1)))</f>
        <v>0</v>
      </c>
      <c r="AD479" s="5">
        <f>$AB$25*(AC479+(1-AC479)*$AB$16)</f>
        <v>0.0</v>
      </c>
      <c r="AE479" s="13">
        <f>AD479*($AB$6+ACUTE_MARGIN)</f>
        <v>0.0</v>
      </c>
      <c r="AF479" s="13">
        <f>IF(AB479=1,$AB$31,$AB$32)</f>
        <v>152394.16214437486</v>
      </c>
      <c r="AG479" s="13">
        <f>AE479-AF479</f>
        <v>-152394.16214437486</v>
      </c>
      <c r="AH479" s="13">
        <f>AH478+AG479</f>
        <v>-39530331.92644993</v>
      </c>
      <c r="AI479">
        <f>IF(AH479=MAX($AH$83:$AH$483),$A479,0)</f>
        <v>0</v>
      </c>
      <c r="AJ479">
        <f>IF(AE479&lt;AF479,$A479,B_MAX+1)</f>
        <v>396</v>
      </c>
      <c r="AK479" s="13">
        <f>IF(AB479=1,$AB$35,$AB$36)</f>
        <v>0</v>
      </c>
      <c r="AL479" s="13">
        <f>OCC_DAYS*$AB$41*R_NF_2023-AD479*MCD_SHARE_FREED*R_WAIT_2023</f>
        <v>151980.48282209205</v>
      </c>
      <c r="AM479">
        <f>IF($A479&lt;=$AB$45,1,0)</f>
        <v>0</v>
      </c>
      <c r="BB479">
        <f>IF($BB$31&lt;=$BB$32,IF($A479&lt;=$BB$7,1,2),IF($A479&lt;=RUNG_BEDS_2,2,1))</f>
        <v>1</v>
      </c>
      <c r="BC479" s="5">
        <f>MIN(1,MAX(0,$BB$26-($A479-1)))</f>
        <v>0</v>
      </c>
      <c r="BD479" s="5">
        <f>$BB$25*(BC479+(1-BC479)*$BB$16)</f>
        <v>0.0</v>
      </c>
      <c r="BE479" s="13">
        <f>BD479*($BB$6+ACUTE_MARGIN)</f>
        <v>0.0</v>
      </c>
      <c r="BF479" s="13">
        <f>IF(BB479=1,$BB$31,$BB$32)</f>
        <v>152394.16214437486</v>
      </c>
      <c r="BG479" s="13">
        <f>BE479-BF479</f>
        <v>-152394.16214437486</v>
      </c>
      <c r="BH479" s="13">
        <f>BH478+BG479</f>
        <v>-4707903.235350362</v>
      </c>
      <c r="BI479">
        <f>IF(BH479=MAX($BH$83:$BH$483),$A479,0)</f>
        <v>0</v>
      </c>
      <c r="BJ479">
        <f>IF(BE479&lt;BF479,$A479,B_MAX+1)</f>
        <v>396</v>
      </c>
      <c r="BK479" s="13">
        <f>IF(BB479=1,$BB$35,$BB$36)</f>
        <v>0</v>
      </c>
      <c r="BL479" s="13">
        <f>OCC_DAYS*$BB$41*R_NF_2023-BD479*MCD_SHARE_FREED*R_WAIT_2023</f>
        <v>151980.48282209205</v>
      </c>
      <c r="BM479">
        <f>IF($A479&lt;=$BB$45,1,0)</f>
        <v>0</v>
      </c>
      <c r="CB479">
        <f>IF($CB$31&lt;=$CB$32,IF($A479&lt;=$CB$7,1,2),IF($A479&lt;=RUNG_BEDS_2,2,1))</f>
        <v>2</v>
      </c>
      <c r="CC479" s="5">
        <f>MIN(1,MAX(0,$CB$26-($A479-1)))</f>
        <v>0</v>
      </c>
      <c r="CD479" s="5">
        <f>$CB$25*(CC479+(1-CC479)*$CB$16)</f>
        <v>0.0</v>
      </c>
      <c r="CE479" s="13">
        <f>CD479*($CB$6+ACUTE_MARGIN)</f>
        <v>0.0</v>
      </c>
      <c r="CF479" s="13">
        <f>IF(CB479=1,$CB$31,$CB$32)</f>
        <v>160718.36940738867</v>
      </c>
      <c r="CG479" s="13">
        <f>CE479-CF479</f>
        <v>-160718.36940738867</v>
      </c>
      <c r="CH479" s="13">
        <f>CH478+CG479</f>
        <v>-25415503.657053754</v>
      </c>
      <c r="CI479">
        <f>IF(CH479=MAX($CH$83:$CH$483),$A479,0)</f>
        <v>0</v>
      </c>
      <c r="CJ479">
        <f>IF(CE479&lt;CF479,$A479,B_MAX+1)</f>
        <v>396</v>
      </c>
      <c r="CK479" s="13">
        <f>IF(CB479=1,$CB$35,$CB$36)</f>
        <v>1560.1194073886782</v>
      </c>
      <c r="CL479" s="13">
        <f>OCC_DAYS*$CB$41*R_NF_2023-CD479*MCD_SHARE_FREED*R_WAIT_2023</f>
        <v>151980.48282209205</v>
      </c>
      <c r="CM479">
        <f>IF($A479&lt;=$CB$45,1,0)</f>
        <v>0</v>
      </c>
      <c r="DB479">
        <f>IF($DB$31&lt;=$DB$32,IF($A479&lt;=$DB$7,1,2),IF($A479&lt;=RUNG_BEDS_2,2,1))</f>
        <v>1</v>
      </c>
      <c r="DC479" s="5">
        <f>MIN(1,MAX(0,$DB$26-($A479-1)))</f>
        <v>0</v>
      </c>
      <c r="DD479" s="5">
        <f>$DB$25*(DC479+(1-DC479)*$DB$16)</f>
        <v>0.0</v>
      </c>
      <c r="DE479" s="13">
        <f>DD479*($DB$6+ACUTE_MARGIN)</f>
        <v>0.0</v>
      </c>
      <c r="DF479" s="13">
        <f>IF(DB479=1,$DB$31,$DB$32)</f>
        <v>152394.16214437486</v>
      </c>
      <c r="DG479" s="13">
        <f>DE479-DF479</f>
        <v>-152394.16214437486</v>
      </c>
      <c r="DH479" s="13">
        <f>DH478+DG479</f>
        <v>-22119117.580900047</v>
      </c>
      <c r="DI479">
        <f>IF(DH479=MAX($DH$83:$DH$483),$A479,0)</f>
        <v>0</v>
      </c>
      <c r="DJ479">
        <f>IF(DE479&lt;DF479,$A479,B_MAX+1)</f>
        <v>396</v>
      </c>
      <c r="DK479" s="13">
        <f>IF(DB479=1,$DB$35,$DB$36)</f>
        <v>0</v>
      </c>
      <c r="DL479" s="13">
        <f>OCC_DAYS*$DB$41*R_NF_2023-DD479*MCD_SHARE_FREED*R_WAIT_2023</f>
        <v>151980.48282209205</v>
      </c>
      <c r="DM479">
        <f>IF($A479&lt;=$DB$45,1,0)</f>
        <v>0</v>
      </c>
      <c r="EB479">
        <f>IF($EB$31&lt;=$EB$32,IF($A479&lt;=$EB$7,1,2),IF($A479&lt;=RUNG_BEDS_2,2,1))</f>
        <v>1</v>
      </c>
      <c r="EC479" s="5">
        <f>MIN(1,MAX(0,$EB$26-($A479-1)))</f>
        <v>0</v>
      </c>
      <c r="ED479" s="5">
        <f>$EB$25*(EC479+(1-EC479)*$EB$16)</f>
        <v>0.0</v>
      </c>
      <c r="EE479" s="13">
        <f>ED479*($EB$6+ACUTE_MARGIN)</f>
        <v>0.0</v>
      </c>
      <c r="EF479" s="13">
        <f>IF(EB479=1,$EB$31,$EB$32)</f>
        <v>152394.16214437486</v>
      </c>
      <c r="EG479" s="13">
        <f>EE479-EF479</f>
        <v>-152394.16214437486</v>
      </c>
      <c r="EH479" s="13">
        <f>EH478+EG479</f>
        <v>-22119117.580900047</v>
      </c>
      <c r="EI479">
        <f>IF(EH479=MAX($EH$83:$EH$483),$A479,0)</f>
        <v>0</v>
      </c>
      <c r="EJ479">
        <f>IF(EE479&lt;EF479,$A479,B_MAX+1)</f>
        <v>396</v>
      </c>
      <c r="EK479" s="13">
        <f>IF(EB479=1,$EB$35,$EB$36)</f>
        <v>0</v>
      </c>
      <c r="EL479" s="13">
        <f>OCC_DAYS*$EB$41*R_NF_2023-ED479*MCD_SHARE_FREED*R_WAIT_2023</f>
        <v>50660.16094069735</v>
      </c>
      <c r="EM479">
        <f>IF($A479&lt;=$EB$45,1,0)</f>
        <v>0</v>
      </c>
      <c r="FB479">
        <f>IF($FB$31&lt;=$FB$32,IF($A479&lt;=$FB$7,1,2),IF($A479&lt;=RUNG_BEDS_2,2,1))</f>
        <v>1</v>
      </c>
      <c r="FC479" s="5">
        <f>MIN(1,MAX(0,$FB$26-($A479-1)))</f>
        <v>0</v>
      </c>
      <c r="FD479" s="5">
        <f>$FB$25*(FC479+(1-FC479)*$FB$16)</f>
        <v>0.0</v>
      </c>
      <c r="FE479" s="13">
        <f>FD479*($FB$6+ACUTE_MARGIN)</f>
        <v>0.0</v>
      </c>
      <c r="FF479" s="13">
        <f>IF(FB479=1,$FB$31,$FB$32)</f>
        <v>156636.04979437485</v>
      </c>
      <c r="FG479" s="13">
        <f>FE479-FF479</f>
        <v>-156636.04979437485</v>
      </c>
      <c r="FH479" s="13">
        <f>FH478+FG479</f>
        <v>-23798905.09030023</v>
      </c>
      <c r="FI479">
        <f>IF(FH479=MAX($FH$83:$FH$483),$A479,0)</f>
        <v>0</v>
      </c>
      <c r="FJ479">
        <f>IF(FE479&lt;FF479,$A479,B_MAX+1)</f>
        <v>396</v>
      </c>
      <c r="FK479" s="13">
        <f>IF(FB479=1,$FB$35,$FB$36)</f>
        <v>0</v>
      </c>
      <c r="FL479" s="13">
        <f>OCC_DAYS*$FB$41*R_NF_2023-FD479*MCD_SHARE_FREED*R_WAIT_2023</f>
        <v>151980.48282209205</v>
      </c>
      <c r="FM479">
        <f>IF($A479&lt;=$FB$45,1,0)</f>
        <v>0</v>
      </c>
      <c r="GB479">
        <f>IF($GB$31&lt;=$GB$32,IF($A479&lt;=$GB$7,1,2),IF($A479&lt;=RUNG_BEDS_2,2,1))</f>
        <v>1</v>
      </c>
      <c r="GC479" s="5">
        <f>MIN(1,MAX(0,$GB$26-($A479-1)))</f>
        <v>0</v>
      </c>
      <c r="GD479" s="5">
        <f>$GB$25*(GC479+(1-GC479)*$GB$16)</f>
        <v>0.0</v>
      </c>
      <c r="GE479" s="13">
        <f>GD479*($GB$6+ACUTE_MARGIN)</f>
        <v>0.0</v>
      </c>
      <c r="GF479" s="13">
        <f>IF(GB479=1,$GB$31,$GB$32)</f>
        <v>152394.16214437486</v>
      </c>
      <c r="GG479" s="13">
        <f>GE479-GF479</f>
        <v>-152394.16214437486</v>
      </c>
      <c r="GH479" s="13">
        <f>GH478+GG479</f>
        <v>-22119117.580900047</v>
      </c>
      <c r="GI479">
        <f>IF(GH479=MAX($GH$83:$GH$483),$A479,0)</f>
        <v>0</v>
      </c>
      <c r="GJ479">
        <f>IF(GE479&lt;GF479,$A479,B_MAX+1)</f>
        <v>396</v>
      </c>
      <c r="GK479" s="13">
        <f>IF(GB479=1,$GB$35,$GB$36)</f>
        <v>0</v>
      </c>
      <c r="GL479" s="13">
        <f>OCC_DAYS*$GB$41*R_NF_2023-GD479*MCD_SHARE_FREED*R_WAIT_2023</f>
        <v>151980.48282209205</v>
      </c>
      <c r="GM479">
        <f>IF($A479&lt;=$GB$45,1,0)</f>
        <v>0</v>
      </c>
      <c r="HB479">
        <f>IF($HB$31&lt;=$HB$32,IF($A479&lt;=$HB$7,1,2),IF($A479&lt;=RUNG_BEDS_2,2,1))</f>
        <v>1</v>
      </c>
      <c r="HC479" s="5">
        <f>MIN(1,MAX(0,$HB$26-($A479-1)))</f>
        <v>0</v>
      </c>
      <c r="HD479" s="5">
        <f>$HB$25*(HC479+(1-HC479)*$HB$16)</f>
        <v>0.0</v>
      </c>
      <c r="HE479" s="13">
        <f>HD479*($HB$6+ACUTE_MARGIN)</f>
        <v>0.0</v>
      </c>
      <c r="HF479" s="13">
        <f>IF(HB479=1,$HB$31,$HB$32)</f>
        <v>152456.2970814058</v>
      </c>
      <c r="HG479" s="13">
        <f>HE479-HF479</f>
        <v>-152456.2970814058</v>
      </c>
      <c r="HH479" s="13">
        <f>HH478+HG479</f>
        <v>-22143723.015964434</v>
      </c>
      <c r="HI479">
        <f>IF(HH479=MAX($HH$83:$HH$483),$A479,0)</f>
        <v>0</v>
      </c>
      <c r="HJ479">
        <f>IF(HE479&lt;HF479,$A479,B_MAX+1)</f>
        <v>396</v>
      </c>
      <c r="HK479" s="13">
        <f>IF(HB479=1,$HB$35,$HB$36)</f>
        <v>0</v>
      </c>
      <c r="HL479" s="13">
        <f>OCC_DAYS*$HB$41*R_NF_2023-HD479*MCD_SHARE_FREED*R_WAIT_2023</f>
        <v>151980.48282209205</v>
      </c>
      <c r="HM479">
        <f>IF($A479&lt;=$HB$45,1,0)</f>
        <v>0</v>
      </c>
      <c r="IB479">
        <f>IF($IB$31&lt;=$IB$32,IF($A479&lt;=$IB$7,1,2),IF($A479&lt;=RUNG_BEDS_2,2,1))</f>
        <v>1</v>
      </c>
      <c r="IC479" s="5">
        <f>MIN(1,MAX(0,$IB$26-($A479-1)))</f>
        <v>0</v>
      </c>
      <c r="ID479" s="5">
        <f>$IB$25*(IC479+(1-IC479)*$IB$16)</f>
        <v>0.0</v>
      </c>
      <c r="IE479" s="13">
        <f>ID479*($IB$6+ACUTE_MARGIN)</f>
        <v>0.0</v>
      </c>
      <c r="IF479" s="13">
        <f>IF(IB479=1,$IB$31,$IB$32)</f>
        <v>152734.9994534971</v>
      </c>
      <c r="IG479" s="13">
        <f>IE479-IF479</f>
        <v>-152734.9994534971</v>
      </c>
      <c r="IH479" s="13">
        <f>IH478+IG479</f>
        <v>-22254089.155312527</v>
      </c>
      <c r="II479">
        <f>IF(IH479=MAX($IH$83:$IH$483),$A479,0)</f>
        <v>0</v>
      </c>
      <c r="IJ479">
        <f>IF(IE479&lt;IF479,$A479,B_MAX+1)</f>
        <v>396</v>
      </c>
      <c r="IK479" s="13">
        <f>IF(IB479=1,$IB$35,$IB$36)</f>
        <v>0</v>
      </c>
      <c r="IL479" s="13">
        <f>OCC_DAYS*$IB$41*R_NF_2023-ID479*MCD_SHARE_FREED*R_WAIT_2023</f>
        <v>151980.48282209205</v>
      </c>
      <c r="IM479">
        <f>IF($A479&lt;=$IB$45,1,0)</f>
        <v>0</v>
      </c>
      <c r="JB479">
        <f>IF($JB$31&lt;=$JB$32,IF($A479&lt;=$JB$7,1,2),IF($A479&lt;=RUNG_BEDS_2,2,1))</f>
        <v>1</v>
      </c>
      <c r="JC479" s="5">
        <f>MIN(1,MAX(0,$JB$26-($A479-1)))</f>
        <v>0</v>
      </c>
      <c r="JD479" s="5">
        <f>$JB$25*(JC479+(1-JC479)*$JB$16)</f>
        <v>0.0</v>
      </c>
      <c r="JE479" s="13">
        <f>JD479*($JB$6+ACUTE_MARGIN)</f>
        <v>0.0</v>
      </c>
      <c r="JF479" s="13">
        <f>IF(JB479=1,$JB$31,$JB$32)</f>
        <v>152394.16214437486</v>
      </c>
      <c r="JG479" s="13">
        <f>JE479-JF479</f>
        <v>-152394.16214437486</v>
      </c>
      <c r="JH479" s="13">
        <f>JH478+JG479</f>
        <v>-22119117.580900047</v>
      </c>
      <c r="JI479">
        <f>IF(JH479=MAX($JH$83:$JH$483),$A479,0)</f>
        <v>0</v>
      </c>
      <c r="JJ479">
        <f>IF(JE479&lt;JF479,$A479,B_MAX+1)</f>
        <v>396</v>
      </c>
      <c r="JK479" s="13">
        <f>IF(JB479=1,$JB$35,$JB$36)</f>
        <v>0</v>
      </c>
      <c r="JL479" s="13">
        <f>OCC_DAYS*$JB$41*R_NF_2023-JD479*MCD_SHARE_FREED*R_WAIT_2023</f>
        <v>151980.48282209205</v>
      </c>
      <c r="JM479">
        <f>IF($A479&lt;=$JB$45,1,0)</f>
        <v>0</v>
      </c>
      <c r="KB479">
        <f>IF($KB$31&lt;=$KB$32,IF($A479&lt;=$KB$7,1,2),IF($A479&lt;=RUNG_BEDS_2,2,1))</f>
        <v>1</v>
      </c>
      <c r="KC479" s="5">
        <f>MIN(1,MAX(0,$KB$26-($A479-1)))</f>
        <v>0</v>
      </c>
      <c r="KD479" s="5">
        <f>$KB$25*(KC479+(1-KC479)*$KB$16)</f>
        <v>0.0</v>
      </c>
      <c r="KE479" s="13">
        <f>KD479*($KB$6+ACUTE_MARGIN)</f>
        <v>0.0</v>
      </c>
      <c r="KF479" s="13">
        <f>IF(KB479=1,$KB$31,$KB$32)</f>
        <v>152394.16214437486</v>
      </c>
      <c r="KG479" s="13">
        <f>KE479-KF479</f>
        <v>-152394.16214437486</v>
      </c>
      <c r="KH479" s="13">
        <f>KH478+KG479</f>
        <v>-22119117.580900155</v>
      </c>
      <c r="KI479">
        <f>IF(KH479=MAX($KH$83:$KH$483),$A479,0)</f>
        <v>0</v>
      </c>
      <c r="KJ479">
        <f>IF(KE479&lt;KF479,$A479,B_MAX+1)</f>
        <v>396</v>
      </c>
      <c r="KK479" s="13">
        <f>IF(KB479=1,$KB$35,$KB$36)</f>
        <v>0</v>
      </c>
      <c r="KL479" s="13">
        <f>OCC_DAYS*$KB$41*R_NF_2023-KD479*MCD_SHARE_FREED*R_WAIT_2023</f>
        <v>151980.48282209205</v>
      </c>
      <c r="KM479">
        <f>IF($A479&lt;=$KB$45,1,0)</f>
        <v>0</v>
      </c>
      <c r="LB479">
        <f>IF($LB$31&lt;=$LB$32,IF($A479&lt;=$LB$7,1,2),IF($A479&lt;=RUNG_BEDS_2,2,1))</f>
        <v>1</v>
      </c>
      <c r="LC479" s="5">
        <f>MIN(1,MAX(0,$LB$26-($A479-1)))</f>
        <v>1</v>
      </c>
      <c r="LD479" s="5">
        <f>$LB$25*(LC479+(1-LC479)*$LB$16)</f>
        <v>84.01774238227146</v>
      </c>
      <c r="LE479" s="13">
        <f>LD479*($LB$6+ACUTE_MARGIN)</f>
        <v>84857.91980609419</v>
      </c>
      <c r="LF479" s="13">
        <f>IF(LB479=1,$LB$31,$LB$32)</f>
        <v>152394.16214437486</v>
      </c>
      <c r="LG479" s="13">
        <f>LE479-LF479</f>
        <v>-67536.24233828067</v>
      </c>
      <c r="LH479" s="13">
        <f>LH478+LG479</f>
        <v>-26744351.965959296</v>
      </c>
      <c r="LI479">
        <f>IF(LH479=MAX($LH$83:$LH$483),$A479,0)</f>
        <v>0</v>
      </c>
      <c r="LJ479">
        <f>IF(LE479&lt;LF479,$A479,B_MAX+1)</f>
        <v>396</v>
      </c>
      <c r="LK479" s="13">
        <f>IF(LB479=1,$LB$35,$LB$36)</f>
        <v>0</v>
      </c>
      <c r="LL479" s="13">
        <f>OCC_DAYS*$LB$41*R_NF_2023-LD479*MCD_SHARE_FREED*R_WAIT_2023</f>
        <v>113776.04162887059</v>
      </c>
      <c r="LM479">
        <f>IF($A479&lt;=$LB$45,1,0)</f>
        <v>0</v>
      </c>
      <c r="MB479">
        <f>IF($MB$31&lt;=$MB$32,IF($A479&lt;=$MB$7,1,2),IF($A479&lt;=RUNG_BEDS_2,2,1))</f>
        <v>1</v>
      </c>
      <c r="MC479" s="5">
        <f>MIN(1,MAX(0,$MB$26-($A479-1)))</f>
        <v>0</v>
      </c>
      <c r="MD479" s="5">
        <f>$MB$25*(MC479+(1-MC479)*$MB$16)</f>
        <v>0.0</v>
      </c>
      <c r="ME479" s="13">
        <f>MD479*($MB$6+ACUTE_MARGIN)</f>
        <v>0.0</v>
      </c>
      <c r="MF479" s="13">
        <f>IF(MB479=1,$MB$31,$MB$32)</f>
        <v>152394.16214437486</v>
      </c>
      <c r="MG479" s="13">
        <f>ME479-MF479</f>
        <v>-152394.16214437486</v>
      </c>
      <c r="MH479" s="13">
        <f>MH478+MG479</f>
        <v>-28006393.642698348</v>
      </c>
      <c r="MI479">
        <f>IF(MH479=MAX($MH$83:$MH$483),$A479,0)</f>
        <v>0</v>
      </c>
      <c r="MJ479">
        <f>IF(ME479&lt;MF479,$A479,B_MAX+1)</f>
        <v>396</v>
      </c>
      <c r="MK479" s="13">
        <f>IF(MB479=1,$MB$35,$MB$36)</f>
        <v>0</v>
      </c>
      <c r="ML479" s="13">
        <f>OCC_DAYS*$MB$41*R_NF_2023-MD479*MCD_SHARE_FREED*R_WAIT_2023</f>
        <v>151980.48282209205</v>
      </c>
      <c r="MM479">
        <f>IF($A479&lt;=$MB$45,1,0)</f>
        <v>0</v>
      </c>
      <c r="NB479">
        <f>IF($NB$31&lt;=$NB$32,IF($A479&lt;=$NB$7,1,2),IF($A479&lt;=RUNG_BEDS_2,2,1))</f>
        <v>1</v>
      </c>
      <c r="NC479" s="5">
        <f>MIN(1,MAX(0,$NB$26-($A479-1)))</f>
        <v>0</v>
      </c>
      <c r="ND479" s="5">
        <f>$NB$25*(NC479+(1-NC479)*$NB$16)</f>
        <v>63.013306786703595</v>
      </c>
      <c r="NE479" s="13">
        <f>ND479*($NB$6+ACUTE_MARGIN)</f>
        <v>63643.43985457063</v>
      </c>
      <c r="NF479" s="13">
        <f>IF(NB479=1,$NB$31,$NB$32)</f>
        <v>152394.16214437486</v>
      </c>
      <c r="NG479" s="13">
        <f>NE479-NF479</f>
        <v>-88750.72228980422</v>
      </c>
      <c r="NH479" s="13">
        <f>NH478+NG479</f>
        <v>-6473558.055558256</v>
      </c>
      <c r="NI479">
        <f>IF(NH479=MAX($NH$83:$NH$483),$A479,0)</f>
        <v>0</v>
      </c>
      <c r="NJ479">
        <f>IF(NE479&lt;NF479,$A479,B_MAX+1)</f>
        <v>396</v>
      </c>
      <c r="NK479" s="13">
        <f>IF(NB479=1,$NB$35,$NB$36)</f>
        <v>0</v>
      </c>
      <c r="NL479" s="13">
        <f>OCC_DAYS*$NB$41*R_NF_2023-ND479*MCD_SHARE_FREED*R_WAIT_2023</f>
        <v>123327.15192717595</v>
      </c>
      <c r="NM479">
        <f>IF($A479&lt;=$NB$45,1,0)</f>
        <v>0</v>
      </c>
      <c r="OB479">
        <f>IF($OB$31&lt;=$OB$32,IF($A479&lt;=$OB$7,1,2),IF($A479&lt;=RUNG_BEDS_2,2,1))</f>
        <v>1</v>
      </c>
      <c r="OC479" s="5">
        <f>MIN(1,MAX(0,$OB$26-($A479-1)))</f>
        <v>0</v>
      </c>
      <c r="OD479" s="5">
        <f>$OB$25*(OC479+(1-OC479)*$OB$16)</f>
        <v>126.02661357340719</v>
      </c>
      <c r="OE479" s="13">
        <f>OD479*($OB$6+ACUTE_MARGIN)</f>
        <v>127286.87970914126</v>
      </c>
      <c r="OF479" s="13">
        <f>IF(OB479=1,$OB$31,$OB$32)</f>
        <v>152394.16214437486</v>
      </c>
      <c r="OG479" s="13">
        <f>OE479-OF479</f>
        <v>-25107.282435233603</v>
      </c>
      <c r="OH479" s="13">
        <f>OH478+OG479</f>
        <v>9172001.46978388</v>
      </c>
      <c r="OI479">
        <f>IF(OH479=MAX($OH$83:$OH$483),$A479,0)</f>
        <v>0</v>
      </c>
      <c r="OJ479">
        <f>IF(OE479&lt;OF479,$A479,B_MAX+1)</f>
        <v>396</v>
      </c>
      <c r="OK479" s="13">
        <f>IF(OB479=1,$OB$35,$OB$36)</f>
        <v>0</v>
      </c>
      <c r="OL479" s="13">
        <f>OCC_DAYS*$OB$41*R_NF_2023-OD479*MCD_SHARE_FREED*R_WAIT_2023</f>
        <v>94673.82103225985</v>
      </c>
      <c r="OM479">
        <f>IF($A479&lt;=$OB$45,1,0)</f>
        <v>0</v>
      </c>
    </row>
    <row r="480">
      <c r="A480" t="n">
        <v>397</v>
      </c>
      <c r="B480">
        <f>IF($B$31&lt;=$B$32,IF($A480&lt;=$B$7,1,2),IF($A480&lt;=RUNG_BEDS_2,2,1))</f>
        <v>1</v>
      </c>
      <c r="C480" s="5">
        <f>MIN(1,MAX(0,$B$26-($A480-1)))</f>
        <v>0</v>
      </c>
      <c r="D480" s="5">
        <f>$B$25*(C480+(1-C480)*$B$16)</f>
        <v>0.0</v>
      </c>
      <c r="E480" s="13">
        <f>D480*($B$6+ACUTE_MARGIN)</f>
        <v>0.0</v>
      </c>
      <c r="F480" s="13">
        <f>IF(B480=1,$B$31,$B$32)</f>
        <v>152394.16214437486</v>
      </c>
      <c r="G480" s="13">
        <f>E480-F480</f>
        <v>-152394.16214437486</v>
      </c>
      <c r="H480" s="13">
        <f>H479+G480</f>
        <v>-22271511.74304442</v>
      </c>
      <c r="I480">
        <f>IF(H480=MAX($H$83:$H$483),$A480,0)</f>
        <v>0</v>
      </c>
      <c r="J480">
        <f>IF(E480&lt;F480,$A480,B_MAX+1)</f>
        <v>397</v>
      </c>
      <c r="K480" s="13">
        <f>IF(B480=1,$B$35,$B$36)</f>
        <v>0</v>
      </c>
      <c r="L480" s="13">
        <f>OCC_DAYS*$B$41*R_NF_2023-D480*MCD_SHARE_FREED*R_WAIT_2023</f>
        <v>151980.48282209205</v>
      </c>
      <c r="M480">
        <f>IF($A480&lt;=$B$45,1,0)</f>
        <v>0</v>
      </c>
      <c r="AB480">
        <f>IF($AB$31&lt;=$AB$32,IF($A480&lt;=$AB$7,1,2),IF($A480&lt;=RUNG_BEDS_2,2,1))</f>
        <v>1</v>
      </c>
      <c r="AC480" s="5">
        <f>MIN(1,MAX(0,$AB$26-($A480-1)))</f>
        <v>0</v>
      </c>
      <c r="AD480" s="5">
        <f>$AB$25*(AC480+(1-AC480)*$AB$16)</f>
        <v>0.0</v>
      </c>
      <c r="AE480" s="13">
        <f>AD480*($AB$6+ACUTE_MARGIN)</f>
        <v>0.0</v>
      </c>
      <c r="AF480" s="13">
        <f>IF(AB480=1,$AB$31,$AB$32)</f>
        <v>152394.16214437486</v>
      </c>
      <c r="AG480" s="13">
        <f>AE480-AF480</f>
        <v>-152394.16214437486</v>
      </c>
      <c r="AH480" s="13">
        <f>AH479+AG480</f>
        <v>-39682726.08859431</v>
      </c>
      <c r="AI480">
        <f>IF(AH480=MAX($AH$83:$AH$483),$A480,0)</f>
        <v>0</v>
      </c>
      <c r="AJ480">
        <f>IF(AE480&lt;AF480,$A480,B_MAX+1)</f>
        <v>397</v>
      </c>
      <c r="AK480" s="13">
        <f>IF(AB480=1,$AB$35,$AB$36)</f>
        <v>0</v>
      </c>
      <c r="AL480" s="13">
        <f>OCC_DAYS*$AB$41*R_NF_2023-AD480*MCD_SHARE_FREED*R_WAIT_2023</f>
        <v>151980.48282209205</v>
      </c>
      <c r="AM480">
        <f>IF($A480&lt;=$AB$45,1,0)</f>
        <v>0</v>
      </c>
      <c r="BB480">
        <f>IF($BB$31&lt;=$BB$32,IF($A480&lt;=$BB$7,1,2),IF($A480&lt;=RUNG_BEDS_2,2,1))</f>
        <v>1</v>
      </c>
      <c r="BC480" s="5">
        <f>MIN(1,MAX(0,$BB$26-($A480-1)))</f>
        <v>0</v>
      </c>
      <c r="BD480" s="5">
        <f>$BB$25*(BC480+(1-BC480)*$BB$16)</f>
        <v>0.0</v>
      </c>
      <c r="BE480" s="13">
        <f>BD480*($BB$6+ACUTE_MARGIN)</f>
        <v>0.0</v>
      </c>
      <c r="BF480" s="13">
        <f>IF(BB480=1,$BB$31,$BB$32)</f>
        <v>152394.16214437486</v>
      </c>
      <c r="BG480" s="13">
        <f>BE480-BF480</f>
        <v>-152394.16214437486</v>
      </c>
      <c r="BH480" s="13">
        <f>BH479+BG480</f>
        <v>-4860297.397494737</v>
      </c>
      <c r="BI480">
        <f>IF(BH480=MAX($BH$83:$BH$483),$A480,0)</f>
        <v>0</v>
      </c>
      <c r="BJ480">
        <f>IF(BE480&lt;BF480,$A480,B_MAX+1)</f>
        <v>397</v>
      </c>
      <c r="BK480" s="13">
        <f>IF(BB480=1,$BB$35,$BB$36)</f>
        <v>0</v>
      </c>
      <c r="BL480" s="13">
        <f>OCC_DAYS*$BB$41*R_NF_2023-BD480*MCD_SHARE_FREED*R_WAIT_2023</f>
        <v>151980.48282209205</v>
      </c>
      <c r="BM480">
        <f>IF($A480&lt;=$BB$45,1,0)</f>
        <v>0</v>
      </c>
      <c r="CB480">
        <f>IF($CB$31&lt;=$CB$32,IF($A480&lt;=$CB$7,1,2),IF($A480&lt;=RUNG_BEDS_2,2,1))</f>
        <v>2</v>
      </c>
      <c r="CC480" s="5">
        <f>MIN(1,MAX(0,$CB$26-($A480-1)))</f>
        <v>0</v>
      </c>
      <c r="CD480" s="5">
        <f>$CB$25*(CC480+(1-CC480)*$CB$16)</f>
        <v>0.0</v>
      </c>
      <c r="CE480" s="13">
        <f>CD480*($CB$6+ACUTE_MARGIN)</f>
        <v>0.0</v>
      </c>
      <c r="CF480" s="13">
        <f>IF(CB480=1,$CB$31,$CB$32)</f>
        <v>160718.36940738867</v>
      </c>
      <c r="CG480" s="13">
        <f>CE480-CF480</f>
        <v>-160718.36940738867</v>
      </c>
      <c r="CH480" s="13">
        <f>CH479+CG480</f>
        <v>-25576222.026461143</v>
      </c>
      <c r="CI480">
        <f>IF(CH480=MAX($CH$83:$CH$483),$A480,0)</f>
        <v>0</v>
      </c>
      <c r="CJ480">
        <f>IF(CE480&lt;CF480,$A480,B_MAX+1)</f>
        <v>397</v>
      </c>
      <c r="CK480" s="13">
        <f>IF(CB480=1,$CB$35,$CB$36)</f>
        <v>1560.1194073886782</v>
      </c>
      <c r="CL480" s="13">
        <f>OCC_DAYS*$CB$41*R_NF_2023-CD480*MCD_SHARE_FREED*R_WAIT_2023</f>
        <v>151980.48282209205</v>
      </c>
      <c r="CM480">
        <f>IF($A480&lt;=$CB$45,1,0)</f>
        <v>0</v>
      </c>
      <c r="DB480">
        <f>IF($DB$31&lt;=$DB$32,IF($A480&lt;=$DB$7,1,2),IF($A480&lt;=RUNG_BEDS_2,2,1))</f>
        <v>1</v>
      </c>
      <c r="DC480" s="5">
        <f>MIN(1,MAX(0,$DB$26-($A480-1)))</f>
        <v>0</v>
      </c>
      <c r="DD480" s="5">
        <f>$DB$25*(DC480+(1-DC480)*$DB$16)</f>
        <v>0.0</v>
      </c>
      <c r="DE480" s="13">
        <f>DD480*($DB$6+ACUTE_MARGIN)</f>
        <v>0.0</v>
      </c>
      <c r="DF480" s="13">
        <f>IF(DB480=1,$DB$31,$DB$32)</f>
        <v>152394.16214437486</v>
      </c>
      <c r="DG480" s="13">
        <f>DE480-DF480</f>
        <v>-152394.16214437486</v>
      </c>
      <c r="DH480" s="13">
        <f>DH479+DG480</f>
        <v>-22271511.74304442</v>
      </c>
      <c r="DI480">
        <f>IF(DH480=MAX($DH$83:$DH$483),$A480,0)</f>
        <v>0</v>
      </c>
      <c r="DJ480">
        <f>IF(DE480&lt;DF480,$A480,B_MAX+1)</f>
        <v>397</v>
      </c>
      <c r="DK480" s="13">
        <f>IF(DB480=1,$DB$35,$DB$36)</f>
        <v>0</v>
      </c>
      <c r="DL480" s="13">
        <f>OCC_DAYS*$DB$41*R_NF_2023-DD480*MCD_SHARE_FREED*R_WAIT_2023</f>
        <v>151980.48282209205</v>
      </c>
      <c r="DM480">
        <f>IF($A480&lt;=$DB$45,1,0)</f>
        <v>0</v>
      </c>
      <c r="EB480">
        <f>IF($EB$31&lt;=$EB$32,IF($A480&lt;=$EB$7,1,2),IF($A480&lt;=RUNG_BEDS_2,2,1))</f>
        <v>1</v>
      </c>
      <c r="EC480" s="5">
        <f>MIN(1,MAX(0,$EB$26-($A480-1)))</f>
        <v>0</v>
      </c>
      <c r="ED480" s="5">
        <f>$EB$25*(EC480+(1-EC480)*$EB$16)</f>
        <v>0.0</v>
      </c>
      <c r="EE480" s="13">
        <f>ED480*($EB$6+ACUTE_MARGIN)</f>
        <v>0.0</v>
      </c>
      <c r="EF480" s="13">
        <f>IF(EB480=1,$EB$31,$EB$32)</f>
        <v>152394.16214437486</v>
      </c>
      <c r="EG480" s="13">
        <f>EE480-EF480</f>
        <v>-152394.16214437486</v>
      </c>
      <c r="EH480" s="13">
        <f>EH479+EG480</f>
        <v>-22271511.74304442</v>
      </c>
      <c r="EI480">
        <f>IF(EH480=MAX($EH$83:$EH$483),$A480,0)</f>
        <v>0</v>
      </c>
      <c r="EJ480">
        <f>IF(EE480&lt;EF480,$A480,B_MAX+1)</f>
        <v>397</v>
      </c>
      <c r="EK480" s="13">
        <f>IF(EB480=1,$EB$35,$EB$36)</f>
        <v>0</v>
      </c>
      <c r="EL480" s="13">
        <f>OCC_DAYS*$EB$41*R_NF_2023-ED480*MCD_SHARE_FREED*R_WAIT_2023</f>
        <v>50660.16094069735</v>
      </c>
      <c r="EM480">
        <f>IF($A480&lt;=$EB$45,1,0)</f>
        <v>0</v>
      </c>
      <c r="FB480">
        <f>IF($FB$31&lt;=$FB$32,IF($A480&lt;=$FB$7,1,2),IF($A480&lt;=RUNG_BEDS_2,2,1))</f>
        <v>1</v>
      </c>
      <c r="FC480" s="5">
        <f>MIN(1,MAX(0,$FB$26-($A480-1)))</f>
        <v>0</v>
      </c>
      <c r="FD480" s="5">
        <f>$FB$25*(FC480+(1-FC480)*$FB$16)</f>
        <v>0.0</v>
      </c>
      <c r="FE480" s="13">
        <f>FD480*($FB$6+ACUTE_MARGIN)</f>
        <v>0.0</v>
      </c>
      <c r="FF480" s="13">
        <f>IF(FB480=1,$FB$31,$FB$32)</f>
        <v>156636.04979437485</v>
      </c>
      <c r="FG480" s="13">
        <f>FE480-FF480</f>
        <v>-156636.04979437485</v>
      </c>
      <c r="FH480" s="13">
        <f>FH479+FG480</f>
        <v>-23955541.140094604</v>
      </c>
      <c r="FI480">
        <f>IF(FH480=MAX($FH$83:$FH$483),$A480,0)</f>
        <v>0</v>
      </c>
      <c r="FJ480">
        <f>IF(FE480&lt;FF480,$A480,B_MAX+1)</f>
        <v>397</v>
      </c>
      <c r="FK480" s="13">
        <f>IF(FB480=1,$FB$35,$FB$36)</f>
        <v>0</v>
      </c>
      <c r="FL480" s="13">
        <f>OCC_DAYS*$FB$41*R_NF_2023-FD480*MCD_SHARE_FREED*R_WAIT_2023</f>
        <v>151980.48282209205</v>
      </c>
      <c r="FM480">
        <f>IF($A480&lt;=$FB$45,1,0)</f>
        <v>0</v>
      </c>
      <c r="GB480">
        <f>IF($GB$31&lt;=$GB$32,IF($A480&lt;=$GB$7,1,2),IF($A480&lt;=RUNG_BEDS_2,2,1))</f>
        <v>1</v>
      </c>
      <c r="GC480" s="5">
        <f>MIN(1,MAX(0,$GB$26-($A480-1)))</f>
        <v>0</v>
      </c>
      <c r="GD480" s="5">
        <f>$GB$25*(GC480+(1-GC480)*$GB$16)</f>
        <v>0.0</v>
      </c>
      <c r="GE480" s="13">
        <f>GD480*($GB$6+ACUTE_MARGIN)</f>
        <v>0.0</v>
      </c>
      <c r="GF480" s="13">
        <f>IF(GB480=1,$GB$31,$GB$32)</f>
        <v>152394.16214437486</v>
      </c>
      <c r="GG480" s="13">
        <f>GE480-GF480</f>
        <v>-152394.16214437486</v>
      </c>
      <c r="GH480" s="13">
        <f>GH479+GG480</f>
        <v>-22271511.74304442</v>
      </c>
      <c r="GI480">
        <f>IF(GH480=MAX($GH$83:$GH$483),$A480,0)</f>
        <v>0</v>
      </c>
      <c r="GJ480">
        <f>IF(GE480&lt;GF480,$A480,B_MAX+1)</f>
        <v>397</v>
      </c>
      <c r="GK480" s="13">
        <f>IF(GB480=1,$GB$35,$GB$36)</f>
        <v>0</v>
      </c>
      <c r="GL480" s="13">
        <f>OCC_DAYS*$GB$41*R_NF_2023-GD480*MCD_SHARE_FREED*R_WAIT_2023</f>
        <v>151980.48282209205</v>
      </c>
      <c r="GM480">
        <f>IF($A480&lt;=$GB$45,1,0)</f>
        <v>0</v>
      </c>
      <c r="HB480">
        <f>IF($HB$31&lt;=$HB$32,IF($A480&lt;=$HB$7,1,2),IF($A480&lt;=RUNG_BEDS_2,2,1))</f>
        <v>1</v>
      </c>
      <c r="HC480" s="5">
        <f>MIN(1,MAX(0,$HB$26-($A480-1)))</f>
        <v>0</v>
      </c>
      <c r="HD480" s="5">
        <f>$HB$25*(HC480+(1-HC480)*$HB$16)</f>
        <v>0.0</v>
      </c>
      <c r="HE480" s="13">
        <f>HD480*($HB$6+ACUTE_MARGIN)</f>
        <v>0.0</v>
      </c>
      <c r="HF480" s="13">
        <f>IF(HB480=1,$HB$31,$HB$32)</f>
        <v>152456.2970814058</v>
      </c>
      <c r="HG480" s="13">
        <f>HE480-HF480</f>
        <v>-152456.2970814058</v>
      </c>
      <c r="HH480" s="13">
        <f>HH479+HG480</f>
        <v>-22296179.31304584</v>
      </c>
      <c r="HI480">
        <f>IF(HH480=MAX($HH$83:$HH$483),$A480,0)</f>
        <v>0</v>
      </c>
      <c r="HJ480">
        <f>IF(HE480&lt;HF480,$A480,B_MAX+1)</f>
        <v>397</v>
      </c>
      <c r="HK480" s="13">
        <f>IF(HB480=1,$HB$35,$HB$36)</f>
        <v>0</v>
      </c>
      <c r="HL480" s="13">
        <f>OCC_DAYS*$HB$41*R_NF_2023-HD480*MCD_SHARE_FREED*R_WAIT_2023</f>
        <v>151980.48282209205</v>
      </c>
      <c r="HM480">
        <f>IF($A480&lt;=$HB$45,1,0)</f>
        <v>0</v>
      </c>
      <c r="IB480">
        <f>IF($IB$31&lt;=$IB$32,IF($A480&lt;=$IB$7,1,2),IF($A480&lt;=RUNG_BEDS_2,2,1))</f>
        <v>1</v>
      </c>
      <c r="IC480" s="5">
        <f>MIN(1,MAX(0,$IB$26-($A480-1)))</f>
        <v>0</v>
      </c>
      <c r="ID480" s="5">
        <f>$IB$25*(IC480+(1-IC480)*$IB$16)</f>
        <v>0.0</v>
      </c>
      <c r="IE480" s="13">
        <f>ID480*($IB$6+ACUTE_MARGIN)</f>
        <v>0.0</v>
      </c>
      <c r="IF480" s="13">
        <f>IF(IB480=1,$IB$31,$IB$32)</f>
        <v>152734.9994534971</v>
      </c>
      <c r="IG480" s="13">
        <f>IE480-IF480</f>
        <v>-152734.9994534971</v>
      </c>
      <c r="IH480" s="13">
        <f>IH479+IG480</f>
        <v>-22406824.154766023</v>
      </c>
      <c r="II480">
        <f>IF(IH480=MAX($IH$83:$IH$483),$A480,0)</f>
        <v>0</v>
      </c>
      <c r="IJ480">
        <f>IF(IE480&lt;IF480,$A480,B_MAX+1)</f>
        <v>397</v>
      </c>
      <c r="IK480" s="13">
        <f>IF(IB480=1,$IB$35,$IB$36)</f>
        <v>0</v>
      </c>
      <c r="IL480" s="13">
        <f>OCC_DAYS*$IB$41*R_NF_2023-ID480*MCD_SHARE_FREED*R_WAIT_2023</f>
        <v>151980.48282209205</v>
      </c>
      <c r="IM480">
        <f>IF($A480&lt;=$IB$45,1,0)</f>
        <v>0</v>
      </c>
      <c r="JB480">
        <f>IF($JB$31&lt;=$JB$32,IF($A480&lt;=$JB$7,1,2),IF($A480&lt;=RUNG_BEDS_2,2,1))</f>
        <v>1</v>
      </c>
      <c r="JC480" s="5">
        <f>MIN(1,MAX(0,$JB$26-($A480-1)))</f>
        <v>0</v>
      </c>
      <c r="JD480" s="5">
        <f>$JB$25*(JC480+(1-JC480)*$JB$16)</f>
        <v>0.0</v>
      </c>
      <c r="JE480" s="13">
        <f>JD480*($JB$6+ACUTE_MARGIN)</f>
        <v>0.0</v>
      </c>
      <c r="JF480" s="13">
        <f>IF(JB480=1,$JB$31,$JB$32)</f>
        <v>152394.16214437486</v>
      </c>
      <c r="JG480" s="13">
        <f>JE480-JF480</f>
        <v>-152394.16214437486</v>
      </c>
      <c r="JH480" s="13">
        <f>JH479+JG480</f>
        <v>-22271511.74304442</v>
      </c>
      <c r="JI480">
        <f>IF(JH480=MAX($JH$83:$JH$483),$A480,0)</f>
        <v>0</v>
      </c>
      <c r="JJ480">
        <f>IF(JE480&lt;JF480,$A480,B_MAX+1)</f>
        <v>397</v>
      </c>
      <c r="JK480" s="13">
        <f>IF(JB480=1,$JB$35,$JB$36)</f>
        <v>0</v>
      </c>
      <c r="JL480" s="13">
        <f>OCC_DAYS*$JB$41*R_NF_2023-JD480*MCD_SHARE_FREED*R_WAIT_2023</f>
        <v>151980.48282209205</v>
      </c>
      <c r="JM480">
        <f>IF($A480&lt;=$JB$45,1,0)</f>
        <v>0</v>
      </c>
      <c r="KB480">
        <f>IF($KB$31&lt;=$KB$32,IF($A480&lt;=$KB$7,1,2),IF($A480&lt;=RUNG_BEDS_2,2,1))</f>
        <v>1</v>
      </c>
      <c r="KC480" s="5">
        <f>MIN(1,MAX(0,$KB$26-($A480-1)))</f>
        <v>0</v>
      </c>
      <c r="KD480" s="5">
        <f>$KB$25*(KC480+(1-KC480)*$KB$16)</f>
        <v>0.0</v>
      </c>
      <c r="KE480" s="13">
        <f>KD480*($KB$6+ACUTE_MARGIN)</f>
        <v>0.0</v>
      </c>
      <c r="KF480" s="13">
        <f>IF(KB480=1,$KB$31,$KB$32)</f>
        <v>152394.16214437486</v>
      </c>
      <c r="KG480" s="13">
        <f>KE480-KF480</f>
        <v>-152394.16214437486</v>
      </c>
      <c r="KH480" s="13">
        <f>KH479+KG480</f>
        <v>-22271511.74304453</v>
      </c>
      <c r="KI480">
        <f>IF(KH480=MAX($KH$83:$KH$483),$A480,0)</f>
        <v>0</v>
      </c>
      <c r="KJ480">
        <f>IF(KE480&lt;KF480,$A480,B_MAX+1)</f>
        <v>397</v>
      </c>
      <c r="KK480" s="13">
        <f>IF(KB480=1,$KB$35,$KB$36)</f>
        <v>0</v>
      </c>
      <c r="KL480" s="13">
        <f>OCC_DAYS*$KB$41*R_NF_2023-KD480*MCD_SHARE_FREED*R_WAIT_2023</f>
        <v>151980.48282209205</v>
      </c>
      <c r="KM480">
        <f>IF($A480&lt;=$KB$45,1,0)</f>
        <v>0</v>
      </c>
      <c r="LB480">
        <f>IF($LB$31&lt;=$LB$32,IF($A480&lt;=$LB$7,1,2),IF($A480&lt;=RUNG_BEDS_2,2,1))</f>
        <v>1</v>
      </c>
      <c r="LC480" s="5">
        <f>MIN(1,MAX(0,$LB$26-($A480-1)))</f>
        <v>1</v>
      </c>
      <c r="LD480" s="5">
        <f>$LB$25*(LC480+(1-LC480)*$LB$16)</f>
        <v>84.01774238227146</v>
      </c>
      <c r="LE480" s="13">
        <f>LD480*($LB$6+ACUTE_MARGIN)</f>
        <v>84857.91980609419</v>
      </c>
      <c r="LF480" s="13">
        <f>IF(LB480=1,$LB$31,$LB$32)</f>
        <v>152394.16214437486</v>
      </c>
      <c r="LG480" s="13">
        <f>LE480-LF480</f>
        <v>-67536.24233828067</v>
      </c>
      <c r="LH480" s="13">
        <f>LH479+LG480</f>
        <v>-26811888.208297577</v>
      </c>
      <c r="LI480">
        <f>IF(LH480=MAX($LH$83:$LH$483),$A480,0)</f>
        <v>0</v>
      </c>
      <c r="LJ480">
        <f>IF(LE480&lt;LF480,$A480,B_MAX+1)</f>
        <v>397</v>
      </c>
      <c r="LK480" s="13">
        <f>IF(LB480=1,$LB$35,$LB$36)</f>
        <v>0</v>
      </c>
      <c r="LL480" s="13">
        <f>OCC_DAYS*$LB$41*R_NF_2023-LD480*MCD_SHARE_FREED*R_WAIT_2023</f>
        <v>113776.04162887059</v>
      </c>
      <c r="LM480">
        <f>IF($A480&lt;=$LB$45,1,0)</f>
        <v>0</v>
      </c>
      <c r="MB480">
        <f>IF($MB$31&lt;=$MB$32,IF($A480&lt;=$MB$7,1,2),IF($A480&lt;=RUNG_BEDS_2,2,1))</f>
        <v>1</v>
      </c>
      <c r="MC480" s="5">
        <f>MIN(1,MAX(0,$MB$26-($A480-1)))</f>
        <v>0</v>
      </c>
      <c r="MD480" s="5">
        <f>$MB$25*(MC480+(1-MC480)*$MB$16)</f>
        <v>0.0</v>
      </c>
      <c r="ME480" s="13">
        <f>MD480*($MB$6+ACUTE_MARGIN)</f>
        <v>0.0</v>
      </c>
      <c r="MF480" s="13">
        <f>IF(MB480=1,$MB$31,$MB$32)</f>
        <v>152394.16214437486</v>
      </c>
      <c r="MG480" s="13">
        <f>ME480-MF480</f>
        <v>-152394.16214437486</v>
      </c>
      <c r="MH480" s="13">
        <f>MH479+MG480</f>
        <v>-28158787.80484272</v>
      </c>
      <c r="MI480">
        <f>IF(MH480=MAX($MH$83:$MH$483),$A480,0)</f>
        <v>0</v>
      </c>
      <c r="MJ480">
        <f>IF(ME480&lt;MF480,$A480,B_MAX+1)</f>
        <v>397</v>
      </c>
      <c r="MK480" s="13">
        <f>IF(MB480=1,$MB$35,$MB$36)</f>
        <v>0</v>
      </c>
      <c r="ML480" s="13">
        <f>OCC_DAYS*$MB$41*R_NF_2023-MD480*MCD_SHARE_FREED*R_WAIT_2023</f>
        <v>151980.48282209205</v>
      </c>
      <c r="MM480">
        <f>IF($A480&lt;=$MB$45,1,0)</f>
        <v>0</v>
      </c>
      <c r="NB480">
        <f>IF($NB$31&lt;=$NB$32,IF($A480&lt;=$NB$7,1,2),IF($A480&lt;=RUNG_BEDS_2,2,1))</f>
        <v>1</v>
      </c>
      <c r="NC480" s="5">
        <f>MIN(1,MAX(0,$NB$26-($A480-1)))</f>
        <v>0</v>
      </c>
      <c r="ND480" s="5">
        <f>$NB$25*(NC480+(1-NC480)*$NB$16)</f>
        <v>63.013306786703595</v>
      </c>
      <c r="NE480" s="13">
        <f>ND480*($NB$6+ACUTE_MARGIN)</f>
        <v>63643.43985457063</v>
      </c>
      <c r="NF480" s="13">
        <f>IF(NB480=1,$NB$31,$NB$32)</f>
        <v>152394.16214437486</v>
      </c>
      <c r="NG480" s="13">
        <f>NE480-NF480</f>
        <v>-88750.72228980422</v>
      </c>
      <c r="NH480" s="13">
        <f>NH479+NG480</f>
        <v>-6562308.77784806</v>
      </c>
      <c r="NI480">
        <f>IF(NH480=MAX($NH$83:$NH$483),$A480,0)</f>
        <v>0</v>
      </c>
      <c r="NJ480">
        <f>IF(NE480&lt;NF480,$A480,B_MAX+1)</f>
        <v>397</v>
      </c>
      <c r="NK480" s="13">
        <f>IF(NB480=1,$NB$35,$NB$36)</f>
        <v>0</v>
      </c>
      <c r="NL480" s="13">
        <f>OCC_DAYS*$NB$41*R_NF_2023-ND480*MCD_SHARE_FREED*R_WAIT_2023</f>
        <v>123327.15192717595</v>
      </c>
      <c r="NM480">
        <f>IF($A480&lt;=$NB$45,1,0)</f>
        <v>0</v>
      </c>
      <c r="OB480">
        <f>IF($OB$31&lt;=$OB$32,IF($A480&lt;=$OB$7,1,2),IF($A480&lt;=RUNG_BEDS_2,2,1))</f>
        <v>1</v>
      </c>
      <c r="OC480" s="5">
        <f>MIN(1,MAX(0,$OB$26-($A480-1)))</f>
        <v>0</v>
      </c>
      <c r="OD480" s="5">
        <f>$OB$25*(OC480+(1-OC480)*$OB$16)</f>
        <v>126.02661357340719</v>
      </c>
      <c r="OE480" s="13">
        <f>OD480*($OB$6+ACUTE_MARGIN)</f>
        <v>127286.87970914126</v>
      </c>
      <c r="OF480" s="13">
        <f>IF(OB480=1,$OB$31,$OB$32)</f>
        <v>152394.16214437486</v>
      </c>
      <c r="OG480" s="13">
        <f>OE480-OF480</f>
        <v>-25107.282435233603</v>
      </c>
      <c r="OH480" s="13">
        <f>OH479+OG480</f>
        <v>9146894.187348647</v>
      </c>
      <c r="OI480">
        <f>IF(OH480=MAX($OH$83:$OH$483),$A480,0)</f>
        <v>0</v>
      </c>
      <c r="OJ480">
        <f>IF(OE480&lt;OF480,$A480,B_MAX+1)</f>
        <v>397</v>
      </c>
      <c r="OK480" s="13">
        <f>IF(OB480=1,$OB$35,$OB$36)</f>
        <v>0</v>
      </c>
      <c r="OL480" s="13">
        <f>OCC_DAYS*$OB$41*R_NF_2023-OD480*MCD_SHARE_FREED*R_WAIT_2023</f>
        <v>94673.82103225985</v>
      </c>
      <c r="OM480">
        <f>IF($A480&lt;=$OB$45,1,0)</f>
        <v>0</v>
      </c>
    </row>
    <row r="481">
      <c r="A481" t="n">
        <v>398</v>
      </c>
      <c r="B481">
        <f>IF($B$31&lt;=$B$32,IF($A481&lt;=$B$7,1,2),IF($A481&lt;=RUNG_BEDS_2,2,1))</f>
        <v>1</v>
      </c>
      <c r="C481" s="5">
        <f>MIN(1,MAX(0,$B$26-($A481-1)))</f>
        <v>0</v>
      </c>
      <c r="D481" s="5">
        <f>$B$25*(C481+(1-C481)*$B$16)</f>
        <v>0.0</v>
      </c>
      <c r="E481" s="13">
        <f>D481*($B$6+ACUTE_MARGIN)</f>
        <v>0.0</v>
      </c>
      <c r="F481" s="13">
        <f>IF(B481=1,$B$31,$B$32)</f>
        <v>152394.16214437486</v>
      </c>
      <c r="G481" s="13">
        <f>E481-F481</f>
        <v>-152394.16214437486</v>
      </c>
      <c r="H481" s="13">
        <f>H480+G481</f>
        <v>-22423905.905188795</v>
      </c>
      <c r="I481">
        <f>IF(H481=MAX($H$83:$H$483),$A481,0)</f>
        <v>0</v>
      </c>
      <c r="J481">
        <f>IF(E481&lt;F481,$A481,B_MAX+1)</f>
        <v>398</v>
      </c>
      <c r="K481" s="13">
        <f>IF(B481=1,$B$35,$B$36)</f>
        <v>0</v>
      </c>
      <c r="L481" s="13">
        <f>OCC_DAYS*$B$41*R_NF_2023-D481*MCD_SHARE_FREED*R_WAIT_2023</f>
        <v>151980.48282209205</v>
      </c>
      <c r="M481">
        <f>IF($A481&lt;=$B$45,1,0)</f>
        <v>0</v>
      </c>
      <c r="AB481">
        <f>IF($AB$31&lt;=$AB$32,IF($A481&lt;=$AB$7,1,2),IF($A481&lt;=RUNG_BEDS_2,2,1))</f>
        <v>1</v>
      </c>
      <c r="AC481" s="5">
        <f>MIN(1,MAX(0,$AB$26-($A481-1)))</f>
        <v>0</v>
      </c>
      <c r="AD481" s="5">
        <f>$AB$25*(AC481+(1-AC481)*$AB$16)</f>
        <v>0.0</v>
      </c>
      <c r="AE481" s="13">
        <f>AD481*($AB$6+ACUTE_MARGIN)</f>
        <v>0.0</v>
      </c>
      <c r="AF481" s="13">
        <f>IF(AB481=1,$AB$31,$AB$32)</f>
        <v>152394.16214437486</v>
      </c>
      <c r="AG481" s="13">
        <f>AE481-AF481</f>
        <v>-152394.16214437486</v>
      </c>
      <c r="AH481" s="13">
        <f>AH480+AG481</f>
        <v>-39835120.25073869</v>
      </c>
      <c r="AI481">
        <f>IF(AH481=MAX($AH$83:$AH$483),$A481,0)</f>
        <v>0</v>
      </c>
      <c r="AJ481">
        <f>IF(AE481&lt;AF481,$A481,B_MAX+1)</f>
        <v>398</v>
      </c>
      <c r="AK481" s="13">
        <f>IF(AB481=1,$AB$35,$AB$36)</f>
        <v>0</v>
      </c>
      <c r="AL481" s="13">
        <f>OCC_DAYS*$AB$41*R_NF_2023-AD481*MCD_SHARE_FREED*R_WAIT_2023</f>
        <v>151980.48282209205</v>
      </c>
      <c r="AM481">
        <f>IF($A481&lt;=$AB$45,1,0)</f>
        <v>0</v>
      </c>
      <c r="BB481">
        <f>IF($BB$31&lt;=$BB$32,IF($A481&lt;=$BB$7,1,2),IF($A481&lt;=RUNG_BEDS_2,2,1))</f>
        <v>1</v>
      </c>
      <c r="BC481" s="5">
        <f>MIN(1,MAX(0,$BB$26-($A481-1)))</f>
        <v>0</v>
      </c>
      <c r="BD481" s="5">
        <f>$BB$25*(BC481+(1-BC481)*$BB$16)</f>
        <v>0.0</v>
      </c>
      <c r="BE481" s="13">
        <f>BD481*($BB$6+ACUTE_MARGIN)</f>
        <v>0.0</v>
      </c>
      <c r="BF481" s="13">
        <f>IF(BB481=1,$BB$31,$BB$32)</f>
        <v>152394.16214437486</v>
      </c>
      <c r="BG481" s="13">
        <f>BE481-BF481</f>
        <v>-152394.16214437486</v>
      </c>
      <c r="BH481" s="13">
        <f>BH480+BG481</f>
        <v>-5012691.559639112</v>
      </c>
      <c r="BI481">
        <f>IF(BH481=MAX($BH$83:$BH$483),$A481,0)</f>
        <v>0</v>
      </c>
      <c r="BJ481">
        <f>IF(BE481&lt;BF481,$A481,B_MAX+1)</f>
        <v>398</v>
      </c>
      <c r="BK481" s="13">
        <f>IF(BB481=1,$BB$35,$BB$36)</f>
        <v>0</v>
      </c>
      <c r="BL481" s="13">
        <f>OCC_DAYS*$BB$41*R_NF_2023-BD481*MCD_SHARE_FREED*R_WAIT_2023</f>
        <v>151980.48282209205</v>
      </c>
      <c r="BM481">
        <f>IF($A481&lt;=$BB$45,1,0)</f>
        <v>0</v>
      </c>
      <c r="CB481">
        <f>IF($CB$31&lt;=$CB$32,IF($A481&lt;=$CB$7,1,2),IF($A481&lt;=RUNG_BEDS_2,2,1))</f>
        <v>2</v>
      </c>
      <c r="CC481" s="5">
        <f>MIN(1,MAX(0,$CB$26-($A481-1)))</f>
        <v>0</v>
      </c>
      <c r="CD481" s="5">
        <f>$CB$25*(CC481+(1-CC481)*$CB$16)</f>
        <v>0.0</v>
      </c>
      <c r="CE481" s="13">
        <f>CD481*($CB$6+ACUTE_MARGIN)</f>
        <v>0.0</v>
      </c>
      <c r="CF481" s="13">
        <f>IF(CB481=1,$CB$31,$CB$32)</f>
        <v>160718.36940738867</v>
      </c>
      <c r="CG481" s="13">
        <f>CE481-CF481</f>
        <v>-160718.36940738867</v>
      </c>
      <c r="CH481" s="13">
        <f>CH480+CG481</f>
        <v>-25736940.395868532</v>
      </c>
      <c r="CI481">
        <f>IF(CH481=MAX($CH$83:$CH$483),$A481,0)</f>
        <v>0</v>
      </c>
      <c r="CJ481">
        <f>IF(CE481&lt;CF481,$A481,B_MAX+1)</f>
        <v>398</v>
      </c>
      <c r="CK481" s="13">
        <f>IF(CB481=1,$CB$35,$CB$36)</f>
        <v>1560.1194073886782</v>
      </c>
      <c r="CL481" s="13">
        <f>OCC_DAYS*$CB$41*R_NF_2023-CD481*MCD_SHARE_FREED*R_WAIT_2023</f>
        <v>151980.48282209205</v>
      </c>
      <c r="CM481">
        <f>IF($A481&lt;=$CB$45,1,0)</f>
        <v>0</v>
      </c>
      <c r="DB481">
        <f>IF($DB$31&lt;=$DB$32,IF($A481&lt;=$DB$7,1,2),IF($A481&lt;=RUNG_BEDS_2,2,1))</f>
        <v>1</v>
      </c>
      <c r="DC481" s="5">
        <f>MIN(1,MAX(0,$DB$26-($A481-1)))</f>
        <v>0</v>
      </c>
      <c r="DD481" s="5">
        <f>$DB$25*(DC481+(1-DC481)*$DB$16)</f>
        <v>0.0</v>
      </c>
      <c r="DE481" s="13">
        <f>DD481*($DB$6+ACUTE_MARGIN)</f>
        <v>0.0</v>
      </c>
      <c r="DF481" s="13">
        <f>IF(DB481=1,$DB$31,$DB$32)</f>
        <v>152394.16214437486</v>
      </c>
      <c r="DG481" s="13">
        <f>DE481-DF481</f>
        <v>-152394.16214437486</v>
      </c>
      <c r="DH481" s="13">
        <f>DH480+DG481</f>
        <v>-22423905.905188795</v>
      </c>
      <c r="DI481">
        <f>IF(DH481=MAX($DH$83:$DH$483),$A481,0)</f>
        <v>0</v>
      </c>
      <c r="DJ481">
        <f>IF(DE481&lt;DF481,$A481,B_MAX+1)</f>
        <v>398</v>
      </c>
      <c r="DK481" s="13">
        <f>IF(DB481=1,$DB$35,$DB$36)</f>
        <v>0</v>
      </c>
      <c r="DL481" s="13">
        <f>OCC_DAYS*$DB$41*R_NF_2023-DD481*MCD_SHARE_FREED*R_WAIT_2023</f>
        <v>151980.48282209205</v>
      </c>
      <c r="DM481">
        <f>IF($A481&lt;=$DB$45,1,0)</f>
        <v>0</v>
      </c>
      <c r="EB481">
        <f>IF($EB$31&lt;=$EB$32,IF($A481&lt;=$EB$7,1,2),IF($A481&lt;=RUNG_BEDS_2,2,1))</f>
        <v>1</v>
      </c>
      <c r="EC481" s="5">
        <f>MIN(1,MAX(0,$EB$26-($A481-1)))</f>
        <v>0</v>
      </c>
      <c r="ED481" s="5">
        <f>$EB$25*(EC481+(1-EC481)*$EB$16)</f>
        <v>0.0</v>
      </c>
      <c r="EE481" s="13">
        <f>ED481*($EB$6+ACUTE_MARGIN)</f>
        <v>0.0</v>
      </c>
      <c r="EF481" s="13">
        <f>IF(EB481=1,$EB$31,$EB$32)</f>
        <v>152394.16214437486</v>
      </c>
      <c r="EG481" s="13">
        <f>EE481-EF481</f>
        <v>-152394.16214437486</v>
      </c>
      <c r="EH481" s="13">
        <f>EH480+EG481</f>
        <v>-22423905.905188795</v>
      </c>
      <c r="EI481">
        <f>IF(EH481=MAX($EH$83:$EH$483),$A481,0)</f>
        <v>0</v>
      </c>
      <c r="EJ481">
        <f>IF(EE481&lt;EF481,$A481,B_MAX+1)</f>
        <v>398</v>
      </c>
      <c r="EK481" s="13">
        <f>IF(EB481=1,$EB$35,$EB$36)</f>
        <v>0</v>
      </c>
      <c r="EL481" s="13">
        <f>OCC_DAYS*$EB$41*R_NF_2023-ED481*MCD_SHARE_FREED*R_WAIT_2023</f>
        <v>50660.16094069735</v>
      </c>
      <c r="EM481">
        <f>IF($A481&lt;=$EB$45,1,0)</f>
        <v>0</v>
      </c>
      <c r="FB481">
        <f>IF($FB$31&lt;=$FB$32,IF($A481&lt;=$FB$7,1,2),IF($A481&lt;=RUNG_BEDS_2,2,1))</f>
        <v>1</v>
      </c>
      <c r="FC481" s="5">
        <f>MIN(1,MAX(0,$FB$26-($A481-1)))</f>
        <v>0</v>
      </c>
      <c r="FD481" s="5">
        <f>$FB$25*(FC481+(1-FC481)*$FB$16)</f>
        <v>0.0</v>
      </c>
      <c r="FE481" s="13">
        <f>FD481*($FB$6+ACUTE_MARGIN)</f>
        <v>0.0</v>
      </c>
      <c r="FF481" s="13">
        <f>IF(FB481=1,$FB$31,$FB$32)</f>
        <v>156636.04979437485</v>
      </c>
      <c r="FG481" s="13">
        <f>FE481-FF481</f>
        <v>-156636.04979437485</v>
      </c>
      <c r="FH481" s="13">
        <f>FH480+FG481</f>
        <v>-24112177.18988898</v>
      </c>
      <c r="FI481">
        <f>IF(FH481=MAX($FH$83:$FH$483),$A481,0)</f>
        <v>0</v>
      </c>
      <c r="FJ481">
        <f>IF(FE481&lt;FF481,$A481,B_MAX+1)</f>
        <v>398</v>
      </c>
      <c r="FK481" s="13">
        <f>IF(FB481=1,$FB$35,$FB$36)</f>
        <v>0</v>
      </c>
      <c r="FL481" s="13">
        <f>OCC_DAYS*$FB$41*R_NF_2023-FD481*MCD_SHARE_FREED*R_WAIT_2023</f>
        <v>151980.48282209205</v>
      </c>
      <c r="FM481">
        <f>IF($A481&lt;=$FB$45,1,0)</f>
        <v>0</v>
      </c>
      <c r="GB481">
        <f>IF($GB$31&lt;=$GB$32,IF($A481&lt;=$GB$7,1,2),IF($A481&lt;=RUNG_BEDS_2,2,1))</f>
        <v>1</v>
      </c>
      <c r="GC481" s="5">
        <f>MIN(1,MAX(0,$GB$26-($A481-1)))</f>
        <v>0</v>
      </c>
      <c r="GD481" s="5">
        <f>$GB$25*(GC481+(1-GC481)*$GB$16)</f>
        <v>0.0</v>
      </c>
      <c r="GE481" s="13">
        <f>GD481*($GB$6+ACUTE_MARGIN)</f>
        <v>0.0</v>
      </c>
      <c r="GF481" s="13">
        <f>IF(GB481=1,$GB$31,$GB$32)</f>
        <v>152394.16214437486</v>
      </c>
      <c r="GG481" s="13">
        <f>GE481-GF481</f>
        <v>-152394.16214437486</v>
      </c>
      <c r="GH481" s="13">
        <f>GH480+GG481</f>
        <v>-22423905.905188795</v>
      </c>
      <c r="GI481">
        <f>IF(GH481=MAX($GH$83:$GH$483),$A481,0)</f>
        <v>0</v>
      </c>
      <c r="GJ481">
        <f>IF(GE481&lt;GF481,$A481,B_MAX+1)</f>
        <v>398</v>
      </c>
      <c r="GK481" s="13">
        <f>IF(GB481=1,$GB$35,$GB$36)</f>
        <v>0</v>
      </c>
      <c r="GL481" s="13">
        <f>OCC_DAYS*$GB$41*R_NF_2023-GD481*MCD_SHARE_FREED*R_WAIT_2023</f>
        <v>151980.48282209205</v>
      </c>
      <c r="GM481">
        <f>IF($A481&lt;=$GB$45,1,0)</f>
        <v>0</v>
      </c>
      <c r="HB481">
        <f>IF($HB$31&lt;=$HB$32,IF($A481&lt;=$HB$7,1,2),IF($A481&lt;=RUNG_BEDS_2,2,1))</f>
        <v>1</v>
      </c>
      <c r="HC481" s="5">
        <f>MIN(1,MAX(0,$HB$26-($A481-1)))</f>
        <v>0</v>
      </c>
      <c r="HD481" s="5">
        <f>$HB$25*(HC481+(1-HC481)*$HB$16)</f>
        <v>0.0</v>
      </c>
      <c r="HE481" s="13">
        <f>HD481*($HB$6+ACUTE_MARGIN)</f>
        <v>0.0</v>
      </c>
      <c r="HF481" s="13">
        <f>IF(HB481=1,$HB$31,$HB$32)</f>
        <v>152456.2970814058</v>
      </c>
      <c r="HG481" s="13">
        <f>HE481-HF481</f>
        <v>-152456.2970814058</v>
      </c>
      <c r="HH481" s="13">
        <f>HH480+HG481</f>
        <v>-22448635.610127248</v>
      </c>
      <c r="HI481">
        <f>IF(HH481=MAX($HH$83:$HH$483),$A481,0)</f>
        <v>0</v>
      </c>
      <c r="HJ481">
        <f>IF(HE481&lt;HF481,$A481,B_MAX+1)</f>
        <v>398</v>
      </c>
      <c r="HK481" s="13">
        <f>IF(HB481=1,$HB$35,$HB$36)</f>
        <v>0</v>
      </c>
      <c r="HL481" s="13">
        <f>OCC_DAYS*$HB$41*R_NF_2023-HD481*MCD_SHARE_FREED*R_WAIT_2023</f>
        <v>151980.48282209205</v>
      </c>
      <c r="HM481">
        <f>IF($A481&lt;=$HB$45,1,0)</f>
        <v>0</v>
      </c>
      <c r="IB481">
        <f>IF($IB$31&lt;=$IB$32,IF($A481&lt;=$IB$7,1,2),IF($A481&lt;=RUNG_BEDS_2,2,1))</f>
        <v>1</v>
      </c>
      <c r="IC481" s="5">
        <f>MIN(1,MAX(0,$IB$26-($A481-1)))</f>
        <v>0</v>
      </c>
      <c r="ID481" s="5">
        <f>$IB$25*(IC481+(1-IC481)*$IB$16)</f>
        <v>0.0</v>
      </c>
      <c r="IE481" s="13">
        <f>ID481*($IB$6+ACUTE_MARGIN)</f>
        <v>0.0</v>
      </c>
      <c r="IF481" s="13">
        <f>IF(IB481=1,$IB$31,$IB$32)</f>
        <v>152734.9994534971</v>
      </c>
      <c r="IG481" s="13">
        <f>IE481-IF481</f>
        <v>-152734.9994534971</v>
      </c>
      <c r="IH481" s="13">
        <f>IH480+IG481</f>
        <v>-22559559.15421952</v>
      </c>
      <c r="II481">
        <f>IF(IH481=MAX($IH$83:$IH$483),$A481,0)</f>
        <v>0</v>
      </c>
      <c r="IJ481">
        <f>IF(IE481&lt;IF481,$A481,B_MAX+1)</f>
        <v>398</v>
      </c>
      <c r="IK481" s="13">
        <f>IF(IB481=1,$IB$35,$IB$36)</f>
        <v>0</v>
      </c>
      <c r="IL481" s="13">
        <f>OCC_DAYS*$IB$41*R_NF_2023-ID481*MCD_SHARE_FREED*R_WAIT_2023</f>
        <v>151980.48282209205</v>
      </c>
      <c r="IM481">
        <f>IF($A481&lt;=$IB$45,1,0)</f>
        <v>0</v>
      </c>
      <c r="JB481">
        <f>IF($JB$31&lt;=$JB$32,IF($A481&lt;=$JB$7,1,2),IF($A481&lt;=RUNG_BEDS_2,2,1))</f>
        <v>1</v>
      </c>
      <c r="JC481" s="5">
        <f>MIN(1,MAX(0,$JB$26-($A481-1)))</f>
        <v>0</v>
      </c>
      <c r="JD481" s="5">
        <f>$JB$25*(JC481+(1-JC481)*$JB$16)</f>
        <v>0.0</v>
      </c>
      <c r="JE481" s="13">
        <f>JD481*($JB$6+ACUTE_MARGIN)</f>
        <v>0.0</v>
      </c>
      <c r="JF481" s="13">
        <f>IF(JB481=1,$JB$31,$JB$32)</f>
        <v>152394.16214437486</v>
      </c>
      <c r="JG481" s="13">
        <f>JE481-JF481</f>
        <v>-152394.16214437486</v>
      </c>
      <c r="JH481" s="13">
        <f>JH480+JG481</f>
        <v>-22423905.905188795</v>
      </c>
      <c r="JI481">
        <f>IF(JH481=MAX($JH$83:$JH$483),$A481,0)</f>
        <v>0</v>
      </c>
      <c r="JJ481">
        <f>IF(JE481&lt;JF481,$A481,B_MAX+1)</f>
        <v>398</v>
      </c>
      <c r="JK481" s="13">
        <f>IF(JB481=1,$JB$35,$JB$36)</f>
        <v>0</v>
      </c>
      <c r="JL481" s="13">
        <f>OCC_DAYS*$JB$41*R_NF_2023-JD481*MCD_SHARE_FREED*R_WAIT_2023</f>
        <v>151980.48282209205</v>
      </c>
      <c r="JM481">
        <f>IF($A481&lt;=$JB$45,1,0)</f>
        <v>0</v>
      </c>
      <c r="KB481">
        <f>IF($KB$31&lt;=$KB$32,IF($A481&lt;=$KB$7,1,2),IF($A481&lt;=RUNG_BEDS_2,2,1))</f>
        <v>1</v>
      </c>
      <c r="KC481" s="5">
        <f>MIN(1,MAX(0,$KB$26-($A481-1)))</f>
        <v>0</v>
      </c>
      <c r="KD481" s="5">
        <f>$KB$25*(KC481+(1-KC481)*$KB$16)</f>
        <v>0.0</v>
      </c>
      <c r="KE481" s="13">
        <f>KD481*($KB$6+ACUTE_MARGIN)</f>
        <v>0.0</v>
      </c>
      <c r="KF481" s="13">
        <f>IF(KB481=1,$KB$31,$KB$32)</f>
        <v>152394.16214437486</v>
      </c>
      <c r="KG481" s="13">
        <f>KE481-KF481</f>
        <v>-152394.16214437486</v>
      </c>
      <c r="KH481" s="13">
        <f>KH480+KG481</f>
        <v>-22423905.905188903</v>
      </c>
      <c r="KI481">
        <f>IF(KH481=MAX($KH$83:$KH$483),$A481,0)</f>
        <v>0</v>
      </c>
      <c r="KJ481">
        <f>IF(KE481&lt;KF481,$A481,B_MAX+1)</f>
        <v>398</v>
      </c>
      <c r="KK481" s="13">
        <f>IF(KB481=1,$KB$35,$KB$36)</f>
        <v>0</v>
      </c>
      <c r="KL481" s="13">
        <f>OCC_DAYS*$KB$41*R_NF_2023-KD481*MCD_SHARE_FREED*R_WAIT_2023</f>
        <v>151980.48282209205</v>
      </c>
      <c r="KM481">
        <f>IF($A481&lt;=$KB$45,1,0)</f>
        <v>0</v>
      </c>
      <c r="LB481">
        <f>IF($LB$31&lt;=$LB$32,IF($A481&lt;=$LB$7,1,2),IF($A481&lt;=RUNG_BEDS_2,2,1))</f>
        <v>1</v>
      </c>
      <c r="LC481" s="5">
        <f>MIN(1,MAX(0,$LB$26-($A481-1)))</f>
        <v>1</v>
      </c>
      <c r="LD481" s="5">
        <f>$LB$25*(LC481+(1-LC481)*$LB$16)</f>
        <v>84.01774238227146</v>
      </c>
      <c r="LE481" s="13">
        <f>LD481*($LB$6+ACUTE_MARGIN)</f>
        <v>84857.91980609419</v>
      </c>
      <c r="LF481" s="13">
        <f>IF(LB481=1,$LB$31,$LB$32)</f>
        <v>152394.16214437486</v>
      </c>
      <c r="LG481" s="13">
        <f>LE481-LF481</f>
        <v>-67536.24233828067</v>
      </c>
      <c r="LH481" s="13">
        <f>LH480+LG481</f>
        <v>-26879424.450635858</v>
      </c>
      <c r="LI481">
        <f>IF(LH481=MAX($LH$83:$LH$483),$A481,0)</f>
        <v>0</v>
      </c>
      <c r="LJ481">
        <f>IF(LE481&lt;LF481,$A481,B_MAX+1)</f>
        <v>398</v>
      </c>
      <c r="LK481" s="13">
        <f>IF(LB481=1,$LB$35,$LB$36)</f>
        <v>0</v>
      </c>
      <c r="LL481" s="13">
        <f>OCC_DAYS*$LB$41*R_NF_2023-LD481*MCD_SHARE_FREED*R_WAIT_2023</f>
        <v>113776.04162887059</v>
      </c>
      <c r="LM481">
        <f>IF($A481&lt;=$LB$45,1,0)</f>
        <v>0</v>
      </c>
      <c r="MB481">
        <f>IF($MB$31&lt;=$MB$32,IF($A481&lt;=$MB$7,1,2),IF($A481&lt;=RUNG_BEDS_2,2,1))</f>
        <v>1</v>
      </c>
      <c r="MC481" s="5">
        <f>MIN(1,MAX(0,$MB$26-($A481-1)))</f>
        <v>0</v>
      </c>
      <c r="MD481" s="5">
        <f>$MB$25*(MC481+(1-MC481)*$MB$16)</f>
        <v>0.0</v>
      </c>
      <c r="ME481" s="13">
        <f>MD481*($MB$6+ACUTE_MARGIN)</f>
        <v>0.0</v>
      </c>
      <c r="MF481" s="13">
        <f>IF(MB481=1,$MB$31,$MB$32)</f>
        <v>152394.16214437486</v>
      </c>
      <c r="MG481" s="13">
        <f>ME481-MF481</f>
        <v>-152394.16214437486</v>
      </c>
      <c r="MH481" s="13">
        <f>MH480+MG481</f>
        <v>-28311181.966987096</v>
      </c>
      <c r="MI481">
        <f>IF(MH481=MAX($MH$83:$MH$483),$A481,0)</f>
        <v>0</v>
      </c>
      <c r="MJ481">
        <f>IF(ME481&lt;MF481,$A481,B_MAX+1)</f>
        <v>398</v>
      </c>
      <c r="MK481" s="13">
        <f>IF(MB481=1,$MB$35,$MB$36)</f>
        <v>0</v>
      </c>
      <c r="ML481" s="13">
        <f>OCC_DAYS*$MB$41*R_NF_2023-MD481*MCD_SHARE_FREED*R_WAIT_2023</f>
        <v>151980.48282209205</v>
      </c>
      <c r="MM481">
        <f>IF($A481&lt;=$MB$45,1,0)</f>
        <v>0</v>
      </c>
      <c r="NB481">
        <f>IF($NB$31&lt;=$NB$32,IF($A481&lt;=$NB$7,1,2),IF($A481&lt;=RUNG_BEDS_2,2,1))</f>
        <v>1</v>
      </c>
      <c r="NC481" s="5">
        <f>MIN(1,MAX(0,$NB$26-($A481-1)))</f>
        <v>0</v>
      </c>
      <c r="ND481" s="5">
        <f>$NB$25*(NC481+(1-NC481)*$NB$16)</f>
        <v>63.013306786703595</v>
      </c>
      <c r="NE481" s="13">
        <f>ND481*($NB$6+ACUTE_MARGIN)</f>
        <v>63643.43985457063</v>
      </c>
      <c r="NF481" s="13">
        <f>IF(NB481=1,$NB$31,$NB$32)</f>
        <v>152394.16214437486</v>
      </c>
      <c r="NG481" s="13">
        <f>NE481-NF481</f>
        <v>-88750.72228980422</v>
      </c>
      <c r="NH481" s="13">
        <f>NH480+NG481</f>
        <v>-6651059.500137865</v>
      </c>
      <c r="NI481">
        <f>IF(NH481=MAX($NH$83:$NH$483),$A481,0)</f>
        <v>0</v>
      </c>
      <c r="NJ481">
        <f>IF(NE481&lt;NF481,$A481,B_MAX+1)</f>
        <v>398</v>
      </c>
      <c r="NK481" s="13">
        <f>IF(NB481=1,$NB$35,$NB$36)</f>
        <v>0</v>
      </c>
      <c r="NL481" s="13">
        <f>OCC_DAYS*$NB$41*R_NF_2023-ND481*MCD_SHARE_FREED*R_WAIT_2023</f>
        <v>123327.15192717595</v>
      </c>
      <c r="NM481">
        <f>IF($A481&lt;=$NB$45,1,0)</f>
        <v>0</v>
      </c>
      <c r="OB481">
        <f>IF($OB$31&lt;=$OB$32,IF($A481&lt;=$OB$7,1,2),IF($A481&lt;=RUNG_BEDS_2,2,1))</f>
        <v>1</v>
      </c>
      <c r="OC481" s="5">
        <f>MIN(1,MAX(0,$OB$26-($A481-1)))</f>
        <v>0</v>
      </c>
      <c r="OD481" s="5">
        <f>$OB$25*(OC481+(1-OC481)*$OB$16)</f>
        <v>126.02661357340719</v>
      </c>
      <c r="OE481" s="13">
        <f>OD481*($OB$6+ACUTE_MARGIN)</f>
        <v>127286.87970914126</v>
      </c>
      <c r="OF481" s="13">
        <f>IF(OB481=1,$OB$31,$OB$32)</f>
        <v>152394.16214437486</v>
      </c>
      <c r="OG481" s="13">
        <f>OE481-OF481</f>
        <v>-25107.282435233603</v>
      </c>
      <c r="OH481" s="13">
        <f>OH480+OG481</f>
        <v>9121786.904913414</v>
      </c>
      <c r="OI481">
        <f>IF(OH481=MAX($OH$83:$OH$483),$A481,0)</f>
        <v>0</v>
      </c>
      <c r="OJ481">
        <f>IF(OE481&lt;OF481,$A481,B_MAX+1)</f>
        <v>398</v>
      </c>
      <c r="OK481" s="13">
        <f>IF(OB481=1,$OB$35,$OB$36)</f>
        <v>0</v>
      </c>
      <c r="OL481" s="13">
        <f>OCC_DAYS*$OB$41*R_NF_2023-OD481*MCD_SHARE_FREED*R_WAIT_2023</f>
        <v>94673.82103225985</v>
      </c>
      <c r="OM481">
        <f>IF($A481&lt;=$OB$45,1,0)</f>
        <v>0</v>
      </c>
    </row>
    <row r="482">
      <c r="A482" t="n">
        <v>399</v>
      </c>
      <c r="B482">
        <f>IF($B$31&lt;=$B$32,IF($A482&lt;=$B$7,1,2),IF($A482&lt;=RUNG_BEDS_2,2,1))</f>
        <v>1</v>
      </c>
      <c r="C482" s="5">
        <f>MIN(1,MAX(0,$B$26-($A482-1)))</f>
        <v>0</v>
      </c>
      <c r="D482" s="5">
        <f>$B$25*(C482+(1-C482)*$B$16)</f>
        <v>0.0</v>
      </c>
      <c r="E482" s="13">
        <f>D482*($B$6+ACUTE_MARGIN)</f>
        <v>0.0</v>
      </c>
      <c r="F482" s="13">
        <f>IF(B482=1,$B$31,$B$32)</f>
        <v>152394.16214437486</v>
      </c>
      <c r="G482" s="13">
        <f>E482-F482</f>
        <v>-152394.16214437486</v>
      </c>
      <c r="H482" s="13">
        <f>H481+G482</f>
        <v>-22576300.06733317</v>
      </c>
      <c r="I482">
        <f>IF(H482=MAX($H$83:$H$483),$A482,0)</f>
        <v>0</v>
      </c>
      <c r="J482">
        <f>IF(E482&lt;F482,$A482,B_MAX+1)</f>
        <v>399</v>
      </c>
      <c r="K482" s="13">
        <f>IF(B482=1,$B$35,$B$36)</f>
        <v>0</v>
      </c>
      <c r="L482" s="13">
        <f>OCC_DAYS*$B$41*R_NF_2023-D482*MCD_SHARE_FREED*R_WAIT_2023</f>
        <v>151980.48282209205</v>
      </c>
      <c r="M482">
        <f>IF($A482&lt;=$B$45,1,0)</f>
        <v>0</v>
      </c>
      <c r="AB482">
        <f>IF($AB$31&lt;=$AB$32,IF($A482&lt;=$AB$7,1,2),IF($A482&lt;=RUNG_BEDS_2,2,1))</f>
        <v>1</v>
      </c>
      <c r="AC482" s="5">
        <f>MIN(1,MAX(0,$AB$26-($A482-1)))</f>
        <v>0</v>
      </c>
      <c r="AD482" s="5">
        <f>$AB$25*(AC482+(1-AC482)*$AB$16)</f>
        <v>0.0</v>
      </c>
      <c r="AE482" s="13">
        <f>AD482*($AB$6+ACUTE_MARGIN)</f>
        <v>0.0</v>
      </c>
      <c r="AF482" s="13">
        <f>IF(AB482=1,$AB$31,$AB$32)</f>
        <v>152394.16214437486</v>
      </c>
      <c r="AG482" s="13">
        <f>AE482-AF482</f>
        <v>-152394.16214437486</v>
      </c>
      <c r="AH482" s="13">
        <f>AH481+AG482</f>
        <v>-39987514.412883066</v>
      </c>
      <c r="AI482">
        <f>IF(AH482=MAX($AH$83:$AH$483),$A482,0)</f>
        <v>0</v>
      </c>
      <c r="AJ482">
        <f>IF(AE482&lt;AF482,$A482,B_MAX+1)</f>
        <v>399</v>
      </c>
      <c r="AK482" s="13">
        <f>IF(AB482=1,$AB$35,$AB$36)</f>
        <v>0</v>
      </c>
      <c r="AL482" s="13">
        <f>OCC_DAYS*$AB$41*R_NF_2023-AD482*MCD_SHARE_FREED*R_WAIT_2023</f>
        <v>151980.48282209205</v>
      </c>
      <c r="AM482">
        <f>IF($A482&lt;=$AB$45,1,0)</f>
        <v>0</v>
      </c>
      <c r="BB482">
        <f>IF($BB$31&lt;=$BB$32,IF($A482&lt;=$BB$7,1,2),IF($A482&lt;=RUNG_BEDS_2,2,1))</f>
        <v>1</v>
      </c>
      <c r="BC482" s="5">
        <f>MIN(1,MAX(0,$BB$26-($A482-1)))</f>
        <v>0</v>
      </c>
      <c r="BD482" s="5">
        <f>$BB$25*(BC482+(1-BC482)*$BB$16)</f>
        <v>0.0</v>
      </c>
      <c r="BE482" s="13">
        <f>BD482*($BB$6+ACUTE_MARGIN)</f>
        <v>0.0</v>
      </c>
      <c r="BF482" s="13">
        <f>IF(BB482=1,$BB$31,$BB$32)</f>
        <v>152394.16214437486</v>
      </c>
      <c r="BG482" s="13">
        <f>BE482-BF482</f>
        <v>-152394.16214437486</v>
      </c>
      <c r="BH482" s="13">
        <f>BH481+BG482</f>
        <v>-5165085.721783487</v>
      </c>
      <c r="BI482">
        <f>IF(BH482=MAX($BH$83:$BH$483),$A482,0)</f>
        <v>0</v>
      </c>
      <c r="BJ482">
        <f>IF(BE482&lt;BF482,$A482,B_MAX+1)</f>
        <v>399</v>
      </c>
      <c r="BK482" s="13">
        <f>IF(BB482=1,$BB$35,$BB$36)</f>
        <v>0</v>
      </c>
      <c r="BL482" s="13">
        <f>OCC_DAYS*$BB$41*R_NF_2023-BD482*MCD_SHARE_FREED*R_WAIT_2023</f>
        <v>151980.48282209205</v>
      </c>
      <c r="BM482">
        <f>IF($A482&lt;=$BB$45,1,0)</f>
        <v>0</v>
      </c>
      <c r="CB482">
        <f>IF($CB$31&lt;=$CB$32,IF($A482&lt;=$CB$7,1,2),IF($A482&lt;=RUNG_BEDS_2,2,1))</f>
        <v>2</v>
      </c>
      <c r="CC482" s="5">
        <f>MIN(1,MAX(0,$CB$26-($A482-1)))</f>
        <v>0</v>
      </c>
      <c r="CD482" s="5">
        <f>$CB$25*(CC482+(1-CC482)*$CB$16)</f>
        <v>0.0</v>
      </c>
      <c r="CE482" s="13">
        <f>CD482*($CB$6+ACUTE_MARGIN)</f>
        <v>0.0</v>
      </c>
      <c r="CF482" s="13">
        <f>IF(CB482=1,$CB$31,$CB$32)</f>
        <v>160718.36940738867</v>
      </c>
      <c r="CG482" s="13">
        <f>CE482-CF482</f>
        <v>-160718.36940738867</v>
      </c>
      <c r="CH482" s="13">
        <f>CH481+CG482</f>
        <v>-25897658.76527592</v>
      </c>
      <c r="CI482">
        <f>IF(CH482=MAX($CH$83:$CH$483),$A482,0)</f>
        <v>0</v>
      </c>
      <c r="CJ482">
        <f>IF(CE482&lt;CF482,$A482,B_MAX+1)</f>
        <v>399</v>
      </c>
      <c r="CK482" s="13">
        <f>IF(CB482=1,$CB$35,$CB$36)</f>
        <v>1560.1194073886782</v>
      </c>
      <c r="CL482" s="13">
        <f>OCC_DAYS*$CB$41*R_NF_2023-CD482*MCD_SHARE_FREED*R_WAIT_2023</f>
        <v>151980.48282209205</v>
      </c>
      <c r="CM482">
        <f>IF($A482&lt;=$CB$45,1,0)</f>
        <v>0</v>
      </c>
      <c r="DB482">
        <f>IF($DB$31&lt;=$DB$32,IF($A482&lt;=$DB$7,1,2),IF($A482&lt;=RUNG_BEDS_2,2,1))</f>
        <v>1</v>
      </c>
      <c r="DC482" s="5">
        <f>MIN(1,MAX(0,$DB$26-($A482-1)))</f>
        <v>0</v>
      </c>
      <c r="DD482" s="5">
        <f>$DB$25*(DC482+(1-DC482)*$DB$16)</f>
        <v>0.0</v>
      </c>
      <c r="DE482" s="13">
        <f>DD482*($DB$6+ACUTE_MARGIN)</f>
        <v>0.0</v>
      </c>
      <c r="DF482" s="13">
        <f>IF(DB482=1,$DB$31,$DB$32)</f>
        <v>152394.16214437486</v>
      </c>
      <c r="DG482" s="13">
        <f>DE482-DF482</f>
        <v>-152394.16214437486</v>
      </c>
      <c r="DH482" s="13">
        <f>DH481+DG482</f>
        <v>-22576300.06733317</v>
      </c>
      <c r="DI482">
        <f>IF(DH482=MAX($DH$83:$DH$483),$A482,0)</f>
        <v>0</v>
      </c>
      <c r="DJ482">
        <f>IF(DE482&lt;DF482,$A482,B_MAX+1)</f>
        <v>399</v>
      </c>
      <c r="DK482" s="13">
        <f>IF(DB482=1,$DB$35,$DB$36)</f>
        <v>0</v>
      </c>
      <c r="DL482" s="13">
        <f>OCC_DAYS*$DB$41*R_NF_2023-DD482*MCD_SHARE_FREED*R_WAIT_2023</f>
        <v>151980.48282209205</v>
      </c>
      <c r="DM482">
        <f>IF($A482&lt;=$DB$45,1,0)</f>
        <v>0</v>
      </c>
      <c r="EB482">
        <f>IF($EB$31&lt;=$EB$32,IF($A482&lt;=$EB$7,1,2),IF($A482&lt;=RUNG_BEDS_2,2,1))</f>
        <v>1</v>
      </c>
      <c r="EC482" s="5">
        <f>MIN(1,MAX(0,$EB$26-($A482-1)))</f>
        <v>0</v>
      </c>
      <c r="ED482" s="5">
        <f>$EB$25*(EC482+(1-EC482)*$EB$16)</f>
        <v>0.0</v>
      </c>
      <c r="EE482" s="13">
        <f>ED482*($EB$6+ACUTE_MARGIN)</f>
        <v>0.0</v>
      </c>
      <c r="EF482" s="13">
        <f>IF(EB482=1,$EB$31,$EB$32)</f>
        <v>152394.16214437486</v>
      </c>
      <c r="EG482" s="13">
        <f>EE482-EF482</f>
        <v>-152394.16214437486</v>
      </c>
      <c r="EH482" s="13">
        <f>EH481+EG482</f>
        <v>-22576300.06733317</v>
      </c>
      <c r="EI482">
        <f>IF(EH482=MAX($EH$83:$EH$483),$A482,0)</f>
        <v>0</v>
      </c>
      <c r="EJ482">
        <f>IF(EE482&lt;EF482,$A482,B_MAX+1)</f>
        <v>399</v>
      </c>
      <c r="EK482" s="13">
        <f>IF(EB482=1,$EB$35,$EB$36)</f>
        <v>0</v>
      </c>
      <c r="EL482" s="13">
        <f>OCC_DAYS*$EB$41*R_NF_2023-ED482*MCD_SHARE_FREED*R_WAIT_2023</f>
        <v>50660.16094069735</v>
      </c>
      <c r="EM482">
        <f>IF($A482&lt;=$EB$45,1,0)</f>
        <v>0</v>
      </c>
      <c r="FB482">
        <f>IF($FB$31&lt;=$FB$32,IF($A482&lt;=$FB$7,1,2),IF($A482&lt;=RUNG_BEDS_2,2,1))</f>
        <v>1</v>
      </c>
      <c r="FC482" s="5">
        <f>MIN(1,MAX(0,$FB$26-($A482-1)))</f>
        <v>0</v>
      </c>
      <c r="FD482" s="5">
        <f>$FB$25*(FC482+(1-FC482)*$FB$16)</f>
        <v>0.0</v>
      </c>
      <c r="FE482" s="13">
        <f>FD482*($FB$6+ACUTE_MARGIN)</f>
        <v>0.0</v>
      </c>
      <c r="FF482" s="13">
        <f>IF(FB482=1,$FB$31,$FB$32)</f>
        <v>156636.04979437485</v>
      </c>
      <c r="FG482" s="13">
        <f>FE482-FF482</f>
        <v>-156636.04979437485</v>
      </c>
      <c r="FH482" s="13">
        <f>FH481+FG482</f>
        <v>-24268813.239683356</v>
      </c>
      <c r="FI482">
        <f>IF(FH482=MAX($FH$83:$FH$483),$A482,0)</f>
        <v>0</v>
      </c>
      <c r="FJ482">
        <f>IF(FE482&lt;FF482,$A482,B_MAX+1)</f>
        <v>399</v>
      </c>
      <c r="FK482" s="13">
        <f>IF(FB482=1,$FB$35,$FB$36)</f>
        <v>0</v>
      </c>
      <c r="FL482" s="13">
        <f>OCC_DAYS*$FB$41*R_NF_2023-FD482*MCD_SHARE_FREED*R_WAIT_2023</f>
        <v>151980.48282209205</v>
      </c>
      <c r="FM482">
        <f>IF($A482&lt;=$FB$45,1,0)</f>
        <v>0</v>
      </c>
      <c r="GB482">
        <f>IF($GB$31&lt;=$GB$32,IF($A482&lt;=$GB$7,1,2),IF($A482&lt;=RUNG_BEDS_2,2,1))</f>
        <v>1</v>
      </c>
      <c r="GC482" s="5">
        <f>MIN(1,MAX(0,$GB$26-($A482-1)))</f>
        <v>0</v>
      </c>
      <c r="GD482" s="5">
        <f>$GB$25*(GC482+(1-GC482)*$GB$16)</f>
        <v>0.0</v>
      </c>
      <c r="GE482" s="13">
        <f>GD482*($GB$6+ACUTE_MARGIN)</f>
        <v>0.0</v>
      </c>
      <c r="GF482" s="13">
        <f>IF(GB482=1,$GB$31,$GB$32)</f>
        <v>152394.16214437486</v>
      </c>
      <c r="GG482" s="13">
        <f>GE482-GF482</f>
        <v>-152394.16214437486</v>
      </c>
      <c r="GH482" s="13">
        <f>GH481+GG482</f>
        <v>-22576300.06733317</v>
      </c>
      <c r="GI482">
        <f>IF(GH482=MAX($GH$83:$GH$483),$A482,0)</f>
        <v>0</v>
      </c>
      <c r="GJ482">
        <f>IF(GE482&lt;GF482,$A482,B_MAX+1)</f>
        <v>399</v>
      </c>
      <c r="GK482" s="13">
        <f>IF(GB482=1,$GB$35,$GB$36)</f>
        <v>0</v>
      </c>
      <c r="GL482" s="13">
        <f>OCC_DAYS*$GB$41*R_NF_2023-GD482*MCD_SHARE_FREED*R_WAIT_2023</f>
        <v>151980.48282209205</v>
      </c>
      <c r="GM482">
        <f>IF($A482&lt;=$GB$45,1,0)</f>
        <v>0</v>
      </c>
      <c r="HB482">
        <f>IF($HB$31&lt;=$HB$32,IF($A482&lt;=$HB$7,1,2),IF($A482&lt;=RUNG_BEDS_2,2,1))</f>
        <v>1</v>
      </c>
      <c r="HC482" s="5">
        <f>MIN(1,MAX(0,$HB$26-($A482-1)))</f>
        <v>0</v>
      </c>
      <c r="HD482" s="5">
        <f>$HB$25*(HC482+(1-HC482)*$HB$16)</f>
        <v>0.0</v>
      </c>
      <c r="HE482" s="13">
        <f>HD482*($HB$6+ACUTE_MARGIN)</f>
        <v>0.0</v>
      </c>
      <c r="HF482" s="13">
        <f>IF(HB482=1,$HB$31,$HB$32)</f>
        <v>152456.2970814058</v>
      </c>
      <c r="HG482" s="13">
        <f>HE482-HF482</f>
        <v>-152456.2970814058</v>
      </c>
      <c r="HH482" s="13">
        <f>HH481+HG482</f>
        <v>-22601091.907208655</v>
      </c>
      <c r="HI482">
        <f>IF(HH482=MAX($HH$83:$HH$483),$A482,0)</f>
        <v>0</v>
      </c>
      <c r="HJ482">
        <f>IF(HE482&lt;HF482,$A482,B_MAX+1)</f>
        <v>399</v>
      </c>
      <c r="HK482" s="13">
        <f>IF(HB482=1,$HB$35,$HB$36)</f>
        <v>0</v>
      </c>
      <c r="HL482" s="13">
        <f>OCC_DAYS*$HB$41*R_NF_2023-HD482*MCD_SHARE_FREED*R_WAIT_2023</f>
        <v>151980.48282209205</v>
      </c>
      <c r="HM482">
        <f>IF($A482&lt;=$HB$45,1,0)</f>
        <v>0</v>
      </c>
      <c r="IB482">
        <f>IF($IB$31&lt;=$IB$32,IF($A482&lt;=$IB$7,1,2),IF($A482&lt;=RUNG_BEDS_2,2,1))</f>
        <v>1</v>
      </c>
      <c r="IC482" s="5">
        <f>MIN(1,MAX(0,$IB$26-($A482-1)))</f>
        <v>0</v>
      </c>
      <c r="ID482" s="5">
        <f>$IB$25*(IC482+(1-IC482)*$IB$16)</f>
        <v>0.0</v>
      </c>
      <c r="IE482" s="13">
        <f>ID482*($IB$6+ACUTE_MARGIN)</f>
        <v>0.0</v>
      </c>
      <c r="IF482" s="13">
        <f>IF(IB482=1,$IB$31,$IB$32)</f>
        <v>152734.9994534971</v>
      </c>
      <c r="IG482" s="13">
        <f>IE482-IF482</f>
        <v>-152734.9994534971</v>
      </c>
      <c r="IH482" s="13">
        <f>IH481+IG482</f>
        <v>-22712294.153673016</v>
      </c>
      <c r="II482">
        <f>IF(IH482=MAX($IH$83:$IH$483),$A482,0)</f>
        <v>0</v>
      </c>
      <c r="IJ482">
        <f>IF(IE482&lt;IF482,$A482,B_MAX+1)</f>
        <v>399</v>
      </c>
      <c r="IK482" s="13">
        <f>IF(IB482=1,$IB$35,$IB$36)</f>
        <v>0</v>
      </c>
      <c r="IL482" s="13">
        <f>OCC_DAYS*$IB$41*R_NF_2023-ID482*MCD_SHARE_FREED*R_WAIT_2023</f>
        <v>151980.48282209205</v>
      </c>
      <c r="IM482">
        <f>IF($A482&lt;=$IB$45,1,0)</f>
        <v>0</v>
      </c>
      <c r="JB482">
        <f>IF($JB$31&lt;=$JB$32,IF($A482&lt;=$JB$7,1,2),IF($A482&lt;=RUNG_BEDS_2,2,1))</f>
        <v>1</v>
      </c>
      <c r="JC482" s="5">
        <f>MIN(1,MAX(0,$JB$26-($A482-1)))</f>
        <v>0</v>
      </c>
      <c r="JD482" s="5">
        <f>$JB$25*(JC482+(1-JC482)*$JB$16)</f>
        <v>0.0</v>
      </c>
      <c r="JE482" s="13">
        <f>JD482*($JB$6+ACUTE_MARGIN)</f>
        <v>0.0</v>
      </c>
      <c r="JF482" s="13">
        <f>IF(JB482=1,$JB$31,$JB$32)</f>
        <v>152394.16214437486</v>
      </c>
      <c r="JG482" s="13">
        <f>JE482-JF482</f>
        <v>-152394.16214437486</v>
      </c>
      <c r="JH482" s="13">
        <f>JH481+JG482</f>
        <v>-22576300.06733317</v>
      </c>
      <c r="JI482">
        <f>IF(JH482=MAX($JH$83:$JH$483),$A482,0)</f>
        <v>0</v>
      </c>
      <c r="JJ482">
        <f>IF(JE482&lt;JF482,$A482,B_MAX+1)</f>
        <v>399</v>
      </c>
      <c r="JK482" s="13">
        <f>IF(JB482=1,$JB$35,$JB$36)</f>
        <v>0</v>
      </c>
      <c r="JL482" s="13">
        <f>OCC_DAYS*$JB$41*R_NF_2023-JD482*MCD_SHARE_FREED*R_WAIT_2023</f>
        <v>151980.48282209205</v>
      </c>
      <c r="JM482">
        <f>IF($A482&lt;=$JB$45,1,0)</f>
        <v>0</v>
      </c>
      <c r="KB482">
        <f>IF($KB$31&lt;=$KB$32,IF($A482&lt;=$KB$7,1,2),IF($A482&lt;=RUNG_BEDS_2,2,1))</f>
        <v>1</v>
      </c>
      <c r="KC482" s="5">
        <f>MIN(1,MAX(0,$KB$26-($A482-1)))</f>
        <v>0</v>
      </c>
      <c r="KD482" s="5">
        <f>$KB$25*(KC482+(1-KC482)*$KB$16)</f>
        <v>0.0</v>
      </c>
      <c r="KE482" s="13">
        <f>KD482*($KB$6+ACUTE_MARGIN)</f>
        <v>0.0</v>
      </c>
      <c r="KF482" s="13">
        <f>IF(KB482=1,$KB$31,$KB$32)</f>
        <v>152394.16214437486</v>
      </c>
      <c r="KG482" s="13">
        <f>KE482-KF482</f>
        <v>-152394.16214437486</v>
      </c>
      <c r="KH482" s="13">
        <f>KH481+KG482</f>
        <v>-22576300.067333277</v>
      </c>
      <c r="KI482">
        <f>IF(KH482=MAX($KH$83:$KH$483),$A482,0)</f>
        <v>0</v>
      </c>
      <c r="KJ482">
        <f>IF(KE482&lt;KF482,$A482,B_MAX+1)</f>
        <v>399</v>
      </c>
      <c r="KK482" s="13">
        <f>IF(KB482=1,$KB$35,$KB$36)</f>
        <v>0</v>
      </c>
      <c r="KL482" s="13">
        <f>OCC_DAYS*$KB$41*R_NF_2023-KD482*MCD_SHARE_FREED*R_WAIT_2023</f>
        <v>151980.48282209205</v>
      </c>
      <c r="KM482">
        <f>IF($A482&lt;=$KB$45,1,0)</f>
        <v>0</v>
      </c>
      <c r="LB482">
        <f>IF($LB$31&lt;=$LB$32,IF($A482&lt;=$LB$7,1,2),IF($A482&lt;=RUNG_BEDS_2,2,1))</f>
        <v>1</v>
      </c>
      <c r="LC482" s="5">
        <f>MIN(1,MAX(0,$LB$26-($A482-1)))</f>
        <v>1</v>
      </c>
      <c r="LD482" s="5">
        <f>$LB$25*(LC482+(1-LC482)*$LB$16)</f>
        <v>84.01774238227146</v>
      </c>
      <c r="LE482" s="13">
        <f>LD482*($LB$6+ACUTE_MARGIN)</f>
        <v>84857.91980609419</v>
      </c>
      <c r="LF482" s="13">
        <f>IF(LB482=1,$LB$31,$LB$32)</f>
        <v>152394.16214437486</v>
      </c>
      <c r="LG482" s="13">
        <f>LE482-LF482</f>
        <v>-67536.24233828067</v>
      </c>
      <c r="LH482" s="13">
        <f>LH481+LG482</f>
        <v>-26946960.69297414</v>
      </c>
      <c r="LI482">
        <f>IF(LH482=MAX($LH$83:$LH$483),$A482,0)</f>
        <v>0</v>
      </c>
      <c r="LJ482">
        <f>IF(LE482&lt;LF482,$A482,B_MAX+1)</f>
        <v>399</v>
      </c>
      <c r="LK482" s="13">
        <f>IF(LB482=1,$LB$35,$LB$36)</f>
        <v>0</v>
      </c>
      <c r="LL482" s="13">
        <f>OCC_DAYS*$LB$41*R_NF_2023-LD482*MCD_SHARE_FREED*R_WAIT_2023</f>
        <v>113776.04162887059</v>
      </c>
      <c r="LM482">
        <f>IF($A482&lt;=$LB$45,1,0)</f>
        <v>0</v>
      </c>
      <c r="MB482">
        <f>IF($MB$31&lt;=$MB$32,IF($A482&lt;=$MB$7,1,2),IF($A482&lt;=RUNG_BEDS_2,2,1))</f>
        <v>1</v>
      </c>
      <c r="MC482" s="5">
        <f>MIN(1,MAX(0,$MB$26-($A482-1)))</f>
        <v>0</v>
      </c>
      <c r="MD482" s="5">
        <f>$MB$25*(MC482+(1-MC482)*$MB$16)</f>
        <v>0.0</v>
      </c>
      <c r="ME482" s="13">
        <f>MD482*($MB$6+ACUTE_MARGIN)</f>
        <v>0.0</v>
      </c>
      <c r="MF482" s="13">
        <f>IF(MB482=1,$MB$31,$MB$32)</f>
        <v>152394.16214437486</v>
      </c>
      <c r="MG482" s="13">
        <f>ME482-MF482</f>
        <v>-152394.16214437486</v>
      </c>
      <c r="MH482" s="13">
        <f>MH481+MG482</f>
        <v>-28463576.12913147</v>
      </c>
      <c r="MI482">
        <f>IF(MH482=MAX($MH$83:$MH$483),$A482,0)</f>
        <v>0</v>
      </c>
      <c r="MJ482">
        <f>IF(ME482&lt;MF482,$A482,B_MAX+1)</f>
        <v>399</v>
      </c>
      <c r="MK482" s="13">
        <f>IF(MB482=1,$MB$35,$MB$36)</f>
        <v>0</v>
      </c>
      <c r="ML482" s="13">
        <f>OCC_DAYS*$MB$41*R_NF_2023-MD482*MCD_SHARE_FREED*R_WAIT_2023</f>
        <v>151980.48282209205</v>
      </c>
      <c r="MM482">
        <f>IF($A482&lt;=$MB$45,1,0)</f>
        <v>0</v>
      </c>
      <c r="NB482">
        <f>IF($NB$31&lt;=$NB$32,IF($A482&lt;=$NB$7,1,2),IF($A482&lt;=RUNG_BEDS_2,2,1))</f>
        <v>1</v>
      </c>
      <c r="NC482" s="5">
        <f>MIN(1,MAX(0,$NB$26-($A482-1)))</f>
        <v>0</v>
      </c>
      <c r="ND482" s="5">
        <f>$NB$25*(NC482+(1-NC482)*$NB$16)</f>
        <v>63.013306786703595</v>
      </c>
      <c r="NE482" s="13">
        <f>ND482*($NB$6+ACUTE_MARGIN)</f>
        <v>63643.43985457063</v>
      </c>
      <c r="NF482" s="13">
        <f>IF(NB482=1,$NB$31,$NB$32)</f>
        <v>152394.16214437486</v>
      </c>
      <c r="NG482" s="13">
        <f>NE482-NF482</f>
        <v>-88750.72228980422</v>
      </c>
      <c r="NH482" s="13">
        <f>NH481+NG482</f>
        <v>-6739810.222427669</v>
      </c>
      <c r="NI482">
        <f>IF(NH482=MAX($NH$83:$NH$483),$A482,0)</f>
        <v>0</v>
      </c>
      <c r="NJ482">
        <f>IF(NE482&lt;NF482,$A482,B_MAX+1)</f>
        <v>399</v>
      </c>
      <c r="NK482" s="13">
        <f>IF(NB482=1,$NB$35,$NB$36)</f>
        <v>0</v>
      </c>
      <c r="NL482" s="13">
        <f>OCC_DAYS*$NB$41*R_NF_2023-ND482*MCD_SHARE_FREED*R_WAIT_2023</f>
        <v>123327.15192717595</v>
      </c>
      <c r="NM482">
        <f>IF($A482&lt;=$NB$45,1,0)</f>
        <v>0</v>
      </c>
      <c r="OB482">
        <f>IF($OB$31&lt;=$OB$32,IF($A482&lt;=$OB$7,1,2),IF($A482&lt;=RUNG_BEDS_2,2,1))</f>
        <v>1</v>
      </c>
      <c r="OC482" s="5">
        <f>MIN(1,MAX(0,$OB$26-($A482-1)))</f>
        <v>0</v>
      </c>
      <c r="OD482" s="5">
        <f>$OB$25*(OC482+(1-OC482)*$OB$16)</f>
        <v>126.02661357340719</v>
      </c>
      <c r="OE482" s="13">
        <f>OD482*($OB$6+ACUTE_MARGIN)</f>
        <v>127286.87970914126</v>
      </c>
      <c r="OF482" s="13">
        <f>IF(OB482=1,$OB$31,$OB$32)</f>
        <v>152394.16214437486</v>
      </c>
      <c r="OG482" s="13">
        <f>OE482-OF482</f>
        <v>-25107.282435233603</v>
      </c>
      <c r="OH482" s="13">
        <f>OH481+OG482</f>
        <v>9096679.622478181</v>
      </c>
      <c r="OI482">
        <f>IF(OH482=MAX($OH$83:$OH$483),$A482,0)</f>
        <v>0</v>
      </c>
      <c r="OJ482">
        <f>IF(OE482&lt;OF482,$A482,B_MAX+1)</f>
        <v>399</v>
      </c>
      <c r="OK482" s="13">
        <f>IF(OB482=1,$OB$35,$OB$36)</f>
        <v>0</v>
      </c>
      <c r="OL482" s="13">
        <f>OCC_DAYS*$OB$41*R_NF_2023-OD482*MCD_SHARE_FREED*R_WAIT_2023</f>
        <v>94673.82103225985</v>
      </c>
      <c r="OM482">
        <f>IF($A482&lt;=$OB$45,1,0)</f>
        <v>0</v>
      </c>
    </row>
    <row r="483">
      <c r="A483" t="n">
        <v>400</v>
      </c>
      <c r="B483">
        <f>IF($B$31&lt;=$B$32,IF($A483&lt;=$B$7,1,2),IF($A483&lt;=RUNG_BEDS_2,2,1))</f>
        <v>1</v>
      </c>
      <c r="C483" s="5">
        <f>MIN(1,MAX(0,$B$26-($A483-1)))</f>
        <v>0</v>
      </c>
      <c r="D483" s="5">
        <f>$B$25*(C483+(1-C483)*$B$16)</f>
        <v>0.0</v>
      </c>
      <c r="E483" s="13">
        <f>D483*($B$6+ACUTE_MARGIN)</f>
        <v>0.0</v>
      </c>
      <c r="F483" s="13">
        <f>IF(B483=1,$B$31,$B$32)</f>
        <v>152394.16214437486</v>
      </c>
      <c r="G483" s="13">
        <f>E483-F483</f>
        <v>-152394.16214437486</v>
      </c>
      <c r="H483" s="13">
        <f>H482+G483</f>
        <v>-22728694.229477543</v>
      </c>
      <c r="I483">
        <f>IF(H483=MAX($H$83:$H$483),$A483,0)</f>
        <v>0</v>
      </c>
      <c r="J483">
        <f>IF(E483&lt;F483,$A483,B_MAX+1)</f>
        <v>400</v>
      </c>
      <c r="K483" s="13">
        <f>IF(B483=1,$B$35,$B$36)</f>
        <v>0</v>
      </c>
      <c r="L483" s="13">
        <f>OCC_DAYS*$B$41*R_NF_2023-D483*MCD_SHARE_FREED*R_WAIT_2023</f>
        <v>151980.48282209205</v>
      </c>
      <c r="M483">
        <f>IF($A483&lt;=$B$45,1,0)</f>
        <v>0</v>
      </c>
      <c r="AB483">
        <f>IF($AB$31&lt;=$AB$32,IF($A483&lt;=$AB$7,1,2),IF($A483&lt;=RUNG_BEDS_2,2,1))</f>
        <v>1</v>
      </c>
      <c r="AC483" s="5">
        <f>MIN(1,MAX(0,$AB$26-($A483-1)))</f>
        <v>0</v>
      </c>
      <c r="AD483" s="5">
        <f>$AB$25*(AC483+(1-AC483)*$AB$16)</f>
        <v>0.0</v>
      </c>
      <c r="AE483" s="13">
        <f>AD483*($AB$6+ACUTE_MARGIN)</f>
        <v>0.0</v>
      </c>
      <c r="AF483" s="13">
        <f>IF(AB483=1,$AB$31,$AB$32)</f>
        <v>152394.16214437486</v>
      </c>
      <c r="AG483" s="13">
        <f>AE483-AF483</f>
        <v>-152394.16214437486</v>
      </c>
      <c r="AH483" s="13">
        <f>AH482+AG483</f>
        <v>-40139908.57502744</v>
      </c>
      <c r="AI483">
        <f>IF(AH483=MAX($AH$83:$AH$483),$A483,0)</f>
        <v>0</v>
      </c>
      <c r="AJ483">
        <f>IF(AE483&lt;AF483,$A483,B_MAX+1)</f>
        <v>400</v>
      </c>
      <c r="AK483" s="13">
        <f>IF(AB483=1,$AB$35,$AB$36)</f>
        <v>0</v>
      </c>
      <c r="AL483" s="13">
        <f>OCC_DAYS*$AB$41*R_NF_2023-AD483*MCD_SHARE_FREED*R_WAIT_2023</f>
        <v>151980.48282209205</v>
      </c>
      <c r="AM483">
        <f>IF($A483&lt;=$AB$45,1,0)</f>
        <v>0</v>
      </c>
      <c r="BB483">
        <f>IF($BB$31&lt;=$BB$32,IF($A483&lt;=$BB$7,1,2),IF($A483&lt;=RUNG_BEDS_2,2,1))</f>
        <v>1</v>
      </c>
      <c r="BC483" s="5">
        <f>MIN(1,MAX(0,$BB$26-($A483-1)))</f>
        <v>0</v>
      </c>
      <c r="BD483" s="5">
        <f>$BB$25*(BC483+(1-BC483)*$BB$16)</f>
        <v>0.0</v>
      </c>
      <c r="BE483" s="13">
        <f>BD483*($BB$6+ACUTE_MARGIN)</f>
        <v>0.0</v>
      </c>
      <c r="BF483" s="13">
        <f>IF(BB483=1,$BB$31,$BB$32)</f>
        <v>152394.16214437486</v>
      </c>
      <c r="BG483" s="13">
        <f>BE483-BF483</f>
        <v>-152394.16214437486</v>
      </c>
      <c r="BH483" s="13">
        <f>BH482+BG483</f>
        <v>-5317479.883927862</v>
      </c>
      <c r="BI483">
        <f>IF(BH483=MAX($BH$83:$BH$483),$A483,0)</f>
        <v>0</v>
      </c>
      <c r="BJ483">
        <f>IF(BE483&lt;BF483,$A483,B_MAX+1)</f>
        <v>400</v>
      </c>
      <c r="BK483" s="13">
        <f>IF(BB483=1,$BB$35,$BB$36)</f>
        <v>0</v>
      </c>
      <c r="BL483" s="13">
        <f>OCC_DAYS*$BB$41*R_NF_2023-BD483*MCD_SHARE_FREED*R_WAIT_2023</f>
        <v>151980.48282209205</v>
      </c>
      <c r="BM483">
        <f>IF($A483&lt;=$BB$45,1,0)</f>
        <v>0</v>
      </c>
      <c r="CB483">
        <f>IF($CB$31&lt;=$CB$32,IF($A483&lt;=$CB$7,1,2),IF($A483&lt;=RUNG_BEDS_2,2,1))</f>
        <v>2</v>
      </c>
      <c r="CC483" s="5">
        <f>MIN(1,MAX(0,$CB$26-($A483-1)))</f>
        <v>0</v>
      </c>
      <c r="CD483" s="5">
        <f>$CB$25*(CC483+(1-CC483)*$CB$16)</f>
        <v>0.0</v>
      </c>
      <c r="CE483" s="13">
        <f>CD483*($CB$6+ACUTE_MARGIN)</f>
        <v>0.0</v>
      </c>
      <c r="CF483" s="13">
        <f>IF(CB483=1,$CB$31,$CB$32)</f>
        <v>160718.36940738867</v>
      </c>
      <c r="CG483" s="13">
        <f>CE483-CF483</f>
        <v>-160718.36940738867</v>
      </c>
      <c r="CH483" s="13">
        <f>CH482+CG483</f>
        <v>-26058377.13468331</v>
      </c>
      <c r="CI483">
        <f>IF(CH483=MAX($CH$83:$CH$483),$A483,0)</f>
        <v>0</v>
      </c>
      <c r="CJ483">
        <f>IF(CE483&lt;CF483,$A483,B_MAX+1)</f>
        <v>400</v>
      </c>
      <c r="CK483" s="13">
        <f>IF(CB483=1,$CB$35,$CB$36)</f>
        <v>1560.1194073886782</v>
      </c>
      <c r="CL483" s="13">
        <f>OCC_DAYS*$CB$41*R_NF_2023-CD483*MCD_SHARE_FREED*R_WAIT_2023</f>
        <v>151980.48282209205</v>
      </c>
      <c r="CM483">
        <f>IF($A483&lt;=$CB$45,1,0)</f>
        <v>0</v>
      </c>
      <c r="DB483">
        <f>IF($DB$31&lt;=$DB$32,IF($A483&lt;=$DB$7,1,2),IF($A483&lt;=RUNG_BEDS_2,2,1))</f>
        <v>1</v>
      </c>
      <c r="DC483" s="5">
        <f>MIN(1,MAX(0,$DB$26-($A483-1)))</f>
        <v>0</v>
      </c>
      <c r="DD483" s="5">
        <f>$DB$25*(DC483+(1-DC483)*$DB$16)</f>
        <v>0.0</v>
      </c>
      <c r="DE483" s="13">
        <f>DD483*($DB$6+ACUTE_MARGIN)</f>
        <v>0.0</v>
      </c>
      <c r="DF483" s="13">
        <f>IF(DB483=1,$DB$31,$DB$32)</f>
        <v>152394.16214437486</v>
      </c>
      <c r="DG483" s="13">
        <f>DE483-DF483</f>
        <v>-152394.16214437486</v>
      </c>
      <c r="DH483" s="13">
        <f>DH482+DG483</f>
        <v>-22728694.229477543</v>
      </c>
      <c r="DI483">
        <f>IF(DH483=MAX($DH$83:$DH$483),$A483,0)</f>
        <v>0</v>
      </c>
      <c r="DJ483">
        <f>IF(DE483&lt;DF483,$A483,B_MAX+1)</f>
        <v>400</v>
      </c>
      <c r="DK483" s="13">
        <f>IF(DB483=1,$DB$35,$DB$36)</f>
        <v>0</v>
      </c>
      <c r="DL483" s="13">
        <f>OCC_DAYS*$DB$41*R_NF_2023-DD483*MCD_SHARE_FREED*R_WAIT_2023</f>
        <v>151980.48282209205</v>
      </c>
      <c r="DM483">
        <f>IF($A483&lt;=$DB$45,1,0)</f>
        <v>0</v>
      </c>
      <c r="EB483">
        <f>IF($EB$31&lt;=$EB$32,IF($A483&lt;=$EB$7,1,2),IF($A483&lt;=RUNG_BEDS_2,2,1))</f>
        <v>1</v>
      </c>
      <c r="EC483" s="5">
        <f>MIN(1,MAX(0,$EB$26-($A483-1)))</f>
        <v>0</v>
      </c>
      <c r="ED483" s="5">
        <f>$EB$25*(EC483+(1-EC483)*$EB$16)</f>
        <v>0.0</v>
      </c>
      <c r="EE483" s="13">
        <f>ED483*($EB$6+ACUTE_MARGIN)</f>
        <v>0.0</v>
      </c>
      <c r="EF483" s="13">
        <f>IF(EB483=1,$EB$31,$EB$32)</f>
        <v>152394.16214437486</v>
      </c>
      <c r="EG483" s="13">
        <f>EE483-EF483</f>
        <v>-152394.16214437486</v>
      </c>
      <c r="EH483" s="13">
        <f>EH482+EG483</f>
        <v>-22728694.229477543</v>
      </c>
      <c r="EI483">
        <f>IF(EH483=MAX($EH$83:$EH$483),$A483,0)</f>
        <v>0</v>
      </c>
      <c r="EJ483">
        <f>IF(EE483&lt;EF483,$A483,B_MAX+1)</f>
        <v>400</v>
      </c>
      <c r="EK483" s="13">
        <f>IF(EB483=1,$EB$35,$EB$36)</f>
        <v>0</v>
      </c>
      <c r="EL483" s="13">
        <f>OCC_DAYS*$EB$41*R_NF_2023-ED483*MCD_SHARE_FREED*R_WAIT_2023</f>
        <v>50660.16094069735</v>
      </c>
      <c r="EM483">
        <f>IF($A483&lt;=$EB$45,1,0)</f>
        <v>0</v>
      </c>
      <c r="FB483">
        <f>IF($FB$31&lt;=$FB$32,IF($A483&lt;=$FB$7,1,2),IF($A483&lt;=RUNG_BEDS_2,2,1))</f>
        <v>1</v>
      </c>
      <c r="FC483" s="5">
        <f>MIN(1,MAX(0,$FB$26-($A483-1)))</f>
        <v>0</v>
      </c>
      <c r="FD483" s="5">
        <f>$FB$25*(FC483+(1-FC483)*$FB$16)</f>
        <v>0.0</v>
      </c>
      <c r="FE483" s="13">
        <f>FD483*($FB$6+ACUTE_MARGIN)</f>
        <v>0.0</v>
      </c>
      <c r="FF483" s="13">
        <f>IF(FB483=1,$FB$31,$FB$32)</f>
        <v>156636.04979437485</v>
      </c>
      <c r="FG483" s="13">
        <f>FE483-FF483</f>
        <v>-156636.04979437485</v>
      </c>
      <c r="FH483" s="13">
        <f>FH482+FG483</f>
        <v>-24425449.289477732</v>
      </c>
      <c r="FI483">
        <f>IF(FH483=MAX($FH$83:$FH$483),$A483,0)</f>
        <v>0</v>
      </c>
      <c r="FJ483">
        <f>IF(FE483&lt;FF483,$A483,B_MAX+1)</f>
        <v>400</v>
      </c>
      <c r="FK483" s="13">
        <f>IF(FB483=1,$FB$35,$FB$36)</f>
        <v>0</v>
      </c>
      <c r="FL483" s="13">
        <f>OCC_DAYS*$FB$41*R_NF_2023-FD483*MCD_SHARE_FREED*R_WAIT_2023</f>
        <v>151980.48282209205</v>
      </c>
      <c r="FM483">
        <f>IF($A483&lt;=$FB$45,1,0)</f>
        <v>0</v>
      </c>
      <c r="GB483">
        <f>IF($GB$31&lt;=$GB$32,IF($A483&lt;=$GB$7,1,2),IF($A483&lt;=RUNG_BEDS_2,2,1))</f>
        <v>1</v>
      </c>
      <c r="GC483" s="5">
        <f>MIN(1,MAX(0,$GB$26-($A483-1)))</f>
        <v>0</v>
      </c>
      <c r="GD483" s="5">
        <f>$GB$25*(GC483+(1-GC483)*$GB$16)</f>
        <v>0.0</v>
      </c>
      <c r="GE483" s="13">
        <f>GD483*($GB$6+ACUTE_MARGIN)</f>
        <v>0.0</v>
      </c>
      <c r="GF483" s="13">
        <f>IF(GB483=1,$GB$31,$GB$32)</f>
        <v>152394.16214437486</v>
      </c>
      <c r="GG483" s="13">
        <f>GE483-GF483</f>
        <v>-152394.16214437486</v>
      </c>
      <c r="GH483" s="13">
        <f>GH482+GG483</f>
        <v>-22728694.229477543</v>
      </c>
      <c r="GI483">
        <f>IF(GH483=MAX($GH$83:$GH$483),$A483,0)</f>
        <v>0</v>
      </c>
      <c r="GJ483">
        <f>IF(GE483&lt;GF483,$A483,B_MAX+1)</f>
        <v>400</v>
      </c>
      <c r="GK483" s="13">
        <f>IF(GB483=1,$GB$35,$GB$36)</f>
        <v>0</v>
      </c>
      <c r="GL483" s="13">
        <f>OCC_DAYS*$GB$41*R_NF_2023-GD483*MCD_SHARE_FREED*R_WAIT_2023</f>
        <v>151980.48282209205</v>
      </c>
      <c r="GM483">
        <f>IF($A483&lt;=$GB$45,1,0)</f>
        <v>0</v>
      </c>
      <c r="HB483">
        <f>IF($HB$31&lt;=$HB$32,IF($A483&lt;=$HB$7,1,2),IF($A483&lt;=RUNG_BEDS_2,2,1))</f>
        <v>1</v>
      </c>
      <c r="HC483" s="5">
        <f>MIN(1,MAX(0,$HB$26-($A483-1)))</f>
        <v>0</v>
      </c>
      <c r="HD483" s="5">
        <f>$HB$25*(HC483+(1-HC483)*$HB$16)</f>
        <v>0.0</v>
      </c>
      <c r="HE483" s="13">
        <f>HD483*($HB$6+ACUTE_MARGIN)</f>
        <v>0.0</v>
      </c>
      <c r="HF483" s="13">
        <f>IF(HB483=1,$HB$31,$HB$32)</f>
        <v>152456.2970814058</v>
      </c>
      <c r="HG483" s="13">
        <f>HE483-HF483</f>
        <v>-152456.2970814058</v>
      </c>
      <c r="HH483" s="13">
        <f>HH482+HG483</f>
        <v>-22753548.204290062</v>
      </c>
      <c r="HI483">
        <f>IF(HH483=MAX($HH$83:$HH$483),$A483,0)</f>
        <v>0</v>
      </c>
      <c r="HJ483">
        <f>IF(HE483&lt;HF483,$A483,B_MAX+1)</f>
        <v>400</v>
      </c>
      <c r="HK483" s="13">
        <f>IF(HB483=1,$HB$35,$HB$36)</f>
        <v>0</v>
      </c>
      <c r="HL483" s="13">
        <f>OCC_DAYS*$HB$41*R_NF_2023-HD483*MCD_SHARE_FREED*R_WAIT_2023</f>
        <v>151980.48282209205</v>
      </c>
      <c r="HM483">
        <f>IF($A483&lt;=$HB$45,1,0)</f>
        <v>0</v>
      </c>
      <c r="IB483">
        <f>IF($IB$31&lt;=$IB$32,IF($A483&lt;=$IB$7,1,2),IF($A483&lt;=RUNG_BEDS_2,2,1))</f>
        <v>1</v>
      </c>
      <c r="IC483" s="5">
        <f>MIN(1,MAX(0,$IB$26-($A483-1)))</f>
        <v>0</v>
      </c>
      <c r="ID483" s="5">
        <f>$IB$25*(IC483+(1-IC483)*$IB$16)</f>
        <v>0.0</v>
      </c>
      <c r="IE483" s="13">
        <f>ID483*($IB$6+ACUTE_MARGIN)</f>
        <v>0.0</v>
      </c>
      <c r="IF483" s="13">
        <f>IF(IB483=1,$IB$31,$IB$32)</f>
        <v>152734.9994534971</v>
      </c>
      <c r="IG483" s="13">
        <f>IE483-IF483</f>
        <v>-152734.9994534971</v>
      </c>
      <c r="IH483" s="13">
        <f>IH482+IG483</f>
        <v>-22865029.15312651</v>
      </c>
      <c r="II483">
        <f>IF(IH483=MAX($IH$83:$IH$483),$A483,0)</f>
        <v>0</v>
      </c>
      <c r="IJ483">
        <f>IF(IE483&lt;IF483,$A483,B_MAX+1)</f>
        <v>400</v>
      </c>
      <c r="IK483" s="13">
        <f>IF(IB483=1,$IB$35,$IB$36)</f>
        <v>0</v>
      </c>
      <c r="IL483" s="13">
        <f>OCC_DAYS*$IB$41*R_NF_2023-ID483*MCD_SHARE_FREED*R_WAIT_2023</f>
        <v>151980.48282209205</v>
      </c>
      <c r="IM483">
        <f>IF($A483&lt;=$IB$45,1,0)</f>
        <v>0</v>
      </c>
      <c r="JB483">
        <f>IF($JB$31&lt;=$JB$32,IF($A483&lt;=$JB$7,1,2),IF($A483&lt;=RUNG_BEDS_2,2,1))</f>
        <v>1</v>
      </c>
      <c r="JC483" s="5">
        <f>MIN(1,MAX(0,$JB$26-($A483-1)))</f>
        <v>0</v>
      </c>
      <c r="JD483" s="5">
        <f>$JB$25*(JC483+(1-JC483)*$JB$16)</f>
        <v>0.0</v>
      </c>
      <c r="JE483" s="13">
        <f>JD483*($JB$6+ACUTE_MARGIN)</f>
        <v>0.0</v>
      </c>
      <c r="JF483" s="13">
        <f>IF(JB483=1,$JB$31,$JB$32)</f>
        <v>152394.16214437486</v>
      </c>
      <c r="JG483" s="13">
        <f>JE483-JF483</f>
        <v>-152394.16214437486</v>
      </c>
      <c r="JH483" s="13">
        <f>JH482+JG483</f>
        <v>-22728694.229477543</v>
      </c>
      <c r="JI483">
        <f>IF(JH483=MAX($JH$83:$JH$483),$A483,0)</f>
        <v>0</v>
      </c>
      <c r="JJ483">
        <f>IF(JE483&lt;JF483,$A483,B_MAX+1)</f>
        <v>400</v>
      </c>
      <c r="JK483" s="13">
        <f>IF(JB483=1,$JB$35,$JB$36)</f>
        <v>0</v>
      </c>
      <c r="JL483" s="13">
        <f>OCC_DAYS*$JB$41*R_NF_2023-JD483*MCD_SHARE_FREED*R_WAIT_2023</f>
        <v>151980.48282209205</v>
      </c>
      <c r="JM483">
        <f>IF($A483&lt;=$JB$45,1,0)</f>
        <v>0</v>
      </c>
      <c r="KB483">
        <f>IF($KB$31&lt;=$KB$32,IF($A483&lt;=$KB$7,1,2),IF($A483&lt;=RUNG_BEDS_2,2,1))</f>
        <v>1</v>
      </c>
      <c r="KC483" s="5">
        <f>MIN(1,MAX(0,$KB$26-($A483-1)))</f>
        <v>0</v>
      </c>
      <c r="KD483" s="5">
        <f>$KB$25*(KC483+(1-KC483)*$KB$16)</f>
        <v>0.0</v>
      </c>
      <c r="KE483" s="13">
        <f>KD483*($KB$6+ACUTE_MARGIN)</f>
        <v>0.0</v>
      </c>
      <c r="KF483" s="13">
        <f>IF(KB483=1,$KB$31,$KB$32)</f>
        <v>152394.16214437486</v>
      </c>
      <c r="KG483" s="13">
        <f>KE483-KF483</f>
        <v>-152394.16214437486</v>
      </c>
      <c r="KH483" s="13">
        <f>KH482+KG483</f>
        <v>-22728694.22947765</v>
      </c>
      <c r="KI483">
        <f>IF(KH483=MAX($KH$83:$KH$483),$A483,0)</f>
        <v>0</v>
      </c>
      <c r="KJ483">
        <f>IF(KE483&lt;KF483,$A483,B_MAX+1)</f>
        <v>400</v>
      </c>
      <c r="KK483" s="13">
        <f>IF(KB483=1,$KB$35,$KB$36)</f>
        <v>0</v>
      </c>
      <c r="KL483" s="13">
        <f>OCC_DAYS*$KB$41*R_NF_2023-KD483*MCD_SHARE_FREED*R_WAIT_2023</f>
        <v>151980.48282209205</v>
      </c>
      <c r="KM483">
        <f>IF($A483&lt;=$KB$45,1,0)</f>
        <v>0</v>
      </c>
      <c r="LB483">
        <f>IF($LB$31&lt;=$LB$32,IF($A483&lt;=$LB$7,1,2),IF($A483&lt;=RUNG_BEDS_2,2,1))</f>
        <v>1</v>
      </c>
      <c r="LC483" s="5">
        <f>MIN(1,MAX(0,$LB$26-($A483-1)))</f>
        <v>1</v>
      </c>
      <c r="LD483" s="5">
        <f>$LB$25*(LC483+(1-LC483)*$LB$16)</f>
        <v>84.01774238227146</v>
      </c>
      <c r="LE483" s="13">
        <f>LD483*($LB$6+ACUTE_MARGIN)</f>
        <v>84857.91980609419</v>
      </c>
      <c r="LF483" s="13">
        <f>IF(LB483=1,$LB$31,$LB$32)</f>
        <v>152394.16214437486</v>
      </c>
      <c r="LG483" s="13">
        <f>LE483-LF483</f>
        <v>-67536.24233828067</v>
      </c>
      <c r="LH483" s="13">
        <f>LH482+LG483</f>
        <v>-27014496.93531242</v>
      </c>
      <c r="LI483">
        <f>IF(LH483=MAX($LH$83:$LH$483),$A483,0)</f>
        <v>0</v>
      </c>
      <c r="LJ483">
        <f>IF(LE483&lt;LF483,$A483,B_MAX+1)</f>
        <v>400</v>
      </c>
      <c r="LK483" s="13">
        <f>IF(LB483=1,$LB$35,$LB$36)</f>
        <v>0</v>
      </c>
      <c r="LL483" s="13">
        <f>OCC_DAYS*$LB$41*R_NF_2023-LD483*MCD_SHARE_FREED*R_WAIT_2023</f>
        <v>113776.04162887059</v>
      </c>
      <c r="LM483">
        <f>IF($A483&lt;=$LB$45,1,0)</f>
        <v>0</v>
      </c>
      <c r="MB483">
        <f>IF($MB$31&lt;=$MB$32,IF($A483&lt;=$MB$7,1,2),IF($A483&lt;=RUNG_BEDS_2,2,1))</f>
        <v>1</v>
      </c>
      <c r="MC483" s="5">
        <f>MIN(1,MAX(0,$MB$26-($A483-1)))</f>
        <v>0</v>
      </c>
      <c r="MD483" s="5">
        <f>$MB$25*(MC483+(1-MC483)*$MB$16)</f>
        <v>0.0</v>
      </c>
      <c r="ME483" s="13">
        <f>MD483*($MB$6+ACUTE_MARGIN)</f>
        <v>0.0</v>
      </c>
      <c r="MF483" s="13">
        <f>IF(MB483=1,$MB$31,$MB$32)</f>
        <v>152394.16214437486</v>
      </c>
      <c r="MG483" s="13">
        <f>ME483-MF483</f>
        <v>-152394.16214437486</v>
      </c>
      <c r="MH483" s="13">
        <f>MH482+MG483</f>
        <v>-28615970.291275844</v>
      </c>
      <c r="MI483">
        <f>IF(MH483=MAX($MH$83:$MH$483),$A483,0)</f>
        <v>0</v>
      </c>
      <c r="MJ483">
        <f>IF(ME483&lt;MF483,$A483,B_MAX+1)</f>
        <v>400</v>
      </c>
      <c r="MK483" s="13">
        <f>IF(MB483=1,$MB$35,$MB$36)</f>
        <v>0</v>
      </c>
      <c r="ML483" s="13">
        <f>OCC_DAYS*$MB$41*R_NF_2023-MD483*MCD_SHARE_FREED*R_WAIT_2023</f>
        <v>151980.48282209205</v>
      </c>
      <c r="MM483">
        <f>IF($A483&lt;=$MB$45,1,0)</f>
        <v>0</v>
      </c>
      <c r="NB483">
        <f>IF($NB$31&lt;=$NB$32,IF($A483&lt;=$NB$7,1,2),IF($A483&lt;=RUNG_BEDS_2,2,1))</f>
        <v>1</v>
      </c>
      <c r="NC483" s="5">
        <f>MIN(1,MAX(0,$NB$26-($A483-1)))</f>
        <v>0</v>
      </c>
      <c r="ND483" s="5">
        <f>$NB$25*(NC483+(1-NC483)*$NB$16)</f>
        <v>63.013306786703595</v>
      </c>
      <c r="NE483" s="13">
        <f>ND483*($NB$6+ACUTE_MARGIN)</f>
        <v>63643.43985457063</v>
      </c>
      <c r="NF483" s="13">
        <f>IF(NB483=1,$NB$31,$NB$32)</f>
        <v>152394.16214437486</v>
      </c>
      <c r="NG483" s="13">
        <f>NE483-NF483</f>
        <v>-88750.72228980422</v>
      </c>
      <c r="NH483" s="13">
        <f>NH482+NG483</f>
        <v>-6828560.944717473</v>
      </c>
      <c r="NI483">
        <f>IF(NH483=MAX($NH$83:$NH$483),$A483,0)</f>
        <v>0</v>
      </c>
      <c r="NJ483">
        <f>IF(NE483&lt;NF483,$A483,B_MAX+1)</f>
        <v>400</v>
      </c>
      <c r="NK483" s="13">
        <f>IF(NB483=1,$NB$35,$NB$36)</f>
        <v>0</v>
      </c>
      <c r="NL483" s="13">
        <f>OCC_DAYS*$NB$41*R_NF_2023-ND483*MCD_SHARE_FREED*R_WAIT_2023</f>
        <v>123327.15192717595</v>
      </c>
      <c r="NM483">
        <f>IF($A483&lt;=$NB$45,1,0)</f>
        <v>0</v>
      </c>
      <c r="OB483">
        <f>IF($OB$31&lt;=$OB$32,IF($A483&lt;=$OB$7,1,2),IF($A483&lt;=RUNG_BEDS_2,2,1))</f>
        <v>1</v>
      </c>
      <c r="OC483" s="5">
        <f>MIN(1,MAX(0,$OB$26-($A483-1)))</f>
        <v>0</v>
      </c>
      <c r="OD483" s="5">
        <f>$OB$25*(OC483+(1-OC483)*$OB$16)</f>
        <v>126.02661357340719</v>
      </c>
      <c r="OE483" s="13">
        <f>OD483*($OB$6+ACUTE_MARGIN)</f>
        <v>127286.87970914126</v>
      </c>
      <c r="OF483" s="13">
        <f>IF(OB483=1,$OB$31,$OB$32)</f>
        <v>152394.16214437486</v>
      </c>
      <c r="OG483" s="13">
        <f>OE483-OF483</f>
        <v>-25107.282435233603</v>
      </c>
      <c r="OH483" s="13">
        <f>OH482+OG483</f>
        <v>9071572.340042949</v>
      </c>
      <c r="OI483">
        <f>IF(OH483=MAX($OH$83:$OH$483),$A483,0)</f>
        <v>0</v>
      </c>
      <c r="OJ483">
        <f>IF(OE483&lt;OF483,$A483,B_MAX+1)</f>
        <v>400</v>
      </c>
      <c r="OK483" s="13">
        <f>IF(OB483=1,$OB$35,$OB$36)</f>
        <v>0</v>
      </c>
      <c r="OL483" s="13">
        <f>OCC_DAYS*$OB$41*R_NF_2023-OD483*MCD_SHARE_FREED*R_WAIT_2023</f>
        <v>94673.82103225985</v>
      </c>
      <c r="OM483">
        <f>IF($A483&lt;=$OB$45,1,0)</f>
        <v>0</v>
      </c>
    </row>
    <row r="486">
      <c r="A486" s="3" t="inlineStr">
        <is>
          <t>Rate years for each run</t>
        </is>
      </c>
    </row>
    <row r="487">
      <c r="B487" s="2" t="inlineStr">
        <is>
          <t>t</t>
        </is>
      </c>
      <c r="C487" s="2" t="inlineStr">
        <is>
          <t>In horizon</t>
        </is>
      </c>
      <c r="D487" s="2" t="inlineStr">
        <is>
          <t>G_IDX(t)</t>
        </is>
      </c>
      <c r="E487" s="2" t="inlineStr">
        <is>
          <t>C_OP_NOM</t>
        </is>
      </c>
      <c r="F487" s="2" t="inlineStr">
        <is>
          <t>RATE_IDX</t>
        </is>
      </c>
      <c r="G487" s="2" t="inlineStr">
        <is>
          <t>RATE_HIX</t>
        </is>
      </c>
      <c r="H487" s="2" t="inlineStr">
        <is>
          <t>RATE_REB</t>
        </is>
      </c>
      <c r="I487" s="2" t="inlineStr">
        <is>
          <t>Rebase year</t>
        </is>
      </c>
      <c r="J487" s="2" t="inlineStr">
        <is>
          <t>R_CAP_IDX</t>
        </is>
      </c>
      <c r="K487" s="2" t="inlineStr">
        <is>
          <t>R_CAP_HIX</t>
        </is>
      </c>
      <c r="L487" s="2" t="inlineStr">
        <is>
          <t>R_CAP_REB</t>
        </is>
      </c>
      <c r="M487" s="2" t="inlineStr">
        <is>
          <t>OP_MARGIN IDX</t>
        </is>
      </c>
      <c r="N487" s="2" t="inlineStr">
        <is>
          <t>OP_MARGIN HIX</t>
        </is>
      </c>
      <c r="O487" s="2" t="inlineStr">
        <is>
          <t>OP_MARGIN REB</t>
        </is>
      </c>
      <c r="P487" s="2" t="inlineStr">
        <is>
          <t>RATE_AT_COST</t>
        </is>
      </c>
      <c r="Q487" s="2" t="inlineStr">
        <is>
          <t>SHORTFALL</t>
        </is>
      </c>
      <c r="R487" s="2" t="inlineStr">
        <is>
          <t>Deflator (CPI of t-1)</t>
        </is>
      </c>
      <c r="S487" s="2" t="inlineStr">
        <is>
          <t>RULE_KEPT HIX</t>
        </is>
      </c>
      <c r="T487" s="2" t="inlineStr">
        <is>
          <t>RULE_KEPT REB</t>
        </is>
      </c>
      <c r="U487" s="2" t="inlineStr">
        <is>
          <t>RULE_COST HIX</t>
        </is>
      </c>
      <c r="V487" s="2" t="inlineStr">
        <is>
          <t>RULE_COST REB</t>
        </is>
      </c>
      <c r="W487" s="2" t="inlineStr">
        <is>
          <t>Discount factor</t>
        </is>
      </c>
      <c r="X487" s="2" t="inlineStr">
        <is>
          <t>Fail IDX</t>
        </is>
      </c>
      <c r="Y487" s="2" t="inlineStr">
        <is>
          <t>Fail HIX</t>
        </is>
      </c>
      <c r="Z487" s="2" t="inlineStr">
        <is>
          <t>Fail REB</t>
        </is>
      </c>
      <c r="AB487" s="2" t="inlineStr">
        <is>
          <t>t</t>
        </is>
      </c>
      <c r="AC487" s="2" t="inlineStr">
        <is>
          <t>In horizon</t>
        </is>
      </c>
      <c r="AD487" s="2" t="inlineStr">
        <is>
          <t>G_IDX(t)</t>
        </is>
      </c>
      <c r="AE487" s="2" t="inlineStr">
        <is>
          <t>C_OP_NOM</t>
        </is>
      </c>
      <c r="AF487" s="2" t="inlineStr">
        <is>
          <t>RATE_IDX</t>
        </is>
      </c>
      <c r="AG487" s="2" t="inlineStr">
        <is>
          <t>RATE_HIX</t>
        </is>
      </c>
      <c r="AH487" s="2" t="inlineStr">
        <is>
          <t>RATE_REB</t>
        </is>
      </c>
      <c r="AI487" s="2" t="inlineStr">
        <is>
          <t>Rebase year</t>
        </is>
      </c>
      <c r="AJ487" s="2" t="inlineStr">
        <is>
          <t>R_CAP_IDX</t>
        </is>
      </c>
      <c r="AK487" s="2" t="inlineStr">
        <is>
          <t>R_CAP_HIX</t>
        </is>
      </c>
      <c r="AL487" s="2" t="inlineStr">
        <is>
          <t>R_CAP_REB</t>
        </is>
      </c>
      <c r="AM487" s="2" t="inlineStr">
        <is>
          <t>OP_MARGIN IDX</t>
        </is>
      </c>
      <c r="AN487" s="2" t="inlineStr">
        <is>
          <t>OP_MARGIN HIX</t>
        </is>
      </c>
      <c r="AO487" s="2" t="inlineStr">
        <is>
          <t>OP_MARGIN REB</t>
        </is>
      </c>
      <c r="AP487" s="2" t="inlineStr">
        <is>
          <t>RATE_AT_COST</t>
        </is>
      </c>
      <c r="AQ487" s="2" t="inlineStr">
        <is>
          <t>SHORTFALL</t>
        </is>
      </c>
      <c r="AR487" s="2" t="inlineStr">
        <is>
          <t>Deflator (CPI of t-1)</t>
        </is>
      </c>
      <c r="AS487" s="2" t="inlineStr">
        <is>
          <t>RULE_KEPT HIX</t>
        </is>
      </c>
      <c r="AT487" s="2" t="inlineStr">
        <is>
          <t>RULE_KEPT REB</t>
        </is>
      </c>
      <c r="AU487" s="2" t="inlineStr">
        <is>
          <t>RULE_COST HIX</t>
        </is>
      </c>
      <c r="AV487" s="2" t="inlineStr">
        <is>
          <t>RULE_COST REB</t>
        </is>
      </c>
      <c r="AW487" s="2" t="inlineStr">
        <is>
          <t>Discount factor</t>
        </is>
      </c>
      <c r="AX487" s="2" t="inlineStr">
        <is>
          <t>Fail IDX</t>
        </is>
      </c>
      <c r="AY487" s="2" t="inlineStr">
        <is>
          <t>Fail HIX</t>
        </is>
      </c>
      <c r="AZ487" s="2" t="inlineStr">
        <is>
          <t>Fail REB</t>
        </is>
      </c>
      <c r="BB487" s="2" t="inlineStr">
        <is>
          <t>t</t>
        </is>
      </c>
      <c r="BC487" s="2" t="inlineStr">
        <is>
          <t>In horizon</t>
        </is>
      </c>
      <c r="BD487" s="2" t="inlineStr">
        <is>
          <t>G_IDX(t)</t>
        </is>
      </c>
      <c r="BE487" s="2" t="inlineStr">
        <is>
          <t>C_OP_NOM</t>
        </is>
      </c>
      <c r="BF487" s="2" t="inlineStr">
        <is>
          <t>RATE_IDX</t>
        </is>
      </c>
      <c r="BG487" s="2" t="inlineStr">
        <is>
          <t>RATE_HIX</t>
        </is>
      </c>
      <c r="BH487" s="2" t="inlineStr">
        <is>
          <t>RATE_REB</t>
        </is>
      </c>
      <c r="BI487" s="2" t="inlineStr">
        <is>
          <t>Rebase year</t>
        </is>
      </c>
      <c r="BJ487" s="2" t="inlineStr">
        <is>
          <t>R_CAP_IDX</t>
        </is>
      </c>
      <c r="BK487" s="2" t="inlineStr">
        <is>
          <t>R_CAP_HIX</t>
        </is>
      </c>
      <c r="BL487" s="2" t="inlineStr">
        <is>
          <t>R_CAP_REB</t>
        </is>
      </c>
      <c r="BM487" s="2" t="inlineStr">
        <is>
          <t>OP_MARGIN IDX</t>
        </is>
      </c>
      <c r="BN487" s="2" t="inlineStr">
        <is>
          <t>OP_MARGIN HIX</t>
        </is>
      </c>
      <c r="BO487" s="2" t="inlineStr">
        <is>
          <t>OP_MARGIN REB</t>
        </is>
      </c>
      <c r="BP487" s="2" t="inlineStr">
        <is>
          <t>RATE_AT_COST</t>
        </is>
      </c>
      <c r="BQ487" s="2" t="inlineStr">
        <is>
          <t>SHORTFALL</t>
        </is>
      </c>
      <c r="BR487" s="2" t="inlineStr">
        <is>
          <t>Deflator (CPI of t-1)</t>
        </is>
      </c>
      <c r="BS487" s="2" t="inlineStr">
        <is>
          <t>RULE_KEPT HIX</t>
        </is>
      </c>
      <c r="BT487" s="2" t="inlineStr">
        <is>
          <t>RULE_KEPT REB</t>
        </is>
      </c>
      <c r="BU487" s="2" t="inlineStr">
        <is>
          <t>RULE_COST HIX</t>
        </is>
      </c>
      <c r="BV487" s="2" t="inlineStr">
        <is>
          <t>RULE_COST REB</t>
        </is>
      </c>
      <c r="BW487" s="2" t="inlineStr">
        <is>
          <t>Discount factor</t>
        </is>
      </c>
      <c r="BX487" s="2" t="inlineStr">
        <is>
          <t>Fail IDX</t>
        </is>
      </c>
      <c r="BY487" s="2" t="inlineStr">
        <is>
          <t>Fail HIX</t>
        </is>
      </c>
      <c r="BZ487" s="2" t="inlineStr">
        <is>
          <t>Fail REB</t>
        </is>
      </c>
      <c r="CB487" s="2" t="inlineStr">
        <is>
          <t>t</t>
        </is>
      </c>
      <c r="CC487" s="2" t="inlineStr">
        <is>
          <t>In horizon</t>
        </is>
      </c>
      <c r="CD487" s="2" t="inlineStr">
        <is>
          <t>G_IDX(t)</t>
        </is>
      </c>
      <c r="CE487" s="2" t="inlineStr">
        <is>
          <t>C_OP_NOM</t>
        </is>
      </c>
      <c r="CF487" s="2" t="inlineStr">
        <is>
          <t>RATE_IDX</t>
        </is>
      </c>
      <c r="CG487" s="2" t="inlineStr">
        <is>
          <t>RATE_HIX</t>
        </is>
      </c>
      <c r="CH487" s="2" t="inlineStr">
        <is>
          <t>RATE_REB</t>
        </is>
      </c>
      <c r="CI487" s="2" t="inlineStr">
        <is>
          <t>Rebase year</t>
        </is>
      </c>
      <c r="CJ487" s="2" t="inlineStr">
        <is>
          <t>R_CAP_IDX</t>
        </is>
      </c>
      <c r="CK487" s="2" t="inlineStr">
        <is>
          <t>R_CAP_HIX</t>
        </is>
      </c>
      <c r="CL487" s="2" t="inlineStr">
        <is>
          <t>R_CAP_REB</t>
        </is>
      </c>
      <c r="CM487" s="2" t="inlineStr">
        <is>
          <t>OP_MARGIN IDX</t>
        </is>
      </c>
      <c r="CN487" s="2" t="inlineStr">
        <is>
          <t>OP_MARGIN HIX</t>
        </is>
      </c>
      <c r="CO487" s="2" t="inlineStr">
        <is>
          <t>OP_MARGIN REB</t>
        </is>
      </c>
      <c r="CP487" s="2" t="inlineStr">
        <is>
          <t>RATE_AT_COST</t>
        </is>
      </c>
      <c r="CQ487" s="2" t="inlineStr">
        <is>
          <t>SHORTFALL</t>
        </is>
      </c>
      <c r="CR487" s="2" t="inlineStr">
        <is>
          <t>Deflator (CPI of t-1)</t>
        </is>
      </c>
      <c r="CS487" s="2" t="inlineStr">
        <is>
          <t>RULE_KEPT HIX</t>
        </is>
      </c>
      <c r="CT487" s="2" t="inlineStr">
        <is>
          <t>RULE_KEPT REB</t>
        </is>
      </c>
      <c r="CU487" s="2" t="inlineStr">
        <is>
          <t>RULE_COST HIX</t>
        </is>
      </c>
      <c r="CV487" s="2" t="inlineStr">
        <is>
          <t>RULE_COST REB</t>
        </is>
      </c>
      <c r="CW487" s="2" t="inlineStr">
        <is>
          <t>Discount factor</t>
        </is>
      </c>
      <c r="CX487" s="2" t="inlineStr">
        <is>
          <t>Fail IDX</t>
        </is>
      </c>
      <c r="CY487" s="2" t="inlineStr">
        <is>
          <t>Fail HIX</t>
        </is>
      </c>
      <c r="CZ487" s="2" t="inlineStr">
        <is>
          <t>Fail REB</t>
        </is>
      </c>
      <c r="DB487" s="2" t="inlineStr">
        <is>
          <t>t</t>
        </is>
      </c>
      <c r="DC487" s="2" t="inlineStr">
        <is>
          <t>In horizon</t>
        </is>
      </c>
      <c r="DD487" s="2" t="inlineStr">
        <is>
          <t>G_IDX(t)</t>
        </is>
      </c>
      <c r="DE487" s="2" t="inlineStr">
        <is>
          <t>C_OP_NOM</t>
        </is>
      </c>
      <c r="DF487" s="2" t="inlineStr">
        <is>
          <t>RATE_IDX</t>
        </is>
      </c>
      <c r="DG487" s="2" t="inlineStr">
        <is>
          <t>RATE_HIX</t>
        </is>
      </c>
      <c r="DH487" s="2" t="inlineStr">
        <is>
          <t>RATE_REB</t>
        </is>
      </c>
      <c r="DI487" s="2" t="inlineStr">
        <is>
          <t>Rebase year</t>
        </is>
      </c>
      <c r="DJ487" s="2" t="inlineStr">
        <is>
          <t>R_CAP_IDX</t>
        </is>
      </c>
      <c r="DK487" s="2" t="inlineStr">
        <is>
          <t>R_CAP_HIX</t>
        </is>
      </c>
      <c r="DL487" s="2" t="inlineStr">
        <is>
          <t>R_CAP_REB</t>
        </is>
      </c>
      <c r="DM487" s="2" t="inlineStr">
        <is>
          <t>OP_MARGIN IDX</t>
        </is>
      </c>
      <c r="DN487" s="2" t="inlineStr">
        <is>
          <t>OP_MARGIN HIX</t>
        </is>
      </c>
      <c r="DO487" s="2" t="inlineStr">
        <is>
          <t>OP_MARGIN REB</t>
        </is>
      </c>
      <c r="DP487" s="2" t="inlineStr">
        <is>
          <t>RATE_AT_COST</t>
        </is>
      </c>
      <c r="DQ487" s="2" t="inlineStr">
        <is>
          <t>SHORTFALL</t>
        </is>
      </c>
      <c r="DR487" s="2" t="inlineStr">
        <is>
          <t>Deflator (CPI of t-1)</t>
        </is>
      </c>
      <c r="DS487" s="2" t="inlineStr">
        <is>
          <t>RULE_KEPT HIX</t>
        </is>
      </c>
      <c r="DT487" s="2" t="inlineStr">
        <is>
          <t>RULE_KEPT REB</t>
        </is>
      </c>
      <c r="DU487" s="2" t="inlineStr">
        <is>
          <t>RULE_COST HIX</t>
        </is>
      </c>
      <c r="DV487" s="2" t="inlineStr">
        <is>
          <t>RULE_COST REB</t>
        </is>
      </c>
      <c r="DW487" s="2" t="inlineStr">
        <is>
          <t>Discount factor</t>
        </is>
      </c>
      <c r="DX487" s="2" t="inlineStr">
        <is>
          <t>Fail IDX</t>
        </is>
      </c>
      <c r="DY487" s="2" t="inlineStr">
        <is>
          <t>Fail HIX</t>
        </is>
      </c>
      <c r="DZ487" s="2" t="inlineStr">
        <is>
          <t>Fail REB</t>
        </is>
      </c>
      <c r="EB487" s="2" t="inlineStr">
        <is>
          <t>t</t>
        </is>
      </c>
      <c r="EC487" s="2" t="inlineStr">
        <is>
          <t>In horizon</t>
        </is>
      </c>
      <c r="ED487" s="2" t="inlineStr">
        <is>
          <t>G_IDX(t)</t>
        </is>
      </c>
      <c r="EE487" s="2" t="inlineStr">
        <is>
          <t>C_OP_NOM</t>
        </is>
      </c>
      <c r="EF487" s="2" t="inlineStr">
        <is>
          <t>RATE_IDX</t>
        </is>
      </c>
      <c r="EG487" s="2" t="inlineStr">
        <is>
          <t>RATE_HIX</t>
        </is>
      </c>
      <c r="EH487" s="2" t="inlineStr">
        <is>
          <t>RATE_REB</t>
        </is>
      </c>
      <c r="EI487" s="2" t="inlineStr">
        <is>
          <t>Rebase year</t>
        </is>
      </c>
      <c r="EJ487" s="2" t="inlineStr">
        <is>
          <t>R_CAP_IDX</t>
        </is>
      </c>
      <c r="EK487" s="2" t="inlineStr">
        <is>
          <t>R_CAP_HIX</t>
        </is>
      </c>
      <c r="EL487" s="2" t="inlineStr">
        <is>
          <t>R_CAP_REB</t>
        </is>
      </c>
      <c r="EM487" s="2" t="inlineStr">
        <is>
          <t>OP_MARGIN IDX</t>
        </is>
      </c>
      <c r="EN487" s="2" t="inlineStr">
        <is>
          <t>OP_MARGIN HIX</t>
        </is>
      </c>
      <c r="EO487" s="2" t="inlineStr">
        <is>
          <t>OP_MARGIN REB</t>
        </is>
      </c>
      <c r="EP487" s="2" t="inlineStr">
        <is>
          <t>RATE_AT_COST</t>
        </is>
      </c>
      <c r="EQ487" s="2" t="inlineStr">
        <is>
          <t>SHORTFALL</t>
        </is>
      </c>
      <c r="ER487" s="2" t="inlineStr">
        <is>
          <t>Deflator (CPI of t-1)</t>
        </is>
      </c>
      <c r="ES487" s="2" t="inlineStr">
        <is>
          <t>RULE_KEPT HIX</t>
        </is>
      </c>
      <c r="ET487" s="2" t="inlineStr">
        <is>
          <t>RULE_KEPT REB</t>
        </is>
      </c>
      <c r="EU487" s="2" t="inlineStr">
        <is>
          <t>RULE_COST HIX</t>
        </is>
      </c>
      <c r="EV487" s="2" t="inlineStr">
        <is>
          <t>RULE_COST REB</t>
        </is>
      </c>
      <c r="EW487" s="2" t="inlineStr">
        <is>
          <t>Discount factor</t>
        </is>
      </c>
      <c r="EX487" s="2" t="inlineStr">
        <is>
          <t>Fail IDX</t>
        </is>
      </c>
      <c r="EY487" s="2" t="inlineStr">
        <is>
          <t>Fail HIX</t>
        </is>
      </c>
      <c r="EZ487" s="2" t="inlineStr">
        <is>
          <t>Fail REB</t>
        </is>
      </c>
      <c r="FB487" s="2" t="inlineStr">
        <is>
          <t>t</t>
        </is>
      </c>
      <c r="FC487" s="2" t="inlineStr">
        <is>
          <t>In horizon</t>
        </is>
      </c>
      <c r="FD487" s="2" t="inlineStr">
        <is>
          <t>G_IDX(t)</t>
        </is>
      </c>
      <c r="FE487" s="2" t="inlineStr">
        <is>
          <t>C_OP_NOM</t>
        </is>
      </c>
      <c r="FF487" s="2" t="inlineStr">
        <is>
          <t>RATE_IDX</t>
        </is>
      </c>
      <c r="FG487" s="2" t="inlineStr">
        <is>
          <t>RATE_HIX</t>
        </is>
      </c>
      <c r="FH487" s="2" t="inlineStr">
        <is>
          <t>RATE_REB</t>
        </is>
      </c>
      <c r="FI487" s="2" t="inlineStr">
        <is>
          <t>Rebase year</t>
        </is>
      </c>
      <c r="FJ487" s="2" t="inlineStr">
        <is>
          <t>R_CAP_IDX</t>
        </is>
      </c>
      <c r="FK487" s="2" t="inlineStr">
        <is>
          <t>R_CAP_HIX</t>
        </is>
      </c>
      <c r="FL487" s="2" t="inlineStr">
        <is>
          <t>R_CAP_REB</t>
        </is>
      </c>
      <c r="FM487" s="2" t="inlineStr">
        <is>
          <t>OP_MARGIN IDX</t>
        </is>
      </c>
      <c r="FN487" s="2" t="inlineStr">
        <is>
          <t>OP_MARGIN HIX</t>
        </is>
      </c>
      <c r="FO487" s="2" t="inlineStr">
        <is>
          <t>OP_MARGIN REB</t>
        </is>
      </c>
      <c r="FP487" s="2" t="inlineStr">
        <is>
          <t>RATE_AT_COST</t>
        </is>
      </c>
      <c r="FQ487" s="2" t="inlineStr">
        <is>
          <t>SHORTFALL</t>
        </is>
      </c>
      <c r="FR487" s="2" t="inlineStr">
        <is>
          <t>Deflator (CPI of t-1)</t>
        </is>
      </c>
      <c r="FS487" s="2" t="inlineStr">
        <is>
          <t>RULE_KEPT HIX</t>
        </is>
      </c>
      <c r="FT487" s="2" t="inlineStr">
        <is>
          <t>RULE_KEPT REB</t>
        </is>
      </c>
      <c r="FU487" s="2" t="inlineStr">
        <is>
          <t>RULE_COST HIX</t>
        </is>
      </c>
      <c r="FV487" s="2" t="inlineStr">
        <is>
          <t>RULE_COST REB</t>
        </is>
      </c>
      <c r="FW487" s="2" t="inlineStr">
        <is>
          <t>Discount factor</t>
        </is>
      </c>
      <c r="FX487" s="2" t="inlineStr">
        <is>
          <t>Fail IDX</t>
        </is>
      </c>
      <c r="FY487" s="2" t="inlineStr">
        <is>
          <t>Fail HIX</t>
        </is>
      </c>
      <c r="FZ487" s="2" t="inlineStr">
        <is>
          <t>Fail REB</t>
        </is>
      </c>
      <c r="GB487" s="2" t="inlineStr">
        <is>
          <t>t</t>
        </is>
      </c>
      <c r="GC487" s="2" t="inlineStr">
        <is>
          <t>In horizon</t>
        </is>
      </c>
      <c r="GD487" s="2" t="inlineStr">
        <is>
          <t>G_IDX(t)</t>
        </is>
      </c>
      <c r="GE487" s="2" t="inlineStr">
        <is>
          <t>C_OP_NOM</t>
        </is>
      </c>
      <c r="GF487" s="2" t="inlineStr">
        <is>
          <t>RATE_IDX</t>
        </is>
      </c>
      <c r="GG487" s="2" t="inlineStr">
        <is>
          <t>RATE_HIX</t>
        </is>
      </c>
      <c r="GH487" s="2" t="inlineStr">
        <is>
          <t>RATE_REB</t>
        </is>
      </c>
      <c r="GI487" s="2" t="inlineStr">
        <is>
          <t>Rebase year</t>
        </is>
      </c>
      <c r="GJ487" s="2" t="inlineStr">
        <is>
          <t>R_CAP_IDX</t>
        </is>
      </c>
      <c r="GK487" s="2" t="inlineStr">
        <is>
          <t>R_CAP_HIX</t>
        </is>
      </c>
      <c r="GL487" s="2" t="inlineStr">
        <is>
          <t>R_CAP_REB</t>
        </is>
      </c>
      <c r="GM487" s="2" t="inlineStr">
        <is>
          <t>OP_MARGIN IDX</t>
        </is>
      </c>
      <c r="GN487" s="2" t="inlineStr">
        <is>
          <t>OP_MARGIN HIX</t>
        </is>
      </c>
      <c r="GO487" s="2" t="inlineStr">
        <is>
          <t>OP_MARGIN REB</t>
        </is>
      </c>
      <c r="GP487" s="2" t="inlineStr">
        <is>
          <t>RATE_AT_COST</t>
        </is>
      </c>
      <c r="GQ487" s="2" t="inlineStr">
        <is>
          <t>SHORTFALL</t>
        </is>
      </c>
      <c r="GR487" s="2" t="inlineStr">
        <is>
          <t>Deflator (CPI of t-1)</t>
        </is>
      </c>
      <c r="GS487" s="2" t="inlineStr">
        <is>
          <t>RULE_KEPT HIX</t>
        </is>
      </c>
      <c r="GT487" s="2" t="inlineStr">
        <is>
          <t>RULE_KEPT REB</t>
        </is>
      </c>
      <c r="GU487" s="2" t="inlineStr">
        <is>
          <t>RULE_COST HIX</t>
        </is>
      </c>
      <c r="GV487" s="2" t="inlineStr">
        <is>
          <t>RULE_COST REB</t>
        </is>
      </c>
      <c r="GW487" s="2" t="inlineStr">
        <is>
          <t>Discount factor</t>
        </is>
      </c>
      <c r="GX487" s="2" t="inlineStr">
        <is>
          <t>Fail IDX</t>
        </is>
      </c>
      <c r="GY487" s="2" t="inlineStr">
        <is>
          <t>Fail HIX</t>
        </is>
      </c>
      <c r="GZ487" s="2" t="inlineStr">
        <is>
          <t>Fail REB</t>
        </is>
      </c>
      <c r="HB487" s="2" t="inlineStr">
        <is>
          <t>t</t>
        </is>
      </c>
      <c r="HC487" s="2" t="inlineStr">
        <is>
          <t>In horizon</t>
        </is>
      </c>
      <c r="HD487" s="2" t="inlineStr">
        <is>
          <t>G_IDX(t)</t>
        </is>
      </c>
      <c r="HE487" s="2" t="inlineStr">
        <is>
          <t>C_OP_NOM</t>
        </is>
      </c>
      <c r="HF487" s="2" t="inlineStr">
        <is>
          <t>RATE_IDX</t>
        </is>
      </c>
      <c r="HG487" s="2" t="inlineStr">
        <is>
          <t>RATE_HIX</t>
        </is>
      </c>
      <c r="HH487" s="2" t="inlineStr">
        <is>
          <t>RATE_REB</t>
        </is>
      </c>
      <c r="HI487" s="2" t="inlineStr">
        <is>
          <t>Rebase year</t>
        </is>
      </c>
      <c r="HJ487" s="2" t="inlineStr">
        <is>
          <t>R_CAP_IDX</t>
        </is>
      </c>
      <c r="HK487" s="2" t="inlineStr">
        <is>
          <t>R_CAP_HIX</t>
        </is>
      </c>
      <c r="HL487" s="2" t="inlineStr">
        <is>
          <t>R_CAP_REB</t>
        </is>
      </c>
      <c r="HM487" s="2" t="inlineStr">
        <is>
          <t>OP_MARGIN IDX</t>
        </is>
      </c>
      <c r="HN487" s="2" t="inlineStr">
        <is>
          <t>OP_MARGIN HIX</t>
        </is>
      </c>
      <c r="HO487" s="2" t="inlineStr">
        <is>
          <t>OP_MARGIN REB</t>
        </is>
      </c>
      <c r="HP487" s="2" t="inlineStr">
        <is>
          <t>RATE_AT_COST</t>
        </is>
      </c>
      <c r="HQ487" s="2" t="inlineStr">
        <is>
          <t>SHORTFALL</t>
        </is>
      </c>
      <c r="HR487" s="2" t="inlineStr">
        <is>
          <t>Deflator (CPI of t-1)</t>
        </is>
      </c>
      <c r="HS487" s="2" t="inlineStr">
        <is>
          <t>RULE_KEPT HIX</t>
        </is>
      </c>
      <c r="HT487" s="2" t="inlineStr">
        <is>
          <t>RULE_KEPT REB</t>
        </is>
      </c>
      <c r="HU487" s="2" t="inlineStr">
        <is>
          <t>RULE_COST HIX</t>
        </is>
      </c>
      <c r="HV487" s="2" t="inlineStr">
        <is>
          <t>RULE_COST REB</t>
        </is>
      </c>
      <c r="HW487" s="2" t="inlineStr">
        <is>
          <t>Discount factor</t>
        </is>
      </c>
      <c r="HX487" s="2" t="inlineStr">
        <is>
          <t>Fail IDX</t>
        </is>
      </c>
      <c r="HY487" s="2" t="inlineStr">
        <is>
          <t>Fail HIX</t>
        </is>
      </c>
      <c r="HZ487" s="2" t="inlineStr">
        <is>
          <t>Fail REB</t>
        </is>
      </c>
      <c r="IB487" s="2" t="inlineStr">
        <is>
          <t>t</t>
        </is>
      </c>
      <c r="IC487" s="2" t="inlineStr">
        <is>
          <t>In horizon</t>
        </is>
      </c>
      <c r="ID487" s="2" t="inlineStr">
        <is>
          <t>G_IDX(t)</t>
        </is>
      </c>
      <c r="IE487" s="2" t="inlineStr">
        <is>
          <t>C_OP_NOM</t>
        </is>
      </c>
      <c r="IF487" s="2" t="inlineStr">
        <is>
          <t>RATE_IDX</t>
        </is>
      </c>
      <c r="IG487" s="2" t="inlineStr">
        <is>
          <t>RATE_HIX</t>
        </is>
      </c>
      <c r="IH487" s="2" t="inlineStr">
        <is>
          <t>RATE_REB</t>
        </is>
      </c>
      <c r="II487" s="2" t="inlineStr">
        <is>
          <t>Rebase year</t>
        </is>
      </c>
      <c r="IJ487" s="2" t="inlineStr">
        <is>
          <t>R_CAP_IDX</t>
        </is>
      </c>
      <c r="IK487" s="2" t="inlineStr">
        <is>
          <t>R_CAP_HIX</t>
        </is>
      </c>
      <c r="IL487" s="2" t="inlineStr">
        <is>
          <t>R_CAP_REB</t>
        </is>
      </c>
      <c r="IM487" s="2" t="inlineStr">
        <is>
          <t>OP_MARGIN IDX</t>
        </is>
      </c>
      <c r="IN487" s="2" t="inlineStr">
        <is>
          <t>OP_MARGIN HIX</t>
        </is>
      </c>
      <c r="IO487" s="2" t="inlineStr">
        <is>
          <t>OP_MARGIN REB</t>
        </is>
      </c>
      <c r="IP487" s="2" t="inlineStr">
        <is>
          <t>RATE_AT_COST</t>
        </is>
      </c>
      <c r="IQ487" s="2" t="inlineStr">
        <is>
          <t>SHORTFALL</t>
        </is>
      </c>
      <c r="IR487" s="2" t="inlineStr">
        <is>
          <t>Deflator (CPI of t-1)</t>
        </is>
      </c>
      <c r="IS487" s="2" t="inlineStr">
        <is>
          <t>RULE_KEPT HIX</t>
        </is>
      </c>
      <c r="IT487" s="2" t="inlineStr">
        <is>
          <t>RULE_KEPT REB</t>
        </is>
      </c>
      <c r="IU487" s="2" t="inlineStr">
        <is>
          <t>RULE_COST HIX</t>
        </is>
      </c>
      <c r="IV487" s="2" t="inlineStr">
        <is>
          <t>RULE_COST REB</t>
        </is>
      </c>
      <c r="IW487" s="2" t="inlineStr">
        <is>
          <t>Discount factor</t>
        </is>
      </c>
      <c r="IX487" s="2" t="inlineStr">
        <is>
          <t>Fail IDX</t>
        </is>
      </c>
      <c r="IY487" s="2" t="inlineStr">
        <is>
          <t>Fail HIX</t>
        </is>
      </c>
      <c r="IZ487" s="2" t="inlineStr">
        <is>
          <t>Fail REB</t>
        </is>
      </c>
      <c r="JB487" s="2" t="inlineStr">
        <is>
          <t>t</t>
        </is>
      </c>
      <c r="JC487" s="2" t="inlineStr">
        <is>
          <t>In horizon</t>
        </is>
      </c>
      <c r="JD487" s="2" t="inlineStr">
        <is>
          <t>G_IDX(t)</t>
        </is>
      </c>
      <c r="JE487" s="2" t="inlineStr">
        <is>
          <t>C_OP_NOM</t>
        </is>
      </c>
      <c r="JF487" s="2" t="inlineStr">
        <is>
          <t>RATE_IDX</t>
        </is>
      </c>
      <c r="JG487" s="2" t="inlineStr">
        <is>
          <t>RATE_HIX</t>
        </is>
      </c>
      <c r="JH487" s="2" t="inlineStr">
        <is>
          <t>RATE_REB</t>
        </is>
      </c>
      <c r="JI487" s="2" t="inlineStr">
        <is>
          <t>Rebase year</t>
        </is>
      </c>
      <c r="JJ487" s="2" t="inlineStr">
        <is>
          <t>R_CAP_IDX</t>
        </is>
      </c>
      <c r="JK487" s="2" t="inlineStr">
        <is>
          <t>R_CAP_HIX</t>
        </is>
      </c>
      <c r="JL487" s="2" t="inlineStr">
        <is>
          <t>R_CAP_REB</t>
        </is>
      </c>
      <c r="JM487" s="2" t="inlineStr">
        <is>
          <t>OP_MARGIN IDX</t>
        </is>
      </c>
      <c r="JN487" s="2" t="inlineStr">
        <is>
          <t>OP_MARGIN HIX</t>
        </is>
      </c>
      <c r="JO487" s="2" t="inlineStr">
        <is>
          <t>OP_MARGIN REB</t>
        </is>
      </c>
      <c r="JP487" s="2" t="inlineStr">
        <is>
          <t>RATE_AT_COST</t>
        </is>
      </c>
      <c r="JQ487" s="2" t="inlineStr">
        <is>
          <t>SHORTFALL</t>
        </is>
      </c>
      <c r="JR487" s="2" t="inlineStr">
        <is>
          <t>Deflator (CPI of t-1)</t>
        </is>
      </c>
      <c r="JS487" s="2" t="inlineStr">
        <is>
          <t>RULE_KEPT HIX</t>
        </is>
      </c>
      <c r="JT487" s="2" t="inlineStr">
        <is>
          <t>RULE_KEPT REB</t>
        </is>
      </c>
      <c r="JU487" s="2" t="inlineStr">
        <is>
          <t>RULE_COST HIX</t>
        </is>
      </c>
      <c r="JV487" s="2" t="inlineStr">
        <is>
          <t>RULE_COST REB</t>
        </is>
      </c>
      <c r="JW487" s="2" t="inlineStr">
        <is>
          <t>Discount factor</t>
        </is>
      </c>
      <c r="JX487" s="2" t="inlineStr">
        <is>
          <t>Fail IDX</t>
        </is>
      </c>
      <c r="JY487" s="2" t="inlineStr">
        <is>
          <t>Fail HIX</t>
        </is>
      </c>
      <c r="JZ487" s="2" t="inlineStr">
        <is>
          <t>Fail REB</t>
        </is>
      </c>
      <c r="KB487" s="2" t="inlineStr">
        <is>
          <t>t</t>
        </is>
      </c>
      <c r="KC487" s="2" t="inlineStr">
        <is>
          <t>In horizon</t>
        </is>
      </c>
      <c r="KD487" s="2" t="inlineStr">
        <is>
          <t>G_IDX(t)</t>
        </is>
      </c>
      <c r="KE487" s="2" t="inlineStr">
        <is>
          <t>C_OP_NOM</t>
        </is>
      </c>
      <c r="KF487" s="2" t="inlineStr">
        <is>
          <t>RATE_IDX</t>
        </is>
      </c>
      <c r="KG487" s="2" t="inlineStr">
        <is>
          <t>RATE_HIX</t>
        </is>
      </c>
      <c r="KH487" s="2" t="inlineStr">
        <is>
          <t>RATE_REB</t>
        </is>
      </c>
      <c r="KI487" s="2" t="inlineStr">
        <is>
          <t>Rebase year</t>
        </is>
      </c>
      <c r="KJ487" s="2" t="inlineStr">
        <is>
          <t>R_CAP_IDX</t>
        </is>
      </c>
      <c r="KK487" s="2" t="inlineStr">
        <is>
          <t>R_CAP_HIX</t>
        </is>
      </c>
      <c r="KL487" s="2" t="inlineStr">
        <is>
          <t>R_CAP_REB</t>
        </is>
      </c>
      <c r="KM487" s="2" t="inlineStr">
        <is>
          <t>OP_MARGIN IDX</t>
        </is>
      </c>
      <c r="KN487" s="2" t="inlineStr">
        <is>
          <t>OP_MARGIN HIX</t>
        </is>
      </c>
      <c r="KO487" s="2" t="inlineStr">
        <is>
          <t>OP_MARGIN REB</t>
        </is>
      </c>
      <c r="KP487" s="2" t="inlineStr">
        <is>
          <t>RATE_AT_COST</t>
        </is>
      </c>
      <c r="KQ487" s="2" t="inlineStr">
        <is>
          <t>SHORTFALL</t>
        </is>
      </c>
      <c r="KR487" s="2" t="inlineStr">
        <is>
          <t>Deflator (CPI of t-1)</t>
        </is>
      </c>
      <c r="KS487" s="2" t="inlineStr">
        <is>
          <t>RULE_KEPT HIX</t>
        </is>
      </c>
      <c r="KT487" s="2" t="inlineStr">
        <is>
          <t>RULE_KEPT REB</t>
        </is>
      </c>
      <c r="KU487" s="2" t="inlineStr">
        <is>
          <t>RULE_COST HIX</t>
        </is>
      </c>
      <c r="KV487" s="2" t="inlineStr">
        <is>
          <t>RULE_COST REB</t>
        </is>
      </c>
      <c r="KW487" s="2" t="inlineStr">
        <is>
          <t>Discount factor</t>
        </is>
      </c>
      <c r="KX487" s="2" t="inlineStr">
        <is>
          <t>Fail IDX</t>
        </is>
      </c>
      <c r="KY487" s="2" t="inlineStr">
        <is>
          <t>Fail HIX</t>
        </is>
      </c>
      <c r="KZ487" s="2" t="inlineStr">
        <is>
          <t>Fail REB</t>
        </is>
      </c>
      <c r="LB487" s="2" t="inlineStr">
        <is>
          <t>t</t>
        </is>
      </c>
      <c r="LC487" s="2" t="inlineStr">
        <is>
          <t>In horizon</t>
        </is>
      </c>
      <c r="LD487" s="2" t="inlineStr">
        <is>
          <t>G_IDX(t)</t>
        </is>
      </c>
      <c r="LE487" s="2" t="inlineStr">
        <is>
          <t>C_OP_NOM</t>
        </is>
      </c>
      <c r="LF487" s="2" t="inlineStr">
        <is>
          <t>RATE_IDX</t>
        </is>
      </c>
      <c r="LG487" s="2" t="inlineStr">
        <is>
          <t>RATE_HIX</t>
        </is>
      </c>
      <c r="LH487" s="2" t="inlineStr">
        <is>
          <t>RATE_REB</t>
        </is>
      </c>
      <c r="LI487" s="2" t="inlineStr">
        <is>
          <t>Rebase year</t>
        </is>
      </c>
      <c r="LJ487" s="2" t="inlineStr">
        <is>
          <t>R_CAP_IDX</t>
        </is>
      </c>
      <c r="LK487" s="2" t="inlineStr">
        <is>
          <t>R_CAP_HIX</t>
        </is>
      </c>
      <c r="LL487" s="2" t="inlineStr">
        <is>
          <t>R_CAP_REB</t>
        </is>
      </c>
      <c r="LM487" s="2" t="inlineStr">
        <is>
          <t>OP_MARGIN IDX</t>
        </is>
      </c>
      <c r="LN487" s="2" t="inlineStr">
        <is>
          <t>OP_MARGIN HIX</t>
        </is>
      </c>
      <c r="LO487" s="2" t="inlineStr">
        <is>
          <t>OP_MARGIN REB</t>
        </is>
      </c>
      <c r="LP487" s="2" t="inlineStr">
        <is>
          <t>RATE_AT_COST</t>
        </is>
      </c>
      <c r="LQ487" s="2" t="inlineStr">
        <is>
          <t>SHORTFALL</t>
        </is>
      </c>
      <c r="LR487" s="2" t="inlineStr">
        <is>
          <t>Deflator (CPI of t-1)</t>
        </is>
      </c>
      <c r="LS487" s="2" t="inlineStr">
        <is>
          <t>RULE_KEPT HIX</t>
        </is>
      </c>
      <c r="LT487" s="2" t="inlineStr">
        <is>
          <t>RULE_KEPT REB</t>
        </is>
      </c>
      <c r="LU487" s="2" t="inlineStr">
        <is>
          <t>RULE_COST HIX</t>
        </is>
      </c>
      <c r="LV487" s="2" t="inlineStr">
        <is>
          <t>RULE_COST REB</t>
        </is>
      </c>
      <c r="LW487" s="2" t="inlineStr">
        <is>
          <t>Discount factor</t>
        </is>
      </c>
      <c r="LX487" s="2" t="inlineStr">
        <is>
          <t>Fail IDX</t>
        </is>
      </c>
      <c r="LY487" s="2" t="inlineStr">
        <is>
          <t>Fail HIX</t>
        </is>
      </c>
      <c r="LZ487" s="2" t="inlineStr">
        <is>
          <t>Fail REB</t>
        </is>
      </c>
      <c r="MB487" s="2" t="inlineStr">
        <is>
          <t>t</t>
        </is>
      </c>
      <c r="MC487" s="2" t="inlineStr">
        <is>
          <t>In horizon</t>
        </is>
      </c>
      <c r="MD487" s="2" t="inlineStr">
        <is>
          <t>G_IDX(t)</t>
        </is>
      </c>
      <c r="ME487" s="2" t="inlineStr">
        <is>
          <t>C_OP_NOM</t>
        </is>
      </c>
      <c r="MF487" s="2" t="inlineStr">
        <is>
          <t>RATE_IDX</t>
        </is>
      </c>
      <c r="MG487" s="2" t="inlineStr">
        <is>
          <t>RATE_HIX</t>
        </is>
      </c>
      <c r="MH487" s="2" t="inlineStr">
        <is>
          <t>RATE_REB</t>
        </is>
      </c>
      <c r="MI487" s="2" t="inlineStr">
        <is>
          <t>Rebase year</t>
        </is>
      </c>
      <c r="MJ487" s="2" t="inlineStr">
        <is>
          <t>R_CAP_IDX</t>
        </is>
      </c>
      <c r="MK487" s="2" t="inlineStr">
        <is>
          <t>R_CAP_HIX</t>
        </is>
      </c>
      <c r="ML487" s="2" t="inlineStr">
        <is>
          <t>R_CAP_REB</t>
        </is>
      </c>
      <c r="MM487" s="2" t="inlineStr">
        <is>
          <t>OP_MARGIN IDX</t>
        </is>
      </c>
      <c r="MN487" s="2" t="inlineStr">
        <is>
          <t>OP_MARGIN HIX</t>
        </is>
      </c>
      <c r="MO487" s="2" t="inlineStr">
        <is>
          <t>OP_MARGIN REB</t>
        </is>
      </c>
      <c r="MP487" s="2" t="inlineStr">
        <is>
          <t>RATE_AT_COST</t>
        </is>
      </c>
      <c r="MQ487" s="2" t="inlineStr">
        <is>
          <t>SHORTFALL</t>
        </is>
      </c>
      <c r="MR487" s="2" t="inlineStr">
        <is>
          <t>Deflator (CPI of t-1)</t>
        </is>
      </c>
      <c r="MS487" s="2" t="inlineStr">
        <is>
          <t>RULE_KEPT HIX</t>
        </is>
      </c>
      <c r="MT487" s="2" t="inlineStr">
        <is>
          <t>RULE_KEPT REB</t>
        </is>
      </c>
      <c r="MU487" s="2" t="inlineStr">
        <is>
          <t>RULE_COST HIX</t>
        </is>
      </c>
      <c r="MV487" s="2" t="inlineStr">
        <is>
          <t>RULE_COST REB</t>
        </is>
      </c>
      <c r="MW487" s="2" t="inlineStr">
        <is>
          <t>Discount factor</t>
        </is>
      </c>
      <c r="MX487" s="2" t="inlineStr">
        <is>
          <t>Fail IDX</t>
        </is>
      </c>
      <c r="MY487" s="2" t="inlineStr">
        <is>
          <t>Fail HIX</t>
        </is>
      </c>
      <c r="MZ487" s="2" t="inlineStr">
        <is>
          <t>Fail REB</t>
        </is>
      </c>
      <c r="NB487" s="2" t="inlineStr">
        <is>
          <t>t</t>
        </is>
      </c>
      <c r="NC487" s="2" t="inlineStr">
        <is>
          <t>In horizon</t>
        </is>
      </c>
      <c r="ND487" s="2" t="inlineStr">
        <is>
          <t>G_IDX(t)</t>
        </is>
      </c>
      <c r="NE487" s="2" t="inlineStr">
        <is>
          <t>C_OP_NOM</t>
        </is>
      </c>
      <c r="NF487" s="2" t="inlineStr">
        <is>
          <t>RATE_IDX</t>
        </is>
      </c>
      <c r="NG487" s="2" t="inlineStr">
        <is>
          <t>RATE_HIX</t>
        </is>
      </c>
      <c r="NH487" s="2" t="inlineStr">
        <is>
          <t>RATE_REB</t>
        </is>
      </c>
      <c r="NI487" s="2" t="inlineStr">
        <is>
          <t>Rebase year</t>
        </is>
      </c>
      <c r="NJ487" s="2" t="inlineStr">
        <is>
          <t>R_CAP_IDX</t>
        </is>
      </c>
      <c r="NK487" s="2" t="inlineStr">
        <is>
          <t>R_CAP_HIX</t>
        </is>
      </c>
      <c r="NL487" s="2" t="inlineStr">
        <is>
          <t>R_CAP_REB</t>
        </is>
      </c>
      <c r="NM487" s="2" t="inlineStr">
        <is>
          <t>OP_MARGIN IDX</t>
        </is>
      </c>
      <c r="NN487" s="2" t="inlineStr">
        <is>
          <t>OP_MARGIN HIX</t>
        </is>
      </c>
      <c r="NO487" s="2" t="inlineStr">
        <is>
          <t>OP_MARGIN REB</t>
        </is>
      </c>
      <c r="NP487" s="2" t="inlineStr">
        <is>
          <t>RATE_AT_COST</t>
        </is>
      </c>
      <c r="NQ487" s="2" t="inlineStr">
        <is>
          <t>SHORTFALL</t>
        </is>
      </c>
      <c r="NR487" s="2" t="inlineStr">
        <is>
          <t>Deflator (CPI of t-1)</t>
        </is>
      </c>
      <c r="NS487" s="2" t="inlineStr">
        <is>
          <t>RULE_KEPT HIX</t>
        </is>
      </c>
      <c r="NT487" s="2" t="inlineStr">
        <is>
          <t>RULE_KEPT REB</t>
        </is>
      </c>
      <c r="NU487" s="2" t="inlineStr">
        <is>
          <t>RULE_COST HIX</t>
        </is>
      </c>
      <c r="NV487" s="2" t="inlineStr">
        <is>
          <t>RULE_COST REB</t>
        </is>
      </c>
      <c r="NW487" s="2" t="inlineStr">
        <is>
          <t>Discount factor</t>
        </is>
      </c>
      <c r="NX487" s="2" t="inlineStr">
        <is>
          <t>Fail IDX</t>
        </is>
      </c>
      <c r="NY487" s="2" t="inlineStr">
        <is>
          <t>Fail HIX</t>
        </is>
      </c>
      <c r="NZ487" s="2" t="inlineStr">
        <is>
          <t>Fail REB</t>
        </is>
      </c>
      <c r="OB487" s="2" t="inlineStr">
        <is>
          <t>t</t>
        </is>
      </c>
      <c r="OC487" s="2" t="inlineStr">
        <is>
          <t>In horizon</t>
        </is>
      </c>
      <c r="OD487" s="2" t="inlineStr">
        <is>
          <t>G_IDX(t)</t>
        </is>
      </c>
      <c r="OE487" s="2" t="inlineStr">
        <is>
          <t>C_OP_NOM</t>
        </is>
      </c>
      <c r="OF487" s="2" t="inlineStr">
        <is>
          <t>RATE_IDX</t>
        </is>
      </c>
      <c r="OG487" s="2" t="inlineStr">
        <is>
          <t>RATE_HIX</t>
        </is>
      </c>
      <c r="OH487" s="2" t="inlineStr">
        <is>
          <t>RATE_REB</t>
        </is>
      </c>
      <c r="OI487" s="2" t="inlineStr">
        <is>
          <t>Rebase year</t>
        </is>
      </c>
      <c r="OJ487" s="2" t="inlineStr">
        <is>
          <t>R_CAP_IDX</t>
        </is>
      </c>
      <c r="OK487" s="2" t="inlineStr">
        <is>
          <t>R_CAP_HIX</t>
        </is>
      </c>
      <c r="OL487" s="2" t="inlineStr">
        <is>
          <t>R_CAP_REB</t>
        </is>
      </c>
      <c r="OM487" s="2" t="inlineStr">
        <is>
          <t>OP_MARGIN IDX</t>
        </is>
      </c>
      <c r="ON487" s="2" t="inlineStr">
        <is>
          <t>OP_MARGIN HIX</t>
        </is>
      </c>
      <c r="OO487" s="2" t="inlineStr">
        <is>
          <t>OP_MARGIN REB</t>
        </is>
      </c>
      <c r="OP487" s="2" t="inlineStr">
        <is>
          <t>RATE_AT_COST</t>
        </is>
      </c>
      <c r="OQ487" s="2" t="inlineStr">
        <is>
          <t>SHORTFALL</t>
        </is>
      </c>
      <c r="OR487" s="2" t="inlineStr">
        <is>
          <t>Deflator (CPI of t-1)</t>
        </is>
      </c>
      <c r="OS487" s="2" t="inlineStr">
        <is>
          <t>RULE_KEPT HIX</t>
        </is>
      </c>
      <c r="OT487" s="2" t="inlineStr">
        <is>
          <t>RULE_KEPT REB</t>
        </is>
      </c>
      <c r="OU487" s="2" t="inlineStr">
        <is>
          <t>RULE_COST HIX</t>
        </is>
      </c>
      <c r="OV487" s="2" t="inlineStr">
        <is>
          <t>RULE_COST REB</t>
        </is>
      </c>
      <c r="OW487" s="2" t="inlineStr">
        <is>
          <t>Discount factor</t>
        </is>
      </c>
      <c r="OX487" s="2" t="inlineStr">
        <is>
          <t>Fail IDX</t>
        </is>
      </c>
      <c r="OY487" s="2" t="inlineStr">
        <is>
          <t>Fail HIX</t>
        </is>
      </c>
      <c r="OZ487" s="2" t="inlineStr">
        <is>
          <t>Fail REB</t>
        </is>
      </c>
    </row>
    <row r="488">
      <c r="B488" t="n">
        <v>2024</v>
      </c>
      <c r="C488">
        <f>IF(B488&lt;=RULE_START+$B$38-1,1,0)</f>
        <v>1</v>
      </c>
      <c r="D488" s="15">
        <f>IF(B488=2024,G_IDX_2024,IF(B488=2025,G_IDX_2025,IF(B488=2026,G_IDX_2026,IF(B488=2027,G_IDX_2027,$B$13))))</f>
        <v>0.03</v>
      </c>
      <c r="E488" s="8">
        <f>$B$20*(1+G_HI)^(B488-COST_DATE)</f>
        <v>452.06491890289993</v>
      </c>
      <c r="F488" s="8">
        <f>R_NF_2024</f>
        <v>481.83</v>
      </c>
      <c r="G488" s="8">
        <f>F488</f>
        <v>481.83</v>
      </c>
      <c r="H488" s="8">
        <f>F488</f>
        <v>481.83</v>
      </c>
      <c r="I488">
        <f>IF(AND(B488&gt;=RULE_START,MOD(B488-RULE_START,REBASE_YEARS)=0),1,0)</f>
        <v>0</v>
      </c>
      <c r="J488" s="8">
        <f>R_CAP_2024*(1+GET_RATE)</f>
        <v>23.560200000000002</v>
      </c>
      <c r="K488" s="8">
        <f>R_CAP_2024*(1+GET_RATE)</f>
        <v>23.560200000000002</v>
      </c>
      <c r="L488" s="8">
        <f>R_CAP_2024*(1+GET_RATE)</f>
        <v>23.560200000000002</v>
      </c>
      <c r="M488" s="8">
        <f>F488-J488-E488</f>
        <v>6.204881097100042</v>
      </c>
      <c r="N488" s="8">
        <f>G488-K488-E488</f>
        <v>6.204881097100042</v>
      </c>
      <c r="O488" s="8">
        <f>H488-L488-E488</f>
        <v>6.204881097100042</v>
      </c>
      <c r="P488" s="8">
        <f>R_NF_2024*(1+G_HI)^(B488-2024)</f>
        <v>481.83</v>
      </c>
      <c r="Q488" s="10">
        <f>1-F488/P488</f>
        <v>0.0</v>
      </c>
      <c r="R488" s="10">
        <f>CPI_2023/(IF(B488-1=2023,CPI_2023,IF(B488-1=2024,CPI_2024,IF(B488-1=2025,CPI_2025,CPI_2025*(1+INFL)^(B488-1-2025)))))</f>
        <v>1.0</v>
      </c>
      <c r="S488" s="8">
        <f>$B$21*ABS($B$11)*(G488-F488)/F488</f>
        <v>0.0</v>
      </c>
      <c r="T488" s="8">
        <f>$B$21*ABS($B$11)*(H488-F488)/F488</f>
        <v>0.0</v>
      </c>
      <c r="U488" s="13">
        <f>(G488-F488)*MCD_NF_DAYS*R488-S488*MCD_SHARE_FREED*R_WAIT_2023</f>
        <v>0.0</v>
      </c>
      <c r="V488" s="13">
        <f>(H488-F488)*MCD_NF_DAYS*R488-T488*MCD_SHARE_FREED*R_WAIT_2023</f>
        <v>0.0</v>
      </c>
      <c r="W488" s="10">
        <f>IF(AND(B488&gt;=RULE_START,C488=1),1/(1+$B$12)^(B488-RULE_START+1),0)</f>
        <v>0</v>
      </c>
      <c r="X488">
        <f>IF(AND(B488&gt;=RULE_START,C488=1,M488&lt;0),B488,9999)</f>
        <v>9999</v>
      </c>
      <c r="Y488">
        <f>IF(AND(B488&gt;=RULE_START,C488=1,N488&lt;0),B488,9999)</f>
        <v>9999</v>
      </c>
      <c r="Z488">
        <f>IF(AND(B488&gt;=RULE_START,C488=1,O488&lt;0),B488,9999)</f>
        <v>9999</v>
      </c>
      <c r="AB488" t="n">
        <v>2024</v>
      </c>
      <c r="AC488">
        <f>IF(AB488&lt;=RULE_START+$AB$38-1,1,0)</f>
        <v>1</v>
      </c>
      <c r="AD488" s="15">
        <f>IF(AB488=2024,G_IDX_2024,IF(AB488=2025,G_IDX_2025,IF(AB488=2026,G_IDX_2026,IF(AB488=2027,G_IDX_2027,$AB$13))))</f>
        <v>0.03</v>
      </c>
      <c r="AE488" s="8">
        <f>$AB$20*(1+G_HI)^(AB488-COST_DATE)</f>
        <v>452.06491890289993</v>
      </c>
      <c r="AF488" s="8">
        <f>R_NF_2024</f>
        <v>481.83</v>
      </c>
      <c r="AG488" s="8">
        <f>AF488</f>
        <v>481.83</v>
      </c>
      <c r="AH488" s="8">
        <f>AF488</f>
        <v>481.83</v>
      </c>
      <c r="AI488">
        <f>IF(AND(AB488&gt;=RULE_START,MOD(AB488-RULE_START,REBASE_YEARS)=0),1,0)</f>
        <v>0</v>
      </c>
      <c r="AJ488" s="8">
        <f>R_CAP_2024*(1+GET_RATE)</f>
        <v>23.560200000000002</v>
      </c>
      <c r="AK488" s="8">
        <f>R_CAP_2024*(1+GET_RATE)</f>
        <v>23.560200000000002</v>
      </c>
      <c r="AL488" s="8">
        <f>R_CAP_2024*(1+GET_RATE)</f>
        <v>23.560200000000002</v>
      </c>
      <c r="AM488" s="8">
        <f>AF488-AJ488-AE488</f>
        <v>6.204881097100042</v>
      </c>
      <c r="AN488" s="8">
        <f>AG488-AK488-AE488</f>
        <v>6.204881097100042</v>
      </c>
      <c r="AO488" s="8">
        <f>AH488-AL488-AE488</f>
        <v>6.204881097100042</v>
      </c>
      <c r="AP488" s="8">
        <f>R_NF_2024*(1+G_HI)^(AB488-2024)</f>
        <v>481.83</v>
      </c>
      <c r="AQ488" s="10">
        <f>1-AF488/AP488</f>
        <v>0.0</v>
      </c>
      <c r="AR488" s="10">
        <f>CPI_2023/(IF(AB488-1=2023,CPI_2023,IF(AB488-1=2024,CPI_2024,IF(AB488-1=2025,CPI_2025,CPI_2025*(1+INFL)^(AB488-1-2025)))))</f>
        <v>1.0</v>
      </c>
      <c r="AS488" s="8">
        <f>$AB$21*ABS($AB$11)*(AG488-AF488)/AF488</f>
        <v>0.0</v>
      </c>
      <c r="AT488" s="8">
        <f>$AB$21*ABS($AB$11)*(AH488-AF488)/AF488</f>
        <v>0.0</v>
      </c>
      <c r="AU488" s="13">
        <f>(AG488-AF488)*MCD_NF_DAYS*AR488-AS488*MCD_SHARE_FREED*R_WAIT_2023</f>
        <v>0.0</v>
      </c>
      <c r="AV488" s="13">
        <f>(AH488-AF488)*MCD_NF_DAYS*AR488-AT488*MCD_SHARE_FREED*R_WAIT_2023</f>
        <v>0.0</v>
      </c>
      <c r="AW488" s="10">
        <f>IF(AND(AB488&gt;=RULE_START,AC488=1),1/(1+$AB$12)^(AB488-RULE_START+1),0)</f>
        <v>0</v>
      </c>
      <c r="AX488">
        <f>IF(AND(AB488&gt;=RULE_START,AC488=1,AM488&lt;0),AB488,9999)</f>
        <v>9999</v>
      </c>
      <c r="AY488">
        <f>IF(AND(AB488&gt;=RULE_START,AC488=1,AN488&lt;0),AB488,9999)</f>
        <v>9999</v>
      </c>
      <c r="AZ488">
        <f>IF(AND(AB488&gt;=RULE_START,AC488=1,AO488&lt;0),AB488,9999)</f>
        <v>9999</v>
      </c>
      <c r="BB488" t="n">
        <v>2024</v>
      </c>
      <c r="BC488">
        <f>IF(BB488&lt;=RULE_START+$BB$38-1,1,0)</f>
        <v>1</v>
      </c>
      <c r="BD488" s="15">
        <f>IF(BB488=2024,G_IDX_2024,IF(BB488=2025,G_IDX_2025,IF(BB488=2026,G_IDX_2026,IF(BB488=2027,G_IDX_2027,$BB$13))))</f>
        <v>0.03</v>
      </c>
      <c r="BE488" s="8">
        <f>$BB$20*(1+G_HI)^(BB488-COST_DATE)</f>
        <v>452.06491890289993</v>
      </c>
      <c r="BF488" s="8">
        <f>R_NF_2024</f>
        <v>481.83</v>
      </c>
      <c r="BG488" s="8">
        <f>BF488</f>
        <v>481.83</v>
      </c>
      <c r="BH488" s="8">
        <f>BF488</f>
        <v>481.83</v>
      </c>
      <c r="BI488">
        <f>IF(AND(BB488&gt;=RULE_START,MOD(BB488-RULE_START,REBASE_YEARS)=0),1,0)</f>
        <v>0</v>
      </c>
      <c r="BJ488" s="8">
        <f>R_CAP_2024*(1+GET_RATE)</f>
        <v>23.560200000000002</v>
      </c>
      <c r="BK488" s="8">
        <f>R_CAP_2024*(1+GET_RATE)</f>
        <v>23.560200000000002</v>
      </c>
      <c r="BL488" s="8">
        <f>R_CAP_2024*(1+GET_RATE)</f>
        <v>23.560200000000002</v>
      </c>
      <c r="BM488" s="8">
        <f>BF488-BJ488-BE488</f>
        <v>6.204881097100042</v>
      </c>
      <c r="BN488" s="8">
        <f>BG488-BK488-BE488</f>
        <v>6.204881097100042</v>
      </c>
      <c r="BO488" s="8">
        <f>BH488-BL488-BE488</f>
        <v>6.204881097100042</v>
      </c>
      <c r="BP488" s="8">
        <f>R_NF_2024*(1+G_HI)^(BB488-2024)</f>
        <v>481.83</v>
      </c>
      <c r="BQ488" s="10">
        <f>1-BF488/BP488</f>
        <v>0.0</v>
      </c>
      <c r="BR488" s="10">
        <f>CPI_2023/(IF(BB488-1=2023,CPI_2023,IF(BB488-1=2024,CPI_2024,IF(BB488-1=2025,CPI_2025,CPI_2025*(1+INFL)^(BB488-1-2025)))))</f>
        <v>1.0</v>
      </c>
      <c r="BS488" s="8">
        <f>$BB$21*ABS($BB$11)*(BG488-BF488)/BF488</f>
        <v>0.0</v>
      </c>
      <c r="BT488" s="8">
        <f>$BB$21*ABS($BB$11)*(BH488-BF488)/BF488</f>
        <v>0.0</v>
      </c>
      <c r="BU488" s="13">
        <f>(BG488-BF488)*MCD_NF_DAYS*BR488-BS488*MCD_SHARE_FREED*R_WAIT_2023</f>
        <v>0.0</v>
      </c>
      <c r="BV488" s="13">
        <f>(BH488-BF488)*MCD_NF_DAYS*BR488-BT488*MCD_SHARE_FREED*R_WAIT_2023</f>
        <v>0.0</v>
      </c>
      <c r="BW488" s="10">
        <f>IF(AND(BB488&gt;=RULE_START,BC488=1),1/(1+$BB$12)^(BB488-RULE_START+1),0)</f>
        <v>0</v>
      </c>
      <c r="BX488">
        <f>IF(AND(BB488&gt;=RULE_START,BC488=1,BM488&lt;0),BB488,9999)</f>
        <v>9999</v>
      </c>
      <c r="BY488">
        <f>IF(AND(BB488&gt;=RULE_START,BC488=1,BN488&lt;0),BB488,9999)</f>
        <v>9999</v>
      </c>
      <c r="BZ488">
        <f>IF(AND(BB488&gt;=RULE_START,BC488=1,BO488&lt;0),BB488,9999)</f>
        <v>9999</v>
      </c>
      <c r="CB488" t="n">
        <v>2024</v>
      </c>
      <c r="CC488">
        <f>IF(CB488&lt;=RULE_START+$CB$38-1,1,0)</f>
        <v>1</v>
      </c>
      <c r="CD488" s="15">
        <f>IF(CB488=2024,G_IDX_2024,IF(CB488=2025,G_IDX_2025,IF(CB488=2026,G_IDX_2026,IF(CB488=2027,G_IDX_2027,$CB$13))))</f>
        <v>0.03</v>
      </c>
      <c r="CE488" s="8">
        <f>$CB$20*(1+G_HI)^(CB488-COST_DATE)</f>
        <v>452.06491890289993</v>
      </c>
      <c r="CF488" s="8">
        <f>R_NF_2024</f>
        <v>481.83</v>
      </c>
      <c r="CG488" s="8">
        <f>CF488</f>
        <v>481.83</v>
      </c>
      <c r="CH488" s="8">
        <f>CF488</f>
        <v>481.83</v>
      </c>
      <c r="CI488">
        <f>IF(AND(CB488&gt;=RULE_START,MOD(CB488-RULE_START,REBASE_YEARS)=0),1,0)</f>
        <v>0</v>
      </c>
      <c r="CJ488" s="8">
        <f>R_CAP_2024*(1+GET_RATE)</f>
        <v>23.560200000000002</v>
      </c>
      <c r="CK488" s="8">
        <f>R_CAP_2024*(1+GET_RATE)</f>
        <v>23.560200000000002</v>
      </c>
      <c r="CL488" s="8">
        <f>R_CAP_2024*(1+GET_RATE)</f>
        <v>23.560200000000002</v>
      </c>
      <c r="CM488" s="8">
        <f>CF488-CJ488-CE488</f>
        <v>6.204881097100042</v>
      </c>
      <c r="CN488" s="8">
        <f>CG488-CK488-CE488</f>
        <v>6.204881097100042</v>
      </c>
      <c r="CO488" s="8">
        <f>CH488-CL488-CE488</f>
        <v>6.204881097100042</v>
      </c>
      <c r="CP488" s="8">
        <f>R_NF_2024*(1+G_HI)^(CB488-2024)</f>
        <v>481.83</v>
      </c>
      <c r="CQ488" s="10">
        <f>1-CF488/CP488</f>
        <v>0.0</v>
      </c>
      <c r="CR488" s="10">
        <f>CPI_2023/(IF(CB488-1=2023,CPI_2023,IF(CB488-1=2024,CPI_2024,IF(CB488-1=2025,CPI_2025,CPI_2025*(1+INFL)^(CB488-1-2025)))))</f>
        <v>1.0</v>
      </c>
      <c r="CS488" s="8">
        <f>$CB$21*ABS($CB$11)*(CG488-CF488)/CF488</f>
        <v>0.0</v>
      </c>
      <c r="CT488" s="8">
        <f>$CB$21*ABS($CB$11)*(CH488-CF488)/CF488</f>
        <v>0.0</v>
      </c>
      <c r="CU488" s="13">
        <f>(CG488-CF488)*MCD_NF_DAYS*CR488-CS488*MCD_SHARE_FREED*R_WAIT_2023</f>
        <v>0.0</v>
      </c>
      <c r="CV488" s="13">
        <f>(CH488-CF488)*MCD_NF_DAYS*CR488-CT488*MCD_SHARE_FREED*R_WAIT_2023</f>
        <v>0.0</v>
      </c>
      <c r="CW488" s="10">
        <f>IF(AND(CB488&gt;=RULE_START,CC488=1),1/(1+$CB$12)^(CB488-RULE_START+1),0)</f>
        <v>0</v>
      </c>
      <c r="CX488">
        <f>IF(AND(CB488&gt;=RULE_START,CC488=1,CM488&lt;0),CB488,9999)</f>
        <v>9999</v>
      </c>
      <c r="CY488">
        <f>IF(AND(CB488&gt;=RULE_START,CC488=1,CN488&lt;0),CB488,9999)</f>
        <v>9999</v>
      </c>
      <c r="CZ488">
        <f>IF(AND(CB488&gt;=RULE_START,CC488=1,CO488&lt;0),CB488,9999)</f>
        <v>9999</v>
      </c>
      <c r="DB488" t="n">
        <v>2024</v>
      </c>
      <c r="DC488">
        <f>IF(DB488&lt;=RULE_START+$DB$38-1,1,0)</f>
        <v>1</v>
      </c>
      <c r="DD488" s="15">
        <f>IF(DB488=2024,G_IDX_2024,IF(DB488=2025,G_IDX_2025,IF(DB488=2026,G_IDX_2026,IF(DB488=2027,G_IDX_2027,$DB$13))))</f>
        <v>0.03</v>
      </c>
      <c r="DE488" s="8">
        <f>$DB$20*(1+G_HI)^(DB488-COST_DATE)</f>
        <v>452.06491890289993</v>
      </c>
      <c r="DF488" s="8">
        <f>R_NF_2024</f>
        <v>481.83</v>
      </c>
      <c r="DG488" s="8">
        <f>DF488</f>
        <v>481.83</v>
      </c>
      <c r="DH488" s="8">
        <f>DF488</f>
        <v>481.83</v>
      </c>
      <c r="DI488">
        <f>IF(AND(DB488&gt;=RULE_START,MOD(DB488-RULE_START,REBASE_YEARS)=0),1,0)</f>
        <v>0</v>
      </c>
      <c r="DJ488" s="8">
        <f>R_CAP_2024*(1+GET_RATE)</f>
        <v>23.560200000000002</v>
      </c>
      <c r="DK488" s="8">
        <f>R_CAP_2024*(1+GET_RATE)</f>
        <v>23.560200000000002</v>
      </c>
      <c r="DL488" s="8">
        <f>R_CAP_2024*(1+GET_RATE)</f>
        <v>23.560200000000002</v>
      </c>
      <c r="DM488" s="8">
        <f>DF488-DJ488-DE488</f>
        <v>6.204881097100042</v>
      </c>
      <c r="DN488" s="8">
        <f>DG488-DK488-DE488</f>
        <v>6.204881097100042</v>
      </c>
      <c r="DO488" s="8">
        <f>DH488-DL488-DE488</f>
        <v>6.204881097100042</v>
      </c>
      <c r="DP488" s="8">
        <f>R_NF_2024*(1+G_HI)^(DB488-2024)</f>
        <v>481.83</v>
      </c>
      <c r="DQ488" s="10">
        <f>1-DF488/DP488</f>
        <v>0.0</v>
      </c>
      <c r="DR488" s="10">
        <f>CPI_2023/(IF(DB488-1=2023,CPI_2023,IF(DB488-1=2024,CPI_2024,IF(DB488-1=2025,CPI_2025,CPI_2025*(1+INFL)^(DB488-1-2025)))))</f>
        <v>1.0</v>
      </c>
      <c r="DS488" s="8">
        <f>$DB$21*ABS($DB$11)*(DG488-DF488)/DF488</f>
        <v>0.0</v>
      </c>
      <c r="DT488" s="8">
        <f>$DB$21*ABS($DB$11)*(DH488-DF488)/DF488</f>
        <v>0.0</v>
      </c>
      <c r="DU488" s="13">
        <f>(DG488-DF488)*MCD_NF_DAYS*DR488-DS488*MCD_SHARE_FREED*R_WAIT_2023</f>
        <v>0.0</v>
      </c>
      <c r="DV488" s="13">
        <f>(DH488-DF488)*MCD_NF_DAYS*DR488-DT488*MCD_SHARE_FREED*R_WAIT_2023</f>
        <v>0.0</v>
      </c>
      <c r="DW488" s="10">
        <f>IF(AND(DB488&gt;=RULE_START,DC488=1),1/(1+$DB$12)^(DB488-RULE_START+1),0)</f>
        <v>0</v>
      </c>
      <c r="DX488">
        <f>IF(AND(DB488&gt;=RULE_START,DC488=1,DM488&lt;0),DB488,9999)</f>
        <v>9999</v>
      </c>
      <c r="DY488">
        <f>IF(AND(DB488&gt;=RULE_START,DC488=1,DN488&lt;0),DB488,9999)</f>
        <v>9999</v>
      </c>
      <c r="DZ488">
        <f>IF(AND(DB488&gt;=RULE_START,DC488=1,DO488&lt;0),DB488,9999)</f>
        <v>9999</v>
      </c>
      <c r="EB488" t="n">
        <v>2024</v>
      </c>
      <c r="EC488">
        <f>IF(EB488&lt;=RULE_START+$EB$38-1,1,0)</f>
        <v>1</v>
      </c>
      <c r="ED488" s="15">
        <f>IF(EB488=2024,G_IDX_2024,IF(EB488=2025,G_IDX_2025,IF(EB488=2026,G_IDX_2026,IF(EB488=2027,G_IDX_2027,$EB$13))))</f>
        <v>0.03</v>
      </c>
      <c r="EE488" s="8">
        <f>$EB$20*(1+G_HI)^(EB488-COST_DATE)</f>
        <v>452.06491890289993</v>
      </c>
      <c r="EF488" s="8">
        <f>R_NF_2024</f>
        <v>481.83</v>
      </c>
      <c r="EG488" s="8">
        <f>EF488</f>
        <v>481.83</v>
      </c>
      <c r="EH488" s="8">
        <f>EF488</f>
        <v>481.83</v>
      </c>
      <c r="EI488">
        <f>IF(AND(EB488&gt;=RULE_START,MOD(EB488-RULE_START,REBASE_YEARS)=0),1,0)</f>
        <v>0</v>
      </c>
      <c r="EJ488" s="8">
        <f>R_CAP_2024*(1+GET_RATE)</f>
        <v>23.560200000000002</v>
      </c>
      <c r="EK488" s="8">
        <f>R_CAP_2024*(1+GET_RATE)</f>
        <v>23.560200000000002</v>
      </c>
      <c r="EL488" s="8">
        <f>R_CAP_2024*(1+GET_RATE)</f>
        <v>23.560200000000002</v>
      </c>
      <c r="EM488" s="8">
        <f>EF488-EJ488-EE488</f>
        <v>6.204881097100042</v>
      </c>
      <c r="EN488" s="8">
        <f>EG488-EK488-EE488</f>
        <v>6.204881097100042</v>
      </c>
      <c r="EO488" s="8">
        <f>EH488-EL488-EE488</f>
        <v>6.204881097100042</v>
      </c>
      <c r="EP488" s="8">
        <f>R_NF_2024*(1+G_HI)^(EB488-2024)</f>
        <v>481.83</v>
      </c>
      <c r="EQ488" s="10">
        <f>1-EF488/EP488</f>
        <v>0.0</v>
      </c>
      <c r="ER488" s="10">
        <f>CPI_2023/(IF(EB488-1=2023,CPI_2023,IF(EB488-1=2024,CPI_2024,IF(EB488-1=2025,CPI_2025,CPI_2025*(1+INFL)^(EB488-1-2025)))))</f>
        <v>1.0</v>
      </c>
      <c r="ES488" s="8">
        <f>$EB$21*ABS($EB$11)*(EG488-EF488)/EF488</f>
        <v>0.0</v>
      </c>
      <c r="ET488" s="8">
        <f>$EB$21*ABS($EB$11)*(EH488-EF488)/EF488</f>
        <v>0.0</v>
      </c>
      <c r="EU488" s="13">
        <f>(EG488-EF488)*MCD_NF_DAYS*ER488-ES488*MCD_SHARE_FREED*R_WAIT_2023</f>
        <v>0.0</v>
      </c>
      <c r="EV488" s="13">
        <f>(EH488-EF488)*MCD_NF_DAYS*ER488-ET488*MCD_SHARE_FREED*R_WAIT_2023</f>
        <v>0.0</v>
      </c>
      <c r="EW488" s="10">
        <f>IF(AND(EB488&gt;=RULE_START,EC488=1),1/(1+$EB$12)^(EB488-RULE_START+1),0)</f>
        <v>0</v>
      </c>
      <c r="EX488">
        <f>IF(AND(EB488&gt;=RULE_START,EC488=1,EM488&lt;0),EB488,9999)</f>
        <v>9999</v>
      </c>
      <c r="EY488">
        <f>IF(AND(EB488&gt;=RULE_START,EC488=1,EN488&lt;0),EB488,9999)</f>
        <v>9999</v>
      </c>
      <c r="EZ488">
        <f>IF(AND(EB488&gt;=RULE_START,EC488=1,EO488&lt;0),EB488,9999)</f>
        <v>9999</v>
      </c>
      <c r="FB488" t="n">
        <v>2024</v>
      </c>
      <c r="FC488">
        <f>IF(FB488&lt;=RULE_START+$FB$38-1,1,0)</f>
        <v>1</v>
      </c>
      <c r="FD488" s="15">
        <f>IF(FB488=2024,G_IDX_2024,IF(FB488=2025,G_IDX_2025,IF(FB488=2026,G_IDX_2026,IF(FB488=2027,G_IDX_2027,$FB$13))))</f>
        <v>0.03</v>
      </c>
      <c r="FE488" s="8">
        <f>$FB$20*(1+G_HI)^(FB488-COST_DATE)</f>
        <v>465.2346179244482</v>
      </c>
      <c r="FF488" s="8">
        <f>R_NF_2024</f>
        <v>481.83</v>
      </c>
      <c r="FG488" s="8">
        <f>FF488</f>
        <v>481.83</v>
      </c>
      <c r="FH488" s="8">
        <f>FF488</f>
        <v>481.83</v>
      </c>
      <c r="FI488">
        <f>IF(AND(FB488&gt;=RULE_START,MOD(FB488-RULE_START,REBASE_YEARS)=0),1,0)</f>
        <v>0</v>
      </c>
      <c r="FJ488" s="8">
        <f>R_CAP_2024*(1+GET_RATE)</f>
        <v>23.560200000000002</v>
      </c>
      <c r="FK488" s="8">
        <f>R_CAP_2024*(1+GET_RATE)</f>
        <v>23.560200000000002</v>
      </c>
      <c r="FL488" s="8">
        <f>R_CAP_2024*(1+GET_RATE)</f>
        <v>23.560200000000002</v>
      </c>
      <c r="FM488" s="8">
        <f>FF488-FJ488-FE488</f>
        <v>-6.964817924448198</v>
      </c>
      <c r="FN488" s="8">
        <f>FG488-FK488-FE488</f>
        <v>-6.964817924448198</v>
      </c>
      <c r="FO488" s="8">
        <f>FH488-FL488-FE488</f>
        <v>-6.964817924448198</v>
      </c>
      <c r="FP488" s="8">
        <f>R_NF_2024*(1+G_HI)^(FB488-2024)</f>
        <v>481.83</v>
      </c>
      <c r="FQ488" s="10">
        <f>1-FF488/FP488</f>
        <v>0.0</v>
      </c>
      <c r="FR488" s="10">
        <f>CPI_2023/(IF(FB488-1=2023,CPI_2023,IF(FB488-1=2024,CPI_2024,IF(FB488-1=2025,CPI_2025,CPI_2025*(1+INFL)^(FB488-1-2025)))))</f>
        <v>1.0</v>
      </c>
      <c r="FS488" s="8">
        <f>$FB$21*ABS($FB$11)*(FG488-FF488)/FF488</f>
        <v>0.0</v>
      </c>
      <c r="FT488" s="8">
        <f>$FB$21*ABS($FB$11)*(FH488-FF488)/FF488</f>
        <v>0.0</v>
      </c>
      <c r="FU488" s="13">
        <f>(FG488-FF488)*MCD_NF_DAYS*FR488-FS488*MCD_SHARE_FREED*R_WAIT_2023</f>
        <v>0.0</v>
      </c>
      <c r="FV488" s="13">
        <f>(FH488-FF488)*MCD_NF_DAYS*FR488-FT488*MCD_SHARE_FREED*R_WAIT_2023</f>
        <v>0.0</v>
      </c>
      <c r="FW488" s="10">
        <f>IF(AND(FB488&gt;=RULE_START,FC488=1),1/(1+$FB$12)^(FB488-RULE_START+1),0)</f>
        <v>0</v>
      </c>
      <c r="FX488">
        <f>IF(AND(FB488&gt;=RULE_START,FC488=1,FM488&lt;0),FB488,9999)</f>
        <v>9999</v>
      </c>
      <c r="FY488">
        <f>IF(AND(FB488&gt;=RULE_START,FC488=1,FN488&lt;0),FB488,9999)</f>
        <v>9999</v>
      </c>
      <c r="FZ488">
        <f>IF(AND(FB488&gt;=RULE_START,FC488=1,FO488&lt;0),FB488,9999)</f>
        <v>9999</v>
      </c>
      <c r="GB488" t="n">
        <v>2024</v>
      </c>
      <c r="GC488">
        <f>IF(GB488&lt;=RULE_START+$GB$38-1,1,0)</f>
        <v>1</v>
      </c>
      <c r="GD488" s="15">
        <f>IF(GB488=2024,G_IDX_2024,IF(GB488=2025,G_IDX_2025,IF(GB488=2026,G_IDX_2026,IF(GB488=2027,G_IDX_2027,$GB$13))))</f>
        <v>0.03</v>
      </c>
      <c r="GE488" s="8">
        <f>$GB$20*(1+G_HI)^(GB488-COST_DATE)</f>
        <v>452.06491890289993</v>
      </c>
      <c r="GF488" s="8">
        <f>R_NF_2024</f>
        <v>481.83</v>
      </c>
      <c r="GG488" s="8">
        <f>GF488</f>
        <v>481.83</v>
      </c>
      <c r="GH488" s="8">
        <f>GF488</f>
        <v>481.83</v>
      </c>
      <c r="GI488">
        <f>IF(AND(GB488&gt;=RULE_START,MOD(GB488-RULE_START,REBASE_YEARS)=0),1,0)</f>
        <v>0</v>
      </c>
      <c r="GJ488" s="8">
        <f>R_CAP_2024*(1+GET_RATE)</f>
        <v>23.560200000000002</v>
      </c>
      <c r="GK488" s="8">
        <f>R_CAP_2024*(1+GET_RATE)</f>
        <v>23.560200000000002</v>
      </c>
      <c r="GL488" s="8">
        <f>R_CAP_2024*(1+GET_RATE)</f>
        <v>23.560200000000002</v>
      </c>
      <c r="GM488" s="8">
        <f>GF488-GJ488-GE488</f>
        <v>6.204881097100042</v>
      </c>
      <c r="GN488" s="8">
        <f>GG488-GK488-GE488</f>
        <v>6.204881097100042</v>
      </c>
      <c r="GO488" s="8">
        <f>GH488-GL488-GE488</f>
        <v>6.204881097100042</v>
      </c>
      <c r="GP488" s="8">
        <f>R_NF_2024*(1+G_HI)^(GB488-2024)</f>
        <v>481.83</v>
      </c>
      <c r="GQ488" s="10">
        <f>1-GF488/GP488</f>
        <v>0.0</v>
      </c>
      <c r="GR488" s="10">
        <f>CPI_2023/(IF(GB488-1=2023,CPI_2023,IF(GB488-1=2024,CPI_2024,IF(GB488-1=2025,CPI_2025,CPI_2025*(1+INFL)^(GB488-1-2025)))))</f>
        <v>1.0</v>
      </c>
      <c r="GS488" s="8">
        <f>$GB$21*ABS($GB$11)*(GG488-GF488)/GF488</f>
        <v>0.0</v>
      </c>
      <c r="GT488" s="8">
        <f>$GB$21*ABS($GB$11)*(GH488-GF488)/GF488</f>
        <v>0.0</v>
      </c>
      <c r="GU488" s="13">
        <f>(GG488-GF488)*MCD_NF_DAYS*GR488-GS488*MCD_SHARE_FREED*R_WAIT_2023</f>
        <v>0.0</v>
      </c>
      <c r="GV488" s="13">
        <f>(GH488-GF488)*MCD_NF_DAYS*GR488-GT488*MCD_SHARE_FREED*R_WAIT_2023</f>
        <v>0.0</v>
      </c>
      <c r="GW488" s="10">
        <f>IF(AND(GB488&gt;=RULE_START,GC488=1),1/(1+$GB$12)^(GB488-RULE_START+1),0)</f>
        <v>0</v>
      </c>
      <c r="GX488">
        <f>IF(AND(GB488&gt;=RULE_START,GC488=1,GM488&lt;0),GB488,9999)</f>
        <v>9999</v>
      </c>
      <c r="GY488">
        <f>IF(AND(GB488&gt;=RULE_START,GC488=1,GN488&lt;0),GB488,9999)</f>
        <v>9999</v>
      </c>
      <c r="GZ488">
        <f>IF(AND(GB488&gt;=RULE_START,GC488=1,GO488&lt;0),GB488,9999)</f>
        <v>9999</v>
      </c>
      <c r="HB488" t="n">
        <v>2024</v>
      </c>
      <c r="HC488">
        <f>IF(HB488&lt;=RULE_START+$HB$38-1,1,0)</f>
        <v>1</v>
      </c>
      <c r="HD488" s="15">
        <f>IF(HB488=2024,G_IDX_2024,IF(HB488=2025,G_IDX_2025,IF(HB488=2026,G_IDX_2026,IF(HB488=2027,G_IDX_2027,$HB$13))))</f>
        <v>0.03</v>
      </c>
      <c r="HE488" s="8">
        <f>$HB$20*(1+G_HI)^(HB488-COST_DATE)</f>
        <v>452.06491890289993</v>
      </c>
      <c r="HF488" s="8">
        <f>R_NF_2024</f>
        <v>481.83</v>
      </c>
      <c r="HG488" s="8">
        <f>HF488</f>
        <v>481.83</v>
      </c>
      <c r="HH488" s="8">
        <f>HF488</f>
        <v>481.83</v>
      </c>
      <c r="HI488">
        <f>IF(AND(HB488&gt;=RULE_START,MOD(HB488-RULE_START,REBASE_YEARS)=0),1,0)</f>
        <v>0</v>
      </c>
      <c r="HJ488" s="8">
        <f>R_CAP_2024*(1+GET_RATE)</f>
        <v>23.560200000000002</v>
      </c>
      <c r="HK488" s="8">
        <f>R_CAP_2024*(1+GET_RATE)</f>
        <v>23.560200000000002</v>
      </c>
      <c r="HL488" s="8">
        <f>R_CAP_2024*(1+GET_RATE)</f>
        <v>23.560200000000002</v>
      </c>
      <c r="HM488" s="8">
        <f>HF488-HJ488-HE488</f>
        <v>6.204881097100042</v>
      </c>
      <c r="HN488" s="8">
        <f>HG488-HK488-HE488</f>
        <v>6.204881097100042</v>
      </c>
      <c r="HO488" s="8">
        <f>HH488-HL488-HE488</f>
        <v>6.204881097100042</v>
      </c>
      <c r="HP488" s="8">
        <f>R_NF_2024*(1+G_HI)^(HB488-2024)</f>
        <v>481.83</v>
      </c>
      <c r="HQ488" s="10">
        <f>1-HF488/HP488</f>
        <v>0.0</v>
      </c>
      <c r="HR488" s="10">
        <f>CPI_2023/(IF(HB488-1=2023,CPI_2023,IF(HB488-1=2024,CPI_2024,IF(HB488-1=2025,CPI_2025,CPI_2025*(1+INFL)^(HB488-1-2025)))))</f>
        <v>1.0</v>
      </c>
      <c r="HS488" s="8">
        <f>$HB$21*ABS($HB$11)*(HG488-HF488)/HF488</f>
        <v>0.0</v>
      </c>
      <c r="HT488" s="8">
        <f>$HB$21*ABS($HB$11)*(HH488-HF488)/HF488</f>
        <v>0.0</v>
      </c>
      <c r="HU488" s="13">
        <f>(HG488-HF488)*MCD_NF_DAYS*HR488-HS488*MCD_SHARE_FREED*R_WAIT_2023</f>
        <v>0.0</v>
      </c>
      <c r="HV488" s="13">
        <f>(HH488-HF488)*MCD_NF_DAYS*HR488-HT488*MCD_SHARE_FREED*R_WAIT_2023</f>
        <v>0.0</v>
      </c>
      <c r="HW488" s="10">
        <f>IF(AND(HB488&gt;=RULE_START,HC488=1),1/(1+$HB$12)^(HB488-RULE_START+1),0)</f>
        <v>0</v>
      </c>
      <c r="HX488">
        <f>IF(AND(HB488&gt;=RULE_START,HC488=1,HM488&lt;0),HB488,9999)</f>
        <v>9999</v>
      </c>
      <c r="HY488">
        <f>IF(AND(HB488&gt;=RULE_START,HC488=1,HN488&lt;0),HB488,9999)</f>
        <v>9999</v>
      </c>
      <c r="HZ488">
        <f>IF(AND(HB488&gt;=RULE_START,HC488=1,HO488&lt;0),HB488,9999)</f>
        <v>9999</v>
      </c>
      <c r="IB488" t="n">
        <v>2024</v>
      </c>
      <c r="IC488">
        <f>IF(IB488&lt;=RULE_START+$IB$38-1,1,0)</f>
        <v>1</v>
      </c>
      <c r="ID488" s="15">
        <f>IF(IB488=2024,G_IDX_2024,IF(IB488=2025,G_IDX_2025,IF(IB488=2026,G_IDX_2026,IF(IB488=2027,G_IDX_2027,$IB$13))))</f>
        <v>0.03</v>
      </c>
      <c r="IE488" s="8">
        <f>$IB$20*(1+G_HI)^(IB488-COST_DATE)</f>
        <v>452.06491890289993</v>
      </c>
      <c r="IF488" s="8">
        <f>R_NF_2024</f>
        <v>481.83</v>
      </c>
      <c r="IG488" s="8">
        <f>IF488</f>
        <v>481.83</v>
      </c>
      <c r="IH488" s="8">
        <f>IF488</f>
        <v>481.83</v>
      </c>
      <c r="II488">
        <f>IF(AND(IB488&gt;=RULE_START,MOD(IB488-RULE_START,REBASE_YEARS)=0),1,0)</f>
        <v>0</v>
      </c>
      <c r="IJ488" s="8">
        <f>R_CAP_2024*(1+GET_RATE)</f>
        <v>23.560200000000002</v>
      </c>
      <c r="IK488" s="8">
        <f>R_CAP_2024*(1+GET_RATE)</f>
        <v>23.560200000000002</v>
      </c>
      <c r="IL488" s="8">
        <f>R_CAP_2024*(1+GET_RATE)</f>
        <v>23.560200000000002</v>
      </c>
      <c r="IM488" s="8">
        <f>IF488-IJ488-IE488</f>
        <v>6.204881097100042</v>
      </c>
      <c r="IN488" s="8">
        <f>IG488-IK488-IE488</f>
        <v>6.204881097100042</v>
      </c>
      <c r="IO488" s="8">
        <f>IH488-IL488-IE488</f>
        <v>6.204881097100042</v>
      </c>
      <c r="IP488" s="8">
        <f>R_NF_2024*(1+G_HI)^(IB488-2024)</f>
        <v>481.83</v>
      </c>
      <c r="IQ488" s="10">
        <f>1-IF488/IP488</f>
        <v>0.0</v>
      </c>
      <c r="IR488" s="10">
        <f>CPI_2023/(IF(IB488-1=2023,CPI_2023,IF(IB488-1=2024,CPI_2024,IF(IB488-1=2025,CPI_2025,CPI_2025*(1+INFL)^(IB488-1-2025)))))</f>
        <v>1.0</v>
      </c>
      <c r="IS488" s="8">
        <f>$IB$21*ABS($IB$11)*(IG488-IF488)/IF488</f>
        <v>0.0</v>
      </c>
      <c r="IT488" s="8">
        <f>$IB$21*ABS($IB$11)*(IH488-IF488)/IF488</f>
        <v>0.0</v>
      </c>
      <c r="IU488" s="13">
        <f>(IG488-IF488)*MCD_NF_DAYS*IR488-IS488*MCD_SHARE_FREED*R_WAIT_2023</f>
        <v>0.0</v>
      </c>
      <c r="IV488" s="13">
        <f>(IH488-IF488)*MCD_NF_DAYS*IR488-IT488*MCD_SHARE_FREED*R_WAIT_2023</f>
        <v>0.0</v>
      </c>
      <c r="IW488" s="10">
        <f>IF(AND(IB488&gt;=RULE_START,IC488=1),1/(1+$IB$12)^(IB488-RULE_START+1),0)</f>
        <v>0</v>
      </c>
      <c r="IX488">
        <f>IF(AND(IB488&gt;=RULE_START,IC488=1,IM488&lt;0),IB488,9999)</f>
        <v>9999</v>
      </c>
      <c r="IY488">
        <f>IF(AND(IB488&gt;=RULE_START,IC488=1,IN488&lt;0),IB488,9999)</f>
        <v>9999</v>
      </c>
      <c r="IZ488">
        <f>IF(AND(IB488&gt;=RULE_START,IC488=1,IO488&lt;0),IB488,9999)</f>
        <v>9999</v>
      </c>
      <c r="JB488" t="n">
        <v>2024</v>
      </c>
      <c r="JC488">
        <f>IF(JB488&lt;=RULE_START+$JB$38-1,1,0)</f>
        <v>1</v>
      </c>
      <c r="JD488" s="15">
        <f>IF(JB488=2024,G_IDX_2024,IF(JB488=2025,G_IDX_2025,IF(JB488=2026,G_IDX_2026,IF(JB488=2027,G_IDX_2027,$JB$13))))</f>
        <v>0.03</v>
      </c>
      <c r="JE488" s="8">
        <f>$JB$20*(1+G_HI)^(JB488-COST_DATE)</f>
        <v>452.06491890289993</v>
      </c>
      <c r="JF488" s="8">
        <f>R_NF_2024</f>
        <v>481.83</v>
      </c>
      <c r="JG488" s="8">
        <f>JF488</f>
        <v>481.83</v>
      </c>
      <c r="JH488" s="8">
        <f>JF488</f>
        <v>481.83</v>
      </c>
      <c r="JI488">
        <f>IF(AND(JB488&gt;=RULE_START,MOD(JB488-RULE_START,REBASE_YEARS)=0),1,0)</f>
        <v>0</v>
      </c>
      <c r="JJ488" s="8">
        <f>R_CAP_2024*(1+GET_RATE)</f>
        <v>23.560200000000002</v>
      </c>
      <c r="JK488" s="8">
        <f>R_CAP_2024*(1+GET_RATE)</f>
        <v>23.560200000000002</v>
      </c>
      <c r="JL488" s="8">
        <f>R_CAP_2024*(1+GET_RATE)</f>
        <v>23.560200000000002</v>
      </c>
      <c r="JM488" s="8">
        <f>JF488-JJ488-JE488</f>
        <v>6.204881097100042</v>
      </c>
      <c r="JN488" s="8">
        <f>JG488-JK488-JE488</f>
        <v>6.204881097100042</v>
      </c>
      <c r="JO488" s="8">
        <f>JH488-JL488-JE488</f>
        <v>6.204881097100042</v>
      </c>
      <c r="JP488" s="8">
        <f>R_NF_2024*(1+G_HI)^(JB488-2024)</f>
        <v>481.83</v>
      </c>
      <c r="JQ488" s="10">
        <f>1-JF488/JP488</f>
        <v>0.0</v>
      </c>
      <c r="JR488" s="10">
        <f>CPI_2023/(IF(JB488-1=2023,CPI_2023,IF(JB488-1=2024,CPI_2024,IF(JB488-1=2025,CPI_2025,CPI_2025*(1+INFL)^(JB488-1-2025)))))</f>
        <v>1.0</v>
      </c>
      <c r="JS488" s="8">
        <f>$JB$21*ABS($JB$11)*(JG488-JF488)/JF488</f>
        <v>0.0</v>
      </c>
      <c r="JT488" s="8">
        <f>$JB$21*ABS($JB$11)*(JH488-JF488)/JF488</f>
        <v>0.0</v>
      </c>
      <c r="JU488" s="13">
        <f>(JG488-JF488)*MCD_NF_DAYS*JR488-JS488*MCD_SHARE_FREED*R_WAIT_2023</f>
        <v>0.0</v>
      </c>
      <c r="JV488" s="13">
        <f>(JH488-JF488)*MCD_NF_DAYS*JR488-JT488*MCD_SHARE_FREED*R_WAIT_2023</f>
        <v>0.0</v>
      </c>
      <c r="JW488" s="10">
        <f>IF(AND(JB488&gt;=RULE_START,JC488=1),1/(1+$JB$12)^(JB488-RULE_START+1),0)</f>
        <v>0</v>
      </c>
      <c r="JX488">
        <f>IF(AND(JB488&gt;=RULE_START,JC488=1,JM488&lt;0),JB488,9999)</f>
        <v>9999</v>
      </c>
      <c r="JY488">
        <f>IF(AND(JB488&gt;=RULE_START,JC488=1,JN488&lt;0),JB488,9999)</f>
        <v>9999</v>
      </c>
      <c r="JZ488">
        <f>IF(AND(JB488&gt;=RULE_START,JC488=1,JO488&lt;0),JB488,9999)</f>
        <v>9999</v>
      </c>
      <c r="KB488" t="n">
        <v>2024</v>
      </c>
      <c r="KC488">
        <f>IF(KB488&lt;=RULE_START+$KB$38-1,1,0)</f>
        <v>1</v>
      </c>
      <c r="KD488" s="15">
        <f>IF(KB488=2024,G_IDX_2024,IF(KB488=2025,G_IDX_2025,IF(KB488=2026,G_IDX_2026,IF(KB488=2027,G_IDX_2027,$KB$13))))</f>
        <v>0.03</v>
      </c>
      <c r="KE488" s="8">
        <f>$KB$20*(1+G_HI)^(KB488-COST_DATE)</f>
        <v>452.06491890289993</v>
      </c>
      <c r="KF488" s="8">
        <f>R_NF_2024</f>
        <v>481.83</v>
      </c>
      <c r="KG488" s="8">
        <f>KF488</f>
        <v>481.83</v>
      </c>
      <c r="KH488" s="8">
        <f>KF488</f>
        <v>481.83</v>
      </c>
      <c r="KI488">
        <f>IF(AND(KB488&gt;=RULE_START,MOD(KB488-RULE_START,REBASE_YEARS)=0),1,0)</f>
        <v>0</v>
      </c>
      <c r="KJ488" s="8">
        <f>R_CAP_2024*(1+GET_RATE)</f>
        <v>23.560200000000002</v>
      </c>
      <c r="KK488" s="8">
        <f>R_CAP_2024*(1+GET_RATE)</f>
        <v>23.560200000000002</v>
      </c>
      <c r="KL488" s="8">
        <f>R_CAP_2024*(1+GET_RATE)</f>
        <v>23.560200000000002</v>
      </c>
      <c r="KM488" s="8">
        <f>KF488-KJ488-KE488</f>
        <v>6.204881097100042</v>
      </c>
      <c r="KN488" s="8">
        <f>KG488-KK488-KE488</f>
        <v>6.204881097100042</v>
      </c>
      <c r="KO488" s="8">
        <f>KH488-KL488-KE488</f>
        <v>6.204881097100042</v>
      </c>
      <c r="KP488" s="8">
        <f>R_NF_2024*(1+G_HI)^(KB488-2024)</f>
        <v>481.83</v>
      </c>
      <c r="KQ488" s="10">
        <f>1-KF488/KP488</f>
        <v>0.0</v>
      </c>
      <c r="KR488" s="10">
        <f>CPI_2023/(IF(KB488-1=2023,CPI_2023,IF(KB488-1=2024,CPI_2024,IF(KB488-1=2025,CPI_2025,CPI_2025*(1+INFL)^(KB488-1-2025)))))</f>
        <v>1.0</v>
      </c>
      <c r="KS488" s="8">
        <f>$KB$21*ABS($KB$11)*(KG488-KF488)/KF488</f>
        <v>0.0</v>
      </c>
      <c r="KT488" s="8">
        <f>$KB$21*ABS($KB$11)*(KH488-KF488)/KF488</f>
        <v>0.0</v>
      </c>
      <c r="KU488" s="13">
        <f>(KG488-KF488)*MCD_NF_DAYS*KR488-KS488*MCD_SHARE_FREED*R_WAIT_2023</f>
        <v>0.0</v>
      </c>
      <c r="KV488" s="13">
        <f>(KH488-KF488)*MCD_NF_DAYS*KR488-KT488*MCD_SHARE_FREED*R_WAIT_2023</f>
        <v>0.0</v>
      </c>
      <c r="KW488" s="10">
        <f>IF(AND(KB488&gt;=RULE_START,KC488=1),1/(1+$KB$12)^(KB488-RULE_START+1),0)</f>
        <v>0</v>
      </c>
      <c r="KX488">
        <f>IF(AND(KB488&gt;=RULE_START,KC488=1,KM488&lt;0),KB488,9999)</f>
        <v>9999</v>
      </c>
      <c r="KY488">
        <f>IF(AND(KB488&gt;=RULE_START,KC488=1,KN488&lt;0),KB488,9999)</f>
        <v>9999</v>
      </c>
      <c r="KZ488">
        <f>IF(AND(KB488&gt;=RULE_START,KC488=1,KO488&lt;0),KB488,9999)</f>
        <v>9999</v>
      </c>
      <c r="LB488" t="n">
        <v>2024</v>
      </c>
      <c r="LC488">
        <f>IF(LB488&lt;=RULE_START+$LB$38-1,1,0)</f>
        <v>1</v>
      </c>
      <c r="LD488" s="15">
        <f>IF(LB488=2024,G_IDX_2024,IF(LB488=2025,G_IDX_2025,IF(LB488=2026,G_IDX_2026,IF(LB488=2027,G_IDX_2027,$LB$13))))</f>
        <v>0.03</v>
      </c>
      <c r="LE488" s="8">
        <f>$LB$20*(1+G_HI)^(LB488-COST_DATE)</f>
        <v>452.06491890289993</v>
      </c>
      <c r="LF488" s="8">
        <f>R_NF_2024</f>
        <v>481.83</v>
      </c>
      <c r="LG488" s="8">
        <f>LF488</f>
        <v>481.83</v>
      </c>
      <c r="LH488" s="8">
        <f>LF488</f>
        <v>481.83</v>
      </c>
      <c r="LI488">
        <f>IF(AND(LB488&gt;=RULE_START,MOD(LB488-RULE_START,REBASE_YEARS)=0),1,0)</f>
        <v>0</v>
      </c>
      <c r="LJ488" s="8">
        <f>R_CAP_2024*(1+GET_RATE)</f>
        <v>23.560200000000002</v>
      </c>
      <c r="LK488" s="8">
        <f>R_CAP_2024*(1+GET_RATE)</f>
        <v>23.560200000000002</v>
      </c>
      <c r="LL488" s="8">
        <f>R_CAP_2024*(1+GET_RATE)</f>
        <v>23.560200000000002</v>
      </c>
      <c r="LM488" s="8">
        <f>LF488-LJ488-LE488</f>
        <v>6.204881097100042</v>
      </c>
      <c r="LN488" s="8">
        <f>LG488-LK488-LE488</f>
        <v>6.204881097100042</v>
      </c>
      <c r="LO488" s="8">
        <f>LH488-LL488-LE488</f>
        <v>6.204881097100042</v>
      </c>
      <c r="LP488" s="8">
        <f>R_NF_2024*(1+G_HI)^(LB488-2024)</f>
        <v>481.83</v>
      </c>
      <c r="LQ488" s="10">
        <f>1-LF488/LP488</f>
        <v>0.0</v>
      </c>
      <c r="LR488" s="10">
        <f>CPI_2023/(IF(LB488-1=2023,CPI_2023,IF(LB488-1=2024,CPI_2024,IF(LB488-1=2025,CPI_2025,CPI_2025*(1+INFL)^(LB488-1-2025)))))</f>
        <v>1.0</v>
      </c>
      <c r="LS488" s="8">
        <f>$LB$21*ABS($LB$11)*(LG488-LF488)/LF488</f>
        <v>0.0</v>
      </c>
      <c r="LT488" s="8">
        <f>$LB$21*ABS($LB$11)*(LH488-LF488)/LF488</f>
        <v>0.0</v>
      </c>
      <c r="LU488" s="13">
        <f>(LG488-LF488)*MCD_NF_DAYS*LR488-LS488*MCD_SHARE_FREED*R_WAIT_2023</f>
        <v>0.0</v>
      </c>
      <c r="LV488" s="13">
        <f>(LH488-LF488)*MCD_NF_DAYS*LR488-LT488*MCD_SHARE_FREED*R_WAIT_2023</f>
        <v>0.0</v>
      </c>
      <c r="LW488" s="10">
        <f>IF(AND(LB488&gt;=RULE_START,LC488=1),1/(1+$LB$12)^(LB488-RULE_START+1),0)</f>
        <v>0</v>
      </c>
      <c r="LX488">
        <f>IF(AND(LB488&gt;=RULE_START,LC488=1,LM488&lt;0),LB488,9999)</f>
        <v>9999</v>
      </c>
      <c r="LY488">
        <f>IF(AND(LB488&gt;=RULE_START,LC488=1,LN488&lt;0),LB488,9999)</f>
        <v>9999</v>
      </c>
      <c r="LZ488">
        <f>IF(AND(LB488&gt;=RULE_START,LC488=1,LO488&lt;0),LB488,9999)</f>
        <v>9999</v>
      </c>
      <c r="MB488" t="n">
        <v>2024</v>
      </c>
      <c r="MC488">
        <f>IF(MB488&lt;=RULE_START+$MB$38-1,1,0)</f>
        <v>1</v>
      </c>
      <c r="MD488" s="15">
        <f>IF(MB488=2024,G_IDX_2024,IF(MB488=2025,G_IDX_2025,IF(MB488=2026,G_IDX_2026,IF(MB488=2027,G_IDX_2027,$MB$13))))</f>
        <v>0.03</v>
      </c>
      <c r="ME488" s="8">
        <f>$MB$20*(1+G_HI)^(MB488-COST_DATE)</f>
        <v>452.06491890289993</v>
      </c>
      <c r="MF488" s="8">
        <f>R_NF_2024</f>
        <v>481.83</v>
      </c>
      <c r="MG488" s="8">
        <f>MF488</f>
        <v>481.83</v>
      </c>
      <c r="MH488" s="8">
        <f>MF488</f>
        <v>481.83</v>
      </c>
      <c r="MI488">
        <f>IF(AND(MB488&gt;=RULE_START,MOD(MB488-RULE_START,REBASE_YEARS)=0),1,0)</f>
        <v>0</v>
      </c>
      <c r="MJ488" s="8">
        <f>R_CAP_2024*(1+GET_RATE)</f>
        <v>23.560200000000002</v>
      </c>
      <c r="MK488" s="8">
        <f>R_CAP_2024*(1+GET_RATE)</f>
        <v>23.560200000000002</v>
      </c>
      <c r="ML488" s="8">
        <f>R_CAP_2024*(1+GET_RATE)</f>
        <v>23.560200000000002</v>
      </c>
      <c r="MM488" s="8">
        <f>MF488-MJ488-ME488</f>
        <v>6.204881097100042</v>
      </c>
      <c r="MN488" s="8">
        <f>MG488-MK488-ME488</f>
        <v>6.204881097100042</v>
      </c>
      <c r="MO488" s="8">
        <f>MH488-ML488-ME488</f>
        <v>6.204881097100042</v>
      </c>
      <c r="MP488" s="8">
        <f>R_NF_2024*(1+G_HI)^(MB488-2024)</f>
        <v>481.83</v>
      </c>
      <c r="MQ488" s="10">
        <f>1-MF488/MP488</f>
        <v>0.0</v>
      </c>
      <c r="MR488" s="10">
        <f>CPI_2023/(IF(MB488-1=2023,CPI_2023,IF(MB488-1=2024,CPI_2024,IF(MB488-1=2025,CPI_2025,CPI_2025*(1+INFL)^(MB488-1-2025)))))</f>
        <v>1.0</v>
      </c>
      <c r="MS488" s="8">
        <f>$MB$21*ABS($MB$11)*(MG488-MF488)/MF488</f>
        <v>0.0</v>
      </c>
      <c r="MT488" s="8">
        <f>$MB$21*ABS($MB$11)*(MH488-MF488)/MF488</f>
        <v>0.0</v>
      </c>
      <c r="MU488" s="13">
        <f>(MG488-MF488)*MCD_NF_DAYS*MR488-MS488*MCD_SHARE_FREED*R_WAIT_2023</f>
        <v>0.0</v>
      </c>
      <c r="MV488" s="13">
        <f>(MH488-MF488)*MCD_NF_DAYS*MR488-MT488*MCD_SHARE_FREED*R_WAIT_2023</f>
        <v>0.0</v>
      </c>
      <c r="MW488" s="10">
        <f>IF(AND(MB488&gt;=RULE_START,MC488=1),1/(1+$MB$12)^(MB488-RULE_START+1),0)</f>
        <v>0</v>
      </c>
      <c r="MX488">
        <f>IF(AND(MB488&gt;=RULE_START,MC488=1,MM488&lt;0),MB488,9999)</f>
        <v>9999</v>
      </c>
      <c r="MY488">
        <f>IF(AND(MB488&gt;=RULE_START,MC488=1,MN488&lt;0),MB488,9999)</f>
        <v>9999</v>
      </c>
      <c r="MZ488">
        <f>IF(AND(MB488&gt;=RULE_START,MC488=1,MO488&lt;0),MB488,9999)</f>
        <v>9999</v>
      </c>
      <c r="NB488" t="n">
        <v>2024</v>
      </c>
      <c r="NC488">
        <f>IF(NB488&lt;=RULE_START+$NB$38-1,1,0)</f>
        <v>1</v>
      </c>
      <c r="ND488" s="15">
        <f>IF(NB488=2024,G_IDX_2024,IF(NB488=2025,G_IDX_2025,IF(NB488=2026,G_IDX_2026,IF(NB488=2027,G_IDX_2027,$NB$13))))</f>
        <v>0.03</v>
      </c>
      <c r="NE488" s="8">
        <f>$NB$20*(1+G_HI)^(NB488-COST_DATE)</f>
        <v>452.06491890289993</v>
      </c>
      <c r="NF488" s="8">
        <f>R_NF_2024</f>
        <v>481.83</v>
      </c>
      <c r="NG488" s="8">
        <f>NF488</f>
        <v>481.83</v>
      </c>
      <c r="NH488" s="8">
        <f>NF488</f>
        <v>481.83</v>
      </c>
      <c r="NI488">
        <f>IF(AND(NB488&gt;=RULE_START,MOD(NB488-RULE_START,REBASE_YEARS)=0),1,0)</f>
        <v>0</v>
      </c>
      <c r="NJ488" s="8">
        <f>R_CAP_2024*(1+GET_RATE)</f>
        <v>23.560200000000002</v>
      </c>
      <c r="NK488" s="8">
        <f>R_CAP_2024*(1+GET_RATE)</f>
        <v>23.560200000000002</v>
      </c>
      <c r="NL488" s="8">
        <f>R_CAP_2024*(1+GET_RATE)</f>
        <v>23.560200000000002</v>
      </c>
      <c r="NM488" s="8">
        <f>NF488-NJ488-NE488</f>
        <v>6.204881097100042</v>
      </c>
      <c r="NN488" s="8">
        <f>NG488-NK488-NE488</f>
        <v>6.204881097100042</v>
      </c>
      <c r="NO488" s="8">
        <f>NH488-NL488-NE488</f>
        <v>6.204881097100042</v>
      </c>
      <c r="NP488" s="8">
        <f>R_NF_2024*(1+G_HI)^(NB488-2024)</f>
        <v>481.83</v>
      </c>
      <c r="NQ488" s="10">
        <f>1-NF488/NP488</f>
        <v>0.0</v>
      </c>
      <c r="NR488" s="10">
        <f>CPI_2023/(IF(NB488-1=2023,CPI_2023,IF(NB488-1=2024,CPI_2024,IF(NB488-1=2025,CPI_2025,CPI_2025*(1+INFL)^(NB488-1-2025)))))</f>
        <v>1.0</v>
      </c>
      <c r="NS488" s="8">
        <f>$NB$21*ABS($NB$11)*(NG488-NF488)/NF488</f>
        <v>0.0</v>
      </c>
      <c r="NT488" s="8">
        <f>$NB$21*ABS($NB$11)*(NH488-NF488)/NF488</f>
        <v>0.0</v>
      </c>
      <c r="NU488" s="13">
        <f>(NG488-NF488)*MCD_NF_DAYS*NR488-NS488*MCD_SHARE_FREED*R_WAIT_2023</f>
        <v>0.0</v>
      </c>
      <c r="NV488" s="13">
        <f>(NH488-NF488)*MCD_NF_DAYS*NR488-NT488*MCD_SHARE_FREED*R_WAIT_2023</f>
        <v>0.0</v>
      </c>
      <c r="NW488" s="10">
        <f>IF(AND(NB488&gt;=RULE_START,NC488=1),1/(1+$NB$12)^(NB488-RULE_START+1),0)</f>
        <v>0</v>
      </c>
      <c r="NX488">
        <f>IF(AND(NB488&gt;=RULE_START,NC488=1,NM488&lt;0),NB488,9999)</f>
        <v>9999</v>
      </c>
      <c r="NY488">
        <f>IF(AND(NB488&gt;=RULE_START,NC488=1,NN488&lt;0),NB488,9999)</f>
        <v>9999</v>
      </c>
      <c r="NZ488">
        <f>IF(AND(NB488&gt;=RULE_START,NC488=1,NO488&lt;0),NB488,9999)</f>
        <v>9999</v>
      </c>
      <c r="OB488" t="n">
        <v>2024</v>
      </c>
      <c r="OC488">
        <f>IF(OB488&lt;=RULE_START+$OB$38-1,1,0)</f>
        <v>1</v>
      </c>
      <c r="OD488" s="15">
        <f>IF(OB488=2024,G_IDX_2024,IF(OB488=2025,G_IDX_2025,IF(OB488=2026,G_IDX_2026,IF(OB488=2027,G_IDX_2027,$OB$13))))</f>
        <v>0.03</v>
      </c>
      <c r="OE488" s="8">
        <f>$OB$20*(1+G_HI)^(OB488-COST_DATE)</f>
        <v>452.06491890289993</v>
      </c>
      <c r="OF488" s="8">
        <f>R_NF_2024</f>
        <v>481.83</v>
      </c>
      <c r="OG488" s="8">
        <f>OF488</f>
        <v>481.83</v>
      </c>
      <c r="OH488" s="8">
        <f>OF488</f>
        <v>481.83</v>
      </c>
      <c r="OI488">
        <f>IF(AND(OB488&gt;=RULE_START,MOD(OB488-RULE_START,REBASE_YEARS)=0),1,0)</f>
        <v>0</v>
      </c>
      <c r="OJ488" s="8">
        <f>R_CAP_2024*(1+GET_RATE)</f>
        <v>23.560200000000002</v>
      </c>
      <c r="OK488" s="8">
        <f>R_CAP_2024*(1+GET_RATE)</f>
        <v>23.560200000000002</v>
      </c>
      <c r="OL488" s="8">
        <f>R_CAP_2024*(1+GET_RATE)</f>
        <v>23.560200000000002</v>
      </c>
      <c r="OM488" s="8">
        <f>OF488-OJ488-OE488</f>
        <v>6.204881097100042</v>
      </c>
      <c r="ON488" s="8">
        <f>OG488-OK488-OE488</f>
        <v>6.204881097100042</v>
      </c>
      <c r="OO488" s="8">
        <f>OH488-OL488-OE488</f>
        <v>6.204881097100042</v>
      </c>
      <c r="OP488" s="8">
        <f>R_NF_2024*(1+G_HI)^(OB488-2024)</f>
        <v>481.83</v>
      </c>
      <c r="OQ488" s="10">
        <f>1-OF488/OP488</f>
        <v>0.0</v>
      </c>
      <c r="OR488" s="10">
        <f>CPI_2023/(IF(OB488-1=2023,CPI_2023,IF(OB488-1=2024,CPI_2024,IF(OB488-1=2025,CPI_2025,CPI_2025*(1+INFL)^(OB488-1-2025)))))</f>
        <v>1.0</v>
      </c>
      <c r="OS488" s="8">
        <f>$OB$21*ABS($OB$11)*(OG488-OF488)/OF488</f>
        <v>0.0</v>
      </c>
      <c r="OT488" s="8">
        <f>$OB$21*ABS($OB$11)*(OH488-OF488)/OF488</f>
        <v>0.0</v>
      </c>
      <c r="OU488" s="13">
        <f>(OG488-OF488)*MCD_NF_DAYS*OR488-OS488*MCD_SHARE_FREED*R_WAIT_2023</f>
        <v>0.0</v>
      </c>
      <c r="OV488" s="13">
        <f>(OH488-OF488)*MCD_NF_DAYS*OR488-OT488*MCD_SHARE_FREED*R_WAIT_2023</f>
        <v>0.0</v>
      </c>
      <c r="OW488" s="10">
        <f>IF(AND(OB488&gt;=RULE_START,OC488=1),1/(1+$OB$12)^(OB488-RULE_START+1),0)</f>
        <v>0</v>
      </c>
      <c r="OX488">
        <f>IF(AND(OB488&gt;=RULE_START,OC488=1,OM488&lt;0),OB488,9999)</f>
        <v>9999</v>
      </c>
      <c r="OY488">
        <f>IF(AND(OB488&gt;=RULE_START,OC488=1,ON488&lt;0),OB488,9999)</f>
        <v>9999</v>
      </c>
      <c r="OZ488">
        <f>IF(AND(OB488&gt;=RULE_START,OC488=1,OO488&lt;0),OB488,9999)</f>
        <v>9999</v>
      </c>
    </row>
    <row r="489">
      <c r="B489" t="n">
        <v>2025</v>
      </c>
      <c r="C489">
        <f>IF(B489&lt;=RULE_START+$B$38-1,1,0)</f>
        <v>1</v>
      </c>
      <c r="D489" s="15">
        <f>IF(B489=2024,G_IDX_2024,IF(B489=2025,G_IDX_2025,IF(B489=2026,G_IDX_2026,IF(B489=2027,G_IDX_2027,$B$13))))</f>
        <v>0.03</v>
      </c>
      <c r="E489" s="8">
        <f>$B$20*(1+G_HI)^(B489-COST_DATE)</f>
        <v>470.2241501940065</v>
      </c>
      <c r="F489" s="8">
        <f>R_NF_2025</f>
        <v>509.69</v>
      </c>
      <c r="G489" s="8">
        <f>F489</f>
        <v>509.69</v>
      </c>
      <c r="H489" s="8">
        <f>F489</f>
        <v>509.69</v>
      </c>
      <c r="I489">
        <f>IF(AND(B489&gt;=RULE_START,MOD(B489-RULE_START,REBASE_YEARS)=0),1,0)</f>
        <v>0</v>
      </c>
      <c r="J489" s="8">
        <f>R_CAP_2025*(1+GET_RATE)</f>
        <v>24.267006000000002</v>
      </c>
      <c r="K489" s="8">
        <f>R_CAP_2025*(1+GET_RATE)</f>
        <v>24.267006000000002</v>
      </c>
      <c r="L489" s="8">
        <f>R_CAP_2025*(1+GET_RATE)</f>
        <v>24.267006000000002</v>
      </c>
      <c r="M489" s="8">
        <f>F489-J489-E489</f>
        <v>15.198843805993533</v>
      </c>
      <c r="N489" s="8">
        <f>G489-K489-E489</f>
        <v>15.198843805993533</v>
      </c>
      <c r="O489" s="8">
        <f>H489-L489-E489</f>
        <v>15.198843805993533</v>
      </c>
      <c r="P489" s="8">
        <f>R_NF_2024*(1+G_HI)^(B489-2024)</f>
        <v>501.18488034379686</v>
      </c>
      <c r="Q489" s="10">
        <f>1-F489/P489</f>
        <v>-0.01697002441567852</v>
      </c>
      <c r="R489" s="10">
        <f>CPI_2023/(IF(B489-1=2023,CPI_2023,IF(B489-1=2024,CPI_2024,IF(B489-1=2025,CPI_2025,CPI_2025*(1+INFL)^(B489-1-2025)))))</f>
        <v>0.9581330817144185</v>
      </c>
      <c r="S489" s="8">
        <f>$B$21*ABS($B$11)*(G489-F489)/F489</f>
        <v>0.0</v>
      </c>
      <c r="T489" s="8">
        <f>$B$21*ABS($B$11)*(H489-F489)/F489</f>
        <v>0.0</v>
      </c>
      <c r="U489" s="13">
        <f>(G489-F489)*MCD_NF_DAYS*R489-S489*MCD_SHARE_FREED*R_WAIT_2023</f>
        <v>0.0</v>
      </c>
      <c r="V489" s="13">
        <f>(H489-F489)*MCD_NF_DAYS*R489-T489*MCD_SHARE_FREED*R_WAIT_2023</f>
        <v>0.0</v>
      </c>
      <c r="W489" s="10">
        <f>IF(AND(B489&gt;=RULE_START,C489=1),1/(1+$B$12)^(B489-RULE_START+1),0)</f>
        <v>0</v>
      </c>
      <c r="X489">
        <f>IF(AND(B489&gt;=RULE_START,C489=1,M489&lt;0),B489,9999)</f>
        <v>9999</v>
      </c>
      <c r="Y489">
        <f>IF(AND(B489&gt;=RULE_START,C489=1,N489&lt;0),B489,9999)</f>
        <v>9999</v>
      </c>
      <c r="Z489">
        <f>IF(AND(B489&gt;=RULE_START,C489=1,O489&lt;0),B489,9999)</f>
        <v>9999</v>
      </c>
      <c r="AB489" t="n">
        <v>2025</v>
      </c>
      <c r="AC489">
        <f>IF(AB489&lt;=RULE_START+$AB$38-1,1,0)</f>
        <v>1</v>
      </c>
      <c r="AD489" s="15">
        <f>IF(AB489=2024,G_IDX_2024,IF(AB489=2025,G_IDX_2025,IF(AB489=2026,G_IDX_2026,IF(AB489=2027,G_IDX_2027,$AB$13))))</f>
        <v>0.03</v>
      </c>
      <c r="AE489" s="8">
        <f>$AB$20*(1+G_HI)^(AB489-COST_DATE)</f>
        <v>470.2241501940065</v>
      </c>
      <c r="AF489" s="8">
        <f>R_NF_2025</f>
        <v>509.69</v>
      </c>
      <c r="AG489" s="8">
        <f>AF489</f>
        <v>509.69</v>
      </c>
      <c r="AH489" s="8">
        <f>AF489</f>
        <v>509.69</v>
      </c>
      <c r="AI489">
        <f>IF(AND(AB489&gt;=RULE_START,MOD(AB489-RULE_START,REBASE_YEARS)=0),1,0)</f>
        <v>0</v>
      </c>
      <c r="AJ489" s="8">
        <f>R_CAP_2025*(1+GET_RATE)</f>
        <v>24.267006000000002</v>
      </c>
      <c r="AK489" s="8">
        <f>R_CAP_2025*(1+GET_RATE)</f>
        <v>24.267006000000002</v>
      </c>
      <c r="AL489" s="8">
        <f>R_CAP_2025*(1+GET_RATE)</f>
        <v>24.267006000000002</v>
      </c>
      <c r="AM489" s="8">
        <f>AF489-AJ489-AE489</f>
        <v>15.198843805993533</v>
      </c>
      <c r="AN489" s="8">
        <f>AG489-AK489-AE489</f>
        <v>15.198843805993533</v>
      </c>
      <c r="AO489" s="8">
        <f>AH489-AL489-AE489</f>
        <v>15.198843805993533</v>
      </c>
      <c r="AP489" s="8">
        <f>R_NF_2024*(1+G_HI)^(AB489-2024)</f>
        <v>501.18488034379686</v>
      </c>
      <c r="AQ489" s="10">
        <f>1-AF489/AP489</f>
        <v>-0.01697002441567852</v>
      </c>
      <c r="AR489" s="10">
        <f>CPI_2023/(IF(AB489-1=2023,CPI_2023,IF(AB489-1=2024,CPI_2024,IF(AB489-1=2025,CPI_2025,CPI_2025*(1+INFL)^(AB489-1-2025)))))</f>
        <v>0.9581330817144185</v>
      </c>
      <c r="AS489" s="8">
        <f>$AB$21*ABS($AB$11)*(AG489-AF489)/AF489</f>
        <v>0.0</v>
      </c>
      <c r="AT489" s="8">
        <f>$AB$21*ABS($AB$11)*(AH489-AF489)/AF489</f>
        <v>0.0</v>
      </c>
      <c r="AU489" s="13">
        <f>(AG489-AF489)*MCD_NF_DAYS*AR489-AS489*MCD_SHARE_FREED*R_WAIT_2023</f>
        <v>0.0</v>
      </c>
      <c r="AV489" s="13">
        <f>(AH489-AF489)*MCD_NF_DAYS*AR489-AT489*MCD_SHARE_FREED*R_WAIT_2023</f>
        <v>0.0</v>
      </c>
      <c r="AW489" s="10">
        <f>IF(AND(AB489&gt;=RULE_START,AC489=1),1/(1+$AB$12)^(AB489-RULE_START+1),0)</f>
        <v>0</v>
      </c>
      <c r="AX489">
        <f>IF(AND(AB489&gt;=RULE_START,AC489=1,AM489&lt;0),AB489,9999)</f>
        <v>9999</v>
      </c>
      <c r="AY489">
        <f>IF(AND(AB489&gt;=RULE_START,AC489=1,AN489&lt;0),AB489,9999)</f>
        <v>9999</v>
      </c>
      <c r="AZ489">
        <f>IF(AND(AB489&gt;=RULE_START,AC489=1,AO489&lt;0),AB489,9999)</f>
        <v>9999</v>
      </c>
      <c r="BB489" t="n">
        <v>2025</v>
      </c>
      <c r="BC489">
        <f>IF(BB489&lt;=RULE_START+$BB$38-1,1,0)</f>
        <v>1</v>
      </c>
      <c r="BD489" s="15">
        <f>IF(BB489=2024,G_IDX_2024,IF(BB489=2025,G_IDX_2025,IF(BB489=2026,G_IDX_2026,IF(BB489=2027,G_IDX_2027,$BB$13))))</f>
        <v>0.03</v>
      </c>
      <c r="BE489" s="8">
        <f>$BB$20*(1+G_HI)^(BB489-COST_DATE)</f>
        <v>470.2241501940065</v>
      </c>
      <c r="BF489" s="8">
        <f>R_NF_2025</f>
        <v>509.69</v>
      </c>
      <c r="BG489" s="8">
        <f>BF489</f>
        <v>509.69</v>
      </c>
      <c r="BH489" s="8">
        <f>BF489</f>
        <v>509.69</v>
      </c>
      <c r="BI489">
        <f>IF(AND(BB489&gt;=RULE_START,MOD(BB489-RULE_START,REBASE_YEARS)=0),1,0)</f>
        <v>0</v>
      </c>
      <c r="BJ489" s="8">
        <f>R_CAP_2025*(1+GET_RATE)</f>
        <v>24.267006000000002</v>
      </c>
      <c r="BK489" s="8">
        <f>R_CAP_2025*(1+GET_RATE)</f>
        <v>24.267006000000002</v>
      </c>
      <c r="BL489" s="8">
        <f>R_CAP_2025*(1+GET_RATE)</f>
        <v>24.267006000000002</v>
      </c>
      <c r="BM489" s="8">
        <f>BF489-BJ489-BE489</f>
        <v>15.198843805993533</v>
      </c>
      <c r="BN489" s="8">
        <f>BG489-BK489-BE489</f>
        <v>15.198843805993533</v>
      </c>
      <c r="BO489" s="8">
        <f>BH489-BL489-BE489</f>
        <v>15.198843805993533</v>
      </c>
      <c r="BP489" s="8">
        <f>R_NF_2024*(1+G_HI)^(BB489-2024)</f>
        <v>501.18488034379686</v>
      </c>
      <c r="BQ489" s="10">
        <f>1-BF489/BP489</f>
        <v>-0.01697002441567852</v>
      </c>
      <c r="BR489" s="10">
        <f>CPI_2023/(IF(BB489-1=2023,CPI_2023,IF(BB489-1=2024,CPI_2024,IF(BB489-1=2025,CPI_2025,CPI_2025*(1+INFL)^(BB489-1-2025)))))</f>
        <v>0.9581330817144185</v>
      </c>
      <c r="BS489" s="8">
        <f>$BB$21*ABS($BB$11)*(BG489-BF489)/BF489</f>
        <v>0.0</v>
      </c>
      <c r="BT489" s="8">
        <f>$BB$21*ABS($BB$11)*(BH489-BF489)/BF489</f>
        <v>0.0</v>
      </c>
      <c r="BU489" s="13">
        <f>(BG489-BF489)*MCD_NF_DAYS*BR489-BS489*MCD_SHARE_FREED*R_WAIT_2023</f>
        <v>0.0</v>
      </c>
      <c r="BV489" s="13">
        <f>(BH489-BF489)*MCD_NF_DAYS*BR489-BT489*MCD_SHARE_FREED*R_WAIT_2023</f>
        <v>0.0</v>
      </c>
      <c r="BW489" s="10">
        <f>IF(AND(BB489&gt;=RULE_START,BC489=1),1/(1+$BB$12)^(BB489-RULE_START+1),0)</f>
        <v>0</v>
      </c>
      <c r="BX489">
        <f>IF(AND(BB489&gt;=RULE_START,BC489=1,BM489&lt;0),BB489,9999)</f>
        <v>9999</v>
      </c>
      <c r="BY489">
        <f>IF(AND(BB489&gt;=RULE_START,BC489=1,BN489&lt;0),BB489,9999)</f>
        <v>9999</v>
      </c>
      <c r="BZ489">
        <f>IF(AND(BB489&gt;=RULE_START,BC489=1,BO489&lt;0),BB489,9999)</f>
        <v>9999</v>
      </c>
      <c r="CB489" t="n">
        <v>2025</v>
      </c>
      <c r="CC489">
        <f>IF(CB489&lt;=RULE_START+$CB$38-1,1,0)</f>
        <v>1</v>
      </c>
      <c r="CD489" s="15">
        <f>IF(CB489=2024,G_IDX_2024,IF(CB489=2025,G_IDX_2025,IF(CB489=2026,G_IDX_2026,IF(CB489=2027,G_IDX_2027,$CB$13))))</f>
        <v>0.03</v>
      </c>
      <c r="CE489" s="8">
        <f>$CB$20*(1+G_HI)^(CB489-COST_DATE)</f>
        <v>470.2241501940065</v>
      </c>
      <c r="CF489" s="8">
        <f>R_NF_2025</f>
        <v>509.69</v>
      </c>
      <c r="CG489" s="8">
        <f>CF489</f>
        <v>509.69</v>
      </c>
      <c r="CH489" s="8">
        <f>CF489</f>
        <v>509.69</v>
      </c>
      <c r="CI489">
        <f>IF(AND(CB489&gt;=RULE_START,MOD(CB489-RULE_START,REBASE_YEARS)=0),1,0)</f>
        <v>0</v>
      </c>
      <c r="CJ489" s="8">
        <f>R_CAP_2025*(1+GET_RATE)</f>
        <v>24.267006000000002</v>
      </c>
      <c r="CK489" s="8">
        <f>R_CAP_2025*(1+GET_RATE)</f>
        <v>24.267006000000002</v>
      </c>
      <c r="CL489" s="8">
        <f>R_CAP_2025*(1+GET_RATE)</f>
        <v>24.267006000000002</v>
      </c>
      <c r="CM489" s="8">
        <f>CF489-CJ489-CE489</f>
        <v>15.198843805993533</v>
      </c>
      <c r="CN489" s="8">
        <f>CG489-CK489-CE489</f>
        <v>15.198843805993533</v>
      </c>
      <c r="CO489" s="8">
        <f>CH489-CL489-CE489</f>
        <v>15.198843805993533</v>
      </c>
      <c r="CP489" s="8">
        <f>R_NF_2024*(1+G_HI)^(CB489-2024)</f>
        <v>501.18488034379686</v>
      </c>
      <c r="CQ489" s="10">
        <f>1-CF489/CP489</f>
        <v>-0.01697002441567852</v>
      </c>
      <c r="CR489" s="10">
        <f>CPI_2023/(IF(CB489-1=2023,CPI_2023,IF(CB489-1=2024,CPI_2024,IF(CB489-1=2025,CPI_2025,CPI_2025*(1+INFL)^(CB489-1-2025)))))</f>
        <v>0.9581330817144185</v>
      </c>
      <c r="CS489" s="8">
        <f>$CB$21*ABS($CB$11)*(CG489-CF489)/CF489</f>
        <v>0.0</v>
      </c>
      <c r="CT489" s="8">
        <f>$CB$21*ABS($CB$11)*(CH489-CF489)/CF489</f>
        <v>0.0</v>
      </c>
      <c r="CU489" s="13">
        <f>(CG489-CF489)*MCD_NF_DAYS*CR489-CS489*MCD_SHARE_FREED*R_WAIT_2023</f>
        <v>0.0</v>
      </c>
      <c r="CV489" s="13">
        <f>(CH489-CF489)*MCD_NF_DAYS*CR489-CT489*MCD_SHARE_FREED*R_WAIT_2023</f>
        <v>0.0</v>
      </c>
      <c r="CW489" s="10">
        <f>IF(AND(CB489&gt;=RULE_START,CC489=1),1/(1+$CB$12)^(CB489-RULE_START+1),0)</f>
        <v>0</v>
      </c>
      <c r="CX489">
        <f>IF(AND(CB489&gt;=RULE_START,CC489=1,CM489&lt;0),CB489,9999)</f>
        <v>9999</v>
      </c>
      <c r="CY489">
        <f>IF(AND(CB489&gt;=RULE_START,CC489=1,CN489&lt;0),CB489,9999)</f>
        <v>9999</v>
      </c>
      <c r="CZ489">
        <f>IF(AND(CB489&gt;=RULE_START,CC489=1,CO489&lt;0),CB489,9999)</f>
        <v>9999</v>
      </c>
      <c r="DB489" t="n">
        <v>2025</v>
      </c>
      <c r="DC489">
        <f>IF(DB489&lt;=RULE_START+$DB$38-1,1,0)</f>
        <v>1</v>
      </c>
      <c r="DD489" s="15">
        <f>IF(DB489=2024,G_IDX_2024,IF(DB489=2025,G_IDX_2025,IF(DB489=2026,G_IDX_2026,IF(DB489=2027,G_IDX_2027,$DB$13))))</f>
        <v>0.03</v>
      </c>
      <c r="DE489" s="8">
        <f>$DB$20*(1+G_HI)^(DB489-COST_DATE)</f>
        <v>470.2241501940065</v>
      </c>
      <c r="DF489" s="8">
        <f>R_NF_2025</f>
        <v>509.69</v>
      </c>
      <c r="DG489" s="8">
        <f>DF489</f>
        <v>509.69</v>
      </c>
      <c r="DH489" s="8">
        <f>DF489</f>
        <v>509.69</v>
      </c>
      <c r="DI489">
        <f>IF(AND(DB489&gt;=RULE_START,MOD(DB489-RULE_START,REBASE_YEARS)=0),1,0)</f>
        <v>0</v>
      </c>
      <c r="DJ489" s="8">
        <f>R_CAP_2025*(1+GET_RATE)</f>
        <v>24.267006000000002</v>
      </c>
      <c r="DK489" s="8">
        <f>R_CAP_2025*(1+GET_RATE)</f>
        <v>24.267006000000002</v>
      </c>
      <c r="DL489" s="8">
        <f>R_CAP_2025*(1+GET_RATE)</f>
        <v>24.267006000000002</v>
      </c>
      <c r="DM489" s="8">
        <f>DF489-DJ489-DE489</f>
        <v>15.198843805993533</v>
      </c>
      <c r="DN489" s="8">
        <f>DG489-DK489-DE489</f>
        <v>15.198843805993533</v>
      </c>
      <c r="DO489" s="8">
        <f>DH489-DL489-DE489</f>
        <v>15.198843805993533</v>
      </c>
      <c r="DP489" s="8">
        <f>R_NF_2024*(1+G_HI)^(DB489-2024)</f>
        <v>501.18488034379686</v>
      </c>
      <c r="DQ489" s="10">
        <f>1-DF489/DP489</f>
        <v>-0.01697002441567852</v>
      </c>
      <c r="DR489" s="10">
        <f>CPI_2023/(IF(DB489-1=2023,CPI_2023,IF(DB489-1=2024,CPI_2024,IF(DB489-1=2025,CPI_2025,CPI_2025*(1+INFL)^(DB489-1-2025)))))</f>
        <v>0.9581330817144185</v>
      </c>
      <c r="DS489" s="8">
        <f>$DB$21*ABS($DB$11)*(DG489-DF489)/DF489</f>
        <v>0.0</v>
      </c>
      <c r="DT489" s="8">
        <f>$DB$21*ABS($DB$11)*(DH489-DF489)/DF489</f>
        <v>0.0</v>
      </c>
      <c r="DU489" s="13">
        <f>(DG489-DF489)*MCD_NF_DAYS*DR489-DS489*MCD_SHARE_FREED*R_WAIT_2023</f>
        <v>0.0</v>
      </c>
      <c r="DV489" s="13">
        <f>(DH489-DF489)*MCD_NF_DAYS*DR489-DT489*MCD_SHARE_FREED*R_WAIT_2023</f>
        <v>0.0</v>
      </c>
      <c r="DW489" s="10">
        <f>IF(AND(DB489&gt;=RULE_START,DC489=1),1/(1+$DB$12)^(DB489-RULE_START+1),0)</f>
        <v>0</v>
      </c>
      <c r="DX489">
        <f>IF(AND(DB489&gt;=RULE_START,DC489=1,DM489&lt;0),DB489,9999)</f>
        <v>9999</v>
      </c>
      <c r="DY489">
        <f>IF(AND(DB489&gt;=RULE_START,DC489=1,DN489&lt;0),DB489,9999)</f>
        <v>9999</v>
      </c>
      <c r="DZ489">
        <f>IF(AND(DB489&gt;=RULE_START,DC489=1,DO489&lt;0),DB489,9999)</f>
        <v>9999</v>
      </c>
      <c r="EB489" t="n">
        <v>2025</v>
      </c>
      <c r="EC489">
        <f>IF(EB489&lt;=RULE_START+$EB$38-1,1,0)</f>
        <v>1</v>
      </c>
      <c r="ED489" s="15">
        <f>IF(EB489=2024,G_IDX_2024,IF(EB489=2025,G_IDX_2025,IF(EB489=2026,G_IDX_2026,IF(EB489=2027,G_IDX_2027,$EB$13))))</f>
        <v>0.03</v>
      </c>
      <c r="EE489" s="8">
        <f>$EB$20*(1+G_HI)^(EB489-COST_DATE)</f>
        <v>470.2241501940065</v>
      </c>
      <c r="EF489" s="8">
        <f>R_NF_2025</f>
        <v>509.69</v>
      </c>
      <c r="EG489" s="8">
        <f>EF489</f>
        <v>509.69</v>
      </c>
      <c r="EH489" s="8">
        <f>EF489</f>
        <v>509.69</v>
      </c>
      <c r="EI489">
        <f>IF(AND(EB489&gt;=RULE_START,MOD(EB489-RULE_START,REBASE_YEARS)=0),1,0)</f>
        <v>0</v>
      </c>
      <c r="EJ489" s="8">
        <f>R_CAP_2025*(1+GET_RATE)</f>
        <v>24.267006000000002</v>
      </c>
      <c r="EK489" s="8">
        <f>R_CAP_2025*(1+GET_RATE)</f>
        <v>24.267006000000002</v>
      </c>
      <c r="EL489" s="8">
        <f>R_CAP_2025*(1+GET_RATE)</f>
        <v>24.267006000000002</v>
      </c>
      <c r="EM489" s="8">
        <f>EF489-EJ489-EE489</f>
        <v>15.198843805993533</v>
      </c>
      <c r="EN489" s="8">
        <f>EG489-EK489-EE489</f>
        <v>15.198843805993533</v>
      </c>
      <c r="EO489" s="8">
        <f>EH489-EL489-EE489</f>
        <v>15.198843805993533</v>
      </c>
      <c r="EP489" s="8">
        <f>R_NF_2024*(1+G_HI)^(EB489-2024)</f>
        <v>501.18488034379686</v>
      </c>
      <c r="EQ489" s="10">
        <f>1-EF489/EP489</f>
        <v>-0.01697002441567852</v>
      </c>
      <c r="ER489" s="10">
        <f>CPI_2023/(IF(EB489-1=2023,CPI_2023,IF(EB489-1=2024,CPI_2024,IF(EB489-1=2025,CPI_2025,CPI_2025*(1+INFL)^(EB489-1-2025)))))</f>
        <v>0.9581330817144185</v>
      </c>
      <c r="ES489" s="8">
        <f>$EB$21*ABS($EB$11)*(EG489-EF489)/EF489</f>
        <v>0.0</v>
      </c>
      <c r="ET489" s="8">
        <f>$EB$21*ABS($EB$11)*(EH489-EF489)/EF489</f>
        <v>0.0</v>
      </c>
      <c r="EU489" s="13">
        <f>(EG489-EF489)*MCD_NF_DAYS*ER489-ES489*MCD_SHARE_FREED*R_WAIT_2023</f>
        <v>0.0</v>
      </c>
      <c r="EV489" s="13">
        <f>(EH489-EF489)*MCD_NF_DAYS*ER489-ET489*MCD_SHARE_FREED*R_WAIT_2023</f>
        <v>0.0</v>
      </c>
      <c r="EW489" s="10">
        <f>IF(AND(EB489&gt;=RULE_START,EC489=1),1/(1+$EB$12)^(EB489-RULE_START+1),0)</f>
        <v>0</v>
      </c>
      <c r="EX489">
        <f>IF(AND(EB489&gt;=RULE_START,EC489=1,EM489&lt;0),EB489,9999)</f>
        <v>9999</v>
      </c>
      <c r="EY489">
        <f>IF(AND(EB489&gt;=RULE_START,EC489=1,EN489&lt;0),EB489,9999)</f>
        <v>9999</v>
      </c>
      <c r="EZ489">
        <f>IF(AND(EB489&gt;=RULE_START,EC489=1,EO489&lt;0),EB489,9999)</f>
        <v>9999</v>
      </c>
      <c r="FB489" t="n">
        <v>2025</v>
      </c>
      <c r="FC489">
        <f>IF(FB489&lt;=RULE_START+$FB$38-1,1,0)</f>
        <v>1</v>
      </c>
      <c r="FD489" s="15">
        <f>IF(FB489=2024,G_IDX_2024,IF(FB489=2025,G_IDX_2025,IF(FB489=2026,G_IDX_2026,IF(FB489=2027,G_IDX_2027,$FB$13))))</f>
        <v>0.03</v>
      </c>
      <c r="FE489" s="8">
        <f>$FB$20*(1+G_HI)^(FB489-COST_DATE)</f>
        <v>483.9228697180678</v>
      </c>
      <c r="FF489" s="8">
        <f>R_NF_2025</f>
        <v>509.69</v>
      </c>
      <c r="FG489" s="8">
        <f>FF489</f>
        <v>509.69</v>
      </c>
      <c r="FH489" s="8">
        <f>FF489</f>
        <v>509.69</v>
      </c>
      <c r="FI489">
        <f>IF(AND(FB489&gt;=RULE_START,MOD(FB489-RULE_START,REBASE_YEARS)=0),1,0)</f>
        <v>0</v>
      </c>
      <c r="FJ489" s="8">
        <f>R_CAP_2025*(1+GET_RATE)</f>
        <v>24.267006000000002</v>
      </c>
      <c r="FK489" s="8">
        <f>R_CAP_2025*(1+GET_RATE)</f>
        <v>24.267006000000002</v>
      </c>
      <c r="FL489" s="8">
        <f>R_CAP_2025*(1+GET_RATE)</f>
        <v>24.267006000000002</v>
      </c>
      <c r="FM489" s="8">
        <f>FF489-FJ489-FE489</f>
        <v>1.5001242819322442</v>
      </c>
      <c r="FN489" s="8">
        <f>FG489-FK489-FE489</f>
        <v>1.5001242819322442</v>
      </c>
      <c r="FO489" s="8">
        <f>FH489-FL489-FE489</f>
        <v>1.5001242819322442</v>
      </c>
      <c r="FP489" s="8">
        <f>R_NF_2024*(1+G_HI)^(FB489-2024)</f>
        <v>501.18488034379686</v>
      </c>
      <c r="FQ489" s="10">
        <f>1-FF489/FP489</f>
        <v>-0.01697002441567852</v>
      </c>
      <c r="FR489" s="10">
        <f>CPI_2023/(IF(FB489-1=2023,CPI_2023,IF(FB489-1=2024,CPI_2024,IF(FB489-1=2025,CPI_2025,CPI_2025*(1+INFL)^(FB489-1-2025)))))</f>
        <v>0.9581330817144185</v>
      </c>
      <c r="FS489" s="8">
        <f>$FB$21*ABS($FB$11)*(FG489-FF489)/FF489</f>
        <v>0.0</v>
      </c>
      <c r="FT489" s="8">
        <f>$FB$21*ABS($FB$11)*(FH489-FF489)/FF489</f>
        <v>0.0</v>
      </c>
      <c r="FU489" s="13">
        <f>(FG489-FF489)*MCD_NF_DAYS*FR489-FS489*MCD_SHARE_FREED*R_WAIT_2023</f>
        <v>0.0</v>
      </c>
      <c r="FV489" s="13">
        <f>(FH489-FF489)*MCD_NF_DAYS*FR489-FT489*MCD_SHARE_FREED*R_WAIT_2023</f>
        <v>0.0</v>
      </c>
      <c r="FW489" s="10">
        <f>IF(AND(FB489&gt;=RULE_START,FC489=1),1/(1+$FB$12)^(FB489-RULE_START+1),0)</f>
        <v>0</v>
      </c>
      <c r="FX489">
        <f>IF(AND(FB489&gt;=RULE_START,FC489=1,FM489&lt;0),FB489,9999)</f>
        <v>9999</v>
      </c>
      <c r="FY489">
        <f>IF(AND(FB489&gt;=RULE_START,FC489=1,FN489&lt;0),FB489,9999)</f>
        <v>9999</v>
      </c>
      <c r="FZ489">
        <f>IF(AND(FB489&gt;=RULE_START,FC489=1,FO489&lt;0),FB489,9999)</f>
        <v>9999</v>
      </c>
      <c r="GB489" t="n">
        <v>2025</v>
      </c>
      <c r="GC489">
        <f>IF(GB489&lt;=RULE_START+$GB$38-1,1,0)</f>
        <v>1</v>
      </c>
      <c r="GD489" s="15">
        <f>IF(GB489=2024,G_IDX_2024,IF(GB489=2025,G_IDX_2025,IF(GB489=2026,G_IDX_2026,IF(GB489=2027,G_IDX_2027,$GB$13))))</f>
        <v>0.03</v>
      </c>
      <c r="GE489" s="8">
        <f>$GB$20*(1+G_HI)^(GB489-COST_DATE)</f>
        <v>470.2241501940065</v>
      </c>
      <c r="GF489" s="8">
        <f>R_NF_2025</f>
        <v>509.69</v>
      </c>
      <c r="GG489" s="8">
        <f>GF489</f>
        <v>509.69</v>
      </c>
      <c r="GH489" s="8">
        <f>GF489</f>
        <v>509.69</v>
      </c>
      <c r="GI489">
        <f>IF(AND(GB489&gt;=RULE_START,MOD(GB489-RULE_START,REBASE_YEARS)=0),1,0)</f>
        <v>0</v>
      </c>
      <c r="GJ489" s="8">
        <f>R_CAP_2025*(1+GET_RATE)</f>
        <v>24.267006000000002</v>
      </c>
      <c r="GK489" s="8">
        <f>R_CAP_2025*(1+GET_RATE)</f>
        <v>24.267006000000002</v>
      </c>
      <c r="GL489" s="8">
        <f>R_CAP_2025*(1+GET_RATE)</f>
        <v>24.267006000000002</v>
      </c>
      <c r="GM489" s="8">
        <f>GF489-GJ489-GE489</f>
        <v>15.198843805993533</v>
      </c>
      <c r="GN489" s="8">
        <f>GG489-GK489-GE489</f>
        <v>15.198843805993533</v>
      </c>
      <c r="GO489" s="8">
        <f>GH489-GL489-GE489</f>
        <v>15.198843805993533</v>
      </c>
      <c r="GP489" s="8">
        <f>R_NF_2024*(1+G_HI)^(GB489-2024)</f>
        <v>501.18488034379686</v>
      </c>
      <c r="GQ489" s="10">
        <f>1-GF489/GP489</f>
        <v>-0.01697002441567852</v>
      </c>
      <c r="GR489" s="10">
        <f>CPI_2023/(IF(GB489-1=2023,CPI_2023,IF(GB489-1=2024,CPI_2024,IF(GB489-1=2025,CPI_2025,CPI_2025*(1+INFL)^(GB489-1-2025)))))</f>
        <v>0.9581330817144185</v>
      </c>
      <c r="GS489" s="8">
        <f>$GB$21*ABS($GB$11)*(GG489-GF489)/GF489</f>
        <v>0.0</v>
      </c>
      <c r="GT489" s="8">
        <f>$GB$21*ABS($GB$11)*(GH489-GF489)/GF489</f>
        <v>0.0</v>
      </c>
      <c r="GU489" s="13">
        <f>(GG489-GF489)*MCD_NF_DAYS*GR489-GS489*MCD_SHARE_FREED*R_WAIT_2023</f>
        <v>0.0</v>
      </c>
      <c r="GV489" s="13">
        <f>(GH489-GF489)*MCD_NF_DAYS*GR489-GT489*MCD_SHARE_FREED*R_WAIT_2023</f>
        <v>0.0</v>
      </c>
      <c r="GW489" s="10">
        <f>IF(AND(GB489&gt;=RULE_START,GC489=1),1/(1+$GB$12)^(GB489-RULE_START+1),0)</f>
        <v>0</v>
      </c>
      <c r="GX489">
        <f>IF(AND(GB489&gt;=RULE_START,GC489=1,GM489&lt;0),GB489,9999)</f>
        <v>9999</v>
      </c>
      <c r="GY489">
        <f>IF(AND(GB489&gt;=RULE_START,GC489=1,GN489&lt;0),GB489,9999)</f>
        <v>9999</v>
      </c>
      <c r="GZ489">
        <f>IF(AND(GB489&gt;=RULE_START,GC489=1,GO489&lt;0),GB489,9999)</f>
        <v>9999</v>
      </c>
      <c r="HB489" t="n">
        <v>2025</v>
      </c>
      <c r="HC489">
        <f>IF(HB489&lt;=RULE_START+$HB$38-1,1,0)</f>
        <v>1</v>
      </c>
      <c r="HD489" s="15">
        <f>IF(HB489=2024,G_IDX_2024,IF(HB489=2025,G_IDX_2025,IF(HB489=2026,G_IDX_2026,IF(HB489=2027,G_IDX_2027,$HB$13))))</f>
        <v>0.03</v>
      </c>
      <c r="HE489" s="8">
        <f>$HB$20*(1+G_HI)^(HB489-COST_DATE)</f>
        <v>470.2241501940065</v>
      </c>
      <c r="HF489" s="8">
        <f>R_NF_2025</f>
        <v>509.69</v>
      </c>
      <c r="HG489" s="8">
        <f>HF489</f>
        <v>509.69</v>
      </c>
      <c r="HH489" s="8">
        <f>HF489</f>
        <v>509.69</v>
      </c>
      <c r="HI489">
        <f>IF(AND(HB489&gt;=RULE_START,MOD(HB489-RULE_START,REBASE_YEARS)=0),1,0)</f>
        <v>0</v>
      </c>
      <c r="HJ489" s="8">
        <f>R_CAP_2025*(1+GET_RATE)</f>
        <v>24.267006000000002</v>
      </c>
      <c r="HK489" s="8">
        <f>R_CAP_2025*(1+GET_RATE)</f>
        <v>24.267006000000002</v>
      </c>
      <c r="HL489" s="8">
        <f>R_CAP_2025*(1+GET_RATE)</f>
        <v>24.267006000000002</v>
      </c>
      <c r="HM489" s="8">
        <f>HF489-HJ489-HE489</f>
        <v>15.198843805993533</v>
      </c>
      <c r="HN489" s="8">
        <f>HG489-HK489-HE489</f>
        <v>15.198843805993533</v>
      </c>
      <c r="HO489" s="8">
        <f>HH489-HL489-HE489</f>
        <v>15.198843805993533</v>
      </c>
      <c r="HP489" s="8">
        <f>R_NF_2024*(1+G_HI)^(HB489-2024)</f>
        <v>501.18488034379686</v>
      </c>
      <c r="HQ489" s="10">
        <f>1-HF489/HP489</f>
        <v>-0.01697002441567852</v>
      </c>
      <c r="HR489" s="10">
        <f>CPI_2023/(IF(HB489-1=2023,CPI_2023,IF(HB489-1=2024,CPI_2024,IF(HB489-1=2025,CPI_2025,CPI_2025*(1+INFL)^(HB489-1-2025)))))</f>
        <v>0.9581330817144185</v>
      </c>
      <c r="HS489" s="8">
        <f>$HB$21*ABS($HB$11)*(HG489-HF489)/HF489</f>
        <v>0.0</v>
      </c>
      <c r="HT489" s="8">
        <f>$HB$21*ABS($HB$11)*(HH489-HF489)/HF489</f>
        <v>0.0</v>
      </c>
      <c r="HU489" s="13">
        <f>(HG489-HF489)*MCD_NF_DAYS*HR489-HS489*MCD_SHARE_FREED*R_WAIT_2023</f>
        <v>0.0</v>
      </c>
      <c r="HV489" s="13">
        <f>(HH489-HF489)*MCD_NF_DAYS*HR489-HT489*MCD_SHARE_FREED*R_WAIT_2023</f>
        <v>0.0</v>
      </c>
      <c r="HW489" s="10">
        <f>IF(AND(HB489&gt;=RULE_START,HC489=1),1/(1+$HB$12)^(HB489-RULE_START+1),0)</f>
        <v>0</v>
      </c>
      <c r="HX489">
        <f>IF(AND(HB489&gt;=RULE_START,HC489=1,HM489&lt;0),HB489,9999)</f>
        <v>9999</v>
      </c>
      <c r="HY489">
        <f>IF(AND(HB489&gt;=RULE_START,HC489=1,HN489&lt;0),HB489,9999)</f>
        <v>9999</v>
      </c>
      <c r="HZ489">
        <f>IF(AND(HB489&gt;=RULE_START,HC489=1,HO489&lt;0),HB489,9999)</f>
        <v>9999</v>
      </c>
      <c r="IB489" t="n">
        <v>2025</v>
      </c>
      <c r="IC489">
        <f>IF(IB489&lt;=RULE_START+$IB$38-1,1,0)</f>
        <v>1</v>
      </c>
      <c r="ID489" s="15">
        <f>IF(IB489=2024,G_IDX_2024,IF(IB489=2025,G_IDX_2025,IF(IB489=2026,G_IDX_2026,IF(IB489=2027,G_IDX_2027,$IB$13))))</f>
        <v>0.03</v>
      </c>
      <c r="IE489" s="8">
        <f>$IB$20*(1+G_HI)^(IB489-COST_DATE)</f>
        <v>470.2241501940065</v>
      </c>
      <c r="IF489" s="8">
        <f>R_NF_2025</f>
        <v>509.69</v>
      </c>
      <c r="IG489" s="8">
        <f>IF489</f>
        <v>509.69</v>
      </c>
      <c r="IH489" s="8">
        <f>IF489</f>
        <v>509.69</v>
      </c>
      <c r="II489">
        <f>IF(AND(IB489&gt;=RULE_START,MOD(IB489-RULE_START,REBASE_YEARS)=0),1,0)</f>
        <v>0</v>
      </c>
      <c r="IJ489" s="8">
        <f>R_CAP_2025*(1+GET_RATE)</f>
        <v>24.267006000000002</v>
      </c>
      <c r="IK489" s="8">
        <f>R_CAP_2025*(1+GET_RATE)</f>
        <v>24.267006000000002</v>
      </c>
      <c r="IL489" s="8">
        <f>R_CAP_2025*(1+GET_RATE)</f>
        <v>24.267006000000002</v>
      </c>
      <c r="IM489" s="8">
        <f>IF489-IJ489-IE489</f>
        <v>15.198843805993533</v>
      </c>
      <c r="IN489" s="8">
        <f>IG489-IK489-IE489</f>
        <v>15.198843805993533</v>
      </c>
      <c r="IO489" s="8">
        <f>IH489-IL489-IE489</f>
        <v>15.198843805993533</v>
      </c>
      <c r="IP489" s="8">
        <f>R_NF_2024*(1+G_HI)^(IB489-2024)</f>
        <v>501.18488034379686</v>
      </c>
      <c r="IQ489" s="10">
        <f>1-IF489/IP489</f>
        <v>-0.01697002441567852</v>
      </c>
      <c r="IR489" s="10">
        <f>CPI_2023/(IF(IB489-1=2023,CPI_2023,IF(IB489-1=2024,CPI_2024,IF(IB489-1=2025,CPI_2025,CPI_2025*(1+INFL)^(IB489-1-2025)))))</f>
        <v>0.9581330817144185</v>
      </c>
      <c r="IS489" s="8">
        <f>$IB$21*ABS($IB$11)*(IG489-IF489)/IF489</f>
        <v>0.0</v>
      </c>
      <c r="IT489" s="8">
        <f>$IB$21*ABS($IB$11)*(IH489-IF489)/IF489</f>
        <v>0.0</v>
      </c>
      <c r="IU489" s="13">
        <f>(IG489-IF489)*MCD_NF_DAYS*IR489-IS489*MCD_SHARE_FREED*R_WAIT_2023</f>
        <v>0.0</v>
      </c>
      <c r="IV489" s="13">
        <f>(IH489-IF489)*MCD_NF_DAYS*IR489-IT489*MCD_SHARE_FREED*R_WAIT_2023</f>
        <v>0.0</v>
      </c>
      <c r="IW489" s="10">
        <f>IF(AND(IB489&gt;=RULE_START,IC489=1),1/(1+$IB$12)^(IB489-RULE_START+1),0)</f>
        <v>0</v>
      </c>
      <c r="IX489">
        <f>IF(AND(IB489&gt;=RULE_START,IC489=1,IM489&lt;0),IB489,9999)</f>
        <v>9999</v>
      </c>
      <c r="IY489">
        <f>IF(AND(IB489&gt;=RULE_START,IC489=1,IN489&lt;0),IB489,9999)</f>
        <v>9999</v>
      </c>
      <c r="IZ489">
        <f>IF(AND(IB489&gt;=RULE_START,IC489=1,IO489&lt;0),IB489,9999)</f>
        <v>9999</v>
      </c>
      <c r="JB489" t="n">
        <v>2025</v>
      </c>
      <c r="JC489">
        <f>IF(JB489&lt;=RULE_START+$JB$38-1,1,0)</f>
        <v>1</v>
      </c>
      <c r="JD489" s="15">
        <f>IF(JB489=2024,G_IDX_2024,IF(JB489=2025,G_IDX_2025,IF(JB489=2026,G_IDX_2026,IF(JB489=2027,G_IDX_2027,$JB$13))))</f>
        <v>0.03</v>
      </c>
      <c r="JE489" s="8">
        <f>$JB$20*(1+G_HI)^(JB489-COST_DATE)</f>
        <v>470.2241501940065</v>
      </c>
      <c r="JF489" s="8">
        <f>R_NF_2025</f>
        <v>509.69</v>
      </c>
      <c r="JG489" s="8">
        <f>JF489</f>
        <v>509.69</v>
      </c>
      <c r="JH489" s="8">
        <f>JF489</f>
        <v>509.69</v>
      </c>
      <c r="JI489">
        <f>IF(AND(JB489&gt;=RULE_START,MOD(JB489-RULE_START,REBASE_YEARS)=0),1,0)</f>
        <v>0</v>
      </c>
      <c r="JJ489" s="8">
        <f>R_CAP_2025*(1+GET_RATE)</f>
        <v>24.267006000000002</v>
      </c>
      <c r="JK489" s="8">
        <f>R_CAP_2025*(1+GET_RATE)</f>
        <v>24.267006000000002</v>
      </c>
      <c r="JL489" s="8">
        <f>R_CAP_2025*(1+GET_RATE)</f>
        <v>24.267006000000002</v>
      </c>
      <c r="JM489" s="8">
        <f>JF489-JJ489-JE489</f>
        <v>15.198843805993533</v>
      </c>
      <c r="JN489" s="8">
        <f>JG489-JK489-JE489</f>
        <v>15.198843805993533</v>
      </c>
      <c r="JO489" s="8">
        <f>JH489-JL489-JE489</f>
        <v>15.198843805993533</v>
      </c>
      <c r="JP489" s="8">
        <f>R_NF_2024*(1+G_HI)^(JB489-2024)</f>
        <v>501.18488034379686</v>
      </c>
      <c r="JQ489" s="10">
        <f>1-JF489/JP489</f>
        <v>-0.01697002441567852</v>
      </c>
      <c r="JR489" s="10">
        <f>CPI_2023/(IF(JB489-1=2023,CPI_2023,IF(JB489-1=2024,CPI_2024,IF(JB489-1=2025,CPI_2025,CPI_2025*(1+INFL)^(JB489-1-2025)))))</f>
        <v>0.9581330817144185</v>
      </c>
      <c r="JS489" s="8">
        <f>$JB$21*ABS($JB$11)*(JG489-JF489)/JF489</f>
        <v>0.0</v>
      </c>
      <c r="JT489" s="8">
        <f>$JB$21*ABS($JB$11)*(JH489-JF489)/JF489</f>
        <v>0.0</v>
      </c>
      <c r="JU489" s="13">
        <f>(JG489-JF489)*MCD_NF_DAYS*JR489-JS489*MCD_SHARE_FREED*R_WAIT_2023</f>
        <v>0.0</v>
      </c>
      <c r="JV489" s="13">
        <f>(JH489-JF489)*MCD_NF_DAYS*JR489-JT489*MCD_SHARE_FREED*R_WAIT_2023</f>
        <v>0.0</v>
      </c>
      <c r="JW489" s="10">
        <f>IF(AND(JB489&gt;=RULE_START,JC489=1),1/(1+$JB$12)^(JB489-RULE_START+1),0)</f>
        <v>0</v>
      </c>
      <c r="JX489">
        <f>IF(AND(JB489&gt;=RULE_START,JC489=1,JM489&lt;0),JB489,9999)</f>
        <v>9999</v>
      </c>
      <c r="JY489">
        <f>IF(AND(JB489&gt;=RULE_START,JC489=1,JN489&lt;0),JB489,9999)</f>
        <v>9999</v>
      </c>
      <c r="JZ489">
        <f>IF(AND(JB489&gt;=RULE_START,JC489=1,JO489&lt;0),JB489,9999)</f>
        <v>9999</v>
      </c>
      <c r="KB489" t="n">
        <v>2025</v>
      </c>
      <c r="KC489">
        <f>IF(KB489&lt;=RULE_START+$KB$38-1,1,0)</f>
        <v>1</v>
      </c>
      <c r="KD489" s="15">
        <f>IF(KB489=2024,G_IDX_2024,IF(KB489=2025,G_IDX_2025,IF(KB489=2026,G_IDX_2026,IF(KB489=2027,G_IDX_2027,$KB$13))))</f>
        <v>0.03</v>
      </c>
      <c r="KE489" s="8">
        <f>$KB$20*(1+G_HI)^(KB489-COST_DATE)</f>
        <v>470.2241501940065</v>
      </c>
      <c r="KF489" s="8">
        <f>R_NF_2025</f>
        <v>509.69</v>
      </c>
      <c r="KG489" s="8">
        <f>KF489</f>
        <v>509.69</v>
      </c>
      <c r="KH489" s="8">
        <f>KF489</f>
        <v>509.69</v>
      </c>
      <c r="KI489">
        <f>IF(AND(KB489&gt;=RULE_START,MOD(KB489-RULE_START,REBASE_YEARS)=0),1,0)</f>
        <v>0</v>
      </c>
      <c r="KJ489" s="8">
        <f>R_CAP_2025*(1+GET_RATE)</f>
        <v>24.267006000000002</v>
      </c>
      <c r="KK489" s="8">
        <f>R_CAP_2025*(1+GET_RATE)</f>
        <v>24.267006000000002</v>
      </c>
      <c r="KL489" s="8">
        <f>R_CAP_2025*(1+GET_RATE)</f>
        <v>24.267006000000002</v>
      </c>
      <c r="KM489" s="8">
        <f>KF489-KJ489-KE489</f>
        <v>15.198843805993533</v>
      </c>
      <c r="KN489" s="8">
        <f>KG489-KK489-KE489</f>
        <v>15.198843805993533</v>
      </c>
      <c r="KO489" s="8">
        <f>KH489-KL489-KE489</f>
        <v>15.198843805993533</v>
      </c>
      <c r="KP489" s="8">
        <f>R_NF_2024*(1+G_HI)^(KB489-2024)</f>
        <v>501.18488034379686</v>
      </c>
      <c r="KQ489" s="10">
        <f>1-KF489/KP489</f>
        <v>-0.01697002441567852</v>
      </c>
      <c r="KR489" s="10">
        <f>CPI_2023/(IF(KB489-1=2023,CPI_2023,IF(KB489-1=2024,CPI_2024,IF(KB489-1=2025,CPI_2025,CPI_2025*(1+INFL)^(KB489-1-2025)))))</f>
        <v>0.9581330817144185</v>
      </c>
      <c r="KS489" s="8">
        <f>$KB$21*ABS($KB$11)*(KG489-KF489)/KF489</f>
        <v>0.0</v>
      </c>
      <c r="KT489" s="8">
        <f>$KB$21*ABS($KB$11)*(KH489-KF489)/KF489</f>
        <v>0.0</v>
      </c>
      <c r="KU489" s="13">
        <f>(KG489-KF489)*MCD_NF_DAYS*KR489-KS489*MCD_SHARE_FREED*R_WAIT_2023</f>
        <v>0.0</v>
      </c>
      <c r="KV489" s="13">
        <f>(KH489-KF489)*MCD_NF_DAYS*KR489-KT489*MCD_SHARE_FREED*R_WAIT_2023</f>
        <v>0.0</v>
      </c>
      <c r="KW489" s="10">
        <f>IF(AND(KB489&gt;=RULE_START,KC489=1),1/(1+$KB$12)^(KB489-RULE_START+1),0)</f>
        <v>0</v>
      </c>
      <c r="KX489">
        <f>IF(AND(KB489&gt;=RULE_START,KC489=1,KM489&lt;0),KB489,9999)</f>
        <v>9999</v>
      </c>
      <c r="KY489">
        <f>IF(AND(KB489&gt;=RULE_START,KC489=1,KN489&lt;0),KB489,9999)</f>
        <v>9999</v>
      </c>
      <c r="KZ489">
        <f>IF(AND(KB489&gt;=RULE_START,KC489=1,KO489&lt;0),KB489,9999)</f>
        <v>9999</v>
      </c>
      <c r="LB489" t="n">
        <v>2025</v>
      </c>
      <c r="LC489">
        <f>IF(LB489&lt;=RULE_START+$LB$38-1,1,0)</f>
        <v>1</v>
      </c>
      <c r="LD489" s="15">
        <f>IF(LB489=2024,G_IDX_2024,IF(LB489=2025,G_IDX_2025,IF(LB489=2026,G_IDX_2026,IF(LB489=2027,G_IDX_2027,$LB$13))))</f>
        <v>0.03</v>
      </c>
      <c r="LE489" s="8">
        <f>$LB$20*(1+G_HI)^(LB489-COST_DATE)</f>
        <v>470.2241501940065</v>
      </c>
      <c r="LF489" s="8">
        <f>R_NF_2025</f>
        <v>509.69</v>
      </c>
      <c r="LG489" s="8">
        <f>LF489</f>
        <v>509.69</v>
      </c>
      <c r="LH489" s="8">
        <f>LF489</f>
        <v>509.69</v>
      </c>
      <c r="LI489">
        <f>IF(AND(LB489&gt;=RULE_START,MOD(LB489-RULE_START,REBASE_YEARS)=0),1,0)</f>
        <v>0</v>
      </c>
      <c r="LJ489" s="8">
        <f>R_CAP_2025*(1+GET_RATE)</f>
        <v>24.267006000000002</v>
      </c>
      <c r="LK489" s="8">
        <f>R_CAP_2025*(1+GET_RATE)</f>
        <v>24.267006000000002</v>
      </c>
      <c r="LL489" s="8">
        <f>R_CAP_2025*(1+GET_RATE)</f>
        <v>24.267006000000002</v>
      </c>
      <c r="LM489" s="8">
        <f>LF489-LJ489-LE489</f>
        <v>15.198843805993533</v>
      </c>
      <c r="LN489" s="8">
        <f>LG489-LK489-LE489</f>
        <v>15.198843805993533</v>
      </c>
      <c r="LO489" s="8">
        <f>LH489-LL489-LE489</f>
        <v>15.198843805993533</v>
      </c>
      <c r="LP489" s="8">
        <f>R_NF_2024*(1+G_HI)^(LB489-2024)</f>
        <v>501.18488034379686</v>
      </c>
      <c r="LQ489" s="10">
        <f>1-LF489/LP489</f>
        <v>-0.01697002441567852</v>
      </c>
      <c r="LR489" s="10">
        <f>CPI_2023/(IF(LB489-1=2023,CPI_2023,IF(LB489-1=2024,CPI_2024,IF(LB489-1=2025,CPI_2025,CPI_2025*(1+INFL)^(LB489-1-2025)))))</f>
        <v>0.9581330817144185</v>
      </c>
      <c r="LS489" s="8">
        <f>$LB$21*ABS($LB$11)*(LG489-LF489)/LF489</f>
        <v>0.0</v>
      </c>
      <c r="LT489" s="8">
        <f>$LB$21*ABS($LB$11)*(LH489-LF489)/LF489</f>
        <v>0.0</v>
      </c>
      <c r="LU489" s="13">
        <f>(LG489-LF489)*MCD_NF_DAYS*LR489-LS489*MCD_SHARE_FREED*R_WAIT_2023</f>
        <v>0.0</v>
      </c>
      <c r="LV489" s="13">
        <f>(LH489-LF489)*MCD_NF_DAYS*LR489-LT489*MCD_SHARE_FREED*R_WAIT_2023</f>
        <v>0.0</v>
      </c>
      <c r="LW489" s="10">
        <f>IF(AND(LB489&gt;=RULE_START,LC489=1),1/(1+$LB$12)^(LB489-RULE_START+1),0)</f>
        <v>0</v>
      </c>
      <c r="LX489">
        <f>IF(AND(LB489&gt;=RULE_START,LC489=1,LM489&lt;0),LB489,9999)</f>
        <v>9999</v>
      </c>
      <c r="LY489">
        <f>IF(AND(LB489&gt;=RULE_START,LC489=1,LN489&lt;0),LB489,9999)</f>
        <v>9999</v>
      </c>
      <c r="LZ489">
        <f>IF(AND(LB489&gt;=RULE_START,LC489=1,LO489&lt;0),LB489,9999)</f>
        <v>9999</v>
      </c>
      <c r="MB489" t="n">
        <v>2025</v>
      </c>
      <c r="MC489">
        <f>IF(MB489&lt;=RULE_START+$MB$38-1,1,0)</f>
        <v>1</v>
      </c>
      <c r="MD489" s="15">
        <f>IF(MB489=2024,G_IDX_2024,IF(MB489=2025,G_IDX_2025,IF(MB489=2026,G_IDX_2026,IF(MB489=2027,G_IDX_2027,$MB$13))))</f>
        <v>0.03</v>
      </c>
      <c r="ME489" s="8">
        <f>$MB$20*(1+G_HI)^(MB489-COST_DATE)</f>
        <v>470.2241501940065</v>
      </c>
      <c r="MF489" s="8">
        <f>R_NF_2025</f>
        <v>509.69</v>
      </c>
      <c r="MG489" s="8">
        <f>MF489</f>
        <v>509.69</v>
      </c>
      <c r="MH489" s="8">
        <f>MF489</f>
        <v>509.69</v>
      </c>
      <c r="MI489">
        <f>IF(AND(MB489&gt;=RULE_START,MOD(MB489-RULE_START,REBASE_YEARS)=0),1,0)</f>
        <v>0</v>
      </c>
      <c r="MJ489" s="8">
        <f>R_CAP_2025*(1+GET_RATE)</f>
        <v>24.267006000000002</v>
      </c>
      <c r="MK489" s="8">
        <f>R_CAP_2025*(1+GET_RATE)</f>
        <v>24.267006000000002</v>
      </c>
      <c r="ML489" s="8">
        <f>R_CAP_2025*(1+GET_RATE)</f>
        <v>24.267006000000002</v>
      </c>
      <c r="MM489" s="8">
        <f>MF489-MJ489-ME489</f>
        <v>15.198843805993533</v>
      </c>
      <c r="MN489" s="8">
        <f>MG489-MK489-ME489</f>
        <v>15.198843805993533</v>
      </c>
      <c r="MO489" s="8">
        <f>MH489-ML489-ME489</f>
        <v>15.198843805993533</v>
      </c>
      <c r="MP489" s="8">
        <f>R_NF_2024*(1+G_HI)^(MB489-2024)</f>
        <v>501.18488034379686</v>
      </c>
      <c r="MQ489" s="10">
        <f>1-MF489/MP489</f>
        <v>-0.01697002441567852</v>
      </c>
      <c r="MR489" s="10">
        <f>CPI_2023/(IF(MB489-1=2023,CPI_2023,IF(MB489-1=2024,CPI_2024,IF(MB489-1=2025,CPI_2025,CPI_2025*(1+INFL)^(MB489-1-2025)))))</f>
        <v>0.9581330817144185</v>
      </c>
      <c r="MS489" s="8">
        <f>$MB$21*ABS($MB$11)*(MG489-MF489)/MF489</f>
        <v>0.0</v>
      </c>
      <c r="MT489" s="8">
        <f>$MB$21*ABS($MB$11)*(MH489-MF489)/MF489</f>
        <v>0.0</v>
      </c>
      <c r="MU489" s="13">
        <f>(MG489-MF489)*MCD_NF_DAYS*MR489-MS489*MCD_SHARE_FREED*R_WAIT_2023</f>
        <v>0.0</v>
      </c>
      <c r="MV489" s="13">
        <f>(MH489-MF489)*MCD_NF_DAYS*MR489-MT489*MCD_SHARE_FREED*R_WAIT_2023</f>
        <v>0.0</v>
      </c>
      <c r="MW489" s="10">
        <f>IF(AND(MB489&gt;=RULE_START,MC489=1),1/(1+$MB$12)^(MB489-RULE_START+1),0)</f>
        <v>0</v>
      </c>
      <c r="MX489">
        <f>IF(AND(MB489&gt;=RULE_START,MC489=1,MM489&lt;0),MB489,9999)</f>
        <v>9999</v>
      </c>
      <c r="MY489">
        <f>IF(AND(MB489&gt;=RULE_START,MC489=1,MN489&lt;0),MB489,9999)</f>
        <v>9999</v>
      </c>
      <c r="MZ489">
        <f>IF(AND(MB489&gt;=RULE_START,MC489=1,MO489&lt;0),MB489,9999)</f>
        <v>9999</v>
      </c>
      <c r="NB489" t="n">
        <v>2025</v>
      </c>
      <c r="NC489">
        <f>IF(NB489&lt;=RULE_START+$NB$38-1,1,0)</f>
        <v>1</v>
      </c>
      <c r="ND489" s="15">
        <f>IF(NB489=2024,G_IDX_2024,IF(NB489=2025,G_IDX_2025,IF(NB489=2026,G_IDX_2026,IF(NB489=2027,G_IDX_2027,$NB$13))))</f>
        <v>0.03</v>
      </c>
      <c r="NE489" s="8">
        <f>$NB$20*(1+G_HI)^(NB489-COST_DATE)</f>
        <v>470.2241501940065</v>
      </c>
      <c r="NF489" s="8">
        <f>R_NF_2025</f>
        <v>509.69</v>
      </c>
      <c r="NG489" s="8">
        <f>NF489</f>
        <v>509.69</v>
      </c>
      <c r="NH489" s="8">
        <f>NF489</f>
        <v>509.69</v>
      </c>
      <c r="NI489">
        <f>IF(AND(NB489&gt;=RULE_START,MOD(NB489-RULE_START,REBASE_YEARS)=0),1,0)</f>
        <v>0</v>
      </c>
      <c r="NJ489" s="8">
        <f>R_CAP_2025*(1+GET_RATE)</f>
        <v>24.267006000000002</v>
      </c>
      <c r="NK489" s="8">
        <f>R_CAP_2025*(1+GET_RATE)</f>
        <v>24.267006000000002</v>
      </c>
      <c r="NL489" s="8">
        <f>R_CAP_2025*(1+GET_RATE)</f>
        <v>24.267006000000002</v>
      </c>
      <c r="NM489" s="8">
        <f>NF489-NJ489-NE489</f>
        <v>15.198843805993533</v>
      </c>
      <c r="NN489" s="8">
        <f>NG489-NK489-NE489</f>
        <v>15.198843805993533</v>
      </c>
      <c r="NO489" s="8">
        <f>NH489-NL489-NE489</f>
        <v>15.198843805993533</v>
      </c>
      <c r="NP489" s="8">
        <f>R_NF_2024*(1+G_HI)^(NB489-2024)</f>
        <v>501.18488034379686</v>
      </c>
      <c r="NQ489" s="10">
        <f>1-NF489/NP489</f>
        <v>-0.01697002441567852</v>
      </c>
      <c r="NR489" s="10">
        <f>CPI_2023/(IF(NB489-1=2023,CPI_2023,IF(NB489-1=2024,CPI_2024,IF(NB489-1=2025,CPI_2025,CPI_2025*(1+INFL)^(NB489-1-2025)))))</f>
        <v>0.9581330817144185</v>
      </c>
      <c r="NS489" s="8">
        <f>$NB$21*ABS($NB$11)*(NG489-NF489)/NF489</f>
        <v>0.0</v>
      </c>
      <c r="NT489" s="8">
        <f>$NB$21*ABS($NB$11)*(NH489-NF489)/NF489</f>
        <v>0.0</v>
      </c>
      <c r="NU489" s="13">
        <f>(NG489-NF489)*MCD_NF_DAYS*NR489-NS489*MCD_SHARE_FREED*R_WAIT_2023</f>
        <v>0.0</v>
      </c>
      <c r="NV489" s="13">
        <f>(NH489-NF489)*MCD_NF_DAYS*NR489-NT489*MCD_SHARE_FREED*R_WAIT_2023</f>
        <v>0.0</v>
      </c>
      <c r="NW489" s="10">
        <f>IF(AND(NB489&gt;=RULE_START,NC489=1),1/(1+$NB$12)^(NB489-RULE_START+1),0)</f>
        <v>0</v>
      </c>
      <c r="NX489">
        <f>IF(AND(NB489&gt;=RULE_START,NC489=1,NM489&lt;0),NB489,9999)</f>
        <v>9999</v>
      </c>
      <c r="NY489">
        <f>IF(AND(NB489&gt;=RULE_START,NC489=1,NN489&lt;0),NB489,9999)</f>
        <v>9999</v>
      </c>
      <c r="NZ489">
        <f>IF(AND(NB489&gt;=RULE_START,NC489=1,NO489&lt;0),NB489,9999)</f>
        <v>9999</v>
      </c>
      <c r="OB489" t="n">
        <v>2025</v>
      </c>
      <c r="OC489">
        <f>IF(OB489&lt;=RULE_START+$OB$38-1,1,0)</f>
        <v>1</v>
      </c>
      <c r="OD489" s="15">
        <f>IF(OB489=2024,G_IDX_2024,IF(OB489=2025,G_IDX_2025,IF(OB489=2026,G_IDX_2026,IF(OB489=2027,G_IDX_2027,$OB$13))))</f>
        <v>0.03</v>
      </c>
      <c r="OE489" s="8">
        <f>$OB$20*(1+G_HI)^(OB489-COST_DATE)</f>
        <v>470.2241501940065</v>
      </c>
      <c r="OF489" s="8">
        <f>R_NF_2025</f>
        <v>509.69</v>
      </c>
      <c r="OG489" s="8">
        <f>OF489</f>
        <v>509.69</v>
      </c>
      <c r="OH489" s="8">
        <f>OF489</f>
        <v>509.69</v>
      </c>
      <c r="OI489">
        <f>IF(AND(OB489&gt;=RULE_START,MOD(OB489-RULE_START,REBASE_YEARS)=0),1,0)</f>
        <v>0</v>
      </c>
      <c r="OJ489" s="8">
        <f>R_CAP_2025*(1+GET_RATE)</f>
        <v>24.267006000000002</v>
      </c>
      <c r="OK489" s="8">
        <f>R_CAP_2025*(1+GET_RATE)</f>
        <v>24.267006000000002</v>
      </c>
      <c r="OL489" s="8">
        <f>R_CAP_2025*(1+GET_RATE)</f>
        <v>24.267006000000002</v>
      </c>
      <c r="OM489" s="8">
        <f>OF489-OJ489-OE489</f>
        <v>15.198843805993533</v>
      </c>
      <c r="ON489" s="8">
        <f>OG489-OK489-OE489</f>
        <v>15.198843805993533</v>
      </c>
      <c r="OO489" s="8">
        <f>OH489-OL489-OE489</f>
        <v>15.198843805993533</v>
      </c>
      <c r="OP489" s="8">
        <f>R_NF_2024*(1+G_HI)^(OB489-2024)</f>
        <v>501.18488034379686</v>
      </c>
      <c r="OQ489" s="10">
        <f>1-OF489/OP489</f>
        <v>-0.01697002441567852</v>
      </c>
      <c r="OR489" s="10">
        <f>CPI_2023/(IF(OB489-1=2023,CPI_2023,IF(OB489-1=2024,CPI_2024,IF(OB489-1=2025,CPI_2025,CPI_2025*(1+INFL)^(OB489-1-2025)))))</f>
        <v>0.9581330817144185</v>
      </c>
      <c r="OS489" s="8">
        <f>$OB$21*ABS($OB$11)*(OG489-OF489)/OF489</f>
        <v>0.0</v>
      </c>
      <c r="OT489" s="8">
        <f>$OB$21*ABS($OB$11)*(OH489-OF489)/OF489</f>
        <v>0.0</v>
      </c>
      <c r="OU489" s="13">
        <f>(OG489-OF489)*MCD_NF_DAYS*OR489-OS489*MCD_SHARE_FREED*R_WAIT_2023</f>
        <v>0.0</v>
      </c>
      <c r="OV489" s="13">
        <f>(OH489-OF489)*MCD_NF_DAYS*OR489-OT489*MCD_SHARE_FREED*R_WAIT_2023</f>
        <v>0.0</v>
      </c>
      <c r="OW489" s="10">
        <f>IF(AND(OB489&gt;=RULE_START,OC489=1),1/(1+$OB$12)^(OB489-RULE_START+1),0)</f>
        <v>0</v>
      </c>
      <c r="OX489">
        <f>IF(AND(OB489&gt;=RULE_START,OC489=1,OM489&lt;0),OB489,9999)</f>
        <v>9999</v>
      </c>
      <c r="OY489">
        <f>IF(AND(OB489&gt;=RULE_START,OC489=1,ON489&lt;0),OB489,9999)</f>
        <v>9999</v>
      </c>
      <c r="OZ489">
        <f>IF(AND(OB489&gt;=RULE_START,OC489=1,OO489&lt;0),OB489,9999)</f>
        <v>9999</v>
      </c>
    </row>
    <row r="490">
      <c r="B490" t="n">
        <v>2026</v>
      </c>
      <c r="C490">
        <f>IF(B490&lt;=RULE_START+$B$38-1,1,0)</f>
        <v>1</v>
      </c>
      <c r="D490" s="15">
        <f>IF(B490=2024,G_IDX_2024,IF(B490=2025,G_IDX_2025,IF(B490=2026,G_IDX_2026,IF(B490=2027,G_IDX_2027,$B$13))))</f>
        <v>0.033</v>
      </c>
      <c r="E490" s="8">
        <f>$B$20*(1+G_HI)^(B490-COST_DATE)</f>
        <v>489.1128291093264</v>
      </c>
      <c r="F490" s="8">
        <f>R_NF_2026</f>
        <v>495.25</v>
      </c>
      <c r="G490" s="8">
        <f>F490</f>
        <v>495.25</v>
      </c>
      <c r="H490" s="8">
        <f>F490</f>
        <v>495.25</v>
      </c>
      <c r="I490">
        <f>IF(AND(B490&gt;=RULE_START,MOD(B490-RULE_START,REBASE_YEARS)=0),1,0)</f>
        <v>0</v>
      </c>
      <c r="J490" s="8">
        <f>R_CAP_2026*(1+GET_RATE)</f>
        <v>25.067817198</v>
      </c>
      <c r="K490" s="8">
        <f>R_CAP_2026*(1+GET_RATE)</f>
        <v>25.067817198</v>
      </c>
      <c r="L490" s="8">
        <f>R_CAP_2026*(1+GET_RATE)</f>
        <v>25.067817198</v>
      </c>
      <c r="M490" s="8">
        <f>F490-J490-E490</f>
        <v>-18.930646307326413</v>
      </c>
      <c r="N490" s="8">
        <f>G490-K490-E490</f>
        <v>-18.930646307326413</v>
      </c>
      <c r="O490" s="8">
        <f>H490-L490-E490</f>
        <v>-18.930646307326413</v>
      </c>
      <c r="P490" s="8">
        <f>R_NF_2024*(1+G_HI)^(B490-2024)</f>
        <v>521.317236961638</v>
      </c>
      <c r="Q490" s="10">
        <f>1-F490/P490</f>
        <v>0.0500026377672913</v>
      </c>
      <c r="R490" s="10">
        <f>CPI_2023/(IF(B490-1=2023,CPI_2023,IF(B490-1=2024,CPI_2024,IF(B490-1=2025,CPI_2025,CPI_2025*(1+INFL)^(B490-1-2025)))))</f>
        <v>0.9341744000091711</v>
      </c>
      <c r="S490" s="8">
        <f>$B$21*ABS($B$11)*(G490-F490)/F490</f>
        <v>0.0</v>
      </c>
      <c r="T490" s="8">
        <f>$B$21*ABS($B$11)*(H490-F490)/F490</f>
        <v>0.0</v>
      </c>
      <c r="U490" s="13">
        <f>(G490-F490)*MCD_NF_DAYS*R490-S490*MCD_SHARE_FREED*R_WAIT_2023</f>
        <v>0.0</v>
      </c>
      <c r="V490" s="13">
        <f>(H490-F490)*MCD_NF_DAYS*R490-T490*MCD_SHARE_FREED*R_WAIT_2023</f>
        <v>0.0</v>
      </c>
      <c r="W490" s="10">
        <f>IF(AND(B490&gt;=RULE_START,C490=1),1/(1+$B$12)^(B490-RULE_START+1),0)</f>
        <v>0</v>
      </c>
      <c r="X490">
        <f>IF(AND(B490&gt;=RULE_START,C490=1,M490&lt;0),B490,9999)</f>
        <v>9999</v>
      </c>
      <c r="Y490">
        <f>IF(AND(B490&gt;=RULE_START,C490=1,N490&lt;0),B490,9999)</f>
        <v>9999</v>
      </c>
      <c r="Z490">
        <f>IF(AND(B490&gt;=RULE_START,C490=1,O490&lt;0),B490,9999)</f>
        <v>9999</v>
      </c>
      <c r="AB490" t="n">
        <v>2026</v>
      </c>
      <c r="AC490">
        <f>IF(AB490&lt;=RULE_START+$AB$38-1,1,0)</f>
        <v>1</v>
      </c>
      <c r="AD490" s="15">
        <f>IF(AB490=2024,G_IDX_2024,IF(AB490=2025,G_IDX_2025,IF(AB490=2026,G_IDX_2026,IF(AB490=2027,G_IDX_2027,$AB$13))))</f>
        <v>0.033</v>
      </c>
      <c r="AE490" s="8">
        <f>$AB$20*(1+G_HI)^(AB490-COST_DATE)</f>
        <v>489.1128291093264</v>
      </c>
      <c r="AF490" s="8">
        <f>R_NF_2026</f>
        <v>495.25</v>
      </c>
      <c r="AG490" s="8">
        <f>AF490</f>
        <v>495.25</v>
      </c>
      <c r="AH490" s="8">
        <f>AF490</f>
        <v>495.25</v>
      </c>
      <c r="AI490">
        <f>IF(AND(AB490&gt;=RULE_START,MOD(AB490-RULE_START,REBASE_YEARS)=0),1,0)</f>
        <v>0</v>
      </c>
      <c r="AJ490" s="8">
        <f>R_CAP_2026*(1+GET_RATE)</f>
        <v>25.067817198</v>
      </c>
      <c r="AK490" s="8">
        <f>R_CAP_2026*(1+GET_RATE)</f>
        <v>25.067817198</v>
      </c>
      <c r="AL490" s="8">
        <f>R_CAP_2026*(1+GET_RATE)</f>
        <v>25.067817198</v>
      </c>
      <c r="AM490" s="8">
        <f>AF490-AJ490-AE490</f>
        <v>-18.930646307326413</v>
      </c>
      <c r="AN490" s="8">
        <f>AG490-AK490-AE490</f>
        <v>-18.930646307326413</v>
      </c>
      <c r="AO490" s="8">
        <f>AH490-AL490-AE490</f>
        <v>-18.930646307326413</v>
      </c>
      <c r="AP490" s="8">
        <f>R_NF_2024*(1+G_HI)^(AB490-2024)</f>
        <v>521.317236961638</v>
      </c>
      <c r="AQ490" s="10">
        <f>1-AF490/AP490</f>
        <v>0.0500026377672913</v>
      </c>
      <c r="AR490" s="10">
        <f>CPI_2023/(IF(AB490-1=2023,CPI_2023,IF(AB490-1=2024,CPI_2024,IF(AB490-1=2025,CPI_2025,CPI_2025*(1+INFL)^(AB490-1-2025)))))</f>
        <v>0.9341744000091711</v>
      </c>
      <c r="AS490" s="8">
        <f>$AB$21*ABS($AB$11)*(AG490-AF490)/AF490</f>
        <v>0.0</v>
      </c>
      <c r="AT490" s="8">
        <f>$AB$21*ABS($AB$11)*(AH490-AF490)/AF490</f>
        <v>0.0</v>
      </c>
      <c r="AU490" s="13">
        <f>(AG490-AF490)*MCD_NF_DAYS*AR490-AS490*MCD_SHARE_FREED*R_WAIT_2023</f>
        <v>0.0</v>
      </c>
      <c r="AV490" s="13">
        <f>(AH490-AF490)*MCD_NF_DAYS*AR490-AT490*MCD_SHARE_FREED*R_WAIT_2023</f>
        <v>0.0</v>
      </c>
      <c r="AW490" s="10">
        <f>IF(AND(AB490&gt;=RULE_START,AC490=1),1/(1+$AB$12)^(AB490-RULE_START+1),0)</f>
        <v>0</v>
      </c>
      <c r="AX490">
        <f>IF(AND(AB490&gt;=RULE_START,AC490=1,AM490&lt;0),AB490,9999)</f>
        <v>9999</v>
      </c>
      <c r="AY490">
        <f>IF(AND(AB490&gt;=RULE_START,AC490=1,AN490&lt;0),AB490,9999)</f>
        <v>9999</v>
      </c>
      <c r="AZ490">
        <f>IF(AND(AB490&gt;=RULE_START,AC490=1,AO490&lt;0),AB490,9999)</f>
        <v>9999</v>
      </c>
      <c r="BB490" t="n">
        <v>2026</v>
      </c>
      <c r="BC490">
        <f>IF(BB490&lt;=RULE_START+$BB$38-1,1,0)</f>
        <v>1</v>
      </c>
      <c r="BD490" s="15">
        <f>IF(BB490=2024,G_IDX_2024,IF(BB490=2025,G_IDX_2025,IF(BB490=2026,G_IDX_2026,IF(BB490=2027,G_IDX_2027,$BB$13))))</f>
        <v>0.033</v>
      </c>
      <c r="BE490" s="8">
        <f>$BB$20*(1+G_HI)^(BB490-COST_DATE)</f>
        <v>489.1128291093264</v>
      </c>
      <c r="BF490" s="8">
        <f>R_NF_2026</f>
        <v>495.25</v>
      </c>
      <c r="BG490" s="8">
        <f>BF490</f>
        <v>495.25</v>
      </c>
      <c r="BH490" s="8">
        <f>BF490</f>
        <v>495.25</v>
      </c>
      <c r="BI490">
        <f>IF(AND(BB490&gt;=RULE_START,MOD(BB490-RULE_START,REBASE_YEARS)=0),1,0)</f>
        <v>0</v>
      </c>
      <c r="BJ490" s="8">
        <f>R_CAP_2026*(1+GET_RATE)</f>
        <v>25.067817198</v>
      </c>
      <c r="BK490" s="8">
        <f>R_CAP_2026*(1+GET_RATE)</f>
        <v>25.067817198</v>
      </c>
      <c r="BL490" s="8">
        <f>R_CAP_2026*(1+GET_RATE)</f>
        <v>25.067817198</v>
      </c>
      <c r="BM490" s="8">
        <f>BF490-BJ490-BE490</f>
        <v>-18.930646307326413</v>
      </c>
      <c r="BN490" s="8">
        <f>BG490-BK490-BE490</f>
        <v>-18.930646307326413</v>
      </c>
      <c r="BO490" s="8">
        <f>BH490-BL490-BE490</f>
        <v>-18.930646307326413</v>
      </c>
      <c r="BP490" s="8">
        <f>R_NF_2024*(1+G_HI)^(BB490-2024)</f>
        <v>521.317236961638</v>
      </c>
      <c r="BQ490" s="10">
        <f>1-BF490/BP490</f>
        <v>0.0500026377672913</v>
      </c>
      <c r="BR490" s="10">
        <f>CPI_2023/(IF(BB490-1=2023,CPI_2023,IF(BB490-1=2024,CPI_2024,IF(BB490-1=2025,CPI_2025,CPI_2025*(1+INFL)^(BB490-1-2025)))))</f>
        <v>0.9341744000091711</v>
      </c>
      <c r="BS490" s="8">
        <f>$BB$21*ABS($BB$11)*(BG490-BF490)/BF490</f>
        <v>0.0</v>
      </c>
      <c r="BT490" s="8">
        <f>$BB$21*ABS($BB$11)*(BH490-BF490)/BF490</f>
        <v>0.0</v>
      </c>
      <c r="BU490" s="13">
        <f>(BG490-BF490)*MCD_NF_DAYS*BR490-BS490*MCD_SHARE_FREED*R_WAIT_2023</f>
        <v>0.0</v>
      </c>
      <c r="BV490" s="13">
        <f>(BH490-BF490)*MCD_NF_DAYS*BR490-BT490*MCD_SHARE_FREED*R_WAIT_2023</f>
        <v>0.0</v>
      </c>
      <c r="BW490" s="10">
        <f>IF(AND(BB490&gt;=RULE_START,BC490=1),1/(1+$BB$12)^(BB490-RULE_START+1),0)</f>
        <v>0</v>
      </c>
      <c r="BX490">
        <f>IF(AND(BB490&gt;=RULE_START,BC490=1,BM490&lt;0),BB490,9999)</f>
        <v>9999</v>
      </c>
      <c r="BY490">
        <f>IF(AND(BB490&gt;=RULE_START,BC490=1,BN490&lt;0),BB490,9999)</f>
        <v>9999</v>
      </c>
      <c r="BZ490">
        <f>IF(AND(BB490&gt;=RULE_START,BC490=1,BO490&lt;0),BB490,9999)</f>
        <v>9999</v>
      </c>
      <c r="CB490" t="n">
        <v>2026</v>
      </c>
      <c r="CC490">
        <f>IF(CB490&lt;=RULE_START+$CB$38-1,1,0)</f>
        <v>1</v>
      </c>
      <c r="CD490" s="15">
        <f>IF(CB490=2024,G_IDX_2024,IF(CB490=2025,G_IDX_2025,IF(CB490=2026,G_IDX_2026,IF(CB490=2027,G_IDX_2027,$CB$13))))</f>
        <v>0.033</v>
      </c>
      <c r="CE490" s="8">
        <f>$CB$20*(1+G_HI)^(CB490-COST_DATE)</f>
        <v>489.1128291093264</v>
      </c>
      <c r="CF490" s="8">
        <f>R_NF_2026</f>
        <v>495.25</v>
      </c>
      <c r="CG490" s="8">
        <f>CF490</f>
        <v>495.25</v>
      </c>
      <c r="CH490" s="8">
        <f>CF490</f>
        <v>495.25</v>
      </c>
      <c r="CI490">
        <f>IF(AND(CB490&gt;=RULE_START,MOD(CB490-RULE_START,REBASE_YEARS)=0),1,0)</f>
        <v>0</v>
      </c>
      <c r="CJ490" s="8">
        <f>R_CAP_2026*(1+GET_RATE)</f>
        <v>25.067817198</v>
      </c>
      <c r="CK490" s="8">
        <f>R_CAP_2026*(1+GET_RATE)</f>
        <v>25.067817198</v>
      </c>
      <c r="CL490" s="8">
        <f>R_CAP_2026*(1+GET_RATE)</f>
        <v>25.067817198</v>
      </c>
      <c r="CM490" s="8">
        <f>CF490-CJ490-CE490</f>
        <v>-18.930646307326413</v>
      </c>
      <c r="CN490" s="8">
        <f>CG490-CK490-CE490</f>
        <v>-18.930646307326413</v>
      </c>
      <c r="CO490" s="8">
        <f>CH490-CL490-CE490</f>
        <v>-18.930646307326413</v>
      </c>
      <c r="CP490" s="8">
        <f>R_NF_2024*(1+G_HI)^(CB490-2024)</f>
        <v>521.317236961638</v>
      </c>
      <c r="CQ490" s="10">
        <f>1-CF490/CP490</f>
        <v>0.0500026377672913</v>
      </c>
      <c r="CR490" s="10">
        <f>CPI_2023/(IF(CB490-1=2023,CPI_2023,IF(CB490-1=2024,CPI_2024,IF(CB490-1=2025,CPI_2025,CPI_2025*(1+INFL)^(CB490-1-2025)))))</f>
        <v>0.9341744000091711</v>
      </c>
      <c r="CS490" s="8">
        <f>$CB$21*ABS($CB$11)*(CG490-CF490)/CF490</f>
        <v>0.0</v>
      </c>
      <c r="CT490" s="8">
        <f>$CB$21*ABS($CB$11)*(CH490-CF490)/CF490</f>
        <v>0.0</v>
      </c>
      <c r="CU490" s="13">
        <f>(CG490-CF490)*MCD_NF_DAYS*CR490-CS490*MCD_SHARE_FREED*R_WAIT_2023</f>
        <v>0.0</v>
      </c>
      <c r="CV490" s="13">
        <f>(CH490-CF490)*MCD_NF_DAYS*CR490-CT490*MCD_SHARE_FREED*R_WAIT_2023</f>
        <v>0.0</v>
      </c>
      <c r="CW490" s="10">
        <f>IF(AND(CB490&gt;=RULE_START,CC490=1),1/(1+$CB$12)^(CB490-RULE_START+1),0)</f>
        <v>0</v>
      </c>
      <c r="CX490">
        <f>IF(AND(CB490&gt;=RULE_START,CC490=1,CM490&lt;0),CB490,9999)</f>
        <v>9999</v>
      </c>
      <c r="CY490">
        <f>IF(AND(CB490&gt;=RULE_START,CC490=1,CN490&lt;0),CB490,9999)</f>
        <v>9999</v>
      </c>
      <c r="CZ490">
        <f>IF(AND(CB490&gt;=RULE_START,CC490=1,CO490&lt;0),CB490,9999)</f>
        <v>9999</v>
      </c>
      <c r="DB490" t="n">
        <v>2026</v>
      </c>
      <c r="DC490">
        <f>IF(DB490&lt;=RULE_START+$DB$38-1,1,0)</f>
        <v>1</v>
      </c>
      <c r="DD490" s="15">
        <f>IF(DB490=2024,G_IDX_2024,IF(DB490=2025,G_IDX_2025,IF(DB490=2026,G_IDX_2026,IF(DB490=2027,G_IDX_2027,$DB$13))))</f>
        <v>0.033</v>
      </c>
      <c r="DE490" s="8">
        <f>$DB$20*(1+G_HI)^(DB490-COST_DATE)</f>
        <v>489.1128291093264</v>
      </c>
      <c r="DF490" s="8">
        <f>R_NF_2026</f>
        <v>495.25</v>
      </c>
      <c r="DG490" s="8">
        <f>DF490</f>
        <v>495.25</v>
      </c>
      <c r="DH490" s="8">
        <f>DF490</f>
        <v>495.25</v>
      </c>
      <c r="DI490">
        <f>IF(AND(DB490&gt;=RULE_START,MOD(DB490-RULE_START,REBASE_YEARS)=0),1,0)</f>
        <v>0</v>
      </c>
      <c r="DJ490" s="8">
        <f>R_CAP_2026*(1+GET_RATE)</f>
        <v>25.067817198</v>
      </c>
      <c r="DK490" s="8">
        <f>R_CAP_2026*(1+GET_RATE)</f>
        <v>25.067817198</v>
      </c>
      <c r="DL490" s="8">
        <f>R_CAP_2026*(1+GET_RATE)</f>
        <v>25.067817198</v>
      </c>
      <c r="DM490" s="8">
        <f>DF490-DJ490-DE490</f>
        <v>-18.930646307326413</v>
      </c>
      <c r="DN490" s="8">
        <f>DG490-DK490-DE490</f>
        <v>-18.930646307326413</v>
      </c>
      <c r="DO490" s="8">
        <f>DH490-DL490-DE490</f>
        <v>-18.930646307326413</v>
      </c>
      <c r="DP490" s="8">
        <f>R_NF_2024*(1+G_HI)^(DB490-2024)</f>
        <v>521.317236961638</v>
      </c>
      <c r="DQ490" s="10">
        <f>1-DF490/DP490</f>
        <v>0.0500026377672913</v>
      </c>
      <c r="DR490" s="10">
        <f>CPI_2023/(IF(DB490-1=2023,CPI_2023,IF(DB490-1=2024,CPI_2024,IF(DB490-1=2025,CPI_2025,CPI_2025*(1+INFL)^(DB490-1-2025)))))</f>
        <v>0.9341744000091711</v>
      </c>
      <c r="DS490" s="8">
        <f>$DB$21*ABS($DB$11)*(DG490-DF490)/DF490</f>
        <v>0.0</v>
      </c>
      <c r="DT490" s="8">
        <f>$DB$21*ABS($DB$11)*(DH490-DF490)/DF490</f>
        <v>0.0</v>
      </c>
      <c r="DU490" s="13">
        <f>(DG490-DF490)*MCD_NF_DAYS*DR490-DS490*MCD_SHARE_FREED*R_WAIT_2023</f>
        <v>0.0</v>
      </c>
      <c r="DV490" s="13">
        <f>(DH490-DF490)*MCD_NF_DAYS*DR490-DT490*MCD_SHARE_FREED*R_WAIT_2023</f>
        <v>0.0</v>
      </c>
      <c r="DW490" s="10">
        <f>IF(AND(DB490&gt;=RULE_START,DC490=1),1/(1+$DB$12)^(DB490-RULE_START+1),0)</f>
        <v>0</v>
      </c>
      <c r="DX490">
        <f>IF(AND(DB490&gt;=RULE_START,DC490=1,DM490&lt;0),DB490,9999)</f>
        <v>9999</v>
      </c>
      <c r="DY490">
        <f>IF(AND(DB490&gt;=RULE_START,DC490=1,DN490&lt;0),DB490,9999)</f>
        <v>9999</v>
      </c>
      <c r="DZ490">
        <f>IF(AND(DB490&gt;=RULE_START,DC490=1,DO490&lt;0),DB490,9999)</f>
        <v>9999</v>
      </c>
      <c r="EB490" t="n">
        <v>2026</v>
      </c>
      <c r="EC490">
        <f>IF(EB490&lt;=RULE_START+$EB$38-1,1,0)</f>
        <v>1</v>
      </c>
      <c r="ED490" s="15">
        <f>IF(EB490=2024,G_IDX_2024,IF(EB490=2025,G_IDX_2025,IF(EB490=2026,G_IDX_2026,IF(EB490=2027,G_IDX_2027,$EB$13))))</f>
        <v>0.033</v>
      </c>
      <c r="EE490" s="8">
        <f>$EB$20*(1+G_HI)^(EB490-COST_DATE)</f>
        <v>489.1128291093264</v>
      </c>
      <c r="EF490" s="8">
        <f>R_NF_2026</f>
        <v>495.25</v>
      </c>
      <c r="EG490" s="8">
        <f>EF490</f>
        <v>495.25</v>
      </c>
      <c r="EH490" s="8">
        <f>EF490</f>
        <v>495.25</v>
      </c>
      <c r="EI490">
        <f>IF(AND(EB490&gt;=RULE_START,MOD(EB490-RULE_START,REBASE_YEARS)=0),1,0)</f>
        <v>0</v>
      </c>
      <c r="EJ490" s="8">
        <f>R_CAP_2026*(1+GET_RATE)</f>
        <v>25.067817198</v>
      </c>
      <c r="EK490" s="8">
        <f>R_CAP_2026*(1+GET_RATE)</f>
        <v>25.067817198</v>
      </c>
      <c r="EL490" s="8">
        <f>R_CAP_2026*(1+GET_RATE)</f>
        <v>25.067817198</v>
      </c>
      <c r="EM490" s="8">
        <f>EF490-EJ490-EE490</f>
        <v>-18.930646307326413</v>
      </c>
      <c r="EN490" s="8">
        <f>EG490-EK490-EE490</f>
        <v>-18.930646307326413</v>
      </c>
      <c r="EO490" s="8">
        <f>EH490-EL490-EE490</f>
        <v>-18.930646307326413</v>
      </c>
      <c r="EP490" s="8">
        <f>R_NF_2024*(1+G_HI)^(EB490-2024)</f>
        <v>521.317236961638</v>
      </c>
      <c r="EQ490" s="10">
        <f>1-EF490/EP490</f>
        <v>0.0500026377672913</v>
      </c>
      <c r="ER490" s="10">
        <f>CPI_2023/(IF(EB490-1=2023,CPI_2023,IF(EB490-1=2024,CPI_2024,IF(EB490-1=2025,CPI_2025,CPI_2025*(1+INFL)^(EB490-1-2025)))))</f>
        <v>0.9341744000091711</v>
      </c>
      <c r="ES490" s="8">
        <f>$EB$21*ABS($EB$11)*(EG490-EF490)/EF490</f>
        <v>0.0</v>
      </c>
      <c r="ET490" s="8">
        <f>$EB$21*ABS($EB$11)*(EH490-EF490)/EF490</f>
        <v>0.0</v>
      </c>
      <c r="EU490" s="13">
        <f>(EG490-EF490)*MCD_NF_DAYS*ER490-ES490*MCD_SHARE_FREED*R_WAIT_2023</f>
        <v>0.0</v>
      </c>
      <c r="EV490" s="13">
        <f>(EH490-EF490)*MCD_NF_DAYS*ER490-ET490*MCD_SHARE_FREED*R_WAIT_2023</f>
        <v>0.0</v>
      </c>
      <c r="EW490" s="10">
        <f>IF(AND(EB490&gt;=RULE_START,EC490=1),1/(1+$EB$12)^(EB490-RULE_START+1),0)</f>
        <v>0</v>
      </c>
      <c r="EX490">
        <f>IF(AND(EB490&gt;=RULE_START,EC490=1,EM490&lt;0),EB490,9999)</f>
        <v>9999</v>
      </c>
      <c r="EY490">
        <f>IF(AND(EB490&gt;=RULE_START,EC490=1,EN490&lt;0),EB490,9999)</f>
        <v>9999</v>
      </c>
      <c r="EZ490">
        <f>IF(AND(EB490&gt;=RULE_START,EC490=1,EO490&lt;0),EB490,9999)</f>
        <v>9999</v>
      </c>
      <c r="FB490" t="n">
        <v>2026</v>
      </c>
      <c r="FC490">
        <f>IF(FB490&lt;=RULE_START+$FB$38-1,1,0)</f>
        <v>1</v>
      </c>
      <c r="FD490" s="15">
        <f>IF(FB490=2024,G_IDX_2024,IF(FB490=2025,G_IDX_2025,IF(FB490=2026,G_IDX_2026,IF(FB490=2027,G_IDX_2027,$FB$13))))</f>
        <v>0.033</v>
      </c>
      <c r="FE490" s="8">
        <f>$FB$20*(1+G_HI)^(FB490-COST_DATE)</f>
        <v>503.3618196361303</v>
      </c>
      <c r="FF490" s="8">
        <f>R_NF_2026</f>
        <v>495.25</v>
      </c>
      <c r="FG490" s="8">
        <f>FF490</f>
        <v>495.25</v>
      </c>
      <c r="FH490" s="8">
        <f>FF490</f>
        <v>495.25</v>
      </c>
      <c r="FI490">
        <f>IF(AND(FB490&gt;=RULE_START,MOD(FB490-RULE_START,REBASE_YEARS)=0),1,0)</f>
        <v>0</v>
      </c>
      <c r="FJ490" s="8">
        <f>R_CAP_2026*(1+GET_RATE)</f>
        <v>25.067817198</v>
      </c>
      <c r="FK490" s="8">
        <f>R_CAP_2026*(1+GET_RATE)</f>
        <v>25.067817198</v>
      </c>
      <c r="FL490" s="8">
        <f>R_CAP_2026*(1+GET_RATE)</f>
        <v>25.067817198</v>
      </c>
      <c r="FM490" s="8">
        <f>FF490-FJ490-FE490</f>
        <v>-33.17963683413029</v>
      </c>
      <c r="FN490" s="8">
        <f>FG490-FK490-FE490</f>
        <v>-33.17963683413029</v>
      </c>
      <c r="FO490" s="8">
        <f>FH490-FL490-FE490</f>
        <v>-33.17963683413029</v>
      </c>
      <c r="FP490" s="8">
        <f>R_NF_2024*(1+G_HI)^(FB490-2024)</f>
        <v>521.317236961638</v>
      </c>
      <c r="FQ490" s="10">
        <f>1-FF490/FP490</f>
        <v>0.0500026377672913</v>
      </c>
      <c r="FR490" s="10">
        <f>CPI_2023/(IF(FB490-1=2023,CPI_2023,IF(FB490-1=2024,CPI_2024,IF(FB490-1=2025,CPI_2025,CPI_2025*(1+INFL)^(FB490-1-2025)))))</f>
        <v>0.9341744000091711</v>
      </c>
      <c r="FS490" s="8">
        <f>$FB$21*ABS($FB$11)*(FG490-FF490)/FF490</f>
        <v>0.0</v>
      </c>
      <c r="FT490" s="8">
        <f>$FB$21*ABS($FB$11)*(FH490-FF490)/FF490</f>
        <v>0.0</v>
      </c>
      <c r="FU490" s="13">
        <f>(FG490-FF490)*MCD_NF_DAYS*FR490-FS490*MCD_SHARE_FREED*R_WAIT_2023</f>
        <v>0.0</v>
      </c>
      <c r="FV490" s="13">
        <f>(FH490-FF490)*MCD_NF_DAYS*FR490-FT490*MCD_SHARE_FREED*R_WAIT_2023</f>
        <v>0.0</v>
      </c>
      <c r="FW490" s="10">
        <f>IF(AND(FB490&gt;=RULE_START,FC490=1),1/(1+$FB$12)^(FB490-RULE_START+1),0)</f>
        <v>0</v>
      </c>
      <c r="FX490">
        <f>IF(AND(FB490&gt;=RULE_START,FC490=1,FM490&lt;0),FB490,9999)</f>
        <v>9999</v>
      </c>
      <c r="FY490">
        <f>IF(AND(FB490&gt;=RULE_START,FC490=1,FN490&lt;0),FB490,9999)</f>
        <v>9999</v>
      </c>
      <c r="FZ490">
        <f>IF(AND(FB490&gt;=RULE_START,FC490=1,FO490&lt;0),FB490,9999)</f>
        <v>9999</v>
      </c>
      <c r="GB490" t="n">
        <v>2026</v>
      </c>
      <c r="GC490">
        <f>IF(GB490&lt;=RULE_START+$GB$38-1,1,0)</f>
        <v>1</v>
      </c>
      <c r="GD490" s="15">
        <f>IF(GB490=2024,G_IDX_2024,IF(GB490=2025,G_IDX_2025,IF(GB490=2026,G_IDX_2026,IF(GB490=2027,G_IDX_2027,$GB$13))))</f>
        <v>0.033</v>
      </c>
      <c r="GE490" s="8">
        <f>$GB$20*(1+G_HI)^(GB490-COST_DATE)</f>
        <v>489.1128291093264</v>
      </c>
      <c r="GF490" s="8">
        <f>R_NF_2026</f>
        <v>495.25</v>
      </c>
      <c r="GG490" s="8">
        <f>GF490</f>
        <v>495.25</v>
      </c>
      <c r="GH490" s="8">
        <f>GF490</f>
        <v>495.25</v>
      </c>
      <c r="GI490">
        <f>IF(AND(GB490&gt;=RULE_START,MOD(GB490-RULE_START,REBASE_YEARS)=0),1,0)</f>
        <v>0</v>
      </c>
      <c r="GJ490" s="8">
        <f>R_CAP_2026*(1+GET_RATE)</f>
        <v>25.067817198</v>
      </c>
      <c r="GK490" s="8">
        <f>R_CAP_2026*(1+GET_RATE)</f>
        <v>25.067817198</v>
      </c>
      <c r="GL490" s="8">
        <f>R_CAP_2026*(1+GET_RATE)</f>
        <v>25.067817198</v>
      </c>
      <c r="GM490" s="8">
        <f>GF490-GJ490-GE490</f>
        <v>-18.930646307326413</v>
      </c>
      <c r="GN490" s="8">
        <f>GG490-GK490-GE490</f>
        <v>-18.930646307326413</v>
      </c>
      <c r="GO490" s="8">
        <f>GH490-GL490-GE490</f>
        <v>-18.930646307326413</v>
      </c>
      <c r="GP490" s="8">
        <f>R_NF_2024*(1+G_HI)^(GB490-2024)</f>
        <v>521.317236961638</v>
      </c>
      <c r="GQ490" s="10">
        <f>1-GF490/GP490</f>
        <v>0.0500026377672913</v>
      </c>
      <c r="GR490" s="10">
        <f>CPI_2023/(IF(GB490-1=2023,CPI_2023,IF(GB490-1=2024,CPI_2024,IF(GB490-1=2025,CPI_2025,CPI_2025*(1+INFL)^(GB490-1-2025)))))</f>
        <v>0.9341744000091711</v>
      </c>
      <c r="GS490" s="8">
        <f>$GB$21*ABS($GB$11)*(GG490-GF490)/GF490</f>
        <v>0.0</v>
      </c>
      <c r="GT490" s="8">
        <f>$GB$21*ABS($GB$11)*(GH490-GF490)/GF490</f>
        <v>0.0</v>
      </c>
      <c r="GU490" s="13">
        <f>(GG490-GF490)*MCD_NF_DAYS*GR490-GS490*MCD_SHARE_FREED*R_WAIT_2023</f>
        <v>0.0</v>
      </c>
      <c r="GV490" s="13">
        <f>(GH490-GF490)*MCD_NF_DAYS*GR490-GT490*MCD_SHARE_FREED*R_WAIT_2023</f>
        <v>0.0</v>
      </c>
      <c r="GW490" s="10">
        <f>IF(AND(GB490&gt;=RULE_START,GC490=1),1/(1+$GB$12)^(GB490-RULE_START+1),0)</f>
        <v>0</v>
      </c>
      <c r="GX490">
        <f>IF(AND(GB490&gt;=RULE_START,GC490=1,GM490&lt;0),GB490,9999)</f>
        <v>9999</v>
      </c>
      <c r="GY490">
        <f>IF(AND(GB490&gt;=RULE_START,GC490=1,GN490&lt;0),GB490,9999)</f>
        <v>9999</v>
      </c>
      <c r="GZ490">
        <f>IF(AND(GB490&gt;=RULE_START,GC490=1,GO490&lt;0),GB490,9999)</f>
        <v>9999</v>
      </c>
      <c r="HB490" t="n">
        <v>2026</v>
      </c>
      <c r="HC490">
        <f>IF(HB490&lt;=RULE_START+$HB$38-1,1,0)</f>
        <v>1</v>
      </c>
      <c r="HD490" s="15">
        <f>IF(HB490=2024,G_IDX_2024,IF(HB490=2025,G_IDX_2025,IF(HB490=2026,G_IDX_2026,IF(HB490=2027,G_IDX_2027,$HB$13))))</f>
        <v>0.033</v>
      </c>
      <c r="HE490" s="8">
        <f>$HB$20*(1+G_HI)^(HB490-COST_DATE)</f>
        <v>489.1128291093264</v>
      </c>
      <c r="HF490" s="8">
        <f>R_NF_2026</f>
        <v>495.25</v>
      </c>
      <c r="HG490" s="8">
        <f>HF490</f>
        <v>495.25</v>
      </c>
      <c r="HH490" s="8">
        <f>HF490</f>
        <v>495.25</v>
      </c>
      <c r="HI490">
        <f>IF(AND(HB490&gt;=RULE_START,MOD(HB490-RULE_START,REBASE_YEARS)=0),1,0)</f>
        <v>0</v>
      </c>
      <c r="HJ490" s="8">
        <f>R_CAP_2026*(1+GET_RATE)</f>
        <v>25.067817198</v>
      </c>
      <c r="HK490" s="8">
        <f>R_CAP_2026*(1+GET_RATE)</f>
        <v>25.067817198</v>
      </c>
      <c r="HL490" s="8">
        <f>R_CAP_2026*(1+GET_RATE)</f>
        <v>25.067817198</v>
      </c>
      <c r="HM490" s="8">
        <f>HF490-HJ490-HE490</f>
        <v>-18.930646307326413</v>
      </c>
      <c r="HN490" s="8">
        <f>HG490-HK490-HE490</f>
        <v>-18.930646307326413</v>
      </c>
      <c r="HO490" s="8">
        <f>HH490-HL490-HE490</f>
        <v>-18.930646307326413</v>
      </c>
      <c r="HP490" s="8">
        <f>R_NF_2024*(1+G_HI)^(HB490-2024)</f>
        <v>521.317236961638</v>
      </c>
      <c r="HQ490" s="10">
        <f>1-HF490/HP490</f>
        <v>0.0500026377672913</v>
      </c>
      <c r="HR490" s="10">
        <f>CPI_2023/(IF(HB490-1=2023,CPI_2023,IF(HB490-1=2024,CPI_2024,IF(HB490-1=2025,CPI_2025,CPI_2025*(1+INFL)^(HB490-1-2025)))))</f>
        <v>0.9341744000091711</v>
      </c>
      <c r="HS490" s="8">
        <f>$HB$21*ABS($HB$11)*(HG490-HF490)/HF490</f>
        <v>0.0</v>
      </c>
      <c r="HT490" s="8">
        <f>$HB$21*ABS($HB$11)*(HH490-HF490)/HF490</f>
        <v>0.0</v>
      </c>
      <c r="HU490" s="13">
        <f>(HG490-HF490)*MCD_NF_DAYS*HR490-HS490*MCD_SHARE_FREED*R_WAIT_2023</f>
        <v>0.0</v>
      </c>
      <c r="HV490" s="13">
        <f>(HH490-HF490)*MCD_NF_DAYS*HR490-HT490*MCD_SHARE_FREED*R_WAIT_2023</f>
        <v>0.0</v>
      </c>
      <c r="HW490" s="10">
        <f>IF(AND(HB490&gt;=RULE_START,HC490=1),1/(1+$HB$12)^(HB490-RULE_START+1),0)</f>
        <v>0</v>
      </c>
      <c r="HX490">
        <f>IF(AND(HB490&gt;=RULE_START,HC490=1,HM490&lt;0),HB490,9999)</f>
        <v>9999</v>
      </c>
      <c r="HY490">
        <f>IF(AND(HB490&gt;=RULE_START,HC490=1,HN490&lt;0),HB490,9999)</f>
        <v>9999</v>
      </c>
      <c r="HZ490">
        <f>IF(AND(HB490&gt;=RULE_START,HC490=1,HO490&lt;0),HB490,9999)</f>
        <v>9999</v>
      </c>
      <c r="IB490" t="n">
        <v>2026</v>
      </c>
      <c r="IC490">
        <f>IF(IB490&lt;=RULE_START+$IB$38-1,1,0)</f>
        <v>1</v>
      </c>
      <c r="ID490" s="15">
        <f>IF(IB490=2024,G_IDX_2024,IF(IB490=2025,G_IDX_2025,IF(IB490=2026,G_IDX_2026,IF(IB490=2027,G_IDX_2027,$IB$13))))</f>
        <v>0.033</v>
      </c>
      <c r="IE490" s="8">
        <f>$IB$20*(1+G_HI)^(IB490-COST_DATE)</f>
        <v>489.1128291093264</v>
      </c>
      <c r="IF490" s="8">
        <f>R_NF_2026</f>
        <v>495.25</v>
      </c>
      <c r="IG490" s="8">
        <f>IF490</f>
        <v>495.25</v>
      </c>
      <c r="IH490" s="8">
        <f>IF490</f>
        <v>495.25</v>
      </c>
      <c r="II490">
        <f>IF(AND(IB490&gt;=RULE_START,MOD(IB490-RULE_START,REBASE_YEARS)=0),1,0)</f>
        <v>0</v>
      </c>
      <c r="IJ490" s="8">
        <f>R_CAP_2026*(1+GET_RATE)</f>
        <v>25.067817198</v>
      </c>
      <c r="IK490" s="8">
        <f>R_CAP_2026*(1+GET_RATE)</f>
        <v>25.067817198</v>
      </c>
      <c r="IL490" s="8">
        <f>R_CAP_2026*(1+GET_RATE)</f>
        <v>25.067817198</v>
      </c>
      <c r="IM490" s="8">
        <f>IF490-IJ490-IE490</f>
        <v>-18.930646307326413</v>
      </c>
      <c r="IN490" s="8">
        <f>IG490-IK490-IE490</f>
        <v>-18.930646307326413</v>
      </c>
      <c r="IO490" s="8">
        <f>IH490-IL490-IE490</f>
        <v>-18.930646307326413</v>
      </c>
      <c r="IP490" s="8">
        <f>R_NF_2024*(1+G_HI)^(IB490-2024)</f>
        <v>521.317236961638</v>
      </c>
      <c r="IQ490" s="10">
        <f>1-IF490/IP490</f>
        <v>0.0500026377672913</v>
      </c>
      <c r="IR490" s="10">
        <f>CPI_2023/(IF(IB490-1=2023,CPI_2023,IF(IB490-1=2024,CPI_2024,IF(IB490-1=2025,CPI_2025,CPI_2025*(1+INFL)^(IB490-1-2025)))))</f>
        <v>0.9341744000091711</v>
      </c>
      <c r="IS490" s="8">
        <f>$IB$21*ABS($IB$11)*(IG490-IF490)/IF490</f>
        <v>0.0</v>
      </c>
      <c r="IT490" s="8">
        <f>$IB$21*ABS($IB$11)*(IH490-IF490)/IF490</f>
        <v>0.0</v>
      </c>
      <c r="IU490" s="13">
        <f>(IG490-IF490)*MCD_NF_DAYS*IR490-IS490*MCD_SHARE_FREED*R_WAIT_2023</f>
        <v>0.0</v>
      </c>
      <c r="IV490" s="13">
        <f>(IH490-IF490)*MCD_NF_DAYS*IR490-IT490*MCD_SHARE_FREED*R_WAIT_2023</f>
        <v>0.0</v>
      </c>
      <c r="IW490" s="10">
        <f>IF(AND(IB490&gt;=RULE_START,IC490=1),1/(1+$IB$12)^(IB490-RULE_START+1),0)</f>
        <v>0</v>
      </c>
      <c r="IX490">
        <f>IF(AND(IB490&gt;=RULE_START,IC490=1,IM490&lt;0),IB490,9999)</f>
        <v>9999</v>
      </c>
      <c r="IY490">
        <f>IF(AND(IB490&gt;=RULE_START,IC490=1,IN490&lt;0),IB490,9999)</f>
        <v>9999</v>
      </c>
      <c r="IZ490">
        <f>IF(AND(IB490&gt;=RULE_START,IC490=1,IO490&lt;0),IB490,9999)</f>
        <v>9999</v>
      </c>
      <c r="JB490" t="n">
        <v>2026</v>
      </c>
      <c r="JC490">
        <f>IF(JB490&lt;=RULE_START+$JB$38-1,1,0)</f>
        <v>1</v>
      </c>
      <c r="JD490" s="15">
        <f>IF(JB490=2024,G_IDX_2024,IF(JB490=2025,G_IDX_2025,IF(JB490=2026,G_IDX_2026,IF(JB490=2027,G_IDX_2027,$JB$13))))</f>
        <v>0.033</v>
      </c>
      <c r="JE490" s="8">
        <f>$JB$20*(1+G_HI)^(JB490-COST_DATE)</f>
        <v>489.1128291093264</v>
      </c>
      <c r="JF490" s="8">
        <f>R_NF_2026</f>
        <v>495.25</v>
      </c>
      <c r="JG490" s="8">
        <f>JF490</f>
        <v>495.25</v>
      </c>
      <c r="JH490" s="8">
        <f>JF490</f>
        <v>495.25</v>
      </c>
      <c r="JI490">
        <f>IF(AND(JB490&gt;=RULE_START,MOD(JB490-RULE_START,REBASE_YEARS)=0),1,0)</f>
        <v>0</v>
      </c>
      <c r="JJ490" s="8">
        <f>R_CAP_2026*(1+GET_RATE)</f>
        <v>25.067817198</v>
      </c>
      <c r="JK490" s="8">
        <f>R_CAP_2026*(1+GET_RATE)</f>
        <v>25.067817198</v>
      </c>
      <c r="JL490" s="8">
        <f>R_CAP_2026*(1+GET_RATE)</f>
        <v>25.067817198</v>
      </c>
      <c r="JM490" s="8">
        <f>JF490-JJ490-JE490</f>
        <v>-18.930646307326413</v>
      </c>
      <c r="JN490" s="8">
        <f>JG490-JK490-JE490</f>
        <v>-18.930646307326413</v>
      </c>
      <c r="JO490" s="8">
        <f>JH490-JL490-JE490</f>
        <v>-18.930646307326413</v>
      </c>
      <c r="JP490" s="8">
        <f>R_NF_2024*(1+G_HI)^(JB490-2024)</f>
        <v>521.317236961638</v>
      </c>
      <c r="JQ490" s="10">
        <f>1-JF490/JP490</f>
        <v>0.0500026377672913</v>
      </c>
      <c r="JR490" s="10">
        <f>CPI_2023/(IF(JB490-1=2023,CPI_2023,IF(JB490-1=2024,CPI_2024,IF(JB490-1=2025,CPI_2025,CPI_2025*(1+INFL)^(JB490-1-2025)))))</f>
        <v>0.9341744000091711</v>
      </c>
      <c r="JS490" s="8">
        <f>$JB$21*ABS($JB$11)*(JG490-JF490)/JF490</f>
        <v>0.0</v>
      </c>
      <c r="JT490" s="8">
        <f>$JB$21*ABS($JB$11)*(JH490-JF490)/JF490</f>
        <v>0.0</v>
      </c>
      <c r="JU490" s="13">
        <f>(JG490-JF490)*MCD_NF_DAYS*JR490-JS490*MCD_SHARE_FREED*R_WAIT_2023</f>
        <v>0.0</v>
      </c>
      <c r="JV490" s="13">
        <f>(JH490-JF490)*MCD_NF_DAYS*JR490-JT490*MCD_SHARE_FREED*R_WAIT_2023</f>
        <v>0.0</v>
      </c>
      <c r="JW490" s="10">
        <f>IF(AND(JB490&gt;=RULE_START,JC490=1),1/(1+$JB$12)^(JB490-RULE_START+1),0)</f>
        <v>0</v>
      </c>
      <c r="JX490">
        <f>IF(AND(JB490&gt;=RULE_START,JC490=1,JM490&lt;0),JB490,9999)</f>
        <v>9999</v>
      </c>
      <c r="JY490">
        <f>IF(AND(JB490&gt;=RULE_START,JC490=1,JN490&lt;0),JB490,9999)</f>
        <v>9999</v>
      </c>
      <c r="JZ490">
        <f>IF(AND(JB490&gt;=RULE_START,JC490=1,JO490&lt;0),JB490,9999)</f>
        <v>9999</v>
      </c>
      <c r="KB490" t="n">
        <v>2026</v>
      </c>
      <c r="KC490">
        <f>IF(KB490&lt;=RULE_START+$KB$38-1,1,0)</f>
        <v>1</v>
      </c>
      <c r="KD490" s="15">
        <f>IF(KB490=2024,G_IDX_2024,IF(KB490=2025,G_IDX_2025,IF(KB490=2026,G_IDX_2026,IF(KB490=2027,G_IDX_2027,$KB$13))))</f>
        <v>0.033</v>
      </c>
      <c r="KE490" s="8">
        <f>$KB$20*(1+G_HI)^(KB490-COST_DATE)</f>
        <v>489.1128291093264</v>
      </c>
      <c r="KF490" s="8">
        <f>R_NF_2026</f>
        <v>495.25</v>
      </c>
      <c r="KG490" s="8">
        <f>KF490</f>
        <v>495.25</v>
      </c>
      <c r="KH490" s="8">
        <f>KF490</f>
        <v>495.25</v>
      </c>
      <c r="KI490">
        <f>IF(AND(KB490&gt;=RULE_START,MOD(KB490-RULE_START,REBASE_YEARS)=0),1,0)</f>
        <v>0</v>
      </c>
      <c r="KJ490" s="8">
        <f>R_CAP_2026*(1+GET_RATE)</f>
        <v>25.067817198</v>
      </c>
      <c r="KK490" s="8">
        <f>R_CAP_2026*(1+GET_RATE)</f>
        <v>25.067817198</v>
      </c>
      <c r="KL490" s="8">
        <f>R_CAP_2026*(1+GET_RATE)</f>
        <v>25.067817198</v>
      </c>
      <c r="KM490" s="8">
        <f>KF490-KJ490-KE490</f>
        <v>-18.930646307326413</v>
      </c>
      <c r="KN490" s="8">
        <f>KG490-KK490-KE490</f>
        <v>-18.930646307326413</v>
      </c>
      <c r="KO490" s="8">
        <f>KH490-KL490-KE490</f>
        <v>-18.930646307326413</v>
      </c>
      <c r="KP490" s="8">
        <f>R_NF_2024*(1+G_HI)^(KB490-2024)</f>
        <v>521.317236961638</v>
      </c>
      <c r="KQ490" s="10">
        <f>1-KF490/KP490</f>
        <v>0.0500026377672913</v>
      </c>
      <c r="KR490" s="10">
        <f>CPI_2023/(IF(KB490-1=2023,CPI_2023,IF(KB490-1=2024,CPI_2024,IF(KB490-1=2025,CPI_2025,CPI_2025*(1+INFL)^(KB490-1-2025)))))</f>
        <v>0.9341744000091711</v>
      </c>
      <c r="KS490" s="8">
        <f>$KB$21*ABS($KB$11)*(KG490-KF490)/KF490</f>
        <v>0.0</v>
      </c>
      <c r="KT490" s="8">
        <f>$KB$21*ABS($KB$11)*(KH490-KF490)/KF490</f>
        <v>0.0</v>
      </c>
      <c r="KU490" s="13">
        <f>(KG490-KF490)*MCD_NF_DAYS*KR490-KS490*MCD_SHARE_FREED*R_WAIT_2023</f>
        <v>0.0</v>
      </c>
      <c r="KV490" s="13">
        <f>(KH490-KF490)*MCD_NF_DAYS*KR490-KT490*MCD_SHARE_FREED*R_WAIT_2023</f>
        <v>0.0</v>
      </c>
      <c r="KW490" s="10">
        <f>IF(AND(KB490&gt;=RULE_START,KC490=1),1/(1+$KB$12)^(KB490-RULE_START+1),0)</f>
        <v>0</v>
      </c>
      <c r="KX490">
        <f>IF(AND(KB490&gt;=RULE_START,KC490=1,KM490&lt;0),KB490,9999)</f>
        <v>9999</v>
      </c>
      <c r="KY490">
        <f>IF(AND(KB490&gt;=RULE_START,KC490=1,KN490&lt;0),KB490,9999)</f>
        <v>9999</v>
      </c>
      <c r="KZ490">
        <f>IF(AND(KB490&gt;=RULE_START,KC490=1,KO490&lt;0),KB490,9999)</f>
        <v>9999</v>
      </c>
      <c r="LB490" t="n">
        <v>2026</v>
      </c>
      <c r="LC490">
        <f>IF(LB490&lt;=RULE_START+$LB$38-1,1,0)</f>
        <v>1</v>
      </c>
      <c r="LD490" s="15">
        <f>IF(LB490=2024,G_IDX_2024,IF(LB490=2025,G_IDX_2025,IF(LB490=2026,G_IDX_2026,IF(LB490=2027,G_IDX_2027,$LB$13))))</f>
        <v>0.033</v>
      </c>
      <c r="LE490" s="8">
        <f>$LB$20*(1+G_HI)^(LB490-COST_DATE)</f>
        <v>489.1128291093264</v>
      </c>
      <c r="LF490" s="8">
        <f>R_NF_2026</f>
        <v>495.25</v>
      </c>
      <c r="LG490" s="8">
        <f>LF490</f>
        <v>495.25</v>
      </c>
      <c r="LH490" s="8">
        <f>LF490</f>
        <v>495.25</v>
      </c>
      <c r="LI490">
        <f>IF(AND(LB490&gt;=RULE_START,MOD(LB490-RULE_START,REBASE_YEARS)=0),1,0)</f>
        <v>0</v>
      </c>
      <c r="LJ490" s="8">
        <f>R_CAP_2026*(1+GET_RATE)</f>
        <v>25.067817198</v>
      </c>
      <c r="LK490" s="8">
        <f>R_CAP_2026*(1+GET_RATE)</f>
        <v>25.067817198</v>
      </c>
      <c r="LL490" s="8">
        <f>R_CAP_2026*(1+GET_RATE)</f>
        <v>25.067817198</v>
      </c>
      <c r="LM490" s="8">
        <f>LF490-LJ490-LE490</f>
        <v>-18.930646307326413</v>
      </c>
      <c r="LN490" s="8">
        <f>LG490-LK490-LE490</f>
        <v>-18.930646307326413</v>
      </c>
      <c r="LO490" s="8">
        <f>LH490-LL490-LE490</f>
        <v>-18.930646307326413</v>
      </c>
      <c r="LP490" s="8">
        <f>R_NF_2024*(1+G_HI)^(LB490-2024)</f>
        <v>521.317236961638</v>
      </c>
      <c r="LQ490" s="10">
        <f>1-LF490/LP490</f>
        <v>0.0500026377672913</v>
      </c>
      <c r="LR490" s="10">
        <f>CPI_2023/(IF(LB490-1=2023,CPI_2023,IF(LB490-1=2024,CPI_2024,IF(LB490-1=2025,CPI_2025,CPI_2025*(1+INFL)^(LB490-1-2025)))))</f>
        <v>0.9341744000091711</v>
      </c>
      <c r="LS490" s="8">
        <f>$LB$21*ABS($LB$11)*(LG490-LF490)/LF490</f>
        <v>0.0</v>
      </c>
      <c r="LT490" s="8">
        <f>$LB$21*ABS($LB$11)*(LH490-LF490)/LF490</f>
        <v>0.0</v>
      </c>
      <c r="LU490" s="13">
        <f>(LG490-LF490)*MCD_NF_DAYS*LR490-LS490*MCD_SHARE_FREED*R_WAIT_2023</f>
        <v>0.0</v>
      </c>
      <c r="LV490" s="13">
        <f>(LH490-LF490)*MCD_NF_DAYS*LR490-LT490*MCD_SHARE_FREED*R_WAIT_2023</f>
        <v>0.0</v>
      </c>
      <c r="LW490" s="10">
        <f>IF(AND(LB490&gt;=RULE_START,LC490=1),1/(1+$LB$12)^(LB490-RULE_START+1),0)</f>
        <v>0</v>
      </c>
      <c r="LX490">
        <f>IF(AND(LB490&gt;=RULE_START,LC490=1,LM490&lt;0),LB490,9999)</f>
        <v>9999</v>
      </c>
      <c r="LY490">
        <f>IF(AND(LB490&gt;=RULE_START,LC490=1,LN490&lt;0),LB490,9999)</f>
        <v>9999</v>
      </c>
      <c r="LZ490">
        <f>IF(AND(LB490&gt;=RULE_START,LC490=1,LO490&lt;0),LB490,9999)</f>
        <v>9999</v>
      </c>
      <c r="MB490" t="n">
        <v>2026</v>
      </c>
      <c r="MC490">
        <f>IF(MB490&lt;=RULE_START+$MB$38-1,1,0)</f>
        <v>1</v>
      </c>
      <c r="MD490" s="15">
        <f>IF(MB490=2024,G_IDX_2024,IF(MB490=2025,G_IDX_2025,IF(MB490=2026,G_IDX_2026,IF(MB490=2027,G_IDX_2027,$MB$13))))</f>
        <v>0.033</v>
      </c>
      <c r="ME490" s="8">
        <f>$MB$20*(1+G_HI)^(MB490-COST_DATE)</f>
        <v>489.1128291093264</v>
      </c>
      <c r="MF490" s="8">
        <f>R_NF_2026</f>
        <v>495.25</v>
      </c>
      <c r="MG490" s="8">
        <f>MF490</f>
        <v>495.25</v>
      </c>
      <c r="MH490" s="8">
        <f>MF490</f>
        <v>495.25</v>
      </c>
      <c r="MI490">
        <f>IF(AND(MB490&gt;=RULE_START,MOD(MB490-RULE_START,REBASE_YEARS)=0),1,0)</f>
        <v>0</v>
      </c>
      <c r="MJ490" s="8">
        <f>R_CAP_2026*(1+GET_RATE)</f>
        <v>25.067817198</v>
      </c>
      <c r="MK490" s="8">
        <f>R_CAP_2026*(1+GET_RATE)</f>
        <v>25.067817198</v>
      </c>
      <c r="ML490" s="8">
        <f>R_CAP_2026*(1+GET_RATE)</f>
        <v>25.067817198</v>
      </c>
      <c r="MM490" s="8">
        <f>MF490-MJ490-ME490</f>
        <v>-18.930646307326413</v>
      </c>
      <c r="MN490" s="8">
        <f>MG490-MK490-ME490</f>
        <v>-18.930646307326413</v>
      </c>
      <c r="MO490" s="8">
        <f>MH490-ML490-ME490</f>
        <v>-18.930646307326413</v>
      </c>
      <c r="MP490" s="8">
        <f>R_NF_2024*(1+G_HI)^(MB490-2024)</f>
        <v>521.317236961638</v>
      </c>
      <c r="MQ490" s="10">
        <f>1-MF490/MP490</f>
        <v>0.0500026377672913</v>
      </c>
      <c r="MR490" s="10">
        <f>CPI_2023/(IF(MB490-1=2023,CPI_2023,IF(MB490-1=2024,CPI_2024,IF(MB490-1=2025,CPI_2025,CPI_2025*(1+INFL)^(MB490-1-2025)))))</f>
        <v>0.9341744000091711</v>
      </c>
      <c r="MS490" s="8">
        <f>$MB$21*ABS($MB$11)*(MG490-MF490)/MF490</f>
        <v>0.0</v>
      </c>
      <c r="MT490" s="8">
        <f>$MB$21*ABS($MB$11)*(MH490-MF490)/MF490</f>
        <v>0.0</v>
      </c>
      <c r="MU490" s="13">
        <f>(MG490-MF490)*MCD_NF_DAYS*MR490-MS490*MCD_SHARE_FREED*R_WAIT_2023</f>
        <v>0.0</v>
      </c>
      <c r="MV490" s="13">
        <f>(MH490-MF490)*MCD_NF_DAYS*MR490-MT490*MCD_SHARE_FREED*R_WAIT_2023</f>
        <v>0.0</v>
      </c>
      <c r="MW490" s="10">
        <f>IF(AND(MB490&gt;=RULE_START,MC490=1),1/(1+$MB$12)^(MB490-RULE_START+1),0)</f>
        <v>0</v>
      </c>
      <c r="MX490">
        <f>IF(AND(MB490&gt;=RULE_START,MC490=1,MM490&lt;0),MB490,9999)</f>
        <v>9999</v>
      </c>
      <c r="MY490">
        <f>IF(AND(MB490&gt;=RULE_START,MC490=1,MN490&lt;0),MB490,9999)</f>
        <v>9999</v>
      </c>
      <c r="MZ490">
        <f>IF(AND(MB490&gt;=RULE_START,MC490=1,MO490&lt;0),MB490,9999)</f>
        <v>9999</v>
      </c>
      <c r="NB490" t="n">
        <v>2026</v>
      </c>
      <c r="NC490">
        <f>IF(NB490&lt;=RULE_START+$NB$38-1,1,0)</f>
        <v>1</v>
      </c>
      <c r="ND490" s="15">
        <f>IF(NB490=2024,G_IDX_2024,IF(NB490=2025,G_IDX_2025,IF(NB490=2026,G_IDX_2026,IF(NB490=2027,G_IDX_2027,$NB$13))))</f>
        <v>0.033</v>
      </c>
      <c r="NE490" s="8">
        <f>$NB$20*(1+G_HI)^(NB490-COST_DATE)</f>
        <v>489.1128291093264</v>
      </c>
      <c r="NF490" s="8">
        <f>R_NF_2026</f>
        <v>495.25</v>
      </c>
      <c r="NG490" s="8">
        <f>NF490</f>
        <v>495.25</v>
      </c>
      <c r="NH490" s="8">
        <f>NF490</f>
        <v>495.25</v>
      </c>
      <c r="NI490">
        <f>IF(AND(NB490&gt;=RULE_START,MOD(NB490-RULE_START,REBASE_YEARS)=0),1,0)</f>
        <v>0</v>
      </c>
      <c r="NJ490" s="8">
        <f>R_CAP_2026*(1+GET_RATE)</f>
        <v>25.067817198</v>
      </c>
      <c r="NK490" s="8">
        <f>R_CAP_2026*(1+GET_RATE)</f>
        <v>25.067817198</v>
      </c>
      <c r="NL490" s="8">
        <f>R_CAP_2026*(1+GET_RATE)</f>
        <v>25.067817198</v>
      </c>
      <c r="NM490" s="8">
        <f>NF490-NJ490-NE490</f>
        <v>-18.930646307326413</v>
      </c>
      <c r="NN490" s="8">
        <f>NG490-NK490-NE490</f>
        <v>-18.930646307326413</v>
      </c>
      <c r="NO490" s="8">
        <f>NH490-NL490-NE490</f>
        <v>-18.930646307326413</v>
      </c>
      <c r="NP490" s="8">
        <f>R_NF_2024*(1+G_HI)^(NB490-2024)</f>
        <v>521.317236961638</v>
      </c>
      <c r="NQ490" s="10">
        <f>1-NF490/NP490</f>
        <v>0.0500026377672913</v>
      </c>
      <c r="NR490" s="10">
        <f>CPI_2023/(IF(NB490-1=2023,CPI_2023,IF(NB490-1=2024,CPI_2024,IF(NB490-1=2025,CPI_2025,CPI_2025*(1+INFL)^(NB490-1-2025)))))</f>
        <v>0.9341744000091711</v>
      </c>
      <c r="NS490" s="8">
        <f>$NB$21*ABS($NB$11)*(NG490-NF490)/NF490</f>
        <v>0.0</v>
      </c>
      <c r="NT490" s="8">
        <f>$NB$21*ABS($NB$11)*(NH490-NF490)/NF490</f>
        <v>0.0</v>
      </c>
      <c r="NU490" s="13">
        <f>(NG490-NF490)*MCD_NF_DAYS*NR490-NS490*MCD_SHARE_FREED*R_WAIT_2023</f>
        <v>0.0</v>
      </c>
      <c r="NV490" s="13">
        <f>(NH490-NF490)*MCD_NF_DAYS*NR490-NT490*MCD_SHARE_FREED*R_WAIT_2023</f>
        <v>0.0</v>
      </c>
      <c r="NW490" s="10">
        <f>IF(AND(NB490&gt;=RULE_START,NC490=1),1/(1+$NB$12)^(NB490-RULE_START+1),0)</f>
        <v>0</v>
      </c>
      <c r="NX490">
        <f>IF(AND(NB490&gt;=RULE_START,NC490=1,NM490&lt;0),NB490,9999)</f>
        <v>9999</v>
      </c>
      <c r="NY490">
        <f>IF(AND(NB490&gt;=RULE_START,NC490=1,NN490&lt;0),NB490,9999)</f>
        <v>9999</v>
      </c>
      <c r="NZ490">
        <f>IF(AND(NB490&gt;=RULE_START,NC490=1,NO490&lt;0),NB490,9999)</f>
        <v>9999</v>
      </c>
      <c r="OB490" t="n">
        <v>2026</v>
      </c>
      <c r="OC490">
        <f>IF(OB490&lt;=RULE_START+$OB$38-1,1,0)</f>
        <v>1</v>
      </c>
      <c r="OD490" s="15">
        <f>IF(OB490=2024,G_IDX_2024,IF(OB490=2025,G_IDX_2025,IF(OB490=2026,G_IDX_2026,IF(OB490=2027,G_IDX_2027,$OB$13))))</f>
        <v>0.033</v>
      </c>
      <c r="OE490" s="8">
        <f>$OB$20*(1+G_HI)^(OB490-COST_DATE)</f>
        <v>489.1128291093264</v>
      </c>
      <c r="OF490" s="8">
        <f>R_NF_2026</f>
        <v>495.25</v>
      </c>
      <c r="OG490" s="8">
        <f>OF490</f>
        <v>495.25</v>
      </c>
      <c r="OH490" s="8">
        <f>OF490</f>
        <v>495.25</v>
      </c>
      <c r="OI490">
        <f>IF(AND(OB490&gt;=RULE_START,MOD(OB490-RULE_START,REBASE_YEARS)=0),1,0)</f>
        <v>0</v>
      </c>
      <c r="OJ490" s="8">
        <f>R_CAP_2026*(1+GET_RATE)</f>
        <v>25.067817198</v>
      </c>
      <c r="OK490" s="8">
        <f>R_CAP_2026*(1+GET_RATE)</f>
        <v>25.067817198</v>
      </c>
      <c r="OL490" s="8">
        <f>R_CAP_2026*(1+GET_RATE)</f>
        <v>25.067817198</v>
      </c>
      <c r="OM490" s="8">
        <f>OF490-OJ490-OE490</f>
        <v>-18.930646307326413</v>
      </c>
      <c r="ON490" s="8">
        <f>OG490-OK490-OE490</f>
        <v>-18.930646307326413</v>
      </c>
      <c r="OO490" s="8">
        <f>OH490-OL490-OE490</f>
        <v>-18.930646307326413</v>
      </c>
      <c r="OP490" s="8">
        <f>R_NF_2024*(1+G_HI)^(OB490-2024)</f>
        <v>521.317236961638</v>
      </c>
      <c r="OQ490" s="10">
        <f>1-OF490/OP490</f>
        <v>0.0500026377672913</v>
      </c>
      <c r="OR490" s="10">
        <f>CPI_2023/(IF(OB490-1=2023,CPI_2023,IF(OB490-1=2024,CPI_2024,IF(OB490-1=2025,CPI_2025,CPI_2025*(1+INFL)^(OB490-1-2025)))))</f>
        <v>0.9341744000091711</v>
      </c>
      <c r="OS490" s="8">
        <f>$OB$21*ABS($OB$11)*(OG490-OF490)/OF490</f>
        <v>0.0</v>
      </c>
      <c r="OT490" s="8">
        <f>$OB$21*ABS($OB$11)*(OH490-OF490)/OF490</f>
        <v>0.0</v>
      </c>
      <c r="OU490" s="13">
        <f>(OG490-OF490)*MCD_NF_DAYS*OR490-OS490*MCD_SHARE_FREED*R_WAIT_2023</f>
        <v>0.0</v>
      </c>
      <c r="OV490" s="13">
        <f>(OH490-OF490)*MCD_NF_DAYS*OR490-OT490*MCD_SHARE_FREED*R_WAIT_2023</f>
        <v>0.0</v>
      </c>
      <c r="OW490" s="10">
        <f>IF(AND(OB490&gt;=RULE_START,OC490=1),1/(1+$OB$12)^(OB490-RULE_START+1),0)</f>
        <v>0</v>
      </c>
      <c r="OX490">
        <f>IF(AND(OB490&gt;=RULE_START,OC490=1,OM490&lt;0),OB490,9999)</f>
        <v>9999</v>
      </c>
      <c r="OY490">
        <f>IF(AND(OB490&gt;=RULE_START,OC490=1,ON490&lt;0),OB490,9999)</f>
        <v>9999</v>
      </c>
      <c r="OZ490">
        <f>IF(AND(OB490&gt;=RULE_START,OC490=1,OO490&lt;0),OB490,9999)</f>
        <v>9999</v>
      </c>
    </row>
    <row r="491">
      <c r="B491" t="n">
        <v>2027</v>
      </c>
      <c r="C491">
        <f>IF(B491&lt;=RULE_START+$B$38-1,1,0)</f>
        <v>1</v>
      </c>
      <c r="D491" s="15">
        <f>IF(B491=2024,G_IDX_2024,IF(B491=2025,G_IDX_2025,IF(B491=2026,G_IDX_2026,IF(B491=2027,G_IDX_2027,$B$13))))</f>
        <v>0.033</v>
      </c>
      <c r="E491" s="8">
        <f>$B$20*(1+G_HI)^(B491-COST_DATE)</f>
        <v>508.7602572105798</v>
      </c>
      <c r="F491" s="8">
        <f>F490*(1+D491)</f>
        <v>511.59324999999995</v>
      </c>
      <c r="G491" s="8">
        <f>IF(B491&lt;RULE_START,F491,G490*(1+G_HI))</f>
        <v>515.1439553167412</v>
      </c>
      <c r="H491" s="8">
        <f>IF(B491&lt;RULE_START,F491,IF(I491=1,R_NF_2024*(1+G_HI)^(B491-2024),H490*(1+D491)))</f>
        <v>542.2583007031054</v>
      </c>
      <c r="I491">
        <f>IF(AND(B491&gt;=RULE_START,MOD(B491-RULE_START,REBASE_YEARS)=0),1,0)</f>
        <v>1</v>
      </c>
      <c r="J491" s="8">
        <f>F491*CAP_SHARE</f>
        <v>25.015543425378244</v>
      </c>
      <c r="K491" s="8">
        <f>G491*CAP_SHARE</f>
        <v>25.18916343119666</v>
      </c>
      <c r="L491" s="8">
        <f>H491*CAP_SHARE</f>
        <v>26.514982496368646</v>
      </c>
      <c r="M491" s="8">
        <f>F491-J491-E491</f>
        <v>-22.182550635958137</v>
      </c>
      <c r="N491" s="8">
        <f>G491-K491-E491</f>
        <v>-18.8054653250353</v>
      </c>
      <c r="O491" s="8">
        <f>H491-L491-E491</f>
        <v>6.983060996157008</v>
      </c>
      <c r="P491" s="8">
        <f>R_NF_2024*(1+G_HI)^(B491-2024)</f>
        <v>542.2583007031054</v>
      </c>
      <c r="Q491" s="10">
        <f>1-F491/P491</f>
        <v>0.056550634012138556</v>
      </c>
      <c r="R491" s="10">
        <f>CPI_2023/(IF(B491-1=2023,CPI_2023,IF(B491-1=2024,CPI_2024,IF(B491-1=2025,CPI_2025,CPI_2025*(1+INFL)^(B491-1-2025)))))</f>
        <v>0.9133500195631318</v>
      </c>
      <c r="S491" s="8">
        <f>$B$21*ABS($B$11)*(G491-F491)/F491</f>
        <v>691.9321563818208</v>
      </c>
      <c r="T491" s="8">
        <f>$B$21*ABS($B$11)*(H491-F491)/F491</f>
        <v>5975.752073402463</v>
      </c>
      <c r="U491" s="13">
        <f>(G491-F491)*MCD_NF_DAYS*R491-S491*MCD_SHARE_FREED*R_WAIT_2023</f>
        <v>1394011.2990783718</v>
      </c>
      <c r="V491" s="13">
        <f>(H491-F491)*MCD_NF_DAYS*R491-T491*MCD_SHARE_FREED*R_WAIT_2023</f>
        <v>12039136.834417112</v>
      </c>
      <c r="W491" s="10">
        <f>IF(AND(B491&gt;=RULE_START,C491=1),1/(1+$B$12)^(B491-RULE_START+1),0)</f>
        <v>0.9803921568627451</v>
      </c>
      <c r="X491">
        <f>IF(AND(B491&gt;=RULE_START,C491=1,M491&lt;0),B491,9999)</f>
        <v>2027</v>
      </c>
      <c r="Y491">
        <f>IF(AND(B491&gt;=RULE_START,C491=1,N491&lt;0),B491,9999)</f>
        <v>2027</v>
      </c>
      <c r="Z491">
        <f>IF(AND(B491&gt;=RULE_START,C491=1,O491&lt;0),B491,9999)</f>
        <v>9999</v>
      </c>
      <c r="AB491" t="n">
        <v>2027</v>
      </c>
      <c r="AC491">
        <f>IF(AB491&lt;=RULE_START+$AB$38-1,1,0)</f>
        <v>1</v>
      </c>
      <c r="AD491" s="15">
        <f>IF(AB491=2024,G_IDX_2024,IF(AB491=2025,G_IDX_2025,IF(AB491=2026,G_IDX_2026,IF(AB491=2027,G_IDX_2027,$AB$13))))</f>
        <v>0.033</v>
      </c>
      <c r="AE491" s="8">
        <f>$AB$20*(1+G_HI)^(AB491-COST_DATE)</f>
        <v>508.7602572105798</v>
      </c>
      <c r="AF491" s="8">
        <f>AF490*(1+AD491)</f>
        <v>511.59324999999995</v>
      </c>
      <c r="AG491" s="8">
        <f>IF(AB491&lt;RULE_START,AF491,AG490*(1+G_HI))</f>
        <v>515.1439553167412</v>
      </c>
      <c r="AH491" s="8">
        <f>IF(AB491&lt;RULE_START,AF491,IF(AI491=1,R_NF_2024*(1+G_HI)^(AB491-2024),AH490*(1+AD491)))</f>
        <v>542.2583007031054</v>
      </c>
      <c r="AI491">
        <f>IF(AND(AB491&gt;=RULE_START,MOD(AB491-RULE_START,REBASE_YEARS)=0),1,0)</f>
        <v>1</v>
      </c>
      <c r="AJ491" s="8">
        <f>AF491*CAP_SHARE</f>
        <v>25.015543425378244</v>
      </c>
      <c r="AK491" s="8">
        <f>AG491*CAP_SHARE</f>
        <v>25.18916343119666</v>
      </c>
      <c r="AL491" s="8">
        <f>AH491*CAP_SHARE</f>
        <v>26.514982496368646</v>
      </c>
      <c r="AM491" s="8">
        <f>AF491-AJ491-AE491</f>
        <v>-22.182550635958137</v>
      </c>
      <c r="AN491" s="8">
        <f>AG491-AK491-AE491</f>
        <v>-18.8054653250353</v>
      </c>
      <c r="AO491" s="8">
        <f>AH491-AL491-AE491</f>
        <v>6.983060996157008</v>
      </c>
      <c r="AP491" s="8">
        <f>R_NF_2024*(1+G_HI)^(AB491-2024)</f>
        <v>542.2583007031054</v>
      </c>
      <c r="AQ491" s="10">
        <f>1-AF491/AP491</f>
        <v>0.056550634012138556</v>
      </c>
      <c r="AR491" s="10">
        <f>CPI_2023/(IF(AB491-1=2023,CPI_2023,IF(AB491-1=2024,CPI_2024,IF(AB491-1=2025,CPI_2025,CPI_2025*(1+INFL)^(AB491-1-2025)))))</f>
        <v>0.9133500195631318</v>
      </c>
      <c r="AS491" s="8">
        <f>$AB$21*ABS($AB$11)*(AG491-AF491)/AF491</f>
        <v>691.9321563818208</v>
      </c>
      <c r="AT491" s="8">
        <f>$AB$21*ABS($AB$11)*(AH491-AF491)/AF491</f>
        <v>5975.752073402463</v>
      </c>
      <c r="AU491" s="13">
        <f>(AG491-AF491)*MCD_NF_DAYS*AR491-AS491*MCD_SHARE_FREED*R_WAIT_2023</f>
        <v>1394011.2990783718</v>
      </c>
      <c r="AV491" s="13">
        <f>(AH491-AF491)*MCD_NF_DAYS*AR491-AT491*MCD_SHARE_FREED*R_WAIT_2023</f>
        <v>12039136.834417112</v>
      </c>
      <c r="AW491" s="10">
        <f>IF(AND(AB491&gt;=RULE_START,AC491=1),1/(1+$AB$12)^(AB491-RULE_START+1),0)</f>
        <v>0.9803921568627451</v>
      </c>
      <c r="AX491">
        <f>IF(AND(AB491&gt;=RULE_START,AC491=1,AM491&lt;0),AB491,9999)</f>
        <v>2027</v>
      </c>
      <c r="AY491">
        <f>IF(AND(AB491&gt;=RULE_START,AC491=1,AN491&lt;0),AB491,9999)</f>
        <v>2027</v>
      </c>
      <c r="AZ491">
        <f>IF(AND(AB491&gt;=RULE_START,AC491=1,AO491&lt;0),AB491,9999)</f>
        <v>9999</v>
      </c>
      <c r="BB491" t="n">
        <v>2027</v>
      </c>
      <c r="BC491">
        <f>IF(BB491&lt;=RULE_START+$BB$38-1,1,0)</f>
        <v>1</v>
      </c>
      <c r="BD491" s="15">
        <f>IF(BB491=2024,G_IDX_2024,IF(BB491=2025,G_IDX_2025,IF(BB491=2026,G_IDX_2026,IF(BB491=2027,G_IDX_2027,$BB$13))))</f>
        <v>0.033</v>
      </c>
      <c r="BE491" s="8">
        <f>$BB$20*(1+G_HI)^(BB491-COST_DATE)</f>
        <v>508.7602572105798</v>
      </c>
      <c r="BF491" s="8">
        <f>BF490*(1+BD491)</f>
        <v>511.59324999999995</v>
      </c>
      <c r="BG491" s="8">
        <f>IF(BB491&lt;RULE_START,BF491,BG490*(1+G_HI))</f>
        <v>515.1439553167412</v>
      </c>
      <c r="BH491" s="8">
        <f>IF(BB491&lt;RULE_START,BF491,IF(BI491=1,R_NF_2024*(1+G_HI)^(BB491-2024),BH490*(1+BD491)))</f>
        <v>542.2583007031054</v>
      </c>
      <c r="BI491">
        <f>IF(AND(BB491&gt;=RULE_START,MOD(BB491-RULE_START,REBASE_YEARS)=0),1,0)</f>
        <v>1</v>
      </c>
      <c r="BJ491" s="8">
        <f>BF491*CAP_SHARE</f>
        <v>25.015543425378244</v>
      </c>
      <c r="BK491" s="8">
        <f>BG491*CAP_SHARE</f>
        <v>25.18916343119666</v>
      </c>
      <c r="BL491" s="8">
        <f>BH491*CAP_SHARE</f>
        <v>26.514982496368646</v>
      </c>
      <c r="BM491" s="8">
        <f>BF491-BJ491-BE491</f>
        <v>-22.182550635958137</v>
      </c>
      <c r="BN491" s="8">
        <f>BG491-BK491-BE491</f>
        <v>-18.8054653250353</v>
      </c>
      <c r="BO491" s="8">
        <f>BH491-BL491-BE491</f>
        <v>6.983060996157008</v>
      </c>
      <c r="BP491" s="8">
        <f>R_NF_2024*(1+G_HI)^(BB491-2024)</f>
        <v>542.2583007031054</v>
      </c>
      <c r="BQ491" s="10">
        <f>1-BF491/BP491</f>
        <v>0.056550634012138556</v>
      </c>
      <c r="BR491" s="10">
        <f>CPI_2023/(IF(BB491-1=2023,CPI_2023,IF(BB491-1=2024,CPI_2024,IF(BB491-1=2025,CPI_2025,CPI_2025*(1+INFL)^(BB491-1-2025)))))</f>
        <v>0.9133500195631318</v>
      </c>
      <c r="BS491" s="8">
        <f>$BB$21*ABS($BB$11)*(BG491-BF491)/BF491</f>
        <v>691.9321563818208</v>
      </c>
      <c r="BT491" s="8">
        <f>$BB$21*ABS($BB$11)*(BH491-BF491)/BF491</f>
        <v>5975.752073402463</v>
      </c>
      <c r="BU491" s="13">
        <f>(BG491-BF491)*MCD_NF_DAYS*BR491-BS491*MCD_SHARE_FREED*R_WAIT_2023</f>
        <v>1394011.2990783718</v>
      </c>
      <c r="BV491" s="13">
        <f>(BH491-BF491)*MCD_NF_DAYS*BR491-BT491*MCD_SHARE_FREED*R_WAIT_2023</f>
        <v>12039136.834417112</v>
      </c>
      <c r="BW491" s="10">
        <f>IF(AND(BB491&gt;=RULE_START,BC491=1),1/(1+$BB$12)^(BB491-RULE_START+1),0)</f>
        <v>0.9803921568627451</v>
      </c>
      <c r="BX491">
        <f>IF(AND(BB491&gt;=RULE_START,BC491=1,BM491&lt;0),BB491,9999)</f>
        <v>2027</v>
      </c>
      <c r="BY491">
        <f>IF(AND(BB491&gt;=RULE_START,BC491=1,BN491&lt;0),BB491,9999)</f>
        <v>2027</v>
      </c>
      <c r="BZ491">
        <f>IF(AND(BB491&gt;=RULE_START,BC491=1,BO491&lt;0),BB491,9999)</f>
        <v>9999</v>
      </c>
      <c r="CB491" t="n">
        <v>2027</v>
      </c>
      <c r="CC491">
        <f>IF(CB491&lt;=RULE_START+$CB$38-1,1,0)</f>
        <v>1</v>
      </c>
      <c r="CD491" s="15">
        <f>IF(CB491=2024,G_IDX_2024,IF(CB491=2025,G_IDX_2025,IF(CB491=2026,G_IDX_2026,IF(CB491=2027,G_IDX_2027,$CB$13))))</f>
        <v>0.033</v>
      </c>
      <c r="CE491" s="8">
        <f>$CB$20*(1+G_HI)^(CB491-COST_DATE)</f>
        <v>508.7602572105798</v>
      </c>
      <c r="CF491" s="8">
        <f>CF490*(1+CD491)</f>
        <v>511.59324999999995</v>
      </c>
      <c r="CG491" s="8">
        <f>IF(CB491&lt;RULE_START,CF491,CG490*(1+G_HI))</f>
        <v>515.1439553167412</v>
      </c>
      <c r="CH491" s="8">
        <f>IF(CB491&lt;RULE_START,CF491,IF(CI491=1,R_NF_2024*(1+G_HI)^(CB491-2024),CH490*(1+CD491)))</f>
        <v>542.2583007031054</v>
      </c>
      <c r="CI491">
        <f>IF(AND(CB491&gt;=RULE_START,MOD(CB491-RULE_START,REBASE_YEARS)=0),1,0)</f>
        <v>1</v>
      </c>
      <c r="CJ491" s="8">
        <f>CF491*CAP_SHARE</f>
        <v>25.015543425378244</v>
      </c>
      <c r="CK491" s="8">
        <f>CG491*CAP_SHARE</f>
        <v>25.18916343119666</v>
      </c>
      <c r="CL491" s="8">
        <f>CH491*CAP_SHARE</f>
        <v>26.514982496368646</v>
      </c>
      <c r="CM491" s="8">
        <f>CF491-CJ491-CE491</f>
        <v>-22.182550635958137</v>
      </c>
      <c r="CN491" s="8">
        <f>CG491-CK491-CE491</f>
        <v>-18.8054653250353</v>
      </c>
      <c r="CO491" s="8">
        <f>CH491-CL491-CE491</f>
        <v>6.983060996157008</v>
      </c>
      <c r="CP491" s="8">
        <f>R_NF_2024*(1+G_HI)^(CB491-2024)</f>
        <v>542.2583007031054</v>
      </c>
      <c r="CQ491" s="10">
        <f>1-CF491/CP491</f>
        <v>0.056550634012138556</v>
      </c>
      <c r="CR491" s="10">
        <f>CPI_2023/(IF(CB491-1=2023,CPI_2023,IF(CB491-1=2024,CPI_2024,IF(CB491-1=2025,CPI_2025,CPI_2025*(1+INFL)^(CB491-1-2025)))))</f>
        <v>0.9133500195631318</v>
      </c>
      <c r="CS491" s="8">
        <f>$CB$21*ABS($CB$11)*(CG491-CF491)/CF491</f>
        <v>691.9321563818208</v>
      </c>
      <c r="CT491" s="8">
        <f>$CB$21*ABS($CB$11)*(CH491-CF491)/CF491</f>
        <v>5975.752073402463</v>
      </c>
      <c r="CU491" s="13">
        <f>(CG491-CF491)*MCD_NF_DAYS*CR491-CS491*MCD_SHARE_FREED*R_WAIT_2023</f>
        <v>1394011.2990783718</v>
      </c>
      <c r="CV491" s="13">
        <f>(CH491-CF491)*MCD_NF_DAYS*CR491-CT491*MCD_SHARE_FREED*R_WAIT_2023</f>
        <v>12039136.834417112</v>
      </c>
      <c r="CW491" s="10">
        <f>IF(AND(CB491&gt;=RULE_START,CC491=1),1/(1+$CB$12)^(CB491-RULE_START+1),0)</f>
        <v>0.9803921568627451</v>
      </c>
      <c r="CX491">
        <f>IF(AND(CB491&gt;=RULE_START,CC491=1,CM491&lt;0),CB491,9999)</f>
        <v>2027</v>
      </c>
      <c r="CY491">
        <f>IF(AND(CB491&gt;=RULE_START,CC491=1,CN491&lt;0),CB491,9999)</f>
        <v>2027</v>
      </c>
      <c r="CZ491">
        <f>IF(AND(CB491&gt;=RULE_START,CC491=1,CO491&lt;0),CB491,9999)</f>
        <v>9999</v>
      </c>
      <c r="DB491" t="n">
        <v>2027</v>
      </c>
      <c r="DC491">
        <f>IF(DB491&lt;=RULE_START+$DB$38-1,1,0)</f>
        <v>1</v>
      </c>
      <c r="DD491" s="15">
        <f>IF(DB491=2024,G_IDX_2024,IF(DB491=2025,G_IDX_2025,IF(DB491=2026,G_IDX_2026,IF(DB491=2027,G_IDX_2027,$DB$13))))</f>
        <v>0.033</v>
      </c>
      <c r="DE491" s="8">
        <f>$DB$20*(1+G_HI)^(DB491-COST_DATE)</f>
        <v>508.7602572105798</v>
      </c>
      <c r="DF491" s="8">
        <f>DF490*(1+DD491)</f>
        <v>511.59324999999995</v>
      </c>
      <c r="DG491" s="8">
        <f>IF(DB491&lt;RULE_START,DF491,DG490*(1+G_HI))</f>
        <v>515.1439553167412</v>
      </c>
      <c r="DH491" s="8">
        <f>IF(DB491&lt;RULE_START,DF491,IF(DI491=1,R_NF_2024*(1+G_HI)^(DB491-2024),DH490*(1+DD491)))</f>
        <v>542.2583007031054</v>
      </c>
      <c r="DI491">
        <f>IF(AND(DB491&gt;=RULE_START,MOD(DB491-RULE_START,REBASE_YEARS)=0),1,0)</f>
        <v>1</v>
      </c>
      <c r="DJ491" s="8">
        <f>DF491*CAP_SHARE</f>
        <v>25.015543425378244</v>
      </c>
      <c r="DK491" s="8">
        <f>DG491*CAP_SHARE</f>
        <v>25.18916343119666</v>
      </c>
      <c r="DL491" s="8">
        <f>DH491*CAP_SHARE</f>
        <v>26.514982496368646</v>
      </c>
      <c r="DM491" s="8">
        <f>DF491-DJ491-DE491</f>
        <v>-22.182550635958137</v>
      </c>
      <c r="DN491" s="8">
        <f>DG491-DK491-DE491</f>
        <v>-18.8054653250353</v>
      </c>
      <c r="DO491" s="8">
        <f>DH491-DL491-DE491</f>
        <v>6.983060996157008</v>
      </c>
      <c r="DP491" s="8">
        <f>R_NF_2024*(1+G_HI)^(DB491-2024)</f>
        <v>542.2583007031054</v>
      </c>
      <c r="DQ491" s="10">
        <f>1-DF491/DP491</f>
        <v>0.056550634012138556</v>
      </c>
      <c r="DR491" s="10">
        <f>CPI_2023/(IF(DB491-1=2023,CPI_2023,IF(DB491-1=2024,CPI_2024,IF(DB491-1=2025,CPI_2025,CPI_2025*(1+INFL)^(DB491-1-2025)))))</f>
        <v>0.9133500195631318</v>
      </c>
      <c r="DS491" s="8">
        <f>$DB$21*ABS($DB$11)*(DG491-DF491)/DF491</f>
        <v>691.9321563818208</v>
      </c>
      <c r="DT491" s="8">
        <f>$DB$21*ABS($DB$11)*(DH491-DF491)/DF491</f>
        <v>5975.752073402463</v>
      </c>
      <c r="DU491" s="13">
        <f>(DG491-DF491)*MCD_NF_DAYS*DR491-DS491*MCD_SHARE_FREED*R_WAIT_2023</f>
        <v>1394011.2990783718</v>
      </c>
      <c r="DV491" s="13">
        <f>(DH491-DF491)*MCD_NF_DAYS*DR491-DT491*MCD_SHARE_FREED*R_WAIT_2023</f>
        <v>12039136.834417112</v>
      </c>
      <c r="DW491" s="10">
        <f>IF(AND(DB491&gt;=RULE_START,DC491=1),1/(1+$DB$12)^(DB491-RULE_START+1),0)</f>
        <v>0.9803921568627451</v>
      </c>
      <c r="DX491">
        <f>IF(AND(DB491&gt;=RULE_START,DC491=1,DM491&lt;0),DB491,9999)</f>
        <v>2027</v>
      </c>
      <c r="DY491">
        <f>IF(AND(DB491&gt;=RULE_START,DC491=1,DN491&lt;0),DB491,9999)</f>
        <v>2027</v>
      </c>
      <c r="DZ491">
        <f>IF(AND(DB491&gt;=RULE_START,DC491=1,DO491&lt;0),DB491,9999)</f>
        <v>9999</v>
      </c>
      <c r="EB491" t="n">
        <v>2027</v>
      </c>
      <c r="EC491">
        <f>IF(EB491&lt;=RULE_START+$EB$38-1,1,0)</f>
        <v>1</v>
      </c>
      <c r="ED491" s="15">
        <f>IF(EB491=2024,G_IDX_2024,IF(EB491=2025,G_IDX_2025,IF(EB491=2026,G_IDX_2026,IF(EB491=2027,G_IDX_2027,$EB$13))))</f>
        <v>0.033</v>
      </c>
      <c r="EE491" s="8">
        <f>$EB$20*(1+G_HI)^(EB491-COST_DATE)</f>
        <v>508.7602572105798</v>
      </c>
      <c r="EF491" s="8">
        <f>EF490*(1+ED491)</f>
        <v>511.59324999999995</v>
      </c>
      <c r="EG491" s="8">
        <f>IF(EB491&lt;RULE_START,EF491,EG490*(1+G_HI))</f>
        <v>515.1439553167412</v>
      </c>
      <c r="EH491" s="8">
        <f>IF(EB491&lt;RULE_START,EF491,IF(EI491=1,R_NF_2024*(1+G_HI)^(EB491-2024),EH490*(1+ED491)))</f>
        <v>542.2583007031054</v>
      </c>
      <c r="EI491">
        <f>IF(AND(EB491&gt;=RULE_START,MOD(EB491-RULE_START,REBASE_YEARS)=0),1,0)</f>
        <v>1</v>
      </c>
      <c r="EJ491" s="8">
        <f>EF491*CAP_SHARE</f>
        <v>25.015543425378244</v>
      </c>
      <c r="EK491" s="8">
        <f>EG491*CAP_SHARE</f>
        <v>25.18916343119666</v>
      </c>
      <c r="EL491" s="8">
        <f>EH491*CAP_SHARE</f>
        <v>26.514982496368646</v>
      </c>
      <c r="EM491" s="8">
        <f>EF491-EJ491-EE491</f>
        <v>-22.182550635958137</v>
      </c>
      <c r="EN491" s="8">
        <f>EG491-EK491-EE491</f>
        <v>-18.8054653250353</v>
      </c>
      <c r="EO491" s="8">
        <f>EH491-EL491-EE491</f>
        <v>6.983060996157008</v>
      </c>
      <c r="EP491" s="8">
        <f>R_NF_2024*(1+G_HI)^(EB491-2024)</f>
        <v>542.2583007031054</v>
      </c>
      <c r="EQ491" s="10">
        <f>1-EF491/EP491</f>
        <v>0.056550634012138556</v>
      </c>
      <c r="ER491" s="10">
        <f>CPI_2023/(IF(EB491-1=2023,CPI_2023,IF(EB491-1=2024,CPI_2024,IF(EB491-1=2025,CPI_2025,CPI_2025*(1+INFL)^(EB491-1-2025)))))</f>
        <v>0.9133500195631318</v>
      </c>
      <c r="ES491" s="8">
        <f>$EB$21*ABS($EB$11)*(EG491-EF491)/EF491</f>
        <v>691.9321563818208</v>
      </c>
      <c r="ET491" s="8">
        <f>$EB$21*ABS($EB$11)*(EH491-EF491)/EF491</f>
        <v>5975.752073402463</v>
      </c>
      <c r="EU491" s="13">
        <f>(EG491-EF491)*MCD_NF_DAYS*ER491-ES491*MCD_SHARE_FREED*R_WAIT_2023</f>
        <v>1394011.2990783718</v>
      </c>
      <c r="EV491" s="13">
        <f>(EH491-EF491)*MCD_NF_DAYS*ER491-ET491*MCD_SHARE_FREED*R_WAIT_2023</f>
        <v>12039136.834417112</v>
      </c>
      <c r="EW491" s="10">
        <f>IF(AND(EB491&gt;=RULE_START,EC491=1),1/(1+$EB$12)^(EB491-RULE_START+1),0)</f>
        <v>0.9803921568627451</v>
      </c>
      <c r="EX491">
        <f>IF(AND(EB491&gt;=RULE_START,EC491=1,EM491&lt;0),EB491,9999)</f>
        <v>2027</v>
      </c>
      <c r="EY491">
        <f>IF(AND(EB491&gt;=RULE_START,EC491=1,EN491&lt;0),EB491,9999)</f>
        <v>2027</v>
      </c>
      <c r="EZ491">
        <f>IF(AND(EB491&gt;=RULE_START,EC491=1,EO491&lt;0),EB491,9999)</f>
        <v>9999</v>
      </c>
      <c r="FB491" t="n">
        <v>2027</v>
      </c>
      <c r="FC491">
        <f>IF(FB491&lt;=RULE_START+$FB$38-1,1,0)</f>
        <v>1</v>
      </c>
      <c r="FD491" s="15">
        <f>IF(FB491=2024,G_IDX_2024,IF(FB491=2025,G_IDX_2025,IF(FB491=2026,G_IDX_2026,IF(FB491=2027,G_IDX_2027,$FB$13))))</f>
        <v>0.033</v>
      </c>
      <c r="FE491" s="8">
        <f>$FB$20*(1+G_HI)^(FB491-COST_DATE)</f>
        <v>523.5816228627726</v>
      </c>
      <c r="FF491" s="8">
        <f>FF490*(1+FD491)</f>
        <v>511.59324999999995</v>
      </c>
      <c r="FG491" s="8">
        <f>IF(FB491&lt;RULE_START,FF491,FG490*(1+G_HI))</f>
        <v>515.1439553167412</v>
      </c>
      <c r="FH491" s="8">
        <f>IF(FB491&lt;RULE_START,FF491,IF(FI491=1,R_NF_2024*(1+G_HI)^(FB491-2024),FH490*(1+FD491)))</f>
        <v>542.2583007031054</v>
      </c>
      <c r="FI491">
        <f>IF(AND(FB491&gt;=RULE_START,MOD(FB491-RULE_START,REBASE_YEARS)=0),1,0)</f>
        <v>1</v>
      </c>
      <c r="FJ491" s="8">
        <f>FF491*CAP_SHARE</f>
        <v>25.015543425378244</v>
      </c>
      <c r="FK491" s="8">
        <f>FG491*CAP_SHARE</f>
        <v>25.18916343119666</v>
      </c>
      <c r="FL491" s="8">
        <f>FH491*CAP_SHARE</f>
        <v>26.514982496368646</v>
      </c>
      <c r="FM491" s="8">
        <f>FF491-FJ491-FE491</f>
        <v>-37.00391628815095</v>
      </c>
      <c r="FN491" s="8">
        <f>FG491-FK491-FE491</f>
        <v>-33.62683097722811</v>
      </c>
      <c r="FO491" s="8">
        <f>FH491-FL491-FE491</f>
        <v>-7.8383046560358025</v>
      </c>
      <c r="FP491" s="8">
        <f>R_NF_2024*(1+G_HI)^(FB491-2024)</f>
        <v>542.2583007031054</v>
      </c>
      <c r="FQ491" s="10">
        <f>1-FF491/FP491</f>
        <v>0.056550634012138556</v>
      </c>
      <c r="FR491" s="10">
        <f>CPI_2023/(IF(FB491-1=2023,CPI_2023,IF(FB491-1=2024,CPI_2024,IF(FB491-1=2025,CPI_2025,CPI_2025*(1+INFL)^(FB491-1-2025)))))</f>
        <v>0.9133500195631318</v>
      </c>
      <c r="FS491" s="8">
        <f>$FB$21*ABS($FB$11)*(FG491-FF491)/FF491</f>
        <v>691.9321563818208</v>
      </c>
      <c r="FT491" s="8">
        <f>$FB$21*ABS($FB$11)*(FH491-FF491)/FF491</f>
        <v>5975.752073402463</v>
      </c>
      <c r="FU491" s="13">
        <f>(FG491-FF491)*MCD_NF_DAYS*FR491-FS491*MCD_SHARE_FREED*R_WAIT_2023</f>
        <v>1394011.2990783718</v>
      </c>
      <c r="FV491" s="13">
        <f>(FH491-FF491)*MCD_NF_DAYS*FR491-FT491*MCD_SHARE_FREED*R_WAIT_2023</f>
        <v>12039136.834417112</v>
      </c>
      <c r="FW491" s="10">
        <f>IF(AND(FB491&gt;=RULE_START,FC491=1),1/(1+$FB$12)^(FB491-RULE_START+1),0)</f>
        <v>0.9803921568627451</v>
      </c>
      <c r="FX491">
        <f>IF(AND(FB491&gt;=RULE_START,FC491=1,FM491&lt;0),FB491,9999)</f>
        <v>2027</v>
      </c>
      <c r="FY491">
        <f>IF(AND(FB491&gt;=RULE_START,FC491=1,FN491&lt;0),FB491,9999)</f>
        <v>2027</v>
      </c>
      <c r="FZ491">
        <f>IF(AND(FB491&gt;=RULE_START,FC491=1,FO491&lt;0),FB491,9999)</f>
        <v>2027</v>
      </c>
      <c r="GB491" t="n">
        <v>2027</v>
      </c>
      <c r="GC491">
        <f>IF(GB491&lt;=RULE_START+$GB$38-1,1,0)</f>
        <v>1</v>
      </c>
      <c r="GD491" s="15">
        <f>IF(GB491=2024,G_IDX_2024,IF(GB491=2025,G_IDX_2025,IF(GB491=2026,G_IDX_2026,IF(GB491=2027,G_IDX_2027,$GB$13))))</f>
        <v>0.033</v>
      </c>
      <c r="GE491" s="8">
        <f>$GB$20*(1+G_HI)^(GB491-COST_DATE)</f>
        <v>508.7602572105798</v>
      </c>
      <c r="GF491" s="8">
        <f>GF490*(1+GD491)</f>
        <v>511.59324999999995</v>
      </c>
      <c r="GG491" s="8">
        <f>IF(GB491&lt;RULE_START,GF491,GG490*(1+G_HI))</f>
        <v>515.1439553167412</v>
      </c>
      <c r="GH491" s="8">
        <f>IF(GB491&lt;RULE_START,GF491,IF(GI491=1,R_NF_2024*(1+G_HI)^(GB491-2024),GH490*(1+GD491)))</f>
        <v>542.2583007031054</v>
      </c>
      <c r="GI491">
        <f>IF(AND(GB491&gt;=RULE_START,MOD(GB491-RULE_START,REBASE_YEARS)=0),1,0)</f>
        <v>1</v>
      </c>
      <c r="GJ491" s="8">
        <f>GF491*CAP_SHARE</f>
        <v>25.015543425378244</v>
      </c>
      <c r="GK491" s="8">
        <f>GG491*CAP_SHARE</f>
        <v>25.18916343119666</v>
      </c>
      <c r="GL491" s="8">
        <f>GH491*CAP_SHARE</f>
        <v>26.514982496368646</v>
      </c>
      <c r="GM491" s="8">
        <f>GF491-GJ491-GE491</f>
        <v>-22.182550635958137</v>
      </c>
      <c r="GN491" s="8">
        <f>GG491-GK491-GE491</f>
        <v>-18.8054653250353</v>
      </c>
      <c r="GO491" s="8">
        <f>GH491-GL491-GE491</f>
        <v>6.983060996157008</v>
      </c>
      <c r="GP491" s="8">
        <f>R_NF_2024*(1+G_HI)^(GB491-2024)</f>
        <v>542.2583007031054</v>
      </c>
      <c r="GQ491" s="10">
        <f>1-GF491/GP491</f>
        <v>0.056550634012138556</v>
      </c>
      <c r="GR491" s="10">
        <f>CPI_2023/(IF(GB491-1=2023,CPI_2023,IF(GB491-1=2024,CPI_2024,IF(GB491-1=2025,CPI_2025,CPI_2025*(1+INFL)^(GB491-1-2025)))))</f>
        <v>0.9133500195631318</v>
      </c>
      <c r="GS491" s="8">
        <f>$GB$21*ABS($GB$11)*(GG491-GF491)/GF491</f>
        <v>522.3049779499906</v>
      </c>
      <c r="GT491" s="8">
        <f>$GB$21*ABS($GB$11)*(GH491-GF491)/GF491</f>
        <v>4510.796363698362</v>
      </c>
      <c r="GU491" s="13">
        <f>(GG491-GF491)*MCD_NF_DAYS*GR491-GS491*MCD_SHARE_FREED*R_WAIT_2023</f>
        <v>1471143.9543892625</v>
      </c>
      <c r="GV491" s="13">
        <f>(GH491-GF491)*MCD_NF_DAYS*GR491-GT491*MCD_SHARE_FREED*R_WAIT_2023</f>
        <v>12705279.635629468</v>
      </c>
      <c r="GW491" s="10">
        <f>IF(AND(GB491&gt;=RULE_START,GC491=1),1/(1+$GB$12)^(GB491-RULE_START+1),0)</f>
        <v>0.9803921568627451</v>
      </c>
      <c r="GX491">
        <f>IF(AND(GB491&gt;=RULE_START,GC491=1,GM491&lt;0),GB491,9999)</f>
        <v>2027</v>
      </c>
      <c r="GY491">
        <f>IF(AND(GB491&gt;=RULE_START,GC491=1,GN491&lt;0),GB491,9999)</f>
        <v>2027</v>
      </c>
      <c r="GZ491">
        <f>IF(AND(GB491&gt;=RULE_START,GC491=1,GO491&lt;0),GB491,9999)</f>
        <v>9999</v>
      </c>
      <c r="HB491" t="n">
        <v>2027</v>
      </c>
      <c r="HC491">
        <f>IF(HB491&lt;=RULE_START+$HB$38-1,1,0)</f>
        <v>1</v>
      </c>
      <c r="HD491" s="15">
        <f>IF(HB491=2024,G_IDX_2024,IF(HB491=2025,G_IDX_2025,IF(HB491=2026,G_IDX_2026,IF(HB491=2027,G_IDX_2027,$HB$13))))</f>
        <v>0.033</v>
      </c>
      <c r="HE491" s="8">
        <f>$HB$20*(1+G_HI)^(HB491-COST_DATE)</f>
        <v>508.7602572105798</v>
      </c>
      <c r="HF491" s="8">
        <f>HF490*(1+HD491)</f>
        <v>511.59324999999995</v>
      </c>
      <c r="HG491" s="8">
        <f>IF(HB491&lt;RULE_START,HF491,HG490*(1+G_HI))</f>
        <v>515.1439553167412</v>
      </c>
      <c r="HH491" s="8">
        <f>IF(HB491&lt;RULE_START,HF491,IF(HI491=1,R_NF_2024*(1+G_HI)^(HB491-2024),HH490*(1+HD491)))</f>
        <v>542.2583007031054</v>
      </c>
      <c r="HI491">
        <f>IF(AND(HB491&gt;=RULE_START,MOD(HB491-RULE_START,REBASE_YEARS)=0),1,0)</f>
        <v>1</v>
      </c>
      <c r="HJ491" s="8">
        <f>HF491*CAP_SHARE</f>
        <v>25.015543425378244</v>
      </c>
      <c r="HK491" s="8">
        <f>HG491*CAP_SHARE</f>
        <v>25.18916343119666</v>
      </c>
      <c r="HL491" s="8">
        <f>HH491*CAP_SHARE</f>
        <v>26.514982496368646</v>
      </c>
      <c r="HM491" s="8">
        <f>HF491-HJ491-HE491</f>
        <v>-22.182550635958137</v>
      </c>
      <c r="HN491" s="8">
        <f>HG491-HK491-HE491</f>
        <v>-18.8054653250353</v>
      </c>
      <c r="HO491" s="8">
        <f>HH491-HL491-HE491</f>
        <v>6.983060996157008</v>
      </c>
      <c r="HP491" s="8">
        <f>R_NF_2024*(1+G_HI)^(HB491-2024)</f>
        <v>542.2583007031054</v>
      </c>
      <c r="HQ491" s="10">
        <f>1-HF491/HP491</f>
        <v>0.056550634012138556</v>
      </c>
      <c r="HR491" s="10">
        <f>CPI_2023/(IF(HB491-1=2023,CPI_2023,IF(HB491-1=2024,CPI_2024,IF(HB491-1=2025,CPI_2025,CPI_2025*(1+INFL)^(HB491-1-2025)))))</f>
        <v>0.9133500195631318</v>
      </c>
      <c r="HS491" s="8">
        <f>$HB$21*ABS($HB$11)*(HG491-HF491)/HF491</f>
        <v>691.9321563818208</v>
      </c>
      <c r="HT491" s="8">
        <f>$HB$21*ABS($HB$11)*(HH491-HF491)/HF491</f>
        <v>5975.752073402463</v>
      </c>
      <c r="HU491" s="13">
        <f>(HG491-HF491)*MCD_NF_DAYS*HR491-HS491*MCD_SHARE_FREED*R_WAIT_2023</f>
        <v>1394011.2990783718</v>
      </c>
      <c r="HV491" s="13">
        <f>(HH491-HF491)*MCD_NF_DAYS*HR491-HT491*MCD_SHARE_FREED*R_WAIT_2023</f>
        <v>12039136.834417112</v>
      </c>
      <c r="HW491" s="10">
        <f>IF(AND(HB491&gt;=RULE_START,HC491=1),1/(1+$HB$12)^(HB491-RULE_START+1),0)</f>
        <v>0.970873786407767</v>
      </c>
      <c r="HX491">
        <f>IF(AND(HB491&gt;=RULE_START,HC491=1,HM491&lt;0),HB491,9999)</f>
        <v>2027</v>
      </c>
      <c r="HY491">
        <f>IF(AND(HB491&gt;=RULE_START,HC491=1,HN491&lt;0),HB491,9999)</f>
        <v>2027</v>
      </c>
      <c r="HZ491">
        <f>IF(AND(HB491&gt;=RULE_START,HC491=1,HO491&lt;0),HB491,9999)</f>
        <v>9999</v>
      </c>
      <c r="IB491" t="n">
        <v>2027</v>
      </c>
      <c r="IC491">
        <f>IF(IB491&lt;=RULE_START+$IB$38-1,1,0)</f>
        <v>1</v>
      </c>
      <c r="ID491" s="15">
        <f>IF(IB491=2024,G_IDX_2024,IF(IB491=2025,G_IDX_2025,IF(IB491=2026,G_IDX_2026,IF(IB491=2027,G_IDX_2027,$IB$13))))</f>
        <v>0.033</v>
      </c>
      <c r="IE491" s="8">
        <f>$IB$20*(1+G_HI)^(IB491-COST_DATE)</f>
        <v>508.7602572105798</v>
      </c>
      <c r="IF491" s="8">
        <f>IF490*(1+ID491)</f>
        <v>511.59324999999995</v>
      </c>
      <c r="IG491" s="8">
        <f>IF(IB491&lt;RULE_START,IF491,IG490*(1+G_HI))</f>
        <v>515.1439553167412</v>
      </c>
      <c r="IH491" s="8">
        <f>IF(IB491&lt;RULE_START,IF491,IF(II491=1,R_NF_2024*(1+G_HI)^(IB491-2024),IH490*(1+ID491)))</f>
        <v>542.2583007031054</v>
      </c>
      <c r="II491">
        <f>IF(AND(IB491&gt;=RULE_START,MOD(IB491-RULE_START,REBASE_YEARS)=0),1,0)</f>
        <v>1</v>
      </c>
      <c r="IJ491" s="8">
        <f>IF491*CAP_SHARE</f>
        <v>25.015543425378244</v>
      </c>
      <c r="IK491" s="8">
        <f>IG491*CAP_SHARE</f>
        <v>25.18916343119666</v>
      </c>
      <c r="IL491" s="8">
        <f>IH491*CAP_SHARE</f>
        <v>26.514982496368646</v>
      </c>
      <c r="IM491" s="8">
        <f>IF491-IJ491-IE491</f>
        <v>-22.182550635958137</v>
      </c>
      <c r="IN491" s="8">
        <f>IG491-IK491-IE491</f>
        <v>-18.8054653250353</v>
      </c>
      <c r="IO491" s="8">
        <f>IH491-IL491-IE491</f>
        <v>6.983060996157008</v>
      </c>
      <c r="IP491" s="8">
        <f>R_NF_2024*(1+G_HI)^(IB491-2024)</f>
        <v>542.2583007031054</v>
      </c>
      <c r="IQ491" s="10">
        <f>1-IF491/IP491</f>
        <v>0.056550634012138556</v>
      </c>
      <c r="IR491" s="10">
        <f>CPI_2023/(IF(IB491-1=2023,CPI_2023,IF(IB491-1=2024,CPI_2024,IF(IB491-1=2025,CPI_2025,CPI_2025*(1+INFL)^(IB491-1-2025)))))</f>
        <v>0.9133500195631318</v>
      </c>
      <c r="IS491" s="8">
        <f>$IB$21*ABS($IB$11)*(IG491-IF491)/IF491</f>
        <v>691.9321563818208</v>
      </c>
      <c r="IT491" s="8">
        <f>$IB$21*ABS($IB$11)*(IH491-IF491)/IF491</f>
        <v>5975.752073402463</v>
      </c>
      <c r="IU491" s="13">
        <f>(IG491-IF491)*MCD_NF_DAYS*IR491-IS491*MCD_SHARE_FREED*R_WAIT_2023</f>
        <v>1394011.2990783718</v>
      </c>
      <c r="IV491" s="13">
        <f>(IH491-IF491)*MCD_NF_DAYS*IR491-IT491*MCD_SHARE_FREED*R_WAIT_2023</f>
        <v>12039136.834417112</v>
      </c>
      <c r="IW491" s="10">
        <f>IF(AND(IB491&gt;=RULE_START,IC491=1),1/(1+$IB$12)^(IB491-RULE_START+1),0)</f>
        <v>0.9345794392523364</v>
      </c>
      <c r="IX491">
        <f>IF(AND(IB491&gt;=RULE_START,IC491=1,IM491&lt;0),IB491,9999)</f>
        <v>2027</v>
      </c>
      <c r="IY491">
        <f>IF(AND(IB491&gt;=RULE_START,IC491=1,IN491&lt;0),IB491,9999)</f>
        <v>2027</v>
      </c>
      <c r="IZ491">
        <f>IF(AND(IB491&gt;=RULE_START,IC491=1,IO491&lt;0),IB491,9999)</f>
        <v>9999</v>
      </c>
      <c r="JB491" t="n">
        <v>2027</v>
      </c>
      <c r="JC491">
        <f>IF(JB491&lt;=RULE_START+$JB$38-1,1,0)</f>
        <v>1</v>
      </c>
      <c r="JD491" s="15">
        <f>IF(JB491=2024,G_IDX_2024,IF(JB491=2025,G_IDX_2025,IF(JB491=2026,G_IDX_2026,IF(JB491=2027,G_IDX_2027,$JB$13))))</f>
        <v>0.033</v>
      </c>
      <c r="JE491" s="8">
        <f>$JB$20*(1+G_HI)^(JB491-COST_DATE)</f>
        <v>508.7602572105798</v>
      </c>
      <c r="JF491" s="8">
        <f>JF490*(1+JD491)</f>
        <v>511.59324999999995</v>
      </c>
      <c r="JG491" s="8">
        <f>IF(JB491&lt;RULE_START,JF491,JG490*(1+G_HI))</f>
        <v>515.1439553167412</v>
      </c>
      <c r="JH491" s="8">
        <f>IF(JB491&lt;RULE_START,JF491,IF(JI491=1,R_NF_2024*(1+G_HI)^(JB491-2024),JH490*(1+JD491)))</f>
        <v>542.2583007031054</v>
      </c>
      <c r="JI491">
        <f>IF(AND(JB491&gt;=RULE_START,MOD(JB491-RULE_START,REBASE_YEARS)=0),1,0)</f>
        <v>1</v>
      </c>
      <c r="JJ491" s="8">
        <f>JF491*CAP_SHARE</f>
        <v>25.015543425378244</v>
      </c>
      <c r="JK491" s="8">
        <f>JG491*CAP_SHARE</f>
        <v>25.18916343119666</v>
      </c>
      <c r="JL491" s="8">
        <f>JH491*CAP_SHARE</f>
        <v>26.514982496368646</v>
      </c>
      <c r="JM491" s="8">
        <f>JF491-JJ491-JE491</f>
        <v>-22.182550635958137</v>
      </c>
      <c r="JN491" s="8">
        <f>JG491-JK491-JE491</f>
        <v>-18.8054653250353</v>
      </c>
      <c r="JO491" s="8">
        <f>JH491-JL491-JE491</f>
        <v>6.983060996157008</v>
      </c>
      <c r="JP491" s="8">
        <f>R_NF_2024*(1+G_HI)^(JB491-2024)</f>
        <v>542.2583007031054</v>
      </c>
      <c r="JQ491" s="10">
        <f>1-JF491/JP491</f>
        <v>0.056550634012138556</v>
      </c>
      <c r="JR491" s="10">
        <f>CPI_2023/(IF(JB491-1=2023,CPI_2023,IF(JB491-1=2024,CPI_2024,IF(JB491-1=2025,CPI_2025,CPI_2025*(1+INFL)^(JB491-1-2025)))))</f>
        <v>0.9133500195631318</v>
      </c>
      <c r="JS491" s="8">
        <f>$JB$21*ABS($JB$11)*(JG491-JF491)/JF491</f>
        <v>691.9321563818208</v>
      </c>
      <c r="JT491" s="8">
        <f>$JB$21*ABS($JB$11)*(JH491-JF491)/JF491</f>
        <v>5975.752073402463</v>
      </c>
      <c r="JU491" s="13">
        <f>(JG491-JF491)*MCD_NF_DAYS*JR491-JS491*MCD_SHARE_FREED*R_WAIT_2023</f>
        <v>1394011.2990783718</v>
      </c>
      <c r="JV491" s="13">
        <f>(JH491-JF491)*MCD_NF_DAYS*JR491-JT491*MCD_SHARE_FREED*R_WAIT_2023</f>
        <v>12039136.834417112</v>
      </c>
      <c r="JW491" s="10">
        <f>IF(AND(JB491&gt;=RULE_START,JC491=1),1/(1+$JB$12)^(JB491-RULE_START+1),0)</f>
        <v>0.9803921568627451</v>
      </c>
      <c r="JX491">
        <f>IF(AND(JB491&gt;=RULE_START,JC491=1,JM491&lt;0),JB491,9999)</f>
        <v>2027</v>
      </c>
      <c r="JY491">
        <f>IF(AND(JB491&gt;=RULE_START,JC491=1,JN491&lt;0),JB491,9999)</f>
        <v>2027</v>
      </c>
      <c r="JZ491">
        <f>IF(AND(JB491&gt;=RULE_START,JC491=1,JO491&lt;0),JB491,9999)</f>
        <v>9999</v>
      </c>
      <c r="KB491" t="n">
        <v>2027</v>
      </c>
      <c r="KC491">
        <f>IF(KB491&lt;=RULE_START+$KB$38-1,1,0)</f>
        <v>1</v>
      </c>
      <c r="KD491" s="15">
        <f>IF(KB491=2024,G_IDX_2024,IF(KB491=2025,G_IDX_2025,IF(KB491=2026,G_IDX_2026,IF(KB491=2027,G_IDX_2027,$KB$13))))</f>
        <v>0.033</v>
      </c>
      <c r="KE491" s="8">
        <f>$KB$20*(1+G_HI)^(KB491-COST_DATE)</f>
        <v>508.7602572105798</v>
      </c>
      <c r="KF491" s="8">
        <f>KF490*(1+KD491)</f>
        <v>511.59324999999995</v>
      </c>
      <c r="KG491" s="8">
        <f>IF(KB491&lt;RULE_START,KF491,KG490*(1+G_HI))</f>
        <v>515.1439553167412</v>
      </c>
      <c r="KH491" s="8">
        <f>IF(KB491&lt;RULE_START,KF491,IF(KI491=1,R_NF_2024*(1+G_HI)^(KB491-2024),KH490*(1+KD491)))</f>
        <v>542.2583007031054</v>
      </c>
      <c r="KI491">
        <f>IF(AND(KB491&gt;=RULE_START,MOD(KB491-RULE_START,REBASE_YEARS)=0),1,0)</f>
        <v>1</v>
      </c>
      <c r="KJ491" s="8">
        <f>KF491*CAP_SHARE</f>
        <v>25.015543425378244</v>
      </c>
      <c r="KK491" s="8">
        <f>KG491*CAP_SHARE</f>
        <v>25.18916343119666</v>
      </c>
      <c r="KL491" s="8">
        <f>KH491*CAP_SHARE</f>
        <v>26.514982496368646</v>
      </c>
      <c r="KM491" s="8">
        <f>KF491-KJ491-KE491</f>
        <v>-22.182550635958137</v>
      </c>
      <c r="KN491" s="8">
        <f>KG491-KK491-KE491</f>
        <v>-18.8054653250353</v>
      </c>
      <c r="KO491" s="8">
        <f>KH491-KL491-KE491</f>
        <v>6.983060996157008</v>
      </c>
      <c r="KP491" s="8">
        <f>R_NF_2024*(1+G_HI)^(KB491-2024)</f>
        <v>542.2583007031054</v>
      </c>
      <c r="KQ491" s="10">
        <f>1-KF491/KP491</f>
        <v>0.056550634012138556</v>
      </c>
      <c r="KR491" s="10">
        <f>CPI_2023/(IF(KB491-1=2023,CPI_2023,IF(KB491-1=2024,CPI_2024,IF(KB491-1=2025,CPI_2025,CPI_2025*(1+INFL)^(KB491-1-2025)))))</f>
        <v>0.9133500195631318</v>
      </c>
      <c r="KS491" s="8">
        <f>$KB$21*ABS($KB$11)*(KG491-KF491)/KF491</f>
        <v>691.9321563818208</v>
      </c>
      <c r="KT491" s="8">
        <f>$KB$21*ABS($KB$11)*(KH491-KF491)/KF491</f>
        <v>5975.752073402463</v>
      </c>
      <c r="KU491" s="13">
        <f>(KG491-KF491)*MCD_NF_DAYS*KR491-KS491*MCD_SHARE_FREED*R_WAIT_2023</f>
        <v>1394011.2990783718</v>
      </c>
      <c r="KV491" s="13">
        <f>(KH491-KF491)*MCD_NF_DAYS*KR491-KT491*MCD_SHARE_FREED*R_WAIT_2023</f>
        <v>12039136.834417112</v>
      </c>
      <c r="KW491" s="10">
        <f>IF(AND(KB491&gt;=RULE_START,KC491=1),1/(1+$KB$12)^(KB491-RULE_START+1),0)</f>
        <v>0.9803921568627451</v>
      </c>
      <c r="KX491">
        <f>IF(AND(KB491&gt;=RULE_START,KC491=1,KM491&lt;0),KB491,9999)</f>
        <v>2027</v>
      </c>
      <c r="KY491">
        <f>IF(AND(KB491&gt;=RULE_START,KC491=1,KN491&lt;0),KB491,9999)</f>
        <v>2027</v>
      </c>
      <c r="KZ491">
        <f>IF(AND(KB491&gt;=RULE_START,KC491=1,KO491&lt;0),KB491,9999)</f>
        <v>9999</v>
      </c>
      <c r="LB491" t="n">
        <v>2027</v>
      </c>
      <c r="LC491">
        <f>IF(LB491&lt;=RULE_START+$LB$38-1,1,0)</f>
        <v>1</v>
      </c>
      <c r="LD491" s="15">
        <f>IF(LB491=2024,G_IDX_2024,IF(LB491=2025,G_IDX_2025,IF(LB491=2026,G_IDX_2026,IF(LB491=2027,G_IDX_2027,$LB$13))))</f>
        <v>0.033</v>
      </c>
      <c r="LE491" s="8">
        <f>$LB$20*(1+G_HI)^(LB491-COST_DATE)</f>
        <v>508.7602572105798</v>
      </c>
      <c r="LF491" s="8">
        <f>LF490*(1+LD491)</f>
        <v>511.59324999999995</v>
      </c>
      <c r="LG491" s="8">
        <f>IF(LB491&lt;RULE_START,LF491,LG490*(1+G_HI))</f>
        <v>515.1439553167412</v>
      </c>
      <c r="LH491" s="8">
        <f>IF(LB491&lt;RULE_START,LF491,IF(LI491=1,R_NF_2024*(1+G_HI)^(LB491-2024),LH490*(1+LD491)))</f>
        <v>542.2583007031054</v>
      </c>
      <c r="LI491">
        <f>IF(AND(LB491&gt;=RULE_START,MOD(LB491-RULE_START,REBASE_YEARS)=0),1,0)</f>
        <v>1</v>
      </c>
      <c r="LJ491" s="8">
        <f>LF491*CAP_SHARE</f>
        <v>25.015543425378244</v>
      </c>
      <c r="LK491" s="8">
        <f>LG491*CAP_SHARE</f>
        <v>25.18916343119666</v>
      </c>
      <c r="LL491" s="8">
        <f>LH491*CAP_SHARE</f>
        <v>26.514982496368646</v>
      </c>
      <c r="LM491" s="8">
        <f>LF491-LJ491-LE491</f>
        <v>-22.182550635958137</v>
      </c>
      <c r="LN491" s="8">
        <f>LG491-LK491-LE491</f>
        <v>-18.8054653250353</v>
      </c>
      <c r="LO491" s="8">
        <f>LH491-LL491-LE491</f>
        <v>6.983060996157008</v>
      </c>
      <c r="LP491" s="8">
        <f>R_NF_2024*(1+G_HI)^(LB491-2024)</f>
        <v>542.2583007031054</v>
      </c>
      <c r="LQ491" s="10">
        <f>1-LF491/LP491</f>
        <v>0.056550634012138556</v>
      </c>
      <c r="LR491" s="10">
        <f>CPI_2023/(IF(LB491-1=2023,CPI_2023,IF(LB491-1=2024,CPI_2024,IF(LB491-1=2025,CPI_2025,CPI_2025*(1+INFL)^(LB491-1-2025)))))</f>
        <v>0.9133500195631318</v>
      </c>
      <c r="LS491" s="8">
        <f>$LB$21*ABS($LB$11)*(LG491-LF491)/LF491</f>
        <v>691.9321563818208</v>
      </c>
      <c r="LT491" s="8">
        <f>$LB$21*ABS($LB$11)*(LH491-LF491)/LF491</f>
        <v>5975.752073402463</v>
      </c>
      <c r="LU491" s="13">
        <f>(LG491-LF491)*MCD_NF_DAYS*LR491-LS491*MCD_SHARE_FREED*R_WAIT_2023</f>
        <v>1394011.2990783718</v>
      </c>
      <c r="LV491" s="13">
        <f>(LH491-LF491)*MCD_NF_DAYS*LR491-LT491*MCD_SHARE_FREED*R_WAIT_2023</f>
        <v>12039136.834417112</v>
      </c>
      <c r="LW491" s="10">
        <f>IF(AND(LB491&gt;=RULE_START,LC491=1),1/(1+$LB$12)^(LB491-RULE_START+1),0)</f>
        <v>0.9803921568627451</v>
      </c>
      <c r="LX491">
        <f>IF(AND(LB491&gt;=RULE_START,LC491=1,LM491&lt;0),LB491,9999)</f>
        <v>2027</v>
      </c>
      <c r="LY491">
        <f>IF(AND(LB491&gt;=RULE_START,LC491=1,LN491&lt;0),LB491,9999)</f>
        <v>2027</v>
      </c>
      <c r="LZ491">
        <f>IF(AND(LB491&gt;=RULE_START,LC491=1,LO491&lt;0),LB491,9999)</f>
        <v>9999</v>
      </c>
      <c r="MB491" t="n">
        <v>2027</v>
      </c>
      <c r="MC491">
        <f>IF(MB491&lt;=RULE_START+$MB$38-1,1,0)</f>
        <v>1</v>
      </c>
      <c r="MD491" s="15">
        <f>IF(MB491=2024,G_IDX_2024,IF(MB491=2025,G_IDX_2025,IF(MB491=2026,G_IDX_2026,IF(MB491=2027,G_IDX_2027,$MB$13))))</f>
        <v>0.033</v>
      </c>
      <c r="ME491" s="8">
        <f>$MB$20*(1+G_HI)^(MB491-COST_DATE)</f>
        <v>508.7602572105798</v>
      </c>
      <c r="MF491" s="8">
        <f>MF490*(1+MD491)</f>
        <v>511.59324999999995</v>
      </c>
      <c r="MG491" s="8">
        <f>IF(MB491&lt;RULE_START,MF491,MG490*(1+G_HI))</f>
        <v>515.1439553167412</v>
      </c>
      <c r="MH491" s="8">
        <f>IF(MB491&lt;RULE_START,MF491,IF(MI491=1,R_NF_2024*(1+G_HI)^(MB491-2024),MH490*(1+MD491)))</f>
        <v>542.2583007031054</v>
      </c>
      <c r="MI491">
        <f>IF(AND(MB491&gt;=RULE_START,MOD(MB491-RULE_START,REBASE_YEARS)=0),1,0)</f>
        <v>1</v>
      </c>
      <c r="MJ491" s="8">
        <f>MF491*CAP_SHARE</f>
        <v>25.015543425378244</v>
      </c>
      <c r="MK491" s="8">
        <f>MG491*CAP_SHARE</f>
        <v>25.18916343119666</v>
      </c>
      <c r="ML491" s="8">
        <f>MH491*CAP_SHARE</f>
        <v>26.514982496368646</v>
      </c>
      <c r="MM491" s="8">
        <f>MF491-MJ491-ME491</f>
        <v>-22.182550635958137</v>
      </c>
      <c r="MN491" s="8">
        <f>MG491-MK491-ME491</f>
        <v>-18.8054653250353</v>
      </c>
      <c r="MO491" s="8">
        <f>MH491-ML491-ME491</f>
        <v>6.983060996157008</v>
      </c>
      <c r="MP491" s="8">
        <f>R_NF_2024*(1+G_HI)^(MB491-2024)</f>
        <v>542.2583007031054</v>
      </c>
      <c r="MQ491" s="10">
        <f>1-MF491/MP491</f>
        <v>0.056550634012138556</v>
      </c>
      <c r="MR491" s="10">
        <f>CPI_2023/(IF(MB491-1=2023,CPI_2023,IF(MB491-1=2024,CPI_2024,IF(MB491-1=2025,CPI_2025,CPI_2025*(1+INFL)^(MB491-1-2025)))))</f>
        <v>0.9133500195631318</v>
      </c>
      <c r="MS491" s="8">
        <f>$MB$21*ABS($MB$11)*(MG491-MF491)/MF491</f>
        <v>506.9023183977728</v>
      </c>
      <c r="MT491" s="8">
        <f>$MB$21*ABS($MB$11)*(MH491-MF491)/MF491</f>
        <v>4377.773965611855</v>
      </c>
      <c r="MU491" s="13">
        <f>(MG491-MF491)*MCD_NF_DAYS*MR491-MS491*MCD_SHARE_FREED*R_WAIT_2023</f>
        <v>1478147.8321940782</v>
      </c>
      <c r="MV491" s="13">
        <f>(MH491-MF491)*MCD_NF_DAYS*MR491-MT491*MCD_SHARE_FREED*R_WAIT_2023</f>
        <v>12765767.411675086</v>
      </c>
      <c r="MW491" s="10">
        <f>IF(AND(MB491&gt;=RULE_START,MC491=1),1/(1+$MB$12)^(MB491-RULE_START+1),0)</f>
        <v>0.9803921568627451</v>
      </c>
      <c r="MX491">
        <f>IF(AND(MB491&gt;=RULE_START,MC491=1,MM491&lt;0),MB491,9999)</f>
        <v>2027</v>
      </c>
      <c r="MY491">
        <f>IF(AND(MB491&gt;=RULE_START,MC491=1,MN491&lt;0),MB491,9999)</f>
        <v>2027</v>
      </c>
      <c r="MZ491">
        <f>IF(AND(MB491&gt;=RULE_START,MC491=1,MO491&lt;0),MB491,9999)</f>
        <v>9999</v>
      </c>
      <c r="NB491" t="n">
        <v>2027</v>
      </c>
      <c r="NC491">
        <f>IF(NB491&lt;=RULE_START+$NB$38-1,1,0)</f>
        <v>1</v>
      </c>
      <c r="ND491" s="15">
        <f>IF(NB491=2024,G_IDX_2024,IF(NB491=2025,G_IDX_2025,IF(NB491=2026,G_IDX_2026,IF(NB491=2027,G_IDX_2027,$NB$13))))</f>
        <v>0.033</v>
      </c>
      <c r="NE491" s="8">
        <f>$NB$20*(1+G_HI)^(NB491-COST_DATE)</f>
        <v>508.7602572105798</v>
      </c>
      <c r="NF491" s="8">
        <f>NF490*(1+ND491)</f>
        <v>511.59324999999995</v>
      </c>
      <c r="NG491" s="8">
        <f>IF(NB491&lt;RULE_START,NF491,NG490*(1+G_HI))</f>
        <v>515.1439553167412</v>
      </c>
      <c r="NH491" s="8">
        <f>IF(NB491&lt;RULE_START,NF491,IF(NI491=1,R_NF_2024*(1+G_HI)^(NB491-2024),NH490*(1+ND491)))</f>
        <v>542.2583007031054</v>
      </c>
      <c r="NI491">
        <f>IF(AND(NB491&gt;=RULE_START,MOD(NB491-RULE_START,REBASE_YEARS)=0),1,0)</f>
        <v>1</v>
      </c>
      <c r="NJ491" s="8">
        <f>NF491*CAP_SHARE</f>
        <v>25.015543425378244</v>
      </c>
      <c r="NK491" s="8">
        <f>NG491*CAP_SHARE</f>
        <v>25.18916343119666</v>
      </c>
      <c r="NL491" s="8">
        <f>NH491*CAP_SHARE</f>
        <v>26.514982496368646</v>
      </c>
      <c r="NM491" s="8">
        <f>NF491-NJ491-NE491</f>
        <v>-22.182550635958137</v>
      </c>
      <c r="NN491" s="8">
        <f>NG491-NK491-NE491</f>
        <v>-18.8054653250353</v>
      </c>
      <c r="NO491" s="8">
        <f>NH491-NL491-NE491</f>
        <v>6.983060996157008</v>
      </c>
      <c r="NP491" s="8">
        <f>R_NF_2024*(1+G_HI)^(NB491-2024)</f>
        <v>542.2583007031054</v>
      </c>
      <c r="NQ491" s="10">
        <f>1-NF491/NP491</f>
        <v>0.056550634012138556</v>
      </c>
      <c r="NR491" s="10">
        <f>CPI_2023/(IF(NB491-1=2023,CPI_2023,IF(NB491-1=2024,CPI_2024,IF(NB491-1=2025,CPI_2025,CPI_2025*(1+INFL)^(NB491-1-2025)))))</f>
        <v>0.9133500195631318</v>
      </c>
      <c r="NS491" s="8">
        <f>$NB$21*ABS($NB$11)*(NG491-NF491)/NF491</f>
        <v>691.9321563818208</v>
      </c>
      <c r="NT491" s="8">
        <f>$NB$21*ABS($NB$11)*(NH491-NF491)/NF491</f>
        <v>5975.752073402463</v>
      </c>
      <c r="NU491" s="13">
        <f>(NG491-NF491)*MCD_NF_DAYS*NR491-NS491*MCD_SHARE_FREED*R_WAIT_2023</f>
        <v>1394011.2990783718</v>
      </c>
      <c r="NV491" s="13">
        <f>(NH491-NF491)*MCD_NF_DAYS*NR491-NT491*MCD_SHARE_FREED*R_WAIT_2023</f>
        <v>12039136.834417112</v>
      </c>
      <c r="NW491" s="10">
        <f>IF(AND(NB491&gt;=RULE_START,NC491=1),1/(1+$NB$12)^(NB491-RULE_START+1),0)</f>
        <v>0.9803921568627451</v>
      </c>
      <c r="NX491">
        <f>IF(AND(NB491&gt;=RULE_START,NC491=1,NM491&lt;0),NB491,9999)</f>
        <v>2027</v>
      </c>
      <c r="NY491">
        <f>IF(AND(NB491&gt;=RULE_START,NC491=1,NN491&lt;0),NB491,9999)</f>
        <v>2027</v>
      </c>
      <c r="NZ491">
        <f>IF(AND(NB491&gt;=RULE_START,NC491=1,NO491&lt;0),NB491,9999)</f>
        <v>9999</v>
      </c>
      <c r="OB491" t="n">
        <v>2027</v>
      </c>
      <c r="OC491">
        <f>IF(OB491&lt;=RULE_START+$OB$38-1,1,0)</f>
        <v>1</v>
      </c>
      <c r="OD491" s="15">
        <f>IF(OB491=2024,G_IDX_2024,IF(OB491=2025,G_IDX_2025,IF(OB491=2026,G_IDX_2026,IF(OB491=2027,G_IDX_2027,$OB$13))))</f>
        <v>0.033</v>
      </c>
      <c r="OE491" s="8">
        <f>$OB$20*(1+G_HI)^(OB491-COST_DATE)</f>
        <v>508.7602572105798</v>
      </c>
      <c r="OF491" s="8">
        <f>OF490*(1+OD491)</f>
        <v>511.59324999999995</v>
      </c>
      <c r="OG491" s="8">
        <f>IF(OB491&lt;RULE_START,OF491,OG490*(1+G_HI))</f>
        <v>515.1439553167412</v>
      </c>
      <c r="OH491" s="8">
        <f>IF(OB491&lt;RULE_START,OF491,IF(OI491=1,R_NF_2024*(1+G_HI)^(OB491-2024),OH490*(1+OD491)))</f>
        <v>542.2583007031054</v>
      </c>
      <c r="OI491">
        <f>IF(AND(OB491&gt;=RULE_START,MOD(OB491-RULE_START,REBASE_YEARS)=0),1,0)</f>
        <v>1</v>
      </c>
      <c r="OJ491" s="8">
        <f>OF491*CAP_SHARE</f>
        <v>25.015543425378244</v>
      </c>
      <c r="OK491" s="8">
        <f>OG491*CAP_SHARE</f>
        <v>25.18916343119666</v>
      </c>
      <c r="OL491" s="8">
        <f>OH491*CAP_SHARE</f>
        <v>26.514982496368646</v>
      </c>
      <c r="OM491" s="8">
        <f>OF491-OJ491-OE491</f>
        <v>-22.182550635958137</v>
      </c>
      <c r="ON491" s="8">
        <f>OG491-OK491-OE491</f>
        <v>-18.8054653250353</v>
      </c>
      <c r="OO491" s="8">
        <f>OH491-OL491-OE491</f>
        <v>6.983060996157008</v>
      </c>
      <c r="OP491" s="8">
        <f>R_NF_2024*(1+G_HI)^(OB491-2024)</f>
        <v>542.2583007031054</v>
      </c>
      <c r="OQ491" s="10">
        <f>1-OF491/OP491</f>
        <v>0.056550634012138556</v>
      </c>
      <c r="OR491" s="10">
        <f>CPI_2023/(IF(OB491-1=2023,CPI_2023,IF(OB491-1=2024,CPI_2024,IF(OB491-1=2025,CPI_2025,CPI_2025*(1+INFL)^(OB491-1-2025)))))</f>
        <v>0.9133500195631318</v>
      </c>
      <c r="OS491" s="8">
        <f>$OB$21*ABS($OB$11)*(OG491-OF491)/OF491</f>
        <v>691.9321563818208</v>
      </c>
      <c r="OT491" s="8">
        <f>$OB$21*ABS($OB$11)*(OH491-OF491)/OF491</f>
        <v>5975.752073402463</v>
      </c>
      <c r="OU491" s="13">
        <f>(OG491-OF491)*MCD_NF_DAYS*OR491-OS491*MCD_SHARE_FREED*R_WAIT_2023</f>
        <v>1394011.2990783718</v>
      </c>
      <c r="OV491" s="13">
        <f>(OH491-OF491)*MCD_NF_DAYS*OR491-OT491*MCD_SHARE_FREED*R_WAIT_2023</f>
        <v>12039136.834417112</v>
      </c>
      <c r="OW491" s="10">
        <f>IF(AND(OB491&gt;=RULE_START,OC491=1),1/(1+$OB$12)^(OB491-RULE_START+1),0)</f>
        <v>0.9803921568627451</v>
      </c>
      <c r="OX491">
        <f>IF(AND(OB491&gt;=RULE_START,OC491=1,OM491&lt;0),OB491,9999)</f>
        <v>2027</v>
      </c>
      <c r="OY491">
        <f>IF(AND(OB491&gt;=RULE_START,OC491=1,ON491&lt;0),OB491,9999)</f>
        <v>2027</v>
      </c>
      <c r="OZ491">
        <f>IF(AND(OB491&gt;=RULE_START,OC491=1,OO491&lt;0),OB491,9999)</f>
        <v>9999</v>
      </c>
    </row>
    <row r="492">
      <c r="B492" t="n">
        <v>2028</v>
      </c>
      <c r="C492">
        <f>IF(B492&lt;=RULE_START+$B$38-1,1,0)</f>
        <v>1</v>
      </c>
      <c r="D492" s="15">
        <f>IF(B492=2024,G_IDX_2024,IF(B492=2025,G_IDX_2025,IF(B492=2026,G_IDX_2026,IF(B492=2027,G_IDX_2027,$B$13))))</f>
        <v>0.033</v>
      </c>
      <c r="E492" s="8">
        <f>$B$20*(1+G_HI)^(B492-COST_DATE)</f>
        <v>529.1969130891888</v>
      </c>
      <c r="F492" s="8">
        <f>F491*(1+D492)</f>
        <v>528.47582725</v>
      </c>
      <c r="G492" s="8">
        <f>IF(B492&lt;RULE_START,F492,G491*(1+G_HI))</f>
        <v>535.837041291018</v>
      </c>
      <c r="H492" s="8">
        <f>IF(B492&lt;RULE_START,F492,IF(I492=1,R_NF_2024*(1+G_HI)^(B492-2024),H491*(1+D492)))</f>
        <v>560.1528246263078</v>
      </c>
      <c r="I492">
        <f>IF(AND(B492&gt;=RULE_START,MOD(B492-RULE_START,REBASE_YEARS)=0),1,0)</f>
        <v>0</v>
      </c>
      <c r="J492" s="8">
        <f>F492*CAP_SHARE</f>
        <v>25.841056358415727</v>
      </c>
      <c r="K492" s="8">
        <f>G492*CAP_SHARE</f>
        <v>26.201000062728852</v>
      </c>
      <c r="L492" s="8">
        <f>H492*CAP_SHARE</f>
        <v>27.38997691874881</v>
      </c>
      <c r="M492" s="8">
        <f>F492-J492-E492</f>
        <v>-26.562142197604544</v>
      </c>
      <c r="N492" s="8">
        <f>G492-K492-E492</f>
        <v>-19.56087186089968</v>
      </c>
      <c r="O492" s="8">
        <f>H492-L492-E492</f>
        <v>3.5659346183701928</v>
      </c>
      <c r="P492" s="8">
        <f>R_NF_2024*(1+G_HI)^(B492-2024)</f>
        <v>564.0405569460526</v>
      </c>
      <c r="Q492" s="10">
        <f>1-F492/P492</f>
        <v>0.06305349723185627</v>
      </c>
      <c r="R492" s="10">
        <f>CPI_2023/(IF(B492-1=2023,CPI_2023,IF(B492-1=2024,CPI_2024,IF(B492-1=2025,CPI_2025,CPI_2025*(1+INFL)^(B492-1-2025)))))</f>
        <v>0.8929898509612162</v>
      </c>
      <c r="S492" s="8">
        <f>$B$21*ABS($B$11)*(G492-F492)/F492</f>
        <v>1388.6666575687823</v>
      </c>
      <c r="T492" s="8">
        <f>$B$21*ABS($B$11)*(H492-F492)/F492</f>
        <v>5975.752073402453</v>
      </c>
      <c r="U492" s="13">
        <f>(G492-F492)*MCD_NF_DAYS*R492-S492*MCD_SHARE_FREED*R_WAIT_2023</f>
        <v>2831895.341460801</v>
      </c>
      <c r="V492" s="13">
        <f>(H492-F492)*MCD_NF_DAYS*R492-T492*MCD_SHARE_FREED*R_WAIT_2023</f>
        <v>12186297.097404692</v>
      </c>
      <c r="W492" s="10">
        <f>IF(AND(B492&gt;=RULE_START,C492=1),1/(1+$B$12)^(B492-RULE_START+1),0)</f>
        <v>0.9611687812379854</v>
      </c>
      <c r="X492">
        <f>IF(AND(B492&gt;=RULE_START,C492=1,M492&lt;0),B492,9999)</f>
        <v>2028</v>
      </c>
      <c r="Y492">
        <f>IF(AND(B492&gt;=RULE_START,C492=1,N492&lt;0),B492,9999)</f>
        <v>2028</v>
      </c>
      <c r="Z492">
        <f>IF(AND(B492&gt;=RULE_START,C492=1,O492&lt;0),B492,9999)</f>
        <v>9999</v>
      </c>
      <c r="AB492" t="n">
        <v>2028</v>
      </c>
      <c r="AC492">
        <f>IF(AB492&lt;=RULE_START+$AB$38-1,1,0)</f>
        <v>1</v>
      </c>
      <c r="AD492" s="15">
        <f>IF(AB492=2024,G_IDX_2024,IF(AB492=2025,G_IDX_2025,IF(AB492=2026,G_IDX_2026,IF(AB492=2027,G_IDX_2027,$AB$13))))</f>
        <v>0.033</v>
      </c>
      <c r="AE492" s="8">
        <f>$AB$20*(1+G_HI)^(AB492-COST_DATE)</f>
        <v>529.1969130891888</v>
      </c>
      <c r="AF492" s="8">
        <f>AF491*(1+AD492)</f>
        <v>528.47582725</v>
      </c>
      <c r="AG492" s="8">
        <f>IF(AB492&lt;RULE_START,AF492,AG491*(1+G_HI))</f>
        <v>535.837041291018</v>
      </c>
      <c r="AH492" s="8">
        <f>IF(AB492&lt;RULE_START,AF492,IF(AI492=1,R_NF_2024*(1+G_HI)^(AB492-2024),AH491*(1+AD492)))</f>
        <v>560.1528246263078</v>
      </c>
      <c r="AI492">
        <f>IF(AND(AB492&gt;=RULE_START,MOD(AB492-RULE_START,REBASE_YEARS)=0),1,0)</f>
        <v>0</v>
      </c>
      <c r="AJ492" s="8">
        <f>AF492*CAP_SHARE</f>
        <v>25.841056358415727</v>
      </c>
      <c r="AK492" s="8">
        <f>AG492*CAP_SHARE</f>
        <v>26.201000062728852</v>
      </c>
      <c r="AL492" s="8">
        <f>AH492*CAP_SHARE</f>
        <v>27.38997691874881</v>
      </c>
      <c r="AM492" s="8">
        <f>AF492-AJ492-AE492</f>
        <v>-26.562142197604544</v>
      </c>
      <c r="AN492" s="8">
        <f>AG492-AK492-AE492</f>
        <v>-19.56087186089968</v>
      </c>
      <c r="AO492" s="8">
        <f>AH492-AL492-AE492</f>
        <v>3.5659346183701928</v>
      </c>
      <c r="AP492" s="8">
        <f>R_NF_2024*(1+G_HI)^(AB492-2024)</f>
        <v>564.0405569460526</v>
      </c>
      <c r="AQ492" s="10">
        <f>1-AF492/AP492</f>
        <v>0.06305349723185627</v>
      </c>
      <c r="AR492" s="10">
        <f>CPI_2023/(IF(AB492-1=2023,CPI_2023,IF(AB492-1=2024,CPI_2024,IF(AB492-1=2025,CPI_2025,CPI_2025*(1+INFL)^(AB492-1-2025)))))</f>
        <v>0.8929898509612162</v>
      </c>
      <c r="AS492" s="8">
        <f>$AB$21*ABS($AB$11)*(AG492-AF492)/AF492</f>
        <v>1388.6666575687823</v>
      </c>
      <c r="AT492" s="8">
        <f>$AB$21*ABS($AB$11)*(AH492-AF492)/AF492</f>
        <v>5975.752073402453</v>
      </c>
      <c r="AU492" s="13">
        <f>(AG492-AF492)*MCD_NF_DAYS*AR492-AS492*MCD_SHARE_FREED*R_WAIT_2023</f>
        <v>2831895.341460801</v>
      </c>
      <c r="AV492" s="13">
        <f>(AH492-AF492)*MCD_NF_DAYS*AR492-AT492*MCD_SHARE_FREED*R_WAIT_2023</f>
        <v>12186297.097404692</v>
      </c>
      <c r="AW492" s="10">
        <f>IF(AND(AB492&gt;=RULE_START,AC492=1),1/(1+$AB$12)^(AB492-RULE_START+1),0)</f>
        <v>0.9611687812379854</v>
      </c>
      <c r="AX492">
        <f>IF(AND(AB492&gt;=RULE_START,AC492=1,AM492&lt;0),AB492,9999)</f>
        <v>2028</v>
      </c>
      <c r="AY492">
        <f>IF(AND(AB492&gt;=RULE_START,AC492=1,AN492&lt;0),AB492,9999)</f>
        <v>2028</v>
      </c>
      <c r="AZ492">
        <f>IF(AND(AB492&gt;=RULE_START,AC492=1,AO492&lt;0),AB492,9999)</f>
        <v>9999</v>
      </c>
      <c r="BB492" t="n">
        <v>2028</v>
      </c>
      <c r="BC492">
        <f>IF(BB492&lt;=RULE_START+$BB$38-1,1,0)</f>
        <v>1</v>
      </c>
      <c r="BD492" s="15">
        <f>IF(BB492=2024,G_IDX_2024,IF(BB492=2025,G_IDX_2025,IF(BB492=2026,G_IDX_2026,IF(BB492=2027,G_IDX_2027,$BB$13))))</f>
        <v>0.033</v>
      </c>
      <c r="BE492" s="8">
        <f>$BB$20*(1+G_HI)^(BB492-COST_DATE)</f>
        <v>529.1969130891888</v>
      </c>
      <c r="BF492" s="8">
        <f>BF491*(1+BD492)</f>
        <v>528.47582725</v>
      </c>
      <c r="BG492" s="8">
        <f>IF(BB492&lt;RULE_START,BF492,BG491*(1+G_HI))</f>
        <v>535.837041291018</v>
      </c>
      <c r="BH492" s="8">
        <f>IF(BB492&lt;RULE_START,BF492,IF(BI492=1,R_NF_2024*(1+G_HI)^(BB492-2024),BH491*(1+BD492)))</f>
        <v>560.1528246263078</v>
      </c>
      <c r="BI492">
        <f>IF(AND(BB492&gt;=RULE_START,MOD(BB492-RULE_START,REBASE_YEARS)=0),1,0)</f>
        <v>0</v>
      </c>
      <c r="BJ492" s="8">
        <f>BF492*CAP_SHARE</f>
        <v>25.841056358415727</v>
      </c>
      <c r="BK492" s="8">
        <f>BG492*CAP_SHARE</f>
        <v>26.201000062728852</v>
      </c>
      <c r="BL492" s="8">
        <f>BH492*CAP_SHARE</f>
        <v>27.38997691874881</v>
      </c>
      <c r="BM492" s="8">
        <f>BF492-BJ492-BE492</f>
        <v>-26.562142197604544</v>
      </c>
      <c r="BN492" s="8">
        <f>BG492-BK492-BE492</f>
        <v>-19.56087186089968</v>
      </c>
      <c r="BO492" s="8">
        <f>BH492-BL492-BE492</f>
        <v>3.5659346183701928</v>
      </c>
      <c r="BP492" s="8">
        <f>R_NF_2024*(1+G_HI)^(BB492-2024)</f>
        <v>564.0405569460526</v>
      </c>
      <c r="BQ492" s="10">
        <f>1-BF492/BP492</f>
        <v>0.06305349723185627</v>
      </c>
      <c r="BR492" s="10">
        <f>CPI_2023/(IF(BB492-1=2023,CPI_2023,IF(BB492-1=2024,CPI_2024,IF(BB492-1=2025,CPI_2025,CPI_2025*(1+INFL)^(BB492-1-2025)))))</f>
        <v>0.8929898509612162</v>
      </c>
      <c r="BS492" s="8">
        <f>$BB$21*ABS($BB$11)*(BG492-BF492)/BF492</f>
        <v>1388.6666575687823</v>
      </c>
      <c r="BT492" s="8">
        <f>$BB$21*ABS($BB$11)*(BH492-BF492)/BF492</f>
        <v>5975.752073402453</v>
      </c>
      <c r="BU492" s="13">
        <f>(BG492-BF492)*MCD_NF_DAYS*BR492-BS492*MCD_SHARE_FREED*R_WAIT_2023</f>
        <v>2831895.341460801</v>
      </c>
      <c r="BV492" s="13">
        <f>(BH492-BF492)*MCD_NF_DAYS*BR492-BT492*MCD_SHARE_FREED*R_WAIT_2023</f>
        <v>12186297.097404692</v>
      </c>
      <c r="BW492" s="10">
        <f>IF(AND(BB492&gt;=RULE_START,BC492=1),1/(1+$BB$12)^(BB492-RULE_START+1),0)</f>
        <v>0.9611687812379854</v>
      </c>
      <c r="BX492">
        <f>IF(AND(BB492&gt;=RULE_START,BC492=1,BM492&lt;0),BB492,9999)</f>
        <v>2028</v>
      </c>
      <c r="BY492">
        <f>IF(AND(BB492&gt;=RULE_START,BC492=1,BN492&lt;0),BB492,9999)</f>
        <v>2028</v>
      </c>
      <c r="BZ492">
        <f>IF(AND(BB492&gt;=RULE_START,BC492=1,BO492&lt;0),BB492,9999)</f>
        <v>9999</v>
      </c>
      <c r="CB492" t="n">
        <v>2028</v>
      </c>
      <c r="CC492">
        <f>IF(CB492&lt;=RULE_START+$CB$38-1,1,0)</f>
        <v>1</v>
      </c>
      <c r="CD492" s="15">
        <f>IF(CB492=2024,G_IDX_2024,IF(CB492=2025,G_IDX_2025,IF(CB492=2026,G_IDX_2026,IF(CB492=2027,G_IDX_2027,$CB$13))))</f>
        <v>0.033</v>
      </c>
      <c r="CE492" s="8">
        <f>$CB$20*(1+G_HI)^(CB492-COST_DATE)</f>
        <v>529.1969130891888</v>
      </c>
      <c r="CF492" s="8">
        <f>CF491*(1+CD492)</f>
        <v>528.47582725</v>
      </c>
      <c r="CG492" s="8">
        <f>IF(CB492&lt;RULE_START,CF492,CG491*(1+G_HI))</f>
        <v>535.837041291018</v>
      </c>
      <c r="CH492" s="8">
        <f>IF(CB492&lt;RULE_START,CF492,IF(CI492=1,R_NF_2024*(1+G_HI)^(CB492-2024),CH491*(1+CD492)))</f>
        <v>560.1528246263078</v>
      </c>
      <c r="CI492">
        <f>IF(AND(CB492&gt;=RULE_START,MOD(CB492-RULE_START,REBASE_YEARS)=0),1,0)</f>
        <v>0</v>
      </c>
      <c r="CJ492" s="8">
        <f>CF492*CAP_SHARE</f>
        <v>25.841056358415727</v>
      </c>
      <c r="CK492" s="8">
        <f>CG492*CAP_SHARE</f>
        <v>26.201000062728852</v>
      </c>
      <c r="CL492" s="8">
        <f>CH492*CAP_SHARE</f>
        <v>27.38997691874881</v>
      </c>
      <c r="CM492" s="8">
        <f>CF492-CJ492-CE492</f>
        <v>-26.562142197604544</v>
      </c>
      <c r="CN492" s="8">
        <f>CG492-CK492-CE492</f>
        <v>-19.56087186089968</v>
      </c>
      <c r="CO492" s="8">
        <f>CH492-CL492-CE492</f>
        <v>3.5659346183701928</v>
      </c>
      <c r="CP492" s="8">
        <f>R_NF_2024*(1+G_HI)^(CB492-2024)</f>
        <v>564.0405569460526</v>
      </c>
      <c r="CQ492" s="10">
        <f>1-CF492/CP492</f>
        <v>0.06305349723185627</v>
      </c>
      <c r="CR492" s="10">
        <f>CPI_2023/(IF(CB492-1=2023,CPI_2023,IF(CB492-1=2024,CPI_2024,IF(CB492-1=2025,CPI_2025,CPI_2025*(1+INFL)^(CB492-1-2025)))))</f>
        <v>0.8929898509612162</v>
      </c>
      <c r="CS492" s="8">
        <f>$CB$21*ABS($CB$11)*(CG492-CF492)/CF492</f>
        <v>1388.6666575687823</v>
      </c>
      <c r="CT492" s="8">
        <f>$CB$21*ABS($CB$11)*(CH492-CF492)/CF492</f>
        <v>5975.752073402453</v>
      </c>
      <c r="CU492" s="13">
        <f>(CG492-CF492)*MCD_NF_DAYS*CR492-CS492*MCD_SHARE_FREED*R_WAIT_2023</f>
        <v>2831895.341460801</v>
      </c>
      <c r="CV492" s="13">
        <f>(CH492-CF492)*MCD_NF_DAYS*CR492-CT492*MCD_SHARE_FREED*R_WAIT_2023</f>
        <v>12186297.097404692</v>
      </c>
      <c r="CW492" s="10">
        <f>IF(AND(CB492&gt;=RULE_START,CC492=1),1/(1+$CB$12)^(CB492-RULE_START+1),0)</f>
        <v>0.9611687812379854</v>
      </c>
      <c r="CX492">
        <f>IF(AND(CB492&gt;=RULE_START,CC492=1,CM492&lt;0),CB492,9999)</f>
        <v>2028</v>
      </c>
      <c r="CY492">
        <f>IF(AND(CB492&gt;=RULE_START,CC492=1,CN492&lt;0),CB492,9999)</f>
        <v>2028</v>
      </c>
      <c r="CZ492">
        <f>IF(AND(CB492&gt;=RULE_START,CC492=1,CO492&lt;0),CB492,9999)</f>
        <v>9999</v>
      </c>
      <c r="DB492" t="n">
        <v>2028</v>
      </c>
      <c r="DC492">
        <f>IF(DB492&lt;=RULE_START+$DB$38-1,1,0)</f>
        <v>1</v>
      </c>
      <c r="DD492" s="15">
        <f>IF(DB492=2024,G_IDX_2024,IF(DB492=2025,G_IDX_2025,IF(DB492=2026,G_IDX_2026,IF(DB492=2027,G_IDX_2027,$DB$13))))</f>
        <v>0.033</v>
      </c>
      <c r="DE492" s="8">
        <f>$DB$20*(1+G_HI)^(DB492-COST_DATE)</f>
        <v>529.1969130891888</v>
      </c>
      <c r="DF492" s="8">
        <f>DF491*(1+DD492)</f>
        <v>528.47582725</v>
      </c>
      <c r="DG492" s="8">
        <f>IF(DB492&lt;RULE_START,DF492,DG491*(1+G_HI))</f>
        <v>535.837041291018</v>
      </c>
      <c r="DH492" s="8">
        <f>IF(DB492&lt;RULE_START,DF492,IF(DI492=1,R_NF_2024*(1+G_HI)^(DB492-2024),DH491*(1+DD492)))</f>
        <v>560.1528246263078</v>
      </c>
      <c r="DI492">
        <f>IF(AND(DB492&gt;=RULE_START,MOD(DB492-RULE_START,REBASE_YEARS)=0),1,0)</f>
        <v>0</v>
      </c>
      <c r="DJ492" s="8">
        <f>DF492*CAP_SHARE</f>
        <v>25.841056358415727</v>
      </c>
      <c r="DK492" s="8">
        <f>DG492*CAP_SHARE</f>
        <v>26.201000062728852</v>
      </c>
      <c r="DL492" s="8">
        <f>DH492*CAP_SHARE</f>
        <v>27.38997691874881</v>
      </c>
      <c r="DM492" s="8">
        <f>DF492-DJ492-DE492</f>
        <v>-26.562142197604544</v>
      </c>
      <c r="DN492" s="8">
        <f>DG492-DK492-DE492</f>
        <v>-19.56087186089968</v>
      </c>
      <c r="DO492" s="8">
        <f>DH492-DL492-DE492</f>
        <v>3.5659346183701928</v>
      </c>
      <c r="DP492" s="8">
        <f>R_NF_2024*(1+G_HI)^(DB492-2024)</f>
        <v>564.0405569460526</v>
      </c>
      <c r="DQ492" s="10">
        <f>1-DF492/DP492</f>
        <v>0.06305349723185627</v>
      </c>
      <c r="DR492" s="10">
        <f>CPI_2023/(IF(DB492-1=2023,CPI_2023,IF(DB492-1=2024,CPI_2024,IF(DB492-1=2025,CPI_2025,CPI_2025*(1+INFL)^(DB492-1-2025)))))</f>
        <v>0.8929898509612162</v>
      </c>
      <c r="DS492" s="8">
        <f>$DB$21*ABS($DB$11)*(DG492-DF492)/DF492</f>
        <v>1388.6666575687823</v>
      </c>
      <c r="DT492" s="8">
        <f>$DB$21*ABS($DB$11)*(DH492-DF492)/DF492</f>
        <v>5975.752073402453</v>
      </c>
      <c r="DU492" s="13">
        <f>(DG492-DF492)*MCD_NF_DAYS*DR492-DS492*MCD_SHARE_FREED*R_WAIT_2023</f>
        <v>2831895.341460801</v>
      </c>
      <c r="DV492" s="13">
        <f>(DH492-DF492)*MCD_NF_DAYS*DR492-DT492*MCD_SHARE_FREED*R_WAIT_2023</f>
        <v>12186297.097404692</v>
      </c>
      <c r="DW492" s="10">
        <f>IF(AND(DB492&gt;=RULE_START,DC492=1),1/(1+$DB$12)^(DB492-RULE_START+1),0)</f>
        <v>0.9611687812379854</v>
      </c>
      <c r="DX492">
        <f>IF(AND(DB492&gt;=RULE_START,DC492=1,DM492&lt;0),DB492,9999)</f>
        <v>2028</v>
      </c>
      <c r="DY492">
        <f>IF(AND(DB492&gt;=RULE_START,DC492=1,DN492&lt;0),DB492,9999)</f>
        <v>2028</v>
      </c>
      <c r="DZ492">
        <f>IF(AND(DB492&gt;=RULE_START,DC492=1,DO492&lt;0),DB492,9999)</f>
        <v>9999</v>
      </c>
      <c r="EB492" t="n">
        <v>2028</v>
      </c>
      <c r="EC492">
        <f>IF(EB492&lt;=RULE_START+$EB$38-1,1,0)</f>
        <v>1</v>
      </c>
      <c r="ED492" s="15">
        <f>IF(EB492=2024,G_IDX_2024,IF(EB492=2025,G_IDX_2025,IF(EB492=2026,G_IDX_2026,IF(EB492=2027,G_IDX_2027,$EB$13))))</f>
        <v>0.033</v>
      </c>
      <c r="EE492" s="8">
        <f>$EB$20*(1+G_HI)^(EB492-COST_DATE)</f>
        <v>529.1969130891888</v>
      </c>
      <c r="EF492" s="8">
        <f>EF491*(1+ED492)</f>
        <v>528.47582725</v>
      </c>
      <c r="EG492" s="8">
        <f>IF(EB492&lt;RULE_START,EF492,EG491*(1+G_HI))</f>
        <v>535.837041291018</v>
      </c>
      <c r="EH492" s="8">
        <f>IF(EB492&lt;RULE_START,EF492,IF(EI492=1,R_NF_2024*(1+G_HI)^(EB492-2024),EH491*(1+ED492)))</f>
        <v>560.1528246263078</v>
      </c>
      <c r="EI492">
        <f>IF(AND(EB492&gt;=RULE_START,MOD(EB492-RULE_START,REBASE_YEARS)=0),1,0)</f>
        <v>0</v>
      </c>
      <c r="EJ492" s="8">
        <f>EF492*CAP_SHARE</f>
        <v>25.841056358415727</v>
      </c>
      <c r="EK492" s="8">
        <f>EG492*CAP_SHARE</f>
        <v>26.201000062728852</v>
      </c>
      <c r="EL492" s="8">
        <f>EH492*CAP_SHARE</f>
        <v>27.38997691874881</v>
      </c>
      <c r="EM492" s="8">
        <f>EF492-EJ492-EE492</f>
        <v>-26.562142197604544</v>
      </c>
      <c r="EN492" s="8">
        <f>EG492-EK492-EE492</f>
        <v>-19.56087186089968</v>
      </c>
      <c r="EO492" s="8">
        <f>EH492-EL492-EE492</f>
        <v>3.5659346183701928</v>
      </c>
      <c r="EP492" s="8">
        <f>R_NF_2024*(1+G_HI)^(EB492-2024)</f>
        <v>564.0405569460526</v>
      </c>
      <c r="EQ492" s="10">
        <f>1-EF492/EP492</f>
        <v>0.06305349723185627</v>
      </c>
      <c r="ER492" s="10">
        <f>CPI_2023/(IF(EB492-1=2023,CPI_2023,IF(EB492-1=2024,CPI_2024,IF(EB492-1=2025,CPI_2025,CPI_2025*(1+INFL)^(EB492-1-2025)))))</f>
        <v>0.8929898509612162</v>
      </c>
      <c r="ES492" s="8">
        <f>$EB$21*ABS($EB$11)*(EG492-EF492)/EF492</f>
        <v>1388.6666575687823</v>
      </c>
      <c r="ET492" s="8">
        <f>$EB$21*ABS($EB$11)*(EH492-EF492)/EF492</f>
        <v>5975.752073402453</v>
      </c>
      <c r="EU492" s="13">
        <f>(EG492-EF492)*MCD_NF_DAYS*ER492-ES492*MCD_SHARE_FREED*R_WAIT_2023</f>
        <v>2831895.341460801</v>
      </c>
      <c r="EV492" s="13">
        <f>(EH492-EF492)*MCD_NF_DAYS*ER492-ET492*MCD_SHARE_FREED*R_WAIT_2023</f>
        <v>12186297.097404692</v>
      </c>
      <c r="EW492" s="10">
        <f>IF(AND(EB492&gt;=RULE_START,EC492=1),1/(1+$EB$12)^(EB492-RULE_START+1),0)</f>
        <v>0.9611687812379854</v>
      </c>
      <c r="EX492">
        <f>IF(AND(EB492&gt;=RULE_START,EC492=1,EM492&lt;0),EB492,9999)</f>
        <v>2028</v>
      </c>
      <c r="EY492">
        <f>IF(AND(EB492&gt;=RULE_START,EC492=1,EN492&lt;0),EB492,9999)</f>
        <v>2028</v>
      </c>
      <c r="EZ492">
        <f>IF(AND(EB492&gt;=RULE_START,EC492=1,EO492&lt;0),EB492,9999)</f>
        <v>9999</v>
      </c>
      <c r="FB492" t="n">
        <v>2028</v>
      </c>
      <c r="FC492">
        <f>IF(FB492&lt;=RULE_START+$FB$38-1,1,0)</f>
        <v>1</v>
      </c>
      <c r="FD492" s="15">
        <f>IF(FB492=2024,G_IDX_2024,IF(FB492=2025,G_IDX_2025,IF(FB492=2026,G_IDX_2026,IF(FB492=2027,G_IDX_2027,$FB$13))))</f>
        <v>0.033</v>
      </c>
      <c r="FE492" s="8">
        <f>$FB$20*(1+G_HI)^(FB492-COST_DATE)</f>
        <v>544.6136459014377</v>
      </c>
      <c r="FF492" s="8">
        <f>FF491*(1+FD492)</f>
        <v>528.47582725</v>
      </c>
      <c r="FG492" s="8">
        <f>IF(FB492&lt;RULE_START,FF492,FG491*(1+G_HI))</f>
        <v>535.837041291018</v>
      </c>
      <c r="FH492" s="8">
        <f>IF(FB492&lt;RULE_START,FF492,IF(FI492=1,R_NF_2024*(1+G_HI)^(FB492-2024),FH491*(1+FD492)))</f>
        <v>560.1528246263078</v>
      </c>
      <c r="FI492">
        <f>IF(AND(FB492&gt;=RULE_START,MOD(FB492-RULE_START,REBASE_YEARS)=0),1,0)</f>
        <v>0</v>
      </c>
      <c r="FJ492" s="8">
        <f>FF492*CAP_SHARE</f>
        <v>25.841056358415727</v>
      </c>
      <c r="FK492" s="8">
        <f>FG492*CAP_SHARE</f>
        <v>26.201000062728852</v>
      </c>
      <c r="FL492" s="8">
        <f>FH492*CAP_SHARE</f>
        <v>27.38997691874881</v>
      </c>
      <c r="FM492" s="8">
        <f>FF492-FJ492-FE492</f>
        <v>-41.97887500985348</v>
      </c>
      <c r="FN492" s="8">
        <f>FG492-FK492-FE492</f>
        <v>-34.97760467314862</v>
      </c>
      <c r="FO492" s="8">
        <f>FH492-FL492-FE492</f>
        <v>-11.850798193878745</v>
      </c>
      <c r="FP492" s="8">
        <f>R_NF_2024*(1+G_HI)^(FB492-2024)</f>
        <v>564.0405569460526</v>
      </c>
      <c r="FQ492" s="10">
        <f>1-FF492/FP492</f>
        <v>0.06305349723185627</v>
      </c>
      <c r="FR492" s="10">
        <f>CPI_2023/(IF(FB492-1=2023,CPI_2023,IF(FB492-1=2024,CPI_2024,IF(FB492-1=2025,CPI_2025,CPI_2025*(1+INFL)^(FB492-1-2025)))))</f>
        <v>0.8929898509612162</v>
      </c>
      <c r="FS492" s="8">
        <f>$FB$21*ABS($FB$11)*(FG492-FF492)/FF492</f>
        <v>1388.6666575687823</v>
      </c>
      <c r="FT492" s="8">
        <f>$FB$21*ABS($FB$11)*(FH492-FF492)/FF492</f>
        <v>5975.752073402453</v>
      </c>
      <c r="FU492" s="13">
        <f>(FG492-FF492)*MCD_NF_DAYS*FR492-FS492*MCD_SHARE_FREED*R_WAIT_2023</f>
        <v>2831895.341460801</v>
      </c>
      <c r="FV492" s="13">
        <f>(FH492-FF492)*MCD_NF_DAYS*FR492-FT492*MCD_SHARE_FREED*R_WAIT_2023</f>
        <v>12186297.097404692</v>
      </c>
      <c r="FW492" s="10">
        <f>IF(AND(FB492&gt;=RULE_START,FC492=1),1/(1+$FB$12)^(FB492-RULE_START+1),0)</f>
        <v>0.9611687812379854</v>
      </c>
      <c r="FX492">
        <f>IF(AND(FB492&gt;=RULE_START,FC492=1,FM492&lt;0),FB492,9999)</f>
        <v>2028</v>
      </c>
      <c r="FY492">
        <f>IF(AND(FB492&gt;=RULE_START,FC492=1,FN492&lt;0),FB492,9999)</f>
        <v>2028</v>
      </c>
      <c r="FZ492">
        <f>IF(AND(FB492&gt;=RULE_START,FC492=1,FO492&lt;0),FB492,9999)</f>
        <v>2028</v>
      </c>
      <c r="GB492" t="n">
        <v>2028</v>
      </c>
      <c r="GC492">
        <f>IF(GB492&lt;=RULE_START+$GB$38-1,1,0)</f>
        <v>1</v>
      </c>
      <c r="GD492" s="15">
        <f>IF(GB492=2024,G_IDX_2024,IF(GB492=2025,G_IDX_2025,IF(GB492=2026,G_IDX_2026,IF(GB492=2027,G_IDX_2027,$GB$13))))</f>
        <v>0.033</v>
      </c>
      <c r="GE492" s="8">
        <f>$GB$20*(1+G_HI)^(GB492-COST_DATE)</f>
        <v>529.1969130891888</v>
      </c>
      <c r="GF492" s="8">
        <f>GF491*(1+GD492)</f>
        <v>528.47582725</v>
      </c>
      <c r="GG492" s="8">
        <f>IF(GB492&lt;RULE_START,GF492,GG491*(1+G_HI))</f>
        <v>535.837041291018</v>
      </c>
      <c r="GH492" s="8">
        <f>IF(GB492&lt;RULE_START,GF492,IF(GI492=1,R_NF_2024*(1+G_HI)^(GB492-2024),GH491*(1+GD492)))</f>
        <v>560.1528246263078</v>
      </c>
      <c r="GI492">
        <f>IF(AND(GB492&gt;=RULE_START,MOD(GB492-RULE_START,REBASE_YEARS)=0),1,0)</f>
        <v>0</v>
      </c>
      <c r="GJ492" s="8">
        <f>GF492*CAP_SHARE</f>
        <v>25.841056358415727</v>
      </c>
      <c r="GK492" s="8">
        <f>GG492*CAP_SHARE</f>
        <v>26.201000062728852</v>
      </c>
      <c r="GL492" s="8">
        <f>GH492*CAP_SHARE</f>
        <v>27.38997691874881</v>
      </c>
      <c r="GM492" s="8">
        <f>GF492-GJ492-GE492</f>
        <v>-26.562142197604544</v>
      </c>
      <c r="GN492" s="8">
        <f>GG492-GK492-GE492</f>
        <v>-19.56087186089968</v>
      </c>
      <c r="GO492" s="8">
        <f>GH492-GL492-GE492</f>
        <v>3.5659346183701928</v>
      </c>
      <c r="GP492" s="8">
        <f>R_NF_2024*(1+G_HI)^(GB492-2024)</f>
        <v>564.0405569460526</v>
      </c>
      <c r="GQ492" s="10">
        <f>1-GF492/GP492</f>
        <v>0.06305349723185627</v>
      </c>
      <c r="GR492" s="10">
        <f>CPI_2023/(IF(GB492-1=2023,CPI_2023,IF(GB492-1=2024,CPI_2024,IF(GB492-1=2025,CPI_2025,CPI_2025*(1+INFL)^(GB492-1-2025)))))</f>
        <v>0.8929898509612162</v>
      </c>
      <c r="GS492" s="8">
        <f>$GB$21*ABS($GB$11)*(GG492-GF492)/GF492</f>
        <v>1048.2350058046907</v>
      </c>
      <c r="GT492" s="8">
        <f>$GB$21*ABS($GB$11)*(GH492-GF492)/GF492</f>
        <v>4510.796363698356</v>
      </c>
      <c r="GU492" s="13">
        <f>(GG492-GF492)*MCD_NF_DAYS*GR492-GS492*MCD_SHARE_FREED*R_WAIT_2023</f>
        <v>2986695.9901256585</v>
      </c>
      <c r="GV492" s="13">
        <f>(GH492-GF492)*MCD_NF_DAYS*GR492-GT492*MCD_SHARE_FREED*R_WAIT_2023</f>
        <v>12852439.898617046</v>
      </c>
      <c r="GW492" s="10">
        <f>IF(AND(GB492&gt;=RULE_START,GC492=1),1/(1+$GB$12)^(GB492-RULE_START+1),0)</f>
        <v>0.9611687812379854</v>
      </c>
      <c r="GX492">
        <f>IF(AND(GB492&gt;=RULE_START,GC492=1,GM492&lt;0),GB492,9999)</f>
        <v>2028</v>
      </c>
      <c r="GY492">
        <f>IF(AND(GB492&gt;=RULE_START,GC492=1,GN492&lt;0),GB492,9999)</f>
        <v>2028</v>
      </c>
      <c r="GZ492">
        <f>IF(AND(GB492&gt;=RULE_START,GC492=1,GO492&lt;0),GB492,9999)</f>
        <v>9999</v>
      </c>
      <c r="HB492" t="n">
        <v>2028</v>
      </c>
      <c r="HC492">
        <f>IF(HB492&lt;=RULE_START+$HB$38-1,1,0)</f>
        <v>1</v>
      </c>
      <c r="HD492" s="15">
        <f>IF(HB492=2024,G_IDX_2024,IF(HB492=2025,G_IDX_2025,IF(HB492=2026,G_IDX_2026,IF(HB492=2027,G_IDX_2027,$HB$13))))</f>
        <v>0.033</v>
      </c>
      <c r="HE492" s="8">
        <f>$HB$20*(1+G_HI)^(HB492-COST_DATE)</f>
        <v>529.1969130891888</v>
      </c>
      <c r="HF492" s="8">
        <f>HF491*(1+HD492)</f>
        <v>528.47582725</v>
      </c>
      <c r="HG492" s="8">
        <f>IF(HB492&lt;RULE_START,HF492,HG491*(1+G_HI))</f>
        <v>535.837041291018</v>
      </c>
      <c r="HH492" s="8">
        <f>IF(HB492&lt;RULE_START,HF492,IF(HI492=1,R_NF_2024*(1+G_HI)^(HB492-2024),HH491*(1+HD492)))</f>
        <v>560.1528246263078</v>
      </c>
      <c r="HI492">
        <f>IF(AND(HB492&gt;=RULE_START,MOD(HB492-RULE_START,REBASE_YEARS)=0),1,0)</f>
        <v>0</v>
      </c>
      <c r="HJ492" s="8">
        <f>HF492*CAP_SHARE</f>
        <v>25.841056358415727</v>
      </c>
      <c r="HK492" s="8">
        <f>HG492*CAP_SHARE</f>
        <v>26.201000062728852</v>
      </c>
      <c r="HL492" s="8">
        <f>HH492*CAP_SHARE</f>
        <v>27.38997691874881</v>
      </c>
      <c r="HM492" s="8">
        <f>HF492-HJ492-HE492</f>
        <v>-26.562142197604544</v>
      </c>
      <c r="HN492" s="8">
        <f>HG492-HK492-HE492</f>
        <v>-19.56087186089968</v>
      </c>
      <c r="HO492" s="8">
        <f>HH492-HL492-HE492</f>
        <v>3.5659346183701928</v>
      </c>
      <c r="HP492" s="8">
        <f>R_NF_2024*(1+G_HI)^(HB492-2024)</f>
        <v>564.0405569460526</v>
      </c>
      <c r="HQ492" s="10">
        <f>1-HF492/HP492</f>
        <v>0.06305349723185627</v>
      </c>
      <c r="HR492" s="10">
        <f>CPI_2023/(IF(HB492-1=2023,CPI_2023,IF(HB492-1=2024,CPI_2024,IF(HB492-1=2025,CPI_2025,CPI_2025*(1+INFL)^(HB492-1-2025)))))</f>
        <v>0.8929898509612162</v>
      </c>
      <c r="HS492" s="8">
        <f>$HB$21*ABS($HB$11)*(HG492-HF492)/HF492</f>
        <v>1388.6666575687823</v>
      </c>
      <c r="HT492" s="8">
        <f>$HB$21*ABS($HB$11)*(HH492-HF492)/HF492</f>
        <v>5975.752073402453</v>
      </c>
      <c r="HU492" s="13">
        <f>(HG492-HF492)*MCD_NF_DAYS*HR492-HS492*MCD_SHARE_FREED*R_WAIT_2023</f>
        <v>2831895.341460801</v>
      </c>
      <c r="HV492" s="13">
        <f>(HH492-HF492)*MCD_NF_DAYS*HR492-HT492*MCD_SHARE_FREED*R_WAIT_2023</f>
        <v>12186297.097404692</v>
      </c>
      <c r="HW492" s="10">
        <f>IF(AND(HB492&gt;=RULE_START,HC492=1),1/(1+$HB$12)^(HB492-RULE_START+1),0)</f>
        <v>0.9425959091337544</v>
      </c>
      <c r="HX492">
        <f>IF(AND(HB492&gt;=RULE_START,HC492=1,HM492&lt;0),HB492,9999)</f>
        <v>2028</v>
      </c>
      <c r="HY492">
        <f>IF(AND(HB492&gt;=RULE_START,HC492=1,HN492&lt;0),HB492,9999)</f>
        <v>2028</v>
      </c>
      <c r="HZ492">
        <f>IF(AND(HB492&gt;=RULE_START,HC492=1,HO492&lt;0),HB492,9999)</f>
        <v>9999</v>
      </c>
      <c r="IB492" t="n">
        <v>2028</v>
      </c>
      <c r="IC492">
        <f>IF(IB492&lt;=RULE_START+$IB$38-1,1,0)</f>
        <v>1</v>
      </c>
      <c r="ID492" s="15">
        <f>IF(IB492=2024,G_IDX_2024,IF(IB492=2025,G_IDX_2025,IF(IB492=2026,G_IDX_2026,IF(IB492=2027,G_IDX_2027,$IB$13))))</f>
        <v>0.033</v>
      </c>
      <c r="IE492" s="8">
        <f>$IB$20*(1+G_HI)^(IB492-COST_DATE)</f>
        <v>529.1969130891888</v>
      </c>
      <c r="IF492" s="8">
        <f>IF491*(1+ID492)</f>
        <v>528.47582725</v>
      </c>
      <c r="IG492" s="8">
        <f>IF(IB492&lt;RULE_START,IF492,IG491*(1+G_HI))</f>
        <v>535.837041291018</v>
      </c>
      <c r="IH492" s="8">
        <f>IF(IB492&lt;RULE_START,IF492,IF(II492=1,R_NF_2024*(1+G_HI)^(IB492-2024),IH491*(1+ID492)))</f>
        <v>560.1528246263078</v>
      </c>
      <c r="II492">
        <f>IF(AND(IB492&gt;=RULE_START,MOD(IB492-RULE_START,REBASE_YEARS)=0),1,0)</f>
        <v>0</v>
      </c>
      <c r="IJ492" s="8">
        <f>IF492*CAP_SHARE</f>
        <v>25.841056358415727</v>
      </c>
      <c r="IK492" s="8">
        <f>IG492*CAP_SHARE</f>
        <v>26.201000062728852</v>
      </c>
      <c r="IL492" s="8">
        <f>IH492*CAP_SHARE</f>
        <v>27.38997691874881</v>
      </c>
      <c r="IM492" s="8">
        <f>IF492-IJ492-IE492</f>
        <v>-26.562142197604544</v>
      </c>
      <c r="IN492" s="8">
        <f>IG492-IK492-IE492</f>
        <v>-19.56087186089968</v>
      </c>
      <c r="IO492" s="8">
        <f>IH492-IL492-IE492</f>
        <v>3.5659346183701928</v>
      </c>
      <c r="IP492" s="8">
        <f>R_NF_2024*(1+G_HI)^(IB492-2024)</f>
        <v>564.0405569460526</v>
      </c>
      <c r="IQ492" s="10">
        <f>1-IF492/IP492</f>
        <v>0.06305349723185627</v>
      </c>
      <c r="IR492" s="10">
        <f>CPI_2023/(IF(IB492-1=2023,CPI_2023,IF(IB492-1=2024,CPI_2024,IF(IB492-1=2025,CPI_2025,CPI_2025*(1+INFL)^(IB492-1-2025)))))</f>
        <v>0.8929898509612162</v>
      </c>
      <c r="IS492" s="8">
        <f>$IB$21*ABS($IB$11)*(IG492-IF492)/IF492</f>
        <v>1388.6666575687823</v>
      </c>
      <c r="IT492" s="8">
        <f>$IB$21*ABS($IB$11)*(IH492-IF492)/IF492</f>
        <v>5975.752073402453</v>
      </c>
      <c r="IU492" s="13">
        <f>(IG492-IF492)*MCD_NF_DAYS*IR492-IS492*MCD_SHARE_FREED*R_WAIT_2023</f>
        <v>2831895.341460801</v>
      </c>
      <c r="IV492" s="13">
        <f>(IH492-IF492)*MCD_NF_DAYS*IR492-IT492*MCD_SHARE_FREED*R_WAIT_2023</f>
        <v>12186297.097404692</v>
      </c>
      <c r="IW492" s="10">
        <f>IF(AND(IB492&gt;=RULE_START,IC492=1),1/(1+$IB$12)^(IB492-RULE_START+1),0)</f>
        <v>0.8734387282732116</v>
      </c>
      <c r="IX492">
        <f>IF(AND(IB492&gt;=RULE_START,IC492=1,IM492&lt;0),IB492,9999)</f>
        <v>2028</v>
      </c>
      <c r="IY492">
        <f>IF(AND(IB492&gt;=RULE_START,IC492=1,IN492&lt;0),IB492,9999)</f>
        <v>2028</v>
      </c>
      <c r="IZ492">
        <f>IF(AND(IB492&gt;=RULE_START,IC492=1,IO492&lt;0),IB492,9999)</f>
        <v>9999</v>
      </c>
      <c r="JB492" t="n">
        <v>2028</v>
      </c>
      <c r="JC492">
        <f>IF(JB492&lt;=RULE_START+$JB$38-1,1,0)</f>
        <v>1</v>
      </c>
      <c r="JD492" s="15">
        <f>IF(JB492=2024,G_IDX_2024,IF(JB492=2025,G_IDX_2025,IF(JB492=2026,G_IDX_2026,IF(JB492=2027,G_IDX_2027,$JB$13))))</f>
        <v>0.03</v>
      </c>
      <c r="JE492" s="8">
        <f>$JB$20*(1+G_HI)^(JB492-COST_DATE)</f>
        <v>529.1969130891888</v>
      </c>
      <c r="JF492" s="8">
        <f>JF491*(1+JD492)</f>
        <v>526.9410475</v>
      </c>
      <c r="JG492" s="8">
        <f>IF(JB492&lt;RULE_START,JF492,JG491*(1+G_HI))</f>
        <v>535.837041291018</v>
      </c>
      <c r="JH492" s="8">
        <f>IF(JB492&lt;RULE_START,JF492,IF(JI492=1,R_NF_2024*(1+G_HI)^(JB492-2024),JH491*(1+JD492)))</f>
        <v>558.5260497241986</v>
      </c>
      <c r="JI492">
        <f>IF(AND(JB492&gt;=RULE_START,MOD(JB492-RULE_START,REBASE_YEARS)=0),1,0)</f>
        <v>0</v>
      </c>
      <c r="JJ492" s="8">
        <f>JF492*CAP_SHARE</f>
        <v>25.766009728139593</v>
      </c>
      <c r="JK492" s="8">
        <f>JG492*CAP_SHARE</f>
        <v>26.201000062728852</v>
      </c>
      <c r="JL492" s="8">
        <f>JH492*CAP_SHARE</f>
        <v>27.31043197125971</v>
      </c>
      <c r="JM492" s="8">
        <f>JF492-JJ492-JE492</f>
        <v>-28.02187531732841</v>
      </c>
      <c r="JN492" s="8">
        <f>JG492-JK492-JE492</f>
        <v>-19.56087186089968</v>
      </c>
      <c r="JO492" s="8">
        <f>JH492-JL492-JE492</f>
        <v>2.0187046637501</v>
      </c>
      <c r="JP492" s="8">
        <f>R_NF_2024*(1+G_HI)^(JB492-2024)</f>
        <v>564.0405569460526</v>
      </c>
      <c r="JQ492" s="10">
        <f>1-JF492/JP492</f>
        <v>0.06577454225441626</v>
      </c>
      <c r="JR492" s="10">
        <f>CPI_2023/(IF(JB492-1=2023,CPI_2023,IF(JB492-1=2024,CPI_2024,IF(JB492-1=2025,CPI_2025,CPI_2025*(1+INFL)^(JB492-1-2025)))))</f>
        <v>0.8929898509612162</v>
      </c>
      <c r="JS492" s="8">
        <f>$JB$21*ABS($JB$11)*(JG492-JF492)/JF492</f>
        <v>1683.0853125893657</v>
      </c>
      <c r="JT492" s="8">
        <f>$JB$21*ABS($JB$11)*(JH492-JF492)/JF492</f>
        <v>5975.752073402468</v>
      </c>
      <c r="JU492" s="13">
        <f>(JG492-JF492)*MCD_NF_DAYS*JR492-JS492*MCD_SHARE_FREED*R_WAIT_2023</f>
        <v>3420110.0356461797</v>
      </c>
      <c r="JV492" s="13">
        <f>(JH492-JF492)*MCD_NF_DAYS*JR492-JT492*MCD_SHARE_FREED*R_WAIT_2023</f>
        <v>12143014.667114254</v>
      </c>
      <c r="JW492" s="10">
        <f>IF(AND(JB492&gt;=RULE_START,JC492=1),1/(1+$JB$12)^(JB492-RULE_START+1),0)</f>
        <v>0.9611687812379854</v>
      </c>
      <c r="JX492">
        <f>IF(AND(JB492&gt;=RULE_START,JC492=1,JM492&lt;0),JB492,9999)</f>
        <v>2028</v>
      </c>
      <c r="JY492">
        <f>IF(AND(JB492&gt;=RULE_START,JC492=1,JN492&lt;0),JB492,9999)</f>
        <v>2028</v>
      </c>
      <c r="JZ492">
        <f>IF(AND(JB492&gt;=RULE_START,JC492=1,JO492&lt;0),JB492,9999)</f>
        <v>9999</v>
      </c>
      <c r="KB492" t="n">
        <v>2028</v>
      </c>
      <c r="KC492">
        <f>IF(KB492&lt;=RULE_START+$KB$38-1,1,0)</f>
        <v>1</v>
      </c>
      <c r="KD492" s="15">
        <f>IF(KB492=2024,G_IDX_2024,IF(KB492=2025,G_IDX_2025,IF(KB492=2026,G_IDX_2026,IF(KB492=2027,G_IDX_2027,$KB$13))))</f>
        <v>0.033</v>
      </c>
      <c r="KE492" s="8">
        <f>$KB$20*(1+G_HI)^(KB492-COST_DATE)</f>
        <v>529.1969130891888</v>
      </c>
      <c r="KF492" s="8">
        <f>KF491*(1+KD492)</f>
        <v>528.47582725</v>
      </c>
      <c r="KG492" s="8">
        <f>IF(KB492&lt;RULE_START,KF492,KG491*(1+G_HI))</f>
        <v>535.837041291018</v>
      </c>
      <c r="KH492" s="8">
        <f>IF(KB492&lt;RULE_START,KF492,IF(KI492=1,R_NF_2024*(1+G_HI)^(KB492-2024),KH491*(1+KD492)))</f>
        <v>560.1528246263078</v>
      </c>
      <c r="KI492">
        <f>IF(AND(KB492&gt;=RULE_START,MOD(KB492-RULE_START,REBASE_YEARS)=0),1,0)</f>
        <v>0</v>
      </c>
      <c r="KJ492" s="8">
        <f>KF492*CAP_SHARE</f>
        <v>25.841056358415727</v>
      </c>
      <c r="KK492" s="8">
        <f>KG492*CAP_SHARE</f>
        <v>26.201000062728852</v>
      </c>
      <c r="KL492" s="8">
        <f>KH492*CAP_SHARE</f>
        <v>27.38997691874881</v>
      </c>
      <c r="KM492" s="8">
        <f>KF492-KJ492-KE492</f>
        <v>-26.562142197604544</v>
      </c>
      <c r="KN492" s="8">
        <f>KG492-KK492-KE492</f>
        <v>-19.56087186089968</v>
      </c>
      <c r="KO492" s="8">
        <f>KH492-KL492-KE492</f>
        <v>3.5659346183701928</v>
      </c>
      <c r="KP492" s="8">
        <f>R_NF_2024*(1+G_HI)^(KB492-2024)</f>
        <v>564.0405569460526</v>
      </c>
      <c r="KQ492" s="10">
        <f>1-KF492/KP492</f>
        <v>0.06305349723185627</v>
      </c>
      <c r="KR492" s="10">
        <f>CPI_2023/(IF(KB492-1=2023,CPI_2023,IF(KB492-1=2024,CPI_2024,IF(KB492-1=2025,CPI_2025,CPI_2025*(1+INFL)^(KB492-1-2025)))))</f>
        <v>0.8929898509612162</v>
      </c>
      <c r="KS492" s="8">
        <f>$KB$21*ABS($KB$11)*(KG492-KF492)/KF492</f>
        <v>1388.6666575687823</v>
      </c>
      <c r="KT492" s="8">
        <f>$KB$21*ABS($KB$11)*(KH492-KF492)/KF492</f>
        <v>5975.752073402453</v>
      </c>
      <c r="KU492" s="13">
        <f>(KG492-KF492)*MCD_NF_DAYS*KR492-KS492*MCD_SHARE_FREED*R_WAIT_2023</f>
        <v>2831895.341460801</v>
      </c>
      <c r="KV492" s="13">
        <f>(KH492-KF492)*MCD_NF_DAYS*KR492-KT492*MCD_SHARE_FREED*R_WAIT_2023</f>
        <v>12186297.097404692</v>
      </c>
      <c r="KW492" s="10">
        <f>IF(AND(KB492&gt;=RULE_START,KC492=1),1/(1+$KB$12)^(KB492-RULE_START+1),0)</f>
        <v>0.9611687812379854</v>
      </c>
      <c r="KX492">
        <f>IF(AND(KB492&gt;=RULE_START,KC492=1,KM492&lt;0),KB492,9999)</f>
        <v>2028</v>
      </c>
      <c r="KY492">
        <f>IF(AND(KB492&gt;=RULE_START,KC492=1,KN492&lt;0),KB492,9999)</f>
        <v>2028</v>
      </c>
      <c r="KZ492">
        <f>IF(AND(KB492&gt;=RULE_START,KC492=1,KO492&lt;0),KB492,9999)</f>
        <v>9999</v>
      </c>
      <c r="LB492" t="n">
        <v>2028</v>
      </c>
      <c r="LC492">
        <f>IF(LB492&lt;=RULE_START+$LB$38-1,1,0)</f>
        <v>1</v>
      </c>
      <c r="LD492" s="15">
        <f>IF(LB492=2024,G_IDX_2024,IF(LB492=2025,G_IDX_2025,IF(LB492=2026,G_IDX_2026,IF(LB492=2027,G_IDX_2027,$LB$13))))</f>
        <v>0.033</v>
      </c>
      <c r="LE492" s="8">
        <f>$LB$20*(1+G_HI)^(LB492-COST_DATE)</f>
        <v>529.1969130891888</v>
      </c>
      <c r="LF492" s="8">
        <f>LF491*(1+LD492)</f>
        <v>528.47582725</v>
      </c>
      <c r="LG492" s="8">
        <f>IF(LB492&lt;RULE_START,LF492,LG491*(1+G_HI))</f>
        <v>535.837041291018</v>
      </c>
      <c r="LH492" s="8">
        <f>IF(LB492&lt;RULE_START,LF492,IF(LI492=1,R_NF_2024*(1+G_HI)^(LB492-2024),LH491*(1+LD492)))</f>
        <v>560.1528246263078</v>
      </c>
      <c r="LI492">
        <f>IF(AND(LB492&gt;=RULE_START,MOD(LB492-RULE_START,REBASE_YEARS)=0),1,0)</f>
        <v>0</v>
      </c>
      <c r="LJ492" s="8">
        <f>LF492*CAP_SHARE</f>
        <v>25.841056358415727</v>
      </c>
      <c r="LK492" s="8">
        <f>LG492*CAP_SHARE</f>
        <v>26.201000062728852</v>
      </c>
      <c r="LL492" s="8">
        <f>LH492*CAP_SHARE</f>
        <v>27.38997691874881</v>
      </c>
      <c r="LM492" s="8">
        <f>LF492-LJ492-LE492</f>
        <v>-26.562142197604544</v>
      </c>
      <c r="LN492" s="8">
        <f>LG492-LK492-LE492</f>
        <v>-19.56087186089968</v>
      </c>
      <c r="LO492" s="8">
        <f>LH492-LL492-LE492</f>
        <v>3.5659346183701928</v>
      </c>
      <c r="LP492" s="8">
        <f>R_NF_2024*(1+G_HI)^(LB492-2024)</f>
        <v>564.0405569460526</v>
      </c>
      <c r="LQ492" s="10">
        <f>1-LF492/LP492</f>
        <v>0.06305349723185627</v>
      </c>
      <c r="LR492" s="10">
        <f>CPI_2023/(IF(LB492-1=2023,CPI_2023,IF(LB492-1=2024,CPI_2024,IF(LB492-1=2025,CPI_2025,CPI_2025*(1+INFL)^(LB492-1-2025)))))</f>
        <v>0.8929898509612162</v>
      </c>
      <c r="LS492" s="8">
        <f>$LB$21*ABS($LB$11)*(LG492-LF492)/LF492</f>
        <v>1388.6666575687823</v>
      </c>
      <c r="LT492" s="8">
        <f>$LB$21*ABS($LB$11)*(LH492-LF492)/LF492</f>
        <v>5975.752073402453</v>
      </c>
      <c r="LU492" s="13">
        <f>(LG492-LF492)*MCD_NF_DAYS*LR492-LS492*MCD_SHARE_FREED*R_WAIT_2023</f>
        <v>2831895.341460801</v>
      </c>
      <c r="LV492" s="13">
        <f>(LH492-LF492)*MCD_NF_DAYS*LR492-LT492*MCD_SHARE_FREED*R_WAIT_2023</f>
        <v>12186297.097404692</v>
      </c>
      <c r="LW492" s="10">
        <f>IF(AND(LB492&gt;=RULE_START,LC492=1),1/(1+$LB$12)^(LB492-RULE_START+1),0)</f>
        <v>0.9611687812379854</v>
      </c>
      <c r="LX492">
        <f>IF(AND(LB492&gt;=RULE_START,LC492=1,LM492&lt;0),LB492,9999)</f>
        <v>2028</v>
      </c>
      <c r="LY492">
        <f>IF(AND(LB492&gt;=RULE_START,LC492=1,LN492&lt;0),LB492,9999)</f>
        <v>2028</v>
      </c>
      <c r="LZ492">
        <f>IF(AND(LB492&gt;=RULE_START,LC492=1,LO492&lt;0),LB492,9999)</f>
        <v>9999</v>
      </c>
      <c r="MB492" t="n">
        <v>2028</v>
      </c>
      <c r="MC492">
        <f>IF(MB492&lt;=RULE_START+$MB$38-1,1,0)</f>
        <v>1</v>
      </c>
      <c r="MD492" s="15">
        <f>IF(MB492=2024,G_IDX_2024,IF(MB492=2025,G_IDX_2025,IF(MB492=2026,G_IDX_2026,IF(MB492=2027,G_IDX_2027,$MB$13))))</f>
        <v>0.033</v>
      </c>
      <c r="ME492" s="8">
        <f>$MB$20*(1+G_HI)^(MB492-COST_DATE)</f>
        <v>529.1969130891888</v>
      </c>
      <c r="MF492" s="8">
        <f>MF491*(1+MD492)</f>
        <v>528.47582725</v>
      </c>
      <c r="MG492" s="8">
        <f>IF(MB492&lt;RULE_START,MF492,MG491*(1+G_HI))</f>
        <v>535.837041291018</v>
      </c>
      <c r="MH492" s="8">
        <f>IF(MB492&lt;RULE_START,MF492,IF(MI492=1,R_NF_2024*(1+G_HI)^(MB492-2024),MH491*(1+MD492)))</f>
        <v>560.1528246263078</v>
      </c>
      <c r="MI492">
        <f>IF(AND(MB492&gt;=RULE_START,MOD(MB492-RULE_START,REBASE_YEARS)=0),1,0)</f>
        <v>0</v>
      </c>
      <c r="MJ492" s="8">
        <f>MF492*CAP_SHARE</f>
        <v>25.841056358415727</v>
      </c>
      <c r="MK492" s="8">
        <f>MG492*CAP_SHARE</f>
        <v>26.201000062728852</v>
      </c>
      <c r="ML492" s="8">
        <f>MH492*CAP_SHARE</f>
        <v>27.38997691874881</v>
      </c>
      <c r="MM492" s="8">
        <f>MF492-MJ492-ME492</f>
        <v>-26.562142197604544</v>
      </c>
      <c r="MN492" s="8">
        <f>MG492-MK492-ME492</f>
        <v>-19.56087186089968</v>
      </c>
      <c r="MO492" s="8">
        <f>MH492-ML492-ME492</f>
        <v>3.5659346183701928</v>
      </c>
      <c r="MP492" s="8">
        <f>R_NF_2024*(1+G_HI)^(MB492-2024)</f>
        <v>564.0405569460526</v>
      </c>
      <c r="MQ492" s="10">
        <f>1-MF492/MP492</f>
        <v>0.06305349723185627</v>
      </c>
      <c r="MR492" s="10">
        <f>CPI_2023/(IF(MB492-1=2023,CPI_2023,IF(MB492-1=2024,CPI_2024,IF(MB492-1=2025,CPI_2025,CPI_2025*(1+INFL)^(MB492-1-2025)))))</f>
        <v>0.8929898509612162</v>
      </c>
      <c r="MS492" s="8">
        <f>$MB$21*ABS($MB$11)*(MG492-MF492)/MF492</f>
        <v>1017.3227847714984</v>
      </c>
      <c r="MT492" s="8">
        <f>$MB$21*ABS($MB$11)*(MH492-MF492)/MF492</f>
        <v>4377.773965611848</v>
      </c>
      <c r="MU492" s="13">
        <f>(MG492-MF492)*MCD_NF_DAYS*MR492-MS492*MCD_SHARE_FREED*R_WAIT_2023</f>
        <v>3000752.35604467</v>
      </c>
      <c r="MV492" s="13">
        <f>(MH492-MF492)*MCD_NF_DAYS*MR492-MT492*MCD_SHARE_FREED*R_WAIT_2023</f>
        <v>12912927.674662665</v>
      </c>
      <c r="MW492" s="10">
        <f>IF(AND(MB492&gt;=RULE_START,MC492=1),1/(1+$MB$12)^(MB492-RULE_START+1),0)</f>
        <v>0.9611687812379854</v>
      </c>
      <c r="MX492">
        <f>IF(AND(MB492&gt;=RULE_START,MC492=1,MM492&lt;0),MB492,9999)</f>
        <v>2028</v>
      </c>
      <c r="MY492">
        <f>IF(AND(MB492&gt;=RULE_START,MC492=1,MN492&lt;0),MB492,9999)</f>
        <v>2028</v>
      </c>
      <c r="MZ492">
        <f>IF(AND(MB492&gt;=RULE_START,MC492=1,MO492&lt;0),MB492,9999)</f>
        <v>9999</v>
      </c>
      <c r="NB492" t="n">
        <v>2028</v>
      </c>
      <c r="NC492">
        <f>IF(NB492&lt;=RULE_START+$NB$38-1,1,0)</f>
        <v>1</v>
      </c>
      <c r="ND492" s="15">
        <f>IF(NB492=2024,G_IDX_2024,IF(NB492=2025,G_IDX_2025,IF(NB492=2026,G_IDX_2026,IF(NB492=2027,G_IDX_2027,$NB$13))))</f>
        <v>0.033</v>
      </c>
      <c r="NE492" s="8">
        <f>$NB$20*(1+G_HI)^(NB492-COST_DATE)</f>
        <v>529.1969130891888</v>
      </c>
      <c r="NF492" s="8">
        <f>NF491*(1+ND492)</f>
        <v>528.47582725</v>
      </c>
      <c r="NG492" s="8">
        <f>IF(NB492&lt;RULE_START,NF492,NG491*(1+G_HI))</f>
        <v>535.837041291018</v>
      </c>
      <c r="NH492" s="8">
        <f>IF(NB492&lt;RULE_START,NF492,IF(NI492=1,R_NF_2024*(1+G_HI)^(NB492-2024),NH491*(1+ND492)))</f>
        <v>560.1528246263078</v>
      </c>
      <c r="NI492">
        <f>IF(AND(NB492&gt;=RULE_START,MOD(NB492-RULE_START,REBASE_YEARS)=0),1,0)</f>
        <v>0</v>
      </c>
      <c r="NJ492" s="8">
        <f>NF492*CAP_SHARE</f>
        <v>25.841056358415727</v>
      </c>
      <c r="NK492" s="8">
        <f>NG492*CAP_SHARE</f>
        <v>26.201000062728852</v>
      </c>
      <c r="NL492" s="8">
        <f>NH492*CAP_SHARE</f>
        <v>27.38997691874881</v>
      </c>
      <c r="NM492" s="8">
        <f>NF492-NJ492-NE492</f>
        <v>-26.562142197604544</v>
      </c>
      <c r="NN492" s="8">
        <f>NG492-NK492-NE492</f>
        <v>-19.56087186089968</v>
      </c>
      <c r="NO492" s="8">
        <f>NH492-NL492-NE492</f>
        <v>3.5659346183701928</v>
      </c>
      <c r="NP492" s="8">
        <f>R_NF_2024*(1+G_HI)^(NB492-2024)</f>
        <v>564.0405569460526</v>
      </c>
      <c r="NQ492" s="10">
        <f>1-NF492/NP492</f>
        <v>0.06305349723185627</v>
      </c>
      <c r="NR492" s="10">
        <f>CPI_2023/(IF(NB492-1=2023,CPI_2023,IF(NB492-1=2024,CPI_2024,IF(NB492-1=2025,CPI_2025,CPI_2025*(1+INFL)^(NB492-1-2025)))))</f>
        <v>0.8929898509612162</v>
      </c>
      <c r="NS492" s="8">
        <f>$NB$21*ABS($NB$11)*(NG492-NF492)/NF492</f>
        <v>1388.6666575687823</v>
      </c>
      <c r="NT492" s="8">
        <f>$NB$21*ABS($NB$11)*(NH492-NF492)/NF492</f>
        <v>5975.752073402453</v>
      </c>
      <c r="NU492" s="13">
        <f>(NG492-NF492)*MCD_NF_DAYS*NR492-NS492*MCD_SHARE_FREED*R_WAIT_2023</f>
        <v>2831895.341460801</v>
      </c>
      <c r="NV492" s="13">
        <f>(NH492-NF492)*MCD_NF_DAYS*NR492-NT492*MCD_SHARE_FREED*R_WAIT_2023</f>
        <v>12186297.097404692</v>
      </c>
      <c r="NW492" s="10">
        <f>IF(AND(NB492&gt;=RULE_START,NC492=1),1/(1+$NB$12)^(NB492-RULE_START+1),0)</f>
        <v>0.9611687812379854</v>
      </c>
      <c r="NX492">
        <f>IF(AND(NB492&gt;=RULE_START,NC492=1,NM492&lt;0),NB492,9999)</f>
        <v>2028</v>
      </c>
      <c r="NY492">
        <f>IF(AND(NB492&gt;=RULE_START,NC492=1,NN492&lt;0),NB492,9999)</f>
        <v>2028</v>
      </c>
      <c r="NZ492">
        <f>IF(AND(NB492&gt;=RULE_START,NC492=1,NO492&lt;0),NB492,9999)</f>
        <v>9999</v>
      </c>
      <c r="OB492" t="n">
        <v>2028</v>
      </c>
      <c r="OC492">
        <f>IF(OB492&lt;=RULE_START+$OB$38-1,1,0)</f>
        <v>1</v>
      </c>
      <c r="OD492" s="15">
        <f>IF(OB492=2024,G_IDX_2024,IF(OB492=2025,G_IDX_2025,IF(OB492=2026,G_IDX_2026,IF(OB492=2027,G_IDX_2027,$OB$13))))</f>
        <v>0.033</v>
      </c>
      <c r="OE492" s="8">
        <f>$OB$20*(1+G_HI)^(OB492-COST_DATE)</f>
        <v>529.1969130891888</v>
      </c>
      <c r="OF492" s="8">
        <f>OF491*(1+OD492)</f>
        <v>528.47582725</v>
      </c>
      <c r="OG492" s="8">
        <f>IF(OB492&lt;RULE_START,OF492,OG491*(1+G_HI))</f>
        <v>535.837041291018</v>
      </c>
      <c r="OH492" s="8">
        <f>IF(OB492&lt;RULE_START,OF492,IF(OI492=1,R_NF_2024*(1+G_HI)^(OB492-2024),OH491*(1+OD492)))</f>
        <v>560.1528246263078</v>
      </c>
      <c r="OI492">
        <f>IF(AND(OB492&gt;=RULE_START,MOD(OB492-RULE_START,REBASE_YEARS)=0),1,0)</f>
        <v>0</v>
      </c>
      <c r="OJ492" s="8">
        <f>OF492*CAP_SHARE</f>
        <v>25.841056358415727</v>
      </c>
      <c r="OK492" s="8">
        <f>OG492*CAP_SHARE</f>
        <v>26.201000062728852</v>
      </c>
      <c r="OL492" s="8">
        <f>OH492*CAP_SHARE</f>
        <v>27.38997691874881</v>
      </c>
      <c r="OM492" s="8">
        <f>OF492-OJ492-OE492</f>
        <v>-26.562142197604544</v>
      </c>
      <c r="ON492" s="8">
        <f>OG492-OK492-OE492</f>
        <v>-19.56087186089968</v>
      </c>
      <c r="OO492" s="8">
        <f>OH492-OL492-OE492</f>
        <v>3.5659346183701928</v>
      </c>
      <c r="OP492" s="8">
        <f>R_NF_2024*(1+G_HI)^(OB492-2024)</f>
        <v>564.0405569460526</v>
      </c>
      <c r="OQ492" s="10">
        <f>1-OF492/OP492</f>
        <v>0.06305349723185627</v>
      </c>
      <c r="OR492" s="10">
        <f>CPI_2023/(IF(OB492-1=2023,CPI_2023,IF(OB492-1=2024,CPI_2024,IF(OB492-1=2025,CPI_2025,CPI_2025*(1+INFL)^(OB492-1-2025)))))</f>
        <v>0.8929898509612162</v>
      </c>
      <c r="OS492" s="8">
        <f>$OB$21*ABS($OB$11)*(OG492-OF492)/OF492</f>
        <v>1388.6666575687823</v>
      </c>
      <c r="OT492" s="8">
        <f>$OB$21*ABS($OB$11)*(OH492-OF492)/OF492</f>
        <v>5975.752073402453</v>
      </c>
      <c r="OU492" s="13">
        <f>(OG492-OF492)*MCD_NF_DAYS*OR492-OS492*MCD_SHARE_FREED*R_WAIT_2023</f>
        <v>2831895.341460801</v>
      </c>
      <c r="OV492" s="13">
        <f>(OH492-OF492)*MCD_NF_DAYS*OR492-OT492*MCD_SHARE_FREED*R_WAIT_2023</f>
        <v>12186297.097404692</v>
      </c>
      <c r="OW492" s="10">
        <f>IF(AND(OB492&gt;=RULE_START,OC492=1),1/(1+$OB$12)^(OB492-RULE_START+1),0)</f>
        <v>0.9611687812379854</v>
      </c>
      <c r="OX492">
        <f>IF(AND(OB492&gt;=RULE_START,OC492=1,OM492&lt;0),OB492,9999)</f>
        <v>2028</v>
      </c>
      <c r="OY492">
        <f>IF(AND(OB492&gt;=RULE_START,OC492=1,ON492&lt;0),OB492,9999)</f>
        <v>2028</v>
      </c>
      <c r="OZ492">
        <f>IF(AND(OB492&gt;=RULE_START,OC492=1,OO492&lt;0),OB492,9999)</f>
        <v>9999</v>
      </c>
    </row>
    <row r="493">
      <c r="B493" t="n">
        <v>2029</v>
      </c>
      <c r="C493">
        <f>IF(B493&lt;=RULE_START+$B$38-1,1,0)</f>
        <v>1</v>
      </c>
      <c r="D493" s="15">
        <f>IF(B493=2024,G_IDX_2024,IF(B493=2025,G_IDX_2025,IF(B493=2026,G_IDX_2026,IF(B493=2027,G_IDX_2027,$B$13))))</f>
        <v>0.033</v>
      </c>
      <c r="E493" s="8">
        <f>$B$20*(1+G_HI)^(B493-COST_DATE)</f>
        <v>550.4544996469953</v>
      </c>
      <c r="F493" s="8">
        <f>F492*(1+D493)</f>
        <v>545.9155295492499</v>
      </c>
      <c r="G493" s="8">
        <f>IF(B493&lt;RULE_START,F493,G492*(1+G_HI))</f>
        <v>557.3613586186268</v>
      </c>
      <c r="H493" s="8">
        <f>IF(B493&lt;RULE_START,F493,IF(I493=1,R_NF_2024*(1+G_HI)^(B493-2024),H492*(1+D493)))</f>
        <v>578.6378678389759</v>
      </c>
      <c r="I493">
        <f>IF(AND(B493&gt;=RULE_START,MOD(B493-RULE_START,REBASE_YEARS)=0),1,0)</f>
        <v>0</v>
      </c>
      <c r="J493" s="8">
        <f>F493*CAP_SHARE</f>
        <v>26.693811218243443</v>
      </c>
      <c r="K493" s="8">
        <f>G493*CAP_SHARE</f>
        <v>27.25348168716471</v>
      </c>
      <c r="L493" s="8">
        <f>H493*CAP_SHARE</f>
        <v>28.293846157067517</v>
      </c>
      <c r="M493" s="8">
        <f>F493-J493-E493</f>
        <v>-31.23278131598886</v>
      </c>
      <c r="N493" s="8">
        <f>G493-K493-E493</f>
        <v>-20.346622715533158</v>
      </c>
      <c r="O493" s="8">
        <f>H493-L493-E493</f>
        <v>-0.1104779650868295</v>
      </c>
      <c r="P493" s="8">
        <f>R_NF_2024*(1+G_HI)^(B493-2024)</f>
        <v>586.697795990403</v>
      </c>
      <c r="Q493" s="10">
        <f>1-F493/P493</f>
        <v>0.0695115385124444</v>
      </c>
      <c r="R493" s="10">
        <f>CPI_2023/(IF(B493-1=2023,CPI_2023,IF(B493-1=2024,CPI_2024,IF(B493-1=2025,CPI_2025,CPI_2025*(1+INFL)^(B493-1-2025)))))</f>
        <v>0.8730835461099101</v>
      </c>
      <c r="S493" s="8">
        <f>$B$21*ABS($B$11)*(G493-F493)/F493</f>
        <v>2090.2368341633555</v>
      </c>
      <c r="T493" s="8">
        <f>$B$21*ABS($B$11)*(H493-F493)/F493</f>
        <v>5975.752073402454</v>
      </c>
      <c r="U493" s="13">
        <f>(G493-F493)*MCD_NF_DAYS*R493-S493*MCD_SHARE_FREED*R_WAIT_2023</f>
        <v>4314589.047168571</v>
      </c>
      <c r="V493" s="13">
        <f>(H493-F493)*MCD_NF_DAYS*R493-T493*MCD_SHARE_FREED*R_WAIT_2023</f>
        <v>12334924.934387663</v>
      </c>
      <c r="W493" s="10">
        <f>IF(AND(B493&gt;=RULE_START,C493=1),1/(1+$B$12)^(B493-RULE_START+1),0)</f>
        <v>0.9423223345470444</v>
      </c>
      <c r="X493">
        <f>IF(AND(B493&gt;=RULE_START,C493=1,M493&lt;0),B493,9999)</f>
        <v>2029</v>
      </c>
      <c r="Y493">
        <f>IF(AND(B493&gt;=RULE_START,C493=1,N493&lt;0),B493,9999)</f>
        <v>2029</v>
      </c>
      <c r="Z493">
        <f>IF(AND(B493&gt;=RULE_START,C493=1,O493&lt;0),B493,9999)</f>
        <v>2029</v>
      </c>
      <c r="AB493" t="n">
        <v>2029</v>
      </c>
      <c r="AC493">
        <f>IF(AB493&lt;=RULE_START+$AB$38-1,1,0)</f>
        <v>1</v>
      </c>
      <c r="AD493" s="15">
        <f>IF(AB493=2024,G_IDX_2024,IF(AB493=2025,G_IDX_2025,IF(AB493=2026,G_IDX_2026,IF(AB493=2027,G_IDX_2027,$AB$13))))</f>
        <v>0.033</v>
      </c>
      <c r="AE493" s="8">
        <f>$AB$20*(1+G_HI)^(AB493-COST_DATE)</f>
        <v>550.4544996469953</v>
      </c>
      <c r="AF493" s="8">
        <f>AF492*(1+AD493)</f>
        <v>545.9155295492499</v>
      </c>
      <c r="AG493" s="8">
        <f>IF(AB493&lt;RULE_START,AF493,AG492*(1+G_HI))</f>
        <v>557.3613586186268</v>
      </c>
      <c r="AH493" s="8">
        <f>IF(AB493&lt;RULE_START,AF493,IF(AI493=1,R_NF_2024*(1+G_HI)^(AB493-2024),AH492*(1+AD493)))</f>
        <v>578.6378678389759</v>
      </c>
      <c r="AI493">
        <f>IF(AND(AB493&gt;=RULE_START,MOD(AB493-RULE_START,REBASE_YEARS)=0),1,0)</f>
        <v>0</v>
      </c>
      <c r="AJ493" s="8">
        <f>AF493*CAP_SHARE</f>
        <v>26.693811218243443</v>
      </c>
      <c r="AK493" s="8">
        <f>AG493*CAP_SHARE</f>
        <v>27.25348168716471</v>
      </c>
      <c r="AL493" s="8">
        <f>AH493*CAP_SHARE</f>
        <v>28.293846157067517</v>
      </c>
      <c r="AM493" s="8">
        <f>AF493-AJ493-AE493</f>
        <v>-31.23278131598886</v>
      </c>
      <c r="AN493" s="8">
        <f>AG493-AK493-AE493</f>
        <v>-20.346622715533158</v>
      </c>
      <c r="AO493" s="8">
        <f>AH493-AL493-AE493</f>
        <v>-0.1104779650868295</v>
      </c>
      <c r="AP493" s="8">
        <f>R_NF_2024*(1+G_HI)^(AB493-2024)</f>
        <v>586.697795990403</v>
      </c>
      <c r="AQ493" s="10">
        <f>1-AF493/AP493</f>
        <v>0.0695115385124444</v>
      </c>
      <c r="AR493" s="10">
        <f>CPI_2023/(IF(AB493-1=2023,CPI_2023,IF(AB493-1=2024,CPI_2024,IF(AB493-1=2025,CPI_2025,CPI_2025*(1+INFL)^(AB493-1-2025)))))</f>
        <v>0.8730835461099101</v>
      </c>
      <c r="AS493" s="8">
        <f>$AB$21*ABS($AB$11)*(AG493-AF493)/AF493</f>
        <v>2090.2368341633555</v>
      </c>
      <c r="AT493" s="8">
        <f>$AB$21*ABS($AB$11)*(AH493-AF493)/AF493</f>
        <v>5975.752073402454</v>
      </c>
      <c r="AU493" s="13">
        <f>(AG493-AF493)*MCD_NF_DAYS*AR493-AS493*MCD_SHARE_FREED*R_WAIT_2023</f>
        <v>4314589.047168571</v>
      </c>
      <c r="AV493" s="13">
        <f>(AH493-AF493)*MCD_NF_DAYS*AR493-AT493*MCD_SHARE_FREED*R_WAIT_2023</f>
        <v>12334924.934387663</v>
      </c>
      <c r="AW493" s="10">
        <f>IF(AND(AB493&gt;=RULE_START,AC493=1),1/(1+$AB$12)^(AB493-RULE_START+1),0)</f>
        <v>0.9423223345470444</v>
      </c>
      <c r="AX493">
        <f>IF(AND(AB493&gt;=RULE_START,AC493=1,AM493&lt;0),AB493,9999)</f>
        <v>2029</v>
      </c>
      <c r="AY493">
        <f>IF(AND(AB493&gt;=RULE_START,AC493=1,AN493&lt;0),AB493,9999)</f>
        <v>2029</v>
      </c>
      <c r="AZ493">
        <f>IF(AND(AB493&gt;=RULE_START,AC493=1,AO493&lt;0),AB493,9999)</f>
        <v>2029</v>
      </c>
      <c r="BB493" t="n">
        <v>2029</v>
      </c>
      <c r="BC493">
        <f>IF(BB493&lt;=RULE_START+$BB$38-1,1,0)</f>
        <v>1</v>
      </c>
      <c r="BD493" s="15">
        <f>IF(BB493=2024,G_IDX_2024,IF(BB493=2025,G_IDX_2025,IF(BB493=2026,G_IDX_2026,IF(BB493=2027,G_IDX_2027,$BB$13))))</f>
        <v>0.033</v>
      </c>
      <c r="BE493" s="8">
        <f>$BB$20*(1+G_HI)^(BB493-COST_DATE)</f>
        <v>550.4544996469953</v>
      </c>
      <c r="BF493" s="8">
        <f>BF492*(1+BD493)</f>
        <v>545.9155295492499</v>
      </c>
      <c r="BG493" s="8">
        <f>IF(BB493&lt;RULE_START,BF493,BG492*(1+G_HI))</f>
        <v>557.3613586186268</v>
      </c>
      <c r="BH493" s="8">
        <f>IF(BB493&lt;RULE_START,BF493,IF(BI493=1,R_NF_2024*(1+G_HI)^(BB493-2024),BH492*(1+BD493)))</f>
        <v>578.6378678389759</v>
      </c>
      <c r="BI493">
        <f>IF(AND(BB493&gt;=RULE_START,MOD(BB493-RULE_START,REBASE_YEARS)=0),1,0)</f>
        <v>0</v>
      </c>
      <c r="BJ493" s="8">
        <f>BF493*CAP_SHARE</f>
        <v>26.693811218243443</v>
      </c>
      <c r="BK493" s="8">
        <f>BG493*CAP_SHARE</f>
        <v>27.25348168716471</v>
      </c>
      <c r="BL493" s="8">
        <f>BH493*CAP_SHARE</f>
        <v>28.293846157067517</v>
      </c>
      <c r="BM493" s="8">
        <f>BF493-BJ493-BE493</f>
        <v>-31.23278131598886</v>
      </c>
      <c r="BN493" s="8">
        <f>BG493-BK493-BE493</f>
        <v>-20.346622715533158</v>
      </c>
      <c r="BO493" s="8">
        <f>BH493-BL493-BE493</f>
        <v>-0.1104779650868295</v>
      </c>
      <c r="BP493" s="8">
        <f>R_NF_2024*(1+G_HI)^(BB493-2024)</f>
        <v>586.697795990403</v>
      </c>
      <c r="BQ493" s="10">
        <f>1-BF493/BP493</f>
        <v>0.0695115385124444</v>
      </c>
      <c r="BR493" s="10">
        <f>CPI_2023/(IF(BB493-1=2023,CPI_2023,IF(BB493-1=2024,CPI_2024,IF(BB493-1=2025,CPI_2025,CPI_2025*(1+INFL)^(BB493-1-2025)))))</f>
        <v>0.8730835461099101</v>
      </c>
      <c r="BS493" s="8">
        <f>$BB$21*ABS($BB$11)*(BG493-BF493)/BF493</f>
        <v>2090.2368341633555</v>
      </c>
      <c r="BT493" s="8">
        <f>$BB$21*ABS($BB$11)*(BH493-BF493)/BF493</f>
        <v>5975.752073402454</v>
      </c>
      <c r="BU493" s="13">
        <f>(BG493-BF493)*MCD_NF_DAYS*BR493-BS493*MCD_SHARE_FREED*R_WAIT_2023</f>
        <v>4314589.047168571</v>
      </c>
      <c r="BV493" s="13">
        <f>(BH493-BF493)*MCD_NF_DAYS*BR493-BT493*MCD_SHARE_FREED*R_WAIT_2023</f>
        <v>12334924.934387663</v>
      </c>
      <c r="BW493" s="10">
        <f>IF(AND(BB493&gt;=RULE_START,BC493=1),1/(1+$BB$12)^(BB493-RULE_START+1),0)</f>
        <v>0.9423223345470444</v>
      </c>
      <c r="BX493">
        <f>IF(AND(BB493&gt;=RULE_START,BC493=1,BM493&lt;0),BB493,9999)</f>
        <v>2029</v>
      </c>
      <c r="BY493">
        <f>IF(AND(BB493&gt;=RULE_START,BC493=1,BN493&lt;0),BB493,9999)</f>
        <v>2029</v>
      </c>
      <c r="BZ493">
        <f>IF(AND(BB493&gt;=RULE_START,BC493=1,BO493&lt;0),BB493,9999)</f>
        <v>2029</v>
      </c>
      <c r="CB493" t="n">
        <v>2029</v>
      </c>
      <c r="CC493">
        <f>IF(CB493&lt;=RULE_START+$CB$38-1,1,0)</f>
        <v>1</v>
      </c>
      <c r="CD493" s="15">
        <f>IF(CB493=2024,G_IDX_2024,IF(CB493=2025,G_IDX_2025,IF(CB493=2026,G_IDX_2026,IF(CB493=2027,G_IDX_2027,$CB$13))))</f>
        <v>0.033</v>
      </c>
      <c r="CE493" s="8">
        <f>$CB$20*(1+G_HI)^(CB493-COST_DATE)</f>
        <v>550.4544996469953</v>
      </c>
      <c r="CF493" s="8">
        <f>CF492*(1+CD493)</f>
        <v>545.9155295492499</v>
      </c>
      <c r="CG493" s="8">
        <f>IF(CB493&lt;RULE_START,CF493,CG492*(1+G_HI))</f>
        <v>557.3613586186268</v>
      </c>
      <c r="CH493" s="8">
        <f>IF(CB493&lt;RULE_START,CF493,IF(CI493=1,R_NF_2024*(1+G_HI)^(CB493-2024),CH492*(1+CD493)))</f>
        <v>578.6378678389759</v>
      </c>
      <c r="CI493">
        <f>IF(AND(CB493&gt;=RULE_START,MOD(CB493-RULE_START,REBASE_YEARS)=0),1,0)</f>
        <v>0</v>
      </c>
      <c r="CJ493" s="8">
        <f>CF493*CAP_SHARE</f>
        <v>26.693811218243443</v>
      </c>
      <c r="CK493" s="8">
        <f>CG493*CAP_SHARE</f>
        <v>27.25348168716471</v>
      </c>
      <c r="CL493" s="8">
        <f>CH493*CAP_SHARE</f>
        <v>28.293846157067517</v>
      </c>
      <c r="CM493" s="8">
        <f>CF493-CJ493-CE493</f>
        <v>-31.23278131598886</v>
      </c>
      <c r="CN493" s="8">
        <f>CG493-CK493-CE493</f>
        <v>-20.346622715533158</v>
      </c>
      <c r="CO493" s="8">
        <f>CH493-CL493-CE493</f>
        <v>-0.1104779650868295</v>
      </c>
      <c r="CP493" s="8">
        <f>R_NF_2024*(1+G_HI)^(CB493-2024)</f>
        <v>586.697795990403</v>
      </c>
      <c r="CQ493" s="10">
        <f>1-CF493/CP493</f>
        <v>0.0695115385124444</v>
      </c>
      <c r="CR493" s="10">
        <f>CPI_2023/(IF(CB493-1=2023,CPI_2023,IF(CB493-1=2024,CPI_2024,IF(CB493-1=2025,CPI_2025,CPI_2025*(1+INFL)^(CB493-1-2025)))))</f>
        <v>0.8730835461099101</v>
      </c>
      <c r="CS493" s="8">
        <f>$CB$21*ABS($CB$11)*(CG493-CF493)/CF493</f>
        <v>2090.2368341633555</v>
      </c>
      <c r="CT493" s="8">
        <f>$CB$21*ABS($CB$11)*(CH493-CF493)/CF493</f>
        <v>5975.752073402454</v>
      </c>
      <c r="CU493" s="13">
        <f>(CG493-CF493)*MCD_NF_DAYS*CR493-CS493*MCD_SHARE_FREED*R_WAIT_2023</f>
        <v>4314589.047168571</v>
      </c>
      <c r="CV493" s="13">
        <f>(CH493-CF493)*MCD_NF_DAYS*CR493-CT493*MCD_SHARE_FREED*R_WAIT_2023</f>
        <v>12334924.934387663</v>
      </c>
      <c r="CW493" s="10">
        <f>IF(AND(CB493&gt;=RULE_START,CC493=1),1/(1+$CB$12)^(CB493-RULE_START+1),0)</f>
        <v>0.9423223345470444</v>
      </c>
      <c r="CX493">
        <f>IF(AND(CB493&gt;=RULE_START,CC493=1,CM493&lt;0),CB493,9999)</f>
        <v>2029</v>
      </c>
      <c r="CY493">
        <f>IF(AND(CB493&gt;=RULE_START,CC493=1,CN493&lt;0),CB493,9999)</f>
        <v>2029</v>
      </c>
      <c r="CZ493">
        <f>IF(AND(CB493&gt;=RULE_START,CC493=1,CO493&lt;0),CB493,9999)</f>
        <v>2029</v>
      </c>
      <c r="DB493" t="n">
        <v>2029</v>
      </c>
      <c r="DC493">
        <f>IF(DB493&lt;=RULE_START+$DB$38-1,1,0)</f>
        <v>1</v>
      </c>
      <c r="DD493" s="15">
        <f>IF(DB493=2024,G_IDX_2024,IF(DB493=2025,G_IDX_2025,IF(DB493=2026,G_IDX_2026,IF(DB493=2027,G_IDX_2027,$DB$13))))</f>
        <v>0.033</v>
      </c>
      <c r="DE493" s="8">
        <f>$DB$20*(1+G_HI)^(DB493-COST_DATE)</f>
        <v>550.4544996469953</v>
      </c>
      <c r="DF493" s="8">
        <f>DF492*(1+DD493)</f>
        <v>545.9155295492499</v>
      </c>
      <c r="DG493" s="8">
        <f>IF(DB493&lt;RULE_START,DF493,DG492*(1+G_HI))</f>
        <v>557.3613586186268</v>
      </c>
      <c r="DH493" s="8">
        <f>IF(DB493&lt;RULE_START,DF493,IF(DI493=1,R_NF_2024*(1+G_HI)^(DB493-2024),DH492*(1+DD493)))</f>
        <v>578.6378678389759</v>
      </c>
      <c r="DI493">
        <f>IF(AND(DB493&gt;=RULE_START,MOD(DB493-RULE_START,REBASE_YEARS)=0),1,0)</f>
        <v>0</v>
      </c>
      <c r="DJ493" s="8">
        <f>DF493*CAP_SHARE</f>
        <v>26.693811218243443</v>
      </c>
      <c r="DK493" s="8">
        <f>DG493*CAP_SHARE</f>
        <v>27.25348168716471</v>
      </c>
      <c r="DL493" s="8">
        <f>DH493*CAP_SHARE</f>
        <v>28.293846157067517</v>
      </c>
      <c r="DM493" s="8">
        <f>DF493-DJ493-DE493</f>
        <v>-31.23278131598886</v>
      </c>
      <c r="DN493" s="8">
        <f>DG493-DK493-DE493</f>
        <v>-20.346622715533158</v>
      </c>
      <c r="DO493" s="8">
        <f>DH493-DL493-DE493</f>
        <v>-0.1104779650868295</v>
      </c>
      <c r="DP493" s="8">
        <f>R_NF_2024*(1+G_HI)^(DB493-2024)</f>
        <v>586.697795990403</v>
      </c>
      <c r="DQ493" s="10">
        <f>1-DF493/DP493</f>
        <v>0.0695115385124444</v>
      </c>
      <c r="DR493" s="10">
        <f>CPI_2023/(IF(DB493-1=2023,CPI_2023,IF(DB493-1=2024,CPI_2024,IF(DB493-1=2025,CPI_2025,CPI_2025*(1+INFL)^(DB493-1-2025)))))</f>
        <v>0.8730835461099101</v>
      </c>
      <c r="DS493" s="8">
        <f>$DB$21*ABS($DB$11)*(DG493-DF493)/DF493</f>
        <v>2090.2368341633555</v>
      </c>
      <c r="DT493" s="8">
        <f>$DB$21*ABS($DB$11)*(DH493-DF493)/DF493</f>
        <v>5975.752073402454</v>
      </c>
      <c r="DU493" s="13">
        <f>(DG493-DF493)*MCD_NF_DAYS*DR493-DS493*MCD_SHARE_FREED*R_WAIT_2023</f>
        <v>4314589.047168571</v>
      </c>
      <c r="DV493" s="13">
        <f>(DH493-DF493)*MCD_NF_DAYS*DR493-DT493*MCD_SHARE_FREED*R_WAIT_2023</f>
        <v>12334924.934387663</v>
      </c>
      <c r="DW493" s="10">
        <f>IF(AND(DB493&gt;=RULE_START,DC493=1),1/(1+$DB$12)^(DB493-RULE_START+1),0)</f>
        <v>0.9423223345470444</v>
      </c>
      <c r="DX493">
        <f>IF(AND(DB493&gt;=RULE_START,DC493=1,DM493&lt;0),DB493,9999)</f>
        <v>2029</v>
      </c>
      <c r="DY493">
        <f>IF(AND(DB493&gt;=RULE_START,DC493=1,DN493&lt;0),DB493,9999)</f>
        <v>2029</v>
      </c>
      <c r="DZ493">
        <f>IF(AND(DB493&gt;=RULE_START,DC493=1,DO493&lt;0),DB493,9999)</f>
        <v>2029</v>
      </c>
      <c r="EB493" t="n">
        <v>2029</v>
      </c>
      <c r="EC493">
        <f>IF(EB493&lt;=RULE_START+$EB$38-1,1,0)</f>
        <v>1</v>
      </c>
      <c r="ED493" s="15">
        <f>IF(EB493=2024,G_IDX_2024,IF(EB493=2025,G_IDX_2025,IF(EB493=2026,G_IDX_2026,IF(EB493=2027,G_IDX_2027,$EB$13))))</f>
        <v>0.033</v>
      </c>
      <c r="EE493" s="8">
        <f>$EB$20*(1+G_HI)^(EB493-COST_DATE)</f>
        <v>550.4544996469953</v>
      </c>
      <c r="EF493" s="8">
        <f>EF492*(1+ED493)</f>
        <v>545.9155295492499</v>
      </c>
      <c r="EG493" s="8">
        <f>IF(EB493&lt;RULE_START,EF493,EG492*(1+G_HI))</f>
        <v>557.3613586186268</v>
      </c>
      <c r="EH493" s="8">
        <f>IF(EB493&lt;RULE_START,EF493,IF(EI493=1,R_NF_2024*(1+G_HI)^(EB493-2024),EH492*(1+ED493)))</f>
        <v>578.6378678389759</v>
      </c>
      <c r="EI493">
        <f>IF(AND(EB493&gt;=RULE_START,MOD(EB493-RULE_START,REBASE_YEARS)=0),1,0)</f>
        <v>0</v>
      </c>
      <c r="EJ493" s="8">
        <f>EF493*CAP_SHARE</f>
        <v>26.693811218243443</v>
      </c>
      <c r="EK493" s="8">
        <f>EG493*CAP_SHARE</f>
        <v>27.25348168716471</v>
      </c>
      <c r="EL493" s="8">
        <f>EH493*CAP_SHARE</f>
        <v>28.293846157067517</v>
      </c>
      <c r="EM493" s="8">
        <f>EF493-EJ493-EE493</f>
        <v>-31.23278131598886</v>
      </c>
      <c r="EN493" s="8">
        <f>EG493-EK493-EE493</f>
        <v>-20.346622715533158</v>
      </c>
      <c r="EO493" s="8">
        <f>EH493-EL493-EE493</f>
        <v>-0.1104779650868295</v>
      </c>
      <c r="EP493" s="8">
        <f>R_NF_2024*(1+G_HI)^(EB493-2024)</f>
        <v>586.697795990403</v>
      </c>
      <c r="EQ493" s="10">
        <f>1-EF493/EP493</f>
        <v>0.0695115385124444</v>
      </c>
      <c r="ER493" s="10">
        <f>CPI_2023/(IF(EB493-1=2023,CPI_2023,IF(EB493-1=2024,CPI_2024,IF(EB493-1=2025,CPI_2025,CPI_2025*(1+INFL)^(EB493-1-2025)))))</f>
        <v>0.8730835461099101</v>
      </c>
      <c r="ES493" s="8">
        <f>$EB$21*ABS($EB$11)*(EG493-EF493)/EF493</f>
        <v>2090.2368341633555</v>
      </c>
      <c r="ET493" s="8">
        <f>$EB$21*ABS($EB$11)*(EH493-EF493)/EF493</f>
        <v>5975.752073402454</v>
      </c>
      <c r="EU493" s="13">
        <f>(EG493-EF493)*MCD_NF_DAYS*ER493-ES493*MCD_SHARE_FREED*R_WAIT_2023</f>
        <v>4314589.047168571</v>
      </c>
      <c r="EV493" s="13">
        <f>(EH493-EF493)*MCD_NF_DAYS*ER493-ET493*MCD_SHARE_FREED*R_WAIT_2023</f>
        <v>12334924.934387663</v>
      </c>
      <c r="EW493" s="10">
        <f>IF(AND(EB493&gt;=RULE_START,EC493=1),1/(1+$EB$12)^(EB493-RULE_START+1),0)</f>
        <v>0.9423223345470444</v>
      </c>
      <c r="EX493">
        <f>IF(AND(EB493&gt;=RULE_START,EC493=1,EM493&lt;0),EB493,9999)</f>
        <v>2029</v>
      </c>
      <c r="EY493">
        <f>IF(AND(EB493&gt;=RULE_START,EC493=1,EN493&lt;0),EB493,9999)</f>
        <v>2029</v>
      </c>
      <c r="EZ493">
        <f>IF(AND(EB493&gt;=RULE_START,EC493=1,EO493&lt;0),EB493,9999)</f>
        <v>2029</v>
      </c>
      <c r="FB493" t="n">
        <v>2029</v>
      </c>
      <c r="FC493">
        <f>IF(FB493&lt;=RULE_START+$FB$38-1,1,0)</f>
        <v>1</v>
      </c>
      <c r="FD493" s="15">
        <f>IF(FB493=2024,G_IDX_2024,IF(FB493=2025,G_IDX_2025,IF(FB493=2026,G_IDX_2026,IF(FB493=2027,G_IDX_2027,$FB$13))))</f>
        <v>0.033</v>
      </c>
      <c r="FE493" s="8">
        <f>$FB$20*(1+G_HI)^(FB493-COST_DATE)</f>
        <v>566.4905152329889</v>
      </c>
      <c r="FF493" s="8">
        <f>FF492*(1+FD493)</f>
        <v>545.9155295492499</v>
      </c>
      <c r="FG493" s="8">
        <f>IF(FB493&lt;RULE_START,FF493,FG492*(1+G_HI))</f>
        <v>557.3613586186268</v>
      </c>
      <c r="FH493" s="8">
        <f>IF(FB493&lt;RULE_START,FF493,IF(FI493=1,R_NF_2024*(1+G_HI)^(FB493-2024),FH492*(1+FD493)))</f>
        <v>578.6378678389759</v>
      </c>
      <c r="FI493">
        <f>IF(AND(FB493&gt;=RULE_START,MOD(FB493-RULE_START,REBASE_YEARS)=0),1,0)</f>
        <v>0</v>
      </c>
      <c r="FJ493" s="8">
        <f>FF493*CAP_SHARE</f>
        <v>26.693811218243443</v>
      </c>
      <c r="FK493" s="8">
        <f>FG493*CAP_SHARE</f>
        <v>27.25348168716471</v>
      </c>
      <c r="FL493" s="8">
        <f>FH493*CAP_SHARE</f>
        <v>28.293846157067517</v>
      </c>
      <c r="FM493" s="8">
        <f>FF493-FJ493-FE493</f>
        <v>-47.268796901982455</v>
      </c>
      <c r="FN493" s="8">
        <f>FG493-FK493-FE493</f>
        <v>-36.382638301526754</v>
      </c>
      <c r="FO493" s="8">
        <f>FH493-FL493-FE493</f>
        <v>-16.146493551080425</v>
      </c>
      <c r="FP493" s="8">
        <f>R_NF_2024*(1+G_HI)^(FB493-2024)</f>
        <v>586.697795990403</v>
      </c>
      <c r="FQ493" s="10">
        <f>1-FF493/FP493</f>
        <v>0.0695115385124444</v>
      </c>
      <c r="FR493" s="10">
        <f>CPI_2023/(IF(FB493-1=2023,CPI_2023,IF(FB493-1=2024,CPI_2024,IF(FB493-1=2025,CPI_2025,CPI_2025*(1+INFL)^(FB493-1-2025)))))</f>
        <v>0.8730835461099101</v>
      </c>
      <c r="FS493" s="8">
        <f>$FB$21*ABS($FB$11)*(FG493-FF493)/FF493</f>
        <v>2090.2368341633555</v>
      </c>
      <c r="FT493" s="8">
        <f>$FB$21*ABS($FB$11)*(FH493-FF493)/FF493</f>
        <v>5975.752073402454</v>
      </c>
      <c r="FU493" s="13">
        <f>(FG493-FF493)*MCD_NF_DAYS*FR493-FS493*MCD_SHARE_FREED*R_WAIT_2023</f>
        <v>4314589.047168571</v>
      </c>
      <c r="FV493" s="13">
        <f>(FH493-FF493)*MCD_NF_DAYS*FR493-FT493*MCD_SHARE_FREED*R_WAIT_2023</f>
        <v>12334924.934387663</v>
      </c>
      <c r="FW493" s="10">
        <f>IF(AND(FB493&gt;=RULE_START,FC493=1),1/(1+$FB$12)^(FB493-RULE_START+1),0)</f>
        <v>0.9423223345470444</v>
      </c>
      <c r="FX493">
        <f>IF(AND(FB493&gt;=RULE_START,FC493=1,FM493&lt;0),FB493,9999)</f>
        <v>2029</v>
      </c>
      <c r="FY493">
        <f>IF(AND(FB493&gt;=RULE_START,FC493=1,FN493&lt;0),FB493,9999)</f>
        <v>2029</v>
      </c>
      <c r="FZ493">
        <f>IF(AND(FB493&gt;=RULE_START,FC493=1,FO493&lt;0),FB493,9999)</f>
        <v>2029</v>
      </c>
      <c r="GB493" t="n">
        <v>2029</v>
      </c>
      <c r="GC493">
        <f>IF(GB493&lt;=RULE_START+$GB$38-1,1,0)</f>
        <v>1</v>
      </c>
      <c r="GD493" s="15">
        <f>IF(GB493=2024,G_IDX_2024,IF(GB493=2025,G_IDX_2025,IF(GB493=2026,G_IDX_2026,IF(GB493=2027,G_IDX_2027,$GB$13))))</f>
        <v>0.033</v>
      </c>
      <c r="GE493" s="8">
        <f>$GB$20*(1+G_HI)^(GB493-COST_DATE)</f>
        <v>550.4544996469953</v>
      </c>
      <c r="GF493" s="8">
        <f>GF492*(1+GD493)</f>
        <v>545.9155295492499</v>
      </c>
      <c r="GG493" s="8">
        <f>IF(GB493&lt;RULE_START,GF493,GG492*(1+G_HI))</f>
        <v>557.3613586186268</v>
      </c>
      <c r="GH493" s="8">
        <f>IF(GB493&lt;RULE_START,GF493,IF(GI493=1,R_NF_2024*(1+G_HI)^(GB493-2024),GH492*(1+GD493)))</f>
        <v>578.6378678389759</v>
      </c>
      <c r="GI493">
        <f>IF(AND(GB493&gt;=RULE_START,MOD(GB493-RULE_START,REBASE_YEARS)=0),1,0)</f>
        <v>0</v>
      </c>
      <c r="GJ493" s="8">
        <f>GF493*CAP_SHARE</f>
        <v>26.693811218243443</v>
      </c>
      <c r="GK493" s="8">
        <f>GG493*CAP_SHARE</f>
        <v>27.25348168716471</v>
      </c>
      <c r="GL493" s="8">
        <f>GH493*CAP_SHARE</f>
        <v>28.293846157067517</v>
      </c>
      <c r="GM493" s="8">
        <f>GF493-GJ493-GE493</f>
        <v>-31.23278131598886</v>
      </c>
      <c r="GN493" s="8">
        <f>GG493-GK493-GE493</f>
        <v>-20.346622715533158</v>
      </c>
      <c r="GO493" s="8">
        <f>GH493-GL493-GE493</f>
        <v>-0.1104779650868295</v>
      </c>
      <c r="GP493" s="8">
        <f>R_NF_2024*(1+G_HI)^(GB493-2024)</f>
        <v>586.697795990403</v>
      </c>
      <c r="GQ493" s="10">
        <f>1-GF493/GP493</f>
        <v>0.0695115385124444</v>
      </c>
      <c r="GR493" s="10">
        <f>CPI_2023/(IF(GB493-1=2023,CPI_2023,IF(GB493-1=2024,CPI_2024,IF(GB493-1=2025,CPI_2025,CPI_2025*(1+INFL)^(GB493-1-2025)))))</f>
        <v>0.8730835461099101</v>
      </c>
      <c r="GS493" s="8">
        <f>$GB$21*ABS($GB$11)*(GG493-GF493)/GF493</f>
        <v>1577.8152431688795</v>
      </c>
      <c r="GT493" s="8">
        <f>$GB$21*ABS($GB$11)*(GH493-GF493)/GF493</f>
        <v>4510.796363698357</v>
      </c>
      <c r="GU493" s="13">
        <f>(GG493-GF493)*MCD_NF_DAYS*GR493-GS493*MCD_SHARE_FREED*R_WAIT_2023</f>
        <v>4547596.742736172</v>
      </c>
      <c r="GV493" s="13">
        <f>(GH493-GF493)*MCD_NF_DAYS*GR493-GT493*MCD_SHARE_FREED*R_WAIT_2023</f>
        <v>13001067.735600017</v>
      </c>
      <c r="GW493" s="10">
        <f>IF(AND(GB493&gt;=RULE_START,GC493=1),1/(1+$GB$12)^(GB493-RULE_START+1),0)</f>
        <v>0.9423223345470444</v>
      </c>
      <c r="GX493">
        <f>IF(AND(GB493&gt;=RULE_START,GC493=1,GM493&lt;0),GB493,9999)</f>
        <v>2029</v>
      </c>
      <c r="GY493">
        <f>IF(AND(GB493&gt;=RULE_START,GC493=1,GN493&lt;0),GB493,9999)</f>
        <v>2029</v>
      </c>
      <c r="GZ493">
        <f>IF(AND(GB493&gt;=RULE_START,GC493=1,GO493&lt;0),GB493,9999)</f>
        <v>2029</v>
      </c>
      <c r="HB493" t="n">
        <v>2029</v>
      </c>
      <c r="HC493">
        <f>IF(HB493&lt;=RULE_START+$HB$38-1,1,0)</f>
        <v>1</v>
      </c>
      <c r="HD493" s="15">
        <f>IF(HB493=2024,G_IDX_2024,IF(HB493=2025,G_IDX_2025,IF(HB493=2026,G_IDX_2026,IF(HB493=2027,G_IDX_2027,$HB$13))))</f>
        <v>0.033</v>
      </c>
      <c r="HE493" s="8">
        <f>$HB$20*(1+G_HI)^(HB493-COST_DATE)</f>
        <v>550.4544996469953</v>
      </c>
      <c r="HF493" s="8">
        <f>HF492*(1+HD493)</f>
        <v>545.9155295492499</v>
      </c>
      <c r="HG493" s="8">
        <f>IF(HB493&lt;RULE_START,HF493,HG492*(1+G_HI))</f>
        <v>557.3613586186268</v>
      </c>
      <c r="HH493" s="8">
        <f>IF(HB493&lt;RULE_START,HF493,IF(HI493=1,R_NF_2024*(1+G_HI)^(HB493-2024),HH492*(1+HD493)))</f>
        <v>578.6378678389759</v>
      </c>
      <c r="HI493">
        <f>IF(AND(HB493&gt;=RULE_START,MOD(HB493-RULE_START,REBASE_YEARS)=0),1,0)</f>
        <v>0</v>
      </c>
      <c r="HJ493" s="8">
        <f>HF493*CAP_SHARE</f>
        <v>26.693811218243443</v>
      </c>
      <c r="HK493" s="8">
        <f>HG493*CAP_SHARE</f>
        <v>27.25348168716471</v>
      </c>
      <c r="HL493" s="8">
        <f>HH493*CAP_SHARE</f>
        <v>28.293846157067517</v>
      </c>
      <c r="HM493" s="8">
        <f>HF493-HJ493-HE493</f>
        <v>-31.23278131598886</v>
      </c>
      <c r="HN493" s="8">
        <f>HG493-HK493-HE493</f>
        <v>-20.346622715533158</v>
      </c>
      <c r="HO493" s="8">
        <f>HH493-HL493-HE493</f>
        <v>-0.1104779650868295</v>
      </c>
      <c r="HP493" s="8">
        <f>R_NF_2024*(1+G_HI)^(HB493-2024)</f>
        <v>586.697795990403</v>
      </c>
      <c r="HQ493" s="10">
        <f>1-HF493/HP493</f>
        <v>0.0695115385124444</v>
      </c>
      <c r="HR493" s="10">
        <f>CPI_2023/(IF(HB493-1=2023,CPI_2023,IF(HB493-1=2024,CPI_2024,IF(HB493-1=2025,CPI_2025,CPI_2025*(1+INFL)^(HB493-1-2025)))))</f>
        <v>0.8730835461099101</v>
      </c>
      <c r="HS493" s="8">
        <f>$HB$21*ABS($HB$11)*(HG493-HF493)/HF493</f>
        <v>2090.2368341633555</v>
      </c>
      <c r="HT493" s="8">
        <f>$HB$21*ABS($HB$11)*(HH493-HF493)/HF493</f>
        <v>5975.752073402454</v>
      </c>
      <c r="HU493" s="13">
        <f>(HG493-HF493)*MCD_NF_DAYS*HR493-HS493*MCD_SHARE_FREED*R_WAIT_2023</f>
        <v>4314589.047168571</v>
      </c>
      <c r="HV493" s="13">
        <f>(HH493-HF493)*MCD_NF_DAYS*HR493-HT493*MCD_SHARE_FREED*R_WAIT_2023</f>
        <v>12334924.934387663</v>
      </c>
      <c r="HW493" s="10">
        <f>IF(AND(HB493&gt;=RULE_START,HC493=1),1/(1+$HB$12)^(HB493-RULE_START+1),0)</f>
        <v>0.9151416593531596</v>
      </c>
      <c r="HX493">
        <f>IF(AND(HB493&gt;=RULE_START,HC493=1,HM493&lt;0),HB493,9999)</f>
        <v>2029</v>
      </c>
      <c r="HY493">
        <f>IF(AND(HB493&gt;=RULE_START,HC493=1,HN493&lt;0),HB493,9999)</f>
        <v>2029</v>
      </c>
      <c r="HZ493">
        <f>IF(AND(HB493&gt;=RULE_START,HC493=1,HO493&lt;0),HB493,9999)</f>
        <v>2029</v>
      </c>
      <c r="IB493" t="n">
        <v>2029</v>
      </c>
      <c r="IC493">
        <f>IF(IB493&lt;=RULE_START+$IB$38-1,1,0)</f>
        <v>1</v>
      </c>
      <c r="ID493" s="15">
        <f>IF(IB493=2024,G_IDX_2024,IF(IB493=2025,G_IDX_2025,IF(IB493=2026,G_IDX_2026,IF(IB493=2027,G_IDX_2027,$IB$13))))</f>
        <v>0.033</v>
      </c>
      <c r="IE493" s="8">
        <f>$IB$20*(1+G_HI)^(IB493-COST_DATE)</f>
        <v>550.4544996469953</v>
      </c>
      <c r="IF493" s="8">
        <f>IF492*(1+ID493)</f>
        <v>545.9155295492499</v>
      </c>
      <c r="IG493" s="8">
        <f>IF(IB493&lt;RULE_START,IF493,IG492*(1+G_HI))</f>
        <v>557.3613586186268</v>
      </c>
      <c r="IH493" s="8">
        <f>IF(IB493&lt;RULE_START,IF493,IF(II493=1,R_NF_2024*(1+G_HI)^(IB493-2024),IH492*(1+ID493)))</f>
        <v>578.6378678389759</v>
      </c>
      <c r="II493">
        <f>IF(AND(IB493&gt;=RULE_START,MOD(IB493-RULE_START,REBASE_YEARS)=0),1,0)</f>
        <v>0</v>
      </c>
      <c r="IJ493" s="8">
        <f>IF493*CAP_SHARE</f>
        <v>26.693811218243443</v>
      </c>
      <c r="IK493" s="8">
        <f>IG493*CAP_SHARE</f>
        <v>27.25348168716471</v>
      </c>
      <c r="IL493" s="8">
        <f>IH493*CAP_SHARE</f>
        <v>28.293846157067517</v>
      </c>
      <c r="IM493" s="8">
        <f>IF493-IJ493-IE493</f>
        <v>-31.23278131598886</v>
      </c>
      <c r="IN493" s="8">
        <f>IG493-IK493-IE493</f>
        <v>-20.346622715533158</v>
      </c>
      <c r="IO493" s="8">
        <f>IH493-IL493-IE493</f>
        <v>-0.1104779650868295</v>
      </c>
      <c r="IP493" s="8">
        <f>R_NF_2024*(1+G_HI)^(IB493-2024)</f>
        <v>586.697795990403</v>
      </c>
      <c r="IQ493" s="10">
        <f>1-IF493/IP493</f>
        <v>0.0695115385124444</v>
      </c>
      <c r="IR493" s="10">
        <f>CPI_2023/(IF(IB493-1=2023,CPI_2023,IF(IB493-1=2024,CPI_2024,IF(IB493-1=2025,CPI_2025,CPI_2025*(1+INFL)^(IB493-1-2025)))))</f>
        <v>0.8730835461099101</v>
      </c>
      <c r="IS493" s="8">
        <f>$IB$21*ABS($IB$11)*(IG493-IF493)/IF493</f>
        <v>2090.2368341633555</v>
      </c>
      <c r="IT493" s="8">
        <f>$IB$21*ABS($IB$11)*(IH493-IF493)/IF493</f>
        <v>5975.752073402454</v>
      </c>
      <c r="IU493" s="13">
        <f>(IG493-IF493)*MCD_NF_DAYS*IR493-IS493*MCD_SHARE_FREED*R_WAIT_2023</f>
        <v>4314589.047168571</v>
      </c>
      <c r="IV493" s="13">
        <f>(IH493-IF493)*MCD_NF_DAYS*IR493-IT493*MCD_SHARE_FREED*R_WAIT_2023</f>
        <v>12334924.934387663</v>
      </c>
      <c r="IW493" s="10">
        <f>IF(AND(IB493&gt;=RULE_START,IC493=1),1/(1+$IB$12)^(IB493-RULE_START+1),0)</f>
        <v>0.8162978768908519</v>
      </c>
      <c r="IX493">
        <f>IF(AND(IB493&gt;=RULE_START,IC493=1,IM493&lt;0),IB493,9999)</f>
        <v>2029</v>
      </c>
      <c r="IY493">
        <f>IF(AND(IB493&gt;=RULE_START,IC493=1,IN493&lt;0),IB493,9999)</f>
        <v>2029</v>
      </c>
      <c r="IZ493">
        <f>IF(AND(IB493&gt;=RULE_START,IC493=1,IO493&lt;0),IB493,9999)</f>
        <v>2029</v>
      </c>
      <c r="JB493" t="n">
        <v>2029</v>
      </c>
      <c r="JC493">
        <f>IF(JB493&lt;=RULE_START+$JB$38-1,1,0)</f>
        <v>1</v>
      </c>
      <c r="JD493" s="15">
        <f>IF(JB493=2024,G_IDX_2024,IF(JB493=2025,G_IDX_2025,IF(JB493=2026,G_IDX_2026,IF(JB493=2027,G_IDX_2027,$JB$13))))</f>
        <v>0.03</v>
      </c>
      <c r="JE493" s="8">
        <f>$JB$20*(1+G_HI)^(JB493-COST_DATE)</f>
        <v>550.4544996469953</v>
      </c>
      <c r="JF493" s="8">
        <f>JF492*(1+JD493)</f>
        <v>542.749278925</v>
      </c>
      <c r="JG493" s="8">
        <f>IF(JB493&lt;RULE_START,JF493,JG492*(1+G_HI))</f>
        <v>557.3613586186268</v>
      </c>
      <c r="JH493" s="8">
        <f>IF(JB493&lt;RULE_START,JF493,IF(JI493=1,R_NF_2024*(1+G_HI)^(JB493-2024),JH492*(1+JD493)))</f>
        <v>575.2818312159246</v>
      </c>
      <c r="JI493">
        <f>IF(AND(JB493&gt;=RULE_START,MOD(JB493-RULE_START,REBASE_YEARS)=0),1,0)</f>
        <v>0</v>
      </c>
      <c r="JJ493" s="8">
        <f>JF493*CAP_SHARE</f>
        <v>26.538990019983782</v>
      </c>
      <c r="JK493" s="8">
        <f>JG493*CAP_SHARE</f>
        <v>27.25348168716471</v>
      </c>
      <c r="JL493" s="8">
        <f>JH493*CAP_SHARE</f>
        <v>28.129744930397504</v>
      </c>
      <c r="JM493" s="8">
        <f>JF493-JJ493-JE493</f>
        <v>-34.24421074197903</v>
      </c>
      <c r="JN493" s="8">
        <f>JG493-JK493-JE493</f>
        <v>-20.346622715533158</v>
      </c>
      <c r="JO493" s="8">
        <f>JH493-JL493-JE493</f>
        <v>-3.3024133614680977</v>
      </c>
      <c r="JP493" s="8">
        <f>R_NF_2024*(1+G_HI)^(JB493-2024)</f>
        <v>586.697795990403</v>
      </c>
      <c r="JQ493" s="10">
        <f>1-JF493/JP493</f>
        <v>0.07490827026410363</v>
      </c>
      <c r="JR493" s="10">
        <f>CPI_2023/(IF(JB493-1=2023,CPI_2023,IF(JB493-1=2024,CPI_2024,IF(JB493-1=2025,CPI_2025,CPI_2025*(1+INFL)^(JB493-1-2025)))))</f>
        <v>0.8730835461099101</v>
      </c>
      <c r="JS493" s="8">
        <f>$JB$21*ABS($JB$11)*(JG493-JF493)/JF493</f>
        <v>2684.024442504963</v>
      </c>
      <c r="JT493" s="8">
        <f>$JB$21*ABS($JB$11)*(JH493-JF493)/JF493</f>
        <v>5975.752073402469</v>
      </c>
      <c r="JU493" s="13">
        <f>(JG493-JF493)*MCD_NF_DAYS*JR493-JS493*MCD_SHARE_FREED*R_WAIT_2023</f>
        <v>5501051.766837785</v>
      </c>
      <c r="JV493" s="13">
        <f>(JH493-JF493)*MCD_NF_DAYS*JR493-JT493*MCD_SHARE_FREED*R_WAIT_2023</f>
        <v>12247623.747753715</v>
      </c>
      <c r="JW493" s="10">
        <f>IF(AND(JB493&gt;=RULE_START,JC493=1),1/(1+$JB$12)^(JB493-RULE_START+1),0)</f>
        <v>0.9423223345470444</v>
      </c>
      <c r="JX493">
        <f>IF(AND(JB493&gt;=RULE_START,JC493=1,JM493&lt;0),JB493,9999)</f>
        <v>2029</v>
      </c>
      <c r="JY493">
        <f>IF(AND(JB493&gt;=RULE_START,JC493=1,JN493&lt;0),JB493,9999)</f>
        <v>2029</v>
      </c>
      <c r="JZ493">
        <f>IF(AND(JB493&gt;=RULE_START,JC493=1,JO493&lt;0),JB493,9999)</f>
        <v>2029</v>
      </c>
      <c r="KB493" t="n">
        <v>2029</v>
      </c>
      <c r="KC493">
        <f>IF(KB493&lt;=RULE_START+$KB$38-1,1,0)</f>
        <v>1</v>
      </c>
      <c r="KD493" s="15">
        <f>IF(KB493=2024,G_IDX_2024,IF(KB493=2025,G_IDX_2025,IF(KB493=2026,G_IDX_2026,IF(KB493=2027,G_IDX_2027,$KB$13))))</f>
        <v>0.033</v>
      </c>
      <c r="KE493" s="8">
        <f>$KB$20*(1+G_HI)^(KB493-COST_DATE)</f>
        <v>550.4544996469953</v>
      </c>
      <c r="KF493" s="8">
        <f>KF492*(1+KD493)</f>
        <v>545.9155295492499</v>
      </c>
      <c r="KG493" s="8">
        <f>IF(KB493&lt;RULE_START,KF493,KG492*(1+G_HI))</f>
        <v>557.3613586186268</v>
      </c>
      <c r="KH493" s="8">
        <f>IF(KB493&lt;RULE_START,KF493,IF(KI493=1,R_NF_2024*(1+G_HI)^(KB493-2024),KH492*(1+KD493)))</f>
        <v>578.6378678389759</v>
      </c>
      <c r="KI493">
        <f>IF(AND(KB493&gt;=RULE_START,MOD(KB493-RULE_START,REBASE_YEARS)=0),1,0)</f>
        <v>0</v>
      </c>
      <c r="KJ493" s="8">
        <f>KF493*CAP_SHARE</f>
        <v>26.693811218243443</v>
      </c>
      <c r="KK493" s="8">
        <f>KG493*CAP_SHARE</f>
        <v>27.25348168716471</v>
      </c>
      <c r="KL493" s="8">
        <f>KH493*CAP_SHARE</f>
        <v>28.293846157067517</v>
      </c>
      <c r="KM493" s="8">
        <f>KF493-KJ493-KE493</f>
        <v>-31.23278131598886</v>
      </c>
      <c r="KN493" s="8">
        <f>KG493-KK493-KE493</f>
        <v>-20.346622715533158</v>
      </c>
      <c r="KO493" s="8">
        <f>KH493-KL493-KE493</f>
        <v>-0.1104779650868295</v>
      </c>
      <c r="KP493" s="8">
        <f>R_NF_2024*(1+G_HI)^(KB493-2024)</f>
        <v>586.697795990403</v>
      </c>
      <c r="KQ493" s="10">
        <f>1-KF493/KP493</f>
        <v>0.0695115385124444</v>
      </c>
      <c r="KR493" s="10">
        <f>CPI_2023/(IF(KB493-1=2023,CPI_2023,IF(KB493-1=2024,CPI_2024,IF(KB493-1=2025,CPI_2025,CPI_2025*(1+INFL)^(KB493-1-2025)))))</f>
        <v>0.8730835461099101</v>
      </c>
      <c r="KS493" s="8">
        <f>$KB$21*ABS($KB$11)*(KG493-KF493)/KF493</f>
        <v>2090.2368341633555</v>
      </c>
      <c r="KT493" s="8">
        <f>$KB$21*ABS($KB$11)*(KH493-KF493)/KF493</f>
        <v>5975.752073402454</v>
      </c>
      <c r="KU493" s="13">
        <f>(KG493-KF493)*MCD_NF_DAYS*KR493-KS493*MCD_SHARE_FREED*R_WAIT_2023</f>
        <v>4314589.047168571</v>
      </c>
      <c r="KV493" s="13">
        <f>(KH493-KF493)*MCD_NF_DAYS*KR493-KT493*MCD_SHARE_FREED*R_WAIT_2023</f>
        <v>12334924.934387663</v>
      </c>
      <c r="KW493" s="10">
        <f>IF(AND(KB493&gt;=RULE_START,KC493=1),1/(1+$KB$12)^(KB493-RULE_START+1),0)</f>
        <v>0.9423223345470444</v>
      </c>
      <c r="KX493">
        <f>IF(AND(KB493&gt;=RULE_START,KC493=1,KM493&lt;0),KB493,9999)</f>
        <v>2029</v>
      </c>
      <c r="KY493">
        <f>IF(AND(KB493&gt;=RULE_START,KC493=1,KN493&lt;0),KB493,9999)</f>
        <v>2029</v>
      </c>
      <c r="KZ493">
        <f>IF(AND(KB493&gt;=RULE_START,KC493=1,KO493&lt;0),KB493,9999)</f>
        <v>2029</v>
      </c>
      <c r="LB493" t="n">
        <v>2029</v>
      </c>
      <c r="LC493">
        <f>IF(LB493&lt;=RULE_START+$LB$38-1,1,0)</f>
        <v>1</v>
      </c>
      <c r="LD493" s="15">
        <f>IF(LB493=2024,G_IDX_2024,IF(LB493=2025,G_IDX_2025,IF(LB493=2026,G_IDX_2026,IF(LB493=2027,G_IDX_2027,$LB$13))))</f>
        <v>0.033</v>
      </c>
      <c r="LE493" s="8">
        <f>$LB$20*(1+G_HI)^(LB493-COST_DATE)</f>
        <v>550.4544996469953</v>
      </c>
      <c r="LF493" s="8">
        <f>LF492*(1+LD493)</f>
        <v>545.9155295492499</v>
      </c>
      <c r="LG493" s="8">
        <f>IF(LB493&lt;RULE_START,LF493,LG492*(1+G_HI))</f>
        <v>557.3613586186268</v>
      </c>
      <c r="LH493" s="8">
        <f>IF(LB493&lt;RULE_START,LF493,IF(LI493=1,R_NF_2024*(1+G_HI)^(LB493-2024),LH492*(1+LD493)))</f>
        <v>578.6378678389759</v>
      </c>
      <c r="LI493">
        <f>IF(AND(LB493&gt;=RULE_START,MOD(LB493-RULE_START,REBASE_YEARS)=0),1,0)</f>
        <v>0</v>
      </c>
      <c r="LJ493" s="8">
        <f>LF493*CAP_SHARE</f>
        <v>26.693811218243443</v>
      </c>
      <c r="LK493" s="8">
        <f>LG493*CAP_SHARE</f>
        <v>27.25348168716471</v>
      </c>
      <c r="LL493" s="8">
        <f>LH493*CAP_SHARE</f>
        <v>28.293846157067517</v>
      </c>
      <c r="LM493" s="8">
        <f>LF493-LJ493-LE493</f>
        <v>-31.23278131598886</v>
      </c>
      <c r="LN493" s="8">
        <f>LG493-LK493-LE493</f>
        <v>-20.346622715533158</v>
      </c>
      <c r="LO493" s="8">
        <f>LH493-LL493-LE493</f>
        <v>-0.1104779650868295</v>
      </c>
      <c r="LP493" s="8">
        <f>R_NF_2024*(1+G_HI)^(LB493-2024)</f>
        <v>586.697795990403</v>
      </c>
      <c r="LQ493" s="10">
        <f>1-LF493/LP493</f>
        <v>0.0695115385124444</v>
      </c>
      <c r="LR493" s="10">
        <f>CPI_2023/(IF(LB493-1=2023,CPI_2023,IF(LB493-1=2024,CPI_2024,IF(LB493-1=2025,CPI_2025,CPI_2025*(1+INFL)^(LB493-1-2025)))))</f>
        <v>0.8730835461099101</v>
      </c>
      <c r="LS493" s="8">
        <f>$LB$21*ABS($LB$11)*(LG493-LF493)/LF493</f>
        <v>2090.2368341633555</v>
      </c>
      <c r="LT493" s="8">
        <f>$LB$21*ABS($LB$11)*(LH493-LF493)/LF493</f>
        <v>5975.752073402454</v>
      </c>
      <c r="LU493" s="13">
        <f>(LG493-LF493)*MCD_NF_DAYS*LR493-LS493*MCD_SHARE_FREED*R_WAIT_2023</f>
        <v>4314589.047168571</v>
      </c>
      <c r="LV493" s="13">
        <f>(LH493-LF493)*MCD_NF_DAYS*LR493-LT493*MCD_SHARE_FREED*R_WAIT_2023</f>
        <v>12334924.934387663</v>
      </c>
      <c r="LW493" s="10">
        <f>IF(AND(LB493&gt;=RULE_START,LC493=1),1/(1+$LB$12)^(LB493-RULE_START+1),0)</f>
        <v>0.9423223345470444</v>
      </c>
      <c r="LX493">
        <f>IF(AND(LB493&gt;=RULE_START,LC493=1,LM493&lt;0),LB493,9999)</f>
        <v>2029</v>
      </c>
      <c r="LY493">
        <f>IF(AND(LB493&gt;=RULE_START,LC493=1,LN493&lt;0),LB493,9999)</f>
        <v>2029</v>
      </c>
      <c r="LZ493">
        <f>IF(AND(LB493&gt;=RULE_START,LC493=1,LO493&lt;0),LB493,9999)</f>
        <v>2029</v>
      </c>
      <c r="MB493" t="n">
        <v>2029</v>
      </c>
      <c r="MC493">
        <f>IF(MB493&lt;=RULE_START+$MB$38-1,1,0)</f>
        <v>1</v>
      </c>
      <c r="MD493" s="15">
        <f>IF(MB493=2024,G_IDX_2024,IF(MB493=2025,G_IDX_2025,IF(MB493=2026,G_IDX_2026,IF(MB493=2027,G_IDX_2027,$MB$13))))</f>
        <v>0.033</v>
      </c>
      <c r="ME493" s="8">
        <f>$MB$20*(1+G_HI)^(MB493-COST_DATE)</f>
        <v>550.4544996469953</v>
      </c>
      <c r="MF493" s="8">
        <f>MF492*(1+MD493)</f>
        <v>545.9155295492499</v>
      </c>
      <c r="MG493" s="8">
        <f>IF(MB493&lt;RULE_START,MF493,MG492*(1+G_HI))</f>
        <v>557.3613586186268</v>
      </c>
      <c r="MH493" s="8">
        <f>IF(MB493&lt;RULE_START,MF493,IF(MI493=1,R_NF_2024*(1+G_HI)^(MB493-2024),MH492*(1+MD493)))</f>
        <v>578.6378678389759</v>
      </c>
      <c r="MI493">
        <f>IF(AND(MB493&gt;=RULE_START,MOD(MB493-RULE_START,REBASE_YEARS)=0),1,0)</f>
        <v>0</v>
      </c>
      <c r="MJ493" s="8">
        <f>MF493*CAP_SHARE</f>
        <v>26.693811218243443</v>
      </c>
      <c r="MK493" s="8">
        <f>MG493*CAP_SHARE</f>
        <v>27.25348168716471</v>
      </c>
      <c r="ML493" s="8">
        <f>MH493*CAP_SHARE</f>
        <v>28.293846157067517</v>
      </c>
      <c r="MM493" s="8">
        <f>MF493-MJ493-ME493</f>
        <v>-31.23278131598886</v>
      </c>
      <c r="MN493" s="8">
        <f>MG493-MK493-ME493</f>
        <v>-20.346622715533158</v>
      </c>
      <c r="MO493" s="8">
        <f>MH493-ML493-ME493</f>
        <v>-0.1104779650868295</v>
      </c>
      <c r="MP493" s="8">
        <f>R_NF_2024*(1+G_HI)^(MB493-2024)</f>
        <v>586.697795990403</v>
      </c>
      <c r="MQ493" s="10">
        <f>1-MF493/MP493</f>
        <v>0.0695115385124444</v>
      </c>
      <c r="MR493" s="10">
        <f>CPI_2023/(IF(MB493-1=2023,CPI_2023,IF(MB493-1=2024,CPI_2024,IF(MB493-1=2025,CPI_2025,CPI_2025*(1+INFL)^(MB493-1-2025)))))</f>
        <v>0.8730835461099101</v>
      </c>
      <c r="MS493" s="8">
        <f>$MB$21*ABS($MB$11)*(MG493-MF493)/MF493</f>
        <v>1531.2858167747142</v>
      </c>
      <c r="MT493" s="8">
        <f>$MB$21*ABS($MB$11)*(MH493-MF493)/MF493</f>
        <v>4377.773965611848</v>
      </c>
      <c r="MU493" s="13">
        <f>(MG493-MF493)*MCD_NF_DAYS*MR493-MS493*MCD_SHARE_FREED*R_WAIT_2023</f>
        <v>4568754.544457886</v>
      </c>
      <c r="MV493" s="13">
        <f>(MH493-MF493)*MCD_NF_DAYS*MR493-MT493*MCD_SHARE_FREED*R_WAIT_2023</f>
        <v>13061555.511645636</v>
      </c>
      <c r="MW493" s="10">
        <f>IF(AND(MB493&gt;=RULE_START,MC493=1),1/(1+$MB$12)^(MB493-RULE_START+1),0)</f>
        <v>0.9423223345470444</v>
      </c>
      <c r="MX493">
        <f>IF(AND(MB493&gt;=RULE_START,MC493=1,MM493&lt;0),MB493,9999)</f>
        <v>2029</v>
      </c>
      <c r="MY493">
        <f>IF(AND(MB493&gt;=RULE_START,MC493=1,MN493&lt;0),MB493,9999)</f>
        <v>2029</v>
      </c>
      <c r="MZ493">
        <f>IF(AND(MB493&gt;=RULE_START,MC493=1,MO493&lt;0),MB493,9999)</f>
        <v>2029</v>
      </c>
      <c r="NB493" t="n">
        <v>2029</v>
      </c>
      <c r="NC493">
        <f>IF(NB493&lt;=RULE_START+$NB$38-1,1,0)</f>
        <v>1</v>
      </c>
      <c r="ND493" s="15">
        <f>IF(NB493=2024,G_IDX_2024,IF(NB493=2025,G_IDX_2025,IF(NB493=2026,G_IDX_2026,IF(NB493=2027,G_IDX_2027,$NB$13))))</f>
        <v>0.033</v>
      </c>
      <c r="NE493" s="8">
        <f>$NB$20*(1+G_HI)^(NB493-COST_DATE)</f>
        <v>550.4544996469953</v>
      </c>
      <c r="NF493" s="8">
        <f>NF492*(1+ND493)</f>
        <v>545.9155295492499</v>
      </c>
      <c r="NG493" s="8">
        <f>IF(NB493&lt;RULE_START,NF493,NG492*(1+G_HI))</f>
        <v>557.3613586186268</v>
      </c>
      <c r="NH493" s="8">
        <f>IF(NB493&lt;RULE_START,NF493,IF(NI493=1,R_NF_2024*(1+G_HI)^(NB493-2024),NH492*(1+ND493)))</f>
        <v>578.6378678389759</v>
      </c>
      <c r="NI493">
        <f>IF(AND(NB493&gt;=RULE_START,MOD(NB493-RULE_START,REBASE_YEARS)=0),1,0)</f>
        <v>0</v>
      </c>
      <c r="NJ493" s="8">
        <f>NF493*CAP_SHARE</f>
        <v>26.693811218243443</v>
      </c>
      <c r="NK493" s="8">
        <f>NG493*CAP_SHARE</f>
        <v>27.25348168716471</v>
      </c>
      <c r="NL493" s="8">
        <f>NH493*CAP_SHARE</f>
        <v>28.293846157067517</v>
      </c>
      <c r="NM493" s="8">
        <f>NF493-NJ493-NE493</f>
        <v>-31.23278131598886</v>
      </c>
      <c r="NN493" s="8">
        <f>NG493-NK493-NE493</f>
        <v>-20.346622715533158</v>
      </c>
      <c r="NO493" s="8">
        <f>NH493-NL493-NE493</f>
        <v>-0.1104779650868295</v>
      </c>
      <c r="NP493" s="8">
        <f>R_NF_2024*(1+G_HI)^(NB493-2024)</f>
        <v>586.697795990403</v>
      </c>
      <c r="NQ493" s="10">
        <f>1-NF493/NP493</f>
        <v>0.0695115385124444</v>
      </c>
      <c r="NR493" s="10">
        <f>CPI_2023/(IF(NB493-1=2023,CPI_2023,IF(NB493-1=2024,CPI_2024,IF(NB493-1=2025,CPI_2025,CPI_2025*(1+INFL)^(NB493-1-2025)))))</f>
        <v>0.8730835461099101</v>
      </c>
      <c r="NS493" s="8">
        <f>$NB$21*ABS($NB$11)*(NG493-NF493)/NF493</f>
        <v>2090.2368341633555</v>
      </c>
      <c r="NT493" s="8">
        <f>$NB$21*ABS($NB$11)*(NH493-NF493)/NF493</f>
        <v>5975.752073402454</v>
      </c>
      <c r="NU493" s="13">
        <f>(NG493-NF493)*MCD_NF_DAYS*NR493-NS493*MCD_SHARE_FREED*R_WAIT_2023</f>
        <v>4314589.047168571</v>
      </c>
      <c r="NV493" s="13">
        <f>(NH493-NF493)*MCD_NF_DAYS*NR493-NT493*MCD_SHARE_FREED*R_WAIT_2023</f>
        <v>12334924.934387663</v>
      </c>
      <c r="NW493" s="10">
        <f>IF(AND(NB493&gt;=RULE_START,NC493=1),1/(1+$NB$12)^(NB493-RULE_START+1),0)</f>
        <v>0.9423223345470444</v>
      </c>
      <c r="NX493">
        <f>IF(AND(NB493&gt;=RULE_START,NC493=1,NM493&lt;0),NB493,9999)</f>
        <v>2029</v>
      </c>
      <c r="NY493">
        <f>IF(AND(NB493&gt;=RULE_START,NC493=1,NN493&lt;0),NB493,9999)</f>
        <v>2029</v>
      </c>
      <c r="NZ493">
        <f>IF(AND(NB493&gt;=RULE_START,NC493=1,NO493&lt;0),NB493,9999)</f>
        <v>2029</v>
      </c>
      <c r="OB493" t="n">
        <v>2029</v>
      </c>
      <c r="OC493">
        <f>IF(OB493&lt;=RULE_START+$OB$38-1,1,0)</f>
        <v>1</v>
      </c>
      <c r="OD493" s="15">
        <f>IF(OB493=2024,G_IDX_2024,IF(OB493=2025,G_IDX_2025,IF(OB493=2026,G_IDX_2026,IF(OB493=2027,G_IDX_2027,$OB$13))))</f>
        <v>0.033</v>
      </c>
      <c r="OE493" s="8">
        <f>$OB$20*(1+G_HI)^(OB493-COST_DATE)</f>
        <v>550.4544996469953</v>
      </c>
      <c r="OF493" s="8">
        <f>OF492*(1+OD493)</f>
        <v>545.9155295492499</v>
      </c>
      <c r="OG493" s="8">
        <f>IF(OB493&lt;RULE_START,OF493,OG492*(1+G_HI))</f>
        <v>557.3613586186268</v>
      </c>
      <c r="OH493" s="8">
        <f>IF(OB493&lt;RULE_START,OF493,IF(OI493=1,R_NF_2024*(1+G_HI)^(OB493-2024),OH492*(1+OD493)))</f>
        <v>578.6378678389759</v>
      </c>
      <c r="OI493">
        <f>IF(AND(OB493&gt;=RULE_START,MOD(OB493-RULE_START,REBASE_YEARS)=0),1,0)</f>
        <v>0</v>
      </c>
      <c r="OJ493" s="8">
        <f>OF493*CAP_SHARE</f>
        <v>26.693811218243443</v>
      </c>
      <c r="OK493" s="8">
        <f>OG493*CAP_SHARE</f>
        <v>27.25348168716471</v>
      </c>
      <c r="OL493" s="8">
        <f>OH493*CAP_SHARE</f>
        <v>28.293846157067517</v>
      </c>
      <c r="OM493" s="8">
        <f>OF493-OJ493-OE493</f>
        <v>-31.23278131598886</v>
      </c>
      <c r="ON493" s="8">
        <f>OG493-OK493-OE493</f>
        <v>-20.346622715533158</v>
      </c>
      <c r="OO493" s="8">
        <f>OH493-OL493-OE493</f>
        <v>-0.1104779650868295</v>
      </c>
      <c r="OP493" s="8">
        <f>R_NF_2024*(1+G_HI)^(OB493-2024)</f>
        <v>586.697795990403</v>
      </c>
      <c r="OQ493" s="10">
        <f>1-OF493/OP493</f>
        <v>0.0695115385124444</v>
      </c>
      <c r="OR493" s="10">
        <f>CPI_2023/(IF(OB493-1=2023,CPI_2023,IF(OB493-1=2024,CPI_2024,IF(OB493-1=2025,CPI_2025,CPI_2025*(1+INFL)^(OB493-1-2025)))))</f>
        <v>0.8730835461099101</v>
      </c>
      <c r="OS493" s="8">
        <f>$OB$21*ABS($OB$11)*(OG493-OF493)/OF493</f>
        <v>2090.2368341633555</v>
      </c>
      <c r="OT493" s="8">
        <f>$OB$21*ABS($OB$11)*(OH493-OF493)/OF493</f>
        <v>5975.752073402454</v>
      </c>
      <c r="OU493" s="13">
        <f>(OG493-OF493)*MCD_NF_DAYS*OR493-OS493*MCD_SHARE_FREED*R_WAIT_2023</f>
        <v>4314589.047168571</v>
      </c>
      <c r="OV493" s="13">
        <f>(OH493-OF493)*MCD_NF_DAYS*OR493-OT493*MCD_SHARE_FREED*R_WAIT_2023</f>
        <v>12334924.934387663</v>
      </c>
      <c r="OW493" s="10">
        <f>IF(AND(OB493&gt;=RULE_START,OC493=1),1/(1+$OB$12)^(OB493-RULE_START+1),0)</f>
        <v>0.9423223345470444</v>
      </c>
      <c r="OX493">
        <f>IF(AND(OB493&gt;=RULE_START,OC493=1,OM493&lt;0),OB493,9999)</f>
        <v>2029</v>
      </c>
      <c r="OY493">
        <f>IF(AND(OB493&gt;=RULE_START,OC493=1,ON493&lt;0),OB493,9999)</f>
        <v>2029</v>
      </c>
      <c r="OZ493">
        <f>IF(AND(OB493&gt;=RULE_START,OC493=1,OO493&lt;0),OB493,9999)</f>
        <v>2029</v>
      </c>
    </row>
    <row r="494">
      <c r="B494" t="n">
        <v>2030</v>
      </c>
      <c r="C494">
        <f>IF(B494&lt;=RULE_START+$B$38-1,1,0)</f>
        <v>1</v>
      </c>
      <c r="D494" s="15">
        <f>IF(B494=2024,G_IDX_2024,IF(B494=2025,G_IDX_2025,IF(B494=2026,G_IDX_2026,IF(B494=2027,G_IDX_2027,$B$13))))</f>
        <v>0.033</v>
      </c>
      <c r="E494" s="8">
        <f>$B$20*(1+G_HI)^(B494-COST_DATE)</f>
        <v>572.5659932762259</v>
      </c>
      <c r="F494" s="8">
        <f>F493*(1+D494)</f>
        <v>563.930742024375</v>
      </c>
      <c r="G494" s="8">
        <f>IF(B494&lt;RULE_START,F494,G493*(1+G_HI))</f>
        <v>579.750297464941</v>
      </c>
      <c r="H494" s="8">
        <f>IF(B494&lt;RULE_START,F494,IF(I494=1,R_NF_2024*(1+G_HI)^(B494-2024),H493*(1+D494)))</f>
        <v>610.2651654762458</v>
      </c>
      <c r="I494">
        <f>IF(AND(B494&gt;=RULE_START,MOD(B494-RULE_START,REBASE_YEARS)=0),1,0)</f>
        <v>1</v>
      </c>
      <c r="J494" s="8">
        <f>F494*CAP_SHARE</f>
        <v>27.57470698844547</v>
      </c>
      <c r="K494" s="8">
        <f>G494*CAP_SHARE</f>
        <v>28.348240994403636</v>
      </c>
      <c r="L494" s="8">
        <f>H494*CAP_SHARE</f>
        <v>29.84033653291295</v>
      </c>
      <c r="M494" s="8">
        <f>F494-J494-E494</f>
        <v>-36.20995824029626</v>
      </c>
      <c r="N494" s="8">
        <f>G494-K494-E494</f>
        <v>-21.163936805688536</v>
      </c>
      <c r="O494" s="8">
        <f>H494-L494-E494</f>
        <v>7.858835667106973</v>
      </c>
      <c r="P494" s="8">
        <f>R_NF_2024*(1+G_HI)^(B494-2024)</f>
        <v>610.2651654762458</v>
      </c>
      <c r="Q494" s="10">
        <f>1-F494/P494</f>
        <v>0.07592506679569655</v>
      </c>
      <c r="R494" s="10">
        <f>CPI_2023/(IF(B494-1=2023,CPI_2023,IF(B494-1=2024,CPI_2024,IF(B494-1=2025,CPI_2025,CPI_2025*(1+INFL)^(B494-1-2025)))))</f>
        <v>0.8536209875927944</v>
      </c>
      <c r="S494" s="8">
        <f>$B$21*ABS($B$11)*(G494-F494)/F494</f>
        <v>2796.676248098538</v>
      </c>
      <c r="T494" s="8">
        <f>$B$21*ABS($B$11)*(H494-F494)/F494</f>
        <v>8191.278321570249</v>
      </c>
      <c r="U494" s="13">
        <f>(G494-F494)*MCD_NF_DAYS*R494-S494*MCD_SHARE_FREED*R_WAIT_2023</f>
        <v>5843047.094148496</v>
      </c>
      <c r="V494" s="13">
        <f>(H494-F494)*MCD_NF_DAYS*R494-T494*MCD_SHARE_FREED*R_WAIT_2023</f>
        <v>17113895.47744543</v>
      </c>
      <c r="W494" s="10">
        <f>IF(AND(B494&gt;=RULE_START,C494=1),1/(1+$B$12)^(B494-RULE_START+1),0)</f>
        <v>0.9238454260265142</v>
      </c>
      <c r="X494">
        <f>IF(AND(B494&gt;=RULE_START,C494=1,M494&lt;0),B494,9999)</f>
        <v>2030</v>
      </c>
      <c r="Y494">
        <f>IF(AND(B494&gt;=RULE_START,C494=1,N494&lt;0),B494,9999)</f>
        <v>2030</v>
      </c>
      <c r="Z494">
        <f>IF(AND(B494&gt;=RULE_START,C494=1,O494&lt;0),B494,9999)</f>
        <v>9999</v>
      </c>
      <c r="AB494" t="n">
        <v>2030</v>
      </c>
      <c r="AC494">
        <f>IF(AB494&lt;=RULE_START+$AB$38-1,1,0)</f>
        <v>1</v>
      </c>
      <c r="AD494" s="15">
        <f>IF(AB494=2024,G_IDX_2024,IF(AB494=2025,G_IDX_2025,IF(AB494=2026,G_IDX_2026,IF(AB494=2027,G_IDX_2027,$AB$13))))</f>
        <v>0.033</v>
      </c>
      <c r="AE494" s="8">
        <f>$AB$20*(1+G_HI)^(AB494-COST_DATE)</f>
        <v>572.5659932762259</v>
      </c>
      <c r="AF494" s="8">
        <f>AF493*(1+AD494)</f>
        <v>563.930742024375</v>
      </c>
      <c r="AG494" s="8">
        <f>IF(AB494&lt;RULE_START,AF494,AG493*(1+G_HI))</f>
        <v>579.750297464941</v>
      </c>
      <c r="AH494" s="8">
        <f>IF(AB494&lt;RULE_START,AF494,IF(AI494=1,R_NF_2024*(1+G_HI)^(AB494-2024),AH493*(1+AD494)))</f>
        <v>610.2651654762458</v>
      </c>
      <c r="AI494">
        <f>IF(AND(AB494&gt;=RULE_START,MOD(AB494-RULE_START,REBASE_YEARS)=0),1,0)</f>
        <v>1</v>
      </c>
      <c r="AJ494" s="8">
        <f>AF494*CAP_SHARE</f>
        <v>27.57470698844547</v>
      </c>
      <c r="AK494" s="8">
        <f>AG494*CAP_SHARE</f>
        <v>28.348240994403636</v>
      </c>
      <c r="AL494" s="8">
        <f>AH494*CAP_SHARE</f>
        <v>29.84033653291295</v>
      </c>
      <c r="AM494" s="8">
        <f>AF494-AJ494-AE494</f>
        <v>-36.20995824029626</v>
      </c>
      <c r="AN494" s="8">
        <f>AG494-AK494-AE494</f>
        <v>-21.163936805688536</v>
      </c>
      <c r="AO494" s="8">
        <f>AH494-AL494-AE494</f>
        <v>7.858835667106973</v>
      </c>
      <c r="AP494" s="8">
        <f>R_NF_2024*(1+G_HI)^(AB494-2024)</f>
        <v>610.2651654762458</v>
      </c>
      <c r="AQ494" s="10">
        <f>1-AF494/AP494</f>
        <v>0.07592506679569655</v>
      </c>
      <c r="AR494" s="10">
        <f>CPI_2023/(IF(AB494-1=2023,CPI_2023,IF(AB494-1=2024,CPI_2024,IF(AB494-1=2025,CPI_2025,CPI_2025*(1+INFL)^(AB494-1-2025)))))</f>
        <v>0.8536209875927944</v>
      </c>
      <c r="AS494" s="8">
        <f>$AB$21*ABS($AB$11)*(AG494-AF494)/AF494</f>
        <v>2796.676248098538</v>
      </c>
      <c r="AT494" s="8">
        <f>$AB$21*ABS($AB$11)*(AH494-AF494)/AF494</f>
        <v>8191.278321570249</v>
      </c>
      <c r="AU494" s="13">
        <f>(AG494-AF494)*MCD_NF_DAYS*AR494-AS494*MCD_SHARE_FREED*R_WAIT_2023</f>
        <v>5843047.094148496</v>
      </c>
      <c r="AV494" s="13">
        <f>(AH494-AF494)*MCD_NF_DAYS*AR494-AT494*MCD_SHARE_FREED*R_WAIT_2023</f>
        <v>17113895.47744543</v>
      </c>
      <c r="AW494" s="10">
        <f>IF(AND(AB494&gt;=RULE_START,AC494=1),1/(1+$AB$12)^(AB494-RULE_START+1),0)</f>
        <v>0.9238454260265142</v>
      </c>
      <c r="AX494">
        <f>IF(AND(AB494&gt;=RULE_START,AC494=1,AM494&lt;0),AB494,9999)</f>
        <v>2030</v>
      </c>
      <c r="AY494">
        <f>IF(AND(AB494&gt;=RULE_START,AC494=1,AN494&lt;0),AB494,9999)</f>
        <v>2030</v>
      </c>
      <c r="AZ494">
        <f>IF(AND(AB494&gt;=RULE_START,AC494=1,AO494&lt;0),AB494,9999)</f>
        <v>9999</v>
      </c>
      <c r="BB494" t="n">
        <v>2030</v>
      </c>
      <c r="BC494">
        <f>IF(BB494&lt;=RULE_START+$BB$38-1,1,0)</f>
        <v>1</v>
      </c>
      <c r="BD494" s="15">
        <f>IF(BB494=2024,G_IDX_2024,IF(BB494=2025,G_IDX_2025,IF(BB494=2026,G_IDX_2026,IF(BB494=2027,G_IDX_2027,$BB$13))))</f>
        <v>0.033</v>
      </c>
      <c r="BE494" s="8">
        <f>$BB$20*(1+G_HI)^(BB494-COST_DATE)</f>
        <v>572.5659932762259</v>
      </c>
      <c r="BF494" s="8">
        <f>BF493*(1+BD494)</f>
        <v>563.930742024375</v>
      </c>
      <c r="BG494" s="8">
        <f>IF(BB494&lt;RULE_START,BF494,BG493*(1+G_HI))</f>
        <v>579.750297464941</v>
      </c>
      <c r="BH494" s="8">
        <f>IF(BB494&lt;RULE_START,BF494,IF(BI494=1,R_NF_2024*(1+G_HI)^(BB494-2024),BH493*(1+BD494)))</f>
        <v>610.2651654762458</v>
      </c>
      <c r="BI494">
        <f>IF(AND(BB494&gt;=RULE_START,MOD(BB494-RULE_START,REBASE_YEARS)=0),1,0)</f>
        <v>1</v>
      </c>
      <c r="BJ494" s="8">
        <f>BF494*CAP_SHARE</f>
        <v>27.57470698844547</v>
      </c>
      <c r="BK494" s="8">
        <f>BG494*CAP_SHARE</f>
        <v>28.348240994403636</v>
      </c>
      <c r="BL494" s="8">
        <f>BH494*CAP_SHARE</f>
        <v>29.84033653291295</v>
      </c>
      <c r="BM494" s="8">
        <f>BF494-BJ494-BE494</f>
        <v>-36.20995824029626</v>
      </c>
      <c r="BN494" s="8">
        <f>BG494-BK494-BE494</f>
        <v>-21.163936805688536</v>
      </c>
      <c r="BO494" s="8">
        <f>BH494-BL494-BE494</f>
        <v>7.858835667106973</v>
      </c>
      <c r="BP494" s="8">
        <f>R_NF_2024*(1+G_HI)^(BB494-2024)</f>
        <v>610.2651654762458</v>
      </c>
      <c r="BQ494" s="10">
        <f>1-BF494/BP494</f>
        <v>0.07592506679569655</v>
      </c>
      <c r="BR494" s="10">
        <f>CPI_2023/(IF(BB494-1=2023,CPI_2023,IF(BB494-1=2024,CPI_2024,IF(BB494-1=2025,CPI_2025,CPI_2025*(1+INFL)^(BB494-1-2025)))))</f>
        <v>0.8536209875927944</v>
      </c>
      <c r="BS494" s="8">
        <f>$BB$21*ABS($BB$11)*(BG494-BF494)/BF494</f>
        <v>2796.676248098538</v>
      </c>
      <c r="BT494" s="8">
        <f>$BB$21*ABS($BB$11)*(BH494-BF494)/BF494</f>
        <v>8191.278321570249</v>
      </c>
      <c r="BU494" s="13">
        <f>(BG494-BF494)*MCD_NF_DAYS*BR494-BS494*MCD_SHARE_FREED*R_WAIT_2023</f>
        <v>5843047.094148496</v>
      </c>
      <c r="BV494" s="13">
        <f>(BH494-BF494)*MCD_NF_DAYS*BR494-BT494*MCD_SHARE_FREED*R_WAIT_2023</f>
        <v>17113895.47744543</v>
      </c>
      <c r="BW494" s="10">
        <f>IF(AND(BB494&gt;=RULE_START,BC494=1),1/(1+$BB$12)^(BB494-RULE_START+1),0)</f>
        <v>0.9238454260265142</v>
      </c>
      <c r="BX494">
        <f>IF(AND(BB494&gt;=RULE_START,BC494=1,BM494&lt;0),BB494,9999)</f>
        <v>2030</v>
      </c>
      <c r="BY494">
        <f>IF(AND(BB494&gt;=RULE_START,BC494=1,BN494&lt;0),BB494,9999)</f>
        <v>2030</v>
      </c>
      <c r="BZ494">
        <f>IF(AND(BB494&gt;=RULE_START,BC494=1,BO494&lt;0),BB494,9999)</f>
        <v>9999</v>
      </c>
      <c r="CB494" t="n">
        <v>2030</v>
      </c>
      <c r="CC494">
        <f>IF(CB494&lt;=RULE_START+$CB$38-1,1,0)</f>
        <v>1</v>
      </c>
      <c r="CD494" s="15">
        <f>IF(CB494=2024,G_IDX_2024,IF(CB494=2025,G_IDX_2025,IF(CB494=2026,G_IDX_2026,IF(CB494=2027,G_IDX_2027,$CB$13))))</f>
        <v>0.033</v>
      </c>
      <c r="CE494" s="8">
        <f>$CB$20*(1+G_HI)^(CB494-COST_DATE)</f>
        <v>572.5659932762259</v>
      </c>
      <c r="CF494" s="8">
        <f>CF493*(1+CD494)</f>
        <v>563.930742024375</v>
      </c>
      <c r="CG494" s="8">
        <f>IF(CB494&lt;RULE_START,CF494,CG493*(1+G_HI))</f>
        <v>579.750297464941</v>
      </c>
      <c r="CH494" s="8">
        <f>IF(CB494&lt;RULE_START,CF494,IF(CI494=1,R_NF_2024*(1+G_HI)^(CB494-2024),CH493*(1+CD494)))</f>
        <v>610.2651654762458</v>
      </c>
      <c r="CI494">
        <f>IF(AND(CB494&gt;=RULE_START,MOD(CB494-RULE_START,REBASE_YEARS)=0),1,0)</f>
        <v>1</v>
      </c>
      <c r="CJ494" s="8">
        <f>CF494*CAP_SHARE</f>
        <v>27.57470698844547</v>
      </c>
      <c r="CK494" s="8">
        <f>CG494*CAP_SHARE</f>
        <v>28.348240994403636</v>
      </c>
      <c r="CL494" s="8">
        <f>CH494*CAP_SHARE</f>
        <v>29.84033653291295</v>
      </c>
      <c r="CM494" s="8">
        <f>CF494-CJ494-CE494</f>
        <v>-36.20995824029626</v>
      </c>
      <c r="CN494" s="8">
        <f>CG494-CK494-CE494</f>
        <v>-21.163936805688536</v>
      </c>
      <c r="CO494" s="8">
        <f>CH494-CL494-CE494</f>
        <v>7.858835667106973</v>
      </c>
      <c r="CP494" s="8">
        <f>R_NF_2024*(1+G_HI)^(CB494-2024)</f>
        <v>610.2651654762458</v>
      </c>
      <c r="CQ494" s="10">
        <f>1-CF494/CP494</f>
        <v>0.07592506679569655</v>
      </c>
      <c r="CR494" s="10">
        <f>CPI_2023/(IF(CB494-1=2023,CPI_2023,IF(CB494-1=2024,CPI_2024,IF(CB494-1=2025,CPI_2025,CPI_2025*(1+INFL)^(CB494-1-2025)))))</f>
        <v>0.8536209875927944</v>
      </c>
      <c r="CS494" s="8">
        <f>$CB$21*ABS($CB$11)*(CG494-CF494)/CF494</f>
        <v>2796.676248098538</v>
      </c>
      <c r="CT494" s="8">
        <f>$CB$21*ABS($CB$11)*(CH494-CF494)/CF494</f>
        <v>8191.278321570249</v>
      </c>
      <c r="CU494" s="13">
        <f>(CG494-CF494)*MCD_NF_DAYS*CR494-CS494*MCD_SHARE_FREED*R_WAIT_2023</f>
        <v>5843047.094148496</v>
      </c>
      <c r="CV494" s="13">
        <f>(CH494-CF494)*MCD_NF_DAYS*CR494-CT494*MCD_SHARE_FREED*R_WAIT_2023</f>
        <v>17113895.47744543</v>
      </c>
      <c r="CW494" s="10">
        <f>IF(AND(CB494&gt;=RULE_START,CC494=1),1/(1+$CB$12)^(CB494-RULE_START+1),0)</f>
        <v>0.9238454260265142</v>
      </c>
      <c r="CX494">
        <f>IF(AND(CB494&gt;=RULE_START,CC494=1,CM494&lt;0),CB494,9999)</f>
        <v>2030</v>
      </c>
      <c r="CY494">
        <f>IF(AND(CB494&gt;=RULE_START,CC494=1,CN494&lt;0),CB494,9999)</f>
        <v>2030</v>
      </c>
      <c r="CZ494">
        <f>IF(AND(CB494&gt;=RULE_START,CC494=1,CO494&lt;0),CB494,9999)</f>
        <v>9999</v>
      </c>
      <c r="DB494" t="n">
        <v>2030</v>
      </c>
      <c r="DC494">
        <f>IF(DB494&lt;=RULE_START+$DB$38-1,1,0)</f>
        <v>1</v>
      </c>
      <c r="DD494" s="15">
        <f>IF(DB494=2024,G_IDX_2024,IF(DB494=2025,G_IDX_2025,IF(DB494=2026,G_IDX_2026,IF(DB494=2027,G_IDX_2027,$DB$13))))</f>
        <v>0.033</v>
      </c>
      <c r="DE494" s="8">
        <f>$DB$20*(1+G_HI)^(DB494-COST_DATE)</f>
        <v>572.5659932762259</v>
      </c>
      <c r="DF494" s="8">
        <f>DF493*(1+DD494)</f>
        <v>563.930742024375</v>
      </c>
      <c r="DG494" s="8">
        <f>IF(DB494&lt;RULE_START,DF494,DG493*(1+G_HI))</f>
        <v>579.750297464941</v>
      </c>
      <c r="DH494" s="8">
        <f>IF(DB494&lt;RULE_START,DF494,IF(DI494=1,R_NF_2024*(1+G_HI)^(DB494-2024),DH493*(1+DD494)))</f>
        <v>610.2651654762458</v>
      </c>
      <c r="DI494">
        <f>IF(AND(DB494&gt;=RULE_START,MOD(DB494-RULE_START,REBASE_YEARS)=0),1,0)</f>
        <v>1</v>
      </c>
      <c r="DJ494" s="8">
        <f>DF494*CAP_SHARE</f>
        <v>27.57470698844547</v>
      </c>
      <c r="DK494" s="8">
        <f>DG494*CAP_SHARE</f>
        <v>28.348240994403636</v>
      </c>
      <c r="DL494" s="8">
        <f>DH494*CAP_SHARE</f>
        <v>29.84033653291295</v>
      </c>
      <c r="DM494" s="8">
        <f>DF494-DJ494-DE494</f>
        <v>-36.20995824029626</v>
      </c>
      <c r="DN494" s="8">
        <f>DG494-DK494-DE494</f>
        <v>-21.163936805688536</v>
      </c>
      <c r="DO494" s="8">
        <f>DH494-DL494-DE494</f>
        <v>7.858835667106973</v>
      </c>
      <c r="DP494" s="8">
        <f>R_NF_2024*(1+G_HI)^(DB494-2024)</f>
        <v>610.2651654762458</v>
      </c>
      <c r="DQ494" s="10">
        <f>1-DF494/DP494</f>
        <v>0.07592506679569655</v>
      </c>
      <c r="DR494" s="10">
        <f>CPI_2023/(IF(DB494-1=2023,CPI_2023,IF(DB494-1=2024,CPI_2024,IF(DB494-1=2025,CPI_2025,CPI_2025*(1+INFL)^(DB494-1-2025)))))</f>
        <v>0.8536209875927944</v>
      </c>
      <c r="DS494" s="8">
        <f>$DB$21*ABS($DB$11)*(DG494-DF494)/DF494</f>
        <v>2796.676248098538</v>
      </c>
      <c r="DT494" s="8">
        <f>$DB$21*ABS($DB$11)*(DH494-DF494)/DF494</f>
        <v>8191.278321570249</v>
      </c>
      <c r="DU494" s="13">
        <f>(DG494-DF494)*MCD_NF_DAYS*DR494-DS494*MCD_SHARE_FREED*R_WAIT_2023</f>
        <v>5843047.094148496</v>
      </c>
      <c r="DV494" s="13">
        <f>(DH494-DF494)*MCD_NF_DAYS*DR494-DT494*MCD_SHARE_FREED*R_WAIT_2023</f>
        <v>17113895.47744543</v>
      </c>
      <c r="DW494" s="10">
        <f>IF(AND(DB494&gt;=RULE_START,DC494=1),1/(1+$DB$12)^(DB494-RULE_START+1),0)</f>
        <v>0.9238454260265142</v>
      </c>
      <c r="DX494">
        <f>IF(AND(DB494&gt;=RULE_START,DC494=1,DM494&lt;0),DB494,9999)</f>
        <v>2030</v>
      </c>
      <c r="DY494">
        <f>IF(AND(DB494&gt;=RULE_START,DC494=1,DN494&lt;0),DB494,9999)</f>
        <v>2030</v>
      </c>
      <c r="DZ494">
        <f>IF(AND(DB494&gt;=RULE_START,DC494=1,DO494&lt;0),DB494,9999)</f>
        <v>9999</v>
      </c>
      <c r="EB494" t="n">
        <v>2030</v>
      </c>
      <c r="EC494">
        <f>IF(EB494&lt;=RULE_START+$EB$38-1,1,0)</f>
        <v>1</v>
      </c>
      <c r="ED494" s="15">
        <f>IF(EB494=2024,G_IDX_2024,IF(EB494=2025,G_IDX_2025,IF(EB494=2026,G_IDX_2026,IF(EB494=2027,G_IDX_2027,$EB$13))))</f>
        <v>0.033</v>
      </c>
      <c r="EE494" s="8">
        <f>$EB$20*(1+G_HI)^(EB494-COST_DATE)</f>
        <v>572.5659932762259</v>
      </c>
      <c r="EF494" s="8">
        <f>EF493*(1+ED494)</f>
        <v>563.930742024375</v>
      </c>
      <c r="EG494" s="8">
        <f>IF(EB494&lt;RULE_START,EF494,EG493*(1+G_HI))</f>
        <v>579.750297464941</v>
      </c>
      <c r="EH494" s="8">
        <f>IF(EB494&lt;RULE_START,EF494,IF(EI494=1,R_NF_2024*(1+G_HI)^(EB494-2024),EH493*(1+ED494)))</f>
        <v>610.2651654762458</v>
      </c>
      <c r="EI494">
        <f>IF(AND(EB494&gt;=RULE_START,MOD(EB494-RULE_START,REBASE_YEARS)=0),1,0)</f>
        <v>1</v>
      </c>
      <c r="EJ494" s="8">
        <f>EF494*CAP_SHARE</f>
        <v>27.57470698844547</v>
      </c>
      <c r="EK494" s="8">
        <f>EG494*CAP_SHARE</f>
        <v>28.348240994403636</v>
      </c>
      <c r="EL494" s="8">
        <f>EH494*CAP_SHARE</f>
        <v>29.84033653291295</v>
      </c>
      <c r="EM494" s="8">
        <f>EF494-EJ494-EE494</f>
        <v>-36.20995824029626</v>
      </c>
      <c r="EN494" s="8">
        <f>EG494-EK494-EE494</f>
        <v>-21.163936805688536</v>
      </c>
      <c r="EO494" s="8">
        <f>EH494-EL494-EE494</f>
        <v>7.858835667106973</v>
      </c>
      <c r="EP494" s="8">
        <f>R_NF_2024*(1+G_HI)^(EB494-2024)</f>
        <v>610.2651654762458</v>
      </c>
      <c r="EQ494" s="10">
        <f>1-EF494/EP494</f>
        <v>0.07592506679569655</v>
      </c>
      <c r="ER494" s="10">
        <f>CPI_2023/(IF(EB494-1=2023,CPI_2023,IF(EB494-1=2024,CPI_2024,IF(EB494-1=2025,CPI_2025,CPI_2025*(1+INFL)^(EB494-1-2025)))))</f>
        <v>0.8536209875927944</v>
      </c>
      <c r="ES494" s="8">
        <f>$EB$21*ABS($EB$11)*(EG494-EF494)/EF494</f>
        <v>2796.676248098538</v>
      </c>
      <c r="ET494" s="8">
        <f>$EB$21*ABS($EB$11)*(EH494-EF494)/EF494</f>
        <v>8191.278321570249</v>
      </c>
      <c r="EU494" s="13">
        <f>(EG494-EF494)*MCD_NF_DAYS*ER494-ES494*MCD_SHARE_FREED*R_WAIT_2023</f>
        <v>5843047.094148496</v>
      </c>
      <c r="EV494" s="13">
        <f>(EH494-EF494)*MCD_NF_DAYS*ER494-ET494*MCD_SHARE_FREED*R_WAIT_2023</f>
        <v>17113895.47744543</v>
      </c>
      <c r="EW494" s="10">
        <f>IF(AND(EB494&gt;=RULE_START,EC494=1),1/(1+$EB$12)^(EB494-RULE_START+1),0)</f>
        <v>0.9238454260265142</v>
      </c>
      <c r="EX494">
        <f>IF(AND(EB494&gt;=RULE_START,EC494=1,EM494&lt;0),EB494,9999)</f>
        <v>2030</v>
      </c>
      <c r="EY494">
        <f>IF(AND(EB494&gt;=RULE_START,EC494=1,EN494&lt;0),EB494,9999)</f>
        <v>2030</v>
      </c>
      <c r="EZ494">
        <f>IF(AND(EB494&gt;=RULE_START,EC494=1,EO494&lt;0),EB494,9999)</f>
        <v>9999</v>
      </c>
      <c r="FB494" t="n">
        <v>2030</v>
      </c>
      <c r="FC494">
        <f>IF(FB494&lt;=RULE_START+$FB$38-1,1,0)</f>
        <v>1</v>
      </c>
      <c r="FD494" s="15">
        <f>IF(FB494=2024,G_IDX_2024,IF(FB494=2025,G_IDX_2025,IF(FB494=2026,G_IDX_2026,IF(FB494=2027,G_IDX_2027,$FB$13))))</f>
        <v>0.033</v>
      </c>
      <c r="FE494" s="8">
        <f>$FB$20*(1+G_HI)^(FB494-COST_DATE)</f>
        <v>589.2461679284008</v>
      </c>
      <c r="FF494" s="8">
        <f>FF493*(1+FD494)</f>
        <v>563.930742024375</v>
      </c>
      <c r="FG494" s="8">
        <f>IF(FB494&lt;RULE_START,FF494,FG493*(1+G_HI))</f>
        <v>579.750297464941</v>
      </c>
      <c r="FH494" s="8">
        <f>IF(FB494&lt;RULE_START,FF494,IF(FI494=1,R_NF_2024*(1+G_HI)^(FB494-2024),FH493*(1+FD494)))</f>
        <v>610.2651654762458</v>
      </c>
      <c r="FI494">
        <f>IF(AND(FB494&gt;=RULE_START,MOD(FB494-RULE_START,REBASE_YEARS)=0),1,0)</f>
        <v>1</v>
      </c>
      <c r="FJ494" s="8">
        <f>FF494*CAP_SHARE</f>
        <v>27.57470698844547</v>
      </c>
      <c r="FK494" s="8">
        <f>FG494*CAP_SHARE</f>
        <v>28.348240994403636</v>
      </c>
      <c r="FL494" s="8">
        <f>FH494*CAP_SHARE</f>
        <v>29.84033653291295</v>
      </c>
      <c r="FM494" s="8">
        <f>FF494-FJ494-FE494</f>
        <v>-52.89013289247123</v>
      </c>
      <c r="FN494" s="8">
        <f>FG494-FK494-FE494</f>
        <v>-37.844111457863505</v>
      </c>
      <c r="FO494" s="8">
        <f>FH494-FL494-FE494</f>
        <v>-8.821338985067996</v>
      </c>
      <c r="FP494" s="8">
        <f>R_NF_2024*(1+G_HI)^(FB494-2024)</f>
        <v>610.2651654762458</v>
      </c>
      <c r="FQ494" s="10">
        <f>1-FF494/FP494</f>
        <v>0.07592506679569655</v>
      </c>
      <c r="FR494" s="10">
        <f>CPI_2023/(IF(FB494-1=2023,CPI_2023,IF(FB494-1=2024,CPI_2024,IF(FB494-1=2025,CPI_2025,CPI_2025*(1+INFL)^(FB494-1-2025)))))</f>
        <v>0.8536209875927944</v>
      </c>
      <c r="FS494" s="8">
        <f>$FB$21*ABS($FB$11)*(FG494-FF494)/FF494</f>
        <v>2796.676248098538</v>
      </c>
      <c r="FT494" s="8">
        <f>$FB$21*ABS($FB$11)*(FH494-FF494)/FF494</f>
        <v>8191.278321570249</v>
      </c>
      <c r="FU494" s="13">
        <f>(FG494-FF494)*MCD_NF_DAYS*FR494-FS494*MCD_SHARE_FREED*R_WAIT_2023</f>
        <v>5843047.094148496</v>
      </c>
      <c r="FV494" s="13">
        <f>(FH494-FF494)*MCD_NF_DAYS*FR494-FT494*MCD_SHARE_FREED*R_WAIT_2023</f>
        <v>17113895.47744543</v>
      </c>
      <c r="FW494" s="10">
        <f>IF(AND(FB494&gt;=RULE_START,FC494=1),1/(1+$FB$12)^(FB494-RULE_START+1),0)</f>
        <v>0.9238454260265142</v>
      </c>
      <c r="FX494">
        <f>IF(AND(FB494&gt;=RULE_START,FC494=1,FM494&lt;0),FB494,9999)</f>
        <v>2030</v>
      </c>
      <c r="FY494">
        <f>IF(AND(FB494&gt;=RULE_START,FC494=1,FN494&lt;0),FB494,9999)</f>
        <v>2030</v>
      </c>
      <c r="FZ494">
        <f>IF(AND(FB494&gt;=RULE_START,FC494=1,FO494&lt;0),FB494,9999)</f>
        <v>2030</v>
      </c>
      <c r="GB494" t="n">
        <v>2030</v>
      </c>
      <c r="GC494">
        <f>IF(GB494&lt;=RULE_START+$GB$38-1,1,0)</f>
        <v>1</v>
      </c>
      <c r="GD494" s="15">
        <f>IF(GB494=2024,G_IDX_2024,IF(GB494=2025,G_IDX_2025,IF(GB494=2026,G_IDX_2026,IF(GB494=2027,G_IDX_2027,$GB$13))))</f>
        <v>0.033</v>
      </c>
      <c r="GE494" s="8">
        <f>$GB$20*(1+G_HI)^(GB494-COST_DATE)</f>
        <v>572.5659932762259</v>
      </c>
      <c r="GF494" s="8">
        <f>GF493*(1+GD494)</f>
        <v>563.930742024375</v>
      </c>
      <c r="GG494" s="8">
        <f>IF(GB494&lt;RULE_START,GF494,GG493*(1+G_HI))</f>
        <v>579.750297464941</v>
      </c>
      <c r="GH494" s="8">
        <f>IF(GB494&lt;RULE_START,GF494,IF(GI494=1,R_NF_2024*(1+G_HI)^(GB494-2024),GH493*(1+GD494)))</f>
        <v>610.2651654762458</v>
      </c>
      <c r="GI494">
        <f>IF(AND(GB494&gt;=RULE_START,MOD(GB494-RULE_START,REBASE_YEARS)=0),1,0)</f>
        <v>1</v>
      </c>
      <c r="GJ494" s="8">
        <f>GF494*CAP_SHARE</f>
        <v>27.57470698844547</v>
      </c>
      <c r="GK494" s="8">
        <f>GG494*CAP_SHARE</f>
        <v>28.348240994403636</v>
      </c>
      <c r="GL494" s="8">
        <f>GH494*CAP_SHARE</f>
        <v>29.84033653291295</v>
      </c>
      <c r="GM494" s="8">
        <f>GF494-GJ494-GE494</f>
        <v>-36.20995824029626</v>
      </c>
      <c r="GN494" s="8">
        <f>GG494-GK494-GE494</f>
        <v>-21.163936805688536</v>
      </c>
      <c r="GO494" s="8">
        <f>GH494-GL494-GE494</f>
        <v>7.858835667106973</v>
      </c>
      <c r="GP494" s="8">
        <f>R_NF_2024*(1+G_HI)^(GB494-2024)</f>
        <v>610.2651654762458</v>
      </c>
      <c r="GQ494" s="10">
        <f>1-GF494/GP494</f>
        <v>0.07592506679569655</v>
      </c>
      <c r="GR494" s="10">
        <f>CPI_2023/(IF(GB494-1=2023,CPI_2023,IF(GB494-1=2024,CPI_2024,IF(GB494-1=2025,CPI_2025,CPI_2025*(1+INFL)^(GB494-1-2025)))))</f>
        <v>0.8536209875927944</v>
      </c>
      <c r="GS494" s="8">
        <f>$GB$21*ABS($GB$11)*(GG494-GF494)/GF494</f>
        <v>2111.0710242671807</v>
      </c>
      <c r="GT494" s="8">
        <f>$GB$21*ABS($GB$11)*(GH494-GF494)/GF494</f>
        <v>6183.186319164385</v>
      </c>
      <c r="GU494" s="13">
        <f>(GG494-GF494)*MCD_NF_DAYS*GR494-GS494*MCD_SHARE_FREED*R_WAIT_2023</f>
        <v>6154804.631460729</v>
      </c>
      <c r="GV494" s="13">
        <f>(GH494-GF494)*MCD_NF_DAYS*GR494-GT494*MCD_SHARE_FREED*R_WAIT_2023</f>
        <v>18027012.524407186</v>
      </c>
      <c r="GW494" s="10">
        <f>IF(AND(GB494&gt;=RULE_START,GC494=1),1/(1+$GB$12)^(GB494-RULE_START+1),0)</f>
        <v>0.9238454260265142</v>
      </c>
      <c r="GX494">
        <f>IF(AND(GB494&gt;=RULE_START,GC494=1,GM494&lt;0),GB494,9999)</f>
        <v>2030</v>
      </c>
      <c r="GY494">
        <f>IF(AND(GB494&gt;=RULE_START,GC494=1,GN494&lt;0),GB494,9999)</f>
        <v>2030</v>
      </c>
      <c r="GZ494">
        <f>IF(AND(GB494&gt;=RULE_START,GC494=1,GO494&lt;0),GB494,9999)</f>
        <v>9999</v>
      </c>
      <c r="HB494" t="n">
        <v>2030</v>
      </c>
      <c r="HC494">
        <f>IF(HB494&lt;=RULE_START+$HB$38-1,1,0)</f>
        <v>1</v>
      </c>
      <c r="HD494" s="15">
        <f>IF(HB494=2024,G_IDX_2024,IF(HB494=2025,G_IDX_2025,IF(HB494=2026,G_IDX_2026,IF(HB494=2027,G_IDX_2027,$HB$13))))</f>
        <v>0.033</v>
      </c>
      <c r="HE494" s="8">
        <f>$HB$20*(1+G_HI)^(HB494-COST_DATE)</f>
        <v>572.5659932762259</v>
      </c>
      <c r="HF494" s="8">
        <f>HF493*(1+HD494)</f>
        <v>563.930742024375</v>
      </c>
      <c r="HG494" s="8">
        <f>IF(HB494&lt;RULE_START,HF494,HG493*(1+G_HI))</f>
        <v>579.750297464941</v>
      </c>
      <c r="HH494" s="8">
        <f>IF(HB494&lt;RULE_START,HF494,IF(HI494=1,R_NF_2024*(1+G_HI)^(HB494-2024),HH493*(1+HD494)))</f>
        <v>610.2651654762458</v>
      </c>
      <c r="HI494">
        <f>IF(AND(HB494&gt;=RULE_START,MOD(HB494-RULE_START,REBASE_YEARS)=0),1,0)</f>
        <v>1</v>
      </c>
      <c r="HJ494" s="8">
        <f>HF494*CAP_SHARE</f>
        <v>27.57470698844547</v>
      </c>
      <c r="HK494" s="8">
        <f>HG494*CAP_SHARE</f>
        <v>28.348240994403636</v>
      </c>
      <c r="HL494" s="8">
        <f>HH494*CAP_SHARE</f>
        <v>29.84033653291295</v>
      </c>
      <c r="HM494" s="8">
        <f>HF494-HJ494-HE494</f>
        <v>-36.20995824029626</v>
      </c>
      <c r="HN494" s="8">
        <f>HG494-HK494-HE494</f>
        <v>-21.163936805688536</v>
      </c>
      <c r="HO494" s="8">
        <f>HH494-HL494-HE494</f>
        <v>7.858835667106973</v>
      </c>
      <c r="HP494" s="8">
        <f>R_NF_2024*(1+G_HI)^(HB494-2024)</f>
        <v>610.2651654762458</v>
      </c>
      <c r="HQ494" s="10">
        <f>1-HF494/HP494</f>
        <v>0.07592506679569655</v>
      </c>
      <c r="HR494" s="10">
        <f>CPI_2023/(IF(HB494-1=2023,CPI_2023,IF(HB494-1=2024,CPI_2024,IF(HB494-1=2025,CPI_2025,CPI_2025*(1+INFL)^(HB494-1-2025)))))</f>
        <v>0.8536209875927944</v>
      </c>
      <c r="HS494" s="8">
        <f>$HB$21*ABS($HB$11)*(HG494-HF494)/HF494</f>
        <v>2796.676248098538</v>
      </c>
      <c r="HT494" s="8">
        <f>$HB$21*ABS($HB$11)*(HH494-HF494)/HF494</f>
        <v>8191.278321570249</v>
      </c>
      <c r="HU494" s="13">
        <f>(HG494-HF494)*MCD_NF_DAYS*HR494-HS494*MCD_SHARE_FREED*R_WAIT_2023</f>
        <v>5843047.094148496</v>
      </c>
      <c r="HV494" s="13">
        <f>(HH494-HF494)*MCD_NF_DAYS*HR494-HT494*MCD_SHARE_FREED*R_WAIT_2023</f>
        <v>17113895.47744543</v>
      </c>
      <c r="HW494" s="10">
        <f>IF(AND(HB494&gt;=RULE_START,HC494=1),1/(1+$HB$12)^(HB494-RULE_START+1),0)</f>
        <v>0.8884870479156888</v>
      </c>
      <c r="HX494">
        <f>IF(AND(HB494&gt;=RULE_START,HC494=1,HM494&lt;0),HB494,9999)</f>
        <v>2030</v>
      </c>
      <c r="HY494">
        <f>IF(AND(HB494&gt;=RULE_START,HC494=1,HN494&lt;0),HB494,9999)</f>
        <v>2030</v>
      </c>
      <c r="HZ494">
        <f>IF(AND(HB494&gt;=RULE_START,HC494=1,HO494&lt;0),HB494,9999)</f>
        <v>9999</v>
      </c>
      <c r="IB494" t="n">
        <v>2030</v>
      </c>
      <c r="IC494">
        <f>IF(IB494&lt;=RULE_START+$IB$38-1,1,0)</f>
        <v>1</v>
      </c>
      <c r="ID494" s="15">
        <f>IF(IB494=2024,G_IDX_2024,IF(IB494=2025,G_IDX_2025,IF(IB494=2026,G_IDX_2026,IF(IB494=2027,G_IDX_2027,$IB$13))))</f>
        <v>0.033</v>
      </c>
      <c r="IE494" s="8">
        <f>$IB$20*(1+G_HI)^(IB494-COST_DATE)</f>
        <v>572.5659932762259</v>
      </c>
      <c r="IF494" s="8">
        <f>IF493*(1+ID494)</f>
        <v>563.930742024375</v>
      </c>
      <c r="IG494" s="8">
        <f>IF(IB494&lt;RULE_START,IF494,IG493*(1+G_HI))</f>
        <v>579.750297464941</v>
      </c>
      <c r="IH494" s="8">
        <f>IF(IB494&lt;RULE_START,IF494,IF(II494=1,R_NF_2024*(1+G_HI)^(IB494-2024),IH493*(1+ID494)))</f>
        <v>610.2651654762458</v>
      </c>
      <c r="II494">
        <f>IF(AND(IB494&gt;=RULE_START,MOD(IB494-RULE_START,REBASE_YEARS)=0),1,0)</f>
        <v>1</v>
      </c>
      <c r="IJ494" s="8">
        <f>IF494*CAP_SHARE</f>
        <v>27.57470698844547</v>
      </c>
      <c r="IK494" s="8">
        <f>IG494*CAP_SHARE</f>
        <v>28.348240994403636</v>
      </c>
      <c r="IL494" s="8">
        <f>IH494*CAP_SHARE</f>
        <v>29.84033653291295</v>
      </c>
      <c r="IM494" s="8">
        <f>IF494-IJ494-IE494</f>
        <v>-36.20995824029626</v>
      </c>
      <c r="IN494" s="8">
        <f>IG494-IK494-IE494</f>
        <v>-21.163936805688536</v>
      </c>
      <c r="IO494" s="8">
        <f>IH494-IL494-IE494</f>
        <v>7.858835667106973</v>
      </c>
      <c r="IP494" s="8">
        <f>R_NF_2024*(1+G_HI)^(IB494-2024)</f>
        <v>610.2651654762458</v>
      </c>
      <c r="IQ494" s="10">
        <f>1-IF494/IP494</f>
        <v>0.07592506679569655</v>
      </c>
      <c r="IR494" s="10">
        <f>CPI_2023/(IF(IB494-1=2023,CPI_2023,IF(IB494-1=2024,CPI_2024,IF(IB494-1=2025,CPI_2025,CPI_2025*(1+INFL)^(IB494-1-2025)))))</f>
        <v>0.8536209875927944</v>
      </c>
      <c r="IS494" s="8">
        <f>$IB$21*ABS($IB$11)*(IG494-IF494)/IF494</f>
        <v>2796.676248098538</v>
      </c>
      <c r="IT494" s="8">
        <f>$IB$21*ABS($IB$11)*(IH494-IF494)/IF494</f>
        <v>8191.278321570249</v>
      </c>
      <c r="IU494" s="13">
        <f>(IG494-IF494)*MCD_NF_DAYS*IR494-IS494*MCD_SHARE_FREED*R_WAIT_2023</f>
        <v>5843047.094148496</v>
      </c>
      <c r="IV494" s="13">
        <f>(IH494-IF494)*MCD_NF_DAYS*IR494-IT494*MCD_SHARE_FREED*R_WAIT_2023</f>
        <v>17113895.47744543</v>
      </c>
      <c r="IW494" s="10">
        <f>IF(AND(IB494&gt;=RULE_START,IC494=1),1/(1+$IB$12)^(IB494-RULE_START+1),0)</f>
        <v>0.7628952120475251</v>
      </c>
      <c r="IX494">
        <f>IF(AND(IB494&gt;=RULE_START,IC494=1,IM494&lt;0),IB494,9999)</f>
        <v>2030</v>
      </c>
      <c r="IY494">
        <f>IF(AND(IB494&gt;=RULE_START,IC494=1,IN494&lt;0),IB494,9999)</f>
        <v>2030</v>
      </c>
      <c r="IZ494">
        <f>IF(AND(IB494&gt;=RULE_START,IC494=1,IO494&lt;0),IB494,9999)</f>
        <v>9999</v>
      </c>
      <c r="JB494" t="n">
        <v>2030</v>
      </c>
      <c r="JC494">
        <f>IF(JB494&lt;=RULE_START+$JB$38-1,1,0)</f>
        <v>1</v>
      </c>
      <c r="JD494" s="15">
        <f>IF(JB494=2024,G_IDX_2024,IF(JB494=2025,G_IDX_2025,IF(JB494=2026,G_IDX_2026,IF(JB494=2027,G_IDX_2027,$JB$13))))</f>
        <v>0.03</v>
      </c>
      <c r="JE494" s="8">
        <f>$JB$20*(1+G_HI)^(JB494-COST_DATE)</f>
        <v>572.5659932762259</v>
      </c>
      <c r="JF494" s="8">
        <f>JF493*(1+JD494)</f>
        <v>559.0317572927501</v>
      </c>
      <c r="JG494" s="8">
        <f>IF(JB494&lt;RULE_START,JF494,JG493*(1+G_HI))</f>
        <v>579.750297464941</v>
      </c>
      <c r="JH494" s="8">
        <f>IF(JB494&lt;RULE_START,JF494,IF(JI494=1,R_NF_2024*(1+G_HI)^(JB494-2024),JH493*(1+JD494)))</f>
        <v>610.2651654762458</v>
      </c>
      <c r="JI494">
        <f>IF(AND(JB494&gt;=RULE_START,MOD(JB494-RULE_START,REBASE_YEARS)=0),1,0)</f>
        <v>1</v>
      </c>
      <c r="JJ494" s="8">
        <f>JF494*CAP_SHARE</f>
        <v>27.3351597205833</v>
      </c>
      <c r="JK494" s="8">
        <f>JG494*CAP_SHARE</f>
        <v>28.348240994403636</v>
      </c>
      <c r="JL494" s="8">
        <f>JH494*CAP_SHARE</f>
        <v>29.84033653291295</v>
      </c>
      <c r="JM494" s="8">
        <f>JF494-JJ494-JE494</f>
        <v>-40.869395704059116</v>
      </c>
      <c r="JN494" s="8">
        <f>JG494-JK494-JE494</f>
        <v>-21.163936805688536</v>
      </c>
      <c r="JO494" s="8">
        <f>JH494-JL494-JE494</f>
        <v>7.858835667106973</v>
      </c>
      <c r="JP494" s="8">
        <f>R_NF_2024*(1+G_HI)^(JB494-2024)</f>
        <v>610.2651654762458</v>
      </c>
      <c r="JQ494" s="10">
        <f>1-JF494/JP494</f>
        <v>0.08395269971457997</v>
      </c>
      <c r="JR494" s="10">
        <f>CPI_2023/(IF(JB494-1=2023,CPI_2023,IF(JB494-1=2024,CPI_2024,IF(JB494-1=2025,CPI_2025,CPI_2025*(1+INFL)^(JB494-1-2025)))))</f>
        <v>0.8536209875927944</v>
      </c>
      <c r="JS494" s="8">
        <f>$JB$21*ABS($JB$11)*(JG494-JF494)/JF494</f>
        <v>3694.846166192654</v>
      </c>
      <c r="JT494" s="8">
        <f>$JB$21*ABS($JB$11)*(JH494-JF494)/JF494</f>
        <v>9136.722965735591</v>
      </c>
      <c r="JU494" s="13">
        <f>(JG494-JF494)*MCD_NF_DAYS*JR494-JS494*MCD_SHARE_FREED*R_WAIT_2023</f>
        <v>7637920.786803673</v>
      </c>
      <c r="JV494" s="13">
        <f>(JH494-JF494)*MCD_NF_DAYS*JR494-JT494*MCD_SHARE_FREED*R_WAIT_2023</f>
        <v>18887272.466655564</v>
      </c>
      <c r="JW494" s="10">
        <f>IF(AND(JB494&gt;=RULE_START,JC494=1),1/(1+$JB$12)^(JB494-RULE_START+1),0)</f>
        <v>0.9238454260265142</v>
      </c>
      <c r="JX494">
        <f>IF(AND(JB494&gt;=RULE_START,JC494=1,JM494&lt;0),JB494,9999)</f>
        <v>2030</v>
      </c>
      <c r="JY494">
        <f>IF(AND(JB494&gt;=RULE_START,JC494=1,JN494&lt;0),JB494,9999)</f>
        <v>2030</v>
      </c>
      <c r="JZ494">
        <f>IF(AND(JB494&gt;=RULE_START,JC494=1,JO494&lt;0),JB494,9999)</f>
        <v>9999</v>
      </c>
      <c r="KB494" t="n">
        <v>2030</v>
      </c>
      <c r="KC494">
        <f>IF(KB494&lt;=RULE_START+$KB$38-1,1,0)</f>
        <v>1</v>
      </c>
      <c r="KD494" s="15">
        <f>IF(KB494=2024,G_IDX_2024,IF(KB494=2025,G_IDX_2025,IF(KB494=2026,G_IDX_2026,IF(KB494=2027,G_IDX_2027,$KB$13))))</f>
        <v>0.033</v>
      </c>
      <c r="KE494" s="8">
        <f>$KB$20*(1+G_HI)^(KB494-COST_DATE)</f>
        <v>572.5659932762259</v>
      </c>
      <c r="KF494" s="8">
        <f>KF493*(1+KD494)</f>
        <v>563.930742024375</v>
      </c>
      <c r="KG494" s="8">
        <f>IF(KB494&lt;RULE_START,KF494,KG493*(1+G_HI))</f>
        <v>579.750297464941</v>
      </c>
      <c r="KH494" s="8">
        <f>IF(KB494&lt;RULE_START,KF494,IF(KI494=1,R_NF_2024*(1+G_HI)^(KB494-2024),KH493*(1+KD494)))</f>
        <v>610.2651654762458</v>
      </c>
      <c r="KI494">
        <f>IF(AND(KB494&gt;=RULE_START,MOD(KB494-RULE_START,REBASE_YEARS)=0),1,0)</f>
        <v>1</v>
      </c>
      <c r="KJ494" s="8">
        <f>KF494*CAP_SHARE</f>
        <v>27.57470698844547</v>
      </c>
      <c r="KK494" s="8">
        <f>KG494*CAP_SHARE</f>
        <v>28.348240994403636</v>
      </c>
      <c r="KL494" s="8">
        <f>KH494*CAP_SHARE</f>
        <v>29.84033653291295</v>
      </c>
      <c r="KM494" s="8">
        <f>KF494-KJ494-KE494</f>
        <v>-36.20995824029626</v>
      </c>
      <c r="KN494" s="8">
        <f>KG494-KK494-KE494</f>
        <v>-21.163936805688536</v>
      </c>
      <c r="KO494" s="8">
        <f>KH494-KL494-KE494</f>
        <v>7.858835667106973</v>
      </c>
      <c r="KP494" s="8">
        <f>R_NF_2024*(1+G_HI)^(KB494-2024)</f>
        <v>610.2651654762458</v>
      </c>
      <c r="KQ494" s="10">
        <f>1-KF494/KP494</f>
        <v>0.07592506679569655</v>
      </c>
      <c r="KR494" s="10">
        <f>CPI_2023/(IF(KB494-1=2023,CPI_2023,IF(KB494-1=2024,CPI_2024,IF(KB494-1=2025,CPI_2025,CPI_2025*(1+INFL)^(KB494-1-2025)))))</f>
        <v>0.8536209875927944</v>
      </c>
      <c r="KS494" s="8">
        <f>$KB$21*ABS($KB$11)*(KG494-KF494)/KF494</f>
        <v>2796.676248098538</v>
      </c>
      <c r="KT494" s="8">
        <f>$KB$21*ABS($KB$11)*(KH494-KF494)/KF494</f>
        <v>8191.278321570249</v>
      </c>
      <c r="KU494" s="13">
        <f>(KG494-KF494)*MCD_NF_DAYS*KR494-KS494*MCD_SHARE_FREED*R_WAIT_2023</f>
        <v>5843047.094148496</v>
      </c>
      <c r="KV494" s="13">
        <f>(KH494-KF494)*MCD_NF_DAYS*KR494-KT494*MCD_SHARE_FREED*R_WAIT_2023</f>
        <v>17113895.47744543</v>
      </c>
      <c r="KW494" s="10">
        <f>IF(AND(KB494&gt;=RULE_START,KC494=1),1/(1+$KB$12)^(KB494-RULE_START+1),0)</f>
        <v>0.9238454260265142</v>
      </c>
      <c r="KX494">
        <f>IF(AND(KB494&gt;=RULE_START,KC494=1,KM494&lt;0),KB494,9999)</f>
        <v>2030</v>
      </c>
      <c r="KY494">
        <f>IF(AND(KB494&gt;=RULE_START,KC494=1,KN494&lt;0),KB494,9999)</f>
        <v>2030</v>
      </c>
      <c r="KZ494">
        <f>IF(AND(KB494&gt;=RULE_START,KC494=1,KO494&lt;0),KB494,9999)</f>
        <v>9999</v>
      </c>
      <c r="LB494" t="n">
        <v>2030</v>
      </c>
      <c r="LC494">
        <f>IF(LB494&lt;=RULE_START+$LB$38-1,1,0)</f>
        <v>1</v>
      </c>
      <c r="LD494" s="15">
        <f>IF(LB494=2024,G_IDX_2024,IF(LB494=2025,G_IDX_2025,IF(LB494=2026,G_IDX_2026,IF(LB494=2027,G_IDX_2027,$LB$13))))</f>
        <v>0.033</v>
      </c>
      <c r="LE494" s="8">
        <f>$LB$20*(1+G_HI)^(LB494-COST_DATE)</f>
        <v>572.5659932762259</v>
      </c>
      <c r="LF494" s="8">
        <f>LF493*(1+LD494)</f>
        <v>563.930742024375</v>
      </c>
      <c r="LG494" s="8">
        <f>IF(LB494&lt;RULE_START,LF494,LG493*(1+G_HI))</f>
        <v>579.750297464941</v>
      </c>
      <c r="LH494" s="8">
        <f>IF(LB494&lt;RULE_START,LF494,IF(LI494=1,R_NF_2024*(1+G_HI)^(LB494-2024),LH493*(1+LD494)))</f>
        <v>610.2651654762458</v>
      </c>
      <c r="LI494">
        <f>IF(AND(LB494&gt;=RULE_START,MOD(LB494-RULE_START,REBASE_YEARS)=0),1,0)</f>
        <v>1</v>
      </c>
      <c r="LJ494" s="8">
        <f>LF494*CAP_SHARE</f>
        <v>27.57470698844547</v>
      </c>
      <c r="LK494" s="8">
        <f>LG494*CAP_SHARE</f>
        <v>28.348240994403636</v>
      </c>
      <c r="LL494" s="8">
        <f>LH494*CAP_SHARE</f>
        <v>29.84033653291295</v>
      </c>
      <c r="LM494" s="8">
        <f>LF494-LJ494-LE494</f>
        <v>-36.20995824029626</v>
      </c>
      <c r="LN494" s="8">
        <f>LG494-LK494-LE494</f>
        <v>-21.163936805688536</v>
      </c>
      <c r="LO494" s="8">
        <f>LH494-LL494-LE494</f>
        <v>7.858835667106973</v>
      </c>
      <c r="LP494" s="8">
        <f>R_NF_2024*(1+G_HI)^(LB494-2024)</f>
        <v>610.2651654762458</v>
      </c>
      <c r="LQ494" s="10">
        <f>1-LF494/LP494</f>
        <v>0.07592506679569655</v>
      </c>
      <c r="LR494" s="10">
        <f>CPI_2023/(IF(LB494-1=2023,CPI_2023,IF(LB494-1=2024,CPI_2024,IF(LB494-1=2025,CPI_2025,CPI_2025*(1+INFL)^(LB494-1-2025)))))</f>
        <v>0.8536209875927944</v>
      </c>
      <c r="LS494" s="8">
        <f>$LB$21*ABS($LB$11)*(LG494-LF494)/LF494</f>
        <v>2796.676248098538</v>
      </c>
      <c r="LT494" s="8">
        <f>$LB$21*ABS($LB$11)*(LH494-LF494)/LF494</f>
        <v>8191.278321570249</v>
      </c>
      <c r="LU494" s="13">
        <f>(LG494-LF494)*MCD_NF_DAYS*LR494-LS494*MCD_SHARE_FREED*R_WAIT_2023</f>
        <v>5843047.094148496</v>
      </c>
      <c r="LV494" s="13">
        <f>(LH494-LF494)*MCD_NF_DAYS*LR494-LT494*MCD_SHARE_FREED*R_WAIT_2023</f>
        <v>17113895.47744543</v>
      </c>
      <c r="LW494" s="10">
        <f>IF(AND(LB494&gt;=RULE_START,LC494=1),1/(1+$LB$12)^(LB494-RULE_START+1),0)</f>
        <v>0.9238454260265142</v>
      </c>
      <c r="LX494">
        <f>IF(AND(LB494&gt;=RULE_START,LC494=1,LM494&lt;0),LB494,9999)</f>
        <v>2030</v>
      </c>
      <c r="LY494">
        <f>IF(AND(LB494&gt;=RULE_START,LC494=1,LN494&lt;0),LB494,9999)</f>
        <v>2030</v>
      </c>
      <c r="LZ494">
        <f>IF(AND(LB494&gt;=RULE_START,LC494=1,LO494&lt;0),LB494,9999)</f>
        <v>9999</v>
      </c>
      <c r="MB494" t="n">
        <v>2030</v>
      </c>
      <c r="MC494">
        <f>IF(MB494&lt;=RULE_START+$MB$38-1,1,0)</f>
        <v>1</v>
      </c>
      <c r="MD494" s="15">
        <f>IF(MB494=2024,G_IDX_2024,IF(MB494=2025,G_IDX_2025,IF(MB494=2026,G_IDX_2026,IF(MB494=2027,G_IDX_2027,$MB$13))))</f>
        <v>0.033</v>
      </c>
      <c r="ME494" s="8">
        <f>$MB$20*(1+G_HI)^(MB494-COST_DATE)</f>
        <v>572.5659932762259</v>
      </c>
      <c r="MF494" s="8">
        <f>MF493*(1+MD494)</f>
        <v>563.930742024375</v>
      </c>
      <c r="MG494" s="8">
        <f>IF(MB494&lt;RULE_START,MF494,MG493*(1+G_HI))</f>
        <v>579.750297464941</v>
      </c>
      <c r="MH494" s="8">
        <f>IF(MB494&lt;RULE_START,MF494,IF(MI494=1,R_NF_2024*(1+G_HI)^(MB494-2024),MH493*(1+MD494)))</f>
        <v>610.2651654762458</v>
      </c>
      <c r="MI494">
        <f>IF(AND(MB494&gt;=RULE_START,MOD(MB494-RULE_START,REBASE_YEARS)=0),1,0)</f>
        <v>1</v>
      </c>
      <c r="MJ494" s="8">
        <f>MF494*CAP_SHARE</f>
        <v>27.57470698844547</v>
      </c>
      <c r="MK494" s="8">
        <f>MG494*CAP_SHARE</f>
        <v>28.348240994403636</v>
      </c>
      <c r="ML494" s="8">
        <f>MH494*CAP_SHARE</f>
        <v>29.84033653291295</v>
      </c>
      <c r="MM494" s="8">
        <f>MF494-MJ494-ME494</f>
        <v>-36.20995824029626</v>
      </c>
      <c r="MN494" s="8">
        <f>MG494-MK494-ME494</f>
        <v>-21.163936805688536</v>
      </c>
      <c r="MO494" s="8">
        <f>MH494-ML494-ME494</f>
        <v>7.858835667106973</v>
      </c>
      <c r="MP494" s="8">
        <f>R_NF_2024*(1+G_HI)^(MB494-2024)</f>
        <v>610.2651654762458</v>
      </c>
      <c r="MQ494" s="10">
        <f>1-MF494/MP494</f>
        <v>0.07592506679569655</v>
      </c>
      <c r="MR494" s="10">
        <f>CPI_2023/(IF(MB494-1=2023,CPI_2023,IF(MB494-1=2024,CPI_2024,IF(MB494-1=2025,CPI_2025,CPI_2025*(1+INFL)^(MB494-1-2025)))))</f>
        <v>0.8536209875927944</v>
      </c>
      <c r="MS494" s="8">
        <f>$MB$21*ABS($MB$11)*(MG494-MF494)/MF494</f>
        <v>2048.816001531302</v>
      </c>
      <c r="MT494" s="8">
        <f>$MB$21*ABS($MB$11)*(MH494-MF494)/MF494</f>
        <v>6000.845507105077</v>
      </c>
      <c r="MU494" s="13">
        <f>(MG494-MF494)*MCD_NF_DAYS*MR494-MS494*MCD_SHARE_FREED*R_WAIT_2023</f>
        <v>6183113.156394356</v>
      </c>
      <c r="MV494" s="13">
        <f>(MH494-MF494)*MCD_NF_DAYS*MR494-MT494*MCD_SHARE_FREED*R_WAIT_2023</f>
        <v>18109926.307066906</v>
      </c>
      <c r="MW494" s="10">
        <f>IF(AND(MB494&gt;=RULE_START,MC494=1),1/(1+$MB$12)^(MB494-RULE_START+1),0)</f>
        <v>0.9238454260265142</v>
      </c>
      <c r="MX494">
        <f>IF(AND(MB494&gt;=RULE_START,MC494=1,MM494&lt;0),MB494,9999)</f>
        <v>2030</v>
      </c>
      <c r="MY494">
        <f>IF(AND(MB494&gt;=RULE_START,MC494=1,MN494&lt;0),MB494,9999)</f>
        <v>2030</v>
      </c>
      <c r="MZ494">
        <f>IF(AND(MB494&gt;=RULE_START,MC494=1,MO494&lt;0),MB494,9999)</f>
        <v>9999</v>
      </c>
      <c r="NB494" t="n">
        <v>2030</v>
      </c>
      <c r="NC494">
        <f>IF(NB494&lt;=RULE_START+$NB$38-1,1,0)</f>
        <v>1</v>
      </c>
      <c r="ND494" s="15">
        <f>IF(NB494=2024,G_IDX_2024,IF(NB494=2025,G_IDX_2025,IF(NB494=2026,G_IDX_2026,IF(NB494=2027,G_IDX_2027,$NB$13))))</f>
        <v>0.033</v>
      </c>
      <c r="NE494" s="8">
        <f>$NB$20*(1+G_HI)^(NB494-COST_DATE)</f>
        <v>572.5659932762259</v>
      </c>
      <c r="NF494" s="8">
        <f>NF493*(1+ND494)</f>
        <v>563.930742024375</v>
      </c>
      <c r="NG494" s="8">
        <f>IF(NB494&lt;RULE_START,NF494,NG493*(1+G_HI))</f>
        <v>579.750297464941</v>
      </c>
      <c r="NH494" s="8">
        <f>IF(NB494&lt;RULE_START,NF494,IF(NI494=1,R_NF_2024*(1+G_HI)^(NB494-2024),NH493*(1+ND494)))</f>
        <v>610.2651654762458</v>
      </c>
      <c r="NI494">
        <f>IF(AND(NB494&gt;=RULE_START,MOD(NB494-RULE_START,REBASE_YEARS)=0),1,0)</f>
        <v>1</v>
      </c>
      <c r="NJ494" s="8">
        <f>NF494*CAP_SHARE</f>
        <v>27.57470698844547</v>
      </c>
      <c r="NK494" s="8">
        <f>NG494*CAP_SHARE</f>
        <v>28.348240994403636</v>
      </c>
      <c r="NL494" s="8">
        <f>NH494*CAP_SHARE</f>
        <v>29.84033653291295</v>
      </c>
      <c r="NM494" s="8">
        <f>NF494-NJ494-NE494</f>
        <v>-36.20995824029626</v>
      </c>
      <c r="NN494" s="8">
        <f>NG494-NK494-NE494</f>
        <v>-21.163936805688536</v>
      </c>
      <c r="NO494" s="8">
        <f>NH494-NL494-NE494</f>
        <v>7.858835667106973</v>
      </c>
      <c r="NP494" s="8">
        <f>R_NF_2024*(1+G_HI)^(NB494-2024)</f>
        <v>610.2651654762458</v>
      </c>
      <c r="NQ494" s="10">
        <f>1-NF494/NP494</f>
        <v>0.07592506679569655</v>
      </c>
      <c r="NR494" s="10">
        <f>CPI_2023/(IF(NB494-1=2023,CPI_2023,IF(NB494-1=2024,CPI_2024,IF(NB494-1=2025,CPI_2025,CPI_2025*(1+INFL)^(NB494-1-2025)))))</f>
        <v>0.8536209875927944</v>
      </c>
      <c r="NS494" s="8">
        <f>$NB$21*ABS($NB$11)*(NG494-NF494)/NF494</f>
        <v>2796.676248098538</v>
      </c>
      <c r="NT494" s="8">
        <f>$NB$21*ABS($NB$11)*(NH494-NF494)/NF494</f>
        <v>8191.278321570249</v>
      </c>
      <c r="NU494" s="13">
        <f>(NG494-NF494)*MCD_NF_DAYS*NR494-NS494*MCD_SHARE_FREED*R_WAIT_2023</f>
        <v>5843047.094148496</v>
      </c>
      <c r="NV494" s="13">
        <f>(NH494-NF494)*MCD_NF_DAYS*NR494-NT494*MCD_SHARE_FREED*R_WAIT_2023</f>
        <v>17113895.47744543</v>
      </c>
      <c r="NW494" s="10">
        <f>IF(AND(NB494&gt;=RULE_START,NC494=1),1/(1+$NB$12)^(NB494-RULE_START+1),0)</f>
        <v>0.9238454260265142</v>
      </c>
      <c r="NX494">
        <f>IF(AND(NB494&gt;=RULE_START,NC494=1,NM494&lt;0),NB494,9999)</f>
        <v>2030</v>
      </c>
      <c r="NY494">
        <f>IF(AND(NB494&gt;=RULE_START,NC494=1,NN494&lt;0),NB494,9999)</f>
        <v>2030</v>
      </c>
      <c r="NZ494">
        <f>IF(AND(NB494&gt;=RULE_START,NC494=1,NO494&lt;0),NB494,9999)</f>
        <v>9999</v>
      </c>
      <c r="OB494" t="n">
        <v>2030</v>
      </c>
      <c r="OC494">
        <f>IF(OB494&lt;=RULE_START+$OB$38-1,1,0)</f>
        <v>1</v>
      </c>
      <c r="OD494" s="15">
        <f>IF(OB494=2024,G_IDX_2024,IF(OB494=2025,G_IDX_2025,IF(OB494=2026,G_IDX_2026,IF(OB494=2027,G_IDX_2027,$OB$13))))</f>
        <v>0.033</v>
      </c>
      <c r="OE494" s="8">
        <f>$OB$20*(1+G_HI)^(OB494-COST_DATE)</f>
        <v>572.5659932762259</v>
      </c>
      <c r="OF494" s="8">
        <f>OF493*(1+OD494)</f>
        <v>563.930742024375</v>
      </c>
      <c r="OG494" s="8">
        <f>IF(OB494&lt;RULE_START,OF494,OG493*(1+G_HI))</f>
        <v>579.750297464941</v>
      </c>
      <c r="OH494" s="8">
        <f>IF(OB494&lt;RULE_START,OF494,IF(OI494=1,R_NF_2024*(1+G_HI)^(OB494-2024),OH493*(1+OD494)))</f>
        <v>610.2651654762458</v>
      </c>
      <c r="OI494">
        <f>IF(AND(OB494&gt;=RULE_START,MOD(OB494-RULE_START,REBASE_YEARS)=0),1,0)</f>
        <v>1</v>
      </c>
      <c r="OJ494" s="8">
        <f>OF494*CAP_SHARE</f>
        <v>27.57470698844547</v>
      </c>
      <c r="OK494" s="8">
        <f>OG494*CAP_SHARE</f>
        <v>28.348240994403636</v>
      </c>
      <c r="OL494" s="8">
        <f>OH494*CAP_SHARE</f>
        <v>29.84033653291295</v>
      </c>
      <c r="OM494" s="8">
        <f>OF494-OJ494-OE494</f>
        <v>-36.20995824029626</v>
      </c>
      <c r="ON494" s="8">
        <f>OG494-OK494-OE494</f>
        <v>-21.163936805688536</v>
      </c>
      <c r="OO494" s="8">
        <f>OH494-OL494-OE494</f>
        <v>7.858835667106973</v>
      </c>
      <c r="OP494" s="8">
        <f>R_NF_2024*(1+G_HI)^(OB494-2024)</f>
        <v>610.2651654762458</v>
      </c>
      <c r="OQ494" s="10">
        <f>1-OF494/OP494</f>
        <v>0.07592506679569655</v>
      </c>
      <c r="OR494" s="10">
        <f>CPI_2023/(IF(OB494-1=2023,CPI_2023,IF(OB494-1=2024,CPI_2024,IF(OB494-1=2025,CPI_2025,CPI_2025*(1+INFL)^(OB494-1-2025)))))</f>
        <v>0.8536209875927944</v>
      </c>
      <c r="OS494" s="8">
        <f>$OB$21*ABS($OB$11)*(OG494-OF494)/OF494</f>
        <v>2796.676248098538</v>
      </c>
      <c r="OT494" s="8">
        <f>$OB$21*ABS($OB$11)*(OH494-OF494)/OF494</f>
        <v>8191.278321570249</v>
      </c>
      <c r="OU494" s="13">
        <f>(OG494-OF494)*MCD_NF_DAYS*OR494-OS494*MCD_SHARE_FREED*R_WAIT_2023</f>
        <v>5843047.094148496</v>
      </c>
      <c r="OV494" s="13">
        <f>(OH494-OF494)*MCD_NF_DAYS*OR494-OT494*MCD_SHARE_FREED*R_WAIT_2023</f>
        <v>17113895.47744543</v>
      </c>
      <c r="OW494" s="10">
        <f>IF(AND(OB494&gt;=RULE_START,OC494=1),1/(1+$OB$12)^(OB494-RULE_START+1),0)</f>
        <v>0.9238454260265142</v>
      </c>
      <c r="OX494">
        <f>IF(AND(OB494&gt;=RULE_START,OC494=1,OM494&lt;0),OB494,9999)</f>
        <v>2030</v>
      </c>
      <c r="OY494">
        <f>IF(AND(OB494&gt;=RULE_START,OC494=1,ON494&lt;0),OB494,9999)</f>
        <v>2030</v>
      </c>
      <c r="OZ494">
        <f>IF(AND(OB494&gt;=RULE_START,OC494=1,OO494&lt;0),OB494,9999)</f>
        <v>9999</v>
      </c>
    </row>
    <row r="495">
      <c r="B495" t="n">
        <v>2031</v>
      </c>
      <c r="C495">
        <f>IF(B495&lt;=RULE_START+$B$38-1,1,0)</f>
        <v>1</v>
      </c>
      <c r="D495" s="15">
        <f>IF(B495=2024,G_IDX_2024,IF(B495=2025,G_IDX_2025,IF(B495=2026,G_IDX_2026,IF(B495=2027,G_IDX_2027,$B$13))))</f>
        <v>0.033</v>
      </c>
      <c r="E495" s="8">
        <f>$B$20*(1+G_HI)^(B495-COST_DATE)</f>
        <v>595.5656950149896</v>
      </c>
      <c r="F495" s="8">
        <f>F494*(1+D495)</f>
        <v>582.5404565111794</v>
      </c>
      <c r="G495" s="8">
        <f>IF(B495&lt;RULE_START,F495,G494*(1+G_HI))</f>
        <v>603.0385892622857</v>
      </c>
      <c r="H495" s="8">
        <f>IF(B495&lt;RULE_START,F495,IF(I495=1,R_NF_2024*(1+G_HI)^(B495-2024),H494*(1+D495)))</f>
        <v>630.4039159369619</v>
      </c>
      <c r="I495">
        <f>IF(AND(B495&gt;=RULE_START,MOD(B495-RULE_START,REBASE_YEARS)=0),1,0)</f>
        <v>0</v>
      </c>
      <c r="J495" s="8">
        <f>F495*CAP_SHARE</f>
        <v>28.48467231906417</v>
      </c>
      <c r="K495" s="8">
        <f>G495*CAP_SHARE</f>
        <v>29.48697625871636</v>
      </c>
      <c r="L495" s="8">
        <f>H495*CAP_SHARE</f>
        <v>30.82506763849908</v>
      </c>
      <c r="M495" s="8">
        <f>F495-J495-E495</f>
        <v>-41.50991082287442</v>
      </c>
      <c r="N495" s="8">
        <f>G495-K495-E495</f>
        <v>-22.014082011420328</v>
      </c>
      <c r="O495" s="8">
        <f>H495-L495-E495</f>
        <v>4.01315328347323</v>
      </c>
      <c r="P495" s="8">
        <f>R_NF_2024*(1+G_HI)^(B495-2024)</f>
        <v>634.7792249075392</v>
      </c>
      <c r="Q495" s="10">
        <f>1-F495/P495</f>
        <v>0.08229438889397933</v>
      </c>
      <c r="R495" s="10">
        <f>CPI_2023/(IF(B495-1=2023,CPI_2023,IF(B495-1=2024,CPI_2024,IF(B495-1=2025,CPI_2025,CPI_2025*(1+INFL)^(B495-1-2025)))))</f>
        <v>0.8345922835283481</v>
      </c>
      <c r="S495" s="8">
        <f>$B$21*ABS($B$11)*(G495-F495)/F495</f>
        <v>3508.018694243408</v>
      </c>
      <c r="T495" s="8">
        <f>$B$21*ABS($B$11)*(H495-F495)/F495</f>
        <v>8191.278321570249</v>
      </c>
      <c r="U495" s="13">
        <f>(G495-F495)*MCD_NF_DAYS*R495-S495*MCD_SHARE_FREED*R_WAIT_2023</f>
        <v>7418242.237800208</v>
      </c>
      <c r="V495" s="13">
        <f>(H495-F495)*MCD_NF_DAYS*R495-T495*MCD_SHARE_FREED*R_WAIT_2023</f>
        <v>17321711.234425183</v>
      </c>
      <c r="W495" s="10">
        <f>IF(AND(B495&gt;=RULE_START,C495=1),1/(1+$B$12)^(B495-RULE_START+1),0)</f>
        <v>0.9057308098299159</v>
      </c>
      <c r="X495">
        <f>IF(AND(B495&gt;=RULE_START,C495=1,M495&lt;0),B495,9999)</f>
        <v>2031</v>
      </c>
      <c r="Y495">
        <f>IF(AND(B495&gt;=RULE_START,C495=1,N495&lt;0),B495,9999)</f>
        <v>2031</v>
      </c>
      <c r="Z495">
        <f>IF(AND(B495&gt;=RULE_START,C495=1,O495&lt;0),B495,9999)</f>
        <v>9999</v>
      </c>
      <c r="AB495" t="n">
        <v>2031</v>
      </c>
      <c r="AC495">
        <f>IF(AB495&lt;=RULE_START+$AB$38-1,1,0)</f>
        <v>1</v>
      </c>
      <c r="AD495" s="15">
        <f>IF(AB495=2024,G_IDX_2024,IF(AB495=2025,G_IDX_2025,IF(AB495=2026,G_IDX_2026,IF(AB495=2027,G_IDX_2027,$AB$13))))</f>
        <v>0.033</v>
      </c>
      <c r="AE495" s="8">
        <f>$AB$20*(1+G_HI)^(AB495-COST_DATE)</f>
        <v>595.5656950149896</v>
      </c>
      <c r="AF495" s="8">
        <f>AF494*(1+AD495)</f>
        <v>582.5404565111794</v>
      </c>
      <c r="AG495" s="8">
        <f>IF(AB495&lt;RULE_START,AF495,AG494*(1+G_HI))</f>
        <v>603.0385892622857</v>
      </c>
      <c r="AH495" s="8">
        <f>IF(AB495&lt;RULE_START,AF495,IF(AI495=1,R_NF_2024*(1+G_HI)^(AB495-2024),AH494*(1+AD495)))</f>
        <v>630.4039159369619</v>
      </c>
      <c r="AI495">
        <f>IF(AND(AB495&gt;=RULE_START,MOD(AB495-RULE_START,REBASE_YEARS)=0),1,0)</f>
        <v>0</v>
      </c>
      <c r="AJ495" s="8">
        <f>AF495*CAP_SHARE</f>
        <v>28.48467231906417</v>
      </c>
      <c r="AK495" s="8">
        <f>AG495*CAP_SHARE</f>
        <v>29.48697625871636</v>
      </c>
      <c r="AL495" s="8">
        <f>AH495*CAP_SHARE</f>
        <v>30.82506763849908</v>
      </c>
      <c r="AM495" s="8">
        <f>AF495-AJ495-AE495</f>
        <v>-41.50991082287442</v>
      </c>
      <c r="AN495" s="8">
        <f>AG495-AK495-AE495</f>
        <v>-22.014082011420328</v>
      </c>
      <c r="AO495" s="8">
        <f>AH495-AL495-AE495</f>
        <v>4.01315328347323</v>
      </c>
      <c r="AP495" s="8">
        <f>R_NF_2024*(1+G_HI)^(AB495-2024)</f>
        <v>634.7792249075392</v>
      </c>
      <c r="AQ495" s="10">
        <f>1-AF495/AP495</f>
        <v>0.08229438889397933</v>
      </c>
      <c r="AR495" s="10">
        <f>CPI_2023/(IF(AB495-1=2023,CPI_2023,IF(AB495-1=2024,CPI_2024,IF(AB495-1=2025,CPI_2025,CPI_2025*(1+INFL)^(AB495-1-2025)))))</f>
        <v>0.8345922835283481</v>
      </c>
      <c r="AS495" s="8">
        <f>$AB$21*ABS($AB$11)*(AG495-AF495)/AF495</f>
        <v>3508.018694243408</v>
      </c>
      <c r="AT495" s="8">
        <f>$AB$21*ABS($AB$11)*(AH495-AF495)/AF495</f>
        <v>8191.278321570249</v>
      </c>
      <c r="AU495" s="13">
        <f>(AG495-AF495)*MCD_NF_DAYS*AR495-AS495*MCD_SHARE_FREED*R_WAIT_2023</f>
        <v>7418242.237800208</v>
      </c>
      <c r="AV495" s="13">
        <f>(AH495-AF495)*MCD_NF_DAYS*AR495-AT495*MCD_SHARE_FREED*R_WAIT_2023</f>
        <v>17321711.234425183</v>
      </c>
      <c r="AW495" s="10">
        <f>IF(AND(AB495&gt;=RULE_START,AC495=1),1/(1+$AB$12)^(AB495-RULE_START+1),0)</f>
        <v>0.9057308098299159</v>
      </c>
      <c r="AX495">
        <f>IF(AND(AB495&gt;=RULE_START,AC495=1,AM495&lt;0),AB495,9999)</f>
        <v>2031</v>
      </c>
      <c r="AY495">
        <f>IF(AND(AB495&gt;=RULE_START,AC495=1,AN495&lt;0),AB495,9999)</f>
        <v>2031</v>
      </c>
      <c r="AZ495">
        <f>IF(AND(AB495&gt;=RULE_START,AC495=1,AO495&lt;0),AB495,9999)</f>
        <v>9999</v>
      </c>
      <c r="BB495" t="n">
        <v>2031</v>
      </c>
      <c r="BC495">
        <f>IF(BB495&lt;=RULE_START+$BB$38-1,1,0)</f>
        <v>1</v>
      </c>
      <c r="BD495" s="15">
        <f>IF(BB495=2024,G_IDX_2024,IF(BB495=2025,G_IDX_2025,IF(BB495=2026,G_IDX_2026,IF(BB495=2027,G_IDX_2027,$BB$13))))</f>
        <v>0.033</v>
      </c>
      <c r="BE495" s="8">
        <f>$BB$20*(1+G_HI)^(BB495-COST_DATE)</f>
        <v>595.5656950149896</v>
      </c>
      <c r="BF495" s="8">
        <f>BF494*(1+BD495)</f>
        <v>582.5404565111794</v>
      </c>
      <c r="BG495" s="8">
        <f>IF(BB495&lt;RULE_START,BF495,BG494*(1+G_HI))</f>
        <v>603.0385892622857</v>
      </c>
      <c r="BH495" s="8">
        <f>IF(BB495&lt;RULE_START,BF495,IF(BI495=1,R_NF_2024*(1+G_HI)^(BB495-2024),BH494*(1+BD495)))</f>
        <v>630.4039159369619</v>
      </c>
      <c r="BI495">
        <f>IF(AND(BB495&gt;=RULE_START,MOD(BB495-RULE_START,REBASE_YEARS)=0),1,0)</f>
        <v>0</v>
      </c>
      <c r="BJ495" s="8">
        <f>BF495*CAP_SHARE</f>
        <v>28.48467231906417</v>
      </c>
      <c r="BK495" s="8">
        <f>BG495*CAP_SHARE</f>
        <v>29.48697625871636</v>
      </c>
      <c r="BL495" s="8">
        <f>BH495*CAP_SHARE</f>
        <v>30.82506763849908</v>
      </c>
      <c r="BM495" s="8">
        <f>BF495-BJ495-BE495</f>
        <v>-41.50991082287442</v>
      </c>
      <c r="BN495" s="8">
        <f>BG495-BK495-BE495</f>
        <v>-22.014082011420328</v>
      </c>
      <c r="BO495" s="8">
        <f>BH495-BL495-BE495</f>
        <v>4.01315328347323</v>
      </c>
      <c r="BP495" s="8">
        <f>R_NF_2024*(1+G_HI)^(BB495-2024)</f>
        <v>634.7792249075392</v>
      </c>
      <c r="BQ495" s="10">
        <f>1-BF495/BP495</f>
        <v>0.08229438889397933</v>
      </c>
      <c r="BR495" s="10">
        <f>CPI_2023/(IF(BB495-1=2023,CPI_2023,IF(BB495-1=2024,CPI_2024,IF(BB495-1=2025,CPI_2025,CPI_2025*(1+INFL)^(BB495-1-2025)))))</f>
        <v>0.8345922835283481</v>
      </c>
      <c r="BS495" s="8">
        <f>$BB$21*ABS($BB$11)*(BG495-BF495)/BF495</f>
        <v>3508.018694243408</v>
      </c>
      <c r="BT495" s="8">
        <f>$BB$21*ABS($BB$11)*(BH495-BF495)/BF495</f>
        <v>8191.278321570249</v>
      </c>
      <c r="BU495" s="13">
        <f>(BG495-BF495)*MCD_NF_DAYS*BR495-BS495*MCD_SHARE_FREED*R_WAIT_2023</f>
        <v>7418242.237800208</v>
      </c>
      <c r="BV495" s="13">
        <f>(BH495-BF495)*MCD_NF_DAYS*BR495-BT495*MCD_SHARE_FREED*R_WAIT_2023</f>
        <v>17321711.234425183</v>
      </c>
      <c r="BW495" s="10">
        <f>IF(AND(BB495&gt;=RULE_START,BC495=1),1/(1+$BB$12)^(BB495-RULE_START+1),0)</f>
        <v>0.9057308098299159</v>
      </c>
      <c r="BX495">
        <f>IF(AND(BB495&gt;=RULE_START,BC495=1,BM495&lt;0),BB495,9999)</f>
        <v>2031</v>
      </c>
      <c r="BY495">
        <f>IF(AND(BB495&gt;=RULE_START,BC495=1,BN495&lt;0),BB495,9999)</f>
        <v>2031</v>
      </c>
      <c r="BZ495">
        <f>IF(AND(BB495&gt;=RULE_START,BC495=1,BO495&lt;0),BB495,9999)</f>
        <v>9999</v>
      </c>
      <c r="CB495" t="n">
        <v>2031</v>
      </c>
      <c r="CC495">
        <f>IF(CB495&lt;=RULE_START+$CB$38-1,1,0)</f>
        <v>1</v>
      </c>
      <c r="CD495" s="15">
        <f>IF(CB495=2024,G_IDX_2024,IF(CB495=2025,G_IDX_2025,IF(CB495=2026,G_IDX_2026,IF(CB495=2027,G_IDX_2027,$CB$13))))</f>
        <v>0.033</v>
      </c>
      <c r="CE495" s="8">
        <f>$CB$20*(1+G_HI)^(CB495-COST_DATE)</f>
        <v>595.5656950149896</v>
      </c>
      <c r="CF495" s="8">
        <f>CF494*(1+CD495)</f>
        <v>582.5404565111794</v>
      </c>
      <c r="CG495" s="8">
        <f>IF(CB495&lt;RULE_START,CF495,CG494*(1+G_HI))</f>
        <v>603.0385892622857</v>
      </c>
      <c r="CH495" s="8">
        <f>IF(CB495&lt;RULE_START,CF495,IF(CI495=1,R_NF_2024*(1+G_HI)^(CB495-2024),CH494*(1+CD495)))</f>
        <v>630.4039159369619</v>
      </c>
      <c r="CI495">
        <f>IF(AND(CB495&gt;=RULE_START,MOD(CB495-RULE_START,REBASE_YEARS)=0),1,0)</f>
        <v>0</v>
      </c>
      <c r="CJ495" s="8">
        <f>CF495*CAP_SHARE</f>
        <v>28.48467231906417</v>
      </c>
      <c r="CK495" s="8">
        <f>CG495*CAP_SHARE</f>
        <v>29.48697625871636</v>
      </c>
      <c r="CL495" s="8">
        <f>CH495*CAP_SHARE</f>
        <v>30.82506763849908</v>
      </c>
      <c r="CM495" s="8">
        <f>CF495-CJ495-CE495</f>
        <v>-41.50991082287442</v>
      </c>
      <c r="CN495" s="8">
        <f>CG495-CK495-CE495</f>
        <v>-22.014082011420328</v>
      </c>
      <c r="CO495" s="8">
        <f>CH495-CL495-CE495</f>
        <v>4.01315328347323</v>
      </c>
      <c r="CP495" s="8">
        <f>R_NF_2024*(1+G_HI)^(CB495-2024)</f>
        <v>634.7792249075392</v>
      </c>
      <c r="CQ495" s="10">
        <f>1-CF495/CP495</f>
        <v>0.08229438889397933</v>
      </c>
      <c r="CR495" s="10">
        <f>CPI_2023/(IF(CB495-1=2023,CPI_2023,IF(CB495-1=2024,CPI_2024,IF(CB495-1=2025,CPI_2025,CPI_2025*(1+INFL)^(CB495-1-2025)))))</f>
        <v>0.8345922835283481</v>
      </c>
      <c r="CS495" s="8">
        <f>$CB$21*ABS($CB$11)*(CG495-CF495)/CF495</f>
        <v>3508.018694243408</v>
      </c>
      <c r="CT495" s="8">
        <f>$CB$21*ABS($CB$11)*(CH495-CF495)/CF495</f>
        <v>8191.278321570249</v>
      </c>
      <c r="CU495" s="13">
        <f>(CG495-CF495)*MCD_NF_DAYS*CR495-CS495*MCD_SHARE_FREED*R_WAIT_2023</f>
        <v>7418242.237800208</v>
      </c>
      <c r="CV495" s="13">
        <f>(CH495-CF495)*MCD_NF_DAYS*CR495-CT495*MCD_SHARE_FREED*R_WAIT_2023</f>
        <v>17321711.234425183</v>
      </c>
      <c r="CW495" s="10">
        <f>IF(AND(CB495&gt;=RULE_START,CC495=1),1/(1+$CB$12)^(CB495-RULE_START+1),0)</f>
        <v>0.9057308098299159</v>
      </c>
      <c r="CX495">
        <f>IF(AND(CB495&gt;=RULE_START,CC495=1,CM495&lt;0),CB495,9999)</f>
        <v>2031</v>
      </c>
      <c r="CY495">
        <f>IF(AND(CB495&gt;=RULE_START,CC495=1,CN495&lt;0),CB495,9999)</f>
        <v>2031</v>
      </c>
      <c r="CZ495">
        <f>IF(AND(CB495&gt;=RULE_START,CC495=1,CO495&lt;0),CB495,9999)</f>
        <v>9999</v>
      </c>
      <c r="DB495" t="n">
        <v>2031</v>
      </c>
      <c r="DC495">
        <f>IF(DB495&lt;=RULE_START+$DB$38-1,1,0)</f>
        <v>1</v>
      </c>
      <c r="DD495" s="15">
        <f>IF(DB495=2024,G_IDX_2024,IF(DB495=2025,G_IDX_2025,IF(DB495=2026,G_IDX_2026,IF(DB495=2027,G_IDX_2027,$DB$13))))</f>
        <v>0.033</v>
      </c>
      <c r="DE495" s="8">
        <f>$DB$20*(1+G_HI)^(DB495-COST_DATE)</f>
        <v>595.5656950149896</v>
      </c>
      <c r="DF495" s="8">
        <f>DF494*(1+DD495)</f>
        <v>582.5404565111794</v>
      </c>
      <c r="DG495" s="8">
        <f>IF(DB495&lt;RULE_START,DF495,DG494*(1+G_HI))</f>
        <v>603.0385892622857</v>
      </c>
      <c r="DH495" s="8">
        <f>IF(DB495&lt;RULE_START,DF495,IF(DI495=1,R_NF_2024*(1+G_HI)^(DB495-2024),DH494*(1+DD495)))</f>
        <v>630.4039159369619</v>
      </c>
      <c r="DI495">
        <f>IF(AND(DB495&gt;=RULE_START,MOD(DB495-RULE_START,REBASE_YEARS)=0),1,0)</f>
        <v>0</v>
      </c>
      <c r="DJ495" s="8">
        <f>DF495*CAP_SHARE</f>
        <v>28.48467231906417</v>
      </c>
      <c r="DK495" s="8">
        <f>DG495*CAP_SHARE</f>
        <v>29.48697625871636</v>
      </c>
      <c r="DL495" s="8">
        <f>DH495*CAP_SHARE</f>
        <v>30.82506763849908</v>
      </c>
      <c r="DM495" s="8">
        <f>DF495-DJ495-DE495</f>
        <v>-41.50991082287442</v>
      </c>
      <c r="DN495" s="8">
        <f>DG495-DK495-DE495</f>
        <v>-22.014082011420328</v>
      </c>
      <c r="DO495" s="8">
        <f>DH495-DL495-DE495</f>
        <v>4.01315328347323</v>
      </c>
      <c r="DP495" s="8">
        <f>R_NF_2024*(1+G_HI)^(DB495-2024)</f>
        <v>634.7792249075392</v>
      </c>
      <c r="DQ495" s="10">
        <f>1-DF495/DP495</f>
        <v>0.08229438889397933</v>
      </c>
      <c r="DR495" s="10">
        <f>CPI_2023/(IF(DB495-1=2023,CPI_2023,IF(DB495-1=2024,CPI_2024,IF(DB495-1=2025,CPI_2025,CPI_2025*(1+INFL)^(DB495-1-2025)))))</f>
        <v>0.8345922835283481</v>
      </c>
      <c r="DS495" s="8">
        <f>$DB$21*ABS($DB$11)*(DG495-DF495)/DF495</f>
        <v>3508.018694243408</v>
      </c>
      <c r="DT495" s="8">
        <f>$DB$21*ABS($DB$11)*(DH495-DF495)/DF495</f>
        <v>8191.278321570249</v>
      </c>
      <c r="DU495" s="13">
        <f>(DG495-DF495)*MCD_NF_DAYS*DR495-DS495*MCD_SHARE_FREED*R_WAIT_2023</f>
        <v>7418242.237800208</v>
      </c>
      <c r="DV495" s="13">
        <f>(DH495-DF495)*MCD_NF_DAYS*DR495-DT495*MCD_SHARE_FREED*R_WAIT_2023</f>
        <v>17321711.234425183</v>
      </c>
      <c r="DW495" s="10">
        <f>IF(AND(DB495&gt;=RULE_START,DC495=1),1/(1+$DB$12)^(DB495-RULE_START+1),0)</f>
        <v>0.9057308098299159</v>
      </c>
      <c r="DX495">
        <f>IF(AND(DB495&gt;=RULE_START,DC495=1,DM495&lt;0),DB495,9999)</f>
        <v>2031</v>
      </c>
      <c r="DY495">
        <f>IF(AND(DB495&gt;=RULE_START,DC495=1,DN495&lt;0),DB495,9999)</f>
        <v>2031</v>
      </c>
      <c r="DZ495">
        <f>IF(AND(DB495&gt;=RULE_START,DC495=1,DO495&lt;0),DB495,9999)</f>
        <v>9999</v>
      </c>
      <c r="EB495" t="n">
        <v>2031</v>
      </c>
      <c r="EC495">
        <f>IF(EB495&lt;=RULE_START+$EB$38-1,1,0)</f>
        <v>1</v>
      </c>
      <c r="ED495" s="15">
        <f>IF(EB495=2024,G_IDX_2024,IF(EB495=2025,G_IDX_2025,IF(EB495=2026,G_IDX_2026,IF(EB495=2027,G_IDX_2027,$EB$13))))</f>
        <v>0.033</v>
      </c>
      <c r="EE495" s="8">
        <f>$EB$20*(1+G_HI)^(EB495-COST_DATE)</f>
        <v>595.5656950149896</v>
      </c>
      <c r="EF495" s="8">
        <f>EF494*(1+ED495)</f>
        <v>582.5404565111794</v>
      </c>
      <c r="EG495" s="8">
        <f>IF(EB495&lt;RULE_START,EF495,EG494*(1+G_HI))</f>
        <v>603.0385892622857</v>
      </c>
      <c r="EH495" s="8">
        <f>IF(EB495&lt;RULE_START,EF495,IF(EI495=1,R_NF_2024*(1+G_HI)^(EB495-2024),EH494*(1+ED495)))</f>
        <v>630.4039159369619</v>
      </c>
      <c r="EI495">
        <f>IF(AND(EB495&gt;=RULE_START,MOD(EB495-RULE_START,REBASE_YEARS)=0),1,0)</f>
        <v>0</v>
      </c>
      <c r="EJ495" s="8">
        <f>EF495*CAP_SHARE</f>
        <v>28.48467231906417</v>
      </c>
      <c r="EK495" s="8">
        <f>EG495*CAP_SHARE</f>
        <v>29.48697625871636</v>
      </c>
      <c r="EL495" s="8">
        <f>EH495*CAP_SHARE</f>
        <v>30.82506763849908</v>
      </c>
      <c r="EM495" s="8">
        <f>EF495-EJ495-EE495</f>
        <v>-41.50991082287442</v>
      </c>
      <c r="EN495" s="8">
        <f>EG495-EK495-EE495</f>
        <v>-22.014082011420328</v>
      </c>
      <c r="EO495" s="8">
        <f>EH495-EL495-EE495</f>
        <v>4.01315328347323</v>
      </c>
      <c r="EP495" s="8">
        <f>R_NF_2024*(1+G_HI)^(EB495-2024)</f>
        <v>634.7792249075392</v>
      </c>
      <c r="EQ495" s="10">
        <f>1-EF495/EP495</f>
        <v>0.08229438889397933</v>
      </c>
      <c r="ER495" s="10">
        <f>CPI_2023/(IF(EB495-1=2023,CPI_2023,IF(EB495-1=2024,CPI_2024,IF(EB495-1=2025,CPI_2025,CPI_2025*(1+INFL)^(EB495-1-2025)))))</f>
        <v>0.8345922835283481</v>
      </c>
      <c r="ES495" s="8">
        <f>$EB$21*ABS($EB$11)*(EG495-EF495)/EF495</f>
        <v>3508.018694243408</v>
      </c>
      <c r="ET495" s="8">
        <f>$EB$21*ABS($EB$11)*(EH495-EF495)/EF495</f>
        <v>8191.278321570249</v>
      </c>
      <c r="EU495" s="13">
        <f>(EG495-EF495)*MCD_NF_DAYS*ER495-ES495*MCD_SHARE_FREED*R_WAIT_2023</f>
        <v>7418242.237800208</v>
      </c>
      <c r="EV495" s="13">
        <f>(EH495-EF495)*MCD_NF_DAYS*ER495-ET495*MCD_SHARE_FREED*R_WAIT_2023</f>
        <v>17321711.234425183</v>
      </c>
      <c r="EW495" s="10">
        <f>IF(AND(EB495&gt;=RULE_START,EC495=1),1/(1+$EB$12)^(EB495-RULE_START+1),0)</f>
        <v>0.9057308098299159</v>
      </c>
      <c r="EX495">
        <f>IF(AND(EB495&gt;=RULE_START,EC495=1,EM495&lt;0),EB495,9999)</f>
        <v>2031</v>
      </c>
      <c r="EY495">
        <f>IF(AND(EB495&gt;=RULE_START,EC495=1,EN495&lt;0),EB495,9999)</f>
        <v>2031</v>
      </c>
      <c r="EZ495">
        <f>IF(AND(EB495&gt;=RULE_START,EC495=1,EO495&lt;0),EB495,9999)</f>
        <v>9999</v>
      </c>
      <c r="FB495" t="n">
        <v>2031</v>
      </c>
      <c r="FC495">
        <f>IF(FB495&lt;=RULE_START+$FB$38-1,1,0)</f>
        <v>1</v>
      </c>
      <c r="FD495" s="15">
        <f>IF(FB495=2024,G_IDX_2024,IF(FB495=2025,G_IDX_2025,IF(FB495=2026,G_IDX_2026,IF(FB495=2027,G_IDX_2027,$FB$13))))</f>
        <v>0.033</v>
      </c>
      <c r="FE495" s="8">
        <f>$FB$20*(1+G_HI)^(FB495-COST_DATE)</f>
        <v>612.9159042945363</v>
      </c>
      <c r="FF495" s="8">
        <f>FF494*(1+FD495)</f>
        <v>582.5404565111794</v>
      </c>
      <c r="FG495" s="8">
        <f>IF(FB495&lt;RULE_START,FF495,FG494*(1+G_HI))</f>
        <v>603.0385892622857</v>
      </c>
      <c r="FH495" s="8">
        <f>IF(FB495&lt;RULE_START,FF495,IF(FI495=1,R_NF_2024*(1+G_HI)^(FB495-2024),FH494*(1+FD495)))</f>
        <v>630.4039159369619</v>
      </c>
      <c r="FI495">
        <f>IF(AND(FB495&gt;=RULE_START,MOD(FB495-RULE_START,REBASE_YEARS)=0),1,0)</f>
        <v>0</v>
      </c>
      <c r="FJ495" s="8">
        <f>FF495*CAP_SHARE</f>
        <v>28.48467231906417</v>
      </c>
      <c r="FK495" s="8">
        <f>FG495*CAP_SHARE</f>
        <v>29.48697625871636</v>
      </c>
      <c r="FL495" s="8">
        <f>FH495*CAP_SHARE</f>
        <v>30.82506763849908</v>
      </c>
      <c r="FM495" s="8">
        <f>FF495-FJ495-FE495</f>
        <v>-58.86012010242109</v>
      </c>
      <c r="FN495" s="8">
        <f>FG495-FK495-FE495</f>
        <v>-39.364291290967</v>
      </c>
      <c r="FO495" s="8">
        <f>FH495-FL495-FE495</f>
        <v>-13.337055996073445</v>
      </c>
      <c r="FP495" s="8">
        <f>R_NF_2024*(1+G_HI)^(FB495-2024)</f>
        <v>634.7792249075392</v>
      </c>
      <c r="FQ495" s="10">
        <f>1-FF495/FP495</f>
        <v>0.08229438889397933</v>
      </c>
      <c r="FR495" s="10">
        <f>CPI_2023/(IF(FB495-1=2023,CPI_2023,IF(FB495-1=2024,CPI_2024,IF(FB495-1=2025,CPI_2025,CPI_2025*(1+INFL)^(FB495-1-2025)))))</f>
        <v>0.8345922835283481</v>
      </c>
      <c r="FS495" s="8">
        <f>$FB$21*ABS($FB$11)*(FG495-FF495)/FF495</f>
        <v>3508.018694243408</v>
      </c>
      <c r="FT495" s="8">
        <f>$FB$21*ABS($FB$11)*(FH495-FF495)/FF495</f>
        <v>8191.278321570249</v>
      </c>
      <c r="FU495" s="13">
        <f>(FG495-FF495)*MCD_NF_DAYS*FR495-FS495*MCD_SHARE_FREED*R_WAIT_2023</f>
        <v>7418242.237800208</v>
      </c>
      <c r="FV495" s="13">
        <f>(FH495-FF495)*MCD_NF_DAYS*FR495-FT495*MCD_SHARE_FREED*R_WAIT_2023</f>
        <v>17321711.234425183</v>
      </c>
      <c r="FW495" s="10">
        <f>IF(AND(FB495&gt;=RULE_START,FC495=1),1/(1+$FB$12)^(FB495-RULE_START+1),0)</f>
        <v>0.9057308098299159</v>
      </c>
      <c r="FX495">
        <f>IF(AND(FB495&gt;=RULE_START,FC495=1,FM495&lt;0),FB495,9999)</f>
        <v>2031</v>
      </c>
      <c r="FY495">
        <f>IF(AND(FB495&gt;=RULE_START,FC495=1,FN495&lt;0),FB495,9999)</f>
        <v>2031</v>
      </c>
      <c r="FZ495">
        <f>IF(AND(FB495&gt;=RULE_START,FC495=1,FO495&lt;0),FB495,9999)</f>
        <v>2031</v>
      </c>
      <c r="GB495" t="n">
        <v>2031</v>
      </c>
      <c r="GC495">
        <f>IF(GB495&lt;=RULE_START+$GB$38-1,1,0)</f>
        <v>1</v>
      </c>
      <c r="GD495" s="15">
        <f>IF(GB495=2024,G_IDX_2024,IF(GB495=2025,G_IDX_2025,IF(GB495=2026,G_IDX_2026,IF(GB495=2027,G_IDX_2027,$GB$13))))</f>
        <v>0.033</v>
      </c>
      <c r="GE495" s="8">
        <f>$GB$20*(1+G_HI)^(GB495-COST_DATE)</f>
        <v>595.5656950149896</v>
      </c>
      <c r="GF495" s="8">
        <f>GF494*(1+GD495)</f>
        <v>582.5404565111794</v>
      </c>
      <c r="GG495" s="8">
        <f>IF(GB495&lt;RULE_START,GF495,GG494*(1+G_HI))</f>
        <v>603.0385892622857</v>
      </c>
      <c r="GH495" s="8">
        <f>IF(GB495&lt;RULE_START,GF495,IF(GI495=1,R_NF_2024*(1+G_HI)^(GB495-2024),GH494*(1+GD495)))</f>
        <v>630.4039159369619</v>
      </c>
      <c r="GI495">
        <f>IF(AND(GB495&gt;=RULE_START,MOD(GB495-RULE_START,REBASE_YEARS)=0),1,0)</f>
        <v>0</v>
      </c>
      <c r="GJ495" s="8">
        <f>GF495*CAP_SHARE</f>
        <v>28.48467231906417</v>
      </c>
      <c r="GK495" s="8">
        <f>GG495*CAP_SHARE</f>
        <v>29.48697625871636</v>
      </c>
      <c r="GL495" s="8">
        <f>GH495*CAP_SHARE</f>
        <v>30.82506763849908</v>
      </c>
      <c r="GM495" s="8">
        <f>GF495-GJ495-GE495</f>
        <v>-41.50991082287442</v>
      </c>
      <c r="GN495" s="8">
        <f>GG495-GK495-GE495</f>
        <v>-22.014082011420328</v>
      </c>
      <c r="GO495" s="8">
        <f>GH495-GL495-GE495</f>
        <v>4.01315328347323</v>
      </c>
      <c r="GP495" s="8">
        <f>R_NF_2024*(1+G_HI)^(GB495-2024)</f>
        <v>634.7792249075392</v>
      </c>
      <c r="GQ495" s="10">
        <f>1-GF495/GP495</f>
        <v>0.08229438889397933</v>
      </c>
      <c r="GR495" s="10">
        <f>CPI_2023/(IF(GB495-1=2023,CPI_2023,IF(GB495-1=2024,CPI_2024,IF(GB495-1=2025,CPI_2025,CPI_2025*(1+INFL)^(GB495-1-2025)))))</f>
        <v>0.8345922835283481</v>
      </c>
      <c r="GS495" s="8">
        <f>$GB$21*ABS($GB$11)*(GG495-GF495)/GF495</f>
        <v>2648.0278591560154</v>
      </c>
      <c r="GT495" s="8">
        <f>$GB$21*ABS($GB$11)*(GH495-GF495)/GF495</f>
        <v>6183.186319164384</v>
      </c>
      <c r="GU495" s="13">
        <f>(GG495-GF495)*MCD_NF_DAYS*GR495-GS495*MCD_SHARE_FREED*R_WAIT_2023</f>
        <v>7809296.178958457</v>
      </c>
      <c r="GV495" s="13">
        <f>(GH495-GF495)*MCD_NF_DAYS*GR495-GT495*MCD_SHARE_FREED*R_WAIT_2023</f>
        <v>18234828.281386938</v>
      </c>
      <c r="GW495" s="10">
        <f>IF(AND(GB495&gt;=RULE_START,GC495=1),1/(1+$GB$12)^(GB495-RULE_START+1),0)</f>
        <v>0.9057308098299159</v>
      </c>
      <c r="GX495">
        <f>IF(AND(GB495&gt;=RULE_START,GC495=1,GM495&lt;0),GB495,9999)</f>
        <v>2031</v>
      </c>
      <c r="GY495">
        <f>IF(AND(GB495&gt;=RULE_START,GC495=1,GN495&lt;0),GB495,9999)</f>
        <v>2031</v>
      </c>
      <c r="GZ495">
        <f>IF(AND(GB495&gt;=RULE_START,GC495=1,GO495&lt;0),GB495,9999)</f>
        <v>9999</v>
      </c>
      <c r="HB495" t="n">
        <v>2031</v>
      </c>
      <c r="HC495">
        <f>IF(HB495&lt;=RULE_START+$HB$38-1,1,0)</f>
        <v>1</v>
      </c>
      <c r="HD495" s="15">
        <f>IF(HB495=2024,G_IDX_2024,IF(HB495=2025,G_IDX_2025,IF(HB495=2026,G_IDX_2026,IF(HB495=2027,G_IDX_2027,$HB$13))))</f>
        <v>0.033</v>
      </c>
      <c r="HE495" s="8">
        <f>$HB$20*(1+G_HI)^(HB495-COST_DATE)</f>
        <v>595.5656950149896</v>
      </c>
      <c r="HF495" s="8">
        <f>HF494*(1+HD495)</f>
        <v>582.5404565111794</v>
      </c>
      <c r="HG495" s="8">
        <f>IF(HB495&lt;RULE_START,HF495,HG494*(1+G_HI))</f>
        <v>603.0385892622857</v>
      </c>
      <c r="HH495" s="8">
        <f>IF(HB495&lt;RULE_START,HF495,IF(HI495=1,R_NF_2024*(1+G_HI)^(HB495-2024),HH494*(1+HD495)))</f>
        <v>630.4039159369619</v>
      </c>
      <c r="HI495">
        <f>IF(AND(HB495&gt;=RULE_START,MOD(HB495-RULE_START,REBASE_YEARS)=0),1,0)</f>
        <v>0</v>
      </c>
      <c r="HJ495" s="8">
        <f>HF495*CAP_SHARE</f>
        <v>28.48467231906417</v>
      </c>
      <c r="HK495" s="8">
        <f>HG495*CAP_SHARE</f>
        <v>29.48697625871636</v>
      </c>
      <c r="HL495" s="8">
        <f>HH495*CAP_SHARE</f>
        <v>30.82506763849908</v>
      </c>
      <c r="HM495" s="8">
        <f>HF495-HJ495-HE495</f>
        <v>-41.50991082287442</v>
      </c>
      <c r="HN495" s="8">
        <f>HG495-HK495-HE495</f>
        <v>-22.014082011420328</v>
      </c>
      <c r="HO495" s="8">
        <f>HH495-HL495-HE495</f>
        <v>4.01315328347323</v>
      </c>
      <c r="HP495" s="8">
        <f>R_NF_2024*(1+G_HI)^(HB495-2024)</f>
        <v>634.7792249075392</v>
      </c>
      <c r="HQ495" s="10">
        <f>1-HF495/HP495</f>
        <v>0.08229438889397933</v>
      </c>
      <c r="HR495" s="10">
        <f>CPI_2023/(IF(HB495-1=2023,CPI_2023,IF(HB495-1=2024,CPI_2024,IF(HB495-1=2025,CPI_2025,CPI_2025*(1+INFL)^(HB495-1-2025)))))</f>
        <v>0.8345922835283481</v>
      </c>
      <c r="HS495" s="8">
        <f>$HB$21*ABS($HB$11)*(HG495-HF495)/HF495</f>
        <v>3508.018694243408</v>
      </c>
      <c r="HT495" s="8">
        <f>$HB$21*ABS($HB$11)*(HH495-HF495)/HF495</f>
        <v>8191.278321570249</v>
      </c>
      <c r="HU495" s="13">
        <f>(HG495-HF495)*MCD_NF_DAYS*HR495-HS495*MCD_SHARE_FREED*R_WAIT_2023</f>
        <v>7418242.237800208</v>
      </c>
      <c r="HV495" s="13">
        <f>(HH495-HF495)*MCD_NF_DAYS*HR495-HT495*MCD_SHARE_FREED*R_WAIT_2023</f>
        <v>17321711.234425183</v>
      </c>
      <c r="HW495" s="10">
        <f>IF(AND(HB495&gt;=RULE_START,HC495=1),1/(1+$HB$12)^(HB495-RULE_START+1),0)</f>
        <v>0.8626087843841639</v>
      </c>
      <c r="HX495">
        <f>IF(AND(HB495&gt;=RULE_START,HC495=1,HM495&lt;0),HB495,9999)</f>
        <v>2031</v>
      </c>
      <c r="HY495">
        <f>IF(AND(HB495&gt;=RULE_START,HC495=1,HN495&lt;0),HB495,9999)</f>
        <v>2031</v>
      </c>
      <c r="HZ495">
        <f>IF(AND(HB495&gt;=RULE_START,HC495=1,HO495&lt;0),HB495,9999)</f>
        <v>9999</v>
      </c>
      <c r="IB495" t="n">
        <v>2031</v>
      </c>
      <c r="IC495">
        <f>IF(IB495&lt;=RULE_START+$IB$38-1,1,0)</f>
        <v>1</v>
      </c>
      <c r="ID495" s="15">
        <f>IF(IB495=2024,G_IDX_2024,IF(IB495=2025,G_IDX_2025,IF(IB495=2026,G_IDX_2026,IF(IB495=2027,G_IDX_2027,$IB$13))))</f>
        <v>0.033</v>
      </c>
      <c r="IE495" s="8">
        <f>$IB$20*(1+G_HI)^(IB495-COST_DATE)</f>
        <v>595.5656950149896</v>
      </c>
      <c r="IF495" s="8">
        <f>IF494*(1+ID495)</f>
        <v>582.5404565111794</v>
      </c>
      <c r="IG495" s="8">
        <f>IF(IB495&lt;RULE_START,IF495,IG494*(1+G_HI))</f>
        <v>603.0385892622857</v>
      </c>
      <c r="IH495" s="8">
        <f>IF(IB495&lt;RULE_START,IF495,IF(II495=1,R_NF_2024*(1+G_HI)^(IB495-2024),IH494*(1+ID495)))</f>
        <v>630.4039159369619</v>
      </c>
      <c r="II495">
        <f>IF(AND(IB495&gt;=RULE_START,MOD(IB495-RULE_START,REBASE_YEARS)=0),1,0)</f>
        <v>0</v>
      </c>
      <c r="IJ495" s="8">
        <f>IF495*CAP_SHARE</f>
        <v>28.48467231906417</v>
      </c>
      <c r="IK495" s="8">
        <f>IG495*CAP_SHARE</f>
        <v>29.48697625871636</v>
      </c>
      <c r="IL495" s="8">
        <f>IH495*CAP_SHARE</f>
        <v>30.82506763849908</v>
      </c>
      <c r="IM495" s="8">
        <f>IF495-IJ495-IE495</f>
        <v>-41.50991082287442</v>
      </c>
      <c r="IN495" s="8">
        <f>IG495-IK495-IE495</f>
        <v>-22.014082011420328</v>
      </c>
      <c r="IO495" s="8">
        <f>IH495-IL495-IE495</f>
        <v>4.01315328347323</v>
      </c>
      <c r="IP495" s="8">
        <f>R_NF_2024*(1+G_HI)^(IB495-2024)</f>
        <v>634.7792249075392</v>
      </c>
      <c r="IQ495" s="10">
        <f>1-IF495/IP495</f>
        <v>0.08229438889397933</v>
      </c>
      <c r="IR495" s="10">
        <f>CPI_2023/(IF(IB495-1=2023,CPI_2023,IF(IB495-1=2024,CPI_2024,IF(IB495-1=2025,CPI_2025,CPI_2025*(1+INFL)^(IB495-1-2025)))))</f>
        <v>0.8345922835283481</v>
      </c>
      <c r="IS495" s="8">
        <f>$IB$21*ABS($IB$11)*(IG495-IF495)/IF495</f>
        <v>3508.018694243408</v>
      </c>
      <c r="IT495" s="8">
        <f>$IB$21*ABS($IB$11)*(IH495-IF495)/IF495</f>
        <v>8191.278321570249</v>
      </c>
      <c r="IU495" s="13">
        <f>(IG495-IF495)*MCD_NF_DAYS*IR495-IS495*MCD_SHARE_FREED*R_WAIT_2023</f>
        <v>7418242.237800208</v>
      </c>
      <c r="IV495" s="13">
        <f>(IH495-IF495)*MCD_NF_DAYS*IR495-IT495*MCD_SHARE_FREED*R_WAIT_2023</f>
        <v>17321711.234425183</v>
      </c>
      <c r="IW495" s="10">
        <f>IF(AND(IB495&gt;=RULE_START,IC495=1),1/(1+$IB$12)^(IB495-RULE_START+1),0)</f>
        <v>0.7129861794836683</v>
      </c>
      <c r="IX495">
        <f>IF(AND(IB495&gt;=RULE_START,IC495=1,IM495&lt;0),IB495,9999)</f>
        <v>2031</v>
      </c>
      <c r="IY495">
        <f>IF(AND(IB495&gt;=RULE_START,IC495=1,IN495&lt;0),IB495,9999)</f>
        <v>2031</v>
      </c>
      <c r="IZ495">
        <f>IF(AND(IB495&gt;=RULE_START,IC495=1,IO495&lt;0),IB495,9999)</f>
        <v>9999</v>
      </c>
      <c r="JB495" t="n">
        <v>2031</v>
      </c>
      <c r="JC495">
        <f>IF(JB495&lt;=RULE_START+$JB$38-1,1,0)</f>
        <v>1</v>
      </c>
      <c r="JD495" s="15">
        <f>IF(JB495=2024,G_IDX_2024,IF(JB495=2025,G_IDX_2025,IF(JB495=2026,G_IDX_2026,IF(JB495=2027,G_IDX_2027,$JB$13))))</f>
        <v>0.03</v>
      </c>
      <c r="JE495" s="8">
        <f>$JB$20*(1+G_HI)^(JB495-COST_DATE)</f>
        <v>595.5656950149896</v>
      </c>
      <c r="JF495" s="8">
        <f>JF494*(1+JD495)</f>
        <v>575.8027100115326</v>
      </c>
      <c r="JG495" s="8">
        <f>IF(JB495&lt;RULE_START,JF495,JG494*(1+G_HI))</f>
        <v>603.0385892622857</v>
      </c>
      <c r="JH495" s="8">
        <f>IF(JB495&lt;RULE_START,JF495,IF(JI495=1,R_NF_2024*(1+G_HI)^(JB495-2024),JH494*(1+JD495)))</f>
        <v>628.5731204405332</v>
      </c>
      <c r="JI495">
        <f>IF(AND(JB495&gt;=RULE_START,MOD(JB495-RULE_START,REBASE_YEARS)=0),1,0)</f>
        <v>0</v>
      </c>
      <c r="JJ495" s="8">
        <f>JF495*CAP_SHARE</f>
        <v>28.155214512200796</v>
      </c>
      <c r="JK495" s="8">
        <f>JG495*CAP_SHARE</f>
        <v>29.48697625871636</v>
      </c>
      <c r="JL495" s="8">
        <f>JH495*CAP_SHARE</f>
        <v>30.73554662890034</v>
      </c>
      <c r="JM495" s="8">
        <f>JF495-JJ495-JE495</f>
        <v>-47.918199515657875</v>
      </c>
      <c r="JN495" s="8">
        <f>JG495-JK495-JE495</f>
        <v>-22.014082011420328</v>
      </c>
      <c r="JO495" s="8">
        <f>JH495-JL495-JE495</f>
        <v>2.27187879664325</v>
      </c>
      <c r="JP495" s="8">
        <f>R_NF_2024*(1+G_HI)^(JB495-2024)</f>
        <v>634.7792249075392</v>
      </c>
      <c r="JQ495" s="10">
        <f>1-JF495/JP495</f>
        <v>0.09290870365928727</v>
      </c>
      <c r="JR495" s="10">
        <f>CPI_2023/(IF(JB495-1=2023,CPI_2023,IF(JB495-1=2024,CPI_2024,IF(JB495-1=2025,CPI_2025,CPI_2025*(1+INFL)^(JB495-1-2025)))))</f>
        <v>0.8345922835283481</v>
      </c>
      <c r="JS495" s="8">
        <f>$JB$21*ABS($JB$11)*(JG495-JF495)/JF495</f>
        <v>4715.6480576774275</v>
      </c>
      <c r="JT495" s="8">
        <f>$JB$21*ABS($JB$11)*(JH495-JF495)/JF495</f>
        <v>9136.722965735602</v>
      </c>
      <c r="JU495" s="13">
        <f>(JG495-JF495)*MCD_NF_DAYS*JR495-JS495*MCD_SHARE_FREED*R_WAIT_2023</f>
        <v>9831820.969743665</v>
      </c>
      <c r="JV495" s="13">
        <f>(JH495-JF495)*MCD_NF_DAYS*JR495-JT495*MCD_SHARE_FREED*R_WAIT_2023</f>
        <v>19049475.989415042</v>
      </c>
      <c r="JW495" s="10">
        <f>IF(AND(JB495&gt;=RULE_START,JC495=1),1/(1+$JB$12)^(JB495-RULE_START+1),0)</f>
        <v>0.9057308098299159</v>
      </c>
      <c r="JX495">
        <f>IF(AND(JB495&gt;=RULE_START,JC495=1,JM495&lt;0),JB495,9999)</f>
        <v>2031</v>
      </c>
      <c r="JY495">
        <f>IF(AND(JB495&gt;=RULE_START,JC495=1,JN495&lt;0),JB495,9999)</f>
        <v>2031</v>
      </c>
      <c r="JZ495">
        <f>IF(AND(JB495&gt;=RULE_START,JC495=1,JO495&lt;0),JB495,9999)</f>
        <v>9999</v>
      </c>
      <c r="KB495" t="n">
        <v>2031</v>
      </c>
      <c r="KC495">
        <f>IF(KB495&lt;=RULE_START+$KB$38-1,1,0)</f>
        <v>1</v>
      </c>
      <c r="KD495" s="15">
        <f>IF(KB495=2024,G_IDX_2024,IF(KB495=2025,G_IDX_2025,IF(KB495=2026,G_IDX_2026,IF(KB495=2027,G_IDX_2027,$KB$13))))</f>
        <v>0.033</v>
      </c>
      <c r="KE495" s="8">
        <f>$KB$20*(1+G_HI)^(KB495-COST_DATE)</f>
        <v>595.5656950149896</v>
      </c>
      <c r="KF495" s="8">
        <f>KF494*(1+KD495)</f>
        <v>582.5404565111794</v>
      </c>
      <c r="KG495" s="8">
        <f>IF(KB495&lt;RULE_START,KF495,KG494*(1+G_HI))</f>
        <v>603.0385892622857</v>
      </c>
      <c r="KH495" s="8">
        <f>IF(KB495&lt;RULE_START,KF495,IF(KI495=1,R_NF_2024*(1+G_HI)^(KB495-2024),KH494*(1+KD495)))</f>
        <v>630.4039159369619</v>
      </c>
      <c r="KI495">
        <f>IF(AND(KB495&gt;=RULE_START,MOD(KB495-RULE_START,REBASE_YEARS)=0),1,0)</f>
        <v>0</v>
      </c>
      <c r="KJ495" s="8">
        <f>KF495*CAP_SHARE</f>
        <v>28.48467231906417</v>
      </c>
      <c r="KK495" s="8">
        <f>KG495*CAP_SHARE</f>
        <v>29.48697625871636</v>
      </c>
      <c r="KL495" s="8">
        <f>KH495*CAP_SHARE</f>
        <v>30.82506763849908</v>
      </c>
      <c r="KM495" s="8">
        <f>KF495-KJ495-KE495</f>
        <v>-41.50991082287442</v>
      </c>
      <c r="KN495" s="8">
        <f>KG495-KK495-KE495</f>
        <v>-22.014082011420328</v>
      </c>
      <c r="KO495" s="8">
        <f>KH495-KL495-KE495</f>
        <v>4.01315328347323</v>
      </c>
      <c r="KP495" s="8">
        <f>R_NF_2024*(1+G_HI)^(KB495-2024)</f>
        <v>634.7792249075392</v>
      </c>
      <c r="KQ495" s="10">
        <f>1-KF495/KP495</f>
        <v>0.08229438889397933</v>
      </c>
      <c r="KR495" s="10">
        <f>CPI_2023/(IF(KB495-1=2023,CPI_2023,IF(KB495-1=2024,CPI_2024,IF(KB495-1=2025,CPI_2025,CPI_2025*(1+INFL)^(KB495-1-2025)))))</f>
        <v>0.8345922835283481</v>
      </c>
      <c r="KS495" s="8">
        <f>$KB$21*ABS($KB$11)*(KG495-KF495)/KF495</f>
        <v>3508.018694243408</v>
      </c>
      <c r="KT495" s="8">
        <f>$KB$21*ABS($KB$11)*(KH495-KF495)/KF495</f>
        <v>8191.278321570249</v>
      </c>
      <c r="KU495" s="13">
        <f>(KG495-KF495)*MCD_NF_DAYS*KR495-KS495*MCD_SHARE_FREED*R_WAIT_2023</f>
        <v>7418242.237800208</v>
      </c>
      <c r="KV495" s="13">
        <f>(KH495-KF495)*MCD_NF_DAYS*KR495-KT495*MCD_SHARE_FREED*R_WAIT_2023</f>
        <v>17321711.234425183</v>
      </c>
      <c r="KW495" s="10">
        <f>IF(AND(KB495&gt;=RULE_START,KC495=1),1/(1+$KB$12)^(KB495-RULE_START+1),0)</f>
        <v>0.9057308098299159</v>
      </c>
      <c r="KX495">
        <f>IF(AND(KB495&gt;=RULE_START,KC495=1,KM495&lt;0),KB495,9999)</f>
        <v>2031</v>
      </c>
      <c r="KY495">
        <f>IF(AND(KB495&gt;=RULE_START,KC495=1,KN495&lt;0),KB495,9999)</f>
        <v>2031</v>
      </c>
      <c r="KZ495">
        <f>IF(AND(KB495&gt;=RULE_START,KC495=1,KO495&lt;0),KB495,9999)</f>
        <v>9999</v>
      </c>
      <c r="LB495" t="n">
        <v>2031</v>
      </c>
      <c r="LC495">
        <f>IF(LB495&lt;=RULE_START+$LB$38-1,1,0)</f>
        <v>1</v>
      </c>
      <c r="LD495" s="15">
        <f>IF(LB495=2024,G_IDX_2024,IF(LB495=2025,G_IDX_2025,IF(LB495=2026,G_IDX_2026,IF(LB495=2027,G_IDX_2027,$LB$13))))</f>
        <v>0.033</v>
      </c>
      <c r="LE495" s="8">
        <f>$LB$20*(1+G_HI)^(LB495-COST_DATE)</f>
        <v>595.5656950149896</v>
      </c>
      <c r="LF495" s="8">
        <f>LF494*(1+LD495)</f>
        <v>582.5404565111794</v>
      </c>
      <c r="LG495" s="8">
        <f>IF(LB495&lt;RULE_START,LF495,LG494*(1+G_HI))</f>
        <v>603.0385892622857</v>
      </c>
      <c r="LH495" s="8">
        <f>IF(LB495&lt;RULE_START,LF495,IF(LI495=1,R_NF_2024*(1+G_HI)^(LB495-2024),LH494*(1+LD495)))</f>
        <v>630.4039159369619</v>
      </c>
      <c r="LI495">
        <f>IF(AND(LB495&gt;=RULE_START,MOD(LB495-RULE_START,REBASE_YEARS)=0),1,0)</f>
        <v>0</v>
      </c>
      <c r="LJ495" s="8">
        <f>LF495*CAP_SHARE</f>
        <v>28.48467231906417</v>
      </c>
      <c r="LK495" s="8">
        <f>LG495*CAP_SHARE</f>
        <v>29.48697625871636</v>
      </c>
      <c r="LL495" s="8">
        <f>LH495*CAP_SHARE</f>
        <v>30.82506763849908</v>
      </c>
      <c r="LM495" s="8">
        <f>LF495-LJ495-LE495</f>
        <v>-41.50991082287442</v>
      </c>
      <c r="LN495" s="8">
        <f>LG495-LK495-LE495</f>
        <v>-22.014082011420328</v>
      </c>
      <c r="LO495" s="8">
        <f>LH495-LL495-LE495</f>
        <v>4.01315328347323</v>
      </c>
      <c r="LP495" s="8">
        <f>R_NF_2024*(1+G_HI)^(LB495-2024)</f>
        <v>634.7792249075392</v>
      </c>
      <c r="LQ495" s="10">
        <f>1-LF495/LP495</f>
        <v>0.08229438889397933</v>
      </c>
      <c r="LR495" s="10">
        <f>CPI_2023/(IF(LB495-1=2023,CPI_2023,IF(LB495-1=2024,CPI_2024,IF(LB495-1=2025,CPI_2025,CPI_2025*(1+INFL)^(LB495-1-2025)))))</f>
        <v>0.8345922835283481</v>
      </c>
      <c r="LS495" s="8">
        <f>$LB$21*ABS($LB$11)*(LG495-LF495)/LF495</f>
        <v>3508.018694243408</v>
      </c>
      <c r="LT495" s="8">
        <f>$LB$21*ABS($LB$11)*(LH495-LF495)/LF495</f>
        <v>8191.278321570249</v>
      </c>
      <c r="LU495" s="13">
        <f>(LG495-LF495)*MCD_NF_DAYS*LR495-LS495*MCD_SHARE_FREED*R_WAIT_2023</f>
        <v>7418242.237800208</v>
      </c>
      <c r="LV495" s="13">
        <f>(LH495-LF495)*MCD_NF_DAYS*LR495-LT495*MCD_SHARE_FREED*R_WAIT_2023</f>
        <v>17321711.234425183</v>
      </c>
      <c r="LW495" s="10">
        <f>IF(AND(LB495&gt;=RULE_START,LC495=1),1/(1+$LB$12)^(LB495-RULE_START+1),0)</f>
        <v>0.9057308098299159</v>
      </c>
      <c r="LX495">
        <f>IF(AND(LB495&gt;=RULE_START,LC495=1,LM495&lt;0),LB495,9999)</f>
        <v>2031</v>
      </c>
      <c r="LY495">
        <f>IF(AND(LB495&gt;=RULE_START,LC495=1,LN495&lt;0),LB495,9999)</f>
        <v>2031</v>
      </c>
      <c r="LZ495">
        <f>IF(AND(LB495&gt;=RULE_START,LC495=1,LO495&lt;0),LB495,9999)</f>
        <v>9999</v>
      </c>
      <c r="MB495" t="n">
        <v>2031</v>
      </c>
      <c r="MC495">
        <f>IF(MB495&lt;=RULE_START+$MB$38-1,1,0)</f>
        <v>1</v>
      </c>
      <c r="MD495" s="15">
        <f>IF(MB495=2024,G_IDX_2024,IF(MB495=2025,G_IDX_2025,IF(MB495=2026,G_IDX_2026,IF(MB495=2027,G_IDX_2027,$MB$13))))</f>
        <v>0.033</v>
      </c>
      <c r="ME495" s="8">
        <f>$MB$20*(1+G_HI)^(MB495-COST_DATE)</f>
        <v>595.5656950149896</v>
      </c>
      <c r="MF495" s="8">
        <f>MF494*(1+MD495)</f>
        <v>582.5404565111794</v>
      </c>
      <c r="MG495" s="8">
        <f>IF(MB495&lt;RULE_START,MF495,MG494*(1+G_HI))</f>
        <v>603.0385892622857</v>
      </c>
      <c r="MH495" s="8">
        <f>IF(MB495&lt;RULE_START,MF495,IF(MI495=1,R_NF_2024*(1+G_HI)^(MB495-2024),MH494*(1+MD495)))</f>
        <v>630.4039159369619</v>
      </c>
      <c r="MI495">
        <f>IF(AND(MB495&gt;=RULE_START,MOD(MB495-RULE_START,REBASE_YEARS)=0),1,0)</f>
        <v>0</v>
      </c>
      <c r="MJ495" s="8">
        <f>MF495*CAP_SHARE</f>
        <v>28.48467231906417</v>
      </c>
      <c r="MK495" s="8">
        <f>MG495*CAP_SHARE</f>
        <v>29.48697625871636</v>
      </c>
      <c r="ML495" s="8">
        <f>MH495*CAP_SHARE</f>
        <v>30.82506763849908</v>
      </c>
      <c r="MM495" s="8">
        <f>MF495-MJ495-ME495</f>
        <v>-41.50991082287442</v>
      </c>
      <c r="MN495" s="8">
        <f>MG495-MK495-ME495</f>
        <v>-22.014082011420328</v>
      </c>
      <c r="MO495" s="8">
        <f>MH495-ML495-ME495</f>
        <v>4.01315328347323</v>
      </c>
      <c r="MP495" s="8">
        <f>R_NF_2024*(1+G_HI)^(MB495-2024)</f>
        <v>634.7792249075392</v>
      </c>
      <c r="MQ495" s="10">
        <f>1-MF495/MP495</f>
        <v>0.08229438889397933</v>
      </c>
      <c r="MR495" s="10">
        <f>CPI_2023/(IF(MB495-1=2023,CPI_2023,IF(MB495-1=2024,CPI_2024,IF(MB495-1=2025,CPI_2025,CPI_2025*(1+INFL)^(MB495-1-2025)))))</f>
        <v>0.8345922835283481</v>
      </c>
      <c r="MS495" s="8">
        <f>$MB$21*ABS($MB$11)*(MG495-MF495)/MF495</f>
        <v>2569.938096811699</v>
      </c>
      <c r="MT495" s="8">
        <f>$MB$21*ABS($MB$11)*(MH495-MF495)/MF495</f>
        <v>6000.845507105077</v>
      </c>
      <c r="MU495" s="13">
        <f>(MG495-MF495)*MCD_NF_DAYS*MR495-MS495*MCD_SHARE_FREED*R_WAIT_2023</f>
        <v>7844805.0565917315</v>
      </c>
      <c r="MV495" s="13">
        <f>(MH495-MF495)*MCD_NF_DAYS*MR495-MT495*MCD_SHARE_FREED*R_WAIT_2023</f>
        <v>18317742.06404666</v>
      </c>
      <c r="MW495" s="10">
        <f>IF(AND(MB495&gt;=RULE_START,MC495=1),1/(1+$MB$12)^(MB495-RULE_START+1),0)</f>
        <v>0.9057308098299159</v>
      </c>
      <c r="MX495">
        <f>IF(AND(MB495&gt;=RULE_START,MC495=1,MM495&lt;0),MB495,9999)</f>
        <v>2031</v>
      </c>
      <c r="MY495">
        <f>IF(AND(MB495&gt;=RULE_START,MC495=1,MN495&lt;0),MB495,9999)</f>
        <v>2031</v>
      </c>
      <c r="MZ495">
        <f>IF(AND(MB495&gt;=RULE_START,MC495=1,MO495&lt;0),MB495,9999)</f>
        <v>9999</v>
      </c>
      <c r="NB495" t="n">
        <v>2031</v>
      </c>
      <c r="NC495">
        <f>IF(NB495&lt;=RULE_START+$NB$38-1,1,0)</f>
        <v>1</v>
      </c>
      <c r="ND495" s="15">
        <f>IF(NB495=2024,G_IDX_2024,IF(NB495=2025,G_IDX_2025,IF(NB495=2026,G_IDX_2026,IF(NB495=2027,G_IDX_2027,$NB$13))))</f>
        <v>0.033</v>
      </c>
      <c r="NE495" s="8">
        <f>$NB$20*(1+G_HI)^(NB495-COST_DATE)</f>
        <v>595.5656950149896</v>
      </c>
      <c r="NF495" s="8">
        <f>NF494*(1+ND495)</f>
        <v>582.5404565111794</v>
      </c>
      <c r="NG495" s="8">
        <f>IF(NB495&lt;RULE_START,NF495,NG494*(1+G_HI))</f>
        <v>603.0385892622857</v>
      </c>
      <c r="NH495" s="8">
        <f>IF(NB495&lt;RULE_START,NF495,IF(NI495=1,R_NF_2024*(1+G_HI)^(NB495-2024),NH494*(1+ND495)))</f>
        <v>630.4039159369619</v>
      </c>
      <c r="NI495">
        <f>IF(AND(NB495&gt;=RULE_START,MOD(NB495-RULE_START,REBASE_YEARS)=0),1,0)</f>
        <v>0</v>
      </c>
      <c r="NJ495" s="8">
        <f>NF495*CAP_SHARE</f>
        <v>28.48467231906417</v>
      </c>
      <c r="NK495" s="8">
        <f>NG495*CAP_SHARE</f>
        <v>29.48697625871636</v>
      </c>
      <c r="NL495" s="8">
        <f>NH495*CAP_SHARE</f>
        <v>30.82506763849908</v>
      </c>
      <c r="NM495" s="8">
        <f>NF495-NJ495-NE495</f>
        <v>-41.50991082287442</v>
      </c>
      <c r="NN495" s="8">
        <f>NG495-NK495-NE495</f>
        <v>-22.014082011420328</v>
      </c>
      <c r="NO495" s="8">
        <f>NH495-NL495-NE495</f>
        <v>4.01315328347323</v>
      </c>
      <c r="NP495" s="8">
        <f>R_NF_2024*(1+G_HI)^(NB495-2024)</f>
        <v>634.7792249075392</v>
      </c>
      <c r="NQ495" s="10">
        <f>1-NF495/NP495</f>
        <v>0.08229438889397933</v>
      </c>
      <c r="NR495" s="10">
        <f>CPI_2023/(IF(NB495-1=2023,CPI_2023,IF(NB495-1=2024,CPI_2024,IF(NB495-1=2025,CPI_2025,CPI_2025*(1+INFL)^(NB495-1-2025)))))</f>
        <v>0.8345922835283481</v>
      </c>
      <c r="NS495" s="8">
        <f>$NB$21*ABS($NB$11)*(NG495-NF495)/NF495</f>
        <v>3508.018694243408</v>
      </c>
      <c r="NT495" s="8">
        <f>$NB$21*ABS($NB$11)*(NH495-NF495)/NF495</f>
        <v>8191.278321570249</v>
      </c>
      <c r="NU495" s="13">
        <f>(NG495-NF495)*MCD_NF_DAYS*NR495-NS495*MCD_SHARE_FREED*R_WAIT_2023</f>
        <v>7418242.237800208</v>
      </c>
      <c r="NV495" s="13">
        <f>(NH495-NF495)*MCD_NF_DAYS*NR495-NT495*MCD_SHARE_FREED*R_WAIT_2023</f>
        <v>17321711.234425183</v>
      </c>
      <c r="NW495" s="10">
        <f>IF(AND(NB495&gt;=RULE_START,NC495=1),1/(1+$NB$12)^(NB495-RULE_START+1),0)</f>
        <v>0.9057308098299159</v>
      </c>
      <c r="NX495">
        <f>IF(AND(NB495&gt;=RULE_START,NC495=1,NM495&lt;0),NB495,9999)</f>
        <v>2031</v>
      </c>
      <c r="NY495">
        <f>IF(AND(NB495&gt;=RULE_START,NC495=1,NN495&lt;0),NB495,9999)</f>
        <v>2031</v>
      </c>
      <c r="NZ495">
        <f>IF(AND(NB495&gt;=RULE_START,NC495=1,NO495&lt;0),NB495,9999)</f>
        <v>9999</v>
      </c>
      <c r="OB495" t="n">
        <v>2031</v>
      </c>
      <c r="OC495">
        <f>IF(OB495&lt;=RULE_START+$OB$38-1,1,0)</f>
        <v>1</v>
      </c>
      <c r="OD495" s="15">
        <f>IF(OB495=2024,G_IDX_2024,IF(OB495=2025,G_IDX_2025,IF(OB495=2026,G_IDX_2026,IF(OB495=2027,G_IDX_2027,$OB$13))))</f>
        <v>0.033</v>
      </c>
      <c r="OE495" s="8">
        <f>$OB$20*(1+G_HI)^(OB495-COST_DATE)</f>
        <v>595.5656950149896</v>
      </c>
      <c r="OF495" s="8">
        <f>OF494*(1+OD495)</f>
        <v>582.5404565111794</v>
      </c>
      <c r="OG495" s="8">
        <f>IF(OB495&lt;RULE_START,OF495,OG494*(1+G_HI))</f>
        <v>603.0385892622857</v>
      </c>
      <c r="OH495" s="8">
        <f>IF(OB495&lt;RULE_START,OF495,IF(OI495=1,R_NF_2024*(1+G_HI)^(OB495-2024),OH494*(1+OD495)))</f>
        <v>630.4039159369619</v>
      </c>
      <c r="OI495">
        <f>IF(AND(OB495&gt;=RULE_START,MOD(OB495-RULE_START,REBASE_YEARS)=0),1,0)</f>
        <v>0</v>
      </c>
      <c r="OJ495" s="8">
        <f>OF495*CAP_SHARE</f>
        <v>28.48467231906417</v>
      </c>
      <c r="OK495" s="8">
        <f>OG495*CAP_SHARE</f>
        <v>29.48697625871636</v>
      </c>
      <c r="OL495" s="8">
        <f>OH495*CAP_SHARE</f>
        <v>30.82506763849908</v>
      </c>
      <c r="OM495" s="8">
        <f>OF495-OJ495-OE495</f>
        <v>-41.50991082287442</v>
      </c>
      <c r="ON495" s="8">
        <f>OG495-OK495-OE495</f>
        <v>-22.014082011420328</v>
      </c>
      <c r="OO495" s="8">
        <f>OH495-OL495-OE495</f>
        <v>4.01315328347323</v>
      </c>
      <c r="OP495" s="8">
        <f>R_NF_2024*(1+G_HI)^(OB495-2024)</f>
        <v>634.7792249075392</v>
      </c>
      <c r="OQ495" s="10">
        <f>1-OF495/OP495</f>
        <v>0.08229438889397933</v>
      </c>
      <c r="OR495" s="10">
        <f>CPI_2023/(IF(OB495-1=2023,CPI_2023,IF(OB495-1=2024,CPI_2024,IF(OB495-1=2025,CPI_2025,CPI_2025*(1+INFL)^(OB495-1-2025)))))</f>
        <v>0.8345922835283481</v>
      </c>
      <c r="OS495" s="8">
        <f>$OB$21*ABS($OB$11)*(OG495-OF495)/OF495</f>
        <v>3508.018694243408</v>
      </c>
      <c r="OT495" s="8">
        <f>$OB$21*ABS($OB$11)*(OH495-OF495)/OF495</f>
        <v>8191.278321570249</v>
      </c>
      <c r="OU495" s="13">
        <f>(OG495-OF495)*MCD_NF_DAYS*OR495-OS495*MCD_SHARE_FREED*R_WAIT_2023</f>
        <v>7418242.237800208</v>
      </c>
      <c r="OV495" s="13">
        <f>(OH495-OF495)*MCD_NF_DAYS*OR495-OT495*MCD_SHARE_FREED*R_WAIT_2023</f>
        <v>17321711.234425183</v>
      </c>
      <c r="OW495" s="10">
        <f>IF(AND(OB495&gt;=RULE_START,OC495=1),1/(1+$OB$12)^(OB495-RULE_START+1),0)</f>
        <v>0.9057308098299159</v>
      </c>
      <c r="OX495">
        <f>IF(AND(OB495&gt;=RULE_START,OC495=1,OM495&lt;0),OB495,9999)</f>
        <v>2031</v>
      </c>
      <c r="OY495">
        <f>IF(AND(OB495&gt;=RULE_START,OC495=1,ON495&lt;0),OB495,9999)</f>
        <v>2031</v>
      </c>
      <c r="OZ495">
        <f>IF(AND(OB495&gt;=RULE_START,OC495=1,OO495&lt;0),OB495,9999)</f>
        <v>9999</v>
      </c>
    </row>
    <row r="496">
      <c r="B496" t="n">
        <v>2032</v>
      </c>
      <c r="C496">
        <f>IF(B496&lt;=RULE_START+$B$38-1,1,0)</f>
        <v>1</v>
      </c>
      <c r="D496" s="15">
        <f>IF(B496=2024,G_IDX_2024,IF(B496=2025,G_IDX_2025,IF(B496=2026,G_IDX_2026,IF(B496=2027,G_IDX_2027,$B$13))))</f>
        <v>0.033</v>
      </c>
      <c r="E496" s="8">
        <f>$B$20*(1+G_HI)^(B496-COST_DATE)</f>
        <v>619.4892837576692</v>
      </c>
      <c r="F496" s="8">
        <f>F495*(1+D496)</f>
        <v>601.7642915760483</v>
      </c>
      <c r="G496" s="8">
        <f>IF(B496&lt;RULE_START,F496,G495*(1+G_HI))</f>
        <v>627.262360587989</v>
      </c>
      <c r="H496" s="8">
        <f>IF(B496&lt;RULE_START,F496,IF(I496=1,R_NF_2024*(1+G_HI)^(B496-2024),H495*(1+D496)))</f>
        <v>651.2072451628816</v>
      </c>
      <c r="I496">
        <f>IF(AND(B496&gt;=RULE_START,MOD(B496-RULE_START,REBASE_YEARS)=0),1,0)</f>
        <v>0</v>
      </c>
      <c r="J496" s="8">
        <f>F496*CAP_SHARE</f>
        <v>29.42466650559329</v>
      </c>
      <c r="K496" s="8">
        <f>G496*CAP_SHARE</f>
        <v>30.671453973237735</v>
      </c>
      <c r="L496" s="8">
        <f>H496*CAP_SHARE</f>
        <v>31.842294870569546</v>
      </c>
      <c r="M496" s="8">
        <f>F496-J496-E496</f>
        <v>-47.14965868721424</v>
      </c>
      <c r="N496" s="8">
        <f>G496-K496-E496</f>
        <v>-22.89837714291798</v>
      </c>
      <c r="O496" s="8">
        <f>H496-L496-E496</f>
        <v>-0.12433346535715373</v>
      </c>
      <c r="P496" s="8">
        <f>R_NF_2024*(1+G_HI)^(B496-2024)</f>
        <v>660.2780023660071</v>
      </c>
      <c r="Q496" s="10">
        <f>1-F496/P496</f>
        <v>0.088619809504911</v>
      </c>
      <c r="R496" s="10">
        <f>CPI_2023/(IF(B496-1=2023,CPI_2023,IF(B496-1=2024,CPI_2024,IF(B496-1=2025,CPI_2025,CPI_2025*(1+INFL)^(B496-1-2025)))))</f>
        <v>0.8159877625423819</v>
      </c>
      <c r="S496" s="8">
        <f>$B$21*ABS($B$11)*(G496-F496)/F496</f>
        <v>4224.298202019862</v>
      </c>
      <c r="T496" s="8">
        <f>$B$21*ABS($B$11)*(H496-F496)/F496</f>
        <v>8191.27832157024</v>
      </c>
      <c r="U496" s="13">
        <f>(G496-F496)*MCD_NF_DAYS*R496-S496*MCD_SHARE_FREED*R_WAIT_2023</f>
        <v>9041165.6361057</v>
      </c>
      <c r="V496" s="13">
        <f>(H496-F496)*MCD_NF_DAYS*R496-T496*MCD_SHARE_FREED*R_WAIT_2023</f>
        <v>17531599.459845666</v>
      </c>
      <c r="W496" s="10">
        <f>IF(AND(B496&gt;=RULE_START,C496=1),1/(1+$B$12)^(B496-RULE_START+1),0)</f>
        <v>0.887971382186192</v>
      </c>
      <c r="X496">
        <f>IF(AND(B496&gt;=RULE_START,C496=1,M496&lt;0),B496,9999)</f>
        <v>2032</v>
      </c>
      <c r="Y496">
        <f>IF(AND(B496&gt;=RULE_START,C496=1,N496&lt;0),B496,9999)</f>
        <v>2032</v>
      </c>
      <c r="Z496">
        <f>IF(AND(B496&gt;=RULE_START,C496=1,O496&lt;0),B496,9999)</f>
        <v>2032</v>
      </c>
      <c r="AB496" t="n">
        <v>2032</v>
      </c>
      <c r="AC496">
        <f>IF(AB496&lt;=RULE_START+$AB$38-1,1,0)</f>
        <v>1</v>
      </c>
      <c r="AD496" s="15">
        <f>IF(AB496=2024,G_IDX_2024,IF(AB496=2025,G_IDX_2025,IF(AB496=2026,G_IDX_2026,IF(AB496=2027,G_IDX_2027,$AB$13))))</f>
        <v>0.033</v>
      </c>
      <c r="AE496" s="8">
        <f>$AB$20*(1+G_HI)^(AB496-COST_DATE)</f>
        <v>619.4892837576692</v>
      </c>
      <c r="AF496" s="8">
        <f>AF495*(1+AD496)</f>
        <v>601.7642915760483</v>
      </c>
      <c r="AG496" s="8">
        <f>IF(AB496&lt;RULE_START,AF496,AG495*(1+G_HI))</f>
        <v>627.262360587989</v>
      </c>
      <c r="AH496" s="8">
        <f>IF(AB496&lt;RULE_START,AF496,IF(AI496=1,R_NF_2024*(1+G_HI)^(AB496-2024),AH495*(1+AD496)))</f>
        <v>651.2072451628816</v>
      </c>
      <c r="AI496">
        <f>IF(AND(AB496&gt;=RULE_START,MOD(AB496-RULE_START,REBASE_YEARS)=0),1,0)</f>
        <v>0</v>
      </c>
      <c r="AJ496" s="8">
        <f>AF496*CAP_SHARE</f>
        <v>29.42466650559329</v>
      </c>
      <c r="AK496" s="8">
        <f>AG496*CAP_SHARE</f>
        <v>30.671453973237735</v>
      </c>
      <c r="AL496" s="8">
        <f>AH496*CAP_SHARE</f>
        <v>31.842294870569546</v>
      </c>
      <c r="AM496" s="8">
        <f>AF496-AJ496-AE496</f>
        <v>-47.14965868721424</v>
      </c>
      <c r="AN496" s="8">
        <f>AG496-AK496-AE496</f>
        <v>-22.89837714291798</v>
      </c>
      <c r="AO496" s="8">
        <f>AH496-AL496-AE496</f>
        <v>-0.12433346535715373</v>
      </c>
      <c r="AP496" s="8">
        <f>R_NF_2024*(1+G_HI)^(AB496-2024)</f>
        <v>660.2780023660071</v>
      </c>
      <c r="AQ496" s="10">
        <f>1-AF496/AP496</f>
        <v>0.088619809504911</v>
      </c>
      <c r="AR496" s="10">
        <f>CPI_2023/(IF(AB496-1=2023,CPI_2023,IF(AB496-1=2024,CPI_2024,IF(AB496-1=2025,CPI_2025,CPI_2025*(1+INFL)^(AB496-1-2025)))))</f>
        <v>0.8159877625423819</v>
      </c>
      <c r="AS496" s="8">
        <f>$AB$21*ABS($AB$11)*(AG496-AF496)/AF496</f>
        <v>4224.298202019862</v>
      </c>
      <c r="AT496" s="8">
        <f>$AB$21*ABS($AB$11)*(AH496-AF496)/AF496</f>
        <v>8191.27832157024</v>
      </c>
      <c r="AU496" s="13">
        <f>(AG496-AF496)*MCD_NF_DAYS*AR496-AS496*MCD_SHARE_FREED*R_WAIT_2023</f>
        <v>9041165.6361057</v>
      </c>
      <c r="AV496" s="13">
        <f>(AH496-AF496)*MCD_NF_DAYS*AR496-AT496*MCD_SHARE_FREED*R_WAIT_2023</f>
        <v>17531599.459845666</v>
      </c>
      <c r="AW496" s="10">
        <f>IF(AND(AB496&gt;=RULE_START,AC496=1),1/(1+$AB$12)^(AB496-RULE_START+1),0)</f>
        <v>0.887971382186192</v>
      </c>
      <c r="AX496">
        <f>IF(AND(AB496&gt;=RULE_START,AC496=1,AM496&lt;0),AB496,9999)</f>
        <v>2032</v>
      </c>
      <c r="AY496">
        <f>IF(AND(AB496&gt;=RULE_START,AC496=1,AN496&lt;0),AB496,9999)</f>
        <v>2032</v>
      </c>
      <c r="AZ496">
        <f>IF(AND(AB496&gt;=RULE_START,AC496=1,AO496&lt;0),AB496,9999)</f>
        <v>2032</v>
      </c>
      <c r="BB496" t="n">
        <v>2032</v>
      </c>
      <c r="BC496">
        <f>IF(BB496&lt;=RULE_START+$BB$38-1,1,0)</f>
        <v>1</v>
      </c>
      <c r="BD496" s="15">
        <f>IF(BB496=2024,G_IDX_2024,IF(BB496=2025,G_IDX_2025,IF(BB496=2026,G_IDX_2026,IF(BB496=2027,G_IDX_2027,$BB$13))))</f>
        <v>0.033</v>
      </c>
      <c r="BE496" s="8">
        <f>$BB$20*(1+G_HI)^(BB496-COST_DATE)</f>
        <v>619.4892837576692</v>
      </c>
      <c r="BF496" s="8">
        <f>BF495*(1+BD496)</f>
        <v>601.7642915760483</v>
      </c>
      <c r="BG496" s="8">
        <f>IF(BB496&lt;RULE_START,BF496,BG495*(1+G_HI))</f>
        <v>627.262360587989</v>
      </c>
      <c r="BH496" s="8">
        <f>IF(BB496&lt;RULE_START,BF496,IF(BI496=1,R_NF_2024*(1+G_HI)^(BB496-2024),BH495*(1+BD496)))</f>
        <v>651.2072451628816</v>
      </c>
      <c r="BI496">
        <f>IF(AND(BB496&gt;=RULE_START,MOD(BB496-RULE_START,REBASE_YEARS)=0),1,0)</f>
        <v>0</v>
      </c>
      <c r="BJ496" s="8">
        <f>BF496*CAP_SHARE</f>
        <v>29.42466650559329</v>
      </c>
      <c r="BK496" s="8">
        <f>BG496*CAP_SHARE</f>
        <v>30.671453973237735</v>
      </c>
      <c r="BL496" s="8">
        <f>BH496*CAP_SHARE</f>
        <v>31.842294870569546</v>
      </c>
      <c r="BM496" s="8">
        <f>BF496-BJ496-BE496</f>
        <v>-47.14965868721424</v>
      </c>
      <c r="BN496" s="8">
        <f>BG496-BK496-BE496</f>
        <v>-22.89837714291798</v>
      </c>
      <c r="BO496" s="8">
        <f>BH496-BL496-BE496</f>
        <v>-0.12433346535715373</v>
      </c>
      <c r="BP496" s="8">
        <f>R_NF_2024*(1+G_HI)^(BB496-2024)</f>
        <v>660.2780023660071</v>
      </c>
      <c r="BQ496" s="10">
        <f>1-BF496/BP496</f>
        <v>0.088619809504911</v>
      </c>
      <c r="BR496" s="10">
        <f>CPI_2023/(IF(BB496-1=2023,CPI_2023,IF(BB496-1=2024,CPI_2024,IF(BB496-1=2025,CPI_2025,CPI_2025*(1+INFL)^(BB496-1-2025)))))</f>
        <v>0.8159877625423819</v>
      </c>
      <c r="BS496" s="8">
        <f>$BB$21*ABS($BB$11)*(BG496-BF496)/BF496</f>
        <v>4224.298202019862</v>
      </c>
      <c r="BT496" s="8">
        <f>$BB$21*ABS($BB$11)*(BH496-BF496)/BF496</f>
        <v>8191.27832157024</v>
      </c>
      <c r="BU496" s="13">
        <f>(BG496-BF496)*MCD_NF_DAYS*BR496-BS496*MCD_SHARE_FREED*R_WAIT_2023</f>
        <v>9041165.6361057</v>
      </c>
      <c r="BV496" s="13">
        <f>(BH496-BF496)*MCD_NF_DAYS*BR496-BT496*MCD_SHARE_FREED*R_WAIT_2023</f>
        <v>17531599.459845666</v>
      </c>
      <c r="BW496" s="10">
        <f>IF(AND(BB496&gt;=RULE_START,BC496=1),1/(1+$BB$12)^(BB496-RULE_START+1),0)</f>
        <v>0.887971382186192</v>
      </c>
      <c r="BX496">
        <f>IF(AND(BB496&gt;=RULE_START,BC496=1,BM496&lt;0),BB496,9999)</f>
        <v>2032</v>
      </c>
      <c r="BY496">
        <f>IF(AND(BB496&gt;=RULE_START,BC496=1,BN496&lt;0),BB496,9999)</f>
        <v>2032</v>
      </c>
      <c r="BZ496">
        <f>IF(AND(BB496&gt;=RULE_START,BC496=1,BO496&lt;0),BB496,9999)</f>
        <v>2032</v>
      </c>
      <c r="CB496" t="n">
        <v>2032</v>
      </c>
      <c r="CC496">
        <f>IF(CB496&lt;=RULE_START+$CB$38-1,1,0)</f>
        <v>1</v>
      </c>
      <c r="CD496" s="15">
        <f>IF(CB496=2024,G_IDX_2024,IF(CB496=2025,G_IDX_2025,IF(CB496=2026,G_IDX_2026,IF(CB496=2027,G_IDX_2027,$CB$13))))</f>
        <v>0.033</v>
      </c>
      <c r="CE496" s="8">
        <f>$CB$20*(1+G_HI)^(CB496-COST_DATE)</f>
        <v>619.4892837576692</v>
      </c>
      <c r="CF496" s="8">
        <f>CF495*(1+CD496)</f>
        <v>601.7642915760483</v>
      </c>
      <c r="CG496" s="8">
        <f>IF(CB496&lt;RULE_START,CF496,CG495*(1+G_HI))</f>
        <v>627.262360587989</v>
      </c>
      <c r="CH496" s="8">
        <f>IF(CB496&lt;RULE_START,CF496,IF(CI496=1,R_NF_2024*(1+G_HI)^(CB496-2024),CH495*(1+CD496)))</f>
        <v>651.2072451628816</v>
      </c>
      <c r="CI496">
        <f>IF(AND(CB496&gt;=RULE_START,MOD(CB496-RULE_START,REBASE_YEARS)=0),1,0)</f>
        <v>0</v>
      </c>
      <c r="CJ496" s="8">
        <f>CF496*CAP_SHARE</f>
        <v>29.42466650559329</v>
      </c>
      <c r="CK496" s="8">
        <f>CG496*CAP_SHARE</f>
        <v>30.671453973237735</v>
      </c>
      <c r="CL496" s="8">
        <f>CH496*CAP_SHARE</f>
        <v>31.842294870569546</v>
      </c>
      <c r="CM496" s="8">
        <f>CF496-CJ496-CE496</f>
        <v>-47.14965868721424</v>
      </c>
      <c r="CN496" s="8">
        <f>CG496-CK496-CE496</f>
        <v>-22.89837714291798</v>
      </c>
      <c r="CO496" s="8">
        <f>CH496-CL496-CE496</f>
        <v>-0.12433346535715373</v>
      </c>
      <c r="CP496" s="8">
        <f>R_NF_2024*(1+G_HI)^(CB496-2024)</f>
        <v>660.2780023660071</v>
      </c>
      <c r="CQ496" s="10">
        <f>1-CF496/CP496</f>
        <v>0.088619809504911</v>
      </c>
      <c r="CR496" s="10">
        <f>CPI_2023/(IF(CB496-1=2023,CPI_2023,IF(CB496-1=2024,CPI_2024,IF(CB496-1=2025,CPI_2025,CPI_2025*(1+INFL)^(CB496-1-2025)))))</f>
        <v>0.8159877625423819</v>
      </c>
      <c r="CS496" s="8">
        <f>$CB$21*ABS($CB$11)*(CG496-CF496)/CF496</f>
        <v>4224.298202019862</v>
      </c>
      <c r="CT496" s="8">
        <f>$CB$21*ABS($CB$11)*(CH496-CF496)/CF496</f>
        <v>8191.27832157024</v>
      </c>
      <c r="CU496" s="13">
        <f>(CG496-CF496)*MCD_NF_DAYS*CR496-CS496*MCD_SHARE_FREED*R_WAIT_2023</f>
        <v>9041165.6361057</v>
      </c>
      <c r="CV496" s="13">
        <f>(CH496-CF496)*MCD_NF_DAYS*CR496-CT496*MCD_SHARE_FREED*R_WAIT_2023</f>
        <v>17531599.459845666</v>
      </c>
      <c r="CW496" s="10">
        <f>IF(AND(CB496&gt;=RULE_START,CC496=1),1/(1+$CB$12)^(CB496-RULE_START+1),0)</f>
        <v>0.887971382186192</v>
      </c>
      <c r="CX496">
        <f>IF(AND(CB496&gt;=RULE_START,CC496=1,CM496&lt;0),CB496,9999)</f>
        <v>2032</v>
      </c>
      <c r="CY496">
        <f>IF(AND(CB496&gt;=RULE_START,CC496=1,CN496&lt;0),CB496,9999)</f>
        <v>2032</v>
      </c>
      <c r="CZ496">
        <f>IF(AND(CB496&gt;=RULE_START,CC496=1,CO496&lt;0),CB496,9999)</f>
        <v>2032</v>
      </c>
      <c r="DB496" t="n">
        <v>2032</v>
      </c>
      <c r="DC496">
        <f>IF(DB496&lt;=RULE_START+$DB$38-1,1,0)</f>
        <v>1</v>
      </c>
      <c r="DD496" s="15">
        <f>IF(DB496=2024,G_IDX_2024,IF(DB496=2025,G_IDX_2025,IF(DB496=2026,G_IDX_2026,IF(DB496=2027,G_IDX_2027,$DB$13))))</f>
        <v>0.033</v>
      </c>
      <c r="DE496" s="8">
        <f>$DB$20*(1+G_HI)^(DB496-COST_DATE)</f>
        <v>619.4892837576692</v>
      </c>
      <c r="DF496" s="8">
        <f>DF495*(1+DD496)</f>
        <v>601.7642915760483</v>
      </c>
      <c r="DG496" s="8">
        <f>IF(DB496&lt;RULE_START,DF496,DG495*(1+G_HI))</f>
        <v>627.262360587989</v>
      </c>
      <c r="DH496" s="8">
        <f>IF(DB496&lt;RULE_START,DF496,IF(DI496=1,R_NF_2024*(1+G_HI)^(DB496-2024),DH495*(1+DD496)))</f>
        <v>651.2072451628816</v>
      </c>
      <c r="DI496">
        <f>IF(AND(DB496&gt;=RULE_START,MOD(DB496-RULE_START,REBASE_YEARS)=0),1,0)</f>
        <v>0</v>
      </c>
      <c r="DJ496" s="8">
        <f>DF496*CAP_SHARE</f>
        <v>29.42466650559329</v>
      </c>
      <c r="DK496" s="8">
        <f>DG496*CAP_SHARE</f>
        <v>30.671453973237735</v>
      </c>
      <c r="DL496" s="8">
        <f>DH496*CAP_SHARE</f>
        <v>31.842294870569546</v>
      </c>
      <c r="DM496" s="8">
        <f>DF496-DJ496-DE496</f>
        <v>-47.14965868721424</v>
      </c>
      <c r="DN496" s="8">
        <f>DG496-DK496-DE496</f>
        <v>-22.89837714291798</v>
      </c>
      <c r="DO496" s="8">
        <f>DH496-DL496-DE496</f>
        <v>-0.12433346535715373</v>
      </c>
      <c r="DP496" s="8">
        <f>R_NF_2024*(1+G_HI)^(DB496-2024)</f>
        <v>660.2780023660071</v>
      </c>
      <c r="DQ496" s="10">
        <f>1-DF496/DP496</f>
        <v>0.088619809504911</v>
      </c>
      <c r="DR496" s="10">
        <f>CPI_2023/(IF(DB496-1=2023,CPI_2023,IF(DB496-1=2024,CPI_2024,IF(DB496-1=2025,CPI_2025,CPI_2025*(1+INFL)^(DB496-1-2025)))))</f>
        <v>0.8159877625423819</v>
      </c>
      <c r="DS496" s="8">
        <f>$DB$21*ABS($DB$11)*(DG496-DF496)/DF496</f>
        <v>4224.298202019862</v>
      </c>
      <c r="DT496" s="8">
        <f>$DB$21*ABS($DB$11)*(DH496-DF496)/DF496</f>
        <v>8191.27832157024</v>
      </c>
      <c r="DU496" s="13">
        <f>(DG496-DF496)*MCD_NF_DAYS*DR496-DS496*MCD_SHARE_FREED*R_WAIT_2023</f>
        <v>9041165.6361057</v>
      </c>
      <c r="DV496" s="13">
        <f>(DH496-DF496)*MCD_NF_DAYS*DR496-DT496*MCD_SHARE_FREED*R_WAIT_2023</f>
        <v>17531599.459845666</v>
      </c>
      <c r="DW496" s="10">
        <f>IF(AND(DB496&gt;=RULE_START,DC496=1),1/(1+$DB$12)^(DB496-RULE_START+1),0)</f>
        <v>0.887971382186192</v>
      </c>
      <c r="DX496">
        <f>IF(AND(DB496&gt;=RULE_START,DC496=1,DM496&lt;0),DB496,9999)</f>
        <v>2032</v>
      </c>
      <c r="DY496">
        <f>IF(AND(DB496&gt;=RULE_START,DC496=1,DN496&lt;0),DB496,9999)</f>
        <v>2032</v>
      </c>
      <c r="DZ496">
        <f>IF(AND(DB496&gt;=RULE_START,DC496=1,DO496&lt;0),DB496,9999)</f>
        <v>2032</v>
      </c>
      <c r="EB496" t="n">
        <v>2032</v>
      </c>
      <c r="EC496">
        <f>IF(EB496&lt;=RULE_START+$EB$38-1,1,0)</f>
        <v>1</v>
      </c>
      <c r="ED496" s="15">
        <f>IF(EB496=2024,G_IDX_2024,IF(EB496=2025,G_IDX_2025,IF(EB496=2026,G_IDX_2026,IF(EB496=2027,G_IDX_2027,$EB$13))))</f>
        <v>0.033</v>
      </c>
      <c r="EE496" s="8">
        <f>$EB$20*(1+G_HI)^(EB496-COST_DATE)</f>
        <v>619.4892837576692</v>
      </c>
      <c r="EF496" s="8">
        <f>EF495*(1+ED496)</f>
        <v>601.7642915760483</v>
      </c>
      <c r="EG496" s="8">
        <f>IF(EB496&lt;RULE_START,EF496,EG495*(1+G_HI))</f>
        <v>627.262360587989</v>
      </c>
      <c r="EH496" s="8">
        <f>IF(EB496&lt;RULE_START,EF496,IF(EI496=1,R_NF_2024*(1+G_HI)^(EB496-2024),EH495*(1+ED496)))</f>
        <v>651.2072451628816</v>
      </c>
      <c r="EI496">
        <f>IF(AND(EB496&gt;=RULE_START,MOD(EB496-RULE_START,REBASE_YEARS)=0),1,0)</f>
        <v>0</v>
      </c>
      <c r="EJ496" s="8">
        <f>EF496*CAP_SHARE</f>
        <v>29.42466650559329</v>
      </c>
      <c r="EK496" s="8">
        <f>EG496*CAP_SHARE</f>
        <v>30.671453973237735</v>
      </c>
      <c r="EL496" s="8">
        <f>EH496*CAP_SHARE</f>
        <v>31.842294870569546</v>
      </c>
      <c r="EM496" s="8">
        <f>EF496-EJ496-EE496</f>
        <v>-47.14965868721424</v>
      </c>
      <c r="EN496" s="8">
        <f>EG496-EK496-EE496</f>
        <v>-22.89837714291798</v>
      </c>
      <c r="EO496" s="8">
        <f>EH496-EL496-EE496</f>
        <v>-0.12433346535715373</v>
      </c>
      <c r="EP496" s="8">
        <f>R_NF_2024*(1+G_HI)^(EB496-2024)</f>
        <v>660.2780023660071</v>
      </c>
      <c r="EQ496" s="10">
        <f>1-EF496/EP496</f>
        <v>0.088619809504911</v>
      </c>
      <c r="ER496" s="10">
        <f>CPI_2023/(IF(EB496-1=2023,CPI_2023,IF(EB496-1=2024,CPI_2024,IF(EB496-1=2025,CPI_2025,CPI_2025*(1+INFL)^(EB496-1-2025)))))</f>
        <v>0.8159877625423819</v>
      </c>
      <c r="ES496" s="8">
        <f>$EB$21*ABS($EB$11)*(EG496-EF496)/EF496</f>
        <v>4224.298202019862</v>
      </c>
      <c r="ET496" s="8">
        <f>$EB$21*ABS($EB$11)*(EH496-EF496)/EF496</f>
        <v>8191.27832157024</v>
      </c>
      <c r="EU496" s="13">
        <f>(EG496-EF496)*MCD_NF_DAYS*ER496-ES496*MCD_SHARE_FREED*R_WAIT_2023</f>
        <v>9041165.6361057</v>
      </c>
      <c r="EV496" s="13">
        <f>(EH496-EF496)*MCD_NF_DAYS*ER496-ET496*MCD_SHARE_FREED*R_WAIT_2023</f>
        <v>17531599.459845666</v>
      </c>
      <c r="EW496" s="10">
        <f>IF(AND(EB496&gt;=RULE_START,EC496=1),1/(1+$EB$12)^(EB496-RULE_START+1),0)</f>
        <v>0.887971382186192</v>
      </c>
      <c r="EX496">
        <f>IF(AND(EB496&gt;=RULE_START,EC496=1,EM496&lt;0),EB496,9999)</f>
        <v>2032</v>
      </c>
      <c r="EY496">
        <f>IF(AND(EB496&gt;=RULE_START,EC496=1,EN496&lt;0),EB496,9999)</f>
        <v>2032</v>
      </c>
      <c r="EZ496">
        <f>IF(AND(EB496&gt;=RULE_START,EC496=1,EO496&lt;0),EB496,9999)</f>
        <v>2032</v>
      </c>
      <c r="FB496" t="n">
        <v>2032</v>
      </c>
      <c r="FC496">
        <f>IF(FB496&lt;=RULE_START+$FB$38-1,1,0)</f>
        <v>1</v>
      </c>
      <c r="FD496" s="15">
        <f>IF(FB496=2024,G_IDX_2024,IF(FB496=2025,G_IDX_2025,IF(FB496=2026,G_IDX_2026,IF(FB496=2027,G_IDX_2027,$FB$13))))</f>
        <v>0.033</v>
      </c>
      <c r="FE496" s="8">
        <f>$FB$20*(1+G_HI)^(FB496-COST_DATE)</f>
        <v>637.5364426346787</v>
      </c>
      <c r="FF496" s="8">
        <f>FF495*(1+FD496)</f>
        <v>601.7642915760483</v>
      </c>
      <c r="FG496" s="8">
        <f>IF(FB496&lt;RULE_START,FF496,FG495*(1+G_HI))</f>
        <v>627.262360587989</v>
      </c>
      <c r="FH496" s="8">
        <f>IF(FB496&lt;RULE_START,FF496,IF(FI496=1,R_NF_2024*(1+G_HI)^(FB496-2024),FH495*(1+FD496)))</f>
        <v>651.2072451628816</v>
      </c>
      <c r="FI496">
        <f>IF(AND(FB496&gt;=RULE_START,MOD(FB496-RULE_START,REBASE_YEARS)=0),1,0)</f>
        <v>0</v>
      </c>
      <c r="FJ496" s="8">
        <f>FF496*CAP_SHARE</f>
        <v>29.42466650559329</v>
      </c>
      <c r="FK496" s="8">
        <f>FG496*CAP_SHARE</f>
        <v>30.671453973237735</v>
      </c>
      <c r="FL496" s="8">
        <f>FH496*CAP_SHARE</f>
        <v>31.842294870569546</v>
      </c>
      <c r="FM496" s="8">
        <f>FF496-FJ496-FE496</f>
        <v>-65.1968175642237</v>
      </c>
      <c r="FN496" s="8">
        <f>FG496-FK496-FE496</f>
        <v>-40.94553601992743</v>
      </c>
      <c r="FO496" s="8">
        <f>FH496-FL496-FE496</f>
        <v>-18.171492342366605</v>
      </c>
      <c r="FP496" s="8">
        <f>R_NF_2024*(1+G_HI)^(FB496-2024)</f>
        <v>660.2780023660071</v>
      </c>
      <c r="FQ496" s="10">
        <f>1-FF496/FP496</f>
        <v>0.088619809504911</v>
      </c>
      <c r="FR496" s="10">
        <f>CPI_2023/(IF(FB496-1=2023,CPI_2023,IF(FB496-1=2024,CPI_2024,IF(FB496-1=2025,CPI_2025,CPI_2025*(1+INFL)^(FB496-1-2025)))))</f>
        <v>0.8159877625423819</v>
      </c>
      <c r="FS496" s="8">
        <f>$FB$21*ABS($FB$11)*(FG496-FF496)/FF496</f>
        <v>4224.298202019862</v>
      </c>
      <c r="FT496" s="8">
        <f>$FB$21*ABS($FB$11)*(FH496-FF496)/FF496</f>
        <v>8191.27832157024</v>
      </c>
      <c r="FU496" s="13">
        <f>(FG496-FF496)*MCD_NF_DAYS*FR496-FS496*MCD_SHARE_FREED*R_WAIT_2023</f>
        <v>9041165.6361057</v>
      </c>
      <c r="FV496" s="13">
        <f>(FH496-FF496)*MCD_NF_DAYS*FR496-FT496*MCD_SHARE_FREED*R_WAIT_2023</f>
        <v>17531599.459845666</v>
      </c>
      <c r="FW496" s="10">
        <f>IF(AND(FB496&gt;=RULE_START,FC496=1),1/(1+$FB$12)^(FB496-RULE_START+1),0)</f>
        <v>0.887971382186192</v>
      </c>
      <c r="FX496">
        <f>IF(AND(FB496&gt;=RULE_START,FC496=1,FM496&lt;0),FB496,9999)</f>
        <v>2032</v>
      </c>
      <c r="FY496">
        <f>IF(AND(FB496&gt;=RULE_START,FC496=1,FN496&lt;0),FB496,9999)</f>
        <v>2032</v>
      </c>
      <c r="FZ496">
        <f>IF(AND(FB496&gt;=RULE_START,FC496=1,FO496&lt;0),FB496,9999)</f>
        <v>2032</v>
      </c>
      <c r="GB496" t="n">
        <v>2032</v>
      </c>
      <c r="GC496">
        <f>IF(GB496&lt;=RULE_START+$GB$38-1,1,0)</f>
        <v>1</v>
      </c>
      <c r="GD496" s="15">
        <f>IF(GB496=2024,G_IDX_2024,IF(GB496=2025,G_IDX_2025,IF(GB496=2026,G_IDX_2026,IF(GB496=2027,G_IDX_2027,$GB$13))))</f>
        <v>0.033</v>
      </c>
      <c r="GE496" s="8">
        <f>$GB$20*(1+G_HI)^(GB496-COST_DATE)</f>
        <v>619.4892837576692</v>
      </c>
      <c r="GF496" s="8">
        <f>GF495*(1+GD496)</f>
        <v>601.7642915760483</v>
      </c>
      <c r="GG496" s="8">
        <f>IF(GB496&lt;RULE_START,GF496,GG495*(1+G_HI))</f>
        <v>627.262360587989</v>
      </c>
      <c r="GH496" s="8">
        <f>IF(GB496&lt;RULE_START,GF496,IF(GI496=1,R_NF_2024*(1+G_HI)^(GB496-2024),GH495*(1+GD496)))</f>
        <v>651.2072451628816</v>
      </c>
      <c r="GI496">
        <f>IF(AND(GB496&gt;=RULE_START,MOD(GB496-RULE_START,REBASE_YEARS)=0),1,0)</f>
        <v>0</v>
      </c>
      <c r="GJ496" s="8">
        <f>GF496*CAP_SHARE</f>
        <v>29.42466650559329</v>
      </c>
      <c r="GK496" s="8">
        <f>GG496*CAP_SHARE</f>
        <v>30.671453973237735</v>
      </c>
      <c r="GL496" s="8">
        <f>GH496*CAP_SHARE</f>
        <v>31.842294870569546</v>
      </c>
      <c r="GM496" s="8">
        <f>GF496-GJ496-GE496</f>
        <v>-47.14965868721424</v>
      </c>
      <c r="GN496" s="8">
        <f>GG496-GK496-GE496</f>
        <v>-22.89837714291798</v>
      </c>
      <c r="GO496" s="8">
        <f>GH496-GL496-GE496</f>
        <v>-0.12433346535715373</v>
      </c>
      <c r="GP496" s="8">
        <f>R_NF_2024*(1+G_HI)^(GB496-2024)</f>
        <v>660.2780023660071</v>
      </c>
      <c r="GQ496" s="10">
        <f>1-GF496/GP496</f>
        <v>0.088619809504911</v>
      </c>
      <c r="GR496" s="10">
        <f>CPI_2023/(IF(GB496-1=2023,CPI_2023,IF(GB496-1=2024,CPI_2024,IF(GB496-1=2025,CPI_2025,CPI_2025*(1+INFL)^(GB496-1-2025)))))</f>
        <v>0.8159877625423819</v>
      </c>
      <c r="GS496" s="8">
        <f>$GB$21*ABS($GB$11)*(GG496-GF496)/GF496</f>
        <v>3188.711434943996</v>
      </c>
      <c r="GT496" s="8">
        <f>$GB$21*ABS($GB$11)*(GH496-GF496)/GF496</f>
        <v>6183.186319164379</v>
      </c>
      <c r="GU496" s="13">
        <f>(GG496-GF496)*MCD_NF_DAYS*GR496-GS496*MCD_SHARE_FREED*R_WAIT_2023</f>
        <v>9512066.33661746</v>
      </c>
      <c r="GV496" s="13">
        <f>(GH496-GF496)*MCD_NF_DAYS*GR496-GT496*MCD_SHARE_FREED*R_WAIT_2023</f>
        <v>18444716.506807417</v>
      </c>
      <c r="GW496" s="10">
        <f>IF(AND(GB496&gt;=RULE_START,GC496=1),1/(1+$GB$12)^(GB496-RULE_START+1),0)</f>
        <v>0.887971382186192</v>
      </c>
      <c r="GX496">
        <f>IF(AND(GB496&gt;=RULE_START,GC496=1,GM496&lt;0),GB496,9999)</f>
        <v>2032</v>
      </c>
      <c r="GY496">
        <f>IF(AND(GB496&gt;=RULE_START,GC496=1,GN496&lt;0),GB496,9999)</f>
        <v>2032</v>
      </c>
      <c r="GZ496">
        <f>IF(AND(GB496&gt;=RULE_START,GC496=1,GO496&lt;0),GB496,9999)</f>
        <v>2032</v>
      </c>
      <c r="HB496" t="n">
        <v>2032</v>
      </c>
      <c r="HC496">
        <f>IF(HB496&lt;=RULE_START+$HB$38-1,1,0)</f>
        <v>1</v>
      </c>
      <c r="HD496" s="15">
        <f>IF(HB496=2024,G_IDX_2024,IF(HB496=2025,G_IDX_2025,IF(HB496=2026,G_IDX_2026,IF(HB496=2027,G_IDX_2027,$HB$13))))</f>
        <v>0.033</v>
      </c>
      <c r="HE496" s="8">
        <f>$HB$20*(1+G_HI)^(HB496-COST_DATE)</f>
        <v>619.4892837576692</v>
      </c>
      <c r="HF496" s="8">
        <f>HF495*(1+HD496)</f>
        <v>601.7642915760483</v>
      </c>
      <c r="HG496" s="8">
        <f>IF(HB496&lt;RULE_START,HF496,HG495*(1+G_HI))</f>
        <v>627.262360587989</v>
      </c>
      <c r="HH496" s="8">
        <f>IF(HB496&lt;RULE_START,HF496,IF(HI496=1,R_NF_2024*(1+G_HI)^(HB496-2024),HH495*(1+HD496)))</f>
        <v>651.2072451628816</v>
      </c>
      <c r="HI496">
        <f>IF(AND(HB496&gt;=RULE_START,MOD(HB496-RULE_START,REBASE_YEARS)=0),1,0)</f>
        <v>0</v>
      </c>
      <c r="HJ496" s="8">
        <f>HF496*CAP_SHARE</f>
        <v>29.42466650559329</v>
      </c>
      <c r="HK496" s="8">
        <f>HG496*CAP_SHARE</f>
        <v>30.671453973237735</v>
      </c>
      <c r="HL496" s="8">
        <f>HH496*CAP_SHARE</f>
        <v>31.842294870569546</v>
      </c>
      <c r="HM496" s="8">
        <f>HF496-HJ496-HE496</f>
        <v>-47.14965868721424</v>
      </c>
      <c r="HN496" s="8">
        <f>HG496-HK496-HE496</f>
        <v>-22.89837714291798</v>
      </c>
      <c r="HO496" s="8">
        <f>HH496-HL496-HE496</f>
        <v>-0.12433346535715373</v>
      </c>
      <c r="HP496" s="8">
        <f>R_NF_2024*(1+G_HI)^(HB496-2024)</f>
        <v>660.2780023660071</v>
      </c>
      <c r="HQ496" s="10">
        <f>1-HF496/HP496</f>
        <v>0.088619809504911</v>
      </c>
      <c r="HR496" s="10">
        <f>CPI_2023/(IF(HB496-1=2023,CPI_2023,IF(HB496-1=2024,CPI_2024,IF(HB496-1=2025,CPI_2025,CPI_2025*(1+INFL)^(HB496-1-2025)))))</f>
        <v>0.8159877625423819</v>
      </c>
      <c r="HS496" s="8">
        <f>$HB$21*ABS($HB$11)*(HG496-HF496)/HF496</f>
        <v>4224.298202019862</v>
      </c>
      <c r="HT496" s="8">
        <f>$HB$21*ABS($HB$11)*(HH496-HF496)/HF496</f>
        <v>8191.27832157024</v>
      </c>
      <c r="HU496" s="13">
        <f>(HG496-HF496)*MCD_NF_DAYS*HR496-HS496*MCD_SHARE_FREED*R_WAIT_2023</f>
        <v>9041165.6361057</v>
      </c>
      <c r="HV496" s="13">
        <f>(HH496-HF496)*MCD_NF_DAYS*HR496-HT496*MCD_SHARE_FREED*R_WAIT_2023</f>
        <v>17531599.459845666</v>
      </c>
      <c r="HW496" s="10">
        <f>IF(AND(HB496&gt;=RULE_START,HC496=1),1/(1+$HB$12)^(HB496-RULE_START+1),0)</f>
        <v>0.8374842566836542</v>
      </c>
      <c r="HX496">
        <f>IF(AND(HB496&gt;=RULE_START,HC496=1,HM496&lt;0),HB496,9999)</f>
        <v>2032</v>
      </c>
      <c r="HY496">
        <f>IF(AND(HB496&gt;=RULE_START,HC496=1,HN496&lt;0),HB496,9999)</f>
        <v>2032</v>
      </c>
      <c r="HZ496">
        <f>IF(AND(HB496&gt;=RULE_START,HC496=1,HO496&lt;0),HB496,9999)</f>
        <v>2032</v>
      </c>
      <c r="IB496" t="n">
        <v>2032</v>
      </c>
      <c r="IC496">
        <f>IF(IB496&lt;=RULE_START+$IB$38-1,1,0)</f>
        <v>1</v>
      </c>
      <c r="ID496" s="15">
        <f>IF(IB496=2024,G_IDX_2024,IF(IB496=2025,G_IDX_2025,IF(IB496=2026,G_IDX_2026,IF(IB496=2027,G_IDX_2027,$IB$13))))</f>
        <v>0.033</v>
      </c>
      <c r="IE496" s="8">
        <f>$IB$20*(1+G_HI)^(IB496-COST_DATE)</f>
        <v>619.4892837576692</v>
      </c>
      <c r="IF496" s="8">
        <f>IF495*(1+ID496)</f>
        <v>601.7642915760483</v>
      </c>
      <c r="IG496" s="8">
        <f>IF(IB496&lt;RULE_START,IF496,IG495*(1+G_HI))</f>
        <v>627.262360587989</v>
      </c>
      <c r="IH496" s="8">
        <f>IF(IB496&lt;RULE_START,IF496,IF(II496=1,R_NF_2024*(1+G_HI)^(IB496-2024),IH495*(1+ID496)))</f>
        <v>651.2072451628816</v>
      </c>
      <c r="II496">
        <f>IF(AND(IB496&gt;=RULE_START,MOD(IB496-RULE_START,REBASE_YEARS)=0),1,0)</f>
        <v>0</v>
      </c>
      <c r="IJ496" s="8">
        <f>IF496*CAP_SHARE</f>
        <v>29.42466650559329</v>
      </c>
      <c r="IK496" s="8">
        <f>IG496*CAP_SHARE</f>
        <v>30.671453973237735</v>
      </c>
      <c r="IL496" s="8">
        <f>IH496*CAP_SHARE</f>
        <v>31.842294870569546</v>
      </c>
      <c r="IM496" s="8">
        <f>IF496-IJ496-IE496</f>
        <v>-47.14965868721424</v>
      </c>
      <c r="IN496" s="8">
        <f>IG496-IK496-IE496</f>
        <v>-22.89837714291798</v>
      </c>
      <c r="IO496" s="8">
        <f>IH496-IL496-IE496</f>
        <v>-0.12433346535715373</v>
      </c>
      <c r="IP496" s="8">
        <f>R_NF_2024*(1+G_HI)^(IB496-2024)</f>
        <v>660.2780023660071</v>
      </c>
      <c r="IQ496" s="10">
        <f>1-IF496/IP496</f>
        <v>0.088619809504911</v>
      </c>
      <c r="IR496" s="10">
        <f>CPI_2023/(IF(IB496-1=2023,CPI_2023,IF(IB496-1=2024,CPI_2024,IF(IB496-1=2025,CPI_2025,CPI_2025*(1+INFL)^(IB496-1-2025)))))</f>
        <v>0.8159877625423819</v>
      </c>
      <c r="IS496" s="8">
        <f>$IB$21*ABS($IB$11)*(IG496-IF496)/IF496</f>
        <v>4224.298202019862</v>
      </c>
      <c r="IT496" s="8">
        <f>$IB$21*ABS($IB$11)*(IH496-IF496)/IF496</f>
        <v>8191.27832157024</v>
      </c>
      <c r="IU496" s="13">
        <f>(IG496-IF496)*MCD_NF_DAYS*IR496-IS496*MCD_SHARE_FREED*R_WAIT_2023</f>
        <v>9041165.6361057</v>
      </c>
      <c r="IV496" s="13">
        <f>(IH496-IF496)*MCD_NF_DAYS*IR496-IT496*MCD_SHARE_FREED*R_WAIT_2023</f>
        <v>17531599.459845666</v>
      </c>
      <c r="IW496" s="10">
        <f>IF(AND(IB496&gt;=RULE_START,IC496=1),1/(1+$IB$12)^(IB496-RULE_START+1),0)</f>
        <v>0.6663422238165123</v>
      </c>
      <c r="IX496">
        <f>IF(AND(IB496&gt;=RULE_START,IC496=1,IM496&lt;0),IB496,9999)</f>
        <v>2032</v>
      </c>
      <c r="IY496">
        <f>IF(AND(IB496&gt;=RULE_START,IC496=1,IN496&lt;0),IB496,9999)</f>
        <v>2032</v>
      </c>
      <c r="IZ496">
        <f>IF(AND(IB496&gt;=RULE_START,IC496=1,IO496&lt;0),IB496,9999)</f>
        <v>2032</v>
      </c>
      <c r="JB496" t="n">
        <v>2032</v>
      </c>
      <c r="JC496">
        <f>IF(JB496&lt;=RULE_START+$JB$38-1,1,0)</f>
        <v>1</v>
      </c>
      <c r="JD496" s="15">
        <f>IF(JB496=2024,G_IDX_2024,IF(JB496=2025,G_IDX_2025,IF(JB496=2026,G_IDX_2026,IF(JB496=2027,G_IDX_2027,$JB$13))))</f>
        <v>0.03</v>
      </c>
      <c r="JE496" s="8">
        <f>$JB$20*(1+G_HI)^(JB496-COST_DATE)</f>
        <v>619.4892837576692</v>
      </c>
      <c r="JF496" s="8">
        <f>JF495*(1+JD496)</f>
        <v>593.0767913118785</v>
      </c>
      <c r="JG496" s="8">
        <f>IF(JB496&lt;RULE_START,JF496,JG495*(1+G_HI))</f>
        <v>627.262360587989</v>
      </c>
      <c r="JH496" s="8">
        <f>IF(JB496&lt;RULE_START,JF496,IF(JI496=1,R_NF_2024*(1+G_HI)^(JB496-2024),JH495*(1+JD496)))</f>
        <v>647.4303140537493</v>
      </c>
      <c r="JI496">
        <f>IF(AND(JB496&gt;=RULE_START,MOD(JB496-RULE_START,REBASE_YEARS)=0),1,0)</f>
        <v>0</v>
      </c>
      <c r="JJ496" s="8">
        <f>JF496*CAP_SHARE</f>
        <v>28.999870947566823</v>
      </c>
      <c r="JK496" s="8">
        <f>JG496*CAP_SHARE</f>
        <v>30.671453973237735</v>
      </c>
      <c r="JL496" s="8">
        <f>JH496*CAP_SHARE</f>
        <v>31.657613027767354</v>
      </c>
      <c r="JM496" s="8">
        <f>JF496-JJ496-JE496</f>
        <v>-55.41236339335751</v>
      </c>
      <c r="JN496" s="8">
        <f>JG496-JK496-JE496</f>
        <v>-22.89837714291798</v>
      </c>
      <c r="JO496" s="8">
        <f>JH496-JL496-JE496</f>
        <v>-3.7165827316873674</v>
      </c>
      <c r="JP496" s="8">
        <f>R_NF_2024*(1+G_HI)^(JB496-2024)</f>
        <v>660.2780023660071</v>
      </c>
      <c r="JQ496" s="10">
        <f>1-JF496/JP496</f>
        <v>0.10177714661600579</v>
      </c>
      <c r="JR496" s="10">
        <f>CPI_2023/(IF(JB496-1=2023,CPI_2023,IF(JB496-1=2024,CPI_2024,IF(JB496-1=2025,CPI_2025,CPI_2025*(1+INFL)^(JB496-1-2025)))))</f>
        <v>0.8159877625423819</v>
      </c>
      <c r="JS496" s="8">
        <f>$JB$21*ABS($JB$11)*(JG496-JF496)/JF496</f>
        <v>5746.528654363967</v>
      </c>
      <c r="JT496" s="8">
        <f>$JB$21*ABS($JB$11)*(JH496-JF496)/JF496</f>
        <v>9136.722965735611</v>
      </c>
      <c r="JU496" s="13">
        <f>(JG496-JF496)*MCD_NF_DAYS*JR496-JS496*MCD_SHARE_FREED*R_WAIT_2023</f>
        <v>12083876.111516302</v>
      </c>
      <c r="JV496" s="13">
        <f>(JH496-JF496)*MCD_NF_DAYS*JR496-JT496*MCD_SHARE_FREED*R_WAIT_2023</f>
        <v>19212821.34377783</v>
      </c>
      <c r="JW496" s="10">
        <f>IF(AND(JB496&gt;=RULE_START,JC496=1),1/(1+$JB$12)^(JB496-RULE_START+1),0)</f>
        <v>0.887971382186192</v>
      </c>
      <c r="JX496">
        <f>IF(AND(JB496&gt;=RULE_START,JC496=1,JM496&lt;0),JB496,9999)</f>
        <v>2032</v>
      </c>
      <c r="JY496">
        <f>IF(AND(JB496&gt;=RULE_START,JC496=1,JN496&lt;0),JB496,9999)</f>
        <v>2032</v>
      </c>
      <c r="JZ496">
        <f>IF(AND(JB496&gt;=RULE_START,JC496=1,JO496&lt;0),JB496,9999)</f>
        <v>2032</v>
      </c>
      <c r="KB496" t="n">
        <v>2032</v>
      </c>
      <c r="KC496">
        <f>IF(KB496&lt;=RULE_START+$KB$38-1,1,0)</f>
        <v>1</v>
      </c>
      <c r="KD496" s="15">
        <f>IF(KB496=2024,G_IDX_2024,IF(KB496=2025,G_IDX_2025,IF(KB496=2026,G_IDX_2026,IF(KB496=2027,G_IDX_2027,$KB$13))))</f>
        <v>0.033</v>
      </c>
      <c r="KE496" s="8">
        <f>$KB$20*(1+G_HI)^(KB496-COST_DATE)</f>
        <v>619.4892837576692</v>
      </c>
      <c r="KF496" s="8">
        <f>KF495*(1+KD496)</f>
        <v>601.7642915760483</v>
      </c>
      <c r="KG496" s="8">
        <f>IF(KB496&lt;RULE_START,KF496,KG495*(1+G_HI))</f>
        <v>627.262360587989</v>
      </c>
      <c r="KH496" s="8">
        <f>IF(KB496&lt;RULE_START,KF496,IF(KI496=1,R_NF_2024*(1+G_HI)^(KB496-2024),KH495*(1+KD496)))</f>
        <v>651.2072451628816</v>
      </c>
      <c r="KI496">
        <f>IF(AND(KB496&gt;=RULE_START,MOD(KB496-RULE_START,REBASE_YEARS)=0),1,0)</f>
        <v>0</v>
      </c>
      <c r="KJ496" s="8">
        <f>KF496*CAP_SHARE</f>
        <v>29.42466650559329</v>
      </c>
      <c r="KK496" s="8">
        <f>KG496*CAP_SHARE</f>
        <v>30.671453973237735</v>
      </c>
      <c r="KL496" s="8">
        <f>KH496*CAP_SHARE</f>
        <v>31.842294870569546</v>
      </c>
      <c r="KM496" s="8">
        <f>KF496-KJ496-KE496</f>
        <v>-47.14965868721424</v>
      </c>
      <c r="KN496" s="8">
        <f>KG496-KK496-KE496</f>
        <v>-22.89837714291798</v>
      </c>
      <c r="KO496" s="8">
        <f>KH496-KL496-KE496</f>
        <v>-0.12433346535715373</v>
      </c>
      <c r="KP496" s="8">
        <f>R_NF_2024*(1+G_HI)^(KB496-2024)</f>
        <v>660.2780023660071</v>
      </c>
      <c r="KQ496" s="10">
        <f>1-KF496/KP496</f>
        <v>0.088619809504911</v>
      </c>
      <c r="KR496" s="10">
        <f>CPI_2023/(IF(KB496-1=2023,CPI_2023,IF(KB496-1=2024,CPI_2024,IF(KB496-1=2025,CPI_2025,CPI_2025*(1+INFL)^(KB496-1-2025)))))</f>
        <v>0.8159877625423819</v>
      </c>
      <c r="KS496" s="8">
        <f>$KB$21*ABS($KB$11)*(KG496-KF496)/KF496</f>
        <v>4224.298202019862</v>
      </c>
      <c r="KT496" s="8">
        <f>$KB$21*ABS($KB$11)*(KH496-KF496)/KF496</f>
        <v>8191.27832157024</v>
      </c>
      <c r="KU496" s="13">
        <f>(KG496-KF496)*MCD_NF_DAYS*KR496-KS496*MCD_SHARE_FREED*R_WAIT_2023</f>
        <v>9041165.6361057</v>
      </c>
      <c r="KV496" s="13">
        <f>(KH496-KF496)*MCD_NF_DAYS*KR496-KT496*MCD_SHARE_FREED*R_WAIT_2023</f>
        <v>17531599.459845666</v>
      </c>
      <c r="KW496" s="10">
        <f>IF(AND(KB496&gt;=RULE_START,KC496=1),1/(1+$KB$12)^(KB496-RULE_START+1),0)</f>
        <v>0.887971382186192</v>
      </c>
      <c r="KX496">
        <f>IF(AND(KB496&gt;=RULE_START,KC496=1,KM496&lt;0),KB496,9999)</f>
        <v>2032</v>
      </c>
      <c r="KY496">
        <f>IF(AND(KB496&gt;=RULE_START,KC496=1,KN496&lt;0),KB496,9999)</f>
        <v>2032</v>
      </c>
      <c r="KZ496">
        <f>IF(AND(KB496&gt;=RULE_START,KC496=1,KO496&lt;0),KB496,9999)</f>
        <v>2032</v>
      </c>
      <c r="LB496" t="n">
        <v>2032</v>
      </c>
      <c r="LC496">
        <f>IF(LB496&lt;=RULE_START+$LB$38-1,1,0)</f>
        <v>1</v>
      </c>
      <c r="LD496" s="15">
        <f>IF(LB496=2024,G_IDX_2024,IF(LB496=2025,G_IDX_2025,IF(LB496=2026,G_IDX_2026,IF(LB496=2027,G_IDX_2027,$LB$13))))</f>
        <v>0.033</v>
      </c>
      <c r="LE496" s="8">
        <f>$LB$20*(1+G_HI)^(LB496-COST_DATE)</f>
        <v>619.4892837576692</v>
      </c>
      <c r="LF496" s="8">
        <f>LF495*(1+LD496)</f>
        <v>601.7642915760483</v>
      </c>
      <c r="LG496" s="8">
        <f>IF(LB496&lt;RULE_START,LF496,LG495*(1+G_HI))</f>
        <v>627.262360587989</v>
      </c>
      <c r="LH496" s="8">
        <f>IF(LB496&lt;RULE_START,LF496,IF(LI496=1,R_NF_2024*(1+G_HI)^(LB496-2024),LH495*(1+LD496)))</f>
        <v>651.2072451628816</v>
      </c>
      <c r="LI496">
        <f>IF(AND(LB496&gt;=RULE_START,MOD(LB496-RULE_START,REBASE_YEARS)=0),1,0)</f>
        <v>0</v>
      </c>
      <c r="LJ496" s="8">
        <f>LF496*CAP_SHARE</f>
        <v>29.42466650559329</v>
      </c>
      <c r="LK496" s="8">
        <f>LG496*CAP_SHARE</f>
        <v>30.671453973237735</v>
      </c>
      <c r="LL496" s="8">
        <f>LH496*CAP_SHARE</f>
        <v>31.842294870569546</v>
      </c>
      <c r="LM496" s="8">
        <f>LF496-LJ496-LE496</f>
        <v>-47.14965868721424</v>
      </c>
      <c r="LN496" s="8">
        <f>LG496-LK496-LE496</f>
        <v>-22.89837714291798</v>
      </c>
      <c r="LO496" s="8">
        <f>LH496-LL496-LE496</f>
        <v>-0.12433346535715373</v>
      </c>
      <c r="LP496" s="8">
        <f>R_NF_2024*(1+G_HI)^(LB496-2024)</f>
        <v>660.2780023660071</v>
      </c>
      <c r="LQ496" s="10">
        <f>1-LF496/LP496</f>
        <v>0.088619809504911</v>
      </c>
      <c r="LR496" s="10">
        <f>CPI_2023/(IF(LB496-1=2023,CPI_2023,IF(LB496-1=2024,CPI_2024,IF(LB496-1=2025,CPI_2025,CPI_2025*(1+INFL)^(LB496-1-2025)))))</f>
        <v>0.8159877625423819</v>
      </c>
      <c r="LS496" s="8">
        <f>$LB$21*ABS($LB$11)*(LG496-LF496)/LF496</f>
        <v>4224.298202019862</v>
      </c>
      <c r="LT496" s="8">
        <f>$LB$21*ABS($LB$11)*(LH496-LF496)/LF496</f>
        <v>8191.27832157024</v>
      </c>
      <c r="LU496" s="13">
        <f>(LG496-LF496)*MCD_NF_DAYS*LR496-LS496*MCD_SHARE_FREED*R_WAIT_2023</f>
        <v>9041165.6361057</v>
      </c>
      <c r="LV496" s="13">
        <f>(LH496-LF496)*MCD_NF_DAYS*LR496-LT496*MCD_SHARE_FREED*R_WAIT_2023</f>
        <v>17531599.459845666</v>
      </c>
      <c r="LW496" s="10">
        <f>IF(AND(LB496&gt;=RULE_START,LC496=1),1/(1+$LB$12)^(LB496-RULE_START+1),0)</f>
        <v>0.887971382186192</v>
      </c>
      <c r="LX496">
        <f>IF(AND(LB496&gt;=RULE_START,LC496=1,LM496&lt;0),LB496,9999)</f>
        <v>2032</v>
      </c>
      <c r="LY496">
        <f>IF(AND(LB496&gt;=RULE_START,LC496=1,LN496&lt;0),LB496,9999)</f>
        <v>2032</v>
      </c>
      <c r="LZ496">
        <f>IF(AND(LB496&gt;=RULE_START,LC496=1,LO496&lt;0),LB496,9999)</f>
        <v>2032</v>
      </c>
      <c r="MB496" t="n">
        <v>2032</v>
      </c>
      <c r="MC496">
        <f>IF(MB496&lt;=RULE_START+$MB$38-1,1,0)</f>
        <v>1</v>
      </c>
      <c r="MD496" s="15">
        <f>IF(MB496=2024,G_IDX_2024,IF(MB496=2025,G_IDX_2025,IF(MB496=2026,G_IDX_2026,IF(MB496=2027,G_IDX_2027,$MB$13))))</f>
        <v>0.033</v>
      </c>
      <c r="ME496" s="8">
        <f>$MB$20*(1+G_HI)^(MB496-COST_DATE)</f>
        <v>619.4892837576692</v>
      </c>
      <c r="MF496" s="8">
        <f>MF495*(1+MD496)</f>
        <v>601.7642915760483</v>
      </c>
      <c r="MG496" s="8">
        <f>IF(MB496&lt;RULE_START,MF496,MG495*(1+G_HI))</f>
        <v>627.262360587989</v>
      </c>
      <c r="MH496" s="8">
        <f>IF(MB496&lt;RULE_START,MF496,IF(MI496=1,R_NF_2024*(1+G_HI)^(MB496-2024),MH495*(1+MD496)))</f>
        <v>651.2072451628816</v>
      </c>
      <c r="MI496">
        <f>IF(AND(MB496&gt;=RULE_START,MOD(MB496-RULE_START,REBASE_YEARS)=0),1,0)</f>
        <v>0</v>
      </c>
      <c r="MJ496" s="8">
        <f>MF496*CAP_SHARE</f>
        <v>29.42466650559329</v>
      </c>
      <c r="MK496" s="8">
        <f>MG496*CAP_SHARE</f>
        <v>30.671453973237735</v>
      </c>
      <c r="ML496" s="8">
        <f>MH496*CAP_SHARE</f>
        <v>31.842294870569546</v>
      </c>
      <c r="MM496" s="8">
        <f>MF496-MJ496-ME496</f>
        <v>-47.14965868721424</v>
      </c>
      <c r="MN496" s="8">
        <f>MG496-MK496-ME496</f>
        <v>-22.89837714291798</v>
      </c>
      <c r="MO496" s="8">
        <f>MH496-ML496-ME496</f>
        <v>-0.12433346535715373</v>
      </c>
      <c r="MP496" s="8">
        <f>R_NF_2024*(1+G_HI)^(MB496-2024)</f>
        <v>660.2780023660071</v>
      </c>
      <c r="MQ496" s="10">
        <f>1-MF496/MP496</f>
        <v>0.088619809504911</v>
      </c>
      <c r="MR496" s="10">
        <f>CPI_2023/(IF(MB496-1=2023,CPI_2023,IF(MB496-1=2024,CPI_2024,IF(MB496-1=2025,CPI_2025,CPI_2025*(1+INFL)^(MB496-1-2025)))))</f>
        <v>0.8159877625423819</v>
      </c>
      <c r="MS496" s="8">
        <f>$MB$21*ABS($MB$11)*(MG496-MF496)/MF496</f>
        <v>3094.677032217302</v>
      </c>
      <c r="MT496" s="8">
        <f>$MB$21*ABS($MB$11)*(MH496-MF496)/MF496</f>
        <v>6000.845507105071</v>
      </c>
      <c r="MU496" s="13">
        <f>(MG496-MF496)*MCD_NF_DAYS*MR496-MS496*MCD_SHARE_FREED*R_WAIT_2023</f>
        <v>9554825.540890839</v>
      </c>
      <c r="MV496" s="13">
        <f>(MH496-MF496)*MCD_NF_DAYS*MR496-MT496*MCD_SHARE_FREED*R_WAIT_2023</f>
        <v>18527630.289467137</v>
      </c>
      <c r="MW496" s="10">
        <f>IF(AND(MB496&gt;=RULE_START,MC496=1),1/(1+$MB$12)^(MB496-RULE_START+1),0)</f>
        <v>0.887971382186192</v>
      </c>
      <c r="MX496">
        <f>IF(AND(MB496&gt;=RULE_START,MC496=1,MM496&lt;0),MB496,9999)</f>
        <v>2032</v>
      </c>
      <c r="MY496">
        <f>IF(AND(MB496&gt;=RULE_START,MC496=1,MN496&lt;0),MB496,9999)</f>
        <v>2032</v>
      </c>
      <c r="MZ496">
        <f>IF(AND(MB496&gt;=RULE_START,MC496=1,MO496&lt;0),MB496,9999)</f>
        <v>2032</v>
      </c>
      <c r="NB496" t="n">
        <v>2032</v>
      </c>
      <c r="NC496">
        <f>IF(NB496&lt;=RULE_START+$NB$38-1,1,0)</f>
        <v>1</v>
      </c>
      <c r="ND496" s="15">
        <f>IF(NB496=2024,G_IDX_2024,IF(NB496=2025,G_IDX_2025,IF(NB496=2026,G_IDX_2026,IF(NB496=2027,G_IDX_2027,$NB$13))))</f>
        <v>0.033</v>
      </c>
      <c r="NE496" s="8">
        <f>$NB$20*(1+G_HI)^(NB496-COST_DATE)</f>
        <v>619.4892837576692</v>
      </c>
      <c r="NF496" s="8">
        <f>NF495*(1+ND496)</f>
        <v>601.7642915760483</v>
      </c>
      <c r="NG496" s="8">
        <f>IF(NB496&lt;RULE_START,NF496,NG495*(1+G_HI))</f>
        <v>627.262360587989</v>
      </c>
      <c r="NH496" s="8">
        <f>IF(NB496&lt;RULE_START,NF496,IF(NI496=1,R_NF_2024*(1+G_HI)^(NB496-2024),NH495*(1+ND496)))</f>
        <v>651.2072451628816</v>
      </c>
      <c r="NI496">
        <f>IF(AND(NB496&gt;=RULE_START,MOD(NB496-RULE_START,REBASE_YEARS)=0),1,0)</f>
        <v>0</v>
      </c>
      <c r="NJ496" s="8">
        <f>NF496*CAP_SHARE</f>
        <v>29.42466650559329</v>
      </c>
      <c r="NK496" s="8">
        <f>NG496*CAP_SHARE</f>
        <v>30.671453973237735</v>
      </c>
      <c r="NL496" s="8">
        <f>NH496*CAP_SHARE</f>
        <v>31.842294870569546</v>
      </c>
      <c r="NM496" s="8">
        <f>NF496-NJ496-NE496</f>
        <v>-47.14965868721424</v>
      </c>
      <c r="NN496" s="8">
        <f>NG496-NK496-NE496</f>
        <v>-22.89837714291798</v>
      </c>
      <c r="NO496" s="8">
        <f>NH496-NL496-NE496</f>
        <v>-0.12433346535715373</v>
      </c>
      <c r="NP496" s="8">
        <f>R_NF_2024*(1+G_HI)^(NB496-2024)</f>
        <v>660.2780023660071</v>
      </c>
      <c r="NQ496" s="10">
        <f>1-NF496/NP496</f>
        <v>0.088619809504911</v>
      </c>
      <c r="NR496" s="10">
        <f>CPI_2023/(IF(NB496-1=2023,CPI_2023,IF(NB496-1=2024,CPI_2024,IF(NB496-1=2025,CPI_2025,CPI_2025*(1+INFL)^(NB496-1-2025)))))</f>
        <v>0.8159877625423819</v>
      </c>
      <c r="NS496" s="8">
        <f>$NB$21*ABS($NB$11)*(NG496-NF496)/NF496</f>
        <v>4224.298202019862</v>
      </c>
      <c r="NT496" s="8">
        <f>$NB$21*ABS($NB$11)*(NH496-NF496)/NF496</f>
        <v>8191.27832157024</v>
      </c>
      <c r="NU496" s="13">
        <f>(NG496-NF496)*MCD_NF_DAYS*NR496-NS496*MCD_SHARE_FREED*R_WAIT_2023</f>
        <v>9041165.6361057</v>
      </c>
      <c r="NV496" s="13">
        <f>(NH496-NF496)*MCD_NF_DAYS*NR496-NT496*MCD_SHARE_FREED*R_WAIT_2023</f>
        <v>17531599.459845666</v>
      </c>
      <c r="NW496" s="10">
        <f>IF(AND(NB496&gt;=RULE_START,NC496=1),1/(1+$NB$12)^(NB496-RULE_START+1),0)</f>
        <v>0.887971382186192</v>
      </c>
      <c r="NX496">
        <f>IF(AND(NB496&gt;=RULE_START,NC496=1,NM496&lt;0),NB496,9999)</f>
        <v>2032</v>
      </c>
      <c r="NY496">
        <f>IF(AND(NB496&gt;=RULE_START,NC496=1,NN496&lt;0),NB496,9999)</f>
        <v>2032</v>
      </c>
      <c r="NZ496">
        <f>IF(AND(NB496&gt;=RULE_START,NC496=1,NO496&lt;0),NB496,9999)</f>
        <v>2032</v>
      </c>
      <c r="OB496" t="n">
        <v>2032</v>
      </c>
      <c r="OC496">
        <f>IF(OB496&lt;=RULE_START+$OB$38-1,1,0)</f>
        <v>1</v>
      </c>
      <c r="OD496" s="15">
        <f>IF(OB496=2024,G_IDX_2024,IF(OB496=2025,G_IDX_2025,IF(OB496=2026,G_IDX_2026,IF(OB496=2027,G_IDX_2027,$OB$13))))</f>
        <v>0.033</v>
      </c>
      <c r="OE496" s="8">
        <f>$OB$20*(1+G_HI)^(OB496-COST_DATE)</f>
        <v>619.4892837576692</v>
      </c>
      <c r="OF496" s="8">
        <f>OF495*(1+OD496)</f>
        <v>601.7642915760483</v>
      </c>
      <c r="OG496" s="8">
        <f>IF(OB496&lt;RULE_START,OF496,OG495*(1+G_HI))</f>
        <v>627.262360587989</v>
      </c>
      <c r="OH496" s="8">
        <f>IF(OB496&lt;RULE_START,OF496,IF(OI496=1,R_NF_2024*(1+G_HI)^(OB496-2024),OH495*(1+OD496)))</f>
        <v>651.2072451628816</v>
      </c>
      <c r="OI496">
        <f>IF(AND(OB496&gt;=RULE_START,MOD(OB496-RULE_START,REBASE_YEARS)=0),1,0)</f>
        <v>0</v>
      </c>
      <c r="OJ496" s="8">
        <f>OF496*CAP_SHARE</f>
        <v>29.42466650559329</v>
      </c>
      <c r="OK496" s="8">
        <f>OG496*CAP_SHARE</f>
        <v>30.671453973237735</v>
      </c>
      <c r="OL496" s="8">
        <f>OH496*CAP_SHARE</f>
        <v>31.842294870569546</v>
      </c>
      <c r="OM496" s="8">
        <f>OF496-OJ496-OE496</f>
        <v>-47.14965868721424</v>
      </c>
      <c r="ON496" s="8">
        <f>OG496-OK496-OE496</f>
        <v>-22.89837714291798</v>
      </c>
      <c r="OO496" s="8">
        <f>OH496-OL496-OE496</f>
        <v>-0.12433346535715373</v>
      </c>
      <c r="OP496" s="8">
        <f>R_NF_2024*(1+G_HI)^(OB496-2024)</f>
        <v>660.2780023660071</v>
      </c>
      <c r="OQ496" s="10">
        <f>1-OF496/OP496</f>
        <v>0.088619809504911</v>
      </c>
      <c r="OR496" s="10">
        <f>CPI_2023/(IF(OB496-1=2023,CPI_2023,IF(OB496-1=2024,CPI_2024,IF(OB496-1=2025,CPI_2025,CPI_2025*(1+INFL)^(OB496-1-2025)))))</f>
        <v>0.8159877625423819</v>
      </c>
      <c r="OS496" s="8">
        <f>$OB$21*ABS($OB$11)*(OG496-OF496)/OF496</f>
        <v>4224.298202019862</v>
      </c>
      <c r="OT496" s="8">
        <f>$OB$21*ABS($OB$11)*(OH496-OF496)/OF496</f>
        <v>8191.27832157024</v>
      </c>
      <c r="OU496" s="13">
        <f>(OG496-OF496)*MCD_NF_DAYS*OR496-OS496*MCD_SHARE_FREED*R_WAIT_2023</f>
        <v>9041165.6361057</v>
      </c>
      <c r="OV496" s="13">
        <f>(OH496-OF496)*MCD_NF_DAYS*OR496-OT496*MCD_SHARE_FREED*R_WAIT_2023</f>
        <v>17531599.459845666</v>
      </c>
      <c r="OW496" s="10">
        <f>IF(AND(OB496&gt;=RULE_START,OC496=1),1/(1+$OB$12)^(OB496-RULE_START+1),0)</f>
        <v>0.887971382186192</v>
      </c>
      <c r="OX496">
        <f>IF(AND(OB496&gt;=RULE_START,OC496=1,OM496&lt;0),OB496,9999)</f>
        <v>2032</v>
      </c>
      <c r="OY496">
        <f>IF(AND(OB496&gt;=RULE_START,OC496=1,ON496&lt;0),OB496,9999)</f>
        <v>2032</v>
      </c>
      <c r="OZ496">
        <f>IF(AND(OB496&gt;=RULE_START,OC496=1,OO496&lt;0),OB496,9999)</f>
        <v>2032</v>
      </c>
    </row>
    <row r="497">
      <c r="B497" t="n">
        <v>2033</v>
      </c>
      <c r="C497">
        <f>IF(B497&lt;=RULE_START+$B$38-1,1,0)</f>
        <v>1</v>
      </c>
      <c r="D497" s="15">
        <f>IF(B497=2024,G_IDX_2024,IF(B497=2025,G_IDX_2025,IF(B497=2026,G_IDX_2026,IF(B497=2027,G_IDX_2027,$B$13))))</f>
        <v>0.033</v>
      </c>
      <c r="E497" s="8">
        <f>$B$20*(1+G_HI)^(B497-COST_DATE)</f>
        <v>644.3738716027477</v>
      </c>
      <c r="F497" s="8">
        <f>F496*(1+D497)</f>
        <v>621.6225131980578</v>
      </c>
      <c r="G497" s="8">
        <f>IF(B497&lt;RULE_START,F497,G496*(1+G_HI))</f>
        <v>652.4591892066887</v>
      </c>
      <c r="H497" s="8">
        <f>IF(B497&lt;RULE_START,F497,IF(I497=1,R_NF_2024*(1+G_HI)^(B497-2024),H496*(1+D497)))</f>
        <v>686.8010535032033</v>
      </c>
      <c r="I497">
        <f>IF(AND(B497&gt;=RULE_START,MOD(B497-RULE_START,REBASE_YEARS)=0),1,0)</f>
        <v>1</v>
      </c>
      <c r="J497" s="8">
        <f>F497*CAP_SHARE</f>
        <v>30.395680500277866</v>
      </c>
      <c r="K497" s="8">
        <f>G497*CAP_SHARE</f>
        <v>31.903511590285845</v>
      </c>
      <c r="L497" s="8">
        <f>H497*CAP_SHARE</f>
        <v>33.58273702498012</v>
      </c>
      <c r="M497" s="8">
        <f>F497-J497-E497</f>
        <v>-53.14703890496776</v>
      </c>
      <c r="N497" s="8">
        <f>G497-K497-E497</f>
        <v>-23.818193986344795</v>
      </c>
      <c r="O497" s="8">
        <f>H497-L497-E497</f>
        <v>8.84444487547546</v>
      </c>
      <c r="P497" s="8">
        <f>R_NF_2024*(1+G_HI)^(B497-2024)</f>
        <v>686.8010535032033</v>
      </c>
      <c r="Q497" s="10">
        <f>1-F497/P497</f>
        <v>0.0949016312259362</v>
      </c>
      <c r="R497" s="10">
        <f>CPI_2023/(IF(B497-1=2023,CPI_2023,IF(B497-1=2024,CPI_2024,IF(B497-1=2025,CPI_2025,CPI_2025*(1+INFL)^(B497-1-2025)))))</f>
        <v>0.7977979688525441</v>
      </c>
      <c r="S497" s="8">
        <f>$B$21*ABS($B$11)*(G497-F497)/F497</f>
        <v>4945.549037030487</v>
      </c>
      <c r="T497" s="8">
        <f>$B$21*ABS($B$11)*(H497-F497)/F497</f>
        <v>10453.255958941363</v>
      </c>
      <c r="U497" s="13">
        <f>(G497-F497)*MCD_NF_DAYS*R497-S497*MCD_SHARE_FREED*R_WAIT_2023</f>
        <v>10712827.180457786</v>
      </c>
      <c r="V497" s="13">
        <f>(H497-F497)*MCD_NF_DAYS*R497-T497*MCD_SHARE_FREED*R_WAIT_2023</f>
        <v>22643375.63387484</v>
      </c>
      <c r="W497" s="10">
        <f>IF(AND(B497&gt;=RULE_START,C497=1),1/(1+$B$12)^(B497-RULE_START+1),0)</f>
        <v>0.8705601786139138</v>
      </c>
      <c r="X497">
        <f>IF(AND(B497&gt;=RULE_START,C497=1,M497&lt;0),B497,9999)</f>
        <v>2033</v>
      </c>
      <c r="Y497">
        <f>IF(AND(B497&gt;=RULE_START,C497=1,N497&lt;0),B497,9999)</f>
        <v>2033</v>
      </c>
      <c r="Z497">
        <f>IF(AND(B497&gt;=RULE_START,C497=1,O497&lt;0),B497,9999)</f>
        <v>9999</v>
      </c>
      <c r="AB497" t="n">
        <v>2033</v>
      </c>
      <c r="AC497">
        <f>IF(AB497&lt;=RULE_START+$AB$38-1,1,0)</f>
        <v>1</v>
      </c>
      <c r="AD497" s="15">
        <f>IF(AB497=2024,G_IDX_2024,IF(AB497=2025,G_IDX_2025,IF(AB497=2026,G_IDX_2026,IF(AB497=2027,G_IDX_2027,$AB$13))))</f>
        <v>0.033</v>
      </c>
      <c r="AE497" s="8">
        <f>$AB$20*(1+G_HI)^(AB497-COST_DATE)</f>
        <v>644.3738716027477</v>
      </c>
      <c r="AF497" s="8">
        <f>AF496*(1+AD497)</f>
        <v>621.6225131980578</v>
      </c>
      <c r="AG497" s="8">
        <f>IF(AB497&lt;RULE_START,AF497,AG496*(1+G_HI))</f>
        <v>652.4591892066887</v>
      </c>
      <c r="AH497" s="8">
        <f>IF(AB497&lt;RULE_START,AF497,IF(AI497=1,R_NF_2024*(1+G_HI)^(AB497-2024),AH496*(1+AD497)))</f>
        <v>686.8010535032033</v>
      </c>
      <c r="AI497">
        <f>IF(AND(AB497&gt;=RULE_START,MOD(AB497-RULE_START,REBASE_YEARS)=0),1,0)</f>
        <v>1</v>
      </c>
      <c r="AJ497" s="8">
        <f>AF497*CAP_SHARE</f>
        <v>30.395680500277866</v>
      </c>
      <c r="AK497" s="8">
        <f>AG497*CAP_SHARE</f>
        <v>31.903511590285845</v>
      </c>
      <c r="AL497" s="8">
        <f>AH497*CAP_SHARE</f>
        <v>33.58273702498012</v>
      </c>
      <c r="AM497" s="8">
        <f>AF497-AJ497-AE497</f>
        <v>-53.14703890496776</v>
      </c>
      <c r="AN497" s="8">
        <f>AG497-AK497-AE497</f>
        <v>-23.818193986344795</v>
      </c>
      <c r="AO497" s="8">
        <f>AH497-AL497-AE497</f>
        <v>8.84444487547546</v>
      </c>
      <c r="AP497" s="8">
        <f>R_NF_2024*(1+G_HI)^(AB497-2024)</f>
        <v>686.8010535032033</v>
      </c>
      <c r="AQ497" s="10">
        <f>1-AF497/AP497</f>
        <v>0.0949016312259362</v>
      </c>
      <c r="AR497" s="10">
        <f>CPI_2023/(IF(AB497-1=2023,CPI_2023,IF(AB497-1=2024,CPI_2024,IF(AB497-1=2025,CPI_2025,CPI_2025*(1+INFL)^(AB497-1-2025)))))</f>
        <v>0.7977979688525441</v>
      </c>
      <c r="AS497" s="8">
        <f>$AB$21*ABS($AB$11)*(AG497-AF497)/AF497</f>
        <v>4945.549037030487</v>
      </c>
      <c r="AT497" s="8">
        <f>$AB$21*ABS($AB$11)*(AH497-AF497)/AF497</f>
        <v>10453.255958941363</v>
      </c>
      <c r="AU497" s="13">
        <f>(AG497-AF497)*MCD_NF_DAYS*AR497-AS497*MCD_SHARE_FREED*R_WAIT_2023</f>
        <v>10712827.180457786</v>
      </c>
      <c r="AV497" s="13">
        <f>(AH497-AF497)*MCD_NF_DAYS*AR497-AT497*MCD_SHARE_FREED*R_WAIT_2023</f>
        <v>22643375.63387484</v>
      </c>
      <c r="AW497" s="10">
        <f>IF(AND(AB497&gt;=RULE_START,AC497=1),1/(1+$AB$12)^(AB497-RULE_START+1),0)</f>
        <v>0.8705601786139138</v>
      </c>
      <c r="AX497">
        <f>IF(AND(AB497&gt;=RULE_START,AC497=1,AM497&lt;0),AB497,9999)</f>
        <v>2033</v>
      </c>
      <c r="AY497">
        <f>IF(AND(AB497&gt;=RULE_START,AC497=1,AN497&lt;0),AB497,9999)</f>
        <v>2033</v>
      </c>
      <c r="AZ497">
        <f>IF(AND(AB497&gt;=RULE_START,AC497=1,AO497&lt;0),AB497,9999)</f>
        <v>9999</v>
      </c>
      <c r="BB497" t="n">
        <v>2033</v>
      </c>
      <c r="BC497">
        <f>IF(BB497&lt;=RULE_START+$BB$38-1,1,0)</f>
        <v>1</v>
      </c>
      <c r="BD497" s="15">
        <f>IF(BB497=2024,G_IDX_2024,IF(BB497=2025,G_IDX_2025,IF(BB497=2026,G_IDX_2026,IF(BB497=2027,G_IDX_2027,$BB$13))))</f>
        <v>0.033</v>
      </c>
      <c r="BE497" s="8">
        <f>$BB$20*(1+G_HI)^(BB497-COST_DATE)</f>
        <v>644.3738716027477</v>
      </c>
      <c r="BF497" s="8">
        <f>BF496*(1+BD497)</f>
        <v>621.6225131980578</v>
      </c>
      <c r="BG497" s="8">
        <f>IF(BB497&lt;RULE_START,BF497,BG496*(1+G_HI))</f>
        <v>652.4591892066887</v>
      </c>
      <c r="BH497" s="8">
        <f>IF(BB497&lt;RULE_START,BF497,IF(BI497=1,R_NF_2024*(1+G_HI)^(BB497-2024),BH496*(1+BD497)))</f>
        <v>686.8010535032033</v>
      </c>
      <c r="BI497">
        <f>IF(AND(BB497&gt;=RULE_START,MOD(BB497-RULE_START,REBASE_YEARS)=0),1,0)</f>
        <v>1</v>
      </c>
      <c r="BJ497" s="8">
        <f>BF497*CAP_SHARE</f>
        <v>30.395680500277866</v>
      </c>
      <c r="BK497" s="8">
        <f>BG497*CAP_SHARE</f>
        <v>31.903511590285845</v>
      </c>
      <c r="BL497" s="8">
        <f>BH497*CAP_SHARE</f>
        <v>33.58273702498012</v>
      </c>
      <c r="BM497" s="8">
        <f>BF497-BJ497-BE497</f>
        <v>-53.14703890496776</v>
      </c>
      <c r="BN497" s="8">
        <f>BG497-BK497-BE497</f>
        <v>-23.818193986344795</v>
      </c>
      <c r="BO497" s="8">
        <f>BH497-BL497-BE497</f>
        <v>8.84444487547546</v>
      </c>
      <c r="BP497" s="8">
        <f>R_NF_2024*(1+G_HI)^(BB497-2024)</f>
        <v>686.8010535032033</v>
      </c>
      <c r="BQ497" s="10">
        <f>1-BF497/BP497</f>
        <v>0.0949016312259362</v>
      </c>
      <c r="BR497" s="10">
        <f>CPI_2023/(IF(BB497-1=2023,CPI_2023,IF(BB497-1=2024,CPI_2024,IF(BB497-1=2025,CPI_2025,CPI_2025*(1+INFL)^(BB497-1-2025)))))</f>
        <v>0.7977979688525441</v>
      </c>
      <c r="BS497" s="8">
        <f>$BB$21*ABS($BB$11)*(BG497-BF497)/BF497</f>
        <v>4945.549037030487</v>
      </c>
      <c r="BT497" s="8">
        <f>$BB$21*ABS($BB$11)*(BH497-BF497)/BF497</f>
        <v>10453.255958941363</v>
      </c>
      <c r="BU497" s="13">
        <f>(BG497-BF497)*MCD_NF_DAYS*BR497-BS497*MCD_SHARE_FREED*R_WAIT_2023</f>
        <v>10712827.180457786</v>
      </c>
      <c r="BV497" s="13">
        <f>(BH497-BF497)*MCD_NF_DAYS*BR497-BT497*MCD_SHARE_FREED*R_WAIT_2023</f>
        <v>22643375.63387484</v>
      </c>
      <c r="BW497" s="10">
        <f>IF(AND(BB497&gt;=RULE_START,BC497=1),1/(1+$BB$12)^(BB497-RULE_START+1),0)</f>
        <v>0.8705601786139138</v>
      </c>
      <c r="BX497">
        <f>IF(AND(BB497&gt;=RULE_START,BC497=1,BM497&lt;0),BB497,9999)</f>
        <v>2033</v>
      </c>
      <c r="BY497">
        <f>IF(AND(BB497&gt;=RULE_START,BC497=1,BN497&lt;0),BB497,9999)</f>
        <v>2033</v>
      </c>
      <c r="BZ497">
        <f>IF(AND(BB497&gt;=RULE_START,BC497=1,BO497&lt;0),BB497,9999)</f>
        <v>9999</v>
      </c>
      <c r="CB497" t="n">
        <v>2033</v>
      </c>
      <c r="CC497">
        <f>IF(CB497&lt;=RULE_START+$CB$38-1,1,0)</f>
        <v>1</v>
      </c>
      <c r="CD497" s="15">
        <f>IF(CB497=2024,G_IDX_2024,IF(CB497=2025,G_IDX_2025,IF(CB497=2026,G_IDX_2026,IF(CB497=2027,G_IDX_2027,$CB$13))))</f>
        <v>0.033</v>
      </c>
      <c r="CE497" s="8">
        <f>$CB$20*(1+G_HI)^(CB497-COST_DATE)</f>
        <v>644.3738716027477</v>
      </c>
      <c r="CF497" s="8">
        <f>CF496*(1+CD497)</f>
        <v>621.6225131980578</v>
      </c>
      <c r="CG497" s="8">
        <f>IF(CB497&lt;RULE_START,CF497,CG496*(1+G_HI))</f>
        <v>652.4591892066887</v>
      </c>
      <c r="CH497" s="8">
        <f>IF(CB497&lt;RULE_START,CF497,IF(CI497=1,R_NF_2024*(1+G_HI)^(CB497-2024),CH496*(1+CD497)))</f>
        <v>686.8010535032033</v>
      </c>
      <c r="CI497">
        <f>IF(AND(CB497&gt;=RULE_START,MOD(CB497-RULE_START,REBASE_YEARS)=0),1,0)</f>
        <v>1</v>
      </c>
      <c r="CJ497" s="8">
        <f>CF497*CAP_SHARE</f>
        <v>30.395680500277866</v>
      </c>
      <c r="CK497" s="8">
        <f>CG497*CAP_SHARE</f>
        <v>31.903511590285845</v>
      </c>
      <c r="CL497" s="8">
        <f>CH497*CAP_SHARE</f>
        <v>33.58273702498012</v>
      </c>
      <c r="CM497" s="8">
        <f>CF497-CJ497-CE497</f>
        <v>-53.14703890496776</v>
      </c>
      <c r="CN497" s="8">
        <f>CG497-CK497-CE497</f>
        <v>-23.818193986344795</v>
      </c>
      <c r="CO497" s="8">
        <f>CH497-CL497-CE497</f>
        <v>8.84444487547546</v>
      </c>
      <c r="CP497" s="8">
        <f>R_NF_2024*(1+G_HI)^(CB497-2024)</f>
        <v>686.8010535032033</v>
      </c>
      <c r="CQ497" s="10">
        <f>1-CF497/CP497</f>
        <v>0.0949016312259362</v>
      </c>
      <c r="CR497" s="10">
        <f>CPI_2023/(IF(CB497-1=2023,CPI_2023,IF(CB497-1=2024,CPI_2024,IF(CB497-1=2025,CPI_2025,CPI_2025*(1+INFL)^(CB497-1-2025)))))</f>
        <v>0.7977979688525441</v>
      </c>
      <c r="CS497" s="8">
        <f>$CB$21*ABS($CB$11)*(CG497-CF497)/CF497</f>
        <v>4945.549037030487</v>
      </c>
      <c r="CT497" s="8">
        <f>$CB$21*ABS($CB$11)*(CH497-CF497)/CF497</f>
        <v>10453.255958941363</v>
      </c>
      <c r="CU497" s="13">
        <f>(CG497-CF497)*MCD_NF_DAYS*CR497-CS497*MCD_SHARE_FREED*R_WAIT_2023</f>
        <v>10712827.180457786</v>
      </c>
      <c r="CV497" s="13">
        <f>(CH497-CF497)*MCD_NF_DAYS*CR497-CT497*MCD_SHARE_FREED*R_WAIT_2023</f>
        <v>22643375.63387484</v>
      </c>
      <c r="CW497" s="10">
        <f>IF(AND(CB497&gt;=RULE_START,CC497=1),1/(1+$CB$12)^(CB497-RULE_START+1),0)</f>
        <v>0.8705601786139138</v>
      </c>
      <c r="CX497">
        <f>IF(AND(CB497&gt;=RULE_START,CC497=1,CM497&lt;0),CB497,9999)</f>
        <v>2033</v>
      </c>
      <c r="CY497">
        <f>IF(AND(CB497&gt;=RULE_START,CC497=1,CN497&lt;0),CB497,9999)</f>
        <v>2033</v>
      </c>
      <c r="CZ497">
        <f>IF(AND(CB497&gt;=RULE_START,CC497=1,CO497&lt;0),CB497,9999)</f>
        <v>9999</v>
      </c>
      <c r="DB497" t="n">
        <v>2033</v>
      </c>
      <c r="DC497">
        <f>IF(DB497&lt;=RULE_START+$DB$38-1,1,0)</f>
        <v>1</v>
      </c>
      <c r="DD497" s="15">
        <f>IF(DB497=2024,G_IDX_2024,IF(DB497=2025,G_IDX_2025,IF(DB497=2026,G_IDX_2026,IF(DB497=2027,G_IDX_2027,$DB$13))))</f>
        <v>0.033</v>
      </c>
      <c r="DE497" s="8">
        <f>$DB$20*(1+G_HI)^(DB497-COST_DATE)</f>
        <v>644.3738716027477</v>
      </c>
      <c r="DF497" s="8">
        <f>DF496*(1+DD497)</f>
        <v>621.6225131980578</v>
      </c>
      <c r="DG497" s="8">
        <f>IF(DB497&lt;RULE_START,DF497,DG496*(1+G_HI))</f>
        <v>652.4591892066887</v>
      </c>
      <c r="DH497" s="8">
        <f>IF(DB497&lt;RULE_START,DF497,IF(DI497=1,R_NF_2024*(1+G_HI)^(DB497-2024),DH496*(1+DD497)))</f>
        <v>686.8010535032033</v>
      </c>
      <c r="DI497">
        <f>IF(AND(DB497&gt;=RULE_START,MOD(DB497-RULE_START,REBASE_YEARS)=0),1,0)</f>
        <v>1</v>
      </c>
      <c r="DJ497" s="8">
        <f>DF497*CAP_SHARE</f>
        <v>30.395680500277866</v>
      </c>
      <c r="DK497" s="8">
        <f>DG497*CAP_SHARE</f>
        <v>31.903511590285845</v>
      </c>
      <c r="DL497" s="8">
        <f>DH497*CAP_SHARE</f>
        <v>33.58273702498012</v>
      </c>
      <c r="DM497" s="8">
        <f>DF497-DJ497-DE497</f>
        <v>-53.14703890496776</v>
      </c>
      <c r="DN497" s="8">
        <f>DG497-DK497-DE497</f>
        <v>-23.818193986344795</v>
      </c>
      <c r="DO497" s="8">
        <f>DH497-DL497-DE497</f>
        <v>8.84444487547546</v>
      </c>
      <c r="DP497" s="8">
        <f>R_NF_2024*(1+G_HI)^(DB497-2024)</f>
        <v>686.8010535032033</v>
      </c>
      <c r="DQ497" s="10">
        <f>1-DF497/DP497</f>
        <v>0.0949016312259362</v>
      </c>
      <c r="DR497" s="10">
        <f>CPI_2023/(IF(DB497-1=2023,CPI_2023,IF(DB497-1=2024,CPI_2024,IF(DB497-1=2025,CPI_2025,CPI_2025*(1+INFL)^(DB497-1-2025)))))</f>
        <v>0.7977979688525441</v>
      </c>
      <c r="DS497" s="8">
        <f>$DB$21*ABS($DB$11)*(DG497-DF497)/DF497</f>
        <v>4945.549037030487</v>
      </c>
      <c r="DT497" s="8">
        <f>$DB$21*ABS($DB$11)*(DH497-DF497)/DF497</f>
        <v>10453.255958941363</v>
      </c>
      <c r="DU497" s="13">
        <f>(DG497-DF497)*MCD_NF_DAYS*DR497-DS497*MCD_SHARE_FREED*R_WAIT_2023</f>
        <v>10712827.180457786</v>
      </c>
      <c r="DV497" s="13">
        <f>(DH497-DF497)*MCD_NF_DAYS*DR497-DT497*MCD_SHARE_FREED*R_WAIT_2023</f>
        <v>22643375.63387484</v>
      </c>
      <c r="DW497" s="10">
        <f>IF(AND(DB497&gt;=RULE_START,DC497=1),1/(1+$DB$12)^(DB497-RULE_START+1),0)</f>
        <v>0.8705601786139138</v>
      </c>
      <c r="DX497">
        <f>IF(AND(DB497&gt;=RULE_START,DC497=1,DM497&lt;0),DB497,9999)</f>
        <v>2033</v>
      </c>
      <c r="DY497">
        <f>IF(AND(DB497&gt;=RULE_START,DC497=1,DN497&lt;0),DB497,9999)</f>
        <v>2033</v>
      </c>
      <c r="DZ497">
        <f>IF(AND(DB497&gt;=RULE_START,DC497=1,DO497&lt;0),DB497,9999)</f>
        <v>9999</v>
      </c>
      <c r="EB497" t="n">
        <v>2033</v>
      </c>
      <c r="EC497">
        <f>IF(EB497&lt;=RULE_START+$EB$38-1,1,0)</f>
        <v>1</v>
      </c>
      <c r="ED497" s="15">
        <f>IF(EB497=2024,G_IDX_2024,IF(EB497=2025,G_IDX_2025,IF(EB497=2026,G_IDX_2026,IF(EB497=2027,G_IDX_2027,$EB$13))))</f>
        <v>0.033</v>
      </c>
      <c r="EE497" s="8">
        <f>$EB$20*(1+G_HI)^(EB497-COST_DATE)</f>
        <v>644.3738716027477</v>
      </c>
      <c r="EF497" s="8">
        <f>EF496*(1+ED497)</f>
        <v>621.6225131980578</v>
      </c>
      <c r="EG497" s="8">
        <f>IF(EB497&lt;RULE_START,EF497,EG496*(1+G_HI))</f>
        <v>652.4591892066887</v>
      </c>
      <c r="EH497" s="8">
        <f>IF(EB497&lt;RULE_START,EF497,IF(EI497=1,R_NF_2024*(1+G_HI)^(EB497-2024),EH496*(1+ED497)))</f>
        <v>686.8010535032033</v>
      </c>
      <c r="EI497">
        <f>IF(AND(EB497&gt;=RULE_START,MOD(EB497-RULE_START,REBASE_YEARS)=0),1,0)</f>
        <v>1</v>
      </c>
      <c r="EJ497" s="8">
        <f>EF497*CAP_SHARE</f>
        <v>30.395680500277866</v>
      </c>
      <c r="EK497" s="8">
        <f>EG497*CAP_SHARE</f>
        <v>31.903511590285845</v>
      </c>
      <c r="EL497" s="8">
        <f>EH497*CAP_SHARE</f>
        <v>33.58273702498012</v>
      </c>
      <c r="EM497" s="8">
        <f>EF497-EJ497-EE497</f>
        <v>-53.14703890496776</v>
      </c>
      <c r="EN497" s="8">
        <f>EG497-EK497-EE497</f>
        <v>-23.818193986344795</v>
      </c>
      <c r="EO497" s="8">
        <f>EH497-EL497-EE497</f>
        <v>8.84444487547546</v>
      </c>
      <c r="EP497" s="8">
        <f>R_NF_2024*(1+G_HI)^(EB497-2024)</f>
        <v>686.8010535032033</v>
      </c>
      <c r="EQ497" s="10">
        <f>1-EF497/EP497</f>
        <v>0.0949016312259362</v>
      </c>
      <c r="ER497" s="10">
        <f>CPI_2023/(IF(EB497-1=2023,CPI_2023,IF(EB497-1=2024,CPI_2024,IF(EB497-1=2025,CPI_2025,CPI_2025*(1+INFL)^(EB497-1-2025)))))</f>
        <v>0.7977979688525441</v>
      </c>
      <c r="ES497" s="8">
        <f>$EB$21*ABS($EB$11)*(EG497-EF497)/EF497</f>
        <v>4945.549037030487</v>
      </c>
      <c r="ET497" s="8">
        <f>$EB$21*ABS($EB$11)*(EH497-EF497)/EF497</f>
        <v>10453.255958941363</v>
      </c>
      <c r="EU497" s="13">
        <f>(EG497-EF497)*MCD_NF_DAYS*ER497-ES497*MCD_SHARE_FREED*R_WAIT_2023</f>
        <v>10712827.180457786</v>
      </c>
      <c r="EV497" s="13">
        <f>(EH497-EF497)*MCD_NF_DAYS*ER497-ET497*MCD_SHARE_FREED*R_WAIT_2023</f>
        <v>22643375.63387484</v>
      </c>
      <c r="EW497" s="10">
        <f>IF(AND(EB497&gt;=RULE_START,EC497=1),1/(1+$EB$12)^(EB497-RULE_START+1),0)</f>
        <v>0.8705601786139138</v>
      </c>
      <c r="EX497">
        <f>IF(AND(EB497&gt;=RULE_START,EC497=1,EM497&lt;0),EB497,9999)</f>
        <v>2033</v>
      </c>
      <c r="EY497">
        <f>IF(AND(EB497&gt;=RULE_START,EC497=1,EN497&lt;0),EB497,9999)</f>
        <v>2033</v>
      </c>
      <c r="EZ497">
        <f>IF(AND(EB497&gt;=RULE_START,EC497=1,EO497&lt;0),EB497,9999)</f>
        <v>9999</v>
      </c>
      <c r="FB497" t="n">
        <v>2033</v>
      </c>
      <c r="FC497">
        <f>IF(FB497&lt;=RULE_START+$FB$38-1,1,0)</f>
        <v>1</v>
      </c>
      <c r="FD497" s="15">
        <f>IF(FB497=2024,G_IDX_2024,IF(FB497=2025,G_IDX_2025,IF(FB497=2026,G_IDX_2026,IF(FB497=2027,G_IDX_2027,$FB$13))))</f>
        <v>0.033</v>
      </c>
      <c r="FE497" s="8">
        <f>$FB$20*(1+G_HI)^(FB497-COST_DATE)</f>
        <v>663.1459762087693</v>
      </c>
      <c r="FF497" s="8">
        <f>FF496*(1+FD497)</f>
        <v>621.6225131980578</v>
      </c>
      <c r="FG497" s="8">
        <f>IF(FB497&lt;RULE_START,FF497,FG496*(1+G_HI))</f>
        <v>652.4591892066887</v>
      </c>
      <c r="FH497" s="8">
        <f>IF(FB497&lt;RULE_START,FF497,IF(FI497=1,R_NF_2024*(1+G_HI)^(FB497-2024),FH496*(1+FD497)))</f>
        <v>686.8010535032033</v>
      </c>
      <c r="FI497">
        <f>IF(AND(FB497&gt;=RULE_START,MOD(FB497-RULE_START,REBASE_YEARS)=0),1,0)</f>
        <v>1</v>
      </c>
      <c r="FJ497" s="8">
        <f>FF497*CAP_SHARE</f>
        <v>30.395680500277866</v>
      </c>
      <c r="FK497" s="8">
        <f>FG497*CAP_SHARE</f>
        <v>31.903511590285845</v>
      </c>
      <c r="FL497" s="8">
        <f>FH497*CAP_SHARE</f>
        <v>33.58273702498012</v>
      </c>
      <c r="FM497" s="8">
        <f>FF497-FJ497-FE497</f>
        <v>-71.91914351098933</v>
      </c>
      <c r="FN497" s="8">
        <f>FG497-FK497-FE497</f>
        <v>-42.590298592366366</v>
      </c>
      <c r="FO497" s="8">
        <f>FH497-FL497-FE497</f>
        <v>-9.927659730546111</v>
      </c>
      <c r="FP497" s="8">
        <f>R_NF_2024*(1+G_HI)^(FB497-2024)</f>
        <v>686.8010535032033</v>
      </c>
      <c r="FQ497" s="10">
        <f>1-FF497/FP497</f>
        <v>0.0949016312259362</v>
      </c>
      <c r="FR497" s="10">
        <f>CPI_2023/(IF(FB497-1=2023,CPI_2023,IF(FB497-1=2024,CPI_2024,IF(FB497-1=2025,CPI_2025,CPI_2025*(1+INFL)^(FB497-1-2025)))))</f>
        <v>0.7977979688525441</v>
      </c>
      <c r="FS497" s="8">
        <f>$FB$21*ABS($FB$11)*(FG497-FF497)/FF497</f>
        <v>4945.549037030487</v>
      </c>
      <c r="FT497" s="8">
        <f>$FB$21*ABS($FB$11)*(FH497-FF497)/FF497</f>
        <v>10453.255958941363</v>
      </c>
      <c r="FU497" s="13">
        <f>(FG497-FF497)*MCD_NF_DAYS*FR497-FS497*MCD_SHARE_FREED*R_WAIT_2023</f>
        <v>10712827.180457786</v>
      </c>
      <c r="FV497" s="13">
        <f>(FH497-FF497)*MCD_NF_DAYS*FR497-FT497*MCD_SHARE_FREED*R_WAIT_2023</f>
        <v>22643375.63387484</v>
      </c>
      <c r="FW497" s="10">
        <f>IF(AND(FB497&gt;=RULE_START,FC497=1),1/(1+$FB$12)^(FB497-RULE_START+1),0)</f>
        <v>0.8705601786139138</v>
      </c>
      <c r="FX497">
        <f>IF(AND(FB497&gt;=RULE_START,FC497=1,FM497&lt;0),FB497,9999)</f>
        <v>2033</v>
      </c>
      <c r="FY497">
        <f>IF(AND(FB497&gt;=RULE_START,FC497=1,FN497&lt;0),FB497,9999)</f>
        <v>2033</v>
      </c>
      <c r="FZ497">
        <f>IF(AND(FB497&gt;=RULE_START,FC497=1,FO497&lt;0),FB497,9999)</f>
        <v>2033</v>
      </c>
      <c r="GB497" t="n">
        <v>2033</v>
      </c>
      <c r="GC497">
        <f>IF(GB497&lt;=RULE_START+$GB$38-1,1,0)</f>
        <v>1</v>
      </c>
      <c r="GD497" s="15">
        <f>IF(GB497=2024,G_IDX_2024,IF(GB497=2025,G_IDX_2025,IF(GB497=2026,G_IDX_2026,IF(GB497=2027,G_IDX_2027,$GB$13))))</f>
        <v>0.033</v>
      </c>
      <c r="GE497" s="8">
        <f>$GB$20*(1+G_HI)^(GB497-COST_DATE)</f>
        <v>644.3738716027477</v>
      </c>
      <c r="GF497" s="8">
        <f>GF496*(1+GD497)</f>
        <v>621.6225131980578</v>
      </c>
      <c r="GG497" s="8">
        <f>IF(GB497&lt;RULE_START,GF497,GG496*(1+G_HI))</f>
        <v>652.4591892066887</v>
      </c>
      <c r="GH497" s="8">
        <f>IF(GB497&lt;RULE_START,GF497,IF(GI497=1,R_NF_2024*(1+G_HI)^(GB497-2024),GH496*(1+GD497)))</f>
        <v>686.8010535032033</v>
      </c>
      <c r="GI497">
        <f>IF(AND(GB497&gt;=RULE_START,MOD(GB497-RULE_START,REBASE_YEARS)=0),1,0)</f>
        <v>1</v>
      </c>
      <c r="GJ497" s="8">
        <f>GF497*CAP_SHARE</f>
        <v>30.395680500277866</v>
      </c>
      <c r="GK497" s="8">
        <f>GG497*CAP_SHARE</f>
        <v>31.903511590285845</v>
      </c>
      <c r="GL497" s="8">
        <f>GH497*CAP_SHARE</f>
        <v>33.58273702498012</v>
      </c>
      <c r="GM497" s="8">
        <f>GF497-GJ497-GE497</f>
        <v>-53.14703890496776</v>
      </c>
      <c r="GN497" s="8">
        <f>GG497-GK497-GE497</f>
        <v>-23.818193986344795</v>
      </c>
      <c r="GO497" s="8">
        <f>GH497-GL497-GE497</f>
        <v>8.84444487547546</v>
      </c>
      <c r="GP497" s="8">
        <f>R_NF_2024*(1+G_HI)^(GB497-2024)</f>
        <v>686.8010535032033</v>
      </c>
      <c r="GQ497" s="10">
        <f>1-GF497/GP497</f>
        <v>0.0949016312259362</v>
      </c>
      <c r="GR497" s="10">
        <f>CPI_2023/(IF(GB497-1=2023,CPI_2023,IF(GB497-1=2024,CPI_2024,IF(GB497-1=2025,CPI_2025,CPI_2025*(1+INFL)^(GB497-1-2025)))))</f>
        <v>0.7977979688525441</v>
      </c>
      <c r="GS497" s="8">
        <f>$GB$21*ABS($GB$11)*(GG497-GF497)/GF497</f>
        <v>3733.1476170207256</v>
      </c>
      <c r="GT497" s="8">
        <f>$GB$21*ABS($GB$11)*(GH497-GF497)/GF497</f>
        <v>7890.640105079416</v>
      </c>
      <c r="GU497" s="13">
        <f>(GG497-GF497)*MCD_NF_DAYS*GR497-GS497*MCD_SHARE_FREED*R_WAIT_2023</f>
        <v>11264128.81556474</v>
      </c>
      <c r="GV497" s="13">
        <f>(GH497-GF497)*MCD_NF_DAYS*GR497-GT497*MCD_SHARE_FREED*R_WAIT_2023</f>
        <v>23808645.062851362</v>
      </c>
      <c r="GW497" s="10">
        <f>IF(AND(GB497&gt;=RULE_START,GC497=1),1/(1+$GB$12)^(GB497-RULE_START+1),0)</f>
        <v>0.8705601786139138</v>
      </c>
      <c r="GX497">
        <f>IF(AND(GB497&gt;=RULE_START,GC497=1,GM497&lt;0),GB497,9999)</f>
        <v>2033</v>
      </c>
      <c r="GY497">
        <f>IF(AND(GB497&gt;=RULE_START,GC497=1,GN497&lt;0),GB497,9999)</f>
        <v>2033</v>
      </c>
      <c r="GZ497">
        <f>IF(AND(GB497&gt;=RULE_START,GC497=1,GO497&lt;0),GB497,9999)</f>
        <v>9999</v>
      </c>
      <c r="HB497" t="n">
        <v>2033</v>
      </c>
      <c r="HC497">
        <f>IF(HB497&lt;=RULE_START+$HB$38-1,1,0)</f>
        <v>1</v>
      </c>
      <c r="HD497" s="15">
        <f>IF(HB497=2024,G_IDX_2024,IF(HB497=2025,G_IDX_2025,IF(HB497=2026,G_IDX_2026,IF(HB497=2027,G_IDX_2027,$HB$13))))</f>
        <v>0.033</v>
      </c>
      <c r="HE497" s="8">
        <f>$HB$20*(1+G_HI)^(HB497-COST_DATE)</f>
        <v>644.3738716027477</v>
      </c>
      <c r="HF497" s="8">
        <f>HF496*(1+HD497)</f>
        <v>621.6225131980578</v>
      </c>
      <c r="HG497" s="8">
        <f>IF(HB497&lt;RULE_START,HF497,HG496*(1+G_HI))</f>
        <v>652.4591892066887</v>
      </c>
      <c r="HH497" s="8">
        <f>IF(HB497&lt;RULE_START,HF497,IF(HI497=1,R_NF_2024*(1+G_HI)^(HB497-2024),HH496*(1+HD497)))</f>
        <v>686.8010535032033</v>
      </c>
      <c r="HI497">
        <f>IF(AND(HB497&gt;=RULE_START,MOD(HB497-RULE_START,REBASE_YEARS)=0),1,0)</f>
        <v>1</v>
      </c>
      <c r="HJ497" s="8">
        <f>HF497*CAP_SHARE</f>
        <v>30.395680500277866</v>
      </c>
      <c r="HK497" s="8">
        <f>HG497*CAP_SHARE</f>
        <v>31.903511590285845</v>
      </c>
      <c r="HL497" s="8">
        <f>HH497*CAP_SHARE</f>
        <v>33.58273702498012</v>
      </c>
      <c r="HM497" s="8">
        <f>HF497-HJ497-HE497</f>
        <v>-53.14703890496776</v>
      </c>
      <c r="HN497" s="8">
        <f>HG497-HK497-HE497</f>
        <v>-23.818193986344795</v>
      </c>
      <c r="HO497" s="8">
        <f>HH497-HL497-HE497</f>
        <v>8.84444487547546</v>
      </c>
      <c r="HP497" s="8">
        <f>R_NF_2024*(1+G_HI)^(HB497-2024)</f>
        <v>686.8010535032033</v>
      </c>
      <c r="HQ497" s="10">
        <f>1-HF497/HP497</f>
        <v>0.0949016312259362</v>
      </c>
      <c r="HR497" s="10">
        <f>CPI_2023/(IF(HB497-1=2023,CPI_2023,IF(HB497-1=2024,CPI_2024,IF(HB497-1=2025,CPI_2025,CPI_2025*(1+INFL)^(HB497-1-2025)))))</f>
        <v>0.7977979688525441</v>
      </c>
      <c r="HS497" s="8">
        <f>$HB$21*ABS($HB$11)*(HG497-HF497)/HF497</f>
        <v>4945.549037030487</v>
      </c>
      <c r="HT497" s="8">
        <f>$HB$21*ABS($HB$11)*(HH497-HF497)/HF497</f>
        <v>10453.255958941363</v>
      </c>
      <c r="HU497" s="13">
        <f>(HG497-HF497)*MCD_NF_DAYS*HR497-HS497*MCD_SHARE_FREED*R_WAIT_2023</f>
        <v>10712827.180457786</v>
      </c>
      <c r="HV497" s="13">
        <f>(HH497-HF497)*MCD_NF_DAYS*HR497-HT497*MCD_SHARE_FREED*R_WAIT_2023</f>
        <v>22643375.63387484</v>
      </c>
      <c r="HW497" s="10">
        <f>IF(AND(HB497&gt;=RULE_START,HC497=1),1/(1+$HB$12)^(HB497-RULE_START+1),0)</f>
        <v>0.8130915113433536</v>
      </c>
      <c r="HX497">
        <f>IF(AND(HB497&gt;=RULE_START,HC497=1,HM497&lt;0),HB497,9999)</f>
        <v>2033</v>
      </c>
      <c r="HY497">
        <f>IF(AND(HB497&gt;=RULE_START,HC497=1,HN497&lt;0),HB497,9999)</f>
        <v>2033</v>
      </c>
      <c r="HZ497">
        <f>IF(AND(HB497&gt;=RULE_START,HC497=1,HO497&lt;0),HB497,9999)</f>
        <v>9999</v>
      </c>
      <c r="IB497" t="n">
        <v>2033</v>
      </c>
      <c r="IC497">
        <f>IF(IB497&lt;=RULE_START+$IB$38-1,1,0)</f>
        <v>1</v>
      </c>
      <c r="ID497" s="15">
        <f>IF(IB497=2024,G_IDX_2024,IF(IB497=2025,G_IDX_2025,IF(IB497=2026,G_IDX_2026,IF(IB497=2027,G_IDX_2027,$IB$13))))</f>
        <v>0.033</v>
      </c>
      <c r="IE497" s="8">
        <f>$IB$20*(1+G_HI)^(IB497-COST_DATE)</f>
        <v>644.3738716027477</v>
      </c>
      <c r="IF497" s="8">
        <f>IF496*(1+ID497)</f>
        <v>621.6225131980578</v>
      </c>
      <c r="IG497" s="8">
        <f>IF(IB497&lt;RULE_START,IF497,IG496*(1+G_HI))</f>
        <v>652.4591892066887</v>
      </c>
      <c r="IH497" s="8">
        <f>IF(IB497&lt;RULE_START,IF497,IF(II497=1,R_NF_2024*(1+G_HI)^(IB497-2024),IH496*(1+ID497)))</f>
        <v>686.8010535032033</v>
      </c>
      <c r="II497">
        <f>IF(AND(IB497&gt;=RULE_START,MOD(IB497-RULE_START,REBASE_YEARS)=0),1,0)</f>
        <v>1</v>
      </c>
      <c r="IJ497" s="8">
        <f>IF497*CAP_SHARE</f>
        <v>30.395680500277866</v>
      </c>
      <c r="IK497" s="8">
        <f>IG497*CAP_SHARE</f>
        <v>31.903511590285845</v>
      </c>
      <c r="IL497" s="8">
        <f>IH497*CAP_SHARE</f>
        <v>33.58273702498012</v>
      </c>
      <c r="IM497" s="8">
        <f>IF497-IJ497-IE497</f>
        <v>-53.14703890496776</v>
      </c>
      <c r="IN497" s="8">
        <f>IG497-IK497-IE497</f>
        <v>-23.818193986344795</v>
      </c>
      <c r="IO497" s="8">
        <f>IH497-IL497-IE497</f>
        <v>8.84444487547546</v>
      </c>
      <c r="IP497" s="8">
        <f>R_NF_2024*(1+G_HI)^(IB497-2024)</f>
        <v>686.8010535032033</v>
      </c>
      <c r="IQ497" s="10">
        <f>1-IF497/IP497</f>
        <v>0.0949016312259362</v>
      </c>
      <c r="IR497" s="10">
        <f>CPI_2023/(IF(IB497-1=2023,CPI_2023,IF(IB497-1=2024,CPI_2024,IF(IB497-1=2025,CPI_2025,CPI_2025*(1+INFL)^(IB497-1-2025)))))</f>
        <v>0.7977979688525441</v>
      </c>
      <c r="IS497" s="8">
        <f>$IB$21*ABS($IB$11)*(IG497-IF497)/IF497</f>
        <v>4945.549037030487</v>
      </c>
      <c r="IT497" s="8">
        <f>$IB$21*ABS($IB$11)*(IH497-IF497)/IF497</f>
        <v>10453.255958941363</v>
      </c>
      <c r="IU497" s="13">
        <f>(IG497-IF497)*MCD_NF_DAYS*IR497-IS497*MCD_SHARE_FREED*R_WAIT_2023</f>
        <v>10712827.180457786</v>
      </c>
      <c r="IV497" s="13">
        <f>(IH497-IF497)*MCD_NF_DAYS*IR497-IT497*MCD_SHARE_FREED*R_WAIT_2023</f>
        <v>22643375.63387484</v>
      </c>
      <c r="IW497" s="10">
        <f>IF(AND(IB497&gt;=RULE_START,IC497=1),1/(1+$IB$12)^(IB497-RULE_START+1),0)</f>
        <v>0.622749741884591</v>
      </c>
      <c r="IX497">
        <f>IF(AND(IB497&gt;=RULE_START,IC497=1,IM497&lt;0),IB497,9999)</f>
        <v>2033</v>
      </c>
      <c r="IY497">
        <f>IF(AND(IB497&gt;=RULE_START,IC497=1,IN497&lt;0),IB497,9999)</f>
        <v>2033</v>
      </c>
      <c r="IZ497">
        <f>IF(AND(IB497&gt;=RULE_START,IC497=1,IO497&lt;0),IB497,9999)</f>
        <v>9999</v>
      </c>
      <c r="JB497" t="n">
        <v>2033</v>
      </c>
      <c r="JC497">
        <f>IF(JB497&lt;=RULE_START+$JB$38-1,1,0)</f>
        <v>1</v>
      </c>
      <c r="JD497" s="15">
        <f>IF(JB497=2024,G_IDX_2024,IF(JB497=2025,G_IDX_2025,IF(JB497=2026,G_IDX_2026,IF(JB497=2027,G_IDX_2027,$JB$13))))</f>
        <v>0.03</v>
      </c>
      <c r="JE497" s="8">
        <f>$JB$20*(1+G_HI)^(JB497-COST_DATE)</f>
        <v>644.3738716027477</v>
      </c>
      <c r="JF497" s="8">
        <f>JF496*(1+JD497)</f>
        <v>610.8690950512349</v>
      </c>
      <c r="JG497" s="8">
        <f>IF(JB497&lt;RULE_START,JF497,JG496*(1+G_HI))</f>
        <v>652.4591892066887</v>
      </c>
      <c r="JH497" s="8">
        <f>IF(JB497&lt;RULE_START,JF497,IF(JI497=1,R_NF_2024*(1+G_HI)^(JB497-2024),JH496*(1+JD497)))</f>
        <v>686.8010535032033</v>
      </c>
      <c r="JI497">
        <f>IF(AND(JB497&gt;=RULE_START,MOD(JB497-RULE_START,REBASE_YEARS)=0),1,0)</f>
        <v>1</v>
      </c>
      <c r="JJ497" s="8">
        <f>JF497*CAP_SHARE</f>
        <v>29.869867075993827</v>
      </c>
      <c r="JK497" s="8">
        <f>JG497*CAP_SHARE</f>
        <v>31.903511590285845</v>
      </c>
      <c r="JL497" s="8">
        <f>JH497*CAP_SHARE</f>
        <v>33.58273702498012</v>
      </c>
      <c r="JM497" s="8">
        <f>JF497-JJ497-JE497</f>
        <v>-63.37464362750666</v>
      </c>
      <c r="JN497" s="8">
        <f>JG497-JK497-JE497</f>
        <v>-23.818193986344795</v>
      </c>
      <c r="JO497" s="8">
        <f>JH497-JL497-JE497</f>
        <v>8.84444487547546</v>
      </c>
      <c r="JP497" s="8">
        <f>R_NF_2024*(1+G_HI)^(JB497-2024)</f>
        <v>686.8010535032033</v>
      </c>
      <c r="JQ497" s="10">
        <f>1-JF497/JP497</f>
        <v>0.11055888465030472</v>
      </c>
      <c r="JR497" s="10">
        <f>CPI_2023/(IF(JB497-1=2023,CPI_2023,IF(JB497-1=2024,CPI_2024,IF(JB497-1=2025,CPI_2025,CPI_2025*(1+INFL)^(JB497-1-2025)))))</f>
        <v>0.7977979688525441</v>
      </c>
      <c r="JS497" s="8">
        <f>$JB$21*ABS($JB$11)*(JG497-JF497)/JF497</f>
        <v>6787.587466548432</v>
      </c>
      <c r="JT497" s="8">
        <f>$JB$21*ABS($JB$11)*(JH497-JF497)/JF497</f>
        <v>12392.249163289569</v>
      </c>
      <c r="JU497" s="13">
        <f>(JG497-JF497)*MCD_NF_DAYS*JR497-JS497*MCD_SHARE_FREED*R_WAIT_2023</f>
        <v>14395230.27712237</v>
      </c>
      <c r="JV497" s="13">
        <f>(JH497-JF497)*MCD_NF_DAYS*JR497-JT497*MCD_SHARE_FREED*R_WAIT_2023</f>
        <v>26281691.57836922</v>
      </c>
      <c r="JW497" s="10">
        <f>IF(AND(JB497&gt;=RULE_START,JC497=1),1/(1+$JB$12)^(JB497-RULE_START+1),0)</f>
        <v>0.8705601786139138</v>
      </c>
      <c r="JX497">
        <f>IF(AND(JB497&gt;=RULE_START,JC497=1,JM497&lt;0),JB497,9999)</f>
        <v>2033</v>
      </c>
      <c r="JY497">
        <f>IF(AND(JB497&gt;=RULE_START,JC497=1,JN497&lt;0),JB497,9999)</f>
        <v>2033</v>
      </c>
      <c r="JZ497">
        <f>IF(AND(JB497&gt;=RULE_START,JC497=1,JO497&lt;0),JB497,9999)</f>
        <v>9999</v>
      </c>
      <c r="KB497" t="n">
        <v>2033</v>
      </c>
      <c r="KC497">
        <f>IF(KB497&lt;=RULE_START+$KB$38-1,1,0)</f>
        <v>1</v>
      </c>
      <c r="KD497" s="15">
        <f>IF(KB497=2024,G_IDX_2024,IF(KB497=2025,G_IDX_2025,IF(KB497=2026,G_IDX_2026,IF(KB497=2027,G_IDX_2027,$KB$13))))</f>
        <v>0.033</v>
      </c>
      <c r="KE497" s="8">
        <f>$KB$20*(1+G_HI)^(KB497-COST_DATE)</f>
        <v>644.3738716027477</v>
      </c>
      <c r="KF497" s="8">
        <f>KF496*(1+KD497)</f>
        <v>621.6225131980578</v>
      </c>
      <c r="KG497" s="8">
        <f>IF(KB497&lt;RULE_START,KF497,KG496*(1+G_HI))</f>
        <v>652.4591892066887</v>
      </c>
      <c r="KH497" s="8">
        <f>IF(KB497&lt;RULE_START,KF497,IF(KI497=1,R_NF_2024*(1+G_HI)^(KB497-2024),KH496*(1+KD497)))</f>
        <v>686.8010535032033</v>
      </c>
      <c r="KI497">
        <f>IF(AND(KB497&gt;=RULE_START,MOD(KB497-RULE_START,REBASE_YEARS)=0),1,0)</f>
        <v>1</v>
      </c>
      <c r="KJ497" s="8">
        <f>KF497*CAP_SHARE</f>
        <v>30.395680500277866</v>
      </c>
      <c r="KK497" s="8">
        <f>KG497*CAP_SHARE</f>
        <v>31.903511590285845</v>
      </c>
      <c r="KL497" s="8">
        <f>KH497*CAP_SHARE</f>
        <v>33.58273702498012</v>
      </c>
      <c r="KM497" s="8">
        <f>KF497-KJ497-KE497</f>
        <v>-53.14703890496776</v>
      </c>
      <c r="KN497" s="8">
        <f>KG497-KK497-KE497</f>
        <v>-23.818193986344795</v>
      </c>
      <c r="KO497" s="8">
        <f>KH497-KL497-KE497</f>
        <v>8.84444487547546</v>
      </c>
      <c r="KP497" s="8">
        <f>R_NF_2024*(1+G_HI)^(KB497-2024)</f>
        <v>686.8010535032033</v>
      </c>
      <c r="KQ497" s="10">
        <f>1-KF497/KP497</f>
        <v>0.0949016312259362</v>
      </c>
      <c r="KR497" s="10">
        <f>CPI_2023/(IF(KB497-1=2023,CPI_2023,IF(KB497-1=2024,CPI_2024,IF(KB497-1=2025,CPI_2025,CPI_2025*(1+INFL)^(KB497-1-2025)))))</f>
        <v>0.7977979688525441</v>
      </c>
      <c r="KS497" s="8">
        <f>$KB$21*ABS($KB$11)*(KG497-KF497)/KF497</f>
        <v>4945.549037030487</v>
      </c>
      <c r="KT497" s="8">
        <f>$KB$21*ABS($KB$11)*(KH497-KF497)/KF497</f>
        <v>10453.255958941363</v>
      </c>
      <c r="KU497" s="13">
        <f>(KG497-KF497)*MCD_NF_DAYS*KR497-KS497*MCD_SHARE_FREED*R_WAIT_2023</f>
        <v>10712827.180457786</v>
      </c>
      <c r="KV497" s="13">
        <f>(KH497-KF497)*MCD_NF_DAYS*KR497-KT497*MCD_SHARE_FREED*R_WAIT_2023</f>
        <v>22643375.63387484</v>
      </c>
      <c r="KW497" s="10">
        <f>IF(AND(KB497&gt;=RULE_START,KC497=1),1/(1+$KB$12)^(KB497-RULE_START+1),0)</f>
        <v>0.8705601786139138</v>
      </c>
      <c r="KX497">
        <f>IF(AND(KB497&gt;=RULE_START,KC497=1,KM497&lt;0),KB497,9999)</f>
        <v>2033</v>
      </c>
      <c r="KY497">
        <f>IF(AND(KB497&gt;=RULE_START,KC497=1,KN497&lt;0),KB497,9999)</f>
        <v>2033</v>
      </c>
      <c r="KZ497">
        <f>IF(AND(KB497&gt;=RULE_START,KC497=1,KO497&lt;0),KB497,9999)</f>
        <v>9999</v>
      </c>
      <c r="LB497" t="n">
        <v>2033</v>
      </c>
      <c r="LC497">
        <f>IF(LB497&lt;=RULE_START+$LB$38-1,1,0)</f>
        <v>1</v>
      </c>
      <c r="LD497" s="15">
        <f>IF(LB497=2024,G_IDX_2024,IF(LB497=2025,G_IDX_2025,IF(LB497=2026,G_IDX_2026,IF(LB497=2027,G_IDX_2027,$LB$13))))</f>
        <v>0.033</v>
      </c>
      <c r="LE497" s="8">
        <f>$LB$20*(1+G_HI)^(LB497-COST_DATE)</f>
        <v>644.3738716027477</v>
      </c>
      <c r="LF497" s="8">
        <f>LF496*(1+LD497)</f>
        <v>621.6225131980578</v>
      </c>
      <c r="LG497" s="8">
        <f>IF(LB497&lt;RULE_START,LF497,LG496*(1+G_HI))</f>
        <v>652.4591892066887</v>
      </c>
      <c r="LH497" s="8">
        <f>IF(LB497&lt;RULE_START,LF497,IF(LI497=1,R_NF_2024*(1+G_HI)^(LB497-2024),LH496*(1+LD497)))</f>
        <v>686.8010535032033</v>
      </c>
      <c r="LI497">
        <f>IF(AND(LB497&gt;=RULE_START,MOD(LB497-RULE_START,REBASE_YEARS)=0),1,0)</f>
        <v>1</v>
      </c>
      <c r="LJ497" s="8">
        <f>LF497*CAP_SHARE</f>
        <v>30.395680500277866</v>
      </c>
      <c r="LK497" s="8">
        <f>LG497*CAP_SHARE</f>
        <v>31.903511590285845</v>
      </c>
      <c r="LL497" s="8">
        <f>LH497*CAP_SHARE</f>
        <v>33.58273702498012</v>
      </c>
      <c r="LM497" s="8">
        <f>LF497-LJ497-LE497</f>
        <v>-53.14703890496776</v>
      </c>
      <c r="LN497" s="8">
        <f>LG497-LK497-LE497</f>
        <v>-23.818193986344795</v>
      </c>
      <c r="LO497" s="8">
        <f>LH497-LL497-LE497</f>
        <v>8.84444487547546</v>
      </c>
      <c r="LP497" s="8">
        <f>R_NF_2024*(1+G_HI)^(LB497-2024)</f>
        <v>686.8010535032033</v>
      </c>
      <c r="LQ497" s="10">
        <f>1-LF497/LP497</f>
        <v>0.0949016312259362</v>
      </c>
      <c r="LR497" s="10">
        <f>CPI_2023/(IF(LB497-1=2023,CPI_2023,IF(LB497-1=2024,CPI_2024,IF(LB497-1=2025,CPI_2025,CPI_2025*(1+INFL)^(LB497-1-2025)))))</f>
        <v>0.7977979688525441</v>
      </c>
      <c r="LS497" s="8">
        <f>$LB$21*ABS($LB$11)*(LG497-LF497)/LF497</f>
        <v>4945.549037030487</v>
      </c>
      <c r="LT497" s="8">
        <f>$LB$21*ABS($LB$11)*(LH497-LF497)/LF497</f>
        <v>10453.255958941363</v>
      </c>
      <c r="LU497" s="13">
        <f>(LG497-LF497)*MCD_NF_DAYS*LR497-LS497*MCD_SHARE_FREED*R_WAIT_2023</f>
        <v>10712827.180457786</v>
      </c>
      <c r="LV497" s="13">
        <f>(LH497-LF497)*MCD_NF_DAYS*LR497-LT497*MCD_SHARE_FREED*R_WAIT_2023</f>
        <v>22643375.63387484</v>
      </c>
      <c r="LW497" s="10">
        <f>IF(AND(LB497&gt;=RULE_START,LC497=1),1/(1+$LB$12)^(LB497-RULE_START+1),0)</f>
        <v>0.8705601786139138</v>
      </c>
      <c r="LX497">
        <f>IF(AND(LB497&gt;=RULE_START,LC497=1,LM497&lt;0),LB497,9999)</f>
        <v>2033</v>
      </c>
      <c r="LY497">
        <f>IF(AND(LB497&gt;=RULE_START,LC497=1,LN497&lt;0),LB497,9999)</f>
        <v>2033</v>
      </c>
      <c r="LZ497">
        <f>IF(AND(LB497&gt;=RULE_START,LC497=1,LO497&lt;0),LB497,9999)</f>
        <v>9999</v>
      </c>
      <c r="MB497" t="n">
        <v>2033</v>
      </c>
      <c r="MC497">
        <f>IF(MB497&lt;=RULE_START+$MB$38-1,1,0)</f>
        <v>1</v>
      </c>
      <c r="MD497" s="15">
        <f>IF(MB497=2024,G_IDX_2024,IF(MB497=2025,G_IDX_2025,IF(MB497=2026,G_IDX_2026,IF(MB497=2027,G_IDX_2027,$MB$13))))</f>
        <v>0.033</v>
      </c>
      <c r="ME497" s="8">
        <f>$MB$20*(1+G_HI)^(MB497-COST_DATE)</f>
        <v>644.3738716027477</v>
      </c>
      <c r="MF497" s="8">
        <f>MF496*(1+MD497)</f>
        <v>621.6225131980578</v>
      </c>
      <c r="MG497" s="8">
        <f>IF(MB497&lt;RULE_START,MF497,MG496*(1+G_HI))</f>
        <v>652.4591892066887</v>
      </c>
      <c r="MH497" s="8">
        <f>IF(MB497&lt;RULE_START,MF497,IF(MI497=1,R_NF_2024*(1+G_HI)^(MB497-2024),MH496*(1+MD497)))</f>
        <v>686.8010535032033</v>
      </c>
      <c r="MI497">
        <f>IF(AND(MB497&gt;=RULE_START,MOD(MB497-RULE_START,REBASE_YEARS)=0),1,0)</f>
        <v>1</v>
      </c>
      <c r="MJ497" s="8">
        <f>MF497*CAP_SHARE</f>
        <v>30.395680500277866</v>
      </c>
      <c r="MK497" s="8">
        <f>MG497*CAP_SHARE</f>
        <v>31.903511590285845</v>
      </c>
      <c r="ML497" s="8">
        <f>MH497*CAP_SHARE</f>
        <v>33.58273702498012</v>
      </c>
      <c r="MM497" s="8">
        <f>MF497-MJ497-ME497</f>
        <v>-53.14703890496776</v>
      </c>
      <c r="MN497" s="8">
        <f>MG497-MK497-ME497</f>
        <v>-23.818193986344795</v>
      </c>
      <c r="MO497" s="8">
        <f>MH497-ML497-ME497</f>
        <v>8.84444487547546</v>
      </c>
      <c r="MP497" s="8">
        <f>R_NF_2024*(1+G_HI)^(MB497-2024)</f>
        <v>686.8010535032033</v>
      </c>
      <c r="MQ497" s="10">
        <f>1-MF497/MP497</f>
        <v>0.0949016312259362</v>
      </c>
      <c r="MR497" s="10">
        <f>CPI_2023/(IF(MB497-1=2023,CPI_2023,IF(MB497-1=2024,CPI_2024,IF(MB497-1=2025,CPI_2025,CPI_2025*(1+INFL)^(MB497-1-2025)))))</f>
        <v>0.7977979688525441</v>
      </c>
      <c r="MS497" s="8">
        <f>$MB$21*ABS($MB$11)*(MG497-MF497)/MF497</f>
        <v>3623.0579103730333</v>
      </c>
      <c r="MT497" s="8">
        <f>$MB$21*ABS($MB$11)*(MH497-MF497)/MF497</f>
        <v>7657.94685435713</v>
      </c>
      <c r="MU497" s="13">
        <f>(MG497-MF497)*MCD_NF_DAYS*MR497-MS497*MCD_SHARE_FREED*R_WAIT_2023</f>
        <v>11314188.667262066</v>
      </c>
      <c r="MV497" s="13">
        <f>(MH497-MF497)*MCD_NF_DAYS*MR497-MT497*MCD_SHARE_FREED*R_WAIT_2023</f>
        <v>23914455.042520072</v>
      </c>
      <c r="MW497" s="10">
        <f>IF(AND(MB497&gt;=RULE_START,MC497=1),1/(1+$MB$12)^(MB497-RULE_START+1),0)</f>
        <v>0.8705601786139138</v>
      </c>
      <c r="MX497">
        <f>IF(AND(MB497&gt;=RULE_START,MC497=1,MM497&lt;0),MB497,9999)</f>
        <v>2033</v>
      </c>
      <c r="MY497">
        <f>IF(AND(MB497&gt;=RULE_START,MC497=1,MN497&lt;0),MB497,9999)</f>
        <v>2033</v>
      </c>
      <c r="MZ497">
        <f>IF(AND(MB497&gt;=RULE_START,MC497=1,MO497&lt;0),MB497,9999)</f>
        <v>9999</v>
      </c>
      <c r="NB497" t="n">
        <v>2033</v>
      </c>
      <c r="NC497">
        <f>IF(NB497&lt;=RULE_START+$NB$38-1,1,0)</f>
        <v>1</v>
      </c>
      <c r="ND497" s="15">
        <f>IF(NB497=2024,G_IDX_2024,IF(NB497=2025,G_IDX_2025,IF(NB497=2026,G_IDX_2026,IF(NB497=2027,G_IDX_2027,$NB$13))))</f>
        <v>0.033</v>
      </c>
      <c r="NE497" s="8">
        <f>$NB$20*(1+G_HI)^(NB497-COST_DATE)</f>
        <v>644.3738716027477</v>
      </c>
      <c r="NF497" s="8">
        <f>NF496*(1+ND497)</f>
        <v>621.6225131980578</v>
      </c>
      <c r="NG497" s="8">
        <f>IF(NB497&lt;RULE_START,NF497,NG496*(1+G_HI))</f>
        <v>652.4591892066887</v>
      </c>
      <c r="NH497" s="8">
        <f>IF(NB497&lt;RULE_START,NF497,IF(NI497=1,R_NF_2024*(1+G_HI)^(NB497-2024),NH496*(1+ND497)))</f>
        <v>686.8010535032033</v>
      </c>
      <c r="NI497">
        <f>IF(AND(NB497&gt;=RULE_START,MOD(NB497-RULE_START,REBASE_YEARS)=0),1,0)</f>
        <v>1</v>
      </c>
      <c r="NJ497" s="8">
        <f>NF497*CAP_SHARE</f>
        <v>30.395680500277866</v>
      </c>
      <c r="NK497" s="8">
        <f>NG497*CAP_SHARE</f>
        <v>31.903511590285845</v>
      </c>
      <c r="NL497" s="8">
        <f>NH497*CAP_SHARE</f>
        <v>33.58273702498012</v>
      </c>
      <c r="NM497" s="8">
        <f>NF497-NJ497-NE497</f>
        <v>-53.14703890496776</v>
      </c>
      <c r="NN497" s="8">
        <f>NG497-NK497-NE497</f>
        <v>-23.818193986344795</v>
      </c>
      <c r="NO497" s="8">
        <f>NH497-NL497-NE497</f>
        <v>8.84444487547546</v>
      </c>
      <c r="NP497" s="8">
        <f>R_NF_2024*(1+G_HI)^(NB497-2024)</f>
        <v>686.8010535032033</v>
      </c>
      <c r="NQ497" s="10">
        <f>1-NF497/NP497</f>
        <v>0.0949016312259362</v>
      </c>
      <c r="NR497" s="10">
        <f>CPI_2023/(IF(NB497-1=2023,CPI_2023,IF(NB497-1=2024,CPI_2024,IF(NB497-1=2025,CPI_2025,CPI_2025*(1+INFL)^(NB497-1-2025)))))</f>
        <v>0.7977979688525441</v>
      </c>
      <c r="NS497" s="8">
        <f>$NB$21*ABS($NB$11)*(NG497-NF497)/NF497</f>
        <v>4945.549037030487</v>
      </c>
      <c r="NT497" s="8">
        <f>$NB$21*ABS($NB$11)*(NH497-NF497)/NF497</f>
        <v>10453.255958941363</v>
      </c>
      <c r="NU497" s="13">
        <f>(NG497-NF497)*MCD_NF_DAYS*NR497-NS497*MCD_SHARE_FREED*R_WAIT_2023</f>
        <v>10712827.180457786</v>
      </c>
      <c r="NV497" s="13">
        <f>(NH497-NF497)*MCD_NF_DAYS*NR497-NT497*MCD_SHARE_FREED*R_WAIT_2023</f>
        <v>22643375.63387484</v>
      </c>
      <c r="NW497" s="10">
        <f>IF(AND(NB497&gt;=RULE_START,NC497=1),1/(1+$NB$12)^(NB497-RULE_START+1),0)</f>
        <v>0.8705601786139138</v>
      </c>
      <c r="NX497">
        <f>IF(AND(NB497&gt;=RULE_START,NC497=1,NM497&lt;0),NB497,9999)</f>
        <v>2033</v>
      </c>
      <c r="NY497">
        <f>IF(AND(NB497&gt;=RULE_START,NC497=1,NN497&lt;0),NB497,9999)</f>
        <v>2033</v>
      </c>
      <c r="NZ497">
        <f>IF(AND(NB497&gt;=RULE_START,NC497=1,NO497&lt;0),NB497,9999)</f>
        <v>9999</v>
      </c>
      <c r="OB497" t="n">
        <v>2033</v>
      </c>
      <c r="OC497">
        <f>IF(OB497&lt;=RULE_START+$OB$38-1,1,0)</f>
        <v>1</v>
      </c>
      <c r="OD497" s="15">
        <f>IF(OB497=2024,G_IDX_2024,IF(OB497=2025,G_IDX_2025,IF(OB497=2026,G_IDX_2026,IF(OB497=2027,G_IDX_2027,$OB$13))))</f>
        <v>0.033</v>
      </c>
      <c r="OE497" s="8">
        <f>$OB$20*(1+G_HI)^(OB497-COST_DATE)</f>
        <v>644.3738716027477</v>
      </c>
      <c r="OF497" s="8">
        <f>OF496*(1+OD497)</f>
        <v>621.6225131980578</v>
      </c>
      <c r="OG497" s="8">
        <f>IF(OB497&lt;RULE_START,OF497,OG496*(1+G_HI))</f>
        <v>652.4591892066887</v>
      </c>
      <c r="OH497" s="8">
        <f>IF(OB497&lt;RULE_START,OF497,IF(OI497=1,R_NF_2024*(1+G_HI)^(OB497-2024),OH496*(1+OD497)))</f>
        <v>686.8010535032033</v>
      </c>
      <c r="OI497">
        <f>IF(AND(OB497&gt;=RULE_START,MOD(OB497-RULE_START,REBASE_YEARS)=0),1,0)</f>
        <v>1</v>
      </c>
      <c r="OJ497" s="8">
        <f>OF497*CAP_SHARE</f>
        <v>30.395680500277866</v>
      </c>
      <c r="OK497" s="8">
        <f>OG497*CAP_SHARE</f>
        <v>31.903511590285845</v>
      </c>
      <c r="OL497" s="8">
        <f>OH497*CAP_SHARE</f>
        <v>33.58273702498012</v>
      </c>
      <c r="OM497" s="8">
        <f>OF497-OJ497-OE497</f>
        <v>-53.14703890496776</v>
      </c>
      <c r="ON497" s="8">
        <f>OG497-OK497-OE497</f>
        <v>-23.818193986344795</v>
      </c>
      <c r="OO497" s="8">
        <f>OH497-OL497-OE497</f>
        <v>8.84444487547546</v>
      </c>
      <c r="OP497" s="8">
        <f>R_NF_2024*(1+G_HI)^(OB497-2024)</f>
        <v>686.8010535032033</v>
      </c>
      <c r="OQ497" s="10">
        <f>1-OF497/OP497</f>
        <v>0.0949016312259362</v>
      </c>
      <c r="OR497" s="10">
        <f>CPI_2023/(IF(OB497-1=2023,CPI_2023,IF(OB497-1=2024,CPI_2024,IF(OB497-1=2025,CPI_2025,CPI_2025*(1+INFL)^(OB497-1-2025)))))</f>
        <v>0.7977979688525441</v>
      </c>
      <c r="OS497" s="8">
        <f>$OB$21*ABS($OB$11)*(OG497-OF497)/OF497</f>
        <v>4945.549037030487</v>
      </c>
      <c r="OT497" s="8">
        <f>$OB$21*ABS($OB$11)*(OH497-OF497)/OF497</f>
        <v>10453.255958941363</v>
      </c>
      <c r="OU497" s="13">
        <f>(OG497-OF497)*MCD_NF_DAYS*OR497-OS497*MCD_SHARE_FREED*R_WAIT_2023</f>
        <v>10712827.180457786</v>
      </c>
      <c r="OV497" s="13">
        <f>(OH497-OF497)*MCD_NF_DAYS*OR497-OT497*MCD_SHARE_FREED*R_WAIT_2023</f>
        <v>22643375.63387484</v>
      </c>
      <c r="OW497" s="10">
        <f>IF(AND(OB497&gt;=RULE_START,OC497=1),1/(1+$OB$12)^(OB497-RULE_START+1),0)</f>
        <v>0.8705601786139138</v>
      </c>
      <c r="OX497">
        <f>IF(AND(OB497&gt;=RULE_START,OC497=1,OM497&lt;0),OB497,9999)</f>
        <v>2033</v>
      </c>
      <c r="OY497">
        <f>IF(AND(OB497&gt;=RULE_START,OC497=1,ON497&lt;0),OB497,9999)</f>
        <v>2033</v>
      </c>
      <c r="OZ497">
        <f>IF(AND(OB497&gt;=RULE_START,OC497=1,OO497&lt;0),OB497,9999)</f>
        <v>9999</v>
      </c>
    </row>
    <row r="498">
      <c r="B498" t="n">
        <v>2034</v>
      </c>
      <c r="C498">
        <f>IF(B498&lt;=RULE_START+$B$38-1,1,0)</f>
        <v>1</v>
      </c>
      <c r="D498" s="15">
        <f>IF(B498=2024,G_IDX_2024,IF(B498=2025,G_IDX_2025,IF(B498=2026,G_IDX_2026,IF(B498=2027,G_IDX_2027,$B$13))))</f>
        <v>0.033</v>
      </c>
      <c r="E498" s="8">
        <f>$B$20*(1+G_HI)^(B498-COST_DATE)</f>
        <v>670.25806142393</v>
      </c>
      <c r="F498" s="8">
        <f>F497*(1+D498)</f>
        <v>642.1360561335937</v>
      </c>
      <c r="G498" s="8">
        <f>IF(B498&lt;RULE_START,F498,G497*(1+G_HI))</f>
        <v>678.6681623638317</v>
      </c>
      <c r="H498" s="8">
        <f>IF(B498&lt;RULE_START,F498,IF(I498=1,R_NF_2024*(1+G_HI)^(B498-2024),H497*(1+D498)))</f>
        <v>709.4654882688089</v>
      </c>
      <c r="I498">
        <f>IF(AND(B498&gt;=RULE_START,MOD(B498-RULE_START,REBASE_YEARS)=0),1,0)</f>
        <v>0</v>
      </c>
      <c r="J498" s="8">
        <f>F498*CAP_SHARE</f>
        <v>31.39873795678703</v>
      </c>
      <c r="K498" s="8">
        <f>G498*CAP_SHARE</f>
        <v>33.1850603717584</v>
      </c>
      <c r="L498" s="8">
        <f>H498*CAP_SHARE</f>
        <v>34.69096734680446</v>
      </c>
      <c r="M498" s="8">
        <f>F498-J498-E498</f>
        <v>-59.52074324712339</v>
      </c>
      <c r="N498" s="8">
        <f>G498-K498-E498</f>
        <v>-24.7749594318567</v>
      </c>
      <c r="O498" s="8">
        <f>H498-L498-E498</f>
        <v>4.516459498074482</v>
      </c>
      <c r="P498" s="8">
        <f>R_NF_2024*(1+G_HI)^(B498-2024)</f>
        <v>714.3895229022614</v>
      </c>
      <c r="Q498" s="10">
        <f>1-F498/P498</f>
        <v>0.10114015456880243</v>
      </c>
      <c r="R498" s="10">
        <f>CPI_2023/(IF(B498-1=2023,CPI_2023,IF(B498-1=2024,CPI_2024,IF(B498-1=2025,CPI_2025,CPI_2025*(1+INFL)^(B498-1-2025)))))</f>
        <v>0.7800136574624014</v>
      </c>
      <c r="S498" s="8">
        <f>$B$21*ABS($B$11)*(G498-F498)/F498</f>
        <v>5671.805702697739</v>
      </c>
      <c r="T498" s="8">
        <f>$B$21*ABS($B$11)*(H498-F498)/F498</f>
        <v>10453.255958941361</v>
      </c>
      <c r="U498" s="13">
        <f>(G498-F498)*MCD_NF_DAYS*R498-S498*MCD_SHARE_FREED*R_WAIT_2023</f>
        <v>12434255.832286127</v>
      </c>
      <c r="V498" s="13">
        <f>(H498-F498)*MCD_NF_DAYS*R498-T498*MCD_SHARE_FREED*R_WAIT_2023</f>
        <v>22916592.296527952</v>
      </c>
      <c r="W498" s="10">
        <f>IF(AND(B498&gt;=RULE_START,C498=1),1/(1+$B$12)^(B498-RULE_START+1),0)</f>
        <v>0.8534903711901114</v>
      </c>
      <c r="X498">
        <f>IF(AND(B498&gt;=RULE_START,C498=1,M498&lt;0),B498,9999)</f>
        <v>2034</v>
      </c>
      <c r="Y498">
        <f>IF(AND(B498&gt;=RULE_START,C498=1,N498&lt;0),B498,9999)</f>
        <v>2034</v>
      </c>
      <c r="Z498">
        <f>IF(AND(B498&gt;=RULE_START,C498=1,O498&lt;0),B498,9999)</f>
        <v>9999</v>
      </c>
      <c r="AB498" t="n">
        <v>2034</v>
      </c>
      <c r="AC498">
        <f>IF(AB498&lt;=RULE_START+$AB$38-1,1,0)</f>
        <v>1</v>
      </c>
      <c r="AD498" s="15">
        <f>IF(AB498=2024,G_IDX_2024,IF(AB498=2025,G_IDX_2025,IF(AB498=2026,G_IDX_2026,IF(AB498=2027,G_IDX_2027,$AB$13))))</f>
        <v>0.033</v>
      </c>
      <c r="AE498" s="8">
        <f>$AB$20*(1+G_HI)^(AB498-COST_DATE)</f>
        <v>670.25806142393</v>
      </c>
      <c r="AF498" s="8">
        <f>AF497*(1+AD498)</f>
        <v>642.1360561335937</v>
      </c>
      <c r="AG498" s="8">
        <f>IF(AB498&lt;RULE_START,AF498,AG497*(1+G_HI))</f>
        <v>678.6681623638317</v>
      </c>
      <c r="AH498" s="8">
        <f>IF(AB498&lt;RULE_START,AF498,IF(AI498=1,R_NF_2024*(1+G_HI)^(AB498-2024),AH497*(1+AD498)))</f>
        <v>709.4654882688089</v>
      </c>
      <c r="AI498">
        <f>IF(AND(AB498&gt;=RULE_START,MOD(AB498-RULE_START,REBASE_YEARS)=0),1,0)</f>
        <v>0</v>
      </c>
      <c r="AJ498" s="8">
        <f>AF498*CAP_SHARE</f>
        <v>31.39873795678703</v>
      </c>
      <c r="AK498" s="8">
        <f>AG498*CAP_SHARE</f>
        <v>33.1850603717584</v>
      </c>
      <c r="AL498" s="8">
        <f>AH498*CAP_SHARE</f>
        <v>34.69096734680446</v>
      </c>
      <c r="AM498" s="8">
        <f>AF498-AJ498-AE498</f>
        <v>-59.52074324712339</v>
      </c>
      <c r="AN498" s="8">
        <f>AG498-AK498-AE498</f>
        <v>-24.7749594318567</v>
      </c>
      <c r="AO498" s="8">
        <f>AH498-AL498-AE498</f>
        <v>4.516459498074482</v>
      </c>
      <c r="AP498" s="8">
        <f>R_NF_2024*(1+G_HI)^(AB498-2024)</f>
        <v>714.3895229022614</v>
      </c>
      <c r="AQ498" s="10">
        <f>1-AF498/AP498</f>
        <v>0.10114015456880243</v>
      </c>
      <c r="AR498" s="10">
        <f>CPI_2023/(IF(AB498-1=2023,CPI_2023,IF(AB498-1=2024,CPI_2024,IF(AB498-1=2025,CPI_2025,CPI_2025*(1+INFL)^(AB498-1-2025)))))</f>
        <v>0.7800136574624014</v>
      </c>
      <c r="AS498" s="8">
        <f>$AB$21*ABS($AB$11)*(AG498-AF498)/AF498</f>
        <v>5671.805702697739</v>
      </c>
      <c r="AT498" s="8">
        <f>$AB$21*ABS($AB$11)*(AH498-AF498)/AF498</f>
        <v>10453.255958941361</v>
      </c>
      <c r="AU498" s="13">
        <f>(AG498-AF498)*MCD_NF_DAYS*AR498-AS498*MCD_SHARE_FREED*R_WAIT_2023</f>
        <v>12434255.832286127</v>
      </c>
      <c r="AV498" s="13">
        <f>(AH498-AF498)*MCD_NF_DAYS*AR498-AT498*MCD_SHARE_FREED*R_WAIT_2023</f>
        <v>22916592.296527952</v>
      </c>
      <c r="AW498" s="10">
        <f>IF(AND(AB498&gt;=RULE_START,AC498=1),1/(1+$AB$12)^(AB498-RULE_START+1),0)</f>
        <v>0.8534903711901114</v>
      </c>
      <c r="AX498">
        <f>IF(AND(AB498&gt;=RULE_START,AC498=1,AM498&lt;0),AB498,9999)</f>
        <v>2034</v>
      </c>
      <c r="AY498">
        <f>IF(AND(AB498&gt;=RULE_START,AC498=1,AN498&lt;0),AB498,9999)</f>
        <v>2034</v>
      </c>
      <c r="AZ498">
        <f>IF(AND(AB498&gt;=RULE_START,AC498=1,AO498&lt;0),AB498,9999)</f>
        <v>9999</v>
      </c>
      <c r="BB498" t="n">
        <v>2034</v>
      </c>
      <c r="BC498">
        <f>IF(BB498&lt;=RULE_START+$BB$38-1,1,0)</f>
        <v>1</v>
      </c>
      <c r="BD498" s="15">
        <f>IF(BB498=2024,G_IDX_2024,IF(BB498=2025,G_IDX_2025,IF(BB498=2026,G_IDX_2026,IF(BB498=2027,G_IDX_2027,$BB$13))))</f>
        <v>0.033</v>
      </c>
      <c r="BE498" s="8">
        <f>$BB$20*(1+G_HI)^(BB498-COST_DATE)</f>
        <v>670.25806142393</v>
      </c>
      <c r="BF498" s="8">
        <f>BF497*(1+BD498)</f>
        <v>642.1360561335937</v>
      </c>
      <c r="BG498" s="8">
        <f>IF(BB498&lt;RULE_START,BF498,BG497*(1+G_HI))</f>
        <v>678.6681623638317</v>
      </c>
      <c r="BH498" s="8">
        <f>IF(BB498&lt;RULE_START,BF498,IF(BI498=1,R_NF_2024*(1+G_HI)^(BB498-2024),BH497*(1+BD498)))</f>
        <v>709.4654882688089</v>
      </c>
      <c r="BI498">
        <f>IF(AND(BB498&gt;=RULE_START,MOD(BB498-RULE_START,REBASE_YEARS)=0),1,0)</f>
        <v>0</v>
      </c>
      <c r="BJ498" s="8">
        <f>BF498*CAP_SHARE</f>
        <v>31.39873795678703</v>
      </c>
      <c r="BK498" s="8">
        <f>BG498*CAP_SHARE</f>
        <v>33.1850603717584</v>
      </c>
      <c r="BL498" s="8">
        <f>BH498*CAP_SHARE</f>
        <v>34.69096734680446</v>
      </c>
      <c r="BM498" s="8">
        <f>BF498-BJ498-BE498</f>
        <v>-59.52074324712339</v>
      </c>
      <c r="BN498" s="8">
        <f>BG498-BK498-BE498</f>
        <v>-24.7749594318567</v>
      </c>
      <c r="BO498" s="8">
        <f>BH498-BL498-BE498</f>
        <v>4.516459498074482</v>
      </c>
      <c r="BP498" s="8">
        <f>R_NF_2024*(1+G_HI)^(BB498-2024)</f>
        <v>714.3895229022614</v>
      </c>
      <c r="BQ498" s="10">
        <f>1-BF498/BP498</f>
        <v>0.10114015456880243</v>
      </c>
      <c r="BR498" s="10">
        <f>CPI_2023/(IF(BB498-1=2023,CPI_2023,IF(BB498-1=2024,CPI_2024,IF(BB498-1=2025,CPI_2025,CPI_2025*(1+INFL)^(BB498-1-2025)))))</f>
        <v>0.7800136574624014</v>
      </c>
      <c r="BS498" s="8">
        <f>$BB$21*ABS($BB$11)*(BG498-BF498)/BF498</f>
        <v>5671.805702697739</v>
      </c>
      <c r="BT498" s="8">
        <f>$BB$21*ABS($BB$11)*(BH498-BF498)/BF498</f>
        <v>10453.255958941361</v>
      </c>
      <c r="BU498" s="13">
        <f>(BG498-BF498)*MCD_NF_DAYS*BR498-BS498*MCD_SHARE_FREED*R_WAIT_2023</f>
        <v>12434255.832286127</v>
      </c>
      <c r="BV498" s="13">
        <f>(BH498-BF498)*MCD_NF_DAYS*BR498-BT498*MCD_SHARE_FREED*R_WAIT_2023</f>
        <v>22916592.296527952</v>
      </c>
      <c r="BW498" s="10">
        <f>IF(AND(BB498&gt;=RULE_START,BC498=1),1/(1+$BB$12)^(BB498-RULE_START+1),0)</f>
        <v>0.8534903711901114</v>
      </c>
      <c r="BX498">
        <f>IF(AND(BB498&gt;=RULE_START,BC498=1,BM498&lt;0),BB498,9999)</f>
        <v>2034</v>
      </c>
      <c r="BY498">
        <f>IF(AND(BB498&gt;=RULE_START,BC498=1,BN498&lt;0),BB498,9999)</f>
        <v>2034</v>
      </c>
      <c r="BZ498">
        <f>IF(AND(BB498&gt;=RULE_START,BC498=1,BO498&lt;0),BB498,9999)</f>
        <v>9999</v>
      </c>
      <c r="CB498" t="n">
        <v>2034</v>
      </c>
      <c r="CC498">
        <f>IF(CB498&lt;=RULE_START+$CB$38-1,1,0)</f>
        <v>1</v>
      </c>
      <c r="CD498" s="15">
        <f>IF(CB498=2024,G_IDX_2024,IF(CB498=2025,G_IDX_2025,IF(CB498=2026,G_IDX_2026,IF(CB498=2027,G_IDX_2027,$CB$13))))</f>
        <v>0.033</v>
      </c>
      <c r="CE498" s="8">
        <f>$CB$20*(1+G_HI)^(CB498-COST_DATE)</f>
        <v>670.25806142393</v>
      </c>
      <c r="CF498" s="8">
        <f>CF497*(1+CD498)</f>
        <v>642.1360561335937</v>
      </c>
      <c r="CG498" s="8">
        <f>IF(CB498&lt;RULE_START,CF498,CG497*(1+G_HI))</f>
        <v>678.6681623638317</v>
      </c>
      <c r="CH498" s="8">
        <f>IF(CB498&lt;RULE_START,CF498,IF(CI498=1,R_NF_2024*(1+G_HI)^(CB498-2024),CH497*(1+CD498)))</f>
        <v>709.4654882688089</v>
      </c>
      <c r="CI498">
        <f>IF(AND(CB498&gt;=RULE_START,MOD(CB498-RULE_START,REBASE_YEARS)=0),1,0)</f>
        <v>0</v>
      </c>
      <c r="CJ498" s="8">
        <f>CF498*CAP_SHARE</f>
        <v>31.39873795678703</v>
      </c>
      <c r="CK498" s="8">
        <f>CG498*CAP_SHARE</f>
        <v>33.1850603717584</v>
      </c>
      <c r="CL498" s="8">
        <f>CH498*CAP_SHARE</f>
        <v>34.69096734680446</v>
      </c>
      <c r="CM498" s="8">
        <f>CF498-CJ498-CE498</f>
        <v>-59.52074324712339</v>
      </c>
      <c r="CN498" s="8">
        <f>CG498-CK498-CE498</f>
        <v>-24.7749594318567</v>
      </c>
      <c r="CO498" s="8">
        <f>CH498-CL498-CE498</f>
        <v>4.516459498074482</v>
      </c>
      <c r="CP498" s="8">
        <f>R_NF_2024*(1+G_HI)^(CB498-2024)</f>
        <v>714.3895229022614</v>
      </c>
      <c r="CQ498" s="10">
        <f>1-CF498/CP498</f>
        <v>0.10114015456880243</v>
      </c>
      <c r="CR498" s="10">
        <f>CPI_2023/(IF(CB498-1=2023,CPI_2023,IF(CB498-1=2024,CPI_2024,IF(CB498-1=2025,CPI_2025,CPI_2025*(1+INFL)^(CB498-1-2025)))))</f>
        <v>0.7800136574624014</v>
      </c>
      <c r="CS498" s="8">
        <f>$CB$21*ABS($CB$11)*(CG498-CF498)/CF498</f>
        <v>5671.805702697739</v>
      </c>
      <c r="CT498" s="8">
        <f>$CB$21*ABS($CB$11)*(CH498-CF498)/CF498</f>
        <v>10453.255958941361</v>
      </c>
      <c r="CU498" s="13">
        <f>(CG498-CF498)*MCD_NF_DAYS*CR498-CS498*MCD_SHARE_FREED*R_WAIT_2023</f>
        <v>12434255.832286127</v>
      </c>
      <c r="CV498" s="13">
        <f>(CH498-CF498)*MCD_NF_DAYS*CR498-CT498*MCD_SHARE_FREED*R_WAIT_2023</f>
        <v>22916592.296527952</v>
      </c>
      <c r="CW498" s="10">
        <f>IF(AND(CB498&gt;=RULE_START,CC498=1),1/(1+$CB$12)^(CB498-RULE_START+1),0)</f>
        <v>0.8534903711901114</v>
      </c>
      <c r="CX498">
        <f>IF(AND(CB498&gt;=RULE_START,CC498=1,CM498&lt;0),CB498,9999)</f>
        <v>2034</v>
      </c>
      <c r="CY498">
        <f>IF(AND(CB498&gt;=RULE_START,CC498=1,CN498&lt;0),CB498,9999)</f>
        <v>2034</v>
      </c>
      <c r="CZ498">
        <f>IF(AND(CB498&gt;=RULE_START,CC498=1,CO498&lt;0),CB498,9999)</f>
        <v>9999</v>
      </c>
      <c r="DB498" t="n">
        <v>2034</v>
      </c>
      <c r="DC498">
        <f>IF(DB498&lt;=RULE_START+$DB$38-1,1,0)</f>
        <v>1</v>
      </c>
      <c r="DD498" s="15">
        <f>IF(DB498=2024,G_IDX_2024,IF(DB498=2025,G_IDX_2025,IF(DB498=2026,G_IDX_2026,IF(DB498=2027,G_IDX_2027,$DB$13))))</f>
        <v>0.033</v>
      </c>
      <c r="DE498" s="8">
        <f>$DB$20*(1+G_HI)^(DB498-COST_DATE)</f>
        <v>670.25806142393</v>
      </c>
      <c r="DF498" s="8">
        <f>DF497*(1+DD498)</f>
        <v>642.1360561335937</v>
      </c>
      <c r="DG498" s="8">
        <f>IF(DB498&lt;RULE_START,DF498,DG497*(1+G_HI))</f>
        <v>678.6681623638317</v>
      </c>
      <c r="DH498" s="8">
        <f>IF(DB498&lt;RULE_START,DF498,IF(DI498=1,R_NF_2024*(1+G_HI)^(DB498-2024),DH497*(1+DD498)))</f>
        <v>709.4654882688089</v>
      </c>
      <c r="DI498">
        <f>IF(AND(DB498&gt;=RULE_START,MOD(DB498-RULE_START,REBASE_YEARS)=0),1,0)</f>
        <v>0</v>
      </c>
      <c r="DJ498" s="8">
        <f>DF498*CAP_SHARE</f>
        <v>31.39873795678703</v>
      </c>
      <c r="DK498" s="8">
        <f>DG498*CAP_SHARE</f>
        <v>33.1850603717584</v>
      </c>
      <c r="DL498" s="8">
        <f>DH498*CAP_SHARE</f>
        <v>34.69096734680446</v>
      </c>
      <c r="DM498" s="8">
        <f>DF498-DJ498-DE498</f>
        <v>-59.52074324712339</v>
      </c>
      <c r="DN498" s="8">
        <f>DG498-DK498-DE498</f>
        <v>-24.7749594318567</v>
      </c>
      <c r="DO498" s="8">
        <f>DH498-DL498-DE498</f>
        <v>4.516459498074482</v>
      </c>
      <c r="DP498" s="8">
        <f>R_NF_2024*(1+G_HI)^(DB498-2024)</f>
        <v>714.3895229022614</v>
      </c>
      <c r="DQ498" s="10">
        <f>1-DF498/DP498</f>
        <v>0.10114015456880243</v>
      </c>
      <c r="DR498" s="10">
        <f>CPI_2023/(IF(DB498-1=2023,CPI_2023,IF(DB498-1=2024,CPI_2024,IF(DB498-1=2025,CPI_2025,CPI_2025*(1+INFL)^(DB498-1-2025)))))</f>
        <v>0.7800136574624014</v>
      </c>
      <c r="DS498" s="8">
        <f>$DB$21*ABS($DB$11)*(DG498-DF498)/DF498</f>
        <v>5671.805702697739</v>
      </c>
      <c r="DT498" s="8">
        <f>$DB$21*ABS($DB$11)*(DH498-DF498)/DF498</f>
        <v>10453.255958941361</v>
      </c>
      <c r="DU498" s="13">
        <f>(DG498-DF498)*MCD_NF_DAYS*DR498-DS498*MCD_SHARE_FREED*R_WAIT_2023</f>
        <v>12434255.832286127</v>
      </c>
      <c r="DV498" s="13">
        <f>(DH498-DF498)*MCD_NF_DAYS*DR498-DT498*MCD_SHARE_FREED*R_WAIT_2023</f>
        <v>22916592.296527952</v>
      </c>
      <c r="DW498" s="10">
        <f>IF(AND(DB498&gt;=RULE_START,DC498=1),1/(1+$DB$12)^(DB498-RULE_START+1),0)</f>
        <v>0.8534903711901114</v>
      </c>
      <c r="DX498">
        <f>IF(AND(DB498&gt;=RULE_START,DC498=1,DM498&lt;0),DB498,9999)</f>
        <v>2034</v>
      </c>
      <c r="DY498">
        <f>IF(AND(DB498&gt;=RULE_START,DC498=1,DN498&lt;0),DB498,9999)</f>
        <v>2034</v>
      </c>
      <c r="DZ498">
        <f>IF(AND(DB498&gt;=RULE_START,DC498=1,DO498&lt;0),DB498,9999)</f>
        <v>9999</v>
      </c>
      <c r="EB498" t="n">
        <v>2034</v>
      </c>
      <c r="EC498">
        <f>IF(EB498&lt;=RULE_START+$EB$38-1,1,0)</f>
        <v>1</v>
      </c>
      <c r="ED498" s="15">
        <f>IF(EB498=2024,G_IDX_2024,IF(EB498=2025,G_IDX_2025,IF(EB498=2026,G_IDX_2026,IF(EB498=2027,G_IDX_2027,$EB$13))))</f>
        <v>0.033</v>
      </c>
      <c r="EE498" s="8">
        <f>$EB$20*(1+G_HI)^(EB498-COST_DATE)</f>
        <v>670.25806142393</v>
      </c>
      <c r="EF498" s="8">
        <f>EF497*(1+ED498)</f>
        <v>642.1360561335937</v>
      </c>
      <c r="EG498" s="8">
        <f>IF(EB498&lt;RULE_START,EF498,EG497*(1+G_HI))</f>
        <v>678.6681623638317</v>
      </c>
      <c r="EH498" s="8">
        <f>IF(EB498&lt;RULE_START,EF498,IF(EI498=1,R_NF_2024*(1+G_HI)^(EB498-2024),EH497*(1+ED498)))</f>
        <v>709.4654882688089</v>
      </c>
      <c r="EI498">
        <f>IF(AND(EB498&gt;=RULE_START,MOD(EB498-RULE_START,REBASE_YEARS)=0),1,0)</f>
        <v>0</v>
      </c>
      <c r="EJ498" s="8">
        <f>EF498*CAP_SHARE</f>
        <v>31.39873795678703</v>
      </c>
      <c r="EK498" s="8">
        <f>EG498*CAP_SHARE</f>
        <v>33.1850603717584</v>
      </c>
      <c r="EL498" s="8">
        <f>EH498*CAP_SHARE</f>
        <v>34.69096734680446</v>
      </c>
      <c r="EM498" s="8">
        <f>EF498-EJ498-EE498</f>
        <v>-59.52074324712339</v>
      </c>
      <c r="EN498" s="8">
        <f>EG498-EK498-EE498</f>
        <v>-24.7749594318567</v>
      </c>
      <c r="EO498" s="8">
        <f>EH498-EL498-EE498</f>
        <v>4.516459498074482</v>
      </c>
      <c r="EP498" s="8">
        <f>R_NF_2024*(1+G_HI)^(EB498-2024)</f>
        <v>714.3895229022614</v>
      </c>
      <c r="EQ498" s="10">
        <f>1-EF498/EP498</f>
        <v>0.10114015456880243</v>
      </c>
      <c r="ER498" s="10">
        <f>CPI_2023/(IF(EB498-1=2023,CPI_2023,IF(EB498-1=2024,CPI_2024,IF(EB498-1=2025,CPI_2025,CPI_2025*(1+INFL)^(EB498-1-2025)))))</f>
        <v>0.7800136574624014</v>
      </c>
      <c r="ES498" s="8">
        <f>$EB$21*ABS($EB$11)*(EG498-EF498)/EF498</f>
        <v>5671.805702697739</v>
      </c>
      <c r="ET498" s="8">
        <f>$EB$21*ABS($EB$11)*(EH498-EF498)/EF498</f>
        <v>10453.255958941361</v>
      </c>
      <c r="EU498" s="13">
        <f>(EG498-EF498)*MCD_NF_DAYS*ER498-ES498*MCD_SHARE_FREED*R_WAIT_2023</f>
        <v>12434255.832286127</v>
      </c>
      <c r="EV498" s="13">
        <f>(EH498-EF498)*MCD_NF_DAYS*ER498-ET498*MCD_SHARE_FREED*R_WAIT_2023</f>
        <v>22916592.296527952</v>
      </c>
      <c r="EW498" s="10">
        <f>IF(AND(EB498&gt;=RULE_START,EC498=1),1/(1+$EB$12)^(EB498-RULE_START+1),0)</f>
        <v>0.8534903711901114</v>
      </c>
      <c r="EX498">
        <f>IF(AND(EB498&gt;=RULE_START,EC498=1,EM498&lt;0),EB498,9999)</f>
        <v>2034</v>
      </c>
      <c r="EY498">
        <f>IF(AND(EB498&gt;=RULE_START,EC498=1,EN498&lt;0),EB498,9999)</f>
        <v>2034</v>
      </c>
      <c r="EZ498">
        <f>IF(AND(EB498&gt;=RULE_START,EC498=1,EO498&lt;0),EB498,9999)</f>
        <v>9999</v>
      </c>
      <c r="FB498" t="n">
        <v>2034</v>
      </c>
      <c r="FC498">
        <f>IF(FB498&lt;=RULE_START+$FB$38-1,1,0)</f>
        <v>1</v>
      </c>
      <c r="FD498" s="15">
        <f>IF(FB498=2024,G_IDX_2024,IF(FB498=2025,G_IDX_2025,IF(FB498=2026,G_IDX_2026,IF(FB498=2027,G_IDX_2027,$FB$13))))</f>
        <v>0.033</v>
      </c>
      <c r="FE498" s="8">
        <f>$FB$20*(1+G_HI)^(FB498-COST_DATE)</f>
        <v>689.7842324817102</v>
      </c>
      <c r="FF498" s="8">
        <f>FF497*(1+FD498)</f>
        <v>642.1360561335937</v>
      </c>
      <c r="FG498" s="8">
        <f>IF(FB498&lt;RULE_START,FF498,FG497*(1+G_HI))</f>
        <v>678.6681623638317</v>
      </c>
      <c r="FH498" s="8">
        <f>IF(FB498&lt;RULE_START,FF498,IF(FI498=1,R_NF_2024*(1+G_HI)^(FB498-2024),FH497*(1+FD498)))</f>
        <v>709.4654882688089</v>
      </c>
      <c r="FI498">
        <f>IF(AND(FB498&gt;=RULE_START,MOD(FB498-RULE_START,REBASE_YEARS)=0),1,0)</f>
        <v>0</v>
      </c>
      <c r="FJ498" s="8">
        <f>FF498*CAP_SHARE</f>
        <v>31.39873795678703</v>
      </c>
      <c r="FK498" s="8">
        <f>FG498*CAP_SHARE</f>
        <v>33.1850603717584</v>
      </c>
      <c r="FL498" s="8">
        <f>FH498*CAP_SHARE</f>
        <v>34.69096734680446</v>
      </c>
      <c r="FM498" s="8">
        <f>FF498-FJ498-FE498</f>
        <v>-79.04691430490357</v>
      </c>
      <c r="FN498" s="8">
        <f>FG498-FK498-FE498</f>
        <v>-44.301130489636876</v>
      </c>
      <c r="FO498" s="8">
        <f>FH498-FL498-FE498</f>
        <v>-15.009711559705693</v>
      </c>
      <c r="FP498" s="8">
        <f>R_NF_2024*(1+G_HI)^(FB498-2024)</f>
        <v>714.3895229022614</v>
      </c>
      <c r="FQ498" s="10">
        <f>1-FF498/FP498</f>
        <v>0.10114015456880243</v>
      </c>
      <c r="FR498" s="10">
        <f>CPI_2023/(IF(FB498-1=2023,CPI_2023,IF(FB498-1=2024,CPI_2024,IF(FB498-1=2025,CPI_2025,CPI_2025*(1+INFL)^(FB498-1-2025)))))</f>
        <v>0.7800136574624014</v>
      </c>
      <c r="FS498" s="8">
        <f>$FB$21*ABS($FB$11)*(FG498-FF498)/FF498</f>
        <v>5671.805702697739</v>
      </c>
      <c r="FT498" s="8">
        <f>$FB$21*ABS($FB$11)*(FH498-FF498)/FF498</f>
        <v>10453.255958941361</v>
      </c>
      <c r="FU498" s="13">
        <f>(FG498-FF498)*MCD_NF_DAYS*FR498-FS498*MCD_SHARE_FREED*R_WAIT_2023</f>
        <v>12434255.832286127</v>
      </c>
      <c r="FV498" s="13">
        <f>(FH498-FF498)*MCD_NF_DAYS*FR498-FT498*MCD_SHARE_FREED*R_WAIT_2023</f>
        <v>22916592.296527952</v>
      </c>
      <c r="FW498" s="10">
        <f>IF(AND(FB498&gt;=RULE_START,FC498=1),1/(1+$FB$12)^(FB498-RULE_START+1),0)</f>
        <v>0.8534903711901114</v>
      </c>
      <c r="FX498">
        <f>IF(AND(FB498&gt;=RULE_START,FC498=1,FM498&lt;0),FB498,9999)</f>
        <v>2034</v>
      </c>
      <c r="FY498">
        <f>IF(AND(FB498&gt;=RULE_START,FC498=1,FN498&lt;0),FB498,9999)</f>
        <v>2034</v>
      </c>
      <c r="FZ498">
        <f>IF(AND(FB498&gt;=RULE_START,FC498=1,FO498&lt;0),FB498,9999)</f>
        <v>2034</v>
      </c>
      <c r="GB498" t="n">
        <v>2034</v>
      </c>
      <c r="GC498">
        <f>IF(GB498&lt;=RULE_START+$GB$38-1,1,0)</f>
        <v>1</v>
      </c>
      <c r="GD498" s="15">
        <f>IF(GB498=2024,G_IDX_2024,IF(GB498=2025,G_IDX_2025,IF(GB498=2026,G_IDX_2026,IF(GB498=2027,G_IDX_2027,$GB$13))))</f>
        <v>0.033</v>
      </c>
      <c r="GE498" s="8">
        <f>$GB$20*(1+G_HI)^(GB498-COST_DATE)</f>
        <v>670.25806142393</v>
      </c>
      <c r="GF498" s="8">
        <f>GF497*(1+GD498)</f>
        <v>642.1360561335937</v>
      </c>
      <c r="GG498" s="8">
        <f>IF(GB498&lt;RULE_START,GF498,GG497*(1+G_HI))</f>
        <v>678.6681623638317</v>
      </c>
      <c r="GH498" s="8">
        <f>IF(GB498&lt;RULE_START,GF498,IF(GI498=1,R_NF_2024*(1+G_HI)^(GB498-2024),GH497*(1+GD498)))</f>
        <v>709.4654882688089</v>
      </c>
      <c r="GI498">
        <f>IF(AND(GB498&gt;=RULE_START,MOD(GB498-RULE_START,REBASE_YEARS)=0),1,0)</f>
        <v>0</v>
      </c>
      <c r="GJ498" s="8">
        <f>GF498*CAP_SHARE</f>
        <v>31.39873795678703</v>
      </c>
      <c r="GK498" s="8">
        <f>GG498*CAP_SHARE</f>
        <v>33.1850603717584</v>
      </c>
      <c r="GL498" s="8">
        <f>GH498*CAP_SHARE</f>
        <v>34.69096734680446</v>
      </c>
      <c r="GM498" s="8">
        <f>GF498-GJ498-GE498</f>
        <v>-59.52074324712339</v>
      </c>
      <c r="GN498" s="8">
        <f>GG498-GK498-GE498</f>
        <v>-24.7749594318567</v>
      </c>
      <c r="GO498" s="8">
        <f>GH498-GL498-GE498</f>
        <v>4.516459498074482</v>
      </c>
      <c r="GP498" s="8">
        <f>R_NF_2024*(1+G_HI)^(GB498-2024)</f>
        <v>714.3895229022614</v>
      </c>
      <c r="GQ498" s="10">
        <f>1-GF498/GP498</f>
        <v>0.10114015456880243</v>
      </c>
      <c r="GR498" s="10">
        <f>CPI_2023/(IF(GB498-1=2023,CPI_2023,IF(GB498-1=2024,CPI_2024,IF(GB498-1=2025,CPI_2025,CPI_2025*(1+INFL)^(GB498-1-2025)))))</f>
        <v>0.7800136574624014</v>
      </c>
      <c r="GS498" s="8">
        <f>$GB$21*ABS($GB$11)*(GG498-GF498)/GF498</f>
        <v>4281.362450294131</v>
      </c>
      <c r="GT498" s="8">
        <f>$GB$21*ABS($GB$11)*(GH498-GF498)/GF498</f>
        <v>7890.640105079415</v>
      </c>
      <c r="GU498" s="13">
        <f>(GG498-GF498)*MCD_NF_DAYS*GR498-GS498*MCD_SHARE_FREED*R_WAIT_2023</f>
        <v>13066516.423474949</v>
      </c>
      <c r="GV498" s="13">
        <f>(GH498-GF498)*MCD_NF_DAYS*GR498-GT498*MCD_SHARE_FREED*R_WAIT_2023</f>
        <v>24081861.72550447</v>
      </c>
      <c r="GW498" s="10">
        <f>IF(AND(GB498&gt;=RULE_START,GC498=1),1/(1+$GB$12)^(GB498-RULE_START+1),0)</f>
        <v>0.8534903711901114</v>
      </c>
      <c r="GX498">
        <f>IF(AND(GB498&gt;=RULE_START,GC498=1,GM498&lt;0),GB498,9999)</f>
        <v>2034</v>
      </c>
      <c r="GY498">
        <f>IF(AND(GB498&gt;=RULE_START,GC498=1,GN498&lt;0),GB498,9999)</f>
        <v>2034</v>
      </c>
      <c r="GZ498">
        <f>IF(AND(GB498&gt;=RULE_START,GC498=1,GO498&lt;0),GB498,9999)</f>
        <v>9999</v>
      </c>
      <c r="HB498" t="n">
        <v>2034</v>
      </c>
      <c r="HC498">
        <f>IF(HB498&lt;=RULE_START+$HB$38-1,1,0)</f>
        <v>1</v>
      </c>
      <c r="HD498" s="15">
        <f>IF(HB498=2024,G_IDX_2024,IF(HB498=2025,G_IDX_2025,IF(HB498=2026,G_IDX_2026,IF(HB498=2027,G_IDX_2027,$HB$13))))</f>
        <v>0.033</v>
      </c>
      <c r="HE498" s="8">
        <f>$HB$20*(1+G_HI)^(HB498-COST_DATE)</f>
        <v>670.25806142393</v>
      </c>
      <c r="HF498" s="8">
        <f>HF497*(1+HD498)</f>
        <v>642.1360561335937</v>
      </c>
      <c r="HG498" s="8">
        <f>IF(HB498&lt;RULE_START,HF498,HG497*(1+G_HI))</f>
        <v>678.6681623638317</v>
      </c>
      <c r="HH498" s="8">
        <f>IF(HB498&lt;RULE_START,HF498,IF(HI498=1,R_NF_2024*(1+G_HI)^(HB498-2024),HH497*(1+HD498)))</f>
        <v>709.4654882688089</v>
      </c>
      <c r="HI498">
        <f>IF(AND(HB498&gt;=RULE_START,MOD(HB498-RULE_START,REBASE_YEARS)=0),1,0)</f>
        <v>0</v>
      </c>
      <c r="HJ498" s="8">
        <f>HF498*CAP_SHARE</f>
        <v>31.39873795678703</v>
      </c>
      <c r="HK498" s="8">
        <f>HG498*CAP_SHARE</f>
        <v>33.1850603717584</v>
      </c>
      <c r="HL498" s="8">
        <f>HH498*CAP_SHARE</f>
        <v>34.69096734680446</v>
      </c>
      <c r="HM498" s="8">
        <f>HF498-HJ498-HE498</f>
        <v>-59.52074324712339</v>
      </c>
      <c r="HN498" s="8">
        <f>HG498-HK498-HE498</f>
        <v>-24.7749594318567</v>
      </c>
      <c r="HO498" s="8">
        <f>HH498-HL498-HE498</f>
        <v>4.516459498074482</v>
      </c>
      <c r="HP498" s="8">
        <f>R_NF_2024*(1+G_HI)^(HB498-2024)</f>
        <v>714.3895229022614</v>
      </c>
      <c r="HQ498" s="10">
        <f>1-HF498/HP498</f>
        <v>0.10114015456880243</v>
      </c>
      <c r="HR498" s="10">
        <f>CPI_2023/(IF(HB498-1=2023,CPI_2023,IF(HB498-1=2024,CPI_2024,IF(HB498-1=2025,CPI_2025,CPI_2025*(1+INFL)^(HB498-1-2025)))))</f>
        <v>0.7800136574624014</v>
      </c>
      <c r="HS498" s="8">
        <f>$HB$21*ABS($HB$11)*(HG498-HF498)/HF498</f>
        <v>5671.805702697739</v>
      </c>
      <c r="HT498" s="8">
        <f>$HB$21*ABS($HB$11)*(HH498-HF498)/HF498</f>
        <v>10453.255958941361</v>
      </c>
      <c r="HU498" s="13">
        <f>(HG498-HF498)*MCD_NF_DAYS*HR498-HS498*MCD_SHARE_FREED*R_WAIT_2023</f>
        <v>12434255.832286127</v>
      </c>
      <c r="HV498" s="13">
        <f>(HH498-HF498)*MCD_NF_DAYS*HR498-HT498*MCD_SHARE_FREED*R_WAIT_2023</f>
        <v>22916592.296527952</v>
      </c>
      <c r="HW498" s="10">
        <f>IF(AND(HB498&gt;=RULE_START,HC498=1),1/(1+$HB$12)^(HB498-RULE_START+1),0)</f>
        <v>0.7894092343139355</v>
      </c>
      <c r="HX498">
        <f>IF(AND(HB498&gt;=RULE_START,HC498=1,HM498&lt;0),HB498,9999)</f>
        <v>2034</v>
      </c>
      <c r="HY498">
        <f>IF(AND(HB498&gt;=RULE_START,HC498=1,HN498&lt;0),HB498,9999)</f>
        <v>2034</v>
      </c>
      <c r="HZ498">
        <f>IF(AND(HB498&gt;=RULE_START,HC498=1,HO498&lt;0),HB498,9999)</f>
        <v>9999</v>
      </c>
      <c r="IB498" t="n">
        <v>2034</v>
      </c>
      <c r="IC498">
        <f>IF(IB498&lt;=RULE_START+$IB$38-1,1,0)</f>
        <v>1</v>
      </c>
      <c r="ID498" s="15">
        <f>IF(IB498=2024,G_IDX_2024,IF(IB498=2025,G_IDX_2025,IF(IB498=2026,G_IDX_2026,IF(IB498=2027,G_IDX_2027,$IB$13))))</f>
        <v>0.033</v>
      </c>
      <c r="IE498" s="8">
        <f>$IB$20*(1+G_HI)^(IB498-COST_DATE)</f>
        <v>670.25806142393</v>
      </c>
      <c r="IF498" s="8">
        <f>IF497*(1+ID498)</f>
        <v>642.1360561335937</v>
      </c>
      <c r="IG498" s="8">
        <f>IF(IB498&lt;RULE_START,IF498,IG497*(1+G_HI))</f>
        <v>678.6681623638317</v>
      </c>
      <c r="IH498" s="8">
        <f>IF(IB498&lt;RULE_START,IF498,IF(II498=1,R_NF_2024*(1+G_HI)^(IB498-2024),IH497*(1+ID498)))</f>
        <v>709.4654882688089</v>
      </c>
      <c r="II498">
        <f>IF(AND(IB498&gt;=RULE_START,MOD(IB498-RULE_START,REBASE_YEARS)=0),1,0)</f>
        <v>0</v>
      </c>
      <c r="IJ498" s="8">
        <f>IF498*CAP_SHARE</f>
        <v>31.39873795678703</v>
      </c>
      <c r="IK498" s="8">
        <f>IG498*CAP_SHARE</f>
        <v>33.1850603717584</v>
      </c>
      <c r="IL498" s="8">
        <f>IH498*CAP_SHARE</f>
        <v>34.69096734680446</v>
      </c>
      <c r="IM498" s="8">
        <f>IF498-IJ498-IE498</f>
        <v>-59.52074324712339</v>
      </c>
      <c r="IN498" s="8">
        <f>IG498-IK498-IE498</f>
        <v>-24.7749594318567</v>
      </c>
      <c r="IO498" s="8">
        <f>IH498-IL498-IE498</f>
        <v>4.516459498074482</v>
      </c>
      <c r="IP498" s="8">
        <f>R_NF_2024*(1+G_HI)^(IB498-2024)</f>
        <v>714.3895229022614</v>
      </c>
      <c r="IQ498" s="10">
        <f>1-IF498/IP498</f>
        <v>0.10114015456880243</v>
      </c>
      <c r="IR498" s="10">
        <f>CPI_2023/(IF(IB498-1=2023,CPI_2023,IF(IB498-1=2024,CPI_2024,IF(IB498-1=2025,CPI_2025,CPI_2025*(1+INFL)^(IB498-1-2025)))))</f>
        <v>0.7800136574624014</v>
      </c>
      <c r="IS498" s="8">
        <f>$IB$21*ABS($IB$11)*(IG498-IF498)/IF498</f>
        <v>5671.805702697739</v>
      </c>
      <c r="IT498" s="8">
        <f>$IB$21*ABS($IB$11)*(IH498-IF498)/IF498</f>
        <v>10453.255958941361</v>
      </c>
      <c r="IU498" s="13">
        <f>(IG498-IF498)*MCD_NF_DAYS*IR498-IS498*MCD_SHARE_FREED*R_WAIT_2023</f>
        <v>12434255.832286127</v>
      </c>
      <c r="IV498" s="13">
        <f>(IH498-IF498)*MCD_NF_DAYS*IR498-IT498*MCD_SHARE_FREED*R_WAIT_2023</f>
        <v>22916592.296527952</v>
      </c>
      <c r="IW498" s="10">
        <f>IF(AND(IB498&gt;=RULE_START,IC498=1),1/(1+$IB$12)^(IB498-RULE_START+1),0)</f>
        <v>0.5820091045650382</v>
      </c>
      <c r="IX498">
        <f>IF(AND(IB498&gt;=RULE_START,IC498=1,IM498&lt;0),IB498,9999)</f>
        <v>2034</v>
      </c>
      <c r="IY498">
        <f>IF(AND(IB498&gt;=RULE_START,IC498=1,IN498&lt;0),IB498,9999)</f>
        <v>2034</v>
      </c>
      <c r="IZ498">
        <f>IF(AND(IB498&gt;=RULE_START,IC498=1,IO498&lt;0),IB498,9999)</f>
        <v>9999</v>
      </c>
      <c r="JB498" t="n">
        <v>2034</v>
      </c>
      <c r="JC498">
        <f>IF(JB498&lt;=RULE_START+$JB$38-1,1,0)</f>
        <v>1</v>
      </c>
      <c r="JD498" s="15">
        <f>IF(JB498=2024,G_IDX_2024,IF(JB498=2025,G_IDX_2025,IF(JB498=2026,G_IDX_2026,IF(JB498=2027,G_IDX_2027,$JB$13))))</f>
        <v>0.03</v>
      </c>
      <c r="JE498" s="8">
        <f>$JB$20*(1+G_HI)^(JB498-COST_DATE)</f>
        <v>670.25806142393</v>
      </c>
      <c r="JF498" s="8">
        <f>JF497*(1+JD498)</f>
        <v>629.195167902772</v>
      </c>
      <c r="JG498" s="8">
        <f>IF(JB498&lt;RULE_START,JF498,JG497*(1+G_HI))</f>
        <v>678.6681623638317</v>
      </c>
      <c r="JH498" s="8">
        <f>IF(JB498&lt;RULE_START,JF498,IF(JI498=1,R_NF_2024*(1+G_HI)^(JB498-2024),JH497*(1+JD498)))</f>
        <v>707.4050851082994</v>
      </c>
      <c r="JI498">
        <f>IF(AND(JB498&gt;=RULE_START,MOD(JB498-RULE_START,REBASE_YEARS)=0),1,0)</f>
        <v>0</v>
      </c>
      <c r="JJ498" s="8">
        <f>JF498*CAP_SHARE</f>
        <v>30.765963088273644</v>
      </c>
      <c r="JK498" s="8">
        <f>JG498*CAP_SHARE</f>
        <v>33.1850603717584</v>
      </c>
      <c r="JL498" s="8">
        <f>JH498*CAP_SHARE</f>
        <v>34.59021913572953</v>
      </c>
      <c r="JM498" s="8">
        <f>JF498-JJ498-JE498</f>
        <v>-71.82885660943168</v>
      </c>
      <c r="JN498" s="8">
        <f>JG498-JK498-JE498</f>
        <v>-24.7749594318567</v>
      </c>
      <c r="JO498" s="8">
        <f>JH498-JL498-JE498</f>
        <v>2.5568045486398887</v>
      </c>
      <c r="JP498" s="8">
        <f>R_NF_2024*(1+G_HI)^(JB498-2024)</f>
        <v>714.3895229022614</v>
      </c>
      <c r="JQ498" s="10">
        <f>1-JF498/JP498</f>
        <v>0.1192547654581787</v>
      </c>
      <c r="JR498" s="10">
        <f>CPI_2023/(IF(JB498-1=2023,CPI_2023,IF(JB498-1=2024,CPI_2024,IF(JB498-1=2025,CPI_2025,CPI_2025*(1+INFL)^(JB498-1-2025)))))</f>
        <v>0.7800136574624014</v>
      </c>
      <c r="JS498" s="8">
        <f>$JB$21*ABS($JB$11)*(JG498-JF498)/JF498</f>
        <v>7838.924987024112</v>
      </c>
      <c r="JT498" s="8">
        <f>$JB$21*ABS($JB$11)*(JH498-JF498)/JF498</f>
        <v>12392.249163289562</v>
      </c>
      <c r="JU498" s="13">
        <f>(JG498-JF498)*MCD_NF_DAYS*JR498-JS498*MCD_SHARE_FREED*R_WAIT_2023</f>
        <v>16767048.154162819</v>
      </c>
      <c r="JV498" s="13">
        <f>(JH498-JF498)*MCD_NF_DAYS*JR498-JT498*MCD_SHARE_FREED*R_WAIT_2023</f>
        <v>26506369.024222534</v>
      </c>
      <c r="JW498" s="10">
        <f>IF(AND(JB498&gt;=RULE_START,JC498=1),1/(1+$JB$12)^(JB498-RULE_START+1),0)</f>
        <v>0.8534903711901114</v>
      </c>
      <c r="JX498">
        <f>IF(AND(JB498&gt;=RULE_START,JC498=1,JM498&lt;0),JB498,9999)</f>
        <v>2034</v>
      </c>
      <c r="JY498">
        <f>IF(AND(JB498&gt;=RULE_START,JC498=1,JN498&lt;0),JB498,9999)</f>
        <v>2034</v>
      </c>
      <c r="JZ498">
        <f>IF(AND(JB498&gt;=RULE_START,JC498=1,JO498&lt;0),JB498,9999)</f>
        <v>9999</v>
      </c>
      <c r="KB498" t="n">
        <v>2034</v>
      </c>
      <c r="KC498">
        <f>IF(KB498&lt;=RULE_START+$KB$38-1,1,0)</f>
        <v>1</v>
      </c>
      <c r="KD498" s="15">
        <f>IF(KB498=2024,G_IDX_2024,IF(KB498=2025,G_IDX_2025,IF(KB498=2026,G_IDX_2026,IF(KB498=2027,G_IDX_2027,$KB$13))))</f>
        <v>0.033</v>
      </c>
      <c r="KE498" s="8">
        <f>$KB$20*(1+G_HI)^(KB498-COST_DATE)</f>
        <v>670.25806142393</v>
      </c>
      <c r="KF498" s="8">
        <f>KF497*(1+KD498)</f>
        <v>642.1360561335937</v>
      </c>
      <c r="KG498" s="8">
        <f>IF(KB498&lt;RULE_START,KF498,KG497*(1+G_HI))</f>
        <v>678.6681623638317</v>
      </c>
      <c r="KH498" s="8">
        <f>IF(KB498&lt;RULE_START,KF498,IF(KI498=1,R_NF_2024*(1+G_HI)^(KB498-2024),KH497*(1+KD498)))</f>
        <v>709.4654882688089</v>
      </c>
      <c r="KI498">
        <f>IF(AND(KB498&gt;=RULE_START,MOD(KB498-RULE_START,REBASE_YEARS)=0),1,0)</f>
        <v>0</v>
      </c>
      <c r="KJ498" s="8">
        <f>KF498*CAP_SHARE</f>
        <v>31.39873795678703</v>
      </c>
      <c r="KK498" s="8">
        <f>KG498*CAP_SHARE</f>
        <v>33.1850603717584</v>
      </c>
      <c r="KL498" s="8">
        <f>KH498*CAP_SHARE</f>
        <v>34.69096734680446</v>
      </c>
      <c r="KM498" s="8">
        <f>KF498-KJ498-KE498</f>
        <v>-59.52074324712339</v>
      </c>
      <c r="KN498" s="8">
        <f>KG498-KK498-KE498</f>
        <v>-24.7749594318567</v>
      </c>
      <c r="KO498" s="8">
        <f>KH498-KL498-KE498</f>
        <v>4.516459498074482</v>
      </c>
      <c r="KP498" s="8">
        <f>R_NF_2024*(1+G_HI)^(KB498-2024)</f>
        <v>714.3895229022614</v>
      </c>
      <c r="KQ498" s="10">
        <f>1-KF498/KP498</f>
        <v>0.10114015456880243</v>
      </c>
      <c r="KR498" s="10">
        <f>CPI_2023/(IF(KB498-1=2023,CPI_2023,IF(KB498-1=2024,CPI_2024,IF(KB498-1=2025,CPI_2025,CPI_2025*(1+INFL)^(KB498-1-2025)))))</f>
        <v>0.7800136574624014</v>
      </c>
      <c r="KS498" s="8">
        <f>$KB$21*ABS($KB$11)*(KG498-KF498)/KF498</f>
        <v>5671.805702697739</v>
      </c>
      <c r="KT498" s="8">
        <f>$KB$21*ABS($KB$11)*(KH498-KF498)/KF498</f>
        <v>10453.255958941361</v>
      </c>
      <c r="KU498" s="13">
        <f>(KG498-KF498)*MCD_NF_DAYS*KR498-KS498*MCD_SHARE_FREED*R_WAIT_2023</f>
        <v>12434255.832286127</v>
      </c>
      <c r="KV498" s="13">
        <f>(KH498-KF498)*MCD_NF_DAYS*KR498-KT498*MCD_SHARE_FREED*R_WAIT_2023</f>
        <v>22916592.296527952</v>
      </c>
      <c r="KW498" s="10">
        <f>IF(AND(KB498&gt;=RULE_START,KC498=1),1/(1+$KB$12)^(KB498-RULE_START+1),0)</f>
        <v>0.8534903711901114</v>
      </c>
      <c r="KX498">
        <f>IF(AND(KB498&gt;=RULE_START,KC498=1,KM498&lt;0),KB498,9999)</f>
        <v>2034</v>
      </c>
      <c r="KY498">
        <f>IF(AND(KB498&gt;=RULE_START,KC498=1,KN498&lt;0),KB498,9999)</f>
        <v>2034</v>
      </c>
      <c r="KZ498">
        <f>IF(AND(KB498&gt;=RULE_START,KC498=1,KO498&lt;0),KB498,9999)</f>
        <v>9999</v>
      </c>
      <c r="LB498" t="n">
        <v>2034</v>
      </c>
      <c r="LC498">
        <f>IF(LB498&lt;=RULE_START+$LB$38-1,1,0)</f>
        <v>1</v>
      </c>
      <c r="LD498" s="15">
        <f>IF(LB498=2024,G_IDX_2024,IF(LB498=2025,G_IDX_2025,IF(LB498=2026,G_IDX_2026,IF(LB498=2027,G_IDX_2027,$LB$13))))</f>
        <v>0.033</v>
      </c>
      <c r="LE498" s="8">
        <f>$LB$20*(1+G_HI)^(LB498-COST_DATE)</f>
        <v>670.25806142393</v>
      </c>
      <c r="LF498" s="8">
        <f>LF497*(1+LD498)</f>
        <v>642.1360561335937</v>
      </c>
      <c r="LG498" s="8">
        <f>IF(LB498&lt;RULE_START,LF498,LG497*(1+G_HI))</f>
        <v>678.6681623638317</v>
      </c>
      <c r="LH498" s="8">
        <f>IF(LB498&lt;RULE_START,LF498,IF(LI498=1,R_NF_2024*(1+G_HI)^(LB498-2024),LH497*(1+LD498)))</f>
        <v>709.4654882688089</v>
      </c>
      <c r="LI498">
        <f>IF(AND(LB498&gt;=RULE_START,MOD(LB498-RULE_START,REBASE_YEARS)=0),1,0)</f>
        <v>0</v>
      </c>
      <c r="LJ498" s="8">
        <f>LF498*CAP_SHARE</f>
        <v>31.39873795678703</v>
      </c>
      <c r="LK498" s="8">
        <f>LG498*CAP_SHARE</f>
        <v>33.1850603717584</v>
      </c>
      <c r="LL498" s="8">
        <f>LH498*CAP_SHARE</f>
        <v>34.69096734680446</v>
      </c>
      <c r="LM498" s="8">
        <f>LF498-LJ498-LE498</f>
        <v>-59.52074324712339</v>
      </c>
      <c r="LN498" s="8">
        <f>LG498-LK498-LE498</f>
        <v>-24.7749594318567</v>
      </c>
      <c r="LO498" s="8">
        <f>LH498-LL498-LE498</f>
        <v>4.516459498074482</v>
      </c>
      <c r="LP498" s="8">
        <f>R_NF_2024*(1+G_HI)^(LB498-2024)</f>
        <v>714.3895229022614</v>
      </c>
      <c r="LQ498" s="10">
        <f>1-LF498/LP498</f>
        <v>0.10114015456880243</v>
      </c>
      <c r="LR498" s="10">
        <f>CPI_2023/(IF(LB498-1=2023,CPI_2023,IF(LB498-1=2024,CPI_2024,IF(LB498-1=2025,CPI_2025,CPI_2025*(1+INFL)^(LB498-1-2025)))))</f>
        <v>0.7800136574624014</v>
      </c>
      <c r="LS498" s="8">
        <f>$LB$21*ABS($LB$11)*(LG498-LF498)/LF498</f>
        <v>5671.805702697739</v>
      </c>
      <c r="LT498" s="8">
        <f>$LB$21*ABS($LB$11)*(LH498-LF498)/LF498</f>
        <v>10453.255958941361</v>
      </c>
      <c r="LU498" s="13">
        <f>(LG498-LF498)*MCD_NF_DAYS*LR498-LS498*MCD_SHARE_FREED*R_WAIT_2023</f>
        <v>12434255.832286127</v>
      </c>
      <c r="LV498" s="13">
        <f>(LH498-LF498)*MCD_NF_DAYS*LR498-LT498*MCD_SHARE_FREED*R_WAIT_2023</f>
        <v>22916592.296527952</v>
      </c>
      <c r="LW498" s="10">
        <f>IF(AND(LB498&gt;=RULE_START,LC498=1),1/(1+$LB$12)^(LB498-RULE_START+1),0)</f>
        <v>0.8534903711901114</v>
      </c>
      <c r="LX498">
        <f>IF(AND(LB498&gt;=RULE_START,LC498=1,LM498&lt;0),LB498,9999)</f>
        <v>2034</v>
      </c>
      <c r="LY498">
        <f>IF(AND(LB498&gt;=RULE_START,LC498=1,LN498&lt;0),LB498,9999)</f>
        <v>2034</v>
      </c>
      <c r="LZ498">
        <f>IF(AND(LB498&gt;=RULE_START,LC498=1,LO498&lt;0),LB498,9999)</f>
        <v>9999</v>
      </c>
      <c r="MB498" t="n">
        <v>2034</v>
      </c>
      <c r="MC498">
        <f>IF(MB498&lt;=RULE_START+$MB$38-1,1,0)</f>
        <v>1</v>
      </c>
      <c r="MD498" s="15">
        <f>IF(MB498=2024,G_IDX_2024,IF(MB498=2025,G_IDX_2025,IF(MB498=2026,G_IDX_2026,IF(MB498=2027,G_IDX_2027,$MB$13))))</f>
        <v>0.033</v>
      </c>
      <c r="ME498" s="8">
        <f>$MB$20*(1+G_HI)^(MB498-COST_DATE)</f>
        <v>670.25806142393</v>
      </c>
      <c r="MF498" s="8">
        <f>MF497*(1+MD498)</f>
        <v>642.1360561335937</v>
      </c>
      <c r="MG498" s="8">
        <f>IF(MB498&lt;RULE_START,MF498,MG497*(1+G_HI))</f>
        <v>678.6681623638317</v>
      </c>
      <c r="MH498" s="8">
        <f>IF(MB498&lt;RULE_START,MF498,IF(MI498=1,R_NF_2024*(1+G_HI)^(MB498-2024),MH497*(1+MD498)))</f>
        <v>709.4654882688089</v>
      </c>
      <c r="MI498">
        <f>IF(AND(MB498&gt;=RULE_START,MOD(MB498-RULE_START,REBASE_YEARS)=0),1,0)</f>
        <v>0</v>
      </c>
      <c r="MJ498" s="8">
        <f>MF498*CAP_SHARE</f>
        <v>31.39873795678703</v>
      </c>
      <c r="MK498" s="8">
        <f>MG498*CAP_SHARE</f>
        <v>33.1850603717584</v>
      </c>
      <c r="ML498" s="8">
        <f>MH498*CAP_SHARE</f>
        <v>34.69096734680446</v>
      </c>
      <c r="MM498" s="8">
        <f>MF498-MJ498-ME498</f>
        <v>-59.52074324712339</v>
      </c>
      <c r="MN498" s="8">
        <f>MG498-MK498-ME498</f>
        <v>-24.7749594318567</v>
      </c>
      <c r="MO498" s="8">
        <f>MH498-ML498-ME498</f>
        <v>4.516459498074482</v>
      </c>
      <c r="MP498" s="8">
        <f>R_NF_2024*(1+G_HI)^(MB498-2024)</f>
        <v>714.3895229022614</v>
      </c>
      <c r="MQ498" s="10">
        <f>1-MF498/MP498</f>
        <v>0.10114015456880243</v>
      </c>
      <c r="MR498" s="10">
        <f>CPI_2023/(IF(MB498-1=2023,CPI_2023,IF(MB498-1=2024,CPI_2024,IF(MB498-1=2025,CPI_2025,CPI_2025*(1+INFL)^(MB498-1-2025)))))</f>
        <v>0.7800136574624014</v>
      </c>
      <c r="MS498" s="8">
        <f>$MB$21*ABS($MB$11)*(MG498-MF498)/MF498</f>
        <v>4155.106008128183</v>
      </c>
      <c r="MT498" s="8">
        <f>$MB$21*ABS($MB$11)*(MH498-MF498)/MF498</f>
        <v>7657.946854357128</v>
      </c>
      <c r="MU498" s="13">
        <f>(MG498-MF498)*MCD_NF_DAYS*MR498-MS498*MCD_SHARE_FREED*R_WAIT_2023</f>
        <v>13123927.592630718</v>
      </c>
      <c r="MV498" s="13">
        <f>(MH498-MF498)*MCD_NF_DAYS*MR498-MT498*MCD_SHARE_FREED*R_WAIT_2023</f>
        <v>24187671.70517318</v>
      </c>
      <c r="MW498" s="10">
        <f>IF(AND(MB498&gt;=RULE_START,MC498=1),1/(1+$MB$12)^(MB498-RULE_START+1),0)</f>
        <v>0.8534903711901114</v>
      </c>
      <c r="MX498">
        <f>IF(AND(MB498&gt;=RULE_START,MC498=1,MM498&lt;0),MB498,9999)</f>
        <v>2034</v>
      </c>
      <c r="MY498">
        <f>IF(AND(MB498&gt;=RULE_START,MC498=1,MN498&lt;0),MB498,9999)</f>
        <v>2034</v>
      </c>
      <c r="MZ498">
        <f>IF(AND(MB498&gt;=RULE_START,MC498=1,MO498&lt;0),MB498,9999)</f>
        <v>9999</v>
      </c>
      <c r="NB498" t="n">
        <v>2034</v>
      </c>
      <c r="NC498">
        <f>IF(NB498&lt;=RULE_START+$NB$38-1,1,0)</f>
        <v>1</v>
      </c>
      <c r="ND498" s="15">
        <f>IF(NB498=2024,G_IDX_2024,IF(NB498=2025,G_IDX_2025,IF(NB498=2026,G_IDX_2026,IF(NB498=2027,G_IDX_2027,$NB$13))))</f>
        <v>0.033</v>
      </c>
      <c r="NE498" s="8">
        <f>$NB$20*(1+G_HI)^(NB498-COST_DATE)</f>
        <v>670.25806142393</v>
      </c>
      <c r="NF498" s="8">
        <f>NF497*(1+ND498)</f>
        <v>642.1360561335937</v>
      </c>
      <c r="NG498" s="8">
        <f>IF(NB498&lt;RULE_START,NF498,NG497*(1+G_HI))</f>
        <v>678.6681623638317</v>
      </c>
      <c r="NH498" s="8">
        <f>IF(NB498&lt;RULE_START,NF498,IF(NI498=1,R_NF_2024*(1+G_HI)^(NB498-2024),NH497*(1+ND498)))</f>
        <v>709.4654882688089</v>
      </c>
      <c r="NI498">
        <f>IF(AND(NB498&gt;=RULE_START,MOD(NB498-RULE_START,REBASE_YEARS)=0),1,0)</f>
        <v>0</v>
      </c>
      <c r="NJ498" s="8">
        <f>NF498*CAP_SHARE</f>
        <v>31.39873795678703</v>
      </c>
      <c r="NK498" s="8">
        <f>NG498*CAP_SHARE</f>
        <v>33.1850603717584</v>
      </c>
      <c r="NL498" s="8">
        <f>NH498*CAP_SHARE</f>
        <v>34.69096734680446</v>
      </c>
      <c r="NM498" s="8">
        <f>NF498-NJ498-NE498</f>
        <v>-59.52074324712339</v>
      </c>
      <c r="NN498" s="8">
        <f>NG498-NK498-NE498</f>
        <v>-24.7749594318567</v>
      </c>
      <c r="NO498" s="8">
        <f>NH498-NL498-NE498</f>
        <v>4.516459498074482</v>
      </c>
      <c r="NP498" s="8">
        <f>R_NF_2024*(1+G_HI)^(NB498-2024)</f>
        <v>714.3895229022614</v>
      </c>
      <c r="NQ498" s="10">
        <f>1-NF498/NP498</f>
        <v>0.10114015456880243</v>
      </c>
      <c r="NR498" s="10">
        <f>CPI_2023/(IF(NB498-1=2023,CPI_2023,IF(NB498-1=2024,CPI_2024,IF(NB498-1=2025,CPI_2025,CPI_2025*(1+INFL)^(NB498-1-2025)))))</f>
        <v>0.7800136574624014</v>
      </c>
      <c r="NS498" s="8">
        <f>$NB$21*ABS($NB$11)*(NG498-NF498)/NF498</f>
        <v>5671.805702697739</v>
      </c>
      <c r="NT498" s="8">
        <f>$NB$21*ABS($NB$11)*(NH498-NF498)/NF498</f>
        <v>10453.255958941361</v>
      </c>
      <c r="NU498" s="13">
        <f>(NG498-NF498)*MCD_NF_DAYS*NR498-NS498*MCD_SHARE_FREED*R_WAIT_2023</f>
        <v>12434255.832286127</v>
      </c>
      <c r="NV498" s="13">
        <f>(NH498-NF498)*MCD_NF_DAYS*NR498-NT498*MCD_SHARE_FREED*R_WAIT_2023</f>
        <v>22916592.296527952</v>
      </c>
      <c r="NW498" s="10">
        <f>IF(AND(NB498&gt;=RULE_START,NC498=1),1/(1+$NB$12)^(NB498-RULE_START+1),0)</f>
        <v>0.8534903711901114</v>
      </c>
      <c r="NX498">
        <f>IF(AND(NB498&gt;=RULE_START,NC498=1,NM498&lt;0),NB498,9999)</f>
        <v>2034</v>
      </c>
      <c r="NY498">
        <f>IF(AND(NB498&gt;=RULE_START,NC498=1,NN498&lt;0),NB498,9999)</f>
        <v>2034</v>
      </c>
      <c r="NZ498">
        <f>IF(AND(NB498&gt;=RULE_START,NC498=1,NO498&lt;0),NB498,9999)</f>
        <v>9999</v>
      </c>
      <c r="OB498" t="n">
        <v>2034</v>
      </c>
      <c r="OC498">
        <f>IF(OB498&lt;=RULE_START+$OB$38-1,1,0)</f>
        <v>1</v>
      </c>
      <c r="OD498" s="15">
        <f>IF(OB498=2024,G_IDX_2024,IF(OB498=2025,G_IDX_2025,IF(OB498=2026,G_IDX_2026,IF(OB498=2027,G_IDX_2027,$OB$13))))</f>
        <v>0.033</v>
      </c>
      <c r="OE498" s="8">
        <f>$OB$20*(1+G_HI)^(OB498-COST_DATE)</f>
        <v>670.25806142393</v>
      </c>
      <c r="OF498" s="8">
        <f>OF497*(1+OD498)</f>
        <v>642.1360561335937</v>
      </c>
      <c r="OG498" s="8">
        <f>IF(OB498&lt;RULE_START,OF498,OG497*(1+G_HI))</f>
        <v>678.6681623638317</v>
      </c>
      <c r="OH498" s="8">
        <f>IF(OB498&lt;RULE_START,OF498,IF(OI498=1,R_NF_2024*(1+G_HI)^(OB498-2024),OH497*(1+OD498)))</f>
        <v>709.4654882688089</v>
      </c>
      <c r="OI498">
        <f>IF(AND(OB498&gt;=RULE_START,MOD(OB498-RULE_START,REBASE_YEARS)=0),1,0)</f>
        <v>0</v>
      </c>
      <c r="OJ498" s="8">
        <f>OF498*CAP_SHARE</f>
        <v>31.39873795678703</v>
      </c>
      <c r="OK498" s="8">
        <f>OG498*CAP_SHARE</f>
        <v>33.1850603717584</v>
      </c>
      <c r="OL498" s="8">
        <f>OH498*CAP_SHARE</f>
        <v>34.69096734680446</v>
      </c>
      <c r="OM498" s="8">
        <f>OF498-OJ498-OE498</f>
        <v>-59.52074324712339</v>
      </c>
      <c r="ON498" s="8">
        <f>OG498-OK498-OE498</f>
        <v>-24.7749594318567</v>
      </c>
      <c r="OO498" s="8">
        <f>OH498-OL498-OE498</f>
        <v>4.516459498074482</v>
      </c>
      <c r="OP498" s="8">
        <f>R_NF_2024*(1+G_HI)^(OB498-2024)</f>
        <v>714.3895229022614</v>
      </c>
      <c r="OQ498" s="10">
        <f>1-OF498/OP498</f>
        <v>0.10114015456880243</v>
      </c>
      <c r="OR498" s="10">
        <f>CPI_2023/(IF(OB498-1=2023,CPI_2023,IF(OB498-1=2024,CPI_2024,IF(OB498-1=2025,CPI_2025,CPI_2025*(1+INFL)^(OB498-1-2025)))))</f>
        <v>0.7800136574624014</v>
      </c>
      <c r="OS498" s="8">
        <f>$OB$21*ABS($OB$11)*(OG498-OF498)/OF498</f>
        <v>5671.805702697739</v>
      </c>
      <c r="OT498" s="8">
        <f>$OB$21*ABS($OB$11)*(OH498-OF498)/OF498</f>
        <v>10453.255958941361</v>
      </c>
      <c r="OU498" s="13">
        <f>(OG498-OF498)*MCD_NF_DAYS*OR498-OS498*MCD_SHARE_FREED*R_WAIT_2023</f>
        <v>12434255.832286127</v>
      </c>
      <c r="OV498" s="13">
        <f>(OH498-OF498)*MCD_NF_DAYS*OR498-OT498*MCD_SHARE_FREED*R_WAIT_2023</f>
        <v>22916592.296527952</v>
      </c>
      <c r="OW498" s="10">
        <f>IF(AND(OB498&gt;=RULE_START,OC498=1),1/(1+$OB$12)^(OB498-RULE_START+1),0)</f>
        <v>0.8534903711901114</v>
      </c>
      <c r="OX498">
        <f>IF(AND(OB498&gt;=RULE_START,OC498=1,OM498&lt;0),OB498,9999)</f>
        <v>2034</v>
      </c>
      <c r="OY498">
        <f>IF(AND(OB498&gt;=RULE_START,OC498=1,ON498&lt;0),OB498,9999)</f>
        <v>2034</v>
      </c>
      <c r="OZ498">
        <f>IF(AND(OB498&gt;=RULE_START,OC498=1,OO498&lt;0),OB498,9999)</f>
        <v>9999</v>
      </c>
    </row>
    <row r="499">
      <c r="B499" t="n">
        <v>2035</v>
      </c>
      <c r="C499">
        <f>IF(B499&lt;=RULE_START+$B$38-1,1,0)</f>
        <v>1</v>
      </c>
      <c r="D499" s="15">
        <f>IF(B499=2024,G_IDX_2024,IF(B499=2025,G_IDX_2025,IF(B499=2026,G_IDX_2026,IF(B499=2027,G_IDX_2027,$B$13))))</f>
        <v>0.033</v>
      </c>
      <c r="E499" s="8">
        <f>$B$20*(1+G_HI)^(B499-COST_DATE)</f>
        <v>697.182006753871</v>
      </c>
      <c r="F499" s="8">
        <f>F498*(1+D499)</f>
        <v>663.3265459860022</v>
      </c>
      <c r="G499" s="8">
        <f>IF(B499&lt;RULE_START,F499,G498*(1+G_HI))</f>
        <v>705.9299374207947</v>
      </c>
      <c r="H499" s="8">
        <f>IF(B499&lt;RULE_START,F499,IF(I499=1,R_NF_2024*(1+G_HI)^(B499-2024),H498*(1+D499)))</f>
        <v>732.8778493816795</v>
      </c>
      <c r="I499">
        <f>IF(AND(B499&gt;=RULE_START,MOD(B499-RULE_START,REBASE_YEARS)=0),1,0)</f>
        <v>0</v>
      </c>
      <c r="J499" s="8">
        <f>F499*CAP_SHARE</f>
        <v>32.434896309361</v>
      </c>
      <c r="K499" s="8">
        <f>G499*CAP_SHARE</f>
        <v>34.5180883540282</v>
      </c>
      <c r="L499" s="8">
        <f>H499*CAP_SHARE</f>
        <v>35.835769269249006</v>
      </c>
      <c r="M499" s="8">
        <f>F499-J499-E499</f>
        <v>-66.29035707722971</v>
      </c>
      <c r="N499" s="8">
        <f>G499-K499-E499</f>
        <v>-25.77015768710453</v>
      </c>
      <c r="O499" s="8">
        <f>H499-L499-E499</f>
        <v>-0.139926641440411</v>
      </c>
      <c r="P499" s="8">
        <f>R_NF_2024*(1+G_HI)^(B499-2024)</f>
        <v>743.086207904514</v>
      </c>
      <c r="Q499" s="10">
        <f>1-F499/P499</f>
        <v>0.1073356779739355</v>
      </c>
      <c r="R499" s="10">
        <f>CPI_2023/(IF(B499-1=2023,CPI_2023,IF(B499-1=2024,CPI_2024,IF(B499-1=2025,CPI_2025,CPI_2025*(1+INFL)^(B499-1-2025)))))</f>
        <v>0.7626257894626529</v>
      </c>
      <c r="S499" s="8">
        <f>$B$21*ABS($B$11)*(G499-F499)/F499</f>
        <v>6403.102941914586</v>
      </c>
      <c r="T499" s="8">
        <f>$B$21*ABS($B$11)*(H499-F499)/F499</f>
        <v>10453.25595894136</v>
      </c>
      <c r="U499" s="13">
        <f>(G499-F499)*MCD_NF_DAYS*R499-S499*MCD_SHARE_FREED*R_WAIT_2023</f>
        <v>14206499.965581264</v>
      </c>
      <c r="V499" s="13">
        <f>(H499-F499)*MCD_NF_DAYS*R499-T499*MCD_SHARE_FREED*R_WAIT_2023</f>
        <v>23192533.646274388</v>
      </c>
      <c r="W499" s="10">
        <f>IF(AND(B499&gt;=RULE_START,C499=1),1/(1+$B$12)^(B499-RULE_START+1),0)</f>
        <v>0.8367552658726582</v>
      </c>
      <c r="X499">
        <f>IF(AND(B499&gt;=RULE_START,C499=1,M499&lt;0),B499,9999)</f>
        <v>2035</v>
      </c>
      <c r="Y499">
        <f>IF(AND(B499&gt;=RULE_START,C499=1,N499&lt;0),B499,9999)</f>
        <v>2035</v>
      </c>
      <c r="Z499">
        <f>IF(AND(B499&gt;=RULE_START,C499=1,O499&lt;0),B499,9999)</f>
        <v>2035</v>
      </c>
      <c r="AB499" t="n">
        <v>2035</v>
      </c>
      <c r="AC499">
        <f>IF(AB499&lt;=RULE_START+$AB$38-1,1,0)</f>
        <v>1</v>
      </c>
      <c r="AD499" s="15">
        <f>IF(AB499=2024,G_IDX_2024,IF(AB499=2025,G_IDX_2025,IF(AB499=2026,G_IDX_2026,IF(AB499=2027,G_IDX_2027,$AB$13))))</f>
        <v>0.033</v>
      </c>
      <c r="AE499" s="8">
        <f>$AB$20*(1+G_HI)^(AB499-COST_DATE)</f>
        <v>697.182006753871</v>
      </c>
      <c r="AF499" s="8">
        <f>AF498*(1+AD499)</f>
        <v>663.3265459860022</v>
      </c>
      <c r="AG499" s="8">
        <f>IF(AB499&lt;RULE_START,AF499,AG498*(1+G_HI))</f>
        <v>705.9299374207947</v>
      </c>
      <c r="AH499" s="8">
        <f>IF(AB499&lt;RULE_START,AF499,IF(AI499=1,R_NF_2024*(1+G_HI)^(AB499-2024),AH498*(1+AD499)))</f>
        <v>732.8778493816795</v>
      </c>
      <c r="AI499">
        <f>IF(AND(AB499&gt;=RULE_START,MOD(AB499-RULE_START,REBASE_YEARS)=0),1,0)</f>
        <v>0</v>
      </c>
      <c r="AJ499" s="8">
        <f>AF499*CAP_SHARE</f>
        <v>32.434896309361</v>
      </c>
      <c r="AK499" s="8">
        <f>AG499*CAP_SHARE</f>
        <v>34.5180883540282</v>
      </c>
      <c r="AL499" s="8">
        <f>AH499*CAP_SHARE</f>
        <v>35.835769269249006</v>
      </c>
      <c r="AM499" s="8">
        <f>AF499-AJ499-AE499</f>
        <v>-66.29035707722971</v>
      </c>
      <c r="AN499" s="8">
        <f>AG499-AK499-AE499</f>
        <v>-25.77015768710453</v>
      </c>
      <c r="AO499" s="8">
        <f>AH499-AL499-AE499</f>
        <v>-0.139926641440411</v>
      </c>
      <c r="AP499" s="8">
        <f>R_NF_2024*(1+G_HI)^(AB499-2024)</f>
        <v>743.086207904514</v>
      </c>
      <c r="AQ499" s="10">
        <f>1-AF499/AP499</f>
        <v>0.1073356779739355</v>
      </c>
      <c r="AR499" s="10">
        <f>CPI_2023/(IF(AB499-1=2023,CPI_2023,IF(AB499-1=2024,CPI_2024,IF(AB499-1=2025,CPI_2025,CPI_2025*(1+INFL)^(AB499-1-2025)))))</f>
        <v>0.7626257894626529</v>
      </c>
      <c r="AS499" s="8">
        <f>$AB$21*ABS($AB$11)*(AG499-AF499)/AF499</f>
        <v>6403.102941914586</v>
      </c>
      <c r="AT499" s="8">
        <f>$AB$21*ABS($AB$11)*(AH499-AF499)/AF499</f>
        <v>10453.25595894136</v>
      </c>
      <c r="AU499" s="13">
        <f>(AG499-AF499)*MCD_NF_DAYS*AR499-AS499*MCD_SHARE_FREED*R_WAIT_2023</f>
        <v>14206499.965581264</v>
      </c>
      <c r="AV499" s="13">
        <f>(AH499-AF499)*MCD_NF_DAYS*AR499-AT499*MCD_SHARE_FREED*R_WAIT_2023</f>
        <v>23192533.646274388</v>
      </c>
      <c r="AW499" s="10">
        <f>IF(AND(AB499&gt;=RULE_START,AC499=1),1/(1+$AB$12)^(AB499-RULE_START+1),0)</f>
        <v>0.8367552658726582</v>
      </c>
      <c r="AX499">
        <f>IF(AND(AB499&gt;=RULE_START,AC499=1,AM499&lt;0),AB499,9999)</f>
        <v>2035</v>
      </c>
      <c r="AY499">
        <f>IF(AND(AB499&gt;=RULE_START,AC499=1,AN499&lt;0),AB499,9999)</f>
        <v>2035</v>
      </c>
      <c r="AZ499">
        <f>IF(AND(AB499&gt;=RULE_START,AC499=1,AO499&lt;0),AB499,9999)</f>
        <v>2035</v>
      </c>
      <c r="BB499" t="n">
        <v>2035</v>
      </c>
      <c r="BC499">
        <f>IF(BB499&lt;=RULE_START+$BB$38-1,1,0)</f>
        <v>1</v>
      </c>
      <c r="BD499" s="15">
        <f>IF(BB499=2024,G_IDX_2024,IF(BB499=2025,G_IDX_2025,IF(BB499=2026,G_IDX_2026,IF(BB499=2027,G_IDX_2027,$BB$13))))</f>
        <v>0.033</v>
      </c>
      <c r="BE499" s="8">
        <f>$BB$20*(1+G_HI)^(BB499-COST_DATE)</f>
        <v>697.182006753871</v>
      </c>
      <c r="BF499" s="8">
        <f>BF498*(1+BD499)</f>
        <v>663.3265459860022</v>
      </c>
      <c r="BG499" s="8">
        <f>IF(BB499&lt;RULE_START,BF499,BG498*(1+G_HI))</f>
        <v>705.9299374207947</v>
      </c>
      <c r="BH499" s="8">
        <f>IF(BB499&lt;RULE_START,BF499,IF(BI499=1,R_NF_2024*(1+G_HI)^(BB499-2024),BH498*(1+BD499)))</f>
        <v>732.8778493816795</v>
      </c>
      <c r="BI499">
        <f>IF(AND(BB499&gt;=RULE_START,MOD(BB499-RULE_START,REBASE_YEARS)=0),1,0)</f>
        <v>0</v>
      </c>
      <c r="BJ499" s="8">
        <f>BF499*CAP_SHARE</f>
        <v>32.434896309361</v>
      </c>
      <c r="BK499" s="8">
        <f>BG499*CAP_SHARE</f>
        <v>34.5180883540282</v>
      </c>
      <c r="BL499" s="8">
        <f>BH499*CAP_SHARE</f>
        <v>35.835769269249006</v>
      </c>
      <c r="BM499" s="8">
        <f>BF499-BJ499-BE499</f>
        <v>-66.29035707722971</v>
      </c>
      <c r="BN499" s="8">
        <f>BG499-BK499-BE499</f>
        <v>-25.77015768710453</v>
      </c>
      <c r="BO499" s="8">
        <f>BH499-BL499-BE499</f>
        <v>-0.139926641440411</v>
      </c>
      <c r="BP499" s="8">
        <f>R_NF_2024*(1+G_HI)^(BB499-2024)</f>
        <v>743.086207904514</v>
      </c>
      <c r="BQ499" s="10">
        <f>1-BF499/BP499</f>
        <v>0.1073356779739355</v>
      </c>
      <c r="BR499" s="10">
        <f>CPI_2023/(IF(BB499-1=2023,CPI_2023,IF(BB499-1=2024,CPI_2024,IF(BB499-1=2025,CPI_2025,CPI_2025*(1+INFL)^(BB499-1-2025)))))</f>
        <v>0.7626257894626529</v>
      </c>
      <c r="BS499" s="8">
        <f>$BB$21*ABS($BB$11)*(BG499-BF499)/BF499</f>
        <v>6403.102941914586</v>
      </c>
      <c r="BT499" s="8">
        <f>$BB$21*ABS($BB$11)*(BH499-BF499)/BF499</f>
        <v>10453.25595894136</v>
      </c>
      <c r="BU499" s="13">
        <f>(BG499-BF499)*MCD_NF_DAYS*BR499-BS499*MCD_SHARE_FREED*R_WAIT_2023</f>
        <v>14206499.965581264</v>
      </c>
      <c r="BV499" s="13">
        <f>(BH499-BF499)*MCD_NF_DAYS*BR499-BT499*MCD_SHARE_FREED*R_WAIT_2023</f>
        <v>23192533.646274388</v>
      </c>
      <c r="BW499" s="10">
        <f>IF(AND(BB499&gt;=RULE_START,BC499=1),1/(1+$BB$12)^(BB499-RULE_START+1),0)</f>
        <v>0.8367552658726582</v>
      </c>
      <c r="BX499">
        <f>IF(AND(BB499&gt;=RULE_START,BC499=1,BM499&lt;0),BB499,9999)</f>
        <v>2035</v>
      </c>
      <c r="BY499">
        <f>IF(AND(BB499&gt;=RULE_START,BC499=1,BN499&lt;0),BB499,9999)</f>
        <v>2035</v>
      </c>
      <c r="BZ499">
        <f>IF(AND(BB499&gt;=RULE_START,BC499=1,BO499&lt;0),BB499,9999)</f>
        <v>2035</v>
      </c>
      <c r="CB499" t="n">
        <v>2035</v>
      </c>
      <c r="CC499">
        <f>IF(CB499&lt;=RULE_START+$CB$38-1,1,0)</f>
        <v>1</v>
      </c>
      <c r="CD499" s="15">
        <f>IF(CB499=2024,G_IDX_2024,IF(CB499=2025,G_IDX_2025,IF(CB499=2026,G_IDX_2026,IF(CB499=2027,G_IDX_2027,$CB$13))))</f>
        <v>0.033</v>
      </c>
      <c r="CE499" s="8">
        <f>$CB$20*(1+G_HI)^(CB499-COST_DATE)</f>
        <v>697.182006753871</v>
      </c>
      <c r="CF499" s="8">
        <f>CF498*(1+CD499)</f>
        <v>663.3265459860022</v>
      </c>
      <c r="CG499" s="8">
        <f>IF(CB499&lt;RULE_START,CF499,CG498*(1+G_HI))</f>
        <v>705.9299374207947</v>
      </c>
      <c r="CH499" s="8">
        <f>IF(CB499&lt;RULE_START,CF499,IF(CI499=1,R_NF_2024*(1+G_HI)^(CB499-2024),CH498*(1+CD499)))</f>
        <v>732.8778493816795</v>
      </c>
      <c r="CI499">
        <f>IF(AND(CB499&gt;=RULE_START,MOD(CB499-RULE_START,REBASE_YEARS)=0),1,0)</f>
        <v>0</v>
      </c>
      <c r="CJ499" s="8">
        <f>CF499*CAP_SHARE</f>
        <v>32.434896309361</v>
      </c>
      <c r="CK499" s="8">
        <f>CG499*CAP_SHARE</f>
        <v>34.5180883540282</v>
      </c>
      <c r="CL499" s="8">
        <f>CH499*CAP_SHARE</f>
        <v>35.835769269249006</v>
      </c>
      <c r="CM499" s="8">
        <f>CF499-CJ499-CE499</f>
        <v>-66.29035707722971</v>
      </c>
      <c r="CN499" s="8">
        <f>CG499-CK499-CE499</f>
        <v>-25.77015768710453</v>
      </c>
      <c r="CO499" s="8">
        <f>CH499-CL499-CE499</f>
        <v>-0.139926641440411</v>
      </c>
      <c r="CP499" s="8">
        <f>R_NF_2024*(1+G_HI)^(CB499-2024)</f>
        <v>743.086207904514</v>
      </c>
      <c r="CQ499" s="10">
        <f>1-CF499/CP499</f>
        <v>0.1073356779739355</v>
      </c>
      <c r="CR499" s="10">
        <f>CPI_2023/(IF(CB499-1=2023,CPI_2023,IF(CB499-1=2024,CPI_2024,IF(CB499-1=2025,CPI_2025,CPI_2025*(1+INFL)^(CB499-1-2025)))))</f>
        <v>0.7626257894626529</v>
      </c>
      <c r="CS499" s="8">
        <f>$CB$21*ABS($CB$11)*(CG499-CF499)/CF499</f>
        <v>6403.102941914586</v>
      </c>
      <c r="CT499" s="8">
        <f>$CB$21*ABS($CB$11)*(CH499-CF499)/CF499</f>
        <v>10453.25595894136</v>
      </c>
      <c r="CU499" s="13">
        <f>(CG499-CF499)*MCD_NF_DAYS*CR499-CS499*MCD_SHARE_FREED*R_WAIT_2023</f>
        <v>14206499.965581264</v>
      </c>
      <c r="CV499" s="13">
        <f>(CH499-CF499)*MCD_NF_DAYS*CR499-CT499*MCD_SHARE_FREED*R_WAIT_2023</f>
        <v>23192533.646274388</v>
      </c>
      <c r="CW499" s="10">
        <f>IF(AND(CB499&gt;=RULE_START,CC499=1),1/(1+$CB$12)^(CB499-RULE_START+1),0)</f>
        <v>0.8367552658726582</v>
      </c>
      <c r="CX499">
        <f>IF(AND(CB499&gt;=RULE_START,CC499=1,CM499&lt;0),CB499,9999)</f>
        <v>2035</v>
      </c>
      <c r="CY499">
        <f>IF(AND(CB499&gt;=RULE_START,CC499=1,CN499&lt;0),CB499,9999)</f>
        <v>2035</v>
      </c>
      <c r="CZ499">
        <f>IF(AND(CB499&gt;=RULE_START,CC499=1,CO499&lt;0),CB499,9999)</f>
        <v>2035</v>
      </c>
      <c r="DB499" t="n">
        <v>2035</v>
      </c>
      <c r="DC499">
        <f>IF(DB499&lt;=RULE_START+$DB$38-1,1,0)</f>
        <v>1</v>
      </c>
      <c r="DD499" s="15">
        <f>IF(DB499=2024,G_IDX_2024,IF(DB499=2025,G_IDX_2025,IF(DB499=2026,G_IDX_2026,IF(DB499=2027,G_IDX_2027,$DB$13))))</f>
        <v>0.033</v>
      </c>
      <c r="DE499" s="8">
        <f>$DB$20*(1+G_HI)^(DB499-COST_DATE)</f>
        <v>697.182006753871</v>
      </c>
      <c r="DF499" s="8">
        <f>DF498*(1+DD499)</f>
        <v>663.3265459860022</v>
      </c>
      <c r="DG499" s="8">
        <f>IF(DB499&lt;RULE_START,DF499,DG498*(1+G_HI))</f>
        <v>705.9299374207947</v>
      </c>
      <c r="DH499" s="8">
        <f>IF(DB499&lt;RULE_START,DF499,IF(DI499=1,R_NF_2024*(1+G_HI)^(DB499-2024),DH498*(1+DD499)))</f>
        <v>732.8778493816795</v>
      </c>
      <c r="DI499">
        <f>IF(AND(DB499&gt;=RULE_START,MOD(DB499-RULE_START,REBASE_YEARS)=0),1,0)</f>
        <v>0</v>
      </c>
      <c r="DJ499" s="8">
        <f>DF499*CAP_SHARE</f>
        <v>32.434896309361</v>
      </c>
      <c r="DK499" s="8">
        <f>DG499*CAP_SHARE</f>
        <v>34.5180883540282</v>
      </c>
      <c r="DL499" s="8">
        <f>DH499*CAP_SHARE</f>
        <v>35.835769269249006</v>
      </c>
      <c r="DM499" s="8">
        <f>DF499-DJ499-DE499</f>
        <v>-66.29035707722971</v>
      </c>
      <c r="DN499" s="8">
        <f>DG499-DK499-DE499</f>
        <v>-25.77015768710453</v>
      </c>
      <c r="DO499" s="8">
        <f>DH499-DL499-DE499</f>
        <v>-0.139926641440411</v>
      </c>
      <c r="DP499" s="8">
        <f>R_NF_2024*(1+G_HI)^(DB499-2024)</f>
        <v>743.086207904514</v>
      </c>
      <c r="DQ499" s="10">
        <f>1-DF499/DP499</f>
        <v>0.1073356779739355</v>
      </c>
      <c r="DR499" s="10">
        <f>CPI_2023/(IF(DB499-1=2023,CPI_2023,IF(DB499-1=2024,CPI_2024,IF(DB499-1=2025,CPI_2025,CPI_2025*(1+INFL)^(DB499-1-2025)))))</f>
        <v>0.7626257894626529</v>
      </c>
      <c r="DS499" s="8">
        <f>$DB$21*ABS($DB$11)*(DG499-DF499)/DF499</f>
        <v>6403.102941914586</v>
      </c>
      <c r="DT499" s="8">
        <f>$DB$21*ABS($DB$11)*(DH499-DF499)/DF499</f>
        <v>10453.25595894136</v>
      </c>
      <c r="DU499" s="13">
        <f>(DG499-DF499)*MCD_NF_DAYS*DR499-DS499*MCD_SHARE_FREED*R_WAIT_2023</f>
        <v>14206499.965581264</v>
      </c>
      <c r="DV499" s="13">
        <f>(DH499-DF499)*MCD_NF_DAYS*DR499-DT499*MCD_SHARE_FREED*R_WAIT_2023</f>
        <v>23192533.646274388</v>
      </c>
      <c r="DW499" s="10">
        <f>IF(AND(DB499&gt;=RULE_START,DC499=1),1/(1+$DB$12)^(DB499-RULE_START+1),0)</f>
        <v>0.8367552658726582</v>
      </c>
      <c r="DX499">
        <f>IF(AND(DB499&gt;=RULE_START,DC499=1,DM499&lt;0),DB499,9999)</f>
        <v>2035</v>
      </c>
      <c r="DY499">
        <f>IF(AND(DB499&gt;=RULE_START,DC499=1,DN499&lt;0),DB499,9999)</f>
        <v>2035</v>
      </c>
      <c r="DZ499">
        <f>IF(AND(DB499&gt;=RULE_START,DC499=1,DO499&lt;0),DB499,9999)</f>
        <v>2035</v>
      </c>
      <c r="EB499" t="n">
        <v>2035</v>
      </c>
      <c r="EC499">
        <f>IF(EB499&lt;=RULE_START+$EB$38-1,1,0)</f>
        <v>1</v>
      </c>
      <c r="ED499" s="15">
        <f>IF(EB499=2024,G_IDX_2024,IF(EB499=2025,G_IDX_2025,IF(EB499=2026,G_IDX_2026,IF(EB499=2027,G_IDX_2027,$EB$13))))</f>
        <v>0.033</v>
      </c>
      <c r="EE499" s="8">
        <f>$EB$20*(1+G_HI)^(EB499-COST_DATE)</f>
        <v>697.182006753871</v>
      </c>
      <c r="EF499" s="8">
        <f>EF498*(1+ED499)</f>
        <v>663.3265459860022</v>
      </c>
      <c r="EG499" s="8">
        <f>IF(EB499&lt;RULE_START,EF499,EG498*(1+G_HI))</f>
        <v>705.9299374207947</v>
      </c>
      <c r="EH499" s="8">
        <f>IF(EB499&lt;RULE_START,EF499,IF(EI499=1,R_NF_2024*(1+G_HI)^(EB499-2024),EH498*(1+ED499)))</f>
        <v>732.8778493816795</v>
      </c>
      <c r="EI499">
        <f>IF(AND(EB499&gt;=RULE_START,MOD(EB499-RULE_START,REBASE_YEARS)=0),1,0)</f>
        <v>0</v>
      </c>
      <c r="EJ499" s="8">
        <f>EF499*CAP_SHARE</f>
        <v>32.434896309361</v>
      </c>
      <c r="EK499" s="8">
        <f>EG499*CAP_SHARE</f>
        <v>34.5180883540282</v>
      </c>
      <c r="EL499" s="8">
        <f>EH499*CAP_SHARE</f>
        <v>35.835769269249006</v>
      </c>
      <c r="EM499" s="8">
        <f>EF499-EJ499-EE499</f>
        <v>-66.29035707722971</v>
      </c>
      <c r="EN499" s="8">
        <f>EG499-EK499-EE499</f>
        <v>-25.77015768710453</v>
      </c>
      <c r="EO499" s="8">
        <f>EH499-EL499-EE499</f>
        <v>-0.139926641440411</v>
      </c>
      <c r="EP499" s="8">
        <f>R_NF_2024*(1+G_HI)^(EB499-2024)</f>
        <v>743.086207904514</v>
      </c>
      <c r="EQ499" s="10">
        <f>1-EF499/EP499</f>
        <v>0.1073356779739355</v>
      </c>
      <c r="ER499" s="10">
        <f>CPI_2023/(IF(EB499-1=2023,CPI_2023,IF(EB499-1=2024,CPI_2024,IF(EB499-1=2025,CPI_2025,CPI_2025*(1+INFL)^(EB499-1-2025)))))</f>
        <v>0.7626257894626529</v>
      </c>
      <c r="ES499" s="8">
        <f>$EB$21*ABS($EB$11)*(EG499-EF499)/EF499</f>
        <v>6403.102941914586</v>
      </c>
      <c r="ET499" s="8">
        <f>$EB$21*ABS($EB$11)*(EH499-EF499)/EF499</f>
        <v>10453.25595894136</v>
      </c>
      <c r="EU499" s="13">
        <f>(EG499-EF499)*MCD_NF_DAYS*ER499-ES499*MCD_SHARE_FREED*R_WAIT_2023</f>
        <v>14206499.965581264</v>
      </c>
      <c r="EV499" s="13">
        <f>(EH499-EF499)*MCD_NF_DAYS*ER499-ET499*MCD_SHARE_FREED*R_WAIT_2023</f>
        <v>23192533.646274388</v>
      </c>
      <c r="EW499" s="10">
        <f>IF(AND(EB499&gt;=RULE_START,EC499=1),1/(1+$EB$12)^(EB499-RULE_START+1),0)</f>
        <v>0.8367552658726582</v>
      </c>
      <c r="EX499">
        <f>IF(AND(EB499&gt;=RULE_START,EC499=1,EM499&lt;0),EB499,9999)</f>
        <v>2035</v>
      </c>
      <c r="EY499">
        <f>IF(AND(EB499&gt;=RULE_START,EC499=1,EN499&lt;0),EB499,9999)</f>
        <v>2035</v>
      </c>
      <c r="EZ499">
        <f>IF(AND(EB499&gt;=RULE_START,EC499=1,EO499&lt;0),EB499,9999)</f>
        <v>2035</v>
      </c>
      <c r="FB499" t="n">
        <v>2035</v>
      </c>
      <c r="FC499">
        <f>IF(FB499&lt;=RULE_START+$FB$38-1,1,0)</f>
        <v>1</v>
      </c>
      <c r="FD499" s="15">
        <f>IF(FB499=2024,G_IDX_2024,IF(FB499=2025,G_IDX_2025,IF(FB499=2026,G_IDX_2026,IF(FB499=2027,G_IDX_2027,$FB$13))))</f>
        <v>0.033</v>
      </c>
      <c r="FE499" s="8">
        <f>$FB$20*(1+G_HI)^(FB499-COST_DATE)</f>
        <v>717.4925347516421</v>
      </c>
      <c r="FF499" s="8">
        <f>FF498*(1+FD499)</f>
        <v>663.3265459860022</v>
      </c>
      <c r="FG499" s="8">
        <f>IF(FB499&lt;RULE_START,FF499,FG498*(1+G_HI))</f>
        <v>705.9299374207947</v>
      </c>
      <c r="FH499" s="8">
        <f>IF(FB499&lt;RULE_START,FF499,IF(FI499=1,R_NF_2024*(1+G_HI)^(FB499-2024),FH498*(1+FD499)))</f>
        <v>732.8778493816795</v>
      </c>
      <c r="FI499">
        <f>IF(AND(FB499&gt;=RULE_START,MOD(FB499-RULE_START,REBASE_YEARS)=0),1,0)</f>
        <v>0</v>
      </c>
      <c r="FJ499" s="8">
        <f>FF499*CAP_SHARE</f>
        <v>32.434896309361</v>
      </c>
      <c r="FK499" s="8">
        <f>FG499*CAP_SHARE</f>
        <v>34.5180883540282</v>
      </c>
      <c r="FL499" s="8">
        <f>FH499*CAP_SHARE</f>
        <v>35.835769269249006</v>
      </c>
      <c r="FM499" s="8">
        <f>FF499-FJ499-FE499</f>
        <v>-86.60088507500086</v>
      </c>
      <c r="FN499" s="8">
        <f>FG499-FK499-FE499</f>
        <v>-46.080685684875675</v>
      </c>
      <c r="FO499" s="8">
        <f>FH499-FL499-FE499</f>
        <v>-20.450454639211557</v>
      </c>
      <c r="FP499" s="8">
        <f>R_NF_2024*(1+G_HI)^(FB499-2024)</f>
        <v>743.086207904514</v>
      </c>
      <c r="FQ499" s="10">
        <f>1-FF499/FP499</f>
        <v>0.1073356779739355</v>
      </c>
      <c r="FR499" s="10">
        <f>CPI_2023/(IF(FB499-1=2023,CPI_2023,IF(FB499-1=2024,CPI_2024,IF(FB499-1=2025,CPI_2025,CPI_2025*(1+INFL)^(FB499-1-2025)))))</f>
        <v>0.7626257894626529</v>
      </c>
      <c r="FS499" s="8">
        <f>$FB$21*ABS($FB$11)*(FG499-FF499)/FF499</f>
        <v>6403.102941914586</v>
      </c>
      <c r="FT499" s="8">
        <f>$FB$21*ABS($FB$11)*(FH499-FF499)/FF499</f>
        <v>10453.25595894136</v>
      </c>
      <c r="FU499" s="13">
        <f>(FG499-FF499)*MCD_NF_DAYS*FR499-FS499*MCD_SHARE_FREED*R_WAIT_2023</f>
        <v>14206499.965581264</v>
      </c>
      <c r="FV499" s="13">
        <f>(FH499-FF499)*MCD_NF_DAYS*FR499-FT499*MCD_SHARE_FREED*R_WAIT_2023</f>
        <v>23192533.646274388</v>
      </c>
      <c r="FW499" s="10">
        <f>IF(AND(FB499&gt;=RULE_START,FC499=1),1/(1+$FB$12)^(FB499-RULE_START+1),0)</f>
        <v>0.8367552658726582</v>
      </c>
      <c r="FX499">
        <f>IF(AND(FB499&gt;=RULE_START,FC499=1,FM499&lt;0),FB499,9999)</f>
        <v>2035</v>
      </c>
      <c r="FY499">
        <f>IF(AND(FB499&gt;=RULE_START,FC499=1,FN499&lt;0),FB499,9999)</f>
        <v>2035</v>
      </c>
      <c r="FZ499">
        <f>IF(AND(FB499&gt;=RULE_START,FC499=1,FO499&lt;0),FB499,9999)</f>
        <v>2035</v>
      </c>
      <c r="GB499" t="n">
        <v>2035</v>
      </c>
      <c r="GC499">
        <f>IF(GB499&lt;=RULE_START+$GB$38-1,1,0)</f>
        <v>1</v>
      </c>
      <c r="GD499" s="15">
        <f>IF(GB499=2024,G_IDX_2024,IF(GB499=2025,G_IDX_2025,IF(GB499=2026,G_IDX_2026,IF(GB499=2027,G_IDX_2027,$GB$13))))</f>
        <v>0.033</v>
      </c>
      <c r="GE499" s="8">
        <f>$GB$20*(1+G_HI)^(GB499-COST_DATE)</f>
        <v>697.182006753871</v>
      </c>
      <c r="GF499" s="8">
        <f>GF498*(1+GD499)</f>
        <v>663.3265459860022</v>
      </c>
      <c r="GG499" s="8">
        <f>IF(GB499&lt;RULE_START,GF499,GG498*(1+G_HI))</f>
        <v>705.9299374207947</v>
      </c>
      <c r="GH499" s="8">
        <f>IF(GB499&lt;RULE_START,GF499,IF(GI499=1,R_NF_2024*(1+G_HI)^(GB499-2024),GH498*(1+GD499)))</f>
        <v>732.8778493816795</v>
      </c>
      <c r="GI499">
        <f>IF(AND(GB499&gt;=RULE_START,MOD(GB499-RULE_START,REBASE_YEARS)=0),1,0)</f>
        <v>0</v>
      </c>
      <c r="GJ499" s="8">
        <f>GF499*CAP_SHARE</f>
        <v>32.434896309361</v>
      </c>
      <c r="GK499" s="8">
        <f>GG499*CAP_SHARE</f>
        <v>34.5180883540282</v>
      </c>
      <c r="GL499" s="8">
        <f>GH499*CAP_SHARE</f>
        <v>35.835769269249006</v>
      </c>
      <c r="GM499" s="8">
        <f>GF499-GJ499-GE499</f>
        <v>-66.29035707722971</v>
      </c>
      <c r="GN499" s="8">
        <f>GG499-GK499-GE499</f>
        <v>-25.77015768710453</v>
      </c>
      <c r="GO499" s="8">
        <f>GH499-GL499-GE499</f>
        <v>-0.139926641440411</v>
      </c>
      <c r="GP499" s="8">
        <f>R_NF_2024*(1+G_HI)^(GB499-2024)</f>
        <v>743.086207904514</v>
      </c>
      <c r="GQ499" s="10">
        <f>1-GF499/GP499</f>
        <v>0.1073356779739355</v>
      </c>
      <c r="GR499" s="10">
        <f>CPI_2023/(IF(GB499-1=2023,CPI_2023,IF(GB499-1=2024,CPI_2024,IF(GB499-1=2025,CPI_2025,CPI_2025*(1+INFL)^(GB499-1-2025)))))</f>
        <v>0.7626257894626529</v>
      </c>
      <c r="GS499" s="8">
        <f>$GB$21*ABS($GB$11)*(GG499-GF499)/GF499</f>
        <v>4833.382160436453</v>
      </c>
      <c r="GT499" s="8">
        <f>$GB$21*ABS($GB$11)*(GH499-GF499)/GF499</f>
        <v>7890.640105079412</v>
      </c>
      <c r="GU499" s="13">
        <f>(GG499-GF499)*MCD_NF_DAYS*GR499-GS499*MCD_SHARE_FREED*R_WAIT_2023</f>
        <v>14920281.407278433</v>
      </c>
      <c r="GV499" s="13">
        <f>(GH499-GF499)*MCD_NF_DAYS*GR499-GT499*MCD_SHARE_FREED*R_WAIT_2023</f>
        <v>24357803.07525091</v>
      </c>
      <c r="GW499" s="10">
        <f>IF(AND(GB499&gt;=RULE_START,GC499=1),1/(1+$GB$12)^(GB499-RULE_START+1),0)</f>
        <v>0.8367552658726582</v>
      </c>
      <c r="GX499">
        <f>IF(AND(GB499&gt;=RULE_START,GC499=1,GM499&lt;0),GB499,9999)</f>
        <v>2035</v>
      </c>
      <c r="GY499">
        <f>IF(AND(GB499&gt;=RULE_START,GC499=1,GN499&lt;0),GB499,9999)</f>
        <v>2035</v>
      </c>
      <c r="GZ499">
        <f>IF(AND(GB499&gt;=RULE_START,GC499=1,GO499&lt;0),GB499,9999)</f>
        <v>2035</v>
      </c>
      <c r="HB499" t="n">
        <v>2035</v>
      </c>
      <c r="HC499">
        <f>IF(HB499&lt;=RULE_START+$HB$38-1,1,0)</f>
        <v>1</v>
      </c>
      <c r="HD499" s="15">
        <f>IF(HB499=2024,G_IDX_2024,IF(HB499=2025,G_IDX_2025,IF(HB499=2026,G_IDX_2026,IF(HB499=2027,G_IDX_2027,$HB$13))))</f>
        <v>0.033</v>
      </c>
      <c r="HE499" s="8">
        <f>$HB$20*(1+G_HI)^(HB499-COST_DATE)</f>
        <v>697.182006753871</v>
      </c>
      <c r="HF499" s="8">
        <f>HF498*(1+HD499)</f>
        <v>663.3265459860022</v>
      </c>
      <c r="HG499" s="8">
        <f>IF(HB499&lt;RULE_START,HF499,HG498*(1+G_HI))</f>
        <v>705.9299374207947</v>
      </c>
      <c r="HH499" s="8">
        <f>IF(HB499&lt;RULE_START,HF499,IF(HI499=1,R_NF_2024*(1+G_HI)^(HB499-2024),HH498*(1+HD499)))</f>
        <v>732.8778493816795</v>
      </c>
      <c r="HI499">
        <f>IF(AND(HB499&gt;=RULE_START,MOD(HB499-RULE_START,REBASE_YEARS)=0),1,0)</f>
        <v>0</v>
      </c>
      <c r="HJ499" s="8">
        <f>HF499*CAP_SHARE</f>
        <v>32.434896309361</v>
      </c>
      <c r="HK499" s="8">
        <f>HG499*CAP_SHARE</f>
        <v>34.5180883540282</v>
      </c>
      <c r="HL499" s="8">
        <f>HH499*CAP_SHARE</f>
        <v>35.835769269249006</v>
      </c>
      <c r="HM499" s="8">
        <f>HF499-HJ499-HE499</f>
        <v>-66.29035707722971</v>
      </c>
      <c r="HN499" s="8">
        <f>HG499-HK499-HE499</f>
        <v>-25.77015768710453</v>
      </c>
      <c r="HO499" s="8">
        <f>HH499-HL499-HE499</f>
        <v>-0.139926641440411</v>
      </c>
      <c r="HP499" s="8">
        <f>R_NF_2024*(1+G_HI)^(HB499-2024)</f>
        <v>743.086207904514</v>
      </c>
      <c r="HQ499" s="10">
        <f>1-HF499/HP499</f>
        <v>0.1073356779739355</v>
      </c>
      <c r="HR499" s="10">
        <f>CPI_2023/(IF(HB499-1=2023,CPI_2023,IF(HB499-1=2024,CPI_2024,IF(HB499-1=2025,CPI_2025,CPI_2025*(1+INFL)^(HB499-1-2025)))))</f>
        <v>0.7626257894626529</v>
      </c>
      <c r="HS499" s="8">
        <f>$HB$21*ABS($HB$11)*(HG499-HF499)/HF499</f>
        <v>6403.102941914586</v>
      </c>
      <c r="HT499" s="8">
        <f>$HB$21*ABS($HB$11)*(HH499-HF499)/HF499</f>
        <v>10453.25595894136</v>
      </c>
      <c r="HU499" s="13">
        <f>(HG499-HF499)*MCD_NF_DAYS*HR499-HS499*MCD_SHARE_FREED*R_WAIT_2023</f>
        <v>14206499.965581264</v>
      </c>
      <c r="HV499" s="13">
        <f>(HH499-HF499)*MCD_NF_DAYS*HR499-HT499*MCD_SHARE_FREED*R_WAIT_2023</f>
        <v>23192533.646274388</v>
      </c>
      <c r="HW499" s="10">
        <f>IF(AND(HB499&gt;=RULE_START,HC499=1),1/(1+$HB$12)^(HB499-RULE_START+1),0)</f>
        <v>0.7664167323436267</v>
      </c>
      <c r="HX499">
        <f>IF(AND(HB499&gt;=RULE_START,HC499=1,HM499&lt;0),HB499,9999)</f>
        <v>2035</v>
      </c>
      <c r="HY499">
        <f>IF(AND(HB499&gt;=RULE_START,HC499=1,HN499&lt;0),HB499,9999)</f>
        <v>2035</v>
      </c>
      <c r="HZ499">
        <f>IF(AND(HB499&gt;=RULE_START,HC499=1,HO499&lt;0),HB499,9999)</f>
        <v>2035</v>
      </c>
      <c r="IB499" t="n">
        <v>2035</v>
      </c>
      <c r="IC499">
        <f>IF(IB499&lt;=RULE_START+$IB$38-1,1,0)</f>
        <v>1</v>
      </c>
      <c r="ID499" s="15">
        <f>IF(IB499=2024,G_IDX_2024,IF(IB499=2025,G_IDX_2025,IF(IB499=2026,G_IDX_2026,IF(IB499=2027,G_IDX_2027,$IB$13))))</f>
        <v>0.033</v>
      </c>
      <c r="IE499" s="8">
        <f>$IB$20*(1+G_HI)^(IB499-COST_DATE)</f>
        <v>697.182006753871</v>
      </c>
      <c r="IF499" s="8">
        <f>IF498*(1+ID499)</f>
        <v>663.3265459860022</v>
      </c>
      <c r="IG499" s="8">
        <f>IF(IB499&lt;RULE_START,IF499,IG498*(1+G_HI))</f>
        <v>705.9299374207947</v>
      </c>
      <c r="IH499" s="8">
        <f>IF(IB499&lt;RULE_START,IF499,IF(II499=1,R_NF_2024*(1+G_HI)^(IB499-2024),IH498*(1+ID499)))</f>
        <v>732.8778493816795</v>
      </c>
      <c r="II499">
        <f>IF(AND(IB499&gt;=RULE_START,MOD(IB499-RULE_START,REBASE_YEARS)=0),1,0)</f>
        <v>0</v>
      </c>
      <c r="IJ499" s="8">
        <f>IF499*CAP_SHARE</f>
        <v>32.434896309361</v>
      </c>
      <c r="IK499" s="8">
        <f>IG499*CAP_SHARE</f>
        <v>34.5180883540282</v>
      </c>
      <c r="IL499" s="8">
        <f>IH499*CAP_SHARE</f>
        <v>35.835769269249006</v>
      </c>
      <c r="IM499" s="8">
        <f>IF499-IJ499-IE499</f>
        <v>-66.29035707722971</v>
      </c>
      <c r="IN499" s="8">
        <f>IG499-IK499-IE499</f>
        <v>-25.77015768710453</v>
      </c>
      <c r="IO499" s="8">
        <f>IH499-IL499-IE499</f>
        <v>-0.139926641440411</v>
      </c>
      <c r="IP499" s="8">
        <f>R_NF_2024*(1+G_HI)^(IB499-2024)</f>
        <v>743.086207904514</v>
      </c>
      <c r="IQ499" s="10">
        <f>1-IF499/IP499</f>
        <v>0.1073356779739355</v>
      </c>
      <c r="IR499" s="10">
        <f>CPI_2023/(IF(IB499-1=2023,CPI_2023,IF(IB499-1=2024,CPI_2024,IF(IB499-1=2025,CPI_2025,CPI_2025*(1+INFL)^(IB499-1-2025)))))</f>
        <v>0.7626257894626529</v>
      </c>
      <c r="IS499" s="8">
        <f>$IB$21*ABS($IB$11)*(IG499-IF499)/IF499</f>
        <v>6403.102941914586</v>
      </c>
      <c r="IT499" s="8">
        <f>$IB$21*ABS($IB$11)*(IH499-IF499)/IF499</f>
        <v>10453.25595894136</v>
      </c>
      <c r="IU499" s="13">
        <f>(IG499-IF499)*MCD_NF_DAYS*IR499-IS499*MCD_SHARE_FREED*R_WAIT_2023</f>
        <v>14206499.965581264</v>
      </c>
      <c r="IV499" s="13">
        <f>(IH499-IF499)*MCD_NF_DAYS*IR499-IT499*MCD_SHARE_FREED*R_WAIT_2023</f>
        <v>23192533.646274388</v>
      </c>
      <c r="IW499" s="10">
        <f>IF(AND(IB499&gt;=RULE_START,IC499=1),1/(1+$IB$12)^(IB499-RULE_START+1),0)</f>
        <v>0.5439337425841478</v>
      </c>
      <c r="IX499">
        <f>IF(AND(IB499&gt;=RULE_START,IC499=1,IM499&lt;0),IB499,9999)</f>
        <v>2035</v>
      </c>
      <c r="IY499">
        <f>IF(AND(IB499&gt;=RULE_START,IC499=1,IN499&lt;0),IB499,9999)</f>
        <v>2035</v>
      </c>
      <c r="IZ499">
        <f>IF(AND(IB499&gt;=RULE_START,IC499=1,IO499&lt;0),IB499,9999)</f>
        <v>2035</v>
      </c>
      <c r="JB499" t="n">
        <v>2035</v>
      </c>
      <c r="JC499">
        <f>IF(JB499&lt;=RULE_START+$JB$38-1,1,0)</f>
        <v>1</v>
      </c>
      <c r="JD499" s="15">
        <f>IF(JB499=2024,G_IDX_2024,IF(JB499=2025,G_IDX_2025,IF(JB499=2026,G_IDX_2026,IF(JB499=2027,G_IDX_2027,$JB$13))))</f>
        <v>0.03</v>
      </c>
      <c r="JE499" s="8">
        <f>$JB$20*(1+G_HI)^(JB499-COST_DATE)</f>
        <v>697.182006753871</v>
      </c>
      <c r="JF499" s="8">
        <f>JF498*(1+JD499)</f>
        <v>648.0710229398552</v>
      </c>
      <c r="JG499" s="8">
        <f>IF(JB499&lt;RULE_START,JF499,JG498*(1+G_HI))</f>
        <v>705.9299374207947</v>
      </c>
      <c r="JH499" s="8">
        <f>IF(JB499&lt;RULE_START,JF499,IF(JI499=1,R_NF_2024*(1+G_HI)^(JB499-2024),JH498*(1+JD499)))</f>
        <v>728.6272376615484</v>
      </c>
      <c r="JI499">
        <f>IF(AND(JB499&gt;=RULE_START,MOD(JB499-RULE_START,REBASE_YEARS)=0),1,0)</f>
        <v>0</v>
      </c>
      <c r="JJ499" s="8">
        <f>JF499*CAP_SHARE</f>
        <v>31.688941980921854</v>
      </c>
      <c r="JK499" s="8">
        <f>JG499*CAP_SHARE</f>
        <v>34.5180883540282</v>
      </c>
      <c r="JL499" s="8">
        <f>JH499*CAP_SHARE</f>
        <v>35.62792570980141</v>
      </c>
      <c r="JM499" s="8">
        <f>JF499-JJ499-JE499</f>
        <v>-80.79992579493762</v>
      </c>
      <c r="JN499" s="8">
        <f>JG499-JK499-JE499</f>
        <v>-25.77015768710453</v>
      </c>
      <c r="JO499" s="8">
        <f>JH499-JL499-JE499</f>
        <v>-4.182694802123933</v>
      </c>
      <c r="JP499" s="8">
        <f>R_NF_2024*(1+G_HI)^(JB499-2024)</f>
        <v>743.086207904514</v>
      </c>
      <c r="JQ499" s="10">
        <f>1-JF499/JP499</f>
        <v>0.12786562844787475</v>
      </c>
      <c r="JR499" s="10">
        <f>CPI_2023/(IF(JB499-1=2023,CPI_2023,IF(JB499-1=2024,CPI_2024,IF(JB499-1=2025,CPI_2025,CPI_2025*(1+INFL)^(JB499-1-2025)))))</f>
        <v>0.7626257894626529</v>
      </c>
      <c r="JS499" s="8">
        <f>$JB$21*ABS($JB$11)*(JG499-JF499)/JF499</f>
        <v>8900.642700781975</v>
      </c>
      <c r="JT499" s="8">
        <f>$JB$21*ABS($JB$11)*(JH499-JF499)/JF499</f>
        <v>12392.249163289558</v>
      </c>
      <c r="JU499" s="13">
        <f>(JG499-JF499)*MCD_NF_DAYS*JR499-JS499*MCD_SHARE_FREED*R_WAIT_2023</f>
        <v>19200515.412373234</v>
      </c>
      <c r="JV499" s="13">
        <f>(JH499-JF499)*MCD_NF_DAYS*JR499-JT499*MCD_SHARE_FREED*R_WAIT_2023</f>
        <v>26732628.086824134</v>
      </c>
      <c r="JW499" s="10">
        <f>IF(AND(JB499&gt;=RULE_START,JC499=1),1/(1+$JB$12)^(JB499-RULE_START+1),0)</f>
        <v>0.8367552658726582</v>
      </c>
      <c r="JX499">
        <f>IF(AND(JB499&gt;=RULE_START,JC499=1,JM499&lt;0),JB499,9999)</f>
        <v>2035</v>
      </c>
      <c r="JY499">
        <f>IF(AND(JB499&gt;=RULE_START,JC499=1,JN499&lt;0),JB499,9999)</f>
        <v>2035</v>
      </c>
      <c r="JZ499">
        <f>IF(AND(JB499&gt;=RULE_START,JC499=1,JO499&lt;0),JB499,9999)</f>
        <v>2035</v>
      </c>
      <c r="KB499" t="n">
        <v>2035</v>
      </c>
      <c r="KC499">
        <f>IF(KB499&lt;=RULE_START+$KB$38-1,1,0)</f>
        <v>1</v>
      </c>
      <c r="KD499" s="15">
        <f>IF(KB499=2024,G_IDX_2024,IF(KB499=2025,G_IDX_2025,IF(KB499=2026,G_IDX_2026,IF(KB499=2027,G_IDX_2027,$KB$13))))</f>
        <v>0.033</v>
      </c>
      <c r="KE499" s="8">
        <f>$KB$20*(1+G_HI)^(KB499-COST_DATE)</f>
        <v>697.182006753871</v>
      </c>
      <c r="KF499" s="8">
        <f>KF498*(1+KD499)</f>
        <v>663.3265459860022</v>
      </c>
      <c r="KG499" s="8">
        <f>IF(KB499&lt;RULE_START,KF499,KG498*(1+G_HI))</f>
        <v>705.9299374207947</v>
      </c>
      <c r="KH499" s="8">
        <f>IF(KB499&lt;RULE_START,KF499,IF(KI499=1,R_NF_2024*(1+G_HI)^(KB499-2024),KH498*(1+KD499)))</f>
        <v>732.8778493816795</v>
      </c>
      <c r="KI499">
        <f>IF(AND(KB499&gt;=RULE_START,MOD(KB499-RULE_START,REBASE_YEARS)=0),1,0)</f>
        <v>0</v>
      </c>
      <c r="KJ499" s="8">
        <f>KF499*CAP_SHARE</f>
        <v>32.434896309361</v>
      </c>
      <c r="KK499" s="8">
        <f>KG499*CAP_SHARE</f>
        <v>34.5180883540282</v>
      </c>
      <c r="KL499" s="8">
        <f>KH499*CAP_SHARE</f>
        <v>35.835769269249006</v>
      </c>
      <c r="KM499" s="8">
        <f>KF499-KJ499-KE499</f>
        <v>-66.29035707722971</v>
      </c>
      <c r="KN499" s="8">
        <f>KG499-KK499-KE499</f>
        <v>-25.77015768710453</v>
      </c>
      <c r="KO499" s="8">
        <f>KH499-KL499-KE499</f>
        <v>-0.139926641440411</v>
      </c>
      <c r="KP499" s="8">
        <f>R_NF_2024*(1+G_HI)^(KB499-2024)</f>
        <v>743.086207904514</v>
      </c>
      <c r="KQ499" s="10">
        <f>1-KF499/KP499</f>
        <v>0.1073356779739355</v>
      </c>
      <c r="KR499" s="10">
        <f>CPI_2023/(IF(KB499-1=2023,CPI_2023,IF(KB499-1=2024,CPI_2024,IF(KB499-1=2025,CPI_2025,CPI_2025*(1+INFL)^(KB499-1-2025)))))</f>
        <v>0.7626257894626529</v>
      </c>
      <c r="KS499" s="8">
        <f>$KB$21*ABS($KB$11)*(KG499-KF499)/KF499</f>
        <v>6403.102941914586</v>
      </c>
      <c r="KT499" s="8">
        <f>$KB$21*ABS($KB$11)*(KH499-KF499)/KF499</f>
        <v>10453.25595894136</v>
      </c>
      <c r="KU499" s="13">
        <f>(KG499-KF499)*MCD_NF_DAYS*KR499-KS499*MCD_SHARE_FREED*R_WAIT_2023</f>
        <v>14206499.965581264</v>
      </c>
      <c r="KV499" s="13">
        <f>(KH499-KF499)*MCD_NF_DAYS*KR499-KT499*MCD_SHARE_FREED*R_WAIT_2023</f>
        <v>23192533.646274388</v>
      </c>
      <c r="KW499" s="10">
        <f>IF(AND(KB499&gt;=RULE_START,KC499=1),1/(1+$KB$12)^(KB499-RULE_START+1),0)</f>
        <v>0.8367552658726582</v>
      </c>
      <c r="KX499">
        <f>IF(AND(KB499&gt;=RULE_START,KC499=1,KM499&lt;0),KB499,9999)</f>
        <v>2035</v>
      </c>
      <c r="KY499">
        <f>IF(AND(KB499&gt;=RULE_START,KC499=1,KN499&lt;0),KB499,9999)</f>
        <v>2035</v>
      </c>
      <c r="KZ499">
        <f>IF(AND(KB499&gt;=RULE_START,KC499=1,KO499&lt;0),KB499,9999)</f>
        <v>2035</v>
      </c>
      <c r="LB499" t="n">
        <v>2035</v>
      </c>
      <c r="LC499">
        <f>IF(LB499&lt;=RULE_START+$LB$38-1,1,0)</f>
        <v>1</v>
      </c>
      <c r="LD499" s="15">
        <f>IF(LB499=2024,G_IDX_2024,IF(LB499=2025,G_IDX_2025,IF(LB499=2026,G_IDX_2026,IF(LB499=2027,G_IDX_2027,$LB$13))))</f>
        <v>0.033</v>
      </c>
      <c r="LE499" s="8">
        <f>$LB$20*(1+G_HI)^(LB499-COST_DATE)</f>
        <v>697.182006753871</v>
      </c>
      <c r="LF499" s="8">
        <f>LF498*(1+LD499)</f>
        <v>663.3265459860022</v>
      </c>
      <c r="LG499" s="8">
        <f>IF(LB499&lt;RULE_START,LF499,LG498*(1+G_HI))</f>
        <v>705.9299374207947</v>
      </c>
      <c r="LH499" s="8">
        <f>IF(LB499&lt;RULE_START,LF499,IF(LI499=1,R_NF_2024*(1+G_HI)^(LB499-2024),LH498*(1+LD499)))</f>
        <v>732.8778493816795</v>
      </c>
      <c r="LI499">
        <f>IF(AND(LB499&gt;=RULE_START,MOD(LB499-RULE_START,REBASE_YEARS)=0),1,0)</f>
        <v>0</v>
      </c>
      <c r="LJ499" s="8">
        <f>LF499*CAP_SHARE</f>
        <v>32.434896309361</v>
      </c>
      <c r="LK499" s="8">
        <f>LG499*CAP_SHARE</f>
        <v>34.5180883540282</v>
      </c>
      <c r="LL499" s="8">
        <f>LH499*CAP_SHARE</f>
        <v>35.835769269249006</v>
      </c>
      <c r="LM499" s="8">
        <f>LF499-LJ499-LE499</f>
        <v>-66.29035707722971</v>
      </c>
      <c r="LN499" s="8">
        <f>LG499-LK499-LE499</f>
        <v>-25.77015768710453</v>
      </c>
      <c r="LO499" s="8">
        <f>LH499-LL499-LE499</f>
        <v>-0.139926641440411</v>
      </c>
      <c r="LP499" s="8">
        <f>R_NF_2024*(1+G_HI)^(LB499-2024)</f>
        <v>743.086207904514</v>
      </c>
      <c r="LQ499" s="10">
        <f>1-LF499/LP499</f>
        <v>0.1073356779739355</v>
      </c>
      <c r="LR499" s="10">
        <f>CPI_2023/(IF(LB499-1=2023,CPI_2023,IF(LB499-1=2024,CPI_2024,IF(LB499-1=2025,CPI_2025,CPI_2025*(1+INFL)^(LB499-1-2025)))))</f>
        <v>0.7626257894626529</v>
      </c>
      <c r="LS499" s="8">
        <f>$LB$21*ABS($LB$11)*(LG499-LF499)/LF499</f>
        <v>6403.102941914586</v>
      </c>
      <c r="LT499" s="8">
        <f>$LB$21*ABS($LB$11)*(LH499-LF499)/LF499</f>
        <v>10453.25595894136</v>
      </c>
      <c r="LU499" s="13">
        <f>(LG499-LF499)*MCD_NF_DAYS*LR499-LS499*MCD_SHARE_FREED*R_WAIT_2023</f>
        <v>14206499.965581264</v>
      </c>
      <c r="LV499" s="13">
        <f>(LH499-LF499)*MCD_NF_DAYS*LR499-LT499*MCD_SHARE_FREED*R_WAIT_2023</f>
        <v>23192533.646274388</v>
      </c>
      <c r="LW499" s="10">
        <f>IF(AND(LB499&gt;=RULE_START,LC499=1),1/(1+$LB$12)^(LB499-RULE_START+1),0)</f>
        <v>0.8367552658726582</v>
      </c>
      <c r="LX499">
        <f>IF(AND(LB499&gt;=RULE_START,LC499=1,LM499&lt;0),LB499,9999)</f>
        <v>2035</v>
      </c>
      <c r="LY499">
        <f>IF(AND(LB499&gt;=RULE_START,LC499=1,LN499&lt;0),LB499,9999)</f>
        <v>2035</v>
      </c>
      <c r="LZ499">
        <f>IF(AND(LB499&gt;=RULE_START,LC499=1,LO499&lt;0),LB499,9999)</f>
        <v>2035</v>
      </c>
      <c r="MB499" t="n">
        <v>2035</v>
      </c>
      <c r="MC499">
        <f>IF(MB499&lt;=RULE_START+$MB$38-1,1,0)</f>
        <v>1</v>
      </c>
      <c r="MD499" s="15">
        <f>IF(MB499=2024,G_IDX_2024,IF(MB499=2025,G_IDX_2025,IF(MB499=2026,G_IDX_2026,IF(MB499=2027,G_IDX_2027,$MB$13))))</f>
        <v>0.033</v>
      </c>
      <c r="ME499" s="8">
        <f>$MB$20*(1+G_HI)^(MB499-COST_DATE)</f>
        <v>697.182006753871</v>
      </c>
      <c r="MF499" s="8">
        <f>MF498*(1+MD499)</f>
        <v>663.3265459860022</v>
      </c>
      <c r="MG499" s="8">
        <f>IF(MB499&lt;RULE_START,MF499,MG498*(1+G_HI))</f>
        <v>705.9299374207947</v>
      </c>
      <c r="MH499" s="8">
        <f>IF(MB499&lt;RULE_START,MF499,IF(MI499=1,R_NF_2024*(1+G_HI)^(MB499-2024),MH498*(1+MD499)))</f>
        <v>732.8778493816795</v>
      </c>
      <c r="MI499">
        <f>IF(AND(MB499&gt;=RULE_START,MOD(MB499-RULE_START,REBASE_YEARS)=0),1,0)</f>
        <v>0</v>
      </c>
      <c r="MJ499" s="8">
        <f>MF499*CAP_SHARE</f>
        <v>32.434896309361</v>
      </c>
      <c r="MK499" s="8">
        <f>MG499*CAP_SHARE</f>
        <v>34.5180883540282</v>
      </c>
      <c r="ML499" s="8">
        <f>MH499*CAP_SHARE</f>
        <v>35.835769269249006</v>
      </c>
      <c r="MM499" s="8">
        <f>MF499-MJ499-ME499</f>
        <v>-66.29035707722971</v>
      </c>
      <c r="MN499" s="8">
        <f>MG499-MK499-ME499</f>
        <v>-25.77015768710453</v>
      </c>
      <c r="MO499" s="8">
        <f>MH499-ML499-ME499</f>
        <v>-0.139926641440411</v>
      </c>
      <c r="MP499" s="8">
        <f>R_NF_2024*(1+G_HI)^(MB499-2024)</f>
        <v>743.086207904514</v>
      </c>
      <c r="MQ499" s="10">
        <f>1-MF499/MP499</f>
        <v>0.1073356779739355</v>
      </c>
      <c r="MR499" s="10">
        <f>CPI_2023/(IF(MB499-1=2023,CPI_2023,IF(MB499-1=2024,CPI_2024,IF(MB499-1=2025,CPI_2025,CPI_2025*(1+INFL)^(MB499-1-2025)))))</f>
        <v>0.7626257894626529</v>
      </c>
      <c r="MS499" s="8">
        <f>$MB$21*ABS($MB$11)*(MG499-MF499)/MF499</f>
        <v>4690.846777765652</v>
      </c>
      <c r="MT499" s="8">
        <f>$MB$21*ABS($MB$11)*(MH499-MF499)/MF499</f>
        <v>7657.946854357127</v>
      </c>
      <c r="MU499" s="13">
        <f>(MG499-MF499)*MCD_NF_DAYS*MR499-MS499*MCD_SHARE_FREED*R_WAIT_2023</f>
        <v>14985094.915601753</v>
      </c>
      <c r="MV499" s="13">
        <f>(MH499-MF499)*MCD_NF_DAYS*MR499-MT499*MCD_SHARE_FREED*R_WAIT_2023</f>
        <v>24463613.054919615</v>
      </c>
      <c r="MW499" s="10">
        <f>IF(AND(MB499&gt;=RULE_START,MC499=1),1/(1+$MB$12)^(MB499-RULE_START+1),0)</f>
        <v>0.8367552658726582</v>
      </c>
      <c r="MX499">
        <f>IF(AND(MB499&gt;=RULE_START,MC499=1,MM499&lt;0),MB499,9999)</f>
        <v>2035</v>
      </c>
      <c r="MY499">
        <f>IF(AND(MB499&gt;=RULE_START,MC499=1,MN499&lt;0),MB499,9999)</f>
        <v>2035</v>
      </c>
      <c r="MZ499">
        <f>IF(AND(MB499&gt;=RULE_START,MC499=1,MO499&lt;0),MB499,9999)</f>
        <v>2035</v>
      </c>
      <c r="NB499" t="n">
        <v>2035</v>
      </c>
      <c r="NC499">
        <f>IF(NB499&lt;=RULE_START+$NB$38-1,1,0)</f>
        <v>1</v>
      </c>
      <c r="ND499" s="15">
        <f>IF(NB499=2024,G_IDX_2024,IF(NB499=2025,G_IDX_2025,IF(NB499=2026,G_IDX_2026,IF(NB499=2027,G_IDX_2027,$NB$13))))</f>
        <v>0.033</v>
      </c>
      <c r="NE499" s="8">
        <f>$NB$20*(1+G_HI)^(NB499-COST_DATE)</f>
        <v>697.182006753871</v>
      </c>
      <c r="NF499" s="8">
        <f>NF498*(1+ND499)</f>
        <v>663.3265459860022</v>
      </c>
      <c r="NG499" s="8">
        <f>IF(NB499&lt;RULE_START,NF499,NG498*(1+G_HI))</f>
        <v>705.9299374207947</v>
      </c>
      <c r="NH499" s="8">
        <f>IF(NB499&lt;RULE_START,NF499,IF(NI499=1,R_NF_2024*(1+G_HI)^(NB499-2024),NH498*(1+ND499)))</f>
        <v>732.8778493816795</v>
      </c>
      <c r="NI499">
        <f>IF(AND(NB499&gt;=RULE_START,MOD(NB499-RULE_START,REBASE_YEARS)=0),1,0)</f>
        <v>0</v>
      </c>
      <c r="NJ499" s="8">
        <f>NF499*CAP_SHARE</f>
        <v>32.434896309361</v>
      </c>
      <c r="NK499" s="8">
        <f>NG499*CAP_SHARE</f>
        <v>34.5180883540282</v>
      </c>
      <c r="NL499" s="8">
        <f>NH499*CAP_SHARE</f>
        <v>35.835769269249006</v>
      </c>
      <c r="NM499" s="8">
        <f>NF499-NJ499-NE499</f>
        <v>-66.29035707722971</v>
      </c>
      <c r="NN499" s="8">
        <f>NG499-NK499-NE499</f>
        <v>-25.77015768710453</v>
      </c>
      <c r="NO499" s="8">
        <f>NH499-NL499-NE499</f>
        <v>-0.139926641440411</v>
      </c>
      <c r="NP499" s="8">
        <f>R_NF_2024*(1+G_HI)^(NB499-2024)</f>
        <v>743.086207904514</v>
      </c>
      <c r="NQ499" s="10">
        <f>1-NF499/NP499</f>
        <v>0.1073356779739355</v>
      </c>
      <c r="NR499" s="10">
        <f>CPI_2023/(IF(NB499-1=2023,CPI_2023,IF(NB499-1=2024,CPI_2024,IF(NB499-1=2025,CPI_2025,CPI_2025*(1+INFL)^(NB499-1-2025)))))</f>
        <v>0.7626257894626529</v>
      </c>
      <c r="NS499" s="8">
        <f>$NB$21*ABS($NB$11)*(NG499-NF499)/NF499</f>
        <v>6403.102941914586</v>
      </c>
      <c r="NT499" s="8">
        <f>$NB$21*ABS($NB$11)*(NH499-NF499)/NF499</f>
        <v>10453.25595894136</v>
      </c>
      <c r="NU499" s="13">
        <f>(NG499-NF499)*MCD_NF_DAYS*NR499-NS499*MCD_SHARE_FREED*R_WAIT_2023</f>
        <v>14206499.965581264</v>
      </c>
      <c r="NV499" s="13">
        <f>(NH499-NF499)*MCD_NF_DAYS*NR499-NT499*MCD_SHARE_FREED*R_WAIT_2023</f>
        <v>23192533.646274388</v>
      </c>
      <c r="NW499" s="10">
        <f>IF(AND(NB499&gt;=RULE_START,NC499=1),1/(1+$NB$12)^(NB499-RULE_START+1),0)</f>
        <v>0.8367552658726582</v>
      </c>
      <c r="NX499">
        <f>IF(AND(NB499&gt;=RULE_START,NC499=1,NM499&lt;0),NB499,9999)</f>
        <v>2035</v>
      </c>
      <c r="NY499">
        <f>IF(AND(NB499&gt;=RULE_START,NC499=1,NN499&lt;0),NB499,9999)</f>
        <v>2035</v>
      </c>
      <c r="NZ499">
        <f>IF(AND(NB499&gt;=RULE_START,NC499=1,NO499&lt;0),NB499,9999)</f>
        <v>2035</v>
      </c>
      <c r="OB499" t="n">
        <v>2035</v>
      </c>
      <c r="OC499">
        <f>IF(OB499&lt;=RULE_START+$OB$38-1,1,0)</f>
        <v>1</v>
      </c>
      <c r="OD499" s="15">
        <f>IF(OB499=2024,G_IDX_2024,IF(OB499=2025,G_IDX_2025,IF(OB499=2026,G_IDX_2026,IF(OB499=2027,G_IDX_2027,$OB$13))))</f>
        <v>0.033</v>
      </c>
      <c r="OE499" s="8">
        <f>$OB$20*(1+G_HI)^(OB499-COST_DATE)</f>
        <v>697.182006753871</v>
      </c>
      <c r="OF499" s="8">
        <f>OF498*(1+OD499)</f>
        <v>663.3265459860022</v>
      </c>
      <c r="OG499" s="8">
        <f>IF(OB499&lt;RULE_START,OF499,OG498*(1+G_HI))</f>
        <v>705.9299374207947</v>
      </c>
      <c r="OH499" s="8">
        <f>IF(OB499&lt;RULE_START,OF499,IF(OI499=1,R_NF_2024*(1+G_HI)^(OB499-2024),OH498*(1+OD499)))</f>
        <v>732.8778493816795</v>
      </c>
      <c r="OI499">
        <f>IF(AND(OB499&gt;=RULE_START,MOD(OB499-RULE_START,REBASE_YEARS)=0),1,0)</f>
        <v>0</v>
      </c>
      <c r="OJ499" s="8">
        <f>OF499*CAP_SHARE</f>
        <v>32.434896309361</v>
      </c>
      <c r="OK499" s="8">
        <f>OG499*CAP_SHARE</f>
        <v>34.5180883540282</v>
      </c>
      <c r="OL499" s="8">
        <f>OH499*CAP_SHARE</f>
        <v>35.835769269249006</v>
      </c>
      <c r="OM499" s="8">
        <f>OF499-OJ499-OE499</f>
        <v>-66.29035707722971</v>
      </c>
      <c r="ON499" s="8">
        <f>OG499-OK499-OE499</f>
        <v>-25.77015768710453</v>
      </c>
      <c r="OO499" s="8">
        <f>OH499-OL499-OE499</f>
        <v>-0.139926641440411</v>
      </c>
      <c r="OP499" s="8">
        <f>R_NF_2024*(1+G_HI)^(OB499-2024)</f>
        <v>743.086207904514</v>
      </c>
      <c r="OQ499" s="10">
        <f>1-OF499/OP499</f>
        <v>0.1073356779739355</v>
      </c>
      <c r="OR499" s="10">
        <f>CPI_2023/(IF(OB499-1=2023,CPI_2023,IF(OB499-1=2024,CPI_2024,IF(OB499-1=2025,CPI_2025,CPI_2025*(1+INFL)^(OB499-1-2025)))))</f>
        <v>0.7626257894626529</v>
      </c>
      <c r="OS499" s="8">
        <f>$OB$21*ABS($OB$11)*(OG499-OF499)/OF499</f>
        <v>6403.102941914586</v>
      </c>
      <c r="OT499" s="8">
        <f>$OB$21*ABS($OB$11)*(OH499-OF499)/OF499</f>
        <v>10453.25595894136</v>
      </c>
      <c r="OU499" s="13">
        <f>(OG499-OF499)*MCD_NF_DAYS*OR499-OS499*MCD_SHARE_FREED*R_WAIT_2023</f>
        <v>14206499.965581264</v>
      </c>
      <c r="OV499" s="13">
        <f>(OH499-OF499)*MCD_NF_DAYS*OR499-OT499*MCD_SHARE_FREED*R_WAIT_2023</f>
        <v>23192533.646274388</v>
      </c>
      <c r="OW499" s="10">
        <f>IF(AND(OB499&gt;=RULE_START,OC499=1),1/(1+$OB$12)^(OB499-RULE_START+1),0)</f>
        <v>0.8367552658726582</v>
      </c>
      <c r="OX499">
        <f>IF(AND(OB499&gt;=RULE_START,OC499=1,OM499&lt;0),OB499,9999)</f>
        <v>2035</v>
      </c>
      <c r="OY499">
        <f>IF(AND(OB499&gt;=RULE_START,OC499=1,ON499&lt;0),OB499,9999)</f>
        <v>2035</v>
      </c>
      <c r="OZ499">
        <f>IF(AND(OB499&gt;=RULE_START,OC499=1,OO499&lt;0),OB499,9999)</f>
        <v>2035</v>
      </c>
    </row>
    <row r="500">
      <c r="B500" t="n">
        <v>2036</v>
      </c>
      <c r="C500">
        <f>IF(B500&lt;=RULE_START+$B$38-1,1,0)</f>
        <v>1</v>
      </c>
      <c r="D500" s="15">
        <f>IF(B500=2024,G_IDX_2024,IF(B500=2025,G_IDX_2025,IF(B500=2026,G_IDX_2026,IF(B500=2027,G_IDX_2027,$B$13))))</f>
        <v>0.033</v>
      </c>
      <c r="E500" s="8">
        <f>$B$20*(1+G_HI)^(B500-COST_DATE)</f>
        <v>725.1874740734014</v>
      </c>
      <c r="F500" s="8">
        <f>F499*(1+D500)</f>
        <v>685.2163220035402</v>
      </c>
      <c r="G500" s="8">
        <f>IF(B500&lt;RULE_START,F500,G499*(1+G_HI))</f>
        <v>734.2868049256896</v>
      </c>
      <c r="H500" s="8">
        <f>IF(B500&lt;RULE_START,F500,IF(I500=1,R_NF_2024*(1+G_HI)^(B500-2024),H499*(1+D500)))</f>
        <v>772.9356249999993</v>
      </c>
      <c r="I500">
        <f>IF(AND(B500&gt;=RULE_START,MOD(B500-RULE_START,REBASE_YEARS)=0),1,0)</f>
        <v>1</v>
      </c>
      <c r="J500" s="8">
        <f>F500*CAP_SHARE</f>
        <v>33.50524788756991</v>
      </c>
      <c r="K500" s="8">
        <f>G500*CAP_SHARE</f>
        <v>35.90466343193706</v>
      </c>
      <c r="L500" s="8">
        <f>H500*CAP_SHARE</f>
        <v>37.79448749999997</v>
      </c>
      <c r="M500" s="8">
        <f>F500-J500-E500</f>
        <v>-73.47639995743111</v>
      </c>
      <c r="N500" s="8">
        <f>G500-K500-E500</f>
        <v>-26.805332579648848</v>
      </c>
      <c r="O500" s="8">
        <f>H500-L500-E500</f>
        <v>9.953663426597927</v>
      </c>
      <c r="P500" s="8">
        <f>R_NF_2024*(1+G_HI)^(B500-2024)</f>
        <v>772.9356249999993</v>
      </c>
      <c r="Q500" s="10">
        <f>1-F500/P500</f>
        <v>0.11348849782471748</v>
      </c>
      <c r="R500" s="10">
        <f>CPI_2023/(IF(B500-1=2023,CPI_2023,IF(B500-1=2024,CPI_2024,IF(B500-1=2025,CPI_2025,CPI_2025*(1+INFL)^(B500-1-2025)))))</f>
        <v>0.7456255274370873</v>
      </c>
      <c r="S500" s="8">
        <f>$B$21*ABS($B$11)*(G500-F500)/F500</f>
        <v>7139.475738706537</v>
      </c>
      <c r="T500" s="8">
        <f>$B$21*ABS($B$11)*(H500-F500)/F500</f>
        <v>12762.658899303035</v>
      </c>
      <c r="U500" s="13">
        <f>(G500-F500)*MCD_NF_DAYS*R500-S500*MCD_SHARE_FREED*R_WAIT_2023</f>
        <v>16030627.715418275</v>
      </c>
      <c r="V500" s="13">
        <f>(H500-F500)*MCD_NF_DAYS*R500-T500*MCD_SHARE_FREED*R_WAIT_2023</f>
        <v>28656646.644850586</v>
      </c>
      <c r="W500" s="10">
        <f>IF(AND(B500&gt;=RULE_START,C500=1),1/(1+$B$12)^(B500-RULE_START+1),0)</f>
        <v>0.8203482998751551</v>
      </c>
      <c r="X500">
        <f>IF(AND(B500&gt;=RULE_START,C500=1,M500&lt;0),B500,9999)</f>
        <v>2036</v>
      </c>
      <c r="Y500">
        <f>IF(AND(B500&gt;=RULE_START,C500=1,N500&lt;0),B500,9999)</f>
        <v>2036</v>
      </c>
      <c r="Z500">
        <f>IF(AND(B500&gt;=RULE_START,C500=1,O500&lt;0),B500,9999)</f>
        <v>9999</v>
      </c>
      <c r="AB500" t="n">
        <v>2036</v>
      </c>
      <c r="AC500">
        <f>IF(AB500&lt;=RULE_START+$AB$38-1,1,0)</f>
        <v>1</v>
      </c>
      <c r="AD500" s="15">
        <f>IF(AB500=2024,G_IDX_2024,IF(AB500=2025,G_IDX_2025,IF(AB500=2026,G_IDX_2026,IF(AB500=2027,G_IDX_2027,$AB$13))))</f>
        <v>0.033</v>
      </c>
      <c r="AE500" s="8">
        <f>$AB$20*(1+G_HI)^(AB500-COST_DATE)</f>
        <v>725.1874740734014</v>
      </c>
      <c r="AF500" s="8">
        <f>AF499*(1+AD500)</f>
        <v>685.2163220035402</v>
      </c>
      <c r="AG500" s="8">
        <f>IF(AB500&lt;RULE_START,AF500,AG499*(1+G_HI))</f>
        <v>734.2868049256896</v>
      </c>
      <c r="AH500" s="8">
        <f>IF(AB500&lt;RULE_START,AF500,IF(AI500=1,R_NF_2024*(1+G_HI)^(AB500-2024),AH499*(1+AD500)))</f>
        <v>772.9356249999993</v>
      </c>
      <c r="AI500">
        <f>IF(AND(AB500&gt;=RULE_START,MOD(AB500-RULE_START,REBASE_YEARS)=0),1,0)</f>
        <v>1</v>
      </c>
      <c r="AJ500" s="8">
        <f>AF500*CAP_SHARE</f>
        <v>33.50524788756991</v>
      </c>
      <c r="AK500" s="8">
        <f>AG500*CAP_SHARE</f>
        <v>35.90466343193706</v>
      </c>
      <c r="AL500" s="8">
        <f>AH500*CAP_SHARE</f>
        <v>37.79448749999997</v>
      </c>
      <c r="AM500" s="8">
        <f>AF500-AJ500-AE500</f>
        <v>-73.47639995743111</v>
      </c>
      <c r="AN500" s="8">
        <f>AG500-AK500-AE500</f>
        <v>-26.805332579648848</v>
      </c>
      <c r="AO500" s="8">
        <f>AH500-AL500-AE500</f>
        <v>9.953663426597927</v>
      </c>
      <c r="AP500" s="8">
        <f>R_NF_2024*(1+G_HI)^(AB500-2024)</f>
        <v>772.9356249999993</v>
      </c>
      <c r="AQ500" s="10">
        <f>1-AF500/AP500</f>
        <v>0.11348849782471748</v>
      </c>
      <c r="AR500" s="10">
        <f>CPI_2023/(IF(AB500-1=2023,CPI_2023,IF(AB500-1=2024,CPI_2024,IF(AB500-1=2025,CPI_2025,CPI_2025*(1+INFL)^(AB500-1-2025)))))</f>
        <v>0.7456255274370873</v>
      </c>
      <c r="AS500" s="8">
        <f>$AB$21*ABS($AB$11)*(AG500-AF500)/AF500</f>
        <v>7139.475738706537</v>
      </c>
      <c r="AT500" s="8">
        <f>$AB$21*ABS($AB$11)*(AH500-AF500)/AF500</f>
        <v>12762.658899303035</v>
      </c>
      <c r="AU500" s="13">
        <f>(AG500-AF500)*MCD_NF_DAYS*AR500-AS500*MCD_SHARE_FREED*R_WAIT_2023</f>
        <v>16030627.715418275</v>
      </c>
      <c r="AV500" s="13">
        <f>(AH500-AF500)*MCD_NF_DAYS*AR500-AT500*MCD_SHARE_FREED*R_WAIT_2023</f>
        <v>28656646.644850586</v>
      </c>
      <c r="AW500" s="10">
        <f>IF(AND(AB500&gt;=RULE_START,AC500=1),1/(1+$AB$12)^(AB500-RULE_START+1),0)</f>
        <v>0.8203482998751551</v>
      </c>
      <c r="AX500">
        <f>IF(AND(AB500&gt;=RULE_START,AC500=1,AM500&lt;0),AB500,9999)</f>
        <v>2036</v>
      </c>
      <c r="AY500">
        <f>IF(AND(AB500&gt;=RULE_START,AC500=1,AN500&lt;0),AB500,9999)</f>
        <v>2036</v>
      </c>
      <c r="AZ500">
        <f>IF(AND(AB500&gt;=RULE_START,AC500=1,AO500&lt;0),AB500,9999)</f>
        <v>9999</v>
      </c>
      <c r="BB500" t="n">
        <v>2036</v>
      </c>
      <c r="BC500">
        <f>IF(BB500&lt;=RULE_START+$BB$38-1,1,0)</f>
        <v>1</v>
      </c>
      <c r="BD500" s="15">
        <f>IF(BB500=2024,G_IDX_2024,IF(BB500=2025,G_IDX_2025,IF(BB500=2026,G_IDX_2026,IF(BB500=2027,G_IDX_2027,$BB$13))))</f>
        <v>0.033</v>
      </c>
      <c r="BE500" s="8">
        <f>$BB$20*(1+G_HI)^(BB500-COST_DATE)</f>
        <v>725.1874740734014</v>
      </c>
      <c r="BF500" s="8">
        <f>BF499*(1+BD500)</f>
        <v>685.2163220035402</v>
      </c>
      <c r="BG500" s="8">
        <f>IF(BB500&lt;RULE_START,BF500,BG499*(1+G_HI))</f>
        <v>734.2868049256896</v>
      </c>
      <c r="BH500" s="8">
        <f>IF(BB500&lt;RULE_START,BF500,IF(BI500=1,R_NF_2024*(1+G_HI)^(BB500-2024),BH499*(1+BD500)))</f>
        <v>772.9356249999993</v>
      </c>
      <c r="BI500">
        <f>IF(AND(BB500&gt;=RULE_START,MOD(BB500-RULE_START,REBASE_YEARS)=0),1,0)</f>
        <v>1</v>
      </c>
      <c r="BJ500" s="8">
        <f>BF500*CAP_SHARE</f>
        <v>33.50524788756991</v>
      </c>
      <c r="BK500" s="8">
        <f>BG500*CAP_SHARE</f>
        <v>35.90466343193706</v>
      </c>
      <c r="BL500" s="8">
        <f>BH500*CAP_SHARE</f>
        <v>37.79448749999997</v>
      </c>
      <c r="BM500" s="8">
        <f>BF500-BJ500-BE500</f>
        <v>-73.47639995743111</v>
      </c>
      <c r="BN500" s="8">
        <f>BG500-BK500-BE500</f>
        <v>-26.805332579648848</v>
      </c>
      <c r="BO500" s="8">
        <f>BH500-BL500-BE500</f>
        <v>9.953663426597927</v>
      </c>
      <c r="BP500" s="8">
        <f>R_NF_2024*(1+G_HI)^(BB500-2024)</f>
        <v>772.9356249999993</v>
      </c>
      <c r="BQ500" s="10">
        <f>1-BF500/BP500</f>
        <v>0.11348849782471748</v>
      </c>
      <c r="BR500" s="10">
        <f>CPI_2023/(IF(BB500-1=2023,CPI_2023,IF(BB500-1=2024,CPI_2024,IF(BB500-1=2025,CPI_2025,CPI_2025*(1+INFL)^(BB500-1-2025)))))</f>
        <v>0.7456255274370873</v>
      </c>
      <c r="BS500" s="8">
        <f>$BB$21*ABS($BB$11)*(BG500-BF500)/BF500</f>
        <v>7139.475738706537</v>
      </c>
      <c r="BT500" s="8">
        <f>$BB$21*ABS($BB$11)*(BH500-BF500)/BF500</f>
        <v>12762.658899303035</v>
      </c>
      <c r="BU500" s="13">
        <f>(BG500-BF500)*MCD_NF_DAYS*BR500-BS500*MCD_SHARE_FREED*R_WAIT_2023</f>
        <v>16030627.715418275</v>
      </c>
      <c r="BV500" s="13">
        <f>(BH500-BF500)*MCD_NF_DAYS*BR500-BT500*MCD_SHARE_FREED*R_WAIT_2023</f>
        <v>28656646.644850586</v>
      </c>
      <c r="BW500" s="10">
        <f>IF(AND(BB500&gt;=RULE_START,BC500=1),1/(1+$BB$12)^(BB500-RULE_START+1),0)</f>
        <v>0.8203482998751551</v>
      </c>
      <c r="BX500">
        <f>IF(AND(BB500&gt;=RULE_START,BC500=1,BM500&lt;0),BB500,9999)</f>
        <v>2036</v>
      </c>
      <c r="BY500">
        <f>IF(AND(BB500&gt;=RULE_START,BC500=1,BN500&lt;0),BB500,9999)</f>
        <v>2036</v>
      </c>
      <c r="BZ500">
        <f>IF(AND(BB500&gt;=RULE_START,BC500=1,BO500&lt;0),BB500,9999)</f>
        <v>9999</v>
      </c>
      <c r="CB500" t="n">
        <v>2036</v>
      </c>
      <c r="CC500">
        <f>IF(CB500&lt;=RULE_START+$CB$38-1,1,0)</f>
        <v>1</v>
      </c>
      <c r="CD500" s="15">
        <f>IF(CB500=2024,G_IDX_2024,IF(CB500=2025,G_IDX_2025,IF(CB500=2026,G_IDX_2026,IF(CB500=2027,G_IDX_2027,$CB$13))))</f>
        <v>0.033</v>
      </c>
      <c r="CE500" s="8">
        <f>$CB$20*(1+G_HI)^(CB500-COST_DATE)</f>
        <v>725.1874740734014</v>
      </c>
      <c r="CF500" s="8">
        <f>CF499*(1+CD500)</f>
        <v>685.2163220035402</v>
      </c>
      <c r="CG500" s="8">
        <f>IF(CB500&lt;RULE_START,CF500,CG499*(1+G_HI))</f>
        <v>734.2868049256896</v>
      </c>
      <c r="CH500" s="8">
        <f>IF(CB500&lt;RULE_START,CF500,IF(CI500=1,R_NF_2024*(1+G_HI)^(CB500-2024),CH499*(1+CD500)))</f>
        <v>772.9356249999993</v>
      </c>
      <c r="CI500">
        <f>IF(AND(CB500&gt;=RULE_START,MOD(CB500-RULE_START,REBASE_YEARS)=0),1,0)</f>
        <v>1</v>
      </c>
      <c r="CJ500" s="8">
        <f>CF500*CAP_SHARE</f>
        <v>33.50524788756991</v>
      </c>
      <c r="CK500" s="8">
        <f>CG500*CAP_SHARE</f>
        <v>35.90466343193706</v>
      </c>
      <c r="CL500" s="8">
        <f>CH500*CAP_SHARE</f>
        <v>37.79448749999997</v>
      </c>
      <c r="CM500" s="8">
        <f>CF500-CJ500-CE500</f>
        <v>-73.47639995743111</v>
      </c>
      <c r="CN500" s="8">
        <f>CG500-CK500-CE500</f>
        <v>-26.805332579648848</v>
      </c>
      <c r="CO500" s="8">
        <f>CH500-CL500-CE500</f>
        <v>9.953663426597927</v>
      </c>
      <c r="CP500" s="8">
        <f>R_NF_2024*(1+G_HI)^(CB500-2024)</f>
        <v>772.9356249999993</v>
      </c>
      <c r="CQ500" s="10">
        <f>1-CF500/CP500</f>
        <v>0.11348849782471748</v>
      </c>
      <c r="CR500" s="10">
        <f>CPI_2023/(IF(CB500-1=2023,CPI_2023,IF(CB500-1=2024,CPI_2024,IF(CB500-1=2025,CPI_2025,CPI_2025*(1+INFL)^(CB500-1-2025)))))</f>
        <v>0.7456255274370873</v>
      </c>
      <c r="CS500" s="8">
        <f>$CB$21*ABS($CB$11)*(CG500-CF500)/CF500</f>
        <v>7139.475738706537</v>
      </c>
      <c r="CT500" s="8">
        <f>$CB$21*ABS($CB$11)*(CH500-CF500)/CF500</f>
        <v>12762.658899303035</v>
      </c>
      <c r="CU500" s="13">
        <f>(CG500-CF500)*MCD_NF_DAYS*CR500-CS500*MCD_SHARE_FREED*R_WAIT_2023</f>
        <v>16030627.715418275</v>
      </c>
      <c r="CV500" s="13">
        <f>(CH500-CF500)*MCD_NF_DAYS*CR500-CT500*MCD_SHARE_FREED*R_WAIT_2023</f>
        <v>28656646.644850586</v>
      </c>
      <c r="CW500" s="10">
        <f>IF(AND(CB500&gt;=RULE_START,CC500=1),1/(1+$CB$12)^(CB500-RULE_START+1),0)</f>
        <v>0.8203482998751551</v>
      </c>
      <c r="CX500">
        <f>IF(AND(CB500&gt;=RULE_START,CC500=1,CM500&lt;0),CB500,9999)</f>
        <v>2036</v>
      </c>
      <c r="CY500">
        <f>IF(AND(CB500&gt;=RULE_START,CC500=1,CN500&lt;0),CB500,9999)</f>
        <v>2036</v>
      </c>
      <c r="CZ500">
        <f>IF(AND(CB500&gt;=RULE_START,CC500=1,CO500&lt;0),CB500,9999)</f>
        <v>9999</v>
      </c>
      <c r="DB500" t="n">
        <v>2036</v>
      </c>
      <c r="DC500">
        <f>IF(DB500&lt;=RULE_START+$DB$38-1,1,0)</f>
        <v>1</v>
      </c>
      <c r="DD500" s="15">
        <f>IF(DB500=2024,G_IDX_2024,IF(DB500=2025,G_IDX_2025,IF(DB500=2026,G_IDX_2026,IF(DB500=2027,G_IDX_2027,$DB$13))))</f>
        <v>0.033</v>
      </c>
      <c r="DE500" s="8">
        <f>$DB$20*(1+G_HI)^(DB500-COST_DATE)</f>
        <v>725.1874740734014</v>
      </c>
      <c r="DF500" s="8">
        <f>DF499*(1+DD500)</f>
        <v>685.2163220035402</v>
      </c>
      <c r="DG500" s="8">
        <f>IF(DB500&lt;RULE_START,DF500,DG499*(1+G_HI))</f>
        <v>734.2868049256896</v>
      </c>
      <c r="DH500" s="8">
        <f>IF(DB500&lt;RULE_START,DF500,IF(DI500=1,R_NF_2024*(1+G_HI)^(DB500-2024),DH499*(1+DD500)))</f>
        <v>772.9356249999993</v>
      </c>
      <c r="DI500">
        <f>IF(AND(DB500&gt;=RULE_START,MOD(DB500-RULE_START,REBASE_YEARS)=0),1,0)</f>
        <v>1</v>
      </c>
      <c r="DJ500" s="8">
        <f>DF500*CAP_SHARE</f>
        <v>33.50524788756991</v>
      </c>
      <c r="DK500" s="8">
        <f>DG500*CAP_SHARE</f>
        <v>35.90466343193706</v>
      </c>
      <c r="DL500" s="8">
        <f>DH500*CAP_SHARE</f>
        <v>37.79448749999997</v>
      </c>
      <c r="DM500" s="8">
        <f>DF500-DJ500-DE500</f>
        <v>-73.47639995743111</v>
      </c>
      <c r="DN500" s="8">
        <f>DG500-DK500-DE500</f>
        <v>-26.805332579648848</v>
      </c>
      <c r="DO500" s="8">
        <f>DH500-DL500-DE500</f>
        <v>9.953663426597927</v>
      </c>
      <c r="DP500" s="8">
        <f>R_NF_2024*(1+G_HI)^(DB500-2024)</f>
        <v>772.9356249999993</v>
      </c>
      <c r="DQ500" s="10">
        <f>1-DF500/DP500</f>
        <v>0.11348849782471748</v>
      </c>
      <c r="DR500" s="10">
        <f>CPI_2023/(IF(DB500-1=2023,CPI_2023,IF(DB500-1=2024,CPI_2024,IF(DB500-1=2025,CPI_2025,CPI_2025*(1+INFL)^(DB500-1-2025)))))</f>
        <v>0.7456255274370873</v>
      </c>
      <c r="DS500" s="8">
        <f>$DB$21*ABS($DB$11)*(DG500-DF500)/DF500</f>
        <v>7139.475738706537</v>
      </c>
      <c r="DT500" s="8">
        <f>$DB$21*ABS($DB$11)*(DH500-DF500)/DF500</f>
        <v>12762.658899303035</v>
      </c>
      <c r="DU500" s="13">
        <f>(DG500-DF500)*MCD_NF_DAYS*DR500-DS500*MCD_SHARE_FREED*R_WAIT_2023</f>
        <v>16030627.715418275</v>
      </c>
      <c r="DV500" s="13">
        <f>(DH500-DF500)*MCD_NF_DAYS*DR500-DT500*MCD_SHARE_FREED*R_WAIT_2023</f>
        <v>28656646.644850586</v>
      </c>
      <c r="DW500" s="10">
        <f>IF(AND(DB500&gt;=RULE_START,DC500=1),1/(1+$DB$12)^(DB500-RULE_START+1),0)</f>
        <v>0.8203482998751551</v>
      </c>
      <c r="DX500">
        <f>IF(AND(DB500&gt;=RULE_START,DC500=1,DM500&lt;0),DB500,9999)</f>
        <v>2036</v>
      </c>
      <c r="DY500">
        <f>IF(AND(DB500&gt;=RULE_START,DC500=1,DN500&lt;0),DB500,9999)</f>
        <v>2036</v>
      </c>
      <c r="DZ500">
        <f>IF(AND(DB500&gt;=RULE_START,DC500=1,DO500&lt;0),DB500,9999)</f>
        <v>9999</v>
      </c>
      <c r="EB500" t="n">
        <v>2036</v>
      </c>
      <c r="EC500">
        <f>IF(EB500&lt;=RULE_START+$EB$38-1,1,0)</f>
        <v>1</v>
      </c>
      <c r="ED500" s="15">
        <f>IF(EB500=2024,G_IDX_2024,IF(EB500=2025,G_IDX_2025,IF(EB500=2026,G_IDX_2026,IF(EB500=2027,G_IDX_2027,$EB$13))))</f>
        <v>0.033</v>
      </c>
      <c r="EE500" s="8">
        <f>$EB$20*(1+G_HI)^(EB500-COST_DATE)</f>
        <v>725.1874740734014</v>
      </c>
      <c r="EF500" s="8">
        <f>EF499*(1+ED500)</f>
        <v>685.2163220035402</v>
      </c>
      <c r="EG500" s="8">
        <f>IF(EB500&lt;RULE_START,EF500,EG499*(1+G_HI))</f>
        <v>734.2868049256896</v>
      </c>
      <c r="EH500" s="8">
        <f>IF(EB500&lt;RULE_START,EF500,IF(EI500=1,R_NF_2024*(1+G_HI)^(EB500-2024),EH499*(1+ED500)))</f>
        <v>772.9356249999993</v>
      </c>
      <c r="EI500">
        <f>IF(AND(EB500&gt;=RULE_START,MOD(EB500-RULE_START,REBASE_YEARS)=0),1,0)</f>
        <v>1</v>
      </c>
      <c r="EJ500" s="8">
        <f>EF500*CAP_SHARE</f>
        <v>33.50524788756991</v>
      </c>
      <c r="EK500" s="8">
        <f>EG500*CAP_SHARE</f>
        <v>35.90466343193706</v>
      </c>
      <c r="EL500" s="8">
        <f>EH500*CAP_SHARE</f>
        <v>37.79448749999997</v>
      </c>
      <c r="EM500" s="8">
        <f>EF500-EJ500-EE500</f>
        <v>-73.47639995743111</v>
      </c>
      <c r="EN500" s="8">
        <f>EG500-EK500-EE500</f>
        <v>-26.805332579648848</v>
      </c>
      <c r="EO500" s="8">
        <f>EH500-EL500-EE500</f>
        <v>9.953663426597927</v>
      </c>
      <c r="EP500" s="8">
        <f>R_NF_2024*(1+G_HI)^(EB500-2024)</f>
        <v>772.9356249999993</v>
      </c>
      <c r="EQ500" s="10">
        <f>1-EF500/EP500</f>
        <v>0.11348849782471748</v>
      </c>
      <c r="ER500" s="10">
        <f>CPI_2023/(IF(EB500-1=2023,CPI_2023,IF(EB500-1=2024,CPI_2024,IF(EB500-1=2025,CPI_2025,CPI_2025*(1+INFL)^(EB500-1-2025)))))</f>
        <v>0.7456255274370873</v>
      </c>
      <c r="ES500" s="8">
        <f>$EB$21*ABS($EB$11)*(EG500-EF500)/EF500</f>
        <v>7139.475738706537</v>
      </c>
      <c r="ET500" s="8">
        <f>$EB$21*ABS($EB$11)*(EH500-EF500)/EF500</f>
        <v>12762.658899303035</v>
      </c>
      <c r="EU500" s="13">
        <f>(EG500-EF500)*MCD_NF_DAYS*ER500-ES500*MCD_SHARE_FREED*R_WAIT_2023</f>
        <v>16030627.715418275</v>
      </c>
      <c r="EV500" s="13">
        <f>(EH500-EF500)*MCD_NF_DAYS*ER500-ET500*MCD_SHARE_FREED*R_WAIT_2023</f>
        <v>28656646.644850586</v>
      </c>
      <c r="EW500" s="10">
        <f>IF(AND(EB500&gt;=RULE_START,EC500=1),1/(1+$EB$12)^(EB500-RULE_START+1),0)</f>
        <v>0.8203482998751551</v>
      </c>
      <c r="EX500">
        <f>IF(AND(EB500&gt;=RULE_START,EC500=1,EM500&lt;0),EB500,9999)</f>
        <v>2036</v>
      </c>
      <c r="EY500">
        <f>IF(AND(EB500&gt;=RULE_START,EC500=1,EN500&lt;0),EB500,9999)</f>
        <v>2036</v>
      </c>
      <c r="EZ500">
        <f>IF(AND(EB500&gt;=RULE_START,EC500=1,EO500&lt;0),EB500,9999)</f>
        <v>9999</v>
      </c>
      <c r="FB500" t="n">
        <v>2036</v>
      </c>
      <c r="FC500">
        <f>IF(FB500&lt;=RULE_START+$FB$38-1,1,0)</f>
        <v>1</v>
      </c>
      <c r="FD500" s="15">
        <f>IF(FB500=2024,G_IDX_2024,IF(FB500=2025,G_IDX_2025,IF(FB500=2026,G_IDX_2026,IF(FB500=2027,G_IDX_2027,$FB$13))))</f>
        <v>0.033</v>
      </c>
      <c r="FE500" s="8">
        <f>$FB$20*(1+G_HI)^(FB500-COST_DATE)</f>
        <v>746.3138662538016</v>
      </c>
      <c r="FF500" s="8">
        <f>FF499*(1+FD500)</f>
        <v>685.2163220035402</v>
      </c>
      <c r="FG500" s="8">
        <f>IF(FB500&lt;RULE_START,FF500,FG499*(1+G_HI))</f>
        <v>734.2868049256896</v>
      </c>
      <c r="FH500" s="8">
        <f>IF(FB500&lt;RULE_START,FF500,IF(FI500=1,R_NF_2024*(1+G_HI)^(FB500-2024),FH499*(1+FD500)))</f>
        <v>772.9356249999993</v>
      </c>
      <c r="FI500">
        <f>IF(AND(FB500&gt;=RULE_START,MOD(FB500-RULE_START,REBASE_YEARS)=0),1,0)</f>
        <v>1</v>
      </c>
      <c r="FJ500" s="8">
        <f>FF500*CAP_SHARE</f>
        <v>33.50524788756991</v>
      </c>
      <c r="FK500" s="8">
        <f>FG500*CAP_SHARE</f>
        <v>35.90466343193706</v>
      </c>
      <c r="FL500" s="8">
        <f>FH500*CAP_SHARE</f>
        <v>37.79448749999997</v>
      </c>
      <c r="FM500" s="8">
        <f>FF500-FJ500-FE500</f>
        <v>-94.60279213783133</v>
      </c>
      <c r="FN500" s="8">
        <f>FG500-FK500-FE500</f>
        <v>-47.931724760049065</v>
      </c>
      <c r="FO500" s="8">
        <f>FH500-FL500-FE500</f>
        <v>-11.17272875380229</v>
      </c>
      <c r="FP500" s="8">
        <f>R_NF_2024*(1+G_HI)^(FB500-2024)</f>
        <v>772.9356249999993</v>
      </c>
      <c r="FQ500" s="10">
        <f>1-FF500/FP500</f>
        <v>0.11348849782471748</v>
      </c>
      <c r="FR500" s="10">
        <f>CPI_2023/(IF(FB500-1=2023,CPI_2023,IF(FB500-1=2024,CPI_2024,IF(FB500-1=2025,CPI_2025,CPI_2025*(1+INFL)^(FB500-1-2025)))))</f>
        <v>0.7456255274370873</v>
      </c>
      <c r="FS500" s="8">
        <f>$FB$21*ABS($FB$11)*(FG500-FF500)/FF500</f>
        <v>7139.475738706537</v>
      </c>
      <c r="FT500" s="8">
        <f>$FB$21*ABS($FB$11)*(FH500-FF500)/FF500</f>
        <v>12762.658899303035</v>
      </c>
      <c r="FU500" s="13">
        <f>(FG500-FF500)*MCD_NF_DAYS*FR500-FS500*MCD_SHARE_FREED*R_WAIT_2023</f>
        <v>16030627.715418275</v>
      </c>
      <c r="FV500" s="13">
        <f>(FH500-FF500)*MCD_NF_DAYS*FR500-FT500*MCD_SHARE_FREED*R_WAIT_2023</f>
        <v>28656646.644850586</v>
      </c>
      <c r="FW500" s="10">
        <f>IF(AND(FB500&gt;=RULE_START,FC500=1),1/(1+$FB$12)^(FB500-RULE_START+1),0)</f>
        <v>0.8203482998751551</v>
      </c>
      <c r="FX500">
        <f>IF(AND(FB500&gt;=RULE_START,FC500=1,FM500&lt;0),FB500,9999)</f>
        <v>2036</v>
      </c>
      <c r="FY500">
        <f>IF(AND(FB500&gt;=RULE_START,FC500=1,FN500&lt;0),FB500,9999)</f>
        <v>2036</v>
      </c>
      <c r="FZ500">
        <f>IF(AND(FB500&gt;=RULE_START,FC500=1,FO500&lt;0),FB500,9999)</f>
        <v>2036</v>
      </c>
      <c r="GB500" t="n">
        <v>2036</v>
      </c>
      <c r="GC500">
        <f>IF(GB500&lt;=RULE_START+$GB$38-1,1,0)</f>
        <v>1</v>
      </c>
      <c r="GD500" s="15">
        <f>IF(GB500=2024,G_IDX_2024,IF(GB500=2025,G_IDX_2025,IF(GB500=2026,G_IDX_2026,IF(GB500=2027,G_IDX_2027,$GB$13))))</f>
        <v>0.033</v>
      </c>
      <c r="GE500" s="8">
        <f>$GB$20*(1+G_HI)^(GB500-COST_DATE)</f>
        <v>725.1874740734014</v>
      </c>
      <c r="GF500" s="8">
        <f>GF499*(1+GD500)</f>
        <v>685.2163220035402</v>
      </c>
      <c r="GG500" s="8">
        <f>IF(GB500&lt;RULE_START,GF500,GG499*(1+G_HI))</f>
        <v>734.2868049256896</v>
      </c>
      <c r="GH500" s="8">
        <f>IF(GB500&lt;RULE_START,GF500,IF(GI500=1,R_NF_2024*(1+G_HI)^(GB500-2024),GH499*(1+GD500)))</f>
        <v>772.9356249999993</v>
      </c>
      <c r="GI500">
        <f>IF(AND(GB500&gt;=RULE_START,MOD(GB500-RULE_START,REBASE_YEARS)=0),1,0)</f>
        <v>1</v>
      </c>
      <c r="GJ500" s="8">
        <f>GF500*CAP_SHARE</f>
        <v>33.50524788756991</v>
      </c>
      <c r="GK500" s="8">
        <f>GG500*CAP_SHARE</f>
        <v>35.90466343193706</v>
      </c>
      <c r="GL500" s="8">
        <f>GH500*CAP_SHARE</f>
        <v>37.79448749999997</v>
      </c>
      <c r="GM500" s="8">
        <f>GF500-GJ500-GE500</f>
        <v>-73.47639995743111</v>
      </c>
      <c r="GN500" s="8">
        <f>GG500-GK500-GE500</f>
        <v>-26.805332579648848</v>
      </c>
      <c r="GO500" s="8">
        <f>GH500-GL500-GE500</f>
        <v>9.953663426597927</v>
      </c>
      <c r="GP500" s="8">
        <f>R_NF_2024*(1+G_HI)^(GB500-2024)</f>
        <v>772.9356249999993</v>
      </c>
      <c r="GQ500" s="10">
        <f>1-GF500/GP500</f>
        <v>0.11348849782471748</v>
      </c>
      <c r="GR500" s="10">
        <f>CPI_2023/(IF(GB500-1=2023,CPI_2023,IF(GB500-1=2024,CPI_2024,IF(GB500-1=2025,CPI_2025,CPI_2025*(1+INFL)^(GB500-1-2025)))))</f>
        <v>0.7456255274370873</v>
      </c>
      <c r="GS500" s="8">
        <f>$GB$21*ABS($GB$11)*(GG500-GF500)/GF500</f>
        <v>5389.233155138826</v>
      </c>
      <c r="GT500" s="8">
        <f>$GB$21*ABS($GB$11)*(GH500-GF500)/GF500</f>
        <v>9633.892880251258</v>
      </c>
      <c r="GU500" s="13">
        <f>(GG500-GF500)*MCD_NF_DAYS*GR500-GS500*MCD_SHARE_FREED*R_WAIT_2023</f>
        <v>16826495.801870145</v>
      </c>
      <c r="GV500" s="13">
        <f>(GH500-GF500)*MCD_NF_DAYS*GR500-GT500*MCD_SHARE_FREED*R_WAIT_2023</f>
        <v>30079355.15846849</v>
      </c>
      <c r="GW500" s="10">
        <f>IF(AND(GB500&gt;=RULE_START,GC500=1),1/(1+$GB$12)^(GB500-RULE_START+1),0)</f>
        <v>0.8203482998751551</v>
      </c>
      <c r="GX500">
        <f>IF(AND(GB500&gt;=RULE_START,GC500=1,GM500&lt;0),GB500,9999)</f>
        <v>2036</v>
      </c>
      <c r="GY500">
        <f>IF(AND(GB500&gt;=RULE_START,GC500=1,GN500&lt;0),GB500,9999)</f>
        <v>2036</v>
      </c>
      <c r="GZ500">
        <f>IF(AND(GB500&gt;=RULE_START,GC500=1,GO500&lt;0),GB500,9999)</f>
        <v>9999</v>
      </c>
      <c r="HB500" t="n">
        <v>2036</v>
      </c>
      <c r="HC500">
        <f>IF(HB500&lt;=RULE_START+$HB$38-1,1,0)</f>
        <v>1</v>
      </c>
      <c r="HD500" s="15">
        <f>IF(HB500=2024,G_IDX_2024,IF(HB500=2025,G_IDX_2025,IF(HB500=2026,G_IDX_2026,IF(HB500=2027,G_IDX_2027,$HB$13))))</f>
        <v>0.033</v>
      </c>
      <c r="HE500" s="8">
        <f>$HB$20*(1+G_HI)^(HB500-COST_DATE)</f>
        <v>725.1874740734014</v>
      </c>
      <c r="HF500" s="8">
        <f>HF499*(1+HD500)</f>
        <v>685.2163220035402</v>
      </c>
      <c r="HG500" s="8">
        <f>IF(HB500&lt;RULE_START,HF500,HG499*(1+G_HI))</f>
        <v>734.2868049256896</v>
      </c>
      <c r="HH500" s="8">
        <f>IF(HB500&lt;RULE_START,HF500,IF(HI500=1,R_NF_2024*(1+G_HI)^(HB500-2024),HH499*(1+HD500)))</f>
        <v>772.9356249999993</v>
      </c>
      <c r="HI500">
        <f>IF(AND(HB500&gt;=RULE_START,MOD(HB500-RULE_START,REBASE_YEARS)=0),1,0)</f>
        <v>1</v>
      </c>
      <c r="HJ500" s="8">
        <f>HF500*CAP_SHARE</f>
        <v>33.50524788756991</v>
      </c>
      <c r="HK500" s="8">
        <f>HG500*CAP_SHARE</f>
        <v>35.90466343193706</v>
      </c>
      <c r="HL500" s="8">
        <f>HH500*CAP_SHARE</f>
        <v>37.79448749999997</v>
      </c>
      <c r="HM500" s="8">
        <f>HF500-HJ500-HE500</f>
        <v>-73.47639995743111</v>
      </c>
      <c r="HN500" s="8">
        <f>HG500-HK500-HE500</f>
        <v>-26.805332579648848</v>
      </c>
      <c r="HO500" s="8">
        <f>HH500-HL500-HE500</f>
        <v>9.953663426597927</v>
      </c>
      <c r="HP500" s="8">
        <f>R_NF_2024*(1+G_HI)^(HB500-2024)</f>
        <v>772.9356249999993</v>
      </c>
      <c r="HQ500" s="10">
        <f>1-HF500/HP500</f>
        <v>0.11348849782471748</v>
      </c>
      <c r="HR500" s="10">
        <f>CPI_2023/(IF(HB500-1=2023,CPI_2023,IF(HB500-1=2024,CPI_2024,IF(HB500-1=2025,CPI_2025,CPI_2025*(1+INFL)^(HB500-1-2025)))))</f>
        <v>0.7456255274370873</v>
      </c>
      <c r="HS500" s="8">
        <f>$HB$21*ABS($HB$11)*(HG500-HF500)/HF500</f>
        <v>7139.475738706537</v>
      </c>
      <c r="HT500" s="8">
        <f>$HB$21*ABS($HB$11)*(HH500-HF500)/HF500</f>
        <v>12762.658899303035</v>
      </c>
      <c r="HU500" s="13">
        <f>(HG500-HF500)*MCD_NF_DAYS*HR500-HS500*MCD_SHARE_FREED*R_WAIT_2023</f>
        <v>16030627.715418275</v>
      </c>
      <c r="HV500" s="13">
        <f>(HH500-HF500)*MCD_NF_DAYS*HR500-HT500*MCD_SHARE_FREED*R_WAIT_2023</f>
        <v>28656646.644850586</v>
      </c>
      <c r="HW500" s="10">
        <f>IF(AND(HB500&gt;=RULE_START,HC500=1),1/(1+$HB$12)^(HB500-RULE_START+1),0)</f>
        <v>0.7440939148967249</v>
      </c>
      <c r="HX500">
        <f>IF(AND(HB500&gt;=RULE_START,HC500=1,HM500&lt;0),HB500,9999)</f>
        <v>2036</v>
      </c>
      <c r="HY500">
        <f>IF(AND(HB500&gt;=RULE_START,HC500=1,HN500&lt;0),HB500,9999)</f>
        <v>2036</v>
      </c>
      <c r="HZ500">
        <f>IF(AND(HB500&gt;=RULE_START,HC500=1,HO500&lt;0),HB500,9999)</f>
        <v>9999</v>
      </c>
      <c r="IB500" t="n">
        <v>2036</v>
      </c>
      <c r="IC500">
        <f>IF(IB500&lt;=RULE_START+$IB$38-1,1,0)</f>
        <v>1</v>
      </c>
      <c r="ID500" s="15">
        <f>IF(IB500=2024,G_IDX_2024,IF(IB500=2025,G_IDX_2025,IF(IB500=2026,G_IDX_2026,IF(IB500=2027,G_IDX_2027,$IB$13))))</f>
        <v>0.033</v>
      </c>
      <c r="IE500" s="8">
        <f>$IB$20*(1+G_HI)^(IB500-COST_DATE)</f>
        <v>725.1874740734014</v>
      </c>
      <c r="IF500" s="8">
        <f>IF499*(1+ID500)</f>
        <v>685.2163220035402</v>
      </c>
      <c r="IG500" s="8">
        <f>IF(IB500&lt;RULE_START,IF500,IG499*(1+G_HI))</f>
        <v>734.2868049256896</v>
      </c>
      <c r="IH500" s="8">
        <f>IF(IB500&lt;RULE_START,IF500,IF(II500=1,R_NF_2024*(1+G_HI)^(IB500-2024),IH499*(1+ID500)))</f>
        <v>772.9356249999993</v>
      </c>
      <c r="II500">
        <f>IF(AND(IB500&gt;=RULE_START,MOD(IB500-RULE_START,REBASE_YEARS)=0),1,0)</f>
        <v>1</v>
      </c>
      <c r="IJ500" s="8">
        <f>IF500*CAP_SHARE</f>
        <v>33.50524788756991</v>
      </c>
      <c r="IK500" s="8">
        <f>IG500*CAP_SHARE</f>
        <v>35.90466343193706</v>
      </c>
      <c r="IL500" s="8">
        <f>IH500*CAP_SHARE</f>
        <v>37.79448749999997</v>
      </c>
      <c r="IM500" s="8">
        <f>IF500-IJ500-IE500</f>
        <v>-73.47639995743111</v>
      </c>
      <c r="IN500" s="8">
        <f>IG500-IK500-IE500</f>
        <v>-26.805332579648848</v>
      </c>
      <c r="IO500" s="8">
        <f>IH500-IL500-IE500</f>
        <v>9.953663426597927</v>
      </c>
      <c r="IP500" s="8">
        <f>R_NF_2024*(1+G_HI)^(IB500-2024)</f>
        <v>772.9356249999993</v>
      </c>
      <c r="IQ500" s="10">
        <f>1-IF500/IP500</f>
        <v>0.11348849782471748</v>
      </c>
      <c r="IR500" s="10">
        <f>CPI_2023/(IF(IB500-1=2023,CPI_2023,IF(IB500-1=2024,CPI_2024,IF(IB500-1=2025,CPI_2025,CPI_2025*(1+INFL)^(IB500-1-2025)))))</f>
        <v>0.7456255274370873</v>
      </c>
      <c r="IS500" s="8">
        <f>$IB$21*ABS($IB$11)*(IG500-IF500)/IF500</f>
        <v>7139.475738706537</v>
      </c>
      <c r="IT500" s="8">
        <f>$IB$21*ABS($IB$11)*(IH500-IF500)/IF500</f>
        <v>12762.658899303035</v>
      </c>
      <c r="IU500" s="13">
        <f>(IG500-IF500)*MCD_NF_DAYS*IR500-IS500*MCD_SHARE_FREED*R_WAIT_2023</f>
        <v>16030627.715418275</v>
      </c>
      <c r="IV500" s="13">
        <f>(IH500-IF500)*MCD_NF_DAYS*IR500-IT500*MCD_SHARE_FREED*R_WAIT_2023</f>
        <v>28656646.644850586</v>
      </c>
      <c r="IW500" s="10">
        <f>IF(AND(IB500&gt;=RULE_START,IC500=1),1/(1+$IB$12)^(IB500-RULE_START+1),0)</f>
        <v>0.5083492921347176</v>
      </c>
      <c r="IX500">
        <f>IF(AND(IB500&gt;=RULE_START,IC500=1,IM500&lt;0),IB500,9999)</f>
        <v>2036</v>
      </c>
      <c r="IY500">
        <f>IF(AND(IB500&gt;=RULE_START,IC500=1,IN500&lt;0),IB500,9999)</f>
        <v>2036</v>
      </c>
      <c r="IZ500">
        <f>IF(AND(IB500&gt;=RULE_START,IC500=1,IO500&lt;0),IB500,9999)</f>
        <v>9999</v>
      </c>
      <c r="JB500" t="n">
        <v>2036</v>
      </c>
      <c r="JC500">
        <f>IF(JB500&lt;=RULE_START+$JB$38-1,1,0)</f>
        <v>1</v>
      </c>
      <c r="JD500" s="15">
        <f>IF(JB500=2024,G_IDX_2024,IF(JB500=2025,G_IDX_2025,IF(JB500=2026,G_IDX_2026,IF(JB500=2027,G_IDX_2027,$JB$13))))</f>
        <v>0.03</v>
      </c>
      <c r="JE500" s="8">
        <f>$JB$20*(1+G_HI)^(JB500-COST_DATE)</f>
        <v>725.1874740734014</v>
      </c>
      <c r="JF500" s="8">
        <f>JF499*(1+JD500)</f>
        <v>667.5131536280509</v>
      </c>
      <c r="JG500" s="8">
        <f>IF(JB500&lt;RULE_START,JF500,JG499*(1+G_HI))</f>
        <v>734.2868049256896</v>
      </c>
      <c r="JH500" s="8">
        <f>IF(JB500&lt;RULE_START,JF500,IF(JI500=1,R_NF_2024*(1+G_HI)^(JB500-2024),JH499*(1+JD500)))</f>
        <v>772.9356249999993</v>
      </c>
      <c r="JI500">
        <f>IF(AND(JB500&gt;=RULE_START,MOD(JB500-RULE_START,REBASE_YEARS)=0),1,0)</f>
        <v>1</v>
      </c>
      <c r="JJ500" s="8">
        <f>JF500*CAP_SHARE</f>
        <v>32.63961024034951</v>
      </c>
      <c r="JK500" s="8">
        <f>JG500*CAP_SHARE</f>
        <v>35.90466343193706</v>
      </c>
      <c r="JL500" s="8">
        <f>JH500*CAP_SHARE</f>
        <v>37.79448749999997</v>
      </c>
      <c r="JM500" s="8">
        <f>JF500-JJ500-JE500</f>
        <v>-90.31393068570003</v>
      </c>
      <c r="JN500" s="8">
        <f>JG500-JK500-JE500</f>
        <v>-26.805332579648848</v>
      </c>
      <c r="JO500" s="8">
        <f>JH500-JL500-JE500</f>
        <v>9.953663426597927</v>
      </c>
      <c r="JP500" s="8">
        <f>R_NF_2024*(1+G_HI)^(JB500-2024)</f>
        <v>772.9356249999993</v>
      </c>
      <c r="JQ500" s="10">
        <f>1-JF500/JP500</f>
        <v>0.13639230482092024</v>
      </c>
      <c r="JR500" s="10">
        <f>CPI_2023/(IF(JB500-1=2023,CPI_2023,IF(JB500-1=2024,CPI_2024,IF(JB500-1=2025,CPI_2025,CPI_2025*(1+INFL)^(JB500-1-2025)))))</f>
        <v>0.7456255274370873</v>
      </c>
      <c r="JS500" s="8">
        <f>$JB$21*ABS($JB$11)*(JG500-JF500)/JF500</f>
        <v>9972.843094806916</v>
      </c>
      <c r="JT500" s="8">
        <f>$JB$21*ABS($JB$11)*(JH500-JF500)/JF500</f>
        <v>15745.15913429455</v>
      </c>
      <c r="JU500" s="13">
        <f>(JG500-JF500)*MCD_NF_DAYS*JR500-JS500*MCD_SHARE_FREED*R_WAIT_2023</f>
        <v>21696839.069338534</v>
      </c>
      <c r="JV500" s="13">
        <f>(JH500-JF500)*MCD_NF_DAYS*JR500-JT500*MCD_SHARE_FREED*R_WAIT_2023</f>
        <v>34255044.48533878</v>
      </c>
      <c r="JW500" s="10">
        <f>IF(AND(JB500&gt;=RULE_START,JC500=1),1/(1+$JB$12)^(JB500-RULE_START+1),0)</f>
        <v>0.8203482998751551</v>
      </c>
      <c r="JX500">
        <f>IF(AND(JB500&gt;=RULE_START,JC500=1,JM500&lt;0),JB500,9999)</f>
        <v>2036</v>
      </c>
      <c r="JY500">
        <f>IF(AND(JB500&gt;=RULE_START,JC500=1,JN500&lt;0),JB500,9999)</f>
        <v>2036</v>
      </c>
      <c r="JZ500">
        <f>IF(AND(JB500&gt;=RULE_START,JC500=1,JO500&lt;0),JB500,9999)</f>
        <v>9999</v>
      </c>
      <c r="KB500" t="n">
        <v>2036</v>
      </c>
      <c r="KC500">
        <f>IF(KB500&lt;=RULE_START+$KB$38-1,1,0)</f>
        <v>1</v>
      </c>
      <c r="KD500" s="15">
        <f>IF(KB500=2024,G_IDX_2024,IF(KB500=2025,G_IDX_2025,IF(KB500=2026,G_IDX_2026,IF(KB500=2027,G_IDX_2027,$KB$13))))</f>
        <v>0.033</v>
      </c>
      <c r="KE500" s="8">
        <f>$KB$20*(1+G_HI)^(KB500-COST_DATE)</f>
        <v>725.1874740734014</v>
      </c>
      <c r="KF500" s="8">
        <f>KF499*(1+KD500)</f>
        <v>685.2163220035402</v>
      </c>
      <c r="KG500" s="8">
        <f>IF(KB500&lt;RULE_START,KF500,KG499*(1+G_HI))</f>
        <v>734.2868049256896</v>
      </c>
      <c r="KH500" s="8">
        <f>IF(KB500&lt;RULE_START,KF500,IF(KI500=1,R_NF_2024*(1+G_HI)^(KB500-2024),KH499*(1+KD500)))</f>
        <v>772.9356249999993</v>
      </c>
      <c r="KI500">
        <f>IF(AND(KB500&gt;=RULE_START,MOD(KB500-RULE_START,REBASE_YEARS)=0),1,0)</f>
        <v>1</v>
      </c>
      <c r="KJ500" s="8">
        <f>KF500*CAP_SHARE</f>
        <v>33.50524788756991</v>
      </c>
      <c r="KK500" s="8">
        <f>KG500*CAP_SHARE</f>
        <v>35.90466343193706</v>
      </c>
      <c r="KL500" s="8">
        <f>KH500*CAP_SHARE</f>
        <v>37.79448749999997</v>
      </c>
      <c r="KM500" s="8">
        <f>KF500-KJ500-KE500</f>
        <v>-73.47639995743111</v>
      </c>
      <c r="KN500" s="8">
        <f>KG500-KK500-KE500</f>
        <v>-26.805332579648848</v>
      </c>
      <c r="KO500" s="8">
        <f>KH500-KL500-KE500</f>
        <v>9.953663426597927</v>
      </c>
      <c r="KP500" s="8">
        <f>R_NF_2024*(1+G_HI)^(KB500-2024)</f>
        <v>772.9356249999993</v>
      </c>
      <c r="KQ500" s="10">
        <f>1-KF500/KP500</f>
        <v>0.11348849782471748</v>
      </c>
      <c r="KR500" s="10">
        <f>CPI_2023/(IF(KB500-1=2023,CPI_2023,IF(KB500-1=2024,CPI_2024,IF(KB500-1=2025,CPI_2025,CPI_2025*(1+INFL)^(KB500-1-2025)))))</f>
        <v>0.7456255274370873</v>
      </c>
      <c r="KS500" s="8">
        <f>$KB$21*ABS($KB$11)*(KG500-KF500)/KF500</f>
        <v>7139.475738706537</v>
      </c>
      <c r="KT500" s="8">
        <f>$KB$21*ABS($KB$11)*(KH500-KF500)/KF500</f>
        <v>12762.658899303035</v>
      </c>
      <c r="KU500" s="13">
        <f>(KG500-KF500)*MCD_NF_DAYS*KR500-KS500*MCD_SHARE_FREED*R_WAIT_2023</f>
        <v>16030627.715418275</v>
      </c>
      <c r="KV500" s="13">
        <f>(KH500-KF500)*MCD_NF_DAYS*KR500-KT500*MCD_SHARE_FREED*R_WAIT_2023</f>
        <v>28656646.644850586</v>
      </c>
      <c r="KW500" s="10">
        <f>IF(AND(KB500&gt;=RULE_START,KC500=1),1/(1+$KB$12)^(KB500-RULE_START+1),0)</f>
        <v>0.8203482998751551</v>
      </c>
      <c r="KX500">
        <f>IF(AND(KB500&gt;=RULE_START,KC500=1,KM500&lt;0),KB500,9999)</f>
        <v>2036</v>
      </c>
      <c r="KY500">
        <f>IF(AND(KB500&gt;=RULE_START,KC500=1,KN500&lt;0),KB500,9999)</f>
        <v>2036</v>
      </c>
      <c r="KZ500">
        <f>IF(AND(KB500&gt;=RULE_START,KC500=1,KO500&lt;0),KB500,9999)</f>
        <v>9999</v>
      </c>
      <c r="LB500" t="n">
        <v>2036</v>
      </c>
      <c r="LC500">
        <f>IF(LB500&lt;=RULE_START+$LB$38-1,1,0)</f>
        <v>1</v>
      </c>
      <c r="LD500" s="15">
        <f>IF(LB500=2024,G_IDX_2024,IF(LB500=2025,G_IDX_2025,IF(LB500=2026,G_IDX_2026,IF(LB500=2027,G_IDX_2027,$LB$13))))</f>
        <v>0.033</v>
      </c>
      <c r="LE500" s="8">
        <f>$LB$20*(1+G_HI)^(LB500-COST_DATE)</f>
        <v>725.1874740734014</v>
      </c>
      <c r="LF500" s="8">
        <f>LF499*(1+LD500)</f>
        <v>685.2163220035402</v>
      </c>
      <c r="LG500" s="8">
        <f>IF(LB500&lt;RULE_START,LF500,LG499*(1+G_HI))</f>
        <v>734.2868049256896</v>
      </c>
      <c r="LH500" s="8">
        <f>IF(LB500&lt;RULE_START,LF500,IF(LI500=1,R_NF_2024*(1+G_HI)^(LB500-2024),LH499*(1+LD500)))</f>
        <v>772.9356249999993</v>
      </c>
      <c r="LI500">
        <f>IF(AND(LB500&gt;=RULE_START,MOD(LB500-RULE_START,REBASE_YEARS)=0),1,0)</f>
        <v>1</v>
      </c>
      <c r="LJ500" s="8">
        <f>LF500*CAP_SHARE</f>
        <v>33.50524788756991</v>
      </c>
      <c r="LK500" s="8">
        <f>LG500*CAP_SHARE</f>
        <v>35.90466343193706</v>
      </c>
      <c r="LL500" s="8">
        <f>LH500*CAP_SHARE</f>
        <v>37.79448749999997</v>
      </c>
      <c r="LM500" s="8">
        <f>LF500-LJ500-LE500</f>
        <v>-73.47639995743111</v>
      </c>
      <c r="LN500" s="8">
        <f>LG500-LK500-LE500</f>
        <v>-26.805332579648848</v>
      </c>
      <c r="LO500" s="8">
        <f>LH500-LL500-LE500</f>
        <v>9.953663426597927</v>
      </c>
      <c r="LP500" s="8">
        <f>R_NF_2024*(1+G_HI)^(LB500-2024)</f>
        <v>772.9356249999993</v>
      </c>
      <c r="LQ500" s="10">
        <f>1-LF500/LP500</f>
        <v>0.11348849782471748</v>
      </c>
      <c r="LR500" s="10">
        <f>CPI_2023/(IF(LB500-1=2023,CPI_2023,IF(LB500-1=2024,CPI_2024,IF(LB500-1=2025,CPI_2025,CPI_2025*(1+INFL)^(LB500-1-2025)))))</f>
        <v>0.7456255274370873</v>
      </c>
      <c r="LS500" s="8">
        <f>$LB$21*ABS($LB$11)*(LG500-LF500)/LF500</f>
        <v>7139.475738706537</v>
      </c>
      <c r="LT500" s="8">
        <f>$LB$21*ABS($LB$11)*(LH500-LF500)/LF500</f>
        <v>12762.658899303035</v>
      </c>
      <c r="LU500" s="13">
        <f>(LG500-LF500)*MCD_NF_DAYS*LR500-LS500*MCD_SHARE_FREED*R_WAIT_2023</f>
        <v>16030627.715418275</v>
      </c>
      <c r="LV500" s="13">
        <f>(LH500-LF500)*MCD_NF_DAYS*LR500-LT500*MCD_SHARE_FREED*R_WAIT_2023</f>
        <v>28656646.644850586</v>
      </c>
      <c r="LW500" s="10">
        <f>IF(AND(LB500&gt;=RULE_START,LC500=1),1/(1+$LB$12)^(LB500-RULE_START+1),0)</f>
        <v>0.8203482998751551</v>
      </c>
      <c r="LX500">
        <f>IF(AND(LB500&gt;=RULE_START,LC500=1,LM500&lt;0),LB500,9999)</f>
        <v>2036</v>
      </c>
      <c r="LY500">
        <f>IF(AND(LB500&gt;=RULE_START,LC500=1,LN500&lt;0),LB500,9999)</f>
        <v>2036</v>
      </c>
      <c r="LZ500">
        <f>IF(AND(LB500&gt;=RULE_START,LC500=1,LO500&lt;0),LB500,9999)</f>
        <v>9999</v>
      </c>
      <c r="MB500" t="n">
        <v>2036</v>
      </c>
      <c r="MC500">
        <f>IF(MB500&lt;=RULE_START+$MB$38-1,1,0)</f>
        <v>1</v>
      </c>
      <c r="MD500" s="15">
        <f>IF(MB500=2024,G_IDX_2024,IF(MB500=2025,G_IDX_2025,IF(MB500=2026,G_IDX_2026,IF(MB500=2027,G_IDX_2027,$MB$13))))</f>
        <v>0.033</v>
      </c>
      <c r="ME500" s="8">
        <f>$MB$20*(1+G_HI)^(MB500-COST_DATE)</f>
        <v>725.1874740734014</v>
      </c>
      <c r="MF500" s="8">
        <f>MF499*(1+MD500)</f>
        <v>685.2163220035402</v>
      </c>
      <c r="MG500" s="8">
        <f>IF(MB500&lt;RULE_START,MF500,MG499*(1+G_HI))</f>
        <v>734.2868049256896</v>
      </c>
      <c r="MH500" s="8">
        <f>IF(MB500&lt;RULE_START,MF500,IF(MI500=1,R_NF_2024*(1+G_HI)^(MB500-2024),MH499*(1+MD500)))</f>
        <v>772.9356249999993</v>
      </c>
      <c r="MI500">
        <f>IF(AND(MB500&gt;=RULE_START,MOD(MB500-RULE_START,REBASE_YEARS)=0),1,0)</f>
        <v>1</v>
      </c>
      <c r="MJ500" s="8">
        <f>MF500*CAP_SHARE</f>
        <v>33.50524788756991</v>
      </c>
      <c r="MK500" s="8">
        <f>MG500*CAP_SHARE</f>
        <v>35.90466343193706</v>
      </c>
      <c r="ML500" s="8">
        <f>MH500*CAP_SHARE</f>
        <v>37.79448749999997</v>
      </c>
      <c r="MM500" s="8">
        <f>MF500-MJ500-ME500</f>
        <v>-73.47639995743111</v>
      </c>
      <c r="MN500" s="8">
        <f>MG500-MK500-ME500</f>
        <v>-26.805332579648848</v>
      </c>
      <c r="MO500" s="8">
        <f>MH500-ML500-ME500</f>
        <v>9.953663426597927</v>
      </c>
      <c r="MP500" s="8">
        <f>R_NF_2024*(1+G_HI)^(MB500-2024)</f>
        <v>772.9356249999993</v>
      </c>
      <c r="MQ500" s="10">
        <f>1-MF500/MP500</f>
        <v>0.11348849782471748</v>
      </c>
      <c r="MR500" s="10">
        <f>CPI_2023/(IF(MB500-1=2023,CPI_2023,IF(MB500-1=2024,CPI_2024,IF(MB500-1=2025,CPI_2025,CPI_2025*(1+INFL)^(MB500-1-2025)))))</f>
        <v>0.7456255274370873</v>
      </c>
      <c r="MS500" s="8">
        <f>$MB$21*ABS($MB$11)*(MG500-MF500)/MF500</f>
        <v>5230.305848219541</v>
      </c>
      <c r="MT500" s="8">
        <f>$MB$21*ABS($MB$11)*(MH500-MF500)/MF500</f>
        <v>9349.791486503382</v>
      </c>
      <c r="MU500" s="13">
        <f>(MG500-MF500)*MCD_NF_DAYS*MR500-MS500*MCD_SHARE_FREED*R_WAIT_2023</f>
        <v>16898763.02518554</v>
      </c>
      <c r="MV500" s="13">
        <f>(MH500-MF500)*MCD_NF_DAYS*MR500-MT500*MCD_SHARE_FREED*R_WAIT_2023</f>
        <v>30208541.383694213</v>
      </c>
      <c r="MW500" s="10">
        <f>IF(AND(MB500&gt;=RULE_START,MC500=1),1/(1+$MB$12)^(MB500-RULE_START+1),0)</f>
        <v>0.8203482998751551</v>
      </c>
      <c r="MX500">
        <f>IF(AND(MB500&gt;=RULE_START,MC500=1,MM500&lt;0),MB500,9999)</f>
        <v>2036</v>
      </c>
      <c r="MY500">
        <f>IF(AND(MB500&gt;=RULE_START,MC500=1,MN500&lt;0),MB500,9999)</f>
        <v>2036</v>
      </c>
      <c r="MZ500">
        <f>IF(AND(MB500&gt;=RULE_START,MC500=1,MO500&lt;0),MB500,9999)</f>
        <v>9999</v>
      </c>
      <c r="NB500" t="n">
        <v>2036</v>
      </c>
      <c r="NC500">
        <f>IF(NB500&lt;=RULE_START+$NB$38-1,1,0)</f>
        <v>1</v>
      </c>
      <c r="ND500" s="15">
        <f>IF(NB500=2024,G_IDX_2024,IF(NB500=2025,G_IDX_2025,IF(NB500=2026,G_IDX_2026,IF(NB500=2027,G_IDX_2027,$NB$13))))</f>
        <v>0.033</v>
      </c>
      <c r="NE500" s="8">
        <f>$NB$20*(1+G_HI)^(NB500-COST_DATE)</f>
        <v>725.1874740734014</v>
      </c>
      <c r="NF500" s="8">
        <f>NF499*(1+ND500)</f>
        <v>685.2163220035402</v>
      </c>
      <c r="NG500" s="8">
        <f>IF(NB500&lt;RULE_START,NF500,NG499*(1+G_HI))</f>
        <v>734.2868049256896</v>
      </c>
      <c r="NH500" s="8">
        <f>IF(NB500&lt;RULE_START,NF500,IF(NI500=1,R_NF_2024*(1+G_HI)^(NB500-2024),NH499*(1+ND500)))</f>
        <v>772.9356249999993</v>
      </c>
      <c r="NI500">
        <f>IF(AND(NB500&gt;=RULE_START,MOD(NB500-RULE_START,REBASE_YEARS)=0),1,0)</f>
        <v>1</v>
      </c>
      <c r="NJ500" s="8">
        <f>NF500*CAP_SHARE</f>
        <v>33.50524788756991</v>
      </c>
      <c r="NK500" s="8">
        <f>NG500*CAP_SHARE</f>
        <v>35.90466343193706</v>
      </c>
      <c r="NL500" s="8">
        <f>NH500*CAP_SHARE</f>
        <v>37.79448749999997</v>
      </c>
      <c r="NM500" s="8">
        <f>NF500-NJ500-NE500</f>
        <v>-73.47639995743111</v>
      </c>
      <c r="NN500" s="8">
        <f>NG500-NK500-NE500</f>
        <v>-26.805332579648848</v>
      </c>
      <c r="NO500" s="8">
        <f>NH500-NL500-NE500</f>
        <v>9.953663426597927</v>
      </c>
      <c r="NP500" s="8">
        <f>R_NF_2024*(1+G_HI)^(NB500-2024)</f>
        <v>772.9356249999993</v>
      </c>
      <c r="NQ500" s="10">
        <f>1-NF500/NP500</f>
        <v>0.11348849782471748</v>
      </c>
      <c r="NR500" s="10">
        <f>CPI_2023/(IF(NB500-1=2023,CPI_2023,IF(NB500-1=2024,CPI_2024,IF(NB500-1=2025,CPI_2025,CPI_2025*(1+INFL)^(NB500-1-2025)))))</f>
        <v>0.7456255274370873</v>
      </c>
      <c r="NS500" s="8">
        <f>$NB$21*ABS($NB$11)*(NG500-NF500)/NF500</f>
        <v>7139.475738706537</v>
      </c>
      <c r="NT500" s="8">
        <f>$NB$21*ABS($NB$11)*(NH500-NF500)/NF500</f>
        <v>12762.658899303035</v>
      </c>
      <c r="NU500" s="13">
        <f>(NG500-NF500)*MCD_NF_DAYS*NR500-NS500*MCD_SHARE_FREED*R_WAIT_2023</f>
        <v>16030627.715418275</v>
      </c>
      <c r="NV500" s="13">
        <f>(NH500-NF500)*MCD_NF_DAYS*NR500-NT500*MCD_SHARE_FREED*R_WAIT_2023</f>
        <v>28656646.644850586</v>
      </c>
      <c r="NW500" s="10">
        <f>IF(AND(NB500&gt;=RULE_START,NC500=1),1/(1+$NB$12)^(NB500-RULE_START+1),0)</f>
        <v>0.8203482998751551</v>
      </c>
      <c r="NX500">
        <f>IF(AND(NB500&gt;=RULE_START,NC500=1,NM500&lt;0),NB500,9999)</f>
        <v>2036</v>
      </c>
      <c r="NY500">
        <f>IF(AND(NB500&gt;=RULE_START,NC500=1,NN500&lt;0),NB500,9999)</f>
        <v>2036</v>
      </c>
      <c r="NZ500">
        <f>IF(AND(NB500&gt;=RULE_START,NC500=1,NO500&lt;0),NB500,9999)</f>
        <v>9999</v>
      </c>
      <c r="OB500" t="n">
        <v>2036</v>
      </c>
      <c r="OC500">
        <f>IF(OB500&lt;=RULE_START+$OB$38-1,1,0)</f>
        <v>1</v>
      </c>
      <c r="OD500" s="15">
        <f>IF(OB500=2024,G_IDX_2024,IF(OB500=2025,G_IDX_2025,IF(OB500=2026,G_IDX_2026,IF(OB500=2027,G_IDX_2027,$OB$13))))</f>
        <v>0.033</v>
      </c>
      <c r="OE500" s="8">
        <f>$OB$20*(1+G_HI)^(OB500-COST_DATE)</f>
        <v>725.1874740734014</v>
      </c>
      <c r="OF500" s="8">
        <f>OF499*(1+OD500)</f>
        <v>685.2163220035402</v>
      </c>
      <c r="OG500" s="8">
        <f>IF(OB500&lt;RULE_START,OF500,OG499*(1+G_HI))</f>
        <v>734.2868049256896</v>
      </c>
      <c r="OH500" s="8">
        <f>IF(OB500&lt;RULE_START,OF500,IF(OI500=1,R_NF_2024*(1+G_HI)^(OB500-2024),OH499*(1+OD500)))</f>
        <v>772.9356249999993</v>
      </c>
      <c r="OI500">
        <f>IF(AND(OB500&gt;=RULE_START,MOD(OB500-RULE_START,REBASE_YEARS)=0),1,0)</f>
        <v>1</v>
      </c>
      <c r="OJ500" s="8">
        <f>OF500*CAP_SHARE</f>
        <v>33.50524788756991</v>
      </c>
      <c r="OK500" s="8">
        <f>OG500*CAP_SHARE</f>
        <v>35.90466343193706</v>
      </c>
      <c r="OL500" s="8">
        <f>OH500*CAP_SHARE</f>
        <v>37.79448749999997</v>
      </c>
      <c r="OM500" s="8">
        <f>OF500-OJ500-OE500</f>
        <v>-73.47639995743111</v>
      </c>
      <c r="ON500" s="8">
        <f>OG500-OK500-OE500</f>
        <v>-26.805332579648848</v>
      </c>
      <c r="OO500" s="8">
        <f>OH500-OL500-OE500</f>
        <v>9.953663426597927</v>
      </c>
      <c r="OP500" s="8">
        <f>R_NF_2024*(1+G_HI)^(OB500-2024)</f>
        <v>772.9356249999993</v>
      </c>
      <c r="OQ500" s="10">
        <f>1-OF500/OP500</f>
        <v>0.11348849782471748</v>
      </c>
      <c r="OR500" s="10">
        <f>CPI_2023/(IF(OB500-1=2023,CPI_2023,IF(OB500-1=2024,CPI_2024,IF(OB500-1=2025,CPI_2025,CPI_2025*(1+INFL)^(OB500-1-2025)))))</f>
        <v>0.7456255274370873</v>
      </c>
      <c r="OS500" s="8">
        <f>$OB$21*ABS($OB$11)*(OG500-OF500)/OF500</f>
        <v>7139.475738706537</v>
      </c>
      <c r="OT500" s="8">
        <f>$OB$21*ABS($OB$11)*(OH500-OF500)/OF500</f>
        <v>12762.658899303035</v>
      </c>
      <c r="OU500" s="13">
        <f>(OG500-OF500)*MCD_NF_DAYS*OR500-OS500*MCD_SHARE_FREED*R_WAIT_2023</f>
        <v>16030627.715418275</v>
      </c>
      <c r="OV500" s="13">
        <f>(OH500-OF500)*MCD_NF_DAYS*OR500-OT500*MCD_SHARE_FREED*R_WAIT_2023</f>
        <v>28656646.644850586</v>
      </c>
      <c r="OW500" s="10">
        <f>IF(AND(OB500&gt;=RULE_START,OC500=1),1/(1+$OB$12)^(OB500-RULE_START+1),0)</f>
        <v>0.8203482998751551</v>
      </c>
      <c r="OX500">
        <f>IF(AND(OB500&gt;=RULE_START,OC500=1,OM500&lt;0),OB500,9999)</f>
        <v>2036</v>
      </c>
      <c r="OY500">
        <f>IF(AND(OB500&gt;=RULE_START,OC500=1,ON500&lt;0),OB500,9999)</f>
        <v>2036</v>
      </c>
      <c r="OZ500">
        <f>IF(AND(OB500&gt;=RULE_START,OC500=1,OO500&lt;0),OB500,9999)</f>
        <v>9999</v>
      </c>
    </row>
    <row r="501">
      <c r="B501" t="n">
        <v>2037</v>
      </c>
      <c r="C501">
        <f>IF(B501&lt;=RULE_START+$B$38-1,1,0)</f>
        <v>1</v>
      </c>
      <c r="D501" s="15">
        <f>IF(B501=2024,G_IDX_2024,IF(B501=2025,G_IDX_2025,IF(B501=2026,G_IDX_2026,IF(B501=2027,G_IDX_2027,$B$13))))</f>
        <v>0.033</v>
      </c>
      <c r="E501" s="8">
        <f>$B$20*(1+G_HI)^(B501-COST_DATE)</f>
        <v>754.3179076028848</v>
      </c>
      <c r="F501" s="8">
        <f>F500*(1+D501)</f>
        <v>707.828460629657</v>
      </c>
      <c r="G501" s="8">
        <f>IF(B501&lt;RULE_START,F501,G500*(1+G_HI))</f>
        <v>763.7827542176923</v>
      </c>
      <c r="H501" s="8">
        <f>IF(B501&lt;RULE_START,F501,IF(I501=1,R_NF_2024*(1+G_HI)^(B501-2024),H500*(1+D501)))</f>
        <v>798.4425006249992</v>
      </c>
      <c r="I501">
        <f>IF(AND(B501&gt;=RULE_START,MOD(B501-RULE_START,REBASE_YEARS)=0),1,0)</f>
        <v>0</v>
      </c>
      <c r="J501" s="8">
        <f>F501*CAP_SHARE</f>
        <v>34.610921067859714</v>
      </c>
      <c r="K501" s="8">
        <f>G501*CAP_SHARE</f>
        <v>37.34693656667222</v>
      </c>
      <c r="L501" s="8">
        <f>H501*CAP_SHARE</f>
        <v>39.04170558749996</v>
      </c>
      <c r="M501" s="8">
        <f>F501-J501-E501</f>
        <v>-81.10036804108756</v>
      </c>
      <c r="N501" s="8">
        <f>G501-K501-E501</f>
        <v>-27.882089951864714</v>
      </c>
      <c r="O501" s="8">
        <f>H501-L501-E501</f>
        <v>5.082887434614349</v>
      </c>
      <c r="P501" s="8">
        <f>R_NF_2024*(1+G_HI)^(B501-2024)</f>
        <v>803.9840788848401</v>
      </c>
      <c r="Q501" s="10">
        <f>1-F501/P501</f>
        <v>0.11959890846166377</v>
      </c>
      <c r="R501" s="10">
        <f>CPI_2023/(IF(B501-1=2023,CPI_2023,IF(B501-1=2024,CPI_2024,IF(B501-1=2025,CPI_2025,CPI_2025*(1+INFL)^(B501-1-2025)))))</f>
        <v>0.7290042309709498</v>
      </c>
      <c r="S501" s="8">
        <f>$B$21*ABS($B$11)*(G501-F501)/F501</f>
        <v>7880.9593199051815</v>
      </c>
      <c r="T501" s="8">
        <f>$B$21*ABS($B$11)*(H501-F501)/F501</f>
        <v>12762.658899303027</v>
      </c>
      <c r="U501" s="13">
        <f>(G501-F501)*MCD_NF_DAYS*R501-S501*MCD_SHARE_FREED*R_WAIT_2023</f>
        <v>17907727.332583763</v>
      </c>
      <c r="V501" s="13">
        <f>(H501-F501)*MCD_NF_DAYS*R501-T501*MCD_SHARE_FREED*R_WAIT_2023</f>
        <v>29000303.938917175</v>
      </c>
      <c r="W501" s="10">
        <f>IF(AND(B501&gt;=RULE_START,C501=1),1/(1+$B$12)^(B501-RULE_START+1),0)</f>
        <v>0.8042630390932893</v>
      </c>
      <c r="X501">
        <f>IF(AND(B501&gt;=RULE_START,C501=1,M501&lt;0),B501,9999)</f>
        <v>2037</v>
      </c>
      <c r="Y501">
        <f>IF(AND(B501&gt;=RULE_START,C501=1,N501&lt;0),B501,9999)</f>
        <v>2037</v>
      </c>
      <c r="Z501">
        <f>IF(AND(B501&gt;=RULE_START,C501=1,O501&lt;0),B501,9999)</f>
        <v>9999</v>
      </c>
      <c r="AB501" t="n">
        <v>2037</v>
      </c>
      <c r="AC501">
        <f>IF(AB501&lt;=RULE_START+$AB$38-1,1,0)</f>
        <v>1</v>
      </c>
      <c r="AD501" s="15">
        <f>IF(AB501=2024,G_IDX_2024,IF(AB501=2025,G_IDX_2025,IF(AB501=2026,G_IDX_2026,IF(AB501=2027,G_IDX_2027,$AB$13))))</f>
        <v>0.033</v>
      </c>
      <c r="AE501" s="8">
        <f>$AB$20*(1+G_HI)^(AB501-COST_DATE)</f>
        <v>754.3179076028848</v>
      </c>
      <c r="AF501" s="8">
        <f>AF500*(1+AD501)</f>
        <v>707.828460629657</v>
      </c>
      <c r="AG501" s="8">
        <f>IF(AB501&lt;RULE_START,AF501,AG500*(1+G_HI))</f>
        <v>763.7827542176923</v>
      </c>
      <c r="AH501" s="8">
        <f>IF(AB501&lt;RULE_START,AF501,IF(AI501=1,R_NF_2024*(1+G_HI)^(AB501-2024),AH500*(1+AD501)))</f>
        <v>798.4425006249992</v>
      </c>
      <c r="AI501">
        <f>IF(AND(AB501&gt;=RULE_START,MOD(AB501-RULE_START,REBASE_YEARS)=0),1,0)</f>
        <v>0</v>
      </c>
      <c r="AJ501" s="8">
        <f>AF501*CAP_SHARE</f>
        <v>34.610921067859714</v>
      </c>
      <c r="AK501" s="8">
        <f>AG501*CAP_SHARE</f>
        <v>37.34693656667222</v>
      </c>
      <c r="AL501" s="8">
        <f>AH501*CAP_SHARE</f>
        <v>39.04170558749996</v>
      </c>
      <c r="AM501" s="8">
        <f>AF501-AJ501-AE501</f>
        <v>-81.10036804108756</v>
      </c>
      <c r="AN501" s="8">
        <f>AG501-AK501-AE501</f>
        <v>-27.882089951864714</v>
      </c>
      <c r="AO501" s="8">
        <f>AH501-AL501-AE501</f>
        <v>5.082887434614349</v>
      </c>
      <c r="AP501" s="8">
        <f>R_NF_2024*(1+G_HI)^(AB501-2024)</f>
        <v>803.9840788848401</v>
      </c>
      <c r="AQ501" s="10">
        <f>1-AF501/AP501</f>
        <v>0.11959890846166377</v>
      </c>
      <c r="AR501" s="10">
        <f>CPI_2023/(IF(AB501-1=2023,CPI_2023,IF(AB501-1=2024,CPI_2024,IF(AB501-1=2025,CPI_2025,CPI_2025*(1+INFL)^(AB501-1-2025)))))</f>
        <v>0.7290042309709498</v>
      </c>
      <c r="AS501" s="8">
        <f>$AB$21*ABS($AB$11)*(AG501-AF501)/AF501</f>
        <v>7880.9593199051815</v>
      </c>
      <c r="AT501" s="8">
        <f>$AB$21*ABS($AB$11)*(AH501-AF501)/AF501</f>
        <v>12762.658899303027</v>
      </c>
      <c r="AU501" s="13">
        <f>(AG501-AF501)*MCD_NF_DAYS*AR501-AS501*MCD_SHARE_FREED*R_WAIT_2023</f>
        <v>17907727.332583763</v>
      </c>
      <c r="AV501" s="13">
        <f>(AH501-AF501)*MCD_NF_DAYS*AR501-AT501*MCD_SHARE_FREED*R_WAIT_2023</f>
        <v>29000303.938917175</v>
      </c>
      <c r="AW501" s="10">
        <f>IF(AND(AB501&gt;=RULE_START,AC501=1),1/(1+$AB$12)^(AB501-RULE_START+1),0)</f>
        <v>0.8042630390932893</v>
      </c>
      <c r="AX501">
        <f>IF(AND(AB501&gt;=RULE_START,AC501=1,AM501&lt;0),AB501,9999)</f>
        <v>2037</v>
      </c>
      <c r="AY501">
        <f>IF(AND(AB501&gt;=RULE_START,AC501=1,AN501&lt;0),AB501,9999)</f>
        <v>2037</v>
      </c>
      <c r="AZ501">
        <f>IF(AND(AB501&gt;=RULE_START,AC501=1,AO501&lt;0),AB501,9999)</f>
        <v>9999</v>
      </c>
      <c r="BB501" t="n">
        <v>2037</v>
      </c>
      <c r="BC501">
        <f>IF(BB501&lt;=RULE_START+$BB$38-1,1,0)</f>
        <v>1</v>
      </c>
      <c r="BD501" s="15">
        <f>IF(BB501=2024,G_IDX_2024,IF(BB501=2025,G_IDX_2025,IF(BB501=2026,G_IDX_2026,IF(BB501=2027,G_IDX_2027,$BB$13))))</f>
        <v>0.033</v>
      </c>
      <c r="BE501" s="8">
        <f>$BB$20*(1+G_HI)^(BB501-COST_DATE)</f>
        <v>754.3179076028848</v>
      </c>
      <c r="BF501" s="8">
        <f>BF500*(1+BD501)</f>
        <v>707.828460629657</v>
      </c>
      <c r="BG501" s="8">
        <f>IF(BB501&lt;RULE_START,BF501,BG500*(1+G_HI))</f>
        <v>763.7827542176923</v>
      </c>
      <c r="BH501" s="8">
        <f>IF(BB501&lt;RULE_START,BF501,IF(BI501=1,R_NF_2024*(1+G_HI)^(BB501-2024),BH500*(1+BD501)))</f>
        <v>798.4425006249992</v>
      </c>
      <c r="BI501">
        <f>IF(AND(BB501&gt;=RULE_START,MOD(BB501-RULE_START,REBASE_YEARS)=0),1,0)</f>
        <v>0</v>
      </c>
      <c r="BJ501" s="8">
        <f>BF501*CAP_SHARE</f>
        <v>34.610921067859714</v>
      </c>
      <c r="BK501" s="8">
        <f>BG501*CAP_SHARE</f>
        <v>37.34693656667222</v>
      </c>
      <c r="BL501" s="8">
        <f>BH501*CAP_SHARE</f>
        <v>39.04170558749996</v>
      </c>
      <c r="BM501" s="8">
        <f>BF501-BJ501-BE501</f>
        <v>-81.10036804108756</v>
      </c>
      <c r="BN501" s="8">
        <f>BG501-BK501-BE501</f>
        <v>-27.882089951864714</v>
      </c>
      <c r="BO501" s="8">
        <f>BH501-BL501-BE501</f>
        <v>5.082887434614349</v>
      </c>
      <c r="BP501" s="8">
        <f>R_NF_2024*(1+G_HI)^(BB501-2024)</f>
        <v>803.9840788848401</v>
      </c>
      <c r="BQ501" s="10">
        <f>1-BF501/BP501</f>
        <v>0.11959890846166377</v>
      </c>
      <c r="BR501" s="10">
        <f>CPI_2023/(IF(BB501-1=2023,CPI_2023,IF(BB501-1=2024,CPI_2024,IF(BB501-1=2025,CPI_2025,CPI_2025*(1+INFL)^(BB501-1-2025)))))</f>
        <v>0.7290042309709498</v>
      </c>
      <c r="BS501" s="8">
        <f>$BB$21*ABS($BB$11)*(BG501-BF501)/BF501</f>
        <v>7880.9593199051815</v>
      </c>
      <c r="BT501" s="8">
        <f>$BB$21*ABS($BB$11)*(BH501-BF501)/BF501</f>
        <v>12762.658899303027</v>
      </c>
      <c r="BU501" s="13">
        <f>(BG501-BF501)*MCD_NF_DAYS*BR501-BS501*MCD_SHARE_FREED*R_WAIT_2023</f>
        <v>17907727.332583763</v>
      </c>
      <c r="BV501" s="13">
        <f>(BH501-BF501)*MCD_NF_DAYS*BR501-BT501*MCD_SHARE_FREED*R_WAIT_2023</f>
        <v>29000303.938917175</v>
      </c>
      <c r="BW501" s="10">
        <f>IF(AND(BB501&gt;=RULE_START,BC501=1),1/(1+$BB$12)^(BB501-RULE_START+1),0)</f>
        <v>0.8042630390932893</v>
      </c>
      <c r="BX501">
        <f>IF(AND(BB501&gt;=RULE_START,BC501=1,BM501&lt;0),BB501,9999)</f>
        <v>2037</v>
      </c>
      <c r="BY501">
        <f>IF(AND(BB501&gt;=RULE_START,BC501=1,BN501&lt;0),BB501,9999)</f>
        <v>2037</v>
      </c>
      <c r="BZ501">
        <f>IF(AND(BB501&gt;=RULE_START,BC501=1,BO501&lt;0),BB501,9999)</f>
        <v>9999</v>
      </c>
      <c r="CB501" t="n">
        <v>2037</v>
      </c>
      <c r="CC501">
        <f>IF(CB501&lt;=RULE_START+$CB$38-1,1,0)</f>
        <v>1</v>
      </c>
      <c r="CD501" s="15">
        <f>IF(CB501=2024,G_IDX_2024,IF(CB501=2025,G_IDX_2025,IF(CB501=2026,G_IDX_2026,IF(CB501=2027,G_IDX_2027,$CB$13))))</f>
        <v>0.033</v>
      </c>
      <c r="CE501" s="8">
        <f>$CB$20*(1+G_HI)^(CB501-COST_DATE)</f>
        <v>754.3179076028848</v>
      </c>
      <c r="CF501" s="8">
        <f>CF500*(1+CD501)</f>
        <v>707.828460629657</v>
      </c>
      <c r="CG501" s="8">
        <f>IF(CB501&lt;RULE_START,CF501,CG500*(1+G_HI))</f>
        <v>763.7827542176923</v>
      </c>
      <c r="CH501" s="8">
        <f>IF(CB501&lt;RULE_START,CF501,IF(CI501=1,R_NF_2024*(1+G_HI)^(CB501-2024),CH500*(1+CD501)))</f>
        <v>798.4425006249992</v>
      </c>
      <c r="CI501">
        <f>IF(AND(CB501&gt;=RULE_START,MOD(CB501-RULE_START,REBASE_YEARS)=0),1,0)</f>
        <v>0</v>
      </c>
      <c r="CJ501" s="8">
        <f>CF501*CAP_SHARE</f>
        <v>34.610921067859714</v>
      </c>
      <c r="CK501" s="8">
        <f>CG501*CAP_SHARE</f>
        <v>37.34693656667222</v>
      </c>
      <c r="CL501" s="8">
        <f>CH501*CAP_SHARE</f>
        <v>39.04170558749996</v>
      </c>
      <c r="CM501" s="8">
        <f>CF501-CJ501-CE501</f>
        <v>-81.10036804108756</v>
      </c>
      <c r="CN501" s="8">
        <f>CG501-CK501-CE501</f>
        <v>-27.882089951864714</v>
      </c>
      <c r="CO501" s="8">
        <f>CH501-CL501-CE501</f>
        <v>5.082887434614349</v>
      </c>
      <c r="CP501" s="8">
        <f>R_NF_2024*(1+G_HI)^(CB501-2024)</f>
        <v>803.9840788848401</v>
      </c>
      <c r="CQ501" s="10">
        <f>1-CF501/CP501</f>
        <v>0.11959890846166377</v>
      </c>
      <c r="CR501" s="10">
        <f>CPI_2023/(IF(CB501-1=2023,CPI_2023,IF(CB501-1=2024,CPI_2024,IF(CB501-1=2025,CPI_2025,CPI_2025*(1+INFL)^(CB501-1-2025)))))</f>
        <v>0.7290042309709498</v>
      </c>
      <c r="CS501" s="8">
        <f>$CB$21*ABS($CB$11)*(CG501-CF501)/CF501</f>
        <v>7880.9593199051815</v>
      </c>
      <c r="CT501" s="8">
        <f>$CB$21*ABS($CB$11)*(CH501-CF501)/CF501</f>
        <v>12762.658899303027</v>
      </c>
      <c r="CU501" s="13">
        <f>(CG501-CF501)*MCD_NF_DAYS*CR501-CS501*MCD_SHARE_FREED*R_WAIT_2023</f>
        <v>17907727.332583763</v>
      </c>
      <c r="CV501" s="13">
        <f>(CH501-CF501)*MCD_NF_DAYS*CR501-CT501*MCD_SHARE_FREED*R_WAIT_2023</f>
        <v>29000303.938917175</v>
      </c>
      <c r="CW501" s="10">
        <f>IF(AND(CB501&gt;=RULE_START,CC501=1),1/(1+$CB$12)^(CB501-RULE_START+1),0)</f>
        <v>0.8042630390932893</v>
      </c>
      <c r="CX501">
        <f>IF(AND(CB501&gt;=RULE_START,CC501=1,CM501&lt;0),CB501,9999)</f>
        <v>2037</v>
      </c>
      <c r="CY501">
        <f>IF(AND(CB501&gt;=RULE_START,CC501=1,CN501&lt;0),CB501,9999)</f>
        <v>2037</v>
      </c>
      <c r="CZ501">
        <f>IF(AND(CB501&gt;=RULE_START,CC501=1,CO501&lt;0),CB501,9999)</f>
        <v>9999</v>
      </c>
      <c r="DB501" t="n">
        <v>2037</v>
      </c>
      <c r="DC501">
        <f>IF(DB501&lt;=RULE_START+$DB$38-1,1,0)</f>
        <v>1</v>
      </c>
      <c r="DD501" s="15">
        <f>IF(DB501=2024,G_IDX_2024,IF(DB501=2025,G_IDX_2025,IF(DB501=2026,G_IDX_2026,IF(DB501=2027,G_IDX_2027,$DB$13))))</f>
        <v>0.033</v>
      </c>
      <c r="DE501" s="8">
        <f>$DB$20*(1+G_HI)^(DB501-COST_DATE)</f>
        <v>754.3179076028848</v>
      </c>
      <c r="DF501" s="8">
        <f>DF500*(1+DD501)</f>
        <v>707.828460629657</v>
      </c>
      <c r="DG501" s="8">
        <f>IF(DB501&lt;RULE_START,DF501,DG500*(1+G_HI))</f>
        <v>763.7827542176923</v>
      </c>
      <c r="DH501" s="8">
        <f>IF(DB501&lt;RULE_START,DF501,IF(DI501=1,R_NF_2024*(1+G_HI)^(DB501-2024),DH500*(1+DD501)))</f>
        <v>798.4425006249992</v>
      </c>
      <c r="DI501">
        <f>IF(AND(DB501&gt;=RULE_START,MOD(DB501-RULE_START,REBASE_YEARS)=0),1,0)</f>
        <v>0</v>
      </c>
      <c r="DJ501" s="8">
        <f>DF501*CAP_SHARE</f>
        <v>34.610921067859714</v>
      </c>
      <c r="DK501" s="8">
        <f>DG501*CAP_SHARE</f>
        <v>37.34693656667222</v>
      </c>
      <c r="DL501" s="8">
        <f>DH501*CAP_SHARE</f>
        <v>39.04170558749996</v>
      </c>
      <c r="DM501" s="8">
        <f>DF501-DJ501-DE501</f>
        <v>-81.10036804108756</v>
      </c>
      <c r="DN501" s="8">
        <f>DG501-DK501-DE501</f>
        <v>-27.882089951864714</v>
      </c>
      <c r="DO501" s="8">
        <f>DH501-DL501-DE501</f>
        <v>5.082887434614349</v>
      </c>
      <c r="DP501" s="8">
        <f>R_NF_2024*(1+G_HI)^(DB501-2024)</f>
        <v>803.9840788848401</v>
      </c>
      <c r="DQ501" s="10">
        <f>1-DF501/DP501</f>
        <v>0.11959890846166377</v>
      </c>
      <c r="DR501" s="10">
        <f>CPI_2023/(IF(DB501-1=2023,CPI_2023,IF(DB501-1=2024,CPI_2024,IF(DB501-1=2025,CPI_2025,CPI_2025*(1+INFL)^(DB501-1-2025)))))</f>
        <v>0.7290042309709498</v>
      </c>
      <c r="DS501" s="8">
        <f>$DB$21*ABS($DB$11)*(DG501-DF501)/DF501</f>
        <v>7880.9593199051815</v>
      </c>
      <c r="DT501" s="8">
        <f>$DB$21*ABS($DB$11)*(DH501-DF501)/DF501</f>
        <v>12762.658899303027</v>
      </c>
      <c r="DU501" s="13">
        <f>(DG501-DF501)*MCD_NF_DAYS*DR501-DS501*MCD_SHARE_FREED*R_WAIT_2023</f>
        <v>17907727.332583763</v>
      </c>
      <c r="DV501" s="13">
        <f>(DH501-DF501)*MCD_NF_DAYS*DR501-DT501*MCD_SHARE_FREED*R_WAIT_2023</f>
        <v>29000303.938917175</v>
      </c>
      <c r="DW501" s="10">
        <f>IF(AND(DB501&gt;=RULE_START,DC501=1),1/(1+$DB$12)^(DB501-RULE_START+1),0)</f>
        <v>0.8042630390932893</v>
      </c>
      <c r="DX501">
        <f>IF(AND(DB501&gt;=RULE_START,DC501=1,DM501&lt;0),DB501,9999)</f>
        <v>2037</v>
      </c>
      <c r="DY501">
        <f>IF(AND(DB501&gt;=RULE_START,DC501=1,DN501&lt;0),DB501,9999)</f>
        <v>2037</v>
      </c>
      <c r="DZ501">
        <f>IF(AND(DB501&gt;=RULE_START,DC501=1,DO501&lt;0),DB501,9999)</f>
        <v>9999</v>
      </c>
      <c r="EB501" t="n">
        <v>2037</v>
      </c>
      <c r="EC501">
        <f>IF(EB501&lt;=RULE_START+$EB$38-1,1,0)</f>
        <v>1</v>
      </c>
      <c r="ED501" s="15">
        <f>IF(EB501=2024,G_IDX_2024,IF(EB501=2025,G_IDX_2025,IF(EB501=2026,G_IDX_2026,IF(EB501=2027,G_IDX_2027,$EB$13))))</f>
        <v>0.033</v>
      </c>
      <c r="EE501" s="8">
        <f>$EB$20*(1+G_HI)^(EB501-COST_DATE)</f>
        <v>754.3179076028848</v>
      </c>
      <c r="EF501" s="8">
        <f>EF500*(1+ED501)</f>
        <v>707.828460629657</v>
      </c>
      <c r="EG501" s="8">
        <f>IF(EB501&lt;RULE_START,EF501,EG500*(1+G_HI))</f>
        <v>763.7827542176923</v>
      </c>
      <c r="EH501" s="8">
        <f>IF(EB501&lt;RULE_START,EF501,IF(EI501=1,R_NF_2024*(1+G_HI)^(EB501-2024),EH500*(1+ED501)))</f>
        <v>798.4425006249992</v>
      </c>
      <c r="EI501">
        <f>IF(AND(EB501&gt;=RULE_START,MOD(EB501-RULE_START,REBASE_YEARS)=0),1,0)</f>
        <v>0</v>
      </c>
      <c r="EJ501" s="8">
        <f>EF501*CAP_SHARE</f>
        <v>34.610921067859714</v>
      </c>
      <c r="EK501" s="8">
        <f>EG501*CAP_SHARE</f>
        <v>37.34693656667222</v>
      </c>
      <c r="EL501" s="8">
        <f>EH501*CAP_SHARE</f>
        <v>39.04170558749996</v>
      </c>
      <c r="EM501" s="8">
        <f>EF501-EJ501-EE501</f>
        <v>-81.10036804108756</v>
      </c>
      <c r="EN501" s="8">
        <f>EG501-EK501-EE501</f>
        <v>-27.882089951864714</v>
      </c>
      <c r="EO501" s="8">
        <f>EH501-EL501-EE501</f>
        <v>5.082887434614349</v>
      </c>
      <c r="EP501" s="8">
        <f>R_NF_2024*(1+G_HI)^(EB501-2024)</f>
        <v>803.9840788848401</v>
      </c>
      <c r="EQ501" s="10">
        <f>1-EF501/EP501</f>
        <v>0.11959890846166377</v>
      </c>
      <c r="ER501" s="10">
        <f>CPI_2023/(IF(EB501-1=2023,CPI_2023,IF(EB501-1=2024,CPI_2024,IF(EB501-1=2025,CPI_2025,CPI_2025*(1+INFL)^(EB501-1-2025)))))</f>
        <v>0.7290042309709498</v>
      </c>
      <c r="ES501" s="8">
        <f>$EB$21*ABS($EB$11)*(EG501-EF501)/EF501</f>
        <v>7880.9593199051815</v>
      </c>
      <c r="ET501" s="8">
        <f>$EB$21*ABS($EB$11)*(EH501-EF501)/EF501</f>
        <v>12762.658899303027</v>
      </c>
      <c r="EU501" s="13">
        <f>(EG501-EF501)*MCD_NF_DAYS*ER501-ES501*MCD_SHARE_FREED*R_WAIT_2023</f>
        <v>17907727.332583763</v>
      </c>
      <c r="EV501" s="13">
        <f>(EH501-EF501)*MCD_NF_DAYS*ER501-ET501*MCD_SHARE_FREED*R_WAIT_2023</f>
        <v>29000303.938917175</v>
      </c>
      <c r="EW501" s="10">
        <f>IF(AND(EB501&gt;=RULE_START,EC501=1),1/(1+$EB$12)^(EB501-RULE_START+1),0)</f>
        <v>0.8042630390932893</v>
      </c>
      <c r="EX501">
        <f>IF(AND(EB501&gt;=RULE_START,EC501=1,EM501&lt;0),EB501,9999)</f>
        <v>2037</v>
      </c>
      <c r="EY501">
        <f>IF(AND(EB501&gt;=RULE_START,EC501=1,EN501&lt;0),EB501,9999)</f>
        <v>2037</v>
      </c>
      <c r="EZ501">
        <f>IF(AND(EB501&gt;=RULE_START,EC501=1,EO501&lt;0),EB501,9999)</f>
        <v>9999</v>
      </c>
      <c r="FB501" t="n">
        <v>2037</v>
      </c>
      <c r="FC501">
        <f>IF(FB501&lt;=RULE_START+$FB$38-1,1,0)</f>
        <v>1</v>
      </c>
      <c r="FD501" s="15">
        <f>IF(FB501=2024,G_IDX_2024,IF(FB501=2025,G_IDX_2025,IF(FB501=2026,G_IDX_2026,IF(FB501=2027,G_IDX_2027,$FB$13))))</f>
        <v>0.033</v>
      </c>
      <c r="FE501" s="8">
        <f>$FB$20*(1+G_HI)^(FB501-COST_DATE)</f>
        <v>776.2929368393998</v>
      </c>
      <c r="FF501" s="8">
        <f>FF500*(1+FD501)</f>
        <v>707.828460629657</v>
      </c>
      <c r="FG501" s="8">
        <f>IF(FB501&lt;RULE_START,FF501,FG500*(1+G_HI))</f>
        <v>763.7827542176923</v>
      </c>
      <c r="FH501" s="8">
        <f>IF(FB501&lt;RULE_START,FF501,IF(FI501=1,R_NF_2024*(1+G_HI)^(FB501-2024),FH500*(1+FD501)))</f>
        <v>798.4425006249992</v>
      </c>
      <c r="FI501">
        <f>IF(AND(FB501&gt;=RULE_START,MOD(FB501-RULE_START,REBASE_YEARS)=0),1,0)</f>
        <v>0</v>
      </c>
      <c r="FJ501" s="8">
        <f>FF501*CAP_SHARE</f>
        <v>34.610921067859714</v>
      </c>
      <c r="FK501" s="8">
        <f>FG501*CAP_SHARE</f>
        <v>37.34693656667222</v>
      </c>
      <c r="FL501" s="8">
        <f>FH501*CAP_SHARE</f>
        <v>39.04170558749996</v>
      </c>
      <c r="FM501" s="8">
        <f>FF501-FJ501-FE501</f>
        <v>-103.07539727760252</v>
      </c>
      <c r="FN501" s="8">
        <f>FG501-FK501-FE501</f>
        <v>-49.85711918837967</v>
      </c>
      <c r="FO501" s="8">
        <f>FH501-FL501-FE501</f>
        <v>-16.892141801900607</v>
      </c>
      <c r="FP501" s="8">
        <f>R_NF_2024*(1+G_HI)^(FB501-2024)</f>
        <v>803.9840788848401</v>
      </c>
      <c r="FQ501" s="10">
        <f>1-FF501/FP501</f>
        <v>0.11959890846166377</v>
      </c>
      <c r="FR501" s="10">
        <f>CPI_2023/(IF(FB501-1=2023,CPI_2023,IF(FB501-1=2024,CPI_2024,IF(FB501-1=2025,CPI_2025,CPI_2025*(1+INFL)^(FB501-1-2025)))))</f>
        <v>0.7290042309709498</v>
      </c>
      <c r="FS501" s="8">
        <f>$FB$21*ABS($FB$11)*(FG501-FF501)/FF501</f>
        <v>7880.9593199051815</v>
      </c>
      <c r="FT501" s="8">
        <f>$FB$21*ABS($FB$11)*(FH501-FF501)/FF501</f>
        <v>12762.658899303027</v>
      </c>
      <c r="FU501" s="13">
        <f>(FG501-FF501)*MCD_NF_DAYS*FR501-FS501*MCD_SHARE_FREED*R_WAIT_2023</f>
        <v>17907727.332583763</v>
      </c>
      <c r="FV501" s="13">
        <f>(FH501-FF501)*MCD_NF_DAYS*FR501-FT501*MCD_SHARE_FREED*R_WAIT_2023</f>
        <v>29000303.938917175</v>
      </c>
      <c r="FW501" s="10">
        <f>IF(AND(FB501&gt;=RULE_START,FC501=1),1/(1+$FB$12)^(FB501-RULE_START+1),0)</f>
        <v>0.8042630390932893</v>
      </c>
      <c r="FX501">
        <f>IF(AND(FB501&gt;=RULE_START,FC501=1,FM501&lt;0),FB501,9999)</f>
        <v>2037</v>
      </c>
      <c r="FY501">
        <f>IF(AND(FB501&gt;=RULE_START,FC501=1,FN501&lt;0),FB501,9999)</f>
        <v>2037</v>
      </c>
      <c r="FZ501">
        <f>IF(AND(FB501&gt;=RULE_START,FC501=1,FO501&lt;0),FB501,9999)</f>
        <v>2037</v>
      </c>
      <c r="GB501" t="n">
        <v>2037</v>
      </c>
      <c r="GC501">
        <f>IF(GB501&lt;=RULE_START+$GB$38-1,1,0)</f>
        <v>1</v>
      </c>
      <c r="GD501" s="15">
        <f>IF(GB501=2024,G_IDX_2024,IF(GB501=2025,G_IDX_2025,IF(GB501=2026,G_IDX_2026,IF(GB501=2027,G_IDX_2027,$GB$13))))</f>
        <v>0.033</v>
      </c>
      <c r="GE501" s="8">
        <f>$GB$20*(1+G_HI)^(GB501-COST_DATE)</f>
        <v>754.3179076028848</v>
      </c>
      <c r="GF501" s="8">
        <f>GF500*(1+GD501)</f>
        <v>707.828460629657</v>
      </c>
      <c r="GG501" s="8">
        <f>IF(GB501&lt;RULE_START,GF501,GG500*(1+G_HI))</f>
        <v>763.7827542176923</v>
      </c>
      <c r="GH501" s="8">
        <f>IF(GB501&lt;RULE_START,GF501,IF(GI501=1,R_NF_2024*(1+G_HI)^(GB501-2024),GH500*(1+GD501)))</f>
        <v>798.4425006249992</v>
      </c>
      <c r="GI501">
        <f>IF(AND(GB501&gt;=RULE_START,MOD(GB501-RULE_START,REBASE_YEARS)=0),1,0)</f>
        <v>0</v>
      </c>
      <c r="GJ501" s="8">
        <f>GF501*CAP_SHARE</f>
        <v>34.610921067859714</v>
      </c>
      <c r="GK501" s="8">
        <f>GG501*CAP_SHARE</f>
        <v>37.34693656667222</v>
      </c>
      <c r="GL501" s="8">
        <f>GH501*CAP_SHARE</f>
        <v>39.04170558749996</v>
      </c>
      <c r="GM501" s="8">
        <f>GF501-GJ501-GE501</f>
        <v>-81.10036804108756</v>
      </c>
      <c r="GN501" s="8">
        <f>GG501-GK501-GE501</f>
        <v>-27.882089951864714</v>
      </c>
      <c r="GO501" s="8">
        <f>GH501-GL501-GE501</f>
        <v>5.082887434614349</v>
      </c>
      <c r="GP501" s="8">
        <f>R_NF_2024*(1+G_HI)^(GB501-2024)</f>
        <v>803.9840788848401</v>
      </c>
      <c r="GQ501" s="10">
        <f>1-GF501/GP501</f>
        <v>0.11959890846166377</v>
      </c>
      <c r="GR501" s="10">
        <f>CPI_2023/(IF(GB501-1=2023,CPI_2023,IF(GB501-1=2024,CPI_2024,IF(GB501-1=2025,CPI_2025,CPI_2025*(1+INFL)^(GB501-1-2025)))))</f>
        <v>0.7290042309709498</v>
      </c>
      <c r="GS501" s="8">
        <f>$GB$21*ABS($GB$11)*(GG501-GF501)/GF501</f>
        <v>5948.942025374551</v>
      </c>
      <c r="GT501" s="8">
        <f>$GB$21*ABS($GB$11)*(GH501-GF501)/GF501</f>
        <v>9633.892880251253</v>
      </c>
      <c r="GU501" s="13">
        <f>(GG501-GF501)*MCD_NF_DAYS*GR501-GS501*MCD_SHARE_FREED*R_WAIT_2023</f>
        <v>18786251.784923214</v>
      </c>
      <c r="GV501" s="13">
        <f>(GH501-GF501)*MCD_NF_DAYS*GR501-GT501*MCD_SHARE_FREED*R_WAIT_2023</f>
        <v>30423012.452535078</v>
      </c>
      <c r="GW501" s="10">
        <f>IF(AND(GB501&gt;=RULE_START,GC501=1),1/(1+$GB$12)^(GB501-RULE_START+1),0)</f>
        <v>0.8042630390932893</v>
      </c>
      <c r="GX501">
        <f>IF(AND(GB501&gt;=RULE_START,GC501=1,GM501&lt;0),GB501,9999)</f>
        <v>2037</v>
      </c>
      <c r="GY501">
        <f>IF(AND(GB501&gt;=RULE_START,GC501=1,GN501&lt;0),GB501,9999)</f>
        <v>2037</v>
      </c>
      <c r="GZ501">
        <f>IF(AND(GB501&gt;=RULE_START,GC501=1,GO501&lt;0),GB501,9999)</f>
        <v>9999</v>
      </c>
      <c r="HB501" t="n">
        <v>2037</v>
      </c>
      <c r="HC501">
        <f>IF(HB501&lt;=RULE_START+$HB$38-1,1,0)</f>
        <v>1</v>
      </c>
      <c r="HD501" s="15">
        <f>IF(HB501=2024,G_IDX_2024,IF(HB501=2025,G_IDX_2025,IF(HB501=2026,G_IDX_2026,IF(HB501=2027,G_IDX_2027,$HB$13))))</f>
        <v>0.033</v>
      </c>
      <c r="HE501" s="8">
        <f>$HB$20*(1+G_HI)^(HB501-COST_DATE)</f>
        <v>754.3179076028848</v>
      </c>
      <c r="HF501" s="8">
        <f>HF500*(1+HD501)</f>
        <v>707.828460629657</v>
      </c>
      <c r="HG501" s="8">
        <f>IF(HB501&lt;RULE_START,HF501,HG500*(1+G_HI))</f>
        <v>763.7827542176923</v>
      </c>
      <c r="HH501" s="8">
        <f>IF(HB501&lt;RULE_START,HF501,IF(HI501=1,R_NF_2024*(1+G_HI)^(HB501-2024),HH500*(1+HD501)))</f>
        <v>798.4425006249992</v>
      </c>
      <c r="HI501">
        <f>IF(AND(HB501&gt;=RULE_START,MOD(HB501-RULE_START,REBASE_YEARS)=0),1,0)</f>
        <v>0</v>
      </c>
      <c r="HJ501" s="8">
        <f>HF501*CAP_SHARE</f>
        <v>34.610921067859714</v>
      </c>
      <c r="HK501" s="8">
        <f>HG501*CAP_SHARE</f>
        <v>37.34693656667222</v>
      </c>
      <c r="HL501" s="8">
        <f>HH501*CAP_SHARE</f>
        <v>39.04170558749996</v>
      </c>
      <c r="HM501" s="8">
        <f>HF501-HJ501-HE501</f>
        <v>-81.10036804108756</v>
      </c>
      <c r="HN501" s="8">
        <f>HG501-HK501-HE501</f>
        <v>-27.882089951864714</v>
      </c>
      <c r="HO501" s="8">
        <f>HH501-HL501-HE501</f>
        <v>5.082887434614349</v>
      </c>
      <c r="HP501" s="8">
        <f>R_NF_2024*(1+G_HI)^(HB501-2024)</f>
        <v>803.9840788848401</v>
      </c>
      <c r="HQ501" s="10">
        <f>1-HF501/HP501</f>
        <v>0.11959890846166377</v>
      </c>
      <c r="HR501" s="10">
        <f>CPI_2023/(IF(HB501-1=2023,CPI_2023,IF(HB501-1=2024,CPI_2024,IF(HB501-1=2025,CPI_2025,CPI_2025*(1+INFL)^(HB501-1-2025)))))</f>
        <v>0.7290042309709498</v>
      </c>
      <c r="HS501" s="8">
        <f>$HB$21*ABS($HB$11)*(HG501-HF501)/HF501</f>
        <v>7880.9593199051815</v>
      </c>
      <c r="HT501" s="8">
        <f>$HB$21*ABS($HB$11)*(HH501-HF501)/HF501</f>
        <v>12762.658899303027</v>
      </c>
      <c r="HU501" s="13">
        <f>(HG501-HF501)*MCD_NF_DAYS*HR501-HS501*MCD_SHARE_FREED*R_WAIT_2023</f>
        <v>17907727.332583763</v>
      </c>
      <c r="HV501" s="13">
        <f>(HH501-HF501)*MCD_NF_DAYS*HR501-HT501*MCD_SHARE_FREED*R_WAIT_2023</f>
        <v>29000303.938917175</v>
      </c>
      <c r="HW501" s="10">
        <f>IF(AND(HB501&gt;=RULE_START,HC501=1),1/(1+$HB$12)^(HB501-RULE_START+1),0)</f>
        <v>0.7224212765987621</v>
      </c>
      <c r="HX501">
        <f>IF(AND(HB501&gt;=RULE_START,HC501=1,HM501&lt;0),HB501,9999)</f>
        <v>2037</v>
      </c>
      <c r="HY501">
        <f>IF(AND(HB501&gt;=RULE_START,HC501=1,HN501&lt;0),HB501,9999)</f>
        <v>2037</v>
      </c>
      <c r="HZ501">
        <f>IF(AND(HB501&gt;=RULE_START,HC501=1,HO501&lt;0),HB501,9999)</f>
        <v>9999</v>
      </c>
      <c r="IB501" t="n">
        <v>2037</v>
      </c>
      <c r="IC501">
        <f>IF(IB501&lt;=RULE_START+$IB$38-1,1,0)</f>
        <v>1</v>
      </c>
      <c r="ID501" s="15">
        <f>IF(IB501=2024,G_IDX_2024,IF(IB501=2025,G_IDX_2025,IF(IB501=2026,G_IDX_2026,IF(IB501=2027,G_IDX_2027,$IB$13))))</f>
        <v>0.033</v>
      </c>
      <c r="IE501" s="8">
        <f>$IB$20*(1+G_HI)^(IB501-COST_DATE)</f>
        <v>754.3179076028848</v>
      </c>
      <c r="IF501" s="8">
        <f>IF500*(1+ID501)</f>
        <v>707.828460629657</v>
      </c>
      <c r="IG501" s="8">
        <f>IF(IB501&lt;RULE_START,IF501,IG500*(1+G_HI))</f>
        <v>763.7827542176923</v>
      </c>
      <c r="IH501" s="8">
        <f>IF(IB501&lt;RULE_START,IF501,IF(II501=1,R_NF_2024*(1+G_HI)^(IB501-2024),IH500*(1+ID501)))</f>
        <v>798.4425006249992</v>
      </c>
      <c r="II501">
        <f>IF(AND(IB501&gt;=RULE_START,MOD(IB501-RULE_START,REBASE_YEARS)=0),1,0)</f>
        <v>0</v>
      </c>
      <c r="IJ501" s="8">
        <f>IF501*CAP_SHARE</f>
        <v>34.610921067859714</v>
      </c>
      <c r="IK501" s="8">
        <f>IG501*CAP_SHARE</f>
        <v>37.34693656667222</v>
      </c>
      <c r="IL501" s="8">
        <f>IH501*CAP_SHARE</f>
        <v>39.04170558749996</v>
      </c>
      <c r="IM501" s="8">
        <f>IF501-IJ501-IE501</f>
        <v>-81.10036804108756</v>
      </c>
      <c r="IN501" s="8">
        <f>IG501-IK501-IE501</f>
        <v>-27.882089951864714</v>
      </c>
      <c r="IO501" s="8">
        <f>IH501-IL501-IE501</f>
        <v>5.082887434614349</v>
      </c>
      <c r="IP501" s="8">
        <f>R_NF_2024*(1+G_HI)^(IB501-2024)</f>
        <v>803.9840788848401</v>
      </c>
      <c r="IQ501" s="10">
        <f>1-IF501/IP501</f>
        <v>0.11959890846166377</v>
      </c>
      <c r="IR501" s="10">
        <f>CPI_2023/(IF(IB501-1=2023,CPI_2023,IF(IB501-1=2024,CPI_2024,IF(IB501-1=2025,CPI_2025,CPI_2025*(1+INFL)^(IB501-1-2025)))))</f>
        <v>0.7290042309709498</v>
      </c>
      <c r="IS501" s="8">
        <f>$IB$21*ABS($IB$11)*(IG501-IF501)/IF501</f>
        <v>7880.9593199051815</v>
      </c>
      <c r="IT501" s="8">
        <f>$IB$21*ABS($IB$11)*(IH501-IF501)/IF501</f>
        <v>12762.658899303027</v>
      </c>
      <c r="IU501" s="13">
        <f>(IG501-IF501)*MCD_NF_DAYS*IR501-IS501*MCD_SHARE_FREED*R_WAIT_2023</f>
        <v>17907727.332583763</v>
      </c>
      <c r="IV501" s="13">
        <f>(IH501-IF501)*MCD_NF_DAYS*IR501-IT501*MCD_SHARE_FREED*R_WAIT_2023</f>
        <v>29000303.938917175</v>
      </c>
      <c r="IW501" s="10">
        <f>IF(AND(IB501&gt;=RULE_START,IC501=1),1/(1+$IB$12)^(IB501-RULE_START+1),0)</f>
        <v>0.47509279638758645</v>
      </c>
      <c r="IX501">
        <f>IF(AND(IB501&gt;=RULE_START,IC501=1,IM501&lt;0),IB501,9999)</f>
        <v>2037</v>
      </c>
      <c r="IY501">
        <f>IF(AND(IB501&gt;=RULE_START,IC501=1,IN501&lt;0),IB501,9999)</f>
        <v>2037</v>
      </c>
      <c r="IZ501">
        <f>IF(AND(IB501&gt;=RULE_START,IC501=1,IO501&lt;0),IB501,9999)</f>
        <v>9999</v>
      </c>
      <c r="JB501" t="n">
        <v>2037</v>
      </c>
      <c r="JC501">
        <f>IF(JB501&lt;=RULE_START+$JB$38-1,1,0)</f>
        <v>1</v>
      </c>
      <c r="JD501" s="15">
        <f>IF(JB501=2024,G_IDX_2024,IF(JB501=2025,G_IDX_2025,IF(JB501=2026,G_IDX_2026,IF(JB501=2027,G_IDX_2027,$JB$13))))</f>
        <v>0.03</v>
      </c>
      <c r="JE501" s="8">
        <f>$JB$20*(1+G_HI)^(JB501-COST_DATE)</f>
        <v>754.3179076028848</v>
      </c>
      <c r="JF501" s="8">
        <f>JF500*(1+JD501)</f>
        <v>687.5385482368924</v>
      </c>
      <c r="JG501" s="8">
        <f>IF(JB501&lt;RULE_START,JF501,JG500*(1+G_HI))</f>
        <v>763.7827542176923</v>
      </c>
      <c r="JH501" s="8">
        <f>IF(JB501&lt;RULE_START,JF501,IF(JI501=1,R_NF_2024*(1+G_HI)^(JB501-2024),JH500*(1+JD501)))</f>
        <v>796.1236937499992</v>
      </c>
      <c r="JI501">
        <f>IF(AND(JB501&gt;=RULE_START,MOD(JB501-RULE_START,REBASE_YEARS)=0),1,0)</f>
        <v>0</v>
      </c>
      <c r="JJ501" s="8">
        <f>JF501*CAP_SHARE</f>
        <v>33.61879854756</v>
      </c>
      <c r="JK501" s="8">
        <f>JG501*CAP_SHARE</f>
        <v>37.34693656667222</v>
      </c>
      <c r="JL501" s="8">
        <f>JH501*CAP_SHARE</f>
        <v>38.928322124999966</v>
      </c>
      <c r="JM501" s="8">
        <f>JF501-JJ501-JE501</f>
        <v>-100.39815791355238</v>
      </c>
      <c r="JN501" s="8">
        <f>JG501-JK501-JE501</f>
        <v>-27.882089951864714</v>
      </c>
      <c r="JO501" s="8">
        <f>JH501-JL501-JE501</f>
        <v>2.877464022114509</v>
      </c>
      <c r="JP501" s="8">
        <f>R_NF_2024*(1+G_HI)^(JB501-2024)</f>
        <v>803.9840788848401</v>
      </c>
      <c r="JQ501" s="10">
        <f>1-JF501/JP501</f>
        <v>0.14483561765235764</v>
      </c>
      <c r="JR501" s="10">
        <f>CPI_2023/(IF(JB501-1=2023,CPI_2023,IF(JB501-1=2024,CPI_2024,IF(JB501-1=2025,CPI_2025,CPI_2025*(1+INFL)^(JB501-1-2025)))))</f>
        <v>0.7290042309709498</v>
      </c>
      <c r="JS501" s="8">
        <f>$JB$21*ABS($JB$11)*(JG501-JF501)/JF501</f>
        <v>11055.62966797076</v>
      </c>
      <c r="JT501" s="8">
        <f>$JB$21*ABS($JB$11)*(JH501-JF501)/JF501</f>
        <v>15745.159134294543</v>
      </c>
      <c r="JU501" s="13">
        <f>(JG501-JF501)*MCD_NF_DAYS*JR501-JS501*MCD_SHARE_FREED*R_WAIT_2023</f>
        <v>24257247.862493526</v>
      </c>
      <c r="JV501" s="13">
        <f>(JH501-JF501)*MCD_NF_DAYS*JR501-JT501*MCD_SHARE_FREED*R_WAIT_2023</f>
        <v>34546582.983101144</v>
      </c>
      <c r="JW501" s="10">
        <f>IF(AND(JB501&gt;=RULE_START,JC501=1),1/(1+$JB$12)^(JB501-RULE_START+1),0)</f>
        <v>0.8042630390932893</v>
      </c>
      <c r="JX501">
        <f>IF(AND(JB501&gt;=RULE_START,JC501=1,JM501&lt;0),JB501,9999)</f>
        <v>2037</v>
      </c>
      <c r="JY501">
        <f>IF(AND(JB501&gt;=RULE_START,JC501=1,JN501&lt;0),JB501,9999)</f>
        <v>2037</v>
      </c>
      <c r="JZ501">
        <f>IF(AND(JB501&gt;=RULE_START,JC501=1,JO501&lt;0),JB501,9999)</f>
        <v>9999</v>
      </c>
      <c r="KB501" t="n">
        <v>2037</v>
      </c>
      <c r="KC501">
        <f>IF(KB501&lt;=RULE_START+$KB$38-1,1,0)</f>
        <v>1</v>
      </c>
      <c r="KD501" s="15">
        <f>IF(KB501=2024,G_IDX_2024,IF(KB501=2025,G_IDX_2025,IF(KB501=2026,G_IDX_2026,IF(KB501=2027,G_IDX_2027,$KB$13))))</f>
        <v>0.033</v>
      </c>
      <c r="KE501" s="8">
        <f>$KB$20*(1+G_HI)^(KB501-COST_DATE)</f>
        <v>754.3179076028848</v>
      </c>
      <c r="KF501" s="8">
        <f>KF500*(1+KD501)</f>
        <v>707.828460629657</v>
      </c>
      <c r="KG501" s="8">
        <f>IF(KB501&lt;RULE_START,KF501,KG500*(1+G_HI))</f>
        <v>763.7827542176923</v>
      </c>
      <c r="KH501" s="8">
        <f>IF(KB501&lt;RULE_START,KF501,IF(KI501=1,R_NF_2024*(1+G_HI)^(KB501-2024),KH500*(1+KD501)))</f>
        <v>798.4425006249992</v>
      </c>
      <c r="KI501">
        <f>IF(AND(KB501&gt;=RULE_START,MOD(KB501-RULE_START,REBASE_YEARS)=0),1,0)</f>
        <v>0</v>
      </c>
      <c r="KJ501" s="8">
        <f>KF501*CAP_SHARE</f>
        <v>34.610921067859714</v>
      </c>
      <c r="KK501" s="8">
        <f>KG501*CAP_SHARE</f>
        <v>37.34693656667222</v>
      </c>
      <c r="KL501" s="8">
        <f>KH501*CAP_SHARE</f>
        <v>39.04170558749996</v>
      </c>
      <c r="KM501" s="8">
        <f>KF501-KJ501-KE501</f>
        <v>-81.10036804108756</v>
      </c>
      <c r="KN501" s="8">
        <f>KG501-KK501-KE501</f>
        <v>-27.882089951864714</v>
      </c>
      <c r="KO501" s="8">
        <f>KH501-KL501-KE501</f>
        <v>5.082887434614349</v>
      </c>
      <c r="KP501" s="8">
        <f>R_NF_2024*(1+G_HI)^(KB501-2024)</f>
        <v>803.9840788848401</v>
      </c>
      <c r="KQ501" s="10">
        <f>1-KF501/KP501</f>
        <v>0.11959890846166377</v>
      </c>
      <c r="KR501" s="10">
        <f>CPI_2023/(IF(KB501-1=2023,CPI_2023,IF(KB501-1=2024,CPI_2024,IF(KB501-1=2025,CPI_2025,CPI_2025*(1+INFL)^(KB501-1-2025)))))</f>
        <v>0.7290042309709498</v>
      </c>
      <c r="KS501" s="8">
        <f>$KB$21*ABS($KB$11)*(KG501-KF501)/KF501</f>
        <v>7880.9593199051815</v>
      </c>
      <c r="KT501" s="8">
        <f>$KB$21*ABS($KB$11)*(KH501-KF501)/KF501</f>
        <v>12762.658899303027</v>
      </c>
      <c r="KU501" s="13">
        <f>(KG501-KF501)*MCD_NF_DAYS*KR501-KS501*MCD_SHARE_FREED*R_WAIT_2023</f>
        <v>17907727.332583763</v>
      </c>
      <c r="KV501" s="13">
        <f>(KH501-KF501)*MCD_NF_DAYS*KR501-KT501*MCD_SHARE_FREED*R_WAIT_2023</f>
        <v>29000303.938917175</v>
      </c>
      <c r="KW501" s="10">
        <f>IF(AND(KB501&gt;=RULE_START,KC501=1),1/(1+$KB$12)^(KB501-RULE_START+1),0)</f>
        <v>0.8042630390932893</v>
      </c>
      <c r="KX501">
        <f>IF(AND(KB501&gt;=RULE_START,KC501=1,KM501&lt;0),KB501,9999)</f>
        <v>2037</v>
      </c>
      <c r="KY501">
        <f>IF(AND(KB501&gt;=RULE_START,KC501=1,KN501&lt;0),KB501,9999)</f>
        <v>2037</v>
      </c>
      <c r="KZ501">
        <f>IF(AND(KB501&gt;=RULE_START,KC501=1,KO501&lt;0),KB501,9999)</f>
        <v>9999</v>
      </c>
      <c r="LB501" t="n">
        <v>2037</v>
      </c>
      <c r="LC501">
        <f>IF(LB501&lt;=RULE_START+$LB$38-1,1,0)</f>
        <v>1</v>
      </c>
      <c r="LD501" s="15">
        <f>IF(LB501=2024,G_IDX_2024,IF(LB501=2025,G_IDX_2025,IF(LB501=2026,G_IDX_2026,IF(LB501=2027,G_IDX_2027,$LB$13))))</f>
        <v>0.033</v>
      </c>
      <c r="LE501" s="8">
        <f>$LB$20*(1+G_HI)^(LB501-COST_DATE)</f>
        <v>754.3179076028848</v>
      </c>
      <c r="LF501" s="8">
        <f>LF500*(1+LD501)</f>
        <v>707.828460629657</v>
      </c>
      <c r="LG501" s="8">
        <f>IF(LB501&lt;RULE_START,LF501,LG500*(1+G_HI))</f>
        <v>763.7827542176923</v>
      </c>
      <c r="LH501" s="8">
        <f>IF(LB501&lt;RULE_START,LF501,IF(LI501=1,R_NF_2024*(1+G_HI)^(LB501-2024),LH500*(1+LD501)))</f>
        <v>798.4425006249992</v>
      </c>
      <c r="LI501">
        <f>IF(AND(LB501&gt;=RULE_START,MOD(LB501-RULE_START,REBASE_YEARS)=0),1,0)</f>
        <v>0</v>
      </c>
      <c r="LJ501" s="8">
        <f>LF501*CAP_SHARE</f>
        <v>34.610921067859714</v>
      </c>
      <c r="LK501" s="8">
        <f>LG501*CAP_SHARE</f>
        <v>37.34693656667222</v>
      </c>
      <c r="LL501" s="8">
        <f>LH501*CAP_SHARE</f>
        <v>39.04170558749996</v>
      </c>
      <c r="LM501" s="8">
        <f>LF501-LJ501-LE501</f>
        <v>-81.10036804108756</v>
      </c>
      <c r="LN501" s="8">
        <f>LG501-LK501-LE501</f>
        <v>-27.882089951864714</v>
      </c>
      <c r="LO501" s="8">
        <f>LH501-LL501-LE501</f>
        <v>5.082887434614349</v>
      </c>
      <c r="LP501" s="8">
        <f>R_NF_2024*(1+G_HI)^(LB501-2024)</f>
        <v>803.9840788848401</v>
      </c>
      <c r="LQ501" s="10">
        <f>1-LF501/LP501</f>
        <v>0.11959890846166377</v>
      </c>
      <c r="LR501" s="10">
        <f>CPI_2023/(IF(LB501-1=2023,CPI_2023,IF(LB501-1=2024,CPI_2024,IF(LB501-1=2025,CPI_2025,CPI_2025*(1+INFL)^(LB501-1-2025)))))</f>
        <v>0.7290042309709498</v>
      </c>
      <c r="LS501" s="8">
        <f>$LB$21*ABS($LB$11)*(LG501-LF501)/LF501</f>
        <v>7880.9593199051815</v>
      </c>
      <c r="LT501" s="8">
        <f>$LB$21*ABS($LB$11)*(LH501-LF501)/LF501</f>
        <v>12762.658899303027</v>
      </c>
      <c r="LU501" s="13">
        <f>(LG501-LF501)*MCD_NF_DAYS*LR501-LS501*MCD_SHARE_FREED*R_WAIT_2023</f>
        <v>17907727.332583763</v>
      </c>
      <c r="LV501" s="13">
        <f>(LH501-LF501)*MCD_NF_DAYS*LR501-LT501*MCD_SHARE_FREED*R_WAIT_2023</f>
        <v>29000303.938917175</v>
      </c>
      <c r="LW501" s="10">
        <f>IF(AND(LB501&gt;=RULE_START,LC501=1),1/(1+$LB$12)^(LB501-RULE_START+1),0)</f>
        <v>0.8042630390932893</v>
      </c>
      <c r="LX501">
        <f>IF(AND(LB501&gt;=RULE_START,LC501=1,LM501&lt;0),LB501,9999)</f>
        <v>2037</v>
      </c>
      <c r="LY501">
        <f>IF(AND(LB501&gt;=RULE_START,LC501=1,LN501&lt;0),LB501,9999)</f>
        <v>2037</v>
      </c>
      <c r="LZ501">
        <f>IF(AND(LB501&gt;=RULE_START,LC501=1,LO501&lt;0),LB501,9999)</f>
        <v>9999</v>
      </c>
      <c r="MB501" t="n">
        <v>2037</v>
      </c>
      <c r="MC501">
        <f>IF(MB501&lt;=RULE_START+$MB$38-1,1,0)</f>
        <v>1</v>
      </c>
      <c r="MD501" s="15">
        <f>IF(MB501=2024,G_IDX_2024,IF(MB501=2025,G_IDX_2025,IF(MB501=2026,G_IDX_2026,IF(MB501=2027,G_IDX_2027,$MB$13))))</f>
        <v>0.033</v>
      </c>
      <c r="ME501" s="8">
        <f>$MB$20*(1+G_HI)^(MB501-COST_DATE)</f>
        <v>754.3179076028848</v>
      </c>
      <c r="MF501" s="8">
        <f>MF500*(1+MD501)</f>
        <v>707.828460629657</v>
      </c>
      <c r="MG501" s="8">
        <f>IF(MB501&lt;RULE_START,MF501,MG500*(1+G_HI))</f>
        <v>763.7827542176923</v>
      </c>
      <c r="MH501" s="8">
        <f>IF(MB501&lt;RULE_START,MF501,IF(MI501=1,R_NF_2024*(1+G_HI)^(MB501-2024),MH500*(1+MD501)))</f>
        <v>798.4425006249992</v>
      </c>
      <c r="MI501">
        <f>IF(AND(MB501&gt;=RULE_START,MOD(MB501-RULE_START,REBASE_YEARS)=0),1,0)</f>
        <v>0</v>
      </c>
      <c r="MJ501" s="8">
        <f>MF501*CAP_SHARE</f>
        <v>34.610921067859714</v>
      </c>
      <c r="MK501" s="8">
        <f>MG501*CAP_SHARE</f>
        <v>37.34693656667222</v>
      </c>
      <c r="ML501" s="8">
        <f>MH501*CAP_SHARE</f>
        <v>39.04170558749996</v>
      </c>
      <c r="MM501" s="8">
        <f>MF501-MJ501-ME501</f>
        <v>-81.10036804108756</v>
      </c>
      <c r="MN501" s="8">
        <f>MG501-MK501-ME501</f>
        <v>-27.882089951864714</v>
      </c>
      <c r="MO501" s="8">
        <f>MH501-ML501-ME501</f>
        <v>5.082887434614349</v>
      </c>
      <c r="MP501" s="8">
        <f>R_NF_2024*(1+G_HI)^(MB501-2024)</f>
        <v>803.9840788848401</v>
      </c>
      <c r="MQ501" s="10">
        <f>1-MF501/MP501</f>
        <v>0.11959890846166377</v>
      </c>
      <c r="MR501" s="10">
        <f>CPI_2023/(IF(MB501-1=2023,CPI_2023,IF(MB501-1=2024,CPI_2024,IF(MB501-1=2025,CPI_2025,CPI_2025*(1+INFL)^(MB501-1-2025)))))</f>
        <v>0.7290042309709498</v>
      </c>
      <c r="MS501" s="8">
        <f>$MB$21*ABS($MB$11)*(MG501-MF501)/MF501</f>
        <v>5773.509026301164</v>
      </c>
      <c r="MT501" s="8">
        <f>$MB$21*ABS($MB$11)*(MH501-MF501)/MF501</f>
        <v>9349.791486503378</v>
      </c>
      <c r="MU501" s="13">
        <f>(MG501-MF501)*MCD_NF_DAYS*MR501-MS501*MCD_SHARE_FREED*R_WAIT_2023</f>
        <v>18866024.45562835</v>
      </c>
      <c r="MV501" s="13">
        <f>(MH501-MF501)*MCD_NF_DAYS*MR501-MT501*MCD_SHARE_FREED*R_WAIT_2023</f>
        <v>30552198.6777608</v>
      </c>
      <c r="MW501" s="10">
        <f>IF(AND(MB501&gt;=RULE_START,MC501=1),1/(1+$MB$12)^(MB501-RULE_START+1),0)</f>
        <v>0.8042630390932893</v>
      </c>
      <c r="MX501">
        <f>IF(AND(MB501&gt;=RULE_START,MC501=1,MM501&lt;0),MB501,9999)</f>
        <v>2037</v>
      </c>
      <c r="MY501">
        <f>IF(AND(MB501&gt;=RULE_START,MC501=1,MN501&lt;0),MB501,9999)</f>
        <v>2037</v>
      </c>
      <c r="MZ501">
        <f>IF(AND(MB501&gt;=RULE_START,MC501=1,MO501&lt;0),MB501,9999)</f>
        <v>9999</v>
      </c>
      <c r="NB501" t="n">
        <v>2037</v>
      </c>
      <c r="NC501">
        <f>IF(NB501&lt;=RULE_START+$NB$38-1,1,0)</f>
        <v>1</v>
      </c>
      <c r="ND501" s="15">
        <f>IF(NB501=2024,G_IDX_2024,IF(NB501=2025,G_IDX_2025,IF(NB501=2026,G_IDX_2026,IF(NB501=2027,G_IDX_2027,$NB$13))))</f>
        <v>0.033</v>
      </c>
      <c r="NE501" s="8">
        <f>$NB$20*(1+G_HI)^(NB501-COST_DATE)</f>
        <v>754.3179076028848</v>
      </c>
      <c r="NF501" s="8">
        <f>NF500*(1+ND501)</f>
        <v>707.828460629657</v>
      </c>
      <c r="NG501" s="8">
        <f>IF(NB501&lt;RULE_START,NF501,NG500*(1+G_HI))</f>
        <v>763.7827542176923</v>
      </c>
      <c r="NH501" s="8">
        <f>IF(NB501&lt;RULE_START,NF501,IF(NI501=1,R_NF_2024*(1+G_HI)^(NB501-2024),NH500*(1+ND501)))</f>
        <v>798.4425006249992</v>
      </c>
      <c r="NI501">
        <f>IF(AND(NB501&gt;=RULE_START,MOD(NB501-RULE_START,REBASE_YEARS)=0),1,0)</f>
        <v>0</v>
      </c>
      <c r="NJ501" s="8">
        <f>NF501*CAP_SHARE</f>
        <v>34.610921067859714</v>
      </c>
      <c r="NK501" s="8">
        <f>NG501*CAP_SHARE</f>
        <v>37.34693656667222</v>
      </c>
      <c r="NL501" s="8">
        <f>NH501*CAP_SHARE</f>
        <v>39.04170558749996</v>
      </c>
      <c r="NM501" s="8">
        <f>NF501-NJ501-NE501</f>
        <v>-81.10036804108756</v>
      </c>
      <c r="NN501" s="8">
        <f>NG501-NK501-NE501</f>
        <v>-27.882089951864714</v>
      </c>
      <c r="NO501" s="8">
        <f>NH501-NL501-NE501</f>
        <v>5.082887434614349</v>
      </c>
      <c r="NP501" s="8">
        <f>R_NF_2024*(1+G_HI)^(NB501-2024)</f>
        <v>803.9840788848401</v>
      </c>
      <c r="NQ501" s="10">
        <f>1-NF501/NP501</f>
        <v>0.11959890846166377</v>
      </c>
      <c r="NR501" s="10">
        <f>CPI_2023/(IF(NB501-1=2023,CPI_2023,IF(NB501-1=2024,CPI_2024,IF(NB501-1=2025,CPI_2025,CPI_2025*(1+INFL)^(NB501-1-2025)))))</f>
        <v>0.7290042309709498</v>
      </c>
      <c r="NS501" s="8">
        <f>$NB$21*ABS($NB$11)*(NG501-NF501)/NF501</f>
        <v>7880.9593199051815</v>
      </c>
      <c r="NT501" s="8">
        <f>$NB$21*ABS($NB$11)*(NH501-NF501)/NF501</f>
        <v>12762.658899303027</v>
      </c>
      <c r="NU501" s="13">
        <f>(NG501-NF501)*MCD_NF_DAYS*NR501-NS501*MCD_SHARE_FREED*R_WAIT_2023</f>
        <v>17907727.332583763</v>
      </c>
      <c r="NV501" s="13">
        <f>(NH501-NF501)*MCD_NF_DAYS*NR501-NT501*MCD_SHARE_FREED*R_WAIT_2023</f>
        <v>29000303.938917175</v>
      </c>
      <c r="NW501" s="10">
        <f>IF(AND(NB501&gt;=RULE_START,NC501=1),1/(1+$NB$12)^(NB501-RULE_START+1),0)</f>
        <v>0.8042630390932893</v>
      </c>
      <c r="NX501">
        <f>IF(AND(NB501&gt;=RULE_START,NC501=1,NM501&lt;0),NB501,9999)</f>
        <v>2037</v>
      </c>
      <c r="NY501">
        <f>IF(AND(NB501&gt;=RULE_START,NC501=1,NN501&lt;0),NB501,9999)</f>
        <v>2037</v>
      </c>
      <c r="NZ501">
        <f>IF(AND(NB501&gt;=RULE_START,NC501=1,NO501&lt;0),NB501,9999)</f>
        <v>9999</v>
      </c>
      <c r="OB501" t="n">
        <v>2037</v>
      </c>
      <c r="OC501">
        <f>IF(OB501&lt;=RULE_START+$OB$38-1,1,0)</f>
        <v>1</v>
      </c>
      <c r="OD501" s="15">
        <f>IF(OB501=2024,G_IDX_2024,IF(OB501=2025,G_IDX_2025,IF(OB501=2026,G_IDX_2026,IF(OB501=2027,G_IDX_2027,$OB$13))))</f>
        <v>0.033</v>
      </c>
      <c r="OE501" s="8">
        <f>$OB$20*(1+G_HI)^(OB501-COST_DATE)</f>
        <v>754.3179076028848</v>
      </c>
      <c r="OF501" s="8">
        <f>OF500*(1+OD501)</f>
        <v>707.828460629657</v>
      </c>
      <c r="OG501" s="8">
        <f>IF(OB501&lt;RULE_START,OF501,OG500*(1+G_HI))</f>
        <v>763.7827542176923</v>
      </c>
      <c r="OH501" s="8">
        <f>IF(OB501&lt;RULE_START,OF501,IF(OI501=1,R_NF_2024*(1+G_HI)^(OB501-2024),OH500*(1+OD501)))</f>
        <v>798.4425006249992</v>
      </c>
      <c r="OI501">
        <f>IF(AND(OB501&gt;=RULE_START,MOD(OB501-RULE_START,REBASE_YEARS)=0),1,0)</f>
        <v>0</v>
      </c>
      <c r="OJ501" s="8">
        <f>OF501*CAP_SHARE</f>
        <v>34.610921067859714</v>
      </c>
      <c r="OK501" s="8">
        <f>OG501*CAP_SHARE</f>
        <v>37.34693656667222</v>
      </c>
      <c r="OL501" s="8">
        <f>OH501*CAP_SHARE</f>
        <v>39.04170558749996</v>
      </c>
      <c r="OM501" s="8">
        <f>OF501-OJ501-OE501</f>
        <v>-81.10036804108756</v>
      </c>
      <c r="ON501" s="8">
        <f>OG501-OK501-OE501</f>
        <v>-27.882089951864714</v>
      </c>
      <c r="OO501" s="8">
        <f>OH501-OL501-OE501</f>
        <v>5.082887434614349</v>
      </c>
      <c r="OP501" s="8">
        <f>R_NF_2024*(1+G_HI)^(OB501-2024)</f>
        <v>803.9840788848401</v>
      </c>
      <c r="OQ501" s="10">
        <f>1-OF501/OP501</f>
        <v>0.11959890846166377</v>
      </c>
      <c r="OR501" s="10">
        <f>CPI_2023/(IF(OB501-1=2023,CPI_2023,IF(OB501-1=2024,CPI_2024,IF(OB501-1=2025,CPI_2025,CPI_2025*(1+INFL)^(OB501-1-2025)))))</f>
        <v>0.7290042309709498</v>
      </c>
      <c r="OS501" s="8">
        <f>$OB$21*ABS($OB$11)*(OG501-OF501)/OF501</f>
        <v>7880.9593199051815</v>
      </c>
      <c r="OT501" s="8">
        <f>$OB$21*ABS($OB$11)*(OH501-OF501)/OF501</f>
        <v>12762.658899303027</v>
      </c>
      <c r="OU501" s="13">
        <f>(OG501-OF501)*MCD_NF_DAYS*OR501-OS501*MCD_SHARE_FREED*R_WAIT_2023</f>
        <v>17907727.332583763</v>
      </c>
      <c r="OV501" s="13">
        <f>(OH501-OF501)*MCD_NF_DAYS*OR501-OT501*MCD_SHARE_FREED*R_WAIT_2023</f>
        <v>29000303.938917175</v>
      </c>
      <c r="OW501" s="10">
        <f>IF(AND(OB501&gt;=RULE_START,OC501=1),1/(1+$OB$12)^(OB501-RULE_START+1),0)</f>
        <v>0.8042630390932893</v>
      </c>
      <c r="OX501">
        <f>IF(AND(OB501&gt;=RULE_START,OC501=1,OM501&lt;0),OB501,9999)</f>
        <v>2037</v>
      </c>
      <c r="OY501">
        <f>IF(AND(OB501&gt;=RULE_START,OC501=1,ON501&lt;0),OB501,9999)</f>
        <v>2037</v>
      </c>
      <c r="OZ501">
        <f>IF(AND(OB501&gt;=RULE_START,OC501=1,OO501&lt;0),OB501,9999)</f>
        <v>9999</v>
      </c>
    </row>
    <row r="502">
      <c r="B502" t="n">
        <v>2038</v>
      </c>
      <c r="C502">
        <f>IF(B502&lt;=RULE_START+$B$38-1,1,0)</f>
        <v>1</v>
      </c>
      <c r="D502" s="15">
        <f>IF(B502=2024,G_IDX_2024,IF(B502=2025,G_IDX_2025,IF(B502=2026,G_IDX_2026,IF(B502=2027,G_IDX_2027,$B$13))))</f>
        <v>0.033</v>
      </c>
      <c r="E502" s="8">
        <f>$B$20*(1+G_HI)^(B502-COST_DATE)</f>
        <v>784.6184966962103</v>
      </c>
      <c r="F502" s="8">
        <f>F501*(1+D502)</f>
        <v>731.1867998304356</v>
      </c>
      <c r="G502" s="8">
        <f>IF(B502&lt;RULE_START,F502,G501*(1+G_HI))</f>
        <v>794.4635416666661</v>
      </c>
      <c r="H502" s="8">
        <f>IF(B502&lt;RULE_START,F502,IF(I502=1,R_NF_2024*(1+G_HI)^(B502-2024),H501*(1+D502)))</f>
        <v>824.7911031456241</v>
      </c>
      <c r="I502">
        <f>IF(AND(B502&gt;=RULE_START,MOD(B502-RULE_START,REBASE_YEARS)=0),1,0)</f>
        <v>0</v>
      </c>
      <c r="J502" s="8">
        <f>F502*CAP_SHARE</f>
        <v>35.75308146309908</v>
      </c>
      <c r="K502" s="8">
        <f>G502*CAP_SHARE</f>
        <v>38.847145122501686</v>
      </c>
      <c r="L502" s="8">
        <f>H502*CAP_SHARE</f>
        <v>40.33008187188746</v>
      </c>
      <c r="M502" s="8">
        <f>F502-J502-E502</f>
        <v>-89.18477832887379</v>
      </c>
      <c r="N502" s="8">
        <f>G502-K502-E502</f>
        <v>-29.002100152045955</v>
      </c>
      <c r="O502" s="8">
        <f>H502-L502-E502</f>
        <v>-0.15747542247368074</v>
      </c>
      <c r="P502" s="8">
        <f>R_NF_2024*(1+G_HI)^(B502-2024)</f>
        <v>836.2797342926267</v>
      </c>
      <c r="Q502" s="10">
        <f>1-F502/P502</f>
        <v>0.12566720219650518</v>
      </c>
      <c r="R502" s="10">
        <f>CPI_2023/(IF(B502-1=2023,CPI_2023,IF(B502-1=2024,CPI_2024,IF(B502-1=2025,CPI_2025,CPI_2025*(1+INFL)^(B502-1-2025)))))</f>
        <v>0.7127534522594348</v>
      </c>
      <c r="S502" s="8">
        <f>$B$21*ABS($B$11)*(G502-F502)/F502</f>
        <v>8627.589156833426</v>
      </c>
      <c r="T502" s="8">
        <f>$B$21*ABS($B$11)*(H502-F502)/F502</f>
        <v>12762.658899303036</v>
      </c>
      <c r="U502" s="13">
        <f>(G502-F502)*MCD_NF_DAYS*R502-S502*MCD_SHARE_FREED*R_WAIT_2023</f>
        <v>19838907.544412013</v>
      </c>
      <c r="V502" s="13">
        <f>(H502-F502)*MCD_NF_DAYS*R502-T502*MCD_SHARE_FREED*R_WAIT_2023</f>
        <v>29347388.398020435</v>
      </c>
      <c r="W502" s="10">
        <f>IF(AND(B502&gt;=RULE_START,C502=1),1/(1+$B$12)^(B502-RULE_START+1),0)</f>
        <v>0.7884931755816562</v>
      </c>
      <c r="X502">
        <f>IF(AND(B502&gt;=RULE_START,C502=1,M502&lt;0),B502,9999)</f>
        <v>2038</v>
      </c>
      <c r="Y502">
        <f>IF(AND(B502&gt;=RULE_START,C502=1,N502&lt;0),B502,9999)</f>
        <v>2038</v>
      </c>
      <c r="Z502">
        <f>IF(AND(B502&gt;=RULE_START,C502=1,O502&lt;0),B502,9999)</f>
        <v>2038</v>
      </c>
      <c r="AB502" t="n">
        <v>2038</v>
      </c>
      <c r="AC502">
        <f>IF(AB502&lt;=RULE_START+$AB$38-1,1,0)</f>
        <v>1</v>
      </c>
      <c r="AD502" s="15">
        <f>IF(AB502=2024,G_IDX_2024,IF(AB502=2025,G_IDX_2025,IF(AB502=2026,G_IDX_2026,IF(AB502=2027,G_IDX_2027,$AB$13))))</f>
        <v>0.033</v>
      </c>
      <c r="AE502" s="8">
        <f>$AB$20*(1+G_HI)^(AB502-COST_DATE)</f>
        <v>784.6184966962103</v>
      </c>
      <c r="AF502" s="8">
        <f>AF501*(1+AD502)</f>
        <v>731.1867998304356</v>
      </c>
      <c r="AG502" s="8">
        <f>IF(AB502&lt;RULE_START,AF502,AG501*(1+G_HI))</f>
        <v>794.4635416666661</v>
      </c>
      <c r="AH502" s="8">
        <f>IF(AB502&lt;RULE_START,AF502,IF(AI502=1,R_NF_2024*(1+G_HI)^(AB502-2024),AH501*(1+AD502)))</f>
        <v>824.7911031456241</v>
      </c>
      <c r="AI502">
        <f>IF(AND(AB502&gt;=RULE_START,MOD(AB502-RULE_START,REBASE_YEARS)=0),1,0)</f>
        <v>0</v>
      </c>
      <c r="AJ502" s="8">
        <f>AF502*CAP_SHARE</f>
        <v>35.75308146309908</v>
      </c>
      <c r="AK502" s="8">
        <f>AG502*CAP_SHARE</f>
        <v>38.847145122501686</v>
      </c>
      <c r="AL502" s="8">
        <f>AH502*CAP_SHARE</f>
        <v>40.33008187188746</v>
      </c>
      <c r="AM502" s="8">
        <f>AF502-AJ502-AE502</f>
        <v>-89.18477832887379</v>
      </c>
      <c r="AN502" s="8">
        <f>AG502-AK502-AE502</f>
        <v>-29.002100152045955</v>
      </c>
      <c r="AO502" s="8">
        <f>AH502-AL502-AE502</f>
        <v>-0.15747542247368074</v>
      </c>
      <c r="AP502" s="8">
        <f>R_NF_2024*(1+G_HI)^(AB502-2024)</f>
        <v>836.2797342926267</v>
      </c>
      <c r="AQ502" s="10">
        <f>1-AF502/AP502</f>
        <v>0.12566720219650518</v>
      </c>
      <c r="AR502" s="10">
        <f>CPI_2023/(IF(AB502-1=2023,CPI_2023,IF(AB502-1=2024,CPI_2024,IF(AB502-1=2025,CPI_2025,CPI_2025*(1+INFL)^(AB502-1-2025)))))</f>
        <v>0.7127534522594348</v>
      </c>
      <c r="AS502" s="8">
        <f>$AB$21*ABS($AB$11)*(AG502-AF502)/AF502</f>
        <v>8627.589156833426</v>
      </c>
      <c r="AT502" s="8">
        <f>$AB$21*ABS($AB$11)*(AH502-AF502)/AF502</f>
        <v>12762.658899303036</v>
      </c>
      <c r="AU502" s="13">
        <f>(AG502-AF502)*MCD_NF_DAYS*AR502-AS502*MCD_SHARE_FREED*R_WAIT_2023</f>
        <v>19838907.544412013</v>
      </c>
      <c r="AV502" s="13">
        <f>(AH502-AF502)*MCD_NF_DAYS*AR502-AT502*MCD_SHARE_FREED*R_WAIT_2023</f>
        <v>29347388.398020435</v>
      </c>
      <c r="AW502" s="10">
        <f>IF(AND(AB502&gt;=RULE_START,AC502=1),1/(1+$AB$12)^(AB502-RULE_START+1),0)</f>
        <v>0.7884931755816562</v>
      </c>
      <c r="AX502">
        <f>IF(AND(AB502&gt;=RULE_START,AC502=1,AM502&lt;0),AB502,9999)</f>
        <v>2038</v>
      </c>
      <c r="AY502">
        <f>IF(AND(AB502&gt;=RULE_START,AC502=1,AN502&lt;0),AB502,9999)</f>
        <v>2038</v>
      </c>
      <c r="AZ502">
        <f>IF(AND(AB502&gt;=RULE_START,AC502=1,AO502&lt;0),AB502,9999)</f>
        <v>2038</v>
      </c>
      <c r="BB502" t="n">
        <v>2038</v>
      </c>
      <c r="BC502">
        <f>IF(BB502&lt;=RULE_START+$BB$38-1,1,0)</f>
        <v>1</v>
      </c>
      <c r="BD502" s="15">
        <f>IF(BB502=2024,G_IDX_2024,IF(BB502=2025,G_IDX_2025,IF(BB502=2026,G_IDX_2026,IF(BB502=2027,G_IDX_2027,$BB$13))))</f>
        <v>0.033</v>
      </c>
      <c r="BE502" s="8">
        <f>$BB$20*(1+G_HI)^(BB502-COST_DATE)</f>
        <v>784.6184966962103</v>
      </c>
      <c r="BF502" s="8">
        <f>BF501*(1+BD502)</f>
        <v>731.1867998304356</v>
      </c>
      <c r="BG502" s="8">
        <f>IF(BB502&lt;RULE_START,BF502,BG501*(1+G_HI))</f>
        <v>794.4635416666661</v>
      </c>
      <c r="BH502" s="8">
        <f>IF(BB502&lt;RULE_START,BF502,IF(BI502=1,R_NF_2024*(1+G_HI)^(BB502-2024),BH501*(1+BD502)))</f>
        <v>824.7911031456241</v>
      </c>
      <c r="BI502">
        <f>IF(AND(BB502&gt;=RULE_START,MOD(BB502-RULE_START,REBASE_YEARS)=0),1,0)</f>
        <v>0</v>
      </c>
      <c r="BJ502" s="8">
        <f>BF502*CAP_SHARE</f>
        <v>35.75308146309908</v>
      </c>
      <c r="BK502" s="8">
        <f>BG502*CAP_SHARE</f>
        <v>38.847145122501686</v>
      </c>
      <c r="BL502" s="8">
        <f>BH502*CAP_SHARE</f>
        <v>40.33008187188746</v>
      </c>
      <c r="BM502" s="8">
        <f>BF502-BJ502-BE502</f>
        <v>-89.18477832887379</v>
      </c>
      <c r="BN502" s="8">
        <f>BG502-BK502-BE502</f>
        <v>-29.002100152045955</v>
      </c>
      <c r="BO502" s="8">
        <f>BH502-BL502-BE502</f>
        <v>-0.15747542247368074</v>
      </c>
      <c r="BP502" s="8">
        <f>R_NF_2024*(1+G_HI)^(BB502-2024)</f>
        <v>836.2797342926267</v>
      </c>
      <c r="BQ502" s="10">
        <f>1-BF502/BP502</f>
        <v>0.12566720219650518</v>
      </c>
      <c r="BR502" s="10">
        <f>CPI_2023/(IF(BB502-1=2023,CPI_2023,IF(BB502-1=2024,CPI_2024,IF(BB502-1=2025,CPI_2025,CPI_2025*(1+INFL)^(BB502-1-2025)))))</f>
        <v>0.7127534522594348</v>
      </c>
      <c r="BS502" s="8">
        <f>$BB$21*ABS($BB$11)*(BG502-BF502)/BF502</f>
        <v>8627.589156833426</v>
      </c>
      <c r="BT502" s="8">
        <f>$BB$21*ABS($BB$11)*(BH502-BF502)/BF502</f>
        <v>12762.658899303036</v>
      </c>
      <c r="BU502" s="13">
        <f>(BG502-BF502)*MCD_NF_DAYS*BR502-BS502*MCD_SHARE_FREED*R_WAIT_2023</f>
        <v>19838907.544412013</v>
      </c>
      <c r="BV502" s="13">
        <f>(BH502-BF502)*MCD_NF_DAYS*BR502-BT502*MCD_SHARE_FREED*R_WAIT_2023</f>
        <v>29347388.398020435</v>
      </c>
      <c r="BW502" s="10">
        <f>IF(AND(BB502&gt;=RULE_START,BC502=1),1/(1+$BB$12)^(BB502-RULE_START+1),0)</f>
        <v>0.7884931755816562</v>
      </c>
      <c r="BX502">
        <f>IF(AND(BB502&gt;=RULE_START,BC502=1,BM502&lt;0),BB502,9999)</f>
        <v>2038</v>
      </c>
      <c r="BY502">
        <f>IF(AND(BB502&gt;=RULE_START,BC502=1,BN502&lt;0),BB502,9999)</f>
        <v>2038</v>
      </c>
      <c r="BZ502">
        <f>IF(AND(BB502&gt;=RULE_START,BC502=1,BO502&lt;0),BB502,9999)</f>
        <v>2038</v>
      </c>
      <c r="CB502" t="n">
        <v>2038</v>
      </c>
      <c r="CC502">
        <f>IF(CB502&lt;=RULE_START+$CB$38-1,1,0)</f>
        <v>1</v>
      </c>
      <c r="CD502" s="15">
        <f>IF(CB502=2024,G_IDX_2024,IF(CB502=2025,G_IDX_2025,IF(CB502=2026,G_IDX_2026,IF(CB502=2027,G_IDX_2027,$CB$13))))</f>
        <v>0.033</v>
      </c>
      <c r="CE502" s="8">
        <f>$CB$20*(1+G_HI)^(CB502-COST_DATE)</f>
        <v>784.6184966962103</v>
      </c>
      <c r="CF502" s="8">
        <f>CF501*(1+CD502)</f>
        <v>731.1867998304356</v>
      </c>
      <c r="CG502" s="8">
        <f>IF(CB502&lt;RULE_START,CF502,CG501*(1+G_HI))</f>
        <v>794.4635416666661</v>
      </c>
      <c r="CH502" s="8">
        <f>IF(CB502&lt;RULE_START,CF502,IF(CI502=1,R_NF_2024*(1+G_HI)^(CB502-2024),CH501*(1+CD502)))</f>
        <v>824.7911031456241</v>
      </c>
      <c r="CI502">
        <f>IF(AND(CB502&gt;=RULE_START,MOD(CB502-RULE_START,REBASE_YEARS)=0),1,0)</f>
        <v>0</v>
      </c>
      <c r="CJ502" s="8">
        <f>CF502*CAP_SHARE</f>
        <v>35.75308146309908</v>
      </c>
      <c r="CK502" s="8">
        <f>CG502*CAP_SHARE</f>
        <v>38.847145122501686</v>
      </c>
      <c r="CL502" s="8">
        <f>CH502*CAP_SHARE</f>
        <v>40.33008187188746</v>
      </c>
      <c r="CM502" s="8">
        <f>CF502-CJ502-CE502</f>
        <v>-89.18477832887379</v>
      </c>
      <c r="CN502" s="8">
        <f>CG502-CK502-CE502</f>
        <v>-29.002100152045955</v>
      </c>
      <c r="CO502" s="8">
        <f>CH502-CL502-CE502</f>
        <v>-0.15747542247368074</v>
      </c>
      <c r="CP502" s="8">
        <f>R_NF_2024*(1+G_HI)^(CB502-2024)</f>
        <v>836.2797342926267</v>
      </c>
      <c r="CQ502" s="10">
        <f>1-CF502/CP502</f>
        <v>0.12566720219650518</v>
      </c>
      <c r="CR502" s="10">
        <f>CPI_2023/(IF(CB502-1=2023,CPI_2023,IF(CB502-1=2024,CPI_2024,IF(CB502-1=2025,CPI_2025,CPI_2025*(1+INFL)^(CB502-1-2025)))))</f>
        <v>0.7127534522594348</v>
      </c>
      <c r="CS502" s="8">
        <f>$CB$21*ABS($CB$11)*(CG502-CF502)/CF502</f>
        <v>8627.589156833426</v>
      </c>
      <c r="CT502" s="8">
        <f>$CB$21*ABS($CB$11)*(CH502-CF502)/CF502</f>
        <v>12762.658899303036</v>
      </c>
      <c r="CU502" s="13">
        <f>(CG502-CF502)*MCD_NF_DAYS*CR502-CS502*MCD_SHARE_FREED*R_WAIT_2023</f>
        <v>19838907.544412013</v>
      </c>
      <c r="CV502" s="13">
        <f>(CH502-CF502)*MCD_NF_DAYS*CR502-CT502*MCD_SHARE_FREED*R_WAIT_2023</f>
        <v>29347388.398020435</v>
      </c>
      <c r="CW502" s="10">
        <f>IF(AND(CB502&gt;=RULE_START,CC502=1),1/(1+$CB$12)^(CB502-RULE_START+1),0)</f>
        <v>0.7884931755816562</v>
      </c>
      <c r="CX502">
        <f>IF(AND(CB502&gt;=RULE_START,CC502=1,CM502&lt;0),CB502,9999)</f>
        <v>2038</v>
      </c>
      <c r="CY502">
        <f>IF(AND(CB502&gt;=RULE_START,CC502=1,CN502&lt;0),CB502,9999)</f>
        <v>2038</v>
      </c>
      <c r="CZ502">
        <f>IF(AND(CB502&gt;=RULE_START,CC502=1,CO502&lt;0),CB502,9999)</f>
        <v>2038</v>
      </c>
      <c r="DB502" t="n">
        <v>2038</v>
      </c>
      <c r="DC502">
        <f>IF(DB502&lt;=RULE_START+$DB$38-1,1,0)</f>
        <v>1</v>
      </c>
      <c r="DD502" s="15">
        <f>IF(DB502=2024,G_IDX_2024,IF(DB502=2025,G_IDX_2025,IF(DB502=2026,G_IDX_2026,IF(DB502=2027,G_IDX_2027,$DB$13))))</f>
        <v>0.033</v>
      </c>
      <c r="DE502" s="8">
        <f>$DB$20*(1+G_HI)^(DB502-COST_DATE)</f>
        <v>784.6184966962103</v>
      </c>
      <c r="DF502" s="8">
        <f>DF501*(1+DD502)</f>
        <v>731.1867998304356</v>
      </c>
      <c r="DG502" s="8">
        <f>IF(DB502&lt;RULE_START,DF502,DG501*(1+G_HI))</f>
        <v>794.4635416666661</v>
      </c>
      <c r="DH502" s="8">
        <f>IF(DB502&lt;RULE_START,DF502,IF(DI502=1,R_NF_2024*(1+G_HI)^(DB502-2024),DH501*(1+DD502)))</f>
        <v>824.7911031456241</v>
      </c>
      <c r="DI502">
        <f>IF(AND(DB502&gt;=RULE_START,MOD(DB502-RULE_START,REBASE_YEARS)=0),1,0)</f>
        <v>0</v>
      </c>
      <c r="DJ502" s="8">
        <f>DF502*CAP_SHARE</f>
        <v>35.75308146309908</v>
      </c>
      <c r="DK502" s="8">
        <f>DG502*CAP_SHARE</f>
        <v>38.847145122501686</v>
      </c>
      <c r="DL502" s="8">
        <f>DH502*CAP_SHARE</f>
        <v>40.33008187188746</v>
      </c>
      <c r="DM502" s="8">
        <f>DF502-DJ502-DE502</f>
        <v>-89.18477832887379</v>
      </c>
      <c r="DN502" s="8">
        <f>DG502-DK502-DE502</f>
        <v>-29.002100152045955</v>
      </c>
      <c r="DO502" s="8">
        <f>DH502-DL502-DE502</f>
        <v>-0.15747542247368074</v>
      </c>
      <c r="DP502" s="8">
        <f>R_NF_2024*(1+G_HI)^(DB502-2024)</f>
        <v>836.2797342926267</v>
      </c>
      <c r="DQ502" s="10">
        <f>1-DF502/DP502</f>
        <v>0.12566720219650518</v>
      </c>
      <c r="DR502" s="10">
        <f>CPI_2023/(IF(DB502-1=2023,CPI_2023,IF(DB502-1=2024,CPI_2024,IF(DB502-1=2025,CPI_2025,CPI_2025*(1+INFL)^(DB502-1-2025)))))</f>
        <v>0.7127534522594348</v>
      </c>
      <c r="DS502" s="8">
        <f>$DB$21*ABS($DB$11)*(DG502-DF502)/DF502</f>
        <v>8627.589156833426</v>
      </c>
      <c r="DT502" s="8">
        <f>$DB$21*ABS($DB$11)*(DH502-DF502)/DF502</f>
        <v>12762.658899303036</v>
      </c>
      <c r="DU502" s="13">
        <f>(DG502-DF502)*MCD_NF_DAYS*DR502-DS502*MCD_SHARE_FREED*R_WAIT_2023</f>
        <v>19838907.544412013</v>
      </c>
      <c r="DV502" s="13">
        <f>(DH502-DF502)*MCD_NF_DAYS*DR502-DT502*MCD_SHARE_FREED*R_WAIT_2023</f>
        <v>29347388.398020435</v>
      </c>
      <c r="DW502" s="10">
        <f>IF(AND(DB502&gt;=RULE_START,DC502=1),1/(1+$DB$12)^(DB502-RULE_START+1),0)</f>
        <v>0.7884931755816562</v>
      </c>
      <c r="DX502">
        <f>IF(AND(DB502&gt;=RULE_START,DC502=1,DM502&lt;0),DB502,9999)</f>
        <v>2038</v>
      </c>
      <c r="DY502">
        <f>IF(AND(DB502&gt;=RULE_START,DC502=1,DN502&lt;0),DB502,9999)</f>
        <v>2038</v>
      </c>
      <c r="DZ502">
        <f>IF(AND(DB502&gt;=RULE_START,DC502=1,DO502&lt;0),DB502,9999)</f>
        <v>2038</v>
      </c>
      <c r="EB502" t="n">
        <v>2038</v>
      </c>
      <c r="EC502">
        <f>IF(EB502&lt;=RULE_START+$EB$38-1,1,0)</f>
        <v>1</v>
      </c>
      <c r="ED502" s="15">
        <f>IF(EB502=2024,G_IDX_2024,IF(EB502=2025,G_IDX_2025,IF(EB502=2026,G_IDX_2026,IF(EB502=2027,G_IDX_2027,$EB$13))))</f>
        <v>0.033</v>
      </c>
      <c r="EE502" s="8">
        <f>$EB$20*(1+G_HI)^(EB502-COST_DATE)</f>
        <v>784.6184966962103</v>
      </c>
      <c r="EF502" s="8">
        <f>EF501*(1+ED502)</f>
        <v>731.1867998304356</v>
      </c>
      <c r="EG502" s="8">
        <f>IF(EB502&lt;RULE_START,EF502,EG501*(1+G_HI))</f>
        <v>794.4635416666661</v>
      </c>
      <c r="EH502" s="8">
        <f>IF(EB502&lt;RULE_START,EF502,IF(EI502=1,R_NF_2024*(1+G_HI)^(EB502-2024),EH501*(1+ED502)))</f>
        <v>824.7911031456241</v>
      </c>
      <c r="EI502">
        <f>IF(AND(EB502&gt;=RULE_START,MOD(EB502-RULE_START,REBASE_YEARS)=0),1,0)</f>
        <v>0</v>
      </c>
      <c r="EJ502" s="8">
        <f>EF502*CAP_SHARE</f>
        <v>35.75308146309908</v>
      </c>
      <c r="EK502" s="8">
        <f>EG502*CAP_SHARE</f>
        <v>38.847145122501686</v>
      </c>
      <c r="EL502" s="8">
        <f>EH502*CAP_SHARE</f>
        <v>40.33008187188746</v>
      </c>
      <c r="EM502" s="8">
        <f>EF502-EJ502-EE502</f>
        <v>-89.18477832887379</v>
      </c>
      <c r="EN502" s="8">
        <f>EG502-EK502-EE502</f>
        <v>-29.002100152045955</v>
      </c>
      <c r="EO502" s="8">
        <f>EH502-EL502-EE502</f>
        <v>-0.15747542247368074</v>
      </c>
      <c r="EP502" s="8">
        <f>R_NF_2024*(1+G_HI)^(EB502-2024)</f>
        <v>836.2797342926267</v>
      </c>
      <c r="EQ502" s="10">
        <f>1-EF502/EP502</f>
        <v>0.12566720219650518</v>
      </c>
      <c r="ER502" s="10">
        <f>CPI_2023/(IF(EB502-1=2023,CPI_2023,IF(EB502-1=2024,CPI_2024,IF(EB502-1=2025,CPI_2025,CPI_2025*(1+INFL)^(EB502-1-2025)))))</f>
        <v>0.7127534522594348</v>
      </c>
      <c r="ES502" s="8">
        <f>$EB$21*ABS($EB$11)*(EG502-EF502)/EF502</f>
        <v>8627.589156833426</v>
      </c>
      <c r="ET502" s="8">
        <f>$EB$21*ABS($EB$11)*(EH502-EF502)/EF502</f>
        <v>12762.658899303036</v>
      </c>
      <c r="EU502" s="13">
        <f>(EG502-EF502)*MCD_NF_DAYS*ER502-ES502*MCD_SHARE_FREED*R_WAIT_2023</f>
        <v>19838907.544412013</v>
      </c>
      <c r="EV502" s="13">
        <f>(EH502-EF502)*MCD_NF_DAYS*ER502-ET502*MCD_SHARE_FREED*R_WAIT_2023</f>
        <v>29347388.398020435</v>
      </c>
      <c r="EW502" s="10">
        <f>IF(AND(EB502&gt;=RULE_START,EC502=1),1/(1+$EB$12)^(EB502-RULE_START+1),0)</f>
        <v>0.7884931755816562</v>
      </c>
      <c r="EX502">
        <f>IF(AND(EB502&gt;=RULE_START,EC502=1,EM502&lt;0),EB502,9999)</f>
        <v>2038</v>
      </c>
      <c r="EY502">
        <f>IF(AND(EB502&gt;=RULE_START,EC502=1,EN502&lt;0),EB502,9999)</f>
        <v>2038</v>
      </c>
      <c r="EZ502">
        <f>IF(AND(EB502&gt;=RULE_START,EC502=1,EO502&lt;0),EB502,9999)</f>
        <v>2038</v>
      </c>
      <c r="FB502" t="n">
        <v>2038</v>
      </c>
      <c r="FC502">
        <f>IF(FB502&lt;=RULE_START+$FB$38-1,1,0)</f>
        <v>1</v>
      </c>
      <c r="FD502" s="15">
        <f>IF(FB502=2024,G_IDX_2024,IF(FB502=2025,G_IDX_2025,IF(FB502=2026,G_IDX_2026,IF(FB502=2027,G_IDX_2027,$FB$13))))</f>
        <v>0.033</v>
      </c>
      <c r="FE502" s="8">
        <f>$FB$20*(1+G_HI)^(FB502-COST_DATE)</f>
        <v>807.4762523329582</v>
      </c>
      <c r="FF502" s="8">
        <f>FF501*(1+FD502)</f>
        <v>731.1867998304356</v>
      </c>
      <c r="FG502" s="8">
        <f>IF(FB502&lt;RULE_START,FF502,FG501*(1+G_HI))</f>
        <v>794.4635416666661</v>
      </c>
      <c r="FH502" s="8">
        <f>IF(FB502&lt;RULE_START,FF502,IF(FI502=1,R_NF_2024*(1+G_HI)^(FB502-2024),FH501*(1+FD502)))</f>
        <v>824.7911031456241</v>
      </c>
      <c r="FI502">
        <f>IF(AND(FB502&gt;=RULE_START,MOD(FB502-RULE_START,REBASE_YEARS)=0),1,0)</f>
        <v>0</v>
      </c>
      <c r="FJ502" s="8">
        <f>FF502*CAP_SHARE</f>
        <v>35.75308146309908</v>
      </c>
      <c r="FK502" s="8">
        <f>FG502*CAP_SHARE</f>
        <v>38.847145122501686</v>
      </c>
      <c r="FL502" s="8">
        <f>FH502*CAP_SHARE</f>
        <v>40.33008187188746</v>
      </c>
      <c r="FM502" s="8">
        <f>FF502-FJ502-FE502</f>
        <v>-112.04253396562171</v>
      </c>
      <c r="FN502" s="8">
        <f>FG502-FK502-FE502</f>
        <v>-51.85985578879388</v>
      </c>
      <c r="FO502" s="8">
        <f>FH502-FL502-FE502</f>
        <v>-23.015231059221605</v>
      </c>
      <c r="FP502" s="8">
        <f>R_NF_2024*(1+G_HI)^(FB502-2024)</f>
        <v>836.2797342926267</v>
      </c>
      <c r="FQ502" s="10">
        <f>1-FF502/FP502</f>
        <v>0.12566720219650518</v>
      </c>
      <c r="FR502" s="10">
        <f>CPI_2023/(IF(FB502-1=2023,CPI_2023,IF(FB502-1=2024,CPI_2024,IF(FB502-1=2025,CPI_2025,CPI_2025*(1+INFL)^(FB502-1-2025)))))</f>
        <v>0.7127534522594348</v>
      </c>
      <c r="FS502" s="8">
        <f>$FB$21*ABS($FB$11)*(FG502-FF502)/FF502</f>
        <v>8627.589156833426</v>
      </c>
      <c r="FT502" s="8">
        <f>$FB$21*ABS($FB$11)*(FH502-FF502)/FF502</f>
        <v>12762.658899303036</v>
      </c>
      <c r="FU502" s="13">
        <f>(FG502-FF502)*MCD_NF_DAYS*FR502-FS502*MCD_SHARE_FREED*R_WAIT_2023</f>
        <v>19838907.544412013</v>
      </c>
      <c r="FV502" s="13">
        <f>(FH502-FF502)*MCD_NF_DAYS*FR502-FT502*MCD_SHARE_FREED*R_WAIT_2023</f>
        <v>29347388.398020435</v>
      </c>
      <c r="FW502" s="10">
        <f>IF(AND(FB502&gt;=RULE_START,FC502=1),1/(1+$FB$12)^(FB502-RULE_START+1),0)</f>
        <v>0.7884931755816562</v>
      </c>
      <c r="FX502">
        <f>IF(AND(FB502&gt;=RULE_START,FC502=1,FM502&lt;0),FB502,9999)</f>
        <v>2038</v>
      </c>
      <c r="FY502">
        <f>IF(AND(FB502&gt;=RULE_START,FC502=1,FN502&lt;0),FB502,9999)</f>
        <v>2038</v>
      </c>
      <c r="FZ502">
        <f>IF(AND(FB502&gt;=RULE_START,FC502=1,FO502&lt;0),FB502,9999)</f>
        <v>2038</v>
      </c>
      <c r="GB502" t="n">
        <v>2038</v>
      </c>
      <c r="GC502">
        <f>IF(GB502&lt;=RULE_START+$GB$38-1,1,0)</f>
        <v>1</v>
      </c>
      <c r="GD502" s="15">
        <f>IF(GB502=2024,G_IDX_2024,IF(GB502=2025,G_IDX_2025,IF(GB502=2026,G_IDX_2026,IF(GB502=2027,G_IDX_2027,$GB$13))))</f>
        <v>0.033</v>
      </c>
      <c r="GE502" s="8">
        <f>$GB$20*(1+G_HI)^(GB502-COST_DATE)</f>
        <v>784.6184966962103</v>
      </c>
      <c r="GF502" s="8">
        <f>GF501*(1+GD502)</f>
        <v>731.1867998304356</v>
      </c>
      <c r="GG502" s="8">
        <f>IF(GB502&lt;RULE_START,GF502,GG501*(1+G_HI))</f>
        <v>794.4635416666661</v>
      </c>
      <c r="GH502" s="8">
        <f>IF(GB502&lt;RULE_START,GF502,IF(GI502=1,R_NF_2024*(1+G_HI)^(GB502-2024),GH501*(1+GD502)))</f>
        <v>824.7911031456241</v>
      </c>
      <c r="GI502">
        <f>IF(AND(GB502&gt;=RULE_START,MOD(GB502-RULE_START,REBASE_YEARS)=0),1,0)</f>
        <v>0</v>
      </c>
      <c r="GJ502" s="8">
        <f>GF502*CAP_SHARE</f>
        <v>35.75308146309908</v>
      </c>
      <c r="GK502" s="8">
        <f>GG502*CAP_SHARE</f>
        <v>38.847145122501686</v>
      </c>
      <c r="GL502" s="8">
        <f>GH502*CAP_SHARE</f>
        <v>40.33008187188746</v>
      </c>
      <c r="GM502" s="8">
        <f>GF502-GJ502-GE502</f>
        <v>-89.18477832887379</v>
      </c>
      <c r="GN502" s="8">
        <f>GG502-GK502-GE502</f>
        <v>-29.002100152045955</v>
      </c>
      <c r="GO502" s="8">
        <f>GH502-GL502-GE502</f>
        <v>-0.15747542247368074</v>
      </c>
      <c r="GP502" s="8">
        <f>R_NF_2024*(1+G_HI)^(GB502-2024)</f>
        <v>836.2797342926267</v>
      </c>
      <c r="GQ502" s="10">
        <f>1-GF502/GP502</f>
        <v>0.12566720219650518</v>
      </c>
      <c r="GR502" s="10">
        <f>CPI_2023/(IF(GB502-1=2023,CPI_2023,IF(GB502-1=2024,CPI_2024,IF(GB502-1=2025,CPI_2025,CPI_2025*(1+INFL)^(GB502-1-2025)))))</f>
        <v>0.7127534522594348</v>
      </c>
      <c r="GS502" s="8">
        <f>$GB$21*ABS($GB$11)*(GG502-GF502)/GF502</f>
        <v>6512.535546671197</v>
      </c>
      <c r="GT502" s="8">
        <f>$GB$21*ABS($GB$11)*(GH502-GF502)/GF502</f>
        <v>9633.89288025126</v>
      </c>
      <c r="GU502" s="13">
        <f>(GG502-GF502)*MCD_NF_DAYS*GR502-GS502*MCD_SHARE_FREED*R_WAIT_2023</f>
        <v>20800662.03791295</v>
      </c>
      <c r="GV502" s="13">
        <f>(GH502-GF502)*MCD_NF_DAYS*GR502-GT502*MCD_SHARE_FREED*R_WAIT_2023</f>
        <v>30770096.911638334</v>
      </c>
      <c r="GW502" s="10">
        <f>IF(AND(GB502&gt;=RULE_START,GC502=1),1/(1+$GB$12)^(GB502-RULE_START+1),0)</f>
        <v>0.7884931755816562</v>
      </c>
      <c r="GX502">
        <f>IF(AND(GB502&gt;=RULE_START,GC502=1,GM502&lt;0),GB502,9999)</f>
        <v>2038</v>
      </c>
      <c r="GY502">
        <f>IF(AND(GB502&gt;=RULE_START,GC502=1,GN502&lt;0),GB502,9999)</f>
        <v>2038</v>
      </c>
      <c r="GZ502">
        <f>IF(AND(GB502&gt;=RULE_START,GC502=1,GO502&lt;0),GB502,9999)</f>
        <v>2038</v>
      </c>
      <c r="HB502" t="n">
        <v>2038</v>
      </c>
      <c r="HC502">
        <f>IF(HB502&lt;=RULE_START+$HB$38-1,1,0)</f>
        <v>1</v>
      </c>
      <c r="HD502" s="15">
        <f>IF(HB502=2024,G_IDX_2024,IF(HB502=2025,G_IDX_2025,IF(HB502=2026,G_IDX_2026,IF(HB502=2027,G_IDX_2027,$HB$13))))</f>
        <v>0.033</v>
      </c>
      <c r="HE502" s="8">
        <f>$HB$20*(1+G_HI)^(HB502-COST_DATE)</f>
        <v>784.6184966962103</v>
      </c>
      <c r="HF502" s="8">
        <f>HF501*(1+HD502)</f>
        <v>731.1867998304356</v>
      </c>
      <c r="HG502" s="8">
        <f>IF(HB502&lt;RULE_START,HF502,HG501*(1+G_HI))</f>
        <v>794.4635416666661</v>
      </c>
      <c r="HH502" s="8">
        <f>IF(HB502&lt;RULE_START,HF502,IF(HI502=1,R_NF_2024*(1+G_HI)^(HB502-2024),HH501*(1+HD502)))</f>
        <v>824.7911031456241</v>
      </c>
      <c r="HI502">
        <f>IF(AND(HB502&gt;=RULE_START,MOD(HB502-RULE_START,REBASE_YEARS)=0),1,0)</f>
        <v>0</v>
      </c>
      <c r="HJ502" s="8">
        <f>HF502*CAP_SHARE</f>
        <v>35.75308146309908</v>
      </c>
      <c r="HK502" s="8">
        <f>HG502*CAP_SHARE</f>
        <v>38.847145122501686</v>
      </c>
      <c r="HL502" s="8">
        <f>HH502*CAP_SHARE</f>
        <v>40.33008187188746</v>
      </c>
      <c r="HM502" s="8">
        <f>HF502-HJ502-HE502</f>
        <v>-89.18477832887379</v>
      </c>
      <c r="HN502" s="8">
        <f>HG502-HK502-HE502</f>
        <v>-29.002100152045955</v>
      </c>
      <c r="HO502" s="8">
        <f>HH502-HL502-HE502</f>
        <v>-0.15747542247368074</v>
      </c>
      <c r="HP502" s="8">
        <f>R_NF_2024*(1+G_HI)^(HB502-2024)</f>
        <v>836.2797342926267</v>
      </c>
      <c r="HQ502" s="10">
        <f>1-HF502/HP502</f>
        <v>0.12566720219650518</v>
      </c>
      <c r="HR502" s="10">
        <f>CPI_2023/(IF(HB502-1=2023,CPI_2023,IF(HB502-1=2024,CPI_2024,IF(HB502-1=2025,CPI_2025,CPI_2025*(1+INFL)^(HB502-1-2025)))))</f>
        <v>0.7127534522594348</v>
      </c>
      <c r="HS502" s="8">
        <f>$HB$21*ABS($HB$11)*(HG502-HF502)/HF502</f>
        <v>8627.589156833426</v>
      </c>
      <c r="HT502" s="8">
        <f>$HB$21*ABS($HB$11)*(HH502-HF502)/HF502</f>
        <v>12762.658899303036</v>
      </c>
      <c r="HU502" s="13">
        <f>(HG502-HF502)*MCD_NF_DAYS*HR502-HS502*MCD_SHARE_FREED*R_WAIT_2023</f>
        <v>19838907.544412013</v>
      </c>
      <c r="HV502" s="13">
        <f>(HH502-HF502)*MCD_NF_DAYS*HR502-HT502*MCD_SHARE_FREED*R_WAIT_2023</f>
        <v>29347388.398020435</v>
      </c>
      <c r="HW502" s="10">
        <f>IF(AND(HB502&gt;=RULE_START,HC502=1),1/(1+$HB$12)^(HB502-RULE_START+1),0)</f>
        <v>0.7013798801929729</v>
      </c>
      <c r="HX502">
        <f>IF(AND(HB502&gt;=RULE_START,HC502=1,HM502&lt;0),HB502,9999)</f>
        <v>2038</v>
      </c>
      <c r="HY502">
        <f>IF(AND(HB502&gt;=RULE_START,HC502=1,HN502&lt;0),HB502,9999)</f>
        <v>2038</v>
      </c>
      <c r="HZ502">
        <f>IF(AND(HB502&gt;=RULE_START,HC502=1,HO502&lt;0),HB502,9999)</f>
        <v>2038</v>
      </c>
      <c r="IB502" t="n">
        <v>2038</v>
      </c>
      <c r="IC502">
        <f>IF(IB502&lt;=RULE_START+$IB$38-1,1,0)</f>
        <v>1</v>
      </c>
      <c r="ID502" s="15">
        <f>IF(IB502=2024,G_IDX_2024,IF(IB502=2025,G_IDX_2025,IF(IB502=2026,G_IDX_2026,IF(IB502=2027,G_IDX_2027,$IB$13))))</f>
        <v>0.033</v>
      </c>
      <c r="IE502" s="8">
        <f>$IB$20*(1+G_HI)^(IB502-COST_DATE)</f>
        <v>784.6184966962103</v>
      </c>
      <c r="IF502" s="8">
        <f>IF501*(1+ID502)</f>
        <v>731.1867998304356</v>
      </c>
      <c r="IG502" s="8">
        <f>IF(IB502&lt;RULE_START,IF502,IG501*(1+G_HI))</f>
        <v>794.4635416666661</v>
      </c>
      <c r="IH502" s="8">
        <f>IF(IB502&lt;RULE_START,IF502,IF(II502=1,R_NF_2024*(1+G_HI)^(IB502-2024),IH501*(1+ID502)))</f>
        <v>824.7911031456241</v>
      </c>
      <c r="II502">
        <f>IF(AND(IB502&gt;=RULE_START,MOD(IB502-RULE_START,REBASE_YEARS)=0),1,0)</f>
        <v>0</v>
      </c>
      <c r="IJ502" s="8">
        <f>IF502*CAP_SHARE</f>
        <v>35.75308146309908</v>
      </c>
      <c r="IK502" s="8">
        <f>IG502*CAP_SHARE</f>
        <v>38.847145122501686</v>
      </c>
      <c r="IL502" s="8">
        <f>IH502*CAP_SHARE</f>
        <v>40.33008187188746</v>
      </c>
      <c r="IM502" s="8">
        <f>IF502-IJ502-IE502</f>
        <v>-89.18477832887379</v>
      </c>
      <c r="IN502" s="8">
        <f>IG502-IK502-IE502</f>
        <v>-29.002100152045955</v>
      </c>
      <c r="IO502" s="8">
        <f>IH502-IL502-IE502</f>
        <v>-0.15747542247368074</v>
      </c>
      <c r="IP502" s="8">
        <f>R_NF_2024*(1+G_HI)^(IB502-2024)</f>
        <v>836.2797342926267</v>
      </c>
      <c r="IQ502" s="10">
        <f>1-IF502/IP502</f>
        <v>0.12566720219650518</v>
      </c>
      <c r="IR502" s="10">
        <f>CPI_2023/(IF(IB502-1=2023,CPI_2023,IF(IB502-1=2024,CPI_2024,IF(IB502-1=2025,CPI_2025,CPI_2025*(1+INFL)^(IB502-1-2025)))))</f>
        <v>0.7127534522594348</v>
      </c>
      <c r="IS502" s="8">
        <f>$IB$21*ABS($IB$11)*(IG502-IF502)/IF502</f>
        <v>8627.589156833426</v>
      </c>
      <c r="IT502" s="8">
        <f>$IB$21*ABS($IB$11)*(IH502-IF502)/IF502</f>
        <v>12762.658899303036</v>
      </c>
      <c r="IU502" s="13">
        <f>(IG502-IF502)*MCD_NF_DAYS*IR502-IS502*MCD_SHARE_FREED*R_WAIT_2023</f>
        <v>19838907.544412013</v>
      </c>
      <c r="IV502" s="13">
        <f>(IH502-IF502)*MCD_NF_DAYS*IR502-IT502*MCD_SHARE_FREED*R_WAIT_2023</f>
        <v>29347388.398020435</v>
      </c>
      <c r="IW502" s="10">
        <f>IF(AND(IB502&gt;=RULE_START,IC502=1),1/(1+$IB$12)^(IB502-RULE_START+1),0)</f>
        <v>0.444011959240735</v>
      </c>
      <c r="IX502">
        <f>IF(AND(IB502&gt;=RULE_START,IC502=1,IM502&lt;0),IB502,9999)</f>
        <v>2038</v>
      </c>
      <c r="IY502">
        <f>IF(AND(IB502&gt;=RULE_START,IC502=1,IN502&lt;0),IB502,9999)</f>
        <v>2038</v>
      </c>
      <c r="IZ502">
        <f>IF(AND(IB502&gt;=RULE_START,IC502=1,IO502&lt;0),IB502,9999)</f>
        <v>2038</v>
      </c>
      <c r="JB502" t="n">
        <v>2038</v>
      </c>
      <c r="JC502">
        <f>IF(JB502&lt;=RULE_START+$JB$38-1,1,0)</f>
        <v>1</v>
      </c>
      <c r="JD502" s="15">
        <f>IF(JB502=2024,G_IDX_2024,IF(JB502=2025,G_IDX_2025,IF(JB502=2026,G_IDX_2026,IF(JB502=2027,G_IDX_2027,$JB$13))))</f>
        <v>0.03</v>
      </c>
      <c r="JE502" s="8">
        <f>$JB$20*(1+G_HI)^(JB502-COST_DATE)</f>
        <v>784.6184966962103</v>
      </c>
      <c r="JF502" s="8">
        <f>JF501*(1+JD502)</f>
        <v>708.1647046839993</v>
      </c>
      <c r="JG502" s="8">
        <f>IF(JB502&lt;RULE_START,JF502,JG501*(1+G_HI))</f>
        <v>794.4635416666661</v>
      </c>
      <c r="JH502" s="8">
        <f>IF(JB502&lt;RULE_START,JF502,IF(JI502=1,R_NF_2024*(1+G_HI)^(JB502-2024),JH501*(1+JD502)))</f>
        <v>820.0074045624992</v>
      </c>
      <c r="JI502">
        <f>IF(AND(JB502&gt;=RULE_START,MOD(JB502-RULE_START,REBASE_YEARS)=0),1,0)</f>
        <v>0</v>
      </c>
      <c r="JJ502" s="8">
        <f>JF502*CAP_SHARE</f>
        <v>34.6273625039868</v>
      </c>
      <c r="JK502" s="8">
        <f>JG502*CAP_SHARE</f>
        <v>38.847145122501686</v>
      </c>
      <c r="JL502" s="8">
        <f>JH502*CAP_SHARE</f>
        <v>40.09617178874996</v>
      </c>
      <c r="JM502" s="8">
        <f>JF502-JJ502-JE502</f>
        <v>-111.08115451619778</v>
      </c>
      <c r="JN502" s="8">
        <f>JG502-JK502-JE502</f>
        <v>-29.002100152045955</v>
      </c>
      <c r="JO502" s="8">
        <f>JH502-JL502-JE502</f>
        <v>-4.707263922461038</v>
      </c>
      <c r="JP502" s="8">
        <f>R_NF_2024*(1+G_HI)^(JB502-2024)</f>
        <v>836.2797342926267</v>
      </c>
      <c r="JQ502" s="10">
        <f>1-JF502/JP502</f>
        <v>0.15319638197019625</v>
      </c>
      <c r="JR502" s="10">
        <f>CPI_2023/(IF(JB502-1=2023,CPI_2023,IF(JB502-1=2024,CPI_2024,IF(JB502-1=2025,CPI_2025,CPI_2025*(1+INFL)^(JB502-1-2025)))))</f>
        <v>0.7127534522594348</v>
      </c>
      <c r="JS502" s="8">
        <f>$JB$21*ABS($JB$11)*(JG502-JF502)/JF502</f>
        <v>12149.106941022954</v>
      </c>
      <c r="JT502" s="8">
        <f>$JB$21*ABS($JB$11)*(JH502-JF502)/JF502</f>
        <v>15745.159134294534</v>
      </c>
      <c r="JU502" s="13">
        <f>(JG502-JF502)*MCD_NF_DAYS*JR502-JS502*MCD_SHARE_FREED*R_WAIT_2023</f>
        <v>26882992.627516784</v>
      </c>
      <c r="JV502" s="13">
        <f>(JH502-JF502)*MCD_NF_DAYS*JR502-JT502*MCD_SHARE_FREED*R_WAIT_2023</f>
        <v>34840173.76594749</v>
      </c>
      <c r="JW502" s="10">
        <f>IF(AND(JB502&gt;=RULE_START,JC502=1),1/(1+$JB$12)^(JB502-RULE_START+1),0)</f>
        <v>0.7884931755816562</v>
      </c>
      <c r="JX502">
        <f>IF(AND(JB502&gt;=RULE_START,JC502=1,JM502&lt;0),JB502,9999)</f>
        <v>2038</v>
      </c>
      <c r="JY502">
        <f>IF(AND(JB502&gt;=RULE_START,JC502=1,JN502&lt;0),JB502,9999)</f>
        <v>2038</v>
      </c>
      <c r="JZ502">
        <f>IF(AND(JB502&gt;=RULE_START,JC502=1,JO502&lt;0),JB502,9999)</f>
        <v>2038</v>
      </c>
      <c r="KB502" t="n">
        <v>2038</v>
      </c>
      <c r="KC502">
        <f>IF(KB502&lt;=RULE_START+$KB$38-1,1,0)</f>
        <v>1</v>
      </c>
      <c r="KD502" s="15">
        <f>IF(KB502=2024,G_IDX_2024,IF(KB502=2025,G_IDX_2025,IF(KB502=2026,G_IDX_2026,IF(KB502=2027,G_IDX_2027,$KB$13))))</f>
        <v>0.033</v>
      </c>
      <c r="KE502" s="8">
        <f>$KB$20*(1+G_HI)^(KB502-COST_DATE)</f>
        <v>784.6184966962103</v>
      </c>
      <c r="KF502" s="8">
        <f>KF501*(1+KD502)</f>
        <v>731.1867998304356</v>
      </c>
      <c r="KG502" s="8">
        <f>IF(KB502&lt;RULE_START,KF502,KG501*(1+G_HI))</f>
        <v>794.4635416666661</v>
      </c>
      <c r="KH502" s="8">
        <f>IF(KB502&lt;RULE_START,KF502,IF(KI502=1,R_NF_2024*(1+G_HI)^(KB502-2024),KH501*(1+KD502)))</f>
        <v>824.7911031456241</v>
      </c>
      <c r="KI502">
        <f>IF(AND(KB502&gt;=RULE_START,MOD(KB502-RULE_START,REBASE_YEARS)=0),1,0)</f>
        <v>0</v>
      </c>
      <c r="KJ502" s="8">
        <f>KF502*CAP_SHARE</f>
        <v>35.75308146309908</v>
      </c>
      <c r="KK502" s="8">
        <f>KG502*CAP_SHARE</f>
        <v>38.847145122501686</v>
      </c>
      <c r="KL502" s="8">
        <f>KH502*CAP_SHARE</f>
        <v>40.33008187188746</v>
      </c>
      <c r="KM502" s="8">
        <f>KF502-KJ502-KE502</f>
        <v>-89.18477832887379</v>
      </c>
      <c r="KN502" s="8">
        <f>KG502-KK502-KE502</f>
        <v>-29.002100152045955</v>
      </c>
      <c r="KO502" s="8">
        <f>KH502-KL502-KE502</f>
        <v>-0.15747542247368074</v>
      </c>
      <c r="KP502" s="8">
        <f>R_NF_2024*(1+G_HI)^(KB502-2024)</f>
        <v>836.2797342926267</v>
      </c>
      <c r="KQ502" s="10">
        <f>1-KF502/KP502</f>
        <v>0.12566720219650518</v>
      </c>
      <c r="KR502" s="10">
        <f>CPI_2023/(IF(KB502-1=2023,CPI_2023,IF(KB502-1=2024,CPI_2024,IF(KB502-1=2025,CPI_2025,CPI_2025*(1+INFL)^(KB502-1-2025)))))</f>
        <v>0.7127534522594348</v>
      </c>
      <c r="KS502" s="8">
        <f>$KB$21*ABS($KB$11)*(KG502-KF502)/KF502</f>
        <v>8627.589156833426</v>
      </c>
      <c r="KT502" s="8">
        <f>$KB$21*ABS($KB$11)*(KH502-KF502)/KF502</f>
        <v>12762.658899303036</v>
      </c>
      <c r="KU502" s="13">
        <f>(KG502-KF502)*MCD_NF_DAYS*KR502-KS502*MCD_SHARE_FREED*R_WAIT_2023</f>
        <v>19838907.544412013</v>
      </c>
      <c r="KV502" s="13">
        <f>(KH502-KF502)*MCD_NF_DAYS*KR502-KT502*MCD_SHARE_FREED*R_WAIT_2023</f>
        <v>29347388.398020435</v>
      </c>
      <c r="KW502" s="10">
        <f>IF(AND(KB502&gt;=RULE_START,KC502=1),1/(1+$KB$12)^(KB502-RULE_START+1),0)</f>
        <v>0.7884931755816562</v>
      </c>
      <c r="KX502">
        <f>IF(AND(KB502&gt;=RULE_START,KC502=1,KM502&lt;0),KB502,9999)</f>
        <v>2038</v>
      </c>
      <c r="KY502">
        <f>IF(AND(KB502&gt;=RULE_START,KC502=1,KN502&lt;0),KB502,9999)</f>
        <v>2038</v>
      </c>
      <c r="KZ502">
        <f>IF(AND(KB502&gt;=RULE_START,KC502=1,KO502&lt;0),KB502,9999)</f>
        <v>2038</v>
      </c>
      <c r="LB502" t="n">
        <v>2038</v>
      </c>
      <c r="LC502">
        <f>IF(LB502&lt;=RULE_START+$LB$38-1,1,0)</f>
        <v>1</v>
      </c>
      <c r="LD502" s="15">
        <f>IF(LB502=2024,G_IDX_2024,IF(LB502=2025,G_IDX_2025,IF(LB502=2026,G_IDX_2026,IF(LB502=2027,G_IDX_2027,$LB$13))))</f>
        <v>0.033</v>
      </c>
      <c r="LE502" s="8">
        <f>$LB$20*(1+G_HI)^(LB502-COST_DATE)</f>
        <v>784.6184966962103</v>
      </c>
      <c r="LF502" s="8">
        <f>LF501*(1+LD502)</f>
        <v>731.1867998304356</v>
      </c>
      <c r="LG502" s="8">
        <f>IF(LB502&lt;RULE_START,LF502,LG501*(1+G_HI))</f>
        <v>794.4635416666661</v>
      </c>
      <c r="LH502" s="8">
        <f>IF(LB502&lt;RULE_START,LF502,IF(LI502=1,R_NF_2024*(1+G_HI)^(LB502-2024),LH501*(1+LD502)))</f>
        <v>824.7911031456241</v>
      </c>
      <c r="LI502">
        <f>IF(AND(LB502&gt;=RULE_START,MOD(LB502-RULE_START,REBASE_YEARS)=0),1,0)</f>
        <v>0</v>
      </c>
      <c r="LJ502" s="8">
        <f>LF502*CAP_SHARE</f>
        <v>35.75308146309908</v>
      </c>
      <c r="LK502" s="8">
        <f>LG502*CAP_SHARE</f>
        <v>38.847145122501686</v>
      </c>
      <c r="LL502" s="8">
        <f>LH502*CAP_SHARE</f>
        <v>40.33008187188746</v>
      </c>
      <c r="LM502" s="8">
        <f>LF502-LJ502-LE502</f>
        <v>-89.18477832887379</v>
      </c>
      <c r="LN502" s="8">
        <f>LG502-LK502-LE502</f>
        <v>-29.002100152045955</v>
      </c>
      <c r="LO502" s="8">
        <f>LH502-LL502-LE502</f>
        <v>-0.15747542247368074</v>
      </c>
      <c r="LP502" s="8">
        <f>R_NF_2024*(1+G_HI)^(LB502-2024)</f>
        <v>836.2797342926267</v>
      </c>
      <c r="LQ502" s="10">
        <f>1-LF502/LP502</f>
        <v>0.12566720219650518</v>
      </c>
      <c r="LR502" s="10">
        <f>CPI_2023/(IF(LB502-1=2023,CPI_2023,IF(LB502-1=2024,CPI_2024,IF(LB502-1=2025,CPI_2025,CPI_2025*(1+INFL)^(LB502-1-2025)))))</f>
        <v>0.7127534522594348</v>
      </c>
      <c r="LS502" s="8">
        <f>$LB$21*ABS($LB$11)*(LG502-LF502)/LF502</f>
        <v>8627.589156833426</v>
      </c>
      <c r="LT502" s="8">
        <f>$LB$21*ABS($LB$11)*(LH502-LF502)/LF502</f>
        <v>12762.658899303036</v>
      </c>
      <c r="LU502" s="13">
        <f>(LG502-LF502)*MCD_NF_DAYS*LR502-LS502*MCD_SHARE_FREED*R_WAIT_2023</f>
        <v>19838907.544412013</v>
      </c>
      <c r="LV502" s="13">
        <f>(LH502-LF502)*MCD_NF_DAYS*LR502-LT502*MCD_SHARE_FREED*R_WAIT_2023</f>
        <v>29347388.398020435</v>
      </c>
      <c r="LW502" s="10">
        <f>IF(AND(LB502&gt;=RULE_START,LC502=1),1/(1+$LB$12)^(LB502-RULE_START+1),0)</f>
        <v>0.7884931755816562</v>
      </c>
      <c r="LX502">
        <f>IF(AND(LB502&gt;=RULE_START,LC502=1,LM502&lt;0),LB502,9999)</f>
        <v>2038</v>
      </c>
      <c r="LY502">
        <f>IF(AND(LB502&gt;=RULE_START,LC502=1,LN502&lt;0),LB502,9999)</f>
        <v>2038</v>
      </c>
      <c r="LZ502">
        <f>IF(AND(LB502&gt;=RULE_START,LC502=1,LO502&lt;0),LB502,9999)</f>
        <v>2038</v>
      </c>
      <c r="MB502" t="n">
        <v>2038</v>
      </c>
      <c r="MC502">
        <f>IF(MB502&lt;=RULE_START+$MB$38-1,1,0)</f>
        <v>1</v>
      </c>
      <c r="MD502" s="15">
        <f>IF(MB502=2024,G_IDX_2024,IF(MB502=2025,G_IDX_2025,IF(MB502=2026,G_IDX_2026,IF(MB502=2027,G_IDX_2027,$MB$13))))</f>
        <v>0.033</v>
      </c>
      <c r="ME502" s="8">
        <f>$MB$20*(1+G_HI)^(MB502-COST_DATE)</f>
        <v>784.6184966962103</v>
      </c>
      <c r="MF502" s="8">
        <f>MF501*(1+MD502)</f>
        <v>731.1867998304356</v>
      </c>
      <c r="MG502" s="8">
        <f>IF(MB502&lt;RULE_START,MF502,MG501*(1+G_HI))</f>
        <v>794.4635416666661</v>
      </c>
      <c r="MH502" s="8">
        <f>IF(MB502&lt;RULE_START,MF502,IF(MI502=1,R_NF_2024*(1+G_HI)^(MB502-2024),MH501*(1+MD502)))</f>
        <v>824.7911031456241</v>
      </c>
      <c r="MI502">
        <f>IF(AND(MB502&gt;=RULE_START,MOD(MB502-RULE_START,REBASE_YEARS)=0),1,0)</f>
        <v>0</v>
      </c>
      <c r="MJ502" s="8">
        <f>MF502*CAP_SHARE</f>
        <v>35.75308146309908</v>
      </c>
      <c r="MK502" s="8">
        <f>MG502*CAP_SHARE</f>
        <v>38.847145122501686</v>
      </c>
      <c r="ML502" s="8">
        <f>MH502*CAP_SHARE</f>
        <v>40.33008187188746</v>
      </c>
      <c r="MM502" s="8">
        <f>MF502-MJ502-ME502</f>
        <v>-89.18477832887379</v>
      </c>
      <c r="MN502" s="8">
        <f>MG502-MK502-ME502</f>
        <v>-29.002100152045955</v>
      </c>
      <c r="MO502" s="8">
        <f>MH502-ML502-ME502</f>
        <v>-0.15747542247368074</v>
      </c>
      <c r="MP502" s="8">
        <f>R_NF_2024*(1+G_HI)^(MB502-2024)</f>
        <v>836.2797342926267</v>
      </c>
      <c r="MQ502" s="10">
        <f>1-MF502/MP502</f>
        <v>0.12566720219650518</v>
      </c>
      <c r="MR502" s="10">
        <f>CPI_2023/(IF(MB502-1=2023,CPI_2023,IF(MB502-1=2024,CPI_2024,IF(MB502-1=2025,CPI_2025,CPI_2025*(1+INFL)^(MB502-1-2025)))))</f>
        <v>0.7127534522594348</v>
      </c>
      <c r="MS502" s="8">
        <f>$MB$21*ABS($MB$11)*(MG502-MF502)/MF502</f>
        <v>6320.482297933641</v>
      </c>
      <c r="MT502" s="8">
        <f>$MB$21*ABS($MB$11)*(MH502-MF502)/MF502</f>
        <v>9349.791486503384</v>
      </c>
      <c r="MU502" s="13">
        <f>(MG502-MF502)*MCD_NF_DAYS*MR502-MS502*MCD_SHARE_FREED*R_WAIT_2023</f>
        <v>20887992.24745342</v>
      </c>
      <c r="MV502" s="13">
        <f>(MH502-MF502)*MCD_NF_DAYS*MR502-MT502*MCD_SHARE_FREED*R_WAIT_2023</f>
        <v>30899283.13686406</v>
      </c>
      <c r="MW502" s="10">
        <f>IF(AND(MB502&gt;=RULE_START,MC502=1),1/(1+$MB$12)^(MB502-RULE_START+1),0)</f>
        <v>0.7884931755816562</v>
      </c>
      <c r="MX502">
        <f>IF(AND(MB502&gt;=RULE_START,MC502=1,MM502&lt;0),MB502,9999)</f>
        <v>2038</v>
      </c>
      <c r="MY502">
        <f>IF(AND(MB502&gt;=RULE_START,MC502=1,MN502&lt;0),MB502,9999)</f>
        <v>2038</v>
      </c>
      <c r="MZ502">
        <f>IF(AND(MB502&gt;=RULE_START,MC502=1,MO502&lt;0),MB502,9999)</f>
        <v>2038</v>
      </c>
      <c r="NB502" t="n">
        <v>2038</v>
      </c>
      <c r="NC502">
        <f>IF(NB502&lt;=RULE_START+$NB$38-1,1,0)</f>
        <v>1</v>
      </c>
      <c r="ND502" s="15">
        <f>IF(NB502=2024,G_IDX_2024,IF(NB502=2025,G_IDX_2025,IF(NB502=2026,G_IDX_2026,IF(NB502=2027,G_IDX_2027,$NB$13))))</f>
        <v>0.033</v>
      </c>
      <c r="NE502" s="8">
        <f>$NB$20*(1+G_HI)^(NB502-COST_DATE)</f>
        <v>784.6184966962103</v>
      </c>
      <c r="NF502" s="8">
        <f>NF501*(1+ND502)</f>
        <v>731.1867998304356</v>
      </c>
      <c r="NG502" s="8">
        <f>IF(NB502&lt;RULE_START,NF502,NG501*(1+G_HI))</f>
        <v>794.4635416666661</v>
      </c>
      <c r="NH502" s="8">
        <f>IF(NB502&lt;RULE_START,NF502,IF(NI502=1,R_NF_2024*(1+G_HI)^(NB502-2024),NH501*(1+ND502)))</f>
        <v>824.7911031456241</v>
      </c>
      <c r="NI502">
        <f>IF(AND(NB502&gt;=RULE_START,MOD(NB502-RULE_START,REBASE_YEARS)=0),1,0)</f>
        <v>0</v>
      </c>
      <c r="NJ502" s="8">
        <f>NF502*CAP_SHARE</f>
        <v>35.75308146309908</v>
      </c>
      <c r="NK502" s="8">
        <f>NG502*CAP_SHARE</f>
        <v>38.847145122501686</v>
      </c>
      <c r="NL502" s="8">
        <f>NH502*CAP_SHARE</f>
        <v>40.33008187188746</v>
      </c>
      <c r="NM502" s="8">
        <f>NF502-NJ502-NE502</f>
        <v>-89.18477832887379</v>
      </c>
      <c r="NN502" s="8">
        <f>NG502-NK502-NE502</f>
        <v>-29.002100152045955</v>
      </c>
      <c r="NO502" s="8">
        <f>NH502-NL502-NE502</f>
        <v>-0.15747542247368074</v>
      </c>
      <c r="NP502" s="8">
        <f>R_NF_2024*(1+G_HI)^(NB502-2024)</f>
        <v>836.2797342926267</v>
      </c>
      <c r="NQ502" s="10">
        <f>1-NF502/NP502</f>
        <v>0.12566720219650518</v>
      </c>
      <c r="NR502" s="10">
        <f>CPI_2023/(IF(NB502-1=2023,CPI_2023,IF(NB502-1=2024,CPI_2024,IF(NB502-1=2025,CPI_2025,CPI_2025*(1+INFL)^(NB502-1-2025)))))</f>
        <v>0.7127534522594348</v>
      </c>
      <c r="NS502" s="8">
        <f>$NB$21*ABS($NB$11)*(NG502-NF502)/NF502</f>
        <v>8627.589156833426</v>
      </c>
      <c r="NT502" s="8">
        <f>$NB$21*ABS($NB$11)*(NH502-NF502)/NF502</f>
        <v>12762.658899303036</v>
      </c>
      <c r="NU502" s="13">
        <f>(NG502-NF502)*MCD_NF_DAYS*NR502-NS502*MCD_SHARE_FREED*R_WAIT_2023</f>
        <v>19838907.544412013</v>
      </c>
      <c r="NV502" s="13">
        <f>(NH502-NF502)*MCD_NF_DAYS*NR502-NT502*MCD_SHARE_FREED*R_WAIT_2023</f>
        <v>29347388.398020435</v>
      </c>
      <c r="NW502" s="10">
        <f>IF(AND(NB502&gt;=RULE_START,NC502=1),1/(1+$NB$12)^(NB502-RULE_START+1),0)</f>
        <v>0.7884931755816562</v>
      </c>
      <c r="NX502">
        <f>IF(AND(NB502&gt;=RULE_START,NC502=1,NM502&lt;0),NB502,9999)</f>
        <v>2038</v>
      </c>
      <c r="NY502">
        <f>IF(AND(NB502&gt;=RULE_START,NC502=1,NN502&lt;0),NB502,9999)</f>
        <v>2038</v>
      </c>
      <c r="NZ502">
        <f>IF(AND(NB502&gt;=RULE_START,NC502=1,NO502&lt;0),NB502,9999)</f>
        <v>2038</v>
      </c>
      <c r="OB502" t="n">
        <v>2038</v>
      </c>
      <c r="OC502">
        <f>IF(OB502&lt;=RULE_START+$OB$38-1,1,0)</f>
        <v>1</v>
      </c>
      <c r="OD502" s="15">
        <f>IF(OB502=2024,G_IDX_2024,IF(OB502=2025,G_IDX_2025,IF(OB502=2026,G_IDX_2026,IF(OB502=2027,G_IDX_2027,$OB$13))))</f>
        <v>0.033</v>
      </c>
      <c r="OE502" s="8">
        <f>$OB$20*(1+G_HI)^(OB502-COST_DATE)</f>
        <v>784.6184966962103</v>
      </c>
      <c r="OF502" s="8">
        <f>OF501*(1+OD502)</f>
        <v>731.1867998304356</v>
      </c>
      <c r="OG502" s="8">
        <f>IF(OB502&lt;RULE_START,OF502,OG501*(1+G_HI))</f>
        <v>794.4635416666661</v>
      </c>
      <c r="OH502" s="8">
        <f>IF(OB502&lt;RULE_START,OF502,IF(OI502=1,R_NF_2024*(1+G_HI)^(OB502-2024),OH501*(1+OD502)))</f>
        <v>824.7911031456241</v>
      </c>
      <c r="OI502">
        <f>IF(AND(OB502&gt;=RULE_START,MOD(OB502-RULE_START,REBASE_YEARS)=0),1,0)</f>
        <v>0</v>
      </c>
      <c r="OJ502" s="8">
        <f>OF502*CAP_SHARE</f>
        <v>35.75308146309908</v>
      </c>
      <c r="OK502" s="8">
        <f>OG502*CAP_SHARE</f>
        <v>38.847145122501686</v>
      </c>
      <c r="OL502" s="8">
        <f>OH502*CAP_SHARE</f>
        <v>40.33008187188746</v>
      </c>
      <c r="OM502" s="8">
        <f>OF502-OJ502-OE502</f>
        <v>-89.18477832887379</v>
      </c>
      <c r="ON502" s="8">
        <f>OG502-OK502-OE502</f>
        <v>-29.002100152045955</v>
      </c>
      <c r="OO502" s="8">
        <f>OH502-OL502-OE502</f>
        <v>-0.15747542247368074</v>
      </c>
      <c r="OP502" s="8">
        <f>R_NF_2024*(1+G_HI)^(OB502-2024)</f>
        <v>836.2797342926267</v>
      </c>
      <c r="OQ502" s="10">
        <f>1-OF502/OP502</f>
        <v>0.12566720219650518</v>
      </c>
      <c r="OR502" s="10">
        <f>CPI_2023/(IF(OB502-1=2023,CPI_2023,IF(OB502-1=2024,CPI_2024,IF(OB502-1=2025,CPI_2025,CPI_2025*(1+INFL)^(OB502-1-2025)))))</f>
        <v>0.7127534522594348</v>
      </c>
      <c r="OS502" s="8">
        <f>$OB$21*ABS($OB$11)*(OG502-OF502)/OF502</f>
        <v>8627.589156833426</v>
      </c>
      <c r="OT502" s="8">
        <f>$OB$21*ABS($OB$11)*(OH502-OF502)/OF502</f>
        <v>12762.658899303036</v>
      </c>
      <c r="OU502" s="13">
        <f>(OG502-OF502)*MCD_NF_DAYS*OR502-OS502*MCD_SHARE_FREED*R_WAIT_2023</f>
        <v>19838907.544412013</v>
      </c>
      <c r="OV502" s="13">
        <f>(OH502-OF502)*MCD_NF_DAYS*OR502-OT502*MCD_SHARE_FREED*R_WAIT_2023</f>
        <v>29347388.398020435</v>
      </c>
      <c r="OW502" s="10">
        <f>IF(AND(OB502&gt;=RULE_START,OC502=1),1/(1+$OB$12)^(OB502-RULE_START+1),0)</f>
        <v>0.7884931755816562</v>
      </c>
      <c r="OX502">
        <f>IF(AND(OB502&gt;=RULE_START,OC502=1,OM502&lt;0),OB502,9999)</f>
        <v>2038</v>
      </c>
      <c r="OY502">
        <f>IF(AND(OB502&gt;=RULE_START,OC502=1,ON502&lt;0),OB502,9999)</f>
        <v>2038</v>
      </c>
      <c r="OZ502">
        <f>IF(AND(OB502&gt;=RULE_START,OC502=1,OO502&lt;0),OB502,9999)</f>
        <v>2038</v>
      </c>
    </row>
    <row r="503">
      <c r="B503" t="n">
        <v>2039</v>
      </c>
      <c r="C503">
        <f>IF(B503&lt;=RULE_START+$B$38-1,1,0)</f>
        <v>1</v>
      </c>
      <c r="D503" s="15">
        <f>IF(B503=2024,G_IDX_2024,IF(B503=2025,G_IDX_2025,IF(B503=2026,G_IDX_2026,IF(B503=2027,G_IDX_2027,$B$13))))</f>
        <v>0.033</v>
      </c>
      <c r="E503" s="8">
        <f>$B$20*(1+G_HI)^(B503-COST_DATE)</f>
        <v>816.1362459419712</v>
      </c>
      <c r="F503" s="8">
        <f>F502*(1+D503)</f>
        <v>755.31596422484</v>
      </c>
      <c r="G503" s="8">
        <f>IF(B503&lt;RULE_START,F503,G502*(1+G_HI))</f>
        <v>826.3767616539384</v>
      </c>
      <c r="H503" s="8">
        <f>IF(B503&lt;RULE_START,F503,IF(I503=1,R_NF_2024*(1+G_HI)^(B503-2024),H502*(1+D503)))</f>
        <v>869.8726907112308</v>
      </c>
      <c r="I503">
        <f>IF(AND(B503&gt;=RULE_START,MOD(B503-RULE_START,REBASE_YEARS)=0),1,0)</f>
        <v>1</v>
      </c>
      <c r="J503" s="8">
        <f>F503*CAP_SHARE</f>
        <v>36.93293315138135</v>
      </c>
      <c r="K503" s="8">
        <f>G503*CAP_SHARE</f>
        <v>40.40761633754461</v>
      </c>
      <c r="L503" s="8">
        <f>H503*CAP_SHARE</f>
        <v>42.534451087924666</v>
      </c>
      <c r="M503" s="8">
        <f>F503-J503-E503</f>
        <v>-97.7532148685126</v>
      </c>
      <c r="N503" s="8">
        <f>G503-K503-E503</f>
        <v>-30.167100625577405</v>
      </c>
      <c r="O503" s="8">
        <f>H503-L503-E503</f>
        <v>11.201993681334898</v>
      </c>
      <c r="P503" s="8">
        <f>R_NF_2024*(1+G_HI)^(B503-2024)</f>
        <v>869.8726907112308</v>
      </c>
      <c r="Q503" s="10">
        <f>1-F503/P503</f>
        <v>0.13169366932617033</v>
      </c>
      <c r="R503" s="10">
        <f>CPI_2023/(IF(B503-1=2023,CPI_2023,IF(B503-1=2024,CPI_2024,IF(B503-1=2025,CPI_2025,CPI_2025*(1+INFL)^(B503-1-2025)))))</f>
        <v>0.6968649318140737</v>
      </c>
      <c r="S503" s="8">
        <f>$B$21*ABS($B$11)*(G503-F503)/F503</f>
        <v>9379.40096700236</v>
      </c>
      <c r="T503" s="8">
        <f>$B$21*ABS($B$11)*(H503-F503)/F503</f>
        <v>15120.481475811543</v>
      </c>
      <c r="U503" s="13">
        <f>(G503-F503)*MCD_NF_DAYS*R503-S503*MCD_SHARE_FREED*R_WAIT_2023</f>
        <v>21825297.92193713</v>
      </c>
      <c r="V503" s="13">
        <f>(H503-F503)*MCD_NF_DAYS*R503-T503*MCD_SHARE_FREED*R_WAIT_2023</f>
        <v>35184444.51769596</v>
      </c>
      <c r="W503" s="10">
        <f>IF(AND(B503&gt;=RULE_START,C503=1),1/(1+$B$12)^(B503-RULE_START+1),0)</f>
        <v>0.773032525080055</v>
      </c>
      <c r="X503">
        <f>IF(AND(B503&gt;=RULE_START,C503=1,M503&lt;0),B503,9999)</f>
        <v>2039</v>
      </c>
      <c r="Y503">
        <f>IF(AND(B503&gt;=RULE_START,C503=1,N503&lt;0),B503,9999)</f>
        <v>2039</v>
      </c>
      <c r="Z503">
        <f>IF(AND(B503&gt;=RULE_START,C503=1,O503&lt;0),B503,9999)</f>
        <v>9999</v>
      </c>
      <c r="AB503" t="n">
        <v>2039</v>
      </c>
      <c r="AC503">
        <f>IF(AB503&lt;=RULE_START+$AB$38-1,1,0)</f>
        <v>1</v>
      </c>
      <c r="AD503" s="15">
        <f>IF(AB503=2024,G_IDX_2024,IF(AB503=2025,G_IDX_2025,IF(AB503=2026,G_IDX_2026,IF(AB503=2027,G_IDX_2027,$AB$13))))</f>
        <v>0.033</v>
      </c>
      <c r="AE503" s="8">
        <f>$AB$20*(1+G_HI)^(AB503-COST_DATE)</f>
        <v>816.1362459419712</v>
      </c>
      <c r="AF503" s="8">
        <f>AF502*(1+AD503)</f>
        <v>755.31596422484</v>
      </c>
      <c r="AG503" s="8">
        <f>IF(AB503&lt;RULE_START,AF503,AG502*(1+G_HI))</f>
        <v>826.3767616539384</v>
      </c>
      <c r="AH503" s="8">
        <f>IF(AB503&lt;RULE_START,AF503,IF(AI503=1,R_NF_2024*(1+G_HI)^(AB503-2024),AH502*(1+AD503)))</f>
        <v>869.8726907112308</v>
      </c>
      <c r="AI503">
        <f>IF(AND(AB503&gt;=RULE_START,MOD(AB503-RULE_START,REBASE_YEARS)=0),1,0)</f>
        <v>1</v>
      </c>
      <c r="AJ503" s="8">
        <f>AF503*CAP_SHARE</f>
        <v>36.93293315138135</v>
      </c>
      <c r="AK503" s="8">
        <f>AG503*CAP_SHARE</f>
        <v>40.40761633754461</v>
      </c>
      <c r="AL503" s="8">
        <f>AH503*CAP_SHARE</f>
        <v>42.534451087924666</v>
      </c>
      <c r="AM503" s="8">
        <f>AF503-AJ503-AE503</f>
        <v>-97.7532148685126</v>
      </c>
      <c r="AN503" s="8">
        <f>AG503-AK503-AE503</f>
        <v>-30.167100625577405</v>
      </c>
      <c r="AO503" s="8">
        <f>AH503-AL503-AE503</f>
        <v>11.201993681334898</v>
      </c>
      <c r="AP503" s="8">
        <f>R_NF_2024*(1+G_HI)^(AB503-2024)</f>
        <v>869.8726907112308</v>
      </c>
      <c r="AQ503" s="10">
        <f>1-AF503/AP503</f>
        <v>0.13169366932617033</v>
      </c>
      <c r="AR503" s="10">
        <f>CPI_2023/(IF(AB503-1=2023,CPI_2023,IF(AB503-1=2024,CPI_2024,IF(AB503-1=2025,CPI_2025,CPI_2025*(1+INFL)^(AB503-1-2025)))))</f>
        <v>0.6968649318140737</v>
      </c>
      <c r="AS503" s="8">
        <f>$AB$21*ABS($AB$11)*(AG503-AF503)/AF503</f>
        <v>9379.40096700236</v>
      </c>
      <c r="AT503" s="8">
        <f>$AB$21*ABS($AB$11)*(AH503-AF503)/AF503</f>
        <v>15120.481475811543</v>
      </c>
      <c r="AU503" s="13">
        <f>(AG503-AF503)*MCD_NF_DAYS*AR503-AS503*MCD_SHARE_FREED*R_WAIT_2023</f>
        <v>21825297.92193713</v>
      </c>
      <c r="AV503" s="13">
        <f>(AH503-AF503)*MCD_NF_DAYS*AR503-AT503*MCD_SHARE_FREED*R_WAIT_2023</f>
        <v>35184444.51769596</v>
      </c>
      <c r="AW503" s="10">
        <f>IF(AND(AB503&gt;=RULE_START,AC503=1),1/(1+$AB$12)^(AB503-RULE_START+1),0)</f>
        <v>0.773032525080055</v>
      </c>
      <c r="AX503">
        <f>IF(AND(AB503&gt;=RULE_START,AC503=1,AM503&lt;0),AB503,9999)</f>
        <v>2039</v>
      </c>
      <c r="AY503">
        <f>IF(AND(AB503&gt;=RULE_START,AC503=1,AN503&lt;0),AB503,9999)</f>
        <v>2039</v>
      </c>
      <c r="AZ503">
        <f>IF(AND(AB503&gt;=RULE_START,AC503=1,AO503&lt;0),AB503,9999)</f>
        <v>9999</v>
      </c>
      <c r="BB503" t="n">
        <v>2039</v>
      </c>
      <c r="BC503">
        <f>IF(BB503&lt;=RULE_START+$BB$38-1,1,0)</f>
        <v>1</v>
      </c>
      <c r="BD503" s="15">
        <f>IF(BB503=2024,G_IDX_2024,IF(BB503=2025,G_IDX_2025,IF(BB503=2026,G_IDX_2026,IF(BB503=2027,G_IDX_2027,$BB$13))))</f>
        <v>0.033</v>
      </c>
      <c r="BE503" s="8">
        <f>$BB$20*(1+G_HI)^(BB503-COST_DATE)</f>
        <v>816.1362459419712</v>
      </c>
      <c r="BF503" s="8">
        <f>BF502*(1+BD503)</f>
        <v>755.31596422484</v>
      </c>
      <c r="BG503" s="8">
        <f>IF(BB503&lt;RULE_START,BF503,BG502*(1+G_HI))</f>
        <v>826.3767616539384</v>
      </c>
      <c r="BH503" s="8">
        <f>IF(BB503&lt;RULE_START,BF503,IF(BI503=1,R_NF_2024*(1+G_HI)^(BB503-2024),BH502*(1+BD503)))</f>
        <v>869.8726907112308</v>
      </c>
      <c r="BI503">
        <f>IF(AND(BB503&gt;=RULE_START,MOD(BB503-RULE_START,REBASE_YEARS)=0),1,0)</f>
        <v>1</v>
      </c>
      <c r="BJ503" s="8">
        <f>BF503*CAP_SHARE</f>
        <v>36.93293315138135</v>
      </c>
      <c r="BK503" s="8">
        <f>BG503*CAP_SHARE</f>
        <v>40.40761633754461</v>
      </c>
      <c r="BL503" s="8">
        <f>BH503*CAP_SHARE</f>
        <v>42.534451087924666</v>
      </c>
      <c r="BM503" s="8">
        <f>BF503-BJ503-BE503</f>
        <v>-97.7532148685126</v>
      </c>
      <c r="BN503" s="8">
        <f>BG503-BK503-BE503</f>
        <v>-30.167100625577405</v>
      </c>
      <c r="BO503" s="8">
        <f>BH503-BL503-BE503</f>
        <v>11.201993681334898</v>
      </c>
      <c r="BP503" s="8">
        <f>R_NF_2024*(1+G_HI)^(BB503-2024)</f>
        <v>869.8726907112308</v>
      </c>
      <c r="BQ503" s="10">
        <f>1-BF503/BP503</f>
        <v>0.13169366932617033</v>
      </c>
      <c r="BR503" s="10">
        <f>CPI_2023/(IF(BB503-1=2023,CPI_2023,IF(BB503-1=2024,CPI_2024,IF(BB503-1=2025,CPI_2025,CPI_2025*(1+INFL)^(BB503-1-2025)))))</f>
        <v>0.6968649318140737</v>
      </c>
      <c r="BS503" s="8">
        <f>$BB$21*ABS($BB$11)*(BG503-BF503)/BF503</f>
        <v>9379.40096700236</v>
      </c>
      <c r="BT503" s="8">
        <f>$BB$21*ABS($BB$11)*(BH503-BF503)/BF503</f>
        <v>15120.481475811543</v>
      </c>
      <c r="BU503" s="13">
        <f>(BG503-BF503)*MCD_NF_DAYS*BR503-BS503*MCD_SHARE_FREED*R_WAIT_2023</f>
        <v>21825297.92193713</v>
      </c>
      <c r="BV503" s="13">
        <f>(BH503-BF503)*MCD_NF_DAYS*BR503-BT503*MCD_SHARE_FREED*R_WAIT_2023</f>
        <v>35184444.51769596</v>
      </c>
      <c r="BW503" s="10">
        <f>IF(AND(BB503&gt;=RULE_START,BC503=1),1/(1+$BB$12)^(BB503-RULE_START+1),0)</f>
        <v>0.773032525080055</v>
      </c>
      <c r="BX503">
        <f>IF(AND(BB503&gt;=RULE_START,BC503=1,BM503&lt;0),BB503,9999)</f>
        <v>2039</v>
      </c>
      <c r="BY503">
        <f>IF(AND(BB503&gt;=RULE_START,BC503=1,BN503&lt;0),BB503,9999)</f>
        <v>2039</v>
      </c>
      <c r="BZ503">
        <f>IF(AND(BB503&gt;=RULE_START,BC503=1,BO503&lt;0),BB503,9999)</f>
        <v>9999</v>
      </c>
      <c r="CB503" t="n">
        <v>2039</v>
      </c>
      <c r="CC503">
        <f>IF(CB503&lt;=RULE_START+$CB$38-1,1,0)</f>
        <v>1</v>
      </c>
      <c r="CD503" s="15">
        <f>IF(CB503=2024,G_IDX_2024,IF(CB503=2025,G_IDX_2025,IF(CB503=2026,G_IDX_2026,IF(CB503=2027,G_IDX_2027,$CB$13))))</f>
        <v>0.033</v>
      </c>
      <c r="CE503" s="8">
        <f>$CB$20*(1+G_HI)^(CB503-COST_DATE)</f>
        <v>816.1362459419712</v>
      </c>
      <c r="CF503" s="8">
        <f>CF502*(1+CD503)</f>
        <v>755.31596422484</v>
      </c>
      <c r="CG503" s="8">
        <f>IF(CB503&lt;RULE_START,CF503,CG502*(1+G_HI))</f>
        <v>826.3767616539384</v>
      </c>
      <c r="CH503" s="8">
        <f>IF(CB503&lt;RULE_START,CF503,IF(CI503=1,R_NF_2024*(1+G_HI)^(CB503-2024),CH502*(1+CD503)))</f>
        <v>869.8726907112308</v>
      </c>
      <c r="CI503">
        <f>IF(AND(CB503&gt;=RULE_START,MOD(CB503-RULE_START,REBASE_YEARS)=0),1,0)</f>
        <v>1</v>
      </c>
      <c r="CJ503" s="8">
        <f>CF503*CAP_SHARE</f>
        <v>36.93293315138135</v>
      </c>
      <c r="CK503" s="8">
        <f>CG503*CAP_SHARE</f>
        <v>40.40761633754461</v>
      </c>
      <c r="CL503" s="8">
        <f>CH503*CAP_SHARE</f>
        <v>42.534451087924666</v>
      </c>
      <c r="CM503" s="8">
        <f>CF503-CJ503-CE503</f>
        <v>-97.7532148685126</v>
      </c>
      <c r="CN503" s="8">
        <f>CG503-CK503-CE503</f>
        <v>-30.167100625577405</v>
      </c>
      <c r="CO503" s="8">
        <f>CH503-CL503-CE503</f>
        <v>11.201993681334898</v>
      </c>
      <c r="CP503" s="8">
        <f>R_NF_2024*(1+G_HI)^(CB503-2024)</f>
        <v>869.8726907112308</v>
      </c>
      <c r="CQ503" s="10">
        <f>1-CF503/CP503</f>
        <v>0.13169366932617033</v>
      </c>
      <c r="CR503" s="10">
        <f>CPI_2023/(IF(CB503-1=2023,CPI_2023,IF(CB503-1=2024,CPI_2024,IF(CB503-1=2025,CPI_2025,CPI_2025*(1+INFL)^(CB503-1-2025)))))</f>
        <v>0.6968649318140737</v>
      </c>
      <c r="CS503" s="8">
        <f>$CB$21*ABS($CB$11)*(CG503-CF503)/CF503</f>
        <v>9379.40096700236</v>
      </c>
      <c r="CT503" s="8">
        <f>$CB$21*ABS($CB$11)*(CH503-CF503)/CF503</f>
        <v>15120.481475811543</v>
      </c>
      <c r="CU503" s="13">
        <f>(CG503-CF503)*MCD_NF_DAYS*CR503-CS503*MCD_SHARE_FREED*R_WAIT_2023</f>
        <v>21825297.92193713</v>
      </c>
      <c r="CV503" s="13">
        <f>(CH503-CF503)*MCD_NF_DAYS*CR503-CT503*MCD_SHARE_FREED*R_WAIT_2023</f>
        <v>35184444.51769596</v>
      </c>
      <c r="CW503" s="10">
        <f>IF(AND(CB503&gt;=RULE_START,CC503=1),1/(1+$CB$12)^(CB503-RULE_START+1),0)</f>
        <v>0.773032525080055</v>
      </c>
      <c r="CX503">
        <f>IF(AND(CB503&gt;=RULE_START,CC503=1,CM503&lt;0),CB503,9999)</f>
        <v>2039</v>
      </c>
      <c r="CY503">
        <f>IF(AND(CB503&gt;=RULE_START,CC503=1,CN503&lt;0),CB503,9999)</f>
        <v>2039</v>
      </c>
      <c r="CZ503">
        <f>IF(AND(CB503&gt;=RULE_START,CC503=1,CO503&lt;0),CB503,9999)</f>
        <v>9999</v>
      </c>
      <c r="DB503" t="n">
        <v>2039</v>
      </c>
      <c r="DC503">
        <f>IF(DB503&lt;=RULE_START+$DB$38-1,1,0)</f>
        <v>1</v>
      </c>
      <c r="DD503" s="15">
        <f>IF(DB503=2024,G_IDX_2024,IF(DB503=2025,G_IDX_2025,IF(DB503=2026,G_IDX_2026,IF(DB503=2027,G_IDX_2027,$DB$13))))</f>
        <v>0.033</v>
      </c>
      <c r="DE503" s="8">
        <f>$DB$20*(1+G_HI)^(DB503-COST_DATE)</f>
        <v>816.1362459419712</v>
      </c>
      <c r="DF503" s="8">
        <f>DF502*(1+DD503)</f>
        <v>755.31596422484</v>
      </c>
      <c r="DG503" s="8">
        <f>IF(DB503&lt;RULE_START,DF503,DG502*(1+G_HI))</f>
        <v>826.3767616539384</v>
      </c>
      <c r="DH503" s="8">
        <f>IF(DB503&lt;RULE_START,DF503,IF(DI503=1,R_NF_2024*(1+G_HI)^(DB503-2024),DH502*(1+DD503)))</f>
        <v>869.8726907112308</v>
      </c>
      <c r="DI503">
        <f>IF(AND(DB503&gt;=RULE_START,MOD(DB503-RULE_START,REBASE_YEARS)=0),1,0)</f>
        <v>1</v>
      </c>
      <c r="DJ503" s="8">
        <f>DF503*CAP_SHARE</f>
        <v>36.93293315138135</v>
      </c>
      <c r="DK503" s="8">
        <f>DG503*CAP_SHARE</f>
        <v>40.40761633754461</v>
      </c>
      <c r="DL503" s="8">
        <f>DH503*CAP_SHARE</f>
        <v>42.534451087924666</v>
      </c>
      <c r="DM503" s="8">
        <f>DF503-DJ503-DE503</f>
        <v>-97.7532148685126</v>
      </c>
      <c r="DN503" s="8">
        <f>DG503-DK503-DE503</f>
        <v>-30.167100625577405</v>
      </c>
      <c r="DO503" s="8">
        <f>DH503-DL503-DE503</f>
        <v>11.201993681334898</v>
      </c>
      <c r="DP503" s="8">
        <f>R_NF_2024*(1+G_HI)^(DB503-2024)</f>
        <v>869.8726907112308</v>
      </c>
      <c r="DQ503" s="10">
        <f>1-DF503/DP503</f>
        <v>0.13169366932617033</v>
      </c>
      <c r="DR503" s="10">
        <f>CPI_2023/(IF(DB503-1=2023,CPI_2023,IF(DB503-1=2024,CPI_2024,IF(DB503-1=2025,CPI_2025,CPI_2025*(1+INFL)^(DB503-1-2025)))))</f>
        <v>0.6968649318140737</v>
      </c>
      <c r="DS503" s="8">
        <f>$DB$21*ABS($DB$11)*(DG503-DF503)/DF503</f>
        <v>9379.40096700236</v>
      </c>
      <c r="DT503" s="8">
        <f>$DB$21*ABS($DB$11)*(DH503-DF503)/DF503</f>
        <v>15120.481475811543</v>
      </c>
      <c r="DU503" s="13">
        <f>(DG503-DF503)*MCD_NF_DAYS*DR503-DS503*MCD_SHARE_FREED*R_WAIT_2023</f>
        <v>21825297.92193713</v>
      </c>
      <c r="DV503" s="13">
        <f>(DH503-DF503)*MCD_NF_DAYS*DR503-DT503*MCD_SHARE_FREED*R_WAIT_2023</f>
        <v>35184444.51769596</v>
      </c>
      <c r="DW503" s="10">
        <f>IF(AND(DB503&gt;=RULE_START,DC503=1),1/(1+$DB$12)^(DB503-RULE_START+1),0)</f>
        <v>0.773032525080055</v>
      </c>
      <c r="DX503">
        <f>IF(AND(DB503&gt;=RULE_START,DC503=1,DM503&lt;0),DB503,9999)</f>
        <v>2039</v>
      </c>
      <c r="DY503">
        <f>IF(AND(DB503&gt;=RULE_START,DC503=1,DN503&lt;0),DB503,9999)</f>
        <v>2039</v>
      </c>
      <c r="DZ503">
        <f>IF(AND(DB503&gt;=RULE_START,DC503=1,DO503&lt;0),DB503,9999)</f>
        <v>9999</v>
      </c>
      <c r="EB503" t="n">
        <v>2039</v>
      </c>
      <c r="EC503">
        <f>IF(EB503&lt;=RULE_START+$EB$38-1,1,0)</f>
        <v>1</v>
      </c>
      <c r="ED503" s="15">
        <f>IF(EB503=2024,G_IDX_2024,IF(EB503=2025,G_IDX_2025,IF(EB503=2026,G_IDX_2026,IF(EB503=2027,G_IDX_2027,$EB$13))))</f>
        <v>0.033</v>
      </c>
      <c r="EE503" s="8">
        <f>$EB$20*(1+G_HI)^(EB503-COST_DATE)</f>
        <v>816.1362459419712</v>
      </c>
      <c r="EF503" s="8">
        <f>EF502*(1+ED503)</f>
        <v>755.31596422484</v>
      </c>
      <c r="EG503" s="8">
        <f>IF(EB503&lt;RULE_START,EF503,EG502*(1+G_HI))</f>
        <v>826.3767616539384</v>
      </c>
      <c r="EH503" s="8">
        <f>IF(EB503&lt;RULE_START,EF503,IF(EI503=1,R_NF_2024*(1+G_HI)^(EB503-2024),EH502*(1+ED503)))</f>
        <v>869.8726907112308</v>
      </c>
      <c r="EI503">
        <f>IF(AND(EB503&gt;=RULE_START,MOD(EB503-RULE_START,REBASE_YEARS)=0),1,0)</f>
        <v>1</v>
      </c>
      <c r="EJ503" s="8">
        <f>EF503*CAP_SHARE</f>
        <v>36.93293315138135</v>
      </c>
      <c r="EK503" s="8">
        <f>EG503*CAP_SHARE</f>
        <v>40.40761633754461</v>
      </c>
      <c r="EL503" s="8">
        <f>EH503*CAP_SHARE</f>
        <v>42.534451087924666</v>
      </c>
      <c r="EM503" s="8">
        <f>EF503-EJ503-EE503</f>
        <v>-97.7532148685126</v>
      </c>
      <c r="EN503" s="8">
        <f>EG503-EK503-EE503</f>
        <v>-30.167100625577405</v>
      </c>
      <c r="EO503" s="8">
        <f>EH503-EL503-EE503</f>
        <v>11.201993681334898</v>
      </c>
      <c r="EP503" s="8">
        <f>R_NF_2024*(1+G_HI)^(EB503-2024)</f>
        <v>869.8726907112308</v>
      </c>
      <c r="EQ503" s="10">
        <f>1-EF503/EP503</f>
        <v>0.13169366932617033</v>
      </c>
      <c r="ER503" s="10">
        <f>CPI_2023/(IF(EB503-1=2023,CPI_2023,IF(EB503-1=2024,CPI_2024,IF(EB503-1=2025,CPI_2025,CPI_2025*(1+INFL)^(EB503-1-2025)))))</f>
        <v>0.6968649318140737</v>
      </c>
      <c r="ES503" s="8">
        <f>$EB$21*ABS($EB$11)*(EG503-EF503)/EF503</f>
        <v>9379.40096700236</v>
      </c>
      <c r="ET503" s="8">
        <f>$EB$21*ABS($EB$11)*(EH503-EF503)/EF503</f>
        <v>15120.481475811543</v>
      </c>
      <c r="EU503" s="13">
        <f>(EG503-EF503)*MCD_NF_DAYS*ER503-ES503*MCD_SHARE_FREED*R_WAIT_2023</f>
        <v>21825297.92193713</v>
      </c>
      <c r="EV503" s="13">
        <f>(EH503-EF503)*MCD_NF_DAYS*ER503-ET503*MCD_SHARE_FREED*R_WAIT_2023</f>
        <v>35184444.51769596</v>
      </c>
      <c r="EW503" s="10">
        <f>IF(AND(EB503&gt;=RULE_START,EC503=1),1/(1+$EB$12)^(EB503-RULE_START+1),0)</f>
        <v>0.773032525080055</v>
      </c>
      <c r="EX503">
        <f>IF(AND(EB503&gt;=RULE_START,EC503=1,EM503&lt;0),EB503,9999)</f>
        <v>2039</v>
      </c>
      <c r="EY503">
        <f>IF(AND(EB503&gt;=RULE_START,EC503=1,EN503&lt;0),EB503,9999)</f>
        <v>2039</v>
      </c>
      <c r="EZ503">
        <f>IF(AND(EB503&gt;=RULE_START,EC503=1,EO503&lt;0),EB503,9999)</f>
        <v>9999</v>
      </c>
      <c r="FB503" t="n">
        <v>2039</v>
      </c>
      <c r="FC503">
        <f>IF(FB503&lt;=RULE_START+$FB$38-1,1,0)</f>
        <v>1</v>
      </c>
      <c r="FD503" s="15">
        <f>IF(FB503=2024,G_IDX_2024,IF(FB503=2025,G_IDX_2025,IF(FB503=2026,G_IDX_2026,IF(FB503=2027,G_IDX_2027,$FB$13))))</f>
        <v>0.033</v>
      </c>
      <c r="FE503" s="8">
        <f>$FB$20*(1+G_HI)^(FB503-COST_DATE)</f>
        <v>839.9121866756972</v>
      </c>
      <c r="FF503" s="8">
        <f>FF502*(1+FD503)</f>
        <v>755.31596422484</v>
      </c>
      <c r="FG503" s="8">
        <f>IF(FB503&lt;RULE_START,FF503,FG502*(1+G_HI))</f>
        <v>826.3767616539384</v>
      </c>
      <c r="FH503" s="8">
        <f>IF(FB503&lt;RULE_START,FF503,IF(FI503=1,R_NF_2024*(1+G_HI)^(FB503-2024),FH502*(1+FD503)))</f>
        <v>869.8726907112308</v>
      </c>
      <c r="FI503">
        <f>IF(AND(FB503&gt;=RULE_START,MOD(FB503-RULE_START,REBASE_YEARS)=0),1,0)</f>
        <v>1</v>
      </c>
      <c r="FJ503" s="8">
        <f>FF503*CAP_SHARE</f>
        <v>36.93293315138135</v>
      </c>
      <c r="FK503" s="8">
        <f>FG503*CAP_SHARE</f>
        <v>40.40761633754461</v>
      </c>
      <c r="FL503" s="8">
        <f>FH503*CAP_SHARE</f>
        <v>42.534451087924666</v>
      </c>
      <c r="FM503" s="8">
        <f>FF503-FJ503-FE503</f>
        <v>-121.52915560223857</v>
      </c>
      <c r="FN503" s="8">
        <f>FG503-FK503-FE503</f>
        <v>-53.94304135930338</v>
      </c>
      <c r="FO503" s="8">
        <f>FH503-FL503-FE503</f>
        <v>-12.573947052391077</v>
      </c>
      <c r="FP503" s="8">
        <f>R_NF_2024*(1+G_HI)^(FB503-2024)</f>
        <v>869.8726907112308</v>
      </c>
      <c r="FQ503" s="10">
        <f>1-FF503/FP503</f>
        <v>0.13169366932617033</v>
      </c>
      <c r="FR503" s="10">
        <f>CPI_2023/(IF(FB503-1=2023,CPI_2023,IF(FB503-1=2024,CPI_2024,IF(FB503-1=2025,CPI_2025,CPI_2025*(1+INFL)^(FB503-1-2025)))))</f>
        <v>0.6968649318140737</v>
      </c>
      <c r="FS503" s="8">
        <f>$FB$21*ABS($FB$11)*(FG503-FF503)/FF503</f>
        <v>9379.40096700236</v>
      </c>
      <c r="FT503" s="8">
        <f>$FB$21*ABS($FB$11)*(FH503-FF503)/FF503</f>
        <v>15120.481475811543</v>
      </c>
      <c r="FU503" s="13">
        <f>(FG503-FF503)*MCD_NF_DAYS*FR503-FS503*MCD_SHARE_FREED*R_WAIT_2023</f>
        <v>21825297.92193713</v>
      </c>
      <c r="FV503" s="13">
        <f>(FH503-FF503)*MCD_NF_DAYS*FR503-FT503*MCD_SHARE_FREED*R_WAIT_2023</f>
        <v>35184444.51769596</v>
      </c>
      <c r="FW503" s="10">
        <f>IF(AND(FB503&gt;=RULE_START,FC503=1),1/(1+$FB$12)^(FB503-RULE_START+1),0)</f>
        <v>0.773032525080055</v>
      </c>
      <c r="FX503">
        <f>IF(AND(FB503&gt;=RULE_START,FC503=1,FM503&lt;0),FB503,9999)</f>
        <v>2039</v>
      </c>
      <c r="FY503">
        <f>IF(AND(FB503&gt;=RULE_START,FC503=1,FN503&lt;0),FB503,9999)</f>
        <v>2039</v>
      </c>
      <c r="FZ503">
        <f>IF(AND(FB503&gt;=RULE_START,FC503=1,FO503&lt;0),FB503,9999)</f>
        <v>2039</v>
      </c>
      <c r="GB503" t="n">
        <v>2039</v>
      </c>
      <c r="GC503">
        <f>IF(GB503&lt;=RULE_START+$GB$38-1,1,0)</f>
        <v>1</v>
      </c>
      <c r="GD503" s="15">
        <f>IF(GB503=2024,G_IDX_2024,IF(GB503=2025,G_IDX_2025,IF(GB503=2026,G_IDX_2026,IF(GB503=2027,G_IDX_2027,$GB$13))))</f>
        <v>0.033</v>
      </c>
      <c r="GE503" s="8">
        <f>$GB$20*(1+G_HI)^(GB503-COST_DATE)</f>
        <v>816.1362459419712</v>
      </c>
      <c r="GF503" s="8">
        <f>GF502*(1+GD503)</f>
        <v>755.31596422484</v>
      </c>
      <c r="GG503" s="8">
        <f>IF(GB503&lt;RULE_START,GF503,GG502*(1+G_HI))</f>
        <v>826.3767616539384</v>
      </c>
      <c r="GH503" s="8">
        <f>IF(GB503&lt;RULE_START,GF503,IF(GI503=1,R_NF_2024*(1+G_HI)^(GB503-2024),GH502*(1+GD503)))</f>
        <v>869.8726907112308</v>
      </c>
      <c r="GI503">
        <f>IF(AND(GB503&gt;=RULE_START,MOD(GB503-RULE_START,REBASE_YEARS)=0),1,0)</f>
        <v>1</v>
      </c>
      <c r="GJ503" s="8">
        <f>GF503*CAP_SHARE</f>
        <v>36.93293315138135</v>
      </c>
      <c r="GK503" s="8">
        <f>GG503*CAP_SHARE</f>
        <v>40.40761633754461</v>
      </c>
      <c r="GL503" s="8">
        <f>GH503*CAP_SHARE</f>
        <v>42.534451087924666</v>
      </c>
      <c r="GM503" s="8">
        <f>GF503-GJ503-GE503</f>
        <v>-97.7532148685126</v>
      </c>
      <c r="GN503" s="8">
        <f>GG503-GK503-GE503</f>
        <v>-30.167100625577405</v>
      </c>
      <c r="GO503" s="8">
        <f>GH503-GL503-GE503</f>
        <v>11.201993681334898</v>
      </c>
      <c r="GP503" s="8">
        <f>R_NF_2024*(1+G_HI)^(GB503-2024)</f>
        <v>869.8726907112308</v>
      </c>
      <c r="GQ503" s="10">
        <f>1-GF503/GP503</f>
        <v>0.13169366932617033</v>
      </c>
      <c r="GR503" s="10">
        <f>CPI_2023/(IF(GB503-1=2023,CPI_2023,IF(GB503-1=2024,CPI_2024,IF(GB503-1=2025,CPI_2025,CPI_2025*(1+INFL)^(GB503-1-2025)))))</f>
        <v>0.6968649318140737</v>
      </c>
      <c r="GS503" s="8">
        <f>$GB$21*ABS($GB$11)*(GG503-GF503)/GF503</f>
        <v>7080.040680391478</v>
      </c>
      <c r="GT503" s="8">
        <f>$GB$21*ABS($GB$11)*(GH503-GF503)/GF503</f>
        <v>11413.695217048135</v>
      </c>
      <c r="GU503" s="13">
        <f>(GG503-GF503)*MCD_NF_DAYS*GR503-GS503*MCD_SHARE_FREED*R_WAIT_2023</f>
        <v>22870860.113458127</v>
      </c>
      <c r="GV503" s="13">
        <f>(GH503-GF503)*MCD_NF_DAYS*GR503-GT503*MCD_SHARE_FREED*R_WAIT_2023</f>
        <v>36869989.66117807</v>
      </c>
      <c r="GW503" s="10">
        <f>IF(AND(GB503&gt;=RULE_START,GC503=1),1/(1+$GB$12)^(GB503-RULE_START+1),0)</f>
        <v>0.773032525080055</v>
      </c>
      <c r="GX503">
        <f>IF(AND(GB503&gt;=RULE_START,GC503=1,GM503&lt;0),GB503,9999)</f>
        <v>2039</v>
      </c>
      <c r="GY503">
        <f>IF(AND(GB503&gt;=RULE_START,GC503=1,GN503&lt;0),GB503,9999)</f>
        <v>2039</v>
      </c>
      <c r="GZ503">
        <f>IF(AND(GB503&gt;=RULE_START,GC503=1,GO503&lt;0),GB503,9999)</f>
        <v>9999</v>
      </c>
      <c r="HB503" t="n">
        <v>2039</v>
      </c>
      <c r="HC503">
        <f>IF(HB503&lt;=RULE_START+$HB$38-1,1,0)</f>
        <v>1</v>
      </c>
      <c r="HD503" s="15">
        <f>IF(HB503=2024,G_IDX_2024,IF(HB503=2025,G_IDX_2025,IF(HB503=2026,G_IDX_2026,IF(HB503=2027,G_IDX_2027,$HB$13))))</f>
        <v>0.033</v>
      </c>
      <c r="HE503" s="8">
        <f>$HB$20*(1+G_HI)^(HB503-COST_DATE)</f>
        <v>816.1362459419712</v>
      </c>
      <c r="HF503" s="8">
        <f>HF502*(1+HD503)</f>
        <v>755.31596422484</v>
      </c>
      <c r="HG503" s="8">
        <f>IF(HB503&lt;RULE_START,HF503,HG502*(1+G_HI))</f>
        <v>826.3767616539384</v>
      </c>
      <c r="HH503" s="8">
        <f>IF(HB503&lt;RULE_START,HF503,IF(HI503=1,R_NF_2024*(1+G_HI)^(HB503-2024),HH502*(1+HD503)))</f>
        <v>869.8726907112308</v>
      </c>
      <c r="HI503">
        <f>IF(AND(HB503&gt;=RULE_START,MOD(HB503-RULE_START,REBASE_YEARS)=0),1,0)</f>
        <v>1</v>
      </c>
      <c r="HJ503" s="8">
        <f>HF503*CAP_SHARE</f>
        <v>36.93293315138135</v>
      </c>
      <c r="HK503" s="8">
        <f>HG503*CAP_SHARE</f>
        <v>40.40761633754461</v>
      </c>
      <c r="HL503" s="8">
        <f>HH503*CAP_SHARE</f>
        <v>42.534451087924666</v>
      </c>
      <c r="HM503" s="8">
        <f>HF503-HJ503-HE503</f>
        <v>-97.7532148685126</v>
      </c>
      <c r="HN503" s="8">
        <f>HG503-HK503-HE503</f>
        <v>-30.167100625577405</v>
      </c>
      <c r="HO503" s="8">
        <f>HH503-HL503-HE503</f>
        <v>11.201993681334898</v>
      </c>
      <c r="HP503" s="8">
        <f>R_NF_2024*(1+G_HI)^(HB503-2024)</f>
        <v>869.8726907112308</v>
      </c>
      <c r="HQ503" s="10">
        <f>1-HF503/HP503</f>
        <v>0.13169366932617033</v>
      </c>
      <c r="HR503" s="10">
        <f>CPI_2023/(IF(HB503-1=2023,CPI_2023,IF(HB503-1=2024,CPI_2024,IF(HB503-1=2025,CPI_2025,CPI_2025*(1+INFL)^(HB503-1-2025)))))</f>
        <v>0.6968649318140737</v>
      </c>
      <c r="HS503" s="8">
        <f>$HB$21*ABS($HB$11)*(HG503-HF503)/HF503</f>
        <v>9379.40096700236</v>
      </c>
      <c r="HT503" s="8">
        <f>$HB$21*ABS($HB$11)*(HH503-HF503)/HF503</f>
        <v>15120.481475811543</v>
      </c>
      <c r="HU503" s="13">
        <f>(HG503-HF503)*MCD_NF_DAYS*HR503-HS503*MCD_SHARE_FREED*R_WAIT_2023</f>
        <v>21825297.92193713</v>
      </c>
      <c r="HV503" s="13">
        <f>(HH503-HF503)*MCD_NF_DAYS*HR503-HT503*MCD_SHARE_FREED*R_WAIT_2023</f>
        <v>35184444.51769596</v>
      </c>
      <c r="HW503" s="10">
        <f>IF(AND(HB503&gt;=RULE_START,HC503=1),1/(1+$HB$12)^(HB503-RULE_START+1),0)</f>
        <v>0.6809513399931775</v>
      </c>
      <c r="HX503">
        <f>IF(AND(HB503&gt;=RULE_START,HC503=1,HM503&lt;0),HB503,9999)</f>
        <v>2039</v>
      </c>
      <c r="HY503">
        <f>IF(AND(HB503&gt;=RULE_START,HC503=1,HN503&lt;0),HB503,9999)</f>
        <v>2039</v>
      </c>
      <c r="HZ503">
        <f>IF(AND(HB503&gt;=RULE_START,HC503=1,HO503&lt;0),HB503,9999)</f>
        <v>9999</v>
      </c>
      <c r="IB503" t="n">
        <v>2039</v>
      </c>
      <c r="IC503">
        <f>IF(IB503&lt;=RULE_START+$IB$38-1,1,0)</f>
        <v>1</v>
      </c>
      <c r="ID503" s="15">
        <f>IF(IB503=2024,G_IDX_2024,IF(IB503=2025,G_IDX_2025,IF(IB503=2026,G_IDX_2026,IF(IB503=2027,G_IDX_2027,$IB$13))))</f>
        <v>0.033</v>
      </c>
      <c r="IE503" s="8">
        <f>$IB$20*(1+G_HI)^(IB503-COST_DATE)</f>
        <v>816.1362459419712</v>
      </c>
      <c r="IF503" s="8">
        <f>IF502*(1+ID503)</f>
        <v>755.31596422484</v>
      </c>
      <c r="IG503" s="8">
        <f>IF(IB503&lt;RULE_START,IF503,IG502*(1+G_HI))</f>
        <v>826.3767616539384</v>
      </c>
      <c r="IH503" s="8">
        <f>IF(IB503&lt;RULE_START,IF503,IF(II503=1,R_NF_2024*(1+G_HI)^(IB503-2024),IH502*(1+ID503)))</f>
        <v>869.8726907112308</v>
      </c>
      <c r="II503">
        <f>IF(AND(IB503&gt;=RULE_START,MOD(IB503-RULE_START,REBASE_YEARS)=0),1,0)</f>
        <v>1</v>
      </c>
      <c r="IJ503" s="8">
        <f>IF503*CAP_SHARE</f>
        <v>36.93293315138135</v>
      </c>
      <c r="IK503" s="8">
        <f>IG503*CAP_SHARE</f>
        <v>40.40761633754461</v>
      </c>
      <c r="IL503" s="8">
        <f>IH503*CAP_SHARE</f>
        <v>42.534451087924666</v>
      </c>
      <c r="IM503" s="8">
        <f>IF503-IJ503-IE503</f>
        <v>-97.7532148685126</v>
      </c>
      <c r="IN503" s="8">
        <f>IG503-IK503-IE503</f>
        <v>-30.167100625577405</v>
      </c>
      <c r="IO503" s="8">
        <f>IH503-IL503-IE503</f>
        <v>11.201993681334898</v>
      </c>
      <c r="IP503" s="8">
        <f>R_NF_2024*(1+G_HI)^(IB503-2024)</f>
        <v>869.8726907112308</v>
      </c>
      <c r="IQ503" s="10">
        <f>1-IF503/IP503</f>
        <v>0.13169366932617033</v>
      </c>
      <c r="IR503" s="10">
        <f>CPI_2023/(IF(IB503-1=2023,CPI_2023,IF(IB503-1=2024,CPI_2024,IF(IB503-1=2025,CPI_2025,CPI_2025*(1+INFL)^(IB503-1-2025)))))</f>
        <v>0.6968649318140737</v>
      </c>
      <c r="IS503" s="8">
        <f>$IB$21*ABS($IB$11)*(IG503-IF503)/IF503</f>
        <v>9379.40096700236</v>
      </c>
      <c r="IT503" s="8">
        <f>$IB$21*ABS($IB$11)*(IH503-IF503)/IF503</f>
        <v>15120.481475811543</v>
      </c>
      <c r="IU503" s="13">
        <f>(IG503-IF503)*MCD_NF_DAYS*IR503-IS503*MCD_SHARE_FREED*R_WAIT_2023</f>
        <v>21825297.92193713</v>
      </c>
      <c r="IV503" s="13">
        <f>(IH503-IF503)*MCD_NF_DAYS*IR503-IT503*MCD_SHARE_FREED*R_WAIT_2023</f>
        <v>35184444.51769596</v>
      </c>
      <c r="IW503" s="10">
        <f>IF(AND(IB503&gt;=RULE_START,IC503=1),1/(1+$IB$12)^(IB503-RULE_START+1),0)</f>
        <v>0.41496444788853737</v>
      </c>
      <c r="IX503">
        <f>IF(AND(IB503&gt;=RULE_START,IC503=1,IM503&lt;0),IB503,9999)</f>
        <v>2039</v>
      </c>
      <c r="IY503">
        <f>IF(AND(IB503&gt;=RULE_START,IC503=1,IN503&lt;0),IB503,9999)</f>
        <v>2039</v>
      </c>
      <c r="IZ503">
        <f>IF(AND(IB503&gt;=RULE_START,IC503=1,IO503&lt;0),IB503,9999)</f>
        <v>9999</v>
      </c>
      <c r="JB503" t="n">
        <v>2039</v>
      </c>
      <c r="JC503">
        <f>IF(JB503&lt;=RULE_START+$JB$38-1,1,0)</f>
        <v>1</v>
      </c>
      <c r="JD503" s="15">
        <f>IF(JB503=2024,G_IDX_2024,IF(JB503=2025,G_IDX_2025,IF(JB503=2026,G_IDX_2026,IF(JB503=2027,G_IDX_2027,$JB$13))))</f>
        <v>0.03</v>
      </c>
      <c r="JE503" s="8">
        <f>$JB$20*(1+G_HI)^(JB503-COST_DATE)</f>
        <v>816.1362459419712</v>
      </c>
      <c r="JF503" s="8">
        <f>JF502*(1+JD503)</f>
        <v>729.4096458245193</v>
      </c>
      <c r="JG503" s="8">
        <f>IF(JB503&lt;RULE_START,JF503,JG502*(1+G_HI))</f>
        <v>826.3767616539384</v>
      </c>
      <c r="JH503" s="8">
        <f>IF(JB503&lt;RULE_START,JF503,IF(JI503=1,R_NF_2024*(1+G_HI)^(JB503-2024),JH502*(1+JD503)))</f>
        <v>869.8726907112308</v>
      </c>
      <c r="JI503">
        <f>IF(AND(JB503&gt;=RULE_START,MOD(JB503-RULE_START,REBASE_YEARS)=0),1,0)</f>
        <v>1</v>
      </c>
      <c r="JJ503" s="8">
        <f>JF503*CAP_SHARE</f>
        <v>35.66618337910641</v>
      </c>
      <c r="JK503" s="8">
        <f>JG503*CAP_SHARE</f>
        <v>40.40761633754461</v>
      </c>
      <c r="JL503" s="8">
        <f>JH503*CAP_SHARE</f>
        <v>42.534451087924666</v>
      </c>
      <c r="JM503" s="8">
        <f>JF503-JJ503-JE503</f>
        <v>-122.39278349655831</v>
      </c>
      <c r="JN503" s="8">
        <f>JG503-JK503-JE503</f>
        <v>-30.167100625577405</v>
      </c>
      <c r="JO503" s="8">
        <f>JH503-JL503-JE503</f>
        <v>11.201993681334898</v>
      </c>
      <c r="JP503" s="8">
        <f>R_NF_2024*(1+G_HI)^(JB503-2024)</f>
        <v>869.8726907112308</v>
      </c>
      <c r="JQ503" s="10">
        <f>1-JF503/JP503</f>
        <v>0.16147540483408573</v>
      </c>
      <c r="JR503" s="10">
        <f>CPI_2023/(IF(JB503-1=2023,CPI_2023,IF(JB503-1=2024,CPI_2024,IF(JB503-1=2025,CPI_2025,CPI_2025*(1+INFL)^(JB503-1-2025)))))</f>
        <v>0.6968649318140737</v>
      </c>
      <c r="JS503" s="8">
        <f>$JB$21*ABS($JB$11)*(JG503-JF503)/JF503</f>
        <v>13253.380466679955</v>
      </c>
      <c r="JT503" s="8">
        <f>$JB$21*ABS($JB$11)*(JH503-JF503)/JF503</f>
        <v>19198.365956009322</v>
      </c>
      <c r="JU503" s="13">
        <f>(JG503-JF503)*MCD_NF_DAYS*JR503-JS503*MCD_SHARE_FREED*R_WAIT_2023</f>
        <v>29575346.683226995</v>
      </c>
      <c r="JV503" s="13">
        <f>(JH503-JF503)*MCD_NF_DAYS*JR503-JT503*MCD_SHARE_FREED*R_WAIT_2023</f>
        <v>42841773.86500962</v>
      </c>
      <c r="JW503" s="10">
        <f>IF(AND(JB503&gt;=RULE_START,JC503=1),1/(1+$JB$12)^(JB503-RULE_START+1),0)</f>
        <v>0.773032525080055</v>
      </c>
      <c r="JX503">
        <f>IF(AND(JB503&gt;=RULE_START,JC503=1,JM503&lt;0),JB503,9999)</f>
        <v>2039</v>
      </c>
      <c r="JY503">
        <f>IF(AND(JB503&gt;=RULE_START,JC503=1,JN503&lt;0),JB503,9999)</f>
        <v>2039</v>
      </c>
      <c r="JZ503">
        <f>IF(AND(JB503&gt;=RULE_START,JC503=1,JO503&lt;0),JB503,9999)</f>
        <v>9999</v>
      </c>
      <c r="KB503" t="n">
        <v>2039</v>
      </c>
      <c r="KC503">
        <f>IF(KB503&lt;=RULE_START+$KB$38-1,1,0)</f>
        <v>1</v>
      </c>
      <c r="KD503" s="15">
        <f>IF(KB503=2024,G_IDX_2024,IF(KB503=2025,G_IDX_2025,IF(KB503=2026,G_IDX_2026,IF(KB503=2027,G_IDX_2027,$KB$13))))</f>
        <v>0.033</v>
      </c>
      <c r="KE503" s="8">
        <f>$KB$20*(1+G_HI)^(KB503-COST_DATE)</f>
        <v>816.1362459419712</v>
      </c>
      <c r="KF503" s="8">
        <f>KF502*(1+KD503)</f>
        <v>755.31596422484</v>
      </c>
      <c r="KG503" s="8">
        <f>IF(KB503&lt;RULE_START,KF503,KG502*(1+G_HI))</f>
        <v>826.3767616539384</v>
      </c>
      <c r="KH503" s="8">
        <f>IF(KB503&lt;RULE_START,KF503,IF(KI503=1,R_NF_2024*(1+G_HI)^(KB503-2024),KH502*(1+KD503)))</f>
        <v>869.8726907112308</v>
      </c>
      <c r="KI503">
        <f>IF(AND(KB503&gt;=RULE_START,MOD(KB503-RULE_START,REBASE_YEARS)=0),1,0)</f>
        <v>1</v>
      </c>
      <c r="KJ503" s="8">
        <f>KF503*CAP_SHARE</f>
        <v>36.93293315138135</v>
      </c>
      <c r="KK503" s="8">
        <f>KG503*CAP_SHARE</f>
        <v>40.40761633754461</v>
      </c>
      <c r="KL503" s="8">
        <f>KH503*CAP_SHARE</f>
        <v>42.534451087924666</v>
      </c>
      <c r="KM503" s="8">
        <f>KF503-KJ503-KE503</f>
        <v>-97.7532148685126</v>
      </c>
      <c r="KN503" s="8">
        <f>KG503-KK503-KE503</f>
        <v>-30.167100625577405</v>
      </c>
      <c r="KO503" s="8">
        <f>KH503-KL503-KE503</f>
        <v>11.201993681334898</v>
      </c>
      <c r="KP503" s="8">
        <f>R_NF_2024*(1+G_HI)^(KB503-2024)</f>
        <v>869.8726907112308</v>
      </c>
      <c r="KQ503" s="10">
        <f>1-KF503/KP503</f>
        <v>0.13169366932617033</v>
      </c>
      <c r="KR503" s="10">
        <f>CPI_2023/(IF(KB503-1=2023,CPI_2023,IF(KB503-1=2024,CPI_2024,IF(KB503-1=2025,CPI_2025,CPI_2025*(1+INFL)^(KB503-1-2025)))))</f>
        <v>0.6968649318140737</v>
      </c>
      <c r="KS503" s="8">
        <f>$KB$21*ABS($KB$11)*(KG503-KF503)/KF503</f>
        <v>9379.40096700236</v>
      </c>
      <c r="KT503" s="8">
        <f>$KB$21*ABS($KB$11)*(KH503-KF503)/KF503</f>
        <v>15120.481475811543</v>
      </c>
      <c r="KU503" s="13">
        <f>(KG503-KF503)*MCD_NF_DAYS*KR503-KS503*MCD_SHARE_FREED*R_WAIT_2023</f>
        <v>21825297.92193713</v>
      </c>
      <c r="KV503" s="13">
        <f>(KH503-KF503)*MCD_NF_DAYS*KR503-KT503*MCD_SHARE_FREED*R_WAIT_2023</f>
        <v>35184444.51769596</v>
      </c>
      <c r="KW503" s="10">
        <f>IF(AND(KB503&gt;=RULE_START,KC503=1),1/(1+$KB$12)^(KB503-RULE_START+1),0)</f>
        <v>0.773032525080055</v>
      </c>
      <c r="KX503">
        <f>IF(AND(KB503&gt;=RULE_START,KC503=1,KM503&lt;0),KB503,9999)</f>
        <v>2039</v>
      </c>
      <c r="KY503">
        <f>IF(AND(KB503&gt;=RULE_START,KC503=1,KN503&lt;0),KB503,9999)</f>
        <v>2039</v>
      </c>
      <c r="KZ503">
        <f>IF(AND(KB503&gt;=RULE_START,KC503=1,KO503&lt;0),KB503,9999)</f>
        <v>9999</v>
      </c>
      <c r="LB503" t="n">
        <v>2039</v>
      </c>
      <c r="LC503">
        <f>IF(LB503&lt;=RULE_START+$LB$38-1,1,0)</f>
        <v>1</v>
      </c>
      <c r="LD503" s="15">
        <f>IF(LB503=2024,G_IDX_2024,IF(LB503=2025,G_IDX_2025,IF(LB503=2026,G_IDX_2026,IF(LB503=2027,G_IDX_2027,$LB$13))))</f>
        <v>0.033</v>
      </c>
      <c r="LE503" s="8">
        <f>$LB$20*(1+G_HI)^(LB503-COST_DATE)</f>
        <v>816.1362459419712</v>
      </c>
      <c r="LF503" s="8">
        <f>LF502*(1+LD503)</f>
        <v>755.31596422484</v>
      </c>
      <c r="LG503" s="8">
        <f>IF(LB503&lt;RULE_START,LF503,LG502*(1+G_HI))</f>
        <v>826.3767616539384</v>
      </c>
      <c r="LH503" s="8">
        <f>IF(LB503&lt;RULE_START,LF503,IF(LI503=1,R_NF_2024*(1+G_HI)^(LB503-2024),LH502*(1+LD503)))</f>
        <v>869.8726907112308</v>
      </c>
      <c r="LI503">
        <f>IF(AND(LB503&gt;=RULE_START,MOD(LB503-RULE_START,REBASE_YEARS)=0),1,0)</f>
        <v>1</v>
      </c>
      <c r="LJ503" s="8">
        <f>LF503*CAP_SHARE</f>
        <v>36.93293315138135</v>
      </c>
      <c r="LK503" s="8">
        <f>LG503*CAP_SHARE</f>
        <v>40.40761633754461</v>
      </c>
      <c r="LL503" s="8">
        <f>LH503*CAP_SHARE</f>
        <v>42.534451087924666</v>
      </c>
      <c r="LM503" s="8">
        <f>LF503-LJ503-LE503</f>
        <v>-97.7532148685126</v>
      </c>
      <c r="LN503" s="8">
        <f>LG503-LK503-LE503</f>
        <v>-30.167100625577405</v>
      </c>
      <c r="LO503" s="8">
        <f>LH503-LL503-LE503</f>
        <v>11.201993681334898</v>
      </c>
      <c r="LP503" s="8">
        <f>R_NF_2024*(1+G_HI)^(LB503-2024)</f>
        <v>869.8726907112308</v>
      </c>
      <c r="LQ503" s="10">
        <f>1-LF503/LP503</f>
        <v>0.13169366932617033</v>
      </c>
      <c r="LR503" s="10">
        <f>CPI_2023/(IF(LB503-1=2023,CPI_2023,IF(LB503-1=2024,CPI_2024,IF(LB503-1=2025,CPI_2025,CPI_2025*(1+INFL)^(LB503-1-2025)))))</f>
        <v>0.6968649318140737</v>
      </c>
      <c r="LS503" s="8">
        <f>$LB$21*ABS($LB$11)*(LG503-LF503)/LF503</f>
        <v>9379.40096700236</v>
      </c>
      <c r="LT503" s="8">
        <f>$LB$21*ABS($LB$11)*(LH503-LF503)/LF503</f>
        <v>15120.481475811543</v>
      </c>
      <c r="LU503" s="13">
        <f>(LG503-LF503)*MCD_NF_DAYS*LR503-LS503*MCD_SHARE_FREED*R_WAIT_2023</f>
        <v>21825297.92193713</v>
      </c>
      <c r="LV503" s="13">
        <f>(LH503-LF503)*MCD_NF_DAYS*LR503-LT503*MCD_SHARE_FREED*R_WAIT_2023</f>
        <v>35184444.51769596</v>
      </c>
      <c r="LW503" s="10">
        <f>IF(AND(LB503&gt;=RULE_START,LC503=1),1/(1+$LB$12)^(LB503-RULE_START+1),0)</f>
        <v>0.773032525080055</v>
      </c>
      <c r="LX503">
        <f>IF(AND(LB503&gt;=RULE_START,LC503=1,LM503&lt;0),LB503,9999)</f>
        <v>2039</v>
      </c>
      <c r="LY503">
        <f>IF(AND(LB503&gt;=RULE_START,LC503=1,LN503&lt;0),LB503,9999)</f>
        <v>2039</v>
      </c>
      <c r="LZ503">
        <f>IF(AND(LB503&gt;=RULE_START,LC503=1,LO503&lt;0),LB503,9999)</f>
        <v>9999</v>
      </c>
      <c r="MB503" t="n">
        <v>2039</v>
      </c>
      <c r="MC503">
        <f>IF(MB503&lt;=RULE_START+$MB$38-1,1,0)</f>
        <v>1</v>
      </c>
      <c r="MD503" s="15">
        <f>IF(MB503=2024,G_IDX_2024,IF(MB503=2025,G_IDX_2025,IF(MB503=2026,G_IDX_2026,IF(MB503=2027,G_IDX_2027,$MB$13))))</f>
        <v>0.033</v>
      </c>
      <c r="ME503" s="8">
        <f>$MB$20*(1+G_HI)^(MB503-COST_DATE)</f>
        <v>816.1362459419712</v>
      </c>
      <c r="MF503" s="8">
        <f>MF502*(1+MD503)</f>
        <v>755.31596422484</v>
      </c>
      <c r="MG503" s="8">
        <f>IF(MB503&lt;RULE_START,MF503,MG502*(1+G_HI))</f>
        <v>826.3767616539384</v>
      </c>
      <c r="MH503" s="8">
        <f>IF(MB503&lt;RULE_START,MF503,IF(MI503=1,R_NF_2024*(1+G_HI)^(MB503-2024),MH502*(1+MD503)))</f>
        <v>869.8726907112308</v>
      </c>
      <c r="MI503">
        <f>IF(AND(MB503&gt;=RULE_START,MOD(MB503-RULE_START,REBASE_YEARS)=0),1,0)</f>
        <v>1</v>
      </c>
      <c r="MJ503" s="8">
        <f>MF503*CAP_SHARE</f>
        <v>36.93293315138135</v>
      </c>
      <c r="MK503" s="8">
        <f>MG503*CAP_SHARE</f>
        <v>40.40761633754461</v>
      </c>
      <c r="ML503" s="8">
        <f>MH503*CAP_SHARE</f>
        <v>42.534451087924666</v>
      </c>
      <c r="MM503" s="8">
        <f>MF503-MJ503-ME503</f>
        <v>-97.7532148685126</v>
      </c>
      <c r="MN503" s="8">
        <f>MG503-MK503-ME503</f>
        <v>-30.167100625577405</v>
      </c>
      <c r="MO503" s="8">
        <f>MH503-ML503-ME503</f>
        <v>11.201993681334898</v>
      </c>
      <c r="MP503" s="8">
        <f>R_NF_2024*(1+G_HI)^(MB503-2024)</f>
        <v>869.8726907112308</v>
      </c>
      <c r="MQ503" s="10">
        <f>1-MF503/MP503</f>
        <v>0.13169366932617033</v>
      </c>
      <c r="MR503" s="10">
        <f>CPI_2023/(IF(MB503-1=2023,CPI_2023,IF(MB503-1=2024,CPI_2024,IF(MB503-1=2025,CPI_2025,CPI_2025*(1+INFL)^(MB503-1-2025)))))</f>
        <v>0.6968649318140737</v>
      </c>
      <c r="MS503" s="8">
        <f>$MB$21*ABS($MB$11)*(MG503-MF503)/MF503</f>
        <v>6871.251829394993</v>
      </c>
      <c r="MT503" s="8">
        <f>$MB$21*ABS($MB$11)*(MH503-MF503)/MF503</f>
        <v>11077.107841697094</v>
      </c>
      <c r="MU503" s="13">
        <f>(MG503-MF503)*MCD_NF_DAYS*MR503-MS503*MCD_SHARE_FREED*R_WAIT_2023</f>
        <v>22965800.314819437</v>
      </c>
      <c r="MV503" s="13">
        <f>(MH503-MF503)*MCD_NF_DAYS*MR503-MT503*MCD_SHARE_FREED*R_WAIT_2023</f>
        <v>37023042.245350964</v>
      </c>
      <c r="MW503" s="10">
        <f>IF(AND(MB503&gt;=RULE_START,MC503=1),1/(1+$MB$12)^(MB503-RULE_START+1),0)</f>
        <v>0.773032525080055</v>
      </c>
      <c r="MX503">
        <f>IF(AND(MB503&gt;=RULE_START,MC503=1,MM503&lt;0),MB503,9999)</f>
        <v>2039</v>
      </c>
      <c r="MY503">
        <f>IF(AND(MB503&gt;=RULE_START,MC503=1,MN503&lt;0),MB503,9999)</f>
        <v>2039</v>
      </c>
      <c r="MZ503">
        <f>IF(AND(MB503&gt;=RULE_START,MC503=1,MO503&lt;0),MB503,9999)</f>
        <v>9999</v>
      </c>
      <c r="NB503" t="n">
        <v>2039</v>
      </c>
      <c r="NC503">
        <f>IF(NB503&lt;=RULE_START+$NB$38-1,1,0)</f>
        <v>1</v>
      </c>
      <c r="ND503" s="15">
        <f>IF(NB503=2024,G_IDX_2024,IF(NB503=2025,G_IDX_2025,IF(NB503=2026,G_IDX_2026,IF(NB503=2027,G_IDX_2027,$NB$13))))</f>
        <v>0.033</v>
      </c>
      <c r="NE503" s="8">
        <f>$NB$20*(1+G_HI)^(NB503-COST_DATE)</f>
        <v>816.1362459419712</v>
      </c>
      <c r="NF503" s="8">
        <f>NF502*(1+ND503)</f>
        <v>755.31596422484</v>
      </c>
      <c r="NG503" s="8">
        <f>IF(NB503&lt;RULE_START,NF503,NG502*(1+G_HI))</f>
        <v>826.3767616539384</v>
      </c>
      <c r="NH503" s="8">
        <f>IF(NB503&lt;RULE_START,NF503,IF(NI503=1,R_NF_2024*(1+G_HI)^(NB503-2024),NH502*(1+ND503)))</f>
        <v>869.8726907112308</v>
      </c>
      <c r="NI503">
        <f>IF(AND(NB503&gt;=RULE_START,MOD(NB503-RULE_START,REBASE_YEARS)=0),1,0)</f>
        <v>1</v>
      </c>
      <c r="NJ503" s="8">
        <f>NF503*CAP_SHARE</f>
        <v>36.93293315138135</v>
      </c>
      <c r="NK503" s="8">
        <f>NG503*CAP_SHARE</f>
        <v>40.40761633754461</v>
      </c>
      <c r="NL503" s="8">
        <f>NH503*CAP_SHARE</f>
        <v>42.534451087924666</v>
      </c>
      <c r="NM503" s="8">
        <f>NF503-NJ503-NE503</f>
        <v>-97.7532148685126</v>
      </c>
      <c r="NN503" s="8">
        <f>NG503-NK503-NE503</f>
        <v>-30.167100625577405</v>
      </c>
      <c r="NO503" s="8">
        <f>NH503-NL503-NE503</f>
        <v>11.201993681334898</v>
      </c>
      <c r="NP503" s="8">
        <f>R_NF_2024*(1+G_HI)^(NB503-2024)</f>
        <v>869.8726907112308</v>
      </c>
      <c r="NQ503" s="10">
        <f>1-NF503/NP503</f>
        <v>0.13169366932617033</v>
      </c>
      <c r="NR503" s="10">
        <f>CPI_2023/(IF(NB503-1=2023,CPI_2023,IF(NB503-1=2024,CPI_2024,IF(NB503-1=2025,CPI_2025,CPI_2025*(1+INFL)^(NB503-1-2025)))))</f>
        <v>0.6968649318140737</v>
      </c>
      <c r="NS503" s="8">
        <f>$NB$21*ABS($NB$11)*(NG503-NF503)/NF503</f>
        <v>9379.40096700236</v>
      </c>
      <c r="NT503" s="8">
        <f>$NB$21*ABS($NB$11)*(NH503-NF503)/NF503</f>
        <v>15120.481475811543</v>
      </c>
      <c r="NU503" s="13">
        <f>(NG503-NF503)*MCD_NF_DAYS*NR503-NS503*MCD_SHARE_FREED*R_WAIT_2023</f>
        <v>21825297.92193713</v>
      </c>
      <c r="NV503" s="13">
        <f>(NH503-NF503)*MCD_NF_DAYS*NR503-NT503*MCD_SHARE_FREED*R_WAIT_2023</f>
        <v>35184444.51769596</v>
      </c>
      <c r="NW503" s="10">
        <f>IF(AND(NB503&gt;=RULE_START,NC503=1),1/(1+$NB$12)^(NB503-RULE_START+1),0)</f>
        <v>0.773032525080055</v>
      </c>
      <c r="NX503">
        <f>IF(AND(NB503&gt;=RULE_START,NC503=1,NM503&lt;0),NB503,9999)</f>
        <v>2039</v>
      </c>
      <c r="NY503">
        <f>IF(AND(NB503&gt;=RULE_START,NC503=1,NN503&lt;0),NB503,9999)</f>
        <v>2039</v>
      </c>
      <c r="NZ503">
        <f>IF(AND(NB503&gt;=RULE_START,NC503=1,NO503&lt;0),NB503,9999)</f>
        <v>9999</v>
      </c>
      <c r="OB503" t="n">
        <v>2039</v>
      </c>
      <c r="OC503">
        <f>IF(OB503&lt;=RULE_START+$OB$38-1,1,0)</f>
        <v>1</v>
      </c>
      <c r="OD503" s="15">
        <f>IF(OB503=2024,G_IDX_2024,IF(OB503=2025,G_IDX_2025,IF(OB503=2026,G_IDX_2026,IF(OB503=2027,G_IDX_2027,$OB$13))))</f>
        <v>0.033</v>
      </c>
      <c r="OE503" s="8">
        <f>$OB$20*(1+G_HI)^(OB503-COST_DATE)</f>
        <v>816.1362459419712</v>
      </c>
      <c r="OF503" s="8">
        <f>OF502*(1+OD503)</f>
        <v>755.31596422484</v>
      </c>
      <c r="OG503" s="8">
        <f>IF(OB503&lt;RULE_START,OF503,OG502*(1+G_HI))</f>
        <v>826.3767616539384</v>
      </c>
      <c r="OH503" s="8">
        <f>IF(OB503&lt;RULE_START,OF503,IF(OI503=1,R_NF_2024*(1+G_HI)^(OB503-2024),OH502*(1+OD503)))</f>
        <v>869.8726907112308</v>
      </c>
      <c r="OI503">
        <f>IF(AND(OB503&gt;=RULE_START,MOD(OB503-RULE_START,REBASE_YEARS)=0),1,0)</f>
        <v>1</v>
      </c>
      <c r="OJ503" s="8">
        <f>OF503*CAP_SHARE</f>
        <v>36.93293315138135</v>
      </c>
      <c r="OK503" s="8">
        <f>OG503*CAP_SHARE</f>
        <v>40.40761633754461</v>
      </c>
      <c r="OL503" s="8">
        <f>OH503*CAP_SHARE</f>
        <v>42.534451087924666</v>
      </c>
      <c r="OM503" s="8">
        <f>OF503-OJ503-OE503</f>
        <v>-97.7532148685126</v>
      </c>
      <c r="ON503" s="8">
        <f>OG503-OK503-OE503</f>
        <v>-30.167100625577405</v>
      </c>
      <c r="OO503" s="8">
        <f>OH503-OL503-OE503</f>
        <v>11.201993681334898</v>
      </c>
      <c r="OP503" s="8">
        <f>R_NF_2024*(1+G_HI)^(OB503-2024)</f>
        <v>869.8726907112308</v>
      </c>
      <c r="OQ503" s="10">
        <f>1-OF503/OP503</f>
        <v>0.13169366932617033</v>
      </c>
      <c r="OR503" s="10">
        <f>CPI_2023/(IF(OB503-1=2023,CPI_2023,IF(OB503-1=2024,CPI_2024,IF(OB503-1=2025,CPI_2025,CPI_2025*(1+INFL)^(OB503-1-2025)))))</f>
        <v>0.6968649318140737</v>
      </c>
      <c r="OS503" s="8">
        <f>$OB$21*ABS($OB$11)*(OG503-OF503)/OF503</f>
        <v>9379.40096700236</v>
      </c>
      <c r="OT503" s="8">
        <f>$OB$21*ABS($OB$11)*(OH503-OF503)/OF503</f>
        <v>15120.481475811543</v>
      </c>
      <c r="OU503" s="13">
        <f>(OG503-OF503)*MCD_NF_DAYS*OR503-OS503*MCD_SHARE_FREED*R_WAIT_2023</f>
        <v>21825297.92193713</v>
      </c>
      <c r="OV503" s="13">
        <f>(OH503-OF503)*MCD_NF_DAYS*OR503-OT503*MCD_SHARE_FREED*R_WAIT_2023</f>
        <v>35184444.51769596</v>
      </c>
      <c r="OW503" s="10">
        <f>IF(AND(OB503&gt;=RULE_START,OC503=1),1/(1+$OB$12)^(OB503-RULE_START+1),0)</f>
        <v>0.773032525080055</v>
      </c>
      <c r="OX503">
        <f>IF(AND(OB503&gt;=RULE_START,OC503=1,OM503&lt;0),OB503,9999)</f>
        <v>2039</v>
      </c>
      <c r="OY503">
        <f>IF(AND(OB503&gt;=RULE_START,OC503=1,ON503&lt;0),OB503,9999)</f>
        <v>2039</v>
      </c>
      <c r="OZ503">
        <f>IF(AND(OB503&gt;=RULE_START,OC503=1,OO503&lt;0),OB503,9999)</f>
        <v>9999</v>
      </c>
    </row>
    <row r="504">
      <c r="B504" t="n">
        <v>2040</v>
      </c>
      <c r="C504">
        <f>IF(B504&lt;=RULE_START+$B$38-1,1,0)</f>
        <v>1</v>
      </c>
      <c r="D504" s="15">
        <f>IF(B504=2024,G_IDX_2024,IF(B504=2025,G_IDX_2025,IF(B504=2026,G_IDX_2026,IF(B504=2027,G_IDX_2027,$B$13))))</f>
        <v>0.033</v>
      </c>
      <c r="E504" s="8">
        <f>$B$20*(1+G_HI)^(B504-COST_DATE)</f>
        <v>848.9200480805729</v>
      </c>
      <c r="F504" s="8">
        <f>F503*(1+D504)</f>
        <v>780.2413910442596</v>
      </c>
      <c r="G504" s="8">
        <f>IF(B504&lt;RULE_START,F504,G503*(1+G_HI))</f>
        <v>859.5719204043406</v>
      </c>
      <c r="H504" s="8">
        <f>IF(B504&lt;RULE_START,F504,IF(I504=1,R_NF_2024*(1+G_HI)^(B504-2024),H503*(1+D504)))</f>
        <v>898.5784895047013</v>
      </c>
      <c r="I504">
        <f>IF(AND(B504&gt;=RULE_START,MOD(B504-RULE_START,REBASE_YEARS)=0),1,0)</f>
        <v>0</v>
      </c>
      <c r="J504" s="8">
        <f>F504*CAP_SHARE</f>
        <v>38.151719945376925</v>
      </c>
      <c r="K504" s="8">
        <f>G504*CAP_SHARE</f>
        <v>42.03077093396083</v>
      </c>
      <c r="L504" s="8">
        <f>H504*CAP_SHARE</f>
        <v>43.93808797382618</v>
      </c>
      <c r="M504" s="8">
        <f>F504-J504-E504</f>
        <v>-106.83037698169028</v>
      </c>
      <c r="N504" s="8">
        <f>G504-K504-E504</f>
        <v>-31.37889861019312</v>
      </c>
      <c r="O504" s="8">
        <f>H504-L504-E504</f>
        <v>5.720353450302241</v>
      </c>
      <c r="P504" s="8">
        <f>R_NF_2024*(1+G_HI)^(B504-2024)</f>
        <v>904.8150601009586</v>
      </c>
      <c r="Q504" s="10">
        <f>1-F504/P504</f>
        <v>0.1376785981466745</v>
      </c>
      <c r="R504" s="10">
        <f>CPI_2023/(IF(B504-1=2023,CPI_2023,IF(B504-1=2024,CPI_2024,IF(B504-1=2025,CPI_2025,CPI_2025*(1+INFL)^(B504-1-2025)))))</f>
        <v>0.6813305942648357</v>
      </c>
      <c r="S504" s="8">
        <f>$B$21*ABS($B$11)*(G504-F504)/F504</f>
        <v>10136.430715819934</v>
      </c>
      <c r="T504" s="8">
        <f>$B$21*ABS($B$11)*(H504-F504)/F504</f>
        <v>15120.481475811544</v>
      </c>
      <c r="U504" s="13">
        <f>(G504-F504)*MCD_NF_DAYS*R504-S504*MCD_SHARE_FREED*R_WAIT_2023</f>
        <v>23868049.2534706</v>
      </c>
      <c r="V504" s="13">
        <f>(H504-F504)*MCD_NF_DAYS*R504-T504*MCD_SHARE_FREED*R_WAIT_2023</f>
        <v>35603893.19660702</v>
      </c>
      <c r="W504" s="10">
        <f>IF(AND(B504&gt;=RULE_START,C504=1),1/(1+$B$12)^(B504-RULE_START+1),0)</f>
        <v>0.7578750245882894</v>
      </c>
      <c r="X504">
        <f>IF(AND(B504&gt;=RULE_START,C504=1,M504&lt;0),B504,9999)</f>
        <v>2040</v>
      </c>
      <c r="Y504">
        <f>IF(AND(B504&gt;=RULE_START,C504=1,N504&lt;0),B504,9999)</f>
        <v>2040</v>
      </c>
      <c r="Z504">
        <f>IF(AND(B504&gt;=RULE_START,C504=1,O504&lt;0),B504,9999)</f>
        <v>9999</v>
      </c>
      <c r="AB504" t="n">
        <v>2040</v>
      </c>
      <c r="AC504">
        <f>IF(AB504&lt;=RULE_START+$AB$38-1,1,0)</f>
        <v>1</v>
      </c>
      <c r="AD504" s="15">
        <f>IF(AB504=2024,G_IDX_2024,IF(AB504=2025,G_IDX_2025,IF(AB504=2026,G_IDX_2026,IF(AB504=2027,G_IDX_2027,$AB$13))))</f>
        <v>0.033</v>
      </c>
      <c r="AE504" s="8">
        <f>$AB$20*(1+G_HI)^(AB504-COST_DATE)</f>
        <v>848.9200480805729</v>
      </c>
      <c r="AF504" s="8">
        <f>AF503*(1+AD504)</f>
        <v>780.2413910442596</v>
      </c>
      <c r="AG504" s="8">
        <f>IF(AB504&lt;RULE_START,AF504,AG503*(1+G_HI))</f>
        <v>859.5719204043406</v>
      </c>
      <c r="AH504" s="8">
        <f>IF(AB504&lt;RULE_START,AF504,IF(AI504=1,R_NF_2024*(1+G_HI)^(AB504-2024),AH503*(1+AD504)))</f>
        <v>898.5784895047013</v>
      </c>
      <c r="AI504">
        <f>IF(AND(AB504&gt;=RULE_START,MOD(AB504-RULE_START,REBASE_YEARS)=0),1,0)</f>
        <v>0</v>
      </c>
      <c r="AJ504" s="8">
        <f>AF504*CAP_SHARE</f>
        <v>38.151719945376925</v>
      </c>
      <c r="AK504" s="8">
        <f>AG504*CAP_SHARE</f>
        <v>42.03077093396083</v>
      </c>
      <c r="AL504" s="8">
        <f>AH504*CAP_SHARE</f>
        <v>43.93808797382618</v>
      </c>
      <c r="AM504" s="8">
        <f>AF504-AJ504-AE504</f>
        <v>-106.83037698169028</v>
      </c>
      <c r="AN504" s="8">
        <f>AG504-AK504-AE504</f>
        <v>-31.37889861019312</v>
      </c>
      <c r="AO504" s="8">
        <f>AH504-AL504-AE504</f>
        <v>5.720353450302241</v>
      </c>
      <c r="AP504" s="8">
        <f>R_NF_2024*(1+G_HI)^(AB504-2024)</f>
        <v>904.8150601009586</v>
      </c>
      <c r="AQ504" s="10">
        <f>1-AF504/AP504</f>
        <v>0.1376785981466745</v>
      </c>
      <c r="AR504" s="10">
        <f>CPI_2023/(IF(AB504-1=2023,CPI_2023,IF(AB504-1=2024,CPI_2024,IF(AB504-1=2025,CPI_2025,CPI_2025*(1+INFL)^(AB504-1-2025)))))</f>
        <v>0.6813305942648357</v>
      </c>
      <c r="AS504" s="8">
        <f>$AB$21*ABS($AB$11)*(AG504-AF504)/AF504</f>
        <v>10136.430715819934</v>
      </c>
      <c r="AT504" s="8">
        <f>$AB$21*ABS($AB$11)*(AH504-AF504)/AF504</f>
        <v>15120.481475811544</v>
      </c>
      <c r="AU504" s="13">
        <f>(AG504-AF504)*MCD_NF_DAYS*AR504-AS504*MCD_SHARE_FREED*R_WAIT_2023</f>
        <v>23868049.2534706</v>
      </c>
      <c r="AV504" s="13">
        <f>(AH504-AF504)*MCD_NF_DAYS*AR504-AT504*MCD_SHARE_FREED*R_WAIT_2023</f>
        <v>35603893.19660702</v>
      </c>
      <c r="AW504" s="10">
        <f>IF(AND(AB504&gt;=RULE_START,AC504=1),1/(1+$AB$12)^(AB504-RULE_START+1),0)</f>
        <v>0.7578750245882894</v>
      </c>
      <c r="AX504">
        <f>IF(AND(AB504&gt;=RULE_START,AC504=1,AM504&lt;0),AB504,9999)</f>
        <v>2040</v>
      </c>
      <c r="AY504">
        <f>IF(AND(AB504&gt;=RULE_START,AC504=1,AN504&lt;0),AB504,9999)</f>
        <v>2040</v>
      </c>
      <c r="AZ504">
        <f>IF(AND(AB504&gt;=RULE_START,AC504=1,AO504&lt;0),AB504,9999)</f>
        <v>9999</v>
      </c>
      <c r="BB504" t="n">
        <v>2040</v>
      </c>
      <c r="BC504">
        <f>IF(BB504&lt;=RULE_START+$BB$38-1,1,0)</f>
        <v>1</v>
      </c>
      <c r="BD504" s="15">
        <f>IF(BB504=2024,G_IDX_2024,IF(BB504=2025,G_IDX_2025,IF(BB504=2026,G_IDX_2026,IF(BB504=2027,G_IDX_2027,$BB$13))))</f>
        <v>0.033</v>
      </c>
      <c r="BE504" s="8">
        <f>$BB$20*(1+G_HI)^(BB504-COST_DATE)</f>
        <v>848.9200480805729</v>
      </c>
      <c r="BF504" s="8">
        <f>BF503*(1+BD504)</f>
        <v>780.2413910442596</v>
      </c>
      <c r="BG504" s="8">
        <f>IF(BB504&lt;RULE_START,BF504,BG503*(1+G_HI))</f>
        <v>859.5719204043406</v>
      </c>
      <c r="BH504" s="8">
        <f>IF(BB504&lt;RULE_START,BF504,IF(BI504=1,R_NF_2024*(1+G_HI)^(BB504-2024),BH503*(1+BD504)))</f>
        <v>898.5784895047013</v>
      </c>
      <c r="BI504">
        <f>IF(AND(BB504&gt;=RULE_START,MOD(BB504-RULE_START,REBASE_YEARS)=0),1,0)</f>
        <v>0</v>
      </c>
      <c r="BJ504" s="8">
        <f>BF504*CAP_SHARE</f>
        <v>38.151719945376925</v>
      </c>
      <c r="BK504" s="8">
        <f>BG504*CAP_SHARE</f>
        <v>42.03077093396083</v>
      </c>
      <c r="BL504" s="8">
        <f>BH504*CAP_SHARE</f>
        <v>43.93808797382618</v>
      </c>
      <c r="BM504" s="8">
        <f>BF504-BJ504-BE504</f>
        <v>-106.83037698169028</v>
      </c>
      <c r="BN504" s="8">
        <f>BG504-BK504-BE504</f>
        <v>-31.37889861019312</v>
      </c>
      <c r="BO504" s="8">
        <f>BH504-BL504-BE504</f>
        <v>5.720353450302241</v>
      </c>
      <c r="BP504" s="8">
        <f>R_NF_2024*(1+G_HI)^(BB504-2024)</f>
        <v>904.8150601009586</v>
      </c>
      <c r="BQ504" s="10">
        <f>1-BF504/BP504</f>
        <v>0.1376785981466745</v>
      </c>
      <c r="BR504" s="10">
        <f>CPI_2023/(IF(BB504-1=2023,CPI_2023,IF(BB504-1=2024,CPI_2024,IF(BB504-1=2025,CPI_2025,CPI_2025*(1+INFL)^(BB504-1-2025)))))</f>
        <v>0.6813305942648357</v>
      </c>
      <c r="BS504" s="8">
        <f>$BB$21*ABS($BB$11)*(BG504-BF504)/BF504</f>
        <v>10136.430715819934</v>
      </c>
      <c r="BT504" s="8">
        <f>$BB$21*ABS($BB$11)*(BH504-BF504)/BF504</f>
        <v>15120.481475811544</v>
      </c>
      <c r="BU504" s="13">
        <f>(BG504-BF504)*MCD_NF_DAYS*BR504-BS504*MCD_SHARE_FREED*R_WAIT_2023</f>
        <v>23868049.2534706</v>
      </c>
      <c r="BV504" s="13">
        <f>(BH504-BF504)*MCD_NF_DAYS*BR504-BT504*MCD_SHARE_FREED*R_WAIT_2023</f>
        <v>35603893.19660702</v>
      </c>
      <c r="BW504" s="10">
        <f>IF(AND(BB504&gt;=RULE_START,BC504=1),1/(1+$BB$12)^(BB504-RULE_START+1),0)</f>
        <v>0.7578750245882894</v>
      </c>
      <c r="BX504">
        <f>IF(AND(BB504&gt;=RULE_START,BC504=1,BM504&lt;0),BB504,9999)</f>
        <v>2040</v>
      </c>
      <c r="BY504">
        <f>IF(AND(BB504&gt;=RULE_START,BC504=1,BN504&lt;0),BB504,9999)</f>
        <v>2040</v>
      </c>
      <c r="BZ504">
        <f>IF(AND(BB504&gt;=RULE_START,BC504=1,BO504&lt;0),BB504,9999)</f>
        <v>9999</v>
      </c>
      <c r="CB504" t="n">
        <v>2040</v>
      </c>
      <c r="CC504">
        <f>IF(CB504&lt;=RULE_START+$CB$38-1,1,0)</f>
        <v>1</v>
      </c>
      <c r="CD504" s="15">
        <f>IF(CB504=2024,G_IDX_2024,IF(CB504=2025,G_IDX_2025,IF(CB504=2026,G_IDX_2026,IF(CB504=2027,G_IDX_2027,$CB$13))))</f>
        <v>0.033</v>
      </c>
      <c r="CE504" s="8">
        <f>$CB$20*(1+G_HI)^(CB504-COST_DATE)</f>
        <v>848.9200480805729</v>
      </c>
      <c r="CF504" s="8">
        <f>CF503*(1+CD504)</f>
        <v>780.2413910442596</v>
      </c>
      <c r="CG504" s="8">
        <f>IF(CB504&lt;RULE_START,CF504,CG503*(1+G_HI))</f>
        <v>859.5719204043406</v>
      </c>
      <c r="CH504" s="8">
        <f>IF(CB504&lt;RULE_START,CF504,IF(CI504=1,R_NF_2024*(1+G_HI)^(CB504-2024),CH503*(1+CD504)))</f>
        <v>898.5784895047013</v>
      </c>
      <c r="CI504">
        <f>IF(AND(CB504&gt;=RULE_START,MOD(CB504-RULE_START,REBASE_YEARS)=0),1,0)</f>
        <v>0</v>
      </c>
      <c r="CJ504" s="8">
        <f>CF504*CAP_SHARE</f>
        <v>38.151719945376925</v>
      </c>
      <c r="CK504" s="8">
        <f>CG504*CAP_SHARE</f>
        <v>42.03077093396083</v>
      </c>
      <c r="CL504" s="8">
        <f>CH504*CAP_SHARE</f>
        <v>43.93808797382618</v>
      </c>
      <c r="CM504" s="8">
        <f>CF504-CJ504-CE504</f>
        <v>-106.83037698169028</v>
      </c>
      <c r="CN504" s="8">
        <f>CG504-CK504-CE504</f>
        <v>-31.37889861019312</v>
      </c>
      <c r="CO504" s="8">
        <f>CH504-CL504-CE504</f>
        <v>5.720353450302241</v>
      </c>
      <c r="CP504" s="8">
        <f>R_NF_2024*(1+G_HI)^(CB504-2024)</f>
        <v>904.8150601009586</v>
      </c>
      <c r="CQ504" s="10">
        <f>1-CF504/CP504</f>
        <v>0.1376785981466745</v>
      </c>
      <c r="CR504" s="10">
        <f>CPI_2023/(IF(CB504-1=2023,CPI_2023,IF(CB504-1=2024,CPI_2024,IF(CB504-1=2025,CPI_2025,CPI_2025*(1+INFL)^(CB504-1-2025)))))</f>
        <v>0.6813305942648357</v>
      </c>
      <c r="CS504" s="8">
        <f>$CB$21*ABS($CB$11)*(CG504-CF504)/CF504</f>
        <v>10136.430715819934</v>
      </c>
      <c r="CT504" s="8">
        <f>$CB$21*ABS($CB$11)*(CH504-CF504)/CF504</f>
        <v>15120.481475811544</v>
      </c>
      <c r="CU504" s="13">
        <f>(CG504-CF504)*MCD_NF_DAYS*CR504-CS504*MCD_SHARE_FREED*R_WAIT_2023</f>
        <v>23868049.2534706</v>
      </c>
      <c r="CV504" s="13">
        <f>(CH504-CF504)*MCD_NF_DAYS*CR504-CT504*MCD_SHARE_FREED*R_WAIT_2023</f>
        <v>35603893.19660702</v>
      </c>
      <c r="CW504" s="10">
        <f>IF(AND(CB504&gt;=RULE_START,CC504=1),1/(1+$CB$12)^(CB504-RULE_START+1),0)</f>
        <v>0.7578750245882894</v>
      </c>
      <c r="CX504">
        <f>IF(AND(CB504&gt;=RULE_START,CC504=1,CM504&lt;0),CB504,9999)</f>
        <v>2040</v>
      </c>
      <c r="CY504">
        <f>IF(AND(CB504&gt;=RULE_START,CC504=1,CN504&lt;0),CB504,9999)</f>
        <v>2040</v>
      </c>
      <c r="CZ504">
        <f>IF(AND(CB504&gt;=RULE_START,CC504=1,CO504&lt;0),CB504,9999)</f>
        <v>9999</v>
      </c>
      <c r="DB504" t="n">
        <v>2040</v>
      </c>
      <c r="DC504">
        <f>IF(DB504&lt;=RULE_START+$DB$38-1,1,0)</f>
        <v>1</v>
      </c>
      <c r="DD504" s="15">
        <f>IF(DB504=2024,G_IDX_2024,IF(DB504=2025,G_IDX_2025,IF(DB504=2026,G_IDX_2026,IF(DB504=2027,G_IDX_2027,$DB$13))))</f>
        <v>0.033</v>
      </c>
      <c r="DE504" s="8">
        <f>$DB$20*(1+G_HI)^(DB504-COST_DATE)</f>
        <v>848.9200480805729</v>
      </c>
      <c r="DF504" s="8">
        <f>DF503*(1+DD504)</f>
        <v>780.2413910442596</v>
      </c>
      <c r="DG504" s="8">
        <f>IF(DB504&lt;RULE_START,DF504,DG503*(1+G_HI))</f>
        <v>859.5719204043406</v>
      </c>
      <c r="DH504" s="8">
        <f>IF(DB504&lt;RULE_START,DF504,IF(DI504=1,R_NF_2024*(1+G_HI)^(DB504-2024),DH503*(1+DD504)))</f>
        <v>898.5784895047013</v>
      </c>
      <c r="DI504">
        <f>IF(AND(DB504&gt;=RULE_START,MOD(DB504-RULE_START,REBASE_YEARS)=0),1,0)</f>
        <v>0</v>
      </c>
      <c r="DJ504" s="8">
        <f>DF504*CAP_SHARE</f>
        <v>38.151719945376925</v>
      </c>
      <c r="DK504" s="8">
        <f>DG504*CAP_SHARE</f>
        <v>42.03077093396083</v>
      </c>
      <c r="DL504" s="8">
        <f>DH504*CAP_SHARE</f>
        <v>43.93808797382618</v>
      </c>
      <c r="DM504" s="8">
        <f>DF504-DJ504-DE504</f>
        <v>-106.83037698169028</v>
      </c>
      <c r="DN504" s="8">
        <f>DG504-DK504-DE504</f>
        <v>-31.37889861019312</v>
      </c>
      <c r="DO504" s="8">
        <f>DH504-DL504-DE504</f>
        <v>5.720353450302241</v>
      </c>
      <c r="DP504" s="8">
        <f>R_NF_2024*(1+G_HI)^(DB504-2024)</f>
        <v>904.8150601009586</v>
      </c>
      <c r="DQ504" s="10">
        <f>1-DF504/DP504</f>
        <v>0.1376785981466745</v>
      </c>
      <c r="DR504" s="10">
        <f>CPI_2023/(IF(DB504-1=2023,CPI_2023,IF(DB504-1=2024,CPI_2024,IF(DB504-1=2025,CPI_2025,CPI_2025*(1+INFL)^(DB504-1-2025)))))</f>
        <v>0.6813305942648357</v>
      </c>
      <c r="DS504" s="8">
        <f>$DB$21*ABS($DB$11)*(DG504-DF504)/DF504</f>
        <v>10136.430715819934</v>
      </c>
      <c r="DT504" s="8">
        <f>$DB$21*ABS($DB$11)*(DH504-DF504)/DF504</f>
        <v>15120.481475811544</v>
      </c>
      <c r="DU504" s="13">
        <f>(DG504-DF504)*MCD_NF_DAYS*DR504-DS504*MCD_SHARE_FREED*R_WAIT_2023</f>
        <v>23868049.2534706</v>
      </c>
      <c r="DV504" s="13">
        <f>(DH504-DF504)*MCD_NF_DAYS*DR504-DT504*MCD_SHARE_FREED*R_WAIT_2023</f>
        <v>35603893.19660702</v>
      </c>
      <c r="DW504" s="10">
        <f>IF(AND(DB504&gt;=RULE_START,DC504=1),1/(1+$DB$12)^(DB504-RULE_START+1),0)</f>
        <v>0.7578750245882894</v>
      </c>
      <c r="DX504">
        <f>IF(AND(DB504&gt;=RULE_START,DC504=1,DM504&lt;0),DB504,9999)</f>
        <v>2040</v>
      </c>
      <c r="DY504">
        <f>IF(AND(DB504&gt;=RULE_START,DC504=1,DN504&lt;0),DB504,9999)</f>
        <v>2040</v>
      </c>
      <c r="DZ504">
        <f>IF(AND(DB504&gt;=RULE_START,DC504=1,DO504&lt;0),DB504,9999)</f>
        <v>9999</v>
      </c>
      <c r="EB504" t="n">
        <v>2040</v>
      </c>
      <c r="EC504">
        <f>IF(EB504&lt;=RULE_START+$EB$38-1,1,0)</f>
        <v>1</v>
      </c>
      <c r="ED504" s="15">
        <f>IF(EB504=2024,G_IDX_2024,IF(EB504=2025,G_IDX_2025,IF(EB504=2026,G_IDX_2026,IF(EB504=2027,G_IDX_2027,$EB$13))))</f>
        <v>0.033</v>
      </c>
      <c r="EE504" s="8">
        <f>$EB$20*(1+G_HI)^(EB504-COST_DATE)</f>
        <v>848.9200480805729</v>
      </c>
      <c r="EF504" s="8">
        <f>EF503*(1+ED504)</f>
        <v>780.2413910442596</v>
      </c>
      <c r="EG504" s="8">
        <f>IF(EB504&lt;RULE_START,EF504,EG503*(1+G_HI))</f>
        <v>859.5719204043406</v>
      </c>
      <c r="EH504" s="8">
        <f>IF(EB504&lt;RULE_START,EF504,IF(EI504=1,R_NF_2024*(1+G_HI)^(EB504-2024),EH503*(1+ED504)))</f>
        <v>898.5784895047013</v>
      </c>
      <c r="EI504">
        <f>IF(AND(EB504&gt;=RULE_START,MOD(EB504-RULE_START,REBASE_YEARS)=0),1,0)</f>
        <v>0</v>
      </c>
      <c r="EJ504" s="8">
        <f>EF504*CAP_SHARE</f>
        <v>38.151719945376925</v>
      </c>
      <c r="EK504" s="8">
        <f>EG504*CAP_SHARE</f>
        <v>42.03077093396083</v>
      </c>
      <c r="EL504" s="8">
        <f>EH504*CAP_SHARE</f>
        <v>43.93808797382618</v>
      </c>
      <c r="EM504" s="8">
        <f>EF504-EJ504-EE504</f>
        <v>-106.83037698169028</v>
      </c>
      <c r="EN504" s="8">
        <f>EG504-EK504-EE504</f>
        <v>-31.37889861019312</v>
      </c>
      <c r="EO504" s="8">
        <f>EH504-EL504-EE504</f>
        <v>5.720353450302241</v>
      </c>
      <c r="EP504" s="8">
        <f>R_NF_2024*(1+G_HI)^(EB504-2024)</f>
        <v>904.8150601009586</v>
      </c>
      <c r="EQ504" s="10">
        <f>1-EF504/EP504</f>
        <v>0.1376785981466745</v>
      </c>
      <c r="ER504" s="10">
        <f>CPI_2023/(IF(EB504-1=2023,CPI_2023,IF(EB504-1=2024,CPI_2024,IF(EB504-1=2025,CPI_2025,CPI_2025*(1+INFL)^(EB504-1-2025)))))</f>
        <v>0.6813305942648357</v>
      </c>
      <c r="ES504" s="8">
        <f>$EB$21*ABS($EB$11)*(EG504-EF504)/EF504</f>
        <v>10136.430715819934</v>
      </c>
      <c r="ET504" s="8">
        <f>$EB$21*ABS($EB$11)*(EH504-EF504)/EF504</f>
        <v>15120.481475811544</v>
      </c>
      <c r="EU504" s="13">
        <f>(EG504-EF504)*MCD_NF_DAYS*ER504-ES504*MCD_SHARE_FREED*R_WAIT_2023</f>
        <v>23868049.2534706</v>
      </c>
      <c r="EV504" s="13">
        <f>(EH504-EF504)*MCD_NF_DAYS*ER504-ET504*MCD_SHARE_FREED*R_WAIT_2023</f>
        <v>35603893.19660702</v>
      </c>
      <c r="EW504" s="10">
        <f>IF(AND(EB504&gt;=RULE_START,EC504=1),1/(1+$EB$12)^(EB504-RULE_START+1),0)</f>
        <v>0.7578750245882894</v>
      </c>
      <c r="EX504">
        <f>IF(AND(EB504&gt;=RULE_START,EC504=1,EM504&lt;0),EB504,9999)</f>
        <v>2040</v>
      </c>
      <c r="EY504">
        <f>IF(AND(EB504&gt;=RULE_START,EC504=1,EN504&lt;0),EB504,9999)</f>
        <v>2040</v>
      </c>
      <c r="EZ504">
        <f>IF(AND(EB504&gt;=RULE_START,EC504=1,EO504&lt;0),EB504,9999)</f>
        <v>9999</v>
      </c>
      <c r="FB504" t="n">
        <v>2040</v>
      </c>
      <c r="FC504">
        <f>IF(FB504&lt;=RULE_START+$FB$38-1,1,0)</f>
        <v>1</v>
      </c>
      <c r="FD504" s="15">
        <f>IF(FB504=2024,G_IDX_2024,IF(FB504=2025,G_IDX_2025,IF(FB504=2026,G_IDX_2026,IF(FB504=2027,G_IDX_2027,$FB$13))))</f>
        <v>0.033</v>
      </c>
      <c r="FE504" s="8">
        <f>$FB$20*(1+G_HI)^(FB504-COST_DATE)</f>
        <v>873.651056966889</v>
      </c>
      <c r="FF504" s="8">
        <f>FF503*(1+FD504)</f>
        <v>780.2413910442596</v>
      </c>
      <c r="FG504" s="8">
        <f>IF(FB504&lt;RULE_START,FF504,FG503*(1+G_HI))</f>
        <v>859.5719204043406</v>
      </c>
      <c r="FH504" s="8">
        <f>IF(FB504&lt;RULE_START,FF504,IF(FI504=1,R_NF_2024*(1+G_HI)^(FB504-2024),FH503*(1+FD504)))</f>
        <v>898.5784895047013</v>
      </c>
      <c r="FI504">
        <f>IF(AND(FB504&gt;=RULE_START,MOD(FB504-RULE_START,REBASE_YEARS)=0),1,0)</f>
        <v>0</v>
      </c>
      <c r="FJ504" s="8">
        <f>FF504*CAP_SHARE</f>
        <v>38.151719945376925</v>
      </c>
      <c r="FK504" s="8">
        <f>FG504*CAP_SHARE</f>
        <v>42.03077093396083</v>
      </c>
      <c r="FL504" s="8">
        <f>FH504*CAP_SHARE</f>
        <v>43.93808797382618</v>
      </c>
      <c r="FM504" s="8">
        <f>FF504-FJ504-FE504</f>
        <v>-131.56138586800637</v>
      </c>
      <c r="FN504" s="8">
        <f>FG504-FK504-FE504</f>
        <v>-56.10990749650921</v>
      </c>
      <c r="FO504" s="8">
        <f>FH504-FL504-FE504</f>
        <v>-19.01065543601385</v>
      </c>
      <c r="FP504" s="8">
        <f>R_NF_2024*(1+G_HI)^(FB504-2024)</f>
        <v>904.8150601009586</v>
      </c>
      <c r="FQ504" s="10">
        <f>1-FF504/FP504</f>
        <v>0.1376785981466745</v>
      </c>
      <c r="FR504" s="10">
        <f>CPI_2023/(IF(FB504-1=2023,CPI_2023,IF(FB504-1=2024,CPI_2024,IF(FB504-1=2025,CPI_2025,CPI_2025*(1+INFL)^(FB504-1-2025)))))</f>
        <v>0.6813305942648357</v>
      </c>
      <c r="FS504" s="8">
        <f>$FB$21*ABS($FB$11)*(FG504-FF504)/FF504</f>
        <v>10136.430715819934</v>
      </c>
      <c r="FT504" s="8">
        <f>$FB$21*ABS($FB$11)*(FH504-FF504)/FF504</f>
        <v>15120.481475811544</v>
      </c>
      <c r="FU504" s="13">
        <f>(FG504-FF504)*MCD_NF_DAYS*FR504-FS504*MCD_SHARE_FREED*R_WAIT_2023</f>
        <v>23868049.2534706</v>
      </c>
      <c r="FV504" s="13">
        <f>(FH504-FF504)*MCD_NF_DAYS*FR504-FT504*MCD_SHARE_FREED*R_WAIT_2023</f>
        <v>35603893.19660702</v>
      </c>
      <c r="FW504" s="10">
        <f>IF(AND(FB504&gt;=RULE_START,FC504=1),1/(1+$FB$12)^(FB504-RULE_START+1),0)</f>
        <v>0.7578750245882894</v>
      </c>
      <c r="FX504">
        <f>IF(AND(FB504&gt;=RULE_START,FC504=1,FM504&lt;0),FB504,9999)</f>
        <v>2040</v>
      </c>
      <c r="FY504">
        <f>IF(AND(FB504&gt;=RULE_START,FC504=1,FN504&lt;0),FB504,9999)</f>
        <v>2040</v>
      </c>
      <c r="FZ504">
        <f>IF(AND(FB504&gt;=RULE_START,FC504=1,FO504&lt;0),FB504,9999)</f>
        <v>2040</v>
      </c>
      <c r="GB504" t="n">
        <v>2040</v>
      </c>
      <c r="GC504">
        <f>IF(GB504&lt;=RULE_START+$GB$38-1,1,0)</f>
        <v>1</v>
      </c>
      <c r="GD504" s="15">
        <f>IF(GB504=2024,G_IDX_2024,IF(GB504=2025,G_IDX_2025,IF(GB504=2026,G_IDX_2026,IF(GB504=2027,G_IDX_2027,$GB$13))))</f>
        <v>0.033</v>
      </c>
      <c r="GE504" s="8">
        <f>$GB$20*(1+G_HI)^(GB504-COST_DATE)</f>
        <v>848.9200480805729</v>
      </c>
      <c r="GF504" s="8">
        <f>GF503*(1+GD504)</f>
        <v>780.2413910442596</v>
      </c>
      <c r="GG504" s="8">
        <f>IF(GB504&lt;RULE_START,GF504,GG503*(1+G_HI))</f>
        <v>859.5719204043406</v>
      </c>
      <c r="GH504" s="8">
        <f>IF(GB504&lt;RULE_START,GF504,IF(GI504=1,R_NF_2024*(1+G_HI)^(GB504-2024),GH503*(1+GD504)))</f>
        <v>898.5784895047013</v>
      </c>
      <c r="GI504">
        <f>IF(AND(GB504&gt;=RULE_START,MOD(GB504-RULE_START,REBASE_YEARS)=0),1,0)</f>
        <v>0</v>
      </c>
      <c r="GJ504" s="8">
        <f>GF504*CAP_SHARE</f>
        <v>38.151719945376925</v>
      </c>
      <c r="GK504" s="8">
        <f>GG504*CAP_SHARE</f>
        <v>42.03077093396083</v>
      </c>
      <c r="GL504" s="8">
        <f>GH504*CAP_SHARE</f>
        <v>43.93808797382618</v>
      </c>
      <c r="GM504" s="8">
        <f>GF504-GJ504-GE504</f>
        <v>-106.83037698169028</v>
      </c>
      <c r="GN504" s="8">
        <f>GG504-GK504-GE504</f>
        <v>-31.37889861019312</v>
      </c>
      <c r="GO504" s="8">
        <f>GH504-GL504-GE504</f>
        <v>5.720353450302241</v>
      </c>
      <c r="GP504" s="8">
        <f>R_NF_2024*(1+G_HI)^(GB504-2024)</f>
        <v>904.8150601009586</v>
      </c>
      <c r="GQ504" s="10">
        <f>1-GF504/GP504</f>
        <v>0.1376785981466745</v>
      </c>
      <c r="GR504" s="10">
        <f>CPI_2023/(IF(GB504-1=2023,CPI_2023,IF(GB504-1=2024,CPI_2024,IF(GB504-1=2025,CPI_2025,CPI_2025*(1+INFL)^(GB504-1-2025)))))</f>
        <v>0.6813305942648357</v>
      </c>
      <c r="GS504" s="8">
        <f>$GB$21*ABS($GB$11)*(GG504-GF504)/GF504</f>
        <v>7651.48457502305</v>
      </c>
      <c r="GT504" s="8">
        <f>$GB$21*ABS($GB$11)*(GH504-GF504)/GF504</f>
        <v>11413.695217048136</v>
      </c>
      <c r="GU504" s="13">
        <f>(GG504-GF504)*MCD_NF_DAYS*GR504-GS504*MCD_SHARE_FREED*R_WAIT_2023</f>
        <v>24998000.809089042</v>
      </c>
      <c r="GV504" s="13">
        <f>(GH504-GF504)*MCD_NF_DAYS*GR504-GT504*MCD_SHARE_FREED*R_WAIT_2023</f>
        <v>37289438.34008913</v>
      </c>
      <c r="GW504" s="10">
        <f>IF(AND(GB504&gt;=RULE_START,GC504=1),1/(1+$GB$12)^(GB504-RULE_START+1),0)</f>
        <v>0.7578750245882894</v>
      </c>
      <c r="GX504">
        <f>IF(AND(GB504&gt;=RULE_START,GC504=1,GM504&lt;0),GB504,9999)</f>
        <v>2040</v>
      </c>
      <c r="GY504">
        <f>IF(AND(GB504&gt;=RULE_START,GC504=1,GN504&lt;0),GB504,9999)</f>
        <v>2040</v>
      </c>
      <c r="GZ504">
        <f>IF(AND(GB504&gt;=RULE_START,GC504=1,GO504&lt;0),GB504,9999)</f>
        <v>9999</v>
      </c>
      <c r="HB504" t="n">
        <v>2040</v>
      </c>
      <c r="HC504">
        <f>IF(HB504&lt;=RULE_START+$HB$38-1,1,0)</f>
        <v>1</v>
      </c>
      <c r="HD504" s="15">
        <f>IF(HB504=2024,G_IDX_2024,IF(HB504=2025,G_IDX_2025,IF(HB504=2026,G_IDX_2026,IF(HB504=2027,G_IDX_2027,$HB$13))))</f>
        <v>0.033</v>
      </c>
      <c r="HE504" s="8">
        <f>$HB$20*(1+G_HI)^(HB504-COST_DATE)</f>
        <v>848.9200480805729</v>
      </c>
      <c r="HF504" s="8">
        <f>HF503*(1+HD504)</f>
        <v>780.2413910442596</v>
      </c>
      <c r="HG504" s="8">
        <f>IF(HB504&lt;RULE_START,HF504,HG503*(1+G_HI))</f>
        <v>859.5719204043406</v>
      </c>
      <c r="HH504" s="8">
        <f>IF(HB504&lt;RULE_START,HF504,IF(HI504=1,R_NF_2024*(1+G_HI)^(HB504-2024),HH503*(1+HD504)))</f>
        <v>898.5784895047013</v>
      </c>
      <c r="HI504">
        <f>IF(AND(HB504&gt;=RULE_START,MOD(HB504-RULE_START,REBASE_YEARS)=0),1,0)</f>
        <v>0</v>
      </c>
      <c r="HJ504" s="8">
        <f>HF504*CAP_SHARE</f>
        <v>38.151719945376925</v>
      </c>
      <c r="HK504" s="8">
        <f>HG504*CAP_SHARE</f>
        <v>42.03077093396083</v>
      </c>
      <c r="HL504" s="8">
        <f>HH504*CAP_SHARE</f>
        <v>43.93808797382618</v>
      </c>
      <c r="HM504" s="8">
        <f>HF504-HJ504-HE504</f>
        <v>-106.83037698169028</v>
      </c>
      <c r="HN504" s="8">
        <f>HG504-HK504-HE504</f>
        <v>-31.37889861019312</v>
      </c>
      <c r="HO504" s="8">
        <f>HH504-HL504-HE504</f>
        <v>5.720353450302241</v>
      </c>
      <c r="HP504" s="8">
        <f>R_NF_2024*(1+G_HI)^(HB504-2024)</f>
        <v>904.8150601009586</v>
      </c>
      <c r="HQ504" s="10">
        <f>1-HF504/HP504</f>
        <v>0.1376785981466745</v>
      </c>
      <c r="HR504" s="10">
        <f>CPI_2023/(IF(HB504-1=2023,CPI_2023,IF(HB504-1=2024,CPI_2024,IF(HB504-1=2025,CPI_2025,CPI_2025*(1+INFL)^(HB504-1-2025)))))</f>
        <v>0.6813305942648357</v>
      </c>
      <c r="HS504" s="8">
        <f>$HB$21*ABS($HB$11)*(HG504-HF504)/HF504</f>
        <v>10136.430715819934</v>
      </c>
      <c r="HT504" s="8">
        <f>$HB$21*ABS($HB$11)*(HH504-HF504)/HF504</f>
        <v>15120.481475811544</v>
      </c>
      <c r="HU504" s="13">
        <f>(HG504-HF504)*MCD_NF_DAYS*HR504-HS504*MCD_SHARE_FREED*R_WAIT_2023</f>
        <v>23868049.2534706</v>
      </c>
      <c r="HV504" s="13">
        <f>(HH504-HF504)*MCD_NF_DAYS*HR504-HT504*MCD_SHARE_FREED*R_WAIT_2023</f>
        <v>35603893.19660702</v>
      </c>
      <c r="HW504" s="10">
        <f>IF(AND(HB504&gt;=RULE_START,HC504=1),1/(1+$HB$12)^(HB504-RULE_START+1),0)</f>
        <v>0.6611178058186189</v>
      </c>
      <c r="HX504">
        <f>IF(AND(HB504&gt;=RULE_START,HC504=1,HM504&lt;0),HB504,9999)</f>
        <v>2040</v>
      </c>
      <c r="HY504">
        <f>IF(AND(HB504&gt;=RULE_START,HC504=1,HN504&lt;0),HB504,9999)</f>
        <v>2040</v>
      </c>
      <c r="HZ504">
        <f>IF(AND(HB504&gt;=RULE_START,HC504=1,HO504&lt;0),HB504,9999)</f>
        <v>9999</v>
      </c>
      <c r="IB504" t="n">
        <v>2040</v>
      </c>
      <c r="IC504">
        <f>IF(IB504&lt;=RULE_START+$IB$38-1,1,0)</f>
        <v>1</v>
      </c>
      <c r="ID504" s="15">
        <f>IF(IB504=2024,G_IDX_2024,IF(IB504=2025,G_IDX_2025,IF(IB504=2026,G_IDX_2026,IF(IB504=2027,G_IDX_2027,$IB$13))))</f>
        <v>0.033</v>
      </c>
      <c r="IE504" s="8">
        <f>$IB$20*(1+G_HI)^(IB504-COST_DATE)</f>
        <v>848.9200480805729</v>
      </c>
      <c r="IF504" s="8">
        <f>IF503*(1+ID504)</f>
        <v>780.2413910442596</v>
      </c>
      <c r="IG504" s="8">
        <f>IF(IB504&lt;RULE_START,IF504,IG503*(1+G_HI))</f>
        <v>859.5719204043406</v>
      </c>
      <c r="IH504" s="8">
        <f>IF(IB504&lt;RULE_START,IF504,IF(II504=1,R_NF_2024*(1+G_HI)^(IB504-2024),IH503*(1+ID504)))</f>
        <v>898.5784895047013</v>
      </c>
      <c r="II504">
        <f>IF(AND(IB504&gt;=RULE_START,MOD(IB504-RULE_START,REBASE_YEARS)=0),1,0)</f>
        <v>0</v>
      </c>
      <c r="IJ504" s="8">
        <f>IF504*CAP_SHARE</f>
        <v>38.151719945376925</v>
      </c>
      <c r="IK504" s="8">
        <f>IG504*CAP_SHARE</f>
        <v>42.03077093396083</v>
      </c>
      <c r="IL504" s="8">
        <f>IH504*CAP_SHARE</f>
        <v>43.93808797382618</v>
      </c>
      <c r="IM504" s="8">
        <f>IF504-IJ504-IE504</f>
        <v>-106.83037698169028</v>
      </c>
      <c r="IN504" s="8">
        <f>IG504-IK504-IE504</f>
        <v>-31.37889861019312</v>
      </c>
      <c r="IO504" s="8">
        <f>IH504-IL504-IE504</f>
        <v>5.720353450302241</v>
      </c>
      <c r="IP504" s="8">
        <f>R_NF_2024*(1+G_HI)^(IB504-2024)</f>
        <v>904.8150601009586</v>
      </c>
      <c r="IQ504" s="10">
        <f>1-IF504/IP504</f>
        <v>0.1376785981466745</v>
      </c>
      <c r="IR504" s="10">
        <f>CPI_2023/(IF(IB504-1=2023,CPI_2023,IF(IB504-1=2024,CPI_2024,IF(IB504-1=2025,CPI_2025,CPI_2025*(1+INFL)^(IB504-1-2025)))))</f>
        <v>0.6813305942648357</v>
      </c>
      <c r="IS504" s="8">
        <f>$IB$21*ABS($IB$11)*(IG504-IF504)/IF504</f>
        <v>10136.430715819934</v>
      </c>
      <c r="IT504" s="8">
        <f>$IB$21*ABS($IB$11)*(IH504-IF504)/IF504</f>
        <v>15120.481475811544</v>
      </c>
      <c r="IU504" s="13">
        <f>(IG504-IF504)*MCD_NF_DAYS*IR504-IS504*MCD_SHARE_FREED*R_WAIT_2023</f>
        <v>23868049.2534706</v>
      </c>
      <c r="IV504" s="13">
        <f>(IH504-IF504)*MCD_NF_DAYS*IR504-IT504*MCD_SHARE_FREED*R_WAIT_2023</f>
        <v>35603893.19660702</v>
      </c>
      <c r="IW504" s="10">
        <f>IF(AND(IB504&gt;=RULE_START,IC504=1),1/(1+$IB$12)^(IB504-RULE_START+1),0)</f>
        <v>0.3878172410173246</v>
      </c>
      <c r="IX504">
        <f>IF(AND(IB504&gt;=RULE_START,IC504=1,IM504&lt;0),IB504,9999)</f>
        <v>2040</v>
      </c>
      <c r="IY504">
        <f>IF(AND(IB504&gt;=RULE_START,IC504=1,IN504&lt;0),IB504,9999)</f>
        <v>2040</v>
      </c>
      <c r="IZ504">
        <f>IF(AND(IB504&gt;=RULE_START,IC504=1,IO504&lt;0),IB504,9999)</f>
        <v>9999</v>
      </c>
      <c r="JB504" t="n">
        <v>2040</v>
      </c>
      <c r="JC504">
        <f>IF(JB504&lt;=RULE_START+$JB$38-1,1,0)</f>
        <v>1</v>
      </c>
      <c r="JD504" s="15">
        <f>IF(JB504=2024,G_IDX_2024,IF(JB504=2025,G_IDX_2025,IF(JB504=2026,G_IDX_2026,IF(JB504=2027,G_IDX_2027,$JB$13))))</f>
        <v>0.03</v>
      </c>
      <c r="JE504" s="8">
        <f>$JB$20*(1+G_HI)^(JB504-COST_DATE)</f>
        <v>848.9200480805729</v>
      </c>
      <c r="JF504" s="8">
        <f>JF503*(1+JD504)</f>
        <v>751.2919351992549</v>
      </c>
      <c r="JG504" s="8">
        <f>IF(JB504&lt;RULE_START,JF504,JG503*(1+G_HI))</f>
        <v>859.5719204043406</v>
      </c>
      <c r="JH504" s="8">
        <f>IF(JB504&lt;RULE_START,JF504,IF(JI504=1,R_NF_2024*(1+G_HI)^(JB504-2024),JH503*(1+JD504)))</f>
        <v>895.9688714325678</v>
      </c>
      <c r="JI504">
        <f>IF(AND(JB504&gt;=RULE_START,MOD(JB504-RULE_START,REBASE_YEARS)=0),1,0)</f>
        <v>0</v>
      </c>
      <c r="JJ504" s="8">
        <f>JF504*CAP_SHARE</f>
        <v>36.7361688804796</v>
      </c>
      <c r="JK504" s="8">
        <f>JG504*CAP_SHARE</f>
        <v>42.03077093396083</v>
      </c>
      <c r="JL504" s="8">
        <f>JH504*CAP_SHARE</f>
        <v>43.810484620562406</v>
      </c>
      <c r="JM504" s="8">
        <f>JF504-JJ504-JE504</f>
        <v>-134.36428176179754</v>
      </c>
      <c r="JN504" s="8">
        <f>JG504-JK504-JE504</f>
        <v>-31.37889861019312</v>
      </c>
      <c r="JO504" s="8">
        <f>JH504-JL504-JE504</f>
        <v>3.2383387314324636</v>
      </c>
      <c r="JP504" s="8">
        <f>R_NF_2024*(1+G_HI)^(JB504-2024)</f>
        <v>904.8150601009586</v>
      </c>
      <c r="JQ504" s="10">
        <f>1-JF504/JP504</f>
        <v>0.16967348541322214</v>
      </c>
      <c r="JR504" s="10">
        <f>CPI_2023/(IF(JB504-1=2023,CPI_2023,IF(JB504-1=2024,CPI_2024,IF(JB504-1=2025,CPI_2025,CPI_2025*(1+INFL)^(JB504-1-2025)))))</f>
        <v>0.6813305942648357</v>
      </c>
      <c r="JS504" s="8">
        <f>$JB$21*ABS($JB$11)*(JG504-JF504)/JF504</f>
        <v>14368.556839814068</v>
      </c>
      <c r="JT504" s="8">
        <f>$JB$21*ABS($JB$11)*(JH504-JF504)/JF504</f>
        <v>19198.365956009326</v>
      </c>
      <c r="JU504" s="13">
        <f>(JG504-JF504)*MCD_NF_DAYS*JR504-JS504*MCD_SHARE_FREED*R_WAIT_2023</f>
        <v>32335606.223092612</v>
      </c>
      <c r="JV504" s="13">
        <f>(JH504-JF504)*MCD_NF_DAYS*JR504-JT504*MCD_SHARE_FREED*R_WAIT_2023</f>
        <v>43204812.327441625</v>
      </c>
      <c r="JW504" s="10">
        <f>IF(AND(JB504&gt;=RULE_START,JC504=1),1/(1+$JB$12)^(JB504-RULE_START+1),0)</f>
        <v>0.7578750245882894</v>
      </c>
      <c r="JX504">
        <f>IF(AND(JB504&gt;=RULE_START,JC504=1,JM504&lt;0),JB504,9999)</f>
        <v>2040</v>
      </c>
      <c r="JY504">
        <f>IF(AND(JB504&gt;=RULE_START,JC504=1,JN504&lt;0),JB504,9999)</f>
        <v>2040</v>
      </c>
      <c r="JZ504">
        <f>IF(AND(JB504&gt;=RULE_START,JC504=1,JO504&lt;0),JB504,9999)</f>
        <v>9999</v>
      </c>
      <c r="KB504" t="n">
        <v>2040</v>
      </c>
      <c r="KC504">
        <f>IF(KB504&lt;=RULE_START+$KB$38-1,1,0)</f>
        <v>1</v>
      </c>
      <c r="KD504" s="15">
        <f>IF(KB504=2024,G_IDX_2024,IF(KB504=2025,G_IDX_2025,IF(KB504=2026,G_IDX_2026,IF(KB504=2027,G_IDX_2027,$KB$13))))</f>
        <v>0.033</v>
      </c>
      <c r="KE504" s="8">
        <f>$KB$20*(1+G_HI)^(KB504-COST_DATE)</f>
        <v>848.9200480805729</v>
      </c>
      <c r="KF504" s="8">
        <f>KF503*(1+KD504)</f>
        <v>780.2413910442596</v>
      </c>
      <c r="KG504" s="8">
        <f>IF(KB504&lt;RULE_START,KF504,KG503*(1+G_HI))</f>
        <v>859.5719204043406</v>
      </c>
      <c r="KH504" s="8">
        <f>IF(KB504&lt;RULE_START,KF504,IF(KI504=1,R_NF_2024*(1+G_HI)^(KB504-2024),KH503*(1+KD504)))</f>
        <v>898.5784895047013</v>
      </c>
      <c r="KI504">
        <f>IF(AND(KB504&gt;=RULE_START,MOD(KB504-RULE_START,REBASE_YEARS)=0),1,0)</f>
        <v>0</v>
      </c>
      <c r="KJ504" s="8">
        <f>KF504*CAP_SHARE</f>
        <v>38.151719945376925</v>
      </c>
      <c r="KK504" s="8">
        <f>KG504*CAP_SHARE</f>
        <v>42.03077093396083</v>
      </c>
      <c r="KL504" s="8">
        <f>KH504*CAP_SHARE</f>
        <v>43.93808797382618</v>
      </c>
      <c r="KM504" s="8">
        <f>KF504-KJ504-KE504</f>
        <v>-106.83037698169028</v>
      </c>
      <c r="KN504" s="8">
        <f>KG504-KK504-KE504</f>
        <v>-31.37889861019312</v>
      </c>
      <c r="KO504" s="8">
        <f>KH504-KL504-KE504</f>
        <v>5.720353450302241</v>
      </c>
      <c r="KP504" s="8">
        <f>R_NF_2024*(1+G_HI)^(KB504-2024)</f>
        <v>904.8150601009586</v>
      </c>
      <c r="KQ504" s="10">
        <f>1-KF504/KP504</f>
        <v>0.1376785981466745</v>
      </c>
      <c r="KR504" s="10">
        <f>CPI_2023/(IF(KB504-1=2023,CPI_2023,IF(KB504-1=2024,CPI_2024,IF(KB504-1=2025,CPI_2025,CPI_2025*(1+INFL)^(KB504-1-2025)))))</f>
        <v>0.6813305942648357</v>
      </c>
      <c r="KS504" s="8">
        <f>$KB$21*ABS($KB$11)*(KG504-KF504)/KF504</f>
        <v>10136.430715819934</v>
      </c>
      <c r="KT504" s="8">
        <f>$KB$21*ABS($KB$11)*(KH504-KF504)/KF504</f>
        <v>15120.481475811544</v>
      </c>
      <c r="KU504" s="13">
        <f>(KG504-KF504)*MCD_NF_DAYS*KR504-KS504*MCD_SHARE_FREED*R_WAIT_2023</f>
        <v>23868049.2534706</v>
      </c>
      <c r="KV504" s="13">
        <f>(KH504-KF504)*MCD_NF_DAYS*KR504-KT504*MCD_SHARE_FREED*R_WAIT_2023</f>
        <v>35603893.19660702</v>
      </c>
      <c r="KW504" s="10">
        <f>IF(AND(KB504&gt;=RULE_START,KC504=1),1/(1+$KB$12)^(KB504-RULE_START+1),0)</f>
        <v>0.7578750245882894</v>
      </c>
      <c r="KX504">
        <f>IF(AND(KB504&gt;=RULE_START,KC504=1,KM504&lt;0),KB504,9999)</f>
        <v>2040</v>
      </c>
      <c r="KY504">
        <f>IF(AND(KB504&gt;=RULE_START,KC504=1,KN504&lt;0),KB504,9999)</f>
        <v>2040</v>
      </c>
      <c r="KZ504">
        <f>IF(AND(KB504&gt;=RULE_START,KC504=1,KO504&lt;0),KB504,9999)</f>
        <v>9999</v>
      </c>
      <c r="LB504" t="n">
        <v>2040</v>
      </c>
      <c r="LC504">
        <f>IF(LB504&lt;=RULE_START+$LB$38-1,1,0)</f>
        <v>1</v>
      </c>
      <c r="LD504" s="15">
        <f>IF(LB504=2024,G_IDX_2024,IF(LB504=2025,G_IDX_2025,IF(LB504=2026,G_IDX_2026,IF(LB504=2027,G_IDX_2027,$LB$13))))</f>
        <v>0.033</v>
      </c>
      <c r="LE504" s="8">
        <f>$LB$20*(1+G_HI)^(LB504-COST_DATE)</f>
        <v>848.9200480805729</v>
      </c>
      <c r="LF504" s="8">
        <f>LF503*(1+LD504)</f>
        <v>780.2413910442596</v>
      </c>
      <c r="LG504" s="8">
        <f>IF(LB504&lt;RULE_START,LF504,LG503*(1+G_HI))</f>
        <v>859.5719204043406</v>
      </c>
      <c r="LH504" s="8">
        <f>IF(LB504&lt;RULE_START,LF504,IF(LI504=1,R_NF_2024*(1+G_HI)^(LB504-2024),LH503*(1+LD504)))</f>
        <v>898.5784895047013</v>
      </c>
      <c r="LI504">
        <f>IF(AND(LB504&gt;=RULE_START,MOD(LB504-RULE_START,REBASE_YEARS)=0),1,0)</f>
        <v>0</v>
      </c>
      <c r="LJ504" s="8">
        <f>LF504*CAP_SHARE</f>
        <v>38.151719945376925</v>
      </c>
      <c r="LK504" s="8">
        <f>LG504*CAP_SHARE</f>
        <v>42.03077093396083</v>
      </c>
      <c r="LL504" s="8">
        <f>LH504*CAP_SHARE</f>
        <v>43.93808797382618</v>
      </c>
      <c r="LM504" s="8">
        <f>LF504-LJ504-LE504</f>
        <v>-106.83037698169028</v>
      </c>
      <c r="LN504" s="8">
        <f>LG504-LK504-LE504</f>
        <v>-31.37889861019312</v>
      </c>
      <c r="LO504" s="8">
        <f>LH504-LL504-LE504</f>
        <v>5.720353450302241</v>
      </c>
      <c r="LP504" s="8">
        <f>R_NF_2024*(1+G_HI)^(LB504-2024)</f>
        <v>904.8150601009586</v>
      </c>
      <c r="LQ504" s="10">
        <f>1-LF504/LP504</f>
        <v>0.1376785981466745</v>
      </c>
      <c r="LR504" s="10">
        <f>CPI_2023/(IF(LB504-1=2023,CPI_2023,IF(LB504-1=2024,CPI_2024,IF(LB504-1=2025,CPI_2025,CPI_2025*(1+INFL)^(LB504-1-2025)))))</f>
        <v>0.6813305942648357</v>
      </c>
      <c r="LS504" s="8">
        <f>$LB$21*ABS($LB$11)*(LG504-LF504)/LF504</f>
        <v>10136.430715819934</v>
      </c>
      <c r="LT504" s="8">
        <f>$LB$21*ABS($LB$11)*(LH504-LF504)/LF504</f>
        <v>15120.481475811544</v>
      </c>
      <c r="LU504" s="13">
        <f>(LG504-LF504)*MCD_NF_DAYS*LR504-LS504*MCD_SHARE_FREED*R_WAIT_2023</f>
        <v>23868049.2534706</v>
      </c>
      <c r="LV504" s="13">
        <f>(LH504-LF504)*MCD_NF_DAYS*LR504-LT504*MCD_SHARE_FREED*R_WAIT_2023</f>
        <v>35603893.19660702</v>
      </c>
      <c r="LW504" s="10">
        <f>IF(AND(LB504&gt;=RULE_START,LC504=1),1/(1+$LB$12)^(LB504-RULE_START+1),0)</f>
        <v>0.7578750245882894</v>
      </c>
      <c r="LX504">
        <f>IF(AND(LB504&gt;=RULE_START,LC504=1,LM504&lt;0),LB504,9999)</f>
        <v>2040</v>
      </c>
      <c r="LY504">
        <f>IF(AND(LB504&gt;=RULE_START,LC504=1,LN504&lt;0),LB504,9999)</f>
        <v>2040</v>
      </c>
      <c r="LZ504">
        <f>IF(AND(LB504&gt;=RULE_START,LC504=1,LO504&lt;0),LB504,9999)</f>
        <v>9999</v>
      </c>
      <c r="MB504" t="n">
        <v>2040</v>
      </c>
      <c r="MC504">
        <f>IF(MB504&lt;=RULE_START+$MB$38-1,1,0)</f>
        <v>1</v>
      </c>
      <c r="MD504" s="15">
        <f>IF(MB504=2024,G_IDX_2024,IF(MB504=2025,G_IDX_2025,IF(MB504=2026,G_IDX_2026,IF(MB504=2027,G_IDX_2027,$MB$13))))</f>
        <v>0.033</v>
      </c>
      <c r="ME504" s="8">
        <f>$MB$20*(1+G_HI)^(MB504-COST_DATE)</f>
        <v>848.9200480805729</v>
      </c>
      <c r="MF504" s="8">
        <f>MF503*(1+MD504)</f>
        <v>780.2413910442596</v>
      </c>
      <c r="MG504" s="8">
        <f>IF(MB504&lt;RULE_START,MF504,MG503*(1+G_HI))</f>
        <v>859.5719204043406</v>
      </c>
      <c r="MH504" s="8">
        <f>IF(MB504&lt;RULE_START,MF504,IF(MI504=1,R_NF_2024*(1+G_HI)^(MB504-2024),MH503*(1+MD504)))</f>
        <v>898.5784895047013</v>
      </c>
      <c r="MI504">
        <f>IF(AND(MB504&gt;=RULE_START,MOD(MB504-RULE_START,REBASE_YEARS)=0),1,0)</f>
        <v>0</v>
      </c>
      <c r="MJ504" s="8">
        <f>MF504*CAP_SHARE</f>
        <v>38.151719945376925</v>
      </c>
      <c r="MK504" s="8">
        <f>MG504*CAP_SHARE</f>
        <v>42.03077093396083</v>
      </c>
      <c r="ML504" s="8">
        <f>MH504*CAP_SHARE</f>
        <v>43.93808797382618</v>
      </c>
      <c r="MM504" s="8">
        <f>MF504-MJ504-ME504</f>
        <v>-106.83037698169028</v>
      </c>
      <c r="MN504" s="8">
        <f>MG504-MK504-ME504</f>
        <v>-31.37889861019312</v>
      </c>
      <c r="MO504" s="8">
        <f>MH504-ML504-ME504</f>
        <v>5.720353450302241</v>
      </c>
      <c r="MP504" s="8">
        <f>R_NF_2024*(1+G_HI)^(MB504-2024)</f>
        <v>904.8150601009586</v>
      </c>
      <c r="MQ504" s="10">
        <f>1-MF504/MP504</f>
        <v>0.1376785981466745</v>
      </c>
      <c r="MR504" s="10">
        <f>CPI_2023/(IF(MB504-1=2023,CPI_2023,IF(MB504-1=2024,CPI_2024,IF(MB504-1=2025,CPI_2025,CPI_2025*(1+INFL)^(MB504-1-2025)))))</f>
        <v>0.6813305942648357</v>
      </c>
      <c r="MS504" s="8">
        <f>$MB$21*ABS($MB$11)*(MG504-MF504)/MF504</f>
        <v>7425.843968569917</v>
      </c>
      <c r="MT504" s="8">
        <f>$MB$21*ABS($MB$11)*(MH504-MF504)/MF504</f>
        <v>11077.107841697098</v>
      </c>
      <c r="MU504" s="13">
        <f>(MG504-MF504)*MCD_NF_DAYS*MR504-MS504*MCD_SHARE_FREED*R_WAIT_2023</f>
        <v>25100603.819305852</v>
      </c>
      <c r="MV504" s="13">
        <f>(MH504-MF504)*MCD_NF_DAYS*MR504-MT504*MCD_SHARE_FREED*R_WAIT_2023</f>
        <v>37442490.924262024</v>
      </c>
      <c r="MW504" s="10">
        <f>IF(AND(MB504&gt;=RULE_START,MC504=1),1/(1+$MB$12)^(MB504-RULE_START+1),0)</f>
        <v>0.7578750245882894</v>
      </c>
      <c r="MX504">
        <f>IF(AND(MB504&gt;=RULE_START,MC504=1,MM504&lt;0),MB504,9999)</f>
        <v>2040</v>
      </c>
      <c r="MY504">
        <f>IF(AND(MB504&gt;=RULE_START,MC504=1,MN504&lt;0),MB504,9999)</f>
        <v>2040</v>
      </c>
      <c r="MZ504">
        <f>IF(AND(MB504&gt;=RULE_START,MC504=1,MO504&lt;0),MB504,9999)</f>
        <v>9999</v>
      </c>
      <c r="NB504" t="n">
        <v>2040</v>
      </c>
      <c r="NC504">
        <f>IF(NB504&lt;=RULE_START+$NB$38-1,1,0)</f>
        <v>1</v>
      </c>
      <c r="ND504" s="15">
        <f>IF(NB504=2024,G_IDX_2024,IF(NB504=2025,G_IDX_2025,IF(NB504=2026,G_IDX_2026,IF(NB504=2027,G_IDX_2027,$NB$13))))</f>
        <v>0.033</v>
      </c>
      <c r="NE504" s="8">
        <f>$NB$20*(1+G_HI)^(NB504-COST_DATE)</f>
        <v>848.9200480805729</v>
      </c>
      <c r="NF504" s="8">
        <f>NF503*(1+ND504)</f>
        <v>780.2413910442596</v>
      </c>
      <c r="NG504" s="8">
        <f>IF(NB504&lt;RULE_START,NF504,NG503*(1+G_HI))</f>
        <v>859.5719204043406</v>
      </c>
      <c r="NH504" s="8">
        <f>IF(NB504&lt;RULE_START,NF504,IF(NI504=1,R_NF_2024*(1+G_HI)^(NB504-2024),NH503*(1+ND504)))</f>
        <v>898.5784895047013</v>
      </c>
      <c r="NI504">
        <f>IF(AND(NB504&gt;=RULE_START,MOD(NB504-RULE_START,REBASE_YEARS)=0),1,0)</f>
        <v>0</v>
      </c>
      <c r="NJ504" s="8">
        <f>NF504*CAP_SHARE</f>
        <v>38.151719945376925</v>
      </c>
      <c r="NK504" s="8">
        <f>NG504*CAP_SHARE</f>
        <v>42.03077093396083</v>
      </c>
      <c r="NL504" s="8">
        <f>NH504*CAP_SHARE</f>
        <v>43.93808797382618</v>
      </c>
      <c r="NM504" s="8">
        <f>NF504-NJ504-NE504</f>
        <v>-106.83037698169028</v>
      </c>
      <c r="NN504" s="8">
        <f>NG504-NK504-NE504</f>
        <v>-31.37889861019312</v>
      </c>
      <c r="NO504" s="8">
        <f>NH504-NL504-NE504</f>
        <v>5.720353450302241</v>
      </c>
      <c r="NP504" s="8">
        <f>R_NF_2024*(1+G_HI)^(NB504-2024)</f>
        <v>904.8150601009586</v>
      </c>
      <c r="NQ504" s="10">
        <f>1-NF504/NP504</f>
        <v>0.1376785981466745</v>
      </c>
      <c r="NR504" s="10">
        <f>CPI_2023/(IF(NB504-1=2023,CPI_2023,IF(NB504-1=2024,CPI_2024,IF(NB504-1=2025,CPI_2025,CPI_2025*(1+INFL)^(NB504-1-2025)))))</f>
        <v>0.6813305942648357</v>
      </c>
      <c r="NS504" s="8">
        <f>$NB$21*ABS($NB$11)*(NG504-NF504)/NF504</f>
        <v>10136.430715819934</v>
      </c>
      <c r="NT504" s="8">
        <f>$NB$21*ABS($NB$11)*(NH504-NF504)/NF504</f>
        <v>15120.481475811544</v>
      </c>
      <c r="NU504" s="13">
        <f>(NG504-NF504)*MCD_NF_DAYS*NR504-NS504*MCD_SHARE_FREED*R_WAIT_2023</f>
        <v>23868049.2534706</v>
      </c>
      <c r="NV504" s="13">
        <f>(NH504-NF504)*MCD_NF_DAYS*NR504-NT504*MCD_SHARE_FREED*R_WAIT_2023</f>
        <v>35603893.19660702</v>
      </c>
      <c r="NW504" s="10">
        <f>IF(AND(NB504&gt;=RULE_START,NC504=1),1/(1+$NB$12)^(NB504-RULE_START+1),0)</f>
        <v>0.7578750245882894</v>
      </c>
      <c r="NX504">
        <f>IF(AND(NB504&gt;=RULE_START,NC504=1,NM504&lt;0),NB504,9999)</f>
        <v>2040</v>
      </c>
      <c r="NY504">
        <f>IF(AND(NB504&gt;=RULE_START,NC504=1,NN504&lt;0),NB504,9999)</f>
        <v>2040</v>
      </c>
      <c r="NZ504">
        <f>IF(AND(NB504&gt;=RULE_START,NC504=1,NO504&lt;0),NB504,9999)</f>
        <v>9999</v>
      </c>
      <c r="OB504" t="n">
        <v>2040</v>
      </c>
      <c r="OC504">
        <f>IF(OB504&lt;=RULE_START+$OB$38-1,1,0)</f>
        <v>1</v>
      </c>
      <c r="OD504" s="15">
        <f>IF(OB504=2024,G_IDX_2024,IF(OB504=2025,G_IDX_2025,IF(OB504=2026,G_IDX_2026,IF(OB504=2027,G_IDX_2027,$OB$13))))</f>
        <v>0.033</v>
      </c>
      <c r="OE504" s="8">
        <f>$OB$20*(1+G_HI)^(OB504-COST_DATE)</f>
        <v>848.9200480805729</v>
      </c>
      <c r="OF504" s="8">
        <f>OF503*(1+OD504)</f>
        <v>780.2413910442596</v>
      </c>
      <c r="OG504" s="8">
        <f>IF(OB504&lt;RULE_START,OF504,OG503*(1+G_HI))</f>
        <v>859.5719204043406</v>
      </c>
      <c r="OH504" s="8">
        <f>IF(OB504&lt;RULE_START,OF504,IF(OI504=1,R_NF_2024*(1+G_HI)^(OB504-2024),OH503*(1+OD504)))</f>
        <v>898.5784895047013</v>
      </c>
      <c r="OI504">
        <f>IF(AND(OB504&gt;=RULE_START,MOD(OB504-RULE_START,REBASE_YEARS)=0),1,0)</f>
        <v>0</v>
      </c>
      <c r="OJ504" s="8">
        <f>OF504*CAP_SHARE</f>
        <v>38.151719945376925</v>
      </c>
      <c r="OK504" s="8">
        <f>OG504*CAP_SHARE</f>
        <v>42.03077093396083</v>
      </c>
      <c r="OL504" s="8">
        <f>OH504*CAP_SHARE</f>
        <v>43.93808797382618</v>
      </c>
      <c r="OM504" s="8">
        <f>OF504-OJ504-OE504</f>
        <v>-106.83037698169028</v>
      </c>
      <c r="ON504" s="8">
        <f>OG504-OK504-OE504</f>
        <v>-31.37889861019312</v>
      </c>
      <c r="OO504" s="8">
        <f>OH504-OL504-OE504</f>
        <v>5.720353450302241</v>
      </c>
      <c r="OP504" s="8">
        <f>R_NF_2024*(1+G_HI)^(OB504-2024)</f>
        <v>904.8150601009586</v>
      </c>
      <c r="OQ504" s="10">
        <f>1-OF504/OP504</f>
        <v>0.1376785981466745</v>
      </c>
      <c r="OR504" s="10">
        <f>CPI_2023/(IF(OB504-1=2023,CPI_2023,IF(OB504-1=2024,CPI_2024,IF(OB504-1=2025,CPI_2025,CPI_2025*(1+INFL)^(OB504-1-2025)))))</f>
        <v>0.6813305942648357</v>
      </c>
      <c r="OS504" s="8">
        <f>$OB$21*ABS($OB$11)*(OG504-OF504)/OF504</f>
        <v>10136.430715819934</v>
      </c>
      <c r="OT504" s="8">
        <f>$OB$21*ABS($OB$11)*(OH504-OF504)/OF504</f>
        <v>15120.481475811544</v>
      </c>
      <c r="OU504" s="13">
        <f>(OG504-OF504)*MCD_NF_DAYS*OR504-OS504*MCD_SHARE_FREED*R_WAIT_2023</f>
        <v>23868049.2534706</v>
      </c>
      <c r="OV504" s="13">
        <f>(OH504-OF504)*MCD_NF_DAYS*OR504-OT504*MCD_SHARE_FREED*R_WAIT_2023</f>
        <v>35603893.19660702</v>
      </c>
      <c r="OW504" s="10">
        <f>IF(AND(OB504&gt;=RULE_START,OC504=1),1/(1+$OB$12)^(OB504-RULE_START+1),0)</f>
        <v>0.7578750245882894</v>
      </c>
      <c r="OX504">
        <f>IF(AND(OB504&gt;=RULE_START,OC504=1,OM504&lt;0),OB504,9999)</f>
        <v>2040</v>
      </c>
      <c r="OY504">
        <f>IF(AND(OB504&gt;=RULE_START,OC504=1,ON504&lt;0),OB504,9999)</f>
        <v>2040</v>
      </c>
      <c r="OZ504">
        <f>IF(AND(OB504&gt;=RULE_START,OC504=1,OO504&lt;0),OB504,9999)</f>
        <v>9999</v>
      </c>
    </row>
    <row r="505">
      <c r="B505" t="n">
        <v>2041</v>
      </c>
      <c r="C505">
        <f>IF(B505&lt;=RULE_START+$B$38-1,1,0)</f>
        <v>1</v>
      </c>
      <c r="D505" s="15">
        <f>IF(B505=2024,G_IDX_2024,IF(B505=2025,G_IDX_2025,IF(B505=2026,G_IDX_2026,IF(B505=2027,G_IDX_2027,$B$13))))</f>
        <v>0.033</v>
      </c>
      <c r="E505" s="8">
        <f>$B$20*(1+G_HI)^(B505-COST_DATE)</f>
        <v>883.0207598503874</v>
      </c>
      <c r="F505" s="8">
        <f>F504*(1+D505)</f>
        <v>805.9893569487201</v>
      </c>
      <c r="G505" s="8">
        <f>IF(B505&lt;RULE_START,F505,G504*(1+G_HI))</f>
        <v>894.1005127840466</v>
      </c>
      <c r="H505" s="8">
        <f>IF(B505&lt;RULE_START,F505,IF(I505=1,R_NF_2024*(1+G_HI)^(B505-2024),H504*(1+D505)))</f>
        <v>928.2315796583564</v>
      </c>
      <c r="I505">
        <f>IF(AND(B505&gt;=RULE_START,MOD(B505-RULE_START,REBASE_YEARS)=0),1,0)</f>
        <v>0</v>
      </c>
      <c r="J505" s="8">
        <f>F505*CAP_SHARE</f>
        <v>39.41072670357437</v>
      </c>
      <c r="K505" s="8">
        <f>G505*CAP_SHARE</f>
        <v>43.71912687316003</v>
      </c>
      <c r="L505" s="8">
        <f>H505*CAP_SHARE</f>
        <v>45.38804487696243</v>
      </c>
      <c r="M505" s="8">
        <f>F505-J505-E505</f>
        <v>-116.44212960524169</v>
      </c>
      <c r="N505" s="8">
        <f>G505-K505-E505</f>
        <v>-32.63937393950084</v>
      </c>
      <c r="O505" s="8">
        <f>H505-L505-E505</f>
        <v>-0.17722506899349355</v>
      </c>
      <c r="P505" s="8">
        <f>R_NF_2024*(1+G_HI)^(B505-2024)</f>
        <v>941.161047734604</v>
      </c>
      <c r="Q505" s="10">
        <f>1-F505/P505</f>
        <v>0.1436222749669095</v>
      </c>
      <c r="R505" s="10">
        <f>CPI_2023/(IF(B505-1=2023,CPI_2023,IF(B505-1=2024,CPI_2024,IF(B505-1=2025,CPI_2025,CPI_2025*(1+INFL)^(B505-1-2025)))))</f>
        <v>0.6661425442558033</v>
      </c>
      <c r="S505" s="8">
        <f>$B$21*ABS($B$11)*(G505-F505)/F505</f>
        <v>10898.714618311456</v>
      </c>
      <c r="T505" s="8">
        <f>$B$21*ABS($B$11)*(H505-F505)/F505</f>
        <v>15120.481475811535</v>
      </c>
      <c r="U505" s="13">
        <f>(G505-F505)*MCD_NF_DAYS*R505-S505*MCD_SHARE_FREED*R_WAIT_2023</f>
        <v>25968333.92471503</v>
      </c>
      <c r="V505" s="13">
        <f>(H505-F505)*MCD_NF_DAYS*R505-T505*MCD_SHARE_FREED*R_WAIT_2023</f>
        <v>36027524.87955098</v>
      </c>
      <c r="W505" s="10">
        <f>IF(AND(B505&gt;=RULE_START,C505=1),1/(1+$B$12)^(B505-RULE_START+1),0)</f>
        <v>0.7430147299885189</v>
      </c>
      <c r="X505">
        <f>IF(AND(B505&gt;=RULE_START,C505=1,M505&lt;0),B505,9999)</f>
        <v>2041</v>
      </c>
      <c r="Y505">
        <f>IF(AND(B505&gt;=RULE_START,C505=1,N505&lt;0),B505,9999)</f>
        <v>2041</v>
      </c>
      <c r="Z505">
        <f>IF(AND(B505&gt;=RULE_START,C505=1,O505&lt;0),B505,9999)</f>
        <v>2041</v>
      </c>
      <c r="AB505" t="n">
        <v>2041</v>
      </c>
      <c r="AC505">
        <f>IF(AB505&lt;=RULE_START+$AB$38-1,1,0)</f>
        <v>1</v>
      </c>
      <c r="AD505" s="15">
        <f>IF(AB505=2024,G_IDX_2024,IF(AB505=2025,G_IDX_2025,IF(AB505=2026,G_IDX_2026,IF(AB505=2027,G_IDX_2027,$AB$13))))</f>
        <v>0.033</v>
      </c>
      <c r="AE505" s="8">
        <f>$AB$20*(1+G_HI)^(AB505-COST_DATE)</f>
        <v>883.0207598503874</v>
      </c>
      <c r="AF505" s="8">
        <f>AF504*(1+AD505)</f>
        <v>805.9893569487201</v>
      </c>
      <c r="AG505" s="8">
        <f>IF(AB505&lt;RULE_START,AF505,AG504*(1+G_HI))</f>
        <v>894.1005127840466</v>
      </c>
      <c r="AH505" s="8">
        <f>IF(AB505&lt;RULE_START,AF505,IF(AI505=1,R_NF_2024*(1+G_HI)^(AB505-2024),AH504*(1+AD505)))</f>
        <v>928.2315796583564</v>
      </c>
      <c r="AI505">
        <f>IF(AND(AB505&gt;=RULE_START,MOD(AB505-RULE_START,REBASE_YEARS)=0),1,0)</f>
        <v>0</v>
      </c>
      <c r="AJ505" s="8">
        <f>AF505*CAP_SHARE</f>
        <v>39.41072670357437</v>
      </c>
      <c r="AK505" s="8">
        <f>AG505*CAP_SHARE</f>
        <v>43.71912687316003</v>
      </c>
      <c r="AL505" s="8">
        <f>AH505*CAP_SHARE</f>
        <v>45.38804487696243</v>
      </c>
      <c r="AM505" s="8">
        <f>AF505-AJ505-AE505</f>
        <v>-116.44212960524169</v>
      </c>
      <c r="AN505" s="8">
        <f>AG505-AK505-AE505</f>
        <v>-32.63937393950084</v>
      </c>
      <c r="AO505" s="8">
        <f>AH505-AL505-AE505</f>
        <v>-0.17722506899349355</v>
      </c>
      <c r="AP505" s="8">
        <f>R_NF_2024*(1+G_HI)^(AB505-2024)</f>
        <v>941.161047734604</v>
      </c>
      <c r="AQ505" s="10">
        <f>1-AF505/AP505</f>
        <v>0.1436222749669095</v>
      </c>
      <c r="AR505" s="10">
        <f>CPI_2023/(IF(AB505-1=2023,CPI_2023,IF(AB505-1=2024,CPI_2024,IF(AB505-1=2025,CPI_2025,CPI_2025*(1+INFL)^(AB505-1-2025)))))</f>
        <v>0.6661425442558033</v>
      </c>
      <c r="AS505" s="8">
        <f>$AB$21*ABS($AB$11)*(AG505-AF505)/AF505</f>
        <v>10898.714618311456</v>
      </c>
      <c r="AT505" s="8">
        <f>$AB$21*ABS($AB$11)*(AH505-AF505)/AF505</f>
        <v>15120.481475811535</v>
      </c>
      <c r="AU505" s="13">
        <f>(AG505-AF505)*MCD_NF_DAYS*AR505-AS505*MCD_SHARE_FREED*R_WAIT_2023</f>
        <v>25968333.92471503</v>
      </c>
      <c r="AV505" s="13">
        <f>(AH505-AF505)*MCD_NF_DAYS*AR505-AT505*MCD_SHARE_FREED*R_WAIT_2023</f>
        <v>36027524.87955098</v>
      </c>
      <c r="AW505" s="10">
        <f>IF(AND(AB505&gt;=RULE_START,AC505=1),1/(1+$AB$12)^(AB505-RULE_START+1),0)</f>
        <v>0.7430147299885189</v>
      </c>
      <c r="AX505">
        <f>IF(AND(AB505&gt;=RULE_START,AC505=1,AM505&lt;0),AB505,9999)</f>
        <v>2041</v>
      </c>
      <c r="AY505">
        <f>IF(AND(AB505&gt;=RULE_START,AC505=1,AN505&lt;0),AB505,9999)</f>
        <v>2041</v>
      </c>
      <c r="AZ505">
        <f>IF(AND(AB505&gt;=RULE_START,AC505=1,AO505&lt;0),AB505,9999)</f>
        <v>2041</v>
      </c>
      <c r="BB505" t="n">
        <v>2041</v>
      </c>
      <c r="BC505">
        <f>IF(BB505&lt;=RULE_START+$BB$38-1,1,0)</f>
        <v>1</v>
      </c>
      <c r="BD505" s="15">
        <f>IF(BB505=2024,G_IDX_2024,IF(BB505=2025,G_IDX_2025,IF(BB505=2026,G_IDX_2026,IF(BB505=2027,G_IDX_2027,$BB$13))))</f>
        <v>0.033</v>
      </c>
      <c r="BE505" s="8">
        <f>$BB$20*(1+G_HI)^(BB505-COST_DATE)</f>
        <v>883.0207598503874</v>
      </c>
      <c r="BF505" s="8">
        <f>BF504*(1+BD505)</f>
        <v>805.9893569487201</v>
      </c>
      <c r="BG505" s="8">
        <f>IF(BB505&lt;RULE_START,BF505,BG504*(1+G_HI))</f>
        <v>894.1005127840466</v>
      </c>
      <c r="BH505" s="8">
        <f>IF(BB505&lt;RULE_START,BF505,IF(BI505=1,R_NF_2024*(1+G_HI)^(BB505-2024),BH504*(1+BD505)))</f>
        <v>928.2315796583564</v>
      </c>
      <c r="BI505">
        <f>IF(AND(BB505&gt;=RULE_START,MOD(BB505-RULE_START,REBASE_YEARS)=0),1,0)</f>
        <v>0</v>
      </c>
      <c r="BJ505" s="8">
        <f>BF505*CAP_SHARE</f>
        <v>39.41072670357437</v>
      </c>
      <c r="BK505" s="8">
        <f>BG505*CAP_SHARE</f>
        <v>43.71912687316003</v>
      </c>
      <c r="BL505" s="8">
        <f>BH505*CAP_SHARE</f>
        <v>45.38804487696243</v>
      </c>
      <c r="BM505" s="8">
        <f>BF505-BJ505-BE505</f>
        <v>-116.44212960524169</v>
      </c>
      <c r="BN505" s="8">
        <f>BG505-BK505-BE505</f>
        <v>-32.63937393950084</v>
      </c>
      <c r="BO505" s="8">
        <f>BH505-BL505-BE505</f>
        <v>-0.17722506899349355</v>
      </c>
      <c r="BP505" s="8">
        <f>R_NF_2024*(1+G_HI)^(BB505-2024)</f>
        <v>941.161047734604</v>
      </c>
      <c r="BQ505" s="10">
        <f>1-BF505/BP505</f>
        <v>0.1436222749669095</v>
      </c>
      <c r="BR505" s="10">
        <f>CPI_2023/(IF(BB505-1=2023,CPI_2023,IF(BB505-1=2024,CPI_2024,IF(BB505-1=2025,CPI_2025,CPI_2025*(1+INFL)^(BB505-1-2025)))))</f>
        <v>0.6661425442558033</v>
      </c>
      <c r="BS505" s="8">
        <f>$BB$21*ABS($BB$11)*(BG505-BF505)/BF505</f>
        <v>10898.714618311456</v>
      </c>
      <c r="BT505" s="8">
        <f>$BB$21*ABS($BB$11)*(BH505-BF505)/BF505</f>
        <v>15120.481475811535</v>
      </c>
      <c r="BU505" s="13">
        <f>(BG505-BF505)*MCD_NF_DAYS*BR505-BS505*MCD_SHARE_FREED*R_WAIT_2023</f>
        <v>25968333.92471503</v>
      </c>
      <c r="BV505" s="13">
        <f>(BH505-BF505)*MCD_NF_DAYS*BR505-BT505*MCD_SHARE_FREED*R_WAIT_2023</f>
        <v>36027524.87955098</v>
      </c>
      <c r="BW505" s="10">
        <f>IF(AND(BB505&gt;=RULE_START,BC505=1),1/(1+$BB$12)^(BB505-RULE_START+1),0)</f>
        <v>0.7430147299885189</v>
      </c>
      <c r="BX505">
        <f>IF(AND(BB505&gt;=RULE_START,BC505=1,BM505&lt;0),BB505,9999)</f>
        <v>2041</v>
      </c>
      <c r="BY505">
        <f>IF(AND(BB505&gt;=RULE_START,BC505=1,BN505&lt;0),BB505,9999)</f>
        <v>2041</v>
      </c>
      <c r="BZ505">
        <f>IF(AND(BB505&gt;=RULE_START,BC505=1,BO505&lt;0),BB505,9999)</f>
        <v>2041</v>
      </c>
      <c r="CB505" t="n">
        <v>2041</v>
      </c>
      <c r="CC505">
        <f>IF(CB505&lt;=RULE_START+$CB$38-1,1,0)</f>
        <v>1</v>
      </c>
      <c r="CD505" s="15">
        <f>IF(CB505=2024,G_IDX_2024,IF(CB505=2025,G_IDX_2025,IF(CB505=2026,G_IDX_2026,IF(CB505=2027,G_IDX_2027,$CB$13))))</f>
        <v>0.033</v>
      </c>
      <c r="CE505" s="8">
        <f>$CB$20*(1+G_HI)^(CB505-COST_DATE)</f>
        <v>883.0207598503874</v>
      </c>
      <c r="CF505" s="8">
        <f>CF504*(1+CD505)</f>
        <v>805.9893569487201</v>
      </c>
      <c r="CG505" s="8">
        <f>IF(CB505&lt;RULE_START,CF505,CG504*(1+G_HI))</f>
        <v>894.1005127840466</v>
      </c>
      <c r="CH505" s="8">
        <f>IF(CB505&lt;RULE_START,CF505,IF(CI505=1,R_NF_2024*(1+G_HI)^(CB505-2024),CH504*(1+CD505)))</f>
        <v>928.2315796583564</v>
      </c>
      <c r="CI505">
        <f>IF(AND(CB505&gt;=RULE_START,MOD(CB505-RULE_START,REBASE_YEARS)=0),1,0)</f>
        <v>0</v>
      </c>
      <c r="CJ505" s="8">
        <f>CF505*CAP_SHARE</f>
        <v>39.41072670357437</v>
      </c>
      <c r="CK505" s="8">
        <f>CG505*CAP_SHARE</f>
        <v>43.71912687316003</v>
      </c>
      <c r="CL505" s="8">
        <f>CH505*CAP_SHARE</f>
        <v>45.38804487696243</v>
      </c>
      <c r="CM505" s="8">
        <f>CF505-CJ505-CE505</f>
        <v>-116.44212960524169</v>
      </c>
      <c r="CN505" s="8">
        <f>CG505-CK505-CE505</f>
        <v>-32.63937393950084</v>
      </c>
      <c r="CO505" s="8">
        <f>CH505-CL505-CE505</f>
        <v>-0.17722506899349355</v>
      </c>
      <c r="CP505" s="8">
        <f>R_NF_2024*(1+G_HI)^(CB505-2024)</f>
        <v>941.161047734604</v>
      </c>
      <c r="CQ505" s="10">
        <f>1-CF505/CP505</f>
        <v>0.1436222749669095</v>
      </c>
      <c r="CR505" s="10">
        <f>CPI_2023/(IF(CB505-1=2023,CPI_2023,IF(CB505-1=2024,CPI_2024,IF(CB505-1=2025,CPI_2025,CPI_2025*(1+INFL)^(CB505-1-2025)))))</f>
        <v>0.6661425442558033</v>
      </c>
      <c r="CS505" s="8">
        <f>$CB$21*ABS($CB$11)*(CG505-CF505)/CF505</f>
        <v>10898.714618311456</v>
      </c>
      <c r="CT505" s="8">
        <f>$CB$21*ABS($CB$11)*(CH505-CF505)/CF505</f>
        <v>15120.481475811535</v>
      </c>
      <c r="CU505" s="13">
        <f>(CG505-CF505)*MCD_NF_DAYS*CR505-CS505*MCD_SHARE_FREED*R_WAIT_2023</f>
        <v>25968333.92471503</v>
      </c>
      <c r="CV505" s="13">
        <f>(CH505-CF505)*MCD_NF_DAYS*CR505-CT505*MCD_SHARE_FREED*R_WAIT_2023</f>
        <v>36027524.87955098</v>
      </c>
      <c r="CW505" s="10">
        <f>IF(AND(CB505&gt;=RULE_START,CC505=1),1/(1+$CB$12)^(CB505-RULE_START+1),0)</f>
        <v>0.7430147299885189</v>
      </c>
      <c r="CX505">
        <f>IF(AND(CB505&gt;=RULE_START,CC505=1,CM505&lt;0),CB505,9999)</f>
        <v>2041</v>
      </c>
      <c r="CY505">
        <f>IF(AND(CB505&gt;=RULE_START,CC505=1,CN505&lt;0),CB505,9999)</f>
        <v>2041</v>
      </c>
      <c r="CZ505">
        <f>IF(AND(CB505&gt;=RULE_START,CC505=1,CO505&lt;0),CB505,9999)</f>
        <v>2041</v>
      </c>
      <c r="DB505" t="n">
        <v>2041</v>
      </c>
      <c r="DC505">
        <f>IF(DB505&lt;=RULE_START+$DB$38-1,1,0)</f>
        <v>1</v>
      </c>
      <c r="DD505" s="15">
        <f>IF(DB505=2024,G_IDX_2024,IF(DB505=2025,G_IDX_2025,IF(DB505=2026,G_IDX_2026,IF(DB505=2027,G_IDX_2027,$DB$13))))</f>
        <v>0.033</v>
      </c>
      <c r="DE505" s="8">
        <f>$DB$20*(1+G_HI)^(DB505-COST_DATE)</f>
        <v>883.0207598503874</v>
      </c>
      <c r="DF505" s="8">
        <f>DF504*(1+DD505)</f>
        <v>805.9893569487201</v>
      </c>
      <c r="DG505" s="8">
        <f>IF(DB505&lt;RULE_START,DF505,DG504*(1+G_HI))</f>
        <v>894.1005127840466</v>
      </c>
      <c r="DH505" s="8">
        <f>IF(DB505&lt;RULE_START,DF505,IF(DI505=1,R_NF_2024*(1+G_HI)^(DB505-2024),DH504*(1+DD505)))</f>
        <v>928.2315796583564</v>
      </c>
      <c r="DI505">
        <f>IF(AND(DB505&gt;=RULE_START,MOD(DB505-RULE_START,REBASE_YEARS)=0),1,0)</f>
        <v>0</v>
      </c>
      <c r="DJ505" s="8">
        <f>DF505*CAP_SHARE</f>
        <v>39.41072670357437</v>
      </c>
      <c r="DK505" s="8">
        <f>DG505*CAP_SHARE</f>
        <v>43.71912687316003</v>
      </c>
      <c r="DL505" s="8">
        <f>DH505*CAP_SHARE</f>
        <v>45.38804487696243</v>
      </c>
      <c r="DM505" s="8">
        <f>DF505-DJ505-DE505</f>
        <v>-116.44212960524169</v>
      </c>
      <c r="DN505" s="8">
        <f>DG505-DK505-DE505</f>
        <v>-32.63937393950084</v>
      </c>
      <c r="DO505" s="8">
        <f>DH505-DL505-DE505</f>
        <v>-0.17722506899349355</v>
      </c>
      <c r="DP505" s="8">
        <f>R_NF_2024*(1+G_HI)^(DB505-2024)</f>
        <v>941.161047734604</v>
      </c>
      <c r="DQ505" s="10">
        <f>1-DF505/DP505</f>
        <v>0.1436222749669095</v>
      </c>
      <c r="DR505" s="10">
        <f>CPI_2023/(IF(DB505-1=2023,CPI_2023,IF(DB505-1=2024,CPI_2024,IF(DB505-1=2025,CPI_2025,CPI_2025*(1+INFL)^(DB505-1-2025)))))</f>
        <v>0.6661425442558033</v>
      </c>
      <c r="DS505" s="8">
        <f>$DB$21*ABS($DB$11)*(DG505-DF505)/DF505</f>
        <v>10898.714618311456</v>
      </c>
      <c r="DT505" s="8">
        <f>$DB$21*ABS($DB$11)*(DH505-DF505)/DF505</f>
        <v>15120.481475811535</v>
      </c>
      <c r="DU505" s="13">
        <f>(DG505-DF505)*MCD_NF_DAYS*DR505-DS505*MCD_SHARE_FREED*R_WAIT_2023</f>
        <v>25968333.92471503</v>
      </c>
      <c r="DV505" s="13">
        <f>(DH505-DF505)*MCD_NF_DAYS*DR505-DT505*MCD_SHARE_FREED*R_WAIT_2023</f>
        <v>36027524.87955098</v>
      </c>
      <c r="DW505" s="10">
        <f>IF(AND(DB505&gt;=RULE_START,DC505=1),1/(1+$DB$12)^(DB505-RULE_START+1),0)</f>
        <v>0.7430147299885189</v>
      </c>
      <c r="DX505">
        <f>IF(AND(DB505&gt;=RULE_START,DC505=1,DM505&lt;0),DB505,9999)</f>
        <v>2041</v>
      </c>
      <c r="DY505">
        <f>IF(AND(DB505&gt;=RULE_START,DC505=1,DN505&lt;0),DB505,9999)</f>
        <v>2041</v>
      </c>
      <c r="DZ505">
        <f>IF(AND(DB505&gt;=RULE_START,DC505=1,DO505&lt;0),DB505,9999)</f>
        <v>2041</v>
      </c>
      <c r="EB505" t="n">
        <v>2041</v>
      </c>
      <c r="EC505">
        <f>IF(EB505&lt;=RULE_START+$EB$38-1,1,0)</f>
        <v>1</v>
      </c>
      <c r="ED505" s="15">
        <f>IF(EB505=2024,G_IDX_2024,IF(EB505=2025,G_IDX_2025,IF(EB505=2026,G_IDX_2026,IF(EB505=2027,G_IDX_2027,$EB$13))))</f>
        <v>0.033</v>
      </c>
      <c r="EE505" s="8">
        <f>$EB$20*(1+G_HI)^(EB505-COST_DATE)</f>
        <v>883.0207598503874</v>
      </c>
      <c r="EF505" s="8">
        <f>EF504*(1+ED505)</f>
        <v>805.9893569487201</v>
      </c>
      <c r="EG505" s="8">
        <f>IF(EB505&lt;RULE_START,EF505,EG504*(1+G_HI))</f>
        <v>894.1005127840466</v>
      </c>
      <c r="EH505" s="8">
        <f>IF(EB505&lt;RULE_START,EF505,IF(EI505=1,R_NF_2024*(1+G_HI)^(EB505-2024),EH504*(1+ED505)))</f>
        <v>928.2315796583564</v>
      </c>
      <c r="EI505">
        <f>IF(AND(EB505&gt;=RULE_START,MOD(EB505-RULE_START,REBASE_YEARS)=0),1,0)</f>
        <v>0</v>
      </c>
      <c r="EJ505" s="8">
        <f>EF505*CAP_SHARE</f>
        <v>39.41072670357437</v>
      </c>
      <c r="EK505" s="8">
        <f>EG505*CAP_SHARE</f>
        <v>43.71912687316003</v>
      </c>
      <c r="EL505" s="8">
        <f>EH505*CAP_SHARE</f>
        <v>45.38804487696243</v>
      </c>
      <c r="EM505" s="8">
        <f>EF505-EJ505-EE505</f>
        <v>-116.44212960524169</v>
      </c>
      <c r="EN505" s="8">
        <f>EG505-EK505-EE505</f>
        <v>-32.63937393950084</v>
      </c>
      <c r="EO505" s="8">
        <f>EH505-EL505-EE505</f>
        <v>-0.17722506899349355</v>
      </c>
      <c r="EP505" s="8">
        <f>R_NF_2024*(1+G_HI)^(EB505-2024)</f>
        <v>941.161047734604</v>
      </c>
      <c r="EQ505" s="10">
        <f>1-EF505/EP505</f>
        <v>0.1436222749669095</v>
      </c>
      <c r="ER505" s="10">
        <f>CPI_2023/(IF(EB505-1=2023,CPI_2023,IF(EB505-1=2024,CPI_2024,IF(EB505-1=2025,CPI_2025,CPI_2025*(1+INFL)^(EB505-1-2025)))))</f>
        <v>0.6661425442558033</v>
      </c>
      <c r="ES505" s="8">
        <f>$EB$21*ABS($EB$11)*(EG505-EF505)/EF505</f>
        <v>10898.714618311456</v>
      </c>
      <c r="ET505" s="8">
        <f>$EB$21*ABS($EB$11)*(EH505-EF505)/EF505</f>
        <v>15120.481475811535</v>
      </c>
      <c r="EU505" s="13">
        <f>(EG505-EF505)*MCD_NF_DAYS*ER505-ES505*MCD_SHARE_FREED*R_WAIT_2023</f>
        <v>25968333.92471503</v>
      </c>
      <c r="EV505" s="13">
        <f>(EH505-EF505)*MCD_NF_DAYS*ER505-ET505*MCD_SHARE_FREED*R_WAIT_2023</f>
        <v>36027524.87955098</v>
      </c>
      <c r="EW505" s="10">
        <f>IF(AND(EB505&gt;=RULE_START,EC505=1),1/(1+$EB$12)^(EB505-RULE_START+1),0)</f>
        <v>0.7430147299885189</v>
      </c>
      <c r="EX505">
        <f>IF(AND(EB505&gt;=RULE_START,EC505=1,EM505&lt;0),EB505,9999)</f>
        <v>2041</v>
      </c>
      <c r="EY505">
        <f>IF(AND(EB505&gt;=RULE_START,EC505=1,EN505&lt;0),EB505,9999)</f>
        <v>2041</v>
      </c>
      <c r="EZ505">
        <f>IF(AND(EB505&gt;=RULE_START,EC505=1,EO505&lt;0),EB505,9999)</f>
        <v>2041</v>
      </c>
      <c r="FB505" t="n">
        <v>2041</v>
      </c>
      <c r="FC505">
        <f>IF(FB505&lt;=RULE_START+$FB$38-1,1,0)</f>
        <v>1</v>
      </c>
      <c r="FD505" s="15">
        <f>IF(FB505=2024,G_IDX_2024,IF(FB505=2025,G_IDX_2025,IF(FB505=2026,G_IDX_2026,IF(FB505=2027,G_IDX_2027,$FB$13))))</f>
        <v>0.033</v>
      </c>
      <c r="FE505" s="8">
        <f>$FB$20*(1+G_HI)^(FB505-COST_DATE)</f>
        <v>908.7452015195855</v>
      </c>
      <c r="FF505" s="8">
        <f>FF504*(1+FD505)</f>
        <v>805.9893569487201</v>
      </c>
      <c r="FG505" s="8">
        <f>IF(FB505&lt;RULE_START,FF505,FG504*(1+G_HI))</f>
        <v>894.1005127840466</v>
      </c>
      <c r="FH505" s="8">
        <f>IF(FB505&lt;RULE_START,FF505,IF(FI505=1,R_NF_2024*(1+G_HI)^(FB505-2024),FH504*(1+FD505)))</f>
        <v>928.2315796583564</v>
      </c>
      <c r="FI505">
        <f>IF(AND(FB505&gt;=RULE_START,MOD(FB505-RULE_START,REBASE_YEARS)=0),1,0)</f>
        <v>0</v>
      </c>
      <c r="FJ505" s="8">
        <f>FF505*CAP_SHARE</f>
        <v>39.41072670357437</v>
      </c>
      <c r="FK505" s="8">
        <f>FG505*CAP_SHARE</f>
        <v>43.71912687316003</v>
      </c>
      <c r="FL505" s="8">
        <f>FH505*CAP_SHARE</f>
        <v>45.38804487696243</v>
      </c>
      <c r="FM505" s="8">
        <f>FF505-FJ505-FE505</f>
        <v>-142.16657127443978</v>
      </c>
      <c r="FN505" s="8">
        <f>FG505-FK505-FE505</f>
        <v>-58.36381560869893</v>
      </c>
      <c r="FO505" s="8">
        <f>FH505-FL505-FE505</f>
        <v>-25.90166673819158</v>
      </c>
      <c r="FP505" s="8">
        <f>R_NF_2024*(1+G_HI)^(FB505-2024)</f>
        <v>941.161047734604</v>
      </c>
      <c r="FQ505" s="10">
        <f>1-FF505/FP505</f>
        <v>0.1436222749669095</v>
      </c>
      <c r="FR505" s="10">
        <f>CPI_2023/(IF(FB505-1=2023,CPI_2023,IF(FB505-1=2024,CPI_2024,IF(FB505-1=2025,CPI_2025,CPI_2025*(1+INFL)^(FB505-1-2025)))))</f>
        <v>0.6661425442558033</v>
      </c>
      <c r="FS505" s="8">
        <f>$FB$21*ABS($FB$11)*(FG505-FF505)/FF505</f>
        <v>10898.714618311456</v>
      </c>
      <c r="FT505" s="8">
        <f>$FB$21*ABS($FB$11)*(FH505-FF505)/FF505</f>
        <v>15120.481475811535</v>
      </c>
      <c r="FU505" s="13">
        <f>(FG505-FF505)*MCD_NF_DAYS*FR505-FS505*MCD_SHARE_FREED*R_WAIT_2023</f>
        <v>25968333.92471503</v>
      </c>
      <c r="FV505" s="13">
        <f>(FH505-FF505)*MCD_NF_DAYS*FR505-FT505*MCD_SHARE_FREED*R_WAIT_2023</f>
        <v>36027524.87955098</v>
      </c>
      <c r="FW505" s="10">
        <f>IF(AND(FB505&gt;=RULE_START,FC505=1),1/(1+$FB$12)^(FB505-RULE_START+1),0)</f>
        <v>0.7430147299885189</v>
      </c>
      <c r="FX505">
        <f>IF(AND(FB505&gt;=RULE_START,FC505=1,FM505&lt;0),FB505,9999)</f>
        <v>2041</v>
      </c>
      <c r="FY505">
        <f>IF(AND(FB505&gt;=RULE_START,FC505=1,FN505&lt;0),FB505,9999)</f>
        <v>2041</v>
      </c>
      <c r="FZ505">
        <f>IF(AND(FB505&gt;=RULE_START,FC505=1,FO505&lt;0),FB505,9999)</f>
        <v>2041</v>
      </c>
      <c r="GB505" t="n">
        <v>2041</v>
      </c>
      <c r="GC505">
        <f>IF(GB505&lt;=RULE_START+$GB$38-1,1,0)</f>
        <v>1</v>
      </c>
      <c r="GD505" s="15">
        <f>IF(GB505=2024,G_IDX_2024,IF(GB505=2025,G_IDX_2025,IF(GB505=2026,G_IDX_2026,IF(GB505=2027,G_IDX_2027,$GB$13))))</f>
        <v>0.033</v>
      </c>
      <c r="GE505" s="8">
        <f>$GB$20*(1+G_HI)^(GB505-COST_DATE)</f>
        <v>883.0207598503874</v>
      </c>
      <c r="GF505" s="8">
        <f>GF504*(1+GD505)</f>
        <v>805.9893569487201</v>
      </c>
      <c r="GG505" s="8">
        <f>IF(GB505&lt;RULE_START,GF505,GG504*(1+G_HI))</f>
        <v>894.1005127840466</v>
      </c>
      <c r="GH505" s="8">
        <f>IF(GB505&lt;RULE_START,GF505,IF(GI505=1,R_NF_2024*(1+G_HI)^(GB505-2024),GH504*(1+GD505)))</f>
        <v>928.2315796583564</v>
      </c>
      <c r="GI505">
        <f>IF(AND(GB505&gt;=RULE_START,MOD(GB505-RULE_START,REBASE_YEARS)=0),1,0)</f>
        <v>0</v>
      </c>
      <c r="GJ505" s="8">
        <f>GF505*CAP_SHARE</f>
        <v>39.41072670357437</v>
      </c>
      <c r="GK505" s="8">
        <f>GG505*CAP_SHARE</f>
        <v>43.71912687316003</v>
      </c>
      <c r="GL505" s="8">
        <f>GH505*CAP_SHARE</f>
        <v>45.38804487696243</v>
      </c>
      <c r="GM505" s="8">
        <f>GF505-GJ505-GE505</f>
        <v>-116.44212960524169</v>
      </c>
      <c r="GN505" s="8">
        <f>GG505-GK505-GE505</f>
        <v>-32.63937393950084</v>
      </c>
      <c r="GO505" s="8">
        <f>GH505-GL505-GE505</f>
        <v>-0.17722506899349355</v>
      </c>
      <c r="GP505" s="8">
        <f>R_NF_2024*(1+G_HI)^(GB505-2024)</f>
        <v>941.161047734604</v>
      </c>
      <c r="GQ505" s="10">
        <f>1-GF505/GP505</f>
        <v>0.1436222749669095</v>
      </c>
      <c r="GR505" s="10">
        <f>CPI_2023/(IF(GB505-1=2023,CPI_2023,IF(GB505-1=2024,CPI_2024,IF(GB505-1=2025,CPI_2025,CPI_2025*(1+INFL)^(GB505-1-2025)))))</f>
        <v>0.6661425442558033</v>
      </c>
      <c r="GS505" s="8">
        <f>$GB$21*ABS($GB$11)*(GG505-GF505)/GF505</f>
        <v>8226.894567477231</v>
      </c>
      <c r="GT505" s="8">
        <f>$GB$21*ABS($GB$11)*(GH505-GF505)/GF505</f>
        <v>11413.69521704813</v>
      </c>
      <c r="GU505" s="13">
        <f>(GG505-GF505)*MCD_NF_DAYS*GR505-GS505*MCD_SHARE_FREED*R_WAIT_2023</f>
        <v>27183260.547553033</v>
      </c>
      <c r="GV505" s="13">
        <f>(GH505-GF505)*MCD_NF_DAYS*GR505-GT505*MCD_SHARE_FREED*R_WAIT_2023</f>
        <v>37713070.02303308</v>
      </c>
      <c r="GW505" s="10">
        <f>IF(AND(GB505&gt;=RULE_START,GC505=1),1/(1+$GB$12)^(GB505-RULE_START+1),0)</f>
        <v>0.7430147299885189</v>
      </c>
      <c r="GX505">
        <f>IF(AND(GB505&gt;=RULE_START,GC505=1,GM505&lt;0),GB505,9999)</f>
        <v>2041</v>
      </c>
      <c r="GY505">
        <f>IF(AND(GB505&gt;=RULE_START,GC505=1,GN505&lt;0),GB505,9999)</f>
        <v>2041</v>
      </c>
      <c r="GZ505">
        <f>IF(AND(GB505&gt;=RULE_START,GC505=1,GO505&lt;0),GB505,9999)</f>
        <v>2041</v>
      </c>
      <c r="HB505" t="n">
        <v>2041</v>
      </c>
      <c r="HC505">
        <f>IF(HB505&lt;=RULE_START+$HB$38-1,1,0)</f>
        <v>1</v>
      </c>
      <c r="HD505" s="15">
        <f>IF(HB505=2024,G_IDX_2024,IF(HB505=2025,G_IDX_2025,IF(HB505=2026,G_IDX_2026,IF(HB505=2027,G_IDX_2027,$HB$13))))</f>
        <v>0.033</v>
      </c>
      <c r="HE505" s="8">
        <f>$HB$20*(1+G_HI)^(HB505-COST_DATE)</f>
        <v>883.0207598503874</v>
      </c>
      <c r="HF505" s="8">
        <f>HF504*(1+HD505)</f>
        <v>805.9893569487201</v>
      </c>
      <c r="HG505" s="8">
        <f>IF(HB505&lt;RULE_START,HF505,HG504*(1+G_HI))</f>
        <v>894.1005127840466</v>
      </c>
      <c r="HH505" s="8">
        <f>IF(HB505&lt;RULE_START,HF505,IF(HI505=1,R_NF_2024*(1+G_HI)^(HB505-2024),HH504*(1+HD505)))</f>
        <v>928.2315796583564</v>
      </c>
      <c r="HI505">
        <f>IF(AND(HB505&gt;=RULE_START,MOD(HB505-RULE_START,REBASE_YEARS)=0),1,0)</f>
        <v>0</v>
      </c>
      <c r="HJ505" s="8">
        <f>HF505*CAP_SHARE</f>
        <v>39.41072670357437</v>
      </c>
      <c r="HK505" s="8">
        <f>HG505*CAP_SHARE</f>
        <v>43.71912687316003</v>
      </c>
      <c r="HL505" s="8">
        <f>HH505*CAP_SHARE</f>
        <v>45.38804487696243</v>
      </c>
      <c r="HM505" s="8">
        <f>HF505-HJ505-HE505</f>
        <v>-116.44212960524169</v>
      </c>
      <c r="HN505" s="8">
        <f>HG505-HK505-HE505</f>
        <v>-32.63937393950084</v>
      </c>
      <c r="HO505" s="8">
        <f>HH505-HL505-HE505</f>
        <v>-0.17722506899349355</v>
      </c>
      <c r="HP505" s="8">
        <f>R_NF_2024*(1+G_HI)^(HB505-2024)</f>
        <v>941.161047734604</v>
      </c>
      <c r="HQ505" s="10">
        <f>1-HF505/HP505</f>
        <v>0.1436222749669095</v>
      </c>
      <c r="HR505" s="10">
        <f>CPI_2023/(IF(HB505-1=2023,CPI_2023,IF(HB505-1=2024,CPI_2024,IF(HB505-1=2025,CPI_2025,CPI_2025*(1+INFL)^(HB505-1-2025)))))</f>
        <v>0.6661425442558033</v>
      </c>
      <c r="HS505" s="8">
        <f>$HB$21*ABS($HB$11)*(HG505-HF505)/HF505</f>
        <v>10898.714618311456</v>
      </c>
      <c r="HT505" s="8">
        <f>$HB$21*ABS($HB$11)*(HH505-HF505)/HF505</f>
        <v>15120.481475811535</v>
      </c>
      <c r="HU505" s="13">
        <f>(HG505-HF505)*MCD_NF_DAYS*HR505-HS505*MCD_SHARE_FREED*R_WAIT_2023</f>
        <v>25968333.92471503</v>
      </c>
      <c r="HV505" s="13">
        <f>(HH505-HF505)*MCD_NF_DAYS*HR505-HT505*MCD_SHARE_FREED*R_WAIT_2023</f>
        <v>36027524.87955098</v>
      </c>
      <c r="HW505" s="10">
        <f>IF(AND(HB505&gt;=RULE_START,HC505=1),1/(1+$HB$12)^(HB505-RULE_START+1),0)</f>
        <v>0.6418619473967174</v>
      </c>
      <c r="HX505">
        <f>IF(AND(HB505&gt;=RULE_START,HC505=1,HM505&lt;0),HB505,9999)</f>
        <v>2041</v>
      </c>
      <c r="HY505">
        <f>IF(AND(HB505&gt;=RULE_START,HC505=1,HN505&lt;0),HB505,9999)</f>
        <v>2041</v>
      </c>
      <c r="HZ505">
        <f>IF(AND(HB505&gt;=RULE_START,HC505=1,HO505&lt;0),HB505,9999)</f>
        <v>2041</v>
      </c>
      <c r="IB505" t="n">
        <v>2041</v>
      </c>
      <c r="IC505">
        <f>IF(IB505&lt;=RULE_START+$IB$38-1,1,0)</f>
        <v>1</v>
      </c>
      <c r="ID505" s="15">
        <f>IF(IB505=2024,G_IDX_2024,IF(IB505=2025,G_IDX_2025,IF(IB505=2026,G_IDX_2026,IF(IB505=2027,G_IDX_2027,$IB$13))))</f>
        <v>0.033</v>
      </c>
      <c r="IE505" s="8">
        <f>$IB$20*(1+G_HI)^(IB505-COST_DATE)</f>
        <v>883.0207598503874</v>
      </c>
      <c r="IF505" s="8">
        <f>IF504*(1+ID505)</f>
        <v>805.9893569487201</v>
      </c>
      <c r="IG505" s="8">
        <f>IF(IB505&lt;RULE_START,IF505,IG504*(1+G_HI))</f>
        <v>894.1005127840466</v>
      </c>
      <c r="IH505" s="8">
        <f>IF(IB505&lt;RULE_START,IF505,IF(II505=1,R_NF_2024*(1+G_HI)^(IB505-2024),IH504*(1+ID505)))</f>
        <v>928.2315796583564</v>
      </c>
      <c r="II505">
        <f>IF(AND(IB505&gt;=RULE_START,MOD(IB505-RULE_START,REBASE_YEARS)=0),1,0)</f>
        <v>0</v>
      </c>
      <c r="IJ505" s="8">
        <f>IF505*CAP_SHARE</f>
        <v>39.41072670357437</v>
      </c>
      <c r="IK505" s="8">
        <f>IG505*CAP_SHARE</f>
        <v>43.71912687316003</v>
      </c>
      <c r="IL505" s="8">
        <f>IH505*CAP_SHARE</f>
        <v>45.38804487696243</v>
      </c>
      <c r="IM505" s="8">
        <f>IF505-IJ505-IE505</f>
        <v>-116.44212960524169</v>
      </c>
      <c r="IN505" s="8">
        <f>IG505-IK505-IE505</f>
        <v>-32.63937393950084</v>
      </c>
      <c r="IO505" s="8">
        <f>IH505-IL505-IE505</f>
        <v>-0.17722506899349355</v>
      </c>
      <c r="IP505" s="8">
        <f>R_NF_2024*(1+G_HI)^(IB505-2024)</f>
        <v>941.161047734604</v>
      </c>
      <c r="IQ505" s="10">
        <f>1-IF505/IP505</f>
        <v>0.1436222749669095</v>
      </c>
      <c r="IR505" s="10">
        <f>CPI_2023/(IF(IB505-1=2023,CPI_2023,IF(IB505-1=2024,CPI_2024,IF(IB505-1=2025,CPI_2025,CPI_2025*(1+INFL)^(IB505-1-2025)))))</f>
        <v>0.6661425442558033</v>
      </c>
      <c r="IS505" s="8">
        <f>$IB$21*ABS($IB$11)*(IG505-IF505)/IF505</f>
        <v>10898.714618311456</v>
      </c>
      <c r="IT505" s="8">
        <f>$IB$21*ABS($IB$11)*(IH505-IF505)/IF505</f>
        <v>15120.481475811535</v>
      </c>
      <c r="IU505" s="13">
        <f>(IG505-IF505)*MCD_NF_DAYS*IR505-IS505*MCD_SHARE_FREED*R_WAIT_2023</f>
        <v>25968333.92471503</v>
      </c>
      <c r="IV505" s="13">
        <f>(IH505-IF505)*MCD_NF_DAYS*IR505-IT505*MCD_SHARE_FREED*R_WAIT_2023</f>
        <v>36027524.87955098</v>
      </c>
      <c r="IW505" s="10">
        <f>IF(AND(IB505&gt;=RULE_START,IC505=1),1/(1+$IB$12)^(IB505-RULE_START+1),0)</f>
        <v>0.36244601964235945</v>
      </c>
      <c r="IX505">
        <f>IF(AND(IB505&gt;=RULE_START,IC505=1,IM505&lt;0),IB505,9999)</f>
        <v>2041</v>
      </c>
      <c r="IY505">
        <f>IF(AND(IB505&gt;=RULE_START,IC505=1,IN505&lt;0),IB505,9999)</f>
        <v>2041</v>
      </c>
      <c r="IZ505">
        <f>IF(AND(IB505&gt;=RULE_START,IC505=1,IO505&lt;0),IB505,9999)</f>
        <v>2041</v>
      </c>
      <c r="JB505" t="n">
        <v>2041</v>
      </c>
      <c r="JC505">
        <f>IF(JB505&lt;=RULE_START+$JB$38-1,1,0)</f>
        <v>1</v>
      </c>
      <c r="JD505" s="15">
        <f>IF(JB505=2024,G_IDX_2024,IF(JB505=2025,G_IDX_2025,IF(JB505=2026,G_IDX_2026,IF(JB505=2027,G_IDX_2027,$JB$13))))</f>
        <v>0.03</v>
      </c>
      <c r="JE505" s="8">
        <f>$JB$20*(1+G_HI)^(JB505-COST_DATE)</f>
        <v>883.0207598503874</v>
      </c>
      <c r="JF505" s="8">
        <f>JF504*(1+JD505)</f>
        <v>773.8306932552326</v>
      </c>
      <c r="JG505" s="8">
        <f>IF(JB505&lt;RULE_START,JF505,JG504*(1+G_HI))</f>
        <v>894.1005127840466</v>
      </c>
      <c r="JH505" s="8">
        <f>IF(JB505&lt;RULE_START,JF505,IF(JI505=1,R_NF_2024*(1+G_HI)^(JB505-2024),JH504*(1+JD505)))</f>
        <v>922.8479375755448</v>
      </c>
      <c r="JI505">
        <f>IF(AND(JB505&gt;=RULE_START,MOD(JB505-RULE_START,REBASE_YEARS)=0),1,0)</f>
        <v>0</v>
      </c>
      <c r="JJ505" s="8">
        <f>JF505*CAP_SHARE</f>
        <v>37.83825394689399</v>
      </c>
      <c r="JK505" s="8">
        <f>JG505*CAP_SHARE</f>
        <v>43.71912687316003</v>
      </c>
      <c r="JL505" s="8">
        <f>JH505*CAP_SHARE</f>
        <v>45.12479915917928</v>
      </c>
      <c r="JM505" s="8">
        <f>JF505-JJ505-JE505</f>
        <v>-147.02832054204885</v>
      </c>
      <c r="JN505" s="8">
        <f>JG505-JK505-JE505</f>
        <v>-32.63937393950084</v>
      </c>
      <c r="JO505" s="8">
        <f>JH505-JL505-JE505</f>
        <v>-5.297621434021835</v>
      </c>
      <c r="JP505" s="8">
        <f>R_NF_2024*(1+G_HI)^(JB505-2024)</f>
        <v>941.161047734604</v>
      </c>
      <c r="JQ505" s="10">
        <f>1-JF505/JP505</f>
        <v>0.17779141506348928</v>
      </c>
      <c r="JR505" s="10">
        <f>CPI_2023/(IF(JB505-1=2023,CPI_2023,IF(JB505-1=2024,CPI_2024,IF(JB505-1=2025,CPI_2025,CPI_2025*(1+INFL)^(JB505-1-2025)))))</f>
        <v>0.6661425442558033</v>
      </c>
      <c r="JS505" s="8">
        <f>$JB$21*ABS($JB$11)*(JG505-JF505)/JF505</f>
        <v>15494.743707743053</v>
      </c>
      <c r="JT505" s="8">
        <f>$JB$21*ABS($JB$11)*(JH505-JF505)/JF505</f>
        <v>19198.36595600932</v>
      </c>
      <c r="JU505" s="13">
        <f>(JG505-JF505)*MCD_NF_DAYS*JR505-JS505*MCD_SHARE_FREED*R_WAIT_2023</f>
        <v>35165090.71346812</v>
      </c>
      <c r="JV505" s="13">
        <f>(JH505-JF505)*MCD_NF_DAYS*JR505-JT505*MCD_SHARE_FREED*R_WAIT_2023</f>
        <v>43570406.39891693</v>
      </c>
      <c r="JW505" s="10">
        <f>IF(AND(JB505&gt;=RULE_START,JC505=1),1/(1+$JB$12)^(JB505-RULE_START+1),0)</f>
        <v>0.7430147299885189</v>
      </c>
      <c r="JX505">
        <f>IF(AND(JB505&gt;=RULE_START,JC505=1,JM505&lt;0),JB505,9999)</f>
        <v>2041</v>
      </c>
      <c r="JY505">
        <f>IF(AND(JB505&gt;=RULE_START,JC505=1,JN505&lt;0),JB505,9999)</f>
        <v>2041</v>
      </c>
      <c r="JZ505">
        <f>IF(AND(JB505&gt;=RULE_START,JC505=1,JO505&lt;0),JB505,9999)</f>
        <v>2041</v>
      </c>
      <c r="KB505" t="n">
        <v>2041</v>
      </c>
      <c r="KC505">
        <f>IF(KB505&lt;=RULE_START+$KB$38-1,1,0)</f>
        <v>1</v>
      </c>
      <c r="KD505" s="15">
        <f>IF(KB505=2024,G_IDX_2024,IF(KB505=2025,G_IDX_2025,IF(KB505=2026,G_IDX_2026,IF(KB505=2027,G_IDX_2027,$KB$13))))</f>
        <v>0.033</v>
      </c>
      <c r="KE505" s="8">
        <f>$KB$20*(1+G_HI)^(KB505-COST_DATE)</f>
        <v>883.0207598503874</v>
      </c>
      <c r="KF505" s="8">
        <f>KF504*(1+KD505)</f>
        <v>805.9893569487201</v>
      </c>
      <c r="KG505" s="8">
        <f>IF(KB505&lt;RULE_START,KF505,KG504*(1+G_HI))</f>
        <v>894.1005127840466</v>
      </c>
      <c r="KH505" s="8">
        <f>IF(KB505&lt;RULE_START,KF505,IF(KI505=1,R_NF_2024*(1+G_HI)^(KB505-2024),KH504*(1+KD505)))</f>
        <v>928.2315796583564</v>
      </c>
      <c r="KI505">
        <f>IF(AND(KB505&gt;=RULE_START,MOD(KB505-RULE_START,REBASE_YEARS)=0),1,0)</f>
        <v>0</v>
      </c>
      <c r="KJ505" s="8">
        <f>KF505*CAP_SHARE</f>
        <v>39.41072670357437</v>
      </c>
      <c r="KK505" s="8">
        <f>KG505*CAP_SHARE</f>
        <v>43.71912687316003</v>
      </c>
      <c r="KL505" s="8">
        <f>KH505*CAP_SHARE</f>
        <v>45.38804487696243</v>
      </c>
      <c r="KM505" s="8">
        <f>KF505-KJ505-KE505</f>
        <v>-116.44212960524169</v>
      </c>
      <c r="KN505" s="8">
        <f>KG505-KK505-KE505</f>
        <v>-32.63937393950084</v>
      </c>
      <c r="KO505" s="8">
        <f>KH505-KL505-KE505</f>
        <v>-0.17722506899349355</v>
      </c>
      <c r="KP505" s="8">
        <f>R_NF_2024*(1+G_HI)^(KB505-2024)</f>
        <v>941.161047734604</v>
      </c>
      <c r="KQ505" s="10">
        <f>1-KF505/KP505</f>
        <v>0.1436222749669095</v>
      </c>
      <c r="KR505" s="10">
        <f>CPI_2023/(IF(KB505-1=2023,CPI_2023,IF(KB505-1=2024,CPI_2024,IF(KB505-1=2025,CPI_2025,CPI_2025*(1+INFL)^(KB505-1-2025)))))</f>
        <v>0.6661425442558033</v>
      </c>
      <c r="KS505" s="8">
        <f>$KB$21*ABS($KB$11)*(KG505-KF505)/KF505</f>
        <v>10898.714618311456</v>
      </c>
      <c r="KT505" s="8">
        <f>$KB$21*ABS($KB$11)*(KH505-KF505)/KF505</f>
        <v>15120.481475811535</v>
      </c>
      <c r="KU505" s="13">
        <f>(KG505-KF505)*MCD_NF_DAYS*KR505-KS505*MCD_SHARE_FREED*R_WAIT_2023</f>
        <v>25968333.92471503</v>
      </c>
      <c r="KV505" s="13">
        <f>(KH505-KF505)*MCD_NF_DAYS*KR505-KT505*MCD_SHARE_FREED*R_WAIT_2023</f>
        <v>36027524.87955098</v>
      </c>
      <c r="KW505" s="10">
        <f>IF(AND(KB505&gt;=RULE_START,KC505=1),1/(1+$KB$12)^(KB505-RULE_START+1),0)</f>
        <v>0.7430147299885189</v>
      </c>
      <c r="KX505">
        <f>IF(AND(KB505&gt;=RULE_START,KC505=1,KM505&lt;0),KB505,9999)</f>
        <v>2041</v>
      </c>
      <c r="KY505">
        <f>IF(AND(KB505&gt;=RULE_START,KC505=1,KN505&lt;0),KB505,9999)</f>
        <v>2041</v>
      </c>
      <c r="KZ505">
        <f>IF(AND(KB505&gt;=RULE_START,KC505=1,KO505&lt;0),KB505,9999)</f>
        <v>2041</v>
      </c>
      <c r="LB505" t="n">
        <v>2041</v>
      </c>
      <c r="LC505">
        <f>IF(LB505&lt;=RULE_START+$LB$38-1,1,0)</f>
        <v>1</v>
      </c>
      <c r="LD505" s="15">
        <f>IF(LB505=2024,G_IDX_2024,IF(LB505=2025,G_IDX_2025,IF(LB505=2026,G_IDX_2026,IF(LB505=2027,G_IDX_2027,$LB$13))))</f>
        <v>0.033</v>
      </c>
      <c r="LE505" s="8">
        <f>$LB$20*(1+G_HI)^(LB505-COST_DATE)</f>
        <v>883.0207598503874</v>
      </c>
      <c r="LF505" s="8">
        <f>LF504*(1+LD505)</f>
        <v>805.9893569487201</v>
      </c>
      <c r="LG505" s="8">
        <f>IF(LB505&lt;RULE_START,LF505,LG504*(1+G_HI))</f>
        <v>894.1005127840466</v>
      </c>
      <c r="LH505" s="8">
        <f>IF(LB505&lt;RULE_START,LF505,IF(LI505=1,R_NF_2024*(1+G_HI)^(LB505-2024),LH504*(1+LD505)))</f>
        <v>928.2315796583564</v>
      </c>
      <c r="LI505">
        <f>IF(AND(LB505&gt;=RULE_START,MOD(LB505-RULE_START,REBASE_YEARS)=0),1,0)</f>
        <v>0</v>
      </c>
      <c r="LJ505" s="8">
        <f>LF505*CAP_SHARE</f>
        <v>39.41072670357437</v>
      </c>
      <c r="LK505" s="8">
        <f>LG505*CAP_SHARE</f>
        <v>43.71912687316003</v>
      </c>
      <c r="LL505" s="8">
        <f>LH505*CAP_SHARE</f>
        <v>45.38804487696243</v>
      </c>
      <c r="LM505" s="8">
        <f>LF505-LJ505-LE505</f>
        <v>-116.44212960524169</v>
      </c>
      <c r="LN505" s="8">
        <f>LG505-LK505-LE505</f>
        <v>-32.63937393950084</v>
      </c>
      <c r="LO505" s="8">
        <f>LH505-LL505-LE505</f>
        <v>-0.17722506899349355</v>
      </c>
      <c r="LP505" s="8">
        <f>R_NF_2024*(1+G_HI)^(LB505-2024)</f>
        <v>941.161047734604</v>
      </c>
      <c r="LQ505" s="10">
        <f>1-LF505/LP505</f>
        <v>0.1436222749669095</v>
      </c>
      <c r="LR505" s="10">
        <f>CPI_2023/(IF(LB505-1=2023,CPI_2023,IF(LB505-1=2024,CPI_2024,IF(LB505-1=2025,CPI_2025,CPI_2025*(1+INFL)^(LB505-1-2025)))))</f>
        <v>0.6661425442558033</v>
      </c>
      <c r="LS505" s="8">
        <f>$LB$21*ABS($LB$11)*(LG505-LF505)/LF505</f>
        <v>10898.714618311456</v>
      </c>
      <c r="LT505" s="8">
        <f>$LB$21*ABS($LB$11)*(LH505-LF505)/LF505</f>
        <v>15120.481475811535</v>
      </c>
      <c r="LU505" s="13">
        <f>(LG505-LF505)*MCD_NF_DAYS*LR505-LS505*MCD_SHARE_FREED*R_WAIT_2023</f>
        <v>25968333.92471503</v>
      </c>
      <c r="LV505" s="13">
        <f>(LH505-LF505)*MCD_NF_DAYS*LR505-LT505*MCD_SHARE_FREED*R_WAIT_2023</f>
        <v>36027524.87955098</v>
      </c>
      <c r="LW505" s="10">
        <f>IF(AND(LB505&gt;=RULE_START,LC505=1),1/(1+$LB$12)^(LB505-RULE_START+1),0)</f>
        <v>0.7430147299885189</v>
      </c>
      <c r="LX505">
        <f>IF(AND(LB505&gt;=RULE_START,LC505=1,LM505&lt;0),LB505,9999)</f>
        <v>2041</v>
      </c>
      <c r="LY505">
        <f>IF(AND(LB505&gt;=RULE_START,LC505=1,LN505&lt;0),LB505,9999)</f>
        <v>2041</v>
      </c>
      <c r="LZ505">
        <f>IF(AND(LB505&gt;=RULE_START,LC505=1,LO505&lt;0),LB505,9999)</f>
        <v>2041</v>
      </c>
      <c r="MB505" t="n">
        <v>2041</v>
      </c>
      <c r="MC505">
        <f>IF(MB505&lt;=RULE_START+$MB$38-1,1,0)</f>
        <v>1</v>
      </c>
      <c r="MD505" s="15">
        <f>IF(MB505=2024,G_IDX_2024,IF(MB505=2025,G_IDX_2025,IF(MB505=2026,G_IDX_2026,IF(MB505=2027,G_IDX_2027,$MB$13))))</f>
        <v>0.033</v>
      </c>
      <c r="ME505" s="8">
        <f>$MB$20*(1+G_HI)^(MB505-COST_DATE)</f>
        <v>883.0207598503874</v>
      </c>
      <c r="MF505" s="8">
        <f>MF504*(1+MD505)</f>
        <v>805.9893569487201</v>
      </c>
      <c r="MG505" s="8">
        <f>IF(MB505&lt;RULE_START,MF505,MG504*(1+G_HI))</f>
        <v>894.1005127840466</v>
      </c>
      <c r="MH505" s="8">
        <f>IF(MB505&lt;RULE_START,MF505,IF(MI505=1,R_NF_2024*(1+G_HI)^(MB505-2024),MH504*(1+MD505)))</f>
        <v>928.2315796583564</v>
      </c>
      <c r="MI505">
        <f>IF(AND(MB505&gt;=RULE_START,MOD(MB505-RULE_START,REBASE_YEARS)=0),1,0)</f>
        <v>0</v>
      </c>
      <c r="MJ505" s="8">
        <f>MF505*CAP_SHARE</f>
        <v>39.41072670357437</v>
      </c>
      <c r="MK505" s="8">
        <f>MG505*CAP_SHARE</f>
        <v>43.71912687316003</v>
      </c>
      <c r="ML505" s="8">
        <f>MH505*CAP_SHARE</f>
        <v>45.38804487696243</v>
      </c>
      <c r="MM505" s="8">
        <f>MF505-MJ505-ME505</f>
        <v>-116.44212960524169</v>
      </c>
      <c r="MN505" s="8">
        <f>MG505-MK505-ME505</f>
        <v>-32.63937393950084</v>
      </c>
      <c r="MO505" s="8">
        <f>MH505-ML505-ME505</f>
        <v>-0.17722506899349355</v>
      </c>
      <c r="MP505" s="8">
        <f>R_NF_2024*(1+G_HI)^(MB505-2024)</f>
        <v>941.161047734604</v>
      </c>
      <c r="MQ505" s="10">
        <f>1-MF505/MP505</f>
        <v>0.1436222749669095</v>
      </c>
      <c r="MR505" s="10">
        <f>CPI_2023/(IF(MB505-1=2023,CPI_2023,IF(MB505-1=2024,CPI_2024,IF(MB505-1=2025,CPI_2025,CPI_2025*(1+INFL)^(MB505-1-2025)))))</f>
        <v>0.6661425442558033</v>
      </c>
      <c r="MS505" s="8">
        <f>$MB$21*ABS($MB$11)*(MG505-MF505)/MF505</f>
        <v>7984.285246210191</v>
      </c>
      <c r="MT505" s="8">
        <f>$MB$21*ABS($MB$11)*(MH505-MF505)/MF505</f>
        <v>11077.10784169709</v>
      </c>
      <c r="MU505" s="13">
        <f>(MG505-MF505)*MCD_NF_DAYS*MR505-MS505*MCD_SHARE_FREED*R_WAIT_2023</f>
        <v>27293579.55023585</v>
      </c>
      <c r="MV505" s="13">
        <f>(MH505-MF505)*MCD_NF_DAYS*MR505-MT505*MCD_SHARE_FREED*R_WAIT_2023</f>
        <v>37866122.60720598</v>
      </c>
      <c r="MW505" s="10">
        <f>IF(AND(MB505&gt;=RULE_START,MC505=1),1/(1+$MB$12)^(MB505-RULE_START+1),0)</f>
        <v>0.7430147299885189</v>
      </c>
      <c r="MX505">
        <f>IF(AND(MB505&gt;=RULE_START,MC505=1,MM505&lt;0),MB505,9999)</f>
        <v>2041</v>
      </c>
      <c r="MY505">
        <f>IF(AND(MB505&gt;=RULE_START,MC505=1,MN505&lt;0),MB505,9999)</f>
        <v>2041</v>
      </c>
      <c r="MZ505">
        <f>IF(AND(MB505&gt;=RULE_START,MC505=1,MO505&lt;0),MB505,9999)</f>
        <v>2041</v>
      </c>
      <c r="NB505" t="n">
        <v>2041</v>
      </c>
      <c r="NC505">
        <f>IF(NB505&lt;=RULE_START+$NB$38-1,1,0)</f>
        <v>1</v>
      </c>
      <c r="ND505" s="15">
        <f>IF(NB505=2024,G_IDX_2024,IF(NB505=2025,G_IDX_2025,IF(NB505=2026,G_IDX_2026,IF(NB505=2027,G_IDX_2027,$NB$13))))</f>
        <v>0.033</v>
      </c>
      <c r="NE505" s="8">
        <f>$NB$20*(1+G_HI)^(NB505-COST_DATE)</f>
        <v>883.0207598503874</v>
      </c>
      <c r="NF505" s="8">
        <f>NF504*(1+ND505)</f>
        <v>805.9893569487201</v>
      </c>
      <c r="NG505" s="8">
        <f>IF(NB505&lt;RULE_START,NF505,NG504*(1+G_HI))</f>
        <v>894.1005127840466</v>
      </c>
      <c r="NH505" s="8">
        <f>IF(NB505&lt;RULE_START,NF505,IF(NI505=1,R_NF_2024*(1+G_HI)^(NB505-2024),NH504*(1+ND505)))</f>
        <v>928.2315796583564</v>
      </c>
      <c r="NI505">
        <f>IF(AND(NB505&gt;=RULE_START,MOD(NB505-RULE_START,REBASE_YEARS)=0),1,0)</f>
        <v>0</v>
      </c>
      <c r="NJ505" s="8">
        <f>NF505*CAP_SHARE</f>
        <v>39.41072670357437</v>
      </c>
      <c r="NK505" s="8">
        <f>NG505*CAP_SHARE</f>
        <v>43.71912687316003</v>
      </c>
      <c r="NL505" s="8">
        <f>NH505*CAP_SHARE</f>
        <v>45.38804487696243</v>
      </c>
      <c r="NM505" s="8">
        <f>NF505-NJ505-NE505</f>
        <v>-116.44212960524169</v>
      </c>
      <c r="NN505" s="8">
        <f>NG505-NK505-NE505</f>
        <v>-32.63937393950084</v>
      </c>
      <c r="NO505" s="8">
        <f>NH505-NL505-NE505</f>
        <v>-0.17722506899349355</v>
      </c>
      <c r="NP505" s="8">
        <f>R_NF_2024*(1+G_HI)^(NB505-2024)</f>
        <v>941.161047734604</v>
      </c>
      <c r="NQ505" s="10">
        <f>1-NF505/NP505</f>
        <v>0.1436222749669095</v>
      </c>
      <c r="NR505" s="10">
        <f>CPI_2023/(IF(NB505-1=2023,CPI_2023,IF(NB505-1=2024,CPI_2024,IF(NB505-1=2025,CPI_2025,CPI_2025*(1+INFL)^(NB505-1-2025)))))</f>
        <v>0.6661425442558033</v>
      </c>
      <c r="NS505" s="8">
        <f>$NB$21*ABS($NB$11)*(NG505-NF505)/NF505</f>
        <v>10898.714618311456</v>
      </c>
      <c r="NT505" s="8">
        <f>$NB$21*ABS($NB$11)*(NH505-NF505)/NF505</f>
        <v>15120.481475811535</v>
      </c>
      <c r="NU505" s="13">
        <f>(NG505-NF505)*MCD_NF_DAYS*NR505-NS505*MCD_SHARE_FREED*R_WAIT_2023</f>
        <v>25968333.92471503</v>
      </c>
      <c r="NV505" s="13">
        <f>(NH505-NF505)*MCD_NF_DAYS*NR505-NT505*MCD_SHARE_FREED*R_WAIT_2023</f>
        <v>36027524.87955098</v>
      </c>
      <c r="NW505" s="10">
        <f>IF(AND(NB505&gt;=RULE_START,NC505=1),1/(1+$NB$12)^(NB505-RULE_START+1),0)</f>
        <v>0.7430147299885189</v>
      </c>
      <c r="NX505">
        <f>IF(AND(NB505&gt;=RULE_START,NC505=1,NM505&lt;0),NB505,9999)</f>
        <v>2041</v>
      </c>
      <c r="NY505">
        <f>IF(AND(NB505&gt;=RULE_START,NC505=1,NN505&lt;0),NB505,9999)</f>
        <v>2041</v>
      </c>
      <c r="NZ505">
        <f>IF(AND(NB505&gt;=RULE_START,NC505=1,NO505&lt;0),NB505,9999)</f>
        <v>2041</v>
      </c>
      <c r="OB505" t="n">
        <v>2041</v>
      </c>
      <c r="OC505">
        <f>IF(OB505&lt;=RULE_START+$OB$38-1,1,0)</f>
        <v>1</v>
      </c>
      <c r="OD505" s="15">
        <f>IF(OB505=2024,G_IDX_2024,IF(OB505=2025,G_IDX_2025,IF(OB505=2026,G_IDX_2026,IF(OB505=2027,G_IDX_2027,$OB$13))))</f>
        <v>0.033</v>
      </c>
      <c r="OE505" s="8">
        <f>$OB$20*(1+G_HI)^(OB505-COST_DATE)</f>
        <v>883.0207598503874</v>
      </c>
      <c r="OF505" s="8">
        <f>OF504*(1+OD505)</f>
        <v>805.9893569487201</v>
      </c>
      <c r="OG505" s="8">
        <f>IF(OB505&lt;RULE_START,OF505,OG504*(1+G_HI))</f>
        <v>894.1005127840466</v>
      </c>
      <c r="OH505" s="8">
        <f>IF(OB505&lt;RULE_START,OF505,IF(OI505=1,R_NF_2024*(1+G_HI)^(OB505-2024),OH504*(1+OD505)))</f>
        <v>928.2315796583564</v>
      </c>
      <c r="OI505">
        <f>IF(AND(OB505&gt;=RULE_START,MOD(OB505-RULE_START,REBASE_YEARS)=0),1,0)</f>
        <v>0</v>
      </c>
      <c r="OJ505" s="8">
        <f>OF505*CAP_SHARE</f>
        <v>39.41072670357437</v>
      </c>
      <c r="OK505" s="8">
        <f>OG505*CAP_SHARE</f>
        <v>43.71912687316003</v>
      </c>
      <c r="OL505" s="8">
        <f>OH505*CAP_SHARE</f>
        <v>45.38804487696243</v>
      </c>
      <c r="OM505" s="8">
        <f>OF505-OJ505-OE505</f>
        <v>-116.44212960524169</v>
      </c>
      <c r="ON505" s="8">
        <f>OG505-OK505-OE505</f>
        <v>-32.63937393950084</v>
      </c>
      <c r="OO505" s="8">
        <f>OH505-OL505-OE505</f>
        <v>-0.17722506899349355</v>
      </c>
      <c r="OP505" s="8">
        <f>R_NF_2024*(1+G_HI)^(OB505-2024)</f>
        <v>941.161047734604</v>
      </c>
      <c r="OQ505" s="10">
        <f>1-OF505/OP505</f>
        <v>0.1436222749669095</v>
      </c>
      <c r="OR505" s="10">
        <f>CPI_2023/(IF(OB505-1=2023,CPI_2023,IF(OB505-1=2024,CPI_2024,IF(OB505-1=2025,CPI_2025,CPI_2025*(1+INFL)^(OB505-1-2025)))))</f>
        <v>0.6661425442558033</v>
      </c>
      <c r="OS505" s="8">
        <f>$OB$21*ABS($OB$11)*(OG505-OF505)/OF505</f>
        <v>10898.714618311456</v>
      </c>
      <c r="OT505" s="8">
        <f>$OB$21*ABS($OB$11)*(OH505-OF505)/OF505</f>
        <v>15120.481475811535</v>
      </c>
      <c r="OU505" s="13">
        <f>(OG505-OF505)*MCD_NF_DAYS*OR505-OS505*MCD_SHARE_FREED*R_WAIT_2023</f>
        <v>25968333.92471503</v>
      </c>
      <c r="OV505" s="13">
        <f>(OH505-OF505)*MCD_NF_DAYS*OR505-OT505*MCD_SHARE_FREED*R_WAIT_2023</f>
        <v>36027524.87955098</v>
      </c>
      <c r="OW505" s="10">
        <f>IF(AND(OB505&gt;=RULE_START,OC505=1),1/(1+$OB$12)^(OB505-RULE_START+1),0)</f>
        <v>0.7430147299885189</v>
      </c>
      <c r="OX505">
        <f>IF(AND(OB505&gt;=RULE_START,OC505=1,OM505&lt;0),OB505,9999)</f>
        <v>2041</v>
      </c>
      <c r="OY505">
        <f>IF(AND(OB505&gt;=RULE_START,OC505=1,ON505&lt;0),OB505,9999)</f>
        <v>2041</v>
      </c>
      <c r="OZ505">
        <f>IF(AND(OB505&gt;=RULE_START,OC505=1,OO505&lt;0),OB505,9999)</f>
        <v>2041</v>
      </c>
    </row>
    <row r="506">
      <c r="B506" t="n">
        <v>2042</v>
      </c>
      <c r="C506">
        <f>IF(B506&lt;=RULE_START+$B$38-1,1,0)</f>
        <v>1</v>
      </c>
      <c r="D506" s="15">
        <f>IF(B506=2024,G_IDX_2024,IF(B506=2025,G_IDX_2025,IF(B506=2026,G_IDX_2026,IF(B506=2027,G_IDX_2027,$B$13))))</f>
        <v>0.033</v>
      </c>
      <c r="E506" s="8">
        <f>$B$20*(1+G_HI)^(B506-COST_DATE)</f>
        <v>918.4912808806114</v>
      </c>
      <c r="F506" s="8">
        <f>F505*(1+D506)</f>
        <v>832.5870057280279</v>
      </c>
      <c r="G506" s="8">
        <f>IF(B506&lt;RULE_START,F506,G505*(1+G_HI))</f>
        <v>930.0161021833424</v>
      </c>
      <c r="H506" s="8">
        <f>IF(B506&lt;RULE_START,F506,IF(I506=1,R_NF_2024*(1+G_HI)^(B506-2024),H505*(1+D506)))</f>
        <v>978.9670362848101</v>
      </c>
      <c r="I506">
        <f>IF(AND(B506&gt;=RULE_START,MOD(B506-RULE_START,REBASE_YEARS)=0),1,0)</f>
        <v>1</v>
      </c>
      <c r="J506" s="8">
        <f>F506*CAP_SHARE</f>
        <v>40.71128068479232</v>
      </c>
      <c r="K506" s="8">
        <f>G506*CAP_SHARE</f>
        <v>45.47530326185581</v>
      </c>
      <c r="L506" s="8">
        <f>H506*CAP_SHARE</f>
        <v>47.868873188214486</v>
      </c>
      <c r="M506" s="8">
        <f>F506-J506-E506</f>
        <v>-126.61555583737584</v>
      </c>
      <c r="N506" s="8">
        <f>G506-K506-E506</f>
        <v>-33.950481959124886</v>
      </c>
      <c r="O506" s="8">
        <f>H506-L506-E506</f>
        <v>12.606882215984228</v>
      </c>
      <c r="P506" s="8">
        <f>R_NF_2024*(1+G_HI)^(B506-2024)</f>
        <v>978.9670362848101</v>
      </c>
      <c r="Q506" s="10">
        <f>1-F506/P506</f>
        <v>0.14952498412234183</v>
      </c>
      <c r="R506" s="10">
        <f>CPI_2023/(IF(B506-1=2023,CPI_2023,IF(B506-1=2024,CPI_2024,IF(B506-1=2025,CPI_2025,CPI_2025*(1+INFL)^(B506-1-2025)))))</f>
        <v>0.651293062432346</v>
      </c>
      <c r="S506" s="8">
        <f>$B$21*ABS($B$11)*(G506-F506)/F506</f>
        <v>11666.289140852099</v>
      </c>
      <c r="T506" s="8">
        <f>$B$21*ABS($B$11)*(H506-F506)/F506</f>
        <v>17527.738869111065</v>
      </c>
      <c r="U506" s="13">
        <f>(G506-F506)*MCD_NF_DAYS*R506-S506*MCD_SHARE_FREED*R_WAIT_2023</f>
        <v>28127346.305527285</v>
      </c>
      <c r="V506" s="13">
        <f>(H506-F506)*MCD_NF_DAYS*R506-T506*MCD_SHARE_FREED*R_WAIT_2023</f>
        <v>42259263.00745955</v>
      </c>
      <c r="W506" s="10">
        <f>IF(AND(B506&gt;=RULE_START,C506=1),1/(1+$B$12)^(B506-RULE_START+1),0)</f>
        <v>0.7284458137142342</v>
      </c>
      <c r="X506">
        <f>IF(AND(B506&gt;=RULE_START,C506=1,M506&lt;0),B506,9999)</f>
        <v>2042</v>
      </c>
      <c r="Y506">
        <f>IF(AND(B506&gt;=RULE_START,C506=1,N506&lt;0),B506,9999)</f>
        <v>2042</v>
      </c>
      <c r="Z506">
        <f>IF(AND(B506&gt;=RULE_START,C506=1,O506&lt;0),B506,9999)</f>
        <v>9999</v>
      </c>
      <c r="AB506" t="n">
        <v>2042</v>
      </c>
      <c r="AC506">
        <f>IF(AB506&lt;=RULE_START+$AB$38-1,1,0)</f>
        <v>1</v>
      </c>
      <c r="AD506" s="15">
        <f>IF(AB506=2024,G_IDX_2024,IF(AB506=2025,G_IDX_2025,IF(AB506=2026,G_IDX_2026,IF(AB506=2027,G_IDX_2027,$AB$13))))</f>
        <v>0.033</v>
      </c>
      <c r="AE506" s="8">
        <f>$AB$20*(1+G_HI)^(AB506-COST_DATE)</f>
        <v>918.4912808806114</v>
      </c>
      <c r="AF506" s="8">
        <f>AF505*(1+AD506)</f>
        <v>832.5870057280279</v>
      </c>
      <c r="AG506" s="8">
        <f>IF(AB506&lt;RULE_START,AF506,AG505*(1+G_HI))</f>
        <v>930.0161021833424</v>
      </c>
      <c r="AH506" s="8">
        <f>IF(AB506&lt;RULE_START,AF506,IF(AI506=1,R_NF_2024*(1+G_HI)^(AB506-2024),AH505*(1+AD506)))</f>
        <v>978.9670362848101</v>
      </c>
      <c r="AI506">
        <f>IF(AND(AB506&gt;=RULE_START,MOD(AB506-RULE_START,REBASE_YEARS)=0),1,0)</f>
        <v>1</v>
      </c>
      <c r="AJ506" s="8">
        <f>AF506*CAP_SHARE</f>
        <v>40.71128068479232</v>
      </c>
      <c r="AK506" s="8">
        <f>AG506*CAP_SHARE</f>
        <v>45.47530326185581</v>
      </c>
      <c r="AL506" s="8">
        <f>AH506*CAP_SHARE</f>
        <v>47.868873188214486</v>
      </c>
      <c r="AM506" s="8">
        <f>AF506-AJ506-AE506</f>
        <v>-126.61555583737584</v>
      </c>
      <c r="AN506" s="8">
        <f>AG506-AK506-AE506</f>
        <v>-33.950481959124886</v>
      </c>
      <c r="AO506" s="8">
        <f>AH506-AL506-AE506</f>
        <v>12.606882215984228</v>
      </c>
      <c r="AP506" s="8">
        <f>R_NF_2024*(1+G_HI)^(AB506-2024)</f>
        <v>978.9670362848101</v>
      </c>
      <c r="AQ506" s="10">
        <f>1-AF506/AP506</f>
        <v>0.14952498412234183</v>
      </c>
      <c r="AR506" s="10">
        <f>CPI_2023/(IF(AB506-1=2023,CPI_2023,IF(AB506-1=2024,CPI_2024,IF(AB506-1=2025,CPI_2025,CPI_2025*(1+INFL)^(AB506-1-2025)))))</f>
        <v>0.651293062432346</v>
      </c>
      <c r="AS506" s="8">
        <f>$AB$21*ABS($AB$11)*(AG506-AF506)/AF506</f>
        <v>11666.289140852099</v>
      </c>
      <c r="AT506" s="8">
        <f>$AB$21*ABS($AB$11)*(AH506-AF506)/AF506</f>
        <v>17527.738869111065</v>
      </c>
      <c r="AU506" s="13">
        <f>(AG506-AF506)*MCD_NF_DAYS*AR506-AS506*MCD_SHARE_FREED*R_WAIT_2023</f>
        <v>28127346.305527285</v>
      </c>
      <c r="AV506" s="13">
        <f>(AH506-AF506)*MCD_NF_DAYS*AR506-AT506*MCD_SHARE_FREED*R_WAIT_2023</f>
        <v>42259263.00745955</v>
      </c>
      <c r="AW506" s="10">
        <f>IF(AND(AB506&gt;=RULE_START,AC506=1),1/(1+$AB$12)^(AB506-RULE_START+1),0)</f>
        <v>0.7284458137142342</v>
      </c>
      <c r="AX506">
        <f>IF(AND(AB506&gt;=RULE_START,AC506=1,AM506&lt;0),AB506,9999)</f>
        <v>2042</v>
      </c>
      <c r="AY506">
        <f>IF(AND(AB506&gt;=RULE_START,AC506=1,AN506&lt;0),AB506,9999)</f>
        <v>2042</v>
      </c>
      <c r="AZ506">
        <f>IF(AND(AB506&gt;=RULE_START,AC506=1,AO506&lt;0),AB506,9999)</f>
        <v>9999</v>
      </c>
      <c r="BB506" t="n">
        <v>2042</v>
      </c>
      <c r="BC506">
        <f>IF(BB506&lt;=RULE_START+$BB$38-1,1,0)</f>
        <v>1</v>
      </c>
      <c r="BD506" s="15">
        <f>IF(BB506=2024,G_IDX_2024,IF(BB506=2025,G_IDX_2025,IF(BB506=2026,G_IDX_2026,IF(BB506=2027,G_IDX_2027,$BB$13))))</f>
        <v>0.033</v>
      </c>
      <c r="BE506" s="8">
        <f>$BB$20*(1+G_HI)^(BB506-COST_DATE)</f>
        <v>918.4912808806114</v>
      </c>
      <c r="BF506" s="8">
        <f>BF505*(1+BD506)</f>
        <v>832.5870057280279</v>
      </c>
      <c r="BG506" s="8">
        <f>IF(BB506&lt;RULE_START,BF506,BG505*(1+G_HI))</f>
        <v>930.0161021833424</v>
      </c>
      <c r="BH506" s="8">
        <f>IF(BB506&lt;RULE_START,BF506,IF(BI506=1,R_NF_2024*(1+G_HI)^(BB506-2024),BH505*(1+BD506)))</f>
        <v>978.9670362848101</v>
      </c>
      <c r="BI506">
        <f>IF(AND(BB506&gt;=RULE_START,MOD(BB506-RULE_START,REBASE_YEARS)=0),1,0)</f>
        <v>1</v>
      </c>
      <c r="BJ506" s="8">
        <f>BF506*CAP_SHARE</f>
        <v>40.71128068479232</v>
      </c>
      <c r="BK506" s="8">
        <f>BG506*CAP_SHARE</f>
        <v>45.47530326185581</v>
      </c>
      <c r="BL506" s="8">
        <f>BH506*CAP_SHARE</f>
        <v>47.868873188214486</v>
      </c>
      <c r="BM506" s="8">
        <f>BF506-BJ506-BE506</f>
        <v>-126.61555583737584</v>
      </c>
      <c r="BN506" s="8">
        <f>BG506-BK506-BE506</f>
        <v>-33.950481959124886</v>
      </c>
      <c r="BO506" s="8">
        <f>BH506-BL506-BE506</f>
        <v>12.606882215984228</v>
      </c>
      <c r="BP506" s="8">
        <f>R_NF_2024*(1+G_HI)^(BB506-2024)</f>
        <v>978.9670362848101</v>
      </c>
      <c r="BQ506" s="10">
        <f>1-BF506/BP506</f>
        <v>0.14952498412234183</v>
      </c>
      <c r="BR506" s="10">
        <f>CPI_2023/(IF(BB506-1=2023,CPI_2023,IF(BB506-1=2024,CPI_2024,IF(BB506-1=2025,CPI_2025,CPI_2025*(1+INFL)^(BB506-1-2025)))))</f>
        <v>0.651293062432346</v>
      </c>
      <c r="BS506" s="8">
        <f>$BB$21*ABS($BB$11)*(BG506-BF506)/BF506</f>
        <v>11666.289140852099</v>
      </c>
      <c r="BT506" s="8">
        <f>$BB$21*ABS($BB$11)*(BH506-BF506)/BF506</f>
        <v>17527.738869111065</v>
      </c>
      <c r="BU506" s="13">
        <f>(BG506-BF506)*MCD_NF_DAYS*BR506-BS506*MCD_SHARE_FREED*R_WAIT_2023</f>
        <v>28127346.305527285</v>
      </c>
      <c r="BV506" s="13">
        <f>(BH506-BF506)*MCD_NF_DAYS*BR506-BT506*MCD_SHARE_FREED*R_WAIT_2023</f>
        <v>42259263.00745955</v>
      </c>
      <c r="BW506" s="10">
        <f>IF(AND(BB506&gt;=RULE_START,BC506=1),1/(1+$BB$12)^(BB506-RULE_START+1),0)</f>
        <v>0.7284458137142342</v>
      </c>
      <c r="BX506">
        <f>IF(AND(BB506&gt;=RULE_START,BC506=1,BM506&lt;0),BB506,9999)</f>
        <v>2042</v>
      </c>
      <c r="BY506">
        <f>IF(AND(BB506&gt;=RULE_START,BC506=1,BN506&lt;0),BB506,9999)</f>
        <v>2042</v>
      </c>
      <c r="BZ506">
        <f>IF(AND(BB506&gt;=RULE_START,BC506=1,BO506&lt;0),BB506,9999)</f>
        <v>9999</v>
      </c>
      <c r="CB506" t="n">
        <v>2042</v>
      </c>
      <c r="CC506">
        <f>IF(CB506&lt;=RULE_START+$CB$38-1,1,0)</f>
        <v>1</v>
      </c>
      <c r="CD506" s="15">
        <f>IF(CB506=2024,G_IDX_2024,IF(CB506=2025,G_IDX_2025,IF(CB506=2026,G_IDX_2026,IF(CB506=2027,G_IDX_2027,$CB$13))))</f>
        <v>0.033</v>
      </c>
      <c r="CE506" s="8">
        <f>$CB$20*(1+G_HI)^(CB506-COST_DATE)</f>
        <v>918.4912808806114</v>
      </c>
      <c r="CF506" s="8">
        <f>CF505*(1+CD506)</f>
        <v>832.5870057280279</v>
      </c>
      <c r="CG506" s="8">
        <f>IF(CB506&lt;RULE_START,CF506,CG505*(1+G_HI))</f>
        <v>930.0161021833424</v>
      </c>
      <c r="CH506" s="8">
        <f>IF(CB506&lt;RULE_START,CF506,IF(CI506=1,R_NF_2024*(1+G_HI)^(CB506-2024),CH505*(1+CD506)))</f>
        <v>978.9670362848101</v>
      </c>
      <c r="CI506">
        <f>IF(AND(CB506&gt;=RULE_START,MOD(CB506-RULE_START,REBASE_YEARS)=0),1,0)</f>
        <v>1</v>
      </c>
      <c r="CJ506" s="8">
        <f>CF506*CAP_SHARE</f>
        <v>40.71128068479232</v>
      </c>
      <c r="CK506" s="8">
        <f>CG506*CAP_SHARE</f>
        <v>45.47530326185581</v>
      </c>
      <c r="CL506" s="8">
        <f>CH506*CAP_SHARE</f>
        <v>47.868873188214486</v>
      </c>
      <c r="CM506" s="8">
        <f>CF506-CJ506-CE506</f>
        <v>-126.61555583737584</v>
      </c>
      <c r="CN506" s="8">
        <f>CG506-CK506-CE506</f>
        <v>-33.950481959124886</v>
      </c>
      <c r="CO506" s="8">
        <f>CH506-CL506-CE506</f>
        <v>12.606882215984228</v>
      </c>
      <c r="CP506" s="8">
        <f>R_NF_2024*(1+G_HI)^(CB506-2024)</f>
        <v>978.9670362848101</v>
      </c>
      <c r="CQ506" s="10">
        <f>1-CF506/CP506</f>
        <v>0.14952498412234183</v>
      </c>
      <c r="CR506" s="10">
        <f>CPI_2023/(IF(CB506-1=2023,CPI_2023,IF(CB506-1=2024,CPI_2024,IF(CB506-1=2025,CPI_2025,CPI_2025*(1+INFL)^(CB506-1-2025)))))</f>
        <v>0.651293062432346</v>
      </c>
      <c r="CS506" s="8">
        <f>$CB$21*ABS($CB$11)*(CG506-CF506)/CF506</f>
        <v>11666.289140852099</v>
      </c>
      <c r="CT506" s="8">
        <f>$CB$21*ABS($CB$11)*(CH506-CF506)/CF506</f>
        <v>17527.738869111065</v>
      </c>
      <c r="CU506" s="13">
        <f>(CG506-CF506)*MCD_NF_DAYS*CR506-CS506*MCD_SHARE_FREED*R_WAIT_2023</f>
        <v>28127346.305527285</v>
      </c>
      <c r="CV506" s="13">
        <f>(CH506-CF506)*MCD_NF_DAYS*CR506-CT506*MCD_SHARE_FREED*R_WAIT_2023</f>
        <v>42259263.00745955</v>
      </c>
      <c r="CW506" s="10">
        <f>IF(AND(CB506&gt;=RULE_START,CC506=1),1/(1+$CB$12)^(CB506-RULE_START+1),0)</f>
        <v>0.7284458137142342</v>
      </c>
      <c r="CX506">
        <f>IF(AND(CB506&gt;=RULE_START,CC506=1,CM506&lt;0),CB506,9999)</f>
        <v>2042</v>
      </c>
      <c r="CY506">
        <f>IF(AND(CB506&gt;=RULE_START,CC506=1,CN506&lt;0),CB506,9999)</f>
        <v>2042</v>
      </c>
      <c r="CZ506">
        <f>IF(AND(CB506&gt;=RULE_START,CC506=1,CO506&lt;0),CB506,9999)</f>
        <v>9999</v>
      </c>
      <c r="DB506" t="n">
        <v>2042</v>
      </c>
      <c r="DC506">
        <f>IF(DB506&lt;=RULE_START+$DB$38-1,1,0)</f>
        <v>1</v>
      </c>
      <c r="DD506" s="15">
        <f>IF(DB506=2024,G_IDX_2024,IF(DB506=2025,G_IDX_2025,IF(DB506=2026,G_IDX_2026,IF(DB506=2027,G_IDX_2027,$DB$13))))</f>
        <v>0.033</v>
      </c>
      <c r="DE506" s="8">
        <f>$DB$20*(1+G_HI)^(DB506-COST_DATE)</f>
        <v>918.4912808806114</v>
      </c>
      <c r="DF506" s="8">
        <f>DF505*(1+DD506)</f>
        <v>832.5870057280279</v>
      </c>
      <c r="DG506" s="8">
        <f>IF(DB506&lt;RULE_START,DF506,DG505*(1+G_HI))</f>
        <v>930.0161021833424</v>
      </c>
      <c r="DH506" s="8">
        <f>IF(DB506&lt;RULE_START,DF506,IF(DI506=1,R_NF_2024*(1+G_HI)^(DB506-2024),DH505*(1+DD506)))</f>
        <v>978.9670362848101</v>
      </c>
      <c r="DI506">
        <f>IF(AND(DB506&gt;=RULE_START,MOD(DB506-RULE_START,REBASE_YEARS)=0),1,0)</f>
        <v>1</v>
      </c>
      <c r="DJ506" s="8">
        <f>DF506*CAP_SHARE</f>
        <v>40.71128068479232</v>
      </c>
      <c r="DK506" s="8">
        <f>DG506*CAP_SHARE</f>
        <v>45.47530326185581</v>
      </c>
      <c r="DL506" s="8">
        <f>DH506*CAP_SHARE</f>
        <v>47.868873188214486</v>
      </c>
      <c r="DM506" s="8">
        <f>DF506-DJ506-DE506</f>
        <v>-126.61555583737584</v>
      </c>
      <c r="DN506" s="8">
        <f>DG506-DK506-DE506</f>
        <v>-33.950481959124886</v>
      </c>
      <c r="DO506" s="8">
        <f>DH506-DL506-DE506</f>
        <v>12.606882215984228</v>
      </c>
      <c r="DP506" s="8">
        <f>R_NF_2024*(1+G_HI)^(DB506-2024)</f>
        <v>978.9670362848101</v>
      </c>
      <c r="DQ506" s="10">
        <f>1-DF506/DP506</f>
        <v>0.14952498412234183</v>
      </c>
      <c r="DR506" s="10">
        <f>CPI_2023/(IF(DB506-1=2023,CPI_2023,IF(DB506-1=2024,CPI_2024,IF(DB506-1=2025,CPI_2025,CPI_2025*(1+INFL)^(DB506-1-2025)))))</f>
        <v>0.651293062432346</v>
      </c>
      <c r="DS506" s="8">
        <f>$DB$21*ABS($DB$11)*(DG506-DF506)/DF506</f>
        <v>11666.289140852099</v>
      </c>
      <c r="DT506" s="8">
        <f>$DB$21*ABS($DB$11)*(DH506-DF506)/DF506</f>
        <v>17527.738869111065</v>
      </c>
      <c r="DU506" s="13">
        <f>(DG506-DF506)*MCD_NF_DAYS*DR506-DS506*MCD_SHARE_FREED*R_WAIT_2023</f>
        <v>28127346.305527285</v>
      </c>
      <c r="DV506" s="13">
        <f>(DH506-DF506)*MCD_NF_DAYS*DR506-DT506*MCD_SHARE_FREED*R_WAIT_2023</f>
        <v>42259263.00745955</v>
      </c>
      <c r="DW506" s="10">
        <f>IF(AND(DB506&gt;=RULE_START,DC506=1),1/(1+$DB$12)^(DB506-RULE_START+1),0)</f>
        <v>0.7284458137142342</v>
      </c>
      <c r="DX506">
        <f>IF(AND(DB506&gt;=RULE_START,DC506=1,DM506&lt;0),DB506,9999)</f>
        <v>2042</v>
      </c>
      <c r="DY506">
        <f>IF(AND(DB506&gt;=RULE_START,DC506=1,DN506&lt;0),DB506,9999)</f>
        <v>2042</v>
      </c>
      <c r="DZ506">
        <f>IF(AND(DB506&gt;=RULE_START,DC506=1,DO506&lt;0),DB506,9999)</f>
        <v>9999</v>
      </c>
      <c r="EB506" t="n">
        <v>2042</v>
      </c>
      <c r="EC506">
        <f>IF(EB506&lt;=RULE_START+$EB$38-1,1,0)</f>
        <v>1</v>
      </c>
      <c r="ED506" s="15">
        <f>IF(EB506=2024,G_IDX_2024,IF(EB506=2025,G_IDX_2025,IF(EB506=2026,G_IDX_2026,IF(EB506=2027,G_IDX_2027,$EB$13))))</f>
        <v>0.033</v>
      </c>
      <c r="EE506" s="8">
        <f>$EB$20*(1+G_HI)^(EB506-COST_DATE)</f>
        <v>918.4912808806114</v>
      </c>
      <c r="EF506" s="8">
        <f>EF505*(1+ED506)</f>
        <v>832.5870057280279</v>
      </c>
      <c r="EG506" s="8">
        <f>IF(EB506&lt;RULE_START,EF506,EG505*(1+G_HI))</f>
        <v>930.0161021833424</v>
      </c>
      <c r="EH506" s="8">
        <f>IF(EB506&lt;RULE_START,EF506,IF(EI506=1,R_NF_2024*(1+G_HI)^(EB506-2024),EH505*(1+ED506)))</f>
        <v>978.9670362848101</v>
      </c>
      <c r="EI506">
        <f>IF(AND(EB506&gt;=RULE_START,MOD(EB506-RULE_START,REBASE_YEARS)=0),1,0)</f>
        <v>1</v>
      </c>
      <c r="EJ506" s="8">
        <f>EF506*CAP_SHARE</f>
        <v>40.71128068479232</v>
      </c>
      <c r="EK506" s="8">
        <f>EG506*CAP_SHARE</f>
        <v>45.47530326185581</v>
      </c>
      <c r="EL506" s="8">
        <f>EH506*CAP_SHARE</f>
        <v>47.868873188214486</v>
      </c>
      <c r="EM506" s="8">
        <f>EF506-EJ506-EE506</f>
        <v>-126.61555583737584</v>
      </c>
      <c r="EN506" s="8">
        <f>EG506-EK506-EE506</f>
        <v>-33.950481959124886</v>
      </c>
      <c r="EO506" s="8">
        <f>EH506-EL506-EE506</f>
        <v>12.606882215984228</v>
      </c>
      <c r="EP506" s="8">
        <f>R_NF_2024*(1+G_HI)^(EB506-2024)</f>
        <v>978.9670362848101</v>
      </c>
      <c r="EQ506" s="10">
        <f>1-EF506/EP506</f>
        <v>0.14952498412234183</v>
      </c>
      <c r="ER506" s="10">
        <f>CPI_2023/(IF(EB506-1=2023,CPI_2023,IF(EB506-1=2024,CPI_2024,IF(EB506-1=2025,CPI_2025,CPI_2025*(1+INFL)^(EB506-1-2025)))))</f>
        <v>0.651293062432346</v>
      </c>
      <c r="ES506" s="8">
        <f>$EB$21*ABS($EB$11)*(EG506-EF506)/EF506</f>
        <v>11666.289140852099</v>
      </c>
      <c r="ET506" s="8">
        <f>$EB$21*ABS($EB$11)*(EH506-EF506)/EF506</f>
        <v>17527.738869111065</v>
      </c>
      <c r="EU506" s="13">
        <f>(EG506-EF506)*MCD_NF_DAYS*ER506-ES506*MCD_SHARE_FREED*R_WAIT_2023</f>
        <v>28127346.305527285</v>
      </c>
      <c r="EV506" s="13">
        <f>(EH506-EF506)*MCD_NF_DAYS*ER506-ET506*MCD_SHARE_FREED*R_WAIT_2023</f>
        <v>42259263.00745955</v>
      </c>
      <c r="EW506" s="10">
        <f>IF(AND(EB506&gt;=RULE_START,EC506=1),1/(1+$EB$12)^(EB506-RULE_START+1),0)</f>
        <v>0.7284458137142342</v>
      </c>
      <c r="EX506">
        <f>IF(AND(EB506&gt;=RULE_START,EC506=1,EM506&lt;0),EB506,9999)</f>
        <v>2042</v>
      </c>
      <c r="EY506">
        <f>IF(AND(EB506&gt;=RULE_START,EC506=1,EN506&lt;0),EB506,9999)</f>
        <v>2042</v>
      </c>
      <c r="EZ506">
        <f>IF(AND(EB506&gt;=RULE_START,EC506=1,EO506&lt;0),EB506,9999)</f>
        <v>9999</v>
      </c>
      <c r="FB506" t="n">
        <v>2042</v>
      </c>
      <c r="FC506">
        <f>IF(FB506&lt;=RULE_START+$FB$38-1,1,0)</f>
        <v>1</v>
      </c>
      <c r="FD506" s="15">
        <f>IF(FB506=2024,G_IDX_2024,IF(FB506=2025,G_IDX_2025,IF(FB506=2026,G_IDX_2026,IF(FB506=2027,G_IDX_2027,$FB$13))))</f>
        <v>0.033</v>
      </c>
      <c r="FE506" s="8">
        <f>$FB$20*(1+G_HI)^(FB506-COST_DATE)</f>
        <v>945.2490610518088</v>
      </c>
      <c r="FF506" s="8">
        <f>FF505*(1+FD506)</f>
        <v>832.5870057280279</v>
      </c>
      <c r="FG506" s="8">
        <f>IF(FB506&lt;RULE_START,FF506,FG505*(1+G_HI))</f>
        <v>930.0161021833424</v>
      </c>
      <c r="FH506" s="8">
        <f>IF(FB506&lt;RULE_START,FF506,IF(FI506=1,R_NF_2024*(1+G_HI)^(FB506-2024),FH505*(1+FD506)))</f>
        <v>978.9670362848101</v>
      </c>
      <c r="FI506">
        <f>IF(AND(FB506&gt;=RULE_START,MOD(FB506-RULE_START,REBASE_YEARS)=0),1,0)</f>
        <v>1</v>
      </c>
      <c r="FJ506" s="8">
        <f>FF506*CAP_SHARE</f>
        <v>40.71128068479232</v>
      </c>
      <c r="FK506" s="8">
        <f>FG506*CAP_SHARE</f>
        <v>45.47530326185581</v>
      </c>
      <c r="FL506" s="8">
        <f>FH506*CAP_SHARE</f>
        <v>47.868873188214486</v>
      </c>
      <c r="FM506" s="8">
        <f>FF506-FJ506-FE506</f>
        <v>-153.37333600857323</v>
      </c>
      <c r="FN506" s="8">
        <f>FG506-FK506-FE506</f>
        <v>-60.70826213032228</v>
      </c>
      <c r="FO506" s="8">
        <f>FH506-FL506-FE506</f>
        <v>-14.150897955213168</v>
      </c>
      <c r="FP506" s="8">
        <f>R_NF_2024*(1+G_HI)^(FB506-2024)</f>
        <v>978.9670362848101</v>
      </c>
      <c r="FQ506" s="10">
        <f>1-FF506/FP506</f>
        <v>0.14952498412234183</v>
      </c>
      <c r="FR506" s="10">
        <f>CPI_2023/(IF(FB506-1=2023,CPI_2023,IF(FB506-1=2024,CPI_2024,IF(FB506-1=2025,CPI_2025,CPI_2025*(1+INFL)^(FB506-1-2025)))))</f>
        <v>0.651293062432346</v>
      </c>
      <c r="FS506" s="8">
        <f>$FB$21*ABS($FB$11)*(FG506-FF506)/FF506</f>
        <v>11666.289140852099</v>
      </c>
      <c r="FT506" s="8">
        <f>$FB$21*ABS($FB$11)*(FH506-FF506)/FF506</f>
        <v>17527.738869111065</v>
      </c>
      <c r="FU506" s="13">
        <f>(FG506-FF506)*MCD_NF_DAYS*FR506-FS506*MCD_SHARE_FREED*R_WAIT_2023</f>
        <v>28127346.305527285</v>
      </c>
      <c r="FV506" s="13">
        <f>(FH506-FF506)*MCD_NF_DAYS*FR506-FT506*MCD_SHARE_FREED*R_WAIT_2023</f>
        <v>42259263.00745955</v>
      </c>
      <c r="FW506" s="10">
        <f>IF(AND(FB506&gt;=RULE_START,FC506=1),1/(1+$FB$12)^(FB506-RULE_START+1),0)</f>
        <v>0.7284458137142342</v>
      </c>
      <c r="FX506">
        <f>IF(AND(FB506&gt;=RULE_START,FC506=1,FM506&lt;0),FB506,9999)</f>
        <v>2042</v>
      </c>
      <c r="FY506">
        <f>IF(AND(FB506&gt;=RULE_START,FC506=1,FN506&lt;0),FB506,9999)</f>
        <v>2042</v>
      </c>
      <c r="FZ506">
        <f>IF(AND(FB506&gt;=RULE_START,FC506=1,FO506&lt;0),FB506,9999)</f>
        <v>2042</v>
      </c>
      <c r="GB506" t="n">
        <v>2042</v>
      </c>
      <c r="GC506">
        <f>IF(GB506&lt;=RULE_START+$GB$38-1,1,0)</f>
        <v>1</v>
      </c>
      <c r="GD506" s="15">
        <f>IF(GB506=2024,G_IDX_2024,IF(GB506=2025,G_IDX_2025,IF(GB506=2026,G_IDX_2026,IF(GB506=2027,G_IDX_2027,$GB$13))))</f>
        <v>0.033</v>
      </c>
      <c r="GE506" s="8">
        <f>$GB$20*(1+G_HI)^(GB506-COST_DATE)</f>
        <v>918.4912808806114</v>
      </c>
      <c r="GF506" s="8">
        <f>GF505*(1+GD506)</f>
        <v>832.5870057280279</v>
      </c>
      <c r="GG506" s="8">
        <f>IF(GB506&lt;RULE_START,GF506,GG505*(1+G_HI))</f>
        <v>930.0161021833424</v>
      </c>
      <c r="GH506" s="8">
        <f>IF(GB506&lt;RULE_START,GF506,IF(GI506=1,R_NF_2024*(1+G_HI)^(GB506-2024),GH505*(1+GD506)))</f>
        <v>978.9670362848101</v>
      </c>
      <c r="GI506">
        <f>IF(AND(GB506&gt;=RULE_START,MOD(GB506-RULE_START,REBASE_YEARS)=0),1,0)</f>
        <v>1</v>
      </c>
      <c r="GJ506" s="8">
        <f>GF506*CAP_SHARE</f>
        <v>40.71128068479232</v>
      </c>
      <c r="GK506" s="8">
        <f>GG506*CAP_SHARE</f>
        <v>45.47530326185581</v>
      </c>
      <c r="GL506" s="8">
        <f>GH506*CAP_SHARE</f>
        <v>47.868873188214486</v>
      </c>
      <c r="GM506" s="8">
        <f>GF506-GJ506-GE506</f>
        <v>-126.61555583737584</v>
      </c>
      <c r="GN506" s="8">
        <f>GG506-GK506-GE506</f>
        <v>-33.950481959124886</v>
      </c>
      <c r="GO506" s="8">
        <f>GH506-GL506-GE506</f>
        <v>12.606882215984228</v>
      </c>
      <c r="GP506" s="8">
        <f>R_NF_2024*(1+G_HI)^(GB506-2024)</f>
        <v>978.9670362848101</v>
      </c>
      <c r="GQ506" s="10">
        <f>1-GF506/GP506</f>
        <v>0.14952498412234183</v>
      </c>
      <c r="GR506" s="10">
        <f>CPI_2023/(IF(GB506-1=2023,CPI_2023,IF(GB506-1=2024,CPI_2024,IF(GB506-1=2025,CPI_2025,CPI_2025*(1+INFL)^(GB506-1-2025)))))</f>
        <v>0.651293062432346</v>
      </c>
      <c r="GS506" s="8">
        <f>$GB$21*ABS($GB$11)*(GG506-GF506)/GF506</f>
        <v>8806.29818439677</v>
      </c>
      <c r="GT506" s="8">
        <f>$GB$21*ABS($GB$11)*(GH506-GF506)/GF506</f>
        <v>13230.813424564198</v>
      </c>
      <c r="GU506" s="13">
        <f>(GG506-GF506)*MCD_NF_DAYS*GR506-GS506*MCD_SHARE_FREED*R_WAIT_2023</f>
        <v>29427837.763770737</v>
      </c>
      <c r="GV506" s="13">
        <f>(GH506-GF506)*MCD_NF_DAYS*GR506-GT506*MCD_SHARE_FREED*R_WAIT_2023</f>
        <v>44213155.492584065</v>
      </c>
      <c r="GW506" s="10">
        <f>IF(AND(GB506&gt;=RULE_START,GC506=1),1/(1+$GB$12)^(GB506-RULE_START+1),0)</f>
        <v>0.7284458137142342</v>
      </c>
      <c r="GX506">
        <f>IF(AND(GB506&gt;=RULE_START,GC506=1,GM506&lt;0),GB506,9999)</f>
        <v>2042</v>
      </c>
      <c r="GY506">
        <f>IF(AND(GB506&gt;=RULE_START,GC506=1,GN506&lt;0),GB506,9999)</f>
        <v>2042</v>
      </c>
      <c r="GZ506">
        <f>IF(AND(GB506&gt;=RULE_START,GC506=1,GO506&lt;0),GB506,9999)</f>
        <v>9999</v>
      </c>
      <c r="HB506" t="n">
        <v>2042</v>
      </c>
      <c r="HC506">
        <f>IF(HB506&lt;=RULE_START+$HB$38-1,1,0)</f>
        <v>1</v>
      </c>
      <c r="HD506" s="15">
        <f>IF(HB506=2024,G_IDX_2024,IF(HB506=2025,G_IDX_2025,IF(HB506=2026,G_IDX_2026,IF(HB506=2027,G_IDX_2027,$HB$13))))</f>
        <v>0.033</v>
      </c>
      <c r="HE506" s="8">
        <f>$HB$20*(1+G_HI)^(HB506-COST_DATE)</f>
        <v>918.4912808806114</v>
      </c>
      <c r="HF506" s="8">
        <f>HF505*(1+HD506)</f>
        <v>832.5870057280279</v>
      </c>
      <c r="HG506" s="8">
        <f>IF(HB506&lt;RULE_START,HF506,HG505*(1+G_HI))</f>
        <v>930.0161021833424</v>
      </c>
      <c r="HH506" s="8">
        <f>IF(HB506&lt;RULE_START,HF506,IF(HI506=1,R_NF_2024*(1+G_HI)^(HB506-2024),HH505*(1+HD506)))</f>
        <v>978.9670362848101</v>
      </c>
      <c r="HI506">
        <f>IF(AND(HB506&gt;=RULE_START,MOD(HB506-RULE_START,REBASE_YEARS)=0),1,0)</f>
        <v>1</v>
      </c>
      <c r="HJ506" s="8">
        <f>HF506*CAP_SHARE</f>
        <v>40.71128068479232</v>
      </c>
      <c r="HK506" s="8">
        <f>HG506*CAP_SHARE</f>
        <v>45.47530326185581</v>
      </c>
      <c r="HL506" s="8">
        <f>HH506*CAP_SHARE</f>
        <v>47.868873188214486</v>
      </c>
      <c r="HM506" s="8">
        <f>HF506-HJ506-HE506</f>
        <v>-126.61555583737584</v>
      </c>
      <c r="HN506" s="8">
        <f>HG506-HK506-HE506</f>
        <v>-33.950481959124886</v>
      </c>
      <c r="HO506" s="8">
        <f>HH506-HL506-HE506</f>
        <v>12.606882215984228</v>
      </c>
      <c r="HP506" s="8">
        <f>R_NF_2024*(1+G_HI)^(HB506-2024)</f>
        <v>978.9670362848101</v>
      </c>
      <c r="HQ506" s="10">
        <f>1-HF506/HP506</f>
        <v>0.14952498412234183</v>
      </c>
      <c r="HR506" s="10">
        <f>CPI_2023/(IF(HB506-1=2023,CPI_2023,IF(HB506-1=2024,CPI_2024,IF(HB506-1=2025,CPI_2025,CPI_2025*(1+INFL)^(HB506-1-2025)))))</f>
        <v>0.651293062432346</v>
      </c>
      <c r="HS506" s="8">
        <f>$HB$21*ABS($HB$11)*(HG506-HF506)/HF506</f>
        <v>11666.289140852099</v>
      </c>
      <c r="HT506" s="8">
        <f>$HB$21*ABS($HB$11)*(HH506-HF506)/HF506</f>
        <v>17527.738869111065</v>
      </c>
      <c r="HU506" s="13">
        <f>(HG506-HF506)*MCD_NF_DAYS*HR506-HS506*MCD_SHARE_FREED*R_WAIT_2023</f>
        <v>28127346.305527285</v>
      </c>
      <c r="HV506" s="13">
        <f>(HH506-HF506)*MCD_NF_DAYS*HR506-HT506*MCD_SHARE_FREED*R_WAIT_2023</f>
        <v>42259263.00745955</v>
      </c>
      <c r="HW506" s="10">
        <f>IF(AND(HB506&gt;=RULE_START,HC506=1),1/(1+$HB$12)^(HB506-RULE_START+1),0)</f>
        <v>0.6231669392201139</v>
      </c>
      <c r="HX506">
        <f>IF(AND(HB506&gt;=RULE_START,HC506=1,HM506&lt;0),HB506,9999)</f>
        <v>2042</v>
      </c>
      <c r="HY506">
        <f>IF(AND(HB506&gt;=RULE_START,HC506=1,HN506&lt;0),HB506,9999)</f>
        <v>2042</v>
      </c>
      <c r="HZ506">
        <f>IF(AND(HB506&gt;=RULE_START,HC506=1,HO506&lt;0),HB506,9999)</f>
        <v>9999</v>
      </c>
      <c r="IB506" t="n">
        <v>2042</v>
      </c>
      <c r="IC506">
        <f>IF(IB506&lt;=RULE_START+$IB$38-1,1,0)</f>
        <v>1</v>
      </c>
      <c r="ID506" s="15">
        <f>IF(IB506=2024,G_IDX_2024,IF(IB506=2025,G_IDX_2025,IF(IB506=2026,G_IDX_2026,IF(IB506=2027,G_IDX_2027,$IB$13))))</f>
        <v>0.033</v>
      </c>
      <c r="IE506" s="8">
        <f>$IB$20*(1+G_HI)^(IB506-COST_DATE)</f>
        <v>918.4912808806114</v>
      </c>
      <c r="IF506" s="8">
        <f>IF505*(1+ID506)</f>
        <v>832.5870057280279</v>
      </c>
      <c r="IG506" s="8">
        <f>IF(IB506&lt;RULE_START,IF506,IG505*(1+G_HI))</f>
        <v>930.0161021833424</v>
      </c>
      <c r="IH506" s="8">
        <f>IF(IB506&lt;RULE_START,IF506,IF(II506=1,R_NF_2024*(1+G_HI)^(IB506-2024),IH505*(1+ID506)))</f>
        <v>978.9670362848101</v>
      </c>
      <c r="II506">
        <f>IF(AND(IB506&gt;=RULE_START,MOD(IB506-RULE_START,REBASE_YEARS)=0),1,0)</f>
        <v>1</v>
      </c>
      <c r="IJ506" s="8">
        <f>IF506*CAP_SHARE</f>
        <v>40.71128068479232</v>
      </c>
      <c r="IK506" s="8">
        <f>IG506*CAP_SHARE</f>
        <v>45.47530326185581</v>
      </c>
      <c r="IL506" s="8">
        <f>IH506*CAP_SHARE</f>
        <v>47.868873188214486</v>
      </c>
      <c r="IM506" s="8">
        <f>IF506-IJ506-IE506</f>
        <v>-126.61555583737584</v>
      </c>
      <c r="IN506" s="8">
        <f>IG506-IK506-IE506</f>
        <v>-33.950481959124886</v>
      </c>
      <c r="IO506" s="8">
        <f>IH506-IL506-IE506</f>
        <v>12.606882215984228</v>
      </c>
      <c r="IP506" s="8">
        <f>R_NF_2024*(1+G_HI)^(IB506-2024)</f>
        <v>978.9670362848101</v>
      </c>
      <c r="IQ506" s="10">
        <f>1-IF506/IP506</f>
        <v>0.14952498412234183</v>
      </c>
      <c r="IR506" s="10">
        <f>CPI_2023/(IF(IB506-1=2023,CPI_2023,IF(IB506-1=2024,CPI_2024,IF(IB506-1=2025,CPI_2025,CPI_2025*(1+INFL)^(IB506-1-2025)))))</f>
        <v>0.651293062432346</v>
      </c>
      <c r="IS506" s="8">
        <f>$IB$21*ABS($IB$11)*(IG506-IF506)/IF506</f>
        <v>11666.289140852099</v>
      </c>
      <c r="IT506" s="8">
        <f>$IB$21*ABS($IB$11)*(IH506-IF506)/IF506</f>
        <v>17527.738869111065</v>
      </c>
      <c r="IU506" s="13">
        <f>(IG506-IF506)*MCD_NF_DAYS*IR506-IS506*MCD_SHARE_FREED*R_WAIT_2023</f>
        <v>28127346.305527285</v>
      </c>
      <c r="IV506" s="13">
        <f>(IH506-IF506)*MCD_NF_DAYS*IR506-IT506*MCD_SHARE_FREED*R_WAIT_2023</f>
        <v>42259263.00745955</v>
      </c>
      <c r="IW506" s="10">
        <f>IF(AND(IB506&gt;=RULE_START,IC506=1),1/(1+$IB$12)^(IB506-RULE_START+1),0)</f>
        <v>0.33873459779659754</v>
      </c>
      <c r="IX506">
        <f>IF(AND(IB506&gt;=RULE_START,IC506=1,IM506&lt;0),IB506,9999)</f>
        <v>2042</v>
      </c>
      <c r="IY506">
        <f>IF(AND(IB506&gt;=RULE_START,IC506=1,IN506&lt;0),IB506,9999)</f>
        <v>2042</v>
      </c>
      <c r="IZ506">
        <f>IF(AND(IB506&gt;=RULE_START,IC506=1,IO506&lt;0),IB506,9999)</f>
        <v>9999</v>
      </c>
      <c r="JB506" t="n">
        <v>2042</v>
      </c>
      <c r="JC506">
        <f>IF(JB506&lt;=RULE_START+$JB$38-1,1,0)</f>
        <v>1</v>
      </c>
      <c r="JD506" s="15">
        <f>IF(JB506=2024,G_IDX_2024,IF(JB506=2025,G_IDX_2025,IF(JB506=2026,G_IDX_2026,IF(JB506=2027,G_IDX_2027,$JB$13))))</f>
        <v>0.03</v>
      </c>
      <c r="JE506" s="8">
        <f>$JB$20*(1+G_HI)^(JB506-COST_DATE)</f>
        <v>918.4912808806114</v>
      </c>
      <c r="JF506" s="8">
        <f>JF505*(1+JD506)</f>
        <v>797.0456140528896</v>
      </c>
      <c r="JG506" s="8">
        <f>IF(JB506&lt;RULE_START,JF506,JG505*(1+G_HI))</f>
        <v>930.0161021833424</v>
      </c>
      <c r="JH506" s="8">
        <f>IF(JB506&lt;RULE_START,JF506,IF(JI506=1,R_NF_2024*(1+G_HI)^(JB506-2024),JH505*(1+JD506)))</f>
        <v>978.9670362848101</v>
      </c>
      <c r="JI506">
        <f>IF(AND(JB506&gt;=RULE_START,MOD(JB506-RULE_START,REBASE_YEARS)=0),1,0)</f>
        <v>1</v>
      </c>
      <c r="JJ506" s="8">
        <f>JF506*CAP_SHARE</f>
        <v>38.97340156530081</v>
      </c>
      <c r="JK506" s="8">
        <f>JG506*CAP_SHARE</f>
        <v>45.47530326185581</v>
      </c>
      <c r="JL506" s="8">
        <f>JH506*CAP_SHARE</f>
        <v>47.868873188214486</v>
      </c>
      <c r="JM506" s="8">
        <f>JF506-JJ506-JE506</f>
        <v>-160.4190683930226</v>
      </c>
      <c r="JN506" s="8">
        <f>JG506-JK506-JE506</f>
        <v>-33.950481959124886</v>
      </c>
      <c r="JO506" s="8">
        <f>JH506-JL506-JE506</f>
        <v>12.606882215984228</v>
      </c>
      <c r="JP506" s="8">
        <f>R_NF_2024*(1+G_HI)^(JB506-2024)</f>
        <v>978.9670362848101</v>
      </c>
      <c r="JQ506" s="10">
        <f>1-JF506/JP506</f>
        <v>0.1858299774038502</v>
      </c>
      <c r="JR506" s="10">
        <f>CPI_2023/(IF(JB506-1=2023,CPI_2023,IF(JB506-1=2024,CPI_2024,IF(JB506-1=2025,CPI_2025,CPI_2025*(1+INFL)^(JB506-1-2025)))))</f>
        <v>0.651293062432346</v>
      </c>
      <c r="JS506" s="8">
        <f>$JB$21*ABS($JB$11)*(JG506-JF506)/JF506</f>
        <v>16632.04978062125</v>
      </c>
      <c r="JT506" s="8">
        <f>$JB$21*ABS($JB$11)*(JH506-JF506)/JF506</f>
        <v>22754.869845662924</v>
      </c>
      <c r="JU506" s="13">
        <f>(JG506-JF506)*MCD_NF_DAYS*JR506-JS506*MCD_SHARE_FREED*R_WAIT_2023</f>
        <v>38065143.298671536</v>
      </c>
      <c r="JV506" s="13">
        <f>(JH506-JF506)*MCD_NF_DAYS*JR506-JT506*MCD_SHARE_FREED*R_WAIT_2023</f>
        <v>52078210.012754396</v>
      </c>
      <c r="JW506" s="10">
        <f>IF(AND(JB506&gt;=RULE_START,JC506=1),1/(1+$JB$12)^(JB506-RULE_START+1),0)</f>
        <v>0.7284458137142342</v>
      </c>
      <c r="JX506">
        <f>IF(AND(JB506&gt;=RULE_START,JC506=1,JM506&lt;0),JB506,9999)</f>
        <v>2042</v>
      </c>
      <c r="JY506">
        <f>IF(AND(JB506&gt;=RULE_START,JC506=1,JN506&lt;0),JB506,9999)</f>
        <v>2042</v>
      </c>
      <c r="JZ506">
        <f>IF(AND(JB506&gt;=RULE_START,JC506=1,JO506&lt;0),JB506,9999)</f>
        <v>9999</v>
      </c>
      <c r="KB506" t="n">
        <v>2042</v>
      </c>
      <c r="KC506">
        <f>IF(KB506&lt;=RULE_START+$KB$38-1,1,0)</f>
        <v>1</v>
      </c>
      <c r="KD506" s="15">
        <f>IF(KB506=2024,G_IDX_2024,IF(KB506=2025,G_IDX_2025,IF(KB506=2026,G_IDX_2026,IF(KB506=2027,G_IDX_2027,$KB$13))))</f>
        <v>0.033</v>
      </c>
      <c r="KE506" s="8">
        <f>$KB$20*(1+G_HI)^(KB506-COST_DATE)</f>
        <v>918.4912808806114</v>
      </c>
      <c r="KF506" s="8">
        <f>KF505*(1+KD506)</f>
        <v>832.5870057280279</v>
      </c>
      <c r="KG506" s="8">
        <f>IF(KB506&lt;RULE_START,KF506,KG505*(1+G_HI))</f>
        <v>930.0161021833424</v>
      </c>
      <c r="KH506" s="8">
        <f>IF(KB506&lt;RULE_START,KF506,IF(KI506=1,R_NF_2024*(1+G_HI)^(KB506-2024),KH505*(1+KD506)))</f>
        <v>978.9670362848101</v>
      </c>
      <c r="KI506">
        <f>IF(AND(KB506&gt;=RULE_START,MOD(KB506-RULE_START,REBASE_YEARS)=0),1,0)</f>
        <v>1</v>
      </c>
      <c r="KJ506" s="8">
        <f>KF506*CAP_SHARE</f>
        <v>40.71128068479232</v>
      </c>
      <c r="KK506" s="8">
        <f>KG506*CAP_SHARE</f>
        <v>45.47530326185581</v>
      </c>
      <c r="KL506" s="8">
        <f>KH506*CAP_SHARE</f>
        <v>47.868873188214486</v>
      </c>
      <c r="KM506" s="8">
        <f>KF506-KJ506-KE506</f>
        <v>-126.61555583737584</v>
      </c>
      <c r="KN506" s="8">
        <f>KG506-KK506-KE506</f>
        <v>-33.950481959124886</v>
      </c>
      <c r="KO506" s="8">
        <f>KH506-KL506-KE506</f>
        <v>12.606882215984228</v>
      </c>
      <c r="KP506" s="8">
        <f>R_NF_2024*(1+G_HI)^(KB506-2024)</f>
        <v>978.9670362848101</v>
      </c>
      <c r="KQ506" s="10">
        <f>1-KF506/KP506</f>
        <v>0.14952498412234183</v>
      </c>
      <c r="KR506" s="10">
        <f>CPI_2023/(IF(KB506-1=2023,CPI_2023,IF(KB506-1=2024,CPI_2024,IF(KB506-1=2025,CPI_2025,CPI_2025*(1+INFL)^(KB506-1-2025)))))</f>
        <v>0.651293062432346</v>
      </c>
      <c r="KS506" s="8">
        <f>$KB$21*ABS($KB$11)*(KG506-KF506)/KF506</f>
        <v>11666.289140852099</v>
      </c>
      <c r="KT506" s="8">
        <f>$KB$21*ABS($KB$11)*(KH506-KF506)/KF506</f>
        <v>17527.738869111065</v>
      </c>
      <c r="KU506" s="13">
        <f>(KG506-KF506)*MCD_NF_DAYS*KR506-KS506*MCD_SHARE_FREED*R_WAIT_2023</f>
        <v>28127346.305527285</v>
      </c>
      <c r="KV506" s="13">
        <f>(KH506-KF506)*MCD_NF_DAYS*KR506-KT506*MCD_SHARE_FREED*R_WAIT_2023</f>
        <v>42259263.00745955</v>
      </c>
      <c r="KW506" s="10">
        <f>IF(AND(KB506&gt;=RULE_START,KC506=1),1/(1+$KB$12)^(KB506-RULE_START+1),0)</f>
        <v>0.7284458137142342</v>
      </c>
      <c r="KX506">
        <f>IF(AND(KB506&gt;=RULE_START,KC506=1,KM506&lt;0),KB506,9999)</f>
        <v>2042</v>
      </c>
      <c r="KY506">
        <f>IF(AND(KB506&gt;=RULE_START,KC506=1,KN506&lt;0),KB506,9999)</f>
        <v>2042</v>
      </c>
      <c r="KZ506">
        <f>IF(AND(KB506&gt;=RULE_START,KC506=1,KO506&lt;0),KB506,9999)</f>
        <v>9999</v>
      </c>
      <c r="LB506" t="n">
        <v>2042</v>
      </c>
      <c r="LC506">
        <f>IF(LB506&lt;=RULE_START+$LB$38-1,1,0)</f>
        <v>1</v>
      </c>
      <c r="LD506" s="15">
        <f>IF(LB506=2024,G_IDX_2024,IF(LB506=2025,G_IDX_2025,IF(LB506=2026,G_IDX_2026,IF(LB506=2027,G_IDX_2027,$LB$13))))</f>
        <v>0.033</v>
      </c>
      <c r="LE506" s="8">
        <f>$LB$20*(1+G_HI)^(LB506-COST_DATE)</f>
        <v>918.4912808806114</v>
      </c>
      <c r="LF506" s="8">
        <f>LF505*(1+LD506)</f>
        <v>832.5870057280279</v>
      </c>
      <c r="LG506" s="8">
        <f>IF(LB506&lt;RULE_START,LF506,LG505*(1+G_HI))</f>
        <v>930.0161021833424</v>
      </c>
      <c r="LH506" s="8">
        <f>IF(LB506&lt;RULE_START,LF506,IF(LI506=1,R_NF_2024*(1+G_HI)^(LB506-2024),LH505*(1+LD506)))</f>
        <v>978.9670362848101</v>
      </c>
      <c r="LI506">
        <f>IF(AND(LB506&gt;=RULE_START,MOD(LB506-RULE_START,REBASE_YEARS)=0),1,0)</f>
        <v>1</v>
      </c>
      <c r="LJ506" s="8">
        <f>LF506*CAP_SHARE</f>
        <v>40.71128068479232</v>
      </c>
      <c r="LK506" s="8">
        <f>LG506*CAP_SHARE</f>
        <v>45.47530326185581</v>
      </c>
      <c r="LL506" s="8">
        <f>LH506*CAP_SHARE</f>
        <v>47.868873188214486</v>
      </c>
      <c r="LM506" s="8">
        <f>LF506-LJ506-LE506</f>
        <v>-126.61555583737584</v>
      </c>
      <c r="LN506" s="8">
        <f>LG506-LK506-LE506</f>
        <v>-33.950481959124886</v>
      </c>
      <c r="LO506" s="8">
        <f>LH506-LL506-LE506</f>
        <v>12.606882215984228</v>
      </c>
      <c r="LP506" s="8">
        <f>R_NF_2024*(1+G_HI)^(LB506-2024)</f>
        <v>978.9670362848101</v>
      </c>
      <c r="LQ506" s="10">
        <f>1-LF506/LP506</f>
        <v>0.14952498412234183</v>
      </c>
      <c r="LR506" s="10">
        <f>CPI_2023/(IF(LB506-1=2023,CPI_2023,IF(LB506-1=2024,CPI_2024,IF(LB506-1=2025,CPI_2025,CPI_2025*(1+INFL)^(LB506-1-2025)))))</f>
        <v>0.651293062432346</v>
      </c>
      <c r="LS506" s="8">
        <f>$LB$21*ABS($LB$11)*(LG506-LF506)/LF506</f>
        <v>11666.289140852099</v>
      </c>
      <c r="LT506" s="8">
        <f>$LB$21*ABS($LB$11)*(LH506-LF506)/LF506</f>
        <v>17527.738869111065</v>
      </c>
      <c r="LU506" s="13">
        <f>(LG506-LF506)*MCD_NF_DAYS*LR506-LS506*MCD_SHARE_FREED*R_WAIT_2023</f>
        <v>28127346.305527285</v>
      </c>
      <c r="LV506" s="13">
        <f>(LH506-LF506)*MCD_NF_DAYS*LR506-LT506*MCD_SHARE_FREED*R_WAIT_2023</f>
        <v>42259263.00745955</v>
      </c>
      <c r="LW506" s="10">
        <f>IF(AND(LB506&gt;=RULE_START,LC506=1),1/(1+$LB$12)^(LB506-RULE_START+1),0)</f>
        <v>0.7284458137142342</v>
      </c>
      <c r="LX506">
        <f>IF(AND(LB506&gt;=RULE_START,LC506=1,LM506&lt;0),LB506,9999)</f>
        <v>2042</v>
      </c>
      <c r="LY506">
        <f>IF(AND(LB506&gt;=RULE_START,LC506=1,LN506&lt;0),LB506,9999)</f>
        <v>2042</v>
      </c>
      <c r="LZ506">
        <f>IF(AND(LB506&gt;=RULE_START,LC506=1,LO506&lt;0),LB506,9999)</f>
        <v>9999</v>
      </c>
      <c r="MB506" t="n">
        <v>2042</v>
      </c>
      <c r="MC506">
        <f>IF(MB506&lt;=RULE_START+$MB$38-1,1,0)</f>
        <v>1</v>
      </c>
      <c r="MD506" s="15">
        <f>IF(MB506=2024,G_IDX_2024,IF(MB506=2025,G_IDX_2025,IF(MB506=2026,G_IDX_2026,IF(MB506=2027,G_IDX_2027,$MB$13))))</f>
        <v>0.033</v>
      </c>
      <c r="ME506" s="8">
        <f>$MB$20*(1+G_HI)^(MB506-COST_DATE)</f>
        <v>918.4912808806114</v>
      </c>
      <c r="MF506" s="8">
        <f>MF505*(1+MD506)</f>
        <v>832.5870057280279</v>
      </c>
      <c r="MG506" s="8">
        <f>IF(MB506&lt;RULE_START,MF506,MG505*(1+G_HI))</f>
        <v>930.0161021833424</v>
      </c>
      <c r="MH506" s="8">
        <f>IF(MB506&lt;RULE_START,MF506,IF(MI506=1,R_NF_2024*(1+G_HI)^(MB506-2024),MH505*(1+MD506)))</f>
        <v>978.9670362848101</v>
      </c>
      <c r="MI506">
        <f>IF(AND(MB506&gt;=RULE_START,MOD(MB506-RULE_START,REBASE_YEARS)=0),1,0)</f>
        <v>1</v>
      </c>
      <c r="MJ506" s="8">
        <f>MF506*CAP_SHARE</f>
        <v>40.71128068479232</v>
      </c>
      <c r="MK506" s="8">
        <f>MG506*CAP_SHARE</f>
        <v>45.47530326185581</v>
      </c>
      <c r="ML506" s="8">
        <f>MH506*CAP_SHARE</f>
        <v>47.868873188214486</v>
      </c>
      <c r="MM506" s="8">
        <f>MF506-MJ506-ME506</f>
        <v>-126.61555583737584</v>
      </c>
      <c r="MN506" s="8">
        <f>MG506-MK506-ME506</f>
        <v>-33.950481959124886</v>
      </c>
      <c r="MO506" s="8">
        <f>MH506-ML506-ME506</f>
        <v>12.606882215984228</v>
      </c>
      <c r="MP506" s="8">
        <f>R_NF_2024*(1+G_HI)^(MB506-2024)</f>
        <v>978.9670362848101</v>
      </c>
      <c r="MQ506" s="10">
        <f>1-MF506/MP506</f>
        <v>0.14952498412234183</v>
      </c>
      <c r="MR506" s="10">
        <f>CPI_2023/(IF(MB506-1=2023,CPI_2023,IF(MB506-1=2024,CPI_2024,IF(MB506-1=2025,CPI_2025,CPI_2025*(1+INFL)^(MB506-1-2025)))))</f>
        <v>0.651293062432346</v>
      </c>
      <c r="MS506" s="8">
        <f>$MB$21*ABS($MB$11)*(MG506-MF506)/MF506</f>
        <v>8546.602377203899</v>
      </c>
      <c r="MT506" s="8">
        <f>$MB$21*ABS($MB$11)*(MH506-MF506)/MF506</f>
        <v>12840.639630744856</v>
      </c>
      <c r="MU506" s="13">
        <f>(MG506-MF506)*MCD_NF_DAYS*MR506-MS506*MCD_SHARE_FREED*R_WAIT_2023</f>
        <v>29545926.311650116</v>
      </c>
      <c r="MV506" s="13">
        <f>(MH506-MF506)*MCD_NF_DAYS*MR506-MT506*MCD_SHARE_FREED*R_WAIT_2023</f>
        <v>44390574.82495895</v>
      </c>
      <c r="MW506" s="10">
        <f>IF(AND(MB506&gt;=RULE_START,MC506=1),1/(1+$MB$12)^(MB506-RULE_START+1),0)</f>
        <v>0.7284458137142342</v>
      </c>
      <c r="MX506">
        <f>IF(AND(MB506&gt;=RULE_START,MC506=1,MM506&lt;0),MB506,9999)</f>
        <v>2042</v>
      </c>
      <c r="MY506">
        <f>IF(AND(MB506&gt;=RULE_START,MC506=1,MN506&lt;0),MB506,9999)</f>
        <v>2042</v>
      </c>
      <c r="MZ506">
        <f>IF(AND(MB506&gt;=RULE_START,MC506=1,MO506&lt;0),MB506,9999)</f>
        <v>9999</v>
      </c>
      <c r="NB506" t="n">
        <v>2042</v>
      </c>
      <c r="NC506">
        <f>IF(NB506&lt;=RULE_START+$NB$38-1,1,0)</f>
        <v>1</v>
      </c>
      <c r="ND506" s="15">
        <f>IF(NB506=2024,G_IDX_2024,IF(NB506=2025,G_IDX_2025,IF(NB506=2026,G_IDX_2026,IF(NB506=2027,G_IDX_2027,$NB$13))))</f>
        <v>0.033</v>
      </c>
      <c r="NE506" s="8">
        <f>$NB$20*(1+G_HI)^(NB506-COST_DATE)</f>
        <v>918.4912808806114</v>
      </c>
      <c r="NF506" s="8">
        <f>NF505*(1+ND506)</f>
        <v>832.5870057280279</v>
      </c>
      <c r="NG506" s="8">
        <f>IF(NB506&lt;RULE_START,NF506,NG505*(1+G_HI))</f>
        <v>930.0161021833424</v>
      </c>
      <c r="NH506" s="8">
        <f>IF(NB506&lt;RULE_START,NF506,IF(NI506=1,R_NF_2024*(1+G_HI)^(NB506-2024),NH505*(1+ND506)))</f>
        <v>978.9670362848101</v>
      </c>
      <c r="NI506">
        <f>IF(AND(NB506&gt;=RULE_START,MOD(NB506-RULE_START,REBASE_YEARS)=0),1,0)</f>
        <v>1</v>
      </c>
      <c r="NJ506" s="8">
        <f>NF506*CAP_SHARE</f>
        <v>40.71128068479232</v>
      </c>
      <c r="NK506" s="8">
        <f>NG506*CAP_SHARE</f>
        <v>45.47530326185581</v>
      </c>
      <c r="NL506" s="8">
        <f>NH506*CAP_SHARE</f>
        <v>47.868873188214486</v>
      </c>
      <c r="NM506" s="8">
        <f>NF506-NJ506-NE506</f>
        <v>-126.61555583737584</v>
      </c>
      <c r="NN506" s="8">
        <f>NG506-NK506-NE506</f>
        <v>-33.950481959124886</v>
      </c>
      <c r="NO506" s="8">
        <f>NH506-NL506-NE506</f>
        <v>12.606882215984228</v>
      </c>
      <c r="NP506" s="8">
        <f>R_NF_2024*(1+G_HI)^(NB506-2024)</f>
        <v>978.9670362848101</v>
      </c>
      <c r="NQ506" s="10">
        <f>1-NF506/NP506</f>
        <v>0.14952498412234183</v>
      </c>
      <c r="NR506" s="10">
        <f>CPI_2023/(IF(NB506-1=2023,CPI_2023,IF(NB506-1=2024,CPI_2024,IF(NB506-1=2025,CPI_2025,CPI_2025*(1+INFL)^(NB506-1-2025)))))</f>
        <v>0.651293062432346</v>
      </c>
      <c r="NS506" s="8">
        <f>$NB$21*ABS($NB$11)*(NG506-NF506)/NF506</f>
        <v>11666.289140852099</v>
      </c>
      <c r="NT506" s="8">
        <f>$NB$21*ABS($NB$11)*(NH506-NF506)/NF506</f>
        <v>17527.738869111065</v>
      </c>
      <c r="NU506" s="13">
        <f>(NG506-NF506)*MCD_NF_DAYS*NR506-NS506*MCD_SHARE_FREED*R_WAIT_2023</f>
        <v>28127346.305527285</v>
      </c>
      <c r="NV506" s="13">
        <f>(NH506-NF506)*MCD_NF_DAYS*NR506-NT506*MCD_SHARE_FREED*R_WAIT_2023</f>
        <v>42259263.00745955</v>
      </c>
      <c r="NW506" s="10">
        <f>IF(AND(NB506&gt;=RULE_START,NC506=1),1/(1+$NB$12)^(NB506-RULE_START+1),0)</f>
        <v>0.7284458137142342</v>
      </c>
      <c r="NX506">
        <f>IF(AND(NB506&gt;=RULE_START,NC506=1,NM506&lt;0),NB506,9999)</f>
        <v>2042</v>
      </c>
      <c r="NY506">
        <f>IF(AND(NB506&gt;=RULE_START,NC506=1,NN506&lt;0),NB506,9999)</f>
        <v>2042</v>
      </c>
      <c r="NZ506">
        <f>IF(AND(NB506&gt;=RULE_START,NC506=1,NO506&lt;0),NB506,9999)</f>
        <v>9999</v>
      </c>
      <c r="OB506" t="n">
        <v>2042</v>
      </c>
      <c r="OC506">
        <f>IF(OB506&lt;=RULE_START+$OB$38-1,1,0)</f>
        <v>1</v>
      </c>
      <c r="OD506" s="15">
        <f>IF(OB506=2024,G_IDX_2024,IF(OB506=2025,G_IDX_2025,IF(OB506=2026,G_IDX_2026,IF(OB506=2027,G_IDX_2027,$OB$13))))</f>
        <v>0.033</v>
      </c>
      <c r="OE506" s="8">
        <f>$OB$20*(1+G_HI)^(OB506-COST_DATE)</f>
        <v>918.4912808806114</v>
      </c>
      <c r="OF506" s="8">
        <f>OF505*(1+OD506)</f>
        <v>832.5870057280279</v>
      </c>
      <c r="OG506" s="8">
        <f>IF(OB506&lt;RULE_START,OF506,OG505*(1+G_HI))</f>
        <v>930.0161021833424</v>
      </c>
      <c r="OH506" s="8">
        <f>IF(OB506&lt;RULE_START,OF506,IF(OI506=1,R_NF_2024*(1+G_HI)^(OB506-2024),OH505*(1+OD506)))</f>
        <v>978.9670362848101</v>
      </c>
      <c r="OI506">
        <f>IF(AND(OB506&gt;=RULE_START,MOD(OB506-RULE_START,REBASE_YEARS)=0),1,0)</f>
        <v>1</v>
      </c>
      <c r="OJ506" s="8">
        <f>OF506*CAP_SHARE</f>
        <v>40.71128068479232</v>
      </c>
      <c r="OK506" s="8">
        <f>OG506*CAP_SHARE</f>
        <v>45.47530326185581</v>
      </c>
      <c r="OL506" s="8">
        <f>OH506*CAP_SHARE</f>
        <v>47.868873188214486</v>
      </c>
      <c r="OM506" s="8">
        <f>OF506-OJ506-OE506</f>
        <v>-126.61555583737584</v>
      </c>
      <c r="ON506" s="8">
        <f>OG506-OK506-OE506</f>
        <v>-33.950481959124886</v>
      </c>
      <c r="OO506" s="8">
        <f>OH506-OL506-OE506</f>
        <v>12.606882215984228</v>
      </c>
      <c r="OP506" s="8">
        <f>R_NF_2024*(1+G_HI)^(OB506-2024)</f>
        <v>978.9670362848101</v>
      </c>
      <c r="OQ506" s="10">
        <f>1-OF506/OP506</f>
        <v>0.14952498412234183</v>
      </c>
      <c r="OR506" s="10">
        <f>CPI_2023/(IF(OB506-1=2023,CPI_2023,IF(OB506-1=2024,CPI_2024,IF(OB506-1=2025,CPI_2025,CPI_2025*(1+INFL)^(OB506-1-2025)))))</f>
        <v>0.651293062432346</v>
      </c>
      <c r="OS506" s="8">
        <f>$OB$21*ABS($OB$11)*(OG506-OF506)/OF506</f>
        <v>11666.289140852099</v>
      </c>
      <c r="OT506" s="8">
        <f>$OB$21*ABS($OB$11)*(OH506-OF506)/OF506</f>
        <v>17527.738869111065</v>
      </c>
      <c r="OU506" s="13">
        <f>(OG506-OF506)*MCD_NF_DAYS*OR506-OS506*MCD_SHARE_FREED*R_WAIT_2023</f>
        <v>28127346.305527285</v>
      </c>
      <c r="OV506" s="13">
        <f>(OH506-OF506)*MCD_NF_DAYS*OR506-OT506*MCD_SHARE_FREED*R_WAIT_2023</f>
        <v>42259263.00745955</v>
      </c>
      <c r="OW506" s="10">
        <f>IF(AND(OB506&gt;=RULE_START,OC506=1),1/(1+$OB$12)^(OB506-RULE_START+1),0)</f>
        <v>0.7284458137142342</v>
      </c>
      <c r="OX506">
        <f>IF(AND(OB506&gt;=RULE_START,OC506=1,OM506&lt;0),OB506,9999)</f>
        <v>2042</v>
      </c>
      <c r="OY506">
        <f>IF(AND(OB506&gt;=RULE_START,OC506=1,ON506&lt;0),OB506,9999)</f>
        <v>2042</v>
      </c>
      <c r="OZ506">
        <f>IF(AND(OB506&gt;=RULE_START,OC506=1,OO506&lt;0),OB506,9999)</f>
        <v>9999</v>
      </c>
    </row>
    <row r="507">
      <c r="B507" t="n">
        <v>2043</v>
      </c>
      <c r="C507">
        <f>IF(B507&lt;=RULE_START+$B$38-1,1,0)</f>
        <v>1</v>
      </c>
      <c r="D507" s="15">
        <f>IF(B507=2024,G_IDX_2024,IF(B507=2025,G_IDX_2025,IF(B507=2026,G_IDX_2026,IF(B507=2027,G_IDX_2027,$B$13))))</f>
        <v>0.033</v>
      </c>
      <c r="E507" s="8">
        <f>$B$20*(1+G_HI)^(B507-COST_DATE)</f>
        <v>955.3866357532116</v>
      </c>
      <c r="F507" s="8">
        <f>F506*(1+D507)</f>
        <v>860.0623769170527</v>
      </c>
      <c r="G507" s="8">
        <f>IF(B507&lt;RULE_START,F507,G506*(1+G_HI))</f>
        <v>967.3744036082494</v>
      </c>
      <c r="H507" s="8">
        <f>IF(B507&lt;RULE_START,F507,IF(I507=1,R_NF_2024*(1+G_HI)^(B507-2024),H506*(1+D507)))</f>
        <v>1011.2729484822088</v>
      </c>
      <c r="I507">
        <f>IF(AND(B507&gt;=RULE_START,MOD(B507-RULE_START,REBASE_YEARS)=0),1,0)</f>
        <v>0</v>
      </c>
      <c r="J507" s="8">
        <f>F507*CAP_SHARE</f>
        <v>42.05475294739046</v>
      </c>
      <c r="K507" s="8">
        <f>G507*CAP_SHARE</f>
        <v>47.302024415024135</v>
      </c>
      <c r="L507" s="8">
        <f>H507*CAP_SHARE</f>
        <v>49.44854600342556</v>
      </c>
      <c r="M507" s="8">
        <f>F507-J507-E507</f>
        <v>-137.37901178354946</v>
      </c>
      <c r="N507" s="8">
        <f>G507-K507-E507</f>
        <v>-35.31425655998635</v>
      </c>
      <c r="O507" s="8">
        <f>H507-L507-E507</f>
        <v>6.437766725571578</v>
      </c>
      <c r="P507" s="8">
        <f>R_NF_2024*(1+G_HI)^(B507-2024)</f>
        <v>1018.2916732891767</v>
      </c>
      <c r="Q507" s="10">
        <f>1-F507/P507</f>
        <v>0.1553870079886136</v>
      </c>
      <c r="R507" s="10">
        <f>CPI_2023/(IF(B507-1=2023,CPI_2023,IF(B507-1=2024,CPI_2024,IF(B507-1=2025,CPI_2025,CPI_2025*(1+INFL)^(B507-1-2025)))))</f>
        <v>0.6367746015177415</v>
      </c>
      <c r="S507" s="8">
        <f>$B$21*ABS($B$11)*(G507-F507)/F507</f>
        <v>12439.191002911357</v>
      </c>
      <c r="T507" s="8">
        <f>$B$21*ABS($B$11)*(H507-F507)/F507</f>
        <v>17527.738869111072</v>
      </c>
      <c r="U507" s="13">
        <f>(G507-F507)*MCD_NF_DAYS*R507-S507*MCD_SHARE_FREED*R_WAIT_2023</f>
        <v>30346303.143445395</v>
      </c>
      <c r="V507" s="13">
        <f>(H507-F507)*MCD_NF_DAYS*R507-T507*MCD_SHARE_FREED*R_WAIT_2023</f>
        <v>42760182.47623221</v>
      </c>
      <c r="W507" s="10">
        <f>IF(AND(B507&gt;=RULE_START,C507=1),1/(1+$B$12)^(B507-RULE_START+1),0)</f>
        <v>0.7141625624649355</v>
      </c>
      <c r="X507">
        <f>IF(AND(B507&gt;=RULE_START,C507=1,M507&lt;0),B507,9999)</f>
        <v>2043</v>
      </c>
      <c r="Y507">
        <f>IF(AND(B507&gt;=RULE_START,C507=1,N507&lt;0),B507,9999)</f>
        <v>2043</v>
      </c>
      <c r="Z507">
        <f>IF(AND(B507&gt;=RULE_START,C507=1,O507&lt;0),B507,9999)</f>
        <v>9999</v>
      </c>
      <c r="AB507" t="n">
        <v>2043</v>
      </c>
      <c r="AC507">
        <f>IF(AB507&lt;=RULE_START+$AB$38-1,1,0)</f>
        <v>1</v>
      </c>
      <c r="AD507" s="15">
        <f>IF(AB507=2024,G_IDX_2024,IF(AB507=2025,G_IDX_2025,IF(AB507=2026,G_IDX_2026,IF(AB507=2027,G_IDX_2027,$AB$13))))</f>
        <v>0.033</v>
      </c>
      <c r="AE507" s="8">
        <f>$AB$20*(1+G_HI)^(AB507-COST_DATE)</f>
        <v>955.3866357532116</v>
      </c>
      <c r="AF507" s="8">
        <f>AF506*(1+AD507)</f>
        <v>860.0623769170527</v>
      </c>
      <c r="AG507" s="8">
        <f>IF(AB507&lt;RULE_START,AF507,AG506*(1+G_HI))</f>
        <v>967.3744036082494</v>
      </c>
      <c r="AH507" s="8">
        <f>IF(AB507&lt;RULE_START,AF507,IF(AI507=1,R_NF_2024*(1+G_HI)^(AB507-2024),AH506*(1+AD507)))</f>
        <v>1011.2729484822088</v>
      </c>
      <c r="AI507">
        <f>IF(AND(AB507&gt;=RULE_START,MOD(AB507-RULE_START,REBASE_YEARS)=0),1,0)</f>
        <v>0</v>
      </c>
      <c r="AJ507" s="8">
        <f>AF507*CAP_SHARE</f>
        <v>42.05475294739046</v>
      </c>
      <c r="AK507" s="8">
        <f>AG507*CAP_SHARE</f>
        <v>47.302024415024135</v>
      </c>
      <c r="AL507" s="8">
        <f>AH507*CAP_SHARE</f>
        <v>49.44854600342556</v>
      </c>
      <c r="AM507" s="8">
        <f>AF507-AJ507-AE507</f>
        <v>-137.37901178354946</v>
      </c>
      <c r="AN507" s="8">
        <f>AG507-AK507-AE507</f>
        <v>-35.31425655998635</v>
      </c>
      <c r="AO507" s="8">
        <f>AH507-AL507-AE507</f>
        <v>6.437766725571578</v>
      </c>
      <c r="AP507" s="8">
        <f>R_NF_2024*(1+G_HI)^(AB507-2024)</f>
        <v>1018.2916732891767</v>
      </c>
      <c r="AQ507" s="10">
        <f>1-AF507/AP507</f>
        <v>0.1553870079886136</v>
      </c>
      <c r="AR507" s="10">
        <f>CPI_2023/(IF(AB507-1=2023,CPI_2023,IF(AB507-1=2024,CPI_2024,IF(AB507-1=2025,CPI_2025,CPI_2025*(1+INFL)^(AB507-1-2025)))))</f>
        <v>0.6367746015177415</v>
      </c>
      <c r="AS507" s="8">
        <f>$AB$21*ABS($AB$11)*(AG507-AF507)/AF507</f>
        <v>12439.191002911357</v>
      </c>
      <c r="AT507" s="8">
        <f>$AB$21*ABS($AB$11)*(AH507-AF507)/AF507</f>
        <v>17527.738869111072</v>
      </c>
      <c r="AU507" s="13">
        <f>(AG507-AF507)*MCD_NF_DAYS*AR507-AS507*MCD_SHARE_FREED*R_WAIT_2023</f>
        <v>30346303.143445395</v>
      </c>
      <c r="AV507" s="13">
        <f>(AH507-AF507)*MCD_NF_DAYS*AR507-AT507*MCD_SHARE_FREED*R_WAIT_2023</f>
        <v>42760182.47623221</v>
      </c>
      <c r="AW507" s="10">
        <f>IF(AND(AB507&gt;=RULE_START,AC507=1),1/(1+$AB$12)^(AB507-RULE_START+1),0)</f>
        <v>0.7141625624649355</v>
      </c>
      <c r="AX507">
        <f>IF(AND(AB507&gt;=RULE_START,AC507=1,AM507&lt;0),AB507,9999)</f>
        <v>2043</v>
      </c>
      <c r="AY507">
        <f>IF(AND(AB507&gt;=RULE_START,AC507=1,AN507&lt;0),AB507,9999)</f>
        <v>2043</v>
      </c>
      <c r="AZ507">
        <f>IF(AND(AB507&gt;=RULE_START,AC507=1,AO507&lt;0),AB507,9999)</f>
        <v>9999</v>
      </c>
      <c r="BB507" t="n">
        <v>2043</v>
      </c>
      <c r="BC507">
        <f>IF(BB507&lt;=RULE_START+$BB$38-1,1,0)</f>
        <v>1</v>
      </c>
      <c r="BD507" s="15">
        <f>IF(BB507=2024,G_IDX_2024,IF(BB507=2025,G_IDX_2025,IF(BB507=2026,G_IDX_2026,IF(BB507=2027,G_IDX_2027,$BB$13))))</f>
        <v>0.033</v>
      </c>
      <c r="BE507" s="8">
        <f>$BB$20*(1+G_HI)^(BB507-COST_DATE)</f>
        <v>955.3866357532116</v>
      </c>
      <c r="BF507" s="8">
        <f>BF506*(1+BD507)</f>
        <v>860.0623769170527</v>
      </c>
      <c r="BG507" s="8">
        <f>IF(BB507&lt;RULE_START,BF507,BG506*(1+G_HI))</f>
        <v>967.3744036082494</v>
      </c>
      <c r="BH507" s="8">
        <f>IF(BB507&lt;RULE_START,BF507,IF(BI507=1,R_NF_2024*(1+G_HI)^(BB507-2024),BH506*(1+BD507)))</f>
        <v>1011.2729484822088</v>
      </c>
      <c r="BI507">
        <f>IF(AND(BB507&gt;=RULE_START,MOD(BB507-RULE_START,REBASE_YEARS)=0),1,0)</f>
        <v>0</v>
      </c>
      <c r="BJ507" s="8">
        <f>BF507*CAP_SHARE</f>
        <v>42.05475294739046</v>
      </c>
      <c r="BK507" s="8">
        <f>BG507*CAP_SHARE</f>
        <v>47.302024415024135</v>
      </c>
      <c r="BL507" s="8">
        <f>BH507*CAP_SHARE</f>
        <v>49.44854600342556</v>
      </c>
      <c r="BM507" s="8">
        <f>BF507-BJ507-BE507</f>
        <v>-137.37901178354946</v>
      </c>
      <c r="BN507" s="8">
        <f>BG507-BK507-BE507</f>
        <v>-35.31425655998635</v>
      </c>
      <c r="BO507" s="8">
        <f>BH507-BL507-BE507</f>
        <v>6.437766725571578</v>
      </c>
      <c r="BP507" s="8">
        <f>R_NF_2024*(1+G_HI)^(BB507-2024)</f>
        <v>1018.2916732891767</v>
      </c>
      <c r="BQ507" s="10">
        <f>1-BF507/BP507</f>
        <v>0.1553870079886136</v>
      </c>
      <c r="BR507" s="10">
        <f>CPI_2023/(IF(BB507-1=2023,CPI_2023,IF(BB507-1=2024,CPI_2024,IF(BB507-1=2025,CPI_2025,CPI_2025*(1+INFL)^(BB507-1-2025)))))</f>
        <v>0.6367746015177415</v>
      </c>
      <c r="BS507" s="8">
        <f>$BB$21*ABS($BB$11)*(BG507-BF507)/BF507</f>
        <v>12439.191002911357</v>
      </c>
      <c r="BT507" s="8">
        <f>$BB$21*ABS($BB$11)*(BH507-BF507)/BF507</f>
        <v>17527.738869111072</v>
      </c>
      <c r="BU507" s="13">
        <f>(BG507-BF507)*MCD_NF_DAYS*BR507-BS507*MCD_SHARE_FREED*R_WAIT_2023</f>
        <v>30346303.143445395</v>
      </c>
      <c r="BV507" s="13">
        <f>(BH507-BF507)*MCD_NF_DAYS*BR507-BT507*MCD_SHARE_FREED*R_WAIT_2023</f>
        <v>42760182.47623221</v>
      </c>
      <c r="BW507" s="10">
        <f>IF(AND(BB507&gt;=RULE_START,BC507=1),1/(1+$BB$12)^(BB507-RULE_START+1),0)</f>
        <v>0.7141625624649355</v>
      </c>
      <c r="BX507">
        <f>IF(AND(BB507&gt;=RULE_START,BC507=1,BM507&lt;0),BB507,9999)</f>
        <v>2043</v>
      </c>
      <c r="BY507">
        <f>IF(AND(BB507&gt;=RULE_START,BC507=1,BN507&lt;0),BB507,9999)</f>
        <v>2043</v>
      </c>
      <c r="BZ507">
        <f>IF(AND(BB507&gt;=RULE_START,BC507=1,BO507&lt;0),BB507,9999)</f>
        <v>9999</v>
      </c>
      <c r="CB507" t="n">
        <v>2043</v>
      </c>
      <c r="CC507">
        <f>IF(CB507&lt;=RULE_START+$CB$38-1,1,0)</f>
        <v>1</v>
      </c>
      <c r="CD507" s="15">
        <f>IF(CB507=2024,G_IDX_2024,IF(CB507=2025,G_IDX_2025,IF(CB507=2026,G_IDX_2026,IF(CB507=2027,G_IDX_2027,$CB$13))))</f>
        <v>0.033</v>
      </c>
      <c r="CE507" s="8">
        <f>$CB$20*(1+G_HI)^(CB507-COST_DATE)</f>
        <v>955.3866357532116</v>
      </c>
      <c r="CF507" s="8">
        <f>CF506*(1+CD507)</f>
        <v>860.0623769170527</v>
      </c>
      <c r="CG507" s="8">
        <f>IF(CB507&lt;RULE_START,CF507,CG506*(1+G_HI))</f>
        <v>967.3744036082494</v>
      </c>
      <c r="CH507" s="8">
        <f>IF(CB507&lt;RULE_START,CF507,IF(CI507=1,R_NF_2024*(1+G_HI)^(CB507-2024),CH506*(1+CD507)))</f>
        <v>1011.2729484822088</v>
      </c>
      <c r="CI507">
        <f>IF(AND(CB507&gt;=RULE_START,MOD(CB507-RULE_START,REBASE_YEARS)=0),1,0)</f>
        <v>0</v>
      </c>
      <c r="CJ507" s="8">
        <f>CF507*CAP_SHARE</f>
        <v>42.05475294739046</v>
      </c>
      <c r="CK507" s="8">
        <f>CG507*CAP_SHARE</f>
        <v>47.302024415024135</v>
      </c>
      <c r="CL507" s="8">
        <f>CH507*CAP_SHARE</f>
        <v>49.44854600342556</v>
      </c>
      <c r="CM507" s="8">
        <f>CF507-CJ507-CE507</f>
        <v>-137.37901178354946</v>
      </c>
      <c r="CN507" s="8">
        <f>CG507-CK507-CE507</f>
        <v>-35.31425655998635</v>
      </c>
      <c r="CO507" s="8">
        <f>CH507-CL507-CE507</f>
        <v>6.437766725571578</v>
      </c>
      <c r="CP507" s="8">
        <f>R_NF_2024*(1+G_HI)^(CB507-2024)</f>
        <v>1018.2916732891767</v>
      </c>
      <c r="CQ507" s="10">
        <f>1-CF507/CP507</f>
        <v>0.1553870079886136</v>
      </c>
      <c r="CR507" s="10">
        <f>CPI_2023/(IF(CB507-1=2023,CPI_2023,IF(CB507-1=2024,CPI_2024,IF(CB507-1=2025,CPI_2025,CPI_2025*(1+INFL)^(CB507-1-2025)))))</f>
        <v>0.6367746015177415</v>
      </c>
      <c r="CS507" s="8">
        <f>$CB$21*ABS($CB$11)*(CG507-CF507)/CF507</f>
        <v>12439.191002911357</v>
      </c>
      <c r="CT507" s="8">
        <f>$CB$21*ABS($CB$11)*(CH507-CF507)/CF507</f>
        <v>17527.738869111072</v>
      </c>
      <c r="CU507" s="13">
        <f>(CG507-CF507)*MCD_NF_DAYS*CR507-CS507*MCD_SHARE_FREED*R_WAIT_2023</f>
        <v>30346303.143445395</v>
      </c>
      <c r="CV507" s="13">
        <f>(CH507-CF507)*MCD_NF_DAYS*CR507-CT507*MCD_SHARE_FREED*R_WAIT_2023</f>
        <v>42760182.47623221</v>
      </c>
      <c r="CW507" s="10">
        <f>IF(AND(CB507&gt;=RULE_START,CC507=1),1/(1+$CB$12)^(CB507-RULE_START+1),0)</f>
        <v>0.7141625624649355</v>
      </c>
      <c r="CX507">
        <f>IF(AND(CB507&gt;=RULE_START,CC507=1,CM507&lt;0),CB507,9999)</f>
        <v>2043</v>
      </c>
      <c r="CY507">
        <f>IF(AND(CB507&gt;=RULE_START,CC507=1,CN507&lt;0),CB507,9999)</f>
        <v>2043</v>
      </c>
      <c r="CZ507">
        <f>IF(AND(CB507&gt;=RULE_START,CC507=1,CO507&lt;0),CB507,9999)</f>
        <v>9999</v>
      </c>
      <c r="DB507" t="n">
        <v>2043</v>
      </c>
      <c r="DC507">
        <f>IF(DB507&lt;=RULE_START+$DB$38-1,1,0)</f>
        <v>1</v>
      </c>
      <c r="DD507" s="15">
        <f>IF(DB507=2024,G_IDX_2024,IF(DB507=2025,G_IDX_2025,IF(DB507=2026,G_IDX_2026,IF(DB507=2027,G_IDX_2027,$DB$13))))</f>
        <v>0.033</v>
      </c>
      <c r="DE507" s="8">
        <f>$DB$20*(1+G_HI)^(DB507-COST_DATE)</f>
        <v>955.3866357532116</v>
      </c>
      <c r="DF507" s="8">
        <f>DF506*(1+DD507)</f>
        <v>860.0623769170527</v>
      </c>
      <c r="DG507" s="8">
        <f>IF(DB507&lt;RULE_START,DF507,DG506*(1+G_HI))</f>
        <v>967.3744036082494</v>
      </c>
      <c r="DH507" s="8">
        <f>IF(DB507&lt;RULE_START,DF507,IF(DI507=1,R_NF_2024*(1+G_HI)^(DB507-2024),DH506*(1+DD507)))</f>
        <v>1011.2729484822088</v>
      </c>
      <c r="DI507">
        <f>IF(AND(DB507&gt;=RULE_START,MOD(DB507-RULE_START,REBASE_YEARS)=0),1,0)</f>
        <v>0</v>
      </c>
      <c r="DJ507" s="8">
        <f>DF507*CAP_SHARE</f>
        <v>42.05475294739046</v>
      </c>
      <c r="DK507" s="8">
        <f>DG507*CAP_SHARE</f>
        <v>47.302024415024135</v>
      </c>
      <c r="DL507" s="8">
        <f>DH507*CAP_SHARE</f>
        <v>49.44854600342556</v>
      </c>
      <c r="DM507" s="8">
        <f>DF507-DJ507-DE507</f>
        <v>-137.37901178354946</v>
      </c>
      <c r="DN507" s="8">
        <f>DG507-DK507-DE507</f>
        <v>-35.31425655998635</v>
      </c>
      <c r="DO507" s="8">
        <f>DH507-DL507-DE507</f>
        <v>6.437766725571578</v>
      </c>
      <c r="DP507" s="8">
        <f>R_NF_2024*(1+G_HI)^(DB507-2024)</f>
        <v>1018.2916732891767</v>
      </c>
      <c r="DQ507" s="10">
        <f>1-DF507/DP507</f>
        <v>0.1553870079886136</v>
      </c>
      <c r="DR507" s="10">
        <f>CPI_2023/(IF(DB507-1=2023,CPI_2023,IF(DB507-1=2024,CPI_2024,IF(DB507-1=2025,CPI_2025,CPI_2025*(1+INFL)^(DB507-1-2025)))))</f>
        <v>0.6367746015177415</v>
      </c>
      <c r="DS507" s="8">
        <f>$DB$21*ABS($DB$11)*(DG507-DF507)/DF507</f>
        <v>12439.191002911357</v>
      </c>
      <c r="DT507" s="8">
        <f>$DB$21*ABS($DB$11)*(DH507-DF507)/DF507</f>
        <v>17527.738869111072</v>
      </c>
      <c r="DU507" s="13">
        <f>(DG507-DF507)*MCD_NF_DAYS*DR507-DS507*MCD_SHARE_FREED*R_WAIT_2023</f>
        <v>30346303.143445395</v>
      </c>
      <c r="DV507" s="13">
        <f>(DH507-DF507)*MCD_NF_DAYS*DR507-DT507*MCD_SHARE_FREED*R_WAIT_2023</f>
        <v>42760182.47623221</v>
      </c>
      <c r="DW507" s="10">
        <f>IF(AND(DB507&gt;=RULE_START,DC507=1),1/(1+$DB$12)^(DB507-RULE_START+1),0)</f>
        <v>0.7141625624649355</v>
      </c>
      <c r="DX507">
        <f>IF(AND(DB507&gt;=RULE_START,DC507=1,DM507&lt;0),DB507,9999)</f>
        <v>2043</v>
      </c>
      <c r="DY507">
        <f>IF(AND(DB507&gt;=RULE_START,DC507=1,DN507&lt;0),DB507,9999)</f>
        <v>2043</v>
      </c>
      <c r="DZ507">
        <f>IF(AND(DB507&gt;=RULE_START,DC507=1,DO507&lt;0),DB507,9999)</f>
        <v>9999</v>
      </c>
      <c r="EB507" t="n">
        <v>2043</v>
      </c>
      <c r="EC507">
        <f>IF(EB507&lt;=RULE_START+$EB$38-1,1,0)</f>
        <v>1</v>
      </c>
      <c r="ED507" s="15">
        <f>IF(EB507=2024,G_IDX_2024,IF(EB507=2025,G_IDX_2025,IF(EB507=2026,G_IDX_2026,IF(EB507=2027,G_IDX_2027,$EB$13))))</f>
        <v>0.033</v>
      </c>
      <c r="EE507" s="8">
        <f>$EB$20*(1+G_HI)^(EB507-COST_DATE)</f>
        <v>955.3866357532116</v>
      </c>
      <c r="EF507" s="8">
        <f>EF506*(1+ED507)</f>
        <v>860.0623769170527</v>
      </c>
      <c r="EG507" s="8">
        <f>IF(EB507&lt;RULE_START,EF507,EG506*(1+G_HI))</f>
        <v>967.3744036082494</v>
      </c>
      <c r="EH507" s="8">
        <f>IF(EB507&lt;RULE_START,EF507,IF(EI507=1,R_NF_2024*(1+G_HI)^(EB507-2024),EH506*(1+ED507)))</f>
        <v>1011.2729484822088</v>
      </c>
      <c r="EI507">
        <f>IF(AND(EB507&gt;=RULE_START,MOD(EB507-RULE_START,REBASE_YEARS)=0),1,0)</f>
        <v>0</v>
      </c>
      <c r="EJ507" s="8">
        <f>EF507*CAP_SHARE</f>
        <v>42.05475294739046</v>
      </c>
      <c r="EK507" s="8">
        <f>EG507*CAP_SHARE</f>
        <v>47.302024415024135</v>
      </c>
      <c r="EL507" s="8">
        <f>EH507*CAP_SHARE</f>
        <v>49.44854600342556</v>
      </c>
      <c r="EM507" s="8">
        <f>EF507-EJ507-EE507</f>
        <v>-137.37901178354946</v>
      </c>
      <c r="EN507" s="8">
        <f>EG507-EK507-EE507</f>
        <v>-35.31425655998635</v>
      </c>
      <c r="EO507" s="8">
        <f>EH507-EL507-EE507</f>
        <v>6.437766725571578</v>
      </c>
      <c r="EP507" s="8">
        <f>R_NF_2024*(1+G_HI)^(EB507-2024)</f>
        <v>1018.2916732891767</v>
      </c>
      <c r="EQ507" s="10">
        <f>1-EF507/EP507</f>
        <v>0.1553870079886136</v>
      </c>
      <c r="ER507" s="10">
        <f>CPI_2023/(IF(EB507-1=2023,CPI_2023,IF(EB507-1=2024,CPI_2024,IF(EB507-1=2025,CPI_2025,CPI_2025*(1+INFL)^(EB507-1-2025)))))</f>
        <v>0.6367746015177415</v>
      </c>
      <c r="ES507" s="8">
        <f>$EB$21*ABS($EB$11)*(EG507-EF507)/EF507</f>
        <v>12439.191002911357</v>
      </c>
      <c r="ET507" s="8">
        <f>$EB$21*ABS($EB$11)*(EH507-EF507)/EF507</f>
        <v>17527.738869111072</v>
      </c>
      <c r="EU507" s="13">
        <f>(EG507-EF507)*MCD_NF_DAYS*ER507-ES507*MCD_SHARE_FREED*R_WAIT_2023</f>
        <v>30346303.143445395</v>
      </c>
      <c r="EV507" s="13">
        <f>(EH507-EF507)*MCD_NF_DAYS*ER507-ET507*MCD_SHARE_FREED*R_WAIT_2023</f>
        <v>42760182.47623221</v>
      </c>
      <c r="EW507" s="10">
        <f>IF(AND(EB507&gt;=RULE_START,EC507=1),1/(1+$EB$12)^(EB507-RULE_START+1),0)</f>
        <v>0.7141625624649355</v>
      </c>
      <c r="EX507">
        <f>IF(AND(EB507&gt;=RULE_START,EC507=1,EM507&lt;0),EB507,9999)</f>
        <v>2043</v>
      </c>
      <c r="EY507">
        <f>IF(AND(EB507&gt;=RULE_START,EC507=1,EN507&lt;0),EB507,9999)</f>
        <v>2043</v>
      </c>
      <c r="EZ507">
        <f>IF(AND(EB507&gt;=RULE_START,EC507=1,EO507&lt;0),EB507,9999)</f>
        <v>9999</v>
      </c>
      <c r="FB507" t="n">
        <v>2043</v>
      </c>
      <c r="FC507">
        <f>IF(FB507&lt;=RULE_START+$FB$38-1,1,0)</f>
        <v>1</v>
      </c>
      <c r="FD507" s="15">
        <f>IF(FB507=2024,G_IDX_2024,IF(FB507=2025,G_IDX_2025,IF(FB507=2026,G_IDX_2026,IF(FB507=2027,G_IDX_2027,$FB$13))))</f>
        <v>0.033</v>
      </c>
      <c r="FE507" s="8">
        <f>$FB$20*(1+G_HI)^(FB507-COST_DATE)</f>
        <v>983.219263139151</v>
      </c>
      <c r="FF507" s="8">
        <f>FF506*(1+FD507)</f>
        <v>860.0623769170527</v>
      </c>
      <c r="FG507" s="8">
        <f>IF(FB507&lt;RULE_START,FF507,FG506*(1+G_HI))</f>
        <v>967.3744036082494</v>
      </c>
      <c r="FH507" s="8">
        <f>IF(FB507&lt;RULE_START,FF507,IF(FI507=1,R_NF_2024*(1+G_HI)^(FB507-2024),FH506*(1+FD507)))</f>
        <v>1011.2729484822088</v>
      </c>
      <c r="FI507">
        <f>IF(AND(FB507&gt;=RULE_START,MOD(FB507-RULE_START,REBASE_YEARS)=0),1,0)</f>
        <v>0</v>
      </c>
      <c r="FJ507" s="8">
        <f>FF507*CAP_SHARE</f>
        <v>42.05475294739046</v>
      </c>
      <c r="FK507" s="8">
        <f>FG507*CAP_SHARE</f>
        <v>47.302024415024135</v>
      </c>
      <c r="FL507" s="8">
        <f>FH507*CAP_SHARE</f>
        <v>49.44854600342556</v>
      </c>
      <c r="FM507" s="8">
        <f>FF507-FJ507-FE507</f>
        <v>-165.21163916948888</v>
      </c>
      <c r="FN507" s="8">
        <f>FG507-FK507-FE507</f>
        <v>-63.146883945925765</v>
      </c>
      <c r="FO507" s="8">
        <f>FH507-FL507-FE507</f>
        <v>-21.39486066036784</v>
      </c>
      <c r="FP507" s="8">
        <f>R_NF_2024*(1+G_HI)^(FB507-2024)</f>
        <v>1018.2916732891767</v>
      </c>
      <c r="FQ507" s="10">
        <f>1-FF507/FP507</f>
        <v>0.1553870079886136</v>
      </c>
      <c r="FR507" s="10">
        <f>CPI_2023/(IF(FB507-1=2023,CPI_2023,IF(FB507-1=2024,CPI_2024,IF(FB507-1=2025,CPI_2025,CPI_2025*(1+INFL)^(FB507-1-2025)))))</f>
        <v>0.6367746015177415</v>
      </c>
      <c r="FS507" s="8">
        <f>$FB$21*ABS($FB$11)*(FG507-FF507)/FF507</f>
        <v>12439.191002911357</v>
      </c>
      <c r="FT507" s="8">
        <f>$FB$21*ABS($FB$11)*(FH507-FF507)/FF507</f>
        <v>17527.738869111072</v>
      </c>
      <c r="FU507" s="13">
        <f>(FG507-FF507)*MCD_NF_DAYS*FR507-FS507*MCD_SHARE_FREED*R_WAIT_2023</f>
        <v>30346303.143445395</v>
      </c>
      <c r="FV507" s="13">
        <f>(FH507-FF507)*MCD_NF_DAYS*FR507-FT507*MCD_SHARE_FREED*R_WAIT_2023</f>
        <v>42760182.47623221</v>
      </c>
      <c r="FW507" s="10">
        <f>IF(AND(FB507&gt;=RULE_START,FC507=1),1/(1+$FB$12)^(FB507-RULE_START+1),0)</f>
        <v>0.7141625624649355</v>
      </c>
      <c r="FX507">
        <f>IF(AND(FB507&gt;=RULE_START,FC507=1,FM507&lt;0),FB507,9999)</f>
        <v>2043</v>
      </c>
      <c r="FY507">
        <f>IF(AND(FB507&gt;=RULE_START,FC507=1,FN507&lt;0),FB507,9999)</f>
        <v>2043</v>
      </c>
      <c r="FZ507">
        <f>IF(AND(FB507&gt;=RULE_START,FC507=1,FO507&lt;0),FB507,9999)</f>
        <v>2043</v>
      </c>
      <c r="GB507" t="n">
        <v>2043</v>
      </c>
      <c r="GC507">
        <f>IF(GB507&lt;=RULE_START+$GB$38-1,1,0)</f>
        <v>1</v>
      </c>
      <c r="GD507" s="15">
        <f>IF(GB507=2024,G_IDX_2024,IF(GB507=2025,G_IDX_2025,IF(GB507=2026,G_IDX_2026,IF(GB507=2027,G_IDX_2027,$GB$13))))</f>
        <v>0.033</v>
      </c>
      <c r="GE507" s="8">
        <f>$GB$20*(1+G_HI)^(GB507-COST_DATE)</f>
        <v>955.3866357532116</v>
      </c>
      <c r="GF507" s="8">
        <f>GF506*(1+GD507)</f>
        <v>860.0623769170527</v>
      </c>
      <c r="GG507" s="8">
        <f>IF(GB507&lt;RULE_START,GF507,GG506*(1+G_HI))</f>
        <v>967.3744036082494</v>
      </c>
      <c r="GH507" s="8">
        <f>IF(GB507&lt;RULE_START,GF507,IF(GI507=1,R_NF_2024*(1+G_HI)^(GB507-2024),GH506*(1+GD507)))</f>
        <v>1011.2729484822088</v>
      </c>
      <c r="GI507">
        <f>IF(AND(GB507&gt;=RULE_START,MOD(GB507-RULE_START,REBASE_YEARS)=0),1,0)</f>
        <v>0</v>
      </c>
      <c r="GJ507" s="8">
        <f>GF507*CAP_SHARE</f>
        <v>42.05475294739046</v>
      </c>
      <c r="GK507" s="8">
        <f>GG507*CAP_SHARE</f>
        <v>47.302024415024135</v>
      </c>
      <c r="GL507" s="8">
        <f>GH507*CAP_SHARE</f>
        <v>49.44854600342556</v>
      </c>
      <c r="GM507" s="8">
        <f>GF507-GJ507-GE507</f>
        <v>-137.37901178354946</v>
      </c>
      <c r="GN507" s="8">
        <f>GG507-GK507-GE507</f>
        <v>-35.31425655998635</v>
      </c>
      <c r="GO507" s="8">
        <f>GH507-GL507-GE507</f>
        <v>6.437766725571578</v>
      </c>
      <c r="GP507" s="8">
        <f>R_NF_2024*(1+G_HI)^(GB507-2024)</f>
        <v>1018.2916732891767</v>
      </c>
      <c r="GQ507" s="10">
        <f>1-GF507/GP507</f>
        <v>0.1553870079886136</v>
      </c>
      <c r="GR507" s="10">
        <f>CPI_2023/(IF(GB507-1=2023,CPI_2023,IF(GB507-1=2024,CPI_2024,IF(GB507-1=2025,CPI_2025,CPI_2025*(1+INFL)^(GB507-1-2025)))))</f>
        <v>0.6367746015177415</v>
      </c>
      <c r="GS507" s="8">
        <f>$GB$21*ABS($GB$11)*(GG507-GF507)/GF507</f>
        <v>9389.723143472676</v>
      </c>
      <c r="GT507" s="8">
        <f>$GB$21*ABS($GB$11)*(GH507-GF507)/GF507</f>
        <v>13230.813424564205</v>
      </c>
      <c r="GU507" s="13">
        <f>(GG507-GF507)*MCD_NF_DAYS*GR507-GS507*MCD_SHARE_FREED*R_WAIT_2023</f>
        <v>31732953.298557483</v>
      </c>
      <c r="GV507" s="13">
        <f>(GH507-GF507)*MCD_NF_DAYS*GR507-GT507*MCD_SHARE_FREED*R_WAIT_2023</f>
        <v>44714074.96135672</v>
      </c>
      <c r="GW507" s="10">
        <f>IF(AND(GB507&gt;=RULE_START,GC507=1),1/(1+$GB$12)^(GB507-RULE_START+1),0)</f>
        <v>0.7141625624649355</v>
      </c>
      <c r="GX507">
        <f>IF(AND(GB507&gt;=RULE_START,GC507=1,GM507&lt;0),GB507,9999)</f>
        <v>2043</v>
      </c>
      <c r="GY507">
        <f>IF(AND(GB507&gt;=RULE_START,GC507=1,GN507&lt;0),GB507,9999)</f>
        <v>2043</v>
      </c>
      <c r="GZ507">
        <f>IF(AND(GB507&gt;=RULE_START,GC507=1,GO507&lt;0),GB507,9999)</f>
        <v>9999</v>
      </c>
      <c r="HB507" t="n">
        <v>2043</v>
      </c>
      <c r="HC507">
        <f>IF(HB507&lt;=RULE_START+$HB$38-1,1,0)</f>
        <v>1</v>
      </c>
      <c r="HD507" s="15">
        <f>IF(HB507=2024,G_IDX_2024,IF(HB507=2025,G_IDX_2025,IF(HB507=2026,G_IDX_2026,IF(HB507=2027,G_IDX_2027,$HB$13))))</f>
        <v>0.033</v>
      </c>
      <c r="HE507" s="8">
        <f>$HB$20*(1+G_HI)^(HB507-COST_DATE)</f>
        <v>955.3866357532116</v>
      </c>
      <c r="HF507" s="8">
        <f>HF506*(1+HD507)</f>
        <v>860.0623769170527</v>
      </c>
      <c r="HG507" s="8">
        <f>IF(HB507&lt;RULE_START,HF507,HG506*(1+G_HI))</f>
        <v>967.3744036082494</v>
      </c>
      <c r="HH507" s="8">
        <f>IF(HB507&lt;RULE_START,HF507,IF(HI507=1,R_NF_2024*(1+G_HI)^(HB507-2024),HH506*(1+HD507)))</f>
        <v>1011.2729484822088</v>
      </c>
      <c r="HI507">
        <f>IF(AND(HB507&gt;=RULE_START,MOD(HB507-RULE_START,REBASE_YEARS)=0),1,0)</f>
        <v>0</v>
      </c>
      <c r="HJ507" s="8">
        <f>HF507*CAP_SHARE</f>
        <v>42.05475294739046</v>
      </c>
      <c r="HK507" s="8">
        <f>HG507*CAP_SHARE</f>
        <v>47.302024415024135</v>
      </c>
      <c r="HL507" s="8">
        <f>HH507*CAP_SHARE</f>
        <v>49.44854600342556</v>
      </c>
      <c r="HM507" s="8">
        <f>HF507-HJ507-HE507</f>
        <v>-137.37901178354946</v>
      </c>
      <c r="HN507" s="8">
        <f>HG507-HK507-HE507</f>
        <v>-35.31425655998635</v>
      </c>
      <c r="HO507" s="8">
        <f>HH507-HL507-HE507</f>
        <v>6.437766725571578</v>
      </c>
      <c r="HP507" s="8">
        <f>R_NF_2024*(1+G_HI)^(HB507-2024)</f>
        <v>1018.2916732891767</v>
      </c>
      <c r="HQ507" s="10">
        <f>1-HF507/HP507</f>
        <v>0.1553870079886136</v>
      </c>
      <c r="HR507" s="10">
        <f>CPI_2023/(IF(HB507-1=2023,CPI_2023,IF(HB507-1=2024,CPI_2024,IF(HB507-1=2025,CPI_2025,CPI_2025*(1+INFL)^(HB507-1-2025)))))</f>
        <v>0.6367746015177415</v>
      </c>
      <c r="HS507" s="8">
        <f>$HB$21*ABS($HB$11)*(HG507-HF507)/HF507</f>
        <v>12439.191002911357</v>
      </c>
      <c r="HT507" s="8">
        <f>$HB$21*ABS($HB$11)*(HH507-HF507)/HF507</f>
        <v>17527.738869111072</v>
      </c>
      <c r="HU507" s="13">
        <f>(HG507-HF507)*MCD_NF_DAYS*HR507-HS507*MCD_SHARE_FREED*R_WAIT_2023</f>
        <v>30346303.143445395</v>
      </c>
      <c r="HV507" s="13">
        <f>(HH507-HF507)*MCD_NF_DAYS*HR507-HT507*MCD_SHARE_FREED*R_WAIT_2023</f>
        <v>42760182.47623221</v>
      </c>
      <c r="HW507" s="10">
        <f>IF(AND(HB507&gt;=RULE_START,HC507=1),1/(1+$HB$12)^(HB507-RULE_START+1),0)</f>
        <v>0.6050164458447708</v>
      </c>
      <c r="HX507">
        <f>IF(AND(HB507&gt;=RULE_START,HC507=1,HM507&lt;0),HB507,9999)</f>
        <v>2043</v>
      </c>
      <c r="HY507">
        <f>IF(AND(HB507&gt;=RULE_START,HC507=1,HN507&lt;0),HB507,9999)</f>
        <v>2043</v>
      </c>
      <c r="HZ507">
        <f>IF(AND(HB507&gt;=RULE_START,HC507=1,HO507&lt;0),HB507,9999)</f>
        <v>9999</v>
      </c>
      <c r="IB507" t="n">
        <v>2043</v>
      </c>
      <c r="IC507">
        <f>IF(IB507&lt;=RULE_START+$IB$38-1,1,0)</f>
        <v>1</v>
      </c>
      <c r="ID507" s="15">
        <f>IF(IB507=2024,G_IDX_2024,IF(IB507=2025,G_IDX_2025,IF(IB507=2026,G_IDX_2026,IF(IB507=2027,G_IDX_2027,$IB$13))))</f>
        <v>0.033</v>
      </c>
      <c r="IE507" s="8">
        <f>$IB$20*(1+G_HI)^(IB507-COST_DATE)</f>
        <v>955.3866357532116</v>
      </c>
      <c r="IF507" s="8">
        <f>IF506*(1+ID507)</f>
        <v>860.0623769170527</v>
      </c>
      <c r="IG507" s="8">
        <f>IF(IB507&lt;RULE_START,IF507,IG506*(1+G_HI))</f>
        <v>967.3744036082494</v>
      </c>
      <c r="IH507" s="8">
        <f>IF(IB507&lt;RULE_START,IF507,IF(II507=1,R_NF_2024*(1+G_HI)^(IB507-2024),IH506*(1+ID507)))</f>
        <v>1011.2729484822088</v>
      </c>
      <c r="II507">
        <f>IF(AND(IB507&gt;=RULE_START,MOD(IB507-RULE_START,REBASE_YEARS)=0),1,0)</f>
        <v>0</v>
      </c>
      <c r="IJ507" s="8">
        <f>IF507*CAP_SHARE</f>
        <v>42.05475294739046</v>
      </c>
      <c r="IK507" s="8">
        <f>IG507*CAP_SHARE</f>
        <v>47.302024415024135</v>
      </c>
      <c r="IL507" s="8">
        <f>IH507*CAP_SHARE</f>
        <v>49.44854600342556</v>
      </c>
      <c r="IM507" s="8">
        <f>IF507-IJ507-IE507</f>
        <v>-137.37901178354946</v>
      </c>
      <c r="IN507" s="8">
        <f>IG507-IK507-IE507</f>
        <v>-35.31425655998635</v>
      </c>
      <c r="IO507" s="8">
        <f>IH507-IL507-IE507</f>
        <v>6.437766725571578</v>
      </c>
      <c r="IP507" s="8">
        <f>R_NF_2024*(1+G_HI)^(IB507-2024)</f>
        <v>1018.2916732891767</v>
      </c>
      <c r="IQ507" s="10">
        <f>1-IF507/IP507</f>
        <v>0.1553870079886136</v>
      </c>
      <c r="IR507" s="10">
        <f>CPI_2023/(IF(IB507-1=2023,CPI_2023,IF(IB507-1=2024,CPI_2024,IF(IB507-1=2025,CPI_2025,CPI_2025*(1+INFL)^(IB507-1-2025)))))</f>
        <v>0.6367746015177415</v>
      </c>
      <c r="IS507" s="8">
        <f>$IB$21*ABS($IB$11)*(IG507-IF507)/IF507</f>
        <v>12439.191002911357</v>
      </c>
      <c r="IT507" s="8">
        <f>$IB$21*ABS($IB$11)*(IH507-IF507)/IF507</f>
        <v>17527.738869111072</v>
      </c>
      <c r="IU507" s="13">
        <f>(IG507-IF507)*MCD_NF_DAYS*IR507-IS507*MCD_SHARE_FREED*R_WAIT_2023</f>
        <v>30346303.143445395</v>
      </c>
      <c r="IV507" s="13">
        <f>(IH507-IF507)*MCD_NF_DAYS*IR507-IT507*MCD_SHARE_FREED*R_WAIT_2023</f>
        <v>42760182.47623221</v>
      </c>
      <c r="IW507" s="10">
        <f>IF(AND(IB507&gt;=RULE_START,IC507=1),1/(1+$IB$12)^(IB507-RULE_START+1),0)</f>
        <v>0.3165743904641099</v>
      </c>
      <c r="IX507">
        <f>IF(AND(IB507&gt;=RULE_START,IC507=1,IM507&lt;0),IB507,9999)</f>
        <v>2043</v>
      </c>
      <c r="IY507">
        <f>IF(AND(IB507&gt;=RULE_START,IC507=1,IN507&lt;0),IB507,9999)</f>
        <v>2043</v>
      </c>
      <c r="IZ507">
        <f>IF(AND(IB507&gt;=RULE_START,IC507=1,IO507&lt;0),IB507,9999)</f>
        <v>9999</v>
      </c>
      <c r="JB507" t="n">
        <v>2043</v>
      </c>
      <c r="JC507">
        <f>IF(JB507&lt;=RULE_START+$JB$38-1,1,0)</f>
        <v>1</v>
      </c>
      <c r="JD507" s="15">
        <f>IF(JB507=2024,G_IDX_2024,IF(JB507=2025,G_IDX_2025,IF(JB507=2026,G_IDX_2026,IF(JB507=2027,G_IDX_2027,$JB$13))))</f>
        <v>0.03</v>
      </c>
      <c r="JE507" s="8">
        <f>$JB$20*(1+G_HI)^(JB507-COST_DATE)</f>
        <v>955.3866357532116</v>
      </c>
      <c r="JF507" s="8">
        <f>JF506*(1+JD507)</f>
        <v>820.9569824744764</v>
      </c>
      <c r="JG507" s="8">
        <f>IF(JB507&lt;RULE_START,JF507,JG506*(1+G_HI))</f>
        <v>967.3744036082494</v>
      </c>
      <c r="JH507" s="8">
        <f>IF(JB507&lt;RULE_START,JF507,IF(JI507=1,R_NF_2024*(1+G_HI)^(JB507-2024),JH506*(1+JD507)))</f>
        <v>1008.3360473733544</v>
      </c>
      <c r="JI507">
        <f>IF(AND(JB507&gt;=RULE_START,MOD(JB507-RULE_START,REBASE_YEARS)=0),1,0)</f>
        <v>0</v>
      </c>
      <c r="JJ507" s="8">
        <f>JF507*CAP_SHARE</f>
        <v>40.14260361225984</v>
      </c>
      <c r="JK507" s="8">
        <f>JG507*CAP_SHARE</f>
        <v>47.302024415024135</v>
      </c>
      <c r="JL507" s="8">
        <f>JH507*CAP_SHARE</f>
        <v>49.30493938386092</v>
      </c>
      <c r="JM507" s="8">
        <f>JF507-JJ507-JE507</f>
        <v>-174.57225689099505</v>
      </c>
      <c r="JN507" s="8">
        <f>JG507-JK507-JE507</f>
        <v>-35.31425655998635</v>
      </c>
      <c r="JO507" s="8">
        <f>JH507-JL507-JE507</f>
        <v>3.6444722362818993</v>
      </c>
      <c r="JP507" s="8">
        <f>R_NF_2024*(1+G_HI)^(JB507-2024)</f>
        <v>1018.2916732891767</v>
      </c>
      <c r="JQ507" s="10">
        <f>1-JF507/JP507</f>
        <v>0.1937899483919877</v>
      </c>
      <c r="JR507" s="10">
        <f>CPI_2023/(IF(JB507-1=2023,CPI_2023,IF(JB507-1=2024,CPI_2024,IF(JB507-1=2025,CPI_2025,CPI_2025*(1+INFL)^(JB507-1-2025)))))</f>
        <v>0.6367746015177415</v>
      </c>
      <c r="JS507" s="8">
        <f>$JB$21*ABS($JB$11)*(JG507-JF507)/JF507</f>
        <v>17780.584841933265</v>
      </c>
      <c r="JT507" s="8">
        <f>$JB$21*ABS($JB$11)*(JH507-JF507)/JF507</f>
        <v>22754.869845662917</v>
      </c>
      <c r="JU507" s="13">
        <f>(JG507-JF507)*MCD_NF_DAYS*JR507-JS507*MCD_SHARE_FREED*R_WAIT_2023</f>
        <v>41037131.213020004</v>
      </c>
      <c r="JV507" s="13">
        <f>(JH507-JF507)*MCD_NF_DAYS*JR507-JT507*MCD_SHARE_FREED*R_WAIT_2023</f>
        <v>52517652.70338155</v>
      </c>
      <c r="JW507" s="10">
        <f>IF(AND(JB507&gt;=RULE_START,JC507=1),1/(1+$JB$12)^(JB507-RULE_START+1),0)</f>
        <v>0.7141625624649355</v>
      </c>
      <c r="JX507">
        <f>IF(AND(JB507&gt;=RULE_START,JC507=1,JM507&lt;0),JB507,9999)</f>
        <v>2043</v>
      </c>
      <c r="JY507">
        <f>IF(AND(JB507&gt;=RULE_START,JC507=1,JN507&lt;0),JB507,9999)</f>
        <v>2043</v>
      </c>
      <c r="JZ507">
        <f>IF(AND(JB507&gt;=RULE_START,JC507=1,JO507&lt;0),JB507,9999)</f>
        <v>9999</v>
      </c>
      <c r="KB507" t="n">
        <v>2043</v>
      </c>
      <c r="KC507">
        <f>IF(KB507&lt;=RULE_START+$KB$38-1,1,0)</f>
        <v>1</v>
      </c>
      <c r="KD507" s="15">
        <f>IF(KB507=2024,G_IDX_2024,IF(KB507=2025,G_IDX_2025,IF(KB507=2026,G_IDX_2026,IF(KB507=2027,G_IDX_2027,$KB$13))))</f>
        <v>0.033</v>
      </c>
      <c r="KE507" s="8">
        <f>$KB$20*(1+G_HI)^(KB507-COST_DATE)</f>
        <v>955.3866357532116</v>
      </c>
      <c r="KF507" s="8">
        <f>KF506*(1+KD507)</f>
        <v>860.0623769170527</v>
      </c>
      <c r="KG507" s="8">
        <f>IF(KB507&lt;RULE_START,KF507,KG506*(1+G_HI))</f>
        <v>967.3744036082494</v>
      </c>
      <c r="KH507" s="8">
        <f>IF(KB507&lt;RULE_START,KF507,IF(KI507=1,R_NF_2024*(1+G_HI)^(KB507-2024),KH506*(1+KD507)))</f>
        <v>1011.2729484822088</v>
      </c>
      <c r="KI507">
        <f>IF(AND(KB507&gt;=RULE_START,MOD(KB507-RULE_START,REBASE_YEARS)=0),1,0)</f>
        <v>0</v>
      </c>
      <c r="KJ507" s="8">
        <f>KF507*CAP_SHARE</f>
        <v>42.05475294739046</v>
      </c>
      <c r="KK507" s="8">
        <f>KG507*CAP_SHARE</f>
        <v>47.302024415024135</v>
      </c>
      <c r="KL507" s="8">
        <f>KH507*CAP_SHARE</f>
        <v>49.44854600342556</v>
      </c>
      <c r="KM507" s="8">
        <f>KF507-KJ507-KE507</f>
        <v>-137.37901178354946</v>
      </c>
      <c r="KN507" s="8">
        <f>KG507-KK507-KE507</f>
        <v>-35.31425655998635</v>
      </c>
      <c r="KO507" s="8">
        <f>KH507-KL507-KE507</f>
        <v>6.437766725571578</v>
      </c>
      <c r="KP507" s="8">
        <f>R_NF_2024*(1+G_HI)^(KB507-2024)</f>
        <v>1018.2916732891767</v>
      </c>
      <c r="KQ507" s="10">
        <f>1-KF507/KP507</f>
        <v>0.1553870079886136</v>
      </c>
      <c r="KR507" s="10">
        <f>CPI_2023/(IF(KB507-1=2023,CPI_2023,IF(KB507-1=2024,CPI_2024,IF(KB507-1=2025,CPI_2025,CPI_2025*(1+INFL)^(KB507-1-2025)))))</f>
        <v>0.6367746015177415</v>
      </c>
      <c r="KS507" s="8">
        <f>$KB$21*ABS($KB$11)*(KG507-KF507)/KF507</f>
        <v>12439.191002911357</v>
      </c>
      <c r="KT507" s="8">
        <f>$KB$21*ABS($KB$11)*(KH507-KF507)/KF507</f>
        <v>17527.738869111072</v>
      </c>
      <c r="KU507" s="13">
        <f>(KG507-KF507)*MCD_NF_DAYS*KR507-KS507*MCD_SHARE_FREED*R_WAIT_2023</f>
        <v>30346303.143445395</v>
      </c>
      <c r="KV507" s="13">
        <f>(KH507-KF507)*MCD_NF_DAYS*KR507-KT507*MCD_SHARE_FREED*R_WAIT_2023</f>
        <v>42760182.47623221</v>
      </c>
      <c r="KW507" s="10">
        <f>IF(AND(KB507&gt;=RULE_START,KC507=1),1/(1+$KB$12)^(KB507-RULE_START+1),0)</f>
        <v>0.7141625624649355</v>
      </c>
      <c r="KX507">
        <f>IF(AND(KB507&gt;=RULE_START,KC507=1,KM507&lt;0),KB507,9999)</f>
        <v>2043</v>
      </c>
      <c r="KY507">
        <f>IF(AND(KB507&gt;=RULE_START,KC507=1,KN507&lt;0),KB507,9999)</f>
        <v>2043</v>
      </c>
      <c r="KZ507">
        <f>IF(AND(KB507&gt;=RULE_START,KC507=1,KO507&lt;0),KB507,9999)</f>
        <v>9999</v>
      </c>
      <c r="LB507" t="n">
        <v>2043</v>
      </c>
      <c r="LC507">
        <f>IF(LB507&lt;=RULE_START+$LB$38-1,1,0)</f>
        <v>1</v>
      </c>
      <c r="LD507" s="15">
        <f>IF(LB507=2024,G_IDX_2024,IF(LB507=2025,G_IDX_2025,IF(LB507=2026,G_IDX_2026,IF(LB507=2027,G_IDX_2027,$LB$13))))</f>
        <v>0.033</v>
      </c>
      <c r="LE507" s="8">
        <f>$LB$20*(1+G_HI)^(LB507-COST_DATE)</f>
        <v>955.3866357532116</v>
      </c>
      <c r="LF507" s="8">
        <f>LF506*(1+LD507)</f>
        <v>860.0623769170527</v>
      </c>
      <c r="LG507" s="8">
        <f>IF(LB507&lt;RULE_START,LF507,LG506*(1+G_HI))</f>
        <v>967.3744036082494</v>
      </c>
      <c r="LH507" s="8">
        <f>IF(LB507&lt;RULE_START,LF507,IF(LI507=1,R_NF_2024*(1+G_HI)^(LB507-2024),LH506*(1+LD507)))</f>
        <v>1011.2729484822088</v>
      </c>
      <c r="LI507">
        <f>IF(AND(LB507&gt;=RULE_START,MOD(LB507-RULE_START,REBASE_YEARS)=0),1,0)</f>
        <v>0</v>
      </c>
      <c r="LJ507" s="8">
        <f>LF507*CAP_SHARE</f>
        <v>42.05475294739046</v>
      </c>
      <c r="LK507" s="8">
        <f>LG507*CAP_SHARE</f>
        <v>47.302024415024135</v>
      </c>
      <c r="LL507" s="8">
        <f>LH507*CAP_SHARE</f>
        <v>49.44854600342556</v>
      </c>
      <c r="LM507" s="8">
        <f>LF507-LJ507-LE507</f>
        <v>-137.37901178354946</v>
      </c>
      <c r="LN507" s="8">
        <f>LG507-LK507-LE507</f>
        <v>-35.31425655998635</v>
      </c>
      <c r="LO507" s="8">
        <f>LH507-LL507-LE507</f>
        <v>6.437766725571578</v>
      </c>
      <c r="LP507" s="8">
        <f>R_NF_2024*(1+G_HI)^(LB507-2024)</f>
        <v>1018.2916732891767</v>
      </c>
      <c r="LQ507" s="10">
        <f>1-LF507/LP507</f>
        <v>0.1553870079886136</v>
      </c>
      <c r="LR507" s="10">
        <f>CPI_2023/(IF(LB507-1=2023,CPI_2023,IF(LB507-1=2024,CPI_2024,IF(LB507-1=2025,CPI_2025,CPI_2025*(1+INFL)^(LB507-1-2025)))))</f>
        <v>0.6367746015177415</v>
      </c>
      <c r="LS507" s="8">
        <f>$LB$21*ABS($LB$11)*(LG507-LF507)/LF507</f>
        <v>12439.191002911357</v>
      </c>
      <c r="LT507" s="8">
        <f>$LB$21*ABS($LB$11)*(LH507-LF507)/LF507</f>
        <v>17527.738869111072</v>
      </c>
      <c r="LU507" s="13">
        <f>(LG507-LF507)*MCD_NF_DAYS*LR507-LS507*MCD_SHARE_FREED*R_WAIT_2023</f>
        <v>30346303.143445395</v>
      </c>
      <c r="LV507" s="13">
        <f>(LH507-LF507)*MCD_NF_DAYS*LR507-LT507*MCD_SHARE_FREED*R_WAIT_2023</f>
        <v>42760182.47623221</v>
      </c>
      <c r="LW507" s="10">
        <f>IF(AND(LB507&gt;=RULE_START,LC507=1),1/(1+$LB$12)^(LB507-RULE_START+1),0)</f>
        <v>0.7141625624649355</v>
      </c>
      <c r="LX507">
        <f>IF(AND(LB507&gt;=RULE_START,LC507=1,LM507&lt;0),LB507,9999)</f>
        <v>2043</v>
      </c>
      <c r="LY507">
        <f>IF(AND(LB507&gt;=RULE_START,LC507=1,LN507&lt;0),LB507,9999)</f>
        <v>2043</v>
      </c>
      <c r="LZ507">
        <f>IF(AND(LB507&gt;=RULE_START,LC507=1,LO507&lt;0),LB507,9999)</f>
        <v>9999</v>
      </c>
      <c r="MB507" t="n">
        <v>2043</v>
      </c>
      <c r="MC507">
        <f>IF(MB507&lt;=RULE_START+$MB$38-1,1,0)</f>
        <v>1</v>
      </c>
      <c r="MD507" s="15">
        <f>IF(MB507=2024,G_IDX_2024,IF(MB507=2025,G_IDX_2025,IF(MB507=2026,G_IDX_2026,IF(MB507=2027,G_IDX_2027,$MB$13))))</f>
        <v>0.033</v>
      </c>
      <c r="ME507" s="8">
        <f>$MB$20*(1+G_HI)^(MB507-COST_DATE)</f>
        <v>955.3866357532116</v>
      </c>
      <c r="MF507" s="8">
        <f>MF506*(1+MD507)</f>
        <v>860.0623769170527</v>
      </c>
      <c r="MG507" s="8">
        <f>IF(MB507&lt;RULE_START,MF507,MG506*(1+G_HI))</f>
        <v>967.3744036082494</v>
      </c>
      <c r="MH507" s="8">
        <f>IF(MB507&lt;RULE_START,MF507,IF(MI507=1,R_NF_2024*(1+G_HI)^(MB507-2024),MH506*(1+MD507)))</f>
        <v>1011.2729484822088</v>
      </c>
      <c r="MI507">
        <f>IF(AND(MB507&gt;=RULE_START,MOD(MB507-RULE_START,REBASE_YEARS)=0),1,0)</f>
        <v>0</v>
      </c>
      <c r="MJ507" s="8">
        <f>MF507*CAP_SHARE</f>
        <v>42.05475294739046</v>
      </c>
      <c r="MK507" s="8">
        <f>MG507*CAP_SHARE</f>
        <v>47.302024415024135</v>
      </c>
      <c r="ML507" s="8">
        <f>MH507*CAP_SHARE</f>
        <v>49.44854600342556</v>
      </c>
      <c r="MM507" s="8">
        <f>MF507-MJ507-ME507</f>
        <v>-137.37901178354946</v>
      </c>
      <c r="MN507" s="8">
        <f>MG507-MK507-ME507</f>
        <v>-35.31425655998635</v>
      </c>
      <c r="MO507" s="8">
        <f>MH507-ML507-ME507</f>
        <v>6.437766725571578</v>
      </c>
      <c r="MP507" s="8">
        <f>R_NF_2024*(1+G_HI)^(MB507-2024)</f>
        <v>1018.2916732891767</v>
      </c>
      <c r="MQ507" s="10">
        <f>1-MF507/MP507</f>
        <v>0.1553870079886136</v>
      </c>
      <c r="MR507" s="10">
        <f>CPI_2023/(IF(MB507-1=2023,CPI_2023,IF(MB507-1=2024,CPI_2024,IF(MB507-1=2025,CPI_2025,CPI_2025*(1+INFL)^(MB507-1-2025)))))</f>
        <v>0.6367746015177415</v>
      </c>
      <c r="MS507" s="8">
        <f>$MB$21*ABS($MB$11)*(MG507-MF507)/MF507</f>
        <v>9112.822261853398</v>
      </c>
      <c r="MT507" s="8">
        <f>$MB$21*ABS($MB$11)*(MH507-MF507)/MF507</f>
        <v>12840.639630744861</v>
      </c>
      <c r="MU507" s="13">
        <f>(MG507-MF507)*MCD_NF_DAYS*MR507-MS507*MCD_SHARE_FREED*R_WAIT_2023</f>
        <v>31858865.31604591</v>
      </c>
      <c r="MV507" s="13">
        <f>(MH507-MF507)*MCD_NF_DAYS*MR507-MT507*MCD_SHARE_FREED*R_WAIT_2023</f>
        <v>44891494.2937316</v>
      </c>
      <c r="MW507" s="10">
        <f>IF(AND(MB507&gt;=RULE_START,MC507=1),1/(1+$MB$12)^(MB507-RULE_START+1),0)</f>
        <v>0.7141625624649355</v>
      </c>
      <c r="MX507">
        <f>IF(AND(MB507&gt;=RULE_START,MC507=1,MM507&lt;0),MB507,9999)</f>
        <v>2043</v>
      </c>
      <c r="MY507">
        <f>IF(AND(MB507&gt;=RULE_START,MC507=1,MN507&lt;0),MB507,9999)</f>
        <v>2043</v>
      </c>
      <c r="MZ507">
        <f>IF(AND(MB507&gt;=RULE_START,MC507=1,MO507&lt;0),MB507,9999)</f>
        <v>9999</v>
      </c>
      <c r="NB507" t="n">
        <v>2043</v>
      </c>
      <c r="NC507">
        <f>IF(NB507&lt;=RULE_START+$NB$38-1,1,0)</f>
        <v>1</v>
      </c>
      <c r="ND507" s="15">
        <f>IF(NB507=2024,G_IDX_2024,IF(NB507=2025,G_IDX_2025,IF(NB507=2026,G_IDX_2026,IF(NB507=2027,G_IDX_2027,$NB$13))))</f>
        <v>0.033</v>
      </c>
      <c r="NE507" s="8">
        <f>$NB$20*(1+G_HI)^(NB507-COST_DATE)</f>
        <v>955.3866357532116</v>
      </c>
      <c r="NF507" s="8">
        <f>NF506*(1+ND507)</f>
        <v>860.0623769170527</v>
      </c>
      <c r="NG507" s="8">
        <f>IF(NB507&lt;RULE_START,NF507,NG506*(1+G_HI))</f>
        <v>967.3744036082494</v>
      </c>
      <c r="NH507" s="8">
        <f>IF(NB507&lt;RULE_START,NF507,IF(NI507=1,R_NF_2024*(1+G_HI)^(NB507-2024),NH506*(1+ND507)))</f>
        <v>1011.2729484822088</v>
      </c>
      <c r="NI507">
        <f>IF(AND(NB507&gt;=RULE_START,MOD(NB507-RULE_START,REBASE_YEARS)=0),1,0)</f>
        <v>0</v>
      </c>
      <c r="NJ507" s="8">
        <f>NF507*CAP_SHARE</f>
        <v>42.05475294739046</v>
      </c>
      <c r="NK507" s="8">
        <f>NG507*CAP_SHARE</f>
        <v>47.302024415024135</v>
      </c>
      <c r="NL507" s="8">
        <f>NH507*CAP_SHARE</f>
        <v>49.44854600342556</v>
      </c>
      <c r="NM507" s="8">
        <f>NF507-NJ507-NE507</f>
        <v>-137.37901178354946</v>
      </c>
      <c r="NN507" s="8">
        <f>NG507-NK507-NE507</f>
        <v>-35.31425655998635</v>
      </c>
      <c r="NO507" s="8">
        <f>NH507-NL507-NE507</f>
        <v>6.437766725571578</v>
      </c>
      <c r="NP507" s="8">
        <f>R_NF_2024*(1+G_HI)^(NB507-2024)</f>
        <v>1018.2916732891767</v>
      </c>
      <c r="NQ507" s="10">
        <f>1-NF507/NP507</f>
        <v>0.1553870079886136</v>
      </c>
      <c r="NR507" s="10">
        <f>CPI_2023/(IF(NB507-1=2023,CPI_2023,IF(NB507-1=2024,CPI_2024,IF(NB507-1=2025,CPI_2025,CPI_2025*(1+INFL)^(NB507-1-2025)))))</f>
        <v>0.6367746015177415</v>
      </c>
      <c r="NS507" s="8">
        <f>$NB$21*ABS($NB$11)*(NG507-NF507)/NF507</f>
        <v>12439.191002911357</v>
      </c>
      <c r="NT507" s="8">
        <f>$NB$21*ABS($NB$11)*(NH507-NF507)/NF507</f>
        <v>17527.738869111072</v>
      </c>
      <c r="NU507" s="13">
        <f>(NG507-NF507)*MCD_NF_DAYS*NR507-NS507*MCD_SHARE_FREED*R_WAIT_2023</f>
        <v>30346303.143445395</v>
      </c>
      <c r="NV507" s="13">
        <f>(NH507-NF507)*MCD_NF_DAYS*NR507-NT507*MCD_SHARE_FREED*R_WAIT_2023</f>
        <v>42760182.47623221</v>
      </c>
      <c r="NW507" s="10">
        <f>IF(AND(NB507&gt;=RULE_START,NC507=1),1/(1+$NB$12)^(NB507-RULE_START+1),0)</f>
        <v>0.7141625624649355</v>
      </c>
      <c r="NX507">
        <f>IF(AND(NB507&gt;=RULE_START,NC507=1,NM507&lt;0),NB507,9999)</f>
        <v>2043</v>
      </c>
      <c r="NY507">
        <f>IF(AND(NB507&gt;=RULE_START,NC507=1,NN507&lt;0),NB507,9999)</f>
        <v>2043</v>
      </c>
      <c r="NZ507">
        <f>IF(AND(NB507&gt;=RULE_START,NC507=1,NO507&lt;0),NB507,9999)</f>
        <v>9999</v>
      </c>
      <c r="OB507" t="n">
        <v>2043</v>
      </c>
      <c r="OC507">
        <f>IF(OB507&lt;=RULE_START+$OB$38-1,1,0)</f>
        <v>1</v>
      </c>
      <c r="OD507" s="15">
        <f>IF(OB507=2024,G_IDX_2024,IF(OB507=2025,G_IDX_2025,IF(OB507=2026,G_IDX_2026,IF(OB507=2027,G_IDX_2027,$OB$13))))</f>
        <v>0.033</v>
      </c>
      <c r="OE507" s="8">
        <f>$OB$20*(1+G_HI)^(OB507-COST_DATE)</f>
        <v>955.3866357532116</v>
      </c>
      <c r="OF507" s="8">
        <f>OF506*(1+OD507)</f>
        <v>860.0623769170527</v>
      </c>
      <c r="OG507" s="8">
        <f>IF(OB507&lt;RULE_START,OF507,OG506*(1+G_HI))</f>
        <v>967.3744036082494</v>
      </c>
      <c r="OH507" s="8">
        <f>IF(OB507&lt;RULE_START,OF507,IF(OI507=1,R_NF_2024*(1+G_HI)^(OB507-2024),OH506*(1+OD507)))</f>
        <v>1011.2729484822088</v>
      </c>
      <c r="OI507">
        <f>IF(AND(OB507&gt;=RULE_START,MOD(OB507-RULE_START,REBASE_YEARS)=0),1,0)</f>
        <v>0</v>
      </c>
      <c r="OJ507" s="8">
        <f>OF507*CAP_SHARE</f>
        <v>42.05475294739046</v>
      </c>
      <c r="OK507" s="8">
        <f>OG507*CAP_SHARE</f>
        <v>47.302024415024135</v>
      </c>
      <c r="OL507" s="8">
        <f>OH507*CAP_SHARE</f>
        <v>49.44854600342556</v>
      </c>
      <c r="OM507" s="8">
        <f>OF507-OJ507-OE507</f>
        <v>-137.37901178354946</v>
      </c>
      <c r="ON507" s="8">
        <f>OG507-OK507-OE507</f>
        <v>-35.31425655998635</v>
      </c>
      <c r="OO507" s="8">
        <f>OH507-OL507-OE507</f>
        <v>6.437766725571578</v>
      </c>
      <c r="OP507" s="8">
        <f>R_NF_2024*(1+G_HI)^(OB507-2024)</f>
        <v>1018.2916732891767</v>
      </c>
      <c r="OQ507" s="10">
        <f>1-OF507/OP507</f>
        <v>0.1553870079886136</v>
      </c>
      <c r="OR507" s="10">
        <f>CPI_2023/(IF(OB507-1=2023,CPI_2023,IF(OB507-1=2024,CPI_2024,IF(OB507-1=2025,CPI_2025,CPI_2025*(1+INFL)^(OB507-1-2025)))))</f>
        <v>0.6367746015177415</v>
      </c>
      <c r="OS507" s="8">
        <f>$OB$21*ABS($OB$11)*(OG507-OF507)/OF507</f>
        <v>12439.191002911357</v>
      </c>
      <c r="OT507" s="8">
        <f>$OB$21*ABS($OB$11)*(OH507-OF507)/OF507</f>
        <v>17527.738869111072</v>
      </c>
      <c r="OU507" s="13">
        <f>(OG507-OF507)*MCD_NF_DAYS*OR507-OS507*MCD_SHARE_FREED*R_WAIT_2023</f>
        <v>30346303.143445395</v>
      </c>
      <c r="OV507" s="13">
        <f>(OH507-OF507)*MCD_NF_DAYS*OR507-OT507*MCD_SHARE_FREED*R_WAIT_2023</f>
        <v>42760182.47623221</v>
      </c>
      <c r="OW507" s="10">
        <f>IF(AND(OB507&gt;=RULE_START,OC507=1),1/(1+$OB$12)^(OB507-RULE_START+1),0)</f>
        <v>0.7141625624649355</v>
      </c>
      <c r="OX507">
        <f>IF(AND(OB507&gt;=RULE_START,OC507=1,OM507&lt;0),OB507,9999)</f>
        <v>2043</v>
      </c>
      <c r="OY507">
        <f>IF(AND(OB507&gt;=RULE_START,OC507=1,ON507&lt;0),OB507,9999)</f>
        <v>2043</v>
      </c>
      <c r="OZ507">
        <f>IF(AND(OB507&gt;=RULE_START,OC507=1,OO507&lt;0),OB507,9999)</f>
        <v>9999</v>
      </c>
    </row>
    <row r="508">
      <c r="B508" t="n">
        <v>2044</v>
      </c>
      <c r="C508">
        <f>IF(B508&lt;=RULE_START+$B$38-1,1,0)</f>
        <v>1</v>
      </c>
      <c r="D508" s="15">
        <f>IF(B508=2024,G_IDX_2024,IF(B508=2025,G_IDX_2025,IF(B508=2026,G_IDX_2026,IF(B508=2027,G_IDX_2027,$B$13))))</f>
        <v>0.033</v>
      </c>
      <c r="E508" s="8">
        <f>$B$20*(1+G_HI)^(B508-COST_DATE)</f>
        <v>993.7640593612603</v>
      </c>
      <c r="F508" s="8">
        <f>F507*(1+D508)</f>
        <v>888.4444353553154</v>
      </c>
      <c r="G508" s="8">
        <f>IF(B508&lt;RULE_START,F508,G507*(1+G_HI))</f>
        <v>1006.2333701098984</v>
      </c>
      <c r="H508" s="8">
        <f>IF(B508&lt;RULE_START,F508,IF(I508=1,R_NF_2024*(1+G_HI)^(B508-2024),H507*(1+D508)))</f>
        <v>1044.6449557821215</v>
      </c>
      <c r="I508">
        <f>IF(AND(B508&gt;=RULE_START,MOD(B508-RULE_START,REBASE_YEARS)=0),1,0)</f>
        <v>0</v>
      </c>
      <c r="J508" s="8">
        <f>F508*CAP_SHARE</f>
        <v>43.44255979465434</v>
      </c>
      <c r="K508" s="8">
        <f>G508*CAP_SHARE</f>
        <v>49.20212408206884</v>
      </c>
      <c r="L508" s="8">
        <f>H508*CAP_SHARE</f>
        <v>51.0803480215386</v>
      </c>
      <c r="M508" s="8">
        <f>F508-J508-E508</f>
        <v>-148.76218380059925</v>
      </c>
      <c r="N508" s="8">
        <f>G508-K508-E508</f>
        <v>-36.73281333343073</v>
      </c>
      <c r="O508" s="8">
        <f>H508-L508-E508</f>
        <v>-0.19945160067732104</v>
      </c>
      <c r="P508" s="8">
        <f>R_NF_2024*(1+G_HI)^(B508-2024)</f>
        <v>1059.195962128802</v>
      </c>
      <c r="Q508" s="10">
        <f>1-F508/P508</f>
        <v>0.16120862699505134</v>
      </c>
      <c r="R508" s="10">
        <f>CPI_2023/(IF(B508-1=2023,CPI_2023,IF(B508-1=2024,CPI_2024,IF(B508-1=2025,CPI_2025,CPI_2025*(1+INFL)^(B508-1-2025)))))</f>
        <v>0.62257978247726</v>
      </c>
      <c r="S508" s="8">
        <f>$B$21*ABS($B$11)*(G508-F508)/F508</f>
        <v>13217.457178809645</v>
      </c>
      <c r="T508" s="8">
        <f>$B$21*ABS($B$11)*(H508-F508)/F508</f>
        <v>17527.738869111065</v>
      </c>
      <c r="U508" s="13">
        <f>(G508-F508)*MCD_NF_DAYS*R508-S508*MCD_SHARE_FREED*R_WAIT_2023</f>
        <v>32626443.964096505</v>
      </c>
      <c r="V508" s="13">
        <f>(H508-F508)*MCD_NF_DAYS*R508-T508*MCD_SHARE_FREED*R_WAIT_2023</f>
        <v>43266097.426605806</v>
      </c>
      <c r="W508" s="10">
        <f>IF(AND(B508&gt;=RULE_START,C508=1),1/(1+$B$12)^(B508-RULE_START+1),0)</f>
        <v>0.700159374965623</v>
      </c>
      <c r="X508">
        <f>IF(AND(B508&gt;=RULE_START,C508=1,M508&lt;0),B508,9999)</f>
        <v>2044</v>
      </c>
      <c r="Y508">
        <f>IF(AND(B508&gt;=RULE_START,C508=1,N508&lt;0),B508,9999)</f>
        <v>2044</v>
      </c>
      <c r="Z508">
        <f>IF(AND(B508&gt;=RULE_START,C508=1,O508&lt;0),B508,9999)</f>
        <v>2044</v>
      </c>
      <c r="AB508" t="n">
        <v>2044</v>
      </c>
      <c r="AC508">
        <f>IF(AB508&lt;=RULE_START+$AB$38-1,1,0)</f>
        <v>1</v>
      </c>
      <c r="AD508" s="15">
        <f>IF(AB508=2024,G_IDX_2024,IF(AB508=2025,G_IDX_2025,IF(AB508=2026,G_IDX_2026,IF(AB508=2027,G_IDX_2027,$AB$13))))</f>
        <v>0.033</v>
      </c>
      <c r="AE508" s="8">
        <f>$AB$20*(1+G_HI)^(AB508-COST_DATE)</f>
        <v>993.7640593612603</v>
      </c>
      <c r="AF508" s="8">
        <f>AF507*(1+AD508)</f>
        <v>888.4444353553154</v>
      </c>
      <c r="AG508" s="8">
        <f>IF(AB508&lt;RULE_START,AF508,AG507*(1+G_HI))</f>
        <v>1006.2333701098984</v>
      </c>
      <c r="AH508" s="8">
        <f>IF(AB508&lt;RULE_START,AF508,IF(AI508=1,R_NF_2024*(1+G_HI)^(AB508-2024),AH507*(1+AD508)))</f>
        <v>1044.6449557821215</v>
      </c>
      <c r="AI508">
        <f>IF(AND(AB508&gt;=RULE_START,MOD(AB508-RULE_START,REBASE_YEARS)=0),1,0)</f>
        <v>0</v>
      </c>
      <c r="AJ508" s="8">
        <f>AF508*CAP_SHARE</f>
        <v>43.44255979465434</v>
      </c>
      <c r="AK508" s="8">
        <f>AG508*CAP_SHARE</f>
        <v>49.20212408206884</v>
      </c>
      <c r="AL508" s="8">
        <f>AH508*CAP_SHARE</f>
        <v>51.0803480215386</v>
      </c>
      <c r="AM508" s="8">
        <f>AF508-AJ508-AE508</f>
        <v>-148.76218380059925</v>
      </c>
      <c r="AN508" s="8">
        <f>AG508-AK508-AE508</f>
        <v>-36.73281333343073</v>
      </c>
      <c r="AO508" s="8">
        <f>AH508-AL508-AE508</f>
        <v>-0.19945160067732104</v>
      </c>
      <c r="AP508" s="8">
        <f>R_NF_2024*(1+G_HI)^(AB508-2024)</f>
        <v>1059.195962128802</v>
      </c>
      <c r="AQ508" s="10">
        <f>1-AF508/AP508</f>
        <v>0.16120862699505134</v>
      </c>
      <c r="AR508" s="10">
        <f>CPI_2023/(IF(AB508-1=2023,CPI_2023,IF(AB508-1=2024,CPI_2024,IF(AB508-1=2025,CPI_2025,CPI_2025*(1+INFL)^(AB508-1-2025)))))</f>
        <v>0.62257978247726</v>
      </c>
      <c r="AS508" s="8">
        <f>$AB$21*ABS($AB$11)*(AG508-AF508)/AF508</f>
        <v>13217.457178809645</v>
      </c>
      <c r="AT508" s="8">
        <f>$AB$21*ABS($AB$11)*(AH508-AF508)/AF508</f>
        <v>17527.738869111065</v>
      </c>
      <c r="AU508" s="13">
        <f>(AG508-AF508)*MCD_NF_DAYS*AR508-AS508*MCD_SHARE_FREED*R_WAIT_2023</f>
        <v>32626443.964096505</v>
      </c>
      <c r="AV508" s="13">
        <f>(AH508-AF508)*MCD_NF_DAYS*AR508-AT508*MCD_SHARE_FREED*R_WAIT_2023</f>
        <v>43266097.426605806</v>
      </c>
      <c r="AW508" s="10">
        <f>IF(AND(AB508&gt;=RULE_START,AC508=1),1/(1+$AB$12)^(AB508-RULE_START+1),0)</f>
        <v>0.700159374965623</v>
      </c>
      <c r="AX508">
        <f>IF(AND(AB508&gt;=RULE_START,AC508=1,AM508&lt;0),AB508,9999)</f>
        <v>2044</v>
      </c>
      <c r="AY508">
        <f>IF(AND(AB508&gt;=RULE_START,AC508=1,AN508&lt;0),AB508,9999)</f>
        <v>2044</v>
      </c>
      <c r="AZ508">
        <f>IF(AND(AB508&gt;=RULE_START,AC508=1,AO508&lt;0),AB508,9999)</f>
        <v>2044</v>
      </c>
      <c r="BB508" t="n">
        <v>2044</v>
      </c>
      <c r="BC508">
        <f>IF(BB508&lt;=RULE_START+$BB$38-1,1,0)</f>
        <v>1</v>
      </c>
      <c r="BD508" s="15">
        <f>IF(BB508=2024,G_IDX_2024,IF(BB508=2025,G_IDX_2025,IF(BB508=2026,G_IDX_2026,IF(BB508=2027,G_IDX_2027,$BB$13))))</f>
        <v>0.033</v>
      </c>
      <c r="BE508" s="8">
        <f>$BB$20*(1+G_HI)^(BB508-COST_DATE)</f>
        <v>993.7640593612603</v>
      </c>
      <c r="BF508" s="8">
        <f>BF507*(1+BD508)</f>
        <v>888.4444353553154</v>
      </c>
      <c r="BG508" s="8">
        <f>IF(BB508&lt;RULE_START,BF508,BG507*(1+G_HI))</f>
        <v>1006.2333701098984</v>
      </c>
      <c r="BH508" s="8">
        <f>IF(BB508&lt;RULE_START,BF508,IF(BI508=1,R_NF_2024*(1+G_HI)^(BB508-2024),BH507*(1+BD508)))</f>
        <v>1044.6449557821215</v>
      </c>
      <c r="BI508">
        <f>IF(AND(BB508&gt;=RULE_START,MOD(BB508-RULE_START,REBASE_YEARS)=0),1,0)</f>
        <v>0</v>
      </c>
      <c r="BJ508" s="8">
        <f>BF508*CAP_SHARE</f>
        <v>43.44255979465434</v>
      </c>
      <c r="BK508" s="8">
        <f>BG508*CAP_SHARE</f>
        <v>49.20212408206884</v>
      </c>
      <c r="BL508" s="8">
        <f>BH508*CAP_SHARE</f>
        <v>51.0803480215386</v>
      </c>
      <c r="BM508" s="8">
        <f>BF508-BJ508-BE508</f>
        <v>-148.76218380059925</v>
      </c>
      <c r="BN508" s="8">
        <f>BG508-BK508-BE508</f>
        <v>-36.73281333343073</v>
      </c>
      <c r="BO508" s="8">
        <f>BH508-BL508-BE508</f>
        <v>-0.19945160067732104</v>
      </c>
      <c r="BP508" s="8">
        <f>R_NF_2024*(1+G_HI)^(BB508-2024)</f>
        <v>1059.195962128802</v>
      </c>
      <c r="BQ508" s="10">
        <f>1-BF508/BP508</f>
        <v>0.16120862699505134</v>
      </c>
      <c r="BR508" s="10">
        <f>CPI_2023/(IF(BB508-1=2023,CPI_2023,IF(BB508-1=2024,CPI_2024,IF(BB508-1=2025,CPI_2025,CPI_2025*(1+INFL)^(BB508-1-2025)))))</f>
        <v>0.62257978247726</v>
      </c>
      <c r="BS508" s="8">
        <f>$BB$21*ABS($BB$11)*(BG508-BF508)/BF508</f>
        <v>13217.457178809645</v>
      </c>
      <c r="BT508" s="8">
        <f>$BB$21*ABS($BB$11)*(BH508-BF508)/BF508</f>
        <v>17527.738869111065</v>
      </c>
      <c r="BU508" s="13">
        <f>(BG508-BF508)*MCD_NF_DAYS*BR508-BS508*MCD_SHARE_FREED*R_WAIT_2023</f>
        <v>32626443.964096505</v>
      </c>
      <c r="BV508" s="13">
        <f>(BH508-BF508)*MCD_NF_DAYS*BR508-BT508*MCD_SHARE_FREED*R_WAIT_2023</f>
        <v>43266097.426605806</v>
      </c>
      <c r="BW508" s="10">
        <f>IF(AND(BB508&gt;=RULE_START,BC508=1),1/(1+$BB$12)^(BB508-RULE_START+1),0)</f>
        <v>0.700159374965623</v>
      </c>
      <c r="BX508">
        <f>IF(AND(BB508&gt;=RULE_START,BC508=1,BM508&lt;0),BB508,9999)</f>
        <v>2044</v>
      </c>
      <c r="BY508">
        <f>IF(AND(BB508&gt;=RULE_START,BC508=1,BN508&lt;0),BB508,9999)</f>
        <v>2044</v>
      </c>
      <c r="BZ508">
        <f>IF(AND(BB508&gt;=RULE_START,BC508=1,BO508&lt;0),BB508,9999)</f>
        <v>2044</v>
      </c>
      <c r="CB508" t="n">
        <v>2044</v>
      </c>
      <c r="CC508">
        <f>IF(CB508&lt;=RULE_START+$CB$38-1,1,0)</f>
        <v>1</v>
      </c>
      <c r="CD508" s="15">
        <f>IF(CB508=2024,G_IDX_2024,IF(CB508=2025,G_IDX_2025,IF(CB508=2026,G_IDX_2026,IF(CB508=2027,G_IDX_2027,$CB$13))))</f>
        <v>0.033</v>
      </c>
      <c r="CE508" s="8">
        <f>$CB$20*(1+G_HI)^(CB508-COST_DATE)</f>
        <v>993.7640593612603</v>
      </c>
      <c r="CF508" s="8">
        <f>CF507*(1+CD508)</f>
        <v>888.4444353553154</v>
      </c>
      <c r="CG508" s="8">
        <f>IF(CB508&lt;RULE_START,CF508,CG507*(1+G_HI))</f>
        <v>1006.2333701098984</v>
      </c>
      <c r="CH508" s="8">
        <f>IF(CB508&lt;RULE_START,CF508,IF(CI508=1,R_NF_2024*(1+G_HI)^(CB508-2024),CH507*(1+CD508)))</f>
        <v>1044.6449557821215</v>
      </c>
      <c r="CI508">
        <f>IF(AND(CB508&gt;=RULE_START,MOD(CB508-RULE_START,REBASE_YEARS)=0),1,0)</f>
        <v>0</v>
      </c>
      <c r="CJ508" s="8">
        <f>CF508*CAP_SHARE</f>
        <v>43.44255979465434</v>
      </c>
      <c r="CK508" s="8">
        <f>CG508*CAP_SHARE</f>
        <v>49.20212408206884</v>
      </c>
      <c r="CL508" s="8">
        <f>CH508*CAP_SHARE</f>
        <v>51.0803480215386</v>
      </c>
      <c r="CM508" s="8">
        <f>CF508-CJ508-CE508</f>
        <v>-148.76218380059925</v>
      </c>
      <c r="CN508" s="8">
        <f>CG508-CK508-CE508</f>
        <v>-36.73281333343073</v>
      </c>
      <c r="CO508" s="8">
        <f>CH508-CL508-CE508</f>
        <v>-0.19945160067732104</v>
      </c>
      <c r="CP508" s="8">
        <f>R_NF_2024*(1+G_HI)^(CB508-2024)</f>
        <v>1059.195962128802</v>
      </c>
      <c r="CQ508" s="10">
        <f>1-CF508/CP508</f>
        <v>0.16120862699505134</v>
      </c>
      <c r="CR508" s="10">
        <f>CPI_2023/(IF(CB508-1=2023,CPI_2023,IF(CB508-1=2024,CPI_2024,IF(CB508-1=2025,CPI_2025,CPI_2025*(1+INFL)^(CB508-1-2025)))))</f>
        <v>0.62257978247726</v>
      </c>
      <c r="CS508" s="8">
        <f>$CB$21*ABS($CB$11)*(CG508-CF508)/CF508</f>
        <v>13217.457178809645</v>
      </c>
      <c r="CT508" s="8">
        <f>$CB$21*ABS($CB$11)*(CH508-CF508)/CF508</f>
        <v>17527.738869111065</v>
      </c>
      <c r="CU508" s="13">
        <f>(CG508-CF508)*MCD_NF_DAYS*CR508-CS508*MCD_SHARE_FREED*R_WAIT_2023</f>
        <v>32626443.964096505</v>
      </c>
      <c r="CV508" s="13">
        <f>(CH508-CF508)*MCD_NF_DAYS*CR508-CT508*MCD_SHARE_FREED*R_WAIT_2023</f>
        <v>43266097.426605806</v>
      </c>
      <c r="CW508" s="10">
        <f>IF(AND(CB508&gt;=RULE_START,CC508=1),1/(1+$CB$12)^(CB508-RULE_START+1),0)</f>
        <v>0.700159374965623</v>
      </c>
      <c r="CX508">
        <f>IF(AND(CB508&gt;=RULE_START,CC508=1,CM508&lt;0),CB508,9999)</f>
        <v>2044</v>
      </c>
      <c r="CY508">
        <f>IF(AND(CB508&gt;=RULE_START,CC508=1,CN508&lt;0),CB508,9999)</f>
        <v>2044</v>
      </c>
      <c r="CZ508">
        <f>IF(AND(CB508&gt;=RULE_START,CC508=1,CO508&lt;0),CB508,9999)</f>
        <v>2044</v>
      </c>
      <c r="DB508" t="n">
        <v>2044</v>
      </c>
      <c r="DC508">
        <f>IF(DB508&lt;=RULE_START+$DB$38-1,1,0)</f>
        <v>1</v>
      </c>
      <c r="DD508" s="15">
        <f>IF(DB508=2024,G_IDX_2024,IF(DB508=2025,G_IDX_2025,IF(DB508=2026,G_IDX_2026,IF(DB508=2027,G_IDX_2027,$DB$13))))</f>
        <v>0.033</v>
      </c>
      <c r="DE508" s="8">
        <f>$DB$20*(1+G_HI)^(DB508-COST_DATE)</f>
        <v>993.7640593612603</v>
      </c>
      <c r="DF508" s="8">
        <f>DF507*(1+DD508)</f>
        <v>888.4444353553154</v>
      </c>
      <c r="DG508" s="8">
        <f>IF(DB508&lt;RULE_START,DF508,DG507*(1+G_HI))</f>
        <v>1006.2333701098984</v>
      </c>
      <c r="DH508" s="8">
        <f>IF(DB508&lt;RULE_START,DF508,IF(DI508=1,R_NF_2024*(1+G_HI)^(DB508-2024),DH507*(1+DD508)))</f>
        <v>1044.6449557821215</v>
      </c>
      <c r="DI508">
        <f>IF(AND(DB508&gt;=RULE_START,MOD(DB508-RULE_START,REBASE_YEARS)=0),1,0)</f>
        <v>0</v>
      </c>
      <c r="DJ508" s="8">
        <f>DF508*CAP_SHARE</f>
        <v>43.44255979465434</v>
      </c>
      <c r="DK508" s="8">
        <f>DG508*CAP_SHARE</f>
        <v>49.20212408206884</v>
      </c>
      <c r="DL508" s="8">
        <f>DH508*CAP_SHARE</f>
        <v>51.0803480215386</v>
      </c>
      <c r="DM508" s="8">
        <f>DF508-DJ508-DE508</f>
        <v>-148.76218380059925</v>
      </c>
      <c r="DN508" s="8">
        <f>DG508-DK508-DE508</f>
        <v>-36.73281333343073</v>
      </c>
      <c r="DO508" s="8">
        <f>DH508-DL508-DE508</f>
        <v>-0.19945160067732104</v>
      </c>
      <c r="DP508" s="8">
        <f>R_NF_2024*(1+G_HI)^(DB508-2024)</f>
        <v>1059.195962128802</v>
      </c>
      <c r="DQ508" s="10">
        <f>1-DF508/DP508</f>
        <v>0.16120862699505134</v>
      </c>
      <c r="DR508" s="10">
        <f>CPI_2023/(IF(DB508-1=2023,CPI_2023,IF(DB508-1=2024,CPI_2024,IF(DB508-1=2025,CPI_2025,CPI_2025*(1+INFL)^(DB508-1-2025)))))</f>
        <v>0.62257978247726</v>
      </c>
      <c r="DS508" s="8">
        <f>$DB$21*ABS($DB$11)*(DG508-DF508)/DF508</f>
        <v>13217.457178809645</v>
      </c>
      <c r="DT508" s="8">
        <f>$DB$21*ABS($DB$11)*(DH508-DF508)/DF508</f>
        <v>17527.738869111065</v>
      </c>
      <c r="DU508" s="13">
        <f>(DG508-DF508)*MCD_NF_DAYS*DR508-DS508*MCD_SHARE_FREED*R_WAIT_2023</f>
        <v>32626443.964096505</v>
      </c>
      <c r="DV508" s="13">
        <f>(DH508-DF508)*MCD_NF_DAYS*DR508-DT508*MCD_SHARE_FREED*R_WAIT_2023</f>
        <v>43266097.426605806</v>
      </c>
      <c r="DW508" s="10">
        <f>IF(AND(DB508&gt;=RULE_START,DC508=1),1/(1+$DB$12)^(DB508-RULE_START+1),0)</f>
        <v>0.700159374965623</v>
      </c>
      <c r="DX508">
        <f>IF(AND(DB508&gt;=RULE_START,DC508=1,DM508&lt;0),DB508,9999)</f>
        <v>2044</v>
      </c>
      <c r="DY508">
        <f>IF(AND(DB508&gt;=RULE_START,DC508=1,DN508&lt;0),DB508,9999)</f>
        <v>2044</v>
      </c>
      <c r="DZ508">
        <f>IF(AND(DB508&gt;=RULE_START,DC508=1,DO508&lt;0),DB508,9999)</f>
        <v>2044</v>
      </c>
      <c r="EB508" t="n">
        <v>2044</v>
      </c>
      <c r="EC508">
        <f>IF(EB508&lt;=RULE_START+$EB$38-1,1,0)</f>
        <v>1</v>
      </c>
      <c r="ED508" s="15">
        <f>IF(EB508=2024,G_IDX_2024,IF(EB508=2025,G_IDX_2025,IF(EB508=2026,G_IDX_2026,IF(EB508=2027,G_IDX_2027,$EB$13))))</f>
        <v>0.033</v>
      </c>
      <c r="EE508" s="8">
        <f>$EB$20*(1+G_HI)^(EB508-COST_DATE)</f>
        <v>993.7640593612603</v>
      </c>
      <c r="EF508" s="8">
        <f>EF507*(1+ED508)</f>
        <v>888.4444353553154</v>
      </c>
      <c r="EG508" s="8">
        <f>IF(EB508&lt;RULE_START,EF508,EG507*(1+G_HI))</f>
        <v>1006.2333701098984</v>
      </c>
      <c r="EH508" s="8">
        <f>IF(EB508&lt;RULE_START,EF508,IF(EI508=1,R_NF_2024*(1+G_HI)^(EB508-2024),EH507*(1+ED508)))</f>
        <v>1044.6449557821215</v>
      </c>
      <c r="EI508">
        <f>IF(AND(EB508&gt;=RULE_START,MOD(EB508-RULE_START,REBASE_YEARS)=0),1,0)</f>
        <v>0</v>
      </c>
      <c r="EJ508" s="8">
        <f>EF508*CAP_SHARE</f>
        <v>43.44255979465434</v>
      </c>
      <c r="EK508" s="8">
        <f>EG508*CAP_SHARE</f>
        <v>49.20212408206884</v>
      </c>
      <c r="EL508" s="8">
        <f>EH508*CAP_SHARE</f>
        <v>51.0803480215386</v>
      </c>
      <c r="EM508" s="8">
        <f>EF508-EJ508-EE508</f>
        <v>-148.76218380059925</v>
      </c>
      <c r="EN508" s="8">
        <f>EG508-EK508-EE508</f>
        <v>-36.73281333343073</v>
      </c>
      <c r="EO508" s="8">
        <f>EH508-EL508-EE508</f>
        <v>-0.19945160067732104</v>
      </c>
      <c r="EP508" s="8">
        <f>R_NF_2024*(1+G_HI)^(EB508-2024)</f>
        <v>1059.195962128802</v>
      </c>
      <c r="EQ508" s="10">
        <f>1-EF508/EP508</f>
        <v>0.16120862699505134</v>
      </c>
      <c r="ER508" s="10">
        <f>CPI_2023/(IF(EB508-1=2023,CPI_2023,IF(EB508-1=2024,CPI_2024,IF(EB508-1=2025,CPI_2025,CPI_2025*(1+INFL)^(EB508-1-2025)))))</f>
        <v>0.62257978247726</v>
      </c>
      <c r="ES508" s="8">
        <f>$EB$21*ABS($EB$11)*(EG508-EF508)/EF508</f>
        <v>13217.457178809645</v>
      </c>
      <c r="ET508" s="8">
        <f>$EB$21*ABS($EB$11)*(EH508-EF508)/EF508</f>
        <v>17527.738869111065</v>
      </c>
      <c r="EU508" s="13">
        <f>(EG508-EF508)*MCD_NF_DAYS*ER508-ES508*MCD_SHARE_FREED*R_WAIT_2023</f>
        <v>32626443.964096505</v>
      </c>
      <c r="EV508" s="13">
        <f>(EH508-EF508)*MCD_NF_DAYS*ER508-ET508*MCD_SHARE_FREED*R_WAIT_2023</f>
        <v>43266097.426605806</v>
      </c>
      <c r="EW508" s="10">
        <f>IF(AND(EB508&gt;=RULE_START,EC508=1),1/(1+$EB$12)^(EB508-RULE_START+1),0)</f>
        <v>0.700159374965623</v>
      </c>
      <c r="EX508">
        <f>IF(AND(EB508&gt;=RULE_START,EC508=1,EM508&lt;0),EB508,9999)</f>
        <v>2044</v>
      </c>
      <c r="EY508">
        <f>IF(AND(EB508&gt;=RULE_START,EC508=1,EN508&lt;0),EB508,9999)</f>
        <v>2044</v>
      </c>
      <c r="EZ508">
        <f>IF(AND(EB508&gt;=RULE_START,EC508=1,EO508&lt;0),EB508,9999)</f>
        <v>2044</v>
      </c>
      <c r="FB508" t="n">
        <v>2044</v>
      </c>
      <c r="FC508">
        <f>IF(FB508&lt;=RULE_START+$FB$38-1,1,0)</f>
        <v>1</v>
      </c>
      <c r="FD508" s="15">
        <f>IF(FB508=2024,G_IDX_2024,IF(FB508=2025,G_IDX_2025,IF(FB508=2026,G_IDX_2026,IF(FB508=2027,G_IDX_2027,$FB$13))))</f>
        <v>0.033</v>
      </c>
      <c r="FE508" s="8">
        <f>$FB$20*(1+G_HI)^(FB508-COST_DATE)</f>
        <v>1022.7147100597961</v>
      </c>
      <c r="FF508" s="8">
        <f>FF507*(1+FD508)</f>
        <v>888.4444353553154</v>
      </c>
      <c r="FG508" s="8">
        <f>IF(FB508&lt;RULE_START,FF508,FG507*(1+G_HI))</f>
        <v>1006.2333701098984</v>
      </c>
      <c r="FH508" s="8">
        <f>IF(FB508&lt;RULE_START,FF508,IF(FI508=1,R_NF_2024*(1+G_HI)^(FB508-2024),FH507*(1+FD508)))</f>
        <v>1044.6449557821215</v>
      </c>
      <c r="FI508">
        <f>IF(AND(FB508&gt;=RULE_START,MOD(FB508-RULE_START,REBASE_YEARS)=0),1,0)</f>
        <v>0</v>
      </c>
      <c r="FJ508" s="8">
        <f>FF508*CAP_SHARE</f>
        <v>43.44255979465434</v>
      </c>
      <c r="FK508" s="8">
        <f>FG508*CAP_SHARE</f>
        <v>49.20212408206884</v>
      </c>
      <c r="FL508" s="8">
        <f>FH508*CAP_SHARE</f>
        <v>51.0803480215386</v>
      </c>
      <c r="FM508" s="8">
        <f>FF508-FJ508-FE508</f>
        <v>-177.71283449913506</v>
      </c>
      <c r="FN508" s="8">
        <f>FG508-FK508-FE508</f>
        <v>-65.68346403196654</v>
      </c>
      <c r="FO508" s="8">
        <f>FH508-FL508-FE508</f>
        <v>-29.15010229921313</v>
      </c>
      <c r="FP508" s="8">
        <f>R_NF_2024*(1+G_HI)^(FB508-2024)</f>
        <v>1059.195962128802</v>
      </c>
      <c r="FQ508" s="10">
        <f>1-FF508/FP508</f>
        <v>0.16120862699505134</v>
      </c>
      <c r="FR508" s="10">
        <f>CPI_2023/(IF(FB508-1=2023,CPI_2023,IF(FB508-1=2024,CPI_2024,IF(FB508-1=2025,CPI_2025,CPI_2025*(1+INFL)^(FB508-1-2025)))))</f>
        <v>0.62257978247726</v>
      </c>
      <c r="FS508" s="8">
        <f>$FB$21*ABS($FB$11)*(FG508-FF508)/FF508</f>
        <v>13217.457178809645</v>
      </c>
      <c r="FT508" s="8">
        <f>$FB$21*ABS($FB$11)*(FH508-FF508)/FF508</f>
        <v>17527.738869111065</v>
      </c>
      <c r="FU508" s="13">
        <f>(FG508-FF508)*MCD_NF_DAYS*FR508-FS508*MCD_SHARE_FREED*R_WAIT_2023</f>
        <v>32626443.964096505</v>
      </c>
      <c r="FV508" s="13">
        <f>(FH508-FF508)*MCD_NF_DAYS*FR508-FT508*MCD_SHARE_FREED*R_WAIT_2023</f>
        <v>43266097.426605806</v>
      </c>
      <c r="FW508" s="10">
        <f>IF(AND(FB508&gt;=RULE_START,FC508=1),1/(1+$FB$12)^(FB508-RULE_START+1),0)</f>
        <v>0.700159374965623</v>
      </c>
      <c r="FX508">
        <f>IF(AND(FB508&gt;=RULE_START,FC508=1,FM508&lt;0),FB508,9999)</f>
        <v>2044</v>
      </c>
      <c r="FY508">
        <f>IF(AND(FB508&gt;=RULE_START,FC508=1,FN508&lt;0),FB508,9999)</f>
        <v>2044</v>
      </c>
      <c r="FZ508">
        <f>IF(AND(FB508&gt;=RULE_START,FC508=1,FO508&lt;0),FB508,9999)</f>
        <v>2044</v>
      </c>
      <c r="GB508" t="n">
        <v>2044</v>
      </c>
      <c r="GC508">
        <f>IF(GB508&lt;=RULE_START+$GB$38-1,1,0)</f>
        <v>1</v>
      </c>
      <c r="GD508" s="15">
        <f>IF(GB508=2024,G_IDX_2024,IF(GB508=2025,G_IDX_2025,IF(GB508=2026,G_IDX_2026,IF(GB508=2027,G_IDX_2027,$GB$13))))</f>
        <v>0.033</v>
      </c>
      <c r="GE508" s="8">
        <f>$GB$20*(1+G_HI)^(GB508-COST_DATE)</f>
        <v>993.7640593612603</v>
      </c>
      <c r="GF508" s="8">
        <f>GF507*(1+GD508)</f>
        <v>888.4444353553154</v>
      </c>
      <c r="GG508" s="8">
        <f>IF(GB508&lt;RULE_START,GF508,GG507*(1+G_HI))</f>
        <v>1006.2333701098984</v>
      </c>
      <c r="GH508" s="8">
        <f>IF(GB508&lt;RULE_START,GF508,IF(GI508=1,R_NF_2024*(1+G_HI)^(GB508-2024),GH507*(1+GD508)))</f>
        <v>1044.6449557821215</v>
      </c>
      <c r="GI508">
        <f>IF(AND(GB508&gt;=RULE_START,MOD(GB508-RULE_START,REBASE_YEARS)=0),1,0)</f>
        <v>0</v>
      </c>
      <c r="GJ508" s="8">
        <f>GF508*CAP_SHARE</f>
        <v>43.44255979465434</v>
      </c>
      <c r="GK508" s="8">
        <f>GG508*CAP_SHARE</f>
        <v>49.20212408206884</v>
      </c>
      <c r="GL508" s="8">
        <f>GH508*CAP_SHARE</f>
        <v>51.0803480215386</v>
      </c>
      <c r="GM508" s="8">
        <f>GF508-GJ508-GE508</f>
        <v>-148.76218380059925</v>
      </c>
      <c r="GN508" s="8">
        <f>GG508-GK508-GE508</f>
        <v>-36.73281333343073</v>
      </c>
      <c r="GO508" s="8">
        <f>GH508-GL508-GE508</f>
        <v>-0.19945160067732104</v>
      </c>
      <c r="GP508" s="8">
        <f>R_NF_2024*(1+G_HI)^(GB508-2024)</f>
        <v>1059.195962128802</v>
      </c>
      <c r="GQ508" s="10">
        <f>1-GF508/GP508</f>
        <v>0.16120862699505134</v>
      </c>
      <c r="GR508" s="10">
        <f>CPI_2023/(IF(GB508-1=2023,CPI_2023,IF(GB508-1=2024,CPI_2024,IF(GB508-1=2025,CPI_2025,CPI_2025*(1+INFL)^(GB508-1-2025)))))</f>
        <v>0.62257978247726</v>
      </c>
      <c r="GS508" s="8">
        <f>$GB$21*ABS($GB$11)*(GG508-GF508)/GF508</f>
        <v>9977.197354770164</v>
      </c>
      <c r="GT508" s="8">
        <f>$GB$21*ABS($GB$11)*(GH508-GF508)/GF508</f>
        <v>13230.8134245642</v>
      </c>
      <c r="GU508" s="13">
        <f>(GG508-GF508)*MCD_NF_DAYS*GR508-GS508*MCD_SHARE_FREED*R_WAIT_2023</f>
        <v>34099850.79922703</v>
      </c>
      <c r="GV508" s="13">
        <f>(GH508-GF508)*MCD_NF_DAYS*GR508-GT508*MCD_SHARE_FREED*R_WAIT_2023</f>
        <v>45219989.91173032</v>
      </c>
      <c r="GW508" s="10">
        <f>IF(AND(GB508&gt;=RULE_START,GC508=1),1/(1+$GB$12)^(GB508-RULE_START+1),0)</f>
        <v>0.700159374965623</v>
      </c>
      <c r="GX508">
        <f>IF(AND(GB508&gt;=RULE_START,GC508=1,GM508&lt;0),GB508,9999)</f>
        <v>2044</v>
      </c>
      <c r="GY508">
        <f>IF(AND(GB508&gt;=RULE_START,GC508=1,GN508&lt;0),GB508,9999)</f>
        <v>2044</v>
      </c>
      <c r="GZ508">
        <f>IF(AND(GB508&gt;=RULE_START,GC508=1,GO508&lt;0),GB508,9999)</f>
        <v>2044</v>
      </c>
      <c r="HB508" t="n">
        <v>2044</v>
      </c>
      <c r="HC508">
        <f>IF(HB508&lt;=RULE_START+$HB$38-1,1,0)</f>
        <v>1</v>
      </c>
      <c r="HD508" s="15">
        <f>IF(HB508=2024,G_IDX_2024,IF(HB508=2025,G_IDX_2025,IF(HB508=2026,G_IDX_2026,IF(HB508=2027,G_IDX_2027,$HB$13))))</f>
        <v>0.033</v>
      </c>
      <c r="HE508" s="8">
        <f>$HB$20*(1+G_HI)^(HB508-COST_DATE)</f>
        <v>993.7640593612603</v>
      </c>
      <c r="HF508" s="8">
        <f>HF507*(1+HD508)</f>
        <v>888.4444353553154</v>
      </c>
      <c r="HG508" s="8">
        <f>IF(HB508&lt;RULE_START,HF508,HG507*(1+G_HI))</f>
        <v>1006.2333701098984</v>
      </c>
      <c r="HH508" s="8">
        <f>IF(HB508&lt;RULE_START,HF508,IF(HI508=1,R_NF_2024*(1+G_HI)^(HB508-2024),HH507*(1+HD508)))</f>
        <v>1044.6449557821215</v>
      </c>
      <c r="HI508">
        <f>IF(AND(HB508&gt;=RULE_START,MOD(HB508-RULE_START,REBASE_YEARS)=0),1,0)</f>
        <v>0</v>
      </c>
      <c r="HJ508" s="8">
        <f>HF508*CAP_SHARE</f>
        <v>43.44255979465434</v>
      </c>
      <c r="HK508" s="8">
        <f>HG508*CAP_SHARE</f>
        <v>49.20212408206884</v>
      </c>
      <c r="HL508" s="8">
        <f>HH508*CAP_SHARE</f>
        <v>51.0803480215386</v>
      </c>
      <c r="HM508" s="8">
        <f>HF508-HJ508-HE508</f>
        <v>-148.76218380059925</v>
      </c>
      <c r="HN508" s="8">
        <f>HG508-HK508-HE508</f>
        <v>-36.73281333343073</v>
      </c>
      <c r="HO508" s="8">
        <f>HH508-HL508-HE508</f>
        <v>-0.19945160067732104</v>
      </c>
      <c r="HP508" s="8">
        <f>R_NF_2024*(1+G_HI)^(HB508-2024)</f>
        <v>1059.195962128802</v>
      </c>
      <c r="HQ508" s="10">
        <f>1-HF508/HP508</f>
        <v>0.16120862699505134</v>
      </c>
      <c r="HR508" s="10">
        <f>CPI_2023/(IF(HB508-1=2023,CPI_2023,IF(HB508-1=2024,CPI_2024,IF(HB508-1=2025,CPI_2025,CPI_2025*(1+INFL)^(HB508-1-2025)))))</f>
        <v>0.62257978247726</v>
      </c>
      <c r="HS508" s="8">
        <f>$HB$21*ABS($HB$11)*(HG508-HF508)/HF508</f>
        <v>13217.457178809645</v>
      </c>
      <c r="HT508" s="8">
        <f>$HB$21*ABS($HB$11)*(HH508-HF508)/HF508</f>
        <v>17527.738869111065</v>
      </c>
      <c r="HU508" s="13">
        <f>(HG508-HF508)*MCD_NF_DAYS*HR508-HS508*MCD_SHARE_FREED*R_WAIT_2023</f>
        <v>32626443.964096505</v>
      </c>
      <c r="HV508" s="13">
        <f>(HH508-HF508)*MCD_NF_DAYS*HR508-HT508*MCD_SHARE_FREED*R_WAIT_2023</f>
        <v>43266097.426605806</v>
      </c>
      <c r="HW508" s="10">
        <f>IF(AND(HB508&gt;=RULE_START,HC508=1),1/(1+$HB$12)^(HB508-RULE_START+1),0)</f>
        <v>0.5873946076162823</v>
      </c>
      <c r="HX508">
        <f>IF(AND(HB508&gt;=RULE_START,HC508=1,HM508&lt;0),HB508,9999)</f>
        <v>2044</v>
      </c>
      <c r="HY508">
        <f>IF(AND(HB508&gt;=RULE_START,HC508=1,HN508&lt;0),HB508,9999)</f>
        <v>2044</v>
      </c>
      <c r="HZ508">
        <f>IF(AND(HB508&gt;=RULE_START,HC508=1,HO508&lt;0),HB508,9999)</f>
        <v>2044</v>
      </c>
      <c r="IB508" t="n">
        <v>2044</v>
      </c>
      <c r="IC508">
        <f>IF(IB508&lt;=RULE_START+$IB$38-1,1,0)</f>
        <v>1</v>
      </c>
      <c r="ID508" s="15">
        <f>IF(IB508=2024,G_IDX_2024,IF(IB508=2025,G_IDX_2025,IF(IB508=2026,G_IDX_2026,IF(IB508=2027,G_IDX_2027,$IB$13))))</f>
        <v>0.033</v>
      </c>
      <c r="IE508" s="8">
        <f>$IB$20*(1+G_HI)^(IB508-COST_DATE)</f>
        <v>993.7640593612603</v>
      </c>
      <c r="IF508" s="8">
        <f>IF507*(1+ID508)</f>
        <v>888.4444353553154</v>
      </c>
      <c r="IG508" s="8">
        <f>IF(IB508&lt;RULE_START,IF508,IG507*(1+G_HI))</f>
        <v>1006.2333701098984</v>
      </c>
      <c r="IH508" s="8">
        <f>IF(IB508&lt;RULE_START,IF508,IF(II508=1,R_NF_2024*(1+G_HI)^(IB508-2024),IH507*(1+ID508)))</f>
        <v>1044.6449557821215</v>
      </c>
      <c r="II508">
        <f>IF(AND(IB508&gt;=RULE_START,MOD(IB508-RULE_START,REBASE_YEARS)=0),1,0)</f>
        <v>0</v>
      </c>
      <c r="IJ508" s="8">
        <f>IF508*CAP_SHARE</f>
        <v>43.44255979465434</v>
      </c>
      <c r="IK508" s="8">
        <f>IG508*CAP_SHARE</f>
        <v>49.20212408206884</v>
      </c>
      <c r="IL508" s="8">
        <f>IH508*CAP_SHARE</f>
        <v>51.0803480215386</v>
      </c>
      <c r="IM508" s="8">
        <f>IF508-IJ508-IE508</f>
        <v>-148.76218380059925</v>
      </c>
      <c r="IN508" s="8">
        <f>IG508-IK508-IE508</f>
        <v>-36.73281333343073</v>
      </c>
      <c r="IO508" s="8">
        <f>IH508-IL508-IE508</f>
        <v>-0.19945160067732104</v>
      </c>
      <c r="IP508" s="8">
        <f>R_NF_2024*(1+G_HI)^(IB508-2024)</f>
        <v>1059.195962128802</v>
      </c>
      <c r="IQ508" s="10">
        <f>1-IF508/IP508</f>
        <v>0.16120862699505134</v>
      </c>
      <c r="IR508" s="10">
        <f>CPI_2023/(IF(IB508-1=2023,CPI_2023,IF(IB508-1=2024,CPI_2024,IF(IB508-1=2025,CPI_2025,CPI_2025*(1+INFL)^(IB508-1-2025)))))</f>
        <v>0.62257978247726</v>
      </c>
      <c r="IS508" s="8">
        <f>$IB$21*ABS($IB$11)*(IG508-IF508)/IF508</f>
        <v>13217.457178809645</v>
      </c>
      <c r="IT508" s="8">
        <f>$IB$21*ABS($IB$11)*(IH508-IF508)/IF508</f>
        <v>17527.738869111065</v>
      </c>
      <c r="IU508" s="13">
        <f>(IG508-IF508)*MCD_NF_DAYS*IR508-IS508*MCD_SHARE_FREED*R_WAIT_2023</f>
        <v>32626443.964096505</v>
      </c>
      <c r="IV508" s="13">
        <f>(IH508-IF508)*MCD_NF_DAYS*IR508-IT508*MCD_SHARE_FREED*R_WAIT_2023</f>
        <v>43266097.426605806</v>
      </c>
      <c r="IW508" s="10">
        <f>IF(AND(IB508&gt;=RULE_START,IC508=1),1/(1+$IB$12)^(IB508-RULE_START+1),0)</f>
        <v>0.295863916321598</v>
      </c>
      <c r="IX508">
        <f>IF(AND(IB508&gt;=RULE_START,IC508=1,IM508&lt;0),IB508,9999)</f>
        <v>2044</v>
      </c>
      <c r="IY508">
        <f>IF(AND(IB508&gt;=RULE_START,IC508=1,IN508&lt;0),IB508,9999)</f>
        <v>2044</v>
      </c>
      <c r="IZ508">
        <f>IF(AND(IB508&gt;=RULE_START,IC508=1,IO508&lt;0),IB508,9999)</f>
        <v>2044</v>
      </c>
      <c r="JB508" t="n">
        <v>2044</v>
      </c>
      <c r="JC508">
        <f>IF(JB508&lt;=RULE_START+$JB$38-1,1,0)</f>
        <v>1</v>
      </c>
      <c r="JD508" s="15">
        <f>IF(JB508=2024,G_IDX_2024,IF(JB508=2025,G_IDX_2025,IF(JB508=2026,G_IDX_2026,IF(JB508=2027,G_IDX_2027,$JB$13))))</f>
        <v>0.03</v>
      </c>
      <c r="JE508" s="8">
        <f>$JB$20*(1+G_HI)^(JB508-COST_DATE)</f>
        <v>993.7640593612603</v>
      </c>
      <c r="JF508" s="8">
        <f>JF507*(1+JD508)</f>
        <v>845.5856919487107</v>
      </c>
      <c r="JG508" s="8">
        <f>IF(JB508&lt;RULE_START,JF508,JG507*(1+G_HI))</f>
        <v>1006.2333701098984</v>
      </c>
      <c r="JH508" s="8">
        <f>IF(JB508&lt;RULE_START,JF508,IF(JI508=1,R_NF_2024*(1+G_HI)^(JB508-2024),JH507*(1+JD508)))</f>
        <v>1038.586128794555</v>
      </c>
      <c r="JI508">
        <f>IF(AND(JB508&gt;=RULE_START,MOD(JB508-RULE_START,REBASE_YEARS)=0),1,0)</f>
        <v>0</v>
      </c>
      <c r="JJ508" s="8">
        <f>JF508*CAP_SHARE</f>
        <v>41.34688172062764</v>
      </c>
      <c r="JK508" s="8">
        <f>JG508*CAP_SHARE</f>
        <v>49.20212408206884</v>
      </c>
      <c r="JL508" s="8">
        <f>JH508*CAP_SHARE</f>
        <v>50.784087565376744</v>
      </c>
      <c r="JM508" s="8">
        <f>JF508-JJ508-JE508</f>
        <v>-189.5252491331771</v>
      </c>
      <c r="JN508" s="8">
        <f>JG508-JK508-JE508</f>
        <v>-36.73281333343073</v>
      </c>
      <c r="JO508" s="8">
        <f>JH508-JL508-JE508</f>
        <v>-5.962018132081994</v>
      </c>
      <c r="JP508" s="8">
        <f>R_NF_2024*(1+G_HI)^(JB508-2024)</f>
        <v>1059.195962128802</v>
      </c>
      <c r="JQ508" s="10">
        <f>1-JF508/JP508</f>
        <v>0.20167209639920758</v>
      </c>
      <c r="JR508" s="10">
        <f>CPI_2023/(IF(JB508-1=2023,CPI_2023,IF(JB508-1=2024,CPI_2024,IF(JB508-1=2025,CPI_2025,CPI_2025*(1+INFL)^(JB508-1-2025)))))</f>
        <v>0.62257978247726</v>
      </c>
      <c r="JS508" s="8">
        <f>$JB$21*ABS($JB$11)*(JG508-JF508)/JF508</f>
        <v>18940.45975909136</v>
      </c>
      <c r="JT508" s="8">
        <f>$JB$21*ABS($JB$11)*(JH508-JF508)/JF508</f>
        <v>22754.8698456629</v>
      </c>
      <c r="JU508" s="13">
        <f>(JG508-JF508)*MCD_NF_DAYS*JR508-JS508*MCD_SHARE_FREED*R_WAIT_2023</f>
        <v>44082446.19994256</v>
      </c>
      <c r="JV508" s="13">
        <f>(JH508-JF508)*MCD_NF_DAYS*JR508-JT508*MCD_SHARE_FREED*R_WAIT_2023</f>
        <v>52960188.85057157</v>
      </c>
      <c r="JW508" s="10">
        <f>IF(AND(JB508&gt;=RULE_START,JC508=1),1/(1+$JB$12)^(JB508-RULE_START+1),0)</f>
        <v>0.700159374965623</v>
      </c>
      <c r="JX508">
        <f>IF(AND(JB508&gt;=RULE_START,JC508=1,JM508&lt;0),JB508,9999)</f>
        <v>2044</v>
      </c>
      <c r="JY508">
        <f>IF(AND(JB508&gt;=RULE_START,JC508=1,JN508&lt;0),JB508,9999)</f>
        <v>2044</v>
      </c>
      <c r="JZ508">
        <f>IF(AND(JB508&gt;=RULE_START,JC508=1,JO508&lt;0),JB508,9999)</f>
        <v>2044</v>
      </c>
      <c r="KB508" t="n">
        <v>2044</v>
      </c>
      <c r="KC508">
        <f>IF(KB508&lt;=RULE_START+$KB$38-1,1,0)</f>
        <v>1</v>
      </c>
      <c r="KD508" s="15">
        <f>IF(KB508=2024,G_IDX_2024,IF(KB508=2025,G_IDX_2025,IF(KB508=2026,G_IDX_2026,IF(KB508=2027,G_IDX_2027,$KB$13))))</f>
        <v>0.033</v>
      </c>
      <c r="KE508" s="8">
        <f>$KB$20*(1+G_HI)^(KB508-COST_DATE)</f>
        <v>993.7640593612603</v>
      </c>
      <c r="KF508" s="8">
        <f>KF507*(1+KD508)</f>
        <v>888.4444353553154</v>
      </c>
      <c r="KG508" s="8">
        <f>IF(KB508&lt;RULE_START,KF508,KG507*(1+G_HI))</f>
        <v>1006.2333701098984</v>
      </c>
      <c r="KH508" s="8">
        <f>IF(KB508&lt;RULE_START,KF508,IF(KI508=1,R_NF_2024*(1+G_HI)^(KB508-2024),KH507*(1+KD508)))</f>
        <v>1044.6449557821215</v>
      </c>
      <c r="KI508">
        <f>IF(AND(KB508&gt;=RULE_START,MOD(KB508-RULE_START,REBASE_YEARS)=0),1,0)</f>
        <v>0</v>
      </c>
      <c r="KJ508" s="8">
        <f>KF508*CAP_SHARE</f>
        <v>43.44255979465434</v>
      </c>
      <c r="KK508" s="8">
        <f>KG508*CAP_SHARE</f>
        <v>49.20212408206884</v>
      </c>
      <c r="KL508" s="8">
        <f>KH508*CAP_SHARE</f>
        <v>51.0803480215386</v>
      </c>
      <c r="KM508" s="8">
        <f>KF508-KJ508-KE508</f>
        <v>-148.76218380059925</v>
      </c>
      <c r="KN508" s="8">
        <f>KG508-KK508-KE508</f>
        <v>-36.73281333343073</v>
      </c>
      <c r="KO508" s="8">
        <f>KH508-KL508-KE508</f>
        <v>-0.19945160067732104</v>
      </c>
      <c r="KP508" s="8">
        <f>R_NF_2024*(1+G_HI)^(KB508-2024)</f>
        <v>1059.195962128802</v>
      </c>
      <c r="KQ508" s="10">
        <f>1-KF508/KP508</f>
        <v>0.16120862699505134</v>
      </c>
      <c r="KR508" s="10">
        <f>CPI_2023/(IF(KB508-1=2023,CPI_2023,IF(KB508-1=2024,CPI_2024,IF(KB508-1=2025,CPI_2025,CPI_2025*(1+INFL)^(KB508-1-2025)))))</f>
        <v>0.62257978247726</v>
      </c>
      <c r="KS508" s="8">
        <f>$KB$21*ABS($KB$11)*(KG508-KF508)/KF508</f>
        <v>13217.457178809645</v>
      </c>
      <c r="KT508" s="8">
        <f>$KB$21*ABS($KB$11)*(KH508-KF508)/KF508</f>
        <v>17527.738869111065</v>
      </c>
      <c r="KU508" s="13">
        <f>(KG508-KF508)*MCD_NF_DAYS*KR508-KS508*MCD_SHARE_FREED*R_WAIT_2023</f>
        <v>32626443.964096505</v>
      </c>
      <c r="KV508" s="13">
        <f>(KH508-KF508)*MCD_NF_DAYS*KR508-KT508*MCD_SHARE_FREED*R_WAIT_2023</f>
        <v>43266097.426605806</v>
      </c>
      <c r="KW508" s="10">
        <f>IF(AND(KB508&gt;=RULE_START,KC508=1),1/(1+$KB$12)^(KB508-RULE_START+1),0)</f>
        <v>0.700159374965623</v>
      </c>
      <c r="KX508">
        <f>IF(AND(KB508&gt;=RULE_START,KC508=1,KM508&lt;0),KB508,9999)</f>
        <v>2044</v>
      </c>
      <c r="KY508">
        <f>IF(AND(KB508&gt;=RULE_START,KC508=1,KN508&lt;0),KB508,9999)</f>
        <v>2044</v>
      </c>
      <c r="KZ508">
        <f>IF(AND(KB508&gt;=RULE_START,KC508=1,KO508&lt;0),KB508,9999)</f>
        <v>2044</v>
      </c>
      <c r="LB508" t="n">
        <v>2044</v>
      </c>
      <c r="LC508">
        <f>IF(LB508&lt;=RULE_START+$LB$38-1,1,0)</f>
        <v>1</v>
      </c>
      <c r="LD508" s="15">
        <f>IF(LB508=2024,G_IDX_2024,IF(LB508=2025,G_IDX_2025,IF(LB508=2026,G_IDX_2026,IF(LB508=2027,G_IDX_2027,$LB$13))))</f>
        <v>0.033</v>
      </c>
      <c r="LE508" s="8">
        <f>$LB$20*(1+G_HI)^(LB508-COST_DATE)</f>
        <v>993.7640593612603</v>
      </c>
      <c r="LF508" s="8">
        <f>LF507*(1+LD508)</f>
        <v>888.4444353553154</v>
      </c>
      <c r="LG508" s="8">
        <f>IF(LB508&lt;RULE_START,LF508,LG507*(1+G_HI))</f>
        <v>1006.2333701098984</v>
      </c>
      <c r="LH508" s="8">
        <f>IF(LB508&lt;RULE_START,LF508,IF(LI508=1,R_NF_2024*(1+G_HI)^(LB508-2024),LH507*(1+LD508)))</f>
        <v>1044.6449557821215</v>
      </c>
      <c r="LI508">
        <f>IF(AND(LB508&gt;=RULE_START,MOD(LB508-RULE_START,REBASE_YEARS)=0),1,0)</f>
        <v>0</v>
      </c>
      <c r="LJ508" s="8">
        <f>LF508*CAP_SHARE</f>
        <v>43.44255979465434</v>
      </c>
      <c r="LK508" s="8">
        <f>LG508*CAP_SHARE</f>
        <v>49.20212408206884</v>
      </c>
      <c r="LL508" s="8">
        <f>LH508*CAP_SHARE</f>
        <v>51.0803480215386</v>
      </c>
      <c r="LM508" s="8">
        <f>LF508-LJ508-LE508</f>
        <v>-148.76218380059925</v>
      </c>
      <c r="LN508" s="8">
        <f>LG508-LK508-LE508</f>
        <v>-36.73281333343073</v>
      </c>
      <c r="LO508" s="8">
        <f>LH508-LL508-LE508</f>
        <v>-0.19945160067732104</v>
      </c>
      <c r="LP508" s="8">
        <f>R_NF_2024*(1+G_HI)^(LB508-2024)</f>
        <v>1059.195962128802</v>
      </c>
      <c r="LQ508" s="10">
        <f>1-LF508/LP508</f>
        <v>0.16120862699505134</v>
      </c>
      <c r="LR508" s="10">
        <f>CPI_2023/(IF(LB508-1=2023,CPI_2023,IF(LB508-1=2024,CPI_2024,IF(LB508-1=2025,CPI_2025,CPI_2025*(1+INFL)^(LB508-1-2025)))))</f>
        <v>0.62257978247726</v>
      </c>
      <c r="LS508" s="8">
        <f>$LB$21*ABS($LB$11)*(LG508-LF508)/LF508</f>
        <v>13217.457178809645</v>
      </c>
      <c r="LT508" s="8">
        <f>$LB$21*ABS($LB$11)*(LH508-LF508)/LF508</f>
        <v>17527.738869111065</v>
      </c>
      <c r="LU508" s="13">
        <f>(LG508-LF508)*MCD_NF_DAYS*LR508-LS508*MCD_SHARE_FREED*R_WAIT_2023</f>
        <v>32626443.964096505</v>
      </c>
      <c r="LV508" s="13">
        <f>(LH508-LF508)*MCD_NF_DAYS*LR508-LT508*MCD_SHARE_FREED*R_WAIT_2023</f>
        <v>43266097.426605806</v>
      </c>
      <c r="LW508" s="10">
        <f>IF(AND(LB508&gt;=RULE_START,LC508=1),1/(1+$LB$12)^(LB508-RULE_START+1),0)</f>
        <v>0.700159374965623</v>
      </c>
      <c r="LX508">
        <f>IF(AND(LB508&gt;=RULE_START,LC508=1,LM508&lt;0),LB508,9999)</f>
        <v>2044</v>
      </c>
      <c r="LY508">
        <f>IF(AND(LB508&gt;=RULE_START,LC508=1,LN508&lt;0),LB508,9999)</f>
        <v>2044</v>
      </c>
      <c r="LZ508">
        <f>IF(AND(LB508&gt;=RULE_START,LC508=1,LO508&lt;0),LB508,9999)</f>
        <v>2044</v>
      </c>
      <c r="MB508" t="n">
        <v>2044</v>
      </c>
      <c r="MC508">
        <f>IF(MB508&lt;=RULE_START+$MB$38-1,1,0)</f>
        <v>1</v>
      </c>
      <c r="MD508" s="15">
        <f>IF(MB508=2024,G_IDX_2024,IF(MB508=2025,G_IDX_2025,IF(MB508=2026,G_IDX_2026,IF(MB508=2027,G_IDX_2027,$MB$13))))</f>
        <v>0.033</v>
      </c>
      <c r="ME508" s="8">
        <f>$MB$20*(1+G_HI)^(MB508-COST_DATE)</f>
        <v>993.7640593612603</v>
      </c>
      <c r="MF508" s="8">
        <f>MF507*(1+MD508)</f>
        <v>888.4444353553154</v>
      </c>
      <c r="MG508" s="8">
        <f>IF(MB508&lt;RULE_START,MF508,MG507*(1+G_HI))</f>
        <v>1006.2333701098984</v>
      </c>
      <c r="MH508" s="8">
        <f>IF(MB508&lt;RULE_START,MF508,IF(MI508=1,R_NF_2024*(1+G_HI)^(MB508-2024),MH507*(1+MD508)))</f>
        <v>1044.6449557821215</v>
      </c>
      <c r="MI508">
        <f>IF(AND(MB508&gt;=RULE_START,MOD(MB508-RULE_START,REBASE_YEARS)=0),1,0)</f>
        <v>0</v>
      </c>
      <c r="MJ508" s="8">
        <f>MF508*CAP_SHARE</f>
        <v>43.44255979465434</v>
      </c>
      <c r="MK508" s="8">
        <f>MG508*CAP_SHARE</f>
        <v>49.20212408206884</v>
      </c>
      <c r="ML508" s="8">
        <f>MH508*CAP_SHARE</f>
        <v>51.0803480215386</v>
      </c>
      <c r="MM508" s="8">
        <f>MF508-MJ508-ME508</f>
        <v>-148.76218380059925</v>
      </c>
      <c r="MN508" s="8">
        <f>MG508-MK508-ME508</f>
        <v>-36.73281333343073</v>
      </c>
      <c r="MO508" s="8">
        <f>MH508-ML508-ME508</f>
        <v>-0.19945160067732104</v>
      </c>
      <c r="MP508" s="8">
        <f>R_NF_2024*(1+G_HI)^(MB508-2024)</f>
        <v>1059.195962128802</v>
      </c>
      <c r="MQ508" s="10">
        <f>1-MF508/MP508</f>
        <v>0.16120862699505134</v>
      </c>
      <c r="MR508" s="10">
        <f>CPI_2023/(IF(MB508-1=2023,CPI_2023,IF(MB508-1=2024,CPI_2024,IF(MB508-1=2025,CPI_2025,CPI_2025*(1+INFL)^(MB508-1-2025)))))</f>
        <v>0.62257978247726</v>
      </c>
      <c r="MS508" s="8">
        <f>$MB$21*ABS($MB$11)*(MG508-MF508)/MF508</f>
        <v>9682.971987162184</v>
      </c>
      <c r="MT508" s="8">
        <f>$MB$21*ABS($MB$11)*(MH508-MF508)/MF508</f>
        <v>12840.639630744856</v>
      </c>
      <c r="MU508" s="13">
        <f>(MG508-MF508)*MCD_NF_DAYS*MR508-MS508*MCD_SHARE_FREED*R_WAIT_2023</f>
        <v>34233640.58499858</v>
      </c>
      <c r="MV508" s="13">
        <f>(MH508-MF508)*MCD_NF_DAYS*MR508-MT508*MCD_SHARE_FREED*R_WAIT_2023</f>
        <v>45397409.244105205</v>
      </c>
      <c r="MW508" s="10">
        <f>IF(AND(MB508&gt;=RULE_START,MC508=1),1/(1+$MB$12)^(MB508-RULE_START+1),0)</f>
        <v>0.700159374965623</v>
      </c>
      <c r="MX508">
        <f>IF(AND(MB508&gt;=RULE_START,MC508=1,MM508&lt;0),MB508,9999)</f>
        <v>2044</v>
      </c>
      <c r="MY508">
        <f>IF(AND(MB508&gt;=RULE_START,MC508=1,MN508&lt;0),MB508,9999)</f>
        <v>2044</v>
      </c>
      <c r="MZ508">
        <f>IF(AND(MB508&gt;=RULE_START,MC508=1,MO508&lt;0),MB508,9999)</f>
        <v>2044</v>
      </c>
      <c r="NB508" t="n">
        <v>2044</v>
      </c>
      <c r="NC508">
        <f>IF(NB508&lt;=RULE_START+$NB$38-1,1,0)</f>
        <v>1</v>
      </c>
      <c r="ND508" s="15">
        <f>IF(NB508=2024,G_IDX_2024,IF(NB508=2025,G_IDX_2025,IF(NB508=2026,G_IDX_2026,IF(NB508=2027,G_IDX_2027,$NB$13))))</f>
        <v>0.033</v>
      </c>
      <c r="NE508" s="8">
        <f>$NB$20*(1+G_HI)^(NB508-COST_DATE)</f>
        <v>993.7640593612603</v>
      </c>
      <c r="NF508" s="8">
        <f>NF507*(1+ND508)</f>
        <v>888.4444353553154</v>
      </c>
      <c r="NG508" s="8">
        <f>IF(NB508&lt;RULE_START,NF508,NG507*(1+G_HI))</f>
        <v>1006.2333701098984</v>
      </c>
      <c r="NH508" s="8">
        <f>IF(NB508&lt;RULE_START,NF508,IF(NI508=1,R_NF_2024*(1+G_HI)^(NB508-2024),NH507*(1+ND508)))</f>
        <v>1044.6449557821215</v>
      </c>
      <c r="NI508">
        <f>IF(AND(NB508&gt;=RULE_START,MOD(NB508-RULE_START,REBASE_YEARS)=0),1,0)</f>
        <v>0</v>
      </c>
      <c r="NJ508" s="8">
        <f>NF508*CAP_SHARE</f>
        <v>43.44255979465434</v>
      </c>
      <c r="NK508" s="8">
        <f>NG508*CAP_SHARE</f>
        <v>49.20212408206884</v>
      </c>
      <c r="NL508" s="8">
        <f>NH508*CAP_SHARE</f>
        <v>51.0803480215386</v>
      </c>
      <c r="NM508" s="8">
        <f>NF508-NJ508-NE508</f>
        <v>-148.76218380059925</v>
      </c>
      <c r="NN508" s="8">
        <f>NG508-NK508-NE508</f>
        <v>-36.73281333343073</v>
      </c>
      <c r="NO508" s="8">
        <f>NH508-NL508-NE508</f>
        <v>-0.19945160067732104</v>
      </c>
      <c r="NP508" s="8">
        <f>R_NF_2024*(1+G_HI)^(NB508-2024)</f>
        <v>1059.195962128802</v>
      </c>
      <c r="NQ508" s="10">
        <f>1-NF508/NP508</f>
        <v>0.16120862699505134</v>
      </c>
      <c r="NR508" s="10">
        <f>CPI_2023/(IF(NB508-1=2023,CPI_2023,IF(NB508-1=2024,CPI_2024,IF(NB508-1=2025,CPI_2025,CPI_2025*(1+INFL)^(NB508-1-2025)))))</f>
        <v>0.62257978247726</v>
      </c>
      <c r="NS508" s="8">
        <f>$NB$21*ABS($NB$11)*(NG508-NF508)/NF508</f>
        <v>13217.457178809645</v>
      </c>
      <c r="NT508" s="8">
        <f>$NB$21*ABS($NB$11)*(NH508-NF508)/NF508</f>
        <v>17527.738869111065</v>
      </c>
      <c r="NU508" s="13">
        <f>(NG508-NF508)*MCD_NF_DAYS*NR508-NS508*MCD_SHARE_FREED*R_WAIT_2023</f>
        <v>32626443.964096505</v>
      </c>
      <c r="NV508" s="13">
        <f>(NH508-NF508)*MCD_NF_DAYS*NR508-NT508*MCD_SHARE_FREED*R_WAIT_2023</f>
        <v>43266097.426605806</v>
      </c>
      <c r="NW508" s="10">
        <f>IF(AND(NB508&gt;=RULE_START,NC508=1),1/(1+$NB$12)^(NB508-RULE_START+1),0)</f>
        <v>0.700159374965623</v>
      </c>
      <c r="NX508">
        <f>IF(AND(NB508&gt;=RULE_START,NC508=1,NM508&lt;0),NB508,9999)</f>
        <v>2044</v>
      </c>
      <c r="NY508">
        <f>IF(AND(NB508&gt;=RULE_START,NC508=1,NN508&lt;0),NB508,9999)</f>
        <v>2044</v>
      </c>
      <c r="NZ508">
        <f>IF(AND(NB508&gt;=RULE_START,NC508=1,NO508&lt;0),NB508,9999)</f>
        <v>2044</v>
      </c>
      <c r="OB508" t="n">
        <v>2044</v>
      </c>
      <c r="OC508">
        <f>IF(OB508&lt;=RULE_START+$OB$38-1,1,0)</f>
        <v>1</v>
      </c>
      <c r="OD508" s="15">
        <f>IF(OB508=2024,G_IDX_2024,IF(OB508=2025,G_IDX_2025,IF(OB508=2026,G_IDX_2026,IF(OB508=2027,G_IDX_2027,$OB$13))))</f>
        <v>0.033</v>
      </c>
      <c r="OE508" s="8">
        <f>$OB$20*(1+G_HI)^(OB508-COST_DATE)</f>
        <v>993.7640593612603</v>
      </c>
      <c r="OF508" s="8">
        <f>OF507*(1+OD508)</f>
        <v>888.4444353553154</v>
      </c>
      <c r="OG508" s="8">
        <f>IF(OB508&lt;RULE_START,OF508,OG507*(1+G_HI))</f>
        <v>1006.2333701098984</v>
      </c>
      <c r="OH508" s="8">
        <f>IF(OB508&lt;RULE_START,OF508,IF(OI508=1,R_NF_2024*(1+G_HI)^(OB508-2024),OH507*(1+OD508)))</f>
        <v>1044.6449557821215</v>
      </c>
      <c r="OI508">
        <f>IF(AND(OB508&gt;=RULE_START,MOD(OB508-RULE_START,REBASE_YEARS)=0),1,0)</f>
        <v>0</v>
      </c>
      <c r="OJ508" s="8">
        <f>OF508*CAP_SHARE</f>
        <v>43.44255979465434</v>
      </c>
      <c r="OK508" s="8">
        <f>OG508*CAP_SHARE</f>
        <v>49.20212408206884</v>
      </c>
      <c r="OL508" s="8">
        <f>OH508*CAP_SHARE</f>
        <v>51.0803480215386</v>
      </c>
      <c r="OM508" s="8">
        <f>OF508-OJ508-OE508</f>
        <v>-148.76218380059925</v>
      </c>
      <c r="ON508" s="8">
        <f>OG508-OK508-OE508</f>
        <v>-36.73281333343073</v>
      </c>
      <c r="OO508" s="8">
        <f>OH508-OL508-OE508</f>
        <v>-0.19945160067732104</v>
      </c>
      <c r="OP508" s="8">
        <f>R_NF_2024*(1+G_HI)^(OB508-2024)</f>
        <v>1059.195962128802</v>
      </c>
      <c r="OQ508" s="10">
        <f>1-OF508/OP508</f>
        <v>0.16120862699505134</v>
      </c>
      <c r="OR508" s="10">
        <f>CPI_2023/(IF(OB508-1=2023,CPI_2023,IF(OB508-1=2024,CPI_2024,IF(OB508-1=2025,CPI_2025,CPI_2025*(1+INFL)^(OB508-1-2025)))))</f>
        <v>0.62257978247726</v>
      </c>
      <c r="OS508" s="8">
        <f>$OB$21*ABS($OB$11)*(OG508-OF508)/OF508</f>
        <v>13217.457178809645</v>
      </c>
      <c r="OT508" s="8">
        <f>$OB$21*ABS($OB$11)*(OH508-OF508)/OF508</f>
        <v>17527.738869111065</v>
      </c>
      <c r="OU508" s="13">
        <f>(OG508-OF508)*MCD_NF_DAYS*OR508-OS508*MCD_SHARE_FREED*R_WAIT_2023</f>
        <v>32626443.964096505</v>
      </c>
      <c r="OV508" s="13">
        <f>(OH508-OF508)*MCD_NF_DAYS*OR508-OT508*MCD_SHARE_FREED*R_WAIT_2023</f>
        <v>43266097.426605806</v>
      </c>
      <c r="OW508" s="10">
        <f>IF(AND(OB508&gt;=RULE_START,OC508=1),1/(1+$OB$12)^(OB508-RULE_START+1),0)</f>
        <v>0.700159374965623</v>
      </c>
      <c r="OX508">
        <f>IF(AND(OB508&gt;=RULE_START,OC508=1,OM508&lt;0),OB508,9999)</f>
        <v>2044</v>
      </c>
      <c r="OY508">
        <f>IF(AND(OB508&gt;=RULE_START,OC508=1,ON508&lt;0),OB508,9999)</f>
        <v>2044</v>
      </c>
      <c r="OZ508">
        <f>IF(AND(OB508&gt;=RULE_START,OC508=1,OO508&lt;0),OB508,9999)</f>
        <v>2044</v>
      </c>
    </row>
    <row r="509">
      <c r="B509" t="n">
        <v>2045</v>
      </c>
      <c r="C509">
        <f>IF(B509&lt;=RULE_START+$B$38-1,1,0)</f>
        <v>1</v>
      </c>
      <c r="D509" s="15">
        <f>IF(B509=2024,G_IDX_2024,IF(B509=2025,G_IDX_2025,IF(B509=2026,G_IDX_2026,IF(B509=2027,G_IDX_2027,$B$13))))</f>
        <v>0.033</v>
      </c>
      <c r="E509" s="8">
        <f>$B$20*(1+G_HI)^(B509-COST_DATE)</f>
        <v>1033.6830856960735</v>
      </c>
      <c r="F509" s="8">
        <f>F508*(1+D509)</f>
        <v>917.7631017220407</v>
      </c>
      <c r="G509" s="8">
        <f>IF(B509&lt;RULE_START,F509,G508*(1+G_HI))</f>
        <v>1046.6532826857292</v>
      </c>
      <c r="H509" s="8">
        <f>IF(B509&lt;RULE_START,F509,IF(I509=1,R_NF_2024*(1+G_HI)^(B509-2024),H508*(1+D509)))</f>
        <v>1101.743356661388</v>
      </c>
      <c r="I509">
        <f>IF(AND(B509&gt;=RULE_START,MOD(B509-RULE_START,REBASE_YEARS)=0),1,0)</f>
        <v>1</v>
      </c>
      <c r="J509" s="8">
        <f>F509*CAP_SHARE</f>
        <v>44.87616426787793</v>
      </c>
      <c r="K509" s="8">
        <f>G509*CAP_SHARE</f>
        <v>51.17854984275018</v>
      </c>
      <c r="L509" s="8">
        <f>H509*CAP_SHARE</f>
        <v>53.872307310905576</v>
      </c>
      <c r="M509" s="8">
        <f>F509-J509-E509</f>
        <v>-160.7961482419107</v>
      </c>
      <c r="N509" s="8">
        <f>G509-K509-E509</f>
        <v>-38.208352853094425</v>
      </c>
      <c r="O509" s="8">
        <f>H509-L509-E509</f>
        <v>14.187963654408804</v>
      </c>
      <c r="P509" s="8">
        <f>R_NF_2024*(1+G_HI)^(B509-2024)</f>
        <v>1101.743356661388</v>
      </c>
      <c r="Q509" s="10">
        <f>1-F509/P509</f>
        <v>0.16699011963808197</v>
      </c>
      <c r="R509" s="10">
        <f>CPI_2023/(IF(B509-1=2023,CPI_2023,IF(B509-1=2024,CPI_2024,IF(B509-1=2025,CPI_2025,CPI_2025*(1+INFL)^(B509-1-2025)))))</f>
        <v>0.6087013907677552</v>
      </c>
      <c r="S509" s="8">
        <f>$B$21*ABS($B$11)*(G509-F509)/F509</f>
        <v>14001.124899487122</v>
      </c>
      <c r="T509" s="8">
        <f>$B$21*ABS($B$11)*(H509-F509)/F509</f>
        <v>19985.467544428266</v>
      </c>
      <c r="U509" s="13">
        <f>(G509-F509)*MCD_NF_DAYS*R509-S509*MCD_SHARE_FREED*R_WAIT_2023</f>
        <v>34969031.47860434</v>
      </c>
      <c r="V509" s="13">
        <f>(H509-F509)*MCD_NF_DAYS*R509-T509*MCD_SHARE_FREED*R_WAIT_2023</f>
        <v>49915449.55800929</v>
      </c>
      <c r="W509" s="10">
        <f>IF(AND(B509&gt;=RULE_START,C509=1),1/(1+$B$12)^(B509-RULE_START+1),0)</f>
        <v>0.6864307597702186</v>
      </c>
      <c r="X509">
        <f>IF(AND(B509&gt;=RULE_START,C509=1,M509&lt;0),B509,9999)</f>
        <v>2045</v>
      </c>
      <c r="Y509">
        <f>IF(AND(B509&gt;=RULE_START,C509=1,N509&lt;0),B509,9999)</f>
        <v>2045</v>
      </c>
      <c r="Z509">
        <f>IF(AND(B509&gt;=RULE_START,C509=1,O509&lt;0),B509,9999)</f>
        <v>9999</v>
      </c>
      <c r="AB509" t="n">
        <v>2045</v>
      </c>
      <c r="AC509">
        <f>IF(AB509&lt;=RULE_START+$AB$38-1,1,0)</f>
        <v>1</v>
      </c>
      <c r="AD509" s="15">
        <f>IF(AB509=2024,G_IDX_2024,IF(AB509=2025,G_IDX_2025,IF(AB509=2026,G_IDX_2026,IF(AB509=2027,G_IDX_2027,$AB$13))))</f>
        <v>0.033</v>
      </c>
      <c r="AE509" s="8">
        <f>$AB$20*(1+G_HI)^(AB509-COST_DATE)</f>
        <v>1033.6830856960735</v>
      </c>
      <c r="AF509" s="8">
        <f>AF508*(1+AD509)</f>
        <v>917.7631017220407</v>
      </c>
      <c r="AG509" s="8">
        <f>IF(AB509&lt;RULE_START,AF509,AG508*(1+G_HI))</f>
        <v>1046.6532826857292</v>
      </c>
      <c r="AH509" s="8">
        <f>IF(AB509&lt;RULE_START,AF509,IF(AI509=1,R_NF_2024*(1+G_HI)^(AB509-2024),AH508*(1+AD509)))</f>
        <v>1101.743356661388</v>
      </c>
      <c r="AI509">
        <f>IF(AND(AB509&gt;=RULE_START,MOD(AB509-RULE_START,REBASE_YEARS)=0),1,0)</f>
        <v>1</v>
      </c>
      <c r="AJ509" s="8">
        <f>AF509*CAP_SHARE</f>
        <v>44.87616426787793</v>
      </c>
      <c r="AK509" s="8">
        <f>AG509*CAP_SHARE</f>
        <v>51.17854984275018</v>
      </c>
      <c r="AL509" s="8">
        <f>AH509*CAP_SHARE</f>
        <v>53.872307310905576</v>
      </c>
      <c r="AM509" s="8">
        <f>AF509-AJ509-AE509</f>
        <v>-160.7961482419107</v>
      </c>
      <c r="AN509" s="8">
        <f>AG509-AK509-AE509</f>
        <v>-38.208352853094425</v>
      </c>
      <c r="AO509" s="8">
        <f>AH509-AL509-AE509</f>
        <v>14.187963654408804</v>
      </c>
      <c r="AP509" s="8">
        <f>R_NF_2024*(1+G_HI)^(AB509-2024)</f>
        <v>1101.743356661388</v>
      </c>
      <c r="AQ509" s="10">
        <f>1-AF509/AP509</f>
        <v>0.16699011963808197</v>
      </c>
      <c r="AR509" s="10">
        <f>CPI_2023/(IF(AB509-1=2023,CPI_2023,IF(AB509-1=2024,CPI_2024,IF(AB509-1=2025,CPI_2025,CPI_2025*(1+INFL)^(AB509-1-2025)))))</f>
        <v>0.6087013907677552</v>
      </c>
      <c r="AS509" s="8">
        <f>$AB$21*ABS($AB$11)*(AG509-AF509)/AF509</f>
        <v>14001.124899487122</v>
      </c>
      <c r="AT509" s="8">
        <f>$AB$21*ABS($AB$11)*(AH509-AF509)/AF509</f>
        <v>19985.467544428266</v>
      </c>
      <c r="AU509" s="13">
        <f>(AG509-AF509)*MCD_NF_DAYS*AR509-AS509*MCD_SHARE_FREED*R_WAIT_2023</f>
        <v>34969031.47860434</v>
      </c>
      <c r="AV509" s="13">
        <f>(AH509-AF509)*MCD_NF_DAYS*AR509-AT509*MCD_SHARE_FREED*R_WAIT_2023</f>
        <v>49915449.55800929</v>
      </c>
      <c r="AW509" s="10">
        <f>IF(AND(AB509&gt;=RULE_START,AC509=1),1/(1+$AB$12)^(AB509-RULE_START+1),0)</f>
        <v>0.6864307597702186</v>
      </c>
      <c r="AX509">
        <f>IF(AND(AB509&gt;=RULE_START,AC509=1,AM509&lt;0),AB509,9999)</f>
        <v>2045</v>
      </c>
      <c r="AY509">
        <f>IF(AND(AB509&gt;=RULE_START,AC509=1,AN509&lt;0),AB509,9999)</f>
        <v>2045</v>
      </c>
      <c r="AZ509">
        <f>IF(AND(AB509&gt;=RULE_START,AC509=1,AO509&lt;0),AB509,9999)</f>
        <v>9999</v>
      </c>
      <c r="BB509" t="n">
        <v>2045</v>
      </c>
      <c r="BC509">
        <f>IF(BB509&lt;=RULE_START+$BB$38-1,1,0)</f>
        <v>1</v>
      </c>
      <c r="BD509" s="15">
        <f>IF(BB509=2024,G_IDX_2024,IF(BB509=2025,G_IDX_2025,IF(BB509=2026,G_IDX_2026,IF(BB509=2027,G_IDX_2027,$BB$13))))</f>
        <v>0.033</v>
      </c>
      <c r="BE509" s="8">
        <f>$BB$20*(1+G_HI)^(BB509-COST_DATE)</f>
        <v>1033.6830856960735</v>
      </c>
      <c r="BF509" s="8">
        <f>BF508*(1+BD509)</f>
        <v>917.7631017220407</v>
      </c>
      <c r="BG509" s="8">
        <f>IF(BB509&lt;RULE_START,BF509,BG508*(1+G_HI))</f>
        <v>1046.6532826857292</v>
      </c>
      <c r="BH509" s="8">
        <f>IF(BB509&lt;RULE_START,BF509,IF(BI509=1,R_NF_2024*(1+G_HI)^(BB509-2024),BH508*(1+BD509)))</f>
        <v>1101.743356661388</v>
      </c>
      <c r="BI509">
        <f>IF(AND(BB509&gt;=RULE_START,MOD(BB509-RULE_START,REBASE_YEARS)=0),1,0)</f>
        <v>1</v>
      </c>
      <c r="BJ509" s="8">
        <f>BF509*CAP_SHARE</f>
        <v>44.87616426787793</v>
      </c>
      <c r="BK509" s="8">
        <f>BG509*CAP_SHARE</f>
        <v>51.17854984275018</v>
      </c>
      <c r="BL509" s="8">
        <f>BH509*CAP_SHARE</f>
        <v>53.872307310905576</v>
      </c>
      <c r="BM509" s="8">
        <f>BF509-BJ509-BE509</f>
        <v>-160.7961482419107</v>
      </c>
      <c r="BN509" s="8">
        <f>BG509-BK509-BE509</f>
        <v>-38.208352853094425</v>
      </c>
      <c r="BO509" s="8">
        <f>BH509-BL509-BE509</f>
        <v>14.187963654408804</v>
      </c>
      <c r="BP509" s="8">
        <f>R_NF_2024*(1+G_HI)^(BB509-2024)</f>
        <v>1101.743356661388</v>
      </c>
      <c r="BQ509" s="10">
        <f>1-BF509/BP509</f>
        <v>0.16699011963808197</v>
      </c>
      <c r="BR509" s="10">
        <f>CPI_2023/(IF(BB509-1=2023,CPI_2023,IF(BB509-1=2024,CPI_2024,IF(BB509-1=2025,CPI_2025,CPI_2025*(1+INFL)^(BB509-1-2025)))))</f>
        <v>0.6087013907677552</v>
      </c>
      <c r="BS509" s="8">
        <f>$BB$21*ABS($BB$11)*(BG509-BF509)/BF509</f>
        <v>14001.124899487122</v>
      </c>
      <c r="BT509" s="8">
        <f>$BB$21*ABS($BB$11)*(BH509-BF509)/BF509</f>
        <v>19985.467544428266</v>
      </c>
      <c r="BU509" s="13">
        <f>(BG509-BF509)*MCD_NF_DAYS*BR509-BS509*MCD_SHARE_FREED*R_WAIT_2023</f>
        <v>34969031.47860434</v>
      </c>
      <c r="BV509" s="13">
        <f>(BH509-BF509)*MCD_NF_DAYS*BR509-BT509*MCD_SHARE_FREED*R_WAIT_2023</f>
        <v>49915449.55800929</v>
      </c>
      <c r="BW509" s="10">
        <f>IF(AND(BB509&gt;=RULE_START,BC509=1),1/(1+$BB$12)^(BB509-RULE_START+1),0)</f>
        <v>0.6864307597702186</v>
      </c>
      <c r="BX509">
        <f>IF(AND(BB509&gt;=RULE_START,BC509=1,BM509&lt;0),BB509,9999)</f>
        <v>2045</v>
      </c>
      <c r="BY509">
        <f>IF(AND(BB509&gt;=RULE_START,BC509=1,BN509&lt;0),BB509,9999)</f>
        <v>2045</v>
      </c>
      <c r="BZ509">
        <f>IF(AND(BB509&gt;=RULE_START,BC509=1,BO509&lt;0),BB509,9999)</f>
        <v>9999</v>
      </c>
      <c r="CB509" t="n">
        <v>2045</v>
      </c>
      <c r="CC509">
        <f>IF(CB509&lt;=RULE_START+$CB$38-1,1,0)</f>
        <v>1</v>
      </c>
      <c r="CD509" s="15">
        <f>IF(CB509=2024,G_IDX_2024,IF(CB509=2025,G_IDX_2025,IF(CB509=2026,G_IDX_2026,IF(CB509=2027,G_IDX_2027,$CB$13))))</f>
        <v>0.033</v>
      </c>
      <c r="CE509" s="8">
        <f>$CB$20*(1+G_HI)^(CB509-COST_DATE)</f>
        <v>1033.6830856960735</v>
      </c>
      <c r="CF509" s="8">
        <f>CF508*(1+CD509)</f>
        <v>917.7631017220407</v>
      </c>
      <c r="CG509" s="8">
        <f>IF(CB509&lt;RULE_START,CF509,CG508*(1+G_HI))</f>
        <v>1046.6532826857292</v>
      </c>
      <c r="CH509" s="8">
        <f>IF(CB509&lt;RULE_START,CF509,IF(CI509=1,R_NF_2024*(1+G_HI)^(CB509-2024),CH508*(1+CD509)))</f>
        <v>1101.743356661388</v>
      </c>
      <c r="CI509">
        <f>IF(AND(CB509&gt;=RULE_START,MOD(CB509-RULE_START,REBASE_YEARS)=0),1,0)</f>
        <v>1</v>
      </c>
      <c r="CJ509" s="8">
        <f>CF509*CAP_SHARE</f>
        <v>44.87616426787793</v>
      </c>
      <c r="CK509" s="8">
        <f>CG509*CAP_SHARE</f>
        <v>51.17854984275018</v>
      </c>
      <c r="CL509" s="8">
        <f>CH509*CAP_SHARE</f>
        <v>53.872307310905576</v>
      </c>
      <c r="CM509" s="8">
        <f>CF509-CJ509-CE509</f>
        <v>-160.7961482419107</v>
      </c>
      <c r="CN509" s="8">
        <f>CG509-CK509-CE509</f>
        <v>-38.208352853094425</v>
      </c>
      <c r="CO509" s="8">
        <f>CH509-CL509-CE509</f>
        <v>14.187963654408804</v>
      </c>
      <c r="CP509" s="8">
        <f>R_NF_2024*(1+G_HI)^(CB509-2024)</f>
        <v>1101.743356661388</v>
      </c>
      <c r="CQ509" s="10">
        <f>1-CF509/CP509</f>
        <v>0.16699011963808197</v>
      </c>
      <c r="CR509" s="10">
        <f>CPI_2023/(IF(CB509-1=2023,CPI_2023,IF(CB509-1=2024,CPI_2024,IF(CB509-1=2025,CPI_2025,CPI_2025*(1+INFL)^(CB509-1-2025)))))</f>
        <v>0.6087013907677552</v>
      </c>
      <c r="CS509" s="8">
        <f>$CB$21*ABS($CB$11)*(CG509-CF509)/CF509</f>
        <v>14001.124899487122</v>
      </c>
      <c r="CT509" s="8">
        <f>$CB$21*ABS($CB$11)*(CH509-CF509)/CF509</f>
        <v>19985.467544428266</v>
      </c>
      <c r="CU509" s="13">
        <f>(CG509-CF509)*MCD_NF_DAYS*CR509-CS509*MCD_SHARE_FREED*R_WAIT_2023</f>
        <v>34969031.47860434</v>
      </c>
      <c r="CV509" s="13">
        <f>(CH509-CF509)*MCD_NF_DAYS*CR509-CT509*MCD_SHARE_FREED*R_WAIT_2023</f>
        <v>49915449.55800929</v>
      </c>
      <c r="CW509" s="10">
        <f>IF(AND(CB509&gt;=RULE_START,CC509=1),1/(1+$CB$12)^(CB509-RULE_START+1),0)</f>
        <v>0.6864307597702186</v>
      </c>
      <c r="CX509">
        <f>IF(AND(CB509&gt;=RULE_START,CC509=1,CM509&lt;0),CB509,9999)</f>
        <v>2045</v>
      </c>
      <c r="CY509">
        <f>IF(AND(CB509&gt;=RULE_START,CC509=1,CN509&lt;0),CB509,9999)</f>
        <v>2045</v>
      </c>
      <c r="CZ509">
        <f>IF(AND(CB509&gt;=RULE_START,CC509=1,CO509&lt;0),CB509,9999)</f>
        <v>9999</v>
      </c>
      <c r="DB509" t="n">
        <v>2045</v>
      </c>
      <c r="DC509">
        <f>IF(DB509&lt;=RULE_START+$DB$38-1,1,0)</f>
        <v>1</v>
      </c>
      <c r="DD509" s="15">
        <f>IF(DB509=2024,G_IDX_2024,IF(DB509=2025,G_IDX_2025,IF(DB509=2026,G_IDX_2026,IF(DB509=2027,G_IDX_2027,$DB$13))))</f>
        <v>0.033</v>
      </c>
      <c r="DE509" s="8">
        <f>$DB$20*(1+G_HI)^(DB509-COST_DATE)</f>
        <v>1033.6830856960735</v>
      </c>
      <c r="DF509" s="8">
        <f>DF508*(1+DD509)</f>
        <v>917.7631017220407</v>
      </c>
      <c r="DG509" s="8">
        <f>IF(DB509&lt;RULE_START,DF509,DG508*(1+G_HI))</f>
        <v>1046.6532826857292</v>
      </c>
      <c r="DH509" s="8">
        <f>IF(DB509&lt;RULE_START,DF509,IF(DI509=1,R_NF_2024*(1+G_HI)^(DB509-2024),DH508*(1+DD509)))</f>
        <v>1101.743356661388</v>
      </c>
      <c r="DI509">
        <f>IF(AND(DB509&gt;=RULE_START,MOD(DB509-RULE_START,REBASE_YEARS)=0),1,0)</f>
        <v>1</v>
      </c>
      <c r="DJ509" s="8">
        <f>DF509*CAP_SHARE</f>
        <v>44.87616426787793</v>
      </c>
      <c r="DK509" s="8">
        <f>DG509*CAP_SHARE</f>
        <v>51.17854984275018</v>
      </c>
      <c r="DL509" s="8">
        <f>DH509*CAP_SHARE</f>
        <v>53.872307310905576</v>
      </c>
      <c r="DM509" s="8">
        <f>DF509-DJ509-DE509</f>
        <v>-160.7961482419107</v>
      </c>
      <c r="DN509" s="8">
        <f>DG509-DK509-DE509</f>
        <v>-38.208352853094425</v>
      </c>
      <c r="DO509" s="8">
        <f>DH509-DL509-DE509</f>
        <v>14.187963654408804</v>
      </c>
      <c r="DP509" s="8">
        <f>R_NF_2024*(1+G_HI)^(DB509-2024)</f>
        <v>1101.743356661388</v>
      </c>
      <c r="DQ509" s="10">
        <f>1-DF509/DP509</f>
        <v>0.16699011963808197</v>
      </c>
      <c r="DR509" s="10">
        <f>CPI_2023/(IF(DB509-1=2023,CPI_2023,IF(DB509-1=2024,CPI_2024,IF(DB509-1=2025,CPI_2025,CPI_2025*(1+INFL)^(DB509-1-2025)))))</f>
        <v>0.6087013907677552</v>
      </c>
      <c r="DS509" s="8">
        <f>$DB$21*ABS($DB$11)*(DG509-DF509)/DF509</f>
        <v>14001.124899487122</v>
      </c>
      <c r="DT509" s="8">
        <f>$DB$21*ABS($DB$11)*(DH509-DF509)/DF509</f>
        <v>19985.467544428266</v>
      </c>
      <c r="DU509" s="13">
        <f>(DG509-DF509)*MCD_NF_DAYS*DR509-DS509*MCD_SHARE_FREED*R_WAIT_2023</f>
        <v>34969031.47860434</v>
      </c>
      <c r="DV509" s="13">
        <f>(DH509-DF509)*MCD_NF_DAYS*DR509-DT509*MCD_SHARE_FREED*R_WAIT_2023</f>
        <v>49915449.55800929</v>
      </c>
      <c r="DW509" s="10">
        <f>IF(AND(DB509&gt;=RULE_START,DC509=1),1/(1+$DB$12)^(DB509-RULE_START+1),0)</f>
        <v>0.6864307597702186</v>
      </c>
      <c r="DX509">
        <f>IF(AND(DB509&gt;=RULE_START,DC509=1,DM509&lt;0),DB509,9999)</f>
        <v>2045</v>
      </c>
      <c r="DY509">
        <f>IF(AND(DB509&gt;=RULE_START,DC509=1,DN509&lt;0),DB509,9999)</f>
        <v>2045</v>
      </c>
      <c r="DZ509">
        <f>IF(AND(DB509&gt;=RULE_START,DC509=1,DO509&lt;0),DB509,9999)</f>
        <v>9999</v>
      </c>
      <c r="EB509" t="n">
        <v>2045</v>
      </c>
      <c r="EC509">
        <f>IF(EB509&lt;=RULE_START+$EB$38-1,1,0)</f>
        <v>1</v>
      </c>
      <c r="ED509" s="15">
        <f>IF(EB509=2024,G_IDX_2024,IF(EB509=2025,G_IDX_2025,IF(EB509=2026,G_IDX_2026,IF(EB509=2027,G_IDX_2027,$EB$13))))</f>
        <v>0.033</v>
      </c>
      <c r="EE509" s="8">
        <f>$EB$20*(1+G_HI)^(EB509-COST_DATE)</f>
        <v>1033.6830856960735</v>
      </c>
      <c r="EF509" s="8">
        <f>EF508*(1+ED509)</f>
        <v>917.7631017220407</v>
      </c>
      <c r="EG509" s="8">
        <f>IF(EB509&lt;RULE_START,EF509,EG508*(1+G_HI))</f>
        <v>1046.6532826857292</v>
      </c>
      <c r="EH509" s="8">
        <f>IF(EB509&lt;RULE_START,EF509,IF(EI509=1,R_NF_2024*(1+G_HI)^(EB509-2024),EH508*(1+ED509)))</f>
        <v>1101.743356661388</v>
      </c>
      <c r="EI509">
        <f>IF(AND(EB509&gt;=RULE_START,MOD(EB509-RULE_START,REBASE_YEARS)=0),1,0)</f>
        <v>1</v>
      </c>
      <c r="EJ509" s="8">
        <f>EF509*CAP_SHARE</f>
        <v>44.87616426787793</v>
      </c>
      <c r="EK509" s="8">
        <f>EG509*CAP_SHARE</f>
        <v>51.17854984275018</v>
      </c>
      <c r="EL509" s="8">
        <f>EH509*CAP_SHARE</f>
        <v>53.872307310905576</v>
      </c>
      <c r="EM509" s="8">
        <f>EF509-EJ509-EE509</f>
        <v>-160.7961482419107</v>
      </c>
      <c r="EN509" s="8">
        <f>EG509-EK509-EE509</f>
        <v>-38.208352853094425</v>
      </c>
      <c r="EO509" s="8">
        <f>EH509-EL509-EE509</f>
        <v>14.187963654408804</v>
      </c>
      <c r="EP509" s="8">
        <f>R_NF_2024*(1+G_HI)^(EB509-2024)</f>
        <v>1101.743356661388</v>
      </c>
      <c r="EQ509" s="10">
        <f>1-EF509/EP509</f>
        <v>0.16699011963808197</v>
      </c>
      <c r="ER509" s="10">
        <f>CPI_2023/(IF(EB509-1=2023,CPI_2023,IF(EB509-1=2024,CPI_2024,IF(EB509-1=2025,CPI_2025,CPI_2025*(1+INFL)^(EB509-1-2025)))))</f>
        <v>0.6087013907677552</v>
      </c>
      <c r="ES509" s="8">
        <f>$EB$21*ABS($EB$11)*(EG509-EF509)/EF509</f>
        <v>14001.124899487122</v>
      </c>
      <c r="ET509" s="8">
        <f>$EB$21*ABS($EB$11)*(EH509-EF509)/EF509</f>
        <v>19985.467544428266</v>
      </c>
      <c r="EU509" s="13">
        <f>(EG509-EF509)*MCD_NF_DAYS*ER509-ES509*MCD_SHARE_FREED*R_WAIT_2023</f>
        <v>34969031.47860434</v>
      </c>
      <c r="EV509" s="13">
        <f>(EH509-EF509)*MCD_NF_DAYS*ER509-ET509*MCD_SHARE_FREED*R_WAIT_2023</f>
        <v>49915449.55800929</v>
      </c>
      <c r="EW509" s="10">
        <f>IF(AND(EB509&gt;=RULE_START,EC509=1),1/(1+$EB$12)^(EB509-RULE_START+1),0)</f>
        <v>0.6864307597702186</v>
      </c>
      <c r="EX509">
        <f>IF(AND(EB509&gt;=RULE_START,EC509=1,EM509&lt;0),EB509,9999)</f>
        <v>2045</v>
      </c>
      <c r="EY509">
        <f>IF(AND(EB509&gt;=RULE_START,EC509=1,EN509&lt;0),EB509,9999)</f>
        <v>2045</v>
      </c>
      <c r="EZ509">
        <f>IF(AND(EB509&gt;=RULE_START,EC509=1,EO509&lt;0),EB509,9999)</f>
        <v>9999</v>
      </c>
      <c r="FB509" t="n">
        <v>2045</v>
      </c>
      <c r="FC509">
        <f>IF(FB509&lt;=RULE_START+$FB$38-1,1,0)</f>
        <v>1</v>
      </c>
      <c r="FD509" s="15">
        <f>IF(FB509=2024,G_IDX_2024,IF(FB509=2025,G_IDX_2025,IF(FB509=2026,G_IDX_2026,IF(FB509=2027,G_IDX_2027,$FB$13))))</f>
        <v>0.033</v>
      </c>
      <c r="FE509" s="8">
        <f>$FB$20*(1+G_HI)^(FB509-COST_DATE)</f>
        <v>1063.7966701682333</v>
      </c>
      <c r="FF509" s="8">
        <f>FF508*(1+FD509)</f>
        <v>917.7631017220407</v>
      </c>
      <c r="FG509" s="8">
        <f>IF(FB509&lt;RULE_START,FF509,FG508*(1+G_HI))</f>
        <v>1046.6532826857292</v>
      </c>
      <c r="FH509" s="8">
        <f>IF(FB509&lt;RULE_START,FF509,IF(FI509=1,R_NF_2024*(1+G_HI)^(FB509-2024),FH508*(1+FD509)))</f>
        <v>1101.743356661388</v>
      </c>
      <c r="FI509">
        <f>IF(AND(FB509&gt;=RULE_START,MOD(FB509-RULE_START,REBASE_YEARS)=0),1,0)</f>
        <v>1</v>
      </c>
      <c r="FJ509" s="8">
        <f>FF509*CAP_SHARE</f>
        <v>44.87616426787793</v>
      </c>
      <c r="FK509" s="8">
        <f>FG509*CAP_SHARE</f>
        <v>51.17854984275018</v>
      </c>
      <c r="FL509" s="8">
        <f>FH509*CAP_SHARE</f>
        <v>53.872307310905576</v>
      </c>
      <c r="FM509" s="8">
        <f>FF509-FJ509-FE509</f>
        <v>-190.90973271407051</v>
      </c>
      <c r="FN509" s="8">
        <f>FG509-FK509-FE509</f>
        <v>-68.32193732525423</v>
      </c>
      <c r="FO509" s="8">
        <f>FH509-FL509-FE509</f>
        <v>-15.925620817750996</v>
      </c>
      <c r="FP509" s="8">
        <f>R_NF_2024*(1+G_HI)^(FB509-2024)</f>
        <v>1101.743356661388</v>
      </c>
      <c r="FQ509" s="10">
        <f>1-FF509/FP509</f>
        <v>0.16699011963808197</v>
      </c>
      <c r="FR509" s="10">
        <f>CPI_2023/(IF(FB509-1=2023,CPI_2023,IF(FB509-1=2024,CPI_2024,IF(FB509-1=2025,CPI_2025,CPI_2025*(1+INFL)^(FB509-1-2025)))))</f>
        <v>0.6087013907677552</v>
      </c>
      <c r="FS509" s="8">
        <f>$FB$21*ABS($FB$11)*(FG509-FF509)/FF509</f>
        <v>14001.124899487122</v>
      </c>
      <c r="FT509" s="8">
        <f>$FB$21*ABS($FB$11)*(FH509-FF509)/FF509</f>
        <v>19985.467544428266</v>
      </c>
      <c r="FU509" s="13">
        <f>(FG509-FF509)*MCD_NF_DAYS*FR509-FS509*MCD_SHARE_FREED*R_WAIT_2023</f>
        <v>34969031.47860434</v>
      </c>
      <c r="FV509" s="13">
        <f>(FH509-FF509)*MCD_NF_DAYS*FR509-FT509*MCD_SHARE_FREED*R_WAIT_2023</f>
        <v>49915449.55800929</v>
      </c>
      <c r="FW509" s="10">
        <f>IF(AND(FB509&gt;=RULE_START,FC509=1),1/(1+$FB$12)^(FB509-RULE_START+1),0)</f>
        <v>0.6864307597702186</v>
      </c>
      <c r="FX509">
        <f>IF(AND(FB509&gt;=RULE_START,FC509=1,FM509&lt;0),FB509,9999)</f>
        <v>2045</v>
      </c>
      <c r="FY509">
        <f>IF(AND(FB509&gt;=RULE_START,FC509=1,FN509&lt;0),FB509,9999)</f>
        <v>2045</v>
      </c>
      <c r="FZ509">
        <f>IF(AND(FB509&gt;=RULE_START,FC509=1,FO509&lt;0),FB509,9999)</f>
        <v>2045</v>
      </c>
      <c r="GB509" t="n">
        <v>2045</v>
      </c>
      <c r="GC509">
        <f>IF(GB509&lt;=RULE_START+$GB$38-1,1,0)</f>
        <v>1</v>
      </c>
      <c r="GD509" s="15">
        <f>IF(GB509=2024,G_IDX_2024,IF(GB509=2025,G_IDX_2025,IF(GB509=2026,G_IDX_2026,IF(GB509=2027,G_IDX_2027,$GB$13))))</f>
        <v>0.033</v>
      </c>
      <c r="GE509" s="8">
        <f>$GB$20*(1+G_HI)^(GB509-COST_DATE)</f>
        <v>1033.6830856960735</v>
      </c>
      <c r="GF509" s="8">
        <f>GF508*(1+GD509)</f>
        <v>917.7631017220407</v>
      </c>
      <c r="GG509" s="8">
        <f>IF(GB509&lt;RULE_START,GF509,GG508*(1+G_HI))</f>
        <v>1046.6532826857292</v>
      </c>
      <c r="GH509" s="8">
        <f>IF(GB509&lt;RULE_START,GF509,IF(GI509=1,R_NF_2024*(1+G_HI)^(GB509-2024),GH508*(1+GD509)))</f>
        <v>1101.743356661388</v>
      </c>
      <c r="GI509">
        <f>IF(AND(GB509&gt;=RULE_START,MOD(GB509-RULE_START,REBASE_YEARS)=0),1,0)</f>
        <v>1</v>
      </c>
      <c r="GJ509" s="8">
        <f>GF509*CAP_SHARE</f>
        <v>44.87616426787793</v>
      </c>
      <c r="GK509" s="8">
        <f>GG509*CAP_SHARE</f>
        <v>51.17854984275018</v>
      </c>
      <c r="GL509" s="8">
        <f>GH509*CAP_SHARE</f>
        <v>53.872307310905576</v>
      </c>
      <c r="GM509" s="8">
        <f>GF509-GJ509-GE509</f>
        <v>-160.7961482419107</v>
      </c>
      <c r="GN509" s="8">
        <f>GG509-GK509-GE509</f>
        <v>-38.208352853094425</v>
      </c>
      <c r="GO509" s="8">
        <f>GH509-GL509-GE509</f>
        <v>14.187963654408804</v>
      </c>
      <c r="GP509" s="8">
        <f>R_NF_2024*(1+G_HI)^(GB509-2024)</f>
        <v>1101.743356661388</v>
      </c>
      <c r="GQ509" s="10">
        <f>1-GF509/GP509</f>
        <v>0.16699011963808197</v>
      </c>
      <c r="GR509" s="10">
        <f>CPI_2023/(IF(GB509-1=2023,CPI_2023,IF(GB509-1=2024,CPI_2024,IF(GB509-1=2025,CPI_2025,CPI_2025*(1+INFL)^(GB509-1-2025)))))</f>
        <v>0.6087013907677552</v>
      </c>
      <c r="GS509" s="8">
        <f>$GB$21*ABS($GB$11)*(GG509-GF509)/GF509</f>
        <v>10568.748922063854</v>
      </c>
      <c r="GT509" s="8">
        <f>$GB$21*ABS($GB$11)*(GH509-GF509)/GF509</f>
        <v>15086.029878560375</v>
      </c>
      <c r="GU509" s="13">
        <f>(GG509-GF509)*MCD_NF_DAYS*GR509-GS509*MCD_SHARE_FREED*R_WAIT_2023</f>
        <v>36529797.12719624</v>
      </c>
      <c r="GV509" s="13">
        <f>(GH509-GF509)*MCD_NF_DAYS*GR509-GT509*MCD_SHARE_FREED*R_WAIT_2023</f>
        <v>52143315.63579384</v>
      </c>
      <c r="GW509" s="10">
        <f>IF(AND(GB509&gt;=RULE_START,GC509=1),1/(1+$GB$12)^(GB509-RULE_START+1),0)</f>
        <v>0.6864307597702186</v>
      </c>
      <c r="GX509">
        <f>IF(AND(GB509&gt;=RULE_START,GC509=1,GM509&lt;0),GB509,9999)</f>
        <v>2045</v>
      </c>
      <c r="GY509">
        <f>IF(AND(GB509&gt;=RULE_START,GC509=1,GN509&lt;0),GB509,9999)</f>
        <v>2045</v>
      </c>
      <c r="GZ509">
        <f>IF(AND(GB509&gt;=RULE_START,GC509=1,GO509&lt;0),GB509,9999)</f>
        <v>9999</v>
      </c>
      <c r="HB509" t="n">
        <v>2045</v>
      </c>
      <c r="HC509">
        <f>IF(HB509&lt;=RULE_START+$HB$38-1,1,0)</f>
        <v>1</v>
      </c>
      <c r="HD509" s="15">
        <f>IF(HB509=2024,G_IDX_2024,IF(HB509=2025,G_IDX_2025,IF(HB509=2026,G_IDX_2026,IF(HB509=2027,G_IDX_2027,$HB$13))))</f>
        <v>0.033</v>
      </c>
      <c r="HE509" s="8">
        <f>$HB$20*(1+G_HI)^(HB509-COST_DATE)</f>
        <v>1033.6830856960735</v>
      </c>
      <c r="HF509" s="8">
        <f>HF508*(1+HD509)</f>
        <v>917.7631017220407</v>
      </c>
      <c r="HG509" s="8">
        <f>IF(HB509&lt;RULE_START,HF509,HG508*(1+G_HI))</f>
        <v>1046.6532826857292</v>
      </c>
      <c r="HH509" s="8">
        <f>IF(HB509&lt;RULE_START,HF509,IF(HI509=1,R_NF_2024*(1+G_HI)^(HB509-2024),HH508*(1+HD509)))</f>
        <v>1101.743356661388</v>
      </c>
      <c r="HI509">
        <f>IF(AND(HB509&gt;=RULE_START,MOD(HB509-RULE_START,REBASE_YEARS)=0),1,0)</f>
        <v>1</v>
      </c>
      <c r="HJ509" s="8">
        <f>HF509*CAP_SHARE</f>
        <v>44.87616426787793</v>
      </c>
      <c r="HK509" s="8">
        <f>HG509*CAP_SHARE</f>
        <v>51.17854984275018</v>
      </c>
      <c r="HL509" s="8">
        <f>HH509*CAP_SHARE</f>
        <v>53.872307310905576</v>
      </c>
      <c r="HM509" s="8">
        <f>HF509-HJ509-HE509</f>
        <v>-160.7961482419107</v>
      </c>
      <c r="HN509" s="8">
        <f>HG509-HK509-HE509</f>
        <v>-38.208352853094425</v>
      </c>
      <c r="HO509" s="8">
        <f>HH509-HL509-HE509</f>
        <v>14.187963654408804</v>
      </c>
      <c r="HP509" s="8">
        <f>R_NF_2024*(1+G_HI)^(HB509-2024)</f>
        <v>1101.743356661388</v>
      </c>
      <c r="HQ509" s="10">
        <f>1-HF509/HP509</f>
        <v>0.16699011963808197</v>
      </c>
      <c r="HR509" s="10">
        <f>CPI_2023/(IF(HB509-1=2023,CPI_2023,IF(HB509-1=2024,CPI_2024,IF(HB509-1=2025,CPI_2025,CPI_2025*(1+INFL)^(HB509-1-2025)))))</f>
        <v>0.6087013907677552</v>
      </c>
      <c r="HS509" s="8">
        <f>$HB$21*ABS($HB$11)*(HG509-HF509)/HF509</f>
        <v>14001.124899487122</v>
      </c>
      <c r="HT509" s="8">
        <f>$HB$21*ABS($HB$11)*(HH509-HF509)/HF509</f>
        <v>19985.467544428266</v>
      </c>
      <c r="HU509" s="13">
        <f>(HG509-HF509)*MCD_NF_DAYS*HR509-HS509*MCD_SHARE_FREED*R_WAIT_2023</f>
        <v>34969031.47860434</v>
      </c>
      <c r="HV509" s="13">
        <f>(HH509-HF509)*MCD_NF_DAYS*HR509-HT509*MCD_SHARE_FREED*R_WAIT_2023</f>
        <v>49915449.55800929</v>
      </c>
      <c r="HW509" s="10">
        <f>IF(AND(HB509&gt;=RULE_START,HC509=1),1/(1+$HB$12)^(HB509-RULE_START+1),0)</f>
        <v>0.5702860268119245</v>
      </c>
      <c r="HX509">
        <f>IF(AND(HB509&gt;=RULE_START,HC509=1,HM509&lt;0),HB509,9999)</f>
        <v>2045</v>
      </c>
      <c r="HY509">
        <f>IF(AND(HB509&gt;=RULE_START,HC509=1,HN509&lt;0),HB509,9999)</f>
        <v>2045</v>
      </c>
      <c r="HZ509">
        <f>IF(AND(HB509&gt;=RULE_START,HC509=1,HO509&lt;0),HB509,9999)</f>
        <v>9999</v>
      </c>
      <c r="IB509" t="n">
        <v>2045</v>
      </c>
      <c r="IC509">
        <f>IF(IB509&lt;=RULE_START+$IB$38-1,1,0)</f>
        <v>1</v>
      </c>
      <c r="ID509" s="15">
        <f>IF(IB509=2024,G_IDX_2024,IF(IB509=2025,G_IDX_2025,IF(IB509=2026,G_IDX_2026,IF(IB509=2027,G_IDX_2027,$IB$13))))</f>
        <v>0.033</v>
      </c>
      <c r="IE509" s="8">
        <f>$IB$20*(1+G_HI)^(IB509-COST_DATE)</f>
        <v>1033.6830856960735</v>
      </c>
      <c r="IF509" s="8">
        <f>IF508*(1+ID509)</f>
        <v>917.7631017220407</v>
      </c>
      <c r="IG509" s="8">
        <f>IF(IB509&lt;RULE_START,IF509,IG508*(1+G_HI))</f>
        <v>1046.6532826857292</v>
      </c>
      <c r="IH509" s="8">
        <f>IF(IB509&lt;RULE_START,IF509,IF(II509=1,R_NF_2024*(1+G_HI)^(IB509-2024),IH508*(1+ID509)))</f>
        <v>1101.743356661388</v>
      </c>
      <c r="II509">
        <f>IF(AND(IB509&gt;=RULE_START,MOD(IB509-RULE_START,REBASE_YEARS)=0),1,0)</f>
        <v>1</v>
      </c>
      <c r="IJ509" s="8">
        <f>IF509*CAP_SHARE</f>
        <v>44.87616426787793</v>
      </c>
      <c r="IK509" s="8">
        <f>IG509*CAP_SHARE</f>
        <v>51.17854984275018</v>
      </c>
      <c r="IL509" s="8">
        <f>IH509*CAP_SHARE</f>
        <v>53.872307310905576</v>
      </c>
      <c r="IM509" s="8">
        <f>IF509-IJ509-IE509</f>
        <v>-160.7961482419107</v>
      </c>
      <c r="IN509" s="8">
        <f>IG509-IK509-IE509</f>
        <v>-38.208352853094425</v>
      </c>
      <c r="IO509" s="8">
        <f>IH509-IL509-IE509</f>
        <v>14.187963654408804</v>
      </c>
      <c r="IP509" s="8">
        <f>R_NF_2024*(1+G_HI)^(IB509-2024)</f>
        <v>1101.743356661388</v>
      </c>
      <c r="IQ509" s="10">
        <f>1-IF509/IP509</f>
        <v>0.16699011963808197</v>
      </c>
      <c r="IR509" s="10">
        <f>CPI_2023/(IF(IB509-1=2023,CPI_2023,IF(IB509-1=2024,CPI_2024,IF(IB509-1=2025,CPI_2025,CPI_2025*(1+INFL)^(IB509-1-2025)))))</f>
        <v>0.6087013907677552</v>
      </c>
      <c r="IS509" s="8">
        <f>$IB$21*ABS($IB$11)*(IG509-IF509)/IF509</f>
        <v>14001.124899487122</v>
      </c>
      <c r="IT509" s="8">
        <f>$IB$21*ABS($IB$11)*(IH509-IF509)/IF509</f>
        <v>19985.467544428266</v>
      </c>
      <c r="IU509" s="13">
        <f>(IG509-IF509)*MCD_NF_DAYS*IR509-IS509*MCD_SHARE_FREED*R_WAIT_2023</f>
        <v>34969031.47860434</v>
      </c>
      <c r="IV509" s="13">
        <f>(IH509-IF509)*MCD_NF_DAYS*IR509-IT509*MCD_SHARE_FREED*R_WAIT_2023</f>
        <v>49915449.55800929</v>
      </c>
      <c r="IW509" s="10">
        <f>IF(AND(IB509&gt;=RULE_START,IC509=1),1/(1+$IB$12)^(IB509-RULE_START+1),0)</f>
        <v>0.2765083330108392</v>
      </c>
      <c r="IX509">
        <f>IF(AND(IB509&gt;=RULE_START,IC509=1,IM509&lt;0),IB509,9999)</f>
        <v>2045</v>
      </c>
      <c r="IY509">
        <f>IF(AND(IB509&gt;=RULE_START,IC509=1,IN509&lt;0),IB509,9999)</f>
        <v>2045</v>
      </c>
      <c r="IZ509">
        <f>IF(AND(IB509&gt;=RULE_START,IC509=1,IO509&lt;0),IB509,9999)</f>
        <v>9999</v>
      </c>
      <c r="JB509" t="n">
        <v>2045</v>
      </c>
      <c r="JC509">
        <f>IF(JB509&lt;=RULE_START+$JB$38-1,1,0)</f>
        <v>1</v>
      </c>
      <c r="JD509" s="15">
        <f>IF(JB509=2024,G_IDX_2024,IF(JB509=2025,G_IDX_2025,IF(JB509=2026,G_IDX_2026,IF(JB509=2027,G_IDX_2027,$JB$13))))</f>
        <v>0.03</v>
      </c>
      <c r="JE509" s="8">
        <f>$JB$20*(1+G_HI)^(JB509-COST_DATE)</f>
        <v>1033.6830856960735</v>
      </c>
      <c r="JF509" s="8">
        <f>JF508*(1+JD509)</f>
        <v>870.9532627071721</v>
      </c>
      <c r="JG509" s="8">
        <f>IF(JB509&lt;RULE_START,JF509,JG508*(1+G_HI))</f>
        <v>1046.6532826857292</v>
      </c>
      <c r="JH509" s="8">
        <f>IF(JB509&lt;RULE_START,JF509,IF(JI509=1,R_NF_2024*(1+G_HI)^(JB509-2024),JH508*(1+JD509)))</f>
        <v>1101.743356661388</v>
      </c>
      <c r="JI509">
        <f>IF(AND(JB509&gt;=RULE_START,MOD(JB509-RULE_START,REBASE_YEARS)=0),1,0)</f>
        <v>1</v>
      </c>
      <c r="JJ509" s="8">
        <f>JF509*CAP_SHARE</f>
        <v>42.587288172246474</v>
      </c>
      <c r="JK509" s="8">
        <f>JG509*CAP_SHARE</f>
        <v>51.17854984275018</v>
      </c>
      <c r="JL509" s="8">
        <f>JH509*CAP_SHARE</f>
        <v>53.872307310905576</v>
      </c>
      <c r="JM509" s="8">
        <f>JF509-JJ509-JE509</f>
        <v>-205.31711116114775</v>
      </c>
      <c r="JN509" s="8">
        <f>JG509-JK509-JE509</f>
        <v>-38.208352853094425</v>
      </c>
      <c r="JO509" s="8">
        <f>JH509-JL509-JE509</f>
        <v>14.187963654408804</v>
      </c>
      <c r="JP509" s="8">
        <f>R_NF_2024*(1+G_HI)^(JB509-2024)</f>
        <v>1101.743356661388</v>
      </c>
      <c r="JQ509" s="10">
        <f>1-JF509/JP509</f>
        <v>0.2094771822846101</v>
      </c>
      <c r="JR509" s="10">
        <f>CPI_2023/(IF(JB509-1=2023,CPI_2023,IF(JB509-1=2024,CPI_2024,IF(JB509-1=2025,CPI_2025,CPI_2025*(1+INFL)^(JB509-1-2025)))))</f>
        <v>0.6087013907677552</v>
      </c>
      <c r="JS509" s="8">
        <f>$JB$21*ABS($JB$11)*(JG509-JF509)/JF509</f>
        <v>20111.78649413741</v>
      </c>
      <c r="JT509" s="8">
        <f>$JB$21*ABS($JB$11)*(JH509-JF509)/JF509</f>
        <v>26417.760767105065</v>
      </c>
      <c r="JU509" s="13">
        <f>(JG509-JF509)*MCD_NF_DAYS*JR509-JS509*MCD_SHARE_FREED*R_WAIT_2023</f>
        <v>47202504.93829037</v>
      </c>
      <c r="JV509" s="13">
        <f>(JH509-JF509)*MCD_NF_DAYS*JR509-JT509*MCD_SHARE_FREED*R_WAIT_2023</f>
        <v>62002671.09196623</v>
      </c>
      <c r="JW509" s="10">
        <f>IF(AND(JB509&gt;=RULE_START,JC509=1),1/(1+$JB$12)^(JB509-RULE_START+1),0)</f>
        <v>0.6864307597702186</v>
      </c>
      <c r="JX509">
        <f>IF(AND(JB509&gt;=RULE_START,JC509=1,JM509&lt;0),JB509,9999)</f>
        <v>2045</v>
      </c>
      <c r="JY509">
        <f>IF(AND(JB509&gt;=RULE_START,JC509=1,JN509&lt;0),JB509,9999)</f>
        <v>2045</v>
      </c>
      <c r="JZ509">
        <f>IF(AND(JB509&gt;=RULE_START,JC509=1,JO509&lt;0),JB509,9999)</f>
        <v>9999</v>
      </c>
      <c r="KB509" t="n">
        <v>2045</v>
      </c>
      <c r="KC509">
        <f>IF(KB509&lt;=RULE_START+$KB$38-1,1,0)</f>
        <v>1</v>
      </c>
      <c r="KD509" s="15">
        <f>IF(KB509=2024,G_IDX_2024,IF(KB509=2025,G_IDX_2025,IF(KB509=2026,G_IDX_2026,IF(KB509=2027,G_IDX_2027,$KB$13))))</f>
        <v>0.033</v>
      </c>
      <c r="KE509" s="8">
        <f>$KB$20*(1+G_HI)^(KB509-COST_DATE)</f>
        <v>1033.6830856960735</v>
      </c>
      <c r="KF509" s="8">
        <f>KF508*(1+KD509)</f>
        <v>917.7631017220407</v>
      </c>
      <c r="KG509" s="8">
        <f>IF(KB509&lt;RULE_START,KF509,KG508*(1+G_HI))</f>
        <v>1046.6532826857292</v>
      </c>
      <c r="KH509" s="8">
        <f>IF(KB509&lt;RULE_START,KF509,IF(KI509=1,R_NF_2024*(1+G_HI)^(KB509-2024),KH508*(1+KD509)))</f>
        <v>1101.743356661388</v>
      </c>
      <c r="KI509">
        <f>IF(AND(KB509&gt;=RULE_START,MOD(KB509-RULE_START,REBASE_YEARS)=0),1,0)</f>
        <v>1</v>
      </c>
      <c r="KJ509" s="8">
        <f>KF509*CAP_SHARE</f>
        <v>44.87616426787793</v>
      </c>
      <c r="KK509" s="8">
        <f>KG509*CAP_SHARE</f>
        <v>51.17854984275018</v>
      </c>
      <c r="KL509" s="8">
        <f>KH509*CAP_SHARE</f>
        <v>53.872307310905576</v>
      </c>
      <c r="KM509" s="8">
        <f>KF509-KJ509-KE509</f>
        <v>-160.7961482419107</v>
      </c>
      <c r="KN509" s="8">
        <f>KG509-KK509-KE509</f>
        <v>-38.208352853094425</v>
      </c>
      <c r="KO509" s="8">
        <f>KH509-KL509-KE509</f>
        <v>14.187963654408804</v>
      </c>
      <c r="KP509" s="8">
        <f>R_NF_2024*(1+G_HI)^(KB509-2024)</f>
        <v>1101.743356661388</v>
      </c>
      <c r="KQ509" s="10">
        <f>1-KF509/KP509</f>
        <v>0.16699011963808197</v>
      </c>
      <c r="KR509" s="10">
        <f>CPI_2023/(IF(KB509-1=2023,CPI_2023,IF(KB509-1=2024,CPI_2024,IF(KB509-1=2025,CPI_2025,CPI_2025*(1+INFL)^(KB509-1-2025)))))</f>
        <v>0.6087013907677552</v>
      </c>
      <c r="KS509" s="8">
        <f>$KB$21*ABS($KB$11)*(KG509-KF509)/KF509</f>
        <v>14001.124899487122</v>
      </c>
      <c r="KT509" s="8">
        <f>$KB$21*ABS($KB$11)*(KH509-KF509)/KF509</f>
        <v>19985.467544428266</v>
      </c>
      <c r="KU509" s="13">
        <f>(KG509-KF509)*MCD_NF_DAYS*KR509-KS509*MCD_SHARE_FREED*R_WAIT_2023</f>
        <v>34969031.47860434</v>
      </c>
      <c r="KV509" s="13">
        <f>(KH509-KF509)*MCD_NF_DAYS*KR509-KT509*MCD_SHARE_FREED*R_WAIT_2023</f>
        <v>49915449.55800929</v>
      </c>
      <c r="KW509" s="10">
        <f>IF(AND(KB509&gt;=RULE_START,KC509=1),1/(1+$KB$12)^(KB509-RULE_START+1),0)</f>
        <v>0.6864307597702186</v>
      </c>
      <c r="KX509">
        <f>IF(AND(KB509&gt;=RULE_START,KC509=1,KM509&lt;0),KB509,9999)</f>
        <v>2045</v>
      </c>
      <c r="KY509">
        <f>IF(AND(KB509&gt;=RULE_START,KC509=1,KN509&lt;0),KB509,9999)</f>
        <v>2045</v>
      </c>
      <c r="KZ509">
        <f>IF(AND(KB509&gt;=RULE_START,KC509=1,KO509&lt;0),KB509,9999)</f>
        <v>9999</v>
      </c>
      <c r="LB509" t="n">
        <v>2045</v>
      </c>
      <c r="LC509">
        <f>IF(LB509&lt;=RULE_START+$LB$38-1,1,0)</f>
        <v>1</v>
      </c>
      <c r="LD509" s="15">
        <f>IF(LB509=2024,G_IDX_2024,IF(LB509=2025,G_IDX_2025,IF(LB509=2026,G_IDX_2026,IF(LB509=2027,G_IDX_2027,$LB$13))))</f>
        <v>0.033</v>
      </c>
      <c r="LE509" s="8">
        <f>$LB$20*(1+G_HI)^(LB509-COST_DATE)</f>
        <v>1033.6830856960735</v>
      </c>
      <c r="LF509" s="8">
        <f>LF508*(1+LD509)</f>
        <v>917.7631017220407</v>
      </c>
      <c r="LG509" s="8">
        <f>IF(LB509&lt;RULE_START,LF509,LG508*(1+G_HI))</f>
        <v>1046.6532826857292</v>
      </c>
      <c r="LH509" s="8">
        <f>IF(LB509&lt;RULE_START,LF509,IF(LI509=1,R_NF_2024*(1+G_HI)^(LB509-2024),LH508*(1+LD509)))</f>
        <v>1101.743356661388</v>
      </c>
      <c r="LI509">
        <f>IF(AND(LB509&gt;=RULE_START,MOD(LB509-RULE_START,REBASE_YEARS)=0),1,0)</f>
        <v>1</v>
      </c>
      <c r="LJ509" s="8">
        <f>LF509*CAP_SHARE</f>
        <v>44.87616426787793</v>
      </c>
      <c r="LK509" s="8">
        <f>LG509*CAP_SHARE</f>
        <v>51.17854984275018</v>
      </c>
      <c r="LL509" s="8">
        <f>LH509*CAP_SHARE</f>
        <v>53.872307310905576</v>
      </c>
      <c r="LM509" s="8">
        <f>LF509-LJ509-LE509</f>
        <v>-160.7961482419107</v>
      </c>
      <c r="LN509" s="8">
        <f>LG509-LK509-LE509</f>
        <v>-38.208352853094425</v>
      </c>
      <c r="LO509" s="8">
        <f>LH509-LL509-LE509</f>
        <v>14.187963654408804</v>
      </c>
      <c r="LP509" s="8">
        <f>R_NF_2024*(1+G_HI)^(LB509-2024)</f>
        <v>1101.743356661388</v>
      </c>
      <c r="LQ509" s="10">
        <f>1-LF509/LP509</f>
        <v>0.16699011963808197</v>
      </c>
      <c r="LR509" s="10">
        <f>CPI_2023/(IF(LB509-1=2023,CPI_2023,IF(LB509-1=2024,CPI_2024,IF(LB509-1=2025,CPI_2025,CPI_2025*(1+INFL)^(LB509-1-2025)))))</f>
        <v>0.6087013907677552</v>
      </c>
      <c r="LS509" s="8">
        <f>$LB$21*ABS($LB$11)*(LG509-LF509)/LF509</f>
        <v>14001.124899487122</v>
      </c>
      <c r="LT509" s="8">
        <f>$LB$21*ABS($LB$11)*(LH509-LF509)/LF509</f>
        <v>19985.467544428266</v>
      </c>
      <c r="LU509" s="13">
        <f>(LG509-LF509)*MCD_NF_DAYS*LR509-LS509*MCD_SHARE_FREED*R_WAIT_2023</f>
        <v>34969031.47860434</v>
      </c>
      <c r="LV509" s="13">
        <f>(LH509-LF509)*MCD_NF_DAYS*LR509-LT509*MCD_SHARE_FREED*R_WAIT_2023</f>
        <v>49915449.55800929</v>
      </c>
      <c r="LW509" s="10">
        <f>IF(AND(LB509&gt;=RULE_START,LC509=1),1/(1+$LB$12)^(LB509-RULE_START+1),0)</f>
        <v>0.6864307597702186</v>
      </c>
      <c r="LX509">
        <f>IF(AND(LB509&gt;=RULE_START,LC509=1,LM509&lt;0),LB509,9999)</f>
        <v>2045</v>
      </c>
      <c r="LY509">
        <f>IF(AND(LB509&gt;=RULE_START,LC509=1,LN509&lt;0),LB509,9999)</f>
        <v>2045</v>
      </c>
      <c r="LZ509">
        <f>IF(AND(LB509&gt;=RULE_START,LC509=1,LO509&lt;0),LB509,9999)</f>
        <v>9999</v>
      </c>
      <c r="MB509" t="n">
        <v>2045</v>
      </c>
      <c r="MC509">
        <f>IF(MB509&lt;=RULE_START+$MB$38-1,1,0)</f>
        <v>1</v>
      </c>
      <c r="MD509" s="15">
        <f>IF(MB509=2024,G_IDX_2024,IF(MB509=2025,G_IDX_2025,IF(MB509=2026,G_IDX_2026,IF(MB509=2027,G_IDX_2027,$MB$13))))</f>
        <v>0.033</v>
      </c>
      <c r="ME509" s="8">
        <f>$MB$20*(1+G_HI)^(MB509-COST_DATE)</f>
        <v>1033.6830856960735</v>
      </c>
      <c r="MF509" s="8">
        <f>MF508*(1+MD509)</f>
        <v>917.7631017220407</v>
      </c>
      <c r="MG509" s="8">
        <f>IF(MB509&lt;RULE_START,MF509,MG508*(1+G_HI))</f>
        <v>1046.6532826857292</v>
      </c>
      <c r="MH509" s="8">
        <f>IF(MB509&lt;RULE_START,MF509,IF(MI509=1,R_NF_2024*(1+G_HI)^(MB509-2024),MH508*(1+MD509)))</f>
        <v>1101.743356661388</v>
      </c>
      <c r="MI509">
        <f>IF(AND(MB509&gt;=RULE_START,MOD(MB509-RULE_START,REBASE_YEARS)=0),1,0)</f>
        <v>1</v>
      </c>
      <c r="MJ509" s="8">
        <f>MF509*CAP_SHARE</f>
        <v>44.87616426787793</v>
      </c>
      <c r="MK509" s="8">
        <f>MG509*CAP_SHARE</f>
        <v>51.17854984275018</v>
      </c>
      <c r="ML509" s="8">
        <f>MH509*CAP_SHARE</f>
        <v>53.872307310905576</v>
      </c>
      <c r="MM509" s="8">
        <f>MF509-MJ509-ME509</f>
        <v>-160.7961482419107</v>
      </c>
      <c r="MN509" s="8">
        <f>MG509-MK509-ME509</f>
        <v>-38.208352853094425</v>
      </c>
      <c r="MO509" s="8">
        <f>MH509-ML509-ME509</f>
        <v>14.187963654408804</v>
      </c>
      <c r="MP509" s="8">
        <f>R_NF_2024*(1+G_HI)^(MB509-2024)</f>
        <v>1101.743356661388</v>
      </c>
      <c r="MQ509" s="10">
        <f>1-MF509/MP509</f>
        <v>0.16699011963808197</v>
      </c>
      <c r="MR509" s="10">
        <f>CPI_2023/(IF(MB509-1=2023,CPI_2023,IF(MB509-1=2024,CPI_2024,IF(MB509-1=2025,CPI_2025,CPI_2025*(1+INFL)^(MB509-1-2025)))))</f>
        <v>0.6087013907677552</v>
      </c>
      <c r="MS509" s="8">
        <f>$MB$21*ABS($MB$11)*(MG509-MF509)/MF509</f>
        <v>10257.078828130716</v>
      </c>
      <c r="MT509" s="8">
        <f>$MB$21*ABS($MB$11)*(MH509-MF509)/MF509</f>
        <v>14641.146157317537</v>
      </c>
      <c r="MU509" s="13">
        <f>(MG509-MF509)*MCD_NF_DAYS*MR509-MS509*MCD_SHARE_FREED*R_WAIT_2023</f>
        <v>36671519.356784105</v>
      </c>
      <c r="MV509" s="13">
        <f>(MH509-MF509)*MCD_NF_DAYS*MR509-MT509*MCD_SHARE_FREED*R_WAIT_2023</f>
        <v>52345612.596937016</v>
      </c>
      <c r="MW509" s="10">
        <f>IF(AND(MB509&gt;=RULE_START,MC509=1),1/(1+$MB$12)^(MB509-RULE_START+1),0)</f>
        <v>0.6864307597702186</v>
      </c>
      <c r="MX509">
        <f>IF(AND(MB509&gt;=RULE_START,MC509=1,MM509&lt;0),MB509,9999)</f>
        <v>2045</v>
      </c>
      <c r="MY509">
        <f>IF(AND(MB509&gt;=RULE_START,MC509=1,MN509&lt;0),MB509,9999)</f>
        <v>2045</v>
      </c>
      <c r="MZ509">
        <f>IF(AND(MB509&gt;=RULE_START,MC509=1,MO509&lt;0),MB509,9999)</f>
        <v>9999</v>
      </c>
      <c r="NB509" t="n">
        <v>2045</v>
      </c>
      <c r="NC509">
        <f>IF(NB509&lt;=RULE_START+$NB$38-1,1,0)</f>
        <v>1</v>
      </c>
      <c r="ND509" s="15">
        <f>IF(NB509=2024,G_IDX_2024,IF(NB509=2025,G_IDX_2025,IF(NB509=2026,G_IDX_2026,IF(NB509=2027,G_IDX_2027,$NB$13))))</f>
        <v>0.033</v>
      </c>
      <c r="NE509" s="8">
        <f>$NB$20*(1+G_HI)^(NB509-COST_DATE)</f>
        <v>1033.6830856960735</v>
      </c>
      <c r="NF509" s="8">
        <f>NF508*(1+ND509)</f>
        <v>917.7631017220407</v>
      </c>
      <c r="NG509" s="8">
        <f>IF(NB509&lt;RULE_START,NF509,NG508*(1+G_HI))</f>
        <v>1046.6532826857292</v>
      </c>
      <c r="NH509" s="8">
        <f>IF(NB509&lt;RULE_START,NF509,IF(NI509=1,R_NF_2024*(1+G_HI)^(NB509-2024),NH508*(1+ND509)))</f>
        <v>1101.743356661388</v>
      </c>
      <c r="NI509">
        <f>IF(AND(NB509&gt;=RULE_START,MOD(NB509-RULE_START,REBASE_YEARS)=0),1,0)</f>
        <v>1</v>
      </c>
      <c r="NJ509" s="8">
        <f>NF509*CAP_SHARE</f>
        <v>44.87616426787793</v>
      </c>
      <c r="NK509" s="8">
        <f>NG509*CAP_SHARE</f>
        <v>51.17854984275018</v>
      </c>
      <c r="NL509" s="8">
        <f>NH509*CAP_SHARE</f>
        <v>53.872307310905576</v>
      </c>
      <c r="NM509" s="8">
        <f>NF509-NJ509-NE509</f>
        <v>-160.7961482419107</v>
      </c>
      <c r="NN509" s="8">
        <f>NG509-NK509-NE509</f>
        <v>-38.208352853094425</v>
      </c>
      <c r="NO509" s="8">
        <f>NH509-NL509-NE509</f>
        <v>14.187963654408804</v>
      </c>
      <c r="NP509" s="8">
        <f>R_NF_2024*(1+G_HI)^(NB509-2024)</f>
        <v>1101.743356661388</v>
      </c>
      <c r="NQ509" s="10">
        <f>1-NF509/NP509</f>
        <v>0.16699011963808197</v>
      </c>
      <c r="NR509" s="10">
        <f>CPI_2023/(IF(NB509-1=2023,CPI_2023,IF(NB509-1=2024,CPI_2024,IF(NB509-1=2025,CPI_2025,CPI_2025*(1+INFL)^(NB509-1-2025)))))</f>
        <v>0.6087013907677552</v>
      </c>
      <c r="NS509" s="8">
        <f>$NB$21*ABS($NB$11)*(NG509-NF509)/NF509</f>
        <v>14001.124899487122</v>
      </c>
      <c r="NT509" s="8">
        <f>$NB$21*ABS($NB$11)*(NH509-NF509)/NF509</f>
        <v>19985.467544428266</v>
      </c>
      <c r="NU509" s="13">
        <f>(NG509-NF509)*MCD_NF_DAYS*NR509-NS509*MCD_SHARE_FREED*R_WAIT_2023</f>
        <v>34969031.47860434</v>
      </c>
      <c r="NV509" s="13">
        <f>(NH509-NF509)*MCD_NF_DAYS*NR509-NT509*MCD_SHARE_FREED*R_WAIT_2023</f>
        <v>49915449.55800929</v>
      </c>
      <c r="NW509" s="10">
        <f>IF(AND(NB509&gt;=RULE_START,NC509=1),1/(1+$NB$12)^(NB509-RULE_START+1),0)</f>
        <v>0.6864307597702186</v>
      </c>
      <c r="NX509">
        <f>IF(AND(NB509&gt;=RULE_START,NC509=1,NM509&lt;0),NB509,9999)</f>
        <v>2045</v>
      </c>
      <c r="NY509">
        <f>IF(AND(NB509&gt;=RULE_START,NC509=1,NN509&lt;0),NB509,9999)</f>
        <v>2045</v>
      </c>
      <c r="NZ509">
        <f>IF(AND(NB509&gt;=RULE_START,NC509=1,NO509&lt;0),NB509,9999)</f>
        <v>9999</v>
      </c>
      <c r="OB509" t="n">
        <v>2045</v>
      </c>
      <c r="OC509">
        <f>IF(OB509&lt;=RULE_START+$OB$38-1,1,0)</f>
        <v>1</v>
      </c>
      <c r="OD509" s="15">
        <f>IF(OB509=2024,G_IDX_2024,IF(OB509=2025,G_IDX_2025,IF(OB509=2026,G_IDX_2026,IF(OB509=2027,G_IDX_2027,$OB$13))))</f>
        <v>0.033</v>
      </c>
      <c r="OE509" s="8">
        <f>$OB$20*(1+G_HI)^(OB509-COST_DATE)</f>
        <v>1033.6830856960735</v>
      </c>
      <c r="OF509" s="8">
        <f>OF508*(1+OD509)</f>
        <v>917.7631017220407</v>
      </c>
      <c r="OG509" s="8">
        <f>IF(OB509&lt;RULE_START,OF509,OG508*(1+G_HI))</f>
        <v>1046.6532826857292</v>
      </c>
      <c r="OH509" s="8">
        <f>IF(OB509&lt;RULE_START,OF509,IF(OI509=1,R_NF_2024*(1+G_HI)^(OB509-2024),OH508*(1+OD509)))</f>
        <v>1101.743356661388</v>
      </c>
      <c r="OI509">
        <f>IF(AND(OB509&gt;=RULE_START,MOD(OB509-RULE_START,REBASE_YEARS)=0),1,0)</f>
        <v>1</v>
      </c>
      <c r="OJ509" s="8">
        <f>OF509*CAP_SHARE</f>
        <v>44.87616426787793</v>
      </c>
      <c r="OK509" s="8">
        <f>OG509*CAP_SHARE</f>
        <v>51.17854984275018</v>
      </c>
      <c r="OL509" s="8">
        <f>OH509*CAP_SHARE</f>
        <v>53.872307310905576</v>
      </c>
      <c r="OM509" s="8">
        <f>OF509-OJ509-OE509</f>
        <v>-160.7961482419107</v>
      </c>
      <c r="ON509" s="8">
        <f>OG509-OK509-OE509</f>
        <v>-38.208352853094425</v>
      </c>
      <c r="OO509" s="8">
        <f>OH509-OL509-OE509</f>
        <v>14.187963654408804</v>
      </c>
      <c r="OP509" s="8">
        <f>R_NF_2024*(1+G_HI)^(OB509-2024)</f>
        <v>1101.743356661388</v>
      </c>
      <c r="OQ509" s="10">
        <f>1-OF509/OP509</f>
        <v>0.16699011963808197</v>
      </c>
      <c r="OR509" s="10">
        <f>CPI_2023/(IF(OB509-1=2023,CPI_2023,IF(OB509-1=2024,CPI_2024,IF(OB509-1=2025,CPI_2025,CPI_2025*(1+INFL)^(OB509-1-2025)))))</f>
        <v>0.6087013907677552</v>
      </c>
      <c r="OS509" s="8">
        <f>$OB$21*ABS($OB$11)*(OG509-OF509)/OF509</f>
        <v>14001.124899487122</v>
      </c>
      <c r="OT509" s="8">
        <f>$OB$21*ABS($OB$11)*(OH509-OF509)/OF509</f>
        <v>19985.467544428266</v>
      </c>
      <c r="OU509" s="13">
        <f>(OG509-OF509)*MCD_NF_DAYS*OR509-OS509*MCD_SHARE_FREED*R_WAIT_2023</f>
        <v>34969031.47860434</v>
      </c>
      <c r="OV509" s="13">
        <f>(OH509-OF509)*MCD_NF_DAYS*OR509-OT509*MCD_SHARE_FREED*R_WAIT_2023</f>
        <v>49915449.55800929</v>
      </c>
      <c r="OW509" s="10">
        <f>IF(AND(OB509&gt;=RULE_START,OC509=1),1/(1+$OB$12)^(OB509-RULE_START+1),0)</f>
        <v>0.6864307597702186</v>
      </c>
      <c r="OX509">
        <f>IF(AND(OB509&gt;=RULE_START,OC509=1,OM509&lt;0),OB509,9999)</f>
        <v>2045</v>
      </c>
      <c r="OY509">
        <f>IF(AND(OB509&gt;=RULE_START,OC509=1,ON509&lt;0),OB509,9999)</f>
        <v>2045</v>
      </c>
      <c r="OZ509">
        <f>IF(AND(OB509&gt;=RULE_START,OC509=1,OO509&lt;0),OB509,9999)</f>
        <v>9999</v>
      </c>
    </row>
    <row r="510">
      <c r="B510" t="n">
        <v>2046</v>
      </c>
      <c r="C510">
        <f>IF(B510&lt;=RULE_START+$B$38-1,1,0)</f>
        <v>1</v>
      </c>
      <c r="D510" s="15">
        <f>IF(B510=2024,G_IDX_2024,IF(B510=2025,G_IDX_2025,IF(B510=2026,G_IDX_2026,IF(B510=2027,G_IDX_2027,$B$13))))</f>
        <v>0.033</v>
      </c>
      <c r="E510" s="8">
        <f>$B$20*(1+G_HI)^(B510-COST_DATE)</f>
        <v>1075.2056402008868</v>
      </c>
      <c r="F510" s="8">
        <f>F509*(1+D510)</f>
        <v>948.0492840788679</v>
      </c>
      <c r="G510" s="8">
        <f>IF(B510&lt;RULE_START,F510,G509*(1+G_HI))</f>
        <v>1088.6968437919793</v>
      </c>
      <c r="H510" s="8">
        <f>IF(B510&lt;RULE_START,F510,IF(I510=1,R_NF_2024*(1+G_HI)^(B510-2024),H509*(1+D510)))</f>
        <v>1138.1008874312136</v>
      </c>
      <c r="I510">
        <f>IF(AND(B510&gt;=RULE_START,MOD(B510-RULE_START,REBASE_YEARS)=0),1,0)</f>
        <v>0</v>
      </c>
      <c r="J510" s="8">
        <f>F510*CAP_SHARE</f>
        <v>46.3570776887179</v>
      </c>
      <c r="K510" s="8">
        <f>G510*CAP_SHARE</f>
        <v>53.23436767969573</v>
      </c>
      <c r="L510" s="8">
        <f>H510*CAP_SHARE</f>
        <v>55.65009345216545</v>
      </c>
      <c r="M510" s="8">
        <f>F510-J510-E510</f>
        <v>-173.51343381073684</v>
      </c>
      <c r="N510" s="8">
        <f>G510-K510-E510</f>
        <v>-39.74316408860318</v>
      </c>
      <c r="O510" s="8">
        <f>H510-L510-E510</f>
        <v>7.245153778161239</v>
      </c>
      <c r="P510" s="8">
        <f>R_NF_2024*(1+G_HI)^(B510-2024)</f>
        <v>1145.9998596557102</v>
      </c>
      <c r="Q510" s="10">
        <f>1-F510/P510</f>
        <v>0.1727317624945539</v>
      </c>
      <c r="R510" s="10">
        <f>CPI_2023/(IF(B510-1=2023,CPI_2023,IF(B510-1=2024,CPI_2024,IF(B510-1=2025,CPI_2025,CPI_2025*(1+INFL)^(B510-1-2025)))))</f>
        <v>0.5951323726708596</v>
      </c>
      <c r="S510" s="8">
        <f>$B$21*ABS($B$11)*(G510-F510)/F510</f>
        <v>14790.231654284706</v>
      </c>
      <c r="T510" s="8">
        <f>$B$21*ABS($B$11)*(H510-F510)/F510</f>
        <v>19985.467544428266</v>
      </c>
      <c r="U510" s="13">
        <f>(G510-F510)*MCD_NF_DAYS*R510-S510*MCD_SHARE_FREED*R_WAIT_2023</f>
        <v>37375351.99811706</v>
      </c>
      <c r="V510" s="13">
        <f>(H510-F510)*MCD_NF_DAYS*R510-T510*MCD_SHARE_FREED*R_WAIT_2023</f>
        <v>50503866.45590885</v>
      </c>
      <c r="W510" s="10">
        <f>IF(AND(B510&gt;=RULE_START,C510=1),1/(1+$B$12)^(B510-RULE_START+1),0)</f>
        <v>0.6729713331080575</v>
      </c>
      <c r="X510">
        <f>IF(AND(B510&gt;=RULE_START,C510=1,M510&lt;0),B510,9999)</f>
        <v>2046</v>
      </c>
      <c r="Y510">
        <f>IF(AND(B510&gt;=RULE_START,C510=1,N510&lt;0),B510,9999)</f>
        <v>2046</v>
      </c>
      <c r="Z510">
        <f>IF(AND(B510&gt;=RULE_START,C510=1,O510&lt;0),B510,9999)</f>
        <v>9999</v>
      </c>
      <c r="AB510" t="n">
        <v>2046</v>
      </c>
      <c r="AC510">
        <f>IF(AB510&lt;=RULE_START+$AB$38-1,1,0)</f>
        <v>1</v>
      </c>
      <c r="AD510" s="15">
        <f>IF(AB510=2024,G_IDX_2024,IF(AB510=2025,G_IDX_2025,IF(AB510=2026,G_IDX_2026,IF(AB510=2027,G_IDX_2027,$AB$13))))</f>
        <v>0.033</v>
      </c>
      <c r="AE510" s="8">
        <f>$AB$20*(1+G_HI)^(AB510-COST_DATE)</f>
        <v>1075.2056402008868</v>
      </c>
      <c r="AF510" s="8">
        <f>AF509*(1+AD510)</f>
        <v>948.0492840788679</v>
      </c>
      <c r="AG510" s="8">
        <f>IF(AB510&lt;RULE_START,AF510,AG509*(1+G_HI))</f>
        <v>1088.6968437919793</v>
      </c>
      <c r="AH510" s="8">
        <f>IF(AB510&lt;RULE_START,AF510,IF(AI510=1,R_NF_2024*(1+G_HI)^(AB510-2024),AH509*(1+AD510)))</f>
        <v>1138.1008874312136</v>
      </c>
      <c r="AI510">
        <f>IF(AND(AB510&gt;=RULE_START,MOD(AB510-RULE_START,REBASE_YEARS)=0),1,0)</f>
        <v>0</v>
      </c>
      <c r="AJ510" s="8">
        <f>AF510*CAP_SHARE</f>
        <v>46.3570776887179</v>
      </c>
      <c r="AK510" s="8">
        <f>AG510*CAP_SHARE</f>
        <v>53.23436767969573</v>
      </c>
      <c r="AL510" s="8">
        <f>AH510*CAP_SHARE</f>
        <v>55.65009345216545</v>
      </c>
      <c r="AM510" s="8">
        <f>AF510-AJ510-AE510</f>
        <v>-173.51343381073684</v>
      </c>
      <c r="AN510" s="8">
        <f>AG510-AK510-AE510</f>
        <v>-39.74316408860318</v>
      </c>
      <c r="AO510" s="8">
        <f>AH510-AL510-AE510</f>
        <v>7.245153778161239</v>
      </c>
      <c r="AP510" s="8">
        <f>R_NF_2024*(1+G_HI)^(AB510-2024)</f>
        <v>1145.9998596557102</v>
      </c>
      <c r="AQ510" s="10">
        <f>1-AF510/AP510</f>
        <v>0.1727317624945539</v>
      </c>
      <c r="AR510" s="10">
        <f>CPI_2023/(IF(AB510-1=2023,CPI_2023,IF(AB510-1=2024,CPI_2024,IF(AB510-1=2025,CPI_2025,CPI_2025*(1+INFL)^(AB510-1-2025)))))</f>
        <v>0.5951323726708596</v>
      </c>
      <c r="AS510" s="8">
        <f>$AB$21*ABS($AB$11)*(AG510-AF510)/AF510</f>
        <v>14790.231654284706</v>
      </c>
      <c r="AT510" s="8">
        <f>$AB$21*ABS($AB$11)*(AH510-AF510)/AF510</f>
        <v>19985.467544428266</v>
      </c>
      <c r="AU510" s="13">
        <f>(AG510-AF510)*MCD_NF_DAYS*AR510-AS510*MCD_SHARE_FREED*R_WAIT_2023</f>
        <v>37375351.99811706</v>
      </c>
      <c r="AV510" s="13">
        <f>(AH510-AF510)*MCD_NF_DAYS*AR510-AT510*MCD_SHARE_FREED*R_WAIT_2023</f>
        <v>50503866.45590885</v>
      </c>
      <c r="AW510" s="10">
        <f>IF(AND(AB510&gt;=RULE_START,AC510=1),1/(1+$AB$12)^(AB510-RULE_START+1),0)</f>
        <v>0.6729713331080575</v>
      </c>
      <c r="AX510">
        <f>IF(AND(AB510&gt;=RULE_START,AC510=1,AM510&lt;0),AB510,9999)</f>
        <v>2046</v>
      </c>
      <c r="AY510">
        <f>IF(AND(AB510&gt;=RULE_START,AC510=1,AN510&lt;0),AB510,9999)</f>
        <v>2046</v>
      </c>
      <c r="AZ510">
        <f>IF(AND(AB510&gt;=RULE_START,AC510=1,AO510&lt;0),AB510,9999)</f>
        <v>9999</v>
      </c>
      <c r="BB510" t="n">
        <v>2046</v>
      </c>
      <c r="BC510">
        <f>IF(BB510&lt;=RULE_START+$BB$38-1,1,0)</f>
        <v>1</v>
      </c>
      <c r="BD510" s="15">
        <f>IF(BB510=2024,G_IDX_2024,IF(BB510=2025,G_IDX_2025,IF(BB510=2026,G_IDX_2026,IF(BB510=2027,G_IDX_2027,$BB$13))))</f>
        <v>0.033</v>
      </c>
      <c r="BE510" s="8">
        <f>$BB$20*(1+G_HI)^(BB510-COST_DATE)</f>
        <v>1075.2056402008868</v>
      </c>
      <c r="BF510" s="8">
        <f>BF509*(1+BD510)</f>
        <v>948.0492840788679</v>
      </c>
      <c r="BG510" s="8">
        <f>IF(BB510&lt;RULE_START,BF510,BG509*(1+G_HI))</f>
        <v>1088.6968437919793</v>
      </c>
      <c r="BH510" s="8">
        <f>IF(BB510&lt;RULE_START,BF510,IF(BI510=1,R_NF_2024*(1+G_HI)^(BB510-2024),BH509*(1+BD510)))</f>
        <v>1138.1008874312136</v>
      </c>
      <c r="BI510">
        <f>IF(AND(BB510&gt;=RULE_START,MOD(BB510-RULE_START,REBASE_YEARS)=0),1,0)</f>
        <v>0</v>
      </c>
      <c r="BJ510" s="8">
        <f>BF510*CAP_SHARE</f>
        <v>46.3570776887179</v>
      </c>
      <c r="BK510" s="8">
        <f>BG510*CAP_SHARE</f>
        <v>53.23436767969573</v>
      </c>
      <c r="BL510" s="8">
        <f>BH510*CAP_SHARE</f>
        <v>55.65009345216545</v>
      </c>
      <c r="BM510" s="8">
        <f>BF510-BJ510-BE510</f>
        <v>-173.51343381073684</v>
      </c>
      <c r="BN510" s="8">
        <f>BG510-BK510-BE510</f>
        <v>-39.74316408860318</v>
      </c>
      <c r="BO510" s="8">
        <f>BH510-BL510-BE510</f>
        <v>7.245153778161239</v>
      </c>
      <c r="BP510" s="8">
        <f>R_NF_2024*(1+G_HI)^(BB510-2024)</f>
        <v>1145.9998596557102</v>
      </c>
      <c r="BQ510" s="10">
        <f>1-BF510/BP510</f>
        <v>0.1727317624945539</v>
      </c>
      <c r="BR510" s="10">
        <f>CPI_2023/(IF(BB510-1=2023,CPI_2023,IF(BB510-1=2024,CPI_2024,IF(BB510-1=2025,CPI_2025,CPI_2025*(1+INFL)^(BB510-1-2025)))))</f>
        <v>0.5951323726708596</v>
      </c>
      <c r="BS510" s="8">
        <f>$BB$21*ABS($BB$11)*(BG510-BF510)/BF510</f>
        <v>14790.231654284706</v>
      </c>
      <c r="BT510" s="8">
        <f>$BB$21*ABS($BB$11)*(BH510-BF510)/BF510</f>
        <v>19985.467544428266</v>
      </c>
      <c r="BU510" s="13">
        <f>(BG510-BF510)*MCD_NF_DAYS*BR510-BS510*MCD_SHARE_FREED*R_WAIT_2023</f>
        <v>37375351.99811706</v>
      </c>
      <c r="BV510" s="13">
        <f>(BH510-BF510)*MCD_NF_DAYS*BR510-BT510*MCD_SHARE_FREED*R_WAIT_2023</f>
        <v>50503866.45590885</v>
      </c>
      <c r="BW510" s="10">
        <f>IF(AND(BB510&gt;=RULE_START,BC510=1),1/(1+$BB$12)^(BB510-RULE_START+1),0)</f>
        <v>0.6729713331080575</v>
      </c>
      <c r="BX510">
        <f>IF(AND(BB510&gt;=RULE_START,BC510=1,BM510&lt;0),BB510,9999)</f>
        <v>2046</v>
      </c>
      <c r="BY510">
        <f>IF(AND(BB510&gt;=RULE_START,BC510=1,BN510&lt;0),BB510,9999)</f>
        <v>2046</v>
      </c>
      <c r="BZ510">
        <f>IF(AND(BB510&gt;=RULE_START,BC510=1,BO510&lt;0),BB510,9999)</f>
        <v>9999</v>
      </c>
      <c r="CB510" t="n">
        <v>2046</v>
      </c>
      <c r="CC510">
        <f>IF(CB510&lt;=RULE_START+$CB$38-1,1,0)</f>
        <v>1</v>
      </c>
      <c r="CD510" s="15">
        <f>IF(CB510=2024,G_IDX_2024,IF(CB510=2025,G_IDX_2025,IF(CB510=2026,G_IDX_2026,IF(CB510=2027,G_IDX_2027,$CB$13))))</f>
        <v>0.033</v>
      </c>
      <c r="CE510" s="8">
        <f>$CB$20*(1+G_HI)^(CB510-COST_DATE)</f>
        <v>1075.2056402008868</v>
      </c>
      <c r="CF510" s="8">
        <f>CF509*(1+CD510)</f>
        <v>948.0492840788679</v>
      </c>
      <c r="CG510" s="8">
        <f>IF(CB510&lt;RULE_START,CF510,CG509*(1+G_HI))</f>
        <v>1088.6968437919793</v>
      </c>
      <c r="CH510" s="8">
        <f>IF(CB510&lt;RULE_START,CF510,IF(CI510=1,R_NF_2024*(1+G_HI)^(CB510-2024),CH509*(1+CD510)))</f>
        <v>1138.1008874312136</v>
      </c>
      <c r="CI510">
        <f>IF(AND(CB510&gt;=RULE_START,MOD(CB510-RULE_START,REBASE_YEARS)=0),1,0)</f>
        <v>0</v>
      </c>
      <c r="CJ510" s="8">
        <f>CF510*CAP_SHARE</f>
        <v>46.3570776887179</v>
      </c>
      <c r="CK510" s="8">
        <f>CG510*CAP_SHARE</f>
        <v>53.23436767969573</v>
      </c>
      <c r="CL510" s="8">
        <f>CH510*CAP_SHARE</f>
        <v>55.65009345216545</v>
      </c>
      <c r="CM510" s="8">
        <f>CF510-CJ510-CE510</f>
        <v>-173.51343381073684</v>
      </c>
      <c r="CN510" s="8">
        <f>CG510-CK510-CE510</f>
        <v>-39.74316408860318</v>
      </c>
      <c r="CO510" s="8">
        <f>CH510-CL510-CE510</f>
        <v>7.245153778161239</v>
      </c>
      <c r="CP510" s="8">
        <f>R_NF_2024*(1+G_HI)^(CB510-2024)</f>
        <v>1145.9998596557102</v>
      </c>
      <c r="CQ510" s="10">
        <f>1-CF510/CP510</f>
        <v>0.1727317624945539</v>
      </c>
      <c r="CR510" s="10">
        <f>CPI_2023/(IF(CB510-1=2023,CPI_2023,IF(CB510-1=2024,CPI_2024,IF(CB510-1=2025,CPI_2025,CPI_2025*(1+INFL)^(CB510-1-2025)))))</f>
        <v>0.5951323726708596</v>
      </c>
      <c r="CS510" s="8">
        <f>$CB$21*ABS($CB$11)*(CG510-CF510)/CF510</f>
        <v>14790.231654284706</v>
      </c>
      <c r="CT510" s="8">
        <f>$CB$21*ABS($CB$11)*(CH510-CF510)/CF510</f>
        <v>19985.467544428266</v>
      </c>
      <c r="CU510" s="13">
        <f>(CG510-CF510)*MCD_NF_DAYS*CR510-CS510*MCD_SHARE_FREED*R_WAIT_2023</f>
        <v>37375351.99811706</v>
      </c>
      <c r="CV510" s="13">
        <f>(CH510-CF510)*MCD_NF_DAYS*CR510-CT510*MCD_SHARE_FREED*R_WAIT_2023</f>
        <v>50503866.45590885</v>
      </c>
      <c r="CW510" s="10">
        <f>IF(AND(CB510&gt;=RULE_START,CC510=1),1/(1+$CB$12)^(CB510-RULE_START+1),0)</f>
        <v>0.6729713331080575</v>
      </c>
      <c r="CX510">
        <f>IF(AND(CB510&gt;=RULE_START,CC510=1,CM510&lt;0),CB510,9999)</f>
        <v>2046</v>
      </c>
      <c r="CY510">
        <f>IF(AND(CB510&gt;=RULE_START,CC510=1,CN510&lt;0),CB510,9999)</f>
        <v>2046</v>
      </c>
      <c r="CZ510">
        <f>IF(AND(CB510&gt;=RULE_START,CC510=1,CO510&lt;0),CB510,9999)</f>
        <v>9999</v>
      </c>
      <c r="DB510" t="n">
        <v>2046</v>
      </c>
      <c r="DC510">
        <f>IF(DB510&lt;=RULE_START+$DB$38-1,1,0)</f>
        <v>1</v>
      </c>
      <c r="DD510" s="15">
        <f>IF(DB510=2024,G_IDX_2024,IF(DB510=2025,G_IDX_2025,IF(DB510=2026,G_IDX_2026,IF(DB510=2027,G_IDX_2027,$DB$13))))</f>
        <v>0.033</v>
      </c>
      <c r="DE510" s="8">
        <f>$DB$20*(1+G_HI)^(DB510-COST_DATE)</f>
        <v>1075.2056402008868</v>
      </c>
      <c r="DF510" s="8">
        <f>DF509*(1+DD510)</f>
        <v>948.0492840788679</v>
      </c>
      <c r="DG510" s="8">
        <f>IF(DB510&lt;RULE_START,DF510,DG509*(1+G_HI))</f>
        <v>1088.6968437919793</v>
      </c>
      <c r="DH510" s="8">
        <f>IF(DB510&lt;RULE_START,DF510,IF(DI510=1,R_NF_2024*(1+G_HI)^(DB510-2024),DH509*(1+DD510)))</f>
        <v>1138.1008874312136</v>
      </c>
      <c r="DI510">
        <f>IF(AND(DB510&gt;=RULE_START,MOD(DB510-RULE_START,REBASE_YEARS)=0),1,0)</f>
        <v>0</v>
      </c>
      <c r="DJ510" s="8">
        <f>DF510*CAP_SHARE</f>
        <v>46.3570776887179</v>
      </c>
      <c r="DK510" s="8">
        <f>DG510*CAP_SHARE</f>
        <v>53.23436767969573</v>
      </c>
      <c r="DL510" s="8">
        <f>DH510*CAP_SHARE</f>
        <v>55.65009345216545</v>
      </c>
      <c r="DM510" s="8">
        <f>DF510-DJ510-DE510</f>
        <v>-173.51343381073684</v>
      </c>
      <c r="DN510" s="8">
        <f>DG510-DK510-DE510</f>
        <v>-39.74316408860318</v>
      </c>
      <c r="DO510" s="8">
        <f>DH510-DL510-DE510</f>
        <v>7.245153778161239</v>
      </c>
      <c r="DP510" s="8">
        <f>R_NF_2024*(1+G_HI)^(DB510-2024)</f>
        <v>1145.9998596557102</v>
      </c>
      <c r="DQ510" s="10">
        <f>1-DF510/DP510</f>
        <v>0.1727317624945539</v>
      </c>
      <c r="DR510" s="10">
        <f>CPI_2023/(IF(DB510-1=2023,CPI_2023,IF(DB510-1=2024,CPI_2024,IF(DB510-1=2025,CPI_2025,CPI_2025*(1+INFL)^(DB510-1-2025)))))</f>
        <v>0.5951323726708596</v>
      </c>
      <c r="DS510" s="8">
        <f>$DB$21*ABS($DB$11)*(DG510-DF510)/DF510</f>
        <v>14790.231654284706</v>
      </c>
      <c r="DT510" s="8">
        <f>$DB$21*ABS($DB$11)*(DH510-DF510)/DF510</f>
        <v>19985.467544428266</v>
      </c>
      <c r="DU510" s="13">
        <f>(DG510-DF510)*MCD_NF_DAYS*DR510-DS510*MCD_SHARE_FREED*R_WAIT_2023</f>
        <v>37375351.99811706</v>
      </c>
      <c r="DV510" s="13">
        <f>(DH510-DF510)*MCD_NF_DAYS*DR510-DT510*MCD_SHARE_FREED*R_WAIT_2023</f>
        <v>50503866.45590885</v>
      </c>
      <c r="DW510" s="10">
        <f>IF(AND(DB510&gt;=RULE_START,DC510=1),1/(1+$DB$12)^(DB510-RULE_START+1),0)</f>
        <v>0.6729713331080575</v>
      </c>
      <c r="DX510">
        <f>IF(AND(DB510&gt;=RULE_START,DC510=1,DM510&lt;0),DB510,9999)</f>
        <v>2046</v>
      </c>
      <c r="DY510">
        <f>IF(AND(DB510&gt;=RULE_START,DC510=1,DN510&lt;0),DB510,9999)</f>
        <v>2046</v>
      </c>
      <c r="DZ510">
        <f>IF(AND(DB510&gt;=RULE_START,DC510=1,DO510&lt;0),DB510,9999)</f>
        <v>9999</v>
      </c>
      <c r="EB510" t="n">
        <v>2046</v>
      </c>
      <c r="EC510">
        <f>IF(EB510&lt;=RULE_START+$EB$38-1,1,0)</f>
        <v>1</v>
      </c>
      <c r="ED510" s="15">
        <f>IF(EB510=2024,G_IDX_2024,IF(EB510=2025,G_IDX_2025,IF(EB510=2026,G_IDX_2026,IF(EB510=2027,G_IDX_2027,$EB$13))))</f>
        <v>0.033</v>
      </c>
      <c r="EE510" s="8">
        <f>$EB$20*(1+G_HI)^(EB510-COST_DATE)</f>
        <v>1075.2056402008868</v>
      </c>
      <c r="EF510" s="8">
        <f>EF509*(1+ED510)</f>
        <v>948.0492840788679</v>
      </c>
      <c r="EG510" s="8">
        <f>IF(EB510&lt;RULE_START,EF510,EG509*(1+G_HI))</f>
        <v>1088.6968437919793</v>
      </c>
      <c r="EH510" s="8">
        <f>IF(EB510&lt;RULE_START,EF510,IF(EI510=1,R_NF_2024*(1+G_HI)^(EB510-2024),EH509*(1+ED510)))</f>
        <v>1138.1008874312136</v>
      </c>
      <c r="EI510">
        <f>IF(AND(EB510&gt;=RULE_START,MOD(EB510-RULE_START,REBASE_YEARS)=0),1,0)</f>
        <v>0</v>
      </c>
      <c r="EJ510" s="8">
        <f>EF510*CAP_SHARE</f>
        <v>46.3570776887179</v>
      </c>
      <c r="EK510" s="8">
        <f>EG510*CAP_SHARE</f>
        <v>53.23436767969573</v>
      </c>
      <c r="EL510" s="8">
        <f>EH510*CAP_SHARE</f>
        <v>55.65009345216545</v>
      </c>
      <c r="EM510" s="8">
        <f>EF510-EJ510-EE510</f>
        <v>-173.51343381073684</v>
      </c>
      <c r="EN510" s="8">
        <f>EG510-EK510-EE510</f>
        <v>-39.74316408860318</v>
      </c>
      <c r="EO510" s="8">
        <f>EH510-EL510-EE510</f>
        <v>7.245153778161239</v>
      </c>
      <c r="EP510" s="8">
        <f>R_NF_2024*(1+G_HI)^(EB510-2024)</f>
        <v>1145.9998596557102</v>
      </c>
      <c r="EQ510" s="10">
        <f>1-EF510/EP510</f>
        <v>0.1727317624945539</v>
      </c>
      <c r="ER510" s="10">
        <f>CPI_2023/(IF(EB510-1=2023,CPI_2023,IF(EB510-1=2024,CPI_2024,IF(EB510-1=2025,CPI_2025,CPI_2025*(1+INFL)^(EB510-1-2025)))))</f>
        <v>0.5951323726708596</v>
      </c>
      <c r="ES510" s="8">
        <f>$EB$21*ABS($EB$11)*(EG510-EF510)/EF510</f>
        <v>14790.231654284706</v>
      </c>
      <c r="ET510" s="8">
        <f>$EB$21*ABS($EB$11)*(EH510-EF510)/EF510</f>
        <v>19985.467544428266</v>
      </c>
      <c r="EU510" s="13">
        <f>(EG510-EF510)*MCD_NF_DAYS*ER510-ES510*MCD_SHARE_FREED*R_WAIT_2023</f>
        <v>37375351.99811706</v>
      </c>
      <c r="EV510" s="13">
        <f>(EH510-EF510)*MCD_NF_DAYS*ER510-ET510*MCD_SHARE_FREED*R_WAIT_2023</f>
        <v>50503866.45590885</v>
      </c>
      <c r="EW510" s="10">
        <f>IF(AND(EB510&gt;=RULE_START,EC510=1),1/(1+$EB$12)^(EB510-RULE_START+1),0)</f>
        <v>0.6729713331080575</v>
      </c>
      <c r="EX510">
        <f>IF(AND(EB510&gt;=RULE_START,EC510=1,EM510&lt;0),EB510,9999)</f>
        <v>2046</v>
      </c>
      <c r="EY510">
        <f>IF(AND(EB510&gt;=RULE_START,EC510=1,EN510&lt;0),EB510,9999)</f>
        <v>2046</v>
      </c>
      <c r="EZ510">
        <f>IF(AND(EB510&gt;=RULE_START,EC510=1,EO510&lt;0),EB510,9999)</f>
        <v>9999</v>
      </c>
      <c r="FB510" t="n">
        <v>2046</v>
      </c>
      <c r="FC510">
        <f>IF(FB510&lt;=RULE_START+$FB$38-1,1,0)</f>
        <v>1</v>
      </c>
      <c r="FD510" s="15">
        <f>IF(FB510=2024,G_IDX_2024,IF(FB510=2025,G_IDX_2025,IF(FB510=2026,G_IDX_2026,IF(FB510=2027,G_IDX_2027,$FB$13))))</f>
        <v>0.033</v>
      </c>
      <c r="FE510" s="8">
        <f>$FB$20*(1+G_HI)^(FB510-COST_DATE)</f>
        <v>1106.5288729394092</v>
      </c>
      <c r="FF510" s="8">
        <f>FF509*(1+FD510)</f>
        <v>948.0492840788679</v>
      </c>
      <c r="FG510" s="8">
        <f>IF(FB510&lt;RULE_START,FF510,FG509*(1+G_HI))</f>
        <v>1088.6968437919793</v>
      </c>
      <c r="FH510" s="8">
        <f>IF(FB510&lt;RULE_START,FF510,IF(FI510=1,R_NF_2024*(1+G_HI)^(FB510-2024),FH509*(1+FD510)))</f>
        <v>1138.1008874312136</v>
      </c>
      <c r="FI510">
        <f>IF(AND(FB510&gt;=RULE_START,MOD(FB510-RULE_START,REBASE_YEARS)=0),1,0)</f>
        <v>0</v>
      </c>
      <c r="FJ510" s="8">
        <f>FF510*CAP_SHARE</f>
        <v>46.3570776887179</v>
      </c>
      <c r="FK510" s="8">
        <f>FG510*CAP_SHARE</f>
        <v>53.23436767969573</v>
      </c>
      <c r="FL510" s="8">
        <f>FH510*CAP_SHARE</f>
        <v>55.65009345216545</v>
      </c>
      <c r="FM510" s="8">
        <f>FF510-FJ510-FE510</f>
        <v>-204.83666654925923</v>
      </c>
      <c r="FN510" s="8">
        <f>FG510-FK510-FE510</f>
        <v>-71.06639682712557</v>
      </c>
      <c r="FO510" s="8">
        <f>FH510-FL510-FE510</f>
        <v>-24.078078960361154</v>
      </c>
      <c r="FP510" s="8">
        <f>R_NF_2024*(1+G_HI)^(FB510-2024)</f>
        <v>1145.9998596557102</v>
      </c>
      <c r="FQ510" s="10">
        <f>1-FF510/FP510</f>
        <v>0.1727317624945539</v>
      </c>
      <c r="FR510" s="10">
        <f>CPI_2023/(IF(FB510-1=2023,CPI_2023,IF(FB510-1=2024,CPI_2024,IF(FB510-1=2025,CPI_2025,CPI_2025*(1+INFL)^(FB510-1-2025)))))</f>
        <v>0.5951323726708596</v>
      </c>
      <c r="FS510" s="8">
        <f>$FB$21*ABS($FB$11)*(FG510-FF510)/FF510</f>
        <v>14790.231654284706</v>
      </c>
      <c r="FT510" s="8">
        <f>$FB$21*ABS($FB$11)*(FH510-FF510)/FF510</f>
        <v>19985.467544428266</v>
      </c>
      <c r="FU510" s="13">
        <f>(FG510-FF510)*MCD_NF_DAYS*FR510-FS510*MCD_SHARE_FREED*R_WAIT_2023</f>
        <v>37375351.99811706</v>
      </c>
      <c r="FV510" s="13">
        <f>(FH510-FF510)*MCD_NF_DAYS*FR510-FT510*MCD_SHARE_FREED*R_WAIT_2023</f>
        <v>50503866.45590885</v>
      </c>
      <c r="FW510" s="10">
        <f>IF(AND(FB510&gt;=RULE_START,FC510=1),1/(1+$FB$12)^(FB510-RULE_START+1),0)</f>
        <v>0.6729713331080575</v>
      </c>
      <c r="FX510">
        <f>IF(AND(FB510&gt;=RULE_START,FC510=1,FM510&lt;0),FB510,9999)</f>
        <v>2046</v>
      </c>
      <c r="FY510">
        <f>IF(AND(FB510&gt;=RULE_START,FC510=1,FN510&lt;0),FB510,9999)</f>
        <v>2046</v>
      </c>
      <c r="FZ510">
        <f>IF(AND(FB510&gt;=RULE_START,FC510=1,FO510&lt;0),FB510,9999)</f>
        <v>2046</v>
      </c>
      <c r="GB510" t="n">
        <v>2046</v>
      </c>
      <c r="GC510">
        <f>IF(GB510&lt;=RULE_START+$GB$38-1,1,0)</f>
        <v>1</v>
      </c>
      <c r="GD510" s="15">
        <f>IF(GB510=2024,G_IDX_2024,IF(GB510=2025,G_IDX_2025,IF(GB510=2026,G_IDX_2026,IF(GB510=2027,G_IDX_2027,$GB$13))))</f>
        <v>0.033</v>
      </c>
      <c r="GE510" s="8">
        <f>$GB$20*(1+G_HI)^(GB510-COST_DATE)</f>
        <v>1075.2056402008868</v>
      </c>
      <c r="GF510" s="8">
        <f>GF509*(1+GD510)</f>
        <v>948.0492840788679</v>
      </c>
      <c r="GG510" s="8">
        <f>IF(GB510&lt;RULE_START,GF510,GG509*(1+G_HI))</f>
        <v>1088.6968437919793</v>
      </c>
      <c r="GH510" s="8">
        <f>IF(GB510&lt;RULE_START,GF510,IF(GI510=1,R_NF_2024*(1+G_HI)^(GB510-2024),GH509*(1+GD510)))</f>
        <v>1138.1008874312136</v>
      </c>
      <c r="GI510">
        <f>IF(AND(GB510&gt;=RULE_START,MOD(GB510-RULE_START,REBASE_YEARS)=0),1,0)</f>
        <v>0</v>
      </c>
      <c r="GJ510" s="8">
        <f>GF510*CAP_SHARE</f>
        <v>46.3570776887179</v>
      </c>
      <c r="GK510" s="8">
        <f>GG510*CAP_SHARE</f>
        <v>53.23436767969573</v>
      </c>
      <c r="GL510" s="8">
        <f>GH510*CAP_SHARE</f>
        <v>55.65009345216545</v>
      </c>
      <c r="GM510" s="8">
        <f>GF510-GJ510-GE510</f>
        <v>-173.51343381073684</v>
      </c>
      <c r="GN510" s="8">
        <f>GG510-GK510-GE510</f>
        <v>-39.74316408860318</v>
      </c>
      <c r="GO510" s="8">
        <f>GH510-GL510-GE510</f>
        <v>7.245153778161239</v>
      </c>
      <c r="GP510" s="8">
        <f>R_NF_2024*(1+G_HI)^(GB510-2024)</f>
        <v>1145.9998596557102</v>
      </c>
      <c r="GQ510" s="10">
        <f>1-GF510/GP510</f>
        <v>0.1727317624945539</v>
      </c>
      <c r="GR510" s="10">
        <f>CPI_2023/(IF(GB510-1=2023,CPI_2023,IF(GB510-1=2024,CPI_2024,IF(GB510-1=2025,CPI_2025,CPI_2025*(1+INFL)^(GB510-1-2025)))))</f>
        <v>0.5951323726708596</v>
      </c>
      <c r="GS510" s="8">
        <f>$GB$21*ABS($GB$11)*(GG510-GF510)/GF510</f>
        <v>11164.406144182183</v>
      </c>
      <c r="GT510" s="8">
        <f>$GB$21*ABS($GB$11)*(GH510-GF510)/GF510</f>
        <v>15086.029878560375</v>
      </c>
      <c r="GU510" s="13">
        <f>(GG510-GF510)*MCD_NF_DAYS*GR510-GS510*MCD_SHARE_FREED*R_WAIT_2023</f>
        <v>39024082.77271145</v>
      </c>
      <c r="GV510" s="13">
        <f>(GH510-GF510)*MCD_NF_DAYS*GR510-GT510*MCD_SHARE_FREED*R_WAIT_2023</f>
        <v>52731732.5336934</v>
      </c>
      <c r="GW510" s="10">
        <f>IF(AND(GB510&gt;=RULE_START,GC510=1),1/(1+$GB$12)^(GB510-RULE_START+1),0)</f>
        <v>0.6729713331080575</v>
      </c>
      <c r="GX510">
        <f>IF(AND(GB510&gt;=RULE_START,GC510=1,GM510&lt;0),GB510,9999)</f>
        <v>2046</v>
      </c>
      <c r="GY510">
        <f>IF(AND(GB510&gt;=RULE_START,GC510=1,GN510&lt;0),GB510,9999)</f>
        <v>2046</v>
      </c>
      <c r="GZ510">
        <f>IF(AND(GB510&gt;=RULE_START,GC510=1,GO510&lt;0),GB510,9999)</f>
        <v>9999</v>
      </c>
      <c r="HB510" t="n">
        <v>2046</v>
      </c>
      <c r="HC510">
        <f>IF(HB510&lt;=RULE_START+$HB$38-1,1,0)</f>
        <v>1</v>
      </c>
      <c r="HD510" s="15">
        <f>IF(HB510=2024,G_IDX_2024,IF(HB510=2025,G_IDX_2025,IF(HB510=2026,G_IDX_2026,IF(HB510=2027,G_IDX_2027,$HB$13))))</f>
        <v>0.033</v>
      </c>
      <c r="HE510" s="8">
        <f>$HB$20*(1+G_HI)^(HB510-COST_DATE)</f>
        <v>1075.2056402008868</v>
      </c>
      <c r="HF510" s="8">
        <f>HF509*(1+HD510)</f>
        <v>948.0492840788679</v>
      </c>
      <c r="HG510" s="8">
        <f>IF(HB510&lt;RULE_START,HF510,HG509*(1+G_HI))</f>
        <v>1088.6968437919793</v>
      </c>
      <c r="HH510" s="8">
        <f>IF(HB510&lt;RULE_START,HF510,IF(HI510=1,R_NF_2024*(1+G_HI)^(HB510-2024),HH509*(1+HD510)))</f>
        <v>1138.1008874312136</v>
      </c>
      <c r="HI510">
        <f>IF(AND(HB510&gt;=RULE_START,MOD(HB510-RULE_START,REBASE_YEARS)=0),1,0)</f>
        <v>0</v>
      </c>
      <c r="HJ510" s="8">
        <f>HF510*CAP_SHARE</f>
        <v>46.3570776887179</v>
      </c>
      <c r="HK510" s="8">
        <f>HG510*CAP_SHARE</f>
        <v>53.23436767969573</v>
      </c>
      <c r="HL510" s="8">
        <f>HH510*CAP_SHARE</f>
        <v>55.65009345216545</v>
      </c>
      <c r="HM510" s="8">
        <f>HF510-HJ510-HE510</f>
        <v>-173.51343381073684</v>
      </c>
      <c r="HN510" s="8">
        <f>HG510-HK510-HE510</f>
        <v>-39.74316408860318</v>
      </c>
      <c r="HO510" s="8">
        <f>HH510-HL510-HE510</f>
        <v>7.245153778161239</v>
      </c>
      <c r="HP510" s="8">
        <f>R_NF_2024*(1+G_HI)^(HB510-2024)</f>
        <v>1145.9998596557102</v>
      </c>
      <c r="HQ510" s="10">
        <f>1-HF510/HP510</f>
        <v>0.1727317624945539</v>
      </c>
      <c r="HR510" s="10">
        <f>CPI_2023/(IF(HB510-1=2023,CPI_2023,IF(HB510-1=2024,CPI_2024,IF(HB510-1=2025,CPI_2025,CPI_2025*(1+INFL)^(HB510-1-2025)))))</f>
        <v>0.5951323726708596</v>
      </c>
      <c r="HS510" s="8">
        <f>$HB$21*ABS($HB$11)*(HG510-HF510)/HF510</f>
        <v>14790.231654284706</v>
      </c>
      <c r="HT510" s="8">
        <f>$HB$21*ABS($HB$11)*(HH510-HF510)/HF510</f>
        <v>19985.467544428266</v>
      </c>
      <c r="HU510" s="13">
        <f>(HG510-HF510)*MCD_NF_DAYS*HR510-HS510*MCD_SHARE_FREED*R_WAIT_2023</f>
        <v>37375351.99811706</v>
      </c>
      <c r="HV510" s="13">
        <f>(HH510-HF510)*MCD_NF_DAYS*HR510-HT510*MCD_SHARE_FREED*R_WAIT_2023</f>
        <v>50503866.45590885</v>
      </c>
      <c r="HW510" s="10">
        <f>IF(AND(HB510&gt;=RULE_START,HC510=1),1/(1+$HB$12)^(HB510-RULE_START+1),0)</f>
        <v>0.5536757541863345</v>
      </c>
      <c r="HX510">
        <f>IF(AND(HB510&gt;=RULE_START,HC510=1,HM510&lt;0),HB510,9999)</f>
        <v>2046</v>
      </c>
      <c r="HY510">
        <f>IF(AND(HB510&gt;=RULE_START,HC510=1,HN510&lt;0),HB510,9999)</f>
        <v>2046</v>
      </c>
      <c r="HZ510">
        <f>IF(AND(HB510&gt;=RULE_START,HC510=1,HO510&lt;0),HB510,9999)</f>
        <v>9999</v>
      </c>
      <c r="IB510" t="n">
        <v>2046</v>
      </c>
      <c r="IC510">
        <f>IF(IB510&lt;=RULE_START+$IB$38-1,1,0)</f>
        <v>1</v>
      </c>
      <c r="ID510" s="15">
        <f>IF(IB510=2024,G_IDX_2024,IF(IB510=2025,G_IDX_2025,IF(IB510=2026,G_IDX_2026,IF(IB510=2027,G_IDX_2027,$IB$13))))</f>
        <v>0.033</v>
      </c>
      <c r="IE510" s="8">
        <f>$IB$20*(1+G_HI)^(IB510-COST_DATE)</f>
        <v>1075.2056402008868</v>
      </c>
      <c r="IF510" s="8">
        <f>IF509*(1+ID510)</f>
        <v>948.0492840788679</v>
      </c>
      <c r="IG510" s="8">
        <f>IF(IB510&lt;RULE_START,IF510,IG509*(1+G_HI))</f>
        <v>1088.6968437919793</v>
      </c>
      <c r="IH510" s="8">
        <f>IF(IB510&lt;RULE_START,IF510,IF(II510=1,R_NF_2024*(1+G_HI)^(IB510-2024),IH509*(1+ID510)))</f>
        <v>1138.1008874312136</v>
      </c>
      <c r="II510">
        <f>IF(AND(IB510&gt;=RULE_START,MOD(IB510-RULE_START,REBASE_YEARS)=0),1,0)</f>
        <v>0</v>
      </c>
      <c r="IJ510" s="8">
        <f>IF510*CAP_SHARE</f>
        <v>46.3570776887179</v>
      </c>
      <c r="IK510" s="8">
        <f>IG510*CAP_SHARE</f>
        <v>53.23436767969573</v>
      </c>
      <c r="IL510" s="8">
        <f>IH510*CAP_SHARE</f>
        <v>55.65009345216545</v>
      </c>
      <c r="IM510" s="8">
        <f>IF510-IJ510-IE510</f>
        <v>-173.51343381073684</v>
      </c>
      <c r="IN510" s="8">
        <f>IG510-IK510-IE510</f>
        <v>-39.74316408860318</v>
      </c>
      <c r="IO510" s="8">
        <f>IH510-IL510-IE510</f>
        <v>7.245153778161239</v>
      </c>
      <c r="IP510" s="8">
        <f>R_NF_2024*(1+G_HI)^(IB510-2024)</f>
        <v>1145.9998596557102</v>
      </c>
      <c r="IQ510" s="10">
        <f>1-IF510/IP510</f>
        <v>0.1727317624945539</v>
      </c>
      <c r="IR510" s="10">
        <f>CPI_2023/(IF(IB510-1=2023,CPI_2023,IF(IB510-1=2024,CPI_2024,IF(IB510-1=2025,CPI_2025,CPI_2025*(1+INFL)^(IB510-1-2025)))))</f>
        <v>0.5951323726708596</v>
      </c>
      <c r="IS510" s="8">
        <f>$IB$21*ABS($IB$11)*(IG510-IF510)/IF510</f>
        <v>14790.231654284706</v>
      </c>
      <c r="IT510" s="8">
        <f>$IB$21*ABS($IB$11)*(IH510-IF510)/IF510</f>
        <v>19985.467544428266</v>
      </c>
      <c r="IU510" s="13">
        <f>(IG510-IF510)*MCD_NF_DAYS*IR510-IS510*MCD_SHARE_FREED*R_WAIT_2023</f>
        <v>37375351.99811706</v>
      </c>
      <c r="IV510" s="13">
        <f>(IH510-IF510)*MCD_NF_DAYS*IR510-IT510*MCD_SHARE_FREED*R_WAIT_2023</f>
        <v>50503866.45590885</v>
      </c>
      <c r="IW510" s="10">
        <f>IF(AND(IB510&gt;=RULE_START,IC510=1),1/(1+$IB$12)^(IB510-RULE_START+1),0)</f>
        <v>0.2584190028138684</v>
      </c>
      <c r="IX510">
        <f>IF(AND(IB510&gt;=RULE_START,IC510=1,IM510&lt;0),IB510,9999)</f>
        <v>2046</v>
      </c>
      <c r="IY510">
        <f>IF(AND(IB510&gt;=RULE_START,IC510=1,IN510&lt;0),IB510,9999)</f>
        <v>2046</v>
      </c>
      <c r="IZ510">
        <f>IF(AND(IB510&gt;=RULE_START,IC510=1,IO510&lt;0),IB510,9999)</f>
        <v>9999</v>
      </c>
      <c r="JB510" t="n">
        <v>2046</v>
      </c>
      <c r="JC510">
        <f>IF(JB510&lt;=RULE_START+$JB$38-1,1,0)</f>
        <v>1</v>
      </c>
      <c r="JD510" s="15">
        <f>IF(JB510=2024,G_IDX_2024,IF(JB510=2025,G_IDX_2025,IF(JB510=2026,G_IDX_2026,IF(JB510=2027,G_IDX_2027,$JB$13))))</f>
        <v>0.03</v>
      </c>
      <c r="JE510" s="8">
        <f>$JB$20*(1+G_HI)^(JB510-COST_DATE)</f>
        <v>1075.2056402008868</v>
      </c>
      <c r="JF510" s="8">
        <f>JF509*(1+JD510)</f>
        <v>897.0818605883874</v>
      </c>
      <c r="JG510" s="8">
        <f>IF(JB510&lt;RULE_START,JF510,JG509*(1+G_HI))</f>
        <v>1088.6968437919793</v>
      </c>
      <c r="JH510" s="8">
        <f>IF(JB510&lt;RULE_START,JF510,IF(JI510=1,R_NF_2024*(1+G_HI)^(JB510-2024),JH509*(1+JD510)))</f>
        <v>1134.7956573612296</v>
      </c>
      <c r="JI510">
        <f>IF(AND(JB510&gt;=RULE_START,MOD(JB510-RULE_START,REBASE_YEARS)=0),1,0)</f>
        <v>0</v>
      </c>
      <c r="JJ510" s="8">
        <f>JF510*CAP_SHARE</f>
        <v>43.864906817413875</v>
      </c>
      <c r="JK510" s="8">
        <f>JG510*CAP_SHARE</f>
        <v>53.23436767969573</v>
      </c>
      <c r="JL510" s="8">
        <f>JH510*CAP_SHARE</f>
        <v>55.488476530232745</v>
      </c>
      <c r="JM510" s="8">
        <f>JF510-JJ510-JE510</f>
        <v>-221.9886864299133</v>
      </c>
      <c r="JN510" s="8">
        <f>JG510-JK510-JE510</f>
        <v>-39.74316408860318</v>
      </c>
      <c r="JO510" s="8">
        <f>JH510-JL510-JE510</f>
        <v>4.101540630110094</v>
      </c>
      <c r="JP510" s="8">
        <f>R_NF_2024*(1+G_HI)^(JB510-2024)</f>
        <v>1145.9998596557102</v>
      </c>
      <c r="JQ510" s="10">
        <f>1-JF510/JP510</f>
        <v>0.21720595946853316</v>
      </c>
      <c r="JR510" s="10">
        <f>CPI_2023/(IF(JB510-1=2023,CPI_2023,IF(JB510-1=2024,CPI_2024,IF(JB510-1=2025,CPI_2025,CPI_2025*(1+INFL)^(JB510-1-2025)))))</f>
        <v>0.5951323726708596</v>
      </c>
      <c r="JS510" s="8">
        <f>$JB$21*ABS($JB$11)*(JG510-JF510)/JF510</f>
        <v>21294.678114550486</v>
      </c>
      <c r="JT510" s="8">
        <f>$JB$21*ABS($JB$11)*(JH510-JF510)/JF510</f>
        <v>26417.76076710506</v>
      </c>
      <c r="JU510" s="13">
        <f>(JG510-JF510)*MCD_NF_DAYS*JR510-JS510*MCD_SHARE_FREED*R_WAIT_2023</f>
        <v>50398749.47596786</v>
      </c>
      <c r="JV510" s="13">
        <f>(JH510-JF510)*MCD_NF_DAYS*JR510-JT510*MCD_SHARE_FREED*R_WAIT_2023</f>
        <v>62523701.90595321</v>
      </c>
      <c r="JW510" s="10">
        <f>IF(AND(JB510&gt;=RULE_START,JC510=1),1/(1+$JB$12)^(JB510-RULE_START+1),0)</f>
        <v>0.6729713331080575</v>
      </c>
      <c r="JX510">
        <f>IF(AND(JB510&gt;=RULE_START,JC510=1,JM510&lt;0),JB510,9999)</f>
        <v>2046</v>
      </c>
      <c r="JY510">
        <f>IF(AND(JB510&gt;=RULE_START,JC510=1,JN510&lt;0),JB510,9999)</f>
        <v>2046</v>
      </c>
      <c r="JZ510">
        <f>IF(AND(JB510&gt;=RULE_START,JC510=1,JO510&lt;0),JB510,9999)</f>
        <v>9999</v>
      </c>
      <c r="KB510" t="n">
        <v>2046</v>
      </c>
      <c r="KC510">
        <f>IF(KB510&lt;=RULE_START+$KB$38-1,1,0)</f>
        <v>1</v>
      </c>
      <c r="KD510" s="15">
        <f>IF(KB510=2024,G_IDX_2024,IF(KB510=2025,G_IDX_2025,IF(KB510=2026,G_IDX_2026,IF(KB510=2027,G_IDX_2027,$KB$13))))</f>
        <v>0.033</v>
      </c>
      <c r="KE510" s="8">
        <f>$KB$20*(1+G_HI)^(KB510-COST_DATE)</f>
        <v>1075.2056402008868</v>
      </c>
      <c r="KF510" s="8">
        <f>KF509*(1+KD510)</f>
        <v>948.0492840788679</v>
      </c>
      <c r="KG510" s="8">
        <f>IF(KB510&lt;RULE_START,KF510,KG509*(1+G_HI))</f>
        <v>1088.6968437919793</v>
      </c>
      <c r="KH510" s="8">
        <f>IF(KB510&lt;RULE_START,KF510,IF(KI510=1,R_NF_2024*(1+G_HI)^(KB510-2024),KH509*(1+KD510)))</f>
        <v>1138.1008874312136</v>
      </c>
      <c r="KI510">
        <f>IF(AND(KB510&gt;=RULE_START,MOD(KB510-RULE_START,REBASE_YEARS)=0),1,0)</f>
        <v>0</v>
      </c>
      <c r="KJ510" s="8">
        <f>KF510*CAP_SHARE</f>
        <v>46.3570776887179</v>
      </c>
      <c r="KK510" s="8">
        <f>KG510*CAP_SHARE</f>
        <v>53.23436767969573</v>
      </c>
      <c r="KL510" s="8">
        <f>KH510*CAP_SHARE</f>
        <v>55.65009345216545</v>
      </c>
      <c r="KM510" s="8">
        <f>KF510-KJ510-KE510</f>
        <v>-173.51343381073684</v>
      </c>
      <c r="KN510" s="8">
        <f>KG510-KK510-KE510</f>
        <v>-39.74316408860318</v>
      </c>
      <c r="KO510" s="8">
        <f>KH510-KL510-KE510</f>
        <v>7.245153778161239</v>
      </c>
      <c r="KP510" s="8">
        <f>R_NF_2024*(1+G_HI)^(KB510-2024)</f>
        <v>1145.9998596557102</v>
      </c>
      <c r="KQ510" s="10">
        <f>1-KF510/KP510</f>
        <v>0.1727317624945539</v>
      </c>
      <c r="KR510" s="10">
        <f>CPI_2023/(IF(KB510-1=2023,CPI_2023,IF(KB510-1=2024,CPI_2024,IF(KB510-1=2025,CPI_2025,CPI_2025*(1+INFL)^(KB510-1-2025)))))</f>
        <v>0.5951323726708596</v>
      </c>
      <c r="KS510" s="8">
        <f>$KB$21*ABS($KB$11)*(KG510-KF510)/KF510</f>
        <v>14790.231654284706</v>
      </c>
      <c r="KT510" s="8">
        <f>$KB$21*ABS($KB$11)*(KH510-KF510)/KF510</f>
        <v>19985.467544428266</v>
      </c>
      <c r="KU510" s="13">
        <f>(KG510-KF510)*MCD_NF_DAYS*KR510-KS510*MCD_SHARE_FREED*R_WAIT_2023</f>
        <v>37375351.99811706</v>
      </c>
      <c r="KV510" s="13">
        <f>(KH510-KF510)*MCD_NF_DAYS*KR510-KT510*MCD_SHARE_FREED*R_WAIT_2023</f>
        <v>50503866.45590885</v>
      </c>
      <c r="KW510" s="10">
        <f>IF(AND(KB510&gt;=RULE_START,KC510=1),1/(1+$KB$12)^(KB510-RULE_START+1),0)</f>
        <v>0.6729713331080575</v>
      </c>
      <c r="KX510">
        <f>IF(AND(KB510&gt;=RULE_START,KC510=1,KM510&lt;0),KB510,9999)</f>
        <v>2046</v>
      </c>
      <c r="KY510">
        <f>IF(AND(KB510&gt;=RULE_START,KC510=1,KN510&lt;0),KB510,9999)</f>
        <v>2046</v>
      </c>
      <c r="KZ510">
        <f>IF(AND(KB510&gt;=RULE_START,KC510=1,KO510&lt;0),KB510,9999)</f>
        <v>9999</v>
      </c>
      <c r="LB510" t="n">
        <v>2046</v>
      </c>
      <c r="LC510">
        <f>IF(LB510&lt;=RULE_START+$LB$38-1,1,0)</f>
        <v>1</v>
      </c>
      <c r="LD510" s="15">
        <f>IF(LB510=2024,G_IDX_2024,IF(LB510=2025,G_IDX_2025,IF(LB510=2026,G_IDX_2026,IF(LB510=2027,G_IDX_2027,$LB$13))))</f>
        <v>0.033</v>
      </c>
      <c r="LE510" s="8">
        <f>$LB$20*(1+G_HI)^(LB510-COST_DATE)</f>
        <v>1075.2056402008868</v>
      </c>
      <c r="LF510" s="8">
        <f>LF509*(1+LD510)</f>
        <v>948.0492840788679</v>
      </c>
      <c r="LG510" s="8">
        <f>IF(LB510&lt;RULE_START,LF510,LG509*(1+G_HI))</f>
        <v>1088.6968437919793</v>
      </c>
      <c r="LH510" s="8">
        <f>IF(LB510&lt;RULE_START,LF510,IF(LI510=1,R_NF_2024*(1+G_HI)^(LB510-2024),LH509*(1+LD510)))</f>
        <v>1138.1008874312136</v>
      </c>
      <c r="LI510">
        <f>IF(AND(LB510&gt;=RULE_START,MOD(LB510-RULE_START,REBASE_YEARS)=0),1,0)</f>
        <v>0</v>
      </c>
      <c r="LJ510" s="8">
        <f>LF510*CAP_SHARE</f>
        <v>46.3570776887179</v>
      </c>
      <c r="LK510" s="8">
        <f>LG510*CAP_SHARE</f>
        <v>53.23436767969573</v>
      </c>
      <c r="LL510" s="8">
        <f>LH510*CAP_SHARE</f>
        <v>55.65009345216545</v>
      </c>
      <c r="LM510" s="8">
        <f>LF510-LJ510-LE510</f>
        <v>-173.51343381073684</v>
      </c>
      <c r="LN510" s="8">
        <f>LG510-LK510-LE510</f>
        <v>-39.74316408860318</v>
      </c>
      <c r="LO510" s="8">
        <f>LH510-LL510-LE510</f>
        <v>7.245153778161239</v>
      </c>
      <c r="LP510" s="8">
        <f>R_NF_2024*(1+G_HI)^(LB510-2024)</f>
        <v>1145.9998596557102</v>
      </c>
      <c r="LQ510" s="10">
        <f>1-LF510/LP510</f>
        <v>0.1727317624945539</v>
      </c>
      <c r="LR510" s="10">
        <f>CPI_2023/(IF(LB510-1=2023,CPI_2023,IF(LB510-1=2024,CPI_2024,IF(LB510-1=2025,CPI_2025,CPI_2025*(1+INFL)^(LB510-1-2025)))))</f>
        <v>0.5951323726708596</v>
      </c>
      <c r="LS510" s="8">
        <f>$LB$21*ABS($LB$11)*(LG510-LF510)/LF510</f>
        <v>14790.231654284706</v>
      </c>
      <c r="LT510" s="8">
        <f>$LB$21*ABS($LB$11)*(LH510-LF510)/LF510</f>
        <v>19985.467544428266</v>
      </c>
      <c r="LU510" s="13">
        <f>(LG510-LF510)*MCD_NF_DAYS*LR510-LS510*MCD_SHARE_FREED*R_WAIT_2023</f>
        <v>37375351.99811706</v>
      </c>
      <c r="LV510" s="13">
        <f>(LH510-LF510)*MCD_NF_DAYS*LR510-LT510*MCD_SHARE_FREED*R_WAIT_2023</f>
        <v>50503866.45590885</v>
      </c>
      <c r="LW510" s="10">
        <f>IF(AND(LB510&gt;=RULE_START,LC510=1),1/(1+$LB$12)^(LB510-RULE_START+1),0)</f>
        <v>0.6729713331080575</v>
      </c>
      <c r="LX510">
        <f>IF(AND(LB510&gt;=RULE_START,LC510=1,LM510&lt;0),LB510,9999)</f>
        <v>2046</v>
      </c>
      <c r="LY510">
        <f>IF(AND(LB510&gt;=RULE_START,LC510=1,LN510&lt;0),LB510,9999)</f>
        <v>2046</v>
      </c>
      <c r="LZ510">
        <f>IF(AND(LB510&gt;=RULE_START,LC510=1,LO510&lt;0),LB510,9999)</f>
        <v>9999</v>
      </c>
      <c r="MB510" t="n">
        <v>2046</v>
      </c>
      <c r="MC510">
        <f>IF(MB510&lt;=RULE_START+$MB$38-1,1,0)</f>
        <v>1</v>
      </c>
      <c r="MD510" s="15">
        <f>IF(MB510=2024,G_IDX_2024,IF(MB510=2025,G_IDX_2025,IF(MB510=2026,G_IDX_2026,IF(MB510=2027,G_IDX_2027,$MB$13))))</f>
        <v>0.033</v>
      </c>
      <c r="ME510" s="8">
        <f>$MB$20*(1+G_HI)^(MB510-COST_DATE)</f>
        <v>1075.2056402008868</v>
      </c>
      <c r="MF510" s="8">
        <f>MF509*(1+MD510)</f>
        <v>948.0492840788679</v>
      </c>
      <c r="MG510" s="8">
        <f>IF(MB510&lt;RULE_START,MF510,MG509*(1+G_HI))</f>
        <v>1088.6968437919793</v>
      </c>
      <c r="MH510" s="8">
        <f>IF(MB510&lt;RULE_START,MF510,IF(MI510=1,R_NF_2024*(1+G_HI)^(MB510-2024),MH509*(1+MD510)))</f>
        <v>1138.1008874312136</v>
      </c>
      <c r="MI510">
        <f>IF(AND(MB510&gt;=RULE_START,MOD(MB510-RULE_START,REBASE_YEARS)=0),1,0)</f>
        <v>0</v>
      </c>
      <c r="MJ510" s="8">
        <f>MF510*CAP_SHARE</f>
        <v>46.3570776887179</v>
      </c>
      <c r="MK510" s="8">
        <f>MG510*CAP_SHARE</f>
        <v>53.23436767969573</v>
      </c>
      <c r="ML510" s="8">
        <f>MH510*CAP_SHARE</f>
        <v>55.65009345216545</v>
      </c>
      <c r="MM510" s="8">
        <f>MF510-MJ510-ME510</f>
        <v>-173.51343381073684</v>
      </c>
      <c r="MN510" s="8">
        <f>MG510-MK510-ME510</f>
        <v>-39.74316408860318</v>
      </c>
      <c r="MO510" s="8">
        <f>MH510-ML510-ME510</f>
        <v>7.245153778161239</v>
      </c>
      <c r="MP510" s="8">
        <f>R_NF_2024*(1+G_HI)^(MB510-2024)</f>
        <v>1145.9998596557102</v>
      </c>
      <c r="MQ510" s="10">
        <f>1-MF510/MP510</f>
        <v>0.1727317624945539</v>
      </c>
      <c r="MR510" s="10">
        <f>CPI_2023/(IF(MB510-1=2023,CPI_2023,IF(MB510-1=2024,CPI_2024,IF(MB510-1=2025,CPI_2025,CPI_2025*(1+INFL)^(MB510-1-2025)))))</f>
        <v>0.5951323726708596</v>
      </c>
      <c r="MS510" s="8">
        <f>$MB$21*ABS($MB$11)*(MG510-MF510)/MF510</f>
        <v>10835.170249061168</v>
      </c>
      <c r="MT510" s="8">
        <f>$MB$21*ABS($MB$11)*(MH510-MF510)/MF510</f>
        <v>14641.146157317533</v>
      </c>
      <c r="MU510" s="13">
        <f>(MG510-MF510)*MCD_NF_DAYS*MR510-MS510*MCD_SHARE_FREED*R_WAIT_2023</f>
        <v>39173792.501123555</v>
      </c>
      <c r="MV510" s="13">
        <f>(MH510-MF510)*MCD_NF_DAYS*MR510-MT510*MCD_SHARE_FREED*R_WAIT_2023</f>
        <v>52934029.494836584</v>
      </c>
      <c r="MW510" s="10">
        <f>IF(AND(MB510&gt;=RULE_START,MC510=1),1/(1+$MB$12)^(MB510-RULE_START+1),0)</f>
        <v>0.6729713331080575</v>
      </c>
      <c r="MX510">
        <f>IF(AND(MB510&gt;=RULE_START,MC510=1,MM510&lt;0),MB510,9999)</f>
        <v>2046</v>
      </c>
      <c r="MY510">
        <f>IF(AND(MB510&gt;=RULE_START,MC510=1,MN510&lt;0),MB510,9999)</f>
        <v>2046</v>
      </c>
      <c r="MZ510">
        <f>IF(AND(MB510&gt;=RULE_START,MC510=1,MO510&lt;0),MB510,9999)</f>
        <v>9999</v>
      </c>
      <c r="NB510" t="n">
        <v>2046</v>
      </c>
      <c r="NC510">
        <f>IF(NB510&lt;=RULE_START+$NB$38-1,1,0)</f>
        <v>1</v>
      </c>
      <c r="ND510" s="15">
        <f>IF(NB510=2024,G_IDX_2024,IF(NB510=2025,G_IDX_2025,IF(NB510=2026,G_IDX_2026,IF(NB510=2027,G_IDX_2027,$NB$13))))</f>
        <v>0.033</v>
      </c>
      <c r="NE510" s="8">
        <f>$NB$20*(1+G_HI)^(NB510-COST_DATE)</f>
        <v>1075.2056402008868</v>
      </c>
      <c r="NF510" s="8">
        <f>NF509*(1+ND510)</f>
        <v>948.0492840788679</v>
      </c>
      <c r="NG510" s="8">
        <f>IF(NB510&lt;RULE_START,NF510,NG509*(1+G_HI))</f>
        <v>1088.6968437919793</v>
      </c>
      <c r="NH510" s="8">
        <f>IF(NB510&lt;RULE_START,NF510,IF(NI510=1,R_NF_2024*(1+G_HI)^(NB510-2024),NH509*(1+ND510)))</f>
        <v>1138.1008874312136</v>
      </c>
      <c r="NI510">
        <f>IF(AND(NB510&gt;=RULE_START,MOD(NB510-RULE_START,REBASE_YEARS)=0),1,0)</f>
        <v>0</v>
      </c>
      <c r="NJ510" s="8">
        <f>NF510*CAP_SHARE</f>
        <v>46.3570776887179</v>
      </c>
      <c r="NK510" s="8">
        <f>NG510*CAP_SHARE</f>
        <v>53.23436767969573</v>
      </c>
      <c r="NL510" s="8">
        <f>NH510*CAP_SHARE</f>
        <v>55.65009345216545</v>
      </c>
      <c r="NM510" s="8">
        <f>NF510-NJ510-NE510</f>
        <v>-173.51343381073684</v>
      </c>
      <c r="NN510" s="8">
        <f>NG510-NK510-NE510</f>
        <v>-39.74316408860318</v>
      </c>
      <c r="NO510" s="8">
        <f>NH510-NL510-NE510</f>
        <v>7.245153778161239</v>
      </c>
      <c r="NP510" s="8">
        <f>R_NF_2024*(1+G_HI)^(NB510-2024)</f>
        <v>1145.9998596557102</v>
      </c>
      <c r="NQ510" s="10">
        <f>1-NF510/NP510</f>
        <v>0.1727317624945539</v>
      </c>
      <c r="NR510" s="10">
        <f>CPI_2023/(IF(NB510-1=2023,CPI_2023,IF(NB510-1=2024,CPI_2024,IF(NB510-1=2025,CPI_2025,CPI_2025*(1+INFL)^(NB510-1-2025)))))</f>
        <v>0.5951323726708596</v>
      </c>
      <c r="NS510" s="8">
        <f>$NB$21*ABS($NB$11)*(NG510-NF510)/NF510</f>
        <v>14790.231654284706</v>
      </c>
      <c r="NT510" s="8">
        <f>$NB$21*ABS($NB$11)*(NH510-NF510)/NF510</f>
        <v>19985.467544428266</v>
      </c>
      <c r="NU510" s="13">
        <f>(NG510-NF510)*MCD_NF_DAYS*NR510-NS510*MCD_SHARE_FREED*R_WAIT_2023</f>
        <v>37375351.99811706</v>
      </c>
      <c r="NV510" s="13">
        <f>(NH510-NF510)*MCD_NF_DAYS*NR510-NT510*MCD_SHARE_FREED*R_WAIT_2023</f>
        <v>50503866.45590885</v>
      </c>
      <c r="NW510" s="10">
        <f>IF(AND(NB510&gt;=RULE_START,NC510=1),1/(1+$NB$12)^(NB510-RULE_START+1),0)</f>
        <v>0.6729713331080575</v>
      </c>
      <c r="NX510">
        <f>IF(AND(NB510&gt;=RULE_START,NC510=1,NM510&lt;0),NB510,9999)</f>
        <v>2046</v>
      </c>
      <c r="NY510">
        <f>IF(AND(NB510&gt;=RULE_START,NC510=1,NN510&lt;0),NB510,9999)</f>
        <v>2046</v>
      </c>
      <c r="NZ510">
        <f>IF(AND(NB510&gt;=RULE_START,NC510=1,NO510&lt;0),NB510,9999)</f>
        <v>9999</v>
      </c>
      <c r="OB510" t="n">
        <v>2046</v>
      </c>
      <c r="OC510">
        <f>IF(OB510&lt;=RULE_START+$OB$38-1,1,0)</f>
        <v>1</v>
      </c>
      <c r="OD510" s="15">
        <f>IF(OB510=2024,G_IDX_2024,IF(OB510=2025,G_IDX_2025,IF(OB510=2026,G_IDX_2026,IF(OB510=2027,G_IDX_2027,$OB$13))))</f>
        <v>0.033</v>
      </c>
      <c r="OE510" s="8">
        <f>$OB$20*(1+G_HI)^(OB510-COST_DATE)</f>
        <v>1075.2056402008868</v>
      </c>
      <c r="OF510" s="8">
        <f>OF509*(1+OD510)</f>
        <v>948.0492840788679</v>
      </c>
      <c r="OG510" s="8">
        <f>IF(OB510&lt;RULE_START,OF510,OG509*(1+G_HI))</f>
        <v>1088.6968437919793</v>
      </c>
      <c r="OH510" s="8">
        <f>IF(OB510&lt;RULE_START,OF510,IF(OI510=1,R_NF_2024*(1+G_HI)^(OB510-2024),OH509*(1+OD510)))</f>
        <v>1138.1008874312136</v>
      </c>
      <c r="OI510">
        <f>IF(AND(OB510&gt;=RULE_START,MOD(OB510-RULE_START,REBASE_YEARS)=0),1,0)</f>
        <v>0</v>
      </c>
      <c r="OJ510" s="8">
        <f>OF510*CAP_SHARE</f>
        <v>46.3570776887179</v>
      </c>
      <c r="OK510" s="8">
        <f>OG510*CAP_SHARE</f>
        <v>53.23436767969573</v>
      </c>
      <c r="OL510" s="8">
        <f>OH510*CAP_SHARE</f>
        <v>55.65009345216545</v>
      </c>
      <c r="OM510" s="8">
        <f>OF510-OJ510-OE510</f>
        <v>-173.51343381073684</v>
      </c>
      <c r="ON510" s="8">
        <f>OG510-OK510-OE510</f>
        <v>-39.74316408860318</v>
      </c>
      <c r="OO510" s="8">
        <f>OH510-OL510-OE510</f>
        <v>7.245153778161239</v>
      </c>
      <c r="OP510" s="8">
        <f>R_NF_2024*(1+G_HI)^(OB510-2024)</f>
        <v>1145.9998596557102</v>
      </c>
      <c r="OQ510" s="10">
        <f>1-OF510/OP510</f>
        <v>0.1727317624945539</v>
      </c>
      <c r="OR510" s="10">
        <f>CPI_2023/(IF(OB510-1=2023,CPI_2023,IF(OB510-1=2024,CPI_2024,IF(OB510-1=2025,CPI_2025,CPI_2025*(1+INFL)^(OB510-1-2025)))))</f>
        <v>0.5951323726708596</v>
      </c>
      <c r="OS510" s="8">
        <f>$OB$21*ABS($OB$11)*(OG510-OF510)/OF510</f>
        <v>14790.231654284706</v>
      </c>
      <c r="OT510" s="8">
        <f>$OB$21*ABS($OB$11)*(OH510-OF510)/OF510</f>
        <v>19985.467544428266</v>
      </c>
      <c r="OU510" s="13">
        <f>(OG510-OF510)*MCD_NF_DAYS*OR510-OS510*MCD_SHARE_FREED*R_WAIT_2023</f>
        <v>37375351.99811706</v>
      </c>
      <c r="OV510" s="13">
        <f>(OH510-OF510)*MCD_NF_DAYS*OR510-OT510*MCD_SHARE_FREED*R_WAIT_2023</f>
        <v>50503866.45590885</v>
      </c>
      <c r="OW510" s="10">
        <f>IF(AND(OB510&gt;=RULE_START,OC510=1),1/(1+$OB$12)^(OB510-RULE_START+1),0)</f>
        <v>0.6729713331080575</v>
      </c>
      <c r="OX510">
        <f>IF(AND(OB510&gt;=RULE_START,OC510=1,OM510&lt;0),OB510,9999)</f>
        <v>2046</v>
      </c>
      <c r="OY510">
        <f>IF(AND(OB510&gt;=RULE_START,OC510=1,ON510&lt;0),OB510,9999)</f>
        <v>2046</v>
      </c>
      <c r="OZ510">
        <f>IF(AND(OB510&gt;=RULE_START,OC510=1,OO510&lt;0),OB510,9999)</f>
        <v>9999</v>
      </c>
    </row>
    <row r="511">
      <c r="B511" t="n">
        <v>2047</v>
      </c>
      <c r="C511">
        <f>IF(B511&lt;=RULE_START+$B$38-1,1,0)</f>
        <v>0</v>
      </c>
      <c r="D511" s="15">
        <f>IF(B511=2024,G_IDX_2024,IF(B511=2025,G_IDX_2025,IF(B511=2026,G_IDX_2026,IF(B511=2027,G_IDX_2027,$B$13))))</f>
        <v>0.033</v>
      </c>
      <c r="E511" s="8">
        <f>$B$20*(1+G_HI)^(B511-COST_DATE)</f>
        <v>1118.3961358343336</v>
      </c>
      <c r="F511" s="8">
        <f>F510*(1+D511)</f>
        <v>979.3349104534705</v>
      </c>
      <c r="G511" s="8">
        <f>IF(B511&lt;RULE_START,F511,G510*(1+G_HI))</f>
        <v>1132.429274612524</v>
      </c>
      <c r="H511" s="8">
        <f>IF(B511&lt;RULE_START,F511,IF(I511=1,R_NF_2024*(1+G_HI)^(B511-2024),H510*(1+D511)))</f>
        <v>1175.6582167164436</v>
      </c>
      <c r="I511">
        <f>IF(AND(B511&gt;=RULE_START,MOD(B511-RULE_START,REBASE_YEARS)=0),1,0)</f>
        <v>0</v>
      </c>
      <c r="J511" s="8">
        <f>F511*CAP_SHARE</f>
        <v>47.886861252445584</v>
      </c>
      <c r="K511" s="8">
        <f>G511*CAP_SHARE</f>
        <v>55.37276673458687</v>
      </c>
      <c r="L511" s="8">
        <f>H511*CAP_SHARE</f>
        <v>57.48654653608691</v>
      </c>
      <c r="M511" s="8">
        <f>F511-J511-E511</f>
        <v>-186.94808663330866</v>
      </c>
      <c r="N511" s="8">
        <f>G511-K511-E511</f>
        <v>-41.33962795639627</v>
      </c>
      <c r="O511" s="8">
        <f>H511-L511-E511</f>
        <v>-0.2244656539769494</v>
      </c>
      <c r="P511" s="8">
        <f>R_NF_2024*(1+G_HI)^(B511-2024)</f>
        <v>1192.034125180157</v>
      </c>
      <c r="Q511" s="10">
        <f>1-F511/P511</f>
        <v>0.1784338302349695</v>
      </c>
      <c r="R511" s="10">
        <f>CPI_2023/(IF(B511-1=2023,CPI_2023,IF(B511-1=2024,CPI_2024,IF(B511-1=2025,CPI_2025,CPI_2025*(1+INFL)^(B511-1-2025)))))</f>
        <v>0.5818658317079192</v>
      </c>
      <c r="S511" s="8">
        <f>$B$21*ABS($B$11)*(G511-F511)/F511</f>
        <v>15584.815192737544</v>
      </c>
      <c r="T511" s="8">
        <f>$B$21*ABS($B$11)*(H511-F511)/F511</f>
        <v>19985.467544428273</v>
      </c>
      <c r="U511" s="13">
        <f>(G511-F511)*MCD_NF_DAYS*R511-S511*MCD_SHARE_FREED*R_WAIT_2023</f>
        <v>39846715.85557872</v>
      </c>
      <c r="V511" s="13">
        <f>(H511-F511)*MCD_NF_DAYS*R511-T511*MCD_SHARE_FREED*R_WAIT_2023</f>
        <v>51098151.41438586</v>
      </c>
      <c r="W511" s="10">
        <f>IF(AND(B511&gt;=RULE_START,C511=1),1/(1+$B$12)^(B511-RULE_START+1),0)</f>
        <v>0</v>
      </c>
      <c r="X511">
        <f>IF(AND(B511&gt;=RULE_START,C511=1,M511&lt;0),B511,9999)</f>
        <v>9999</v>
      </c>
      <c r="Y511">
        <f>IF(AND(B511&gt;=RULE_START,C511=1,N511&lt;0),B511,9999)</f>
        <v>9999</v>
      </c>
      <c r="Z511">
        <f>IF(AND(B511&gt;=RULE_START,C511=1,O511&lt;0),B511,9999)</f>
        <v>9999</v>
      </c>
      <c r="AB511" t="n">
        <v>2047</v>
      </c>
      <c r="AC511">
        <f>IF(AB511&lt;=RULE_START+$AB$38-1,1,0)</f>
        <v>0</v>
      </c>
      <c r="AD511" s="15">
        <f>IF(AB511=2024,G_IDX_2024,IF(AB511=2025,G_IDX_2025,IF(AB511=2026,G_IDX_2026,IF(AB511=2027,G_IDX_2027,$AB$13))))</f>
        <v>0.033</v>
      </c>
      <c r="AE511" s="8">
        <f>$AB$20*(1+G_HI)^(AB511-COST_DATE)</f>
        <v>1118.3961358343336</v>
      </c>
      <c r="AF511" s="8">
        <f>AF510*(1+AD511)</f>
        <v>979.3349104534705</v>
      </c>
      <c r="AG511" s="8">
        <f>IF(AB511&lt;RULE_START,AF511,AG510*(1+G_HI))</f>
        <v>1132.429274612524</v>
      </c>
      <c r="AH511" s="8">
        <f>IF(AB511&lt;RULE_START,AF511,IF(AI511=1,R_NF_2024*(1+G_HI)^(AB511-2024),AH510*(1+AD511)))</f>
        <v>1175.6582167164436</v>
      </c>
      <c r="AI511">
        <f>IF(AND(AB511&gt;=RULE_START,MOD(AB511-RULE_START,REBASE_YEARS)=0),1,0)</f>
        <v>0</v>
      </c>
      <c r="AJ511" s="8">
        <f>AF511*CAP_SHARE</f>
        <v>47.886861252445584</v>
      </c>
      <c r="AK511" s="8">
        <f>AG511*CAP_SHARE</f>
        <v>55.37276673458687</v>
      </c>
      <c r="AL511" s="8">
        <f>AH511*CAP_SHARE</f>
        <v>57.48654653608691</v>
      </c>
      <c r="AM511" s="8">
        <f>AF511-AJ511-AE511</f>
        <v>-186.94808663330866</v>
      </c>
      <c r="AN511" s="8">
        <f>AG511-AK511-AE511</f>
        <v>-41.33962795639627</v>
      </c>
      <c r="AO511" s="8">
        <f>AH511-AL511-AE511</f>
        <v>-0.2244656539769494</v>
      </c>
      <c r="AP511" s="8">
        <f>R_NF_2024*(1+G_HI)^(AB511-2024)</f>
        <v>1192.034125180157</v>
      </c>
      <c r="AQ511" s="10">
        <f>1-AF511/AP511</f>
        <v>0.1784338302349695</v>
      </c>
      <c r="AR511" s="10">
        <f>CPI_2023/(IF(AB511-1=2023,CPI_2023,IF(AB511-1=2024,CPI_2024,IF(AB511-1=2025,CPI_2025,CPI_2025*(1+INFL)^(AB511-1-2025)))))</f>
        <v>0.5818658317079192</v>
      </c>
      <c r="AS511" s="8">
        <f>$AB$21*ABS($AB$11)*(AG511-AF511)/AF511</f>
        <v>15584.815192737544</v>
      </c>
      <c r="AT511" s="8">
        <f>$AB$21*ABS($AB$11)*(AH511-AF511)/AF511</f>
        <v>19985.467544428273</v>
      </c>
      <c r="AU511" s="13">
        <f>(AG511-AF511)*MCD_NF_DAYS*AR511-AS511*MCD_SHARE_FREED*R_WAIT_2023</f>
        <v>39846715.85557872</v>
      </c>
      <c r="AV511" s="13">
        <f>(AH511-AF511)*MCD_NF_DAYS*AR511-AT511*MCD_SHARE_FREED*R_WAIT_2023</f>
        <v>51098151.41438586</v>
      </c>
      <c r="AW511" s="10">
        <f>IF(AND(AB511&gt;=RULE_START,AC511=1),1/(1+$AB$12)^(AB511-RULE_START+1),0)</f>
        <v>0</v>
      </c>
      <c r="AX511">
        <f>IF(AND(AB511&gt;=RULE_START,AC511=1,AM511&lt;0),AB511,9999)</f>
        <v>9999</v>
      </c>
      <c r="AY511">
        <f>IF(AND(AB511&gt;=RULE_START,AC511=1,AN511&lt;0),AB511,9999)</f>
        <v>9999</v>
      </c>
      <c r="AZ511">
        <f>IF(AND(AB511&gt;=RULE_START,AC511=1,AO511&lt;0),AB511,9999)</f>
        <v>9999</v>
      </c>
      <c r="BB511" t="n">
        <v>2047</v>
      </c>
      <c r="BC511">
        <f>IF(BB511&lt;=RULE_START+$BB$38-1,1,0)</f>
        <v>0</v>
      </c>
      <c r="BD511" s="15">
        <f>IF(BB511=2024,G_IDX_2024,IF(BB511=2025,G_IDX_2025,IF(BB511=2026,G_IDX_2026,IF(BB511=2027,G_IDX_2027,$BB$13))))</f>
        <v>0.033</v>
      </c>
      <c r="BE511" s="8">
        <f>$BB$20*(1+G_HI)^(BB511-COST_DATE)</f>
        <v>1118.3961358343336</v>
      </c>
      <c r="BF511" s="8">
        <f>BF510*(1+BD511)</f>
        <v>979.3349104534705</v>
      </c>
      <c r="BG511" s="8">
        <f>IF(BB511&lt;RULE_START,BF511,BG510*(1+G_HI))</f>
        <v>1132.429274612524</v>
      </c>
      <c r="BH511" s="8">
        <f>IF(BB511&lt;RULE_START,BF511,IF(BI511=1,R_NF_2024*(1+G_HI)^(BB511-2024),BH510*(1+BD511)))</f>
        <v>1175.6582167164436</v>
      </c>
      <c r="BI511">
        <f>IF(AND(BB511&gt;=RULE_START,MOD(BB511-RULE_START,REBASE_YEARS)=0),1,0)</f>
        <v>0</v>
      </c>
      <c r="BJ511" s="8">
        <f>BF511*CAP_SHARE</f>
        <v>47.886861252445584</v>
      </c>
      <c r="BK511" s="8">
        <f>BG511*CAP_SHARE</f>
        <v>55.37276673458687</v>
      </c>
      <c r="BL511" s="8">
        <f>BH511*CAP_SHARE</f>
        <v>57.48654653608691</v>
      </c>
      <c r="BM511" s="8">
        <f>BF511-BJ511-BE511</f>
        <v>-186.94808663330866</v>
      </c>
      <c r="BN511" s="8">
        <f>BG511-BK511-BE511</f>
        <v>-41.33962795639627</v>
      </c>
      <c r="BO511" s="8">
        <f>BH511-BL511-BE511</f>
        <v>-0.2244656539769494</v>
      </c>
      <c r="BP511" s="8">
        <f>R_NF_2024*(1+G_HI)^(BB511-2024)</f>
        <v>1192.034125180157</v>
      </c>
      <c r="BQ511" s="10">
        <f>1-BF511/BP511</f>
        <v>0.1784338302349695</v>
      </c>
      <c r="BR511" s="10">
        <f>CPI_2023/(IF(BB511-1=2023,CPI_2023,IF(BB511-1=2024,CPI_2024,IF(BB511-1=2025,CPI_2025,CPI_2025*(1+INFL)^(BB511-1-2025)))))</f>
        <v>0.5818658317079192</v>
      </c>
      <c r="BS511" s="8">
        <f>$BB$21*ABS($BB$11)*(BG511-BF511)/BF511</f>
        <v>15584.815192737544</v>
      </c>
      <c r="BT511" s="8">
        <f>$BB$21*ABS($BB$11)*(BH511-BF511)/BF511</f>
        <v>19985.467544428273</v>
      </c>
      <c r="BU511" s="13">
        <f>(BG511-BF511)*MCD_NF_DAYS*BR511-BS511*MCD_SHARE_FREED*R_WAIT_2023</f>
        <v>39846715.85557872</v>
      </c>
      <c r="BV511" s="13">
        <f>(BH511-BF511)*MCD_NF_DAYS*BR511-BT511*MCD_SHARE_FREED*R_WAIT_2023</f>
        <v>51098151.41438586</v>
      </c>
      <c r="BW511" s="10">
        <f>IF(AND(BB511&gt;=RULE_START,BC511=1),1/(1+$BB$12)^(BB511-RULE_START+1),0)</f>
        <v>0</v>
      </c>
      <c r="BX511">
        <f>IF(AND(BB511&gt;=RULE_START,BC511=1,BM511&lt;0),BB511,9999)</f>
        <v>9999</v>
      </c>
      <c r="BY511">
        <f>IF(AND(BB511&gt;=RULE_START,BC511=1,BN511&lt;0),BB511,9999)</f>
        <v>9999</v>
      </c>
      <c r="BZ511">
        <f>IF(AND(BB511&gt;=RULE_START,BC511=1,BO511&lt;0),BB511,9999)</f>
        <v>9999</v>
      </c>
      <c r="CB511" t="n">
        <v>2047</v>
      </c>
      <c r="CC511">
        <f>IF(CB511&lt;=RULE_START+$CB$38-1,1,0)</f>
        <v>1</v>
      </c>
      <c r="CD511" s="15">
        <f>IF(CB511=2024,G_IDX_2024,IF(CB511=2025,G_IDX_2025,IF(CB511=2026,G_IDX_2026,IF(CB511=2027,G_IDX_2027,$CB$13))))</f>
        <v>0.033</v>
      </c>
      <c r="CE511" s="8">
        <f>$CB$20*(1+G_HI)^(CB511-COST_DATE)</f>
        <v>1118.3961358343336</v>
      </c>
      <c r="CF511" s="8">
        <f>CF510*(1+CD511)</f>
        <v>979.3349104534705</v>
      </c>
      <c r="CG511" s="8">
        <f>IF(CB511&lt;RULE_START,CF511,CG510*(1+G_HI))</f>
        <v>1132.429274612524</v>
      </c>
      <c r="CH511" s="8">
        <f>IF(CB511&lt;RULE_START,CF511,IF(CI511=1,R_NF_2024*(1+G_HI)^(CB511-2024),CH510*(1+CD511)))</f>
        <v>1175.6582167164436</v>
      </c>
      <c r="CI511">
        <f>IF(AND(CB511&gt;=RULE_START,MOD(CB511-RULE_START,REBASE_YEARS)=0),1,0)</f>
        <v>0</v>
      </c>
      <c r="CJ511" s="8">
        <f>CF511*CAP_SHARE</f>
        <v>47.886861252445584</v>
      </c>
      <c r="CK511" s="8">
        <f>CG511*CAP_SHARE</f>
        <v>55.37276673458687</v>
      </c>
      <c r="CL511" s="8">
        <f>CH511*CAP_SHARE</f>
        <v>57.48654653608691</v>
      </c>
      <c r="CM511" s="8">
        <f>CF511-CJ511-CE511</f>
        <v>-186.94808663330866</v>
      </c>
      <c r="CN511" s="8">
        <f>CG511-CK511-CE511</f>
        <v>-41.33962795639627</v>
      </c>
      <c r="CO511" s="8">
        <f>CH511-CL511-CE511</f>
        <v>-0.2244656539769494</v>
      </c>
      <c r="CP511" s="8">
        <f>R_NF_2024*(1+G_HI)^(CB511-2024)</f>
        <v>1192.034125180157</v>
      </c>
      <c r="CQ511" s="10">
        <f>1-CF511/CP511</f>
        <v>0.1784338302349695</v>
      </c>
      <c r="CR511" s="10">
        <f>CPI_2023/(IF(CB511-1=2023,CPI_2023,IF(CB511-1=2024,CPI_2024,IF(CB511-1=2025,CPI_2025,CPI_2025*(1+INFL)^(CB511-1-2025)))))</f>
        <v>0.5818658317079192</v>
      </c>
      <c r="CS511" s="8">
        <f>$CB$21*ABS($CB$11)*(CG511-CF511)/CF511</f>
        <v>15584.815192737544</v>
      </c>
      <c r="CT511" s="8">
        <f>$CB$21*ABS($CB$11)*(CH511-CF511)/CF511</f>
        <v>19985.467544428273</v>
      </c>
      <c r="CU511" s="13">
        <f>(CG511-CF511)*MCD_NF_DAYS*CR511-CS511*MCD_SHARE_FREED*R_WAIT_2023</f>
        <v>39846715.85557872</v>
      </c>
      <c r="CV511" s="13">
        <f>(CH511-CF511)*MCD_NF_DAYS*CR511-CT511*MCD_SHARE_FREED*R_WAIT_2023</f>
        <v>51098151.41438586</v>
      </c>
      <c r="CW511" s="10">
        <f>IF(AND(CB511&gt;=RULE_START,CC511=1),1/(1+$CB$12)^(CB511-RULE_START+1),0)</f>
        <v>0.6597758167726053</v>
      </c>
      <c r="CX511">
        <f>IF(AND(CB511&gt;=RULE_START,CC511=1,CM511&lt;0),CB511,9999)</f>
        <v>2047</v>
      </c>
      <c r="CY511">
        <f>IF(AND(CB511&gt;=RULE_START,CC511=1,CN511&lt;0),CB511,9999)</f>
        <v>2047</v>
      </c>
      <c r="CZ511">
        <f>IF(AND(CB511&gt;=RULE_START,CC511=1,CO511&lt;0),CB511,9999)</f>
        <v>2047</v>
      </c>
      <c r="DB511" t="n">
        <v>2047</v>
      </c>
      <c r="DC511">
        <f>IF(DB511&lt;=RULE_START+$DB$38-1,1,0)</f>
        <v>0</v>
      </c>
      <c r="DD511" s="15">
        <f>IF(DB511=2024,G_IDX_2024,IF(DB511=2025,G_IDX_2025,IF(DB511=2026,G_IDX_2026,IF(DB511=2027,G_IDX_2027,$DB$13))))</f>
        <v>0.033</v>
      </c>
      <c r="DE511" s="8">
        <f>$DB$20*(1+G_HI)^(DB511-COST_DATE)</f>
        <v>1118.3961358343336</v>
      </c>
      <c r="DF511" s="8">
        <f>DF510*(1+DD511)</f>
        <v>979.3349104534705</v>
      </c>
      <c r="DG511" s="8">
        <f>IF(DB511&lt;RULE_START,DF511,DG510*(1+G_HI))</f>
        <v>1132.429274612524</v>
      </c>
      <c r="DH511" s="8">
        <f>IF(DB511&lt;RULE_START,DF511,IF(DI511=1,R_NF_2024*(1+G_HI)^(DB511-2024),DH510*(1+DD511)))</f>
        <v>1175.6582167164436</v>
      </c>
      <c r="DI511">
        <f>IF(AND(DB511&gt;=RULE_START,MOD(DB511-RULE_START,REBASE_YEARS)=0),1,0)</f>
        <v>0</v>
      </c>
      <c r="DJ511" s="8">
        <f>DF511*CAP_SHARE</f>
        <v>47.886861252445584</v>
      </c>
      <c r="DK511" s="8">
        <f>DG511*CAP_SHARE</f>
        <v>55.37276673458687</v>
      </c>
      <c r="DL511" s="8">
        <f>DH511*CAP_SHARE</f>
        <v>57.48654653608691</v>
      </c>
      <c r="DM511" s="8">
        <f>DF511-DJ511-DE511</f>
        <v>-186.94808663330866</v>
      </c>
      <c r="DN511" s="8">
        <f>DG511-DK511-DE511</f>
        <v>-41.33962795639627</v>
      </c>
      <c r="DO511" s="8">
        <f>DH511-DL511-DE511</f>
        <v>-0.2244656539769494</v>
      </c>
      <c r="DP511" s="8">
        <f>R_NF_2024*(1+G_HI)^(DB511-2024)</f>
        <v>1192.034125180157</v>
      </c>
      <c r="DQ511" s="10">
        <f>1-DF511/DP511</f>
        <v>0.1784338302349695</v>
      </c>
      <c r="DR511" s="10">
        <f>CPI_2023/(IF(DB511-1=2023,CPI_2023,IF(DB511-1=2024,CPI_2024,IF(DB511-1=2025,CPI_2025,CPI_2025*(1+INFL)^(DB511-1-2025)))))</f>
        <v>0.5818658317079192</v>
      </c>
      <c r="DS511" s="8">
        <f>$DB$21*ABS($DB$11)*(DG511-DF511)/DF511</f>
        <v>15584.815192737544</v>
      </c>
      <c r="DT511" s="8">
        <f>$DB$21*ABS($DB$11)*(DH511-DF511)/DF511</f>
        <v>19985.467544428273</v>
      </c>
      <c r="DU511" s="13">
        <f>(DG511-DF511)*MCD_NF_DAYS*DR511-DS511*MCD_SHARE_FREED*R_WAIT_2023</f>
        <v>39846715.85557872</v>
      </c>
      <c r="DV511" s="13">
        <f>(DH511-DF511)*MCD_NF_DAYS*DR511-DT511*MCD_SHARE_FREED*R_WAIT_2023</f>
        <v>51098151.41438586</v>
      </c>
      <c r="DW511" s="10">
        <f>IF(AND(DB511&gt;=RULE_START,DC511=1),1/(1+$DB$12)^(DB511-RULE_START+1),0)</f>
        <v>0</v>
      </c>
      <c r="DX511">
        <f>IF(AND(DB511&gt;=RULE_START,DC511=1,DM511&lt;0),DB511,9999)</f>
        <v>9999</v>
      </c>
      <c r="DY511">
        <f>IF(AND(DB511&gt;=RULE_START,DC511=1,DN511&lt;0),DB511,9999)</f>
        <v>9999</v>
      </c>
      <c r="DZ511">
        <f>IF(AND(DB511&gt;=RULE_START,DC511=1,DO511&lt;0),DB511,9999)</f>
        <v>9999</v>
      </c>
      <c r="EB511" t="n">
        <v>2047</v>
      </c>
      <c r="EC511">
        <f>IF(EB511&lt;=RULE_START+$EB$38-1,1,0)</f>
        <v>0</v>
      </c>
      <c r="ED511" s="15">
        <f>IF(EB511=2024,G_IDX_2024,IF(EB511=2025,G_IDX_2025,IF(EB511=2026,G_IDX_2026,IF(EB511=2027,G_IDX_2027,$EB$13))))</f>
        <v>0.033</v>
      </c>
      <c r="EE511" s="8">
        <f>$EB$20*(1+G_HI)^(EB511-COST_DATE)</f>
        <v>1118.3961358343336</v>
      </c>
      <c r="EF511" s="8">
        <f>EF510*(1+ED511)</f>
        <v>979.3349104534705</v>
      </c>
      <c r="EG511" s="8">
        <f>IF(EB511&lt;RULE_START,EF511,EG510*(1+G_HI))</f>
        <v>1132.429274612524</v>
      </c>
      <c r="EH511" s="8">
        <f>IF(EB511&lt;RULE_START,EF511,IF(EI511=1,R_NF_2024*(1+G_HI)^(EB511-2024),EH510*(1+ED511)))</f>
        <v>1175.6582167164436</v>
      </c>
      <c r="EI511">
        <f>IF(AND(EB511&gt;=RULE_START,MOD(EB511-RULE_START,REBASE_YEARS)=0),1,0)</f>
        <v>0</v>
      </c>
      <c r="EJ511" s="8">
        <f>EF511*CAP_SHARE</f>
        <v>47.886861252445584</v>
      </c>
      <c r="EK511" s="8">
        <f>EG511*CAP_SHARE</f>
        <v>55.37276673458687</v>
      </c>
      <c r="EL511" s="8">
        <f>EH511*CAP_SHARE</f>
        <v>57.48654653608691</v>
      </c>
      <c r="EM511" s="8">
        <f>EF511-EJ511-EE511</f>
        <v>-186.94808663330866</v>
      </c>
      <c r="EN511" s="8">
        <f>EG511-EK511-EE511</f>
        <v>-41.33962795639627</v>
      </c>
      <c r="EO511" s="8">
        <f>EH511-EL511-EE511</f>
        <v>-0.2244656539769494</v>
      </c>
      <c r="EP511" s="8">
        <f>R_NF_2024*(1+G_HI)^(EB511-2024)</f>
        <v>1192.034125180157</v>
      </c>
      <c r="EQ511" s="10">
        <f>1-EF511/EP511</f>
        <v>0.1784338302349695</v>
      </c>
      <c r="ER511" s="10">
        <f>CPI_2023/(IF(EB511-1=2023,CPI_2023,IF(EB511-1=2024,CPI_2024,IF(EB511-1=2025,CPI_2025,CPI_2025*(1+INFL)^(EB511-1-2025)))))</f>
        <v>0.5818658317079192</v>
      </c>
      <c r="ES511" s="8">
        <f>$EB$21*ABS($EB$11)*(EG511-EF511)/EF511</f>
        <v>15584.815192737544</v>
      </c>
      <c r="ET511" s="8">
        <f>$EB$21*ABS($EB$11)*(EH511-EF511)/EF511</f>
        <v>19985.467544428273</v>
      </c>
      <c r="EU511" s="13">
        <f>(EG511-EF511)*MCD_NF_DAYS*ER511-ES511*MCD_SHARE_FREED*R_WAIT_2023</f>
        <v>39846715.85557872</v>
      </c>
      <c r="EV511" s="13">
        <f>(EH511-EF511)*MCD_NF_DAYS*ER511-ET511*MCD_SHARE_FREED*R_WAIT_2023</f>
        <v>51098151.41438586</v>
      </c>
      <c r="EW511" s="10">
        <f>IF(AND(EB511&gt;=RULE_START,EC511=1),1/(1+$EB$12)^(EB511-RULE_START+1),0)</f>
        <v>0</v>
      </c>
      <c r="EX511">
        <f>IF(AND(EB511&gt;=RULE_START,EC511=1,EM511&lt;0),EB511,9999)</f>
        <v>9999</v>
      </c>
      <c r="EY511">
        <f>IF(AND(EB511&gt;=RULE_START,EC511=1,EN511&lt;0),EB511,9999)</f>
        <v>9999</v>
      </c>
      <c r="EZ511">
        <f>IF(AND(EB511&gt;=RULE_START,EC511=1,EO511&lt;0),EB511,9999)</f>
        <v>9999</v>
      </c>
      <c r="FB511" t="n">
        <v>2047</v>
      </c>
      <c r="FC511">
        <f>IF(FB511&lt;=RULE_START+$FB$38-1,1,0)</f>
        <v>0</v>
      </c>
      <c r="FD511" s="15">
        <f>IF(FB511=2024,G_IDX_2024,IF(FB511=2025,G_IDX_2025,IF(FB511=2026,G_IDX_2026,IF(FB511=2027,G_IDX_2027,$FB$13))))</f>
        <v>0.033</v>
      </c>
      <c r="FE511" s="8">
        <f>$FB$20*(1+G_HI)^(FB511-COST_DATE)</f>
        <v>1150.9776078307582</v>
      </c>
      <c r="FF511" s="8">
        <f>FF510*(1+FD511)</f>
        <v>979.3349104534705</v>
      </c>
      <c r="FG511" s="8">
        <f>IF(FB511&lt;RULE_START,FF511,FG510*(1+G_HI))</f>
        <v>1132.429274612524</v>
      </c>
      <c r="FH511" s="8">
        <f>IF(FB511&lt;RULE_START,FF511,IF(FI511=1,R_NF_2024*(1+G_HI)^(FB511-2024),FH510*(1+FD511)))</f>
        <v>1175.6582167164436</v>
      </c>
      <c r="FI511">
        <f>IF(AND(FB511&gt;=RULE_START,MOD(FB511-RULE_START,REBASE_YEARS)=0),1,0)</f>
        <v>0</v>
      </c>
      <c r="FJ511" s="8">
        <f>FF511*CAP_SHARE</f>
        <v>47.886861252445584</v>
      </c>
      <c r="FK511" s="8">
        <f>FG511*CAP_SHARE</f>
        <v>55.37276673458687</v>
      </c>
      <c r="FL511" s="8">
        <f>FH511*CAP_SHARE</f>
        <v>57.48654653608691</v>
      </c>
      <c r="FM511" s="8">
        <f>FF511-FJ511-FE511</f>
        <v>-219.5295586297333</v>
      </c>
      <c r="FN511" s="8">
        <f>FG511-FK511-FE511</f>
        <v>-73.9210999528209</v>
      </c>
      <c r="FO511" s="8">
        <f>FH511-FL511-FE511</f>
        <v>-32.805937650401575</v>
      </c>
      <c r="FP511" s="8">
        <f>R_NF_2024*(1+G_HI)^(FB511-2024)</f>
        <v>1192.034125180157</v>
      </c>
      <c r="FQ511" s="10">
        <f>1-FF511/FP511</f>
        <v>0.1784338302349695</v>
      </c>
      <c r="FR511" s="10">
        <f>CPI_2023/(IF(FB511-1=2023,CPI_2023,IF(FB511-1=2024,CPI_2024,IF(FB511-1=2025,CPI_2025,CPI_2025*(1+INFL)^(FB511-1-2025)))))</f>
        <v>0.5818658317079192</v>
      </c>
      <c r="FS511" s="8">
        <f>$FB$21*ABS($FB$11)*(FG511-FF511)/FF511</f>
        <v>15584.815192737544</v>
      </c>
      <c r="FT511" s="8">
        <f>$FB$21*ABS($FB$11)*(FH511-FF511)/FF511</f>
        <v>19985.467544428273</v>
      </c>
      <c r="FU511" s="13">
        <f>(FG511-FF511)*MCD_NF_DAYS*FR511-FS511*MCD_SHARE_FREED*R_WAIT_2023</f>
        <v>39846715.85557872</v>
      </c>
      <c r="FV511" s="13">
        <f>(FH511-FF511)*MCD_NF_DAYS*FR511-FT511*MCD_SHARE_FREED*R_WAIT_2023</f>
        <v>51098151.41438586</v>
      </c>
      <c r="FW511" s="10">
        <f>IF(AND(FB511&gt;=RULE_START,FC511=1),1/(1+$FB$12)^(FB511-RULE_START+1),0)</f>
        <v>0</v>
      </c>
      <c r="FX511">
        <f>IF(AND(FB511&gt;=RULE_START,FC511=1,FM511&lt;0),FB511,9999)</f>
        <v>9999</v>
      </c>
      <c r="FY511">
        <f>IF(AND(FB511&gt;=RULE_START,FC511=1,FN511&lt;0),FB511,9999)</f>
        <v>9999</v>
      </c>
      <c r="FZ511">
        <f>IF(AND(FB511&gt;=RULE_START,FC511=1,FO511&lt;0),FB511,9999)</f>
        <v>9999</v>
      </c>
      <c r="GB511" t="n">
        <v>2047</v>
      </c>
      <c r="GC511">
        <f>IF(GB511&lt;=RULE_START+$GB$38-1,1,0)</f>
        <v>0</v>
      </c>
      <c r="GD511" s="15">
        <f>IF(GB511=2024,G_IDX_2024,IF(GB511=2025,G_IDX_2025,IF(GB511=2026,G_IDX_2026,IF(GB511=2027,G_IDX_2027,$GB$13))))</f>
        <v>0.033</v>
      </c>
      <c r="GE511" s="8">
        <f>$GB$20*(1+G_HI)^(GB511-COST_DATE)</f>
        <v>1118.3961358343336</v>
      </c>
      <c r="GF511" s="8">
        <f>GF510*(1+GD511)</f>
        <v>979.3349104534705</v>
      </c>
      <c r="GG511" s="8">
        <f>IF(GB511&lt;RULE_START,GF511,GG510*(1+G_HI))</f>
        <v>1132.429274612524</v>
      </c>
      <c r="GH511" s="8">
        <f>IF(GB511&lt;RULE_START,GF511,IF(GI511=1,R_NF_2024*(1+G_HI)^(GB511-2024),GH510*(1+GD511)))</f>
        <v>1175.6582167164436</v>
      </c>
      <c r="GI511">
        <f>IF(AND(GB511&gt;=RULE_START,MOD(GB511-RULE_START,REBASE_YEARS)=0),1,0)</f>
        <v>0</v>
      </c>
      <c r="GJ511" s="8">
        <f>GF511*CAP_SHARE</f>
        <v>47.886861252445584</v>
      </c>
      <c r="GK511" s="8">
        <f>GG511*CAP_SHARE</f>
        <v>55.37276673458687</v>
      </c>
      <c r="GL511" s="8">
        <f>GH511*CAP_SHARE</f>
        <v>57.48654653608691</v>
      </c>
      <c r="GM511" s="8">
        <f>GF511-GJ511-GE511</f>
        <v>-186.94808663330866</v>
      </c>
      <c r="GN511" s="8">
        <f>GG511-GK511-GE511</f>
        <v>-41.33962795639627</v>
      </c>
      <c r="GO511" s="8">
        <f>GH511-GL511-GE511</f>
        <v>-0.2244656539769494</v>
      </c>
      <c r="GP511" s="8">
        <f>R_NF_2024*(1+G_HI)^(GB511-2024)</f>
        <v>1192.034125180157</v>
      </c>
      <c r="GQ511" s="10">
        <f>1-GF511/GP511</f>
        <v>0.1784338302349695</v>
      </c>
      <c r="GR511" s="10">
        <f>CPI_2023/(IF(GB511-1=2023,CPI_2023,IF(GB511-1=2024,CPI_2024,IF(GB511-1=2025,CPI_2025,CPI_2025*(1+INFL)^(GB511-1-2025)))))</f>
        <v>0.5818658317079192</v>
      </c>
      <c r="GS511" s="8">
        <f>$GB$21*ABS($GB$11)*(GG511-GF511)/GF511</f>
        <v>11764.197516361195</v>
      </c>
      <c r="GT511" s="8">
        <f>$GB$21*ABS($GB$11)*(GH511-GF511)/GF511</f>
        <v>15086.029878560383</v>
      </c>
      <c r="GU511" s="13">
        <f>(GG511-GF511)*MCD_NF_DAYS*GR511-GS511*MCD_SHARE_FREED*R_WAIT_2023</f>
        <v>41584022.27681984</v>
      </c>
      <c r="GV511" s="13">
        <f>(GH511-GF511)*MCD_NF_DAYS*GR511-GT511*MCD_SHARE_FREED*R_WAIT_2023</f>
        <v>53326017.492170416</v>
      </c>
      <c r="GW511" s="10">
        <f>IF(AND(GB511&gt;=RULE_START,GC511=1),1/(1+$GB$12)^(GB511-RULE_START+1),0)</f>
        <v>0</v>
      </c>
      <c r="GX511">
        <f>IF(AND(GB511&gt;=RULE_START,GC511=1,GM511&lt;0),GB511,9999)</f>
        <v>9999</v>
      </c>
      <c r="GY511">
        <f>IF(AND(GB511&gt;=RULE_START,GC511=1,GN511&lt;0),GB511,9999)</f>
        <v>9999</v>
      </c>
      <c r="GZ511">
        <f>IF(AND(GB511&gt;=RULE_START,GC511=1,GO511&lt;0),GB511,9999)</f>
        <v>9999</v>
      </c>
      <c r="HB511" t="n">
        <v>2047</v>
      </c>
      <c r="HC511">
        <f>IF(HB511&lt;=RULE_START+$HB$38-1,1,0)</f>
        <v>0</v>
      </c>
      <c r="HD511" s="15">
        <f>IF(HB511=2024,G_IDX_2024,IF(HB511=2025,G_IDX_2025,IF(HB511=2026,G_IDX_2026,IF(HB511=2027,G_IDX_2027,$HB$13))))</f>
        <v>0.033</v>
      </c>
      <c r="HE511" s="8">
        <f>$HB$20*(1+G_HI)^(HB511-COST_DATE)</f>
        <v>1118.3961358343336</v>
      </c>
      <c r="HF511" s="8">
        <f>HF510*(1+HD511)</f>
        <v>979.3349104534705</v>
      </c>
      <c r="HG511" s="8">
        <f>IF(HB511&lt;RULE_START,HF511,HG510*(1+G_HI))</f>
        <v>1132.429274612524</v>
      </c>
      <c r="HH511" s="8">
        <f>IF(HB511&lt;RULE_START,HF511,IF(HI511=1,R_NF_2024*(1+G_HI)^(HB511-2024),HH510*(1+HD511)))</f>
        <v>1175.6582167164436</v>
      </c>
      <c r="HI511">
        <f>IF(AND(HB511&gt;=RULE_START,MOD(HB511-RULE_START,REBASE_YEARS)=0),1,0)</f>
        <v>0</v>
      </c>
      <c r="HJ511" s="8">
        <f>HF511*CAP_SHARE</f>
        <v>47.886861252445584</v>
      </c>
      <c r="HK511" s="8">
        <f>HG511*CAP_SHARE</f>
        <v>55.37276673458687</v>
      </c>
      <c r="HL511" s="8">
        <f>HH511*CAP_SHARE</f>
        <v>57.48654653608691</v>
      </c>
      <c r="HM511" s="8">
        <f>HF511-HJ511-HE511</f>
        <v>-186.94808663330866</v>
      </c>
      <c r="HN511" s="8">
        <f>HG511-HK511-HE511</f>
        <v>-41.33962795639627</v>
      </c>
      <c r="HO511" s="8">
        <f>HH511-HL511-HE511</f>
        <v>-0.2244656539769494</v>
      </c>
      <c r="HP511" s="8">
        <f>R_NF_2024*(1+G_HI)^(HB511-2024)</f>
        <v>1192.034125180157</v>
      </c>
      <c r="HQ511" s="10">
        <f>1-HF511/HP511</f>
        <v>0.1784338302349695</v>
      </c>
      <c r="HR511" s="10">
        <f>CPI_2023/(IF(HB511-1=2023,CPI_2023,IF(HB511-1=2024,CPI_2024,IF(HB511-1=2025,CPI_2025,CPI_2025*(1+INFL)^(HB511-1-2025)))))</f>
        <v>0.5818658317079192</v>
      </c>
      <c r="HS511" s="8">
        <f>$HB$21*ABS($HB$11)*(HG511-HF511)/HF511</f>
        <v>15584.815192737544</v>
      </c>
      <c r="HT511" s="8">
        <f>$HB$21*ABS($HB$11)*(HH511-HF511)/HF511</f>
        <v>19985.467544428273</v>
      </c>
      <c r="HU511" s="13">
        <f>(HG511-HF511)*MCD_NF_DAYS*HR511-HS511*MCD_SHARE_FREED*R_WAIT_2023</f>
        <v>39846715.85557872</v>
      </c>
      <c r="HV511" s="13">
        <f>(HH511-HF511)*MCD_NF_DAYS*HR511-HT511*MCD_SHARE_FREED*R_WAIT_2023</f>
        <v>51098151.41438586</v>
      </c>
      <c r="HW511" s="10">
        <f>IF(AND(HB511&gt;=RULE_START,HC511=1),1/(1+$HB$12)^(HB511-RULE_START+1),0)</f>
        <v>0</v>
      </c>
      <c r="HX511">
        <f>IF(AND(HB511&gt;=RULE_START,HC511=1,HM511&lt;0),HB511,9999)</f>
        <v>9999</v>
      </c>
      <c r="HY511">
        <f>IF(AND(HB511&gt;=RULE_START,HC511=1,HN511&lt;0),HB511,9999)</f>
        <v>9999</v>
      </c>
      <c r="HZ511">
        <f>IF(AND(HB511&gt;=RULE_START,HC511=1,HO511&lt;0),HB511,9999)</f>
        <v>9999</v>
      </c>
      <c r="IB511" t="n">
        <v>2047</v>
      </c>
      <c r="IC511">
        <f>IF(IB511&lt;=RULE_START+$IB$38-1,1,0)</f>
        <v>0</v>
      </c>
      <c r="ID511" s="15">
        <f>IF(IB511=2024,G_IDX_2024,IF(IB511=2025,G_IDX_2025,IF(IB511=2026,G_IDX_2026,IF(IB511=2027,G_IDX_2027,$IB$13))))</f>
        <v>0.033</v>
      </c>
      <c r="IE511" s="8">
        <f>$IB$20*(1+G_HI)^(IB511-COST_DATE)</f>
        <v>1118.3961358343336</v>
      </c>
      <c r="IF511" s="8">
        <f>IF510*(1+ID511)</f>
        <v>979.3349104534705</v>
      </c>
      <c r="IG511" s="8">
        <f>IF(IB511&lt;RULE_START,IF511,IG510*(1+G_HI))</f>
        <v>1132.429274612524</v>
      </c>
      <c r="IH511" s="8">
        <f>IF(IB511&lt;RULE_START,IF511,IF(II511=1,R_NF_2024*(1+G_HI)^(IB511-2024),IH510*(1+ID511)))</f>
        <v>1175.6582167164436</v>
      </c>
      <c r="II511">
        <f>IF(AND(IB511&gt;=RULE_START,MOD(IB511-RULE_START,REBASE_YEARS)=0),1,0)</f>
        <v>0</v>
      </c>
      <c r="IJ511" s="8">
        <f>IF511*CAP_SHARE</f>
        <v>47.886861252445584</v>
      </c>
      <c r="IK511" s="8">
        <f>IG511*CAP_SHARE</f>
        <v>55.37276673458687</v>
      </c>
      <c r="IL511" s="8">
        <f>IH511*CAP_SHARE</f>
        <v>57.48654653608691</v>
      </c>
      <c r="IM511" s="8">
        <f>IF511-IJ511-IE511</f>
        <v>-186.94808663330866</v>
      </c>
      <c r="IN511" s="8">
        <f>IG511-IK511-IE511</f>
        <v>-41.33962795639627</v>
      </c>
      <c r="IO511" s="8">
        <f>IH511-IL511-IE511</f>
        <v>-0.2244656539769494</v>
      </c>
      <c r="IP511" s="8">
        <f>R_NF_2024*(1+G_HI)^(IB511-2024)</f>
        <v>1192.034125180157</v>
      </c>
      <c r="IQ511" s="10">
        <f>1-IF511/IP511</f>
        <v>0.1784338302349695</v>
      </c>
      <c r="IR511" s="10">
        <f>CPI_2023/(IF(IB511-1=2023,CPI_2023,IF(IB511-1=2024,CPI_2024,IF(IB511-1=2025,CPI_2025,CPI_2025*(1+INFL)^(IB511-1-2025)))))</f>
        <v>0.5818658317079192</v>
      </c>
      <c r="IS511" s="8">
        <f>$IB$21*ABS($IB$11)*(IG511-IF511)/IF511</f>
        <v>15584.815192737544</v>
      </c>
      <c r="IT511" s="8">
        <f>$IB$21*ABS($IB$11)*(IH511-IF511)/IF511</f>
        <v>19985.467544428273</v>
      </c>
      <c r="IU511" s="13">
        <f>(IG511-IF511)*MCD_NF_DAYS*IR511-IS511*MCD_SHARE_FREED*R_WAIT_2023</f>
        <v>39846715.85557872</v>
      </c>
      <c r="IV511" s="13">
        <f>(IH511-IF511)*MCD_NF_DAYS*IR511-IT511*MCD_SHARE_FREED*R_WAIT_2023</f>
        <v>51098151.41438586</v>
      </c>
      <c r="IW511" s="10">
        <f>IF(AND(IB511&gt;=RULE_START,IC511=1),1/(1+$IB$12)^(IB511-RULE_START+1),0)</f>
        <v>0</v>
      </c>
      <c r="IX511">
        <f>IF(AND(IB511&gt;=RULE_START,IC511=1,IM511&lt;0),IB511,9999)</f>
        <v>9999</v>
      </c>
      <c r="IY511">
        <f>IF(AND(IB511&gt;=RULE_START,IC511=1,IN511&lt;0),IB511,9999)</f>
        <v>9999</v>
      </c>
      <c r="IZ511">
        <f>IF(AND(IB511&gt;=RULE_START,IC511=1,IO511&lt;0),IB511,9999)</f>
        <v>9999</v>
      </c>
      <c r="JB511" t="n">
        <v>2047</v>
      </c>
      <c r="JC511">
        <f>IF(JB511&lt;=RULE_START+$JB$38-1,1,0)</f>
        <v>0</v>
      </c>
      <c r="JD511" s="15">
        <f>IF(JB511=2024,G_IDX_2024,IF(JB511=2025,G_IDX_2025,IF(JB511=2026,G_IDX_2026,IF(JB511=2027,G_IDX_2027,$JB$13))))</f>
        <v>0.03</v>
      </c>
      <c r="JE511" s="8">
        <f>$JB$20*(1+G_HI)^(JB511-COST_DATE)</f>
        <v>1118.3961358343336</v>
      </c>
      <c r="JF511" s="8">
        <f>JF510*(1+JD511)</f>
        <v>923.994316406039</v>
      </c>
      <c r="JG511" s="8">
        <f>IF(JB511&lt;RULE_START,JF511,JG510*(1+G_HI))</f>
        <v>1132.429274612524</v>
      </c>
      <c r="JH511" s="8">
        <f>IF(JB511&lt;RULE_START,JF511,IF(JI511=1,R_NF_2024*(1+G_HI)^(JB511-2024),JH510*(1+JD511)))</f>
        <v>1168.8395270820665</v>
      </c>
      <c r="JI511">
        <f>IF(AND(JB511&gt;=RULE_START,MOD(JB511-RULE_START,REBASE_YEARS)=0),1,0)</f>
        <v>0</v>
      </c>
      <c r="JJ511" s="8">
        <f>JF511*CAP_SHARE</f>
        <v>45.18085402193629</v>
      </c>
      <c r="JK511" s="8">
        <f>JG511*CAP_SHARE</f>
        <v>55.37276673458687</v>
      </c>
      <c r="JL511" s="8">
        <f>JH511*CAP_SHARE</f>
        <v>57.15313082613973</v>
      </c>
      <c r="JM511" s="8">
        <f>JF511-JJ511-JE511</f>
        <v>-239.5826734502308</v>
      </c>
      <c r="JN511" s="8">
        <f>JG511-JK511-JE511</f>
        <v>-41.33962795639627</v>
      </c>
      <c r="JO511" s="8">
        <f>JH511-JL511-JE511</f>
        <v>-6.7097395784066975</v>
      </c>
      <c r="JP511" s="8">
        <f>R_NF_2024*(1+G_HI)^(JB511-2024)</f>
        <v>1192.034125180157</v>
      </c>
      <c r="JQ511" s="10">
        <f>1-JF511/JP511</f>
        <v>0.2248591740052811</v>
      </c>
      <c r="JR511" s="10">
        <f>CPI_2023/(IF(JB511-1=2023,CPI_2023,IF(JB511-1=2024,CPI_2024,IF(JB511-1=2025,CPI_2025,CPI_2025*(1+INFL)^(JB511-1-2025)))))</f>
        <v>0.5818658317079192</v>
      </c>
      <c r="JS511" s="8">
        <f>$JB$21*ABS($JB$11)*(JG511-JF511)/JF511</f>
        <v>22489.24880416126</v>
      </c>
      <c r="JT511" s="8">
        <f>$JB$21*ABS($JB$11)*(JH511-JF511)/JF511</f>
        <v>26417.76076710506</v>
      </c>
      <c r="JU511" s="13">
        <f>(JG511-JF511)*MCD_NF_DAYS*JR511-JS511*MCD_SHARE_FREED*R_WAIT_2023</f>
        <v>53672647.671009555</v>
      </c>
      <c r="JV511" s="13">
        <f>(JH511-JF511)*MCD_NF_DAYS*JR511-JT511*MCD_SHARE_FREED*R_WAIT_2023</f>
        <v>63048400.51604961</v>
      </c>
      <c r="JW511" s="10">
        <f>IF(AND(JB511&gt;=RULE_START,JC511=1),1/(1+$JB$12)^(JB511-RULE_START+1),0)</f>
        <v>0</v>
      </c>
      <c r="JX511">
        <f>IF(AND(JB511&gt;=RULE_START,JC511=1,JM511&lt;0),JB511,9999)</f>
        <v>9999</v>
      </c>
      <c r="JY511">
        <f>IF(AND(JB511&gt;=RULE_START,JC511=1,JN511&lt;0),JB511,9999)</f>
        <v>9999</v>
      </c>
      <c r="JZ511">
        <f>IF(AND(JB511&gt;=RULE_START,JC511=1,JO511&lt;0),JB511,9999)</f>
        <v>9999</v>
      </c>
      <c r="KB511" t="n">
        <v>2047</v>
      </c>
      <c r="KC511">
        <f>IF(KB511&lt;=RULE_START+$KB$38-1,1,0)</f>
        <v>0</v>
      </c>
      <c r="KD511" s="15">
        <f>IF(KB511=2024,G_IDX_2024,IF(KB511=2025,G_IDX_2025,IF(KB511=2026,G_IDX_2026,IF(KB511=2027,G_IDX_2027,$KB$13))))</f>
        <v>0.033</v>
      </c>
      <c r="KE511" s="8">
        <f>$KB$20*(1+G_HI)^(KB511-COST_DATE)</f>
        <v>1118.3961358343336</v>
      </c>
      <c r="KF511" s="8">
        <f>KF510*(1+KD511)</f>
        <v>979.3349104534705</v>
      </c>
      <c r="KG511" s="8">
        <f>IF(KB511&lt;RULE_START,KF511,KG510*(1+G_HI))</f>
        <v>1132.429274612524</v>
      </c>
      <c r="KH511" s="8">
        <f>IF(KB511&lt;RULE_START,KF511,IF(KI511=1,R_NF_2024*(1+G_HI)^(KB511-2024),KH510*(1+KD511)))</f>
        <v>1175.6582167164436</v>
      </c>
      <c r="KI511">
        <f>IF(AND(KB511&gt;=RULE_START,MOD(KB511-RULE_START,REBASE_YEARS)=0),1,0)</f>
        <v>0</v>
      </c>
      <c r="KJ511" s="8">
        <f>KF511*CAP_SHARE</f>
        <v>47.886861252445584</v>
      </c>
      <c r="KK511" s="8">
        <f>KG511*CAP_SHARE</f>
        <v>55.37276673458687</v>
      </c>
      <c r="KL511" s="8">
        <f>KH511*CAP_SHARE</f>
        <v>57.48654653608691</v>
      </c>
      <c r="KM511" s="8">
        <f>KF511-KJ511-KE511</f>
        <v>-186.94808663330866</v>
      </c>
      <c r="KN511" s="8">
        <f>KG511-KK511-KE511</f>
        <v>-41.33962795639627</v>
      </c>
      <c r="KO511" s="8">
        <f>KH511-KL511-KE511</f>
        <v>-0.2244656539769494</v>
      </c>
      <c r="KP511" s="8">
        <f>R_NF_2024*(1+G_HI)^(KB511-2024)</f>
        <v>1192.034125180157</v>
      </c>
      <c r="KQ511" s="10">
        <f>1-KF511/KP511</f>
        <v>0.1784338302349695</v>
      </c>
      <c r="KR511" s="10">
        <f>CPI_2023/(IF(KB511-1=2023,CPI_2023,IF(KB511-1=2024,CPI_2024,IF(KB511-1=2025,CPI_2025,CPI_2025*(1+INFL)^(KB511-1-2025)))))</f>
        <v>0.5818658317079192</v>
      </c>
      <c r="KS511" s="8">
        <f>$KB$21*ABS($KB$11)*(KG511-KF511)/KF511</f>
        <v>15584.815192737544</v>
      </c>
      <c r="KT511" s="8">
        <f>$KB$21*ABS($KB$11)*(KH511-KF511)/KF511</f>
        <v>19985.467544428273</v>
      </c>
      <c r="KU511" s="13">
        <f>(KG511-KF511)*MCD_NF_DAYS*KR511-KS511*MCD_SHARE_FREED*R_WAIT_2023</f>
        <v>39846715.85557872</v>
      </c>
      <c r="KV511" s="13">
        <f>(KH511-KF511)*MCD_NF_DAYS*KR511-KT511*MCD_SHARE_FREED*R_WAIT_2023</f>
        <v>51098151.41438586</v>
      </c>
      <c r="KW511" s="10">
        <f>IF(AND(KB511&gt;=RULE_START,KC511=1),1/(1+$KB$12)^(KB511-RULE_START+1),0)</f>
        <v>0</v>
      </c>
      <c r="KX511">
        <f>IF(AND(KB511&gt;=RULE_START,KC511=1,KM511&lt;0),KB511,9999)</f>
        <v>9999</v>
      </c>
      <c r="KY511">
        <f>IF(AND(KB511&gt;=RULE_START,KC511=1,KN511&lt;0),KB511,9999)</f>
        <v>9999</v>
      </c>
      <c r="KZ511">
        <f>IF(AND(KB511&gt;=RULE_START,KC511=1,KO511&lt;0),KB511,9999)</f>
        <v>9999</v>
      </c>
      <c r="LB511" t="n">
        <v>2047</v>
      </c>
      <c r="LC511">
        <f>IF(LB511&lt;=RULE_START+$LB$38-1,1,0)</f>
        <v>0</v>
      </c>
      <c r="LD511" s="15">
        <f>IF(LB511=2024,G_IDX_2024,IF(LB511=2025,G_IDX_2025,IF(LB511=2026,G_IDX_2026,IF(LB511=2027,G_IDX_2027,$LB$13))))</f>
        <v>0.033</v>
      </c>
      <c r="LE511" s="8">
        <f>$LB$20*(1+G_HI)^(LB511-COST_DATE)</f>
        <v>1118.3961358343336</v>
      </c>
      <c r="LF511" s="8">
        <f>LF510*(1+LD511)</f>
        <v>979.3349104534705</v>
      </c>
      <c r="LG511" s="8">
        <f>IF(LB511&lt;RULE_START,LF511,LG510*(1+G_HI))</f>
        <v>1132.429274612524</v>
      </c>
      <c r="LH511" s="8">
        <f>IF(LB511&lt;RULE_START,LF511,IF(LI511=1,R_NF_2024*(1+G_HI)^(LB511-2024),LH510*(1+LD511)))</f>
        <v>1175.6582167164436</v>
      </c>
      <c r="LI511">
        <f>IF(AND(LB511&gt;=RULE_START,MOD(LB511-RULE_START,REBASE_YEARS)=0),1,0)</f>
        <v>0</v>
      </c>
      <c r="LJ511" s="8">
        <f>LF511*CAP_SHARE</f>
        <v>47.886861252445584</v>
      </c>
      <c r="LK511" s="8">
        <f>LG511*CAP_SHARE</f>
        <v>55.37276673458687</v>
      </c>
      <c r="LL511" s="8">
        <f>LH511*CAP_SHARE</f>
        <v>57.48654653608691</v>
      </c>
      <c r="LM511" s="8">
        <f>LF511-LJ511-LE511</f>
        <v>-186.94808663330866</v>
      </c>
      <c r="LN511" s="8">
        <f>LG511-LK511-LE511</f>
        <v>-41.33962795639627</v>
      </c>
      <c r="LO511" s="8">
        <f>LH511-LL511-LE511</f>
        <v>-0.2244656539769494</v>
      </c>
      <c r="LP511" s="8">
        <f>R_NF_2024*(1+G_HI)^(LB511-2024)</f>
        <v>1192.034125180157</v>
      </c>
      <c r="LQ511" s="10">
        <f>1-LF511/LP511</f>
        <v>0.1784338302349695</v>
      </c>
      <c r="LR511" s="10">
        <f>CPI_2023/(IF(LB511-1=2023,CPI_2023,IF(LB511-1=2024,CPI_2024,IF(LB511-1=2025,CPI_2025,CPI_2025*(1+INFL)^(LB511-1-2025)))))</f>
        <v>0.5818658317079192</v>
      </c>
      <c r="LS511" s="8">
        <f>$LB$21*ABS($LB$11)*(LG511-LF511)/LF511</f>
        <v>15584.815192737544</v>
      </c>
      <c r="LT511" s="8">
        <f>$LB$21*ABS($LB$11)*(LH511-LF511)/LF511</f>
        <v>19985.467544428273</v>
      </c>
      <c r="LU511" s="13">
        <f>(LG511-LF511)*MCD_NF_DAYS*LR511-LS511*MCD_SHARE_FREED*R_WAIT_2023</f>
        <v>39846715.85557872</v>
      </c>
      <c r="LV511" s="13">
        <f>(LH511-LF511)*MCD_NF_DAYS*LR511-LT511*MCD_SHARE_FREED*R_WAIT_2023</f>
        <v>51098151.41438586</v>
      </c>
      <c r="LW511" s="10">
        <f>IF(AND(LB511&gt;=RULE_START,LC511=1),1/(1+$LB$12)^(LB511-RULE_START+1),0)</f>
        <v>0</v>
      </c>
      <c r="LX511">
        <f>IF(AND(LB511&gt;=RULE_START,LC511=1,LM511&lt;0),LB511,9999)</f>
        <v>9999</v>
      </c>
      <c r="LY511">
        <f>IF(AND(LB511&gt;=RULE_START,LC511=1,LN511&lt;0),LB511,9999)</f>
        <v>9999</v>
      </c>
      <c r="LZ511">
        <f>IF(AND(LB511&gt;=RULE_START,LC511=1,LO511&lt;0),LB511,9999)</f>
        <v>9999</v>
      </c>
      <c r="MB511" t="n">
        <v>2047</v>
      </c>
      <c r="MC511">
        <f>IF(MB511&lt;=RULE_START+$MB$38-1,1,0)</f>
        <v>0</v>
      </c>
      <c r="MD511" s="15">
        <f>IF(MB511=2024,G_IDX_2024,IF(MB511=2025,G_IDX_2025,IF(MB511=2026,G_IDX_2026,IF(MB511=2027,G_IDX_2027,$MB$13))))</f>
        <v>0.033</v>
      </c>
      <c r="ME511" s="8">
        <f>$MB$20*(1+G_HI)^(MB511-COST_DATE)</f>
        <v>1118.3961358343336</v>
      </c>
      <c r="MF511" s="8">
        <f>MF510*(1+MD511)</f>
        <v>979.3349104534705</v>
      </c>
      <c r="MG511" s="8">
        <f>IF(MB511&lt;RULE_START,MF511,MG510*(1+G_HI))</f>
        <v>1132.429274612524</v>
      </c>
      <c r="MH511" s="8">
        <f>IF(MB511&lt;RULE_START,MF511,IF(MI511=1,R_NF_2024*(1+G_HI)^(MB511-2024),MH510*(1+MD511)))</f>
        <v>1175.6582167164436</v>
      </c>
      <c r="MI511">
        <f>IF(AND(MB511&gt;=RULE_START,MOD(MB511-RULE_START,REBASE_YEARS)=0),1,0)</f>
        <v>0</v>
      </c>
      <c r="MJ511" s="8">
        <f>MF511*CAP_SHARE</f>
        <v>47.886861252445584</v>
      </c>
      <c r="MK511" s="8">
        <f>MG511*CAP_SHARE</f>
        <v>55.37276673458687</v>
      </c>
      <c r="ML511" s="8">
        <f>MH511*CAP_SHARE</f>
        <v>57.48654653608691</v>
      </c>
      <c r="MM511" s="8">
        <f>MF511-MJ511-ME511</f>
        <v>-186.94808663330866</v>
      </c>
      <c r="MN511" s="8">
        <f>MG511-MK511-ME511</f>
        <v>-41.33962795639627</v>
      </c>
      <c r="MO511" s="8">
        <f>MH511-ML511-ME511</f>
        <v>-0.2244656539769494</v>
      </c>
      <c r="MP511" s="8">
        <f>R_NF_2024*(1+G_HI)^(MB511-2024)</f>
        <v>1192.034125180157</v>
      </c>
      <c r="MQ511" s="10">
        <f>1-MF511/MP511</f>
        <v>0.1784338302349695</v>
      </c>
      <c r="MR511" s="10">
        <f>CPI_2023/(IF(MB511-1=2023,CPI_2023,IF(MB511-1=2024,CPI_2024,IF(MB511-1=2025,CPI_2025,CPI_2025*(1+INFL)^(MB511-1-2025)))))</f>
        <v>0.5818658317079192</v>
      </c>
      <c r="MS511" s="8">
        <f>$MB$21*ABS($MB$11)*(MG511-MF511)/MF511</f>
        <v>11417.273904871303</v>
      </c>
      <c r="MT511" s="8">
        <f>$MB$21*ABS($MB$11)*(MH511-MF511)/MF511</f>
        <v>14641.14615731754</v>
      </c>
      <c r="MU511" s="13">
        <f>(MG511-MF511)*MCD_NF_DAYS*MR511-MS511*MCD_SHARE_FREED*R_WAIT_2023</f>
        <v>41741774.941172585</v>
      </c>
      <c r="MV511" s="13">
        <f>(MH511-MF511)*MCD_NF_DAYS*MR511-MT511*MCD_SHARE_FREED*R_WAIT_2023</f>
        <v>53528314.45331359</v>
      </c>
      <c r="MW511" s="10">
        <f>IF(AND(MB511&gt;=RULE_START,MC511=1),1/(1+$MB$12)^(MB511-RULE_START+1),0)</f>
        <v>0</v>
      </c>
      <c r="MX511">
        <f>IF(AND(MB511&gt;=RULE_START,MC511=1,MM511&lt;0),MB511,9999)</f>
        <v>9999</v>
      </c>
      <c r="MY511">
        <f>IF(AND(MB511&gt;=RULE_START,MC511=1,MN511&lt;0),MB511,9999)</f>
        <v>9999</v>
      </c>
      <c r="MZ511">
        <f>IF(AND(MB511&gt;=RULE_START,MC511=1,MO511&lt;0),MB511,9999)</f>
        <v>9999</v>
      </c>
      <c r="NB511" t="n">
        <v>2047</v>
      </c>
      <c r="NC511">
        <f>IF(NB511&lt;=RULE_START+$NB$38-1,1,0)</f>
        <v>0</v>
      </c>
      <c r="ND511" s="15">
        <f>IF(NB511=2024,G_IDX_2024,IF(NB511=2025,G_IDX_2025,IF(NB511=2026,G_IDX_2026,IF(NB511=2027,G_IDX_2027,$NB$13))))</f>
        <v>0.033</v>
      </c>
      <c r="NE511" s="8">
        <f>$NB$20*(1+G_HI)^(NB511-COST_DATE)</f>
        <v>1118.3961358343336</v>
      </c>
      <c r="NF511" s="8">
        <f>NF510*(1+ND511)</f>
        <v>979.3349104534705</v>
      </c>
      <c r="NG511" s="8">
        <f>IF(NB511&lt;RULE_START,NF511,NG510*(1+G_HI))</f>
        <v>1132.429274612524</v>
      </c>
      <c r="NH511" s="8">
        <f>IF(NB511&lt;RULE_START,NF511,IF(NI511=1,R_NF_2024*(1+G_HI)^(NB511-2024),NH510*(1+ND511)))</f>
        <v>1175.6582167164436</v>
      </c>
      <c r="NI511">
        <f>IF(AND(NB511&gt;=RULE_START,MOD(NB511-RULE_START,REBASE_YEARS)=0),1,0)</f>
        <v>0</v>
      </c>
      <c r="NJ511" s="8">
        <f>NF511*CAP_SHARE</f>
        <v>47.886861252445584</v>
      </c>
      <c r="NK511" s="8">
        <f>NG511*CAP_SHARE</f>
        <v>55.37276673458687</v>
      </c>
      <c r="NL511" s="8">
        <f>NH511*CAP_SHARE</f>
        <v>57.48654653608691</v>
      </c>
      <c r="NM511" s="8">
        <f>NF511-NJ511-NE511</f>
        <v>-186.94808663330866</v>
      </c>
      <c r="NN511" s="8">
        <f>NG511-NK511-NE511</f>
        <v>-41.33962795639627</v>
      </c>
      <c r="NO511" s="8">
        <f>NH511-NL511-NE511</f>
        <v>-0.2244656539769494</v>
      </c>
      <c r="NP511" s="8">
        <f>R_NF_2024*(1+G_HI)^(NB511-2024)</f>
        <v>1192.034125180157</v>
      </c>
      <c r="NQ511" s="10">
        <f>1-NF511/NP511</f>
        <v>0.1784338302349695</v>
      </c>
      <c r="NR511" s="10">
        <f>CPI_2023/(IF(NB511-1=2023,CPI_2023,IF(NB511-1=2024,CPI_2024,IF(NB511-1=2025,CPI_2025,CPI_2025*(1+INFL)^(NB511-1-2025)))))</f>
        <v>0.5818658317079192</v>
      </c>
      <c r="NS511" s="8">
        <f>$NB$21*ABS($NB$11)*(NG511-NF511)/NF511</f>
        <v>15584.815192737544</v>
      </c>
      <c r="NT511" s="8">
        <f>$NB$21*ABS($NB$11)*(NH511-NF511)/NF511</f>
        <v>19985.467544428273</v>
      </c>
      <c r="NU511" s="13">
        <f>(NG511-NF511)*MCD_NF_DAYS*NR511-NS511*MCD_SHARE_FREED*R_WAIT_2023</f>
        <v>39846715.85557872</v>
      </c>
      <c r="NV511" s="13">
        <f>(NH511-NF511)*MCD_NF_DAYS*NR511-NT511*MCD_SHARE_FREED*R_WAIT_2023</f>
        <v>51098151.41438586</v>
      </c>
      <c r="NW511" s="10">
        <f>IF(AND(NB511&gt;=RULE_START,NC511=1),1/(1+$NB$12)^(NB511-RULE_START+1),0)</f>
        <v>0</v>
      </c>
      <c r="NX511">
        <f>IF(AND(NB511&gt;=RULE_START,NC511=1,NM511&lt;0),NB511,9999)</f>
        <v>9999</v>
      </c>
      <c r="NY511">
        <f>IF(AND(NB511&gt;=RULE_START,NC511=1,NN511&lt;0),NB511,9999)</f>
        <v>9999</v>
      </c>
      <c r="NZ511">
        <f>IF(AND(NB511&gt;=RULE_START,NC511=1,NO511&lt;0),NB511,9999)</f>
        <v>9999</v>
      </c>
      <c r="OB511" t="n">
        <v>2047</v>
      </c>
      <c r="OC511">
        <f>IF(OB511&lt;=RULE_START+$OB$38-1,1,0)</f>
        <v>0</v>
      </c>
      <c r="OD511" s="15">
        <f>IF(OB511=2024,G_IDX_2024,IF(OB511=2025,G_IDX_2025,IF(OB511=2026,G_IDX_2026,IF(OB511=2027,G_IDX_2027,$OB$13))))</f>
        <v>0.033</v>
      </c>
      <c r="OE511" s="8">
        <f>$OB$20*(1+G_HI)^(OB511-COST_DATE)</f>
        <v>1118.3961358343336</v>
      </c>
      <c r="OF511" s="8">
        <f>OF510*(1+OD511)</f>
        <v>979.3349104534705</v>
      </c>
      <c r="OG511" s="8">
        <f>IF(OB511&lt;RULE_START,OF511,OG510*(1+G_HI))</f>
        <v>1132.429274612524</v>
      </c>
      <c r="OH511" s="8">
        <f>IF(OB511&lt;RULE_START,OF511,IF(OI511=1,R_NF_2024*(1+G_HI)^(OB511-2024),OH510*(1+OD511)))</f>
        <v>1175.6582167164436</v>
      </c>
      <c r="OI511">
        <f>IF(AND(OB511&gt;=RULE_START,MOD(OB511-RULE_START,REBASE_YEARS)=0),1,0)</f>
        <v>0</v>
      </c>
      <c r="OJ511" s="8">
        <f>OF511*CAP_SHARE</f>
        <v>47.886861252445584</v>
      </c>
      <c r="OK511" s="8">
        <f>OG511*CAP_SHARE</f>
        <v>55.37276673458687</v>
      </c>
      <c r="OL511" s="8">
        <f>OH511*CAP_SHARE</f>
        <v>57.48654653608691</v>
      </c>
      <c r="OM511" s="8">
        <f>OF511-OJ511-OE511</f>
        <v>-186.94808663330866</v>
      </c>
      <c r="ON511" s="8">
        <f>OG511-OK511-OE511</f>
        <v>-41.33962795639627</v>
      </c>
      <c r="OO511" s="8">
        <f>OH511-OL511-OE511</f>
        <v>-0.2244656539769494</v>
      </c>
      <c r="OP511" s="8">
        <f>R_NF_2024*(1+G_HI)^(OB511-2024)</f>
        <v>1192.034125180157</v>
      </c>
      <c r="OQ511" s="10">
        <f>1-OF511/OP511</f>
        <v>0.1784338302349695</v>
      </c>
      <c r="OR511" s="10">
        <f>CPI_2023/(IF(OB511-1=2023,CPI_2023,IF(OB511-1=2024,CPI_2024,IF(OB511-1=2025,CPI_2025,CPI_2025*(1+INFL)^(OB511-1-2025)))))</f>
        <v>0.5818658317079192</v>
      </c>
      <c r="OS511" s="8">
        <f>$OB$21*ABS($OB$11)*(OG511-OF511)/OF511</f>
        <v>15584.815192737544</v>
      </c>
      <c r="OT511" s="8">
        <f>$OB$21*ABS($OB$11)*(OH511-OF511)/OF511</f>
        <v>19985.467544428273</v>
      </c>
      <c r="OU511" s="13">
        <f>(OG511-OF511)*MCD_NF_DAYS*OR511-OS511*MCD_SHARE_FREED*R_WAIT_2023</f>
        <v>39846715.85557872</v>
      </c>
      <c r="OV511" s="13">
        <f>(OH511-OF511)*MCD_NF_DAYS*OR511-OT511*MCD_SHARE_FREED*R_WAIT_2023</f>
        <v>51098151.41438586</v>
      </c>
      <c r="OW511" s="10">
        <f>IF(AND(OB511&gt;=RULE_START,OC511=1),1/(1+$OB$12)^(OB511-RULE_START+1),0)</f>
        <v>0</v>
      </c>
      <c r="OX511">
        <f>IF(AND(OB511&gt;=RULE_START,OC511=1,OM511&lt;0),OB511,9999)</f>
        <v>9999</v>
      </c>
      <c r="OY511">
        <f>IF(AND(OB511&gt;=RULE_START,OC511=1,ON511&lt;0),OB511,9999)</f>
        <v>9999</v>
      </c>
      <c r="OZ511">
        <f>IF(AND(OB511&gt;=RULE_START,OC511=1,OO511&lt;0),OB511,9999)</f>
        <v>9999</v>
      </c>
    </row>
    <row r="512">
      <c r="B512" t="n">
        <v>2048</v>
      </c>
      <c r="C512">
        <f>IF(B512&lt;=RULE_START+$B$38-1,1,0)</f>
        <v>0</v>
      </c>
      <c r="D512" s="15">
        <f>IF(B512=2024,G_IDX_2024,IF(B512=2025,G_IDX_2025,IF(B512=2026,G_IDX_2026,IF(B512=2027,G_IDX_2027,$B$13))))</f>
        <v>0.033</v>
      </c>
      <c r="E512" s="8">
        <f>$B$20*(1+G_HI)^(B512-COST_DATE)</f>
        <v>1163.3215729927472</v>
      </c>
      <c r="F512" s="8">
        <f>F511*(1+D512)</f>
        <v>1011.6529624984349</v>
      </c>
      <c r="G512" s="8">
        <f>IF(B512&lt;RULE_START,F512,G511*(1+G_HI))</f>
        <v>1177.9184162349595</v>
      </c>
      <c r="H512" s="8">
        <f>IF(B512&lt;RULE_START,F512,IF(I512=1,R_NF_2024*(1+G_HI)^(B512-2024),H511*(1+D512)))</f>
        <v>1239.9175651041644</v>
      </c>
      <c r="I512">
        <f>IF(AND(B512&gt;=RULE_START,MOD(B512-RULE_START,REBASE_YEARS)=0),1,0)</f>
        <v>1</v>
      </c>
      <c r="J512" s="8">
        <f>F512*CAP_SHARE</f>
        <v>49.46712767377629</v>
      </c>
      <c r="K512" s="8">
        <f>G512*CAP_SHARE</f>
        <v>57.59706425539899</v>
      </c>
      <c r="L512" s="8">
        <f>H512*CAP_SHARE</f>
        <v>60.628657031249894</v>
      </c>
      <c r="M512" s="8">
        <f>F512-J512-E512</f>
        <v>-201.13573816808855</v>
      </c>
      <c r="N512" s="8">
        <f>G512-K512-E512</f>
        <v>-43.00022101318655</v>
      </c>
      <c r="O512" s="8">
        <f>H512-L512-E512</f>
        <v>15.967335080167231</v>
      </c>
      <c r="P512" s="8">
        <f>R_NF_2024*(1+G_HI)^(B512-2024)</f>
        <v>1239.9175651041644</v>
      </c>
      <c r="Q512" s="10">
        <f>1-F512/P512</f>
        <v>0.18409659563662462</v>
      </c>
      <c r="R512" s="10">
        <f>CPI_2023/(IF(B512-1=2023,CPI_2023,IF(B512-1=2024,CPI_2024,IF(B512-1=2025,CPI_2025,CPI_2025*(1+INFL)^(B512-1-2025)))))</f>
        <v>0.5688950251348447</v>
      </c>
      <c r="S512" s="8">
        <f>$B$21*ABS($B$11)*(G512-F512)/F512</f>
        <v>16384.913526380842</v>
      </c>
      <c r="T512" s="8">
        <f>$B$21*ABS($B$11)*(H512-F512)/F512</f>
        <v>22494.725697831203</v>
      </c>
      <c r="U512" s="13">
        <f>(G512-F512)*MCD_NF_DAYS*R512-S512*MCD_SHARE_FREED*R_WAIT_2023</f>
        <v>42384457.83486879</v>
      </c>
      <c r="V512" s="13">
        <f>(H512-F512)*MCD_NF_DAYS*R512-T512*MCD_SHARE_FREED*R_WAIT_2023</f>
        <v>58189306.358656265</v>
      </c>
      <c r="W512" s="10">
        <f>IF(AND(B512&gt;=RULE_START,C512=1),1/(1+$B$12)^(B512-RULE_START+1),0)</f>
        <v>0</v>
      </c>
      <c r="X512">
        <f>IF(AND(B512&gt;=RULE_START,C512=1,M512&lt;0),B512,9999)</f>
        <v>9999</v>
      </c>
      <c r="Y512">
        <f>IF(AND(B512&gt;=RULE_START,C512=1,N512&lt;0),B512,9999)</f>
        <v>9999</v>
      </c>
      <c r="Z512">
        <f>IF(AND(B512&gt;=RULE_START,C512=1,O512&lt;0),B512,9999)</f>
        <v>9999</v>
      </c>
      <c r="AB512" t="n">
        <v>2048</v>
      </c>
      <c r="AC512">
        <f>IF(AB512&lt;=RULE_START+$AB$38-1,1,0)</f>
        <v>0</v>
      </c>
      <c r="AD512" s="15">
        <f>IF(AB512=2024,G_IDX_2024,IF(AB512=2025,G_IDX_2025,IF(AB512=2026,G_IDX_2026,IF(AB512=2027,G_IDX_2027,$AB$13))))</f>
        <v>0.033</v>
      </c>
      <c r="AE512" s="8">
        <f>$AB$20*(1+G_HI)^(AB512-COST_DATE)</f>
        <v>1163.3215729927472</v>
      </c>
      <c r="AF512" s="8">
        <f>AF511*(1+AD512)</f>
        <v>1011.6529624984349</v>
      </c>
      <c r="AG512" s="8">
        <f>IF(AB512&lt;RULE_START,AF512,AG511*(1+G_HI))</f>
        <v>1177.9184162349595</v>
      </c>
      <c r="AH512" s="8">
        <f>IF(AB512&lt;RULE_START,AF512,IF(AI512=1,R_NF_2024*(1+G_HI)^(AB512-2024),AH511*(1+AD512)))</f>
        <v>1239.9175651041644</v>
      </c>
      <c r="AI512">
        <f>IF(AND(AB512&gt;=RULE_START,MOD(AB512-RULE_START,REBASE_YEARS)=0),1,0)</f>
        <v>1</v>
      </c>
      <c r="AJ512" s="8">
        <f>AF512*CAP_SHARE</f>
        <v>49.46712767377629</v>
      </c>
      <c r="AK512" s="8">
        <f>AG512*CAP_SHARE</f>
        <v>57.59706425539899</v>
      </c>
      <c r="AL512" s="8">
        <f>AH512*CAP_SHARE</f>
        <v>60.628657031249894</v>
      </c>
      <c r="AM512" s="8">
        <f>AF512-AJ512-AE512</f>
        <v>-201.13573816808855</v>
      </c>
      <c r="AN512" s="8">
        <f>AG512-AK512-AE512</f>
        <v>-43.00022101318655</v>
      </c>
      <c r="AO512" s="8">
        <f>AH512-AL512-AE512</f>
        <v>15.967335080167231</v>
      </c>
      <c r="AP512" s="8">
        <f>R_NF_2024*(1+G_HI)^(AB512-2024)</f>
        <v>1239.9175651041644</v>
      </c>
      <c r="AQ512" s="10">
        <f>1-AF512/AP512</f>
        <v>0.18409659563662462</v>
      </c>
      <c r="AR512" s="10">
        <f>CPI_2023/(IF(AB512-1=2023,CPI_2023,IF(AB512-1=2024,CPI_2024,IF(AB512-1=2025,CPI_2025,CPI_2025*(1+INFL)^(AB512-1-2025)))))</f>
        <v>0.5688950251348447</v>
      </c>
      <c r="AS512" s="8">
        <f>$AB$21*ABS($AB$11)*(AG512-AF512)/AF512</f>
        <v>16384.913526380842</v>
      </c>
      <c r="AT512" s="8">
        <f>$AB$21*ABS($AB$11)*(AH512-AF512)/AF512</f>
        <v>22494.725697831203</v>
      </c>
      <c r="AU512" s="13">
        <f>(AG512-AF512)*MCD_NF_DAYS*AR512-AS512*MCD_SHARE_FREED*R_WAIT_2023</f>
        <v>42384457.83486879</v>
      </c>
      <c r="AV512" s="13">
        <f>(AH512-AF512)*MCD_NF_DAYS*AR512-AT512*MCD_SHARE_FREED*R_WAIT_2023</f>
        <v>58189306.358656265</v>
      </c>
      <c r="AW512" s="10">
        <f>IF(AND(AB512&gt;=RULE_START,AC512=1),1/(1+$AB$12)^(AB512-RULE_START+1),0)</f>
        <v>0</v>
      </c>
      <c r="AX512">
        <f>IF(AND(AB512&gt;=RULE_START,AC512=1,AM512&lt;0),AB512,9999)</f>
        <v>9999</v>
      </c>
      <c r="AY512">
        <f>IF(AND(AB512&gt;=RULE_START,AC512=1,AN512&lt;0),AB512,9999)</f>
        <v>9999</v>
      </c>
      <c r="AZ512">
        <f>IF(AND(AB512&gt;=RULE_START,AC512=1,AO512&lt;0),AB512,9999)</f>
        <v>9999</v>
      </c>
      <c r="BB512" t="n">
        <v>2048</v>
      </c>
      <c r="BC512">
        <f>IF(BB512&lt;=RULE_START+$BB$38-1,1,0)</f>
        <v>0</v>
      </c>
      <c r="BD512" s="15">
        <f>IF(BB512=2024,G_IDX_2024,IF(BB512=2025,G_IDX_2025,IF(BB512=2026,G_IDX_2026,IF(BB512=2027,G_IDX_2027,$BB$13))))</f>
        <v>0.033</v>
      </c>
      <c r="BE512" s="8">
        <f>$BB$20*(1+G_HI)^(BB512-COST_DATE)</f>
        <v>1163.3215729927472</v>
      </c>
      <c r="BF512" s="8">
        <f>BF511*(1+BD512)</f>
        <v>1011.6529624984349</v>
      </c>
      <c r="BG512" s="8">
        <f>IF(BB512&lt;RULE_START,BF512,BG511*(1+G_HI))</f>
        <v>1177.9184162349595</v>
      </c>
      <c r="BH512" s="8">
        <f>IF(BB512&lt;RULE_START,BF512,IF(BI512=1,R_NF_2024*(1+G_HI)^(BB512-2024),BH511*(1+BD512)))</f>
        <v>1239.9175651041644</v>
      </c>
      <c r="BI512">
        <f>IF(AND(BB512&gt;=RULE_START,MOD(BB512-RULE_START,REBASE_YEARS)=0),1,0)</f>
        <v>1</v>
      </c>
      <c r="BJ512" s="8">
        <f>BF512*CAP_SHARE</f>
        <v>49.46712767377629</v>
      </c>
      <c r="BK512" s="8">
        <f>BG512*CAP_SHARE</f>
        <v>57.59706425539899</v>
      </c>
      <c r="BL512" s="8">
        <f>BH512*CAP_SHARE</f>
        <v>60.628657031249894</v>
      </c>
      <c r="BM512" s="8">
        <f>BF512-BJ512-BE512</f>
        <v>-201.13573816808855</v>
      </c>
      <c r="BN512" s="8">
        <f>BG512-BK512-BE512</f>
        <v>-43.00022101318655</v>
      </c>
      <c r="BO512" s="8">
        <f>BH512-BL512-BE512</f>
        <v>15.967335080167231</v>
      </c>
      <c r="BP512" s="8">
        <f>R_NF_2024*(1+G_HI)^(BB512-2024)</f>
        <v>1239.9175651041644</v>
      </c>
      <c r="BQ512" s="10">
        <f>1-BF512/BP512</f>
        <v>0.18409659563662462</v>
      </c>
      <c r="BR512" s="10">
        <f>CPI_2023/(IF(BB512-1=2023,CPI_2023,IF(BB512-1=2024,CPI_2024,IF(BB512-1=2025,CPI_2025,CPI_2025*(1+INFL)^(BB512-1-2025)))))</f>
        <v>0.5688950251348447</v>
      </c>
      <c r="BS512" s="8">
        <f>$BB$21*ABS($BB$11)*(BG512-BF512)/BF512</f>
        <v>16384.913526380842</v>
      </c>
      <c r="BT512" s="8">
        <f>$BB$21*ABS($BB$11)*(BH512-BF512)/BF512</f>
        <v>22494.725697831203</v>
      </c>
      <c r="BU512" s="13">
        <f>(BG512-BF512)*MCD_NF_DAYS*BR512-BS512*MCD_SHARE_FREED*R_WAIT_2023</f>
        <v>42384457.83486879</v>
      </c>
      <c r="BV512" s="13">
        <f>(BH512-BF512)*MCD_NF_DAYS*BR512-BT512*MCD_SHARE_FREED*R_WAIT_2023</f>
        <v>58189306.358656265</v>
      </c>
      <c r="BW512" s="10">
        <f>IF(AND(BB512&gt;=RULE_START,BC512=1),1/(1+$BB$12)^(BB512-RULE_START+1),0)</f>
        <v>0</v>
      </c>
      <c r="BX512">
        <f>IF(AND(BB512&gt;=RULE_START,BC512=1,BM512&lt;0),BB512,9999)</f>
        <v>9999</v>
      </c>
      <c r="BY512">
        <f>IF(AND(BB512&gt;=RULE_START,BC512=1,BN512&lt;0),BB512,9999)</f>
        <v>9999</v>
      </c>
      <c r="BZ512">
        <f>IF(AND(BB512&gt;=RULE_START,BC512=1,BO512&lt;0),BB512,9999)</f>
        <v>9999</v>
      </c>
      <c r="CB512" t="n">
        <v>2048</v>
      </c>
      <c r="CC512">
        <f>IF(CB512&lt;=RULE_START+$CB$38-1,1,0)</f>
        <v>1</v>
      </c>
      <c r="CD512" s="15">
        <f>IF(CB512=2024,G_IDX_2024,IF(CB512=2025,G_IDX_2025,IF(CB512=2026,G_IDX_2026,IF(CB512=2027,G_IDX_2027,$CB$13))))</f>
        <v>0.033</v>
      </c>
      <c r="CE512" s="8">
        <f>$CB$20*(1+G_HI)^(CB512-COST_DATE)</f>
        <v>1163.3215729927472</v>
      </c>
      <c r="CF512" s="8">
        <f>CF511*(1+CD512)</f>
        <v>1011.6529624984349</v>
      </c>
      <c r="CG512" s="8">
        <f>IF(CB512&lt;RULE_START,CF512,CG511*(1+G_HI))</f>
        <v>1177.9184162349595</v>
      </c>
      <c r="CH512" s="8">
        <f>IF(CB512&lt;RULE_START,CF512,IF(CI512=1,R_NF_2024*(1+G_HI)^(CB512-2024),CH511*(1+CD512)))</f>
        <v>1239.9175651041644</v>
      </c>
      <c r="CI512">
        <f>IF(AND(CB512&gt;=RULE_START,MOD(CB512-RULE_START,REBASE_YEARS)=0),1,0)</f>
        <v>1</v>
      </c>
      <c r="CJ512" s="8">
        <f>CF512*CAP_SHARE</f>
        <v>49.46712767377629</v>
      </c>
      <c r="CK512" s="8">
        <f>CG512*CAP_SHARE</f>
        <v>57.59706425539899</v>
      </c>
      <c r="CL512" s="8">
        <f>CH512*CAP_SHARE</f>
        <v>60.628657031249894</v>
      </c>
      <c r="CM512" s="8">
        <f>CF512-CJ512-CE512</f>
        <v>-201.13573816808855</v>
      </c>
      <c r="CN512" s="8">
        <f>CG512-CK512-CE512</f>
        <v>-43.00022101318655</v>
      </c>
      <c r="CO512" s="8">
        <f>CH512-CL512-CE512</f>
        <v>15.967335080167231</v>
      </c>
      <c r="CP512" s="8">
        <f>R_NF_2024*(1+G_HI)^(CB512-2024)</f>
        <v>1239.9175651041644</v>
      </c>
      <c r="CQ512" s="10">
        <f>1-CF512/CP512</f>
        <v>0.18409659563662462</v>
      </c>
      <c r="CR512" s="10">
        <f>CPI_2023/(IF(CB512-1=2023,CPI_2023,IF(CB512-1=2024,CPI_2024,IF(CB512-1=2025,CPI_2025,CPI_2025*(1+INFL)^(CB512-1-2025)))))</f>
        <v>0.5688950251348447</v>
      </c>
      <c r="CS512" s="8">
        <f>$CB$21*ABS($CB$11)*(CG512-CF512)/CF512</f>
        <v>16384.913526380842</v>
      </c>
      <c r="CT512" s="8">
        <f>$CB$21*ABS($CB$11)*(CH512-CF512)/CF512</f>
        <v>22494.725697831203</v>
      </c>
      <c r="CU512" s="13">
        <f>(CG512-CF512)*MCD_NF_DAYS*CR512-CS512*MCD_SHARE_FREED*R_WAIT_2023</f>
        <v>42384457.83486879</v>
      </c>
      <c r="CV512" s="13">
        <f>(CH512-CF512)*MCD_NF_DAYS*CR512-CT512*MCD_SHARE_FREED*R_WAIT_2023</f>
        <v>58189306.358656265</v>
      </c>
      <c r="CW512" s="10">
        <f>IF(AND(CB512&gt;=RULE_START,CC512=1),1/(1+$CB$12)^(CB512-RULE_START+1),0)</f>
        <v>0.6468390360515739</v>
      </c>
      <c r="CX512">
        <f>IF(AND(CB512&gt;=RULE_START,CC512=1,CM512&lt;0),CB512,9999)</f>
        <v>2048</v>
      </c>
      <c r="CY512">
        <f>IF(AND(CB512&gt;=RULE_START,CC512=1,CN512&lt;0),CB512,9999)</f>
        <v>2048</v>
      </c>
      <c r="CZ512">
        <f>IF(AND(CB512&gt;=RULE_START,CC512=1,CO512&lt;0),CB512,9999)</f>
        <v>9999</v>
      </c>
      <c r="DB512" t="n">
        <v>2048</v>
      </c>
      <c r="DC512">
        <f>IF(DB512&lt;=RULE_START+$DB$38-1,1,0)</f>
        <v>0</v>
      </c>
      <c r="DD512" s="15">
        <f>IF(DB512=2024,G_IDX_2024,IF(DB512=2025,G_IDX_2025,IF(DB512=2026,G_IDX_2026,IF(DB512=2027,G_IDX_2027,$DB$13))))</f>
        <v>0.033</v>
      </c>
      <c r="DE512" s="8">
        <f>$DB$20*(1+G_HI)^(DB512-COST_DATE)</f>
        <v>1163.3215729927472</v>
      </c>
      <c r="DF512" s="8">
        <f>DF511*(1+DD512)</f>
        <v>1011.6529624984349</v>
      </c>
      <c r="DG512" s="8">
        <f>IF(DB512&lt;RULE_START,DF512,DG511*(1+G_HI))</f>
        <v>1177.9184162349595</v>
      </c>
      <c r="DH512" s="8">
        <f>IF(DB512&lt;RULE_START,DF512,IF(DI512=1,R_NF_2024*(1+G_HI)^(DB512-2024),DH511*(1+DD512)))</f>
        <v>1239.9175651041644</v>
      </c>
      <c r="DI512">
        <f>IF(AND(DB512&gt;=RULE_START,MOD(DB512-RULE_START,REBASE_YEARS)=0),1,0)</f>
        <v>1</v>
      </c>
      <c r="DJ512" s="8">
        <f>DF512*CAP_SHARE</f>
        <v>49.46712767377629</v>
      </c>
      <c r="DK512" s="8">
        <f>DG512*CAP_SHARE</f>
        <v>57.59706425539899</v>
      </c>
      <c r="DL512" s="8">
        <f>DH512*CAP_SHARE</f>
        <v>60.628657031249894</v>
      </c>
      <c r="DM512" s="8">
        <f>DF512-DJ512-DE512</f>
        <v>-201.13573816808855</v>
      </c>
      <c r="DN512" s="8">
        <f>DG512-DK512-DE512</f>
        <v>-43.00022101318655</v>
      </c>
      <c r="DO512" s="8">
        <f>DH512-DL512-DE512</f>
        <v>15.967335080167231</v>
      </c>
      <c r="DP512" s="8">
        <f>R_NF_2024*(1+G_HI)^(DB512-2024)</f>
        <v>1239.9175651041644</v>
      </c>
      <c r="DQ512" s="10">
        <f>1-DF512/DP512</f>
        <v>0.18409659563662462</v>
      </c>
      <c r="DR512" s="10">
        <f>CPI_2023/(IF(DB512-1=2023,CPI_2023,IF(DB512-1=2024,CPI_2024,IF(DB512-1=2025,CPI_2025,CPI_2025*(1+INFL)^(DB512-1-2025)))))</f>
        <v>0.5688950251348447</v>
      </c>
      <c r="DS512" s="8">
        <f>$DB$21*ABS($DB$11)*(DG512-DF512)/DF512</f>
        <v>16384.913526380842</v>
      </c>
      <c r="DT512" s="8">
        <f>$DB$21*ABS($DB$11)*(DH512-DF512)/DF512</f>
        <v>22494.725697831203</v>
      </c>
      <c r="DU512" s="13">
        <f>(DG512-DF512)*MCD_NF_DAYS*DR512-DS512*MCD_SHARE_FREED*R_WAIT_2023</f>
        <v>42384457.83486879</v>
      </c>
      <c r="DV512" s="13">
        <f>(DH512-DF512)*MCD_NF_DAYS*DR512-DT512*MCD_SHARE_FREED*R_WAIT_2023</f>
        <v>58189306.358656265</v>
      </c>
      <c r="DW512" s="10">
        <f>IF(AND(DB512&gt;=RULE_START,DC512=1),1/(1+$DB$12)^(DB512-RULE_START+1),0)</f>
        <v>0</v>
      </c>
      <c r="DX512">
        <f>IF(AND(DB512&gt;=RULE_START,DC512=1,DM512&lt;0),DB512,9999)</f>
        <v>9999</v>
      </c>
      <c r="DY512">
        <f>IF(AND(DB512&gt;=RULE_START,DC512=1,DN512&lt;0),DB512,9999)</f>
        <v>9999</v>
      </c>
      <c r="DZ512">
        <f>IF(AND(DB512&gt;=RULE_START,DC512=1,DO512&lt;0),DB512,9999)</f>
        <v>9999</v>
      </c>
      <c r="EB512" t="n">
        <v>2048</v>
      </c>
      <c r="EC512">
        <f>IF(EB512&lt;=RULE_START+$EB$38-1,1,0)</f>
        <v>0</v>
      </c>
      <c r="ED512" s="15">
        <f>IF(EB512=2024,G_IDX_2024,IF(EB512=2025,G_IDX_2025,IF(EB512=2026,G_IDX_2026,IF(EB512=2027,G_IDX_2027,$EB$13))))</f>
        <v>0.033</v>
      </c>
      <c r="EE512" s="8">
        <f>$EB$20*(1+G_HI)^(EB512-COST_DATE)</f>
        <v>1163.3215729927472</v>
      </c>
      <c r="EF512" s="8">
        <f>EF511*(1+ED512)</f>
        <v>1011.6529624984349</v>
      </c>
      <c r="EG512" s="8">
        <f>IF(EB512&lt;RULE_START,EF512,EG511*(1+G_HI))</f>
        <v>1177.9184162349595</v>
      </c>
      <c r="EH512" s="8">
        <f>IF(EB512&lt;RULE_START,EF512,IF(EI512=1,R_NF_2024*(1+G_HI)^(EB512-2024),EH511*(1+ED512)))</f>
        <v>1239.9175651041644</v>
      </c>
      <c r="EI512">
        <f>IF(AND(EB512&gt;=RULE_START,MOD(EB512-RULE_START,REBASE_YEARS)=0),1,0)</f>
        <v>1</v>
      </c>
      <c r="EJ512" s="8">
        <f>EF512*CAP_SHARE</f>
        <v>49.46712767377629</v>
      </c>
      <c r="EK512" s="8">
        <f>EG512*CAP_SHARE</f>
        <v>57.59706425539899</v>
      </c>
      <c r="EL512" s="8">
        <f>EH512*CAP_SHARE</f>
        <v>60.628657031249894</v>
      </c>
      <c r="EM512" s="8">
        <f>EF512-EJ512-EE512</f>
        <v>-201.13573816808855</v>
      </c>
      <c r="EN512" s="8">
        <f>EG512-EK512-EE512</f>
        <v>-43.00022101318655</v>
      </c>
      <c r="EO512" s="8">
        <f>EH512-EL512-EE512</f>
        <v>15.967335080167231</v>
      </c>
      <c r="EP512" s="8">
        <f>R_NF_2024*(1+G_HI)^(EB512-2024)</f>
        <v>1239.9175651041644</v>
      </c>
      <c r="EQ512" s="10">
        <f>1-EF512/EP512</f>
        <v>0.18409659563662462</v>
      </c>
      <c r="ER512" s="10">
        <f>CPI_2023/(IF(EB512-1=2023,CPI_2023,IF(EB512-1=2024,CPI_2024,IF(EB512-1=2025,CPI_2025,CPI_2025*(1+INFL)^(EB512-1-2025)))))</f>
        <v>0.5688950251348447</v>
      </c>
      <c r="ES512" s="8">
        <f>$EB$21*ABS($EB$11)*(EG512-EF512)/EF512</f>
        <v>16384.913526380842</v>
      </c>
      <c r="ET512" s="8">
        <f>$EB$21*ABS($EB$11)*(EH512-EF512)/EF512</f>
        <v>22494.725697831203</v>
      </c>
      <c r="EU512" s="13">
        <f>(EG512-EF512)*MCD_NF_DAYS*ER512-ES512*MCD_SHARE_FREED*R_WAIT_2023</f>
        <v>42384457.83486879</v>
      </c>
      <c r="EV512" s="13">
        <f>(EH512-EF512)*MCD_NF_DAYS*ER512-ET512*MCD_SHARE_FREED*R_WAIT_2023</f>
        <v>58189306.358656265</v>
      </c>
      <c r="EW512" s="10">
        <f>IF(AND(EB512&gt;=RULE_START,EC512=1),1/(1+$EB$12)^(EB512-RULE_START+1),0)</f>
        <v>0</v>
      </c>
      <c r="EX512">
        <f>IF(AND(EB512&gt;=RULE_START,EC512=1,EM512&lt;0),EB512,9999)</f>
        <v>9999</v>
      </c>
      <c r="EY512">
        <f>IF(AND(EB512&gt;=RULE_START,EC512=1,EN512&lt;0),EB512,9999)</f>
        <v>9999</v>
      </c>
      <c r="EZ512">
        <f>IF(AND(EB512&gt;=RULE_START,EC512=1,EO512&lt;0),EB512,9999)</f>
        <v>9999</v>
      </c>
      <c r="FB512" t="n">
        <v>2048</v>
      </c>
      <c r="FC512">
        <f>IF(FB512&lt;=RULE_START+$FB$38-1,1,0)</f>
        <v>0</v>
      </c>
      <c r="FD512" s="15">
        <f>IF(FB512=2024,G_IDX_2024,IF(FB512=2025,G_IDX_2025,IF(FB512=2026,G_IDX_2026,IF(FB512=2027,G_IDX_2027,$FB$13))))</f>
        <v>0.033</v>
      </c>
      <c r="FE512" s="8">
        <f>$FB$20*(1+G_HI)^(FB512-COST_DATE)</f>
        <v>1197.2118271154725</v>
      </c>
      <c r="FF512" s="8">
        <f>FF511*(1+FD512)</f>
        <v>1011.6529624984349</v>
      </c>
      <c r="FG512" s="8">
        <f>IF(FB512&lt;RULE_START,FF512,FG511*(1+G_HI))</f>
        <v>1177.9184162349595</v>
      </c>
      <c r="FH512" s="8">
        <f>IF(FB512&lt;RULE_START,FF512,IF(FI512=1,R_NF_2024*(1+G_HI)^(FB512-2024),FH511*(1+FD512)))</f>
        <v>1239.9175651041644</v>
      </c>
      <c r="FI512">
        <f>IF(AND(FB512&gt;=RULE_START,MOD(FB512-RULE_START,REBASE_YEARS)=0),1,0)</f>
        <v>1</v>
      </c>
      <c r="FJ512" s="8">
        <f>FF512*CAP_SHARE</f>
        <v>49.46712767377629</v>
      </c>
      <c r="FK512" s="8">
        <f>FG512*CAP_SHARE</f>
        <v>57.59706425539899</v>
      </c>
      <c r="FL512" s="8">
        <f>FH512*CAP_SHARE</f>
        <v>60.628657031249894</v>
      </c>
      <c r="FM512" s="8">
        <f>FF512-FJ512-FE512</f>
        <v>-235.02599229081386</v>
      </c>
      <c r="FN512" s="8">
        <f>FG512-FK512-FE512</f>
        <v>-76.89047513591186</v>
      </c>
      <c r="FO512" s="8">
        <f>FH512-FL512-FE512</f>
        <v>-17.922919042558078</v>
      </c>
      <c r="FP512" s="8">
        <f>R_NF_2024*(1+G_HI)^(FB512-2024)</f>
        <v>1239.9175651041644</v>
      </c>
      <c r="FQ512" s="10">
        <f>1-FF512/FP512</f>
        <v>0.18409659563662462</v>
      </c>
      <c r="FR512" s="10">
        <f>CPI_2023/(IF(FB512-1=2023,CPI_2023,IF(FB512-1=2024,CPI_2024,IF(FB512-1=2025,CPI_2025,CPI_2025*(1+INFL)^(FB512-1-2025)))))</f>
        <v>0.5688950251348447</v>
      </c>
      <c r="FS512" s="8">
        <f>$FB$21*ABS($FB$11)*(FG512-FF512)/FF512</f>
        <v>16384.913526380842</v>
      </c>
      <c r="FT512" s="8">
        <f>$FB$21*ABS($FB$11)*(FH512-FF512)/FF512</f>
        <v>22494.725697831203</v>
      </c>
      <c r="FU512" s="13">
        <f>(FG512-FF512)*MCD_NF_DAYS*FR512-FS512*MCD_SHARE_FREED*R_WAIT_2023</f>
        <v>42384457.83486879</v>
      </c>
      <c r="FV512" s="13">
        <f>(FH512-FF512)*MCD_NF_DAYS*FR512-FT512*MCD_SHARE_FREED*R_WAIT_2023</f>
        <v>58189306.358656265</v>
      </c>
      <c r="FW512" s="10">
        <f>IF(AND(FB512&gt;=RULE_START,FC512=1),1/(1+$FB$12)^(FB512-RULE_START+1),0)</f>
        <v>0</v>
      </c>
      <c r="FX512">
        <f>IF(AND(FB512&gt;=RULE_START,FC512=1,FM512&lt;0),FB512,9999)</f>
        <v>9999</v>
      </c>
      <c r="FY512">
        <f>IF(AND(FB512&gt;=RULE_START,FC512=1,FN512&lt;0),FB512,9999)</f>
        <v>9999</v>
      </c>
      <c r="FZ512">
        <f>IF(AND(FB512&gt;=RULE_START,FC512=1,FO512&lt;0),FB512,9999)</f>
        <v>9999</v>
      </c>
      <c r="GB512" t="n">
        <v>2048</v>
      </c>
      <c r="GC512">
        <f>IF(GB512&lt;=RULE_START+$GB$38-1,1,0)</f>
        <v>0</v>
      </c>
      <c r="GD512" s="15">
        <f>IF(GB512=2024,G_IDX_2024,IF(GB512=2025,G_IDX_2025,IF(GB512=2026,G_IDX_2026,IF(GB512=2027,G_IDX_2027,$GB$13))))</f>
        <v>0.033</v>
      </c>
      <c r="GE512" s="8">
        <f>$GB$20*(1+G_HI)^(GB512-COST_DATE)</f>
        <v>1163.3215729927472</v>
      </c>
      <c r="GF512" s="8">
        <f>GF511*(1+GD512)</f>
        <v>1011.6529624984349</v>
      </c>
      <c r="GG512" s="8">
        <f>IF(GB512&lt;RULE_START,GF512,GG511*(1+G_HI))</f>
        <v>1177.9184162349595</v>
      </c>
      <c r="GH512" s="8">
        <f>IF(GB512&lt;RULE_START,GF512,IF(GI512=1,R_NF_2024*(1+G_HI)^(GB512-2024),GH511*(1+GD512)))</f>
        <v>1239.9175651041644</v>
      </c>
      <c r="GI512">
        <f>IF(AND(GB512&gt;=RULE_START,MOD(GB512-RULE_START,REBASE_YEARS)=0),1,0)</f>
        <v>1</v>
      </c>
      <c r="GJ512" s="8">
        <f>GF512*CAP_SHARE</f>
        <v>49.46712767377629</v>
      </c>
      <c r="GK512" s="8">
        <f>GG512*CAP_SHARE</f>
        <v>57.59706425539899</v>
      </c>
      <c r="GL512" s="8">
        <f>GH512*CAP_SHARE</f>
        <v>60.628657031249894</v>
      </c>
      <c r="GM512" s="8">
        <f>GF512-GJ512-GE512</f>
        <v>-201.13573816808855</v>
      </c>
      <c r="GN512" s="8">
        <f>GG512-GK512-GE512</f>
        <v>-43.00022101318655</v>
      </c>
      <c r="GO512" s="8">
        <f>GH512-GL512-GE512</f>
        <v>15.967335080167231</v>
      </c>
      <c r="GP512" s="8">
        <f>R_NF_2024*(1+G_HI)^(GB512-2024)</f>
        <v>1239.9175651041644</v>
      </c>
      <c r="GQ512" s="10">
        <f>1-GF512/GP512</f>
        <v>0.18409659563662462</v>
      </c>
      <c r="GR512" s="10">
        <f>CPI_2023/(IF(GB512-1=2023,CPI_2023,IF(GB512-1=2024,CPI_2024,IF(GB512-1=2025,CPI_2025,CPI_2025*(1+INFL)^(GB512-1-2025)))))</f>
        <v>0.5688950251348447</v>
      </c>
      <c r="GS512" s="8">
        <f>$GB$21*ABS($GB$11)*(GG512-GF512)/GF512</f>
        <v>12368.151731607675</v>
      </c>
      <c r="GT512" s="8">
        <f>$GB$21*ABS($GB$11)*(GH512-GF512)/GF512</f>
        <v>16980.143358322897</v>
      </c>
      <c r="GU512" s="13">
        <f>(GG512-GF512)*MCD_NF_DAYS*GR512-GS512*MCD_SHARE_FREED*R_WAIT_2023</f>
        <v>44210954.66071032</v>
      </c>
      <c r="GV512" s="13">
        <f>(GH512-GF512)*MCD_NF_DAYS*GR512-GT512*MCD_SHARE_FREED*R_WAIT_2023</f>
        <v>60696890.2417883</v>
      </c>
      <c r="GW512" s="10">
        <f>IF(AND(GB512&gt;=RULE_START,GC512=1),1/(1+$GB$12)^(GB512-RULE_START+1),0)</f>
        <v>0</v>
      </c>
      <c r="GX512">
        <f>IF(AND(GB512&gt;=RULE_START,GC512=1,GM512&lt;0),GB512,9999)</f>
        <v>9999</v>
      </c>
      <c r="GY512">
        <f>IF(AND(GB512&gt;=RULE_START,GC512=1,GN512&lt;0),GB512,9999)</f>
        <v>9999</v>
      </c>
      <c r="GZ512">
        <f>IF(AND(GB512&gt;=RULE_START,GC512=1,GO512&lt;0),GB512,9999)</f>
        <v>9999</v>
      </c>
      <c r="HB512" t="n">
        <v>2048</v>
      </c>
      <c r="HC512">
        <f>IF(HB512&lt;=RULE_START+$HB$38-1,1,0)</f>
        <v>0</v>
      </c>
      <c r="HD512" s="15">
        <f>IF(HB512=2024,G_IDX_2024,IF(HB512=2025,G_IDX_2025,IF(HB512=2026,G_IDX_2026,IF(HB512=2027,G_IDX_2027,$HB$13))))</f>
        <v>0.033</v>
      </c>
      <c r="HE512" s="8">
        <f>$HB$20*(1+G_HI)^(HB512-COST_DATE)</f>
        <v>1163.3215729927472</v>
      </c>
      <c r="HF512" s="8">
        <f>HF511*(1+HD512)</f>
        <v>1011.6529624984349</v>
      </c>
      <c r="HG512" s="8">
        <f>IF(HB512&lt;RULE_START,HF512,HG511*(1+G_HI))</f>
        <v>1177.9184162349595</v>
      </c>
      <c r="HH512" s="8">
        <f>IF(HB512&lt;RULE_START,HF512,IF(HI512=1,R_NF_2024*(1+G_HI)^(HB512-2024),HH511*(1+HD512)))</f>
        <v>1239.9175651041644</v>
      </c>
      <c r="HI512">
        <f>IF(AND(HB512&gt;=RULE_START,MOD(HB512-RULE_START,REBASE_YEARS)=0),1,0)</f>
        <v>1</v>
      </c>
      <c r="HJ512" s="8">
        <f>HF512*CAP_SHARE</f>
        <v>49.46712767377629</v>
      </c>
      <c r="HK512" s="8">
        <f>HG512*CAP_SHARE</f>
        <v>57.59706425539899</v>
      </c>
      <c r="HL512" s="8">
        <f>HH512*CAP_SHARE</f>
        <v>60.628657031249894</v>
      </c>
      <c r="HM512" s="8">
        <f>HF512-HJ512-HE512</f>
        <v>-201.13573816808855</v>
      </c>
      <c r="HN512" s="8">
        <f>HG512-HK512-HE512</f>
        <v>-43.00022101318655</v>
      </c>
      <c r="HO512" s="8">
        <f>HH512-HL512-HE512</f>
        <v>15.967335080167231</v>
      </c>
      <c r="HP512" s="8">
        <f>R_NF_2024*(1+G_HI)^(HB512-2024)</f>
        <v>1239.9175651041644</v>
      </c>
      <c r="HQ512" s="10">
        <f>1-HF512/HP512</f>
        <v>0.18409659563662462</v>
      </c>
      <c r="HR512" s="10">
        <f>CPI_2023/(IF(HB512-1=2023,CPI_2023,IF(HB512-1=2024,CPI_2024,IF(HB512-1=2025,CPI_2025,CPI_2025*(1+INFL)^(HB512-1-2025)))))</f>
        <v>0.5688950251348447</v>
      </c>
      <c r="HS512" s="8">
        <f>$HB$21*ABS($HB$11)*(HG512-HF512)/HF512</f>
        <v>16384.913526380842</v>
      </c>
      <c r="HT512" s="8">
        <f>$HB$21*ABS($HB$11)*(HH512-HF512)/HF512</f>
        <v>22494.725697831203</v>
      </c>
      <c r="HU512" s="13">
        <f>(HG512-HF512)*MCD_NF_DAYS*HR512-HS512*MCD_SHARE_FREED*R_WAIT_2023</f>
        <v>42384457.83486879</v>
      </c>
      <c r="HV512" s="13">
        <f>(HH512-HF512)*MCD_NF_DAYS*HR512-HT512*MCD_SHARE_FREED*R_WAIT_2023</f>
        <v>58189306.358656265</v>
      </c>
      <c r="HW512" s="10">
        <f>IF(AND(HB512&gt;=RULE_START,HC512=1),1/(1+$HB$12)^(HB512-RULE_START+1),0)</f>
        <v>0</v>
      </c>
      <c r="HX512">
        <f>IF(AND(HB512&gt;=RULE_START,HC512=1,HM512&lt;0),HB512,9999)</f>
        <v>9999</v>
      </c>
      <c r="HY512">
        <f>IF(AND(HB512&gt;=RULE_START,HC512=1,HN512&lt;0),HB512,9999)</f>
        <v>9999</v>
      </c>
      <c r="HZ512">
        <f>IF(AND(HB512&gt;=RULE_START,HC512=1,HO512&lt;0),HB512,9999)</f>
        <v>9999</v>
      </c>
      <c r="IB512" t="n">
        <v>2048</v>
      </c>
      <c r="IC512">
        <f>IF(IB512&lt;=RULE_START+$IB$38-1,1,0)</f>
        <v>0</v>
      </c>
      <c r="ID512" s="15">
        <f>IF(IB512=2024,G_IDX_2024,IF(IB512=2025,G_IDX_2025,IF(IB512=2026,G_IDX_2026,IF(IB512=2027,G_IDX_2027,$IB$13))))</f>
        <v>0.033</v>
      </c>
      <c r="IE512" s="8">
        <f>$IB$20*(1+G_HI)^(IB512-COST_DATE)</f>
        <v>1163.3215729927472</v>
      </c>
      <c r="IF512" s="8">
        <f>IF511*(1+ID512)</f>
        <v>1011.6529624984349</v>
      </c>
      <c r="IG512" s="8">
        <f>IF(IB512&lt;RULE_START,IF512,IG511*(1+G_HI))</f>
        <v>1177.9184162349595</v>
      </c>
      <c r="IH512" s="8">
        <f>IF(IB512&lt;RULE_START,IF512,IF(II512=1,R_NF_2024*(1+G_HI)^(IB512-2024),IH511*(1+ID512)))</f>
        <v>1239.9175651041644</v>
      </c>
      <c r="II512">
        <f>IF(AND(IB512&gt;=RULE_START,MOD(IB512-RULE_START,REBASE_YEARS)=0),1,0)</f>
        <v>1</v>
      </c>
      <c r="IJ512" s="8">
        <f>IF512*CAP_SHARE</f>
        <v>49.46712767377629</v>
      </c>
      <c r="IK512" s="8">
        <f>IG512*CAP_SHARE</f>
        <v>57.59706425539899</v>
      </c>
      <c r="IL512" s="8">
        <f>IH512*CAP_SHARE</f>
        <v>60.628657031249894</v>
      </c>
      <c r="IM512" s="8">
        <f>IF512-IJ512-IE512</f>
        <v>-201.13573816808855</v>
      </c>
      <c r="IN512" s="8">
        <f>IG512-IK512-IE512</f>
        <v>-43.00022101318655</v>
      </c>
      <c r="IO512" s="8">
        <f>IH512-IL512-IE512</f>
        <v>15.967335080167231</v>
      </c>
      <c r="IP512" s="8">
        <f>R_NF_2024*(1+G_HI)^(IB512-2024)</f>
        <v>1239.9175651041644</v>
      </c>
      <c r="IQ512" s="10">
        <f>1-IF512/IP512</f>
        <v>0.18409659563662462</v>
      </c>
      <c r="IR512" s="10">
        <f>CPI_2023/(IF(IB512-1=2023,CPI_2023,IF(IB512-1=2024,CPI_2024,IF(IB512-1=2025,CPI_2025,CPI_2025*(1+INFL)^(IB512-1-2025)))))</f>
        <v>0.5688950251348447</v>
      </c>
      <c r="IS512" s="8">
        <f>$IB$21*ABS($IB$11)*(IG512-IF512)/IF512</f>
        <v>16384.913526380842</v>
      </c>
      <c r="IT512" s="8">
        <f>$IB$21*ABS($IB$11)*(IH512-IF512)/IF512</f>
        <v>22494.725697831203</v>
      </c>
      <c r="IU512" s="13">
        <f>(IG512-IF512)*MCD_NF_DAYS*IR512-IS512*MCD_SHARE_FREED*R_WAIT_2023</f>
        <v>42384457.83486879</v>
      </c>
      <c r="IV512" s="13">
        <f>(IH512-IF512)*MCD_NF_DAYS*IR512-IT512*MCD_SHARE_FREED*R_WAIT_2023</f>
        <v>58189306.358656265</v>
      </c>
      <c r="IW512" s="10">
        <f>IF(AND(IB512&gt;=RULE_START,IC512=1),1/(1+$IB$12)^(IB512-RULE_START+1),0)</f>
        <v>0</v>
      </c>
      <c r="IX512">
        <f>IF(AND(IB512&gt;=RULE_START,IC512=1,IM512&lt;0),IB512,9999)</f>
        <v>9999</v>
      </c>
      <c r="IY512">
        <f>IF(AND(IB512&gt;=RULE_START,IC512=1,IN512&lt;0),IB512,9999)</f>
        <v>9999</v>
      </c>
      <c r="IZ512">
        <f>IF(AND(IB512&gt;=RULE_START,IC512=1,IO512&lt;0),IB512,9999)</f>
        <v>9999</v>
      </c>
      <c r="JB512" t="n">
        <v>2048</v>
      </c>
      <c r="JC512">
        <f>IF(JB512&lt;=RULE_START+$JB$38-1,1,0)</f>
        <v>0</v>
      </c>
      <c r="JD512" s="15">
        <f>IF(JB512=2024,G_IDX_2024,IF(JB512=2025,G_IDX_2025,IF(JB512=2026,G_IDX_2026,IF(JB512=2027,G_IDX_2027,$JB$13))))</f>
        <v>0.03</v>
      </c>
      <c r="JE512" s="8">
        <f>$JB$20*(1+G_HI)^(JB512-COST_DATE)</f>
        <v>1163.3215729927472</v>
      </c>
      <c r="JF512" s="8">
        <f>JF511*(1+JD512)</f>
        <v>951.7141458982203</v>
      </c>
      <c r="JG512" s="8">
        <f>IF(JB512&lt;RULE_START,JF512,JG511*(1+G_HI))</f>
        <v>1177.9184162349595</v>
      </c>
      <c r="JH512" s="8">
        <f>IF(JB512&lt;RULE_START,JF512,IF(JI512=1,R_NF_2024*(1+G_HI)^(JB512-2024),JH511*(1+JD512)))</f>
        <v>1239.9175651041644</v>
      </c>
      <c r="JI512">
        <f>IF(AND(JB512&gt;=RULE_START,MOD(JB512-RULE_START,REBASE_YEARS)=0),1,0)</f>
        <v>1</v>
      </c>
      <c r="JJ512" s="8">
        <f>JF512*CAP_SHARE</f>
        <v>46.53627964259438</v>
      </c>
      <c r="JK512" s="8">
        <f>JG512*CAP_SHARE</f>
        <v>57.59706425539899</v>
      </c>
      <c r="JL512" s="8">
        <f>JH512*CAP_SHARE</f>
        <v>60.628657031249894</v>
      </c>
      <c r="JM512" s="8">
        <f>JF512-JJ512-JE512</f>
        <v>-258.1437067371213</v>
      </c>
      <c r="JN512" s="8">
        <f>JG512-JK512-JE512</f>
        <v>-43.00022101318655</v>
      </c>
      <c r="JO512" s="8">
        <f>JH512-JL512-JE512</f>
        <v>15.967335080167231</v>
      </c>
      <c r="JP512" s="8">
        <f>R_NF_2024*(1+G_HI)^(JB512-2024)</f>
        <v>1239.9175651041644</v>
      </c>
      <c r="JQ512" s="10">
        <f>1-JF512/JP512</f>
        <v>0.23243756465514087</v>
      </c>
      <c r="JR512" s="10">
        <f>CPI_2023/(IF(JB512-1=2023,CPI_2023,IF(JB512-1=2024,CPI_2024,IF(JB512-1=2025,CPI_2025,CPI_2025*(1+INFL)^(JB512-1-2025)))))</f>
        <v>0.5688950251348447</v>
      </c>
      <c r="JS512" s="8">
        <f>$JB$21*ABS($JB$11)*(JG512-JF512)/JF512</f>
        <v>23695.61387417402</v>
      </c>
      <c r="JT512" s="8">
        <f>$JB$21*ABS($JB$11)*(JH512-JF512)/JF512</f>
        <v>30190.221115430442</v>
      </c>
      <c r="JU512" s="13">
        <f>(JG512-JF512)*MCD_NF_DAYS*JR512-JS512*MCD_SHARE_FREED*R_WAIT_2023</f>
        <v>57025693.640229486</v>
      </c>
      <c r="JV512" s="13">
        <f>(JH512-JF512)*MCD_NF_DAYS*JR512-JT512*MCD_SHARE_FREED*R_WAIT_2023</f>
        <v>72655568.63819955</v>
      </c>
      <c r="JW512" s="10">
        <f>IF(AND(JB512&gt;=RULE_START,JC512=1),1/(1+$JB$12)^(JB512-RULE_START+1),0)</f>
        <v>0</v>
      </c>
      <c r="JX512">
        <f>IF(AND(JB512&gt;=RULE_START,JC512=1,JM512&lt;0),JB512,9999)</f>
        <v>9999</v>
      </c>
      <c r="JY512">
        <f>IF(AND(JB512&gt;=RULE_START,JC512=1,JN512&lt;0),JB512,9999)</f>
        <v>9999</v>
      </c>
      <c r="JZ512">
        <f>IF(AND(JB512&gt;=RULE_START,JC512=1,JO512&lt;0),JB512,9999)</f>
        <v>9999</v>
      </c>
      <c r="KB512" t="n">
        <v>2048</v>
      </c>
      <c r="KC512">
        <f>IF(KB512&lt;=RULE_START+$KB$38-1,1,0)</f>
        <v>0</v>
      </c>
      <c r="KD512" s="15">
        <f>IF(KB512=2024,G_IDX_2024,IF(KB512=2025,G_IDX_2025,IF(KB512=2026,G_IDX_2026,IF(KB512=2027,G_IDX_2027,$KB$13))))</f>
        <v>0.033</v>
      </c>
      <c r="KE512" s="8">
        <f>$KB$20*(1+G_HI)^(KB512-COST_DATE)</f>
        <v>1163.3215729927472</v>
      </c>
      <c r="KF512" s="8">
        <f>KF511*(1+KD512)</f>
        <v>1011.6529624984349</v>
      </c>
      <c r="KG512" s="8">
        <f>IF(KB512&lt;RULE_START,KF512,KG511*(1+G_HI))</f>
        <v>1177.9184162349595</v>
      </c>
      <c r="KH512" s="8">
        <f>IF(KB512&lt;RULE_START,KF512,IF(KI512=1,R_NF_2024*(1+G_HI)^(KB512-2024),KH511*(1+KD512)))</f>
        <v>1239.9175651041644</v>
      </c>
      <c r="KI512">
        <f>IF(AND(KB512&gt;=RULE_START,MOD(KB512-RULE_START,REBASE_YEARS)=0),1,0)</f>
        <v>1</v>
      </c>
      <c r="KJ512" s="8">
        <f>KF512*CAP_SHARE</f>
        <v>49.46712767377629</v>
      </c>
      <c r="KK512" s="8">
        <f>KG512*CAP_SHARE</f>
        <v>57.59706425539899</v>
      </c>
      <c r="KL512" s="8">
        <f>KH512*CAP_SHARE</f>
        <v>60.628657031249894</v>
      </c>
      <c r="KM512" s="8">
        <f>KF512-KJ512-KE512</f>
        <v>-201.13573816808855</v>
      </c>
      <c r="KN512" s="8">
        <f>KG512-KK512-KE512</f>
        <v>-43.00022101318655</v>
      </c>
      <c r="KO512" s="8">
        <f>KH512-KL512-KE512</f>
        <v>15.967335080167231</v>
      </c>
      <c r="KP512" s="8">
        <f>R_NF_2024*(1+G_HI)^(KB512-2024)</f>
        <v>1239.9175651041644</v>
      </c>
      <c r="KQ512" s="10">
        <f>1-KF512/KP512</f>
        <v>0.18409659563662462</v>
      </c>
      <c r="KR512" s="10">
        <f>CPI_2023/(IF(KB512-1=2023,CPI_2023,IF(KB512-1=2024,CPI_2024,IF(KB512-1=2025,CPI_2025,CPI_2025*(1+INFL)^(KB512-1-2025)))))</f>
        <v>0.5688950251348447</v>
      </c>
      <c r="KS512" s="8">
        <f>$KB$21*ABS($KB$11)*(KG512-KF512)/KF512</f>
        <v>16384.913526380842</v>
      </c>
      <c r="KT512" s="8">
        <f>$KB$21*ABS($KB$11)*(KH512-KF512)/KF512</f>
        <v>22494.725697831203</v>
      </c>
      <c r="KU512" s="13">
        <f>(KG512-KF512)*MCD_NF_DAYS*KR512-KS512*MCD_SHARE_FREED*R_WAIT_2023</f>
        <v>42384457.83486879</v>
      </c>
      <c r="KV512" s="13">
        <f>(KH512-KF512)*MCD_NF_DAYS*KR512-KT512*MCD_SHARE_FREED*R_WAIT_2023</f>
        <v>58189306.358656265</v>
      </c>
      <c r="KW512" s="10">
        <f>IF(AND(KB512&gt;=RULE_START,KC512=1),1/(1+$KB$12)^(KB512-RULE_START+1),0)</f>
        <v>0</v>
      </c>
      <c r="KX512">
        <f>IF(AND(KB512&gt;=RULE_START,KC512=1,KM512&lt;0),KB512,9999)</f>
        <v>9999</v>
      </c>
      <c r="KY512">
        <f>IF(AND(KB512&gt;=RULE_START,KC512=1,KN512&lt;0),KB512,9999)</f>
        <v>9999</v>
      </c>
      <c r="KZ512">
        <f>IF(AND(KB512&gt;=RULE_START,KC512=1,KO512&lt;0),KB512,9999)</f>
        <v>9999</v>
      </c>
      <c r="LB512" t="n">
        <v>2048</v>
      </c>
      <c r="LC512">
        <f>IF(LB512&lt;=RULE_START+$LB$38-1,1,0)</f>
        <v>0</v>
      </c>
      <c r="LD512" s="15">
        <f>IF(LB512=2024,G_IDX_2024,IF(LB512=2025,G_IDX_2025,IF(LB512=2026,G_IDX_2026,IF(LB512=2027,G_IDX_2027,$LB$13))))</f>
        <v>0.033</v>
      </c>
      <c r="LE512" s="8">
        <f>$LB$20*(1+G_HI)^(LB512-COST_DATE)</f>
        <v>1163.3215729927472</v>
      </c>
      <c r="LF512" s="8">
        <f>LF511*(1+LD512)</f>
        <v>1011.6529624984349</v>
      </c>
      <c r="LG512" s="8">
        <f>IF(LB512&lt;RULE_START,LF512,LG511*(1+G_HI))</f>
        <v>1177.9184162349595</v>
      </c>
      <c r="LH512" s="8">
        <f>IF(LB512&lt;RULE_START,LF512,IF(LI512=1,R_NF_2024*(1+G_HI)^(LB512-2024),LH511*(1+LD512)))</f>
        <v>1239.9175651041644</v>
      </c>
      <c r="LI512">
        <f>IF(AND(LB512&gt;=RULE_START,MOD(LB512-RULE_START,REBASE_YEARS)=0),1,0)</f>
        <v>1</v>
      </c>
      <c r="LJ512" s="8">
        <f>LF512*CAP_SHARE</f>
        <v>49.46712767377629</v>
      </c>
      <c r="LK512" s="8">
        <f>LG512*CAP_SHARE</f>
        <v>57.59706425539899</v>
      </c>
      <c r="LL512" s="8">
        <f>LH512*CAP_SHARE</f>
        <v>60.628657031249894</v>
      </c>
      <c r="LM512" s="8">
        <f>LF512-LJ512-LE512</f>
        <v>-201.13573816808855</v>
      </c>
      <c r="LN512" s="8">
        <f>LG512-LK512-LE512</f>
        <v>-43.00022101318655</v>
      </c>
      <c r="LO512" s="8">
        <f>LH512-LL512-LE512</f>
        <v>15.967335080167231</v>
      </c>
      <c r="LP512" s="8">
        <f>R_NF_2024*(1+G_HI)^(LB512-2024)</f>
        <v>1239.9175651041644</v>
      </c>
      <c r="LQ512" s="10">
        <f>1-LF512/LP512</f>
        <v>0.18409659563662462</v>
      </c>
      <c r="LR512" s="10">
        <f>CPI_2023/(IF(LB512-1=2023,CPI_2023,IF(LB512-1=2024,CPI_2024,IF(LB512-1=2025,CPI_2025,CPI_2025*(1+INFL)^(LB512-1-2025)))))</f>
        <v>0.5688950251348447</v>
      </c>
      <c r="LS512" s="8">
        <f>$LB$21*ABS($LB$11)*(LG512-LF512)/LF512</f>
        <v>16384.913526380842</v>
      </c>
      <c r="LT512" s="8">
        <f>$LB$21*ABS($LB$11)*(LH512-LF512)/LF512</f>
        <v>22494.725697831203</v>
      </c>
      <c r="LU512" s="13">
        <f>(LG512-LF512)*MCD_NF_DAYS*LR512-LS512*MCD_SHARE_FREED*R_WAIT_2023</f>
        <v>42384457.83486879</v>
      </c>
      <c r="LV512" s="13">
        <f>(LH512-LF512)*MCD_NF_DAYS*LR512-LT512*MCD_SHARE_FREED*R_WAIT_2023</f>
        <v>58189306.358656265</v>
      </c>
      <c r="LW512" s="10">
        <f>IF(AND(LB512&gt;=RULE_START,LC512=1),1/(1+$LB$12)^(LB512-RULE_START+1),0)</f>
        <v>0</v>
      </c>
      <c r="LX512">
        <f>IF(AND(LB512&gt;=RULE_START,LC512=1,LM512&lt;0),LB512,9999)</f>
        <v>9999</v>
      </c>
      <c r="LY512">
        <f>IF(AND(LB512&gt;=RULE_START,LC512=1,LN512&lt;0),LB512,9999)</f>
        <v>9999</v>
      </c>
      <c r="LZ512">
        <f>IF(AND(LB512&gt;=RULE_START,LC512=1,LO512&lt;0),LB512,9999)</f>
        <v>9999</v>
      </c>
      <c r="MB512" t="n">
        <v>2048</v>
      </c>
      <c r="MC512">
        <f>IF(MB512&lt;=RULE_START+$MB$38-1,1,0)</f>
        <v>0</v>
      </c>
      <c r="MD512" s="15">
        <f>IF(MB512=2024,G_IDX_2024,IF(MB512=2025,G_IDX_2025,IF(MB512=2026,G_IDX_2026,IF(MB512=2027,G_IDX_2027,$MB$13))))</f>
        <v>0.033</v>
      </c>
      <c r="ME512" s="8">
        <f>$MB$20*(1+G_HI)^(MB512-COST_DATE)</f>
        <v>1163.3215729927472</v>
      </c>
      <c r="MF512" s="8">
        <f>MF511*(1+MD512)</f>
        <v>1011.6529624984349</v>
      </c>
      <c r="MG512" s="8">
        <f>IF(MB512&lt;RULE_START,MF512,MG511*(1+G_HI))</f>
        <v>1177.9184162349595</v>
      </c>
      <c r="MH512" s="8">
        <f>IF(MB512&lt;RULE_START,MF512,IF(MI512=1,R_NF_2024*(1+G_HI)^(MB512-2024),MH511*(1+MD512)))</f>
        <v>1239.9175651041644</v>
      </c>
      <c r="MI512">
        <f>IF(AND(MB512&gt;=RULE_START,MOD(MB512-RULE_START,REBASE_YEARS)=0),1,0)</f>
        <v>1</v>
      </c>
      <c r="MJ512" s="8">
        <f>MF512*CAP_SHARE</f>
        <v>49.46712767377629</v>
      </c>
      <c r="MK512" s="8">
        <f>MG512*CAP_SHARE</f>
        <v>57.59706425539899</v>
      </c>
      <c r="ML512" s="8">
        <f>MH512*CAP_SHARE</f>
        <v>60.628657031249894</v>
      </c>
      <c r="MM512" s="8">
        <f>MF512-MJ512-ME512</f>
        <v>-201.13573816808855</v>
      </c>
      <c r="MN512" s="8">
        <f>MG512-MK512-ME512</f>
        <v>-43.00022101318655</v>
      </c>
      <c r="MO512" s="8">
        <f>MH512-ML512-ME512</f>
        <v>15.967335080167231</v>
      </c>
      <c r="MP512" s="8">
        <f>R_NF_2024*(1+G_HI)^(MB512-2024)</f>
        <v>1239.9175651041644</v>
      </c>
      <c r="MQ512" s="10">
        <f>1-MF512/MP512</f>
        <v>0.18409659563662462</v>
      </c>
      <c r="MR512" s="10">
        <f>CPI_2023/(IF(MB512-1=2023,CPI_2023,IF(MB512-1=2024,CPI_2024,IF(MB512-1=2025,CPI_2025,CPI_2025*(1+INFL)^(MB512-1-2025)))))</f>
        <v>0.5688950251348447</v>
      </c>
      <c r="MS512" s="8">
        <f>$MB$21*ABS($MB$11)*(MG512-MF512)/MF512</f>
        <v>12003.41764241742</v>
      </c>
      <c r="MT512" s="8">
        <f>$MB$21*ABS($MB$11)*(MH512-MF512)/MF512</f>
        <v>16479.402644874936</v>
      </c>
      <c r="MU512" s="13">
        <f>(MG512-MF512)*MCD_NF_DAYS*MR512-MS512*MCD_SHARE_FREED*R_WAIT_2023</f>
        <v>44376806.08288056</v>
      </c>
      <c r="MV512" s="13">
        <f>(MH512-MF512)*MCD_NF_DAYS*MR512-MT512*MCD_SHARE_FREED*R_WAIT_2023</f>
        <v>60924586.42354158</v>
      </c>
      <c r="MW512" s="10">
        <f>IF(AND(MB512&gt;=RULE_START,MC512=1),1/(1+$MB$12)^(MB512-RULE_START+1),0)</f>
        <v>0</v>
      </c>
      <c r="MX512">
        <f>IF(AND(MB512&gt;=RULE_START,MC512=1,MM512&lt;0),MB512,9999)</f>
        <v>9999</v>
      </c>
      <c r="MY512">
        <f>IF(AND(MB512&gt;=RULE_START,MC512=1,MN512&lt;0),MB512,9999)</f>
        <v>9999</v>
      </c>
      <c r="MZ512">
        <f>IF(AND(MB512&gt;=RULE_START,MC512=1,MO512&lt;0),MB512,9999)</f>
        <v>9999</v>
      </c>
      <c r="NB512" t="n">
        <v>2048</v>
      </c>
      <c r="NC512">
        <f>IF(NB512&lt;=RULE_START+$NB$38-1,1,0)</f>
        <v>0</v>
      </c>
      <c r="ND512" s="15">
        <f>IF(NB512=2024,G_IDX_2024,IF(NB512=2025,G_IDX_2025,IF(NB512=2026,G_IDX_2026,IF(NB512=2027,G_IDX_2027,$NB$13))))</f>
        <v>0.033</v>
      </c>
      <c r="NE512" s="8">
        <f>$NB$20*(1+G_HI)^(NB512-COST_DATE)</f>
        <v>1163.3215729927472</v>
      </c>
      <c r="NF512" s="8">
        <f>NF511*(1+ND512)</f>
        <v>1011.6529624984349</v>
      </c>
      <c r="NG512" s="8">
        <f>IF(NB512&lt;RULE_START,NF512,NG511*(1+G_HI))</f>
        <v>1177.9184162349595</v>
      </c>
      <c r="NH512" s="8">
        <f>IF(NB512&lt;RULE_START,NF512,IF(NI512=1,R_NF_2024*(1+G_HI)^(NB512-2024),NH511*(1+ND512)))</f>
        <v>1239.9175651041644</v>
      </c>
      <c r="NI512">
        <f>IF(AND(NB512&gt;=RULE_START,MOD(NB512-RULE_START,REBASE_YEARS)=0),1,0)</f>
        <v>1</v>
      </c>
      <c r="NJ512" s="8">
        <f>NF512*CAP_SHARE</f>
        <v>49.46712767377629</v>
      </c>
      <c r="NK512" s="8">
        <f>NG512*CAP_SHARE</f>
        <v>57.59706425539899</v>
      </c>
      <c r="NL512" s="8">
        <f>NH512*CAP_SHARE</f>
        <v>60.628657031249894</v>
      </c>
      <c r="NM512" s="8">
        <f>NF512-NJ512-NE512</f>
        <v>-201.13573816808855</v>
      </c>
      <c r="NN512" s="8">
        <f>NG512-NK512-NE512</f>
        <v>-43.00022101318655</v>
      </c>
      <c r="NO512" s="8">
        <f>NH512-NL512-NE512</f>
        <v>15.967335080167231</v>
      </c>
      <c r="NP512" s="8">
        <f>R_NF_2024*(1+G_HI)^(NB512-2024)</f>
        <v>1239.9175651041644</v>
      </c>
      <c r="NQ512" s="10">
        <f>1-NF512/NP512</f>
        <v>0.18409659563662462</v>
      </c>
      <c r="NR512" s="10">
        <f>CPI_2023/(IF(NB512-1=2023,CPI_2023,IF(NB512-1=2024,CPI_2024,IF(NB512-1=2025,CPI_2025,CPI_2025*(1+INFL)^(NB512-1-2025)))))</f>
        <v>0.5688950251348447</v>
      </c>
      <c r="NS512" s="8">
        <f>$NB$21*ABS($NB$11)*(NG512-NF512)/NF512</f>
        <v>16384.913526380842</v>
      </c>
      <c r="NT512" s="8">
        <f>$NB$21*ABS($NB$11)*(NH512-NF512)/NF512</f>
        <v>22494.725697831203</v>
      </c>
      <c r="NU512" s="13">
        <f>(NG512-NF512)*MCD_NF_DAYS*NR512-NS512*MCD_SHARE_FREED*R_WAIT_2023</f>
        <v>42384457.83486879</v>
      </c>
      <c r="NV512" s="13">
        <f>(NH512-NF512)*MCD_NF_DAYS*NR512-NT512*MCD_SHARE_FREED*R_WAIT_2023</f>
        <v>58189306.358656265</v>
      </c>
      <c r="NW512" s="10">
        <f>IF(AND(NB512&gt;=RULE_START,NC512=1),1/(1+$NB$12)^(NB512-RULE_START+1),0)</f>
        <v>0</v>
      </c>
      <c r="NX512">
        <f>IF(AND(NB512&gt;=RULE_START,NC512=1,NM512&lt;0),NB512,9999)</f>
        <v>9999</v>
      </c>
      <c r="NY512">
        <f>IF(AND(NB512&gt;=RULE_START,NC512=1,NN512&lt;0),NB512,9999)</f>
        <v>9999</v>
      </c>
      <c r="NZ512">
        <f>IF(AND(NB512&gt;=RULE_START,NC512=1,NO512&lt;0),NB512,9999)</f>
        <v>9999</v>
      </c>
      <c r="OB512" t="n">
        <v>2048</v>
      </c>
      <c r="OC512">
        <f>IF(OB512&lt;=RULE_START+$OB$38-1,1,0)</f>
        <v>0</v>
      </c>
      <c r="OD512" s="15">
        <f>IF(OB512=2024,G_IDX_2024,IF(OB512=2025,G_IDX_2025,IF(OB512=2026,G_IDX_2026,IF(OB512=2027,G_IDX_2027,$OB$13))))</f>
        <v>0.033</v>
      </c>
      <c r="OE512" s="8">
        <f>$OB$20*(1+G_HI)^(OB512-COST_DATE)</f>
        <v>1163.3215729927472</v>
      </c>
      <c r="OF512" s="8">
        <f>OF511*(1+OD512)</f>
        <v>1011.6529624984349</v>
      </c>
      <c r="OG512" s="8">
        <f>IF(OB512&lt;RULE_START,OF512,OG511*(1+G_HI))</f>
        <v>1177.9184162349595</v>
      </c>
      <c r="OH512" s="8">
        <f>IF(OB512&lt;RULE_START,OF512,IF(OI512=1,R_NF_2024*(1+G_HI)^(OB512-2024),OH511*(1+OD512)))</f>
        <v>1239.9175651041644</v>
      </c>
      <c r="OI512">
        <f>IF(AND(OB512&gt;=RULE_START,MOD(OB512-RULE_START,REBASE_YEARS)=0),1,0)</f>
        <v>1</v>
      </c>
      <c r="OJ512" s="8">
        <f>OF512*CAP_SHARE</f>
        <v>49.46712767377629</v>
      </c>
      <c r="OK512" s="8">
        <f>OG512*CAP_SHARE</f>
        <v>57.59706425539899</v>
      </c>
      <c r="OL512" s="8">
        <f>OH512*CAP_SHARE</f>
        <v>60.628657031249894</v>
      </c>
      <c r="OM512" s="8">
        <f>OF512-OJ512-OE512</f>
        <v>-201.13573816808855</v>
      </c>
      <c r="ON512" s="8">
        <f>OG512-OK512-OE512</f>
        <v>-43.00022101318655</v>
      </c>
      <c r="OO512" s="8">
        <f>OH512-OL512-OE512</f>
        <v>15.967335080167231</v>
      </c>
      <c r="OP512" s="8">
        <f>R_NF_2024*(1+G_HI)^(OB512-2024)</f>
        <v>1239.9175651041644</v>
      </c>
      <c r="OQ512" s="10">
        <f>1-OF512/OP512</f>
        <v>0.18409659563662462</v>
      </c>
      <c r="OR512" s="10">
        <f>CPI_2023/(IF(OB512-1=2023,CPI_2023,IF(OB512-1=2024,CPI_2024,IF(OB512-1=2025,CPI_2025,CPI_2025*(1+INFL)^(OB512-1-2025)))))</f>
        <v>0.5688950251348447</v>
      </c>
      <c r="OS512" s="8">
        <f>$OB$21*ABS($OB$11)*(OG512-OF512)/OF512</f>
        <v>16384.913526380842</v>
      </c>
      <c r="OT512" s="8">
        <f>$OB$21*ABS($OB$11)*(OH512-OF512)/OF512</f>
        <v>22494.725697831203</v>
      </c>
      <c r="OU512" s="13">
        <f>(OG512-OF512)*MCD_NF_DAYS*OR512-OS512*MCD_SHARE_FREED*R_WAIT_2023</f>
        <v>42384457.83486879</v>
      </c>
      <c r="OV512" s="13">
        <f>(OH512-OF512)*MCD_NF_DAYS*OR512-OT512*MCD_SHARE_FREED*R_WAIT_2023</f>
        <v>58189306.358656265</v>
      </c>
      <c r="OW512" s="10">
        <f>IF(AND(OB512&gt;=RULE_START,OC512=1),1/(1+$OB$12)^(OB512-RULE_START+1),0)</f>
        <v>0</v>
      </c>
      <c r="OX512">
        <f>IF(AND(OB512&gt;=RULE_START,OC512=1,OM512&lt;0),OB512,9999)</f>
        <v>9999</v>
      </c>
      <c r="OY512">
        <f>IF(AND(OB512&gt;=RULE_START,OC512=1,ON512&lt;0),OB512,9999)</f>
        <v>9999</v>
      </c>
      <c r="OZ512">
        <f>IF(AND(OB512&gt;=RULE_START,OC512=1,OO512&lt;0),OB512,9999)</f>
        <v>9999</v>
      </c>
    </row>
    <row r="513">
      <c r="B513" t="n">
        <v>2049</v>
      </c>
      <c r="C513">
        <f>IF(B513&lt;=RULE_START+$B$38-1,1,0)</f>
        <v>0</v>
      </c>
      <c r="D513" s="15">
        <f>IF(B513=2024,G_IDX_2024,IF(B513=2025,G_IDX_2025,IF(B513=2026,G_IDX_2026,IF(B513=2027,G_IDX_2027,$B$13))))</f>
        <v>0.033</v>
      </c>
      <c r="E513" s="8">
        <f>$B$20*(1+G_HI)^(B513-COST_DATE)</f>
        <v>1210.0516434462932</v>
      </c>
      <c r="F513" s="8">
        <f>F512*(1+D513)</f>
        <v>1045.0375102608832</v>
      </c>
      <c r="G513" s="8">
        <f>IF(B513&lt;RULE_START,F513,G512*(1+G_HI))</f>
        <v>1225.2348348908804</v>
      </c>
      <c r="H513" s="8">
        <f>IF(B513&lt;RULE_START,F513,IF(I513=1,R_NF_2024*(1+G_HI)^(B513-2024),H512*(1+D513)))</f>
        <v>1280.8348447526016</v>
      </c>
      <c r="I513">
        <f>IF(AND(B513&gt;=RULE_START,MOD(B513-RULE_START,REBASE_YEARS)=0),1,0)</f>
        <v>0</v>
      </c>
      <c r="J513" s="8">
        <f>F513*CAP_SHARE</f>
        <v>51.0995428870109</v>
      </c>
      <c r="K513" s="8">
        <f>G513*CAP_SHARE</f>
        <v>59.91071074236997</v>
      </c>
      <c r="L513" s="8">
        <f>H513*CAP_SHARE</f>
        <v>62.62940271328113</v>
      </c>
      <c r="M513" s="8">
        <f>F513-J513-E513</f>
        <v>-216.11367607242084</v>
      </c>
      <c r="N513" s="8">
        <f>G513-K513-E513</f>
        <v>-44.72751929778269</v>
      </c>
      <c r="O513" s="8">
        <f>H513-L513-E513</f>
        <v>8.153798593027432</v>
      </c>
      <c r="P513" s="8">
        <f>R_NF_2024*(1+G_HI)^(B513-2024)</f>
        <v>1289.7244598777631</v>
      </c>
      <c r="Q513" s="10">
        <f>1-F513/P513</f>
        <v>0.1897203295966572</v>
      </c>
      <c r="R513" s="10">
        <f>CPI_2023/(IF(B513-1=2023,CPI_2023,IF(B513-1=2024,CPI_2024,IF(B513-1=2025,CPI_2025,CPI_2025*(1+INFL)^(B513-1-2025)))))</f>
        <v>0.5562133605151004</v>
      </c>
      <c r="S513" s="8">
        <f>$B$21*ABS($B$11)*(G513-F513)/F513</f>
        <v>17190.56493056834</v>
      </c>
      <c r="T513" s="8">
        <f>$B$21*ABS($B$11)*(H513-F513)/F513</f>
        <v>22494.72569783119</v>
      </c>
      <c r="U513" s="13">
        <f>(G513-F513)*MCD_NF_DAYS*R513-S513*MCD_SHARE_FREED*R_WAIT_2023</f>
        <v>44989937.60743755</v>
      </c>
      <c r="V513" s="13">
        <f>(H513-F513)*MCD_NF_DAYS*R513-T513*MCD_SHARE_FREED*R_WAIT_2023</f>
        <v>58871614.15168154</v>
      </c>
      <c r="W513" s="10">
        <f>IF(AND(B513&gt;=RULE_START,C513=1),1/(1+$B$12)^(B513-RULE_START+1),0)</f>
        <v>0</v>
      </c>
      <c r="X513">
        <f>IF(AND(B513&gt;=RULE_START,C513=1,M513&lt;0),B513,9999)</f>
        <v>9999</v>
      </c>
      <c r="Y513">
        <f>IF(AND(B513&gt;=RULE_START,C513=1,N513&lt;0),B513,9999)</f>
        <v>9999</v>
      </c>
      <c r="Z513">
        <f>IF(AND(B513&gt;=RULE_START,C513=1,O513&lt;0),B513,9999)</f>
        <v>9999</v>
      </c>
      <c r="AB513" t="n">
        <v>2049</v>
      </c>
      <c r="AC513">
        <f>IF(AB513&lt;=RULE_START+$AB$38-1,1,0)</f>
        <v>0</v>
      </c>
      <c r="AD513" s="15">
        <f>IF(AB513=2024,G_IDX_2024,IF(AB513=2025,G_IDX_2025,IF(AB513=2026,G_IDX_2026,IF(AB513=2027,G_IDX_2027,$AB$13))))</f>
        <v>0.033</v>
      </c>
      <c r="AE513" s="8">
        <f>$AB$20*(1+G_HI)^(AB513-COST_DATE)</f>
        <v>1210.0516434462932</v>
      </c>
      <c r="AF513" s="8">
        <f>AF512*(1+AD513)</f>
        <v>1045.0375102608832</v>
      </c>
      <c r="AG513" s="8">
        <f>IF(AB513&lt;RULE_START,AF513,AG512*(1+G_HI))</f>
        <v>1225.2348348908804</v>
      </c>
      <c r="AH513" s="8">
        <f>IF(AB513&lt;RULE_START,AF513,IF(AI513=1,R_NF_2024*(1+G_HI)^(AB513-2024),AH512*(1+AD513)))</f>
        <v>1280.8348447526016</v>
      </c>
      <c r="AI513">
        <f>IF(AND(AB513&gt;=RULE_START,MOD(AB513-RULE_START,REBASE_YEARS)=0),1,0)</f>
        <v>0</v>
      </c>
      <c r="AJ513" s="8">
        <f>AF513*CAP_SHARE</f>
        <v>51.0995428870109</v>
      </c>
      <c r="AK513" s="8">
        <f>AG513*CAP_SHARE</f>
        <v>59.91071074236997</v>
      </c>
      <c r="AL513" s="8">
        <f>AH513*CAP_SHARE</f>
        <v>62.62940271328113</v>
      </c>
      <c r="AM513" s="8">
        <f>AF513-AJ513-AE513</f>
        <v>-216.11367607242084</v>
      </c>
      <c r="AN513" s="8">
        <f>AG513-AK513-AE513</f>
        <v>-44.72751929778269</v>
      </c>
      <c r="AO513" s="8">
        <f>AH513-AL513-AE513</f>
        <v>8.153798593027432</v>
      </c>
      <c r="AP513" s="8">
        <f>R_NF_2024*(1+G_HI)^(AB513-2024)</f>
        <v>1289.7244598777631</v>
      </c>
      <c r="AQ513" s="10">
        <f>1-AF513/AP513</f>
        <v>0.1897203295966572</v>
      </c>
      <c r="AR513" s="10">
        <f>CPI_2023/(IF(AB513-1=2023,CPI_2023,IF(AB513-1=2024,CPI_2024,IF(AB513-1=2025,CPI_2025,CPI_2025*(1+INFL)^(AB513-1-2025)))))</f>
        <v>0.5562133605151004</v>
      </c>
      <c r="AS513" s="8">
        <f>$AB$21*ABS($AB$11)*(AG513-AF513)/AF513</f>
        <v>17190.56493056834</v>
      </c>
      <c r="AT513" s="8">
        <f>$AB$21*ABS($AB$11)*(AH513-AF513)/AF513</f>
        <v>22494.72569783119</v>
      </c>
      <c r="AU513" s="13">
        <f>(AG513-AF513)*MCD_NF_DAYS*AR513-AS513*MCD_SHARE_FREED*R_WAIT_2023</f>
        <v>44989937.60743755</v>
      </c>
      <c r="AV513" s="13">
        <f>(AH513-AF513)*MCD_NF_DAYS*AR513-AT513*MCD_SHARE_FREED*R_WAIT_2023</f>
        <v>58871614.15168154</v>
      </c>
      <c r="AW513" s="10">
        <f>IF(AND(AB513&gt;=RULE_START,AC513=1),1/(1+$AB$12)^(AB513-RULE_START+1),0)</f>
        <v>0</v>
      </c>
      <c r="AX513">
        <f>IF(AND(AB513&gt;=RULE_START,AC513=1,AM513&lt;0),AB513,9999)</f>
        <v>9999</v>
      </c>
      <c r="AY513">
        <f>IF(AND(AB513&gt;=RULE_START,AC513=1,AN513&lt;0),AB513,9999)</f>
        <v>9999</v>
      </c>
      <c r="AZ513">
        <f>IF(AND(AB513&gt;=RULE_START,AC513=1,AO513&lt;0),AB513,9999)</f>
        <v>9999</v>
      </c>
      <c r="BB513" t="n">
        <v>2049</v>
      </c>
      <c r="BC513">
        <f>IF(BB513&lt;=RULE_START+$BB$38-1,1,0)</f>
        <v>0</v>
      </c>
      <c r="BD513" s="15">
        <f>IF(BB513=2024,G_IDX_2024,IF(BB513=2025,G_IDX_2025,IF(BB513=2026,G_IDX_2026,IF(BB513=2027,G_IDX_2027,$BB$13))))</f>
        <v>0.033</v>
      </c>
      <c r="BE513" s="8">
        <f>$BB$20*(1+G_HI)^(BB513-COST_DATE)</f>
        <v>1210.0516434462932</v>
      </c>
      <c r="BF513" s="8">
        <f>BF512*(1+BD513)</f>
        <v>1045.0375102608832</v>
      </c>
      <c r="BG513" s="8">
        <f>IF(BB513&lt;RULE_START,BF513,BG512*(1+G_HI))</f>
        <v>1225.2348348908804</v>
      </c>
      <c r="BH513" s="8">
        <f>IF(BB513&lt;RULE_START,BF513,IF(BI513=1,R_NF_2024*(1+G_HI)^(BB513-2024),BH512*(1+BD513)))</f>
        <v>1280.8348447526016</v>
      </c>
      <c r="BI513">
        <f>IF(AND(BB513&gt;=RULE_START,MOD(BB513-RULE_START,REBASE_YEARS)=0),1,0)</f>
        <v>0</v>
      </c>
      <c r="BJ513" s="8">
        <f>BF513*CAP_SHARE</f>
        <v>51.0995428870109</v>
      </c>
      <c r="BK513" s="8">
        <f>BG513*CAP_SHARE</f>
        <v>59.91071074236997</v>
      </c>
      <c r="BL513" s="8">
        <f>BH513*CAP_SHARE</f>
        <v>62.62940271328113</v>
      </c>
      <c r="BM513" s="8">
        <f>BF513-BJ513-BE513</f>
        <v>-216.11367607242084</v>
      </c>
      <c r="BN513" s="8">
        <f>BG513-BK513-BE513</f>
        <v>-44.72751929778269</v>
      </c>
      <c r="BO513" s="8">
        <f>BH513-BL513-BE513</f>
        <v>8.153798593027432</v>
      </c>
      <c r="BP513" s="8">
        <f>R_NF_2024*(1+G_HI)^(BB513-2024)</f>
        <v>1289.7244598777631</v>
      </c>
      <c r="BQ513" s="10">
        <f>1-BF513/BP513</f>
        <v>0.1897203295966572</v>
      </c>
      <c r="BR513" s="10">
        <f>CPI_2023/(IF(BB513-1=2023,CPI_2023,IF(BB513-1=2024,CPI_2024,IF(BB513-1=2025,CPI_2025,CPI_2025*(1+INFL)^(BB513-1-2025)))))</f>
        <v>0.5562133605151004</v>
      </c>
      <c r="BS513" s="8">
        <f>$BB$21*ABS($BB$11)*(BG513-BF513)/BF513</f>
        <v>17190.56493056834</v>
      </c>
      <c r="BT513" s="8">
        <f>$BB$21*ABS($BB$11)*(BH513-BF513)/BF513</f>
        <v>22494.72569783119</v>
      </c>
      <c r="BU513" s="13">
        <f>(BG513-BF513)*MCD_NF_DAYS*BR513-BS513*MCD_SHARE_FREED*R_WAIT_2023</f>
        <v>44989937.60743755</v>
      </c>
      <c r="BV513" s="13">
        <f>(BH513-BF513)*MCD_NF_DAYS*BR513-BT513*MCD_SHARE_FREED*R_WAIT_2023</f>
        <v>58871614.15168154</v>
      </c>
      <c r="BW513" s="10">
        <f>IF(AND(BB513&gt;=RULE_START,BC513=1),1/(1+$BB$12)^(BB513-RULE_START+1),0)</f>
        <v>0</v>
      </c>
      <c r="BX513">
        <f>IF(AND(BB513&gt;=RULE_START,BC513=1,BM513&lt;0),BB513,9999)</f>
        <v>9999</v>
      </c>
      <c r="BY513">
        <f>IF(AND(BB513&gt;=RULE_START,BC513=1,BN513&lt;0),BB513,9999)</f>
        <v>9999</v>
      </c>
      <c r="BZ513">
        <f>IF(AND(BB513&gt;=RULE_START,BC513=1,BO513&lt;0),BB513,9999)</f>
        <v>9999</v>
      </c>
      <c r="CB513" t="n">
        <v>2049</v>
      </c>
      <c r="CC513">
        <f>IF(CB513&lt;=RULE_START+$CB$38-1,1,0)</f>
        <v>1</v>
      </c>
      <c r="CD513" s="15">
        <f>IF(CB513=2024,G_IDX_2024,IF(CB513=2025,G_IDX_2025,IF(CB513=2026,G_IDX_2026,IF(CB513=2027,G_IDX_2027,$CB$13))))</f>
        <v>0.033</v>
      </c>
      <c r="CE513" s="8">
        <f>$CB$20*(1+G_HI)^(CB513-COST_DATE)</f>
        <v>1210.0516434462932</v>
      </c>
      <c r="CF513" s="8">
        <f>CF512*(1+CD513)</f>
        <v>1045.0375102608832</v>
      </c>
      <c r="CG513" s="8">
        <f>IF(CB513&lt;RULE_START,CF513,CG512*(1+G_HI))</f>
        <v>1225.2348348908804</v>
      </c>
      <c r="CH513" s="8">
        <f>IF(CB513&lt;RULE_START,CF513,IF(CI513=1,R_NF_2024*(1+G_HI)^(CB513-2024),CH512*(1+CD513)))</f>
        <v>1280.8348447526016</v>
      </c>
      <c r="CI513">
        <f>IF(AND(CB513&gt;=RULE_START,MOD(CB513-RULE_START,REBASE_YEARS)=0),1,0)</f>
        <v>0</v>
      </c>
      <c r="CJ513" s="8">
        <f>CF513*CAP_SHARE</f>
        <v>51.0995428870109</v>
      </c>
      <c r="CK513" s="8">
        <f>CG513*CAP_SHARE</f>
        <v>59.91071074236997</v>
      </c>
      <c r="CL513" s="8">
        <f>CH513*CAP_SHARE</f>
        <v>62.62940271328113</v>
      </c>
      <c r="CM513" s="8">
        <f>CF513-CJ513-CE513</f>
        <v>-216.11367607242084</v>
      </c>
      <c r="CN513" s="8">
        <f>CG513-CK513-CE513</f>
        <v>-44.72751929778269</v>
      </c>
      <c r="CO513" s="8">
        <f>CH513-CL513-CE513</f>
        <v>8.153798593027432</v>
      </c>
      <c r="CP513" s="8">
        <f>R_NF_2024*(1+G_HI)^(CB513-2024)</f>
        <v>1289.7244598777631</v>
      </c>
      <c r="CQ513" s="10">
        <f>1-CF513/CP513</f>
        <v>0.1897203295966572</v>
      </c>
      <c r="CR513" s="10">
        <f>CPI_2023/(IF(CB513-1=2023,CPI_2023,IF(CB513-1=2024,CPI_2024,IF(CB513-1=2025,CPI_2025,CPI_2025*(1+INFL)^(CB513-1-2025)))))</f>
        <v>0.5562133605151004</v>
      </c>
      <c r="CS513" s="8">
        <f>$CB$21*ABS($CB$11)*(CG513-CF513)/CF513</f>
        <v>17190.56493056834</v>
      </c>
      <c r="CT513" s="8">
        <f>$CB$21*ABS($CB$11)*(CH513-CF513)/CF513</f>
        <v>22494.72569783119</v>
      </c>
      <c r="CU513" s="13">
        <f>(CG513-CF513)*MCD_NF_DAYS*CR513-CS513*MCD_SHARE_FREED*R_WAIT_2023</f>
        <v>44989937.60743755</v>
      </c>
      <c r="CV513" s="13">
        <f>(CH513-CF513)*MCD_NF_DAYS*CR513-CT513*MCD_SHARE_FREED*R_WAIT_2023</f>
        <v>58871614.15168154</v>
      </c>
      <c r="CW513" s="10">
        <f>IF(AND(CB513&gt;=RULE_START,CC513=1),1/(1+$CB$12)^(CB513-RULE_START+1),0)</f>
        <v>0.6341559176976214</v>
      </c>
      <c r="CX513">
        <f>IF(AND(CB513&gt;=RULE_START,CC513=1,CM513&lt;0),CB513,9999)</f>
        <v>2049</v>
      </c>
      <c r="CY513">
        <f>IF(AND(CB513&gt;=RULE_START,CC513=1,CN513&lt;0),CB513,9999)</f>
        <v>2049</v>
      </c>
      <c r="CZ513">
        <f>IF(AND(CB513&gt;=RULE_START,CC513=1,CO513&lt;0),CB513,9999)</f>
        <v>9999</v>
      </c>
      <c r="DB513" t="n">
        <v>2049</v>
      </c>
      <c r="DC513">
        <f>IF(DB513&lt;=RULE_START+$DB$38-1,1,0)</f>
        <v>0</v>
      </c>
      <c r="DD513" s="15">
        <f>IF(DB513=2024,G_IDX_2024,IF(DB513=2025,G_IDX_2025,IF(DB513=2026,G_IDX_2026,IF(DB513=2027,G_IDX_2027,$DB$13))))</f>
        <v>0.033</v>
      </c>
      <c r="DE513" s="8">
        <f>$DB$20*(1+G_HI)^(DB513-COST_DATE)</f>
        <v>1210.0516434462932</v>
      </c>
      <c r="DF513" s="8">
        <f>DF512*(1+DD513)</f>
        <v>1045.0375102608832</v>
      </c>
      <c r="DG513" s="8">
        <f>IF(DB513&lt;RULE_START,DF513,DG512*(1+G_HI))</f>
        <v>1225.2348348908804</v>
      </c>
      <c r="DH513" s="8">
        <f>IF(DB513&lt;RULE_START,DF513,IF(DI513=1,R_NF_2024*(1+G_HI)^(DB513-2024),DH512*(1+DD513)))</f>
        <v>1280.8348447526016</v>
      </c>
      <c r="DI513">
        <f>IF(AND(DB513&gt;=RULE_START,MOD(DB513-RULE_START,REBASE_YEARS)=0),1,0)</f>
        <v>0</v>
      </c>
      <c r="DJ513" s="8">
        <f>DF513*CAP_SHARE</f>
        <v>51.0995428870109</v>
      </c>
      <c r="DK513" s="8">
        <f>DG513*CAP_SHARE</f>
        <v>59.91071074236997</v>
      </c>
      <c r="DL513" s="8">
        <f>DH513*CAP_SHARE</f>
        <v>62.62940271328113</v>
      </c>
      <c r="DM513" s="8">
        <f>DF513-DJ513-DE513</f>
        <v>-216.11367607242084</v>
      </c>
      <c r="DN513" s="8">
        <f>DG513-DK513-DE513</f>
        <v>-44.72751929778269</v>
      </c>
      <c r="DO513" s="8">
        <f>DH513-DL513-DE513</f>
        <v>8.153798593027432</v>
      </c>
      <c r="DP513" s="8">
        <f>R_NF_2024*(1+G_HI)^(DB513-2024)</f>
        <v>1289.7244598777631</v>
      </c>
      <c r="DQ513" s="10">
        <f>1-DF513/DP513</f>
        <v>0.1897203295966572</v>
      </c>
      <c r="DR513" s="10">
        <f>CPI_2023/(IF(DB513-1=2023,CPI_2023,IF(DB513-1=2024,CPI_2024,IF(DB513-1=2025,CPI_2025,CPI_2025*(1+INFL)^(DB513-1-2025)))))</f>
        <v>0.5562133605151004</v>
      </c>
      <c r="DS513" s="8">
        <f>$DB$21*ABS($DB$11)*(DG513-DF513)/DF513</f>
        <v>17190.56493056834</v>
      </c>
      <c r="DT513" s="8">
        <f>$DB$21*ABS($DB$11)*(DH513-DF513)/DF513</f>
        <v>22494.72569783119</v>
      </c>
      <c r="DU513" s="13">
        <f>(DG513-DF513)*MCD_NF_DAYS*DR513-DS513*MCD_SHARE_FREED*R_WAIT_2023</f>
        <v>44989937.60743755</v>
      </c>
      <c r="DV513" s="13">
        <f>(DH513-DF513)*MCD_NF_DAYS*DR513-DT513*MCD_SHARE_FREED*R_WAIT_2023</f>
        <v>58871614.15168154</v>
      </c>
      <c r="DW513" s="10">
        <f>IF(AND(DB513&gt;=RULE_START,DC513=1),1/(1+$DB$12)^(DB513-RULE_START+1),0)</f>
        <v>0</v>
      </c>
      <c r="DX513">
        <f>IF(AND(DB513&gt;=RULE_START,DC513=1,DM513&lt;0),DB513,9999)</f>
        <v>9999</v>
      </c>
      <c r="DY513">
        <f>IF(AND(DB513&gt;=RULE_START,DC513=1,DN513&lt;0),DB513,9999)</f>
        <v>9999</v>
      </c>
      <c r="DZ513">
        <f>IF(AND(DB513&gt;=RULE_START,DC513=1,DO513&lt;0),DB513,9999)</f>
        <v>9999</v>
      </c>
      <c r="EB513" t="n">
        <v>2049</v>
      </c>
      <c r="EC513">
        <f>IF(EB513&lt;=RULE_START+$EB$38-1,1,0)</f>
        <v>0</v>
      </c>
      <c r="ED513" s="15">
        <f>IF(EB513=2024,G_IDX_2024,IF(EB513=2025,G_IDX_2025,IF(EB513=2026,G_IDX_2026,IF(EB513=2027,G_IDX_2027,$EB$13))))</f>
        <v>0.033</v>
      </c>
      <c r="EE513" s="8">
        <f>$EB$20*(1+G_HI)^(EB513-COST_DATE)</f>
        <v>1210.0516434462932</v>
      </c>
      <c r="EF513" s="8">
        <f>EF512*(1+ED513)</f>
        <v>1045.0375102608832</v>
      </c>
      <c r="EG513" s="8">
        <f>IF(EB513&lt;RULE_START,EF513,EG512*(1+G_HI))</f>
        <v>1225.2348348908804</v>
      </c>
      <c r="EH513" s="8">
        <f>IF(EB513&lt;RULE_START,EF513,IF(EI513=1,R_NF_2024*(1+G_HI)^(EB513-2024),EH512*(1+ED513)))</f>
        <v>1280.8348447526016</v>
      </c>
      <c r="EI513">
        <f>IF(AND(EB513&gt;=RULE_START,MOD(EB513-RULE_START,REBASE_YEARS)=0),1,0)</f>
        <v>0</v>
      </c>
      <c r="EJ513" s="8">
        <f>EF513*CAP_SHARE</f>
        <v>51.0995428870109</v>
      </c>
      <c r="EK513" s="8">
        <f>EG513*CAP_SHARE</f>
        <v>59.91071074236997</v>
      </c>
      <c r="EL513" s="8">
        <f>EH513*CAP_SHARE</f>
        <v>62.62940271328113</v>
      </c>
      <c r="EM513" s="8">
        <f>EF513-EJ513-EE513</f>
        <v>-216.11367607242084</v>
      </c>
      <c r="EN513" s="8">
        <f>EG513-EK513-EE513</f>
        <v>-44.72751929778269</v>
      </c>
      <c r="EO513" s="8">
        <f>EH513-EL513-EE513</f>
        <v>8.153798593027432</v>
      </c>
      <c r="EP513" s="8">
        <f>R_NF_2024*(1+G_HI)^(EB513-2024)</f>
        <v>1289.7244598777631</v>
      </c>
      <c r="EQ513" s="10">
        <f>1-EF513/EP513</f>
        <v>0.1897203295966572</v>
      </c>
      <c r="ER513" s="10">
        <f>CPI_2023/(IF(EB513-1=2023,CPI_2023,IF(EB513-1=2024,CPI_2024,IF(EB513-1=2025,CPI_2025,CPI_2025*(1+INFL)^(EB513-1-2025)))))</f>
        <v>0.5562133605151004</v>
      </c>
      <c r="ES513" s="8">
        <f>$EB$21*ABS($EB$11)*(EG513-EF513)/EF513</f>
        <v>17190.56493056834</v>
      </c>
      <c r="ET513" s="8">
        <f>$EB$21*ABS($EB$11)*(EH513-EF513)/EF513</f>
        <v>22494.72569783119</v>
      </c>
      <c r="EU513" s="13">
        <f>(EG513-EF513)*MCD_NF_DAYS*ER513-ES513*MCD_SHARE_FREED*R_WAIT_2023</f>
        <v>44989937.60743755</v>
      </c>
      <c r="EV513" s="13">
        <f>(EH513-EF513)*MCD_NF_DAYS*ER513-ET513*MCD_SHARE_FREED*R_WAIT_2023</f>
        <v>58871614.15168154</v>
      </c>
      <c r="EW513" s="10">
        <f>IF(AND(EB513&gt;=RULE_START,EC513=1),1/(1+$EB$12)^(EB513-RULE_START+1),0)</f>
        <v>0</v>
      </c>
      <c r="EX513">
        <f>IF(AND(EB513&gt;=RULE_START,EC513=1,EM513&lt;0),EB513,9999)</f>
        <v>9999</v>
      </c>
      <c r="EY513">
        <f>IF(AND(EB513&gt;=RULE_START,EC513=1,EN513&lt;0),EB513,9999)</f>
        <v>9999</v>
      </c>
      <c r="EZ513">
        <f>IF(AND(EB513&gt;=RULE_START,EC513=1,EO513&lt;0),EB513,9999)</f>
        <v>9999</v>
      </c>
      <c r="FB513" t="n">
        <v>2049</v>
      </c>
      <c r="FC513">
        <f>IF(FB513&lt;=RULE_START+$FB$38-1,1,0)</f>
        <v>0</v>
      </c>
      <c r="FD513" s="15">
        <f>IF(FB513=2024,G_IDX_2024,IF(FB513=2025,G_IDX_2025,IF(FB513=2026,G_IDX_2026,IF(FB513=2027,G_IDX_2027,$FB$13))))</f>
        <v>0.033</v>
      </c>
      <c r="FE513" s="8">
        <f>$FB$20*(1+G_HI)^(FB513-COST_DATE)</f>
        <v>1245.303252846536</v>
      </c>
      <c r="FF513" s="8">
        <f>FF512*(1+FD513)</f>
        <v>1045.0375102608832</v>
      </c>
      <c r="FG513" s="8">
        <f>IF(FB513&lt;RULE_START,FF513,FG512*(1+G_HI))</f>
        <v>1225.2348348908804</v>
      </c>
      <c r="FH513" s="8">
        <f>IF(FB513&lt;RULE_START,FF513,IF(FI513=1,R_NF_2024*(1+G_HI)^(FB513-2024),FH512*(1+FD513)))</f>
        <v>1280.8348447526016</v>
      </c>
      <c r="FI513">
        <f>IF(AND(FB513&gt;=RULE_START,MOD(FB513-RULE_START,REBASE_YEARS)=0),1,0)</f>
        <v>0</v>
      </c>
      <c r="FJ513" s="8">
        <f>FF513*CAP_SHARE</f>
        <v>51.0995428870109</v>
      </c>
      <c r="FK513" s="8">
        <f>FG513*CAP_SHARE</f>
        <v>59.91071074236997</v>
      </c>
      <c r="FL513" s="8">
        <f>FH513*CAP_SHARE</f>
        <v>62.62940271328113</v>
      </c>
      <c r="FM513" s="8">
        <f>FF513-FJ513-FE513</f>
        <v>-251.3652854726637</v>
      </c>
      <c r="FN513" s="8">
        <f>FG513-FK513-FE513</f>
        <v>-79.97912869802553</v>
      </c>
      <c r="FO513" s="8">
        <f>FH513-FL513-FE513</f>
        <v>-27.09781080721541</v>
      </c>
      <c r="FP513" s="8">
        <f>R_NF_2024*(1+G_HI)^(FB513-2024)</f>
        <v>1289.7244598777631</v>
      </c>
      <c r="FQ513" s="10">
        <f>1-FF513/FP513</f>
        <v>0.1897203295966572</v>
      </c>
      <c r="FR513" s="10">
        <f>CPI_2023/(IF(FB513-1=2023,CPI_2023,IF(FB513-1=2024,CPI_2024,IF(FB513-1=2025,CPI_2025,CPI_2025*(1+INFL)^(FB513-1-2025)))))</f>
        <v>0.5562133605151004</v>
      </c>
      <c r="FS513" s="8">
        <f>$FB$21*ABS($FB$11)*(FG513-FF513)/FF513</f>
        <v>17190.56493056834</v>
      </c>
      <c r="FT513" s="8">
        <f>$FB$21*ABS($FB$11)*(FH513-FF513)/FF513</f>
        <v>22494.72569783119</v>
      </c>
      <c r="FU513" s="13">
        <f>(FG513-FF513)*MCD_NF_DAYS*FR513-FS513*MCD_SHARE_FREED*R_WAIT_2023</f>
        <v>44989937.60743755</v>
      </c>
      <c r="FV513" s="13">
        <f>(FH513-FF513)*MCD_NF_DAYS*FR513-FT513*MCD_SHARE_FREED*R_WAIT_2023</f>
        <v>58871614.15168154</v>
      </c>
      <c r="FW513" s="10">
        <f>IF(AND(FB513&gt;=RULE_START,FC513=1),1/(1+$FB$12)^(FB513-RULE_START+1),0)</f>
        <v>0</v>
      </c>
      <c r="FX513">
        <f>IF(AND(FB513&gt;=RULE_START,FC513=1,FM513&lt;0),FB513,9999)</f>
        <v>9999</v>
      </c>
      <c r="FY513">
        <f>IF(AND(FB513&gt;=RULE_START,FC513=1,FN513&lt;0),FB513,9999)</f>
        <v>9999</v>
      </c>
      <c r="FZ513">
        <f>IF(AND(FB513&gt;=RULE_START,FC513=1,FO513&lt;0),FB513,9999)</f>
        <v>9999</v>
      </c>
      <c r="GB513" t="n">
        <v>2049</v>
      </c>
      <c r="GC513">
        <f>IF(GB513&lt;=RULE_START+$GB$38-1,1,0)</f>
        <v>0</v>
      </c>
      <c r="GD513" s="15">
        <f>IF(GB513=2024,G_IDX_2024,IF(GB513=2025,G_IDX_2025,IF(GB513=2026,G_IDX_2026,IF(GB513=2027,G_IDX_2027,$GB$13))))</f>
        <v>0.033</v>
      </c>
      <c r="GE513" s="8">
        <f>$GB$20*(1+G_HI)^(GB513-COST_DATE)</f>
        <v>1210.0516434462932</v>
      </c>
      <c r="GF513" s="8">
        <f>GF512*(1+GD513)</f>
        <v>1045.0375102608832</v>
      </c>
      <c r="GG513" s="8">
        <f>IF(GB513&lt;RULE_START,GF513,GG512*(1+G_HI))</f>
        <v>1225.2348348908804</v>
      </c>
      <c r="GH513" s="8">
        <f>IF(GB513&lt;RULE_START,GF513,IF(GI513=1,R_NF_2024*(1+G_HI)^(GB513-2024),GH512*(1+GD513)))</f>
        <v>1280.8348447526016</v>
      </c>
      <c r="GI513">
        <f>IF(AND(GB513&gt;=RULE_START,MOD(GB513-RULE_START,REBASE_YEARS)=0),1,0)</f>
        <v>0</v>
      </c>
      <c r="GJ513" s="8">
        <f>GF513*CAP_SHARE</f>
        <v>51.0995428870109</v>
      </c>
      <c r="GK513" s="8">
        <f>GG513*CAP_SHARE</f>
        <v>59.91071074236997</v>
      </c>
      <c r="GL513" s="8">
        <f>GH513*CAP_SHARE</f>
        <v>62.62940271328113</v>
      </c>
      <c r="GM513" s="8">
        <f>GF513-GJ513-GE513</f>
        <v>-216.11367607242084</v>
      </c>
      <c r="GN513" s="8">
        <f>GG513-GK513-GE513</f>
        <v>-44.72751929778269</v>
      </c>
      <c r="GO513" s="8">
        <f>GH513-GL513-GE513</f>
        <v>8.153798593027432</v>
      </c>
      <c r="GP513" s="8">
        <f>R_NF_2024*(1+G_HI)^(GB513-2024)</f>
        <v>1289.7244598777631</v>
      </c>
      <c r="GQ513" s="10">
        <f>1-GF513/GP513</f>
        <v>0.1897203295966572</v>
      </c>
      <c r="GR513" s="10">
        <f>CPI_2023/(IF(GB513-1=2023,CPI_2023,IF(GB513-1=2024,CPI_2024,IF(GB513-1=2025,CPI_2025,CPI_2025*(1+INFL)^(GB513-1-2025)))))</f>
        <v>0.5562133605151004</v>
      </c>
      <c r="GS513" s="8">
        <f>$GB$21*ABS($GB$11)*(GG513-GF513)/GF513</f>
        <v>12976.297682071823</v>
      </c>
      <c r="GT513" s="8">
        <f>$GB$21*ABS($GB$11)*(GH513-GF513)/GF513</f>
        <v>16980.14335832289</v>
      </c>
      <c r="GU513" s="13">
        <f>(GG513-GF513)*MCD_NF_DAYS*GR513-GS513*MCD_SHARE_FREED*R_WAIT_2023</f>
        <v>46906243.86255156</v>
      </c>
      <c r="GV513" s="13">
        <f>(GH513-GF513)*MCD_NF_DAYS*GR513-GT513*MCD_SHARE_FREED*R_WAIT_2023</f>
        <v>61379198.03481357</v>
      </c>
      <c r="GW513" s="10">
        <f>IF(AND(GB513&gt;=RULE_START,GC513=1),1/(1+$GB$12)^(GB513-RULE_START+1),0)</f>
        <v>0</v>
      </c>
      <c r="GX513">
        <f>IF(AND(GB513&gt;=RULE_START,GC513=1,GM513&lt;0),GB513,9999)</f>
        <v>9999</v>
      </c>
      <c r="GY513">
        <f>IF(AND(GB513&gt;=RULE_START,GC513=1,GN513&lt;0),GB513,9999)</f>
        <v>9999</v>
      </c>
      <c r="GZ513">
        <f>IF(AND(GB513&gt;=RULE_START,GC513=1,GO513&lt;0),GB513,9999)</f>
        <v>9999</v>
      </c>
      <c r="HB513" t="n">
        <v>2049</v>
      </c>
      <c r="HC513">
        <f>IF(HB513&lt;=RULE_START+$HB$38-1,1,0)</f>
        <v>0</v>
      </c>
      <c r="HD513" s="15">
        <f>IF(HB513=2024,G_IDX_2024,IF(HB513=2025,G_IDX_2025,IF(HB513=2026,G_IDX_2026,IF(HB513=2027,G_IDX_2027,$HB$13))))</f>
        <v>0.033</v>
      </c>
      <c r="HE513" s="8">
        <f>$HB$20*(1+G_HI)^(HB513-COST_DATE)</f>
        <v>1210.0516434462932</v>
      </c>
      <c r="HF513" s="8">
        <f>HF512*(1+HD513)</f>
        <v>1045.0375102608832</v>
      </c>
      <c r="HG513" s="8">
        <f>IF(HB513&lt;RULE_START,HF513,HG512*(1+G_HI))</f>
        <v>1225.2348348908804</v>
      </c>
      <c r="HH513" s="8">
        <f>IF(HB513&lt;RULE_START,HF513,IF(HI513=1,R_NF_2024*(1+G_HI)^(HB513-2024),HH512*(1+HD513)))</f>
        <v>1280.8348447526016</v>
      </c>
      <c r="HI513">
        <f>IF(AND(HB513&gt;=RULE_START,MOD(HB513-RULE_START,REBASE_YEARS)=0),1,0)</f>
        <v>0</v>
      </c>
      <c r="HJ513" s="8">
        <f>HF513*CAP_SHARE</f>
        <v>51.0995428870109</v>
      </c>
      <c r="HK513" s="8">
        <f>HG513*CAP_SHARE</f>
        <v>59.91071074236997</v>
      </c>
      <c r="HL513" s="8">
        <f>HH513*CAP_SHARE</f>
        <v>62.62940271328113</v>
      </c>
      <c r="HM513" s="8">
        <f>HF513-HJ513-HE513</f>
        <v>-216.11367607242084</v>
      </c>
      <c r="HN513" s="8">
        <f>HG513-HK513-HE513</f>
        <v>-44.72751929778269</v>
      </c>
      <c r="HO513" s="8">
        <f>HH513-HL513-HE513</f>
        <v>8.153798593027432</v>
      </c>
      <c r="HP513" s="8">
        <f>R_NF_2024*(1+G_HI)^(HB513-2024)</f>
        <v>1289.7244598777631</v>
      </c>
      <c r="HQ513" s="10">
        <f>1-HF513/HP513</f>
        <v>0.1897203295966572</v>
      </c>
      <c r="HR513" s="10">
        <f>CPI_2023/(IF(HB513-1=2023,CPI_2023,IF(HB513-1=2024,CPI_2024,IF(HB513-1=2025,CPI_2025,CPI_2025*(1+INFL)^(HB513-1-2025)))))</f>
        <v>0.5562133605151004</v>
      </c>
      <c r="HS513" s="8">
        <f>$HB$21*ABS($HB$11)*(HG513-HF513)/HF513</f>
        <v>17190.56493056834</v>
      </c>
      <c r="HT513" s="8">
        <f>$HB$21*ABS($HB$11)*(HH513-HF513)/HF513</f>
        <v>22494.72569783119</v>
      </c>
      <c r="HU513" s="13">
        <f>(HG513-HF513)*MCD_NF_DAYS*HR513-HS513*MCD_SHARE_FREED*R_WAIT_2023</f>
        <v>44989937.60743755</v>
      </c>
      <c r="HV513" s="13">
        <f>(HH513-HF513)*MCD_NF_DAYS*HR513-HT513*MCD_SHARE_FREED*R_WAIT_2023</f>
        <v>58871614.15168154</v>
      </c>
      <c r="HW513" s="10">
        <f>IF(AND(HB513&gt;=RULE_START,HC513=1),1/(1+$HB$12)^(HB513-RULE_START+1),0)</f>
        <v>0</v>
      </c>
      <c r="HX513">
        <f>IF(AND(HB513&gt;=RULE_START,HC513=1,HM513&lt;0),HB513,9999)</f>
        <v>9999</v>
      </c>
      <c r="HY513">
        <f>IF(AND(HB513&gt;=RULE_START,HC513=1,HN513&lt;0),HB513,9999)</f>
        <v>9999</v>
      </c>
      <c r="HZ513">
        <f>IF(AND(HB513&gt;=RULE_START,HC513=1,HO513&lt;0),HB513,9999)</f>
        <v>9999</v>
      </c>
      <c r="IB513" t="n">
        <v>2049</v>
      </c>
      <c r="IC513">
        <f>IF(IB513&lt;=RULE_START+$IB$38-1,1,0)</f>
        <v>0</v>
      </c>
      <c r="ID513" s="15">
        <f>IF(IB513=2024,G_IDX_2024,IF(IB513=2025,G_IDX_2025,IF(IB513=2026,G_IDX_2026,IF(IB513=2027,G_IDX_2027,$IB$13))))</f>
        <v>0.033</v>
      </c>
      <c r="IE513" s="8">
        <f>$IB$20*(1+G_HI)^(IB513-COST_DATE)</f>
        <v>1210.0516434462932</v>
      </c>
      <c r="IF513" s="8">
        <f>IF512*(1+ID513)</f>
        <v>1045.0375102608832</v>
      </c>
      <c r="IG513" s="8">
        <f>IF(IB513&lt;RULE_START,IF513,IG512*(1+G_HI))</f>
        <v>1225.2348348908804</v>
      </c>
      <c r="IH513" s="8">
        <f>IF(IB513&lt;RULE_START,IF513,IF(II513=1,R_NF_2024*(1+G_HI)^(IB513-2024),IH512*(1+ID513)))</f>
        <v>1280.8348447526016</v>
      </c>
      <c r="II513">
        <f>IF(AND(IB513&gt;=RULE_START,MOD(IB513-RULE_START,REBASE_YEARS)=0),1,0)</f>
        <v>0</v>
      </c>
      <c r="IJ513" s="8">
        <f>IF513*CAP_SHARE</f>
        <v>51.0995428870109</v>
      </c>
      <c r="IK513" s="8">
        <f>IG513*CAP_SHARE</f>
        <v>59.91071074236997</v>
      </c>
      <c r="IL513" s="8">
        <f>IH513*CAP_SHARE</f>
        <v>62.62940271328113</v>
      </c>
      <c r="IM513" s="8">
        <f>IF513-IJ513-IE513</f>
        <v>-216.11367607242084</v>
      </c>
      <c r="IN513" s="8">
        <f>IG513-IK513-IE513</f>
        <v>-44.72751929778269</v>
      </c>
      <c r="IO513" s="8">
        <f>IH513-IL513-IE513</f>
        <v>8.153798593027432</v>
      </c>
      <c r="IP513" s="8">
        <f>R_NF_2024*(1+G_HI)^(IB513-2024)</f>
        <v>1289.7244598777631</v>
      </c>
      <c r="IQ513" s="10">
        <f>1-IF513/IP513</f>
        <v>0.1897203295966572</v>
      </c>
      <c r="IR513" s="10">
        <f>CPI_2023/(IF(IB513-1=2023,CPI_2023,IF(IB513-1=2024,CPI_2024,IF(IB513-1=2025,CPI_2025,CPI_2025*(1+INFL)^(IB513-1-2025)))))</f>
        <v>0.5562133605151004</v>
      </c>
      <c r="IS513" s="8">
        <f>$IB$21*ABS($IB$11)*(IG513-IF513)/IF513</f>
        <v>17190.56493056834</v>
      </c>
      <c r="IT513" s="8">
        <f>$IB$21*ABS($IB$11)*(IH513-IF513)/IF513</f>
        <v>22494.72569783119</v>
      </c>
      <c r="IU513" s="13">
        <f>(IG513-IF513)*MCD_NF_DAYS*IR513-IS513*MCD_SHARE_FREED*R_WAIT_2023</f>
        <v>44989937.60743755</v>
      </c>
      <c r="IV513" s="13">
        <f>(IH513-IF513)*MCD_NF_DAYS*IR513-IT513*MCD_SHARE_FREED*R_WAIT_2023</f>
        <v>58871614.15168154</v>
      </c>
      <c r="IW513" s="10">
        <f>IF(AND(IB513&gt;=RULE_START,IC513=1),1/(1+$IB$12)^(IB513-RULE_START+1),0)</f>
        <v>0</v>
      </c>
      <c r="IX513">
        <f>IF(AND(IB513&gt;=RULE_START,IC513=1,IM513&lt;0),IB513,9999)</f>
        <v>9999</v>
      </c>
      <c r="IY513">
        <f>IF(AND(IB513&gt;=RULE_START,IC513=1,IN513&lt;0),IB513,9999)</f>
        <v>9999</v>
      </c>
      <c r="IZ513">
        <f>IF(AND(IB513&gt;=RULE_START,IC513=1,IO513&lt;0),IB513,9999)</f>
        <v>9999</v>
      </c>
      <c r="JB513" t="n">
        <v>2049</v>
      </c>
      <c r="JC513">
        <f>IF(JB513&lt;=RULE_START+$JB$38-1,1,0)</f>
        <v>0</v>
      </c>
      <c r="JD513" s="15">
        <f>IF(JB513=2024,G_IDX_2024,IF(JB513=2025,G_IDX_2025,IF(JB513=2026,G_IDX_2026,IF(JB513=2027,G_IDX_2027,$JB$13))))</f>
        <v>0.03</v>
      </c>
      <c r="JE513" s="8">
        <f>$JB$20*(1+G_HI)^(JB513-COST_DATE)</f>
        <v>1210.0516434462932</v>
      </c>
      <c r="JF513" s="8">
        <f>JF512*(1+JD513)</f>
        <v>980.265570275167</v>
      </c>
      <c r="JG513" s="8">
        <f>IF(JB513&lt;RULE_START,JF513,JG512*(1+G_HI))</f>
        <v>1225.2348348908804</v>
      </c>
      <c r="JH513" s="8">
        <f>IF(JB513&lt;RULE_START,JF513,IF(JI513=1,R_NF_2024*(1+G_HI)^(JB513-2024),JH512*(1+JD513)))</f>
        <v>1277.1150920572893</v>
      </c>
      <c r="JI513">
        <f>IF(AND(JB513&gt;=RULE_START,MOD(JB513-RULE_START,REBASE_YEARS)=0),1,0)</f>
        <v>0</v>
      </c>
      <c r="JJ513" s="8">
        <f>JF513*CAP_SHARE</f>
        <v>47.932368031872215</v>
      </c>
      <c r="JK513" s="8">
        <f>JG513*CAP_SHARE</f>
        <v>59.91071074236997</v>
      </c>
      <c r="JL513" s="8">
        <f>JH513*CAP_SHARE</f>
        <v>62.44751674218739</v>
      </c>
      <c r="JM513" s="8">
        <f>JF513-JJ513-JE513</f>
        <v>-277.7184412029984</v>
      </c>
      <c r="JN513" s="8">
        <f>JG513-JK513-JE513</f>
        <v>-44.72751929778269</v>
      </c>
      <c r="JO513" s="8">
        <f>JH513-JL513-JE513</f>
        <v>4.61593186880873</v>
      </c>
      <c r="JP513" s="8">
        <f>R_NF_2024*(1+G_HI)^(JB513-2024)</f>
        <v>1289.7244598777631</v>
      </c>
      <c r="JQ513" s="10">
        <f>1-JF513/JP513</f>
        <v>0.23994186295569353</v>
      </c>
      <c r="JR513" s="10">
        <f>CPI_2023/(IF(JB513-1=2023,CPI_2023,IF(JB513-1=2024,CPI_2024,IF(JB513-1=2025,CPI_2025,CPI_2025*(1+INFL)^(JB513-1-2025)))))</f>
        <v>0.5562133605151004</v>
      </c>
      <c r="JS513" s="8">
        <f>$JB$21*ABS($JB$11)*(JG513-JF513)/JF513</f>
        <v>24913.889774297688</v>
      </c>
      <c r="JT513" s="8">
        <f>$JB$21*ABS($JB$11)*(JH513-JF513)/JF513</f>
        <v>30190.221115430428</v>
      </c>
      <c r="JU513" s="13">
        <f>(JG513-JF513)*MCD_NF_DAYS*JR513-JS513*MCD_SHARE_FREED*R_WAIT_2023</f>
        <v>60459408.215573065</v>
      </c>
      <c r="JV513" s="13">
        <f>(JH513-JF513)*MCD_NF_DAYS*JR513-JT513*MCD_SHARE_FREED*R_WAIT_2023</f>
        <v>73263666.13451375</v>
      </c>
      <c r="JW513" s="10">
        <f>IF(AND(JB513&gt;=RULE_START,JC513=1),1/(1+$JB$12)^(JB513-RULE_START+1),0)</f>
        <v>0</v>
      </c>
      <c r="JX513">
        <f>IF(AND(JB513&gt;=RULE_START,JC513=1,JM513&lt;0),JB513,9999)</f>
        <v>9999</v>
      </c>
      <c r="JY513">
        <f>IF(AND(JB513&gt;=RULE_START,JC513=1,JN513&lt;0),JB513,9999)</f>
        <v>9999</v>
      </c>
      <c r="JZ513">
        <f>IF(AND(JB513&gt;=RULE_START,JC513=1,JO513&lt;0),JB513,9999)</f>
        <v>9999</v>
      </c>
      <c r="KB513" t="n">
        <v>2049</v>
      </c>
      <c r="KC513">
        <f>IF(KB513&lt;=RULE_START+$KB$38-1,1,0)</f>
        <v>0</v>
      </c>
      <c r="KD513" s="15">
        <f>IF(KB513=2024,G_IDX_2024,IF(KB513=2025,G_IDX_2025,IF(KB513=2026,G_IDX_2026,IF(KB513=2027,G_IDX_2027,$KB$13))))</f>
        <v>0.033</v>
      </c>
      <c r="KE513" s="8">
        <f>$KB$20*(1+G_HI)^(KB513-COST_DATE)</f>
        <v>1210.0516434462932</v>
      </c>
      <c r="KF513" s="8">
        <f>KF512*(1+KD513)</f>
        <v>1045.0375102608832</v>
      </c>
      <c r="KG513" s="8">
        <f>IF(KB513&lt;RULE_START,KF513,KG512*(1+G_HI))</f>
        <v>1225.2348348908804</v>
      </c>
      <c r="KH513" s="8">
        <f>IF(KB513&lt;RULE_START,KF513,IF(KI513=1,R_NF_2024*(1+G_HI)^(KB513-2024),KH512*(1+KD513)))</f>
        <v>1280.8348447526016</v>
      </c>
      <c r="KI513">
        <f>IF(AND(KB513&gt;=RULE_START,MOD(KB513-RULE_START,REBASE_YEARS)=0),1,0)</f>
        <v>0</v>
      </c>
      <c r="KJ513" s="8">
        <f>KF513*CAP_SHARE</f>
        <v>51.0995428870109</v>
      </c>
      <c r="KK513" s="8">
        <f>KG513*CAP_SHARE</f>
        <v>59.91071074236997</v>
      </c>
      <c r="KL513" s="8">
        <f>KH513*CAP_SHARE</f>
        <v>62.62940271328113</v>
      </c>
      <c r="KM513" s="8">
        <f>KF513-KJ513-KE513</f>
        <v>-216.11367607242084</v>
      </c>
      <c r="KN513" s="8">
        <f>KG513-KK513-KE513</f>
        <v>-44.72751929778269</v>
      </c>
      <c r="KO513" s="8">
        <f>KH513-KL513-KE513</f>
        <v>8.153798593027432</v>
      </c>
      <c r="KP513" s="8">
        <f>R_NF_2024*(1+G_HI)^(KB513-2024)</f>
        <v>1289.7244598777631</v>
      </c>
      <c r="KQ513" s="10">
        <f>1-KF513/KP513</f>
        <v>0.1897203295966572</v>
      </c>
      <c r="KR513" s="10">
        <f>CPI_2023/(IF(KB513-1=2023,CPI_2023,IF(KB513-1=2024,CPI_2024,IF(KB513-1=2025,CPI_2025,CPI_2025*(1+INFL)^(KB513-1-2025)))))</f>
        <v>0.5562133605151004</v>
      </c>
      <c r="KS513" s="8">
        <f>$KB$21*ABS($KB$11)*(KG513-KF513)/KF513</f>
        <v>17190.56493056834</v>
      </c>
      <c r="KT513" s="8">
        <f>$KB$21*ABS($KB$11)*(KH513-KF513)/KF513</f>
        <v>22494.72569783119</v>
      </c>
      <c r="KU513" s="13">
        <f>(KG513-KF513)*MCD_NF_DAYS*KR513-KS513*MCD_SHARE_FREED*R_WAIT_2023</f>
        <v>44989937.60743755</v>
      </c>
      <c r="KV513" s="13">
        <f>(KH513-KF513)*MCD_NF_DAYS*KR513-KT513*MCD_SHARE_FREED*R_WAIT_2023</f>
        <v>58871614.15168154</v>
      </c>
      <c r="KW513" s="10">
        <f>IF(AND(KB513&gt;=RULE_START,KC513=1),1/(1+$KB$12)^(KB513-RULE_START+1),0)</f>
        <v>0</v>
      </c>
      <c r="KX513">
        <f>IF(AND(KB513&gt;=RULE_START,KC513=1,KM513&lt;0),KB513,9999)</f>
        <v>9999</v>
      </c>
      <c r="KY513">
        <f>IF(AND(KB513&gt;=RULE_START,KC513=1,KN513&lt;0),KB513,9999)</f>
        <v>9999</v>
      </c>
      <c r="KZ513">
        <f>IF(AND(KB513&gt;=RULE_START,KC513=1,KO513&lt;0),KB513,9999)</f>
        <v>9999</v>
      </c>
      <c r="LB513" t="n">
        <v>2049</v>
      </c>
      <c r="LC513">
        <f>IF(LB513&lt;=RULE_START+$LB$38-1,1,0)</f>
        <v>0</v>
      </c>
      <c r="LD513" s="15">
        <f>IF(LB513=2024,G_IDX_2024,IF(LB513=2025,G_IDX_2025,IF(LB513=2026,G_IDX_2026,IF(LB513=2027,G_IDX_2027,$LB$13))))</f>
        <v>0.033</v>
      </c>
      <c r="LE513" s="8">
        <f>$LB$20*(1+G_HI)^(LB513-COST_DATE)</f>
        <v>1210.0516434462932</v>
      </c>
      <c r="LF513" s="8">
        <f>LF512*(1+LD513)</f>
        <v>1045.0375102608832</v>
      </c>
      <c r="LG513" s="8">
        <f>IF(LB513&lt;RULE_START,LF513,LG512*(1+G_HI))</f>
        <v>1225.2348348908804</v>
      </c>
      <c r="LH513" s="8">
        <f>IF(LB513&lt;RULE_START,LF513,IF(LI513=1,R_NF_2024*(1+G_HI)^(LB513-2024),LH512*(1+LD513)))</f>
        <v>1280.8348447526016</v>
      </c>
      <c r="LI513">
        <f>IF(AND(LB513&gt;=RULE_START,MOD(LB513-RULE_START,REBASE_YEARS)=0),1,0)</f>
        <v>0</v>
      </c>
      <c r="LJ513" s="8">
        <f>LF513*CAP_SHARE</f>
        <v>51.0995428870109</v>
      </c>
      <c r="LK513" s="8">
        <f>LG513*CAP_SHARE</f>
        <v>59.91071074236997</v>
      </c>
      <c r="LL513" s="8">
        <f>LH513*CAP_SHARE</f>
        <v>62.62940271328113</v>
      </c>
      <c r="LM513" s="8">
        <f>LF513-LJ513-LE513</f>
        <v>-216.11367607242084</v>
      </c>
      <c r="LN513" s="8">
        <f>LG513-LK513-LE513</f>
        <v>-44.72751929778269</v>
      </c>
      <c r="LO513" s="8">
        <f>LH513-LL513-LE513</f>
        <v>8.153798593027432</v>
      </c>
      <c r="LP513" s="8">
        <f>R_NF_2024*(1+G_HI)^(LB513-2024)</f>
        <v>1289.7244598777631</v>
      </c>
      <c r="LQ513" s="10">
        <f>1-LF513/LP513</f>
        <v>0.1897203295966572</v>
      </c>
      <c r="LR513" s="10">
        <f>CPI_2023/(IF(LB513-1=2023,CPI_2023,IF(LB513-1=2024,CPI_2024,IF(LB513-1=2025,CPI_2025,CPI_2025*(1+INFL)^(LB513-1-2025)))))</f>
        <v>0.5562133605151004</v>
      </c>
      <c r="LS513" s="8">
        <f>$LB$21*ABS($LB$11)*(LG513-LF513)/LF513</f>
        <v>17190.56493056834</v>
      </c>
      <c r="LT513" s="8">
        <f>$LB$21*ABS($LB$11)*(LH513-LF513)/LF513</f>
        <v>22494.72569783119</v>
      </c>
      <c r="LU513" s="13">
        <f>(LG513-LF513)*MCD_NF_DAYS*LR513-LS513*MCD_SHARE_FREED*R_WAIT_2023</f>
        <v>44989937.60743755</v>
      </c>
      <c r="LV513" s="13">
        <f>(LH513-LF513)*MCD_NF_DAYS*LR513-LT513*MCD_SHARE_FREED*R_WAIT_2023</f>
        <v>58871614.15168154</v>
      </c>
      <c r="LW513" s="10">
        <f>IF(AND(LB513&gt;=RULE_START,LC513=1),1/(1+$LB$12)^(LB513-RULE_START+1),0)</f>
        <v>0</v>
      </c>
      <c r="LX513">
        <f>IF(AND(LB513&gt;=RULE_START,LC513=1,LM513&lt;0),LB513,9999)</f>
        <v>9999</v>
      </c>
      <c r="LY513">
        <f>IF(AND(LB513&gt;=RULE_START,LC513=1,LN513&lt;0),LB513,9999)</f>
        <v>9999</v>
      </c>
      <c r="LZ513">
        <f>IF(AND(LB513&gt;=RULE_START,LC513=1,LO513&lt;0),LB513,9999)</f>
        <v>9999</v>
      </c>
      <c r="MB513" t="n">
        <v>2049</v>
      </c>
      <c r="MC513">
        <f>IF(MB513&lt;=RULE_START+$MB$38-1,1,0)</f>
        <v>0</v>
      </c>
      <c r="MD513" s="15">
        <f>IF(MB513=2024,G_IDX_2024,IF(MB513=2025,G_IDX_2025,IF(MB513=2026,G_IDX_2026,IF(MB513=2027,G_IDX_2027,$MB$13))))</f>
        <v>0.033</v>
      </c>
      <c r="ME513" s="8">
        <f>$MB$20*(1+G_HI)^(MB513-COST_DATE)</f>
        <v>1210.0516434462932</v>
      </c>
      <c r="MF513" s="8">
        <f>MF512*(1+MD513)</f>
        <v>1045.0375102608832</v>
      </c>
      <c r="MG513" s="8">
        <f>IF(MB513&lt;RULE_START,MF513,MG512*(1+G_HI))</f>
        <v>1225.2348348908804</v>
      </c>
      <c r="MH513" s="8">
        <f>IF(MB513&lt;RULE_START,MF513,IF(MI513=1,R_NF_2024*(1+G_HI)^(MB513-2024),MH512*(1+MD513)))</f>
        <v>1280.8348447526016</v>
      </c>
      <c r="MI513">
        <f>IF(AND(MB513&gt;=RULE_START,MOD(MB513-RULE_START,REBASE_YEARS)=0),1,0)</f>
        <v>0</v>
      </c>
      <c r="MJ513" s="8">
        <f>MF513*CAP_SHARE</f>
        <v>51.0995428870109</v>
      </c>
      <c r="MK513" s="8">
        <f>MG513*CAP_SHARE</f>
        <v>59.91071074236997</v>
      </c>
      <c r="ML513" s="8">
        <f>MH513*CAP_SHARE</f>
        <v>62.62940271328113</v>
      </c>
      <c r="MM513" s="8">
        <f>MF513-MJ513-ME513</f>
        <v>-216.11367607242084</v>
      </c>
      <c r="MN513" s="8">
        <f>MG513-MK513-ME513</f>
        <v>-44.72751929778269</v>
      </c>
      <c r="MO513" s="8">
        <f>MH513-ML513-ME513</f>
        <v>8.153798593027432</v>
      </c>
      <c r="MP513" s="8">
        <f>R_NF_2024*(1+G_HI)^(MB513-2024)</f>
        <v>1289.7244598777631</v>
      </c>
      <c r="MQ513" s="10">
        <f>1-MF513/MP513</f>
        <v>0.1897203295966572</v>
      </c>
      <c r="MR513" s="10">
        <f>CPI_2023/(IF(MB513-1=2023,CPI_2023,IF(MB513-1=2024,CPI_2024,IF(MB513-1=2025,CPI_2025,CPI_2025*(1+INFL)^(MB513-1-2025)))))</f>
        <v>0.5562133605151004</v>
      </c>
      <c r="MS513" s="8">
        <f>$MB$21*ABS($MB$11)*(MG513-MF513)/MF513</f>
        <v>12593.629501826521</v>
      </c>
      <c r="MT513" s="8">
        <f>$MB$21*ABS($MB$11)*(MH513-MF513)/MF513</f>
        <v>16479.40264487493</v>
      </c>
      <c r="MU513" s="13">
        <f>(MG513-MF513)*MCD_NF_DAYS*MR513-MS513*MCD_SHARE_FREED*R_WAIT_2023</f>
        <v>47080250.251847066</v>
      </c>
      <c r="MV513" s="13">
        <f>(MH513-MF513)*MCD_NF_DAYS*MR513-MT513*MCD_SHARE_FREED*R_WAIT_2023</f>
        <v>61606894.21656685</v>
      </c>
      <c r="MW513" s="10">
        <f>IF(AND(MB513&gt;=RULE_START,MC513=1),1/(1+$MB$12)^(MB513-RULE_START+1),0)</f>
        <v>0</v>
      </c>
      <c r="MX513">
        <f>IF(AND(MB513&gt;=RULE_START,MC513=1,MM513&lt;0),MB513,9999)</f>
        <v>9999</v>
      </c>
      <c r="MY513">
        <f>IF(AND(MB513&gt;=RULE_START,MC513=1,MN513&lt;0),MB513,9999)</f>
        <v>9999</v>
      </c>
      <c r="MZ513">
        <f>IF(AND(MB513&gt;=RULE_START,MC513=1,MO513&lt;0),MB513,9999)</f>
        <v>9999</v>
      </c>
      <c r="NB513" t="n">
        <v>2049</v>
      </c>
      <c r="NC513">
        <f>IF(NB513&lt;=RULE_START+$NB$38-1,1,0)</f>
        <v>0</v>
      </c>
      <c r="ND513" s="15">
        <f>IF(NB513=2024,G_IDX_2024,IF(NB513=2025,G_IDX_2025,IF(NB513=2026,G_IDX_2026,IF(NB513=2027,G_IDX_2027,$NB$13))))</f>
        <v>0.033</v>
      </c>
      <c r="NE513" s="8">
        <f>$NB$20*(1+G_HI)^(NB513-COST_DATE)</f>
        <v>1210.0516434462932</v>
      </c>
      <c r="NF513" s="8">
        <f>NF512*(1+ND513)</f>
        <v>1045.0375102608832</v>
      </c>
      <c r="NG513" s="8">
        <f>IF(NB513&lt;RULE_START,NF513,NG512*(1+G_HI))</f>
        <v>1225.2348348908804</v>
      </c>
      <c r="NH513" s="8">
        <f>IF(NB513&lt;RULE_START,NF513,IF(NI513=1,R_NF_2024*(1+G_HI)^(NB513-2024),NH512*(1+ND513)))</f>
        <v>1280.8348447526016</v>
      </c>
      <c r="NI513">
        <f>IF(AND(NB513&gt;=RULE_START,MOD(NB513-RULE_START,REBASE_YEARS)=0),1,0)</f>
        <v>0</v>
      </c>
      <c r="NJ513" s="8">
        <f>NF513*CAP_SHARE</f>
        <v>51.0995428870109</v>
      </c>
      <c r="NK513" s="8">
        <f>NG513*CAP_SHARE</f>
        <v>59.91071074236997</v>
      </c>
      <c r="NL513" s="8">
        <f>NH513*CAP_SHARE</f>
        <v>62.62940271328113</v>
      </c>
      <c r="NM513" s="8">
        <f>NF513-NJ513-NE513</f>
        <v>-216.11367607242084</v>
      </c>
      <c r="NN513" s="8">
        <f>NG513-NK513-NE513</f>
        <v>-44.72751929778269</v>
      </c>
      <c r="NO513" s="8">
        <f>NH513-NL513-NE513</f>
        <v>8.153798593027432</v>
      </c>
      <c r="NP513" s="8">
        <f>R_NF_2024*(1+G_HI)^(NB513-2024)</f>
        <v>1289.7244598777631</v>
      </c>
      <c r="NQ513" s="10">
        <f>1-NF513/NP513</f>
        <v>0.1897203295966572</v>
      </c>
      <c r="NR513" s="10">
        <f>CPI_2023/(IF(NB513-1=2023,CPI_2023,IF(NB513-1=2024,CPI_2024,IF(NB513-1=2025,CPI_2025,CPI_2025*(1+INFL)^(NB513-1-2025)))))</f>
        <v>0.5562133605151004</v>
      </c>
      <c r="NS513" s="8">
        <f>$NB$21*ABS($NB$11)*(NG513-NF513)/NF513</f>
        <v>17190.56493056834</v>
      </c>
      <c r="NT513" s="8">
        <f>$NB$21*ABS($NB$11)*(NH513-NF513)/NF513</f>
        <v>22494.72569783119</v>
      </c>
      <c r="NU513" s="13">
        <f>(NG513-NF513)*MCD_NF_DAYS*NR513-NS513*MCD_SHARE_FREED*R_WAIT_2023</f>
        <v>44989937.60743755</v>
      </c>
      <c r="NV513" s="13">
        <f>(NH513-NF513)*MCD_NF_DAYS*NR513-NT513*MCD_SHARE_FREED*R_WAIT_2023</f>
        <v>58871614.15168154</v>
      </c>
      <c r="NW513" s="10">
        <f>IF(AND(NB513&gt;=RULE_START,NC513=1),1/(1+$NB$12)^(NB513-RULE_START+1),0)</f>
        <v>0</v>
      </c>
      <c r="NX513">
        <f>IF(AND(NB513&gt;=RULE_START,NC513=1,NM513&lt;0),NB513,9999)</f>
        <v>9999</v>
      </c>
      <c r="NY513">
        <f>IF(AND(NB513&gt;=RULE_START,NC513=1,NN513&lt;0),NB513,9999)</f>
        <v>9999</v>
      </c>
      <c r="NZ513">
        <f>IF(AND(NB513&gt;=RULE_START,NC513=1,NO513&lt;0),NB513,9999)</f>
        <v>9999</v>
      </c>
      <c r="OB513" t="n">
        <v>2049</v>
      </c>
      <c r="OC513">
        <f>IF(OB513&lt;=RULE_START+$OB$38-1,1,0)</f>
        <v>0</v>
      </c>
      <c r="OD513" s="15">
        <f>IF(OB513=2024,G_IDX_2024,IF(OB513=2025,G_IDX_2025,IF(OB513=2026,G_IDX_2026,IF(OB513=2027,G_IDX_2027,$OB$13))))</f>
        <v>0.033</v>
      </c>
      <c r="OE513" s="8">
        <f>$OB$20*(1+G_HI)^(OB513-COST_DATE)</f>
        <v>1210.0516434462932</v>
      </c>
      <c r="OF513" s="8">
        <f>OF512*(1+OD513)</f>
        <v>1045.0375102608832</v>
      </c>
      <c r="OG513" s="8">
        <f>IF(OB513&lt;RULE_START,OF513,OG512*(1+G_HI))</f>
        <v>1225.2348348908804</v>
      </c>
      <c r="OH513" s="8">
        <f>IF(OB513&lt;RULE_START,OF513,IF(OI513=1,R_NF_2024*(1+G_HI)^(OB513-2024),OH512*(1+OD513)))</f>
        <v>1280.8348447526016</v>
      </c>
      <c r="OI513">
        <f>IF(AND(OB513&gt;=RULE_START,MOD(OB513-RULE_START,REBASE_YEARS)=0),1,0)</f>
        <v>0</v>
      </c>
      <c r="OJ513" s="8">
        <f>OF513*CAP_SHARE</f>
        <v>51.0995428870109</v>
      </c>
      <c r="OK513" s="8">
        <f>OG513*CAP_SHARE</f>
        <v>59.91071074236997</v>
      </c>
      <c r="OL513" s="8">
        <f>OH513*CAP_SHARE</f>
        <v>62.62940271328113</v>
      </c>
      <c r="OM513" s="8">
        <f>OF513-OJ513-OE513</f>
        <v>-216.11367607242084</v>
      </c>
      <c r="ON513" s="8">
        <f>OG513-OK513-OE513</f>
        <v>-44.72751929778269</v>
      </c>
      <c r="OO513" s="8">
        <f>OH513-OL513-OE513</f>
        <v>8.153798593027432</v>
      </c>
      <c r="OP513" s="8">
        <f>R_NF_2024*(1+G_HI)^(OB513-2024)</f>
        <v>1289.7244598777631</v>
      </c>
      <c r="OQ513" s="10">
        <f>1-OF513/OP513</f>
        <v>0.1897203295966572</v>
      </c>
      <c r="OR513" s="10">
        <f>CPI_2023/(IF(OB513-1=2023,CPI_2023,IF(OB513-1=2024,CPI_2024,IF(OB513-1=2025,CPI_2025,CPI_2025*(1+INFL)^(OB513-1-2025)))))</f>
        <v>0.5562133605151004</v>
      </c>
      <c r="OS513" s="8">
        <f>$OB$21*ABS($OB$11)*(OG513-OF513)/OF513</f>
        <v>17190.56493056834</v>
      </c>
      <c r="OT513" s="8">
        <f>$OB$21*ABS($OB$11)*(OH513-OF513)/OF513</f>
        <v>22494.72569783119</v>
      </c>
      <c r="OU513" s="13">
        <f>(OG513-OF513)*MCD_NF_DAYS*OR513-OS513*MCD_SHARE_FREED*R_WAIT_2023</f>
        <v>44989937.60743755</v>
      </c>
      <c r="OV513" s="13">
        <f>(OH513-OF513)*MCD_NF_DAYS*OR513-OT513*MCD_SHARE_FREED*R_WAIT_2023</f>
        <v>58871614.15168154</v>
      </c>
      <c r="OW513" s="10">
        <f>IF(AND(OB513&gt;=RULE_START,OC513=1),1/(1+$OB$12)^(OB513-RULE_START+1),0)</f>
        <v>0</v>
      </c>
      <c r="OX513">
        <f>IF(AND(OB513&gt;=RULE_START,OC513=1,OM513&lt;0),OB513,9999)</f>
        <v>9999</v>
      </c>
      <c r="OY513">
        <f>IF(AND(OB513&gt;=RULE_START,OC513=1,ON513&lt;0),OB513,9999)</f>
        <v>9999</v>
      </c>
      <c r="OZ513">
        <f>IF(AND(OB513&gt;=RULE_START,OC513=1,OO513&lt;0),OB513,9999)</f>
        <v>9999</v>
      </c>
    </row>
    <row r="514">
      <c r="B514" t="n">
        <v>2050</v>
      </c>
      <c r="C514">
        <f>IF(B514&lt;=RULE_START+$B$38-1,1,0)</f>
        <v>0</v>
      </c>
      <c r="D514" s="15">
        <f>IF(B514=2024,G_IDX_2024,IF(B514=2025,G_IDX_2025,IF(B514=2026,G_IDX_2026,IF(B514=2027,G_IDX_2027,$B$13))))</f>
        <v>0.033</v>
      </c>
      <c r="E514" s="8">
        <f>$B$20*(1+G_HI)^(B514-COST_DATE)</f>
        <v>1258.6588384501697</v>
      </c>
      <c r="F514" s="8">
        <f>F513*(1+D514)</f>
        <v>1079.5237480994922</v>
      </c>
      <c r="G514" s="8">
        <f>IF(B514&lt;RULE_START,F514,G513*(1+G_HI))</f>
        <v>1274.4519314236093</v>
      </c>
      <c r="H514" s="8">
        <f>IF(B514&lt;RULE_START,F514,IF(I514=1,R_NF_2024*(1+G_HI)^(B514-2024),H513*(1+D514)))</f>
        <v>1323.1023946294374</v>
      </c>
      <c r="I514">
        <f>IF(AND(B514&gt;=RULE_START,MOD(B514-RULE_START,REBASE_YEARS)=0),1,0)</f>
        <v>0</v>
      </c>
      <c r="J514" s="8">
        <f>F514*CAP_SHARE</f>
        <v>52.785827802282256</v>
      </c>
      <c r="K514" s="8">
        <f>G514*CAP_SHARE</f>
        <v>62.317295300679746</v>
      </c>
      <c r="L514" s="8">
        <f>H514*CAP_SHARE</f>
        <v>64.6961730028194</v>
      </c>
      <c r="M514" s="8">
        <f>F514-J514-E514</f>
        <v>-231.92091815295976</v>
      </c>
      <c r="N514" s="8">
        <f>G514-K514-E514</f>
        <v>-46.52420232724012</v>
      </c>
      <c r="O514" s="8">
        <f>H514-L514-E514</f>
        <v>-0.2526168235517616</v>
      </c>
      <c r="P514" s="8">
        <f>R_NF_2024*(1+G_HI)^(B514-2024)</f>
        <v>1341.5320737610875</v>
      </c>
      <c r="Q514" s="10">
        <f>1-F514/P514</f>
        <v>0.19530530114500733</v>
      </c>
      <c r="R514" s="10">
        <f>CPI_2023/(IF(B514-1=2023,CPI_2023,IF(B514-1=2024,CPI_2024,IF(B514-1=2025,CPI_2025,CPI_2025*(1+INFL)^(B514-1-2025)))))</f>
        <v>0.5438143923690854</v>
      </c>
      <c r="S514" s="8">
        <f>$B$21*ABS($B$11)*(G514-F514)/F514</f>
        <v>18001.80794630329</v>
      </c>
      <c r="T514" s="8">
        <f>$B$21*ABS($B$11)*(H514-F514)/F514</f>
        <v>22494.725697831203</v>
      </c>
      <c r="U514" s="13">
        <f>(G514-F514)*MCD_NF_DAYS*R514-S514*MCD_SHARE_FREED*R_WAIT_2023</f>
        <v>47664540.17656619</v>
      </c>
      <c r="V514" s="13">
        <f>(H514-F514)*MCD_NF_DAYS*R514-T514*MCD_SHARE_FREED*R_WAIT_2023</f>
        <v>59560726.343894266</v>
      </c>
      <c r="W514" s="10">
        <f>IF(AND(B514&gt;=RULE_START,C514=1),1/(1+$B$12)^(B514-RULE_START+1),0)</f>
        <v>0</v>
      </c>
      <c r="X514">
        <f>IF(AND(B514&gt;=RULE_START,C514=1,M514&lt;0),B514,9999)</f>
        <v>9999</v>
      </c>
      <c r="Y514">
        <f>IF(AND(B514&gt;=RULE_START,C514=1,N514&lt;0),B514,9999)</f>
        <v>9999</v>
      </c>
      <c r="Z514">
        <f>IF(AND(B514&gt;=RULE_START,C514=1,O514&lt;0),B514,9999)</f>
        <v>9999</v>
      </c>
      <c r="AB514" t="n">
        <v>2050</v>
      </c>
      <c r="AC514">
        <f>IF(AB514&lt;=RULE_START+$AB$38-1,1,0)</f>
        <v>0</v>
      </c>
      <c r="AD514" s="15">
        <f>IF(AB514=2024,G_IDX_2024,IF(AB514=2025,G_IDX_2025,IF(AB514=2026,G_IDX_2026,IF(AB514=2027,G_IDX_2027,$AB$13))))</f>
        <v>0.033</v>
      </c>
      <c r="AE514" s="8">
        <f>$AB$20*(1+G_HI)^(AB514-COST_DATE)</f>
        <v>1258.6588384501697</v>
      </c>
      <c r="AF514" s="8">
        <f>AF513*(1+AD514)</f>
        <v>1079.5237480994922</v>
      </c>
      <c r="AG514" s="8">
        <f>IF(AB514&lt;RULE_START,AF514,AG513*(1+G_HI))</f>
        <v>1274.4519314236093</v>
      </c>
      <c r="AH514" s="8">
        <f>IF(AB514&lt;RULE_START,AF514,IF(AI514=1,R_NF_2024*(1+G_HI)^(AB514-2024),AH513*(1+AD514)))</f>
        <v>1323.1023946294374</v>
      </c>
      <c r="AI514">
        <f>IF(AND(AB514&gt;=RULE_START,MOD(AB514-RULE_START,REBASE_YEARS)=0),1,0)</f>
        <v>0</v>
      </c>
      <c r="AJ514" s="8">
        <f>AF514*CAP_SHARE</f>
        <v>52.785827802282256</v>
      </c>
      <c r="AK514" s="8">
        <f>AG514*CAP_SHARE</f>
        <v>62.317295300679746</v>
      </c>
      <c r="AL514" s="8">
        <f>AH514*CAP_SHARE</f>
        <v>64.6961730028194</v>
      </c>
      <c r="AM514" s="8">
        <f>AF514-AJ514-AE514</f>
        <v>-231.92091815295976</v>
      </c>
      <c r="AN514" s="8">
        <f>AG514-AK514-AE514</f>
        <v>-46.52420232724012</v>
      </c>
      <c r="AO514" s="8">
        <f>AH514-AL514-AE514</f>
        <v>-0.2526168235517616</v>
      </c>
      <c r="AP514" s="8">
        <f>R_NF_2024*(1+G_HI)^(AB514-2024)</f>
        <v>1341.5320737610875</v>
      </c>
      <c r="AQ514" s="10">
        <f>1-AF514/AP514</f>
        <v>0.19530530114500733</v>
      </c>
      <c r="AR514" s="10">
        <f>CPI_2023/(IF(AB514-1=2023,CPI_2023,IF(AB514-1=2024,CPI_2024,IF(AB514-1=2025,CPI_2025,CPI_2025*(1+INFL)^(AB514-1-2025)))))</f>
        <v>0.5438143923690854</v>
      </c>
      <c r="AS514" s="8">
        <f>$AB$21*ABS($AB$11)*(AG514-AF514)/AF514</f>
        <v>18001.80794630329</v>
      </c>
      <c r="AT514" s="8">
        <f>$AB$21*ABS($AB$11)*(AH514-AF514)/AF514</f>
        <v>22494.725697831203</v>
      </c>
      <c r="AU514" s="13">
        <f>(AG514-AF514)*MCD_NF_DAYS*AR514-AS514*MCD_SHARE_FREED*R_WAIT_2023</f>
        <v>47664540.17656619</v>
      </c>
      <c r="AV514" s="13">
        <f>(AH514-AF514)*MCD_NF_DAYS*AR514-AT514*MCD_SHARE_FREED*R_WAIT_2023</f>
        <v>59560726.343894266</v>
      </c>
      <c r="AW514" s="10">
        <f>IF(AND(AB514&gt;=RULE_START,AC514=1),1/(1+$AB$12)^(AB514-RULE_START+1),0)</f>
        <v>0</v>
      </c>
      <c r="AX514">
        <f>IF(AND(AB514&gt;=RULE_START,AC514=1,AM514&lt;0),AB514,9999)</f>
        <v>9999</v>
      </c>
      <c r="AY514">
        <f>IF(AND(AB514&gt;=RULE_START,AC514=1,AN514&lt;0),AB514,9999)</f>
        <v>9999</v>
      </c>
      <c r="AZ514">
        <f>IF(AND(AB514&gt;=RULE_START,AC514=1,AO514&lt;0),AB514,9999)</f>
        <v>9999</v>
      </c>
      <c r="BB514" t="n">
        <v>2050</v>
      </c>
      <c r="BC514">
        <f>IF(BB514&lt;=RULE_START+$BB$38-1,1,0)</f>
        <v>0</v>
      </c>
      <c r="BD514" s="15">
        <f>IF(BB514=2024,G_IDX_2024,IF(BB514=2025,G_IDX_2025,IF(BB514=2026,G_IDX_2026,IF(BB514=2027,G_IDX_2027,$BB$13))))</f>
        <v>0.033</v>
      </c>
      <c r="BE514" s="8">
        <f>$BB$20*(1+G_HI)^(BB514-COST_DATE)</f>
        <v>1258.6588384501697</v>
      </c>
      <c r="BF514" s="8">
        <f>BF513*(1+BD514)</f>
        <v>1079.5237480994922</v>
      </c>
      <c r="BG514" s="8">
        <f>IF(BB514&lt;RULE_START,BF514,BG513*(1+G_HI))</f>
        <v>1274.4519314236093</v>
      </c>
      <c r="BH514" s="8">
        <f>IF(BB514&lt;RULE_START,BF514,IF(BI514=1,R_NF_2024*(1+G_HI)^(BB514-2024),BH513*(1+BD514)))</f>
        <v>1323.1023946294374</v>
      </c>
      <c r="BI514">
        <f>IF(AND(BB514&gt;=RULE_START,MOD(BB514-RULE_START,REBASE_YEARS)=0),1,0)</f>
        <v>0</v>
      </c>
      <c r="BJ514" s="8">
        <f>BF514*CAP_SHARE</f>
        <v>52.785827802282256</v>
      </c>
      <c r="BK514" s="8">
        <f>BG514*CAP_SHARE</f>
        <v>62.317295300679746</v>
      </c>
      <c r="BL514" s="8">
        <f>BH514*CAP_SHARE</f>
        <v>64.6961730028194</v>
      </c>
      <c r="BM514" s="8">
        <f>BF514-BJ514-BE514</f>
        <v>-231.92091815295976</v>
      </c>
      <c r="BN514" s="8">
        <f>BG514-BK514-BE514</f>
        <v>-46.52420232724012</v>
      </c>
      <c r="BO514" s="8">
        <f>BH514-BL514-BE514</f>
        <v>-0.2526168235517616</v>
      </c>
      <c r="BP514" s="8">
        <f>R_NF_2024*(1+G_HI)^(BB514-2024)</f>
        <v>1341.5320737610875</v>
      </c>
      <c r="BQ514" s="10">
        <f>1-BF514/BP514</f>
        <v>0.19530530114500733</v>
      </c>
      <c r="BR514" s="10">
        <f>CPI_2023/(IF(BB514-1=2023,CPI_2023,IF(BB514-1=2024,CPI_2024,IF(BB514-1=2025,CPI_2025,CPI_2025*(1+INFL)^(BB514-1-2025)))))</f>
        <v>0.5438143923690854</v>
      </c>
      <c r="BS514" s="8">
        <f>$BB$21*ABS($BB$11)*(BG514-BF514)/BF514</f>
        <v>18001.80794630329</v>
      </c>
      <c r="BT514" s="8">
        <f>$BB$21*ABS($BB$11)*(BH514-BF514)/BF514</f>
        <v>22494.725697831203</v>
      </c>
      <c r="BU514" s="13">
        <f>(BG514-BF514)*MCD_NF_DAYS*BR514-BS514*MCD_SHARE_FREED*R_WAIT_2023</f>
        <v>47664540.17656619</v>
      </c>
      <c r="BV514" s="13">
        <f>(BH514-BF514)*MCD_NF_DAYS*BR514-BT514*MCD_SHARE_FREED*R_WAIT_2023</f>
        <v>59560726.343894266</v>
      </c>
      <c r="BW514" s="10">
        <f>IF(AND(BB514&gt;=RULE_START,BC514=1),1/(1+$BB$12)^(BB514-RULE_START+1),0)</f>
        <v>0</v>
      </c>
      <c r="BX514">
        <f>IF(AND(BB514&gt;=RULE_START,BC514=1,BM514&lt;0),BB514,9999)</f>
        <v>9999</v>
      </c>
      <c r="BY514">
        <f>IF(AND(BB514&gt;=RULE_START,BC514=1,BN514&lt;0),BB514,9999)</f>
        <v>9999</v>
      </c>
      <c r="BZ514">
        <f>IF(AND(BB514&gt;=RULE_START,BC514=1,BO514&lt;0),BB514,9999)</f>
        <v>9999</v>
      </c>
      <c r="CB514" t="n">
        <v>2050</v>
      </c>
      <c r="CC514">
        <f>IF(CB514&lt;=RULE_START+$CB$38-1,1,0)</f>
        <v>1</v>
      </c>
      <c r="CD514" s="15">
        <f>IF(CB514=2024,G_IDX_2024,IF(CB514=2025,G_IDX_2025,IF(CB514=2026,G_IDX_2026,IF(CB514=2027,G_IDX_2027,$CB$13))))</f>
        <v>0.033</v>
      </c>
      <c r="CE514" s="8">
        <f>$CB$20*(1+G_HI)^(CB514-COST_DATE)</f>
        <v>1258.6588384501697</v>
      </c>
      <c r="CF514" s="8">
        <f>CF513*(1+CD514)</f>
        <v>1079.5237480994922</v>
      </c>
      <c r="CG514" s="8">
        <f>IF(CB514&lt;RULE_START,CF514,CG513*(1+G_HI))</f>
        <v>1274.4519314236093</v>
      </c>
      <c r="CH514" s="8">
        <f>IF(CB514&lt;RULE_START,CF514,IF(CI514=1,R_NF_2024*(1+G_HI)^(CB514-2024),CH513*(1+CD514)))</f>
        <v>1323.1023946294374</v>
      </c>
      <c r="CI514">
        <f>IF(AND(CB514&gt;=RULE_START,MOD(CB514-RULE_START,REBASE_YEARS)=0),1,0)</f>
        <v>0</v>
      </c>
      <c r="CJ514" s="8">
        <f>CF514*CAP_SHARE</f>
        <v>52.785827802282256</v>
      </c>
      <c r="CK514" s="8">
        <f>CG514*CAP_SHARE</f>
        <v>62.317295300679746</v>
      </c>
      <c r="CL514" s="8">
        <f>CH514*CAP_SHARE</f>
        <v>64.6961730028194</v>
      </c>
      <c r="CM514" s="8">
        <f>CF514-CJ514-CE514</f>
        <v>-231.92091815295976</v>
      </c>
      <c r="CN514" s="8">
        <f>CG514-CK514-CE514</f>
        <v>-46.52420232724012</v>
      </c>
      <c r="CO514" s="8">
        <f>CH514-CL514-CE514</f>
        <v>-0.2526168235517616</v>
      </c>
      <c r="CP514" s="8">
        <f>R_NF_2024*(1+G_HI)^(CB514-2024)</f>
        <v>1341.5320737610875</v>
      </c>
      <c r="CQ514" s="10">
        <f>1-CF514/CP514</f>
        <v>0.19530530114500733</v>
      </c>
      <c r="CR514" s="10">
        <f>CPI_2023/(IF(CB514-1=2023,CPI_2023,IF(CB514-1=2024,CPI_2024,IF(CB514-1=2025,CPI_2025,CPI_2025*(1+INFL)^(CB514-1-2025)))))</f>
        <v>0.5438143923690854</v>
      </c>
      <c r="CS514" s="8">
        <f>$CB$21*ABS($CB$11)*(CG514-CF514)/CF514</f>
        <v>18001.80794630329</v>
      </c>
      <c r="CT514" s="8">
        <f>$CB$21*ABS($CB$11)*(CH514-CF514)/CF514</f>
        <v>22494.725697831203</v>
      </c>
      <c r="CU514" s="13">
        <f>(CG514-CF514)*MCD_NF_DAYS*CR514-CS514*MCD_SHARE_FREED*R_WAIT_2023</f>
        <v>47664540.17656619</v>
      </c>
      <c r="CV514" s="13">
        <f>(CH514-CF514)*MCD_NF_DAYS*CR514-CT514*MCD_SHARE_FREED*R_WAIT_2023</f>
        <v>59560726.343894266</v>
      </c>
      <c r="CW514" s="10">
        <f>IF(AND(CB514&gt;=RULE_START,CC514=1),1/(1+$CB$12)^(CB514-RULE_START+1),0)</f>
        <v>0.6217214879388445</v>
      </c>
      <c r="CX514">
        <f>IF(AND(CB514&gt;=RULE_START,CC514=1,CM514&lt;0),CB514,9999)</f>
        <v>2050</v>
      </c>
      <c r="CY514">
        <f>IF(AND(CB514&gt;=RULE_START,CC514=1,CN514&lt;0),CB514,9999)</f>
        <v>2050</v>
      </c>
      <c r="CZ514">
        <f>IF(AND(CB514&gt;=RULE_START,CC514=1,CO514&lt;0),CB514,9999)</f>
        <v>2050</v>
      </c>
      <c r="DB514" t="n">
        <v>2050</v>
      </c>
      <c r="DC514">
        <f>IF(DB514&lt;=RULE_START+$DB$38-1,1,0)</f>
        <v>0</v>
      </c>
      <c r="DD514" s="15">
        <f>IF(DB514=2024,G_IDX_2024,IF(DB514=2025,G_IDX_2025,IF(DB514=2026,G_IDX_2026,IF(DB514=2027,G_IDX_2027,$DB$13))))</f>
        <v>0.033</v>
      </c>
      <c r="DE514" s="8">
        <f>$DB$20*(1+G_HI)^(DB514-COST_DATE)</f>
        <v>1258.6588384501697</v>
      </c>
      <c r="DF514" s="8">
        <f>DF513*(1+DD514)</f>
        <v>1079.5237480994922</v>
      </c>
      <c r="DG514" s="8">
        <f>IF(DB514&lt;RULE_START,DF514,DG513*(1+G_HI))</f>
        <v>1274.4519314236093</v>
      </c>
      <c r="DH514" s="8">
        <f>IF(DB514&lt;RULE_START,DF514,IF(DI514=1,R_NF_2024*(1+G_HI)^(DB514-2024),DH513*(1+DD514)))</f>
        <v>1323.1023946294374</v>
      </c>
      <c r="DI514">
        <f>IF(AND(DB514&gt;=RULE_START,MOD(DB514-RULE_START,REBASE_YEARS)=0),1,0)</f>
        <v>0</v>
      </c>
      <c r="DJ514" s="8">
        <f>DF514*CAP_SHARE</f>
        <v>52.785827802282256</v>
      </c>
      <c r="DK514" s="8">
        <f>DG514*CAP_SHARE</f>
        <v>62.317295300679746</v>
      </c>
      <c r="DL514" s="8">
        <f>DH514*CAP_SHARE</f>
        <v>64.6961730028194</v>
      </c>
      <c r="DM514" s="8">
        <f>DF514-DJ514-DE514</f>
        <v>-231.92091815295976</v>
      </c>
      <c r="DN514" s="8">
        <f>DG514-DK514-DE514</f>
        <v>-46.52420232724012</v>
      </c>
      <c r="DO514" s="8">
        <f>DH514-DL514-DE514</f>
        <v>-0.2526168235517616</v>
      </c>
      <c r="DP514" s="8">
        <f>R_NF_2024*(1+G_HI)^(DB514-2024)</f>
        <v>1341.5320737610875</v>
      </c>
      <c r="DQ514" s="10">
        <f>1-DF514/DP514</f>
        <v>0.19530530114500733</v>
      </c>
      <c r="DR514" s="10">
        <f>CPI_2023/(IF(DB514-1=2023,CPI_2023,IF(DB514-1=2024,CPI_2024,IF(DB514-1=2025,CPI_2025,CPI_2025*(1+INFL)^(DB514-1-2025)))))</f>
        <v>0.5438143923690854</v>
      </c>
      <c r="DS514" s="8">
        <f>$DB$21*ABS($DB$11)*(DG514-DF514)/DF514</f>
        <v>18001.80794630329</v>
      </c>
      <c r="DT514" s="8">
        <f>$DB$21*ABS($DB$11)*(DH514-DF514)/DF514</f>
        <v>22494.725697831203</v>
      </c>
      <c r="DU514" s="13">
        <f>(DG514-DF514)*MCD_NF_DAYS*DR514-DS514*MCD_SHARE_FREED*R_WAIT_2023</f>
        <v>47664540.17656619</v>
      </c>
      <c r="DV514" s="13">
        <f>(DH514-DF514)*MCD_NF_DAYS*DR514-DT514*MCD_SHARE_FREED*R_WAIT_2023</f>
        <v>59560726.343894266</v>
      </c>
      <c r="DW514" s="10">
        <f>IF(AND(DB514&gt;=RULE_START,DC514=1),1/(1+$DB$12)^(DB514-RULE_START+1),0)</f>
        <v>0</v>
      </c>
      <c r="DX514">
        <f>IF(AND(DB514&gt;=RULE_START,DC514=1,DM514&lt;0),DB514,9999)</f>
        <v>9999</v>
      </c>
      <c r="DY514">
        <f>IF(AND(DB514&gt;=RULE_START,DC514=1,DN514&lt;0),DB514,9999)</f>
        <v>9999</v>
      </c>
      <c r="DZ514">
        <f>IF(AND(DB514&gt;=RULE_START,DC514=1,DO514&lt;0),DB514,9999)</f>
        <v>9999</v>
      </c>
      <c r="EB514" t="n">
        <v>2050</v>
      </c>
      <c r="EC514">
        <f>IF(EB514&lt;=RULE_START+$EB$38-1,1,0)</f>
        <v>0</v>
      </c>
      <c r="ED514" s="15">
        <f>IF(EB514=2024,G_IDX_2024,IF(EB514=2025,G_IDX_2025,IF(EB514=2026,G_IDX_2026,IF(EB514=2027,G_IDX_2027,$EB$13))))</f>
        <v>0.033</v>
      </c>
      <c r="EE514" s="8">
        <f>$EB$20*(1+G_HI)^(EB514-COST_DATE)</f>
        <v>1258.6588384501697</v>
      </c>
      <c r="EF514" s="8">
        <f>EF513*(1+ED514)</f>
        <v>1079.5237480994922</v>
      </c>
      <c r="EG514" s="8">
        <f>IF(EB514&lt;RULE_START,EF514,EG513*(1+G_HI))</f>
        <v>1274.4519314236093</v>
      </c>
      <c r="EH514" s="8">
        <f>IF(EB514&lt;RULE_START,EF514,IF(EI514=1,R_NF_2024*(1+G_HI)^(EB514-2024),EH513*(1+ED514)))</f>
        <v>1323.1023946294374</v>
      </c>
      <c r="EI514">
        <f>IF(AND(EB514&gt;=RULE_START,MOD(EB514-RULE_START,REBASE_YEARS)=0),1,0)</f>
        <v>0</v>
      </c>
      <c r="EJ514" s="8">
        <f>EF514*CAP_SHARE</f>
        <v>52.785827802282256</v>
      </c>
      <c r="EK514" s="8">
        <f>EG514*CAP_SHARE</f>
        <v>62.317295300679746</v>
      </c>
      <c r="EL514" s="8">
        <f>EH514*CAP_SHARE</f>
        <v>64.6961730028194</v>
      </c>
      <c r="EM514" s="8">
        <f>EF514-EJ514-EE514</f>
        <v>-231.92091815295976</v>
      </c>
      <c r="EN514" s="8">
        <f>EG514-EK514-EE514</f>
        <v>-46.52420232724012</v>
      </c>
      <c r="EO514" s="8">
        <f>EH514-EL514-EE514</f>
        <v>-0.2526168235517616</v>
      </c>
      <c r="EP514" s="8">
        <f>R_NF_2024*(1+G_HI)^(EB514-2024)</f>
        <v>1341.5320737610875</v>
      </c>
      <c r="EQ514" s="10">
        <f>1-EF514/EP514</f>
        <v>0.19530530114500733</v>
      </c>
      <c r="ER514" s="10">
        <f>CPI_2023/(IF(EB514-1=2023,CPI_2023,IF(EB514-1=2024,CPI_2024,IF(EB514-1=2025,CPI_2025,CPI_2025*(1+INFL)^(EB514-1-2025)))))</f>
        <v>0.5438143923690854</v>
      </c>
      <c r="ES514" s="8">
        <f>$EB$21*ABS($EB$11)*(EG514-EF514)/EF514</f>
        <v>18001.80794630329</v>
      </c>
      <c r="ET514" s="8">
        <f>$EB$21*ABS($EB$11)*(EH514-EF514)/EF514</f>
        <v>22494.725697831203</v>
      </c>
      <c r="EU514" s="13">
        <f>(EG514-EF514)*MCD_NF_DAYS*ER514-ES514*MCD_SHARE_FREED*R_WAIT_2023</f>
        <v>47664540.17656619</v>
      </c>
      <c r="EV514" s="13">
        <f>(EH514-EF514)*MCD_NF_DAYS*ER514-ET514*MCD_SHARE_FREED*R_WAIT_2023</f>
        <v>59560726.343894266</v>
      </c>
      <c r="EW514" s="10">
        <f>IF(AND(EB514&gt;=RULE_START,EC514=1),1/(1+$EB$12)^(EB514-RULE_START+1),0)</f>
        <v>0</v>
      </c>
      <c r="EX514">
        <f>IF(AND(EB514&gt;=RULE_START,EC514=1,EM514&lt;0),EB514,9999)</f>
        <v>9999</v>
      </c>
      <c r="EY514">
        <f>IF(AND(EB514&gt;=RULE_START,EC514=1,EN514&lt;0),EB514,9999)</f>
        <v>9999</v>
      </c>
      <c r="EZ514">
        <f>IF(AND(EB514&gt;=RULE_START,EC514=1,EO514&lt;0),EB514,9999)</f>
        <v>9999</v>
      </c>
      <c r="FB514" t="n">
        <v>2050</v>
      </c>
      <c r="FC514">
        <f>IF(FB514&lt;=RULE_START+$FB$38-1,1,0)</f>
        <v>0</v>
      </c>
      <c r="FD514" s="15">
        <f>IF(FB514=2024,G_IDX_2024,IF(FB514=2025,G_IDX_2025,IF(FB514=2026,G_IDX_2026,IF(FB514=2027,G_IDX_2027,$FB$13))))</f>
        <v>0.033</v>
      </c>
      <c r="FE514" s="8">
        <f>$FB$20*(1+G_HI)^(FB514-COST_DATE)</f>
        <v>1295.3264881174528</v>
      </c>
      <c r="FF514" s="8">
        <f>FF513*(1+FD514)</f>
        <v>1079.5237480994922</v>
      </c>
      <c r="FG514" s="8">
        <f>IF(FB514&lt;RULE_START,FF514,FG513*(1+G_HI))</f>
        <v>1274.4519314236093</v>
      </c>
      <c r="FH514" s="8">
        <f>IF(FB514&lt;RULE_START,FF514,IF(FI514=1,R_NF_2024*(1+G_HI)^(FB514-2024),FH513*(1+FD514)))</f>
        <v>1323.1023946294374</v>
      </c>
      <c r="FI514">
        <f>IF(AND(FB514&gt;=RULE_START,MOD(FB514-RULE_START,REBASE_YEARS)=0),1,0)</f>
        <v>0</v>
      </c>
      <c r="FJ514" s="8">
        <f>FF514*CAP_SHARE</f>
        <v>52.785827802282256</v>
      </c>
      <c r="FK514" s="8">
        <f>FG514*CAP_SHARE</f>
        <v>62.317295300679746</v>
      </c>
      <c r="FL514" s="8">
        <f>FH514*CAP_SHARE</f>
        <v>64.6961730028194</v>
      </c>
      <c r="FM514" s="8">
        <f>FF514-FJ514-FE514</f>
        <v>-268.5885678202428</v>
      </c>
      <c r="FN514" s="8">
        <f>FG514-FK514-FE514</f>
        <v>-83.19185199452318</v>
      </c>
      <c r="FO514" s="8">
        <f>FH514-FL514-FE514</f>
        <v>-36.92026649083482</v>
      </c>
      <c r="FP514" s="8">
        <f>R_NF_2024*(1+G_HI)^(FB514-2024)</f>
        <v>1341.5320737610875</v>
      </c>
      <c r="FQ514" s="10">
        <f>1-FF514/FP514</f>
        <v>0.19530530114500733</v>
      </c>
      <c r="FR514" s="10">
        <f>CPI_2023/(IF(FB514-1=2023,CPI_2023,IF(FB514-1=2024,CPI_2024,IF(FB514-1=2025,CPI_2025,CPI_2025*(1+INFL)^(FB514-1-2025)))))</f>
        <v>0.5438143923690854</v>
      </c>
      <c r="FS514" s="8">
        <f>$FB$21*ABS($FB$11)*(FG514-FF514)/FF514</f>
        <v>18001.80794630329</v>
      </c>
      <c r="FT514" s="8">
        <f>$FB$21*ABS($FB$11)*(FH514-FF514)/FF514</f>
        <v>22494.725697831203</v>
      </c>
      <c r="FU514" s="13">
        <f>(FG514-FF514)*MCD_NF_DAYS*FR514-FS514*MCD_SHARE_FREED*R_WAIT_2023</f>
        <v>47664540.17656619</v>
      </c>
      <c r="FV514" s="13">
        <f>(FH514-FF514)*MCD_NF_DAYS*FR514-FT514*MCD_SHARE_FREED*R_WAIT_2023</f>
        <v>59560726.343894266</v>
      </c>
      <c r="FW514" s="10">
        <f>IF(AND(FB514&gt;=RULE_START,FC514=1),1/(1+$FB$12)^(FB514-RULE_START+1),0)</f>
        <v>0</v>
      </c>
      <c r="FX514">
        <f>IF(AND(FB514&gt;=RULE_START,FC514=1,FM514&lt;0),FB514,9999)</f>
        <v>9999</v>
      </c>
      <c r="FY514">
        <f>IF(AND(FB514&gt;=RULE_START,FC514=1,FN514&lt;0),FB514,9999)</f>
        <v>9999</v>
      </c>
      <c r="FZ514">
        <f>IF(AND(FB514&gt;=RULE_START,FC514=1,FO514&lt;0),FB514,9999)</f>
        <v>9999</v>
      </c>
      <c r="GB514" t="n">
        <v>2050</v>
      </c>
      <c r="GC514">
        <f>IF(GB514&lt;=RULE_START+$GB$38-1,1,0)</f>
        <v>0</v>
      </c>
      <c r="GD514" s="15">
        <f>IF(GB514=2024,G_IDX_2024,IF(GB514=2025,G_IDX_2025,IF(GB514=2026,G_IDX_2026,IF(GB514=2027,G_IDX_2027,$GB$13))))</f>
        <v>0.033</v>
      </c>
      <c r="GE514" s="8">
        <f>$GB$20*(1+G_HI)^(GB514-COST_DATE)</f>
        <v>1258.6588384501697</v>
      </c>
      <c r="GF514" s="8">
        <f>GF513*(1+GD514)</f>
        <v>1079.5237480994922</v>
      </c>
      <c r="GG514" s="8">
        <f>IF(GB514&lt;RULE_START,GF514,GG513*(1+G_HI))</f>
        <v>1274.4519314236093</v>
      </c>
      <c r="GH514" s="8">
        <f>IF(GB514&lt;RULE_START,GF514,IF(GI514=1,R_NF_2024*(1+G_HI)^(GB514-2024),GH513*(1+GD514)))</f>
        <v>1323.1023946294374</v>
      </c>
      <c r="GI514">
        <f>IF(AND(GB514&gt;=RULE_START,MOD(GB514-RULE_START,REBASE_YEARS)=0),1,0)</f>
        <v>0</v>
      </c>
      <c r="GJ514" s="8">
        <f>GF514*CAP_SHARE</f>
        <v>52.785827802282256</v>
      </c>
      <c r="GK514" s="8">
        <f>GG514*CAP_SHARE</f>
        <v>62.317295300679746</v>
      </c>
      <c r="GL514" s="8">
        <f>GH514*CAP_SHARE</f>
        <v>64.6961730028194</v>
      </c>
      <c r="GM514" s="8">
        <f>GF514-GJ514-GE514</f>
        <v>-231.92091815295976</v>
      </c>
      <c r="GN514" s="8">
        <f>GG514-GK514-GE514</f>
        <v>-46.52420232724012</v>
      </c>
      <c r="GO514" s="8">
        <f>GH514-GL514-GE514</f>
        <v>-0.2526168235517616</v>
      </c>
      <c r="GP514" s="8">
        <f>R_NF_2024*(1+G_HI)^(GB514-2024)</f>
        <v>1341.5320737610875</v>
      </c>
      <c r="GQ514" s="10">
        <f>1-GF514/GP514</f>
        <v>0.19530530114500733</v>
      </c>
      <c r="GR514" s="10">
        <f>CPI_2023/(IF(GB514-1=2023,CPI_2023,IF(GB514-1=2024,CPI_2024,IF(GB514-1=2025,CPI_2025,CPI_2025*(1+INFL)^(GB514-1-2025)))))</f>
        <v>0.5438143923690854</v>
      </c>
      <c r="GS514" s="8">
        <f>$GB$21*ABS($GB$11)*(GG514-GF514)/GF514</f>
        <v>13588.664460429372</v>
      </c>
      <c r="GT514" s="8">
        <f>$GB$21*ABS($GB$11)*(GH514-GF514)/GF514</f>
        <v>16980.143358322897</v>
      </c>
      <c r="GU514" s="13">
        <f>(GG514-GF514)*MCD_NF_DAYS*GR514-GS514*MCD_SHARE_FREED*R_WAIT_2023</f>
        <v>49671279.18195626</v>
      </c>
      <c r="GV514" s="13">
        <f>(GH514-GF514)*MCD_NF_DAYS*GR514-GT514*MCD_SHARE_FREED*R_WAIT_2023</f>
        <v>62068310.2270263</v>
      </c>
      <c r="GW514" s="10">
        <f>IF(AND(GB514&gt;=RULE_START,GC514=1),1/(1+$GB$12)^(GB514-RULE_START+1),0)</f>
        <v>0</v>
      </c>
      <c r="GX514">
        <f>IF(AND(GB514&gt;=RULE_START,GC514=1,GM514&lt;0),GB514,9999)</f>
        <v>9999</v>
      </c>
      <c r="GY514">
        <f>IF(AND(GB514&gt;=RULE_START,GC514=1,GN514&lt;0),GB514,9999)</f>
        <v>9999</v>
      </c>
      <c r="GZ514">
        <f>IF(AND(GB514&gt;=RULE_START,GC514=1,GO514&lt;0),GB514,9999)</f>
        <v>9999</v>
      </c>
      <c r="HB514" t="n">
        <v>2050</v>
      </c>
      <c r="HC514">
        <f>IF(HB514&lt;=RULE_START+$HB$38-1,1,0)</f>
        <v>0</v>
      </c>
      <c r="HD514" s="15">
        <f>IF(HB514=2024,G_IDX_2024,IF(HB514=2025,G_IDX_2025,IF(HB514=2026,G_IDX_2026,IF(HB514=2027,G_IDX_2027,$HB$13))))</f>
        <v>0.033</v>
      </c>
      <c r="HE514" s="8">
        <f>$HB$20*(1+G_HI)^(HB514-COST_DATE)</f>
        <v>1258.6588384501697</v>
      </c>
      <c r="HF514" s="8">
        <f>HF513*(1+HD514)</f>
        <v>1079.5237480994922</v>
      </c>
      <c r="HG514" s="8">
        <f>IF(HB514&lt;RULE_START,HF514,HG513*(1+G_HI))</f>
        <v>1274.4519314236093</v>
      </c>
      <c r="HH514" s="8">
        <f>IF(HB514&lt;RULE_START,HF514,IF(HI514=1,R_NF_2024*(1+G_HI)^(HB514-2024),HH513*(1+HD514)))</f>
        <v>1323.1023946294374</v>
      </c>
      <c r="HI514">
        <f>IF(AND(HB514&gt;=RULE_START,MOD(HB514-RULE_START,REBASE_YEARS)=0),1,0)</f>
        <v>0</v>
      </c>
      <c r="HJ514" s="8">
        <f>HF514*CAP_SHARE</f>
        <v>52.785827802282256</v>
      </c>
      <c r="HK514" s="8">
        <f>HG514*CAP_SHARE</f>
        <v>62.317295300679746</v>
      </c>
      <c r="HL514" s="8">
        <f>HH514*CAP_SHARE</f>
        <v>64.6961730028194</v>
      </c>
      <c r="HM514" s="8">
        <f>HF514-HJ514-HE514</f>
        <v>-231.92091815295976</v>
      </c>
      <c r="HN514" s="8">
        <f>HG514-HK514-HE514</f>
        <v>-46.52420232724012</v>
      </c>
      <c r="HO514" s="8">
        <f>HH514-HL514-HE514</f>
        <v>-0.2526168235517616</v>
      </c>
      <c r="HP514" s="8">
        <f>R_NF_2024*(1+G_HI)^(HB514-2024)</f>
        <v>1341.5320737610875</v>
      </c>
      <c r="HQ514" s="10">
        <f>1-HF514/HP514</f>
        <v>0.19530530114500733</v>
      </c>
      <c r="HR514" s="10">
        <f>CPI_2023/(IF(HB514-1=2023,CPI_2023,IF(HB514-1=2024,CPI_2024,IF(HB514-1=2025,CPI_2025,CPI_2025*(1+INFL)^(HB514-1-2025)))))</f>
        <v>0.5438143923690854</v>
      </c>
      <c r="HS514" s="8">
        <f>$HB$21*ABS($HB$11)*(HG514-HF514)/HF514</f>
        <v>18001.80794630329</v>
      </c>
      <c r="HT514" s="8">
        <f>$HB$21*ABS($HB$11)*(HH514-HF514)/HF514</f>
        <v>22494.725697831203</v>
      </c>
      <c r="HU514" s="13">
        <f>(HG514-HF514)*MCD_NF_DAYS*HR514-HS514*MCD_SHARE_FREED*R_WAIT_2023</f>
        <v>47664540.17656619</v>
      </c>
      <c r="HV514" s="13">
        <f>(HH514-HF514)*MCD_NF_DAYS*HR514-HT514*MCD_SHARE_FREED*R_WAIT_2023</f>
        <v>59560726.343894266</v>
      </c>
      <c r="HW514" s="10">
        <f>IF(AND(HB514&gt;=RULE_START,HC514=1),1/(1+$HB$12)^(HB514-RULE_START+1),0)</f>
        <v>0</v>
      </c>
      <c r="HX514">
        <f>IF(AND(HB514&gt;=RULE_START,HC514=1,HM514&lt;0),HB514,9999)</f>
        <v>9999</v>
      </c>
      <c r="HY514">
        <f>IF(AND(HB514&gt;=RULE_START,HC514=1,HN514&lt;0),HB514,9999)</f>
        <v>9999</v>
      </c>
      <c r="HZ514">
        <f>IF(AND(HB514&gt;=RULE_START,HC514=1,HO514&lt;0),HB514,9999)</f>
        <v>9999</v>
      </c>
      <c r="IB514" t="n">
        <v>2050</v>
      </c>
      <c r="IC514">
        <f>IF(IB514&lt;=RULE_START+$IB$38-1,1,0)</f>
        <v>0</v>
      </c>
      <c r="ID514" s="15">
        <f>IF(IB514=2024,G_IDX_2024,IF(IB514=2025,G_IDX_2025,IF(IB514=2026,G_IDX_2026,IF(IB514=2027,G_IDX_2027,$IB$13))))</f>
        <v>0.033</v>
      </c>
      <c r="IE514" s="8">
        <f>$IB$20*(1+G_HI)^(IB514-COST_DATE)</f>
        <v>1258.6588384501697</v>
      </c>
      <c r="IF514" s="8">
        <f>IF513*(1+ID514)</f>
        <v>1079.5237480994922</v>
      </c>
      <c r="IG514" s="8">
        <f>IF(IB514&lt;RULE_START,IF514,IG513*(1+G_HI))</f>
        <v>1274.4519314236093</v>
      </c>
      <c r="IH514" s="8">
        <f>IF(IB514&lt;RULE_START,IF514,IF(II514=1,R_NF_2024*(1+G_HI)^(IB514-2024),IH513*(1+ID514)))</f>
        <v>1323.1023946294374</v>
      </c>
      <c r="II514">
        <f>IF(AND(IB514&gt;=RULE_START,MOD(IB514-RULE_START,REBASE_YEARS)=0),1,0)</f>
        <v>0</v>
      </c>
      <c r="IJ514" s="8">
        <f>IF514*CAP_SHARE</f>
        <v>52.785827802282256</v>
      </c>
      <c r="IK514" s="8">
        <f>IG514*CAP_SHARE</f>
        <v>62.317295300679746</v>
      </c>
      <c r="IL514" s="8">
        <f>IH514*CAP_SHARE</f>
        <v>64.6961730028194</v>
      </c>
      <c r="IM514" s="8">
        <f>IF514-IJ514-IE514</f>
        <v>-231.92091815295976</v>
      </c>
      <c r="IN514" s="8">
        <f>IG514-IK514-IE514</f>
        <v>-46.52420232724012</v>
      </c>
      <c r="IO514" s="8">
        <f>IH514-IL514-IE514</f>
        <v>-0.2526168235517616</v>
      </c>
      <c r="IP514" s="8">
        <f>R_NF_2024*(1+G_HI)^(IB514-2024)</f>
        <v>1341.5320737610875</v>
      </c>
      <c r="IQ514" s="10">
        <f>1-IF514/IP514</f>
        <v>0.19530530114500733</v>
      </c>
      <c r="IR514" s="10">
        <f>CPI_2023/(IF(IB514-1=2023,CPI_2023,IF(IB514-1=2024,CPI_2024,IF(IB514-1=2025,CPI_2025,CPI_2025*(1+INFL)^(IB514-1-2025)))))</f>
        <v>0.5438143923690854</v>
      </c>
      <c r="IS514" s="8">
        <f>$IB$21*ABS($IB$11)*(IG514-IF514)/IF514</f>
        <v>18001.80794630329</v>
      </c>
      <c r="IT514" s="8">
        <f>$IB$21*ABS($IB$11)*(IH514-IF514)/IF514</f>
        <v>22494.725697831203</v>
      </c>
      <c r="IU514" s="13">
        <f>(IG514-IF514)*MCD_NF_DAYS*IR514-IS514*MCD_SHARE_FREED*R_WAIT_2023</f>
        <v>47664540.17656619</v>
      </c>
      <c r="IV514" s="13">
        <f>(IH514-IF514)*MCD_NF_DAYS*IR514-IT514*MCD_SHARE_FREED*R_WAIT_2023</f>
        <v>59560726.343894266</v>
      </c>
      <c r="IW514" s="10">
        <f>IF(AND(IB514&gt;=RULE_START,IC514=1),1/(1+$IB$12)^(IB514-RULE_START+1),0)</f>
        <v>0</v>
      </c>
      <c r="IX514">
        <f>IF(AND(IB514&gt;=RULE_START,IC514=1,IM514&lt;0),IB514,9999)</f>
        <v>9999</v>
      </c>
      <c r="IY514">
        <f>IF(AND(IB514&gt;=RULE_START,IC514=1,IN514&lt;0),IB514,9999)</f>
        <v>9999</v>
      </c>
      <c r="IZ514">
        <f>IF(AND(IB514&gt;=RULE_START,IC514=1,IO514&lt;0),IB514,9999)</f>
        <v>9999</v>
      </c>
      <c r="JB514" t="n">
        <v>2050</v>
      </c>
      <c r="JC514">
        <f>IF(JB514&lt;=RULE_START+$JB$38-1,1,0)</f>
        <v>0</v>
      </c>
      <c r="JD514" s="15">
        <f>IF(JB514=2024,G_IDX_2024,IF(JB514=2025,G_IDX_2025,IF(JB514=2026,G_IDX_2026,IF(JB514=2027,G_IDX_2027,$JB$13))))</f>
        <v>0.03</v>
      </c>
      <c r="JE514" s="8">
        <f>$JB$20*(1+G_HI)^(JB514-COST_DATE)</f>
        <v>1258.6588384501697</v>
      </c>
      <c r="JF514" s="8">
        <f>JF513*(1+JD514)</f>
        <v>1009.673537383422</v>
      </c>
      <c r="JG514" s="8">
        <f>IF(JB514&lt;RULE_START,JF514,JG513*(1+G_HI))</f>
        <v>1274.4519314236093</v>
      </c>
      <c r="JH514" s="8">
        <f>IF(JB514&lt;RULE_START,JF514,IF(JI514=1,R_NF_2024*(1+G_HI)^(JB514-2024),JH513*(1+JD514)))</f>
        <v>1315.428544819008</v>
      </c>
      <c r="JI514">
        <f>IF(AND(JB514&gt;=RULE_START,MOD(JB514-RULE_START,REBASE_YEARS)=0),1,0)</f>
        <v>0</v>
      </c>
      <c r="JJ514" s="8">
        <f>JF514*CAP_SHARE</f>
        <v>49.37033907282838</v>
      </c>
      <c r="JK514" s="8">
        <f>JG514*CAP_SHARE</f>
        <v>62.317295300679746</v>
      </c>
      <c r="JL514" s="8">
        <f>JH514*CAP_SHARE</f>
        <v>64.32094224445301</v>
      </c>
      <c r="JM514" s="8">
        <f>JF514-JJ514-JE514</f>
        <v>-298.35564013957617</v>
      </c>
      <c r="JN514" s="8">
        <f>JG514-JK514-JE514</f>
        <v>-46.52420232724012</v>
      </c>
      <c r="JO514" s="8">
        <f>JH514-JL514-JE514</f>
        <v>-7.551235875614566</v>
      </c>
      <c r="JP514" s="8">
        <f>R_NF_2024*(1+G_HI)^(JB514-2024)</f>
        <v>1341.5320737610875</v>
      </c>
      <c r="JQ514" s="10">
        <f>1-JF514/JP514</f>
        <v>0.24737279329242934</v>
      </c>
      <c r="JR514" s="10">
        <f>CPI_2023/(IF(JB514-1=2023,CPI_2023,IF(JB514-1=2024,CPI_2024,IF(JB514-1=2025,CPI_2025,CPI_2025*(1+INFL)^(JB514-1-2025)))))</f>
        <v>0.5438143923690854</v>
      </c>
      <c r="JS514" s="8">
        <f>$JB$21*ABS($JB$11)*(JG514-JF514)/JF514</f>
        <v>26144.19410398659</v>
      </c>
      <c r="JT514" s="8">
        <f>$JB$21*ABS($JB$11)*(JH514-JF514)/JF514</f>
        <v>30190.22111543044</v>
      </c>
      <c r="JU514" s="13">
        <f>(JG514-JF514)*MCD_NF_DAYS*JR514-JS514*MCD_SHARE_FREED*R_WAIT_2023</f>
        <v>63975339.40830214</v>
      </c>
      <c r="JV514" s="13">
        <f>(JH514-JF514)*MCD_NF_DAYS*JR514-JT514*MCD_SHARE_FREED*R_WAIT_2023</f>
        <v>73876044.3327966</v>
      </c>
      <c r="JW514" s="10">
        <f>IF(AND(JB514&gt;=RULE_START,JC514=1),1/(1+$JB$12)^(JB514-RULE_START+1),0)</f>
        <v>0</v>
      </c>
      <c r="JX514">
        <f>IF(AND(JB514&gt;=RULE_START,JC514=1,JM514&lt;0),JB514,9999)</f>
        <v>9999</v>
      </c>
      <c r="JY514">
        <f>IF(AND(JB514&gt;=RULE_START,JC514=1,JN514&lt;0),JB514,9999)</f>
        <v>9999</v>
      </c>
      <c r="JZ514">
        <f>IF(AND(JB514&gt;=RULE_START,JC514=1,JO514&lt;0),JB514,9999)</f>
        <v>9999</v>
      </c>
      <c r="KB514" t="n">
        <v>2050</v>
      </c>
      <c r="KC514">
        <f>IF(KB514&lt;=RULE_START+$KB$38-1,1,0)</f>
        <v>0</v>
      </c>
      <c r="KD514" s="15">
        <f>IF(KB514=2024,G_IDX_2024,IF(KB514=2025,G_IDX_2025,IF(KB514=2026,G_IDX_2026,IF(KB514=2027,G_IDX_2027,$KB$13))))</f>
        <v>0.033</v>
      </c>
      <c r="KE514" s="8">
        <f>$KB$20*(1+G_HI)^(KB514-COST_DATE)</f>
        <v>1258.6588384501697</v>
      </c>
      <c r="KF514" s="8">
        <f>KF513*(1+KD514)</f>
        <v>1079.5237480994922</v>
      </c>
      <c r="KG514" s="8">
        <f>IF(KB514&lt;RULE_START,KF514,KG513*(1+G_HI))</f>
        <v>1274.4519314236093</v>
      </c>
      <c r="KH514" s="8">
        <f>IF(KB514&lt;RULE_START,KF514,IF(KI514=1,R_NF_2024*(1+G_HI)^(KB514-2024),KH513*(1+KD514)))</f>
        <v>1323.1023946294374</v>
      </c>
      <c r="KI514">
        <f>IF(AND(KB514&gt;=RULE_START,MOD(KB514-RULE_START,REBASE_YEARS)=0),1,0)</f>
        <v>0</v>
      </c>
      <c r="KJ514" s="8">
        <f>KF514*CAP_SHARE</f>
        <v>52.785827802282256</v>
      </c>
      <c r="KK514" s="8">
        <f>KG514*CAP_SHARE</f>
        <v>62.317295300679746</v>
      </c>
      <c r="KL514" s="8">
        <f>KH514*CAP_SHARE</f>
        <v>64.6961730028194</v>
      </c>
      <c r="KM514" s="8">
        <f>KF514-KJ514-KE514</f>
        <v>-231.92091815295976</v>
      </c>
      <c r="KN514" s="8">
        <f>KG514-KK514-KE514</f>
        <v>-46.52420232724012</v>
      </c>
      <c r="KO514" s="8">
        <f>KH514-KL514-KE514</f>
        <v>-0.2526168235517616</v>
      </c>
      <c r="KP514" s="8">
        <f>R_NF_2024*(1+G_HI)^(KB514-2024)</f>
        <v>1341.5320737610875</v>
      </c>
      <c r="KQ514" s="10">
        <f>1-KF514/KP514</f>
        <v>0.19530530114500733</v>
      </c>
      <c r="KR514" s="10">
        <f>CPI_2023/(IF(KB514-1=2023,CPI_2023,IF(KB514-1=2024,CPI_2024,IF(KB514-1=2025,CPI_2025,CPI_2025*(1+INFL)^(KB514-1-2025)))))</f>
        <v>0.5438143923690854</v>
      </c>
      <c r="KS514" s="8">
        <f>$KB$21*ABS($KB$11)*(KG514-KF514)/KF514</f>
        <v>18001.80794630329</v>
      </c>
      <c r="KT514" s="8">
        <f>$KB$21*ABS($KB$11)*(KH514-KF514)/KF514</f>
        <v>22494.725697831203</v>
      </c>
      <c r="KU514" s="13">
        <f>(KG514-KF514)*MCD_NF_DAYS*KR514-KS514*MCD_SHARE_FREED*R_WAIT_2023</f>
        <v>47664540.17656619</v>
      </c>
      <c r="KV514" s="13">
        <f>(KH514-KF514)*MCD_NF_DAYS*KR514-KT514*MCD_SHARE_FREED*R_WAIT_2023</f>
        <v>59560726.343894266</v>
      </c>
      <c r="KW514" s="10">
        <f>IF(AND(KB514&gt;=RULE_START,KC514=1),1/(1+$KB$12)^(KB514-RULE_START+1),0)</f>
        <v>0</v>
      </c>
      <c r="KX514">
        <f>IF(AND(KB514&gt;=RULE_START,KC514=1,KM514&lt;0),KB514,9999)</f>
        <v>9999</v>
      </c>
      <c r="KY514">
        <f>IF(AND(KB514&gt;=RULE_START,KC514=1,KN514&lt;0),KB514,9999)</f>
        <v>9999</v>
      </c>
      <c r="KZ514">
        <f>IF(AND(KB514&gt;=RULE_START,KC514=1,KO514&lt;0),KB514,9999)</f>
        <v>9999</v>
      </c>
      <c r="LB514" t="n">
        <v>2050</v>
      </c>
      <c r="LC514">
        <f>IF(LB514&lt;=RULE_START+$LB$38-1,1,0)</f>
        <v>0</v>
      </c>
      <c r="LD514" s="15">
        <f>IF(LB514=2024,G_IDX_2024,IF(LB514=2025,G_IDX_2025,IF(LB514=2026,G_IDX_2026,IF(LB514=2027,G_IDX_2027,$LB$13))))</f>
        <v>0.033</v>
      </c>
      <c r="LE514" s="8">
        <f>$LB$20*(1+G_HI)^(LB514-COST_DATE)</f>
        <v>1258.6588384501697</v>
      </c>
      <c r="LF514" s="8">
        <f>LF513*(1+LD514)</f>
        <v>1079.5237480994922</v>
      </c>
      <c r="LG514" s="8">
        <f>IF(LB514&lt;RULE_START,LF514,LG513*(1+G_HI))</f>
        <v>1274.4519314236093</v>
      </c>
      <c r="LH514" s="8">
        <f>IF(LB514&lt;RULE_START,LF514,IF(LI514=1,R_NF_2024*(1+G_HI)^(LB514-2024),LH513*(1+LD514)))</f>
        <v>1323.1023946294374</v>
      </c>
      <c r="LI514">
        <f>IF(AND(LB514&gt;=RULE_START,MOD(LB514-RULE_START,REBASE_YEARS)=0),1,0)</f>
        <v>0</v>
      </c>
      <c r="LJ514" s="8">
        <f>LF514*CAP_SHARE</f>
        <v>52.785827802282256</v>
      </c>
      <c r="LK514" s="8">
        <f>LG514*CAP_SHARE</f>
        <v>62.317295300679746</v>
      </c>
      <c r="LL514" s="8">
        <f>LH514*CAP_SHARE</f>
        <v>64.6961730028194</v>
      </c>
      <c r="LM514" s="8">
        <f>LF514-LJ514-LE514</f>
        <v>-231.92091815295976</v>
      </c>
      <c r="LN514" s="8">
        <f>LG514-LK514-LE514</f>
        <v>-46.52420232724012</v>
      </c>
      <c r="LO514" s="8">
        <f>LH514-LL514-LE514</f>
        <v>-0.2526168235517616</v>
      </c>
      <c r="LP514" s="8">
        <f>R_NF_2024*(1+G_HI)^(LB514-2024)</f>
        <v>1341.5320737610875</v>
      </c>
      <c r="LQ514" s="10">
        <f>1-LF514/LP514</f>
        <v>0.19530530114500733</v>
      </c>
      <c r="LR514" s="10">
        <f>CPI_2023/(IF(LB514-1=2023,CPI_2023,IF(LB514-1=2024,CPI_2024,IF(LB514-1=2025,CPI_2025,CPI_2025*(1+INFL)^(LB514-1-2025)))))</f>
        <v>0.5438143923690854</v>
      </c>
      <c r="LS514" s="8">
        <f>$LB$21*ABS($LB$11)*(LG514-LF514)/LF514</f>
        <v>18001.80794630329</v>
      </c>
      <c r="LT514" s="8">
        <f>$LB$21*ABS($LB$11)*(LH514-LF514)/LF514</f>
        <v>22494.725697831203</v>
      </c>
      <c r="LU514" s="13">
        <f>(LG514-LF514)*MCD_NF_DAYS*LR514-LS514*MCD_SHARE_FREED*R_WAIT_2023</f>
        <v>47664540.17656619</v>
      </c>
      <c r="LV514" s="13">
        <f>(LH514-LF514)*MCD_NF_DAYS*LR514-LT514*MCD_SHARE_FREED*R_WAIT_2023</f>
        <v>59560726.343894266</v>
      </c>
      <c r="LW514" s="10">
        <f>IF(AND(LB514&gt;=RULE_START,LC514=1),1/(1+$LB$12)^(LB514-RULE_START+1),0)</f>
        <v>0</v>
      </c>
      <c r="LX514">
        <f>IF(AND(LB514&gt;=RULE_START,LC514=1,LM514&lt;0),LB514,9999)</f>
        <v>9999</v>
      </c>
      <c r="LY514">
        <f>IF(AND(LB514&gt;=RULE_START,LC514=1,LN514&lt;0),LB514,9999)</f>
        <v>9999</v>
      </c>
      <c r="LZ514">
        <f>IF(AND(LB514&gt;=RULE_START,LC514=1,LO514&lt;0),LB514,9999)</f>
        <v>9999</v>
      </c>
      <c r="MB514" t="n">
        <v>2050</v>
      </c>
      <c r="MC514">
        <f>IF(MB514&lt;=RULE_START+$MB$38-1,1,0)</f>
        <v>0</v>
      </c>
      <c r="MD514" s="15">
        <f>IF(MB514=2024,G_IDX_2024,IF(MB514=2025,G_IDX_2025,IF(MB514=2026,G_IDX_2026,IF(MB514=2027,G_IDX_2027,$MB$13))))</f>
        <v>0.033</v>
      </c>
      <c r="ME514" s="8">
        <f>$MB$20*(1+G_HI)^(MB514-COST_DATE)</f>
        <v>1258.6588384501697</v>
      </c>
      <c r="MF514" s="8">
        <f>MF513*(1+MD514)</f>
        <v>1079.5237480994922</v>
      </c>
      <c r="MG514" s="8">
        <f>IF(MB514&lt;RULE_START,MF514,MG513*(1+G_HI))</f>
        <v>1274.4519314236093</v>
      </c>
      <c r="MH514" s="8">
        <f>IF(MB514&lt;RULE_START,MF514,IF(MI514=1,R_NF_2024*(1+G_HI)^(MB514-2024),MH513*(1+MD514)))</f>
        <v>1323.1023946294374</v>
      </c>
      <c r="MI514">
        <f>IF(AND(MB514&gt;=RULE_START,MOD(MB514-RULE_START,REBASE_YEARS)=0),1,0)</f>
        <v>0</v>
      </c>
      <c r="MJ514" s="8">
        <f>MF514*CAP_SHARE</f>
        <v>52.785827802282256</v>
      </c>
      <c r="MK514" s="8">
        <f>MG514*CAP_SHARE</f>
        <v>62.317295300679746</v>
      </c>
      <c r="ML514" s="8">
        <f>MH514*CAP_SHARE</f>
        <v>64.6961730028194</v>
      </c>
      <c r="MM514" s="8">
        <f>MF514-MJ514-ME514</f>
        <v>-231.92091815295976</v>
      </c>
      <c r="MN514" s="8">
        <f>MG514-MK514-ME514</f>
        <v>-46.52420232724012</v>
      </c>
      <c r="MO514" s="8">
        <f>MH514-ML514-ME514</f>
        <v>-0.2526168235517616</v>
      </c>
      <c r="MP514" s="8">
        <f>R_NF_2024*(1+G_HI)^(MB514-2024)</f>
        <v>1341.5320737610875</v>
      </c>
      <c r="MQ514" s="10">
        <f>1-MF514/MP514</f>
        <v>0.19530530114500733</v>
      </c>
      <c r="MR514" s="10">
        <f>CPI_2023/(IF(MB514-1=2023,CPI_2023,IF(MB514-1=2024,CPI_2024,IF(MB514-1=2025,CPI_2025,CPI_2025*(1+INFL)^(MB514-1-2025)))))</f>
        <v>0.5438143923690854</v>
      </c>
      <c r="MS514" s="8">
        <f>$MB$21*ABS($MB$11)*(MG514-MF514)/MF514</f>
        <v>13187.937717837698</v>
      </c>
      <c r="MT514" s="8">
        <f>$MB$21*ABS($MB$11)*(MH514-MF514)/MF514</f>
        <v>16479.402644874936</v>
      </c>
      <c r="MU514" s="13">
        <f>(MG514-MF514)*MCD_NF_DAYS*MR514-MS514*MCD_SHARE_FREED*R_WAIT_2023</f>
        <v>49853497.13780466</v>
      </c>
      <c r="MV514" s="13">
        <f>(MH514-MF514)*MCD_NF_DAYS*MR514-MT514*MCD_SHARE_FREED*R_WAIT_2023</f>
        <v>62296006.408779584</v>
      </c>
      <c r="MW514" s="10">
        <f>IF(AND(MB514&gt;=RULE_START,MC514=1),1/(1+$MB$12)^(MB514-RULE_START+1),0)</f>
        <v>0</v>
      </c>
      <c r="MX514">
        <f>IF(AND(MB514&gt;=RULE_START,MC514=1,MM514&lt;0),MB514,9999)</f>
        <v>9999</v>
      </c>
      <c r="MY514">
        <f>IF(AND(MB514&gt;=RULE_START,MC514=1,MN514&lt;0),MB514,9999)</f>
        <v>9999</v>
      </c>
      <c r="MZ514">
        <f>IF(AND(MB514&gt;=RULE_START,MC514=1,MO514&lt;0),MB514,9999)</f>
        <v>9999</v>
      </c>
      <c r="NB514" t="n">
        <v>2050</v>
      </c>
      <c r="NC514">
        <f>IF(NB514&lt;=RULE_START+$NB$38-1,1,0)</f>
        <v>0</v>
      </c>
      <c r="ND514" s="15">
        <f>IF(NB514=2024,G_IDX_2024,IF(NB514=2025,G_IDX_2025,IF(NB514=2026,G_IDX_2026,IF(NB514=2027,G_IDX_2027,$NB$13))))</f>
        <v>0.033</v>
      </c>
      <c r="NE514" s="8">
        <f>$NB$20*(1+G_HI)^(NB514-COST_DATE)</f>
        <v>1258.6588384501697</v>
      </c>
      <c r="NF514" s="8">
        <f>NF513*(1+ND514)</f>
        <v>1079.5237480994922</v>
      </c>
      <c r="NG514" s="8">
        <f>IF(NB514&lt;RULE_START,NF514,NG513*(1+G_HI))</f>
        <v>1274.4519314236093</v>
      </c>
      <c r="NH514" s="8">
        <f>IF(NB514&lt;RULE_START,NF514,IF(NI514=1,R_NF_2024*(1+G_HI)^(NB514-2024),NH513*(1+ND514)))</f>
        <v>1323.1023946294374</v>
      </c>
      <c r="NI514">
        <f>IF(AND(NB514&gt;=RULE_START,MOD(NB514-RULE_START,REBASE_YEARS)=0),1,0)</f>
        <v>0</v>
      </c>
      <c r="NJ514" s="8">
        <f>NF514*CAP_SHARE</f>
        <v>52.785827802282256</v>
      </c>
      <c r="NK514" s="8">
        <f>NG514*CAP_SHARE</f>
        <v>62.317295300679746</v>
      </c>
      <c r="NL514" s="8">
        <f>NH514*CAP_SHARE</f>
        <v>64.6961730028194</v>
      </c>
      <c r="NM514" s="8">
        <f>NF514-NJ514-NE514</f>
        <v>-231.92091815295976</v>
      </c>
      <c r="NN514" s="8">
        <f>NG514-NK514-NE514</f>
        <v>-46.52420232724012</v>
      </c>
      <c r="NO514" s="8">
        <f>NH514-NL514-NE514</f>
        <v>-0.2526168235517616</v>
      </c>
      <c r="NP514" s="8">
        <f>R_NF_2024*(1+G_HI)^(NB514-2024)</f>
        <v>1341.5320737610875</v>
      </c>
      <c r="NQ514" s="10">
        <f>1-NF514/NP514</f>
        <v>0.19530530114500733</v>
      </c>
      <c r="NR514" s="10">
        <f>CPI_2023/(IF(NB514-1=2023,CPI_2023,IF(NB514-1=2024,CPI_2024,IF(NB514-1=2025,CPI_2025,CPI_2025*(1+INFL)^(NB514-1-2025)))))</f>
        <v>0.5438143923690854</v>
      </c>
      <c r="NS514" s="8">
        <f>$NB$21*ABS($NB$11)*(NG514-NF514)/NF514</f>
        <v>18001.80794630329</v>
      </c>
      <c r="NT514" s="8">
        <f>$NB$21*ABS($NB$11)*(NH514-NF514)/NF514</f>
        <v>22494.725697831203</v>
      </c>
      <c r="NU514" s="13">
        <f>(NG514-NF514)*MCD_NF_DAYS*NR514-NS514*MCD_SHARE_FREED*R_WAIT_2023</f>
        <v>47664540.17656619</v>
      </c>
      <c r="NV514" s="13">
        <f>(NH514-NF514)*MCD_NF_DAYS*NR514-NT514*MCD_SHARE_FREED*R_WAIT_2023</f>
        <v>59560726.343894266</v>
      </c>
      <c r="NW514" s="10">
        <f>IF(AND(NB514&gt;=RULE_START,NC514=1),1/(1+$NB$12)^(NB514-RULE_START+1),0)</f>
        <v>0</v>
      </c>
      <c r="NX514">
        <f>IF(AND(NB514&gt;=RULE_START,NC514=1,NM514&lt;0),NB514,9999)</f>
        <v>9999</v>
      </c>
      <c r="NY514">
        <f>IF(AND(NB514&gt;=RULE_START,NC514=1,NN514&lt;0),NB514,9999)</f>
        <v>9999</v>
      </c>
      <c r="NZ514">
        <f>IF(AND(NB514&gt;=RULE_START,NC514=1,NO514&lt;0),NB514,9999)</f>
        <v>9999</v>
      </c>
      <c r="OB514" t="n">
        <v>2050</v>
      </c>
      <c r="OC514">
        <f>IF(OB514&lt;=RULE_START+$OB$38-1,1,0)</f>
        <v>0</v>
      </c>
      <c r="OD514" s="15">
        <f>IF(OB514=2024,G_IDX_2024,IF(OB514=2025,G_IDX_2025,IF(OB514=2026,G_IDX_2026,IF(OB514=2027,G_IDX_2027,$OB$13))))</f>
        <v>0.033</v>
      </c>
      <c r="OE514" s="8">
        <f>$OB$20*(1+G_HI)^(OB514-COST_DATE)</f>
        <v>1258.6588384501697</v>
      </c>
      <c r="OF514" s="8">
        <f>OF513*(1+OD514)</f>
        <v>1079.5237480994922</v>
      </c>
      <c r="OG514" s="8">
        <f>IF(OB514&lt;RULE_START,OF514,OG513*(1+G_HI))</f>
        <v>1274.4519314236093</v>
      </c>
      <c r="OH514" s="8">
        <f>IF(OB514&lt;RULE_START,OF514,IF(OI514=1,R_NF_2024*(1+G_HI)^(OB514-2024),OH513*(1+OD514)))</f>
        <v>1323.1023946294374</v>
      </c>
      <c r="OI514">
        <f>IF(AND(OB514&gt;=RULE_START,MOD(OB514-RULE_START,REBASE_YEARS)=0),1,0)</f>
        <v>0</v>
      </c>
      <c r="OJ514" s="8">
        <f>OF514*CAP_SHARE</f>
        <v>52.785827802282256</v>
      </c>
      <c r="OK514" s="8">
        <f>OG514*CAP_SHARE</f>
        <v>62.317295300679746</v>
      </c>
      <c r="OL514" s="8">
        <f>OH514*CAP_SHARE</f>
        <v>64.6961730028194</v>
      </c>
      <c r="OM514" s="8">
        <f>OF514-OJ514-OE514</f>
        <v>-231.92091815295976</v>
      </c>
      <c r="ON514" s="8">
        <f>OG514-OK514-OE514</f>
        <v>-46.52420232724012</v>
      </c>
      <c r="OO514" s="8">
        <f>OH514-OL514-OE514</f>
        <v>-0.2526168235517616</v>
      </c>
      <c r="OP514" s="8">
        <f>R_NF_2024*(1+G_HI)^(OB514-2024)</f>
        <v>1341.5320737610875</v>
      </c>
      <c r="OQ514" s="10">
        <f>1-OF514/OP514</f>
        <v>0.19530530114500733</v>
      </c>
      <c r="OR514" s="10">
        <f>CPI_2023/(IF(OB514-1=2023,CPI_2023,IF(OB514-1=2024,CPI_2024,IF(OB514-1=2025,CPI_2025,CPI_2025*(1+INFL)^(OB514-1-2025)))))</f>
        <v>0.5438143923690854</v>
      </c>
      <c r="OS514" s="8">
        <f>$OB$21*ABS($OB$11)*(OG514-OF514)/OF514</f>
        <v>18001.80794630329</v>
      </c>
      <c r="OT514" s="8">
        <f>$OB$21*ABS($OB$11)*(OH514-OF514)/OF514</f>
        <v>22494.725697831203</v>
      </c>
      <c r="OU514" s="13">
        <f>(OG514-OF514)*MCD_NF_DAYS*OR514-OS514*MCD_SHARE_FREED*R_WAIT_2023</f>
        <v>47664540.17656619</v>
      </c>
      <c r="OV514" s="13">
        <f>(OH514-OF514)*MCD_NF_DAYS*OR514-OT514*MCD_SHARE_FREED*R_WAIT_2023</f>
        <v>59560726.343894266</v>
      </c>
      <c r="OW514" s="10">
        <f>IF(AND(OB514&gt;=RULE_START,OC514=1),1/(1+$OB$12)^(OB514-RULE_START+1),0)</f>
        <v>0</v>
      </c>
      <c r="OX514">
        <f>IF(AND(OB514&gt;=RULE_START,OC514=1,OM514&lt;0),OB514,9999)</f>
        <v>9999</v>
      </c>
      <c r="OY514">
        <f>IF(AND(OB514&gt;=RULE_START,OC514=1,ON514&lt;0),OB514,9999)</f>
        <v>9999</v>
      </c>
      <c r="OZ514">
        <f>IF(AND(OB514&gt;=RULE_START,OC514=1,OO514&lt;0),OB514,9999)</f>
        <v>9999</v>
      </c>
    </row>
    <row r="515">
      <c r="B515" t="n">
        <v>2051</v>
      </c>
      <c r="C515">
        <f>IF(B515&lt;=RULE_START+$B$38-1,1,0)</f>
        <v>0</v>
      </c>
      <c r="D515" s="15">
        <f>IF(B515=2024,G_IDX_2024,IF(B515=2025,G_IDX_2025,IF(B515=2026,G_IDX_2026,IF(B515=2027,G_IDX_2027,$B$13))))</f>
        <v>0.033</v>
      </c>
      <c r="E515" s="8">
        <f>$B$20*(1+G_HI)^(B515-COST_DATE)</f>
        <v>1309.2185611985776</v>
      </c>
      <c r="F515" s="8">
        <f>F514*(1+D515)</f>
        <v>1115.1480317867754</v>
      </c>
      <c r="G515" s="8">
        <f>IF(B515&lt;RULE_START,F515,G514*(1+G_HI))</f>
        <v>1325.6460551531918</v>
      </c>
      <c r="H515" s="8">
        <f>IF(B515&lt;RULE_START,F515,IF(I515=1,R_NF_2024*(1+G_HI)^(B515-2024),H514*(1+D515)))</f>
        <v>1395.4207746825982</v>
      </c>
      <c r="I515">
        <f>IF(AND(B515&gt;=RULE_START,MOD(B515-RULE_START,REBASE_YEARS)=0),1,0)</f>
        <v>1</v>
      </c>
      <c r="J515" s="8">
        <f>F515*CAP_SHARE</f>
        <v>54.527760119757566</v>
      </c>
      <c r="K515" s="8">
        <f>G515*CAP_SHARE</f>
        <v>64.82055120814444</v>
      </c>
      <c r="L515" s="8">
        <f>H515*CAP_SHARE</f>
        <v>68.23234862021242</v>
      </c>
      <c r="M515" s="8">
        <f>F515-J515-E515</f>
        <v>-248.59828953155989</v>
      </c>
      <c r="N515" s="8">
        <f>G515-K515-E515</f>
        <v>-48.39305725353029</v>
      </c>
      <c r="O515" s="8">
        <f>H515-L515-E515</f>
        <v>17.969864863808198</v>
      </c>
      <c r="P515" s="8">
        <f>R_NF_2024*(1+G_HI)^(B515-2024)</f>
        <v>1395.4207746825982</v>
      </c>
      <c r="Q515" s="10">
        <f>1-F515/P515</f>
        <v>0.200851777457286</v>
      </c>
      <c r="R515" s="10">
        <f>CPI_2023/(IF(B515-1=2023,CPI_2023,IF(B515-1=2024,CPI_2024,IF(B515-1=2025,CPI_2025,CPI_2025*(1+INFL)^(B515-1-2025)))))</f>
        <v>0.5316918188982063</v>
      </c>
      <c r="S515" s="8">
        <f>$B$21*ABS($B$11)*(G515-F515)/F515</f>
        <v>18818.681382082144</v>
      </c>
      <c r="T515" s="8">
        <f>$B$21*ABS($B$11)*(H515-F515)/F515</f>
        <v>25056.593711844835</v>
      </c>
      <c r="U515" s="13">
        <f>(G515-F515)*MCD_NF_DAYS*R515-S515*MCD_SHARE_FREED*R_WAIT_2023</f>
        <v>50409676.329383135</v>
      </c>
      <c r="V515" s="13">
        <f>(H515-F515)*MCD_NF_DAYS*R515-T515*MCD_SHARE_FREED*R_WAIT_2023</f>
        <v>67119196.78567846</v>
      </c>
      <c r="W515" s="10">
        <f>IF(AND(B515&gt;=RULE_START,C515=1),1/(1+$B$12)^(B515-RULE_START+1),0)</f>
        <v>0</v>
      </c>
      <c r="X515">
        <f>IF(AND(B515&gt;=RULE_START,C515=1,M515&lt;0),B515,9999)</f>
        <v>9999</v>
      </c>
      <c r="Y515">
        <f>IF(AND(B515&gt;=RULE_START,C515=1,N515&lt;0),B515,9999)</f>
        <v>9999</v>
      </c>
      <c r="Z515">
        <f>IF(AND(B515&gt;=RULE_START,C515=1,O515&lt;0),B515,9999)</f>
        <v>9999</v>
      </c>
      <c r="AB515" t="n">
        <v>2051</v>
      </c>
      <c r="AC515">
        <f>IF(AB515&lt;=RULE_START+$AB$38-1,1,0)</f>
        <v>0</v>
      </c>
      <c r="AD515" s="15">
        <f>IF(AB515=2024,G_IDX_2024,IF(AB515=2025,G_IDX_2025,IF(AB515=2026,G_IDX_2026,IF(AB515=2027,G_IDX_2027,$AB$13))))</f>
        <v>0.033</v>
      </c>
      <c r="AE515" s="8">
        <f>$AB$20*(1+G_HI)^(AB515-COST_DATE)</f>
        <v>1309.2185611985776</v>
      </c>
      <c r="AF515" s="8">
        <f>AF514*(1+AD515)</f>
        <v>1115.1480317867754</v>
      </c>
      <c r="AG515" s="8">
        <f>IF(AB515&lt;RULE_START,AF515,AG514*(1+G_HI))</f>
        <v>1325.6460551531918</v>
      </c>
      <c r="AH515" s="8">
        <f>IF(AB515&lt;RULE_START,AF515,IF(AI515=1,R_NF_2024*(1+G_HI)^(AB515-2024),AH514*(1+AD515)))</f>
        <v>1395.4207746825982</v>
      </c>
      <c r="AI515">
        <f>IF(AND(AB515&gt;=RULE_START,MOD(AB515-RULE_START,REBASE_YEARS)=0),1,0)</f>
        <v>1</v>
      </c>
      <c r="AJ515" s="8">
        <f>AF515*CAP_SHARE</f>
        <v>54.527760119757566</v>
      </c>
      <c r="AK515" s="8">
        <f>AG515*CAP_SHARE</f>
        <v>64.82055120814444</v>
      </c>
      <c r="AL515" s="8">
        <f>AH515*CAP_SHARE</f>
        <v>68.23234862021242</v>
      </c>
      <c r="AM515" s="8">
        <f>AF515-AJ515-AE515</f>
        <v>-248.59828953155989</v>
      </c>
      <c r="AN515" s="8">
        <f>AG515-AK515-AE515</f>
        <v>-48.39305725353029</v>
      </c>
      <c r="AO515" s="8">
        <f>AH515-AL515-AE515</f>
        <v>17.969864863808198</v>
      </c>
      <c r="AP515" s="8">
        <f>R_NF_2024*(1+G_HI)^(AB515-2024)</f>
        <v>1395.4207746825982</v>
      </c>
      <c r="AQ515" s="10">
        <f>1-AF515/AP515</f>
        <v>0.200851777457286</v>
      </c>
      <c r="AR515" s="10">
        <f>CPI_2023/(IF(AB515-1=2023,CPI_2023,IF(AB515-1=2024,CPI_2024,IF(AB515-1=2025,CPI_2025,CPI_2025*(1+INFL)^(AB515-1-2025)))))</f>
        <v>0.5316918188982063</v>
      </c>
      <c r="AS515" s="8">
        <f>$AB$21*ABS($AB$11)*(AG515-AF515)/AF515</f>
        <v>18818.681382082144</v>
      </c>
      <c r="AT515" s="8">
        <f>$AB$21*ABS($AB$11)*(AH515-AF515)/AF515</f>
        <v>25056.593711844835</v>
      </c>
      <c r="AU515" s="13">
        <f>(AG515-AF515)*MCD_NF_DAYS*AR515-AS515*MCD_SHARE_FREED*R_WAIT_2023</f>
        <v>50409676.329383135</v>
      </c>
      <c r="AV515" s="13">
        <f>(AH515-AF515)*MCD_NF_DAYS*AR515-AT515*MCD_SHARE_FREED*R_WAIT_2023</f>
        <v>67119196.78567846</v>
      </c>
      <c r="AW515" s="10">
        <f>IF(AND(AB515&gt;=RULE_START,AC515=1),1/(1+$AB$12)^(AB515-RULE_START+1),0)</f>
        <v>0</v>
      </c>
      <c r="AX515">
        <f>IF(AND(AB515&gt;=RULE_START,AC515=1,AM515&lt;0),AB515,9999)</f>
        <v>9999</v>
      </c>
      <c r="AY515">
        <f>IF(AND(AB515&gt;=RULE_START,AC515=1,AN515&lt;0),AB515,9999)</f>
        <v>9999</v>
      </c>
      <c r="AZ515">
        <f>IF(AND(AB515&gt;=RULE_START,AC515=1,AO515&lt;0),AB515,9999)</f>
        <v>9999</v>
      </c>
      <c r="BB515" t="n">
        <v>2051</v>
      </c>
      <c r="BC515">
        <f>IF(BB515&lt;=RULE_START+$BB$38-1,1,0)</f>
        <v>0</v>
      </c>
      <c r="BD515" s="15">
        <f>IF(BB515=2024,G_IDX_2024,IF(BB515=2025,G_IDX_2025,IF(BB515=2026,G_IDX_2026,IF(BB515=2027,G_IDX_2027,$BB$13))))</f>
        <v>0.033</v>
      </c>
      <c r="BE515" s="8">
        <f>$BB$20*(1+G_HI)^(BB515-COST_DATE)</f>
        <v>1309.2185611985776</v>
      </c>
      <c r="BF515" s="8">
        <f>BF514*(1+BD515)</f>
        <v>1115.1480317867754</v>
      </c>
      <c r="BG515" s="8">
        <f>IF(BB515&lt;RULE_START,BF515,BG514*(1+G_HI))</f>
        <v>1325.6460551531918</v>
      </c>
      <c r="BH515" s="8">
        <f>IF(BB515&lt;RULE_START,BF515,IF(BI515=1,R_NF_2024*(1+G_HI)^(BB515-2024),BH514*(1+BD515)))</f>
        <v>1395.4207746825982</v>
      </c>
      <c r="BI515">
        <f>IF(AND(BB515&gt;=RULE_START,MOD(BB515-RULE_START,REBASE_YEARS)=0),1,0)</f>
        <v>1</v>
      </c>
      <c r="BJ515" s="8">
        <f>BF515*CAP_SHARE</f>
        <v>54.527760119757566</v>
      </c>
      <c r="BK515" s="8">
        <f>BG515*CAP_SHARE</f>
        <v>64.82055120814444</v>
      </c>
      <c r="BL515" s="8">
        <f>BH515*CAP_SHARE</f>
        <v>68.23234862021242</v>
      </c>
      <c r="BM515" s="8">
        <f>BF515-BJ515-BE515</f>
        <v>-248.59828953155989</v>
      </c>
      <c r="BN515" s="8">
        <f>BG515-BK515-BE515</f>
        <v>-48.39305725353029</v>
      </c>
      <c r="BO515" s="8">
        <f>BH515-BL515-BE515</f>
        <v>17.969864863808198</v>
      </c>
      <c r="BP515" s="8">
        <f>R_NF_2024*(1+G_HI)^(BB515-2024)</f>
        <v>1395.4207746825982</v>
      </c>
      <c r="BQ515" s="10">
        <f>1-BF515/BP515</f>
        <v>0.200851777457286</v>
      </c>
      <c r="BR515" s="10">
        <f>CPI_2023/(IF(BB515-1=2023,CPI_2023,IF(BB515-1=2024,CPI_2024,IF(BB515-1=2025,CPI_2025,CPI_2025*(1+INFL)^(BB515-1-2025)))))</f>
        <v>0.5316918188982063</v>
      </c>
      <c r="BS515" s="8">
        <f>$BB$21*ABS($BB$11)*(BG515-BF515)/BF515</f>
        <v>18818.681382082144</v>
      </c>
      <c r="BT515" s="8">
        <f>$BB$21*ABS($BB$11)*(BH515-BF515)/BF515</f>
        <v>25056.593711844835</v>
      </c>
      <c r="BU515" s="13">
        <f>(BG515-BF515)*MCD_NF_DAYS*BR515-BS515*MCD_SHARE_FREED*R_WAIT_2023</f>
        <v>50409676.329383135</v>
      </c>
      <c r="BV515" s="13">
        <f>(BH515-BF515)*MCD_NF_DAYS*BR515-BT515*MCD_SHARE_FREED*R_WAIT_2023</f>
        <v>67119196.78567846</v>
      </c>
      <c r="BW515" s="10">
        <f>IF(AND(BB515&gt;=RULE_START,BC515=1),1/(1+$BB$12)^(BB515-RULE_START+1),0)</f>
        <v>0</v>
      </c>
      <c r="BX515">
        <f>IF(AND(BB515&gt;=RULE_START,BC515=1,BM515&lt;0),BB515,9999)</f>
        <v>9999</v>
      </c>
      <c r="BY515">
        <f>IF(AND(BB515&gt;=RULE_START,BC515=1,BN515&lt;0),BB515,9999)</f>
        <v>9999</v>
      </c>
      <c r="BZ515">
        <f>IF(AND(BB515&gt;=RULE_START,BC515=1,BO515&lt;0),BB515,9999)</f>
        <v>9999</v>
      </c>
      <c r="CB515" t="n">
        <v>2051</v>
      </c>
      <c r="CC515">
        <f>IF(CB515&lt;=RULE_START+$CB$38-1,1,0)</f>
        <v>1</v>
      </c>
      <c r="CD515" s="15">
        <f>IF(CB515=2024,G_IDX_2024,IF(CB515=2025,G_IDX_2025,IF(CB515=2026,G_IDX_2026,IF(CB515=2027,G_IDX_2027,$CB$13))))</f>
        <v>0.033</v>
      </c>
      <c r="CE515" s="8">
        <f>$CB$20*(1+G_HI)^(CB515-COST_DATE)</f>
        <v>1309.2185611985776</v>
      </c>
      <c r="CF515" s="8">
        <f>CF514*(1+CD515)</f>
        <v>1115.1480317867754</v>
      </c>
      <c r="CG515" s="8">
        <f>IF(CB515&lt;RULE_START,CF515,CG514*(1+G_HI))</f>
        <v>1325.6460551531918</v>
      </c>
      <c r="CH515" s="8">
        <f>IF(CB515&lt;RULE_START,CF515,IF(CI515=1,R_NF_2024*(1+G_HI)^(CB515-2024),CH514*(1+CD515)))</f>
        <v>1395.4207746825982</v>
      </c>
      <c r="CI515">
        <f>IF(AND(CB515&gt;=RULE_START,MOD(CB515-RULE_START,REBASE_YEARS)=0),1,0)</f>
        <v>1</v>
      </c>
      <c r="CJ515" s="8">
        <f>CF515*CAP_SHARE</f>
        <v>54.527760119757566</v>
      </c>
      <c r="CK515" s="8">
        <f>CG515*CAP_SHARE</f>
        <v>64.82055120814444</v>
      </c>
      <c r="CL515" s="8">
        <f>CH515*CAP_SHARE</f>
        <v>68.23234862021242</v>
      </c>
      <c r="CM515" s="8">
        <f>CF515-CJ515-CE515</f>
        <v>-248.59828953155989</v>
      </c>
      <c r="CN515" s="8">
        <f>CG515-CK515-CE515</f>
        <v>-48.39305725353029</v>
      </c>
      <c r="CO515" s="8">
        <f>CH515-CL515-CE515</f>
        <v>17.969864863808198</v>
      </c>
      <c r="CP515" s="8">
        <f>R_NF_2024*(1+G_HI)^(CB515-2024)</f>
        <v>1395.4207746825982</v>
      </c>
      <c r="CQ515" s="10">
        <f>1-CF515/CP515</f>
        <v>0.200851777457286</v>
      </c>
      <c r="CR515" s="10">
        <f>CPI_2023/(IF(CB515-1=2023,CPI_2023,IF(CB515-1=2024,CPI_2024,IF(CB515-1=2025,CPI_2025,CPI_2025*(1+INFL)^(CB515-1-2025)))))</f>
        <v>0.5316918188982063</v>
      </c>
      <c r="CS515" s="8">
        <f>$CB$21*ABS($CB$11)*(CG515-CF515)/CF515</f>
        <v>18818.681382082144</v>
      </c>
      <c r="CT515" s="8">
        <f>$CB$21*ABS($CB$11)*(CH515-CF515)/CF515</f>
        <v>25056.593711844835</v>
      </c>
      <c r="CU515" s="13">
        <f>(CG515-CF515)*MCD_NF_DAYS*CR515-CS515*MCD_SHARE_FREED*R_WAIT_2023</f>
        <v>50409676.329383135</v>
      </c>
      <c r="CV515" s="13">
        <f>(CH515-CF515)*MCD_NF_DAYS*CR515-CT515*MCD_SHARE_FREED*R_WAIT_2023</f>
        <v>67119196.78567846</v>
      </c>
      <c r="CW515" s="10">
        <f>IF(AND(CB515&gt;=RULE_START,CC515=1),1/(1+$CB$12)^(CB515-RULE_START+1),0)</f>
        <v>0.6095308705282789</v>
      </c>
      <c r="CX515">
        <f>IF(AND(CB515&gt;=RULE_START,CC515=1,CM515&lt;0),CB515,9999)</f>
        <v>2051</v>
      </c>
      <c r="CY515">
        <f>IF(AND(CB515&gt;=RULE_START,CC515=1,CN515&lt;0),CB515,9999)</f>
        <v>2051</v>
      </c>
      <c r="CZ515">
        <f>IF(AND(CB515&gt;=RULE_START,CC515=1,CO515&lt;0),CB515,9999)</f>
        <v>9999</v>
      </c>
      <c r="DB515" t="n">
        <v>2051</v>
      </c>
      <c r="DC515">
        <f>IF(DB515&lt;=RULE_START+$DB$38-1,1,0)</f>
        <v>0</v>
      </c>
      <c r="DD515" s="15">
        <f>IF(DB515=2024,G_IDX_2024,IF(DB515=2025,G_IDX_2025,IF(DB515=2026,G_IDX_2026,IF(DB515=2027,G_IDX_2027,$DB$13))))</f>
        <v>0.033</v>
      </c>
      <c r="DE515" s="8">
        <f>$DB$20*(1+G_HI)^(DB515-COST_DATE)</f>
        <v>1309.2185611985776</v>
      </c>
      <c r="DF515" s="8">
        <f>DF514*(1+DD515)</f>
        <v>1115.1480317867754</v>
      </c>
      <c r="DG515" s="8">
        <f>IF(DB515&lt;RULE_START,DF515,DG514*(1+G_HI))</f>
        <v>1325.6460551531918</v>
      </c>
      <c r="DH515" s="8">
        <f>IF(DB515&lt;RULE_START,DF515,IF(DI515=1,R_NF_2024*(1+G_HI)^(DB515-2024),DH514*(1+DD515)))</f>
        <v>1395.4207746825982</v>
      </c>
      <c r="DI515">
        <f>IF(AND(DB515&gt;=RULE_START,MOD(DB515-RULE_START,REBASE_YEARS)=0),1,0)</f>
        <v>1</v>
      </c>
      <c r="DJ515" s="8">
        <f>DF515*CAP_SHARE</f>
        <v>54.527760119757566</v>
      </c>
      <c r="DK515" s="8">
        <f>DG515*CAP_SHARE</f>
        <v>64.82055120814444</v>
      </c>
      <c r="DL515" s="8">
        <f>DH515*CAP_SHARE</f>
        <v>68.23234862021242</v>
      </c>
      <c r="DM515" s="8">
        <f>DF515-DJ515-DE515</f>
        <v>-248.59828953155989</v>
      </c>
      <c r="DN515" s="8">
        <f>DG515-DK515-DE515</f>
        <v>-48.39305725353029</v>
      </c>
      <c r="DO515" s="8">
        <f>DH515-DL515-DE515</f>
        <v>17.969864863808198</v>
      </c>
      <c r="DP515" s="8">
        <f>R_NF_2024*(1+G_HI)^(DB515-2024)</f>
        <v>1395.4207746825982</v>
      </c>
      <c r="DQ515" s="10">
        <f>1-DF515/DP515</f>
        <v>0.200851777457286</v>
      </c>
      <c r="DR515" s="10">
        <f>CPI_2023/(IF(DB515-1=2023,CPI_2023,IF(DB515-1=2024,CPI_2024,IF(DB515-1=2025,CPI_2025,CPI_2025*(1+INFL)^(DB515-1-2025)))))</f>
        <v>0.5316918188982063</v>
      </c>
      <c r="DS515" s="8">
        <f>$DB$21*ABS($DB$11)*(DG515-DF515)/DF515</f>
        <v>18818.681382082144</v>
      </c>
      <c r="DT515" s="8">
        <f>$DB$21*ABS($DB$11)*(DH515-DF515)/DF515</f>
        <v>25056.593711844835</v>
      </c>
      <c r="DU515" s="13">
        <f>(DG515-DF515)*MCD_NF_DAYS*DR515-DS515*MCD_SHARE_FREED*R_WAIT_2023</f>
        <v>50409676.329383135</v>
      </c>
      <c r="DV515" s="13">
        <f>(DH515-DF515)*MCD_NF_DAYS*DR515-DT515*MCD_SHARE_FREED*R_WAIT_2023</f>
        <v>67119196.78567846</v>
      </c>
      <c r="DW515" s="10">
        <f>IF(AND(DB515&gt;=RULE_START,DC515=1),1/(1+$DB$12)^(DB515-RULE_START+1),0)</f>
        <v>0</v>
      </c>
      <c r="DX515">
        <f>IF(AND(DB515&gt;=RULE_START,DC515=1,DM515&lt;0),DB515,9999)</f>
        <v>9999</v>
      </c>
      <c r="DY515">
        <f>IF(AND(DB515&gt;=RULE_START,DC515=1,DN515&lt;0),DB515,9999)</f>
        <v>9999</v>
      </c>
      <c r="DZ515">
        <f>IF(AND(DB515&gt;=RULE_START,DC515=1,DO515&lt;0),DB515,9999)</f>
        <v>9999</v>
      </c>
      <c r="EB515" t="n">
        <v>2051</v>
      </c>
      <c r="EC515">
        <f>IF(EB515&lt;=RULE_START+$EB$38-1,1,0)</f>
        <v>0</v>
      </c>
      <c r="ED515" s="15">
        <f>IF(EB515=2024,G_IDX_2024,IF(EB515=2025,G_IDX_2025,IF(EB515=2026,G_IDX_2026,IF(EB515=2027,G_IDX_2027,$EB$13))))</f>
        <v>0.033</v>
      </c>
      <c r="EE515" s="8">
        <f>$EB$20*(1+G_HI)^(EB515-COST_DATE)</f>
        <v>1309.2185611985776</v>
      </c>
      <c r="EF515" s="8">
        <f>EF514*(1+ED515)</f>
        <v>1115.1480317867754</v>
      </c>
      <c r="EG515" s="8">
        <f>IF(EB515&lt;RULE_START,EF515,EG514*(1+G_HI))</f>
        <v>1325.6460551531918</v>
      </c>
      <c r="EH515" s="8">
        <f>IF(EB515&lt;RULE_START,EF515,IF(EI515=1,R_NF_2024*(1+G_HI)^(EB515-2024),EH514*(1+ED515)))</f>
        <v>1395.4207746825982</v>
      </c>
      <c r="EI515">
        <f>IF(AND(EB515&gt;=RULE_START,MOD(EB515-RULE_START,REBASE_YEARS)=0),1,0)</f>
        <v>1</v>
      </c>
      <c r="EJ515" s="8">
        <f>EF515*CAP_SHARE</f>
        <v>54.527760119757566</v>
      </c>
      <c r="EK515" s="8">
        <f>EG515*CAP_SHARE</f>
        <v>64.82055120814444</v>
      </c>
      <c r="EL515" s="8">
        <f>EH515*CAP_SHARE</f>
        <v>68.23234862021242</v>
      </c>
      <c r="EM515" s="8">
        <f>EF515-EJ515-EE515</f>
        <v>-248.59828953155989</v>
      </c>
      <c r="EN515" s="8">
        <f>EG515-EK515-EE515</f>
        <v>-48.39305725353029</v>
      </c>
      <c r="EO515" s="8">
        <f>EH515-EL515-EE515</f>
        <v>17.969864863808198</v>
      </c>
      <c r="EP515" s="8">
        <f>R_NF_2024*(1+G_HI)^(EB515-2024)</f>
        <v>1395.4207746825982</v>
      </c>
      <c r="EQ515" s="10">
        <f>1-EF515/EP515</f>
        <v>0.200851777457286</v>
      </c>
      <c r="ER515" s="10">
        <f>CPI_2023/(IF(EB515-1=2023,CPI_2023,IF(EB515-1=2024,CPI_2024,IF(EB515-1=2025,CPI_2025,CPI_2025*(1+INFL)^(EB515-1-2025)))))</f>
        <v>0.5316918188982063</v>
      </c>
      <c r="ES515" s="8">
        <f>$EB$21*ABS($EB$11)*(EG515-EF515)/EF515</f>
        <v>18818.681382082144</v>
      </c>
      <c r="ET515" s="8">
        <f>$EB$21*ABS($EB$11)*(EH515-EF515)/EF515</f>
        <v>25056.593711844835</v>
      </c>
      <c r="EU515" s="13">
        <f>(EG515-EF515)*MCD_NF_DAYS*ER515-ES515*MCD_SHARE_FREED*R_WAIT_2023</f>
        <v>50409676.329383135</v>
      </c>
      <c r="EV515" s="13">
        <f>(EH515-EF515)*MCD_NF_DAYS*ER515-ET515*MCD_SHARE_FREED*R_WAIT_2023</f>
        <v>67119196.78567846</v>
      </c>
      <c r="EW515" s="10">
        <f>IF(AND(EB515&gt;=RULE_START,EC515=1),1/(1+$EB$12)^(EB515-RULE_START+1),0)</f>
        <v>0</v>
      </c>
      <c r="EX515">
        <f>IF(AND(EB515&gt;=RULE_START,EC515=1,EM515&lt;0),EB515,9999)</f>
        <v>9999</v>
      </c>
      <c r="EY515">
        <f>IF(AND(EB515&gt;=RULE_START,EC515=1,EN515&lt;0),EB515,9999)</f>
        <v>9999</v>
      </c>
      <c r="EZ515">
        <f>IF(AND(EB515&gt;=RULE_START,EC515=1,EO515&lt;0),EB515,9999)</f>
        <v>9999</v>
      </c>
      <c r="FB515" t="n">
        <v>2051</v>
      </c>
      <c r="FC515">
        <f>IF(FB515&lt;=RULE_START+$FB$38-1,1,0)</f>
        <v>0</v>
      </c>
      <c r="FD515" s="15">
        <f>IF(FB515=2024,G_IDX_2024,IF(FB515=2025,G_IDX_2025,IF(FB515=2026,G_IDX_2026,IF(FB515=2027,G_IDX_2027,$FB$13))))</f>
        <v>0.033</v>
      </c>
      <c r="FE515" s="8">
        <f>$FB$20*(1+G_HI)^(FB515-COST_DATE)</f>
        <v>1347.3591327922632</v>
      </c>
      <c r="FF515" s="8">
        <f>FF514*(1+FD515)</f>
        <v>1115.1480317867754</v>
      </c>
      <c r="FG515" s="8">
        <f>IF(FB515&lt;RULE_START,FF515,FG514*(1+G_HI))</f>
        <v>1325.6460551531918</v>
      </c>
      <c r="FH515" s="8">
        <f>IF(FB515&lt;RULE_START,FF515,IF(FI515=1,R_NF_2024*(1+G_HI)^(FB515-2024),FH514*(1+FD515)))</f>
        <v>1395.4207746825982</v>
      </c>
      <c r="FI515">
        <f>IF(AND(FB515&gt;=RULE_START,MOD(FB515-RULE_START,REBASE_YEARS)=0),1,0)</f>
        <v>1</v>
      </c>
      <c r="FJ515" s="8">
        <f>FF515*CAP_SHARE</f>
        <v>54.527760119757566</v>
      </c>
      <c r="FK515" s="8">
        <f>FG515*CAP_SHARE</f>
        <v>64.82055120814444</v>
      </c>
      <c r="FL515" s="8">
        <f>FH515*CAP_SHARE</f>
        <v>68.23234862021242</v>
      </c>
      <c r="FM515" s="8">
        <f>FF515-FJ515-FE515</f>
        <v>-286.7388611252454</v>
      </c>
      <c r="FN515" s="8">
        <f>FG515-FK515-FE515</f>
        <v>-86.53362884721582</v>
      </c>
      <c r="FO515" s="8">
        <f>FH515-FL515-FE515</f>
        <v>-20.170706729877338</v>
      </c>
      <c r="FP515" s="8">
        <f>R_NF_2024*(1+G_HI)^(FB515-2024)</f>
        <v>1395.4207746825982</v>
      </c>
      <c r="FQ515" s="10">
        <f>1-FF515/FP515</f>
        <v>0.200851777457286</v>
      </c>
      <c r="FR515" s="10">
        <f>CPI_2023/(IF(FB515-1=2023,CPI_2023,IF(FB515-1=2024,CPI_2024,IF(FB515-1=2025,CPI_2025,CPI_2025*(1+INFL)^(FB515-1-2025)))))</f>
        <v>0.5316918188982063</v>
      </c>
      <c r="FS515" s="8">
        <f>$FB$21*ABS($FB$11)*(FG515-FF515)/FF515</f>
        <v>18818.681382082144</v>
      </c>
      <c r="FT515" s="8">
        <f>$FB$21*ABS($FB$11)*(FH515-FF515)/FF515</f>
        <v>25056.593711844835</v>
      </c>
      <c r="FU515" s="13">
        <f>(FG515-FF515)*MCD_NF_DAYS*FR515-FS515*MCD_SHARE_FREED*R_WAIT_2023</f>
        <v>50409676.329383135</v>
      </c>
      <c r="FV515" s="13">
        <f>(FH515-FF515)*MCD_NF_DAYS*FR515-FT515*MCD_SHARE_FREED*R_WAIT_2023</f>
        <v>67119196.78567846</v>
      </c>
      <c r="FW515" s="10">
        <f>IF(AND(FB515&gt;=RULE_START,FC515=1),1/(1+$FB$12)^(FB515-RULE_START+1),0)</f>
        <v>0</v>
      </c>
      <c r="FX515">
        <f>IF(AND(FB515&gt;=RULE_START,FC515=1,FM515&lt;0),FB515,9999)</f>
        <v>9999</v>
      </c>
      <c r="FY515">
        <f>IF(AND(FB515&gt;=RULE_START,FC515=1,FN515&lt;0),FB515,9999)</f>
        <v>9999</v>
      </c>
      <c r="FZ515">
        <f>IF(AND(FB515&gt;=RULE_START,FC515=1,FO515&lt;0),FB515,9999)</f>
        <v>9999</v>
      </c>
      <c r="GB515" t="n">
        <v>2051</v>
      </c>
      <c r="GC515">
        <f>IF(GB515&lt;=RULE_START+$GB$38-1,1,0)</f>
        <v>0</v>
      </c>
      <c r="GD515" s="15">
        <f>IF(GB515=2024,G_IDX_2024,IF(GB515=2025,G_IDX_2025,IF(GB515=2026,G_IDX_2026,IF(GB515=2027,G_IDX_2027,$GB$13))))</f>
        <v>0.033</v>
      </c>
      <c r="GE515" s="8">
        <f>$GB$20*(1+G_HI)^(GB515-COST_DATE)</f>
        <v>1309.2185611985776</v>
      </c>
      <c r="GF515" s="8">
        <f>GF514*(1+GD515)</f>
        <v>1115.1480317867754</v>
      </c>
      <c r="GG515" s="8">
        <f>IF(GB515&lt;RULE_START,GF515,GG514*(1+G_HI))</f>
        <v>1325.6460551531918</v>
      </c>
      <c r="GH515" s="8">
        <f>IF(GB515&lt;RULE_START,GF515,IF(GI515=1,R_NF_2024*(1+G_HI)^(GB515-2024),GH514*(1+GD515)))</f>
        <v>1395.4207746825982</v>
      </c>
      <c r="GI515">
        <f>IF(AND(GB515&gt;=RULE_START,MOD(GB515-RULE_START,REBASE_YEARS)=0),1,0)</f>
        <v>1</v>
      </c>
      <c r="GJ515" s="8">
        <f>GF515*CAP_SHARE</f>
        <v>54.527760119757566</v>
      </c>
      <c r="GK515" s="8">
        <f>GG515*CAP_SHARE</f>
        <v>64.82055120814444</v>
      </c>
      <c r="GL515" s="8">
        <f>GH515*CAP_SHARE</f>
        <v>68.23234862021242</v>
      </c>
      <c r="GM515" s="8">
        <f>GF515-GJ515-GE515</f>
        <v>-248.59828953155989</v>
      </c>
      <c r="GN515" s="8">
        <f>GG515-GK515-GE515</f>
        <v>-48.39305725353029</v>
      </c>
      <c r="GO515" s="8">
        <f>GH515-GL515-GE515</f>
        <v>17.969864863808198</v>
      </c>
      <c r="GP515" s="8">
        <f>R_NF_2024*(1+G_HI)^(GB515-2024)</f>
        <v>1395.4207746825982</v>
      </c>
      <c r="GQ515" s="10">
        <f>1-GF515/GP515</f>
        <v>0.200851777457286</v>
      </c>
      <c r="GR515" s="10">
        <f>CPI_2023/(IF(GB515-1=2023,CPI_2023,IF(GB515-1=2024,CPI_2024,IF(GB515-1=2025,CPI_2025,CPI_2025*(1+INFL)^(GB515-1-2025)))))</f>
        <v>0.5316918188982063</v>
      </c>
      <c r="GS515" s="8">
        <f>$GB$21*ABS($GB$11)*(GG515-GF515)/GF515</f>
        <v>14205.281361273292</v>
      </c>
      <c r="GT515" s="8">
        <f>$GB$21*ABS($GB$11)*(GH515-GF515)/GF515</f>
        <v>18913.969390584654</v>
      </c>
      <c r="GU515" s="13">
        <f>(GG515-GF515)*MCD_NF_DAYS*GR515-GS515*MCD_SHARE_FREED*R_WAIT_2023</f>
        <v>52507475.732202955</v>
      </c>
      <c r="GV515" s="13">
        <f>(GH515-GF515)*MCD_NF_DAYS*GR515-GT515*MCD_SHARE_FREED*R_WAIT_2023</f>
        <v>69912363.12173507</v>
      </c>
      <c r="GW515" s="10">
        <f>IF(AND(GB515&gt;=RULE_START,GC515=1),1/(1+$GB$12)^(GB515-RULE_START+1),0)</f>
        <v>0</v>
      </c>
      <c r="GX515">
        <f>IF(AND(GB515&gt;=RULE_START,GC515=1,GM515&lt;0),GB515,9999)</f>
        <v>9999</v>
      </c>
      <c r="GY515">
        <f>IF(AND(GB515&gt;=RULE_START,GC515=1,GN515&lt;0),GB515,9999)</f>
        <v>9999</v>
      </c>
      <c r="GZ515">
        <f>IF(AND(GB515&gt;=RULE_START,GC515=1,GO515&lt;0),GB515,9999)</f>
        <v>9999</v>
      </c>
      <c r="HB515" t="n">
        <v>2051</v>
      </c>
      <c r="HC515">
        <f>IF(HB515&lt;=RULE_START+$HB$38-1,1,0)</f>
        <v>0</v>
      </c>
      <c r="HD515" s="15">
        <f>IF(HB515=2024,G_IDX_2024,IF(HB515=2025,G_IDX_2025,IF(HB515=2026,G_IDX_2026,IF(HB515=2027,G_IDX_2027,$HB$13))))</f>
        <v>0.033</v>
      </c>
      <c r="HE515" s="8">
        <f>$HB$20*(1+G_HI)^(HB515-COST_DATE)</f>
        <v>1309.2185611985776</v>
      </c>
      <c r="HF515" s="8">
        <f>HF514*(1+HD515)</f>
        <v>1115.1480317867754</v>
      </c>
      <c r="HG515" s="8">
        <f>IF(HB515&lt;RULE_START,HF515,HG514*(1+G_HI))</f>
        <v>1325.6460551531918</v>
      </c>
      <c r="HH515" s="8">
        <f>IF(HB515&lt;RULE_START,HF515,IF(HI515=1,R_NF_2024*(1+G_HI)^(HB515-2024),HH514*(1+HD515)))</f>
        <v>1395.4207746825982</v>
      </c>
      <c r="HI515">
        <f>IF(AND(HB515&gt;=RULE_START,MOD(HB515-RULE_START,REBASE_YEARS)=0),1,0)</f>
        <v>1</v>
      </c>
      <c r="HJ515" s="8">
        <f>HF515*CAP_SHARE</f>
        <v>54.527760119757566</v>
      </c>
      <c r="HK515" s="8">
        <f>HG515*CAP_SHARE</f>
        <v>64.82055120814444</v>
      </c>
      <c r="HL515" s="8">
        <f>HH515*CAP_SHARE</f>
        <v>68.23234862021242</v>
      </c>
      <c r="HM515" s="8">
        <f>HF515-HJ515-HE515</f>
        <v>-248.59828953155989</v>
      </c>
      <c r="HN515" s="8">
        <f>HG515-HK515-HE515</f>
        <v>-48.39305725353029</v>
      </c>
      <c r="HO515" s="8">
        <f>HH515-HL515-HE515</f>
        <v>17.969864863808198</v>
      </c>
      <c r="HP515" s="8">
        <f>R_NF_2024*(1+G_HI)^(HB515-2024)</f>
        <v>1395.4207746825982</v>
      </c>
      <c r="HQ515" s="10">
        <f>1-HF515/HP515</f>
        <v>0.200851777457286</v>
      </c>
      <c r="HR515" s="10">
        <f>CPI_2023/(IF(HB515-1=2023,CPI_2023,IF(HB515-1=2024,CPI_2024,IF(HB515-1=2025,CPI_2025,CPI_2025*(1+INFL)^(HB515-1-2025)))))</f>
        <v>0.5316918188982063</v>
      </c>
      <c r="HS515" s="8">
        <f>$HB$21*ABS($HB$11)*(HG515-HF515)/HF515</f>
        <v>18818.681382082144</v>
      </c>
      <c r="HT515" s="8">
        <f>$HB$21*ABS($HB$11)*(HH515-HF515)/HF515</f>
        <v>25056.593711844835</v>
      </c>
      <c r="HU515" s="13">
        <f>(HG515-HF515)*MCD_NF_DAYS*HR515-HS515*MCD_SHARE_FREED*R_WAIT_2023</f>
        <v>50409676.329383135</v>
      </c>
      <c r="HV515" s="13">
        <f>(HH515-HF515)*MCD_NF_DAYS*HR515-HT515*MCD_SHARE_FREED*R_WAIT_2023</f>
        <v>67119196.78567846</v>
      </c>
      <c r="HW515" s="10">
        <f>IF(AND(HB515&gt;=RULE_START,HC515=1),1/(1+$HB$12)^(HB515-RULE_START+1),0)</f>
        <v>0</v>
      </c>
      <c r="HX515">
        <f>IF(AND(HB515&gt;=RULE_START,HC515=1,HM515&lt;0),HB515,9999)</f>
        <v>9999</v>
      </c>
      <c r="HY515">
        <f>IF(AND(HB515&gt;=RULE_START,HC515=1,HN515&lt;0),HB515,9999)</f>
        <v>9999</v>
      </c>
      <c r="HZ515">
        <f>IF(AND(HB515&gt;=RULE_START,HC515=1,HO515&lt;0),HB515,9999)</f>
        <v>9999</v>
      </c>
      <c r="IB515" t="n">
        <v>2051</v>
      </c>
      <c r="IC515">
        <f>IF(IB515&lt;=RULE_START+$IB$38-1,1,0)</f>
        <v>0</v>
      </c>
      <c r="ID515" s="15">
        <f>IF(IB515=2024,G_IDX_2024,IF(IB515=2025,G_IDX_2025,IF(IB515=2026,G_IDX_2026,IF(IB515=2027,G_IDX_2027,$IB$13))))</f>
        <v>0.033</v>
      </c>
      <c r="IE515" s="8">
        <f>$IB$20*(1+G_HI)^(IB515-COST_DATE)</f>
        <v>1309.2185611985776</v>
      </c>
      <c r="IF515" s="8">
        <f>IF514*(1+ID515)</f>
        <v>1115.1480317867754</v>
      </c>
      <c r="IG515" s="8">
        <f>IF(IB515&lt;RULE_START,IF515,IG514*(1+G_HI))</f>
        <v>1325.6460551531918</v>
      </c>
      <c r="IH515" s="8">
        <f>IF(IB515&lt;RULE_START,IF515,IF(II515=1,R_NF_2024*(1+G_HI)^(IB515-2024),IH514*(1+ID515)))</f>
        <v>1395.4207746825982</v>
      </c>
      <c r="II515">
        <f>IF(AND(IB515&gt;=RULE_START,MOD(IB515-RULE_START,REBASE_YEARS)=0),1,0)</f>
        <v>1</v>
      </c>
      <c r="IJ515" s="8">
        <f>IF515*CAP_SHARE</f>
        <v>54.527760119757566</v>
      </c>
      <c r="IK515" s="8">
        <f>IG515*CAP_SHARE</f>
        <v>64.82055120814444</v>
      </c>
      <c r="IL515" s="8">
        <f>IH515*CAP_SHARE</f>
        <v>68.23234862021242</v>
      </c>
      <c r="IM515" s="8">
        <f>IF515-IJ515-IE515</f>
        <v>-248.59828953155989</v>
      </c>
      <c r="IN515" s="8">
        <f>IG515-IK515-IE515</f>
        <v>-48.39305725353029</v>
      </c>
      <c r="IO515" s="8">
        <f>IH515-IL515-IE515</f>
        <v>17.969864863808198</v>
      </c>
      <c r="IP515" s="8">
        <f>R_NF_2024*(1+G_HI)^(IB515-2024)</f>
        <v>1395.4207746825982</v>
      </c>
      <c r="IQ515" s="10">
        <f>1-IF515/IP515</f>
        <v>0.200851777457286</v>
      </c>
      <c r="IR515" s="10">
        <f>CPI_2023/(IF(IB515-1=2023,CPI_2023,IF(IB515-1=2024,CPI_2024,IF(IB515-1=2025,CPI_2025,CPI_2025*(1+INFL)^(IB515-1-2025)))))</f>
        <v>0.5316918188982063</v>
      </c>
      <c r="IS515" s="8">
        <f>$IB$21*ABS($IB$11)*(IG515-IF515)/IF515</f>
        <v>18818.681382082144</v>
      </c>
      <c r="IT515" s="8">
        <f>$IB$21*ABS($IB$11)*(IH515-IF515)/IF515</f>
        <v>25056.593711844835</v>
      </c>
      <c r="IU515" s="13">
        <f>(IG515-IF515)*MCD_NF_DAYS*IR515-IS515*MCD_SHARE_FREED*R_WAIT_2023</f>
        <v>50409676.329383135</v>
      </c>
      <c r="IV515" s="13">
        <f>(IH515-IF515)*MCD_NF_DAYS*IR515-IT515*MCD_SHARE_FREED*R_WAIT_2023</f>
        <v>67119196.78567846</v>
      </c>
      <c r="IW515" s="10">
        <f>IF(AND(IB515&gt;=RULE_START,IC515=1),1/(1+$IB$12)^(IB515-RULE_START+1),0)</f>
        <v>0</v>
      </c>
      <c r="IX515">
        <f>IF(AND(IB515&gt;=RULE_START,IC515=1,IM515&lt;0),IB515,9999)</f>
        <v>9999</v>
      </c>
      <c r="IY515">
        <f>IF(AND(IB515&gt;=RULE_START,IC515=1,IN515&lt;0),IB515,9999)</f>
        <v>9999</v>
      </c>
      <c r="IZ515">
        <f>IF(AND(IB515&gt;=RULE_START,IC515=1,IO515&lt;0),IB515,9999)</f>
        <v>9999</v>
      </c>
      <c r="JB515" t="n">
        <v>2051</v>
      </c>
      <c r="JC515">
        <f>IF(JB515&lt;=RULE_START+$JB$38-1,1,0)</f>
        <v>0</v>
      </c>
      <c r="JD515" s="15">
        <f>IF(JB515=2024,G_IDX_2024,IF(JB515=2025,G_IDX_2025,IF(JB515=2026,G_IDX_2026,IF(JB515=2027,G_IDX_2027,$JB$13))))</f>
        <v>0.03</v>
      </c>
      <c r="JE515" s="8">
        <f>$JB$20*(1+G_HI)^(JB515-COST_DATE)</f>
        <v>1309.2185611985776</v>
      </c>
      <c r="JF515" s="8">
        <f>JF514*(1+JD515)</f>
        <v>1039.9637435049247</v>
      </c>
      <c r="JG515" s="8">
        <f>IF(JB515&lt;RULE_START,JF515,JG514*(1+G_HI))</f>
        <v>1325.6460551531918</v>
      </c>
      <c r="JH515" s="8">
        <f>IF(JB515&lt;RULE_START,JF515,IF(JI515=1,R_NF_2024*(1+G_HI)^(JB515-2024),JH514*(1+JD515)))</f>
        <v>1395.4207746825982</v>
      </c>
      <c r="JI515">
        <f>IF(AND(JB515&gt;=RULE_START,MOD(JB515-RULE_START,REBASE_YEARS)=0),1,0)</f>
        <v>1</v>
      </c>
      <c r="JJ515" s="8">
        <f>JF515*CAP_SHARE</f>
        <v>50.851449245013235</v>
      </c>
      <c r="JK515" s="8">
        <f>JG515*CAP_SHARE</f>
        <v>64.82055120814444</v>
      </c>
      <c r="JL515" s="8">
        <f>JH515*CAP_SHARE</f>
        <v>68.23234862021242</v>
      </c>
      <c r="JM515" s="8">
        <f>JF515-JJ515-JE515</f>
        <v>-320.1062669386662</v>
      </c>
      <c r="JN515" s="8">
        <f>JG515-JK515-JE515</f>
        <v>-48.39305725353029</v>
      </c>
      <c r="JO515" s="8">
        <f>JH515-JL515-JE515</f>
        <v>17.969864863808198</v>
      </c>
      <c r="JP515" s="8">
        <f>R_NF_2024*(1+G_HI)^(JB515-2024)</f>
        <v>1395.4207746825982</v>
      </c>
      <c r="JQ515" s="10">
        <f>1-JF515/JP515</f>
        <v>0.2547310729686719</v>
      </c>
      <c r="JR515" s="10">
        <f>CPI_2023/(IF(JB515-1=2023,CPI_2023,IF(JB515-1=2024,CPI_2024,IF(JB515-1=2025,CPI_2025,CPI_2025*(1+INFL)^(JB515-1-2025)))))</f>
        <v>0.5316918188982063</v>
      </c>
      <c r="JS515" s="8">
        <f>$JB$21*ABS($JB$11)*(JG515-JF515)/JF515</f>
        <v>27386.645623792192</v>
      </c>
      <c r="JT515" s="8">
        <f>$JB$21*ABS($JB$11)*(JH515-JF515)/JF515</f>
        <v>34075.52848190924</v>
      </c>
      <c r="JU515" s="13">
        <f>(JG515-JF515)*MCD_NF_DAYS*JR515-JS515*MCD_SHARE_FREED*R_WAIT_2023</f>
        <v>67575062.88114741</v>
      </c>
      <c r="JV515" s="13">
        <f>(JH515-JF515)*MCD_NF_DAYS*JR515-JT515*MCD_SHARE_FREED*R_WAIT_2023</f>
        <v>84079518.5910943</v>
      </c>
      <c r="JW515" s="10">
        <f>IF(AND(JB515&gt;=RULE_START,JC515=1),1/(1+$JB$12)^(JB515-RULE_START+1),0)</f>
        <v>0</v>
      </c>
      <c r="JX515">
        <f>IF(AND(JB515&gt;=RULE_START,JC515=1,JM515&lt;0),JB515,9999)</f>
        <v>9999</v>
      </c>
      <c r="JY515">
        <f>IF(AND(JB515&gt;=RULE_START,JC515=1,JN515&lt;0),JB515,9999)</f>
        <v>9999</v>
      </c>
      <c r="JZ515">
        <f>IF(AND(JB515&gt;=RULE_START,JC515=1,JO515&lt;0),JB515,9999)</f>
        <v>9999</v>
      </c>
      <c r="KB515" t="n">
        <v>2051</v>
      </c>
      <c r="KC515">
        <f>IF(KB515&lt;=RULE_START+$KB$38-1,1,0)</f>
        <v>0</v>
      </c>
      <c r="KD515" s="15">
        <f>IF(KB515=2024,G_IDX_2024,IF(KB515=2025,G_IDX_2025,IF(KB515=2026,G_IDX_2026,IF(KB515=2027,G_IDX_2027,$KB$13))))</f>
        <v>0.033</v>
      </c>
      <c r="KE515" s="8">
        <f>$KB$20*(1+G_HI)^(KB515-COST_DATE)</f>
        <v>1309.2185611985776</v>
      </c>
      <c r="KF515" s="8">
        <f>KF514*(1+KD515)</f>
        <v>1115.1480317867754</v>
      </c>
      <c r="KG515" s="8">
        <f>IF(KB515&lt;RULE_START,KF515,KG514*(1+G_HI))</f>
        <v>1325.6460551531918</v>
      </c>
      <c r="KH515" s="8">
        <f>IF(KB515&lt;RULE_START,KF515,IF(KI515=1,R_NF_2024*(1+G_HI)^(KB515-2024),KH514*(1+KD515)))</f>
        <v>1395.4207746825982</v>
      </c>
      <c r="KI515">
        <f>IF(AND(KB515&gt;=RULE_START,MOD(KB515-RULE_START,REBASE_YEARS)=0),1,0)</f>
        <v>1</v>
      </c>
      <c r="KJ515" s="8">
        <f>KF515*CAP_SHARE</f>
        <v>54.527760119757566</v>
      </c>
      <c r="KK515" s="8">
        <f>KG515*CAP_SHARE</f>
        <v>64.82055120814444</v>
      </c>
      <c r="KL515" s="8">
        <f>KH515*CAP_SHARE</f>
        <v>68.23234862021242</v>
      </c>
      <c r="KM515" s="8">
        <f>KF515-KJ515-KE515</f>
        <v>-248.59828953155989</v>
      </c>
      <c r="KN515" s="8">
        <f>KG515-KK515-KE515</f>
        <v>-48.39305725353029</v>
      </c>
      <c r="KO515" s="8">
        <f>KH515-KL515-KE515</f>
        <v>17.969864863808198</v>
      </c>
      <c r="KP515" s="8">
        <f>R_NF_2024*(1+G_HI)^(KB515-2024)</f>
        <v>1395.4207746825982</v>
      </c>
      <c r="KQ515" s="10">
        <f>1-KF515/KP515</f>
        <v>0.200851777457286</v>
      </c>
      <c r="KR515" s="10">
        <f>CPI_2023/(IF(KB515-1=2023,CPI_2023,IF(KB515-1=2024,CPI_2024,IF(KB515-1=2025,CPI_2025,CPI_2025*(1+INFL)^(KB515-1-2025)))))</f>
        <v>0.5316918188982063</v>
      </c>
      <c r="KS515" s="8">
        <f>$KB$21*ABS($KB$11)*(KG515-KF515)/KF515</f>
        <v>18818.681382082144</v>
      </c>
      <c r="KT515" s="8">
        <f>$KB$21*ABS($KB$11)*(KH515-KF515)/KF515</f>
        <v>25056.593711844835</v>
      </c>
      <c r="KU515" s="13">
        <f>(KG515-KF515)*MCD_NF_DAYS*KR515-KS515*MCD_SHARE_FREED*R_WAIT_2023</f>
        <v>50409676.329383135</v>
      </c>
      <c r="KV515" s="13">
        <f>(KH515-KF515)*MCD_NF_DAYS*KR515-KT515*MCD_SHARE_FREED*R_WAIT_2023</f>
        <v>67119196.78567846</v>
      </c>
      <c r="KW515" s="10">
        <f>IF(AND(KB515&gt;=RULE_START,KC515=1),1/(1+$KB$12)^(KB515-RULE_START+1),0)</f>
        <v>0</v>
      </c>
      <c r="KX515">
        <f>IF(AND(KB515&gt;=RULE_START,KC515=1,KM515&lt;0),KB515,9999)</f>
        <v>9999</v>
      </c>
      <c r="KY515">
        <f>IF(AND(KB515&gt;=RULE_START,KC515=1,KN515&lt;0),KB515,9999)</f>
        <v>9999</v>
      </c>
      <c r="KZ515">
        <f>IF(AND(KB515&gt;=RULE_START,KC515=1,KO515&lt;0),KB515,9999)</f>
        <v>9999</v>
      </c>
      <c r="LB515" t="n">
        <v>2051</v>
      </c>
      <c r="LC515">
        <f>IF(LB515&lt;=RULE_START+$LB$38-1,1,0)</f>
        <v>0</v>
      </c>
      <c r="LD515" s="15">
        <f>IF(LB515=2024,G_IDX_2024,IF(LB515=2025,G_IDX_2025,IF(LB515=2026,G_IDX_2026,IF(LB515=2027,G_IDX_2027,$LB$13))))</f>
        <v>0.033</v>
      </c>
      <c r="LE515" s="8">
        <f>$LB$20*(1+G_HI)^(LB515-COST_DATE)</f>
        <v>1309.2185611985776</v>
      </c>
      <c r="LF515" s="8">
        <f>LF514*(1+LD515)</f>
        <v>1115.1480317867754</v>
      </c>
      <c r="LG515" s="8">
        <f>IF(LB515&lt;RULE_START,LF515,LG514*(1+G_HI))</f>
        <v>1325.6460551531918</v>
      </c>
      <c r="LH515" s="8">
        <f>IF(LB515&lt;RULE_START,LF515,IF(LI515=1,R_NF_2024*(1+G_HI)^(LB515-2024),LH514*(1+LD515)))</f>
        <v>1395.4207746825982</v>
      </c>
      <c r="LI515">
        <f>IF(AND(LB515&gt;=RULE_START,MOD(LB515-RULE_START,REBASE_YEARS)=0),1,0)</f>
        <v>1</v>
      </c>
      <c r="LJ515" s="8">
        <f>LF515*CAP_SHARE</f>
        <v>54.527760119757566</v>
      </c>
      <c r="LK515" s="8">
        <f>LG515*CAP_SHARE</f>
        <v>64.82055120814444</v>
      </c>
      <c r="LL515" s="8">
        <f>LH515*CAP_SHARE</f>
        <v>68.23234862021242</v>
      </c>
      <c r="LM515" s="8">
        <f>LF515-LJ515-LE515</f>
        <v>-248.59828953155989</v>
      </c>
      <c r="LN515" s="8">
        <f>LG515-LK515-LE515</f>
        <v>-48.39305725353029</v>
      </c>
      <c r="LO515" s="8">
        <f>LH515-LL515-LE515</f>
        <v>17.969864863808198</v>
      </c>
      <c r="LP515" s="8">
        <f>R_NF_2024*(1+G_HI)^(LB515-2024)</f>
        <v>1395.4207746825982</v>
      </c>
      <c r="LQ515" s="10">
        <f>1-LF515/LP515</f>
        <v>0.200851777457286</v>
      </c>
      <c r="LR515" s="10">
        <f>CPI_2023/(IF(LB515-1=2023,CPI_2023,IF(LB515-1=2024,CPI_2024,IF(LB515-1=2025,CPI_2025,CPI_2025*(1+INFL)^(LB515-1-2025)))))</f>
        <v>0.5316918188982063</v>
      </c>
      <c r="LS515" s="8">
        <f>$LB$21*ABS($LB$11)*(LG515-LF515)/LF515</f>
        <v>18818.681382082144</v>
      </c>
      <c r="LT515" s="8">
        <f>$LB$21*ABS($LB$11)*(LH515-LF515)/LF515</f>
        <v>25056.593711844835</v>
      </c>
      <c r="LU515" s="13">
        <f>(LG515-LF515)*MCD_NF_DAYS*LR515-LS515*MCD_SHARE_FREED*R_WAIT_2023</f>
        <v>50409676.329383135</v>
      </c>
      <c r="LV515" s="13">
        <f>(LH515-LF515)*MCD_NF_DAYS*LR515-LT515*MCD_SHARE_FREED*R_WAIT_2023</f>
        <v>67119196.78567846</v>
      </c>
      <c r="LW515" s="10">
        <f>IF(AND(LB515&gt;=RULE_START,LC515=1),1/(1+$LB$12)^(LB515-RULE_START+1),0)</f>
        <v>0</v>
      </c>
      <c r="LX515">
        <f>IF(AND(LB515&gt;=RULE_START,LC515=1,LM515&lt;0),LB515,9999)</f>
        <v>9999</v>
      </c>
      <c r="LY515">
        <f>IF(AND(LB515&gt;=RULE_START,LC515=1,LN515&lt;0),LB515,9999)</f>
        <v>9999</v>
      </c>
      <c r="LZ515">
        <f>IF(AND(LB515&gt;=RULE_START,LC515=1,LO515&lt;0),LB515,9999)</f>
        <v>9999</v>
      </c>
      <c r="MB515" t="n">
        <v>2051</v>
      </c>
      <c r="MC515">
        <f>IF(MB515&lt;=RULE_START+$MB$38-1,1,0)</f>
        <v>0</v>
      </c>
      <c r="MD515" s="15">
        <f>IF(MB515=2024,G_IDX_2024,IF(MB515=2025,G_IDX_2025,IF(MB515=2026,G_IDX_2026,IF(MB515=2027,G_IDX_2027,$MB$13))))</f>
        <v>0.033</v>
      </c>
      <c r="ME515" s="8">
        <f>$MB$20*(1+G_HI)^(MB515-COST_DATE)</f>
        <v>1309.2185611985776</v>
      </c>
      <c r="MF515" s="8">
        <f>MF514*(1+MD515)</f>
        <v>1115.1480317867754</v>
      </c>
      <c r="MG515" s="8">
        <f>IF(MB515&lt;RULE_START,MF515,MG514*(1+G_HI))</f>
        <v>1325.6460551531918</v>
      </c>
      <c r="MH515" s="8">
        <f>IF(MB515&lt;RULE_START,MF515,IF(MI515=1,R_NF_2024*(1+G_HI)^(MB515-2024),MH514*(1+MD515)))</f>
        <v>1395.4207746825982</v>
      </c>
      <c r="MI515">
        <f>IF(AND(MB515&gt;=RULE_START,MOD(MB515-RULE_START,REBASE_YEARS)=0),1,0)</f>
        <v>1</v>
      </c>
      <c r="MJ515" s="8">
        <f>MF515*CAP_SHARE</f>
        <v>54.527760119757566</v>
      </c>
      <c r="MK515" s="8">
        <f>MG515*CAP_SHARE</f>
        <v>64.82055120814444</v>
      </c>
      <c r="ML515" s="8">
        <f>MH515*CAP_SHARE</f>
        <v>68.23234862021242</v>
      </c>
      <c r="MM515" s="8">
        <f>MF515-MJ515-ME515</f>
        <v>-248.59828953155989</v>
      </c>
      <c r="MN515" s="8">
        <f>MG515-MK515-ME515</f>
        <v>-48.39305725353029</v>
      </c>
      <c r="MO515" s="8">
        <f>MH515-ML515-ME515</f>
        <v>17.969864863808198</v>
      </c>
      <c r="MP515" s="8">
        <f>R_NF_2024*(1+G_HI)^(MB515-2024)</f>
        <v>1395.4207746825982</v>
      </c>
      <c r="MQ515" s="10">
        <f>1-MF515/MP515</f>
        <v>0.200851777457286</v>
      </c>
      <c r="MR515" s="10">
        <f>CPI_2023/(IF(MB515-1=2023,CPI_2023,IF(MB515-1=2024,CPI_2024,IF(MB515-1=2025,CPI_2025,CPI_2025*(1+INFL)^(MB515-1-2025)))))</f>
        <v>0.5316918188982063</v>
      </c>
      <c r="MS515" s="8">
        <f>$MB$21*ABS($MB$11)*(MG515-MF515)/MF515</f>
        <v>13786.370721152782</v>
      </c>
      <c r="MT515" s="8">
        <f>$MB$21*ABS($MB$11)*(MH515-MF515)/MF515</f>
        <v>18356.200570444977</v>
      </c>
      <c r="MU515" s="13">
        <f>(MG515-MF515)*MCD_NF_DAYS*MR515-MS515*MCD_SHARE_FREED*R_WAIT_2023</f>
        <v>52697962.246859364</v>
      </c>
      <c r="MV515" s="13">
        <f>(MH515-MF515)*MCD_NF_DAYS*MR515-MT515*MCD_SHARE_FREED*R_WAIT_2023</f>
        <v>70165991.0517916</v>
      </c>
      <c r="MW515" s="10">
        <f>IF(AND(MB515&gt;=RULE_START,MC515=1),1/(1+$MB$12)^(MB515-RULE_START+1),0)</f>
        <v>0</v>
      </c>
      <c r="MX515">
        <f>IF(AND(MB515&gt;=RULE_START,MC515=1,MM515&lt;0),MB515,9999)</f>
        <v>9999</v>
      </c>
      <c r="MY515">
        <f>IF(AND(MB515&gt;=RULE_START,MC515=1,MN515&lt;0),MB515,9999)</f>
        <v>9999</v>
      </c>
      <c r="MZ515">
        <f>IF(AND(MB515&gt;=RULE_START,MC515=1,MO515&lt;0),MB515,9999)</f>
        <v>9999</v>
      </c>
      <c r="NB515" t="n">
        <v>2051</v>
      </c>
      <c r="NC515">
        <f>IF(NB515&lt;=RULE_START+$NB$38-1,1,0)</f>
        <v>0</v>
      </c>
      <c r="ND515" s="15">
        <f>IF(NB515=2024,G_IDX_2024,IF(NB515=2025,G_IDX_2025,IF(NB515=2026,G_IDX_2026,IF(NB515=2027,G_IDX_2027,$NB$13))))</f>
        <v>0.033</v>
      </c>
      <c r="NE515" s="8">
        <f>$NB$20*(1+G_HI)^(NB515-COST_DATE)</f>
        <v>1309.2185611985776</v>
      </c>
      <c r="NF515" s="8">
        <f>NF514*(1+ND515)</f>
        <v>1115.1480317867754</v>
      </c>
      <c r="NG515" s="8">
        <f>IF(NB515&lt;RULE_START,NF515,NG514*(1+G_HI))</f>
        <v>1325.6460551531918</v>
      </c>
      <c r="NH515" s="8">
        <f>IF(NB515&lt;RULE_START,NF515,IF(NI515=1,R_NF_2024*(1+G_HI)^(NB515-2024),NH514*(1+ND515)))</f>
        <v>1395.4207746825982</v>
      </c>
      <c r="NI515">
        <f>IF(AND(NB515&gt;=RULE_START,MOD(NB515-RULE_START,REBASE_YEARS)=0),1,0)</f>
        <v>1</v>
      </c>
      <c r="NJ515" s="8">
        <f>NF515*CAP_SHARE</f>
        <v>54.527760119757566</v>
      </c>
      <c r="NK515" s="8">
        <f>NG515*CAP_SHARE</f>
        <v>64.82055120814444</v>
      </c>
      <c r="NL515" s="8">
        <f>NH515*CAP_SHARE</f>
        <v>68.23234862021242</v>
      </c>
      <c r="NM515" s="8">
        <f>NF515-NJ515-NE515</f>
        <v>-248.59828953155989</v>
      </c>
      <c r="NN515" s="8">
        <f>NG515-NK515-NE515</f>
        <v>-48.39305725353029</v>
      </c>
      <c r="NO515" s="8">
        <f>NH515-NL515-NE515</f>
        <v>17.969864863808198</v>
      </c>
      <c r="NP515" s="8">
        <f>R_NF_2024*(1+G_HI)^(NB515-2024)</f>
        <v>1395.4207746825982</v>
      </c>
      <c r="NQ515" s="10">
        <f>1-NF515/NP515</f>
        <v>0.200851777457286</v>
      </c>
      <c r="NR515" s="10">
        <f>CPI_2023/(IF(NB515-1=2023,CPI_2023,IF(NB515-1=2024,CPI_2024,IF(NB515-1=2025,CPI_2025,CPI_2025*(1+INFL)^(NB515-1-2025)))))</f>
        <v>0.5316918188982063</v>
      </c>
      <c r="NS515" s="8">
        <f>$NB$21*ABS($NB$11)*(NG515-NF515)/NF515</f>
        <v>18818.681382082144</v>
      </c>
      <c r="NT515" s="8">
        <f>$NB$21*ABS($NB$11)*(NH515-NF515)/NF515</f>
        <v>25056.593711844835</v>
      </c>
      <c r="NU515" s="13">
        <f>(NG515-NF515)*MCD_NF_DAYS*NR515-NS515*MCD_SHARE_FREED*R_WAIT_2023</f>
        <v>50409676.329383135</v>
      </c>
      <c r="NV515" s="13">
        <f>(NH515-NF515)*MCD_NF_DAYS*NR515-NT515*MCD_SHARE_FREED*R_WAIT_2023</f>
        <v>67119196.78567846</v>
      </c>
      <c r="NW515" s="10">
        <f>IF(AND(NB515&gt;=RULE_START,NC515=1),1/(1+$NB$12)^(NB515-RULE_START+1),0)</f>
        <v>0</v>
      </c>
      <c r="NX515">
        <f>IF(AND(NB515&gt;=RULE_START,NC515=1,NM515&lt;0),NB515,9999)</f>
        <v>9999</v>
      </c>
      <c r="NY515">
        <f>IF(AND(NB515&gt;=RULE_START,NC515=1,NN515&lt;0),NB515,9999)</f>
        <v>9999</v>
      </c>
      <c r="NZ515">
        <f>IF(AND(NB515&gt;=RULE_START,NC515=1,NO515&lt;0),NB515,9999)</f>
        <v>9999</v>
      </c>
      <c r="OB515" t="n">
        <v>2051</v>
      </c>
      <c r="OC515">
        <f>IF(OB515&lt;=RULE_START+$OB$38-1,1,0)</f>
        <v>0</v>
      </c>
      <c r="OD515" s="15">
        <f>IF(OB515=2024,G_IDX_2024,IF(OB515=2025,G_IDX_2025,IF(OB515=2026,G_IDX_2026,IF(OB515=2027,G_IDX_2027,$OB$13))))</f>
        <v>0.033</v>
      </c>
      <c r="OE515" s="8">
        <f>$OB$20*(1+G_HI)^(OB515-COST_DATE)</f>
        <v>1309.2185611985776</v>
      </c>
      <c r="OF515" s="8">
        <f>OF514*(1+OD515)</f>
        <v>1115.1480317867754</v>
      </c>
      <c r="OG515" s="8">
        <f>IF(OB515&lt;RULE_START,OF515,OG514*(1+G_HI))</f>
        <v>1325.6460551531918</v>
      </c>
      <c r="OH515" s="8">
        <f>IF(OB515&lt;RULE_START,OF515,IF(OI515=1,R_NF_2024*(1+G_HI)^(OB515-2024),OH514*(1+OD515)))</f>
        <v>1395.4207746825982</v>
      </c>
      <c r="OI515">
        <f>IF(AND(OB515&gt;=RULE_START,MOD(OB515-RULE_START,REBASE_YEARS)=0),1,0)</f>
        <v>1</v>
      </c>
      <c r="OJ515" s="8">
        <f>OF515*CAP_SHARE</f>
        <v>54.527760119757566</v>
      </c>
      <c r="OK515" s="8">
        <f>OG515*CAP_SHARE</f>
        <v>64.82055120814444</v>
      </c>
      <c r="OL515" s="8">
        <f>OH515*CAP_SHARE</f>
        <v>68.23234862021242</v>
      </c>
      <c r="OM515" s="8">
        <f>OF515-OJ515-OE515</f>
        <v>-248.59828953155989</v>
      </c>
      <c r="ON515" s="8">
        <f>OG515-OK515-OE515</f>
        <v>-48.39305725353029</v>
      </c>
      <c r="OO515" s="8">
        <f>OH515-OL515-OE515</f>
        <v>17.969864863808198</v>
      </c>
      <c r="OP515" s="8">
        <f>R_NF_2024*(1+G_HI)^(OB515-2024)</f>
        <v>1395.4207746825982</v>
      </c>
      <c r="OQ515" s="10">
        <f>1-OF515/OP515</f>
        <v>0.200851777457286</v>
      </c>
      <c r="OR515" s="10">
        <f>CPI_2023/(IF(OB515-1=2023,CPI_2023,IF(OB515-1=2024,CPI_2024,IF(OB515-1=2025,CPI_2025,CPI_2025*(1+INFL)^(OB515-1-2025)))))</f>
        <v>0.5316918188982063</v>
      </c>
      <c r="OS515" s="8">
        <f>$OB$21*ABS($OB$11)*(OG515-OF515)/OF515</f>
        <v>18818.681382082144</v>
      </c>
      <c r="OT515" s="8">
        <f>$OB$21*ABS($OB$11)*(OH515-OF515)/OF515</f>
        <v>25056.593711844835</v>
      </c>
      <c r="OU515" s="13">
        <f>(OG515-OF515)*MCD_NF_DAYS*OR515-OS515*MCD_SHARE_FREED*R_WAIT_2023</f>
        <v>50409676.329383135</v>
      </c>
      <c r="OV515" s="13">
        <f>(OH515-OF515)*MCD_NF_DAYS*OR515-OT515*MCD_SHARE_FREED*R_WAIT_2023</f>
        <v>67119196.78567846</v>
      </c>
      <c r="OW515" s="10">
        <f>IF(AND(OB515&gt;=RULE_START,OC515=1),1/(1+$OB$12)^(OB515-RULE_START+1),0)</f>
        <v>0</v>
      </c>
      <c r="OX515">
        <f>IF(AND(OB515&gt;=RULE_START,OC515=1,OM515&lt;0),OB515,9999)</f>
        <v>9999</v>
      </c>
      <c r="OY515">
        <f>IF(AND(OB515&gt;=RULE_START,OC515=1,ON515&lt;0),OB515,9999)</f>
        <v>9999</v>
      </c>
      <c r="OZ515">
        <f>IF(AND(OB515&gt;=RULE_START,OC515=1,OO515&lt;0),OB515,9999)</f>
        <v>9999</v>
      </c>
    </row>
    <row r="516">
      <c r="B516" t="n">
        <v>2052</v>
      </c>
      <c r="C516">
        <f>IF(B516&lt;=RULE_START+$B$38-1,1,0)</f>
        <v>0</v>
      </c>
      <c r="D516" s="15">
        <f>IF(B516=2024,G_IDX_2024,IF(B516=2025,G_IDX_2025,IF(B516=2026,G_IDX_2026,IF(B516=2027,G_IDX_2027,$B$13))))</f>
        <v>0.033</v>
      </c>
      <c r="E516" s="8">
        <f>$B$20*(1+G_HI)^(B516-COST_DATE)</f>
        <v>1361.8092437959176</v>
      </c>
      <c r="F516" s="8">
        <f>F515*(1+D516)</f>
        <v>1151.9479168357389</v>
      </c>
      <c r="G516" s="8">
        <f>IF(B516&lt;RULE_START,F516,G515*(1+G_HI))</f>
        <v>1378.8966223152954</v>
      </c>
      <c r="H516" s="8">
        <f>IF(B516&lt;RULE_START,F516,IF(I516=1,R_NF_2024*(1+G_HI)^(B516-2024),H515*(1+D516)))</f>
        <v>1441.4696602471238</v>
      </c>
      <c r="I516">
        <f>IF(AND(B516&gt;=RULE_START,MOD(B516-RULE_START,REBASE_YEARS)=0),1,0)</f>
        <v>0</v>
      </c>
      <c r="J516" s="8">
        <f>F516*CAP_SHARE</f>
        <v>56.327176203709556</v>
      </c>
      <c r="K516" s="8">
        <f>G516*CAP_SHARE</f>
        <v>67.42436170656212</v>
      </c>
      <c r="L516" s="8">
        <f>H516*CAP_SHARE</f>
        <v>70.48401612467943</v>
      </c>
      <c r="M516" s="8">
        <f>F516-J516-E516</f>
        <v>-266.1885031638883</v>
      </c>
      <c r="N516" s="8">
        <f>G516-K516-E516</f>
        <v>-50.33698318718439</v>
      </c>
      <c r="O516" s="8">
        <f>H516-L516-E516</f>
        <v>9.176400326526846</v>
      </c>
      <c r="P516" s="8">
        <f>R_NF_2024*(1+G_HI)^(B516-2024)</f>
        <v>1451.474158911953</v>
      </c>
      <c r="Q516" s="10">
        <f>1-F516/P516</f>
        <v>0.20636002386755792</v>
      </c>
      <c r="R516" s="10">
        <f>CPI_2023/(IF(B516-1=2023,CPI_2023,IF(B516-1=2024,CPI_2024,IF(B516-1=2025,CPI_2025,CPI_2025*(1+INFL)^(B516-1-2025)))))</f>
        <v>0.5198394787819772</v>
      </c>
      <c r="S516" s="8">
        <f>$B$21*ABS($B$11)*(G516-F516)/F516</f>
        <v>19641.22431575123</v>
      </c>
      <c r="T516" s="8">
        <f>$B$21*ABS($B$11)*(H516-F516)/F516</f>
        <v>25056.593711844835</v>
      </c>
      <c r="U516" s="13">
        <f>(G516-F516)*MCD_NF_DAYS*R516-S516*MCD_SHARE_FREED*R_WAIT_2023</f>
        <v>53226783.09677122</v>
      </c>
      <c r="V516" s="13">
        <f>(H516-F516)*MCD_NF_DAYS*R516-T516*MCD_SHARE_FREED*R_WAIT_2023</f>
        <v>67902176.42261454</v>
      </c>
      <c r="W516" s="10">
        <f>IF(AND(B516&gt;=RULE_START,C516=1),1/(1+$B$12)^(B516-RULE_START+1),0)</f>
        <v>0</v>
      </c>
      <c r="X516">
        <f>IF(AND(B516&gt;=RULE_START,C516=1,M516&lt;0),B516,9999)</f>
        <v>9999</v>
      </c>
      <c r="Y516">
        <f>IF(AND(B516&gt;=RULE_START,C516=1,N516&lt;0),B516,9999)</f>
        <v>9999</v>
      </c>
      <c r="Z516">
        <f>IF(AND(B516&gt;=RULE_START,C516=1,O516&lt;0),B516,9999)</f>
        <v>9999</v>
      </c>
      <c r="AB516" t="n">
        <v>2052</v>
      </c>
      <c r="AC516">
        <f>IF(AB516&lt;=RULE_START+$AB$38-1,1,0)</f>
        <v>0</v>
      </c>
      <c r="AD516" s="15">
        <f>IF(AB516=2024,G_IDX_2024,IF(AB516=2025,G_IDX_2025,IF(AB516=2026,G_IDX_2026,IF(AB516=2027,G_IDX_2027,$AB$13))))</f>
        <v>0.033</v>
      </c>
      <c r="AE516" s="8">
        <f>$AB$20*(1+G_HI)^(AB516-COST_DATE)</f>
        <v>1361.8092437959176</v>
      </c>
      <c r="AF516" s="8">
        <f>AF515*(1+AD516)</f>
        <v>1151.9479168357389</v>
      </c>
      <c r="AG516" s="8">
        <f>IF(AB516&lt;RULE_START,AF516,AG515*(1+G_HI))</f>
        <v>1378.8966223152954</v>
      </c>
      <c r="AH516" s="8">
        <f>IF(AB516&lt;RULE_START,AF516,IF(AI516=1,R_NF_2024*(1+G_HI)^(AB516-2024),AH515*(1+AD516)))</f>
        <v>1441.4696602471238</v>
      </c>
      <c r="AI516">
        <f>IF(AND(AB516&gt;=RULE_START,MOD(AB516-RULE_START,REBASE_YEARS)=0),1,0)</f>
        <v>0</v>
      </c>
      <c r="AJ516" s="8">
        <f>AF516*CAP_SHARE</f>
        <v>56.327176203709556</v>
      </c>
      <c r="AK516" s="8">
        <f>AG516*CAP_SHARE</f>
        <v>67.42436170656212</v>
      </c>
      <c r="AL516" s="8">
        <f>AH516*CAP_SHARE</f>
        <v>70.48401612467943</v>
      </c>
      <c r="AM516" s="8">
        <f>AF516-AJ516-AE516</f>
        <v>-266.1885031638883</v>
      </c>
      <c r="AN516" s="8">
        <f>AG516-AK516-AE516</f>
        <v>-50.33698318718439</v>
      </c>
      <c r="AO516" s="8">
        <f>AH516-AL516-AE516</f>
        <v>9.176400326526846</v>
      </c>
      <c r="AP516" s="8">
        <f>R_NF_2024*(1+G_HI)^(AB516-2024)</f>
        <v>1451.474158911953</v>
      </c>
      <c r="AQ516" s="10">
        <f>1-AF516/AP516</f>
        <v>0.20636002386755792</v>
      </c>
      <c r="AR516" s="10">
        <f>CPI_2023/(IF(AB516-1=2023,CPI_2023,IF(AB516-1=2024,CPI_2024,IF(AB516-1=2025,CPI_2025,CPI_2025*(1+INFL)^(AB516-1-2025)))))</f>
        <v>0.5198394787819772</v>
      </c>
      <c r="AS516" s="8">
        <f>$AB$21*ABS($AB$11)*(AG516-AF516)/AF516</f>
        <v>19641.22431575123</v>
      </c>
      <c r="AT516" s="8">
        <f>$AB$21*ABS($AB$11)*(AH516-AF516)/AF516</f>
        <v>25056.593711844835</v>
      </c>
      <c r="AU516" s="13">
        <f>(AG516-AF516)*MCD_NF_DAYS*AR516-AS516*MCD_SHARE_FREED*R_WAIT_2023</f>
        <v>53226783.09677122</v>
      </c>
      <c r="AV516" s="13">
        <f>(AH516-AF516)*MCD_NF_DAYS*AR516-AT516*MCD_SHARE_FREED*R_WAIT_2023</f>
        <v>67902176.42261454</v>
      </c>
      <c r="AW516" s="10">
        <f>IF(AND(AB516&gt;=RULE_START,AC516=1),1/(1+$AB$12)^(AB516-RULE_START+1),0)</f>
        <v>0</v>
      </c>
      <c r="AX516">
        <f>IF(AND(AB516&gt;=RULE_START,AC516=1,AM516&lt;0),AB516,9999)</f>
        <v>9999</v>
      </c>
      <c r="AY516">
        <f>IF(AND(AB516&gt;=RULE_START,AC516=1,AN516&lt;0),AB516,9999)</f>
        <v>9999</v>
      </c>
      <c r="AZ516">
        <f>IF(AND(AB516&gt;=RULE_START,AC516=1,AO516&lt;0),AB516,9999)</f>
        <v>9999</v>
      </c>
      <c r="BB516" t="n">
        <v>2052</v>
      </c>
      <c r="BC516">
        <f>IF(BB516&lt;=RULE_START+$BB$38-1,1,0)</f>
        <v>0</v>
      </c>
      <c r="BD516" s="15">
        <f>IF(BB516=2024,G_IDX_2024,IF(BB516=2025,G_IDX_2025,IF(BB516=2026,G_IDX_2026,IF(BB516=2027,G_IDX_2027,$BB$13))))</f>
        <v>0.033</v>
      </c>
      <c r="BE516" s="8">
        <f>$BB$20*(1+G_HI)^(BB516-COST_DATE)</f>
        <v>1361.8092437959176</v>
      </c>
      <c r="BF516" s="8">
        <f>BF515*(1+BD516)</f>
        <v>1151.9479168357389</v>
      </c>
      <c r="BG516" s="8">
        <f>IF(BB516&lt;RULE_START,BF516,BG515*(1+G_HI))</f>
        <v>1378.8966223152954</v>
      </c>
      <c r="BH516" s="8">
        <f>IF(BB516&lt;RULE_START,BF516,IF(BI516=1,R_NF_2024*(1+G_HI)^(BB516-2024),BH515*(1+BD516)))</f>
        <v>1441.4696602471238</v>
      </c>
      <c r="BI516">
        <f>IF(AND(BB516&gt;=RULE_START,MOD(BB516-RULE_START,REBASE_YEARS)=0),1,0)</f>
        <v>0</v>
      </c>
      <c r="BJ516" s="8">
        <f>BF516*CAP_SHARE</f>
        <v>56.327176203709556</v>
      </c>
      <c r="BK516" s="8">
        <f>BG516*CAP_SHARE</f>
        <v>67.42436170656212</v>
      </c>
      <c r="BL516" s="8">
        <f>BH516*CAP_SHARE</f>
        <v>70.48401612467943</v>
      </c>
      <c r="BM516" s="8">
        <f>BF516-BJ516-BE516</f>
        <v>-266.1885031638883</v>
      </c>
      <c r="BN516" s="8">
        <f>BG516-BK516-BE516</f>
        <v>-50.33698318718439</v>
      </c>
      <c r="BO516" s="8">
        <f>BH516-BL516-BE516</f>
        <v>9.176400326526846</v>
      </c>
      <c r="BP516" s="8">
        <f>R_NF_2024*(1+G_HI)^(BB516-2024)</f>
        <v>1451.474158911953</v>
      </c>
      <c r="BQ516" s="10">
        <f>1-BF516/BP516</f>
        <v>0.20636002386755792</v>
      </c>
      <c r="BR516" s="10">
        <f>CPI_2023/(IF(BB516-1=2023,CPI_2023,IF(BB516-1=2024,CPI_2024,IF(BB516-1=2025,CPI_2025,CPI_2025*(1+INFL)^(BB516-1-2025)))))</f>
        <v>0.5198394787819772</v>
      </c>
      <c r="BS516" s="8">
        <f>$BB$21*ABS($BB$11)*(BG516-BF516)/BF516</f>
        <v>19641.22431575123</v>
      </c>
      <c r="BT516" s="8">
        <f>$BB$21*ABS($BB$11)*(BH516-BF516)/BF516</f>
        <v>25056.593711844835</v>
      </c>
      <c r="BU516" s="13">
        <f>(BG516-BF516)*MCD_NF_DAYS*BR516-BS516*MCD_SHARE_FREED*R_WAIT_2023</f>
        <v>53226783.09677122</v>
      </c>
      <c r="BV516" s="13">
        <f>(BH516-BF516)*MCD_NF_DAYS*BR516-BT516*MCD_SHARE_FREED*R_WAIT_2023</f>
        <v>67902176.42261454</v>
      </c>
      <c r="BW516" s="10">
        <f>IF(AND(BB516&gt;=RULE_START,BC516=1),1/(1+$BB$12)^(BB516-RULE_START+1),0)</f>
        <v>0</v>
      </c>
      <c r="BX516">
        <f>IF(AND(BB516&gt;=RULE_START,BC516=1,BM516&lt;0),BB516,9999)</f>
        <v>9999</v>
      </c>
      <c r="BY516">
        <f>IF(AND(BB516&gt;=RULE_START,BC516=1,BN516&lt;0),BB516,9999)</f>
        <v>9999</v>
      </c>
      <c r="BZ516">
        <f>IF(AND(BB516&gt;=RULE_START,BC516=1,BO516&lt;0),BB516,9999)</f>
        <v>9999</v>
      </c>
      <c r="CB516" t="n">
        <v>2052</v>
      </c>
      <c r="CC516">
        <f>IF(CB516&lt;=RULE_START+$CB$38-1,1,0)</f>
        <v>1</v>
      </c>
      <c r="CD516" s="15">
        <f>IF(CB516=2024,G_IDX_2024,IF(CB516=2025,G_IDX_2025,IF(CB516=2026,G_IDX_2026,IF(CB516=2027,G_IDX_2027,$CB$13))))</f>
        <v>0.033</v>
      </c>
      <c r="CE516" s="8">
        <f>$CB$20*(1+G_HI)^(CB516-COST_DATE)</f>
        <v>1361.8092437959176</v>
      </c>
      <c r="CF516" s="8">
        <f>CF515*(1+CD516)</f>
        <v>1151.9479168357389</v>
      </c>
      <c r="CG516" s="8">
        <f>IF(CB516&lt;RULE_START,CF516,CG515*(1+G_HI))</f>
        <v>1378.8966223152954</v>
      </c>
      <c r="CH516" s="8">
        <f>IF(CB516&lt;RULE_START,CF516,IF(CI516=1,R_NF_2024*(1+G_HI)^(CB516-2024),CH515*(1+CD516)))</f>
        <v>1441.4696602471238</v>
      </c>
      <c r="CI516">
        <f>IF(AND(CB516&gt;=RULE_START,MOD(CB516-RULE_START,REBASE_YEARS)=0),1,0)</f>
        <v>0</v>
      </c>
      <c r="CJ516" s="8">
        <f>CF516*CAP_SHARE</f>
        <v>56.327176203709556</v>
      </c>
      <c r="CK516" s="8">
        <f>CG516*CAP_SHARE</f>
        <v>67.42436170656212</v>
      </c>
      <c r="CL516" s="8">
        <f>CH516*CAP_SHARE</f>
        <v>70.48401612467943</v>
      </c>
      <c r="CM516" s="8">
        <f>CF516-CJ516-CE516</f>
        <v>-266.1885031638883</v>
      </c>
      <c r="CN516" s="8">
        <f>CG516-CK516-CE516</f>
        <v>-50.33698318718439</v>
      </c>
      <c r="CO516" s="8">
        <f>CH516-CL516-CE516</f>
        <v>9.176400326526846</v>
      </c>
      <c r="CP516" s="8">
        <f>R_NF_2024*(1+G_HI)^(CB516-2024)</f>
        <v>1451.474158911953</v>
      </c>
      <c r="CQ516" s="10">
        <f>1-CF516/CP516</f>
        <v>0.20636002386755792</v>
      </c>
      <c r="CR516" s="10">
        <f>CPI_2023/(IF(CB516-1=2023,CPI_2023,IF(CB516-1=2024,CPI_2024,IF(CB516-1=2025,CPI_2025,CPI_2025*(1+INFL)^(CB516-1-2025)))))</f>
        <v>0.5198394787819772</v>
      </c>
      <c r="CS516" s="8">
        <f>$CB$21*ABS($CB$11)*(CG516-CF516)/CF516</f>
        <v>19641.22431575123</v>
      </c>
      <c r="CT516" s="8">
        <f>$CB$21*ABS($CB$11)*(CH516-CF516)/CF516</f>
        <v>25056.593711844835</v>
      </c>
      <c r="CU516" s="13">
        <f>(CG516-CF516)*MCD_NF_DAYS*CR516-CS516*MCD_SHARE_FREED*R_WAIT_2023</f>
        <v>53226783.09677122</v>
      </c>
      <c r="CV516" s="13">
        <f>(CH516-CF516)*MCD_NF_DAYS*CR516-CT516*MCD_SHARE_FREED*R_WAIT_2023</f>
        <v>67902176.42261454</v>
      </c>
      <c r="CW516" s="10">
        <f>IF(AND(CB516&gt;=RULE_START,CC516=1),1/(1+$CB$12)^(CB516-RULE_START+1),0)</f>
        <v>0.597579284831646</v>
      </c>
      <c r="CX516">
        <f>IF(AND(CB516&gt;=RULE_START,CC516=1,CM516&lt;0),CB516,9999)</f>
        <v>2052</v>
      </c>
      <c r="CY516">
        <f>IF(AND(CB516&gt;=RULE_START,CC516=1,CN516&lt;0),CB516,9999)</f>
        <v>2052</v>
      </c>
      <c r="CZ516">
        <f>IF(AND(CB516&gt;=RULE_START,CC516=1,CO516&lt;0),CB516,9999)</f>
        <v>9999</v>
      </c>
      <c r="DB516" t="n">
        <v>2052</v>
      </c>
      <c r="DC516">
        <f>IF(DB516&lt;=RULE_START+$DB$38-1,1,0)</f>
        <v>0</v>
      </c>
      <c r="DD516" s="15">
        <f>IF(DB516=2024,G_IDX_2024,IF(DB516=2025,G_IDX_2025,IF(DB516=2026,G_IDX_2026,IF(DB516=2027,G_IDX_2027,$DB$13))))</f>
        <v>0.033</v>
      </c>
      <c r="DE516" s="8">
        <f>$DB$20*(1+G_HI)^(DB516-COST_DATE)</f>
        <v>1361.8092437959176</v>
      </c>
      <c r="DF516" s="8">
        <f>DF515*(1+DD516)</f>
        <v>1151.9479168357389</v>
      </c>
      <c r="DG516" s="8">
        <f>IF(DB516&lt;RULE_START,DF516,DG515*(1+G_HI))</f>
        <v>1378.8966223152954</v>
      </c>
      <c r="DH516" s="8">
        <f>IF(DB516&lt;RULE_START,DF516,IF(DI516=1,R_NF_2024*(1+G_HI)^(DB516-2024),DH515*(1+DD516)))</f>
        <v>1441.4696602471238</v>
      </c>
      <c r="DI516">
        <f>IF(AND(DB516&gt;=RULE_START,MOD(DB516-RULE_START,REBASE_YEARS)=0),1,0)</f>
        <v>0</v>
      </c>
      <c r="DJ516" s="8">
        <f>DF516*CAP_SHARE</f>
        <v>56.327176203709556</v>
      </c>
      <c r="DK516" s="8">
        <f>DG516*CAP_SHARE</f>
        <v>67.42436170656212</v>
      </c>
      <c r="DL516" s="8">
        <f>DH516*CAP_SHARE</f>
        <v>70.48401612467943</v>
      </c>
      <c r="DM516" s="8">
        <f>DF516-DJ516-DE516</f>
        <v>-266.1885031638883</v>
      </c>
      <c r="DN516" s="8">
        <f>DG516-DK516-DE516</f>
        <v>-50.33698318718439</v>
      </c>
      <c r="DO516" s="8">
        <f>DH516-DL516-DE516</f>
        <v>9.176400326526846</v>
      </c>
      <c r="DP516" s="8">
        <f>R_NF_2024*(1+G_HI)^(DB516-2024)</f>
        <v>1451.474158911953</v>
      </c>
      <c r="DQ516" s="10">
        <f>1-DF516/DP516</f>
        <v>0.20636002386755792</v>
      </c>
      <c r="DR516" s="10">
        <f>CPI_2023/(IF(DB516-1=2023,CPI_2023,IF(DB516-1=2024,CPI_2024,IF(DB516-1=2025,CPI_2025,CPI_2025*(1+INFL)^(DB516-1-2025)))))</f>
        <v>0.5198394787819772</v>
      </c>
      <c r="DS516" s="8">
        <f>$DB$21*ABS($DB$11)*(DG516-DF516)/DF516</f>
        <v>19641.22431575123</v>
      </c>
      <c r="DT516" s="8">
        <f>$DB$21*ABS($DB$11)*(DH516-DF516)/DF516</f>
        <v>25056.593711844835</v>
      </c>
      <c r="DU516" s="13">
        <f>(DG516-DF516)*MCD_NF_DAYS*DR516-DS516*MCD_SHARE_FREED*R_WAIT_2023</f>
        <v>53226783.09677122</v>
      </c>
      <c r="DV516" s="13">
        <f>(DH516-DF516)*MCD_NF_DAYS*DR516-DT516*MCD_SHARE_FREED*R_WAIT_2023</f>
        <v>67902176.42261454</v>
      </c>
      <c r="DW516" s="10">
        <f>IF(AND(DB516&gt;=RULE_START,DC516=1),1/(1+$DB$12)^(DB516-RULE_START+1),0)</f>
        <v>0</v>
      </c>
      <c r="DX516">
        <f>IF(AND(DB516&gt;=RULE_START,DC516=1,DM516&lt;0),DB516,9999)</f>
        <v>9999</v>
      </c>
      <c r="DY516">
        <f>IF(AND(DB516&gt;=RULE_START,DC516=1,DN516&lt;0),DB516,9999)</f>
        <v>9999</v>
      </c>
      <c r="DZ516">
        <f>IF(AND(DB516&gt;=RULE_START,DC516=1,DO516&lt;0),DB516,9999)</f>
        <v>9999</v>
      </c>
      <c r="EB516" t="n">
        <v>2052</v>
      </c>
      <c r="EC516">
        <f>IF(EB516&lt;=RULE_START+$EB$38-1,1,0)</f>
        <v>0</v>
      </c>
      <c r="ED516" s="15">
        <f>IF(EB516=2024,G_IDX_2024,IF(EB516=2025,G_IDX_2025,IF(EB516=2026,G_IDX_2026,IF(EB516=2027,G_IDX_2027,$EB$13))))</f>
        <v>0.033</v>
      </c>
      <c r="EE516" s="8">
        <f>$EB$20*(1+G_HI)^(EB516-COST_DATE)</f>
        <v>1361.8092437959176</v>
      </c>
      <c r="EF516" s="8">
        <f>EF515*(1+ED516)</f>
        <v>1151.9479168357389</v>
      </c>
      <c r="EG516" s="8">
        <f>IF(EB516&lt;RULE_START,EF516,EG515*(1+G_HI))</f>
        <v>1378.8966223152954</v>
      </c>
      <c r="EH516" s="8">
        <f>IF(EB516&lt;RULE_START,EF516,IF(EI516=1,R_NF_2024*(1+G_HI)^(EB516-2024),EH515*(1+ED516)))</f>
        <v>1441.4696602471238</v>
      </c>
      <c r="EI516">
        <f>IF(AND(EB516&gt;=RULE_START,MOD(EB516-RULE_START,REBASE_YEARS)=0),1,0)</f>
        <v>0</v>
      </c>
      <c r="EJ516" s="8">
        <f>EF516*CAP_SHARE</f>
        <v>56.327176203709556</v>
      </c>
      <c r="EK516" s="8">
        <f>EG516*CAP_SHARE</f>
        <v>67.42436170656212</v>
      </c>
      <c r="EL516" s="8">
        <f>EH516*CAP_SHARE</f>
        <v>70.48401612467943</v>
      </c>
      <c r="EM516" s="8">
        <f>EF516-EJ516-EE516</f>
        <v>-266.1885031638883</v>
      </c>
      <c r="EN516" s="8">
        <f>EG516-EK516-EE516</f>
        <v>-50.33698318718439</v>
      </c>
      <c r="EO516" s="8">
        <f>EH516-EL516-EE516</f>
        <v>9.176400326526846</v>
      </c>
      <c r="EP516" s="8">
        <f>R_NF_2024*(1+G_HI)^(EB516-2024)</f>
        <v>1451.474158911953</v>
      </c>
      <c r="EQ516" s="10">
        <f>1-EF516/EP516</f>
        <v>0.20636002386755792</v>
      </c>
      <c r="ER516" s="10">
        <f>CPI_2023/(IF(EB516-1=2023,CPI_2023,IF(EB516-1=2024,CPI_2024,IF(EB516-1=2025,CPI_2025,CPI_2025*(1+INFL)^(EB516-1-2025)))))</f>
        <v>0.5198394787819772</v>
      </c>
      <c r="ES516" s="8">
        <f>$EB$21*ABS($EB$11)*(EG516-EF516)/EF516</f>
        <v>19641.22431575123</v>
      </c>
      <c r="ET516" s="8">
        <f>$EB$21*ABS($EB$11)*(EH516-EF516)/EF516</f>
        <v>25056.593711844835</v>
      </c>
      <c r="EU516" s="13">
        <f>(EG516-EF516)*MCD_NF_DAYS*ER516-ES516*MCD_SHARE_FREED*R_WAIT_2023</f>
        <v>53226783.09677122</v>
      </c>
      <c r="EV516" s="13">
        <f>(EH516-EF516)*MCD_NF_DAYS*ER516-ET516*MCD_SHARE_FREED*R_WAIT_2023</f>
        <v>67902176.42261454</v>
      </c>
      <c r="EW516" s="10">
        <f>IF(AND(EB516&gt;=RULE_START,EC516=1),1/(1+$EB$12)^(EB516-RULE_START+1),0)</f>
        <v>0</v>
      </c>
      <c r="EX516">
        <f>IF(AND(EB516&gt;=RULE_START,EC516=1,EM516&lt;0),EB516,9999)</f>
        <v>9999</v>
      </c>
      <c r="EY516">
        <f>IF(AND(EB516&gt;=RULE_START,EC516=1,EN516&lt;0),EB516,9999)</f>
        <v>9999</v>
      </c>
      <c r="EZ516">
        <f>IF(AND(EB516&gt;=RULE_START,EC516=1,EO516&lt;0),EB516,9999)</f>
        <v>9999</v>
      </c>
      <c r="FB516" t="n">
        <v>2052</v>
      </c>
      <c r="FC516">
        <f>IF(FB516&lt;=RULE_START+$FB$38-1,1,0)</f>
        <v>0</v>
      </c>
      <c r="FD516" s="15">
        <f>IF(FB516=2024,G_IDX_2024,IF(FB516=2025,G_IDX_2025,IF(FB516=2026,G_IDX_2026,IF(FB516=2027,G_IDX_2027,$FB$13))))</f>
        <v>0.033</v>
      </c>
      <c r="FE516" s="8">
        <f>$FB$20*(1+G_HI)^(FB516-COST_DATE)</f>
        <v>1401.481903884383</v>
      </c>
      <c r="FF516" s="8">
        <f>FF515*(1+FD516)</f>
        <v>1151.9479168357389</v>
      </c>
      <c r="FG516" s="8">
        <f>IF(FB516&lt;RULE_START,FF516,FG515*(1+G_HI))</f>
        <v>1378.8966223152954</v>
      </c>
      <c r="FH516" s="8">
        <f>IF(FB516&lt;RULE_START,FF516,IF(FI516=1,R_NF_2024*(1+G_HI)^(FB516-2024),FH515*(1+FD516)))</f>
        <v>1441.4696602471238</v>
      </c>
      <c r="FI516">
        <f>IF(AND(FB516&gt;=RULE_START,MOD(FB516-RULE_START,REBASE_YEARS)=0),1,0)</f>
        <v>0</v>
      </c>
      <c r="FJ516" s="8">
        <f>FF516*CAP_SHARE</f>
        <v>56.327176203709556</v>
      </c>
      <c r="FK516" s="8">
        <f>FG516*CAP_SHARE</f>
        <v>67.42436170656212</v>
      </c>
      <c r="FL516" s="8">
        <f>FH516*CAP_SHARE</f>
        <v>70.48401612467943</v>
      </c>
      <c r="FM516" s="8">
        <f>FF516-FJ516-FE516</f>
        <v>-305.86116325235366</v>
      </c>
      <c r="FN516" s="8">
        <f>FG516-FK516-FE516</f>
        <v>-90.00964327564975</v>
      </c>
      <c r="FO516" s="8">
        <f>FH516-FL516-FE516</f>
        <v>-30.496259761938518</v>
      </c>
      <c r="FP516" s="8">
        <f>R_NF_2024*(1+G_HI)^(FB516-2024)</f>
        <v>1451.474158911953</v>
      </c>
      <c r="FQ516" s="10">
        <f>1-FF516/FP516</f>
        <v>0.20636002386755792</v>
      </c>
      <c r="FR516" s="10">
        <f>CPI_2023/(IF(FB516-1=2023,CPI_2023,IF(FB516-1=2024,CPI_2024,IF(FB516-1=2025,CPI_2025,CPI_2025*(1+INFL)^(FB516-1-2025)))))</f>
        <v>0.5198394787819772</v>
      </c>
      <c r="FS516" s="8">
        <f>$FB$21*ABS($FB$11)*(FG516-FF516)/FF516</f>
        <v>19641.22431575123</v>
      </c>
      <c r="FT516" s="8">
        <f>$FB$21*ABS($FB$11)*(FH516-FF516)/FF516</f>
        <v>25056.593711844835</v>
      </c>
      <c r="FU516" s="13">
        <f>(FG516-FF516)*MCD_NF_DAYS*FR516-FS516*MCD_SHARE_FREED*R_WAIT_2023</f>
        <v>53226783.09677122</v>
      </c>
      <c r="FV516" s="13">
        <f>(FH516-FF516)*MCD_NF_DAYS*FR516-FT516*MCD_SHARE_FREED*R_WAIT_2023</f>
        <v>67902176.42261454</v>
      </c>
      <c r="FW516" s="10">
        <f>IF(AND(FB516&gt;=RULE_START,FC516=1),1/(1+$FB$12)^(FB516-RULE_START+1),0)</f>
        <v>0</v>
      </c>
      <c r="FX516">
        <f>IF(AND(FB516&gt;=RULE_START,FC516=1,FM516&lt;0),FB516,9999)</f>
        <v>9999</v>
      </c>
      <c r="FY516">
        <f>IF(AND(FB516&gt;=RULE_START,FC516=1,FN516&lt;0),FB516,9999)</f>
        <v>9999</v>
      </c>
      <c r="FZ516">
        <f>IF(AND(FB516&gt;=RULE_START,FC516=1,FO516&lt;0),FB516,9999)</f>
        <v>9999</v>
      </c>
      <c r="GB516" t="n">
        <v>2052</v>
      </c>
      <c r="GC516">
        <f>IF(GB516&lt;=RULE_START+$GB$38-1,1,0)</f>
        <v>0</v>
      </c>
      <c r="GD516" s="15">
        <f>IF(GB516=2024,G_IDX_2024,IF(GB516=2025,G_IDX_2025,IF(GB516=2026,G_IDX_2026,IF(GB516=2027,G_IDX_2027,$GB$13))))</f>
        <v>0.033</v>
      </c>
      <c r="GE516" s="8">
        <f>$GB$20*(1+G_HI)^(GB516-COST_DATE)</f>
        <v>1361.8092437959176</v>
      </c>
      <c r="GF516" s="8">
        <f>GF515*(1+GD516)</f>
        <v>1151.9479168357389</v>
      </c>
      <c r="GG516" s="8">
        <f>IF(GB516&lt;RULE_START,GF516,GG515*(1+G_HI))</f>
        <v>1378.8966223152954</v>
      </c>
      <c r="GH516" s="8">
        <f>IF(GB516&lt;RULE_START,GF516,IF(GI516=1,R_NF_2024*(1+G_HI)^(GB516-2024),GH515*(1+GD516)))</f>
        <v>1441.4696602471238</v>
      </c>
      <c r="GI516">
        <f>IF(AND(GB516&gt;=RULE_START,MOD(GB516-RULE_START,REBASE_YEARS)=0),1,0)</f>
        <v>0</v>
      </c>
      <c r="GJ516" s="8">
        <f>GF516*CAP_SHARE</f>
        <v>56.327176203709556</v>
      </c>
      <c r="GK516" s="8">
        <f>GG516*CAP_SHARE</f>
        <v>67.42436170656212</v>
      </c>
      <c r="GL516" s="8">
        <f>GH516*CAP_SHARE</f>
        <v>70.48401612467943</v>
      </c>
      <c r="GM516" s="8">
        <f>GF516-GJ516-GE516</f>
        <v>-266.1885031638883</v>
      </c>
      <c r="GN516" s="8">
        <f>GG516-GK516-GE516</f>
        <v>-50.33698318718439</v>
      </c>
      <c r="GO516" s="8">
        <f>GH516-GL516-GE516</f>
        <v>9.176400326526846</v>
      </c>
      <c r="GP516" s="8">
        <f>R_NF_2024*(1+G_HI)^(GB516-2024)</f>
        <v>1451.474158911953</v>
      </c>
      <c r="GQ516" s="10">
        <f>1-GF516/GP516</f>
        <v>0.20636002386755792</v>
      </c>
      <c r="GR516" s="10">
        <f>CPI_2023/(IF(GB516-1=2023,CPI_2023,IF(GB516-1=2024,CPI_2024,IF(GB516-1=2025,CPI_2025,CPI_2025*(1+INFL)^(GB516-1-2025)))))</f>
        <v>0.5198394787819772</v>
      </c>
      <c r="GS516" s="8">
        <f>$GB$21*ABS($GB$11)*(GG516-GF516)/GF516</f>
        <v>14826.177882515296</v>
      </c>
      <c r="GT516" s="8">
        <f>$GB$21*ABS($GB$11)*(GH516-GF516)/GF516</f>
        <v>18913.96939058465</v>
      </c>
      <c r="GU516" s="13">
        <f>(GG516-GF516)*MCD_NF_DAYS*GR516-GS516*MCD_SHARE_FREED*R_WAIT_2023</f>
        <v>55416274.90035019</v>
      </c>
      <c r="GV516" s="13">
        <f>(GH516-GF516)*MCD_NF_DAYS*GR516-GT516*MCD_SHARE_FREED*R_WAIT_2023</f>
        <v>70695342.75867115</v>
      </c>
      <c r="GW516" s="10">
        <f>IF(AND(GB516&gt;=RULE_START,GC516=1),1/(1+$GB$12)^(GB516-RULE_START+1),0)</f>
        <v>0</v>
      </c>
      <c r="GX516">
        <f>IF(AND(GB516&gt;=RULE_START,GC516=1,GM516&lt;0),GB516,9999)</f>
        <v>9999</v>
      </c>
      <c r="GY516">
        <f>IF(AND(GB516&gt;=RULE_START,GC516=1,GN516&lt;0),GB516,9999)</f>
        <v>9999</v>
      </c>
      <c r="GZ516">
        <f>IF(AND(GB516&gt;=RULE_START,GC516=1,GO516&lt;0),GB516,9999)</f>
        <v>9999</v>
      </c>
      <c r="HB516" t="n">
        <v>2052</v>
      </c>
      <c r="HC516">
        <f>IF(HB516&lt;=RULE_START+$HB$38-1,1,0)</f>
        <v>0</v>
      </c>
      <c r="HD516" s="15">
        <f>IF(HB516=2024,G_IDX_2024,IF(HB516=2025,G_IDX_2025,IF(HB516=2026,G_IDX_2026,IF(HB516=2027,G_IDX_2027,$HB$13))))</f>
        <v>0.033</v>
      </c>
      <c r="HE516" s="8">
        <f>$HB$20*(1+G_HI)^(HB516-COST_DATE)</f>
        <v>1361.8092437959176</v>
      </c>
      <c r="HF516" s="8">
        <f>HF515*(1+HD516)</f>
        <v>1151.9479168357389</v>
      </c>
      <c r="HG516" s="8">
        <f>IF(HB516&lt;RULE_START,HF516,HG515*(1+G_HI))</f>
        <v>1378.8966223152954</v>
      </c>
      <c r="HH516" s="8">
        <f>IF(HB516&lt;RULE_START,HF516,IF(HI516=1,R_NF_2024*(1+G_HI)^(HB516-2024),HH515*(1+HD516)))</f>
        <v>1441.4696602471238</v>
      </c>
      <c r="HI516">
        <f>IF(AND(HB516&gt;=RULE_START,MOD(HB516-RULE_START,REBASE_YEARS)=0),1,0)</f>
        <v>0</v>
      </c>
      <c r="HJ516" s="8">
        <f>HF516*CAP_SHARE</f>
        <v>56.327176203709556</v>
      </c>
      <c r="HK516" s="8">
        <f>HG516*CAP_SHARE</f>
        <v>67.42436170656212</v>
      </c>
      <c r="HL516" s="8">
        <f>HH516*CAP_SHARE</f>
        <v>70.48401612467943</v>
      </c>
      <c r="HM516" s="8">
        <f>HF516-HJ516-HE516</f>
        <v>-266.1885031638883</v>
      </c>
      <c r="HN516" s="8">
        <f>HG516-HK516-HE516</f>
        <v>-50.33698318718439</v>
      </c>
      <c r="HO516" s="8">
        <f>HH516-HL516-HE516</f>
        <v>9.176400326526846</v>
      </c>
      <c r="HP516" s="8">
        <f>R_NF_2024*(1+G_HI)^(HB516-2024)</f>
        <v>1451.474158911953</v>
      </c>
      <c r="HQ516" s="10">
        <f>1-HF516/HP516</f>
        <v>0.20636002386755792</v>
      </c>
      <c r="HR516" s="10">
        <f>CPI_2023/(IF(HB516-1=2023,CPI_2023,IF(HB516-1=2024,CPI_2024,IF(HB516-1=2025,CPI_2025,CPI_2025*(1+INFL)^(HB516-1-2025)))))</f>
        <v>0.5198394787819772</v>
      </c>
      <c r="HS516" s="8">
        <f>$HB$21*ABS($HB$11)*(HG516-HF516)/HF516</f>
        <v>19641.22431575123</v>
      </c>
      <c r="HT516" s="8">
        <f>$HB$21*ABS($HB$11)*(HH516-HF516)/HF516</f>
        <v>25056.593711844835</v>
      </c>
      <c r="HU516" s="13">
        <f>(HG516-HF516)*MCD_NF_DAYS*HR516-HS516*MCD_SHARE_FREED*R_WAIT_2023</f>
        <v>53226783.09677122</v>
      </c>
      <c r="HV516" s="13">
        <f>(HH516-HF516)*MCD_NF_DAYS*HR516-HT516*MCD_SHARE_FREED*R_WAIT_2023</f>
        <v>67902176.42261454</v>
      </c>
      <c r="HW516" s="10">
        <f>IF(AND(HB516&gt;=RULE_START,HC516=1),1/(1+$HB$12)^(HB516-RULE_START+1),0)</f>
        <v>0</v>
      </c>
      <c r="HX516">
        <f>IF(AND(HB516&gt;=RULE_START,HC516=1,HM516&lt;0),HB516,9999)</f>
        <v>9999</v>
      </c>
      <c r="HY516">
        <f>IF(AND(HB516&gt;=RULE_START,HC516=1,HN516&lt;0),HB516,9999)</f>
        <v>9999</v>
      </c>
      <c r="HZ516">
        <f>IF(AND(HB516&gt;=RULE_START,HC516=1,HO516&lt;0),HB516,9999)</f>
        <v>9999</v>
      </c>
      <c r="IB516" t="n">
        <v>2052</v>
      </c>
      <c r="IC516">
        <f>IF(IB516&lt;=RULE_START+$IB$38-1,1,0)</f>
        <v>0</v>
      </c>
      <c r="ID516" s="15">
        <f>IF(IB516=2024,G_IDX_2024,IF(IB516=2025,G_IDX_2025,IF(IB516=2026,G_IDX_2026,IF(IB516=2027,G_IDX_2027,$IB$13))))</f>
        <v>0.033</v>
      </c>
      <c r="IE516" s="8">
        <f>$IB$20*(1+G_HI)^(IB516-COST_DATE)</f>
        <v>1361.8092437959176</v>
      </c>
      <c r="IF516" s="8">
        <f>IF515*(1+ID516)</f>
        <v>1151.9479168357389</v>
      </c>
      <c r="IG516" s="8">
        <f>IF(IB516&lt;RULE_START,IF516,IG515*(1+G_HI))</f>
        <v>1378.8966223152954</v>
      </c>
      <c r="IH516" s="8">
        <f>IF(IB516&lt;RULE_START,IF516,IF(II516=1,R_NF_2024*(1+G_HI)^(IB516-2024),IH515*(1+ID516)))</f>
        <v>1441.4696602471238</v>
      </c>
      <c r="II516">
        <f>IF(AND(IB516&gt;=RULE_START,MOD(IB516-RULE_START,REBASE_YEARS)=0),1,0)</f>
        <v>0</v>
      </c>
      <c r="IJ516" s="8">
        <f>IF516*CAP_SHARE</f>
        <v>56.327176203709556</v>
      </c>
      <c r="IK516" s="8">
        <f>IG516*CAP_SHARE</f>
        <v>67.42436170656212</v>
      </c>
      <c r="IL516" s="8">
        <f>IH516*CAP_SHARE</f>
        <v>70.48401612467943</v>
      </c>
      <c r="IM516" s="8">
        <f>IF516-IJ516-IE516</f>
        <v>-266.1885031638883</v>
      </c>
      <c r="IN516" s="8">
        <f>IG516-IK516-IE516</f>
        <v>-50.33698318718439</v>
      </c>
      <c r="IO516" s="8">
        <f>IH516-IL516-IE516</f>
        <v>9.176400326526846</v>
      </c>
      <c r="IP516" s="8">
        <f>R_NF_2024*(1+G_HI)^(IB516-2024)</f>
        <v>1451.474158911953</v>
      </c>
      <c r="IQ516" s="10">
        <f>1-IF516/IP516</f>
        <v>0.20636002386755792</v>
      </c>
      <c r="IR516" s="10">
        <f>CPI_2023/(IF(IB516-1=2023,CPI_2023,IF(IB516-1=2024,CPI_2024,IF(IB516-1=2025,CPI_2025,CPI_2025*(1+INFL)^(IB516-1-2025)))))</f>
        <v>0.5198394787819772</v>
      </c>
      <c r="IS516" s="8">
        <f>$IB$21*ABS($IB$11)*(IG516-IF516)/IF516</f>
        <v>19641.22431575123</v>
      </c>
      <c r="IT516" s="8">
        <f>$IB$21*ABS($IB$11)*(IH516-IF516)/IF516</f>
        <v>25056.593711844835</v>
      </c>
      <c r="IU516" s="13">
        <f>(IG516-IF516)*MCD_NF_DAYS*IR516-IS516*MCD_SHARE_FREED*R_WAIT_2023</f>
        <v>53226783.09677122</v>
      </c>
      <c r="IV516" s="13">
        <f>(IH516-IF516)*MCD_NF_DAYS*IR516-IT516*MCD_SHARE_FREED*R_WAIT_2023</f>
        <v>67902176.42261454</v>
      </c>
      <c r="IW516" s="10">
        <f>IF(AND(IB516&gt;=RULE_START,IC516=1),1/(1+$IB$12)^(IB516-RULE_START+1),0)</f>
        <v>0</v>
      </c>
      <c r="IX516">
        <f>IF(AND(IB516&gt;=RULE_START,IC516=1,IM516&lt;0),IB516,9999)</f>
        <v>9999</v>
      </c>
      <c r="IY516">
        <f>IF(AND(IB516&gt;=RULE_START,IC516=1,IN516&lt;0),IB516,9999)</f>
        <v>9999</v>
      </c>
      <c r="IZ516">
        <f>IF(AND(IB516&gt;=RULE_START,IC516=1,IO516&lt;0),IB516,9999)</f>
        <v>9999</v>
      </c>
      <c r="JB516" t="n">
        <v>2052</v>
      </c>
      <c r="JC516">
        <f>IF(JB516&lt;=RULE_START+$JB$38-1,1,0)</f>
        <v>0</v>
      </c>
      <c r="JD516" s="15">
        <f>IF(JB516=2024,G_IDX_2024,IF(JB516=2025,G_IDX_2025,IF(JB516=2026,G_IDX_2026,IF(JB516=2027,G_IDX_2027,$JB$13))))</f>
        <v>0.03</v>
      </c>
      <c r="JE516" s="8">
        <f>$JB$20*(1+G_HI)^(JB516-COST_DATE)</f>
        <v>1361.8092437959176</v>
      </c>
      <c r="JF516" s="8">
        <f>JF515*(1+JD516)</f>
        <v>1071.1626558100725</v>
      </c>
      <c r="JG516" s="8">
        <f>IF(JB516&lt;RULE_START,JF516,JG515*(1+G_HI))</f>
        <v>1378.8966223152954</v>
      </c>
      <c r="JH516" s="8">
        <f>IF(JB516&lt;RULE_START,JF516,IF(JI516=1,R_NF_2024*(1+G_HI)^(JB516-2024),JH515*(1+JD516)))</f>
        <v>1437.283397923076</v>
      </c>
      <c r="JI516">
        <f>IF(AND(JB516&gt;=RULE_START,MOD(JB516-RULE_START,REBASE_YEARS)=0),1,0)</f>
        <v>0</v>
      </c>
      <c r="JJ516" s="8">
        <f>JF516*CAP_SHARE</f>
        <v>52.37699272236364</v>
      </c>
      <c r="JK516" s="8">
        <f>JG516*CAP_SHARE</f>
        <v>67.42436170656212</v>
      </c>
      <c r="JL516" s="8">
        <f>JH516*CAP_SHARE</f>
        <v>70.2793190788188</v>
      </c>
      <c r="JM516" s="8">
        <f>JF516-JJ516-JE516</f>
        <v>-343.0235807082088</v>
      </c>
      <c r="JN516" s="8">
        <f>JG516-JK516-JE516</f>
        <v>-50.33698318718439</v>
      </c>
      <c r="JO516" s="8">
        <f>JH516-JL516-JE516</f>
        <v>5.194835048339655</v>
      </c>
      <c r="JP516" s="8">
        <f>R_NF_2024*(1+G_HI)^(JB516-2024)</f>
        <v>1451.474158911953</v>
      </c>
      <c r="JQ516" s="10">
        <f>1-JF516/JP516</f>
        <v>0.2620174122748199</v>
      </c>
      <c r="JR516" s="10">
        <f>CPI_2023/(IF(JB516-1=2023,CPI_2023,IF(JB516-1=2024,CPI_2024,IF(JB516-1=2025,CPI_2025,CPI_2025*(1+INFL)^(JB516-1-2025)))))</f>
        <v>0.5198394787819772</v>
      </c>
      <c r="JS516" s="8">
        <f>$JB$21*ABS($JB$11)*(JG516-JF516)/JF516</f>
        <v>28641.36426682716</v>
      </c>
      <c r="JT516" s="8">
        <f>$JB$21*ABS($JB$11)*(JH516-JF516)/JF516</f>
        <v>34075.52848190923</v>
      </c>
      <c r="JU516" s="13">
        <f>(JG516-JF516)*MCD_NF_DAYS*JR516-JS516*MCD_SHARE_FREED*R_WAIT_2023</f>
        <v>71260182.42856452</v>
      </c>
      <c r="JV516" s="13">
        <f>(JH516-JF516)*MCD_NF_DAYS*JR516-JT516*MCD_SHARE_FREED*R_WAIT_2023</f>
        <v>84780471.81512952</v>
      </c>
      <c r="JW516" s="10">
        <f>IF(AND(JB516&gt;=RULE_START,JC516=1),1/(1+$JB$12)^(JB516-RULE_START+1),0)</f>
        <v>0</v>
      </c>
      <c r="JX516">
        <f>IF(AND(JB516&gt;=RULE_START,JC516=1,JM516&lt;0),JB516,9999)</f>
        <v>9999</v>
      </c>
      <c r="JY516">
        <f>IF(AND(JB516&gt;=RULE_START,JC516=1,JN516&lt;0),JB516,9999)</f>
        <v>9999</v>
      </c>
      <c r="JZ516">
        <f>IF(AND(JB516&gt;=RULE_START,JC516=1,JO516&lt;0),JB516,9999)</f>
        <v>9999</v>
      </c>
      <c r="KB516" t="n">
        <v>2052</v>
      </c>
      <c r="KC516">
        <f>IF(KB516&lt;=RULE_START+$KB$38-1,1,0)</f>
        <v>0</v>
      </c>
      <c r="KD516" s="15">
        <f>IF(KB516=2024,G_IDX_2024,IF(KB516=2025,G_IDX_2025,IF(KB516=2026,G_IDX_2026,IF(KB516=2027,G_IDX_2027,$KB$13))))</f>
        <v>0.033</v>
      </c>
      <c r="KE516" s="8">
        <f>$KB$20*(1+G_HI)^(KB516-COST_DATE)</f>
        <v>1361.8092437959176</v>
      </c>
      <c r="KF516" s="8">
        <f>KF515*(1+KD516)</f>
        <v>1151.9479168357389</v>
      </c>
      <c r="KG516" s="8">
        <f>IF(KB516&lt;RULE_START,KF516,KG515*(1+G_HI))</f>
        <v>1378.8966223152954</v>
      </c>
      <c r="KH516" s="8">
        <f>IF(KB516&lt;RULE_START,KF516,IF(KI516=1,R_NF_2024*(1+G_HI)^(KB516-2024),KH515*(1+KD516)))</f>
        <v>1441.4696602471238</v>
      </c>
      <c r="KI516">
        <f>IF(AND(KB516&gt;=RULE_START,MOD(KB516-RULE_START,REBASE_YEARS)=0),1,0)</f>
        <v>0</v>
      </c>
      <c r="KJ516" s="8">
        <f>KF516*CAP_SHARE</f>
        <v>56.327176203709556</v>
      </c>
      <c r="KK516" s="8">
        <f>KG516*CAP_SHARE</f>
        <v>67.42436170656212</v>
      </c>
      <c r="KL516" s="8">
        <f>KH516*CAP_SHARE</f>
        <v>70.48401612467943</v>
      </c>
      <c r="KM516" s="8">
        <f>KF516-KJ516-KE516</f>
        <v>-266.1885031638883</v>
      </c>
      <c r="KN516" s="8">
        <f>KG516-KK516-KE516</f>
        <v>-50.33698318718439</v>
      </c>
      <c r="KO516" s="8">
        <f>KH516-KL516-KE516</f>
        <v>9.176400326526846</v>
      </c>
      <c r="KP516" s="8">
        <f>R_NF_2024*(1+G_HI)^(KB516-2024)</f>
        <v>1451.474158911953</v>
      </c>
      <c r="KQ516" s="10">
        <f>1-KF516/KP516</f>
        <v>0.20636002386755792</v>
      </c>
      <c r="KR516" s="10">
        <f>CPI_2023/(IF(KB516-1=2023,CPI_2023,IF(KB516-1=2024,CPI_2024,IF(KB516-1=2025,CPI_2025,CPI_2025*(1+INFL)^(KB516-1-2025)))))</f>
        <v>0.5198394787819772</v>
      </c>
      <c r="KS516" s="8">
        <f>$KB$21*ABS($KB$11)*(KG516-KF516)/KF516</f>
        <v>19641.22431575123</v>
      </c>
      <c r="KT516" s="8">
        <f>$KB$21*ABS($KB$11)*(KH516-KF516)/KF516</f>
        <v>25056.593711844835</v>
      </c>
      <c r="KU516" s="13">
        <f>(KG516-KF516)*MCD_NF_DAYS*KR516-KS516*MCD_SHARE_FREED*R_WAIT_2023</f>
        <v>53226783.09677122</v>
      </c>
      <c r="KV516" s="13">
        <f>(KH516-KF516)*MCD_NF_DAYS*KR516-KT516*MCD_SHARE_FREED*R_WAIT_2023</f>
        <v>67902176.42261454</v>
      </c>
      <c r="KW516" s="10">
        <f>IF(AND(KB516&gt;=RULE_START,KC516=1),1/(1+$KB$12)^(KB516-RULE_START+1),0)</f>
        <v>0</v>
      </c>
      <c r="KX516">
        <f>IF(AND(KB516&gt;=RULE_START,KC516=1,KM516&lt;0),KB516,9999)</f>
        <v>9999</v>
      </c>
      <c r="KY516">
        <f>IF(AND(KB516&gt;=RULE_START,KC516=1,KN516&lt;0),KB516,9999)</f>
        <v>9999</v>
      </c>
      <c r="KZ516">
        <f>IF(AND(KB516&gt;=RULE_START,KC516=1,KO516&lt;0),KB516,9999)</f>
        <v>9999</v>
      </c>
      <c r="LB516" t="n">
        <v>2052</v>
      </c>
      <c r="LC516">
        <f>IF(LB516&lt;=RULE_START+$LB$38-1,1,0)</f>
        <v>0</v>
      </c>
      <c r="LD516" s="15">
        <f>IF(LB516=2024,G_IDX_2024,IF(LB516=2025,G_IDX_2025,IF(LB516=2026,G_IDX_2026,IF(LB516=2027,G_IDX_2027,$LB$13))))</f>
        <v>0.033</v>
      </c>
      <c r="LE516" s="8">
        <f>$LB$20*(1+G_HI)^(LB516-COST_DATE)</f>
        <v>1361.8092437959176</v>
      </c>
      <c r="LF516" s="8">
        <f>LF515*(1+LD516)</f>
        <v>1151.9479168357389</v>
      </c>
      <c r="LG516" s="8">
        <f>IF(LB516&lt;RULE_START,LF516,LG515*(1+G_HI))</f>
        <v>1378.8966223152954</v>
      </c>
      <c r="LH516" s="8">
        <f>IF(LB516&lt;RULE_START,LF516,IF(LI516=1,R_NF_2024*(1+G_HI)^(LB516-2024),LH515*(1+LD516)))</f>
        <v>1441.4696602471238</v>
      </c>
      <c r="LI516">
        <f>IF(AND(LB516&gt;=RULE_START,MOD(LB516-RULE_START,REBASE_YEARS)=0),1,0)</f>
        <v>0</v>
      </c>
      <c r="LJ516" s="8">
        <f>LF516*CAP_SHARE</f>
        <v>56.327176203709556</v>
      </c>
      <c r="LK516" s="8">
        <f>LG516*CAP_SHARE</f>
        <v>67.42436170656212</v>
      </c>
      <c r="LL516" s="8">
        <f>LH516*CAP_SHARE</f>
        <v>70.48401612467943</v>
      </c>
      <c r="LM516" s="8">
        <f>LF516-LJ516-LE516</f>
        <v>-266.1885031638883</v>
      </c>
      <c r="LN516" s="8">
        <f>LG516-LK516-LE516</f>
        <v>-50.33698318718439</v>
      </c>
      <c r="LO516" s="8">
        <f>LH516-LL516-LE516</f>
        <v>9.176400326526846</v>
      </c>
      <c r="LP516" s="8">
        <f>R_NF_2024*(1+G_HI)^(LB516-2024)</f>
        <v>1451.474158911953</v>
      </c>
      <c r="LQ516" s="10">
        <f>1-LF516/LP516</f>
        <v>0.20636002386755792</v>
      </c>
      <c r="LR516" s="10">
        <f>CPI_2023/(IF(LB516-1=2023,CPI_2023,IF(LB516-1=2024,CPI_2024,IF(LB516-1=2025,CPI_2025,CPI_2025*(1+INFL)^(LB516-1-2025)))))</f>
        <v>0.5198394787819772</v>
      </c>
      <c r="LS516" s="8">
        <f>$LB$21*ABS($LB$11)*(LG516-LF516)/LF516</f>
        <v>19641.22431575123</v>
      </c>
      <c r="LT516" s="8">
        <f>$LB$21*ABS($LB$11)*(LH516-LF516)/LF516</f>
        <v>25056.593711844835</v>
      </c>
      <c r="LU516" s="13">
        <f>(LG516-LF516)*MCD_NF_DAYS*LR516-LS516*MCD_SHARE_FREED*R_WAIT_2023</f>
        <v>53226783.09677122</v>
      </c>
      <c r="LV516" s="13">
        <f>(LH516-LF516)*MCD_NF_DAYS*LR516-LT516*MCD_SHARE_FREED*R_WAIT_2023</f>
        <v>67902176.42261454</v>
      </c>
      <c r="LW516" s="10">
        <f>IF(AND(LB516&gt;=RULE_START,LC516=1),1/(1+$LB$12)^(LB516-RULE_START+1),0)</f>
        <v>0</v>
      </c>
      <c r="LX516">
        <f>IF(AND(LB516&gt;=RULE_START,LC516=1,LM516&lt;0),LB516,9999)</f>
        <v>9999</v>
      </c>
      <c r="LY516">
        <f>IF(AND(LB516&gt;=RULE_START,LC516=1,LN516&lt;0),LB516,9999)</f>
        <v>9999</v>
      </c>
      <c r="LZ516">
        <f>IF(AND(LB516&gt;=RULE_START,LC516=1,LO516&lt;0),LB516,9999)</f>
        <v>9999</v>
      </c>
      <c r="MB516" t="n">
        <v>2052</v>
      </c>
      <c r="MC516">
        <f>IF(MB516&lt;=RULE_START+$MB$38-1,1,0)</f>
        <v>0</v>
      </c>
      <c r="MD516" s="15">
        <f>IF(MB516=2024,G_IDX_2024,IF(MB516=2025,G_IDX_2025,IF(MB516=2026,G_IDX_2026,IF(MB516=2027,G_IDX_2027,$MB$13))))</f>
        <v>0.033</v>
      </c>
      <c r="ME516" s="8">
        <f>$MB$20*(1+G_HI)^(MB516-COST_DATE)</f>
        <v>1361.8092437959176</v>
      </c>
      <c r="MF516" s="8">
        <f>MF515*(1+MD516)</f>
        <v>1151.9479168357389</v>
      </c>
      <c r="MG516" s="8">
        <f>IF(MB516&lt;RULE_START,MF516,MG515*(1+G_HI))</f>
        <v>1378.8966223152954</v>
      </c>
      <c r="MH516" s="8">
        <f>IF(MB516&lt;RULE_START,MF516,IF(MI516=1,R_NF_2024*(1+G_HI)^(MB516-2024),MH515*(1+MD516)))</f>
        <v>1441.4696602471238</v>
      </c>
      <c r="MI516">
        <f>IF(AND(MB516&gt;=RULE_START,MOD(MB516-RULE_START,REBASE_YEARS)=0),1,0)</f>
        <v>0</v>
      </c>
      <c r="MJ516" s="8">
        <f>MF516*CAP_SHARE</f>
        <v>56.327176203709556</v>
      </c>
      <c r="MK516" s="8">
        <f>MG516*CAP_SHARE</f>
        <v>67.42436170656212</v>
      </c>
      <c r="ML516" s="8">
        <f>MH516*CAP_SHARE</f>
        <v>70.48401612467943</v>
      </c>
      <c r="MM516" s="8">
        <f>MF516-MJ516-ME516</f>
        <v>-266.1885031638883</v>
      </c>
      <c r="MN516" s="8">
        <f>MG516-MK516-ME516</f>
        <v>-50.33698318718439</v>
      </c>
      <c r="MO516" s="8">
        <f>MH516-ML516-ME516</f>
        <v>9.176400326526846</v>
      </c>
      <c r="MP516" s="8">
        <f>R_NF_2024*(1+G_HI)^(MB516-2024)</f>
        <v>1451.474158911953</v>
      </c>
      <c r="MQ516" s="10">
        <f>1-MF516/MP516</f>
        <v>0.20636002386755792</v>
      </c>
      <c r="MR516" s="10">
        <f>CPI_2023/(IF(MB516-1=2023,CPI_2023,IF(MB516-1=2024,CPI_2024,IF(MB516-1=2025,CPI_2025,CPI_2025*(1+INFL)^(MB516-1-2025)))))</f>
        <v>0.5198394787819772</v>
      </c>
      <c r="MS516" s="8">
        <f>$MB$21*ABS($MB$11)*(MG516-MF516)/MF516</f>
        <v>14388.957139796526</v>
      </c>
      <c r="MT516" s="8">
        <f>$MB$21*ABS($MB$11)*(MH516-MF516)/MF516</f>
        <v>18356.200570444977</v>
      </c>
      <c r="MU516" s="13">
        <f>(MG516-MF516)*MCD_NF_DAYS*MR516-MS516*MCD_SHARE_FREED*R_WAIT_2023</f>
        <v>55615087.361623615</v>
      </c>
      <c r="MV516" s="13">
        <f>(MH516-MF516)*MCD_NF_DAYS*MR516-MT516*MCD_SHARE_FREED*R_WAIT_2023</f>
        <v>70948970.68872768</v>
      </c>
      <c r="MW516" s="10">
        <f>IF(AND(MB516&gt;=RULE_START,MC516=1),1/(1+$MB$12)^(MB516-RULE_START+1),0)</f>
        <v>0</v>
      </c>
      <c r="MX516">
        <f>IF(AND(MB516&gt;=RULE_START,MC516=1,MM516&lt;0),MB516,9999)</f>
        <v>9999</v>
      </c>
      <c r="MY516">
        <f>IF(AND(MB516&gt;=RULE_START,MC516=1,MN516&lt;0),MB516,9999)</f>
        <v>9999</v>
      </c>
      <c r="MZ516">
        <f>IF(AND(MB516&gt;=RULE_START,MC516=1,MO516&lt;0),MB516,9999)</f>
        <v>9999</v>
      </c>
      <c r="NB516" t="n">
        <v>2052</v>
      </c>
      <c r="NC516">
        <f>IF(NB516&lt;=RULE_START+$NB$38-1,1,0)</f>
        <v>0</v>
      </c>
      <c r="ND516" s="15">
        <f>IF(NB516=2024,G_IDX_2024,IF(NB516=2025,G_IDX_2025,IF(NB516=2026,G_IDX_2026,IF(NB516=2027,G_IDX_2027,$NB$13))))</f>
        <v>0.033</v>
      </c>
      <c r="NE516" s="8">
        <f>$NB$20*(1+G_HI)^(NB516-COST_DATE)</f>
        <v>1361.8092437959176</v>
      </c>
      <c r="NF516" s="8">
        <f>NF515*(1+ND516)</f>
        <v>1151.9479168357389</v>
      </c>
      <c r="NG516" s="8">
        <f>IF(NB516&lt;RULE_START,NF516,NG515*(1+G_HI))</f>
        <v>1378.8966223152954</v>
      </c>
      <c r="NH516" s="8">
        <f>IF(NB516&lt;RULE_START,NF516,IF(NI516=1,R_NF_2024*(1+G_HI)^(NB516-2024),NH515*(1+ND516)))</f>
        <v>1441.4696602471238</v>
      </c>
      <c r="NI516">
        <f>IF(AND(NB516&gt;=RULE_START,MOD(NB516-RULE_START,REBASE_YEARS)=0),1,0)</f>
        <v>0</v>
      </c>
      <c r="NJ516" s="8">
        <f>NF516*CAP_SHARE</f>
        <v>56.327176203709556</v>
      </c>
      <c r="NK516" s="8">
        <f>NG516*CAP_SHARE</f>
        <v>67.42436170656212</v>
      </c>
      <c r="NL516" s="8">
        <f>NH516*CAP_SHARE</f>
        <v>70.48401612467943</v>
      </c>
      <c r="NM516" s="8">
        <f>NF516-NJ516-NE516</f>
        <v>-266.1885031638883</v>
      </c>
      <c r="NN516" s="8">
        <f>NG516-NK516-NE516</f>
        <v>-50.33698318718439</v>
      </c>
      <c r="NO516" s="8">
        <f>NH516-NL516-NE516</f>
        <v>9.176400326526846</v>
      </c>
      <c r="NP516" s="8">
        <f>R_NF_2024*(1+G_HI)^(NB516-2024)</f>
        <v>1451.474158911953</v>
      </c>
      <c r="NQ516" s="10">
        <f>1-NF516/NP516</f>
        <v>0.20636002386755792</v>
      </c>
      <c r="NR516" s="10">
        <f>CPI_2023/(IF(NB516-1=2023,CPI_2023,IF(NB516-1=2024,CPI_2024,IF(NB516-1=2025,CPI_2025,CPI_2025*(1+INFL)^(NB516-1-2025)))))</f>
        <v>0.5198394787819772</v>
      </c>
      <c r="NS516" s="8">
        <f>$NB$21*ABS($NB$11)*(NG516-NF516)/NF516</f>
        <v>19641.22431575123</v>
      </c>
      <c r="NT516" s="8">
        <f>$NB$21*ABS($NB$11)*(NH516-NF516)/NF516</f>
        <v>25056.593711844835</v>
      </c>
      <c r="NU516" s="13">
        <f>(NG516-NF516)*MCD_NF_DAYS*NR516-NS516*MCD_SHARE_FREED*R_WAIT_2023</f>
        <v>53226783.09677122</v>
      </c>
      <c r="NV516" s="13">
        <f>(NH516-NF516)*MCD_NF_DAYS*NR516-NT516*MCD_SHARE_FREED*R_WAIT_2023</f>
        <v>67902176.42261454</v>
      </c>
      <c r="NW516" s="10">
        <f>IF(AND(NB516&gt;=RULE_START,NC516=1),1/(1+$NB$12)^(NB516-RULE_START+1),0)</f>
        <v>0</v>
      </c>
      <c r="NX516">
        <f>IF(AND(NB516&gt;=RULE_START,NC516=1,NM516&lt;0),NB516,9999)</f>
        <v>9999</v>
      </c>
      <c r="NY516">
        <f>IF(AND(NB516&gt;=RULE_START,NC516=1,NN516&lt;0),NB516,9999)</f>
        <v>9999</v>
      </c>
      <c r="NZ516">
        <f>IF(AND(NB516&gt;=RULE_START,NC516=1,NO516&lt;0),NB516,9999)</f>
        <v>9999</v>
      </c>
      <c r="OB516" t="n">
        <v>2052</v>
      </c>
      <c r="OC516">
        <f>IF(OB516&lt;=RULE_START+$OB$38-1,1,0)</f>
        <v>0</v>
      </c>
      <c r="OD516" s="15">
        <f>IF(OB516=2024,G_IDX_2024,IF(OB516=2025,G_IDX_2025,IF(OB516=2026,G_IDX_2026,IF(OB516=2027,G_IDX_2027,$OB$13))))</f>
        <v>0.033</v>
      </c>
      <c r="OE516" s="8">
        <f>$OB$20*(1+G_HI)^(OB516-COST_DATE)</f>
        <v>1361.8092437959176</v>
      </c>
      <c r="OF516" s="8">
        <f>OF515*(1+OD516)</f>
        <v>1151.9479168357389</v>
      </c>
      <c r="OG516" s="8">
        <f>IF(OB516&lt;RULE_START,OF516,OG515*(1+G_HI))</f>
        <v>1378.8966223152954</v>
      </c>
      <c r="OH516" s="8">
        <f>IF(OB516&lt;RULE_START,OF516,IF(OI516=1,R_NF_2024*(1+G_HI)^(OB516-2024),OH515*(1+OD516)))</f>
        <v>1441.4696602471238</v>
      </c>
      <c r="OI516">
        <f>IF(AND(OB516&gt;=RULE_START,MOD(OB516-RULE_START,REBASE_YEARS)=0),1,0)</f>
        <v>0</v>
      </c>
      <c r="OJ516" s="8">
        <f>OF516*CAP_SHARE</f>
        <v>56.327176203709556</v>
      </c>
      <c r="OK516" s="8">
        <f>OG516*CAP_SHARE</f>
        <v>67.42436170656212</v>
      </c>
      <c r="OL516" s="8">
        <f>OH516*CAP_SHARE</f>
        <v>70.48401612467943</v>
      </c>
      <c r="OM516" s="8">
        <f>OF516-OJ516-OE516</f>
        <v>-266.1885031638883</v>
      </c>
      <c r="ON516" s="8">
        <f>OG516-OK516-OE516</f>
        <v>-50.33698318718439</v>
      </c>
      <c r="OO516" s="8">
        <f>OH516-OL516-OE516</f>
        <v>9.176400326526846</v>
      </c>
      <c r="OP516" s="8">
        <f>R_NF_2024*(1+G_HI)^(OB516-2024)</f>
        <v>1451.474158911953</v>
      </c>
      <c r="OQ516" s="10">
        <f>1-OF516/OP516</f>
        <v>0.20636002386755792</v>
      </c>
      <c r="OR516" s="10">
        <f>CPI_2023/(IF(OB516-1=2023,CPI_2023,IF(OB516-1=2024,CPI_2024,IF(OB516-1=2025,CPI_2025,CPI_2025*(1+INFL)^(OB516-1-2025)))))</f>
        <v>0.5198394787819772</v>
      </c>
      <c r="OS516" s="8">
        <f>$OB$21*ABS($OB$11)*(OG516-OF516)/OF516</f>
        <v>19641.22431575123</v>
      </c>
      <c r="OT516" s="8">
        <f>$OB$21*ABS($OB$11)*(OH516-OF516)/OF516</f>
        <v>25056.593711844835</v>
      </c>
      <c r="OU516" s="13">
        <f>(OG516-OF516)*MCD_NF_DAYS*OR516-OS516*MCD_SHARE_FREED*R_WAIT_2023</f>
        <v>53226783.09677122</v>
      </c>
      <c r="OV516" s="13">
        <f>(OH516-OF516)*MCD_NF_DAYS*OR516-OT516*MCD_SHARE_FREED*R_WAIT_2023</f>
        <v>67902176.42261454</v>
      </c>
      <c r="OW516" s="10">
        <f>IF(AND(OB516&gt;=RULE_START,OC516=1),1/(1+$OB$12)^(OB516-RULE_START+1),0)</f>
        <v>0</v>
      </c>
      <c r="OX516">
        <f>IF(AND(OB516&gt;=RULE_START,OC516=1,OM516&lt;0),OB516,9999)</f>
        <v>9999</v>
      </c>
      <c r="OY516">
        <f>IF(AND(OB516&gt;=RULE_START,OC516=1,ON516&lt;0),OB516,9999)</f>
        <v>9999</v>
      </c>
      <c r="OZ516">
        <f>IF(AND(OB516&gt;=RULE_START,OC516=1,OO516&lt;0),OB516,9999)</f>
        <v>9999</v>
      </c>
    </row>
    <row r="517">
      <c r="B517" t="n">
        <v>2053</v>
      </c>
      <c r="C517">
        <f>IF(B517&lt;=RULE_START+$B$38-1,1,0)</f>
        <v>0</v>
      </c>
      <c r="D517" s="15">
        <f>IF(B517=2024,G_IDX_2024,IF(B517=2025,G_IDX_2025,IF(B517=2026,G_IDX_2026,IF(B517=2027,G_IDX_2027,$B$13))))</f>
        <v>0.033</v>
      </c>
      <c r="E517" s="8">
        <f>$B$20*(1+G_HI)^(B517-COST_DATE)</f>
        <v>1416.512468926662</v>
      </c>
      <c r="F517" s="8">
        <f>F516*(1+D517)</f>
        <v>1189.9621980913182</v>
      </c>
      <c r="G517" s="8">
        <f>IF(B517&lt;RULE_START,F517,G516*(1+G_HI))</f>
        <v>1434.2862392577404</v>
      </c>
      <c r="H517" s="8">
        <f>IF(B517&lt;RULE_START,F517,IF(I517=1,R_NF_2024*(1+G_HI)^(B517-2024),H516*(1+D517)))</f>
        <v>1489.0381590352788</v>
      </c>
      <c r="I517">
        <f>IF(AND(B517&gt;=RULE_START,MOD(B517-RULE_START,REBASE_YEARS)=0),1,0)</f>
        <v>0</v>
      </c>
      <c r="J517" s="8">
        <f>F517*CAP_SHARE</f>
        <v>58.18597301843197</v>
      </c>
      <c r="K517" s="8">
        <f>G517*CAP_SHARE</f>
        <v>70.13276602569415</v>
      </c>
      <c r="L517" s="8">
        <f>H517*CAP_SHARE</f>
        <v>72.80998865679385</v>
      </c>
      <c r="M517" s="8">
        <f>F517-J517-E517</f>
        <v>-284.7362438537757</v>
      </c>
      <c r="N517" s="8">
        <f>G517-K517-E517</f>
        <v>-52.358995694615714</v>
      </c>
      <c r="O517" s="8">
        <f>H517-L517-E517</f>
        <v>-0.28429854817704836</v>
      </c>
      <c r="P517" s="8">
        <f>R_NF_2024*(1+G_HI)^(B517-2024)</f>
        <v>1509.7791807409262</v>
      </c>
      <c r="Q517" s="10">
        <f>1-F517/P517</f>
        <v>0.2118303038810334</v>
      </c>
      <c r="R517" s="10">
        <f>CPI_2023/(IF(B517-1=2023,CPI_2023,IF(B517-1=2024,CPI_2024,IF(B517-1=2025,CPI_2025,CPI_2025*(1+INFL)^(B517-1-2025)))))</f>
        <v>0.5082513480465166</v>
      </c>
      <c r="S517" s="8">
        <f>$B$21*ABS($B$11)*(G517-F517)/F517</f>
        <v>20469.476096376024</v>
      </c>
      <c r="T517" s="8">
        <f>$B$21*ABS($B$11)*(H517-F517)/F517</f>
        <v>25056.59371184483</v>
      </c>
      <c r="U517" s="13">
        <f>(G517-F517)*MCD_NF_DAYS*R517-S517*MCD_SHARE_FREED*R_WAIT_2023</f>
        <v>56117324.221300565</v>
      </c>
      <c r="V517" s="13">
        <f>(H517-F517)*MCD_NF_DAYS*R517-T517*MCD_SHARE_FREED*R_WAIT_2023</f>
        <v>68692964.42120174</v>
      </c>
      <c r="W517" s="10">
        <f>IF(AND(B517&gt;=RULE_START,C517=1),1/(1+$B$12)^(B517-RULE_START+1),0)</f>
        <v>0</v>
      </c>
      <c r="X517">
        <f>IF(AND(B517&gt;=RULE_START,C517=1,M517&lt;0),B517,9999)</f>
        <v>9999</v>
      </c>
      <c r="Y517">
        <f>IF(AND(B517&gt;=RULE_START,C517=1,N517&lt;0),B517,9999)</f>
        <v>9999</v>
      </c>
      <c r="Z517">
        <f>IF(AND(B517&gt;=RULE_START,C517=1,O517&lt;0),B517,9999)</f>
        <v>9999</v>
      </c>
      <c r="AB517" t="n">
        <v>2053</v>
      </c>
      <c r="AC517">
        <f>IF(AB517&lt;=RULE_START+$AB$38-1,1,0)</f>
        <v>0</v>
      </c>
      <c r="AD517" s="15">
        <f>IF(AB517=2024,G_IDX_2024,IF(AB517=2025,G_IDX_2025,IF(AB517=2026,G_IDX_2026,IF(AB517=2027,G_IDX_2027,$AB$13))))</f>
        <v>0.033</v>
      </c>
      <c r="AE517" s="8">
        <f>$AB$20*(1+G_HI)^(AB517-COST_DATE)</f>
        <v>1416.512468926662</v>
      </c>
      <c r="AF517" s="8">
        <f>AF516*(1+AD517)</f>
        <v>1189.9621980913182</v>
      </c>
      <c r="AG517" s="8">
        <f>IF(AB517&lt;RULE_START,AF517,AG516*(1+G_HI))</f>
        <v>1434.2862392577404</v>
      </c>
      <c r="AH517" s="8">
        <f>IF(AB517&lt;RULE_START,AF517,IF(AI517=1,R_NF_2024*(1+G_HI)^(AB517-2024),AH516*(1+AD517)))</f>
        <v>1489.0381590352788</v>
      </c>
      <c r="AI517">
        <f>IF(AND(AB517&gt;=RULE_START,MOD(AB517-RULE_START,REBASE_YEARS)=0),1,0)</f>
        <v>0</v>
      </c>
      <c r="AJ517" s="8">
        <f>AF517*CAP_SHARE</f>
        <v>58.18597301843197</v>
      </c>
      <c r="AK517" s="8">
        <f>AG517*CAP_SHARE</f>
        <v>70.13276602569415</v>
      </c>
      <c r="AL517" s="8">
        <f>AH517*CAP_SHARE</f>
        <v>72.80998865679385</v>
      </c>
      <c r="AM517" s="8">
        <f>AF517-AJ517-AE517</f>
        <v>-284.7362438537757</v>
      </c>
      <c r="AN517" s="8">
        <f>AG517-AK517-AE517</f>
        <v>-52.358995694615714</v>
      </c>
      <c r="AO517" s="8">
        <f>AH517-AL517-AE517</f>
        <v>-0.28429854817704836</v>
      </c>
      <c r="AP517" s="8">
        <f>R_NF_2024*(1+G_HI)^(AB517-2024)</f>
        <v>1509.7791807409262</v>
      </c>
      <c r="AQ517" s="10">
        <f>1-AF517/AP517</f>
        <v>0.2118303038810334</v>
      </c>
      <c r="AR517" s="10">
        <f>CPI_2023/(IF(AB517-1=2023,CPI_2023,IF(AB517-1=2024,CPI_2024,IF(AB517-1=2025,CPI_2025,CPI_2025*(1+INFL)^(AB517-1-2025)))))</f>
        <v>0.5082513480465166</v>
      </c>
      <c r="AS517" s="8">
        <f>$AB$21*ABS($AB$11)*(AG517-AF517)/AF517</f>
        <v>20469.476096376024</v>
      </c>
      <c r="AT517" s="8">
        <f>$AB$21*ABS($AB$11)*(AH517-AF517)/AF517</f>
        <v>25056.59371184483</v>
      </c>
      <c r="AU517" s="13">
        <f>(AG517-AF517)*MCD_NF_DAYS*AR517-AS517*MCD_SHARE_FREED*R_WAIT_2023</f>
        <v>56117324.221300565</v>
      </c>
      <c r="AV517" s="13">
        <f>(AH517-AF517)*MCD_NF_DAYS*AR517-AT517*MCD_SHARE_FREED*R_WAIT_2023</f>
        <v>68692964.42120174</v>
      </c>
      <c r="AW517" s="10">
        <f>IF(AND(AB517&gt;=RULE_START,AC517=1),1/(1+$AB$12)^(AB517-RULE_START+1),0)</f>
        <v>0</v>
      </c>
      <c r="AX517">
        <f>IF(AND(AB517&gt;=RULE_START,AC517=1,AM517&lt;0),AB517,9999)</f>
        <v>9999</v>
      </c>
      <c r="AY517">
        <f>IF(AND(AB517&gt;=RULE_START,AC517=1,AN517&lt;0),AB517,9999)</f>
        <v>9999</v>
      </c>
      <c r="AZ517">
        <f>IF(AND(AB517&gt;=RULE_START,AC517=1,AO517&lt;0),AB517,9999)</f>
        <v>9999</v>
      </c>
      <c r="BB517" t="n">
        <v>2053</v>
      </c>
      <c r="BC517">
        <f>IF(BB517&lt;=RULE_START+$BB$38-1,1,0)</f>
        <v>0</v>
      </c>
      <c r="BD517" s="15">
        <f>IF(BB517=2024,G_IDX_2024,IF(BB517=2025,G_IDX_2025,IF(BB517=2026,G_IDX_2026,IF(BB517=2027,G_IDX_2027,$BB$13))))</f>
        <v>0.033</v>
      </c>
      <c r="BE517" s="8">
        <f>$BB$20*(1+G_HI)^(BB517-COST_DATE)</f>
        <v>1416.512468926662</v>
      </c>
      <c r="BF517" s="8">
        <f>BF516*(1+BD517)</f>
        <v>1189.9621980913182</v>
      </c>
      <c r="BG517" s="8">
        <f>IF(BB517&lt;RULE_START,BF517,BG516*(1+G_HI))</f>
        <v>1434.2862392577404</v>
      </c>
      <c r="BH517" s="8">
        <f>IF(BB517&lt;RULE_START,BF517,IF(BI517=1,R_NF_2024*(1+G_HI)^(BB517-2024),BH516*(1+BD517)))</f>
        <v>1489.0381590352788</v>
      </c>
      <c r="BI517">
        <f>IF(AND(BB517&gt;=RULE_START,MOD(BB517-RULE_START,REBASE_YEARS)=0),1,0)</f>
        <v>0</v>
      </c>
      <c r="BJ517" s="8">
        <f>BF517*CAP_SHARE</f>
        <v>58.18597301843197</v>
      </c>
      <c r="BK517" s="8">
        <f>BG517*CAP_SHARE</f>
        <v>70.13276602569415</v>
      </c>
      <c r="BL517" s="8">
        <f>BH517*CAP_SHARE</f>
        <v>72.80998865679385</v>
      </c>
      <c r="BM517" s="8">
        <f>BF517-BJ517-BE517</f>
        <v>-284.7362438537757</v>
      </c>
      <c r="BN517" s="8">
        <f>BG517-BK517-BE517</f>
        <v>-52.358995694615714</v>
      </c>
      <c r="BO517" s="8">
        <f>BH517-BL517-BE517</f>
        <v>-0.28429854817704836</v>
      </c>
      <c r="BP517" s="8">
        <f>R_NF_2024*(1+G_HI)^(BB517-2024)</f>
        <v>1509.7791807409262</v>
      </c>
      <c r="BQ517" s="10">
        <f>1-BF517/BP517</f>
        <v>0.2118303038810334</v>
      </c>
      <c r="BR517" s="10">
        <f>CPI_2023/(IF(BB517-1=2023,CPI_2023,IF(BB517-1=2024,CPI_2024,IF(BB517-1=2025,CPI_2025,CPI_2025*(1+INFL)^(BB517-1-2025)))))</f>
        <v>0.5082513480465166</v>
      </c>
      <c r="BS517" s="8">
        <f>$BB$21*ABS($BB$11)*(BG517-BF517)/BF517</f>
        <v>20469.476096376024</v>
      </c>
      <c r="BT517" s="8">
        <f>$BB$21*ABS($BB$11)*(BH517-BF517)/BF517</f>
        <v>25056.59371184483</v>
      </c>
      <c r="BU517" s="13">
        <f>(BG517-BF517)*MCD_NF_DAYS*BR517-BS517*MCD_SHARE_FREED*R_WAIT_2023</f>
        <v>56117324.221300565</v>
      </c>
      <c r="BV517" s="13">
        <f>(BH517-BF517)*MCD_NF_DAYS*BR517-BT517*MCD_SHARE_FREED*R_WAIT_2023</f>
        <v>68692964.42120174</v>
      </c>
      <c r="BW517" s="10">
        <f>IF(AND(BB517&gt;=RULE_START,BC517=1),1/(1+$BB$12)^(BB517-RULE_START+1),0)</f>
        <v>0</v>
      </c>
      <c r="BX517">
        <f>IF(AND(BB517&gt;=RULE_START,BC517=1,BM517&lt;0),BB517,9999)</f>
        <v>9999</v>
      </c>
      <c r="BY517">
        <f>IF(AND(BB517&gt;=RULE_START,BC517=1,BN517&lt;0),BB517,9999)</f>
        <v>9999</v>
      </c>
      <c r="BZ517">
        <f>IF(AND(BB517&gt;=RULE_START,BC517=1,BO517&lt;0),BB517,9999)</f>
        <v>9999</v>
      </c>
      <c r="CB517" t="n">
        <v>2053</v>
      </c>
      <c r="CC517">
        <f>IF(CB517&lt;=RULE_START+$CB$38-1,1,0)</f>
        <v>1</v>
      </c>
      <c r="CD517" s="15">
        <f>IF(CB517=2024,G_IDX_2024,IF(CB517=2025,G_IDX_2025,IF(CB517=2026,G_IDX_2026,IF(CB517=2027,G_IDX_2027,$CB$13))))</f>
        <v>0.033</v>
      </c>
      <c r="CE517" s="8">
        <f>$CB$20*(1+G_HI)^(CB517-COST_DATE)</f>
        <v>1416.512468926662</v>
      </c>
      <c r="CF517" s="8">
        <f>CF516*(1+CD517)</f>
        <v>1189.9621980913182</v>
      </c>
      <c r="CG517" s="8">
        <f>IF(CB517&lt;RULE_START,CF517,CG516*(1+G_HI))</f>
        <v>1434.2862392577404</v>
      </c>
      <c r="CH517" s="8">
        <f>IF(CB517&lt;RULE_START,CF517,IF(CI517=1,R_NF_2024*(1+G_HI)^(CB517-2024),CH516*(1+CD517)))</f>
        <v>1489.0381590352788</v>
      </c>
      <c r="CI517">
        <f>IF(AND(CB517&gt;=RULE_START,MOD(CB517-RULE_START,REBASE_YEARS)=0),1,0)</f>
        <v>0</v>
      </c>
      <c r="CJ517" s="8">
        <f>CF517*CAP_SHARE</f>
        <v>58.18597301843197</v>
      </c>
      <c r="CK517" s="8">
        <f>CG517*CAP_SHARE</f>
        <v>70.13276602569415</v>
      </c>
      <c r="CL517" s="8">
        <f>CH517*CAP_SHARE</f>
        <v>72.80998865679385</v>
      </c>
      <c r="CM517" s="8">
        <f>CF517-CJ517-CE517</f>
        <v>-284.7362438537757</v>
      </c>
      <c r="CN517" s="8">
        <f>CG517-CK517-CE517</f>
        <v>-52.358995694615714</v>
      </c>
      <c r="CO517" s="8">
        <f>CH517-CL517-CE517</f>
        <v>-0.28429854817704836</v>
      </c>
      <c r="CP517" s="8">
        <f>R_NF_2024*(1+G_HI)^(CB517-2024)</f>
        <v>1509.7791807409262</v>
      </c>
      <c r="CQ517" s="10">
        <f>1-CF517/CP517</f>
        <v>0.2118303038810334</v>
      </c>
      <c r="CR517" s="10">
        <f>CPI_2023/(IF(CB517-1=2023,CPI_2023,IF(CB517-1=2024,CPI_2024,IF(CB517-1=2025,CPI_2025,CPI_2025*(1+INFL)^(CB517-1-2025)))))</f>
        <v>0.5082513480465166</v>
      </c>
      <c r="CS517" s="8">
        <f>$CB$21*ABS($CB$11)*(CG517-CF517)/CF517</f>
        <v>20469.476096376024</v>
      </c>
      <c r="CT517" s="8">
        <f>$CB$21*ABS($CB$11)*(CH517-CF517)/CF517</f>
        <v>25056.59371184483</v>
      </c>
      <c r="CU517" s="13">
        <f>(CG517-CF517)*MCD_NF_DAYS*CR517-CS517*MCD_SHARE_FREED*R_WAIT_2023</f>
        <v>56117324.221300565</v>
      </c>
      <c r="CV517" s="13">
        <f>(CH517-CF517)*MCD_NF_DAYS*CR517-CT517*MCD_SHARE_FREED*R_WAIT_2023</f>
        <v>68692964.42120174</v>
      </c>
      <c r="CW517" s="10">
        <f>IF(AND(CB517&gt;=RULE_START,CC517=1),1/(1+$CB$12)^(CB517-RULE_START+1),0)</f>
        <v>0.5858620439525941</v>
      </c>
      <c r="CX517">
        <f>IF(AND(CB517&gt;=RULE_START,CC517=1,CM517&lt;0),CB517,9999)</f>
        <v>2053</v>
      </c>
      <c r="CY517">
        <f>IF(AND(CB517&gt;=RULE_START,CC517=1,CN517&lt;0),CB517,9999)</f>
        <v>2053</v>
      </c>
      <c r="CZ517">
        <f>IF(AND(CB517&gt;=RULE_START,CC517=1,CO517&lt;0),CB517,9999)</f>
        <v>2053</v>
      </c>
      <c r="DB517" t="n">
        <v>2053</v>
      </c>
      <c r="DC517">
        <f>IF(DB517&lt;=RULE_START+$DB$38-1,1,0)</f>
        <v>0</v>
      </c>
      <c r="DD517" s="15">
        <f>IF(DB517=2024,G_IDX_2024,IF(DB517=2025,G_IDX_2025,IF(DB517=2026,G_IDX_2026,IF(DB517=2027,G_IDX_2027,$DB$13))))</f>
        <v>0.033</v>
      </c>
      <c r="DE517" s="8">
        <f>$DB$20*(1+G_HI)^(DB517-COST_DATE)</f>
        <v>1416.512468926662</v>
      </c>
      <c r="DF517" s="8">
        <f>DF516*(1+DD517)</f>
        <v>1189.9621980913182</v>
      </c>
      <c r="DG517" s="8">
        <f>IF(DB517&lt;RULE_START,DF517,DG516*(1+G_HI))</f>
        <v>1434.2862392577404</v>
      </c>
      <c r="DH517" s="8">
        <f>IF(DB517&lt;RULE_START,DF517,IF(DI517=1,R_NF_2024*(1+G_HI)^(DB517-2024),DH516*(1+DD517)))</f>
        <v>1489.0381590352788</v>
      </c>
      <c r="DI517">
        <f>IF(AND(DB517&gt;=RULE_START,MOD(DB517-RULE_START,REBASE_YEARS)=0),1,0)</f>
        <v>0</v>
      </c>
      <c r="DJ517" s="8">
        <f>DF517*CAP_SHARE</f>
        <v>58.18597301843197</v>
      </c>
      <c r="DK517" s="8">
        <f>DG517*CAP_SHARE</f>
        <v>70.13276602569415</v>
      </c>
      <c r="DL517" s="8">
        <f>DH517*CAP_SHARE</f>
        <v>72.80998865679385</v>
      </c>
      <c r="DM517" s="8">
        <f>DF517-DJ517-DE517</f>
        <v>-284.7362438537757</v>
      </c>
      <c r="DN517" s="8">
        <f>DG517-DK517-DE517</f>
        <v>-52.358995694615714</v>
      </c>
      <c r="DO517" s="8">
        <f>DH517-DL517-DE517</f>
        <v>-0.28429854817704836</v>
      </c>
      <c r="DP517" s="8">
        <f>R_NF_2024*(1+G_HI)^(DB517-2024)</f>
        <v>1509.7791807409262</v>
      </c>
      <c r="DQ517" s="10">
        <f>1-DF517/DP517</f>
        <v>0.2118303038810334</v>
      </c>
      <c r="DR517" s="10">
        <f>CPI_2023/(IF(DB517-1=2023,CPI_2023,IF(DB517-1=2024,CPI_2024,IF(DB517-1=2025,CPI_2025,CPI_2025*(1+INFL)^(DB517-1-2025)))))</f>
        <v>0.5082513480465166</v>
      </c>
      <c r="DS517" s="8">
        <f>$DB$21*ABS($DB$11)*(DG517-DF517)/DF517</f>
        <v>20469.476096376024</v>
      </c>
      <c r="DT517" s="8">
        <f>$DB$21*ABS($DB$11)*(DH517-DF517)/DF517</f>
        <v>25056.59371184483</v>
      </c>
      <c r="DU517" s="13">
        <f>(DG517-DF517)*MCD_NF_DAYS*DR517-DS517*MCD_SHARE_FREED*R_WAIT_2023</f>
        <v>56117324.221300565</v>
      </c>
      <c r="DV517" s="13">
        <f>(DH517-DF517)*MCD_NF_DAYS*DR517-DT517*MCD_SHARE_FREED*R_WAIT_2023</f>
        <v>68692964.42120174</v>
      </c>
      <c r="DW517" s="10">
        <f>IF(AND(DB517&gt;=RULE_START,DC517=1),1/(1+$DB$12)^(DB517-RULE_START+1),0)</f>
        <v>0</v>
      </c>
      <c r="DX517">
        <f>IF(AND(DB517&gt;=RULE_START,DC517=1,DM517&lt;0),DB517,9999)</f>
        <v>9999</v>
      </c>
      <c r="DY517">
        <f>IF(AND(DB517&gt;=RULE_START,DC517=1,DN517&lt;0),DB517,9999)</f>
        <v>9999</v>
      </c>
      <c r="DZ517">
        <f>IF(AND(DB517&gt;=RULE_START,DC517=1,DO517&lt;0),DB517,9999)</f>
        <v>9999</v>
      </c>
      <c r="EB517" t="n">
        <v>2053</v>
      </c>
      <c r="EC517">
        <f>IF(EB517&lt;=RULE_START+$EB$38-1,1,0)</f>
        <v>0</v>
      </c>
      <c r="ED517" s="15">
        <f>IF(EB517=2024,G_IDX_2024,IF(EB517=2025,G_IDX_2025,IF(EB517=2026,G_IDX_2026,IF(EB517=2027,G_IDX_2027,$EB$13))))</f>
        <v>0.033</v>
      </c>
      <c r="EE517" s="8">
        <f>$EB$20*(1+G_HI)^(EB517-COST_DATE)</f>
        <v>1416.512468926662</v>
      </c>
      <c r="EF517" s="8">
        <f>EF516*(1+ED517)</f>
        <v>1189.9621980913182</v>
      </c>
      <c r="EG517" s="8">
        <f>IF(EB517&lt;RULE_START,EF517,EG516*(1+G_HI))</f>
        <v>1434.2862392577404</v>
      </c>
      <c r="EH517" s="8">
        <f>IF(EB517&lt;RULE_START,EF517,IF(EI517=1,R_NF_2024*(1+G_HI)^(EB517-2024),EH516*(1+ED517)))</f>
        <v>1489.0381590352788</v>
      </c>
      <c r="EI517">
        <f>IF(AND(EB517&gt;=RULE_START,MOD(EB517-RULE_START,REBASE_YEARS)=0),1,0)</f>
        <v>0</v>
      </c>
      <c r="EJ517" s="8">
        <f>EF517*CAP_SHARE</f>
        <v>58.18597301843197</v>
      </c>
      <c r="EK517" s="8">
        <f>EG517*CAP_SHARE</f>
        <v>70.13276602569415</v>
      </c>
      <c r="EL517" s="8">
        <f>EH517*CAP_SHARE</f>
        <v>72.80998865679385</v>
      </c>
      <c r="EM517" s="8">
        <f>EF517-EJ517-EE517</f>
        <v>-284.7362438537757</v>
      </c>
      <c r="EN517" s="8">
        <f>EG517-EK517-EE517</f>
        <v>-52.358995694615714</v>
      </c>
      <c r="EO517" s="8">
        <f>EH517-EL517-EE517</f>
        <v>-0.28429854817704836</v>
      </c>
      <c r="EP517" s="8">
        <f>R_NF_2024*(1+G_HI)^(EB517-2024)</f>
        <v>1509.7791807409262</v>
      </c>
      <c r="EQ517" s="10">
        <f>1-EF517/EP517</f>
        <v>0.2118303038810334</v>
      </c>
      <c r="ER517" s="10">
        <f>CPI_2023/(IF(EB517-1=2023,CPI_2023,IF(EB517-1=2024,CPI_2024,IF(EB517-1=2025,CPI_2025,CPI_2025*(1+INFL)^(EB517-1-2025)))))</f>
        <v>0.5082513480465166</v>
      </c>
      <c r="ES517" s="8">
        <f>$EB$21*ABS($EB$11)*(EG517-EF517)/EF517</f>
        <v>20469.476096376024</v>
      </c>
      <c r="ET517" s="8">
        <f>$EB$21*ABS($EB$11)*(EH517-EF517)/EF517</f>
        <v>25056.59371184483</v>
      </c>
      <c r="EU517" s="13">
        <f>(EG517-EF517)*MCD_NF_DAYS*ER517-ES517*MCD_SHARE_FREED*R_WAIT_2023</f>
        <v>56117324.221300565</v>
      </c>
      <c r="EV517" s="13">
        <f>(EH517-EF517)*MCD_NF_DAYS*ER517-ET517*MCD_SHARE_FREED*R_WAIT_2023</f>
        <v>68692964.42120174</v>
      </c>
      <c r="EW517" s="10">
        <f>IF(AND(EB517&gt;=RULE_START,EC517=1),1/(1+$EB$12)^(EB517-RULE_START+1),0)</f>
        <v>0</v>
      </c>
      <c r="EX517">
        <f>IF(AND(EB517&gt;=RULE_START,EC517=1,EM517&lt;0),EB517,9999)</f>
        <v>9999</v>
      </c>
      <c r="EY517">
        <f>IF(AND(EB517&gt;=RULE_START,EC517=1,EN517&lt;0),EB517,9999)</f>
        <v>9999</v>
      </c>
      <c r="EZ517">
        <f>IF(AND(EB517&gt;=RULE_START,EC517=1,EO517&lt;0),EB517,9999)</f>
        <v>9999</v>
      </c>
      <c r="FB517" t="n">
        <v>2053</v>
      </c>
      <c r="FC517">
        <f>IF(FB517&lt;=RULE_START+$FB$38-1,1,0)</f>
        <v>0</v>
      </c>
      <c r="FD517" s="15">
        <f>IF(FB517=2024,G_IDX_2024,IF(FB517=2025,G_IDX_2025,IF(FB517=2026,G_IDX_2026,IF(FB517=2027,G_IDX_2027,$FB$13))))</f>
        <v>0.033</v>
      </c>
      <c r="FE517" s="8">
        <f>$FB$20*(1+G_HI)^(FB517-COST_DATE)</f>
        <v>1457.7787607710006</v>
      </c>
      <c r="FF517" s="8">
        <f>FF516*(1+FD517)</f>
        <v>1189.9621980913182</v>
      </c>
      <c r="FG517" s="8">
        <f>IF(FB517&lt;RULE_START,FF517,FG516*(1+G_HI))</f>
        <v>1434.2862392577404</v>
      </c>
      <c r="FH517" s="8">
        <f>IF(FB517&lt;RULE_START,FF517,IF(FI517=1,R_NF_2024*(1+G_HI)^(FB517-2024),FH516*(1+FD517)))</f>
        <v>1489.0381590352788</v>
      </c>
      <c r="FI517">
        <f>IF(AND(FB517&gt;=RULE_START,MOD(FB517-RULE_START,REBASE_YEARS)=0),1,0)</f>
        <v>0</v>
      </c>
      <c r="FJ517" s="8">
        <f>FF517*CAP_SHARE</f>
        <v>58.18597301843197</v>
      </c>
      <c r="FK517" s="8">
        <f>FG517*CAP_SHARE</f>
        <v>70.13276602569415</v>
      </c>
      <c r="FL517" s="8">
        <f>FH517*CAP_SHARE</f>
        <v>72.80998865679385</v>
      </c>
      <c r="FM517" s="8">
        <f>FF517-FJ517-FE517</f>
        <v>-326.00253569811434</v>
      </c>
      <c r="FN517" s="8">
        <f>FG517-FK517-FE517</f>
        <v>-93.62528753895435</v>
      </c>
      <c r="FO517" s="8">
        <f>FH517-FL517-FE517</f>
        <v>-41.55059039251569</v>
      </c>
      <c r="FP517" s="8">
        <f>R_NF_2024*(1+G_HI)^(FB517-2024)</f>
        <v>1509.7791807409262</v>
      </c>
      <c r="FQ517" s="10">
        <f>1-FF517/FP517</f>
        <v>0.2118303038810334</v>
      </c>
      <c r="FR517" s="10">
        <f>CPI_2023/(IF(FB517-1=2023,CPI_2023,IF(FB517-1=2024,CPI_2024,IF(FB517-1=2025,CPI_2025,CPI_2025*(1+INFL)^(FB517-1-2025)))))</f>
        <v>0.5082513480465166</v>
      </c>
      <c r="FS517" s="8">
        <f>$FB$21*ABS($FB$11)*(FG517-FF517)/FF517</f>
        <v>20469.476096376024</v>
      </c>
      <c r="FT517" s="8">
        <f>$FB$21*ABS($FB$11)*(FH517-FF517)/FF517</f>
        <v>25056.59371184483</v>
      </c>
      <c r="FU517" s="13">
        <f>(FG517-FF517)*MCD_NF_DAYS*FR517-FS517*MCD_SHARE_FREED*R_WAIT_2023</f>
        <v>56117324.221300565</v>
      </c>
      <c r="FV517" s="13">
        <f>(FH517-FF517)*MCD_NF_DAYS*FR517-FT517*MCD_SHARE_FREED*R_WAIT_2023</f>
        <v>68692964.42120174</v>
      </c>
      <c r="FW517" s="10">
        <f>IF(AND(FB517&gt;=RULE_START,FC517=1),1/(1+$FB$12)^(FB517-RULE_START+1),0)</f>
        <v>0</v>
      </c>
      <c r="FX517">
        <f>IF(AND(FB517&gt;=RULE_START,FC517=1,FM517&lt;0),FB517,9999)</f>
        <v>9999</v>
      </c>
      <c r="FY517">
        <f>IF(AND(FB517&gt;=RULE_START,FC517=1,FN517&lt;0),FB517,9999)</f>
        <v>9999</v>
      </c>
      <c r="FZ517">
        <f>IF(AND(FB517&gt;=RULE_START,FC517=1,FO517&lt;0),FB517,9999)</f>
        <v>9999</v>
      </c>
      <c r="GB517" t="n">
        <v>2053</v>
      </c>
      <c r="GC517">
        <f>IF(GB517&lt;=RULE_START+$GB$38-1,1,0)</f>
        <v>0</v>
      </c>
      <c r="GD517" s="15">
        <f>IF(GB517=2024,G_IDX_2024,IF(GB517=2025,G_IDX_2025,IF(GB517=2026,G_IDX_2026,IF(GB517=2027,G_IDX_2027,$GB$13))))</f>
        <v>0.033</v>
      </c>
      <c r="GE517" s="8">
        <f>$GB$20*(1+G_HI)^(GB517-COST_DATE)</f>
        <v>1416.512468926662</v>
      </c>
      <c r="GF517" s="8">
        <f>GF516*(1+GD517)</f>
        <v>1189.9621980913182</v>
      </c>
      <c r="GG517" s="8">
        <f>IF(GB517&lt;RULE_START,GF517,GG516*(1+G_HI))</f>
        <v>1434.2862392577404</v>
      </c>
      <c r="GH517" s="8">
        <f>IF(GB517&lt;RULE_START,GF517,IF(GI517=1,R_NF_2024*(1+G_HI)^(GB517-2024),GH516*(1+GD517)))</f>
        <v>1489.0381590352788</v>
      </c>
      <c r="GI517">
        <f>IF(AND(GB517&gt;=RULE_START,MOD(GB517-RULE_START,REBASE_YEARS)=0),1,0)</f>
        <v>0</v>
      </c>
      <c r="GJ517" s="8">
        <f>GF517*CAP_SHARE</f>
        <v>58.18597301843197</v>
      </c>
      <c r="GK517" s="8">
        <f>GG517*CAP_SHARE</f>
        <v>70.13276602569415</v>
      </c>
      <c r="GL517" s="8">
        <f>GH517*CAP_SHARE</f>
        <v>72.80998865679385</v>
      </c>
      <c r="GM517" s="8">
        <f>GF517-GJ517-GE517</f>
        <v>-284.7362438537757</v>
      </c>
      <c r="GN517" s="8">
        <f>GG517-GK517-GE517</f>
        <v>-52.358995694615714</v>
      </c>
      <c r="GO517" s="8">
        <f>GH517-GL517-GE517</f>
        <v>-0.28429854817704836</v>
      </c>
      <c r="GP517" s="8">
        <f>R_NF_2024*(1+G_HI)^(GB517-2024)</f>
        <v>1509.7791807409262</v>
      </c>
      <c r="GQ517" s="10">
        <f>1-GF517/GP517</f>
        <v>0.2118303038810334</v>
      </c>
      <c r="GR517" s="10">
        <f>CPI_2023/(IF(GB517-1=2023,CPI_2023,IF(GB517-1=2024,CPI_2024,IF(GB517-1=2025,CPI_2025,CPI_2025*(1+INFL)^(GB517-1-2025)))))</f>
        <v>0.5082513480465166</v>
      </c>
      <c r="GS517" s="8">
        <f>$GB$21*ABS($GB$11)*(GG517-GF517)/GF517</f>
        <v>15451.383726796881</v>
      </c>
      <c r="GT517" s="8">
        <f>$GB$21*ABS($GB$11)*(GH517-GF517)/GF517</f>
        <v>18913.969390584647</v>
      </c>
      <c r="GU517" s="13">
        <f>(GG517-GF517)*MCD_NF_DAYS*GR517-GS517*MCD_SHARE_FREED*R_WAIT_2023</f>
        <v>58399144.815377764</v>
      </c>
      <c r="GV517" s="13">
        <f>(GH517-GF517)*MCD_NF_DAYS*GR517-GT517*MCD_SHARE_FREED*R_WAIT_2023</f>
        <v>71486130.75725834</v>
      </c>
      <c r="GW517" s="10">
        <f>IF(AND(GB517&gt;=RULE_START,GC517=1),1/(1+$GB$12)^(GB517-RULE_START+1),0)</f>
        <v>0</v>
      </c>
      <c r="GX517">
        <f>IF(AND(GB517&gt;=RULE_START,GC517=1,GM517&lt;0),GB517,9999)</f>
        <v>9999</v>
      </c>
      <c r="GY517">
        <f>IF(AND(GB517&gt;=RULE_START,GC517=1,GN517&lt;0),GB517,9999)</f>
        <v>9999</v>
      </c>
      <c r="GZ517">
        <f>IF(AND(GB517&gt;=RULE_START,GC517=1,GO517&lt;0),GB517,9999)</f>
        <v>9999</v>
      </c>
      <c r="HB517" t="n">
        <v>2053</v>
      </c>
      <c r="HC517">
        <f>IF(HB517&lt;=RULE_START+$HB$38-1,1,0)</f>
        <v>0</v>
      </c>
      <c r="HD517" s="15">
        <f>IF(HB517=2024,G_IDX_2024,IF(HB517=2025,G_IDX_2025,IF(HB517=2026,G_IDX_2026,IF(HB517=2027,G_IDX_2027,$HB$13))))</f>
        <v>0.033</v>
      </c>
      <c r="HE517" s="8">
        <f>$HB$20*(1+G_HI)^(HB517-COST_DATE)</f>
        <v>1416.512468926662</v>
      </c>
      <c r="HF517" s="8">
        <f>HF516*(1+HD517)</f>
        <v>1189.9621980913182</v>
      </c>
      <c r="HG517" s="8">
        <f>IF(HB517&lt;RULE_START,HF517,HG516*(1+G_HI))</f>
        <v>1434.2862392577404</v>
      </c>
      <c r="HH517" s="8">
        <f>IF(HB517&lt;RULE_START,HF517,IF(HI517=1,R_NF_2024*(1+G_HI)^(HB517-2024),HH516*(1+HD517)))</f>
        <v>1489.0381590352788</v>
      </c>
      <c r="HI517">
        <f>IF(AND(HB517&gt;=RULE_START,MOD(HB517-RULE_START,REBASE_YEARS)=0),1,0)</f>
        <v>0</v>
      </c>
      <c r="HJ517" s="8">
        <f>HF517*CAP_SHARE</f>
        <v>58.18597301843197</v>
      </c>
      <c r="HK517" s="8">
        <f>HG517*CAP_SHARE</f>
        <v>70.13276602569415</v>
      </c>
      <c r="HL517" s="8">
        <f>HH517*CAP_SHARE</f>
        <v>72.80998865679385</v>
      </c>
      <c r="HM517" s="8">
        <f>HF517-HJ517-HE517</f>
        <v>-284.7362438537757</v>
      </c>
      <c r="HN517" s="8">
        <f>HG517-HK517-HE517</f>
        <v>-52.358995694615714</v>
      </c>
      <c r="HO517" s="8">
        <f>HH517-HL517-HE517</f>
        <v>-0.28429854817704836</v>
      </c>
      <c r="HP517" s="8">
        <f>R_NF_2024*(1+G_HI)^(HB517-2024)</f>
        <v>1509.7791807409262</v>
      </c>
      <c r="HQ517" s="10">
        <f>1-HF517/HP517</f>
        <v>0.2118303038810334</v>
      </c>
      <c r="HR517" s="10">
        <f>CPI_2023/(IF(HB517-1=2023,CPI_2023,IF(HB517-1=2024,CPI_2024,IF(HB517-1=2025,CPI_2025,CPI_2025*(1+INFL)^(HB517-1-2025)))))</f>
        <v>0.5082513480465166</v>
      </c>
      <c r="HS517" s="8">
        <f>$HB$21*ABS($HB$11)*(HG517-HF517)/HF517</f>
        <v>20469.476096376024</v>
      </c>
      <c r="HT517" s="8">
        <f>$HB$21*ABS($HB$11)*(HH517-HF517)/HF517</f>
        <v>25056.59371184483</v>
      </c>
      <c r="HU517" s="13">
        <f>(HG517-HF517)*MCD_NF_DAYS*HR517-HS517*MCD_SHARE_FREED*R_WAIT_2023</f>
        <v>56117324.221300565</v>
      </c>
      <c r="HV517" s="13">
        <f>(HH517-HF517)*MCD_NF_DAYS*HR517-HT517*MCD_SHARE_FREED*R_WAIT_2023</f>
        <v>68692964.42120174</v>
      </c>
      <c r="HW517" s="10">
        <f>IF(AND(HB517&gt;=RULE_START,HC517=1),1/(1+$HB$12)^(HB517-RULE_START+1),0)</f>
        <v>0</v>
      </c>
      <c r="HX517">
        <f>IF(AND(HB517&gt;=RULE_START,HC517=1,HM517&lt;0),HB517,9999)</f>
        <v>9999</v>
      </c>
      <c r="HY517">
        <f>IF(AND(HB517&gt;=RULE_START,HC517=1,HN517&lt;0),HB517,9999)</f>
        <v>9999</v>
      </c>
      <c r="HZ517">
        <f>IF(AND(HB517&gt;=RULE_START,HC517=1,HO517&lt;0),HB517,9999)</f>
        <v>9999</v>
      </c>
      <c r="IB517" t="n">
        <v>2053</v>
      </c>
      <c r="IC517">
        <f>IF(IB517&lt;=RULE_START+$IB$38-1,1,0)</f>
        <v>0</v>
      </c>
      <c r="ID517" s="15">
        <f>IF(IB517=2024,G_IDX_2024,IF(IB517=2025,G_IDX_2025,IF(IB517=2026,G_IDX_2026,IF(IB517=2027,G_IDX_2027,$IB$13))))</f>
        <v>0.033</v>
      </c>
      <c r="IE517" s="8">
        <f>$IB$20*(1+G_HI)^(IB517-COST_DATE)</f>
        <v>1416.512468926662</v>
      </c>
      <c r="IF517" s="8">
        <f>IF516*(1+ID517)</f>
        <v>1189.9621980913182</v>
      </c>
      <c r="IG517" s="8">
        <f>IF(IB517&lt;RULE_START,IF517,IG516*(1+G_HI))</f>
        <v>1434.2862392577404</v>
      </c>
      <c r="IH517" s="8">
        <f>IF(IB517&lt;RULE_START,IF517,IF(II517=1,R_NF_2024*(1+G_HI)^(IB517-2024),IH516*(1+ID517)))</f>
        <v>1489.0381590352788</v>
      </c>
      <c r="II517">
        <f>IF(AND(IB517&gt;=RULE_START,MOD(IB517-RULE_START,REBASE_YEARS)=0),1,0)</f>
        <v>0</v>
      </c>
      <c r="IJ517" s="8">
        <f>IF517*CAP_SHARE</f>
        <v>58.18597301843197</v>
      </c>
      <c r="IK517" s="8">
        <f>IG517*CAP_SHARE</f>
        <v>70.13276602569415</v>
      </c>
      <c r="IL517" s="8">
        <f>IH517*CAP_SHARE</f>
        <v>72.80998865679385</v>
      </c>
      <c r="IM517" s="8">
        <f>IF517-IJ517-IE517</f>
        <v>-284.7362438537757</v>
      </c>
      <c r="IN517" s="8">
        <f>IG517-IK517-IE517</f>
        <v>-52.358995694615714</v>
      </c>
      <c r="IO517" s="8">
        <f>IH517-IL517-IE517</f>
        <v>-0.28429854817704836</v>
      </c>
      <c r="IP517" s="8">
        <f>R_NF_2024*(1+G_HI)^(IB517-2024)</f>
        <v>1509.7791807409262</v>
      </c>
      <c r="IQ517" s="10">
        <f>1-IF517/IP517</f>
        <v>0.2118303038810334</v>
      </c>
      <c r="IR517" s="10">
        <f>CPI_2023/(IF(IB517-1=2023,CPI_2023,IF(IB517-1=2024,CPI_2024,IF(IB517-1=2025,CPI_2025,CPI_2025*(1+INFL)^(IB517-1-2025)))))</f>
        <v>0.5082513480465166</v>
      </c>
      <c r="IS517" s="8">
        <f>$IB$21*ABS($IB$11)*(IG517-IF517)/IF517</f>
        <v>20469.476096376024</v>
      </c>
      <c r="IT517" s="8">
        <f>$IB$21*ABS($IB$11)*(IH517-IF517)/IF517</f>
        <v>25056.59371184483</v>
      </c>
      <c r="IU517" s="13">
        <f>(IG517-IF517)*MCD_NF_DAYS*IR517-IS517*MCD_SHARE_FREED*R_WAIT_2023</f>
        <v>56117324.221300565</v>
      </c>
      <c r="IV517" s="13">
        <f>(IH517-IF517)*MCD_NF_DAYS*IR517-IT517*MCD_SHARE_FREED*R_WAIT_2023</f>
        <v>68692964.42120174</v>
      </c>
      <c r="IW517" s="10">
        <f>IF(AND(IB517&gt;=RULE_START,IC517=1),1/(1+$IB$12)^(IB517-RULE_START+1),0)</f>
        <v>0</v>
      </c>
      <c r="IX517">
        <f>IF(AND(IB517&gt;=RULE_START,IC517=1,IM517&lt;0),IB517,9999)</f>
        <v>9999</v>
      </c>
      <c r="IY517">
        <f>IF(AND(IB517&gt;=RULE_START,IC517=1,IN517&lt;0),IB517,9999)</f>
        <v>9999</v>
      </c>
      <c r="IZ517">
        <f>IF(AND(IB517&gt;=RULE_START,IC517=1,IO517&lt;0),IB517,9999)</f>
        <v>9999</v>
      </c>
      <c r="JB517" t="n">
        <v>2053</v>
      </c>
      <c r="JC517">
        <f>IF(JB517&lt;=RULE_START+$JB$38-1,1,0)</f>
        <v>0</v>
      </c>
      <c r="JD517" s="15">
        <f>IF(JB517=2024,G_IDX_2024,IF(JB517=2025,G_IDX_2025,IF(JB517=2026,G_IDX_2026,IF(JB517=2027,G_IDX_2027,$JB$13))))</f>
        <v>0.03</v>
      </c>
      <c r="JE517" s="8">
        <f>$JB$20*(1+G_HI)^(JB517-COST_DATE)</f>
        <v>1416.512468926662</v>
      </c>
      <c r="JF517" s="8">
        <f>JF516*(1+JD517)</f>
        <v>1103.2975354843747</v>
      </c>
      <c r="JG517" s="8">
        <f>IF(JB517&lt;RULE_START,JF517,JG516*(1+G_HI))</f>
        <v>1434.2862392577404</v>
      </c>
      <c r="JH517" s="8">
        <f>IF(JB517&lt;RULE_START,JF517,IF(JI517=1,R_NF_2024*(1+G_HI)^(JB517-2024),JH516*(1+JD517)))</f>
        <v>1480.4018998607685</v>
      </c>
      <c r="JI517">
        <f>IF(AND(JB517&gt;=RULE_START,MOD(JB517-RULE_START,REBASE_YEARS)=0),1,0)</f>
        <v>0</v>
      </c>
      <c r="JJ517" s="8">
        <f>JF517*CAP_SHARE</f>
        <v>53.94830250403455</v>
      </c>
      <c r="JK517" s="8">
        <f>JG517*CAP_SHARE</f>
        <v>70.13276602569415</v>
      </c>
      <c r="JL517" s="8">
        <f>JH517*CAP_SHARE</f>
        <v>72.38769865118336</v>
      </c>
      <c r="JM517" s="8">
        <f>JF517-JJ517-JE517</f>
        <v>-367.1632359463217</v>
      </c>
      <c r="JN517" s="8">
        <f>JG517-JK517-JE517</f>
        <v>-52.358995694615714</v>
      </c>
      <c r="JO517" s="8">
        <f>JH517-JL517-JE517</f>
        <v>-8.498267717076942</v>
      </c>
      <c r="JP517" s="8">
        <f>R_NF_2024*(1+G_HI)^(JB517-2024)</f>
        <v>1509.7791807409262</v>
      </c>
      <c r="JQ517" s="10">
        <f>1-JF517/JP517</f>
        <v>0.2692325145569102</v>
      </c>
      <c r="JR517" s="10">
        <f>CPI_2023/(IF(JB517-1=2023,CPI_2023,IF(JB517-1=2024,CPI_2024,IF(JB517-1=2025,CPI_2025,CPI_2025*(1+INFL)^(JB517-1-2025)))))</f>
        <v>0.5082513480465166</v>
      </c>
      <c r="JS517" s="8">
        <f>$JB$21*ABS($JB$11)*(JG517-JF517)/JF517</f>
        <v>29908.471150342277</v>
      </c>
      <c r="JT517" s="8">
        <f>$JB$21*ABS($JB$11)*(JH517-JF517)/JF517</f>
        <v>34075.52848190923</v>
      </c>
      <c r="JU517" s="13">
        <f>(JG517-JF517)*MCD_NF_DAYS*JR517-JS517*MCD_SHARE_FREED*R_WAIT_2023</f>
        <v>75032330.4652312</v>
      </c>
      <c r="JV517" s="13">
        <f>(JH517-JF517)*MCD_NF_DAYS*JR517-JT517*MCD_SHARE_FREED*R_WAIT_2023</f>
        <v>85486359.39897417</v>
      </c>
      <c r="JW517" s="10">
        <f>IF(AND(JB517&gt;=RULE_START,JC517=1),1/(1+$JB$12)^(JB517-RULE_START+1),0)</f>
        <v>0</v>
      </c>
      <c r="JX517">
        <f>IF(AND(JB517&gt;=RULE_START,JC517=1,JM517&lt;0),JB517,9999)</f>
        <v>9999</v>
      </c>
      <c r="JY517">
        <f>IF(AND(JB517&gt;=RULE_START,JC517=1,JN517&lt;0),JB517,9999)</f>
        <v>9999</v>
      </c>
      <c r="JZ517">
        <f>IF(AND(JB517&gt;=RULE_START,JC517=1,JO517&lt;0),JB517,9999)</f>
        <v>9999</v>
      </c>
      <c r="KB517" t="n">
        <v>2053</v>
      </c>
      <c r="KC517">
        <f>IF(KB517&lt;=RULE_START+$KB$38-1,1,0)</f>
        <v>0</v>
      </c>
      <c r="KD517" s="15">
        <f>IF(KB517=2024,G_IDX_2024,IF(KB517=2025,G_IDX_2025,IF(KB517=2026,G_IDX_2026,IF(KB517=2027,G_IDX_2027,$KB$13))))</f>
        <v>0.033</v>
      </c>
      <c r="KE517" s="8">
        <f>$KB$20*(1+G_HI)^(KB517-COST_DATE)</f>
        <v>1416.512468926662</v>
      </c>
      <c r="KF517" s="8">
        <f>KF516*(1+KD517)</f>
        <v>1189.9621980913182</v>
      </c>
      <c r="KG517" s="8">
        <f>IF(KB517&lt;RULE_START,KF517,KG516*(1+G_HI))</f>
        <v>1434.2862392577404</v>
      </c>
      <c r="KH517" s="8">
        <f>IF(KB517&lt;RULE_START,KF517,IF(KI517=1,R_NF_2024*(1+G_HI)^(KB517-2024),KH516*(1+KD517)))</f>
        <v>1489.0381590352788</v>
      </c>
      <c r="KI517">
        <f>IF(AND(KB517&gt;=RULE_START,MOD(KB517-RULE_START,REBASE_YEARS)=0),1,0)</f>
        <v>0</v>
      </c>
      <c r="KJ517" s="8">
        <f>KF517*CAP_SHARE</f>
        <v>58.18597301843197</v>
      </c>
      <c r="KK517" s="8">
        <f>KG517*CAP_SHARE</f>
        <v>70.13276602569415</v>
      </c>
      <c r="KL517" s="8">
        <f>KH517*CAP_SHARE</f>
        <v>72.80998865679385</v>
      </c>
      <c r="KM517" s="8">
        <f>KF517-KJ517-KE517</f>
        <v>-284.7362438537757</v>
      </c>
      <c r="KN517" s="8">
        <f>KG517-KK517-KE517</f>
        <v>-52.358995694615714</v>
      </c>
      <c r="KO517" s="8">
        <f>KH517-KL517-KE517</f>
        <v>-0.28429854817704836</v>
      </c>
      <c r="KP517" s="8">
        <f>R_NF_2024*(1+G_HI)^(KB517-2024)</f>
        <v>1509.7791807409262</v>
      </c>
      <c r="KQ517" s="10">
        <f>1-KF517/KP517</f>
        <v>0.2118303038810334</v>
      </c>
      <c r="KR517" s="10">
        <f>CPI_2023/(IF(KB517-1=2023,CPI_2023,IF(KB517-1=2024,CPI_2024,IF(KB517-1=2025,CPI_2025,CPI_2025*(1+INFL)^(KB517-1-2025)))))</f>
        <v>0.5082513480465166</v>
      </c>
      <c r="KS517" s="8">
        <f>$KB$21*ABS($KB$11)*(KG517-KF517)/KF517</f>
        <v>20469.476096376024</v>
      </c>
      <c r="KT517" s="8">
        <f>$KB$21*ABS($KB$11)*(KH517-KF517)/KF517</f>
        <v>25056.59371184483</v>
      </c>
      <c r="KU517" s="13">
        <f>(KG517-KF517)*MCD_NF_DAYS*KR517-KS517*MCD_SHARE_FREED*R_WAIT_2023</f>
        <v>56117324.221300565</v>
      </c>
      <c r="KV517" s="13">
        <f>(KH517-KF517)*MCD_NF_DAYS*KR517-KT517*MCD_SHARE_FREED*R_WAIT_2023</f>
        <v>68692964.42120174</v>
      </c>
      <c r="KW517" s="10">
        <f>IF(AND(KB517&gt;=RULE_START,KC517=1),1/(1+$KB$12)^(KB517-RULE_START+1),0)</f>
        <v>0</v>
      </c>
      <c r="KX517">
        <f>IF(AND(KB517&gt;=RULE_START,KC517=1,KM517&lt;0),KB517,9999)</f>
        <v>9999</v>
      </c>
      <c r="KY517">
        <f>IF(AND(KB517&gt;=RULE_START,KC517=1,KN517&lt;0),KB517,9999)</f>
        <v>9999</v>
      </c>
      <c r="KZ517">
        <f>IF(AND(KB517&gt;=RULE_START,KC517=1,KO517&lt;0),KB517,9999)</f>
        <v>9999</v>
      </c>
      <c r="LB517" t="n">
        <v>2053</v>
      </c>
      <c r="LC517">
        <f>IF(LB517&lt;=RULE_START+$LB$38-1,1,0)</f>
        <v>0</v>
      </c>
      <c r="LD517" s="15">
        <f>IF(LB517=2024,G_IDX_2024,IF(LB517=2025,G_IDX_2025,IF(LB517=2026,G_IDX_2026,IF(LB517=2027,G_IDX_2027,$LB$13))))</f>
        <v>0.033</v>
      </c>
      <c r="LE517" s="8">
        <f>$LB$20*(1+G_HI)^(LB517-COST_DATE)</f>
        <v>1416.512468926662</v>
      </c>
      <c r="LF517" s="8">
        <f>LF516*(1+LD517)</f>
        <v>1189.9621980913182</v>
      </c>
      <c r="LG517" s="8">
        <f>IF(LB517&lt;RULE_START,LF517,LG516*(1+G_HI))</f>
        <v>1434.2862392577404</v>
      </c>
      <c r="LH517" s="8">
        <f>IF(LB517&lt;RULE_START,LF517,IF(LI517=1,R_NF_2024*(1+G_HI)^(LB517-2024),LH516*(1+LD517)))</f>
        <v>1489.0381590352788</v>
      </c>
      <c r="LI517">
        <f>IF(AND(LB517&gt;=RULE_START,MOD(LB517-RULE_START,REBASE_YEARS)=0),1,0)</f>
        <v>0</v>
      </c>
      <c r="LJ517" s="8">
        <f>LF517*CAP_SHARE</f>
        <v>58.18597301843197</v>
      </c>
      <c r="LK517" s="8">
        <f>LG517*CAP_SHARE</f>
        <v>70.13276602569415</v>
      </c>
      <c r="LL517" s="8">
        <f>LH517*CAP_SHARE</f>
        <v>72.80998865679385</v>
      </c>
      <c r="LM517" s="8">
        <f>LF517-LJ517-LE517</f>
        <v>-284.7362438537757</v>
      </c>
      <c r="LN517" s="8">
        <f>LG517-LK517-LE517</f>
        <v>-52.358995694615714</v>
      </c>
      <c r="LO517" s="8">
        <f>LH517-LL517-LE517</f>
        <v>-0.28429854817704836</v>
      </c>
      <c r="LP517" s="8">
        <f>R_NF_2024*(1+G_HI)^(LB517-2024)</f>
        <v>1509.7791807409262</v>
      </c>
      <c r="LQ517" s="10">
        <f>1-LF517/LP517</f>
        <v>0.2118303038810334</v>
      </c>
      <c r="LR517" s="10">
        <f>CPI_2023/(IF(LB517-1=2023,CPI_2023,IF(LB517-1=2024,CPI_2024,IF(LB517-1=2025,CPI_2025,CPI_2025*(1+INFL)^(LB517-1-2025)))))</f>
        <v>0.5082513480465166</v>
      </c>
      <c r="LS517" s="8">
        <f>$LB$21*ABS($LB$11)*(LG517-LF517)/LF517</f>
        <v>20469.476096376024</v>
      </c>
      <c r="LT517" s="8">
        <f>$LB$21*ABS($LB$11)*(LH517-LF517)/LF517</f>
        <v>25056.59371184483</v>
      </c>
      <c r="LU517" s="13">
        <f>(LG517-LF517)*MCD_NF_DAYS*LR517-LS517*MCD_SHARE_FREED*R_WAIT_2023</f>
        <v>56117324.221300565</v>
      </c>
      <c r="LV517" s="13">
        <f>(LH517-LF517)*MCD_NF_DAYS*LR517-LT517*MCD_SHARE_FREED*R_WAIT_2023</f>
        <v>68692964.42120174</v>
      </c>
      <c r="LW517" s="10">
        <f>IF(AND(LB517&gt;=RULE_START,LC517=1),1/(1+$LB$12)^(LB517-RULE_START+1),0)</f>
        <v>0</v>
      </c>
      <c r="LX517">
        <f>IF(AND(LB517&gt;=RULE_START,LC517=1,LM517&lt;0),LB517,9999)</f>
        <v>9999</v>
      </c>
      <c r="LY517">
        <f>IF(AND(LB517&gt;=RULE_START,LC517=1,LN517&lt;0),LB517,9999)</f>
        <v>9999</v>
      </c>
      <c r="LZ517">
        <f>IF(AND(LB517&gt;=RULE_START,LC517=1,LO517&lt;0),LB517,9999)</f>
        <v>9999</v>
      </c>
      <c r="MB517" t="n">
        <v>2053</v>
      </c>
      <c r="MC517">
        <f>IF(MB517&lt;=RULE_START+$MB$38-1,1,0)</f>
        <v>0</v>
      </c>
      <c r="MD517" s="15">
        <f>IF(MB517=2024,G_IDX_2024,IF(MB517=2025,G_IDX_2025,IF(MB517=2026,G_IDX_2026,IF(MB517=2027,G_IDX_2027,$MB$13))))</f>
        <v>0.033</v>
      </c>
      <c r="ME517" s="8">
        <f>$MB$20*(1+G_HI)^(MB517-COST_DATE)</f>
        <v>1416.512468926662</v>
      </c>
      <c r="MF517" s="8">
        <f>MF516*(1+MD517)</f>
        <v>1189.9621980913182</v>
      </c>
      <c r="MG517" s="8">
        <f>IF(MB517&lt;RULE_START,MF517,MG516*(1+G_HI))</f>
        <v>1434.2862392577404</v>
      </c>
      <c r="MH517" s="8">
        <f>IF(MB517&lt;RULE_START,MF517,IF(MI517=1,R_NF_2024*(1+G_HI)^(MB517-2024),MH516*(1+MD517)))</f>
        <v>1489.0381590352788</v>
      </c>
      <c r="MI517">
        <f>IF(AND(MB517&gt;=RULE_START,MOD(MB517-RULE_START,REBASE_YEARS)=0),1,0)</f>
        <v>0</v>
      </c>
      <c r="MJ517" s="8">
        <f>MF517*CAP_SHARE</f>
        <v>58.18597301843197</v>
      </c>
      <c r="MK517" s="8">
        <f>MG517*CAP_SHARE</f>
        <v>70.13276602569415</v>
      </c>
      <c r="ML517" s="8">
        <f>MH517*CAP_SHARE</f>
        <v>72.80998865679385</v>
      </c>
      <c r="MM517" s="8">
        <f>MF517-MJ517-ME517</f>
        <v>-284.7362438537757</v>
      </c>
      <c r="MN517" s="8">
        <f>MG517-MK517-ME517</f>
        <v>-52.358995694615714</v>
      </c>
      <c r="MO517" s="8">
        <f>MH517-ML517-ME517</f>
        <v>-0.28429854817704836</v>
      </c>
      <c r="MP517" s="8">
        <f>R_NF_2024*(1+G_HI)^(MB517-2024)</f>
        <v>1509.7791807409262</v>
      </c>
      <c r="MQ517" s="10">
        <f>1-MF517/MP517</f>
        <v>0.2118303038810334</v>
      </c>
      <c r="MR517" s="10">
        <f>CPI_2023/(IF(MB517-1=2023,CPI_2023,IF(MB517-1=2024,CPI_2024,IF(MB517-1=2025,CPI_2025,CPI_2025*(1+INFL)^(MB517-1-2025)))))</f>
        <v>0.5082513480465166</v>
      </c>
      <c r="MS517" s="8">
        <f>$MB$21*ABS($MB$11)*(MG517-MF517)/MF517</f>
        <v>14995.725800486021</v>
      </c>
      <c r="MT517" s="8">
        <f>$MB$21*ABS($MB$11)*(MH517-MF517)/MF517</f>
        <v>18356.200570444973</v>
      </c>
      <c r="MU517" s="13">
        <f>(MG517-MF517)*MCD_NF_DAYS*MR517-MS517*MCD_SHARE_FREED*R_WAIT_2023</f>
        <v>58606341.00937645</v>
      </c>
      <c r="MV517" s="13">
        <f>(MH517-MF517)*MCD_NF_DAYS*MR517-MT517*MCD_SHARE_FREED*R_WAIT_2023</f>
        <v>71739758.68731487</v>
      </c>
      <c r="MW517" s="10">
        <f>IF(AND(MB517&gt;=RULE_START,MC517=1),1/(1+$MB$12)^(MB517-RULE_START+1),0)</f>
        <v>0</v>
      </c>
      <c r="MX517">
        <f>IF(AND(MB517&gt;=RULE_START,MC517=1,MM517&lt;0),MB517,9999)</f>
        <v>9999</v>
      </c>
      <c r="MY517">
        <f>IF(AND(MB517&gt;=RULE_START,MC517=1,MN517&lt;0),MB517,9999)</f>
        <v>9999</v>
      </c>
      <c r="MZ517">
        <f>IF(AND(MB517&gt;=RULE_START,MC517=1,MO517&lt;0),MB517,9999)</f>
        <v>9999</v>
      </c>
      <c r="NB517" t="n">
        <v>2053</v>
      </c>
      <c r="NC517">
        <f>IF(NB517&lt;=RULE_START+$NB$38-1,1,0)</f>
        <v>0</v>
      </c>
      <c r="ND517" s="15">
        <f>IF(NB517=2024,G_IDX_2024,IF(NB517=2025,G_IDX_2025,IF(NB517=2026,G_IDX_2026,IF(NB517=2027,G_IDX_2027,$NB$13))))</f>
        <v>0.033</v>
      </c>
      <c r="NE517" s="8">
        <f>$NB$20*(1+G_HI)^(NB517-COST_DATE)</f>
        <v>1416.512468926662</v>
      </c>
      <c r="NF517" s="8">
        <f>NF516*(1+ND517)</f>
        <v>1189.9621980913182</v>
      </c>
      <c r="NG517" s="8">
        <f>IF(NB517&lt;RULE_START,NF517,NG516*(1+G_HI))</f>
        <v>1434.2862392577404</v>
      </c>
      <c r="NH517" s="8">
        <f>IF(NB517&lt;RULE_START,NF517,IF(NI517=1,R_NF_2024*(1+G_HI)^(NB517-2024),NH516*(1+ND517)))</f>
        <v>1489.0381590352788</v>
      </c>
      <c r="NI517">
        <f>IF(AND(NB517&gt;=RULE_START,MOD(NB517-RULE_START,REBASE_YEARS)=0),1,0)</f>
        <v>0</v>
      </c>
      <c r="NJ517" s="8">
        <f>NF517*CAP_SHARE</f>
        <v>58.18597301843197</v>
      </c>
      <c r="NK517" s="8">
        <f>NG517*CAP_SHARE</f>
        <v>70.13276602569415</v>
      </c>
      <c r="NL517" s="8">
        <f>NH517*CAP_SHARE</f>
        <v>72.80998865679385</v>
      </c>
      <c r="NM517" s="8">
        <f>NF517-NJ517-NE517</f>
        <v>-284.7362438537757</v>
      </c>
      <c r="NN517" s="8">
        <f>NG517-NK517-NE517</f>
        <v>-52.358995694615714</v>
      </c>
      <c r="NO517" s="8">
        <f>NH517-NL517-NE517</f>
        <v>-0.28429854817704836</v>
      </c>
      <c r="NP517" s="8">
        <f>R_NF_2024*(1+G_HI)^(NB517-2024)</f>
        <v>1509.7791807409262</v>
      </c>
      <c r="NQ517" s="10">
        <f>1-NF517/NP517</f>
        <v>0.2118303038810334</v>
      </c>
      <c r="NR517" s="10">
        <f>CPI_2023/(IF(NB517-1=2023,CPI_2023,IF(NB517-1=2024,CPI_2024,IF(NB517-1=2025,CPI_2025,CPI_2025*(1+INFL)^(NB517-1-2025)))))</f>
        <v>0.5082513480465166</v>
      </c>
      <c r="NS517" s="8">
        <f>$NB$21*ABS($NB$11)*(NG517-NF517)/NF517</f>
        <v>20469.476096376024</v>
      </c>
      <c r="NT517" s="8">
        <f>$NB$21*ABS($NB$11)*(NH517-NF517)/NF517</f>
        <v>25056.59371184483</v>
      </c>
      <c r="NU517" s="13">
        <f>(NG517-NF517)*MCD_NF_DAYS*NR517-NS517*MCD_SHARE_FREED*R_WAIT_2023</f>
        <v>56117324.221300565</v>
      </c>
      <c r="NV517" s="13">
        <f>(NH517-NF517)*MCD_NF_DAYS*NR517-NT517*MCD_SHARE_FREED*R_WAIT_2023</f>
        <v>68692964.42120174</v>
      </c>
      <c r="NW517" s="10">
        <f>IF(AND(NB517&gt;=RULE_START,NC517=1),1/(1+$NB$12)^(NB517-RULE_START+1),0)</f>
        <v>0</v>
      </c>
      <c r="NX517">
        <f>IF(AND(NB517&gt;=RULE_START,NC517=1,NM517&lt;0),NB517,9999)</f>
        <v>9999</v>
      </c>
      <c r="NY517">
        <f>IF(AND(NB517&gt;=RULE_START,NC517=1,NN517&lt;0),NB517,9999)</f>
        <v>9999</v>
      </c>
      <c r="NZ517">
        <f>IF(AND(NB517&gt;=RULE_START,NC517=1,NO517&lt;0),NB517,9999)</f>
        <v>9999</v>
      </c>
      <c r="OB517" t="n">
        <v>2053</v>
      </c>
      <c r="OC517">
        <f>IF(OB517&lt;=RULE_START+$OB$38-1,1,0)</f>
        <v>0</v>
      </c>
      <c r="OD517" s="15">
        <f>IF(OB517=2024,G_IDX_2024,IF(OB517=2025,G_IDX_2025,IF(OB517=2026,G_IDX_2026,IF(OB517=2027,G_IDX_2027,$OB$13))))</f>
        <v>0.033</v>
      </c>
      <c r="OE517" s="8">
        <f>$OB$20*(1+G_HI)^(OB517-COST_DATE)</f>
        <v>1416.512468926662</v>
      </c>
      <c r="OF517" s="8">
        <f>OF516*(1+OD517)</f>
        <v>1189.9621980913182</v>
      </c>
      <c r="OG517" s="8">
        <f>IF(OB517&lt;RULE_START,OF517,OG516*(1+G_HI))</f>
        <v>1434.2862392577404</v>
      </c>
      <c r="OH517" s="8">
        <f>IF(OB517&lt;RULE_START,OF517,IF(OI517=1,R_NF_2024*(1+G_HI)^(OB517-2024),OH516*(1+OD517)))</f>
        <v>1489.0381590352788</v>
      </c>
      <c r="OI517">
        <f>IF(AND(OB517&gt;=RULE_START,MOD(OB517-RULE_START,REBASE_YEARS)=0),1,0)</f>
        <v>0</v>
      </c>
      <c r="OJ517" s="8">
        <f>OF517*CAP_SHARE</f>
        <v>58.18597301843197</v>
      </c>
      <c r="OK517" s="8">
        <f>OG517*CAP_SHARE</f>
        <v>70.13276602569415</v>
      </c>
      <c r="OL517" s="8">
        <f>OH517*CAP_SHARE</f>
        <v>72.80998865679385</v>
      </c>
      <c r="OM517" s="8">
        <f>OF517-OJ517-OE517</f>
        <v>-284.7362438537757</v>
      </c>
      <c r="ON517" s="8">
        <f>OG517-OK517-OE517</f>
        <v>-52.358995694615714</v>
      </c>
      <c r="OO517" s="8">
        <f>OH517-OL517-OE517</f>
        <v>-0.28429854817704836</v>
      </c>
      <c r="OP517" s="8">
        <f>R_NF_2024*(1+G_HI)^(OB517-2024)</f>
        <v>1509.7791807409262</v>
      </c>
      <c r="OQ517" s="10">
        <f>1-OF517/OP517</f>
        <v>0.2118303038810334</v>
      </c>
      <c r="OR517" s="10">
        <f>CPI_2023/(IF(OB517-1=2023,CPI_2023,IF(OB517-1=2024,CPI_2024,IF(OB517-1=2025,CPI_2025,CPI_2025*(1+INFL)^(OB517-1-2025)))))</f>
        <v>0.5082513480465166</v>
      </c>
      <c r="OS517" s="8">
        <f>$OB$21*ABS($OB$11)*(OG517-OF517)/OF517</f>
        <v>20469.476096376024</v>
      </c>
      <c r="OT517" s="8">
        <f>$OB$21*ABS($OB$11)*(OH517-OF517)/OF517</f>
        <v>25056.59371184483</v>
      </c>
      <c r="OU517" s="13">
        <f>(OG517-OF517)*MCD_NF_DAYS*OR517-OS517*MCD_SHARE_FREED*R_WAIT_2023</f>
        <v>56117324.221300565</v>
      </c>
      <c r="OV517" s="13">
        <f>(OH517-OF517)*MCD_NF_DAYS*OR517-OT517*MCD_SHARE_FREED*R_WAIT_2023</f>
        <v>68692964.42120174</v>
      </c>
      <c r="OW517" s="10">
        <f>IF(AND(OB517&gt;=RULE_START,OC517=1),1/(1+$OB$12)^(OB517-RULE_START+1),0)</f>
        <v>0</v>
      </c>
      <c r="OX517">
        <f>IF(AND(OB517&gt;=RULE_START,OC517=1,OM517&lt;0),OB517,9999)</f>
        <v>9999</v>
      </c>
      <c r="OY517">
        <f>IF(AND(OB517&gt;=RULE_START,OC517=1,ON517&lt;0),OB517,9999)</f>
        <v>9999</v>
      </c>
      <c r="OZ517">
        <f>IF(AND(OB517&gt;=RULE_START,OC517=1,OO517&lt;0),OB517,9999)</f>
        <v>9999</v>
      </c>
    </row>
    <row r="518">
      <c r="B518" t="n">
        <v>2054</v>
      </c>
      <c r="C518">
        <f>IF(B518&lt;=RULE_START+$B$38-1,1,0)</f>
        <v>0</v>
      </c>
      <c r="D518" s="15">
        <f>IF(B518=2024,G_IDX_2024,IF(B518=2025,G_IDX_2025,IF(B518=2026,G_IDX_2026,IF(B518=2027,G_IDX_2027,$B$13))))</f>
        <v>0.033</v>
      </c>
      <c r="E518" s="8">
        <f>$B$20*(1+G_HI)^(B518-COST_DATE)</f>
        <v>1473.4130964126462</v>
      </c>
      <c r="F518" s="8">
        <f>F517*(1+D518)</f>
        <v>1229.2309506283316</v>
      </c>
      <c r="G518" s="8">
        <f>IF(B518&lt;RULE_START,F518,G517*(1+G_HI))</f>
        <v>1491.9008305857772</v>
      </c>
      <c r="H518" s="8">
        <f>IF(B518&lt;RULE_START,F518,IF(I518=1,R_NF_2024*(1+G_HI)^(B518-2024),H517*(1+D518)))</f>
        <v>1570.4262873735481</v>
      </c>
      <c r="I518">
        <f>IF(AND(B518&gt;=RULE_START,MOD(B518-RULE_START,REBASE_YEARS)=0),1,0)</f>
        <v>1</v>
      </c>
      <c r="J518" s="8">
        <f>F518*CAP_SHARE</f>
        <v>60.10611012804022</v>
      </c>
      <c r="K518" s="8">
        <f>G518*CAP_SHARE</f>
        <v>72.94996564922697</v>
      </c>
      <c r="L518" s="8">
        <f>H518*CAP_SHARE</f>
        <v>76.78965073942733</v>
      </c>
      <c r="M518" s="8">
        <f>F518-J518-E518</f>
        <v>-304.28825591235477</v>
      </c>
      <c r="N518" s="8">
        <f>G518-K518-E518</f>
        <v>-54.462231476095894</v>
      </c>
      <c r="O518" s="8">
        <f>H518-L518-E518</f>
        <v>20.22354022147465</v>
      </c>
      <c r="P518" s="8">
        <f>R_NF_2024*(1+G_HI)^(B518-2024)</f>
        <v>1570.4262873735481</v>
      </c>
      <c r="Q518" s="10">
        <f>1-F518/P518</f>
        <v>0.2172628791866742</v>
      </c>
      <c r="R518" s="10">
        <f>CPI_2023/(IF(B518-1=2023,CPI_2023,IF(B518-1=2024,CPI_2024,IF(B518-1=2025,CPI_2025,CPI_2025*(1+INFL)^(B518-1-2025)))))</f>
        <v>0.49692153700285174</v>
      </c>
      <c r="S518" s="8">
        <f>$B$21*ABS($B$11)*(G518-F518)/F518</f>
        <v>21303.476346123636</v>
      </c>
      <c r="T518" s="8">
        <f>$B$21*ABS($B$11)*(H518-F518)/F518</f>
        <v>27672.174620618785</v>
      </c>
      <c r="U518" s="13">
        <f>(G518-F518)*MCD_NF_DAYS*R518-S518*MCD_SHARE_FREED*R_WAIT_2023</f>
        <v>59082790.63332672</v>
      </c>
      <c r="V518" s="13">
        <f>(H518-F518)*MCD_NF_DAYS*R518-T518*MCD_SHARE_FREED*R_WAIT_2023</f>
        <v>76745657.51220088</v>
      </c>
      <c r="W518" s="10">
        <f>IF(AND(B518&gt;=RULE_START,C518=1),1/(1+$B$12)^(B518-RULE_START+1),0)</f>
        <v>0</v>
      </c>
      <c r="X518">
        <f>IF(AND(B518&gt;=RULE_START,C518=1,M518&lt;0),B518,9999)</f>
        <v>9999</v>
      </c>
      <c r="Y518">
        <f>IF(AND(B518&gt;=RULE_START,C518=1,N518&lt;0),B518,9999)</f>
        <v>9999</v>
      </c>
      <c r="Z518">
        <f>IF(AND(B518&gt;=RULE_START,C518=1,O518&lt;0),B518,9999)</f>
        <v>9999</v>
      </c>
      <c r="AB518" t="n">
        <v>2054</v>
      </c>
      <c r="AC518">
        <f>IF(AB518&lt;=RULE_START+$AB$38-1,1,0)</f>
        <v>0</v>
      </c>
      <c r="AD518" s="15">
        <f>IF(AB518=2024,G_IDX_2024,IF(AB518=2025,G_IDX_2025,IF(AB518=2026,G_IDX_2026,IF(AB518=2027,G_IDX_2027,$AB$13))))</f>
        <v>0.033</v>
      </c>
      <c r="AE518" s="8">
        <f>$AB$20*(1+G_HI)^(AB518-COST_DATE)</f>
        <v>1473.4130964126462</v>
      </c>
      <c r="AF518" s="8">
        <f>AF517*(1+AD518)</f>
        <v>1229.2309506283316</v>
      </c>
      <c r="AG518" s="8">
        <f>IF(AB518&lt;RULE_START,AF518,AG517*(1+G_HI))</f>
        <v>1491.9008305857772</v>
      </c>
      <c r="AH518" s="8">
        <f>IF(AB518&lt;RULE_START,AF518,IF(AI518=1,R_NF_2024*(1+G_HI)^(AB518-2024),AH517*(1+AD518)))</f>
        <v>1570.4262873735481</v>
      </c>
      <c r="AI518">
        <f>IF(AND(AB518&gt;=RULE_START,MOD(AB518-RULE_START,REBASE_YEARS)=0),1,0)</f>
        <v>1</v>
      </c>
      <c r="AJ518" s="8">
        <f>AF518*CAP_SHARE</f>
        <v>60.10611012804022</v>
      </c>
      <c r="AK518" s="8">
        <f>AG518*CAP_SHARE</f>
        <v>72.94996564922697</v>
      </c>
      <c r="AL518" s="8">
        <f>AH518*CAP_SHARE</f>
        <v>76.78965073942733</v>
      </c>
      <c r="AM518" s="8">
        <f>AF518-AJ518-AE518</f>
        <v>-304.28825591235477</v>
      </c>
      <c r="AN518" s="8">
        <f>AG518-AK518-AE518</f>
        <v>-54.462231476095894</v>
      </c>
      <c r="AO518" s="8">
        <f>AH518-AL518-AE518</f>
        <v>20.22354022147465</v>
      </c>
      <c r="AP518" s="8">
        <f>R_NF_2024*(1+G_HI)^(AB518-2024)</f>
        <v>1570.4262873735481</v>
      </c>
      <c r="AQ518" s="10">
        <f>1-AF518/AP518</f>
        <v>0.2172628791866742</v>
      </c>
      <c r="AR518" s="10">
        <f>CPI_2023/(IF(AB518-1=2023,CPI_2023,IF(AB518-1=2024,CPI_2024,IF(AB518-1=2025,CPI_2025,CPI_2025*(1+INFL)^(AB518-1-2025)))))</f>
        <v>0.49692153700285174</v>
      </c>
      <c r="AS518" s="8">
        <f>$AB$21*ABS($AB$11)*(AG518-AF518)/AF518</f>
        <v>21303.476346123636</v>
      </c>
      <c r="AT518" s="8">
        <f>$AB$21*ABS($AB$11)*(AH518-AF518)/AF518</f>
        <v>27672.174620618785</v>
      </c>
      <c r="AU518" s="13">
        <f>(AG518-AF518)*MCD_NF_DAYS*AR518-AS518*MCD_SHARE_FREED*R_WAIT_2023</f>
        <v>59082790.63332672</v>
      </c>
      <c r="AV518" s="13">
        <f>(AH518-AF518)*MCD_NF_DAYS*AR518-AT518*MCD_SHARE_FREED*R_WAIT_2023</f>
        <v>76745657.51220088</v>
      </c>
      <c r="AW518" s="10">
        <f>IF(AND(AB518&gt;=RULE_START,AC518=1),1/(1+$AB$12)^(AB518-RULE_START+1),0)</f>
        <v>0</v>
      </c>
      <c r="AX518">
        <f>IF(AND(AB518&gt;=RULE_START,AC518=1,AM518&lt;0),AB518,9999)</f>
        <v>9999</v>
      </c>
      <c r="AY518">
        <f>IF(AND(AB518&gt;=RULE_START,AC518=1,AN518&lt;0),AB518,9999)</f>
        <v>9999</v>
      </c>
      <c r="AZ518">
        <f>IF(AND(AB518&gt;=RULE_START,AC518=1,AO518&lt;0),AB518,9999)</f>
        <v>9999</v>
      </c>
      <c r="BB518" t="n">
        <v>2054</v>
      </c>
      <c r="BC518">
        <f>IF(BB518&lt;=RULE_START+$BB$38-1,1,0)</f>
        <v>0</v>
      </c>
      <c r="BD518" s="15">
        <f>IF(BB518=2024,G_IDX_2024,IF(BB518=2025,G_IDX_2025,IF(BB518=2026,G_IDX_2026,IF(BB518=2027,G_IDX_2027,$BB$13))))</f>
        <v>0.033</v>
      </c>
      <c r="BE518" s="8">
        <f>$BB$20*(1+G_HI)^(BB518-COST_DATE)</f>
        <v>1473.4130964126462</v>
      </c>
      <c r="BF518" s="8">
        <f>BF517*(1+BD518)</f>
        <v>1229.2309506283316</v>
      </c>
      <c r="BG518" s="8">
        <f>IF(BB518&lt;RULE_START,BF518,BG517*(1+G_HI))</f>
        <v>1491.9008305857772</v>
      </c>
      <c r="BH518" s="8">
        <f>IF(BB518&lt;RULE_START,BF518,IF(BI518=1,R_NF_2024*(1+G_HI)^(BB518-2024),BH517*(1+BD518)))</f>
        <v>1570.4262873735481</v>
      </c>
      <c r="BI518">
        <f>IF(AND(BB518&gt;=RULE_START,MOD(BB518-RULE_START,REBASE_YEARS)=0),1,0)</f>
        <v>1</v>
      </c>
      <c r="BJ518" s="8">
        <f>BF518*CAP_SHARE</f>
        <v>60.10611012804022</v>
      </c>
      <c r="BK518" s="8">
        <f>BG518*CAP_SHARE</f>
        <v>72.94996564922697</v>
      </c>
      <c r="BL518" s="8">
        <f>BH518*CAP_SHARE</f>
        <v>76.78965073942733</v>
      </c>
      <c r="BM518" s="8">
        <f>BF518-BJ518-BE518</f>
        <v>-304.28825591235477</v>
      </c>
      <c r="BN518" s="8">
        <f>BG518-BK518-BE518</f>
        <v>-54.462231476095894</v>
      </c>
      <c r="BO518" s="8">
        <f>BH518-BL518-BE518</f>
        <v>20.22354022147465</v>
      </c>
      <c r="BP518" s="8">
        <f>R_NF_2024*(1+G_HI)^(BB518-2024)</f>
        <v>1570.4262873735481</v>
      </c>
      <c r="BQ518" s="10">
        <f>1-BF518/BP518</f>
        <v>0.2172628791866742</v>
      </c>
      <c r="BR518" s="10">
        <f>CPI_2023/(IF(BB518-1=2023,CPI_2023,IF(BB518-1=2024,CPI_2024,IF(BB518-1=2025,CPI_2025,CPI_2025*(1+INFL)^(BB518-1-2025)))))</f>
        <v>0.49692153700285174</v>
      </c>
      <c r="BS518" s="8">
        <f>$BB$21*ABS($BB$11)*(BG518-BF518)/BF518</f>
        <v>21303.476346123636</v>
      </c>
      <c r="BT518" s="8">
        <f>$BB$21*ABS($BB$11)*(BH518-BF518)/BF518</f>
        <v>27672.174620618785</v>
      </c>
      <c r="BU518" s="13">
        <f>(BG518-BF518)*MCD_NF_DAYS*BR518-BS518*MCD_SHARE_FREED*R_WAIT_2023</f>
        <v>59082790.63332672</v>
      </c>
      <c r="BV518" s="13">
        <f>(BH518-BF518)*MCD_NF_DAYS*BR518-BT518*MCD_SHARE_FREED*R_WAIT_2023</f>
        <v>76745657.51220088</v>
      </c>
      <c r="BW518" s="10">
        <f>IF(AND(BB518&gt;=RULE_START,BC518=1),1/(1+$BB$12)^(BB518-RULE_START+1),0)</f>
        <v>0</v>
      </c>
      <c r="BX518">
        <f>IF(AND(BB518&gt;=RULE_START,BC518=1,BM518&lt;0),BB518,9999)</f>
        <v>9999</v>
      </c>
      <c r="BY518">
        <f>IF(AND(BB518&gt;=RULE_START,BC518=1,BN518&lt;0),BB518,9999)</f>
        <v>9999</v>
      </c>
      <c r="BZ518">
        <f>IF(AND(BB518&gt;=RULE_START,BC518=1,BO518&lt;0),BB518,9999)</f>
        <v>9999</v>
      </c>
      <c r="CB518" t="n">
        <v>2054</v>
      </c>
      <c r="CC518">
        <f>IF(CB518&lt;=RULE_START+$CB$38-1,1,0)</f>
        <v>1</v>
      </c>
      <c r="CD518" s="15">
        <f>IF(CB518=2024,G_IDX_2024,IF(CB518=2025,G_IDX_2025,IF(CB518=2026,G_IDX_2026,IF(CB518=2027,G_IDX_2027,$CB$13))))</f>
        <v>0.033</v>
      </c>
      <c r="CE518" s="8">
        <f>$CB$20*(1+G_HI)^(CB518-COST_DATE)</f>
        <v>1473.4130964126462</v>
      </c>
      <c r="CF518" s="8">
        <f>CF517*(1+CD518)</f>
        <v>1229.2309506283316</v>
      </c>
      <c r="CG518" s="8">
        <f>IF(CB518&lt;RULE_START,CF518,CG517*(1+G_HI))</f>
        <v>1491.9008305857772</v>
      </c>
      <c r="CH518" s="8">
        <f>IF(CB518&lt;RULE_START,CF518,IF(CI518=1,R_NF_2024*(1+G_HI)^(CB518-2024),CH517*(1+CD518)))</f>
        <v>1570.4262873735481</v>
      </c>
      <c r="CI518">
        <f>IF(AND(CB518&gt;=RULE_START,MOD(CB518-RULE_START,REBASE_YEARS)=0),1,0)</f>
        <v>1</v>
      </c>
      <c r="CJ518" s="8">
        <f>CF518*CAP_SHARE</f>
        <v>60.10611012804022</v>
      </c>
      <c r="CK518" s="8">
        <f>CG518*CAP_SHARE</f>
        <v>72.94996564922697</v>
      </c>
      <c r="CL518" s="8">
        <f>CH518*CAP_SHARE</f>
        <v>76.78965073942733</v>
      </c>
      <c r="CM518" s="8">
        <f>CF518-CJ518-CE518</f>
        <v>-304.28825591235477</v>
      </c>
      <c r="CN518" s="8">
        <f>CG518-CK518-CE518</f>
        <v>-54.462231476095894</v>
      </c>
      <c r="CO518" s="8">
        <f>CH518-CL518-CE518</f>
        <v>20.22354022147465</v>
      </c>
      <c r="CP518" s="8">
        <f>R_NF_2024*(1+G_HI)^(CB518-2024)</f>
        <v>1570.4262873735481</v>
      </c>
      <c r="CQ518" s="10">
        <f>1-CF518/CP518</f>
        <v>0.2172628791866742</v>
      </c>
      <c r="CR518" s="10">
        <f>CPI_2023/(IF(CB518-1=2023,CPI_2023,IF(CB518-1=2024,CPI_2024,IF(CB518-1=2025,CPI_2025,CPI_2025*(1+INFL)^(CB518-1-2025)))))</f>
        <v>0.49692153700285174</v>
      </c>
      <c r="CS518" s="8">
        <f>$CB$21*ABS($CB$11)*(CG518-CF518)/CF518</f>
        <v>21303.476346123636</v>
      </c>
      <c r="CT518" s="8">
        <f>$CB$21*ABS($CB$11)*(CH518-CF518)/CF518</f>
        <v>27672.174620618785</v>
      </c>
      <c r="CU518" s="13">
        <f>(CG518-CF518)*MCD_NF_DAYS*CR518-CS518*MCD_SHARE_FREED*R_WAIT_2023</f>
        <v>59082790.63332672</v>
      </c>
      <c r="CV518" s="13">
        <f>(CH518-CF518)*MCD_NF_DAYS*CR518-CT518*MCD_SHARE_FREED*R_WAIT_2023</f>
        <v>76745657.51220088</v>
      </c>
      <c r="CW518" s="10">
        <f>IF(AND(CB518&gt;=RULE_START,CC518=1),1/(1+$CB$12)^(CB518-RULE_START+1),0)</f>
        <v>0.5743745528947001</v>
      </c>
      <c r="CX518">
        <f>IF(AND(CB518&gt;=RULE_START,CC518=1,CM518&lt;0),CB518,9999)</f>
        <v>2054</v>
      </c>
      <c r="CY518">
        <f>IF(AND(CB518&gt;=RULE_START,CC518=1,CN518&lt;0),CB518,9999)</f>
        <v>2054</v>
      </c>
      <c r="CZ518">
        <f>IF(AND(CB518&gt;=RULE_START,CC518=1,CO518&lt;0),CB518,9999)</f>
        <v>9999</v>
      </c>
      <c r="DB518" t="n">
        <v>2054</v>
      </c>
      <c r="DC518">
        <f>IF(DB518&lt;=RULE_START+$DB$38-1,1,0)</f>
        <v>0</v>
      </c>
      <c r="DD518" s="15">
        <f>IF(DB518=2024,G_IDX_2024,IF(DB518=2025,G_IDX_2025,IF(DB518=2026,G_IDX_2026,IF(DB518=2027,G_IDX_2027,$DB$13))))</f>
        <v>0.033</v>
      </c>
      <c r="DE518" s="8">
        <f>$DB$20*(1+G_HI)^(DB518-COST_DATE)</f>
        <v>1473.4130964126462</v>
      </c>
      <c r="DF518" s="8">
        <f>DF517*(1+DD518)</f>
        <v>1229.2309506283316</v>
      </c>
      <c r="DG518" s="8">
        <f>IF(DB518&lt;RULE_START,DF518,DG517*(1+G_HI))</f>
        <v>1491.9008305857772</v>
      </c>
      <c r="DH518" s="8">
        <f>IF(DB518&lt;RULE_START,DF518,IF(DI518=1,R_NF_2024*(1+G_HI)^(DB518-2024),DH517*(1+DD518)))</f>
        <v>1570.4262873735481</v>
      </c>
      <c r="DI518">
        <f>IF(AND(DB518&gt;=RULE_START,MOD(DB518-RULE_START,REBASE_YEARS)=0),1,0)</f>
        <v>1</v>
      </c>
      <c r="DJ518" s="8">
        <f>DF518*CAP_SHARE</f>
        <v>60.10611012804022</v>
      </c>
      <c r="DK518" s="8">
        <f>DG518*CAP_SHARE</f>
        <v>72.94996564922697</v>
      </c>
      <c r="DL518" s="8">
        <f>DH518*CAP_SHARE</f>
        <v>76.78965073942733</v>
      </c>
      <c r="DM518" s="8">
        <f>DF518-DJ518-DE518</f>
        <v>-304.28825591235477</v>
      </c>
      <c r="DN518" s="8">
        <f>DG518-DK518-DE518</f>
        <v>-54.462231476095894</v>
      </c>
      <c r="DO518" s="8">
        <f>DH518-DL518-DE518</f>
        <v>20.22354022147465</v>
      </c>
      <c r="DP518" s="8">
        <f>R_NF_2024*(1+G_HI)^(DB518-2024)</f>
        <v>1570.4262873735481</v>
      </c>
      <c r="DQ518" s="10">
        <f>1-DF518/DP518</f>
        <v>0.2172628791866742</v>
      </c>
      <c r="DR518" s="10">
        <f>CPI_2023/(IF(DB518-1=2023,CPI_2023,IF(DB518-1=2024,CPI_2024,IF(DB518-1=2025,CPI_2025,CPI_2025*(1+INFL)^(DB518-1-2025)))))</f>
        <v>0.49692153700285174</v>
      </c>
      <c r="DS518" s="8">
        <f>$DB$21*ABS($DB$11)*(DG518-DF518)/DF518</f>
        <v>21303.476346123636</v>
      </c>
      <c r="DT518" s="8">
        <f>$DB$21*ABS($DB$11)*(DH518-DF518)/DF518</f>
        <v>27672.174620618785</v>
      </c>
      <c r="DU518" s="13">
        <f>(DG518-DF518)*MCD_NF_DAYS*DR518-DS518*MCD_SHARE_FREED*R_WAIT_2023</f>
        <v>59082790.63332672</v>
      </c>
      <c r="DV518" s="13">
        <f>(DH518-DF518)*MCD_NF_DAYS*DR518-DT518*MCD_SHARE_FREED*R_WAIT_2023</f>
        <v>76745657.51220088</v>
      </c>
      <c r="DW518" s="10">
        <f>IF(AND(DB518&gt;=RULE_START,DC518=1),1/(1+$DB$12)^(DB518-RULE_START+1),0)</f>
        <v>0</v>
      </c>
      <c r="DX518">
        <f>IF(AND(DB518&gt;=RULE_START,DC518=1,DM518&lt;0),DB518,9999)</f>
        <v>9999</v>
      </c>
      <c r="DY518">
        <f>IF(AND(DB518&gt;=RULE_START,DC518=1,DN518&lt;0),DB518,9999)</f>
        <v>9999</v>
      </c>
      <c r="DZ518">
        <f>IF(AND(DB518&gt;=RULE_START,DC518=1,DO518&lt;0),DB518,9999)</f>
        <v>9999</v>
      </c>
      <c r="EB518" t="n">
        <v>2054</v>
      </c>
      <c r="EC518">
        <f>IF(EB518&lt;=RULE_START+$EB$38-1,1,0)</f>
        <v>0</v>
      </c>
      <c r="ED518" s="15">
        <f>IF(EB518=2024,G_IDX_2024,IF(EB518=2025,G_IDX_2025,IF(EB518=2026,G_IDX_2026,IF(EB518=2027,G_IDX_2027,$EB$13))))</f>
        <v>0.033</v>
      </c>
      <c r="EE518" s="8">
        <f>$EB$20*(1+G_HI)^(EB518-COST_DATE)</f>
        <v>1473.4130964126462</v>
      </c>
      <c r="EF518" s="8">
        <f>EF517*(1+ED518)</f>
        <v>1229.2309506283316</v>
      </c>
      <c r="EG518" s="8">
        <f>IF(EB518&lt;RULE_START,EF518,EG517*(1+G_HI))</f>
        <v>1491.9008305857772</v>
      </c>
      <c r="EH518" s="8">
        <f>IF(EB518&lt;RULE_START,EF518,IF(EI518=1,R_NF_2024*(1+G_HI)^(EB518-2024),EH517*(1+ED518)))</f>
        <v>1570.4262873735481</v>
      </c>
      <c r="EI518">
        <f>IF(AND(EB518&gt;=RULE_START,MOD(EB518-RULE_START,REBASE_YEARS)=0),1,0)</f>
        <v>1</v>
      </c>
      <c r="EJ518" s="8">
        <f>EF518*CAP_SHARE</f>
        <v>60.10611012804022</v>
      </c>
      <c r="EK518" s="8">
        <f>EG518*CAP_SHARE</f>
        <v>72.94996564922697</v>
      </c>
      <c r="EL518" s="8">
        <f>EH518*CAP_SHARE</f>
        <v>76.78965073942733</v>
      </c>
      <c r="EM518" s="8">
        <f>EF518-EJ518-EE518</f>
        <v>-304.28825591235477</v>
      </c>
      <c r="EN518" s="8">
        <f>EG518-EK518-EE518</f>
        <v>-54.462231476095894</v>
      </c>
      <c r="EO518" s="8">
        <f>EH518-EL518-EE518</f>
        <v>20.22354022147465</v>
      </c>
      <c r="EP518" s="8">
        <f>R_NF_2024*(1+G_HI)^(EB518-2024)</f>
        <v>1570.4262873735481</v>
      </c>
      <c r="EQ518" s="10">
        <f>1-EF518/EP518</f>
        <v>0.2172628791866742</v>
      </c>
      <c r="ER518" s="10">
        <f>CPI_2023/(IF(EB518-1=2023,CPI_2023,IF(EB518-1=2024,CPI_2024,IF(EB518-1=2025,CPI_2025,CPI_2025*(1+INFL)^(EB518-1-2025)))))</f>
        <v>0.49692153700285174</v>
      </c>
      <c r="ES518" s="8">
        <f>$EB$21*ABS($EB$11)*(EG518-EF518)/EF518</f>
        <v>21303.476346123636</v>
      </c>
      <c r="ET518" s="8">
        <f>$EB$21*ABS($EB$11)*(EH518-EF518)/EF518</f>
        <v>27672.174620618785</v>
      </c>
      <c r="EU518" s="13">
        <f>(EG518-EF518)*MCD_NF_DAYS*ER518-ES518*MCD_SHARE_FREED*R_WAIT_2023</f>
        <v>59082790.63332672</v>
      </c>
      <c r="EV518" s="13">
        <f>(EH518-EF518)*MCD_NF_DAYS*ER518-ET518*MCD_SHARE_FREED*R_WAIT_2023</f>
        <v>76745657.51220088</v>
      </c>
      <c r="EW518" s="10">
        <f>IF(AND(EB518&gt;=RULE_START,EC518=1),1/(1+$EB$12)^(EB518-RULE_START+1),0)</f>
        <v>0</v>
      </c>
      <c r="EX518">
        <f>IF(AND(EB518&gt;=RULE_START,EC518=1,EM518&lt;0),EB518,9999)</f>
        <v>9999</v>
      </c>
      <c r="EY518">
        <f>IF(AND(EB518&gt;=RULE_START,EC518=1,EN518&lt;0),EB518,9999)</f>
        <v>9999</v>
      </c>
      <c r="EZ518">
        <f>IF(AND(EB518&gt;=RULE_START,EC518=1,EO518&lt;0),EB518,9999)</f>
        <v>9999</v>
      </c>
      <c r="FB518" t="n">
        <v>2054</v>
      </c>
      <c r="FC518">
        <f>IF(FB518&lt;=RULE_START+$FB$38-1,1,0)</f>
        <v>0</v>
      </c>
      <c r="FD518" s="15">
        <f>IF(FB518=2024,G_IDX_2024,IF(FB518=2025,G_IDX_2025,IF(FB518=2026,G_IDX_2026,IF(FB518=2027,G_IDX_2027,$FB$13))))</f>
        <v>0.033</v>
      </c>
      <c r="FE518" s="8">
        <f>$FB$20*(1+G_HI)^(FB518-COST_DATE)</f>
        <v>1516.3370354372753</v>
      </c>
      <c r="FF518" s="8">
        <f>FF517*(1+FD518)</f>
        <v>1229.2309506283316</v>
      </c>
      <c r="FG518" s="8">
        <f>IF(FB518&lt;RULE_START,FF518,FG517*(1+G_HI))</f>
        <v>1491.9008305857772</v>
      </c>
      <c r="FH518" s="8">
        <f>IF(FB518&lt;RULE_START,FF518,IF(FI518=1,R_NF_2024*(1+G_HI)^(FB518-2024),FH517*(1+FD518)))</f>
        <v>1570.4262873735481</v>
      </c>
      <c r="FI518">
        <f>IF(AND(FB518&gt;=RULE_START,MOD(FB518-RULE_START,REBASE_YEARS)=0),1,0)</f>
        <v>1</v>
      </c>
      <c r="FJ518" s="8">
        <f>FF518*CAP_SHARE</f>
        <v>60.10611012804022</v>
      </c>
      <c r="FK518" s="8">
        <f>FG518*CAP_SHARE</f>
        <v>72.94996564922697</v>
      </c>
      <c r="FL518" s="8">
        <f>FH518*CAP_SHARE</f>
        <v>76.78965073942733</v>
      </c>
      <c r="FM518" s="8">
        <f>FF518-FJ518-FE518</f>
        <v>-347.2121949369839</v>
      </c>
      <c r="FN518" s="8">
        <f>FG518-FK518-FE518</f>
        <v>-97.38617050072503</v>
      </c>
      <c r="FO518" s="8">
        <f>FH518-FL518-FE518</f>
        <v>-22.700398803154485</v>
      </c>
      <c r="FP518" s="8">
        <f>R_NF_2024*(1+G_HI)^(FB518-2024)</f>
        <v>1570.4262873735481</v>
      </c>
      <c r="FQ518" s="10">
        <f>1-FF518/FP518</f>
        <v>0.2172628791866742</v>
      </c>
      <c r="FR518" s="10">
        <f>CPI_2023/(IF(FB518-1=2023,CPI_2023,IF(FB518-1=2024,CPI_2024,IF(FB518-1=2025,CPI_2025,CPI_2025*(1+INFL)^(FB518-1-2025)))))</f>
        <v>0.49692153700285174</v>
      </c>
      <c r="FS518" s="8">
        <f>$FB$21*ABS($FB$11)*(FG518-FF518)/FF518</f>
        <v>21303.476346123636</v>
      </c>
      <c r="FT518" s="8">
        <f>$FB$21*ABS($FB$11)*(FH518-FF518)/FF518</f>
        <v>27672.174620618785</v>
      </c>
      <c r="FU518" s="13">
        <f>(FG518-FF518)*MCD_NF_DAYS*FR518-FS518*MCD_SHARE_FREED*R_WAIT_2023</f>
        <v>59082790.63332672</v>
      </c>
      <c r="FV518" s="13">
        <f>(FH518-FF518)*MCD_NF_DAYS*FR518-FT518*MCD_SHARE_FREED*R_WAIT_2023</f>
        <v>76745657.51220088</v>
      </c>
      <c r="FW518" s="10">
        <f>IF(AND(FB518&gt;=RULE_START,FC518=1),1/(1+$FB$12)^(FB518-RULE_START+1),0)</f>
        <v>0</v>
      </c>
      <c r="FX518">
        <f>IF(AND(FB518&gt;=RULE_START,FC518=1,FM518&lt;0),FB518,9999)</f>
        <v>9999</v>
      </c>
      <c r="FY518">
        <f>IF(AND(FB518&gt;=RULE_START,FC518=1,FN518&lt;0),FB518,9999)</f>
        <v>9999</v>
      </c>
      <c r="FZ518">
        <f>IF(AND(FB518&gt;=RULE_START,FC518=1,FO518&lt;0),FB518,9999)</f>
        <v>9999</v>
      </c>
      <c r="GB518" t="n">
        <v>2054</v>
      </c>
      <c r="GC518">
        <f>IF(GB518&lt;=RULE_START+$GB$38-1,1,0)</f>
        <v>0</v>
      </c>
      <c r="GD518" s="15">
        <f>IF(GB518=2024,G_IDX_2024,IF(GB518=2025,G_IDX_2025,IF(GB518=2026,G_IDX_2026,IF(GB518=2027,G_IDX_2027,$GB$13))))</f>
        <v>0.033</v>
      </c>
      <c r="GE518" s="8">
        <f>$GB$20*(1+G_HI)^(GB518-COST_DATE)</f>
        <v>1473.4130964126462</v>
      </c>
      <c r="GF518" s="8">
        <f>GF517*(1+GD518)</f>
        <v>1229.2309506283316</v>
      </c>
      <c r="GG518" s="8">
        <f>IF(GB518&lt;RULE_START,GF518,GG517*(1+G_HI))</f>
        <v>1491.9008305857772</v>
      </c>
      <c r="GH518" s="8">
        <f>IF(GB518&lt;RULE_START,GF518,IF(GI518=1,R_NF_2024*(1+G_HI)^(GB518-2024),GH517*(1+GD518)))</f>
        <v>1570.4262873735481</v>
      </c>
      <c r="GI518">
        <f>IF(AND(GB518&gt;=RULE_START,MOD(GB518-RULE_START,REBASE_YEARS)=0),1,0)</f>
        <v>1</v>
      </c>
      <c r="GJ518" s="8">
        <f>GF518*CAP_SHARE</f>
        <v>60.10611012804022</v>
      </c>
      <c r="GK518" s="8">
        <f>GG518*CAP_SHARE</f>
        <v>72.94996564922697</v>
      </c>
      <c r="GL518" s="8">
        <f>GH518*CAP_SHARE</f>
        <v>76.78965073942733</v>
      </c>
      <c r="GM518" s="8">
        <f>GF518-GJ518-GE518</f>
        <v>-304.28825591235477</v>
      </c>
      <c r="GN518" s="8">
        <f>GG518-GK518-GE518</f>
        <v>-54.462231476095894</v>
      </c>
      <c r="GO518" s="8">
        <f>GH518-GL518-GE518</f>
        <v>20.22354022147465</v>
      </c>
      <c r="GP518" s="8">
        <f>R_NF_2024*(1+G_HI)^(GB518-2024)</f>
        <v>1570.4262873735481</v>
      </c>
      <c r="GQ518" s="10">
        <f>1-GF518/GP518</f>
        <v>0.2172628791866742</v>
      </c>
      <c r="GR518" s="10">
        <f>CPI_2023/(IF(GB518-1=2023,CPI_2023,IF(GB518-1=2024,CPI_2024,IF(GB518-1=2025,CPI_2025,CPI_2025*(1+INFL)^(GB518-1-2025)))))</f>
        <v>0.49692153700285174</v>
      </c>
      <c r="GS518" s="8">
        <f>$GB$21*ABS($GB$11)*(GG518-GF518)/GF518</f>
        <v>16080.928802910295</v>
      </c>
      <c r="GT518" s="8">
        <f>$GB$21*ABS($GB$11)*(GH518-GF518)/GF518</f>
        <v>20888.340600657073</v>
      </c>
      <c r="GU518" s="13">
        <f>(GG518-GF518)*MCD_NF_DAYS*GR518-GS518*MCD_SHARE_FREED*R_WAIT_2023</f>
        <v>61457580.824494705</v>
      </c>
      <c r="GV518" s="13">
        <f>(GH518-GF518)*MCD_NF_DAYS*GR518-GT518*MCD_SHARE_FREED*R_WAIT_2023</f>
        <v>79830393.90872288</v>
      </c>
      <c r="GW518" s="10">
        <f>IF(AND(GB518&gt;=RULE_START,GC518=1),1/(1+$GB$12)^(GB518-RULE_START+1),0)</f>
        <v>0</v>
      </c>
      <c r="GX518">
        <f>IF(AND(GB518&gt;=RULE_START,GC518=1,GM518&lt;0),GB518,9999)</f>
        <v>9999</v>
      </c>
      <c r="GY518">
        <f>IF(AND(GB518&gt;=RULE_START,GC518=1,GN518&lt;0),GB518,9999)</f>
        <v>9999</v>
      </c>
      <c r="GZ518">
        <f>IF(AND(GB518&gt;=RULE_START,GC518=1,GO518&lt;0),GB518,9999)</f>
        <v>9999</v>
      </c>
      <c r="HB518" t="n">
        <v>2054</v>
      </c>
      <c r="HC518">
        <f>IF(HB518&lt;=RULE_START+$HB$38-1,1,0)</f>
        <v>0</v>
      </c>
      <c r="HD518" s="15">
        <f>IF(HB518=2024,G_IDX_2024,IF(HB518=2025,G_IDX_2025,IF(HB518=2026,G_IDX_2026,IF(HB518=2027,G_IDX_2027,$HB$13))))</f>
        <v>0.033</v>
      </c>
      <c r="HE518" s="8">
        <f>$HB$20*(1+G_HI)^(HB518-COST_DATE)</f>
        <v>1473.4130964126462</v>
      </c>
      <c r="HF518" s="8">
        <f>HF517*(1+HD518)</f>
        <v>1229.2309506283316</v>
      </c>
      <c r="HG518" s="8">
        <f>IF(HB518&lt;RULE_START,HF518,HG517*(1+G_HI))</f>
        <v>1491.9008305857772</v>
      </c>
      <c r="HH518" s="8">
        <f>IF(HB518&lt;RULE_START,HF518,IF(HI518=1,R_NF_2024*(1+G_HI)^(HB518-2024),HH517*(1+HD518)))</f>
        <v>1570.4262873735481</v>
      </c>
      <c r="HI518">
        <f>IF(AND(HB518&gt;=RULE_START,MOD(HB518-RULE_START,REBASE_YEARS)=0),1,0)</f>
        <v>1</v>
      </c>
      <c r="HJ518" s="8">
        <f>HF518*CAP_SHARE</f>
        <v>60.10611012804022</v>
      </c>
      <c r="HK518" s="8">
        <f>HG518*CAP_SHARE</f>
        <v>72.94996564922697</v>
      </c>
      <c r="HL518" s="8">
        <f>HH518*CAP_SHARE</f>
        <v>76.78965073942733</v>
      </c>
      <c r="HM518" s="8">
        <f>HF518-HJ518-HE518</f>
        <v>-304.28825591235477</v>
      </c>
      <c r="HN518" s="8">
        <f>HG518-HK518-HE518</f>
        <v>-54.462231476095894</v>
      </c>
      <c r="HO518" s="8">
        <f>HH518-HL518-HE518</f>
        <v>20.22354022147465</v>
      </c>
      <c r="HP518" s="8">
        <f>R_NF_2024*(1+G_HI)^(HB518-2024)</f>
        <v>1570.4262873735481</v>
      </c>
      <c r="HQ518" s="10">
        <f>1-HF518/HP518</f>
        <v>0.2172628791866742</v>
      </c>
      <c r="HR518" s="10">
        <f>CPI_2023/(IF(HB518-1=2023,CPI_2023,IF(HB518-1=2024,CPI_2024,IF(HB518-1=2025,CPI_2025,CPI_2025*(1+INFL)^(HB518-1-2025)))))</f>
        <v>0.49692153700285174</v>
      </c>
      <c r="HS518" s="8">
        <f>$HB$21*ABS($HB$11)*(HG518-HF518)/HF518</f>
        <v>21303.476346123636</v>
      </c>
      <c r="HT518" s="8">
        <f>$HB$21*ABS($HB$11)*(HH518-HF518)/HF518</f>
        <v>27672.174620618785</v>
      </c>
      <c r="HU518" s="13">
        <f>(HG518-HF518)*MCD_NF_DAYS*HR518-HS518*MCD_SHARE_FREED*R_WAIT_2023</f>
        <v>59082790.63332672</v>
      </c>
      <c r="HV518" s="13">
        <f>(HH518-HF518)*MCD_NF_DAYS*HR518-HT518*MCD_SHARE_FREED*R_WAIT_2023</f>
        <v>76745657.51220088</v>
      </c>
      <c r="HW518" s="10">
        <f>IF(AND(HB518&gt;=RULE_START,HC518=1),1/(1+$HB$12)^(HB518-RULE_START+1),0)</f>
        <v>0</v>
      </c>
      <c r="HX518">
        <f>IF(AND(HB518&gt;=RULE_START,HC518=1,HM518&lt;0),HB518,9999)</f>
        <v>9999</v>
      </c>
      <c r="HY518">
        <f>IF(AND(HB518&gt;=RULE_START,HC518=1,HN518&lt;0),HB518,9999)</f>
        <v>9999</v>
      </c>
      <c r="HZ518">
        <f>IF(AND(HB518&gt;=RULE_START,HC518=1,HO518&lt;0),HB518,9999)</f>
        <v>9999</v>
      </c>
      <c r="IB518" t="n">
        <v>2054</v>
      </c>
      <c r="IC518">
        <f>IF(IB518&lt;=RULE_START+$IB$38-1,1,0)</f>
        <v>0</v>
      </c>
      <c r="ID518" s="15">
        <f>IF(IB518=2024,G_IDX_2024,IF(IB518=2025,G_IDX_2025,IF(IB518=2026,G_IDX_2026,IF(IB518=2027,G_IDX_2027,$IB$13))))</f>
        <v>0.033</v>
      </c>
      <c r="IE518" s="8">
        <f>$IB$20*(1+G_HI)^(IB518-COST_DATE)</f>
        <v>1473.4130964126462</v>
      </c>
      <c r="IF518" s="8">
        <f>IF517*(1+ID518)</f>
        <v>1229.2309506283316</v>
      </c>
      <c r="IG518" s="8">
        <f>IF(IB518&lt;RULE_START,IF518,IG517*(1+G_HI))</f>
        <v>1491.9008305857772</v>
      </c>
      <c r="IH518" s="8">
        <f>IF(IB518&lt;RULE_START,IF518,IF(II518=1,R_NF_2024*(1+G_HI)^(IB518-2024),IH517*(1+ID518)))</f>
        <v>1570.4262873735481</v>
      </c>
      <c r="II518">
        <f>IF(AND(IB518&gt;=RULE_START,MOD(IB518-RULE_START,REBASE_YEARS)=0),1,0)</f>
        <v>1</v>
      </c>
      <c r="IJ518" s="8">
        <f>IF518*CAP_SHARE</f>
        <v>60.10611012804022</v>
      </c>
      <c r="IK518" s="8">
        <f>IG518*CAP_SHARE</f>
        <v>72.94996564922697</v>
      </c>
      <c r="IL518" s="8">
        <f>IH518*CAP_SHARE</f>
        <v>76.78965073942733</v>
      </c>
      <c r="IM518" s="8">
        <f>IF518-IJ518-IE518</f>
        <v>-304.28825591235477</v>
      </c>
      <c r="IN518" s="8">
        <f>IG518-IK518-IE518</f>
        <v>-54.462231476095894</v>
      </c>
      <c r="IO518" s="8">
        <f>IH518-IL518-IE518</f>
        <v>20.22354022147465</v>
      </c>
      <c r="IP518" s="8">
        <f>R_NF_2024*(1+G_HI)^(IB518-2024)</f>
        <v>1570.4262873735481</v>
      </c>
      <c r="IQ518" s="10">
        <f>1-IF518/IP518</f>
        <v>0.2172628791866742</v>
      </c>
      <c r="IR518" s="10">
        <f>CPI_2023/(IF(IB518-1=2023,CPI_2023,IF(IB518-1=2024,CPI_2024,IF(IB518-1=2025,CPI_2025,CPI_2025*(1+INFL)^(IB518-1-2025)))))</f>
        <v>0.49692153700285174</v>
      </c>
      <c r="IS518" s="8">
        <f>$IB$21*ABS($IB$11)*(IG518-IF518)/IF518</f>
        <v>21303.476346123636</v>
      </c>
      <c r="IT518" s="8">
        <f>$IB$21*ABS($IB$11)*(IH518-IF518)/IF518</f>
        <v>27672.174620618785</v>
      </c>
      <c r="IU518" s="13">
        <f>(IG518-IF518)*MCD_NF_DAYS*IR518-IS518*MCD_SHARE_FREED*R_WAIT_2023</f>
        <v>59082790.63332672</v>
      </c>
      <c r="IV518" s="13">
        <f>(IH518-IF518)*MCD_NF_DAYS*IR518-IT518*MCD_SHARE_FREED*R_WAIT_2023</f>
        <v>76745657.51220088</v>
      </c>
      <c r="IW518" s="10">
        <f>IF(AND(IB518&gt;=RULE_START,IC518=1),1/(1+$IB$12)^(IB518-RULE_START+1),0)</f>
        <v>0</v>
      </c>
      <c r="IX518">
        <f>IF(AND(IB518&gt;=RULE_START,IC518=1,IM518&lt;0),IB518,9999)</f>
        <v>9999</v>
      </c>
      <c r="IY518">
        <f>IF(AND(IB518&gt;=RULE_START,IC518=1,IN518&lt;0),IB518,9999)</f>
        <v>9999</v>
      </c>
      <c r="IZ518">
        <f>IF(AND(IB518&gt;=RULE_START,IC518=1,IO518&lt;0),IB518,9999)</f>
        <v>9999</v>
      </c>
      <c r="JB518" t="n">
        <v>2054</v>
      </c>
      <c r="JC518">
        <f>IF(JB518&lt;=RULE_START+$JB$38-1,1,0)</f>
        <v>0</v>
      </c>
      <c r="JD518" s="15">
        <f>IF(JB518=2024,G_IDX_2024,IF(JB518=2025,G_IDX_2025,IF(JB518=2026,G_IDX_2026,IF(JB518=2027,G_IDX_2027,$JB$13))))</f>
        <v>0.03</v>
      </c>
      <c r="JE518" s="8">
        <f>$JB$20*(1+G_HI)^(JB518-COST_DATE)</f>
        <v>1473.4130964126462</v>
      </c>
      <c r="JF518" s="8">
        <f>JF517*(1+JD518)</f>
        <v>1136.396461548906</v>
      </c>
      <c r="JG518" s="8">
        <f>IF(JB518&lt;RULE_START,JF518,JG517*(1+G_HI))</f>
        <v>1491.9008305857772</v>
      </c>
      <c r="JH518" s="8">
        <f>IF(JB518&lt;RULE_START,JF518,IF(JI518=1,R_NF_2024*(1+G_HI)^(JB518-2024),JH517*(1+JD518)))</f>
        <v>1570.4262873735481</v>
      </c>
      <c r="JI518">
        <f>IF(AND(JB518&gt;=RULE_START,MOD(JB518-RULE_START,REBASE_YEARS)=0),1,0)</f>
        <v>1</v>
      </c>
      <c r="JJ518" s="8">
        <f>JF518*CAP_SHARE</f>
        <v>55.566751579155586</v>
      </c>
      <c r="JK518" s="8">
        <f>JG518*CAP_SHARE</f>
        <v>72.94996564922697</v>
      </c>
      <c r="JL518" s="8">
        <f>JH518*CAP_SHARE</f>
        <v>76.78965073942733</v>
      </c>
      <c r="JM518" s="8">
        <f>JF518-JJ518-JE518</f>
        <v>-392.58338644289574</v>
      </c>
      <c r="JN518" s="8">
        <f>JG518-JK518-JE518</f>
        <v>-54.462231476095894</v>
      </c>
      <c r="JO518" s="8">
        <f>JH518-JL518-JE518</f>
        <v>20.22354022147465</v>
      </c>
      <c r="JP518" s="8">
        <f>R_NF_2024*(1+G_HI)^(JB518-2024)</f>
        <v>1570.4262873735481</v>
      </c>
      <c r="JQ518" s="10">
        <f>1-JF518/JP518</f>
        <v>0.276377076284512</v>
      </c>
      <c r="JR518" s="10">
        <f>CPI_2023/(IF(JB518-1=2023,CPI_2023,IF(JB518-1=2024,CPI_2024,IF(JB518-1=2025,CPI_2025,CPI_2025*(1+INFL)^(JB518-1-2025)))))</f>
        <v>0.49692153700285174</v>
      </c>
      <c r="JS518" s="8">
        <f>$JB$21*ABS($JB$11)*(JG518-JF518)/JF518</f>
        <v>31188.088587417886</v>
      </c>
      <c r="JT518" s="8">
        <f>$JB$21*ABS($JB$11)*(JH518-JF518)/JF518</f>
        <v>38077.058501625754</v>
      </c>
      <c r="JU518" s="13">
        <f>(JG518-JF518)*MCD_NF_DAYS*JR518-JS518*MCD_SHARE_FREED*R_WAIT_2023</f>
        <v>78893168.52292702</v>
      </c>
      <c r="JV518" s="13">
        <f>(JH518-JF518)*MCD_NF_DAYS*JR518-JT518*MCD_SHARE_FREED*R_WAIT_2023</f>
        <v>96319458.14204253</v>
      </c>
      <c r="JW518" s="10">
        <f>IF(AND(JB518&gt;=RULE_START,JC518=1),1/(1+$JB$12)^(JB518-RULE_START+1),0)</f>
        <v>0</v>
      </c>
      <c r="JX518">
        <f>IF(AND(JB518&gt;=RULE_START,JC518=1,JM518&lt;0),JB518,9999)</f>
        <v>9999</v>
      </c>
      <c r="JY518">
        <f>IF(AND(JB518&gt;=RULE_START,JC518=1,JN518&lt;0),JB518,9999)</f>
        <v>9999</v>
      </c>
      <c r="JZ518">
        <f>IF(AND(JB518&gt;=RULE_START,JC518=1,JO518&lt;0),JB518,9999)</f>
        <v>9999</v>
      </c>
      <c r="KB518" t="n">
        <v>2054</v>
      </c>
      <c r="KC518">
        <f>IF(KB518&lt;=RULE_START+$KB$38-1,1,0)</f>
        <v>0</v>
      </c>
      <c r="KD518" s="15">
        <f>IF(KB518=2024,G_IDX_2024,IF(KB518=2025,G_IDX_2025,IF(KB518=2026,G_IDX_2026,IF(KB518=2027,G_IDX_2027,$KB$13))))</f>
        <v>0.033</v>
      </c>
      <c r="KE518" s="8">
        <f>$KB$20*(1+G_HI)^(KB518-COST_DATE)</f>
        <v>1473.4130964126462</v>
      </c>
      <c r="KF518" s="8">
        <f>KF517*(1+KD518)</f>
        <v>1229.2309506283316</v>
      </c>
      <c r="KG518" s="8">
        <f>IF(KB518&lt;RULE_START,KF518,KG517*(1+G_HI))</f>
        <v>1491.9008305857772</v>
      </c>
      <c r="KH518" s="8">
        <f>IF(KB518&lt;RULE_START,KF518,IF(KI518=1,R_NF_2024*(1+G_HI)^(KB518-2024),KH517*(1+KD518)))</f>
        <v>1570.4262873735481</v>
      </c>
      <c r="KI518">
        <f>IF(AND(KB518&gt;=RULE_START,MOD(KB518-RULE_START,REBASE_YEARS)=0),1,0)</f>
        <v>1</v>
      </c>
      <c r="KJ518" s="8">
        <f>KF518*CAP_SHARE</f>
        <v>60.10611012804022</v>
      </c>
      <c r="KK518" s="8">
        <f>KG518*CAP_SHARE</f>
        <v>72.94996564922697</v>
      </c>
      <c r="KL518" s="8">
        <f>KH518*CAP_SHARE</f>
        <v>76.78965073942733</v>
      </c>
      <c r="KM518" s="8">
        <f>KF518-KJ518-KE518</f>
        <v>-304.28825591235477</v>
      </c>
      <c r="KN518" s="8">
        <f>KG518-KK518-KE518</f>
        <v>-54.462231476095894</v>
      </c>
      <c r="KO518" s="8">
        <f>KH518-KL518-KE518</f>
        <v>20.22354022147465</v>
      </c>
      <c r="KP518" s="8">
        <f>R_NF_2024*(1+G_HI)^(KB518-2024)</f>
        <v>1570.4262873735481</v>
      </c>
      <c r="KQ518" s="10">
        <f>1-KF518/KP518</f>
        <v>0.2172628791866742</v>
      </c>
      <c r="KR518" s="10">
        <f>CPI_2023/(IF(KB518-1=2023,CPI_2023,IF(KB518-1=2024,CPI_2024,IF(KB518-1=2025,CPI_2025,CPI_2025*(1+INFL)^(KB518-1-2025)))))</f>
        <v>0.49692153700285174</v>
      </c>
      <c r="KS518" s="8">
        <f>$KB$21*ABS($KB$11)*(KG518-KF518)/KF518</f>
        <v>21303.476346123636</v>
      </c>
      <c r="KT518" s="8">
        <f>$KB$21*ABS($KB$11)*(KH518-KF518)/KF518</f>
        <v>27672.174620618785</v>
      </c>
      <c r="KU518" s="13">
        <f>(KG518-KF518)*MCD_NF_DAYS*KR518-KS518*MCD_SHARE_FREED*R_WAIT_2023</f>
        <v>59082790.63332672</v>
      </c>
      <c r="KV518" s="13">
        <f>(KH518-KF518)*MCD_NF_DAYS*KR518-KT518*MCD_SHARE_FREED*R_WAIT_2023</f>
        <v>76745657.51220088</v>
      </c>
      <c r="KW518" s="10">
        <f>IF(AND(KB518&gt;=RULE_START,KC518=1),1/(1+$KB$12)^(KB518-RULE_START+1),0)</f>
        <v>0</v>
      </c>
      <c r="KX518">
        <f>IF(AND(KB518&gt;=RULE_START,KC518=1,KM518&lt;0),KB518,9999)</f>
        <v>9999</v>
      </c>
      <c r="KY518">
        <f>IF(AND(KB518&gt;=RULE_START,KC518=1,KN518&lt;0),KB518,9999)</f>
        <v>9999</v>
      </c>
      <c r="KZ518">
        <f>IF(AND(KB518&gt;=RULE_START,KC518=1,KO518&lt;0),KB518,9999)</f>
        <v>9999</v>
      </c>
      <c r="LB518" t="n">
        <v>2054</v>
      </c>
      <c r="LC518">
        <f>IF(LB518&lt;=RULE_START+$LB$38-1,1,0)</f>
        <v>0</v>
      </c>
      <c r="LD518" s="15">
        <f>IF(LB518=2024,G_IDX_2024,IF(LB518=2025,G_IDX_2025,IF(LB518=2026,G_IDX_2026,IF(LB518=2027,G_IDX_2027,$LB$13))))</f>
        <v>0.033</v>
      </c>
      <c r="LE518" s="8">
        <f>$LB$20*(1+G_HI)^(LB518-COST_DATE)</f>
        <v>1473.4130964126462</v>
      </c>
      <c r="LF518" s="8">
        <f>LF517*(1+LD518)</f>
        <v>1229.2309506283316</v>
      </c>
      <c r="LG518" s="8">
        <f>IF(LB518&lt;RULE_START,LF518,LG517*(1+G_HI))</f>
        <v>1491.9008305857772</v>
      </c>
      <c r="LH518" s="8">
        <f>IF(LB518&lt;RULE_START,LF518,IF(LI518=1,R_NF_2024*(1+G_HI)^(LB518-2024),LH517*(1+LD518)))</f>
        <v>1570.4262873735481</v>
      </c>
      <c r="LI518">
        <f>IF(AND(LB518&gt;=RULE_START,MOD(LB518-RULE_START,REBASE_YEARS)=0),1,0)</f>
        <v>1</v>
      </c>
      <c r="LJ518" s="8">
        <f>LF518*CAP_SHARE</f>
        <v>60.10611012804022</v>
      </c>
      <c r="LK518" s="8">
        <f>LG518*CAP_SHARE</f>
        <v>72.94996564922697</v>
      </c>
      <c r="LL518" s="8">
        <f>LH518*CAP_SHARE</f>
        <v>76.78965073942733</v>
      </c>
      <c r="LM518" s="8">
        <f>LF518-LJ518-LE518</f>
        <v>-304.28825591235477</v>
      </c>
      <c r="LN518" s="8">
        <f>LG518-LK518-LE518</f>
        <v>-54.462231476095894</v>
      </c>
      <c r="LO518" s="8">
        <f>LH518-LL518-LE518</f>
        <v>20.22354022147465</v>
      </c>
      <c r="LP518" s="8">
        <f>R_NF_2024*(1+G_HI)^(LB518-2024)</f>
        <v>1570.4262873735481</v>
      </c>
      <c r="LQ518" s="10">
        <f>1-LF518/LP518</f>
        <v>0.2172628791866742</v>
      </c>
      <c r="LR518" s="10">
        <f>CPI_2023/(IF(LB518-1=2023,CPI_2023,IF(LB518-1=2024,CPI_2024,IF(LB518-1=2025,CPI_2025,CPI_2025*(1+INFL)^(LB518-1-2025)))))</f>
        <v>0.49692153700285174</v>
      </c>
      <c r="LS518" s="8">
        <f>$LB$21*ABS($LB$11)*(LG518-LF518)/LF518</f>
        <v>21303.476346123636</v>
      </c>
      <c r="LT518" s="8">
        <f>$LB$21*ABS($LB$11)*(LH518-LF518)/LF518</f>
        <v>27672.174620618785</v>
      </c>
      <c r="LU518" s="13">
        <f>(LG518-LF518)*MCD_NF_DAYS*LR518-LS518*MCD_SHARE_FREED*R_WAIT_2023</f>
        <v>59082790.63332672</v>
      </c>
      <c r="LV518" s="13">
        <f>(LH518-LF518)*MCD_NF_DAYS*LR518-LT518*MCD_SHARE_FREED*R_WAIT_2023</f>
        <v>76745657.51220088</v>
      </c>
      <c r="LW518" s="10">
        <f>IF(AND(LB518&gt;=RULE_START,LC518=1),1/(1+$LB$12)^(LB518-RULE_START+1),0)</f>
        <v>0</v>
      </c>
      <c r="LX518">
        <f>IF(AND(LB518&gt;=RULE_START,LC518=1,LM518&lt;0),LB518,9999)</f>
        <v>9999</v>
      </c>
      <c r="LY518">
        <f>IF(AND(LB518&gt;=RULE_START,LC518=1,LN518&lt;0),LB518,9999)</f>
        <v>9999</v>
      </c>
      <c r="LZ518">
        <f>IF(AND(LB518&gt;=RULE_START,LC518=1,LO518&lt;0),LB518,9999)</f>
        <v>9999</v>
      </c>
      <c r="MB518" t="n">
        <v>2054</v>
      </c>
      <c r="MC518">
        <f>IF(MB518&lt;=RULE_START+$MB$38-1,1,0)</f>
        <v>0</v>
      </c>
      <c r="MD518" s="15">
        <f>IF(MB518=2024,G_IDX_2024,IF(MB518=2025,G_IDX_2025,IF(MB518=2026,G_IDX_2026,IF(MB518=2027,G_IDX_2027,$MB$13))))</f>
        <v>0.033</v>
      </c>
      <c r="ME518" s="8">
        <f>$MB$20*(1+G_HI)^(MB518-COST_DATE)</f>
        <v>1473.4130964126462</v>
      </c>
      <c r="MF518" s="8">
        <f>MF517*(1+MD518)</f>
        <v>1229.2309506283316</v>
      </c>
      <c r="MG518" s="8">
        <f>IF(MB518&lt;RULE_START,MF518,MG517*(1+G_HI))</f>
        <v>1491.9008305857772</v>
      </c>
      <c r="MH518" s="8">
        <f>IF(MB518&lt;RULE_START,MF518,IF(MI518=1,R_NF_2024*(1+G_HI)^(MB518-2024),MH517*(1+MD518)))</f>
        <v>1570.4262873735481</v>
      </c>
      <c r="MI518">
        <f>IF(AND(MB518&gt;=RULE_START,MOD(MB518-RULE_START,REBASE_YEARS)=0),1,0)</f>
        <v>1</v>
      </c>
      <c r="MJ518" s="8">
        <f>MF518*CAP_SHARE</f>
        <v>60.10611012804022</v>
      </c>
      <c r="MK518" s="8">
        <f>MG518*CAP_SHARE</f>
        <v>72.94996564922697</v>
      </c>
      <c r="ML518" s="8">
        <f>MH518*CAP_SHARE</f>
        <v>76.78965073942733</v>
      </c>
      <c r="MM518" s="8">
        <f>MF518-MJ518-ME518</f>
        <v>-304.28825591235477</v>
      </c>
      <c r="MN518" s="8">
        <f>MG518-MK518-ME518</f>
        <v>-54.462231476095894</v>
      </c>
      <c r="MO518" s="8">
        <f>MH518-ML518-ME518</f>
        <v>20.22354022147465</v>
      </c>
      <c r="MP518" s="8">
        <f>R_NF_2024*(1+G_HI)^(MB518-2024)</f>
        <v>1570.4262873735481</v>
      </c>
      <c r="MQ518" s="10">
        <f>1-MF518/MP518</f>
        <v>0.2172628791866742</v>
      </c>
      <c r="MR518" s="10">
        <f>CPI_2023/(IF(MB518-1=2023,CPI_2023,IF(MB518-1=2024,CPI_2024,IF(MB518-1=2025,CPI_2025,CPI_2025*(1+INFL)^(MB518-1-2025)))))</f>
        <v>0.49692153700285174</v>
      </c>
      <c r="MS518" s="8">
        <f>$MB$21*ABS($MB$11)*(MG518-MF518)/MF518</f>
        <v>15606.705730009779</v>
      </c>
      <c r="MT518" s="8">
        <f>$MB$21*ABS($MB$11)*(MH518-MF518)/MF518</f>
        <v>20272.34800540079</v>
      </c>
      <c r="MU518" s="13">
        <f>(MG518-MF518)*MCD_NF_DAYS*MR518-MS518*MCD_SHARE_FREED*R_WAIT_2023</f>
        <v>61673218.93839051</v>
      </c>
      <c r="MV518" s="13">
        <f>(MH518-MF518)*MCD_NF_DAYS*MR518-MT518*MCD_SHARE_FREED*R_WAIT_2023</f>
        <v>80110497.27991147</v>
      </c>
      <c r="MW518" s="10">
        <f>IF(AND(MB518&gt;=RULE_START,MC518=1),1/(1+$MB$12)^(MB518-RULE_START+1),0)</f>
        <v>0</v>
      </c>
      <c r="MX518">
        <f>IF(AND(MB518&gt;=RULE_START,MC518=1,MM518&lt;0),MB518,9999)</f>
        <v>9999</v>
      </c>
      <c r="MY518">
        <f>IF(AND(MB518&gt;=RULE_START,MC518=1,MN518&lt;0),MB518,9999)</f>
        <v>9999</v>
      </c>
      <c r="MZ518">
        <f>IF(AND(MB518&gt;=RULE_START,MC518=1,MO518&lt;0),MB518,9999)</f>
        <v>9999</v>
      </c>
      <c r="NB518" t="n">
        <v>2054</v>
      </c>
      <c r="NC518">
        <f>IF(NB518&lt;=RULE_START+$NB$38-1,1,0)</f>
        <v>0</v>
      </c>
      <c r="ND518" s="15">
        <f>IF(NB518=2024,G_IDX_2024,IF(NB518=2025,G_IDX_2025,IF(NB518=2026,G_IDX_2026,IF(NB518=2027,G_IDX_2027,$NB$13))))</f>
        <v>0.033</v>
      </c>
      <c r="NE518" s="8">
        <f>$NB$20*(1+G_HI)^(NB518-COST_DATE)</f>
        <v>1473.4130964126462</v>
      </c>
      <c r="NF518" s="8">
        <f>NF517*(1+ND518)</f>
        <v>1229.2309506283316</v>
      </c>
      <c r="NG518" s="8">
        <f>IF(NB518&lt;RULE_START,NF518,NG517*(1+G_HI))</f>
        <v>1491.9008305857772</v>
      </c>
      <c r="NH518" s="8">
        <f>IF(NB518&lt;RULE_START,NF518,IF(NI518=1,R_NF_2024*(1+G_HI)^(NB518-2024),NH517*(1+ND518)))</f>
        <v>1570.4262873735481</v>
      </c>
      <c r="NI518">
        <f>IF(AND(NB518&gt;=RULE_START,MOD(NB518-RULE_START,REBASE_YEARS)=0),1,0)</f>
        <v>1</v>
      </c>
      <c r="NJ518" s="8">
        <f>NF518*CAP_SHARE</f>
        <v>60.10611012804022</v>
      </c>
      <c r="NK518" s="8">
        <f>NG518*CAP_SHARE</f>
        <v>72.94996564922697</v>
      </c>
      <c r="NL518" s="8">
        <f>NH518*CAP_SHARE</f>
        <v>76.78965073942733</v>
      </c>
      <c r="NM518" s="8">
        <f>NF518-NJ518-NE518</f>
        <v>-304.28825591235477</v>
      </c>
      <c r="NN518" s="8">
        <f>NG518-NK518-NE518</f>
        <v>-54.462231476095894</v>
      </c>
      <c r="NO518" s="8">
        <f>NH518-NL518-NE518</f>
        <v>20.22354022147465</v>
      </c>
      <c r="NP518" s="8">
        <f>R_NF_2024*(1+G_HI)^(NB518-2024)</f>
        <v>1570.4262873735481</v>
      </c>
      <c r="NQ518" s="10">
        <f>1-NF518/NP518</f>
        <v>0.2172628791866742</v>
      </c>
      <c r="NR518" s="10">
        <f>CPI_2023/(IF(NB518-1=2023,CPI_2023,IF(NB518-1=2024,CPI_2024,IF(NB518-1=2025,CPI_2025,CPI_2025*(1+INFL)^(NB518-1-2025)))))</f>
        <v>0.49692153700285174</v>
      </c>
      <c r="NS518" s="8">
        <f>$NB$21*ABS($NB$11)*(NG518-NF518)/NF518</f>
        <v>21303.476346123636</v>
      </c>
      <c r="NT518" s="8">
        <f>$NB$21*ABS($NB$11)*(NH518-NF518)/NF518</f>
        <v>27672.174620618785</v>
      </c>
      <c r="NU518" s="13">
        <f>(NG518-NF518)*MCD_NF_DAYS*NR518-NS518*MCD_SHARE_FREED*R_WAIT_2023</f>
        <v>59082790.63332672</v>
      </c>
      <c r="NV518" s="13">
        <f>(NH518-NF518)*MCD_NF_DAYS*NR518-NT518*MCD_SHARE_FREED*R_WAIT_2023</f>
        <v>76745657.51220088</v>
      </c>
      <c r="NW518" s="10">
        <f>IF(AND(NB518&gt;=RULE_START,NC518=1),1/(1+$NB$12)^(NB518-RULE_START+1),0)</f>
        <v>0</v>
      </c>
      <c r="NX518">
        <f>IF(AND(NB518&gt;=RULE_START,NC518=1,NM518&lt;0),NB518,9999)</f>
        <v>9999</v>
      </c>
      <c r="NY518">
        <f>IF(AND(NB518&gt;=RULE_START,NC518=1,NN518&lt;0),NB518,9999)</f>
        <v>9999</v>
      </c>
      <c r="NZ518">
        <f>IF(AND(NB518&gt;=RULE_START,NC518=1,NO518&lt;0),NB518,9999)</f>
        <v>9999</v>
      </c>
      <c r="OB518" t="n">
        <v>2054</v>
      </c>
      <c r="OC518">
        <f>IF(OB518&lt;=RULE_START+$OB$38-1,1,0)</f>
        <v>0</v>
      </c>
      <c r="OD518" s="15">
        <f>IF(OB518=2024,G_IDX_2024,IF(OB518=2025,G_IDX_2025,IF(OB518=2026,G_IDX_2026,IF(OB518=2027,G_IDX_2027,$OB$13))))</f>
        <v>0.033</v>
      </c>
      <c r="OE518" s="8">
        <f>$OB$20*(1+G_HI)^(OB518-COST_DATE)</f>
        <v>1473.4130964126462</v>
      </c>
      <c r="OF518" s="8">
        <f>OF517*(1+OD518)</f>
        <v>1229.2309506283316</v>
      </c>
      <c r="OG518" s="8">
        <f>IF(OB518&lt;RULE_START,OF518,OG517*(1+G_HI))</f>
        <v>1491.9008305857772</v>
      </c>
      <c r="OH518" s="8">
        <f>IF(OB518&lt;RULE_START,OF518,IF(OI518=1,R_NF_2024*(1+G_HI)^(OB518-2024),OH517*(1+OD518)))</f>
        <v>1570.4262873735481</v>
      </c>
      <c r="OI518">
        <f>IF(AND(OB518&gt;=RULE_START,MOD(OB518-RULE_START,REBASE_YEARS)=0),1,0)</f>
        <v>1</v>
      </c>
      <c r="OJ518" s="8">
        <f>OF518*CAP_SHARE</f>
        <v>60.10611012804022</v>
      </c>
      <c r="OK518" s="8">
        <f>OG518*CAP_SHARE</f>
        <v>72.94996564922697</v>
      </c>
      <c r="OL518" s="8">
        <f>OH518*CAP_SHARE</f>
        <v>76.78965073942733</v>
      </c>
      <c r="OM518" s="8">
        <f>OF518-OJ518-OE518</f>
        <v>-304.28825591235477</v>
      </c>
      <c r="ON518" s="8">
        <f>OG518-OK518-OE518</f>
        <v>-54.462231476095894</v>
      </c>
      <c r="OO518" s="8">
        <f>OH518-OL518-OE518</f>
        <v>20.22354022147465</v>
      </c>
      <c r="OP518" s="8">
        <f>R_NF_2024*(1+G_HI)^(OB518-2024)</f>
        <v>1570.4262873735481</v>
      </c>
      <c r="OQ518" s="10">
        <f>1-OF518/OP518</f>
        <v>0.2172628791866742</v>
      </c>
      <c r="OR518" s="10">
        <f>CPI_2023/(IF(OB518-1=2023,CPI_2023,IF(OB518-1=2024,CPI_2024,IF(OB518-1=2025,CPI_2025,CPI_2025*(1+INFL)^(OB518-1-2025)))))</f>
        <v>0.49692153700285174</v>
      </c>
      <c r="OS518" s="8">
        <f>$OB$21*ABS($OB$11)*(OG518-OF518)/OF518</f>
        <v>21303.476346123636</v>
      </c>
      <c r="OT518" s="8">
        <f>$OB$21*ABS($OB$11)*(OH518-OF518)/OF518</f>
        <v>27672.174620618785</v>
      </c>
      <c r="OU518" s="13">
        <f>(OG518-OF518)*MCD_NF_DAYS*OR518-OS518*MCD_SHARE_FREED*R_WAIT_2023</f>
        <v>59082790.63332672</v>
      </c>
      <c r="OV518" s="13">
        <f>(OH518-OF518)*MCD_NF_DAYS*OR518-OT518*MCD_SHARE_FREED*R_WAIT_2023</f>
        <v>76745657.51220088</v>
      </c>
      <c r="OW518" s="10">
        <f>IF(AND(OB518&gt;=RULE_START,OC518=1),1/(1+$OB$12)^(OB518-RULE_START+1),0)</f>
        <v>0</v>
      </c>
      <c r="OX518">
        <f>IF(AND(OB518&gt;=RULE_START,OC518=1,OM518&lt;0),OB518,9999)</f>
        <v>9999</v>
      </c>
      <c r="OY518">
        <f>IF(AND(OB518&gt;=RULE_START,OC518=1,ON518&lt;0),OB518,9999)</f>
        <v>9999</v>
      </c>
      <c r="OZ518">
        <f>IF(AND(OB518&gt;=RULE_START,OC518=1,OO518&lt;0),OB518,9999)</f>
        <v>9999</v>
      </c>
    </row>
    <row r="519">
      <c r="B519" t="n">
        <v>2055</v>
      </c>
      <c r="C519">
        <f>IF(B519&lt;=RULE_START+$B$38-1,1,0)</f>
        <v>0</v>
      </c>
      <c r="D519" s="15">
        <f>IF(B519=2024,G_IDX_2024,IF(B519=2025,G_IDX_2025,IF(B519=2026,G_IDX_2026,IF(B519=2027,G_IDX_2027,$B$13))))</f>
        <v>0.033</v>
      </c>
      <c r="E519" s="8">
        <f>$B$20*(1+G_HI)^(B519-COST_DATE)</f>
        <v>1532.599394854109</v>
      </c>
      <c r="F519" s="8">
        <f>F518*(1+D519)</f>
        <v>1269.7955719990664</v>
      </c>
      <c r="G519" s="8">
        <f>IF(B519&lt;RULE_START,F519,G518*(1+G_HI))</f>
        <v>1551.8297724548988</v>
      </c>
      <c r="H519" s="8">
        <f>IF(B519&lt;RULE_START,F519,IF(I519=1,R_NF_2024*(1+G_HI)^(B519-2024),H518*(1+D519)))</f>
        <v>1622.250354856875</v>
      </c>
      <c r="I519">
        <f>IF(AND(B519&gt;=RULE_START,MOD(B519-RULE_START,REBASE_YEARS)=0),1,0)</f>
        <v>0</v>
      </c>
      <c r="J519" s="8">
        <f>F519*CAP_SHARE</f>
        <v>62.08961176226554</v>
      </c>
      <c r="K519" s="8">
        <f>G519*CAP_SHARE</f>
        <v>75.8803308324345</v>
      </c>
      <c r="L519" s="8">
        <f>H519*CAP_SHARE</f>
        <v>79.32370921382842</v>
      </c>
      <c r="M519" s="8">
        <f>F519-J519-E519</f>
        <v>-324.89343461730823</v>
      </c>
      <c r="N519" s="8">
        <f>G519-K519-E519</f>
        <v>-56.64995323164476</v>
      </c>
      <c r="O519" s="8">
        <f>H519-L519-E519</f>
        <v>10.32725078893759</v>
      </c>
      <c r="P519" s="8">
        <f>R_NF_2024*(1+G_HI)^(B519-2024)</f>
        <v>1633.5095592347195</v>
      </c>
      <c r="Q519" s="10">
        <f>1-F519/P519</f>
        <v>0.22265800966971316</v>
      </c>
      <c r="R519" s="10">
        <f>CPI_2023/(IF(B519-1=2023,CPI_2023,IF(B519-1=2024,CPI_2024,IF(B519-1=2025,CPI_2025,CPI_2025*(1+INFL)^(B519-1-2025)))))</f>
        <v>0.48584428725347256</v>
      </c>
      <c r="S519" s="8">
        <f>$B$21*ABS($B$11)*(G519-F519)/F519</f>
        <v>22143.26496215822</v>
      </c>
      <c r="T519" s="8">
        <f>$B$21*ABS($B$11)*(H519-F519)/F519</f>
        <v>27672.17462061878</v>
      </c>
      <c r="U519" s="13">
        <f>(G519-F519)*MCD_NF_DAYS*R519-S519*MCD_SHARE_FREED*R_WAIT_2023</f>
        <v>62124700.935393974</v>
      </c>
      <c r="V519" s="13">
        <f>(H519-F519)*MCD_NF_DAYS*R519-T519*MCD_SHARE_FREED*R_WAIT_2023</f>
        <v>77636499.20081092</v>
      </c>
      <c r="W519" s="10">
        <f>IF(AND(B519&gt;=RULE_START,C519=1),1/(1+$B$12)^(B519-RULE_START+1),0)</f>
        <v>0</v>
      </c>
      <c r="X519">
        <f>IF(AND(B519&gt;=RULE_START,C519=1,M519&lt;0),B519,9999)</f>
        <v>9999</v>
      </c>
      <c r="Y519">
        <f>IF(AND(B519&gt;=RULE_START,C519=1,N519&lt;0),B519,9999)</f>
        <v>9999</v>
      </c>
      <c r="Z519">
        <f>IF(AND(B519&gt;=RULE_START,C519=1,O519&lt;0),B519,9999)</f>
        <v>9999</v>
      </c>
      <c r="AB519" t="n">
        <v>2055</v>
      </c>
      <c r="AC519">
        <f>IF(AB519&lt;=RULE_START+$AB$38-1,1,0)</f>
        <v>0</v>
      </c>
      <c r="AD519" s="15">
        <f>IF(AB519=2024,G_IDX_2024,IF(AB519=2025,G_IDX_2025,IF(AB519=2026,G_IDX_2026,IF(AB519=2027,G_IDX_2027,$AB$13))))</f>
        <v>0.033</v>
      </c>
      <c r="AE519" s="8">
        <f>$AB$20*(1+G_HI)^(AB519-COST_DATE)</f>
        <v>1532.599394854109</v>
      </c>
      <c r="AF519" s="8">
        <f>AF518*(1+AD519)</f>
        <v>1269.7955719990664</v>
      </c>
      <c r="AG519" s="8">
        <f>IF(AB519&lt;RULE_START,AF519,AG518*(1+G_HI))</f>
        <v>1551.8297724548988</v>
      </c>
      <c r="AH519" s="8">
        <f>IF(AB519&lt;RULE_START,AF519,IF(AI519=1,R_NF_2024*(1+G_HI)^(AB519-2024),AH518*(1+AD519)))</f>
        <v>1622.250354856875</v>
      </c>
      <c r="AI519">
        <f>IF(AND(AB519&gt;=RULE_START,MOD(AB519-RULE_START,REBASE_YEARS)=0),1,0)</f>
        <v>0</v>
      </c>
      <c r="AJ519" s="8">
        <f>AF519*CAP_SHARE</f>
        <v>62.08961176226554</v>
      </c>
      <c r="AK519" s="8">
        <f>AG519*CAP_SHARE</f>
        <v>75.8803308324345</v>
      </c>
      <c r="AL519" s="8">
        <f>AH519*CAP_SHARE</f>
        <v>79.32370921382842</v>
      </c>
      <c r="AM519" s="8">
        <f>AF519-AJ519-AE519</f>
        <v>-324.89343461730823</v>
      </c>
      <c r="AN519" s="8">
        <f>AG519-AK519-AE519</f>
        <v>-56.64995323164476</v>
      </c>
      <c r="AO519" s="8">
        <f>AH519-AL519-AE519</f>
        <v>10.32725078893759</v>
      </c>
      <c r="AP519" s="8">
        <f>R_NF_2024*(1+G_HI)^(AB519-2024)</f>
        <v>1633.5095592347195</v>
      </c>
      <c r="AQ519" s="10">
        <f>1-AF519/AP519</f>
        <v>0.22265800966971316</v>
      </c>
      <c r="AR519" s="10">
        <f>CPI_2023/(IF(AB519-1=2023,CPI_2023,IF(AB519-1=2024,CPI_2024,IF(AB519-1=2025,CPI_2025,CPI_2025*(1+INFL)^(AB519-1-2025)))))</f>
        <v>0.48584428725347256</v>
      </c>
      <c r="AS519" s="8">
        <f>$AB$21*ABS($AB$11)*(AG519-AF519)/AF519</f>
        <v>22143.26496215822</v>
      </c>
      <c r="AT519" s="8">
        <f>$AB$21*ABS($AB$11)*(AH519-AF519)/AF519</f>
        <v>27672.17462061878</v>
      </c>
      <c r="AU519" s="13">
        <f>(AG519-AF519)*MCD_NF_DAYS*AR519-AS519*MCD_SHARE_FREED*R_WAIT_2023</f>
        <v>62124700.935393974</v>
      </c>
      <c r="AV519" s="13">
        <f>(AH519-AF519)*MCD_NF_DAYS*AR519-AT519*MCD_SHARE_FREED*R_WAIT_2023</f>
        <v>77636499.20081092</v>
      </c>
      <c r="AW519" s="10">
        <f>IF(AND(AB519&gt;=RULE_START,AC519=1),1/(1+$AB$12)^(AB519-RULE_START+1),0)</f>
        <v>0</v>
      </c>
      <c r="AX519">
        <f>IF(AND(AB519&gt;=RULE_START,AC519=1,AM519&lt;0),AB519,9999)</f>
        <v>9999</v>
      </c>
      <c r="AY519">
        <f>IF(AND(AB519&gt;=RULE_START,AC519=1,AN519&lt;0),AB519,9999)</f>
        <v>9999</v>
      </c>
      <c r="AZ519">
        <f>IF(AND(AB519&gt;=RULE_START,AC519=1,AO519&lt;0),AB519,9999)</f>
        <v>9999</v>
      </c>
      <c r="BB519" t="n">
        <v>2055</v>
      </c>
      <c r="BC519">
        <f>IF(BB519&lt;=RULE_START+$BB$38-1,1,0)</f>
        <v>0</v>
      </c>
      <c r="BD519" s="15">
        <f>IF(BB519=2024,G_IDX_2024,IF(BB519=2025,G_IDX_2025,IF(BB519=2026,G_IDX_2026,IF(BB519=2027,G_IDX_2027,$BB$13))))</f>
        <v>0.033</v>
      </c>
      <c r="BE519" s="8">
        <f>$BB$20*(1+G_HI)^(BB519-COST_DATE)</f>
        <v>1532.599394854109</v>
      </c>
      <c r="BF519" s="8">
        <f>BF518*(1+BD519)</f>
        <v>1269.7955719990664</v>
      </c>
      <c r="BG519" s="8">
        <f>IF(BB519&lt;RULE_START,BF519,BG518*(1+G_HI))</f>
        <v>1551.8297724548988</v>
      </c>
      <c r="BH519" s="8">
        <f>IF(BB519&lt;RULE_START,BF519,IF(BI519=1,R_NF_2024*(1+G_HI)^(BB519-2024),BH518*(1+BD519)))</f>
        <v>1622.250354856875</v>
      </c>
      <c r="BI519">
        <f>IF(AND(BB519&gt;=RULE_START,MOD(BB519-RULE_START,REBASE_YEARS)=0),1,0)</f>
        <v>0</v>
      </c>
      <c r="BJ519" s="8">
        <f>BF519*CAP_SHARE</f>
        <v>62.08961176226554</v>
      </c>
      <c r="BK519" s="8">
        <f>BG519*CAP_SHARE</f>
        <v>75.8803308324345</v>
      </c>
      <c r="BL519" s="8">
        <f>BH519*CAP_SHARE</f>
        <v>79.32370921382842</v>
      </c>
      <c r="BM519" s="8">
        <f>BF519-BJ519-BE519</f>
        <v>-324.89343461730823</v>
      </c>
      <c r="BN519" s="8">
        <f>BG519-BK519-BE519</f>
        <v>-56.64995323164476</v>
      </c>
      <c r="BO519" s="8">
        <f>BH519-BL519-BE519</f>
        <v>10.32725078893759</v>
      </c>
      <c r="BP519" s="8">
        <f>R_NF_2024*(1+G_HI)^(BB519-2024)</f>
        <v>1633.5095592347195</v>
      </c>
      <c r="BQ519" s="10">
        <f>1-BF519/BP519</f>
        <v>0.22265800966971316</v>
      </c>
      <c r="BR519" s="10">
        <f>CPI_2023/(IF(BB519-1=2023,CPI_2023,IF(BB519-1=2024,CPI_2024,IF(BB519-1=2025,CPI_2025,CPI_2025*(1+INFL)^(BB519-1-2025)))))</f>
        <v>0.48584428725347256</v>
      </c>
      <c r="BS519" s="8">
        <f>$BB$21*ABS($BB$11)*(BG519-BF519)/BF519</f>
        <v>22143.26496215822</v>
      </c>
      <c r="BT519" s="8">
        <f>$BB$21*ABS($BB$11)*(BH519-BF519)/BF519</f>
        <v>27672.17462061878</v>
      </c>
      <c r="BU519" s="13">
        <f>(BG519-BF519)*MCD_NF_DAYS*BR519-BS519*MCD_SHARE_FREED*R_WAIT_2023</f>
        <v>62124700.935393974</v>
      </c>
      <c r="BV519" s="13">
        <f>(BH519-BF519)*MCD_NF_DAYS*BR519-BT519*MCD_SHARE_FREED*R_WAIT_2023</f>
        <v>77636499.20081092</v>
      </c>
      <c r="BW519" s="10">
        <f>IF(AND(BB519&gt;=RULE_START,BC519=1),1/(1+$BB$12)^(BB519-RULE_START+1),0)</f>
        <v>0</v>
      </c>
      <c r="BX519">
        <f>IF(AND(BB519&gt;=RULE_START,BC519=1,BM519&lt;0),BB519,9999)</f>
        <v>9999</v>
      </c>
      <c r="BY519">
        <f>IF(AND(BB519&gt;=RULE_START,BC519=1,BN519&lt;0),BB519,9999)</f>
        <v>9999</v>
      </c>
      <c r="BZ519">
        <f>IF(AND(BB519&gt;=RULE_START,BC519=1,BO519&lt;0),BB519,9999)</f>
        <v>9999</v>
      </c>
      <c r="CB519" t="n">
        <v>2055</v>
      </c>
      <c r="CC519">
        <f>IF(CB519&lt;=RULE_START+$CB$38-1,1,0)</f>
        <v>1</v>
      </c>
      <c r="CD519" s="15">
        <f>IF(CB519=2024,G_IDX_2024,IF(CB519=2025,G_IDX_2025,IF(CB519=2026,G_IDX_2026,IF(CB519=2027,G_IDX_2027,$CB$13))))</f>
        <v>0.033</v>
      </c>
      <c r="CE519" s="8">
        <f>$CB$20*(1+G_HI)^(CB519-COST_DATE)</f>
        <v>1532.599394854109</v>
      </c>
      <c r="CF519" s="8">
        <f>CF518*(1+CD519)</f>
        <v>1269.7955719990664</v>
      </c>
      <c r="CG519" s="8">
        <f>IF(CB519&lt;RULE_START,CF519,CG518*(1+G_HI))</f>
        <v>1551.8297724548988</v>
      </c>
      <c r="CH519" s="8">
        <f>IF(CB519&lt;RULE_START,CF519,IF(CI519=1,R_NF_2024*(1+G_HI)^(CB519-2024),CH518*(1+CD519)))</f>
        <v>1622.250354856875</v>
      </c>
      <c r="CI519">
        <f>IF(AND(CB519&gt;=RULE_START,MOD(CB519-RULE_START,REBASE_YEARS)=0),1,0)</f>
        <v>0</v>
      </c>
      <c r="CJ519" s="8">
        <f>CF519*CAP_SHARE</f>
        <v>62.08961176226554</v>
      </c>
      <c r="CK519" s="8">
        <f>CG519*CAP_SHARE</f>
        <v>75.8803308324345</v>
      </c>
      <c r="CL519" s="8">
        <f>CH519*CAP_SHARE</f>
        <v>79.32370921382842</v>
      </c>
      <c r="CM519" s="8">
        <f>CF519-CJ519-CE519</f>
        <v>-324.89343461730823</v>
      </c>
      <c r="CN519" s="8">
        <f>CG519-CK519-CE519</f>
        <v>-56.64995323164476</v>
      </c>
      <c r="CO519" s="8">
        <f>CH519-CL519-CE519</f>
        <v>10.32725078893759</v>
      </c>
      <c r="CP519" s="8">
        <f>R_NF_2024*(1+G_HI)^(CB519-2024)</f>
        <v>1633.5095592347195</v>
      </c>
      <c r="CQ519" s="10">
        <f>1-CF519/CP519</f>
        <v>0.22265800966971316</v>
      </c>
      <c r="CR519" s="10">
        <f>CPI_2023/(IF(CB519-1=2023,CPI_2023,IF(CB519-1=2024,CPI_2024,IF(CB519-1=2025,CPI_2025,CPI_2025*(1+INFL)^(CB519-1-2025)))))</f>
        <v>0.48584428725347256</v>
      </c>
      <c r="CS519" s="8">
        <f>$CB$21*ABS($CB$11)*(CG519-CF519)/CF519</f>
        <v>22143.26496215822</v>
      </c>
      <c r="CT519" s="8">
        <f>$CB$21*ABS($CB$11)*(CH519-CF519)/CF519</f>
        <v>27672.17462061878</v>
      </c>
      <c r="CU519" s="13">
        <f>(CG519-CF519)*MCD_NF_DAYS*CR519-CS519*MCD_SHARE_FREED*R_WAIT_2023</f>
        <v>62124700.935393974</v>
      </c>
      <c r="CV519" s="13">
        <f>(CH519-CF519)*MCD_NF_DAYS*CR519-CT519*MCD_SHARE_FREED*R_WAIT_2023</f>
        <v>77636499.20081092</v>
      </c>
      <c r="CW519" s="10">
        <f>IF(AND(CB519&gt;=RULE_START,CC519=1),1/(1+$CB$12)^(CB519-RULE_START+1),0)</f>
        <v>0.5631123067595099</v>
      </c>
      <c r="CX519">
        <f>IF(AND(CB519&gt;=RULE_START,CC519=1,CM519&lt;0),CB519,9999)</f>
        <v>2055</v>
      </c>
      <c r="CY519">
        <f>IF(AND(CB519&gt;=RULE_START,CC519=1,CN519&lt;0),CB519,9999)</f>
        <v>2055</v>
      </c>
      <c r="CZ519">
        <f>IF(AND(CB519&gt;=RULE_START,CC519=1,CO519&lt;0),CB519,9999)</f>
        <v>9999</v>
      </c>
      <c r="DB519" t="n">
        <v>2055</v>
      </c>
      <c r="DC519">
        <f>IF(DB519&lt;=RULE_START+$DB$38-1,1,0)</f>
        <v>0</v>
      </c>
      <c r="DD519" s="15">
        <f>IF(DB519=2024,G_IDX_2024,IF(DB519=2025,G_IDX_2025,IF(DB519=2026,G_IDX_2026,IF(DB519=2027,G_IDX_2027,$DB$13))))</f>
        <v>0.033</v>
      </c>
      <c r="DE519" s="8">
        <f>$DB$20*(1+G_HI)^(DB519-COST_DATE)</f>
        <v>1532.599394854109</v>
      </c>
      <c r="DF519" s="8">
        <f>DF518*(1+DD519)</f>
        <v>1269.7955719990664</v>
      </c>
      <c r="DG519" s="8">
        <f>IF(DB519&lt;RULE_START,DF519,DG518*(1+G_HI))</f>
        <v>1551.8297724548988</v>
      </c>
      <c r="DH519" s="8">
        <f>IF(DB519&lt;RULE_START,DF519,IF(DI519=1,R_NF_2024*(1+G_HI)^(DB519-2024),DH518*(1+DD519)))</f>
        <v>1622.250354856875</v>
      </c>
      <c r="DI519">
        <f>IF(AND(DB519&gt;=RULE_START,MOD(DB519-RULE_START,REBASE_YEARS)=0),1,0)</f>
        <v>0</v>
      </c>
      <c r="DJ519" s="8">
        <f>DF519*CAP_SHARE</f>
        <v>62.08961176226554</v>
      </c>
      <c r="DK519" s="8">
        <f>DG519*CAP_SHARE</f>
        <v>75.8803308324345</v>
      </c>
      <c r="DL519" s="8">
        <f>DH519*CAP_SHARE</f>
        <v>79.32370921382842</v>
      </c>
      <c r="DM519" s="8">
        <f>DF519-DJ519-DE519</f>
        <v>-324.89343461730823</v>
      </c>
      <c r="DN519" s="8">
        <f>DG519-DK519-DE519</f>
        <v>-56.64995323164476</v>
      </c>
      <c r="DO519" s="8">
        <f>DH519-DL519-DE519</f>
        <v>10.32725078893759</v>
      </c>
      <c r="DP519" s="8">
        <f>R_NF_2024*(1+G_HI)^(DB519-2024)</f>
        <v>1633.5095592347195</v>
      </c>
      <c r="DQ519" s="10">
        <f>1-DF519/DP519</f>
        <v>0.22265800966971316</v>
      </c>
      <c r="DR519" s="10">
        <f>CPI_2023/(IF(DB519-1=2023,CPI_2023,IF(DB519-1=2024,CPI_2024,IF(DB519-1=2025,CPI_2025,CPI_2025*(1+INFL)^(DB519-1-2025)))))</f>
        <v>0.48584428725347256</v>
      </c>
      <c r="DS519" s="8">
        <f>$DB$21*ABS($DB$11)*(DG519-DF519)/DF519</f>
        <v>22143.26496215822</v>
      </c>
      <c r="DT519" s="8">
        <f>$DB$21*ABS($DB$11)*(DH519-DF519)/DF519</f>
        <v>27672.17462061878</v>
      </c>
      <c r="DU519" s="13">
        <f>(DG519-DF519)*MCD_NF_DAYS*DR519-DS519*MCD_SHARE_FREED*R_WAIT_2023</f>
        <v>62124700.935393974</v>
      </c>
      <c r="DV519" s="13">
        <f>(DH519-DF519)*MCD_NF_DAYS*DR519-DT519*MCD_SHARE_FREED*R_WAIT_2023</f>
        <v>77636499.20081092</v>
      </c>
      <c r="DW519" s="10">
        <f>IF(AND(DB519&gt;=RULE_START,DC519=1),1/(1+$DB$12)^(DB519-RULE_START+1),0)</f>
        <v>0</v>
      </c>
      <c r="DX519">
        <f>IF(AND(DB519&gt;=RULE_START,DC519=1,DM519&lt;0),DB519,9999)</f>
        <v>9999</v>
      </c>
      <c r="DY519">
        <f>IF(AND(DB519&gt;=RULE_START,DC519=1,DN519&lt;0),DB519,9999)</f>
        <v>9999</v>
      </c>
      <c r="DZ519">
        <f>IF(AND(DB519&gt;=RULE_START,DC519=1,DO519&lt;0),DB519,9999)</f>
        <v>9999</v>
      </c>
      <c r="EB519" t="n">
        <v>2055</v>
      </c>
      <c r="EC519">
        <f>IF(EB519&lt;=RULE_START+$EB$38-1,1,0)</f>
        <v>0</v>
      </c>
      <c r="ED519" s="15">
        <f>IF(EB519=2024,G_IDX_2024,IF(EB519=2025,G_IDX_2025,IF(EB519=2026,G_IDX_2026,IF(EB519=2027,G_IDX_2027,$EB$13))))</f>
        <v>0.033</v>
      </c>
      <c r="EE519" s="8">
        <f>$EB$20*(1+G_HI)^(EB519-COST_DATE)</f>
        <v>1532.599394854109</v>
      </c>
      <c r="EF519" s="8">
        <f>EF518*(1+ED519)</f>
        <v>1269.7955719990664</v>
      </c>
      <c r="EG519" s="8">
        <f>IF(EB519&lt;RULE_START,EF519,EG518*(1+G_HI))</f>
        <v>1551.8297724548988</v>
      </c>
      <c r="EH519" s="8">
        <f>IF(EB519&lt;RULE_START,EF519,IF(EI519=1,R_NF_2024*(1+G_HI)^(EB519-2024),EH518*(1+ED519)))</f>
        <v>1622.250354856875</v>
      </c>
      <c r="EI519">
        <f>IF(AND(EB519&gt;=RULE_START,MOD(EB519-RULE_START,REBASE_YEARS)=0),1,0)</f>
        <v>0</v>
      </c>
      <c r="EJ519" s="8">
        <f>EF519*CAP_SHARE</f>
        <v>62.08961176226554</v>
      </c>
      <c r="EK519" s="8">
        <f>EG519*CAP_SHARE</f>
        <v>75.8803308324345</v>
      </c>
      <c r="EL519" s="8">
        <f>EH519*CAP_SHARE</f>
        <v>79.32370921382842</v>
      </c>
      <c r="EM519" s="8">
        <f>EF519-EJ519-EE519</f>
        <v>-324.89343461730823</v>
      </c>
      <c r="EN519" s="8">
        <f>EG519-EK519-EE519</f>
        <v>-56.64995323164476</v>
      </c>
      <c r="EO519" s="8">
        <f>EH519-EL519-EE519</f>
        <v>10.32725078893759</v>
      </c>
      <c r="EP519" s="8">
        <f>R_NF_2024*(1+G_HI)^(EB519-2024)</f>
        <v>1633.5095592347195</v>
      </c>
      <c r="EQ519" s="10">
        <f>1-EF519/EP519</f>
        <v>0.22265800966971316</v>
      </c>
      <c r="ER519" s="10">
        <f>CPI_2023/(IF(EB519-1=2023,CPI_2023,IF(EB519-1=2024,CPI_2024,IF(EB519-1=2025,CPI_2025,CPI_2025*(1+INFL)^(EB519-1-2025)))))</f>
        <v>0.48584428725347256</v>
      </c>
      <c r="ES519" s="8">
        <f>$EB$21*ABS($EB$11)*(EG519-EF519)/EF519</f>
        <v>22143.26496215822</v>
      </c>
      <c r="ET519" s="8">
        <f>$EB$21*ABS($EB$11)*(EH519-EF519)/EF519</f>
        <v>27672.17462061878</v>
      </c>
      <c r="EU519" s="13">
        <f>(EG519-EF519)*MCD_NF_DAYS*ER519-ES519*MCD_SHARE_FREED*R_WAIT_2023</f>
        <v>62124700.935393974</v>
      </c>
      <c r="EV519" s="13">
        <f>(EH519-EF519)*MCD_NF_DAYS*ER519-ET519*MCD_SHARE_FREED*R_WAIT_2023</f>
        <v>77636499.20081092</v>
      </c>
      <c r="EW519" s="10">
        <f>IF(AND(EB519&gt;=RULE_START,EC519=1),1/(1+$EB$12)^(EB519-RULE_START+1),0)</f>
        <v>0</v>
      </c>
      <c r="EX519">
        <f>IF(AND(EB519&gt;=RULE_START,EC519=1,EM519&lt;0),EB519,9999)</f>
        <v>9999</v>
      </c>
      <c r="EY519">
        <f>IF(AND(EB519&gt;=RULE_START,EC519=1,EN519&lt;0),EB519,9999)</f>
        <v>9999</v>
      </c>
      <c r="EZ519">
        <f>IF(AND(EB519&gt;=RULE_START,EC519=1,EO519&lt;0),EB519,9999)</f>
        <v>9999</v>
      </c>
      <c r="FB519" t="n">
        <v>2055</v>
      </c>
      <c r="FC519">
        <f>IF(FB519&lt;=RULE_START+$FB$38-1,1,0)</f>
        <v>0</v>
      </c>
      <c r="FD519" s="15">
        <f>IF(FB519=2024,G_IDX_2024,IF(FB519=2025,G_IDX_2025,IF(FB519=2026,G_IDX_2026,IF(FB519=2027,G_IDX_2027,$FB$13))))</f>
        <v>0.033</v>
      </c>
      <c r="FE519" s="8">
        <f>$FB$20*(1+G_HI)^(FB519-COST_DATE)</f>
        <v>1577.2475679523868</v>
      </c>
      <c r="FF519" s="8">
        <f>FF518*(1+FD519)</f>
        <v>1269.7955719990664</v>
      </c>
      <c r="FG519" s="8">
        <f>IF(FB519&lt;RULE_START,FF519,FG518*(1+G_HI))</f>
        <v>1551.8297724548988</v>
      </c>
      <c r="FH519" s="8">
        <f>IF(FB519&lt;RULE_START,FF519,IF(FI519=1,R_NF_2024*(1+G_HI)^(FB519-2024),FH518*(1+FD519)))</f>
        <v>1622.250354856875</v>
      </c>
      <c r="FI519">
        <f>IF(AND(FB519&gt;=RULE_START,MOD(FB519-RULE_START,REBASE_YEARS)=0),1,0)</f>
        <v>0</v>
      </c>
      <c r="FJ519" s="8">
        <f>FF519*CAP_SHARE</f>
        <v>62.08961176226554</v>
      </c>
      <c r="FK519" s="8">
        <f>FG519*CAP_SHARE</f>
        <v>75.8803308324345</v>
      </c>
      <c r="FL519" s="8">
        <f>FH519*CAP_SHARE</f>
        <v>79.32370921382842</v>
      </c>
      <c r="FM519" s="8">
        <f>FF519-FJ519-FE519</f>
        <v>-369.541607715586</v>
      </c>
      <c r="FN519" s="8">
        <f>FG519-FK519-FE519</f>
        <v>-101.29812632992252</v>
      </c>
      <c r="FO519" s="8">
        <f>FH519-FL519-FE519</f>
        <v>-34.320922309340176</v>
      </c>
      <c r="FP519" s="8">
        <f>R_NF_2024*(1+G_HI)^(FB519-2024)</f>
        <v>1633.5095592347195</v>
      </c>
      <c r="FQ519" s="10">
        <f>1-FF519/FP519</f>
        <v>0.22265800966971316</v>
      </c>
      <c r="FR519" s="10">
        <f>CPI_2023/(IF(FB519-1=2023,CPI_2023,IF(FB519-1=2024,CPI_2024,IF(FB519-1=2025,CPI_2025,CPI_2025*(1+INFL)^(FB519-1-2025)))))</f>
        <v>0.48584428725347256</v>
      </c>
      <c r="FS519" s="8">
        <f>$FB$21*ABS($FB$11)*(FG519-FF519)/FF519</f>
        <v>22143.26496215822</v>
      </c>
      <c r="FT519" s="8">
        <f>$FB$21*ABS($FB$11)*(FH519-FF519)/FF519</f>
        <v>27672.17462061878</v>
      </c>
      <c r="FU519" s="13">
        <f>(FG519-FF519)*MCD_NF_DAYS*FR519-FS519*MCD_SHARE_FREED*R_WAIT_2023</f>
        <v>62124700.935393974</v>
      </c>
      <c r="FV519" s="13">
        <f>(FH519-FF519)*MCD_NF_DAYS*FR519-FT519*MCD_SHARE_FREED*R_WAIT_2023</f>
        <v>77636499.20081092</v>
      </c>
      <c r="FW519" s="10">
        <f>IF(AND(FB519&gt;=RULE_START,FC519=1),1/(1+$FB$12)^(FB519-RULE_START+1),0)</f>
        <v>0</v>
      </c>
      <c r="FX519">
        <f>IF(AND(FB519&gt;=RULE_START,FC519=1,FM519&lt;0),FB519,9999)</f>
        <v>9999</v>
      </c>
      <c r="FY519">
        <f>IF(AND(FB519&gt;=RULE_START,FC519=1,FN519&lt;0),FB519,9999)</f>
        <v>9999</v>
      </c>
      <c r="FZ519">
        <f>IF(AND(FB519&gt;=RULE_START,FC519=1,FO519&lt;0),FB519,9999)</f>
        <v>9999</v>
      </c>
      <c r="GB519" t="n">
        <v>2055</v>
      </c>
      <c r="GC519">
        <f>IF(GB519&lt;=RULE_START+$GB$38-1,1,0)</f>
        <v>0</v>
      </c>
      <c r="GD519" s="15">
        <f>IF(GB519=2024,G_IDX_2024,IF(GB519=2025,G_IDX_2025,IF(GB519=2026,G_IDX_2026,IF(GB519=2027,G_IDX_2027,$GB$13))))</f>
        <v>0.033</v>
      </c>
      <c r="GE519" s="8">
        <f>$GB$20*(1+G_HI)^(GB519-COST_DATE)</f>
        <v>1532.599394854109</v>
      </c>
      <c r="GF519" s="8">
        <f>GF518*(1+GD519)</f>
        <v>1269.7955719990664</v>
      </c>
      <c r="GG519" s="8">
        <f>IF(GB519&lt;RULE_START,GF519,GG518*(1+G_HI))</f>
        <v>1551.8297724548988</v>
      </c>
      <c r="GH519" s="8">
        <f>IF(GB519&lt;RULE_START,GF519,IF(GI519=1,R_NF_2024*(1+G_HI)^(GB519-2024),GH518*(1+GD519)))</f>
        <v>1622.250354856875</v>
      </c>
      <c r="GI519">
        <f>IF(AND(GB519&gt;=RULE_START,MOD(GB519-RULE_START,REBASE_YEARS)=0),1,0)</f>
        <v>0</v>
      </c>
      <c r="GJ519" s="8">
        <f>GF519*CAP_SHARE</f>
        <v>62.08961176226554</v>
      </c>
      <c r="GK519" s="8">
        <f>GG519*CAP_SHARE</f>
        <v>75.8803308324345</v>
      </c>
      <c r="GL519" s="8">
        <f>GH519*CAP_SHARE</f>
        <v>79.32370921382842</v>
      </c>
      <c r="GM519" s="8">
        <f>GF519-GJ519-GE519</f>
        <v>-324.89343461730823</v>
      </c>
      <c r="GN519" s="8">
        <f>GG519-GK519-GE519</f>
        <v>-56.64995323164476</v>
      </c>
      <c r="GO519" s="8">
        <f>GH519-GL519-GE519</f>
        <v>10.32725078893759</v>
      </c>
      <c r="GP519" s="8">
        <f>R_NF_2024*(1+G_HI)^(GB519-2024)</f>
        <v>1633.5095592347195</v>
      </c>
      <c r="GQ519" s="10">
        <f>1-GF519/GP519</f>
        <v>0.22265800966971316</v>
      </c>
      <c r="GR519" s="10">
        <f>CPI_2023/(IF(GB519-1=2023,CPI_2023,IF(GB519-1=2024,CPI_2024,IF(GB519-1=2025,CPI_2025,CPI_2025*(1+INFL)^(GB519-1-2025)))))</f>
        <v>0.48584428725347256</v>
      </c>
      <c r="GS519" s="8">
        <f>$GB$21*ABS($GB$11)*(GG519-GF519)/GF519</f>
        <v>16714.84322722931</v>
      </c>
      <c r="GT519" s="8">
        <f>$GB$21*ABS($GB$11)*(GH519-GF519)/GF519</f>
        <v>20888.34060065707</v>
      </c>
      <c r="GU519" s="13">
        <f>(GG519-GF519)*MCD_NF_DAYS*GR519-GS519*MCD_SHARE_FREED*R_WAIT_2023</f>
        <v>64593105.97775391</v>
      </c>
      <c r="GV519" s="13">
        <f>(GH519-GF519)*MCD_NF_DAYS*GR519-GT519*MCD_SHARE_FREED*R_WAIT_2023</f>
        <v>80721235.59733292</v>
      </c>
      <c r="GW519" s="10">
        <f>IF(AND(GB519&gt;=RULE_START,GC519=1),1/(1+$GB$12)^(GB519-RULE_START+1),0)</f>
        <v>0</v>
      </c>
      <c r="GX519">
        <f>IF(AND(GB519&gt;=RULE_START,GC519=1,GM519&lt;0),GB519,9999)</f>
        <v>9999</v>
      </c>
      <c r="GY519">
        <f>IF(AND(GB519&gt;=RULE_START,GC519=1,GN519&lt;0),GB519,9999)</f>
        <v>9999</v>
      </c>
      <c r="GZ519">
        <f>IF(AND(GB519&gt;=RULE_START,GC519=1,GO519&lt;0),GB519,9999)</f>
        <v>9999</v>
      </c>
      <c r="HB519" t="n">
        <v>2055</v>
      </c>
      <c r="HC519">
        <f>IF(HB519&lt;=RULE_START+$HB$38-1,1,0)</f>
        <v>0</v>
      </c>
      <c r="HD519" s="15">
        <f>IF(HB519=2024,G_IDX_2024,IF(HB519=2025,G_IDX_2025,IF(HB519=2026,G_IDX_2026,IF(HB519=2027,G_IDX_2027,$HB$13))))</f>
        <v>0.033</v>
      </c>
      <c r="HE519" s="8">
        <f>$HB$20*(1+G_HI)^(HB519-COST_DATE)</f>
        <v>1532.599394854109</v>
      </c>
      <c r="HF519" s="8">
        <f>HF518*(1+HD519)</f>
        <v>1269.7955719990664</v>
      </c>
      <c r="HG519" s="8">
        <f>IF(HB519&lt;RULE_START,HF519,HG518*(1+G_HI))</f>
        <v>1551.8297724548988</v>
      </c>
      <c r="HH519" s="8">
        <f>IF(HB519&lt;RULE_START,HF519,IF(HI519=1,R_NF_2024*(1+G_HI)^(HB519-2024),HH518*(1+HD519)))</f>
        <v>1622.250354856875</v>
      </c>
      <c r="HI519">
        <f>IF(AND(HB519&gt;=RULE_START,MOD(HB519-RULE_START,REBASE_YEARS)=0),1,0)</f>
        <v>0</v>
      </c>
      <c r="HJ519" s="8">
        <f>HF519*CAP_SHARE</f>
        <v>62.08961176226554</v>
      </c>
      <c r="HK519" s="8">
        <f>HG519*CAP_SHARE</f>
        <v>75.8803308324345</v>
      </c>
      <c r="HL519" s="8">
        <f>HH519*CAP_SHARE</f>
        <v>79.32370921382842</v>
      </c>
      <c r="HM519" s="8">
        <f>HF519-HJ519-HE519</f>
        <v>-324.89343461730823</v>
      </c>
      <c r="HN519" s="8">
        <f>HG519-HK519-HE519</f>
        <v>-56.64995323164476</v>
      </c>
      <c r="HO519" s="8">
        <f>HH519-HL519-HE519</f>
        <v>10.32725078893759</v>
      </c>
      <c r="HP519" s="8">
        <f>R_NF_2024*(1+G_HI)^(HB519-2024)</f>
        <v>1633.5095592347195</v>
      </c>
      <c r="HQ519" s="10">
        <f>1-HF519/HP519</f>
        <v>0.22265800966971316</v>
      </c>
      <c r="HR519" s="10">
        <f>CPI_2023/(IF(HB519-1=2023,CPI_2023,IF(HB519-1=2024,CPI_2024,IF(HB519-1=2025,CPI_2025,CPI_2025*(1+INFL)^(HB519-1-2025)))))</f>
        <v>0.48584428725347256</v>
      </c>
      <c r="HS519" s="8">
        <f>$HB$21*ABS($HB$11)*(HG519-HF519)/HF519</f>
        <v>22143.26496215822</v>
      </c>
      <c r="HT519" s="8">
        <f>$HB$21*ABS($HB$11)*(HH519-HF519)/HF519</f>
        <v>27672.17462061878</v>
      </c>
      <c r="HU519" s="13">
        <f>(HG519-HF519)*MCD_NF_DAYS*HR519-HS519*MCD_SHARE_FREED*R_WAIT_2023</f>
        <v>62124700.935393974</v>
      </c>
      <c r="HV519" s="13">
        <f>(HH519-HF519)*MCD_NF_DAYS*HR519-HT519*MCD_SHARE_FREED*R_WAIT_2023</f>
        <v>77636499.20081092</v>
      </c>
      <c r="HW519" s="10">
        <f>IF(AND(HB519&gt;=RULE_START,HC519=1),1/(1+$HB$12)^(HB519-RULE_START+1),0)</f>
        <v>0</v>
      </c>
      <c r="HX519">
        <f>IF(AND(HB519&gt;=RULE_START,HC519=1,HM519&lt;0),HB519,9999)</f>
        <v>9999</v>
      </c>
      <c r="HY519">
        <f>IF(AND(HB519&gt;=RULE_START,HC519=1,HN519&lt;0),HB519,9999)</f>
        <v>9999</v>
      </c>
      <c r="HZ519">
        <f>IF(AND(HB519&gt;=RULE_START,HC519=1,HO519&lt;0),HB519,9999)</f>
        <v>9999</v>
      </c>
      <c r="IB519" t="n">
        <v>2055</v>
      </c>
      <c r="IC519">
        <f>IF(IB519&lt;=RULE_START+$IB$38-1,1,0)</f>
        <v>0</v>
      </c>
      <c r="ID519" s="15">
        <f>IF(IB519=2024,G_IDX_2024,IF(IB519=2025,G_IDX_2025,IF(IB519=2026,G_IDX_2026,IF(IB519=2027,G_IDX_2027,$IB$13))))</f>
        <v>0.033</v>
      </c>
      <c r="IE519" s="8">
        <f>$IB$20*(1+G_HI)^(IB519-COST_DATE)</f>
        <v>1532.599394854109</v>
      </c>
      <c r="IF519" s="8">
        <f>IF518*(1+ID519)</f>
        <v>1269.7955719990664</v>
      </c>
      <c r="IG519" s="8">
        <f>IF(IB519&lt;RULE_START,IF519,IG518*(1+G_HI))</f>
        <v>1551.8297724548988</v>
      </c>
      <c r="IH519" s="8">
        <f>IF(IB519&lt;RULE_START,IF519,IF(II519=1,R_NF_2024*(1+G_HI)^(IB519-2024),IH518*(1+ID519)))</f>
        <v>1622.250354856875</v>
      </c>
      <c r="II519">
        <f>IF(AND(IB519&gt;=RULE_START,MOD(IB519-RULE_START,REBASE_YEARS)=0),1,0)</f>
        <v>0</v>
      </c>
      <c r="IJ519" s="8">
        <f>IF519*CAP_SHARE</f>
        <v>62.08961176226554</v>
      </c>
      <c r="IK519" s="8">
        <f>IG519*CAP_SHARE</f>
        <v>75.8803308324345</v>
      </c>
      <c r="IL519" s="8">
        <f>IH519*CAP_SHARE</f>
        <v>79.32370921382842</v>
      </c>
      <c r="IM519" s="8">
        <f>IF519-IJ519-IE519</f>
        <v>-324.89343461730823</v>
      </c>
      <c r="IN519" s="8">
        <f>IG519-IK519-IE519</f>
        <v>-56.64995323164476</v>
      </c>
      <c r="IO519" s="8">
        <f>IH519-IL519-IE519</f>
        <v>10.32725078893759</v>
      </c>
      <c r="IP519" s="8">
        <f>R_NF_2024*(1+G_HI)^(IB519-2024)</f>
        <v>1633.5095592347195</v>
      </c>
      <c r="IQ519" s="10">
        <f>1-IF519/IP519</f>
        <v>0.22265800966971316</v>
      </c>
      <c r="IR519" s="10">
        <f>CPI_2023/(IF(IB519-1=2023,CPI_2023,IF(IB519-1=2024,CPI_2024,IF(IB519-1=2025,CPI_2025,CPI_2025*(1+INFL)^(IB519-1-2025)))))</f>
        <v>0.48584428725347256</v>
      </c>
      <c r="IS519" s="8">
        <f>$IB$21*ABS($IB$11)*(IG519-IF519)/IF519</f>
        <v>22143.26496215822</v>
      </c>
      <c r="IT519" s="8">
        <f>$IB$21*ABS($IB$11)*(IH519-IF519)/IF519</f>
        <v>27672.17462061878</v>
      </c>
      <c r="IU519" s="13">
        <f>(IG519-IF519)*MCD_NF_DAYS*IR519-IS519*MCD_SHARE_FREED*R_WAIT_2023</f>
        <v>62124700.935393974</v>
      </c>
      <c r="IV519" s="13">
        <f>(IH519-IF519)*MCD_NF_DAYS*IR519-IT519*MCD_SHARE_FREED*R_WAIT_2023</f>
        <v>77636499.20081092</v>
      </c>
      <c r="IW519" s="10">
        <f>IF(AND(IB519&gt;=RULE_START,IC519=1),1/(1+$IB$12)^(IB519-RULE_START+1),0)</f>
        <v>0</v>
      </c>
      <c r="IX519">
        <f>IF(AND(IB519&gt;=RULE_START,IC519=1,IM519&lt;0),IB519,9999)</f>
        <v>9999</v>
      </c>
      <c r="IY519">
        <f>IF(AND(IB519&gt;=RULE_START,IC519=1,IN519&lt;0),IB519,9999)</f>
        <v>9999</v>
      </c>
      <c r="IZ519">
        <f>IF(AND(IB519&gt;=RULE_START,IC519=1,IO519&lt;0),IB519,9999)</f>
        <v>9999</v>
      </c>
      <c r="JB519" t="n">
        <v>2055</v>
      </c>
      <c r="JC519">
        <f>IF(JB519&lt;=RULE_START+$JB$38-1,1,0)</f>
        <v>0</v>
      </c>
      <c r="JD519" s="15">
        <f>IF(JB519=2024,G_IDX_2024,IF(JB519=2025,G_IDX_2025,IF(JB519=2026,G_IDX_2026,IF(JB519=2027,G_IDX_2027,$JB$13))))</f>
        <v>0.03</v>
      </c>
      <c r="JE519" s="8">
        <f>$JB$20*(1+G_HI)^(JB519-COST_DATE)</f>
        <v>1532.599394854109</v>
      </c>
      <c r="JF519" s="8">
        <f>JF518*(1+JD519)</f>
        <v>1170.4883553953732</v>
      </c>
      <c r="JG519" s="8">
        <f>IF(JB519&lt;RULE_START,JF519,JG518*(1+G_HI))</f>
        <v>1551.8297724548988</v>
      </c>
      <c r="JH519" s="8">
        <f>IF(JB519&lt;RULE_START,JF519,IF(JI519=1,R_NF_2024*(1+G_HI)^(JB519-2024),JH518*(1+JD519)))</f>
        <v>1617.5390759947545</v>
      </c>
      <c r="JI519">
        <f>IF(AND(JB519&gt;=RULE_START,MOD(JB519-RULE_START,REBASE_YEARS)=0),1,0)</f>
        <v>0</v>
      </c>
      <c r="JJ519" s="8">
        <f>JF519*CAP_SHARE</f>
        <v>57.23375412653026</v>
      </c>
      <c r="JK519" s="8">
        <f>JG519*CAP_SHARE</f>
        <v>75.8803308324345</v>
      </c>
      <c r="JL519" s="8">
        <f>JH519*CAP_SHARE</f>
        <v>79.09334026161015</v>
      </c>
      <c r="JM519" s="8">
        <f>JF519-JJ519-JE519</f>
        <v>-419.3447935852662</v>
      </c>
      <c r="JN519" s="8">
        <f>JG519-JK519-JE519</f>
        <v>-56.64995323164476</v>
      </c>
      <c r="JO519" s="8">
        <f>JH519-JL519-JE519</f>
        <v>5.846340879035324</v>
      </c>
      <c r="JP519" s="8">
        <f>R_NF_2024*(1+G_HI)^(JB519-2024)</f>
        <v>1633.5095592347195</v>
      </c>
      <c r="JQ519" s="10">
        <f>1-JF519/JP519</f>
        <v>0.28345178711795627</v>
      </c>
      <c r="JR519" s="10">
        <f>CPI_2023/(IF(JB519-1=2023,CPI_2023,IF(JB519-1=2024,CPI_2024,IF(JB519-1=2025,CPI_2025,CPI_2025*(1+INFL)^(JB519-1-2025)))))</f>
        <v>0.48584428725347256</v>
      </c>
      <c r="JS519" s="8">
        <f>$JB$21*ABS($JB$11)*(JG519-JF519)/JF519</f>
        <v>32480.340098770703</v>
      </c>
      <c r="JT519" s="8">
        <f>$JB$21*ABS($JB$11)*(JH519-JF519)/JF519</f>
        <v>38077.05850162575</v>
      </c>
      <c r="JU519" s="13">
        <f>(JG519-JF519)*MCD_NF_DAYS*JR519-JS519*MCD_SHARE_FREED*R_WAIT_2023</f>
        <v>82844387.7559384</v>
      </c>
      <c r="JV519" s="13">
        <f>(JH519-JF519)*MCD_NF_DAYS*JR519-JT519*MCD_SHARE_FREED*R_WAIT_2023</f>
        <v>97119383.27990672</v>
      </c>
      <c r="JW519" s="10">
        <f>IF(AND(JB519&gt;=RULE_START,JC519=1),1/(1+$JB$12)^(JB519-RULE_START+1),0)</f>
        <v>0</v>
      </c>
      <c r="JX519">
        <f>IF(AND(JB519&gt;=RULE_START,JC519=1,JM519&lt;0),JB519,9999)</f>
        <v>9999</v>
      </c>
      <c r="JY519">
        <f>IF(AND(JB519&gt;=RULE_START,JC519=1,JN519&lt;0),JB519,9999)</f>
        <v>9999</v>
      </c>
      <c r="JZ519">
        <f>IF(AND(JB519&gt;=RULE_START,JC519=1,JO519&lt;0),JB519,9999)</f>
        <v>9999</v>
      </c>
      <c r="KB519" t="n">
        <v>2055</v>
      </c>
      <c r="KC519">
        <f>IF(KB519&lt;=RULE_START+$KB$38-1,1,0)</f>
        <v>0</v>
      </c>
      <c r="KD519" s="15">
        <f>IF(KB519=2024,G_IDX_2024,IF(KB519=2025,G_IDX_2025,IF(KB519=2026,G_IDX_2026,IF(KB519=2027,G_IDX_2027,$KB$13))))</f>
        <v>0.033</v>
      </c>
      <c r="KE519" s="8">
        <f>$KB$20*(1+G_HI)^(KB519-COST_DATE)</f>
        <v>1532.599394854109</v>
      </c>
      <c r="KF519" s="8">
        <f>KF518*(1+KD519)</f>
        <v>1269.7955719990664</v>
      </c>
      <c r="KG519" s="8">
        <f>IF(KB519&lt;RULE_START,KF519,KG518*(1+G_HI))</f>
        <v>1551.8297724548988</v>
      </c>
      <c r="KH519" s="8">
        <f>IF(KB519&lt;RULE_START,KF519,IF(KI519=1,R_NF_2024*(1+G_HI)^(KB519-2024),KH518*(1+KD519)))</f>
        <v>1622.250354856875</v>
      </c>
      <c r="KI519">
        <f>IF(AND(KB519&gt;=RULE_START,MOD(KB519-RULE_START,REBASE_YEARS)=0),1,0)</f>
        <v>0</v>
      </c>
      <c r="KJ519" s="8">
        <f>KF519*CAP_SHARE</f>
        <v>62.08961176226554</v>
      </c>
      <c r="KK519" s="8">
        <f>KG519*CAP_SHARE</f>
        <v>75.8803308324345</v>
      </c>
      <c r="KL519" s="8">
        <f>KH519*CAP_SHARE</f>
        <v>79.32370921382842</v>
      </c>
      <c r="KM519" s="8">
        <f>KF519-KJ519-KE519</f>
        <v>-324.89343461730823</v>
      </c>
      <c r="KN519" s="8">
        <f>KG519-KK519-KE519</f>
        <v>-56.64995323164476</v>
      </c>
      <c r="KO519" s="8">
        <f>KH519-KL519-KE519</f>
        <v>10.32725078893759</v>
      </c>
      <c r="KP519" s="8">
        <f>R_NF_2024*(1+G_HI)^(KB519-2024)</f>
        <v>1633.5095592347195</v>
      </c>
      <c r="KQ519" s="10">
        <f>1-KF519/KP519</f>
        <v>0.22265800966971316</v>
      </c>
      <c r="KR519" s="10">
        <f>CPI_2023/(IF(KB519-1=2023,CPI_2023,IF(KB519-1=2024,CPI_2024,IF(KB519-1=2025,CPI_2025,CPI_2025*(1+INFL)^(KB519-1-2025)))))</f>
        <v>0.48584428725347256</v>
      </c>
      <c r="KS519" s="8">
        <f>$KB$21*ABS($KB$11)*(KG519-KF519)/KF519</f>
        <v>22143.26496215822</v>
      </c>
      <c r="KT519" s="8">
        <f>$KB$21*ABS($KB$11)*(KH519-KF519)/KF519</f>
        <v>27672.17462061878</v>
      </c>
      <c r="KU519" s="13">
        <f>(KG519-KF519)*MCD_NF_DAYS*KR519-KS519*MCD_SHARE_FREED*R_WAIT_2023</f>
        <v>62124700.935393974</v>
      </c>
      <c r="KV519" s="13">
        <f>(KH519-KF519)*MCD_NF_DAYS*KR519-KT519*MCD_SHARE_FREED*R_WAIT_2023</f>
        <v>77636499.20081092</v>
      </c>
      <c r="KW519" s="10">
        <f>IF(AND(KB519&gt;=RULE_START,KC519=1),1/(1+$KB$12)^(KB519-RULE_START+1),0)</f>
        <v>0</v>
      </c>
      <c r="KX519">
        <f>IF(AND(KB519&gt;=RULE_START,KC519=1,KM519&lt;0),KB519,9999)</f>
        <v>9999</v>
      </c>
      <c r="KY519">
        <f>IF(AND(KB519&gt;=RULE_START,KC519=1,KN519&lt;0),KB519,9999)</f>
        <v>9999</v>
      </c>
      <c r="KZ519">
        <f>IF(AND(KB519&gt;=RULE_START,KC519=1,KO519&lt;0),KB519,9999)</f>
        <v>9999</v>
      </c>
      <c r="LB519" t="n">
        <v>2055</v>
      </c>
      <c r="LC519">
        <f>IF(LB519&lt;=RULE_START+$LB$38-1,1,0)</f>
        <v>0</v>
      </c>
      <c r="LD519" s="15">
        <f>IF(LB519=2024,G_IDX_2024,IF(LB519=2025,G_IDX_2025,IF(LB519=2026,G_IDX_2026,IF(LB519=2027,G_IDX_2027,$LB$13))))</f>
        <v>0.033</v>
      </c>
      <c r="LE519" s="8">
        <f>$LB$20*(1+G_HI)^(LB519-COST_DATE)</f>
        <v>1532.599394854109</v>
      </c>
      <c r="LF519" s="8">
        <f>LF518*(1+LD519)</f>
        <v>1269.7955719990664</v>
      </c>
      <c r="LG519" s="8">
        <f>IF(LB519&lt;RULE_START,LF519,LG518*(1+G_HI))</f>
        <v>1551.8297724548988</v>
      </c>
      <c r="LH519" s="8">
        <f>IF(LB519&lt;RULE_START,LF519,IF(LI519=1,R_NF_2024*(1+G_HI)^(LB519-2024),LH518*(1+LD519)))</f>
        <v>1622.250354856875</v>
      </c>
      <c r="LI519">
        <f>IF(AND(LB519&gt;=RULE_START,MOD(LB519-RULE_START,REBASE_YEARS)=0),1,0)</f>
        <v>0</v>
      </c>
      <c r="LJ519" s="8">
        <f>LF519*CAP_SHARE</f>
        <v>62.08961176226554</v>
      </c>
      <c r="LK519" s="8">
        <f>LG519*CAP_SHARE</f>
        <v>75.8803308324345</v>
      </c>
      <c r="LL519" s="8">
        <f>LH519*CAP_SHARE</f>
        <v>79.32370921382842</v>
      </c>
      <c r="LM519" s="8">
        <f>LF519-LJ519-LE519</f>
        <v>-324.89343461730823</v>
      </c>
      <c r="LN519" s="8">
        <f>LG519-LK519-LE519</f>
        <v>-56.64995323164476</v>
      </c>
      <c r="LO519" s="8">
        <f>LH519-LL519-LE519</f>
        <v>10.32725078893759</v>
      </c>
      <c r="LP519" s="8">
        <f>R_NF_2024*(1+G_HI)^(LB519-2024)</f>
        <v>1633.5095592347195</v>
      </c>
      <c r="LQ519" s="10">
        <f>1-LF519/LP519</f>
        <v>0.22265800966971316</v>
      </c>
      <c r="LR519" s="10">
        <f>CPI_2023/(IF(LB519-1=2023,CPI_2023,IF(LB519-1=2024,CPI_2024,IF(LB519-1=2025,CPI_2025,CPI_2025*(1+INFL)^(LB519-1-2025)))))</f>
        <v>0.48584428725347256</v>
      </c>
      <c r="LS519" s="8">
        <f>$LB$21*ABS($LB$11)*(LG519-LF519)/LF519</f>
        <v>22143.26496215822</v>
      </c>
      <c r="LT519" s="8">
        <f>$LB$21*ABS($LB$11)*(LH519-LF519)/LF519</f>
        <v>27672.17462061878</v>
      </c>
      <c r="LU519" s="13">
        <f>(LG519-LF519)*MCD_NF_DAYS*LR519-LS519*MCD_SHARE_FREED*R_WAIT_2023</f>
        <v>62124700.935393974</v>
      </c>
      <c r="LV519" s="13">
        <f>(LH519-LF519)*MCD_NF_DAYS*LR519-LT519*MCD_SHARE_FREED*R_WAIT_2023</f>
        <v>77636499.20081092</v>
      </c>
      <c r="LW519" s="10">
        <f>IF(AND(LB519&gt;=RULE_START,LC519=1),1/(1+$LB$12)^(LB519-RULE_START+1),0)</f>
        <v>0</v>
      </c>
      <c r="LX519">
        <f>IF(AND(LB519&gt;=RULE_START,LC519=1,LM519&lt;0),LB519,9999)</f>
        <v>9999</v>
      </c>
      <c r="LY519">
        <f>IF(AND(LB519&gt;=RULE_START,LC519=1,LN519&lt;0),LB519,9999)</f>
        <v>9999</v>
      </c>
      <c r="LZ519">
        <f>IF(AND(LB519&gt;=RULE_START,LC519=1,LO519&lt;0),LB519,9999)</f>
        <v>9999</v>
      </c>
      <c r="MB519" t="n">
        <v>2055</v>
      </c>
      <c r="MC519">
        <f>IF(MB519&lt;=RULE_START+$MB$38-1,1,0)</f>
        <v>0</v>
      </c>
      <c r="MD519" s="15">
        <f>IF(MB519=2024,G_IDX_2024,IF(MB519=2025,G_IDX_2025,IF(MB519=2026,G_IDX_2026,IF(MB519=2027,G_IDX_2027,$MB$13))))</f>
        <v>0.033</v>
      </c>
      <c r="ME519" s="8">
        <f>$MB$20*(1+G_HI)^(MB519-COST_DATE)</f>
        <v>1532.599394854109</v>
      </c>
      <c r="MF519" s="8">
        <f>MF518*(1+MD519)</f>
        <v>1269.7955719990664</v>
      </c>
      <c r="MG519" s="8">
        <f>IF(MB519&lt;RULE_START,MF519,MG518*(1+G_HI))</f>
        <v>1551.8297724548988</v>
      </c>
      <c r="MH519" s="8">
        <f>IF(MB519&lt;RULE_START,MF519,IF(MI519=1,R_NF_2024*(1+G_HI)^(MB519-2024),MH518*(1+MD519)))</f>
        <v>1622.250354856875</v>
      </c>
      <c r="MI519">
        <f>IF(AND(MB519&gt;=RULE_START,MOD(MB519-RULE_START,REBASE_YEARS)=0),1,0)</f>
        <v>0</v>
      </c>
      <c r="MJ519" s="8">
        <f>MF519*CAP_SHARE</f>
        <v>62.08961176226554</v>
      </c>
      <c r="MK519" s="8">
        <f>MG519*CAP_SHARE</f>
        <v>75.8803308324345</v>
      </c>
      <c r="ML519" s="8">
        <f>MH519*CAP_SHARE</f>
        <v>79.32370921382842</v>
      </c>
      <c r="MM519" s="8">
        <f>MF519-MJ519-ME519</f>
        <v>-324.89343461730823</v>
      </c>
      <c r="MN519" s="8">
        <f>MG519-MK519-ME519</f>
        <v>-56.64995323164476</v>
      </c>
      <c r="MO519" s="8">
        <f>MH519-ML519-ME519</f>
        <v>10.32725078893759</v>
      </c>
      <c r="MP519" s="8">
        <f>R_NF_2024*(1+G_HI)^(MB519-2024)</f>
        <v>1633.5095592347195</v>
      </c>
      <c r="MQ519" s="10">
        <f>1-MF519/MP519</f>
        <v>0.22265800966971316</v>
      </c>
      <c r="MR519" s="10">
        <f>CPI_2023/(IF(MB519-1=2023,CPI_2023,IF(MB519-1=2024,CPI_2024,IF(MB519-1=2025,CPI_2025,CPI_2025*(1+INFL)^(MB519-1-2025)))))</f>
        <v>0.48584428725347256</v>
      </c>
      <c r="MS519" s="8">
        <f>$MB$21*ABS($MB$11)*(MG519-MF519)/MF519</f>
        <v>16221.926156616291</v>
      </c>
      <c r="MT519" s="8">
        <f>$MB$21*ABS($MB$11)*(MH519-MF519)/MF519</f>
        <v>20272.34800540079</v>
      </c>
      <c r="MU519" s="13">
        <f>(MG519-MF519)*MCD_NF_DAYS*MR519-MS519*MCD_SHARE_FREED*R_WAIT_2023</f>
        <v>64817244.6025659</v>
      </c>
      <c r="MV519" s="13">
        <f>(MH519-MF519)*MCD_NF_DAYS*MR519-MT519*MCD_SHARE_FREED*R_WAIT_2023</f>
        <v>81001338.96852152</v>
      </c>
      <c r="MW519" s="10">
        <f>IF(AND(MB519&gt;=RULE_START,MC519=1),1/(1+$MB$12)^(MB519-RULE_START+1),0)</f>
        <v>0</v>
      </c>
      <c r="MX519">
        <f>IF(AND(MB519&gt;=RULE_START,MC519=1,MM519&lt;0),MB519,9999)</f>
        <v>9999</v>
      </c>
      <c r="MY519">
        <f>IF(AND(MB519&gt;=RULE_START,MC519=1,MN519&lt;0),MB519,9999)</f>
        <v>9999</v>
      </c>
      <c r="MZ519">
        <f>IF(AND(MB519&gt;=RULE_START,MC519=1,MO519&lt;0),MB519,9999)</f>
        <v>9999</v>
      </c>
      <c r="NB519" t="n">
        <v>2055</v>
      </c>
      <c r="NC519">
        <f>IF(NB519&lt;=RULE_START+$NB$38-1,1,0)</f>
        <v>0</v>
      </c>
      <c r="ND519" s="15">
        <f>IF(NB519=2024,G_IDX_2024,IF(NB519=2025,G_IDX_2025,IF(NB519=2026,G_IDX_2026,IF(NB519=2027,G_IDX_2027,$NB$13))))</f>
        <v>0.033</v>
      </c>
      <c r="NE519" s="8">
        <f>$NB$20*(1+G_HI)^(NB519-COST_DATE)</f>
        <v>1532.599394854109</v>
      </c>
      <c r="NF519" s="8">
        <f>NF518*(1+ND519)</f>
        <v>1269.7955719990664</v>
      </c>
      <c r="NG519" s="8">
        <f>IF(NB519&lt;RULE_START,NF519,NG518*(1+G_HI))</f>
        <v>1551.8297724548988</v>
      </c>
      <c r="NH519" s="8">
        <f>IF(NB519&lt;RULE_START,NF519,IF(NI519=1,R_NF_2024*(1+G_HI)^(NB519-2024),NH518*(1+ND519)))</f>
        <v>1622.250354856875</v>
      </c>
      <c r="NI519">
        <f>IF(AND(NB519&gt;=RULE_START,MOD(NB519-RULE_START,REBASE_YEARS)=0),1,0)</f>
        <v>0</v>
      </c>
      <c r="NJ519" s="8">
        <f>NF519*CAP_SHARE</f>
        <v>62.08961176226554</v>
      </c>
      <c r="NK519" s="8">
        <f>NG519*CAP_SHARE</f>
        <v>75.8803308324345</v>
      </c>
      <c r="NL519" s="8">
        <f>NH519*CAP_SHARE</f>
        <v>79.32370921382842</v>
      </c>
      <c r="NM519" s="8">
        <f>NF519-NJ519-NE519</f>
        <v>-324.89343461730823</v>
      </c>
      <c r="NN519" s="8">
        <f>NG519-NK519-NE519</f>
        <v>-56.64995323164476</v>
      </c>
      <c r="NO519" s="8">
        <f>NH519-NL519-NE519</f>
        <v>10.32725078893759</v>
      </c>
      <c r="NP519" s="8">
        <f>R_NF_2024*(1+G_HI)^(NB519-2024)</f>
        <v>1633.5095592347195</v>
      </c>
      <c r="NQ519" s="10">
        <f>1-NF519/NP519</f>
        <v>0.22265800966971316</v>
      </c>
      <c r="NR519" s="10">
        <f>CPI_2023/(IF(NB519-1=2023,CPI_2023,IF(NB519-1=2024,CPI_2024,IF(NB519-1=2025,CPI_2025,CPI_2025*(1+INFL)^(NB519-1-2025)))))</f>
        <v>0.48584428725347256</v>
      </c>
      <c r="NS519" s="8">
        <f>$NB$21*ABS($NB$11)*(NG519-NF519)/NF519</f>
        <v>22143.26496215822</v>
      </c>
      <c r="NT519" s="8">
        <f>$NB$21*ABS($NB$11)*(NH519-NF519)/NF519</f>
        <v>27672.17462061878</v>
      </c>
      <c r="NU519" s="13">
        <f>(NG519-NF519)*MCD_NF_DAYS*NR519-NS519*MCD_SHARE_FREED*R_WAIT_2023</f>
        <v>62124700.935393974</v>
      </c>
      <c r="NV519" s="13">
        <f>(NH519-NF519)*MCD_NF_DAYS*NR519-NT519*MCD_SHARE_FREED*R_WAIT_2023</f>
        <v>77636499.20081092</v>
      </c>
      <c r="NW519" s="10">
        <f>IF(AND(NB519&gt;=RULE_START,NC519=1),1/(1+$NB$12)^(NB519-RULE_START+1),0)</f>
        <v>0</v>
      </c>
      <c r="NX519">
        <f>IF(AND(NB519&gt;=RULE_START,NC519=1,NM519&lt;0),NB519,9999)</f>
        <v>9999</v>
      </c>
      <c r="NY519">
        <f>IF(AND(NB519&gt;=RULE_START,NC519=1,NN519&lt;0),NB519,9999)</f>
        <v>9999</v>
      </c>
      <c r="NZ519">
        <f>IF(AND(NB519&gt;=RULE_START,NC519=1,NO519&lt;0),NB519,9999)</f>
        <v>9999</v>
      </c>
      <c r="OB519" t="n">
        <v>2055</v>
      </c>
      <c r="OC519">
        <f>IF(OB519&lt;=RULE_START+$OB$38-1,1,0)</f>
        <v>0</v>
      </c>
      <c r="OD519" s="15">
        <f>IF(OB519=2024,G_IDX_2024,IF(OB519=2025,G_IDX_2025,IF(OB519=2026,G_IDX_2026,IF(OB519=2027,G_IDX_2027,$OB$13))))</f>
        <v>0.033</v>
      </c>
      <c r="OE519" s="8">
        <f>$OB$20*(1+G_HI)^(OB519-COST_DATE)</f>
        <v>1532.599394854109</v>
      </c>
      <c r="OF519" s="8">
        <f>OF518*(1+OD519)</f>
        <v>1269.7955719990664</v>
      </c>
      <c r="OG519" s="8">
        <f>IF(OB519&lt;RULE_START,OF519,OG518*(1+G_HI))</f>
        <v>1551.8297724548988</v>
      </c>
      <c r="OH519" s="8">
        <f>IF(OB519&lt;RULE_START,OF519,IF(OI519=1,R_NF_2024*(1+G_HI)^(OB519-2024),OH518*(1+OD519)))</f>
        <v>1622.250354856875</v>
      </c>
      <c r="OI519">
        <f>IF(AND(OB519&gt;=RULE_START,MOD(OB519-RULE_START,REBASE_YEARS)=0),1,0)</f>
        <v>0</v>
      </c>
      <c r="OJ519" s="8">
        <f>OF519*CAP_SHARE</f>
        <v>62.08961176226554</v>
      </c>
      <c r="OK519" s="8">
        <f>OG519*CAP_SHARE</f>
        <v>75.8803308324345</v>
      </c>
      <c r="OL519" s="8">
        <f>OH519*CAP_SHARE</f>
        <v>79.32370921382842</v>
      </c>
      <c r="OM519" s="8">
        <f>OF519-OJ519-OE519</f>
        <v>-324.89343461730823</v>
      </c>
      <c r="ON519" s="8">
        <f>OG519-OK519-OE519</f>
        <v>-56.64995323164476</v>
      </c>
      <c r="OO519" s="8">
        <f>OH519-OL519-OE519</f>
        <v>10.32725078893759</v>
      </c>
      <c r="OP519" s="8">
        <f>R_NF_2024*(1+G_HI)^(OB519-2024)</f>
        <v>1633.5095592347195</v>
      </c>
      <c r="OQ519" s="10">
        <f>1-OF519/OP519</f>
        <v>0.22265800966971316</v>
      </c>
      <c r="OR519" s="10">
        <f>CPI_2023/(IF(OB519-1=2023,CPI_2023,IF(OB519-1=2024,CPI_2024,IF(OB519-1=2025,CPI_2025,CPI_2025*(1+INFL)^(OB519-1-2025)))))</f>
        <v>0.48584428725347256</v>
      </c>
      <c r="OS519" s="8">
        <f>$OB$21*ABS($OB$11)*(OG519-OF519)/OF519</f>
        <v>22143.26496215822</v>
      </c>
      <c r="OT519" s="8">
        <f>$OB$21*ABS($OB$11)*(OH519-OF519)/OF519</f>
        <v>27672.17462061878</v>
      </c>
      <c r="OU519" s="13">
        <f>(OG519-OF519)*MCD_NF_DAYS*OR519-OS519*MCD_SHARE_FREED*R_WAIT_2023</f>
        <v>62124700.935393974</v>
      </c>
      <c r="OV519" s="13">
        <f>(OH519-OF519)*MCD_NF_DAYS*OR519-OT519*MCD_SHARE_FREED*R_WAIT_2023</f>
        <v>77636499.20081092</v>
      </c>
      <c r="OW519" s="10">
        <f>IF(AND(OB519&gt;=RULE_START,OC519=1),1/(1+$OB$12)^(OB519-RULE_START+1),0)</f>
        <v>0</v>
      </c>
      <c r="OX519">
        <f>IF(AND(OB519&gt;=RULE_START,OC519=1,OM519&lt;0),OB519,9999)</f>
        <v>9999</v>
      </c>
      <c r="OY519">
        <f>IF(AND(OB519&gt;=RULE_START,OC519=1,ON519&lt;0),OB519,9999)</f>
        <v>9999</v>
      </c>
      <c r="OZ519">
        <f>IF(AND(OB519&gt;=RULE_START,OC519=1,OO519&lt;0),OB519,9999)</f>
        <v>9999</v>
      </c>
    </row>
    <row r="520">
      <c r="B520" t="n">
        <v>2056</v>
      </c>
      <c r="C520">
        <f>IF(B520&lt;=RULE_START+$B$38-1,1,0)</f>
        <v>0</v>
      </c>
      <c r="D520" s="15">
        <f>IF(B520=2024,G_IDX_2024,IF(B520=2025,G_IDX_2025,IF(B520=2026,G_IDX_2026,IF(B520=2027,G_IDX_2027,$B$13))))</f>
        <v>0.033</v>
      </c>
      <c r="E520" s="8">
        <f>$B$20*(1+G_HI)^(B520-COST_DATE)</f>
        <v>1594.163178558687</v>
      </c>
      <c r="F520" s="8">
        <f>F519*(1+D520)</f>
        <v>1311.6988258750355</v>
      </c>
      <c r="G520" s="8">
        <f>IF(B520&lt;RULE_START,F520,G519*(1+G_HI))</f>
        <v>1614.1660312179606</v>
      </c>
      <c r="H520" s="8">
        <f>IF(B520&lt;RULE_START,F520,IF(I520=1,R_NF_2024*(1+G_HI)^(B520-2024),H519*(1+D520)))</f>
        <v>1675.7846165671517</v>
      </c>
      <c r="I520">
        <f>IF(AND(B520&gt;=RULE_START,MOD(B520-RULE_START,REBASE_YEARS)=0),1,0)</f>
        <v>0</v>
      </c>
      <c r="J520" s="8">
        <f>F520*CAP_SHARE</f>
        <v>64.1385689504203</v>
      </c>
      <c r="K520" s="8">
        <f>G520*CAP_SHARE</f>
        <v>78.92840738165204</v>
      </c>
      <c r="L520" s="8">
        <f>H520*CAP_SHARE</f>
        <v>81.94139161788475</v>
      </c>
      <c r="M520" s="8">
        <f>F520-J520-E520</f>
        <v>-346.60292163407166</v>
      </c>
      <c r="N520" s="8">
        <f>G520-K520-E520</f>
        <v>-58.925554722378365</v>
      </c>
      <c r="O520" s="8">
        <f>H520-L520-E520</f>
        <v>-0.3199536094200539</v>
      </c>
      <c r="P520" s="8">
        <f>R_NF_2024*(1+G_HI)^(B520-2024)</f>
        <v>1699.1268559149519</v>
      </c>
      <c r="Q520" s="10">
        <f>1-F520/P520</f>
        <v>0.22801595342408543</v>
      </c>
      <c r="R520" s="10">
        <f>CPI_2023/(IF(B520-1=2023,CPI_2023,IF(B520-1=2024,CPI_2024,IF(B520-1=2025,CPI_2025,CPI_2025*(1+INFL)^(B520-1-2025)))))</f>
        <v>0.4750139687656165</v>
      </c>
      <c r="S520" s="8">
        <f>$B$21*ABS($B$11)*(G520-F520)/F520</f>
        <v>22988.882118549598</v>
      </c>
      <c r="T520" s="8">
        <f>$B$21*ABS($B$11)*(H520-F520)/F520</f>
        <v>27672.17462061878</v>
      </c>
      <c r="U520" s="13">
        <f>(G520-F520)*MCD_NF_DAYS*R520-S520*MCD_SHARE_FREED*R_WAIT_2023</f>
        <v>65244601.89508792</v>
      </c>
      <c r="V520" s="13">
        <f>(H520-F520)*MCD_NF_DAYS*R520-T520*MCD_SHARE_FREED*R_WAIT_2023</f>
        <v>78536224.91877554</v>
      </c>
      <c r="W520" s="10">
        <f>IF(AND(B520&gt;=RULE_START,C520=1),1/(1+$B$12)^(B520-RULE_START+1),0)</f>
        <v>0</v>
      </c>
      <c r="X520">
        <f>IF(AND(B520&gt;=RULE_START,C520=1,M520&lt;0),B520,9999)</f>
        <v>9999</v>
      </c>
      <c r="Y520">
        <f>IF(AND(B520&gt;=RULE_START,C520=1,N520&lt;0),B520,9999)</f>
        <v>9999</v>
      </c>
      <c r="Z520">
        <f>IF(AND(B520&gt;=RULE_START,C520=1,O520&lt;0),B520,9999)</f>
        <v>9999</v>
      </c>
      <c r="AB520" t="n">
        <v>2056</v>
      </c>
      <c r="AC520">
        <f>IF(AB520&lt;=RULE_START+$AB$38-1,1,0)</f>
        <v>0</v>
      </c>
      <c r="AD520" s="15">
        <f>IF(AB520=2024,G_IDX_2024,IF(AB520=2025,G_IDX_2025,IF(AB520=2026,G_IDX_2026,IF(AB520=2027,G_IDX_2027,$AB$13))))</f>
        <v>0.033</v>
      </c>
      <c r="AE520" s="8">
        <f>$AB$20*(1+G_HI)^(AB520-COST_DATE)</f>
        <v>1594.163178558687</v>
      </c>
      <c r="AF520" s="8">
        <f>AF519*(1+AD520)</f>
        <v>1311.6988258750355</v>
      </c>
      <c r="AG520" s="8">
        <f>IF(AB520&lt;RULE_START,AF520,AG519*(1+G_HI))</f>
        <v>1614.1660312179606</v>
      </c>
      <c r="AH520" s="8">
        <f>IF(AB520&lt;RULE_START,AF520,IF(AI520=1,R_NF_2024*(1+G_HI)^(AB520-2024),AH519*(1+AD520)))</f>
        <v>1675.7846165671517</v>
      </c>
      <c r="AI520">
        <f>IF(AND(AB520&gt;=RULE_START,MOD(AB520-RULE_START,REBASE_YEARS)=0),1,0)</f>
        <v>0</v>
      </c>
      <c r="AJ520" s="8">
        <f>AF520*CAP_SHARE</f>
        <v>64.1385689504203</v>
      </c>
      <c r="AK520" s="8">
        <f>AG520*CAP_SHARE</f>
        <v>78.92840738165204</v>
      </c>
      <c r="AL520" s="8">
        <f>AH520*CAP_SHARE</f>
        <v>81.94139161788475</v>
      </c>
      <c r="AM520" s="8">
        <f>AF520-AJ520-AE520</f>
        <v>-346.60292163407166</v>
      </c>
      <c r="AN520" s="8">
        <f>AG520-AK520-AE520</f>
        <v>-58.925554722378365</v>
      </c>
      <c r="AO520" s="8">
        <f>AH520-AL520-AE520</f>
        <v>-0.3199536094200539</v>
      </c>
      <c r="AP520" s="8">
        <f>R_NF_2024*(1+G_HI)^(AB520-2024)</f>
        <v>1699.1268559149519</v>
      </c>
      <c r="AQ520" s="10">
        <f>1-AF520/AP520</f>
        <v>0.22801595342408543</v>
      </c>
      <c r="AR520" s="10">
        <f>CPI_2023/(IF(AB520-1=2023,CPI_2023,IF(AB520-1=2024,CPI_2024,IF(AB520-1=2025,CPI_2025,CPI_2025*(1+INFL)^(AB520-1-2025)))))</f>
        <v>0.4750139687656165</v>
      </c>
      <c r="AS520" s="8">
        <f>$AB$21*ABS($AB$11)*(AG520-AF520)/AF520</f>
        <v>22988.882118549598</v>
      </c>
      <c r="AT520" s="8">
        <f>$AB$21*ABS($AB$11)*(AH520-AF520)/AF520</f>
        <v>27672.17462061878</v>
      </c>
      <c r="AU520" s="13">
        <f>(AG520-AF520)*MCD_NF_DAYS*AR520-AS520*MCD_SHARE_FREED*R_WAIT_2023</f>
        <v>65244601.89508792</v>
      </c>
      <c r="AV520" s="13">
        <f>(AH520-AF520)*MCD_NF_DAYS*AR520-AT520*MCD_SHARE_FREED*R_WAIT_2023</f>
        <v>78536224.91877554</v>
      </c>
      <c r="AW520" s="10">
        <f>IF(AND(AB520&gt;=RULE_START,AC520=1),1/(1+$AB$12)^(AB520-RULE_START+1),0)</f>
        <v>0</v>
      </c>
      <c r="AX520">
        <f>IF(AND(AB520&gt;=RULE_START,AC520=1,AM520&lt;0),AB520,9999)</f>
        <v>9999</v>
      </c>
      <c r="AY520">
        <f>IF(AND(AB520&gt;=RULE_START,AC520=1,AN520&lt;0),AB520,9999)</f>
        <v>9999</v>
      </c>
      <c r="AZ520">
        <f>IF(AND(AB520&gt;=RULE_START,AC520=1,AO520&lt;0),AB520,9999)</f>
        <v>9999</v>
      </c>
      <c r="BB520" t="n">
        <v>2056</v>
      </c>
      <c r="BC520">
        <f>IF(BB520&lt;=RULE_START+$BB$38-1,1,0)</f>
        <v>0</v>
      </c>
      <c r="BD520" s="15">
        <f>IF(BB520=2024,G_IDX_2024,IF(BB520=2025,G_IDX_2025,IF(BB520=2026,G_IDX_2026,IF(BB520=2027,G_IDX_2027,$BB$13))))</f>
        <v>0.033</v>
      </c>
      <c r="BE520" s="8">
        <f>$BB$20*(1+G_HI)^(BB520-COST_DATE)</f>
        <v>1594.163178558687</v>
      </c>
      <c r="BF520" s="8">
        <f>BF519*(1+BD520)</f>
        <v>1311.6988258750355</v>
      </c>
      <c r="BG520" s="8">
        <f>IF(BB520&lt;RULE_START,BF520,BG519*(1+G_HI))</f>
        <v>1614.1660312179606</v>
      </c>
      <c r="BH520" s="8">
        <f>IF(BB520&lt;RULE_START,BF520,IF(BI520=1,R_NF_2024*(1+G_HI)^(BB520-2024),BH519*(1+BD520)))</f>
        <v>1675.7846165671517</v>
      </c>
      <c r="BI520">
        <f>IF(AND(BB520&gt;=RULE_START,MOD(BB520-RULE_START,REBASE_YEARS)=0),1,0)</f>
        <v>0</v>
      </c>
      <c r="BJ520" s="8">
        <f>BF520*CAP_SHARE</f>
        <v>64.1385689504203</v>
      </c>
      <c r="BK520" s="8">
        <f>BG520*CAP_SHARE</f>
        <v>78.92840738165204</v>
      </c>
      <c r="BL520" s="8">
        <f>BH520*CAP_SHARE</f>
        <v>81.94139161788475</v>
      </c>
      <c r="BM520" s="8">
        <f>BF520-BJ520-BE520</f>
        <v>-346.60292163407166</v>
      </c>
      <c r="BN520" s="8">
        <f>BG520-BK520-BE520</f>
        <v>-58.925554722378365</v>
      </c>
      <c r="BO520" s="8">
        <f>BH520-BL520-BE520</f>
        <v>-0.3199536094200539</v>
      </c>
      <c r="BP520" s="8">
        <f>R_NF_2024*(1+G_HI)^(BB520-2024)</f>
        <v>1699.1268559149519</v>
      </c>
      <c r="BQ520" s="10">
        <f>1-BF520/BP520</f>
        <v>0.22801595342408543</v>
      </c>
      <c r="BR520" s="10">
        <f>CPI_2023/(IF(BB520-1=2023,CPI_2023,IF(BB520-1=2024,CPI_2024,IF(BB520-1=2025,CPI_2025,CPI_2025*(1+INFL)^(BB520-1-2025)))))</f>
        <v>0.4750139687656165</v>
      </c>
      <c r="BS520" s="8">
        <f>$BB$21*ABS($BB$11)*(BG520-BF520)/BF520</f>
        <v>22988.882118549598</v>
      </c>
      <c r="BT520" s="8">
        <f>$BB$21*ABS($BB$11)*(BH520-BF520)/BF520</f>
        <v>27672.17462061878</v>
      </c>
      <c r="BU520" s="13">
        <f>(BG520-BF520)*MCD_NF_DAYS*BR520-BS520*MCD_SHARE_FREED*R_WAIT_2023</f>
        <v>65244601.89508792</v>
      </c>
      <c r="BV520" s="13">
        <f>(BH520-BF520)*MCD_NF_DAYS*BR520-BT520*MCD_SHARE_FREED*R_WAIT_2023</f>
        <v>78536224.91877554</v>
      </c>
      <c r="BW520" s="10">
        <f>IF(AND(BB520&gt;=RULE_START,BC520=1),1/(1+$BB$12)^(BB520-RULE_START+1),0)</f>
        <v>0</v>
      </c>
      <c r="BX520">
        <f>IF(AND(BB520&gt;=RULE_START,BC520=1,BM520&lt;0),BB520,9999)</f>
        <v>9999</v>
      </c>
      <c r="BY520">
        <f>IF(AND(BB520&gt;=RULE_START,BC520=1,BN520&lt;0),BB520,9999)</f>
        <v>9999</v>
      </c>
      <c r="BZ520">
        <f>IF(AND(BB520&gt;=RULE_START,BC520=1,BO520&lt;0),BB520,9999)</f>
        <v>9999</v>
      </c>
      <c r="CB520" t="n">
        <v>2056</v>
      </c>
      <c r="CC520">
        <f>IF(CB520&lt;=RULE_START+$CB$38-1,1,0)</f>
        <v>1</v>
      </c>
      <c r="CD520" s="15">
        <f>IF(CB520=2024,G_IDX_2024,IF(CB520=2025,G_IDX_2025,IF(CB520=2026,G_IDX_2026,IF(CB520=2027,G_IDX_2027,$CB$13))))</f>
        <v>0.033</v>
      </c>
      <c r="CE520" s="8">
        <f>$CB$20*(1+G_HI)^(CB520-COST_DATE)</f>
        <v>1594.163178558687</v>
      </c>
      <c r="CF520" s="8">
        <f>CF519*(1+CD520)</f>
        <v>1311.6988258750355</v>
      </c>
      <c r="CG520" s="8">
        <f>IF(CB520&lt;RULE_START,CF520,CG519*(1+G_HI))</f>
        <v>1614.1660312179606</v>
      </c>
      <c r="CH520" s="8">
        <f>IF(CB520&lt;RULE_START,CF520,IF(CI520=1,R_NF_2024*(1+G_HI)^(CB520-2024),CH519*(1+CD520)))</f>
        <v>1675.7846165671517</v>
      </c>
      <c r="CI520">
        <f>IF(AND(CB520&gt;=RULE_START,MOD(CB520-RULE_START,REBASE_YEARS)=0),1,0)</f>
        <v>0</v>
      </c>
      <c r="CJ520" s="8">
        <f>CF520*CAP_SHARE</f>
        <v>64.1385689504203</v>
      </c>
      <c r="CK520" s="8">
        <f>CG520*CAP_SHARE</f>
        <v>78.92840738165204</v>
      </c>
      <c r="CL520" s="8">
        <f>CH520*CAP_SHARE</f>
        <v>81.94139161788475</v>
      </c>
      <c r="CM520" s="8">
        <f>CF520-CJ520-CE520</f>
        <v>-346.60292163407166</v>
      </c>
      <c r="CN520" s="8">
        <f>CG520-CK520-CE520</f>
        <v>-58.925554722378365</v>
      </c>
      <c r="CO520" s="8">
        <f>CH520-CL520-CE520</f>
        <v>-0.3199536094200539</v>
      </c>
      <c r="CP520" s="8">
        <f>R_NF_2024*(1+G_HI)^(CB520-2024)</f>
        <v>1699.1268559149519</v>
      </c>
      <c r="CQ520" s="10">
        <f>1-CF520/CP520</f>
        <v>0.22801595342408543</v>
      </c>
      <c r="CR520" s="10">
        <f>CPI_2023/(IF(CB520-1=2023,CPI_2023,IF(CB520-1=2024,CPI_2024,IF(CB520-1=2025,CPI_2025,CPI_2025*(1+INFL)^(CB520-1-2025)))))</f>
        <v>0.4750139687656165</v>
      </c>
      <c r="CS520" s="8">
        <f>$CB$21*ABS($CB$11)*(CG520-CF520)/CF520</f>
        <v>22988.882118549598</v>
      </c>
      <c r="CT520" s="8">
        <f>$CB$21*ABS($CB$11)*(CH520-CF520)/CF520</f>
        <v>27672.17462061878</v>
      </c>
      <c r="CU520" s="13">
        <f>(CG520-CF520)*MCD_NF_DAYS*CR520-CS520*MCD_SHARE_FREED*R_WAIT_2023</f>
        <v>65244601.89508792</v>
      </c>
      <c r="CV520" s="13">
        <f>(CH520-CF520)*MCD_NF_DAYS*CR520-CT520*MCD_SHARE_FREED*R_WAIT_2023</f>
        <v>78536224.91877554</v>
      </c>
      <c r="CW520" s="10">
        <f>IF(AND(CB520&gt;=RULE_START,CC520=1),1/(1+$CB$12)^(CB520-RULE_START+1),0)</f>
        <v>0.5520708889799116</v>
      </c>
      <c r="CX520">
        <f>IF(AND(CB520&gt;=RULE_START,CC520=1,CM520&lt;0),CB520,9999)</f>
        <v>2056</v>
      </c>
      <c r="CY520">
        <f>IF(AND(CB520&gt;=RULE_START,CC520=1,CN520&lt;0),CB520,9999)</f>
        <v>2056</v>
      </c>
      <c r="CZ520">
        <f>IF(AND(CB520&gt;=RULE_START,CC520=1,CO520&lt;0),CB520,9999)</f>
        <v>2056</v>
      </c>
      <c r="DB520" t="n">
        <v>2056</v>
      </c>
      <c r="DC520">
        <f>IF(DB520&lt;=RULE_START+$DB$38-1,1,0)</f>
        <v>0</v>
      </c>
      <c r="DD520" s="15">
        <f>IF(DB520=2024,G_IDX_2024,IF(DB520=2025,G_IDX_2025,IF(DB520=2026,G_IDX_2026,IF(DB520=2027,G_IDX_2027,$DB$13))))</f>
        <v>0.033</v>
      </c>
      <c r="DE520" s="8">
        <f>$DB$20*(1+G_HI)^(DB520-COST_DATE)</f>
        <v>1594.163178558687</v>
      </c>
      <c r="DF520" s="8">
        <f>DF519*(1+DD520)</f>
        <v>1311.6988258750355</v>
      </c>
      <c r="DG520" s="8">
        <f>IF(DB520&lt;RULE_START,DF520,DG519*(1+G_HI))</f>
        <v>1614.1660312179606</v>
      </c>
      <c r="DH520" s="8">
        <f>IF(DB520&lt;RULE_START,DF520,IF(DI520=1,R_NF_2024*(1+G_HI)^(DB520-2024),DH519*(1+DD520)))</f>
        <v>1675.7846165671517</v>
      </c>
      <c r="DI520">
        <f>IF(AND(DB520&gt;=RULE_START,MOD(DB520-RULE_START,REBASE_YEARS)=0),1,0)</f>
        <v>0</v>
      </c>
      <c r="DJ520" s="8">
        <f>DF520*CAP_SHARE</f>
        <v>64.1385689504203</v>
      </c>
      <c r="DK520" s="8">
        <f>DG520*CAP_SHARE</f>
        <v>78.92840738165204</v>
      </c>
      <c r="DL520" s="8">
        <f>DH520*CAP_SHARE</f>
        <v>81.94139161788475</v>
      </c>
      <c r="DM520" s="8">
        <f>DF520-DJ520-DE520</f>
        <v>-346.60292163407166</v>
      </c>
      <c r="DN520" s="8">
        <f>DG520-DK520-DE520</f>
        <v>-58.925554722378365</v>
      </c>
      <c r="DO520" s="8">
        <f>DH520-DL520-DE520</f>
        <v>-0.3199536094200539</v>
      </c>
      <c r="DP520" s="8">
        <f>R_NF_2024*(1+G_HI)^(DB520-2024)</f>
        <v>1699.1268559149519</v>
      </c>
      <c r="DQ520" s="10">
        <f>1-DF520/DP520</f>
        <v>0.22801595342408543</v>
      </c>
      <c r="DR520" s="10">
        <f>CPI_2023/(IF(DB520-1=2023,CPI_2023,IF(DB520-1=2024,CPI_2024,IF(DB520-1=2025,CPI_2025,CPI_2025*(1+INFL)^(DB520-1-2025)))))</f>
        <v>0.4750139687656165</v>
      </c>
      <c r="DS520" s="8">
        <f>$DB$21*ABS($DB$11)*(DG520-DF520)/DF520</f>
        <v>22988.882118549598</v>
      </c>
      <c r="DT520" s="8">
        <f>$DB$21*ABS($DB$11)*(DH520-DF520)/DF520</f>
        <v>27672.17462061878</v>
      </c>
      <c r="DU520" s="13">
        <f>(DG520-DF520)*MCD_NF_DAYS*DR520-DS520*MCD_SHARE_FREED*R_WAIT_2023</f>
        <v>65244601.89508792</v>
      </c>
      <c r="DV520" s="13">
        <f>(DH520-DF520)*MCD_NF_DAYS*DR520-DT520*MCD_SHARE_FREED*R_WAIT_2023</f>
        <v>78536224.91877554</v>
      </c>
      <c r="DW520" s="10">
        <f>IF(AND(DB520&gt;=RULE_START,DC520=1),1/(1+$DB$12)^(DB520-RULE_START+1),0)</f>
        <v>0</v>
      </c>
      <c r="DX520">
        <f>IF(AND(DB520&gt;=RULE_START,DC520=1,DM520&lt;0),DB520,9999)</f>
        <v>9999</v>
      </c>
      <c r="DY520">
        <f>IF(AND(DB520&gt;=RULE_START,DC520=1,DN520&lt;0),DB520,9999)</f>
        <v>9999</v>
      </c>
      <c r="DZ520">
        <f>IF(AND(DB520&gt;=RULE_START,DC520=1,DO520&lt;0),DB520,9999)</f>
        <v>9999</v>
      </c>
      <c r="EB520" t="n">
        <v>2056</v>
      </c>
      <c r="EC520">
        <f>IF(EB520&lt;=RULE_START+$EB$38-1,1,0)</f>
        <v>0</v>
      </c>
      <c r="ED520" s="15">
        <f>IF(EB520=2024,G_IDX_2024,IF(EB520=2025,G_IDX_2025,IF(EB520=2026,G_IDX_2026,IF(EB520=2027,G_IDX_2027,$EB$13))))</f>
        <v>0.033</v>
      </c>
      <c r="EE520" s="8">
        <f>$EB$20*(1+G_HI)^(EB520-COST_DATE)</f>
        <v>1594.163178558687</v>
      </c>
      <c r="EF520" s="8">
        <f>EF519*(1+ED520)</f>
        <v>1311.6988258750355</v>
      </c>
      <c r="EG520" s="8">
        <f>IF(EB520&lt;RULE_START,EF520,EG519*(1+G_HI))</f>
        <v>1614.1660312179606</v>
      </c>
      <c r="EH520" s="8">
        <f>IF(EB520&lt;RULE_START,EF520,IF(EI520=1,R_NF_2024*(1+G_HI)^(EB520-2024),EH519*(1+ED520)))</f>
        <v>1675.7846165671517</v>
      </c>
      <c r="EI520">
        <f>IF(AND(EB520&gt;=RULE_START,MOD(EB520-RULE_START,REBASE_YEARS)=0),1,0)</f>
        <v>0</v>
      </c>
      <c r="EJ520" s="8">
        <f>EF520*CAP_SHARE</f>
        <v>64.1385689504203</v>
      </c>
      <c r="EK520" s="8">
        <f>EG520*CAP_SHARE</f>
        <v>78.92840738165204</v>
      </c>
      <c r="EL520" s="8">
        <f>EH520*CAP_SHARE</f>
        <v>81.94139161788475</v>
      </c>
      <c r="EM520" s="8">
        <f>EF520-EJ520-EE520</f>
        <v>-346.60292163407166</v>
      </c>
      <c r="EN520" s="8">
        <f>EG520-EK520-EE520</f>
        <v>-58.925554722378365</v>
      </c>
      <c r="EO520" s="8">
        <f>EH520-EL520-EE520</f>
        <v>-0.3199536094200539</v>
      </c>
      <c r="EP520" s="8">
        <f>R_NF_2024*(1+G_HI)^(EB520-2024)</f>
        <v>1699.1268559149519</v>
      </c>
      <c r="EQ520" s="10">
        <f>1-EF520/EP520</f>
        <v>0.22801595342408543</v>
      </c>
      <c r="ER520" s="10">
        <f>CPI_2023/(IF(EB520-1=2023,CPI_2023,IF(EB520-1=2024,CPI_2024,IF(EB520-1=2025,CPI_2025,CPI_2025*(1+INFL)^(EB520-1-2025)))))</f>
        <v>0.4750139687656165</v>
      </c>
      <c r="ES520" s="8">
        <f>$EB$21*ABS($EB$11)*(EG520-EF520)/EF520</f>
        <v>22988.882118549598</v>
      </c>
      <c r="ET520" s="8">
        <f>$EB$21*ABS($EB$11)*(EH520-EF520)/EF520</f>
        <v>27672.17462061878</v>
      </c>
      <c r="EU520" s="13">
        <f>(EG520-EF520)*MCD_NF_DAYS*ER520-ES520*MCD_SHARE_FREED*R_WAIT_2023</f>
        <v>65244601.89508792</v>
      </c>
      <c r="EV520" s="13">
        <f>(EH520-EF520)*MCD_NF_DAYS*ER520-ET520*MCD_SHARE_FREED*R_WAIT_2023</f>
        <v>78536224.91877554</v>
      </c>
      <c r="EW520" s="10">
        <f>IF(AND(EB520&gt;=RULE_START,EC520=1),1/(1+$EB$12)^(EB520-RULE_START+1),0)</f>
        <v>0</v>
      </c>
      <c r="EX520">
        <f>IF(AND(EB520&gt;=RULE_START,EC520=1,EM520&lt;0),EB520,9999)</f>
        <v>9999</v>
      </c>
      <c r="EY520">
        <f>IF(AND(EB520&gt;=RULE_START,EC520=1,EN520&lt;0),EB520,9999)</f>
        <v>9999</v>
      </c>
      <c r="EZ520">
        <f>IF(AND(EB520&gt;=RULE_START,EC520=1,EO520&lt;0),EB520,9999)</f>
        <v>9999</v>
      </c>
      <c r="FB520" t="n">
        <v>2056</v>
      </c>
      <c r="FC520">
        <f>IF(FB520&lt;=RULE_START+$FB$38-1,1,0)</f>
        <v>0</v>
      </c>
      <c r="FD520" s="15">
        <f>IF(FB520=2024,G_IDX_2024,IF(FB520=2025,G_IDX_2025,IF(FB520=2026,G_IDX_2026,IF(FB520=2027,G_IDX_2027,$FB$13))))</f>
        <v>0.033</v>
      </c>
      <c r="FE520" s="8">
        <f>$FB$20*(1+G_HI)^(FB520-COST_DATE)</f>
        <v>1640.604847387588</v>
      </c>
      <c r="FF520" s="8">
        <f>FF519*(1+FD520)</f>
        <v>1311.6988258750355</v>
      </c>
      <c r="FG520" s="8">
        <f>IF(FB520&lt;RULE_START,FF520,FG519*(1+G_HI))</f>
        <v>1614.1660312179606</v>
      </c>
      <c r="FH520" s="8">
        <f>IF(FB520&lt;RULE_START,FF520,IF(FI520=1,R_NF_2024*(1+G_HI)^(FB520-2024),FH519*(1+FD520)))</f>
        <v>1675.7846165671517</v>
      </c>
      <c r="FI520">
        <f>IF(AND(FB520&gt;=RULE_START,MOD(FB520-RULE_START,REBASE_YEARS)=0),1,0)</f>
        <v>0</v>
      </c>
      <c r="FJ520" s="8">
        <f>FF520*CAP_SHARE</f>
        <v>64.1385689504203</v>
      </c>
      <c r="FK520" s="8">
        <f>FG520*CAP_SHARE</f>
        <v>78.92840738165204</v>
      </c>
      <c r="FL520" s="8">
        <f>FH520*CAP_SHARE</f>
        <v>81.94139161788475</v>
      </c>
      <c r="FM520" s="8">
        <f>FF520-FJ520-FE520</f>
        <v>-393.0445904629728</v>
      </c>
      <c r="FN520" s="8">
        <f>FG520-FK520-FE520</f>
        <v>-105.3672235512795</v>
      </c>
      <c r="FO520" s="8">
        <f>FH520-FL520-FE520</f>
        <v>-46.76162243832118</v>
      </c>
      <c r="FP520" s="8">
        <f>R_NF_2024*(1+G_HI)^(FB520-2024)</f>
        <v>1699.1268559149519</v>
      </c>
      <c r="FQ520" s="10">
        <f>1-FF520/FP520</f>
        <v>0.22801595342408543</v>
      </c>
      <c r="FR520" s="10">
        <f>CPI_2023/(IF(FB520-1=2023,CPI_2023,IF(FB520-1=2024,CPI_2024,IF(FB520-1=2025,CPI_2025,CPI_2025*(1+INFL)^(FB520-1-2025)))))</f>
        <v>0.4750139687656165</v>
      </c>
      <c r="FS520" s="8">
        <f>$FB$21*ABS($FB$11)*(FG520-FF520)/FF520</f>
        <v>22988.882118549598</v>
      </c>
      <c r="FT520" s="8">
        <f>$FB$21*ABS($FB$11)*(FH520-FF520)/FF520</f>
        <v>27672.17462061878</v>
      </c>
      <c r="FU520" s="13">
        <f>(FG520-FF520)*MCD_NF_DAYS*FR520-FS520*MCD_SHARE_FREED*R_WAIT_2023</f>
        <v>65244601.89508792</v>
      </c>
      <c r="FV520" s="13">
        <f>(FH520-FF520)*MCD_NF_DAYS*FR520-FT520*MCD_SHARE_FREED*R_WAIT_2023</f>
        <v>78536224.91877554</v>
      </c>
      <c r="FW520" s="10">
        <f>IF(AND(FB520&gt;=RULE_START,FC520=1),1/(1+$FB$12)^(FB520-RULE_START+1),0)</f>
        <v>0</v>
      </c>
      <c r="FX520">
        <f>IF(AND(FB520&gt;=RULE_START,FC520=1,FM520&lt;0),FB520,9999)</f>
        <v>9999</v>
      </c>
      <c r="FY520">
        <f>IF(AND(FB520&gt;=RULE_START,FC520=1,FN520&lt;0),FB520,9999)</f>
        <v>9999</v>
      </c>
      <c r="FZ520">
        <f>IF(AND(FB520&gt;=RULE_START,FC520=1,FO520&lt;0),FB520,9999)</f>
        <v>9999</v>
      </c>
      <c r="GB520" t="n">
        <v>2056</v>
      </c>
      <c r="GC520">
        <f>IF(GB520&lt;=RULE_START+$GB$38-1,1,0)</f>
        <v>0</v>
      </c>
      <c r="GD520" s="15">
        <f>IF(GB520=2024,G_IDX_2024,IF(GB520=2025,G_IDX_2025,IF(GB520=2026,G_IDX_2026,IF(GB520=2027,G_IDX_2027,$GB$13))))</f>
        <v>0.033</v>
      </c>
      <c r="GE520" s="8">
        <f>$GB$20*(1+G_HI)^(GB520-COST_DATE)</f>
        <v>1594.163178558687</v>
      </c>
      <c r="GF520" s="8">
        <f>GF519*(1+GD520)</f>
        <v>1311.6988258750355</v>
      </c>
      <c r="GG520" s="8">
        <f>IF(GB520&lt;RULE_START,GF520,GG519*(1+G_HI))</f>
        <v>1614.1660312179606</v>
      </c>
      <c r="GH520" s="8">
        <f>IF(GB520&lt;RULE_START,GF520,IF(GI520=1,R_NF_2024*(1+G_HI)^(GB520-2024),GH519*(1+GD520)))</f>
        <v>1675.7846165671517</v>
      </c>
      <c r="GI520">
        <f>IF(AND(GB520&gt;=RULE_START,MOD(GB520-RULE_START,REBASE_YEARS)=0),1,0)</f>
        <v>0</v>
      </c>
      <c r="GJ520" s="8">
        <f>GF520*CAP_SHARE</f>
        <v>64.1385689504203</v>
      </c>
      <c r="GK520" s="8">
        <f>GG520*CAP_SHARE</f>
        <v>78.92840738165204</v>
      </c>
      <c r="GL520" s="8">
        <f>GH520*CAP_SHARE</f>
        <v>81.94139161788475</v>
      </c>
      <c r="GM520" s="8">
        <f>GF520-GJ520-GE520</f>
        <v>-346.60292163407166</v>
      </c>
      <c r="GN520" s="8">
        <f>GG520-GK520-GE520</f>
        <v>-58.925554722378365</v>
      </c>
      <c r="GO520" s="8">
        <f>GH520-GL520-GE520</f>
        <v>-0.3199536094200539</v>
      </c>
      <c r="GP520" s="8">
        <f>R_NF_2024*(1+G_HI)^(GB520-2024)</f>
        <v>1699.1268559149519</v>
      </c>
      <c r="GQ520" s="10">
        <f>1-GF520/GP520</f>
        <v>0.22801595342408543</v>
      </c>
      <c r="GR520" s="10">
        <f>CPI_2023/(IF(GB520-1=2023,CPI_2023,IF(GB520-1=2024,CPI_2024,IF(GB520-1=2025,CPI_2025,CPI_2025*(1+INFL)^(GB520-1-2025)))))</f>
        <v>0.4750139687656165</v>
      </c>
      <c r="GS520" s="8">
        <f>$GB$21*ABS($GB$11)*(GG520-GF520)/GF520</f>
        <v>17353.157325149932</v>
      </c>
      <c r="GT520" s="8">
        <f>$GB$21*ABS($GB$11)*(GH520-GF520)/GF520</f>
        <v>20888.340600657073</v>
      </c>
      <c r="GU520" s="13">
        <f>(GG520-GF520)*MCD_NF_DAYS*GR520-GS520*MCD_SHARE_FREED*R_WAIT_2023</f>
        <v>67807271.52111742</v>
      </c>
      <c r="GV520" s="13">
        <f>(GH520-GF520)*MCD_NF_DAYS*GR520-GT520*MCD_SHARE_FREED*R_WAIT_2023</f>
        <v>81620961.31529754</v>
      </c>
      <c r="GW520" s="10">
        <f>IF(AND(GB520&gt;=RULE_START,GC520=1),1/(1+$GB$12)^(GB520-RULE_START+1),0)</f>
        <v>0</v>
      </c>
      <c r="GX520">
        <f>IF(AND(GB520&gt;=RULE_START,GC520=1,GM520&lt;0),GB520,9999)</f>
        <v>9999</v>
      </c>
      <c r="GY520">
        <f>IF(AND(GB520&gt;=RULE_START,GC520=1,GN520&lt;0),GB520,9999)</f>
        <v>9999</v>
      </c>
      <c r="GZ520">
        <f>IF(AND(GB520&gt;=RULE_START,GC520=1,GO520&lt;0),GB520,9999)</f>
        <v>9999</v>
      </c>
      <c r="HB520" t="n">
        <v>2056</v>
      </c>
      <c r="HC520">
        <f>IF(HB520&lt;=RULE_START+$HB$38-1,1,0)</f>
        <v>0</v>
      </c>
      <c r="HD520" s="15">
        <f>IF(HB520=2024,G_IDX_2024,IF(HB520=2025,G_IDX_2025,IF(HB520=2026,G_IDX_2026,IF(HB520=2027,G_IDX_2027,$HB$13))))</f>
        <v>0.033</v>
      </c>
      <c r="HE520" s="8">
        <f>$HB$20*(1+G_HI)^(HB520-COST_DATE)</f>
        <v>1594.163178558687</v>
      </c>
      <c r="HF520" s="8">
        <f>HF519*(1+HD520)</f>
        <v>1311.6988258750355</v>
      </c>
      <c r="HG520" s="8">
        <f>IF(HB520&lt;RULE_START,HF520,HG519*(1+G_HI))</f>
        <v>1614.1660312179606</v>
      </c>
      <c r="HH520" s="8">
        <f>IF(HB520&lt;RULE_START,HF520,IF(HI520=1,R_NF_2024*(1+G_HI)^(HB520-2024),HH519*(1+HD520)))</f>
        <v>1675.7846165671517</v>
      </c>
      <c r="HI520">
        <f>IF(AND(HB520&gt;=RULE_START,MOD(HB520-RULE_START,REBASE_YEARS)=0),1,0)</f>
        <v>0</v>
      </c>
      <c r="HJ520" s="8">
        <f>HF520*CAP_SHARE</f>
        <v>64.1385689504203</v>
      </c>
      <c r="HK520" s="8">
        <f>HG520*CAP_SHARE</f>
        <v>78.92840738165204</v>
      </c>
      <c r="HL520" s="8">
        <f>HH520*CAP_SHARE</f>
        <v>81.94139161788475</v>
      </c>
      <c r="HM520" s="8">
        <f>HF520-HJ520-HE520</f>
        <v>-346.60292163407166</v>
      </c>
      <c r="HN520" s="8">
        <f>HG520-HK520-HE520</f>
        <v>-58.925554722378365</v>
      </c>
      <c r="HO520" s="8">
        <f>HH520-HL520-HE520</f>
        <v>-0.3199536094200539</v>
      </c>
      <c r="HP520" s="8">
        <f>R_NF_2024*(1+G_HI)^(HB520-2024)</f>
        <v>1699.1268559149519</v>
      </c>
      <c r="HQ520" s="10">
        <f>1-HF520/HP520</f>
        <v>0.22801595342408543</v>
      </c>
      <c r="HR520" s="10">
        <f>CPI_2023/(IF(HB520-1=2023,CPI_2023,IF(HB520-1=2024,CPI_2024,IF(HB520-1=2025,CPI_2025,CPI_2025*(1+INFL)^(HB520-1-2025)))))</f>
        <v>0.4750139687656165</v>
      </c>
      <c r="HS520" s="8">
        <f>$HB$21*ABS($HB$11)*(HG520-HF520)/HF520</f>
        <v>22988.882118549598</v>
      </c>
      <c r="HT520" s="8">
        <f>$HB$21*ABS($HB$11)*(HH520-HF520)/HF520</f>
        <v>27672.17462061878</v>
      </c>
      <c r="HU520" s="13">
        <f>(HG520-HF520)*MCD_NF_DAYS*HR520-HS520*MCD_SHARE_FREED*R_WAIT_2023</f>
        <v>65244601.89508792</v>
      </c>
      <c r="HV520" s="13">
        <f>(HH520-HF520)*MCD_NF_DAYS*HR520-HT520*MCD_SHARE_FREED*R_WAIT_2023</f>
        <v>78536224.91877554</v>
      </c>
      <c r="HW520" s="10">
        <f>IF(AND(HB520&gt;=RULE_START,HC520=1),1/(1+$HB$12)^(HB520-RULE_START+1),0)</f>
        <v>0</v>
      </c>
      <c r="HX520">
        <f>IF(AND(HB520&gt;=RULE_START,HC520=1,HM520&lt;0),HB520,9999)</f>
        <v>9999</v>
      </c>
      <c r="HY520">
        <f>IF(AND(HB520&gt;=RULE_START,HC520=1,HN520&lt;0),HB520,9999)</f>
        <v>9999</v>
      </c>
      <c r="HZ520">
        <f>IF(AND(HB520&gt;=RULE_START,HC520=1,HO520&lt;0),HB520,9999)</f>
        <v>9999</v>
      </c>
      <c r="IB520" t="n">
        <v>2056</v>
      </c>
      <c r="IC520">
        <f>IF(IB520&lt;=RULE_START+$IB$38-1,1,0)</f>
        <v>0</v>
      </c>
      <c r="ID520" s="15">
        <f>IF(IB520=2024,G_IDX_2024,IF(IB520=2025,G_IDX_2025,IF(IB520=2026,G_IDX_2026,IF(IB520=2027,G_IDX_2027,$IB$13))))</f>
        <v>0.033</v>
      </c>
      <c r="IE520" s="8">
        <f>$IB$20*(1+G_HI)^(IB520-COST_DATE)</f>
        <v>1594.163178558687</v>
      </c>
      <c r="IF520" s="8">
        <f>IF519*(1+ID520)</f>
        <v>1311.6988258750355</v>
      </c>
      <c r="IG520" s="8">
        <f>IF(IB520&lt;RULE_START,IF520,IG519*(1+G_HI))</f>
        <v>1614.1660312179606</v>
      </c>
      <c r="IH520" s="8">
        <f>IF(IB520&lt;RULE_START,IF520,IF(II520=1,R_NF_2024*(1+G_HI)^(IB520-2024),IH519*(1+ID520)))</f>
        <v>1675.7846165671517</v>
      </c>
      <c r="II520">
        <f>IF(AND(IB520&gt;=RULE_START,MOD(IB520-RULE_START,REBASE_YEARS)=0),1,0)</f>
        <v>0</v>
      </c>
      <c r="IJ520" s="8">
        <f>IF520*CAP_SHARE</f>
        <v>64.1385689504203</v>
      </c>
      <c r="IK520" s="8">
        <f>IG520*CAP_SHARE</f>
        <v>78.92840738165204</v>
      </c>
      <c r="IL520" s="8">
        <f>IH520*CAP_SHARE</f>
        <v>81.94139161788475</v>
      </c>
      <c r="IM520" s="8">
        <f>IF520-IJ520-IE520</f>
        <v>-346.60292163407166</v>
      </c>
      <c r="IN520" s="8">
        <f>IG520-IK520-IE520</f>
        <v>-58.925554722378365</v>
      </c>
      <c r="IO520" s="8">
        <f>IH520-IL520-IE520</f>
        <v>-0.3199536094200539</v>
      </c>
      <c r="IP520" s="8">
        <f>R_NF_2024*(1+G_HI)^(IB520-2024)</f>
        <v>1699.1268559149519</v>
      </c>
      <c r="IQ520" s="10">
        <f>1-IF520/IP520</f>
        <v>0.22801595342408543</v>
      </c>
      <c r="IR520" s="10">
        <f>CPI_2023/(IF(IB520-1=2023,CPI_2023,IF(IB520-1=2024,CPI_2024,IF(IB520-1=2025,CPI_2025,CPI_2025*(1+INFL)^(IB520-1-2025)))))</f>
        <v>0.4750139687656165</v>
      </c>
      <c r="IS520" s="8">
        <f>$IB$21*ABS($IB$11)*(IG520-IF520)/IF520</f>
        <v>22988.882118549598</v>
      </c>
      <c r="IT520" s="8">
        <f>$IB$21*ABS($IB$11)*(IH520-IF520)/IF520</f>
        <v>27672.17462061878</v>
      </c>
      <c r="IU520" s="13">
        <f>(IG520-IF520)*MCD_NF_DAYS*IR520-IS520*MCD_SHARE_FREED*R_WAIT_2023</f>
        <v>65244601.89508792</v>
      </c>
      <c r="IV520" s="13">
        <f>(IH520-IF520)*MCD_NF_DAYS*IR520-IT520*MCD_SHARE_FREED*R_WAIT_2023</f>
        <v>78536224.91877554</v>
      </c>
      <c r="IW520" s="10">
        <f>IF(AND(IB520&gt;=RULE_START,IC520=1),1/(1+$IB$12)^(IB520-RULE_START+1),0)</f>
        <v>0</v>
      </c>
      <c r="IX520">
        <f>IF(AND(IB520&gt;=RULE_START,IC520=1,IM520&lt;0),IB520,9999)</f>
        <v>9999</v>
      </c>
      <c r="IY520">
        <f>IF(AND(IB520&gt;=RULE_START,IC520=1,IN520&lt;0),IB520,9999)</f>
        <v>9999</v>
      </c>
      <c r="IZ520">
        <f>IF(AND(IB520&gt;=RULE_START,IC520=1,IO520&lt;0),IB520,9999)</f>
        <v>9999</v>
      </c>
      <c r="JB520" t="n">
        <v>2056</v>
      </c>
      <c r="JC520">
        <f>IF(JB520&lt;=RULE_START+$JB$38-1,1,0)</f>
        <v>0</v>
      </c>
      <c r="JD520" s="15">
        <f>IF(JB520=2024,G_IDX_2024,IF(JB520=2025,G_IDX_2025,IF(JB520=2026,G_IDX_2026,IF(JB520=2027,G_IDX_2027,$JB$13))))</f>
        <v>0.03</v>
      </c>
      <c r="JE520" s="8">
        <f>$JB$20*(1+G_HI)^(JB520-COST_DATE)</f>
        <v>1594.163178558687</v>
      </c>
      <c r="JF520" s="8">
        <f>JF519*(1+JD520)</f>
        <v>1205.6030060572346</v>
      </c>
      <c r="JG520" s="8">
        <f>IF(JB520&lt;RULE_START,JF520,JG519*(1+G_HI))</f>
        <v>1614.1660312179606</v>
      </c>
      <c r="JH520" s="8">
        <f>IF(JB520&lt;RULE_START,JF520,IF(JI520=1,R_NF_2024*(1+G_HI)^(JB520-2024),JH519*(1+JD520)))</f>
        <v>1666.0652482745973</v>
      </c>
      <c r="JI520">
        <f>IF(AND(JB520&gt;=RULE_START,MOD(JB520-RULE_START,REBASE_YEARS)=0),1,0)</f>
        <v>0</v>
      </c>
      <c r="JJ520" s="8">
        <f>JF520*CAP_SHARE</f>
        <v>58.950766750326174</v>
      </c>
      <c r="JK520" s="8">
        <f>JG520*CAP_SHARE</f>
        <v>78.92840738165204</v>
      </c>
      <c r="JL520" s="8">
        <f>JH520*CAP_SHARE</f>
        <v>81.46614046945845</v>
      </c>
      <c r="JM520" s="8">
        <f>JF520-JJ520-JE520</f>
        <v>-447.5109392517786</v>
      </c>
      <c r="JN520" s="8">
        <f>JG520-JK520-JE520</f>
        <v>-58.925554722378365</v>
      </c>
      <c r="JO520" s="8">
        <f>JH520-JL520-JE520</f>
        <v>-9.564070753548094</v>
      </c>
      <c r="JP520" s="8">
        <f>R_NF_2024*(1+G_HI)^(JB520-2024)</f>
        <v>1699.1268559149519</v>
      </c>
      <c r="JQ520" s="10">
        <f>1-JF520/JP520</f>
        <v>0.29045732997490814</v>
      </c>
      <c r="JR520" s="10">
        <f>CPI_2023/(IF(JB520-1=2023,CPI_2023,IF(JB520-1=2024,CPI_2024,IF(JB520-1=2025,CPI_2025,CPI_2025*(1+INFL)^(JB520-1-2025)))))</f>
        <v>0.4750139687656165</v>
      </c>
      <c r="JS520" s="8">
        <f>$JB$21*ABS($JB$11)*(JG520-JF520)/JF520</f>
        <v>33785.350424677126</v>
      </c>
      <c r="JT520" s="8">
        <f>$JB$21*ABS($JB$11)*(JH520-JF520)/JF520</f>
        <v>38077.05850162574</v>
      </c>
      <c r="JU520" s="13">
        <f>(JG520-JF520)*MCD_NF_DAYS*JR520-JS520*MCD_SHARE_FREED*R_WAIT_2023</f>
        <v>86887709.45513445</v>
      </c>
      <c r="JV520" s="13">
        <f>(JH520-JF520)*MCD_NF_DAYS*JR520-JT520*MCD_SHARE_FREED*R_WAIT_2023</f>
        <v>97924939.49030964</v>
      </c>
      <c r="JW520" s="10">
        <f>IF(AND(JB520&gt;=RULE_START,JC520=1),1/(1+$JB$12)^(JB520-RULE_START+1),0)</f>
        <v>0</v>
      </c>
      <c r="JX520">
        <f>IF(AND(JB520&gt;=RULE_START,JC520=1,JM520&lt;0),JB520,9999)</f>
        <v>9999</v>
      </c>
      <c r="JY520">
        <f>IF(AND(JB520&gt;=RULE_START,JC520=1,JN520&lt;0),JB520,9999)</f>
        <v>9999</v>
      </c>
      <c r="JZ520">
        <f>IF(AND(JB520&gt;=RULE_START,JC520=1,JO520&lt;0),JB520,9999)</f>
        <v>9999</v>
      </c>
      <c r="KB520" t="n">
        <v>2056</v>
      </c>
      <c r="KC520">
        <f>IF(KB520&lt;=RULE_START+$KB$38-1,1,0)</f>
        <v>0</v>
      </c>
      <c r="KD520" s="15">
        <f>IF(KB520=2024,G_IDX_2024,IF(KB520=2025,G_IDX_2025,IF(KB520=2026,G_IDX_2026,IF(KB520=2027,G_IDX_2027,$KB$13))))</f>
        <v>0.033</v>
      </c>
      <c r="KE520" s="8">
        <f>$KB$20*(1+G_HI)^(KB520-COST_DATE)</f>
        <v>1594.163178558687</v>
      </c>
      <c r="KF520" s="8">
        <f>KF519*(1+KD520)</f>
        <v>1311.6988258750355</v>
      </c>
      <c r="KG520" s="8">
        <f>IF(KB520&lt;RULE_START,KF520,KG519*(1+G_HI))</f>
        <v>1614.1660312179606</v>
      </c>
      <c r="KH520" s="8">
        <f>IF(KB520&lt;RULE_START,KF520,IF(KI520=1,R_NF_2024*(1+G_HI)^(KB520-2024),KH519*(1+KD520)))</f>
        <v>1675.7846165671517</v>
      </c>
      <c r="KI520">
        <f>IF(AND(KB520&gt;=RULE_START,MOD(KB520-RULE_START,REBASE_YEARS)=0),1,0)</f>
        <v>0</v>
      </c>
      <c r="KJ520" s="8">
        <f>KF520*CAP_SHARE</f>
        <v>64.1385689504203</v>
      </c>
      <c r="KK520" s="8">
        <f>KG520*CAP_SHARE</f>
        <v>78.92840738165204</v>
      </c>
      <c r="KL520" s="8">
        <f>KH520*CAP_SHARE</f>
        <v>81.94139161788475</v>
      </c>
      <c r="KM520" s="8">
        <f>KF520-KJ520-KE520</f>
        <v>-346.60292163407166</v>
      </c>
      <c r="KN520" s="8">
        <f>KG520-KK520-KE520</f>
        <v>-58.925554722378365</v>
      </c>
      <c r="KO520" s="8">
        <f>KH520-KL520-KE520</f>
        <v>-0.3199536094200539</v>
      </c>
      <c r="KP520" s="8">
        <f>R_NF_2024*(1+G_HI)^(KB520-2024)</f>
        <v>1699.1268559149519</v>
      </c>
      <c r="KQ520" s="10">
        <f>1-KF520/KP520</f>
        <v>0.22801595342408543</v>
      </c>
      <c r="KR520" s="10">
        <f>CPI_2023/(IF(KB520-1=2023,CPI_2023,IF(KB520-1=2024,CPI_2024,IF(KB520-1=2025,CPI_2025,CPI_2025*(1+INFL)^(KB520-1-2025)))))</f>
        <v>0.4750139687656165</v>
      </c>
      <c r="KS520" s="8">
        <f>$KB$21*ABS($KB$11)*(KG520-KF520)/KF520</f>
        <v>22988.882118549598</v>
      </c>
      <c r="KT520" s="8">
        <f>$KB$21*ABS($KB$11)*(KH520-KF520)/KF520</f>
        <v>27672.17462061878</v>
      </c>
      <c r="KU520" s="13">
        <f>(KG520-KF520)*MCD_NF_DAYS*KR520-KS520*MCD_SHARE_FREED*R_WAIT_2023</f>
        <v>65244601.89508792</v>
      </c>
      <c r="KV520" s="13">
        <f>(KH520-KF520)*MCD_NF_DAYS*KR520-KT520*MCD_SHARE_FREED*R_WAIT_2023</f>
        <v>78536224.91877554</v>
      </c>
      <c r="KW520" s="10">
        <f>IF(AND(KB520&gt;=RULE_START,KC520=1),1/(1+$KB$12)^(KB520-RULE_START+1),0)</f>
        <v>0</v>
      </c>
      <c r="KX520">
        <f>IF(AND(KB520&gt;=RULE_START,KC520=1,KM520&lt;0),KB520,9999)</f>
        <v>9999</v>
      </c>
      <c r="KY520">
        <f>IF(AND(KB520&gt;=RULE_START,KC520=1,KN520&lt;0),KB520,9999)</f>
        <v>9999</v>
      </c>
      <c r="KZ520">
        <f>IF(AND(KB520&gt;=RULE_START,KC520=1,KO520&lt;0),KB520,9999)</f>
        <v>9999</v>
      </c>
      <c r="LB520" t="n">
        <v>2056</v>
      </c>
      <c r="LC520">
        <f>IF(LB520&lt;=RULE_START+$LB$38-1,1,0)</f>
        <v>0</v>
      </c>
      <c r="LD520" s="15">
        <f>IF(LB520=2024,G_IDX_2024,IF(LB520=2025,G_IDX_2025,IF(LB520=2026,G_IDX_2026,IF(LB520=2027,G_IDX_2027,$LB$13))))</f>
        <v>0.033</v>
      </c>
      <c r="LE520" s="8">
        <f>$LB$20*(1+G_HI)^(LB520-COST_DATE)</f>
        <v>1594.163178558687</v>
      </c>
      <c r="LF520" s="8">
        <f>LF519*(1+LD520)</f>
        <v>1311.6988258750355</v>
      </c>
      <c r="LG520" s="8">
        <f>IF(LB520&lt;RULE_START,LF520,LG519*(1+G_HI))</f>
        <v>1614.1660312179606</v>
      </c>
      <c r="LH520" s="8">
        <f>IF(LB520&lt;RULE_START,LF520,IF(LI520=1,R_NF_2024*(1+G_HI)^(LB520-2024),LH519*(1+LD520)))</f>
        <v>1675.7846165671517</v>
      </c>
      <c r="LI520">
        <f>IF(AND(LB520&gt;=RULE_START,MOD(LB520-RULE_START,REBASE_YEARS)=0),1,0)</f>
        <v>0</v>
      </c>
      <c r="LJ520" s="8">
        <f>LF520*CAP_SHARE</f>
        <v>64.1385689504203</v>
      </c>
      <c r="LK520" s="8">
        <f>LG520*CAP_SHARE</f>
        <v>78.92840738165204</v>
      </c>
      <c r="LL520" s="8">
        <f>LH520*CAP_SHARE</f>
        <v>81.94139161788475</v>
      </c>
      <c r="LM520" s="8">
        <f>LF520-LJ520-LE520</f>
        <v>-346.60292163407166</v>
      </c>
      <c r="LN520" s="8">
        <f>LG520-LK520-LE520</f>
        <v>-58.925554722378365</v>
      </c>
      <c r="LO520" s="8">
        <f>LH520-LL520-LE520</f>
        <v>-0.3199536094200539</v>
      </c>
      <c r="LP520" s="8">
        <f>R_NF_2024*(1+G_HI)^(LB520-2024)</f>
        <v>1699.1268559149519</v>
      </c>
      <c r="LQ520" s="10">
        <f>1-LF520/LP520</f>
        <v>0.22801595342408543</v>
      </c>
      <c r="LR520" s="10">
        <f>CPI_2023/(IF(LB520-1=2023,CPI_2023,IF(LB520-1=2024,CPI_2024,IF(LB520-1=2025,CPI_2025,CPI_2025*(1+INFL)^(LB520-1-2025)))))</f>
        <v>0.4750139687656165</v>
      </c>
      <c r="LS520" s="8">
        <f>$LB$21*ABS($LB$11)*(LG520-LF520)/LF520</f>
        <v>22988.882118549598</v>
      </c>
      <c r="LT520" s="8">
        <f>$LB$21*ABS($LB$11)*(LH520-LF520)/LF520</f>
        <v>27672.17462061878</v>
      </c>
      <c r="LU520" s="13">
        <f>(LG520-LF520)*MCD_NF_DAYS*LR520-LS520*MCD_SHARE_FREED*R_WAIT_2023</f>
        <v>65244601.89508792</v>
      </c>
      <c r="LV520" s="13">
        <f>(LH520-LF520)*MCD_NF_DAYS*LR520-LT520*MCD_SHARE_FREED*R_WAIT_2023</f>
        <v>78536224.91877554</v>
      </c>
      <c r="LW520" s="10">
        <f>IF(AND(LB520&gt;=RULE_START,LC520=1),1/(1+$LB$12)^(LB520-RULE_START+1),0)</f>
        <v>0</v>
      </c>
      <c r="LX520">
        <f>IF(AND(LB520&gt;=RULE_START,LC520=1,LM520&lt;0),LB520,9999)</f>
        <v>9999</v>
      </c>
      <c r="LY520">
        <f>IF(AND(LB520&gt;=RULE_START,LC520=1,LN520&lt;0),LB520,9999)</f>
        <v>9999</v>
      </c>
      <c r="LZ520">
        <f>IF(AND(LB520&gt;=RULE_START,LC520=1,LO520&lt;0),LB520,9999)</f>
        <v>9999</v>
      </c>
      <c r="MB520" t="n">
        <v>2056</v>
      </c>
      <c r="MC520">
        <f>IF(MB520&lt;=RULE_START+$MB$38-1,1,0)</f>
        <v>0</v>
      </c>
      <c r="MD520" s="15">
        <f>IF(MB520=2024,G_IDX_2024,IF(MB520=2025,G_IDX_2025,IF(MB520=2026,G_IDX_2026,IF(MB520=2027,G_IDX_2027,$MB$13))))</f>
        <v>0.033</v>
      </c>
      <c r="ME520" s="8">
        <f>$MB$20*(1+G_HI)^(MB520-COST_DATE)</f>
        <v>1594.163178558687</v>
      </c>
      <c r="MF520" s="8">
        <f>MF519*(1+MD520)</f>
        <v>1311.6988258750355</v>
      </c>
      <c r="MG520" s="8">
        <f>IF(MB520&lt;RULE_START,MF520,MG519*(1+G_HI))</f>
        <v>1614.1660312179606</v>
      </c>
      <c r="MH520" s="8">
        <f>IF(MB520&lt;RULE_START,MF520,IF(MI520=1,R_NF_2024*(1+G_HI)^(MB520-2024),MH519*(1+MD520)))</f>
        <v>1675.7846165671517</v>
      </c>
      <c r="MI520">
        <f>IF(AND(MB520&gt;=RULE_START,MOD(MB520-RULE_START,REBASE_YEARS)=0),1,0)</f>
        <v>0</v>
      </c>
      <c r="MJ520" s="8">
        <f>MF520*CAP_SHARE</f>
        <v>64.1385689504203</v>
      </c>
      <c r="MK520" s="8">
        <f>MG520*CAP_SHARE</f>
        <v>78.92840738165204</v>
      </c>
      <c r="ML520" s="8">
        <f>MH520*CAP_SHARE</f>
        <v>81.94139161788475</v>
      </c>
      <c r="MM520" s="8">
        <f>MF520-MJ520-ME520</f>
        <v>-346.60292163407166</v>
      </c>
      <c r="MN520" s="8">
        <f>MG520-MK520-ME520</f>
        <v>-58.925554722378365</v>
      </c>
      <c r="MO520" s="8">
        <f>MH520-ML520-ME520</f>
        <v>-0.3199536094200539</v>
      </c>
      <c r="MP520" s="8">
        <f>R_NF_2024*(1+G_HI)^(MB520-2024)</f>
        <v>1699.1268559149519</v>
      </c>
      <c r="MQ520" s="10">
        <f>1-MF520/MP520</f>
        <v>0.22801595342408543</v>
      </c>
      <c r="MR520" s="10">
        <f>CPI_2023/(IF(MB520-1=2023,CPI_2023,IF(MB520-1=2024,CPI_2024,IF(MB520-1=2025,CPI_2025,CPI_2025*(1+INFL)^(MB520-1-2025)))))</f>
        <v>0.4750139687656165</v>
      </c>
      <c r="MS520" s="8">
        <f>$MB$21*ABS($MB$11)*(MG520-MF520)/MF520</f>
        <v>16841.41651141227</v>
      </c>
      <c r="MT520" s="8">
        <f>$MB$21*ABS($MB$11)*(MH520-MF520)/MF520</f>
        <v>20272.348005400785</v>
      </c>
      <c r="MU520" s="13">
        <f>(MG520-MF520)*MCD_NF_DAYS*MR520-MS520*MCD_SHARE_FREED*R_WAIT_2023</f>
        <v>68039969.65451473</v>
      </c>
      <c r="MV520" s="13">
        <f>(MH520-MF520)*MCD_NF_DAYS*MR520-MT520*MCD_SHARE_FREED*R_WAIT_2023</f>
        <v>81901064.68648614</v>
      </c>
      <c r="MW520" s="10">
        <f>IF(AND(MB520&gt;=RULE_START,MC520=1),1/(1+$MB$12)^(MB520-RULE_START+1),0)</f>
        <v>0</v>
      </c>
      <c r="MX520">
        <f>IF(AND(MB520&gt;=RULE_START,MC520=1,MM520&lt;0),MB520,9999)</f>
        <v>9999</v>
      </c>
      <c r="MY520">
        <f>IF(AND(MB520&gt;=RULE_START,MC520=1,MN520&lt;0),MB520,9999)</f>
        <v>9999</v>
      </c>
      <c r="MZ520">
        <f>IF(AND(MB520&gt;=RULE_START,MC520=1,MO520&lt;0),MB520,9999)</f>
        <v>9999</v>
      </c>
      <c r="NB520" t="n">
        <v>2056</v>
      </c>
      <c r="NC520">
        <f>IF(NB520&lt;=RULE_START+$NB$38-1,1,0)</f>
        <v>0</v>
      </c>
      <c r="ND520" s="15">
        <f>IF(NB520=2024,G_IDX_2024,IF(NB520=2025,G_IDX_2025,IF(NB520=2026,G_IDX_2026,IF(NB520=2027,G_IDX_2027,$NB$13))))</f>
        <v>0.033</v>
      </c>
      <c r="NE520" s="8">
        <f>$NB$20*(1+G_HI)^(NB520-COST_DATE)</f>
        <v>1594.163178558687</v>
      </c>
      <c r="NF520" s="8">
        <f>NF519*(1+ND520)</f>
        <v>1311.6988258750355</v>
      </c>
      <c r="NG520" s="8">
        <f>IF(NB520&lt;RULE_START,NF520,NG519*(1+G_HI))</f>
        <v>1614.1660312179606</v>
      </c>
      <c r="NH520" s="8">
        <f>IF(NB520&lt;RULE_START,NF520,IF(NI520=1,R_NF_2024*(1+G_HI)^(NB520-2024),NH519*(1+ND520)))</f>
        <v>1675.7846165671517</v>
      </c>
      <c r="NI520">
        <f>IF(AND(NB520&gt;=RULE_START,MOD(NB520-RULE_START,REBASE_YEARS)=0),1,0)</f>
        <v>0</v>
      </c>
      <c r="NJ520" s="8">
        <f>NF520*CAP_SHARE</f>
        <v>64.1385689504203</v>
      </c>
      <c r="NK520" s="8">
        <f>NG520*CAP_SHARE</f>
        <v>78.92840738165204</v>
      </c>
      <c r="NL520" s="8">
        <f>NH520*CAP_SHARE</f>
        <v>81.94139161788475</v>
      </c>
      <c r="NM520" s="8">
        <f>NF520-NJ520-NE520</f>
        <v>-346.60292163407166</v>
      </c>
      <c r="NN520" s="8">
        <f>NG520-NK520-NE520</f>
        <v>-58.925554722378365</v>
      </c>
      <c r="NO520" s="8">
        <f>NH520-NL520-NE520</f>
        <v>-0.3199536094200539</v>
      </c>
      <c r="NP520" s="8">
        <f>R_NF_2024*(1+G_HI)^(NB520-2024)</f>
        <v>1699.1268559149519</v>
      </c>
      <c r="NQ520" s="10">
        <f>1-NF520/NP520</f>
        <v>0.22801595342408543</v>
      </c>
      <c r="NR520" s="10">
        <f>CPI_2023/(IF(NB520-1=2023,CPI_2023,IF(NB520-1=2024,CPI_2024,IF(NB520-1=2025,CPI_2025,CPI_2025*(1+INFL)^(NB520-1-2025)))))</f>
        <v>0.4750139687656165</v>
      </c>
      <c r="NS520" s="8">
        <f>$NB$21*ABS($NB$11)*(NG520-NF520)/NF520</f>
        <v>22988.882118549598</v>
      </c>
      <c r="NT520" s="8">
        <f>$NB$21*ABS($NB$11)*(NH520-NF520)/NF520</f>
        <v>27672.17462061878</v>
      </c>
      <c r="NU520" s="13">
        <f>(NG520-NF520)*MCD_NF_DAYS*NR520-NS520*MCD_SHARE_FREED*R_WAIT_2023</f>
        <v>65244601.89508792</v>
      </c>
      <c r="NV520" s="13">
        <f>(NH520-NF520)*MCD_NF_DAYS*NR520-NT520*MCD_SHARE_FREED*R_WAIT_2023</f>
        <v>78536224.91877554</v>
      </c>
      <c r="NW520" s="10">
        <f>IF(AND(NB520&gt;=RULE_START,NC520=1),1/(1+$NB$12)^(NB520-RULE_START+1),0)</f>
        <v>0</v>
      </c>
      <c r="NX520">
        <f>IF(AND(NB520&gt;=RULE_START,NC520=1,NM520&lt;0),NB520,9999)</f>
        <v>9999</v>
      </c>
      <c r="NY520">
        <f>IF(AND(NB520&gt;=RULE_START,NC520=1,NN520&lt;0),NB520,9999)</f>
        <v>9999</v>
      </c>
      <c r="NZ520">
        <f>IF(AND(NB520&gt;=RULE_START,NC520=1,NO520&lt;0),NB520,9999)</f>
        <v>9999</v>
      </c>
      <c r="OB520" t="n">
        <v>2056</v>
      </c>
      <c r="OC520">
        <f>IF(OB520&lt;=RULE_START+$OB$38-1,1,0)</f>
        <v>0</v>
      </c>
      <c r="OD520" s="15">
        <f>IF(OB520=2024,G_IDX_2024,IF(OB520=2025,G_IDX_2025,IF(OB520=2026,G_IDX_2026,IF(OB520=2027,G_IDX_2027,$OB$13))))</f>
        <v>0.033</v>
      </c>
      <c r="OE520" s="8">
        <f>$OB$20*(1+G_HI)^(OB520-COST_DATE)</f>
        <v>1594.163178558687</v>
      </c>
      <c r="OF520" s="8">
        <f>OF519*(1+OD520)</f>
        <v>1311.6988258750355</v>
      </c>
      <c r="OG520" s="8">
        <f>IF(OB520&lt;RULE_START,OF520,OG519*(1+G_HI))</f>
        <v>1614.1660312179606</v>
      </c>
      <c r="OH520" s="8">
        <f>IF(OB520&lt;RULE_START,OF520,IF(OI520=1,R_NF_2024*(1+G_HI)^(OB520-2024),OH519*(1+OD520)))</f>
        <v>1675.7846165671517</v>
      </c>
      <c r="OI520">
        <f>IF(AND(OB520&gt;=RULE_START,MOD(OB520-RULE_START,REBASE_YEARS)=0),1,0)</f>
        <v>0</v>
      </c>
      <c r="OJ520" s="8">
        <f>OF520*CAP_SHARE</f>
        <v>64.1385689504203</v>
      </c>
      <c r="OK520" s="8">
        <f>OG520*CAP_SHARE</f>
        <v>78.92840738165204</v>
      </c>
      <c r="OL520" s="8">
        <f>OH520*CAP_SHARE</f>
        <v>81.94139161788475</v>
      </c>
      <c r="OM520" s="8">
        <f>OF520-OJ520-OE520</f>
        <v>-346.60292163407166</v>
      </c>
      <c r="ON520" s="8">
        <f>OG520-OK520-OE520</f>
        <v>-58.925554722378365</v>
      </c>
      <c r="OO520" s="8">
        <f>OH520-OL520-OE520</f>
        <v>-0.3199536094200539</v>
      </c>
      <c r="OP520" s="8">
        <f>R_NF_2024*(1+G_HI)^(OB520-2024)</f>
        <v>1699.1268559149519</v>
      </c>
      <c r="OQ520" s="10">
        <f>1-OF520/OP520</f>
        <v>0.22801595342408543</v>
      </c>
      <c r="OR520" s="10">
        <f>CPI_2023/(IF(OB520-1=2023,CPI_2023,IF(OB520-1=2024,CPI_2024,IF(OB520-1=2025,CPI_2025,CPI_2025*(1+INFL)^(OB520-1-2025)))))</f>
        <v>0.4750139687656165</v>
      </c>
      <c r="OS520" s="8">
        <f>$OB$21*ABS($OB$11)*(OG520-OF520)/OF520</f>
        <v>22988.882118549598</v>
      </c>
      <c r="OT520" s="8">
        <f>$OB$21*ABS($OB$11)*(OH520-OF520)/OF520</f>
        <v>27672.17462061878</v>
      </c>
      <c r="OU520" s="13">
        <f>(OG520-OF520)*MCD_NF_DAYS*OR520-OS520*MCD_SHARE_FREED*R_WAIT_2023</f>
        <v>65244601.89508792</v>
      </c>
      <c r="OV520" s="13">
        <f>(OH520-OF520)*MCD_NF_DAYS*OR520-OT520*MCD_SHARE_FREED*R_WAIT_2023</f>
        <v>78536224.91877554</v>
      </c>
      <c r="OW520" s="10">
        <f>IF(AND(OB520&gt;=RULE_START,OC520=1),1/(1+$OB$12)^(OB520-RULE_START+1),0)</f>
        <v>0</v>
      </c>
      <c r="OX520">
        <f>IF(AND(OB520&gt;=RULE_START,OC520=1,OM520&lt;0),OB520,9999)</f>
        <v>9999</v>
      </c>
      <c r="OY520">
        <f>IF(AND(OB520&gt;=RULE_START,OC520=1,ON520&lt;0),OB520,9999)</f>
        <v>9999</v>
      </c>
      <c r="OZ520">
        <f>IF(AND(OB520&gt;=RULE_START,OC520=1,OO520&lt;0),OB520,9999)</f>
        <v>9999</v>
      </c>
    </row>
    <row r="521">
      <c r="B521" t="n">
        <v>2057</v>
      </c>
      <c r="C521">
        <f>IF(B521&lt;=RULE_START+$B$38-1,1,0)</f>
        <v>0</v>
      </c>
      <c r="D521" s="15">
        <f>IF(B521=2024,G_IDX_2024,IF(B521=2025,G_IDX_2025,IF(B521=2026,G_IDX_2026,IF(B521=2027,G_IDX_2027,$B$13))))</f>
        <v>0.033</v>
      </c>
      <c r="E521" s="8">
        <f>$B$20*(1+G_HI)^(B521-COST_DATE)</f>
        <v>1658.199949970783</v>
      </c>
      <c r="F521" s="8">
        <f>F520*(1+D521)</f>
        <v>1354.9848871289116</v>
      </c>
      <c r="G521" s="8">
        <f>IF(B521&lt;RULE_START,F521,G520*(1+G_HI))</f>
        <v>1679.006307641689</v>
      </c>
      <c r="H521" s="8">
        <f>IF(B521&lt;RULE_START,F521,IF(I521=1,R_NF_2024*(1+G_HI)^(B521-2024),H520*(1+D521)))</f>
        <v>1767.3799679776414</v>
      </c>
      <c r="I521">
        <f>IF(AND(B521&gt;=RULE_START,MOD(B521-RULE_START,REBASE_YEARS)=0),1,0)</f>
        <v>1</v>
      </c>
      <c r="J521" s="8">
        <f>F521*CAP_SHARE</f>
        <v>66.25514172578417</v>
      </c>
      <c r="K521" s="8">
        <f>G521*CAP_SHARE</f>
        <v>82.09892370607834</v>
      </c>
      <c r="L521" s="8">
        <f>H521*CAP_SHARE</f>
        <v>86.42015964457761</v>
      </c>
      <c r="M521" s="8">
        <f>F521-J521-E521</f>
        <v>-369.4702045676556</v>
      </c>
      <c r="N521" s="8">
        <f>G521-K521-E521</f>
        <v>-61.292566035172285</v>
      </c>
      <c r="O521" s="8">
        <f>H521-L521-E521</f>
        <v>22.759858362280738</v>
      </c>
      <c r="P521" s="8">
        <f>R_NF_2024*(1+G_HI)^(B521-2024)</f>
        <v>1767.3799679776414</v>
      </c>
      <c r="Q521" s="10">
        <f>1-F521/P521</f>
        <v>0.233336966764776</v>
      </c>
      <c r="R521" s="10">
        <f>CPI_2023/(IF(B521-1=2023,CPI_2023,IF(B521-1=2024,CPI_2024,IF(B521-1=2025,CPI_2025,CPI_2025*(1+INFL)^(B521-1-2025)))))</f>
        <v>0.46442507700979335</v>
      </c>
      <c r="S521" s="8">
        <f>$B$21*ABS($B$11)*(G521-F521)/F521</f>
        <v>23840.368268195136</v>
      </c>
      <c r="T521" s="8">
        <f>$B$21*ABS($B$11)*(H521-F521)/F521</f>
        <v>30342.594584848204</v>
      </c>
      <c r="U521" s="13">
        <f>(G521-F521)*MCD_NF_DAYS*R521-S521*MCD_SHARE_FREED*R_WAIT_2023</f>
        <v>68444068.94648223</v>
      </c>
      <c r="V521" s="13">
        <f>(H521-F521)*MCD_NF_DAYS*R521-T521*MCD_SHARE_FREED*R_WAIT_2023</f>
        <v>87111516.58471143</v>
      </c>
      <c r="W521" s="10">
        <f>IF(AND(B521&gt;=RULE_START,C521=1),1/(1+$B$12)^(B521-RULE_START+1),0)</f>
        <v>0</v>
      </c>
      <c r="X521">
        <f>IF(AND(B521&gt;=RULE_START,C521=1,M521&lt;0),B521,9999)</f>
        <v>9999</v>
      </c>
      <c r="Y521">
        <f>IF(AND(B521&gt;=RULE_START,C521=1,N521&lt;0),B521,9999)</f>
        <v>9999</v>
      </c>
      <c r="Z521">
        <f>IF(AND(B521&gt;=RULE_START,C521=1,O521&lt;0),B521,9999)</f>
        <v>9999</v>
      </c>
      <c r="AB521" t="n">
        <v>2057</v>
      </c>
      <c r="AC521">
        <f>IF(AB521&lt;=RULE_START+$AB$38-1,1,0)</f>
        <v>0</v>
      </c>
      <c r="AD521" s="15">
        <f>IF(AB521=2024,G_IDX_2024,IF(AB521=2025,G_IDX_2025,IF(AB521=2026,G_IDX_2026,IF(AB521=2027,G_IDX_2027,$AB$13))))</f>
        <v>0.033</v>
      </c>
      <c r="AE521" s="8">
        <f>$AB$20*(1+G_HI)^(AB521-COST_DATE)</f>
        <v>1658.199949970783</v>
      </c>
      <c r="AF521" s="8">
        <f>AF520*(1+AD521)</f>
        <v>1354.9848871289116</v>
      </c>
      <c r="AG521" s="8">
        <f>IF(AB521&lt;RULE_START,AF521,AG520*(1+G_HI))</f>
        <v>1679.006307641689</v>
      </c>
      <c r="AH521" s="8">
        <f>IF(AB521&lt;RULE_START,AF521,IF(AI521=1,R_NF_2024*(1+G_HI)^(AB521-2024),AH520*(1+AD521)))</f>
        <v>1767.3799679776414</v>
      </c>
      <c r="AI521">
        <f>IF(AND(AB521&gt;=RULE_START,MOD(AB521-RULE_START,REBASE_YEARS)=0),1,0)</f>
        <v>1</v>
      </c>
      <c r="AJ521" s="8">
        <f>AF521*CAP_SHARE</f>
        <v>66.25514172578417</v>
      </c>
      <c r="AK521" s="8">
        <f>AG521*CAP_SHARE</f>
        <v>82.09892370607834</v>
      </c>
      <c r="AL521" s="8">
        <f>AH521*CAP_SHARE</f>
        <v>86.42015964457761</v>
      </c>
      <c r="AM521" s="8">
        <f>AF521-AJ521-AE521</f>
        <v>-369.4702045676556</v>
      </c>
      <c r="AN521" s="8">
        <f>AG521-AK521-AE521</f>
        <v>-61.292566035172285</v>
      </c>
      <c r="AO521" s="8">
        <f>AH521-AL521-AE521</f>
        <v>22.759858362280738</v>
      </c>
      <c r="AP521" s="8">
        <f>R_NF_2024*(1+G_HI)^(AB521-2024)</f>
        <v>1767.3799679776414</v>
      </c>
      <c r="AQ521" s="10">
        <f>1-AF521/AP521</f>
        <v>0.233336966764776</v>
      </c>
      <c r="AR521" s="10">
        <f>CPI_2023/(IF(AB521-1=2023,CPI_2023,IF(AB521-1=2024,CPI_2024,IF(AB521-1=2025,CPI_2025,CPI_2025*(1+INFL)^(AB521-1-2025)))))</f>
        <v>0.46442507700979335</v>
      </c>
      <c r="AS521" s="8">
        <f>$AB$21*ABS($AB$11)*(AG521-AF521)/AF521</f>
        <v>23840.368268195136</v>
      </c>
      <c r="AT521" s="8">
        <f>$AB$21*ABS($AB$11)*(AH521-AF521)/AF521</f>
        <v>30342.594584848204</v>
      </c>
      <c r="AU521" s="13">
        <f>(AG521-AF521)*MCD_NF_DAYS*AR521-AS521*MCD_SHARE_FREED*R_WAIT_2023</f>
        <v>68444068.94648223</v>
      </c>
      <c r="AV521" s="13">
        <f>(AH521-AF521)*MCD_NF_DAYS*AR521-AT521*MCD_SHARE_FREED*R_WAIT_2023</f>
        <v>87111516.58471143</v>
      </c>
      <c r="AW521" s="10">
        <f>IF(AND(AB521&gt;=RULE_START,AC521=1),1/(1+$AB$12)^(AB521-RULE_START+1),0)</f>
        <v>0</v>
      </c>
      <c r="AX521">
        <f>IF(AND(AB521&gt;=RULE_START,AC521=1,AM521&lt;0),AB521,9999)</f>
        <v>9999</v>
      </c>
      <c r="AY521">
        <f>IF(AND(AB521&gt;=RULE_START,AC521=1,AN521&lt;0),AB521,9999)</f>
        <v>9999</v>
      </c>
      <c r="AZ521">
        <f>IF(AND(AB521&gt;=RULE_START,AC521=1,AO521&lt;0),AB521,9999)</f>
        <v>9999</v>
      </c>
      <c r="BB521" t="n">
        <v>2057</v>
      </c>
      <c r="BC521">
        <f>IF(BB521&lt;=RULE_START+$BB$38-1,1,0)</f>
        <v>0</v>
      </c>
      <c r="BD521" s="15">
        <f>IF(BB521=2024,G_IDX_2024,IF(BB521=2025,G_IDX_2025,IF(BB521=2026,G_IDX_2026,IF(BB521=2027,G_IDX_2027,$BB$13))))</f>
        <v>0.033</v>
      </c>
      <c r="BE521" s="8">
        <f>$BB$20*(1+G_HI)^(BB521-COST_DATE)</f>
        <v>1658.199949970783</v>
      </c>
      <c r="BF521" s="8">
        <f>BF520*(1+BD521)</f>
        <v>1354.9848871289116</v>
      </c>
      <c r="BG521" s="8">
        <f>IF(BB521&lt;RULE_START,BF521,BG520*(1+G_HI))</f>
        <v>1679.006307641689</v>
      </c>
      <c r="BH521" s="8">
        <f>IF(BB521&lt;RULE_START,BF521,IF(BI521=1,R_NF_2024*(1+G_HI)^(BB521-2024),BH520*(1+BD521)))</f>
        <v>1767.3799679776414</v>
      </c>
      <c r="BI521">
        <f>IF(AND(BB521&gt;=RULE_START,MOD(BB521-RULE_START,REBASE_YEARS)=0),1,0)</f>
        <v>1</v>
      </c>
      <c r="BJ521" s="8">
        <f>BF521*CAP_SHARE</f>
        <v>66.25514172578417</v>
      </c>
      <c r="BK521" s="8">
        <f>BG521*CAP_SHARE</f>
        <v>82.09892370607834</v>
      </c>
      <c r="BL521" s="8">
        <f>BH521*CAP_SHARE</f>
        <v>86.42015964457761</v>
      </c>
      <c r="BM521" s="8">
        <f>BF521-BJ521-BE521</f>
        <v>-369.4702045676556</v>
      </c>
      <c r="BN521" s="8">
        <f>BG521-BK521-BE521</f>
        <v>-61.292566035172285</v>
      </c>
      <c r="BO521" s="8">
        <f>BH521-BL521-BE521</f>
        <v>22.759858362280738</v>
      </c>
      <c r="BP521" s="8">
        <f>R_NF_2024*(1+G_HI)^(BB521-2024)</f>
        <v>1767.3799679776414</v>
      </c>
      <c r="BQ521" s="10">
        <f>1-BF521/BP521</f>
        <v>0.233336966764776</v>
      </c>
      <c r="BR521" s="10">
        <f>CPI_2023/(IF(BB521-1=2023,CPI_2023,IF(BB521-1=2024,CPI_2024,IF(BB521-1=2025,CPI_2025,CPI_2025*(1+INFL)^(BB521-1-2025)))))</f>
        <v>0.46442507700979335</v>
      </c>
      <c r="BS521" s="8">
        <f>$BB$21*ABS($BB$11)*(BG521-BF521)/BF521</f>
        <v>23840.368268195136</v>
      </c>
      <c r="BT521" s="8">
        <f>$BB$21*ABS($BB$11)*(BH521-BF521)/BF521</f>
        <v>30342.594584848204</v>
      </c>
      <c r="BU521" s="13">
        <f>(BG521-BF521)*MCD_NF_DAYS*BR521-BS521*MCD_SHARE_FREED*R_WAIT_2023</f>
        <v>68444068.94648223</v>
      </c>
      <c r="BV521" s="13">
        <f>(BH521-BF521)*MCD_NF_DAYS*BR521-BT521*MCD_SHARE_FREED*R_WAIT_2023</f>
        <v>87111516.58471143</v>
      </c>
      <c r="BW521" s="10">
        <f>IF(AND(BB521&gt;=RULE_START,BC521=1),1/(1+$BB$12)^(BB521-RULE_START+1),0)</f>
        <v>0</v>
      </c>
      <c r="BX521">
        <f>IF(AND(BB521&gt;=RULE_START,BC521=1,BM521&lt;0),BB521,9999)</f>
        <v>9999</v>
      </c>
      <c r="BY521">
        <f>IF(AND(BB521&gt;=RULE_START,BC521=1,BN521&lt;0),BB521,9999)</f>
        <v>9999</v>
      </c>
      <c r="BZ521">
        <f>IF(AND(BB521&gt;=RULE_START,BC521=1,BO521&lt;0),BB521,9999)</f>
        <v>9999</v>
      </c>
      <c r="CB521" t="n">
        <v>2057</v>
      </c>
      <c r="CC521">
        <f>IF(CB521&lt;=RULE_START+$CB$38-1,1,0)</f>
        <v>1</v>
      </c>
      <c r="CD521" s="15">
        <f>IF(CB521=2024,G_IDX_2024,IF(CB521=2025,G_IDX_2025,IF(CB521=2026,G_IDX_2026,IF(CB521=2027,G_IDX_2027,$CB$13))))</f>
        <v>0.033</v>
      </c>
      <c r="CE521" s="8">
        <f>$CB$20*(1+G_HI)^(CB521-COST_DATE)</f>
        <v>1658.199949970783</v>
      </c>
      <c r="CF521" s="8">
        <f>CF520*(1+CD521)</f>
        <v>1354.9848871289116</v>
      </c>
      <c r="CG521" s="8">
        <f>IF(CB521&lt;RULE_START,CF521,CG520*(1+G_HI))</f>
        <v>1679.006307641689</v>
      </c>
      <c r="CH521" s="8">
        <f>IF(CB521&lt;RULE_START,CF521,IF(CI521=1,R_NF_2024*(1+G_HI)^(CB521-2024),CH520*(1+CD521)))</f>
        <v>1767.3799679776414</v>
      </c>
      <c r="CI521">
        <f>IF(AND(CB521&gt;=RULE_START,MOD(CB521-RULE_START,REBASE_YEARS)=0),1,0)</f>
        <v>1</v>
      </c>
      <c r="CJ521" s="8">
        <f>CF521*CAP_SHARE</f>
        <v>66.25514172578417</v>
      </c>
      <c r="CK521" s="8">
        <f>CG521*CAP_SHARE</f>
        <v>82.09892370607834</v>
      </c>
      <c r="CL521" s="8">
        <f>CH521*CAP_SHARE</f>
        <v>86.42015964457761</v>
      </c>
      <c r="CM521" s="8">
        <f>CF521-CJ521-CE521</f>
        <v>-369.4702045676556</v>
      </c>
      <c r="CN521" s="8">
        <f>CG521-CK521-CE521</f>
        <v>-61.292566035172285</v>
      </c>
      <c r="CO521" s="8">
        <f>CH521-CL521-CE521</f>
        <v>22.759858362280738</v>
      </c>
      <c r="CP521" s="8">
        <f>R_NF_2024*(1+G_HI)^(CB521-2024)</f>
        <v>1767.3799679776414</v>
      </c>
      <c r="CQ521" s="10">
        <f>1-CF521/CP521</f>
        <v>0.233336966764776</v>
      </c>
      <c r="CR521" s="10">
        <f>CPI_2023/(IF(CB521-1=2023,CPI_2023,IF(CB521-1=2024,CPI_2024,IF(CB521-1=2025,CPI_2025,CPI_2025*(1+INFL)^(CB521-1-2025)))))</f>
        <v>0.46442507700979335</v>
      </c>
      <c r="CS521" s="8">
        <f>$CB$21*ABS($CB$11)*(CG521-CF521)/CF521</f>
        <v>23840.368268195136</v>
      </c>
      <c r="CT521" s="8">
        <f>$CB$21*ABS($CB$11)*(CH521-CF521)/CF521</f>
        <v>30342.594584848204</v>
      </c>
      <c r="CU521" s="13">
        <f>(CG521-CF521)*MCD_NF_DAYS*CR521-CS521*MCD_SHARE_FREED*R_WAIT_2023</f>
        <v>68444068.94648223</v>
      </c>
      <c r="CV521" s="13">
        <f>(CH521-CF521)*MCD_NF_DAYS*CR521-CT521*MCD_SHARE_FREED*R_WAIT_2023</f>
        <v>87111516.58471143</v>
      </c>
      <c r="CW521" s="10">
        <f>IF(AND(CB521&gt;=RULE_START,CC521=1),1/(1+$CB$12)^(CB521-RULE_START+1),0)</f>
        <v>0.5412459695881486</v>
      </c>
      <c r="CX521">
        <f>IF(AND(CB521&gt;=RULE_START,CC521=1,CM521&lt;0),CB521,9999)</f>
        <v>2057</v>
      </c>
      <c r="CY521">
        <f>IF(AND(CB521&gt;=RULE_START,CC521=1,CN521&lt;0),CB521,9999)</f>
        <v>2057</v>
      </c>
      <c r="CZ521">
        <f>IF(AND(CB521&gt;=RULE_START,CC521=1,CO521&lt;0),CB521,9999)</f>
        <v>9999</v>
      </c>
      <c r="DB521" t="n">
        <v>2057</v>
      </c>
      <c r="DC521">
        <f>IF(DB521&lt;=RULE_START+$DB$38-1,1,0)</f>
        <v>0</v>
      </c>
      <c r="DD521" s="15">
        <f>IF(DB521=2024,G_IDX_2024,IF(DB521=2025,G_IDX_2025,IF(DB521=2026,G_IDX_2026,IF(DB521=2027,G_IDX_2027,$DB$13))))</f>
        <v>0.033</v>
      </c>
      <c r="DE521" s="8">
        <f>$DB$20*(1+G_HI)^(DB521-COST_DATE)</f>
        <v>1658.199949970783</v>
      </c>
      <c r="DF521" s="8">
        <f>DF520*(1+DD521)</f>
        <v>1354.9848871289116</v>
      </c>
      <c r="DG521" s="8">
        <f>IF(DB521&lt;RULE_START,DF521,DG520*(1+G_HI))</f>
        <v>1679.006307641689</v>
      </c>
      <c r="DH521" s="8">
        <f>IF(DB521&lt;RULE_START,DF521,IF(DI521=1,R_NF_2024*(1+G_HI)^(DB521-2024),DH520*(1+DD521)))</f>
        <v>1767.3799679776414</v>
      </c>
      <c r="DI521">
        <f>IF(AND(DB521&gt;=RULE_START,MOD(DB521-RULE_START,REBASE_YEARS)=0),1,0)</f>
        <v>1</v>
      </c>
      <c r="DJ521" s="8">
        <f>DF521*CAP_SHARE</f>
        <v>66.25514172578417</v>
      </c>
      <c r="DK521" s="8">
        <f>DG521*CAP_SHARE</f>
        <v>82.09892370607834</v>
      </c>
      <c r="DL521" s="8">
        <f>DH521*CAP_SHARE</f>
        <v>86.42015964457761</v>
      </c>
      <c r="DM521" s="8">
        <f>DF521-DJ521-DE521</f>
        <v>-369.4702045676556</v>
      </c>
      <c r="DN521" s="8">
        <f>DG521-DK521-DE521</f>
        <v>-61.292566035172285</v>
      </c>
      <c r="DO521" s="8">
        <f>DH521-DL521-DE521</f>
        <v>22.759858362280738</v>
      </c>
      <c r="DP521" s="8">
        <f>R_NF_2024*(1+G_HI)^(DB521-2024)</f>
        <v>1767.3799679776414</v>
      </c>
      <c r="DQ521" s="10">
        <f>1-DF521/DP521</f>
        <v>0.233336966764776</v>
      </c>
      <c r="DR521" s="10">
        <f>CPI_2023/(IF(DB521-1=2023,CPI_2023,IF(DB521-1=2024,CPI_2024,IF(DB521-1=2025,CPI_2025,CPI_2025*(1+INFL)^(DB521-1-2025)))))</f>
        <v>0.46442507700979335</v>
      </c>
      <c r="DS521" s="8">
        <f>$DB$21*ABS($DB$11)*(DG521-DF521)/DF521</f>
        <v>23840.368268195136</v>
      </c>
      <c r="DT521" s="8">
        <f>$DB$21*ABS($DB$11)*(DH521-DF521)/DF521</f>
        <v>30342.594584848204</v>
      </c>
      <c r="DU521" s="13">
        <f>(DG521-DF521)*MCD_NF_DAYS*DR521-DS521*MCD_SHARE_FREED*R_WAIT_2023</f>
        <v>68444068.94648223</v>
      </c>
      <c r="DV521" s="13">
        <f>(DH521-DF521)*MCD_NF_DAYS*DR521-DT521*MCD_SHARE_FREED*R_WAIT_2023</f>
        <v>87111516.58471143</v>
      </c>
      <c r="DW521" s="10">
        <f>IF(AND(DB521&gt;=RULE_START,DC521=1),1/(1+$DB$12)^(DB521-RULE_START+1),0)</f>
        <v>0</v>
      </c>
      <c r="DX521">
        <f>IF(AND(DB521&gt;=RULE_START,DC521=1,DM521&lt;0),DB521,9999)</f>
        <v>9999</v>
      </c>
      <c r="DY521">
        <f>IF(AND(DB521&gt;=RULE_START,DC521=1,DN521&lt;0),DB521,9999)</f>
        <v>9999</v>
      </c>
      <c r="DZ521">
        <f>IF(AND(DB521&gt;=RULE_START,DC521=1,DO521&lt;0),DB521,9999)</f>
        <v>9999</v>
      </c>
      <c r="EB521" t="n">
        <v>2057</v>
      </c>
      <c r="EC521">
        <f>IF(EB521&lt;=RULE_START+$EB$38-1,1,0)</f>
        <v>0</v>
      </c>
      <c r="ED521" s="15">
        <f>IF(EB521=2024,G_IDX_2024,IF(EB521=2025,G_IDX_2025,IF(EB521=2026,G_IDX_2026,IF(EB521=2027,G_IDX_2027,$EB$13))))</f>
        <v>0.033</v>
      </c>
      <c r="EE521" s="8">
        <f>$EB$20*(1+G_HI)^(EB521-COST_DATE)</f>
        <v>1658.199949970783</v>
      </c>
      <c r="EF521" s="8">
        <f>EF520*(1+ED521)</f>
        <v>1354.9848871289116</v>
      </c>
      <c r="EG521" s="8">
        <f>IF(EB521&lt;RULE_START,EF521,EG520*(1+G_HI))</f>
        <v>1679.006307641689</v>
      </c>
      <c r="EH521" s="8">
        <f>IF(EB521&lt;RULE_START,EF521,IF(EI521=1,R_NF_2024*(1+G_HI)^(EB521-2024),EH520*(1+ED521)))</f>
        <v>1767.3799679776414</v>
      </c>
      <c r="EI521">
        <f>IF(AND(EB521&gt;=RULE_START,MOD(EB521-RULE_START,REBASE_YEARS)=0),1,0)</f>
        <v>1</v>
      </c>
      <c r="EJ521" s="8">
        <f>EF521*CAP_SHARE</f>
        <v>66.25514172578417</v>
      </c>
      <c r="EK521" s="8">
        <f>EG521*CAP_SHARE</f>
        <v>82.09892370607834</v>
      </c>
      <c r="EL521" s="8">
        <f>EH521*CAP_SHARE</f>
        <v>86.42015964457761</v>
      </c>
      <c r="EM521" s="8">
        <f>EF521-EJ521-EE521</f>
        <v>-369.4702045676556</v>
      </c>
      <c r="EN521" s="8">
        <f>EG521-EK521-EE521</f>
        <v>-61.292566035172285</v>
      </c>
      <c r="EO521" s="8">
        <f>EH521-EL521-EE521</f>
        <v>22.759858362280738</v>
      </c>
      <c r="EP521" s="8">
        <f>R_NF_2024*(1+G_HI)^(EB521-2024)</f>
        <v>1767.3799679776414</v>
      </c>
      <c r="EQ521" s="10">
        <f>1-EF521/EP521</f>
        <v>0.233336966764776</v>
      </c>
      <c r="ER521" s="10">
        <f>CPI_2023/(IF(EB521-1=2023,CPI_2023,IF(EB521-1=2024,CPI_2024,IF(EB521-1=2025,CPI_2025,CPI_2025*(1+INFL)^(EB521-1-2025)))))</f>
        <v>0.46442507700979335</v>
      </c>
      <c r="ES521" s="8">
        <f>$EB$21*ABS($EB$11)*(EG521-EF521)/EF521</f>
        <v>23840.368268195136</v>
      </c>
      <c r="ET521" s="8">
        <f>$EB$21*ABS($EB$11)*(EH521-EF521)/EF521</f>
        <v>30342.594584848204</v>
      </c>
      <c r="EU521" s="13">
        <f>(EG521-EF521)*MCD_NF_DAYS*ER521-ES521*MCD_SHARE_FREED*R_WAIT_2023</f>
        <v>68444068.94648223</v>
      </c>
      <c r="EV521" s="13">
        <f>(EH521-EF521)*MCD_NF_DAYS*ER521-ET521*MCD_SHARE_FREED*R_WAIT_2023</f>
        <v>87111516.58471143</v>
      </c>
      <c r="EW521" s="10">
        <f>IF(AND(EB521&gt;=RULE_START,EC521=1),1/(1+$EB$12)^(EB521-RULE_START+1),0)</f>
        <v>0</v>
      </c>
      <c r="EX521">
        <f>IF(AND(EB521&gt;=RULE_START,EC521=1,EM521&lt;0),EB521,9999)</f>
        <v>9999</v>
      </c>
      <c r="EY521">
        <f>IF(AND(EB521&gt;=RULE_START,EC521=1,EN521&lt;0),EB521,9999)</f>
        <v>9999</v>
      </c>
      <c r="EZ521">
        <f>IF(AND(EB521&gt;=RULE_START,EC521=1,EO521&lt;0),EB521,9999)</f>
        <v>9999</v>
      </c>
      <c r="FB521" t="n">
        <v>2057</v>
      </c>
      <c r="FC521">
        <f>IF(FB521&lt;=RULE_START+$FB$38-1,1,0)</f>
        <v>0</v>
      </c>
      <c r="FD521" s="15">
        <f>IF(FB521=2024,G_IDX_2024,IF(FB521=2025,G_IDX_2025,IF(FB521=2026,G_IDX_2026,IF(FB521=2027,G_IDX_2027,$FB$13))))</f>
        <v>0.033</v>
      </c>
      <c r="FE521" s="8">
        <f>$FB$20*(1+G_HI)^(FB521-COST_DATE)</f>
        <v>1706.5071583948727</v>
      </c>
      <c r="FF521" s="8">
        <f>FF520*(1+FD521)</f>
        <v>1354.9848871289116</v>
      </c>
      <c r="FG521" s="8">
        <f>IF(FB521&lt;RULE_START,FF521,FG520*(1+G_HI))</f>
        <v>1679.006307641689</v>
      </c>
      <c r="FH521" s="8">
        <f>IF(FB521&lt;RULE_START,FF521,IF(FI521=1,R_NF_2024*(1+G_HI)^(FB521-2024),FH520*(1+FD521)))</f>
        <v>1767.3799679776414</v>
      </c>
      <c r="FI521">
        <f>IF(AND(FB521&gt;=RULE_START,MOD(FB521-RULE_START,REBASE_YEARS)=0),1,0)</f>
        <v>1</v>
      </c>
      <c r="FJ521" s="8">
        <f>FF521*CAP_SHARE</f>
        <v>66.25514172578417</v>
      </c>
      <c r="FK521" s="8">
        <f>FG521*CAP_SHARE</f>
        <v>82.09892370607834</v>
      </c>
      <c r="FL521" s="8">
        <f>FH521*CAP_SHARE</f>
        <v>86.42015964457761</v>
      </c>
      <c r="FM521" s="8">
        <f>FF521-FJ521-FE521</f>
        <v>-417.7774129917452</v>
      </c>
      <c r="FN521" s="8">
        <f>FG521-FK521-FE521</f>
        <v>-109.59977445926188</v>
      </c>
      <c r="FO521" s="8">
        <f>FH521-FL521-FE521</f>
        <v>-25.547350061808856</v>
      </c>
      <c r="FP521" s="8">
        <f>R_NF_2024*(1+G_HI)^(FB521-2024)</f>
        <v>1767.3799679776414</v>
      </c>
      <c r="FQ521" s="10">
        <f>1-FF521/FP521</f>
        <v>0.233336966764776</v>
      </c>
      <c r="FR521" s="10">
        <f>CPI_2023/(IF(FB521-1=2023,CPI_2023,IF(FB521-1=2024,CPI_2024,IF(FB521-1=2025,CPI_2025,CPI_2025*(1+INFL)^(FB521-1-2025)))))</f>
        <v>0.46442507700979335</v>
      </c>
      <c r="FS521" s="8">
        <f>$FB$21*ABS($FB$11)*(FG521-FF521)/FF521</f>
        <v>23840.368268195136</v>
      </c>
      <c r="FT521" s="8">
        <f>$FB$21*ABS($FB$11)*(FH521-FF521)/FF521</f>
        <v>30342.594584848204</v>
      </c>
      <c r="FU521" s="13">
        <f>(FG521-FF521)*MCD_NF_DAYS*FR521-FS521*MCD_SHARE_FREED*R_WAIT_2023</f>
        <v>68444068.94648223</v>
      </c>
      <c r="FV521" s="13">
        <f>(FH521-FF521)*MCD_NF_DAYS*FR521-FT521*MCD_SHARE_FREED*R_WAIT_2023</f>
        <v>87111516.58471143</v>
      </c>
      <c r="FW521" s="10">
        <f>IF(AND(FB521&gt;=RULE_START,FC521=1),1/(1+$FB$12)^(FB521-RULE_START+1),0)</f>
        <v>0</v>
      </c>
      <c r="FX521">
        <f>IF(AND(FB521&gt;=RULE_START,FC521=1,FM521&lt;0),FB521,9999)</f>
        <v>9999</v>
      </c>
      <c r="FY521">
        <f>IF(AND(FB521&gt;=RULE_START,FC521=1,FN521&lt;0),FB521,9999)</f>
        <v>9999</v>
      </c>
      <c r="FZ521">
        <f>IF(AND(FB521&gt;=RULE_START,FC521=1,FO521&lt;0),FB521,9999)</f>
        <v>9999</v>
      </c>
      <c r="GB521" t="n">
        <v>2057</v>
      </c>
      <c r="GC521">
        <f>IF(GB521&lt;=RULE_START+$GB$38-1,1,0)</f>
        <v>0</v>
      </c>
      <c r="GD521" s="15">
        <f>IF(GB521=2024,G_IDX_2024,IF(GB521=2025,G_IDX_2025,IF(GB521=2026,G_IDX_2026,IF(GB521=2027,G_IDX_2027,$GB$13))))</f>
        <v>0.033</v>
      </c>
      <c r="GE521" s="8">
        <f>$GB$20*(1+G_HI)^(GB521-COST_DATE)</f>
        <v>1658.199949970783</v>
      </c>
      <c r="GF521" s="8">
        <f>GF520*(1+GD521)</f>
        <v>1354.9848871289116</v>
      </c>
      <c r="GG521" s="8">
        <f>IF(GB521&lt;RULE_START,GF521,GG520*(1+G_HI))</f>
        <v>1679.006307641689</v>
      </c>
      <c r="GH521" s="8">
        <f>IF(GB521&lt;RULE_START,GF521,IF(GI521=1,R_NF_2024*(1+G_HI)^(GB521-2024),GH520*(1+GD521)))</f>
        <v>1767.3799679776414</v>
      </c>
      <c r="GI521">
        <f>IF(AND(GB521&gt;=RULE_START,MOD(GB521-RULE_START,REBASE_YEARS)=0),1,0)</f>
        <v>1</v>
      </c>
      <c r="GJ521" s="8">
        <f>GF521*CAP_SHARE</f>
        <v>66.25514172578417</v>
      </c>
      <c r="GK521" s="8">
        <f>GG521*CAP_SHARE</f>
        <v>82.09892370607834</v>
      </c>
      <c r="GL521" s="8">
        <f>GH521*CAP_SHARE</f>
        <v>86.42015964457761</v>
      </c>
      <c r="GM521" s="8">
        <f>GF521-GJ521-GE521</f>
        <v>-369.4702045676556</v>
      </c>
      <c r="GN521" s="8">
        <f>GG521-GK521-GE521</f>
        <v>-61.292566035172285</v>
      </c>
      <c r="GO521" s="8">
        <f>GH521-GL521-GE521</f>
        <v>22.759858362280738</v>
      </c>
      <c r="GP521" s="8">
        <f>R_NF_2024*(1+G_HI)^(GB521-2024)</f>
        <v>1767.3799679776414</v>
      </c>
      <c r="GQ521" s="10">
        <f>1-GF521/GP521</f>
        <v>0.233336966764776</v>
      </c>
      <c r="GR521" s="10">
        <f>CPI_2023/(IF(GB521-1=2023,CPI_2023,IF(GB521-1=2024,CPI_2024,IF(GB521-1=2025,CPI_2025,CPI_2025*(1+INFL)^(GB521-1-2025)))))</f>
        <v>0.46442507700979335</v>
      </c>
      <c r="GS521" s="8">
        <f>$GB$21*ABS($GB$11)*(GG521-GF521)/GF521</f>
        <v>17995.901632541136</v>
      </c>
      <c r="GT521" s="8">
        <f>$GB$21*ABS($GB$11)*(GH521-GF521)/GF521</f>
        <v>22904.10707092414</v>
      </c>
      <c r="GU521" s="13">
        <f>(GG521-GF521)*MCD_NF_DAYS*GR521-GS521*MCD_SHARE_FREED*R_WAIT_2023</f>
        <v>71101657.39811745</v>
      </c>
      <c r="GV521" s="13">
        <f>(GH521-GF521)*MCD_NF_DAYS*GR521-GT521*MCD_SHARE_FREED*R_WAIT_2023</f>
        <v>90493936.187219</v>
      </c>
      <c r="GW521" s="10">
        <f>IF(AND(GB521&gt;=RULE_START,GC521=1),1/(1+$GB$12)^(GB521-RULE_START+1),0)</f>
        <v>0</v>
      </c>
      <c r="GX521">
        <f>IF(AND(GB521&gt;=RULE_START,GC521=1,GM521&lt;0),GB521,9999)</f>
        <v>9999</v>
      </c>
      <c r="GY521">
        <f>IF(AND(GB521&gt;=RULE_START,GC521=1,GN521&lt;0),GB521,9999)</f>
        <v>9999</v>
      </c>
      <c r="GZ521">
        <f>IF(AND(GB521&gt;=RULE_START,GC521=1,GO521&lt;0),GB521,9999)</f>
        <v>9999</v>
      </c>
      <c r="HB521" t="n">
        <v>2057</v>
      </c>
      <c r="HC521">
        <f>IF(HB521&lt;=RULE_START+$HB$38-1,1,0)</f>
        <v>0</v>
      </c>
      <c r="HD521" s="15">
        <f>IF(HB521=2024,G_IDX_2024,IF(HB521=2025,G_IDX_2025,IF(HB521=2026,G_IDX_2026,IF(HB521=2027,G_IDX_2027,$HB$13))))</f>
        <v>0.033</v>
      </c>
      <c r="HE521" s="8">
        <f>$HB$20*(1+G_HI)^(HB521-COST_DATE)</f>
        <v>1658.199949970783</v>
      </c>
      <c r="HF521" s="8">
        <f>HF520*(1+HD521)</f>
        <v>1354.9848871289116</v>
      </c>
      <c r="HG521" s="8">
        <f>IF(HB521&lt;RULE_START,HF521,HG520*(1+G_HI))</f>
        <v>1679.006307641689</v>
      </c>
      <c r="HH521" s="8">
        <f>IF(HB521&lt;RULE_START,HF521,IF(HI521=1,R_NF_2024*(1+G_HI)^(HB521-2024),HH520*(1+HD521)))</f>
        <v>1767.3799679776414</v>
      </c>
      <c r="HI521">
        <f>IF(AND(HB521&gt;=RULE_START,MOD(HB521-RULE_START,REBASE_YEARS)=0),1,0)</f>
        <v>1</v>
      </c>
      <c r="HJ521" s="8">
        <f>HF521*CAP_SHARE</f>
        <v>66.25514172578417</v>
      </c>
      <c r="HK521" s="8">
        <f>HG521*CAP_SHARE</f>
        <v>82.09892370607834</v>
      </c>
      <c r="HL521" s="8">
        <f>HH521*CAP_SHARE</f>
        <v>86.42015964457761</v>
      </c>
      <c r="HM521" s="8">
        <f>HF521-HJ521-HE521</f>
        <v>-369.4702045676556</v>
      </c>
      <c r="HN521" s="8">
        <f>HG521-HK521-HE521</f>
        <v>-61.292566035172285</v>
      </c>
      <c r="HO521" s="8">
        <f>HH521-HL521-HE521</f>
        <v>22.759858362280738</v>
      </c>
      <c r="HP521" s="8">
        <f>R_NF_2024*(1+G_HI)^(HB521-2024)</f>
        <v>1767.3799679776414</v>
      </c>
      <c r="HQ521" s="10">
        <f>1-HF521/HP521</f>
        <v>0.233336966764776</v>
      </c>
      <c r="HR521" s="10">
        <f>CPI_2023/(IF(HB521-1=2023,CPI_2023,IF(HB521-1=2024,CPI_2024,IF(HB521-1=2025,CPI_2025,CPI_2025*(1+INFL)^(HB521-1-2025)))))</f>
        <v>0.46442507700979335</v>
      </c>
      <c r="HS521" s="8">
        <f>$HB$21*ABS($HB$11)*(HG521-HF521)/HF521</f>
        <v>23840.368268195136</v>
      </c>
      <c r="HT521" s="8">
        <f>$HB$21*ABS($HB$11)*(HH521-HF521)/HF521</f>
        <v>30342.594584848204</v>
      </c>
      <c r="HU521" s="13">
        <f>(HG521-HF521)*MCD_NF_DAYS*HR521-HS521*MCD_SHARE_FREED*R_WAIT_2023</f>
        <v>68444068.94648223</v>
      </c>
      <c r="HV521" s="13">
        <f>(HH521-HF521)*MCD_NF_DAYS*HR521-HT521*MCD_SHARE_FREED*R_WAIT_2023</f>
        <v>87111516.58471143</v>
      </c>
      <c r="HW521" s="10">
        <f>IF(AND(HB521&gt;=RULE_START,HC521=1),1/(1+$HB$12)^(HB521-RULE_START+1),0)</f>
        <v>0</v>
      </c>
      <c r="HX521">
        <f>IF(AND(HB521&gt;=RULE_START,HC521=1,HM521&lt;0),HB521,9999)</f>
        <v>9999</v>
      </c>
      <c r="HY521">
        <f>IF(AND(HB521&gt;=RULE_START,HC521=1,HN521&lt;0),HB521,9999)</f>
        <v>9999</v>
      </c>
      <c r="HZ521">
        <f>IF(AND(HB521&gt;=RULE_START,HC521=1,HO521&lt;0),HB521,9999)</f>
        <v>9999</v>
      </c>
      <c r="IB521" t="n">
        <v>2057</v>
      </c>
      <c r="IC521">
        <f>IF(IB521&lt;=RULE_START+$IB$38-1,1,0)</f>
        <v>0</v>
      </c>
      <c r="ID521" s="15">
        <f>IF(IB521=2024,G_IDX_2024,IF(IB521=2025,G_IDX_2025,IF(IB521=2026,G_IDX_2026,IF(IB521=2027,G_IDX_2027,$IB$13))))</f>
        <v>0.033</v>
      </c>
      <c r="IE521" s="8">
        <f>$IB$20*(1+G_HI)^(IB521-COST_DATE)</f>
        <v>1658.199949970783</v>
      </c>
      <c r="IF521" s="8">
        <f>IF520*(1+ID521)</f>
        <v>1354.9848871289116</v>
      </c>
      <c r="IG521" s="8">
        <f>IF(IB521&lt;RULE_START,IF521,IG520*(1+G_HI))</f>
        <v>1679.006307641689</v>
      </c>
      <c r="IH521" s="8">
        <f>IF(IB521&lt;RULE_START,IF521,IF(II521=1,R_NF_2024*(1+G_HI)^(IB521-2024),IH520*(1+ID521)))</f>
        <v>1767.3799679776414</v>
      </c>
      <c r="II521">
        <f>IF(AND(IB521&gt;=RULE_START,MOD(IB521-RULE_START,REBASE_YEARS)=0),1,0)</f>
        <v>1</v>
      </c>
      <c r="IJ521" s="8">
        <f>IF521*CAP_SHARE</f>
        <v>66.25514172578417</v>
      </c>
      <c r="IK521" s="8">
        <f>IG521*CAP_SHARE</f>
        <v>82.09892370607834</v>
      </c>
      <c r="IL521" s="8">
        <f>IH521*CAP_SHARE</f>
        <v>86.42015964457761</v>
      </c>
      <c r="IM521" s="8">
        <f>IF521-IJ521-IE521</f>
        <v>-369.4702045676556</v>
      </c>
      <c r="IN521" s="8">
        <f>IG521-IK521-IE521</f>
        <v>-61.292566035172285</v>
      </c>
      <c r="IO521" s="8">
        <f>IH521-IL521-IE521</f>
        <v>22.759858362280738</v>
      </c>
      <c r="IP521" s="8">
        <f>R_NF_2024*(1+G_HI)^(IB521-2024)</f>
        <v>1767.3799679776414</v>
      </c>
      <c r="IQ521" s="10">
        <f>1-IF521/IP521</f>
        <v>0.233336966764776</v>
      </c>
      <c r="IR521" s="10">
        <f>CPI_2023/(IF(IB521-1=2023,CPI_2023,IF(IB521-1=2024,CPI_2024,IF(IB521-1=2025,CPI_2025,CPI_2025*(1+INFL)^(IB521-1-2025)))))</f>
        <v>0.46442507700979335</v>
      </c>
      <c r="IS521" s="8">
        <f>$IB$21*ABS($IB$11)*(IG521-IF521)/IF521</f>
        <v>23840.368268195136</v>
      </c>
      <c r="IT521" s="8">
        <f>$IB$21*ABS($IB$11)*(IH521-IF521)/IF521</f>
        <v>30342.594584848204</v>
      </c>
      <c r="IU521" s="13">
        <f>(IG521-IF521)*MCD_NF_DAYS*IR521-IS521*MCD_SHARE_FREED*R_WAIT_2023</f>
        <v>68444068.94648223</v>
      </c>
      <c r="IV521" s="13">
        <f>(IH521-IF521)*MCD_NF_DAYS*IR521-IT521*MCD_SHARE_FREED*R_WAIT_2023</f>
        <v>87111516.58471143</v>
      </c>
      <c r="IW521" s="10">
        <f>IF(AND(IB521&gt;=RULE_START,IC521=1),1/(1+$IB$12)^(IB521-RULE_START+1),0)</f>
        <v>0</v>
      </c>
      <c r="IX521">
        <f>IF(AND(IB521&gt;=RULE_START,IC521=1,IM521&lt;0),IB521,9999)</f>
        <v>9999</v>
      </c>
      <c r="IY521">
        <f>IF(AND(IB521&gt;=RULE_START,IC521=1,IN521&lt;0),IB521,9999)</f>
        <v>9999</v>
      </c>
      <c r="IZ521">
        <f>IF(AND(IB521&gt;=RULE_START,IC521=1,IO521&lt;0),IB521,9999)</f>
        <v>9999</v>
      </c>
      <c r="JB521" t="n">
        <v>2057</v>
      </c>
      <c r="JC521">
        <f>IF(JB521&lt;=RULE_START+$JB$38-1,1,0)</f>
        <v>0</v>
      </c>
      <c r="JD521" s="15">
        <f>IF(JB521=2024,G_IDX_2024,IF(JB521=2025,G_IDX_2025,IF(JB521=2026,G_IDX_2026,IF(JB521=2027,G_IDX_2027,$JB$13))))</f>
        <v>0.03</v>
      </c>
      <c r="JE521" s="8">
        <f>$JB$20*(1+G_HI)^(JB521-COST_DATE)</f>
        <v>1658.199949970783</v>
      </c>
      <c r="JF521" s="8">
        <f>JF520*(1+JD521)</f>
        <v>1241.7710962389517</v>
      </c>
      <c r="JG521" s="8">
        <f>IF(JB521&lt;RULE_START,JF521,JG520*(1+G_HI))</f>
        <v>1679.006307641689</v>
      </c>
      <c r="JH521" s="8">
        <f>IF(JB521&lt;RULE_START,JF521,IF(JI521=1,R_NF_2024*(1+G_HI)^(JB521-2024),JH520*(1+JD521)))</f>
        <v>1767.3799679776414</v>
      </c>
      <c r="JI521">
        <f>IF(AND(JB521&gt;=RULE_START,MOD(JB521-RULE_START,REBASE_YEARS)=0),1,0)</f>
        <v>1</v>
      </c>
      <c r="JJ521" s="8">
        <f>JF521*CAP_SHARE</f>
        <v>60.71928975283596</v>
      </c>
      <c r="JK521" s="8">
        <f>JG521*CAP_SHARE</f>
        <v>82.09892370607834</v>
      </c>
      <c r="JL521" s="8">
        <f>JH521*CAP_SHARE</f>
        <v>86.42015964457761</v>
      </c>
      <c r="JM521" s="8">
        <f>JF521-JJ521-JE521</f>
        <v>-477.14814348466734</v>
      </c>
      <c r="JN521" s="8">
        <f>JG521-JK521-JE521</f>
        <v>-61.292566035172285</v>
      </c>
      <c r="JO521" s="8">
        <f>JH521-JL521-JE521</f>
        <v>22.759858362280738</v>
      </c>
      <c r="JP521" s="8">
        <f>R_NF_2024*(1+G_HI)^(JB521-2024)</f>
        <v>1767.3799679776414</v>
      </c>
      <c r="JQ521" s="10">
        <f>1-JF521/JP521</f>
        <v>0.297394381096289</v>
      </c>
      <c r="JR521" s="10">
        <f>CPI_2023/(IF(JB521-1=2023,CPI_2023,IF(JB521-1=2024,CPI_2024,IF(JB521-1=2025,CPI_2025,CPI_2025*(1+INFL)^(JB521-1-2025)))))</f>
        <v>0.46442507700979335</v>
      </c>
      <c r="JS521" s="8">
        <f>$JB$21*ABS($JB$11)*(JG521-JF521)/JF521</f>
        <v>35103.24553701448</v>
      </c>
      <c r="JT521" s="8">
        <f>$JB$21*ABS($JB$11)*(JH521-JF521)/JF521</f>
        <v>42198.28778629987</v>
      </c>
      <c r="JU521" s="13">
        <f>(JG521-JF521)*MCD_NF_DAYS*JR521-JS521*MCD_SHARE_FREED*R_WAIT_2023</f>
        <v>91024885.57086176</v>
      </c>
      <c r="JV521" s="13">
        <f>(JH521-JF521)*MCD_NF_DAYS*JR521-JT521*MCD_SHARE_FREED*R_WAIT_2023</f>
        <v>109422768.70051835</v>
      </c>
      <c r="JW521" s="10">
        <f>IF(AND(JB521&gt;=RULE_START,JC521=1),1/(1+$JB$12)^(JB521-RULE_START+1),0)</f>
        <v>0</v>
      </c>
      <c r="JX521">
        <f>IF(AND(JB521&gt;=RULE_START,JC521=1,JM521&lt;0),JB521,9999)</f>
        <v>9999</v>
      </c>
      <c r="JY521">
        <f>IF(AND(JB521&gt;=RULE_START,JC521=1,JN521&lt;0),JB521,9999)</f>
        <v>9999</v>
      </c>
      <c r="JZ521">
        <f>IF(AND(JB521&gt;=RULE_START,JC521=1,JO521&lt;0),JB521,9999)</f>
        <v>9999</v>
      </c>
      <c r="KB521" t="n">
        <v>2057</v>
      </c>
      <c r="KC521">
        <f>IF(KB521&lt;=RULE_START+$KB$38-1,1,0)</f>
        <v>0</v>
      </c>
      <c r="KD521" s="15">
        <f>IF(KB521=2024,G_IDX_2024,IF(KB521=2025,G_IDX_2025,IF(KB521=2026,G_IDX_2026,IF(KB521=2027,G_IDX_2027,$KB$13))))</f>
        <v>0.033</v>
      </c>
      <c r="KE521" s="8">
        <f>$KB$20*(1+G_HI)^(KB521-COST_DATE)</f>
        <v>1658.199949970783</v>
      </c>
      <c r="KF521" s="8">
        <f>KF520*(1+KD521)</f>
        <v>1354.9848871289116</v>
      </c>
      <c r="KG521" s="8">
        <f>IF(KB521&lt;RULE_START,KF521,KG520*(1+G_HI))</f>
        <v>1679.006307641689</v>
      </c>
      <c r="KH521" s="8">
        <f>IF(KB521&lt;RULE_START,KF521,IF(KI521=1,R_NF_2024*(1+G_HI)^(KB521-2024),KH520*(1+KD521)))</f>
        <v>1767.3799679776414</v>
      </c>
      <c r="KI521">
        <f>IF(AND(KB521&gt;=RULE_START,MOD(KB521-RULE_START,REBASE_YEARS)=0),1,0)</f>
        <v>1</v>
      </c>
      <c r="KJ521" s="8">
        <f>KF521*CAP_SHARE</f>
        <v>66.25514172578417</v>
      </c>
      <c r="KK521" s="8">
        <f>KG521*CAP_SHARE</f>
        <v>82.09892370607834</v>
      </c>
      <c r="KL521" s="8">
        <f>KH521*CAP_SHARE</f>
        <v>86.42015964457761</v>
      </c>
      <c r="KM521" s="8">
        <f>KF521-KJ521-KE521</f>
        <v>-369.4702045676556</v>
      </c>
      <c r="KN521" s="8">
        <f>KG521-KK521-KE521</f>
        <v>-61.292566035172285</v>
      </c>
      <c r="KO521" s="8">
        <f>KH521-KL521-KE521</f>
        <v>22.759858362280738</v>
      </c>
      <c r="KP521" s="8">
        <f>R_NF_2024*(1+G_HI)^(KB521-2024)</f>
        <v>1767.3799679776414</v>
      </c>
      <c r="KQ521" s="10">
        <f>1-KF521/KP521</f>
        <v>0.233336966764776</v>
      </c>
      <c r="KR521" s="10">
        <f>CPI_2023/(IF(KB521-1=2023,CPI_2023,IF(KB521-1=2024,CPI_2024,IF(KB521-1=2025,CPI_2025,CPI_2025*(1+INFL)^(KB521-1-2025)))))</f>
        <v>0.46442507700979335</v>
      </c>
      <c r="KS521" s="8">
        <f>$KB$21*ABS($KB$11)*(KG521-KF521)/KF521</f>
        <v>23840.368268195136</v>
      </c>
      <c r="KT521" s="8">
        <f>$KB$21*ABS($KB$11)*(KH521-KF521)/KF521</f>
        <v>30342.594584848204</v>
      </c>
      <c r="KU521" s="13">
        <f>(KG521-KF521)*MCD_NF_DAYS*KR521-KS521*MCD_SHARE_FREED*R_WAIT_2023</f>
        <v>68444068.94648223</v>
      </c>
      <c r="KV521" s="13">
        <f>(KH521-KF521)*MCD_NF_DAYS*KR521-KT521*MCD_SHARE_FREED*R_WAIT_2023</f>
        <v>87111516.58471143</v>
      </c>
      <c r="KW521" s="10">
        <f>IF(AND(KB521&gt;=RULE_START,KC521=1),1/(1+$KB$12)^(KB521-RULE_START+1),0)</f>
        <v>0</v>
      </c>
      <c r="KX521">
        <f>IF(AND(KB521&gt;=RULE_START,KC521=1,KM521&lt;0),KB521,9999)</f>
        <v>9999</v>
      </c>
      <c r="KY521">
        <f>IF(AND(KB521&gt;=RULE_START,KC521=1,KN521&lt;0),KB521,9999)</f>
        <v>9999</v>
      </c>
      <c r="KZ521">
        <f>IF(AND(KB521&gt;=RULE_START,KC521=1,KO521&lt;0),KB521,9999)</f>
        <v>9999</v>
      </c>
      <c r="LB521" t="n">
        <v>2057</v>
      </c>
      <c r="LC521">
        <f>IF(LB521&lt;=RULE_START+$LB$38-1,1,0)</f>
        <v>0</v>
      </c>
      <c r="LD521" s="15">
        <f>IF(LB521=2024,G_IDX_2024,IF(LB521=2025,G_IDX_2025,IF(LB521=2026,G_IDX_2026,IF(LB521=2027,G_IDX_2027,$LB$13))))</f>
        <v>0.033</v>
      </c>
      <c r="LE521" s="8">
        <f>$LB$20*(1+G_HI)^(LB521-COST_DATE)</f>
        <v>1658.199949970783</v>
      </c>
      <c r="LF521" s="8">
        <f>LF520*(1+LD521)</f>
        <v>1354.9848871289116</v>
      </c>
      <c r="LG521" s="8">
        <f>IF(LB521&lt;RULE_START,LF521,LG520*(1+G_HI))</f>
        <v>1679.006307641689</v>
      </c>
      <c r="LH521" s="8">
        <f>IF(LB521&lt;RULE_START,LF521,IF(LI521=1,R_NF_2024*(1+G_HI)^(LB521-2024),LH520*(1+LD521)))</f>
        <v>1767.3799679776414</v>
      </c>
      <c r="LI521">
        <f>IF(AND(LB521&gt;=RULE_START,MOD(LB521-RULE_START,REBASE_YEARS)=0),1,0)</f>
        <v>1</v>
      </c>
      <c r="LJ521" s="8">
        <f>LF521*CAP_SHARE</f>
        <v>66.25514172578417</v>
      </c>
      <c r="LK521" s="8">
        <f>LG521*CAP_SHARE</f>
        <v>82.09892370607834</v>
      </c>
      <c r="LL521" s="8">
        <f>LH521*CAP_SHARE</f>
        <v>86.42015964457761</v>
      </c>
      <c r="LM521" s="8">
        <f>LF521-LJ521-LE521</f>
        <v>-369.4702045676556</v>
      </c>
      <c r="LN521" s="8">
        <f>LG521-LK521-LE521</f>
        <v>-61.292566035172285</v>
      </c>
      <c r="LO521" s="8">
        <f>LH521-LL521-LE521</f>
        <v>22.759858362280738</v>
      </c>
      <c r="LP521" s="8">
        <f>R_NF_2024*(1+G_HI)^(LB521-2024)</f>
        <v>1767.3799679776414</v>
      </c>
      <c r="LQ521" s="10">
        <f>1-LF521/LP521</f>
        <v>0.233336966764776</v>
      </c>
      <c r="LR521" s="10">
        <f>CPI_2023/(IF(LB521-1=2023,CPI_2023,IF(LB521-1=2024,CPI_2024,IF(LB521-1=2025,CPI_2025,CPI_2025*(1+INFL)^(LB521-1-2025)))))</f>
        <v>0.46442507700979335</v>
      </c>
      <c r="LS521" s="8">
        <f>$LB$21*ABS($LB$11)*(LG521-LF521)/LF521</f>
        <v>23840.368268195136</v>
      </c>
      <c r="LT521" s="8">
        <f>$LB$21*ABS($LB$11)*(LH521-LF521)/LF521</f>
        <v>30342.594584848204</v>
      </c>
      <c r="LU521" s="13">
        <f>(LG521-LF521)*MCD_NF_DAYS*LR521-LS521*MCD_SHARE_FREED*R_WAIT_2023</f>
        <v>68444068.94648223</v>
      </c>
      <c r="LV521" s="13">
        <f>(LH521-LF521)*MCD_NF_DAYS*LR521-LT521*MCD_SHARE_FREED*R_WAIT_2023</f>
        <v>87111516.58471143</v>
      </c>
      <c r="LW521" s="10">
        <f>IF(AND(LB521&gt;=RULE_START,LC521=1),1/(1+$LB$12)^(LB521-RULE_START+1),0)</f>
        <v>0</v>
      </c>
      <c r="LX521">
        <f>IF(AND(LB521&gt;=RULE_START,LC521=1,LM521&lt;0),LB521,9999)</f>
        <v>9999</v>
      </c>
      <c r="LY521">
        <f>IF(AND(LB521&gt;=RULE_START,LC521=1,LN521&lt;0),LB521,9999)</f>
        <v>9999</v>
      </c>
      <c r="LZ521">
        <f>IF(AND(LB521&gt;=RULE_START,LC521=1,LO521&lt;0),LB521,9999)</f>
        <v>9999</v>
      </c>
      <c r="MB521" t="n">
        <v>2057</v>
      </c>
      <c r="MC521">
        <f>IF(MB521&lt;=RULE_START+$MB$38-1,1,0)</f>
        <v>0</v>
      </c>
      <c r="MD521" s="15">
        <f>IF(MB521=2024,G_IDX_2024,IF(MB521=2025,G_IDX_2025,IF(MB521=2026,G_IDX_2026,IF(MB521=2027,G_IDX_2027,$MB$13))))</f>
        <v>0.033</v>
      </c>
      <c r="ME521" s="8">
        <f>$MB$20*(1+G_HI)^(MB521-COST_DATE)</f>
        <v>1658.199949970783</v>
      </c>
      <c r="MF521" s="8">
        <f>MF520*(1+MD521)</f>
        <v>1354.9848871289116</v>
      </c>
      <c r="MG521" s="8">
        <f>IF(MB521&lt;RULE_START,MF521,MG520*(1+G_HI))</f>
        <v>1679.006307641689</v>
      </c>
      <c r="MH521" s="8">
        <f>IF(MB521&lt;RULE_START,MF521,IF(MI521=1,R_NF_2024*(1+G_HI)^(MB521-2024),MH520*(1+MD521)))</f>
        <v>1767.3799679776414</v>
      </c>
      <c r="MI521">
        <f>IF(AND(MB521&gt;=RULE_START,MOD(MB521-RULE_START,REBASE_YEARS)=0),1,0)</f>
        <v>1</v>
      </c>
      <c r="MJ521" s="8">
        <f>MF521*CAP_SHARE</f>
        <v>66.25514172578417</v>
      </c>
      <c r="MK521" s="8">
        <f>MG521*CAP_SHARE</f>
        <v>82.09892370607834</v>
      </c>
      <c r="ML521" s="8">
        <f>MH521*CAP_SHARE</f>
        <v>86.42015964457761</v>
      </c>
      <c r="MM521" s="8">
        <f>MF521-MJ521-ME521</f>
        <v>-369.4702045676556</v>
      </c>
      <c r="MN521" s="8">
        <f>MG521-MK521-ME521</f>
        <v>-61.292566035172285</v>
      </c>
      <c r="MO521" s="8">
        <f>MH521-ML521-ME521</f>
        <v>22.759858362280738</v>
      </c>
      <c r="MP521" s="8">
        <f>R_NF_2024*(1+G_HI)^(MB521-2024)</f>
        <v>1767.3799679776414</v>
      </c>
      <c r="MQ521" s="10">
        <f>1-MF521/MP521</f>
        <v>0.233336966764776</v>
      </c>
      <c r="MR521" s="10">
        <f>CPI_2023/(IF(MB521-1=2023,CPI_2023,IF(MB521-1=2024,CPI_2024,IF(MB521-1=2025,CPI_2025,CPI_2025*(1+INFL)^(MB521-1-2025)))))</f>
        <v>0.46442507700979335</v>
      </c>
      <c r="MS521" s="8">
        <f>$MB$21*ABS($MB$11)*(MG521-MF521)/MF521</f>
        <v>17465.206429770595</v>
      </c>
      <c r="MT521" s="8">
        <f>$MB$21*ABS($MB$11)*(MH521-MF521)/MF521</f>
        <v>22228.66996338279</v>
      </c>
      <c r="MU521" s="13">
        <f>(MG521-MF521)*MCD_NF_DAYS*MR521-MS521*MCD_SHARE_FREED*R_WAIT_2023</f>
        <v>71342974.44724171</v>
      </c>
      <c r="MV521" s="13">
        <f>(MH521-MF521)*MCD_NF_DAYS*MR521-MT521*MCD_SHARE_FREED*R_WAIT_2023</f>
        <v>90801070.0915957</v>
      </c>
      <c r="MW521" s="10">
        <f>IF(AND(MB521&gt;=RULE_START,MC521=1),1/(1+$MB$12)^(MB521-RULE_START+1),0)</f>
        <v>0</v>
      </c>
      <c r="MX521">
        <f>IF(AND(MB521&gt;=RULE_START,MC521=1,MM521&lt;0),MB521,9999)</f>
        <v>9999</v>
      </c>
      <c r="MY521">
        <f>IF(AND(MB521&gt;=RULE_START,MC521=1,MN521&lt;0),MB521,9999)</f>
        <v>9999</v>
      </c>
      <c r="MZ521">
        <f>IF(AND(MB521&gt;=RULE_START,MC521=1,MO521&lt;0),MB521,9999)</f>
        <v>9999</v>
      </c>
      <c r="NB521" t="n">
        <v>2057</v>
      </c>
      <c r="NC521">
        <f>IF(NB521&lt;=RULE_START+$NB$38-1,1,0)</f>
        <v>0</v>
      </c>
      <c r="ND521" s="15">
        <f>IF(NB521=2024,G_IDX_2024,IF(NB521=2025,G_IDX_2025,IF(NB521=2026,G_IDX_2026,IF(NB521=2027,G_IDX_2027,$NB$13))))</f>
        <v>0.033</v>
      </c>
      <c r="NE521" s="8">
        <f>$NB$20*(1+G_HI)^(NB521-COST_DATE)</f>
        <v>1658.199949970783</v>
      </c>
      <c r="NF521" s="8">
        <f>NF520*(1+ND521)</f>
        <v>1354.9848871289116</v>
      </c>
      <c r="NG521" s="8">
        <f>IF(NB521&lt;RULE_START,NF521,NG520*(1+G_HI))</f>
        <v>1679.006307641689</v>
      </c>
      <c r="NH521" s="8">
        <f>IF(NB521&lt;RULE_START,NF521,IF(NI521=1,R_NF_2024*(1+G_HI)^(NB521-2024),NH520*(1+ND521)))</f>
        <v>1767.3799679776414</v>
      </c>
      <c r="NI521">
        <f>IF(AND(NB521&gt;=RULE_START,MOD(NB521-RULE_START,REBASE_YEARS)=0),1,0)</f>
        <v>1</v>
      </c>
      <c r="NJ521" s="8">
        <f>NF521*CAP_SHARE</f>
        <v>66.25514172578417</v>
      </c>
      <c r="NK521" s="8">
        <f>NG521*CAP_SHARE</f>
        <v>82.09892370607834</v>
      </c>
      <c r="NL521" s="8">
        <f>NH521*CAP_SHARE</f>
        <v>86.42015964457761</v>
      </c>
      <c r="NM521" s="8">
        <f>NF521-NJ521-NE521</f>
        <v>-369.4702045676556</v>
      </c>
      <c r="NN521" s="8">
        <f>NG521-NK521-NE521</f>
        <v>-61.292566035172285</v>
      </c>
      <c r="NO521" s="8">
        <f>NH521-NL521-NE521</f>
        <v>22.759858362280738</v>
      </c>
      <c r="NP521" s="8">
        <f>R_NF_2024*(1+G_HI)^(NB521-2024)</f>
        <v>1767.3799679776414</v>
      </c>
      <c r="NQ521" s="10">
        <f>1-NF521/NP521</f>
        <v>0.233336966764776</v>
      </c>
      <c r="NR521" s="10">
        <f>CPI_2023/(IF(NB521-1=2023,CPI_2023,IF(NB521-1=2024,CPI_2024,IF(NB521-1=2025,CPI_2025,CPI_2025*(1+INFL)^(NB521-1-2025)))))</f>
        <v>0.46442507700979335</v>
      </c>
      <c r="NS521" s="8">
        <f>$NB$21*ABS($NB$11)*(NG521-NF521)/NF521</f>
        <v>23840.368268195136</v>
      </c>
      <c r="NT521" s="8">
        <f>$NB$21*ABS($NB$11)*(NH521-NF521)/NF521</f>
        <v>30342.594584848204</v>
      </c>
      <c r="NU521" s="13">
        <f>(NG521-NF521)*MCD_NF_DAYS*NR521-NS521*MCD_SHARE_FREED*R_WAIT_2023</f>
        <v>68444068.94648223</v>
      </c>
      <c r="NV521" s="13">
        <f>(NH521-NF521)*MCD_NF_DAYS*NR521-NT521*MCD_SHARE_FREED*R_WAIT_2023</f>
        <v>87111516.58471143</v>
      </c>
      <c r="NW521" s="10">
        <f>IF(AND(NB521&gt;=RULE_START,NC521=1),1/(1+$NB$12)^(NB521-RULE_START+1),0)</f>
        <v>0</v>
      </c>
      <c r="NX521">
        <f>IF(AND(NB521&gt;=RULE_START,NC521=1,NM521&lt;0),NB521,9999)</f>
        <v>9999</v>
      </c>
      <c r="NY521">
        <f>IF(AND(NB521&gt;=RULE_START,NC521=1,NN521&lt;0),NB521,9999)</f>
        <v>9999</v>
      </c>
      <c r="NZ521">
        <f>IF(AND(NB521&gt;=RULE_START,NC521=1,NO521&lt;0),NB521,9999)</f>
        <v>9999</v>
      </c>
      <c r="OB521" t="n">
        <v>2057</v>
      </c>
      <c r="OC521">
        <f>IF(OB521&lt;=RULE_START+$OB$38-1,1,0)</f>
        <v>0</v>
      </c>
      <c r="OD521" s="15">
        <f>IF(OB521=2024,G_IDX_2024,IF(OB521=2025,G_IDX_2025,IF(OB521=2026,G_IDX_2026,IF(OB521=2027,G_IDX_2027,$OB$13))))</f>
        <v>0.033</v>
      </c>
      <c r="OE521" s="8">
        <f>$OB$20*(1+G_HI)^(OB521-COST_DATE)</f>
        <v>1658.199949970783</v>
      </c>
      <c r="OF521" s="8">
        <f>OF520*(1+OD521)</f>
        <v>1354.9848871289116</v>
      </c>
      <c r="OG521" s="8">
        <f>IF(OB521&lt;RULE_START,OF521,OG520*(1+G_HI))</f>
        <v>1679.006307641689</v>
      </c>
      <c r="OH521" s="8">
        <f>IF(OB521&lt;RULE_START,OF521,IF(OI521=1,R_NF_2024*(1+G_HI)^(OB521-2024),OH520*(1+OD521)))</f>
        <v>1767.3799679776414</v>
      </c>
      <c r="OI521">
        <f>IF(AND(OB521&gt;=RULE_START,MOD(OB521-RULE_START,REBASE_YEARS)=0),1,0)</f>
        <v>1</v>
      </c>
      <c r="OJ521" s="8">
        <f>OF521*CAP_SHARE</f>
        <v>66.25514172578417</v>
      </c>
      <c r="OK521" s="8">
        <f>OG521*CAP_SHARE</f>
        <v>82.09892370607834</v>
      </c>
      <c r="OL521" s="8">
        <f>OH521*CAP_SHARE</f>
        <v>86.42015964457761</v>
      </c>
      <c r="OM521" s="8">
        <f>OF521-OJ521-OE521</f>
        <v>-369.4702045676556</v>
      </c>
      <c r="ON521" s="8">
        <f>OG521-OK521-OE521</f>
        <v>-61.292566035172285</v>
      </c>
      <c r="OO521" s="8">
        <f>OH521-OL521-OE521</f>
        <v>22.759858362280738</v>
      </c>
      <c r="OP521" s="8">
        <f>R_NF_2024*(1+G_HI)^(OB521-2024)</f>
        <v>1767.3799679776414</v>
      </c>
      <c r="OQ521" s="10">
        <f>1-OF521/OP521</f>
        <v>0.233336966764776</v>
      </c>
      <c r="OR521" s="10">
        <f>CPI_2023/(IF(OB521-1=2023,CPI_2023,IF(OB521-1=2024,CPI_2024,IF(OB521-1=2025,CPI_2025,CPI_2025*(1+INFL)^(OB521-1-2025)))))</f>
        <v>0.46442507700979335</v>
      </c>
      <c r="OS521" s="8">
        <f>$OB$21*ABS($OB$11)*(OG521-OF521)/OF521</f>
        <v>23840.368268195136</v>
      </c>
      <c r="OT521" s="8">
        <f>$OB$21*ABS($OB$11)*(OH521-OF521)/OF521</f>
        <v>30342.594584848204</v>
      </c>
      <c r="OU521" s="13">
        <f>(OG521-OF521)*MCD_NF_DAYS*OR521-OS521*MCD_SHARE_FREED*R_WAIT_2023</f>
        <v>68444068.94648223</v>
      </c>
      <c r="OV521" s="13">
        <f>(OH521-OF521)*MCD_NF_DAYS*OR521-OT521*MCD_SHARE_FREED*R_WAIT_2023</f>
        <v>87111516.58471143</v>
      </c>
      <c r="OW521" s="10">
        <f>IF(AND(OB521&gt;=RULE_START,OC521=1),1/(1+$OB$12)^(OB521-RULE_START+1),0)</f>
        <v>0</v>
      </c>
      <c r="OX521">
        <f>IF(AND(OB521&gt;=RULE_START,OC521=1,OM521&lt;0),OB521,9999)</f>
        <v>9999</v>
      </c>
      <c r="OY521">
        <f>IF(AND(OB521&gt;=RULE_START,OC521=1,ON521&lt;0),OB521,9999)</f>
        <v>9999</v>
      </c>
      <c r="OZ521">
        <f>IF(AND(OB521&gt;=RULE_START,OC521=1,OO521&lt;0),OB521,9999)</f>
        <v>9999</v>
      </c>
    </row>
    <row r="522">
      <c r="B522" t="n">
        <v>2058</v>
      </c>
      <c r="C522">
        <f>IF(B522&lt;=RULE_START+$B$38-1,1,0)</f>
        <v>0</v>
      </c>
      <c r="D522" s="15">
        <f>IF(B522=2024,G_IDX_2024,IF(B522=2025,G_IDX_2025,IF(B522=2026,G_IDX_2026,IF(B522=2027,G_IDX_2027,$B$13))))</f>
        <v>0.033</v>
      </c>
      <c r="E522" s="8">
        <f>$B$20*(1+G_HI)^(B522-COST_DATE)</f>
        <v>1724.8090478222546</v>
      </c>
      <c r="F522" s="8">
        <f>F521*(1+D522)</f>
        <v>1399.6993884041656</v>
      </c>
      <c r="G522" s="8">
        <f>IF(B522&lt;RULE_START,F522,G521*(1+G_HI))</f>
        <v>1746.4511869162986</v>
      </c>
      <c r="H522" s="8">
        <f>IF(B522&lt;RULE_START,F522,IF(I522=1,R_NF_2024*(1+G_HI)^(B522-2024),H521*(1+D522)))</f>
        <v>1825.7035069209035</v>
      </c>
      <c r="I522">
        <f>IF(AND(B522&gt;=RULE_START,MOD(B522-RULE_START,REBASE_YEARS)=0),1,0)</f>
        <v>0</v>
      </c>
      <c r="J522" s="8">
        <f>F522*CAP_SHARE</f>
        <v>68.44156140273503</v>
      </c>
      <c r="K522" s="8">
        <f>G522*CAP_SHARE</f>
        <v>85.39679815284515</v>
      </c>
      <c r="L522" s="8">
        <f>H522*CAP_SHARE</f>
        <v>89.27202491284866</v>
      </c>
      <c r="M522" s="8">
        <f>F522-J522-E522</f>
        <v>-393.551220820824</v>
      </c>
      <c r="N522" s="8">
        <f>G522-K522-E522</f>
        <v>-63.75465905880105</v>
      </c>
      <c r="O522" s="8">
        <f>H522-L522-E522</f>
        <v>11.62243418580033</v>
      </c>
      <c r="P522" s="8">
        <f>R_NF_2024*(1+G_HI)^(B522-2024)</f>
        <v>1838.3747748643666</v>
      </c>
      <c r="Q522" s="10">
        <f>1-F522/P522</f>
        <v>0.23862130424008132</v>
      </c>
      <c r="R522" s="10">
        <f>CPI_2023/(IF(B522-1=2023,CPI_2023,IF(B522-1=2024,CPI_2024,IF(B522-1=2025,CPI_2025,CPI_2025*(1+INFL)^(B522-1-2025)))))</f>
        <v>0.4540722301620974</v>
      </c>
      <c r="S522" s="8">
        <f>$B$21*ABS($B$11)*(G522-F522)/F522</f>
        <v>24697.764144754947</v>
      </c>
      <c r="T522" s="8">
        <f>$B$21*ABS($B$11)*(H522-F522)/F522</f>
        <v>30342.59458484821</v>
      </c>
      <c r="U522" s="13">
        <f>(G522-F522)*MCD_NF_DAYS*R522-S522*MCD_SHARE_FREED*R_WAIT_2023</f>
        <v>71724706.70032805</v>
      </c>
      <c r="V522" s="13">
        <f>(H522-F522)*MCD_NF_DAYS*R522-T522*MCD_SHARE_FREED*R_WAIT_2023</f>
        <v>88117842.74761498</v>
      </c>
      <c r="W522" s="10">
        <f>IF(AND(B522&gt;=RULE_START,C522=1),1/(1+$B$12)^(B522-RULE_START+1),0)</f>
        <v>0</v>
      </c>
      <c r="X522">
        <f>IF(AND(B522&gt;=RULE_START,C522=1,M522&lt;0),B522,9999)</f>
        <v>9999</v>
      </c>
      <c r="Y522">
        <f>IF(AND(B522&gt;=RULE_START,C522=1,N522&lt;0),B522,9999)</f>
        <v>9999</v>
      </c>
      <c r="Z522">
        <f>IF(AND(B522&gt;=RULE_START,C522=1,O522&lt;0),B522,9999)</f>
        <v>9999</v>
      </c>
      <c r="AB522" t="n">
        <v>2058</v>
      </c>
      <c r="AC522">
        <f>IF(AB522&lt;=RULE_START+$AB$38-1,1,0)</f>
        <v>0</v>
      </c>
      <c r="AD522" s="15">
        <f>IF(AB522=2024,G_IDX_2024,IF(AB522=2025,G_IDX_2025,IF(AB522=2026,G_IDX_2026,IF(AB522=2027,G_IDX_2027,$AB$13))))</f>
        <v>0.033</v>
      </c>
      <c r="AE522" s="8">
        <f>$AB$20*(1+G_HI)^(AB522-COST_DATE)</f>
        <v>1724.8090478222546</v>
      </c>
      <c r="AF522" s="8">
        <f>AF521*(1+AD522)</f>
        <v>1399.6993884041656</v>
      </c>
      <c r="AG522" s="8">
        <f>IF(AB522&lt;RULE_START,AF522,AG521*(1+G_HI))</f>
        <v>1746.4511869162986</v>
      </c>
      <c r="AH522" s="8">
        <f>IF(AB522&lt;RULE_START,AF522,IF(AI522=1,R_NF_2024*(1+G_HI)^(AB522-2024),AH521*(1+AD522)))</f>
        <v>1825.7035069209035</v>
      </c>
      <c r="AI522">
        <f>IF(AND(AB522&gt;=RULE_START,MOD(AB522-RULE_START,REBASE_YEARS)=0),1,0)</f>
        <v>0</v>
      </c>
      <c r="AJ522" s="8">
        <f>AF522*CAP_SHARE</f>
        <v>68.44156140273503</v>
      </c>
      <c r="AK522" s="8">
        <f>AG522*CAP_SHARE</f>
        <v>85.39679815284515</v>
      </c>
      <c r="AL522" s="8">
        <f>AH522*CAP_SHARE</f>
        <v>89.27202491284866</v>
      </c>
      <c r="AM522" s="8">
        <f>AF522-AJ522-AE522</f>
        <v>-393.551220820824</v>
      </c>
      <c r="AN522" s="8">
        <f>AG522-AK522-AE522</f>
        <v>-63.75465905880105</v>
      </c>
      <c r="AO522" s="8">
        <f>AH522-AL522-AE522</f>
        <v>11.62243418580033</v>
      </c>
      <c r="AP522" s="8">
        <f>R_NF_2024*(1+G_HI)^(AB522-2024)</f>
        <v>1838.3747748643666</v>
      </c>
      <c r="AQ522" s="10">
        <f>1-AF522/AP522</f>
        <v>0.23862130424008132</v>
      </c>
      <c r="AR522" s="10">
        <f>CPI_2023/(IF(AB522-1=2023,CPI_2023,IF(AB522-1=2024,CPI_2024,IF(AB522-1=2025,CPI_2025,CPI_2025*(1+INFL)^(AB522-1-2025)))))</f>
        <v>0.4540722301620974</v>
      </c>
      <c r="AS522" s="8">
        <f>$AB$21*ABS($AB$11)*(AG522-AF522)/AF522</f>
        <v>24697.764144754947</v>
      </c>
      <c r="AT522" s="8">
        <f>$AB$21*ABS($AB$11)*(AH522-AF522)/AF522</f>
        <v>30342.59458484821</v>
      </c>
      <c r="AU522" s="13">
        <f>(AG522-AF522)*MCD_NF_DAYS*AR522-AS522*MCD_SHARE_FREED*R_WAIT_2023</f>
        <v>71724706.70032805</v>
      </c>
      <c r="AV522" s="13">
        <f>(AH522-AF522)*MCD_NF_DAYS*AR522-AT522*MCD_SHARE_FREED*R_WAIT_2023</f>
        <v>88117842.74761498</v>
      </c>
      <c r="AW522" s="10">
        <f>IF(AND(AB522&gt;=RULE_START,AC522=1),1/(1+$AB$12)^(AB522-RULE_START+1),0)</f>
        <v>0</v>
      </c>
      <c r="AX522">
        <f>IF(AND(AB522&gt;=RULE_START,AC522=1,AM522&lt;0),AB522,9999)</f>
        <v>9999</v>
      </c>
      <c r="AY522">
        <f>IF(AND(AB522&gt;=RULE_START,AC522=1,AN522&lt;0),AB522,9999)</f>
        <v>9999</v>
      </c>
      <c r="AZ522">
        <f>IF(AND(AB522&gt;=RULE_START,AC522=1,AO522&lt;0),AB522,9999)</f>
        <v>9999</v>
      </c>
      <c r="BB522" t="n">
        <v>2058</v>
      </c>
      <c r="BC522">
        <f>IF(BB522&lt;=RULE_START+$BB$38-1,1,0)</f>
        <v>0</v>
      </c>
      <c r="BD522" s="15">
        <f>IF(BB522=2024,G_IDX_2024,IF(BB522=2025,G_IDX_2025,IF(BB522=2026,G_IDX_2026,IF(BB522=2027,G_IDX_2027,$BB$13))))</f>
        <v>0.033</v>
      </c>
      <c r="BE522" s="8">
        <f>$BB$20*(1+G_HI)^(BB522-COST_DATE)</f>
        <v>1724.8090478222546</v>
      </c>
      <c r="BF522" s="8">
        <f>BF521*(1+BD522)</f>
        <v>1399.6993884041656</v>
      </c>
      <c r="BG522" s="8">
        <f>IF(BB522&lt;RULE_START,BF522,BG521*(1+G_HI))</f>
        <v>1746.4511869162986</v>
      </c>
      <c r="BH522" s="8">
        <f>IF(BB522&lt;RULE_START,BF522,IF(BI522=1,R_NF_2024*(1+G_HI)^(BB522-2024),BH521*(1+BD522)))</f>
        <v>1825.7035069209035</v>
      </c>
      <c r="BI522">
        <f>IF(AND(BB522&gt;=RULE_START,MOD(BB522-RULE_START,REBASE_YEARS)=0),1,0)</f>
        <v>0</v>
      </c>
      <c r="BJ522" s="8">
        <f>BF522*CAP_SHARE</f>
        <v>68.44156140273503</v>
      </c>
      <c r="BK522" s="8">
        <f>BG522*CAP_SHARE</f>
        <v>85.39679815284515</v>
      </c>
      <c r="BL522" s="8">
        <f>BH522*CAP_SHARE</f>
        <v>89.27202491284866</v>
      </c>
      <c r="BM522" s="8">
        <f>BF522-BJ522-BE522</f>
        <v>-393.551220820824</v>
      </c>
      <c r="BN522" s="8">
        <f>BG522-BK522-BE522</f>
        <v>-63.75465905880105</v>
      </c>
      <c r="BO522" s="8">
        <f>BH522-BL522-BE522</f>
        <v>11.62243418580033</v>
      </c>
      <c r="BP522" s="8">
        <f>R_NF_2024*(1+G_HI)^(BB522-2024)</f>
        <v>1838.3747748643666</v>
      </c>
      <c r="BQ522" s="10">
        <f>1-BF522/BP522</f>
        <v>0.23862130424008132</v>
      </c>
      <c r="BR522" s="10">
        <f>CPI_2023/(IF(BB522-1=2023,CPI_2023,IF(BB522-1=2024,CPI_2024,IF(BB522-1=2025,CPI_2025,CPI_2025*(1+INFL)^(BB522-1-2025)))))</f>
        <v>0.4540722301620974</v>
      </c>
      <c r="BS522" s="8">
        <f>$BB$21*ABS($BB$11)*(BG522-BF522)/BF522</f>
        <v>24697.764144754947</v>
      </c>
      <c r="BT522" s="8">
        <f>$BB$21*ABS($BB$11)*(BH522-BF522)/BF522</f>
        <v>30342.59458484821</v>
      </c>
      <c r="BU522" s="13">
        <f>(BG522-BF522)*MCD_NF_DAYS*BR522-BS522*MCD_SHARE_FREED*R_WAIT_2023</f>
        <v>71724706.70032805</v>
      </c>
      <c r="BV522" s="13">
        <f>(BH522-BF522)*MCD_NF_DAYS*BR522-BT522*MCD_SHARE_FREED*R_WAIT_2023</f>
        <v>88117842.74761498</v>
      </c>
      <c r="BW522" s="10">
        <f>IF(AND(BB522&gt;=RULE_START,BC522=1),1/(1+$BB$12)^(BB522-RULE_START+1),0)</f>
        <v>0</v>
      </c>
      <c r="BX522">
        <f>IF(AND(BB522&gt;=RULE_START,BC522=1,BM522&lt;0),BB522,9999)</f>
        <v>9999</v>
      </c>
      <c r="BY522">
        <f>IF(AND(BB522&gt;=RULE_START,BC522=1,BN522&lt;0),BB522,9999)</f>
        <v>9999</v>
      </c>
      <c r="BZ522">
        <f>IF(AND(BB522&gt;=RULE_START,BC522=1,BO522&lt;0),BB522,9999)</f>
        <v>9999</v>
      </c>
      <c r="CB522" t="n">
        <v>2058</v>
      </c>
      <c r="CC522">
        <f>IF(CB522&lt;=RULE_START+$CB$38-1,1,0)</f>
        <v>1</v>
      </c>
      <c r="CD522" s="15">
        <f>IF(CB522=2024,G_IDX_2024,IF(CB522=2025,G_IDX_2025,IF(CB522=2026,G_IDX_2026,IF(CB522=2027,G_IDX_2027,$CB$13))))</f>
        <v>0.033</v>
      </c>
      <c r="CE522" s="8">
        <f>$CB$20*(1+G_HI)^(CB522-COST_DATE)</f>
        <v>1724.8090478222546</v>
      </c>
      <c r="CF522" s="8">
        <f>CF521*(1+CD522)</f>
        <v>1399.6993884041656</v>
      </c>
      <c r="CG522" s="8">
        <f>IF(CB522&lt;RULE_START,CF522,CG521*(1+G_HI))</f>
        <v>1746.4511869162986</v>
      </c>
      <c r="CH522" s="8">
        <f>IF(CB522&lt;RULE_START,CF522,IF(CI522=1,R_NF_2024*(1+G_HI)^(CB522-2024),CH521*(1+CD522)))</f>
        <v>1825.7035069209035</v>
      </c>
      <c r="CI522">
        <f>IF(AND(CB522&gt;=RULE_START,MOD(CB522-RULE_START,REBASE_YEARS)=0),1,0)</f>
        <v>0</v>
      </c>
      <c r="CJ522" s="8">
        <f>CF522*CAP_SHARE</f>
        <v>68.44156140273503</v>
      </c>
      <c r="CK522" s="8">
        <f>CG522*CAP_SHARE</f>
        <v>85.39679815284515</v>
      </c>
      <c r="CL522" s="8">
        <f>CH522*CAP_SHARE</f>
        <v>89.27202491284866</v>
      </c>
      <c r="CM522" s="8">
        <f>CF522-CJ522-CE522</f>
        <v>-393.551220820824</v>
      </c>
      <c r="CN522" s="8">
        <f>CG522-CK522-CE522</f>
        <v>-63.75465905880105</v>
      </c>
      <c r="CO522" s="8">
        <f>CH522-CL522-CE522</f>
        <v>11.62243418580033</v>
      </c>
      <c r="CP522" s="8">
        <f>R_NF_2024*(1+G_HI)^(CB522-2024)</f>
        <v>1838.3747748643666</v>
      </c>
      <c r="CQ522" s="10">
        <f>1-CF522/CP522</f>
        <v>0.23862130424008132</v>
      </c>
      <c r="CR522" s="10">
        <f>CPI_2023/(IF(CB522-1=2023,CPI_2023,IF(CB522-1=2024,CPI_2024,IF(CB522-1=2025,CPI_2025,CPI_2025*(1+INFL)^(CB522-1-2025)))))</f>
        <v>0.4540722301620974</v>
      </c>
      <c r="CS522" s="8">
        <f>$CB$21*ABS($CB$11)*(CG522-CF522)/CF522</f>
        <v>24697.764144754947</v>
      </c>
      <c r="CT522" s="8">
        <f>$CB$21*ABS($CB$11)*(CH522-CF522)/CF522</f>
        <v>30342.59458484821</v>
      </c>
      <c r="CU522" s="13">
        <f>(CG522-CF522)*MCD_NF_DAYS*CR522-CS522*MCD_SHARE_FREED*R_WAIT_2023</f>
        <v>71724706.70032805</v>
      </c>
      <c r="CV522" s="13">
        <f>(CH522-CF522)*MCD_NF_DAYS*CR522-CT522*MCD_SHARE_FREED*R_WAIT_2023</f>
        <v>88117842.74761498</v>
      </c>
      <c r="CW522" s="10">
        <f>IF(AND(CB522&gt;=RULE_START,CC522=1),1/(1+$CB$12)^(CB522-RULE_START+1),0)</f>
        <v>0.5306333035177928</v>
      </c>
      <c r="CX522">
        <f>IF(AND(CB522&gt;=RULE_START,CC522=1,CM522&lt;0),CB522,9999)</f>
        <v>2058</v>
      </c>
      <c r="CY522">
        <f>IF(AND(CB522&gt;=RULE_START,CC522=1,CN522&lt;0),CB522,9999)</f>
        <v>2058</v>
      </c>
      <c r="CZ522">
        <f>IF(AND(CB522&gt;=RULE_START,CC522=1,CO522&lt;0),CB522,9999)</f>
        <v>9999</v>
      </c>
      <c r="DB522" t="n">
        <v>2058</v>
      </c>
      <c r="DC522">
        <f>IF(DB522&lt;=RULE_START+$DB$38-1,1,0)</f>
        <v>0</v>
      </c>
      <c r="DD522" s="15">
        <f>IF(DB522=2024,G_IDX_2024,IF(DB522=2025,G_IDX_2025,IF(DB522=2026,G_IDX_2026,IF(DB522=2027,G_IDX_2027,$DB$13))))</f>
        <v>0.033</v>
      </c>
      <c r="DE522" s="8">
        <f>$DB$20*(1+G_HI)^(DB522-COST_DATE)</f>
        <v>1724.8090478222546</v>
      </c>
      <c r="DF522" s="8">
        <f>DF521*(1+DD522)</f>
        <v>1399.6993884041656</v>
      </c>
      <c r="DG522" s="8">
        <f>IF(DB522&lt;RULE_START,DF522,DG521*(1+G_HI))</f>
        <v>1746.4511869162986</v>
      </c>
      <c r="DH522" s="8">
        <f>IF(DB522&lt;RULE_START,DF522,IF(DI522=1,R_NF_2024*(1+G_HI)^(DB522-2024),DH521*(1+DD522)))</f>
        <v>1825.7035069209035</v>
      </c>
      <c r="DI522">
        <f>IF(AND(DB522&gt;=RULE_START,MOD(DB522-RULE_START,REBASE_YEARS)=0),1,0)</f>
        <v>0</v>
      </c>
      <c r="DJ522" s="8">
        <f>DF522*CAP_SHARE</f>
        <v>68.44156140273503</v>
      </c>
      <c r="DK522" s="8">
        <f>DG522*CAP_SHARE</f>
        <v>85.39679815284515</v>
      </c>
      <c r="DL522" s="8">
        <f>DH522*CAP_SHARE</f>
        <v>89.27202491284866</v>
      </c>
      <c r="DM522" s="8">
        <f>DF522-DJ522-DE522</f>
        <v>-393.551220820824</v>
      </c>
      <c r="DN522" s="8">
        <f>DG522-DK522-DE522</f>
        <v>-63.75465905880105</v>
      </c>
      <c r="DO522" s="8">
        <f>DH522-DL522-DE522</f>
        <v>11.62243418580033</v>
      </c>
      <c r="DP522" s="8">
        <f>R_NF_2024*(1+G_HI)^(DB522-2024)</f>
        <v>1838.3747748643666</v>
      </c>
      <c r="DQ522" s="10">
        <f>1-DF522/DP522</f>
        <v>0.23862130424008132</v>
      </c>
      <c r="DR522" s="10">
        <f>CPI_2023/(IF(DB522-1=2023,CPI_2023,IF(DB522-1=2024,CPI_2024,IF(DB522-1=2025,CPI_2025,CPI_2025*(1+INFL)^(DB522-1-2025)))))</f>
        <v>0.4540722301620974</v>
      </c>
      <c r="DS522" s="8">
        <f>$DB$21*ABS($DB$11)*(DG522-DF522)/DF522</f>
        <v>24697.764144754947</v>
      </c>
      <c r="DT522" s="8">
        <f>$DB$21*ABS($DB$11)*(DH522-DF522)/DF522</f>
        <v>30342.59458484821</v>
      </c>
      <c r="DU522" s="13">
        <f>(DG522-DF522)*MCD_NF_DAYS*DR522-DS522*MCD_SHARE_FREED*R_WAIT_2023</f>
        <v>71724706.70032805</v>
      </c>
      <c r="DV522" s="13">
        <f>(DH522-DF522)*MCD_NF_DAYS*DR522-DT522*MCD_SHARE_FREED*R_WAIT_2023</f>
        <v>88117842.74761498</v>
      </c>
      <c r="DW522" s="10">
        <f>IF(AND(DB522&gt;=RULE_START,DC522=1),1/(1+$DB$12)^(DB522-RULE_START+1),0)</f>
        <v>0</v>
      </c>
      <c r="DX522">
        <f>IF(AND(DB522&gt;=RULE_START,DC522=1,DM522&lt;0),DB522,9999)</f>
        <v>9999</v>
      </c>
      <c r="DY522">
        <f>IF(AND(DB522&gt;=RULE_START,DC522=1,DN522&lt;0),DB522,9999)</f>
        <v>9999</v>
      </c>
      <c r="DZ522">
        <f>IF(AND(DB522&gt;=RULE_START,DC522=1,DO522&lt;0),DB522,9999)</f>
        <v>9999</v>
      </c>
      <c r="EB522" t="n">
        <v>2058</v>
      </c>
      <c r="EC522">
        <f>IF(EB522&lt;=RULE_START+$EB$38-1,1,0)</f>
        <v>0</v>
      </c>
      <c r="ED522" s="15">
        <f>IF(EB522=2024,G_IDX_2024,IF(EB522=2025,G_IDX_2025,IF(EB522=2026,G_IDX_2026,IF(EB522=2027,G_IDX_2027,$EB$13))))</f>
        <v>0.033</v>
      </c>
      <c r="EE522" s="8">
        <f>$EB$20*(1+G_HI)^(EB522-COST_DATE)</f>
        <v>1724.8090478222546</v>
      </c>
      <c r="EF522" s="8">
        <f>EF521*(1+ED522)</f>
        <v>1399.6993884041656</v>
      </c>
      <c r="EG522" s="8">
        <f>IF(EB522&lt;RULE_START,EF522,EG521*(1+G_HI))</f>
        <v>1746.4511869162986</v>
      </c>
      <c r="EH522" s="8">
        <f>IF(EB522&lt;RULE_START,EF522,IF(EI522=1,R_NF_2024*(1+G_HI)^(EB522-2024),EH521*(1+ED522)))</f>
        <v>1825.7035069209035</v>
      </c>
      <c r="EI522">
        <f>IF(AND(EB522&gt;=RULE_START,MOD(EB522-RULE_START,REBASE_YEARS)=0),1,0)</f>
        <v>0</v>
      </c>
      <c r="EJ522" s="8">
        <f>EF522*CAP_SHARE</f>
        <v>68.44156140273503</v>
      </c>
      <c r="EK522" s="8">
        <f>EG522*CAP_SHARE</f>
        <v>85.39679815284515</v>
      </c>
      <c r="EL522" s="8">
        <f>EH522*CAP_SHARE</f>
        <v>89.27202491284866</v>
      </c>
      <c r="EM522" s="8">
        <f>EF522-EJ522-EE522</f>
        <v>-393.551220820824</v>
      </c>
      <c r="EN522" s="8">
        <f>EG522-EK522-EE522</f>
        <v>-63.75465905880105</v>
      </c>
      <c r="EO522" s="8">
        <f>EH522-EL522-EE522</f>
        <v>11.62243418580033</v>
      </c>
      <c r="EP522" s="8">
        <f>R_NF_2024*(1+G_HI)^(EB522-2024)</f>
        <v>1838.3747748643666</v>
      </c>
      <c r="EQ522" s="10">
        <f>1-EF522/EP522</f>
        <v>0.23862130424008132</v>
      </c>
      <c r="ER522" s="10">
        <f>CPI_2023/(IF(EB522-1=2023,CPI_2023,IF(EB522-1=2024,CPI_2024,IF(EB522-1=2025,CPI_2025,CPI_2025*(1+INFL)^(EB522-1-2025)))))</f>
        <v>0.4540722301620974</v>
      </c>
      <c r="ES522" s="8">
        <f>$EB$21*ABS($EB$11)*(EG522-EF522)/EF522</f>
        <v>24697.764144754947</v>
      </c>
      <c r="ET522" s="8">
        <f>$EB$21*ABS($EB$11)*(EH522-EF522)/EF522</f>
        <v>30342.59458484821</v>
      </c>
      <c r="EU522" s="13">
        <f>(EG522-EF522)*MCD_NF_DAYS*ER522-ES522*MCD_SHARE_FREED*R_WAIT_2023</f>
        <v>71724706.70032805</v>
      </c>
      <c r="EV522" s="13">
        <f>(EH522-EF522)*MCD_NF_DAYS*ER522-ET522*MCD_SHARE_FREED*R_WAIT_2023</f>
        <v>88117842.74761498</v>
      </c>
      <c r="EW522" s="10">
        <f>IF(AND(EB522&gt;=RULE_START,EC522=1),1/(1+$EB$12)^(EB522-RULE_START+1),0)</f>
        <v>0</v>
      </c>
      <c r="EX522">
        <f>IF(AND(EB522&gt;=RULE_START,EC522=1,EM522&lt;0),EB522,9999)</f>
        <v>9999</v>
      </c>
      <c r="EY522">
        <f>IF(AND(EB522&gt;=RULE_START,EC522=1,EN522&lt;0),EB522,9999)</f>
        <v>9999</v>
      </c>
      <c r="EZ522">
        <f>IF(AND(EB522&gt;=RULE_START,EC522=1,EO522&lt;0),EB522,9999)</f>
        <v>9999</v>
      </c>
      <c r="FB522" t="n">
        <v>2058</v>
      </c>
      <c r="FC522">
        <f>IF(FB522&lt;=RULE_START+$FB$38-1,1,0)</f>
        <v>0</v>
      </c>
      <c r="FD522" s="15">
        <f>IF(FB522=2024,G_IDX_2024,IF(FB522=2025,G_IDX_2025,IF(FB522=2026,G_IDX_2026,IF(FB522=2027,G_IDX_2027,$FB$13))))</f>
        <v>0.033</v>
      </c>
      <c r="FE522" s="8">
        <f>$FB$20*(1+G_HI)^(FB522-COST_DATE)</f>
        <v>1775.056733673634</v>
      </c>
      <c r="FF522" s="8">
        <f>FF521*(1+FD522)</f>
        <v>1399.6993884041656</v>
      </c>
      <c r="FG522" s="8">
        <f>IF(FB522&lt;RULE_START,FF522,FG521*(1+G_HI))</f>
        <v>1746.4511869162986</v>
      </c>
      <c r="FH522" s="8">
        <f>IF(FB522&lt;RULE_START,FF522,IF(FI522=1,R_NF_2024*(1+G_HI)^(FB522-2024),FH521*(1+FD522)))</f>
        <v>1825.7035069209035</v>
      </c>
      <c r="FI522">
        <f>IF(AND(FB522&gt;=RULE_START,MOD(FB522-RULE_START,REBASE_YEARS)=0),1,0)</f>
        <v>0</v>
      </c>
      <c r="FJ522" s="8">
        <f>FF522*CAP_SHARE</f>
        <v>68.44156140273503</v>
      </c>
      <c r="FK522" s="8">
        <f>FG522*CAP_SHARE</f>
        <v>85.39679815284515</v>
      </c>
      <c r="FL522" s="8">
        <f>FH522*CAP_SHARE</f>
        <v>89.27202491284866</v>
      </c>
      <c r="FM522" s="8">
        <f>FF522-FJ522-FE522</f>
        <v>-443.79890667220343</v>
      </c>
      <c r="FN522" s="8">
        <f>FG522-FK522-FE522</f>
        <v>-114.00234491018045</v>
      </c>
      <c r="FO522" s="8">
        <f>FH522-FL522-FE522</f>
        <v>-38.62525166557907</v>
      </c>
      <c r="FP522" s="8">
        <f>R_NF_2024*(1+G_HI)^(FB522-2024)</f>
        <v>1838.3747748643666</v>
      </c>
      <c r="FQ522" s="10">
        <f>1-FF522/FP522</f>
        <v>0.23862130424008132</v>
      </c>
      <c r="FR522" s="10">
        <f>CPI_2023/(IF(FB522-1=2023,CPI_2023,IF(FB522-1=2024,CPI_2024,IF(FB522-1=2025,CPI_2025,CPI_2025*(1+INFL)^(FB522-1-2025)))))</f>
        <v>0.4540722301620974</v>
      </c>
      <c r="FS522" s="8">
        <f>$FB$21*ABS($FB$11)*(FG522-FF522)/FF522</f>
        <v>24697.764144754947</v>
      </c>
      <c r="FT522" s="8">
        <f>$FB$21*ABS($FB$11)*(FH522-FF522)/FF522</f>
        <v>30342.59458484821</v>
      </c>
      <c r="FU522" s="13">
        <f>(FG522-FF522)*MCD_NF_DAYS*FR522-FS522*MCD_SHARE_FREED*R_WAIT_2023</f>
        <v>71724706.70032805</v>
      </c>
      <c r="FV522" s="13">
        <f>(FH522-FF522)*MCD_NF_DAYS*FR522-FT522*MCD_SHARE_FREED*R_WAIT_2023</f>
        <v>88117842.74761498</v>
      </c>
      <c r="FW522" s="10">
        <f>IF(AND(FB522&gt;=RULE_START,FC522=1),1/(1+$FB$12)^(FB522-RULE_START+1),0)</f>
        <v>0</v>
      </c>
      <c r="FX522">
        <f>IF(AND(FB522&gt;=RULE_START,FC522=1,FM522&lt;0),FB522,9999)</f>
        <v>9999</v>
      </c>
      <c r="FY522">
        <f>IF(AND(FB522&gt;=RULE_START,FC522=1,FN522&lt;0),FB522,9999)</f>
        <v>9999</v>
      </c>
      <c r="FZ522">
        <f>IF(AND(FB522&gt;=RULE_START,FC522=1,FO522&lt;0),FB522,9999)</f>
        <v>9999</v>
      </c>
      <c r="GB522" t="n">
        <v>2058</v>
      </c>
      <c r="GC522">
        <f>IF(GB522&lt;=RULE_START+$GB$38-1,1,0)</f>
        <v>0</v>
      </c>
      <c r="GD522" s="15">
        <f>IF(GB522=2024,G_IDX_2024,IF(GB522=2025,G_IDX_2025,IF(GB522=2026,G_IDX_2026,IF(GB522=2027,G_IDX_2027,$GB$13))))</f>
        <v>0.033</v>
      </c>
      <c r="GE522" s="8">
        <f>$GB$20*(1+G_HI)^(GB522-COST_DATE)</f>
        <v>1724.8090478222546</v>
      </c>
      <c r="GF522" s="8">
        <f>GF521*(1+GD522)</f>
        <v>1399.6993884041656</v>
      </c>
      <c r="GG522" s="8">
        <f>IF(GB522&lt;RULE_START,GF522,GG521*(1+G_HI))</f>
        <v>1746.4511869162986</v>
      </c>
      <c r="GH522" s="8">
        <f>IF(GB522&lt;RULE_START,GF522,IF(GI522=1,R_NF_2024*(1+G_HI)^(GB522-2024),GH521*(1+GD522)))</f>
        <v>1825.7035069209035</v>
      </c>
      <c r="GI522">
        <f>IF(AND(GB522&gt;=RULE_START,MOD(GB522-RULE_START,REBASE_YEARS)=0),1,0)</f>
        <v>0</v>
      </c>
      <c r="GJ522" s="8">
        <f>GF522*CAP_SHARE</f>
        <v>68.44156140273503</v>
      </c>
      <c r="GK522" s="8">
        <f>GG522*CAP_SHARE</f>
        <v>85.39679815284515</v>
      </c>
      <c r="GL522" s="8">
        <f>GH522*CAP_SHARE</f>
        <v>89.27202491284866</v>
      </c>
      <c r="GM522" s="8">
        <f>GF522-GJ522-GE522</f>
        <v>-393.551220820824</v>
      </c>
      <c r="GN522" s="8">
        <f>GG522-GK522-GE522</f>
        <v>-63.75465905880105</v>
      </c>
      <c r="GO522" s="8">
        <f>GH522-GL522-GE522</f>
        <v>11.62243418580033</v>
      </c>
      <c r="GP522" s="8">
        <f>R_NF_2024*(1+G_HI)^(GB522-2024)</f>
        <v>1838.3747748643666</v>
      </c>
      <c r="GQ522" s="10">
        <f>1-GF522/GP522</f>
        <v>0.23862130424008132</v>
      </c>
      <c r="GR522" s="10">
        <f>CPI_2023/(IF(GB522-1=2023,CPI_2023,IF(GB522-1=2024,CPI_2024,IF(GB522-1=2025,CPI_2025,CPI_2025*(1+INFL)^(GB522-1-2025)))))</f>
        <v>0.4540722301620974</v>
      </c>
      <c r="GS522" s="8">
        <f>$GB$21*ABS($GB$11)*(GG522-GF522)/GF522</f>
        <v>18643.106897205653</v>
      </c>
      <c r="GT522" s="8">
        <f>$GB$21*ABS($GB$11)*(GH522-GF522)/GF522</f>
        <v>22904.107070924143</v>
      </c>
      <c r="GU522" s="13">
        <f>(GG522-GF522)*MCD_NF_DAYS*GR522-GS522*MCD_SHARE_FREED*R_WAIT_2023</f>
        <v>74477872.7602616</v>
      </c>
      <c r="GV522" s="13">
        <f>(GH522-GF522)*MCD_NF_DAYS*GR522-GT522*MCD_SHARE_FREED*R_WAIT_2023</f>
        <v>91500262.35012253</v>
      </c>
      <c r="GW522" s="10">
        <f>IF(AND(GB522&gt;=RULE_START,GC522=1),1/(1+$GB$12)^(GB522-RULE_START+1),0)</f>
        <v>0</v>
      </c>
      <c r="GX522">
        <f>IF(AND(GB522&gt;=RULE_START,GC522=1,GM522&lt;0),GB522,9999)</f>
        <v>9999</v>
      </c>
      <c r="GY522">
        <f>IF(AND(GB522&gt;=RULE_START,GC522=1,GN522&lt;0),GB522,9999)</f>
        <v>9999</v>
      </c>
      <c r="GZ522">
        <f>IF(AND(GB522&gt;=RULE_START,GC522=1,GO522&lt;0),GB522,9999)</f>
        <v>9999</v>
      </c>
      <c r="HB522" t="n">
        <v>2058</v>
      </c>
      <c r="HC522">
        <f>IF(HB522&lt;=RULE_START+$HB$38-1,1,0)</f>
        <v>0</v>
      </c>
      <c r="HD522" s="15">
        <f>IF(HB522=2024,G_IDX_2024,IF(HB522=2025,G_IDX_2025,IF(HB522=2026,G_IDX_2026,IF(HB522=2027,G_IDX_2027,$HB$13))))</f>
        <v>0.033</v>
      </c>
      <c r="HE522" s="8">
        <f>$HB$20*(1+G_HI)^(HB522-COST_DATE)</f>
        <v>1724.8090478222546</v>
      </c>
      <c r="HF522" s="8">
        <f>HF521*(1+HD522)</f>
        <v>1399.6993884041656</v>
      </c>
      <c r="HG522" s="8">
        <f>IF(HB522&lt;RULE_START,HF522,HG521*(1+G_HI))</f>
        <v>1746.4511869162986</v>
      </c>
      <c r="HH522" s="8">
        <f>IF(HB522&lt;RULE_START,HF522,IF(HI522=1,R_NF_2024*(1+G_HI)^(HB522-2024),HH521*(1+HD522)))</f>
        <v>1825.7035069209035</v>
      </c>
      <c r="HI522">
        <f>IF(AND(HB522&gt;=RULE_START,MOD(HB522-RULE_START,REBASE_YEARS)=0),1,0)</f>
        <v>0</v>
      </c>
      <c r="HJ522" s="8">
        <f>HF522*CAP_SHARE</f>
        <v>68.44156140273503</v>
      </c>
      <c r="HK522" s="8">
        <f>HG522*CAP_SHARE</f>
        <v>85.39679815284515</v>
      </c>
      <c r="HL522" s="8">
        <f>HH522*CAP_SHARE</f>
        <v>89.27202491284866</v>
      </c>
      <c r="HM522" s="8">
        <f>HF522-HJ522-HE522</f>
        <v>-393.551220820824</v>
      </c>
      <c r="HN522" s="8">
        <f>HG522-HK522-HE522</f>
        <v>-63.75465905880105</v>
      </c>
      <c r="HO522" s="8">
        <f>HH522-HL522-HE522</f>
        <v>11.62243418580033</v>
      </c>
      <c r="HP522" s="8">
        <f>R_NF_2024*(1+G_HI)^(HB522-2024)</f>
        <v>1838.3747748643666</v>
      </c>
      <c r="HQ522" s="10">
        <f>1-HF522/HP522</f>
        <v>0.23862130424008132</v>
      </c>
      <c r="HR522" s="10">
        <f>CPI_2023/(IF(HB522-1=2023,CPI_2023,IF(HB522-1=2024,CPI_2024,IF(HB522-1=2025,CPI_2025,CPI_2025*(1+INFL)^(HB522-1-2025)))))</f>
        <v>0.4540722301620974</v>
      </c>
      <c r="HS522" s="8">
        <f>$HB$21*ABS($HB$11)*(HG522-HF522)/HF522</f>
        <v>24697.764144754947</v>
      </c>
      <c r="HT522" s="8">
        <f>$HB$21*ABS($HB$11)*(HH522-HF522)/HF522</f>
        <v>30342.59458484821</v>
      </c>
      <c r="HU522" s="13">
        <f>(HG522-HF522)*MCD_NF_DAYS*HR522-HS522*MCD_SHARE_FREED*R_WAIT_2023</f>
        <v>71724706.70032805</v>
      </c>
      <c r="HV522" s="13">
        <f>(HH522-HF522)*MCD_NF_DAYS*HR522-HT522*MCD_SHARE_FREED*R_WAIT_2023</f>
        <v>88117842.74761498</v>
      </c>
      <c r="HW522" s="10">
        <f>IF(AND(HB522&gt;=RULE_START,HC522=1),1/(1+$HB$12)^(HB522-RULE_START+1),0)</f>
        <v>0</v>
      </c>
      <c r="HX522">
        <f>IF(AND(HB522&gt;=RULE_START,HC522=1,HM522&lt;0),HB522,9999)</f>
        <v>9999</v>
      </c>
      <c r="HY522">
        <f>IF(AND(HB522&gt;=RULE_START,HC522=1,HN522&lt;0),HB522,9999)</f>
        <v>9999</v>
      </c>
      <c r="HZ522">
        <f>IF(AND(HB522&gt;=RULE_START,HC522=1,HO522&lt;0),HB522,9999)</f>
        <v>9999</v>
      </c>
      <c r="IB522" t="n">
        <v>2058</v>
      </c>
      <c r="IC522">
        <f>IF(IB522&lt;=RULE_START+$IB$38-1,1,0)</f>
        <v>0</v>
      </c>
      <c r="ID522" s="15">
        <f>IF(IB522=2024,G_IDX_2024,IF(IB522=2025,G_IDX_2025,IF(IB522=2026,G_IDX_2026,IF(IB522=2027,G_IDX_2027,$IB$13))))</f>
        <v>0.033</v>
      </c>
      <c r="IE522" s="8">
        <f>$IB$20*(1+G_HI)^(IB522-COST_DATE)</f>
        <v>1724.8090478222546</v>
      </c>
      <c r="IF522" s="8">
        <f>IF521*(1+ID522)</f>
        <v>1399.6993884041656</v>
      </c>
      <c r="IG522" s="8">
        <f>IF(IB522&lt;RULE_START,IF522,IG521*(1+G_HI))</f>
        <v>1746.4511869162986</v>
      </c>
      <c r="IH522" s="8">
        <f>IF(IB522&lt;RULE_START,IF522,IF(II522=1,R_NF_2024*(1+G_HI)^(IB522-2024),IH521*(1+ID522)))</f>
        <v>1825.7035069209035</v>
      </c>
      <c r="II522">
        <f>IF(AND(IB522&gt;=RULE_START,MOD(IB522-RULE_START,REBASE_YEARS)=0),1,0)</f>
        <v>0</v>
      </c>
      <c r="IJ522" s="8">
        <f>IF522*CAP_SHARE</f>
        <v>68.44156140273503</v>
      </c>
      <c r="IK522" s="8">
        <f>IG522*CAP_SHARE</f>
        <v>85.39679815284515</v>
      </c>
      <c r="IL522" s="8">
        <f>IH522*CAP_SHARE</f>
        <v>89.27202491284866</v>
      </c>
      <c r="IM522" s="8">
        <f>IF522-IJ522-IE522</f>
        <v>-393.551220820824</v>
      </c>
      <c r="IN522" s="8">
        <f>IG522-IK522-IE522</f>
        <v>-63.75465905880105</v>
      </c>
      <c r="IO522" s="8">
        <f>IH522-IL522-IE522</f>
        <v>11.62243418580033</v>
      </c>
      <c r="IP522" s="8">
        <f>R_NF_2024*(1+G_HI)^(IB522-2024)</f>
        <v>1838.3747748643666</v>
      </c>
      <c r="IQ522" s="10">
        <f>1-IF522/IP522</f>
        <v>0.23862130424008132</v>
      </c>
      <c r="IR522" s="10">
        <f>CPI_2023/(IF(IB522-1=2023,CPI_2023,IF(IB522-1=2024,CPI_2024,IF(IB522-1=2025,CPI_2025,CPI_2025*(1+INFL)^(IB522-1-2025)))))</f>
        <v>0.4540722301620974</v>
      </c>
      <c r="IS522" s="8">
        <f>$IB$21*ABS($IB$11)*(IG522-IF522)/IF522</f>
        <v>24697.764144754947</v>
      </c>
      <c r="IT522" s="8">
        <f>$IB$21*ABS($IB$11)*(IH522-IF522)/IF522</f>
        <v>30342.59458484821</v>
      </c>
      <c r="IU522" s="13">
        <f>(IG522-IF522)*MCD_NF_DAYS*IR522-IS522*MCD_SHARE_FREED*R_WAIT_2023</f>
        <v>71724706.70032805</v>
      </c>
      <c r="IV522" s="13">
        <f>(IH522-IF522)*MCD_NF_DAYS*IR522-IT522*MCD_SHARE_FREED*R_WAIT_2023</f>
        <v>88117842.74761498</v>
      </c>
      <c r="IW522" s="10">
        <f>IF(AND(IB522&gt;=RULE_START,IC522=1),1/(1+$IB$12)^(IB522-RULE_START+1),0)</f>
        <v>0</v>
      </c>
      <c r="IX522">
        <f>IF(AND(IB522&gt;=RULE_START,IC522=1,IM522&lt;0),IB522,9999)</f>
        <v>9999</v>
      </c>
      <c r="IY522">
        <f>IF(AND(IB522&gt;=RULE_START,IC522=1,IN522&lt;0),IB522,9999)</f>
        <v>9999</v>
      </c>
      <c r="IZ522">
        <f>IF(AND(IB522&gt;=RULE_START,IC522=1,IO522&lt;0),IB522,9999)</f>
        <v>9999</v>
      </c>
      <c r="JB522" t="n">
        <v>2058</v>
      </c>
      <c r="JC522">
        <f>IF(JB522&lt;=RULE_START+$JB$38-1,1,0)</f>
        <v>0</v>
      </c>
      <c r="JD522" s="15">
        <f>IF(JB522=2024,G_IDX_2024,IF(JB522=2025,G_IDX_2025,IF(JB522=2026,G_IDX_2026,IF(JB522=2027,G_IDX_2027,$JB$13))))</f>
        <v>0.03</v>
      </c>
      <c r="JE522" s="8">
        <f>$JB$20*(1+G_HI)^(JB522-COST_DATE)</f>
        <v>1724.8090478222546</v>
      </c>
      <c r="JF522" s="8">
        <f>JF521*(1+JD522)</f>
        <v>1279.0242291261202</v>
      </c>
      <c r="JG522" s="8">
        <f>IF(JB522&lt;RULE_START,JF522,JG521*(1+G_HI))</f>
        <v>1746.4511869162986</v>
      </c>
      <c r="JH522" s="8">
        <f>IF(JB522&lt;RULE_START,JF522,IF(JI522=1,R_NF_2024*(1+G_HI)^(JB522-2024),JH521*(1+JD522)))</f>
        <v>1820.4013670169707</v>
      </c>
      <c r="JI522">
        <f>IF(AND(JB522&gt;=RULE_START,MOD(JB522-RULE_START,REBASE_YEARS)=0),1,0)</f>
        <v>0</v>
      </c>
      <c r="JJ522" s="8">
        <f>JF522*CAP_SHARE</f>
        <v>62.54086844542104</v>
      </c>
      <c r="JK522" s="8">
        <f>JG522*CAP_SHARE</f>
        <v>85.39679815284515</v>
      </c>
      <c r="JL522" s="8">
        <f>JH522*CAP_SHARE</f>
        <v>89.01276443391494</v>
      </c>
      <c r="JM522" s="8">
        <f>JF522-JJ522-JE522</f>
        <v>-508.32568714155536</v>
      </c>
      <c r="JN522" s="8">
        <f>JG522-JK522-JE522</f>
        <v>-63.75465905880105</v>
      </c>
      <c r="JO522" s="8">
        <f>JH522-JL522-JE522</f>
        <v>6.579554760801102</v>
      </c>
      <c r="JP522" s="8">
        <f>R_NF_2024*(1+G_HI)^(JB522-2024)</f>
        <v>1838.3747748643666</v>
      </c>
      <c r="JQ522" s="10">
        <f>1-JF522/JP522</f>
        <v>0.30426361011155345</v>
      </c>
      <c r="JR522" s="10">
        <f>CPI_2023/(IF(JB522-1=2023,CPI_2023,IF(JB522-1=2024,CPI_2024,IF(JB522-1=2025,CPI_2025,CPI_2025*(1+INFL)^(JB522-1-2025)))))</f>
        <v>0.4540722301620974</v>
      </c>
      <c r="JS522" s="8">
        <f>$JB$21*ABS($JB$11)*(JG522-JF522)/JF522</f>
        <v>36434.15265142092</v>
      </c>
      <c r="JT522" s="8">
        <f>$JB$21*ABS($JB$11)*(JH522-JF522)/JF522</f>
        <v>42198.28778629989</v>
      </c>
      <c r="JU522" s="13">
        <f>(JG522-JF522)*MCD_NF_DAYS*JR522-JS522*MCD_SHARE_FREED*R_WAIT_2023</f>
        <v>95257699.24480817</v>
      </c>
      <c r="JV522" s="13">
        <f>(JH522-JF522)*MCD_NF_DAYS*JR522-JT522*MCD_SHARE_FREED*R_WAIT_2023</f>
        <v>110328126.60833073</v>
      </c>
      <c r="JW522" s="10">
        <f>IF(AND(JB522&gt;=RULE_START,JC522=1),1/(1+$JB$12)^(JB522-RULE_START+1),0)</f>
        <v>0</v>
      </c>
      <c r="JX522">
        <f>IF(AND(JB522&gt;=RULE_START,JC522=1,JM522&lt;0),JB522,9999)</f>
        <v>9999</v>
      </c>
      <c r="JY522">
        <f>IF(AND(JB522&gt;=RULE_START,JC522=1,JN522&lt;0),JB522,9999)</f>
        <v>9999</v>
      </c>
      <c r="JZ522">
        <f>IF(AND(JB522&gt;=RULE_START,JC522=1,JO522&lt;0),JB522,9999)</f>
        <v>9999</v>
      </c>
      <c r="KB522" t="n">
        <v>2058</v>
      </c>
      <c r="KC522">
        <f>IF(KB522&lt;=RULE_START+$KB$38-1,1,0)</f>
        <v>0</v>
      </c>
      <c r="KD522" s="15">
        <f>IF(KB522=2024,G_IDX_2024,IF(KB522=2025,G_IDX_2025,IF(KB522=2026,G_IDX_2026,IF(KB522=2027,G_IDX_2027,$KB$13))))</f>
        <v>0.033</v>
      </c>
      <c r="KE522" s="8">
        <f>$KB$20*(1+G_HI)^(KB522-COST_DATE)</f>
        <v>1724.8090478222546</v>
      </c>
      <c r="KF522" s="8">
        <f>KF521*(1+KD522)</f>
        <v>1399.6993884041656</v>
      </c>
      <c r="KG522" s="8">
        <f>IF(KB522&lt;RULE_START,KF522,KG521*(1+G_HI))</f>
        <v>1746.4511869162986</v>
      </c>
      <c r="KH522" s="8">
        <f>IF(KB522&lt;RULE_START,KF522,IF(KI522=1,R_NF_2024*(1+G_HI)^(KB522-2024),KH521*(1+KD522)))</f>
        <v>1825.7035069209035</v>
      </c>
      <c r="KI522">
        <f>IF(AND(KB522&gt;=RULE_START,MOD(KB522-RULE_START,REBASE_YEARS)=0),1,0)</f>
        <v>0</v>
      </c>
      <c r="KJ522" s="8">
        <f>KF522*CAP_SHARE</f>
        <v>68.44156140273503</v>
      </c>
      <c r="KK522" s="8">
        <f>KG522*CAP_SHARE</f>
        <v>85.39679815284515</v>
      </c>
      <c r="KL522" s="8">
        <f>KH522*CAP_SHARE</f>
        <v>89.27202491284866</v>
      </c>
      <c r="KM522" s="8">
        <f>KF522-KJ522-KE522</f>
        <v>-393.551220820824</v>
      </c>
      <c r="KN522" s="8">
        <f>KG522-KK522-KE522</f>
        <v>-63.75465905880105</v>
      </c>
      <c r="KO522" s="8">
        <f>KH522-KL522-KE522</f>
        <v>11.62243418580033</v>
      </c>
      <c r="KP522" s="8">
        <f>R_NF_2024*(1+G_HI)^(KB522-2024)</f>
        <v>1838.3747748643666</v>
      </c>
      <c r="KQ522" s="10">
        <f>1-KF522/KP522</f>
        <v>0.23862130424008132</v>
      </c>
      <c r="KR522" s="10">
        <f>CPI_2023/(IF(KB522-1=2023,CPI_2023,IF(KB522-1=2024,CPI_2024,IF(KB522-1=2025,CPI_2025,CPI_2025*(1+INFL)^(KB522-1-2025)))))</f>
        <v>0.4540722301620974</v>
      </c>
      <c r="KS522" s="8">
        <f>$KB$21*ABS($KB$11)*(KG522-KF522)/KF522</f>
        <v>24697.764144754947</v>
      </c>
      <c r="KT522" s="8">
        <f>$KB$21*ABS($KB$11)*(KH522-KF522)/KF522</f>
        <v>30342.59458484821</v>
      </c>
      <c r="KU522" s="13">
        <f>(KG522-KF522)*MCD_NF_DAYS*KR522-KS522*MCD_SHARE_FREED*R_WAIT_2023</f>
        <v>71724706.70032805</v>
      </c>
      <c r="KV522" s="13">
        <f>(KH522-KF522)*MCD_NF_DAYS*KR522-KT522*MCD_SHARE_FREED*R_WAIT_2023</f>
        <v>88117842.74761498</v>
      </c>
      <c r="KW522" s="10">
        <f>IF(AND(KB522&gt;=RULE_START,KC522=1),1/(1+$KB$12)^(KB522-RULE_START+1),0)</f>
        <v>0</v>
      </c>
      <c r="KX522">
        <f>IF(AND(KB522&gt;=RULE_START,KC522=1,KM522&lt;0),KB522,9999)</f>
        <v>9999</v>
      </c>
      <c r="KY522">
        <f>IF(AND(KB522&gt;=RULE_START,KC522=1,KN522&lt;0),KB522,9999)</f>
        <v>9999</v>
      </c>
      <c r="KZ522">
        <f>IF(AND(KB522&gt;=RULE_START,KC522=1,KO522&lt;0),KB522,9999)</f>
        <v>9999</v>
      </c>
      <c r="LB522" t="n">
        <v>2058</v>
      </c>
      <c r="LC522">
        <f>IF(LB522&lt;=RULE_START+$LB$38-1,1,0)</f>
        <v>0</v>
      </c>
      <c r="LD522" s="15">
        <f>IF(LB522=2024,G_IDX_2024,IF(LB522=2025,G_IDX_2025,IF(LB522=2026,G_IDX_2026,IF(LB522=2027,G_IDX_2027,$LB$13))))</f>
        <v>0.033</v>
      </c>
      <c r="LE522" s="8">
        <f>$LB$20*(1+G_HI)^(LB522-COST_DATE)</f>
        <v>1724.8090478222546</v>
      </c>
      <c r="LF522" s="8">
        <f>LF521*(1+LD522)</f>
        <v>1399.6993884041656</v>
      </c>
      <c r="LG522" s="8">
        <f>IF(LB522&lt;RULE_START,LF522,LG521*(1+G_HI))</f>
        <v>1746.4511869162986</v>
      </c>
      <c r="LH522" s="8">
        <f>IF(LB522&lt;RULE_START,LF522,IF(LI522=1,R_NF_2024*(1+G_HI)^(LB522-2024),LH521*(1+LD522)))</f>
        <v>1825.7035069209035</v>
      </c>
      <c r="LI522">
        <f>IF(AND(LB522&gt;=RULE_START,MOD(LB522-RULE_START,REBASE_YEARS)=0),1,0)</f>
        <v>0</v>
      </c>
      <c r="LJ522" s="8">
        <f>LF522*CAP_SHARE</f>
        <v>68.44156140273503</v>
      </c>
      <c r="LK522" s="8">
        <f>LG522*CAP_SHARE</f>
        <v>85.39679815284515</v>
      </c>
      <c r="LL522" s="8">
        <f>LH522*CAP_SHARE</f>
        <v>89.27202491284866</v>
      </c>
      <c r="LM522" s="8">
        <f>LF522-LJ522-LE522</f>
        <v>-393.551220820824</v>
      </c>
      <c r="LN522" s="8">
        <f>LG522-LK522-LE522</f>
        <v>-63.75465905880105</v>
      </c>
      <c r="LO522" s="8">
        <f>LH522-LL522-LE522</f>
        <v>11.62243418580033</v>
      </c>
      <c r="LP522" s="8">
        <f>R_NF_2024*(1+G_HI)^(LB522-2024)</f>
        <v>1838.3747748643666</v>
      </c>
      <c r="LQ522" s="10">
        <f>1-LF522/LP522</f>
        <v>0.23862130424008132</v>
      </c>
      <c r="LR522" s="10">
        <f>CPI_2023/(IF(LB522-1=2023,CPI_2023,IF(LB522-1=2024,CPI_2024,IF(LB522-1=2025,CPI_2025,CPI_2025*(1+INFL)^(LB522-1-2025)))))</f>
        <v>0.4540722301620974</v>
      </c>
      <c r="LS522" s="8">
        <f>$LB$21*ABS($LB$11)*(LG522-LF522)/LF522</f>
        <v>24697.764144754947</v>
      </c>
      <c r="LT522" s="8">
        <f>$LB$21*ABS($LB$11)*(LH522-LF522)/LF522</f>
        <v>30342.59458484821</v>
      </c>
      <c r="LU522" s="13">
        <f>(LG522-LF522)*MCD_NF_DAYS*LR522-LS522*MCD_SHARE_FREED*R_WAIT_2023</f>
        <v>71724706.70032805</v>
      </c>
      <c r="LV522" s="13">
        <f>(LH522-LF522)*MCD_NF_DAYS*LR522-LT522*MCD_SHARE_FREED*R_WAIT_2023</f>
        <v>88117842.74761498</v>
      </c>
      <c r="LW522" s="10">
        <f>IF(AND(LB522&gt;=RULE_START,LC522=1),1/(1+$LB$12)^(LB522-RULE_START+1),0)</f>
        <v>0</v>
      </c>
      <c r="LX522">
        <f>IF(AND(LB522&gt;=RULE_START,LC522=1,LM522&lt;0),LB522,9999)</f>
        <v>9999</v>
      </c>
      <c r="LY522">
        <f>IF(AND(LB522&gt;=RULE_START,LC522=1,LN522&lt;0),LB522,9999)</f>
        <v>9999</v>
      </c>
      <c r="LZ522">
        <f>IF(AND(LB522&gt;=RULE_START,LC522=1,LO522&lt;0),LB522,9999)</f>
        <v>9999</v>
      </c>
      <c r="MB522" t="n">
        <v>2058</v>
      </c>
      <c r="MC522">
        <f>IF(MB522&lt;=RULE_START+$MB$38-1,1,0)</f>
        <v>0</v>
      </c>
      <c r="MD522" s="15">
        <f>IF(MB522=2024,G_IDX_2024,IF(MB522=2025,G_IDX_2025,IF(MB522=2026,G_IDX_2026,IF(MB522=2027,G_IDX_2027,$MB$13))))</f>
        <v>0.033</v>
      </c>
      <c r="ME522" s="8">
        <f>$MB$20*(1+G_HI)^(MB522-COST_DATE)</f>
        <v>1724.8090478222546</v>
      </c>
      <c r="MF522" s="8">
        <f>MF521*(1+MD522)</f>
        <v>1399.6993884041656</v>
      </c>
      <c r="MG522" s="8">
        <f>IF(MB522&lt;RULE_START,MF522,MG521*(1+G_HI))</f>
        <v>1746.4511869162986</v>
      </c>
      <c r="MH522" s="8">
        <f>IF(MB522&lt;RULE_START,MF522,IF(MI522=1,R_NF_2024*(1+G_HI)^(MB522-2024),MH521*(1+MD522)))</f>
        <v>1825.7035069209035</v>
      </c>
      <c r="MI522">
        <f>IF(AND(MB522&gt;=RULE_START,MOD(MB522-RULE_START,REBASE_YEARS)=0),1,0)</f>
        <v>0</v>
      </c>
      <c r="MJ522" s="8">
        <f>MF522*CAP_SHARE</f>
        <v>68.44156140273503</v>
      </c>
      <c r="MK522" s="8">
        <f>MG522*CAP_SHARE</f>
        <v>85.39679815284515</v>
      </c>
      <c r="ML522" s="8">
        <f>MH522*CAP_SHARE</f>
        <v>89.27202491284866</v>
      </c>
      <c r="MM522" s="8">
        <f>MF522-MJ522-ME522</f>
        <v>-393.551220820824</v>
      </c>
      <c r="MN522" s="8">
        <f>MG522-MK522-ME522</f>
        <v>-63.75465905880105</v>
      </c>
      <c r="MO522" s="8">
        <f>MH522-ML522-ME522</f>
        <v>11.62243418580033</v>
      </c>
      <c r="MP522" s="8">
        <f>R_NF_2024*(1+G_HI)^(MB522-2024)</f>
        <v>1838.3747748643666</v>
      </c>
      <c r="MQ522" s="10">
        <f>1-MF522/MP522</f>
        <v>0.23862130424008132</v>
      </c>
      <c r="MR522" s="10">
        <f>CPI_2023/(IF(MB522-1=2023,CPI_2023,IF(MB522-1=2024,CPI_2024,IF(MB522-1=2025,CPI_2025,CPI_2025*(1+INFL)^(MB522-1-2025)))))</f>
        <v>0.4540722301620974</v>
      </c>
      <c r="MS522" s="8">
        <f>$MB$21*ABS($MB$11)*(MG522-MF522)/MF522</f>
        <v>18093.325752748024</v>
      </c>
      <c r="MT522" s="8">
        <f>$MB$21*ABS($MB$11)*(MH522-MF522)/MF522</f>
        <v>22228.669963382792</v>
      </c>
      <c r="MU522" s="13">
        <f>(MG522-MF522)*MCD_NF_DAYS*MR522-MS522*MCD_SHARE_FREED*R_WAIT_2023</f>
        <v>74727868.54456876</v>
      </c>
      <c r="MV522" s="13">
        <f>(MH522-MF522)*MCD_NF_DAYS*MR522-MT522*MCD_SHARE_FREED*R_WAIT_2023</f>
        <v>91807396.25449924</v>
      </c>
      <c r="MW522" s="10">
        <f>IF(AND(MB522&gt;=RULE_START,MC522=1),1/(1+$MB$12)^(MB522-RULE_START+1),0)</f>
        <v>0</v>
      </c>
      <c r="MX522">
        <f>IF(AND(MB522&gt;=RULE_START,MC522=1,MM522&lt;0),MB522,9999)</f>
        <v>9999</v>
      </c>
      <c r="MY522">
        <f>IF(AND(MB522&gt;=RULE_START,MC522=1,MN522&lt;0),MB522,9999)</f>
        <v>9999</v>
      </c>
      <c r="MZ522">
        <f>IF(AND(MB522&gt;=RULE_START,MC522=1,MO522&lt;0),MB522,9999)</f>
        <v>9999</v>
      </c>
      <c r="NB522" t="n">
        <v>2058</v>
      </c>
      <c r="NC522">
        <f>IF(NB522&lt;=RULE_START+$NB$38-1,1,0)</f>
        <v>0</v>
      </c>
      <c r="ND522" s="15">
        <f>IF(NB522=2024,G_IDX_2024,IF(NB522=2025,G_IDX_2025,IF(NB522=2026,G_IDX_2026,IF(NB522=2027,G_IDX_2027,$NB$13))))</f>
        <v>0.033</v>
      </c>
      <c r="NE522" s="8">
        <f>$NB$20*(1+G_HI)^(NB522-COST_DATE)</f>
        <v>1724.8090478222546</v>
      </c>
      <c r="NF522" s="8">
        <f>NF521*(1+ND522)</f>
        <v>1399.6993884041656</v>
      </c>
      <c r="NG522" s="8">
        <f>IF(NB522&lt;RULE_START,NF522,NG521*(1+G_HI))</f>
        <v>1746.4511869162986</v>
      </c>
      <c r="NH522" s="8">
        <f>IF(NB522&lt;RULE_START,NF522,IF(NI522=1,R_NF_2024*(1+G_HI)^(NB522-2024),NH521*(1+ND522)))</f>
        <v>1825.7035069209035</v>
      </c>
      <c r="NI522">
        <f>IF(AND(NB522&gt;=RULE_START,MOD(NB522-RULE_START,REBASE_YEARS)=0),1,0)</f>
        <v>0</v>
      </c>
      <c r="NJ522" s="8">
        <f>NF522*CAP_SHARE</f>
        <v>68.44156140273503</v>
      </c>
      <c r="NK522" s="8">
        <f>NG522*CAP_SHARE</f>
        <v>85.39679815284515</v>
      </c>
      <c r="NL522" s="8">
        <f>NH522*CAP_SHARE</f>
        <v>89.27202491284866</v>
      </c>
      <c r="NM522" s="8">
        <f>NF522-NJ522-NE522</f>
        <v>-393.551220820824</v>
      </c>
      <c r="NN522" s="8">
        <f>NG522-NK522-NE522</f>
        <v>-63.75465905880105</v>
      </c>
      <c r="NO522" s="8">
        <f>NH522-NL522-NE522</f>
        <v>11.62243418580033</v>
      </c>
      <c r="NP522" s="8">
        <f>R_NF_2024*(1+G_HI)^(NB522-2024)</f>
        <v>1838.3747748643666</v>
      </c>
      <c r="NQ522" s="10">
        <f>1-NF522/NP522</f>
        <v>0.23862130424008132</v>
      </c>
      <c r="NR522" s="10">
        <f>CPI_2023/(IF(NB522-1=2023,CPI_2023,IF(NB522-1=2024,CPI_2024,IF(NB522-1=2025,CPI_2025,CPI_2025*(1+INFL)^(NB522-1-2025)))))</f>
        <v>0.4540722301620974</v>
      </c>
      <c r="NS522" s="8">
        <f>$NB$21*ABS($NB$11)*(NG522-NF522)/NF522</f>
        <v>24697.764144754947</v>
      </c>
      <c r="NT522" s="8">
        <f>$NB$21*ABS($NB$11)*(NH522-NF522)/NF522</f>
        <v>30342.59458484821</v>
      </c>
      <c r="NU522" s="13">
        <f>(NG522-NF522)*MCD_NF_DAYS*NR522-NS522*MCD_SHARE_FREED*R_WAIT_2023</f>
        <v>71724706.70032805</v>
      </c>
      <c r="NV522" s="13">
        <f>(NH522-NF522)*MCD_NF_DAYS*NR522-NT522*MCD_SHARE_FREED*R_WAIT_2023</f>
        <v>88117842.74761498</v>
      </c>
      <c r="NW522" s="10">
        <f>IF(AND(NB522&gt;=RULE_START,NC522=1),1/(1+$NB$12)^(NB522-RULE_START+1),0)</f>
        <v>0</v>
      </c>
      <c r="NX522">
        <f>IF(AND(NB522&gt;=RULE_START,NC522=1,NM522&lt;0),NB522,9999)</f>
        <v>9999</v>
      </c>
      <c r="NY522">
        <f>IF(AND(NB522&gt;=RULE_START,NC522=1,NN522&lt;0),NB522,9999)</f>
        <v>9999</v>
      </c>
      <c r="NZ522">
        <f>IF(AND(NB522&gt;=RULE_START,NC522=1,NO522&lt;0),NB522,9999)</f>
        <v>9999</v>
      </c>
      <c r="OB522" t="n">
        <v>2058</v>
      </c>
      <c r="OC522">
        <f>IF(OB522&lt;=RULE_START+$OB$38-1,1,0)</f>
        <v>0</v>
      </c>
      <c r="OD522" s="15">
        <f>IF(OB522=2024,G_IDX_2024,IF(OB522=2025,G_IDX_2025,IF(OB522=2026,G_IDX_2026,IF(OB522=2027,G_IDX_2027,$OB$13))))</f>
        <v>0.033</v>
      </c>
      <c r="OE522" s="8">
        <f>$OB$20*(1+G_HI)^(OB522-COST_DATE)</f>
        <v>1724.8090478222546</v>
      </c>
      <c r="OF522" s="8">
        <f>OF521*(1+OD522)</f>
        <v>1399.6993884041656</v>
      </c>
      <c r="OG522" s="8">
        <f>IF(OB522&lt;RULE_START,OF522,OG521*(1+G_HI))</f>
        <v>1746.4511869162986</v>
      </c>
      <c r="OH522" s="8">
        <f>IF(OB522&lt;RULE_START,OF522,IF(OI522=1,R_NF_2024*(1+G_HI)^(OB522-2024),OH521*(1+OD522)))</f>
        <v>1825.7035069209035</v>
      </c>
      <c r="OI522">
        <f>IF(AND(OB522&gt;=RULE_START,MOD(OB522-RULE_START,REBASE_YEARS)=0),1,0)</f>
        <v>0</v>
      </c>
      <c r="OJ522" s="8">
        <f>OF522*CAP_SHARE</f>
        <v>68.44156140273503</v>
      </c>
      <c r="OK522" s="8">
        <f>OG522*CAP_SHARE</f>
        <v>85.39679815284515</v>
      </c>
      <c r="OL522" s="8">
        <f>OH522*CAP_SHARE</f>
        <v>89.27202491284866</v>
      </c>
      <c r="OM522" s="8">
        <f>OF522-OJ522-OE522</f>
        <v>-393.551220820824</v>
      </c>
      <c r="ON522" s="8">
        <f>OG522-OK522-OE522</f>
        <v>-63.75465905880105</v>
      </c>
      <c r="OO522" s="8">
        <f>OH522-OL522-OE522</f>
        <v>11.62243418580033</v>
      </c>
      <c r="OP522" s="8">
        <f>R_NF_2024*(1+G_HI)^(OB522-2024)</f>
        <v>1838.3747748643666</v>
      </c>
      <c r="OQ522" s="10">
        <f>1-OF522/OP522</f>
        <v>0.23862130424008132</v>
      </c>
      <c r="OR522" s="10">
        <f>CPI_2023/(IF(OB522-1=2023,CPI_2023,IF(OB522-1=2024,CPI_2024,IF(OB522-1=2025,CPI_2025,CPI_2025*(1+INFL)^(OB522-1-2025)))))</f>
        <v>0.4540722301620974</v>
      </c>
      <c r="OS522" s="8">
        <f>$OB$21*ABS($OB$11)*(OG522-OF522)/OF522</f>
        <v>24697.764144754947</v>
      </c>
      <c r="OT522" s="8">
        <f>$OB$21*ABS($OB$11)*(OH522-OF522)/OF522</f>
        <v>30342.59458484821</v>
      </c>
      <c r="OU522" s="13">
        <f>(OG522-OF522)*MCD_NF_DAYS*OR522-OS522*MCD_SHARE_FREED*R_WAIT_2023</f>
        <v>71724706.70032805</v>
      </c>
      <c r="OV522" s="13">
        <f>(OH522-OF522)*MCD_NF_DAYS*OR522-OT522*MCD_SHARE_FREED*R_WAIT_2023</f>
        <v>88117842.74761498</v>
      </c>
      <c r="OW522" s="10">
        <f>IF(AND(OB522&gt;=RULE_START,OC522=1),1/(1+$OB$12)^(OB522-RULE_START+1),0)</f>
        <v>0</v>
      </c>
      <c r="OX522">
        <f>IF(AND(OB522&gt;=RULE_START,OC522=1,OM522&lt;0),OB522,9999)</f>
        <v>9999</v>
      </c>
      <c r="OY522">
        <f>IF(AND(OB522&gt;=RULE_START,OC522=1,ON522&lt;0),OB522,9999)</f>
        <v>9999</v>
      </c>
      <c r="OZ522">
        <f>IF(AND(OB522&gt;=RULE_START,OC522=1,OO522&lt;0),OB522,9999)</f>
        <v>9999</v>
      </c>
    </row>
    <row r="523">
      <c r="B523" t="n">
        <v>2059</v>
      </c>
      <c r="C523">
        <f>IF(B523&lt;=RULE_START+$B$38-1,1,0)</f>
        <v>0</v>
      </c>
      <c r="D523" s="15">
        <f>IF(B523=2024,G_IDX_2024,IF(B523=2025,G_IDX_2025,IF(B523=2026,G_IDX_2026,IF(B523=2027,G_IDX_2027,$B$13))))</f>
        <v>0.033</v>
      </c>
      <c r="E523" s="8">
        <f>$B$20*(1+G_HI)^(B523-COST_DATE)</f>
        <v>1794.0938012342422</v>
      </c>
      <c r="F523" s="8">
        <f>F522*(1+D523)</f>
        <v>1445.889468221503</v>
      </c>
      <c r="G523" s="8">
        <f>IF(B523&lt;RULE_START,F523,G522*(1+G_HI))</f>
        <v>1816.6052946909224</v>
      </c>
      <c r="H523" s="8">
        <f>IF(B523&lt;RULE_START,F523,IF(I523=1,R_NF_2024*(1+G_HI)^(B523-2024),H522*(1+D523)))</f>
        <v>1885.951722649293</v>
      </c>
      <c r="I523">
        <f>IF(AND(B523&gt;=RULE_START,MOD(B523-RULE_START,REBASE_YEARS)=0),1,0)</f>
        <v>0</v>
      </c>
      <c r="J523" s="8">
        <f>F523*CAP_SHARE</f>
        <v>70.70013292902529</v>
      </c>
      <c r="K523" s="8">
        <f>G523*CAP_SHARE</f>
        <v>88.82714663673302</v>
      </c>
      <c r="L523" s="8">
        <f>H523*CAP_SHARE</f>
        <v>92.21800173497266</v>
      </c>
      <c r="M523" s="8">
        <f>F523-J523-E523</f>
        <v>-418.90446594176456</v>
      </c>
      <c r="N523" s="8">
        <f>G523-K523-E523</f>
        <v>-66.31565318005278</v>
      </c>
      <c r="O523" s="8">
        <f>H523-L523-E523</f>
        <v>-0.3600803199217353</v>
      </c>
      <c r="P523" s="8">
        <f>R_NF_2024*(1+G_HI)^(B523-2024)</f>
        <v>1912.2214091431667</v>
      </c>
      <c r="Q523" s="10">
        <f>1-F523/P523</f>
        <v>0.2438692186437862</v>
      </c>
      <c r="R523" s="10">
        <f>CPI_2023/(IF(B523-1=2023,CPI_2023,IF(B523-1=2024,CPI_2024,IF(B523-1=2025,CPI_2025,CPI_2025*(1+INFL)^(B523-1-2025)))))</f>
        <v>0.44395016636888696</v>
      </c>
      <c r="S523" s="8">
        <f>$B$21*ABS($B$11)*(G523-F523)/F523</f>
        <v>25561.110764600464</v>
      </c>
      <c r="T523" s="8">
        <f>$B$21*ABS($B$11)*(H523-F523)/F523</f>
        <v>30342.5945848482</v>
      </c>
      <c r="U523" s="13">
        <f>(G523-F523)*MCD_NF_DAYS*R523-S523*MCD_SHARE_FREED*R_WAIT_2023</f>
        <v>75088149.46313705</v>
      </c>
      <c r="V523" s="13">
        <f>(H523-F523)*MCD_NF_DAYS*R523-T523*MCD_SHARE_FREED*R_WAIT_2023</f>
        <v>89134204.62313259</v>
      </c>
      <c r="W523" s="10">
        <f>IF(AND(B523&gt;=RULE_START,C523=1),1/(1+$B$12)^(B523-RULE_START+1),0)</f>
        <v>0</v>
      </c>
      <c r="X523">
        <f>IF(AND(B523&gt;=RULE_START,C523=1,M523&lt;0),B523,9999)</f>
        <v>9999</v>
      </c>
      <c r="Y523">
        <f>IF(AND(B523&gt;=RULE_START,C523=1,N523&lt;0),B523,9999)</f>
        <v>9999</v>
      </c>
      <c r="Z523">
        <f>IF(AND(B523&gt;=RULE_START,C523=1,O523&lt;0),B523,9999)</f>
        <v>9999</v>
      </c>
      <c r="AB523" t="n">
        <v>2059</v>
      </c>
      <c r="AC523">
        <f>IF(AB523&lt;=RULE_START+$AB$38-1,1,0)</f>
        <v>0</v>
      </c>
      <c r="AD523" s="15">
        <f>IF(AB523=2024,G_IDX_2024,IF(AB523=2025,G_IDX_2025,IF(AB523=2026,G_IDX_2026,IF(AB523=2027,G_IDX_2027,$AB$13))))</f>
        <v>0.033</v>
      </c>
      <c r="AE523" s="8">
        <f>$AB$20*(1+G_HI)^(AB523-COST_DATE)</f>
        <v>1794.0938012342422</v>
      </c>
      <c r="AF523" s="8">
        <f>AF522*(1+AD523)</f>
        <v>1445.889468221503</v>
      </c>
      <c r="AG523" s="8">
        <f>IF(AB523&lt;RULE_START,AF523,AG522*(1+G_HI))</f>
        <v>1816.6052946909224</v>
      </c>
      <c r="AH523" s="8">
        <f>IF(AB523&lt;RULE_START,AF523,IF(AI523=1,R_NF_2024*(1+G_HI)^(AB523-2024),AH522*(1+AD523)))</f>
        <v>1885.951722649293</v>
      </c>
      <c r="AI523">
        <f>IF(AND(AB523&gt;=RULE_START,MOD(AB523-RULE_START,REBASE_YEARS)=0),1,0)</f>
        <v>0</v>
      </c>
      <c r="AJ523" s="8">
        <f>AF523*CAP_SHARE</f>
        <v>70.70013292902529</v>
      </c>
      <c r="AK523" s="8">
        <f>AG523*CAP_SHARE</f>
        <v>88.82714663673302</v>
      </c>
      <c r="AL523" s="8">
        <f>AH523*CAP_SHARE</f>
        <v>92.21800173497266</v>
      </c>
      <c r="AM523" s="8">
        <f>AF523-AJ523-AE523</f>
        <v>-418.90446594176456</v>
      </c>
      <c r="AN523" s="8">
        <f>AG523-AK523-AE523</f>
        <v>-66.31565318005278</v>
      </c>
      <c r="AO523" s="8">
        <f>AH523-AL523-AE523</f>
        <v>-0.3600803199217353</v>
      </c>
      <c r="AP523" s="8">
        <f>R_NF_2024*(1+G_HI)^(AB523-2024)</f>
        <v>1912.2214091431667</v>
      </c>
      <c r="AQ523" s="10">
        <f>1-AF523/AP523</f>
        <v>0.2438692186437862</v>
      </c>
      <c r="AR523" s="10">
        <f>CPI_2023/(IF(AB523-1=2023,CPI_2023,IF(AB523-1=2024,CPI_2024,IF(AB523-1=2025,CPI_2025,CPI_2025*(1+INFL)^(AB523-1-2025)))))</f>
        <v>0.44395016636888696</v>
      </c>
      <c r="AS523" s="8">
        <f>$AB$21*ABS($AB$11)*(AG523-AF523)/AF523</f>
        <v>25561.110764600464</v>
      </c>
      <c r="AT523" s="8">
        <f>$AB$21*ABS($AB$11)*(AH523-AF523)/AF523</f>
        <v>30342.5945848482</v>
      </c>
      <c r="AU523" s="13">
        <f>(AG523-AF523)*MCD_NF_DAYS*AR523-AS523*MCD_SHARE_FREED*R_WAIT_2023</f>
        <v>75088149.46313705</v>
      </c>
      <c r="AV523" s="13">
        <f>(AH523-AF523)*MCD_NF_DAYS*AR523-AT523*MCD_SHARE_FREED*R_WAIT_2023</f>
        <v>89134204.62313259</v>
      </c>
      <c r="AW523" s="10">
        <f>IF(AND(AB523&gt;=RULE_START,AC523=1),1/(1+$AB$12)^(AB523-RULE_START+1),0)</f>
        <v>0</v>
      </c>
      <c r="AX523">
        <f>IF(AND(AB523&gt;=RULE_START,AC523=1,AM523&lt;0),AB523,9999)</f>
        <v>9999</v>
      </c>
      <c r="AY523">
        <f>IF(AND(AB523&gt;=RULE_START,AC523=1,AN523&lt;0),AB523,9999)</f>
        <v>9999</v>
      </c>
      <c r="AZ523">
        <f>IF(AND(AB523&gt;=RULE_START,AC523=1,AO523&lt;0),AB523,9999)</f>
        <v>9999</v>
      </c>
      <c r="BB523" t="n">
        <v>2059</v>
      </c>
      <c r="BC523">
        <f>IF(BB523&lt;=RULE_START+$BB$38-1,1,0)</f>
        <v>0</v>
      </c>
      <c r="BD523" s="15">
        <f>IF(BB523=2024,G_IDX_2024,IF(BB523=2025,G_IDX_2025,IF(BB523=2026,G_IDX_2026,IF(BB523=2027,G_IDX_2027,$BB$13))))</f>
        <v>0.033</v>
      </c>
      <c r="BE523" s="8">
        <f>$BB$20*(1+G_HI)^(BB523-COST_DATE)</f>
        <v>1794.0938012342422</v>
      </c>
      <c r="BF523" s="8">
        <f>BF522*(1+BD523)</f>
        <v>1445.889468221503</v>
      </c>
      <c r="BG523" s="8">
        <f>IF(BB523&lt;RULE_START,BF523,BG522*(1+G_HI))</f>
        <v>1816.6052946909224</v>
      </c>
      <c r="BH523" s="8">
        <f>IF(BB523&lt;RULE_START,BF523,IF(BI523=1,R_NF_2024*(1+G_HI)^(BB523-2024),BH522*(1+BD523)))</f>
        <v>1885.951722649293</v>
      </c>
      <c r="BI523">
        <f>IF(AND(BB523&gt;=RULE_START,MOD(BB523-RULE_START,REBASE_YEARS)=0),1,0)</f>
        <v>0</v>
      </c>
      <c r="BJ523" s="8">
        <f>BF523*CAP_SHARE</f>
        <v>70.70013292902529</v>
      </c>
      <c r="BK523" s="8">
        <f>BG523*CAP_SHARE</f>
        <v>88.82714663673302</v>
      </c>
      <c r="BL523" s="8">
        <f>BH523*CAP_SHARE</f>
        <v>92.21800173497266</v>
      </c>
      <c r="BM523" s="8">
        <f>BF523-BJ523-BE523</f>
        <v>-418.90446594176456</v>
      </c>
      <c r="BN523" s="8">
        <f>BG523-BK523-BE523</f>
        <v>-66.31565318005278</v>
      </c>
      <c r="BO523" s="8">
        <f>BH523-BL523-BE523</f>
        <v>-0.3600803199217353</v>
      </c>
      <c r="BP523" s="8">
        <f>R_NF_2024*(1+G_HI)^(BB523-2024)</f>
        <v>1912.2214091431667</v>
      </c>
      <c r="BQ523" s="10">
        <f>1-BF523/BP523</f>
        <v>0.2438692186437862</v>
      </c>
      <c r="BR523" s="10">
        <f>CPI_2023/(IF(BB523-1=2023,CPI_2023,IF(BB523-1=2024,CPI_2024,IF(BB523-1=2025,CPI_2025,CPI_2025*(1+INFL)^(BB523-1-2025)))))</f>
        <v>0.44395016636888696</v>
      </c>
      <c r="BS523" s="8">
        <f>$BB$21*ABS($BB$11)*(BG523-BF523)/BF523</f>
        <v>25561.110764600464</v>
      </c>
      <c r="BT523" s="8">
        <f>$BB$21*ABS($BB$11)*(BH523-BF523)/BF523</f>
        <v>30342.5945848482</v>
      </c>
      <c r="BU523" s="13">
        <f>(BG523-BF523)*MCD_NF_DAYS*BR523-BS523*MCD_SHARE_FREED*R_WAIT_2023</f>
        <v>75088149.46313705</v>
      </c>
      <c r="BV523" s="13">
        <f>(BH523-BF523)*MCD_NF_DAYS*BR523-BT523*MCD_SHARE_FREED*R_WAIT_2023</f>
        <v>89134204.62313259</v>
      </c>
      <c r="BW523" s="10">
        <f>IF(AND(BB523&gt;=RULE_START,BC523=1),1/(1+$BB$12)^(BB523-RULE_START+1),0)</f>
        <v>0</v>
      </c>
      <c r="BX523">
        <f>IF(AND(BB523&gt;=RULE_START,BC523=1,BM523&lt;0),BB523,9999)</f>
        <v>9999</v>
      </c>
      <c r="BY523">
        <f>IF(AND(BB523&gt;=RULE_START,BC523=1,BN523&lt;0),BB523,9999)</f>
        <v>9999</v>
      </c>
      <c r="BZ523">
        <f>IF(AND(BB523&gt;=RULE_START,BC523=1,BO523&lt;0),BB523,9999)</f>
        <v>9999</v>
      </c>
      <c r="CB523" t="n">
        <v>2059</v>
      </c>
      <c r="CC523">
        <f>IF(CB523&lt;=RULE_START+$CB$38-1,1,0)</f>
        <v>1</v>
      </c>
      <c r="CD523" s="15">
        <f>IF(CB523=2024,G_IDX_2024,IF(CB523=2025,G_IDX_2025,IF(CB523=2026,G_IDX_2026,IF(CB523=2027,G_IDX_2027,$CB$13))))</f>
        <v>0.033</v>
      </c>
      <c r="CE523" s="8">
        <f>$CB$20*(1+G_HI)^(CB523-COST_DATE)</f>
        <v>1794.0938012342422</v>
      </c>
      <c r="CF523" s="8">
        <f>CF522*(1+CD523)</f>
        <v>1445.889468221503</v>
      </c>
      <c r="CG523" s="8">
        <f>IF(CB523&lt;RULE_START,CF523,CG522*(1+G_HI))</f>
        <v>1816.6052946909224</v>
      </c>
      <c r="CH523" s="8">
        <f>IF(CB523&lt;RULE_START,CF523,IF(CI523=1,R_NF_2024*(1+G_HI)^(CB523-2024),CH522*(1+CD523)))</f>
        <v>1885.951722649293</v>
      </c>
      <c r="CI523">
        <f>IF(AND(CB523&gt;=RULE_START,MOD(CB523-RULE_START,REBASE_YEARS)=0),1,0)</f>
        <v>0</v>
      </c>
      <c r="CJ523" s="8">
        <f>CF523*CAP_SHARE</f>
        <v>70.70013292902529</v>
      </c>
      <c r="CK523" s="8">
        <f>CG523*CAP_SHARE</f>
        <v>88.82714663673302</v>
      </c>
      <c r="CL523" s="8">
        <f>CH523*CAP_SHARE</f>
        <v>92.21800173497266</v>
      </c>
      <c r="CM523" s="8">
        <f>CF523-CJ523-CE523</f>
        <v>-418.90446594176456</v>
      </c>
      <c r="CN523" s="8">
        <f>CG523-CK523-CE523</f>
        <v>-66.31565318005278</v>
      </c>
      <c r="CO523" s="8">
        <f>CH523-CL523-CE523</f>
        <v>-0.3600803199217353</v>
      </c>
      <c r="CP523" s="8">
        <f>R_NF_2024*(1+G_HI)^(CB523-2024)</f>
        <v>1912.2214091431667</v>
      </c>
      <c r="CQ523" s="10">
        <f>1-CF523/CP523</f>
        <v>0.2438692186437862</v>
      </c>
      <c r="CR523" s="10">
        <f>CPI_2023/(IF(CB523-1=2023,CPI_2023,IF(CB523-1=2024,CPI_2024,IF(CB523-1=2025,CPI_2025,CPI_2025*(1+INFL)^(CB523-1-2025)))))</f>
        <v>0.44395016636888696</v>
      </c>
      <c r="CS523" s="8">
        <f>$CB$21*ABS($CB$11)*(CG523-CF523)/CF523</f>
        <v>25561.110764600464</v>
      </c>
      <c r="CT523" s="8">
        <f>$CB$21*ABS($CB$11)*(CH523-CF523)/CF523</f>
        <v>30342.5945848482</v>
      </c>
      <c r="CU523" s="13">
        <f>(CG523-CF523)*MCD_NF_DAYS*CR523-CS523*MCD_SHARE_FREED*R_WAIT_2023</f>
        <v>75088149.46313705</v>
      </c>
      <c r="CV523" s="13">
        <f>(CH523-CF523)*MCD_NF_DAYS*CR523-CT523*MCD_SHARE_FREED*R_WAIT_2023</f>
        <v>89134204.62313259</v>
      </c>
      <c r="CW523" s="10">
        <f>IF(AND(CB523&gt;=RULE_START,CC523=1),1/(1+$CB$12)^(CB523-RULE_START+1),0)</f>
        <v>0.5202287289390125</v>
      </c>
      <c r="CX523">
        <f>IF(AND(CB523&gt;=RULE_START,CC523=1,CM523&lt;0),CB523,9999)</f>
        <v>2059</v>
      </c>
      <c r="CY523">
        <f>IF(AND(CB523&gt;=RULE_START,CC523=1,CN523&lt;0),CB523,9999)</f>
        <v>2059</v>
      </c>
      <c r="CZ523">
        <f>IF(AND(CB523&gt;=RULE_START,CC523=1,CO523&lt;0),CB523,9999)</f>
        <v>2059</v>
      </c>
      <c r="DB523" t="n">
        <v>2059</v>
      </c>
      <c r="DC523">
        <f>IF(DB523&lt;=RULE_START+$DB$38-1,1,0)</f>
        <v>0</v>
      </c>
      <c r="DD523" s="15">
        <f>IF(DB523=2024,G_IDX_2024,IF(DB523=2025,G_IDX_2025,IF(DB523=2026,G_IDX_2026,IF(DB523=2027,G_IDX_2027,$DB$13))))</f>
        <v>0.033</v>
      </c>
      <c r="DE523" s="8">
        <f>$DB$20*(1+G_HI)^(DB523-COST_DATE)</f>
        <v>1794.0938012342422</v>
      </c>
      <c r="DF523" s="8">
        <f>DF522*(1+DD523)</f>
        <v>1445.889468221503</v>
      </c>
      <c r="DG523" s="8">
        <f>IF(DB523&lt;RULE_START,DF523,DG522*(1+G_HI))</f>
        <v>1816.6052946909224</v>
      </c>
      <c r="DH523" s="8">
        <f>IF(DB523&lt;RULE_START,DF523,IF(DI523=1,R_NF_2024*(1+G_HI)^(DB523-2024),DH522*(1+DD523)))</f>
        <v>1885.951722649293</v>
      </c>
      <c r="DI523">
        <f>IF(AND(DB523&gt;=RULE_START,MOD(DB523-RULE_START,REBASE_YEARS)=0),1,0)</f>
        <v>0</v>
      </c>
      <c r="DJ523" s="8">
        <f>DF523*CAP_SHARE</f>
        <v>70.70013292902529</v>
      </c>
      <c r="DK523" s="8">
        <f>DG523*CAP_SHARE</f>
        <v>88.82714663673302</v>
      </c>
      <c r="DL523" s="8">
        <f>DH523*CAP_SHARE</f>
        <v>92.21800173497266</v>
      </c>
      <c r="DM523" s="8">
        <f>DF523-DJ523-DE523</f>
        <v>-418.90446594176456</v>
      </c>
      <c r="DN523" s="8">
        <f>DG523-DK523-DE523</f>
        <v>-66.31565318005278</v>
      </c>
      <c r="DO523" s="8">
        <f>DH523-DL523-DE523</f>
        <v>-0.3600803199217353</v>
      </c>
      <c r="DP523" s="8">
        <f>R_NF_2024*(1+G_HI)^(DB523-2024)</f>
        <v>1912.2214091431667</v>
      </c>
      <c r="DQ523" s="10">
        <f>1-DF523/DP523</f>
        <v>0.2438692186437862</v>
      </c>
      <c r="DR523" s="10">
        <f>CPI_2023/(IF(DB523-1=2023,CPI_2023,IF(DB523-1=2024,CPI_2024,IF(DB523-1=2025,CPI_2025,CPI_2025*(1+INFL)^(DB523-1-2025)))))</f>
        <v>0.44395016636888696</v>
      </c>
      <c r="DS523" s="8">
        <f>$DB$21*ABS($DB$11)*(DG523-DF523)/DF523</f>
        <v>25561.110764600464</v>
      </c>
      <c r="DT523" s="8">
        <f>$DB$21*ABS($DB$11)*(DH523-DF523)/DF523</f>
        <v>30342.5945848482</v>
      </c>
      <c r="DU523" s="13">
        <f>(DG523-DF523)*MCD_NF_DAYS*DR523-DS523*MCD_SHARE_FREED*R_WAIT_2023</f>
        <v>75088149.46313705</v>
      </c>
      <c r="DV523" s="13">
        <f>(DH523-DF523)*MCD_NF_DAYS*DR523-DT523*MCD_SHARE_FREED*R_WAIT_2023</f>
        <v>89134204.62313259</v>
      </c>
      <c r="DW523" s="10">
        <f>IF(AND(DB523&gt;=RULE_START,DC523=1),1/(1+$DB$12)^(DB523-RULE_START+1),0)</f>
        <v>0</v>
      </c>
      <c r="DX523">
        <f>IF(AND(DB523&gt;=RULE_START,DC523=1,DM523&lt;0),DB523,9999)</f>
        <v>9999</v>
      </c>
      <c r="DY523">
        <f>IF(AND(DB523&gt;=RULE_START,DC523=1,DN523&lt;0),DB523,9999)</f>
        <v>9999</v>
      </c>
      <c r="DZ523">
        <f>IF(AND(DB523&gt;=RULE_START,DC523=1,DO523&lt;0),DB523,9999)</f>
        <v>9999</v>
      </c>
      <c r="EB523" t="n">
        <v>2059</v>
      </c>
      <c r="EC523">
        <f>IF(EB523&lt;=RULE_START+$EB$38-1,1,0)</f>
        <v>0</v>
      </c>
      <c r="ED523" s="15">
        <f>IF(EB523=2024,G_IDX_2024,IF(EB523=2025,G_IDX_2025,IF(EB523=2026,G_IDX_2026,IF(EB523=2027,G_IDX_2027,$EB$13))))</f>
        <v>0.033</v>
      </c>
      <c r="EE523" s="8">
        <f>$EB$20*(1+G_HI)^(EB523-COST_DATE)</f>
        <v>1794.0938012342422</v>
      </c>
      <c r="EF523" s="8">
        <f>EF522*(1+ED523)</f>
        <v>1445.889468221503</v>
      </c>
      <c r="EG523" s="8">
        <f>IF(EB523&lt;RULE_START,EF523,EG522*(1+G_HI))</f>
        <v>1816.6052946909224</v>
      </c>
      <c r="EH523" s="8">
        <f>IF(EB523&lt;RULE_START,EF523,IF(EI523=1,R_NF_2024*(1+G_HI)^(EB523-2024),EH522*(1+ED523)))</f>
        <v>1885.951722649293</v>
      </c>
      <c r="EI523">
        <f>IF(AND(EB523&gt;=RULE_START,MOD(EB523-RULE_START,REBASE_YEARS)=0),1,0)</f>
        <v>0</v>
      </c>
      <c r="EJ523" s="8">
        <f>EF523*CAP_SHARE</f>
        <v>70.70013292902529</v>
      </c>
      <c r="EK523" s="8">
        <f>EG523*CAP_SHARE</f>
        <v>88.82714663673302</v>
      </c>
      <c r="EL523" s="8">
        <f>EH523*CAP_SHARE</f>
        <v>92.21800173497266</v>
      </c>
      <c r="EM523" s="8">
        <f>EF523-EJ523-EE523</f>
        <v>-418.90446594176456</v>
      </c>
      <c r="EN523" s="8">
        <f>EG523-EK523-EE523</f>
        <v>-66.31565318005278</v>
      </c>
      <c r="EO523" s="8">
        <f>EH523-EL523-EE523</f>
        <v>-0.3600803199217353</v>
      </c>
      <c r="EP523" s="8">
        <f>R_NF_2024*(1+G_HI)^(EB523-2024)</f>
        <v>1912.2214091431667</v>
      </c>
      <c r="EQ523" s="10">
        <f>1-EF523/EP523</f>
        <v>0.2438692186437862</v>
      </c>
      <c r="ER523" s="10">
        <f>CPI_2023/(IF(EB523-1=2023,CPI_2023,IF(EB523-1=2024,CPI_2024,IF(EB523-1=2025,CPI_2025,CPI_2025*(1+INFL)^(EB523-1-2025)))))</f>
        <v>0.44395016636888696</v>
      </c>
      <c r="ES523" s="8">
        <f>$EB$21*ABS($EB$11)*(EG523-EF523)/EF523</f>
        <v>25561.110764600464</v>
      </c>
      <c r="ET523" s="8">
        <f>$EB$21*ABS($EB$11)*(EH523-EF523)/EF523</f>
        <v>30342.5945848482</v>
      </c>
      <c r="EU523" s="13">
        <f>(EG523-EF523)*MCD_NF_DAYS*ER523-ES523*MCD_SHARE_FREED*R_WAIT_2023</f>
        <v>75088149.46313705</v>
      </c>
      <c r="EV523" s="13">
        <f>(EH523-EF523)*MCD_NF_DAYS*ER523-ET523*MCD_SHARE_FREED*R_WAIT_2023</f>
        <v>89134204.62313259</v>
      </c>
      <c r="EW523" s="10">
        <f>IF(AND(EB523&gt;=RULE_START,EC523=1),1/(1+$EB$12)^(EB523-RULE_START+1),0)</f>
        <v>0</v>
      </c>
      <c r="EX523">
        <f>IF(AND(EB523&gt;=RULE_START,EC523=1,EM523&lt;0),EB523,9999)</f>
        <v>9999</v>
      </c>
      <c r="EY523">
        <f>IF(AND(EB523&gt;=RULE_START,EC523=1,EN523&lt;0),EB523,9999)</f>
        <v>9999</v>
      </c>
      <c r="EZ523">
        <f>IF(AND(EB523&gt;=RULE_START,EC523=1,EO523&lt;0),EB523,9999)</f>
        <v>9999</v>
      </c>
      <c r="FB523" t="n">
        <v>2059</v>
      </c>
      <c r="FC523">
        <f>IF(FB523&lt;=RULE_START+$FB$38-1,1,0)</f>
        <v>0</v>
      </c>
      <c r="FD523" s="15">
        <f>IF(FB523=2024,G_IDX_2024,IF(FB523=2025,G_IDX_2025,IF(FB523=2026,G_IDX_2026,IF(FB523=2027,G_IDX_2027,$FB$13))))</f>
        <v>0.033</v>
      </c>
      <c r="FE523" s="8">
        <f>$FB$20*(1+G_HI)^(FB523-COST_DATE)</f>
        <v>1846.3599125618398</v>
      </c>
      <c r="FF523" s="8">
        <f>FF522*(1+FD523)</f>
        <v>1445.889468221503</v>
      </c>
      <c r="FG523" s="8">
        <f>IF(FB523&lt;RULE_START,FF523,FG522*(1+G_HI))</f>
        <v>1816.6052946909224</v>
      </c>
      <c r="FH523" s="8">
        <f>IF(FB523&lt;RULE_START,FF523,IF(FI523=1,R_NF_2024*(1+G_HI)^(FB523-2024),FH522*(1+FD523)))</f>
        <v>1885.951722649293</v>
      </c>
      <c r="FI523">
        <f>IF(AND(FB523&gt;=RULE_START,MOD(FB523-RULE_START,REBASE_YEARS)=0),1,0)</f>
        <v>0</v>
      </c>
      <c r="FJ523" s="8">
        <f>FF523*CAP_SHARE</f>
        <v>70.70013292902529</v>
      </c>
      <c r="FK523" s="8">
        <f>FG523*CAP_SHARE</f>
        <v>88.82714663673302</v>
      </c>
      <c r="FL523" s="8">
        <f>FH523*CAP_SHARE</f>
        <v>92.21800173497266</v>
      </c>
      <c r="FM523" s="8">
        <f>FF523-FJ523-FE523</f>
        <v>-471.1705772693622</v>
      </c>
      <c r="FN523" s="8">
        <f>FG523-FK523-FE523</f>
        <v>-118.5817645076504</v>
      </c>
      <c r="FO523" s="8">
        <f>FH523-FL523-FE523</f>
        <v>-52.62619164751936</v>
      </c>
      <c r="FP523" s="8">
        <f>R_NF_2024*(1+G_HI)^(FB523-2024)</f>
        <v>1912.2214091431667</v>
      </c>
      <c r="FQ523" s="10">
        <f>1-FF523/FP523</f>
        <v>0.2438692186437862</v>
      </c>
      <c r="FR523" s="10">
        <f>CPI_2023/(IF(FB523-1=2023,CPI_2023,IF(FB523-1=2024,CPI_2024,IF(FB523-1=2025,CPI_2025,CPI_2025*(1+INFL)^(FB523-1-2025)))))</f>
        <v>0.44395016636888696</v>
      </c>
      <c r="FS523" s="8">
        <f>$FB$21*ABS($FB$11)*(FG523-FF523)/FF523</f>
        <v>25561.110764600464</v>
      </c>
      <c r="FT523" s="8">
        <f>$FB$21*ABS($FB$11)*(FH523-FF523)/FF523</f>
        <v>30342.5945848482</v>
      </c>
      <c r="FU523" s="13">
        <f>(FG523-FF523)*MCD_NF_DAYS*FR523-FS523*MCD_SHARE_FREED*R_WAIT_2023</f>
        <v>75088149.46313705</v>
      </c>
      <c r="FV523" s="13">
        <f>(FH523-FF523)*MCD_NF_DAYS*FR523-FT523*MCD_SHARE_FREED*R_WAIT_2023</f>
        <v>89134204.62313259</v>
      </c>
      <c r="FW523" s="10">
        <f>IF(AND(FB523&gt;=RULE_START,FC523=1),1/(1+$FB$12)^(FB523-RULE_START+1),0)</f>
        <v>0</v>
      </c>
      <c r="FX523">
        <f>IF(AND(FB523&gt;=RULE_START,FC523=1,FM523&lt;0),FB523,9999)</f>
        <v>9999</v>
      </c>
      <c r="FY523">
        <f>IF(AND(FB523&gt;=RULE_START,FC523=1,FN523&lt;0),FB523,9999)</f>
        <v>9999</v>
      </c>
      <c r="FZ523">
        <f>IF(AND(FB523&gt;=RULE_START,FC523=1,FO523&lt;0),FB523,9999)</f>
        <v>9999</v>
      </c>
      <c r="GB523" t="n">
        <v>2059</v>
      </c>
      <c r="GC523">
        <f>IF(GB523&lt;=RULE_START+$GB$38-1,1,0)</f>
        <v>0</v>
      </c>
      <c r="GD523" s="15">
        <f>IF(GB523=2024,G_IDX_2024,IF(GB523=2025,G_IDX_2025,IF(GB523=2026,G_IDX_2026,IF(GB523=2027,G_IDX_2027,$GB$13))))</f>
        <v>0.033</v>
      </c>
      <c r="GE523" s="8">
        <f>$GB$20*(1+G_HI)^(GB523-COST_DATE)</f>
        <v>1794.0938012342422</v>
      </c>
      <c r="GF523" s="8">
        <f>GF522*(1+GD523)</f>
        <v>1445.889468221503</v>
      </c>
      <c r="GG523" s="8">
        <f>IF(GB523&lt;RULE_START,GF523,GG522*(1+G_HI))</f>
        <v>1816.6052946909224</v>
      </c>
      <c r="GH523" s="8">
        <f>IF(GB523&lt;RULE_START,GF523,IF(GI523=1,R_NF_2024*(1+G_HI)^(GB523-2024),GH522*(1+GD523)))</f>
        <v>1885.951722649293</v>
      </c>
      <c r="GI523">
        <f>IF(AND(GB523&gt;=RULE_START,MOD(GB523-RULE_START,REBASE_YEARS)=0),1,0)</f>
        <v>0</v>
      </c>
      <c r="GJ523" s="8">
        <f>GF523*CAP_SHARE</f>
        <v>70.70013292902529</v>
      </c>
      <c r="GK523" s="8">
        <f>GG523*CAP_SHARE</f>
        <v>88.82714663673302</v>
      </c>
      <c r="GL523" s="8">
        <f>GH523*CAP_SHARE</f>
        <v>92.21800173497266</v>
      </c>
      <c r="GM523" s="8">
        <f>GF523-GJ523-GE523</f>
        <v>-418.90446594176456</v>
      </c>
      <c r="GN523" s="8">
        <f>GG523-GK523-GE523</f>
        <v>-66.31565318005278</v>
      </c>
      <c r="GO523" s="8">
        <f>GH523-GL523-GE523</f>
        <v>-0.3600803199217353</v>
      </c>
      <c r="GP523" s="8">
        <f>R_NF_2024*(1+G_HI)^(GB523-2024)</f>
        <v>1912.2214091431667</v>
      </c>
      <c r="GQ523" s="10">
        <f>1-GF523/GP523</f>
        <v>0.2438692186437862</v>
      </c>
      <c r="GR523" s="10">
        <f>CPI_2023/(IF(GB523-1=2023,CPI_2023,IF(GB523-1=2024,CPI_2024,IF(GB523-1=2025,CPI_2025,CPI_2025*(1+INFL)^(GB523-1-2025)))))</f>
        <v>0.44395016636888696</v>
      </c>
      <c r="GS523" s="8">
        <f>$GB$21*ABS($GB$11)*(GG523-GF523)/GF523</f>
        <v>19294.80408035084</v>
      </c>
      <c r="GT523" s="8">
        <f>$GB$21*ABS($GB$11)*(GH523-GF523)/GF523</f>
        <v>22904.107070924136</v>
      </c>
      <c r="GU523" s="13">
        <f>(GG523-GF523)*MCD_NF_DAYS*GR523-GS523*MCD_SHARE_FREED*R_WAIT_2023</f>
        <v>77937556.48633291</v>
      </c>
      <c r="GV523" s="13">
        <f>(GH523-GF523)*MCD_NF_DAYS*GR523-GT523*MCD_SHARE_FREED*R_WAIT_2023</f>
        <v>92516624.22564012</v>
      </c>
      <c r="GW523" s="10">
        <f>IF(AND(GB523&gt;=RULE_START,GC523=1),1/(1+$GB$12)^(GB523-RULE_START+1),0)</f>
        <v>0</v>
      </c>
      <c r="GX523">
        <f>IF(AND(GB523&gt;=RULE_START,GC523=1,GM523&lt;0),GB523,9999)</f>
        <v>9999</v>
      </c>
      <c r="GY523">
        <f>IF(AND(GB523&gt;=RULE_START,GC523=1,GN523&lt;0),GB523,9999)</f>
        <v>9999</v>
      </c>
      <c r="GZ523">
        <f>IF(AND(GB523&gt;=RULE_START,GC523=1,GO523&lt;0),GB523,9999)</f>
        <v>9999</v>
      </c>
      <c r="HB523" t="n">
        <v>2059</v>
      </c>
      <c r="HC523">
        <f>IF(HB523&lt;=RULE_START+$HB$38-1,1,0)</f>
        <v>0</v>
      </c>
      <c r="HD523" s="15">
        <f>IF(HB523=2024,G_IDX_2024,IF(HB523=2025,G_IDX_2025,IF(HB523=2026,G_IDX_2026,IF(HB523=2027,G_IDX_2027,$HB$13))))</f>
        <v>0.033</v>
      </c>
      <c r="HE523" s="8">
        <f>$HB$20*(1+G_HI)^(HB523-COST_DATE)</f>
        <v>1794.0938012342422</v>
      </c>
      <c r="HF523" s="8">
        <f>HF522*(1+HD523)</f>
        <v>1445.889468221503</v>
      </c>
      <c r="HG523" s="8">
        <f>IF(HB523&lt;RULE_START,HF523,HG522*(1+G_HI))</f>
        <v>1816.6052946909224</v>
      </c>
      <c r="HH523" s="8">
        <f>IF(HB523&lt;RULE_START,HF523,IF(HI523=1,R_NF_2024*(1+G_HI)^(HB523-2024),HH522*(1+HD523)))</f>
        <v>1885.951722649293</v>
      </c>
      <c r="HI523">
        <f>IF(AND(HB523&gt;=RULE_START,MOD(HB523-RULE_START,REBASE_YEARS)=0),1,0)</f>
        <v>0</v>
      </c>
      <c r="HJ523" s="8">
        <f>HF523*CAP_SHARE</f>
        <v>70.70013292902529</v>
      </c>
      <c r="HK523" s="8">
        <f>HG523*CAP_SHARE</f>
        <v>88.82714663673302</v>
      </c>
      <c r="HL523" s="8">
        <f>HH523*CAP_SHARE</f>
        <v>92.21800173497266</v>
      </c>
      <c r="HM523" s="8">
        <f>HF523-HJ523-HE523</f>
        <v>-418.90446594176456</v>
      </c>
      <c r="HN523" s="8">
        <f>HG523-HK523-HE523</f>
        <v>-66.31565318005278</v>
      </c>
      <c r="HO523" s="8">
        <f>HH523-HL523-HE523</f>
        <v>-0.3600803199217353</v>
      </c>
      <c r="HP523" s="8">
        <f>R_NF_2024*(1+G_HI)^(HB523-2024)</f>
        <v>1912.2214091431667</v>
      </c>
      <c r="HQ523" s="10">
        <f>1-HF523/HP523</f>
        <v>0.2438692186437862</v>
      </c>
      <c r="HR523" s="10">
        <f>CPI_2023/(IF(HB523-1=2023,CPI_2023,IF(HB523-1=2024,CPI_2024,IF(HB523-1=2025,CPI_2025,CPI_2025*(1+INFL)^(HB523-1-2025)))))</f>
        <v>0.44395016636888696</v>
      </c>
      <c r="HS523" s="8">
        <f>$HB$21*ABS($HB$11)*(HG523-HF523)/HF523</f>
        <v>25561.110764600464</v>
      </c>
      <c r="HT523" s="8">
        <f>$HB$21*ABS($HB$11)*(HH523-HF523)/HF523</f>
        <v>30342.5945848482</v>
      </c>
      <c r="HU523" s="13">
        <f>(HG523-HF523)*MCD_NF_DAYS*HR523-HS523*MCD_SHARE_FREED*R_WAIT_2023</f>
        <v>75088149.46313705</v>
      </c>
      <c r="HV523" s="13">
        <f>(HH523-HF523)*MCD_NF_DAYS*HR523-HT523*MCD_SHARE_FREED*R_WAIT_2023</f>
        <v>89134204.62313259</v>
      </c>
      <c r="HW523" s="10">
        <f>IF(AND(HB523&gt;=RULE_START,HC523=1),1/(1+$HB$12)^(HB523-RULE_START+1),0)</f>
        <v>0</v>
      </c>
      <c r="HX523">
        <f>IF(AND(HB523&gt;=RULE_START,HC523=1,HM523&lt;0),HB523,9999)</f>
        <v>9999</v>
      </c>
      <c r="HY523">
        <f>IF(AND(HB523&gt;=RULE_START,HC523=1,HN523&lt;0),HB523,9999)</f>
        <v>9999</v>
      </c>
      <c r="HZ523">
        <f>IF(AND(HB523&gt;=RULE_START,HC523=1,HO523&lt;0),HB523,9999)</f>
        <v>9999</v>
      </c>
      <c r="IB523" t="n">
        <v>2059</v>
      </c>
      <c r="IC523">
        <f>IF(IB523&lt;=RULE_START+$IB$38-1,1,0)</f>
        <v>0</v>
      </c>
      <c r="ID523" s="15">
        <f>IF(IB523=2024,G_IDX_2024,IF(IB523=2025,G_IDX_2025,IF(IB523=2026,G_IDX_2026,IF(IB523=2027,G_IDX_2027,$IB$13))))</f>
        <v>0.033</v>
      </c>
      <c r="IE523" s="8">
        <f>$IB$20*(1+G_HI)^(IB523-COST_DATE)</f>
        <v>1794.0938012342422</v>
      </c>
      <c r="IF523" s="8">
        <f>IF522*(1+ID523)</f>
        <v>1445.889468221503</v>
      </c>
      <c r="IG523" s="8">
        <f>IF(IB523&lt;RULE_START,IF523,IG522*(1+G_HI))</f>
        <v>1816.6052946909224</v>
      </c>
      <c r="IH523" s="8">
        <f>IF(IB523&lt;RULE_START,IF523,IF(II523=1,R_NF_2024*(1+G_HI)^(IB523-2024),IH522*(1+ID523)))</f>
        <v>1885.951722649293</v>
      </c>
      <c r="II523">
        <f>IF(AND(IB523&gt;=RULE_START,MOD(IB523-RULE_START,REBASE_YEARS)=0),1,0)</f>
        <v>0</v>
      </c>
      <c r="IJ523" s="8">
        <f>IF523*CAP_SHARE</f>
        <v>70.70013292902529</v>
      </c>
      <c r="IK523" s="8">
        <f>IG523*CAP_SHARE</f>
        <v>88.82714663673302</v>
      </c>
      <c r="IL523" s="8">
        <f>IH523*CAP_SHARE</f>
        <v>92.21800173497266</v>
      </c>
      <c r="IM523" s="8">
        <f>IF523-IJ523-IE523</f>
        <v>-418.90446594176456</v>
      </c>
      <c r="IN523" s="8">
        <f>IG523-IK523-IE523</f>
        <v>-66.31565318005278</v>
      </c>
      <c r="IO523" s="8">
        <f>IH523-IL523-IE523</f>
        <v>-0.3600803199217353</v>
      </c>
      <c r="IP523" s="8">
        <f>R_NF_2024*(1+G_HI)^(IB523-2024)</f>
        <v>1912.2214091431667</v>
      </c>
      <c r="IQ523" s="10">
        <f>1-IF523/IP523</f>
        <v>0.2438692186437862</v>
      </c>
      <c r="IR523" s="10">
        <f>CPI_2023/(IF(IB523-1=2023,CPI_2023,IF(IB523-1=2024,CPI_2024,IF(IB523-1=2025,CPI_2025,CPI_2025*(1+INFL)^(IB523-1-2025)))))</f>
        <v>0.44395016636888696</v>
      </c>
      <c r="IS523" s="8">
        <f>$IB$21*ABS($IB$11)*(IG523-IF523)/IF523</f>
        <v>25561.110764600464</v>
      </c>
      <c r="IT523" s="8">
        <f>$IB$21*ABS($IB$11)*(IH523-IF523)/IF523</f>
        <v>30342.5945848482</v>
      </c>
      <c r="IU523" s="13">
        <f>(IG523-IF523)*MCD_NF_DAYS*IR523-IS523*MCD_SHARE_FREED*R_WAIT_2023</f>
        <v>75088149.46313705</v>
      </c>
      <c r="IV523" s="13">
        <f>(IH523-IF523)*MCD_NF_DAYS*IR523-IT523*MCD_SHARE_FREED*R_WAIT_2023</f>
        <v>89134204.62313259</v>
      </c>
      <c r="IW523" s="10">
        <f>IF(AND(IB523&gt;=RULE_START,IC523=1),1/(1+$IB$12)^(IB523-RULE_START+1),0)</f>
        <v>0</v>
      </c>
      <c r="IX523">
        <f>IF(AND(IB523&gt;=RULE_START,IC523=1,IM523&lt;0),IB523,9999)</f>
        <v>9999</v>
      </c>
      <c r="IY523">
        <f>IF(AND(IB523&gt;=RULE_START,IC523=1,IN523&lt;0),IB523,9999)</f>
        <v>9999</v>
      </c>
      <c r="IZ523">
        <f>IF(AND(IB523&gt;=RULE_START,IC523=1,IO523&lt;0),IB523,9999)</f>
        <v>9999</v>
      </c>
      <c r="JB523" t="n">
        <v>2059</v>
      </c>
      <c r="JC523">
        <f>IF(JB523&lt;=RULE_START+$JB$38-1,1,0)</f>
        <v>0</v>
      </c>
      <c r="JD523" s="15">
        <f>IF(JB523=2024,G_IDX_2024,IF(JB523=2025,G_IDX_2025,IF(JB523=2026,G_IDX_2026,IF(JB523=2027,G_IDX_2027,$JB$13))))</f>
        <v>0.03</v>
      </c>
      <c r="JE523" s="8">
        <f>$JB$20*(1+G_HI)^(JB523-COST_DATE)</f>
        <v>1794.0938012342422</v>
      </c>
      <c r="JF523" s="8">
        <f>JF522*(1+JD523)</f>
        <v>1317.394955999904</v>
      </c>
      <c r="JG523" s="8">
        <f>IF(JB523&lt;RULE_START,JF523,JG522*(1+G_HI))</f>
        <v>1816.6052946909224</v>
      </c>
      <c r="JH523" s="8">
        <f>IF(JB523&lt;RULE_START,JF523,IF(JI523=1,R_NF_2024*(1+G_HI)^(JB523-2024),JH522*(1+JD523)))</f>
        <v>1875.0134080274797</v>
      </c>
      <c r="JI523">
        <f>IF(AND(JB523&gt;=RULE_START,MOD(JB523-RULE_START,REBASE_YEARS)=0),1,0)</f>
        <v>0</v>
      </c>
      <c r="JJ523" s="8">
        <f>JF523*CAP_SHARE</f>
        <v>64.41709449878367</v>
      </c>
      <c r="JK523" s="8">
        <f>JG523*CAP_SHARE</f>
        <v>88.82714663673302</v>
      </c>
      <c r="JL523" s="8">
        <f>JH523*CAP_SHARE</f>
        <v>91.68314736693239</v>
      </c>
      <c r="JM523" s="8">
        <f>JF523-JJ523-JE523</f>
        <v>-541.1159397331219</v>
      </c>
      <c r="JN523" s="8">
        <f>JG523-JK523-JE523</f>
        <v>-66.31565318005278</v>
      </c>
      <c r="JO523" s="8">
        <f>JH523-JL523-JE523</f>
        <v>-10.763540573694854</v>
      </c>
      <c r="JP523" s="8">
        <f>R_NF_2024*(1+G_HI)^(JB523-2024)</f>
        <v>1912.2214091431667</v>
      </c>
      <c r="JQ523" s="10">
        <f>1-JF523/JP523</f>
        <v>0.3110656801033277</v>
      </c>
      <c r="JR523" s="10">
        <f>CPI_2023/(IF(JB523-1=2023,CPI_2023,IF(JB523-1=2024,CPI_2024,IF(JB523-1=2025,CPI_2025,CPI_2025*(1+INFL)^(JB523-1-2025)))))</f>
        <v>0.44395016636888696</v>
      </c>
      <c r="JS523" s="8">
        <f>$JB$21*ABS($JB$11)*(JG523-JF523)/JF523</f>
        <v>37778.200239575395</v>
      </c>
      <c r="JT523" s="8">
        <f>$JB$21*ABS($JB$11)*(JH523-JF523)/JF523</f>
        <v>42198.28778629987</v>
      </c>
      <c r="JU523" s="13">
        <f>(JG523-JF523)*MCD_NF_DAYS*JR523-JS523*MCD_SHARE_FREED*R_WAIT_2023</f>
        <v>99587965.35098928</v>
      </c>
      <c r="JV523" s="13">
        <f>(JH523-JF523)*MCD_NF_DAYS*JR523-JT523*MCD_SHARE_FREED*R_WAIT_2023</f>
        <v>111239857.78260405</v>
      </c>
      <c r="JW523" s="10">
        <f>IF(AND(JB523&gt;=RULE_START,JC523=1),1/(1+$JB$12)^(JB523-RULE_START+1),0)</f>
        <v>0</v>
      </c>
      <c r="JX523">
        <f>IF(AND(JB523&gt;=RULE_START,JC523=1,JM523&lt;0),JB523,9999)</f>
        <v>9999</v>
      </c>
      <c r="JY523">
        <f>IF(AND(JB523&gt;=RULE_START,JC523=1,JN523&lt;0),JB523,9999)</f>
        <v>9999</v>
      </c>
      <c r="JZ523">
        <f>IF(AND(JB523&gt;=RULE_START,JC523=1,JO523&lt;0),JB523,9999)</f>
        <v>9999</v>
      </c>
      <c r="KB523" t="n">
        <v>2059</v>
      </c>
      <c r="KC523">
        <f>IF(KB523&lt;=RULE_START+$KB$38-1,1,0)</f>
        <v>0</v>
      </c>
      <c r="KD523" s="15">
        <f>IF(KB523=2024,G_IDX_2024,IF(KB523=2025,G_IDX_2025,IF(KB523=2026,G_IDX_2026,IF(KB523=2027,G_IDX_2027,$KB$13))))</f>
        <v>0.033</v>
      </c>
      <c r="KE523" s="8">
        <f>$KB$20*(1+G_HI)^(KB523-COST_DATE)</f>
        <v>1794.0938012342422</v>
      </c>
      <c r="KF523" s="8">
        <f>KF522*(1+KD523)</f>
        <v>1445.889468221503</v>
      </c>
      <c r="KG523" s="8">
        <f>IF(KB523&lt;RULE_START,KF523,KG522*(1+G_HI))</f>
        <v>1816.6052946909224</v>
      </c>
      <c r="KH523" s="8">
        <f>IF(KB523&lt;RULE_START,KF523,IF(KI523=1,R_NF_2024*(1+G_HI)^(KB523-2024),KH522*(1+KD523)))</f>
        <v>1885.951722649293</v>
      </c>
      <c r="KI523">
        <f>IF(AND(KB523&gt;=RULE_START,MOD(KB523-RULE_START,REBASE_YEARS)=0),1,0)</f>
        <v>0</v>
      </c>
      <c r="KJ523" s="8">
        <f>KF523*CAP_SHARE</f>
        <v>70.70013292902529</v>
      </c>
      <c r="KK523" s="8">
        <f>KG523*CAP_SHARE</f>
        <v>88.82714663673302</v>
      </c>
      <c r="KL523" s="8">
        <f>KH523*CAP_SHARE</f>
        <v>92.21800173497266</v>
      </c>
      <c r="KM523" s="8">
        <f>KF523-KJ523-KE523</f>
        <v>-418.90446594176456</v>
      </c>
      <c r="KN523" s="8">
        <f>KG523-KK523-KE523</f>
        <v>-66.31565318005278</v>
      </c>
      <c r="KO523" s="8">
        <f>KH523-KL523-KE523</f>
        <v>-0.3600803199217353</v>
      </c>
      <c r="KP523" s="8">
        <f>R_NF_2024*(1+G_HI)^(KB523-2024)</f>
        <v>1912.2214091431667</v>
      </c>
      <c r="KQ523" s="10">
        <f>1-KF523/KP523</f>
        <v>0.2438692186437862</v>
      </c>
      <c r="KR523" s="10">
        <f>CPI_2023/(IF(KB523-1=2023,CPI_2023,IF(KB523-1=2024,CPI_2024,IF(KB523-1=2025,CPI_2025,CPI_2025*(1+INFL)^(KB523-1-2025)))))</f>
        <v>0.44395016636888696</v>
      </c>
      <c r="KS523" s="8">
        <f>$KB$21*ABS($KB$11)*(KG523-KF523)/KF523</f>
        <v>25561.110764600464</v>
      </c>
      <c r="KT523" s="8">
        <f>$KB$21*ABS($KB$11)*(KH523-KF523)/KF523</f>
        <v>30342.5945848482</v>
      </c>
      <c r="KU523" s="13">
        <f>(KG523-KF523)*MCD_NF_DAYS*KR523-KS523*MCD_SHARE_FREED*R_WAIT_2023</f>
        <v>75088149.46313705</v>
      </c>
      <c r="KV523" s="13">
        <f>(KH523-KF523)*MCD_NF_DAYS*KR523-KT523*MCD_SHARE_FREED*R_WAIT_2023</f>
        <v>89134204.62313259</v>
      </c>
      <c r="KW523" s="10">
        <f>IF(AND(KB523&gt;=RULE_START,KC523=1),1/(1+$KB$12)^(KB523-RULE_START+1),0)</f>
        <v>0</v>
      </c>
      <c r="KX523">
        <f>IF(AND(KB523&gt;=RULE_START,KC523=1,KM523&lt;0),KB523,9999)</f>
        <v>9999</v>
      </c>
      <c r="KY523">
        <f>IF(AND(KB523&gt;=RULE_START,KC523=1,KN523&lt;0),KB523,9999)</f>
        <v>9999</v>
      </c>
      <c r="KZ523">
        <f>IF(AND(KB523&gt;=RULE_START,KC523=1,KO523&lt;0),KB523,9999)</f>
        <v>9999</v>
      </c>
      <c r="LB523" t="n">
        <v>2059</v>
      </c>
      <c r="LC523">
        <f>IF(LB523&lt;=RULE_START+$LB$38-1,1,0)</f>
        <v>0</v>
      </c>
      <c r="LD523" s="15">
        <f>IF(LB523=2024,G_IDX_2024,IF(LB523=2025,G_IDX_2025,IF(LB523=2026,G_IDX_2026,IF(LB523=2027,G_IDX_2027,$LB$13))))</f>
        <v>0.033</v>
      </c>
      <c r="LE523" s="8">
        <f>$LB$20*(1+G_HI)^(LB523-COST_DATE)</f>
        <v>1794.0938012342422</v>
      </c>
      <c r="LF523" s="8">
        <f>LF522*(1+LD523)</f>
        <v>1445.889468221503</v>
      </c>
      <c r="LG523" s="8">
        <f>IF(LB523&lt;RULE_START,LF523,LG522*(1+G_HI))</f>
        <v>1816.6052946909224</v>
      </c>
      <c r="LH523" s="8">
        <f>IF(LB523&lt;RULE_START,LF523,IF(LI523=1,R_NF_2024*(1+G_HI)^(LB523-2024),LH522*(1+LD523)))</f>
        <v>1885.951722649293</v>
      </c>
      <c r="LI523">
        <f>IF(AND(LB523&gt;=RULE_START,MOD(LB523-RULE_START,REBASE_YEARS)=0),1,0)</f>
        <v>0</v>
      </c>
      <c r="LJ523" s="8">
        <f>LF523*CAP_SHARE</f>
        <v>70.70013292902529</v>
      </c>
      <c r="LK523" s="8">
        <f>LG523*CAP_SHARE</f>
        <v>88.82714663673302</v>
      </c>
      <c r="LL523" s="8">
        <f>LH523*CAP_SHARE</f>
        <v>92.21800173497266</v>
      </c>
      <c r="LM523" s="8">
        <f>LF523-LJ523-LE523</f>
        <v>-418.90446594176456</v>
      </c>
      <c r="LN523" s="8">
        <f>LG523-LK523-LE523</f>
        <v>-66.31565318005278</v>
      </c>
      <c r="LO523" s="8">
        <f>LH523-LL523-LE523</f>
        <v>-0.3600803199217353</v>
      </c>
      <c r="LP523" s="8">
        <f>R_NF_2024*(1+G_HI)^(LB523-2024)</f>
        <v>1912.2214091431667</v>
      </c>
      <c r="LQ523" s="10">
        <f>1-LF523/LP523</f>
        <v>0.2438692186437862</v>
      </c>
      <c r="LR523" s="10">
        <f>CPI_2023/(IF(LB523-1=2023,CPI_2023,IF(LB523-1=2024,CPI_2024,IF(LB523-1=2025,CPI_2025,CPI_2025*(1+INFL)^(LB523-1-2025)))))</f>
        <v>0.44395016636888696</v>
      </c>
      <c r="LS523" s="8">
        <f>$LB$21*ABS($LB$11)*(LG523-LF523)/LF523</f>
        <v>25561.110764600464</v>
      </c>
      <c r="LT523" s="8">
        <f>$LB$21*ABS($LB$11)*(LH523-LF523)/LF523</f>
        <v>30342.5945848482</v>
      </c>
      <c r="LU523" s="13">
        <f>(LG523-LF523)*MCD_NF_DAYS*LR523-LS523*MCD_SHARE_FREED*R_WAIT_2023</f>
        <v>75088149.46313705</v>
      </c>
      <c r="LV523" s="13">
        <f>(LH523-LF523)*MCD_NF_DAYS*LR523-LT523*MCD_SHARE_FREED*R_WAIT_2023</f>
        <v>89134204.62313259</v>
      </c>
      <c r="LW523" s="10">
        <f>IF(AND(LB523&gt;=RULE_START,LC523=1),1/(1+$LB$12)^(LB523-RULE_START+1),0)</f>
        <v>0</v>
      </c>
      <c r="LX523">
        <f>IF(AND(LB523&gt;=RULE_START,LC523=1,LM523&lt;0),LB523,9999)</f>
        <v>9999</v>
      </c>
      <c r="LY523">
        <f>IF(AND(LB523&gt;=RULE_START,LC523=1,LN523&lt;0),LB523,9999)</f>
        <v>9999</v>
      </c>
      <c r="LZ523">
        <f>IF(AND(LB523&gt;=RULE_START,LC523=1,LO523&lt;0),LB523,9999)</f>
        <v>9999</v>
      </c>
      <c r="MB523" t="n">
        <v>2059</v>
      </c>
      <c r="MC523">
        <f>IF(MB523&lt;=RULE_START+$MB$38-1,1,0)</f>
        <v>0</v>
      </c>
      <c r="MD523" s="15">
        <f>IF(MB523=2024,G_IDX_2024,IF(MB523=2025,G_IDX_2025,IF(MB523=2026,G_IDX_2026,IF(MB523=2027,G_IDX_2027,$MB$13))))</f>
        <v>0.033</v>
      </c>
      <c r="ME523" s="8">
        <f>$MB$20*(1+G_HI)^(MB523-COST_DATE)</f>
        <v>1794.0938012342422</v>
      </c>
      <c r="MF523" s="8">
        <f>MF522*(1+MD523)</f>
        <v>1445.889468221503</v>
      </c>
      <c r="MG523" s="8">
        <f>IF(MB523&lt;RULE_START,MF523,MG522*(1+G_HI))</f>
        <v>1816.6052946909224</v>
      </c>
      <c r="MH523" s="8">
        <f>IF(MB523&lt;RULE_START,MF523,IF(MI523=1,R_NF_2024*(1+G_HI)^(MB523-2024),MH522*(1+MD523)))</f>
        <v>1885.951722649293</v>
      </c>
      <c r="MI523">
        <f>IF(AND(MB523&gt;=RULE_START,MOD(MB523-RULE_START,REBASE_YEARS)=0),1,0)</f>
        <v>0</v>
      </c>
      <c r="MJ523" s="8">
        <f>MF523*CAP_SHARE</f>
        <v>70.70013292902529</v>
      </c>
      <c r="MK523" s="8">
        <f>MG523*CAP_SHARE</f>
        <v>88.82714663673302</v>
      </c>
      <c r="ML523" s="8">
        <f>MH523*CAP_SHARE</f>
        <v>92.21800173497266</v>
      </c>
      <c r="MM523" s="8">
        <f>MF523-MJ523-ME523</f>
        <v>-418.90446594176456</v>
      </c>
      <c r="MN523" s="8">
        <f>MG523-MK523-ME523</f>
        <v>-66.31565318005278</v>
      </c>
      <c r="MO523" s="8">
        <f>MH523-ML523-ME523</f>
        <v>-0.3600803199217353</v>
      </c>
      <c r="MP523" s="8">
        <f>R_NF_2024*(1+G_HI)^(MB523-2024)</f>
        <v>1912.2214091431667</v>
      </c>
      <c r="MQ523" s="10">
        <f>1-MF523/MP523</f>
        <v>0.2438692186437862</v>
      </c>
      <c r="MR523" s="10">
        <f>CPI_2023/(IF(MB523-1=2023,CPI_2023,IF(MB523-1=2024,CPI_2024,IF(MB523-1=2025,CPI_2025,CPI_2025*(1+INFL)^(MB523-1-2025)))))</f>
        <v>0.44395016636888696</v>
      </c>
      <c r="MS523" s="8">
        <f>$MB$21*ABS($MB$11)*(MG523-MF523)/MF523</f>
        <v>18725.804528512675</v>
      </c>
      <c r="MT523" s="8">
        <f>$MB$21*ABS($MB$11)*(MH523-MF523)/MF523</f>
        <v>22228.669963382785</v>
      </c>
      <c r="MU523" s="13">
        <f>(MG523-MF523)*MCD_NF_DAYS*MR523-MS523*MCD_SHARE_FREED*R_WAIT_2023</f>
        <v>78196291.240455</v>
      </c>
      <c r="MV523" s="13">
        <f>(MH523-MF523)*MCD_NF_DAYS*MR523-MT523*MCD_SHARE_FREED*R_WAIT_2023</f>
        <v>92823758.13001683</v>
      </c>
      <c r="MW523" s="10">
        <f>IF(AND(MB523&gt;=RULE_START,MC523=1),1/(1+$MB$12)^(MB523-RULE_START+1),0)</f>
        <v>0</v>
      </c>
      <c r="MX523">
        <f>IF(AND(MB523&gt;=RULE_START,MC523=1,MM523&lt;0),MB523,9999)</f>
        <v>9999</v>
      </c>
      <c r="MY523">
        <f>IF(AND(MB523&gt;=RULE_START,MC523=1,MN523&lt;0),MB523,9999)</f>
        <v>9999</v>
      </c>
      <c r="MZ523">
        <f>IF(AND(MB523&gt;=RULE_START,MC523=1,MO523&lt;0),MB523,9999)</f>
        <v>9999</v>
      </c>
      <c r="NB523" t="n">
        <v>2059</v>
      </c>
      <c r="NC523">
        <f>IF(NB523&lt;=RULE_START+$NB$38-1,1,0)</f>
        <v>0</v>
      </c>
      <c r="ND523" s="15">
        <f>IF(NB523=2024,G_IDX_2024,IF(NB523=2025,G_IDX_2025,IF(NB523=2026,G_IDX_2026,IF(NB523=2027,G_IDX_2027,$NB$13))))</f>
        <v>0.033</v>
      </c>
      <c r="NE523" s="8">
        <f>$NB$20*(1+G_HI)^(NB523-COST_DATE)</f>
        <v>1794.0938012342422</v>
      </c>
      <c r="NF523" s="8">
        <f>NF522*(1+ND523)</f>
        <v>1445.889468221503</v>
      </c>
      <c r="NG523" s="8">
        <f>IF(NB523&lt;RULE_START,NF523,NG522*(1+G_HI))</f>
        <v>1816.6052946909224</v>
      </c>
      <c r="NH523" s="8">
        <f>IF(NB523&lt;RULE_START,NF523,IF(NI523=1,R_NF_2024*(1+G_HI)^(NB523-2024),NH522*(1+ND523)))</f>
        <v>1885.951722649293</v>
      </c>
      <c r="NI523">
        <f>IF(AND(NB523&gt;=RULE_START,MOD(NB523-RULE_START,REBASE_YEARS)=0),1,0)</f>
        <v>0</v>
      </c>
      <c r="NJ523" s="8">
        <f>NF523*CAP_SHARE</f>
        <v>70.70013292902529</v>
      </c>
      <c r="NK523" s="8">
        <f>NG523*CAP_SHARE</f>
        <v>88.82714663673302</v>
      </c>
      <c r="NL523" s="8">
        <f>NH523*CAP_SHARE</f>
        <v>92.21800173497266</v>
      </c>
      <c r="NM523" s="8">
        <f>NF523-NJ523-NE523</f>
        <v>-418.90446594176456</v>
      </c>
      <c r="NN523" s="8">
        <f>NG523-NK523-NE523</f>
        <v>-66.31565318005278</v>
      </c>
      <c r="NO523" s="8">
        <f>NH523-NL523-NE523</f>
        <v>-0.3600803199217353</v>
      </c>
      <c r="NP523" s="8">
        <f>R_NF_2024*(1+G_HI)^(NB523-2024)</f>
        <v>1912.2214091431667</v>
      </c>
      <c r="NQ523" s="10">
        <f>1-NF523/NP523</f>
        <v>0.2438692186437862</v>
      </c>
      <c r="NR523" s="10">
        <f>CPI_2023/(IF(NB523-1=2023,CPI_2023,IF(NB523-1=2024,CPI_2024,IF(NB523-1=2025,CPI_2025,CPI_2025*(1+INFL)^(NB523-1-2025)))))</f>
        <v>0.44395016636888696</v>
      </c>
      <c r="NS523" s="8">
        <f>$NB$21*ABS($NB$11)*(NG523-NF523)/NF523</f>
        <v>25561.110764600464</v>
      </c>
      <c r="NT523" s="8">
        <f>$NB$21*ABS($NB$11)*(NH523-NF523)/NF523</f>
        <v>30342.5945848482</v>
      </c>
      <c r="NU523" s="13">
        <f>(NG523-NF523)*MCD_NF_DAYS*NR523-NS523*MCD_SHARE_FREED*R_WAIT_2023</f>
        <v>75088149.46313705</v>
      </c>
      <c r="NV523" s="13">
        <f>(NH523-NF523)*MCD_NF_DAYS*NR523-NT523*MCD_SHARE_FREED*R_WAIT_2023</f>
        <v>89134204.62313259</v>
      </c>
      <c r="NW523" s="10">
        <f>IF(AND(NB523&gt;=RULE_START,NC523=1),1/(1+$NB$12)^(NB523-RULE_START+1),0)</f>
        <v>0</v>
      </c>
      <c r="NX523">
        <f>IF(AND(NB523&gt;=RULE_START,NC523=1,NM523&lt;0),NB523,9999)</f>
        <v>9999</v>
      </c>
      <c r="NY523">
        <f>IF(AND(NB523&gt;=RULE_START,NC523=1,NN523&lt;0),NB523,9999)</f>
        <v>9999</v>
      </c>
      <c r="NZ523">
        <f>IF(AND(NB523&gt;=RULE_START,NC523=1,NO523&lt;0),NB523,9999)</f>
        <v>9999</v>
      </c>
      <c r="OB523" t="n">
        <v>2059</v>
      </c>
      <c r="OC523">
        <f>IF(OB523&lt;=RULE_START+$OB$38-1,1,0)</f>
        <v>0</v>
      </c>
      <c r="OD523" s="15">
        <f>IF(OB523=2024,G_IDX_2024,IF(OB523=2025,G_IDX_2025,IF(OB523=2026,G_IDX_2026,IF(OB523=2027,G_IDX_2027,$OB$13))))</f>
        <v>0.033</v>
      </c>
      <c r="OE523" s="8">
        <f>$OB$20*(1+G_HI)^(OB523-COST_DATE)</f>
        <v>1794.0938012342422</v>
      </c>
      <c r="OF523" s="8">
        <f>OF522*(1+OD523)</f>
        <v>1445.889468221503</v>
      </c>
      <c r="OG523" s="8">
        <f>IF(OB523&lt;RULE_START,OF523,OG522*(1+G_HI))</f>
        <v>1816.6052946909224</v>
      </c>
      <c r="OH523" s="8">
        <f>IF(OB523&lt;RULE_START,OF523,IF(OI523=1,R_NF_2024*(1+G_HI)^(OB523-2024),OH522*(1+OD523)))</f>
        <v>1885.951722649293</v>
      </c>
      <c r="OI523">
        <f>IF(AND(OB523&gt;=RULE_START,MOD(OB523-RULE_START,REBASE_YEARS)=0),1,0)</f>
        <v>0</v>
      </c>
      <c r="OJ523" s="8">
        <f>OF523*CAP_SHARE</f>
        <v>70.70013292902529</v>
      </c>
      <c r="OK523" s="8">
        <f>OG523*CAP_SHARE</f>
        <v>88.82714663673302</v>
      </c>
      <c r="OL523" s="8">
        <f>OH523*CAP_SHARE</f>
        <v>92.21800173497266</v>
      </c>
      <c r="OM523" s="8">
        <f>OF523-OJ523-OE523</f>
        <v>-418.90446594176456</v>
      </c>
      <c r="ON523" s="8">
        <f>OG523-OK523-OE523</f>
        <v>-66.31565318005278</v>
      </c>
      <c r="OO523" s="8">
        <f>OH523-OL523-OE523</f>
        <v>-0.3600803199217353</v>
      </c>
      <c r="OP523" s="8">
        <f>R_NF_2024*(1+G_HI)^(OB523-2024)</f>
        <v>1912.2214091431667</v>
      </c>
      <c r="OQ523" s="10">
        <f>1-OF523/OP523</f>
        <v>0.2438692186437862</v>
      </c>
      <c r="OR523" s="10">
        <f>CPI_2023/(IF(OB523-1=2023,CPI_2023,IF(OB523-1=2024,CPI_2024,IF(OB523-1=2025,CPI_2025,CPI_2025*(1+INFL)^(OB523-1-2025)))))</f>
        <v>0.44395016636888696</v>
      </c>
      <c r="OS523" s="8">
        <f>$OB$21*ABS($OB$11)*(OG523-OF523)/OF523</f>
        <v>25561.110764600464</v>
      </c>
      <c r="OT523" s="8">
        <f>$OB$21*ABS($OB$11)*(OH523-OF523)/OF523</f>
        <v>30342.5945848482</v>
      </c>
      <c r="OU523" s="13">
        <f>(OG523-OF523)*MCD_NF_DAYS*OR523-OS523*MCD_SHARE_FREED*R_WAIT_2023</f>
        <v>75088149.46313705</v>
      </c>
      <c r="OV523" s="13">
        <f>(OH523-OF523)*MCD_NF_DAYS*OR523-OT523*MCD_SHARE_FREED*R_WAIT_2023</f>
        <v>89134204.62313259</v>
      </c>
      <c r="OW523" s="10">
        <f>IF(AND(OB523&gt;=RULE_START,OC523=1),1/(1+$OB$12)^(OB523-RULE_START+1),0)</f>
        <v>0</v>
      </c>
      <c r="OX523">
        <f>IF(AND(OB523&gt;=RULE_START,OC523=1,OM523&lt;0),OB523,9999)</f>
        <v>9999</v>
      </c>
      <c r="OY523">
        <f>IF(AND(OB523&gt;=RULE_START,OC523=1,ON523&lt;0),OB523,9999)</f>
        <v>9999</v>
      </c>
      <c r="OZ523">
        <f>IF(AND(OB523&gt;=RULE_START,OC523=1,OO523&lt;0),OB523,9999)</f>
        <v>9999</v>
      </c>
    </row>
    <row r="524">
      <c r="B524" t="n">
        <v>2060</v>
      </c>
      <c r="C524">
        <f>IF(B524&lt;=RULE_START+$B$38-1,1,0)</f>
        <v>0</v>
      </c>
      <c r="D524" s="15">
        <f>IF(B524=2024,G_IDX_2024,IF(B524=2025,G_IDX_2025,IF(B524=2026,G_IDX_2026,IF(B524=2027,G_IDX_2027,$B$13))))</f>
        <v>0.033</v>
      </c>
      <c r="E524" s="8">
        <f>$B$20*(1+G_HI)^(B524-COST_DATE)</f>
        <v>1866.1616900091967</v>
      </c>
      <c r="F524" s="8">
        <f>F523*(1+D524)</f>
        <v>1493.6038206728124</v>
      </c>
      <c r="G524" s="8">
        <f>IF(B524&lt;RULE_START,F524,G523*(1+G_HI))</f>
        <v>1889.5774593769127</v>
      </c>
      <c r="H524" s="8">
        <f>IF(B524&lt;RULE_START,F524,IF(I524=1,R_NF_2024*(1+G_HI)^(B524-2024),H523*(1+D524)))</f>
        <v>1989.0344273545952</v>
      </c>
      <c r="I524">
        <f>IF(AND(B524&gt;=RULE_START,MOD(B524-RULE_START,REBASE_YEARS)=0),1,0)</f>
        <v>1</v>
      </c>
      <c r="J524" s="8">
        <f>F524*CAP_SHARE</f>
        <v>73.03323731568312</v>
      </c>
      <c r="K524" s="8">
        <f>G524*CAP_SHARE</f>
        <v>92.39529057636913</v>
      </c>
      <c r="L524" s="8">
        <f>H524*CAP_SHARE</f>
        <v>97.25847065429662</v>
      </c>
      <c r="M524" s="8">
        <f>F524-J524-E524</f>
        <v>-445.59110665206754</v>
      </c>
      <c r="N524" s="8">
        <f>G524-K524-E524</f>
        <v>-68.9795212086533</v>
      </c>
      <c r="O524" s="8">
        <f>H524-L524-E524</f>
        <v>25.614266691101875</v>
      </c>
      <c r="P524" s="8">
        <f>R_NF_2024*(1+G_HI)^(B524-2024)</f>
        <v>1989.0344273545952</v>
      </c>
      <c r="Q524" s="10">
        <f>1-F524/P524</f>
        <v>0.2490809610272572</v>
      </c>
      <c r="R524" s="10">
        <f>CPI_2023/(IF(B524-1=2023,CPI_2023,IF(B524-1=2024,CPI_2024,IF(B524-1=2025,CPI_2025,CPI_2025*(1+INFL)^(B524-1-2025)))))</f>
        <v>0.4340537410724354</v>
      </c>
      <c r="S524" s="8">
        <f>$B$21*ABS($B$11)*(G524-F524)/F524</f>
        <v>26430.44942877667</v>
      </c>
      <c r="T524" s="8">
        <f>$B$21*ABS($B$11)*(H524-F524)/F524</f>
        <v>33069.00337665183</v>
      </c>
      <c r="U524" s="13">
        <f>(G524-F524)*MCD_NF_DAYS*R524-S524*MCD_SHARE_FREED*R_WAIT_2023</f>
        <v>78536061.76531066</v>
      </c>
      <c r="V524" s="13">
        <f>(H524-F524)*MCD_NF_DAYS*R524-T524*MCD_SHARE_FREED*R_WAIT_2023</f>
        <v>98262017.78008139</v>
      </c>
      <c r="W524" s="10">
        <f>IF(AND(B524&gt;=RULE_START,C524=1),1/(1+$B$12)^(B524-RULE_START+1),0)</f>
        <v>0</v>
      </c>
      <c r="X524">
        <f>IF(AND(B524&gt;=RULE_START,C524=1,M524&lt;0),B524,9999)</f>
        <v>9999</v>
      </c>
      <c r="Y524">
        <f>IF(AND(B524&gt;=RULE_START,C524=1,N524&lt;0),B524,9999)</f>
        <v>9999</v>
      </c>
      <c r="Z524">
        <f>IF(AND(B524&gt;=RULE_START,C524=1,O524&lt;0),B524,9999)</f>
        <v>9999</v>
      </c>
      <c r="AB524" t="n">
        <v>2060</v>
      </c>
      <c r="AC524">
        <f>IF(AB524&lt;=RULE_START+$AB$38-1,1,0)</f>
        <v>0</v>
      </c>
      <c r="AD524" s="15">
        <f>IF(AB524=2024,G_IDX_2024,IF(AB524=2025,G_IDX_2025,IF(AB524=2026,G_IDX_2026,IF(AB524=2027,G_IDX_2027,$AB$13))))</f>
        <v>0.033</v>
      </c>
      <c r="AE524" s="8">
        <f>$AB$20*(1+G_HI)^(AB524-COST_DATE)</f>
        <v>1866.1616900091967</v>
      </c>
      <c r="AF524" s="8">
        <f>AF523*(1+AD524)</f>
        <v>1493.6038206728124</v>
      </c>
      <c r="AG524" s="8">
        <f>IF(AB524&lt;RULE_START,AF524,AG523*(1+G_HI))</f>
        <v>1889.5774593769127</v>
      </c>
      <c r="AH524" s="8">
        <f>IF(AB524&lt;RULE_START,AF524,IF(AI524=1,R_NF_2024*(1+G_HI)^(AB524-2024),AH523*(1+AD524)))</f>
        <v>1989.0344273545952</v>
      </c>
      <c r="AI524">
        <f>IF(AND(AB524&gt;=RULE_START,MOD(AB524-RULE_START,REBASE_YEARS)=0),1,0)</f>
        <v>1</v>
      </c>
      <c r="AJ524" s="8">
        <f>AF524*CAP_SHARE</f>
        <v>73.03323731568312</v>
      </c>
      <c r="AK524" s="8">
        <f>AG524*CAP_SHARE</f>
        <v>92.39529057636913</v>
      </c>
      <c r="AL524" s="8">
        <f>AH524*CAP_SHARE</f>
        <v>97.25847065429662</v>
      </c>
      <c r="AM524" s="8">
        <f>AF524-AJ524-AE524</f>
        <v>-445.59110665206754</v>
      </c>
      <c r="AN524" s="8">
        <f>AG524-AK524-AE524</f>
        <v>-68.9795212086533</v>
      </c>
      <c r="AO524" s="8">
        <f>AH524-AL524-AE524</f>
        <v>25.614266691101875</v>
      </c>
      <c r="AP524" s="8">
        <f>R_NF_2024*(1+G_HI)^(AB524-2024)</f>
        <v>1989.0344273545952</v>
      </c>
      <c r="AQ524" s="10">
        <f>1-AF524/AP524</f>
        <v>0.2490809610272572</v>
      </c>
      <c r="AR524" s="10">
        <f>CPI_2023/(IF(AB524-1=2023,CPI_2023,IF(AB524-1=2024,CPI_2024,IF(AB524-1=2025,CPI_2025,CPI_2025*(1+INFL)^(AB524-1-2025)))))</f>
        <v>0.4340537410724354</v>
      </c>
      <c r="AS524" s="8">
        <f>$AB$21*ABS($AB$11)*(AG524-AF524)/AF524</f>
        <v>26430.44942877667</v>
      </c>
      <c r="AT524" s="8">
        <f>$AB$21*ABS($AB$11)*(AH524-AF524)/AF524</f>
        <v>33069.00337665183</v>
      </c>
      <c r="AU524" s="13">
        <f>(AG524-AF524)*MCD_NF_DAYS*AR524-AS524*MCD_SHARE_FREED*R_WAIT_2023</f>
        <v>78536061.76531066</v>
      </c>
      <c r="AV524" s="13">
        <f>(AH524-AF524)*MCD_NF_DAYS*AR524-AT524*MCD_SHARE_FREED*R_WAIT_2023</f>
        <v>98262017.78008139</v>
      </c>
      <c r="AW524" s="10">
        <f>IF(AND(AB524&gt;=RULE_START,AC524=1),1/(1+$AB$12)^(AB524-RULE_START+1),0)</f>
        <v>0</v>
      </c>
      <c r="AX524">
        <f>IF(AND(AB524&gt;=RULE_START,AC524=1,AM524&lt;0),AB524,9999)</f>
        <v>9999</v>
      </c>
      <c r="AY524">
        <f>IF(AND(AB524&gt;=RULE_START,AC524=1,AN524&lt;0),AB524,9999)</f>
        <v>9999</v>
      </c>
      <c r="AZ524">
        <f>IF(AND(AB524&gt;=RULE_START,AC524=1,AO524&lt;0),AB524,9999)</f>
        <v>9999</v>
      </c>
      <c r="BB524" t="n">
        <v>2060</v>
      </c>
      <c r="BC524">
        <f>IF(BB524&lt;=RULE_START+$BB$38-1,1,0)</f>
        <v>0</v>
      </c>
      <c r="BD524" s="15">
        <f>IF(BB524=2024,G_IDX_2024,IF(BB524=2025,G_IDX_2025,IF(BB524=2026,G_IDX_2026,IF(BB524=2027,G_IDX_2027,$BB$13))))</f>
        <v>0.033</v>
      </c>
      <c r="BE524" s="8">
        <f>$BB$20*(1+G_HI)^(BB524-COST_DATE)</f>
        <v>1866.1616900091967</v>
      </c>
      <c r="BF524" s="8">
        <f>BF523*(1+BD524)</f>
        <v>1493.6038206728124</v>
      </c>
      <c r="BG524" s="8">
        <f>IF(BB524&lt;RULE_START,BF524,BG523*(1+G_HI))</f>
        <v>1889.5774593769127</v>
      </c>
      <c r="BH524" s="8">
        <f>IF(BB524&lt;RULE_START,BF524,IF(BI524=1,R_NF_2024*(1+G_HI)^(BB524-2024),BH523*(1+BD524)))</f>
        <v>1989.0344273545952</v>
      </c>
      <c r="BI524">
        <f>IF(AND(BB524&gt;=RULE_START,MOD(BB524-RULE_START,REBASE_YEARS)=0),1,0)</f>
        <v>1</v>
      </c>
      <c r="BJ524" s="8">
        <f>BF524*CAP_SHARE</f>
        <v>73.03323731568312</v>
      </c>
      <c r="BK524" s="8">
        <f>BG524*CAP_SHARE</f>
        <v>92.39529057636913</v>
      </c>
      <c r="BL524" s="8">
        <f>BH524*CAP_SHARE</f>
        <v>97.25847065429662</v>
      </c>
      <c r="BM524" s="8">
        <f>BF524-BJ524-BE524</f>
        <v>-445.59110665206754</v>
      </c>
      <c r="BN524" s="8">
        <f>BG524-BK524-BE524</f>
        <v>-68.9795212086533</v>
      </c>
      <c r="BO524" s="8">
        <f>BH524-BL524-BE524</f>
        <v>25.614266691101875</v>
      </c>
      <c r="BP524" s="8">
        <f>R_NF_2024*(1+G_HI)^(BB524-2024)</f>
        <v>1989.0344273545952</v>
      </c>
      <c r="BQ524" s="10">
        <f>1-BF524/BP524</f>
        <v>0.2490809610272572</v>
      </c>
      <c r="BR524" s="10">
        <f>CPI_2023/(IF(BB524-1=2023,CPI_2023,IF(BB524-1=2024,CPI_2024,IF(BB524-1=2025,CPI_2025,CPI_2025*(1+INFL)^(BB524-1-2025)))))</f>
        <v>0.4340537410724354</v>
      </c>
      <c r="BS524" s="8">
        <f>$BB$21*ABS($BB$11)*(BG524-BF524)/BF524</f>
        <v>26430.44942877667</v>
      </c>
      <c r="BT524" s="8">
        <f>$BB$21*ABS($BB$11)*(BH524-BF524)/BF524</f>
        <v>33069.00337665183</v>
      </c>
      <c r="BU524" s="13">
        <f>(BG524-BF524)*MCD_NF_DAYS*BR524-BS524*MCD_SHARE_FREED*R_WAIT_2023</f>
        <v>78536061.76531066</v>
      </c>
      <c r="BV524" s="13">
        <f>(BH524-BF524)*MCD_NF_DAYS*BR524-BT524*MCD_SHARE_FREED*R_WAIT_2023</f>
        <v>98262017.78008139</v>
      </c>
      <c r="BW524" s="10">
        <f>IF(AND(BB524&gt;=RULE_START,BC524=1),1/(1+$BB$12)^(BB524-RULE_START+1),0)</f>
        <v>0</v>
      </c>
      <c r="BX524">
        <f>IF(AND(BB524&gt;=RULE_START,BC524=1,BM524&lt;0),BB524,9999)</f>
        <v>9999</v>
      </c>
      <c r="BY524">
        <f>IF(AND(BB524&gt;=RULE_START,BC524=1,BN524&lt;0),BB524,9999)</f>
        <v>9999</v>
      </c>
      <c r="BZ524">
        <f>IF(AND(BB524&gt;=RULE_START,BC524=1,BO524&lt;0),BB524,9999)</f>
        <v>9999</v>
      </c>
      <c r="CB524" t="n">
        <v>2060</v>
      </c>
      <c r="CC524">
        <f>IF(CB524&lt;=RULE_START+$CB$38-1,1,0)</f>
        <v>1</v>
      </c>
      <c r="CD524" s="15">
        <f>IF(CB524=2024,G_IDX_2024,IF(CB524=2025,G_IDX_2025,IF(CB524=2026,G_IDX_2026,IF(CB524=2027,G_IDX_2027,$CB$13))))</f>
        <v>0.033</v>
      </c>
      <c r="CE524" s="8">
        <f>$CB$20*(1+G_HI)^(CB524-COST_DATE)</f>
        <v>1866.1616900091967</v>
      </c>
      <c r="CF524" s="8">
        <f>CF523*(1+CD524)</f>
        <v>1493.6038206728124</v>
      </c>
      <c r="CG524" s="8">
        <f>IF(CB524&lt;RULE_START,CF524,CG523*(1+G_HI))</f>
        <v>1889.5774593769127</v>
      </c>
      <c r="CH524" s="8">
        <f>IF(CB524&lt;RULE_START,CF524,IF(CI524=1,R_NF_2024*(1+G_HI)^(CB524-2024),CH523*(1+CD524)))</f>
        <v>1989.0344273545952</v>
      </c>
      <c r="CI524">
        <f>IF(AND(CB524&gt;=RULE_START,MOD(CB524-RULE_START,REBASE_YEARS)=0),1,0)</f>
        <v>1</v>
      </c>
      <c r="CJ524" s="8">
        <f>CF524*CAP_SHARE</f>
        <v>73.03323731568312</v>
      </c>
      <c r="CK524" s="8">
        <f>CG524*CAP_SHARE</f>
        <v>92.39529057636913</v>
      </c>
      <c r="CL524" s="8">
        <f>CH524*CAP_SHARE</f>
        <v>97.25847065429662</v>
      </c>
      <c r="CM524" s="8">
        <f>CF524-CJ524-CE524</f>
        <v>-445.59110665206754</v>
      </c>
      <c r="CN524" s="8">
        <f>CG524-CK524-CE524</f>
        <v>-68.9795212086533</v>
      </c>
      <c r="CO524" s="8">
        <f>CH524-CL524-CE524</f>
        <v>25.614266691101875</v>
      </c>
      <c r="CP524" s="8">
        <f>R_NF_2024*(1+G_HI)^(CB524-2024)</f>
        <v>1989.0344273545952</v>
      </c>
      <c r="CQ524" s="10">
        <f>1-CF524/CP524</f>
        <v>0.2490809610272572</v>
      </c>
      <c r="CR524" s="10">
        <f>CPI_2023/(IF(CB524-1=2023,CPI_2023,IF(CB524-1=2024,CPI_2024,IF(CB524-1=2025,CPI_2025,CPI_2025*(1+INFL)^(CB524-1-2025)))))</f>
        <v>0.4340537410724354</v>
      </c>
      <c r="CS524" s="8">
        <f>$CB$21*ABS($CB$11)*(CG524-CF524)/CF524</f>
        <v>26430.44942877667</v>
      </c>
      <c r="CT524" s="8">
        <f>$CB$21*ABS($CB$11)*(CH524-CF524)/CF524</f>
        <v>33069.00337665183</v>
      </c>
      <c r="CU524" s="13">
        <f>(CG524-CF524)*MCD_NF_DAYS*CR524-CS524*MCD_SHARE_FREED*R_WAIT_2023</f>
        <v>78536061.76531066</v>
      </c>
      <c r="CV524" s="13">
        <f>(CH524-CF524)*MCD_NF_DAYS*CR524-CT524*MCD_SHARE_FREED*R_WAIT_2023</f>
        <v>98262017.78008139</v>
      </c>
      <c r="CW524" s="10">
        <f>IF(AND(CB524&gt;=RULE_START,CC524=1),1/(1+$CB$12)^(CB524-RULE_START+1),0)</f>
        <v>0.5100281656264829</v>
      </c>
      <c r="CX524">
        <f>IF(AND(CB524&gt;=RULE_START,CC524=1,CM524&lt;0),CB524,9999)</f>
        <v>2060</v>
      </c>
      <c r="CY524">
        <f>IF(AND(CB524&gt;=RULE_START,CC524=1,CN524&lt;0),CB524,9999)</f>
        <v>2060</v>
      </c>
      <c r="CZ524">
        <f>IF(AND(CB524&gt;=RULE_START,CC524=1,CO524&lt;0),CB524,9999)</f>
        <v>9999</v>
      </c>
      <c r="DB524" t="n">
        <v>2060</v>
      </c>
      <c r="DC524">
        <f>IF(DB524&lt;=RULE_START+$DB$38-1,1,0)</f>
        <v>0</v>
      </c>
      <c r="DD524" s="15">
        <f>IF(DB524=2024,G_IDX_2024,IF(DB524=2025,G_IDX_2025,IF(DB524=2026,G_IDX_2026,IF(DB524=2027,G_IDX_2027,$DB$13))))</f>
        <v>0.033</v>
      </c>
      <c r="DE524" s="8">
        <f>$DB$20*(1+G_HI)^(DB524-COST_DATE)</f>
        <v>1866.1616900091967</v>
      </c>
      <c r="DF524" s="8">
        <f>DF523*(1+DD524)</f>
        <v>1493.6038206728124</v>
      </c>
      <c r="DG524" s="8">
        <f>IF(DB524&lt;RULE_START,DF524,DG523*(1+G_HI))</f>
        <v>1889.5774593769127</v>
      </c>
      <c r="DH524" s="8">
        <f>IF(DB524&lt;RULE_START,DF524,IF(DI524=1,R_NF_2024*(1+G_HI)^(DB524-2024),DH523*(1+DD524)))</f>
        <v>1989.0344273545952</v>
      </c>
      <c r="DI524">
        <f>IF(AND(DB524&gt;=RULE_START,MOD(DB524-RULE_START,REBASE_YEARS)=0),1,0)</f>
        <v>1</v>
      </c>
      <c r="DJ524" s="8">
        <f>DF524*CAP_SHARE</f>
        <v>73.03323731568312</v>
      </c>
      <c r="DK524" s="8">
        <f>DG524*CAP_SHARE</f>
        <v>92.39529057636913</v>
      </c>
      <c r="DL524" s="8">
        <f>DH524*CAP_SHARE</f>
        <v>97.25847065429662</v>
      </c>
      <c r="DM524" s="8">
        <f>DF524-DJ524-DE524</f>
        <v>-445.59110665206754</v>
      </c>
      <c r="DN524" s="8">
        <f>DG524-DK524-DE524</f>
        <v>-68.9795212086533</v>
      </c>
      <c r="DO524" s="8">
        <f>DH524-DL524-DE524</f>
        <v>25.614266691101875</v>
      </c>
      <c r="DP524" s="8">
        <f>R_NF_2024*(1+G_HI)^(DB524-2024)</f>
        <v>1989.0344273545952</v>
      </c>
      <c r="DQ524" s="10">
        <f>1-DF524/DP524</f>
        <v>0.2490809610272572</v>
      </c>
      <c r="DR524" s="10">
        <f>CPI_2023/(IF(DB524-1=2023,CPI_2023,IF(DB524-1=2024,CPI_2024,IF(DB524-1=2025,CPI_2025,CPI_2025*(1+INFL)^(DB524-1-2025)))))</f>
        <v>0.4340537410724354</v>
      </c>
      <c r="DS524" s="8">
        <f>$DB$21*ABS($DB$11)*(DG524-DF524)/DF524</f>
        <v>26430.44942877667</v>
      </c>
      <c r="DT524" s="8">
        <f>$DB$21*ABS($DB$11)*(DH524-DF524)/DF524</f>
        <v>33069.00337665183</v>
      </c>
      <c r="DU524" s="13">
        <f>(DG524-DF524)*MCD_NF_DAYS*DR524-DS524*MCD_SHARE_FREED*R_WAIT_2023</f>
        <v>78536061.76531066</v>
      </c>
      <c r="DV524" s="13">
        <f>(DH524-DF524)*MCD_NF_DAYS*DR524-DT524*MCD_SHARE_FREED*R_WAIT_2023</f>
        <v>98262017.78008139</v>
      </c>
      <c r="DW524" s="10">
        <f>IF(AND(DB524&gt;=RULE_START,DC524=1),1/(1+$DB$12)^(DB524-RULE_START+1),0)</f>
        <v>0</v>
      </c>
      <c r="DX524">
        <f>IF(AND(DB524&gt;=RULE_START,DC524=1,DM524&lt;0),DB524,9999)</f>
        <v>9999</v>
      </c>
      <c r="DY524">
        <f>IF(AND(DB524&gt;=RULE_START,DC524=1,DN524&lt;0),DB524,9999)</f>
        <v>9999</v>
      </c>
      <c r="DZ524">
        <f>IF(AND(DB524&gt;=RULE_START,DC524=1,DO524&lt;0),DB524,9999)</f>
        <v>9999</v>
      </c>
      <c r="EB524" t="n">
        <v>2060</v>
      </c>
      <c r="EC524">
        <f>IF(EB524&lt;=RULE_START+$EB$38-1,1,0)</f>
        <v>0</v>
      </c>
      <c r="ED524" s="15">
        <f>IF(EB524=2024,G_IDX_2024,IF(EB524=2025,G_IDX_2025,IF(EB524=2026,G_IDX_2026,IF(EB524=2027,G_IDX_2027,$EB$13))))</f>
        <v>0.033</v>
      </c>
      <c r="EE524" s="8">
        <f>$EB$20*(1+G_HI)^(EB524-COST_DATE)</f>
        <v>1866.1616900091967</v>
      </c>
      <c r="EF524" s="8">
        <f>EF523*(1+ED524)</f>
        <v>1493.6038206728124</v>
      </c>
      <c r="EG524" s="8">
        <f>IF(EB524&lt;RULE_START,EF524,EG523*(1+G_HI))</f>
        <v>1889.5774593769127</v>
      </c>
      <c r="EH524" s="8">
        <f>IF(EB524&lt;RULE_START,EF524,IF(EI524=1,R_NF_2024*(1+G_HI)^(EB524-2024),EH523*(1+ED524)))</f>
        <v>1989.0344273545952</v>
      </c>
      <c r="EI524">
        <f>IF(AND(EB524&gt;=RULE_START,MOD(EB524-RULE_START,REBASE_YEARS)=0),1,0)</f>
        <v>1</v>
      </c>
      <c r="EJ524" s="8">
        <f>EF524*CAP_SHARE</f>
        <v>73.03323731568312</v>
      </c>
      <c r="EK524" s="8">
        <f>EG524*CAP_SHARE</f>
        <v>92.39529057636913</v>
      </c>
      <c r="EL524" s="8">
        <f>EH524*CAP_SHARE</f>
        <v>97.25847065429662</v>
      </c>
      <c r="EM524" s="8">
        <f>EF524-EJ524-EE524</f>
        <v>-445.59110665206754</v>
      </c>
      <c r="EN524" s="8">
        <f>EG524-EK524-EE524</f>
        <v>-68.9795212086533</v>
      </c>
      <c r="EO524" s="8">
        <f>EH524-EL524-EE524</f>
        <v>25.614266691101875</v>
      </c>
      <c r="EP524" s="8">
        <f>R_NF_2024*(1+G_HI)^(EB524-2024)</f>
        <v>1989.0344273545952</v>
      </c>
      <c r="EQ524" s="10">
        <f>1-EF524/EP524</f>
        <v>0.2490809610272572</v>
      </c>
      <c r="ER524" s="10">
        <f>CPI_2023/(IF(EB524-1=2023,CPI_2023,IF(EB524-1=2024,CPI_2024,IF(EB524-1=2025,CPI_2025,CPI_2025*(1+INFL)^(EB524-1-2025)))))</f>
        <v>0.4340537410724354</v>
      </c>
      <c r="ES524" s="8">
        <f>$EB$21*ABS($EB$11)*(EG524-EF524)/EF524</f>
        <v>26430.44942877667</v>
      </c>
      <c r="ET524" s="8">
        <f>$EB$21*ABS($EB$11)*(EH524-EF524)/EF524</f>
        <v>33069.00337665183</v>
      </c>
      <c r="EU524" s="13">
        <f>(EG524-EF524)*MCD_NF_DAYS*ER524-ES524*MCD_SHARE_FREED*R_WAIT_2023</f>
        <v>78536061.76531066</v>
      </c>
      <c r="EV524" s="13">
        <f>(EH524-EF524)*MCD_NF_DAYS*ER524-ET524*MCD_SHARE_FREED*R_WAIT_2023</f>
        <v>98262017.78008139</v>
      </c>
      <c r="EW524" s="10">
        <f>IF(AND(EB524&gt;=RULE_START,EC524=1),1/(1+$EB$12)^(EB524-RULE_START+1),0)</f>
        <v>0</v>
      </c>
      <c r="EX524">
        <f>IF(AND(EB524&gt;=RULE_START,EC524=1,EM524&lt;0),EB524,9999)</f>
        <v>9999</v>
      </c>
      <c r="EY524">
        <f>IF(AND(EB524&gt;=RULE_START,EC524=1,EN524&lt;0),EB524,9999)</f>
        <v>9999</v>
      </c>
      <c r="EZ524">
        <f>IF(AND(EB524&gt;=RULE_START,EC524=1,EO524&lt;0),EB524,9999)</f>
        <v>9999</v>
      </c>
      <c r="FB524" t="n">
        <v>2060</v>
      </c>
      <c r="FC524">
        <f>IF(FB524&lt;=RULE_START+$FB$38-1,1,0)</f>
        <v>0</v>
      </c>
      <c r="FD524" s="15">
        <f>IF(FB524=2024,G_IDX_2024,IF(FB524=2025,G_IDX_2025,IF(FB524=2026,G_IDX_2026,IF(FB524=2027,G_IDX_2027,$FB$13))))</f>
        <v>0.033</v>
      </c>
      <c r="FE524" s="8">
        <f>$FB$20*(1+G_HI)^(FB524-COST_DATE)</f>
        <v>1920.527305997735</v>
      </c>
      <c r="FF524" s="8">
        <f>FF523*(1+FD524)</f>
        <v>1493.6038206728124</v>
      </c>
      <c r="FG524" s="8">
        <f>IF(FB524&lt;RULE_START,FF524,FG523*(1+G_HI))</f>
        <v>1889.5774593769127</v>
      </c>
      <c r="FH524" s="8">
        <f>IF(FB524&lt;RULE_START,FF524,IF(FI524=1,R_NF_2024*(1+G_HI)^(FB524-2024),FH523*(1+FD524)))</f>
        <v>1989.0344273545952</v>
      </c>
      <c r="FI524">
        <f>IF(AND(FB524&gt;=RULE_START,MOD(FB524-RULE_START,REBASE_YEARS)=0),1,0)</f>
        <v>1</v>
      </c>
      <c r="FJ524" s="8">
        <f>FF524*CAP_SHARE</f>
        <v>73.03323731568312</v>
      </c>
      <c r="FK524" s="8">
        <f>FG524*CAP_SHARE</f>
        <v>92.39529057636913</v>
      </c>
      <c r="FL524" s="8">
        <f>FH524*CAP_SHARE</f>
        <v>97.25847065429662</v>
      </c>
      <c r="FM524" s="8">
        <f>FF524-FJ524-FE524</f>
        <v>-499.9567226406059</v>
      </c>
      <c r="FN524" s="8">
        <f>FG524-FK524-FE524</f>
        <v>-123.34513719719166</v>
      </c>
      <c r="FO524" s="8">
        <f>FH524-FL524-FE524</f>
        <v>-28.75134929743649</v>
      </c>
      <c r="FP524" s="8">
        <f>R_NF_2024*(1+G_HI)^(FB524-2024)</f>
        <v>1989.0344273545952</v>
      </c>
      <c r="FQ524" s="10">
        <f>1-FF524/FP524</f>
        <v>0.2490809610272572</v>
      </c>
      <c r="FR524" s="10">
        <f>CPI_2023/(IF(FB524-1=2023,CPI_2023,IF(FB524-1=2024,CPI_2024,IF(FB524-1=2025,CPI_2025,CPI_2025*(1+INFL)^(FB524-1-2025)))))</f>
        <v>0.4340537410724354</v>
      </c>
      <c r="FS524" s="8">
        <f>$FB$21*ABS($FB$11)*(FG524-FF524)/FF524</f>
        <v>26430.44942877667</v>
      </c>
      <c r="FT524" s="8">
        <f>$FB$21*ABS($FB$11)*(FH524-FF524)/FF524</f>
        <v>33069.00337665183</v>
      </c>
      <c r="FU524" s="13">
        <f>(FG524-FF524)*MCD_NF_DAYS*FR524-FS524*MCD_SHARE_FREED*R_WAIT_2023</f>
        <v>78536061.76531066</v>
      </c>
      <c r="FV524" s="13">
        <f>(FH524-FF524)*MCD_NF_DAYS*FR524-FT524*MCD_SHARE_FREED*R_WAIT_2023</f>
        <v>98262017.78008139</v>
      </c>
      <c r="FW524" s="10">
        <f>IF(AND(FB524&gt;=RULE_START,FC524=1),1/(1+$FB$12)^(FB524-RULE_START+1),0)</f>
        <v>0</v>
      </c>
      <c r="FX524">
        <f>IF(AND(FB524&gt;=RULE_START,FC524=1,FM524&lt;0),FB524,9999)</f>
        <v>9999</v>
      </c>
      <c r="FY524">
        <f>IF(AND(FB524&gt;=RULE_START,FC524=1,FN524&lt;0),FB524,9999)</f>
        <v>9999</v>
      </c>
      <c r="FZ524">
        <f>IF(AND(FB524&gt;=RULE_START,FC524=1,FO524&lt;0),FB524,9999)</f>
        <v>9999</v>
      </c>
      <c r="GB524" t="n">
        <v>2060</v>
      </c>
      <c r="GC524">
        <f>IF(GB524&lt;=RULE_START+$GB$38-1,1,0)</f>
        <v>0</v>
      </c>
      <c r="GD524" s="15">
        <f>IF(GB524=2024,G_IDX_2024,IF(GB524=2025,G_IDX_2025,IF(GB524=2026,G_IDX_2026,IF(GB524=2027,G_IDX_2027,$GB$13))))</f>
        <v>0.033</v>
      </c>
      <c r="GE524" s="8">
        <f>$GB$20*(1+G_HI)^(GB524-COST_DATE)</f>
        <v>1866.1616900091967</v>
      </c>
      <c r="GF524" s="8">
        <f>GF523*(1+GD524)</f>
        <v>1493.6038206728124</v>
      </c>
      <c r="GG524" s="8">
        <f>IF(GB524&lt;RULE_START,GF524,GG523*(1+G_HI))</f>
        <v>1889.5774593769127</v>
      </c>
      <c r="GH524" s="8">
        <f>IF(GB524&lt;RULE_START,GF524,IF(GI524=1,R_NF_2024*(1+G_HI)^(GB524-2024),GH523*(1+GD524)))</f>
        <v>1989.0344273545952</v>
      </c>
      <c r="GI524">
        <f>IF(AND(GB524&gt;=RULE_START,MOD(GB524-RULE_START,REBASE_YEARS)=0),1,0)</f>
        <v>1</v>
      </c>
      <c r="GJ524" s="8">
        <f>GF524*CAP_SHARE</f>
        <v>73.03323731568312</v>
      </c>
      <c r="GK524" s="8">
        <f>GG524*CAP_SHARE</f>
        <v>92.39529057636913</v>
      </c>
      <c r="GL524" s="8">
        <f>GH524*CAP_SHARE</f>
        <v>97.25847065429662</v>
      </c>
      <c r="GM524" s="8">
        <f>GF524-GJ524-GE524</f>
        <v>-445.59110665206754</v>
      </c>
      <c r="GN524" s="8">
        <f>GG524-GK524-GE524</f>
        <v>-68.9795212086533</v>
      </c>
      <c r="GO524" s="8">
        <f>GH524-GL524-GE524</f>
        <v>25.614266691101875</v>
      </c>
      <c r="GP524" s="8">
        <f>R_NF_2024*(1+G_HI)^(GB524-2024)</f>
        <v>1989.0344273545952</v>
      </c>
      <c r="GQ524" s="10">
        <f>1-GF524/GP524</f>
        <v>0.2490809610272572</v>
      </c>
      <c r="GR524" s="10">
        <f>CPI_2023/(IF(GB524-1=2023,CPI_2023,IF(GB524-1=2024,CPI_2024,IF(GB524-1=2025,CPI_2025,CPI_2025*(1+INFL)^(GB524-1-2025)))))</f>
        <v>0.4340537410724354</v>
      </c>
      <c r="GS524" s="8">
        <f>$GB$21*ABS($GB$11)*(GG524-GF524)/GF524</f>
        <v>19951.024358069906</v>
      </c>
      <c r="GT524" s="8">
        <f>$GB$21*ABS($GB$11)*(GH524-GF524)/GF524</f>
        <v>24962.136706852572</v>
      </c>
      <c r="GU524" s="13">
        <f>(GG524-GF524)*MCD_NF_DAYS*GR524-GS524*MCD_SHARE_FREED*R_WAIT_2023</f>
        <v>81482377.71073811</v>
      </c>
      <c r="GV524" s="13">
        <f>(GH524-GF524)*MCD_NF_DAYS*GR524-GT524*MCD_SHARE_FREED*R_WAIT_2023</f>
        <v>101948361.90414092</v>
      </c>
      <c r="GW524" s="10">
        <f>IF(AND(GB524&gt;=RULE_START,GC524=1),1/(1+$GB$12)^(GB524-RULE_START+1),0)</f>
        <v>0</v>
      </c>
      <c r="GX524">
        <f>IF(AND(GB524&gt;=RULE_START,GC524=1,GM524&lt;0),GB524,9999)</f>
        <v>9999</v>
      </c>
      <c r="GY524">
        <f>IF(AND(GB524&gt;=RULE_START,GC524=1,GN524&lt;0),GB524,9999)</f>
        <v>9999</v>
      </c>
      <c r="GZ524">
        <f>IF(AND(GB524&gt;=RULE_START,GC524=1,GO524&lt;0),GB524,9999)</f>
        <v>9999</v>
      </c>
      <c r="HB524" t="n">
        <v>2060</v>
      </c>
      <c r="HC524">
        <f>IF(HB524&lt;=RULE_START+$HB$38-1,1,0)</f>
        <v>0</v>
      </c>
      <c r="HD524" s="15">
        <f>IF(HB524=2024,G_IDX_2024,IF(HB524=2025,G_IDX_2025,IF(HB524=2026,G_IDX_2026,IF(HB524=2027,G_IDX_2027,$HB$13))))</f>
        <v>0.033</v>
      </c>
      <c r="HE524" s="8">
        <f>$HB$20*(1+G_HI)^(HB524-COST_DATE)</f>
        <v>1866.1616900091967</v>
      </c>
      <c r="HF524" s="8">
        <f>HF523*(1+HD524)</f>
        <v>1493.6038206728124</v>
      </c>
      <c r="HG524" s="8">
        <f>IF(HB524&lt;RULE_START,HF524,HG523*(1+G_HI))</f>
        <v>1889.5774593769127</v>
      </c>
      <c r="HH524" s="8">
        <f>IF(HB524&lt;RULE_START,HF524,IF(HI524=1,R_NF_2024*(1+G_HI)^(HB524-2024),HH523*(1+HD524)))</f>
        <v>1989.0344273545952</v>
      </c>
      <c r="HI524">
        <f>IF(AND(HB524&gt;=RULE_START,MOD(HB524-RULE_START,REBASE_YEARS)=0),1,0)</f>
        <v>1</v>
      </c>
      <c r="HJ524" s="8">
        <f>HF524*CAP_SHARE</f>
        <v>73.03323731568312</v>
      </c>
      <c r="HK524" s="8">
        <f>HG524*CAP_SHARE</f>
        <v>92.39529057636913</v>
      </c>
      <c r="HL524" s="8">
        <f>HH524*CAP_SHARE</f>
        <v>97.25847065429662</v>
      </c>
      <c r="HM524" s="8">
        <f>HF524-HJ524-HE524</f>
        <v>-445.59110665206754</v>
      </c>
      <c r="HN524" s="8">
        <f>HG524-HK524-HE524</f>
        <v>-68.9795212086533</v>
      </c>
      <c r="HO524" s="8">
        <f>HH524-HL524-HE524</f>
        <v>25.614266691101875</v>
      </c>
      <c r="HP524" s="8">
        <f>R_NF_2024*(1+G_HI)^(HB524-2024)</f>
        <v>1989.0344273545952</v>
      </c>
      <c r="HQ524" s="10">
        <f>1-HF524/HP524</f>
        <v>0.2490809610272572</v>
      </c>
      <c r="HR524" s="10">
        <f>CPI_2023/(IF(HB524-1=2023,CPI_2023,IF(HB524-1=2024,CPI_2024,IF(HB524-1=2025,CPI_2025,CPI_2025*(1+INFL)^(HB524-1-2025)))))</f>
        <v>0.4340537410724354</v>
      </c>
      <c r="HS524" s="8">
        <f>$HB$21*ABS($HB$11)*(HG524-HF524)/HF524</f>
        <v>26430.44942877667</v>
      </c>
      <c r="HT524" s="8">
        <f>$HB$21*ABS($HB$11)*(HH524-HF524)/HF524</f>
        <v>33069.00337665183</v>
      </c>
      <c r="HU524" s="13">
        <f>(HG524-HF524)*MCD_NF_DAYS*HR524-HS524*MCD_SHARE_FREED*R_WAIT_2023</f>
        <v>78536061.76531066</v>
      </c>
      <c r="HV524" s="13">
        <f>(HH524-HF524)*MCD_NF_DAYS*HR524-HT524*MCD_SHARE_FREED*R_WAIT_2023</f>
        <v>98262017.78008139</v>
      </c>
      <c r="HW524" s="10">
        <f>IF(AND(HB524&gt;=RULE_START,HC524=1),1/(1+$HB$12)^(HB524-RULE_START+1),0)</f>
        <v>0</v>
      </c>
      <c r="HX524">
        <f>IF(AND(HB524&gt;=RULE_START,HC524=1,HM524&lt;0),HB524,9999)</f>
        <v>9999</v>
      </c>
      <c r="HY524">
        <f>IF(AND(HB524&gt;=RULE_START,HC524=1,HN524&lt;0),HB524,9999)</f>
        <v>9999</v>
      </c>
      <c r="HZ524">
        <f>IF(AND(HB524&gt;=RULE_START,HC524=1,HO524&lt;0),HB524,9999)</f>
        <v>9999</v>
      </c>
      <c r="IB524" t="n">
        <v>2060</v>
      </c>
      <c r="IC524">
        <f>IF(IB524&lt;=RULE_START+$IB$38-1,1,0)</f>
        <v>0</v>
      </c>
      <c r="ID524" s="15">
        <f>IF(IB524=2024,G_IDX_2024,IF(IB524=2025,G_IDX_2025,IF(IB524=2026,G_IDX_2026,IF(IB524=2027,G_IDX_2027,$IB$13))))</f>
        <v>0.033</v>
      </c>
      <c r="IE524" s="8">
        <f>$IB$20*(1+G_HI)^(IB524-COST_DATE)</f>
        <v>1866.1616900091967</v>
      </c>
      <c r="IF524" s="8">
        <f>IF523*(1+ID524)</f>
        <v>1493.6038206728124</v>
      </c>
      <c r="IG524" s="8">
        <f>IF(IB524&lt;RULE_START,IF524,IG523*(1+G_HI))</f>
        <v>1889.5774593769127</v>
      </c>
      <c r="IH524" s="8">
        <f>IF(IB524&lt;RULE_START,IF524,IF(II524=1,R_NF_2024*(1+G_HI)^(IB524-2024),IH523*(1+ID524)))</f>
        <v>1989.0344273545952</v>
      </c>
      <c r="II524">
        <f>IF(AND(IB524&gt;=RULE_START,MOD(IB524-RULE_START,REBASE_YEARS)=0),1,0)</f>
        <v>1</v>
      </c>
      <c r="IJ524" s="8">
        <f>IF524*CAP_SHARE</f>
        <v>73.03323731568312</v>
      </c>
      <c r="IK524" s="8">
        <f>IG524*CAP_SHARE</f>
        <v>92.39529057636913</v>
      </c>
      <c r="IL524" s="8">
        <f>IH524*CAP_SHARE</f>
        <v>97.25847065429662</v>
      </c>
      <c r="IM524" s="8">
        <f>IF524-IJ524-IE524</f>
        <v>-445.59110665206754</v>
      </c>
      <c r="IN524" s="8">
        <f>IG524-IK524-IE524</f>
        <v>-68.9795212086533</v>
      </c>
      <c r="IO524" s="8">
        <f>IH524-IL524-IE524</f>
        <v>25.614266691101875</v>
      </c>
      <c r="IP524" s="8">
        <f>R_NF_2024*(1+G_HI)^(IB524-2024)</f>
        <v>1989.0344273545952</v>
      </c>
      <c r="IQ524" s="10">
        <f>1-IF524/IP524</f>
        <v>0.2490809610272572</v>
      </c>
      <c r="IR524" s="10">
        <f>CPI_2023/(IF(IB524-1=2023,CPI_2023,IF(IB524-1=2024,CPI_2024,IF(IB524-1=2025,CPI_2025,CPI_2025*(1+INFL)^(IB524-1-2025)))))</f>
        <v>0.4340537410724354</v>
      </c>
      <c r="IS524" s="8">
        <f>$IB$21*ABS($IB$11)*(IG524-IF524)/IF524</f>
        <v>26430.44942877667</v>
      </c>
      <c r="IT524" s="8">
        <f>$IB$21*ABS($IB$11)*(IH524-IF524)/IF524</f>
        <v>33069.00337665183</v>
      </c>
      <c r="IU524" s="13">
        <f>(IG524-IF524)*MCD_NF_DAYS*IR524-IS524*MCD_SHARE_FREED*R_WAIT_2023</f>
        <v>78536061.76531066</v>
      </c>
      <c r="IV524" s="13">
        <f>(IH524-IF524)*MCD_NF_DAYS*IR524-IT524*MCD_SHARE_FREED*R_WAIT_2023</f>
        <v>98262017.78008139</v>
      </c>
      <c r="IW524" s="10">
        <f>IF(AND(IB524&gt;=RULE_START,IC524=1),1/(1+$IB$12)^(IB524-RULE_START+1),0)</f>
        <v>0</v>
      </c>
      <c r="IX524">
        <f>IF(AND(IB524&gt;=RULE_START,IC524=1,IM524&lt;0),IB524,9999)</f>
        <v>9999</v>
      </c>
      <c r="IY524">
        <f>IF(AND(IB524&gt;=RULE_START,IC524=1,IN524&lt;0),IB524,9999)</f>
        <v>9999</v>
      </c>
      <c r="IZ524">
        <f>IF(AND(IB524&gt;=RULE_START,IC524=1,IO524&lt;0),IB524,9999)</f>
        <v>9999</v>
      </c>
      <c r="JB524" t="n">
        <v>2060</v>
      </c>
      <c r="JC524">
        <f>IF(JB524&lt;=RULE_START+$JB$38-1,1,0)</f>
        <v>0</v>
      </c>
      <c r="JD524" s="15">
        <f>IF(JB524=2024,G_IDX_2024,IF(JB524=2025,G_IDX_2025,IF(JB524=2026,G_IDX_2026,IF(JB524=2027,G_IDX_2027,$JB$13))))</f>
        <v>0.03</v>
      </c>
      <c r="JE524" s="8">
        <f>$JB$20*(1+G_HI)^(JB524-COST_DATE)</f>
        <v>1866.1616900091967</v>
      </c>
      <c r="JF524" s="8">
        <f>JF523*(1+JD524)</f>
        <v>1356.9168046799011</v>
      </c>
      <c r="JG524" s="8">
        <f>IF(JB524&lt;RULE_START,JF524,JG523*(1+G_HI))</f>
        <v>1889.5774593769127</v>
      </c>
      <c r="JH524" s="8">
        <f>IF(JB524&lt;RULE_START,JF524,IF(JI524=1,R_NF_2024*(1+G_HI)^(JB524-2024),JH523*(1+JD524)))</f>
        <v>1989.0344273545952</v>
      </c>
      <c r="JI524">
        <f>IF(AND(JB524&gt;=RULE_START,MOD(JB524-RULE_START,REBASE_YEARS)=0),1,0)</f>
        <v>1</v>
      </c>
      <c r="JJ524" s="8">
        <f>JF524*CAP_SHARE</f>
        <v>66.34960733374719</v>
      </c>
      <c r="JK524" s="8">
        <f>JG524*CAP_SHARE</f>
        <v>92.39529057636913</v>
      </c>
      <c r="JL524" s="8">
        <f>JH524*CAP_SHARE</f>
        <v>97.25847065429662</v>
      </c>
      <c r="JM524" s="8">
        <f>JF524-JJ524-JE524</f>
        <v>-575.5944926630427</v>
      </c>
      <c r="JN524" s="8">
        <f>JG524-JK524-JE524</f>
        <v>-68.9795212086533</v>
      </c>
      <c r="JO524" s="8">
        <f>JH524-JL524-JE524</f>
        <v>25.614266691101875</v>
      </c>
      <c r="JP524" s="8">
        <f>R_NF_2024*(1+G_HI)^(JB524-2024)</f>
        <v>1989.0344273545952</v>
      </c>
      <c r="JQ524" s="10">
        <f>1-JF524/JP524</f>
        <v>0.3178012476714176</v>
      </c>
      <c r="JR524" s="10">
        <f>CPI_2023/(IF(JB524-1=2023,CPI_2023,IF(JB524-1=2024,CPI_2024,IF(JB524-1=2025,CPI_2025,CPI_2025*(1+INFL)^(JB524-1-2025)))))</f>
        <v>0.4340537410724354</v>
      </c>
      <c r="JS524" s="8">
        <f>$JB$21*ABS($JB$11)*(JG524-JF524)/JF524</f>
        <v>39135.51804159914</v>
      </c>
      <c r="JT524" s="8">
        <f>$JB$21*ABS($JB$11)*(JH524-JF524)/JF524</f>
        <v>46442.79694483888</v>
      </c>
      <c r="JU524" s="13">
        <f>(JG524-JF524)*MCD_NF_DAYS*JR524-JS524*MCD_SHARE_FREED*R_WAIT_2023</f>
        <v>104017531.0460128</v>
      </c>
      <c r="JV524" s="13">
        <f>(JH524-JF524)*MCD_NF_DAYS*JR524-JT524*MCD_SHARE_FREED*R_WAIT_2023</f>
        <v>123439405.29772659</v>
      </c>
      <c r="JW524" s="10">
        <f>IF(AND(JB524&gt;=RULE_START,JC524=1),1/(1+$JB$12)^(JB524-RULE_START+1),0)</f>
        <v>0</v>
      </c>
      <c r="JX524">
        <f>IF(AND(JB524&gt;=RULE_START,JC524=1,JM524&lt;0),JB524,9999)</f>
        <v>9999</v>
      </c>
      <c r="JY524">
        <f>IF(AND(JB524&gt;=RULE_START,JC524=1,JN524&lt;0),JB524,9999)</f>
        <v>9999</v>
      </c>
      <c r="JZ524">
        <f>IF(AND(JB524&gt;=RULE_START,JC524=1,JO524&lt;0),JB524,9999)</f>
        <v>9999</v>
      </c>
      <c r="KB524" t="n">
        <v>2060</v>
      </c>
      <c r="KC524">
        <f>IF(KB524&lt;=RULE_START+$KB$38-1,1,0)</f>
        <v>0</v>
      </c>
      <c r="KD524" s="15">
        <f>IF(KB524=2024,G_IDX_2024,IF(KB524=2025,G_IDX_2025,IF(KB524=2026,G_IDX_2026,IF(KB524=2027,G_IDX_2027,$KB$13))))</f>
        <v>0.033</v>
      </c>
      <c r="KE524" s="8">
        <f>$KB$20*(1+G_HI)^(KB524-COST_DATE)</f>
        <v>1866.1616900091967</v>
      </c>
      <c r="KF524" s="8">
        <f>KF523*(1+KD524)</f>
        <v>1493.6038206728124</v>
      </c>
      <c r="KG524" s="8">
        <f>IF(KB524&lt;RULE_START,KF524,KG523*(1+G_HI))</f>
        <v>1889.5774593769127</v>
      </c>
      <c r="KH524" s="8">
        <f>IF(KB524&lt;RULE_START,KF524,IF(KI524=1,R_NF_2024*(1+G_HI)^(KB524-2024),KH523*(1+KD524)))</f>
        <v>1989.0344273545952</v>
      </c>
      <c r="KI524">
        <f>IF(AND(KB524&gt;=RULE_START,MOD(KB524-RULE_START,REBASE_YEARS)=0),1,0)</f>
        <v>1</v>
      </c>
      <c r="KJ524" s="8">
        <f>KF524*CAP_SHARE</f>
        <v>73.03323731568312</v>
      </c>
      <c r="KK524" s="8">
        <f>KG524*CAP_SHARE</f>
        <v>92.39529057636913</v>
      </c>
      <c r="KL524" s="8">
        <f>KH524*CAP_SHARE</f>
        <v>97.25847065429662</v>
      </c>
      <c r="KM524" s="8">
        <f>KF524-KJ524-KE524</f>
        <v>-445.59110665206754</v>
      </c>
      <c r="KN524" s="8">
        <f>KG524-KK524-KE524</f>
        <v>-68.9795212086533</v>
      </c>
      <c r="KO524" s="8">
        <f>KH524-KL524-KE524</f>
        <v>25.614266691101875</v>
      </c>
      <c r="KP524" s="8">
        <f>R_NF_2024*(1+G_HI)^(KB524-2024)</f>
        <v>1989.0344273545952</v>
      </c>
      <c r="KQ524" s="10">
        <f>1-KF524/KP524</f>
        <v>0.2490809610272572</v>
      </c>
      <c r="KR524" s="10">
        <f>CPI_2023/(IF(KB524-1=2023,CPI_2023,IF(KB524-1=2024,CPI_2024,IF(KB524-1=2025,CPI_2025,CPI_2025*(1+INFL)^(KB524-1-2025)))))</f>
        <v>0.4340537410724354</v>
      </c>
      <c r="KS524" s="8">
        <f>$KB$21*ABS($KB$11)*(KG524-KF524)/KF524</f>
        <v>26430.44942877667</v>
      </c>
      <c r="KT524" s="8">
        <f>$KB$21*ABS($KB$11)*(KH524-KF524)/KF524</f>
        <v>33069.00337665183</v>
      </c>
      <c r="KU524" s="13">
        <f>(KG524-KF524)*MCD_NF_DAYS*KR524-KS524*MCD_SHARE_FREED*R_WAIT_2023</f>
        <v>78536061.76531066</v>
      </c>
      <c r="KV524" s="13">
        <f>(KH524-KF524)*MCD_NF_DAYS*KR524-KT524*MCD_SHARE_FREED*R_WAIT_2023</f>
        <v>98262017.78008139</v>
      </c>
      <c r="KW524" s="10">
        <f>IF(AND(KB524&gt;=RULE_START,KC524=1),1/(1+$KB$12)^(KB524-RULE_START+1),0)</f>
        <v>0</v>
      </c>
      <c r="KX524">
        <f>IF(AND(KB524&gt;=RULE_START,KC524=1,KM524&lt;0),KB524,9999)</f>
        <v>9999</v>
      </c>
      <c r="KY524">
        <f>IF(AND(KB524&gt;=RULE_START,KC524=1,KN524&lt;0),KB524,9999)</f>
        <v>9999</v>
      </c>
      <c r="KZ524">
        <f>IF(AND(KB524&gt;=RULE_START,KC524=1,KO524&lt;0),KB524,9999)</f>
        <v>9999</v>
      </c>
      <c r="LB524" t="n">
        <v>2060</v>
      </c>
      <c r="LC524">
        <f>IF(LB524&lt;=RULE_START+$LB$38-1,1,0)</f>
        <v>0</v>
      </c>
      <c r="LD524" s="15">
        <f>IF(LB524=2024,G_IDX_2024,IF(LB524=2025,G_IDX_2025,IF(LB524=2026,G_IDX_2026,IF(LB524=2027,G_IDX_2027,$LB$13))))</f>
        <v>0.033</v>
      </c>
      <c r="LE524" s="8">
        <f>$LB$20*(1+G_HI)^(LB524-COST_DATE)</f>
        <v>1866.1616900091967</v>
      </c>
      <c r="LF524" s="8">
        <f>LF523*(1+LD524)</f>
        <v>1493.6038206728124</v>
      </c>
      <c r="LG524" s="8">
        <f>IF(LB524&lt;RULE_START,LF524,LG523*(1+G_HI))</f>
        <v>1889.5774593769127</v>
      </c>
      <c r="LH524" s="8">
        <f>IF(LB524&lt;RULE_START,LF524,IF(LI524=1,R_NF_2024*(1+G_HI)^(LB524-2024),LH523*(1+LD524)))</f>
        <v>1989.0344273545952</v>
      </c>
      <c r="LI524">
        <f>IF(AND(LB524&gt;=RULE_START,MOD(LB524-RULE_START,REBASE_YEARS)=0),1,0)</f>
        <v>1</v>
      </c>
      <c r="LJ524" s="8">
        <f>LF524*CAP_SHARE</f>
        <v>73.03323731568312</v>
      </c>
      <c r="LK524" s="8">
        <f>LG524*CAP_SHARE</f>
        <v>92.39529057636913</v>
      </c>
      <c r="LL524" s="8">
        <f>LH524*CAP_SHARE</f>
        <v>97.25847065429662</v>
      </c>
      <c r="LM524" s="8">
        <f>LF524-LJ524-LE524</f>
        <v>-445.59110665206754</v>
      </c>
      <c r="LN524" s="8">
        <f>LG524-LK524-LE524</f>
        <v>-68.9795212086533</v>
      </c>
      <c r="LO524" s="8">
        <f>LH524-LL524-LE524</f>
        <v>25.614266691101875</v>
      </c>
      <c r="LP524" s="8">
        <f>R_NF_2024*(1+G_HI)^(LB524-2024)</f>
        <v>1989.0344273545952</v>
      </c>
      <c r="LQ524" s="10">
        <f>1-LF524/LP524</f>
        <v>0.2490809610272572</v>
      </c>
      <c r="LR524" s="10">
        <f>CPI_2023/(IF(LB524-1=2023,CPI_2023,IF(LB524-1=2024,CPI_2024,IF(LB524-1=2025,CPI_2025,CPI_2025*(1+INFL)^(LB524-1-2025)))))</f>
        <v>0.4340537410724354</v>
      </c>
      <c r="LS524" s="8">
        <f>$LB$21*ABS($LB$11)*(LG524-LF524)/LF524</f>
        <v>26430.44942877667</v>
      </c>
      <c r="LT524" s="8">
        <f>$LB$21*ABS($LB$11)*(LH524-LF524)/LF524</f>
        <v>33069.00337665183</v>
      </c>
      <c r="LU524" s="13">
        <f>(LG524-LF524)*MCD_NF_DAYS*LR524-LS524*MCD_SHARE_FREED*R_WAIT_2023</f>
        <v>78536061.76531066</v>
      </c>
      <c r="LV524" s="13">
        <f>(LH524-LF524)*MCD_NF_DAYS*LR524-LT524*MCD_SHARE_FREED*R_WAIT_2023</f>
        <v>98262017.78008139</v>
      </c>
      <c r="LW524" s="10">
        <f>IF(AND(LB524&gt;=RULE_START,LC524=1),1/(1+$LB$12)^(LB524-RULE_START+1),0)</f>
        <v>0</v>
      </c>
      <c r="LX524">
        <f>IF(AND(LB524&gt;=RULE_START,LC524=1,LM524&lt;0),LB524,9999)</f>
        <v>9999</v>
      </c>
      <c r="LY524">
        <f>IF(AND(LB524&gt;=RULE_START,LC524=1,LN524&lt;0),LB524,9999)</f>
        <v>9999</v>
      </c>
      <c r="LZ524">
        <f>IF(AND(LB524&gt;=RULE_START,LC524=1,LO524&lt;0),LB524,9999)</f>
        <v>9999</v>
      </c>
      <c r="MB524" t="n">
        <v>2060</v>
      </c>
      <c r="MC524">
        <f>IF(MB524&lt;=RULE_START+$MB$38-1,1,0)</f>
        <v>0</v>
      </c>
      <c r="MD524" s="15">
        <f>IF(MB524=2024,G_IDX_2024,IF(MB524=2025,G_IDX_2025,IF(MB524=2026,G_IDX_2026,IF(MB524=2027,G_IDX_2027,$MB$13))))</f>
        <v>0.033</v>
      </c>
      <c r="ME524" s="8">
        <f>$MB$20*(1+G_HI)^(MB524-COST_DATE)</f>
        <v>1866.1616900091967</v>
      </c>
      <c r="MF524" s="8">
        <f>MF523*(1+MD524)</f>
        <v>1493.6038206728124</v>
      </c>
      <c r="MG524" s="8">
        <f>IF(MB524&lt;RULE_START,MF524,MG523*(1+G_HI))</f>
        <v>1889.5774593769127</v>
      </c>
      <c r="MH524" s="8">
        <f>IF(MB524&lt;RULE_START,MF524,IF(MI524=1,R_NF_2024*(1+G_HI)^(MB524-2024),MH523*(1+MD524)))</f>
        <v>1989.0344273545952</v>
      </c>
      <c r="MI524">
        <f>IF(AND(MB524&gt;=RULE_START,MOD(MB524-RULE_START,REBASE_YEARS)=0),1,0)</f>
        <v>1</v>
      </c>
      <c r="MJ524" s="8">
        <f>MF524*CAP_SHARE</f>
        <v>73.03323731568312</v>
      </c>
      <c r="MK524" s="8">
        <f>MG524*CAP_SHARE</f>
        <v>92.39529057636913</v>
      </c>
      <c r="ML524" s="8">
        <f>MH524*CAP_SHARE</f>
        <v>97.25847065429662</v>
      </c>
      <c r="MM524" s="8">
        <f>MF524-MJ524-ME524</f>
        <v>-445.59110665206754</v>
      </c>
      <c r="MN524" s="8">
        <f>MG524-MK524-ME524</f>
        <v>-68.9795212086533</v>
      </c>
      <c r="MO524" s="8">
        <f>MH524-ML524-ME524</f>
        <v>25.614266691101875</v>
      </c>
      <c r="MP524" s="8">
        <f>R_NF_2024*(1+G_HI)^(MB524-2024)</f>
        <v>1989.0344273545952</v>
      </c>
      <c r="MQ524" s="10">
        <f>1-MF524/MP524</f>
        <v>0.2490809610272572</v>
      </c>
      <c r="MR524" s="10">
        <f>CPI_2023/(IF(MB524-1=2023,CPI_2023,IF(MB524-1=2024,CPI_2024,IF(MB524-1=2025,CPI_2025,CPI_2025*(1+INFL)^(MB524-1-2025)))))</f>
        <v>0.4340537410724354</v>
      </c>
      <c r="MS524" s="8">
        <f>$MB$21*ABS($MB$11)*(MG524-MF524)/MF524</f>
        <v>19362.673013781587</v>
      </c>
      <c r="MT524" s="8">
        <f>$MB$21*ABS($MB$11)*(MH524-MF524)/MF524</f>
        <v>24226.008755515326</v>
      </c>
      <c r="MU524" s="13">
        <f>(MG524-MF524)*MCD_NF_DAYS*MR524-MS524*MCD_SHARE_FREED*R_WAIT_2023</f>
        <v>81749912.08736472</v>
      </c>
      <c r="MV524" s="13">
        <f>(MH524-MF524)*MCD_NF_DAYS*MR524-MT524*MCD_SHARE_FREED*R_WAIT_2023</f>
        <v>102283093.07198869</v>
      </c>
      <c r="MW524" s="10">
        <f>IF(AND(MB524&gt;=RULE_START,MC524=1),1/(1+$MB$12)^(MB524-RULE_START+1),0)</f>
        <v>0</v>
      </c>
      <c r="MX524">
        <f>IF(AND(MB524&gt;=RULE_START,MC524=1,MM524&lt;0),MB524,9999)</f>
        <v>9999</v>
      </c>
      <c r="MY524">
        <f>IF(AND(MB524&gt;=RULE_START,MC524=1,MN524&lt;0),MB524,9999)</f>
        <v>9999</v>
      </c>
      <c r="MZ524">
        <f>IF(AND(MB524&gt;=RULE_START,MC524=1,MO524&lt;0),MB524,9999)</f>
        <v>9999</v>
      </c>
      <c r="NB524" t="n">
        <v>2060</v>
      </c>
      <c r="NC524">
        <f>IF(NB524&lt;=RULE_START+$NB$38-1,1,0)</f>
        <v>0</v>
      </c>
      <c r="ND524" s="15">
        <f>IF(NB524=2024,G_IDX_2024,IF(NB524=2025,G_IDX_2025,IF(NB524=2026,G_IDX_2026,IF(NB524=2027,G_IDX_2027,$NB$13))))</f>
        <v>0.033</v>
      </c>
      <c r="NE524" s="8">
        <f>$NB$20*(1+G_HI)^(NB524-COST_DATE)</f>
        <v>1866.1616900091967</v>
      </c>
      <c r="NF524" s="8">
        <f>NF523*(1+ND524)</f>
        <v>1493.6038206728124</v>
      </c>
      <c r="NG524" s="8">
        <f>IF(NB524&lt;RULE_START,NF524,NG523*(1+G_HI))</f>
        <v>1889.5774593769127</v>
      </c>
      <c r="NH524" s="8">
        <f>IF(NB524&lt;RULE_START,NF524,IF(NI524=1,R_NF_2024*(1+G_HI)^(NB524-2024),NH523*(1+ND524)))</f>
        <v>1989.0344273545952</v>
      </c>
      <c r="NI524">
        <f>IF(AND(NB524&gt;=RULE_START,MOD(NB524-RULE_START,REBASE_YEARS)=0),1,0)</f>
        <v>1</v>
      </c>
      <c r="NJ524" s="8">
        <f>NF524*CAP_SHARE</f>
        <v>73.03323731568312</v>
      </c>
      <c r="NK524" s="8">
        <f>NG524*CAP_SHARE</f>
        <v>92.39529057636913</v>
      </c>
      <c r="NL524" s="8">
        <f>NH524*CAP_SHARE</f>
        <v>97.25847065429662</v>
      </c>
      <c r="NM524" s="8">
        <f>NF524-NJ524-NE524</f>
        <v>-445.59110665206754</v>
      </c>
      <c r="NN524" s="8">
        <f>NG524-NK524-NE524</f>
        <v>-68.9795212086533</v>
      </c>
      <c r="NO524" s="8">
        <f>NH524-NL524-NE524</f>
        <v>25.614266691101875</v>
      </c>
      <c r="NP524" s="8">
        <f>R_NF_2024*(1+G_HI)^(NB524-2024)</f>
        <v>1989.0344273545952</v>
      </c>
      <c r="NQ524" s="10">
        <f>1-NF524/NP524</f>
        <v>0.2490809610272572</v>
      </c>
      <c r="NR524" s="10">
        <f>CPI_2023/(IF(NB524-1=2023,CPI_2023,IF(NB524-1=2024,CPI_2024,IF(NB524-1=2025,CPI_2025,CPI_2025*(1+INFL)^(NB524-1-2025)))))</f>
        <v>0.4340537410724354</v>
      </c>
      <c r="NS524" s="8">
        <f>$NB$21*ABS($NB$11)*(NG524-NF524)/NF524</f>
        <v>26430.44942877667</v>
      </c>
      <c r="NT524" s="8">
        <f>$NB$21*ABS($NB$11)*(NH524-NF524)/NF524</f>
        <v>33069.00337665183</v>
      </c>
      <c r="NU524" s="13">
        <f>(NG524-NF524)*MCD_NF_DAYS*NR524-NS524*MCD_SHARE_FREED*R_WAIT_2023</f>
        <v>78536061.76531066</v>
      </c>
      <c r="NV524" s="13">
        <f>(NH524-NF524)*MCD_NF_DAYS*NR524-NT524*MCD_SHARE_FREED*R_WAIT_2023</f>
        <v>98262017.78008139</v>
      </c>
      <c r="NW524" s="10">
        <f>IF(AND(NB524&gt;=RULE_START,NC524=1),1/(1+$NB$12)^(NB524-RULE_START+1),0)</f>
        <v>0</v>
      </c>
      <c r="NX524">
        <f>IF(AND(NB524&gt;=RULE_START,NC524=1,NM524&lt;0),NB524,9999)</f>
        <v>9999</v>
      </c>
      <c r="NY524">
        <f>IF(AND(NB524&gt;=RULE_START,NC524=1,NN524&lt;0),NB524,9999)</f>
        <v>9999</v>
      </c>
      <c r="NZ524">
        <f>IF(AND(NB524&gt;=RULE_START,NC524=1,NO524&lt;0),NB524,9999)</f>
        <v>9999</v>
      </c>
      <c r="OB524" t="n">
        <v>2060</v>
      </c>
      <c r="OC524">
        <f>IF(OB524&lt;=RULE_START+$OB$38-1,1,0)</f>
        <v>0</v>
      </c>
      <c r="OD524" s="15">
        <f>IF(OB524=2024,G_IDX_2024,IF(OB524=2025,G_IDX_2025,IF(OB524=2026,G_IDX_2026,IF(OB524=2027,G_IDX_2027,$OB$13))))</f>
        <v>0.033</v>
      </c>
      <c r="OE524" s="8">
        <f>$OB$20*(1+G_HI)^(OB524-COST_DATE)</f>
        <v>1866.1616900091967</v>
      </c>
      <c r="OF524" s="8">
        <f>OF523*(1+OD524)</f>
        <v>1493.6038206728124</v>
      </c>
      <c r="OG524" s="8">
        <f>IF(OB524&lt;RULE_START,OF524,OG523*(1+G_HI))</f>
        <v>1889.5774593769127</v>
      </c>
      <c r="OH524" s="8">
        <f>IF(OB524&lt;RULE_START,OF524,IF(OI524=1,R_NF_2024*(1+G_HI)^(OB524-2024),OH523*(1+OD524)))</f>
        <v>1989.0344273545952</v>
      </c>
      <c r="OI524">
        <f>IF(AND(OB524&gt;=RULE_START,MOD(OB524-RULE_START,REBASE_YEARS)=0),1,0)</f>
        <v>1</v>
      </c>
      <c r="OJ524" s="8">
        <f>OF524*CAP_SHARE</f>
        <v>73.03323731568312</v>
      </c>
      <c r="OK524" s="8">
        <f>OG524*CAP_SHARE</f>
        <v>92.39529057636913</v>
      </c>
      <c r="OL524" s="8">
        <f>OH524*CAP_SHARE</f>
        <v>97.25847065429662</v>
      </c>
      <c r="OM524" s="8">
        <f>OF524-OJ524-OE524</f>
        <v>-445.59110665206754</v>
      </c>
      <c r="ON524" s="8">
        <f>OG524-OK524-OE524</f>
        <v>-68.9795212086533</v>
      </c>
      <c r="OO524" s="8">
        <f>OH524-OL524-OE524</f>
        <v>25.614266691101875</v>
      </c>
      <c r="OP524" s="8">
        <f>R_NF_2024*(1+G_HI)^(OB524-2024)</f>
        <v>1989.0344273545952</v>
      </c>
      <c r="OQ524" s="10">
        <f>1-OF524/OP524</f>
        <v>0.2490809610272572</v>
      </c>
      <c r="OR524" s="10">
        <f>CPI_2023/(IF(OB524-1=2023,CPI_2023,IF(OB524-1=2024,CPI_2024,IF(OB524-1=2025,CPI_2025,CPI_2025*(1+INFL)^(OB524-1-2025)))))</f>
        <v>0.4340537410724354</v>
      </c>
      <c r="OS524" s="8">
        <f>$OB$21*ABS($OB$11)*(OG524-OF524)/OF524</f>
        <v>26430.44942877667</v>
      </c>
      <c r="OT524" s="8">
        <f>$OB$21*ABS($OB$11)*(OH524-OF524)/OF524</f>
        <v>33069.00337665183</v>
      </c>
      <c r="OU524" s="13">
        <f>(OG524-OF524)*MCD_NF_DAYS*OR524-OS524*MCD_SHARE_FREED*R_WAIT_2023</f>
        <v>78536061.76531066</v>
      </c>
      <c r="OV524" s="13">
        <f>(OH524-OF524)*MCD_NF_DAYS*OR524-OT524*MCD_SHARE_FREED*R_WAIT_2023</f>
        <v>98262017.78008139</v>
      </c>
      <c r="OW524" s="10">
        <f>IF(AND(OB524&gt;=RULE_START,OC524=1),1/(1+$OB$12)^(OB524-RULE_START+1),0)</f>
        <v>0</v>
      </c>
      <c r="OX524">
        <f>IF(AND(OB524&gt;=RULE_START,OC524=1,OM524&lt;0),OB524,9999)</f>
        <v>9999</v>
      </c>
      <c r="OY524">
        <f>IF(AND(OB524&gt;=RULE_START,OC524=1,ON524&lt;0),OB524,9999)</f>
        <v>9999</v>
      </c>
      <c r="OZ524">
        <f>IF(AND(OB524&gt;=RULE_START,OC524=1,OO524&lt;0),OB524,9999)</f>
        <v>9999</v>
      </c>
    </row>
    <row r="525">
      <c r="B525" t="n">
        <v>2061</v>
      </c>
      <c r="C525">
        <f>IF(B525&lt;=RULE_START+$B$38-1,1,0)</f>
        <v>0</v>
      </c>
      <c r="D525" s="15">
        <f>IF(B525=2024,G_IDX_2024,IF(B525=2025,G_IDX_2025,IF(B525=2026,G_IDX_2026,IF(B525=2027,G_IDX_2027,$B$13))))</f>
        <v>0.033</v>
      </c>
      <c r="E525" s="8">
        <f>$B$20*(1+G_HI)^(B525-COST_DATE)</f>
        <v>1941.1245113617606</v>
      </c>
      <c r="F525" s="8">
        <f>F524*(1+D525)</f>
        <v>1542.892746755015</v>
      </c>
      <c r="G525" s="8">
        <f>IF(B525&lt;RULE_START,F525,G524*(1+G_HI))</f>
        <v>1965.4808809707856</v>
      </c>
      <c r="H525" s="8">
        <f>IF(B525&lt;RULE_START,F525,IF(I525=1,R_NF_2024*(1+G_HI)^(B525-2024),H524*(1+D525)))</f>
        <v>2054.6725634572967</v>
      </c>
      <c r="I525">
        <f>IF(AND(B525&gt;=RULE_START,MOD(B525-RULE_START,REBASE_YEARS)=0),1,0)</f>
        <v>0</v>
      </c>
      <c r="J525" s="8">
        <f>F525*CAP_SHARE</f>
        <v>75.44333414710066</v>
      </c>
      <c r="K525" s="8">
        <f>G525*CAP_SHARE</f>
        <v>96.1067651492184</v>
      </c>
      <c r="L525" s="8">
        <f>H525*CAP_SHARE</f>
        <v>100.4680001858884</v>
      </c>
      <c r="M525" s="8">
        <f>F525-J525-E525</f>
        <v>-473.6750987538462</v>
      </c>
      <c r="N525" s="8">
        <f>G525-K525-E525</f>
        <v>-71.7503955401935</v>
      </c>
      <c r="O525" s="8">
        <f>H525-L525-E525</f>
        <v>13.080051909647864</v>
      </c>
      <c r="P525" s="8">
        <f>R_NF_2024*(1+G_HI)^(B525-2024)</f>
        <v>2068.9329877205764</v>
      </c>
      <c r="Q525" s="10">
        <f>1-F525/P525</f>
        <v>0.25425678071145275</v>
      </c>
      <c r="R525" s="10">
        <f>CPI_2023/(IF(B525-1=2023,CPI_2023,IF(B525-1=2024,CPI_2024,IF(B525-1=2025,CPI_2025,CPI_2025*(1+INFL)^(B525-1-2025)))))</f>
        <v>0.424377924396202</v>
      </c>
      <c r="S525" s="8">
        <f>$B$21*ABS($B$11)*(G525-F525)/F525</f>
        <v>27305.8217249778</v>
      </c>
      <c r="T525" s="8">
        <f>$B$21*ABS($B$11)*(H525-F525)/F525</f>
        <v>33069.003376651846</v>
      </c>
      <c r="U525" s="13">
        <f>(G525-F525)*MCD_NF_DAYS*R525-S525*MCD_SHARE_FREED*R_WAIT_2023</f>
        <v>82070138.89847243</v>
      </c>
      <c r="V525" s="13">
        <f>(H525-F525)*MCD_NF_DAYS*R525-T525*MCD_SHARE_FREED*R_WAIT_2023</f>
        <v>99391907.25299722</v>
      </c>
      <c r="W525" s="10">
        <f>IF(AND(B525&gt;=RULE_START,C525=1),1/(1+$B$12)^(B525-RULE_START+1),0)</f>
        <v>0</v>
      </c>
      <c r="X525">
        <f>IF(AND(B525&gt;=RULE_START,C525=1,M525&lt;0),B525,9999)</f>
        <v>9999</v>
      </c>
      <c r="Y525">
        <f>IF(AND(B525&gt;=RULE_START,C525=1,N525&lt;0),B525,9999)</f>
        <v>9999</v>
      </c>
      <c r="Z525">
        <f>IF(AND(B525&gt;=RULE_START,C525=1,O525&lt;0),B525,9999)</f>
        <v>9999</v>
      </c>
      <c r="AB525" t="n">
        <v>2061</v>
      </c>
      <c r="AC525">
        <f>IF(AB525&lt;=RULE_START+$AB$38-1,1,0)</f>
        <v>0</v>
      </c>
      <c r="AD525" s="15">
        <f>IF(AB525=2024,G_IDX_2024,IF(AB525=2025,G_IDX_2025,IF(AB525=2026,G_IDX_2026,IF(AB525=2027,G_IDX_2027,$AB$13))))</f>
        <v>0.033</v>
      </c>
      <c r="AE525" s="8">
        <f>$AB$20*(1+G_HI)^(AB525-COST_DATE)</f>
        <v>1941.1245113617606</v>
      </c>
      <c r="AF525" s="8">
        <f>AF524*(1+AD525)</f>
        <v>1542.892746755015</v>
      </c>
      <c r="AG525" s="8">
        <f>IF(AB525&lt;RULE_START,AF525,AG524*(1+G_HI))</f>
        <v>1965.4808809707856</v>
      </c>
      <c r="AH525" s="8">
        <f>IF(AB525&lt;RULE_START,AF525,IF(AI525=1,R_NF_2024*(1+G_HI)^(AB525-2024),AH524*(1+AD525)))</f>
        <v>2054.6725634572967</v>
      </c>
      <c r="AI525">
        <f>IF(AND(AB525&gt;=RULE_START,MOD(AB525-RULE_START,REBASE_YEARS)=0),1,0)</f>
        <v>0</v>
      </c>
      <c r="AJ525" s="8">
        <f>AF525*CAP_SHARE</f>
        <v>75.44333414710066</v>
      </c>
      <c r="AK525" s="8">
        <f>AG525*CAP_SHARE</f>
        <v>96.1067651492184</v>
      </c>
      <c r="AL525" s="8">
        <f>AH525*CAP_SHARE</f>
        <v>100.4680001858884</v>
      </c>
      <c r="AM525" s="8">
        <f>AF525-AJ525-AE525</f>
        <v>-473.6750987538462</v>
      </c>
      <c r="AN525" s="8">
        <f>AG525-AK525-AE525</f>
        <v>-71.7503955401935</v>
      </c>
      <c r="AO525" s="8">
        <f>AH525-AL525-AE525</f>
        <v>13.080051909647864</v>
      </c>
      <c r="AP525" s="8">
        <f>R_NF_2024*(1+G_HI)^(AB525-2024)</f>
        <v>2068.9329877205764</v>
      </c>
      <c r="AQ525" s="10">
        <f>1-AF525/AP525</f>
        <v>0.25425678071145275</v>
      </c>
      <c r="AR525" s="10">
        <f>CPI_2023/(IF(AB525-1=2023,CPI_2023,IF(AB525-1=2024,CPI_2024,IF(AB525-1=2025,CPI_2025,CPI_2025*(1+INFL)^(AB525-1-2025)))))</f>
        <v>0.424377924396202</v>
      </c>
      <c r="AS525" s="8">
        <f>$AB$21*ABS($AB$11)*(AG525-AF525)/AF525</f>
        <v>27305.8217249778</v>
      </c>
      <c r="AT525" s="8">
        <f>$AB$21*ABS($AB$11)*(AH525-AF525)/AF525</f>
        <v>33069.003376651846</v>
      </c>
      <c r="AU525" s="13">
        <f>(AG525-AF525)*MCD_NF_DAYS*AR525-AS525*MCD_SHARE_FREED*R_WAIT_2023</f>
        <v>82070138.89847243</v>
      </c>
      <c r="AV525" s="13">
        <f>(AH525-AF525)*MCD_NF_DAYS*AR525-AT525*MCD_SHARE_FREED*R_WAIT_2023</f>
        <v>99391907.25299722</v>
      </c>
      <c r="AW525" s="10">
        <f>IF(AND(AB525&gt;=RULE_START,AC525=1),1/(1+$AB$12)^(AB525-RULE_START+1),0)</f>
        <v>0</v>
      </c>
      <c r="AX525">
        <f>IF(AND(AB525&gt;=RULE_START,AC525=1,AM525&lt;0),AB525,9999)</f>
        <v>9999</v>
      </c>
      <c r="AY525">
        <f>IF(AND(AB525&gt;=RULE_START,AC525=1,AN525&lt;0),AB525,9999)</f>
        <v>9999</v>
      </c>
      <c r="AZ525">
        <f>IF(AND(AB525&gt;=RULE_START,AC525=1,AO525&lt;0),AB525,9999)</f>
        <v>9999</v>
      </c>
      <c r="BB525" t="n">
        <v>2061</v>
      </c>
      <c r="BC525">
        <f>IF(BB525&lt;=RULE_START+$BB$38-1,1,0)</f>
        <v>0</v>
      </c>
      <c r="BD525" s="15">
        <f>IF(BB525=2024,G_IDX_2024,IF(BB525=2025,G_IDX_2025,IF(BB525=2026,G_IDX_2026,IF(BB525=2027,G_IDX_2027,$BB$13))))</f>
        <v>0.033</v>
      </c>
      <c r="BE525" s="8">
        <f>$BB$20*(1+G_HI)^(BB525-COST_DATE)</f>
        <v>1941.1245113617606</v>
      </c>
      <c r="BF525" s="8">
        <f>BF524*(1+BD525)</f>
        <v>1542.892746755015</v>
      </c>
      <c r="BG525" s="8">
        <f>IF(BB525&lt;RULE_START,BF525,BG524*(1+G_HI))</f>
        <v>1965.4808809707856</v>
      </c>
      <c r="BH525" s="8">
        <f>IF(BB525&lt;RULE_START,BF525,IF(BI525=1,R_NF_2024*(1+G_HI)^(BB525-2024),BH524*(1+BD525)))</f>
        <v>2054.6725634572967</v>
      </c>
      <c r="BI525">
        <f>IF(AND(BB525&gt;=RULE_START,MOD(BB525-RULE_START,REBASE_YEARS)=0),1,0)</f>
        <v>0</v>
      </c>
      <c r="BJ525" s="8">
        <f>BF525*CAP_SHARE</f>
        <v>75.44333414710066</v>
      </c>
      <c r="BK525" s="8">
        <f>BG525*CAP_SHARE</f>
        <v>96.1067651492184</v>
      </c>
      <c r="BL525" s="8">
        <f>BH525*CAP_SHARE</f>
        <v>100.4680001858884</v>
      </c>
      <c r="BM525" s="8">
        <f>BF525-BJ525-BE525</f>
        <v>-473.6750987538462</v>
      </c>
      <c r="BN525" s="8">
        <f>BG525-BK525-BE525</f>
        <v>-71.7503955401935</v>
      </c>
      <c r="BO525" s="8">
        <f>BH525-BL525-BE525</f>
        <v>13.080051909647864</v>
      </c>
      <c r="BP525" s="8">
        <f>R_NF_2024*(1+G_HI)^(BB525-2024)</f>
        <v>2068.9329877205764</v>
      </c>
      <c r="BQ525" s="10">
        <f>1-BF525/BP525</f>
        <v>0.25425678071145275</v>
      </c>
      <c r="BR525" s="10">
        <f>CPI_2023/(IF(BB525-1=2023,CPI_2023,IF(BB525-1=2024,CPI_2024,IF(BB525-1=2025,CPI_2025,CPI_2025*(1+INFL)^(BB525-1-2025)))))</f>
        <v>0.424377924396202</v>
      </c>
      <c r="BS525" s="8">
        <f>$BB$21*ABS($BB$11)*(BG525-BF525)/BF525</f>
        <v>27305.8217249778</v>
      </c>
      <c r="BT525" s="8">
        <f>$BB$21*ABS($BB$11)*(BH525-BF525)/BF525</f>
        <v>33069.003376651846</v>
      </c>
      <c r="BU525" s="13">
        <f>(BG525-BF525)*MCD_NF_DAYS*BR525-BS525*MCD_SHARE_FREED*R_WAIT_2023</f>
        <v>82070138.89847243</v>
      </c>
      <c r="BV525" s="13">
        <f>(BH525-BF525)*MCD_NF_DAYS*BR525-BT525*MCD_SHARE_FREED*R_WAIT_2023</f>
        <v>99391907.25299722</v>
      </c>
      <c r="BW525" s="10">
        <f>IF(AND(BB525&gt;=RULE_START,BC525=1),1/(1+$BB$12)^(BB525-RULE_START+1),0)</f>
        <v>0</v>
      </c>
      <c r="BX525">
        <f>IF(AND(BB525&gt;=RULE_START,BC525=1,BM525&lt;0),BB525,9999)</f>
        <v>9999</v>
      </c>
      <c r="BY525">
        <f>IF(AND(BB525&gt;=RULE_START,BC525=1,BN525&lt;0),BB525,9999)</f>
        <v>9999</v>
      </c>
      <c r="BZ525">
        <f>IF(AND(BB525&gt;=RULE_START,BC525=1,BO525&lt;0),BB525,9999)</f>
        <v>9999</v>
      </c>
      <c r="CB525" t="n">
        <v>2061</v>
      </c>
      <c r="CC525">
        <f>IF(CB525&lt;=RULE_START+$CB$38-1,1,0)</f>
        <v>1</v>
      </c>
      <c r="CD525" s="15">
        <f>IF(CB525=2024,G_IDX_2024,IF(CB525=2025,G_IDX_2025,IF(CB525=2026,G_IDX_2026,IF(CB525=2027,G_IDX_2027,$CB$13))))</f>
        <v>0.033</v>
      </c>
      <c r="CE525" s="8">
        <f>$CB$20*(1+G_HI)^(CB525-COST_DATE)</f>
        <v>1941.1245113617606</v>
      </c>
      <c r="CF525" s="8">
        <f>CF524*(1+CD525)</f>
        <v>1542.892746755015</v>
      </c>
      <c r="CG525" s="8">
        <f>IF(CB525&lt;RULE_START,CF525,CG524*(1+G_HI))</f>
        <v>1965.4808809707856</v>
      </c>
      <c r="CH525" s="8">
        <f>IF(CB525&lt;RULE_START,CF525,IF(CI525=1,R_NF_2024*(1+G_HI)^(CB525-2024),CH524*(1+CD525)))</f>
        <v>2054.6725634572967</v>
      </c>
      <c r="CI525">
        <f>IF(AND(CB525&gt;=RULE_START,MOD(CB525-RULE_START,REBASE_YEARS)=0),1,0)</f>
        <v>0</v>
      </c>
      <c r="CJ525" s="8">
        <f>CF525*CAP_SHARE</f>
        <v>75.44333414710066</v>
      </c>
      <c r="CK525" s="8">
        <f>CG525*CAP_SHARE</f>
        <v>96.1067651492184</v>
      </c>
      <c r="CL525" s="8">
        <f>CH525*CAP_SHARE</f>
        <v>100.4680001858884</v>
      </c>
      <c r="CM525" s="8">
        <f>CF525-CJ525-CE525</f>
        <v>-473.6750987538462</v>
      </c>
      <c r="CN525" s="8">
        <f>CG525-CK525-CE525</f>
        <v>-71.7503955401935</v>
      </c>
      <c r="CO525" s="8">
        <f>CH525-CL525-CE525</f>
        <v>13.080051909647864</v>
      </c>
      <c r="CP525" s="8">
        <f>R_NF_2024*(1+G_HI)^(CB525-2024)</f>
        <v>2068.9329877205764</v>
      </c>
      <c r="CQ525" s="10">
        <f>1-CF525/CP525</f>
        <v>0.25425678071145275</v>
      </c>
      <c r="CR525" s="10">
        <f>CPI_2023/(IF(CB525-1=2023,CPI_2023,IF(CB525-1=2024,CPI_2024,IF(CB525-1=2025,CPI_2025,CPI_2025*(1+INFL)^(CB525-1-2025)))))</f>
        <v>0.424377924396202</v>
      </c>
      <c r="CS525" s="8">
        <f>$CB$21*ABS($CB$11)*(CG525-CF525)/CF525</f>
        <v>27305.8217249778</v>
      </c>
      <c r="CT525" s="8">
        <f>$CB$21*ABS($CB$11)*(CH525-CF525)/CF525</f>
        <v>33069.003376651846</v>
      </c>
      <c r="CU525" s="13">
        <f>(CG525-CF525)*MCD_NF_DAYS*CR525-CS525*MCD_SHARE_FREED*R_WAIT_2023</f>
        <v>82070138.89847243</v>
      </c>
      <c r="CV525" s="13">
        <f>(CH525-CF525)*MCD_NF_DAYS*CR525-CT525*MCD_SHARE_FREED*R_WAIT_2023</f>
        <v>99391907.25299722</v>
      </c>
      <c r="CW525" s="10">
        <f>IF(AND(CB525&gt;=RULE_START,CC525=1),1/(1+$CB$12)^(CB525-RULE_START+1),0)</f>
        <v>0.5000276133592969</v>
      </c>
      <c r="CX525">
        <f>IF(AND(CB525&gt;=RULE_START,CC525=1,CM525&lt;0),CB525,9999)</f>
        <v>2061</v>
      </c>
      <c r="CY525">
        <f>IF(AND(CB525&gt;=RULE_START,CC525=1,CN525&lt;0),CB525,9999)</f>
        <v>2061</v>
      </c>
      <c r="CZ525">
        <f>IF(AND(CB525&gt;=RULE_START,CC525=1,CO525&lt;0),CB525,9999)</f>
        <v>9999</v>
      </c>
      <c r="DB525" t="n">
        <v>2061</v>
      </c>
      <c r="DC525">
        <f>IF(DB525&lt;=RULE_START+$DB$38-1,1,0)</f>
        <v>0</v>
      </c>
      <c r="DD525" s="15">
        <f>IF(DB525=2024,G_IDX_2024,IF(DB525=2025,G_IDX_2025,IF(DB525=2026,G_IDX_2026,IF(DB525=2027,G_IDX_2027,$DB$13))))</f>
        <v>0.033</v>
      </c>
      <c r="DE525" s="8">
        <f>$DB$20*(1+G_HI)^(DB525-COST_DATE)</f>
        <v>1941.1245113617606</v>
      </c>
      <c r="DF525" s="8">
        <f>DF524*(1+DD525)</f>
        <v>1542.892746755015</v>
      </c>
      <c r="DG525" s="8">
        <f>IF(DB525&lt;RULE_START,DF525,DG524*(1+G_HI))</f>
        <v>1965.4808809707856</v>
      </c>
      <c r="DH525" s="8">
        <f>IF(DB525&lt;RULE_START,DF525,IF(DI525=1,R_NF_2024*(1+G_HI)^(DB525-2024),DH524*(1+DD525)))</f>
        <v>2054.6725634572967</v>
      </c>
      <c r="DI525">
        <f>IF(AND(DB525&gt;=RULE_START,MOD(DB525-RULE_START,REBASE_YEARS)=0),1,0)</f>
        <v>0</v>
      </c>
      <c r="DJ525" s="8">
        <f>DF525*CAP_SHARE</f>
        <v>75.44333414710066</v>
      </c>
      <c r="DK525" s="8">
        <f>DG525*CAP_SHARE</f>
        <v>96.1067651492184</v>
      </c>
      <c r="DL525" s="8">
        <f>DH525*CAP_SHARE</f>
        <v>100.4680001858884</v>
      </c>
      <c r="DM525" s="8">
        <f>DF525-DJ525-DE525</f>
        <v>-473.6750987538462</v>
      </c>
      <c r="DN525" s="8">
        <f>DG525-DK525-DE525</f>
        <v>-71.7503955401935</v>
      </c>
      <c r="DO525" s="8">
        <f>DH525-DL525-DE525</f>
        <v>13.080051909647864</v>
      </c>
      <c r="DP525" s="8">
        <f>R_NF_2024*(1+G_HI)^(DB525-2024)</f>
        <v>2068.9329877205764</v>
      </c>
      <c r="DQ525" s="10">
        <f>1-DF525/DP525</f>
        <v>0.25425678071145275</v>
      </c>
      <c r="DR525" s="10">
        <f>CPI_2023/(IF(DB525-1=2023,CPI_2023,IF(DB525-1=2024,CPI_2024,IF(DB525-1=2025,CPI_2025,CPI_2025*(1+INFL)^(DB525-1-2025)))))</f>
        <v>0.424377924396202</v>
      </c>
      <c r="DS525" s="8">
        <f>$DB$21*ABS($DB$11)*(DG525-DF525)/DF525</f>
        <v>27305.8217249778</v>
      </c>
      <c r="DT525" s="8">
        <f>$DB$21*ABS($DB$11)*(DH525-DF525)/DF525</f>
        <v>33069.003376651846</v>
      </c>
      <c r="DU525" s="13">
        <f>(DG525-DF525)*MCD_NF_DAYS*DR525-DS525*MCD_SHARE_FREED*R_WAIT_2023</f>
        <v>82070138.89847243</v>
      </c>
      <c r="DV525" s="13">
        <f>(DH525-DF525)*MCD_NF_DAYS*DR525-DT525*MCD_SHARE_FREED*R_WAIT_2023</f>
        <v>99391907.25299722</v>
      </c>
      <c r="DW525" s="10">
        <f>IF(AND(DB525&gt;=RULE_START,DC525=1),1/(1+$DB$12)^(DB525-RULE_START+1),0)</f>
        <v>0</v>
      </c>
      <c r="DX525">
        <f>IF(AND(DB525&gt;=RULE_START,DC525=1,DM525&lt;0),DB525,9999)</f>
        <v>9999</v>
      </c>
      <c r="DY525">
        <f>IF(AND(DB525&gt;=RULE_START,DC525=1,DN525&lt;0),DB525,9999)</f>
        <v>9999</v>
      </c>
      <c r="DZ525">
        <f>IF(AND(DB525&gt;=RULE_START,DC525=1,DO525&lt;0),DB525,9999)</f>
        <v>9999</v>
      </c>
      <c r="EB525" t="n">
        <v>2061</v>
      </c>
      <c r="EC525">
        <f>IF(EB525&lt;=RULE_START+$EB$38-1,1,0)</f>
        <v>0</v>
      </c>
      <c r="ED525" s="15">
        <f>IF(EB525=2024,G_IDX_2024,IF(EB525=2025,G_IDX_2025,IF(EB525=2026,G_IDX_2026,IF(EB525=2027,G_IDX_2027,$EB$13))))</f>
        <v>0.033</v>
      </c>
      <c r="EE525" s="8">
        <f>$EB$20*(1+G_HI)^(EB525-COST_DATE)</f>
        <v>1941.1245113617606</v>
      </c>
      <c r="EF525" s="8">
        <f>EF524*(1+ED525)</f>
        <v>1542.892746755015</v>
      </c>
      <c r="EG525" s="8">
        <f>IF(EB525&lt;RULE_START,EF525,EG524*(1+G_HI))</f>
        <v>1965.4808809707856</v>
      </c>
      <c r="EH525" s="8">
        <f>IF(EB525&lt;RULE_START,EF525,IF(EI525=1,R_NF_2024*(1+G_HI)^(EB525-2024),EH524*(1+ED525)))</f>
        <v>2054.6725634572967</v>
      </c>
      <c r="EI525">
        <f>IF(AND(EB525&gt;=RULE_START,MOD(EB525-RULE_START,REBASE_YEARS)=0),1,0)</f>
        <v>0</v>
      </c>
      <c r="EJ525" s="8">
        <f>EF525*CAP_SHARE</f>
        <v>75.44333414710066</v>
      </c>
      <c r="EK525" s="8">
        <f>EG525*CAP_SHARE</f>
        <v>96.1067651492184</v>
      </c>
      <c r="EL525" s="8">
        <f>EH525*CAP_SHARE</f>
        <v>100.4680001858884</v>
      </c>
      <c r="EM525" s="8">
        <f>EF525-EJ525-EE525</f>
        <v>-473.6750987538462</v>
      </c>
      <c r="EN525" s="8">
        <f>EG525-EK525-EE525</f>
        <v>-71.7503955401935</v>
      </c>
      <c r="EO525" s="8">
        <f>EH525-EL525-EE525</f>
        <v>13.080051909647864</v>
      </c>
      <c r="EP525" s="8">
        <f>R_NF_2024*(1+G_HI)^(EB525-2024)</f>
        <v>2068.9329877205764</v>
      </c>
      <c r="EQ525" s="10">
        <f>1-EF525/EP525</f>
        <v>0.25425678071145275</v>
      </c>
      <c r="ER525" s="10">
        <f>CPI_2023/(IF(EB525-1=2023,CPI_2023,IF(EB525-1=2024,CPI_2024,IF(EB525-1=2025,CPI_2025,CPI_2025*(1+INFL)^(EB525-1-2025)))))</f>
        <v>0.424377924396202</v>
      </c>
      <c r="ES525" s="8">
        <f>$EB$21*ABS($EB$11)*(EG525-EF525)/EF525</f>
        <v>27305.8217249778</v>
      </c>
      <c r="ET525" s="8">
        <f>$EB$21*ABS($EB$11)*(EH525-EF525)/EF525</f>
        <v>33069.003376651846</v>
      </c>
      <c r="EU525" s="13">
        <f>(EG525-EF525)*MCD_NF_DAYS*ER525-ES525*MCD_SHARE_FREED*R_WAIT_2023</f>
        <v>82070138.89847243</v>
      </c>
      <c r="EV525" s="13">
        <f>(EH525-EF525)*MCD_NF_DAYS*ER525-ET525*MCD_SHARE_FREED*R_WAIT_2023</f>
        <v>99391907.25299722</v>
      </c>
      <c r="EW525" s="10">
        <f>IF(AND(EB525&gt;=RULE_START,EC525=1),1/(1+$EB$12)^(EB525-RULE_START+1),0)</f>
        <v>0</v>
      </c>
      <c r="EX525">
        <f>IF(AND(EB525&gt;=RULE_START,EC525=1,EM525&lt;0),EB525,9999)</f>
        <v>9999</v>
      </c>
      <c r="EY525">
        <f>IF(AND(EB525&gt;=RULE_START,EC525=1,EN525&lt;0),EB525,9999)</f>
        <v>9999</v>
      </c>
      <c r="EZ525">
        <f>IF(AND(EB525&gt;=RULE_START,EC525=1,EO525&lt;0),EB525,9999)</f>
        <v>9999</v>
      </c>
      <c r="FB525" t="n">
        <v>2061</v>
      </c>
      <c r="FC525">
        <f>IF(FB525&lt;=RULE_START+$FB$38-1,1,0)</f>
        <v>0</v>
      </c>
      <c r="FD525" s="15">
        <f>IF(FB525=2024,G_IDX_2024,IF(FB525=2025,G_IDX_2025,IF(FB525=2026,G_IDX_2026,IF(FB525=2027,G_IDX_2027,$FB$13))))</f>
        <v>0.033</v>
      </c>
      <c r="FE525" s="8">
        <f>$FB$20*(1+G_HI)^(FB525-COST_DATE)</f>
        <v>1997.6739681079835</v>
      </c>
      <c r="FF525" s="8">
        <f>FF524*(1+FD525)</f>
        <v>1542.892746755015</v>
      </c>
      <c r="FG525" s="8">
        <f>IF(FB525&lt;RULE_START,FF525,FG524*(1+G_HI))</f>
        <v>1965.4808809707856</v>
      </c>
      <c r="FH525" s="8">
        <f>IF(FB525&lt;RULE_START,FF525,IF(FI525=1,R_NF_2024*(1+G_HI)^(FB525-2024),FH524*(1+FD525)))</f>
        <v>2054.6725634572967</v>
      </c>
      <c r="FI525">
        <f>IF(AND(FB525&gt;=RULE_START,MOD(FB525-RULE_START,REBASE_YEARS)=0),1,0)</f>
        <v>0</v>
      </c>
      <c r="FJ525" s="8">
        <f>FF525*CAP_SHARE</f>
        <v>75.44333414710066</v>
      </c>
      <c r="FK525" s="8">
        <f>FG525*CAP_SHARE</f>
        <v>96.1067651492184</v>
      </c>
      <c r="FL525" s="8">
        <f>FH525*CAP_SHARE</f>
        <v>100.4680001858884</v>
      </c>
      <c r="FM525" s="8">
        <f>FF525-FJ525-FE525</f>
        <v>-530.2245555000691</v>
      </c>
      <c r="FN525" s="8">
        <f>FG525-FK525-FE525</f>
        <v>-128.29985228641635</v>
      </c>
      <c r="FO525" s="8">
        <f>FH525-FL525-FE525</f>
        <v>-43.469404836574995</v>
      </c>
      <c r="FP525" s="8">
        <f>R_NF_2024*(1+G_HI)^(FB525-2024)</f>
        <v>2068.9329877205764</v>
      </c>
      <c r="FQ525" s="10">
        <f>1-FF525/FP525</f>
        <v>0.25425678071145275</v>
      </c>
      <c r="FR525" s="10">
        <f>CPI_2023/(IF(FB525-1=2023,CPI_2023,IF(FB525-1=2024,CPI_2024,IF(FB525-1=2025,CPI_2025,CPI_2025*(1+INFL)^(FB525-1-2025)))))</f>
        <v>0.424377924396202</v>
      </c>
      <c r="FS525" s="8">
        <f>$FB$21*ABS($FB$11)*(FG525-FF525)/FF525</f>
        <v>27305.8217249778</v>
      </c>
      <c r="FT525" s="8">
        <f>$FB$21*ABS($FB$11)*(FH525-FF525)/FF525</f>
        <v>33069.003376651846</v>
      </c>
      <c r="FU525" s="13">
        <f>(FG525-FF525)*MCD_NF_DAYS*FR525-FS525*MCD_SHARE_FREED*R_WAIT_2023</f>
        <v>82070138.89847243</v>
      </c>
      <c r="FV525" s="13">
        <f>(FH525-FF525)*MCD_NF_DAYS*FR525-FT525*MCD_SHARE_FREED*R_WAIT_2023</f>
        <v>99391907.25299722</v>
      </c>
      <c r="FW525" s="10">
        <f>IF(AND(FB525&gt;=RULE_START,FC525=1),1/(1+$FB$12)^(FB525-RULE_START+1),0)</f>
        <v>0</v>
      </c>
      <c r="FX525">
        <f>IF(AND(FB525&gt;=RULE_START,FC525=1,FM525&lt;0),FB525,9999)</f>
        <v>9999</v>
      </c>
      <c r="FY525">
        <f>IF(AND(FB525&gt;=RULE_START,FC525=1,FN525&lt;0),FB525,9999)</f>
        <v>9999</v>
      </c>
      <c r="FZ525">
        <f>IF(AND(FB525&gt;=RULE_START,FC525=1,FO525&lt;0),FB525,9999)</f>
        <v>9999</v>
      </c>
      <c r="GB525" t="n">
        <v>2061</v>
      </c>
      <c r="GC525">
        <f>IF(GB525&lt;=RULE_START+$GB$38-1,1,0)</f>
        <v>0</v>
      </c>
      <c r="GD525" s="15">
        <f>IF(GB525=2024,G_IDX_2024,IF(GB525=2025,G_IDX_2025,IF(GB525=2026,G_IDX_2026,IF(GB525=2027,G_IDX_2027,$GB$13))))</f>
        <v>0.033</v>
      </c>
      <c r="GE525" s="8">
        <f>$GB$20*(1+G_HI)^(GB525-COST_DATE)</f>
        <v>1941.1245113617606</v>
      </c>
      <c r="GF525" s="8">
        <f>GF524*(1+GD525)</f>
        <v>1542.892746755015</v>
      </c>
      <c r="GG525" s="8">
        <f>IF(GB525&lt;RULE_START,GF525,GG524*(1+G_HI))</f>
        <v>1965.4808809707856</v>
      </c>
      <c r="GH525" s="8">
        <f>IF(GB525&lt;RULE_START,GF525,IF(GI525=1,R_NF_2024*(1+G_HI)^(GB525-2024),GH524*(1+GD525)))</f>
        <v>2054.6725634572967</v>
      </c>
      <c r="GI525">
        <f>IF(AND(GB525&gt;=RULE_START,MOD(GB525-RULE_START,REBASE_YEARS)=0),1,0)</f>
        <v>0</v>
      </c>
      <c r="GJ525" s="8">
        <f>GF525*CAP_SHARE</f>
        <v>75.44333414710066</v>
      </c>
      <c r="GK525" s="8">
        <f>GG525*CAP_SHARE</f>
        <v>96.1067651492184</v>
      </c>
      <c r="GL525" s="8">
        <f>GH525*CAP_SHARE</f>
        <v>100.4680001858884</v>
      </c>
      <c r="GM525" s="8">
        <f>GF525-GJ525-GE525</f>
        <v>-473.6750987538462</v>
      </c>
      <c r="GN525" s="8">
        <f>GG525-GK525-GE525</f>
        <v>-71.7503955401935</v>
      </c>
      <c r="GO525" s="8">
        <f>GH525-GL525-GE525</f>
        <v>13.080051909647864</v>
      </c>
      <c r="GP525" s="8">
        <f>R_NF_2024*(1+G_HI)^(GB525-2024)</f>
        <v>2068.9329877205764</v>
      </c>
      <c r="GQ525" s="10">
        <f>1-GF525/GP525</f>
        <v>0.25425678071145275</v>
      </c>
      <c r="GR525" s="10">
        <f>CPI_2023/(IF(GB525-1=2023,CPI_2023,IF(GB525-1=2024,CPI_2024,IF(GB525-1=2025,CPI_2025,CPI_2025*(1+INFL)^(GB525-1-2025)))))</f>
        <v>0.424377924396202</v>
      </c>
      <c r="GS525" s="8">
        <f>$GB$21*ABS($GB$11)*(GG525-GF525)/GF525</f>
        <v>20611.79912283321</v>
      </c>
      <c r="GT525" s="8">
        <f>$GB$21*ABS($GB$11)*(GH525-GF525)/GF525</f>
        <v>24962.13670685258</v>
      </c>
      <c r="GU525" s="13">
        <f>(GG525-GF525)*MCD_NF_DAYS*GR525-GS525*MCD_SHARE_FREED*R_WAIT_2023</f>
        <v>85114036.36105995</v>
      </c>
      <c r="GV525" s="13">
        <f>(GH525-GF525)*MCD_NF_DAYS*GR525-GT525*MCD_SHARE_FREED*R_WAIT_2023</f>
        <v>103078251.37705675</v>
      </c>
      <c r="GW525" s="10">
        <f>IF(AND(GB525&gt;=RULE_START,GC525=1),1/(1+$GB$12)^(GB525-RULE_START+1),0)</f>
        <v>0</v>
      </c>
      <c r="GX525">
        <f>IF(AND(GB525&gt;=RULE_START,GC525=1,GM525&lt;0),GB525,9999)</f>
        <v>9999</v>
      </c>
      <c r="GY525">
        <f>IF(AND(GB525&gt;=RULE_START,GC525=1,GN525&lt;0),GB525,9999)</f>
        <v>9999</v>
      </c>
      <c r="GZ525">
        <f>IF(AND(GB525&gt;=RULE_START,GC525=1,GO525&lt;0),GB525,9999)</f>
        <v>9999</v>
      </c>
      <c r="HB525" t="n">
        <v>2061</v>
      </c>
      <c r="HC525">
        <f>IF(HB525&lt;=RULE_START+$HB$38-1,1,0)</f>
        <v>0</v>
      </c>
      <c r="HD525" s="15">
        <f>IF(HB525=2024,G_IDX_2024,IF(HB525=2025,G_IDX_2025,IF(HB525=2026,G_IDX_2026,IF(HB525=2027,G_IDX_2027,$HB$13))))</f>
        <v>0.033</v>
      </c>
      <c r="HE525" s="8">
        <f>$HB$20*(1+G_HI)^(HB525-COST_DATE)</f>
        <v>1941.1245113617606</v>
      </c>
      <c r="HF525" s="8">
        <f>HF524*(1+HD525)</f>
        <v>1542.892746755015</v>
      </c>
      <c r="HG525" s="8">
        <f>IF(HB525&lt;RULE_START,HF525,HG524*(1+G_HI))</f>
        <v>1965.4808809707856</v>
      </c>
      <c r="HH525" s="8">
        <f>IF(HB525&lt;RULE_START,HF525,IF(HI525=1,R_NF_2024*(1+G_HI)^(HB525-2024),HH524*(1+HD525)))</f>
        <v>2054.6725634572967</v>
      </c>
      <c r="HI525">
        <f>IF(AND(HB525&gt;=RULE_START,MOD(HB525-RULE_START,REBASE_YEARS)=0),1,0)</f>
        <v>0</v>
      </c>
      <c r="HJ525" s="8">
        <f>HF525*CAP_SHARE</f>
        <v>75.44333414710066</v>
      </c>
      <c r="HK525" s="8">
        <f>HG525*CAP_SHARE</f>
        <v>96.1067651492184</v>
      </c>
      <c r="HL525" s="8">
        <f>HH525*CAP_SHARE</f>
        <v>100.4680001858884</v>
      </c>
      <c r="HM525" s="8">
        <f>HF525-HJ525-HE525</f>
        <v>-473.6750987538462</v>
      </c>
      <c r="HN525" s="8">
        <f>HG525-HK525-HE525</f>
        <v>-71.7503955401935</v>
      </c>
      <c r="HO525" s="8">
        <f>HH525-HL525-HE525</f>
        <v>13.080051909647864</v>
      </c>
      <c r="HP525" s="8">
        <f>R_NF_2024*(1+G_HI)^(HB525-2024)</f>
        <v>2068.9329877205764</v>
      </c>
      <c r="HQ525" s="10">
        <f>1-HF525/HP525</f>
        <v>0.25425678071145275</v>
      </c>
      <c r="HR525" s="10">
        <f>CPI_2023/(IF(HB525-1=2023,CPI_2023,IF(HB525-1=2024,CPI_2024,IF(HB525-1=2025,CPI_2025,CPI_2025*(1+INFL)^(HB525-1-2025)))))</f>
        <v>0.424377924396202</v>
      </c>
      <c r="HS525" s="8">
        <f>$HB$21*ABS($HB$11)*(HG525-HF525)/HF525</f>
        <v>27305.8217249778</v>
      </c>
      <c r="HT525" s="8">
        <f>$HB$21*ABS($HB$11)*(HH525-HF525)/HF525</f>
        <v>33069.003376651846</v>
      </c>
      <c r="HU525" s="13">
        <f>(HG525-HF525)*MCD_NF_DAYS*HR525-HS525*MCD_SHARE_FREED*R_WAIT_2023</f>
        <v>82070138.89847243</v>
      </c>
      <c r="HV525" s="13">
        <f>(HH525-HF525)*MCD_NF_DAYS*HR525-HT525*MCD_SHARE_FREED*R_WAIT_2023</f>
        <v>99391907.25299722</v>
      </c>
      <c r="HW525" s="10">
        <f>IF(AND(HB525&gt;=RULE_START,HC525=1),1/(1+$HB$12)^(HB525-RULE_START+1),0)</f>
        <v>0</v>
      </c>
      <c r="HX525">
        <f>IF(AND(HB525&gt;=RULE_START,HC525=1,HM525&lt;0),HB525,9999)</f>
        <v>9999</v>
      </c>
      <c r="HY525">
        <f>IF(AND(HB525&gt;=RULE_START,HC525=1,HN525&lt;0),HB525,9999)</f>
        <v>9999</v>
      </c>
      <c r="HZ525">
        <f>IF(AND(HB525&gt;=RULE_START,HC525=1,HO525&lt;0),HB525,9999)</f>
        <v>9999</v>
      </c>
      <c r="IB525" t="n">
        <v>2061</v>
      </c>
      <c r="IC525">
        <f>IF(IB525&lt;=RULE_START+$IB$38-1,1,0)</f>
        <v>0</v>
      </c>
      <c r="ID525" s="15">
        <f>IF(IB525=2024,G_IDX_2024,IF(IB525=2025,G_IDX_2025,IF(IB525=2026,G_IDX_2026,IF(IB525=2027,G_IDX_2027,$IB$13))))</f>
        <v>0.033</v>
      </c>
      <c r="IE525" s="8">
        <f>$IB$20*(1+G_HI)^(IB525-COST_DATE)</f>
        <v>1941.1245113617606</v>
      </c>
      <c r="IF525" s="8">
        <f>IF524*(1+ID525)</f>
        <v>1542.892746755015</v>
      </c>
      <c r="IG525" s="8">
        <f>IF(IB525&lt;RULE_START,IF525,IG524*(1+G_HI))</f>
        <v>1965.4808809707856</v>
      </c>
      <c r="IH525" s="8">
        <f>IF(IB525&lt;RULE_START,IF525,IF(II525=1,R_NF_2024*(1+G_HI)^(IB525-2024),IH524*(1+ID525)))</f>
        <v>2054.6725634572967</v>
      </c>
      <c r="II525">
        <f>IF(AND(IB525&gt;=RULE_START,MOD(IB525-RULE_START,REBASE_YEARS)=0),1,0)</f>
        <v>0</v>
      </c>
      <c r="IJ525" s="8">
        <f>IF525*CAP_SHARE</f>
        <v>75.44333414710066</v>
      </c>
      <c r="IK525" s="8">
        <f>IG525*CAP_SHARE</f>
        <v>96.1067651492184</v>
      </c>
      <c r="IL525" s="8">
        <f>IH525*CAP_SHARE</f>
        <v>100.4680001858884</v>
      </c>
      <c r="IM525" s="8">
        <f>IF525-IJ525-IE525</f>
        <v>-473.6750987538462</v>
      </c>
      <c r="IN525" s="8">
        <f>IG525-IK525-IE525</f>
        <v>-71.7503955401935</v>
      </c>
      <c r="IO525" s="8">
        <f>IH525-IL525-IE525</f>
        <v>13.080051909647864</v>
      </c>
      <c r="IP525" s="8">
        <f>R_NF_2024*(1+G_HI)^(IB525-2024)</f>
        <v>2068.9329877205764</v>
      </c>
      <c r="IQ525" s="10">
        <f>1-IF525/IP525</f>
        <v>0.25425678071145275</v>
      </c>
      <c r="IR525" s="10">
        <f>CPI_2023/(IF(IB525-1=2023,CPI_2023,IF(IB525-1=2024,CPI_2024,IF(IB525-1=2025,CPI_2025,CPI_2025*(1+INFL)^(IB525-1-2025)))))</f>
        <v>0.424377924396202</v>
      </c>
      <c r="IS525" s="8">
        <f>$IB$21*ABS($IB$11)*(IG525-IF525)/IF525</f>
        <v>27305.8217249778</v>
      </c>
      <c r="IT525" s="8">
        <f>$IB$21*ABS($IB$11)*(IH525-IF525)/IF525</f>
        <v>33069.003376651846</v>
      </c>
      <c r="IU525" s="13">
        <f>(IG525-IF525)*MCD_NF_DAYS*IR525-IS525*MCD_SHARE_FREED*R_WAIT_2023</f>
        <v>82070138.89847243</v>
      </c>
      <c r="IV525" s="13">
        <f>(IH525-IF525)*MCD_NF_DAYS*IR525-IT525*MCD_SHARE_FREED*R_WAIT_2023</f>
        <v>99391907.25299722</v>
      </c>
      <c r="IW525" s="10">
        <f>IF(AND(IB525&gt;=RULE_START,IC525=1),1/(1+$IB$12)^(IB525-RULE_START+1),0)</f>
        <v>0</v>
      </c>
      <c r="IX525">
        <f>IF(AND(IB525&gt;=RULE_START,IC525=1,IM525&lt;0),IB525,9999)</f>
        <v>9999</v>
      </c>
      <c r="IY525">
        <f>IF(AND(IB525&gt;=RULE_START,IC525=1,IN525&lt;0),IB525,9999)</f>
        <v>9999</v>
      </c>
      <c r="IZ525">
        <f>IF(AND(IB525&gt;=RULE_START,IC525=1,IO525&lt;0),IB525,9999)</f>
        <v>9999</v>
      </c>
      <c r="JB525" t="n">
        <v>2061</v>
      </c>
      <c r="JC525">
        <f>IF(JB525&lt;=RULE_START+$JB$38-1,1,0)</f>
        <v>0</v>
      </c>
      <c r="JD525" s="15">
        <f>IF(JB525=2024,G_IDX_2024,IF(JB525=2025,G_IDX_2025,IF(JB525=2026,G_IDX_2026,IF(JB525=2027,G_IDX_2027,$JB$13))))</f>
        <v>0.03</v>
      </c>
      <c r="JE525" s="8">
        <f>$JB$20*(1+G_HI)^(JB525-COST_DATE)</f>
        <v>1941.1245113617606</v>
      </c>
      <c r="JF525" s="8">
        <f>JF524*(1+JD525)</f>
        <v>1397.6243088202982</v>
      </c>
      <c r="JG525" s="8">
        <f>IF(JB525&lt;RULE_START,JF525,JG524*(1+G_HI))</f>
        <v>1965.4808809707856</v>
      </c>
      <c r="JH525" s="8">
        <f>IF(JB525&lt;RULE_START,JF525,IF(JI525=1,R_NF_2024*(1+G_HI)^(JB525-2024),JH524*(1+JD525)))</f>
        <v>2048.705460175233</v>
      </c>
      <c r="JI525">
        <f>IF(AND(JB525&gt;=RULE_START,MOD(JB525-RULE_START,REBASE_YEARS)=0),1,0)</f>
        <v>0</v>
      </c>
      <c r="JJ525" s="8">
        <f>JF525*CAP_SHARE</f>
        <v>68.34009555375961</v>
      </c>
      <c r="JK525" s="8">
        <f>JG525*CAP_SHARE</f>
        <v>96.1067651492184</v>
      </c>
      <c r="JL525" s="8">
        <f>JH525*CAP_SHARE</f>
        <v>100.17622477392551</v>
      </c>
      <c r="JM525" s="8">
        <f>JF525-JJ525-JE525</f>
        <v>-611.8402980952219</v>
      </c>
      <c r="JN525" s="8">
        <f>JG525-JK525-JE525</f>
        <v>-71.7503955401935</v>
      </c>
      <c r="JO525" s="8">
        <f>JH525-JL525-JE525</f>
        <v>7.404724039546863</v>
      </c>
      <c r="JP525" s="8">
        <f>R_NF_2024*(1+G_HI)^(JB525-2024)</f>
        <v>2068.9329877205764</v>
      </c>
      <c r="JQ525" s="10">
        <f>1-JF525/JP525</f>
        <v>0.32447096299618916</v>
      </c>
      <c r="JR525" s="10">
        <f>CPI_2023/(IF(JB525-1=2023,CPI_2023,IF(JB525-1=2024,CPI_2024,IF(JB525-1=2025,CPI_2025,CPI_2025*(1+INFL)^(JB525-1-2025)))))</f>
        <v>0.424377924396202</v>
      </c>
      <c r="JS525" s="8">
        <f>$JB$21*ABS($JB$11)*(JG525-JF525)/JF525</f>
        <v>40506.23707857925</v>
      </c>
      <c r="JT525" s="8">
        <f>$JB$21*ABS($JB$11)*(JH525-JF525)/JF525</f>
        <v>46442.79694483887</v>
      </c>
      <c r="JU525" s="13">
        <f>(JG525-JF525)*MCD_NF_DAYS*JR525-JS525*MCD_SHARE_FREED*R_WAIT_2023</f>
        <v>108548276.32877938</v>
      </c>
      <c r="JV525" s="13">
        <f>(JH525-JF525)*MCD_NF_DAYS*JR525-JT525*MCD_SHARE_FREED*R_WAIT_2023</f>
        <v>124457019.95152056</v>
      </c>
      <c r="JW525" s="10">
        <f>IF(AND(JB525&gt;=RULE_START,JC525=1),1/(1+$JB$12)^(JB525-RULE_START+1),0)</f>
        <v>0</v>
      </c>
      <c r="JX525">
        <f>IF(AND(JB525&gt;=RULE_START,JC525=1,JM525&lt;0),JB525,9999)</f>
        <v>9999</v>
      </c>
      <c r="JY525">
        <f>IF(AND(JB525&gt;=RULE_START,JC525=1,JN525&lt;0),JB525,9999)</f>
        <v>9999</v>
      </c>
      <c r="JZ525">
        <f>IF(AND(JB525&gt;=RULE_START,JC525=1,JO525&lt;0),JB525,9999)</f>
        <v>9999</v>
      </c>
      <c r="KB525" t="n">
        <v>2061</v>
      </c>
      <c r="KC525">
        <f>IF(KB525&lt;=RULE_START+$KB$38-1,1,0)</f>
        <v>0</v>
      </c>
      <c r="KD525" s="15">
        <f>IF(KB525=2024,G_IDX_2024,IF(KB525=2025,G_IDX_2025,IF(KB525=2026,G_IDX_2026,IF(KB525=2027,G_IDX_2027,$KB$13))))</f>
        <v>0.033</v>
      </c>
      <c r="KE525" s="8">
        <f>$KB$20*(1+G_HI)^(KB525-COST_DATE)</f>
        <v>1941.1245113617606</v>
      </c>
      <c r="KF525" s="8">
        <f>KF524*(1+KD525)</f>
        <v>1542.892746755015</v>
      </c>
      <c r="KG525" s="8">
        <f>IF(KB525&lt;RULE_START,KF525,KG524*(1+G_HI))</f>
        <v>1965.4808809707856</v>
      </c>
      <c r="KH525" s="8">
        <f>IF(KB525&lt;RULE_START,KF525,IF(KI525=1,R_NF_2024*(1+G_HI)^(KB525-2024),KH524*(1+KD525)))</f>
        <v>2054.6725634572967</v>
      </c>
      <c r="KI525">
        <f>IF(AND(KB525&gt;=RULE_START,MOD(KB525-RULE_START,REBASE_YEARS)=0),1,0)</f>
        <v>0</v>
      </c>
      <c r="KJ525" s="8">
        <f>KF525*CAP_SHARE</f>
        <v>75.44333414710066</v>
      </c>
      <c r="KK525" s="8">
        <f>KG525*CAP_SHARE</f>
        <v>96.1067651492184</v>
      </c>
      <c r="KL525" s="8">
        <f>KH525*CAP_SHARE</f>
        <v>100.4680001858884</v>
      </c>
      <c r="KM525" s="8">
        <f>KF525-KJ525-KE525</f>
        <v>-473.6750987538462</v>
      </c>
      <c r="KN525" s="8">
        <f>KG525-KK525-KE525</f>
        <v>-71.7503955401935</v>
      </c>
      <c r="KO525" s="8">
        <f>KH525-KL525-KE525</f>
        <v>13.080051909647864</v>
      </c>
      <c r="KP525" s="8">
        <f>R_NF_2024*(1+G_HI)^(KB525-2024)</f>
        <v>2068.9329877205764</v>
      </c>
      <c r="KQ525" s="10">
        <f>1-KF525/KP525</f>
        <v>0.25425678071145275</v>
      </c>
      <c r="KR525" s="10">
        <f>CPI_2023/(IF(KB525-1=2023,CPI_2023,IF(KB525-1=2024,CPI_2024,IF(KB525-1=2025,CPI_2025,CPI_2025*(1+INFL)^(KB525-1-2025)))))</f>
        <v>0.424377924396202</v>
      </c>
      <c r="KS525" s="8">
        <f>$KB$21*ABS($KB$11)*(KG525-KF525)/KF525</f>
        <v>27305.8217249778</v>
      </c>
      <c r="KT525" s="8">
        <f>$KB$21*ABS($KB$11)*(KH525-KF525)/KF525</f>
        <v>33069.003376651846</v>
      </c>
      <c r="KU525" s="13">
        <f>(KG525-KF525)*MCD_NF_DAYS*KR525-KS525*MCD_SHARE_FREED*R_WAIT_2023</f>
        <v>82070138.89847243</v>
      </c>
      <c r="KV525" s="13">
        <f>(KH525-KF525)*MCD_NF_DAYS*KR525-KT525*MCD_SHARE_FREED*R_WAIT_2023</f>
        <v>99391907.25299722</v>
      </c>
      <c r="KW525" s="10">
        <f>IF(AND(KB525&gt;=RULE_START,KC525=1),1/(1+$KB$12)^(KB525-RULE_START+1),0)</f>
        <v>0</v>
      </c>
      <c r="KX525">
        <f>IF(AND(KB525&gt;=RULE_START,KC525=1,KM525&lt;0),KB525,9999)</f>
        <v>9999</v>
      </c>
      <c r="KY525">
        <f>IF(AND(KB525&gt;=RULE_START,KC525=1,KN525&lt;0),KB525,9999)</f>
        <v>9999</v>
      </c>
      <c r="KZ525">
        <f>IF(AND(KB525&gt;=RULE_START,KC525=1,KO525&lt;0),KB525,9999)</f>
        <v>9999</v>
      </c>
      <c r="LB525" t="n">
        <v>2061</v>
      </c>
      <c r="LC525">
        <f>IF(LB525&lt;=RULE_START+$LB$38-1,1,0)</f>
        <v>0</v>
      </c>
      <c r="LD525" s="15">
        <f>IF(LB525=2024,G_IDX_2024,IF(LB525=2025,G_IDX_2025,IF(LB525=2026,G_IDX_2026,IF(LB525=2027,G_IDX_2027,$LB$13))))</f>
        <v>0.033</v>
      </c>
      <c r="LE525" s="8">
        <f>$LB$20*(1+G_HI)^(LB525-COST_DATE)</f>
        <v>1941.1245113617606</v>
      </c>
      <c r="LF525" s="8">
        <f>LF524*(1+LD525)</f>
        <v>1542.892746755015</v>
      </c>
      <c r="LG525" s="8">
        <f>IF(LB525&lt;RULE_START,LF525,LG524*(1+G_HI))</f>
        <v>1965.4808809707856</v>
      </c>
      <c r="LH525" s="8">
        <f>IF(LB525&lt;RULE_START,LF525,IF(LI525=1,R_NF_2024*(1+G_HI)^(LB525-2024),LH524*(1+LD525)))</f>
        <v>2054.6725634572967</v>
      </c>
      <c r="LI525">
        <f>IF(AND(LB525&gt;=RULE_START,MOD(LB525-RULE_START,REBASE_YEARS)=0),1,0)</f>
        <v>0</v>
      </c>
      <c r="LJ525" s="8">
        <f>LF525*CAP_SHARE</f>
        <v>75.44333414710066</v>
      </c>
      <c r="LK525" s="8">
        <f>LG525*CAP_SHARE</f>
        <v>96.1067651492184</v>
      </c>
      <c r="LL525" s="8">
        <f>LH525*CAP_SHARE</f>
        <v>100.4680001858884</v>
      </c>
      <c r="LM525" s="8">
        <f>LF525-LJ525-LE525</f>
        <v>-473.6750987538462</v>
      </c>
      <c r="LN525" s="8">
        <f>LG525-LK525-LE525</f>
        <v>-71.7503955401935</v>
      </c>
      <c r="LO525" s="8">
        <f>LH525-LL525-LE525</f>
        <v>13.080051909647864</v>
      </c>
      <c r="LP525" s="8">
        <f>R_NF_2024*(1+G_HI)^(LB525-2024)</f>
        <v>2068.9329877205764</v>
      </c>
      <c r="LQ525" s="10">
        <f>1-LF525/LP525</f>
        <v>0.25425678071145275</v>
      </c>
      <c r="LR525" s="10">
        <f>CPI_2023/(IF(LB525-1=2023,CPI_2023,IF(LB525-1=2024,CPI_2024,IF(LB525-1=2025,CPI_2025,CPI_2025*(1+INFL)^(LB525-1-2025)))))</f>
        <v>0.424377924396202</v>
      </c>
      <c r="LS525" s="8">
        <f>$LB$21*ABS($LB$11)*(LG525-LF525)/LF525</f>
        <v>27305.8217249778</v>
      </c>
      <c r="LT525" s="8">
        <f>$LB$21*ABS($LB$11)*(LH525-LF525)/LF525</f>
        <v>33069.003376651846</v>
      </c>
      <c r="LU525" s="13">
        <f>(LG525-LF525)*MCD_NF_DAYS*LR525-LS525*MCD_SHARE_FREED*R_WAIT_2023</f>
        <v>82070138.89847243</v>
      </c>
      <c r="LV525" s="13">
        <f>(LH525-LF525)*MCD_NF_DAYS*LR525-LT525*MCD_SHARE_FREED*R_WAIT_2023</f>
        <v>99391907.25299722</v>
      </c>
      <c r="LW525" s="10">
        <f>IF(AND(LB525&gt;=RULE_START,LC525=1),1/(1+$LB$12)^(LB525-RULE_START+1),0)</f>
        <v>0</v>
      </c>
      <c r="LX525">
        <f>IF(AND(LB525&gt;=RULE_START,LC525=1,LM525&lt;0),LB525,9999)</f>
        <v>9999</v>
      </c>
      <c r="LY525">
        <f>IF(AND(LB525&gt;=RULE_START,LC525=1,LN525&lt;0),LB525,9999)</f>
        <v>9999</v>
      </c>
      <c r="LZ525">
        <f>IF(AND(LB525&gt;=RULE_START,LC525=1,LO525&lt;0),LB525,9999)</f>
        <v>9999</v>
      </c>
      <c r="MB525" t="n">
        <v>2061</v>
      </c>
      <c r="MC525">
        <f>IF(MB525&lt;=RULE_START+$MB$38-1,1,0)</f>
        <v>0</v>
      </c>
      <c r="MD525" s="15">
        <f>IF(MB525=2024,G_IDX_2024,IF(MB525=2025,G_IDX_2025,IF(MB525=2026,G_IDX_2026,IF(MB525=2027,G_IDX_2027,$MB$13))))</f>
        <v>0.033</v>
      </c>
      <c r="ME525" s="8">
        <f>$MB$20*(1+G_HI)^(MB525-COST_DATE)</f>
        <v>1941.1245113617606</v>
      </c>
      <c r="MF525" s="8">
        <f>MF524*(1+MD525)</f>
        <v>1542.892746755015</v>
      </c>
      <c r="MG525" s="8">
        <f>IF(MB525&lt;RULE_START,MF525,MG524*(1+G_HI))</f>
        <v>1965.4808809707856</v>
      </c>
      <c r="MH525" s="8">
        <f>IF(MB525&lt;RULE_START,MF525,IF(MI525=1,R_NF_2024*(1+G_HI)^(MB525-2024),MH524*(1+MD525)))</f>
        <v>2054.6725634572967</v>
      </c>
      <c r="MI525">
        <f>IF(AND(MB525&gt;=RULE_START,MOD(MB525-RULE_START,REBASE_YEARS)=0),1,0)</f>
        <v>0</v>
      </c>
      <c r="MJ525" s="8">
        <f>MF525*CAP_SHARE</f>
        <v>75.44333414710066</v>
      </c>
      <c r="MK525" s="8">
        <f>MG525*CAP_SHARE</f>
        <v>96.1067651492184</v>
      </c>
      <c r="ML525" s="8">
        <f>MH525*CAP_SHARE</f>
        <v>100.4680001858884</v>
      </c>
      <c r="MM525" s="8">
        <f>MF525-MJ525-ME525</f>
        <v>-473.6750987538462</v>
      </c>
      <c r="MN525" s="8">
        <f>MG525-MK525-ME525</f>
        <v>-71.7503955401935</v>
      </c>
      <c r="MO525" s="8">
        <f>MH525-ML525-ME525</f>
        <v>13.080051909647864</v>
      </c>
      <c r="MP525" s="8">
        <f>R_NF_2024*(1+G_HI)^(MB525-2024)</f>
        <v>2068.9329877205764</v>
      </c>
      <c r="MQ525" s="10">
        <f>1-MF525/MP525</f>
        <v>0.25425678071145275</v>
      </c>
      <c r="MR525" s="10">
        <f>CPI_2023/(IF(MB525-1=2023,CPI_2023,IF(MB525-1=2024,CPI_2024,IF(MB525-1=2025,CPI_2025,CPI_2025*(1+INFL)^(MB525-1-2025)))))</f>
        <v>0.424377924396202</v>
      </c>
      <c r="MS525" s="8">
        <f>$MB$21*ABS($MB$11)*(MG525-MF525)/MF525</f>
        <v>20003.961675268045</v>
      </c>
      <c r="MT525" s="8">
        <f>$MB$21*ABS($MB$11)*(MH525-MF525)/MF525</f>
        <v>24226.008755515333</v>
      </c>
      <c r="MU525" s="13">
        <f>(MG525-MF525)*MCD_NF_DAYS*MR525-MS525*MCD_SHARE_FREED*R_WAIT_2023</f>
        <v>85390431.43383974</v>
      </c>
      <c r="MV525" s="13">
        <f>(MH525-MF525)*MCD_NF_DAYS*MR525-MT525*MCD_SHARE_FREED*R_WAIT_2023</f>
        <v>103412982.5449045</v>
      </c>
      <c r="MW525" s="10">
        <f>IF(AND(MB525&gt;=RULE_START,MC525=1),1/(1+$MB$12)^(MB525-RULE_START+1),0)</f>
        <v>0</v>
      </c>
      <c r="MX525">
        <f>IF(AND(MB525&gt;=RULE_START,MC525=1,MM525&lt;0),MB525,9999)</f>
        <v>9999</v>
      </c>
      <c r="MY525">
        <f>IF(AND(MB525&gt;=RULE_START,MC525=1,MN525&lt;0),MB525,9999)</f>
        <v>9999</v>
      </c>
      <c r="MZ525">
        <f>IF(AND(MB525&gt;=RULE_START,MC525=1,MO525&lt;0),MB525,9999)</f>
        <v>9999</v>
      </c>
      <c r="NB525" t="n">
        <v>2061</v>
      </c>
      <c r="NC525">
        <f>IF(NB525&lt;=RULE_START+$NB$38-1,1,0)</f>
        <v>0</v>
      </c>
      <c r="ND525" s="15">
        <f>IF(NB525=2024,G_IDX_2024,IF(NB525=2025,G_IDX_2025,IF(NB525=2026,G_IDX_2026,IF(NB525=2027,G_IDX_2027,$NB$13))))</f>
        <v>0.033</v>
      </c>
      <c r="NE525" s="8">
        <f>$NB$20*(1+G_HI)^(NB525-COST_DATE)</f>
        <v>1941.1245113617606</v>
      </c>
      <c r="NF525" s="8">
        <f>NF524*(1+ND525)</f>
        <v>1542.892746755015</v>
      </c>
      <c r="NG525" s="8">
        <f>IF(NB525&lt;RULE_START,NF525,NG524*(1+G_HI))</f>
        <v>1965.4808809707856</v>
      </c>
      <c r="NH525" s="8">
        <f>IF(NB525&lt;RULE_START,NF525,IF(NI525=1,R_NF_2024*(1+G_HI)^(NB525-2024),NH524*(1+ND525)))</f>
        <v>2054.6725634572967</v>
      </c>
      <c r="NI525">
        <f>IF(AND(NB525&gt;=RULE_START,MOD(NB525-RULE_START,REBASE_YEARS)=0),1,0)</f>
        <v>0</v>
      </c>
      <c r="NJ525" s="8">
        <f>NF525*CAP_SHARE</f>
        <v>75.44333414710066</v>
      </c>
      <c r="NK525" s="8">
        <f>NG525*CAP_SHARE</f>
        <v>96.1067651492184</v>
      </c>
      <c r="NL525" s="8">
        <f>NH525*CAP_SHARE</f>
        <v>100.4680001858884</v>
      </c>
      <c r="NM525" s="8">
        <f>NF525-NJ525-NE525</f>
        <v>-473.6750987538462</v>
      </c>
      <c r="NN525" s="8">
        <f>NG525-NK525-NE525</f>
        <v>-71.7503955401935</v>
      </c>
      <c r="NO525" s="8">
        <f>NH525-NL525-NE525</f>
        <v>13.080051909647864</v>
      </c>
      <c r="NP525" s="8">
        <f>R_NF_2024*(1+G_HI)^(NB525-2024)</f>
        <v>2068.9329877205764</v>
      </c>
      <c r="NQ525" s="10">
        <f>1-NF525/NP525</f>
        <v>0.25425678071145275</v>
      </c>
      <c r="NR525" s="10">
        <f>CPI_2023/(IF(NB525-1=2023,CPI_2023,IF(NB525-1=2024,CPI_2024,IF(NB525-1=2025,CPI_2025,CPI_2025*(1+INFL)^(NB525-1-2025)))))</f>
        <v>0.424377924396202</v>
      </c>
      <c r="NS525" s="8">
        <f>$NB$21*ABS($NB$11)*(NG525-NF525)/NF525</f>
        <v>27305.8217249778</v>
      </c>
      <c r="NT525" s="8">
        <f>$NB$21*ABS($NB$11)*(NH525-NF525)/NF525</f>
        <v>33069.003376651846</v>
      </c>
      <c r="NU525" s="13">
        <f>(NG525-NF525)*MCD_NF_DAYS*NR525-NS525*MCD_SHARE_FREED*R_WAIT_2023</f>
        <v>82070138.89847243</v>
      </c>
      <c r="NV525" s="13">
        <f>(NH525-NF525)*MCD_NF_DAYS*NR525-NT525*MCD_SHARE_FREED*R_WAIT_2023</f>
        <v>99391907.25299722</v>
      </c>
      <c r="NW525" s="10">
        <f>IF(AND(NB525&gt;=RULE_START,NC525=1),1/(1+$NB$12)^(NB525-RULE_START+1),0)</f>
        <v>0</v>
      </c>
      <c r="NX525">
        <f>IF(AND(NB525&gt;=RULE_START,NC525=1,NM525&lt;0),NB525,9999)</f>
        <v>9999</v>
      </c>
      <c r="NY525">
        <f>IF(AND(NB525&gt;=RULE_START,NC525=1,NN525&lt;0),NB525,9999)</f>
        <v>9999</v>
      </c>
      <c r="NZ525">
        <f>IF(AND(NB525&gt;=RULE_START,NC525=1,NO525&lt;0),NB525,9999)</f>
        <v>9999</v>
      </c>
      <c r="OB525" t="n">
        <v>2061</v>
      </c>
      <c r="OC525">
        <f>IF(OB525&lt;=RULE_START+$OB$38-1,1,0)</f>
        <v>0</v>
      </c>
      <c r="OD525" s="15">
        <f>IF(OB525=2024,G_IDX_2024,IF(OB525=2025,G_IDX_2025,IF(OB525=2026,G_IDX_2026,IF(OB525=2027,G_IDX_2027,$OB$13))))</f>
        <v>0.033</v>
      </c>
      <c r="OE525" s="8">
        <f>$OB$20*(1+G_HI)^(OB525-COST_DATE)</f>
        <v>1941.1245113617606</v>
      </c>
      <c r="OF525" s="8">
        <f>OF524*(1+OD525)</f>
        <v>1542.892746755015</v>
      </c>
      <c r="OG525" s="8">
        <f>IF(OB525&lt;RULE_START,OF525,OG524*(1+G_HI))</f>
        <v>1965.4808809707856</v>
      </c>
      <c r="OH525" s="8">
        <f>IF(OB525&lt;RULE_START,OF525,IF(OI525=1,R_NF_2024*(1+G_HI)^(OB525-2024),OH524*(1+OD525)))</f>
        <v>2054.6725634572967</v>
      </c>
      <c r="OI525">
        <f>IF(AND(OB525&gt;=RULE_START,MOD(OB525-RULE_START,REBASE_YEARS)=0),1,0)</f>
        <v>0</v>
      </c>
      <c r="OJ525" s="8">
        <f>OF525*CAP_SHARE</f>
        <v>75.44333414710066</v>
      </c>
      <c r="OK525" s="8">
        <f>OG525*CAP_SHARE</f>
        <v>96.1067651492184</v>
      </c>
      <c r="OL525" s="8">
        <f>OH525*CAP_SHARE</f>
        <v>100.4680001858884</v>
      </c>
      <c r="OM525" s="8">
        <f>OF525-OJ525-OE525</f>
        <v>-473.6750987538462</v>
      </c>
      <c r="ON525" s="8">
        <f>OG525-OK525-OE525</f>
        <v>-71.7503955401935</v>
      </c>
      <c r="OO525" s="8">
        <f>OH525-OL525-OE525</f>
        <v>13.080051909647864</v>
      </c>
      <c r="OP525" s="8">
        <f>R_NF_2024*(1+G_HI)^(OB525-2024)</f>
        <v>2068.9329877205764</v>
      </c>
      <c r="OQ525" s="10">
        <f>1-OF525/OP525</f>
        <v>0.25425678071145275</v>
      </c>
      <c r="OR525" s="10">
        <f>CPI_2023/(IF(OB525-1=2023,CPI_2023,IF(OB525-1=2024,CPI_2024,IF(OB525-1=2025,CPI_2025,CPI_2025*(1+INFL)^(OB525-1-2025)))))</f>
        <v>0.424377924396202</v>
      </c>
      <c r="OS525" s="8">
        <f>$OB$21*ABS($OB$11)*(OG525-OF525)/OF525</f>
        <v>27305.8217249778</v>
      </c>
      <c r="OT525" s="8">
        <f>$OB$21*ABS($OB$11)*(OH525-OF525)/OF525</f>
        <v>33069.003376651846</v>
      </c>
      <c r="OU525" s="13">
        <f>(OG525-OF525)*MCD_NF_DAYS*OR525-OS525*MCD_SHARE_FREED*R_WAIT_2023</f>
        <v>82070138.89847243</v>
      </c>
      <c r="OV525" s="13">
        <f>(OH525-OF525)*MCD_NF_DAYS*OR525-OT525*MCD_SHARE_FREED*R_WAIT_2023</f>
        <v>99391907.25299722</v>
      </c>
      <c r="OW525" s="10">
        <f>IF(AND(OB525&gt;=RULE_START,OC525=1),1/(1+$OB$12)^(OB525-RULE_START+1),0)</f>
        <v>0</v>
      </c>
      <c r="OX525">
        <f>IF(AND(OB525&gt;=RULE_START,OC525=1,OM525&lt;0),OB525,9999)</f>
        <v>9999</v>
      </c>
      <c r="OY525">
        <f>IF(AND(OB525&gt;=RULE_START,OC525=1,ON525&lt;0),OB525,9999)</f>
        <v>9999</v>
      </c>
      <c r="OZ525">
        <f>IF(AND(OB525&gt;=RULE_START,OC525=1,OO525&lt;0),OB525,9999)</f>
        <v>9999</v>
      </c>
    </row>
    <row r="526">
      <c r="B526" t="n">
        <v>2062</v>
      </c>
      <c r="C526">
        <f>IF(B526&lt;=RULE_START+$B$38-1,1,0)</f>
        <v>0</v>
      </c>
      <c r="D526" s="15">
        <f>IF(B526=2024,G_IDX_2024,IF(B526=2025,G_IDX_2025,IF(B526=2026,G_IDX_2026,IF(B526=2027,G_IDX_2027,$B$13))))</f>
        <v>0.033</v>
      </c>
      <c r="E526" s="8">
        <f>$B$20*(1+G_HI)^(B526-COST_DATE)</f>
        <v>2019.0985533471453</v>
      </c>
      <c r="F526" s="8">
        <f>F525*(1+D526)</f>
        <v>1593.8082073979303</v>
      </c>
      <c r="G526" s="8">
        <f>IF(B526&lt;RULE_START,F526,G525*(1+G_HI))</f>
        <v>2044.4333066587046</v>
      </c>
      <c r="H526" s="8">
        <f>IF(B526&lt;RULE_START,F526,IF(I526=1,R_NF_2024*(1+G_HI)^(B526-2024),H525*(1+D526)))</f>
        <v>2122.476758051387</v>
      </c>
      <c r="I526">
        <f>IF(AND(B526&gt;=RULE_START,MOD(B526-RULE_START,REBASE_YEARS)=0),1,0)</f>
        <v>0</v>
      </c>
      <c r="J526" s="8">
        <f>F526*CAP_SHARE</f>
        <v>77.93296417395497</v>
      </c>
      <c r="K526" s="8">
        <f>G526*CAP_SHARE</f>
        <v>99.96732787817366</v>
      </c>
      <c r="L526" s="8">
        <f>H526*CAP_SHARE</f>
        <v>103.7834441920227</v>
      </c>
      <c r="M526" s="8">
        <f>F526-J526-E526</f>
        <v>-503.22331012317</v>
      </c>
      <c r="N526" s="8">
        <f>G526-K526-E526</f>
        <v>-74.63257456661427</v>
      </c>
      <c r="O526" s="8">
        <f>H526-L526-E526</f>
        <v>-0.4052394877808183</v>
      </c>
      <c r="P526" s="8">
        <f>R_NF_2024*(1+G_HI)^(B526-2024)</f>
        <v>2152.0410349917424</v>
      </c>
      <c r="Q526" s="10">
        <f>1-F526/P526</f>
        <v>0.2593969252988496</v>
      </c>
      <c r="R526" s="10">
        <f>CPI_2023/(IF(B526-1=2023,CPI_2023,IF(B526-1=2024,CPI_2024,IF(B526-1=2025,CPI_2025,CPI_2025*(1+INFL)^(B526-1-2025)))))</f>
        <v>0.41491779858838684</v>
      </c>
      <c r="S526" s="8">
        <f>$B$21*ABS($B$11)*(G526-F526)/F526</f>
        <v>28187.269529536887</v>
      </c>
      <c r="T526" s="8">
        <f>$B$21*ABS($B$11)*(H526-F526)/F526</f>
        <v>33069.00337665183</v>
      </c>
      <c r="U526" s="13">
        <f>(G526-F526)*MCD_NF_DAYS*R526-S526*MCD_SHARE_FREED*R_WAIT_2023</f>
        <v>85692107.462161</v>
      </c>
      <c r="V526" s="13">
        <f>(H526-F526)*MCD_NF_DAYS*R526-T526*MCD_SHARE_FREED*R_WAIT_2023</f>
        <v>100533064.68897882</v>
      </c>
      <c r="W526" s="10">
        <f>IF(AND(B526&gt;=RULE_START,C526=1),1/(1+$B$12)^(B526-RULE_START+1),0)</f>
        <v>0</v>
      </c>
      <c r="X526">
        <f>IF(AND(B526&gt;=RULE_START,C526=1,M526&lt;0),B526,9999)</f>
        <v>9999</v>
      </c>
      <c r="Y526">
        <f>IF(AND(B526&gt;=RULE_START,C526=1,N526&lt;0),B526,9999)</f>
        <v>9999</v>
      </c>
      <c r="Z526">
        <f>IF(AND(B526&gt;=RULE_START,C526=1,O526&lt;0),B526,9999)</f>
        <v>9999</v>
      </c>
      <c r="AB526" t="n">
        <v>2062</v>
      </c>
      <c r="AC526">
        <f>IF(AB526&lt;=RULE_START+$AB$38-1,1,0)</f>
        <v>0</v>
      </c>
      <c r="AD526" s="15">
        <f>IF(AB526=2024,G_IDX_2024,IF(AB526=2025,G_IDX_2025,IF(AB526=2026,G_IDX_2026,IF(AB526=2027,G_IDX_2027,$AB$13))))</f>
        <v>0.033</v>
      </c>
      <c r="AE526" s="8">
        <f>$AB$20*(1+G_HI)^(AB526-COST_DATE)</f>
        <v>2019.0985533471453</v>
      </c>
      <c r="AF526" s="8">
        <f>AF525*(1+AD526)</f>
        <v>1593.8082073979303</v>
      </c>
      <c r="AG526" s="8">
        <f>IF(AB526&lt;RULE_START,AF526,AG525*(1+G_HI))</f>
        <v>2044.4333066587046</v>
      </c>
      <c r="AH526" s="8">
        <f>IF(AB526&lt;RULE_START,AF526,IF(AI526=1,R_NF_2024*(1+G_HI)^(AB526-2024),AH525*(1+AD526)))</f>
        <v>2122.476758051387</v>
      </c>
      <c r="AI526">
        <f>IF(AND(AB526&gt;=RULE_START,MOD(AB526-RULE_START,REBASE_YEARS)=0),1,0)</f>
        <v>0</v>
      </c>
      <c r="AJ526" s="8">
        <f>AF526*CAP_SHARE</f>
        <v>77.93296417395497</v>
      </c>
      <c r="AK526" s="8">
        <f>AG526*CAP_SHARE</f>
        <v>99.96732787817366</v>
      </c>
      <c r="AL526" s="8">
        <f>AH526*CAP_SHARE</f>
        <v>103.7834441920227</v>
      </c>
      <c r="AM526" s="8">
        <f>AF526-AJ526-AE526</f>
        <v>-503.22331012317</v>
      </c>
      <c r="AN526" s="8">
        <f>AG526-AK526-AE526</f>
        <v>-74.63257456661427</v>
      </c>
      <c r="AO526" s="8">
        <f>AH526-AL526-AE526</f>
        <v>-0.4052394877808183</v>
      </c>
      <c r="AP526" s="8">
        <f>R_NF_2024*(1+G_HI)^(AB526-2024)</f>
        <v>2152.0410349917424</v>
      </c>
      <c r="AQ526" s="10">
        <f>1-AF526/AP526</f>
        <v>0.2593969252988496</v>
      </c>
      <c r="AR526" s="10">
        <f>CPI_2023/(IF(AB526-1=2023,CPI_2023,IF(AB526-1=2024,CPI_2024,IF(AB526-1=2025,CPI_2025,CPI_2025*(1+INFL)^(AB526-1-2025)))))</f>
        <v>0.41491779858838684</v>
      </c>
      <c r="AS526" s="8">
        <f>$AB$21*ABS($AB$11)*(AG526-AF526)/AF526</f>
        <v>28187.269529536887</v>
      </c>
      <c r="AT526" s="8">
        <f>$AB$21*ABS($AB$11)*(AH526-AF526)/AF526</f>
        <v>33069.00337665183</v>
      </c>
      <c r="AU526" s="13">
        <f>(AG526-AF526)*MCD_NF_DAYS*AR526-AS526*MCD_SHARE_FREED*R_WAIT_2023</f>
        <v>85692107.462161</v>
      </c>
      <c r="AV526" s="13">
        <f>(AH526-AF526)*MCD_NF_DAYS*AR526-AT526*MCD_SHARE_FREED*R_WAIT_2023</f>
        <v>100533064.68897882</v>
      </c>
      <c r="AW526" s="10">
        <f>IF(AND(AB526&gt;=RULE_START,AC526=1),1/(1+$AB$12)^(AB526-RULE_START+1),0)</f>
        <v>0</v>
      </c>
      <c r="AX526">
        <f>IF(AND(AB526&gt;=RULE_START,AC526=1,AM526&lt;0),AB526,9999)</f>
        <v>9999</v>
      </c>
      <c r="AY526">
        <f>IF(AND(AB526&gt;=RULE_START,AC526=1,AN526&lt;0),AB526,9999)</f>
        <v>9999</v>
      </c>
      <c r="AZ526">
        <f>IF(AND(AB526&gt;=RULE_START,AC526=1,AO526&lt;0),AB526,9999)</f>
        <v>9999</v>
      </c>
      <c r="BB526" t="n">
        <v>2062</v>
      </c>
      <c r="BC526">
        <f>IF(BB526&lt;=RULE_START+$BB$38-1,1,0)</f>
        <v>0</v>
      </c>
      <c r="BD526" s="15">
        <f>IF(BB526=2024,G_IDX_2024,IF(BB526=2025,G_IDX_2025,IF(BB526=2026,G_IDX_2026,IF(BB526=2027,G_IDX_2027,$BB$13))))</f>
        <v>0.033</v>
      </c>
      <c r="BE526" s="8">
        <f>$BB$20*(1+G_HI)^(BB526-COST_DATE)</f>
        <v>2019.0985533471453</v>
      </c>
      <c r="BF526" s="8">
        <f>BF525*(1+BD526)</f>
        <v>1593.8082073979303</v>
      </c>
      <c r="BG526" s="8">
        <f>IF(BB526&lt;RULE_START,BF526,BG525*(1+G_HI))</f>
        <v>2044.4333066587046</v>
      </c>
      <c r="BH526" s="8">
        <f>IF(BB526&lt;RULE_START,BF526,IF(BI526=1,R_NF_2024*(1+G_HI)^(BB526-2024),BH525*(1+BD526)))</f>
        <v>2122.476758051387</v>
      </c>
      <c r="BI526">
        <f>IF(AND(BB526&gt;=RULE_START,MOD(BB526-RULE_START,REBASE_YEARS)=0),1,0)</f>
        <v>0</v>
      </c>
      <c r="BJ526" s="8">
        <f>BF526*CAP_SHARE</f>
        <v>77.93296417395497</v>
      </c>
      <c r="BK526" s="8">
        <f>BG526*CAP_SHARE</f>
        <v>99.96732787817366</v>
      </c>
      <c r="BL526" s="8">
        <f>BH526*CAP_SHARE</f>
        <v>103.7834441920227</v>
      </c>
      <c r="BM526" s="8">
        <f>BF526-BJ526-BE526</f>
        <v>-503.22331012317</v>
      </c>
      <c r="BN526" s="8">
        <f>BG526-BK526-BE526</f>
        <v>-74.63257456661427</v>
      </c>
      <c r="BO526" s="8">
        <f>BH526-BL526-BE526</f>
        <v>-0.4052394877808183</v>
      </c>
      <c r="BP526" s="8">
        <f>R_NF_2024*(1+G_HI)^(BB526-2024)</f>
        <v>2152.0410349917424</v>
      </c>
      <c r="BQ526" s="10">
        <f>1-BF526/BP526</f>
        <v>0.2593969252988496</v>
      </c>
      <c r="BR526" s="10">
        <f>CPI_2023/(IF(BB526-1=2023,CPI_2023,IF(BB526-1=2024,CPI_2024,IF(BB526-1=2025,CPI_2025,CPI_2025*(1+INFL)^(BB526-1-2025)))))</f>
        <v>0.41491779858838684</v>
      </c>
      <c r="BS526" s="8">
        <f>$BB$21*ABS($BB$11)*(BG526-BF526)/BF526</f>
        <v>28187.269529536887</v>
      </c>
      <c r="BT526" s="8">
        <f>$BB$21*ABS($BB$11)*(BH526-BF526)/BF526</f>
        <v>33069.00337665183</v>
      </c>
      <c r="BU526" s="13">
        <f>(BG526-BF526)*MCD_NF_DAYS*BR526-BS526*MCD_SHARE_FREED*R_WAIT_2023</f>
        <v>85692107.462161</v>
      </c>
      <c r="BV526" s="13">
        <f>(BH526-BF526)*MCD_NF_DAYS*BR526-BT526*MCD_SHARE_FREED*R_WAIT_2023</f>
        <v>100533064.68897882</v>
      </c>
      <c r="BW526" s="10">
        <f>IF(AND(BB526&gt;=RULE_START,BC526=1),1/(1+$BB$12)^(BB526-RULE_START+1),0)</f>
        <v>0</v>
      </c>
      <c r="BX526">
        <f>IF(AND(BB526&gt;=RULE_START,BC526=1,BM526&lt;0),BB526,9999)</f>
        <v>9999</v>
      </c>
      <c r="BY526">
        <f>IF(AND(BB526&gt;=RULE_START,BC526=1,BN526&lt;0),BB526,9999)</f>
        <v>9999</v>
      </c>
      <c r="BZ526">
        <f>IF(AND(BB526&gt;=RULE_START,BC526=1,BO526&lt;0),BB526,9999)</f>
        <v>9999</v>
      </c>
      <c r="CB526" t="n">
        <v>2062</v>
      </c>
      <c r="CC526">
        <f>IF(CB526&lt;=RULE_START+$CB$38-1,1,0)</f>
        <v>1</v>
      </c>
      <c r="CD526" s="15">
        <f>IF(CB526=2024,G_IDX_2024,IF(CB526=2025,G_IDX_2025,IF(CB526=2026,G_IDX_2026,IF(CB526=2027,G_IDX_2027,$CB$13))))</f>
        <v>0.033</v>
      </c>
      <c r="CE526" s="8">
        <f>$CB$20*(1+G_HI)^(CB526-COST_DATE)</f>
        <v>2019.0985533471453</v>
      </c>
      <c r="CF526" s="8">
        <f>CF525*(1+CD526)</f>
        <v>1593.8082073979303</v>
      </c>
      <c r="CG526" s="8">
        <f>IF(CB526&lt;RULE_START,CF526,CG525*(1+G_HI))</f>
        <v>2044.4333066587046</v>
      </c>
      <c r="CH526" s="8">
        <f>IF(CB526&lt;RULE_START,CF526,IF(CI526=1,R_NF_2024*(1+G_HI)^(CB526-2024),CH525*(1+CD526)))</f>
        <v>2122.476758051387</v>
      </c>
      <c r="CI526">
        <f>IF(AND(CB526&gt;=RULE_START,MOD(CB526-RULE_START,REBASE_YEARS)=0),1,0)</f>
        <v>0</v>
      </c>
      <c r="CJ526" s="8">
        <f>CF526*CAP_SHARE</f>
        <v>77.93296417395497</v>
      </c>
      <c r="CK526" s="8">
        <f>CG526*CAP_SHARE</f>
        <v>99.96732787817366</v>
      </c>
      <c r="CL526" s="8">
        <f>CH526*CAP_SHARE</f>
        <v>103.7834441920227</v>
      </c>
      <c r="CM526" s="8">
        <f>CF526-CJ526-CE526</f>
        <v>-503.22331012317</v>
      </c>
      <c r="CN526" s="8">
        <f>CG526-CK526-CE526</f>
        <v>-74.63257456661427</v>
      </c>
      <c r="CO526" s="8">
        <f>CH526-CL526-CE526</f>
        <v>-0.4052394877808183</v>
      </c>
      <c r="CP526" s="8">
        <f>R_NF_2024*(1+G_HI)^(CB526-2024)</f>
        <v>2152.0410349917424</v>
      </c>
      <c r="CQ526" s="10">
        <f>1-CF526/CP526</f>
        <v>0.2593969252988496</v>
      </c>
      <c r="CR526" s="10">
        <f>CPI_2023/(IF(CB526-1=2023,CPI_2023,IF(CB526-1=2024,CPI_2024,IF(CB526-1=2025,CPI_2025,CPI_2025*(1+INFL)^(CB526-1-2025)))))</f>
        <v>0.41491779858838684</v>
      </c>
      <c r="CS526" s="8">
        <f>$CB$21*ABS($CB$11)*(CG526-CF526)/CF526</f>
        <v>28187.269529536887</v>
      </c>
      <c r="CT526" s="8">
        <f>$CB$21*ABS($CB$11)*(CH526-CF526)/CF526</f>
        <v>33069.00337665183</v>
      </c>
      <c r="CU526" s="13">
        <f>(CG526-CF526)*MCD_NF_DAYS*CR526-CS526*MCD_SHARE_FREED*R_WAIT_2023</f>
        <v>85692107.462161</v>
      </c>
      <c r="CV526" s="13">
        <f>(CH526-CF526)*MCD_NF_DAYS*CR526-CT526*MCD_SHARE_FREED*R_WAIT_2023</f>
        <v>100533064.68897882</v>
      </c>
      <c r="CW526" s="10">
        <f>IF(AND(CB526&gt;=RULE_START,CC526=1),1/(1+$CB$12)^(CB526-RULE_START+1),0)</f>
        <v>0.4902231503522519</v>
      </c>
      <c r="CX526">
        <f>IF(AND(CB526&gt;=RULE_START,CC526=1,CM526&lt;0),CB526,9999)</f>
        <v>2062</v>
      </c>
      <c r="CY526">
        <f>IF(AND(CB526&gt;=RULE_START,CC526=1,CN526&lt;0),CB526,9999)</f>
        <v>2062</v>
      </c>
      <c r="CZ526">
        <f>IF(AND(CB526&gt;=RULE_START,CC526=1,CO526&lt;0),CB526,9999)</f>
        <v>2062</v>
      </c>
      <c r="DB526" t="n">
        <v>2062</v>
      </c>
      <c r="DC526">
        <f>IF(DB526&lt;=RULE_START+$DB$38-1,1,0)</f>
        <v>0</v>
      </c>
      <c r="DD526" s="15">
        <f>IF(DB526=2024,G_IDX_2024,IF(DB526=2025,G_IDX_2025,IF(DB526=2026,G_IDX_2026,IF(DB526=2027,G_IDX_2027,$DB$13))))</f>
        <v>0.033</v>
      </c>
      <c r="DE526" s="8">
        <f>$DB$20*(1+G_HI)^(DB526-COST_DATE)</f>
        <v>2019.0985533471453</v>
      </c>
      <c r="DF526" s="8">
        <f>DF525*(1+DD526)</f>
        <v>1593.8082073979303</v>
      </c>
      <c r="DG526" s="8">
        <f>IF(DB526&lt;RULE_START,DF526,DG525*(1+G_HI))</f>
        <v>2044.4333066587046</v>
      </c>
      <c r="DH526" s="8">
        <f>IF(DB526&lt;RULE_START,DF526,IF(DI526=1,R_NF_2024*(1+G_HI)^(DB526-2024),DH525*(1+DD526)))</f>
        <v>2122.476758051387</v>
      </c>
      <c r="DI526">
        <f>IF(AND(DB526&gt;=RULE_START,MOD(DB526-RULE_START,REBASE_YEARS)=0),1,0)</f>
        <v>0</v>
      </c>
      <c r="DJ526" s="8">
        <f>DF526*CAP_SHARE</f>
        <v>77.93296417395497</v>
      </c>
      <c r="DK526" s="8">
        <f>DG526*CAP_SHARE</f>
        <v>99.96732787817366</v>
      </c>
      <c r="DL526" s="8">
        <f>DH526*CAP_SHARE</f>
        <v>103.7834441920227</v>
      </c>
      <c r="DM526" s="8">
        <f>DF526-DJ526-DE526</f>
        <v>-503.22331012317</v>
      </c>
      <c r="DN526" s="8">
        <f>DG526-DK526-DE526</f>
        <v>-74.63257456661427</v>
      </c>
      <c r="DO526" s="8">
        <f>DH526-DL526-DE526</f>
        <v>-0.4052394877808183</v>
      </c>
      <c r="DP526" s="8">
        <f>R_NF_2024*(1+G_HI)^(DB526-2024)</f>
        <v>2152.0410349917424</v>
      </c>
      <c r="DQ526" s="10">
        <f>1-DF526/DP526</f>
        <v>0.2593969252988496</v>
      </c>
      <c r="DR526" s="10">
        <f>CPI_2023/(IF(DB526-1=2023,CPI_2023,IF(DB526-1=2024,CPI_2024,IF(DB526-1=2025,CPI_2025,CPI_2025*(1+INFL)^(DB526-1-2025)))))</f>
        <v>0.41491779858838684</v>
      </c>
      <c r="DS526" s="8">
        <f>$DB$21*ABS($DB$11)*(DG526-DF526)/DF526</f>
        <v>28187.269529536887</v>
      </c>
      <c r="DT526" s="8">
        <f>$DB$21*ABS($DB$11)*(DH526-DF526)/DF526</f>
        <v>33069.00337665183</v>
      </c>
      <c r="DU526" s="13">
        <f>(DG526-DF526)*MCD_NF_DAYS*DR526-DS526*MCD_SHARE_FREED*R_WAIT_2023</f>
        <v>85692107.462161</v>
      </c>
      <c r="DV526" s="13">
        <f>(DH526-DF526)*MCD_NF_DAYS*DR526-DT526*MCD_SHARE_FREED*R_WAIT_2023</f>
        <v>100533064.68897882</v>
      </c>
      <c r="DW526" s="10">
        <f>IF(AND(DB526&gt;=RULE_START,DC526=1),1/(1+$DB$12)^(DB526-RULE_START+1),0)</f>
        <v>0</v>
      </c>
      <c r="DX526">
        <f>IF(AND(DB526&gt;=RULE_START,DC526=1,DM526&lt;0),DB526,9999)</f>
        <v>9999</v>
      </c>
      <c r="DY526">
        <f>IF(AND(DB526&gt;=RULE_START,DC526=1,DN526&lt;0),DB526,9999)</f>
        <v>9999</v>
      </c>
      <c r="DZ526">
        <f>IF(AND(DB526&gt;=RULE_START,DC526=1,DO526&lt;0),DB526,9999)</f>
        <v>9999</v>
      </c>
      <c r="EB526" t="n">
        <v>2062</v>
      </c>
      <c r="EC526">
        <f>IF(EB526&lt;=RULE_START+$EB$38-1,1,0)</f>
        <v>0</v>
      </c>
      <c r="ED526" s="15">
        <f>IF(EB526=2024,G_IDX_2024,IF(EB526=2025,G_IDX_2025,IF(EB526=2026,G_IDX_2026,IF(EB526=2027,G_IDX_2027,$EB$13))))</f>
        <v>0.033</v>
      </c>
      <c r="EE526" s="8">
        <f>$EB$20*(1+G_HI)^(EB526-COST_DATE)</f>
        <v>2019.0985533471453</v>
      </c>
      <c r="EF526" s="8">
        <f>EF525*(1+ED526)</f>
        <v>1593.8082073979303</v>
      </c>
      <c r="EG526" s="8">
        <f>IF(EB526&lt;RULE_START,EF526,EG525*(1+G_HI))</f>
        <v>2044.4333066587046</v>
      </c>
      <c r="EH526" s="8">
        <f>IF(EB526&lt;RULE_START,EF526,IF(EI526=1,R_NF_2024*(1+G_HI)^(EB526-2024),EH525*(1+ED526)))</f>
        <v>2122.476758051387</v>
      </c>
      <c r="EI526">
        <f>IF(AND(EB526&gt;=RULE_START,MOD(EB526-RULE_START,REBASE_YEARS)=0),1,0)</f>
        <v>0</v>
      </c>
      <c r="EJ526" s="8">
        <f>EF526*CAP_SHARE</f>
        <v>77.93296417395497</v>
      </c>
      <c r="EK526" s="8">
        <f>EG526*CAP_SHARE</f>
        <v>99.96732787817366</v>
      </c>
      <c r="EL526" s="8">
        <f>EH526*CAP_SHARE</f>
        <v>103.7834441920227</v>
      </c>
      <c r="EM526" s="8">
        <f>EF526-EJ526-EE526</f>
        <v>-503.22331012317</v>
      </c>
      <c r="EN526" s="8">
        <f>EG526-EK526-EE526</f>
        <v>-74.63257456661427</v>
      </c>
      <c r="EO526" s="8">
        <f>EH526-EL526-EE526</f>
        <v>-0.4052394877808183</v>
      </c>
      <c r="EP526" s="8">
        <f>R_NF_2024*(1+G_HI)^(EB526-2024)</f>
        <v>2152.0410349917424</v>
      </c>
      <c r="EQ526" s="10">
        <f>1-EF526/EP526</f>
        <v>0.2593969252988496</v>
      </c>
      <c r="ER526" s="10">
        <f>CPI_2023/(IF(EB526-1=2023,CPI_2023,IF(EB526-1=2024,CPI_2024,IF(EB526-1=2025,CPI_2025,CPI_2025*(1+INFL)^(EB526-1-2025)))))</f>
        <v>0.41491779858838684</v>
      </c>
      <c r="ES526" s="8">
        <f>$EB$21*ABS($EB$11)*(EG526-EF526)/EF526</f>
        <v>28187.269529536887</v>
      </c>
      <c r="ET526" s="8">
        <f>$EB$21*ABS($EB$11)*(EH526-EF526)/EF526</f>
        <v>33069.00337665183</v>
      </c>
      <c r="EU526" s="13">
        <f>(EG526-EF526)*MCD_NF_DAYS*ER526-ES526*MCD_SHARE_FREED*R_WAIT_2023</f>
        <v>85692107.462161</v>
      </c>
      <c r="EV526" s="13">
        <f>(EH526-EF526)*MCD_NF_DAYS*ER526-ET526*MCD_SHARE_FREED*R_WAIT_2023</f>
        <v>100533064.68897882</v>
      </c>
      <c r="EW526" s="10">
        <f>IF(AND(EB526&gt;=RULE_START,EC526=1),1/(1+$EB$12)^(EB526-RULE_START+1),0)</f>
        <v>0</v>
      </c>
      <c r="EX526">
        <f>IF(AND(EB526&gt;=RULE_START,EC526=1,EM526&lt;0),EB526,9999)</f>
        <v>9999</v>
      </c>
      <c r="EY526">
        <f>IF(AND(EB526&gt;=RULE_START,EC526=1,EN526&lt;0),EB526,9999)</f>
        <v>9999</v>
      </c>
      <c r="EZ526">
        <f>IF(AND(EB526&gt;=RULE_START,EC526=1,EO526&lt;0),EB526,9999)</f>
        <v>9999</v>
      </c>
      <c r="FB526" t="n">
        <v>2062</v>
      </c>
      <c r="FC526">
        <f>IF(FB526&lt;=RULE_START+$FB$38-1,1,0)</f>
        <v>0</v>
      </c>
      <c r="FD526" s="15">
        <f>IF(FB526=2024,G_IDX_2024,IF(FB526=2025,G_IDX_2025,IF(FB526=2026,G_IDX_2026,IF(FB526=2027,G_IDX_2027,$FB$13))))</f>
        <v>0.033</v>
      </c>
      <c r="FE526" s="8">
        <f>$FB$20*(1+G_HI)^(FB526-COST_DATE)</f>
        <v>2077.9195746884116</v>
      </c>
      <c r="FF526" s="8">
        <f>FF525*(1+FD526)</f>
        <v>1593.8082073979303</v>
      </c>
      <c r="FG526" s="8">
        <f>IF(FB526&lt;RULE_START,FF526,FG525*(1+G_HI))</f>
        <v>2044.4333066587046</v>
      </c>
      <c r="FH526" s="8">
        <f>IF(FB526&lt;RULE_START,FF526,IF(FI526=1,R_NF_2024*(1+G_HI)^(FB526-2024),FH525*(1+FD526)))</f>
        <v>2122.476758051387</v>
      </c>
      <c r="FI526">
        <f>IF(AND(FB526&gt;=RULE_START,MOD(FB526-RULE_START,REBASE_YEARS)=0),1,0)</f>
        <v>0</v>
      </c>
      <c r="FJ526" s="8">
        <f>FF526*CAP_SHARE</f>
        <v>77.93296417395497</v>
      </c>
      <c r="FK526" s="8">
        <f>FG526*CAP_SHARE</f>
        <v>99.96732787817366</v>
      </c>
      <c r="FL526" s="8">
        <f>FH526*CAP_SHARE</f>
        <v>103.7834441920227</v>
      </c>
      <c r="FM526" s="8">
        <f>FF526-FJ526-FE526</f>
        <v>-562.0443314644363</v>
      </c>
      <c r="FN526" s="8">
        <f>FG526-FK526-FE526</f>
        <v>-133.45359590788053</v>
      </c>
      <c r="FO526" s="8">
        <f>FH526-FL526-FE526</f>
        <v>-59.22626082904708</v>
      </c>
      <c r="FP526" s="8">
        <f>R_NF_2024*(1+G_HI)^(FB526-2024)</f>
        <v>2152.0410349917424</v>
      </c>
      <c r="FQ526" s="10">
        <f>1-FF526/FP526</f>
        <v>0.2593969252988496</v>
      </c>
      <c r="FR526" s="10">
        <f>CPI_2023/(IF(FB526-1=2023,CPI_2023,IF(FB526-1=2024,CPI_2024,IF(FB526-1=2025,CPI_2025,CPI_2025*(1+INFL)^(FB526-1-2025)))))</f>
        <v>0.41491779858838684</v>
      </c>
      <c r="FS526" s="8">
        <f>$FB$21*ABS($FB$11)*(FG526-FF526)/FF526</f>
        <v>28187.269529536887</v>
      </c>
      <c r="FT526" s="8">
        <f>$FB$21*ABS($FB$11)*(FH526-FF526)/FF526</f>
        <v>33069.00337665183</v>
      </c>
      <c r="FU526" s="13">
        <f>(FG526-FF526)*MCD_NF_DAYS*FR526-FS526*MCD_SHARE_FREED*R_WAIT_2023</f>
        <v>85692107.462161</v>
      </c>
      <c r="FV526" s="13">
        <f>(FH526-FF526)*MCD_NF_DAYS*FR526-FT526*MCD_SHARE_FREED*R_WAIT_2023</f>
        <v>100533064.68897882</v>
      </c>
      <c r="FW526" s="10">
        <f>IF(AND(FB526&gt;=RULE_START,FC526=1),1/(1+$FB$12)^(FB526-RULE_START+1),0)</f>
        <v>0</v>
      </c>
      <c r="FX526">
        <f>IF(AND(FB526&gt;=RULE_START,FC526=1,FM526&lt;0),FB526,9999)</f>
        <v>9999</v>
      </c>
      <c r="FY526">
        <f>IF(AND(FB526&gt;=RULE_START,FC526=1,FN526&lt;0),FB526,9999)</f>
        <v>9999</v>
      </c>
      <c r="FZ526">
        <f>IF(AND(FB526&gt;=RULE_START,FC526=1,FO526&lt;0),FB526,9999)</f>
        <v>9999</v>
      </c>
      <c r="GB526" t="n">
        <v>2062</v>
      </c>
      <c r="GC526">
        <f>IF(GB526&lt;=RULE_START+$GB$38-1,1,0)</f>
        <v>0</v>
      </c>
      <c r="GD526" s="15">
        <f>IF(GB526=2024,G_IDX_2024,IF(GB526=2025,G_IDX_2025,IF(GB526=2026,G_IDX_2026,IF(GB526=2027,G_IDX_2027,$GB$13))))</f>
        <v>0.033</v>
      </c>
      <c r="GE526" s="8">
        <f>$GB$20*(1+G_HI)^(GB526-COST_DATE)</f>
        <v>2019.0985533471453</v>
      </c>
      <c r="GF526" s="8">
        <f>GF525*(1+GD526)</f>
        <v>1593.8082073979303</v>
      </c>
      <c r="GG526" s="8">
        <f>IF(GB526&lt;RULE_START,GF526,GG525*(1+G_HI))</f>
        <v>2044.4333066587046</v>
      </c>
      <c r="GH526" s="8">
        <f>IF(GB526&lt;RULE_START,GF526,IF(GI526=1,R_NF_2024*(1+G_HI)^(GB526-2024),GH525*(1+GD526)))</f>
        <v>2122.476758051387</v>
      </c>
      <c r="GI526">
        <f>IF(AND(GB526&gt;=RULE_START,MOD(GB526-RULE_START,REBASE_YEARS)=0),1,0)</f>
        <v>0</v>
      </c>
      <c r="GJ526" s="8">
        <f>GF526*CAP_SHARE</f>
        <v>77.93296417395497</v>
      </c>
      <c r="GK526" s="8">
        <f>GG526*CAP_SHARE</f>
        <v>99.96732787817366</v>
      </c>
      <c r="GL526" s="8">
        <f>GH526*CAP_SHARE</f>
        <v>103.7834441920227</v>
      </c>
      <c r="GM526" s="8">
        <f>GF526-GJ526-GE526</f>
        <v>-503.22331012317</v>
      </c>
      <c r="GN526" s="8">
        <f>GG526-GK526-GE526</f>
        <v>-74.63257456661427</v>
      </c>
      <c r="GO526" s="8">
        <f>GH526-GL526-GE526</f>
        <v>-0.4052394877808183</v>
      </c>
      <c r="GP526" s="8">
        <f>R_NF_2024*(1+G_HI)^(GB526-2024)</f>
        <v>2152.0410349917424</v>
      </c>
      <c r="GQ526" s="10">
        <f>1-GF526/GP526</f>
        <v>0.2593969252988496</v>
      </c>
      <c r="GR526" s="10">
        <f>CPI_2023/(IF(GB526-1=2023,CPI_2023,IF(GB526-1=2024,CPI_2024,IF(GB526-1=2025,CPI_2025,CPI_2025*(1+INFL)^(GB526-1-2025)))))</f>
        <v>0.41491779858838684</v>
      </c>
      <c r="GS526" s="8">
        <f>$GB$21*ABS($GB$11)*(GG526-GF526)/GF526</f>
        <v>21277.159984990125</v>
      </c>
      <c r="GT526" s="8">
        <f>$GB$21*ABS($GB$11)*(GH526-GF526)/GF526</f>
        <v>24962.13670685257</v>
      </c>
      <c r="GU526" s="13">
        <f>(GG526-GF526)*MCD_NF_DAYS*GR526-GS526*MCD_SHARE_FREED*R_WAIT_2023</f>
        <v>88834263.70497218</v>
      </c>
      <c r="GV526" s="13">
        <f>(GH526-GF526)*MCD_NF_DAYS*GR526-GT526*MCD_SHARE_FREED*R_WAIT_2023</f>
        <v>104219408.81303835</v>
      </c>
      <c r="GW526" s="10">
        <f>IF(AND(GB526&gt;=RULE_START,GC526=1),1/(1+$GB$12)^(GB526-RULE_START+1),0)</f>
        <v>0</v>
      </c>
      <c r="GX526">
        <f>IF(AND(GB526&gt;=RULE_START,GC526=1,GM526&lt;0),GB526,9999)</f>
        <v>9999</v>
      </c>
      <c r="GY526">
        <f>IF(AND(GB526&gt;=RULE_START,GC526=1,GN526&lt;0),GB526,9999)</f>
        <v>9999</v>
      </c>
      <c r="GZ526">
        <f>IF(AND(GB526&gt;=RULE_START,GC526=1,GO526&lt;0),GB526,9999)</f>
        <v>9999</v>
      </c>
      <c r="HB526" t="n">
        <v>2062</v>
      </c>
      <c r="HC526">
        <f>IF(HB526&lt;=RULE_START+$HB$38-1,1,0)</f>
        <v>0</v>
      </c>
      <c r="HD526" s="15">
        <f>IF(HB526=2024,G_IDX_2024,IF(HB526=2025,G_IDX_2025,IF(HB526=2026,G_IDX_2026,IF(HB526=2027,G_IDX_2027,$HB$13))))</f>
        <v>0.033</v>
      </c>
      <c r="HE526" s="8">
        <f>$HB$20*(1+G_HI)^(HB526-COST_DATE)</f>
        <v>2019.0985533471453</v>
      </c>
      <c r="HF526" s="8">
        <f>HF525*(1+HD526)</f>
        <v>1593.8082073979303</v>
      </c>
      <c r="HG526" s="8">
        <f>IF(HB526&lt;RULE_START,HF526,HG525*(1+G_HI))</f>
        <v>2044.4333066587046</v>
      </c>
      <c r="HH526" s="8">
        <f>IF(HB526&lt;RULE_START,HF526,IF(HI526=1,R_NF_2024*(1+G_HI)^(HB526-2024),HH525*(1+HD526)))</f>
        <v>2122.476758051387</v>
      </c>
      <c r="HI526">
        <f>IF(AND(HB526&gt;=RULE_START,MOD(HB526-RULE_START,REBASE_YEARS)=0),1,0)</f>
        <v>0</v>
      </c>
      <c r="HJ526" s="8">
        <f>HF526*CAP_SHARE</f>
        <v>77.93296417395497</v>
      </c>
      <c r="HK526" s="8">
        <f>HG526*CAP_SHARE</f>
        <v>99.96732787817366</v>
      </c>
      <c r="HL526" s="8">
        <f>HH526*CAP_SHARE</f>
        <v>103.7834441920227</v>
      </c>
      <c r="HM526" s="8">
        <f>HF526-HJ526-HE526</f>
        <v>-503.22331012317</v>
      </c>
      <c r="HN526" s="8">
        <f>HG526-HK526-HE526</f>
        <v>-74.63257456661427</v>
      </c>
      <c r="HO526" s="8">
        <f>HH526-HL526-HE526</f>
        <v>-0.4052394877808183</v>
      </c>
      <c r="HP526" s="8">
        <f>R_NF_2024*(1+G_HI)^(HB526-2024)</f>
        <v>2152.0410349917424</v>
      </c>
      <c r="HQ526" s="10">
        <f>1-HF526/HP526</f>
        <v>0.2593969252988496</v>
      </c>
      <c r="HR526" s="10">
        <f>CPI_2023/(IF(HB526-1=2023,CPI_2023,IF(HB526-1=2024,CPI_2024,IF(HB526-1=2025,CPI_2025,CPI_2025*(1+INFL)^(HB526-1-2025)))))</f>
        <v>0.41491779858838684</v>
      </c>
      <c r="HS526" s="8">
        <f>$HB$21*ABS($HB$11)*(HG526-HF526)/HF526</f>
        <v>28187.269529536887</v>
      </c>
      <c r="HT526" s="8">
        <f>$HB$21*ABS($HB$11)*(HH526-HF526)/HF526</f>
        <v>33069.00337665183</v>
      </c>
      <c r="HU526" s="13">
        <f>(HG526-HF526)*MCD_NF_DAYS*HR526-HS526*MCD_SHARE_FREED*R_WAIT_2023</f>
        <v>85692107.462161</v>
      </c>
      <c r="HV526" s="13">
        <f>(HH526-HF526)*MCD_NF_DAYS*HR526-HT526*MCD_SHARE_FREED*R_WAIT_2023</f>
        <v>100533064.68897882</v>
      </c>
      <c r="HW526" s="10">
        <f>IF(AND(HB526&gt;=RULE_START,HC526=1),1/(1+$HB$12)^(HB526-RULE_START+1),0)</f>
        <v>0</v>
      </c>
      <c r="HX526">
        <f>IF(AND(HB526&gt;=RULE_START,HC526=1,HM526&lt;0),HB526,9999)</f>
        <v>9999</v>
      </c>
      <c r="HY526">
        <f>IF(AND(HB526&gt;=RULE_START,HC526=1,HN526&lt;0),HB526,9999)</f>
        <v>9999</v>
      </c>
      <c r="HZ526">
        <f>IF(AND(HB526&gt;=RULE_START,HC526=1,HO526&lt;0),HB526,9999)</f>
        <v>9999</v>
      </c>
      <c r="IB526" t="n">
        <v>2062</v>
      </c>
      <c r="IC526">
        <f>IF(IB526&lt;=RULE_START+$IB$38-1,1,0)</f>
        <v>0</v>
      </c>
      <c r="ID526" s="15">
        <f>IF(IB526=2024,G_IDX_2024,IF(IB526=2025,G_IDX_2025,IF(IB526=2026,G_IDX_2026,IF(IB526=2027,G_IDX_2027,$IB$13))))</f>
        <v>0.033</v>
      </c>
      <c r="IE526" s="8">
        <f>$IB$20*(1+G_HI)^(IB526-COST_DATE)</f>
        <v>2019.0985533471453</v>
      </c>
      <c r="IF526" s="8">
        <f>IF525*(1+ID526)</f>
        <v>1593.8082073979303</v>
      </c>
      <c r="IG526" s="8">
        <f>IF(IB526&lt;RULE_START,IF526,IG525*(1+G_HI))</f>
        <v>2044.4333066587046</v>
      </c>
      <c r="IH526" s="8">
        <f>IF(IB526&lt;RULE_START,IF526,IF(II526=1,R_NF_2024*(1+G_HI)^(IB526-2024),IH525*(1+ID526)))</f>
        <v>2122.476758051387</v>
      </c>
      <c r="II526">
        <f>IF(AND(IB526&gt;=RULE_START,MOD(IB526-RULE_START,REBASE_YEARS)=0),1,0)</f>
        <v>0</v>
      </c>
      <c r="IJ526" s="8">
        <f>IF526*CAP_SHARE</f>
        <v>77.93296417395497</v>
      </c>
      <c r="IK526" s="8">
        <f>IG526*CAP_SHARE</f>
        <v>99.96732787817366</v>
      </c>
      <c r="IL526" s="8">
        <f>IH526*CAP_SHARE</f>
        <v>103.7834441920227</v>
      </c>
      <c r="IM526" s="8">
        <f>IF526-IJ526-IE526</f>
        <v>-503.22331012317</v>
      </c>
      <c r="IN526" s="8">
        <f>IG526-IK526-IE526</f>
        <v>-74.63257456661427</v>
      </c>
      <c r="IO526" s="8">
        <f>IH526-IL526-IE526</f>
        <v>-0.4052394877808183</v>
      </c>
      <c r="IP526" s="8">
        <f>R_NF_2024*(1+G_HI)^(IB526-2024)</f>
        <v>2152.0410349917424</v>
      </c>
      <c r="IQ526" s="10">
        <f>1-IF526/IP526</f>
        <v>0.2593969252988496</v>
      </c>
      <c r="IR526" s="10">
        <f>CPI_2023/(IF(IB526-1=2023,CPI_2023,IF(IB526-1=2024,CPI_2024,IF(IB526-1=2025,CPI_2025,CPI_2025*(1+INFL)^(IB526-1-2025)))))</f>
        <v>0.41491779858838684</v>
      </c>
      <c r="IS526" s="8">
        <f>$IB$21*ABS($IB$11)*(IG526-IF526)/IF526</f>
        <v>28187.269529536887</v>
      </c>
      <c r="IT526" s="8">
        <f>$IB$21*ABS($IB$11)*(IH526-IF526)/IF526</f>
        <v>33069.00337665183</v>
      </c>
      <c r="IU526" s="13">
        <f>(IG526-IF526)*MCD_NF_DAYS*IR526-IS526*MCD_SHARE_FREED*R_WAIT_2023</f>
        <v>85692107.462161</v>
      </c>
      <c r="IV526" s="13">
        <f>(IH526-IF526)*MCD_NF_DAYS*IR526-IT526*MCD_SHARE_FREED*R_WAIT_2023</f>
        <v>100533064.68897882</v>
      </c>
      <c r="IW526" s="10">
        <f>IF(AND(IB526&gt;=RULE_START,IC526=1),1/(1+$IB$12)^(IB526-RULE_START+1),0)</f>
        <v>0</v>
      </c>
      <c r="IX526">
        <f>IF(AND(IB526&gt;=RULE_START,IC526=1,IM526&lt;0),IB526,9999)</f>
        <v>9999</v>
      </c>
      <c r="IY526">
        <f>IF(AND(IB526&gt;=RULE_START,IC526=1,IN526&lt;0),IB526,9999)</f>
        <v>9999</v>
      </c>
      <c r="IZ526">
        <f>IF(AND(IB526&gt;=RULE_START,IC526=1,IO526&lt;0),IB526,9999)</f>
        <v>9999</v>
      </c>
      <c r="JB526" t="n">
        <v>2062</v>
      </c>
      <c r="JC526">
        <f>IF(JB526&lt;=RULE_START+$JB$38-1,1,0)</f>
        <v>0</v>
      </c>
      <c r="JD526" s="15">
        <f>IF(JB526=2024,G_IDX_2024,IF(JB526=2025,G_IDX_2025,IF(JB526=2026,G_IDX_2026,IF(JB526=2027,G_IDX_2027,$JB$13))))</f>
        <v>0.03</v>
      </c>
      <c r="JE526" s="8">
        <f>$JB$20*(1+G_HI)^(JB526-COST_DATE)</f>
        <v>2019.0985533471453</v>
      </c>
      <c r="JF526" s="8">
        <f>JF525*(1+JD526)</f>
        <v>1439.5530380849073</v>
      </c>
      <c r="JG526" s="8">
        <f>IF(JB526&lt;RULE_START,JF526,JG525*(1+G_HI))</f>
        <v>2044.4333066587046</v>
      </c>
      <c r="JH526" s="8">
        <f>IF(JB526&lt;RULE_START,JF526,IF(JI526=1,R_NF_2024*(1+G_HI)^(JB526-2024),JH525*(1+JD526)))</f>
        <v>2110.16662398049</v>
      </c>
      <c r="JI526">
        <f>IF(AND(JB526&gt;=RULE_START,MOD(JB526-RULE_START,REBASE_YEARS)=0),1,0)</f>
        <v>0</v>
      </c>
      <c r="JJ526" s="8">
        <f>JF526*CAP_SHARE</f>
        <v>70.3902984203724</v>
      </c>
      <c r="JK526" s="8">
        <f>JG526*CAP_SHARE</f>
        <v>99.96732787817366</v>
      </c>
      <c r="JL526" s="8">
        <f>JH526*CAP_SHARE</f>
        <v>103.18151151714328</v>
      </c>
      <c r="JM526" s="8">
        <f>JF526-JJ526-JE526</f>
        <v>-649.9358136826104</v>
      </c>
      <c r="JN526" s="8">
        <f>JG526-JK526-JE526</f>
        <v>-74.63257456661427</v>
      </c>
      <c r="JO526" s="8">
        <f>JH526-JL526-JE526</f>
        <v>-12.113440883798603</v>
      </c>
      <c r="JP526" s="8">
        <f>R_NF_2024*(1+G_HI)^(JB526-2024)</f>
        <v>2152.0410349917424</v>
      </c>
      <c r="JQ526" s="10">
        <f>1-JF526/JP526</f>
        <v>0.33107546990132974</v>
      </c>
      <c r="JR526" s="10">
        <f>CPI_2023/(IF(JB526-1=2023,CPI_2023,IF(JB526-1=2024,CPI_2024,IF(JB526-1=2025,CPI_2025,CPI_2025*(1+INFL)^(JB526-1-2025)))))</f>
        <v>0.41491779858838684</v>
      </c>
      <c r="JS526" s="8">
        <f>$JB$21*ABS($JB$11)*(JG526-JF526)/JF526</f>
        <v>41890.48966521618</v>
      </c>
      <c r="JT526" s="8">
        <f>$JB$21*ABS($JB$11)*(JH526-JF526)/JF526</f>
        <v>46442.79694483886</v>
      </c>
      <c r="JU526" s="13">
        <f>(JG526-JF526)*MCD_NF_DAYS*JR526-JS526*MCD_SHARE_FREED*R_WAIT_2023</f>
        <v>113182114.60978067</v>
      </c>
      <c r="JV526" s="13">
        <f>(JH526-JF526)*MCD_NF_DAYS*JR526-JT526*MCD_SHARE_FREED*R_WAIT_2023</f>
        <v>125481798.103073</v>
      </c>
      <c r="JW526" s="10">
        <f>IF(AND(JB526&gt;=RULE_START,JC526=1),1/(1+$JB$12)^(JB526-RULE_START+1),0)</f>
        <v>0</v>
      </c>
      <c r="JX526">
        <f>IF(AND(JB526&gt;=RULE_START,JC526=1,JM526&lt;0),JB526,9999)</f>
        <v>9999</v>
      </c>
      <c r="JY526">
        <f>IF(AND(JB526&gt;=RULE_START,JC526=1,JN526&lt;0),JB526,9999)</f>
        <v>9999</v>
      </c>
      <c r="JZ526">
        <f>IF(AND(JB526&gt;=RULE_START,JC526=1,JO526&lt;0),JB526,9999)</f>
        <v>9999</v>
      </c>
      <c r="KB526" t="n">
        <v>2062</v>
      </c>
      <c r="KC526">
        <f>IF(KB526&lt;=RULE_START+$KB$38-1,1,0)</f>
        <v>0</v>
      </c>
      <c r="KD526" s="15">
        <f>IF(KB526=2024,G_IDX_2024,IF(KB526=2025,G_IDX_2025,IF(KB526=2026,G_IDX_2026,IF(KB526=2027,G_IDX_2027,$KB$13))))</f>
        <v>0.033</v>
      </c>
      <c r="KE526" s="8">
        <f>$KB$20*(1+G_HI)^(KB526-COST_DATE)</f>
        <v>2019.0985533471453</v>
      </c>
      <c r="KF526" s="8">
        <f>KF525*(1+KD526)</f>
        <v>1593.8082073979303</v>
      </c>
      <c r="KG526" s="8">
        <f>IF(KB526&lt;RULE_START,KF526,KG525*(1+G_HI))</f>
        <v>2044.4333066587046</v>
      </c>
      <c r="KH526" s="8">
        <f>IF(KB526&lt;RULE_START,KF526,IF(KI526=1,R_NF_2024*(1+G_HI)^(KB526-2024),KH525*(1+KD526)))</f>
        <v>2122.476758051387</v>
      </c>
      <c r="KI526">
        <f>IF(AND(KB526&gt;=RULE_START,MOD(KB526-RULE_START,REBASE_YEARS)=0),1,0)</f>
        <v>0</v>
      </c>
      <c r="KJ526" s="8">
        <f>KF526*CAP_SHARE</f>
        <v>77.93296417395497</v>
      </c>
      <c r="KK526" s="8">
        <f>KG526*CAP_SHARE</f>
        <v>99.96732787817366</v>
      </c>
      <c r="KL526" s="8">
        <f>KH526*CAP_SHARE</f>
        <v>103.7834441920227</v>
      </c>
      <c r="KM526" s="8">
        <f>KF526-KJ526-KE526</f>
        <v>-503.22331012317</v>
      </c>
      <c r="KN526" s="8">
        <f>KG526-KK526-KE526</f>
        <v>-74.63257456661427</v>
      </c>
      <c r="KO526" s="8">
        <f>KH526-KL526-KE526</f>
        <v>-0.4052394877808183</v>
      </c>
      <c r="KP526" s="8">
        <f>R_NF_2024*(1+G_HI)^(KB526-2024)</f>
        <v>2152.0410349917424</v>
      </c>
      <c r="KQ526" s="10">
        <f>1-KF526/KP526</f>
        <v>0.2593969252988496</v>
      </c>
      <c r="KR526" s="10">
        <f>CPI_2023/(IF(KB526-1=2023,CPI_2023,IF(KB526-1=2024,CPI_2024,IF(KB526-1=2025,CPI_2025,CPI_2025*(1+INFL)^(KB526-1-2025)))))</f>
        <v>0.41491779858838684</v>
      </c>
      <c r="KS526" s="8">
        <f>$KB$21*ABS($KB$11)*(KG526-KF526)/KF526</f>
        <v>28187.269529536887</v>
      </c>
      <c r="KT526" s="8">
        <f>$KB$21*ABS($KB$11)*(KH526-KF526)/KF526</f>
        <v>33069.00337665183</v>
      </c>
      <c r="KU526" s="13">
        <f>(KG526-KF526)*MCD_NF_DAYS*KR526-KS526*MCD_SHARE_FREED*R_WAIT_2023</f>
        <v>85692107.462161</v>
      </c>
      <c r="KV526" s="13">
        <f>(KH526-KF526)*MCD_NF_DAYS*KR526-KT526*MCD_SHARE_FREED*R_WAIT_2023</f>
        <v>100533064.68897882</v>
      </c>
      <c r="KW526" s="10">
        <f>IF(AND(KB526&gt;=RULE_START,KC526=1),1/(1+$KB$12)^(KB526-RULE_START+1),0)</f>
        <v>0</v>
      </c>
      <c r="KX526">
        <f>IF(AND(KB526&gt;=RULE_START,KC526=1,KM526&lt;0),KB526,9999)</f>
        <v>9999</v>
      </c>
      <c r="KY526">
        <f>IF(AND(KB526&gt;=RULE_START,KC526=1,KN526&lt;0),KB526,9999)</f>
        <v>9999</v>
      </c>
      <c r="KZ526">
        <f>IF(AND(KB526&gt;=RULE_START,KC526=1,KO526&lt;0),KB526,9999)</f>
        <v>9999</v>
      </c>
      <c r="LB526" t="n">
        <v>2062</v>
      </c>
      <c r="LC526">
        <f>IF(LB526&lt;=RULE_START+$LB$38-1,1,0)</f>
        <v>0</v>
      </c>
      <c r="LD526" s="15">
        <f>IF(LB526=2024,G_IDX_2024,IF(LB526=2025,G_IDX_2025,IF(LB526=2026,G_IDX_2026,IF(LB526=2027,G_IDX_2027,$LB$13))))</f>
        <v>0.033</v>
      </c>
      <c r="LE526" s="8">
        <f>$LB$20*(1+G_HI)^(LB526-COST_DATE)</f>
        <v>2019.0985533471453</v>
      </c>
      <c r="LF526" s="8">
        <f>LF525*(1+LD526)</f>
        <v>1593.8082073979303</v>
      </c>
      <c r="LG526" s="8">
        <f>IF(LB526&lt;RULE_START,LF526,LG525*(1+G_HI))</f>
        <v>2044.4333066587046</v>
      </c>
      <c r="LH526" s="8">
        <f>IF(LB526&lt;RULE_START,LF526,IF(LI526=1,R_NF_2024*(1+G_HI)^(LB526-2024),LH525*(1+LD526)))</f>
        <v>2122.476758051387</v>
      </c>
      <c r="LI526">
        <f>IF(AND(LB526&gt;=RULE_START,MOD(LB526-RULE_START,REBASE_YEARS)=0),1,0)</f>
        <v>0</v>
      </c>
      <c r="LJ526" s="8">
        <f>LF526*CAP_SHARE</f>
        <v>77.93296417395497</v>
      </c>
      <c r="LK526" s="8">
        <f>LG526*CAP_SHARE</f>
        <v>99.96732787817366</v>
      </c>
      <c r="LL526" s="8">
        <f>LH526*CAP_SHARE</f>
        <v>103.7834441920227</v>
      </c>
      <c r="LM526" s="8">
        <f>LF526-LJ526-LE526</f>
        <v>-503.22331012317</v>
      </c>
      <c r="LN526" s="8">
        <f>LG526-LK526-LE526</f>
        <v>-74.63257456661427</v>
      </c>
      <c r="LO526" s="8">
        <f>LH526-LL526-LE526</f>
        <v>-0.4052394877808183</v>
      </c>
      <c r="LP526" s="8">
        <f>R_NF_2024*(1+G_HI)^(LB526-2024)</f>
        <v>2152.0410349917424</v>
      </c>
      <c r="LQ526" s="10">
        <f>1-LF526/LP526</f>
        <v>0.2593969252988496</v>
      </c>
      <c r="LR526" s="10">
        <f>CPI_2023/(IF(LB526-1=2023,CPI_2023,IF(LB526-1=2024,CPI_2024,IF(LB526-1=2025,CPI_2025,CPI_2025*(1+INFL)^(LB526-1-2025)))))</f>
        <v>0.41491779858838684</v>
      </c>
      <c r="LS526" s="8">
        <f>$LB$21*ABS($LB$11)*(LG526-LF526)/LF526</f>
        <v>28187.269529536887</v>
      </c>
      <c r="LT526" s="8">
        <f>$LB$21*ABS($LB$11)*(LH526-LF526)/LF526</f>
        <v>33069.00337665183</v>
      </c>
      <c r="LU526" s="13">
        <f>(LG526-LF526)*MCD_NF_DAYS*LR526-LS526*MCD_SHARE_FREED*R_WAIT_2023</f>
        <v>85692107.462161</v>
      </c>
      <c r="LV526" s="13">
        <f>(LH526-LF526)*MCD_NF_DAYS*LR526-LT526*MCD_SHARE_FREED*R_WAIT_2023</f>
        <v>100533064.68897882</v>
      </c>
      <c r="LW526" s="10">
        <f>IF(AND(LB526&gt;=RULE_START,LC526=1),1/(1+$LB$12)^(LB526-RULE_START+1),0)</f>
        <v>0</v>
      </c>
      <c r="LX526">
        <f>IF(AND(LB526&gt;=RULE_START,LC526=1,LM526&lt;0),LB526,9999)</f>
        <v>9999</v>
      </c>
      <c r="LY526">
        <f>IF(AND(LB526&gt;=RULE_START,LC526=1,LN526&lt;0),LB526,9999)</f>
        <v>9999</v>
      </c>
      <c r="LZ526">
        <f>IF(AND(LB526&gt;=RULE_START,LC526=1,LO526&lt;0),LB526,9999)</f>
        <v>9999</v>
      </c>
      <c r="MB526" t="n">
        <v>2062</v>
      </c>
      <c r="MC526">
        <f>IF(MB526&lt;=RULE_START+$MB$38-1,1,0)</f>
        <v>0</v>
      </c>
      <c r="MD526" s="15">
        <f>IF(MB526=2024,G_IDX_2024,IF(MB526=2025,G_IDX_2025,IF(MB526=2026,G_IDX_2026,IF(MB526=2027,G_IDX_2027,$MB$13))))</f>
        <v>0.033</v>
      </c>
      <c r="ME526" s="8">
        <f>$MB$20*(1+G_HI)^(MB526-COST_DATE)</f>
        <v>2019.0985533471453</v>
      </c>
      <c r="MF526" s="8">
        <f>MF525*(1+MD526)</f>
        <v>1593.8082073979303</v>
      </c>
      <c r="MG526" s="8">
        <f>IF(MB526&lt;RULE_START,MF526,MG525*(1+G_HI))</f>
        <v>2044.4333066587046</v>
      </c>
      <c r="MH526" s="8">
        <f>IF(MB526&lt;RULE_START,MF526,IF(MI526=1,R_NF_2024*(1+G_HI)^(MB526-2024),MH525*(1+MD526)))</f>
        <v>2122.476758051387</v>
      </c>
      <c r="MI526">
        <f>IF(AND(MB526&gt;=RULE_START,MOD(MB526-RULE_START,REBASE_YEARS)=0),1,0)</f>
        <v>0</v>
      </c>
      <c r="MJ526" s="8">
        <f>MF526*CAP_SHARE</f>
        <v>77.93296417395497</v>
      </c>
      <c r="MK526" s="8">
        <f>MG526*CAP_SHARE</f>
        <v>99.96732787817366</v>
      </c>
      <c r="ML526" s="8">
        <f>MH526*CAP_SHARE</f>
        <v>103.7834441920227</v>
      </c>
      <c r="MM526" s="8">
        <f>MF526-MJ526-ME526</f>
        <v>-503.22331012317</v>
      </c>
      <c r="MN526" s="8">
        <f>MG526-MK526-ME526</f>
        <v>-74.63257456661427</v>
      </c>
      <c r="MO526" s="8">
        <f>MH526-ML526-ME526</f>
        <v>-0.4052394877808183</v>
      </c>
      <c r="MP526" s="8">
        <f>R_NF_2024*(1+G_HI)^(MB526-2024)</f>
        <v>2152.0410349917424</v>
      </c>
      <c r="MQ526" s="10">
        <f>1-MF526/MP526</f>
        <v>0.2593969252988496</v>
      </c>
      <c r="MR526" s="10">
        <f>CPI_2023/(IF(MB526-1=2023,CPI_2023,IF(MB526-1=2024,CPI_2024,IF(MB526-1=2025,CPI_2025,CPI_2025*(1+INFL)^(MB526-1-2025)))))</f>
        <v>0.41491779858838684</v>
      </c>
      <c r="MS526" s="8">
        <f>$MB$21*ABS($MB$11)*(MG526-MF526)/MF526</f>
        <v>20649.70119113912</v>
      </c>
      <c r="MT526" s="8">
        <f>$MB$21*ABS($MB$11)*(MH526-MF526)/MF526</f>
        <v>24226.008755515322</v>
      </c>
      <c r="MU526" s="13">
        <f>(MG526-MF526)*MCD_NF_DAYS*MR526-MS526*MCD_SHARE_FREED*R_WAIT_2023</f>
        <v>89119580.97143456</v>
      </c>
      <c r="MV526" s="13">
        <f>(MH526-MF526)*MCD_NF_DAYS*MR526-MT526*MCD_SHARE_FREED*R_WAIT_2023</f>
        <v>104554139.98088612</v>
      </c>
      <c r="MW526" s="10">
        <f>IF(AND(MB526&gt;=RULE_START,MC526=1),1/(1+$MB$12)^(MB526-RULE_START+1),0)</f>
        <v>0</v>
      </c>
      <c r="MX526">
        <f>IF(AND(MB526&gt;=RULE_START,MC526=1,MM526&lt;0),MB526,9999)</f>
        <v>9999</v>
      </c>
      <c r="MY526">
        <f>IF(AND(MB526&gt;=RULE_START,MC526=1,MN526&lt;0),MB526,9999)</f>
        <v>9999</v>
      </c>
      <c r="MZ526">
        <f>IF(AND(MB526&gt;=RULE_START,MC526=1,MO526&lt;0),MB526,9999)</f>
        <v>9999</v>
      </c>
      <c r="NB526" t="n">
        <v>2062</v>
      </c>
      <c r="NC526">
        <f>IF(NB526&lt;=RULE_START+$NB$38-1,1,0)</f>
        <v>0</v>
      </c>
      <c r="ND526" s="15">
        <f>IF(NB526=2024,G_IDX_2024,IF(NB526=2025,G_IDX_2025,IF(NB526=2026,G_IDX_2026,IF(NB526=2027,G_IDX_2027,$NB$13))))</f>
        <v>0.033</v>
      </c>
      <c r="NE526" s="8">
        <f>$NB$20*(1+G_HI)^(NB526-COST_DATE)</f>
        <v>2019.0985533471453</v>
      </c>
      <c r="NF526" s="8">
        <f>NF525*(1+ND526)</f>
        <v>1593.8082073979303</v>
      </c>
      <c r="NG526" s="8">
        <f>IF(NB526&lt;RULE_START,NF526,NG525*(1+G_HI))</f>
        <v>2044.4333066587046</v>
      </c>
      <c r="NH526" s="8">
        <f>IF(NB526&lt;RULE_START,NF526,IF(NI526=1,R_NF_2024*(1+G_HI)^(NB526-2024),NH525*(1+ND526)))</f>
        <v>2122.476758051387</v>
      </c>
      <c r="NI526">
        <f>IF(AND(NB526&gt;=RULE_START,MOD(NB526-RULE_START,REBASE_YEARS)=0),1,0)</f>
        <v>0</v>
      </c>
      <c r="NJ526" s="8">
        <f>NF526*CAP_SHARE</f>
        <v>77.93296417395497</v>
      </c>
      <c r="NK526" s="8">
        <f>NG526*CAP_SHARE</f>
        <v>99.96732787817366</v>
      </c>
      <c r="NL526" s="8">
        <f>NH526*CAP_SHARE</f>
        <v>103.7834441920227</v>
      </c>
      <c r="NM526" s="8">
        <f>NF526-NJ526-NE526</f>
        <v>-503.22331012317</v>
      </c>
      <c r="NN526" s="8">
        <f>NG526-NK526-NE526</f>
        <v>-74.63257456661427</v>
      </c>
      <c r="NO526" s="8">
        <f>NH526-NL526-NE526</f>
        <v>-0.4052394877808183</v>
      </c>
      <c r="NP526" s="8">
        <f>R_NF_2024*(1+G_HI)^(NB526-2024)</f>
        <v>2152.0410349917424</v>
      </c>
      <c r="NQ526" s="10">
        <f>1-NF526/NP526</f>
        <v>0.2593969252988496</v>
      </c>
      <c r="NR526" s="10">
        <f>CPI_2023/(IF(NB526-1=2023,CPI_2023,IF(NB526-1=2024,CPI_2024,IF(NB526-1=2025,CPI_2025,CPI_2025*(1+INFL)^(NB526-1-2025)))))</f>
        <v>0.41491779858838684</v>
      </c>
      <c r="NS526" s="8">
        <f>$NB$21*ABS($NB$11)*(NG526-NF526)/NF526</f>
        <v>28187.269529536887</v>
      </c>
      <c r="NT526" s="8">
        <f>$NB$21*ABS($NB$11)*(NH526-NF526)/NF526</f>
        <v>33069.00337665183</v>
      </c>
      <c r="NU526" s="13">
        <f>(NG526-NF526)*MCD_NF_DAYS*NR526-NS526*MCD_SHARE_FREED*R_WAIT_2023</f>
        <v>85692107.462161</v>
      </c>
      <c r="NV526" s="13">
        <f>(NH526-NF526)*MCD_NF_DAYS*NR526-NT526*MCD_SHARE_FREED*R_WAIT_2023</f>
        <v>100533064.68897882</v>
      </c>
      <c r="NW526" s="10">
        <f>IF(AND(NB526&gt;=RULE_START,NC526=1),1/(1+$NB$12)^(NB526-RULE_START+1),0)</f>
        <v>0</v>
      </c>
      <c r="NX526">
        <f>IF(AND(NB526&gt;=RULE_START,NC526=1,NM526&lt;0),NB526,9999)</f>
        <v>9999</v>
      </c>
      <c r="NY526">
        <f>IF(AND(NB526&gt;=RULE_START,NC526=1,NN526&lt;0),NB526,9999)</f>
        <v>9999</v>
      </c>
      <c r="NZ526">
        <f>IF(AND(NB526&gt;=RULE_START,NC526=1,NO526&lt;0),NB526,9999)</f>
        <v>9999</v>
      </c>
      <c r="OB526" t="n">
        <v>2062</v>
      </c>
      <c r="OC526">
        <f>IF(OB526&lt;=RULE_START+$OB$38-1,1,0)</f>
        <v>0</v>
      </c>
      <c r="OD526" s="15">
        <f>IF(OB526=2024,G_IDX_2024,IF(OB526=2025,G_IDX_2025,IF(OB526=2026,G_IDX_2026,IF(OB526=2027,G_IDX_2027,$OB$13))))</f>
        <v>0.033</v>
      </c>
      <c r="OE526" s="8">
        <f>$OB$20*(1+G_HI)^(OB526-COST_DATE)</f>
        <v>2019.0985533471453</v>
      </c>
      <c r="OF526" s="8">
        <f>OF525*(1+OD526)</f>
        <v>1593.8082073979303</v>
      </c>
      <c r="OG526" s="8">
        <f>IF(OB526&lt;RULE_START,OF526,OG525*(1+G_HI))</f>
        <v>2044.4333066587046</v>
      </c>
      <c r="OH526" s="8">
        <f>IF(OB526&lt;RULE_START,OF526,IF(OI526=1,R_NF_2024*(1+G_HI)^(OB526-2024),OH525*(1+OD526)))</f>
        <v>2122.476758051387</v>
      </c>
      <c r="OI526">
        <f>IF(AND(OB526&gt;=RULE_START,MOD(OB526-RULE_START,REBASE_YEARS)=0),1,0)</f>
        <v>0</v>
      </c>
      <c r="OJ526" s="8">
        <f>OF526*CAP_SHARE</f>
        <v>77.93296417395497</v>
      </c>
      <c r="OK526" s="8">
        <f>OG526*CAP_SHARE</f>
        <v>99.96732787817366</v>
      </c>
      <c r="OL526" s="8">
        <f>OH526*CAP_SHARE</f>
        <v>103.7834441920227</v>
      </c>
      <c r="OM526" s="8">
        <f>OF526-OJ526-OE526</f>
        <v>-503.22331012317</v>
      </c>
      <c r="ON526" s="8">
        <f>OG526-OK526-OE526</f>
        <v>-74.63257456661427</v>
      </c>
      <c r="OO526" s="8">
        <f>OH526-OL526-OE526</f>
        <v>-0.4052394877808183</v>
      </c>
      <c r="OP526" s="8">
        <f>R_NF_2024*(1+G_HI)^(OB526-2024)</f>
        <v>2152.0410349917424</v>
      </c>
      <c r="OQ526" s="10">
        <f>1-OF526/OP526</f>
        <v>0.2593969252988496</v>
      </c>
      <c r="OR526" s="10">
        <f>CPI_2023/(IF(OB526-1=2023,CPI_2023,IF(OB526-1=2024,CPI_2024,IF(OB526-1=2025,CPI_2025,CPI_2025*(1+INFL)^(OB526-1-2025)))))</f>
        <v>0.41491779858838684</v>
      </c>
      <c r="OS526" s="8">
        <f>$OB$21*ABS($OB$11)*(OG526-OF526)/OF526</f>
        <v>28187.269529536887</v>
      </c>
      <c r="OT526" s="8">
        <f>$OB$21*ABS($OB$11)*(OH526-OF526)/OF526</f>
        <v>33069.00337665183</v>
      </c>
      <c r="OU526" s="13">
        <f>(OG526-OF526)*MCD_NF_DAYS*OR526-OS526*MCD_SHARE_FREED*R_WAIT_2023</f>
        <v>85692107.462161</v>
      </c>
      <c r="OV526" s="13">
        <f>(OH526-OF526)*MCD_NF_DAYS*OR526-OT526*MCD_SHARE_FREED*R_WAIT_2023</f>
        <v>100533064.68897882</v>
      </c>
      <c r="OW526" s="10">
        <f>IF(AND(OB526&gt;=RULE_START,OC526=1),1/(1+$OB$12)^(OB526-RULE_START+1),0)</f>
        <v>0</v>
      </c>
      <c r="OX526">
        <f>IF(AND(OB526&gt;=RULE_START,OC526=1,OM526&lt;0),OB526,9999)</f>
        <v>9999</v>
      </c>
      <c r="OY526">
        <f>IF(AND(OB526&gt;=RULE_START,OC526=1,ON526&lt;0),OB526,9999)</f>
        <v>9999</v>
      </c>
      <c r="OZ526">
        <f>IF(AND(OB526&gt;=RULE_START,OC526=1,OO526&lt;0),OB526,9999)</f>
        <v>9999</v>
      </c>
    </row>
    <row r="527">
      <c r="B527" t="n">
        <v>2063</v>
      </c>
      <c r="C527">
        <f>IF(B527&lt;=RULE_START+$B$38-1,1,0)</f>
        <v>0</v>
      </c>
      <c r="D527" s="15">
        <f>IF(B527=2024,G_IDX_2024,IF(B527=2025,G_IDX_2025,IF(B527=2026,G_IDX_2026,IF(B527=2027,G_IDX_2027,$B$13))))</f>
        <v>0.033</v>
      </c>
      <c r="E527" s="8">
        <f>$B$20*(1+G_HI)^(B527-COST_DATE)</f>
        <v>2100.2047752560497</v>
      </c>
      <c r="F527" s="8">
        <f>F526*(1+D527)</f>
        <v>1646.4038782420619</v>
      </c>
      <c r="G527" s="8">
        <f>IF(B527&lt;RULE_START,F527,G526*(1+G_HI))</f>
        <v>2126.55721347491</v>
      </c>
      <c r="H527" s="8">
        <f>IF(B527&lt;RULE_START,F527,IF(I527=1,R_NF_2024*(1+G_HI)^(B527-2024),H526*(1+D527)))</f>
        <v>2238.4874927199994</v>
      </c>
      <c r="I527">
        <f>IF(AND(B527&gt;=RULE_START,MOD(B527-RULE_START,REBASE_YEARS)=0),1,0)</f>
        <v>1</v>
      </c>
      <c r="J527" s="8">
        <f>F527*CAP_SHARE</f>
        <v>80.50475199169547</v>
      </c>
      <c r="K527" s="8">
        <f>G527*CAP_SHARE</f>
        <v>103.98296756306493</v>
      </c>
      <c r="L527" s="8">
        <f>H527*CAP_SHARE</f>
        <v>109.456059244924</v>
      </c>
      <c r="M527" s="8">
        <f>F527-J527-E527</f>
        <v>-534.3056490056833</v>
      </c>
      <c r="N527" s="8">
        <f>G527-K527-E527</f>
        <v>-77.63052934420466</v>
      </c>
      <c r="O527" s="8">
        <f>H527-L527-E527</f>
        <v>28.82665821902583</v>
      </c>
      <c r="P527" s="8">
        <f>R_NF_2024*(1+G_HI)^(B527-2024)</f>
        <v>2238.4874927199994</v>
      </c>
      <c r="Q527" s="10">
        <f>1-F527/P527</f>
        <v>0.2645016406852885</v>
      </c>
      <c r="R527" s="10">
        <f>CPI_2023/(IF(B527-1=2023,CPI_2023,IF(B527-1=2024,CPI_2024,IF(B527-1=2025,CPI_2025,CPI_2025*(1+INFL)^(B527-1-2025)))))</f>
        <v>0.40566855552247444</v>
      </c>
      <c r="S527" s="8">
        <f>$B$21*ABS($B$11)*(G527-F527)/F527</f>
        <v>29074.835009429025</v>
      </c>
      <c r="T527" s="8">
        <f>$B$21*ABS($B$11)*(H527-F527)/F527</f>
        <v>35852.57487461627</v>
      </c>
      <c r="U527" s="13">
        <f>(G527-F527)*MCD_NF_DAYS*R527-S527*MCD_SHARE_FREED*R_WAIT_2023</f>
        <v>89403725.920046</v>
      </c>
      <c r="V527" s="13">
        <f>(H527-F527)*MCD_NF_DAYS*R527-T527*MCD_SHARE_FREED*R_WAIT_2023</f>
        <v>110244951.57336639</v>
      </c>
      <c r="W527" s="10">
        <f>IF(AND(B527&gt;=RULE_START,C527=1),1/(1+$B$12)^(B527-RULE_START+1),0)</f>
        <v>0</v>
      </c>
      <c r="X527">
        <f>IF(AND(B527&gt;=RULE_START,C527=1,M527&lt;0),B527,9999)</f>
        <v>9999</v>
      </c>
      <c r="Y527">
        <f>IF(AND(B527&gt;=RULE_START,C527=1,N527&lt;0),B527,9999)</f>
        <v>9999</v>
      </c>
      <c r="Z527">
        <f>IF(AND(B527&gt;=RULE_START,C527=1,O527&lt;0),B527,9999)</f>
        <v>9999</v>
      </c>
      <c r="AB527" t="n">
        <v>2063</v>
      </c>
      <c r="AC527">
        <f>IF(AB527&lt;=RULE_START+$AB$38-1,1,0)</f>
        <v>0</v>
      </c>
      <c r="AD527" s="15">
        <f>IF(AB527=2024,G_IDX_2024,IF(AB527=2025,G_IDX_2025,IF(AB527=2026,G_IDX_2026,IF(AB527=2027,G_IDX_2027,$AB$13))))</f>
        <v>0.033</v>
      </c>
      <c r="AE527" s="8">
        <f>$AB$20*(1+G_HI)^(AB527-COST_DATE)</f>
        <v>2100.2047752560497</v>
      </c>
      <c r="AF527" s="8">
        <f>AF526*(1+AD527)</f>
        <v>1646.4038782420619</v>
      </c>
      <c r="AG527" s="8">
        <f>IF(AB527&lt;RULE_START,AF527,AG526*(1+G_HI))</f>
        <v>2126.55721347491</v>
      </c>
      <c r="AH527" s="8">
        <f>IF(AB527&lt;RULE_START,AF527,IF(AI527=1,R_NF_2024*(1+G_HI)^(AB527-2024),AH526*(1+AD527)))</f>
        <v>2238.4874927199994</v>
      </c>
      <c r="AI527">
        <f>IF(AND(AB527&gt;=RULE_START,MOD(AB527-RULE_START,REBASE_YEARS)=0),1,0)</f>
        <v>1</v>
      </c>
      <c r="AJ527" s="8">
        <f>AF527*CAP_SHARE</f>
        <v>80.50475199169547</v>
      </c>
      <c r="AK527" s="8">
        <f>AG527*CAP_SHARE</f>
        <v>103.98296756306493</v>
      </c>
      <c r="AL527" s="8">
        <f>AH527*CAP_SHARE</f>
        <v>109.456059244924</v>
      </c>
      <c r="AM527" s="8">
        <f>AF527-AJ527-AE527</f>
        <v>-534.3056490056833</v>
      </c>
      <c r="AN527" s="8">
        <f>AG527-AK527-AE527</f>
        <v>-77.63052934420466</v>
      </c>
      <c r="AO527" s="8">
        <f>AH527-AL527-AE527</f>
        <v>28.82665821902583</v>
      </c>
      <c r="AP527" s="8">
        <f>R_NF_2024*(1+G_HI)^(AB527-2024)</f>
        <v>2238.4874927199994</v>
      </c>
      <c r="AQ527" s="10">
        <f>1-AF527/AP527</f>
        <v>0.2645016406852885</v>
      </c>
      <c r="AR527" s="10">
        <f>CPI_2023/(IF(AB527-1=2023,CPI_2023,IF(AB527-1=2024,CPI_2024,IF(AB527-1=2025,CPI_2025,CPI_2025*(1+INFL)^(AB527-1-2025)))))</f>
        <v>0.40566855552247444</v>
      </c>
      <c r="AS527" s="8">
        <f>$AB$21*ABS($AB$11)*(AG527-AF527)/AF527</f>
        <v>29074.835009429025</v>
      </c>
      <c r="AT527" s="8">
        <f>$AB$21*ABS($AB$11)*(AH527-AF527)/AF527</f>
        <v>35852.57487461627</v>
      </c>
      <c r="AU527" s="13">
        <f>(AG527-AF527)*MCD_NF_DAYS*AR527-AS527*MCD_SHARE_FREED*R_WAIT_2023</f>
        <v>89403725.920046</v>
      </c>
      <c r="AV527" s="13">
        <f>(AH527-AF527)*MCD_NF_DAYS*AR527-AT527*MCD_SHARE_FREED*R_WAIT_2023</f>
        <v>110244951.57336639</v>
      </c>
      <c r="AW527" s="10">
        <f>IF(AND(AB527&gt;=RULE_START,AC527=1),1/(1+$AB$12)^(AB527-RULE_START+1),0)</f>
        <v>0</v>
      </c>
      <c r="AX527">
        <f>IF(AND(AB527&gt;=RULE_START,AC527=1,AM527&lt;0),AB527,9999)</f>
        <v>9999</v>
      </c>
      <c r="AY527">
        <f>IF(AND(AB527&gt;=RULE_START,AC527=1,AN527&lt;0),AB527,9999)</f>
        <v>9999</v>
      </c>
      <c r="AZ527">
        <f>IF(AND(AB527&gt;=RULE_START,AC527=1,AO527&lt;0),AB527,9999)</f>
        <v>9999</v>
      </c>
      <c r="BB527" t="n">
        <v>2063</v>
      </c>
      <c r="BC527">
        <f>IF(BB527&lt;=RULE_START+$BB$38-1,1,0)</f>
        <v>0</v>
      </c>
      <c r="BD527" s="15">
        <f>IF(BB527=2024,G_IDX_2024,IF(BB527=2025,G_IDX_2025,IF(BB527=2026,G_IDX_2026,IF(BB527=2027,G_IDX_2027,$BB$13))))</f>
        <v>0.033</v>
      </c>
      <c r="BE527" s="8">
        <f>$BB$20*(1+G_HI)^(BB527-COST_DATE)</f>
        <v>2100.2047752560497</v>
      </c>
      <c r="BF527" s="8">
        <f>BF526*(1+BD527)</f>
        <v>1646.4038782420619</v>
      </c>
      <c r="BG527" s="8">
        <f>IF(BB527&lt;RULE_START,BF527,BG526*(1+G_HI))</f>
        <v>2126.55721347491</v>
      </c>
      <c r="BH527" s="8">
        <f>IF(BB527&lt;RULE_START,BF527,IF(BI527=1,R_NF_2024*(1+G_HI)^(BB527-2024),BH526*(1+BD527)))</f>
        <v>2238.4874927199994</v>
      </c>
      <c r="BI527">
        <f>IF(AND(BB527&gt;=RULE_START,MOD(BB527-RULE_START,REBASE_YEARS)=0),1,0)</f>
        <v>1</v>
      </c>
      <c r="BJ527" s="8">
        <f>BF527*CAP_SHARE</f>
        <v>80.50475199169547</v>
      </c>
      <c r="BK527" s="8">
        <f>BG527*CAP_SHARE</f>
        <v>103.98296756306493</v>
      </c>
      <c r="BL527" s="8">
        <f>BH527*CAP_SHARE</f>
        <v>109.456059244924</v>
      </c>
      <c r="BM527" s="8">
        <f>BF527-BJ527-BE527</f>
        <v>-534.3056490056833</v>
      </c>
      <c r="BN527" s="8">
        <f>BG527-BK527-BE527</f>
        <v>-77.63052934420466</v>
      </c>
      <c r="BO527" s="8">
        <f>BH527-BL527-BE527</f>
        <v>28.82665821902583</v>
      </c>
      <c r="BP527" s="8">
        <f>R_NF_2024*(1+G_HI)^(BB527-2024)</f>
        <v>2238.4874927199994</v>
      </c>
      <c r="BQ527" s="10">
        <f>1-BF527/BP527</f>
        <v>0.2645016406852885</v>
      </c>
      <c r="BR527" s="10">
        <f>CPI_2023/(IF(BB527-1=2023,CPI_2023,IF(BB527-1=2024,CPI_2024,IF(BB527-1=2025,CPI_2025,CPI_2025*(1+INFL)^(BB527-1-2025)))))</f>
        <v>0.40566855552247444</v>
      </c>
      <c r="BS527" s="8">
        <f>$BB$21*ABS($BB$11)*(BG527-BF527)/BF527</f>
        <v>29074.835009429025</v>
      </c>
      <c r="BT527" s="8">
        <f>$BB$21*ABS($BB$11)*(BH527-BF527)/BF527</f>
        <v>35852.57487461627</v>
      </c>
      <c r="BU527" s="13">
        <f>(BG527-BF527)*MCD_NF_DAYS*BR527-BS527*MCD_SHARE_FREED*R_WAIT_2023</f>
        <v>89403725.920046</v>
      </c>
      <c r="BV527" s="13">
        <f>(BH527-BF527)*MCD_NF_DAYS*BR527-BT527*MCD_SHARE_FREED*R_WAIT_2023</f>
        <v>110244951.57336639</v>
      </c>
      <c r="BW527" s="10">
        <f>IF(AND(BB527&gt;=RULE_START,BC527=1),1/(1+$BB$12)^(BB527-RULE_START+1),0)</f>
        <v>0</v>
      </c>
      <c r="BX527">
        <f>IF(AND(BB527&gt;=RULE_START,BC527=1,BM527&lt;0),BB527,9999)</f>
        <v>9999</v>
      </c>
      <c r="BY527">
        <f>IF(AND(BB527&gt;=RULE_START,BC527=1,BN527&lt;0),BB527,9999)</f>
        <v>9999</v>
      </c>
      <c r="BZ527">
        <f>IF(AND(BB527&gt;=RULE_START,BC527=1,BO527&lt;0),BB527,9999)</f>
        <v>9999</v>
      </c>
      <c r="CB527" t="n">
        <v>2063</v>
      </c>
      <c r="CC527">
        <f>IF(CB527&lt;=RULE_START+$CB$38-1,1,0)</f>
        <v>1</v>
      </c>
      <c r="CD527" s="15">
        <f>IF(CB527=2024,G_IDX_2024,IF(CB527=2025,G_IDX_2025,IF(CB527=2026,G_IDX_2026,IF(CB527=2027,G_IDX_2027,$CB$13))))</f>
        <v>0.033</v>
      </c>
      <c r="CE527" s="8">
        <f>$CB$20*(1+G_HI)^(CB527-COST_DATE)</f>
        <v>2100.2047752560497</v>
      </c>
      <c r="CF527" s="8">
        <f>CF526*(1+CD527)</f>
        <v>1646.4038782420619</v>
      </c>
      <c r="CG527" s="8">
        <f>IF(CB527&lt;RULE_START,CF527,CG526*(1+G_HI))</f>
        <v>2126.55721347491</v>
      </c>
      <c r="CH527" s="8">
        <f>IF(CB527&lt;RULE_START,CF527,IF(CI527=1,R_NF_2024*(1+G_HI)^(CB527-2024),CH526*(1+CD527)))</f>
        <v>2238.4874927199994</v>
      </c>
      <c r="CI527">
        <f>IF(AND(CB527&gt;=RULE_START,MOD(CB527-RULE_START,REBASE_YEARS)=0),1,0)</f>
        <v>1</v>
      </c>
      <c r="CJ527" s="8">
        <f>CF527*CAP_SHARE</f>
        <v>80.50475199169547</v>
      </c>
      <c r="CK527" s="8">
        <f>CG527*CAP_SHARE</f>
        <v>103.98296756306493</v>
      </c>
      <c r="CL527" s="8">
        <f>CH527*CAP_SHARE</f>
        <v>109.456059244924</v>
      </c>
      <c r="CM527" s="8">
        <f>CF527-CJ527-CE527</f>
        <v>-534.3056490056833</v>
      </c>
      <c r="CN527" s="8">
        <f>CG527-CK527-CE527</f>
        <v>-77.63052934420466</v>
      </c>
      <c r="CO527" s="8">
        <f>CH527-CL527-CE527</f>
        <v>28.82665821902583</v>
      </c>
      <c r="CP527" s="8">
        <f>R_NF_2024*(1+G_HI)^(CB527-2024)</f>
        <v>2238.4874927199994</v>
      </c>
      <c r="CQ527" s="10">
        <f>1-CF527/CP527</f>
        <v>0.2645016406852885</v>
      </c>
      <c r="CR527" s="10">
        <f>CPI_2023/(IF(CB527-1=2023,CPI_2023,IF(CB527-1=2024,CPI_2024,IF(CB527-1=2025,CPI_2025,CPI_2025*(1+INFL)^(CB527-1-2025)))))</f>
        <v>0.40566855552247444</v>
      </c>
      <c r="CS527" s="8">
        <f>$CB$21*ABS($CB$11)*(CG527-CF527)/CF527</f>
        <v>29074.835009429025</v>
      </c>
      <c r="CT527" s="8">
        <f>$CB$21*ABS($CB$11)*(CH527-CF527)/CF527</f>
        <v>35852.57487461627</v>
      </c>
      <c r="CU527" s="13">
        <f>(CG527-CF527)*MCD_NF_DAYS*CR527-CS527*MCD_SHARE_FREED*R_WAIT_2023</f>
        <v>89403725.920046</v>
      </c>
      <c r="CV527" s="13">
        <f>(CH527-CF527)*MCD_NF_DAYS*CR527-CT527*MCD_SHARE_FREED*R_WAIT_2023</f>
        <v>110244951.57336639</v>
      </c>
      <c r="CW527" s="10">
        <f>IF(AND(CB527&gt;=RULE_START,CC527=1),1/(1+$CB$12)^(CB527-RULE_START+1),0)</f>
        <v>0.48061093171789393</v>
      </c>
      <c r="CX527">
        <f>IF(AND(CB527&gt;=RULE_START,CC527=1,CM527&lt;0),CB527,9999)</f>
        <v>2063</v>
      </c>
      <c r="CY527">
        <f>IF(AND(CB527&gt;=RULE_START,CC527=1,CN527&lt;0),CB527,9999)</f>
        <v>2063</v>
      </c>
      <c r="CZ527">
        <f>IF(AND(CB527&gt;=RULE_START,CC527=1,CO527&lt;0),CB527,9999)</f>
        <v>9999</v>
      </c>
      <c r="DB527" t="n">
        <v>2063</v>
      </c>
      <c r="DC527">
        <f>IF(DB527&lt;=RULE_START+$DB$38-1,1,0)</f>
        <v>0</v>
      </c>
      <c r="DD527" s="15">
        <f>IF(DB527=2024,G_IDX_2024,IF(DB527=2025,G_IDX_2025,IF(DB527=2026,G_IDX_2026,IF(DB527=2027,G_IDX_2027,$DB$13))))</f>
        <v>0.033</v>
      </c>
      <c r="DE527" s="8">
        <f>$DB$20*(1+G_HI)^(DB527-COST_DATE)</f>
        <v>2100.2047752560497</v>
      </c>
      <c r="DF527" s="8">
        <f>DF526*(1+DD527)</f>
        <v>1646.4038782420619</v>
      </c>
      <c r="DG527" s="8">
        <f>IF(DB527&lt;RULE_START,DF527,DG526*(1+G_HI))</f>
        <v>2126.55721347491</v>
      </c>
      <c r="DH527" s="8">
        <f>IF(DB527&lt;RULE_START,DF527,IF(DI527=1,R_NF_2024*(1+G_HI)^(DB527-2024),DH526*(1+DD527)))</f>
        <v>2238.4874927199994</v>
      </c>
      <c r="DI527">
        <f>IF(AND(DB527&gt;=RULE_START,MOD(DB527-RULE_START,REBASE_YEARS)=0),1,0)</f>
        <v>1</v>
      </c>
      <c r="DJ527" s="8">
        <f>DF527*CAP_SHARE</f>
        <v>80.50475199169547</v>
      </c>
      <c r="DK527" s="8">
        <f>DG527*CAP_SHARE</f>
        <v>103.98296756306493</v>
      </c>
      <c r="DL527" s="8">
        <f>DH527*CAP_SHARE</f>
        <v>109.456059244924</v>
      </c>
      <c r="DM527" s="8">
        <f>DF527-DJ527-DE527</f>
        <v>-534.3056490056833</v>
      </c>
      <c r="DN527" s="8">
        <f>DG527-DK527-DE527</f>
        <v>-77.63052934420466</v>
      </c>
      <c r="DO527" s="8">
        <f>DH527-DL527-DE527</f>
        <v>28.82665821902583</v>
      </c>
      <c r="DP527" s="8">
        <f>R_NF_2024*(1+G_HI)^(DB527-2024)</f>
        <v>2238.4874927199994</v>
      </c>
      <c r="DQ527" s="10">
        <f>1-DF527/DP527</f>
        <v>0.2645016406852885</v>
      </c>
      <c r="DR527" s="10">
        <f>CPI_2023/(IF(DB527-1=2023,CPI_2023,IF(DB527-1=2024,CPI_2024,IF(DB527-1=2025,CPI_2025,CPI_2025*(1+INFL)^(DB527-1-2025)))))</f>
        <v>0.40566855552247444</v>
      </c>
      <c r="DS527" s="8">
        <f>$DB$21*ABS($DB$11)*(DG527-DF527)/DF527</f>
        <v>29074.835009429025</v>
      </c>
      <c r="DT527" s="8">
        <f>$DB$21*ABS($DB$11)*(DH527-DF527)/DF527</f>
        <v>35852.57487461627</v>
      </c>
      <c r="DU527" s="13">
        <f>(DG527-DF527)*MCD_NF_DAYS*DR527-DS527*MCD_SHARE_FREED*R_WAIT_2023</f>
        <v>89403725.920046</v>
      </c>
      <c r="DV527" s="13">
        <f>(DH527-DF527)*MCD_NF_DAYS*DR527-DT527*MCD_SHARE_FREED*R_WAIT_2023</f>
        <v>110244951.57336639</v>
      </c>
      <c r="DW527" s="10">
        <f>IF(AND(DB527&gt;=RULE_START,DC527=1),1/(1+$DB$12)^(DB527-RULE_START+1),0)</f>
        <v>0</v>
      </c>
      <c r="DX527">
        <f>IF(AND(DB527&gt;=RULE_START,DC527=1,DM527&lt;0),DB527,9999)</f>
        <v>9999</v>
      </c>
      <c r="DY527">
        <f>IF(AND(DB527&gt;=RULE_START,DC527=1,DN527&lt;0),DB527,9999)</f>
        <v>9999</v>
      </c>
      <c r="DZ527">
        <f>IF(AND(DB527&gt;=RULE_START,DC527=1,DO527&lt;0),DB527,9999)</f>
        <v>9999</v>
      </c>
      <c r="EB527" t="n">
        <v>2063</v>
      </c>
      <c r="EC527">
        <f>IF(EB527&lt;=RULE_START+$EB$38-1,1,0)</f>
        <v>0</v>
      </c>
      <c r="ED527" s="15">
        <f>IF(EB527=2024,G_IDX_2024,IF(EB527=2025,G_IDX_2025,IF(EB527=2026,G_IDX_2026,IF(EB527=2027,G_IDX_2027,$EB$13))))</f>
        <v>0.033</v>
      </c>
      <c r="EE527" s="8">
        <f>$EB$20*(1+G_HI)^(EB527-COST_DATE)</f>
        <v>2100.2047752560497</v>
      </c>
      <c r="EF527" s="8">
        <f>EF526*(1+ED527)</f>
        <v>1646.4038782420619</v>
      </c>
      <c r="EG527" s="8">
        <f>IF(EB527&lt;RULE_START,EF527,EG526*(1+G_HI))</f>
        <v>2126.55721347491</v>
      </c>
      <c r="EH527" s="8">
        <f>IF(EB527&lt;RULE_START,EF527,IF(EI527=1,R_NF_2024*(1+G_HI)^(EB527-2024),EH526*(1+ED527)))</f>
        <v>2238.4874927199994</v>
      </c>
      <c r="EI527">
        <f>IF(AND(EB527&gt;=RULE_START,MOD(EB527-RULE_START,REBASE_YEARS)=0),1,0)</f>
        <v>1</v>
      </c>
      <c r="EJ527" s="8">
        <f>EF527*CAP_SHARE</f>
        <v>80.50475199169547</v>
      </c>
      <c r="EK527" s="8">
        <f>EG527*CAP_SHARE</f>
        <v>103.98296756306493</v>
      </c>
      <c r="EL527" s="8">
        <f>EH527*CAP_SHARE</f>
        <v>109.456059244924</v>
      </c>
      <c r="EM527" s="8">
        <f>EF527-EJ527-EE527</f>
        <v>-534.3056490056833</v>
      </c>
      <c r="EN527" s="8">
        <f>EG527-EK527-EE527</f>
        <v>-77.63052934420466</v>
      </c>
      <c r="EO527" s="8">
        <f>EH527-EL527-EE527</f>
        <v>28.82665821902583</v>
      </c>
      <c r="EP527" s="8">
        <f>R_NF_2024*(1+G_HI)^(EB527-2024)</f>
        <v>2238.4874927199994</v>
      </c>
      <c r="EQ527" s="10">
        <f>1-EF527/EP527</f>
        <v>0.2645016406852885</v>
      </c>
      <c r="ER527" s="10">
        <f>CPI_2023/(IF(EB527-1=2023,CPI_2023,IF(EB527-1=2024,CPI_2024,IF(EB527-1=2025,CPI_2025,CPI_2025*(1+INFL)^(EB527-1-2025)))))</f>
        <v>0.40566855552247444</v>
      </c>
      <c r="ES527" s="8">
        <f>$EB$21*ABS($EB$11)*(EG527-EF527)/EF527</f>
        <v>29074.835009429025</v>
      </c>
      <c r="ET527" s="8">
        <f>$EB$21*ABS($EB$11)*(EH527-EF527)/EF527</f>
        <v>35852.57487461627</v>
      </c>
      <c r="EU527" s="13">
        <f>(EG527-EF527)*MCD_NF_DAYS*ER527-ES527*MCD_SHARE_FREED*R_WAIT_2023</f>
        <v>89403725.920046</v>
      </c>
      <c r="EV527" s="13">
        <f>(EH527-EF527)*MCD_NF_DAYS*ER527-ET527*MCD_SHARE_FREED*R_WAIT_2023</f>
        <v>110244951.57336639</v>
      </c>
      <c r="EW527" s="10">
        <f>IF(AND(EB527&gt;=RULE_START,EC527=1),1/(1+$EB$12)^(EB527-RULE_START+1),0)</f>
        <v>0</v>
      </c>
      <c r="EX527">
        <f>IF(AND(EB527&gt;=RULE_START,EC527=1,EM527&lt;0),EB527,9999)</f>
        <v>9999</v>
      </c>
      <c r="EY527">
        <f>IF(AND(EB527&gt;=RULE_START,EC527=1,EN527&lt;0),EB527,9999)</f>
        <v>9999</v>
      </c>
      <c r="EZ527">
        <f>IF(AND(EB527&gt;=RULE_START,EC527=1,EO527&lt;0),EB527,9999)</f>
        <v>9999</v>
      </c>
      <c r="FB527" t="n">
        <v>2063</v>
      </c>
      <c r="FC527">
        <f>IF(FB527&lt;=RULE_START+$FB$38-1,1,0)</f>
        <v>0</v>
      </c>
      <c r="FD527" s="15">
        <f>IF(FB527=2024,G_IDX_2024,IF(FB527=2025,G_IDX_2025,IF(FB527=2026,G_IDX_2026,IF(FB527=2027,G_IDX_2027,$FB$13))))</f>
        <v>0.033</v>
      </c>
      <c r="FE527" s="8">
        <f>$FB$20*(1+G_HI)^(FB527-COST_DATE)</f>
        <v>2161.3886088542536</v>
      </c>
      <c r="FF527" s="8">
        <f>FF526*(1+FD527)</f>
        <v>1646.4038782420619</v>
      </c>
      <c r="FG527" s="8">
        <f>IF(FB527&lt;RULE_START,FF527,FG526*(1+G_HI))</f>
        <v>2126.55721347491</v>
      </c>
      <c r="FH527" s="8">
        <f>IF(FB527&lt;RULE_START,FF527,IF(FI527=1,R_NF_2024*(1+G_HI)^(FB527-2024),FH526*(1+FD527)))</f>
        <v>2238.4874927199994</v>
      </c>
      <c r="FI527">
        <f>IF(AND(FB527&gt;=RULE_START,MOD(FB527-RULE_START,REBASE_YEARS)=0),1,0)</f>
        <v>1</v>
      </c>
      <c r="FJ527" s="8">
        <f>FF527*CAP_SHARE</f>
        <v>80.50475199169547</v>
      </c>
      <c r="FK527" s="8">
        <f>FG527*CAP_SHARE</f>
        <v>103.98296756306493</v>
      </c>
      <c r="FL527" s="8">
        <f>FH527*CAP_SHARE</f>
        <v>109.456059244924</v>
      </c>
      <c r="FM527" s="8">
        <f>FF527-FJ527-FE527</f>
        <v>-595.4894826038872</v>
      </c>
      <c r="FN527" s="8">
        <f>FG527-FK527-FE527</f>
        <v>-138.81436294240848</v>
      </c>
      <c r="FO527" s="8">
        <f>FH527-FL527-FE527</f>
        <v>-32.35717537917799</v>
      </c>
      <c r="FP527" s="8">
        <f>R_NF_2024*(1+G_HI)^(FB527-2024)</f>
        <v>2238.4874927199994</v>
      </c>
      <c r="FQ527" s="10">
        <f>1-FF527/FP527</f>
        <v>0.2645016406852885</v>
      </c>
      <c r="FR527" s="10">
        <f>CPI_2023/(IF(FB527-1=2023,CPI_2023,IF(FB527-1=2024,CPI_2024,IF(FB527-1=2025,CPI_2025,CPI_2025*(1+INFL)^(FB527-1-2025)))))</f>
        <v>0.40566855552247444</v>
      </c>
      <c r="FS527" s="8">
        <f>$FB$21*ABS($FB$11)*(FG527-FF527)/FF527</f>
        <v>29074.835009429025</v>
      </c>
      <c r="FT527" s="8">
        <f>$FB$21*ABS($FB$11)*(FH527-FF527)/FF527</f>
        <v>35852.57487461627</v>
      </c>
      <c r="FU527" s="13">
        <f>(FG527-FF527)*MCD_NF_DAYS*FR527-FS527*MCD_SHARE_FREED*R_WAIT_2023</f>
        <v>89403725.920046</v>
      </c>
      <c r="FV527" s="13">
        <f>(FH527-FF527)*MCD_NF_DAYS*FR527-FT527*MCD_SHARE_FREED*R_WAIT_2023</f>
        <v>110244951.57336639</v>
      </c>
      <c r="FW527" s="10">
        <f>IF(AND(FB527&gt;=RULE_START,FC527=1),1/(1+$FB$12)^(FB527-RULE_START+1),0)</f>
        <v>0</v>
      </c>
      <c r="FX527">
        <f>IF(AND(FB527&gt;=RULE_START,FC527=1,FM527&lt;0),FB527,9999)</f>
        <v>9999</v>
      </c>
      <c r="FY527">
        <f>IF(AND(FB527&gt;=RULE_START,FC527=1,FN527&lt;0),FB527,9999)</f>
        <v>9999</v>
      </c>
      <c r="FZ527">
        <f>IF(AND(FB527&gt;=RULE_START,FC527=1,FO527&lt;0),FB527,9999)</f>
        <v>9999</v>
      </c>
      <c r="GB527" t="n">
        <v>2063</v>
      </c>
      <c r="GC527">
        <f>IF(GB527&lt;=RULE_START+$GB$38-1,1,0)</f>
        <v>0</v>
      </c>
      <c r="GD527" s="15">
        <f>IF(GB527=2024,G_IDX_2024,IF(GB527=2025,G_IDX_2025,IF(GB527=2026,G_IDX_2026,IF(GB527=2027,G_IDX_2027,$GB$13))))</f>
        <v>0.033</v>
      </c>
      <c r="GE527" s="8">
        <f>$GB$20*(1+G_HI)^(GB527-COST_DATE)</f>
        <v>2100.2047752560497</v>
      </c>
      <c r="GF527" s="8">
        <f>GF526*(1+GD527)</f>
        <v>1646.4038782420619</v>
      </c>
      <c r="GG527" s="8">
        <f>IF(GB527&lt;RULE_START,GF527,GG526*(1+G_HI))</f>
        <v>2126.55721347491</v>
      </c>
      <c r="GH527" s="8">
        <f>IF(GB527&lt;RULE_START,GF527,IF(GI527=1,R_NF_2024*(1+G_HI)^(GB527-2024),GH526*(1+GD527)))</f>
        <v>2238.4874927199994</v>
      </c>
      <c r="GI527">
        <f>IF(AND(GB527&gt;=RULE_START,MOD(GB527-RULE_START,REBASE_YEARS)=0),1,0)</f>
        <v>1</v>
      </c>
      <c r="GJ527" s="8">
        <f>GF527*CAP_SHARE</f>
        <v>80.50475199169547</v>
      </c>
      <c r="GK527" s="8">
        <f>GG527*CAP_SHARE</f>
        <v>103.98296756306493</v>
      </c>
      <c r="GL527" s="8">
        <f>GH527*CAP_SHARE</f>
        <v>109.456059244924</v>
      </c>
      <c r="GM527" s="8">
        <f>GF527-GJ527-GE527</f>
        <v>-534.3056490056833</v>
      </c>
      <c r="GN527" s="8">
        <f>GG527-GK527-GE527</f>
        <v>-77.63052934420466</v>
      </c>
      <c r="GO527" s="8">
        <f>GH527-GL527-GE527</f>
        <v>28.82665821902583</v>
      </c>
      <c r="GP527" s="8">
        <f>R_NF_2024*(1+G_HI)^(GB527-2024)</f>
        <v>2238.4874927199994</v>
      </c>
      <c r="GQ527" s="10">
        <f>1-GF527/GP527</f>
        <v>0.2645016406852885</v>
      </c>
      <c r="GR527" s="10">
        <f>CPI_2023/(IF(GB527-1=2023,CPI_2023,IF(GB527-1=2024,CPI_2024,IF(GB527-1=2025,CPI_2025,CPI_2025*(1+INFL)^(GB527-1-2025)))))</f>
        <v>0.40566855552247444</v>
      </c>
      <c r="GS527" s="8">
        <f>$GB$21*ABS($GB$11)*(GG527-GF527)/GF527</f>
        <v>21947.138774281175</v>
      </c>
      <c r="GT527" s="8">
        <f>$GB$21*ABS($GB$11)*(GH527-GF527)/GF527</f>
        <v>27063.31561067601</v>
      </c>
      <c r="GU527" s="13">
        <f>(GG527-GF527)*MCD_NF_DAYS*GR527-GS527*MCD_SHARE_FREED*R_WAIT_2023</f>
        <v>92644822.90667857</v>
      </c>
      <c r="GV527" s="13">
        <f>(GH527-GF527)*MCD_NF_DAYS*GR527-GT527*MCD_SHARE_FREED*R_WAIT_2023</f>
        <v>114241592.39184234</v>
      </c>
      <c r="GW527" s="10">
        <f>IF(AND(GB527&gt;=RULE_START,GC527=1),1/(1+$GB$12)^(GB527-RULE_START+1),0)</f>
        <v>0</v>
      </c>
      <c r="GX527">
        <f>IF(AND(GB527&gt;=RULE_START,GC527=1,GM527&lt;0),GB527,9999)</f>
        <v>9999</v>
      </c>
      <c r="GY527">
        <f>IF(AND(GB527&gt;=RULE_START,GC527=1,GN527&lt;0),GB527,9999)</f>
        <v>9999</v>
      </c>
      <c r="GZ527">
        <f>IF(AND(GB527&gt;=RULE_START,GC527=1,GO527&lt;0),GB527,9999)</f>
        <v>9999</v>
      </c>
      <c r="HB527" t="n">
        <v>2063</v>
      </c>
      <c r="HC527">
        <f>IF(HB527&lt;=RULE_START+$HB$38-1,1,0)</f>
        <v>0</v>
      </c>
      <c r="HD527" s="15">
        <f>IF(HB527=2024,G_IDX_2024,IF(HB527=2025,G_IDX_2025,IF(HB527=2026,G_IDX_2026,IF(HB527=2027,G_IDX_2027,$HB$13))))</f>
        <v>0.033</v>
      </c>
      <c r="HE527" s="8">
        <f>$HB$20*(1+G_HI)^(HB527-COST_DATE)</f>
        <v>2100.2047752560497</v>
      </c>
      <c r="HF527" s="8">
        <f>HF526*(1+HD527)</f>
        <v>1646.4038782420619</v>
      </c>
      <c r="HG527" s="8">
        <f>IF(HB527&lt;RULE_START,HF527,HG526*(1+G_HI))</f>
        <v>2126.55721347491</v>
      </c>
      <c r="HH527" s="8">
        <f>IF(HB527&lt;RULE_START,HF527,IF(HI527=1,R_NF_2024*(1+G_HI)^(HB527-2024),HH526*(1+HD527)))</f>
        <v>2238.4874927199994</v>
      </c>
      <c r="HI527">
        <f>IF(AND(HB527&gt;=RULE_START,MOD(HB527-RULE_START,REBASE_YEARS)=0),1,0)</f>
        <v>1</v>
      </c>
      <c r="HJ527" s="8">
        <f>HF527*CAP_SHARE</f>
        <v>80.50475199169547</v>
      </c>
      <c r="HK527" s="8">
        <f>HG527*CAP_SHARE</f>
        <v>103.98296756306493</v>
      </c>
      <c r="HL527" s="8">
        <f>HH527*CAP_SHARE</f>
        <v>109.456059244924</v>
      </c>
      <c r="HM527" s="8">
        <f>HF527-HJ527-HE527</f>
        <v>-534.3056490056833</v>
      </c>
      <c r="HN527" s="8">
        <f>HG527-HK527-HE527</f>
        <v>-77.63052934420466</v>
      </c>
      <c r="HO527" s="8">
        <f>HH527-HL527-HE527</f>
        <v>28.82665821902583</v>
      </c>
      <c r="HP527" s="8">
        <f>R_NF_2024*(1+G_HI)^(HB527-2024)</f>
        <v>2238.4874927199994</v>
      </c>
      <c r="HQ527" s="10">
        <f>1-HF527/HP527</f>
        <v>0.2645016406852885</v>
      </c>
      <c r="HR527" s="10">
        <f>CPI_2023/(IF(HB527-1=2023,CPI_2023,IF(HB527-1=2024,CPI_2024,IF(HB527-1=2025,CPI_2025,CPI_2025*(1+INFL)^(HB527-1-2025)))))</f>
        <v>0.40566855552247444</v>
      </c>
      <c r="HS527" s="8">
        <f>$HB$21*ABS($HB$11)*(HG527-HF527)/HF527</f>
        <v>29074.835009429025</v>
      </c>
      <c r="HT527" s="8">
        <f>$HB$21*ABS($HB$11)*(HH527-HF527)/HF527</f>
        <v>35852.57487461627</v>
      </c>
      <c r="HU527" s="13">
        <f>(HG527-HF527)*MCD_NF_DAYS*HR527-HS527*MCD_SHARE_FREED*R_WAIT_2023</f>
        <v>89403725.920046</v>
      </c>
      <c r="HV527" s="13">
        <f>(HH527-HF527)*MCD_NF_DAYS*HR527-HT527*MCD_SHARE_FREED*R_WAIT_2023</f>
        <v>110244951.57336639</v>
      </c>
      <c r="HW527" s="10">
        <f>IF(AND(HB527&gt;=RULE_START,HC527=1),1/(1+$HB$12)^(HB527-RULE_START+1),0)</f>
        <v>0</v>
      </c>
      <c r="HX527">
        <f>IF(AND(HB527&gt;=RULE_START,HC527=1,HM527&lt;0),HB527,9999)</f>
        <v>9999</v>
      </c>
      <c r="HY527">
        <f>IF(AND(HB527&gt;=RULE_START,HC527=1,HN527&lt;0),HB527,9999)</f>
        <v>9999</v>
      </c>
      <c r="HZ527">
        <f>IF(AND(HB527&gt;=RULE_START,HC527=1,HO527&lt;0),HB527,9999)</f>
        <v>9999</v>
      </c>
      <c r="IB527" t="n">
        <v>2063</v>
      </c>
      <c r="IC527">
        <f>IF(IB527&lt;=RULE_START+$IB$38-1,1,0)</f>
        <v>0</v>
      </c>
      <c r="ID527" s="15">
        <f>IF(IB527=2024,G_IDX_2024,IF(IB527=2025,G_IDX_2025,IF(IB527=2026,G_IDX_2026,IF(IB527=2027,G_IDX_2027,$IB$13))))</f>
        <v>0.033</v>
      </c>
      <c r="IE527" s="8">
        <f>$IB$20*(1+G_HI)^(IB527-COST_DATE)</f>
        <v>2100.2047752560497</v>
      </c>
      <c r="IF527" s="8">
        <f>IF526*(1+ID527)</f>
        <v>1646.4038782420619</v>
      </c>
      <c r="IG527" s="8">
        <f>IF(IB527&lt;RULE_START,IF527,IG526*(1+G_HI))</f>
        <v>2126.55721347491</v>
      </c>
      <c r="IH527" s="8">
        <f>IF(IB527&lt;RULE_START,IF527,IF(II527=1,R_NF_2024*(1+G_HI)^(IB527-2024),IH526*(1+ID527)))</f>
        <v>2238.4874927199994</v>
      </c>
      <c r="II527">
        <f>IF(AND(IB527&gt;=RULE_START,MOD(IB527-RULE_START,REBASE_YEARS)=0),1,0)</f>
        <v>1</v>
      </c>
      <c r="IJ527" s="8">
        <f>IF527*CAP_SHARE</f>
        <v>80.50475199169547</v>
      </c>
      <c r="IK527" s="8">
        <f>IG527*CAP_SHARE</f>
        <v>103.98296756306493</v>
      </c>
      <c r="IL527" s="8">
        <f>IH527*CAP_SHARE</f>
        <v>109.456059244924</v>
      </c>
      <c r="IM527" s="8">
        <f>IF527-IJ527-IE527</f>
        <v>-534.3056490056833</v>
      </c>
      <c r="IN527" s="8">
        <f>IG527-IK527-IE527</f>
        <v>-77.63052934420466</v>
      </c>
      <c r="IO527" s="8">
        <f>IH527-IL527-IE527</f>
        <v>28.82665821902583</v>
      </c>
      <c r="IP527" s="8">
        <f>R_NF_2024*(1+G_HI)^(IB527-2024)</f>
        <v>2238.4874927199994</v>
      </c>
      <c r="IQ527" s="10">
        <f>1-IF527/IP527</f>
        <v>0.2645016406852885</v>
      </c>
      <c r="IR527" s="10">
        <f>CPI_2023/(IF(IB527-1=2023,CPI_2023,IF(IB527-1=2024,CPI_2024,IF(IB527-1=2025,CPI_2025,CPI_2025*(1+INFL)^(IB527-1-2025)))))</f>
        <v>0.40566855552247444</v>
      </c>
      <c r="IS527" s="8">
        <f>$IB$21*ABS($IB$11)*(IG527-IF527)/IF527</f>
        <v>29074.835009429025</v>
      </c>
      <c r="IT527" s="8">
        <f>$IB$21*ABS($IB$11)*(IH527-IF527)/IF527</f>
        <v>35852.57487461627</v>
      </c>
      <c r="IU527" s="13">
        <f>(IG527-IF527)*MCD_NF_DAYS*IR527-IS527*MCD_SHARE_FREED*R_WAIT_2023</f>
        <v>89403725.920046</v>
      </c>
      <c r="IV527" s="13">
        <f>(IH527-IF527)*MCD_NF_DAYS*IR527-IT527*MCD_SHARE_FREED*R_WAIT_2023</f>
        <v>110244951.57336639</v>
      </c>
      <c r="IW527" s="10">
        <f>IF(AND(IB527&gt;=RULE_START,IC527=1),1/(1+$IB$12)^(IB527-RULE_START+1),0)</f>
        <v>0</v>
      </c>
      <c r="IX527">
        <f>IF(AND(IB527&gt;=RULE_START,IC527=1,IM527&lt;0),IB527,9999)</f>
        <v>9999</v>
      </c>
      <c r="IY527">
        <f>IF(AND(IB527&gt;=RULE_START,IC527=1,IN527&lt;0),IB527,9999)</f>
        <v>9999</v>
      </c>
      <c r="IZ527">
        <f>IF(AND(IB527&gt;=RULE_START,IC527=1,IO527&lt;0),IB527,9999)</f>
        <v>9999</v>
      </c>
      <c r="JB527" t="n">
        <v>2063</v>
      </c>
      <c r="JC527">
        <f>IF(JB527&lt;=RULE_START+$JB$38-1,1,0)</f>
        <v>0</v>
      </c>
      <c r="JD527" s="15">
        <f>IF(JB527=2024,G_IDX_2024,IF(JB527=2025,G_IDX_2025,IF(JB527=2026,G_IDX_2026,IF(JB527=2027,G_IDX_2027,$JB$13))))</f>
        <v>0.03</v>
      </c>
      <c r="JE527" s="8">
        <f>$JB$20*(1+G_HI)^(JB527-COST_DATE)</f>
        <v>2100.2047752560497</v>
      </c>
      <c r="JF527" s="8">
        <f>JF526*(1+JD527)</f>
        <v>1482.7396292274545</v>
      </c>
      <c r="JG527" s="8">
        <f>IF(JB527&lt;RULE_START,JF527,JG526*(1+G_HI))</f>
        <v>2126.55721347491</v>
      </c>
      <c r="JH527" s="8">
        <f>IF(JB527&lt;RULE_START,JF527,IF(JI527=1,R_NF_2024*(1+G_HI)^(JB527-2024),JH526*(1+JD527)))</f>
        <v>2238.4874927199994</v>
      </c>
      <c r="JI527">
        <f>IF(AND(JB527&gt;=RULE_START,MOD(JB527-RULE_START,REBASE_YEARS)=0),1,0)</f>
        <v>1</v>
      </c>
      <c r="JJ527" s="8">
        <f>JF527*CAP_SHARE</f>
        <v>72.50200737298357</v>
      </c>
      <c r="JK527" s="8">
        <f>JG527*CAP_SHARE</f>
        <v>103.98296756306493</v>
      </c>
      <c r="JL527" s="8">
        <f>JH527*CAP_SHARE</f>
        <v>109.456059244924</v>
      </c>
      <c r="JM527" s="8">
        <f>JF527-JJ527-JE527</f>
        <v>-689.9671534015788</v>
      </c>
      <c r="JN527" s="8">
        <f>JG527-JK527-JE527</f>
        <v>-77.63052934420466</v>
      </c>
      <c r="JO527" s="8">
        <f>JH527-JL527-JE527</f>
        <v>28.82665821902583</v>
      </c>
      <c r="JP527" s="8">
        <f>R_NF_2024*(1+G_HI)^(JB527-2024)</f>
        <v>2238.4874927199994</v>
      </c>
      <c r="JQ527" s="10">
        <f>1-JF527/JP527</f>
        <v>0.3376154059159969</v>
      </c>
      <c r="JR527" s="10">
        <f>CPI_2023/(IF(JB527-1=2023,CPI_2023,IF(JB527-1=2024,CPI_2024,IF(JB527-1=2025,CPI_2025,CPI_2025*(1+INFL)^(JB527-1-2025)))))</f>
        <v>0.40566855552247444</v>
      </c>
      <c r="JS527" s="8">
        <f>$JB$21*ABS($JB$11)*(JG527-JF527)/JF527</f>
        <v>43288.4094225959</v>
      </c>
      <c r="JT527" s="8">
        <f>$JB$21*ABS($JB$11)*(JH527-JF527)/JF527</f>
        <v>50814.273694244315</v>
      </c>
      <c r="JU527" s="13">
        <f>(JG527-JF527)*MCD_NF_DAYS*JR527-JS527*MCD_SHARE_FREED*R_WAIT_2023</f>
        <v>117920993.29015842</v>
      </c>
      <c r="JV527" s="13">
        <f>(JH527-JF527)*MCD_NF_DAYS*JR527-JT527*MCD_SHARE_FREED*R_WAIT_2023</f>
        <v>138422032.76278123</v>
      </c>
      <c r="JW527" s="10">
        <f>IF(AND(JB527&gt;=RULE_START,JC527=1),1/(1+$JB$12)^(JB527-RULE_START+1),0)</f>
        <v>0</v>
      </c>
      <c r="JX527">
        <f>IF(AND(JB527&gt;=RULE_START,JC527=1,JM527&lt;0),JB527,9999)</f>
        <v>9999</v>
      </c>
      <c r="JY527">
        <f>IF(AND(JB527&gt;=RULE_START,JC527=1,JN527&lt;0),JB527,9999)</f>
        <v>9999</v>
      </c>
      <c r="JZ527">
        <f>IF(AND(JB527&gt;=RULE_START,JC527=1,JO527&lt;0),JB527,9999)</f>
        <v>9999</v>
      </c>
      <c r="KB527" t="n">
        <v>2063</v>
      </c>
      <c r="KC527">
        <f>IF(KB527&lt;=RULE_START+$KB$38-1,1,0)</f>
        <v>0</v>
      </c>
      <c r="KD527" s="15">
        <f>IF(KB527=2024,G_IDX_2024,IF(KB527=2025,G_IDX_2025,IF(KB527=2026,G_IDX_2026,IF(KB527=2027,G_IDX_2027,$KB$13))))</f>
        <v>0.033</v>
      </c>
      <c r="KE527" s="8">
        <f>$KB$20*(1+G_HI)^(KB527-COST_DATE)</f>
        <v>2100.2047752560497</v>
      </c>
      <c r="KF527" s="8">
        <f>KF526*(1+KD527)</f>
        <v>1646.4038782420619</v>
      </c>
      <c r="KG527" s="8">
        <f>IF(KB527&lt;RULE_START,KF527,KG526*(1+G_HI))</f>
        <v>2126.55721347491</v>
      </c>
      <c r="KH527" s="8">
        <f>IF(KB527&lt;RULE_START,KF527,IF(KI527=1,R_NF_2024*(1+G_HI)^(KB527-2024),KH526*(1+KD527)))</f>
        <v>2238.4874927199994</v>
      </c>
      <c r="KI527">
        <f>IF(AND(KB527&gt;=RULE_START,MOD(KB527-RULE_START,REBASE_YEARS)=0),1,0)</f>
        <v>1</v>
      </c>
      <c r="KJ527" s="8">
        <f>KF527*CAP_SHARE</f>
        <v>80.50475199169547</v>
      </c>
      <c r="KK527" s="8">
        <f>KG527*CAP_SHARE</f>
        <v>103.98296756306493</v>
      </c>
      <c r="KL527" s="8">
        <f>KH527*CAP_SHARE</f>
        <v>109.456059244924</v>
      </c>
      <c r="KM527" s="8">
        <f>KF527-KJ527-KE527</f>
        <v>-534.3056490056833</v>
      </c>
      <c r="KN527" s="8">
        <f>KG527-KK527-KE527</f>
        <v>-77.63052934420466</v>
      </c>
      <c r="KO527" s="8">
        <f>KH527-KL527-KE527</f>
        <v>28.82665821902583</v>
      </c>
      <c r="KP527" s="8">
        <f>R_NF_2024*(1+G_HI)^(KB527-2024)</f>
        <v>2238.4874927199994</v>
      </c>
      <c r="KQ527" s="10">
        <f>1-KF527/KP527</f>
        <v>0.2645016406852885</v>
      </c>
      <c r="KR527" s="10">
        <f>CPI_2023/(IF(KB527-1=2023,CPI_2023,IF(KB527-1=2024,CPI_2024,IF(KB527-1=2025,CPI_2025,CPI_2025*(1+INFL)^(KB527-1-2025)))))</f>
        <v>0.40566855552247444</v>
      </c>
      <c r="KS527" s="8">
        <f>$KB$21*ABS($KB$11)*(KG527-KF527)/KF527</f>
        <v>29074.835009429025</v>
      </c>
      <c r="KT527" s="8">
        <f>$KB$21*ABS($KB$11)*(KH527-KF527)/KF527</f>
        <v>35852.57487461627</v>
      </c>
      <c r="KU527" s="13">
        <f>(KG527-KF527)*MCD_NF_DAYS*KR527-KS527*MCD_SHARE_FREED*R_WAIT_2023</f>
        <v>89403725.920046</v>
      </c>
      <c r="KV527" s="13">
        <f>(KH527-KF527)*MCD_NF_DAYS*KR527-KT527*MCD_SHARE_FREED*R_WAIT_2023</f>
        <v>110244951.57336639</v>
      </c>
      <c r="KW527" s="10">
        <f>IF(AND(KB527&gt;=RULE_START,KC527=1),1/(1+$KB$12)^(KB527-RULE_START+1),0)</f>
        <v>0</v>
      </c>
      <c r="KX527">
        <f>IF(AND(KB527&gt;=RULE_START,KC527=1,KM527&lt;0),KB527,9999)</f>
        <v>9999</v>
      </c>
      <c r="KY527">
        <f>IF(AND(KB527&gt;=RULE_START,KC527=1,KN527&lt;0),KB527,9999)</f>
        <v>9999</v>
      </c>
      <c r="KZ527">
        <f>IF(AND(KB527&gt;=RULE_START,KC527=1,KO527&lt;0),KB527,9999)</f>
        <v>9999</v>
      </c>
      <c r="LB527" t="n">
        <v>2063</v>
      </c>
      <c r="LC527">
        <f>IF(LB527&lt;=RULE_START+$LB$38-1,1,0)</f>
        <v>0</v>
      </c>
      <c r="LD527" s="15">
        <f>IF(LB527=2024,G_IDX_2024,IF(LB527=2025,G_IDX_2025,IF(LB527=2026,G_IDX_2026,IF(LB527=2027,G_IDX_2027,$LB$13))))</f>
        <v>0.033</v>
      </c>
      <c r="LE527" s="8">
        <f>$LB$20*(1+G_HI)^(LB527-COST_DATE)</f>
        <v>2100.2047752560497</v>
      </c>
      <c r="LF527" s="8">
        <f>LF526*(1+LD527)</f>
        <v>1646.4038782420619</v>
      </c>
      <c r="LG527" s="8">
        <f>IF(LB527&lt;RULE_START,LF527,LG526*(1+G_HI))</f>
        <v>2126.55721347491</v>
      </c>
      <c r="LH527" s="8">
        <f>IF(LB527&lt;RULE_START,LF527,IF(LI527=1,R_NF_2024*(1+G_HI)^(LB527-2024),LH526*(1+LD527)))</f>
        <v>2238.4874927199994</v>
      </c>
      <c r="LI527">
        <f>IF(AND(LB527&gt;=RULE_START,MOD(LB527-RULE_START,REBASE_YEARS)=0),1,0)</f>
        <v>1</v>
      </c>
      <c r="LJ527" s="8">
        <f>LF527*CAP_SHARE</f>
        <v>80.50475199169547</v>
      </c>
      <c r="LK527" s="8">
        <f>LG527*CAP_SHARE</f>
        <v>103.98296756306493</v>
      </c>
      <c r="LL527" s="8">
        <f>LH527*CAP_SHARE</f>
        <v>109.456059244924</v>
      </c>
      <c r="LM527" s="8">
        <f>LF527-LJ527-LE527</f>
        <v>-534.3056490056833</v>
      </c>
      <c r="LN527" s="8">
        <f>LG527-LK527-LE527</f>
        <v>-77.63052934420466</v>
      </c>
      <c r="LO527" s="8">
        <f>LH527-LL527-LE527</f>
        <v>28.82665821902583</v>
      </c>
      <c r="LP527" s="8">
        <f>R_NF_2024*(1+G_HI)^(LB527-2024)</f>
        <v>2238.4874927199994</v>
      </c>
      <c r="LQ527" s="10">
        <f>1-LF527/LP527</f>
        <v>0.2645016406852885</v>
      </c>
      <c r="LR527" s="10">
        <f>CPI_2023/(IF(LB527-1=2023,CPI_2023,IF(LB527-1=2024,CPI_2024,IF(LB527-1=2025,CPI_2025,CPI_2025*(1+INFL)^(LB527-1-2025)))))</f>
        <v>0.40566855552247444</v>
      </c>
      <c r="LS527" s="8">
        <f>$LB$21*ABS($LB$11)*(LG527-LF527)/LF527</f>
        <v>29074.835009429025</v>
      </c>
      <c r="LT527" s="8">
        <f>$LB$21*ABS($LB$11)*(LH527-LF527)/LF527</f>
        <v>35852.57487461627</v>
      </c>
      <c r="LU527" s="13">
        <f>(LG527-LF527)*MCD_NF_DAYS*LR527-LS527*MCD_SHARE_FREED*R_WAIT_2023</f>
        <v>89403725.920046</v>
      </c>
      <c r="LV527" s="13">
        <f>(LH527-LF527)*MCD_NF_DAYS*LR527-LT527*MCD_SHARE_FREED*R_WAIT_2023</f>
        <v>110244951.57336639</v>
      </c>
      <c r="LW527" s="10">
        <f>IF(AND(LB527&gt;=RULE_START,LC527=1),1/(1+$LB$12)^(LB527-RULE_START+1),0)</f>
        <v>0</v>
      </c>
      <c r="LX527">
        <f>IF(AND(LB527&gt;=RULE_START,LC527=1,LM527&lt;0),LB527,9999)</f>
        <v>9999</v>
      </c>
      <c r="LY527">
        <f>IF(AND(LB527&gt;=RULE_START,LC527=1,LN527&lt;0),LB527,9999)</f>
        <v>9999</v>
      </c>
      <c r="LZ527">
        <f>IF(AND(LB527&gt;=RULE_START,LC527=1,LO527&lt;0),LB527,9999)</f>
        <v>9999</v>
      </c>
      <c r="MB527" t="n">
        <v>2063</v>
      </c>
      <c r="MC527">
        <f>IF(MB527&lt;=RULE_START+$MB$38-1,1,0)</f>
        <v>0</v>
      </c>
      <c r="MD527" s="15">
        <f>IF(MB527=2024,G_IDX_2024,IF(MB527=2025,G_IDX_2025,IF(MB527=2026,G_IDX_2026,IF(MB527=2027,G_IDX_2027,$MB$13))))</f>
        <v>0.033</v>
      </c>
      <c r="ME527" s="8">
        <f>$MB$20*(1+G_HI)^(MB527-COST_DATE)</f>
        <v>2100.2047752560497</v>
      </c>
      <c r="MF527" s="8">
        <f>MF526*(1+MD527)</f>
        <v>1646.4038782420619</v>
      </c>
      <c r="MG527" s="8">
        <f>IF(MB527&lt;RULE_START,MF527,MG526*(1+G_HI))</f>
        <v>2126.55721347491</v>
      </c>
      <c r="MH527" s="8">
        <f>IF(MB527&lt;RULE_START,MF527,IF(MI527=1,R_NF_2024*(1+G_HI)^(MB527-2024),MH526*(1+MD527)))</f>
        <v>2238.4874927199994</v>
      </c>
      <c r="MI527">
        <f>IF(AND(MB527&gt;=RULE_START,MOD(MB527-RULE_START,REBASE_YEARS)=0),1,0)</f>
        <v>1</v>
      </c>
      <c r="MJ527" s="8">
        <f>MF527*CAP_SHARE</f>
        <v>80.50475199169547</v>
      </c>
      <c r="MK527" s="8">
        <f>MG527*CAP_SHARE</f>
        <v>103.98296756306493</v>
      </c>
      <c r="ML527" s="8">
        <f>MH527*CAP_SHARE</f>
        <v>109.456059244924</v>
      </c>
      <c r="MM527" s="8">
        <f>MF527-MJ527-ME527</f>
        <v>-534.3056490056833</v>
      </c>
      <c r="MN527" s="8">
        <f>MG527-MK527-ME527</f>
        <v>-77.63052934420466</v>
      </c>
      <c r="MO527" s="8">
        <f>MH527-ML527-ME527</f>
        <v>28.82665821902583</v>
      </c>
      <c r="MP527" s="8">
        <f>R_NF_2024*(1+G_HI)^(MB527-2024)</f>
        <v>2238.4874927199994</v>
      </c>
      <c r="MQ527" s="10">
        <f>1-MF527/MP527</f>
        <v>0.2645016406852885</v>
      </c>
      <c r="MR527" s="10">
        <f>CPI_2023/(IF(MB527-1=2023,CPI_2023,IF(MB527-1=2024,CPI_2024,IF(MB527-1=2025,CPI_2025,CPI_2025*(1+INFL)^(MB527-1-2025)))))</f>
        <v>0.40566855552247444</v>
      </c>
      <c r="MS527" s="8">
        <f>$MB$21*ABS($MB$11)*(MG527-MF527)/MF527</f>
        <v>21299.92245248326</v>
      </c>
      <c r="MT527" s="8">
        <f>$MB$21*ABS($MB$11)*(MH527-MF527)/MF527</f>
        <v>26265.224353070997</v>
      </c>
      <c r="MU527" s="13">
        <f>(MG527-MF527)*MCD_NF_DAYS*MR527-MS527*MCD_SHARE_FREED*R_WAIT_2023</f>
        <v>92939124.29117565</v>
      </c>
      <c r="MV527" s="13">
        <f>(MH527-MF527)*MCD_NF_DAYS*MR527-MT527*MCD_SHARE_FREED*R_WAIT_2023</f>
        <v>114604499.43568155</v>
      </c>
      <c r="MW527" s="10">
        <f>IF(AND(MB527&gt;=RULE_START,MC527=1),1/(1+$MB$12)^(MB527-RULE_START+1),0)</f>
        <v>0</v>
      </c>
      <c r="MX527">
        <f>IF(AND(MB527&gt;=RULE_START,MC527=1,MM527&lt;0),MB527,9999)</f>
        <v>9999</v>
      </c>
      <c r="MY527">
        <f>IF(AND(MB527&gt;=RULE_START,MC527=1,MN527&lt;0),MB527,9999)</f>
        <v>9999</v>
      </c>
      <c r="MZ527">
        <f>IF(AND(MB527&gt;=RULE_START,MC527=1,MO527&lt;0),MB527,9999)</f>
        <v>9999</v>
      </c>
      <c r="NB527" t="n">
        <v>2063</v>
      </c>
      <c r="NC527">
        <f>IF(NB527&lt;=RULE_START+$NB$38-1,1,0)</f>
        <v>0</v>
      </c>
      <c r="ND527" s="15">
        <f>IF(NB527=2024,G_IDX_2024,IF(NB527=2025,G_IDX_2025,IF(NB527=2026,G_IDX_2026,IF(NB527=2027,G_IDX_2027,$NB$13))))</f>
        <v>0.033</v>
      </c>
      <c r="NE527" s="8">
        <f>$NB$20*(1+G_HI)^(NB527-COST_DATE)</f>
        <v>2100.2047752560497</v>
      </c>
      <c r="NF527" s="8">
        <f>NF526*(1+ND527)</f>
        <v>1646.4038782420619</v>
      </c>
      <c r="NG527" s="8">
        <f>IF(NB527&lt;RULE_START,NF527,NG526*(1+G_HI))</f>
        <v>2126.55721347491</v>
      </c>
      <c r="NH527" s="8">
        <f>IF(NB527&lt;RULE_START,NF527,IF(NI527=1,R_NF_2024*(1+G_HI)^(NB527-2024),NH526*(1+ND527)))</f>
        <v>2238.4874927199994</v>
      </c>
      <c r="NI527">
        <f>IF(AND(NB527&gt;=RULE_START,MOD(NB527-RULE_START,REBASE_YEARS)=0),1,0)</f>
        <v>1</v>
      </c>
      <c r="NJ527" s="8">
        <f>NF527*CAP_SHARE</f>
        <v>80.50475199169547</v>
      </c>
      <c r="NK527" s="8">
        <f>NG527*CAP_SHARE</f>
        <v>103.98296756306493</v>
      </c>
      <c r="NL527" s="8">
        <f>NH527*CAP_SHARE</f>
        <v>109.456059244924</v>
      </c>
      <c r="NM527" s="8">
        <f>NF527-NJ527-NE527</f>
        <v>-534.3056490056833</v>
      </c>
      <c r="NN527" s="8">
        <f>NG527-NK527-NE527</f>
        <v>-77.63052934420466</v>
      </c>
      <c r="NO527" s="8">
        <f>NH527-NL527-NE527</f>
        <v>28.82665821902583</v>
      </c>
      <c r="NP527" s="8">
        <f>R_NF_2024*(1+G_HI)^(NB527-2024)</f>
        <v>2238.4874927199994</v>
      </c>
      <c r="NQ527" s="10">
        <f>1-NF527/NP527</f>
        <v>0.2645016406852885</v>
      </c>
      <c r="NR527" s="10">
        <f>CPI_2023/(IF(NB527-1=2023,CPI_2023,IF(NB527-1=2024,CPI_2024,IF(NB527-1=2025,CPI_2025,CPI_2025*(1+INFL)^(NB527-1-2025)))))</f>
        <v>0.40566855552247444</v>
      </c>
      <c r="NS527" s="8">
        <f>$NB$21*ABS($NB$11)*(NG527-NF527)/NF527</f>
        <v>29074.835009429025</v>
      </c>
      <c r="NT527" s="8">
        <f>$NB$21*ABS($NB$11)*(NH527-NF527)/NF527</f>
        <v>35852.57487461627</v>
      </c>
      <c r="NU527" s="13">
        <f>(NG527-NF527)*MCD_NF_DAYS*NR527-NS527*MCD_SHARE_FREED*R_WAIT_2023</f>
        <v>89403725.920046</v>
      </c>
      <c r="NV527" s="13">
        <f>(NH527-NF527)*MCD_NF_DAYS*NR527-NT527*MCD_SHARE_FREED*R_WAIT_2023</f>
        <v>110244951.57336639</v>
      </c>
      <c r="NW527" s="10">
        <f>IF(AND(NB527&gt;=RULE_START,NC527=1),1/(1+$NB$12)^(NB527-RULE_START+1),0)</f>
        <v>0</v>
      </c>
      <c r="NX527">
        <f>IF(AND(NB527&gt;=RULE_START,NC527=1,NM527&lt;0),NB527,9999)</f>
        <v>9999</v>
      </c>
      <c r="NY527">
        <f>IF(AND(NB527&gt;=RULE_START,NC527=1,NN527&lt;0),NB527,9999)</f>
        <v>9999</v>
      </c>
      <c r="NZ527">
        <f>IF(AND(NB527&gt;=RULE_START,NC527=1,NO527&lt;0),NB527,9999)</f>
        <v>9999</v>
      </c>
      <c r="OB527" t="n">
        <v>2063</v>
      </c>
      <c r="OC527">
        <f>IF(OB527&lt;=RULE_START+$OB$38-1,1,0)</f>
        <v>0</v>
      </c>
      <c r="OD527" s="15">
        <f>IF(OB527=2024,G_IDX_2024,IF(OB527=2025,G_IDX_2025,IF(OB527=2026,G_IDX_2026,IF(OB527=2027,G_IDX_2027,$OB$13))))</f>
        <v>0.033</v>
      </c>
      <c r="OE527" s="8">
        <f>$OB$20*(1+G_HI)^(OB527-COST_DATE)</f>
        <v>2100.2047752560497</v>
      </c>
      <c r="OF527" s="8">
        <f>OF526*(1+OD527)</f>
        <v>1646.4038782420619</v>
      </c>
      <c r="OG527" s="8">
        <f>IF(OB527&lt;RULE_START,OF527,OG526*(1+G_HI))</f>
        <v>2126.55721347491</v>
      </c>
      <c r="OH527" s="8">
        <f>IF(OB527&lt;RULE_START,OF527,IF(OI527=1,R_NF_2024*(1+G_HI)^(OB527-2024),OH526*(1+OD527)))</f>
        <v>2238.4874927199994</v>
      </c>
      <c r="OI527">
        <f>IF(AND(OB527&gt;=RULE_START,MOD(OB527-RULE_START,REBASE_YEARS)=0),1,0)</f>
        <v>1</v>
      </c>
      <c r="OJ527" s="8">
        <f>OF527*CAP_SHARE</f>
        <v>80.50475199169547</v>
      </c>
      <c r="OK527" s="8">
        <f>OG527*CAP_SHARE</f>
        <v>103.98296756306493</v>
      </c>
      <c r="OL527" s="8">
        <f>OH527*CAP_SHARE</f>
        <v>109.456059244924</v>
      </c>
      <c r="OM527" s="8">
        <f>OF527-OJ527-OE527</f>
        <v>-534.3056490056833</v>
      </c>
      <c r="ON527" s="8">
        <f>OG527-OK527-OE527</f>
        <v>-77.63052934420466</v>
      </c>
      <c r="OO527" s="8">
        <f>OH527-OL527-OE527</f>
        <v>28.82665821902583</v>
      </c>
      <c r="OP527" s="8">
        <f>R_NF_2024*(1+G_HI)^(OB527-2024)</f>
        <v>2238.4874927199994</v>
      </c>
      <c r="OQ527" s="10">
        <f>1-OF527/OP527</f>
        <v>0.2645016406852885</v>
      </c>
      <c r="OR527" s="10">
        <f>CPI_2023/(IF(OB527-1=2023,CPI_2023,IF(OB527-1=2024,CPI_2024,IF(OB527-1=2025,CPI_2025,CPI_2025*(1+INFL)^(OB527-1-2025)))))</f>
        <v>0.40566855552247444</v>
      </c>
      <c r="OS527" s="8">
        <f>$OB$21*ABS($OB$11)*(OG527-OF527)/OF527</f>
        <v>29074.835009429025</v>
      </c>
      <c r="OT527" s="8">
        <f>$OB$21*ABS($OB$11)*(OH527-OF527)/OF527</f>
        <v>35852.57487461627</v>
      </c>
      <c r="OU527" s="13">
        <f>(OG527-OF527)*MCD_NF_DAYS*OR527-OS527*MCD_SHARE_FREED*R_WAIT_2023</f>
        <v>89403725.920046</v>
      </c>
      <c r="OV527" s="13">
        <f>(OH527-OF527)*MCD_NF_DAYS*OR527-OT527*MCD_SHARE_FREED*R_WAIT_2023</f>
        <v>110244951.57336639</v>
      </c>
      <c r="OW527" s="10">
        <f>IF(AND(OB527&gt;=RULE_START,OC527=1),1/(1+$OB$12)^(OB527-RULE_START+1),0)</f>
        <v>0</v>
      </c>
      <c r="OX527">
        <f>IF(AND(OB527&gt;=RULE_START,OC527=1,OM527&lt;0),OB527,9999)</f>
        <v>9999</v>
      </c>
      <c r="OY527">
        <f>IF(AND(OB527&gt;=RULE_START,OC527=1,ON527&lt;0),OB527,9999)</f>
        <v>9999</v>
      </c>
      <c r="OZ527">
        <f>IF(AND(OB527&gt;=RULE_START,OC527=1,OO527&lt;0),OB527,9999)</f>
        <v>9999</v>
      </c>
    </row>
    <row r="528">
      <c r="B528" t="n">
        <v>2064</v>
      </c>
      <c r="C528">
        <f>IF(B528&lt;=RULE_START+$B$38-1,1,0)</f>
        <v>0</v>
      </c>
      <c r="D528" s="15">
        <f>IF(B528=2024,G_IDX_2024,IF(B528=2025,G_IDX_2025,IF(B528=2026,G_IDX_2026,IF(B528=2027,G_IDX_2027,$B$13))))</f>
        <v>0.033</v>
      </c>
      <c r="E528" s="8">
        <f>$B$20*(1+G_HI)^(B528-COST_DATE)</f>
        <v>2184.5689952559496</v>
      </c>
      <c r="F528" s="8">
        <f>F527*(1+D528)</f>
        <v>1700.7352062240498</v>
      </c>
      <c r="G528" s="8">
        <f>IF(B528&lt;RULE_START,F528,G527*(1+G_HI))</f>
        <v>2211.979998297451</v>
      </c>
      <c r="H528" s="8">
        <f>IF(B528&lt;RULE_START,F528,IF(I528=1,R_NF_2024*(1+G_HI)^(B528-2024),H527*(1+D528)))</f>
        <v>2312.357579979759</v>
      </c>
      <c r="I528">
        <f>IF(AND(B528&gt;=RULE_START,MOD(B528-RULE_START,REBASE_YEARS)=0),1,0)</f>
        <v>0</v>
      </c>
      <c r="J528" s="8">
        <f>F528*CAP_SHARE</f>
        <v>83.16140880742141</v>
      </c>
      <c r="K528" s="8">
        <f>G528*CAP_SHARE</f>
        <v>108.15991357094329</v>
      </c>
      <c r="L528" s="8">
        <f>H528*CAP_SHARE</f>
        <v>113.06810920000649</v>
      </c>
      <c r="M528" s="8">
        <f>F528-J528-E528</f>
        <v>-566.9951978393212</v>
      </c>
      <c r="N528" s="8">
        <f>G528-K528-E528</f>
        <v>-80.74891052944213</v>
      </c>
      <c r="O528" s="8">
        <f>H528-L528-E528</f>
        <v>14.720475523803088</v>
      </c>
      <c r="P528" s="8">
        <f>R_NF_2024*(1+G_HI)^(B528-2024)</f>
        <v>2328.406463254589</v>
      </c>
      <c r="Q528" s="10">
        <f>1-F528/P528</f>
        <v>0.26957117107173634</v>
      </c>
      <c r="R528" s="10">
        <f>CPI_2023/(IF(B528-1=2023,CPI_2023,IF(B528-1=2024,CPI_2024,IF(B528-1=2025,CPI_2025,CPI_2025*(1+INFL)^(B528-1-2025)))))</f>
        <v>0.3966254942534948</v>
      </c>
      <c r="S528" s="8">
        <f>$B$21*ABS($B$11)*(G528-F528)/F528</f>
        <v>29968.560624288544</v>
      </c>
      <c r="T528" s="8">
        <f>$B$21*ABS($B$11)*(H528-F528)/F528</f>
        <v>35852.574874616264</v>
      </c>
      <c r="U528" s="13">
        <f>(G528-F528)*MCD_NF_DAYS*R528-S528*MCD_SHARE_FREED*R_WAIT_2023</f>
        <v>93206785.16582996</v>
      </c>
      <c r="V528" s="13">
        <f>(H528-F528)*MCD_NF_DAYS*R528-T528*MCD_SHARE_FREED*R_WAIT_2023</f>
        <v>111506965.1116927</v>
      </c>
      <c r="W528" s="10">
        <f>IF(AND(B528&gt;=RULE_START,C528=1),1/(1+$B$12)^(B528-RULE_START+1),0)</f>
        <v>0</v>
      </c>
      <c r="X528">
        <f>IF(AND(B528&gt;=RULE_START,C528=1,M528&lt;0),B528,9999)</f>
        <v>9999</v>
      </c>
      <c r="Y528">
        <f>IF(AND(B528&gt;=RULE_START,C528=1,N528&lt;0),B528,9999)</f>
        <v>9999</v>
      </c>
      <c r="Z528">
        <f>IF(AND(B528&gt;=RULE_START,C528=1,O528&lt;0),B528,9999)</f>
        <v>9999</v>
      </c>
      <c r="AB528" t="n">
        <v>2064</v>
      </c>
      <c r="AC528">
        <f>IF(AB528&lt;=RULE_START+$AB$38-1,1,0)</f>
        <v>0</v>
      </c>
      <c r="AD528" s="15">
        <f>IF(AB528=2024,G_IDX_2024,IF(AB528=2025,G_IDX_2025,IF(AB528=2026,G_IDX_2026,IF(AB528=2027,G_IDX_2027,$AB$13))))</f>
        <v>0.033</v>
      </c>
      <c r="AE528" s="8">
        <f>$AB$20*(1+G_HI)^(AB528-COST_DATE)</f>
        <v>2184.5689952559496</v>
      </c>
      <c r="AF528" s="8">
        <f>AF527*(1+AD528)</f>
        <v>1700.7352062240498</v>
      </c>
      <c r="AG528" s="8">
        <f>IF(AB528&lt;RULE_START,AF528,AG527*(1+G_HI))</f>
        <v>2211.979998297451</v>
      </c>
      <c r="AH528" s="8">
        <f>IF(AB528&lt;RULE_START,AF528,IF(AI528=1,R_NF_2024*(1+G_HI)^(AB528-2024),AH527*(1+AD528)))</f>
        <v>2312.357579979759</v>
      </c>
      <c r="AI528">
        <f>IF(AND(AB528&gt;=RULE_START,MOD(AB528-RULE_START,REBASE_YEARS)=0),1,0)</f>
        <v>0</v>
      </c>
      <c r="AJ528" s="8">
        <f>AF528*CAP_SHARE</f>
        <v>83.16140880742141</v>
      </c>
      <c r="AK528" s="8">
        <f>AG528*CAP_SHARE</f>
        <v>108.15991357094329</v>
      </c>
      <c r="AL528" s="8">
        <f>AH528*CAP_SHARE</f>
        <v>113.06810920000649</v>
      </c>
      <c r="AM528" s="8">
        <f>AF528-AJ528-AE528</f>
        <v>-566.9951978393212</v>
      </c>
      <c r="AN528" s="8">
        <f>AG528-AK528-AE528</f>
        <v>-80.74891052944213</v>
      </c>
      <c r="AO528" s="8">
        <f>AH528-AL528-AE528</f>
        <v>14.720475523803088</v>
      </c>
      <c r="AP528" s="8">
        <f>R_NF_2024*(1+G_HI)^(AB528-2024)</f>
        <v>2328.406463254589</v>
      </c>
      <c r="AQ528" s="10">
        <f>1-AF528/AP528</f>
        <v>0.26957117107173634</v>
      </c>
      <c r="AR528" s="10">
        <f>CPI_2023/(IF(AB528-1=2023,CPI_2023,IF(AB528-1=2024,CPI_2024,IF(AB528-1=2025,CPI_2025,CPI_2025*(1+INFL)^(AB528-1-2025)))))</f>
        <v>0.3966254942534948</v>
      </c>
      <c r="AS528" s="8">
        <f>$AB$21*ABS($AB$11)*(AG528-AF528)/AF528</f>
        <v>29968.560624288544</v>
      </c>
      <c r="AT528" s="8">
        <f>$AB$21*ABS($AB$11)*(AH528-AF528)/AF528</f>
        <v>35852.574874616264</v>
      </c>
      <c r="AU528" s="13">
        <f>(AG528-AF528)*MCD_NF_DAYS*AR528-AS528*MCD_SHARE_FREED*R_WAIT_2023</f>
        <v>93206785.16582996</v>
      </c>
      <c r="AV528" s="13">
        <f>(AH528-AF528)*MCD_NF_DAYS*AR528-AT528*MCD_SHARE_FREED*R_WAIT_2023</f>
        <v>111506965.1116927</v>
      </c>
      <c r="AW528" s="10">
        <f>IF(AND(AB528&gt;=RULE_START,AC528=1),1/(1+$AB$12)^(AB528-RULE_START+1),0)</f>
        <v>0</v>
      </c>
      <c r="AX528">
        <f>IF(AND(AB528&gt;=RULE_START,AC528=1,AM528&lt;0),AB528,9999)</f>
        <v>9999</v>
      </c>
      <c r="AY528">
        <f>IF(AND(AB528&gt;=RULE_START,AC528=1,AN528&lt;0),AB528,9999)</f>
        <v>9999</v>
      </c>
      <c r="AZ528">
        <f>IF(AND(AB528&gt;=RULE_START,AC528=1,AO528&lt;0),AB528,9999)</f>
        <v>9999</v>
      </c>
      <c r="BB528" t="n">
        <v>2064</v>
      </c>
      <c r="BC528">
        <f>IF(BB528&lt;=RULE_START+$BB$38-1,1,0)</f>
        <v>0</v>
      </c>
      <c r="BD528" s="15">
        <f>IF(BB528=2024,G_IDX_2024,IF(BB528=2025,G_IDX_2025,IF(BB528=2026,G_IDX_2026,IF(BB528=2027,G_IDX_2027,$BB$13))))</f>
        <v>0.033</v>
      </c>
      <c r="BE528" s="8">
        <f>$BB$20*(1+G_HI)^(BB528-COST_DATE)</f>
        <v>2184.5689952559496</v>
      </c>
      <c r="BF528" s="8">
        <f>BF527*(1+BD528)</f>
        <v>1700.7352062240498</v>
      </c>
      <c r="BG528" s="8">
        <f>IF(BB528&lt;RULE_START,BF528,BG527*(1+G_HI))</f>
        <v>2211.979998297451</v>
      </c>
      <c r="BH528" s="8">
        <f>IF(BB528&lt;RULE_START,BF528,IF(BI528=1,R_NF_2024*(1+G_HI)^(BB528-2024),BH527*(1+BD528)))</f>
        <v>2312.357579979759</v>
      </c>
      <c r="BI528">
        <f>IF(AND(BB528&gt;=RULE_START,MOD(BB528-RULE_START,REBASE_YEARS)=0),1,0)</f>
        <v>0</v>
      </c>
      <c r="BJ528" s="8">
        <f>BF528*CAP_SHARE</f>
        <v>83.16140880742141</v>
      </c>
      <c r="BK528" s="8">
        <f>BG528*CAP_SHARE</f>
        <v>108.15991357094329</v>
      </c>
      <c r="BL528" s="8">
        <f>BH528*CAP_SHARE</f>
        <v>113.06810920000649</v>
      </c>
      <c r="BM528" s="8">
        <f>BF528-BJ528-BE528</f>
        <v>-566.9951978393212</v>
      </c>
      <c r="BN528" s="8">
        <f>BG528-BK528-BE528</f>
        <v>-80.74891052944213</v>
      </c>
      <c r="BO528" s="8">
        <f>BH528-BL528-BE528</f>
        <v>14.720475523803088</v>
      </c>
      <c r="BP528" s="8">
        <f>R_NF_2024*(1+G_HI)^(BB528-2024)</f>
        <v>2328.406463254589</v>
      </c>
      <c r="BQ528" s="10">
        <f>1-BF528/BP528</f>
        <v>0.26957117107173634</v>
      </c>
      <c r="BR528" s="10">
        <f>CPI_2023/(IF(BB528-1=2023,CPI_2023,IF(BB528-1=2024,CPI_2024,IF(BB528-1=2025,CPI_2025,CPI_2025*(1+INFL)^(BB528-1-2025)))))</f>
        <v>0.3966254942534948</v>
      </c>
      <c r="BS528" s="8">
        <f>$BB$21*ABS($BB$11)*(BG528-BF528)/BF528</f>
        <v>29968.560624288544</v>
      </c>
      <c r="BT528" s="8">
        <f>$BB$21*ABS($BB$11)*(BH528-BF528)/BF528</f>
        <v>35852.574874616264</v>
      </c>
      <c r="BU528" s="13">
        <f>(BG528-BF528)*MCD_NF_DAYS*BR528-BS528*MCD_SHARE_FREED*R_WAIT_2023</f>
        <v>93206785.16582996</v>
      </c>
      <c r="BV528" s="13">
        <f>(BH528-BF528)*MCD_NF_DAYS*BR528-BT528*MCD_SHARE_FREED*R_WAIT_2023</f>
        <v>111506965.1116927</v>
      </c>
      <c r="BW528" s="10">
        <f>IF(AND(BB528&gt;=RULE_START,BC528=1),1/(1+$BB$12)^(BB528-RULE_START+1),0)</f>
        <v>0</v>
      </c>
      <c r="BX528">
        <f>IF(AND(BB528&gt;=RULE_START,BC528=1,BM528&lt;0),BB528,9999)</f>
        <v>9999</v>
      </c>
      <c r="BY528">
        <f>IF(AND(BB528&gt;=RULE_START,BC528=1,BN528&lt;0),BB528,9999)</f>
        <v>9999</v>
      </c>
      <c r="BZ528">
        <f>IF(AND(BB528&gt;=RULE_START,BC528=1,BO528&lt;0),BB528,9999)</f>
        <v>9999</v>
      </c>
      <c r="CB528" t="n">
        <v>2064</v>
      </c>
      <c r="CC528">
        <f>IF(CB528&lt;=RULE_START+$CB$38-1,1,0)</f>
        <v>1</v>
      </c>
      <c r="CD528" s="15">
        <f>IF(CB528=2024,G_IDX_2024,IF(CB528=2025,G_IDX_2025,IF(CB528=2026,G_IDX_2026,IF(CB528=2027,G_IDX_2027,$CB$13))))</f>
        <v>0.033</v>
      </c>
      <c r="CE528" s="8">
        <f>$CB$20*(1+G_HI)^(CB528-COST_DATE)</f>
        <v>2184.5689952559496</v>
      </c>
      <c r="CF528" s="8">
        <f>CF527*(1+CD528)</f>
        <v>1700.7352062240498</v>
      </c>
      <c r="CG528" s="8">
        <f>IF(CB528&lt;RULE_START,CF528,CG527*(1+G_HI))</f>
        <v>2211.979998297451</v>
      </c>
      <c r="CH528" s="8">
        <f>IF(CB528&lt;RULE_START,CF528,IF(CI528=1,R_NF_2024*(1+G_HI)^(CB528-2024),CH527*(1+CD528)))</f>
        <v>2312.357579979759</v>
      </c>
      <c r="CI528">
        <f>IF(AND(CB528&gt;=RULE_START,MOD(CB528-RULE_START,REBASE_YEARS)=0),1,0)</f>
        <v>0</v>
      </c>
      <c r="CJ528" s="8">
        <f>CF528*CAP_SHARE</f>
        <v>83.16140880742141</v>
      </c>
      <c r="CK528" s="8">
        <f>CG528*CAP_SHARE</f>
        <v>108.15991357094329</v>
      </c>
      <c r="CL528" s="8">
        <f>CH528*CAP_SHARE</f>
        <v>113.06810920000649</v>
      </c>
      <c r="CM528" s="8">
        <f>CF528-CJ528-CE528</f>
        <v>-566.9951978393212</v>
      </c>
      <c r="CN528" s="8">
        <f>CG528-CK528-CE528</f>
        <v>-80.74891052944213</v>
      </c>
      <c r="CO528" s="8">
        <f>CH528-CL528-CE528</f>
        <v>14.720475523803088</v>
      </c>
      <c r="CP528" s="8">
        <f>R_NF_2024*(1+G_HI)^(CB528-2024)</f>
        <v>2328.406463254589</v>
      </c>
      <c r="CQ528" s="10">
        <f>1-CF528/CP528</f>
        <v>0.26957117107173634</v>
      </c>
      <c r="CR528" s="10">
        <f>CPI_2023/(IF(CB528-1=2023,CPI_2023,IF(CB528-1=2024,CPI_2024,IF(CB528-1=2025,CPI_2025,CPI_2025*(1+INFL)^(CB528-1-2025)))))</f>
        <v>0.3966254942534948</v>
      </c>
      <c r="CS528" s="8">
        <f>$CB$21*ABS($CB$11)*(CG528-CF528)/CF528</f>
        <v>29968.560624288544</v>
      </c>
      <c r="CT528" s="8">
        <f>$CB$21*ABS($CB$11)*(CH528-CF528)/CF528</f>
        <v>35852.574874616264</v>
      </c>
      <c r="CU528" s="13">
        <f>(CG528-CF528)*MCD_NF_DAYS*CR528-CS528*MCD_SHARE_FREED*R_WAIT_2023</f>
        <v>93206785.16582996</v>
      </c>
      <c r="CV528" s="13">
        <f>(CH528-CF528)*MCD_NF_DAYS*CR528-CT528*MCD_SHARE_FREED*R_WAIT_2023</f>
        <v>111506965.1116927</v>
      </c>
      <c r="CW528" s="10">
        <f>IF(AND(CB528&gt;=RULE_START,CC528=1),1/(1+$CB$12)^(CB528-RULE_START+1),0)</f>
        <v>0.4711871879587196</v>
      </c>
      <c r="CX528">
        <f>IF(AND(CB528&gt;=RULE_START,CC528=1,CM528&lt;0),CB528,9999)</f>
        <v>2064</v>
      </c>
      <c r="CY528">
        <f>IF(AND(CB528&gt;=RULE_START,CC528=1,CN528&lt;0),CB528,9999)</f>
        <v>2064</v>
      </c>
      <c r="CZ528">
        <f>IF(AND(CB528&gt;=RULE_START,CC528=1,CO528&lt;0),CB528,9999)</f>
        <v>9999</v>
      </c>
      <c r="DB528" t="n">
        <v>2064</v>
      </c>
      <c r="DC528">
        <f>IF(DB528&lt;=RULE_START+$DB$38-1,1,0)</f>
        <v>0</v>
      </c>
      <c r="DD528" s="15">
        <f>IF(DB528=2024,G_IDX_2024,IF(DB528=2025,G_IDX_2025,IF(DB528=2026,G_IDX_2026,IF(DB528=2027,G_IDX_2027,$DB$13))))</f>
        <v>0.033</v>
      </c>
      <c r="DE528" s="8">
        <f>$DB$20*(1+G_HI)^(DB528-COST_DATE)</f>
        <v>2184.5689952559496</v>
      </c>
      <c r="DF528" s="8">
        <f>DF527*(1+DD528)</f>
        <v>1700.7352062240498</v>
      </c>
      <c r="DG528" s="8">
        <f>IF(DB528&lt;RULE_START,DF528,DG527*(1+G_HI))</f>
        <v>2211.979998297451</v>
      </c>
      <c r="DH528" s="8">
        <f>IF(DB528&lt;RULE_START,DF528,IF(DI528=1,R_NF_2024*(1+G_HI)^(DB528-2024),DH527*(1+DD528)))</f>
        <v>2312.357579979759</v>
      </c>
      <c r="DI528">
        <f>IF(AND(DB528&gt;=RULE_START,MOD(DB528-RULE_START,REBASE_YEARS)=0),1,0)</f>
        <v>0</v>
      </c>
      <c r="DJ528" s="8">
        <f>DF528*CAP_SHARE</f>
        <v>83.16140880742141</v>
      </c>
      <c r="DK528" s="8">
        <f>DG528*CAP_SHARE</f>
        <v>108.15991357094329</v>
      </c>
      <c r="DL528" s="8">
        <f>DH528*CAP_SHARE</f>
        <v>113.06810920000649</v>
      </c>
      <c r="DM528" s="8">
        <f>DF528-DJ528-DE528</f>
        <v>-566.9951978393212</v>
      </c>
      <c r="DN528" s="8">
        <f>DG528-DK528-DE528</f>
        <v>-80.74891052944213</v>
      </c>
      <c r="DO528" s="8">
        <f>DH528-DL528-DE528</f>
        <v>14.720475523803088</v>
      </c>
      <c r="DP528" s="8">
        <f>R_NF_2024*(1+G_HI)^(DB528-2024)</f>
        <v>2328.406463254589</v>
      </c>
      <c r="DQ528" s="10">
        <f>1-DF528/DP528</f>
        <v>0.26957117107173634</v>
      </c>
      <c r="DR528" s="10">
        <f>CPI_2023/(IF(DB528-1=2023,CPI_2023,IF(DB528-1=2024,CPI_2024,IF(DB528-1=2025,CPI_2025,CPI_2025*(1+INFL)^(DB528-1-2025)))))</f>
        <v>0.3966254942534948</v>
      </c>
      <c r="DS528" s="8">
        <f>$DB$21*ABS($DB$11)*(DG528-DF528)/DF528</f>
        <v>29968.560624288544</v>
      </c>
      <c r="DT528" s="8">
        <f>$DB$21*ABS($DB$11)*(DH528-DF528)/DF528</f>
        <v>35852.574874616264</v>
      </c>
      <c r="DU528" s="13">
        <f>(DG528-DF528)*MCD_NF_DAYS*DR528-DS528*MCD_SHARE_FREED*R_WAIT_2023</f>
        <v>93206785.16582996</v>
      </c>
      <c r="DV528" s="13">
        <f>(DH528-DF528)*MCD_NF_DAYS*DR528-DT528*MCD_SHARE_FREED*R_WAIT_2023</f>
        <v>111506965.1116927</v>
      </c>
      <c r="DW528" s="10">
        <f>IF(AND(DB528&gt;=RULE_START,DC528=1),1/(1+$DB$12)^(DB528-RULE_START+1),0)</f>
        <v>0</v>
      </c>
      <c r="DX528">
        <f>IF(AND(DB528&gt;=RULE_START,DC528=1,DM528&lt;0),DB528,9999)</f>
        <v>9999</v>
      </c>
      <c r="DY528">
        <f>IF(AND(DB528&gt;=RULE_START,DC528=1,DN528&lt;0),DB528,9999)</f>
        <v>9999</v>
      </c>
      <c r="DZ528">
        <f>IF(AND(DB528&gt;=RULE_START,DC528=1,DO528&lt;0),DB528,9999)</f>
        <v>9999</v>
      </c>
      <c r="EB528" t="n">
        <v>2064</v>
      </c>
      <c r="EC528">
        <f>IF(EB528&lt;=RULE_START+$EB$38-1,1,0)</f>
        <v>0</v>
      </c>
      <c r="ED528" s="15">
        <f>IF(EB528=2024,G_IDX_2024,IF(EB528=2025,G_IDX_2025,IF(EB528=2026,G_IDX_2026,IF(EB528=2027,G_IDX_2027,$EB$13))))</f>
        <v>0.033</v>
      </c>
      <c r="EE528" s="8">
        <f>$EB$20*(1+G_HI)^(EB528-COST_DATE)</f>
        <v>2184.5689952559496</v>
      </c>
      <c r="EF528" s="8">
        <f>EF527*(1+ED528)</f>
        <v>1700.7352062240498</v>
      </c>
      <c r="EG528" s="8">
        <f>IF(EB528&lt;RULE_START,EF528,EG527*(1+G_HI))</f>
        <v>2211.979998297451</v>
      </c>
      <c r="EH528" s="8">
        <f>IF(EB528&lt;RULE_START,EF528,IF(EI528=1,R_NF_2024*(1+G_HI)^(EB528-2024),EH527*(1+ED528)))</f>
        <v>2312.357579979759</v>
      </c>
      <c r="EI528">
        <f>IF(AND(EB528&gt;=RULE_START,MOD(EB528-RULE_START,REBASE_YEARS)=0),1,0)</f>
        <v>0</v>
      </c>
      <c r="EJ528" s="8">
        <f>EF528*CAP_SHARE</f>
        <v>83.16140880742141</v>
      </c>
      <c r="EK528" s="8">
        <f>EG528*CAP_SHARE</f>
        <v>108.15991357094329</v>
      </c>
      <c r="EL528" s="8">
        <f>EH528*CAP_SHARE</f>
        <v>113.06810920000649</v>
      </c>
      <c r="EM528" s="8">
        <f>EF528-EJ528-EE528</f>
        <v>-566.9951978393212</v>
      </c>
      <c r="EN528" s="8">
        <f>EG528-EK528-EE528</f>
        <v>-80.74891052944213</v>
      </c>
      <c r="EO528" s="8">
        <f>EH528-EL528-EE528</f>
        <v>14.720475523803088</v>
      </c>
      <c r="EP528" s="8">
        <f>R_NF_2024*(1+G_HI)^(EB528-2024)</f>
        <v>2328.406463254589</v>
      </c>
      <c r="EQ528" s="10">
        <f>1-EF528/EP528</f>
        <v>0.26957117107173634</v>
      </c>
      <c r="ER528" s="10">
        <f>CPI_2023/(IF(EB528-1=2023,CPI_2023,IF(EB528-1=2024,CPI_2024,IF(EB528-1=2025,CPI_2025,CPI_2025*(1+INFL)^(EB528-1-2025)))))</f>
        <v>0.3966254942534948</v>
      </c>
      <c r="ES528" s="8">
        <f>$EB$21*ABS($EB$11)*(EG528-EF528)/EF528</f>
        <v>29968.560624288544</v>
      </c>
      <c r="ET528" s="8">
        <f>$EB$21*ABS($EB$11)*(EH528-EF528)/EF528</f>
        <v>35852.574874616264</v>
      </c>
      <c r="EU528" s="13">
        <f>(EG528-EF528)*MCD_NF_DAYS*ER528-ES528*MCD_SHARE_FREED*R_WAIT_2023</f>
        <v>93206785.16582996</v>
      </c>
      <c r="EV528" s="13">
        <f>(EH528-EF528)*MCD_NF_DAYS*ER528-ET528*MCD_SHARE_FREED*R_WAIT_2023</f>
        <v>111506965.1116927</v>
      </c>
      <c r="EW528" s="10">
        <f>IF(AND(EB528&gt;=RULE_START,EC528=1),1/(1+$EB$12)^(EB528-RULE_START+1),0)</f>
        <v>0</v>
      </c>
      <c r="EX528">
        <f>IF(AND(EB528&gt;=RULE_START,EC528=1,EM528&lt;0),EB528,9999)</f>
        <v>9999</v>
      </c>
      <c r="EY528">
        <f>IF(AND(EB528&gt;=RULE_START,EC528=1,EN528&lt;0),EB528,9999)</f>
        <v>9999</v>
      </c>
      <c r="EZ528">
        <f>IF(AND(EB528&gt;=RULE_START,EC528=1,EO528&lt;0),EB528,9999)</f>
        <v>9999</v>
      </c>
      <c r="FB528" t="n">
        <v>2064</v>
      </c>
      <c r="FC528">
        <f>IF(FB528&lt;=RULE_START+$FB$38-1,1,0)</f>
        <v>0</v>
      </c>
      <c r="FD528" s="15">
        <f>IF(FB528=2024,G_IDX_2024,IF(FB528=2025,G_IDX_2025,IF(FB528=2026,G_IDX_2026,IF(FB528=2027,G_IDX_2027,$FB$13))))</f>
        <v>0.033</v>
      </c>
      <c r="FE528" s="8">
        <f>$FB$20*(1+G_HI)^(FB528-COST_DATE)</f>
        <v>2248.2105541478627</v>
      </c>
      <c r="FF528" s="8">
        <f>FF527*(1+FD528)</f>
        <v>1700.7352062240498</v>
      </c>
      <c r="FG528" s="8">
        <f>IF(FB528&lt;RULE_START,FF528,FG527*(1+G_HI))</f>
        <v>2211.979998297451</v>
      </c>
      <c r="FH528" s="8">
        <f>IF(FB528&lt;RULE_START,FF528,IF(FI528=1,R_NF_2024*(1+G_HI)^(FB528-2024),FH527*(1+FD528)))</f>
        <v>2312.357579979759</v>
      </c>
      <c r="FI528">
        <f>IF(AND(FB528&gt;=RULE_START,MOD(FB528-RULE_START,REBASE_YEARS)=0),1,0)</f>
        <v>0</v>
      </c>
      <c r="FJ528" s="8">
        <f>FF528*CAP_SHARE</f>
        <v>83.16140880742141</v>
      </c>
      <c r="FK528" s="8">
        <f>FG528*CAP_SHARE</f>
        <v>108.15991357094329</v>
      </c>
      <c r="FL528" s="8">
        <f>FH528*CAP_SHARE</f>
        <v>113.06810920000649</v>
      </c>
      <c r="FM528" s="8">
        <f>FF528-FJ528-FE528</f>
        <v>-630.6367567312343</v>
      </c>
      <c r="FN528" s="8">
        <f>FG528-FK528-FE528</f>
        <v>-144.3904694213552</v>
      </c>
      <c r="FO528" s="8">
        <f>FH528-FL528-FE528</f>
        <v>-48.921083368109976</v>
      </c>
      <c r="FP528" s="8">
        <f>R_NF_2024*(1+G_HI)^(FB528-2024)</f>
        <v>2328.406463254589</v>
      </c>
      <c r="FQ528" s="10">
        <f>1-FF528/FP528</f>
        <v>0.26957117107173634</v>
      </c>
      <c r="FR528" s="10">
        <f>CPI_2023/(IF(FB528-1=2023,CPI_2023,IF(FB528-1=2024,CPI_2024,IF(FB528-1=2025,CPI_2025,CPI_2025*(1+INFL)^(FB528-1-2025)))))</f>
        <v>0.3966254942534948</v>
      </c>
      <c r="FS528" s="8">
        <f>$FB$21*ABS($FB$11)*(FG528-FF528)/FF528</f>
        <v>29968.560624288544</v>
      </c>
      <c r="FT528" s="8">
        <f>$FB$21*ABS($FB$11)*(FH528-FF528)/FF528</f>
        <v>35852.574874616264</v>
      </c>
      <c r="FU528" s="13">
        <f>(FG528-FF528)*MCD_NF_DAYS*FR528-FS528*MCD_SHARE_FREED*R_WAIT_2023</f>
        <v>93206785.16582996</v>
      </c>
      <c r="FV528" s="13">
        <f>(FH528-FF528)*MCD_NF_DAYS*FR528-FT528*MCD_SHARE_FREED*R_WAIT_2023</f>
        <v>111506965.1116927</v>
      </c>
      <c r="FW528" s="10">
        <f>IF(AND(FB528&gt;=RULE_START,FC528=1),1/(1+$FB$12)^(FB528-RULE_START+1),0)</f>
        <v>0</v>
      </c>
      <c r="FX528">
        <f>IF(AND(FB528&gt;=RULE_START,FC528=1,FM528&lt;0),FB528,9999)</f>
        <v>9999</v>
      </c>
      <c r="FY528">
        <f>IF(AND(FB528&gt;=RULE_START,FC528=1,FN528&lt;0),FB528,9999)</f>
        <v>9999</v>
      </c>
      <c r="FZ528">
        <f>IF(AND(FB528&gt;=RULE_START,FC528=1,FO528&lt;0),FB528,9999)</f>
        <v>9999</v>
      </c>
      <c r="GB528" t="n">
        <v>2064</v>
      </c>
      <c r="GC528">
        <f>IF(GB528&lt;=RULE_START+$GB$38-1,1,0)</f>
        <v>0</v>
      </c>
      <c r="GD528" s="15">
        <f>IF(GB528=2024,G_IDX_2024,IF(GB528=2025,G_IDX_2025,IF(GB528=2026,G_IDX_2026,IF(GB528=2027,G_IDX_2027,$GB$13))))</f>
        <v>0.033</v>
      </c>
      <c r="GE528" s="8">
        <f>$GB$20*(1+G_HI)^(GB528-COST_DATE)</f>
        <v>2184.5689952559496</v>
      </c>
      <c r="GF528" s="8">
        <f>GF527*(1+GD528)</f>
        <v>1700.7352062240498</v>
      </c>
      <c r="GG528" s="8">
        <f>IF(GB528&lt;RULE_START,GF528,GG527*(1+G_HI))</f>
        <v>2211.979998297451</v>
      </c>
      <c r="GH528" s="8">
        <f>IF(GB528&lt;RULE_START,GF528,IF(GI528=1,R_NF_2024*(1+G_HI)^(GB528-2024),GH527*(1+GD528)))</f>
        <v>2312.357579979759</v>
      </c>
      <c r="GI528">
        <f>IF(AND(GB528&gt;=RULE_START,MOD(GB528-RULE_START,REBASE_YEARS)=0),1,0)</f>
        <v>0</v>
      </c>
      <c r="GJ528" s="8">
        <f>GF528*CAP_SHARE</f>
        <v>83.16140880742141</v>
      </c>
      <c r="GK528" s="8">
        <f>GG528*CAP_SHARE</f>
        <v>108.15991357094329</v>
      </c>
      <c r="GL528" s="8">
        <f>GH528*CAP_SHARE</f>
        <v>113.06810920000649</v>
      </c>
      <c r="GM528" s="8">
        <f>GF528-GJ528-GE528</f>
        <v>-566.9951978393212</v>
      </c>
      <c r="GN528" s="8">
        <f>GG528-GK528-GE528</f>
        <v>-80.74891052944213</v>
      </c>
      <c r="GO528" s="8">
        <f>GH528-GL528-GE528</f>
        <v>14.720475523803088</v>
      </c>
      <c r="GP528" s="8">
        <f>R_NF_2024*(1+G_HI)^(GB528-2024)</f>
        <v>2328.406463254589</v>
      </c>
      <c r="GQ528" s="10">
        <f>1-GF528/GP528</f>
        <v>0.26957117107173634</v>
      </c>
      <c r="GR528" s="10">
        <f>CPI_2023/(IF(GB528-1=2023,CPI_2023,IF(GB528-1=2024,CPI_2024,IF(GB528-1=2025,CPI_2025,CPI_2025*(1+INFL)^(GB528-1-2025)))))</f>
        <v>0.3966254942534948</v>
      </c>
      <c r="GS528" s="8">
        <f>$GB$21*ABS($GB$11)*(GG528-GF528)/GF528</f>
        <v>22621.767541360696</v>
      </c>
      <c r="GT528" s="8">
        <f>$GB$21*ABS($GB$11)*(GH528-GF528)/GF528</f>
        <v>27063.315610676</v>
      </c>
      <c r="GU528" s="13">
        <f>(GG528-GF528)*MCD_NF_DAYS*GR528-GS528*MCD_SHARE_FREED*R_WAIT_2023</f>
        <v>96547509.59303986</v>
      </c>
      <c r="GV528" s="13">
        <f>(GH528-GF528)*MCD_NF_DAYS*GR528-GT528*MCD_SHARE_FREED*R_WAIT_2023</f>
        <v>115503605.93016866</v>
      </c>
      <c r="GW528" s="10">
        <f>IF(AND(GB528&gt;=RULE_START,GC528=1),1/(1+$GB$12)^(GB528-RULE_START+1),0)</f>
        <v>0</v>
      </c>
      <c r="GX528">
        <f>IF(AND(GB528&gt;=RULE_START,GC528=1,GM528&lt;0),GB528,9999)</f>
        <v>9999</v>
      </c>
      <c r="GY528">
        <f>IF(AND(GB528&gt;=RULE_START,GC528=1,GN528&lt;0),GB528,9999)</f>
        <v>9999</v>
      </c>
      <c r="GZ528">
        <f>IF(AND(GB528&gt;=RULE_START,GC528=1,GO528&lt;0),GB528,9999)</f>
        <v>9999</v>
      </c>
      <c r="HB528" t="n">
        <v>2064</v>
      </c>
      <c r="HC528">
        <f>IF(HB528&lt;=RULE_START+$HB$38-1,1,0)</f>
        <v>0</v>
      </c>
      <c r="HD528" s="15">
        <f>IF(HB528=2024,G_IDX_2024,IF(HB528=2025,G_IDX_2025,IF(HB528=2026,G_IDX_2026,IF(HB528=2027,G_IDX_2027,$HB$13))))</f>
        <v>0.033</v>
      </c>
      <c r="HE528" s="8">
        <f>$HB$20*(1+G_HI)^(HB528-COST_DATE)</f>
        <v>2184.5689952559496</v>
      </c>
      <c r="HF528" s="8">
        <f>HF527*(1+HD528)</f>
        <v>1700.7352062240498</v>
      </c>
      <c r="HG528" s="8">
        <f>IF(HB528&lt;RULE_START,HF528,HG527*(1+G_HI))</f>
        <v>2211.979998297451</v>
      </c>
      <c r="HH528" s="8">
        <f>IF(HB528&lt;RULE_START,HF528,IF(HI528=1,R_NF_2024*(1+G_HI)^(HB528-2024),HH527*(1+HD528)))</f>
        <v>2312.357579979759</v>
      </c>
      <c r="HI528">
        <f>IF(AND(HB528&gt;=RULE_START,MOD(HB528-RULE_START,REBASE_YEARS)=0),1,0)</f>
        <v>0</v>
      </c>
      <c r="HJ528" s="8">
        <f>HF528*CAP_SHARE</f>
        <v>83.16140880742141</v>
      </c>
      <c r="HK528" s="8">
        <f>HG528*CAP_SHARE</f>
        <v>108.15991357094329</v>
      </c>
      <c r="HL528" s="8">
        <f>HH528*CAP_SHARE</f>
        <v>113.06810920000649</v>
      </c>
      <c r="HM528" s="8">
        <f>HF528-HJ528-HE528</f>
        <v>-566.9951978393212</v>
      </c>
      <c r="HN528" s="8">
        <f>HG528-HK528-HE528</f>
        <v>-80.74891052944213</v>
      </c>
      <c r="HO528" s="8">
        <f>HH528-HL528-HE528</f>
        <v>14.720475523803088</v>
      </c>
      <c r="HP528" s="8">
        <f>R_NF_2024*(1+G_HI)^(HB528-2024)</f>
        <v>2328.406463254589</v>
      </c>
      <c r="HQ528" s="10">
        <f>1-HF528/HP528</f>
        <v>0.26957117107173634</v>
      </c>
      <c r="HR528" s="10">
        <f>CPI_2023/(IF(HB528-1=2023,CPI_2023,IF(HB528-1=2024,CPI_2024,IF(HB528-1=2025,CPI_2025,CPI_2025*(1+INFL)^(HB528-1-2025)))))</f>
        <v>0.3966254942534948</v>
      </c>
      <c r="HS528" s="8">
        <f>$HB$21*ABS($HB$11)*(HG528-HF528)/HF528</f>
        <v>29968.560624288544</v>
      </c>
      <c r="HT528" s="8">
        <f>$HB$21*ABS($HB$11)*(HH528-HF528)/HF528</f>
        <v>35852.574874616264</v>
      </c>
      <c r="HU528" s="13">
        <f>(HG528-HF528)*MCD_NF_DAYS*HR528-HS528*MCD_SHARE_FREED*R_WAIT_2023</f>
        <v>93206785.16582996</v>
      </c>
      <c r="HV528" s="13">
        <f>(HH528-HF528)*MCD_NF_DAYS*HR528-HT528*MCD_SHARE_FREED*R_WAIT_2023</f>
        <v>111506965.1116927</v>
      </c>
      <c r="HW528" s="10">
        <f>IF(AND(HB528&gt;=RULE_START,HC528=1),1/(1+$HB$12)^(HB528-RULE_START+1),0)</f>
        <v>0</v>
      </c>
      <c r="HX528">
        <f>IF(AND(HB528&gt;=RULE_START,HC528=1,HM528&lt;0),HB528,9999)</f>
        <v>9999</v>
      </c>
      <c r="HY528">
        <f>IF(AND(HB528&gt;=RULE_START,HC528=1,HN528&lt;0),HB528,9999)</f>
        <v>9999</v>
      </c>
      <c r="HZ528">
        <f>IF(AND(HB528&gt;=RULE_START,HC528=1,HO528&lt;0),HB528,9999)</f>
        <v>9999</v>
      </c>
      <c r="IB528" t="n">
        <v>2064</v>
      </c>
      <c r="IC528">
        <f>IF(IB528&lt;=RULE_START+$IB$38-1,1,0)</f>
        <v>0</v>
      </c>
      <c r="ID528" s="15">
        <f>IF(IB528=2024,G_IDX_2024,IF(IB528=2025,G_IDX_2025,IF(IB528=2026,G_IDX_2026,IF(IB528=2027,G_IDX_2027,$IB$13))))</f>
        <v>0.033</v>
      </c>
      <c r="IE528" s="8">
        <f>$IB$20*(1+G_HI)^(IB528-COST_DATE)</f>
        <v>2184.5689952559496</v>
      </c>
      <c r="IF528" s="8">
        <f>IF527*(1+ID528)</f>
        <v>1700.7352062240498</v>
      </c>
      <c r="IG528" s="8">
        <f>IF(IB528&lt;RULE_START,IF528,IG527*(1+G_HI))</f>
        <v>2211.979998297451</v>
      </c>
      <c r="IH528" s="8">
        <f>IF(IB528&lt;RULE_START,IF528,IF(II528=1,R_NF_2024*(1+G_HI)^(IB528-2024),IH527*(1+ID528)))</f>
        <v>2312.357579979759</v>
      </c>
      <c r="II528">
        <f>IF(AND(IB528&gt;=RULE_START,MOD(IB528-RULE_START,REBASE_YEARS)=0),1,0)</f>
        <v>0</v>
      </c>
      <c r="IJ528" s="8">
        <f>IF528*CAP_SHARE</f>
        <v>83.16140880742141</v>
      </c>
      <c r="IK528" s="8">
        <f>IG528*CAP_SHARE</f>
        <v>108.15991357094329</v>
      </c>
      <c r="IL528" s="8">
        <f>IH528*CAP_SHARE</f>
        <v>113.06810920000649</v>
      </c>
      <c r="IM528" s="8">
        <f>IF528-IJ528-IE528</f>
        <v>-566.9951978393212</v>
      </c>
      <c r="IN528" s="8">
        <f>IG528-IK528-IE528</f>
        <v>-80.74891052944213</v>
      </c>
      <c r="IO528" s="8">
        <f>IH528-IL528-IE528</f>
        <v>14.720475523803088</v>
      </c>
      <c r="IP528" s="8">
        <f>R_NF_2024*(1+G_HI)^(IB528-2024)</f>
        <v>2328.406463254589</v>
      </c>
      <c r="IQ528" s="10">
        <f>1-IF528/IP528</f>
        <v>0.26957117107173634</v>
      </c>
      <c r="IR528" s="10">
        <f>CPI_2023/(IF(IB528-1=2023,CPI_2023,IF(IB528-1=2024,CPI_2024,IF(IB528-1=2025,CPI_2025,CPI_2025*(1+INFL)^(IB528-1-2025)))))</f>
        <v>0.3966254942534948</v>
      </c>
      <c r="IS528" s="8">
        <f>$IB$21*ABS($IB$11)*(IG528-IF528)/IF528</f>
        <v>29968.560624288544</v>
      </c>
      <c r="IT528" s="8">
        <f>$IB$21*ABS($IB$11)*(IH528-IF528)/IF528</f>
        <v>35852.574874616264</v>
      </c>
      <c r="IU528" s="13">
        <f>(IG528-IF528)*MCD_NF_DAYS*IR528-IS528*MCD_SHARE_FREED*R_WAIT_2023</f>
        <v>93206785.16582996</v>
      </c>
      <c r="IV528" s="13">
        <f>(IH528-IF528)*MCD_NF_DAYS*IR528-IT528*MCD_SHARE_FREED*R_WAIT_2023</f>
        <v>111506965.1116927</v>
      </c>
      <c r="IW528" s="10">
        <f>IF(AND(IB528&gt;=RULE_START,IC528=1),1/(1+$IB$12)^(IB528-RULE_START+1),0)</f>
        <v>0</v>
      </c>
      <c r="IX528">
        <f>IF(AND(IB528&gt;=RULE_START,IC528=1,IM528&lt;0),IB528,9999)</f>
        <v>9999</v>
      </c>
      <c r="IY528">
        <f>IF(AND(IB528&gt;=RULE_START,IC528=1,IN528&lt;0),IB528,9999)</f>
        <v>9999</v>
      </c>
      <c r="IZ528">
        <f>IF(AND(IB528&gt;=RULE_START,IC528=1,IO528&lt;0),IB528,9999)</f>
        <v>9999</v>
      </c>
      <c r="JB528" t="n">
        <v>2064</v>
      </c>
      <c r="JC528">
        <f>IF(JB528&lt;=RULE_START+$JB$38-1,1,0)</f>
        <v>0</v>
      </c>
      <c r="JD528" s="15">
        <f>IF(JB528=2024,G_IDX_2024,IF(JB528=2025,G_IDX_2025,IF(JB528=2026,G_IDX_2026,IF(JB528=2027,G_IDX_2027,$JB$13))))</f>
        <v>0.03</v>
      </c>
      <c r="JE528" s="8">
        <f>$JB$20*(1+G_HI)^(JB528-COST_DATE)</f>
        <v>2184.5689952559496</v>
      </c>
      <c r="JF528" s="8">
        <f>JF527*(1+JD528)</f>
        <v>1527.2218181042783</v>
      </c>
      <c r="JG528" s="8">
        <f>IF(JB528&lt;RULE_START,JF528,JG527*(1+G_HI))</f>
        <v>2211.979998297451</v>
      </c>
      <c r="JH528" s="8">
        <f>IF(JB528&lt;RULE_START,JF528,IF(JI528=1,R_NF_2024*(1+G_HI)^(JB528-2024),JH527*(1+JD528)))</f>
        <v>2305.6421175015994</v>
      </c>
      <c r="JI528">
        <f>IF(AND(JB528&gt;=RULE_START,MOD(JB528-RULE_START,REBASE_YEARS)=0),1,0)</f>
        <v>0</v>
      </c>
      <c r="JJ528" s="8">
        <f>JF528*CAP_SHARE</f>
        <v>74.6770675941731</v>
      </c>
      <c r="JK528" s="8">
        <f>JG528*CAP_SHARE</f>
        <v>108.15991357094329</v>
      </c>
      <c r="JL528" s="8">
        <f>JH528*CAP_SHARE</f>
        <v>112.73974102227173</v>
      </c>
      <c r="JM528" s="8">
        <f>JF528-JJ528-JE528</f>
        <v>-732.0242447458445</v>
      </c>
      <c r="JN528" s="8">
        <f>JG528-JK528-JE528</f>
        <v>-80.74891052944213</v>
      </c>
      <c r="JO528" s="8">
        <f>JH528-JL528-JE528</f>
        <v>8.333381223378183</v>
      </c>
      <c r="JP528" s="8">
        <f>R_NF_2024*(1+G_HI)^(JB528-2024)</f>
        <v>2328.406463254589</v>
      </c>
      <c r="JQ528" s="10">
        <f>1-JF528/JP528</f>
        <v>0.3440914023363578</v>
      </c>
      <c r="JR528" s="10">
        <f>CPI_2023/(IF(JB528-1=2023,CPI_2023,IF(JB528-1=2024,CPI_2024,IF(JB528-1=2025,CPI_2025,CPI_2025*(1+INFL)^(JB528-1-2025)))))</f>
        <v>0.3966254942534948</v>
      </c>
      <c r="JS528" s="8">
        <f>$JB$21*ABS($JB$11)*(JG528-JF528)/JF528</f>
        <v>44700.13129108832</v>
      </c>
      <c r="JT528" s="8">
        <f>$JB$21*ABS($JB$11)*(JH528-JF528)/JF528</f>
        <v>50814.2736942443</v>
      </c>
      <c r="JU528" s="13">
        <f>(JG528-JF528)*MCD_NF_DAYS*JR528-JS528*MCD_SHARE_FREED*R_WAIT_2023</f>
        <v>122766894.35069157</v>
      </c>
      <c r="JV528" s="13">
        <f>(JH528-JF528)*MCD_NF_DAYS*JR528-JT528*MCD_SHARE_FREED*R_WAIT_2023</f>
        <v>139559110.67697743</v>
      </c>
      <c r="JW528" s="10">
        <f>IF(AND(JB528&gt;=RULE_START,JC528=1),1/(1+$JB$12)^(JB528-RULE_START+1),0)</f>
        <v>0</v>
      </c>
      <c r="JX528">
        <f>IF(AND(JB528&gt;=RULE_START,JC528=1,JM528&lt;0),JB528,9999)</f>
        <v>9999</v>
      </c>
      <c r="JY528">
        <f>IF(AND(JB528&gt;=RULE_START,JC528=1,JN528&lt;0),JB528,9999)</f>
        <v>9999</v>
      </c>
      <c r="JZ528">
        <f>IF(AND(JB528&gt;=RULE_START,JC528=1,JO528&lt;0),JB528,9999)</f>
        <v>9999</v>
      </c>
      <c r="KB528" t="n">
        <v>2064</v>
      </c>
      <c r="KC528">
        <f>IF(KB528&lt;=RULE_START+$KB$38-1,1,0)</f>
        <v>0</v>
      </c>
      <c r="KD528" s="15">
        <f>IF(KB528=2024,G_IDX_2024,IF(KB528=2025,G_IDX_2025,IF(KB528=2026,G_IDX_2026,IF(KB528=2027,G_IDX_2027,$KB$13))))</f>
        <v>0.033</v>
      </c>
      <c r="KE528" s="8">
        <f>$KB$20*(1+G_HI)^(KB528-COST_DATE)</f>
        <v>2184.5689952559496</v>
      </c>
      <c r="KF528" s="8">
        <f>KF527*(1+KD528)</f>
        <v>1700.7352062240498</v>
      </c>
      <c r="KG528" s="8">
        <f>IF(KB528&lt;RULE_START,KF528,KG527*(1+G_HI))</f>
        <v>2211.979998297451</v>
      </c>
      <c r="KH528" s="8">
        <f>IF(KB528&lt;RULE_START,KF528,IF(KI528=1,R_NF_2024*(1+G_HI)^(KB528-2024),KH527*(1+KD528)))</f>
        <v>2312.357579979759</v>
      </c>
      <c r="KI528">
        <f>IF(AND(KB528&gt;=RULE_START,MOD(KB528-RULE_START,REBASE_YEARS)=0),1,0)</f>
        <v>0</v>
      </c>
      <c r="KJ528" s="8">
        <f>KF528*CAP_SHARE</f>
        <v>83.16140880742141</v>
      </c>
      <c r="KK528" s="8">
        <f>KG528*CAP_SHARE</f>
        <v>108.15991357094329</v>
      </c>
      <c r="KL528" s="8">
        <f>KH528*CAP_SHARE</f>
        <v>113.06810920000649</v>
      </c>
      <c r="KM528" s="8">
        <f>KF528-KJ528-KE528</f>
        <v>-566.9951978393212</v>
      </c>
      <c r="KN528" s="8">
        <f>KG528-KK528-KE528</f>
        <v>-80.74891052944213</v>
      </c>
      <c r="KO528" s="8">
        <f>KH528-KL528-KE528</f>
        <v>14.720475523803088</v>
      </c>
      <c r="KP528" s="8">
        <f>R_NF_2024*(1+G_HI)^(KB528-2024)</f>
        <v>2328.406463254589</v>
      </c>
      <c r="KQ528" s="10">
        <f>1-KF528/KP528</f>
        <v>0.26957117107173634</v>
      </c>
      <c r="KR528" s="10">
        <f>CPI_2023/(IF(KB528-1=2023,CPI_2023,IF(KB528-1=2024,CPI_2024,IF(KB528-1=2025,CPI_2025,CPI_2025*(1+INFL)^(KB528-1-2025)))))</f>
        <v>0.3966254942534948</v>
      </c>
      <c r="KS528" s="8">
        <f>$KB$21*ABS($KB$11)*(KG528-KF528)/KF528</f>
        <v>29968.560624288544</v>
      </c>
      <c r="KT528" s="8">
        <f>$KB$21*ABS($KB$11)*(KH528-KF528)/KF528</f>
        <v>35852.574874616264</v>
      </c>
      <c r="KU528" s="13">
        <f>(KG528-KF528)*MCD_NF_DAYS*KR528-KS528*MCD_SHARE_FREED*R_WAIT_2023</f>
        <v>93206785.16582996</v>
      </c>
      <c r="KV528" s="13">
        <f>(KH528-KF528)*MCD_NF_DAYS*KR528-KT528*MCD_SHARE_FREED*R_WAIT_2023</f>
        <v>111506965.1116927</v>
      </c>
      <c r="KW528" s="10">
        <f>IF(AND(KB528&gt;=RULE_START,KC528=1),1/(1+$KB$12)^(KB528-RULE_START+1),0)</f>
        <v>0</v>
      </c>
      <c r="KX528">
        <f>IF(AND(KB528&gt;=RULE_START,KC528=1,KM528&lt;0),KB528,9999)</f>
        <v>9999</v>
      </c>
      <c r="KY528">
        <f>IF(AND(KB528&gt;=RULE_START,KC528=1,KN528&lt;0),KB528,9999)</f>
        <v>9999</v>
      </c>
      <c r="KZ528">
        <f>IF(AND(KB528&gt;=RULE_START,KC528=1,KO528&lt;0),KB528,9999)</f>
        <v>9999</v>
      </c>
      <c r="LB528" t="n">
        <v>2064</v>
      </c>
      <c r="LC528">
        <f>IF(LB528&lt;=RULE_START+$LB$38-1,1,0)</f>
        <v>0</v>
      </c>
      <c r="LD528" s="15">
        <f>IF(LB528=2024,G_IDX_2024,IF(LB528=2025,G_IDX_2025,IF(LB528=2026,G_IDX_2026,IF(LB528=2027,G_IDX_2027,$LB$13))))</f>
        <v>0.033</v>
      </c>
      <c r="LE528" s="8">
        <f>$LB$20*(1+G_HI)^(LB528-COST_DATE)</f>
        <v>2184.5689952559496</v>
      </c>
      <c r="LF528" s="8">
        <f>LF527*(1+LD528)</f>
        <v>1700.7352062240498</v>
      </c>
      <c r="LG528" s="8">
        <f>IF(LB528&lt;RULE_START,LF528,LG527*(1+G_HI))</f>
        <v>2211.979998297451</v>
      </c>
      <c r="LH528" s="8">
        <f>IF(LB528&lt;RULE_START,LF528,IF(LI528=1,R_NF_2024*(1+G_HI)^(LB528-2024),LH527*(1+LD528)))</f>
        <v>2312.357579979759</v>
      </c>
      <c r="LI528">
        <f>IF(AND(LB528&gt;=RULE_START,MOD(LB528-RULE_START,REBASE_YEARS)=0),1,0)</f>
        <v>0</v>
      </c>
      <c r="LJ528" s="8">
        <f>LF528*CAP_SHARE</f>
        <v>83.16140880742141</v>
      </c>
      <c r="LK528" s="8">
        <f>LG528*CAP_SHARE</f>
        <v>108.15991357094329</v>
      </c>
      <c r="LL528" s="8">
        <f>LH528*CAP_SHARE</f>
        <v>113.06810920000649</v>
      </c>
      <c r="LM528" s="8">
        <f>LF528-LJ528-LE528</f>
        <v>-566.9951978393212</v>
      </c>
      <c r="LN528" s="8">
        <f>LG528-LK528-LE528</f>
        <v>-80.74891052944213</v>
      </c>
      <c r="LO528" s="8">
        <f>LH528-LL528-LE528</f>
        <v>14.720475523803088</v>
      </c>
      <c r="LP528" s="8">
        <f>R_NF_2024*(1+G_HI)^(LB528-2024)</f>
        <v>2328.406463254589</v>
      </c>
      <c r="LQ528" s="10">
        <f>1-LF528/LP528</f>
        <v>0.26957117107173634</v>
      </c>
      <c r="LR528" s="10">
        <f>CPI_2023/(IF(LB528-1=2023,CPI_2023,IF(LB528-1=2024,CPI_2024,IF(LB528-1=2025,CPI_2025,CPI_2025*(1+INFL)^(LB528-1-2025)))))</f>
        <v>0.3966254942534948</v>
      </c>
      <c r="LS528" s="8">
        <f>$LB$21*ABS($LB$11)*(LG528-LF528)/LF528</f>
        <v>29968.560624288544</v>
      </c>
      <c r="LT528" s="8">
        <f>$LB$21*ABS($LB$11)*(LH528-LF528)/LF528</f>
        <v>35852.574874616264</v>
      </c>
      <c r="LU528" s="13">
        <f>(LG528-LF528)*MCD_NF_DAYS*LR528-LS528*MCD_SHARE_FREED*R_WAIT_2023</f>
        <v>93206785.16582996</v>
      </c>
      <c r="LV528" s="13">
        <f>(LH528-LF528)*MCD_NF_DAYS*LR528-LT528*MCD_SHARE_FREED*R_WAIT_2023</f>
        <v>111506965.1116927</v>
      </c>
      <c r="LW528" s="10">
        <f>IF(AND(LB528&gt;=RULE_START,LC528=1),1/(1+$LB$12)^(LB528-RULE_START+1),0)</f>
        <v>0</v>
      </c>
      <c r="LX528">
        <f>IF(AND(LB528&gt;=RULE_START,LC528=1,LM528&lt;0),LB528,9999)</f>
        <v>9999</v>
      </c>
      <c r="LY528">
        <f>IF(AND(LB528&gt;=RULE_START,LC528=1,LN528&lt;0),LB528,9999)</f>
        <v>9999</v>
      </c>
      <c r="LZ528">
        <f>IF(AND(LB528&gt;=RULE_START,LC528=1,LO528&lt;0),LB528,9999)</f>
        <v>9999</v>
      </c>
      <c r="MB528" t="n">
        <v>2064</v>
      </c>
      <c r="MC528">
        <f>IF(MB528&lt;=RULE_START+$MB$38-1,1,0)</f>
        <v>0</v>
      </c>
      <c r="MD528" s="15">
        <f>IF(MB528=2024,G_IDX_2024,IF(MB528=2025,G_IDX_2025,IF(MB528=2026,G_IDX_2026,IF(MB528=2027,G_IDX_2027,$MB$13))))</f>
        <v>0.033</v>
      </c>
      <c r="ME528" s="8">
        <f>$MB$20*(1+G_HI)^(MB528-COST_DATE)</f>
        <v>2184.5689952559496</v>
      </c>
      <c r="MF528" s="8">
        <f>MF527*(1+MD528)</f>
        <v>1700.7352062240498</v>
      </c>
      <c r="MG528" s="8">
        <f>IF(MB528&lt;RULE_START,MF528,MG527*(1+G_HI))</f>
        <v>2211.979998297451</v>
      </c>
      <c r="MH528" s="8">
        <f>IF(MB528&lt;RULE_START,MF528,IF(MI528=1,R_NF_2024*(1+G_HI)^(MB528-2024),MH527*(1+MD528)))</f>
        <v>2312.357579979759</v>
      </c>
      <c r="MI528">
        <f>IF(AND(MB528&gt;=RULE_START,MOD(MB528-RULE_START,REBASE_YEARS)=0),1,0)</f>
        <v>0</v>
      </c>
      <c r="MJ528" s="8">
        <f>MF528*CAP_SHARE</f>
        <v>83.16140880742141</v>
      </c>
      <c r="MK528" s="8">
        <f>MG528*CAP_SHARE</f>
        <v>108.15991357094329</v>
      </c>
      <c r="ML528" s="8">
        <f>MH528*CAP_SHARE</f>
        <v>113.06810920000649</v>
      </c>
      <c r="MM528" s="8">
        <f>MF528-MJ528-ME528</f>
        <v>-566.9951978393212</v>
      </c>
      <c r="MN528" s="8">
        <f>MG528-MK528-ME528</f>
        <v>-80.74891052944213</v>
      </c>
      <c r="MO528" s="8">
        <f>MH528-ML528-ME528</f>
        <v>14.720475523803088</v>
      </c>
      <c r="MP528" s="8">
        <f>R_NF_2024*(1+G_HI)^(MB528-2024)</f>
        <v>2328.406463254589</v>
      </c>
      <c r="MQ528" s="10">
        <f>1-MF528/MP528</f>
        <v>0.26957117107173634</v>
      </c>
      <c r="MR528" s="10">
        <f>CPI_2023/(IF(MB528-1=2023,CPI_2023,IF(MB528-1=2024,CPI_2024,IF(MB528-1=2025,CPI_2025,CPI_2025*(1+INFL)^(MB528-1-2025)))))</f>
        <v>0.3966254942534948</v>
      </c>
      <c r="MS528" s="8">
        <f>$MB$21*ABS($MB$11)*(MG528-MF528)/MF528</f>
        <v>21954.656564788016</v>
      </c>
      <c r="MT528" s="8">
        <f>$MB$21*ABS($MB$11)*(MH528-MF528)/MF528</f>
        <v>26265.224353070993</v>
      </c>
      <c r="MU528" s="13">
        <f>(MG528-MF528)*MCD_NF_DAYS*MR528-MS528*MCD_SHARE_FREED*R_WAIT_2023</f>
        <v>96850857.44970877</v>
      </c>
      <c r="MV528" s="13">
        <f>(MH528-MF528)*MCD_NF_DAYS*MR528-MT528*MCD_SHARE_FREED*R_WAIT_2023</f>
        <v>115866512.97400786</v>
      </c>
      <c r="MW528" s="10">
        <f>IF(AND(MB528&gt;=RULE_START,MC528=1),1/(1+$MB$12)^(MB528-RULE_START+1),0)</f>
        <v>0</v>
      </c>
      <c r="MX528">
        <f>IF(AND(MB528&gt;=RULE_START,MC528=1,MM528&lt;0),MB528,9999)</f>
        <v>9999</v>
      </c>
      <c r="MY528">
        <f>IF(AND(MB528&gt;=RULE_START,MC528=1,MN528&lt;0),MB528,9999)</f>
        <v>9999</v>
      </c>
      <c r="MZ528">
        <f>IF(AND(MB528&gt;=RULE_START,MC528=1,MO528&lt;0),MB528,9999)</f>
        <v>9999</v>
      </c>
      <c r="NB528" t="n">
        <v>2064</v>
      </c>
      <c r="NC528">
        <f>IF(NB528&lt;=RULE_START+$NB$38-1,1,0)</f>
        <v>0</v>
      </c>
      <c r="ND528" s="15">
        <f>IF(NB528=2024,G_IDX_2024,IF(NB528=2025,G_IDX_2025,IF(NB528=2026,G_IDX_2026,IF(NB528=2027,G_IDX_2027,$NB$13))))</f>
        <v>0.033</v>
      </c>
      <c r="NE528" s="8">
        <f>$NB$20*(1+G_HI)^(NB528-COST_DATE)</f>
        <v>2184.5689952559496</v>
      </c>
      <c r="NF528" s="8">
        <f>NF527*(1+ND528)</f>
        <v>1700.7352062240498</v>
      </c>
      <c r="NG528" s="8">
        <f>IF(NB528&lt;RULE_START,NF528,NG527*(1+G_HI))</f>
        <v>2211.979998297451</v>
      </c>
      <c r="NH528" s="8">
        <f>IF(NB528&lt;RULE_START,NF528,IF(NI528=1,R_NF_2024*(1+G_HI)^(NB528-2024),NH527*(1+ND528)))</f>
        <v>2312.357579979759</v>
      </c>
      <c r="NI528">
        <f>IF(AND(NB528&gt;=RULE_START,MOD(NB528-RULE_START,REBASE_YEARS)=0),1,0)</f>
        <v>0</v>
      </c>
      <c r="NJ528" s="8">
        <f>NF528*CAP_SHARE</f>
        <v>83.16140880742141</v>
      </c>
      <c r="NK528" s="8">
        <f>NG528*CAP_SHARE</f>
        <v>108.15991357094329</v>
      </c>
      <c r="NL528" s="8">
        <f>NH528*CAP_SHARE</f>
        <v>113.06810920000649</v>
      </c>
      <c r="NM528" s="8">
        <f>NF528-NJ528-NE528</f>
        <v>-566.9951978393212</v>
      </c>
      <c r="NN528" s="8">
        <f>NG528-NK528-NE528</f>
        <v>-80.74891052944213</v>
      </c>
      <c r="NO528" s="8">
        <f>NH528-NL528-NE528</f>
        <v>14.720475523803088</v>
      </c>
      <c r="NP528" s="8">
        <f>R_NF_2024*(1+G_HI)^(NB528-2024)</f>
        <v>2328.406463254589</v>
      </c>
      <c r="NQ528" s="10">
        <f>1-NF528/NP528</f>
        <v>0.26957117107173634</v>
      </c>
      <c r="NR528" s="10">
        <f>CPI_2023/(IF(NB528-1=2023,CPI_2023,IF(NB528-1=2024,CPI_2024,IF(NB528-1=2025,CPI_2025,CPI_2025*(1+INFL)^(NB528-1-2025)))))</f>
        <v>0.3966254942534948</v>
      </c>
      <c r="NS528" s="8">
        <f>$NB$21*ABS($NB$11)*(NG528-NF528)/NF528</f>
        <v>29968.560624288544</v>
      </c>
      <c r="NT528" s="8">
        <f>$NB$21*ABS($NB$11)*(NH528-NF528)/NF528</f>
        <v>35852.574874616264</v>
      </c>
      <c r="NU528" s="13">
        <f>(NG528-NF528)*MCD_NF_DAYS*NR528-NS528*MCD_SHARE_FREED*R_WAIT_2023</f>
        <v>93206785.16582996</v>
      </c>
      <c r="NV528" s="13">
        <f>(NH528-NF528)*MCD_NF_DAYS*NR528-NT528*MCD_SHARE_FREED*R_WAIT_2023</f>
        <v>111506965.1116927</v>
      </c>
      <c r="NW528" s="10">
        <f>IF(AND(NB528&gt;=RULE_START,NC528=1),1/(1+$NB$12)^(NB528-RULE_START+1),0)</f>
        <v>0</v>
      </c>
      <c r="NX528">
        <f>IF(AND(NB528&gt;=RULE_START,NC528=1,NM528&lt;0),NB528,9999)</f>
        <v>9999</v>
      </c>
      <c r="NY528">
        <f>IF(AND(NB528&gt;=RULE_START,NC528=1,NN528&lt;0),NB528,9999)</f>
        <v>9999</v>
      </c>
      <c r="NZ528">
        <f>IF(AND(NB528&gt;=RULE_START,NC528=1,NO528&lt;0),NB528,9999)</f>
        <v>9999</v>
      </c>
      <c r="OB528" t="n">
        <v>2064</v>
      </c>
      <c r="OC528">
        <f>IF(OB528&lt;=RULE_START+$OB$38-1,1,0)</f>
        <v>0</v>
      </c>
      <c r="OD528" s="15">
        <f>IF(OB528=2024,G_IDX_2024,IF(OB528=2025,G_IDX_2025,IF(OB528=2026,G_IDX_2026,IF(OB528=2027,G_IDX_2027,$OB$13))))</f>
        <v>0.033</v>
      </c>
      <c r="OE528" s="8">
        <f>$OB$20*(1+G_HI)^(OB528-COST_DATE)</f>
        <v>2184.5689952559496</v>
      </c>
      <c r="OF528" s="8">
        <f>OF527*(1+OD528)</f>
        <v>1700.7352062240498</v>
      </c>
      <c r="OG528" s="8">
        <f>IF(OB528&lt;RULE_START,OF528,OG527*(1+G_HI))</f>
        <v>2211.979998297451</v>
      </c>
      <c r="OH528" s="8">
        <f>IF(OB528&lt;RULE_START,OF528,IF(OI528=1,R_NF_2024*(1+G_HI)^(OB528-2024),OH527*(1+OD528)))</f>
        <v>2312.357579979759</v>
      </c>
      <c r="OI528">
        <f>IF(AND(OB528&gt;=RULE_START,MOD(OB528-RULE_START,REBASE_YEARS)=0),1,0)</f>
        <v>0</v>
      </c>
      <c r="OJ528" s="8">
        <f>OF528*CAP_SHARE</f>
        <v>83.16140880742141</v>
      </c>
      <c r="OK528" s="8">
        <f>OG528*CAP_SHARE</f>
        <v>108.15991357094329</v>
      </c>
      <c r="OL528" s="8">
        <f>OH528*CAP_SHARE</f>
        <v>113.06810920000649</v>
      </c>
      <c r="OM528" s="8">
        <f>OF528-OJ528-OE528</f>
        <v>-566.9951978393212</v>
      </c>
      <c r="ON528" s="8">
        <f>OG528-OK528-OE528</f>
        <v>-80.74891052944213</v>
      </c>
      <c r="OO528" s="8">
        <f>OH528-OL528-OE528</f>
        <v>14.720475523803088</v>
      </c>
      <c r="OP528" s="8">
        <f>R_NF_2024*(1+G_HI)^(OB528-2024)</f>
        <v>2328.406463254589</v>
      </c>
      <c r="OQ528" s="10">
        <f>1-OF528/OP528</f>
        <v>0.26957117107173634</v>
      </c>
      <c r="OR528" s="10">
        <f>CPI_2023/(IF(OB528-1=2023,CPI_2023,IF(OB528-1=2024,CPI_2024,IF(OB528-1=2025,CPI_2025,CPI_2025*(1+INFL)^(OB528-1-2025)))))</f>
        <v>0.3966254942534948</v>
      </c>
      <c r="OS528" s="8">
        <f>$OB$21*ABS($OB$11)*(OG528-OF528)/OF528</f>
        <v>29968.560624288544</v>
      </c>
      <c r="OT528" s="8">
        <f>$OB$21*ABS($OB$11)*(OH528-OF528)/OF528</f>
        <v>35852.574874616264</v>
      </c>
      <c r="OU528" s="13">
        <f>(OG528-OF528)*MCD_NF_DAYS*OR528-OS528*MCD_SHARE_FREED*R_WAIT_2023</f>
        <v>93206785.16582996</v>
      </c>
      <c r="OV528" s="13">
        <f>(OH528-OF528)*MCD_NF_DAYS*OR528-OT528*MCD_SHARE_FREED*R_WAIT_2023</f>
        <v>111506965.1116927</v>
      </c>
      <c r="OW528" s="10">
        <f>IF(AND(OB528&gt;=RULE_START,OC528=1),1/(1+$OB$12)^(OB528-RULE_START+1),0)</f>
        <v>0</v>
      </c>
      <c r="OX528">
        <f>IF(AND(OB528&gt;=RULE_START,OC528=1,OM528&lt;0),OB528,9999)</f>
        <v>9999</v>
      </c>
      <c r="OY528">
        <f>IF(AND(OB528&gt;=RULE_START,OC528=1,ON528&lt;0),OB528,9999)</f>
        <v>9999</v>
      </c>
      <c r="OZ528">
        <f>IF(AND(OB528&gt;=RULE_START,OC528=1,OO528&lt;0),OB528,9999)</f>
        <v>9999</v>
      </c>
    </row>
    <row r="529">
      <c r="B529" t="n">
        <v>2065</v>
      </c>
      <c r="C529">
        <f>IF(B529&lt;=RULE_START+$B$38-1,1,0)</f>
        <v>0</v>
      </c>
      <c r="D529" s="15">
        <f>IF(B529=2024,G_IDX_2024,IF(B529=2025,G_IDX_2025,IF(B529=2026,G_IDX_2026,IF(B529=2027,G_IDX_2027,$B$13))))</f>
        <v>0.033</v>
      </c>
      <c r="E529" s="8">
        <f>$B$20*(1+G_HI)^(B529-COST_DATE)</f>
        <v>2272.3220855698514</v>
      </c>
      <c r="F529" s="8">
        <f>F528*(1+D529)</f>
        <v>1756.8594680294432</v>
      </c>
      <c r="G529" s="8">
        <f>IF(B529&lt;RULE_START,F529,G528*(1+G_HI))</f>
        <v>2300.8341754759563</v>
      </c>
      <c r="H529" s="8">
        <f>IF(B529&lt;RULE_START,F529,IF(I529=1,R_NF_2024*(1+G_HI)^(B529-2024),H528*(1+D529)))</f>
        <v>2388.665380119091</v>
      </c>
      <c r="I529">
        <f>IF(AND(B529&gt;=RULE_START,MOD(B529-RULE_START,REBASE_YEARS)=0),1,0)</f>
        <v>0</v>
      </c>
      <c r="J529" s="8">
        <f>F529*CAP_SHARE</f>
        <v>85.9057352980663</v>
      </c>
      <c r="K529" s="8">
        <f>G529*CAP_SHARE</f>
        <v>112.50464549955093</v>
      </c>
      <c r="L529" s="8">
        <f>H529*CAP_SHARE</f>
        <v>116.79935680360668</v>
      </c>
      <c r="M529" s="8">
        <f>F529-J529-E529</f>
        <v>-601.3683528384745</v>
      </c>
      <c r="N529" s="8">
        <f>G529-K529-E529</f>
        <v>-83.99255559344601</v>
      </c>
      <c r="O529" s="8">
        <f>H529-L529-E529</f>
        <v>-0.45606225436722525</v>
      </c>
      <c r="P529" s="8">
        <f>R_NF_2024*(1+G_HI)^(B529-2024)</f>
        <v>2421.9374357719</v>
      </c>
      <c r="Q529" s="10">
        <f>1-F529/P529</f>
        <v>0.27460575897596984</v>
      </c>
      <c r="R529" s="10">
        <f>CPI_2023/(IF(B529-1=2023,CPI_2023,IF(B529-1=2024,CPI_2024,IF(B529-1=2025,CPI_2025,CPI_2025*(1+INFL)^(B529-1-2025)))))</f>
        <v>0.3877840186287591</v>
      </c>
      <c r="S529" s="8">
        <f>$B$21*ABS($B$11)*(G529-F529)/F529</f>
        <v>30868.48912844029</v>
      </c>
      <c r="T529" s="8">
        <f>$B$21*ABS($B$11)*(H529-F529)/F529</f>
        <v>35852.57487461628</v>
      </c>
      <c r="U529" s="13">
        <f>(G529-F529)*MCD_NF_DAYS*R529-S529*MCD_SHARE_FREED*R_WAIT_2023</f>
        <v>97103109.0990042</v>
      </c>
      <c r="V529" s="13">
        <f>(H529-F529)*MCD_NF_DAYS*R529-T529*MCD_SHARE_FREED*R_WAIT_2023</f>
        <v>112781564.23673294</v>
      </c>
      <c r="W529" s="10">
        <f>IF(AND(B529&gt;=RULE_START,C529=1),1/(1+$B$12)^(B529-RULE_START+1),0)</f>
        <v>0</v>
      </c>
      <c r="X529">
        <f>IF(AND(B529&gt;=RULE_START,C529=1,M529&lt;0),B529,9999)</f>
        <v>9999</v>
      </c>
      <c r="Y529">
        <f>IF(AND(B529&gt;=RULE_START,C529=1,N529&lt;0),B529,9999)</f>
        <v>9999</v>
      </c>
      <c r="Z529">
        <f>IF(AND(B529&gt;=RULE_START,C529=1,O529&lt;0),B529,9999)</f>
        <v>9999</v>
      </c>
      <c r="AB529" t="n">
        <v>2065</v>
      </c>
      <c r="AC529">
        <f>IF(AB529&lt;=RULE_START+$AB$38-1,1,0)</f>
        <v>0</v>
      </c>
      <c r="AD529" s="15">
        <f>IF(AB529=2024,G_IDX_2024,IF(AB529=2025,G_IDX_2025,IF(AB529=2026,G_IDX_2026,IF(AB529=2027,G_IDX_2027,$AB$13))))</f>
        <v>0.033</v>
      </c>
      <c r="AE529" s="8">
        <f>$AB$20*(1+G_HI)^(AB529-COST_DATE)</f>
        <v>2272.3220855698514</v>
      </c>
      <c r="AF529" s="8">
        <f>AF528*(1+AD529)</f>
        <v>1756.8594680294432</v>
      </c>
      <c r="AG529" s="8">
        <f>IF(AB529&lt;RULE_START,AF529,AG528*(1+G_HI))</f>
        <v>2300.8341754759563</v>
      </c>
      <c r="AH529" s="8">
        <f>IF(AB529&lt;RULE_START,AF529,IF(AI529=1,R_NF_2024*(1+G_HI)^(AB529-2024),AH528*(1+AD529)))</f>
        <v>2388.665380119091</v>
      </c>
      <c r="AI529">
        <f>IF(AND(AB529&gt;=RULE_START,MOD(AB529-RULE_START,REBASE_YEARS)=0),1,0)</f>
        <v>0</v>
      </c>
      <c r="AJ529" s="8">
        <f>AF529*CAP_SHARE</f>
        <v>85.9057352980663</v>
      </c>
      <c r="AK529" s="8">
        <f>AG529*CAP_SHARE</f>
        <v>112.50464549955093</v>
      </c>
      <c r="AL529" s="8">
        <f>AH529*CAP_SHARE</f>
        <v>116.79935680360668</v>
      </c>
      <c r="AM529" s="8">
        <f>AF529-AJ529-AE529</f>
        <v>-601.3683528384745</v>
      </c>
      <c r="AN529" s="8">
        <f>AG529-AK529-AE529</f>
        <v>-83.99255559344601</v>
      </c>
      <c r="AO529" s="8">
        <f>AH529-AL529-AE529</f>
        <v>-0.45606225436722525</v>
      </c>
      <c r="AP529" s="8">
        <f>R_NF_2024*(1+G_HI)^(AB529-2024)</f>
        <v>2421.9374357719</v>
      </c>
      <c r="AQ529" s="10">
        <f>1-AF529/AP529</f>
        <v>0.27460575897596984</v>
      </c>
      <c r="AR529" s="10">
        <f>CPI_2023/(IF(AB529-1=2023,CPI_2023,IF(AB529-1=2024,CPI_2024,IF(AB529-1=2025,CPI_2025,CPI_2025*(1+INFL)^(AB529-1-2025)))))</f>
        <v>0.3877840186287591</v>
      </c>
      <c r="AS529" s="8">
        <f>$AB$21*ABS($AB$11)*(AG529-AF529)/AF529</f>
        <v>30868.48912844029</v>
      </c>
      <c r="AT529" s="8">
        <f>$AB$21*ABS($AB$11)*(AH529-AF529)/AF529</f>
        <v>35852.57487461628</v>
      </c>
      <c r="AU529" s="13">
        <f>(AG529-AF529)*MCD_NF_DAYS*AR529-AS529*MCD_SHARE_FREED*R_WAIT_2023</f>
        <v>97103109.0990042</v>
      </c>
      <c r="AV529" s="13">
        <f>(AH529-AF529)*MCD_NF_DAYS*AR529-AT529*MCD_SHARE_FREED*R_WAIT_2023</f>
        <v>112781564.23673294</v>
      </c>
      <c r="AW529" s="10">
        <f>IF(AND(AB529&gt;=RULE_START,AC529=1),1/(1+$AB$12)^(AB529-RULE_START+1),0)</f>
        <v>0</v>
      </c>
      <c r="AX529">
        <f>IF(AND(AB529&gt;=RULE_START,AC529=1,AM529&lt;0),AB529,9999)</f>
        <v>9999</v>
      </c>
      <c r="AY529">
        <f>IF(AND(AB529&gt;=RULE_START,AC529=1,AN529&lt;0),AB529,9999)</f>
        <v>9999</v>
      </c>
      <c r="AZ529">
        <f>IF(AND(AB529&gt;=RULE_START,AC529=1,AO529&lt;0),AB529,9999)</f>
        <v>9999</v>
      </c>
      <c r="BB529" t="n">
        <v>2065</v>
      </c>
      <c r="BC529">
        <f>IF(BB529&lt;=RULE_START+$BB$38-1,1,0)</f>
        <v>0</v>
      </c>
      <c r="BD529" s="15">
        <f>IF(BB529=2024,G_IDX_2024,IF(BB529=2025,G_IDX_2025,IF(BB529=2026,G_IDX_2026,IF(BB529=2027,G_IDX_2027,$BB$13))))</f>
        <v>0.033</v>
      </c>
      <c r="BE529" s="8">
        <f>$BB$20*(1+G_HI)^(BB529-COST_DATE)</f>
        <v>2272.3220855698514</v>
      </c>
      <c r="BF529" s="8">
        <f>BF528*(1+BD529)</f>
        <v>1756.8594680294432</v>
      </c>
      <c r="BG529" s="8">
        <f>IF(BB529&lt;RULE_START,BF529,BG528*(1+G_HI))</f>
        <v>2300.8341754759563</v>
      </c>
      <c r="BH529" s="8">
        <f>IF(BB529&lt;RULE_START,BF529,IF(BI529=1,R_NF_2024*(1+G_HI)^(BB529-2024),BH528*(1+BD529)))</f>
        <v>2388.665380119091</v>
      </c>
      <c r="BI529">
        <f>IF(AND(BB529&gt;=RULE_START,MOD(BB529-RULE_START,REBASE_YEARS)=0),1,0)</f>
        <v>0</v>
      </c>
      <c r="BJ529" s="8">
        <f>BF529*CAP_SHARE</f>
        <v>85.9057352980663</v>
      </c>
      <c r="BK529" s="8">
        <f>BG529*CAP_SHARE</f>
        <v>112.50464549955093</v>
      </c>
      <c r="BL529" s="8">
        <f>BH529*CAP_SHARE</f>
        <v>116.79935680360668</v>
      </c>
      <c r="BM529" s="8">
        <f>BF529-BJ529-BE529</f>
        <v>-601.3683528384745</v>
      </c>
      <c r="BN529" s="8">
        <f>BG529-BK529-BE529</f>
        <v>-83.99255559344601</v>
      </c>
      <c r="BO529" s="8">
        <f>BH529-BL529-BE529</f>
        <v>-0.45606225436722525</v>
      </c>
      <c r="BP529" s="8">
        <f>R_NF_2024*(1+G_HI)^(BB529-2024)</f>
        <v>2421.9374357719</v>
      </c>
      <c r="BQ529" s="10">
        <f>1-BF529/BP529</f>
        <v>0.27460575897596984</v>
      </c>
      <c r="BR529" s="10">
        <f>CPI_2023/(IF(BB529-1=2023,CPI_2023,IF(BB529-1=2024,CPI_2024,IF(BB529-1=2025,CPI_2025,CPI_2025*(1+INFL)^(BB529-1-2025)))))</f>
        <v>0.3877840186287591</v>
      </c>
      <c r="BS529" s="8">
        <f>$BB$21*ABS($BB$11)*(BG529-BF529)/BF529</f>
        <v>30868.48912844029</v>
      </c>
      <c r="BT529" s="8">
        <f>$BB$21*ABS($BB$11)*(BH529-BF529)/BF529</f>
        <v>35852.57487461628</v>
      </c>
      <c r="BU529" s="13">
        <f>(BG529-BF529)*MCD_NF_DAYS*BR529-BS529*MCD_SHARE_FREED*R_WAIT_2023</f>
        <v>97103109.0990042</v>
      </c>
      <c r="BV529" s="13">
        <f>(BH529-BF529)*MCD_NF_DAYS*BR529-BT529*MCD_SHARE_FREED*R_WAIT_2023</f>
        <v>112781564.23673294</v>
      </c>
      <c r="BW529" s="10">
        <f>IF(AND(BB529&gt;=RULE_START,BC529=1),1/(1+$BB$12)^(BB529-RULE_START+1),0)</f>
        <v>0</v>
      </c>
      <c r="BX529">
        <f>IF(AND(BB529&gt;=RULE_START,BC529=1,BM529&lt;0),BB529,9999)</f>
        <v>9999</v>
      </c>
      <c r="BY529">
        <f>IF(AND(BB529&gt;=RULE_START,BC529=1,BN529&lt;0),BB529,9999)</f>
        <v>9999</v>
      </c>
      <c r="BZ529">
        <f>IF(AND(BB529&gt;=RULE_START,BC529=1,BO529&lt;0),BB529,9999)</f>
        <v>9999</v>
      </c>
      <c r="CB529" t="n">
        <v>2065</v>
      </c>
      <c r="CC529">
        <f>IF(CB529&lt;=RULE_START+$CB$38-1,1,0)</f>
        <v>1</v>
      </c>
      <c r="CD529" s="15">
        <f>IF(CB529=2024,G_IDX_2024,IF(CB529=2025,G_IDX_2025,IF(CB529=2026,G_IDX_2026,IF(CB529=2027,G_IDX_2027,$CB$13))))</f>
        <v>0.033</v>
      </c>
      <c r="CE529" s="8">
        <f>$CB$20*(1+G_HI)^(CB529-COST_DATE)</f>
        <v>2272.3220855698514</v>
      </c>
      <c r="CF529" s="8">
        <f>CF528*(1+CD529)</f>
        <v>1756.8594680294432</v>
      </c>
      <c r="CG529" s="8">
        <f>IF(CB529&lt;RULE_START,CF529,CG528*(1+G_HI))</f>
        <v>2300.8341754759563</v>
      </c>
      <c r="CH529" s="8">
        <f>IF(CB529&lt;RULE_START,CF529,IF(CI529=1,R_NF_2024*(1+G_HI)^(CB529-2024),CH528*(1+CD529)))</f>
        <v>2388.665380119091</v>
      </c>
      <c r="CI529">
        <f>IF(AND(CB529&gt;=RULE_START,MOD(CB529-RULE_START,REBASE_YEARS)=0),1,0)</f>
        <v>0</v>
      </c>
      <c r="CJ529" s="8">
        <f>CF529*CAP_SHARE</f>
        <v>85.9057352980663</v>
      </c>
      <c r="CK529" s="8">
        <f>CG529*CAP_SHARE</f>
        <v>112.50464549955093</v>
      </c>
      <c r="CL529" s="8">
        <f>CH529*CAP_SHARE</f>
        <v>116.79935680360668</v>
      </c>
      <c r="CM529" s="8">
        <f>CF529-CJ529-CE529</f>
        <v>-601.3683528384745</v>
      </c>
      <c r="CN529" s="8">
        <f>CG529-CK529-CE529</f>
        <v>-83.99255559344601</v>
      </c>
      <c r="CO529" s="8">
        <f>CH529-CL529-CE529</f>
        <v>-0.45606225436722525</v>
      </c>
      <c r="CP529" s="8">
        <f>R_NF_2024*(1+G_HI)^(CB529-2024)</f>
        <v>2421.9374357719</v>
      </c>
      <c r="CQ529" s="10">
        <f>1-CF529/CP529</f>
        <v>0.27460575897596984</v>
      </c>
      <c r="CR529" s="10">
        <f>CPI_2023/(IF(CB529-1=2023,CPI_2023,IF(CB529-1=2024,CPI_2024,IF(CB529-1=2025,CPI_2025,CPI_2025*(1+INFL)^(CB529-1-2025)))))</f>
        <v>0.3877840186287591</v>
      </c>
      <c r="CS529" s="8">
        <f>$CB$21*ABS($CB$11)*(CG529-CF529)/CF529</f>
        <v>30868.48912844029</v>
      </c>
      <c r="CT529" s="8">
        <f>$CB$21*ABS($CB$11)*(CH529-CF529)/CF529</f>
        <v>35852.57487461628</v>
      </c>
      <c r="CU529" s="13">
        <f>(CG529-CF529)*MCD_NF_DAYS*CR529-CS529*MCD_SHARE_FREED*R_WAIT_2023</f>
        <v>97103109.0990042</v>
      </c>
      <c r="CV529" s="13">
        <f>(CH529-CF529)*MCD_NF_DAYS*CR529-CT529*MCD_SHARE_FREED*R_WAIT_2023</f>
        <v>112781564.23673294</v>
      </c>
      <c r="CW529" s="10">
        <f>IF(AND(CB529&gt;=RULE_START,CC529=1),1/(1+$CB$12)^(CB529-RULE_START+1),0)</f>
        <v>0.46194822348894077</v>
      </c>
      <c r="CX529">
        <f>IF(AND(CB529&gt;=RULE_START,CC529=1,CM529&lt;0),CB529,9999)</f>
        <v>2065</v>
      </c>
      <c r="CY529">
        <f>IF(AND(CB529&gt;=RULE_START,CC529=1,CN529&lt;0),CB529,9999)</f>
        <v>2065</v>
      </c>
      <c r="CZ529">
        <f>IF(AND(CB529&gt;=RULE_START,CC529=1,CO529&lt;0),CB529,9999)</f>
        <v>2065</v>
      </c>
      <c r="DB529" t="n">
        <v>2065</v>
      </c>
      <c r="DC529">
        <f>IF(DB529&lt;=RULE_START+$DB$38-1,1,0)</f>
        <v>0</v>
      </c>
      <c r="DD529" s="15">
        <f>IF(DB529=2024,G_IDX_2024,IF(DB529=2025,G_IDX_2025,IF(DB529=2026,G_IDX_2026,IF(DB529=2027,G_IDX_2027,$DB$13))))</f>
        <v>0.033</v>
      </c>
      <c r="DE529" s="8">
        <f>$DB$20*(1+G_HI)^(DB529-COST_DATE)</f>
        <v>2272.3220855698514</v>
      </c>
      <c r="DF529" s="8">
        <f>DF528*(1+DD529)</f>
        <v>1756.8594680294432</v>
      </c>
      <c r="DG529" s="8">
        <f>IF(DB529&lt;RULE_START,DF529,DG528*(1+G_HI))</f>
        <v>2300.8341754759563</v>
      </c>
      <c r="DH529" s="8">
        <f>IF(DB529&lt;RULE_START,DF529,IF(DI529=1,R_NF_2024*(1+G_HI)^(DB529-2024),DH528*(1+DD529)))</f>
        <v>2388.665380119091</v>
      </c>
      <c r="DI529">
        <f>IF(AND(DB529&gt;=RULE_START,MOD(DB529-RULE_START,REBASE_YEARS)=0),1,0)</f>
        <v>0</v>
      </c>
      <c r="DJ529" s="8">
        <f>DF529*CAP_SHARE</f>
        <v>85.9057352980663</v>
      </c>
      <c r="DK529" s="8">
        <f>DG529*CAP_SHARE</f>
        <v>112.50464549955093</v>
      </c>
      <c r="DL529" s="8">
        <f>DH529*CAP_SHARE</f>
        <v>116.79935680360668</v>
      </c>
      <c r="DM529" s="8">
        <f>DF529-DJ529-DE529</f>
        <v>-601.3683528384745</v>
      </c>
      <c r="DN529" s="8">
        <f>DG529-DK529-DE529</f>
        <v>-83.99255559344601</v>
      </c>
      <c r="DO529" s="8">
        <f>DH529-DL529-DE529</f>
        <v>-0.45606225436722525</v>
      </c>
      <c r="DP529" s="8">
        <f>R_NF_2024*(1+G_HI)^(DB529-2024)</f>
        <v>2421.9374357719</v>
      </c>
      <c r="DQ529" s="10">
        <f>1-DF529/DP529</f>
        <v>0.27460575897596984</v>
      </c>
      <c r="DR529" s="10">
        <f>CPI_2023/(IF(DB529-1=2023,CPI_2023,IF(DB529-1=2024,CPI_2024,IF(DB529-1=2025,CPI_2025,CPI_2025*(1+INFL)^(DB529-1-2025)))))</f>
        <v>0.3877840186287591</v>
      </c>
      <c r="DS529" s="8">
        <f>$DB$21*ABS($DB$11)*(DG529-DF529)/DF529</f>
        <v>30868.48912844029</v>
      </c>
      <c r="DT529" s="8">
        <f>$DB$21*ABS($DB$11)*(DH529-DF529)/DF529</f>
        <v>35852.57487461628</v>
      </c>
      <c r="DU529" s="13">
        <f>(DG529-DF529)*MCD_NF_DAYS*DR529-DS529*MCD_SHARE_FREED*R_WAIT_2023</f>
        <v>97103109.0990042</v>
      </c>
      <c r="DV529" s="13">
        <f>(DH529-DF529)*MCD_NF_DAYS*DR529-DT529*MCD_SHARE_FREED*R_WAIT_2023</f>
        <v>112781564.23673294</v>
      </c>
      <c r="DW529" s="10">
        <f>IF(AND(DB529&gt;=RULE_START,DC529=1),1/(1+$DB$12)^(DB529-RULE_START+1),0)</f>
        <v>0</v>
      </c>
      <c r="DX529">
        <f>IF(AND(DB529&gt;=RULE_START,DC529=1,DM529&lt;0),DB529,9999)</f>
        <v>9999</v>
      </c>
      <c r="DY529">
        <f>IF(AND(DB529&gt;=RULE_START,DC529=1,DN529&lt;0),DB529,9999)</f>
        <v>9999</v>
      </c>
      <c r="DZ529">
        <f>IF(AND(DB529&gt;=RULE_START,DC529=1,DO529&lt;0),DB529,9999)</f>
        <v>9999</v>
      </c>
      <c r="EB529" t="n">
        <v>2065</v>
      </c>
      <c r="EC529">
        <f>IF(EB529&lt;=RULE_START+$EB$38-1,1,0)</f>
        <v>0</v>
      </c>
      <c r="ED529" s="15">
        <f>IF(EB529=2024,G_IDX_2024,IF(EB529=2025,G_IDX_2025,IF(EB529=2026,G_IDX_2026,IF(EB529=2027,G_IDX_2027,$EB$13))))</f>
        <v>0.033</v>
      </c>
      <c r="EE529" s="8">
        <f>$EB$20*(1+G_HI)^(EB529-COST_DATE)</f>
        <v>2272.3220855698514</v>
      </c>
      <c r="EF529" s="8">
        <f>EF528*(1+ED529)</f>
        <v>1756.8594680294432</v>
      </c>
      <c r="EG529" s="8">
        <f>IF(EB529&lt;RULE_START,EF529,EG528*(1+G_HI))</f>
        <v>2300.8341754759563</v>
      </c>
      <c r="EH529" s="8">
        <f>IF(EB529&lt;RULE_START,EF529,IF(EI529=1,R_NF_2024*(1+G_HI)^(EB529-2024),EH528*(1+ED529)))</f>
        <v>2388.665380119091</v>
      </c>
      <c r="EI529">
        <f>IF(AND(EB529&gt;=RULE_START,MOD(EB529-RULE_START,REBASE_YEARS)=0),1,0)</f>
        <v>0</v>
      </c>
      <c r="EJ529" s="8">
        <f>EF529*CAP_SHARE</f>
        <v>85.9057352980663</v>
      </c>
      <c r="EK529" s="8">
        <f>EG529*CAP_SHARE</f>
        <v>112.50464549955093</v>
      </c>
      <c r="EL529" s="8">
        <f>EH529*CAP_SHARE</f>
        <v>116.79935680360668</v>
      </c>
      <c r="EM529" s="8">
        <f>EF529-EJ529-EE529</f>
        <v>-601.3683528384745</v>
      </c>
      <c r="EN529" s="8">
        <f>EG529-EK529-EE529</f>
        <v>-83.99255559344601</v>
      </c>
      <c r="EO529" s="8">
        <f>EH529-EL529-EE529</f>
        <v>-0.45606225436722525</v>
      </c>
      <c r="EP529" s="8">
        <f>R_NF_2024*(1+G_HI)^(EB529-2024)</f>
        <v>2421.9374357719</v>
      </c>
      <c r="EQ529" s="10">
        <f>1-EF529/EP529</f>
        <v>0.27460575897596984</v>
      </c>
      <c r="ER529" s="10">
        <f>CPI_2023/(IF(EB529-1=2023,CPI_2023,IF(EB529-1=2024,CPI_2024,IF(EB529-1=2025,CPI_2025,CPI_2025*(1+INFL)^(EB529-1-2025)))))</f>
        <v>0.3877840186287591</v>
      </c>
      <c r="ES529" s="8">
        <f>$EB$21*ABS($EB$11)*(EG529-EF529)/EF529</f>
        <v>30868.48912844029</v>
      </c>
      <c r="ET529" s="8">
        <f>$EB$21*ABS($EB$11)*(EH529-EF529)/EF529</f>
        <v>35852.57487461628</v>
      </c>
      <c r="EU529" s="13">
        <f>(EG529-EF529)*MCD_NF_DAYS*ER529-ES529*MCD_SHARE_FREED*R_WAIT_2023</f>
        <v>97103109.0990042</v>
      </c>
      <c r="EV529" s="13">
        <f>(EH529-EF529)*MCD_NF_DAYS*ER529-ET529*MCD_SHARE_FREED*R_WAIT_2023</f>
        <v>112781564.23673294</v>
      </c>
      <c r="EW529" s="10">
        <f>IF(AND(EB529&gt;=RULE_START,EC529=1),1/(1+$EB$12)^(EB529-RULE_START+1),0)</f>
        <v>0</v>
      </c>
      <c r="EX529">
        <f>IF(AND(EB529&gt;=RULE_START,EC529=1,EM529&lt;0),EB529,9999)</f>
        <v>9999</v>
      </c>
      <c r="EY529">
        <f>IF(AND(EB529&gt;=RULE_START,EC529=1,EN529&lt;0),EB529,9999)</f>
        <v>9999</v>
      </c>
      <c r="EZ529">
        <f>IF(AND(EB529&gt;=RULE_START,EC529=1,EO529&lt;0),EB529,9999)</f>
        <v>9999</v>
      </c>
      <c r="FB529" t="n">
        <v>2065</v>
      </c>
      <c r="FC529">
        <f>IF(FB529&lt;=RULE_START+$FB$38-1,1,0)</f>
        <v>0</v>
      </c>
      <c r="FD529" s="15">
        <f>IF(FB529=2024,G_IDX_2024,IF(FB529=2025,G_IDX_2025,IF(FB529=2026,G_IDX_2026,IF(FB529=2027,G_IDX_2027,$FB$13))))</f>
        <v>0.033</v>
      </c>
      <c r="FE529" s="8">
        <f>$FB$20*(1+G_HI)^(FB529-COST_DATE)</f>
        <v>2338.520095403478</v>
      </c>
      <c r="FF529" s="8">
        <f>FF528*(1+FD529)</f>
        <v>1756.8594680294432</v>
      </c>
      <c r="FG529" s="8">
        <f>IF(FB529&lt;RULE_START,FF529,FG528*(1+G_HI))</f>
        <v>2300.8341754759563</v>
      </c>
      <c r="FH529" s="8">
        <f>IF(FB529&lt;RULE_START,FF529,IF(FI529=1,R_NF_2024*(1+G_HI)^(FB529-2024),FH528*(1+FD529)))</f>
        <v>2388.665380119091</v>
      </c>
      <c r="FI529">
        <f>IF(AND(FB529&gt;=RULE_START,MOD(FB529-RULE_START,REBASE_YEARS)=0),1,0)</f>
        <v>0</v>
      </c>
      <c r="FJ529" s="8">
        <f>FF529*CAP_SHARE</f>
        <v>85.9057352980663</v>
      </c>
      <c r="FK529" s="8">
        <f>FG529*CAP_SHARE</f>
        <v>112.50464549955093</v>
      </c>
      <c r="FL529" s="8">
        <f>FH529*CAP_SHARE</f>
        <v>116.79935680360668</v>
      </c>
      <c r="FM529" s="8">
        <f>FF529-FJ529-FE529</f>
        <v>-667.5663626721011</v>
      </c>
      <c r="FN529" s="8">
        <f>FG529-FK529-FE529</f>
        <v>-150.19056542707267</v>
      </c>
      <c r="FO529" s="8">
        <f>FH529-FL529-FE529</f>
        <v>-66.65407208799388</v>
      </c>
      <c r="FP529" s="8">
        <f>R_NF_2024*(1+G_HI)^(FB529-2024)</f>
        <v>2421.9374357719</v>
      </c>
      <c r="FQ529" s="10">
        <f>1-FF529/FP529</f>
        <v>0.27460575897596984</v>
      </c>
      <c r="FR529" s="10">
        <f>CPI_2023/(IF(FB529-1=2023,CPI_2023,IF(FB529-1=2024,CPI_2024,IF(FB529-1=2025,CPI_2025,CPI_2025*(1+INFL)^(FB529-1-2025)))))</f>
        <v>0.3877840186287591</v>
      </c>
      <c r="FS529" s="8">
        <f>$FB$21*ABS($FB$11)*(FG529-FF529)/FF529</f>
        <v>30868.48912844029</v>
      </c>
      <c r="FT529" s="8">
        <f>$FB$21*ABS($FB$11)*(FH529-FF529)/FF529</f>
        <v>35852.57487461628</v>
      </c>
      <c r="FU529" s="13">
        <f>(FG529-FF529)*MCD_NF_DAYS*FR529-FS529*MCD_SHARE_FREED*R_WAIT_2023</f>
        <v>97103109.0990042</v>
      </c>
      <c r="FV529" s="13">
        <f>(FH529-FF529)*MCD_NF_DAYS*FR529-FT529*MCD_SHARE_FREED*R_WAIT_2023</f>
        <v>112781564.23673294</v>
      </c>
      <c r="FW529" s="10">
        <f>IF(AND(FB529&gt;=RULE_START,FC529=1),1/(1+$FB$12)^(FB529-RULE_START+1),0)</f>
        <v>0</v>
      </c>
      <c r="FX529">
        <f>IF(AND(FB529&gt;=RULE_START,FC529=1,FM529&lt;0),FB529,9999)</f>
        <v>9999</v>
      </c>
      <c r="FY529">
        <f>IF(AND(FB529&gt;=RULE_START,FC529=1,FN529&lt;0),FB529,9999)</f>
        <v>9999</v>
      </c>
      <c r="FZ529">
        <f>IF(AND(FB529&gt;=RULE_START,FC529=1,FO529&lt;0),FB529,9999)</f>
        <v>9999</v>
      </c>
      <c r="GB529" t="n">
        <v>2065</v>
      </c>
      <c r="GC529">
        <f>IF(GB529&lt;=RULE_START+$GB$38-1,1,0)</f>
        <v>0</v>
      </c>
      <c r="GD529" s="15">
        <f>IF(GB529=2024,G_IDX_2024,IF(GB529=2025,G_IDX_2025,IF(GB529=2026,G_IDX_2026,IF(GB529=2027,G_IDX_2027,$GB$13))))</f>
        <v>0.033</v>
      </c>
      <c r="GE529" s="8">
        <f>$GB$20*(1+G_HI)^(GB529-COST_DATE)</f>
        <v>2272.3220855698514</v>
      </c>
      <c r="GF529" s="8">
        <f>GF528*(1+GD529)</f>
        <v>1756.8594680294432</v>
      </c>
      <c r="GG529" s="8">
        <f>IF(GB529&lt;RULE_START,GF529,GG528*(1+G_HI))</f>
        <v>2300.8341754759563</v>
      </c>
      <c r="GH529" s="8">
        <f>IF(GB529&lt;RULE_START,GF529,IF(GI529=1,R_NF_2024*(1+G_HI)^(GB529-2024),GH528*(1+GD529)))</f>
        <v>2388.665380119091</v>
      </c>
      <c r="GI529">
        <f>IF(AND(GB529&gt;=RULE_START,MOD(GB529-RULE_START,REBASE_YEARS)=0),1,0)</f>
        <v>0</v>
      </c>
      <c r="GJ529" s="8">
        <f>GF529*CAP_SHARE</f>
        <v>85.9057352980663</v>
      </c>
      <c r="GK529" s="8">
        <f>GG529*CAP_SHARE</f>
        <v>112.50464549955093</v>
      </c>
      <c r="GL529" s="8">
        <f>GH529*CAP_SHARE</f>
        <v>116.79935680360668</v>
      </c>
      <c r="GM529" s="8">
        <f>GF529-GJ529-GE529</f>
        <v>-601.3683528384745</v>
      </c>
      <c r="GN529" s="8">
        <f>GG529-GK529-GE529</f>
        <v>-83.99255559344601</v>
      </c>
      <c r="GO529" s="8">
        <f>GH529-GL529-GE529</f>
        <v>-0.45606225436722525</v>
      </c>
      <c r="GP529" s="8">
        <f>R_NF_2024*(1+G_HI)^(GB529-2024)</f>
        <v>2421.9374357719</v>
      </c>
      <c r="GQ529" s="10">
        <f>1-GF529/GP529</f>
        <v>0.27460575897596984</v>
      </c>
      <c r="GR529" s="10">
        <f>CPI_2023/(IF(GB529-1=2023,CPI_2023,IF(GB529-1=2024,CPI_2024,IF(GB529-1=2025,CPI_2025,CPI_2025*(1+INFL)^(GB529-1-2025)))))</f>
        <v>0.3877840186287591</v>
      </c>
      <c r="GS529" s="8">
        <f>$GB$21*ABS($GB$11)*(GG529-GF529)/GF529</f>
        <v>23301.078559330166</v>
      </c>
      <c r="GT529" s="8">
        <f>$GB$21*ABS($GB$11)*(GH529-GF529)/GF529</f>
        <v>27063.315610676007</v>
      </c>
      <c r="GU529" s="13">
        <f>(GG529-GF529)*MCD_NF_DAYS*GR529-GS529*MCD_SHARE_FREED*R_WAIT_2023</f>
        <v>100544152.42955594</v>
      </c>
      <c r="GV529" s="13">
        <f>(GH529-GF529)*MCD_NF_DAYS*GR529-GT529*MCD_SHARE_FREED*R_WAIT_2023</f>
        <v>116778205.05520889</v>
      </c>
      <c r="GW529" s="10">
        <f>IF(AND(GB529&gt;=RULE_START,GC529=1),1/(1+$GB$12)^(GB529-RULE_START+1),0)</f>
        <v>0</v>
      </c>
      <c r="GX529">
        <f>IF(AND(GB529&gt;=RULE_START,GC529=1,GM529&lt;0),GB529,9999)</f>
        <v>9999</v>
      </c>
      <c r="GY529">
        <f>IF(AND(GB529&gt;=RULE_START,GC529=1,GN529&lt;0),GB529,9999)</f>
        <v>9999</v>
      </c>
      <c r="GZ529">
        <f>IF(AND(GB529&gt;=RULE_START,GC529=1,GO529&lt;0),GB529,9999)</f>
        <v>9999</v>
      </c>
      <c r="HB529" t="n">
        <v>2065</v>
      </c>
      <c r="HC529">
        <f>IF(HB529&lt;=RULE_START+$HB$38-1,1,0)</f>
        <v>0</v>
      </c>
      <c r="HD529" s="15">
        <f>IF(HB529=2024,G_IDX_2024,IF(HB529=2025,G_IDX_2025,IF(HB529=2026,G_IDX_2026,IF(HB529=2027,G_IDX_2027,$HB$13))))</f>
        <v>0.033</v>
      </c>
      <c r="HE529" s="8">
        <f>$HB$20*(1+G_HI)^(HB529-COST_DATE)</f>
        <v>2272.3220855698514</v>
      </c>
      <c r="HF529" s="8">
        <f>HF528*(1+HD529)</f>
        <v>1756.8594680294432</v>
      </c>
      <c r="HG529" s="8">
        <f>IF(HB529&lt;RULE_START,HF529,HG528*(1+G_HI))</f>
        <v>2300.8341754759563</v>
      </c>
      <c r="HH529" s="8">
        <f>IF(HB529&lt;RULE_START,HF529,IF(HI529=1,R_NF_2024*(1+G_HI)^(HB529-2024),HH528*(1+HD529)))</f>
        <v>2388.665380119091</v>
      </c>
      <c r="HI529">
        <f>IF(AND(HB529&gt;=RULE_START,MOD(HB529-RULE_START,REBASE_YEARS)=0),1,0)</f>
        <v>0</v>
      </c>
      <c r="HJ529" s="8">
        <f>HF529*CAP_SHARE</f>
        <v>85.9057352980663</v>
      </c>
      <c r="HK529" s="8">
        <f>HG529*CAP_SHARE</f>
        <v>112.50464549955093</v>
      </c>
      <c r="HL529" s="8">
        <f>HH529*CAP_SHARE</f>
        <v>116.79935680360668</v>
      </c>
      <c r="HM529" s="8">
        <f>HF529-HJ529-HE529</f>
        <v>-601.3683528384745</v>
      </c>
      <c r="HN529" s="8">
        <f>HG529-HK529-HE529</f>
        <v>-83.99255559344601</v>
      </c>
      <c r="HO529" s="8">
        <f>HH529-HL529-HE529</f>
        <v>-0.45606225436722525</v>
      </c>
      <c r="HP529" s="8">
        <f>R_NF_2024*(1+G_HI)^(HB529-2024)</f>
        <v>2421.9374357719</v>
      </c>
      <c r="HQ529" s="10">
        <f>1-HF529/HP529</f>
        <v>0.27460575897596984</v>
      </c>
      <c r="HR529" s="10">
        <f>CPI_2023/(IF(HB529-1=2023,CPI_2023,IF(HB529-1=2024,CPI_2024,IF(HB529-1=2025,CPI_2025,CPI_2025*(1+INFL)^(HB529-1-2025)))))</f>
        <v>0.3877840186287591</v>
      </c>
      <c r="HS529" s="8">
        <f>$HB$21*ABS($HB$11)*(HG529-HF529)/HF529</f>
        <v>30868.48912844029</v>
      </c>
      <c r="HT529" s="8">
        <f>$HB$21*ABS($HB$11)*(HH529-HF529)/HF529</f>
        <v>35852.57487461628</v>
      </c>
      <c r="HU529" s="13">
        <f>(HG529-HF529)*MCD_NF_DAYS*HR529-HS529*MCD_SHARE_FREED*R_WAIT_2023</f>
        <v>97103109.0990042</v>
      </c>
      <c r="HV529" s="13">
        <f>(HH529-HF529)*MCD_NF_DAYS*HR529-HT529*MCD_SHARE_FREED*R_WAIT_2023</f>
        <v>112781564.23673294</v>
      </c>
      <c r="HW529" s="10">
        <f>IF(AND(HB529&gt;=RULE_START,HC529=1),1/(1+$HB$12)^(HB529-RULE_START+1),0)</f>
        <v>0</v>
      </c>
      <c r="HX529">
        <f>IF(AND(HB529&gt;=RULE_START,HC529=1,HM529&lt;0),HB529,9999)</f>
        <v>9999</v>
      </c>
      <c r="HY529">
        <f>IF(AND(HB529&gt;=RULE_START,HC529=1,HN529&lt;0),HB529,9999)</f>
        <v>9999</v>
      </c>
      <c r="HZ529">
        <f>IF(AND(HB529&gt;=RULE_START,HC529=1,HO529&lt;0),HB529,9999)</f>
        <v>9999</v>
      </c>
      <c r="IB529" t="n">
        <v>2065</v>
      </c>
      <c r="IC529">
        <f>IF(IB529&lt;=RULE_START+$IB$38-1,1,0)</f>
        <v>0</v>
      </c>
      <c r="ID529" s="15">
        <f>IF(IB529=2024,G_IDX_2024,IF(IB529=2025,G_IDX_2025,IF(IB529=2026,G_IDX_2026,IF(IB529=2027,G_IDX_2027,$IB$13))))</f>
        <v>0.033</v>
      </c>
      <c r="IE529" s="8">
        <f>$IB$20*(1+G_HI)^(IB529-COST_DATE)</f>
        <v>2272.3220855698514</v>
      </c>
      <c r="IF529" s="8">
        <f>IF528*(1+ID529)</f>
        <v>1756.8594680294432</v>
      </c>
      <c r="IG529" s="8">
        <f>IF(IB529&lt;RULE_START,IF529,IG528*(1+G_HI))</f>
        <v>2300.8341754759563</v>
      </c>
      <c r="IH529" s="8">
        <f>IF(IB529&lt;RULE_START,IF529,IF(II529=1,R_NF_2024*(1+G_HI)^(IB529-2024),IH528*(1+ID529)))</f>
        <v>2388.665380119091</v>
      </c>
      <c r="II529">
        <f>IF(AND(IB529&gt;=RULE_START,MOD(IB529-RULE_START,REBASE_YEARS)=0),1,0)</f>
        <v>0</v>
      </c>
      <c r="IJ529" s="8">
        <f>IF529*CAP_SHARE</f>
        <v>85.9057352980663</v>
      </c>
      <c r="IK529" s="8">
        <f>IG529*CAP_SHARE</f>
        <v>112.50464549955093</v>
      </c>
      <c r="IL529" s="8">
        <f>IH529*CAP_SHARE</f>
        <v>116.79935680360668</v>
      </c>
      <c r="IM529" s="8">
        <f>IF529-IJ529-IE529</f>
        <v>-601.3683528384745</v>
      </c>
      <c r="IN529" s="8">
        <f>IG529-IK529-IE529</f>
        <v>-83.99255559344601</v>
      </c>
      <c r="IO529" s="8">
        <f>IH529-IL529-IE529</f>
        <v>-0.45606225436722525</v>
      </c>
      <c r="IP529" s="8">
        <f>R_NF_2024*(1+G_HI)^(IB529-2024)</f>
        <v>2421.9374357719</v>
      </c>
      <c r="IQ529" s="10">
        <f>1-IF529/IP529</f>
        <v>0.27460575897596984</v>
      </c>
      <c r="IR529" s="10">
        <f>CPI_2023/(IF(IB529-1=2023,CPI_2023,IF(IB529-1=2024,CPI_2024,IF(IB529-1=2025,CPI_2025,CPI_2025*(1+INFL)^(IB529-1-2025)))))</f>
        <v>0.3877840186287591</v>
      </c>
      <c r="IS529" s="8">
        <f>$IB$21*ABS($IB$11)*(IG529-IF529)/IF529</f>
        <v>30868.48912844029</v>
      </c>
      <c r="IT529" s="8">
        <f>$IB$21*ABS($IB$11)*(IH529-IF529)/IF529</f>
        <v>35852.57487461628</v>
      </c>
      <c r="IU529" s="13">
        <f>(IG529-IF529)*MCD_NF_DAYS*IR529-IS529*MCD_SHARE_FREED*R_WAIT_2023</f>
        <v>97103109.0990042</v>
      </c>
      <c r="IV529" s="13">
        <f>(IH529-IF529)*MCD_NF_DAYS*IR529-IT529*MCD_SHARE_FREED*R_WAIT_2023</f>
        <v>112781564.23673294</v>
      </c>
      <c r="IW529" s="10">
        <f>IF(AND(IB529&gt;=RULE_START,IC529=1),1/(1+$IB$12)^(IB529-RULE_START+1),0)</f>
        <v>0</v>
      </c>
      <c r="IX529">
        <f>IF(AND(IB529&gt;=RULE_START,IC529=1,IM529&lt;0),IB529,9999)</f>
        <v>9999</v>
      </c>
      <c r="IY529">
        <f>IF(AND(IB529&gt;=RULE_START,IC529=1,IN529&lt;0),IB529,9999)</f>
        <v>9999</v>
      </c>
      <c r="IZ529">
        <f>IF(AND(IB529&gt;=RULE_START,IC529=1,IO529&lt;0),IB529,9999)</f>
        <v>9999</v>
      </c>
      <c r="JB529" t="n">
        <v>2065</v>
      </c>
      <c r="JC529">
        <f>IF(JB529&lt;=RULE_START+$JB$38-1,1,0)</f>
        <v>0</v>
      </c>
      <c r="JD529" s="15">
        <f>IF(JB529=2024,G_IDX_2024,IF(JB529=2025,G_IDX_2025,IF(JB529=2026,G_IDX_2026,IF(JB529=2027,G_IDX_2027,$JB$13))))</f>
        <v>0.03</v>
      </c>
      <c r="JE529" s="8">
        <f>$JB$20*(1+G_HI)^(JB529-COST_DATE)</f>
        <v>2272.3220855698514</v>
      </c>
      <c r="JF529" s="8">
        <f>JF528*(1+JD529)</f>
        <v>1573.0384726474067</v>
      </c>
      <c r="JG529" s="8">
        <f>IF(JB529&lt;RULE_START,JF529,JG528*(1+G_HI))</f>
        <v>2300.8341754759563</v>
      </c>
      <c r="JH529" s="8">
        <f>IF(JB529&lt;RULE_START,JF529,IF(JI529=1,R_NF_2024*(1+G_HI)^(JB529-2024),JH528*(1+JD529)))</f>
        <v>2374.8113810266473</v>
      </c>
      <c r="JI529">
        <f>IF(AND(JB529&gt;=RULE_START,MOD(JB529-RULE_START,REBASE_YEARS)=0),1,0)</f>
        <v>0</v>
      </c>
      <c r="JJ529" s="8">
        <f>JF529*CAP_SHARE</f>
        <v>76.91737962199828</v>
      </c>
      <c r="JK529" s="8">
        <f>JG529*CAP_SHARE</f>
        <v>112.50464549955093</v>
      </c>
      <c r="JL529" s="8">
        <f>JH529*CAP_SHARE</f>
        <v>116.12193325293987</v>
      </c>
      <c r="JM529" s="8">
        <f>JF529-JJ529-JE529</f>
        <v>-776.2009925444429</v>
      </c>
      <c r="JN529" s="8">
        <f>JG529-JK529-JE529</f>
        <v>-83.99255559344601</v>
      </c>
      <c r="JO529" s="8">
        <f>JH529-JL529-JE529</f>
        <v>-13.632637796144081</v>
      </c>
      <c r="JP529" s="8">
        <f>R_NF_2024*(1+G_HI)^(JB529-2024)</f>
        <v>2421.9374357719</v>
      </c>
      <c r="JQ529" s="10">
        <f>1-JF529/JP529</f>
        <v>0.3505040842865287</v>
      </c>
      <c r="JR529" s="10">
        <f>CPI_2023/(IF(JB529-1=2023,CPI_2023,IF(JB529-1=2024,CPI_2024,IF(JB529-1=2025,CPI_2025,CPI_2025*(1+INFL)^(JB529-1-2025)))))</f>
        <v>0.3877840186287591</v>
      </c>
      <c r="JS529" s="8">
        <f>$JB$21*ABS($JB$11)*(JG529-JF529)/JF529</f>
        <v>46125.79154337306</v>
      </c>
      <c r="JT529" s="8">
        <f>$JB$21*ABS($JB$11)*(JH529-JF529)/JF529</f>
        <v>50814.273694244286</v>
      </c>
      <c r="JU529" s="13">
        <f>(JG529-JF529)*MCD_NF_DAYS*JR529-JS529*MCD_SHARE_FREED*R_WAIT_2023</f>
        <v>127721834.95088027</v>
      </c>
      <c r="JV529" s="13">
        <f>(JH529-JF529)*MCD_NF_DAYS*JR529-JT529*MCD_SHARE_FREED*R_WAIT_2023</f>
        <v>140704193.05048355</v>
      </c>
      <c r="JW529" s="10">
        <f>IF(AND(JB529&gt;=RULE_START,JC529=1),1/(1+$JB$12)^(JB529-RULE_START+1),0)</f>
        <v>0</v>
      </c>
      <c r="JX529">
        <f>IF(AND(JB529&gt;=RULE_START,JC529=1,JM529&lt;0),JB529,9999)</f>
        <v>9999</v>
      </c>
      <c r="JY529">
        <f>IF(AND(JB529&gt;=RULE_START,JC529=1,JN529&lt;0),JB529,9999)</f>
        <v>9999</v>
      </c>
      <c r="JZ529">
        <f>IF(AND(JB529&gt;=RULE_START,JC529=1,JO529&lt;0),JB529,9999)</f>
        <v>9999</v>
      </c>
      <c r="KB529" t="n">
        <v>2065</v>
      </c>
      <c r="KC529">
        <f>IF(KB529&lt;=RULE_START+$KB$38-1,1,0)</f>
        <v>0</v>
      </c>
      <c r="KD529" s="15">
        <f>IF(KB529=2024,G_IDX_2024,IF(KB529=2025,G_IDX_2025,IF(KB529=2026,G_IDX_2026,IF(KB529=2027,G_IDX_2027,$KB$13))))</f>
        <v>0.033</v>
      </c>
      <c r="KE529" s="8">
        <f>$KB$20*(1+G_HI)^(KB529-COST_DATE)</f>
        <v>2272.3220855698514</v>
      </c>
      <c r="KF529" s="8">
        <f>KF528*(1+KD529)</f>
        <v>1756.8594680294432</v>
      </c>
      <c r="KG529" s="8">
        <f>IF(KB529&lt;RULE_START,KF529,KG528*(1+G_HI))</f>
        <v>2300.8341754759563</v>
      </c>
      <c r="KH529" s="8">
        <f>IF(KB529&lt;RULE_START,KF529,IF(KI529=1,R_NF_2024*(1+G_HI)^(KB529-2024),KH528*(1+KD529)))</f>
        <v>2388.665380119091</v>
      </c>
      <c r="KI529">
        <f>IF(AND(KB529&gt;=RULE_START,MOD(KB529-RULE_START,REBASE_YEARS)=0),1,0)</f>
        <v>0</v>
      </c>
      <c r="KJ529" s="8">
        <f>KF529*CAP_SHARE</f>
        <v>85.9057352980663</v>
      </c>
      <c r="KK529" s="8">
        <f>KG529*CAP_SHARE</f>
        <v>112.50464549955093</v>
      </c>
      <c r="KL529" s="8">
        <f>KH529*CAP_SHARE</f>
        <v>116.79935680360668</v>
      </c>
      <c r="KM529" s="8">
        <f>KF529-KJ529-KE529</f>
        <v>-601.3683528384745</v>
      </c>
      <c r="KN529" s="8">
        <f>KG529-KK529-KE529</f>
        <v>-83.99255559344601</v>
      </c>
      <c r="KO529" s="8">
        <f>KH529-KL529-KE529</f>
        <v>-0.45606225436722525</v>
      </c>
      <c r="KP529" s="8">
        <f>R_NF_2024*(1+G_HI)^(KB529-2024)</f>
        <v>2421.9374357719</v>
      </c>
      <c r="KQ529" s="10">
        <f>1-KF529/KP529</f>
        <v>0.27460575897596984</v>
      </c>
      <c r="KR529" s="10">
        <f>CPI_2023/(IF(KB529-1=2023,CPI_2023,IF(KB529-1=2024,CPI_2024,IF(KB529-1=2025,CPI_2025,CPI_2025*(1+INFL)^(KB529-1-2025)))))</f>
        <v>0.3877840186287591</v>
      </c>
      <c r="KS529" s="8">
        <f>$KB$21*ABS($KB$11)*(KG529-KF529)/KF529</f>
        <v>30868.48912844029</v>
      </c>
      <c r="KT529" s="8">
        <f>$KB$21*ABS($KB$11)*(KH529-KF529)/KF529</f>
        <v>35852.57487461628</v>
      </c>
      <c r="KU529" s="13">
        <f>(KG529-KF529)*MCD_NF_DAYS*KR529-KS529*MCD_SHARE_FREED*R_WAIT_2023</f>
        <v>97103109.0990042</v>
      </c>
      <c r="KV529" s="13">
        <f>(KH529-KF529)*MCD_NF_DAYS*KR529-KT529*MCD_SHARE_FREED*R_WAIT_2023</f>
        <v>112781564.23673294</v>
      </c>
      <c r="KW529" s="10">
        <f>IF(AND(KB529&gt;=RULE_START,KC529=1),1/(1+$KB$12)^(KB529-RULE_START+1),0)</f>
        <v>0</v>
      </c>
      <c r="KX529">
        <f>IF(AND(KB529&gt;=RULE_START,KC529=1,KM529&lt;0),KB529,9999)</f>
        <v>9999</v>
      </c>
      <c r="KY529">
        <f>IF(AND(KB529&gt;=RULE_START,KC529=1,KN529&lt;0),KB529,9999)</f>
        <v>9999</v>
      </c>
      <c r="KZ529">
        <f>IF(AND(KB529&gt;=RULE_START,KC529=1,KO529&lt;0),KB529,9999)</f>
        <v>9999</v>
      </c>
      <c r="LB529" t="n">
        <v>2065</v>
      </c>
      <c r="LC529">
        <f>IF(LB529&lt;=RULE_START+$LB$38-1,1,0)</f>
        <v>0</v>
      </c>
      <c r="LD529" s="15">
        <f>IF(LB529=2024,G_IDX_2024,IF(LB529=2025,G_IDX_2025,IF(LB529=2026,G_IDX_2026,IF(LB529=2027,G_IDX_2027,$LB$13))))</f>
        <v>0.033</v>
      </c>
      <c r="LE529" s="8">
        <f>$LB$20*(1+G_HI)^(LB529-COST_DATE)</f>
        <v>2272.3220855698514</v>
      </c>
      <c r="LF529" s="8">
        <f>LF528*(1+LD529)</f>
        <v>1756.8594680294432</v>
      </c>
      <c r="LG529" s="8">
        <f>IF(LB529&lt;RULE_START,LF529,LG528*(1+G_HI))</f>
        <v>2300.8341754759563</v>
      </c>
      <c r="LH529" s="8">
        <f>IF(LB529&lt;RULE_START,LF529,IF(LI529=1,R_NF_2024*(1+G_HI)^(LB529-2024),LH528*(1+LD529)))</f>
        <v>2388.665380119091</v>
      </c>
      <c r="LI529">
        <f>IF(AND(LB529&gt;=RULE_START,MOD(LB529-RULE_START,REBASE_YEARS)=0),1,0)</f>
        <v>0</v>
      </c>
      <c r="LJ529" s="8">
        <f>LF529*CAP_SHARE</f>
        <v>85.9057352980663</v>
      </c>
      <c r="LK529" s="8">
        <f>LG529*CAP_SHARE</f>
        <v>112.50464549955093</v>
      </c>
      <c r="LL529" s="8">
        <f>LH529*CAP_SHARE</f>
        <v>116.79935680360668</v>
      </c>
      <c r="LM529" s="8">
        <f>LF529-LJ529-LE529</f>
        <v>-601.3683528384745</v>
      </c>
      <c r="LN529" s="8">
        <f>LG529-LK529-LE529</f>
        <v>-83.99255559344601</v>
      </c>
      <c r="LO529" s="8">
        <f>LH529-LL529-LE529</f>
        <v>-0.45606225436722525</v>
      </c>
      <c r="LP529" s="8">
        <f>R_NF_2024*(1+G_HI)^(LB529-2024)</f>
        <v>2421.9374357719</v>
      </c>
      <c r="LQ529" s="10">
        <f>1-LF529/LP529</f>
        <v>0.27460575897596984</v>
      </c>
      <c r="LR529" s="10">
        <f>CPI_2023/(IF(LB529-1=2023,CPI_2023,IF(LB529-1=2024,CPI_2024,IF(LB529-1=2025,CPI_2025,CPI_2025*(1+INFL)^(LB529-1-2025)))))</f>
        <v>0.3877840186287591</v>
      </c>
      <c r="LS529" s="8">
        <f>$LB$21*ABS($LB$11)*(LG529-LF529)/LF529</f>
        <v>30868.48912844029</v>
      </c>
      <c r="LT529" s="8">
        <f>$LB$21*ABS($LB$11)*(LH529-LF529)/LF529</f>
        <v>35852.57487461628</v>
      </c>
      <c r="LU529" s="13">
        <f>(LG529-LF529)*MCD_NF_DAYS*LR529-LS529*MCD_SHARE_FREED*R_WAIT_2023</f>
        <v>97103109.0990042</v>
      </c>
      <c r="LV529" s="13">
        <f>(LH529-LF529)*MCD_NF_DAYS*LR529-LT529*MCD_SHARE_FREED*R_WAIT_2023</f>
        <v>112781564.23673294</v>
      </c>
      <c r="LW529" s="10">
        <f>IF(AND(LB529&gt;=RULE_START,LC529=1),1/(1+$LB$12)^(LB529-RULE_START+1),0)</f>
        <v>0</v>
      </c>
      <c r="LX529">
        <f>IF(AND(LB529&gt;=RULE_START,LC529=1,LM529&lt;0),LB529,9999)</f>
        <v>9999</v>
      </c>
      <c r="LY529">
        <f>IF(AND(LB529&gt;=RULE_START,LC529=1,LN529&lt;0),LB529,9999)</f>
        <v>9999</v>
      </c>
      <c r="LZ529">
        <f>IF(AND(LB529&gt;=RULE_START,LC529=1,LO529&lt;0),LB529,9999)</f>
        <v>9999</v>
      </c>
      <c r="MB529" t="n">
        <v>2065</v>
      </c>
      <c r="MC529">
        <f>IF(MB529&lt;=RULE_START+$MB$38-1,1,0)</f>
        <v>0</v>
      </c>
      <c r="MD529" s="15">
        <f>IF(MB529=2024,G_IDX_2024,IF(MB529=2025,G_IDX_2025,IF(MB529=2026,G_IDX_2026,IF(MB529=2027,G_IDX_2027,$MB$13))))</f>
        <v>0.033</v>
      </c>
      <c r="ME529" s="8">
        <f>$MB$20*(1+G_HI)^(MB529-COST_DATE)</f>
        <v>2272.3220855698514</v>
      </c>
      <c r="MF529" s="8">
        <f>MF528*(1+MD529)</f>
        <v>1756.8594680294432</v>
      </c>
      <c r="MG529" s="8">
        <f>IF(MB529&lt;RULE_START,MF529,MG528*(1+G_HI))</f>
        <v>2300.8341754759563</v>
      </c>
      <c r="MH529" s="8">
        <f>IF(MB529&lt;RULE_START,MF529,IF(MI529=1,R_NF_2024*(1+G_HI)^(MB529-2024),MH528*(1+MD529)))</f>
        <v>2388.665380119091</v>
      </c>
      <c r="MI529">
        <f>IF(AND(MB529&gt;=RULE_START,MOD(MB529-RULE_START,REBASE_YEARS)=0),1,0)</f>
        <v>0</v>
      </c>
      <c r="MJ529" s="8">
        <f>MF529*CAP_SHARE</f>
        <v>85.9057352980663</v>
      </c>
      <c r="MK529" s="8">
        <f>MG529*CAP_SHARE</f>
        <v>112.50464549955093</v>
      </c>
      <c r="ML529" s="8">
        <f>MH529*CAP_SHARE</f>
        <v>116.79935680360668</v>
      </c>
      <c r="MM529" s="8">
        <f>MF529-MJ529-ME529</f>
        <v>-601.3683528384745</v>
      </c>
      <c r="MN529" s="8">
        <f>MG529-MK529-ME529</f>
        <v>-83.99255559344601</v>
      </c>
      <c r="MO529" s="8">
        <f>MH529-ML529-ME529</f>
        <v>-0.45606225436722525</v>
      </c>
      <c r="MP529" s="8">
        <f>R_NF_2024*(1+G_HI)^(MB529-2024)</f>
        <v>2421.9374357719</v>
      </c>
      <c r="MQ529" s="10">
        <f>1-MF529/MP529</f>
        <v>0.27460575897596984</v>
      </c>
      <c r="MR529" s="10">
        <f>CPI_2023/(IF(MB529-1=2023,CPI_2023,IF(MB529-1=2024,CPI_2024,IF(MB529-1=2025,CPI_2025,CPI_2025*(1+INFL)^(MB529-1-2025)))))</f>
        <v>0.3877840186287591</v>
      </c>
      <c r="MS529" s="8">
        <f>$MB$21*ABS($MB$11)*(MG529-MF529)/MF529</f>
        <v>22613.934849428155</v>
      </c>
      <c r="MT529" s="8">
        <f>$MB$21*ABS($MB$11)*(MH529-MF529)/MF529</f>
        <v>26265.224353071</v>
      </c>
      <c r="MU529" s="13">
        <f>(MG529-MF529)*MCD_NF_DAYS*MR529-MS529*MCD_SHARE_FREED*R_WAIT_2023</f>
        <v>100856609.54530181</v>
      </c>
      <c r="MV529" s="13">
        <f>(MH529-MF529)*MCD_NF_DAYS*MR529-MT529*MCD_SHARE_FREED*R_WAIT_2023</f>
        <v>117141112.09904811</v>
      </c>
      <c r="MW529" s="10">
        <f>IF(AND(MB529&gt;=RULE_START,MC529=1),1/(1+$MB$12)^(MB529-RULE_START+1),0)</f>
        <v>0</v>
      </c>
      <c r="MX529">
        <f>IF(AND(MB529&gt;=RULE_START,MC529=1,MM529&lt;0),MB529,9999)</f>
        <v>9999</v>
      </c>
      <c r="MY529">
        <f>IF(AND(MB529&gt;=RULE_START,MC529=1,MN529&lt;0),MB529,9999)</f>
        <v>9999</v>
      </c>
      <c r="MZ529">
        <f>IF(AND(MB529&gt;=RULE_START,MC529=1,MO529&lt;0),MB529,9999)</f>
        <v>9999</v>
      </c>
      <c r="NB529" t="n">
        <v>2065</v>
      </c>
      <c r="NC529">
        <f>IF(NB529&lt;=RULE_START+$NB$38-1,1,0)</f>
        <v>0</v>
      </c>
      <c r="ND529" s="15">
        <f>IF(NB529=2024,G_IDX_2024,IF(NB529=2025,G_IDX_2025,IF(NB529=2026,G_IDX_2026,IF(NB529=2027,G_IDX_2027,$NB$13))))</f>
        <v>0.033</v>
      </c>
      <c r="NE529" s="8">
        <f>$NB$20*(1+G_HI)^(NB529-COST_DATE)</f>
        <v>2272.3220855698514</v>
      </c>
      <c r="NF529" s="8">
        <f>NF528*(1+ND529)</f>
        <v>1756.8594680294432</v>
      </c>
      <c r="NG529" s="8">
        <f>IF(NB529&lt;RULE_START,NF529,NG528*(1+G_HI))</f>
        <v>2300.8341754759563</v>
      </c>
      <c r="NH529" s="8">
        <f>IF(NB529&lt;RULE_START,NF529,IF(NI529=1,R_NF_2024*(1+G_HI)^(NB529-2024),NH528*(1+ND529)))</f>
        <v>2388.665380119091</v>
      </c>
      <c r="NI529">
        <f>IF(AND(NB529&gt;=RULE_START,MOD(NB529-RULE_START,REBASE_YEARS)=0),1,0)</f>
        <v>0</v>
      </c>
      <c r="NJ529" s="8">
        <f>NF529*CAP_SHARE</f>
        <v>85.9057352980663</v>
      </c>
      <c r="NK529" s="8">
        <f>NG529*CAP_SHARE</f>
        <v>112.50464549955093</v>
      </c>
      <c r="NL529" s="8">
        <f>NH529*CAP_SHARE</f>
        <v>116.79935680360668</v>
      </c>
      <c r="NM529" s="8">
        <f>NF529-NJ529-NE529</f>
        <v>-601.3683528384745</v>
      </c>
      <c r="NN529" s="8">
        <f>NG529-NK529-NE529</f>
        <v>-83.99255559344601</v>
      </c>
      <c r="NO529" s="8">
        <f>NH529-NL529-NE529</f>
        <v>-0.45606225436722525</v>
      </c>
      <c r="NP529" s="8">
        <f>R_NF_2024*(1+G_HI)^(NB529-2024)</f>
        <v>2421.9374357719</v>
      </c>
      <c r="NQ529" s="10">
        <f>1-NF529/NP529</f>
        <v>0.27460575897596984</v>
      </c>
      <c r="NR529" s="10">
        <f>CPI_2023/(IF(NB529-1=2023,CPI_2023,IF(NB529-1=2024,CPI_2024,IF(NB529-1=2025,CPI_2025,CPI_2025*(1+INFL)^(NB529-1-2025)))))</f>
        <v>0.3877840186287591</v>
      </c>
      <c r="NS529" s="8">
        <f>$NB$21*ABS($NB$11)*(NG529-NF529)/NF529</f>
        <v>30868.48912844029</v>
      </c>
      <c r="NT529" s="8">
        <f>$NB$21*ABS($NB$11)*(NH529-NF529)/NF529</f>
        <v>35852.57487461628</v>
      </c>
      <c r="NU529" s="13">
        <f>(NG529-NF529)*MCD_NF_DAYS*NR529-NS529*MCD_SHARE_FREED*R_WAIT_2023</f>
        <v>97103109.0990042</v>
      </c>
      <c r="NV529" s="13">
        <f>(NH529-NF529)*MCD_NF_DAYS*NR529-NT529*MCD_SHARE_FREED*R_WAIT_2023</f>
        <v>112781564.23673294</v>
      </c>
      <c r="NW529" s="10">
        <f>IF(AND(NB529&gt;=RULE_START,NC529=1),1/(1+$NB$12)^(NB529-RULE_START+1),0)</f>
        <v>0</v>
      </c>
      <c r="NX529">
        <f>IF(AND(NB529&gt;=RULE_START,NC529=1,NM529&lt;0),NB529,9999)</f>
        <v>9999</v>
      </c>
      <c r="NY529">
        <f>IF(AND(NB529&gt;=RULE_START,NC529=1,NN529&lt;0),NB529,9999)</f>
        <v>9999</v>
      </c>
      <c r="NZ529">
        <f>IF(AND(NB529&gt;=RULE_START,NC529=1,NO529&lt;0),NB529,9999)</f>
        <v>9999</v>
      </c>
      <c r="OB529" t="n">
        <v>2065</v>
      </c>
      <c r="OC529">
        <f>IF(OB529&lt;=RULE_START+$OB$38-1,1,0)</f>
        <v>0</v>
      </c>
      <c r="OD529" s="15">
        <f>IF(OB529=2024,G_IDX_2024,IF(OB529=2025,G_IDX_2025,IF(OB529=2026,G_IDX_2026,IF(OB529=2027,G_IDX_2027,$OB$13))))</f>
        <v>0.033</v>
      </c>
      <c r="OE529" s="8">
        <f>$OB$20*(1+G_HI)^(OB529-COST_DATE)</f>
        <v>2272.3220855698514</v>
      </c>
      <c r="OF529" s="8">
        <f>OF528*(1+OD529)</f>
        <v>1756.8594680294432</v>
      </c>
      <c r="OG529" s="8">
        <f>IF(OB529&lt;RULE_START,OF529,OG528*(1+G_HI))</f>
        <v>2300.8341754759563</v>
      </c>
      <c r="OH529" s="8">
        <f>IF(OB529&lt;RULE_START,OF529,IF(OI529=1,R_NF_2024*(1+G_HI)^(OB529-2024),OH528*(1+OD529)))</f>
        <v>2388.665380119091</v>
      </c>
      <c r="OI529">
        <f>IF(AND(OB529&gt;=RULE_START,MOD(OB529-RULE_START,REBASE_YEARS)=0),1,0)</f>
        <v>0</v>
      </c>
      <c r="OJ529" s="8">
        <f>OF529*CAP_SHARE</f>
        <v>85.9057352980663</v>
      </c>
      <c r="OK529" s="8">
        <f>OG529*CAP_SHARE</f>
        <v>112.50464549955093</v>
      </c>
      <c r="OL529" s="8">
        <f>OH529*CAP_SHARE</f>
        <v>116.79935680360668</v>
      </c>
      <c r="OM529" s="8">
        <f>OF529-OJ529-OE529</f>
        <v>-601.3683528384745</v>
      </c>
      <c r="ON529" s="8">
        <f>OG529-OK529-OE529</f>
        <v>-83.99255559344601</v>
      </c>
      <c r="OO529" s="8">
        <f>OH529-OL529-OE529</f>
        <v>-0.45606225436722525</v>
      </c>
      <c r="OP529" s="8">
        <f>R_NF_2024*(1+G_HI)^(OB529-2024)</f>
        <v>2421.9374357719</v>
      </c>
      <c r="OQ529" s="10">
        <f>1-OF529/OP529</f>
        <v>0.27460575897596984</v>
      </c>
      <c r="OR529" s="10">
        <f>CPI_2023/(IF(OB529-1=2023,CPI_2023,IF(OB529-1=2024,CPI_2024,IF(OB529-1=2025,CPI_2025,CPI_2025*(1+INFL)^(OB529-1-2025)))))</f>
        <v>0.3877840186287591</v>
      </c>
      <c r="OS529" s="8">
        <f>$OB$21*ABS($OB$11)*(OG529-OF529)/OF529</f>
        <v>30868.48912844029</v>
      </c>
      <c r="OT529" s="8">
        <f>$OB$21*ABS($OB$11)*(OH529-OF529)/OF529</f>
        <v>35852.57487461628</v>
      </c>
      <c r="OU529" s="13">
        <f>(OG529-OF529)*MCD_NF_DAYS*OR529-OS529*MCD_SHARE_FREED*R_WAIT_2023</f>
        <v>97103109.0990042</v>
      </c>
      <c r="OV529" s="13">
        <f>(OH529-OF529)*MCD_NF_DAYS*OR529-OT529*MCD_SHARE_FREED*R_WAIT_2023</f>
        <v>112781564.23673294</v>
      </c>
      <c r="OW529" s="10">
        <f>IF(AND(OB529&gt;=RULE_START,OC529=1),1/(1+$OB$12)^(OB529-RULE_START+1),0)</f>
        <v>0</v>
      </c>
      <c r="OX529">
        <f>IF(AND(OB529&gt;=RULE_START,OC529=1,OM529&lt;0),OB529,9999)</f>
        <v>9999</v>
      </c>
      <c r="OY529">
        <f>IF(AND(OB529&gt;=RULE_START,OC529=1,ON529&lt;0),OB529,9999)</f>
        <v>9999</v>
      </c>
      <c r="OZ529">
        <f>IF(AND(OB529&gt;=RULE_START,OC529=1,OO529&lt;0),OB529,9999)</f>
        <v>9999</v>
      </c>
    </row>
    <row r="530">
      <c r="B530" t="n">
        <v>2066</v>
      </c>
      <c r="C530">
        <f>IF(B530&lt;=RULE_START+$B$38-1,1,0)</f>
        <v>0</v>
      </c>
      <c r="D530" s="15">
        <f>IF(B530=2024,G_IDX_2024,IF(B530=2025,G_IDX_2025,IF(B530=2026,G_IDX_2026,IF(B530=2027,G_IDX_2027,$B$13))))</f>
        <v>0.033</v>
      </c>
      <c r="E530" s="8">
        <f>$B$20*(1+G_HI)^(B530-COST_DATE)</f>
        <v>2363.600175495285</v>
      </c>
      <c r="F530" s="8">
        <f>F529*(1+D530)</f>
        <v>1814.8358304744147</v>
      </c>
      <c r="G530" s="8">
        <f>IF(B530&lt;RULE_START,F530,G529*(1+G_HI))</f>
        <v>2393.257582398015</v>
      </c>
      <c r="H530" s="8">
        <f>IF(B530&lt;RULE_START,F530,IF(I530=1,R_NF_2024*(1+G_HI)^(B530-2024),H529*(1+D530)))</f>
        <v>2519.2255026617313</v>
      </c>
      <c r="I530">
        <f>IF(AND(B530&gt;=RULE_START,MOD(B530-RULE_START,REBASE_YEARS)=0),1,0)</f>
        <v>1</v>
      </c>
      <c r="J530" s="8">
        <f>F530*CAP_SHARE</f>
        <v>88.7406245629025</v>
      </c>
      <c r="K530" s="8">
        <f>G530*CAP_SHARE</f>
        <v>117.02390322896814</v>
      </c>
      <c r="L530" s="8">
        <f>H530*CAP_SHARE</f>
        <v>123.18339806116457</v>
      </c>
      <c r="M530" s="8">
        <f>F530-J530-E530</f>
        <v>-637.5049695837727</v>
      </c>
      <c r="N530" s="8">
        <f>G530-K530-E530</f>
        <v>-87.36649632623812</v>
      </c>
      <c r="O530" s="8">
        <f>H530-L530-E530</f>
        <v>32.441929105281815</v>
      </c>
      <c r="P530" s="8">
        <f>R_NF_2024*(1+G_HI)^(B530-2024)</f>
        <v>2519.2255026617313</v>
      </c>
      <c r="Q530" s="10">
        <f>1-F530/P530</f>
        <v>0.27960564524417586</v>
      </c>
      <c r="R530" s="10">
        <f>CPI_2023/(IF(B530-1=2023,CPI_2023,IF(B530-1=2024,CPI_2024,IF(B530-1=2025,CPI_2025,CPI_2025*(1+INFL)^(B530-1-2025)))))</f>
        <v>0.3791396349518568</v>
      </c>
      <c r="S530" s="8">
        <f>$B$21*ABS($B$11)*(G530-F530)/F530</f>
        <v>31774.66357294478</v>
      </c>
      <c r="T530" s="8">
        <f>$B$21*ABS($B$11)*(H530-F530)/F530</f>
        <v>38694.507569219306</v>
      </c>
      <c r="U530" s="13">
        <f>(G530-F530)*MCD_NF_DAYS*R530-S530*MCD_SHARE_FREED*R_WAIT_2023</f>
        <v>101094555.21062714</v>
      </c>
      <c r="V530" s="13">
        <f>(H530-F530)*MCD_NF_DAYS*R530-T530*MCD_SHARE_FREED*R_WAIT_2023</f>
        <v>123110793.06391965</v>
      </c>
      <c r="W530" s="10">
        <f>IF(AND(B530&gt;=RULE_START,C530=1),1/(1+$B$12)^(B530-RULE_START+1),0)</f>
        <v>0</v>
      </c>
      <c r="X530">
        <f>IF(AND(B530&gt;=RULE_START,C530=1,M530&lt;0),B530,9999)</f>
        <v>9999</v>
      </c>
      <c r="Y530">
        <f>IF(AND(B530&gt;=RULE_START,C530=1,N530&lt;0),B530,9999)</f>
        <v>9999</v>
      </c>
      <c r="Z530">
        <f>IF(AND(B530&gt;=RULE_START,C530=1,O530&lt;0),B530,9999)</f>
        <v>9999</v>
      </c>
      <c r="AB530" t="n">
        <v>2066</v>
      </c>
      <c r="AC530">
        <f>IF(AB530&lt;=RULE_START+$AB$38-1,1,0)</f>
        <v>0</v>
      </c>
      <c r="AD530" s="15">
        <f>IF(AB530=2024,G_IDX_2024,IF(AB530=2025,G_IDX_2025,IF(AB530=2026,G_IDX_2026,IF(AB530=2027,G_IDX_2027,$AB$13))))</f>
        <v>0.033</v>
      </c>
      <c r="AE530" s="8">
        <f>$AB$20*(1+G_HI)^(AB530-COST_DATE)</f>
        <v>2363.600175495285</v>
      </c>
      <c r="AF530" s="8">
        <f>AF529*(1+AD530)</f>
        <v>1814.8358304744147</v>
      </c>
      <c r="AG530" s="8">
        <f>IF(AB530&lt;RULE_START,AF530,AG529*(1+G_HI))</f>
        <v>2393.257582398015</v>
      </c>
      <c r="AH530" s="8">
        <f>IF(AB530&lt;RULE_START,AF530,IF(AI530=1,R_NF_2024*(1+G_HI)^(AB530-2024),AH529*(1+AD530)))</f>
        <v>2519.2255026617313</v>
      </c>
      <c r="AI530">
        <f>IF(AND(AB530&gt;=RULE_START,MOD(AB530-RULE_START,REBASE_YEARS)=0),1,0)</f>
        <v>1</v>
      </c>
      <c r="AJ530" s="8">
        <f>AF530*CAP_SHARE</f>
        <v>88.7406245629025</v>
      </c>
      <c r="AK530" s="8">
        <f>AG530*CAP_SHARE</f>
        <v>117.02390322896814</v>
      </c>
      <c r="AL530" s="8">
        <f>AH530*CAP_SHARE</f>
        <v>123.18339806116457</v>
      </c>
      <c r="AM530" s="8">
        <f>AF530-AJ530-AE530</f>
        <v>-637.5049695837727</v>
      </c>
      <c r="AN530" s="8">
        <f>AG530-AK530-AE530</f>
        <v>-87.36649632623812</v>
      </c>
      <c r="AO530" s="8">
        <f>AH530-AL530-AE530</f>
        <v>32.441929105281815</v>
      </c>
      <c r="AP530" s="8">
        <f>R_NF_2024*(1+G_HI)^(AB530-2024)</f>
        <v>2519.2255026617313</v>
      </c>
      <c r="AQ530" s="10">
        <f>1-AF530/AP530</f>
        <v>0.27960564524417586</v>
      </c>
      <c r="AR530" s="10">
        <f>CPI_2023/(IF(AB530-1=2023,CPI_2023,IF(AB530-1=2024,CPI_2024,IF(AB530-1=2025,CPI_2025,CPI_2025*(1+INFL)^(AB530-1-2025)))))</f>
        <v>0.3791396349518568</v>
      </c>
      <c r="AS530" s="8">
        <f>$AB$21*ABS($AB$11)*(AG530-AF530)/AF530</f>
        <v>31774.66357294478</v>
      </c>
      <c r="AT530" s="8">
        <f>$AB$21*ABS($AB$11)*(AH530-AF530)/AF530</f>
        <v>38694.507569219306</v>
      </c>
      <c r="AU530" s="13">
        <f>(AG530-AF530)*MCD_NF_DAYS*AR530-AS530*MCD_SHARE_FREED*R_WAIT_2023</f>
        <v>101094555.21062714</v>
      </c>
      <c r="AV530" s="13">
        <f>(AH530-AF530)*MCD_NF_DAYS*AR530-AT530*MCD_SHARE_FREED*R_WAIT_2023</f>
        <v>123110793.06391965</v>
      </c>
      <c r="AW530" s="10">
        <f>IF(AND(AB530&gt;=RULE_START,AC530=1),1/(1+$AB$12)^(AB530-RULE_START+1),0)</f>
        <v>0</v>
      </c>
      <c r="AX530">
        <f>IF(AND(AB530&gt;=RULE_START,AC530=1,AM530&lt;0),AB530,9999)</f>
        <v>9999</v>
      </c>
      <c r="AY530">
        <f>IF(AND(AB530&gt;=RULE_START,AC530=1,AN530&lt;0),AB530,9999)</f>
        <v>9999</v>
      </c>
      <c r="AZ530">
        <f>IF(AND(AB530&gt;=RULE_START,AC530=1,AO530&lt;0),AB530,9999)</f>
        <v>9999</v>
      </c>
      <c r="BB530" t="n">
        <v>2066</v>
      </c>
      <c r="BC530">
        <f>IF(BB530&lt;=RULE_START+$BB$38-1,1,0)</f>
        <v>0</v>
      </c>
      <c r="BD530" s="15">
        <f>IF(BB530=2024,G_IDX_2024,IF(BB530=2025,G_IDX_2025,IF(BB530=2026,G_IDX_2026,IF(BB530=2027,G_IDX_2027,$BB$13))))</f>
        <v>0.033</v>
      </c>
      <c r="BE530" s="8">
        <f>$BB$20*(1+G_HI)^(BB530-COST_DATE)</f>
        <v>2363.600175495285</v>
      </c>
      <c r="BF530" s="8">
        <f>BF529*(1+BD530)</f>
        <v>1814.8358304744147</v>
      </c>
      <c r="BG530" s="8">
        <f>IF(BB530&lt;RULE_START,BF530,BG529*(1+G_HI))</f>
        <v>2393.257582398015</v>
      </c>
      <c r="BH530" s="8">
        <f>IF(BB530&lt;RULE_START,BF530,IF(BI530=1,R_NF_2024*(1+G_HI)^(BB530-2024),BH529*(1+BD530)))</f>
        <v>2519.2255026617313</v>
      </c>
      <c r="BI530">
        <f>IF(AND(BB530&gt;=RULE_START,MOD(BB530-RULE_START,REBASE_YEARS)=0),1,0)</f>
        <v>1</v>
      </c>
      <c r="BJ530" s="8">
        <f>BF530*CAP_SHARE</f>
        <v>88.7406245629025</v>
      </c>
      <c r="BK530" s="8">
        <f>BG530*CAP_SHARE</f>
        <v>117.02390322896814</v>
      </c>
      <c r="BL530" s="8">
        <f>BH530*CAP_SHARE</f>
        <v>123.18339806116457</v>
      </c>
      <c r="BM530" s="8">
        <f>BF530-BJ530-BE530</f>
        <v>-637.5049695837727</v>
      </c>
      <c r="BN530" s="8">
        <f>BG530-BK530-BE530</f>
        <v>-87.36649632623812</v>
      </c>
      <c r="BO530" s="8">
        <f>BH530-BL530-BE530</f>
        <v>32.441929105281815</v>
      </c>
      <c r="BP530" s="8">
        <f>R_NF_2024*(1+G_HI)^(BB530-2024)</f>
        <v>2519.2255026617313</v>
      </c>
      <c r="BQ530" s="10">
        <f>1-BF530/BP530</f>
        <v>0.27960564524417586</v>
      </c>
      <c r="BR530" s="10">
        <f>CPI_2023/(IF(BB530-1=2023,CPI_2023,IF(BB530-1=2024,CPI_2024,IF(BB530-1=2025,CPI_2025,CPI_2025*(1+INFL)^(BB530-1-2025)))))</f>
        <v>0.3791396349518568</v>
      </c>
      <c r="BS530" s="8">
        <f>$BB$21*ABS($BB$11)*(BG530-BF530)/BF530</f>
        <v>31774.66357294478</v>
      </c>
      <c r="BT530" s="8">
        <f>$BB$21*ABS($BB$11)*(BH530-BF530)/BF530</f>
        <v>38694.507569219306</v>
      </c>
      <c r="BU530" s="13">
        <f>(BG530-BF530)*MCD_NF_DAYS*BR530-BS530*MCD_SHARE_FREED*R_WAIT_2023</f>
        <v>101094555.21062714</v>
      </c>
      <c r="BV530" s="13">
        <f>(BH530-BF530)*MCD_NF_DAYS*BR530-BT530*MCD_SHARE_FREED*R_WAIT_2023</f>
        <v>123110793.06391965</v>
      </c>
      <c r="BW530" s="10">
        <f>IF(AND(BB530&gt;=RULE_START,BC530=1),1/(1+$BB$12)^(BB530-RULE_START+1),0)</f>
        <v>0</v>
      </c>
      <c r="BX530">
        <f>IF(AND(BB530&gt;=RULE_START,BC530=1,BM530&lt;0),BB530,9999)</f>
        <v>9999</v>
      </c>
      <c r="BY530">
        <f>IF(AND(BB530&gt;=RULE_START,BC530=1,BN530&lt;0),BB530,9999)</f>
        <v>9999</v>
      </c>
      <c r="BZ530">
        <f>IF(AND(BB530&gt;=RULE_START,BC530=1,BO530&lt;0),BB530,9999)</f>
        <v>9999</v>
      </c>
      <c r="CB530" t="n">
        <v>2066</v>
      </c>
      <c r="CC530">
        <f>IF(CB530&lt;=RULE_START+$CB$38-1,1,0)</f>
        <v>1</v>
      </c>
      <c r="CD530" s="15">
        <f>IF(CB530=2024,G_IDX_2024,IF(CB530=2025,G_IDX_2025,IF(CB530=2026,G_IDX_2026,IF(CB530=2027,G_IDX_2027,$CB$13))))</f>
        <v>0.033</v>
      </c>
      <c r="CE530" s="8">
        <f>$CB$20*(1+G_HI)^(CB530-COST_DATE)</f>
        <v>2363.600175495285</v>
      </c>
      <c r="CF530" s="8">
        <f>CF529*(1+CD530)</f>
        <v>1814.8358304744147</v>
      </c>
      <c r="CG530" s="8">
        <f>IF(CB530&lt;RULE_START,CF530,CG529*(1+G_HI))</f>
        <v>2393.257582398015</v>
      </c>
      <c r="CH530" s="8">
        <f>IF(CB530&lt;RULE_START,CF530,IF(CI530=1,R_NF_2024*(1+G_HI)^(CB530-2024),CH529*(1+CD530)))</f>
        <v>2519.2255026617313</v>
      </c>
      <c r="CI530">
        <f>IF(AND(CB530&gt;=RULE_START,MOD(CB530-RULE_START,REBASE_YEARS)=0),1,0)</f>
        <v>1</v>
      </c>
      <c r="CJ530" s="8">
        <f>CF530*CAP_SHARE</f>
        <v>88.7406245629025</v>
      </c>
      <c r="CK530" s="8">
        <f>CG530*CAP_SHARE</f>
        <v>117.02390322896814</v>
      </c>
      <c r="CL530" s="8">
        <f>CH530*CAP_SHARE</f>
        <v>123.18339806116457</v>
      </c>
      <c r="CM530" s="8">
        <f>CF530-CJ530-CE530</f>
        <v>-637.5049695837727</v>
      </c>
      <c r="CN530" s="8">
        <f>CG530-CK530-CE530</f>
        <v>-87.36649632623812</v>
      </c>
      <c r="CO530" s="8">
        <f>CH530-CL530-CE530</f>
        <v>32.441929105281815</v>
      </c>
      <c r="CP530" s="8">
        <f>R_NF_2024*(1+G_HI)^(CB530-2024)</f>
        <v>2519.2255026617313</v>
      </c>
      <c r="CQ530" s="10">
        <f>1-CF530/CP530</f>
        <v>0.27960564524417586</v>
      </c>
      <c r="CR530" s="10">
        <f>CPI_2023/(IF(CB530-1=2023,CPI_2023,IF(CB530-1=2024,CPI_2024,IF(CB530-1=2025,CPI_2025,CPI_2025*(1+INFL)^(CB530-1-2025)))))</f>
        <v>0.3791396349518568</v>
      </c>
      <c r="CS530" s="8">
        <f>$CB$21*ABS($CB$11)*(CG530-CF530)/CF530</f>
        <v>31774.66357294478</v>
      </c>
      <c r="CT530" s="8">
        <f>$CB$21*ABS($CB$11)*(CH530-CF530)/CF530</f>
        <v>38694.507569219306</v>
      </c>
      <c r="CU530" s="13">
        <f>(CG530-CF530)*MCD_NF_DAYS*CR530-CS530*MCD_SHARE_FREED*R_WAIT_2023</f>
        <v>101094555.21062714</v>
      </c>
      <c r="CV530" s="13">
        <f>(CH530-CF530)*MCD_NF_DAYS*CR530-CT530*MCD_SHARE_FREED*R_WAIT_2023</f>
        <v>123110793.06391965</v>
      </c>
      <c r="CW530" s="10">
        <f>IF(AND(CB530&gt;=RULE_START,CC530=1),1/(1+$CB$12)^(CB530-RULE_START+1),0)</f>
        <v>0.45289041518523604</v>
      </c>
      <c r="CX530">
        <f>IF(AND(CB530&gt;=RULE_START,CC530=1,CM530&lt;0),CB530,9999)</f>
        <v>2066</v>
      </c>
      <c r="CY530">
        <f>IF(AND(CB530&gt;=RULE_START,CC530=1,CN530&lt;0),CB530,9999)</f>
        <v>2066</v>
      </c>
      <c r="CZ530">
        <f>IF(AND(CB530&gt;=RULE_START,CC530=1,CO530&lt;0),CB530,9999)</f>
        <v>9999</v>
      </c>
      <c r="DB530" t="n">
        <v>2066</v>
      </c>
      <c r="DC530">
        <f>IF(DB530&lt;=RULE_START+$DB$38-1,1,0)</f>
        <v>0</v>
      </c>
      <c r="DD530" s="15">
        <f>IF(DB530=2024,G_IDX_2024,IF(DB530=2025,G_IDX_2025,IF(DB530=2026,G_IDX_2026,IF(DB530=2027,G_IDX_2027,$DB$13))))</f>
        <v>0.033</v>
      </c>
      <c r="DE530" s="8">
        <f>$DB$20*(1+G_HI)^(DB530-COST_DATE)</f>
        <v>2363.600175495285</v>
      </c>
      <c r="DF530" s="8">
        <f>DF529*(1+DD530)</f>
        <v>1814.8358304744147</v>
      </c>
      <c r="DG530" s="8">
        <f>IF(DB530&lt;RULE_START,DF530,DG529*(1+G_HI))</f>
        <v>2393.257582398015</v>
      </c>
      <c r="DH530" s="8">
        <f>IF(DB530&lt;RULE_START,DF530,IF(DI530=1,R_NF_2024*(1+G_HI)^(DB530-2024),DH529*(1+DD530)))</f>
        <v>2519.2255026617313</v>
      </c>
      <c r="DI530">
        <f>IF(AND(DB530&gt;=RULE_START,MOD(DB530-RULE_START,REBASE_YEARS)=0),1,0)</f>
        <v>1</v>
      </c>
      <c r="DJ530" s="8">
        <f>DF530*CAP_SHARE</f>
        <v>88.7406245629025</v>
      </c>
      <c r="DK530" s="8">
        <f>DG530*CAP_SHARE</f>
        <v>117.02390322896814</v>
      </c>
      <c r="DL530" s="8">
        <f>DH530*CAP_SHARE</f>
        <v>123.18339806116457</v>
      </c>
      <c r="DM530" s="8">
        <f>DF530-DJ530-DE530</f>
        <v>-637.5049695837727</v>
      </c>
      <c r="DN530" s="8">
        <f>DG530-DK530-DE530</f>
        <v>-87.36649632623812</v>
      </c>
      <c r="DO530" s="8">
        <f>DH530-DL530-DE530</f>
        <v>32.441929105281815</v>
      </c>
      <c r="DP530" s="8">
        <f>R_NF_2024*(1+G_HI)^(DB530-2024)</f>
        <v>2519.2255026617313</v>
      </c>
      <c r="DQ530" s="10">
        <f>1-DF530/DP530</f>
        <v>0.27960564524417586</v>
      </c>
      <c r="DR530" s="10">
        <f>CPI_2023/(IF(DB530-1=2023,CPI_2023,IF(DB530-1=2024,CPI_2024,IF(DB530-1=2025,CPI_2025,CPI_2025*(1+INFL)^(DB530-1-2025)))))</f>
        <v>0.3791396349518568</v>
      </c>
      <c r="DS530" s="8">
        <f>$DB$21*ABS($DB$11)*(DG530-DF530)/DF530</f>
        <v>31774.66357294478</v>
      </c>
      <c r="DT530" s="8">
        <f>$DB$21*ABS($DB$11)*(DH530-DF530)/DF530</f>
        <v>38694.507569219306</v>
      </c>
      <c r="DU530" s="13">
        <f>(DG530-DF530)*MCD_NF_DAYS*DR530-DS530*MCD_SHARE_FREED*R_WAIT_2023</f>
        <v>101094555.21062714</v>
      </c>
      <c r="DV530" s="13">
        <f>(DH530-DF530)*MCD_NF_DAYS*DR530-DT530*MCD_SHARE_FREED*R_WAIT_2023</f>
        <v>123110793.06391965</v>
      </c>
      <c r="DW530" s="10">
        <f>IF(AND(DB530&gt;=RULE_START,DC530=1),1/(1+$DB$12)^(DB530-RULE_START+1),0)</f>
        <v>0</v>
      </c>
      <c r="DX530">
        <f>IF(AND(DB530&gt;=RULE_START,DC530=1,DM530&lt;0),DB530,9999)</f>
        <v>9999</v>
      </c>
      <c r="DY530">
        <f>IF(AND(DB530&gt;=RULE_START,DC530=1,DN530&lt;0),DB530,9999)</f>
        <v>9999</v>
      </c>
      <c r="DZ530">
        <f>IF(AND(DB530&gt;=RULE_START,DC530=1,DO530&lt;0),DB530,9999)</f>
        <v>9999</v>
      </c>
      <c r="EB530" t="n">
        <v>2066</v>
      </c>
      <c r="EC530">
        <f>IF(EB530&lt;=RULE_START+$EB$38-1,1,0)</f>
        <v>0</v>
      </c>
      <c r="ED530" s="15">
        <f>IF(EB530=2024,G_IDX_2024,IF(EB530=2025,G_IDX_2025,IF(EB530=2026,G_IDX_2026,IF(EB530=2027,G_IDX_2027,$EB$13))))</f>
        <v>0.033</v>
      </c>
      <c r="EE530" s="8">
        <f>$EB$20*(1+G_HI)^(EB530-COST_DATE)</f>
        <v>2363.600175495285</v>
      </c>
      <c r="EF530" s="8">
        <f>EF529*(1+ED530)</f>
        <v>1814.8358304744147</v>
      </c>
      <c r="EG530" s="8">
        <f>IF(EB530&lt;RULE_START,EF530,EG529*(1+G_HI))</f>
        <v>2393.257582398015</v>
      </c>
      <c r="EH530" s="8">
        <f>IF(EB530&lt;RULE_START,EF530,IF(EI530=1,R_NF_2024*(1+G_HI)^(EB530-2024),EH529*(1+ED530)))</f>
        <v>2519.2255026617313</v>
      </c>
      <c r="EI530">
        <f>IF(AND(EB530&gt;=RULE_START,MOD(EB530-RULE_START,REBASE_YEARS)=0),1,0)</f>
        <v>1</v>
      </c>
      <c r="EJ530" s="8">
        <f>EF530*CAP_SHARE</f>
        <v>88.7406245629025</v>
      </c>
      <c r="EK530" s="8">
        <f>EG530*CAP_SHARE</f>
        <v>117.02390322896814</v>
      </c>
      <c r="EL530" s="8">
        <f>EH530*CAP_SHARE</f>
        <v>123.18339806116457</v>
      </c>
      <c r="EM530" s="8">
        <f>EF530-EJ530-EE530</f>
        <v>-637.5049695837727</v>
      </c>
      <c r="EN530" s="8">
        <f>EG530-EK530-EE530</f>
        <v>-87.36649632623812</v>
      </c>
      <c r="EO530" s="8">
        <f>EH530-EL530-EE530</f>
        <v>32.441929105281815</v>
      </c>
      <c r="EP530" s="8">
        <f>R_NF_2024*(1+G_HI)^(EB530-2024)</f>
        <v>2519.2255026617313</v>
      </c>
      <c r="EQ530" s="10">
        <f>1-EF530/EP530</f>
        <v>0.27960564524417586</v>
      </c>
      <c r="ER530" s="10">
        <f>CPI_2023/(IF(EB530-1=2023,CPI_2023,IF(EB530-1=2024,CPI_2024,IF(EB530-1=2025,CPI_2025,CPI_2025*(1+INFL)^(EB530-1-2025)))))</f>
        <v>0.3791396349518568</v>
      </c>
      <c r="ES530" s="8">
        <f>$EB$21*ABS($EB$11)*(EG530-EF530)/EF530</f>
        <v>31774.66357294478</v>
      </c>
      <c r="ET530" s="8">
        <f>$EB$21*ABS($EB$11)*(EH530-EF530)/EF530</f>
        <v>38694.507569219306</v>
      </c>
      <c r="EU530" s="13">
        <f>(EG530-EF530)*MCD_NF_DAYS*ER530-ES530*MCD_SHARE_FREED*R_WAIT_2023</f>
        <v>101094555.21062714</v>
      </c>
      <c r="EV530" s="13">
        <f>(EH530-EF530)*MCD_NF_DAYS*ER530-ET530*MCD_SHARE_FREED*R_WAIT_2023</f>
        <v>123110793.06391965</v>
      </c>
      <c r="EW530" s="10">
        <f>IF(AND(EB530&gt;=RULE_START,EC530=1),1/(1+$EB$12)^(EB530-RULE_START+1),0)</f>
        <v>0</v>
      </c>
      <c r="EX530">
        <f>IF(AND(EB530&gt;=RULE_START,EC530=1,EM530&lt;0),EB530,9999)</f>
        <v>9999</v>
      </c>
      <c r="EY530">
        <f>IF(AND(EB530&gt;=RULE_START,EC530=1,EN530&lt;0),EB530,9999)</f>
        <v>9999</v>
      </c>
      <c r="EZ530">
        <f>IF(AND(EB530&gt;=RULE_START,EC530=1,EO530&lt;0),EB530,9999)</f>
        <v>9999</v>
      </c>
      <c r="FB530" t="n">
        <v>2066</v>
      </c>
      <c r="FC530">
        <f>IF(FB530&lt;=RULE_START+$FB$38-1,1,0)</f>
        <v>0</v>
      </c>
      <c r="FD530" s="15">
        <f>IF(FB530=2024,G_IDX_2024,IF(FB530=2025,G_IDX_2025,IF(FB530=2026,G_IDX_2026,IF(FB530=2027,G_IDX_2027,$FB$13))))</f>
        <v>0.033</v>
      </c>
      <c r="FE530" s="8">
        <f>$FB$20*(1+G_HI)^(FB530-COST_DATE)</f>
        <v>2432.4573276806273</v>
      </c>
      <c r="FF530" s="8">
        <f>FF529*(1+FD530)</f>
        <v>1814.8358304744147</v>
      </c>
      <c r="FG530" s="8">
        <f>IF(FB530&lt;RULE_START,FF530,FG529*(1+G_HI))</f>
        <v>2393.257582398015</v>
      </c>
      <c r="FH530" s="8">
        <f>IF(FB530&lt;RULE_START,FF530,IF(FI530=1,R_NF_2024*(1+G_HI)^(FB530-2024),FH529*(1+FD530)))</f>
        <v>2519.2255026617313</v>
      </c>
      <c r="FI530">
        <f>IF(AND(FB530&gt;=RULE_START,MOD(FB530-RULE_START,REBASE_YEARS)=0),1,0)</f>
        <v>1</v>
      </c>
      <c r="FJ530" s="8">
        <f>FF530*CAP_SHARE</f>
        <v>88.7406245629025</v>
      </c>
      <c r="FK530" s="8">
        <f>FG530*CAP_SHARE</f>
        <v>117.02390322896814</v>
      </c>
      <c r="FL530" s="8">
        <f>FH530*CAP_SHARE</f>
        <v>123.18339806116457</v>
      </c>
      <c r="FM530" s="8">
        <f>FF530-FJ530-FE530</f>
        <v>-706.362121769115</v>
      </c>
      <c r="FN530" s="8">
        <f>FG530-FK530-FE530</f>
        <v>-156.22364851158045</v>
      </c>
      <c r="FO530" s="8">
        <f>FH530-FL530-FE530</f>
        <v>-36.415223080060514</v>
      </c>
      <c r="FP530" s="8">
        <f>R_NF_2024*(1+G_HI)^(FB530-2024)</f>
        <v>2519.2255026617313</v>
      </c>
      <c r="FQ530" s="10">
        <f>1-FF530/FP530</f>
        <v>0.27960564524417586</v>
      </c>
      <c r="FR530" s="10">
        <f>CPI_2023/(IF(FB530-1=2023,CPI_2023,IF(FB530-1=2024,CPI_2024,IF(FB530-1=2025,CPI_2025,CPI_2025*(1+INFL)^(FB530-1-2025)))))</f>
        <v>0.3791396349518568</v>
      </c>
      <c r="FS530" s="8">
        <f>$FB$21*ABS($FB$11)*(FG530-FF530)/FF530</f>
        <v>31774.66357294478</v>
      </c>
      <c r="FT530" s="8">
        <f>$FB$21*ABS($FB$11)*(FH530-FF530)/FF530</f>
        <v>38694.507569219306</v>
      </c>
      <c r="FU530" s="13">
        <f>(FG530-FF530)*MCD_NF_DAYS*FR530-FS530*MCD_SHARE_FREED*R_WAIT_2023</f>
        <v>101094555.21062714</v>
      </c>
      <c r="FV530" s="13">
        <f>(FH530-FF530)*MCD_NF_DAYS*FR530-FT530*MCD_SHARE_FREED*R_WAIT_2023</f>
        <v>123110793.06391965</v>
      </c>
      <c r="FW530" s="10">
        <f>IF(AND(FB530&gt;=RULE_START,FC530=1),1/(1+$FB$12)^(FB530-RULE_START+1),0)</f>
        <v>0</v>
      </c>
      <c r="FX530">
        <f>IF(AND(FB530&gt;=RULE_START,FC530=1,FM530&lt;0),FB530,9999)</f>
        <v>9999</v>
      </c>
      <c r="FY530">
        <f>IF(AND(FB530&gt;=RULE_START,FC530=1,FN530&lt;0),FB530,9999)</f>
        <v>9999</v>
      </c>
      <c r="FZ530">
        <f>IF(AND(FB530&gt;=RULE_START,FC530=1,FO530&lt;0),FB530,9999)</f>
        <v>9999</v>
      </c>
      <c r="GB530" t="n">
        <v>2066</v>
      </c>
      <c r="GC530">
        <f>IF(GB530&lt;=RULE_START+$GB$38-1,1,0)</f>
        <v>0</v>
      </c>
      <c r="GD530" s="15">
        <f>IF(GB530=2024,G_IDX_2024,IF(GB530=2025,G_IDX_2025,IF(GB530=2026,G_IDX_2026,IF(GB530=2027,G_IDX_2027,$GB$13))))</f>
        <v>0.033</v>
      </c>
      <c r="GE530" s="8">
        <f>$GB$20*(1+G_HI)^(GB530-COST_DATE)</f>
        <v>2363.600175495285</v>
      </c>
      <c r="GF530" s="8">
        <f>GF529*(1+GD530)</f>
        <v>1814.8358304744147</v>
      </c>
      <c r="GG530" s="8">
        <f>IF(GB530&lt;RULE_START,GF530,GG529*(1+G_HI))</f>
        <v>2393.257582398015</v>
      </c>
      <c r="GH530" s="8">
        <f>IF(GB530&lt;RULE_START,GF530,IF(GI530=1,R_NF_2024*(1+G_HI)^(GB530-2024),GH529*(1+GD530)))</f>
        <v>2519.2255026617313</v>
      </c>
      <c r="GI530">
        <f>IF(AND(GB530&gt;=RULE_START,MOD(GB530-RULE_START,REBASE_YEARS)=0),1,0)</f>
        <v>1</v>
      </c>
      <c r="GJ530" s="8">
        <f>GF530*CAP_SHARE</f>
        <v>88.7406245629025</v>
      </c>
      <c r="GK530" s="8">
        <f>GG530*CAP_SHARE</f>
        <v>117.02390322896814</v>
      </c>
      <c r="GL530" s="8">
        <f>GH530*CAP_SHARE</f>
        <v>123.18339806116457</v>
      </c>
      <c r="GM530" s="8">
        <f>GF530-GJ530-GE530</f>
        <v>-637.5049695837727</v>
      </c>
      <c r="GN530" s="8">
        <f>GG530-GK530-GE530</f>
        <v>-87.36649632623812</v>
      </c>
      <c r="GO530" s="8">
        <f>GH530-GL530-GE530</f>
        <v>32.441929105281815</v>
      </c>
      <c r="GP530" s="8">
        <f>R_NF_2024*(1+G_HI)^(GB530-2024)</f>
        <v>2519.2255026617313</v>
      </c>
      <c r="GQ530" s="10">
        <f>1-GF530/GP530</f>
        <v>0.27960564524417586</v>
      </c>
      <c r="GR530" s="10">
        <f>CPI_2023/(IF(GB530-1=2023,CPI_2023,IF(GB530-1=2024,CPI_2024,IF(GB530-1=2025,CPI_2025,CPI_2025*(1+INFL)^(GB530-1-2025)))))</f>
        <v>0.3791396349518568</v>
      </c>
      <c r="GS530" s="8">
        <f>$GB$21*ABS($GB$11)*(GG530-GF530)/GF530</f>
        <v>23985.104325281976</v>
      </c>
      <c r="GT530" s="8">
        <f>$GB$21*ABS($GB$11)*(GH530-GF530)/GF530</f>
        <v>29208.54846291376</v>
      </c>
      <c r="GU530" s="13">
        <f>(GG530-GF530)*MCD_NF_DAYS*GR530-GS530*MCD_SHARE_FREED*R_WAIT_2023</f>
        <v>104636613.70637225</v>
      </c>
      <c r="GV530" s="13">
        <f>(GH530-GF530)*MCD_NF_DAYS*GR530-GT530*MCD_SHARE_FREED*R_WAIT_2023</f>
        <v>127424236.35056792</v>
      </c>
      <c r="GW530" s="10">
        <f>IF(AND(GB530&gt;=RULE_START,GC530=1),1/(1+$GB$12)^(GB530-RULE_START+1),0)</f>
        <v>0</v>
      </c>
      <c r="GX530">
        <f>IF(AND(GB530&gt;=RULE_START,GC530=1,GM530&lt;0),GB530,9999)</f>
        <v>9999</v>
      </c>
      <c r="GY530">
        <f>IF(AND(GB530&gt;=RULE_START,GC530=1,GN530&lt;0),GB530,9999)</f>
        <v>9999</v>
      </c>
      <c r="GZ530">
        <f>IF(AND(GB530&gt;=RULE_START,GC530=1,GO530&lt;0),GB530,9999)</f>
        <v>9999</v>
      </c>
      <c r="HB530" t="n">
        <v>2066</v>
      </c>
      <c r="HC530">
        <f>IF(HB530&lt;=RULE_START+$HB$38-1,1,0)</f>
        <v>0</v>
      </c>
      <c r="HD530" s="15">
        <f>IF(HB530=2024,G_IDX_2024,IF(HB530=2025,G_IDX_2025,IF(HB530=2026,G_IDX_2026,IF(HB530=2027,G_IDX_2027,$HB$13))))</f>
        <v>0.033</v>
      </c>
      <c r="HE530" s="8">
        <f>$HB$20*(1+G_HI)^(HB530-COST_DATE)</f>
        <v>2363.600175495285</v>
      </c>
      <c r="HF530" s="8">
        <f>HF529*(1+HD530)</f>
        <v>1814.8358304744147</v>
      </c>
      <c r="HG530" s="8">
        <f>IF(HB530&lt;RULE_START,HF530,HG529*(1+G_HI))</f>
        <v>2393.257582398015</v>
      </c>
      <c r="HH530" s="8">
        <f>IF(HB530&lt;RULE_START,HF530,IF(HI530=1,R_NF_2024*(1+G_HI)^(HB530-2024),HH529*(1+HD530)))</f>
        <v>2519.2255026617313</v>
      </c>
      <c r="HI530">
        <f>IF(AND(HB530&gt;=RULE_START,MOD(HB530-RULE_START,REBASE_YEARS)=0),1,0)</f>
        <v>1</v>
      </c>
      <c r="HJ530" s="8">
        <f>HF530*CAP_SHARE</f>
        <v>88.7406245629025</v>
      </c>
      <c r="HK530" s="8">
        <f>HG530*CAP_SHARE</f>
        <v>117.02390322896814</v>
      </c>
      <c r="HL530" s="8">
        <f>HH530*CAP_SHARE</f>
        <v>123.18339806116457</v>
      </c>
      <c r="HM530" s="8">
        <f>HF530-HJ530-HE530</f>
        <v>-637.5049695837727</v>
      </c>
      <c r="HN530" s="8">
        <f>HG530-HK530-HE530</f>
        <v>-87.36649632623812</v>
      </c>
      <c r="HO530" s="8">
        <f>HH530-HL530-HE530</f>
        <v>32.441929105281815</v>
      </c>
      <c r="HP530" s="8">
        <f>R_NF_2024*(1+G_HI)^(HB530-2024)</f>
        <v>2519.2255026617313</v>
      </c>
      <c r="HQ530" s="10">
        <f>1-HF530/HP530</f>
        <v>0.27960564524417586</v>
      </c>
      <c r="HR530" s="10">
        <f>CPI_2023/(IF(HB530-1=2023,CPI_2023,IF(HB530-1=2024,CPI_2024,IF(HB530-1=2025,CPI_2025,CPI_2025*(1+INFL)^(HB530-1-2025)))))</f>
        <v>0.3791396349518568</v>
      </c>
      <c r="HS530" s="8">
        <f>$HB$21*ABS($HB$11)*(HG530-HF530)/HF530</f>
        <v>31774.66357294478</v>
      </c>
      <c r="HT530" s="8">
        <f>$HB$21*ABS($HB$11)*(HH530-HF530)/HF530</f>
        <v>38694.507569219306</v>
      </c>
      <c r="HU530" s="13">
        <f>(HG530-HF530)*MCD_NF_DAYS*HR530-HS530*MCD_SHARE_FREED*R_WAIT_2023</f>
        <v>101094555.21062714</v>
      </c>
      <c r="HV530" s="13">
        <f>(HH530-HF530)*MCD_NF_DAYS*HR530-HT530*MCD_SHARE_FREED*R_WAIT_2023</f>
        <v>123110793.06391965</v>
      </c>
      <c r="HW530" s="10">
        <f>IF(AND(HB530&gt;=RULE_START,HC530=1),1/(1+$HB$12)^(HB530-RULE_START+1),0)</f>
        <v>0</v>
      </c>
      <c r="HX530">
        <f>IF(AND(HB530&gt;=RULE_START,HC530=1,HM530&lt;0),HB530,9999)</f>
        <v>9999</v>
      </c>
      <c r="HY530">
        <f>IF(AND(HB530&gt;=RULE_START,HC530=1,HN530&lt;0),HB530,9999)</f>
        <v>9999</v>
      </c>
      <c r="HZ530">
        <f>IF(AND(HB530&gt;=RULE_START,HC530=1,HO530&lt;0),HB530,9999)</f>
        <v>9999</v>
      </c>
      <c r="IB530" t="n">
        <v>2066</v>
      </c>
      <c r="IC530">
        <f>IF(IB530&lt;=RULE_START+$IB$38-1,1,0)</f>
        <v>0</v>
      </c>
      <c r="ID530" s="15">
        <f>IF(IB530=2024,G_IDX_2024,IF(IB530=2025,G_IDX_2025,IF(IB530=2026,G_IDX_2026,IF(IB530=2027,G_IDX_2027,$IB$13))))</f>
        <v>0.033</v>
      </c>
      <c r="IE530" s="8">
        <f>$IB$20*(1+G_HI)^(IB530-COST_DATE)</f>
        <v>2363.600175495285</v>
      </c>
      <c r="IF530" s="8">
        <f>IF529*(1+ID530)</f>
        <v>1814.8358304744147</v>
      </c>
      <c r="IG530" s="8">
        <f>IF(IB530&lt;RULE_START,IF530,IG529*(1+G_HI))</f>
        <v>2393.257582398015</v>
      </c>
      <c r="IH530" s="8">
        <f>IF(IB530&lt;RULE_START,IF530,IF(II530=1,R_NF_2024*(1+G_HI)^(IB530-2024),IH529*(1+ID530)))</f>
        <v>2519.2255026617313</v>
      </c>
      <c r="II530">
        <f>IF(AND(IB530&gt;=RULE_START,MOD(IB530-RULE_START,REBASE_YEARS)=0),1,0)</f>
        <v>1</v>
      </c>
      <c r="IJ530" s="8">
        <f>IF530*CAP_SHARE</f>
        <v>88.7406245629025</v>
      </c>
      <c r="IK530" s="8">
        <f>IG530*CAP_SHARE</f>
        <v>117.02390322896814</v>
      </c>
      <c r="IL530" s="8">
        <f>IH530*CAP_SHARE</f>
        <v>123.18339806116457</v>
      </c>
      <c r="IM530" s="8">
        <f>IF530-IJ530-IE530</f>
        <v>-637.5049695837727</v>
      </c>
      <c r="IN530" s="8">
        <f>IG530-IK530-IE530</f>
        <v>-87.36649632623812</v>
      </c>
      <c r="IO530" s="8">
        <f>IH530-IL530-IE530</f>
        <v>32.441929105281815</v>
      </c>
      <c r="IP530" s="8">
        <f>R_NF_2024*(1+G_HI)^(IB530-2024)</f>
        <v>2519.2255026617313</v>
      </c>
      <c r="IQ530" s="10">
        <f>1-IF530/IP530</f>
        <v>0.27960564524417586</v>
      </c>
      <c r="IR530" s="10">
        <f>CPI_2023/(IF(IB530-1=2023,CPI_2023,IF(IB530-1=2024,CPI_2024,IF(IB530-1=2025,CPI_2025,CPI_2025*(1+INFL)^(IB530-1-2025)))))</f>
        <v>0.3791396349518568</v>
      </c>
      <c r="IS530" s="8">
        <f>$IB$21*ABS($IB$11)*(IG530-IF530)/IF530</f>
        <v>31774.66357294478</v>
      </c>
      <c r="IT530" s="8">
        <f>$IB$21*ABS($IB$11)*(IH530-IF530)/IF530</f>
        <v>38694.507569219306</v>
      </c>
      <c r="IU530" s="13">
        <f>(IG530-IF530)*MCD_NF_DAYS*IR530-IS530*MCD_SHARE_FREED*R_WAIT_2023</f>
        <v>101094555.21062714</v>
      </c>
      <c r="IV530" s="13">
        <f>(IH530-IF530)*MCD_NF_DAYS*IR530-IT530*MCD_SHARE_FREED*R_WAIT_2023</f>
        <v>123110793.06391965</v>
      </c>
      <c r="IW530" s="10">
        <f>IF(AND(IB530&gt;=RULE_START,IC530=1),1/(1+$IB$12)^(IB530-RULE_START+1),0)</f>
        <v>0</v>
      </c>
      <c r="IX530">
        <f>IF(AND(IB530&gt;=RULE_START,IC530=1,IM530&lt;0),IB530,9999)</f>
        <v>9999</v>
      </c>
      <c r="IY530">
        <f>IF(AND(IB530&gt;=RULE_START,IC530=1,IN530&lt;0),IB530,9999)</f>
        <v>9999</v>
      </c>
      <c r="IZ530">
        <f>IF(AND(IB530&gt;=RULE_START,IC530=1,IO530&lt;0),IB530,9999)</f>
        <v>9999</v>
      </c>
      <c r="JB530" t="n">
        <v>2066</v>
      </c>
      <c r="JC530">
        <f>IF(JB530&lt;=RULE_START+$JB$38-1,1,0)</f>
        <v>0</v>
      </c>
      <c r="JD530" s="15">
        <f>IF(JB530=2024,G_IDX_2024,IF(JB530=2025,G_IDX_2025,IF(JB530=2026,G_IDX_2026,IF(JB530=2027,G_IDX_2027,$JB$13))))</f>
        <v>0.03</v>
      </c>
      <c r="JE530" s="8">
        <f>$JB$20*(1+G_HI)^(JB530-COST_DATE)</f>
        <v>2363.600175495285</v>
      </c>
      <c r="JF530" s="8">
        <f>JF529*(1+JD530)</f>
        <v>1620.229626826829</v>
      </c>
      <c r="JG530" s="8">
        <f>IF(JB530&lt;RULE_START,JF530,JG529*(1+G_HI))</f>
        <v>2393.257582398015</v>
      </c>
      <c r="JH530" s="8">
        <f>IF(JB530&lt;RULE_START,JF530,IF(JI530=1,R_NF_2024*(1+G_HI)^(JB530-2024),JH529*(1+JD530)))</f>
        <v>2519.2255026617313</v>
      </c>
      <c r="JI530">
        <f>IF(AND(JB530&gt;=RULE_START,MOD(JB530-RULE_START,REBASE_YEARS)=0),1,0)</f>
        <v>1</v>
      </c>
      <c r="JJ530" s="8">
        <f>JF530*CAP_SHARE</f>
        <v>79.22490101065824</v>
      </c>
      <c r="JK530" s="8">
        <f>JG530*CAP_SHARE</f>
        <v>117.02390322896814</v>
      </c>
      <c r="JL530" s="8">
        <f>JH530*CAP_SHARE</f>
        <v>123.18339806116457</v>
      </c>
      <c r="JM530" s="8">
        <f>JF530-JJ530-JE530</f>
        <v>-822.5954496791142</v>
      </c>
      <c r="JN530" s="8">
        <f>JG530-JK530-JE530</f>
        <v>-87.36649632623812</v>
      </c>
      <c r="JO530" s="8">
        <f>JH530-JL530-JE530</f>
        <v>32.441929105281815</v>
      </c>
      <c r="JP530" s="8">
        <f>R_NF_2024*(1+G_HI)^(JB530-2024)</f>
        <v>2519.2255026617313</v>
      </c>
      <c r="JQ530" s="10">
        <f>1-JF530/JP530</f>
        <v>0.35685407077891707</v>
      </c>
      <c r="JR530" s="10">
        <f>CPI_2023/(IF(JB530-1=2023,CPI_2023,IF(JB530-1=2024,CPI_2024,IF(JB530-1=2025,CPI_2025,CPI_2025*(1+INFL)^(JB530-1-2025)))))</f>
        <v>0.3791396349518568</v>
      </c>
      <c r="JS530" s="8">
        <f>$JB$21*ABS($JB$11)*(JG530-JF530)/JF530</f>
        <v>47565.527797593626</v>
      </c>
      <c r="JT530" s="8">
        <f>$JB$21*ABS($JB$11)*(JH530-JF530)/JF530</f>
        <v>55316.516063576324</v>
      </c>
      <c r="JU530" s="13">
        <f>(JG530-JF530)*MCD_NF_DAYS*JR530-JS530*MCD_SHARE_FREED*R_WAIT_2023</f>
        <v>132787868.03829856</v>
      </c>
      <c r="JV530" s="13">
        <f>(JH530-JF530)*MCD_NF_DAYS*JR530-JT530*MCD_SHARE_FREED*R_WAIT_2023</f>
        <v>154426169.02403426</v>
      </c>
      <c r="JW530" s="10">
        <f>IF(AND(JB530&gt;=RULE_START,JC530=1),1/(1+$JB$12)^(JB530-RULE_START+1),0)</f>
        <v>0</v>
      </c>
      <c r="JX530">
        <f>IF(AND(JB530&gt;=RULE_START,JC530=1,JM530&lt;0),JB530,9999)</f>
        <v>9999</v>
      </c>
      <c r="JY530">
        <f>IF(AND(JB530&gt;=RULE_START,JC530=1,JN530&lt;0),JB530,9999)</f>
        <v>9999</v>
      </c>
      <c r="JZ530">
        <f>IF(AND(JB530&gt;=RULE_START,JC530=1,JO530&lt;0),JB530,9999)</f>
        <v>9999</v>
      </c>
      <c r="KB530" t="n">
        <v>2066</v>
      </c>
      <c r="KC530">
        <f>IF(KB530&lt;=RULE_START+$KB$38-1,1,0)</f>
        <v>0</v>
      </c>
      <c r="KD530" s="15">
        <f>IF(KB530=2024,G_IDX_2024,IF(KB530=2025,G_IDX_2025,IF(KB530=2026,G_IDX_2026,IF(KB530=2027,G_IDX_2027,$KB$13))))</f>
        <v>0.033</v>
      </c>
      <c r="KE530" s="8">
        <f>$KB$20*(1+G_HI)^(KB530-COST_DATE)</f>
        <v>2363.600175495285</v>
      </c>
      <c r="KF530" s="8">
        <f>KF529*(1+KD530)</f>
        <v>1814.8358304744147</v>
      </c>
      <c r="KG530" s="8">
        <f>IF(KB530&lt;RULE_START,KF530,KG529*(1+G_HI))</f>
        <v>2393.257582398015</v>
      </c>
      <c r="KH530" s="8">
        <f>IF(KB530&lt;RULE_START,KF530,IF(KI530=1,R_NF_2024*(1+G_HI)^(KB530-2024),KH529*(1+KD530)))</f>
        <v>2519.2255026617313</v>
      </c>
      <c r="KI530">
        <f>IF(AND(KB530&gt;=RULE_START,MOD(KB530-RULE_START,REBASE_YEARS)=0),1,0)</f>
        <v>1</v>
      </c>
      <c r="KJ530" s="8">
        <f>KF530*CAP_SHARE</f>
        <v>88.7406245629025</v>
      </c>
      <c r="KK530" s="8">
        <f>KG530*CAP_SHARE</f>
        <v>117.02390322896814</v>
      </c>
      <c r="KL530" s="8">
        <f>KH530*CAP_SHARE</f>
        <v>123.18339806116457</v>
      </c>
      <c r="KM530" s="8">
        <f>KF530-KJ530-KE530</f>
        <v>-637.5049695837727</v>
      </c>
      <c r="KN530" s="8">
        <f>KG530-KK530-KE530</f>
        <v>-87.36649632623812</v>
      </c>
      <c r="KO530" s="8">
        <f>KH530-KL530-KE530</f>
        <v>32.441929105281815</v>
      </c>
      <c r="KP530" s="8">
        <f>R_NF_2024*(1+G_HI)^(KB530-2024)</f>
        <v>2519.2255026617313</v>
      </c>
      <c r="KQ530" s="10">
        <f>1-KF530/KP530</f>
        <v>0.27960564524417586</v>
      </c>
      <c r="KR530" s="10">
        <f>CPI_2023/(IF(KB530-1=2023,CPI_2023,IF(KB530-1=2024,CPI_2024,IF(KB530-1=2025,CPI_2025,CPI_2025*(1+INFL)^(KB530-1-2025)))))</f>
        <v>0.3791396349518568</v>
      </c>
      <c r="KS530" s="8">
        <f>$KB$21*ABS($KB$11)*(KG530-KF530)/KF530</f>
        <v>31774.66357294478</v>
      </c>
      <c r="KT530" s="8">
        <f>$KB$21*ABS($KB$11)*(KH530-KF530)/KF530</f>
        <v>38694.507569219306</v>
      </c>
      <c r="KU530" s="13">
        <f>(KG530-KF530)*MCD_NF_DAYS*KR530-KS530*MCD_SHARE_FREED*R_WAIT_2023</f>
        <v>101094555.21062714</v>
      </c>
      <c r="KV530" s="13">
        <f>(KH530-KF530)*MCD_NF_DAYS*KR530-KT530*MCD_SHARE_FREED*R_WAIT_2023</f>
        <v>123110793.06391965</v>
      </c>
      <c r="KW530" s="10">
        <f>IF(AND(KB530&gt;=RULE_START,KC530=1),1/(1+$KB$12)^(KB530-RULE_START+1),0)</f>
        <v>0</v>
      </c>
      <c r="KX530">
        <f>IF(AND(KB530&gt;=RULE_START,KC530=1,KM530&lt;0),KB530,9999)</f>
        <v>9999</v>
      </c>
      <c r="KY530">
        <f>IF(AND(KB530&gt;=RULE_START,KC530=1,KN530&lt;0),KB530,9999)</f>
        <v>9999</v>
      </c>
      <c r="KZ530">
        <f>IF(AND(KB530&gt;=RULE_START,KC530=1,KO530&lt;0),KB530,9999)</f>
        <v>9999</v>
      </c>
      <c r="LB530" t="n">
        <v>2066</v>
      </c>
      <c r="LC530">
        <f>IF(LB530&lt;=RULE_START+$LB$38-1,1,0)</f>
        <v>0</v>
      </c>
      <c r="LD530" s="15">
        <f>IF(LB530=2024,G_IDX_2024,IF(LB530=2025,G_IDX_2025,IF(LB530=2026,G_IDX_2026,IF(LB530=2027,G_IDX_2027,$LB$13))))</f>
        <v>0.033</v>
      </c>
      <c r="LE530" s="8">
        <f>$LB$20*(1+G_HI)^(LB530-COST_DATE)</f>
        <v>2363.600175495285</v>
      </c>
      <c r="LF530" s="8">
        <f>LF529*(1+LD530)</f>
        <v>1814.8358304744147</v>
      </c>
      <c r="LG530" s="8">
        <f>IF(LB530&lt;RULE_START,LF530,LG529*(1+G_HI))</f>
        <v>2393.257582398015</v>
      </c>
      <c r="LH530" s="8">
        <f>IF(LB530&lt;RULE_START,LF530,IF(LI530=1,R_NF_2024*(1+G_HI)^(LB530-2024),LH529*(1+LD530)))</f>
        <v>2519.2255026617313</v>
      </c>
      <c r="LI530">
        <f>IF(AND(LB530&gt;=RULE_START,MOD(LB530-RULE_START,REBASE_YEARS)=0),1,0)</f>
        <v>1</v>
      </c>
      <c r="LJ530" s="8">
        <f>LF530*CAP_SHARE</f>
        <v>88.7406245629025</v>
      </c>
      <c r="LK530" s="8">
        <f>LG530*CAP_SHARE</f>
        <v>117.02390322896814</v>
      </c>
      <c r="LL530" s="8">
        <f>LH530*CAP_SHARE</f>
        <v>123.18339806116457</v>
      </c>
      <c r="LM530" s="8">
        <f>LF530-LJ530-LE530</f>
        <v>-637.5049695837727</v>
      </c>
      <c r="LN530" s="8">
        <f>LG530-LK530-LE530</f>
        <v>-87.36649632623812</v>
      </c>
      <c r="LO530" s="8">
        <f>LH530-LL530-LE530</f>
        <v>32.441929105281815</v>
      </c>
      <c r="LP530" s="8">
        <f>R_NF_2024*(1+G_HI)^(LB530-2024)</f>
        <v>2519.2255026617313</v>
      </c>
      <c r="LQ530" s="10">
        <f>1-LF530/LP530</f>
        <v>0.27960564524417586</v>
      </c>
      <c r="LR530" s="10">
        <f>CPI_2023/(IF(LB530-1=2023,CPI_2023,IF(LB530-1=2024,CPI_2024,IF(LB530-1=2025,CPI_2025,CPI_2025*(1+INFL)^(LB530-1-2025)))))</f>
        <v>0.3791396349518568</v>
      </c>
      <c r="LS530" s="8">
        <f>$LB$21*ABS($LB$11)*(LG530-LF530)/LF530</f>
        <v>31774.66357294478</v>
      </c>
      <c r="LT530" s="8">
        <f>$LB$21*ABS($LB$11)*(LH530-LF530)/LF530</f>
        <v>38694.507569219306</v>
      </c>
      <c r="LU530" s="13">
        <f>(LG530-LF530)*MCD_NF_DAYS*LR530-LS530*MCD_SHARE_FREED*R_WAIT_2023</f>
        <v>101094555.21062714</v>
      </c>
      <c r="LV530" s="13">
        <f>(LH530-LF530)*MCD_NF_DAYS*LR530-LT530*MCD_SHARE_FREED*R_WAIT_2023</f>
        <v>123110793.06391965</v>
      </c>
      <c r="LW530" s="10">
        <f>IF(AND(LB530&gt;=RULE_START,LC530=1),1/(1+$LB$12)^(LB530-RULE_START+1),0)</f>
        <v>0</v>
      </c>
      <c r="LX530">
        <f>IF(AND(LB530&gt;=RULE_START,LC530=1,LM530&lt;0),LB530,9999)</f>
        <v>9999</v>
      </c>
      <c r="LY530">
        <f>IF(AND(LB530&gt;=RULE_START,LC530=1,LN530&lt;0),LB530,9999)</f>
        <v>9999</v>
      </c>
      <c r="LZ530">
        <f>IF(AND(LB530&gt;=RULE_START,LC530=1,LO530&lt;0),LB530,9999)</f>
        <v>9999</v>
      </c>
      <c r="MB530" t="n">
        <v>2066</v>
      </c>
      <c r="MC530">
        <f>IF(MB530&lt;=RULE_START+$MB$38-1,1,0)</f>
        <v>0</v>
      </c>
      <c r="MD530" s="15">
        <f>IF(MB530=2024,G_IDX_2024,IF(MB530=2025,G_IDX_2025,IF(MB530=2026,G_IDX_2026,IF(MB530=2027,G_IDX_2027,$MB$13))))</f>
        <v>0.033</v>
      </c>
      <c r="ME530" s="8">
        <f>$MB$20*(1+G_HI)^(MB530-COST_DATE)</f>
        <v>2363.600175495285</v>
      </c>
      <c r="MF530" s="8">
        <f>MF529*(1+MD530)</f>
        <v>1814.8358304744147</v>
      </c>
      <c r="MG530" s="8">
        <f>IF(MB530&lt;RULE_START,MF530,MG529*(1+G_HI))</f>
        <v>2393.257582398015</v>
      </c>
      <c r="MH530" s="8">
        <f>IF(MB530&lt;RULE_START,MF530,IF(MI530=1,R_NF_2024*(1+G_HI)^(MB530-2024),MH529*(1+MD530)))</f>
        <v>2519.2255026617313</v>
      </c>
      <c r="MI530">
        <f>IF(AND(MB530&gt;=RULE_START,MOD(MB530-RULE_START,REBASE_YEARS)=0),1,0)</f>
        <v>1</v>
      </c>
      <c r="MJ530" s="8">
        <f>MF530*CAP_SHARE</f>
        <v>88.7406245629025</v>
      </c>
      <c r="MK530" s="8">
        <f>MG530*CAP_SHARE</f>
        <v>117.02390322896814</v>
      </c>
      <c r="ML530" s="8">
        <f>MH530*CAP_SHARE</f>
        <v>123.18339806116457</v>
      </c>
      <c r="MM530" s="8">
        <f>MF530-MJ530-ME530</f>
        <v>-637.5049695837727</v>
      </c>
      <c r="MN530" s="8">
        <f>MG530-MK530-ME530</f>
        <v>-87.36649632623812</v>
      </c>
      <c r="MO530" s="8">
        <f>MH530-ML530-ME530</f>
        <v>32.441929105281815</v>
      </c>
      <c r="MP530" s="8">
        <f>R_NF_2024*(1+G_HI)^(MB530-2024)</f>
        <v>2519.2255026617313</v>
      </c>
      <c r="MQ530" s="10">
        <f>1-MF530/MP530</f>
        <v>0.27960564524417586</v>
      </c>
      <c r="MR530" s="10">
        <f>CPI_2023/(IF(MB530-1=2023,CPI_2023,IF(MB530-1=2024,CPI_2024,IF(MB530-1=2025,CPI_2025,CPI_2025*(1+INFL)^(MB530-1-2025)))))</f>
        <v>0.3791396349518568</v>
      </c>
      <c r="MS530" s="8">
        <f>$MB$21*ABS($MB$11)*(MG530-MF530)/MF530</f>
        <v>23277.788845163923</v>
      </c>
      <c r="MT530" s="8">
        <f>$MB$21*ABS($MB$11)*(MH530-MF530)/MF530</f>
        <v>28347.194757738478</v>
      </c>
      <c r="MU530" s="13">
        <f>(MG530-MF530)*MCD_NF_DAYS*MR530-MS530*MCD_SHARE_FREED*R_WAIT_2023</f>
        <v>104958243.30387172</v>
      </c>
      <c r="MV530" s="13">
        <f>(MH530-MF530)*MCD_NF_DAYS*MR530-MT530*MCD_SHARE_FREED*R_WAIT_2023</f>
        <v>127815910.01428299</v>
      </c>
      <c r="MW530" s="10">
        <f>IF(AND(MB530&gt;=RULE_START,MC530=1),1/(1+$MB$12)^(MB530-RULE_START+1),0)</f>
        <v>0</v>
      </c>
      <c r="MX530">
        <f>IF(AND(MB530&gt;=RULE_START,MC530=1,MM530&lt;0),MB530,9999)</f>
        <v>9999</v>
      </c>
      <c r="MY530">
        <f>IF(AND(MB530&gt;=RULE_START,MC530=1,MN530&lt;0),MB530,9999)</f>
        <v>9999</v>
      </c>
      <c r="MZ530">
        <f>IF(AND(MB530&gt;=RULE_START,MC530=1,MO530&lt;0),MB530,9999)</f>
        <v>9999</v>
      </c>
      <c r="NB530" t="n">
        <v>2066</v>
      </c>
      <c r="NC530">
        <f>IF(NB530&lt;=RULE_START+$NB$38-1,1,0)</f>
        <v>0</v>
      </c>
      <c r="ND530" s="15">
        <f>IF(NB530=2024,G_IDX_2024,IF(NB530=2025,G_IDX_2025,IF(NB530=2026,G_IDX_2026,IF(NB530=2027,G_IDX_2027,$NB$13))))</f>
        <v>0.033</v>
      </c>
      <c r="NE530" s="8">
        <f>$NB$20*(1+G_HI)^(NB530-COST_DATE)</f>
        <v>2363.600175495285</v>
      </c>
      <c r="NF530" s="8">
        <f>NF529*(1+ND530)</f>
        <v>1814.8358304744147</v>
      </c>
      <c r="NG530" s="8">
        <f>IF(NB530&lt;RULE_START,NF530,NG529*(1+G_HI))</f>
        <v>2393.257582398015</v>
      </c>
      <c r="NH530" s="8">
        <f>IF(NB530&lt;RULE_START,NF530,IF(NI530=1,R_NF_2024*(1+G_HI)^(NB530-2024),NH529*(1+ND530)))</f>
        <v>2519.2255026617313</v>
      </c>
      <c r="NI530">
        <f>IF(AND(NB530&gt;=RULE_START,MOD(NB530-RULE_START,REBASE_YEARS)=0),1,0)</f>
        <v>1</v>
      </c>
      <c r="NJ530" s="8">
        <f>NF530*CAP_SHARE</f>
        <v>88.7406245629025</v>
      </c>
      <c r="NK530" s="8">
        <f>NG530*CAP_SHARE</f>
        <v>117.02390322896814</v>
      </c>
      <c r="NL530" s="8">
        <f>NH530*CAP_SHARE</f>
        <v>123.18339806116457</v>
      </c>
      <c r="NM530" s="8">
        <f>NF530-NJ530-NE530</f>
        <v>-637.5049695837727</v>
      </c>
      <c r="NN530" s="8">
        <f>NG530-NK530-NE530</f>
        <v>-87.36649632623812</v>
      </c>
      <c r="NO530" s="8">
        <f>NH530-NL530-NE530</f>
        <v>32.441929105281815</v>
      </c>
      <c r="NP530" s="8">
        <f>R_NF_2024*(1+G_HI)^(NB530-2024)</f>
        <v>2519.2255026617313</v>
      </c>
      <c r="NQ530" s="10">
        <f>1-NF530/NP530</f>
        <v>0.27960564524417586</v>
      </c>
      <c r="NR530" s="10">
        <f>CPI_2023/(IF(NB530-1=2023,CPI_2023,IF(NB530-1=2024,CPI_2024,IF(NB530-1=2025,CPI_2025,CPI_2025*(1+INFL)^(NB530-1-2025)))))</f>
        <v>0.3791396349518568</v>
      </c>
      <c r="NS530" s="8">
        <f>$NB$21*ABS($NB$11)*(NG530-NF530)/NF530</f>
        <v>31774.66357294478</v>
      </c>
      <c r="NT530" s="8">
        <f>$NB$21*ABS($NB$11)*(NH530-NF530)/NF530</f>
        <v>38694.507569219306</v>
      </c>
      <c r="NU530" s="13">
        <f>(NG530-NF530)*MCD_NF_DAYS*NR530-NS530*MCD_SHARE_FREED*R_WAIT_2023</f>
        <v>101094555.21062714</v>
      </c>
      <c r="NV530" s="13">
        <f>(NH530-NF530)*MCD_NF_DAYS*NR530-NT530*MCD_SHARE_FREED*R_WAIT_2023</f>
        <v>123110793.06391965</v>
      </c>
      <c r="NW530" s="10">
        <f>IF(AND(NB530&gt;=RULE_START,NC530=1),1/(1+$NB$12)^(NB530-RULE_START+1),0)</f>
        <v>0</v>
      </c>
      <c r="NX530">
        <f>IF(AND(NB530&gt;=RULE_START,NC530=1,NM530&lt;0),NB530,9999)</f>
        <v>9999</v>
      </c>
      <c r="NY530">
        <f>IF(AND(NB530&gt;=RULE_START,NC530=1,NN530&lt;0),NB530,9999)</f>
        <v>9999</v>
      </c>
      <c r="NZ530">
        <f>IF(AND(NB530&gt;=RULE_START,NC530=1,NO530&lt;0),NB530,9999)</f>
        <v>9999</v>
      </c>
      <c r="OB530" t="n">
        <v>2066</v>
      </c>
      <c r="OC530">
        <f>IF(OB530&lt;=RULE_START+$OB$38-1,1,0)</f>
        <v>0</v>
      </c>
      <c r="OD530" s="15">
        <f>IF(OB530=2024,G_IDX_2024,IF(OB530=2025,G_IDX_2025,IF(OB530=2026,G_IDX_2026,IF(OB530=2027,G_IDX_2027,$OB$13))))</f>
        <v>0.033</v>
      </c>
      <c r="OE530" s="8">
        <f>$OB$20*(1+G_HI)^(OB530-COST_DATE)</f>
        <v>2363.600175495285</v>
      </c>
      <c r="OF530" s="8">
        <f>OF529*(1+OD530)</f>
        <v>1814.8358304744147</v>
      </c>
      <c r="OG530" s="8">
        <f>IF(OB530&lt;RULE_START,OF530,OG529*(1+G_HI))</f>
        <v>2393.257582398015</v>
      </c>
      <c r="OH530" s="8">
        <f>IF(OB530&lt;RULE_START,OF530,IF(OI530=1,R_NF_2024*(1+G_HI)^(OB530-2024),OH529*(1+OD530)))</f>
        <v>2519.2255026617313</v>
      </c>
      <c r="OI530">
        <f>IF(AND(OB530&gt;=RULE_START,MOD(OB530-RULE_START,REBASE_YEARS)=0),1,0)</f>
        <v>1</v>
      </c>
      <c r="OJ530" s="8">
        <f>OF530*CAP_SHARE</f>
        <v>88.7406245629025</v>
      </c>
      <c r="OK530" s="8">
        <f>OG530*CAP_SHARE</f>
        <v>117.02390322896814</v>
      </c>
      <c r="OL530" s="8">
        <f>OH530*CAP_SHARE</f>
        <v>123.18339806116457</v>
      </c>
      <c r="OM530" s="8">
        <f>OF530-OJ530-OE530</f>
        <v>-637.5049695837727</v>
      </c>
      <c r="ON530" s="8">
        <f>OG530-OK530-OE530</f>
        <v>-87.36649632623812</v>
      </c>
      <c r="OO530" s="8">
        <f>OH530-OL530-OE530</f>
        <v>32.441929105281815</v>
      </c>
      <c r="OP530" s="8">
        <f>R_NF_2024*(1+G_HI)^(OB530-2024)</f>
        <v>2519.2255026617313</v>
      </c>
      <c r="OQ530" s="10">
        <f>1-OF530/OP530</f>
        <v>0.27960564524417586</v>
      </c>
      <c r="OR530" s="10">
        <f>CPI_2023/(IF(OB530-1=2023,CPI_2023,IF(OB530-1=2024,CPI_2024,IF(OB530-1=2025,CPI_2025,CPI_2025*(1+INFL)^(OB530-1-2025)))))</f>
        <v>0.3791396349518568</v>
      </c>
      <c r="OS530" s="8">
        <f>$OB$21*ABS($OB$11)*(OG530-OF530)/OF530</f>
        <v>31774.66357294478</v>
      </c>
      <c r="OT530" s="8">
        <f>$OB$21*ABS($OB$11)*(OH530-OF530)/OF530</f>
        <v>38694.507569219306</v>
      </c>
      <c r="OU530" s="13">
        <f>(OG530-OF530)*MCD_NF_DAYS*OR530-OS530*MCD_SHARE_FREED*R_WAIT_2023</f>
        <v>101094555.21062714</v>
      </c>
      <c r="OV530" s="13">
        <f>(OH530-OF530)*MCD_NF_DAYS*OR530-OT530*MCD_SHARE_FREED*R_WAIT_2023</f>
        <v>123110793.06391965</v>
      </c>
      <c r="OW530" s="10">
        <f>IF(AND(OB530&gt;=RULE_START,OC530=1),1/(1+$OB$12)^(OB530-RULE_START+1),0)</f>
        <v>0</v>
      </c>
      <c r="OX530">
        <f>IF(AND(OB530&gt;=RULE_START,OC530=1,OM530&lt;0),OB530,9999)</f>
        <v>9999</v>
      </c>
      <c r="OY530">
        <f>IF(AND(OB530&gt;=RULE_START,OC530=1,ON530&lt;0),OB530,9999)</f>
        <v>9999</v>
      </c>
      <c r="OZ530">
        <f>IF(AND(OB530&gt;=RULE_START,OC530=1,OO530&lt;0),OB530,9999)</f>
        <v>9999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Worked example: anchors the model must reproduce (spec, Validation rules)</t>
        </is>
      </c>
    </row>
    <row r="3">
      <c r="A3" s="3" t="inlineStr">
        <is>
          <t>Test values (entered here, never on Inputs)</t>
        </is>
      </c>
    </row>
    <row r="4">
      <c r="A4" t="inlineStr">
        <is>
          <t>T_K</t>
        </is>
      </c>
      <c r="B4" s="14" t="n">
        <v>200000</v>
      </c>
    </row>
    <row r="5">
      <c r="A5" t="inlineStr">
        <is>
          <t>T_DISC</t>
        </is>
      </c>
      <c r="B5" s="14" t="n">
        <v>0.05</v>
      </c>
    </row>
    <row r="6">
      <c r="A6" t="inlineStr">
        <is>
          <t>T_NLIFE</t>
        </is>
      </c>
      <c r="B6" s="14" t="n">
        <v>30</v>
      </c>
    </row>
    <row r="7">
      <c r="A7" t="inlineStr">
        <is>
          <t>T_CAVOID</t>
        </is>
      </c>
      <c r="B7" s="14" t="n">
        <v>1010</v>
      </c>
    </row>
    <row r="8">
      <c r="A8" t="inlineStr">
        <is>
          <t>T_STAY</t>
        </is>
      </c>
      <c r="B8" s="14" t="n">
        <v>30</v>
      </c>
    </row>
    <row r="9">
      <c r="A9" t="inlineStr">
        <is>
          <t>T_C_OP</t>
        </is>
      </c>
      <c r="B9" s="14" t="n">
        <v>400</v>
      </c>
    </row>
    <row r="10">
      <c r="A10" t="inlineStr">
        <is>
          <t>T_G_HI</t>
        </is>
      </c>
      <c r="B10" s="14" t="n">
        <v>0.04</v>
      </c>
    </row>
    <row r="11">
      <c r="A11" t="inlineStr">
        <is>
          <t>T_R_NF_2024</t>
        </is>
      </c>
      <c r="B11" s="14" t="n">
        <v>480</v>
      </c>
    </row>
    <row r="12">
      <c r="A12" t="inlineStr">
        <is>
          <t>T_R_NF_2026</t>
        </is>
      </c>
      <c r="B12" s="14" t="n">
        <v>500</v>
      </c>
    </row>
    <row r="13">
      <c r="A13" t="inlineStr">
        <is>
          <t>T_G_IDX_2027</t>
        </is>
      </c>
      <c r="B13" s="14" t="n">
        <v>0.03</v>
      </c>
    </row>
    <row r="14">
      <c r="A14" t="inlineStr">
        <is>
          <t>T_CAP_SHARE</t>
        </is>
      </c>
      <c r="B14" s="14" t="n">
        <v>0.05</v>
      </c>
    </row>
    <row r="15">
      <c r="A15" t="inlineStr">
        <is>
          <t>T_YEAR</t>
        </is>
      </c>
      <c r="B15" s="14" t="n">
        <v>2027</v>
      </c>
    </row>
    <row r="16">
      <c r="A16" t="inlineStr">
        <is>
          <t>T_ANN_R2</t>
        </is>
      </c>
      <c r="B16" s="14" t="n">
        <v>0.03</v>
      </c>
    </row>
    <row r="17">
      <c r="A17" t="inlineStr">
        <is>
          <t>T_HAND_GHI</t>
        </is>
      </c>
      <c r="B17" s="14" t="n">
        <v>0.04</v>
      </c>
    </row>
    <row r="18">
      <c r="A18" t="inlineStr">
        <is>
          <t>T_HAND_GIDX</t>
        </is>
      </c>
      <c r="B18" s="14" t="n">
        <v>0.025</v>
      </c>
    </row>
    <row r="19">
      <c r="A19" t="inlineStr">
        <is>
          <t>T_HAND_YEARS</t>
        </is>
      </c>
      <c r="B19" s="14" t="n">
        <v>10</v>
      </c>
    </row>
    <row r="20">
      <c r="A20" t="inlineStr">
        <is>
          <t>T_HAND_COSTYR</t>
        </is>
      </c>
      <c r="B20" s="14" t="n">
        <v>227000</v>
      </c>
    </row>
    <row r="22">
      <c r="A22" s="3" t="inlineStr">
        <is>
          <t>Anchors from the named inputs (base run)</t>
        </is>
      </c>
    </row>
    <row r="23">
      <c r="A23" s="2" t="inlineStr">
        <is>
          <t>Figure</t>
        </is>
      </c>
      <c r="B23" s="2" t="inlineStr">
        <is>
          <t>Model</t>
        </is>
      </c>
      <c r="C23" s="2" t="inlineStr">
        <is>
          <t>Required</t>
        </is>
      </c>
      <c r="D23" s="2" t="inlineStr">
        <is>
          <t>Tolerance</t>
        </is>
      </c>
      <c r="E23" s="2" t="inlineStr">
        <is>
          <t>Result</t>
        </is>
      </c>
    </row>
    <row r="24">
      <c r="A24" t="inlineStr">
        <is>
          <t>OCC_DAYS</t>
        </is>
      </c>
      <c r="B24" s="10">
        <f>OCC_DAYS</f>
        <v>328.5</v>
      </c>
      <c r="C24" s="10" t="n">
        <v>328.5</v>
      </c>
      <c r="D24" t="n">
        <v>0</v>
      </c>
      <c r="E24" t="str">
        <f>IF(ABS(B24-C24)&lt;=D24,"PASS","FAIL")</f>
        <v>PASS</v>
      </c>
    </row>
    <row r="25">
      <c r="A25" t="inlineStr">
        <is>
          <t>ADMITS at 30-day stays</t>
        </is>
      </c>
      <c r="B25" s="10">
        <f>OCC_DAYS/30</f>
        <v>10.95</v>
      </c>
      <c r="C25" s="10" t="n">
        <v>10.95</v>
      </c>
      <c r="D25" t="n">
        <v>1e-07</v>
      </c>
      <c r="E25" t="str">
        <f>IF(ABS(B25-C25)&lt;=D25,"PASS","FAIL")</f>
        <v>PASS</v>
      </c>
    </row>
    <row r="26">
      <c r="A26" t="inlineStr">
        <is>
          <t>DAYS_AVOIDED(2023)</t>
        </is>
      </c>
      <c r="B26" s="10">
        <f>DAYS_AVOIDED_2023</f>
        <v>23.018559556786702</v>
      </c>
      <c r="C26" s="10" t="n">
        <v>23.0186</v>
      </c>
      <c r="D26" t="n">
        <v>0.0001</v>
      </c>
      <c r="E26" t="str">
        <f>IF(ABS(B26-C26)&lt;=D26,"PASS","FAIL")</f>
        <v>PASS</v>
      </c>
    </row>
    <row r="27">
      <c r="A27" t="inlineStr">
        <is>
          <t>FREED, 2023, 30-day stays</t>
        </is>
      </c>
      <c r="B27" s="10">
        <f>FREED</f>
        <v>252.05322714681438</v>
      </c>
      <c r="C27" s="10" t="n">
        <v>252.05</v>
      </c>
      <c r="D27" t="n">
        <v>0.01</v>
      </c>
      <c r="E27" t="str">
        <f>IF(ABS(B27-C27)&lt;=D27,"PASS","FAIL")</f>
        <v>PASS</v>
      </c>
    </row>
    <row r="28">
      <c r="A28" t="inlineStr">
        <is>
          <t>FREED, 60-day stays, 2023</t>
        </is>
      </c>
      <c r="B28" s="10">
        <f>OCC_DAYS/60*DAYS_AVOIDED_2023</f>
        <v>126.02661357340719</v>
      </c>
      <c r="C28" s="10" t="n">
        <v>126.03</v>
      </c>
      <c r="D28" t="n">
        <v>0.01</v>
      </c>
      <c r="E28" t="str">
        <f>IF(ABS(B28-C28)&lt;=D28,"PASS","FAIL")</f>
        <v>PASS</v>
      </c>
    </row>
    <row r="29">
      <c r="A29" t="inlineStr">
        <is>
          <t>FREED, 90-day stays, 2023</t>
        </is>
      </c>
      <c r="B29" s="10">
        <f>OCC_DAYS/90*DAYS_AVOIDED_2023</f>
        <v>84.01774238227146</v>
      </c>
      <c r="C29" s="10" t="n">
        <v>84.02</v>
      </c>
      <c r="D29" t="n">
        <v>0.01</v>
      </c>
      <c r="E29" t="str">
        <f>IF(ABS(B29-C29)&lt;=D29,"PASS","FAIL")</f>
        <v>PASS</v>
      </c>
    </row>
    <row r="30">
      <c r="A30" t="inlineStr">
        <is>
          <t>POOL_DAYS(2023)</t>
        </is>
      </c>
      <c r="B30" s="10">
        <f>POOL_SHARE_2023*WAIT_DAYS_2023</f>
        <v>37850.46596858639</v>
      </c>
      <c r="C30" s="10" t="n">
        <v>37850.5</v>
      </c>
      <c r="D30" t="n">
        <v>0.1</v>
      </c>
      <c r="E30" t="str">
        <f>IF(ABS(B30-C30)&lt;=D30,"PASS","FAIL")</f>
        <v>PASS</v>
      </c>
    </row>
    <row r="31">
      <c r="A31" t="inlineStr">
        <is>
          <t>POOL_BEDS(2023)</t>
        </is>
      </c>
      <c r="B31" s="10">
        <f>POOL_BEDS_2023</f>
        <v>150.1685433550886</v>
      </c>
      <c r="C31" s="10" t="n">
        <v>150.17</v>
      </c>
      <c r="D31" t="n">
        <v>0.01</v>
      </c>
      <c r="E31" t="str">
        <f>IF(ABS(B31-C31)&lt;=D31,"PASS","FAIL")</f>
        <v>PASS</v>
      </c>
    </row>
    <row r="32">
      <c r="A32" t="inlineStr">
        <is>
          <t>FREED, 2024, 30-day stays</t>
        </is>
      </c>
      <c r="B32" s="10">
        <f>FREED_2024</f>
        <v>213.44610951008647</v>
      </c>
      <c r="C32" s="10" t="n">
        <v>213.45</v>
      </c>
      <c r="D32" t="n">
        <v>0.01</v>
      </c>
      <c r="E32" t="str">
        <f>IF(ABS(B32-C32)&lt;=D32,"PASS","FAIL")</f>
        <v>PASS</v>
      </c>
    </row>
    <row r="33">
      <c r="A33" t="inlineStr">
        <is>
          <t>POOL_BEDS(2024)</t>
        </is>
      </c>
      <c r="B33" s="10">
        <f>POOL_BEDS_2024</f>
        <v>150.02137936495367</v>
      </c>
      <c r="C33" s="10" t="n">
        <v>150.02</v>
      </c>
      <c r="D33" t="n">
        <v>0.01</v>
      </c>
      <c r="E33" t="str">
        <f>IF(ABS(B33-C33)&lt;=D33,"PASS","FAIL")</f>
        <v>PASS</v>
      </c>
    </row>
    <row r="34">
      <c r="A34" t="inlineStr">
        <is>
          <t>STATEWIDE_COST(10)</t>
        </is>
      </c>
      <c r="B34" s="10">
        <f>STATEWIDE_COST</f>
        <v>5268660.0</v>
      </c>
      <c r="C34" s="10" t="n">
        <v>5268660</v>
      </c>
      <c r="D34" t="n">
        <v>0</v>
      </c>
      <c r="E34" t="str">
        <f>IF(ABS(B34-C34)&lt;=D34,"PASS","FAIL")</f>
        <v>PASS</v>
      </c>
    </row>
    <row r="35">
      <c r="A35" t="inlineStr">
        <is>
          <t>G_HI</t>
        </is>
      </c>
      <c r="B35" s="10">
        <f>G_HI</f>
        <v>0.04016952108377825</v>
      </c>
      <c r="C35" s="10" t="n">
        <v>0.0402</v>
      </c>
      <c r="D35" t="n">
        <v>0.0001</v>
      </c>
      <c r="E35" t="str">
        <f>IF(ABS(B35-C35)&lt;=D35,"PASS","FAIL")</f>
        <v>PASS</v>
      </c>
    </row>
    <row r="37">
      <c r="A37" s="3" t="inlineStr">
        <is>
          <t>Capital, budget and consortium at the test values</t>
        </is>
      </c>
    </row>
    <row r="38">
      <c r="A38" s="2" t="inlineStr">
        <is>
          <t>Figure</t>
        </is>
      </c>
      <c r="B38" s="2" t="inlineStr">
        <is>
          <t>Model</t>
        </is>
      </c>
      <c r="C38" s="2" t="inlineStr">
        <is>
          <t>Required</t>
        </is>
      </c>
      <c r="D38" s="2" t="inlineStr">
        <is>
          <t>Tolerance</t>
        </is>
      </c>
      <c r="E38" s="2" t="inlineStr">
        <is>
          <t>Result</t>
        </is>
      </c>
    </row>
    <row r="39">
      <c r="A39" t="inlineStr">
        <is>
          <t>ANNUITY(0.05, 30)</t>
        </is>
      </c>
      <c r="B39" s="10">
        <f>$B$5/(1-(1+$B$5)^-$B$6)</f>
        <v>0.06505143508027657</v>
      </c>
      <c r="C39" s="10" t="n">
        <v>0.065051</v>
      </c>
      <c r="D39" t="n">
        <v>1e-06</v>
      </c>
      <c r="E39" t="str">
        <f>IF(ABS(B39-C39)&lt;=D39,"PASS","FAIL")</f>
        <v>PASS</v>
      </c>
    </row>
    <row r="40">
      <c r="A40" t="inlineStr">
        <is>
          <t>K_ANN</t>
        </is>
      </c>
      <c r="B40" s="10">
        <f>$B$4*$B$5/(1-(1+$B$5)^-$B$6)</f>
        <v>13010.287016055312</v>
      </c>
      <c r="C40" s="10" t="n">
        <v>13010.29</v>
      </c>
      <c r="D40" t="n">
        <v>0.01</v>
      </c>
      <c r="E40" t="str">
        <f>IF(ABS(B40-C40)&lt;=D40,"PASS","FAIL")</f>
        <v>PASS</v>
      </c>
    </row>
    <row r="41">
      <c r="A41" t="inlineStr">
        <is>
          <t>COST_YR</t>
        </is>
      </c>
      <c r="B41" s="10">
        <f>($B$4*$B$5/(1-(1+$B$5)^-$B$6)+OCC_DAYS*NF_COST_2023)</f>
        <v>164777.2870160553</v>
      </c>
      <c r="C41" s="10" t="n">
        <v>164777.29</v>
      </c>
      <c r="D41" t="n">
        <v>0.01</v>
      </c>
      <c r="E41" t="str">
        <f>IF(ABS(B41-C41)&lt;=D41,"PASS","FAIL")</f>
        <v>PASS</v>
      </c>
    </row>
    <row r="42">
      <c r="A42" t="inlineStr">
        <is>
          <t>SAVE_YR</t>
        </is>
      </c>
      <c r="B42" s="10">
        <f>OCC_DAYS/$B$8*DAYS_AVOIDED_2023*$B$7</f>
        <v>254573.7594182825</v>
      </c>
      <c r="C42" s="10" t="n">
        <v>254573.76</v>
      </c>
      <c r="D42" t="n">
        <v>0.01</v>
      </c>
      <c r="E42" t="str">
        <f>IF(ABS(B42-C42)&lt;=D42,"PASS","FAIL")</f>
        <v>PASS</v>
      </c>
    </row>
    <row r="43">
      <c r="A43" t="inlineStr">
        <is>
          <t>BREAKEVEN</t>
        </is>
      </c>
      <c r="B43" s="10">
        <f>($B$4*$B$5/(1-(1+$B$5)^-$B$6)+OCC_DAYS*NF_COST_2023)/(OCC_DAYS/$B$8*DAYS_AVOIDED_2023)</f>
        <v>653.7400408687363</v>
      </c>
      <c r="C43" s="10" t="n">
        <v>653.74</v>
      </c>
      <c r="D43" t="n">
        <v>0.01</v>
      </c>
      <c r="E43" t="str">
        <f>IF(ABS(B43-C43)&lt;=D43,"PASS","FAIL")</f>
        <v>PASS</v>
      </c>
    </row>
    <row r="44">
      <c r="A44" t="inlineStr">
        <is>
          <t>GRANT</t>
        </is>
      </c>
      <c r="B44" s="10">
        <f>MAX(0,$B$4*$B$5/(1-(1+$B$5)^-$B$6)-R_CAP_2023*OCC_DAYS)</f>
        <v>5619.037016055312</v>
      </c>
      <c r="C44" s="10" t="n">
        <v>5619.04</v>
      </c>
      <c r="D44" t="n">
        <v>0.01</v>
      </c>
      <c r="E44" t="str">
        <f>IF(ABS(B44-C44)&lt;=D44,"PASS","FAIL")</f>
        <v>PASS</v>
      </c>
    </row>
    <row r="45">
      <c r="A45" t="inlineStr">
        <is>
          <t>MCD_NF_PAY</t>
        </is>
      </c>
      <c r="B45" s="10">
        <f>OCC_DAYS*1*R_NF_2023</f>
        <v>151980.48282209205</v>
      </c>
      <c r="C45" s="10" t="n">
        <v>151980.48</v>
      </c>
      <c r="D45" t="n">
        <v>0.01</v>
      </c>
      <c r="E45" t="str">
        <f>IF(ABS(B45-C45)&lt;=D45,"PASS","FAIL")</f>
        <v>PASS</v>
      </c>
    </row>
    <row r="46">
      <c r="A46" t="inlineStr">
        <is>
          <t>MCD_WAIT_SAVE</t>
        </is>
      </c>
      <c r="B46" s="10">
        <f>OCC_DAYS/$B$8*DAYS_AVOIDED_2023*MCD_SHARE_FREED*R_WAIT_2023</f>
        <v>114613.3235796644</v>
      </c>
      <c r="C46" s="10" t="n">
        <v>114613.32</v>
      </c>
      <c r="D46" t="n">
        <v>0.01</v>
      </c>
      <c r="E46" t="str">
        <f>IF(ABS(B46-C46)&lt;=D46,"PASS","FAIL")</f>
        <v>PASS</v>
      </c>
    </row>
    <row r="47">
      <c r="A47" t="inlineStr">
        <is>
          <t>MCD_NET</t>
        </is>
      </c>
      <c r="B47" s="10">
        <f>OCC_DAYS*1*R_NF_2023-OCC_DAYS/$B$8*DAYS_AVOIDED_2023*MCD_SHARE_FREED*R_WAIT_2023</f>
        <v>37367.159242427646</v>
      </c>
      <c r="C47" s="10" t="n">
        <v>37367.16</v>
      </c>
      <c r="D47" t="n">
        <v>0.01</v>
      </c>
      <c r="E47" t="str">
        <f>IF(ABS(B47-C47)&lt;=D47,"PASS","FAIL")</f>
        <v>PASS</v>
      </c>
    </row>
    <row r="48">
      <c r="A48" t="inlineStr">
        <is>
          <t>STATE_NET</t>
        </is>
      </c>
      <c r="B48" s="10">
        <f>(1-FMAP_2026)*(OCC_DAYS*1*R_NF_2023-OCC_DAYS/$B$8*DAYS_AVOIDED_2023*MCD_SHARE_FREED*R_WAIT_2023)</f>
        <v>15066.438606546826</v>
      </c>
      <c r="C48" s="10" t="n">
        <v>15066.44</v>
      </c>
      <c r="D48" t="n">
        <v>0.01</v>
      </c>
      <c r="E48" t="str">
        <f>IF(ABS(B48-C48)&lt;=D48,"PASS","FAIL")</f>
        <v>PASS</v>
      </c>
    </row>
    <row r="49">
      <c r="A49" t="inlineStr">
        <is>
          <t>FED_NET</t>
        </is>
      </c>
      <c r="B49" s="10">
        <f>FMAP_2026*(OCC_DAYS*1*R_NF_2023-OCC_DAYS/$B$8*DAYS_AVOIDED_2023*MCD_SHARE_FREED*R_WAIT_2023)</f>
        <v>22300.720635880818</v>
      </c>
      <c r="C49" s="10" t="n">
        <v>22300.72</v>
      </c>
      <c r="D49" t="n">
        <v>0.01</v>
      </c>
      <c r="E49" t="str">
        <f>IF(ABS(B49-C49)&lt;=D49,"PASS","FAIL")</f>
        <v>PASS</v>
      </c>
    </row>
    <row r="50">
      <c r="A50" t="inlineStr">
        <is>
          <t>HOSP_NET_DAY</t>
        </is>
      </c>
      <c r="B50" s="10">
        <f>$B$7-MCD_SHARE_FREED*R_WAIT_2023</f>
        <v>555.2812690515359</v>
      </c>
      <c r="C50" s="10" t="n">
        <v>555.28</v>
      </c>
      <c r="D50" t="n">
        <v>0.01</v>
      </c>
      <c r="E50" t="str">
        <f>IF(ABS(B50-C50)&lt;=D50,"PASS","FAIL")</f>
        <v>PASS</v>
      </c>
    </row>
    <row r="51">
      <c r="A51" t="inlineStr">
        <is>
          <t>JOIN_MIN</t>
        </is>
      </c>
      <c r="B51" s="10">
        <f>MAX(0,$B$4*$B$5/(1-(1+$B$5)^-$B$6)-R_CAP_2023*OCC_DAYS)/(OCC_DAYS/$B$8*DAYS_AVOIDED_2023)+MCD_SHARE_FREED*R_WAIT_2023</f>
        <v>477.0117881715814</v>
      </c>
      <c r="C51" s="10" t="n">
        <v>477.01</v>
      </c>
      <c r="D51" t="n">
        <v>0.01</v>
      </c>
      <c r="E51" t="str">
        <f>IF(ABS(B51-C51)&lt;=D51,"PASS","FAIL")</f>
        <v>PASS</v>
      </c>
    </row>
    <row r="53">
      <c r="A53" s="3" t="inlineStr">
        <is>
          <t>Operating rows at the test values, rate year 2027</t>
        </is>
      </c>
    </row>
    <row r="54">
      <c r="A54" s="2" t="inlineStr">
        <is>
          <t>Figure</t>
        </is>
      </c>
      <c r="B54" s="2" t="inlineStr">
        <is>
          <t>Model</t>
        </is>
      </c>
      <c r="C54" s="2" t="inlineStr">
        <is>
          <t>Required</t>
        </is>
      </c>
      <c r="D54" s="2" t="inlineStr">
        <is>
          <t>Tolerance</t>
        </is>
      </c>
      <c r="E54" s="2" t="inlineStr">
        <is>
          <t>Result</t>
        </is>
      </c>
    </row>
    <row r="55">
      <c r="A55" t="inlineStr">
        <is>
          <t>C_OP_NOM(2027)</t>
        </is>
      </c>
      <c r="B55" s="10">
        <f>$B$9*(1+$B$10)^($B$15-COST_DATE)</f>
        <v>458.8562788910428</v>
      </c>
      <c r="C55" s="10" t="n">
        <v>458.8563</v>
      </c>
      <c r="D55" t="n">
        <v>0.0001</v>
      </c>
      <c r="E55" t="str">
        <f>IF(ABS(B55-C55)&lt;=D55,"PASS","FAIL")</f>
        <v>PASS</v>
      </c>
    </row>
    <row r="56">
      <c r="A56" t="inlineStr">
        <is>
          <t>RATE_IDX(2027)</t>
        </is>
      </c>
      <c r="B56" s="10">
        <f>$B$12*(1+$B$13)</f>
        <v>515.0</v>
      </c>
      <c r="C56" s="10" t="n">
        <v>515</v>
      </c>
      <c r="D56" t="n">
        <v>0.0001</v>
      </c>
      <c r="E56" t="str">
        <f>IF(ABS(B56-C56)&lt;=D56,"PASS","FAIL")</f>
        <v>PASS</v>
      </c>
    </row>
    <row r="57">
      <c r="A57" t="inlineStr">
        <is>
          <t>RATE_HIX(2027)</t>
        </is>
      </c>
      <c r="B57" s="10">
        <f>$B$12*(1+$B$10)</f>
        <v>520.0</v>
      </c>
      <c r="C57" s="10" t="n">
        <v>520</v>
      </c>
      <c r="D57" t="n">
        <v>0.0001</v>
      </c>
      <c r="E57" t="str">
        <f>IF(ABS(B57-C57)&lt;=D57,"PASS","FAIL")</f>
        <v>PASS</v>
      </c>
    </row>
    <row r="58">
      <c r="A58" t="inlineStr">
        <is>
          <t>RATE_REB(2027)</t>
        </is>
      </c>
      <c r="B58" s="10">
        <f>$B$11*(1+$B$10)^($B$15-2024)</f>
        <v>539.9347200000001</v>
      </c>
      <c r="C58" s="10" t="n">
        <v>539.9347</v>
      </c>
      <c r="D58" t="n">
        <v>0.0001</v>
      </c>
      <c r="E58" t="str">
        <f>IF(ABS(B58-C58)&lt;=D58,"PASS","FAIL")</f>
        <v>PASS</v>
      </c>
    </row>
    <row r="59">
      <c r="A59" t="inlineStr">
        <is>
          <t>R_CAP_IDX(2027)</t>
        </is>
      </c>
      <c r="B59" s="10">
        <f>$B$12*(1+$B$13)*$B$14</f>
        <v>25.75</v>
      </c>
      <c r="C59" s="10" t="n">
        <v>25.75</v>
      </c>
      <c r="D59" t="n">
        <v>0.0001</v>
      </c>
      <c r="E59" t="str">
        <f>IF(ABS(B59-C59)&lt;=D59,"PASS","FAIL")</f>
        <v>PASS</v>
      </c>
    </row>
    <row r="60">
      <c r="A60" t="inlineStr">
        <is>
          <t>R_CAP_HIX(2027)</t>
        </is>
      </c>
      <c r="B60" s="10">
        <f>$B$12*(1+$B$10)*$B$14</f>
        <v>26.0</v>
      </c>
      <c r="C60" s="10" t="n">
        <v>26</v>
      </c>
      <c r="D60" t="n">
        <v>0.0001</v>
      </c>
      <c r="E60" t="str">
        <f>IF(ABS(B60-C60)&lt;=D60,"PASS","FAIL")</f>
        <v>PASS</v>
      </c>
    </row>
    <row r="61">
      <c r="A61" t="inlineStr">
        <is>
          <t>R_CAP_REB(2027)</t>
        </is>
      </c>
      <c r="B61" s="10">
        <f>$B$11*(1+$B$10)^($B$15-2024)*$B$14</f>
        <v>26.996736000000006</v>
      </c>
      <c r="C61" s="10" t="n">
        <v>26.9967</v>
      </c>
      <c r="D61" t="n">
        <v>0.0001</v>
      </c>
      <c r="E61" t="str">
        <f>IF(ABS(B61-C61)&lt;=D61,"PASS","FAIL")</f>
        <v>PASS</v>
      </c>
    </row>
    <row r="62">
      <c r="A62" t="inlineStr">
        <is>
          <t>OP_MARGIN(IDX, 2027)</t>
        </is>
      </c>
      <c r="B62" s="10">
        <f>$B$12*(1+$B$13)*(1-$B$14)-$B$9*(1+$B$10)^($B$15-COST_DATE)</f>
        <v>30.39372110895721</v>
      </c>
      <c r="C62" s="10" t="n">
        <v>30.3937</v>
      </c>
      <c r="D62" t="n">
        <v>0.0001</v>
      </c>
      <c r="E62" t="str">
        <f>IF(ABS(B62-C62)&lt;=D62,"PASS","FAIL")</f>
        <v>PASS</v>
      </c>
    </row>
    <row r="63">
      <c r="A63" t="inlineStr">
        <is>
          <t>OP_MARGIN(HIX, 2027)</t>
        </is>
      </c>
      <c r="B63" s="10">
        <f>$B$12*(1+$B$10)*(1-$B$14)-$B$9*(1+$B$10)^($B$15-COST_DATE)</f>
        <v>35.14372110895721</v>
      </c>
      <c r="C63" s="10" t="n">
        <v>35.1437</v>
      </c>
      <c r="D63" t="n">
        <v>0.0001</v>
      </c>
      <c r="E63" t="str">
        <f>IF(ABS(B63-C63)&lt;=D63,"PASS","FAIL")</f>
        <v>PASS</v>
      </c>
    </row>
    <row r="64">
      <c r="A64" t="inlineStr">
        <is>
          <t>OP_MARGIN(REB, 2027)</t>
        </is>
      </c>
      <c r="B64" s="10">
        <f>$B$11*(1+$B$10)^($B$15-2024)*(1-$B$14)-$B$9*(1+$B$10)^($B$15-COST_DATE)</f>
        <v>54.08170510895724</v>
      </c>
      <c r="C64" s="10" t="n">
        <v>54.0817</v>
      </c>
      <c r="D64" t="n">
        <v>0.0001</v>
      </c>
      <c r="E64" t="str">
        <f>IF(ABS(B64-C64)&lt;=D64,"PASS","FAIL")</f>
        <v>PASS</v>
      </c>
    </row>
    <row r="65">
      <c r="A65" t="inlineStr">
        <is>
          <t>RATE_AT_COST(2027)</t>
        </is>
      </c>
      <c r="B65" s="10">
        <f>$B$11*(1+$B$10)^($B$15-2024)</f>
        <v>539.9347200000001</v>
      </c>
      <c r="C65" s="10" t="n">
        <v>539.9347</v>
      </c>
      <c r="D65" t="n">
        <v>0.0001</v>
      </c>
      <c r="E65" t="str">
        <f>IF(ABS(B65-C65)&lt;=D65,"PASS","FAIL")</f>
        <v>PASS</v>
      </c>
    </row>
    <row r="66">
      <c r="A66" t="inlineStr">
        <is>
          <t>SHORTFALL(2027)</t>
        </is>
      </c>
      <c r="B66" s="10">
        <f>1-($B$12*(1+$B$13))/($B$11*(1+$B$10)^($B$15-2024))</f>
        <v>0.04618099017599775</v>
      </c>
      <c r="C66" s="10" t="n">
        <v>0.046181</v>
      </c>
      <c r="D66" t="n">
        <v>1e-06</v>
      </c>
      <c r="E66" t="str">
        <f>IF(ABS(B66-C66)&lt;=D66,"PASS","FAIL")</f>
        <v>PASS</v>
      </c>
    </row>
    <row r="68">
      <c r="A68" s="3" t="inlineStr">
        <is>
          <t>Hand checks</t>
        </is>
      </c>
    </row>
    <row r="69">
      <c r="A69" s="2" t="inlineStr">
        <is>
          <t>Figure</t>
        </is>
      </c>
      <c r="B69" s="2" t="inlineStr">
        <is>
          <t>Model</t>
        </is>
      </c>
      <c r="C69" s="2" t="inlineStr">
        <is>
          <t>Required</t>
        </is>
      </c>
      <c r="D69" s="2" t="inlineStr">
        <is>
          <t>Tolerance</t>
        </is>
      </c>
      <c r="E69" s="2" t="inlineStr">
        <is>
          <t>Result</t>
        </is>
      </c>
    </row>
    <row r="70">
      <c r="A70" t="inlineStr">
        <is>
          <t>ANNUITY(0.03, 30)</t>
        </is>
      </c>
      <c r="B70" s="10">
        <f>$B$16/(1-(1+$B$16)^-$B$6)</f>
        <v>0.05101925932025255</v>
      </c>
      <c r="C70" s="10" t="n">
        <v>0.051019</v>
      </c>
      <c r="D70" t="n">
        <v>1e-06</v>
      </c>
      <c r="E70" t="str">
        <f>IF(ABS(B70-C70)&lt;=D70,"PASS","FAIL")</f>
        <v>PASS</v>
      </c>
    </row>
    <row r="71">
      <c r="A71" t="inlineStr">
        <is>
          <t>Running cost alone per freed day, 2023</t>
        </is>
      </c>
      <c r="B71" s="10">
        <f>OCC_DAYS*NF_COST_2023/FREED</f>
        <v>602.1228203184231</v>
      </c>
      <c r="C71" s="10" t="n">
        <v>602.12</v>
      </c>
      <c r="D71" t="n">
        <v>0.01</v>
      </c>
      <c r="E71" t="str">
        <f>IF(ABS(B71-C71)&lt;=D71,"PASS","FAIL")</f>
        <v>PASS</v>
      </c>
    </row>
    <row r="72">
      <c r="A72" t="inlineStr">
        <is>
          <t>Running cost alone per freed day, 2024</t>
        </is>
      </c>
      <c r="B72" s="10">
        <f>OCC_DAYS*NF_COST_2023/FREED_2024</f>
        <v>711.0319337670018</v>
      </c>
      <c r="C72" s="10" t="n">
        <v>711.03</v>
      </c>
      <c r="D72" t="n">
        <v>0.01</v>
      </c>
      <c r="E72" t="str">
        <f>IF(ABS(B72-C72)&lt;=D72,"PASS","FAIL")</f>
        <v>PASS</v>
      </c>
    </row>
    <row r="73">
      <c r="A73" t="inlineStr">
        <is>
          <t>SHORTFALL after 10 years at 4.0% vs 2.5%</t>
        </is>
      </c>
      <c r="B73" s="10">
        <f>1-((1+$B$18)/(1+$B$17))^$B$19</f>
        <v>0.13522074887323743</v>
      </c>
      <c r="C73" s="10" t="n">
        <v>0.1352</v>
      </c>
      <c r="D73" t="n">
        <v>0.0001</v>
      </c>
      <c r="E73" t="str">
        <f>IF(ABS(B73-C73)&lt;=D73,"PASS","FAIL")</f>
        <v>PASS</v>
      </c>
    </row>
    <row r="74">
      <c r="A74" t="inlineStr">
        <is>
          <t>STAY_FAIL at $227,000 a bed-year</t>
        </is>
      </c>
      <c r="B74" s="10">
        <f>RANGE_HI*OCC_DAYS*DAYS_AVOIDED_2023/$B$20</f>
        <v>48.96716879812561</v>
      </c>
      <c r="C74" s="10" t="n">
        <v>48.97</v>
      </c>
      <c r="D74" t="n">
        <v>0.01</v>
      </c>
      <c r="E74" t="str">
        <f>IF(ABS(B74-C74)&lt;=D74,"PASS","FAIL")</f>
        <v>PASS</v>
      </c>
    </row>
    <row r="75">
      <c r="A75" t="inlineStr">
        <is>
          <t>LONG_STAY_FAIL at $227,000 a bed-year</t>
        </is>
      </c>
      <c r="B75" s="10">
        <f>(RANGE_HI*OCC_DAYS*DAYS_AVOIDED_2023/$B$20-30)/(MEDIAN_MCD_LOS-30)</f>
        <v>0.03697303859283745</v>
      </c>
      <c r="C75" s="10" t="n">
        <v>0.037</v>
      </c>
      <c r="D75" t="n">
        <v>0.0001</v>
      </c>
      <c r="E75" t="str">
        <f>IF(ABS(B75-C75)&lt;=D75,"PASS","FAIL")</f>
        <v>PASS</v>
      </c>
    </row>
    <row r="76">
      <c r="A76" t="inlineStr">
        <is>
          <t>NF_LEVEL_SHARE 2023</t>
        </is>
      </c>
      <c r="B76" s="10">
        <f>NF_LEVEL_SHARE_2023</f>
        <v>0.8219895287958116</v>
      </c>
      <c r="C76" s="10" t="n">
        <v>0.822</v>
      </c>
      <c r="D76" t="n">
        <v>0.0001</v>
      </c>
      <c r="E76" t="str">
        <f>IF(ABS(B76-C76)&lt;=D76,"PASS","FAIL")</f>
        <v>PASS</v>
      </c>
    </row>
    <row r="77">
      <c r="A77" t="inlineStr">
        <is>
          <t>NF_LEVEL_SHARE 2024</t>
        </is>
      </c>
      <c r="B77" s="10">
        <f>NF_LEVEL_SHARE_2024</f>
        <v>0.6936416184971098</v>
      </c>
      <c r="C77" s="10" t="n">
        <v>0.6936</v>
      </c>
      <c r="D77" t="n">
        <v>0.0001</v>
      </c>
      <c r="E77" t="str">
        <f>IF(ABS(B77-C77)&lt;=D77,"PASS","FAIL")</f>
        <v>PASS</v>
      </c>
    </row>
    <row r="79">
      <c r="A79" t="inlineStr">
        <is>
          <t>Anchors passing</t>
        </is>
      </c>
      <c r="B79">
        <f>IF(E24="PASS",1,0)+IF(E25="PASS",1,0)+IF(E26="PASS",1,0)+IF(E27="PASS",1,0)+IF(E28="PASS",1,0)+IF(E29="PASS",1,0)+IF(E30="PASS",1,0)+IF(E31="PASS",1,0)+IF(E32="PASS",1,0)+IF(E33="PASS",1,0)+IF(E34="PASS",1,0)+IF(E35="PASS",1,0)+IF(E39="PASS",1,0)+IF(E40="PASS",1,0)+IF(E41="PASS",1,0)+IF(E42="PASS",1,0)+IF(E43="PASS",1,0)+IF(E44="PASS",1,0)+IF(E45="PASS",1,0)+IF(E46="PASS",1,0)+IF(E47="PASS",1,0)+IF(E48="PASS",1,0)+IF(E49="PASS",1,0)+IF(E50="PASS",1,0)+IF(E51="PASS",1,0)+IF(E55="PASS",1,0)+IF(E56="PASS",1,0)+IF(E57="PASS",1,0)+IF(E58="PASS",1,0)+IF(E59="PASS",1,0)+IF(E60="PASS",1,0)+IF(E61="PASS",1,0)+IF(E62="PASS",1,0)+IF(E63="PASS",1,0)+IF(E64="PASS",1,0)+IF(E65="PASS",1,0)+IF(E66="PASS",1,0)+IF(E70="PASS",1,0)+IF(E71="PASS",1,0)+IF(E72="PASS",1,0)+IF(E73="PASS",1,0)+IF(E74="PASS",1,0)+IF(E75="PASS",1,0)+IF(E76="PASS",1,0)+IF(E77="PASS",1,0)</f>
        <v>45.0</v>
      </c>
      <c r="C79" t="n">
        <v>45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70" customWidth="1" min="1" max="1"/>
    <col width="16" customWidth="1" min="2" max="2"/>
    <col width="16" customWidth="1" min="3" max="3"/>
    <col width="16" customWidth="1" min="4" max="4"/>
    <col width="70" customWidth="1" min="6" max="6"/>
  </cols>
  <sheetData>
    <row r="1">
      <c r="A1" s="1" t="inlineStr">
        <is>
          <t>Checks: validation rules as live PASS / FAIL cells</t>
        </is>
      </c>
    </row>
    <row r="3">
      <c r="A3" s="2" t="inlineStr">
        <is>
          <t>Check</t>
        </is>
      </c>
      <c r="B3" s="2" t="inlineStr">
        <is>
          <t>Value</t>
        </is>
      </c>
      <c r="C3" s="2" t="inlineStr">
        <is>
          <t>Required</t>
        </is>
      </c>
      <c r="D3" s="2" t="inlineStr">
        <is>
          <t>Tolerance</t>
        </is>
      </c>
      <c r="E3" s="2" t="inlineStr">
        <is>
          <t>Result</t>
        </is>
      </c>
      <c r="F3" s="2" t="inlineStr">
        <is>
          <t>Note</t>
        </is>
      </c>
    </row>
    <row r="5">
      <c r="A5" s="3" t="inlineStr">
        <is>
          <t>Structural</t>
        </is>
      </c>
    </row>
    <row r="6">
      <c r="A6" t="inlineStr">
        <is>
          <t>Dec 31 reasons sum to SNAP_TOTAL, 2023</t>
        </is>
      </c>
      <c r="B6">
        <f>REASONS_SUM_2023</f>
        <v>191.0</v>
      </c>
      <c r="C6">
        <f>SNAP_TOTAL_2023</f>
        <v>191</v>
      </c>
      <c r="D6" t="n">
        <v>0</v>
      </c>
      <c r="E6" t="str">
        <f>IF(REASONS_SUM_2023=SNAP_TOTAL_2023,"PASS","FAIL")</f>
        <v>PASS</v>
      </c>
      <c r="F6" t="inlineStr"/>
    </row>
    <row r="7">
      <c r="A7" t="inlineStr">
        <is>
          <t>Dec 31 reasons sum to SNAP_TOTAL, 2024</t>
        </is>
      </c>
      <c r="B7">
        <f>REASONS_SUM_2024</f>
        <v>173.0</v>
      </c>
      <c r="C7">
        <f>SNAP_TOTAL_2024</f>
        <v>173</v>
      </c>
      <c r="D7" t="n">
        <v>0</v>
      </c>
      <c r="E7" t="str">
        <f>IF(REASONS_SUM_2024=SNAP_TOTAL_2024,"PASS","FAIL")</f>
        <v>PASS</v>
      </c>
      <c r="F7" t="inlineStr"/>
    </row>
    <row r="8">
      <c r="A8" t="inlineStr">
        <is>
          <t>Hospital rows sum to Table 18 totals (largest gap)</t>
        </is>
      </c>
      <c r="B8">
        <f>MAX(MAX(HOSP_SUM_GAP),-MIN(HOSP_SUM_GAP))</f>
        <v>0.0</v>
      </c>
      <c r="C8" t="n">
        <v>0</v>
      </c>
      <c r="D8" t="n">
        <v>0</v>
      </c>
      <c r="E8" t="str">
        <f>IF(MAX(MAX(HOSP_SUM_GAP),-MIN(HOSP_SUM_GAP))=0,"PASS","FAIL")</f>
        <v>PASS</v>
      </c>
      <c r="F8" t="inlineStr"/>
    </row>
    <row r="9">
      <c r="A9" t="inlineStr">
        <is>
          <t>POOL_BEDS equals its identity form</t>
        </is>
      </c>
      <c r="B9">
        <f>POOL_BEDS</f>
        <v>150.1685433550886</v>
      </c>
      <c r="C9">
        <f>POOL_BEDS_ALT</f>
        <v>150.1685433550886</v>
      </c>
      <c r="D9" t="n">
        <v>1e-06</v>
      </c>
      <c r="E9" t="str">
        <f>IF(ABS(POOL_BEDS-POOL_BEDS_ALT)&lt;=0.000001,"PASS","FAIL")</f>
        <v>PASS</v>
      </c>
      <c r="F9" t="inlineStr"/>
    </row>
    <row r="10">
      <c r="A10" t="inlineStr">
        <is>
          <t>BEDS is the largest b at the maximum NET</t>
        </is>
      </c>
      <c r="B10">
        <f>BEDS</f>
        <v>150</v>
      </c>
      <c r="C10">
        <f>MAX_NET</f>
        <v>15326939.591086207</v>
      </c>
      <c r="D10" t="inlineStr"/>
      <c r="E10" t="str">
        <f>IF(INDEX(BS_NET,BEDS+1)=MAX_NET,"PASS","FAIL")</f>
        <v>PASS</v>
      </c>
      <c r="F10" t="inlineStr"/>
    </row>
    <row r="11">
      <c r="A11" t="inlineStr">
        <is>
          <t>BEDS equals BEDS_FIRST_FAIL - 1 (or B_MAX)</t>
        </is>
      </c>
      <c r="B11">
        <f>BEDS</f>
        <v>150</v>
      </c>
      <c r="C11">
        <f>IF(BEDS_FIRST_FAIL="none",B_MAX,BEDS_FIRST_FAIL_NUM-1)</f>
        <v>150.0</v>
      </c>
      <c r="D11" t="n">
        <v>0</v>
      </c>
      <c r="E11" t="str">
        <f>IF(BEDS=IF(BEDS_FIRST_FAIL="none",B_MAX,BEDS_FIRST_FAIL_NUM-1),"PASS","FAIL")</f>
        <v>PASS</v>
      </c>
      <c r="F11" t="inlineStr"/>
    </row>
    <row r="12">
      <c r="A12" t="inlineStr">
        <is>
          <t>GRANT &gt;= 0, both rungs</t>
        </is>
      </c>
      <c r="B12">
        <f>MIN(GRANT_RUNG1,GRANT_RUNG2)</f>
        <v>0</v>
      </c>
      <c r="C12" t="n">
        <v>0</v>
      </c>
      <c r="D12" t="inlineStr"/>
      <c r="E12" t="str">
        <f>IF(MIN(GRANT_RUNG1,GRANT_RUNG2)&gt;=0,"PASS","FAIL")</f>
        <v>PASS</v>
      </c>
      <c r="F12" t="inlineStr"/>
    </row>
    <row r="13">
      <c r="A13" t="inlineStr">
        <is>
          <t>SUM of PLAN_SHARE is 1</t>
        </is>
      </c>
      <c r="B13">
        <f>PLAN_SHARE_SUM</f>
        <v>1.0</v>
      </c>
      <c r="C13" t="n">
        <v>1</v>
      </c>
      <c r="D13" t="n">
        <v>1e-06</v>
      </c>
      <c r="E13" t="str">
        <f>IF(ABS(PLAN_SHARE_SUM-1)&lt;=0.000001,"PASS","FAIL")</f>
        <v>PASS</v>
      </c>
      <c r="F13" t="inlineStr"/>
    </row>
    <row r="14">
      <c r="A14" t="inlineStr">
        <is>
          <t>SUM of PAY_H equals TOTAL_GRANT</t>
        </is>
      </c>
      <c r="B14">
        <f>PAY_H_SUM</f>
        <v>0.0</v>
      </c>
      <c r="C14">
        <f>TOTAL_GRANT</f>
        <v>0.0</v>
      </c>
      <c r="D14" t="n">
        <v>0.01</v>
      </c>
      <c r="E14" t="str">
        <f>IF(ABS(PAY_H_SUM-TOTAL_GRANT)&lt;=0.01,"PASS","FAIL")</f>
        <v>PASS</v>
      </c>
      <c r="F14" t="inlineStr"/>
    </row>
    <row r="15">
      <c r="A15" t="inlineStr">
        <is>
          <t>Base run (PAST_POOL_PCT = 0): BEDS &lt;= POOL_BEDS</t>
        </is>
      </c>
      <c r="B15">
        <f>BEDS</f>
        <v>150</v>
      </c>
      <c r="C15">
        <f>POOL_BEDS</f>
        <v>150.1685433550886</v>
      </c>
      <c r="D15" t="inlineStr"/>
      <c r="E15" t="str">
        <f>IF(OR(PAST_POOL_PCT&gt;0,BEDS&lt;=POOL_BEDS),"PASS","FAIL")</f>
        <v>PASS</v>
      </c>
      <c r="F15" t="inlineStr"/>
    </row>
    <row r="16">
      <c r="A16" t="inlineStr">
        <is>
          <t>Rebase years: RATE_REB equals RATE_AT_COST (mismatches)</t>
        </is>
      </c>
      <c r="B16">
        <f>REBASE_MISMATCH</f>
        <v>0.0</v>
      </c>
      <c r="C16" t="n">
        <v>0</v>
      </c>
      <c r="D16" t="n">
        <v>0</v>
      </c>
      <c r="E16" t="str">
        <f>IF(REBASE_MISMATCH=0,"PASS","FAIL")</f>
        <v>PASS</v>
      </c>
      <c r="F16" t="inlineStr"/>
    </row>
    <row r="17">
      <c r="A17" t="inlineStr">
        <is>
          <t>No Pull at build value blank (K, R_CAP, NF_CAP_COST, FMAP, G_IDX)</t>
        </is>
      </c>
      <c r="B17" t="b">
        <f>AND(K_RUNG1&gt;0,K_RUNG2&gt;0,R_CAP_2024&gt;0,NF_CAP_COST_2023&gt;0,FMAP_2026&gt;0,G_IDX_2027&gt;0)</f>
        <v>1</v>
      </c>
      <c r="C17" t="inlineStr">
        <is>
          <t>TRUE</t>
        </is>
      </c>
      <c r="D17" t="inlineStr"/>
      <c r="E17" t="str">
        <f>IF(AND(K_RUNG1&gt;0,K_RUNG2&gt;0,R_CAP_2024&gt;0,NF_CAP_COST_2023&gt;0,FMAP_2026&gt;0,G_IDX_2027&gt;0),"PASS","FAIL")</f>
        <v>PASS</v>
      </c>
      <c r="F17" t="inlineStr"/>
    </row>
    <row r="18">
      <c r="A18" t="inlineStr">
        <is>
          <t>Scenarios base block reproduces BEDS</t>
        </is>
      </c>
      <c r="B18">
        <f>Scenarios!$B$45</f>
        <v>150</v>
      </c>
      <c r="C18">
        <f>BEDS</f>
        <v>150</v>
      </c>
      <c r="D18" t="n">
        <v>1e-06</v>
      </c>
      <c r="E18" t="str">
        <f>IF(ABS(Scenarios!$B$45-BEDS)&lt;=0.000001,"PASS","FAIL")</f>
        <v>PASS</v>
      </c>
      <c r="F18" t="inlineStr"/>
    </row>
    <row r="19">
      <c r="A19" t="inlineStr">
        <is>
          <t>Scenarios base block reproduces BREAKEVEN_FIRST</t>
        </is>
      </c>
      <c r="B19">
        <f>Scenarios!$B$39</f>
        <v>604.6110334290989</v>
      </c>
      <c r="C19">
        <f>BREAKEVEN_FIRST</f>
        <v>604.6110334290989</v>
      </c>
      <c r="D19" t="n">
        <v>1e-06</v>
      </c>
      <c r="E19" t="str">
        <f>IF(ABS(Scenarios!$B$39-BREAKEVEN_FIRST)&lt;=0.000001,"PASS","FAIL")</f>
        <v>PASS</v>
      </c>
      <c r="F19" t="inlineStr"/>
    </row>
    <row r="20">
      <c r="A20" t="inlineStr">
        <is>
          <t>Scenarios base block reproduces UNIT_INC</t>
        </is>
      </c>
      <c r="B20">
        <f>Scenarios!$B$61</f>
        <v>1990.281642926819</v>
      </c>
      <c r="C20">
        <f>UNIT_INC</f>
        <v>1990.281642926819</v>
      </c>
      <c r="D20" t="n">
        <v>1e-06</v>
      </c>
      <c r="E20" t="str">
        <f>IF(ABS(Scenarios!$B$61-UNIT_INC)&lt;=0.000001,"PASS","FAIL")</f>
        <v>PASS</v>
      </c>
      <c r="F20" t="inlineStr"/>
    </row>
    <row r="21">
      <c r="A21" t="inlineStr">
        <is>
          <t>Scenarios base block reproduces UNIT_PART</t>
        </is>
      </c>
      <c r="B21">
        <f>Scenarios!$B$69</f>
        <v>148.25106452877213</v>
      </c>
      <c r="C21">
        <f>UNIT_PART</f>
        <v>148.25106452877213</v>
      </c>
      <c r="D21" t="n">
        <v>1e-06</v>
      </c>
      <c r="E21" t="str">
        <f>IF(ABS(Scenarios!$B$69-UNIT_PART)&lt;=0.000001,"PASS","FAIL")</f>
        <v>PASS</v>
      </c>
      <c r="F21" t="inlineStr"/>
    </row>
    <row r="22">
      <c r="A22" t="inlineStr">
        <is>
          <t>Scenarios base block reproduces UNIT_RULE_HIX</t>
        </is>
      </c>
      <c r="B22">
        <f>Scenarios!$B$64</f>
        <v>2337.981033469702</v>
      </c>
      <c r="C22">
        <f>UNIT_RULE_HIX</f>
        <v>2337.981033469702</v>
      </c>
      <c r="D22" t="n">
        <v>1e-06</v>
      </c>
      <c r="E22" t="str">
        <f>IF(ABS(Scenarios!$B$64-UNIT_RULE_HIX)&lt;=0.000001,"PASS","FAIL")</f>
        <v>PASS</v>
      </c>
      <c r="F22" t="inlineStr"/>
    </row>
    <row r="23">
      <c r="A23" t="inlineStr">
        <is>
          <t>Scenarios base block reproduces UNIT_RULE_REB</t>
        </is>
      </c>
      <c r="B23">
        <f>Scenarios!$B$67</f>
        <v>2302.47359003705</v>
      </c>
      <c r="C23">
        <f>UNIT_RULE_REB</f>
        <v>2302.47359003705</v>
      </c>
      <c r="D23" t="n">
        <v>1e-06</v>
      </c>
      <c r="E23" t="str">
        <f>IF(ABS(Scenarios!$B$67-UNIT_RULE_REB)&lt;=0.000001,"PASS","FAIL")</f>
        <v>PASS</v>
      </c>
      <c r="F23" t="inlineStr"/>
    </row>
    <row r="24">
      <c r="A24" t="inlineStr">
        <is>
          <t>Scenarios base block reproduces JOIN_MIN</t>
        </is>
      </c>
      <c r="B24">
        <f>Scenarios!$B$57</f>
        <v>454.7187309484641</v>
      </c>
      <c r="C24">
        <f>JOIN_MIN</f>
        <v>454.7187309484641</v>
      </c>
      <c r="D24" t="n">
        <v>1e-06</v>
      </c>
      <c r="E24" t="str">
        <f>IF(ABS(Scenarios!$B$57-JOIN_MIN)&lt;=0.000001,"PASS","FAIL")</f>
        <v>PASS</v>
      </c>
      <c r="F24" t="inlineStr"/>
    </row>
    <row r="25">
      <c r="A25" t="inlineStr">
        <is>
          <t>Scenarios base block reproduces MCD_NET</t>
        </is>
      </c>
      <c r="B25">
        <f>Scenarios!$B$53</f>
        <v>37367.159242427646</v>
      </c>
      <c r="C25">
        <f>MCD_NET</f>
        <v>37367.159242427646</v>
      </c>
      <c r="D25" t="n">
        <v>1e-06</v>
      </c>
      <c r="E25" t="str">
        <f>IF(ABS(Scenarios!$B$53-MCD_NET)&lt;=0.000001,"PASS","FAIL")</f>
        <v>PASS</v>
      </c>
      <c r="F25" t="inlineStr"/>
    </row>
    <row r="26">
      <c r="A26" t="inlineStr">
        <is>
          <t>Scenarios base block reproduces OP_FAIL_YEAR IDX</t>
        </is>
      </c>
      <c r="B26">
        <f>Scenarios!$B$74</f>
        <v>2027</v>
      </c>
      <c r="C26">
        <f>OP_FAIL_YEAR_IDX</f>
        <v>2027</v>
      </c>
      <c r="D26" t="inlineStr"/>
      <c r="E26" t="str">
        <f>IF(Scenarios!$B$74=OP_FAIL_YEAR_IDX,"PASS","FAIL")</f>
        <v>PASS</v>
      </c>
      <c r="F26" t="inlineStr"/>
    </row>
    <row r="27">
      <c r="A27" t="inlineStr">
        <is>
          <t>Scenarios base block reproduces OP_FAIL_YEAR HIX</t>
        </is>
      </c>
      <c r="B27">
        <f>Scenarios!$B$75</f>
        <v>2027</v>
      </c>
      <c r="C27">
        <f>OP_FAIL_YEAR_HIX</f>
        <v>2027</v>
      </c>
      <c r="D27" t="inlineStr"/>
      <c r="E27" t="str">
        <f>IF(Scenarios!$B$75=OP_FAIL_YEAR_HIX,"PASS","FAIL")</f>
        <v>PASS</v>
      </c>
      <c r="F27" t="inlineStr"/>
    </row>
    <row r="28">
      <c r="A28" t="inlineStr">
        <is>
          <t>Scenarios base block reproduces OP_FAIL_YEAR REB</t>
        </is>
      </c>
      <c r="B28">
        <f>Scenarios!$B$76</f>
        <v>2029</v>
      </c>
      <c r="C28">
        <f>OP_FAIL_YEAR_REB</f>
        <v>2029</v>
      </c>
      <c r="D28" t="inlineStr"/>
      <c r="E28" t="str">
        <f>IF(Scenarios!$B$76=OP_FAIL_YEAR_REB,"PASS","FAIL")</f>
        <v>PASS</v>
      </c>
      <c r="F28" t="inlineStr"/>
    </row>
    <row r="30">
      <c r="A30" s="3" t="inlineStr">
        <is>
          <t>Hypothesis tests (base run unless noted; from the brief)</t>
        </is>
      </c>
    </row>
    <row r="31">
      <c r="A31" t="inlineStr">
        <is>
          <t>Bed count within the 125 to 175 band</t>
        </is>
      </c>
      <c r="B31">
        <f>BEDS</f>
        <v>150</v>
      </c>
      <c r="C31">
        <f>HYP_BEDS</f>
        <v>150</v>
      </c>
      <c r="D31" t="inlineStr">
        <is>
          <t>+/- 25 beds</t>
        </is>
      </c>
      <c r="E31" t="str">
        <f>IF(AND(BEDS&gt;=BAND_LO,BEDS&lt;=BAND_HI),"PASS","FAIL")</f>
        <v>PASS</v>
      </c>
      <c r="F31" t="inlineStr">
        <is>
          <t>In the base (PAST_POOL_PCT = 0) BEDS is 0 or the last whole bed in the pool: this tests whether any bed pays</t>
        </is>
      </c>
    </row>
    <row r="32">
      <c r="A32" t="inlineStr">
        <is>
          <t>First beds pay: BREAKEVEN of the first rung used within the range set in advance</t>
        </is>
      </c>
      <c r="B32">
        <f>BREAKEVEN_FIRST</f>
        <v>604.6110334290989</v>
      </c>
      <c r="C32" t="inlineStr">
        <is>
          <t>550 to 1,470</t>
        </is>
      </c>
      <c r="D32" t="inlineStr">
        <is>
          <t>none</t>
        </is>
      </c>
      <c r="E32" t="str">
        <f>IF(AND(BREAKEVEN_FIRST&gt;=RANGE_LO,BREAKEVEN_FIRST&lt;=RANGE_HI),"PASS","FAIL")</f>
        <v>PASS</v>
      </c>
      <c r="F32" t="inlineStr">
        <is>
          <t>Distance from the $900 guess: see BE_VS_GUESS on Ladder</t>
        </is>
      </c>
    </row>
    <row r="33">
      <c r="A33" t="inlineStr">
        <is>
          <t>Stay length 30 days, 2023: BREAKEVEN of the first rung used &lt;= RANGE_HI</t>
        </is>
      </c>
      <c r="B33">
        <f>COST_YR_FIRST/(OCC_DAYS/30*DAYS_AVOIDED_2023)</f>
        <v>604.6110334290989</v>
      </c>
      <c r="C33">
        <f>RANGE_HI</f>
        <v>1470</v>
      </c>
      <c r="D33" t="inlineStr">
        <is>
          <t>none</t>
        </is>
      </c>
      <c r="E33" t="str">
        <f>IF(COST_YR_FIRST/(OCC_DAYS/30*DAYS_AVOIDED_2023)&lt;=RANGE_HI,"PASS","FAIL")</f>
        <v>PASS</v>
      </c>
      <c r="F33" t="inlineStr"/>
    </row>
    <row r="34">
      <c r="A34" t="inlineStr">
        <is>
          <t>Stay length 60 days, 2023: BREAKEVEN of the first rung used &lt;= RANGE_HI</t>
        </is>
      </c>
      <c r="B34">
        <f>COST_YR_FIRST/(OCC_DAYS/60*DAYS_AVOIDED_2023)</f>
        <v>1209.2220668581979</v>
      </c>
      <c r="C34">
        <f>RANGE_HI</f>
        <v>1470</v>
      </c>
      <c r="D34" t="inlineStr">
        <is>
          <t>none</t>
        </is>
      </c>
      <c r="E34" t="str">
        <f>IF(COST_YR_FIRST/(OCC_DAYS/60*DAYS_AVOIDED_2023)&lt;=RANGE_HI,"PASS","FAIL")</f>
        <v>PASS</v>
      </c>
      <c r="F34" t="inlineStr"/>
    </row>
    <row r="35">
      <c r="A35" t="inlineStr">
        <is>
          <t>Stay length 90 days, 2023: BREAKEVEN of the first rung used &lt;= RANGE_HI</t>
        </is>
      </c>
      <c r="B35">
        <f>COST_YR_FIRST/(OCC_DAYS/90*DAYS_AVOIDED_2023)</f>
        <v>1813.8331002872967</v>
      </c>
      <c r="C35">
        <f>RANGE_HI</f>
        <v>1470</v>
      </c>
      <c r="D35" t="inlineStr">
        <is>
          <t>none</t>
        </is>
      </c>
      <c r="E35" t="str">
        <f>IF(COST_YR_FIRST/(OCC_DAYS/90*DAYS_AVOIDED_2023)&lt;=RANGE_HI,"PASS","FAIL")</f>
        <v>FAIL</v>
      </c>
      <c r="F35" t="inlineStr"/>
    </row>
    <row r="36">
      <c r="A36" t="inlineStr">
        <is>
          <t>Stay length 30 days, 2024: BREAKEVEN of the first rung used &lt;= RANGE_HI</t>
        </is>
      </c>
      <c r="B36">
        <f>COST_YR_FIRST/(OCC_DAYS/30*DAYS_AVOIDED_2024)</f>
        <v>713.9702030370032</v>
      </c>
      <c r="C36">
        <f>RANGE_HI</f>
        <v>1470</v>
      </c>
      <c r="D36" t="inlineStr">
        <is>
          <t>none</t>
        </is>
      </c>
      <c r="E36" t="str">
        <f>IF(COST_YR_FIRST/(OCC_DAYS/30*DAYS_AVOIDED_2024)&lt;=RANGE_HI,"PASS","FAIL")</f>
        <v>PASS</v>
      </c>
      <c r="F36" t="inlineStr"/>
    </row>
    <row r="37">
      <c r="A37" t="inlineStr">
        <is>
          <t>Stay length 60 days, 2024: BREAKEVEN of the first rung used &lt;= RANGE_HI</t>
        </is>
      </c>
      <c r="B37">
        <f>COST_YR_FIRST/(OCC_DAYS/60*DAYS_AVOIDED_2024)</f>
        <v>1427.9404060740064</v>
      </c>
      <c r="C37">
        <f>RANGE_HI</f>
        <v>1470</v>
      </c>
      <c r="D37" t="inlineStr">
        <is>
          <t>none</t>
        </is>
      </c>
      <c r="E37" t="str">
        <f>IF(COST_YR_FIRST/(OCC_DAYS/60*DAYS_AVOIDED_2024)&lt;=RANGE_HI,"PASS","FAIL")</f>
        <v>PASS</v>
      </c>
      <c r="F37" t="inlineStr"/>
    </row>
    <row r="38">
      <c r="A38" t="inlineStr">
        <is>
          <t>Stay length 90 days, 2024: BREAKEVEN of the first rung used &lt;= RANGE_HI</t>
        </is>
      </c>
      <c r="B38">
        <f>COST_YR_FIRST/(OCC_DAYS/90*DAYS_AVOIDED_2024)</f>
        <v>2141.9106091110098</v>
      </c>
      <c r="C38">
        <f>RANGE_HI</f>
        <v>1470</v>
      </c>
      <c r="D38" t="inlineStr">
        <is>
          <t>none</t>
        </is>
      </c>
      <c r="E38" t="str">
        <f>IF(COST_YR_FIRST/(OCC_DAYS/90*DAYS_AVOIDED_2024)&lt;=RANGE_HI,"PASS","FAIL")</f>
        <v>FAIL</v>
      </c>
      <c r="F38" t="inlineStr"/>
    </row>
    <row r="39">
      <c r="A39" t="inlineStr">
        <is>
          <t>STAY_FAIL, first rung used, 2023 (days; brief: about 50)</t>
        </is>
      </c>
      <c r="B39">
        <f>RANGE_HI*OCC_DAYS*DAYS_AVOIDED_2023/COST_YR_FIRST</f>
        <v>72.93945621515272</v>
      </c>
      <c r="C39">
        <f>HYP_STAY_FAIL</f>
        <v>50</v>
      </c>
    </row>
    <row r="40">
      <c r="A40" t="inlineStr">
        <is>
          <t>Stay length at risk? NF_LEVEL_SHARE 2023 vs LONG_STAY_FAIL</t>
        </is>
      </c>
      <c r="B40">
        <f>NF_LEVEL_SHARE_2023</f>
        <v>0.8219895287958116</v>
      </c>
      <c r="C40">
        <f>(RANGE_HI*OCC_DAYS*DAYS_AVOIDED_2023/COST_YR_FIRST-STAY_DAYS)/(MEDIAN_MCD_LOS-STAY_DAYS)</f>
        <v>0.08370264369425481</v>
      </c>
      <c r="D40" t="inlineStr">
        <is>
          <t>flag</t>
        </is>
      </c>
      <c r="E40" t="str">
        <f>IF(NF_LEVEL_SHARE_2023&lt;=(RANGE_HI*OCC_DAYS*DAYS_AVOIDED_2023/COST_YR_FIRST-STAY_DAYS)/(MEDIAN_MCD_LOS-STAY_DAYS),"PASS","FAIL")</f>
        <v>FAIL</v>
      </c>
      <c r="F40" t="inlineStr">
        <is>
          <t>FAIL here means "at risk" (decision 58); Table 19 care-home backlog: T19_CAREHOME_2024 of T19_WAITING_2024</t>
        </is>
      </c>
    </row>
    <row r="41">
      <c r="A41" t="inlineStr">
        <is>
          <t>STAY_FAIL, first rung used, 2024 (days; brief: about 50)</t>
        </is>
      </c>
      <c r="B41">
        <f>RANGE_HI*OCC_DAYS*DAYS_AVOIDED_2024/COST_YR_FIRST</f>
        <v>61.76728358188137</v>
      </c>
      <c r="C41">
        <f>HYP_STAY_FAIL</f>
        <v>50</v>
      </c>
    </row>
    <row r="42">
      <c r="A42" t="inlineStr">
        <is>
          <t>Stay length at risk? NF_LEVEL_SHARE 2024 vs LONG_STAY_FAIL</t>
        </is>
      </c>
      <c r="B42">
        <f>NF_LEVEL_SHARE_2024</f>
        <v>0.6936416184971098</v>
      </c>
      <c r="C42">
        <f>(RANGE_HI*OCC_DAYS*DAYS_AVOIDED_2024/COST_YR_FIRST-STAY_DAYS)/(MEDIAN_MCD_LOS-STAY_DAYS)</f>
        <v>0.06192452939937889</v>
      </c>
      <c r="D42" t="inlineStr">
        <is>
          <t>flag</t>
        </is>
      </c>
      <c r="E42" t="str">
        <f>IF(NF_LEVEL_SHARE_2024&lt;=(RANGE_HI*OCC_DAYS*DAYS_AVOIDED_2024/COST_YR_FIRST-STAY_DAYS)/(MEDIAN_MCD_LOS-STAY_DAYS),"PASS","FAIL")</f>
        <v>FAIL</v>
      </c>
      <c r="F42" t="inlineStr">
        <is>
          <t>FAIL here means "at risk" (decision 58); Table 19 care-home backlog: T19_CAREHOME_2024 of T19_WAITING_2024</t>
        </is>
      </c>
    </row>
    <row r="43">
      <c r="A43" t="inlineStr">
        <is>
          <t>Operating test: at least one rule form holds every year to the horizon</t>
        </is>
      </c>
      <c r="B43" t="str">
        <f>OP_FAIL_YEAR_HIX&amp;" / "&amp;OP_FAIL_YEAR_REB</f>
        <v>2027 / 2029</v>
      </c>
      <c r="C43" t="inlineStr">
        <is>
          <t>none</t>
        </is>
      </c>
      <c r="D43" t="inlineStr">
        <is>
          <t>$0</t>
        </is>
      </c>
      <c r="E43" t="str">
        <f>IF(OR(OP_FAIL_YEAR_HIX="none",OP_FAIL_YEAR_REB="none"),"PASS","FAIL")</f>
        <v>FAIL</v>
      </c>
      <c r="F43" t="inlineStr">
        <is>
          <t>Status quo (index only) fails in: see OP_FAIL_YEAR_IDX</t>
        </is>
      </c>
    </row>
    <row r="44">
      <c r="A44" t="inlineStr">
        <is>
          <t>OP_FAIL_YEAR, status quo (index only)</t>
        </is>
      </c>
      <c r="B44">
        <f>OP_FAIL_YEAR_IDX</f>
        <v>2027</v>
      </c>
    </row>
    <row r="45">
      <c r="A45" t="inlineStr">
        <is>
          <t>No single hospital funds alone (first rung used)</t>
        </is>
      </c>
      <c r="B45" t="str">
        <f>SOLO_ANY_FIRST</f>
        <v>n/a</v>
      </c>
      <c r="C45" t="inlineStr">
        <is>
          <t>no (or n/a)</t>
        </is>
      </c>
      <c r="D45" t="inlineStr">
        <is>
          <t>none</t>
        </is>
      </c>
      <c r="E45" t="str">
        <f>IF(SOLO_ANY_FIRST&lt;&gt;"yes","PASS","FAIL")</f>
        <v>PASS</v>
      </c>
      <c r="F45" t="inlineStr">
        <is>
          <t>n/a where the rung has no grant (decision 53)</t>
        </is>
      </c>
    </row>
    <row r="46">
      <c r="A46" t="inlineStr">
        <is>
          <t>Every hospital joins (base)</t>
        </is>
      </c>
      <c r="B46" t="str">
        <f>JOIN_ALL</f>
        <v>yes</v>
      </c>
      <c r="C46" t="inlineStr">
        <is>
          <t>yes</t>
        </is>
      </c>
      <c r="D46" t="inlineStr">
        <is>
          <t>none</t>
        </is>
      </c>
      <c r="E46" t="str">
        <f>IF(JOIN_ALL="yes","PASS","FAIL")</f>
        <v>PASS</v>
      </c>
      <c r="F46" t="inlineStr"/>
    </row>
    <row r="47">
      <c r="A47" t="inlineStr">
        <is>
          <t>Every hospital joins (stress run: one hospital at 550)</t>
        </is>
      </c>
      <c r="B47" t="str">
        <f>JOIN_STRESS</f>
        <v>yes</v>
      </c>
      <c r="C47" t="inlineStr">
        <is>
          <t>yes</t>
        </is>
      </c>
      <c r="D47" t="inlineStr">
        <is>
          <t>none</t>
        </is>
      </c>
      <c r="E47" t="str">
        <f>IF(JOIN_STRESS="yes","PASS","FAIL")</f>
        <v>PASS</v>
      </c>
      <c r="F47" t="inlineStr"/>
    </row>
    <row r="48">
      <c r="A48" t="inlineStr">
        <is>
          <t>Partnership frees a waitlist day for less than a one-time increase</t>
        </is>
      </c>
      <c r="B48">
        <f>UNIT_PART</f>
        <v>148.25106452877213</v>
      </c>
      <c r="C48">
        <f>UNIT_INC</f>
        <v>1990.281642926819</v>
      </c>
      <c r="D48" t="inlineStr">
        <is>
          <t>none</t>
        </is>
      </c>
      <c r="E48" t="str">
        <f>IF(AND(ISNUMBER(UNIT_PART),UNIT_PART&lt;UNIT_INC),"PASS","FAIL")</f>
        <v>PASS</v>
      </c>
      <c r="F48" t="inlineStr">
        <is>
          <t>UNIT_RULE_HIX and UNIT_RULE_REB reported alongside on RateCompare</t>
        </is>
      </c>
    </row>
    <row r="50">
      <c r="A50" s="3" t="inlineStr">
        <is>
          <t>Worked example and cross-checks</t>
        </is>
      </c>
    </row>
    <row r="51">
      <c r="A51" t="inlineStr">
        <is>
          <t>Worked-example anchors passing</t>
        </is>
      </c>
      <c r="B51">
        <f>WE_PASS_COUNT</f>
        <v>45.0</v>
      </c>
      <c r="C51">
        <f>WE_COUNT</f>
        <v>45</v>
      </c>
      <c r="D51" t="n">
        <v>0</v>
      </c>
      <c r="E51" t="str">
        <f>IF(WE_PASS_COUNT=WE_COUNT,"PASS","FAIL")</f>
        <v>PASS</v>
      </c>
      <c r="F51" t="inlineStr"/>
    </row>
    <row r="52">
      <c r="A52" t="inlineStr">
        <is>
          <t>POOL_BEDS 2023 and 2024 nearly equal (days per patient cancel)</t>
        </is>
      </c>
      <c r="B52">
        <f>POOL_BEDS_2023-POOL_BEDS_2024</f>
        <v>0.14716399013491355</v>
      </c>
      <c r="C52" t="n">
        <v>0</v>
      </c>
      <c r="D52" t="n">
        <v>1</v>
      </c>
      <c r="E52" t="str">
        <f>IF(ABS(POOL_BEDS_2023-POOL_BEDS_2024)&lt;=1,"PASS","FAIL")</f>
        <v>PASS</v>
      </c>
      <c r="F52" t="inlineStr"/>
    </row>
    <row r="53">
      <c r="A53" t="inlineStr">
        <is>
          <t>UNIT_RULE_HIX reduces to MCD_NF_DAYS x rate / (WAIT_DAYS x |SUPPLY_RESPONSE|) - R_WAIT_2023, rate weighted by discounted days kept</t>
        </is>
      </c>
      <c r="B53">
        <f>UNIT_RULE_HIX</f>
        <v>2337.981033469702</v>
      </c>
      <c r="C53">
        <f>SUMPRODUCT(OP_KEPT_HIX,OP_DF,OP_RATE_IDX,OP_DEFL)*MCD_NF_DAYS/(WAIT_DAYS_Y*ABS(SUPPLY_RESPONSE))/SUMPRODUCT(OP_KEPT_HIX,OP_DF)-MCD_SHARE_FREED*R_WAIT_2023</f>
        <v>2337.9810334697013</v>
      </c>
      <c r="D53" t="n">
        <v>1e-06</v>
      </c>
      <c r="E53" t="str">
        <f>IF(ABS(UNIT_RULE_HIX-(SUMPRODUCT(OP_KEPT_HIX,OP_DF,OP_RATE_IDX,OP_DEFL)*MCD_NF_DAYS/(WAIT_DAYS_Y*ABS(SUPPLY_RESPONSE))/SUMPRODUCT(OP_KEPT_HIX,OP_DF)-MCD_SHARE_FREED*R_WAIT_2023))&lt;=0.000001,"PASS","FAIL")</f>
        <v>PASS</v>
      </c>
      <c r="F53" t="inlineStr">
        <is>
          <t>Exact form of the spec cross-check (build choice); the spec gives no tolerance for the rough form</t>
        </is>
      </c>
    </row>
    <row r="54">
      <c r="A54" t="inlineStr">
        <is>
          <t>UNIT_RULE_HIX / UNIT_INC (report only: the rule is priced at the index rate, which grows faster than the CPI)</t>
        </is>
      </c>
      <c r="B54">
        <f>UNIT_RULE_HIX/UNIT_INC</f>
        <v>1.1746985868952557</v>
      </c>
    </row>
    <row r="55">
      <c r="A55" t="inlineStr">
        <is>
          <t>UNIT_RULE_REB reduces to MCD_NF_DAYS x rate / (WAIT_DAYS x |SUPPLY_RESPONSE|) - R_WAIT_2023, rate weighted by discounted days kept</t>
        </is>
      </c>
      <c r="B55">
        <f>UNIT_RULE_REB</f>
        <v>2302.47359003705</v>
      </c>
      <c r="C55">
        <f>SUMPRODUCT(OP_KEPT_REB,OP_DF,OP_RATE_IDX,OP_DEFL)*MCD_NF_DAYS/(WAIT_DAYS_Y*ABS(SUPPLY_RESPONSE))/SUMPRODUCT(OP_KEPT_REB,OP_DF)-MCD_SHARE_FREED*R_WAIT_2023</f>
        <v>2302.4735900370497</v>
      </c>
      <c r="D55" t="n">
        <v>1e-06</v>
      </c>
      <c r="E55" t="str">
        <f>IF(ABS(UNIT_RULE_REB-(SUMPRODUCT(OP_KEPT_REB,OP_DF,OP_RATE_IDX,OP_DEFL)*MCD_NF_DAYS/(WAIT_DAYS_Y*ABS(SUPPLY_RESPONSE))/SUMPRODUCT(OP_KEPT_REB,OP_DF)-MCD_SHARE_FREED*R_WAIT_2023))&lt;=0.000001,"PASS","FAIL")</f>
        <v>PASS</v>
      </c>
      <c r="F55" t="inlineStr">
        <is>
          <t>Exact form of the spec cross-check (build choice); the spec gives no tolerance for the rough form</t>
        </is>
      </c>
    </row>
    <row r="56">
      <c r="A56" t="inlineStr">
        <is>
          <t>UNIT_RULE_REB / UNIT_INC (report only: the rule is priced at the index rate, which grows faster than the CPI)</t>
        </is>
      </c>
      <c r="B56">
        <f>UNIT_RULE_REB/UNIT_INC</f>
        <v>1.1568581754344756</v>
      </c>
    </row>
    <row r="58">
      <c r="A58" s="3" t="inlineStr">
        <is>
          <t>Checks passing</t>
        </is>
      </c>
      <c r="B58">
        <f>IF(E6="PASS",1,0)+IF(E7="PASS",1,0)+IF(E8="PASS",1,0)+IF(E9="PASS",1,0)+IF(E10="PASS",1,0)+IF(E11="PASS",1,0)+IF(E12="PASS",1,0)+IF(E13="PASS",1,0)+IF(E14="PASS",1,0)+IF(E15="PASS",1,0)+IF(E16="PASS",1,0)+IF(E17="PASS",1,0)+IF(E18="PASS",1,0)+IF(E19="PASS",1,0)+IF(E20="PASS",1,0)+IF(E21="PASS",1,0)+IF(E22="PASS",1,0)+IF(E23="PASS",1,0)+IF(E24="PASS",1,0)+IF(E25="PASS",1,0)+IF(E26="PASS",1,0)+IF(E27="PASS",1,0)+IF(E28="PASS",1,0)+IF(E31="PASS",1,0)+IF(E32="PASS",1,0)+IF(E33="PASS",1,0)+IF(E34="PASS",1,0)+IF(E35="PASS",1,0)+IF(E36="PASS",1,0)+IF(E37="PASS",1,0)+IF(E38="PASS",1,0)+IF(E40="PASS",1,0)+IF(E42="PASS",1,0)+IF(E43="PASS",1,0)+IF(E45="PASS",1,0)+IF(E46="PASS",1,0)+IF(E47="PASS",1,0)+IF(E48="PASS",1,0)+IF(E51="PASS",1,0)+IF(E52="PASS",1,0)+IF(E53="PASS",1,0)+IF(E55="PASS",1,0)</f>
        <v>37.0</v>
      </c>
      <c r="C58" t="n">
        <v>42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1" t="inlineStr">
        <is>
          <t>Summary: every named output for the base run</t>
        </is>
      </c>
    </row>
    <row r="3">
      <c r="A3" s="2" t="inlineStr">
        <is>
          <t>Output</t>
        </is>
      </c>
      <c r="B3" s="2" t="inlineStr">
        <is>
          <t>Value</t>
        </is>
      </c>
    </row>
    <row r="4">
      <c r="A4" t="inlineStr">
        <is>
          <t>BEDS</t>
        </is>
      </c>
      <c r="B4" s="16">
        <f>BEDS</f>
        <v>150</v>
      </c>
    </row>
    <row r="5">
      <c r="A5" t="inlineStr">
        <is>
          <t>BEDS_FIRST_FAIL</t>
        </is>
      </c>
      <c r="B5" s="16">
        <f>BEDS_FIRST_FAIL</f>
        <v>151</v>
      </c>
    </row>
    <row r="6">
      <c r="A6" t="inlineStr">
        <is>
          <t>STOP_REASON</t>
        </is>
      </c>
      <c r="B6" s="16" t="str">
        <f>STOP_REASON</f>
        <v>pool</v>
      </c>
    </row>
    <row r="7">
      <c r="A7" t="inlineStr">
        <is>
          <t>POOL_BEDS</t>
        </is>
      </c>
      <c r="B7" s="16">
        <f>POOL_BEDS</f>
        <v>150.1685433550886</v>
      </c>
    </row>
    <row r="8">
      <c r="A8" t="inlineStr">
        <is>
          <t>FREED</t>
        </is>
      </c>
      <c r="B8" s="16">
        <f>FREED</f>
        <v>252.05322714681438</v>
      </c>
    </row>
    <row r="9">
      <c r="A9" t="inlineStr">
        <is>
          <t>K_ANN_RUNG1</t>
        </is>
      </c>
      <c r="B9" s="16">
        <f>K_ANN_RUNG1</f>
        <v>627.1621443748525</v>
      </c>
    </row>
    <row r="10">
      <c r="A10" t="inlineStr">
        <is>
          <t>K_ANN_RUNG2</t>
        </is>
      </c>
      <c r="B10" s="16">
        <f>K_ANN_RUNG2</f>
        <v>8951.369407388678</v>
      </c>
    </row>
    <row r="11">
      <c r="A11" t="inlineStr">
        <is>
          <t>COST_YR_RUNG1</t>
        </is>
      </c>
      <c r="B11" s="16">
        <f>COST_YR_RUNG1</f>
        <v>152394.16214437486</v>
      </c>
    </row>
    <row r="12">
      <c r="A12" t="inlineStr">
        <is>
          <t>COST_YR_RUNG2</t>
        </is>
      </c>
      <c r="B12" s="16">
        <f>COST_YR_RUNG2</f>
        <v>160718.36940738867</v>
      </c>
    </row>
    <row r="13">
      <c r="A13" t="inlineStr">
        <is>
          <t>BREAKEVEN_RUNG1</t>
        </is>
      </c>
      <c r="B13" s="16">
        <f>BREAKEVEN_RUNG1</f>
        <v>604.6110334290989</v>
      </c>
    </row>
    <row r="14">
      <c r="A14" t="inlineStr">
        <is>
          <t>BREAKEVEN_RUNG2</t>
        </is>
      </c>
      <c r="B14" s="16">
        <f>BREAKEVEN_RUNG2</f>
        <v>637.6366263058177</v>
      </c>
    </row>
    <row r="15">
      <c r="A15" t="inlineStr">
        <is>
          <t>BE_VS_GUESS_RUNG1</t>
        </is>
      </c>
      <c r="B15" s="16">
        <f>BE_VS_GUESS_RUNG1</f>
        <v>-295.38896657090106</v>
      </c>
    </row>
    <row r="16">
      <c r="A16" t="inlineStr">
        <is>
          <t>BE_VS_GUESS_RUNG2</t>
        </is>
      </c>
      <c r="B16" s="16">
        <f>BE_VS_GUESS_RUNG2</f>
        <v>-262.3633736941823</v>
      </c>
    </row>
    <row r="17">
      <c r="A17" t="inlineStr">
        <is>
          <t>GRANT_RUNG1</t>
        </is>
      </c>
      <c r="B17" s="16">
        <f>GRANT_RUNG1</f>
        <v>0</v>
      </c>
    </row>
    <row r="18">
      <c r="A18" t="inlineStr">
        <is>
          <t>GRANT_RUNG2</t>
        </is>
      </c>
      <c r="B18" s="16">
        <f>GRANT_RUNG2</f>
        <v>1560.1194073886782</v>
      </c>
    </row>
    <row r="19">
      <c r="A19" t="inlineStr">
        <is>
          <t>C_OP</t>
        </is>
      </c>
      <c r="B19" s="16">
        <f>C_OP</f>
        <v>443.25</v>
      </c>
    </row>
    <row r="20">
      <c r="A20" t="inlineStr">
        <is>
          <t>CAP_SHARE</t>
        </is>
      </c>
      <c r="B20" s="16">
        <f>CAP_SHARE</f>
        <v>0.04889732893344126</v>
      </c>
    </row>
    <row r="21">
      <c r="A21" t="inlineStr">
        <is>
          <t>OP_FAIL_YEAR_IDX</t>
        </is>
      </c>
      <c r="B21" s="16">
        <f>OP_FAIL_YEAR_IDX</f>
        <v>2027</v>
      </c>
    </row>
    <row r="22">
      <c r="A22" t="inlineStr">
        <is>
          <t>OP_FAIL_YEAR_HIX</t>
        </is>
      </c>
      <c r="B22" s="16">
        <f>OP_FAIL_YEAR_HIX</f>
        <v>2027</v>
      </c>
    </row>
    <row r="23">
      <c r="A23" t="inlineStr">
        <is>
          <t>OP_FAIL_YEAR_REB</t>
        </is>
      </c>
      <c r="B23" s="16">
        <f>OP_FAIL_YEAR_REB</f>
        <v>2029</v>
      </c>
    </row>
    <row r="24">
      <c r="A24" t="inlineStr">
        <is>
          <t>SHORTFALL_2034</t>
        </is>
      </c>
      <c r="B24" s="16">
        <f>SHORTFALL_2034</f>
        <v>0.10114015456880243</v>
      </c>
    </row>
    <row r="25">
      <c r="A25" t="inlineStr">
        <is>
          <t>WAGE_PREMIUM</t>
        </is>
      </c>
      <c r="B25" s="16">
        <f>WAGE_PREMIUM</f>
        <v>0.0</v>
      </c>
    </row>
    <row r="26">
      <c r="A26" t="inlineStr">
        <is>
          <t>MAX_PREMIUM_RUNG1</t>
        </is>
      </c>
      <c r="B26" s="16">
        <f>MAX_PREMIUM_RUNG1</f>
        <v>311.04900235588326</v>
      </c>
    </row>
    <row r="27">
      <c r="A27" t="inlineStr">
        <is>
          <t>MAX_PREMIUM_RUNG2</t>
        </is>
      </c>
      <c r="B27" s="16">
        <f>MAX_PREMIUM_RUNG2</f>
        <v>285.7089498048519</v>
      </c>
    </row>
    <row r="28">
      <c r="A28" t="inlineStr">
        <is>
          <t>MCD_NET</t>
        </is>
      </c>
      <c r="B28" s="16">
        <f>MCD_NET</f>
        <v>37367.159242427646</v>
      </c>
    </row>
    <row r="29">
      <c r="A29" t="inlineStr">
        <is>
          <t>STATE_NET</t>
        </is>
      </c>
      <c r="B29" s="16">
        <f>STATE_NET</f>
        <v>15066.438606546826</v>
      </c>
    </row>
    <row r="30">
      <c r="A30" t="inlineStr">
        <is>
          <t>FED_NET</t>
        </is>
      </c>
      <c r="B30" s="16">
        <f>FED_NET</f>
        <v>22300.720635880818</v>
      </c>
    </row>
    <row r="31">
      <c r="A31" t="inlineStr">
        <is>
          <t>HOSP_NET_DAY_BASE</t>
        </is>
      </c>
      <c r="B31" s="16">
        <f>HOSP_NET_DAY_BASE</f>
        <v>555.2812690515359</v>
      </c>
    </row>
    <row r="32">
      <c r="A32" t="inlineStr">
        <is>
          <t>JOIN_MIN</t>
        </is>
      </c>
      <c r="B32" s="16">
        <f>JOIN_MIN</f>
        <v>454.7187309484641</v>
      </c>
    </row>
    <row r="33">
      <c r="A33" t="inlineStr">
        <is>
          <t>JOIN_ALL</t>
        </is>
      </c>
      <c r="B33" s="16" t="str">
        <f>JOIN_ALL</f>
        <v>yes</v>
      </c>
    </row>
    <row r="34">
      <c r="A34" t="inlineStr">
        <is>
          <t>JOIN_STRESS</t>
        </is>
      </c>
      <c r="B34" s="16" t="str">
        <f>JOIN_STRESS</f>
        <v>yes</v>
      </c>
    </row>
    <row r="35">
      <c r="A35" t="inlineStr">
        <is>
          <t>SOLO_ANY_FIRST</t>
        </is>
      </c>
      <c r="B35" s="16" t="str">
        <f>SOLO_ANY_FIRST</f>
        <v>n/a</v>
      </c>
    </row>
    <row r="36">
      <c r="A36" t="inlineStr">
        <is>
          <t>STATE_RUN_PAY</t>
        </is>
      </c>
      <c r="B36" s="16">
        <f>STATE_RUN_PAY</f>
        <v>0.0</v>
      </c>
    </row>
    <row r="37">
      <c r="A37" t="inlineStr">
        <is>
          <t>STATE_RUN_DAY_SHARE</t>
        </is>
      </c>
      <c r="B37" s="16">
        <f>STATE_RUN_DAY_SHARE</f>
        <v>0.2806238492364345</v>
      </c>
    </row>
    <row r="38">
      <c r="A38" t="inlineStr">
        <is>
          <t>STATEWIDE_COST</t>
        </is>
      </c>
      <c r="B38" s="16">
        <f>STATEWIDE_COST</f>
        <v>5268660.0</v>
      </c>
    </row>
    <row r="39">
      <c r="A39" t="inlineStr">
        <is>
          <t>INC_FREED</t>
        </is>
      </c>
      <c r="B39" s="16">
        <f>INC_FREED</f>
        <v>2154.8708361337654</v>
      </c>
    </row>
    <row r="40">
      <c r="A40" t="inlineStr">
        <is>
          <t>UNIT_INC</t>
        </is>
      </c>
      <c r="B40" s="16">
        <f>UNIT_INC</f>
        <v>1990.281642926819</v>
      </c>
    </row>
    <row r="41">
      <c r="A41" t="inlineStr">
        <is>
          <t>RULE_COST_PV_HIX</t>
        </is>
      </c>
      <c r="B41" s="16">
        <f>RULE_COST_PV_HIX</f>
        <v>271738776.0226568</v>
      </c>
    </row>
    <row r="42">
      <c r="A42" t="inlineStr">
        <is>
          <t>RULE_COST_PV_REB</t>
        </is>
      </c>
      <c r="B42" s="16">
        <f>RULE_COST_PV_REB</f>
        <v>451673731.0323267</v>
      </c>
    </row>
    <row r="43">
      <c r="A43" t="inlineStr">
        <is>
          <t>UNIT_RULE_HIX</t>
        </is>
      </c>
      <c r="B43" s="16">
        <f>UNIT_RULE_HIX</f>
        <v>2337.981033469702</v>
      </c>
    </row>
    <row r="44">
      <c r="A44" t="inlineStr">
        <is>
          <t>UNIT_RULE_REB</t>
        </is>
      </c>
      <c r="B44" s="16">
        <f>UNIT_RULE_REB</f>
        <v>2302.47359003705</v>
      </c>
    </row>
    <row r="45">
      <c r="A45" t="inlineStr">
        <is>
          <t>UNIT_PART</t>
        </is>
      </c>
      <c r="B45" s="16">
        <f>UNIT_PART</f>
        <v>148.25106452877213</v>
      </c>
    </row>
    <row r="46">
      <c r="A46" t="inlineStr">
        <is>
          <t>PER_BED_EQ_INC</t>
        </is>
      </c>
      <c r="B46" s="16">
        <f>PER_BED_EQ_INC</f>
        <v>501656.9110307684</v>
      </c>
    </row>
    <row r="47">
      <c r="A47" t="inlineStr">
        <is>
          <t>PER_BED_EQ_RULE_HIX</t>
        </is>
      </c>
      <c r="B47" s="16">
        <f>PER_BED_EQ_RULE_HIX</f>
        <v>589295.6644940827</v>
      </c>
    </row>
    <row r="48">
      <c r="A48" t="inlineStr">
        <is>
          <t>PER_BED_EQ_RULE_REB</t>
        </is>
      </c>
      <c r="B48" s="16">
        <f>PER_BED_EQ_RULE_REB</f>
        <v>580345.8987891498</v>
      </c>
    </row>
    <row r="49">
      <c r="A49" t="inlineStr">
        <is>
          <t>PER_BED_EQ_PART</t>
        </is>
      </c>
      <c r="B49" s="16">
        <f>PER_BED_EQ_PART</f>
        <v>37367.15924242764</v>
      </c>
    </row>
    <row r="50">
      <c r="A50" t="inlineStr">
        <is>
          <t>NF_LEVEL_SHARE</t>
        </is>
      </c>
      <c r="B50" s="16">
        <f>NF_LEVEL_SHARE</f>
        <v>0.8219895287958116</v>
      </c>
    </row>
    <row r="51">
      <c r="A51" t="inlineStr">
        <is>
          <t>T19_WAITING_2024</t>
        </is>
      </c>
      <c r="B51" s="16">
        <f>T19_WAITING_2024</f>
        <v>39</v>
      </c>
    </row>
    <row r="52">
      <c r="A52" t="inlineStr">
        <is>
          <t>T19_CAREHOME_2024</t>
        </is>
      </c>
      <c r="B52" s="16">
        <f>T19_CAREHOME_2024</f>
        <v>34</v>
      </c>
    </row>
    <row r="53">
      <c r="A53" t="inlineStr">
        <is>
          <t>CHECKS_PASS</t>
        </is>
      </c>
      <c r="B53" s="16">
        <f>CHECKS_PASS</f>
        <v>37.0</v>
      </c>
    </row>
    <row r="54">
      <c r="A54" t="inlineStr">
        <is>
          <t>WE_PASS_COUNT</t>
        </is>
      </c>
      <c r="B54" s="16">
        <f>WE_PASS_COUNT</f>
        <v>45.0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76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FigureData: the series behind each figure (spec, Figures)</t>
        </is>
      </c>
    </row>
    <row r="3">
      <c r="A3" s="3" t="inlineStr">
        <is>
          <t>Figure 1. Nursing-home cost vs Medicaid rates (USD per day, nominal)</t>
        </is>
      </c>
    </row>
    <row r="4">
      <c r="A4" t="inlineStr">
        <is>
          <t>History: median cost per day, Medicaid-heavy homes (CMS cost reports; local hi-snf-cost-per-day-series-2011-2023.csv)</t>
        </is>
      </c>
    </row>
    <row r="5">
      <c r="A5" s="2" t="inlineStr">
        <is>
          <t>Fiscal year</t>
        </is>
      </c>
      <c r="B5" s="2" t="inlineStr">
        <is>
          <t>Median cost per day</t>
        </is>
      </c>
    </row>
    <row r="6">
      <c r="A6" t="n">
        <v>2011</v>
      </c>
      <c r="B6" s="8" t="n">
        <v>287.76</v>
      </c>
    </row>
    <row r="7">
      <c r="A7" t="n">
        <v>2012</v>
      </c>
      <c r="B7" s="8" t="n">
        <v>311.89</v>
      </c>
    </row>
    <row r="8">
      <c r="A8" t="n">
        <v>2013</v>
      </c>
      <c r="B8" s="8" t="n">
        <v>322.2</v>
      </c>
    </row>
    <row r="9">
      <c r="A9" t="n">
        <v>2014</v>
      </c>
      <c r="B9" s="8" t="n">
        <v>322.2</v>
      </c>
    </row>
    <row r="10">
      <c r="A10" t="n">
        <v>2015</v>
      </c>
      <c r="B10" s="8" t="n">
        <v>322.11</v>
      </c>
    </row>
    <row r="11">
      <c r="A11" t="n">
        <v>2016</v>
      </c>
      <c r="B11" s="8" t="n">
        <v>344.38</v>
      </c>
    </row>
    <row r="12">
      <c r="A12" t="n">
        <v>2017</v>
      </c>
      <c r="B12" s="8" t="n">
        <v>356.1</v>
      </c>
    </row>
    <row r="13">
      <c r="A13" t="n">
        <v>2018</v>
      </c>
      <c r="B13" s="8" t="n">
        <v>365.93</v>
      </c>
    </row>
    <row r="14">
      <c r="A14" t="n">
        <v>2019</v>
      </c>
      <c r="B14" s="8" t="n">
        <v>373.25</v>
      </c>
    </row>
    <row r="15">
      <c r="A15" t="n">
        <v>2020</v>
      </c>
      <c r="B15" s="8" t="n">
        <v>398.33</v>
      </c>
    </row>
    <row r="16">
      <c r="A16" t="n">
        <v>2021</v>
      </c>
      <c r="B16" s="8" t="n">
        <v>423.44</v>
      </c>
    </row>
    <row r="17">
      <c r="A17" t="n">
        <v>2022</v>
      </c>
      <c r="B17" s="8" t="n">
        <v>435.63</v>
      </c>
    </row>
    <row r="18">
      <c r="A18" t="n">
        <v>2023</v>
      </c>
      <c r="B18" s="8" t="n">
        <v>461.78</v>
      </c>
    </row>
    <row r="20">
      <c r="A20" t="inlineStr">
        <is>
          <t>History: Medicaid rates by memo (local hi-medicaid-rate-series-2016-2026.csv)</t>
        </is>
      </c>
    </row>
    <row r="21">
      <c r="A21" s="2" t="inlineStr">
        <is>
          <t>Effective</t>
        </is>
      </c>
      <c r="B21" s="2" t="inlineStr">
        <is>
          <t>Memo</t>
        </is>
      </c>
      <c r="C21" s="2" t="inlineStr">
        <is>
          <t>Median NF rate</t>
        </is>
      </c>
      <c r="D21" s="2" t="inlineStr">
        <is>
          <t>Waitlisted hospital rate</t>
        </is>
      </c>
    </row>
    <row r="22">
      <c r="A22" t="inlineStr">
        <is>
          <t>2016-01</t>
        </is>
      </c>
      <c r="B22" t="inlineStr">
        <is>
          <t>QI-1521</t>
        </is>
      </c>
      <c r="C22" s="8" t="n">
        <v>246.97</v>
      </c>
      <c r="D22" s="8" t="n">
        <v>234.09</v>
      </c>
    </row>
    <row r="23">
      <c r="A23" t="inlineStr">
        <is>
          <t>2016-07</t>
        </is>
      </c>
      <c r="B23" t="inlineStr">
        <is>
          <t>QI-1607</t>
        </is>
      </c>
      <c r="C23" s="8" t="n">
        <v>252.4</v>
      </c>
      <c r="D23" s="8" t="n">
        <v>235.93</v>
      </c>
    </row>
    <row r="24">
      <c r="A24" t="inlineStr">
        <is>
          <t>2017-01</t>
        </is>
      </c>
      <c r="B24" t="inlineStr">
        <is>
          <t>QI-1622</t>
        </is>
      </c>
      <c r="C24" s="8" t="n">
        <v>251.93</v>
      </c>
      <c r="D24" s="8" t="n">
        <v>233.9</v>
      </c>
    </row>
    <row r="25">
      <c r="A25" t="inlineStr">
        <is>
          <t>2017-07</t>
        </is>
      </c>
      <c r="B25" t="inlineStr">
        <is>
          <t>QI-1710</t>
        </is>
      </c>
      <c r="C25" s="8" t="n">
        <v>261.45</v>
      </c>
      <c r="D25" s="8" t="n">
        <v>239.42</v>
      </c>
    </row>
    <row r="26">
      <c r="A26" t="inlineStr">
        <is>
          <t>2018-07</t>
        </is>
      </c>
      <c r="B26" t="inlineStr">
        <is>
          <t>QI-1809</t>
        </is>
      </c>
      <c r="C26" s="8" t="n">
        <v>270.66</v>
      </c>
      <c r="D26" s="8" t="n">
        <v>246.03</v>
      </c>
    </row>
    <row r="27">
      <c r="A27" t="inlineStr">
        <is>
          <t>2019-01</t>
        </is>
      </c>
      <c r="B27" t="inlineStr">
        <is>
          <t>QI-1820</t>
        </is>
      </c>
      <c r="C27" s="8" t="n">
        <v>270.15</v>
      </c>
      <c r="D27" s="8" t="n">
        <v>246.15</v>
      </c>
    </row>
    <row r="28">
      <c r="A28" t="inlineStr">
        <is>
          <t>2019-07</t>
        </is>
      </c>
      <c r="B28" t="inlineStr">
        <is>
          <t>QI-1911B</t>
        </is>
      </c>
      <c r="D28" s="8" t="n">
        <v>250.18</v>
      </c>
    </row>
    <row r="29">
      <c r="A29" t="inlineStr">
        <is>
          <t>2020-07</t>
        </is>
      </c>
      <c r="B29" t="inlineStr">
        <is>
          <t>QI-2022</t>
        </is>
      </c>
      <c r="C29" s="8" t="n">
        <v>282.98</v>
      </c>
      <c r="D29" s="8" t="n">
        <v>257.26</v>
      </c>
    </row>
    <row r="30">
      <c r="A30" t="inlineStr">
        <is>
          <t>2021-07</t>
        </is>
      </c>
      <c r="B30" t="inlineStr">
        <is>
          <t>QI-2113B</t>
        </is>
      </c>
      <c r="C30" s="8" t="n">
        <v>334.75</v>
      </c>
      <c r="D30" s="8" t="n">
        <v>277.16</v>
      </c>
    </row>
    <row r="31">
      <c r="A31" t="inlineStr">
        <is>
          <t>2022-01</t>
        </is>
      </c>
      <c r="B31" t="inlineStr">
        <is>
          <t>QI-2166</t>
        </is>
      </c>
      <c r="C31" s="8" t="n">
        <v>332.59</v>
      </c>
      <c r="D31" s="8" t="n">
        <v>282.02</v>
      </c>
    </row>
    <row r="32">
      <c r="A32" t="inlineStr">
        <is>
          <t>2023-01</t>
        </is>
      </c>
      <c r="B32" t="inlineStr">
        <is>
          <t>QI-2225</t>
        </is>
      </c>
      <c r="C32" s="8" t="n">
        <v>355.11</v>
      </c>
      <c r="D32" s="8" t="n">
        <v>283.6</v>
      </c>
    </row>
    <row r="33">
      <c r="A33" t="inlineStr">
        <is>
          <t>2023-07</t>
        </is>
      </c>
      <c r="B33" t="inlineStr">
        <is>
          <t>QI-2326</t>
        </is>
      </c>
      <c r="C33" s="8" t="n">
        <v>371.99</v>
      </c>
      <c r="D33" s="8" t="n">
        <v>302.89</v>
      </c>
    </row>
    <row r="34">
      <c r="A34" t="inlineStr">
        <is>
          <t>2024-01</t>
        </is>
      </c>
      <c r="B34" t="inlineStr">
        <is>
          <t>QI-2342</t>
        </is>
      </c>
      <c r="C34" s="8" t="n">
        <v>481.83</v>
      </c>
      <c r="D34" s="8" t="n">
        <v>464.97</v>
      </c>
    </row>
    <row r="35">
      <c r="A35" t="inlineStr">
        <is>
          <t>2024-07</t>
        </is>
      </c>
      <c r="B35" t="inlineStr">
        <is>
          <t>QI-2413</t>
        </is>
      </c>
      <c r="C35" s="8" t="n">
        <v>482.2</v>
      </c>
      <c r="D35" s="8" t="n">
        <v>455.59</v>
      </c>
    </row>
    <row r="36">
      <c r="A36" t="inlineStr">
        <is>
          <t>2025-01</t>
        </is>
      </c>
      <c r="B36" t="inlineStr">
        <is>
          <t>QI-2427</t>
        </is>
      </c>
      <c r="C36" s="8" t="n">
        <v>509.69</v>
      </c>
      <c r="D36" s="8" t="n">
        <v>475.73</v>
      </c>
    </row>
    <row r="37">
      <c r="A37" t="inlineStr">
        <is>
          <t>2025-07</t>
        </is>
      </c>
      <c r="B37" t="inlineStr">
        <is>
          <t>QI-2515</t>
        </is>
      </c>
      <c r="C37" s="8" t="n">
        <v>506.65</v>
      </c>
      <c r="D37" s="8" t="n">
        <v>477.12</v>
      </c>
    </row>
    <row r="38">
      <c r="A38" t="inlineStr">
        <is>
          <t>2026-01</t>
        </is>
      </c>
      <c r="B38" t="inlineStr">
        <is>
          <t>QI-2532</t>
        </is>
      </c>
      <c r="C38" s="8" t="n">
        <v>495.25</v>
      </c>
      <c r="D38" s="8" t="n">
        <v>486.76</v>
      </c>
    </row>
    <row r="40">
      <c r="A40" t="inlineStr">
        <is>
          <t>Projection (from the model): cost at G_HI and the rate under each form, Jan rate years</t>
        </is>
      </c>
    </row>
    <row r="41">
      <c r="A41" s="2" t="inlineStr">
        <is>
          <t>Rate year</t>
        </is>
      </c>
      <c r="B41" s="2" t="inlineStr">
        <is>
          <t>Projected cost (total, NF_COST_2023 grown at G_HI)</t>
        </is>
      </c>
      <c r="C41" s="2" t="inlineStr">
        <is>
          <t>Rate, index only</t>
        </is>
      </c>
      <c r="D41" s="2" t="inlineStr">
        <is>
          <t>Rate, Hawaii index</t>
        </is>
      </c>
      <c r="E41" s="2" t="inlineStr">
        <is>
          <t>Rate, 3-year rebase</t>
        </is>
      </c>
    </row>
    <row r="42">
      <c r="A42" t="n">
        <v>2024</v>
      </c>
      <c r="B42" s="8">
        <f>NF_COST_2023*(1+G_HI)^(A42-COST_DATE)</f>
        <v>471.1878004131749</v>
      </c>
      <c r="C42" s="8">
        <f>INDEX(OP_RATE_IDX,MATCH(A42,OP_T,0))</f>
        <v>481.83</v>
      </c>
      <c r="D42" s="8">
        <f>INDEX(OP_RATE_HIX,MATCH(A42,OP_T,0))</f>
        <v>481.83</v>
      </c>
      <c r="E42" s="8">
        <f>INDEX(OP_RATE_REB,MATCH(A42,OP_T,0))</f>
        <v>481.83</v>
      </c>
    </row>
    <row r="43">
      <c r="A43" t="n">
        <v>2025</v>
      </c>
      <c r="B43" s="8">
        <f>NF_COST_2023*(1+G_HI)^(A43-COST_DATE)</f>
        <v>490.115188696291</v>
      </c>
      <c r="C43" s="8">
        <f>INDEX(OP_RATE_IDX,MATCH(A43,OP_T,0))</f>
        <v>509.69</v>
      </c>
      <c r="D43" s="8">
        <f>INDEX(OP_RATE_HIX,MATCH(A43,OP_T,0))</f>
        <v>509.69</v>
      </c>
      <c r="E43" s="8">
        <f>INDEX(OP_RATE_REB,MATCH(A43,OP_T,0))</f>
        <v>509.69</v>
      </c>
    </row>
    <row r="44">
      <c r="A44" t="n">
        <v>2026</v>
      </c>
      <c r="B44" s="8">
        <f>NF_COST_2023*(1+G_HI)^(A44-COST_DATE)</f>
        <v>509.8028811021067</v>
      </c>
      <c r="C44" s="8">
        <f>INDEX(OP_RATE_IDX,MATCH(A44,OP_T,0))</f>
        <v>495.25</v>
      </c>
      <c r="D44" s="8">
        <f>INDEX(OP_RATE_HIX,MATCH(A44,OP_T,0))</f>
        <v>495.25</v>
      </c>
      <c r="E44" s="8">
        <f>INDEX(OP_RATE_REB,MATCH(A44,OP_T,0))</f>
        <v>495.25</v>
      </c>
    </row>
    <row r="45">
      <c r="A45" t="n">
        <v>2027</v>
      </c>
      <c r="B45" s="8">
        <f>NF_COST_2023*(1+G_HI)^(A45-COST_DATE)</f>
        <v>530.2814186831085</v>
      </c>
      <c r="C45" s="8">
        <f>INDEX(OP_RATE_IDX,MATCH(A45,OP_T,0))</f>
        <v>511.59324999999995</v>
      </c>
      <c r="D45" s="8">
        <f>INDEX(OP_RATE_HIX,MATCH(A45,OP_T,0))</f>
        <v>515.1439553167412</v>
      </c>
      <c r="E45" s="8">
        <f>INDEX(OP_RATE_REB,MATCH(A45,OP_T,0))</f>
        <v>542.2583007031054</v>
      </c>
    </row>
    <row r="46">
      <c r="A46" t="n">
        <v>2028</v>
      </c>
      <c r="B46" s="8">
        <f>NF_COST_2023*(1+G_HI)^(A46-COST_DATE)</f>
        <v>551.5825693112356</v>
      </c>
      <c r="C46" s="8">
        <f>INDEX(OP_RATE_IDX,MATCH(A46,OP_T,0))</f>
        <v>528.47582725</v>
      </c>
      <c r="D46" s="8">
        <f>INDEX(OP_RATE_HIX,MATCH(A46,OP_T,0))</f>
        <v>535.837041291018</v>
      </c>
      <c r="E46" s="8">
        <f>INDEX(OP_RATE_REB,MATCH(A46,OP_T,0))</f>
        <v>560.1528246263078</v>
      </c>
    </row>
    <row r="47">
      <c r="A47" t="n">
        <v>2029</v>
      </c>
      <c r="B47" s="8">
        <f>NF_COST_2023*(1+G_HI)^(A47-COST_DATE)</f>
        <v>573.7393769586279</v>
      </c>
      <c r="C47" s="8">
        <f>INDEX(OP_RATE_IDX,MATCH(A47,OP_T,0))</f>
        <v>545.9155295492499</v>
      </c>
      <c r="D47" s="8">
        <f>INDEX(OP_RATE_HIX,MATCH(A47,OP_T,0))</f>
        <v>557.3613586186268</v>
      </c>
      <c r="E47" s="8">
        <f>INDEX(OP_RATE_REB,MATCH(A47,OP_T,0))</f>
        <v>578.6378678389759</v>
      </c>
    </row>
    <row r="48">
      <c r="A48" t="n">
        <v>2030</v>
      </c>
      <c r="B48" s="8">
        <f>NF_COST_2023*(1+G_HI)^(A48-COST_DATE)</f>
        <v>596.7862129579613</v>
      </c>
      <c r="C48" s="8">
        <f>INDEX(OP_RATE_IDX,MATCH(A48,OP_T,0))</f>
        <v>563.930742024375</v>
      </c>
      <c r="D48" s="8">
        <f>INDEX(OP_RATE_HIX,MATCH(A48,OP_T,0))</f>
        <v>579.750297464941</v>
      </c>
      <c r="E48" s="8">
        <f>INDEX(OP_RATE_REB,MATCH(A48,OP_T,0))</f>
        <v>610.2651654762458</v>
      </c>
    </row>
    <row r="49">
      <c r="A49" t="n">
        <v>2031</v>
      </c>
      <c r="B49" s="8">
        <f>NF_COST_2023*(1+G_HI)^(A49-COST_DATE)</f>
        <v>620.7588293218843</v>
      </c>
      <c r="C49" s="8">
        <f>INDEX(OP_RATE_IDX,MATCH(A49,OP_T,0))</f>
        <v>582.5404565111794</v>
      </c>
      <c r="D49" s="8">
        <f>INDEX(OP_RATE_HIX,MATCH(A49,OP_T,0))</f>
        <v>603.0385892622857</v>
      </c>
      <c r="E49" s="8">
        <f>INDEX(OP_RATE_REB,MATCH(A49,OP_T,0))</f>
        <v>630.4039159369619</v>
      </c>
    </row>
    <row r="50">
      <c r="A50" t="n">
        <v>2032</v>
      </c>
      <c r="B50" s="8">
        <f>NF_COST_2023*(1+G_HI)^(A50-COST_DATE)</f>
        <v>645.6944142042712</v>
      </c>
      <c r="C50" s="8">
        <f>INDEX(OP_RATE_IDX,MATCH(A50,OP_T,0))</f>
        <v>601.7642915760483</v>
      </c>
      <c r="D50" s="8">
        <f>INDEX(OP_RATE_HIX,MATCH(A50,OP_T,0))</f>
        <v>627.262360587989</v>
      </c>
      <c r="E50" s="8">
        <f>INDEX(OP_RATE_REB,MATCH(A50,OP_T,0))</f>
        <v>651.2072451628816</v>
      </c>
    </row>
    <row r="51">
      <c r="A51" t="n">
        <v>2033</v>
      </c>
      <c r="B51" s="8">
        <f>NF_COST_2023*(1+G_HI)^(A51-COST_DATE)</f>
        <v>671.6316495893275</v>
      </c>
      <c r="C51" s="8">
        <f>INDEX(OP_RATE_IDX,MATCH(A51,OP_T,0))</f>
        <v>621.6225131980578</v>
      </c>
      <c r="D51" s="8">
        <f>INDEX(OP_RATE_HIX,MATCH(A51,OP_T,0))</f>
        <v>652.4591892066887</v>
      </c>
      <c r="E51" s="8">
        <f>INDEX(OP_RATE_REB,MATCH(A51,OP_T,0))</f>
        <v>686.8010535032033</v>
      </c>
    </row>
    <row r="52">
      <c r="A52" t="n">
        <v>2034</v>
      </c>
      <c r="B52" s="8">
        <f>NF_COST_2023*(1+G_HI)^(A52-COST_DATE)</f>
        <v>698.6107712980388</v>
      </c>
      <c r="C52" s="8">
        <f>INDEX(OP_RATE_IDX,MATCH(A52,OP_T,0))</f>
        <v>642.1360561335937</v>
      </c>
      <c r="D52" s="8">
        <f>INDEX(OP_RATE_HIX,MATCH(A52,OP_T,0))</f>
        <v>678.6681623638317</v>
      </c>
      <c r="E52" s="8">
        <f>INDEX(OP_RATE_REB,MATCH(A52,OP_T,0))</f>
        <v>709.4654882688089</v>
      </c>
    </row>
    <row r="53">
      <c r="A53" t="n">
        <v>2035</v>
      </c>
      <c r="B53" s="8">
        <f>NF_COST_2023*(1+G_HI)^(A53-COST_DATE)</f>
        <v>726.67363140505</v>
      </c>
      <c r="C53" s="8">
        <f>INDEX(OP_RATE_IDX,MATCH(A53,OP_T,0))</f>
        <v>663.3265459860022</v>
      </c>
      <c r="D53" s="8">
        <f>INDEX(OP_RATE_HIX,MATCH(A53,OP_T,0))</f>
        <v>705.9299374207947</v>
      </c>
      <c r="E53" s="8">
        <f>INDEX(OP_RATE_REB,MATCH(A53,OP_T,0))</f>
        <v>732.8778493816795</v>
      </c>
    </row>
    <row r="54">
      <c r="A54" t="n">
        <v>2036</v>
      </c>
      <c r="B54" s="8">
        <f>NF_COST_2023*(1+G_HI)^(A54-COST_DATE)</f>
        <v>755.8637631628008</v>
      </c>
      <c r="C54" s="8">
        <f>INDEX(OP_RATE_IDX,MATCH(A54,OP_T,0))</f>
        <v>685.2163220035402</v>
      </c>
      <c r="D54" s="8">
        <f>INDEX(OP_RATE_HIX,MATCH(A54,OP_T,0))</f>
        <v>734.2868049256896</v>
      </c>
      <c r="E54" s="8">
        <f>INDEX(OP_RATE_REB,MATCH(A54,OP_T,0))</f>
        <v>772.9356249999993</v>
      </c>
    </row>
    <row r="55">
      <c r="A55" t="inlineStr">
        <is>
          <t>Note: rate medians cover about 35 homes; cost medians the 18 Medicaid-heavy homes. Marked on the figure: the Jan 2024 reset.</t>
        </is>
      </c>
    </row>
    <row r="57">
      <c r="A57" s="3" t="inlineStr">
        <is>
          <t>Figure 2. Marginal saving vs marginal cost by bed (USD per bed-year, 2023 $)</t>
        </is>
      </c>
    </row>
    <row r="58">
      <c r="A58" s="2" t="inlineStr">
        <is>
          <t>b</t>
        </is>
      </c>
      <c r="B58" s="2" t="inlineStr">
        <is>
          <t>MS at RANGE_LO</t>
        </is>
      </c>
      <c r="C58" s="2" t="inlineStr">
        <is>
          <t>MS at C_AVOID</t>
        </is>
      </c>
      <c r="D58" s="2" t="inlineStr">
        <is>
          <t>MS at RANGE_HI</t>
        </is>
      </c>
      <c r="E58" s="2" t="inlineStr">
        <is>
          <t>MC base (converted space)</t>
        </is>
      </c>
      <c r="F58" s="2" t="inlineStr">
        <is>
          <t>MC new-building run</t>
        </is>
      </c>
    </row>
    <row r="59">
      <c r="A59" t="n">
        <v>1</v>
      </c>
      <c r="B59" s="13">
        <f>BedSchedule!F5</f>
        <v>138629.2749307479</v>
      </c>
      <c r="C59" s="13">
        <f>BedSchedule!E5</f>
        <v>254573.7594182825</v>
      </c>
      <c r="D59" s="13">
        <f>BedSchedule!G5</f>
        <v>370518.24390581716</v>
      </c>
      <c r="E59" s="13">
        <f>BedSchedule!H5</f>
        <v>152394.16214437486</v>
      </c>
      <c r="F59" s="13">
        <f>Scenarios!CF84</f>
        <v>160718.36940738867</v>
      </c>
    </row>
    <row r="60">
      <c r="A60" t="n">
        <v>2</v>
      </c>
      <c r="B60" s="13">
        <f>BedSchedule!F6</f>
        <v>138629.2749307479</v>
      </c>
      <c r="C60" s="13">
        <f>BedSchedule!E6</f>
        <v>254573.7594182825</v>
      </c>
      <c r="D60" s="13">
        <f>BedSchedule!G6</f>
        <v>370518.24390581716</v>
      </c>
      <c r="E60" s="13">
        <f>BedSchedule!H6</f>
        <v>152394.16214437486</v>
      </c>
      <c r="F60" s="13">
        <f>Scenarios!CF85</f>
        <v>160718.36940738867</v>
      </c>
    </row>
    <row r="61">
      <c r="A61" t="n">
        <v>3</v>
      </c>
      <c r="B61" s="13">
        <f>BedSchedule!F7</f>
        <v>138629.2749307479</v>
      </c>
      <c r="C61" s="13">
        <f>BedSchedule!E7</f>
        <v>254573.7594182825</v>
      </c>
      <c r="D61" s="13">
        <f>BedSchedule!G7</f>
        <v>370518.24390581716</v>
      </c>
      <c r="E61" s="13">
        <f>BedSchedule!H7</f>
        <v>152394.16214437486</v>
      </c>
      <c r="F61" s="13">
        <f>Scenarios!CF86</f>
        <v>160718.36940738867</v>
      </c>
    </row>
    <row r="62">
      <c r="A62" t="n">
        <v>4</v>
      </c>
      <c r="B62" s="13">
        <f>BedSchedule!F8</f>
        <v>138629.2749307479</v>
      </c>
      <c r="C62" s="13">
        <f>BedSchedule!E8</f>
        <v>254573.7594182825</v>
      </c>
      <c r="D62" s="13">
        <f>BedSchedule!G8</f>
        <v>370518.24390581716</v>
      </c>
      <c r="E62" s="13">
        <f>BedSchedule!H8</f>
        <v>152394.16214437486</v>
      </c>
      <c r="F62" s="13">
        <f>Scenarios!CF87</f>
        <v>160718.36940738867</v>
      </c>
    </row>
    <row r="63">
      <c r="A63" t="n">
        <v>5</v>
      </c>
      <c r="B63" s="13">
        <f>BedSchedule!F9</f>
        <v>138629.2749307479</v>
      </c>
      <c r="C63" s="13">
        <f>BedSchedule!E9</f>
        <v>254573.7594182825</v>
      </c>
      <c r="D63" s="13">
        <f>BedSchedule!G9</f>
        <v>370518.24390581716</v>
      </c>
      <c r="E63" s="13">
        <f>BedSchedule!H9</f>
        <v>152394.16214437486</v>
      </c>
      <c r="F63" s="13">
        <f>Scenarios!CF88</f>
        <v>160718.36940738867</v>
      </c>
    </row>
    <row r="64">
      <c r="A64" t="n">
        <v>6</v>
      </c>
      <c r="B64" s="13">
        <f>BedSchedule!F10</f>
        <v>138629.2749307479</v>
      </c>
      <c r="C64" s="13">
        <f>BedSchedule!E10</f>
        <v>254573.7594182825</v>
      </c>
      <c r="D64" s="13">
        <f>BedSchedule!G10</f>
        <v>370518.24390581716</v>
      </c>
      <c r="E64" s="13">
        <f>BedSchedule!H10</f>
        <v>152394.16214437486</v>
      </c>
      <c r="F64" s="13">
        <f>Scenarios!CF89</f>
        <v>160718.36940738867</v>
      </c>
    </row>
    <row r="65">
      <c r="A65" t="n">
        <v>7</v>
      </c>
      <c r="B65" s="13">
        <f>BedSchedule!F11</f>
        <v>138629.2749307479</v>
      </c>
      <c r="C65" s="13">
        <f>BedSchedule!E11</f>
        <v>254573.7594182825</v>
      </c>
      <c r="D65" s="13">
        <f>BedSchedule!G11</f>
        <v>370518.24390581716</v>
      </c>
      <c r="E65" s="13">
        <f>BedSchedule!H11</f>
        <v>152394.16214437486</v>
      </c>
      <c r="F65" s="13">
        <f>Scenarios!CF90</f>
        <v>160718.36940738867</v>
      </c>
    </row>
    <row r="66">
      <c r="A66" t="n">
        <v>8</v>
      </c>
      <c r="B66" s="13">
        <f>BedSchedule!F12</f>
        <v>138629.2749307479</v>
      </c>
      <c r="C66" s="13">
        <f>BedSchedule!E12</f>
        <v>254573.7594182825</v>
      </c>
      <c r="D66" s="13">
        <f>BedSchedule!G12</f>
        <v>370518.24390581716</v>
      </c>
      <c r="E66" s="13">
        <f>BedSchedule!H12</f>
        <v>152394.16214437486</v>
      </c>
      <c r="F66" s="13">
        <f>Scenarios!CF91</f>
        <v>160718.36940738867</v>
      </c>
    </row>
    <row r="67">
      <c r="A67" t="n">
        <v>9</v>
      </c>
      <c r="B67" s="13">
        <f>BedSchedule!F13</f>
        <v>138629.2749307479</v>
      </c>
      <c r="C67" s="13">
        <f>BedSchedule!E13</f>
        <v>254573.7594182825</v>
      </c>
      <c r="D67" s="13">
        <f>BedSchedule!G13</f>
        <v>370518.24390581716</v>
      </c>
      <c r="E67" s="13">
        <f>BedSchedule!H13</f>
        <v>152394.16214437486</v>
      </c>
      <c r="F67" s="13">
        <f>Scenarios!CF92</f>
        <v>160718.36940738867</v>
      </c>
    </row>
    <row r="68">
      <c r="A68" t="n">
        <v>10</v>
      </c>
      <c r="B68" s="13">
        <f>BedSchedule!F14</f>
        <v>138629.2749307479</v>
      </c>
      <c r="C68" s="13">
        <f>BedSchedule!E14</f>
        <v>254573.7594182825</v>
      </c>
      <c r="D68" s="13">
        <f>BedSchedule!G14</f>
        <v>370518.24390581716</v>
      </c>
      <c r="E68" s="13">
        <f>BedSchedule!H14</f>
        <v>152394.16214437486</v>
      </c>
      <c r="F68" s="13">
        <f>Scenarios!CF93</f>
        <v>160718.36940738867</v>
      </c>
    </row>
    <row r="69">
      <c r="A69" t="n">
        <v>11</v>
      </c>
      <c r="B69" s="13">
        <f>BedSchedule!F15</f>
        <v>138629.2749307479</v>
      </c>
      <c r="C69" s="13">
        <f>BedSchedule!E15</f>
        <v>254573.7594182825</v>
      </c>
      <c r="D69" s="13">
        <f>BedSchedule!G15</f>
        <v>370518.24390581716</v>
      </c>
      <c r="E69" s="13">
        <f>BedSchedule!H15</f>
        <v>152394.16214437486</v>
      </c>
      <c r="F69" s="13">
        <f>Scenarios!CF94</f>
        <v>160718.36940738867</v>
      </c>
    </row>
    <row r="70">
      <c r="A70" t="n">
        <v>12</v>
      </c>
      <c r="B70" s="13">
        <f>BedSchedule!F16</f>
        <v>138629.2749307479</v>
      </c>
      <c r="C70" s="13">
        <f>BedSchedule!E16</f>
        <v>254573.7594182825</v>
      </c>
      <c r="D70" s="13">
        <f>BedSchedule!G16</f>
        <v>370518.24390581716</v>
      </c>
      <c r="E70" s="13">
        <f>BedSchedule!H16</f>
        <v>152394.16214437486</v>
      </c>
      <c r="F70" s="13">
        <f>Scenarios!CF95</f>
        <v>160718.36940738867</v>
      </c>
    </row>
    <row r="71">
      <c r="A71" t="n">
        <v>13</v>
      </c>
      <c r="B71" s="13">
        <f>BedSchedule!F17</f>
        <v>138629.2749307479</v>
      </c>
      <c r="C71" s="13">
        <f>BedSchedule!E17</f>
        <v>254573.7594182825</v>
      </c>
      <c r="D71" s="13">
        <f>BedSchedule!G17</f>
        <v>370518.24390581716</v>
      </c>
      <c r="E71" s="13">
        <f>BedSchedule!H17</f>
        <v>152394.16214437486</v>
      </c>
      <c r="F71" s="13">
        <f>Scenarios!CF96</f>
        <v>160718.36940738867</v>
      </c>
    </row>
    <row r="72">
      <c r="A72" t="n">
        <v>14</v>
      </c>
      <c r="B72" s="13">
        <f>BedSchedule!F18</f>
        <v>138629.2749307479</v>
      </c>
      <c r="C72" s="13">
        <f>BedSchedule!E18</f>
        <v>254573.7594182825</v>
      </c>
      <c r="D72" s="13">
        <f>BedSchedule!G18</f>
        <v>370518.24390581716</v>
      </c>
      <c r="E72" s="13">
        <f>BedSchedule!H18</f>
        <v>152394.16214437486</v>
      </c>
      <c r="F72" s="13">
        <f>Scenarios!CF97</f>
        <v>160718.36940738867</v>
      </c>
    </row>
    <row r="73">
      <c r="A73" t="n">
        <v>15</v>
      </c>
      <c r="B73" s="13">
        <f>BedSchedule!F19</f>
        <v>138629.2749307479</v>
      </c>
      <c r="C73" s="13">
        <f>BedSchedule!E19</f>
        <v>254573.7594182825</v>
      </c>
      <c r="D73" s="13">
        <f>BedSchedule!G19</f>
        <v>370518.24390581716</v>
      </c>
      <c r="E73" s="13">
        <f>BedSchedule!H19</f>
        <v>152394.16214437486</v>
      </c>
      <c r="F73" s="13">
        <f>Scenarios!CF98</f>
        <v>160718.36940738867</v>
      </c>
    </row>
    <row r="74">
      <c r="A74" t="n">
        <v>16</v>
      </c>
      <c r="B74" s="13">
        <f>BedSchedule!F20</f>
        <v>138629.2749307479</v>
      </c>
      <c r="C74" s="13">
        <f>BedSchedule!E20</f>
        <v>254573.7594182825</v>
      </c>
      <c r="D74" s="13">
        <f>BedSchedule!G20</f>
        <v>370518.24390581716</v>
      </c>
      <c r="E74" s="13">
        <f>BedSchedule!H20</f>
        <v>152394.16214437486</v>
      </c>
      <c r="F74" s="13">
        <f>Scenarios!CF99</f>
        <v>160718.36940738867</v>
      </c>
    </row>
    <row r="75">
      <c r="A75" t="n">
        <v>17</v>
      </c>
      <c r="B75" s="13">
        <f>BedSchedule!F21</f>
        <v>138629.2749307479</v>
      </c>
      <c r="C75" s="13">
        <f>BedSchedule!E21</f>
        <v>254573.7594182825</v>
      </c>
      <c r="D75" s="13">
        <f>BedSchedule!G21</f>
        <v>370518.24390581716</v>
      </c>
      <c r="E75" s="13">
        <f>BedSchedule!H21</f>
        <v>152394.16214437486</v>
      </c>
      <c r="F75" s="13">
        <f>Scenarios!CF100</f>
        <v>160718.36940738867</v>
      </c>
    </row>
    <row r="76">
      <c r="A76" t="n">
        <v>18</v>
      </c>
      <c r="B76" s="13">
        <f>BedSchedule!F22</f>
        <v>138629.2749307479</v>
      </c>
      <c r="C76" s="13">
        <f>BedSchedule!E22</f>
        <v>254573.7594182825</v>
      </c>
      <c r="D76" s="13">
        <f>BedSchedule!G22</f>
        <v>370518.24390581716</v>
      </c>
      <c r="E76" s="13">
        <f>BedSchedule!H22</f>
        <v>152394.16214437486</v>
      </c>
      <c r="F76" s="13">
        <f>Scenarios!CF101</f>
        <v>160718.36940738867</v>
      </c>
    </row>
    <row r="77">
      <c r="A77" t="n">
        <v>19</v>
      </c>
      <c r="B77" s="13">
        <f>BedSchedule!F23</f>
        <v>138629.2749307479</v>
      </c>
      <c r="C77" s="13">
        <f>BedSchedule!E23</f>
        <v>254573.7594182825</v>
      </c>
      <c r="D77" s="13">
        <f>BedSchedule!G23</f>
        <v>370518.24390581716</v>
      </c>
      <c r="E77" s="13">
        <f>BedSchedule!H23</f>
        <v>152394.16214437486</v>
      </c>
      <c r="F77" s="13">
        <f>Scenarios!CF102</f>
        <v>160718.36940738867</v>
      </c>
    </row>
    <row r="78">
      <c r="A78" t="n">
        <v>20</v>
      </c>
      <c r="B78" s="13">
        <f>BedSchedule!F24</f>
        <v>138629.2749307479</v>
      </c>
      <c r="C78" s="13">
        <f>BedSchedule!E24</f>
        <v>254573.7594182825</v>
      </c>
      <c r="D78" s="13">
        <f>BedSchedule!G24</f>
        <v>370518.24390581716</v>
      </c>
      <c r="E78" s="13">
        <f>BedSchedule!H24</f>
        <v>152394.16214437486</v>
      </c>
      <c r="F78" s="13">
        <f>Scenarios!CF103</f>
        <v>160718.36940738867</v>
      </c>
    </row>
    <row r="79">
      <c r="A79" t="n">
        <v>21</v>
      </c>
      <c r="B79" s="13">
        <f>BedSchedule!F25</f>
        <v>138629.2749307479</v>
      </c>
      <c r="C79" s="13">
        <f>BedSchedule!E25</f>
        <v>254573.7594182825</v>
      </c>
      <c r="D79" s="13">
        <f>BedSchedule!G25</f>
        <v>370518.24390581716</v>
      </c>
      <c r="E79" s="13">
        <f>BedSchedule!H25</f>
        <v>152394.16214437486</v>
      </c>
      <c r="F79" s="13">
        <f>Scenarios!CF104</f>
        <v>160718.36940738867</v>
      </c>
    </row>
    <row r="80">
      <c r="A80" t="n">
        <v>22</v>
      </c>
      <c r="B80" s="13">
        <f>BedSchedule!F26</f>
        <v>138629.2749307479</v>
      </c>
      <c r="C80" s="13">
        <f>BedSchedule!E26</f>
        <v>254573.7594182825</v>
      </c>
      <c r="D80" s="13">
        <f>BedSchedule!G26</f>
        <v>370518.24390581716</v>
      </c>
      <c r="E80" s="13">
        <f>BedSchedule!H26</f>
        <v>152394.16214437486</v>
      </c>
      <c r="F80" s="13">
        <f>Scenarios!CF105</f>
        <v>160718.36940738867</v>
      </c>
    </row>
    <row r="81">
      <c r="A81" t="n">
        <v>23</v>
      </c>
      <c r="B81" s="13">
        <f>BedSchedule!F27</f>
        <v>138629.2749307479</v>
      </c>
      <c r="C81" s="13">
        <f>BedSchedule!E27</f>
        <v>254573.7594182825</v>
      </c>
      <c r="D81" s="13">
        <f>BedSchedule!G27</f>
        <v>370518.24390581716</v>
      </c>
      <c r="E81" s="13">
        <f>BedSchedule!H27</f>
        <v>152394.16214437486</v>
      </c>
      <c r="F81" s="13">
        <f>Scenarios!CF106</f>
        <v>160718.36940738867</v>
      </c>
    </row>
    <row r="82">
      <c r="A82" t="n">
        <v>24</v>
      </c>
      <c r="B82" s="13">
        <f>BedSchedule!F28</f>
        <v>138629.2749307479</v>
      </c>
      <c r="C82" s="13">
        <f>BedSchedule!E28</f>
        <v>254573.7594182825</v>
      </c>
      <c r="D82" s="13">
        <f>BedSchedule!G28</f>
        <v>370518.24390581716</v>
      </c>
      <c r="E82" s="13">
        <f>BedSchedule!H28</f>
        <v>152394.16214437486</v>
      </c>
      <c r="F82" s="13">
        <f>Scenarios!CF107</f>
        <v>160718.36940738867</v>
      </c>
    </row>
    <row r="83">
      <c r="A83" t="n">
        <v>25</v>
      </c>
      <c r="B83" s="13">
        <f>BedSchedule!F29</f>
        <v>138629.2749307479</v>
      </c>
      <c r="C83" s="13">
        <f>BedSchedule!E29</f>
        <v>254573.7594182825</v>
      </c>
      <c r="D83" s="13">
        <f>BedSchedule!G29</f>
        <v>370518.24390581716</v>
      </c>
      <c r="E83" s="13">
        <f>BedSchedule!H29</f>
        <v>152394.16214437486</v>
      </c>
      <c r="F83" s="13">
        <f>Scenarios!CF108</f>
        <v>160718.36940738867</v>
      </c>
    </row>
    <row r="84">
      <c r="A84" t="n">
        <v>26</v>
      </c>
      <c r="B84" s="13">
        <f>BedSchedule!F30</f>
        <v>138629.2749307479</v>
      </c>
      <c r="C84" s="13">
        <f>BedSchedule!E30</f>
        <v>254573.7594182825</v>
      </c>
      <c r="D84" s="13">
        <f>BedSchedule!G30</f>
        <v>370518.24390581716</v>
      </c>
      <c r="E84" s="13">
        <f>BedSchedule!H30</f>
        <v>152394.16214437486</v>
      </c>
      <c r="F84" s="13">
        <f>Scenarios!CF109</f>
        <v>160718.36940738867</v>
      </c>
    </row>
    <row r="85">
      <c r="A85" t="n">
        <v>27</v>
      </c>
      <c r="B85" s="13">
        <f>BedSchedule!F31</f>
        <v>138629.2749307479</v>
      </c>
      <c r="C85" s="13">
        <f>BedSchedule!E31</f>
        <v>254573.7594182825</v>
      </c>
      <c r="D85" s="13">
        <f>BedSchedule!G31</f>
        <v>370518.24390581716</v>
      </c>
      <c r="E85" s="13">
        <f>BedSchedule!H31</f>
        <v>152394.16214437486</v>
      </c>
      <c r="F85" s="13">
        <f>Scenarios!CF110</f>
        <v>160718.36940738867</v>
      </c>
    </row>
    <row r="86">
      <c r="A86" t="n">
        <v>28</v>
      </c>
      <c r="B86" s="13">
        <f>BedSchedule!F32</f>
        <v>138629.2749307479</v>
      </c>
      <c r="C86" s="13">
        <f>BedSchedule!E32</f>
        <v>254573.7594182825</v>
      </c>
      <c r="D86" s="13">
        <f>BedSchedule!G32</f>
        <v>370518.24390581716</v>
      </c>
      <c r="E86" s="13">
        <f>BedSchedule!H32</f>
        <v>152394.16214437486</v>
      </c>
      <c r="F86" s="13">
        <f>Scenarios!CF111</f>
        <v>160718.36940738867</v>
      </c>
    </row>
    <row r="87">
      <c r="A87" t="n">
        <v>29</v>
      </c>
      <c r="B87" s="13">
        <f>BedSchedule!F33</f>
        <v>138629.2749307479</v>
      </c>
      <c r="C87" s="13">
        <f>BedSchedule!E33</f>
        <v>254573.7594182825</v>
      </c>
      <c r="D87" s="13">
        <f>BedSchedule!G33</f>
        <v>370518.24390581716</v>
      </c>
      <c r="E87" s="13">
        <f>BedSchedule!H33</f>
        <v>152394.16214437486</v>
      </c>
      <c r="F87" s="13">
        <f>Scenarios!CF112</f>
        <v>160718.36940738867</v>
      </c>
    </row>
    <row r="88">
      <c r="A88" t="n">
        <v>30</v>
      </c>
      <c r="B88" s="13">
        <f>BedSchedule!F34</f>
        <v>138629.2749307479</v>
      </c>
      <c r="C88" s="13">
        <f>BedSchedule!E34</f>
        <v>254573.7594182825</v>
      </c>
      <c r="D88" s="13">
        <f>BedSchedule!G34</f>
        <v>370518.24390581716</v>
      </c>
      <c r="E88" s="13">
        <f>BedSchedule!H34</f>
        <v>152394.16214437486</v>
      </c>
      <c r="F88" s="13">
        <f>Scenarios!CF113</f>
        <v>160718.36940738867</v>
      </c>
    </row>
    <row r="89">
      <c r="A89" t="n">
        <v>31</v>
      </c>
      <c r="B89" s="13">
        <f>BedSchedule!F35</f>
        <v>138629.2749307479</v>
      </c>
      <c r="C89" s="13">
        <f>BedSchedule!E35</f>
        <v>254573.7594182825</v>
      </c>
      <c r="D89" s="13">
        <f>BedSchedule!G35</f>
        <v>370518.24390581716</v>
      </c>
      <c r="E89" s="13">
        <f>BedSchedule!H35</f>
        <v>152394.16214437486</v>
      </c>
      <c r="F89" s="13">
        <f>Scenarios!CF114</f>
        <v>160718.36940738867</v>
      </c>
    </row>
    <row r="90">
      <c r="A90" t="n">
        <v>32</v>
      </c>
      <c r="B90" s="13">
        <f>BedSchedule!F36</f>
        <v>138629.2749307479</v>
      </c>
      <c r="C90" s="13">
        <f>BedSchedule!E36</f>
        <v>254573.7594182825</v>
      </c>
      <c r="D90" s="13">
        <f>BedSchedule!G36</f>
        <v>370518.24390581716</v>
      </c>
      <c r="E90" s="13">
        <f>BedSchedule!H36</f>
        <v>152394.16214437486</v>
      </c>
      <c r="F90" s="13">
        <f>Scenarios!CF115</f>
        <v>160718.36940738867</v>
      </c>
    </row>
    <row r="91">
      <c r="A91" t="n">
        <v>33</v>
      </c>
      <c r="B91" s="13">
        <f>BedSchedule!F37</f>
        <v>138629.2749307479</v>
      </c>
      <c r="C91" s="13">
        <f>BedSchedule!E37</f>
        <v>254573.7594182825</v>
      </c>
      <c r="D91" s="13">
        <f>BedSchedule!G37</f>
        <v>370518.24390581716</v>
      </c>
      <c r="E91" s="13">
        <f>BedSchedule!H37</f>
        <v>152394.16214437486</v>
      </c>
      <c r="F91" s="13">
        <f>Scenarios!CF116</f>
        <v>160718.36940738867</v>
      </c>
    </row>
    <row r="92">
      <c r="A92" t="n">
        <v>34</v>
      </c>
      <c r="B92" s="13">
        <f>BedSchedule!F38</f>
        <v>138629.2749307479</v>
      </c>
      <c r="C92" s="13">
        <f>BedSchedule!E38</f>
        <v>254573.7594182825</v>
      </c>
      <c r="D92" s="13">
        <f>BedSchedule!G38</f>
        <v>370518.24390581716</v>
      </c>
      <c r="E92" s="13">
        <f>BedSchedule!H38</f>
        <v>152394.16214437486</v>
      </c>
      <c r="F92" s="13">
        <f>Scenarios!CF117</f>
        <v>160718.36940738867</v>
      </c>
    </row>
    <row r="93">
      <c r="A93" t="n">
        <v>35</v>
      </c>
      <c r="B93" s="13">
        <f>BedSchedule!F39</f>
        <v>138629.2749307479</v>
      </c>
      <c r="C93" s="13">
        <f>BedSchedule!E39</f>
        <v>254573.7594182825</v>
      </c>
      <c r="D93" s="13">
        <f>BedSchedule!G39</f>
        <v>370518.24390581716</v>
      </c>
      <c r="E93" s="13">
        <f>BedSchedule!H39</f>
        <v>152394.16214437486</v>
      </c>
      <c r="F93" s="13">
        <f>Scenarios!CF118</f>
        <v>160718.36940738867</v>
      </c>
    </row>
    <row r="94">
      <c r="A94" t="n">
        <v>36</v>
      </c>
      <c r="B94" s="13">
        <f>BedSchedule!F40</f>
        <v>138629.2749307479</v>
      </c>
      <c r="C94" s="13">
        <f>BedSchedule!E40</f>
        <v>254573.7594182825</v>
      </c>
      <c r="D94" s="13">
        <f>BedSchedule!G40</f>
        <v>370518.24390581716</v>
      </c>
      <c r="E94" s="13">
        <f>BedSchedule!H40</f>
        <v>152394.16214437486</v>
      </c>
      <c r="F94" s="13">
        <f>Scenarios!CF119</f>
        <v>160718.36940738867</v>
      </c>
    </row>
    <row r="95">
      <c r="A95" t="n">
        <v>37</v>
      </c>
      <c r="B95" s="13">
        <f>BedSchedule!F41</f>
        <v>138629.2749307479</v>
      </c>
      <c r="C95" s="13">
        <f>BedSchedule!E41</f>
        <v>254573.7594182825</v>
      </c>
      <c r="D95" s="13">
        <f>BedSchedule!G41</f>
        <v>370518.24390581716</v>
      </c>
      <c r="E95" s="13">
        <f>BedSchedule!H41</f>
        <v>152394.16214437486</v>
      </c>
      <c r="F95" s="13">
        <f>Scenarios!CF120</f>
        <v>160718.36940738867</v>
      </c>
    </row>
    <row r="96">
      <c r="A96" t="n">
        <v>38</v>
      </c>
      <c r="B96" s="13">
        <f>BedSchedule!F42</f>
        <v>138629.2749307479</v>
      </c>
      <c r="C96" s="13">
        <f>BedSchedule!E42</f>
        <v>254573.7594182825</v>
      </c>
      <c r="D96" s="13">
        <f>BedSchedule!G42</f>
        <v>370518.24390581716</v>
      </c>
      <c r="E96" s="13">
        <f>BedSchedule!H42</f>
        <v>152394.16214437486</v>
      </c>
      <c r="F96" s="13">
        <f>Scenarios!CF121</f>
        <v>160718.36940738867</v>
      </c>
    </row>
    <row r="97">
      <c r="A97" t="n">
        <v>39</v>
      </c>
      <c r="B97" s="13">
        <f>BedSchedule!F43</f>
        <v>138629.2749307479</v>
      </c>
      <c r="C97" s="13">
        <f>BedSchedule!E43</f>
        <v>254573.7594182825</v>
      </c>
      <c r="D97" s="13">
        <f>BedSchedule!G43</f>
        <v>370518.24390581716</v>
      </c>
      <c r="E97" s="13">
        <f>BedSchedule!H43</f>
        <v>152394.16214437486</v>
      </c>
      <c r="F97" s="13">
        <f>Scenarios!CF122</f>
        <v>160718.36940738867</v>
      </c>
    </row>
    <row r="98">
      <c r="A98" t="n">
        <v>40</v>
      </c>
      <c r="B98" s="13">
        <f>BedSchedule!F44</f>
        <v>138629.2749307479</v>
      </c>
      <c r="C98" s="13">
        <f>BedSchedule!E44</f>
        <v>254573.7594182825</v>
      </c>
      <c r="D98" s="13">
        <f>BedSchedule!G44</f>
        <v>370518.24390581716</v>
      </c>
      <c r="E98" s="13">
        <f>BedSchedule!H44</f>
        <v>152394.16214437486</v>
      </c>
      <c r="F98" s="13">
        <f>Scenarios!CF123</f>
        <v>160718.36940738867</v>
      </c>
    </row>
    <row r="99">
      <c r="A99" t="n">
        <v>41</v>
      </c>
      <c r="B99" s="13">
        <f>BedSchedule!F45</f>
        <v>138629.2749307479</v>
      </c>
      <c r="C99" s="13">
        <f>BedSchedule!E45</f>
        <v>254573.7594182825</v>
      </c>
      <c r="D99" s="13">
        <f>BedSchedule!G45</f>
        <v>370518.24390581716</v>
      </c>
      <c r="E99" s="13">
        <f>BedSchedule!H45</f>
        <v>152394.16214437486</v>
      </c>
      <c r="F99" s="13">
        <f>Scenarios!CF124</f>
        <v>160718.36940738867</v>
      </c>
    </row>
    <row r="100">
      <c r="A100" t="n">
        <v>42</v>
      </c>
      <c r="B100" s="13">
        <f>BedSchedule!F46</f>
        <v>138629.2749307479</v>
      </c>
      <c r="C100" s="13">
        <f>BedSchedule!E46</f>
        <v>254573.7594182825</v>
      </c>
      <c r="D100" s="13">
        <f>BedSchedule!G46</f>
        <v>370518.24390581716</v>
      </c>
      <c r="E100" s="13">
        <f>BedSchedule!H46</f>
        <v>152394.16214437486</v>
      </c>
      <c r="F100" s="13">
        <f>Scenarios!CF125</f>
        <v>160718.36940738867</v>
      </c>
    </row>
    <row r="101">
      <c r="A101" t="n">
        <v>43</v>
      </c>
      <c r="B101" s="13">
        <f>BedSchedule!F47</f>
        <v>138629.2749307479</v>
      </c>
      <c r="C101" s="13">
        <f>BedSchedule!E47</f>
        <v>254573.7594182825</v>
      </c>
      <c r="D101" s="13">
        <f>BedSchedule!G47</f>
        <v>370518.24390581716</v>
      </c>
      <c r="E101" s="13">
        <f>BedSchedule!H47</f>
        <v>152394.16214437486</v>
      </c>
      <c r="F101" s="13">
        <f>Scenarios!CF126</f>
        <v>160718.36940738867</v>
      </c>
    </row>
    <row r="102">
      <c r="A102" t="n">
        <v>44</v>
      </c>
      <c r="B102" s="13">
        <f>BedSchedule!F48</f>
        <v>138629.2749307479</v>
      </c>
      <c r="C102" s="13">
        <f>BedSchedule!E48</f>
        <v>254573.7594182825</v>
      </c>
      <c r="D102" s="13">
        <f>BedSchedule!G48</f>
        <v>370518.24390581716</v>
      </c>
      <c r="E102" s="13">
        <f>BedSchedule!H48</f>
        <v>152394.16214437486</v>
      </c>
      <c r="F102" s="13">
        <f>Scenarios!CF127</f>
        <v>160718.36940738867</v>
      </c>
    </row>
    <row r="103">
      <c r="A103" t="n">
        <v>45</v>
      </c>
      <c r="B103" s="13">
        <f>BedSchedule!F49</f>
        <v>138629.2749307479</v>
      </c>
      <c r="C103" s="13">
        <f>BedSchedule!E49</f>
        <v>254573.7594182825</v>
      </c>
      <c r="D103" s="13">
        <f>BedSchedule!G49</f>
        <v>370518.24390581716</v>
      </c>
      <c r="E103" s="13">
        <f>BedSchedule!H49</f>
        <v>152394.16214437486</v>
      </c>
      <c r="F103" s="13">
        <f>Scenarios!CF128</f>
        <v>160718.36940738867</v>
      </c>
    </row>
    <row r="104">
      <c r="A104" t="n">
        <v>46</v>
      </c>
      <c r="B104" s="13">
        <f>BedSchedule!F50</f>
        <v>138629.2749307479</v>
      </c>
      <c r="C104" s="13">
        <f>BedSchedule!E50</f>
        <v>254573.7594182825</v>
      </c>
      <c r="D104" s="13">
        <f>BedSchedule!G50</f>
        <v>370518.24390581716</v>
      </c>
      <c r="E104" s="13">
        <f>BedSchedule!H50</f>
        <v>152394.16214437486</v>
      </c>
      <c r="F104" s="13">
        <f>Scenarios!CF129</f>
        <v>160718.36940738867</v>
      </c>
    </row>
    <row r="105">
      <c r="A105" t="n">
        <v>47</v>
      </c>
      <c r="B105" s="13">
        <f>BedSchedule!F51</f>
        <v>138629.2749307479</v>
      </c>
      <c r="C105" s="13">
        <f>BedSchedule!E51</f>
        <v>254573.7594182825</v>
      </c>
      <c r="D105" s="13">
        <f>BedSchedule!G51</f>
        <v>370518.24390581716</v>
      </c>
      <c r="E105" s="13">
        <f>BedSchedule!H51</f>
        <v>152394.16214437486</v>
      </c>
      <c r="F105" s="13">
        <f>Scenarios!CF130</f>
        <v>160718.36940738867</v>
      </c>
    </row>
    <row r="106">
      <c r="A106" t="n">
        <v>48</v>
      </c>
      <c r="B106" s="13">
        <f>BedSchedule!F52</f>
        <v>138629.2749307479</v>
      </c>
      <c r="C106" s="13">
        <f>BedSchedule!E52</f>
        <v>254573.7594182825</v>
      </c>
      <c r="D106" s="13">
        <f>BedSchedule!G52</f>
        <v>370518.24390581716</v>
      </c>
      <c r="E106" s="13">
        <f>BedSchedule!H52</f>
        <v>152394.16214437486</v>
      </c>
      <c r="F106" s="13">
        <f>Scenarios!CF131</f>
        <v>160718.36940738867</v>
      </c>
    </row>
    <row r="107">
      <c r="A107" t="n">
        <v>49</v>
      </c>
      <c r="B107" s="13">
        <f>BedSchedule!F53</f>
        <v>138629.2749307479</v>
      </c>
      <c r="C107" s="13">
        <f>BedSchedule!E53</f>
        <v>254573.7594182825</v>
      </c>
      <c r="D107" s="13">
        <f>BedSchedule!G53</f>
        <v>370518.24390581716</v>
      </c>
      <c r="E107" s="13">
        <f>BedSchedule!H53</f>
        <v>152394.16214437486</v>
      </c>
      <c r="F107" s="13">
        <f>Scenarios!CF132</f>
        <v>160718.36940738867</v>
      </c>
    </row>
    <row r="108">
      <c r="A108" t="n">
        <v>50</v>
      </c>
      <c r="B108" s="13">
        <f>BedSchedule!F54</f>
        <v>138629.2749307479</v>
      </c>
      <c r="C108" s="13">
        <f>BedSchedule!E54</f>
        <v>254573.7594182825</v>
      </c>
      <c r="D108" s="13">
        <f>BedSchedule!G54</f>
        <v>370518.24390581716</v>
      </c>
      <c r="E108" s="13">
        <f>BedSchedule!H54</f>
        <v>152394.16214437486</v>
      </c>
      <c r="F108" s="13">
        <f>Scenarios!CF133</f>
        <v>160718.36940738867</v>
      </c>
    </row>
    <row r="109">
      <c r="A109" t="n">
        <v>51</v>
      </c>
      <c r="B109" s="13">
        <f>BedSchedule!F55</f>
        <v>138629.2749307479</v>
      </c>
      <c r="C109" s="13">
        <f>BedSchedule!E55</f>
        <v>254573.7594182825</v>
      </c>
      <c r="D109" s="13">
        <f>BedSchedule!G55</f>
        <v>370518.24390581716</v>
      </c>
      <c r="E109" s="13">
        <f>BedSchedule!H55</f>
        <v>152394.16214437486</v>
      </c>
      <c r="F109" s="13">
        <f>Scenarios!CF134</f>
        <v>160718.36940738867</v>
      </c>
    </row>
    <row r="110">
      <c r="A110" t="n">
        <v>52</v>
      </c>
      <c r="B110" s="13">
        <f>BedSchedule!F56</f>
        <v>138629.2749307479</v>
      </c>
      <c r="C110" s="13">
        <f>BedSchedule!E56</f>
        <v>254573.7594182825</v>
      </c>
      <c r="D110" s="13">
        <f>BedSchedule!G56</f>
        <v>370518.24390581716</v>
      </c>
      <c r="E110" s="13">
        <f>BedSchedule!H56</f>
        <v>152394.16214437486</v>
      </c>
      <c r="F110" s="13">
        <f>Scenarios!CF135</f>
        <v>160718.36940738867</v>
      </c>
    </row>
    <row r="111">
      <c r="A111" t="n">
        <v>53</v>
      </c>
      <c r="B111" s="13">
        <f>BedSchedule!F57</f>
        <v>138629.2749307479</v>
      </c>
      <c r="C111" s="13">
        <f>BedSchedule!E57</f>
        <v>254573.7594182825</v>
      </c>
      <c r="D111" s="13">
        <f>BedSchedule!G57</f>
        <v>370518.24390581716</v>
      </c>
      <c r="E111" s="13">
        <f>BedSchedule!H57</f>
        <v>152394.16214437486</v>
      </c>
      <c r="F111" s="13">
        <f>Scenarios!CF136</f>
        <v>160718.36940738867</v>
      </c>
    </row>
    <row r="112">
      <c r="A112" t="n">
        <v>54</v>
      </c>
      <c r="B112" s="13">
        <f>BedSchedule!F58</f>
        <v>138629.2749307479</v>
      </c>
      <c r="C112" s="13">
        <f>BedSchedule!E58</f>
        <v>254573.7594182825</v>
      </c>
      <c r="D112" s="13">
        <f>BedSchedule!G58</f>
        <v>370518.24390581716</v>
      </c>
      <c r="E112" s="13">
        <f>BedSchedule!H58</f>
        <v>152394.16214437486</v>
      </c>
      <c r="F112" s="13">
        <f>Scenarios!CF137</f>
        <v>160718.36940738867</v>
      </c>
    </row>
    <row r="113">
      <c r="A113" t="n">
        <v>55</v>
      </c>
      <c r="B113" s="13">
        <f>BedSchedule!F59</f>
        <v>138629.2749307479</v>
      </c>
      <c r="C113" s="13">
        <f>BedSchedule!E59</f>
        <v>254573.7594182825</v>
      </c>
      <c r="D113" s="13">
        <f>BedSchedule!G59</f>
        <v>370518.24390581716</v>
      </c>
      <c r="E113" s="13">
        <f>BedSchedule!H59</f>
        <v>152394.16214437486</v>
      </c>
      <c r="F113" s="13">
        <f>Scenarios!CF138</f>
        <v>160718.36940738867</v>
      </c>
    </row>
    <row r="114">
      <c r="A114" t="n">
        <v>56</v>
      </c>
      <c r="B114" s="13">
        <f>BedSchedule!F60</f>
        <v>138629.2749307479</v>
      </c>
      <c r="C114" s="13">
        <f>BedSchedule!E60</f>
        <v>254573.7594182825</v>
      </c>
      <c r="D114" s="13">
        <f>BedSchedule!G60</f>
        <v>370518.24390581716</v>
      </c>
      <c r="E114" s="13">
        <f>BedSchedule!H60</f>
        <v>152394.16214437486</v>
      </c>
      <c r="F114" s="13">
        <f>Scenarios!CF139</f>
        <v>160718.36940738867</v>
      </c>
    </row>
    <row r="115">
      <c r="A115" t="n">
        <v>57</v>
      </c>
      <c r="B115" s="13">
        <f>BedSchedule!F61</f>
        <v>138629.2749307479</v>
      </c>
      <c r="C115" s="13">
        <f>BedSchedule!E61</f>
        <v>254573.7594182825</v>
      </c>
      <c r="D115" s="13">
        <f>BedSchedule!G61</f>
        <v>370518.24390581716</v>
      </c>
      <c r="E115" s="13">
        <f>BedSchedule!H61</f>
        <v>152394.16214437486</v>
      </c>
      <c r="F115" s="13">
        <f>Scenarios!CF140</f>
        <v>160718.36940738867</v>
      </c>
    </row>
    <row r="116">
      <c r="A116" t="n">
        <v>58</v>
      </c>
      <c r="B116" s="13">
        <f>BedSchedule!F62</f>
        <v>138629.2749307479</v>
      </c>
      <c r="C116" s="13">
        <f>BedSchedule!E62</f>
        <v>254573.7594182825</v>
      </c>
      <c r="D116" s="13">
        <f>BedSchedule!G62</f>
        <v>370518.24390581716</v>
      </c>
      <c r="E116" s="13">
        <f>BedSchedule!H62</f>
        <v>152394.16214437486</v>
      </c>
      <c r="F116" s="13">
        <f>Scenarios!CF141</f>
        <v>160718.36940738867</v>
      </c>
    </row>
    <row r="117">
      <c r="A117" t="n">
        <v>59</v>
      </c>
      <c r="B117" s="13">
        <f>BedSchedule!F63</f>
        <v>138629.2749307479</v>
      </c>
      <c r="C117" s="13">
        <f>BedSchedule!E63</f>
        <v>254573.7594182825</v>
      </c>
      <c r="D117" s="13">
        <f>BedSchedule!G63</f>
        <v>370518.24390581716</v>
      </c>
      <c r="E117" s="13">
        <f>BedSchedule!H63</f>
        <v>152394.16214437486</v>
      </c>
      <c r="F117" s="13">
        <f>Scenarios!CF142</f>
        <v>160718.36940738867</v>
      </c>
    </row>
    <row r="118">
      <c r="A118" t="n">
        <v>60</v>
      </c>
      <c r="B118" s="13">
        <f>BedSchedule!F64</f>
        <v>138629.2749307479</v>
      </c>
      <c r="C118" s="13">
        <f>BedSchedule!E64</f>
        <v>254573.7594182825</v>
      </c>
      <c r="D118" s="13">
        <f>BedSchedule!G64</f>
        <v>370518.24390581716</v>
      </c>
      <c r="E118" s="13">
        <f>BedSchedule!H64</f>
        <v>152394.16214437486</v>
      </c>
      <c r="F118" s="13">
        <f>Scenarios!CF143</f>
        <v>160718.36940738867</v>
      </c>
    </row>
    <row r="119">
      <c r="A119" t="n">
        <v>61</v>
      </c>
      <c r="B119" s="13">
        <f>BedSchedule!F65</f>
        <v>138629.2749307479</v>
      </c>
      <c r="C119" s="13">
        <f>BedSchedule!E65</f>
        <v>254573.7594182825</v>
      </c>
      <c r="D119" s="13">
        <f>BedSchedule!G65</f>
        <v>370518.24390581716</v>
      </c>
      <c r="E119" s="13">
        <f>BedSchedule!H65</f>
        <v>152394.16214437486</v>
      </c>
      <c r="F119" s="13">
        <f>Scenarios!CF144</f>
        <v>160718.36940738867</v>
      </c>
    </row>
    <row r="120">
      <c r="A120" t="n">
        <v>62</v>
      </c>
      <c r="B120" s="13">
        <f>BedSchedule!F66</f>
        <v>138629.2749307479</v>
      </c>
      <c r="C120" s="13">
        <f>BedSchedule!E66</f>
        <v>254573.7594182825</v>
      </c>
      <c r="D120" s="13">
        <f>BedSchedule!G66</f>
        <v>370518.24390581716</v>
      </c>
      <c r="E120" s="13">
        <f>BedSchedule!H66</f>
        <v>152394.16214437486</v>
      </c>
      <c r="F120" s="13">
        <f>Scenarios!CF145</f>
        <v>160718.36940738867</v>
      </c>
    </row>
    <row r="121">
      <c r="A121" t="n">
        <v>63</v>
      </c>
      <c r="B121" s="13">
        <f>BedSchedule!F67</f>
        <v>138629.2749307479</v>
      </c>
      <c r="C121" s="13">
        <f>BedSchedule!E67</f>
        <v>254573.7594182825</v>
      </c>
      <c r="D121" s="13">
        <f>BedSchedule!G67</f>
        <v>370518.24390581716</v>
      </c>
      <c r="E121" s="13">
        <f>BedSchedule!H67</f>
        <v>152394.16214437486</v>
      </c>
      <c r="F121" s="13">
        <f>Scenarios!CF146</f>
        <v>160718.36940738867</v>
      </c>
    </row>
    <row r="122">
      <c r="A122" t="n">
        <v>64</v>
      </c>
      <c r="B122" s="13">
        <f>BedSchedule!F68</f>
        <v>138629.2749307479</v>
      </c>
      <c r="C122" s="13">
        <f>BedSchedule!E68</f>
        <v>254573.7594182825</v>
      </c>
      <c r="D122" s="13">
        <f>BedSchedule!G68</f>
        <v>370518.24390581716</v>
      </c>
      <c r="E122" s="13">
        <f>BedSchedule!H68</f>
        <v>152394.16214437486</v>
      </c>
      <c r="F122" s="13">
        <f>Scenarios!CF147</f>
        <v>160718.36940738867</v>
      </c>
    </row>
    <row r="123">
      <c r="A123" t="n">
        <v>65</v>
      </c>
      <c r="B123" s="13">
        <f>BedSchedule!F69</f>
        <v>138629.2749307479</v>
      </c>
      <c r="C123" s="13">
        <f>BedSchedule!E69</f>
        <v>254573.7594182825</v>
      </c>
      <c r="D123" s="13">
        <f>BedSchedule!G69</f>
        <v>370518.24390581716</v>
      </c>
      <c r="E123" s="13">
        <f>BedSchedule!H69</f>
        <v>152394.16214437486</v>
      </c>
      <c r="F123" s="13">
        <f>Scenarios!CF148</f>
        <v>160718.36940738867</v>
      </c>
    </row>
    <row r="124">
      <c r="A124" t="n">
        <v>66</v>
      </c>
      <c r="B124" s="13">
        <f>BedSchedule!F70</f>
        <v>138629.2749307479</v>
      </c>
      <c r="C124" s="13">
        <f>BedSchedule!E70</f>
        <v>254573.7594182825</v>
      </c>
      <c r="D124" s="13">
        <f>BedSchedule!G70</f>
        <v>370518.24390581716</v>
      </c>
      <c r="E124" s="13">
        <f>BedSchedule!H70</f>
        <v>152394.16214437486</v>
      </c>
      <c r="F124" s="13">
        <f>Scenarios!CF149</f>
        <v>160718.36940738867</v>
      </c>
    </row>
    <row r="125">
      <c r="A125" t="n">
        <v>67</v>
      </c>
      <c r="B125" s="13">
        <f>BedSchedule!F71</f>
        <v>138629.2749307479</v>
      </c>
      <c r="C125" s="13">
        <f>BedSchedule!E71</f>
        <v>254573.7594182825</v>
      </c>
      <c r="D125" s="13">
        <f>BedSchedule!G71</f>
        <v>370518.24390581716</v>
      </c>
      <c r="E125" s="13">
        <f>BedSchedule!H71</f>
        <v>152394.16214437486</v>
      </c>
      <c r="F125" s="13">
        <f>Scenarios!CF150</f>
        <v>160718.36940738867</v>
      </c>
    </row>
    <row r="126">
      <c r="A126" t="n">
        <v>68</v>
      </c>
      <c r="B126" s="13">
        <f>BedSchedule!F72</f>
        <v>138629.2749307479</v>
      </c>
      <c r="C126" s="13">
        <f>BedSchedule!E72</f>
        <v>254573.7594182825</v>
      </c>
      <c r="D126" s="13">
        <f>BedSchedule!G72</f>
        <v>370518.24390581716</v>
      </c>
      <c r="E126" s="13">
        <f>BedSchedule!H72</f>
        <v>152394.16214437486</v>
      </c>
      <c r="F126" s="13">
        <f>Scenarios!CF151</f>
        <v>160718.36940738867</v>
      </c>
    </row>
    <row r="127">
      <c r="A127" t="n">
        <v>69</v>
      </c>
      <c r="B127" s="13">
        <f>BedSchedule!F73</f>
        <v>138629.2749307479</v>
      </c>
      <c r="C127" s="13">
        <f>BedSchedule!E73</f>
        <v>254573.7594182825</v>
      </c>
      <c r="D127" s="13">
        <f>BedSchedule!G73</f>
        <v>370518.24390581716</v>
      </c>
      <c r="E127" s="13">
        <f>BedSchedule!H73</f>
        <v>152394.16214437486</v>
      </c>
      <c r="F127" s="13">
        <f>Scenarios!CF152</f>
        <v>160718.36940738867</v>
      </c>
    </row>
    <row r="128">
      <c r="A128" t="n">
        <v>70</v>
      </c>
      <c r="B128" s="13">
        <f>BedSchedule!F74</f>
        <v>138629.2749307479</v>
      </c>
      <c r="C128" s="13">
        <f>BedSchedule!E74</f>
        <v>254573.7594182825</v>
      </c>
      <c r="D128" s="13">
        <f>BedSchedule!G74</f>
        <v>370518.24390581716</v>
      </c>
      <c r="E128" s="13">
        <f>BedSchedule!H74</f>
        <v>152394.16214437486</v>
      </c>
      <c r="F128" s="13">
        <f>Scenarios!CF153</f>
        <v>160718.36940738867</v>
      </c>
    </row>
    <row r="129">
      <c r="A129" t="n">
        <v>71</v>
      </c>
      <c r="B129" s="13">
        <f>BedSchedule!F75</f>
        <v>138629.2749307479</v>
      </c>
      <c r="C129" s="13">
        <f>BedSchedule!E75</f>
        <v>254573.7594182825</v>
      </c>
      <c r="D129" s="13">
        <f>BedSchedule!G75</f>
        <v>370518.24390581716</v>
      </c>
      <c r="E129" s="13">
        <f>BedSchedule!H75</f>
        <v>152394.16214437486</v>
      </c>
      <c r="F129" s="13">
        <f>Scenarios!CF154</f>
        <v>160718.36940738867</v>
      </c>
    </row>
    <row r="130">
      <c r="A130" t="n">
        <v>72</v>
      </c>
      <c r="B130" s="13">
        <f>BedSchedule!F76</f>
        <v>138629.2749307479</v>
      </c>
      <c r="C130" s="13">
        <f>BedSchedule!E76</f>
        <v>254573.7594182825</v>
      </c>
      <c r="D130" s="13">
        <f>BedSchedule!G76</f>
        <v>370518.24390581716</v>
      </c>
      <c r="E130" s="13">
        <f>BedSchedule!H76</f>
        <v>152394.16214437486</v>
      </c>
      <c r="F130" s="13">
        <f>Scenarios!CF155</f>
        <v>160718.36940738867</v>
      </c>
    </row>
    <row r="131">
      <c r="A131" t="n">
        <v>73</v>
      </c>
      <c r="B131" s="13">
        <f>BedSchedule!F77</f>
        <v>138629.2749307479</v>
      </c>
      <c r="C131" s="13">
        <f>BedSchedule!E77</f>
        <v>254573.7594182825</v>
      </c>
      <c r="D131" s="13">
        <f>BedSchedule!G77</f>
        <v>370518.24390581716</v>
      </c>
      <c r="E131" s="13">
        <f>BedSchedule!H77</f>
        <v>152394.16214437486</v>
      </c>
      <c r="F131" s="13">
        <f>Scenarios!CF156</f>
        <v>160718.36940738867</v>
      </c>
    </row>
    <row r="132">
      <c r="A132" t="n">
        <v>74</v>
      </c>
      <c r="B132" s="13">
        <f>BedSchedule!F78</f>
        <v>138629.2749307479</v>
      </c>
      <c r="C132" s="13">
        <f>BedSchedule!E78</f>
        <v>254573.7594182825</v>
      </c>
      <c r="D132" s="13">
        <f>BedSchedule!G78</f>
        <v>370518.24390581716</v>
      </c>
      <c r="E132" s="13">
        <f>BedSchedule!H78</f>
        <v>152394.16214437486</v>
      </c>
      <c r="F132" s="13">
        <f>Scenarios!CF157</f>
        <v>160718.36940738867</v>
      </c>
    </row>
    <row r="133">
      <c r="A133" t="n">
        <v>75</v>
      </c>
      <c r="B133" s="13">
        <f>BedSchedule!F79</f>
        <v>138629.2749307479</v>
      </c>
      <c r="C133" s="13">
        <f>BedSchedule!E79</f>
        <v>254573.7594182825</v>
      </c>
      <c r="D133" s="13">
        <f>BedSchedule!G79</f>
        <v>370518.24390581716</v>
      </c>
      <c r="E133" s="13">
        <f>BedSchedule!H79</f>
        <v>152394.16214437486</v>
      </c>
      <c r="F133" s="13">
        <f>Scenarios!CF158</f>
        <v>160718.36940738867</v>
      </c>
    </row>
    <row r="134">
      <c r="A134" t="n">
        <v>76</v>
      </c>
      <c r="B134" s="13">
        <f>BedSchedule!F80</f>
        <v>138629.2749307479</v>
      </c>
      <c r="C134" s="13">
        <f>BedSchedule!E80</f>
        <v>254573.7594182825</v>
      </c>
      <c r="D134" s="13">
        <f>BedSchedule!G80</f>
        <v>370518.24390581716</v>
      </c>
      <c r="E134" s="13">
        <f>BedSchedule!H80</f>
        <v>152394.16214437486</v>
      </c>
      <c r="F134" s="13">
        <f>Scenarios!CF159</f>
        <v>160718.36940738867</v>
      </c>
    </row>
    <row r="135">
      <c r="A135" t="n">
        <v>77</v>
      </c>
      <c r="B135" s="13">
        <f>BedSchedule!F81</f>
        <v>138629.2749307479</v>
      </c>
      <c r="C135" s="13">
        <f>BedSchedule!E81</f>
        <v>254573.7594182825</v>
      </c>
      <c r="D135" s="13">
        <f>BedSchedule!G81</f>
        <v>370518.24390581716</v>
      </c>
      <c r="E135" s="13">
        <f>BedSchedule!H81</f>
        <v>152394.16214437486</v>
      </c>
      <c r="F135" s="13">
        <f>Scenarios!CF160</f>
        <v>160718.36940738867</v>
      </c>
    </row>
    <row r="136">
      <c r="A136" t="n">
        <v>78</v>
      </c>
      <c r="B136" s="13">
        <f>BedSchedule!F82</f>
        <v>138629.2749307479</v>
      </c>
      <c r="C136" s="13">
        <f>BedSchedule!E82</f>
        <v>254573.7594182825</v>
      </c>
      <c r="D136" s="13">
        <f>BedSchedule!G82</f>
        <v>370518.24390581716</v>
      </c>
      <c r="E136" s="13">
        <f>BedSchedule!H82</f>
        <v>152394.16214437486</v>
      </c>
      <c r="F136" s="13">
        <f>Scenarios!CF161</f>
        <v>160718.36940738867</v>
      </c>
    </row>
    <row r="137">
      <c r="A137" t="n">
        <v>79</v>
      </c>
      <c r="B137" s="13">
        <f>BedSchedule!F83</f>
        <v>138629.2749307479</v>
      </c>
      <c r="C137" s="13">
        <f>BedSchedule!E83</f>
        <v>254573.7594182825</v>
      </c>
      <c r="D137" s="13">
        <f>BedSchedule!G83</f>
        <v>370518.24390581716</v>
      </c>
      <c r="E137" s="13">
        <f>BedSchedule!H83</f>
        <v>152394.16214437486</v>
      </c>
      <c r="F137" s="13">
        <f>Scenarios!CF162</f>
        <v>160718.36940738867</v>
      </c>
    </row>
    <row r="138">
      <c r="A138" t="n">
        <v>80</v>
      </c>
      <c r="B138" s="13">
        <f>BedSchedule!F84</f>
        <v>138629.2749307479</v>
      </c>
      <c r="C138" s="13">
        <f>BedSchedule!E84</f>
        <v>254573.7594182825</v>
      </c>
      <c r="D138" s="13">
        <f>BedSchedule!G84</f>
        <v>370518.24390581716</v>
      </c>
      <c r="E138" s="13">
        <f>BedSchedule!H84</f>
        <v>152394.16214437486</v>
      </c>
      <c r="F138" s="13">
        <f>Scenarios!CF163</f>
        <v>160718.36940738867</v>
      </c>
    </row>
    <row r="139">
      <c r="A139" t="n">
        <v>81</v>
      </c>
      <c r="B139" s="13">
        <f>BedSchedule!F85</f>
        <v>138629.2749307479</v>
      </c>
      <c r="C139" s="13">
        <f>BedSchedule!E85</f>
        <v>254573.7594182825</v>
      </c>
      <c r="D139" s="13">
        <f>BedSchedule!G85</f>
        <v>370518.24390581716</v>
      </c>
      <c r="E139" s="13">
        <f>BedSchedule!H85</f>
        <v>152394.16214437486</v>
      </c>
      <c r="F139" s="13">
        <f>Scenarios!CF164</f>
        <v>160718.36940738867</v>
      </c>
    </row>
    <row r="140">
      <c r="A140" t="n">
        <v>82</v>
      </c>
      <c r="B140" s="13">
        <f>BedSchedule!F86</f>
        <v>138629.2749307479</v>
      </c>
      <c r="C140" s="13">
        <f>BedSchedule!E86</f>
        <v>254573.7594182825</v>
      </c>
      <c r="D140" s="13">
        <f>BedSchedule!G86</f>
        <v>370518.24390581716</v>
      </c>
      <c r="E140" s="13">
        <f>BedSchedule!H86</f>
        <v>152394.16214437486</v>
      </c>
      <c r="F140" s="13">
        <f>Scenarios!CF165</f>
        <v>160718.36940738867</v>
      </c>
    </row>
    <row r="141">
      <c r="A141" t="n">
        <v>83</v>
      </c>
      <c r="B141" s="13">
        <f>BedSchedule!F87</f>
        <v>138629.2749307479</v>
      </c>
      <c r="C141" s="13">
        <f>BedSchedule!E87</f>
        <v>254573.7594182825</v>
      </c>
      <c r="D141" s="13">
        <f>BedSchedule!G87</f>
        <v>370518.24390581716</v>
      </c>
      <c r="E141" s="13">
        <f>BedSchedule!H87</f>
        <v>152394.16214437486</v>
      </c>
      <c r="F141" s="13">
        <f>Scenarios!CF166</f>
        <v>160718.36940738867</v>
      </c>
    </row>
    <row r="142">
      <c r="A142" t="n">
        <v>84</v>
      </c>
      <c r="B142" s="13">
        <f>BedSchedule!F88</f>
        <v>138629.2749307479</v>
      </c>
      <c r="C142" s="13">
        <f>BedSchedule!E88</f>
        <v>254573.7594182825</v>
      </c>
      <c r="D142" s="13">
        <f>BedSchedule!G88</f>
        <v>370518.24390581716</v>
      </c>
      <c r="E142" s="13">
        <f>BedSchedule!H88</f>
        <v>152394.16214437486</v>
      </c>
      <c r="F142" s="13">
        <f>Scenarios!CF167</f>
        <v>160718.36940738867</v>
      </c>
    </row>
    <row r="143">
      <c r="A143" t="n">
        <v>85</v>
      </c>
      <c r="B143" s="13">
        <f>BedSchedule!F89</f>
        <v>138629.2749307479</v>
      </c>
      <c r="C143" s="13">
        <f>BedSchedule!E89</f>
        <v>254573.7594182825</v>
      </c>
      <c r="D143" s="13">
        <f>BedSchedule!G89</f>
        <v>370518.24390581716</v>
      </c>
      <c r="E143" s="13">
        <f>BedSchedule!H89</f>
        <v>152394.16214437486</v>
      </c>
      <c r="F143" s="13">
        <f>Scenarios!CF168</f>
        <v>160718.36940738867</v>
      </c>
    </row>
    <row r="144">
      <c r="A144" t="n">
        <v>86</v>
      </c>
      <c r="B144" s="13">
        <f>BedSchedule!F90</f>
        <v>138629.2749307479</v>
      </c>
      <c r="C144" s="13">
        <f>BedSchedule!E90</f>
        <v>254573.7594182825</v>
      </c>
      <c r="D144" s="13">
        <f>BedSchedule!G90</f>
        <v>370518.24390581716</v>
      </c>
      <c r="E144" s="13">
        <f>BedSchedule!H90</f>
        <v>152394.16214437486</v>
      </c>
      <c r="F144" s="13">
        <f>Scenarios!CF169</f>
        <v>160718.36940738867</v>
      </c>
    </row>
    <row r="145">
      <c r="A145" t="n">
        <v>87</v>
      </c>
      <c r="B145" s="13">
        <f>BedSchedule!F91</f>
        <v>138629.2749307479</v>
      </c>
      <c r="C145" s="13">
        <f>BedSchedule!E91</f>
        <v>254573.7594182825</v>
      </c>
      <c r="D145" s="13">
        <f>BedSchedule!G91</f>
        <v>370518.24390581716</v>
      </c>
      <c r="E145" s="13">
        <f>BedSchedule!H91</f>
        <v>152394.16214437486</v>
      </c>
      <c r="F145" s="13">
        <f>Scenarios!CF170</f>
        <v>160718.36940738867</v>
      </c>
    </row>
    <row r="146">
      <c r="A146" t="n">
        <v>88</v>
      </c>
      <c r="B146" s="13">
        <f>BedSchedule!F92</f>
        <v>138629.2749307479</v>
      </c>
      <c r="C146" s="13">
        <f>BedSchedule!E92</f>
        <v>254573.7594182825</v>
      </c>
      <c r="D146" s="13">
        <f>BedSchedule!G92</f>
        <v>370518.24390581716</v>
      </c>
      <c r="E146" s="13">
        <f>BedSchedule!H92</f>
        <v>152394.16214437486</v>
      </c>
      <c r="F146" s="13">
        <f>Scenarios!CF171</f>
        <v>160718.36940738867</v>
      </c>
    </row>
    <row r="147">
      <c r="A147" t="n">
        <v>89</v>
      </c>
      <c r="B147" s="13">
        <f>BedSchedule!F93</f>
        <v>138629.2749307479</v>
      </c>
      <c r="C147" s="13">
        <f>BedSchedule!E93</f>
        <v>254573.7594182825</v>
      </c>
      <c r="D147" s="13">
        <f>BedSchedule!G93</f>
        <v>370518.24390581716</v>
      </c>
      <c r="E147" s="13">
        <f>BedSchedule!H93</f>
        <v>152394.16214437486</v>
      </c>
      <c r="F147" s="13">
        <f>Scenarios!CF172</f>
        <v>160718.36940738867</v>
      </c>
    </row>
    <row r="148">
      <c r="A148" t="n">
        <v>90</v>
      </c>
      <c r="B148" s="13">
        <f>BedSchedule!F94</f>
        <v>138629.2749307479</v>
      </c>
      <c r="C148" s="13">
        <f>BedSchedule!E94</f>
        <v>254573.7594182825</v>
      </c>
      <c r="D148" s="13">
        <f>BedSchedule!G94</f>
        <v>370518.24390581716</v>
      </c>
      <c r="E148" s="13">
        <f>BedSchedule!H94</f>
        <v>152394.16214437486</v>
      </c>
      <c r="F148" s="13">
        <f>Scenarios!CF173</f>
        <v>160718.36940738867</v>
      </c>
    </row>
    <row r="149">
      <c r="A149" t="n">
        <v>91</v>
      </c>
      <c r="B149" s="13">
        <f>BedSchedule!F95</f>
        <v>138629.2749307479</v>
      </c>
      <c r="C149" s="13">
        <f>BedSchedule!E95</f>
        <v>254573.7594182825</v>
      </c>
      <c r="D149" s="13">
        <f>BedSchedule!G95</f>
        <v>370518.24390581716</v>
      </c>
      <c r="E149" s="13">
        <f>BedSchedule!H95</f>
        <v>152394.16214437486</v>
      </c>
      <c r="F149" s="13">
        <f>Scenarios!CF174</f>
        <v>160718.36940738867</v>
      </c>
    </row>
    <row r="150">
      <c r="A150" t="n">
        <v>92</v>
      </c>
      <c r="B150" s="13">
        <f>BedSchedule!F96</f>
        <v>138629.2749307479</v>
      </c>
      <c r="C150" s="13">
        <f>BedSchedule!E96</f>
        <v>254573.7594182825</v>
      </c>
      <c r="D150" s="13">
        <f>BedSchedule!G96</f>
        <v>370518.24390581716</v>
      </c>
      <c r="E150" s="13">
        <f>BedSchedule!H96</f>
        <v>152394.16214437486</v>
      </c>
      <c r="F150" s="13">
        <f>Scenarios!CF175</f>
        <v>160718.36940738867</v>
      </c>
    </row>
    <row r="151">
      <c r="A151" t="n">
        <v>93</v>
      </c>
      <c r="B151" s="13">
        <f>BedSchedule!F97</f>
        <v>138629.2749307479</v>
      </c>
      <c r="C151" s="13">
        <f>BedSchedule!E97</f>
        <v>254573.7594182825</v>
      </c>
      <c r="D151" s="13">
        <f>BedSchedule!G97</f>
        <v>370518.24390581716</v>
      </c>
      <c r="E151" s="13">
        <f>BedSchedule!H97</f>
        <v>152394.16214437486</v>
      </c>
      <c r="F151" s="13">
        <f>Scenarios!CF176</f>
        <v>160718.36940738867</v>
      </c>
    </row>
    <row r="152">
      <c r="A152" t="n">
        <v>94</v>
      </c>
      <c r="B152" s="13">
        <f>BedSchedule!F98</f>
        <v>138629.2749307479</v>
      </c>
      <c r="C152" s="13">
        <f>BedSchedule!E98</f>
        <v>254573.7594182825</v>
      </c>
      <c r="D152" s="13">
        <f>BedSchedule!G98</f>
        <v>370518.24390581716</v>
      </c>
      <c r="E152" s="13">
        <f>BedSchedule!H98</f>
        <v>152394.16214437486</v>
      </c>
      <c r="F152" s="13">
        <f>Scenarios!CF177</f>
        <v>160718.36940738867</v>
      </c>
    </row>
    <row r="153">
      <c r="A153" t="n">
        <v>95</v>
      </c>
      <c r="B153" s="13">
        <f>BedSchedule!F99</f>
        <v>138629.2749307479</v>
      </c>
      <c r="C153" s="13">
        <f>BedSchedule!E99</f>
        <v>254573.7594182825</v>
      </c>
      <c r="D153" s="13">
        <f>BedSchedule!G99</f>
        <v>370518.24390581716</v>
      </c>
      <c r="E153" s="13">
        <f>BedSchedule!H99</f>
        <v>152394.16214437486</v>
      </c>
      <c r="F153" s="13">
        <f>Scenarios!CF178</f>
        <v>160718.36940738867</v>
      </c>
    </row>
    <row r="154">
      <c r="A154" t="n">
        <v>96</v>
      </c>
      <c r="B154" s="13">
        <f>BedSchedule!F100</f>
        <v>138629.2749307479</v>
      </c>
      <c r="C154" s="13">
        <f>BedSchedule!E100</f>
        <v>254573.7594182825</v>
      </c>
      <c r="D154" s="13">
        <f>BedSchedule!G100</f>
        <v>370518.24390581716</v>
      </c>
      <c r="E154" s="13">
        <f>BedSchedule!H100</f>
        <v>152394.16214437486</v>
      </c>
      <c r="F154" s="13">
        <f>Scenarios!CF179</f>
        <v>160718.36940738867</v>
      </c>
    </row>
    <row r="155">
      <c r="A155" t="n">
        <v>97</v>
      </c>
      <c r="B155" s="13">
        <f>BedSchedule!F101</f>
        <v>138629.2749307479</v>
      </c>
      <c r="C155" s="13">
        <f>BedSchedule!E101</f>
        <v>254573.7594182825</v>
      </c>
      <c r="D155" s="13">
        <f>BedSchedule!G101</f>
        <v>370518.24390581716</v>
      </c>
      <c r="E155" s="13">
        <f>BedSchedule!H101</f>
        <v>152394.16214437486</v>
      </c>
      <c r="F155" s="13">
        <f>Scenarios!CF180</f>
        <v>160718.36940738867</v>
      </c>
    </row>
    <row r="156">
      <c r="A156" t="n">
        <v>98</v>
      </c>
      <c r="B156" s="13">
        <f>BedSchedule!F102</f>
        <v>138629.2749307479</v>
      </c>
      <c r="C156" s="13">
        <f>BedSchedule!E102</f>
        <v>254573.7594182825</v>
      </c>
      <c r="D156" s="13">
        <f>BedSchedule!G102</f>
        <v>370518.24390581716</v>
      </c>
      <c r="E156" s="13">
        <f>BedSchedule!H102</f>
        <v>152394.16214437486</v>
      </c>
      <c r="F156" s="13">
        <f>Scenarios!CF181</f>
        <v>160718.36940738867</v>
      </c>
    </row>
    <row r="157">
      <c r="A157" t="n">
        <v>99</v>
      </c>
      <c r="B157" s="13">
        <f>BedSchedule!F103</f>
        <v>138629.2749307479</v>
      </c>
      <c r="C157" s="13">
        <f>BedSchedule!E103</f>
        <v>254573.7594182825</v>
      </c>
      <c r="D157" s="13">
        <f>BedSchedule!G103</f>
        <v>370518.24390581716</v>
      </c>
      <c r="E157" s="13">
        <f>BedSchedule!H103</f>
        <v>152394.16214437486</v>
      </c>
      <c r="F157" s="13">
        <f>Scenarios!CF182</f>
        <v>160718.36940738867</v>
      </c>
    </row>
    <row r="158">
      <c r="A158" t="n">
        <v>100</v>
      </c>
      <c r="B158" s="13">
        <f>BedSchedule!F104</f>
        <v>138629.2749307479</v>
      </c>
      <c r="C158" s="13">
        <f>BedSchedule!E104</f>
        <v>254573.7594182825</v>
      </c>
      <c r="D158" s="13">
        <f>BedSchedule!G104</f>
        <v>370518.24390581716</v>
      </c>
      <c r="E158" s="13">
        <f>BedSchedule!H104</f>
        <v>152394.16214437486</v>
      </c>
      <c r="F158" s="13">
        <f>Scenarios!CF183</f>
        <v>160718.36940738867</v>
      </c>
    </row>
    <row r="159">
      <c r="A159" t="n">
        <v>101</v>
      </c>
      <c r="B159" s="13">
        <f>BedSchedule!F105</f>
        <v>138629.2749307479</v>
      </c>
      <c r="C159" s="13">
        <f>BedSchedule!E105</f>
        <v>254573.7594182825</v>
      </c>
      <c r="D159" s="13">
        <f>BedSchedule!G105</f>
        <v>370518.24390581716</v>
      </c>
      <c r="E159" s="13">
        <f>BedSchedule!H105</f>
        <v>152394.16214437486</v>
      </c>
      <c r="F159" s="13">
        <f>Scenarios!CF184</f>
        <v>160718.36940738867</v>
      </c>
    </row>
    <row r="160">
      <c r="A160" t="n">
        <v>102</v>
      </c>
      <c r="B160" s="13">
        <f>BedSchedule!F106</f>
        <v>138629.2749307479</v>
      </c>
      <c r="C160" s="13">
        <f>BedSchedule!E106</f>
        <v>254573.7594182825</v>
      </c>
      <c r="D160" s="13">
        <f>BedSchedule!G106</f>
        <v>370518.24390581716</v>
      </c>
      <c r="E160" s="13">
        <f>BedSchedule!H106</f>
        <v>152394.16214437486</v>
      </c>
      <c r="F160" s="13">
        <f>Scenarios!CF185</f>
        <v>160718.36940738867</v>
      </c>
    </row>
    <row r="161">
      <c r="A161" t="n">
        <v>103</v>
      </c>
      <c r="B161" s="13">
        <f>BedSchedule!F107</f>
        <v>138629.2749307479</v>
      </c>
      <c r="C161" s="13">
        <f>BedSchedule!E107</f>
        <v>254573.7594182825</v>
      </c>
      <c r="D161" s="13">
        <f>BedSchedule!G107</f>
        <v>370518.24390581716</v>
      </c>
      <c r="E161" s="13">
        <f>BedSchedule!H107</f>
        <v>152394.16214437486</v>
      </c>
      <c r="F161" s="13">
        <f>Scenarios!CF186</f>
        <v>160718.36940738867</v>
      </c>
    </row>
    <row r="162">
      <c r="A162" t="n">
        <v>104</v>
      </c>
      <c r="B162" s="13">
        <f>BedSchedule!F108</f>
        <v>138629.2749307479</v>
      </c>
      <c r="C162" s="13">
        <f>BedSchedule!E108</f>
        <v>254573.7594182825</v>
      </c>
      <c r="D162" s="13">
        <f>BedSchedule!G108</f>
        <v>370518.24390581716</v>
      </c>
      <c r="E162" s="13">
        <f>BedSchedule!H108</f>
        <v>152394.16214437486</v>
      </c>
      <c r="F162" s="13">
        <f>Scenarios!CF187</f>
        <v>160718.36940738867</v>
      </c>
    </row>
    <row r="163">
      <c r="A163" t="n">
        <v>105</v>
      </c>
      <c r="B163" s="13">
        <f>BedSchedule!F109</f>
        <v>138629.2749307479</v>
      </c>
      <c r="C163" s="13">
        <f>BedSchedule!E109</f>
        <v>254573.7594182825</v>
      </c>
      <c r="D163" s="13">
        <f>BedSchedule!G109</f>
        <v>370518.24390581716</v>
      </c>
      <c r="E163" s="13">
        <f>BedSchedule!H109</f>
        <v>152394.16214437486</v>
      </c>
      <c r="F163" s="13">
        <f>Scenarios!CF188</f>
        <v>160718.36940738867</v>
      </c>
    </row>
    <row r="164">
      <c r="A164" t="n">
        <v>106</v>
      </c>
      <c r="B164" s="13">
        <f>BedSchedule!F110</f>
        <v>138629.2749307479</v>
      </c>
      <c r="C164" s="13">
        <f>BedSchedule!E110</f>
        <v>254573.7594182825</v>
      </c>
      <c r="D164" s="13">
        <f>BedSchedule!G110</f>
        <v>370518.24390581716</v>
      </c>
      <c r="E164" s="13">
        <f>BedSchedule!H110</f>
        <v>152394.16214437486</v>
      </c>
      <c r="F164" s="13">
        <f>Scenarios!CF189</f>
        <v>160718.36940738867</v>
      </c>
    </row>
    <row r="165">
      <c r="A165" t="n">
        <v>107</v>
      </c>
      <c r="B165" s="13">
        <f>BedSchedule!F111</f>
        <v>138629.2749307479</v>
      </c>
      <c r="C165" s="13">
        <f>BedSchedule!E111</f>
        <v>254573.7594182825</v>
      </c>
      <c r="D165" s="13">
        <f>BedSchedule!G111</f>
        <v>370518.24390581716</v>
      </c>
      <c r="E165" s="13">
        <f>BedSchedule!H111</f>
        <v>152394.16214437486</v>
      </c>
      <c r="F165" s="13">
        <f>Scenarios!CF190</f>
        <v>160718.36940738867</v>
      </c>
    </row>
    <row r="166">
      <c r="A166" t="n">
        <v>108</v>
      </c>
      <c r="B166" s="13">
        <f>BedSchedule!F112</f>
        <v>138629.2749307479</v>
      </c>
      <c r="C166" s="13">
        <f>BedSchedule!E112</f>
        <v>254573.7594182825</v>
      </c>
      <c r="D166" s="13">
        <f>BedSchedule!G112</f>
        <v>370518.24390581716</v>
      </c>
      <c r="E166" s="13">
        <f>BedSchedule!H112</f>
        <v>152394.16214437486</v>
      </c>
      <c r="F166" s="13">
        <f>Scenarios!CF191</f>
        <v>160718.36940738867</v>
      </c>
    </row>
    <row r="167">
      <c r="A167" t="n">
        <v>109</v>
      </c>
      <c r="B167" s="13">
        <f>BedSchedule!F113</f>
        <v>138629.2749307479</v>
      </c>
      <c r="C167" s="13">
        <f>BedSchedule!E113</f>
        <v>254573.7594182825</v>
      </c>
      <c r="D167" s="13">
        <f>BedSchedule!G113</f>
        <v>370518.24390581716</v>
      </c>
      <c r="E167" s="13">
        <f>BedSchedule!H113</f>
        <v>152394.16214437486</v>
      </c>
      <c r="F167" s="13">
        <f>Scenarios!CF192</f>
        <v>160718.36940738867</v>
      </c>
    </row>
    <row r="168">
      <c r="A168" t="n">
        <v>110</v>
      </c>
      <c r="B168" s="13">
        <f>BedSchedule!F114</f>
        <v>138629.2749307479</v>
      </c>
      <c r="C168" s="13">
        <f>BedSchedule!E114</f>
        <v>254573.7594182825</v>
      </c>
      <c r="D168" s="13">
        <f>BedSchedule!G114</f>
        <v>370518.24390581716</v>
      </c>
      <c r="E168" s="13">
        <f>BedSchedule!H114</f>
        <v>152394.16214437486</v>
      </c>
      <c r="F168" s="13">
        <f>Scenarios!CF193</f>
        <v>160718.36940738867</v>
      </c>
    </row>
    <row r="169">
      <c r="A169" t="n">
        <v>111</v>
      </c>
      <c r="B169" s="13">
        <f>BedSchedule!F115</f>
        <v>138629.2749307479</v>
      </c>
      <c r="C169" s="13">
        <f>BedSchedule!E115</f>
        <v>254573.7594182825</v>
      </c>
      <c r="D169" s="13">
        <f>BedSchedule!G115</f>
        <v>370518.24390581716</v>
      </c>
      <c r="E169" s="13">
        <f>BedSchedule!H115</f>
        <v>152394.16214437486</v>
      </c>
      <c r="F169" s="13">
        <f>Scenarios!CF194</f>
        <v>160718.36940738867</v>
      </c>
    </row>
    <row r="170">
      <c r="A170" t="n">
        <v>112</v>
      </c>
      <c r="B170" s="13">
        <f>BedSchedule!F116</f>
        <v>138629.2749307479</v>
      </c>
      <c r="C170" s="13">
        <f>BedSchedule!E116</f>
        <v>254573.7594182825</v>
      </c>
      <c r="D170" s="13">
        <f>BedSchedule!G116</f>
        <v>370518.24390581716</v>
      </c>
      <c r="E170" s="13">
        <f>BedSchedule!H116</f>
        <v>152394.16214437486</v>
      </c>
      <c r="F170" s="13">
        <f>Scenarios!CF195</f>
        <v>160718.36940738867</v>
      </c>
    </row>
    <row r="171">
      <c r="A171" t="n">
        <v>113</v>
      </c>
      <c r="B171" s="13">
        <f>BedSchedule!F117</f>
        <v>138629.2749307479</v>
      </c>
      <c r="C171" s="13">
        <f>BedSchedule!E117</f>
        <v>254573.7594182825</v>
      </c>
      <c r="D171" s="13">
        <f>BedSchedule!G117</f>
        <v>370518.24390581716</v>
      </c>
      <c r="E171" s="13">
        <f>BedSchedule!H117</f>
        <v>152394.16214437486</v>
      </c>
      <c r="F171" s="13">
        <f>Scenarios!CF196</f>
        <v>160718.36940738867</v>
      </c>
    </row>
    <row r="172">
      <c r="A172" t="n">
        <v>114</v>
      </c>
      <c r="B172" s="13">
        <f>BedSchedule!F118</f>
        <v>138629.2749307479</v>
      </c>
      <c r="C172" s="13">
        <f>BedSchedule!E118</f>
        <v>254573.7594182825</v>
      </c>
      <c r="D172" s="13">
        <f>BedSchedule!G118</f>
        <v>370518.24390581716</v>
      </c>
      <c r="E172" s="13">
        <f>BedSchedule!H118</f>
        <v>152394.16214437486</v>
      </c>
      <c r="F172" s="13">
        <f>Scenarios!CF197</f>
        <v>160718.36940738867</v>
      </c>
    </row>
    <row r="173">
      <c r="A173" t="n">
        <v>115</v>
      </c>
      <c r="B173" s="13">
        <f>BedSchedule!F119</f>
        <v>138629.2749307479</v>
      </c>
      <c r="C173" s="13">
        <f>BedSchedule!E119</f>
        <v>254573.7594182825</v>
      </c>
      <c r="D173" s="13">
        <f>BedSchedule!G119</f>
        <v>370518.24390581716</v>
      </c>
      <c r="E173" s="13">
        <f>BedSchedule!H119</f>
        <v>152394.16214437486</v>
      </c>
      <c r="F173" s="13">
        <f>Scenarios!CF198</f>
        <v>160718.36940738867</v>
      </c>
    </row>
    <row r="174">
      <c r="A174" t="n">
        <v>116</v>
      </c>
      <c r="B174" s="13">
        <f>BedSchedule!F120</f>
        <v>138629.2749307479</v>
      </c>
      <c r="C174" s="13">
        <f>BedSchedule!E120</f>
        <v>254573.7594182825</v>
      </c>
      <c r="D174" s="13">
        <f>BedSchedule!G120</f>
        <v>370518.24390581716</v>
      </c>
      <c r="E174" s="13">
        <f>BedSchedule!H120</f>
        <v>152394.16214437486</v>
      </c>
      <c r="F174" s="13">
        <f>Scenarios!CF199</f>
        <v>160718.36940738867</v>
      </c>
    </row>
    <row r="175">
      <c r="A175" t="n">
        <v>117</v>
      </c>
      <c r="B175" s="13">
        <f>BedSchedule!F121</f>
        <v>138629.2749307479</v>
      </c>
      <c r="C175" s="13">
        <f>BedSchedule!E121</f>
        <v>254573.7594182825</v>
      </c>
      <c r="D175" s="13">
        <f>BedSchedule!G121</f>
        <v>370518.24390581716</v>
      </c>
      <c r="E175" s="13">
        <f>BedSchedule!H121</f>
        <v>152394.16214437486</v>
      </c>
      <c r="F175" s="13">
        <f>Scenarios!CF200</f>
        <v>160718.36940738867</v>
      </c>
    </row>
    <row r="176">
      <c r="A176" t="n">
        <v>118</v>
      </c>
      <c r="B176" s="13">
        <f>BedSchedule!F122</f>
        <v>138629.2749307479</v>
      </c>
      <c r="C176" s="13">
        <f>BedSchedule!E122</f>
        <v>254573.7594182825</v>
      </c>
      <c r="D176" s="13">
        <f>BedSchedule!G122</f>
        <v>370518.24390581716</v>
      </c>
      <c r="E176" s="13">
        <f>BedSchedule!H122</f>
        <v>152394.16214437486</v>
      </c>
      <c r="F176" s="13">
        <f>Scenarios!CF201</f>
        <v>160718.36940738867</v>
      </c>
    </row>
    <row r="177">
      <c r="A177" t="n">
        <v>119</v>
      </c>
      <c r="B177" s="13">
        <f>BedSchedule!F123</f>
        <v>138629.2749307479</v>
      </c>
      <c r="C177" s="13">
        <f>BedSchedule!E123</f>
        <v>254573.7594182825</v>
      </c>
      <c r="D177" s="13">
        <f>BedSchedule!G123</f>
        <v>370518.24390581716</v>
      </c>
      <c r="E177" s="13">
        <f>BedSchedule!H123</f>
        <v>152394.16214437486</v>
      </c>
      <c r="F177" s="13">
        <f>Scenarios!CF202</f>
        <v>160718.36940738867</v>
      </c>
    </row>
    <row r="178">
      <c r="A178" t="n">
        <v>120</v>
      </c>
      <c r="B178" s="13">
        <f>BedSchedule!F124</f>
        <v>138629.2749307479</v>
      </c>
      <c r="C178" s="13">
        <f>BedSchedule!E124</f>
        <v>254573.7594182825</v>
      </c>
      <c r="D178" s="13">
        <f>BedSchedule!G124</f>
        <v>370518.24390581716</v>
      </c>
      <c r="E178" s="13">
        <f>BedSchedule!H124</f>
        <v>152394.16214437486</v>
      </c>
      <c r="F178" s="13">
        <f>Scenarios!CF203</f>
        <v>160718.36940738867</v>
      </c>
    </row>
    <row r="179">
      <c r="A179" t="n">
        <v>121</v>
      </c>
      <c r="B179" s="13">
        <f>BedSchedule!F125</f>
        <v>138629.2749307479</v>
      </c>
      <c r="C179" s="13">
        <f>BedSchedule!E125</f>
        <v>254573.7594182825</v>
      </c>
      <c r="D179" s="13">
        <f>BedSchedule!G125</f>
        <v>370518.24390581716</v>
      </c>
      <c r="E179" s="13">
        <f>BedSchedule!H125</f>
        <v>152394.16214437486</v>
      </c>
      <c r="F179" s="13">
        <f>Scenarios!CF204</f>
        <v>160718.36940738867</v>
      </c>
    </row>
    <row r="180">
      <c r="A180" t="n">
        <v>122</v>
      </c>
      <c r="B180" s="13">
        <f>BedSchedule!F126</f>
        <v>138629.2749307479</v>
      </c>
      <c r="C180" s="13">
        <f>BedSchedule!E126</f>
        <v>254573.7594182825</v>
      </c>
      <c r="D180" s="13">
        <f>BedSchedule!G126</f>
        <v>370518.24390581716</v>
      </c>
      <c r="E180" s="13">
        <f>BedSchedule!H126</f>
        <v>152394.16214437486</v>
      </c>
      <c r="F180" s="13">
        <f>Scenarios!CF205</f>
        <v>160718.36940738867</v>
      </c>
    </row>
    <row r="181">
      <c r="A181" t="n">
        <v>123</v>
      </c>
      <c r="B181" s="13">
        <f>BedSchedule!F127</f>
        <v>138629.2749307479</v>
      </c>
      <c r="C181" s="13">
        <f>BedSchedule!E127</f>
        <v>254573.7594182825</v>
      </c>
      <c r="D181" s="13">
        <f>BedSchedule!G127</f>
        <v>370518.24390581716</v>
      </c>
      <c r="E181" s="13">
        <f>BedSchedule!H127</f>
        <v>152394.16214437486</v>
      </c>
      <c r="F181" s="13">
        <f>Scenarios!CF206</f>
        <v>160718.36940738867</v>
      </c>
    </row>
    <row r="182">
      <c r="A182" t="n">
        <v>124</v>
      </c>
      <c r="B182" s="13">
        <f>BedSchedule!F128</f>
        <v>138629.2749307479</v>
      </c>
      <c r="C182" s="13">
        <f>BedSchedule!E128</f>
        <v>254573.7594182825</v>
      </c>
      <c r="D182" s="13">
        <f>BedSchedule!G128</f>
        <v>370518.24390581716</v>
      </c>
      <c r="E182" s="13">
        <f>BedSchedule!H128</f>
        <v>152394.16214437486</v>
      </c>
      <c r="F182" s="13">
        <f>Scenarios!CF207</f>
        <v>160718.36940738867</v>
      </c>
    </row>
    <row r="183">
      <c r="A183" t="n">
        <v>125</v>
      </c>
      <c r="B183" s="13">
        <f>BedSchedule!F129</f>
        <v>138629.2749307479</v>
      </c>
      <c r="C183" s="13">
        <f>BedSchedule!E129</f>
        <v>254573.7594182825</v>
      </c>
      <c r="D183" s="13">
        <f>BedSchedule!G129</f>
        <v>370518.24390581716</v>
      </c>
      <c r="E183" s="13">
        <f>BedSchedule!H129</f>
        <v>152394.16214437486</v>
      </c>
      <c r="F183" s="13">
        <f>Scenarios!CF208</f>
        <v>160718.36940738867</v>
      </c>
    </row>
    <row r="184">
      <c r="A184" t="n">
        <v>126</v>
      </c>
      <c r="B184" s="13">
        <f>BedSchedule!F130</f>
        <v>138629.2749307479</v>
      </c>
      <c r="C184" s="13">
        <f>BedSchedule!E130</f>
        <v>254573.7594182825</v>
      </c>
      <c r="D184" s="13">
        <f>BedSchedule!G130</f>
        <v>370518.24390581716</v>
      </c>
      <c r="E184" s="13">
        <f>BedSchedule!H130</f>
        <v>152394.16214437486</v>
      </c>
      <c r="F184" s="13">
        <f>Scenarios!CF209</f>
        <v>160718.36940738867</v>
      </c>
    </row>
    <row r="185">
      <c r="A185" t="n">
        <v>127</v>
      </c>
      <c r="B185" s="13">
        <f>BedSchedule!F131</f>
        <v>138629.2749307479</v>
      </c>
      <c r="C185" s="13">
        <f>BedSchedule!E131</f>
        <v>254573.7594182825</v>
      </c>
      <c r="D185" s="13">
        <f>BedSchedule!G131</f>
        <v>370518.24390581716</v>
      </c>
      <c r="E185" s="13">
        <f>BedSchedule!H131</f>
        <v>152394.16214437486</v>
      </c>
      <c r="F185" s="13">
        <f>Scenarios!CF210</f>
        <v>160718.36940738867</v>
      </c>
    </row>
    <row r="186">
      <c r="A186" t="n">
        <v>128</v>
      </c>
      <c r="B186" s="13">
        <f>BedSchedule!F132</f>
        <v>138629.2749307479</v>
      </c>
      <c r="C186" s="13">
        <f>BedSchedule!E132</f>
        <v>254573.7594182825</v>
      </c>
      <c r="D186" s="13">
        <f>BedSchedule!G132</f>
        <v>370518.24390581716</v>
      </c>
      <c r="E186" s="13">
        <f>BedSchedule!H132</f>
        <v>152394.16214437486</v>
      </c>
      <c r="F186" s="13">
        <f>Scenarios!CF211</f>
        <v>160718.36940738867</v>
      </c>
    </row>
    <row r="187">
      <c r="A187" t="n">
        <v>129</v>
      </c>
      <c r="B187" s="13">
        <f>BedSchedule!F133</f>
        <v>138629.2749307479</v>
      </c>
      <c r="C187" s="13">
        <f>BedSchedule!E133</f>
        <v>254573.7594182825</v>
      </c>
      <c r="D187" s="13">
        <f>BedSchedule!G133</f>
        <v>370518.24390581716</v>
      </c>
      <c r="E187" s="13">
        <f>BedSchedule!H133</f>
        <v>152394.16214437486</v>
      </c>
      <c r="F187" s="13">
        <f>Scenarios!CF212</f>
        <v>160718.36940738867</v>
      </c>
    </row>
    <row r="188">
      <c r="A188" t="n">
        <v>130</v>
      </c>
      <c r="B188" s="13">
        <f>BedSchedule!F134</f>
        <v>138629.2749307479</v>
      </c>
      <c r="C188" s="13">
        <f>BedSchedule!E134</f>
        <v>254573.7594182825</v>
      </c>
      <c r="D188" s="13">
        <f>BedSchedule!G134</f>
        <v>370518.24390581716</v>
      </c>
      <c r="E188" s="13">
        <f>BedSchedule!H134</f>
        <v>152394.16214437486</v>
      </c>
      <c r="F188" s="13">
        <f>Scenarios!CF213</f>
        <v>160718.36940738867</v>
      </c>
    </row>
    <row r="189">
      <c r="A189" t="n">
        <v>131</v>
      </c>
      <c r="B189" s="13">
        <f>BedSchedule!F135</f>
        <v>138629.2749307479</v>
      </c>
      <c r="C189" s="13">
        <f>BedSchedule!E135</f>
        <v>254573.7594182825</v>
      </c>
      <c r="D189" s="13">
        <f>BedSchedule!G135</f>
        <v>370518.24390581716</v>
      </c>
      <c r="E189" s="13">
        <f>BedSchedule!H135</f>
        <v>152394.16214437486</v>
      </c>
      <c r="F189" s="13">
        <f>Scenarios!CF214</f>
        <v>160718.36940738867</v>
      </c>
    </row>
    <row r="190">
      <c r="A190" t="n">
        <v>132</v>
      </c>
      <c r="B190" s="13">
        <f>BedSchedule!F136</f>
        <v>138629.2749307479</v>
      </c>
      <c r="C190" s="13">
        <f>BedSchedule!E136</f>
        <v>254573.7594182825</v>
      </c>
      <c r="D190" s="13">
        <f>BedSchedule!G136</f>
        <v>370518.24390581716</v>
      </c>
      <c r="E190" s="13">
        <f>BedSchedule!H136</f>
        <v>152394.16214437486</v>
      </c>
      <c r="F190" s="13">
        <f>Scenarios!CF215</f>
        <v>160718.36940738867</v>
      </c>
    </row>
    <row r="191">
      <c r="A191" t="n">
        <v>133</v>
      </c>
      <c r="B191" s="13">
        <f>BedSchedule!F137</f>
        <v>138629.2749307479</v>
      </c>
      <c r="C191" s="13">
        <f>BedSchedule!E137</f>
        <v>254573.7594182825</v>
      </c>
      <c r="D191" s="13">
        <f>BedSchedule!G137</f>
        <v>370518.24390581716</v>
      </c>
      <c r="E191" s="13">
        <f>BedSchedule!H137</f>
        <v>152394.16214437486</v>
      </c>
      <c r="F191" s="13">
        <f>Scenarios!CF216</f>
        <v>160718.36940738867</v>
      </c>
    </row>
    <row r="192">
      <c r="A192" t="n">
        <v>134</v>
      </c>
      <c r="B192" s="13">
        <f>BedSchedule!F138</f>
        <v>138629.2749307479</v>
      </c>
      <c r="C192" s="13">
        <f>BedSchedule!E138</f>
        <v>254573.7594182825</v>
      </c>
      <c r="D192" s="13">
        <f>BedSchedule!G138</f>
        <v>370518.24390581716</v>
      </c>
      <c r="E192" s="13">
        <f>BedSchedule!H138</f>
        <v>152394.16214437486</v>
      </c>
      <c r="F192" s="13">
        <f>Scenarios!CF217</f>
        <v>160718.36940738867</v>
      </c>
    </row>
    <row r="193">
      <c r="A193" t="n">
        <v>135</v>
      </c>
      <c r="B193" s="13">
        <f>BedSchedule!F139</f>
        <v>138629.2749307479</v>
      </c>
      <c r="C193" s="13">
        <f>BedSchedule!E139</f>
        <v>254573.7594182825</v>
      </c>
      <c r="D193" s="13">
        <f>BedSchedule!G139</f>
        <v>370518.24390581716</v>
      </c>
      <c r="E193" s="13">
        <f>BedSchedule!H139</f>
        <v>152394.16214437486</v>
      </c>
      <c r="F193" s="13">
        <f>Scenarios!CF218</f>
        <v>160718.36940738867</v>
      </c>
    </row>
    <row r="194">
      <c r="A194" t="n">
        <v>136</v>
      </c>
      <c r="B194" s="13">
        <f>BedSchedule!F140</f>
        <v>138629.2749307479</v>
      </c>
      <c r="C194" s="13">
        <f>BedSchedule!E140</f>
        <v>254573.7594182825</v>
      </c>
      <c r="D194" s="13">
        <f>BedSchedule!G140</f>
        <v>370518.24390581716</v>
      </c>
      <c r="E194" s="13">
        <f>BedSchedule!H140</f>
        <v>152394.16214437486</v>
      </c>
      <c r="F194" s="13">
        <f>Scenarios!CF219</f>
        <v>160718.36940738867</v>
      </c>
    </row>
    <row r="195">
      <c r="A195" t="n">
        <v>137</v>
      </c>
      <c r="B195" s="13">
        <f>BedSchedule!F141</f>
        <v>138629.2749307479</v>
      </c>
      <c r="C195" s="13">
        <f>BedSchedule!E141</f>
        <v>254573.7594182825</v>
      </c>
      <c r="D195" s="13">
        <f>BedSchedule!G141</f>
        <v>370518.24390581716</v>
      </c>
      <c r="E195" s="13">
        <f>BedSchedule!H141</f>
        <v>152394.16214437486</v>
      </c>
      <c r="F195" s="13">
        <f>Scenarios!CF220</f>
        <v>160718.36940738867</v>
      </c>
    </row>
    <row r="196">
      <c r="A196" t="n">
        <v>138</v>
      </c>
      <c r="B196" s="13">
        <f>BedSchedule!F142</f>
        <v>138629.2749307479</v>
      </c>
      <c r="C196" s="13">
        <f>BedSchedule!E142</f>
        <v>254573.7594182825</v>
      </c>
      <c r="D196" s="13">
        <f>BedSchedule!G142</f>
        <v>370518.24390581716</v>
      </c>
      <c r="E196" s="13">
        <f>BedSchedule!H142</f>
        <v>152394.16214437486</v>
      </c>
      <c r="F196" s="13">
        <f>Scenarios!CF221</f>
        <v>160718.36940738867</v>
      </c>
    </row>
    <row r="197">
      <c r="A197" t="n">
        <v>139</v>
      </c>
      <c r="B197" s="13">
        <f>BedSchedule!F143</f>
        <v>138629.2749307479</v>
      </c>
      <c r="C197" s="13">
        <f>BedSchedule!E143</f>
        <v>254573.7594182825</v>
      </c>
      <c r="D197" s="13">
        <f>BedSchedule!G143</f>
        <v>370518.24390581716</v>
      </c>
      <c r="E197" s="13">
        <f>BedSchedule!H143</f>
        <v>152394.16214437486</v>
      </c>
      <c r="F197" s="13">
        <f>Scenarios!CF222</f>
        <v>160718.36940738867</v>
      </c>
    </row>
    <row r="198">
      <c r="A198" t="n">
        <v>140</v>
      </c>
      <c r="B198" s="13">
        <f>BedSchedule!F144</f>
        <v>138629.2749307479</v>
      </c>
      <c r="C198" s="13">
        <f>BedSchedule!E144</f>
        <v>254573.7594182825</v>
      </c>
      <c r="D198" s="13">
        <f>BedSchedule!G144</f>
        <v>370518.24390581716</v>
      </c>
      <c r="E198" s="13">
        <f>BedSchedule!H144</f>
        <v>152394.16214437486</v>
      </c>
      <c r="F198" s="13">
        <f>Scenarios!CF223</f>
        <v>160718.36940738867</v>
      </c>
    </row>
    <row r="199">
      <c r="A199" t="n">
        <v>141</v>
      </c>
      <c r="B199" s="13">
        <f>BedSchedule!F145</f>
        <v>138629.2749307479</v>
      </c>
      <c r="C199" s="13">
        <f>BedSchedule!E145</f>
        <v>254573.7594182825</v>
      </c>
      <c r="D199" s="13">
        <f>BedSchedule!G145</f>
        <v>370518.24390581716</v>
      </c>
      <c r="E199" s="13">
        <f>BedSchedule!H145</f>
        <v>152394.16214437486</v>
      </c>
      <c r="F199" s="13">
        <f>Scenarios!CF224</f>
        <v>160718.36940738867</v>
      </c>
    </row>
    <row r="200">
      <c r="A200" t="n">
        <v>142</v>
      </c>
      <c r="B200" s="13">
        <f>BedSchedule!F146</f>
        <v>138629.2749307479</v>
      </c>
      <c r="C200" s="13">
        <f>BedSchedule!E146</f>
        <v>254573.7594182825</v>
      </c>
      <c r="D200" s="13">
        <f>BedSchedule!G146</f>
        <v>370518.24390581716</v>
      </c>
      <c r="E200" s="13">
        <f>BedSchedule!H146</f>
        <v>152394.16214437486</v>
      </c>
      <c r="F200" s="13">
        <f>Scenarios!CF225</f>
        <v>160718.36940738867</v>
      </c>
    </row>
    <row r="201">
      <c r="A201" t="n">
        <v>143</v>
      </c>
      <c r="B201" s="13">
        <f>BedSchedule!F147</f>
        <v>138629.2749307479</v>
      </c>
      <c r="C201" s="13">
        <f>BedSchedule!E147</f>
        <v>254573.7594182825</v>
      </c>
      <c r="D201" s="13">
        <f>BedSchedule!G147</f>
        <v>370518.24390581716</v>
      </c>
      <c r="E201" s="13">
        <f>BedSchedule!H147</f>
        <v>152394.16214437486</v>
      </c>
      <c r="F201" s="13">
        <f>Scenarios!CF226</f>
        <v>160718.36940738867</v>
      </c>
    </row>
    <row r="202">
      <c r="A202" t="n">
        <v>144</v>
      </c>
      <c r="B202" s="13">
        <f>BedSchedule!F148</f>
        <v>138629.2749307479</v>
      </c>
      <c r="C202" s="13">
        <f>BedSchedule!E148</f>
        <v>254573.7594182825</v>
      </c>
      <c r="D202" s="13">
        <f>BedSchedule!G148</f>
        <v>370518.24390581716</v>
      </c>
      <c r="E202" s="13">
        <f>BedSchedule!H148</f>
        <v>152394.16214437486</v>
      </c>
      <c r="F202" s="13">
        <f>Scenarios!CF227</f>
        <v>160718.36940738867</v>
      </c>
    </row>
    <row r="203">
      <c r="A203" t="n">
        <v>145</v>
      </c>
      <c r="B203" s="13">
        <f>BedSchedule!F149</f>
        <v>138629.2749307479</v>
      </c>
      <c r="C203" s="13">
        <f>BedSchedule!E149</f>
        <v>254573.7594182825</v>
      </c>
      <c r="D203" s="13">
        <f>BedSchedule!G149</f>
        <v>370518.24390581716</v>
      </c>
      <c r="E203" s="13">
        <f>BedSchedule!H149</f>
        <v>152394.16214437486</v>
      </c>
      <c r="F203" s="13">
        <f>Scenarios!CF228</f>
        <v>160718.36940738867</v>
      </c>
    </row>
    <row r="204">
      <c r="A204" t="n">
        <v>146</v>
      </c>
      <c r="B204" s="13">
        <f>BedSchedule!F150</f>
        <v>138629.2749307479</v>
      </c>
      <c r="C204" s="13">
        <f>BedSchedule!E150</f>
        <v>254573.7594182825</v>
      </c>
      <c r="D204" s="13">
        <f>BedSchedule!G150</f>
        <v>370518.24390581716</v>
      </c>
      <c r="E204" s="13">
        <f>BedSchedule!H150</f>
        <v>152394.16214437486</v>
      </c>
      <c r="F204" s="13">
        <f>Scenarios!CF229</f>
        <v>160718.36940738867</v>
      </c>
    </row>
    <row r="205">
      <c r="A205" t="n">
        <v>147</v>
      </c>
      <c r="B205" s="13">
        <f>BedSchedule!F151</f>
        <v>138629.2749307479</v>
      </c>
      <c r="C205" s="13">
        <f>BedSchedule!E151</f>
        <v>254573.7594182825</v>
      </c>
      <c r="D205" s="13">
        <f>BedSchedule!G151</f>
        <v>370518.24390581716</v>
      </c>
      <c r="E205" s="13">
        <f>BedSchedule!H151</f>
        <v>152394.16214437486</v>
      </c>
      <c r="F205" s="13">
        <f>Scenarios!CF230</f>
        <v>160718.36940738867</v>
      </c>
    </row>
    <row r="206">
      <c r="A206" t="n">
        <v>148</v>
      </c>
      <c r="B206" s="13">
        <f>BedSchedule!F152</f>
        <v>138629.2749307479</v>
      </c>
      <c r="C206" s="13">
        <f>BedSchedule!E152</f>
        <v>254573.7594182825</v>
      </c>
      <c r="D206" s="13">
        <f>BedSchedule!G152</f>
        <v>370518.24390581716</v>
      </c>
      <c r="E206" s="13">
        <f>BedSchedule!H152</f>
        <v>152394.16214437486</v>
      </c>
      <c r="F206" s="13">
        <f>Scenarios!CF231</f>
        <v>160718.36940738867</v>
      </c>
    </row>
    <row r="207">
      <c r="A207" t="n">
        <v>149</v>
      </c>
      <c r="B207" s="13">
        <f>BedSchedule!F153</f>
        <v>138629.2749307479</v>
      </c>
      <c r="C207" s="13">
        <f>BedSchedule!E153</f>
        <v>254573.7594182825</v>
      </c>
      <c r="D207" s="13">
        <f>BedSchedule!G153</f>
        <v>370518.24390581716</v>
      </c>
      <c r="E207" s="13">
        <f>BedSchedule!H153</f>
        <v>152394.16214437486</v>
      </c>
      <c r="F207" s="13">
        <f>Scenarios!CF232</f>
        <v>160718.36940738867</v>
      </c>
    </row>
    <row r="208">
      <c r="A208" t="n">
        <v>150</v>
      </c>
      <c r="B208" s="13">
        <f>BedSchedule!F154</f>
        <v>138629.2749307479</v>
      </c>
      <c r="C208" s="13">
        <f>BedSchedule!E154</f>
        <v>254573.7594182825</v>
      </c>
      <c r="D208" s="13">
        <f>BedSchedule!G154</f>
        <v>370518.24390581716</v>
      </c>
      <c r="E208" s="13">
        <f>BedSchedule!H154</f>
        <v>152394.16214437486</v>
      </c>
      <c r="F208" s="13">
        <f>Scenarios!CF233</f>
        <v>160718.36940738867</v>
      </c>
    </row>
    <row r="209">
      <c r="A209" t="n">
        <v>151</v>
      </c>
      <c r="B209" s="13">
        <f>BedSchedule!F155</f>
        <v>23365.04311032647</v>
      </c>
      <c r="C209" s="13">
        <f>BedSchedule!E155</f>
        <v>42906.71552987225</v>
      </c>
      <c r="D209" s="13">
        <f>BedSchedule!G155</f>
        <v>62448.38794941802</v>
      </c>
      <c r="E209" s="13">
        <f>BedSchedule!H155</f>
        <v>152394.16214437486</v>
      </c>
      <c r="F209" s="13">
        <f>Scenarios!CF234</f>
        <v>160718.36940738867</v>
      </c>
    </row>
    <row r="210">
      <c r="A210" t="n">
        <v>152</v>
      </c>
      <c r="B210" s="13">
        <f>BedSchedule!F156</f>
        <v>0.0</v>
      </c>
      <c r="C210" s="13">
        <f>BedSchedule!E156</f>
        <v>0.0</v>
      </c>
      <c r="D210" s="13">
        <f>BedSchedule!G156</f>
        <v>0.0</v>
      </c>
      <c r="E210" s="13">
        <f>BedSchedule!H156</f>
        <v>152394.16214437486</v>
      </c>
      <c r="F210" s="13">
        <f>Scenarios!CF235</f>
        <v>160718.36940738867</v>
      </c>
    </row>
    <row r="211">
      <c r="A211" t="n">
        <v>153</v>
      </c>
      <c r="B211" s="13">
        <f>BedSchedule!F157</f>
        <v>0.0</v>
      </c>
      <c r="C211" s="13">
        <f>BedSchedule!E157</f>
        <v>0.0</v>
      </c>
      <c r="D211" s="13">
        <f>BedSchedule!G157</f>
        <v>0.0</v>
      </c>
      <c r="E211" s="13">
        <f>BedSchedule!H157</f>
        <v>152394.16214437486</v>
      </c>
      <c r="F211" s="13">
        <f>Scenarios!CF236</f>
        <v>160718.36940738867</v>
      </c>
    </row>
    <row r="212">
      <c r="A212" t="n">
        <v>154</v>
      </c>
      <c r="B212" s="13">
        <f>BedSchedule!F158</f>
        <v>0.0</v>
      </c>
      <c r="C212" s="13">
        <f>BedSchedule!E158</f>
        <v>0.0</v>
      </c>
      <c r="D212" s="13">
        <f>BedSchedule!G158</f>
        <v>0.0</v>
      </c>
      <c r="E212" s="13">
        <f>BedSchedule!H158</f>
        <v>152394.16214437486</v>
      </c>
      <c r="F212" s="13">
        <f>Scenarios!CF237</f>
        <v>160718.36940738867</v>
      </c>
    </row>
    <row r="213">
      <c r="A213" t="n">
        <v>155</v>
      </c>
      <c r="B213" s="13">
        <f>BedSchedule!F159</f>
        <v>0.0</v>
      </c>
      <c r="C213" s="13">
        <f>BedSchedule!E159</f>
        <v>0.0</v>
      </c>
      <c r="D213" s="13">
        <f>BedSchedule!G159</f>
        <v>0.0</v>
      </c>
      <c r="E213" s="13">
        <f>BedSchedule!H159</f>
        <v>152394.16214437486</v>
      </c>
      <c r="F213" s="13">
        <f>Scenarios!CF238</f>
        <v>160718.36940738867</v>
      </c>
    </row>
    <row r="214">
      <c r="A214" t="n">
        <v>156</v>
      </c>
      <c r="B214" s="13">
        <f>BedSchedule!F160</f>
        <v>0.0</v>
      </c>
      <c r="C214" s="13">
        <f>BedSchedule!E160</f>
        <v>0.0</v>
      </c>
      <c r="D214" s="13">
        <f>BedSchedule!G160</f>
        <v>0.0</v>
      </c>
      <c r="E214" s="13">
        <f>BedSchedule!H160</f>
        <v>152394.16214437486</v>
      </c>
      <c r="F214" s="13">
        <f>Scenarios!CF239</f>
        <v>160718.36940738867</v>
      </c>
    </row>
    <row r="215">
      <c r="A215" t="n">
        <v>157</v>
      </c>
      <c r="B215" s="13">
        <f>BedSchedule!F161</f>
        <v>0.0</v>
      </c>
      <c r="C215" s="13">
        <f>BedSchedule!E161</f>
        <v>0.0</v>
      </c>
      <c r="D215" s="13">
        <f>BedSchedule!G161</f>
        <v>0.0</v>
      </c>
      <c r="E215" s="13">
        <f>BedSchedule!H161</f>
        <v>152394.16214437486</v>
      </c>
      <c r="F215" s="13">
        <f>Scenarios!CF240</f>
        <v>160718.36940738867</v>
      </c>
    </row>
    <row r="216">
      <c r="A216" t="n">
        <v>158</v>
      </c>
      <c r="B216" s="13">
        <f>BedSchedule!F162</f>
        <v>0.0</v>
      </c>
      <c r="C216" s="13">
        <f>BedSchedule!E162</f>
        <v>0.0</v>
      </c>
      <c r="D216" s="13">
        <f>BedSchedule!G162</f>
        <v>0.0</v>
      </c>
      <c r="E216" s="13">
        <f>BedSchedule!H162</f>
        <v>152394.16214437486</v>
      </c>
      <c r="F216" s="13">
        <f>Scenarios!CF241</f>
        <v>160718.36940738867</v>
      </c>
    </row>
    <row r="217">
      <c r="A217" t="n">
        <v>159</v>
      </c>
      <c r="B217" s="13">
        <f>BedSchedule!F163</f>
        <v>0.0</v>
      </c>
      <c r="C217" s="13">
        <f>BedSchedule!E163</f>
        <v>0.0</v>
      </c>
      <c r="D217" s="13">
        <f>BedSchedule!G163</f>
        <v>0.0</v>
      </c>
      <c r="E217" s="13">
        <f>BedSchedule!H163</f>
        <v>152394.16214437486</v>
      </c>
      <c r="F217" s="13">
        <f>Scenarios!CF242</f>
        <v>160718.36940738867</v>
      </c>
    </row>
    <row r="218">
      <c r="A218" t="n">
        <v>160</v>
      </c>
      <c r="B218" s="13">
        <f>BedSchedule!F164</f>
        <v>0.0</v>
      </c>
      <c r="C218" s="13">
        <f>BedSchedule!E164</f>
        <v>0.0</v>
      </c>
      <c r="D218" s="13">
        <f>BedSchedule!G164</f>
        <v>0.0</v>
      </c>
      <c r="E218" s="13">
        <f>BedSchedule!H164</f>
        <v>152394.16214437486</v>
      </c>
      <c r="F218" s="13">
        <f>Scenarios!CF243</f>
        <v>160718.36940738867</v>
      </c>
    </row>
    <row r="219">
      <c r="A219" t="n">
        <v>161</v>
      </c>
      <c r="B219" s="13">
        <f>BedSchedule!F165</f>
        <v>0.0</v>
      </c>
      <c r="C219" s="13">
        <f>BedSchedule!E165</f>
        <v>0.0</v>
      </c>
      <c r="D219" s="13">
        <f>BedSchedule!G165</f>
        <v>0.0</v>
      </c>
      <c r="E219" s="13">
        <f>BedSchedule!H165</f>
        <v>152394.16214437486</v>
      </c>
      <c r="F219" s="13">
        <f>Scenarios!CF244</f>
        <v>160718.36940738867</v>
      </c>
    </row>
    <row r="220">
      <c r="A220" t="n">
        <v>162</v>
      </c>
      <c r="B220" s="13">
        <f>BedSchedule!F166</f>
        <v>0.0</v>
      </c>
      <c r="C220" s="13">
        <f>BedSchedule!E166</f>
        <v>0.0</v>
      </c>
      <c r="D220" s="13">
        <f>BedSchedule!G166</f>
        <v>0.0</v>
      </c>
      <c r="E220" s="13">
        <f>BedSchedule!H166</f>
        <v>152394.16214437486</v>
      </c>
      <c r="F220" s="13">
        <f>Scenarios!CF245</f>
        <v>160718.36940738867</v>
      </c>
    </row>
    <row r="221">
      <c r="A221" t="n">
        <v>163</v>
      </c>
      <c r="B221" s="13">
        <f>BedSchedule!F167</f>
        <v>0.0</v>
      </c>
      <c r="C221" s="13">
        <f>BedSchedule!E167</f>
        <v>0.0</v>
      </c>
      <c r="D221" s="13">
        <f>BedSchedule!G167</f>
        <v>0.0</v>
      </c>
      <c r="E221" s="13">
        <f>BedSchedule!H167</f>
        <v>152394.16214437486</v>
      </c>
      <c r="F221" s="13">
        <f>Scenarios!CF246</f>
        <v>160718.36940738867</v>
      </c>
    </row>
    <row r="222">
      <c r="A222" t="n">
        <v>164</v>
      </c>
      <c r="B222" s="13">
        <f>BedSchedule!F168</f>
        <v>0.0</v>
      </c>
      <c r="C222" s="13">
        <f>BedSchedule!E168</f>
        <v>0.0</v>
      </c>
      <c r="D222" s="13">
        <f>BedSchedule!G168</f>
        <v>0.0</v>
      </c>
      <c r="E222" s="13">
        <f>BedSchedule!H168</f>
        <v>152394.16214437486</v>
      </c>
      <c r="F222" s="13">
        <f>Scenarios!CF247</f>
        <v>160718.36940738867</v>
      </c>
    </row>
    <row r="223">
      <c r="A223" t="n">
        <v>165</v>
      </c>
      <c r="B223" s="13">
        <f>BedSchedule!F169</f>
        <v>0.0</v>
      </c>
      <c r="C223" s="13">
        <f>BedSchedule!E169</f>
        <v>0.0</v>
      </c>
      <c r="D223" s="13">
        <f>BedSchedule!G169</f>
        <v>0.0</v>
      </c>
      <c r="E223" s="13">
        <f>BedSchedule!H169</f>
        <v>152394.16214437486</v>
      </c>
      <c r="F223" s="13">
        <f>Scenarios!CF248</f>
        <v>160718.36940738867</v>
      </c>
    </row>
    <row r="224">
      <c r="A224" t="n">
        <v>166</v>
      </c>
      <c r="B224" s="13">
        <f>BedSchedule!F170</f>
        <v>0.0</v>
      </c>
      <c r="C224" s="13">
        <f>BedSchedule!E170</f>
        <v>0.0</v>
      </c>
      <c r="D224" s="13">
        <f>BedSchedule!G170</f>
        <v>0.0</v>
      </c>
      <c r="E224" s="13">
        <f>BedSchedule!H170</f>
        <v>152394.16214437486</v>
      </c>
      <c r="F224" s="13">
        <f>Scenarios!CF249</f>
        <v>160718.36940738867</v>
      </c>
    </row>
    <row r="225">
      <c r="A225" t="n">
        <v>167</v>
      </c>
      <c r="B225" s="13">
        <f>BedSchedule!F171</f>
        <v>0.0</v>
      </c>
      <c r="C225" s="13">
        <f>BedSchedule!E171</f>
        <v>0.0</v>
      </c>
      <c r="D225" s="13">
        <f>BedSchedule!G171</f>
        <v>0.0</v>
      </c>
      <c r="E225" s="13">
        <f>BedSchedule!H171</f>
        <v>152394.16214437486</v>
      </c>
      <c r="F225" s="13">
        <f>Scenarios!CF250</f>
        <v>160718.36940738867</v>
      </c>
    </row>
    <row r="226">
      <c r="A226" t="n">
        <v>168</v>
      </c>
      <c r="B226" s="13">
        <f>BedSchedule!F172</f>
        <v>0.0</v>
      </c>
      <c r="C226" s="13">
        <f>BedSchedule!E172</f>
        <v>0.0</v>
      </c>
      <c r="D226" s="13">
        <f>BedSchedule!G172</f>
        <v>0.0</v>
      </c>
      <c r="E226" s="13">
        <f>BedSchedule!H172</f>
        <v>152394.16214437486</v>
      </c>
      <c r="F226" s="13">
        <f>Scenarios!CF251</f>
        <v>160718.36940738867</v>
      </c>
    </row>
    <row r="227">
      <c r="A227" t="n">
        <v>169</v>
      </c>
      <c r="B227" s="13">
        <f>BedSchedule!F173</f>
        <v>0.0</v>
      </c>
      <c r="C227" s="13">
        <f>BedSchedule!E173</f>
        <v>0.0</v>
      </c>
      <c r="D227" s="13">
        <f>BedSchedule!G173</f>
        <v>0.0</v>
      </c>
      <c r="E227" s="13">
        <f>BedSchedule!H173</f>
        <v>152394.16214437486</v>
      </c>
      <c r="F227" s="13">
        <f>Scenarios!CF252</f>
        <v>160718.36940738867</v>
      </c>
    </row>
    <row r="228">
      <c r="A228" t="n">
        <v>170</v>
      </c>
      <c r="B228" s="13">
        <f>BedSchedule!F174</f>
        <v>0.0</v>
      </c>
      <c r="C228" s="13">
        <f>BedSchedule!E174</f>
        <v>0.0</v>
      </c>
      <c r="D228" s="13">
        <f>BedSchedule!G174</f>
        <v>0.0</v>
      </c>
      <c r="E228" s="13">
        <f>BedSchedule!H174</f>
        <v>152394.16214437486</v>
      </c>
      <c r="F228" s="13">
        <f>Scenarios!CF253</f>
        <v>160718.36940738867</v>
      </c>
    </row>
    <row r="229">
      <c r="A229" t="n">
        <v>171</v>
      </c>
      <c r="B229" s="13">
        <f>BedSchedule!F175</f>
        <v>0.0</v>
      </c>
      <c r="C229" s="13">
        <f>BedSchedule!E175</f>
        <v>0.0</v>
      </c>
      <c r="D229" s="13">
        <f>BedSchedule!G175</f>
        <v>0.0</v>
      </c>
      <c r="E229" s="13">
        <f>BedSchedule!H175</f>
        <v>152394.16214437486</v>
      </c>
      <c r="F229" s="13">
        <f>Scenarios!CF254</f>
        <v>160718.36940738867</v>
      </c>
    </row>
    <row r="230">
      <c r="A230" t="n">
        <v>172</v>
      </c>
      <c r="B230" s="13">
        <f>BedSchedule!F176</f>
        <v>0.0</v>
      </c>
      <c r="C230" s="13">
        <f>BedSchedule!E176</f>
        <v>0.0</v>
      </c>
      <c r="D230" s="13">
        <f>BedSchedule!G176</f>
        <v>0.0</v>
      </c>
      <c r="E230" s="13">
        <f>BedSchedule!H176</f>
        <v>152394.16214437486</v>
      </c>
      <c r="F230" s="13">
        <f>Scenarios!CF255</f>
        <v>160718.36940738867</v>
      </c>
    </row>
    <row r="231">
      <c r="A231" t="n">
        <v>173</v>
      </c>
      <c r="B231" s="13">
        <f>BedSchedule!F177</f>
        <v>0.0</v>
      </c>
      <c r="C231" s="13">
        <f>BedSchedule!E177</f>
        <v>0.0</v>
      </c>
      <c r="D231" s="13">
        <f>BedSchedule!G177</f>
        <v>0.0</v>
      </c>
      <c r="E231" s="13">
        <f>BedSchedule!H177</f>
        <v>152394.16214437486</v>
      </c>
      <c r="F231" s="13">
        <f>Scenarios!CF256</f>
        <v>160718.36940738867</v>
      </c>
    </row>
    <row r="232">
      <c r="A232" t="n">
        <v>174</v>
      </c>
      <c r="B232" s="13">
        <f>BedSchedule!F178</f>
        <v>0.0</v>
      </c>
      <c r="C232" s="13">
        <f>BedSchedule!E178</f>
        <v>0.0</v>
      </c>
      <c r="D232" s="13">
        <f>BedSchedule!G178</f>
        <v>0.0</v>
      </c>
      <c r="E232" s="13">
        <f>BedSchedule!H178</f>
        <v>152394.16214437486</v>
      </c>
      <c r="F232" s="13">
        <f>Scenarios!CF257</f>
        <v>160718.36940738867</v>
      </c>
    </row>
    <row r="233">
      <c r="A233" t="n">
        <v>175</v>
      </c>
      <c r="B233" s="13">
        <f>BedSchedule!F179</f>
        <v>0.0</v>
      </c>
      <c r="C233" s="13">
        <f>BedSchedule!E179</f>
        <v>0.0</v>
      </c>
      <c r="D233" s="13">
        <f>BedSchedule!G179</f>
        <v>0.0</v>
      </c>
      <c r="E233" s="13">
        <f>BedSchedule!H179</f>
        <v>152394.16214437486</v>
      </c>
      <c r="F233" s="13">
        <f>Scenarios!CF258</f>
        <v>160718.36940738867</v>
      </c>
    </row>
    <row r="234">
      <c r="A234" t="n">
        <v>176</v>
      </c>
      <c r="B234" s="13">
        <f>BedSchedule!F180</f>
        <v>0.0</v>
      </c>
      <c r="C234" s="13">
        <f>BedSchedule!E180</f>
        <v>0.0</v>
      </c>
      <c r="D234" s="13">
        <f>BedSchedule!G180</f>
        <v>0.0</v>
      </c>
      <c r="E234" s="13">
        <f>BedSchedule!H180</f>
        <v>152394.16214437486</v>
      </c>
      <c r="F234" s="13">
        <f>Scenarios!CF259</f>
        <v>160718.36940738867</v>
      </c>
    </row>
    <row r="235">
      <c r="A235" t="n">
        <v>177</v>
      </c>
      <c r="B235" s="13">
        <f>BedSchedule!F181</f>
        <v>0.0</v>
      </c>
      <c r="C235" s="13">
        <f>BedSchedule!E181</f>
        <v>0.0</v>
      </c>
      <c r="D235" s="13">
        <f>BedSchedule!G181</f>
        <v>0.0</v>
      </c>
      <c r="E235" s="13">
        <f>BedSchedule!H181</f>
        <v>152394.16214437486</v>
      </c>
      <c r="F235" s="13">
        <f>Scenarios!CF260</f>
        <v>160718.36940738867</v>
      </c>
    </row>
    <row r="236">
      <c r="A236" t="n">
        <v>178</v>
      </c>
      <c r="B236" s="13">
        <f>BedSchedule!F182</f>
        <v>0.0</v>
      </c>
      <c r="C236" s="13">
        <f>BedSchedule!E182</f>
        <v>0.0</v>
      </c>
      <c r="D236" s="13">
        <f>BedSchedule!G182</f>
        <v>0.0</v>
      </c>
      <c r="E236" s="13">
        <f>BedSchedule!H182</f>
        <v>152394.16214437486</v>
      </c>
      <c r="F236" s="13">
        <f>Scenarios!CF261</f>
        <v>160718.36940738867</v>
      </c>
    </row>
    <row r="237">
      <c r="A237" t="n">
        <v>179</v>
      </c>
      <c r="B237" s="13">
        <f>BedSchedule!F183</f>
        <v>0.0</v>
      </c>
      <c r="C237" s="13">
        <f>BedSchedule!E183</f>
        <v>0.0</v>
      </c>
      <c r="D237" s="13">
        <f>BedSchedule!G183</f>
        <v>0.0</v>
      </c>
      <c r="E237" s="13">
        <f>BedSchedule!H183</f>
        <v>152394.16214437486</v>
      </c>
      <c r="F237" s="13">
        <f>Scenarios!CF262</f>
        <v>160718.36940738867</v>
      </c>
    </row>
    <row r="238">
      <c r="A238" t="n">
        <v>180</v>
      </c>
      <c r="B238" s="13">
        <f>BedSchedule!F184</f>
        <v>0.0</v>
      </c>
      <c r="C238" s="13">
        <f>BedSchedule!E184</f>
        <v>0.0</v>
      </c>
      <c r="D238" s="13">
        <f>BedSchedule!G184</f>
        <v>0.0</v>
      </c>
      <c r="E238" s="13">
        <f>BedSchedule!H184</f>
        <v>152394.16214437486</v>
      </c>
      <c r="F238" s="13">
        <f>Scenarios!CF263</f>
        <v>160718.36940738867</v>
      </c>
    </row>
    <row r="239">
      <c r="A239" t="n">
        <v>181</v>
      </c>
      <c r="B239" s="13">
        <f>BedSchedule!F185</f>
        <v>0.0</v>
      </c>
      <c r="C239" s="13">
        <f>BedSchedule!E185</f>
        <v>0.0</v>
      </c>
      <c r="D239" s="13">
        <f>BedSchedule!G185</f>
        <v>0.0</v>
      </c>
      <c r="E239" s="13">
        <f>BedSchedule!H185</f>
        <v>152394.16214437486</v>
      </c>
      <c r="F239" s="13">
        <f>Scenarios!CF264</f>
        <v>160718.36940738867</v>
      </c>
    </row>
    <row r="240">
      <c r="A240" t="n">
        <v>182</v>
      </c>
      <c r="B240" s="13">
        <f>BedSchedule!F186</f>
        <v>0.0</v>
      </c>
      <c r="C240" s="13">
        <f>BedSchedule!E186</f>
        <v>0.0</v>
      </c>
      <c r="D240" s="13">
        <f>BedSchedule!G186</f>
        <v>0.0</v>
      </c>
      <c r="E240" s="13">
        <f>BedSchedule!H186</f>
        <v>152394.16214437486</v>
      </c>
      <c r="F240" s="13">
        <f>Scenarios!CF265</f>
        <v>160718.36940738867</v>
      </c>
    </row>
    <row r="241">
      <c r="A241" t="n">
        <v>183</v>
      </c>
      <c r="B241" s="13">
        <f>BedSchedule!F187</f>
        <v>0.0</v>
      </c>
      <c r="C241" s="13">
        <f>BedSchedule!E187</f>
        <v>0.0</v>
      </c>
      <c r="D241" s="13">
        <f>BedSchedule!G187</f>
        <v>0.0</v>
      </c>
      <c r="E241" s="13">
        <f>BedSchedule!H187</f>
        <v>152394.16214437486</v>
      </c>
      <c r="F241" s="13">
        <f>Scenarios!CF266</f>
        <v>160718.36940738867</v>
      </c>
    </row>
    <row r="242">
      <c r="A242" t="n">
        <v>184</v>
      </c>
      <c r="B242" s="13">
        <f>BedSchedule!F188</f>
        <v>0.0</v>
      </c>
      <c r="C242" s="13">
        <f>BedSchedule!E188</f>
        <v>0.0</v>
      </c>
      <c r="D242" s="13">
        <f>BedSchedule!G188</f>
        <v>0.0</v>
      </c>
      <c r="E242" s="13">
        <f>BedSchedule!H188</f>
        <v>152394.16214437486</v>
      </c>
      <c r="F242" s="13">
        <f>Scenarios!CF267</f>
        <v>160718.36940738867</v>
      </c>
    </row>
    <row r="243">
      <c r="A243" t="n">
        <v>185</v>
      </c>
      <c r="B243" s="13">
        <f>BedSchedule!F189</f>
        <v>0.0</v>
      </c>
      <c r="C243" s="13">
        <f>BedSchedule!E189</f>
        <v>0.0</v>
      </c>
      <c r="D243" s="13">
        <f>BedSchedule!G189</f>
        <v>0.0</v>
      </c>
      <c r="E243" s="13">
        <f>BedSchedule!H189</f>
        <v>152394.16214437486</v>
      </c>
      <c r="F243" s="13">
        <f>Scenarios!CF268</f>
        <v>160718.36940738867</v>
      </c>
    </row>
    <row r="244">
      <c r="A244" t="n">
        <v>186</v>
      </c>
      <c r="B244" s="13">
        <f>BedSchedule!F190</f>
        <v>0.0</v>
      </c>
      <c r="C244" s="13">
        <f>BedSchedule!E190</f>
        <v>0.0</v>
      </c>
      <c r="D244" s="13">
        <f>BedSchedule!G190</f>
        <v>0.0</v>
      </c>
      <c r="E244" s="13">
        <f>BedSchedule!H190</f>
        <v>152394.16214437486</v>
      </c>
      <c r="F244" s="13">
        <f>Scenarios!CF269</f>
        <v>160718.36940738867</v>
      </c>
    </row>
    <row r="245">
      <c r="A245" t="n">
        <v>187</v>
      </c>
      <c r="B245" s="13">
        <f>BedSchedule!F191</f>
        <v>0.0</v>
      </c>
      <c r="C245" s="13">
        <f>BedSchedule!E191</f>
        <v>0.0</v>
      </c>
      <c r="D245" s="13">
        <f>BedSchedule!G191</f>
        <v>0.0</v>
      </c>
      <c r="E245" s="13">
        <f>BedSchedule!H191</f>
        <v>152394.16214437486</v>
      </c>
      <c r="F245" s="13">
        <f>Scenarios!CF270</f>
        <v>160718.36940738867</v>
      </c>
    </row>
    <row r="246">
      <c r="A246" t="n">
        <v>188</v>
      </c>
      <c r="B246" s="13">
        <f>BedSchedule!F192</f>
        <v>0.0</v>
      </c>
      <c r="C246" s="13">
        <f>BedSchedule!E192</f>
        <v>0.0</v>
      </c>
      <c r="D246" s="13">
        <f>BedSchedule!G192</f>
        <v>0.0</v>
      </c>
      <c r="E246" s="13">
        <f>BedSchedule!H192</f>
        <v>152394.16214437486</v>
      </c>
      <c r="F246" s="13">
        <f>Scenarios!CF271</f>
        <v>160718.36940738867</v>
      </c>
    </row>
    <row r="247">
      <c r="A247" t="n">
        <v>189</v>
      </c>
      <c r="B247" s="13">
        <f>BedSchedule!F193</f>
        <v>0.0</v>
      </c>
      <c r="C247" s="13">
        <f>BedSchedule!E193</f>
        <v>0.0</v>
      </c>
      <c r="D247" s="13">
        <f>BedSchedule!G193</f>
        <v>0.0</v>
      </c>
      <c r="E247" s="13">
        <f>BedSchedule!H193</f>
        <v>152394.16214437486</v>
      </c>
      <c r="F247" s="13">
        <f>Scenarios!CF272</f>
        <v>160718.36940738867</v>
      </c>
    </row>
    <row r="248">
      <c r="A248" t="n">
        <v>190</v>
      </c>
      <c r="B248" s="13">
        <f>BedSchedule!F194</f>
        <v>0.0</v>
      </c>
      <c r="C248" s="13">
        <f>BedSchedule!E194</f>
        <v>0.0</v>
      </c>
      <c r="D248" s="13">
        <f>BedSchedule!G194</f>
        <v>0.0</v>
      </c>
      <c r="E248" s="13">
        <f>BedSchedule!H194</f>
        <v>152394.16214437486</v>
      </c>
      <c r="F248" s="13">
        <f>Scenarios!CF273</f>
        <v>160718.36940738867</v>
      </c>
    </row>
    <row r="249">
      <c r="A249" t="n">
        <v>191</v>
      </c>
      <c r="B249" s="13">
        <f>BedSchedule!F195</f>
        <v>0.0</v>
      </c>
      <c r="C249" s="13">
        <f>BedSchedule!E195</f>
        <v>0.0</v>
      </c>
      <c r="D249" s="13">
        <f>BedSchedule!G195</f>
        <v>0.0</v>
      </c>
      <c r="E249" s="13">
        <f>BedSchedule!H195</f>
        <v>152394.16214437486</v>
      </c>
      <c r="F249" s="13">
        <f>Scenarios!CF274</f>
        <v>160718.36940738867</v>
      </c>
    </row>
    <row r="250">
      <c r="A250" t="n">
        <v>192</v>
      </c>
      <c r="B250" s="13">
        <f>BedSchedule!F196</f>
        <v>0.0</v>
      </c>
      <c r="C250" s="13">
        <f>BedSchedule!E196</f>
        <v>0.0</v>
      </c>
      <c r="D250" s="13">
        <f>BedSchedule!G196</f>
        <v>0.0</v>
      </c>
      <c r="E250" s="13">
        <f>BedSchedule!H196</f>
        <v>152394.16214437486</v>
      </c>
      <c r="F250" s="13">
        <f>Scenarios!CF275</f>
        <v>160718.36940738867</v>
      </c>
    </row>
    <row r="251">
      <c r="A251" t="n">
        <v>193</v>
      </c>
      <c r="B251" s="13">
        <f>BedSchedule!F197</f>
        <v>0.0</v>
      </c>
      <c r="C251" s="13">
        <f>BedSchedule!E197</f>
        <v>0.0</v>
      </c>
      <c r="D251" s="13">
        <f>BedSchedule!G197</f>
        <v>0.0</v>
      </c>
      <c r="E251" s="13">
        <f>BedSchedule!H197</f>
        <v>152394.16214437486</v>
      </c>
      <c r="F251" s="13">
        <f>Scenarios!CF276</f>
        <v>160718.36940738867</v>
      </c>
    </row>
    <row r="252">
      <c r="A252" t="n">
        <v>194</v>
      </c>
      <c r="B252" s="13">
        <f>BedSchedule!F198</f>
        <v>0.0</v>
      </c>
      <c r="C252" s="13">
        <f>BedSchedule!E198</f>
        <v>0.0</v>
      </c>
      <c r="D252" s="13">
        <f>BedSchedule!G198</f>
        <v>0.0</v>
      </c>
      <c r="E252" s="13">
        <f>BedSchedule!H198</f>
        <v>152394.16214437486</v>
      </c>
      <c r="F252" s="13">
        <f>Scenarios!CF277</f>
        <v>160718.36940738867</v>
      </c>
    </row>
    <row r="253">
      <c r="A253" t="n">
        <v>195</v>
      </c>
      <c r="B253" s="13">
        <f>BedSchedule!F199</f>
        <v>0.0</v>
      </c>
      <c r="C253" s="13">
        <f>BedSchedule!E199</f>
        <v>0.0</v>
      </c>
      <c r="D253" s="13">
        <f>BedSchedule!G199</f>
        <v>0.0</v>
      </c>
      <c r="E253" s="13">
        <f>BedSchedule!H199</f>
        <v>152394.16214437486</v>
      </c>
      <c r="F253" s="13">
        <f>Scenarios!CF278</f>
        <v>160718.36940738867</v>
      </c>
    </row>
    <row r="254">
      <c r="A254" t="n">
        <v>196</v>
      </c>
      <c r="B254" s="13">
        <f>BedSchedule!F200</f>
        <v>0.0</v>
      </c>
      <c r="C254" s="13">
        <f>BedSchedule!E200</f>
        <v>0.0</v>
      </c>
      <c r="D254" s="13">
        <f>BedSchedule!G200</f>
        <v>0.0</v>
      </c>
      <c r="E254" s="13">
        <f>BedSchedule!H200</f>
        <v>152394.16214437486</v>
      </c>
      <c r="F254" s="13">
        <f>Scenarios!CF279</f>
        <v>160718.36940738867</v>
      </c>
    </row>
    <row r="255">
      <c r="A255" t="n">
        <v>197</v>
      </c>
      <c r="B255" s="13">
        <f>BedSchedule!F201</f>
        <v>0.0</v>
      </c>
      <c r="C255" s="13">
        <f>BedSchedule!E201</f>
        <v>0.0</v>
      </c>
      <c r="D255" s="13">
        <f>BedSchedule!G201</f>
        <v>0.0</v>
      </c>
      <c r="E255" s="13">
        <f>BedSchedule!H201</f>
        <v>152394.16214437486</v>
      </c>
      <c r="F255" s="13">
        <f>Scenarios!CF280</f>
        <v>160718.36940738867</v>
      </c>
    </row>
    <row r="256">
      <c r="A256" t="n">
        <v>198</v>
      </c>
      <c r="B256" s="13">
        <f>BedSchedule!F202</f>
        <v>0.0</v>
      </c>
      <c r="C256" s="13">
        <f>BedSchedule!E202</f>
        <v>0.0</v>
      </c>
      <c r="D256" s="13">
        <f>BedSchedule!G202</f>
        <v>0.0</v>
      </c>
      <c r="E256" s="13">
        <f>BedSchedule!H202</f>
        <v>152394.16214437486</v>
      </c>
      <c r="F256" s="13">
        <f>Scenarios!CF281</f>
        <v>160718.36940738867</v>
      </c>
    </row>
    <row r="257">
      <c r="A257" t="n">
        <v>199</v>
      </c>
      <c r="B257" s="13">
        <f>BedSchedule!F203</f>
        <v>0.0</v>
      </c>
      <c r="C257" s="13">
        <f>BedSchedule!E203</f>
        <v>0.0</v>
      </c>
      <c r="D257" s="13">
        <f>BedSchedule!G203</f>
        <v>0.0</v>
      </c>
      <c r="E257" s="13">
        <f>BedSchedule!H203</f>
        <v>152394.16214437486</v>
      </c>
      <c r="F257" s="13">
        <f>Scenarios!CF282</f>
        <v>160718.36940738867</v>
      </c>
    </row>
    <row r="258">
      <c r="A258" t="n">
        <v>200</v>
      </c>
      <c r="B258" s="13">
        <f>BedSchedule!F204</f>
        <v>0.0</v>
      </c>
      <c r="C258" s="13">
        <f>BedSchedule!E204</f>
        <v>0.0</v>
      </c>
      <c r="D258" s="13">
        <f>BedSchedule!G204</f>
        <v>0.0</v>
      </c>
      <c r="E258" s="13">
        <f>BedSchedule!H204</f>
        <v>152394.16214437486</v>
      </c>
      <c r="F258" s="13">
        <f>Scenarios!CF283</f>
        <v>160718.36940738867</v>
      </c>
    </row>
    <row r="259">
      <c r="A259" t="n">
        <v>201</v>
      </c>
      <c r="B259" s="13">
        <f>BedSchedule!F205</f>
        <v>0.0</v>
      </c>
      <c r="C259" s="13">
        <f>BedSchedule!E205</f>
        <v>0.0</v>
      </c>
      <c r="D259" s="13">
        <f>BedSchedule!G205</f>
        <v>0.0</v>
      </c>
      <c r="E259" s="13">
        <f>BedSchedule!H205</f>
        <v>152394.16214437486</v>
      </c>
      <c r="F259" s="13">
        <f>Scenarios!CF284</f>
        <v>160718.36940738867</v>
      </c>
    </row>
    <row r="260">
      <c r="A260" t="n">
        <v>202</v>
      </c>
      <c r="B260" s="13">
        <f>BedSchedule!F206</f>
        <v>0.0</v>
      </c>
      <c r="C260" s="13">
        <f>BedSchedule!E206</f>
        <v>0.0</v>
      </c>
      <c r="D260" s="13">
        <f>BedSchedule!G206</f>
        <v>0.0</v>
      </c>
      <c r="E260" s="13">
        <f>BedSchedule!H206</f>
        <v>152394.16214437486</v>
      </c>
      <c r="F260" s="13">
        <f>Scenarios!CF285</f>
        <v>160718.36940738867</v>
      </c>
    </row>
    <row r="261">
      <c r="A261" t="n">
        <v>203</v>
      </c>
      <c r="B261" s="13">
        <f>BedSchedule!F207</f>
        <v>0.0</v>
      </c>
      <c r="C261" s="13">
        <f>BedSchedule!E207</f>
        <v>0.0</v>
      </c>
      <c r="D261" s="13">
        <f>BedSchedule!G207</f>
        <v>0.0</v>
      </c>
      <c r="E261" s="13">
        <f>BedSchedule!H207</f>
        <v>152394.16214437486</v>
      </c>
      <c r="F261" s="13">
        <f>Scenarios!CF286</f>
        <v>160718.36940738867</v>
      </c>
    </row>
    <row r="262">
      <c r="A262" t="n">
        <v>204</v>
      </c>
      <c r="B262" s="13">
        <f>BedSchedule!F208</f>
        <v>0.0</v>
      </c>
      <c r="C262" s="13">
        <f>BedSchedule!E208</f>
        <v>0.0</v>
      </c>
      <c r="D262" s="13">
        <f>BedSchedule!G208</f>
        <v>0.0</v>
      </c>
      <c r="E262" s="13">
        <f>BedSchedule!H208</f>
        <v>152394.16214437486</v>
      </c>
      <c r="F262" s="13">
        <f>Scenarios!CF287</f>
        <v>160718.36940738867</v>
      </c>
    </row>
    <row r="263">
      <c r="A263" t="n">
        <v>205</v>
      </c>
      <c r="B263" s="13">
        <f>BedSchedule!F209</f>
        <v>0.0</v>
      </c>
      <c r="C263" s="13">
        <f>BedSchedule!E209</f>
        <v>0.0</v>
      </c>
      <c r="D263" s="13">
        <f>BedSchedule!G209</f>
        <v>0.0</v>
      </c>
      <c r="E263" s="13">
        <f>BedSchedule!H209</f>
        <v>152394.16214437486</v>
      </c>
      <c r="F263" s="13">
        <f>Scenarios!CF288</f>
        <v>160718.36940738867</v>
      </c>
    </row>
    <row r="264">
      <c r="A264" t="n">
        <v>206</v>
      </c>
      <c r="B264" s="13">
        <f>BedSchedule!F210</f>
        <v>0.0</v>
      </c>
      <c r="C264" s="13">
        <f>BedSchedule!E210</f>
        <v>0.0</v>
      </c>
      <c r="D264" s="13">
        <f>BedSchedule!G210</f>
        <v>0.0</v>
      </c>
      <c r="E264" s="13">
        <f>BedSchedule!H210</f>
        <v>152394.16214437486</v>
      </c>
      <c r="F264" s="13">
        <f>Scenarios!CF289</f>
        <v>160718.36940738867</v>
      </c>
    </row>
    <row r="265">
      <c r="A265" t="n">
        <v>207</v>
      </c>
      <c r="B265" s="13">
        <f>BedSchedule!F211</f>
        <v>0.0</v>
      </c>
      <c r="C265" s="13">
        <f>BedSchedule!E211</f>
        <v>0.0</v>
      </c>
      <c r="D265" s="13">
        <f>BedSchedule!G211</f>
        <v>0.0</v>
      </c>
      <c r="E265" s="13">
        <f>BedSchedule!H211</f>
        <v>152394.16214437486</v>
      </c>
      <c r="F265" s="13">
        <f>Scenarios!CF290</f>
        <v>160718.36940738867</v>
      </c>
    </row>
    <row r="266">
      <c r="A266" t="n">
        <v>208</v>
      </c>
      <c r="B266" s="13">
        <f>BedSchedule!F212</f>
        <v>0.0</v>
      </c>
      <c r="C266" s="13">
        <f>BedSchedule!E212</f>
        <v>0.0</v>
      </c>
      <c r="D266" s="13">
        <f>BedSchedule!G212</f>
        <v>0.0</v>
      </c>
      <c r="E266" s="13">
        <f>BedSchedule!H212</f>
        <v>152394.16214437486</v>
      </c>
      <c r="F266" s="13">
        <f>Scenarios!CF291</f>
        <v>160718.36940738867</v>
      </c>
    </row>
    <row r="267">
      <c r="A267" t="n">
        <v>209</v>
      </c>
      <c r="B267" s="13">
        <f>BedSchedule!F213</f>
        <v>0.0</v>
      </c>
      <c r="C267" s="13">
        <f>BedSchedule!E213</f>
        <v>0.0</v>
      </c>
      <c r="D267" s="13">
        <f>BedSchedule!G213</f>
        <v>0.0</v>
      </c>
      <c r="E267" s="13">
        <f>BedSchedule!H213</f>
        <v>152394.16214437486</v>
      </c>
      <c r="F267" s="13">
        <f>Scenarios!CF292</f>
        <v>160718.36940738867</v>
      </c>
    </row>
    <row r="268">
      <c r="A268" t="n">
        <v>210</v>
      </c>
      <c r="B268" s="13">
        <f>BedSchedule!F214</f>
        <v>0.0</v>
      </c>
      <c r="C268" s="13">
        <f>BedSchedule!E214</f>
        <v>0.0</v>
      </c>
      <c r="D268" s="13">
        <f>BedSchedule!G214</f>
        <v>0.0</v>
      </c>
      <c r="E268" s="13">
        <f>BedSchedule!H214</f>
        <v>152394.16214437486</v>
      </c>
      <c r="F268" s="13">
        <f>Scenarios!CF293</f>
        <v>160718.36940738867</v>
      </c>
    </row>
    <row r="269">
      <c r="A269" t="n">
        <v>211</v>
      </c>
      <c r="B269" s="13">
        <f>BedSchedule!F215</f>
        <v>0.0</v>
      </c>
      <c r="C269" s="13">
        <f>BedSchedule!E215</f>
        <v>0.0</v>
      </c>
      <c r="D269" s="13">
        <f>BedSchedule!G215</f>
        <v>0.0</v>
      </c>
      <c r="E269" s="13">
        <f>BedSchedule!H215</f>
        <v>152394.16214437486</v>
      </c>
      <c r="F269" s="13">
        <f>Scenarios!CF294</f>
        <v>160718.36940738867</v>
      </c>
    </row>
    <row r="270">
      <c r="A270" t="n">
        <v>212</v>
      </c>
      <c r="B270" s="13">
        <f>BedSchedule!F216</f>
        <v>0.0</v>
      </c>
      <c r="C270" s="13">
        <f>BedSchedule!E216</f>
        <v>0.0</v>
      </c>
      <c r="D270" s="13">
        <f>BedSchedule!G216</f>
        <v>0.0</v>
      </c>
      <c r="E270" s="13">
        <f>BedSchedule!H216</f>
        <v>152394.16214437486</v>
      </c>
      <c r="F270" s="13">
        <f>Scenarios!CF295</f>
        <v>160718.36940738867</v>
      </c>
    </row>
    <row r="271">
      <c r="A271" t="n">
        <v>213</v>
      </c>
      <c r="B271" s="13">
        <f>BedSchedule!F217</f>
        <v>0.0</v>
      </c>
      <c r="C271" s="13">
        <f>BedSchedule!E217</f>
        <v>0.0</v>
      </c>
      <c r="D271" s="13">
        <f>BedSchedule!G217</f>
        <v>0.0</v>
      </c>
      <c r="E271" s="13">
        <f>BedSchedule!H217</f>
        <v>152394.16214437486</v>
      </c>
      <c r="F271" s="13">
        <f>Scenarios!CF296</f>
        <v>160718.36940738867</v>
      </c>
    </row>
    <row r="272">
      <c r="A272" t="n">
        <v>214</v>
      </c>
      <c r="B272" s="13">
        <f>BedSchedule!F218</f>
        <v>0.0</v>
      </c>
      <c r="C272" s="13">
        <f>BedSchedule!E218</f>
        <v>0.0</v>
      </c>
      <c r="D272" s="13">
        <f>BedSchedule!G218</f>
        <v>0.0</v>
      </c>
      <c r="E272" s="13">
        <f>BedSchedule!H218</f>
        <v>152394.16214437486</v>
      </c>
      <c r="F272" s="13">
        <f>Scenarios!CF297</f>
        <v>160718.36940738867</v>
      </c>
    </row>
    <row r="273">
      <c r="A273" t="n">
        <v>215</v>
      </c>
      <c r="B273" s="13">
        <f>BedSchedule!F219</f>
        <v>0.0</v>
      </c>
      <c r="C273" s="13">
        <f>BedSchedule!E219</f>
        <v>0.0</v>
      </c>
      <c r="D273" s="13">
        <f>BedSchedule!G219</f>
        <v>0.0</v>
      </c>
      <c r="E273" s="13">
        <f>BedSchedule!H219</f>
        <v>152394.16214437486</v>
      </c>
      <c r="F273" s="13">
        <f>Scenarios!CF298</f>
        <v>160718.36940738867</v>
      </c>
    </row>
    <row r="274">
      <c r="A274" t="n">
        <v>216</v>
      </c>
      <c r="B274" s="13">
        <f>BedSchedule!F220</f>
        <v>0.0</v>
      </c>
      <c r="C274" s="13">
        <f>BedSchedule!E220</f>
        <v>0.0</v>
      </c>
      <c r="D274" s="13">
        <f>BedSchedule!G220</f>
        <v>0.0</v>
      </c>
      <c r="E274" s="13">
        <f>BedSchedule!H220</f>
        <v>152394.16214437486</v>
      </c>
      <c r="F274" s="13">
        <f>Scenarios!CF299</f>
        <v>160718.36940738867</v>
      </c>
    </row>
    <row r="275">
      <c r="A275" t="n">
        <v>217</v>
      </c>
      <c r="B275" s="13">
        <f>BedSchedule!F221</f>
        <v>0.0</v>
      </c>
      <c r="C275" s="13">
        <f>BedSchedule!E221</f>
        <v>0.0</v>
      </c>
      <c r="D275" s="13">
        <f>BedSchedule!G221</f>
        <v>0.0</v>
      </c>
      <c r="E275" s="13">
        <f>BedSchedule!H221</f>
        <v>152394.16214437486</v>
      </c>
      <c r="F275" s="13">
        <f>Scenarios!CF300</f>
        <v>160718.36940738867</v>
      </c>
    </row>
    <row r="276">
      <c r="A276" t="n">
        <v>218</v>
      </c>
      <c r="B276" s="13">
        <f>BedSchedule!F222</f>
        <v>0.0</v>
      </c>
      <c r="C276" s="13">
        <f>BedSchedule!E222</f>
        <v>0.0</v>
      </c>
      <c r="D276" s="13">
        <f>BedSchedule!G222</f>
        <v>0.0</v>
      </c>
      <c r="E276" s="13">
        <f>BedSchedule!H222</f>
        <v>152394.16214437486</v>
      </c>
      <c r="F276" s="13">
        <f>Scenarios!CF301</f>
        <v>160718.36940738867</v>
      </c>
    </row>
    <row r="277">
      <c r="A277" t="n">
        <v>219</v>
      </c>
      <c r="B277" s="13">
        <f>BedSchedule!F223</f>
        <v>0.0</v>
      </c>
      <c r="C277" s="13">
        <f>BedSchedule!E223</f>
        <v>0.0</v>
      </c>
      <c r="D277" s="13">
        <f>BedSchedule!G223</f>
        <v>0.0</v>
      </c>
      <c r="E277" s="13">
        <f>BedSchedule!H223</f>
        <v>152394.16214437486</v>
      </c>
      <c r="F277" s="13">
        <f>Scenarios!CF302</f>
        <v>160718.36940738867</v>
      </c>
    </row>
    <row r="278">
      <c r="A278" t="n">
        <v>220</v>
      </c>
      <c r="B278" s="13">
        <f>BedSchedule!F224</f>
        <v>0.0</v>
      </c>
      <c r="C278" s="13">
        <f>BedSchedule!E224</f>
        <v>0.0</v>
      </c>
      <c r="D278" s="13">
        <f>BedSchedule!G224</f>
        <v>0.0</v>
      </c>
      <c r="E278" s="13">
        <f>BedSchedule!H224</f>
        <v>152394.16214437486</v>
      </c>
      <c r="F278" s="13">
        <f>Scenarios!CF303</f>
        <v>160718.36940738867</v>
      </c>
    </row>
    <row r="279">
      <c r="A279" t="n">
        <v>221</v>
      </c>
      <c r="B279" s="13">
        <f>BedSchedule!F225</f>
        <v>0.0</v>
      </c>
      <c r="C279" s="13">
        <f>BedSchedule!E225</f>
        <v>0.0</v>
      </c>
      <c r="D279" s="13">
        <f>BedSchedule!G225</f>
        <v>0.0</v>
      </c>
      <c r="E279" s="13">
        <f>BedSchedule!H225</f>
        <v>152394.16214437486</v>
      </c>
      <c r="F279" s="13">
        <f>Scenarios!CF304</f>
        <v>160718.36940738867</v>
      </c>
    </row>
    <row r="280">
      <c r="A280" t="n">
        <v>222</v>
      </c>
      <c r="B280" s="13">
        <f>BedSchedule!F226</f>
        <v>0.0</v>
      </c>
      <c r="C280" s="13">
        <f>BedSchedule!E226</f>
        <v>0.0</v>
      </c>
      <c r="D280" s="13">
        <f>BedSchedule!G226</f>
        <v>0.0</v>
      </c>
      <c r="E280" s="13">
        <f>BedSchedule!H226</f>
        <v>152394.16214437486</v>
      </c>
      <c r="F280" s="13">
        <f>Scenarios!CF305</f>
        <v>160718.36940738867</v>
      </c>
    </row>
    <row r="281">
      <c r="A281" t="n">
        <v>223</v>
      </c>
      <c r="B281" s="13">
        <f>BedSchedule!F227</f>
        <v>0.0</v>
      </c>
      <c r="C281" s="13">
        <f>BedSchedule!E227</f>
        <v>0.0</v>
      </c>
      <c r="D281" s="13">
        <f>BedSchedule!G227</f>
        <v>0.0</v>
      </c>
      <c r="E281" s="13">
        <f>BedSchedule!H227</f>
        <v>152394.16214437486</v>
      </c>
      <c r="F281" s="13">
        <f>Scenarios!CF306</f>
        <v>160718.36940738867</v>
      </c>
    </row>
    <row r="282">
      <c r="A282" t="n">
        <v>224</v>
      </c>
      <c r="B282" s="13">
        <f>BedSchedule!F228</f>
        <v>0.0</v>
      </c>
      <c r="C282" s="13">
        <f>BedSchedule!E228</f>
        <v>0.0</v>
      </c>
      <c r="D282" s="13">
        <f>BedSchedule!G228</f>
        <v>0.0</v>
      </c>
      <c r="E282" s="13">
        <f>BedSchedule!H228</f>
        <v>152394.16214437486</v>
      </c>
      <c r="F282" s="13">
        <f>Scenarios!CF307</f>
        <v>160718.36940738867</v>
      </c>
    </row>
    <row r="283">
      <c r="A283" t="n">
        <v>225</v>
      </c>
      <c r="B283" s="13">
        <f>BedSchedule!F229</f>
        <v>0.0</v>
      </c>
      <c r="C283" s="13">
        <f>BedSchedule!E229</f>
        <v>0.0</v>
      </c>
      <c r="D283" s="13">
        <f>BedSchedule!G229</f>
        <v>0.0</v>
      </c>
      <c r="E283" s="13">
        <f>BedSchedule!H229</f>
        <v>152394.16214437486</v>
      </c>
      <c r="F283" s="13">
        <f>Scenarios!CF308</f>
        <v>160718.36940738867</v>
      </c>
    </row>
    <row r="284">
      <c r="A284" t="n">
        <v>226</v>
      </c>
      <c r="B284" s="13">
        <f>BedSchedule!F230</f>
        <v>0.0</v>
      </c>
      <c r="C284" s="13">
        <f>BedSchedule!E230</f>
        <v>0.0</v>
      </c>
      <c r="D284" s="13">
        <f>BedSchedule!G230</f>
        <v>0.0</v>
      </c>
      <c r="E284" s="13">
        <f>BedSchedule!H230</f>
        <v>152394.16214437486</v>
      </c>
      <c r="F284" s="13">
        <f>Scenarios!CF309</f>
        <v>160718.36940738867</v>
      </c>
    </row>
    <row r="285">
      <c r="A285" t="n">
        <v>227</v>
      </c>
      <c r="B285" s="13">
        <f>BedSchedule!F231</f>
        <v>0.0</v>
      </c>
      <c r="C285" s="13">
        <f>BedSchedule!E231</f>
        <v>0.0</v>
      </c>
      <c r="D285" s="13">
        <f>BedSchedule!G231</f>
        <v>0.0</v>
      </c>
      <c r="E285" s="13">
        <f>BedSchedule!H231</f>
        <v>152394.16214437486</v>
      </c>
      <c r="F285" s="13">
        <f>Scenarios!CF310</f>
        <v>160718.36940738867</v>
      </c>
    </row>
    <row r="286">
      <c r="A286" t="n">
        <v>228</v>
      </c>
      <c r="B286" s="13">
        <f>BedSchedule!F232</f>
        <v>0.0</v>
      </c>
      <c r="C286" s="13">
        <f>BedSchedule!E232</f>
        <v>0.0</v>
      </c>
      <c r="D286" s="13">
        <f>BedSchedule!G232</f>
        <v>0.0</v>
      </c>
      <c r="E286" s="13">
        <f>BedSchedule!H232</f>
        <v>152394.16214437486</v>
      </c>
      <c r="F286" s="13">
        <f>Scenarios!CF311</f>
        <v>160718.36940738867</v>
      </c>
    </row>
    <row r="287">
      <c r="A287" t="n">
        <v>229</v>
      </c>
      <c r="B287" s="13">
        <f>BedSchedule!F233</f>
        <v>0.0</v>
      </c>
      <c r="C287" s="13">
        <f>BedSchedule!E233</f>
        <v>0.0</v>
      </c>
      <c r="D287" s="13">
        <f>BedSchedule!G233</f>
        <v>0.0</v>
      </c>
      <c r="E287" s="13">
        <f>BedSchedule!H233</f>
        <v>152394.16214437486</v>
      </c>
      <c r="F287" s="13">
        <f>Scenarios!CF312</f>
        <v>160718.36940738867</v>
      </c>
    </row>
    <row r="288">
      <c r="A288" t="n">
        <v>230</v>
      </c>
      <c r="B288" s="13">
        <f>BedSchedule!F234</f>
        <v>0.0</v>
      </c>
      <c r="C288" s="13">
        <f>BedSchedule!E234</f>
        <v>0.0</v>
      </c>
      <c r="D288" s="13">
        <f>BedSchedule!G234</f>
        <v>0.0</v>
      </c>
      <c r="E288" s="13">
        <f>BedSchedule!H234</f>
        <v>152394.16214437486</v>
      </c>
      <c r="F288" s="13">
        <f>Scenarios!CF313</f>
        <v>160718.36940738867</v>
      </c>
    </row>
    <row r="289">
      <c r="A289" t="n">
        <v>231</v>
      </c>
      <c r="B289" s="13">
        <f>BedSchedule!F235</f>
        <v>0.0</v>
      </c>
      <c r="C289" s="13">
        <f>BedSchedule!E235</f>
        <v>0.0</v>
      </c>
      <c r="D289" s="13">
        <f>BedSchedule!G235</f>
        <v>0.0</v>
      </c>
      <c r="E289" s="13">
        <f>BedSchedule!H235</f>
        <v>152394.16214437486</v>
      </c>
      <c r="F289" s="13">
        <f>Scenarios!CF314</f>
        <v>160718.36940738867</v>
      </c>
    </row>
    <row r="290">
      <c r="A290" t="n">
        <v>232</v>
      </c>
      <c r="B290" s="13">
        <f>BedSchedule!F236</f>
        <v>0.0</v>
      </c>
      <c r="C290" s="13">
        <f>BedSchedule!E236</f>
        <v>0.0</v>
      </c>
      <c r="D290" s="13">
        <f>BedSchedule!G236</f>
        <v>0.0</v>
      </c>
      <c r="E290" s="13">
        <f>BedSchedule!H236</f>
        <v>152394.16214437486</v>
      </c>
      <c r="F290" s="13">
        <f>Scenarios!CF315</f>
        <v>160718.36940738867</v>
      </c>
    </row>
    <row r="291">
      <c r="A291" t="n">
        <v>233</v>
      </c>
      <c r="B291" s="13">
        <f>BedSchedule!F237</f>
        <v>0.0</v>
      </c>
      <c r="C291" s="13">
        <f>BedSchedule!E237</f>
        <v>0.0</v>
      </c>
      <c r="D291" s="13">
        <f>BedSchedule!G237</f>
        <v>0.0</v>
      </c>
      <c r="E291" s="13">
        <f>BedSchedule!H237</f>
        <v>152394.16214437486</v>
      </c>
      <c r="F291" s="13">
        <f>Scenarios!CF316</f>
        <v>160718.36940738867</v>
      </c>
    </row>
    <row r="292">
      <c r="A292" t="n">
        <v>234</v>
      </c>
      <c r="B292" s="13">
        <f>BedSchedule!F238</f>
        <v>0.0</v>
      </c>
      <c r="C292" s="13">
        <f>BedSchedule!E238</f>
        <v>0.0</v>
      </c>
      <c r="D292" s="13">
        <f>BedSchedule!G238</f>
        <v>0.0</v>
      </c>
      <c r="E292" s="13">
        <f>BedSchedule!H238</f>
        <v>152394.16214437486</v>
      </c>
      <c r="F292" s="13">
        <f>Scenarios!CF317</f>
        <v>160718.36940738867</v>
      </c>
    </row>
    <row r="293">
      <c r="A293" t="n">
        <v>235</v>
      </c>
      <c r="B293" s="13">
        <f>BedSchedule!F239</f>
        <v>0.0</v>
      </c>
      <c r="C293" s="13">
        <f>BedSchedule!E239</f>
        <v>0.0</v>
      </c>
      <c r="D293" s="13">
        <f>BedSchedule!G239</f>
        <v>0.0</v>
      </c>
      <c r="E293" s="13">
        <f>BedSchedule!H239</f>
        <v>152394.16214437486</v>
      </c>
      <c r="F293" s="13">
        <f>Scenarios!CF318</f>
        <v>160718.36940738867</v>
      </c>
    </row>
    <row r="294">
      <c r="A294" t="n">
        <v>236</v>
      </c>
      <c r="B294" s="13">
        <f>BedSchedule!F240</f>
        <v>0.0</v>
      </c>
      <c r="C294" s="13">
        <f>BedSchedule!E240</f>
        <v>0.0</v>
      </c>
      <c r="D294" s="13">
        <f>BedSchedule!G240</f>
        <v>0.0</v>
      </c>
      <c r="E294" s="13">
        <f>BedSchedule!H240</f>
        <v>152394.16214437486</v>
      </c>
      <c r="F294" s="13">
        <f>Scenarios!CF319</f>
        <v>160718.36940738867</v>
      </c>
    </row>
    <row r="295">
      <c r="A295" t="n">
        <v>237</v>
      </c>
      <c r="B295" s="13">
        <f>BedSchedule!F241</f>
        <v>0.0</v>
      </c>
      <c r="C295" s="13">
        <f>BedSchedule!E241</f>
        <v>0.0</v>
      </c>
      <c r="D295" s="13">
        <f>BedSchedule!G241</f>
        <v>0.0</v>
      </c>
      <c r="E295" s="13">
        <f>BedSchedule!H241</f>
        <v>152394.16214437486</v>
      </c>
      <c r="F295" s="13">
        <f>Scenarios!CF320</f>
        <v>160718.36940738867</v>
      </c>
    </row>
    <row r="296">
      <c r="A296" t="n">
        <v>238</v>
      </c>
      <c r="B296" s="13">
        <f>BedSchedule!F242</f>
        <v>0.0</v>
      </c>
      <c r="C296" s="13">
        <f>BedSchedule!E242</f>
        <v>0.0</v>
      </c>
      <c r="D296" s="13">
        <f>BedSchedule!G242</f>
        <v>0.0</v>
      </c>
      <c r="E296" s="13">
        <f>BedSchedule!H242</f>
        <v>152394.16214437486</v>
      </c>
      <c r="F296" s="13">
        <f>Scenarios!CF321</f>
        <v>160718.36940738867</v>
      </c>
    </row>
    <row r="297">
      <c r="A297" t="n">
        <v>239</v>
      </c>
      <c r="B297" s="13">
        <f>BedSchedule!F243</f>
        <v>0.0</v>
      </c>
      <c r="C297" s="13">
        <f>BedSchedule!E243</f>
        <v>0.0</v>
      </c>
      <c r="D297" s="13">
        <f>BedSchedule!G243</f>
        <v>0.0</v>
      </c>
      <c r="E297" s="13">
        <f>BedSchedule!H243</f>
        <v>152394.16214437486</v>
      </c>
      <c r="F297" s="13">
        <f>Scenarios!CF322</f>
        <v>160718.36940738867</v>
      </c>
    </row>
    <row r="298">
      <c r="A298" t="n">
        <v>240</v>
      </c>
      <c r="B298" s="13">
        <f>BedSchedule!F244</f>
        <v>0.0</v>
      </c>
      <c r="C298" s="13">
        <f>BedSchedule!E244</f>
        <v>0.0</v>
      </c>
      <c r="D298" s="13">
        <f>BedSchedule!G244</f>
        <v>0.0</v>
      </c>
      <c r="E298" s="13">
        <f>BedSchedule!H244</f>
        <v>152394.16214437486</v>
      </c>
      <c r="F298" s="13">
        <f>Scenarios!CF323</f>
        <v>160718.36940738867</v>
      </c>
    </row>
    <row r="299">
      <c r="A299" t="n">
        <v>241</v>
      </c>
      <c r="B299" s="13">
        <f>BedSchedule!F245</f>
        <v>0.0</v>
      </c>
      <c r="C299" s="13">
        <f>BedSchedule!E245</f>
        <v>0.0</v>
      </c>
      <c r="D299" s="13">
        <f>BedSchedule!G245</f>
        <v>0.0</v>
      </c>
      <c r="E299" s="13">
        <f>BedSchedule!H245</f>
        <v>152394.16214437486</v>
      </c>
      <c r="F299" s="13">
        <f>Scenarios!CF324</f>
        <v>160718.36940738867</v>
      </c>
    </row>
    <row r="300">
      <c r="A300" t="n">
        <v>242</v>
      </c>
      <c r="B300" s="13">
        <f>BedSchedule!F246</f>
        <v>0.0</v>
      </c>
      <c r="C300" s="13">
        <f>BedSchedule!E246</f>
        <v>0.0</v>
      </c>
      <c r="D300" s="13">
        <f>BedSchedule!G246</f>
        <v>0.0</v>
      </c>
      <c r="E300" s="13">
        <f>BedSchedule!H246</f>
        <v>152394.16214437486</v>
      </c>
      <c r="F300" s="13">
        <f>Scenarios!CF325</f>
        <v>160718.36940738867</v>
      </c>
    </row>
    <row r="301">
      <c r="A301" t="n">
        <v>243</v>
      </c>
      <c r="B301" s="13">
        <f>BedSchedule!F247</f>
        <v>0.0</v>
      </c>
      <c r="C301" s="13">
        <f>BedSchedule!E247</f>
        <v>0.0</v>
      </c>
      <c r="D301" s="13">
        <f>BedSchedule!G247</f>
        <v>0.0</v>
      </c>
      <c r="E301" s="13">
        <f>BedSchedule!H247</f>
        <v>152394.16214437486</v>
      </c>
      <c r="F301" s="13">
        <f>Scenarios!CF326</f>
        <v>160718.36940738867</v>
      </c>
    </row>
    <row r="302">
      <c r="A302" t="n">
        <v>244</v>
      </c>
      <c r="B302" s="13">
        <f>BedSchedule!F248</f>
        <v>0.0</v>
      </c>
      <c r="C302" s="13">
        <f>BedSchedule!E248</f>
        <v>0.0</v>
      </c>
      <c r="D302" s="13">
        <f>BedSchedule!G248</f>
        <v>0.0</v>
      </c>
      <c r="E302" s="13">
        <f>BedSchedule!H248</f>
        <v>152394.16214437486</v>
      </c>
      <c r="F302" s="13">
        <f>Scenarios!CF327</f>
        <v>160718.36940738867</v>
      </c>
    </row>
    <row r="303">
      <c r="A303" t="n">
        <v>245</v>
      </c>
      <c r="B303" s="13">
        <f>BedSchedule!F249</f>
        <v>0.0</v>
      </c>
      <c r="C303" s="13">
        <f>BedSchedule!E249</f>
        <v>0.0</v>
      </c>
      <c r="D303" s="13">
        <f>BedSchedule!G249</f>
        <v>0.0</v>
      </c>
      <c r="E303" s="13">
        <f>BedSchedule!H249</f>
        <v>152394.16214437486</v>
      </c>
      <c r="F303" s="13">
        <f>Scenarios!CF328</f>
        <v>160718.36940738867</v>
      </c>
    </row>
    <row r="304">
      <c r="A304" t="n">
        <v>246</v>
      </c>
      <c r="B304" s="13">
        <f>BedSchedule!F250</f>
        <v>0.0</v>
      </c>
      <c r="C304" s="13">
        <f>BedSchedule!E250</f>
        <v>0.0</v>
      </c>
      <c r="D304" s="13">
        <f>BedSchedule!G250</f>
        <v>0.0</v>
      </c>
      <c r="E304" s="13">
        <f>BedSchedule!H250</f>
        <v>152394.16214437486</v>
      </c>
      <c r="F304" s="13">
        <f>Scenarios!CF329</f>
        <v>160718.36940738867</v>
      </c>
    </row>
    <row r="305">
      <c r="A305" t="n">
        <v>247</v>
      </c>
      <c r="B305" s="13">
        <f>BedSchedule!F251</f>
        <v>0.0</v>
      </c>
      <c r="C305" s="13">
        <f>BedSchedule!E251</f>
        <v>0.0</v>
      </c>
      <c r="D305" s="13">
        <f>BedSchedule!G251</f>
        <v>0.0</v>
      </c>
      <c r="E305" s="13">
        <f>BedSchedule!H251</f>
        <v>152394.16214437486</v>
      </c>
      <c r="F305" s="13">
        <f>Scenarios!CF330</f>
        <v>160718.36940738867</v>
      </c>
    </row>
    <row r="306">
      <c r="A306" t="n">
        <v>248</v>
      </c>
      <c r="B306" s="13">
        <f>BedSchedule!F252</f>
        <v>0.0</v>
      </c>
      <c r="C306" s="13">
        <f>BedSchedule!E252</f>
        <v>0.0</v>
      </c>
      <c r="D306" s="13">
        <f>BedSchedule!G252</f>
        <v>0.0</v>
      </c>
      <c r="E306" s="13">
        <f>BedSchedule!H252</f>
        <v>152394.16214437486</v>
      </c>
      <c r="F306" s="13">
        <f>Scenarios!CF331</f>
        <v>160718.36940738867</v>
      </c>
    </row>
    <row r="307">
      <c r="A307" t="n">
        <v>249</v>
      </c>
      <c r="B307" s="13">
        <f>BedSchedule!F253</f>
        <v>0.0</v>
      </c>
      <c r="C307" s="13">
        <f>BedSchedule!E253</f>
        <v>0.0</v>
      </c>
      <c r="D307" s="13">
        <f>BedSchedule!G253</f>
        <v>0.0</v>
      </c>
      <c r="E307" s="13">
        <f>BedSchedule!H253</f>
        <v>152394.16214437486</v>
      </c>
      <c r="F307" s="13">
        <f>Scenarios!CF332</f>
        <v>160718.36940738867</v>
      </c>
    </row>
    <row r="308">
      <c r="A308" t="n">
        <v>250</v>
      </c>
      <c r="B308" s="13">
        <f>BedSchedule!F254</f>
        <v>0.0</v>
      </c>
      <c r="C308" s="13">
        <f>BedSchedule!E254</f>
        <v>0.0</v>
      </c>
      <c r="D308" s="13">
        <f>BedSchedule!G254</f>
        <v>0.0</v>
      </c>
      <c r="E308" s="13">
        <f>BedSchedule!H254</f>
        <v>152394.16214437486</v>
      </c>
      <c r="F308" s="13">
        <f>Scenarios!CF333</f>
        <v>160718.36940738867</v>
      </c>
    </row>
    <row r="309">
      <c r="A309" t="n">
        <v>251</v>
      </c>
      <c r="B309" s="13">
        <f>BedSchedule!F255</f>
        <v>0.0</v>
      </c>
      <c r="C309" s="13">
        <f>BedSchedule!E255</f>
        <v>0.0</v>
      </c>
      <c r="D309" s="13">
        <f>BedSchedule!G255</f>
        <v>0.0</v>
      </c>
      <c r="E309" s="13">
        <f>BedSchedule!H255</f>
        <v>152394.16214437486</v>
      </c>
      <c r="F309" s="13">
        <f>Scenarios!CF334</f>
        <v>160718.36940738867</v>
      </c>
    </row>
    <row r="310">
      <c r="A310" t="n">
        <v>252</v>
      </c>
      <c r="B310" s="13">
        <f>BedSchedule!F256</f>
        <v>0.0</v>
      </c>
      <c r="C310" s="13">
        <f>BedSchedule!E256</f>
        <v>0.0</v>
      </c>
      <c r="D310" s="13">
        <f>BedSchedule!G256</f>
        <v>0.0</v>
      </c>
      <c r="E310" s="13">
        <f>BedSchedule!H256</f>
        <v>152394.16214437486</v>
      </c>
      <c r="F310" s="13">
        <f>Scenarios!CF335</f>
        <v>160718.36940738867</v>
      </c>
    </row>
    <row r="311">
      <c r="A311" t="n">
        <v>253</v>
      </c>
      <c r="B311" s="13">
        <f>BedSchedule!F257</f>
        <v>0.0</v>
      </c>
      <c r="C311" s="13">
        <f>BedSchedule!E257</f>
        <v>0.0</v>
      </c>
      <c r="D311" s="13">
        <f>BedSchedule!G257</f>
        <v>0.0</v>
      </c>
      <c r="E311" s="13">
        <f>BedSchedule!H257</f>
        <v>152394.16214437486</v>
      </c>
      <c r="F311" s="13">
        <f>Scenarios!CF336</f>
        <v>160718.36940738867</v>
      </c>
    </row>
    <row r="312">
      <c r="A312" t="n">
        <v>254</v>
      </c>
      <c r="B312" s="13">
        <f>BedSchedule!F258</f>
        <v>0.0</v>
      </c>
      <c r="C312" s="13">
        <f>BedSchedule!E258</f>
        <v>0.0</v>
      </c>
      <c r="D312" s="13">
        <f>BedSchedule!G258</f>
        <v>0.0</v>
      </c>
      <c r="E312" s="13">
        <f>BedSchedule!H258</f>
        <v>152394.16214437486</v>
      </c>
      <c r="F312" s="13">
        <f>Scenarios!CF337</f>
        <v>160718.36940738867</v>
      </c>
    </row>
    <row r="313">
      <c r="A313" t="n">
        <v>255</v>
      </c>
      <c r="B313" s="13">
        <f>BedSchedule!F259</f>
        <v>0.0</v>
      </c>
      <c r="C313" s="13">
        <f>BedSchedule!E259</f>
        <v>0.0</v>
      </c>
      <c r="D313" s="13">
        <f>BedSchedule!G259</f>
        <v>0.0</v>
      </c>
      <c r="E313" s="13">
        <f>BedSchedule!H259</f>
        <v>152394.16214437486</v>
      </c>
      <c r="F313" s="13">
        <f>Scenarios!CF338</f>
        <v>160718.36940738867</v>
      </c>
    </row>
    <row r="314">
      <c r="A314" t="n">
        <v>256</v>
      </c>
      <c r="B314" s="13">
        <f>BedSchedule!F260</f>
        <v>0.0</v>
      </c>
      <c r="C314" s="13">
        <f>BedSchedule!E260</f>
        <v>0.0</v>
      </c>
      <c r="D314" s="13">
        <f>BedSchedule!G260</f>
        <v>0.0</v>
      </c>
      <c r="E314" s="13">
        <f>BedSchedule!H260</f>
        <v>152394.16214437486</v>
      </c>
      <c r="F314" s="13">
        <f>Scenarios!CF339</f>
        <v>160718.36940738867</v>
      </c>
    </row>
    <row r="315">
      <c r="A315" t="n">
        <v>257</v>
      </c>
      <c r="B315" s="13">
        <f>BedSchedule!F261</f>
        <v>0.0</v>
      </c>
      <c r="C315" s="13">
        <f>BedSchedule!E261</f>
        <v>0.0</v>
      </c>
      <c r="D315" s="13">
        <f>BedSchedule!G261</f>
        <v>0.0</v>
      </c>
      <c r="E315" s="13">
        <f>BedSchedule!H261</f>
        <v>152394.16214437486</v>
      </c>
      <c r="F315" s="13">
        <f>Scenarios!CF340</f>
        <v>160718.36940738867</v>
      </c>
    </row>
    <row r="316">
      <c r="A316" t="n">
        <v>258</v>
      </c>
      <c r="B316" s="13">
        <f>BedSchedule!F262</f>
        <v>0.0</v>
      </c>
      <c r="C316" s="13">
        <f>BedSchedule!E262</f>
        <v>0.0</v>
      </c>
      <c r="D316" s="13">
        <f>BedSchedule!G262</f>
        <v>0.0</v>
      </c>
      <c r="E316" s="13">
        <f>BedSchedule!H262</f>
        <v>152394.16214437486</v>
      </c>
      <c r="F316" s="13">
        <f>Scenarios!CF341</f>
        <v>160718.36940738867</v>
      </c>
    </row>
    <row r="317">
      <c r="A317" t="n">
        <v>259</v>
      </c>
      <c r="B317" s="13">
        <f>BedSchedule!F263</f>
        <v>0.0</v>
      </c>
      <c r="C317" s="13">
        <f>BedSchedule!E263</f>
        <v>0.0</v>
      </c>
      <c r="D317" s="13">
        <f>BedSchedule!G263</f>
        <v>0.0</v>
      </c>
      <c r="E317" s="13">
        <f>BedSchedule!H263</f>
        <v>152394.16214437486</v>
      </c>
      <c r="F317" s="13">
        <f>Scenarios!CF342</f>
        <v>160718.36940738867</v>
      </c>
    </row>
    <row r="318">
      <c r="A318" t="n">
        <v>260</v>
      </c>
      <c r="B318" s="13">
        <f>BedSchedule!F264</f>
        <v>0.0</v>
      </c>
      <c r="C318" s="13">
        <f>BedSchedule!E264</f>
        <v>0.0</v>
      </c>
      <c r="D318" s="13">
        <f>BedSchedule!G264</f>
        <v>0.0</v>
      </c>
      <c r="E318" s="13">
        <f>BedSchedule!H264</f>
        <v>152394.16214437486</v>
      </c>
      <c r="F318" s="13">
        <f>Scenarios!CF343</f>
        <v>160718.36940738867</v>
      </c>
    </row>
    <row r="319">
      <c r="A319" t="n">
        <v>261</v>
      </c>
      <c r="B319" s="13">
        <f>BedSchedule!F265</f>
        <v>0.0</v>
      </c>
      <c r="C319" s="13">
        <f>BedSchedule!E265</f>
        <v>0.0</v>
      </c>
      <c r="D319" s="13">
        <f>BedSchedule!G265</f>
        <v>0.0</v>
      </c>
      <c r="E319" s="13">
        <f>BedSchedule!H265</f>
        <v>152394.16214437486</v>
      </c>
      <c r="F319" s="13">
        <f>Scenarios!CF344</f>
        <v>160718.36940738867</v>
      </c>
    </row>
    <row r="320">
      <c r="A320" t="n">
        <v>262</v>
      </c>
      <c r="B320" s="13">
        <f>BedSchedule!F266</f>
        <v>0.0</v>
      </c>
      <c r="C320" s="13">
        <f>BedSchedule!E266</f>
        <v>0.0</v>
      </c>
      <c r="D320" s="13">
        <f>BedSchedule!G266</f>
        <v>0.0</v>
      </c>
      <c r="E320" s="13">
        <f>BedSchedule!H266</f>
        <v>152394.16214437486</v>
      </c>
      <c r="F320" s="13">
        <f>Scenarios!CF345</f>
        <v>160718.36940738867</v>
      </c>
    </row>
    <row r="321">
      <c r="A321" t="n">
        <v>263</v>
      </c>
      <c r="B321" s="13">
        <f>BedSchedule!F267</f>
        <v>0.0</v>
      </c>
      <c r="C321" s="13">
        <f>BedSchedule!E267</f>
        <v>0.0</v>
      </c>
      <c r="D321" s="13">
        <f>BedSchedule!G267</f>
        <v>0.0</v>
      </c>
      <c r="E321" s="13">
        <f>BedSchedule!H267</f>
        <v>152394.16214437486</v>
      </c>
      <c r="F321" s="13">
        <f>Scenarios!CF346</f>
        <v>160718.36940738867</v>
      </c>
    </row>
    <row r="322">
      <c r="A322" t="n">
        <v>264</v>
      </c>
      <c r="B322" s="13">
        <f>BedSchedule!F268</f>
        <v>0.0</v>
      </c>
      <c r="C322" s="13">
        <f>BedSchedule!E268</f>
        <v>0.0</v>
      </c>
      <c r="D322" s="13">
        <f>BedSchedule!G268</f>
        <v>0.0</v>
      </c>
      <c r="E322" s="13">
        <f>BedSchedule!H268</f>
        <v>152394.16214437486</v>
      </c>
      <c r="F322" s="13">
        <f>Scenarios!CF347</f>
        <v>160718.36940738867</v>
      </c>
    </row>
    <row r="323">
      <c r="A323" t="n">
        <v>265</v>
      </c>
      <c r="B323" s="13">
        <f>BedSchedule!F269</f>
        <v>0.0</v>
      </c>
      <c r="C323" s="13">
        <f>BedSchedule!E269</f>
        <v>0.0</v>
      </c>
      <c r="D323" s="13">
        <f>BedSchedule!G269</f>
        <v>0.0</v>
      </c>
      <c r="E323" s="13">
        <f>BedSchedule!H269</f>
        <v>152394.16214437486</v>
      </c>
      <c r="F323" s="13">
        <f>Scenarios!CF348</f>
        <v>160718.36940738867</v>
      </c>
    </row>
    <row r="324">
      <c r="A324" t="n">
        <v>266</v>
      </c>
      <c r="B324" s="13">
        <f>BedSchedule!F270</f>
        <v>0.0</v>
      </c>
      <c r="C324" s="13">
        <f>BedSchedule!E270</f>
        <v>0.0</v>
      </c>
      <c r="D324" s="13">
        <f>BedSchedule!G270</f>
        <v>0.0</v>
      </c>
      <c r="E324" s="13">
        <f>BedSchedule!H270</f>
        <v>152394.16214437486</v>
      </c>
      <c r="F324" s="13">
        <f>Scenarios!CF349</f>
        <v>160718.36940738867</v>
      </c>
    </row>
    <row r="325">
      <c r="A325" t="n">
        <v>267</v>
      </c>
      <c r="B325" s="13">
        <f>BedSchedule!F271</f>
        <v>0.0</v>
      </c>
      <c r="C325" s="13">
        <f>BedSchedule!E271</f>
        <v>0.0</v>
      </c>
      <c r="D325" s="13">
        <f>BedSchedule!G271</f>
        <v>0.0</v>
      </c>
      <c r="E325" s="13">
        <f>BedSchedule!H271</f>
        <v>152394.16214437486</v>
      </c>
      <c r="F325" s="13">
        <f>Scenarios!CF350</f>
        <v>160718.36940738867</v>
      </c>
    </row>
    <row r="326">
      <c r="A326" t="n">
        <v>268</v>
      </c>
      <c r="B326" s="13">
        <f>BedSchedule!F272</f>
        <v>0.0</v>
      </c>
      <c r="C326" s="13">
        <f>BedSchedule!E272</f>
        <v>0.0</v>
      </c>
      <c r="D326" s="13">
        <f>BedSchedule!G272</f>
        <v>0.0</v>
      </c>
      <c r="E326" s="13">
        <f>BedSchedule!H272</f>
        <v>152394.16214437486</v>
      </c>
      <c r="F326" s="13">
        <f>Scenarios!CF351</f>
        <v>160718.36940738867</v>
      </c>
    </row>
    <row r="327">
      <c r="A327" t="n">
        <v>269</v>
      </c>
      <c r="B327" s="13">
        <f>BedSchedule!F273</f>
        <v>0.0</v>
      </c>
      <c r="C327" s="13">
        <f>BedSchedule!E273</f>
        <v>0.0</v>
      </c>
      <c r="D327" s="13">
        <f>BedSchedule!G273</f>
        <v>0.0</v>
      </c>
      <c r="E327" s="13">
        <f>BedSchedule!H273</f>
        <v>152394.16214437486</v>
      </c>
      <c r="F327" s="13">
        <f>Scenarios!CF352</f>
        <v>160718.36940738867</v>
      </c>
    </row>
    <row r="328">
      <c r="A328" t="n">
        <v>270</v>
      </c>
      <c r="B328" s="13">
        <f>BedSchedule!F274</f>
        <v>0.0</v>
      </c>
      <c r="C328" s="13">
        <f>BedSchedule!E274</f>
        <v>0.0</v>
      </c>
      <c r="D328" s="13">
        <f>BedSchedule!G274</f>
        <v>0.0</v>
      </c>
      <c r="E328" s="13">
        <f>BedSchedule!H274</f>
        <v>152394.16214437486</v>
      </c>
      <c r="F328" s="13">
        <f>Scenarios!CF353</f>
        <v>160718.36940738867</v>
      </c>
    </row>
    <row r="329">
      <c r="A329" t="n">
        <v>271</v>
      </c>
      <c r="B329" s="13">
        <f>BedSchedule!F275</f>
        <v>0.0</v>
      </c>
      <c r="C329" s="13">
        <f>BedSchedule!E275</f>
        <v>0.0</v>
      </c>
      <c r="D329" s="13">
        <f>BedSchedule!G275</f>
        <v>0.0</v>
      </c>
      <c r="E329" s="13">
        <f>BedSchedule!H275</f>
        <v>152394.16214437486</v>
      </c>
      <c r="F329" s="13">
        <f>Scenarios!CF354</f>
        <v>160718.36940738867</v>
      </c>
    </row>
    <row r="330">
      <c r="A330" t="n">
        <v>272</v>
      </c>
      <c r="B330" s="13">
        <f>BedSchedule!F276</f>
        <v>0.0</v>
      </c>
      <c r="C330" s="13">
        <f>BedSchedule!E276</f>
        <v>0.0</v>
      </c>
      <c r="D330" s="13">
        <f>BedSchedule!G276</f>
        <v>0.0</v>
      </c>
      <c r="E330" s="13">
        <f>BedSchedule!H276</f>
        <v>152394.16214437486</v>
      </c>
      <c r="F330" s="13">
        <f>Scenarios!CF355</f>
        <v>160718.36940738867</v>
      </c>
    </row>
    <row r="331">
      <c r="A331" t="n">
        <v>273</v>
      </c>
      <c r="B331" s="13">
        <f>BedSchedule!F277</f>
        <v>0.0</v>
      </c>
      <c r="C331" s="13">
        <f>BedSchedule!E277</f>
        <v>0.0</v>
      </c>
      <c r="D331" s="13">
        <f>BedSchedule!G277</f>
        <v>0.0</v>
      </c>
      <c r="E331" s="13">
        <f>BedSchedule!H277</f>
        <v>152394.16214437486</v>
      </c>
      <c r="F331" s="13">
        <f>Scenarios!CF356</f>
        <v>160718.36940738867</v>
      </c>
    </row>
    <row r="332">
      <c r="A332" t="n">
        <v>274</v>
      </c>
      <c r="B332" s="13">
        <f>BedSchedule!F278</f>
        <v>0.0</v>
      </c>
      <c r="C332" s="13">
        <f>BedSchedule!E278</f>
        <v>0.0</v>
      </c>
      <c r="D332" s="13">
        <f>BedSchedule!G278</f>
        <v>0.0</v>
      </c>
      <c r="E332" s="13">
        <f>BedSchedule!H278</f>
        <v>152394.16214437486</v>
      </c>
      <c r="F332" s="13">
        <f>Scenarios!CF357</f>
        <v>160718.36940738867</v>
      </c>
    </row>
    <row r="333">
      <c r="A333" t="n">
        <v>275</v>
      </c>
      <c r="B333" s="13">
        <f>BedSchedule!F279</f>
        <v>0.0</v>
      </c>
      <c r="C333" s="13">
        <f>BedSchedule!E279</f>
        <v>0.0</v>
      </c>
      <c r="D333" s="13">
        <f>BedSchedule!G279</f>
        <v>0.0</v>
      </c>
      <c r="E333" s="13">
        <f>BedSchedule!H279</f>
        <v>152394.16214437486</v>
      </c>
      <c r="F333" s="13">
        <f>Scenarios!CF358</f>
        <v>160718.36940738867</v>
      </c>
    </row>
    <row r="334">
      <c r="A334" t="n">
        <v>276</v>
      </c>
      <c r="B334" s="13">
        <f>BedSchedule!F280</f>
        <v>0.0</v>
      </c>
      <c r="C334" s="13">
        <f>BedSchedule!E280</f>
        <v>0.0</v>
      </c>
      <c r="D334" s="13">
        <f>BedSchedule!G280</f>
        <v>0.0</v>
      </c>
      <c r="E334" s="13">
        <f>BedSchedule!H280</f>
        <v>152394.16214437486</v>
      </c>
      <c r="F334" s="13">
        <f>Scenarios!CF359</f>
        <v>160718.36940738867</v>
      </c>
    </row>
    <row r="335">
      <c r="A335" t="n">
        <v>277</v>
      </c>
      <c r="B335" s="13">
        <f>BedSchedule!F281</f>
        <v>0.0</v>
      </c>
      <c r="C335" s="13">
        <f>BedSchedule!E281</f>
        <v>0.0</v>
      </c>
      <c r="D335" s="13">
        <f>BedSchedule!G281</f>
        <v>0.0</v>
      </c>
      <c r="E335" s="13">
        <f>BedSchedule!H281</f>
        <v>152394.16214437486</v>
      </c>
      <c r="F335" s="13">
        <f>Scenarios!CF360</f>
        <v>160718.36940738867</v>
      </c>
    </row>
    <row r="336">
      <c r="A336" t="n">
        <v>278</v>
      </c>
      <c r="B336" s="13">
        <f>BedSchedule!F282</f>
        <v>0.0</v>
      </c>
      <c r="C336" s="13">
        <f>BedSchedule!E282</f>
        <v>0.0</v>
      </c>
      <c r="D336" s="13">
        <f>BedSchedule!G282</f>
        <v>0.0</v>
      </c>
      <c r="E336" s="13">
        <f>BedSchedule!H282</f>
        <v>152394.16214437486</v>
      </c>
      <c r="F336" s="13">
        <f>Scenarios!CF361</f>
        <v>160718.36940738867</v>
      </c>
    </row>
    <row r="337">
      <c r="A337" t="n">
        <v>279</v>
      </c>
      <c r="B337" s="13">
        <f>BedSchedule!F283</f>
        <v>0.0</v>
      </c>
      <c r="C337" s="13">
        <f>BedSchedule!E283</f>
        <v>0.0</v>
      </c>
      <c r="D337" s="13">
        <f>BedSchedule!G283</f>
        <v>0.0</v>
      </c>
      <c r="E337" s="13">
        <f>BedSchedule!H283</f>
        <v>152394.16214437486</v>
      </c>
      <c r="F337" s="13">
        <f>Scenarios!CF362</f>
        <v>160718.36940738867</v>
      </c>
    </row>
    <row r="338">
      <c r="A338" t="n">
        <v>280</v>
      </c>
      <c r="B338" s="13">
        <f>BedSchedule!F284</f>
        <v>0.0</v>
      </c>
      <c r="C338" s="13">
        <f>BedSchedule!E284</f>
        <v>0.0</v>
      </c>
      <c r="D338" s="13">
        <f>BedSchedule!G284</f>
        <v>0.0</v>
      </c>
      <c r="E338" s="13">
        <f>BedSchedule!H284</f>
        <v>152394.16214437486</v>
      </c>
      <c r="F338" s="13">
        <f>Scenarios!CF363</f>
        <v>160718.36940738867</v>
      </c>
    </row>
    <row r="339">
      <c r="A339" t="n">
        <v>281</v>
      </c>
      <c r="B339" s="13">
        <f>BedSchedule!F285</f>
        <v>0.0</v>
      </c>
      <c r="C339" s="13">
        <f>BedSchedule!E285</f>
        <v>0.0</v>
      </c>
      <c r="D339" s="13">
        <f>BedSchedule!G285</f>
        <v>0.0</v>
      </c>
      <c r="E339" s="13">
        <f>BedSchedule!H285</f>
        <v>152394.16214437486</v>
      </c>
      <c r="F339" s="13">
        <f>Scenarios!CF364</f>
        <v>160718.36940738867</v>
      </c>
    </row>
    <row r="340">
      <c r="A340" t="n">
        <v>282</v>
      </c>
      <c r="B340" s="13">
        <f>BedSchedule!F286</f>
        <v>0.0</v>
      </c>
      <c r="C340" s="13">
        <f>BedSchedule!E286</f>
        <v>0.0</v>
      </c>
      <c r="D340" s="13">
        <f>BedSchedule!G286</f>
        <v>0.0</v>
      </c>
      <c r="E340" s="13">
        <f>BedSchedule!H286</f>
        <v>152394.16214437486</v>
      </c>
      <c r="F340" s="13">
        <f>Scenarios!CF365</f>
        <v>160718.36940738867</v>
      </c>
    </row>
    <row r="341">
      <c r="A341" t="n">
        <v>283</v>
      </c>
      <c r="B341" s="13">
        <f>BedSchedule!F287</f>
        <v>0.0</v>
      </c>
      <c r="C341" s="13">
        <f>BedSchedule!E287</f>
        <v>0.0</v>
      </c>
      <c r="D341" s="13">
        <f>BedSchedule!G287</f>
        <v>0.0</v>
      </c>
      <c r="E341" s="13">
        <f>BedSchedule!H287</f>
        <v>152394.16214437486</v>
      </c>
      <c r="F341" s="13">
        <f>Scenarios!CF366</f>
        <v>160718.36940738867</v>
      </c>
    </row>
    <row r="342">
      <c r="A342" t="n">
        <v>284</v>
      </c>
      <c r="B342" s="13">
        <f>BedSchedule!F288</f>
        <v>0.0</v>
      </c>
      <c r="C342" s="13">
        <f>BedSchedule!E288</f>
        <v>0.0</v>
      </c>
      <c r="D342" s="13">
        <f>BedSchedule!G288</f>
        <v>0.0</v>
      </c>
      <c r="E342" s="13">
        <f>BedSchedule!H288</f>
        <v>152394.16214437486</v>
      </c>
      <c r="F342" s="13">
        <f>Scenarios!CF367</f>
        <v>160718.36940738867</v>
      </c>
    </row>
    <row r="343">
      <c r="A343" t="n">
        <v>285</v>
      </c>
      <c r="B343" s="13">
        <f>BedSchedule!F289</f>
        <v>0.0</v>
      </c>
      <c r="C343" s="13">
        <f>BedSchedule!E289</f>
        <v>0.0</v>
      </c>
      <c r="D343" s="13">
        <f>BedSchedule!G289</f>
        <v>0.0</v>
      </c>
      <c r="E343" s="13">
        <f>BedSchedule!H289</f>
        <v>152394.16214437486</v>
      </c>
      <c r="F343" s="13">
        <f>Scenarios!CF368</f>
        <v>160718.36940738867</v>
      </c>
    </row>
    <row r="344">
      <c r="A344" t="n">
        <v>286</v>
      </c>
      <c r="B344" s="13">
        <f>BedSchedule!F290</f>
        <v>0.0</v>
      </c>
      <c r="C344" s="13">
        <f>BedSchedule!E290</f>
        <v>0.0</v>
      </c>
      <c r="D344" s="13">
        <f>BedSchedule!G290</f>
        <v>0.0</v>
      </c>
      <c r="E344" s="13">
        <f>BedSchedule!H290</f>
        <v>152394.16214437486</v>
      </c>
      <c r="F344" s="13">
        <f>Scenarios!CF369</f>
        <v>160718.36940738867</v>
      </c>
    </row>
    <row r="345">
      <c r="A345" t="n">
        <v>287</v>
      </c>
      <c r="B345" s="13">
        <f>BedSchedule!F291</f>
        <v>0.0</v>
      </c>
      <c r="C345" s="13">
        <f>BedSchedule!E291</f>
        <v>0.0</v>
      </c>
      <c r="D345" s="13">
        <f>BedSchedule!G291</f>
        <v>0.0</v>
      </c>
      <c r="E345" s="13">
        <f>BedSchedule!H291</f>
        <v>152394.16214437486</v>
      </c>
      <c r="F345" s="13">
        <f>Scenarios!CF370</f>
        <v>160718.36940738867</v>
      </c>
    </row>
    <row r="346">
      <c r="A346" t="n">
        <v>288</v>
      </c>
      <c r="B346" s="13">
        <f>BedSchedule!F292</f>
        <v>0.0</v>
      </c>
      <c r="C346" s="13">
        <f>BedSchedule!E292</f>
        <v>0.0</v>
      </c>
      <c r="D346" s="13">
        <f>BedSchedule!G292</f>
        <v>0.0</v>
      </c>
      <c r="E346" s="13">
        <f>BedSchedule!H292</f>
        <v>152394.16214437486</v>
      </c>
      <c r="F346" s="13">
        <f>Scenarios!CF371</f>
        <v>160718.36940738867</v>
      </c>
    </row>
    <row r="347">
      <c r="A347" t="n">
        <v>289</v>
      </c>
      <c r="B347" s="13">
        <f>BedSchedule!F293</f>
        <v>0.0</v>
      </c>
      <c r="C347" s="13">
        <f>BedSchedule!E293</f>
        <v>0.0</v>
      </c>
      <c r="D347" s="13">
        <f>BedSchedule!G293</f>
        <v>0.0</v>
      </c>
      <c r="E347" s="13">
        <f>BedSchedule!H293</f>
        <v>152394.16214437486</v>
      </c>
      <c r="F347" s="13">
        <f>Scenarios!CF372</f>
        <v>160718.36940738867</v>
      </c>
    </row>
    <row r="348">
      <c r="A348" t="n">
        <v>290</v>
      </c>
      <c r="B348" s="13">
        <f>BedSchedule!F294</f>
        <v>0.0</v>
      </c>
      <c r="C348" s="13">
        <f>BedSchedule!E294</f>
        <v>0.0</v>
      </c>
      <c r="D348" s="13">
        <f>BedSchedule!G294</f>
        <v>0.0</v>
      </c>
      <c r="E348" s="13">
        <f>BedSchedule!H294</f>
        <v>152394.16214437486</v>
      </c>
      <c r="F348" s="13">
        <f>Scenarios!CF373</f>
        <v>160718.36940738867</v>
      </c>
    </row>
    <row r="349">
      <c r="A349" t="n">
        <v>291</v>
      </c>
      <c r="B349" s="13">
        <f>BedSchedule!F295</f>
        <v>0.0</v>
      </c>
      <c r="C349" s="13">
        <f>BedSchedule!E295</f>
        <v>0.0</v>
      </c>
      <c r="D349" s="13">
        <f>BedSchedule!G295</f>
        <v>0.0</v>
      </c>
      <c r="E349" s="13">
        <f>BedSchedule!H295</f>
        <v>152394.16214437486</v>
      </c>
      <c r="F349" s="13">
        <f>Scenarios!CF374</f>
        <v>160718.36940738867</v>
      </c>
    </row>
    <row r="350">
      <c r="A350" t="n">
        <v>292</v>
      </c>
      <c r="B350" s="13">
        <f>BedSchedule!F296</f>
        <v>0.0</v>
      </c>
      <c r="C350" s="13">
        <f>BedSchedule!E296</f>
        <v>0.0</v>
      </c>
      <c r="D350" s="13">
        <f>BedSchedule!G296</f>
        <v>0.0</v>
      </c>
      <c r="E350" s="13">
        <f>BedSchedule!H296</f>
        <v>152394.16214437486</v>
      </c>
      <c r="F350" s="13">
        <f>Scenarios!CF375</f>
        <v>160718.36940738867</v>
      </c>
    </row>
    <row r="351">
      <c r="A351" t="n">
        <v>293</v>
      </c>
      <c r="B351" s="13">
        <f>BedSchedule!F297</f>
        <v>0.0</v>
      </c>
      <c r="C351" s="13">
        <f>BedSchedule!E297</f>
        <v>0.0</v>
      </c>
      <c r="D351" s="13">
        <f>BedSchedule!G297</f>
        <v>0.0</v>
      </c>
      <c r="E351" s="13">
        <f>BedSchedule!H297</f>
        <v>152394.16214437486</v>
      </c>
      <c r="F351" s="13">
        <f>Scenarios!CF376</f>
        <v>160718.36940738867</v>
      </c>
    </row>
    <row r="352">
      <c r="A352" t="n">
        <v>294</v>
      </c>
      <c r="B352" s="13">
        <f>BedSchedule!F298</f>
        <v>0.0</v>
      </c>
      <c r="C352" s="13">
        <f>BedSchedule!E298</f>
        <v>0.0</v>
      </c>
      <c r="D352" s="13">
        <f>BedSchedule!G298</f>
        <v>0.0</v>
      </c>
      <c r="E352" s="13">
        <f>BedSchedule!H298</f>
        <v>152394.16214437486</v>
      </c>
      <c r="F352" s="13">
        <f>Scenarios!CF377</f>
        <v>160718.36940738867</v>
      </c>
    </row>
    <row r="353">
      <c r="A353" t="n">
        <v>295</v>
      </c>
      <c r="B353" s="13">
        <f>BedSchedule!F299</f>
        <v>0.0</v>
      </c>
      <c r="C353" s="13">
        <f>BedSchedule!E299</f>
        <v>0.0</v>
      </c>
      <c r="D353" s="13">
        <f>BedSchedule!G299</f>
        <v>0.0</v>
      </c>
      <c r="E353" s="13">
        <f>BedSchedule!H299</f>
        <v>152394.16214437486</v>
      </c>
      <c r="F353" s="13">
        <f>Scenarios!CF378</f>
        <v>160718.36940738867</v>
      </c>
    </row>
    <row r="354">
      <c r="A354" t="n">
        <v>296</v>
      </c>
      <c r="B354" s="13">
        <f>BedSchedule!F300</f>
        <v>0.0</v>
      </c>
      <c r="C354" s="13">
        <f>BedSchedule!E300</f>
        <v>0.0</v>
      </c>
      <c r="D354" s="13">
        <f>BedSchedule!G300</f>
        <v>0.0</v>
      </c>
      <c r="E354" s="13">
        <f>BedSchedule!H300</f>
        <v>152394.16214437486</v>
      </c>
      <c r="F354" s="13">
        <f>Scenarios!CF379</f>
        <v>160718.36940738867</v>
      </c>
    </row>
    <row r="355">
      <c r="A355" t="n">
        <v>297</v>
      </c>
      <c r="B355" s="13">
        <f>BedSchedule!F301</f>
        <v>0.0</v>
      </c>
      <c r="C355" s="13">
        <f>BedSchedule!E301</f>
        <v>0.0</v>
      </c>
      <c r="D355" s="13">
        <f>BedSchedule!G301</f>
        <v>0.0</v>
      </c>
      <c r="E355" s="13">
        <f>BedSchedule!H301</f>
        <v>152394.16214437486</v>
      </c>
      <c r="F355" s="13">
        <f>Scenarios!CF380</f>
        <v>160718.36940738867</v>
      </c>
    </row>
    <row r="356">
      <c r="A356" t="n">
        <v>298</v>
      </c>
      <c r="B356" s="13">
        <f>BedSchedule!F302</f>
        <v>0.0</v>
      </c>
      <c r="C356" s="13">
        <f>BedSchedule!E302</f>
        <v>0.0</v>
      </c>
      <c r="D356" s="13">
        <f>BedSchedule!G302</f>
        <v>0.0</v>
      </c>
      <c r="E356" s="13">
        <f>BedSchedule!H302</f>
        <v>152394.16214437486</v>
      </c>
      <c r="F356" s="13">
        <f>Scenarios!CF381</f>
        <v>160718.36940738867</v>
      </c>
    </row>
    <row r="357">
      <c r="A357" t="n">
        <v>299</v>
      </c>
      <c r="B357" s="13">
        <f>BedSchedule!F303</f>
        <v>0.0</v>
      </c>
      <c r="C357" s="13">
        <f>BedSchedule!E303</f>
        <v>0.0</v>
      </c>
      <c r="D357" s="13">
        <f>BedSchedule!G303</f>
        <v>0.0</v>
      </c>
      <c r="E357" s="13">
        <f>BedSchedule!H303</f>
        <v>152394.16214437486</v>
      </c>
      <c r="F357" s="13">
        <f>Scenarios!CF382</f>
        <v>160718.36940738867</v>
      </c>
    </row>
    <row r="358">
      <c r="A358" t="n">
        <v>300</v>
      </c>
      <c r="B358" s="13">
        <f>BedSchedule!F304</f>
        <v>0.0</v>
      </c>
      <c r="C358" s="13">
        <f>BedSchedule!E304</f>
        <v>0.0</v>
      </c>
      <c r="D358" s="13">
        <f>BedSchedule!G304</f>
        <v>0.0</v>
      </c>
      <c r="E358" s="13">
        <f>BedSchedule!H304</f>
        <v>152394.16214437486</v>
      </c>
      <c r="F358" s="13">
        <f>Scenarios!CF383</f>
        <v>160718.36940738867</v>
      </c>
    </row>
    <row r="359">
      <c r="A359" t="n">
        <v>301</v>
      </c>
      <c r="B359" s="13">
        <f>BedSchedule!F305</f>
        <v>0.0</v>
      </c>
      <c r="C359" s="13">
        <f>BedSchedule!E305</f>
        <v>0.0</v>
      </c>
      <c r="D359" s="13">
        <f>BedSchedule!G305</f>
        <v>0.0</v>
      </c>
      <c r="E359" s="13">
        <f>BedSchedule!H305</f>
        <v>152394.16214437486</v>
      </c>
      <c r="F359" s="13">
        <f>Scenarios!CF384</f>
        <v>160718.36940738867</v>
      </c>
    </row>
    <row r="360">
      <c r="A360" t="n">
        <v>302</v>
      </c>
      <c r="B360" s="13">
        <f>BedSchedule!F306</f>
        <v>0.0</v>
      </c>
      <c r="C360" s="13">
        <f>BedSchedule!E306</f>
        <v>0.0</v>
      </c>
      <c r="D360" s="13">
        <f>BedSchedule!G306</f>
        <v>0.0</v>
      </c>
      <c r="E360" s="13">
        <f>BedSchedule!H306</f>
        <v>152394.16214437486</v>
      </c>
      <c r="F360" s="13">
        <f>Scenarios!CF385</f>
        <v>160718.36940738867</v>
      </c>
    </row>
    <row r="361">
      <c r="A361" t="n">
        <v>303</v>
      </c>
      <c r="B361" s="13">
        <f>BedSchedule!F307</f>
        <v>0.0</v>
      </c>
      <c r="C361" s="13">
        <f>BedSchedule!E307</f>
        <v>0.0</v>
      </c>
      <c r="D361" s="13">
        <f>BedSchedule!G307</f>
        <v>0.0</v>
      </c>
      <c r="E361" s="13">
        <f>BedSchedule!H307</f>
        <v>152394.16214437486</v>
      </c>
      <c r="F361" s="13">
        <f>Scenarios!CF386</f>
        <v>160718.36940738867</v>
      </c>
    </row>
    <row r="362">
      <c r="A362" t="n">
        <v>304</v>
      </c>
      <c r="B362" s="13">
        <f>BedSchedule!F308</f>
        <v>0.0</v>
      </c>
      <c r="C362" s="13">
        <f>BedSchedule!E308</f>
        <v>0.0</v>
      </c>
      <c r="D362" s="13">
        <f>BedSchedule!G308</f>
        <v>0.0</v>
      </c>
      <c r="E362" s="13">
        <f>BedSchedule!H308</f>
        <v>152394.16214437486</v>
      </c>
      <c r="F362" s="13">
        <f>Scenarios!CF387</f>
        <v>160718.36940738867</v>
      </c>
    </row>
    <row r="363">
      <c r="A363" t="n">
        <v>305</v>
      </c>
      <c r="B363" s="13">
        <f>BedSchedule!F309</f>
        <v>0.0</v>
      </c>
      <c r="C363" s="13">
        <f>BedSchedule!E309</f>
        <v>0.0</v>
      </c>
      <c r="D363" s="13">
        <f>BedSchedule!G309</f>
        <v>0.0</v>
      </c>
      <c r="E363" s="13">
        <f>BedSchedule!H309</f>
        <v>152394.16214437486</v>
      </c>
      <c r="F363" s="13">
        <f>Scenarios!CF388</f>
        <v>160718.36940738867</v>
      </c>
    </row>
    <row r="364">
      <c r="A364" t="n">
        <v>306</v>
      </c>
      <c r="B364" s="13">
        <f>BedSchedule!F310</f>
        <v>0.0</v>
      </c>
      <c r="C364" s="13">
        <f>BedSchedule!E310</f>
        <v>0.0</v>
      </c>
      <c r="D364" s="13">
        <f>BedSchedule!G310</f>
        <v>0.0</v>
      </c>
      <c r="E364" s="13">
        <f>BedSchedule!H310</f>
        <v>152394.16214437486</v>
      </c>
      <c r="F364" s="13">
        <f>Scenarios!CF389</f>
        <v>160718.36940738867</v>
      </c>
    </row>
    <row r="365">
      <c r="A365" t="n">
        <v>307</v>
      </c>
      <c r="B365" s="13">
        <f>BedSchedule!F311</f>
        <v>0.0</v>
      </c>
      <c r="C365" s="13">
        <f>BedSchedule!E311</f>
        <v>0.0</v>
      </c>
      <c r="D365" s="13">
        <f>BedSchedule!G311</f>
        <v>0.0</v>
      </c>
      <c r="E365" s="13">
        <f>BedSchedule!H311</f>
        <v>152394.16214437486</v>
      </c>
      <c r="F365" s="13">
        <f>Scenarios!CF390</f>
        <v>160718.36940738867</v>
      </c>
    </row>
    <row r="366">
      <c r="A366" t="n">
        <v>308</v>
      </c>
      <c r="B366" s="13">
        <f>BedSchedule!F312</f>
        <v>0.0</v>
      </c>
      <c r="C366" s="13">
        <f>BedSchedule!E312</f>
        <v>0.0</v>
      </c>
      <c r="D366" s="13">
        <f>BedSchedule!G312</f>
        <v>0.0</v>
      </c>
      <c r="E366" s="13">
        <f>BedSchedule!H312</f>
        <v>152394.16214437486</v>
      </c>
      <c r="F366" s="13">
        <f>Scenarios!CF391</f>
        <v>160718.36940738867</v>
      </c>
    </row>
    <row r="367">
      <c r="A367" t="n">
        <v>309</v>
      </c>
      <c r="B367" s="13">
        <f>BedSchedule!F313</f>
        <v>0.0</v>
      </c>
      <c r="C367" s="13">
        <f>BedSchedule!E313</f>
        <v>0.0</v>
      </c>
      <c r="D367" s="13">
        <f>BedSchedule!G313</f>
        <v>0.0</v>
      </c>
      <c r="E367" s="13">
        <f>BedSchedule!H313</f>
        <v>152394.16214437486</v>
      </c>
      <c r="F367" s="13">
        <f>Scenarios!CF392</f>
        <v>160718.36940738867</v>
      </c>
    </row>
    <row r="368">
      <c r="A368" t="n">
        <v>310</v>
      </c>
      <c r="B368" s="13">
        <f>BedSchedule!F314</f>
        <v>0.0</v>
      </c>
      <c r="C368" s="13">
        <f>BedSchedule!E314</f>
        <v>0.0</v>
      </c>
      <c r="D368" s="13">
        <f>BedSchedule!G314</f>
        <v>0.0</v>
      </c>
      <c r="E368" s="13">
        <f>BedSchedule!H314</f>
        <v>152394.16214437486</v>
      </c>
      <c r="F368" s="13">
        <f>Scenarios!CF393</f>
        <v>160718.36940738867</v>
      </c>
    </row>
    <row r="369">
      <c r="A369" t="n">
        <v>311</v>
      </c>
      <c r="B369" s="13">
        <f>BedSchedule!F315</f>
        <v>0.0</v>
      </c>
      <c r="C369" s="13">
        <f>BedSchedule!E315</f>
        <v>0.0</v>
      </c>
      <c r="D369" s="13">
        <f>BedSchedule!G315</f>
        <v>0.0</v>
      </c>
      <c r="E369" s="13">
        <f>BedSchedule!H315</f>
        <v>152394.16214437486</v>
      </c>
      <c r="F369" s="13">
        <f>Scenarios!CF394</f>
        <v>160718.36940738867</v>
      </c>
    </row>
    <row r="370">
      <c r="A370" t="n">
        <v>312</v>
      </c>
      <c r="B370" s="13">
        <f>BedSchedule!F316</f>
        <v>0.0</v>
      </c>
      <c r="C370" s="13">
        <f>BedSchedule!E316</f>
        <v>0.0</v>
      </c>
      <c r="D370" s="13">
        <f>BedSchedule!G316</f>
        <v>0.0</v>
      </c>
      <c r="E370" s="13">
        <f>BedSchedule!H316</f>
        <v>152394.16214437486</v>
      </c>
      <c r="F370" s="13">
        <f>Scenarios!CF395</f>
        <v>160718.36940738867</v>
      </c>
    </row>
    <row r="371">
      <c r="A371" t="n">
        <v>313</v>
      </c>
      <c r="B371" s="13">
        <f>BedSchedule!F317</f>
        <v>0.0</v>
      </c>
      <c r="C371" s="13">
        <f>BedSchedule!E317</f>
        <v>0.0</v>
      </c>
      <c r="D371" s="13">
        <f>BedSchedule!G317</f>
        <v>0.0</v>
      </c>
      <c r="E371" s="13">
        <f>BedSchedule!H317</f>
        <v>152394.16214437486</v>
      </c>
      <c r="F371" s="13">
        <f>Scenarios!CF396</f>
        <v>160718.36940738867</v>
      </c>
    </row>
    <row r="372">
      <c r="A372" t="n">
        <v>314</v>
      </c>
      <c r="B372" s="13">
        <f>BedSchedule!F318</f>
        <v>0.0</v>
      </c>
      <c r="C372" s="13">
        <f>BedSchedule!E318</f>
        <v>0.0</v>
      </c>
      <c r="D372" s="13">
        <f>BedSchedule!G318</f>
        <v>0.0</v>
      </c>
      <c r="E372" s="13">
        <f>BedSchedule!H318</f>
        <v>152394.16214437486</v>
      </c>
      <c r="F372" s="13">
        <f>Scenarios!CF397</f>
        <v>160718.36940738867</v>
      </c>
    </row>
    <row r="373">
      <c r="A373" t="n">
        <v>315</v>
      </c>
      <c r="B373" s="13">
        <f>BedSchedule!F319</f>
        <v>0.0</v>
      </c>
      <c r="C373" s="13">
        <f>BedSchedule!E319</f>
        <v>0.0</v>
      </c>
      <c r="D373" s="13">
        <f>BedSchedule!G319</f>
        <v>0.0</v>
      </c>
      <c r="E373" s="13">
        <f>BedSchedule!H319</f>
        <v>152394.16214437486</v>
      </c>
      <c r="F373" s="13">
        <f>Scenarios!CF398</f>
        <v>160718.36940738867</v>
      </c>
    </row>
    <row r="374">
      <c r="A374" t="n">
        <v>316</v>
      </c>
      <c r="B374" s="13">
        <f>BedSchedule!F320</f>
        <v>0.0</v>
      </c>
      <c r="C374" s="13">
        <f>BedSchedule!E320</f>
        <v>0.0</v>
      </c>
      <c r="D374" s="13">
        <f>BedSchedule!G320</f>
        <v>0.0</v>
      </c>
      <c r="E374" s="13">
        <f>BedSchedule!H320</f>
        <v>152394.16214437486</v>
      </c>
      <c r="F374" s="13">
        <f>Scenarios!CF399</f>
        <v>160718.36940738867</v>
      </c>
    </row>
    <row r="375">
      <c r="A375" t="n">
        <v>317</v>
      </c>
      <c r="B375" s="13">
        <f>BedSchedule!F321</f>
        <v>0.0</v>
      </c>
      <c r="C375" s="13">
        <f>BedSchedule!E321</f>
        <v>0.0</v>
      </c>
      <c r="D375" s="13">
        <f>BedSchedule!G321</f>
        <v>0.0</v>
      </c>
      <c r="E375" s="13">
        <f>BedSchedule!H321</f>
        <v>152394.16214437486</v>
      </c>
      <c r="F375" s="13">
        <f>Scenarios!CF400</f>
        <v>160718.36940738867</v>
      </c>
    </row>
    <row r="376">
      <c r="A376" t="n">
        <v>318</v>
      </c>
      <c r="B376" s="13">
        <f>BedSchedule!F322</f>
        <v>0.0</v>
      </c>
      <c r="C376" s="13">
        <f>BedSchedule!E322</f>
        <v>0.0</v>
      </c>
      <c r="D376" s="13">
        <f>BedSchedule!G322</f>
        <v>0.0</v>
      </c>
      <c r="E376" s="13">
        <f>BedSchedule!H322</f>
        <v>152394.16214437486</v>
      </c>
      <c r="F376" s="13">
        <f>Scenarios!CF401</f>
        <v>160718.36940738867</v>
      </c>
    </row>
    <row r="377">
      <c r="A377" t="n">
        <v>319</v>
      </c>
      <c r="B377" s="13">
        <f>BedSchedule!F323</f>
        <v>0.0</v>
      </c>
      <c r="C377" s="13">
        <f>BedSchedule!E323</f>
        <v>0.0</v>
      </c>
      <c r="D377" s="13">
        <f>BedSchedule!G323</f>
        <v>0.0</v>
      </c>
      <c r="E377" s="13">
        <f>BedSchedule!H323</f>
        <v>152394.16214437486</v>
      </c>
      <c r="F377" s="13">
        <f>Scenarios!CF402</f>
        <v>160718.36940738867</v>
      </c>
    </row>
    <row r="378">
      <c r="A378" t="n">
        <v>320</v>
      </c>
      <c r="B378" s="13">
        <f>BedSchedule!F324</f>
        <v>0.0</v>
      </c>
      <c r="C378" s="13">
        <f>BedSchedule!E324</f>
        <v>0.0</v>
      </c>
      <c r="D378" s="13">
        <f>BedSchedule!G324</f>
        <v>0.0</v>
      </c>
      <c r="E378" s="13">
        <f>BedSchedule!H324</f>
        <v>152394.16214437486</v>
      </c>
      <c r="F378" s="13">
        <f>Scenarios!CF403</f>
        <v>160718.36940738867</v>
      </c>
    </row>
    <row r="379">
      <c r="A379" t="n">
        <v>321</v>
      </c>
      <c r="B379" s="13">
        <f>BedSchedule!F325</f>
        <v>0.0</v>
      </c>
      <c r="C379" s="13">
        <f>BedSchedule!E325</f>
        <v>0.0</v>
      </c>
      <c r="D379" s="13">
        <f>BedSchedule!G325</f>
        <v>0.0</v>
      </c>
      <c r="E379" s="13">
        <f>BedSchedule!H325</f>
        <v>152394.16214437486</v>
      </c>
      <c r="F379" s="13">
        <f>Scenarios!CF404</f>
        <v>160718.36940738867</v>
      </c>
    </row>
    <row r="380">
      <c r="A380" t="n">
        <v>322</v>
      </c>
      <c r="B380" s="13">
        <f>BedSchedule!F326</f>
        <v>0.0</v>
      </c>
      <c r="C380" s="13">
        <f>BedSchedule!E326</f>
        <v>0.0</v>
      </c>
      <c r="D380" s="13">
        <f>BedSchedule!G326</f>
        <v>0.0</v>
      </c>
      <c r="E380" s="13">
        <f>BedSchedule!H326</f>
        <v>152394.16214437486</v>
      </c>
      <c r="F380" s="13">
        <f>Scenarios!CF405</f>
        <v>160718.36940738867</v>
      </c>
    </row>
    <row r="381">
      <c r="A381" t="n">
        <v>323</v>
      </c>
      <c r="B381" s="13">
        <f>BedSchedule!F327</f>
        <v>0.0</v>
      </c>
      <c r="C381" s="13">
        <f>BedSchedule!E327</f>
        <v>0.0</v>
      </c>
      <c r="D381" s="13">
        <f>BedSchedule!G327</f>
        <v>0.0</v>
      </c>
      <c r="E381" s="13">
        <f>BedSchedule!H327</f>
        <v>152394.16214437486</v>
      </c>
      <c r="F381" s="13">
        <f>Scenarios!CF406</f>
        <v>160718.36940738867</v>
      </c>
    </row>
    <row r="382">
      <c r="A382" t="n">
        <v>324</v>
      </c>
      <c r="B382" s="13">
        <f>BedSchedule!F328</f>
        <v>0.0</v>
      </c>
      <c r="C382" s="13">
        <f>BedSchedule!E328</f>
        <v>0.0</v>
      </c>
      <c r="D382" s="13">
        <f>BedSchedule!G328</f>
        <v>0.0</v>
      </c>
      <c r="E382" s="13">
        <f>BedSchedule!H328</f>
        <v>152394.16214437486</v>
      </c>
      <c r="F382" s="13">
        <f>Scenarios!CF407</f>
        <v>160718.36940738867</v>
      </c>
    </row>
    <row r="383">
      <c r="A383" t="n">
        <v>325</v>
      </c>
      <c r="B383" s="13">
        <f>BedSchedule!F329</f>
        <v>0.0</v>
      </c>
      <c r="C383" s="13">
        <f>BedSchedule!E329</f>
        <v>0.0</v>
      </c>
      <c r="D383" s="13">
        <f>BedSchedule!G329</f>
        <v>0.0</v>
      </c>
      <c r="E383" s="13">
        <f>BedSchedule!H329</f>
        <v>152394.16214437486</v>
      </c>
      <c r="F383" s="13">
        <f>Scenarios!CF408</f>
        <v>160718.36940738867</v>
      </c>
    </row>
    <row r="384">
      <c r="A384" t="n">
        <v>326</v>
      </c>
      <c r="B384" s="13">
        <f>BedSchedule!F330</f>
        <v>0.0</v>
      </c>
      <c r="C384" s="13">
        <f>BedSchedule!E330</f>
        <v>0.0</v>
      </c>
      <c r="D384" s="13">
        <f>BedSchedule!G330</f>
        <v>0.0</v>
      </c>
      <c r="E384" s="13">
        <f>BedSchedule!H330</f>
        <v>152394.16214437486</v>
      </c>
      <c r="F384" s="13">
        <f>Scenarios!CF409</f>
        <v>160718.36940738867</v>
      </c>
    </row>
    <row r="385">
      <c r="A385" t="n">
        <v>327</v>
      </c>
      <c r="B385" s="13">
        <f>BedSchedule!F331</f>
        <v>0.0</v>
      </c>
      <c r="C385" s="13">
        <f>BedSchedule!E331</f>
        <v>0.0</v>
      </c>
      <c r="D385" s="13">
        <f>BedSchedule!G331</f>
        <v>0.0</v>
      </c>
      <c r="E385" s="13">
        <f>BedSchedule!H331</f>
        <v>152394.16214437486</v>
      </c>
      <c r="F385" s="13">
        <f>Scenarios!CF410</f>
        <v>160718.36940738867</v>
      </c>
    </row>
    <row r="386">
      <c r="A386" t="n">
        <v>328</v>
      </c>
      <c r="B386" s="13">
        <f>BedSchedule!F332</f>
        <v>0.0</v>
      </c>
      <c r="C386" s="13">
        <f>BedSchedule!E332</f>
        <v>0.0</v>
      </c>
      <c r="D386" s="13">
        <f>BedSchedule!G332</f>
        <v>0.0</v>
      </c>
      <c r="E386" s="13">
        <f>BedSchedule!H332</f>
        <v>152394.16214437486</v>
      </c>
      <c r="F386" s="13">
        <f>Scenarios!CF411</f>
        <v>160718.36940738867</v>
      </c>
    </row>
    <row r="387">
      <c r="A387" t="n">
        <v>329</v>
      </c>
      <c r="B387" s="13">
        <f>BedSchedule!F333</f>
        <v>0.0</v>
      </c>
      <c r="C387" s="13">
        <f>BedSchedule!E333</f>
        <v>0.0</v>
      </c>
      <c r="D387" s="13">
        <f>BedSchedule!G333</f>
        <v>0.0</v>
      </c>
      <c r="E387" s="13">
        <f>BedSchedule!H333</f>
        <v>152394.16214437486</v>
      </c>
      <c r="F387" s="13">
        <f>Scenarios!CF412</f>
        <v>160718.36940738867</v>
      </c>
    </row>
    <row r="388">
      <c r="A388" t="n">
        <v>330</v>
      </c>
      <c r="B388" s="13">
        <f>BedSchedule!F334</f>
        <v>0.0</v>
      </c>
      <c r="C388" s="13">
        <f>BedSchedule!E334</f>
        <v>0.0</v>
      </c>
      <c r="D388" s="13">
        <f>BedSchedule!G334</f>
        <v>0.0</v>
      </c>
      <c r="E388" s="13">
        <f>BedSchedule!H334</f>
        <v>152394.16214437486</v>
      </c>
      <c r="F388" s="13">
        <f>Scenarios!CF413</f>
        <v>160718.36940738867</v>
      </c>
    </row>
    <row r="389">
      <c r="A389" t="n">
        <v>331</v>
      </c>
      <c r="B389" s="13">
        <f>BedSchedule!F335</f>
        <v>0.0</v>
      </c>
      <c r="C389" s="13">
        <f>BedSchedule!E335</f>
        <v>0.0</v>
      </c>
      <c r="D389" s="13">
        <f>BedSchedule!G335</f>
        <v>0.0</v>
      </c>
      <c r="E389" s="13">
        <f>BedSchedule!H335</f>
        <v>152394.16214437486</v>
      </c>
      <c r="F389" s="13">
        <f>Scenarios!CF414</f>
        <v>160718.36940738867</v>
      </c>
    </row>
    <row r="390">
      <c r="A390" t="n">
        <v>332</v>
      </c>
      <c r="B390" s="13">
        <f>BedSchedule!F336</f>
        <v>0.0</v>
      </c>
      <c r="C390" s="13">
        <f>BedSchedule!E336</f>
        <v>0.0</v>
      </c>
      <c r="D390" s="13">
        <f>BedSchedule!G336</f>
        <v>0.0</v>
      </c>
      <c r="E390" s="13">
        <f>BedSchedule!H336</f>
        <v>152394.16214437486</v>
      </c>
      <c r="F390" s="13">
        <f>Scenarios!CF415</f>
        <v>160718.36940738867</v>
      </c>
    </row>
    <row r="391">
      <c r="A391" t="n">
        <v>333</v>
      </c>
      <c r="B391" s="13">
        <f>BedSchedule!F337</f>
        <v>0.0</v>
      </c>
      <c r="C391" s="13">
        <f>BedSchedule!E337</f>
        <v>0.0</v>
      </c>
      <c r="D391" s="13">
        <f>BedSchedule!G337</f>
        <v>0.0</v>
      </c>
      <c r="E391" s="13">
        <f>BedSchedule!H337</f>
        <v>152394.16214437486</v>
      </c>
      <c r="F391" s="13">
        <f>Scenarios!CF416</f>
        <v>160718.36940738867</v>
      </c>
    </row>
    <row r="392">
      <c r="A392" t="n">
        <v>334</v>
      </c>
      <c r="B392" s="13">
        <f>BedSchedule!F338</f>
        <v>0.0</v>
      </c>
      <c r="C392" s="13">
        <f>BedSchedule!E338</f>
        <v>0.0</v>
      </c>
      <c r="D392" s="13">
        <f>BedSchedule!G338</f>
        <v>0.0</v>
      </c>
      <c r="E392" s="13">
        <f>BedSchedule!H338</f>
        <v>152394.16214437486</v>
      </c>
      <c r="F392" s="13">
        <f>Scenarios!CF417</f>
        <v>160718.36940738867</v>
      </c>
    </row>
    <row r="393">
      <c r="A393" t="n">
        <v>335</v>
      </c>
      <c r="B393" s="13">
        <f>BedSchedule!F339</f>
        <v>0.0</v>
      </c>
      <c r="C393" s="13">
        <f>BedSchedule!E339</f>
        <v>0.0</v>
      </c>
      <c r="D393" s="13">
        <f>BedSchedule!G339</f>
        <v>0.0</v>
      </c>
      <c r="E393" s="13">
        <f>BedSchedule!H339</f>
        <v>152394.16214437486</v>
      </c>
      <c r="F393" s="13">
        <f>Scenarios!CF418</f>
        <v>160718.36940738867</v>
      </c>
    </row>
    <row r="394">
      <c r="A394" t="n">
        <v>336</v>
      </c>
      <c r="B394" s="13">
        <f>BedSchedule!F340</f>
        <v>0.0</v>
      </c>
      <c r="C394" s="13">
        <f>BedSchedule!E340</f>
        <v>0.0</v>
      </c>
      <c r="D394" s="13">
        <f>BedSchedule!G340</f>
        <v>0.0</v>
      </c>
      <c r="E394" s="13">
        <f>BedSchedule!H340</f>
        <v>152394.16214437486</v>
      </c>
      <c r="F394" s="13">
        <f>Scenarios!CF419</f>
        <v>160718.36940738867</v>
      </c>
    </row>
    <row r="395">
      <c r="A395" t="n">
        <v>337</v>
      </c>
      <c r="B395" s="13">
        <f>BedSchedule!F341</f>
        <v>0.0</v>
      </c>
      <c r="C395" s="13">
        <f>BedSchedule!E341</f>
        <v>0.0</v>
      </c>
      <c r="D395" s="13">
        <f>BedSchedule!G341</f>
        <v>0.0</v>
      </c>
      <c r="E395" s="13">
        <f>BedSchedule!H341</f>
        <v>152394.16214437486</v>
      </c>
      <c r="F395" s="13">
        <f>Scenarios!CF420</f>
        <v>160718.36940738867</v>
      </c>
    </row>
    <row r="396">
      <c r="A396" t="n">
        <v>338</v>
      </c>
      <c r="B396" s="13">
        <f>BedSchedule!F342</f>
        <v>0.0</v>
      </c>
      <c r="C396" s="13">
        <f>BedSchedule!E342</f>
        <v>0.0</v>
      </c>
      <c r="D396" s="13">
        <f>BedSchedule!G342</f>
        <v>0.0</v>
      </c>
      <c r="E396" s="13">
        <f>BedSchedule!H342</f>
        <v>152394.16214437486</v>
      </c>
      <c r="F396" s="13">
        <f>Scenarios!CF421</f>
        <v>160718.36940738867</v>
      </c>
    </row>
    <row r="397">
      <c r="A397" t="n">
        <v>339</v>
      </c>
      <c r="B397" s="13">
        <f>BedSchedule!F343</f>
        <v>0.0</v>
      </c>
      <c r="C397" s="13">
        <f>BedSchedule!E343</f>
        <v>0.0</v>
      </c>
      <c r="D397" s="13">
        <f>BedSchedule!G343</f>
        <v>0.0</v>
      </c>
      <c r="E397" s="13">
        <f>BedSchedule!H343</f>
        <v>152394.16214437486</v>
      </c>
      <c r="F397" s="13">
        <f>Scenarios!CF422</f>
        <v>160718.36940738867</v>
      </c>
    </row>
    <row r="398">
      <c r="A398" t="n">
        <v>340</v>
      </c>
      <c r="B398" s="13">
        <f>BedSchedule!F344</f>
        <v>0.0</v>
      </c>
      <c r="C398" s="13">
        <f>BedSchedule!E344</f>
        <v>0.0</v>
      </c>
      <c r="D398" s="13">
        <f>BedSchedule!G344</f>
        <v>0.0</v>
      </c>
      <c r="E398" s="13">
        <f>BedSchedule!H344</f>
        <v>152394.16214437486</v>
      </c>
      <c r="F398" s="13">
        <f>Scenarios!CF423</f>
        <v>160718.36940738867</v>
      </c>
    </row>
    <row r="399">
      <c r="A399" t="n">
        <v>341</v>
      </c>
      <c r="B399" s="13">
        <f>BedSchedule!F345</f>
        <v>0.0</v>
      </c>
      <c r="C399" s="13">
        <f>BedSchedule!E345</f>
        <v>0.0</v>
      </c>
      <c r="D399" s="13">
        <f>BedSchedule!G345</f>
        <v>0.0</v>
      </c>
      <c r="E399" s="13">
        <f>BedSchedule!H345</f>
        <v>152394.16214437486</v>
      </c>
      <c r="F399" s="13">
        <f>Scenarios!CF424</f>
        <v>160718.36940738867</v>
      </c>
    </row>
    <row r="400">
      <c r="A400" t="n">
        <v>342</v>
      </c>
      <c r="B400" s="13">
        <f>BedSchedule!F346</f>
        <v>0.0</v>
      </c>
      <c r="C400" s="13">
        <f>BedSchedule!E346</f>
        <v>0.0</v>
      </c>
      <c r="D400" s="13">
        <f>BedSchedule!G346</f>
        <v>0.0</v>
      </c>
      <c r="E400" s="13">
        <f>BedSchedule!H346</f>
        <v>152394.16214437486</v>
      </c>
      <c r="F400" s="13">
        <f>Scenarios!CF425</f>
        <v>160718.36940738867</v>
      </c>
    </row>
    <row r="401">
      <c r="A401" t="n">
        <v>343</v>
      </c>
      <c r="B401" s="13">
        <f>BedSchedule!F347</f>
        <v>0.0</v>
      </c>
      <c r="C401" s="13">
        <f>BedSchedule!E347</f>
        <v>0.0</v>
      </c>
      <c r="D401" s="13">
        <f>BedSchedule!G347</f>
        <v>0.0</v>
      </c>
      <c r="E401" s="13">
        <f>BedSchedule!H347</f>
        <v>152394.16214437486</v>
      </c>
      <c r="F401" s="13">
        <f>Scenarios!CF426</f>
        <v>160718.36940738867</v>
      </c>
    </row>
    <row r="402">
      <c r="A402" t="n">
        <v>344</v>
      </c>
      <c r="B402" s="13">
        <f>BedSchedule!F348</f>
        <v>0.0</v>
      </c>
      <c r="C402" s="13">
        <f>BedSchedule!E348</f>
        <v>0.0</v>
      </c>
      <c r="D402" s="13">
        <f>BedSchedule!G348</f>
        <v>0.0</v>
      </c>
      <c r="E402" s="13">
        <f>BedSchedule!H348</f>
        <v>152394.16214437486</v>
      </c>
      <c r="F402" s="13">
        <f>Scenarios!CF427</f>
        <v>160718.36940738867</v>
      </c>
    </row>
    <row r="403">
      <c r="A403" t="n">
        <v>345</v>
      </c>
      <c r="B403" s="13">
        <f>BedSchedule!F349</f>
        <v>0.0</v>
      </c>
      <c r="C403" s="13">
        <f>BedSchedule!E349</f>
        <v>0.0</v>
      </c>
      <c r="D403" s="13">
        <f>BedSchedule!G349</f>
        <v>0.0</v>
      </c>
      <c r="E403" s="13">
        <f>BedSchedule!H349</f>
        <v>152394.16214437486</v>
      </c>
      <c r="F403" s="13">
        <f>Scenarios!CF428</f>
        <v>160718.36940738867</v>
      </c>
    </row>
    <row r="404">
      <c r="A404" t="n">
        <v>346</v>
      </c>
      <c r="B404" s="13">
        <f>BedSchedule!F350</f>
        <v>0.0</v>
      </c>
      <c r="C404" s="13">
        <f>BedSchedule!E350</f>
        <v>0.0</v>
      </c>
      <c r="D404" s="13">
        <f>BedSchedule!G350</f>
        <v>0.0</v>
      </c>
      <c r="E404" s="13">
        <f>BedSchedule!H350</f>
        <v>152394.16214437486</v>
      </c>
      <c r="F404" s="13">
        <f>Scenarios!CF429</f>
        <v>160718.36940738867</v>
      </c>
    </row>
    <row r="405">
      <c r="A405" t="n">
        <v>347</v>
      </c>
      <c r="B405" s="13">
        <f>BedSchedule!F351</f>
        <v>0.0</v>
      </c>
      <c r="C405" s="13">
        <f>BedSchedule!E351</f>
        <v>0.0</v>
      </c>
      <c r="D405" s="13">
        <f>BedSchedule!G351</f>
        <v>0.0</v>
      </c>
      <c r="E405" s="13">
        <f>BedSchedule!H351</f>
        <v>152394.16214437486</v>
      </c>
      <c r="F405" s="13">
        <f>Scenarios!CF430</f>
        <v>160718.36940738867</v>
      </c>
    </row>
    <row r="406">
      <c r="A406" t="n">
        <v>348</v>
      </c>
      <c r="B406" s="13">
        <f>BedSchedule!F352</f>
        <v>0.0</v>
      </c>
      <c r="C406" s="13">
        <f>BedSchedule!E352</f>
        <v>0.0</v>
      </c>
      <c r="D406" s="13">
        <f>BedSchedule!G352</f>
        <v>0.0</v>
      </c>
      <c r="E406" s="13">
        <f>BedSchedule!H352</f>
        <v>152394.16214437486</v>
      </c>
      <c r="F406" s="13">
        <f>Scenarios!CF431</f>
        <v>160718.36940738867</v>
      </c>
    </row>
    <row r="407">
      <c r="A407" t="n">
        <v>349</v>
      </c>
      <c r="B407" s="13">
        <f>BedSchedule!F353</f>
        <v>0.0</v>
      </c>
      <c r="C407" s="13">
        <f>BedSchedule!E353</f>
        <v>0.0</v>
      </c>
      <c r="D407" s="13">
        <f>BedSchedule!G353</f>
        <v>0.0</v>
      </c>
      <c r="E407" s="13">
        <f>BedSchedule!H353</f>
        <v>152394.16214437486</v>
      </c>
      <c r="F407" s="13">
        <f>Scenarios!CF432</f>
        <v>160718.36940738867</v>
      </c>
    </row>
    <row r="408">
      <c r="A408" t="n">
        <v>350</v>
      </c>
      <c r="B408" s="13">
        <f>BedSchedule!F354</f>
        <v>0.0</v>
      </c>
      <c r="C408" s="13">
        <f>BedSchedule!E354</f>
        <v>0.0</v>
      </c>
      <c r="D408" s="13">
        <f>BedSchedule!G354</f>
        <v>0.0</v>
      </c>
      <c r="E408" s="13">
        <f>BedSchedule!H354</f>
        <v>152394.16214437486</v>
      </c>
      <c r="F408" s="13">
        <f>Scenarios!CF433</f>
        <v>160718.36940738867</v>
      </c>
    </row>
    <row r="409">
      <c r="A409" t="n">
        <v>351</v>
      </c>
      <c r="B409" s="13">
        <f>BedSchedule!F355</f>
        <v>0.0</v>
      </c>
      <c r="C409" s="13">
        <f>BedSchedule!E355</f>
        <v>0.0</v>
      </c>
      <c r="D409" s="13">
        <f>BedSchedule!G355</f>
        <v>0.0</v>
      </c>
      <c r="E409" s="13">
        <f>BedSchedule!H355</f>
        <v>152394.16214437486</v>
      </c>
      <c r="F409" s="13">
        <f>Scenarios!CF434</f>
        <v>160718.36940738867</v>
      </c>
    </row>
    <row r="410">
      <c r="A410" t="n">
        <v>352</v>
      </c>
      <c r="B410" s="13">
        <f>BedSchedule!F356</f>
        <v>0.0</v>
      </c>
      <c r="C410" s="13">
        <f>BedSchedule!E356</f>
        <v>0.0</v>
      </c>
      <c r="D410" s="13">
        <f>BedSchedule!G356</f>
        <v>0.0</v>
      </c>
      <c r="E410" s="13">
        <f>BedSchedule!H356</f>
        <v>152394.16214437486</v>
      </c>
      <c r="F410" s="13">
        <f>Scenarios!CF435</f>
        <v>160718.36940738867</v>
      </c>
    </row>
    <row r="411">
      <c r="A411" t="n">
        <v>353</v>
      </c>
      <c r="B411" s="13">
        <f>BedSchedule!F357</f>
        <v>0.0</v>
      </c>
      <c r="C411" s="13">
        <f>BedSchedule!E357</f>
        <v>0.0</v>
      </c>
      <c r="D411" s="13">
        <f>BedSchedule!G357</f>
        <v>0.0</v>
      </c>
      <c r="E411" s="13">
        <f>BedSchedule!H357</f>
        <v>152394.16214437486</v>
      </c>
      <c r="F411" s="13">
        <f>Scenarios!CF436</f>
        <v>160718.36940738867</v>
      </c>
    </row>
    <row r="412">
      <c r="A412" t="n">
        <v>354</v>
      </c>
      <c r="B412" s="13">
        <f>BedSchedule!F358</f>
        <v>0.0</v>
      </c>
      <c r="C412" s="13">
        <f>BedSchedule!E358</f>
        <v>0.0</v>
      </c>
      <c r="D412" s="13">
        <f>BedSchedule!G358</f>
        <v>0.0</v>
      </c>
      <c r="E412" s="13">
        <f>BedSchedule!H358</f>
        <v>152394.16214437486</v>
      </c>
      <c r="F412" s="13">
        <f>Scenarios!CF437</f>
        <v>160718.36940738867</v>
      </c>
    </row>
    <row r="413">
      <c r="A413" t="n">
        <v>355</v>
      </c>
      <c r="B413" s="13">
        <f>BedSchedule!F359</f>
        <v>0.0</v>
      </c>
      <c r="C413" s="13">
        <f>BedSchedule!E359</f>
        <v>0.0</v>
      </c>
      <c r="D413" s="13">
        <f>BedSchedule!G359</f>
        <v>0.0</v>
      </c>
      <c r="E413" s="13">
        <f>BedSchedule!H359</f>
        <v>152394.16214437486</v>
      </c>
      <c r="F413" s="13">
        <f>Scenarios!CF438</f>
        <v>160718.36940738867</v>
      </c>
    </row>
    <row r="414">
      <c r="A414" t="n">
        <v>356</v>
      </c>
      <c r="B414" s="13">
        <f>BedSchedule!F360</f>
        <v>0.0</v>
      </c>
      <c r="C414" s="13">
        <f>BedSchedule!E360</f>
        <v>0.0</v>
      </c>
      <c r="D414" s="13">
        <f>BedSchedule!G360</f>
        <v>0.0</v>
      </c>
      <c r="E414" s="13">
        <f>BedSchedule!H360</f>
        <v>152394.16214437486</v>
      </c>
      <c r="F414" s="13">
        <f>Scenarios!CF439</f>
        <v>160718.36940738867</v>
      </c>
    </row>
    <row r="415">
      <c r="A415" t="n">
        <v>357</v>
      </c>
      <c r="B415" s="13">
        <f>BedSchedule!F361</f>
        <v>0.0</v>
      </c>
      <c r="C415" s="13">
        <f>BedSchedule!E361</f>
        <v>0.0</v>
      </c>
      <c r="D415" s="13">
        <f>BedSchedule!G361</f>
        <v>0.0</v>
      </c>
      <c r="E415" s="13">
        <f>BedSchedule!H361</f>
        <v>152394.16214437486</v>
      </c>
      <c r="F415" s="13">
        <f>Scenarios!CF440</f>
        <v>160718.36940738867</v>
      </c>
    </row>
    <row r="416">
      <c r="A416" t="n">
        <v>358</v>
      </c>
      <c r="B416" s="13">
        <f>BedSchedule!F362</f>
        <v>0.0</v>
      </c>
      <c r="C416" s="13">
        <f>BedSchedule!E362</f>
        <v>0.0</v>
      </c>
      <c r="D416" s="13">
        <f>BedSchedule!G362</f>
        <v>0.0</v>
      </c>
      <c r="E416" s="13">
        <f>BedSchedule!H362</f>
        <v>152394.16214437486</v>
      </c>
      <c r="F416" s="13">
        <f>Scenarios!CF441</f>
        <v>160718.36940738867</v>
      </c>
    </row>
    <row r="417">
      <c r="A417" t="n">
        <v>359</v>
      </c>
      <c r="B417" s="13">
        <f>BedSchedule!F363</f>
        <v>0.0</v>
      </c>
      <c r="C417" s="13">
        <f>BedSchedule!E363</f>
        <v>0.0</v>
      </c>
      <c r="D417" s="13">
        <f>BedSchedule!G363</f>
        <v>0.0</v>
      </c>
      <c r="E417" s="13">
        <f>BedSchedule!H363</f>
        <v>152394.16214437486</v>
      </c>
      <c r="F417" s="13">
        <f>Scenarios!CF442</f>
        <v>160718.36940738867</v>
      </c>
    </row>
    <row r="418">
      <c r="A418" t="n">
        <v>360</v>
      </c>
      <c r="B418" s="13">
        <f>BedSchedule!F364</f>
        <v>0.0</v>
      </c>
      <c r="C418" s="13">
        <f>BedSchedule!E364</f>
        <v>0.0</v>
      </c>
      <c r="D418" s="13">
        <f>BedSchedule!G364</f>
        <v>0.0</v>
      </c>
      <c r="E418" s="13">
        <f>BedSchedule!H364</f>
        <v>152394.16214437486</v>
      </c>
      <c r="F418" s="13">
        <f>Scenarios!CF443</f>
        <v>160718.36940738867</v>
      </c>
    </row>
    <row r="419">
      <c r="A419" t="n">
        <v>361</v>
      </c>
      <c r="B419" s="13">
        <f>BedSchedule!F365</f>
        <v>0.0</v>
      </c>
      <c r="C419" s="13">
        <f>BedSchedule!E365</f>
        <v>0.0</v>
      </c>
      <c r="D419" s="13">
        <f>BedSchedule!G365</f>
        <v>0.0</v>
      </c>
      <c r="E419" s="13">
        <f>BedSchedule!H365</f>
        <v>152394.16214437486</v>
      </c>
      <c r="F419" s="13">
        <f>Scenarios!CF444</f>
        <v>160718.36940738867</v>
      </c>
    </row>
    <row r="420">
      <c r="A420" t="n">
        <v>362</v>
      </c>
      <c r="B420" s="13">
        <f>BedSchedule!F366</f>
        <v>0.0</v>
      </c>
      <c r="C420" s="13">
        <f>BedSchedule!E366</f>
        <v>0.0</v>
      </c>
      <c r="D420" s="13">
        <f>BedSchedule!G366</f>
        <v>0.0</v>
      </c>
      <c r="E420" s="13">
        <f>BedSchedule!H366</f>
        <v>152394.16214437486</v>
      </c>
      <c r="F420" s="13">
        <f>Scenarios!CF445</f>
        <v>160718.36940738867</v>
      </c>
    </row>
    <row r="421">
      <c r="A421" t="n">
        <v>363</v>
      </c>
      <c r="B421" s="13">
        <f>BedSchedule!F367</f>
        <v>0.0</v>
      </c>
      <c r="C421" s="13">
        <f>BedSchedule!E367</f>
        <v>0.0</v>
      </c>
      <c r="D421" s="13">
        <f>BedSchedule!G367</f>
        <v>0.0</v>
      </c>
      <c r="E421" s="13">
        <f>BedSchedule!H367</f>
        <v>152394.16214437486</v>
      </c>
      <c r="F421" s="13">
        <f>Scenarios!CF446</f>
        <v>160718.36940738867</v>
      </c>
    </row>
    <row r="422">
      <c r="A422" t="n">
        <v>364</v>
      </c>
      <c r="B422" s="13">
        <f>BedSchedule!F368</f>
        <v>0.0</v>
      </c>
      <c r="C422" s="13">
        <f>BedSchedule!E368</f>
        <v>0.0</v>
      </c>
      <c r="D422" s="13">
        <f>BedSchedule!G368</f>
        <v>0.0</v>
      </c>
      <c r="E422" s="13">
        <f>BedSchedule!H368</f>
        <v>152394.16214437486</v>
      </c>
      <c r="F422" s="13">
        <f>Scenarios!CF447</f>
        <v>160718.36940738867</v>
      </c>
    </row>
    <row r="423">
      <c r="A423" t="n">
        <v>365</v>
      </c>
      <c r="B423" s="13">
        <f>BedSchedule!F369</f>
        <v>0.0</v>
      </c>
      <c r="C423" s="13">
        <f>BedSchedule!E369</f>
        <v>0.0</v>
      </c>
      <c r="D423" s="13">
        <f>BedSchedule!G369</f>
        <v>0.0</v>
      </c>
      <c r="E423" s="13">
        <f>BedSchedule!H369</f>
        <v>152394.16214437486</v>
      </c>
      <c r="F423" s="13">
        <f>Scenarios!CF448</f>
        <v>160718.36940738867</v>
      </c>
    </row>
    <row r="424">
      <c r="A424" t="n">
        <v>366</v>
      </c>
      <c r="B424" s="13">
        <f>BedSchedule!F370</f>
        <v>0.0</v>
      </c>
      <c r="C424" s="13">
        <f>BedSchedule!E370</f>
        <v>0.0</v>
      </c>
      <c r="D424" s="13">
        <f>BedSchedule!G370</f>
        <v>0.0</v>
      </c>
      <c r="E424" s="13">
        <f>BedSchedule!H370</f>
        <v>152394.16214437486</v>
      </c>
      <c r="F424" s="13">
        <f>Scenarios!CF449</f>
        <v>160718.36940738867</v>
      </c>
    </row>
    <row r="425">
      <c r="A425" t="n">
        <v>367</v>
      </c>
      <c r="B425" s="13">
        <f>BedSchedule!F371</f>
        <v>0.0</v>
      </c>
      <c r="C425" s="13">
        <f>BedSchedule!E371</f>
        <v>0.0</v>
      </c>
      <c r="D425" s="13">
        <f>BedSchedule!G371</f>
        <v>0.0</v>
      </c>
      <c r="E425" s="13">
        <f>BedSchedule!H371</f>
        <v>152394.16214437486</v>
      </c>
      <c r="F425" s="13">
        <f>Scenarios!CF450</f>
        <v>160718.36940738867</v>
      </c>
    </row>
    <row r="426">
      <c r="A426" t="n">
        <v>368</v>
      </c>
      <c r="B426" s="13">
        <f>BedSchedule!F372</f>
        <v>0.0</v>
      </c>
      <c r="C426" s="13">
        <f>BedSchedule!E372</f>
        <v>0.0</v>
      </c>
      <c r="D426" s="13">
        <f>BedSchedule!G372</f>
        <v>0.0</v>
      </c>
      <c r="E426" s="13">
        <f>BedSchedule!H372</f>
        <v>152394.16214437486</v>
      </c>
      <c r="F426" s="13">
        <f>Scenarios!CF451</f>
        <v>160718.36940738867</v>
      </c>
    </row>
    <row r="427">
      <c r="A427" t="n">
        <v>369</v>
      </c>
      <c r="B427" s="13">
        <f>BedSchedule!F373</f>
        <v>0.0</v>
      </c>
      <c r="C427" s="13">
        <f>BedSchedule!E373</f>
        <v>0.0</v>
      </c>
      <c r="D427" s="13">
        <f>BedSchedule!G373</f>
        <v>0.0</v>
      </c>
      <c r="E427" s="13">
        <f>BedSchedule!H373</f>
        <v>152394.16214437486</v>
      </c>
      <c r="F427" s="13">
        <f>Scenarios!CF452</f>
        <v>160718.36940738867</v>
      </c>
    </row>
    <row r="428">
      <c r="A428" t="n">
        <v>370</v>
      </c>
      <c r="B428" s="13">
        <f>BedSchedule!F374</f>
        <v>0.0</v>
      </c>
      <c r="C428" s="13">
        <f>BedSchedule!E374</f>
        <v>0.0</v>
      </c>
      <c r="D428" s="13">
        <f>BedSchedule!G374</f>
        <v>0.0</v>
      </c>
      <c r="E428" s="13">
        <f>BedSchedule!H374</f>
        <v>152394.16214437486</v>
      </c>
      <c r="F428" s="13">
        <f>Scenarios!CF453</f>
        <v>160718.36940738867</v>
      </c>
    </row>
    <row r="429">
      <c r="A429" t="n">
        <v>371</v>
      </c>
      <c r="B429" s="13">
        <f>BedSchedule!F375</f>
        <v>0.0</v>
      </c>
      <c r="C429" s="13">
        <f>BedSchedule!E375</f>
        <v>0.0</v>
      </c>
      <c r="D429" s="13">
        <f>BedSchedule!G375</f>
        <v>0.0</v>
      </c>
      <c r="E429" s="13">
        <f>BedSchedule!H375</f>
        <v>152394.16214437486</v>
      </c>
      <c r="F429" s="13">
        <f>Scenarios!CF454</f>
        <v>160718.36940738867</v>
      </c>
    </row>
    <row r="430">
      <c r="A430" t="n">
        <v>372</v>
      </c>
      <c r="B430" s="13">
        <f>BedSchedule!F376</f>
        <v>0.0</v>
      </c>
      <c r="C430" s="13">
        <f>BedSchedule!E376</f>
        <v>0.0</v>
      </c>
      <c r="D430" s="13">
        <f>BedSchedule!G376</f>
        <v>0.0</v>
      </c>
      <c r="E430" s="13">
        <f>BedSchedule!H376</f>
        <v>152394.16214437486</v>
      </c>
      <c r="F430" s="13">
        <f>Scenarios!CF455</f>
        <v>160718.36940738867</v>
      </c>
    </row>
    <row r="431">
      <c r="A431" t="n">
        <v>373</v>
      </c>
      <c r="B431" s="13">
        <f>BedSchedule!F377</f>
        <v>0.0</v>
      </c>
      <c r="C431" s="13">
        <f>BedSchedule!E377</f>
        <v>0.0</v>
      </c>
      <c r="D431" s="13">
        <f>BedSchedule!G377</f>
        <v>0.0</v>
      </c>
      <c r="E431" s="13">
        <f>BedSchedule!H377</f>
        <v>152394.16214437486</v>
      </c>
      <c r="F431" s="13">
        <f>Scenarios!CF456</f>
        <v>160718.36940738867</v>
      </c>
    </row>
    <row r="432">
      <c r="A432" t="n">
        <v>374</v>
      </c>
      <c r="B432" s="13">
        <f>BedSchedule!F378</f>
        <v>0.0</v>
      </c>
      <c r="C432" s="13">
        <f>BedSchedule!E378</f>
        <v>0.0</v>
      </c>
      <c r="D432" s="13">
        <f>BedSchedule!G378</f>
        <v>0.0</v>
      </c>
      <c r="E432" s="13">
        <f>BedSchedule!H378</f>
        <v>152394.16214437486</v>
      </c>
      <c r="F432" s="13">
        <f>Scenarios!CF457</f>
        <v>160718.36940738867</v>
      </c>
    </row>
    <row r="433">
      <c r="A433" t="n">
        <v>375</v>
      </c>
      <c r="B433" s="13">
        <f>BedSchedule!F379</f>
        <v>0.0</v>
      </c>
      <c r="C433" s="13">
        <f>BedSchedule!E379</f>
        <v>0.0</v>
      </c>
      <c r="D433" s="13">
        <f>BedSchedule!G379</f>
        <v>0.0</v>
      </c>
      <c r="E433" s="13">
        <f>BedSchedule!H379</f>
        <v>152394.16214437486</v>
      </c>
      <c r="F433" s="13">
        <f>Scenarios!CF458</f>
        <v>160718.36940738867</v>
      </c>
    </row>
    <row r="434">
      <c r="A434" t="n">
        <v>376</v>
      </c>
      <c r="B434" s="13">
        <f>BedSchedule!F380</f>
        <v>0.0</v>
      </c>
      <c r="C434" s="13">
        <f>BedSchedule!E380</f>
        <v>0.0</v>
      </c>
      <c r="D434" s="13">
        <f>BedSchedule!G380</f>
        <v>0.0</v>
      </c>
      <c r="E434" s="13">
        <f>BedSchedule!H380</f>
        <v>152394.16214437486</v>
      </c>
      <c r="F434" s="13">
        <f>Scenarios!CF459</f>
        <v>160718.36940738867</v>
      </c>
    </row>
    <row r="435">
      <c r="A435" t="n">
        <v>377</v>
      </c>
      <c r="B435" s="13">
        <f>BedSchedule!F381</f>
        <v>0.0</v>
      </c>
      <c r="C435" s="13">
        <f>BedSchedule!E381</f>
        <v>0.0</v>
      </c>
      <c r="D435" s="13">
        <f>BedSchedule!G381</f>
        <v>0.0</v>
      </c>
      <c r="E435" s="13">
        <f>BedSchedule!H381</f>
        <v>152394.16214437486</v>
      </c>
      <c r="F435" s="13">
        <f>Scenarios!CF460</f>
        <v>160718.36940738867</v>
      </c>
    </row>
    <row r="436">
      <c r="A436" t="n">
        <v>378</v>
      </c>
      <c r="B436" s="13">
        <f>BedSchedule!F382</f>
        <v>0.0</v>
      </c>
      <c r="C436" s="13">
        <f>BedSchedule!E382</f>
        <v>0.0</v>
      </c>
      <c r="D436" s="13">
        <f>BedSchedule!G382</f>
        <v>0.0</v>
      </c>
      <c r="E436" s="13">
        <f>BedSchedule!H382</f>
        <v>152394.16214437486</v>
      </c>
      <c r="F436" s="13">
        <f>Scenarios!CF461</f>
        <v>160718.36940738867</v>
      </c>
    </row>
    <row r="437">
      <c r="A437" t="n">
        <v>379</v>
      </c>
      <c r="B437" s="13">
        <f>BedSchedule!F383</f>
        <v>0.0</v>
      </c>
      <c r="C437" s="13">
        <f>BedSchedule!E383</f>
        <v>0.0</v>
      </c>
      <c r="D437" s="13">
        <f>BedSchedule!G383</f>
        <v>0.0</v>
      </c>
      <c r="E437" s="13">
        <f>BedSchedule!H383</f>
        <v>152394.16214437486</v>
      </c>
      <c r="F437" s="13">
        <f>Scenarios!CF462</f>
        <v>160718.36940738867</v>
      </c>
    </row>
    <row r="438">
      <c r="A438" t="n">
        <v>380</v>
      </c>
      <c r="B438" s="13">
        <f>BedSchedule!F384</f>
        <v>0.0</v>
      </c>
      <c r="C438" s="13">
        <f>BedSchedule!E384</f>
        <v>0.0</v>
      </c>
      <c r="D438" s="13">
        <f>BedSchedule!G384</f>
        <v>0.0</v>
      </c>
      <c r="E438" s="13">
        <f>BedSchedule!H384</f>
        <v>152394.16214437486</v>
      </c>
      <c r="F438" s="13">
        <f>Scenarios!CF463</f>
        <v>160718.36940738867</v>
      </c>
    </row>
    <row r="439">
      <c r="A439" t="n">
        <v>381</v>
      </c>
      <c r="B439" s="13">
        <f>BedSchedule!F385</f>
        <v>0.0</v>
      </c>
      <c r="C439" s="13">
        <f>BedSchedule!E385</f>
        <v>0.0</v>
      </c>
      <c r="D439" s="13">
        <f>BedSchedule!G385</f>
        <v>0.0</v>
      </c>
      <c r="E439" s="13">
        <f>BedSchedule!H385</f>
        <v>152394.16214437486</v>
      </c>
      <c r="F439" s="13">
        <f>Scenarios!CF464</f>
        <v>160718.36940738867</v>
      </c>
    </row>
    <row r="440">
      <c r="A440" t="n">
        <v>382</v>
      </c>
      <c r="B440" s="13">
        <f>BedSchedule!F386</f>
        <v>0.0</v>
      </c>
      <c r="C440" s="13">
        <f>BedSchedule!E386</f>
        <v>0.0</v>
      </c>
      <c r="D440" s="13">
        <f>BedSchedule!G386</f>
        <v>0.0</v>
      </c>
      <c r="E440" s="13">
        <f>BedSchedule!H386</f>
        <v>152394.16214437486</v>
      </c>
      <c r="F440" s="13">
        <f>Scenarios!CF465</f>
        <v>160718.36940738867</v>
      </c>
    </row>
    <row r="441">
      <c r="A441" t="n">
        <v>383</v>
      </c>
      <c r="B441" s="13">
        <f>BedSchedule!F387</f>
        <v>0.0</v>
      </c>
      <c r="C441" s="13">
        <f>BedSchedule!E387</f>
        <v>0.0</v>
      </c>
      <c r="D441" s="13">
        <f>BedSchedule!G387</f>
        <v>0.0</v>
      </c>
      <c r="E441" s="13">
        <f>BedSchedule!H387</f>
        <v>152394.16214437486</v>
      </c>
      <c r="F441" s="13">
        <f>Scenarios!CF466</f>
        <v>160718.36940738867</v>
      </c>
    </row>
    <row r="442">
      <c r="A442" t="n">
        <v>384</v>
      </c>
      <c r="B442" s="13">
        <f>BedSchedule!F388</f>
        <v>0.0</v>
      </c>
      <c r="C442" s="13">
        <f>BedSchedule!E388</f>
        <v>0.0</v>
      </c>
      <c r="D442" s="13">
        <f>BedSchedule!G388</f>
        <v>0.0</v>
      </c>
      <c r="E442" s="13">
        <f>BedSchedule!H388</f>
        <v>152394.16214437486</v>
      </c>
      <c r="F442" s="13">
        <f>Scenarios!CF467</f>
        <v>160718.36940738867</v>
      </c>
    </row>
    <row r="443">
      <c r="A443" t="n">
        <v>385</v>
      </c>
      <c r="B443" s="13">
        <f>BedSchedule!F389</f>
        <v>0.0</v>
      </c>
      <c r="C443" s="13">
        <f>BedSchedule!E389</f>
        <v>0.0</v>
      </c>
      <c r="D443" s="13">
        <f>BedSchedule!G389</f>
        <v>0.0</v>
      </c>
      <c r="E443" s="13">
        <f>BedSchedule!H389</f>
        <v>152394.16214437486</v>
      </c>
      <c r="F443" s="13">
        <f>Scenarios!CF468</f>
        <v>160718.36940738867</v>
      </c>
    </row>
    <row r="444">
      <c r="A444" t="n">
        <v>386</v>
      </c>
      <c r="B444" s="13">
        <f>BedSchedule!F390</f>
        <v>0.0</v>
      </c>
      <c r="C444" s="13">
        <f>BedSchedule!E390</f>
        <v>0.0</v>
      </c>
      <c r="D444" s="13">
        <f>BedSchedule!G390</f>
        <v>0.0</v>
      </c>
      <c r="E444" s="13">
        <f>BedSchedule!H390</f>
        <v>152394.16214437486</v>
      </c>
      <c r="F444" s="13">
        <f>Scenarios!CF469</f>
        <v>160718.36940738867</v>
      </c>
    </row>
    <row r="445">
      <c r="A445" t="n">
        <v>387</v>
      </c>
      <c r="B445" s="13">
        <f>BedSchedule!F391</f>
        <v>0.0</v>
      </c>
      <c r="C445" s="13">
        <f>BedSchedule!E391</f>
        <v>0.0</v>
      </c>
      <c r="D445" s="13">
        <f>BedSchedule!G391</f>
        <v>0.0</v>
      </c>
      <c r="E445" s="13">
        <f>BedSchedule!H391</f>
        <v>152394.16214437486</v>
      </c>
      <c r="F445" s="13">
        <f>Scenarios!CF470</f>
        <v>160718.36940738867</v>
      </c>
    </row>
    <row r="446">
      <c r="A446" t="n">
        <v>388</v>
      </c>
      <c r="B446" s="13">
        <f>BedSchedule!F392</f>
        <v>0.0</v>
      </c>
      <c r="C446" s="13">
        <f>BedSchedule!E392</f>
        <v>0.0</v>
      </c>
      <c r="D446" s="13">
        <f>BedSchedule!G392</f>
        <v>0.0</v>
      </c>
      <c r="E446" s="13">
        <f>BedSchedule!H392</f>
        <v>152394.16214437486</v>
      </c>
      <c r="F446" s="13">
        <f>Scenarios!CF471</f>
        <v>160718.36940738867</v>
      </c>
    </row>
    <row r="447">
      <c r="A447" t="n">
        <v>389</v>
      </c>
      <c r="B447" s="13">
        <f>BedSchedule!F393</f>
        <v>0.0</v>
      </c>
      <c r="C447" s="13">
        <f>BedSchedule!E393</f>
        <v>0.0</v>
      </c>
      <c r="D447" s="13">
        <f>BedSchedule!G393</f>
        <v>0.0</v>
      </c>
      <c r="E447" s="13">
        <f>BedSchedule!H393</f>
        <v>152394.16214437486</v>
      </c>
      <c r="F447" s="13">
        <f>Scenarios!CF472</f>
        <v>160718.36940738867</v>
      </c>
    </row>
    <row r="448">
      <c r="A448" t="n">
        <v>390</v>
      </c>
      <c r="B448" s="13">
        <f>BedSchedule!F394</f>
        <v>0.0</v>
      </c>
      <c r="C448" s="13">
        <f>BedSchedule!E394</f>
        <v>0.0</v>
      </c>
      <c r="D448" s="13">
        <f>BedSchedule!G394</f>
        <v>0.0</v>
      </c>
      <c r="E448" s="13">
        <f>BedSchedule!H394</f>
        <v>152394.16214437486</v>
      </c>
      <c r="F448" s="13">
        <f>Scenarios!CF473</f>
        <v>160718.36940738867</v>
      </c>
    </row>
    <row r="449">
      <c r="A449" t="n">
        <v>391</v>
      </c>
      <c r="B449" s="13">
        <f>BedSchedule!F395</f>
        <v>0.0</v>
      </c>
      <c r="C449" s="13">
        <f>BedSchedule!E395</f>
        <v>0.0</v>
      </c>
      <c r="D449" s="13">
        <f>BedSchedule!G395</f>
        <v>0.0</v>
      </c>
      <c r="E449" s="13">
        <f>BedSchedule!H395</f>
        <v>152394.16214437486</v>
      </c>
      <c r="F449" s="13">
        <f>Scenarios!CF474</f>
        <v>160718.36940738867</v>
      </c>
    </row>
    <row r="450">
      <c r="A450" t="n">
        <v>392</v>
      </c>
      <c r="B450" s="13">
        <f>BedSchedule!F396</f>
        <v>0.0</v>
      </c>
      <c r="C450" s="13">
        <f>BedSchedule!E396</f>
        <v>0.0</v>
      </c>
      <c r="D450" s="13">
        <f>BedSchedule!G396</f>
        <v>0.0</v>
      </c>
      <c r="E450" s="13">
        <f>BedSchedule!H396</f>
        <v>152394.16214437486</v>
      </c>
      <c r="F450" s="13">
        <f>Scenarios!CF475</f>
        <v>160718.36940738867</v>
      </c>
    </row>
    <row r="451">
      <c r="A451" t="n">
        <v>393</v>
      </c>
      <c r="B451" s="13">
        <f>BedSchedule!F397</f>
        <v>0.0</v>
      </c>
      <c r="C451" s="13">
        <f>BedSchedule!E397</f>
        <v>0.0</v>
      </c>
      <c r="D451" s="13">
        <f>BedSchedule!G397</f>
        <v>0.0</v>
      </c>
      <c r="E451" s="13">
        <f>BedSchedule!H397</f>
        <v>152394.16214437486</v>
      </c>
      <c r="F451" s="13">
        <f>Scenarios!CF476</f>
        <v>160718.36940738867</v>
      </c>
    </row>
    <row r="452">
      <c r="A452" t="n">
        <v>394</v>
      </c>
      <c r="B452" s="13">
        <f>BedSchedule!F398</f>
        <v>0.0</v>
      </c>
      <c r="C452" s="13">
        <f>BedSchedule!E398</f>
        <v>0.0</v>
      </c>
      <c r="D452" s="13">
        <f>BedSchedule!G398</f>
        <v>0.0</v>
      </c>
      <c r="E452" s="13">
        <f>BedSchedule!H398</f>
        <v>152394.16214437486</v>
      </c>
      <c r="F452" s="13">
        <f>Scenarios!CF477</f>
        <v>160718.36940738867</v>
      </c>
    </row>
    <row r="453">
      <c r="A453" t="n">
        <v>395</v>
      </c>
      <c r="B453" s="13">
        <f>BedSchedule!F399</f>
        <v>0.0</v>
      </c>
      <c r="C453" s="13">
        <f>BedSchedule!E399</f>
        <v>0.0</v>
      </c>
      <c r="D453" s="13">
        <f>BedSchedule!G399</f>
        <v>0.0</v>
      </c>
      <c r="E453" s="13">
        <f>BedSchedule!H399</f>
        <v>152394.16214437486</v>
      </c>
      <c r="F453" s="13">
        <f>Scenarios!CF478</f>
        <v>160718.36940738867</v>
      </c>
    </row>
    <row r="454">
      <c r="A454" t="n">
        <v>396</v>
      </c>
      <c r="B454" s="13">
        <f>BedSchedule!F400</f>
        <v>0.0</v>
      </c>
      <c r="C454" s="13">
        <f>BedSchedule!E400</f>
        <v>0.0</v>
      </c>
      <c r="D454" s="13">
        <f>BedSchedule!G400</f>
        <v>0.0</v>
      </c>
      <c r="E454" s="13">
        <f>BedSchedule!H400</f>
        <v>152394.16214437486</v>
      </c>
      <c r="F454" s="13">
        <f>Scenarios!CF479</f>
        <v>160718.36940738867</v>
      </c>
    </row>
    <row r="455">
      <c r="A455" t="n">
        <v>397</v>
      </c>
      <c r="B455" s="13">
        <f>BedSchedule!F401</f>
        <v>0.0</v>
      </c>
      <c r="C455" s="13">
        <f>BedSchedule!E401</f>
        <v>0.0</v>
      </c>
      <c r="D455" s="13">
        <f>BedSchedule!G401</f>
        <v>0.0</v>
      </c>
      <c r="E455" s="13">
        <f>BedSchedule!H401</f>
        <v>152394.16214437486</v>
      </c>
      <c r="F455" s="13">
        <f>Scenarios!CF480</f>
        <v>160718.36940738867</v>
      </c>
    </row>
    <row r="456">
      <c r="A456" t="n">
        <v>398</v>
      </c>
      <c r="B456" s="13">
        <f>BedSchedule!F402</f>
        <v>0.0</v>
      </c>
      <c r="C456" s="13">
        <f>BedSchedule!E402</f>
        <v>0.0</v>
      </c>
      <c r="D456" s="13">
        <f>BedSchedule!G402</f>
        <v>0.0</v>
      </c>
      <c r="E456" s="13">
        <f>BedSchedule!H402</f>
        <v>152394.16214437486</v>
      </c>
      <c r="F456" s="13">
        <f>Scenarios!CF481</f>
        <v>160718.36940738867</v>
      </c>
    </row>
    <row r="457">
      <c r="A457" t="n">
        <v>399</v>
      </c>
      <c r="B457" s="13">
        <f>BedSchedule!F403</f>
        <v>0.0</v>
      </c>
      <c r="C457" s="13">
        <f>BedSchedule!E403</f>
        <v>0.0</v>
      </c>
      <c r="D457" s="13">
        <f>BedSchedule!G403</f>
        <v>0.0</v>
      </c>
      <c r="E457" s="13">
        <f>BedSchedule!H403</f>
        <v>152394.16214437486</v>
      </c>
      <c r="F457" s="13">
        <f>Scenarios!CF482</f>
        <v>160718.36940738867</v>
      </c>
    </row>
    <row r="458">
      <c r="A458" t="n">
        <v>400</v>
      </c>
      <c r="B458" s="13">
        <f>BedSchedule!F404</f>
        <v>0.0</v>
      </c>
      <c r="C458" s="13">
        <f>BedSchedule!E404</f>
        <v>0.0</v>
      </c>
      <c r="D458" s="13">
        <f>BedSchedule!G404</f>
        <v>0.0</v>
      </c>
      <c r="E458" s="13">
        <f>BedSchedule!H404</f>
        <v>152394.16214437486</v>
      </c>
      <c r="F458" s="13">
        <f>Scenarios!CF483</f>
        <v>160718.36940738867</v>
      </c>
    </row>
    <row r="459">
      <c r="A459" t="inlineStr">
        <is>
          <t>Marks: POOL_BEDS</t>
        </is>
      </c>
      <c r="B459">
        <f>POOL_BEDS</f>
        <v>150.1685433550886</v>
      </c>
      <c r="C459" t="inlineStr">
        <is>
          <t>BEDS</t>
        </is>
      </c>
      <c r="D459">
        <f>BEDS</f>
        <v>150</v>
      </c>
      <c r="E459" t="inlineStr">
        <is>
          <t>Band</t>
        </is>
      </c>
      <c r="F459" t="str">
        <f>BAND_LO&amp;" to "&amp;BAND_HI</f>
        <v>125 to 175</v>
      </c>
    </row>
    <row r="461">
      <c r="A461" s="3" t="inlineStr">
        <is>
          <t>Figure 3. Waitlist reasons, Dec 31 (patients)</t>
        </is>
      </c>
    </row>
    <row r="462">
      <c r="A462" s="2" t="inlineStr">
        <is>
          <t>Reason</t>
        </is>
      </c>
      <c r="B462" s="2" t="inlineStr">
        <is>
          <t>2023</t>
        </is>
      </c>
      <c r="C462" s="2" t="inlineStr">
        <is>
          <t>2024</t>
        </is>
      </c>
    </row>
    <row r="463">
      <c r="A463" t="inlineStr">
        <is>
          <t>No bed available</t>
        </is>
      </c>
      <c r="B463">
        <f>SNAP_NOBED_2023</f>
        <v>42</v>
      </c>
      <c r="C463">
        <f>SNAP_NOBED_2024</f>
        <v>31</v>
      </c>
    </row>
    <row r="464">
      <c r="A464" t="inlineStr">
        <is>
          <t>Financial, Medicaid or insurance</t>
        </is>
      </c>
      <c r="B464">
        <f>SNAP_FIN_2023</f>
        <v>45</v>
      </c>
      <c r="C464">
        <f>SNAP_FIN_2024</f>
        <v>60</v>
      </c>
    </row>
    <row r="465">
      <c r="A465" t="inlineStr">
        <is>
          <t>Psychiatric, dementia or behavior</t>
        </is>
      </c>
      <c r="B465">
        <f>SNAP_BEHAV_2023</f>
        <v>48</v>
      </c>
      <c r="C465">
        <f>SNAP_BEHAV_2024</f>
        <v>29</v>
      </c>
    </row>
    <row r="466">
      <c r="A466" t="inlineStr">
        <is>
          <t>Special care</t>
        </is>
      </c>
      <c r="B466">
        <f>SNAP_SPECIAL_2023</f>
        <v>26</v>
      </c>
      <c r="C466">
        <f>SNAP_SPECIAL_2024</f>
        <v>18</v>
      </c>
    </row>
    <row r="467">
      <c r="A467" t="inlineStr">
        <is>
          <t>Family or guardianship</t>
        </is>
      </c>
      <c r="B467">
        <f>SNAP_FAMILY_2023</f>
        <v>28</v>
      </c>
      <c r="C467">
        <f>SNAP_FAMILY_2024</f>
        <v>31</v>
      </c>
    </row>
    <row r="468">
      <c r="A468" t="inlineStr">
        <is>
          <t>Other</t>
        </is>
      </c>
      <c r="B468">
        <f>SNAP_OTHER_2023</f>
        <v>2</v>
      </c>
      <c r="C468">
        <f>SNAP_OTHER_2024</f>
        <v>4</v>
      </c>
    </row>
    <row r="469">
      <c r="A469" t="inlineStr">
        <is>
          <t>Waitlist days</t>
        </is>
      </c>
      <c r="B469" s="13">
        <f>WAIT_DAYS_2023</f>
        <v>83097</v>
      </c>
      <c r="C469" s="13">
        <f>WAIT_DAYS_2024</f>
        <v>60876</v>
      </c>
    </row>
    <row r="471">
      <c r="A471" s="3" t="inlineStr">
        <is>
          <t>Figure 4. Cost per waitlist day freed, by option (2023 $, base run)</t>
        </is>
      </c>
    </row>
    <row r="472">
      <c r="A472" s="2" t="inlineStr">
        <is>
          <t>Option</t>
        </is>
      </c>
      <c r="B472" s="2" t="inlineStr">
        <is>
          <t>Per waitlist day freed</t>
        </is>
      </c>
      <c r="C472" s="2" t="inlineStr">
        <is>
          <t>Simple supply-response run</t>
        </is>
      </c>
      <c r="D472" s="2" t="inlineStr">
        <is>
          <t>Per bed-equivalent</t>
        </is>
      </c>
    </row>
    <row r="473">
      <c r="A473" t="inlineStr">
        <is>
          <t>The partnership</t>
        </is>
      </c>
      <c r="B473" s="8">
        <f>UNIT_PART</f>
        <v>148.25106452877213</v>
      </c>
      <c r="C473" s="8">
        <f>Scenarios!$GB$69</f>
        <v>148.25106452877213</v>
      </c>
      <c r="D473" s="13">
        <f>PER_BED_EQ_PART</f>
        <v>37367.15924242764</v>
      </c>
    </row>
    <row r="474">
      <c r="A474" t="inlineStr">
        <is>
          <t>Rule: Hawaii index</t>
        </is>
      </c>
      <c r="B474" s="8">
        <f>UNIT_RULE_HIX</f>
        <v>2337.981033469702</v>
      </c>
      <c r="C474" s="8">
        <f>Scenarios!$GB$64</f>
        <v>3244.9564620876686</v>
      </c>
      <c r="D474" s="13">
        <f>PER_BED_EQ_RULE_HIX</f>
        <v>589295.6644940827</v>
      </c>
    </row>
    <row r="475">
      <c r="A475" t="inlineStr">
        <is>
          <t>Rule: 3-year rebase</t>
        </is>
      </c>
      <c r="B475" s="8">
        <f>UNIT_RULE_REB</f>
        <v>2302.47359003705</v>
      </c>
      <c r="C475" s="8">
        <f>Scenarios!$GB$67</f>
        <v>3197.917389248671</v>
      </c>
      <c r="D475" s="13">
        <f>PER_BED_EQ_RULE_REB</f>
        <v>580345.8987891498</v>
      </c>
    </row>
    <row r="476">
      <c r="A476" t="inlineStr">
        <is>
          <t>One-time $10 increase</t>
        </is>
      </c>
      <c r="B476" s="8">
        <f>UNIT_INC</f>
        <v>1990.281642926819</v>
      </c>
      <c r="C476" s="8">
        <f>Scenarios!$GB$61</f>
        <v>2784.3359449038994</v>
      </c>
      <c r="D476" s="13">
        <f>PER_BED_EQ_INC</f>
        <v>501656.9110307684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2026-09-29T01:49:28Z</dcterms:created>
  <dcterms:modified xsi:type="dcterms:W3CDTF">2026-09-29T01:49:28Z</dcterms:modified>
</cp:coreProperties>
</file>